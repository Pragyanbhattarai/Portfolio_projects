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gy\Desktop\"/>
    </mc:Choice>
  </mc:AlternateContent>
  <xr:revisionPtr revIDLastSave="0" documentId="13_ncr:1_{DDCA8E0A-B348-4CBD-9BD4-4158F51CE9E9}" xr6:coauthVersionLast="47" xr6:coauthVersionMax="47" xr10:uidLastSave="{00000000-0000-0000-0000-000000000000}"/>
  <bookViews>
    <workbookView xWindow="-110" yWindow="-110" windowWidth="25820" windowHeight="15500" firstSheet="1" activeTab="4" xr2:uid="{61D41CA2-5D70-4F8F-BECC-FCCA17E3B7F2}"/>
  </bookViews>
  <sheets>
    <sheet name="spotify_churn_dataset" sheetId="1" r:id="rId1"/>
    <sheet name="Free_Users" sheetId="5" r:id="rId2"/>
    <sheet name="Ad Tolerance Threshold Analysis" sheetId="6" r:id="rId3"/>
    <sheet name="Revenue Bleed Estimation" sheetId="4" r:id="rId4"/>
    <sheet name="Demographic Profiling" sheetId="8" r:id="rId5"/>
    <sheet name="Plans" sheetId="2" r:id="rId6"/>
  </sheets>
  <calcPr calcId="191029"/>
  <pivotCaches>
    <pivotCache cacheId="15" r:id="rId7"/>
    <pivotCache cacheId="1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5" l="1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0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5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6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O2002" i="5"/>
  <c r="O2003" i="5"/>
  <c r="O2004" i="5"/>
  <c r="O2005" i="5"/>
  <c r="O2006" i="5"/>
  <c r="O2007" i="5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N3" i="1"/>
  <c r="N5" i="1"/>
  <c r="N7" i="1"/>
  <c r="N8" i="1"/>
  <c r="N9" i="1"/>
  <c r="N10" i="1"/>
  <c r="N11" i="1"/>
  <c r="N12" i="1"/>
  <c r="N14" i="1"/>
  <c r="N15" i="1"/>
  <c r="N17" i="1"/>
  <c r="N18" i="1"/>
  <c r="N19" i="1"/>
  <c r="N20" i="1"/>
  <c r="N21" i="1"/>
  <c r="N22" i="1"/>
  <c r="N23" i="1"/>
  <c r="N24" i="1"/>
  <c r="N25" i="1"/>
  <c r="N26" i="1"/>
  <c r="N27" i="1"/>
  <c r="N29" i="1"/>
  <c r="N30" i="1"/>
  <c r="N31" i="1"/>
  <c r="N32" i="1"/>
  <c r="N33" i="1"/>
  <c r="N34" i="1"/>
  <c r="N35" i="1"/>
  <c r="N36" i="1"/>
  <c r="N38" i="1"/>
  <c r="N39" i="1"/>
  <c r="N40" i="1"/>
  <c r="N42" i="1"/>
  <c r="N43" i="1"/>
  <c r="N44" i="1"/>
  <c r="N45" i="1"/>
  <c r="N46" i="1"/>
  <c r="N47" i="1"/>
  <c r="N48" i="1"/>
  <c r="N49" i="1"/>
  <c r="N50" i="1"/>
  <c r="N52" i="1"/>
  <c r="N53" i="1"/>
  <c r="N55" i="1"/>
  <c r="N56" i="1"/>
  <c r="N57" i="1"/>
  <c r="N59" i="1"/>
  <c r="N60" i="1"/>
  <c r="N62" i="1"/>
  <c r="N63" i="1"/>
  <c r="N64" i="1"/>
  <c r="N67" i="1"/>
  <c r="N69" i="1"/>
  <c r="N70" i="1"/>
  <c r="N71" i="1"/>
  <c r="N72" i="1"/>
  <c r="N73" i="1"/>
  <c r="N75" i="1"/>
  <c r="N76" i="1"/>
  <c r="N77" i="1"/>
  <c r="N78" i="1"/>
  <c r="N79" i="1"/>
  <c r="N80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8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5" i="1"/>
  <c r="N116" i="1"/>
  <c r="N117" i="1"/>
  <c r="N119" i="1"/>
  <c r="N120" i="1"/>
  <c r="N121" i="1"/>
  <c r="N125" i="1"/>
  <c r="N126" i="1"/>
  <c r="N128" i="1"/>
  <c r="N129" i="1"/>
  <c r="N130" i="1"/>
  <c r="N132" i="1"/>
  <c r="N133" i="1"/>
  <c r="N136" i="1"/>
  <c r="N137" i="1"/>
  <c r="N138" i="1"/>
  <c r="N139" i="1"/>
  <c r="N142" i="1"/>
  <c r="N143" i="1"/>
  <c r="N146" i="1"/>
  <c r="N147" i="1"/>
  <c r="N148" i="1"/>
  <c r="N149" i="1"/>
  <c r="N150" i="1"/>
  <c r="N151" i="1"/>
  <c r="N152" i="1"/>
  <c r="N153" i="1"/>
  <c r="N154" i="1"/>
  <c r="N156" i="1"/>
  <c r="N158" i="1"/>
  <c r="N159" i="1"/>
  <c r="N160" i="1"/>
  <c r="N161" i="1"/>
  <c r="N162" i="1"/>
  <c r="N167" i="1"/>
  <c r="N168" i="1"/>
  <c r="N169" i="1"/>
  <c r="N170" i="1"/>
  <c r="N172" i="1"/>
  <c r="N173" i="1"/>
  <c r="N174" i="1"/>
  <c r="N175" i="1"/>
  <c r="N178" i="1"/>
  <c r="N179" i="1"/>
  <c r="N180" i="1"/>
  <c r="N182" i="1"/>
  <c r="N183" i="1"/>
  <c r="N184" i="1"/>
  <c r="N186" i="1"/>
  <c r="N189" i="1"/>
  <c r="N190" i="1"/>
  <c r="N191" i="1"/>
  <c r="N192" i="1"/>
  <c r="N193" i="1"/>
  <c r="N194" i="1"/>
  <c r="N197" i="1"/>
  <c r="N199" i="1"/>
  <c r="N200" i="1"/>
  <c r="N201" i="1"/>
  <c r="N202" i="1"/>
  <c r="N203" i="1"/>
  <c r="N204" i="1"/>
  <c r="N205" i="1"/>
  <c r="N206" i="1"/>
  <c r="N208" i="1"/>
  <c r="N210" i="1"/>
  <c r="N211" i="1"/>
  <c r="N212" i="1"/>
  <c r="N213" i="1"/>
  <c r="N214" i="1"/>
  <c r="N215" i="1"/>
  <c r="N216" i="1"/>
  <c r="N217" i="1"/>
  <c r="N218" i="1"/>
  <c r="N220" i="1"/>
  <c r="N221" i="1"/>
  <c r="N222" i="1"/>
  <c r="N223" i="1"/>
  <c r="N224" i="1"/>
  <c r="N228" i="1"/>
  <c r="N229" i="1"/>
  <c r="N231" i="1"/>
  <c r="N232" i="1"/>
  <c r="N233" i="1"/>
  <c r="N235" i="1"/>
  <c r="N239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5" i="1"/>
  <c r="N256" i="1"/>
  <c r="N257" i="1"/>
  <c r="N258" i="1"/>
  <c r="N259" i="1"/>
  <c r="N260" i="1"/>
  <c r="N261" i="1"/>
  <c r="N262" i="1"/>
  <c r="N264" i="1"/>
  <c r="N268" i="1"/>
  <c r="N270" i="1"/>
  <c r="N271" i="1"/>
  <c r="N272" i="1"/>
  <c r="N274" i="1"/>
  <c r="N275" i="1"/>
  <c r="N276" i="1"/>
  <c r="N277" i="1"/>
  <c r="N278" i="1"/>
  <c r="N279" i="1"/>
  <c r="N280" i="1"/>
  <c r="N281" i="1"/>
  <c r="N282" i="1"/>
  <c r="N284" i="1"/>
  <c r="N285" i="1"/>
  <c r="N287" i="1"/>
  <c r="N289" i="1"/>
  <c r="N291" i="1"/>
  <c r="N293" i="1"/>
  <c r="N294" i="1"/>
  <c r="N295" i="1"/>
  <c r="N298" i="1"/>
  <c r="N300" i="1"/>
  <c r="N301" i="1"/>
  <c r="N302" i="1"/>
  <c r="N304" i="1"/>
  <c r="N305" i="1"/>
  <c r="N306" i="1"/>
  <c r="N307" i="1"/>
  <c r="N310" i="1"/>
  <c r="N311" i="1"/>
  <c r="N312" i="1"/>
  <c r="N313" i="1"/>
  <c r="N314" i="1"/>
  <c r="N315" i="1"/>
  <c r="N317" i="1"/>
  <c r="N318" i="1"/>
  <c r="N319" i="1"/>
  <c r="N320" i="1"/>
  <c r="N321" i="1"/>
  <c r="N322" i="1"/>
  <c r="N324" i="1"/>
  <c r="N325" i="1"/>
  <c r="N328" i="1"/>
  <c r="N329" i="1"/>
  <c r="N330" i="1"/>
  <c r="N331" i="1"/>
  <c r="N332" i="1"/>
  <c r="N334" i="1"/>
  <c r="N335" i="1"/>
  <c r="N336" i="1"/>
  <c r="N337" i="1"/>
  <c r="N338" i="1"/>
  <c r="N339" i="1"/>
  <c r="N340" i="1"/>
  <c r="N342" i="1"/>
  <c r="N344" i="1"/>
  <c r="N347" i="1"/>
  <c r="N349" i="1"/>
  <c r="N351" i="1"/>
  <c r="N352" i="1"/>
  <c r="N353" i="1"/>
  <c r="N354" i="1"/>
  <c r="N356" i="1"/>
  <c r="N357" i="1"/>
  <c r="N359" i="1"/>
  <c r="N360" i="1"/>
  <c r="N362" i="1"/>
  <c r="N363" i="1"/>
  <c r="N366" i="1"/>
  <c r="N369" i="1"/>
  <c r="N370" i="1"/>
  <c r="N371" i="1"/>
  <c r="N373" i="1"/>
  <c r="N374" i="1"/>
  <c r="N377" i="1"/>
  <c r="N378" i="1"/>
  <c r="N379" i="1"/>
  <c r="N381" i="1"/>
  <c r="N383" i="1"/>
  <c r="N384" i="1"/>
  <c r="N385" i="1"/>
  <c r="N387" i="1"/>
  <c r="N388" i="1"/>
  <c r="N389" i="1"/>
  <c r="N391" i="1"/>
  <c r="N392" i="1"/>
  <c r="N394" i="1"/>
  <c r="N395" i="1"/>
  <c r="N396" i="1"/>
  <c r="N397" i="1"/>
  <c r="N398" i="1"/>
  <c r="N400" i="1"/>
  <c r="N401" i="1"/>
  <c r="N402" i="1"/>
  <c r="N403" i="1"/>
  <c r="N405" i="1"/>
  <c r="N408" i="1"/>
  <c r="N409" i="1"/>
  <c r="N410" i="1"/>
  <c r="N411" i="1"/>
  <c r="N412" i="1"/>
  <c r="N414" i="1"/>
  <c r="N415" i="1"/>
  <c r="N416" i="1"/>
  <c r="N417" i="1"/>
  <c r="N419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6" i="1"/>
  <c r="N437" i="1"/>
  <c r="N438" i="1"/>
  <c r="N439" i="1"/>
  <c r="N440" i="1"/>
  <c r="N441" i="1"/>
  <c r="N442" i="1"/>
  <c r="N443" i="1"/>
  <c r="N444" i="1"/>
  <c r="N445" i="1"/>
  <c r="N449" i="1"/>
  <c r="N450" i="1"/>
  <c r="N451" i="1"/>
  <c r="N454" i="1"/>
  <c r="N455" i="1"/>
  <c r="N456" i="1"/>
  <c r="N457" i="1"/>
  <c r="N460" i="1"/>
  <c r="N461" i="1"/>
  <c r="N463" i="1"/>
  <c r="N464" i="1"/>
  <c r="N465" i="1"/>
  <c r="N466" i="1"/>
  <c r="N467" i="1"/>
  <c r="N468" i="1"/>
  <c r="N469" i="1"/>
  <c r="N471" i="1"/>
  <c r="N472" i="1"/>
  <c r="N473" i="1"/>
  <c r="N474" i="1"/>
  <c r="N475" i="1"/>
  <c r="N476" i="1"/>
  <c r="N478" i="1"/>
  <c r="N479" i="1"/>
  <c r="N482" i="1"/>
  <c r="N483" i="1"/>
  <c r="N485" i="1"/>
  <c r="N486" i="1"/>
  <c r="N487" i="1"/>
  <c r="N489" i="1"/>
  <c r="N490" i="1"/>
  <c r="N492" i="1"/>
  <c r="N493" i="1"/>
  <c r="N496" i="1"/>
  <c r="N497" i="1"/>
  <c r="N498" i="1"/>
  <c r="N499" i="1"/>
  <c r="N500" i="1"/>
  <c r="N501" i="1"/>
  <c r="N502" i="1"/>
  <c r="N504" i="1"/>
  <c r="N505" i="1"/>
  <c r="N506" i="1"/>
  <c r="N507" i="1"/>
  <c r="N508" i="1"/>
  <c r="N510" i="1"/>
  <c r="N511" i="1"/>
  <c r="N512" i="1"/>
  <c r="N514" i="1"/>
  <c r="N515" i="1"/>
  <c r="N516" i="1"/>
  <c r="N518" i="1"/>
  <c r="N520" i="1"/>
  <c r="N521" i="1"/>
  <c r="N522" i="1"/>
  <c r="N523" i="1"/>
  <c r="N525" i="1"/>
  <c r="N526" i="1"/>
  <c r="N527" i="1"/>
  <c r="N528" i="1"/>
  <c r="N530" i="1"/>
  <c r="N532" i="1"/>
  <c r="N533" i="1"/>
  <c r="N536" i="1"/>
  <c r="N538" i="1"/>
  <c r="N540" i="1"/>
  <c r="N541" i="1"/>
  <c r="N542" i="1"/>
  <c r="N544" i="1"/>
  <c r="N545" i="1"/>
  <c r="N546" i="1"/>
  <c r="N547" i="1"/>
  <c r="N548" i="1"/>
  <c r="N549" i="1"/>
  <c r="N550" i="1"/>
  <c r="N551" i="1"/>
  <c r="N552" i="1"/>
  <c r="N553" i="1"/>
  <c r="N555" i="1"/>
  <c r="N557" i="1"/>
  <c r="N558" i="1"/>
  <c r="N559" i="1"/>
  <c r="N560" i="1"/>
  <c r="N561" i="1"/>
  <c r="N562" i="1"/>
  <c r="N563" i="1"/>
  <c r="N565" i="1"/>
  <c r="N566" i="1"/>
  <c r="N567" i="1"/>
  <c r="N568" i="1"/>
  <c r="N569" i="1"/>
  <c r="N570" i="1"/>
  <c r="N571" i="1"/>
  <c r="N573" i="1"/>
  <c r="N574" i="1"/>
  <c r="N575" i="1"/>
  <c r="N576" i="1"/>
  <c r="N577" i="1"/>
  <c r="N579" i="1"/>
  <c r="N581" i="1"/>
  <c r="N582" i="1"/>
  <c r="N583" i="1"/>
  <c r="N584" i="1"/>
  <c r="N585" i="1"/>
  <c r="N586" i="1"/>
  <c r="N588" i="1"/>
  <c r="N589" i="1"/>
  <c r="N590" i="1"/>
  <c r="N591" i="1"/>
  <c r="N592" i="1"/>
  <c r="N593" i="1"/>
  <c r="N594" i="1"/>
  <c r="N595" i="1"/>
  <c r="N597" i="1"/>
  <c r="N598" i="1"/>
  <c r="N599" i="1"/>
  <c r="N600" i="1"/>
  <c r="N601" i="1"/>
  <c r="N602" i="1"/>
  <c r="N603" i="1"/>
  <c r="N604" i="1"/>
  <c r="N608" i="1"/>
  <c r="N609" i="1"/>
  <c r="N610" i="1"/>
  <c r="N611" i="1"/>
  <c r="N612" i="1"/>
  <c r="N614" i="1"/>
  <c r="N615" i="1"/>
  <c r="N617" i="1"/>
  <c r="N619" i="1"/>
  <c r="N620" i="1"/>
  <c r="N621" i="1"/>
  <c r="N622" i="1"/>
  <c r="N624" i="1"/>
  <c r="N625" i="1"/>
  <c r="N626" i="1"/>
  <c r="N627" i="1"/>
  <c r="N628" i="1"/>
  <c r="N629" i="1"/>
  <c r="N630" i="1"/>
  <c r="N631" i="1"/>
  <c r="N632" i="1"/>
  <c r="N635" i="1"/>
  <c r="N636" i="1"/>
  <c r="N637" i="1"/>
  <c r="N638" i="1"/>
  <c r="N639" i="1"/>
  <c r="N640" i="1"/>
  <c r="N642" i="1"/>
  <c r="N643" i="1"/>
  <c r="N644" i="1"/>
  <c r="N645" i="1"/>
  <c r="N646" i="1"/>
  <c r="N647" i="1"/>
  <c r="N648" i="1"/>
  <c r="N649" i="1"/>
  <c r="N653" i="1"/>
  <c r="N654" i="1"/>
  <c r="N655" i="1"/>
  <c r="N657" i="1"/>
  <c r="N659" i="1"/>
  <c r="N660" i="1"/>
  <c r="N661" i="1"/>
  <c r="N663" i="1"/>
  <c r="N664" i="1"/>
  <c r="N665" i="1"/>
  <c r="N666" i="1"/>
  <c r="N667" i="1"/>
  <c r="N668" i="1"/>
  <c r="N669" i="1"/>
  <c r="N670" i="1"/>
  <c r="N672" i="1"/>
  <c r="N674" i="1"/>
  <c r="N675" i="1"/>
  <c r="N676" i="1"/>
  <c r="N677" i="1"/>
  <c r="N678" i="1"/>
  <c r="N679" i="1"/>
  <c r="N681" i="1"/>
  <c r="N682" i="1"/>
  <c r="N684" i="1"/>
  <c r="N685" i="1"/>
  <c r="N686" i="1"/>
  <c r="N687" i="1"/>
  <c r="N688" i="1"/>
  <c r="N690" i="1"/>
  <c r="N691" i="1"/>
  <c r="N692" i="1"/>
  <c r="N693" i="1"/>
  <c r="N694" i="1"/>
  <c r="N695" i="1"/>
  <c r="N696" i="1"/>
  <c r="N697" i="1"/>
  <c r="N698" i="1"/>
  <c r="N699" i="1"/>
  <c r="N701" i="1"/>
  <c r="N702" i="1"/>
  <c r="N707" i="1"/>
  <c r="N708" i="1"/>
  <c r="N709" i="1"/>
  <c r="N711" i="1"/>
  <c r="N712" i="1"/>
  <c r="N713" i="1"/>
  <c r="N714" i="1"/>
  <c r="N715" i="1"/>
  <c r="N716" i="1"/>
  <c r="N717" i="1"/>
  <c r="N718" i="1"/>
  <c r="N719" i="1"/>
  <c r="N721" i="1"/>
  <c r="N723" i="1"/>
  <c r="N725" i="1"/>
  <c r="N726" i="1"/>
  <c r="N727" i="1"/>
  <c r="N728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4" i="1"/>
  <c r="N745" i="1"/>
  <c r="N746" i="1"/>
  <c r="N747" i="1"/>
  <c r="N748" i="1"/>
  <c r="N749" i="1"/>
  <c r="N750" i="1"/>
  <c r="N751" i="1"/>
  <c r="N753" i="1"/>
  <c r="N754" i="1"/>
  <c r="N756" i="1"/>
  <c r="N757" i="1"/>
  <c r="N758" i="1"/>
  <c r="N759" i="1"/>
  <c r="N760" i="1"/>
  <c r="N762" i="1"/>
  <c r="N763" i="1"/>
  <c r="N764" i="1"/>
  <c r="N767" i="1"/>
  <c r="N768" i="1"/>
  <c r="N769" i="1"/>
  <c r="N770" i="1"/>
  <c r="N771" i="1"/>
  <c r="N773" i="1"/>
  <c r="N774" i="1"/>
  <c r="N775" i="1"/>
  <c r="N776" i="1"/>
  <c r="N778" i="1"/>
  <c r="N779" i="1"/>
  <c r="N780" i="1"/>
  <c r="N782" i="1"/>
  <c r="N783" i="1"/>
  <c r="N784" i="1"/>
  <c r="N785" i="1"/>
  <c r="N787" i="1"/>
  <c r="N788" i="1"/>
  <c r="N790" i="1"/>
  <c r="N792" i="1"/>
  <c r="N795" i="1"/>
  <c r="N796" i="1"/>
  <c r="N797" i="1"/>
  <c r="N798" i="1"/>
  <c r="N799" i="1"/>
  <c r="N800" i="1"/>
  <c r="N801" i="1"/>
  <c r="N803" i="1"/>
  <c r="N805" i="1"/>
  <c r="N806" i="1"/>
  <c r="N807" i="1"/>
  <c r="N808" i="1"/>
  <c r="N809" i="1"/>
  <c r="N811" i="1"/>
  <c r="N812" i="1"/>
  <c r="N814" i="1"/>
  <c r="N815" i="1"/>
  <c r="N816" i="1"/>
  <c r="N817" i="1"/>
  <c r="N819" i="1"/>
  <c r="N821" i="1"/>
  <c r="N823" i="1"/>
  <c r="N824" i="1"/>
  <c r="N826" i="1"/>
  <c r="N827" i="1"/>
  <c r="N828" i="1"/>
  <c r="N829" i="1"/>
  <c r="N831" i="1"/>
  <c r="N832" i="1"/>
  <c r="N834" i="1"/>
  <c r="N835" i="1"/>
  <c r="N836" i="1"/>
  <c r="N837" i="1"/>
  <c r="N838" i="1"/>
  <c r="N839" i="1"/>
  <c r="N840" i="1"/>
  <c r="N842" i="1"/>
  <c r="N844" i="1"/>
  <c r="N845" i="1"/>
  <c r="N847" i="1"/>
  <c r="N848" i="1"/>
  <c r="N849" i="1"/>
  <c r="N850" i="1"/>
  <c r="N852" i="1"/>
  <c r="N853" i="1"/>
  <c r="N854" i="1"/>
  <c r="N855" i="1"/>
  <c r="N856" i="1"/>
  <c r="N857" i="1"/>
  <c r="N859" i="1"/>
  <c r="N861" i="1"/>
  <c r="N862" i="1"/>
  <c r="N863" i="1"/>
  <c r="N864" i="1"/>
  <c r="N865" i="1"/>
  <c r="N866" i="1"/>
  <c r="N867" i="1"/>
  <c r="N870" i="1"/>
  <c r="N872" i="1"/>
  <c r="N874" i="1"/>
  <c r="N875" i="1"/>
  <c r="N876" i="1"/>
  <c r="N877" i="1"/>
  <c r="N881" i="1"/>
  <c r="N882" i="1"/>
  <c r="N884" i="1"/>
  <c r="N885" i="1"/>
  <c r="N886" i="1"/>
  <c r="N887" i="1"/>
  <c r="N888" i="1"/>
  <c r="N889" i="1"/>
  <c r="N890" i="1"/>
  <c r="N891" i="1"/>
  <c r="N892" i="1"/>
  <c r="N893" i="1"/>
  <c r="N894" i="1"/>
  <c r="N896" i="1"/>
  <c r="N897" i="1"/>
  <c r="N898" i="1"/>
  <c r="N900" i="1"/>
  <c r="N902" i="1"/>
  <c r="N903" i="1"/>
  <c r="N904" i="1"/>
  <c r="N905" i="1"/>
  <c r="N907" i="1"/>
  <c r="N908" i="1"/>
  <c r="N910" i="1"/>
  <c r="N911" i="1"/>
  <c r="N912" i="1"/>
  <c r="N914" i="1"/>
  <c r="N915" i="1"/>
  <c r="N916" i="1"/>
  <c r="N920" i="1"/>
  <c r="N921" i="1"/>
  <c r="N923" i="1"/>
  <c r="N925" i="1"/>
  <c r="N927" i="1"/>
  <c r="N928" i="1"/>
  <c r="N930" i="1"/>
  <c r="N931" i="1"/>
  <c r="N933" i="1"/>
  <c r="N934" i="1"/>
  <c r="N935" i="1"/>
  <c r="N936" i="1"/>
  <c r="N937" i="1"/>
  <c r="N938" i="1"/>
  <c r="N941" i="1"/>
  <c r="N942" i="1"/>
  <c r="N943" i="1"/>
  <c r="N944" i="1"/>
  <c r="N946" i="1"/>
  <c r="N947" i="1"/>
  <c r="N950" i="1"/>
  <c r="N951" i="1"/>
  <c r="N953" i="1"/>
  <c r="N954" i="1"/>
  <c r="N955" i="1"/>
  <c r="N956" i="1"/>
  <c r="N959" i="1"/>
  <c r="N960" i="1"/>
  <c r="N961" i="1"/>
  <c r="N962" i="1"/>
  <c r="N963" i="1"/>
  <c r="N964" i="1"/>
  <c r="N966" i="1"/>
  <c r="N967" i="1"/>
  <c r="N969" i="1"/>
  <c r="N970" i="1"/>
  <c r="N971" i="1"/>
  <c r="N972" i="1"/>
  <c r="N973" i="1"/>
  <c r="N975" i="1"/>
  <c r="N976" i="1"/>
  <c r="N977" i="1"/>
  <c r="N978" i="1"/>
  <c r="N981" i="1"/>
  <c r="N982" i="1"/>
  <c r="N983" i="1"/>
  <c r="N984" i="1"/>
  <c r="N985" i="1"/>
  <c r="N986" i="1"/>
  <c r="N988" i="1"/>
  <c r="N989" i="1"/>
  <c r="N990" i="1"/>
  <c r="N992" i="1"/>
  <c r="N994" i="1"/>
  <c r="N995" i="1"/>
  <c r="N996" i="1"/>
  <c r="N997" i="1"/>
  <c r="N1001" i="1"/>
  <c r="N1002" i="1"/>
  <c r="N1003" i="1"/>
  <c r="N1004" i="1"/>
  <c r="N1005" i="1"/>
  <c r="N1007" i="1"/>
  <c r="N1008" i="1"/>
  <c r="N1009" i="1"/>
  <c r="N1012" i="1"/>
  <c r="N1013" i="1"/>
  <c r="N1016" i="1"/>
  <c r="N1017" i="1"/>
  <c r="N1018" i="1"/>
  <c r="N1019" i="1"/>
  <c r="N1020" i="1"/>
  <c r="N1022" i="1"/>
  <c r="N1024" i="1"/>
  <c r="N1025" i="1"/>
  <c r="N1026" i="1"/>
  <c r="N1027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6" i="1"/>
  <c r="N1047" i="1"/>
  <c r="N1048" i="1"/>
  <c r="N1049" i="1"/>
  <c r="N1050" i="1"/>
  <c r="N1051" i="1"/>
  <c r="N1052" i="1"/>
  <c r="N1053" i="1"/>
  <c r="N1054" i="1"/>
  <c r="N1057" i="1"/>
  <c r="N1058" i="1"/>
  <c r="N1059" i="1"/>
  <c r="N1061" i="1"/>
  <c r="N1062" i="1"/>
  <c r="N1063" i="1"/>
  <c r="N1064" i="1"/>
  <c r="N1066" i="1"/>
  <c r="N1067" i="1"/>
  <c r="N1069" i="1"/>
  <c r="N1070" i="1"/>
  <c r="N1072" i="1"/>
  <c r="N1073" i="1"/>
  <c r="N1074" i="1"/>
  <c r="N1075" i="1"/>
  <c r="N1077" i="1"/>
  <c r="N1079" i="1"/>
  <c r="N1080" i="1"/>
  <c r="N1081" i="1"/>
  <c r="N1082" i="1"/>
  <c r="N1083" i="1"/>
  <c r="N1084" i="1"/>
  <c r="N1085" i="1"/>
  <c r="N1087" i="1"/>
  <c r="N1090" i="1"/>
  <c r="N1091" i="1"/>
  <c r="N1093" i="1"/>
  <c r="N1094" i="1"/>
  <c r="N1096" i="1"/>
  <c r="N1097" i="1"/>
  <c r="N1098" i="1"/>
  <c r="N1099" i="1"/>
  <c r="N1100" i="1"/>
  <c r="N1102" i="1"/>
  <c r="N1103" i="1"/>
  <c r="N1104" i="1"/>
  <c r="N1107" i="1"/>
  <c r="N1108" i="1"/>
  <c r="N1109" i="1"/>
  <c r="N1110" i="1"/>
  <c r="N1113" i="1"/>
  <c r="N1114" i="1"/>
  <c r="N1116" i="1"/>
  <c r="N1117" i="1"/>
  <c r="N1118" i="1"/>
  <c r="N1120" i="1"/>
  <c r="N1121" i="1"/>
  <c r="N1122" i="1"/>
  <c r="N1124" i="1"/>
  <c r="N1125" i="1"/>
  <c r="N1127" i="1"/>
  <c r="N1128" i="1"/>
  <c r="N1129" i="1"/>
  <c r="N1132" i="1"/>
  <c r="N1133" i="1"/>
  <c r="N1134" i="1"/>
  <c r="N1135" i="1"/>
  <c r="N1137" i="1"/>
  <c r="N1138" i="1"/>
  <c r="N1139" i="1"/>
  <c r="N1141" i="1"/>
  <c r="N1142" i="1"/>
  <c r="N1143" i="1"/>
  <c r="N1144" i="1"/>
  <c r="N1145" i="1"/>
  <c r="N1146" i="1"/>
  <c r="N1147" i="1"/>
  <c r="N1148" i="1"/>
  <c r="N1149" i="1"/>
  <c r="N1150" i="1"/>
  <c r="N1152" i="1"/>
  <c r="N1153" i="1"/>
  <c r="N1155" i="1"/>
  <c r="N1156" i="1"/>
  <c r="N1157" i="1"/>
  <c r="N1159" i="1"/>
  <c r="N1160" i="1"/>
  <c r="N1161" i="1"/>
  <c r="N1162" i="1"/>
  <c r="N1163" i="1"/>
  <c r="N1164" i="1"/>
  <c r="N1166" i="1"/>
  <c r="N1167" i="1"/>
  <c r="N1168" i="1"/>
  <c r="N1169" i="1"/>
  <c r="N1170" i="1"/>
  <c r="N1171" i="1"/>
  <c r="N1172" i="1"/>
  <c r="N1174" i="1"/>
  <c r="N1175" i="1"/>
  <c r="N1176" i="1"/>
  <c r="N1177" i="1"/>
  <c r="N1178" i="1"/>
  <c r="N1179" i="1"/>
  <c r="N1180" i="1"/>
  <c r="N1182" i="1"/>
  <c r="N1183" i="1"/>
  <c r="N1184" i="1"/>
  <c r="N1185" i="1"/>
  <c r="N1188" i="1"/>
  <c r="N1190" i="1"/>
  <c r="N1193" i="1"/>
  <c r="N1194" i="1"/>
  <c r="N1195" i="1"/>
  <c r="N1196" i="1"/>
  <c r="N1197" i="1"/>
  <c r="N1199" i="1"/>
  <c r="N1200" i="1"/>
  <c r="N1201" i="1"/>
  <c r="N1203" i="1"/>
  <c r="N1205" i="1"/>
  <c r="N1207" i="1"/>
  <c r="N1209" i="1"/>
  <c r="N1210" i="1"/>
  <c r="N1211" i="1"/>
  <c r="N1212" i="1"/>
  <c r="N1215" i="1"/>
  <c r="N1216" i="1"/>
  <c r="N1217" i="1"/>
  <c r="N1218" i="1"/>
  <c r="N1219" i="1"/>
  <c r="N1220" i="1"/>
  <c r="N1221" i="1"/>
  <c r="N1226" i="1"/>
  <c r="N1228" i="1"/>
  <c r="N1229" i="1"/>
  <c r="N1230" i="1"/>
  <c r="N1231" i="1"/>
  <c r="N1233" i="1"/>
  <c r="N1234" i="1"/>
  <c r="N1236" i="1"/>
  <c r="N1237" i="1"/>
  <c r="N1238" i="1"/>
  <c r="N1239" i="1"/>
  <c r="N1240" i="1"/>
  <c r="N1241" i="1"/>
  <c r="N1242" i="1"/>
  <c r="N1243" i="1"/>
  <c r="N1245" i="1"/>
  <c r="N1247" i="1"/>
  <c r="N1249" i="1"/>
  <c r="N1251" i="1"/>
  <c r="N1253" i="1"/>
  <c r="N1254" i="1"/>
  <c r="N1256" i="1"/>
  <c r="N1259" i="1"/>
  <c r="N1260" i="1"/>
  <c r="N1261" i="1"/>
  <c r="N1262" i="1"/>
  <c r="N1264" i="1"/>
  <c r="N1265" i="1"/>
  <c r="N1266" i="1"/>
  <c r="N1267" i="1"/>
  <c r="N1268" i="1"/>
  <c r="N1270" i="1"/>
  <c r="N1271" i="1"/>
  <c r="N1272" i="1"/>
  <c r="N1273" i="1"/>
  <c r="N1274" i="1"/>
  <c r="N1275" i="1"/>
  <c r="N1276" i="1"/>
  <c r="N1277" i="1"/>
  <c r="N1279" i="1"/>
  <c r="N1280" i="1"/>
  <c r="N1283" i="1"/>
  <c r="N1284" i="1"/>
  <c r="N1285" i="1"/>
  <c r="N1287" i="1"/>
  <c r="N1288" i="1"/>
  <c r="N1289" i="1"/>
  <c r="N1290" i="1"/>
  <c r="N1291" i="1"/>
  <c r="N1292" i="1"/>
  <c r="N1293" i="1"/>
  <c r="N1297" i="1"/>
  <c r="N1298" i="1"/>
  <c r="N1299" i="1"/>
  <c r="N1301" i="1"/>
  <c r="N1302" i="1"/>
  <c r="N1304" i="1"/>
  <c r="N1305" i="1"/>
  <c r="N1306" i="1"/>
  <c r="N1307" i="1"/>
  <c r="N1308" i="1"/>
  <c r="N1309" i="1"/>
  <c r="N1310" i="1"/>
  <c r="N1311" i="1"/>
  <c r="N1314" i="1"/>
  <c r="N1316" i="1"/>
  <c r="N1317" i="1"/>
  <c r="N1319" i="1"/>
  <c r="N1321" i="1"/>
  <c r="N1322" i="1"/>
  <c r="N1323" i="1"/>
  <c r="N1325" i="1"/>
  <c r="N1326" i="1"/>
  <c r="N1327" i="1"/>
  <c r="N1328" i="1"/>
  <c r="N1330" i="1"/>
  <c r="N1331" i="1"/>
  <c r="N1332" i="1"/>
  <c r="N1333" i="1"/>
  <c r="N1335" i="1"/>
  <c r="N1336" i="1"/>
  <c r="N1338" i="1"/>
  <c r="N1339" i="1"/>
  <c r="N1341" i="1"/>
  <c r="N1344" i="1"/>
  <c r="N1345" i="1"/>
  <c r="N1346" i="1"/>
  <c r="N1348" i="1"/>
  <c r="N1350" i="1"/>
  <c r="N1351" i="1"/>
  <c r="N1352" i="1"/>
  <c r="N1354" i="1"/>
  <c r="N1356" i="1"/>
  <c r="N1357" i="1"/>
  <c r="N1359" i="1"/>
  <c r="N1360" i="1"/>
  <c r="N1361" i="1"/>
  <c r="N1362" i="1"/>
  <c r="N1363" i="1"/>
  <c r="N1364" i="1"/>
  <c r="N1365" i="1"/>
  <c r="N1367" i="1"/>
  <c r="N1370" i="1"/>
  <c r="N1372" i="1"/>
  <c r="N1373" i="1"/>
  <c r="N1374" i="1"/>
  <c r="N1377" i="1"/>
  <c r="N1378" i="1"/>
  <c r="N1379" i="1"/>
  <c r="N1380" i="1"/>
  <c r="N1381" i="1"/>
  <c r="N1382" i="1"/>
  <c r="N1383" i="1"/>
  <c r="N1385" i="1"/>
  <c r="N1386" i="1"/>
  <c r="N1388" i="1"/>
  <c r="N1389" i="1"/>
  <c r="N1390" i="1"/>
  <c r="N1391" i="1"/>
  <c r="N1392" i="1"/>
  <c r="N1393" i="1"/>
  <c r="N1394" i="1"/>
  <c r="N1395" i="1"/>
  <c r="N1396" i="1"/>
  <c r="N1398" i="1"/>
  <c r="N1399" i="1"/>
  <c r="N1400" i="1"/>
  <c r="N1402" i="1"/>
  <c r="N1403" i="1"/>
  <c r="N1404" i="1"/>
  <c r="N1405" i="1"/>
  <c r="N1407" i="1"/>
  <c r="N1408" i="1"/>
  <c r="N1409" i="1"/>
  <c r="N1410" i="1"/>
  <c r="N1411" i="1"/>
  <c r="N1412" i="1"/>
  <c r="N1413" i="1"/>
  <c r="N1414" i="1"/>
  <c r="N1415" i="1"/>
  <c r="N1417" i="1"/>
  <c r="N1418" i="1"/>
  <c r="N1419" i="1"/>
  <c r="N1420" i="1"/>
  <c r="N1421" i="1"/>
  <c r="N1422" i="1"/>
  <c r="N1424" i="1"/>
  <c r="N1425" i="1"/>
  <c r="N1426" i="1"/>
  <c r="N1427" i="1"/>
  <c r="N1428" i="1"/>
  <c r="N1429" i="1"/>
  <c r="N1430" i="1"/>
  <c r="N1431" i="1"/>
  <c r="N1434" i="1"/>
  <c r="N1437" i="1"/>
  <c r="N1438" i="1"/>
  <c r="N1439" i="1"/>
  <c r="N1440" i="1"/>
  <c r="N1442" i="1"/>
  <c r="N1443" i="1"/>
  <c r="N1444" i="1"/>
  <c r="N1447" i="1"/>
  <c r="N1448" i="1"/>
  <c r="N1449" i="1"/>
  <c r="N1450" i="1"/>
  <c r="N1451" i="1"/>
  <c r="N1453" i="1"/>
  <c r="N1454" i="1"/>
  <c r="N1456" i="1"/>
  <c r="N1458" i="1"/>
  <c r="N1459" i="1"/>
  <c r="N1461" i="1"/>
  <c r="N1462" i="1"/>
  <c r="N1463" i="1"/>
  <c r="N1466" i="1"/>
  <c r="N1467" i="1"/>
  <c r="N1469" i="1"/>
  <c r="N1470" i="1"/>
  <c r="N1473" i="1"/>
  <c r="N1474" i="1"/>
  <c r="N1475" i="1"/>
  <c r="N1477" i="1"/>
  <c r="N1479" i="1"/>
  <c r="N1480" i="1"/>
  <c r="N1481" i="1"/>
  <c r="N1482" i="1"/>
  <c r="N1484" i="1"/>
  <c r="N1485" i="1"/>
  <c r="N1487" i="1"/>
  <c r="N1488" i="1"/>
  <c r="N1489" i="1"/>
  <c r="N1492" i="1"/>
  <c r="N1493" i="1"/>
  <c r="N1494" i="1"/>
  <c r="N1495" i="1"/>
  <c r="N1496" i="1"/>
  <c r="N1498" i="1"/>
  <c r="N1499" i="1"/>
  <c r="N1500" i="1"/>
  <c r="N1501" i="1"/>
  <c r="N1504" i="1"/>
  <c r="N1505" i="1"/>
  <c r="N1506" i="1"/>
  <c r="N1507" i="1"/>
  <c r="N1508" i="1"/>
  <c r="N1509" i="1"/>
  <c r="N1510" i="1"/>
  <c r="N1512" i="1"/>
  <c r="N1513" i="1"/>
  <c r="N1514" i="1"/>
  <c r="N1516" i="1"/>
  <c r="N1517" i="1"/>
  <c r="N1518" i="1"/>
  <c r="N1519" i="1"/>
  <c r="N1520" i="1"/>
  <c r="N1521" i="1"/>
  <c r="N1523" i="1"/>
  <c r="N1524" i="1"/>
  <c r="N1525" i="1"/>
  <c r="N1526" i="1"/>
  <c r="N1529" i="1"/>
  <c r="N1530" i="1"/>
  <c r="N1531" i="1"/>
  <c r="N1533" i="1"/>
  <c r="N1535" i="1"/>
  <c r="N1537" i="1"/>
  <c r="N1539" i="1"/>
  <c r="N1540" i="1"/>
  <c r="N1542" i="1"/>
  <c r="N1543" i="1"/>
  <c r="N1545" i="1"/>
  <c r="N1547" i="1"/>
  <c r="N1548" i="1"/>
  <c r="N1549" i="1"/>
  <c r="N1550" i="1"/>
  <c r="N1553" i="1"/>
  <c r="N1554" i="1"/>
  <c r="N1556" i="1"/>
  <c r="N1557" i="1"/>
  <c r="N1558" i="1"/>
  <c r="N1559" i="1"/>
  <c r="N1560" i="1"/>
  <c r="N1562" i="1"/>
  <c r="N1563" i="1"/>
  <c r="N1564" i="1"/>
  <c r="N1565" i="1"/>
  <c r="N1566" i="1"/>
  <c r="N1568" i="1"/>
  <c r="N1570" i="1"/>
  <c r="N1572" i="1"/>
  <c r="N1574" i="1"/>
  <c r="N1575" i="1"/>
  <c r="N1576" i="1"/>
  <c r="N1577" i="1"/>
  <c r="N1578" i="1"/>
  <c r="N1579" i="1"/>
  <c r="N1581" i="1"/>
  <c r="N1582" i="1"/>
  <c r="N1583" i="1"/>
  <c r="N1584" i="1"/>
  <c r="N1585" i="1"/>
  <c r="N1587" i="1"/>
  <c r="N1588" i="1"/>
  <c r="N1589" i="1"/>
  <c r="N1590" i="1"/>
  <c r="N1593" i="1"/>
  <c r="N1595" i="1"/>
  <c r="N1599" i="1"/>
  <c r="N1600" i="1"/>
  <c r="N1603" i="1"/>
  <c r="N1604" i="1"/>
  <c r="N1607" i="1"/>
  <c r="N1608" i="1"/>
  <c r="N1609" i="1"/>
  <c r="N1610" i="1"/>
  <c r="N1611" i="1"/>
  <c r="N1612" i="1"/>
  <c r="N1613" i="1"/>
  <c r="N1614" i="1"/>
  <c r="N1615" i="1"/>
  <c r="N1616" i="1"/>
  <c r="N1617" i="1"/>
  <c r="N1619" i="1"/>
  <c r="N1621" i="1"/>
  <c r="N1623" i="1"/>
  <c r="N1624" i="1"/>
  <c r="N1626" i="1"/>
  <c r="N1628" i="1"/>
  <c r="N1629" i="1"/>
  <c r="N1632" i="1"/>
  <c r="N1633" i="1"/>
  <c r="N1634" i="1"/>
  <c r="N1635" i="1"/>
  <c r="N1636" i="1"/>
  <c r="N1638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5" i="1"/>
  <c r="N1657" i="1"/>
  <c r="N1658" i="1"/>
  <c r="N1660" i="1"/>
  <c r="N1661" i="1"/>
  <c r="N1662" i="1"/>
  <c r="N1663" i="1"/>
  <c r="N1664" i="1"/>
  <c r="N1665" i="1"/>
  <c r="N1666" i="1"/>
  <c r="N1667" i="1"/>
  <c r="N1668" i="1"/>
  <c r="N1669" i="1"/>
  <c r="N1671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90" i="1"/>
  <c r="N1694" i="1"/>
  <c r="N1695" i="1"/>
  <c r="N1696" i="1"/>
  <c r="N1697" i="1"/>
  <c r="N1698" i="1"/>
  <c r="N1701" i="1"/>
  <c r="N1702" i="1"/>
  <c r="N1704" i="1"/>
  <c r="N1705" i="1"/>
  <c r="N1706" i="1"/>
  <c r="N1708" i="1"/>
  <c r="N1709" i="1"/>
  <c r="N1710" i="1"/>
  <c r="N1712" i="1"/>
  <c r="N1713" i="1"/>
  <c r="N1714" i="1"/>
  <c r="N1715" i="1"/>
  <c r="N1716" i="1"/>
  <c r="N1717" i="1"/>
  <c r="N1719" i="1"/>
  <c r="N1720" i="1"/>
  <c r="N1721" i="1"/>
  <c r="N1722" i="1"/>
  <c r="N1725" i="1"/>
  <c r="N1726" i="1"/>
  <c r="N1727" i="1"/>
  <c r="N1728" i="1"/>
  <c r="N1729" i="1"/>
  <c r="N1730" i="1"/>
  <c r="N1732" i="1"/>
  <c r="N1733" i="1"/>
  <c r="N1734" i="1"/>
  <c r="N1736" i="1"/>
  <c r="N1737" i="1"/>
  <c r="N1738" i="1"/>
  <c r="N1739" i="1"/>
  <c r="N1740" i="1"/>
  <c r="N1741" i="1"/>
  <c r="N1742" i="1"/>
  <c r="N1743" i="1"/>
  <c r="N1744" i="1"/>
  <c r="N1747" i="1"/>
  <c r="N1748" i="1"/>
  <c r="N1750" i="1"/>
  <c r="N1751" i="1"/>
  <c r="N1752" i="1"/>
  <c r="N1754" i="1"/>
  <c r="N1755" i="1"/>
  <c r="N1756" i="1"/>
  <c r="N1758" i="1"/>
  <c r="N1759" i="1"/>
  <c r="N1760" i="1"/>
  <c r="N1762" i="1"/>
  <c r="N1763" i="1"/>
  <c r="N1765" i="1"/>
  <c r="N1767" i="1"/>
  <c r="N1768" i="1"/>
  <c r="N1769" i="1"/>
  <c r="N1770" i="1"/>
  <c r="N1771" i="1"/>
  <c r="N1772" i="1"/>
  <c r="N1773" i="1"/>
  <c r="N1774" i="1"/>
  <c r="N1777" i="1"/>
  <c r="N1778" i="1"/>
  <c r="N1779" i="1"/>
  <c r="N1780" i="1"/>
  <c r="N1781" i="1"/>
  <c r="N1782" i="1"/>
  <c r="N1785" i="1"/>
  <c r="N1787" i="1"/>
  <c r="N1788" i="1"/>
  <c r="N1789" i="1"/>
  <c r="N1791" i="1"/>
  <c r="N1792" i="1"/>
  <c r="N1793" i="1"/>
  <c r="N1795" i="1"/>
  <c r="N1796" i="1"/>
  <c r="N1798" i="1"/>
  <c r="N1799" i="1"/>
  <c r="N1800" i="1"/>
  <c r="N1803" i="1"/>
  <c r="N1804" i="1"/>
  <c r="N1806" i="1"/>
  <c r="N1807" i="1"/>
  <c r="N1811" i="1"/>
  <c r="N1813" i="1"/>
  <c r="N1814" i="1"/>
  <c r="N1815" i="1"/>
  <c r="N1816" i="1"/>
  <c r="N1817" i="1"/>
  <c r="N1818" i="1"/>
  <c r="N1819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4" i="1"/>
  <c r="N1845" i="1"/>
  <c r="N1846" i="1"/>
  <c r="N1847" i="1"/>
  <c r="N1848" i="1"/>
  <c r="N1850" i="1"/>
  <c r="N1852" i="1"/>
  <c r="N1853" i="1"/>
  <c r="N1854" i="1"/>
  <c r="N1856" i="1"/>
  <c r="N1857" i="1"/>
  <c r="N1858" i="1"/>
  <c r="N1860" i="1"/>
  <c r="N1861" i="1"/>
  <c r="N1864" i="1"/>
  <c r="N1865" i="1"/>
  <c r="N1867" i="1"/>
  <c r="N1868" i="1"/>
  <c r="N1871" i="1"/>
  <c r="N1872" i="1"/>
  <c r="N1874" i="1"/>
  <c r="N1876" i="1"/>
  <c r="N1877" i="1"/>
  <c r="N1879" i="1"/>
  <c r="N1881" i="1"/>
  <c r="N1882" i="1"/>
  <c r="N1883" i="1"/>
  <c r="N1885" i="1"/>
  <c r="N1886" i="1"/>
  <c r="N1887" i="1"/>
  <c r="N1888" i="1"/>
  <c r="N1889" i="1"/>
  <c r="N1891" i="1"/>
  <c r="N1892" i="1"/>
  <c r="N1893" i="1"/>
  <c r="N1894" i="1"/>
  <c r="N1895" i="1"/>
  <c r="N1897" i="1"/>
  <c r="N1898" i="1"/>
  <c r="N1899" i="1"/>
  <c r="N1902" i="1"/>
  <c r="N1905" i="1"/>
  <c r="N1907" i="1"/>
  <c r="N1908" i="1"/>
  <c r="N1910" i="1"/>
  <c r="N1912" i="1"/>
  <c r="N1914" i="1"/>
  <c r="N1916" i="1"/>
  <c r="N1917" i="1"/>
  <c r="N1918" i="1"/>
  <c r="N1919" i="1"/>
  <c r="N1920" i="1"/>
  <c r="N1921" i="1"/>
  <c r="N1922" i="1"/>
  <c r="N1923" i="1"/>
  <c r="N1925" i="1"/>
  <c r="N1926" i="1"/>
  <c r="N1927" i="1"/>
  <c r="N1929" i="1"/>
  <c r="N1930" i="1"/>
  <c r="N1931" i="1"/>
  <c r="N1932" i="1"/>
  <c r="N1933" i="1"/>
  <c r="N1935" i="1"/>
  <c r="N1936" i="1"/>
  <c r="N1937" i="1"/>
  <c r="N1938" i="1"/>
  <c r="N1939" i="1"/>
  <c r="N1941" i="1"/>
  <c r="N1943" i="1"/>
  <c r="N1946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6" i="1"/>
  <c r="N1967" i="1"/>
  <c r="N1968" i="1"/>
  <c r="N1969" i="1"/>
  <c r="N1970" i="1"/>
  <c r="N1971" i="1"/>
  <c r="N1973" i="1"/>
  <c r="N1975" i="1"/>
  <c r="N1976" i="1"/>
  <c r="N1977" i="1"/>
  <c r="N1979" i="1"/>
  <c r="N1980" i="1"/>
  <c r="N1983" i="1"/>
  <c r="N1985" i="1"/>
  <c r="N1986" i="1"/>
  <c r="N1987" i="1"/>
  <c r="N1988" i="1"/>
  <c r="N1989" i="1"/>
  <c r="N1990" i="1"/>
  <c r="N1991" i="1"/>
  <c r="N1993" i="1"/>
  <c r="N1995" i="1"/>
  <c r="N1996" i="1"/>
  <c r="N1998" i="1"/>
  <c r="N1999" i="1"/>
  <c r="N2000" i="1"/>
  <c r="N2001" i="1"/>
  <c r="N2002" i="1"/>
  <c r="N2003" i="1"/>
  <c r="N2004" i="1"/>
  <c r="N2005" i="1"/>
  <c r="N2006" i="1"/>
  <c r="N2007" i="1"/>
  <c r="N2009" i="1"/>
  <c r="N2010" i="1"/>
  <c r="N2012" i="1"/>
  <c r="N2013" i="1"/>
  <c r="N2014" i="1"/>
  <c r="N2016" i="1"/>
  <c r="N2017" i="1"/>
  <c r="N2018" i="1"/>
  <c r="N2019" i="1"/>
  <c r="N2021" i="1"/>
  <c r="N2022" i="1"/>
  <c r="N2023" i="1"/>
  <c r="N2024" i="1"/>
  <c r="N2025" i="1"/>
  <c r="N2026" i="1"/>
  <c r="N2027" i="1"/>
  <c r="N2029" i="1"/>
  <c r="N2030" i="1"/>
  <c r="N2031" i="1"/>
  <c r="N2032" i="1"/>
  <c r="N2033" i="1"/>
  <c r="N2036" i="1"/>
  <c r="N2037" i="1"/>
  <c r="N2039" i="1"/>
  <c r="N2040" i="1"/>
  <c r="N2042" i="1"/>
  <c r="N2043" i="1"/>
  <c r="N2044" i="1"/>
  <c r="N2045" i="1"/>
  <c r="N2048" i="1"/>
  <c r="N2049" i="1"/>
  <c r="N2050" i="1"/>
  <c r="N2051" i="1"/>
  <c r="N2053" i="1"/>
  <c r="N2054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3" i="1"/>
  <c r="N2074" i="1"/>
  <c r="N2076" i="1"/>
  <c r="N2077" i="1"/>
  <c r="N2079" i="1"/>
  <c r="N2081" i="1"/>
  <c r="N2082" i="1"/>
  <c r="N2084" i="1"/>
  <c r="N2085" i="1"/>
  <c r="N2086" i="1"/>
  <c r="N2087" i="1"/>
  <c r="N2088" i="1"/>
  <c r="N2089" i="1"/>
  <c r="N2090" i="1"/>
  <c r="N2091" i="1"/>
  <c r="N2092" i="1"/>
  <c r="N2093" i="1"/>
  <c r="N2094" i="1"/>
  <c r="N2097" i="1"/>
  <c r="N2098" i="1"/>
  <c r="N2099" i="1"/>
  <c r="N2100" i="1"/>
  <c r="N2101" i="1"/>
  <c r="N2104" i="1"/>
  <c r="N2105" i="1"/>
  <c r="N2106" i="1"/>
  <c r="N2107" i="1"/>
  <c r="N2109" i="1"/>
  <c r="N2110" i="1"/>
  <c r="N2111" i="1"/>
  <c r="N2112" i="1"/>
  <c r="N2113" i="1"/>
  <c r="N2114" i="1"/>
  <c r="N2116" i="1"/>
  <c r="N2117" i="1"/>
  <c r="N2119" i="1"/>
  <c r="N2120" i="1"/>
  <c r="N2122" i="1"/>
  <c r="N2123" i="1"/>
  <c r="N2124" i="1"/>
  <c r="N2125" i="1"/>
  <c r="N2126" i="1"/>
  <c r="N2128" i="1"/>
  <c r="N2129" i="1"/>
  <c r="N2130" i="1"/>
  <c r="N2131" i="1"/>
  <c r="N2132" i="1"/>
  <c r="N2134" i="1"/>
  <c r="N2135" i="1"/>
  <c r="N2137" i="1"/>
  <c r="N2138" i="1"/>
  <c r="N2140" i="1"/>
  <c r="N2143" i="1"/>
  <c r="N2144" i="1"/>
  <c r="N2145" i="1"/>
  <c r="N2146" i="1"/>
  <c r="N2147" i="1"/>
  <c r="N2148" i="1"/>
  <c r="N2149" i="1"/>
  <c r="N2152" i="1"/>
  <c r="N2153" i="1"/>
  <c r="N2155" i="1"/>
  <c r="N2156" i="1"/>
  <c r="N2158" i="1"/>
  <c r="N2159" i="1"/>
  <c r="N2162" i="1"/>
  <c r="N2164" i="1"/>
  <c r="N2167" i="1"/>
  <c r="N2168" i="1"/>
  <c r="N2169" i="1"/>
  <c r="N2170" i="1"/>
  <c r="N2171" i="1"/>
  <c r="N2172" i="1"/>
  <c r="N2173" i="1"/>
  <c r="N2176" i="1"/>
  <c r="N2177" i="1"/>
  <c r="N2178" i="1"/>
  <c r="N2179" i="1"/>
  <c r="N2183" i="1"/>
  <c r="N2184" i="1"/>
  <c r="N2185" i="1"/>
  <c r="N2187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5" i="1"/>
  <c r="N2206" i="1"/>
  <c r="N2207" i="1"/>
  <c r="N2209" i="1"/>
  <c r="N2210" i="1"/>
  <c r="N2211" i="1"/>
  <c r="N2212" i="1"/>
  <c r="N2213" i="1"/>
  <c r="N2215" i="1"/>
  <c r="N2216" i="1"/>
  <c r="N2217" i="1"/>
  <c r="N2218" i="1"/>
  <c r="N2219" i="1"/>
  <c r="N2222" i="1"/>
  <c r="N2223" i="1"/>
  <c r="N2224" i="1"/>
  <c r="N2225" i="1"/>
  <c r="N2226" i="1"/>
  <c r="N2228" i="1"/>
  <c r="N2230" i="1"/>
  <c r="N2231" i="1"/>
  <c r="N2234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50" i="1"/>
  <c r="N2251" i="1"/>
  <c r="N2252" i="1"/>
  <c r="N2255" i="1"/>
  <c r="N2257" i="1"/>
  <c r="N2258" i="1"/>
  <c r="N2259" i="1"/>
  <c r="N2260" i="1"/>
  <c r="N2261" i="1"/>
  <c r="N2262" i="1"/>
  <c r="N2263" i="1"/>
  <c r="N2265" i="1"/>
  <c r="N2266" i="1"/>
  <c r="N2267" i="1"/>
  <c r="N2268" i="1"/>
  <c r="N2269" i="1"/>
  <c r="N2270" i="1"/>
  <c r="N2271" i="1"/>
  <c r="N2272" i="1"/>
  <c r="N2274" i="1"/>
  <c r="N2275" i="1"/>
  <c r="N2276" i="1"/>
  <c r="N2277" i="1"/>
  <c r="N2278" i="1"/>
  <c r="N2279" i="1"/>
  <c r="N2280" i="1"/>
  <c r="N2283" i="1"/>
  <c r="N2285" i="1"/>
  <c r="N2289" i="1"/>
  <c r="N2290" i="1"/>
  <c r="N2291" i="1"/>
  <c r="N2292" i="1"/>
  <c r="N2294" i="1"/>
  <c r="N2295" i="1"/>
  <c r="N2297" i="1"/>
  <c r="N2299" i="1"/>
  <c r="N2300" i="1"/>
  <c r="N2301" i="1"/>
  <c r="N2302" i="1"/>
  <c r="N2303" i="1"/>
  <c r="N2305" i="1"/>
  <c r="N2307" i="1"/>
  <c r="N2308" i="1"/>
  <c r="N2309" i="1"/>
  <c r="N2310" i="1"/>
  <c r="N2312" i="1"/>
  <c r="N2313" i="1"/>
  <c r="N2314" i="1"/>
  <c r="N2315" i="1"/>
  <c r="N2316" i="1"/>
  <c r="N2318" i="1"/>
  <c r="N2319" i="1"/>
  <c r="N2321" i="1"/>
  <c r="N2322" i="1"/>
  <c r="N2323" i="1"/>
  <c r="N2324" i="1"/>
  <c r="N2326" i="1"/>
  <c r="N2327" i="1"/>
  <c r="N2328" i="1"/>
  <c r="N2329" i="1"/>
  <c r="N2330" i="1"/>
  <c r="N2331" i="1"/>
  <c r="N2332" i="1"/>
  <c r="N2333" i="1"/>
  <c r="N2334" i="1"/>
  <c r="N2336" i="1"/>
  <c r="N2338" i="1"/>
  <c r="N2340" i="1"/>
  <c r="N2341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8" i="1"/>
  <c r="N2359" i="1"/>
  <c r="N2360" i="1"/>
  <c r="N2361" i="1"/>
  <c r="N2362" i="1"/>
  <c r="N2363" i="1"/>
  <c r="N2364" i="1"/>
  <c r="N2365" i="1"/>
  <c r="N2368" i="1"/>
  <c r="N2369" i="1"/>
  <c r="N2370" i="1"/>
  <c r="N2371" i="1"/>
  <c r="N2372" i="1"/>
  <c r="N2373" i="1"/>
  <c r="N2374" i="1"/>
  <c r="N2375" i="1"/>
  <c r="N2376" i="1"/>
  <c r="N2377" i="1"/>
  <c r="N2378" i="1"/>
  <c r="N2380" i="1"/>
  <c r="N2381" i="1"/>
  <c r="N2382" i="1"/>
  <c r="N2383" i="1"/>
  <c r="N2385" i="1"/>
  <c r="N2387" i="1"/>
  <c r="N2388" i="1"/>
  <c r="N2389" i="1"/>
  <c r="N2391" i="1"/>
  <c r="N2392" i="1"/>
  <c r="N2393" i="1"/>
  <c r="N2394" i="1"/>
  <c r="N2395" i="1"/>
  <c r="N2396" i="1"/>
  <c r="N2397" i="1"/>
  <c r="N2398" i="1"/>
  <c r="N2400" i="1"/>
  <c r="N2401" i="1"/>
  <c r="N2402" i="1"/>
  <c r="N2403" i="1"/>
  <c r="N2404" i="1"/>
  <c r="N2405" i="1"/>
  <c r="N2406" i="1"/>
  <c r="N2409" i="1"/>
  <c r="N2412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1" i="1"/>
  <c r="N2433" i="1"/>
  <c r="N2434" i="1"/>
  <c r="N2437" i="1"/>
  <c r="N2438" i="1"/>
  <c r="N2439" i="1"/>
  <c r="N2440" i="1"/>
  <c r="N2441" i="1"/>
  <c r="N2442" i="1"/>
  <c r="N2443" i="1"/>
  <c r="N2445" i="1"/>
  <c r="N2446" i="1"/>
  <c r="N2447" i="1"/>
  <c r="N2448" i="1"/>
  <c r="N2450" i="1"/>
  <c r="N2451" i="1"/>
  <c r="N2453" i="1"/>
  <c r="N2455" i="1"/>
  <c r="N2456" i="1"/>
  <c r="N2457" i="1"/>
  <c r="N2458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7" i="1"/>
  <c r="N2488" i="1"/>
  <c r="N2489" i="1"/>
  <c r="N2490" i="1"/>
  <c r="N2493" i="1"/>
  <c r="N2495" i="1"/>
  <c r="N2499" i="1"/>
  <c r="N2500" i="1"/>
  <c r="N2502" i="1"/>
  <c r="N2503" i="1"/>
  <c r="N2504" i="1"/>
  <c r="N2506" i="1"/>
  <c r="N2507" i="1"/>
  <c r="N2508" i="1"/>
  <c r="N2509" i="1"/>
  <c r="N2512" i="1"/>
  <c r="N2513" i="1"/>
  <c r="N2515" i="1"/>
  <c r="N2516" i="1"/>
  <c r="N2518" i="1"/>
  <c r="N2520" i="1"/>
  <c r="N2521" i="1"/>
  <c r="N2522" i="1"/>
  <c r="N2523" i="1"/>
  <c r="N2524" i="1"/>
  <c r="N2525" i="1"/>
  <c r="N2527" i="1"/>
  <c r="N2528" i="1"/>
  <c r="N2531" i="1"/>
  <c r="N2532" i="1"/>
  <c r="N2533" i="1"/>
  <c r="N2534" i="1"/>
  <c r="N2535" i="1"/>
  <c r="N2537" i="1"/>
  <c r="N2538" i="1"/>
  <c r="N2539" i="1"/>
  <c r="N2541" i="1"/>
  <c r="N2542" i="1"/>
  <c r="N2545" i="1"/>
  <c r="N2547" i="1"/>
  <c r="N2548" i="1"/>
  <c r="N2549" i="1"/>
  <c r="N2550" i="1"/>
  <c r="N2551" i="1"/>
  <c r="N2552" i="1"/>
  <c r="N2553" i="1"/>
  <c r="N2554" i="1"/>
  <c r="N2555" i="1"/>
  <c r="N2556" i="1"/>
  <c r="N2557" i="1"/>
  <c r="N2559" i="1"/>
  <c r="N2561" i="1"/>
  <c r="N2563" i="1"/>
  <c r="N2564" i="1"/>
  <c r="N2565" i="1"/>
  <c r="N2567" i="1"/>
  <c r="N2568" i="1"/>
  <c r="N2570" i="1"/>
  <c r="N2571" i="1"/>
  <c r="N2572" i="1"/>
  <c r="N2573" i="1"/>
  <c r="N2576" i="1"/>
  <c r="N2577" i="1"/>
  <c r="N2578" i="1"/>
  <c r="N2579" i="1"/>
  <c r="N2580" i="1"/>
  <c r="N2581" i="1"/>
  <c r="N2583" i="1"/>
  <c r="N2584" i="1"/>
  <c r="N2585" i="1"/>
  <c r="N2586" i="1"/>
  <c r="N2591" i="1"/>
  <c r="N2592" i="1"/>
  <c r="N2593" i="1"/>
  <c r="N2594" i="1"/>
  <c r="N2596" i="1"/>
  <c r="N2597" i="1"/>
  <c r="N2598" i="1"/>
  <c r="N2599" i="1"/>
  <c r="N2600" i="1"/>
  <c r="N2601" i="1"/>
  <c r="N2602" i="1"/>
  <c r="N2603" i="1"/>
  <c r="N2605" i="1"/>
  <c r="N2607" i="1"/>
  <c r="N2608" i="1"/>
  <c r="N2609" i="1"/>
  <c r="N2611" i="1"/>
  <c r="N2612" i="1"/>
  <c r="N2614" i="1"/>
  <c r="N2616" i="1"/>
  <c r="N2617" i="1"/>
  <c r="N2618" i="1"/>
  <c r="N2620" i="1"/>
  <c r="N2623" i="1"/>
  <c r="N2624" i="1"/>
  <c r="N2625" i="1"/>
  <c r="N2626" i="1"/>
  <c r="N2628" i="1"/>
  <c r="N2629" i="1"/>
  <c r="N2630" i="1"/>
  <c r="N2632" i="1"/>
  <c r="N2633" i="1"/>
  <c r="N2634" i="1"/>
  <c r="N2635" i="1"/>
  <c r="N2637" i="1"/>
  <c r="N2638" i="1"/>
  <c r="N2641" i="1"/>
  <c r="N2642" i="1"/>
  <c r="N2643" i="1"/>
  <c r="N2644" i="1"/>
  <c r="N2645" i="1"/>
  <c r="N2646" i="1"/>
  <c r="N2647" i="1"/>
  <c r="N2649" i="1"/>
  <c r="N2650" i="1"/>
  <c r="N2652" i="1"/>
  <c r="N2653" i="1"/>
  <c r="N2654" i="1"/>
  <c r="N2655" i="1"/>
  <c r="N2658" i="1"/>
  <c r="N2659" i="1"/>
  <c r="N2660" i="1"/>
  <c r="N2661" i="1"/>
  <c r="N2662" i="1"/>
  <c r="N2663" i="1"/>
  <c r="N2664" i="1"/>
  <c r="N2665" i="1"/>
  <c r="N2666" i="1"/>
  <c r="N2667" i="1"/>
  <c r="N2669" i="1"/>
  <c r="N2670" i="1"/>
  <c r="N2672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90" i="1"/>
  <c r="N2692" i="1"/>
  <c r="N2693" i="1"/>
  <c r="N2695" i="1"/>
  <c r="N2697" i="1"/>
  <c r="N2698" i="1"/>
  <c r="N2701" i="1"/>
  <c r="N2702" i="1"/>
  <c r="N2704" i="1"/>
  <c r="N2705" i="1"/>
  <c r="N2706" i="1"/>
  <c r="N2707" i="1"/>
  <c r="N2708" i="1"/>
  <c r="N2709" i="1"/>
  <c r="N2710" i="1"/>
  <c r="N2711" i="1"/>
  <c r="N2712" i="1"/>
  <c r="N2714" i="1"/>
  <c r="N2715" i="1"/>
  <c r="N2716" i="1"/>
  <c r="N2717" i="1"/>
  <c r="N2719" i="1"/>
  <c r="N2720" i="1"/>
  <c r="N2721" i="1"/>
  <c r="N2722" i="1"/>
  <c r="N2723" i="1"/>
  <c r="N2725" i="1"/>
  <c r="N2726" i="1"/>
  <c r="N2727" i="1"/>
  <c r="N2728" i="1"/>
  <c r="N2729" i="1"/>
  <c r="N2730" i="1"/>
  <c r="N2734" i="1"/>
  <c r="N2737" i="1"/>
  <c r="N2738" i="1"/>
  <c r="N2739" i="1"/>
  <c r="N2740" i="1"/>
  <c r="N2741" i="1"/>
  <c r="N2743" i="1"/>
  <c r="N2744" i="1"/>
  <c r="N2746" i="1"/>
  <c r="N2747" i="1"/>
  <c r="N2748" i="1"/>
  <c r="N2750" i="1"/>
  <c r="N2751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6" i="1"/>
  <c r="N2768" i="1"/>
  <c r="N2769" i="1"/>
  <c r="N2770" i="1"/>
  <c r="N2774" i="1"/>
  <c r="N2775" i="1"/>
  <c r="N2776" i="1"/>
  <c r="N2777" i="1"/>
  <c r="N2778" i="1"/>
  <c r="N2779" i="1"/>
  <c r="N2781" i="1"/>
  <c r="N2782" i="1"/>
  <c r="N2783" i="1"/>
  <c r="N2784" i="1"/>
  <c r="N2786" i="1"/>
  <c r="N2788" i="1"/>
  <c r="N2789" i="1"/>
  <c r="N2790" i="1"/>
  <c r="N2791" i="1"/>
  <c r="N2792" i="1"/>
  <c r="N2793" i="1"/>
  <c r="N2794" i="1"/>
  <c r="N2795" i="1"/>
  <c r="N2796" i="1"/>
  <c r="N2797" i="1"/>
  <c r="N2799" i="1"/>
  <c r="N2801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3" i="1"/>
  <c r="N2836" i="1"/>
  <c r="N2838" i="1"/>
  <c r="N2841" i="1"/>
  <c r="N2842" i="1"/>
  <c r="N2844" i="1"/>
  <c r="N2845" i="1"/>
  <c r="N2846" i="1"/>
  <c r="N2847" i="1"/>
  <c r="N2848" i="1"/>
  <c r="N2849" i="1"/>
  <c r="N2852" i="1"/>
  <c r="N2853" i="1"/>
  <c r="N2854" i="1"/>
  <c r="N2855" i="1"/>
  <c r="N2857" i="1"/>
  <c r="N2858" i="1"/>
  <c r="N2859" i="1"/>
  <c r="N2860" i="1"/>
  <c r="N2861" i="1"/>
  <c r="N2862" i="1"/>
  <c r="N2863" i="1"/>
  <c r="N2864" i="1"/>
  <c r="N2865" i="1"/>
  <c r="N2867" i="1"/>
  <c r="N2869" i="1"/>
  <c r="N2871" i="1"/>
  <c r="N2872" i="1"/>
  <c r="N2874" i="1"/>
  <c r="N2875" i="1"/>
  <c r="N2876" i="1"/>
  <c r="N2877" i="1"/>
  <c r="N2878" i="1"/>
  <c r="N2879" i="1"/>
  <c r="N2880" i="1"/>
  <c r="N2882" i="1"/>
  <c r="N2883" i="1"/>
  <c r="N2884" i="1"/>
  <c r="N2885" i="1"/>
  <c r="N2886" i="1"/>
  <c r="N2888" i="1"/>
  <c r="N2889" i="1"/>
  <c r="N2890" i="1"/>
  <c r="N2891" i="1"/>
  <c r="N2892" i="1"/>
  <c r="N2893" i="1"/>
  <c r="N2894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3" i="1"/>
  <c r="N2914" i="1"/>
  <c r="N2915" i="1"/>
  <c r="N2917" i="1"/>
  <c r="N2918" i="1"/>
  <c r="N2919" i="1"/>
  <c r="N2920" i="1"/>
  <c r="N2922" i="1"/>
  <c r="N2923" i="1"/>
  <c r="N2924" i="1"/>
  <c r="N2926" i="1"/>
  <c r="N2927" i="1"/>
  <c r="N2929" i="1"/>
  <c r="N2930" i="1"/>
  <c r="N2931" i="1"/>
  <c r="N2932" i="1"/>
  <c r="N2934" i="1"/>
  <c r="N2935" i="1"/>
  <c r="N2936" i="1"/>
  <c r="N2937" i="1"/>
  <c r="N2938" i="1"/>
  <c r="N2940" i="1"/>
  <c r="N2941" i="1"/>
  <c r="N2942" i="1"/>
  <c r="N2943" i="1"/>
  <c r="N2945" i="1"/>
  <c r="N2946" i="1"/>
  <c r="N2947" i="1"/>
  <c r="N2948" i="1"/>
  <c r="N2949" i="1"/>
  <c r="N2950" i="1"/>
  <c r="N2952" i="1"/>
  <c r="N2953" i="1"/>
  <c r="N2955" i="1"/>
  <c r="N2956" i="1"/>
  <c r="N2958" i="1"/>
  <c r="N2961" i="1"/>
  <c r="N2962" i="1"/>
  <c r="N2963" i="1"/>
  <c r="N2964" i="1"/>
  <c r="N2965" i="1"/>
  <c r="N2966" i="1"/>
  <c r="N2968" i="1"/>
  <c r="N2969" i="1"/>
  <c r="N2971" i="1"/>
  <c r="N2972" i="1"/>
  <c r="N2973" i="1"/>
  <c r="N2975" i="1"/>
  <c r="N2976" i="1"/>
  <c r="N2977" i="1"/>
  <c r="N2979" i="1"/>
  <c r="N2980" i="1"/>
  <c r="N2982" i="1"/>
  <c r="N2986" i="1"/>
  <c r="N2987" i="1"/>
  <c r="N2988" i="1"/>
  <c r="N2990" i="1"/>
  <c r="N2991" i="1"/>
  <c r="N2992" i="1"/>
  <c r="N2993" i="1"/>
  <c r="N2996" i="1"/>
  <c r="N2997" i="1"/>
  <c r="N2998" i="1"/>
  <c r="N2999" i="1"/>
  <c r="N3002" i="1"/>
  <c r="N3003" i="1"/>
  <c r="N3004" i="1"/>
  <c r="N3005" i="1"/>
  <c r="N3006" i="1"/>
  <c r="N3007" i="1"/>
  <c r="N3010" i="1"/>
  <c r="N3012" i="1"/>
  <c r="N3013" i="1"/>
  <c r="N3014" i="1"/>
  <c r="N3015" i="1"/>
  <c r="N3016" i="1"/>
  <c r="N3017" i="1"/>
  <c r="N3018" i="1"/>
  <c r="N3021" i="1"/>
  <c r="N3024" i="1"/>
  <c r="N3025" i="1"/>
  <c r="N3026" i="1"/>
  <c r="N3027" i="1"/>
  <c r="N3028" i="1"/>
  <c r="N3030" i="1"/>
  <c r="N3031" i="1"/>
  <c r="N3032" i="1"/>
  <c r="N3033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52" i="1"/>
  <c r="N3054" i="1"/>
  <c r="N3055" i="1"/>
  <c r="N3056" i="1"/>
  <c r="N3058" i="1"/>
  <c r="N3059" i="1"/>
  <c r="N3060" i="1"/>
  <c r="N3062" i="1"/>
  <c r="N3064" i="1"/>
  <c r="N3065" i="1"/>
  <c r="N3066" i="1"/>
  <c r="N3068" i="1"/>
  <c r="N3071" i="1"/>
  <c r="N3072" i="1"/>
  <c r="N3073" i="1"/>
  <c r="N3074" i="1"/>
  <c r="N3075" i="1"/>
  <c r="N3076" i="1"/>
  <c r="N3077" i="1"/>
  <c r="N3078" i="1"/>
  <c r="N3080" i="1"/>
  <c r="N3081" i="1"/>
  <c r="N3082" i="1"/>
  <c r="N3084" i="1"/>
  <c r="N3085" i="1"/>
  <c r="N3086" i="1"/>
  <c r="N3087" i="1"/>
  <c r="N3089" i="1"/>
  <c r="N3091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8" i="1"/>
  <c r="N3109" i="1"/>
  <c r="N3110" i="1"/>
  <c r="N3111" i="1"/>
  <c r="N3112" i="1"/>
  <c r="N3113" i="1"/>
  <c r="N3114" i="1"/>
  <c r="N3115" i="1"/>
  <c r="N3118" i="1"/>
  <c r="N3120" i="1"/>
  <c r="N3121" i="1"/>
  <c r="N3124" i="1"/>
  <c r="N3125" i="1"/>
  <c r="N3126" i="1"/>
  <c r="N3127" i="1"/>
  <c r="N3128" i="1"/>
  <c r="N3129" i="1"/>
  <c r="N3130" i="1"/>
  <c r="N3131" i="1"/>
  <c r="N3132" i="1"/>
  <c r="N3133" i="1"/>
  <c r="N3134" i="1"/>
  <c r="N3136" i="1"/>
  <c r="N3138" i="1"/>
  <c r="N3139" i="1"/>
  <c r="N3140" i="1"/>
  <c r="N3141" i="1"/>
  <c r="N3144" i="1"/>
  <c r="N3145" i="1"/>
  <c r="N3147" i="1"/>
  <c r="N3151" i="1"/>
  <c r="N3152" i="1"/>
  <c r="N3153" i="1"/>
  <c r="N3155" i="1"/>
  <c r="N3159" i="1"/>
  <c r="N3160" i="1"/>
  <c r="N3161" i="1"/>
  <c r="N3162" i="1"/>
  <c r="N3163" i="1"/>
  <c r="N3164" i="1"/>
  <c r="N3165" i="1"/>
  <c r="N3166" i="1"/>
  <c r="N3169" i="1"/>
  <c r="N3170" i="1"/>
  <c r="N3171" i="1"/>
  <c r="N3172" i="1"/>
  <c r="N3173" i="1"/>
  <c r="N3175" i="1"/>
  <c r="N3177" i="1"/>
  <c r="N3178" i="1"/>
  <c r="N3179" i="1"/>
  <c r="N3180" i="1"/>
  <c r="N3181" i="1"/>
  <c r="N3182" i="1"/>
  <c r="N3183" i="1"/>
  <c r="N3184" i="1"/>
  <c r="N3185" i="1"/>
  <c r="N3186" i="1"/>
  <c r="N3187" i="1"/>
  <c r="N3189" i="1"/>
  <c r="N3190" i="1"/>
  <c r="N3192" i="1"/>
  <c r="N3194" i="1"/>
  <c r="N3195" i="1"/>
  <c r="N3196" i="1"/>
  <c r="N3198" i="1"/>
  <c r="N3199" i="1"/>
  <c r="N3200" i="1"/>
  <c r="N3202" i="1"/>
  <c r="N3205" i="1"/>
  <c r="N3206" i="1"/>
  <c r="N3209" i="1"/>
  <c r="N3211" i="1"/>
  <c r="N3212" i="1"/>
  <c r="N3213" i="1"/>
  <c r="N3215" i="1"/>
  <c r="N3216" i="1"/>
  <c r="N3220" i="1"/>
  <c r="N3221" i="1"/>
  <c r="N3222" i="1"/>
  <c r="N3223" i="1"/>
  <c r="N3225" i="1"/>
  <c r="N3226" i="1"/>
  <c r="N3227" i="1"/>
  <c r="N3230" i="1"/>
  <c r="N3231" i="1"/>
  <c r="N3232" i="1"/>
  <c r="N3234" i="1"/>
  <c r="N3235" i="1"/>
  <c r="N3236" i="1"/>
  <c r="N3237" i="1"/>
  <c r="N3238" i="1"/>
  <c r="N3239" i="1"/>
  <c r="N3241" i="1"/>
  <c r="N3242" i="1"/>
  <c r="N3243" i="1"/>
  <c r="N3244" i="1"/>
  <c r="N3245" i="1"/>
  <c r="N3246" i="1"/>
  <c r="N3247" i="1"/>
  <c r="N3248" i="1"/>
  <c r="N3249" i="1"/>
  <c r="N3251" i="1"/>
  <c r="N3254" i="1"/>
  <c r="N3255" i="1"/>
  <c r="N3256" i="1"/>
  <c r="N3258" i="1"/>
  <c r="N3259" i="1"/>
  <c r="N3260" i="1"/>
  <c r="N3262" i="1"/>
  <c r="N3264" i="1"/>
  <c r="N3265" i="1"/>
  <c r="N3266" i="1"/>
  <c r="N3267" i="1"/>
  <c r="N3268" i="1"/>
  <c r="N3269" i="1"/>
  <c r="N3270" i="1"/>
  <c r="N3272" i="1"/>
  <c r="N3273" i="1"/>
  <c r="N3274" i="1"/>
  <c r="N3275" i="1"/>
  <c r="N3276" i="1"/>
  <c r="N3279" i="1"/>
  <c r="N3280" i="1"/>
  <c r="N3281" i="1"/>
  <c r="N3282" i="1"/>
  <c r="N3284" i="1"/>
  <c r="N3285" i="1"/>
  <c r="N3287" i="1"/>
  <c r="N3293" i="1"/>
  <c r="N3294" i="1"/>
  <c r="N3296" i="1"/>
  <c r="N3297" i="1"/>
  <c r="N3298" i="1"/>
  <c r="N3299" i="1"/>
  <c r="N3300" i="1"/>
  <c r="N3302" i="1"/>
  <c r="N3303" i="1"/>
  <c r="N3304" i="1"/>
  <c r="N3306" i="1"/>
  <c r="N3309" i="1"/>
  <c r="N3310" i="1"/>
  <c r="N3312" i="1"/>
  <c r="N3313" i="1"/>
  <c r="N3314" i="1"/>
  <c r="N3316" i="1"/>
  <c r="N3317" i="1"/>
  <c r="N3319" i="1"/>
  <c r="N3320" i="1"/>
  <c r="N3321" i="1"/>
  <c r="N3322" i="1"/>
  <c r="N3323" i="1"/>
  <c r="N3325" i="1"/>
  <c r="N3326" i="1"/>
  <c r="N3327" i="1"/>
  <c r="N3328" i="1"/>
  <c r="N3329" i="1"/>
  <c r="N3330" i="1"/>
  <c r="N3331" i="1"/>
  <c r="N3334" i="1"/>
  <c r="N3335" i="1"/>
  <c r="N3336" i="1"/>
  <c r="N3338" i="1"/>
  <c r="N3341" i="1"/>
  <c r="N3343" i="1"/>
  <c r="N3344" i="1"/>
  <c r="N3345" i="1"/>
  <c r="N3348" i="1"/>
  <c r="N3349" i="1"/>
  <c r="N3350" i="1"/>
  <c r="N3352" i="1"/>
  <c r="N3353" i="1"/>
  <c r="N3354" i="1"/>
  <c r="N3355" i="1"/>
  <c r="N3356" i="1"/>
  <c r="N3358" i="1"/>
  <c r="N3360" i="1"/>
  <c r="N3361" i="1"/>
  <c r="N3362" i="1"/>
  <c r="N3363" i="1"/>
  <c r="N3365" i="1"/>
  <c r="N3366" i="1"/>
  <c r="N3367" i="1"/>
  <c r="N3368" i="1"/>
  <c r="N3370" i="1"/>
  <c r="N3371" i="1"/>
  <c r="N3373" i="1"/>
  <c r="N3375" i="1"/>
  <c r="N3376" i="1"/>
  <c r="N3380" i="1"/>
  <c r="N3382" i="1"/>
  <c r="N3383" i="1"/>
  <c r="N3384" i="1"/>
  <c r="N3386" i="1"/>
  <c r="N3387" i="1"/>
  <c r="N3388" i="1"/>
  <c r="N3389" i="1"/>
  <c r="N3390" i="1"/>
  <c r="N3391" i="1"/>
  <c r="N3392" i="1"/>
  <c r="N3393" i="1"/>
  <c r="N3394" i="1"/>
  <c r="N3395" i="1"/>
  <c r="N3396" i="1"/>
  <c r="N3398" i="1"/>
  <c r="N3399" i="1"/>
  <c r="N3400" i="1"/>
  <c r="N3401" i="1"/>
  <c r="N3403" i="1"/>
  <c r="N3405" i="1"/>
  <c r="N3406" i="1"/>
  <c r="N3407" i="1"/>
  <c r="N3408" i="1"/>
  <c r="N3409" i="1"/>
  <c r="N3410" i="1"/>
  <c r="N3411" i="1"/>
  <c r="N3413" i="1"/>
  <c r="N3414" i="1"/>
  <c r="N3415" i="1"/>
  <c r="N3416" i="1"/>
  <c r="N3419" i="1"/>
  <c r="N3420" i="1"/>
  <c r="N3421" i="1"/>
  <c r="N3422" i="1"/>
  <c r="N3424" i="1"/>
  <c r="N3425" i="1"/>
  <c r="N3426" i="1"/>
  <c r="N3427" i="1"/>
  <c r="N3428" i="1"/>
  <c r="N3430" i="1"/>
  <c r="N3431" i="1"/>
  <c r="N3432" i="1"/>
  <c r="N3433" i="1"/>
  <c r="N3434" i="1"/>
  <c r="N3436" i="1"/>
  <c r="N3437" i="1"/>
  <c r="N3438" i="1"/>
  <c r="N3439" i="1"/>
  <c r="N3440" i="1"/>
  <c r="N3441" i="1"/>
  <c r="N3442" i="1"/>
  <c r="N3443" i="1"/>
  <c r="N3444" i="1"/>
  <c r="N3445" i="1"/>
  <c r="N3446" i="1"/>
  <c r="N3448" i="1"/>
  <c r="N3449" i="1"/>
  <c r="N3450" i="1"/>
  <c r="N3451" i="1"/>
  <c r="N3453" i="1"/>
  <c r="N3454" i="1"/>
  <c r="N3455" i="1"/>
  <c r="N3458" i="1"/>
  <c r="N3459" i="1"/>
  <c r="N3460" i="1"/>
  <c r="N3461" i="1"/>
  <c r="N3464" i="1"/>
  <c r="N3465" i="1"/>
  <c r="N3467" i="1"/>
  <c r="N3468" i="1"/>
  <c r="N3472" i="1"/>
  <c r="N3473" i="1"/>
  <c r="N3475" i="1"/>
  <c r="N3477" i="1"/>
  <c r="N3479" i="1"/>
  <c r="N3480" i="1"/>
  <c r="N3481" i="1"/>
  <c r="N3483" i="1"/>
  <c r="N3484" i="1"/>
  <c r="N3487" i="1"/>
  <c r="N3488" i="1"/>
  <c r="N3489" i="1"/>
  <c r="N3491" i="1"/>
  <c r="N3492" i="1"/>
  <c r="N3494" i="1"/>
  <c r="N3496" i="1"/>
  <c r="N3497" i="1"/>
  <c r="N3498" i="1"/>
  <c r="N3501" i="1"/>
  <c r="N3502" i="1"/>
  <c r="N3503" i="1"/>
  <c r="N3504" i="1"/>
  <c r="N3505" i="1"/>
  <c r="N3507" i="1"/>
  <c r="N3508" i="1"/>
  <c r="N3509" i="1"/>
  <c r="N3510" i="1"/>
  <c r="N3512" i="1"/>
  <c r="N3515" i="1"/>
  <c r="N3516" i="1"/>
  <c r="N3517" i="1"/>
  <c r="N3518" i="1"/>
  <c r="N3519" i="1"/>
  <c r="N3520" i="1"/>
  <c r="N3521" i="1"/>
  <c r="N3525" i="1"/>
  <c r="N3526" i="1"/>
  <c r="N3529" i="1"/>
  <c r="N3530" i="1"/>
  <c r="N3531" i="1"/>
  <c r="N3532" i="1"/>
  <c r="N3533" i="1"/>
  <c r="N3534" i="1"/>
  <c r="N3537" i="1"/>
  <c r="N3538" i="1"/>
  <c r="N3540" i="1"/>
  <c r="N3541" i="1"/>
  <c r="N3542" i="1"/>
  <c r="N3543" i="1"/>
  <c r="N3544" i="1"/>
  <c r="N3545" i="1"/>
  <c r="N3546" i="1"/>
  <c r="N3547" i="1"/>
  <c r="N3548" i="1"/>
  <c r="N3549" i="1"/>
  <c r="N3550" i="1"/>
  <c r="N3552" i="1"/>
  <c r="N3553" i="1"/>
  <c r="N3554" i="1"/>
  <c r="N3555" i="1"/>
  <c r="N3556" i="1"/>
  <c r="N3557" i="1"/>
  <c r="N3558" i="1"/>
  <c r="N3559" i="1"/>
  <c r="N3560" i="1"/>
  <c r="N3561" i="1"/>
  <c r="N3563" i="1"/>
  <c r="N3564" i="1"/>
  <c r="N3565" i="1"/>
  <c r="N3566" i="1"/>
  <c r="N3567" i="1"/>
  <c r="N3568" i="1"/>
  <c r="N3570" i="1"/>
  <c r="N3571" i="1"/>
  <c r="N3572" i="1"/>
  <c r="N3573" i="1"/>
  <c r="N3574" i="1"/>
  <c r="N3575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3" i="1"/>
  <c r="N3594" i="1"/>
  <c r="N3595" i="1"/>
  <c r="N3596" i="1"/>
  <c r="N3597" i="1"/>
  <c r="N3598" i="1"/>
  <c r="N3599" i="1"/>
  <c r="N3600" i="1"/>
  <c r="N3601" i="1"/>
  <c r="N3602" i="1"/>
  <c r="N3603" i="1"/>
  <c r="N3605" i="1"/>
  <c r="N3607" i="1"/>
  <c r="N3610" i="1"/>
  <c r="N3611" i="1"/>
  <c r="N3612" i="1"/>
  <c r="N3613" i="1"/>
  <c r="N3617" i="1"/>
  <c r="N3618" i="1"/>
  <c r="N3619" i="1"/>
  <c r="N3620" i="1"/>
  <c r="N3622" i="1"/>
  <c r="N3623" i="1"/>
  <c r="N3624" i="1"/>
  <c r="N3625" i="1"/>
  <c r="N3626" i="1"/>
  <c r="N3627" i="1"/>
  <c r="N3629" i="1"/>
  <c r="N3630" i="1"/>
  <c r="N3631" i="1"/>
  <c r="N3632" i="1"/>
  <c r="N3633" i="1"/>
  <c r="N3635" i="1"/>
  <c r="N3636" i="1"/>
  <c r="N3637" i="1"/>
  <c r="N3638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60" i="1"/>
  <c r="N3661" i="1"/>
  <c r="N3662" i="1"/>
  <c r="N3663" i="1"/>
  <c r="N3664" i="1"/>
  <c r="N3665" i="1"/>
  <c r="N3666" i="1"/>
  <c r="N3668" i="1"/>
  <c r="N3669" i="1"/>
  <c r="N3671" i="1"/>
  <c r="N3672" i="1"/>
  <c r="N3673" i="1"/>
  <c r="N3674" i="1"/>
  <c r="N3676" i="1"/>
  <c r="N3677" i="1"/>
  <c r="N3678" i="1"/>
  <c r="N3679" i="1"/>
  <c r="N3680" i="1"/>
  <c r="N3681" i="1"/>
  <c r="N3682" i="1"/>
  <c r="N3685" i="1"/>
  <c r="N3686" i="1"/>
  <c r="N3687" i="1"/>
  <c r="N3688" i="1"/>
  <c r="N3689" i="1"/>
  <c r="N3690" i="1"/>
  <c r="N3692" i="1"/>
  <c r="N3693" i="1"/>
  <c r="N3694" i="1"/>
  <c r="N3695" i="1"/>
  <c r="N3697" i="1"/>
  <c r="N3698" i="1"/>
  <c r="N3699" i="1"/>
  <c r="N3700" i="1"/>
  <c r="N3701" i="1"/>
  <c r="N3703" i="1"/>
  <c r="N3704" i="1"/>
  <c r="N3705" i="1"/>
  <c r="N3706" i="1"/>
  <c r="N3707" i="1"/>
  <c r="N3708" i="1"/>
  <c r="N3709" i="1"/>
  <c r="N3710" i="1"/>
  <c r="N3711" i="1"/>
  <c r="N3712" i="1"/>
  <c r="N3713" i="1"/>
  <c r="N3715" i="1"/>
  <c r="N3718" i="1"/>
  <c r="N3720" i="1"/>
  <c r="N3722" i="1"/>
  <c r="N3724" i="1"/>
  <c r="N3725" i="1"/>
  <c r="N3726" i="1"/>
  <c r="N3727" i="1"/>
  <c r="N3729" i="1"/>
  <c r="N3730" i="1"/>
  <c r="N3732" i="1"/>
  <c r="N3735" i="1"/>
  <c r="N3737" i="1"/>
  <c r="N3738" i="1"/>
  <c r="N3739" i="1"/>
  <c r="N3740" i="1"/>
  <c r="N3741" i="1"/>
  <c r="N3742" i="1"/>
  <c r="N3743" i="1"/>
  <c r="N3745" i="1"/>
  <c r="N3746" i="1"/>
  <c r="N3747" i="1"/>
  <c r="N3748" i="1"/>
  <c r="N3749" i="1"/>
  <c r="N3750" i="1"/>
  <c r="N3751" i="1"/>
  <c r="N3753" i="1"/>
  <c r="N3754" i="1"/>
  <c r="N3755" i="1"/>
  <c r="N3759" i="1"/>
  <c r="N3761" i="1"/>
  <c r="N3762" i="1"/>
  <c r="N3763" i="1"/>
  <c r="N3765" i="1"/>
  <c r="N3766" i="1"/>
  <c r="N3767" i="1"/>
  <c r="N3768" i="1"/>
  <c r="N3769" i="1"/>
  <c r="N3770" i="1"/>
  <c r="N3771" i="1"/>
  <c r="N3772" i="1"/>
  <c r="N3773" i="1"/>
  <c r="N3774" i="1"/>
  <c r="N3775" i="1"/>
  <c r="N3777" i="1"/>
  <c r="N3780" i="1"/>
  <c r="N3782" i="1"/>
  <c r="N3783" i="1"/>
  <c r="N3784" i="1"/>
  <c r="N3785" i="1"/>
  <c r="N3786" i="1"/>
  <c r="N3788" i="1"/>
  <c r="N3789" i="1"/>
  <c r="N3791" i="1"/>
  <c r="N3792" i="1"/>
  <c r="N3794" i="1"/>
  <c r="N3795" i="1"/>
  <c r="N3796" i="1"/>
  <c r="N3797" i="1"/>
  <c r="N3798" i="1"/>
  <c r="N3799" i="1"/>
  <c r="N3800" i="1"/>
  <c r="N3801" i="1"/>
  <c r="N3804" i="1"/>
  <c r="N3805" i="1"/>
  <c r="N3806" i="1"/>
  <c r="N3808" i="1"/>
  <c r="N3809" i="1"/>
  <c r="N3810" i="1"/>
  <c r="N3812" i="1"/>
  <c r="N3813" i="1"/>
  <c r="N3814" i="1"/>
  <c r="N3815" i="1"/>
  <c r="N3816" i="1"/>
  <c r="N3817" i="1"/>
  <c r="N3818" i="1"/>
  <c r="N3821" i="1"/>
  <c r="N3822" i="1"/>
  <c r="N3823" i="1"/>
  <c r="N3824" i="1"/>
  <c r="N3825" i="1"/>
  <c r="N3826" i="1"/>
  <c r="N3827" i="1"/>
  <c r="N3829" i="1"/>
  <c r="N3830" i="1"/>
  <c r="N3831" i="1"/>
  <c r="N3832" i="1"/>
  <c r="N3833" i="1"/>
  <c r="N3835" i="1"/>
  <c r="N3836" i="1"/>
  <c r="N3837" i="1"/>
  <c r="N3838" i="1"/>
  <c r="N3839" i="1"/>
  <c r="N3840" i="1"/>
  <c r="N3844" i="1"/>
  <c r="N3845" i="1"/>
  <c r="N3846" i="1"/>
  <c r="N3847" i="1"/>
  <c r="N3848" i="1"/>
  <c r="N3850" i="1"/>
  <c r="N3852" i="1"/>
  <c r="N3853" i="1"/>
  <c r="N3855" i="1"/>
  <c r="N3856" i="1"/>
  <c r="N3858" i="1"/>
  <c r="N3859" i="1"/>
  <c r="N3860" i="1"/>
  <c r="N3861" i="1"/>
  <c r="N3862" i="1"/>
  <c r="N3863" i="1"/>
  <c r="N3864" i="1"/>
  <c r="N3866" i="1"/>
  <c r="N3867" i="1"/>
  <c r="N3868" i="1"/>
  <c r="N3870" i="1"/>
  <c r="N3871" i="1"/>
  <c r="N3872" i="1"/>
  <c r="N3873" i="1"/>
  <c r="N3875" i="1"/>
  <c r="N3876" i="1"/>
  <c r="N3877" i="1"/>
  <c r="N3879" i="1"/>
  <c r="N3880" i="1"/>
  <c r="N3881" i="1"/>
  <c r="N3882" i="1"/>
  <c r="N3883" i="1"/>
  <c r="N3885" i="1"/>
  <c r="N3886" i="1"/>
  <c r="N3888" i="1"/>
  <c r="N3889" i="1"/>
  <c r="N3891" i="1"/>
  <c r="N3894" i="1"/>
  <c r="N3895" i="1"/>
  <c r="N3896" i="1"/>
  <c r="N3897" i="1"/>
  <c r="N3898" i="1"/>
  <c r="N3899" i="1"/>
  <c r="N3900" i="1"/>
  <c r="N3901" i="1"/>
  <c r="N3902" i="1"/>
  <c r="N3904" i="1"/>
  <c r="N3908" i="1"/>
  <c r="N3909" i="1"/>
  <c r="N3910" i="1"/>
  <c r="N3912" i="1"/>
  <c r="N3913" i="1"/>
  <c r="N3915" i="1"/>
  <c r="N3916" i="1"/>
  <c r="N3917" i="1"/>
  <c r="N3920" i="1"/>
  <c r="N3921" i="1"/>
  <c r="N3922" i="1"/>
  <c r="N3923" i="1"/>
  <c r="N3925" i="1"/>
  <c r="N3926" i="1"/>
  <c r="N3927" i="1"/>
  <c r="N3928" i="1"/>
  <c r="N3930" i="1"/>
  <c r="N3932" i="1"/>
  <c r="N3933" i="1"/>
  <c r="N3934" i="1"/>
  <c r="N3935" i="1"/>
  <c r="N3936" i="1"/>
  <c r="N3939" i="1"/>
  <c r="N3942" i="1"/>
  <c r="N3943" i="1"/>
  <c r="N3944" i="1"/>
  <c r="N3945" i="1"/>
  <c r="N3946" i="1"/>
  <c r="N3947" i="1"/>
  <c r="N3948" i="1"/>
  <c r="N3950" i="1"/>
  <c r="N3954" i="1"/>
  <c r="N3955" i="1"/>
  <c r="N3957" i="1"/>
  <c r="N3958" i="1"/>
  <c r="N3959" i="1"/>
  <c r="N3960" i="1"/>
  <c r="N3961" i="1"/>
  <c r="N3963" i="1"/>
  <c r="N3964" i="1"/>
  <c r="N3966" i="1"/>
  <c r="N3967" i="1"/>
  <c r="N3968" i="1"/>
  <c r="N3971" i="1"/>
  <c r="N3972" i="1"/>
  <c r="N3974" i="1"/>
  <c r="N3975" i="1"/>
  <c r="N3978" i="1"/>
  <c r="N3979" i="1"/>
  <c r="N3980" i="1"/>
  <c r="N3981" i="1"/>
  <c r="N3982" i="1"/>
  <c r="N3983" i="1"/>
  <c r="N3984" i="1"/>
  <c r="N3986" i="1"/>
  <c r="N3987" i="1"/>
  <c r="N3990" i="1"/>
  <c r="N3992" i="1"/>
  <c r="N3993" i="1"/>
  <c r="N3994" i="1"/>
  <c r="N3995" i="1"/>
  <c r="N3996" i="1"/>
  <c r="N4000" i="1"/>
  <c r="N4001" i="1"/>
  <c r="N4002" i="1"/>
  <c r="N4003" i="1"/>
  <c r="N4004" i="1"/>
  <c r="N4007" i="1"/>
  <c r="N4009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8" i="1"/>
  <c r="N4029" i="1"/>
  <c r="N4030" i="1"/>
  <c r="N4031" i="1"/>
  <c r="N4032" i="1"/>
  <c r="N4033" i="1"/>
  <c r="N4035" i="1"/>
  <c r="N4038" i="1"/>
  <c r="N4039" i="1"/>
  <c r="N4040" i="1"/>
  <c r="N4043" i="1"/>
  <c r="N4044" i="1"/>
  <c r="N4045" i="1"/>
  <c r="N4046" i="1"/>
  <c r="N4047" i="1"/>
  <c r="N4048" i="1"/>
  <c r="N4049" i="1"/>
  <c r="N4050" i="1"/>
  <c r="N4051" i="1"/>
  <c r="N4052" i="1"/>
  <c r="N4055" i="1"/>
  <c r="N4056" i="1"/>
  <c r="N4057" i="1"/>
  <c r="N4058" i="1"/>
  <c r="N4059" i="1"/>
  <c r="N4060" i="1"/>
  <c r="N4062" i="1"/>
  <c r="N4066" i="1"/>
  <c r="N4067" i="1"/>
  <c r="N4069" i="1"/>
  <c r="N4073" i="1"/>
  <c r="N4075" i="1"/>
  <c r="N4076" i="1"/>
  <c r="N4077" i="1"/>
  <c r="N4078" i="1"/>
  <c r="N4079" i="1"/>
  <c r="N4080" i="1"/>
  <c r="N4081" i="1"/>
  <c r="N4083" i="1"/>
  <c r="N4084" i="1"/>
  <c r="N4087" i="1"/>
  <c r="N4088" i="1"/>
  <c r="N4089" i="1"/>
  <c r="N4090" i="1"/>
  <c r="N4091" i="1"/>
  <c r="N4092" i="1"/>
  <c r="N4093" i="1"/>
  <c r="N4094" i="1"/>
  <c r="N4095" i="1"/>
  <c r="N4099" i="1"/>
  <c r="N4100" i="1"/>
  <c r="N4101" i="1"/>
  <c r="N4102" i="1"/>
  <c r="N4103" i="1"/>
  <c r="N4105" i="1"/>
  <c r="N4106" i="1"/>
  <c r="N4107" i="1"/>
  <c r="N4108" i="1"/>
  <c r="N4109" i="1"/>
  <c r="N4110" i="1"/>
  <c r="N4111" i="1"/>
  <c r="N4112" i="1"/>
  <c r="N4113" i="1"/>
  <c r="N4114" i="1"/>
  <c r="N4115" i="1"/>
  <c r="N4118" i="1"/>
  <c r="N4120" i="1"/>
  <c r="N4121" i="1"/>
  <c r="N4122" i="1"/>
  <c r="N4123" i="1"/>
  <c r="N4125" i="1"/>
  <c r="N4126" i="1"/>
  <c r="N4127" i="1"/>
  <c r="N4128" i="1"/>
  <c r="N4129" i="1"/>
  <c r="N4130" i="1"/>
  <c r="N4131" i="1"/>
  <c r="N4133" i="1"/>
  <c r="N4134" i="1"/>
  <c r="N4135" i="1"/>
  <c r="N4136" i="1"/>
  <c r="N4137" i="1"/>
  <c r="N4139" i="1"/>
  <c r="N4140" i="1"/>
  <c r="N4141" i="1"/>
  <c r="N4143" i="1"/>
  <c r="N4144" i="1"/>
  <c r="N4146" i="1"/>
  <c r="N4147" i="1"/>
  <c r="N4148" i="1"/>
  <c r="N4149" i="1"/>
  <c r="N4150" i="1"/>
  <c r="N4151" i="1"/>
  <c r="N4152" i="1"/>
  <c r="N4153" i="1"/>
  <c r="N4154" i="1"/>
  <c r="N4155" i="1"/>
  <c r="N4156" i="1"/>
  <c r="N4158" i="1"/>
  <c r="N4160" i="1"/>
  <c r="N4161" i="1"/>
  <c r="N4162" i="1"/>
  <c r="N4163" i="1"/>
  <c r="N4165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80" i="1"/>
  <c r="N4181" i="1"/>
  <c r="N4182" i="1"/>
  <c r="N4183" i="1"/>
  <c r="N4185" i="1"/>
  <c r="N4187" i="1"/>
  <c r="N4189" i="1"/>
  <c r="N4191" i="1"/>
  <c r="N4193" i="1"/>
  <c r="N4194" i="1"/>
  <c r="N4197" i="1"/>
  <c r="N4199" i="1"/>
  <c r="N4203" i="1"/>
  <c r="N4204" i="1"/>
  <c r="N4206" i="1"/>
  <c r="N4207" i="1"/>
  <c r="N4208" i="1"/>
  <c r="N4209" i="1"/>
  <c r="N4213" i="1"/>
  <c r="N4214" i="1"/>
  <c r="N4215" i="1"/>
  <c r="N4216" i="1"/>
  <c r="N4217" i="1"/>
  <c r="N4218" i="1"/>
  <c r="N4220" i="1"/>
  <c r="N4222" i="1"/>
  <c r="N4223" i="1"/>
  <c r="N4225" i="1"/>
  <c r="N4226" i="1"/>
  <c r="N4227" i="1"/>
  <c r="N4228" i="1"/>
  <c r="N4231" i="1"/>
  <c r="N4232" i="1"/>
  <c r="N4233" i="1"/>
  <c r="N4236" i="1"/>
  <c r="N4238" i="1"/>
  <c r="N4240" i="1"/>
  <c r="N4243" i="1"/>
  <c r="N4244" i="1"/>
  <c r="N4245" i="1"/>
  <c r="N4246" i="1"/>
  <c r="N4247" i="1"/>
  <c r="N4248" i="1"/>
  <c r="N4249" i="1"/>
  <c r="N4251" i="1"/>
  <c r="N4252" i="1"/>
  <c r="N4253" i="1"/>
  <c r="N4254" i="1"/>
  <c r="N4255" i="1"/>
  <c r="N4256" i="1"/>
  <c r="N4257" i="1"/>
  <c r="N4260" i="1"/>
  <c r="N4262" i="1"/>
  <c r="N4265" i="1"/>
  <c r="N4266" i="1"/>
  <c r="N4267" i="1"/>
  <c r="N4269" i="1"/>
  <c r="N4270" i="1"/>
  <c r="N4271" i="1"/>
  <c r="N4272" i="1"/>
  <c r="N4273" i="1"/>
  <c r="N4274" i="1"/>
  <c r="N4276" i="1"/>
  <c r="N4277" i="1"/>
  <c r="N4279" i="1"/>
  <c r="N4280" i="1"/>
  <c r="N4281" i="1"/>
  <c r="N4282" i="1"/>
  <c r="N4284" i="1"/>
  <c r="N4285" i="1"/>
  <c r="N4286" i="1"/>
  <c r="N4287" i="1"/>
  <c r="N4289" i="1"/>
  <c r="N4291" i="1"/>
  <c r="N4292" i="1"/>
  <c r="N4293" i="1"/>
  <c r="N4294" i="1"/>
  <c r="N4295" i="1"/>
  <c r="N4296" i="1"/>
  <c r="N4297" i="1"/>
  <c r="N4298" i="1"/>
  <c r="N4299" i="1"/>
  <c r="N4301" i="1"/>
  <c r="N4302" i="1"/>
  <c r="N4303" i="1"/>
  <c r="N4304" i="1"/>
  <c r="N4305" i="1"/>
  <c r="N4306" i="1"/>
  <c r="N4307" i="1"/>
  <c r="N4308" i="1"/>
  <c r="N4309" i="1"/>
  <c r="N4312" i="1"/>
  <c r="N4313" i="1"/>
  <c r="N4314" i="1"/>
  <c r="N4315" i="1"/>
  <c r="N4316" i="1"/>
  <c r="N4317" i="1"/>
  <c r="N4318" i="1"/>
  <c r="N4319" i="1"/>
  <c r="N4320" i="1"/>
  <c r="N4322" i="1"/>
  <c r="N4323" i="1"/>
  <c r="N4325" i="1"/>
  <c r="N4326" i="1"/>
  <c r="N4327" i="1"/>
  <c r="N4330" i="1"/>
  <c r="N4331" i="1"/>
  <c r="N4332" i="1"/>
  <c r="N4333" i="1"/>
  <c r="N4334" i="1"/>
  <c r="N4335" i="1"/>
  <c r="N4338" i="1"/>
  <c r="N4339" i="1"/>
  <c r="N4340" i="1"/>
  <c r="N4341" i="1"/>
  <c r="N4342" i="1"/>
  <c r="N4343" i="1"/>
  <c r="N4344" i="1"/>
  <c r="N4346" i="1"/>
  <c r="N4347" i="1"/>
  <c r="N4348" i="1"/>
  <c r="N4349" i="1"/>
  <c r="N4351" i="1"/>
  <c r="N4352" i="1"/>
  <c r="N4354" i="1"/>
  <c r="N4355" i="1"/>
  <c r="N4356" i="1"/>
  <c r="N4357" i="1"/>
  <c r="N4358" i="1"/>
  <c r="N4359" i="1"/>
  <c r="N4360" i="1"/>
  <c r="N4361" i="1"/>
  <c r="N4362" i="1"/>
  <c r="N4363" i="1"/>
  <c r="N4365" i="1"/>
  <c r="N4366" i="1"/>
  <c r="N4367" i="1"/>
  <c r="N4368" i="1"/>
  <c r="N4369" i="1"/>
  <c r="N4370" i="1"/>
  <c r="N4371" i="1"/>
  <c r="N4373" i="1"/>
  <c r="N4375" i="1"/>
  <c r="N4376" i="1"/>
  <c r="N4378" i="1"/>
  <c r="N4379" i="1"/>
  <c r="N4380" i="1"/>
  <c r="N4382" i="1"/>
  <c r="N4384" i="1"/>
  <c r="N4387" i="1"/>
  <c r="N4388" i="1"/>
  <c r="N4389" i="1"/>
  <c r="N4391" i="1"/>
  <c r="N4392" i="1"/>
  <c r="N4393" i="1"/>
  <c r="N4394" i="1"/>
  <c r="N4395" i="1"/>
  <c r="N4396" i="1"/>
  <c r="N4399" i="1"/>
  <c r="N4400" i="1"/>
  <c r="N4401" i="1"/>
  <c r="N4402" i="1"/>
  <c r="N4403" i="1"/>
  <c r="N4404" i="1"/>
  <c r="N4405" i="1"/>
  <c r="N4406" i="1"/>
  <c r="N4407" i="1"/>
  <c r="N4408" i="1"/>
  <c r="N4410" i="1"/>
  <c r="N4411" i="1"/>
  <c r="N4414" i="1"/>
  <c r="N4416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2" i="1"/>
  <c r="N4433" i="1"/>
  <c r="N4434" i="1"/>
  <c r="N4435" i="1"/>
  <c r="N4436" i="1"/>
  <c r="N4437" i="1"/>
  <c r="N4438" i="1"/>
  <c r="N4439" i="1"/>
  <c r="N4440" i="1"/>
  <c r="N4441" i="1"/>
  <c r="N4443" i="1"/>
  <c r="N4444" i="1"/>
  <c r="N4445" i="1"/>
  <c r="N4446" i="1"/>
  <c r="N4449" i="1"/>
  <c r="N4450" i="1"/>
  <c r="N4453" i="1"/>
  <c r="N4454" i="1"/>
  <c r="N4456" i="1"/>
  <c r="N4457" i="1"/>
  <c r="N4458" i="1"/>
  <c r="N4459" i="1"/>
  <c r="N4460" i="1"/>
  <c r="N4462" i="1"/>
  <c r="N4463" i="1"/>
  <c r="N4464" i="1"/>
  <c r="N4465" i="1"/>
  <c r="N4468" i="1"/>
  <c r="N4469" i="1"/>
  <c r="N4470" i="1"/>
  <c r="N4471" i="1"/>
  <c r="N4474" i="1"/>
  <c r="N4475" i="1"/>
  <c r="N4476" i="1"/>
  <c r="N4477" i="1"/>
  <c r="N4478" i="1"/>
  <c r="N4479" i="1"/>
  <c r="N4480" i="1"/>
  <c r="N4481" i="1"/>
  <c r="N4482" i="1"/>
  <c r="N4484" i="1"/>
  <c r="N4485" i="1"/>
  <c r="N4487" i="1"/>
  <c r="N4488" i="1"/>
  <c r="N4489" i="1"/>
  <c r="N4490" i="1"/>
  <c r="N4491" i="1"/>
  <c r="N4493" i="1"/>
  <c r="N4494" i="1"/>
  <c r="N4496" i="1"/>
  <c r="N4498" i="1"/>
  <c r="N4499" i="1"/>
  <c r="N4500" i="1"/>
  <c r="N4501" i="1"/>
  <c r="N4502" i="1"/>
  <c r="N4503" i="1"/>
  <c r="N4504" i="1"/>
  <c r="N4505" i="1"/>
  <c r="N4506" i="1"/>
  <c r="N4507" i="1"/>
  <c r="N4509" i="1"/>
  <c r="N4510" i="1"/>
  <c r="N4511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7" i="1"/>
  <c r="N4528" i="1"/>
  <c r="N4529" i="1"/>
  <c r="N4530" i="1"/>
  <c r="N4531" i="1"/>
  <c r="N4533" i="1"/>
  <c r="N4534" i="1"/>
  <c r="N4535" i="1"/>
  <c r="N4536" i="1"/>
  <c r="N4538" i="1"/>
  <c r="N4539" i="1"/>
  <c r="N4540" i="1"/>
  <c r="N4541" i="1"/>
  <c r="N4542" i="1"/>
  <c r="N4544" i="1"/>
  <c r="N4545" i="1"/>
  <c r="N4546" i="1"/>
  <c r="N4547" i="1"/>
  <c r="N4548" i="1"/>
  <c r="N4549" i="1"/>
  <c r="N4550" i="1"/>
  <c r="N4551" i="1"/>
  <c r="N4553" i="1"/>
  <c r="N4554" i="1"/>
  <c r="N4555" i="1"/>
  <c r="N4556" i="1"/>
  <c r="N4557" i="1"/>
  <c r="N4558" i="1"/>
  <c r="N4560" i="1"/>
  <c r="N4561" i="1"/>
  <c r="N4563" i="1"/>
  <c r="N4564" i="1"/>
  <c r="N4565" i="1"/>
  <c r="N4566" i="1"/>
  <c r="N4568" i="1"/>
  <c r="N4571" i="1"/>
  <c r="N4572" i="1"/>
  <c r="N4575" i="1"/>
  <c r="N4579" i="1"/>
  <c r="N4580" i="1"/>
  <c r="N4581" i="1"/>
  <c r="N4582" i="1"/>
  <c r="N4583" i="1"/>
  <c r="N4585" i="1"/>
  <c r="N4586" i="1"/>
  <c r="N4587" i="1"/>
  <c r="N4588" i="1"/>
  <c r="N4589" i="1"/>
  <c r="N4590" i="1"/>
  <c r="N4592" i="1"/>
  <c r="N4593" i="1"/>
  <c r="N4595" i="1"/>
  <c r="N4596" i="1"/>
  <c r="N4597" i="1"/>
  <c r="N4598" i="1"/>
  <c r="N4600" i="1"/>
  <c r="N4602" i="1"/>
  <c r="N4605" i="1"/>
  <c r="N4606" i="1"/>
  <c r="N4607" i="1"/>
  <c r="N4609" i="1"/>
  <c r="N4612" i="1"/>
  <c r="N4614" i="1"/>
  <c r="N4615" i="1"/>
  <c r="N4616" i="1"/>
  <c r="N4618" i="1"/>
  <c r="N4619" i="1"/>
  <c r="N4620" i="1"/>
  <c r="N4622" i="1"/>
  <c r="N4623" i="1"/>
  <c r="N4624" i="1"/>
  <c r="N4625" i="1"/>
  <c r="N4626" i="1"/>
  <c r="N4628" i="1"/>
  <c r="N4630" i="1"/>
  <c r="N4631" i="1"/>
  <c r="N4632" i="1"/>
  <c r="N4633" i="1"/>
  <c r="N4634" i="1"/>
  <c r="N4635" i="1"/>
  <c r="N4637" i="1"/>
  <c r="N4638" i="1"/>
  <c r="N4639" i="1"/>
  <c r="N4640" i="1"/>
  <c r="N4642" i="1"/>
  <c r="N4643" i="1"/>
  <c r="N4644" i="1"/>
  <c r="N4646" i="1"/>
  <c r="N4647" i="1"/>
  <c r="N4648" i="1"/>
  <c r="N4649" i="1"/>
  <c r="N4650" i="1"/>
  <c r="N4651" i="1"/>
  <c r="N4652" i="1"/>
  <c r="N4653" i="1"/>
  <c r="N4655" i="1"/>
  <c r="N4656" i="1"/>
  <c r="N4658" i="1"/>
  <c r="N4660" i="1"/>
  <c r="N4661" i="1"/>
  <c r="N4662" i="1"/>
  <c r="N4663" i="1"/>
  <c r="N4664" i="1"/>
  <c r="N4665" i="1"/>
  <c r="N4666" i="1"/>
  <c r="N4667" i="1"/>
  <c r="N4668" i="1"/>
  <c r="N4669" i="1"/>
  <c r="N4670" i="1"/>
  <c r="N4673" i="1"/>
  <c r="N4674" i="1"/>
  <c r="N4675" i="1"/>
  <c r="N4677" i="1"/>
  <c r="N4678" i="1"/>
  <c r="N4679" i="1"/>
  <c r="N4680" i="1"/>
  <c r="N4681" i="1"/>
  <c r="N4683" i="1"/>
  <c r="N4685" i="1"/>
  <c r="N4687" i="1"/>
  <c r="N4688" i="1"/>
  <c r="N4689" i="1"/>
  <c r="N4691" i="1"/>
  <c r="N4693" i="1"/>
  <c r="N4694" i="1"/>
  <c r="N4695" i="1"/>
  <c r="N4696" i="1"/>
  <c r="N4698" i="1"/>
  <c r="N4699" i="1"/>
  <c r="N4701" i="1"/>
  <c r="N4703" i="1"/>
  <c r="N4704" i="1"/>
  <c r="N4705" i="1"/>
  <c r="N4706" i="1"/>
  <c r="N4707" i="1"/>
  <c r="N4708" i="1"/>
  <c r="N4710" i="1"/>
  <c r="N4711" i="1"/>
  <c r="N4712" i="1"/>
  <c r="N4714" i="1"/>
  <c r="N4715" i="1"/>
  <c r="N4716" i="1"/>
  <c r="N4717" i="1"/>
  <c r="N4718" i="1"/>
  <c r="N4719" i="1"/>
  <c r="N4720" i="1"/>
  <c r="N4721" i="1"/>
  <c r="N4722" i="1"/>
  <c r="N4724" i="1"/>
  <c r="N4725" i="1"/>
  <c r="N4727" i="1"/>
  <c r="N4729" i="1"/>
  <c r="N4733" i="1"/>
  <c r="N4735" i="1"/>
  <c r="N4736" i="1"/>
  <c r="N4737" i="1"/>
  <c r="N4738" i="1"/>
  <c r="N4739" i="1"/>
  <c r="N4740" i="1"/>
  <c r="N4742" i="1"/>
  <c r="N4743" i="1"/>
  <c r="N4744" i="1"/>
  <c r="N4745" i="1"/>
  <c r="N4746" i="1"/>
  <c r="N4747" i="1"/>
  <c r="N4748" i="1"/>
  <c r="N4749" i="1"/>
  <c r="N4751" i="1"/>
  <c r="N4752" i="1"/>
  <c r="N4753" i="1"/>
  <c r="N4754" i="1"/>
  <c r="N4755" i="1"/>
  <c r="N4757" i="1"/>
  <c r="N4758" i="1"/>
  <c r="N4759" i="1"/>
  <c r="N4760" i="1"/>
  <c r="N4761" i="1"/>
  <c r="N4763" i="1"/>
  <c r="N4766" i="1"/>
  <c r="N4767" i="1"/>
  <c r="N4769" i="1"/>
  <c r="N4770" i="1"/>
  <c r="N4771" i="1"/>
  <c r="N4772" i="1"/>
  <c r="N4774" i="1"/>
  <c r="N4775" i="1"/>
  <c r="N4777" i="1"/>
  <c r="N4778" i="1"/>
  <c r="N4779" i="1"/>
  <c r="N4781" i="1"/>
  <c r="N4782" i="1"/>
  <c r="N4783" i="1"/>
  <c r="N4784" i="1"/>
  <c r="N4785" i="1"/>
  <c r="N4786" i="1"/>
  <c r="N4787" i="1"/>
  <c r="N4788" i="1"/>
  <c r="N4789" i="1"/>
  <c r="N4790" i="1"/>
  <c r="N4792" i="1"/>
  <c r="N4793" i="1"/>
  <c r="N4794" i="1"/>
  <c r="N4795" i="1"/>
  <c r="N4796" i="1"/>
  <c r="N4797" i="1"/>
  <c r="N4800" i="1"/>
  <c r="N4801" i="1"/>
  <c r="N4802" i="1"/>
  <c r="N4803" i="1"/>
  <c r="N4804" i="1"/>
  <c r="N4805" i="1"/>
  <c r="N4806" i="1"/>
  <c r="N4807" i="1"/>
  <c r="N4809" i="1"/>
  <c r="N4810" i="1"/>
  <c r="N4811" i="1"/>
  <c r="N4812" i="1"/>
  <c r="N4813" i="1"/>
  <c r="N4814" i="1"/>
  <c r="N4815" i="1"/>
  <c r="N4817" i="1"/>
  <c r="N4818" i="1"/>
  <c r="N4819" i="1"/>
  <c r="N4820" i="1"/>
  <c r="N4821" i="1"/>
  <c r="N4823" i="1"/>
  <c r="N4824" i="1"/>
  <c r="N4825" i="1"/>
  <c r="N4826" i="1"/>
  <c r="N4828" i="1"/>
  <c r="N4829" i="1"/>
  <c r="N4830" i="1"/>
  <c r="N4832" i="1"/>
  <c r="N4834" i="1"/>
  <c r="N4835" i="1"/>
  <c r="N4836" i="1"/>
  <c r="N4838" i="1"/>
  <c r="N4839" i="1"/>
  <c r="N4842" i="1"/>
  <c r="N4843" i="1"/>
  <c r="N4844" i="1"/>
  <c r="N4845" i="1"/>
  <c r="N4847" i="1"/>
  <c r="N4848" i="1"/>
  <c r="N4849" i="1"/>
  <c r="N4850" i="1"/>
  <c r="N4853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5" i="1"/>
  <c r="N4876" i="1"/>
  <c r="N4877" i="1"/>
  <c r="N4878" i="1"/>
  <c r="N4879" i="1"/>
  <c r="N4881" i="1"/>
  <c r="N4882" i="1"/>
  <c r="N4883" i="1"/>
  <c r="N4884" i="1"/>
  <c r="N4885" i="1"/>
  <c r="N4886" i="1"/>
  <c r="N4887" i="1"/>
  <c r="N4888" i="1"/>
  <c r="N4889" i="1"/>
  <c r="N4890" i="1"/>
  <c r="N4891" i="1"/>
  <c r="N4893" i="1"/>
  <c r="N4897" i="1"/>
  <c r="N4898" i="1"/>
  <c r="N4899" i="1"/>
  <c r="N4900" i="1"/>
  <c r="N4901" i="1"/>
  <c r="N4902" i="1"/>
  <c r="N4904" i="1"/>
  <c r="N4905" i="1"/>
  <c r="N4906" i="1"/>
  <c r="N4907" i="1"/>
  <c r="N4908" i="1"/>
  <c r="N4909" i="1"/>
  <c r="N4911" i="1"/>
  <c r="N4912" i="1"/>
  <c r="N4914" i="1"/>
  <c r="N4915" i="1"/>
  <c r="N4917" i="1"/>
  <c r="N4919" i="1"/>
  <c r="N4922" i="1"/>
  <c r="N4923" i="1"/>
  <c r="N4925" i="1"/>
  <c r="N4926" i="1"/>
  <c r="N4927" i="1"/>
  <c r="N4928" i="1"/>
  <c r="N4931" i="1"/>
  <c r="N4932" i="1"/>
  <c r="N4933" i="1"/>
  <c r="N4935" i="1"/>
  <c r="N4936" i="1"/>
  <c r="N4937" i="1"/>
  <c r="N4938" i="1"/>
  <c r="N4940" i="1"/>
  <c r="N4941" i="1"/>
  <c r="N4942" i="1"/>
  <c r="N4943" i="1"/>
  <c r="N4944" i="1"/>
  <c r="N4945" i="1"/>
  <c r="N4946" i="1"/>
  <c r="N4947" i="1"/>
  <c r="N4948" i="1"/>
  <c r="N4951" i="1"/>
  <c r="N4952" i="1"/>
  <c r="N4954" i="1"/>
  <c r="N4956" i="1"/>
  <c r="N4957" i="1"/>
  <c r="N4958" i="1"/>
  <c r="N4959" i="1"/>
  <c r="N4961" i="1"/>
  <c r="N4962" i="1"/>
  <c r="N4963" i="1"/>
  <c r="N4966" i="1"/>
  <c r="N4967" i="1"/>
  <c r="N4969" i="1"/>
  <c r="N4970" i="1"/>
  <c r="N4972" i="1"/>
  <c r="N4973" i="1"/>
  <c r="N4974" i="1"/>
  <c r="N4975" i="1"/>
  <c r="N4976" i="1"/>
  <c r="N4977" i="1"/>
  <c r="N4978" i="1"/>
  <c r="N4980" i="1"/>
  <c r="N4981" i="1"/>
  <c r="N4982" i="1"/>
  <c r="N4984" i="1"/>
  <c r="N4985" i="1"/>
  <c r="N4987" i="1"/>
  <c r="N4990" i="1"/>
  <c r="N4991" i="1"/>
  <c r="N4992" i="1"/>
  <c r="N4993" i="1"/>
  <c r="N4996" i="1"/>
  <c r="N4998" i="1"/>
  <c r="N4999" i="1"/>
  <c r="N5000" i="1"/>
  <c r="N5001" i="1"/>
  <c r="N5002" i="1"/>
  <c r="N5004" i="1"/>
  <c r="N5005" i="1"/>
  <c r="N5006" i="1"/>
  <c r="N5007" i="1"/>
  <c r="N5009" i="1"/>
  <c r="N5010" i="1"/>
  <c r="N5011" i="1"/>
  <c r="N5012" i="1"/>
  <c r="N5013" i="1"/>
  <c r="N5014" i="1"/>
  <c r="N5015" i="1"/>
  <c r="N5016" i="1"/>
  <c r="N5019" i="1"/>
  <c r="N5021" i="1"/>
  <c r="N5022" i="1"/>
  <c r="N5024" i="1"/>
  <c r="N5025" i="1"/>
  <c r="N5026" i="1"/>
  <c r="N5027" i="1"/>
  <c r="N5029" i="1"/>
  <c r="N5031" i="1"/>
  <c r="N5032" i="1"/>
  <c r="N5033" i="1"/>
  <c r="N5034" i="1"/>
  <c r="N5036" i="1"/>
  <c r="N5037" i="1"/>
  <c r="N5038" i="1"/>
  <c r="N5040" i="1"/>
  <c r="N5041" i="1"/>
  <c r="N5042" i="1"/>
  <c r="N5043" i="1"/>
  <c r="N5045" i="1"/>
  <c r="N5046" i="1"/>
  <c r="N5047" i="1"/>
  <c r="N5048" i="1"/>
  <c r="N5051" i="1"/>
  <c r="N5052" i="1"/>
  <c r="N5053" i="1"/>
  <c r="N5054" i="1"/>
  <c r="N5055" i="1"/>
  <c r="N5057" i="1"/>
  <c r="N5058" i="1"/>
  <c r="N5060" i="1"/>
  <c r="N5061" i="1"/>
  <c r="N5062" i="1"/>
  <c r="N5064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3" i="1"/>
  <c r="N5084" i="1"/>
  <c r="N5085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100" i="1"/>
  <c r="N5101" i="1"/>
  <c r="N5102" i="1"/>
  <c r="N5103" i="1"/>
  <c r="N5104" i="1"/>
  <c r="N5105" i="1"/>
  <c r="N5106" i="1"/>
  <c r="N5107" i="1"/>
  <c r="N5108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5" i="1"/>
  <c r="N5126" i="1"/>
  <c r="N5127" i="1"/>
  <c r="N5128" i="1"/>
  <c r="N5131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50" i="1"/>
  <c r="N5151" i="1"/>
  <c r="N5153" i="1"/>
  <c r="N5154" i="1"/>
  <c r="N5155" i="1"/>
  <c r="N5156" i="1"/>
  <c r="N5157" i="1"/>
  <c r="N5160" i="1"/>
  <c r="N5161" i="1"/>
  <c r="N5162" i="1"/>
  <c r="N5163" i="1"/>
  <c r="N5164" i="1"/>
  <c r="N5165" i="1"/>
  <c r="N5166" i="1"/>
  <c r="N5167" i="1"/>
  <c r="N5168" i="1"/>
  <c r="N5170" i="1"/>
  <c r="N5171" i="1"/>
  <c r="N5172" i="1"/>
  <c r="N5174" i="1"/>
  <c r="N5175" i="1"/>
  <c r="N5177" i="1"/>
  <c r="N5179" i="1"/>
  <c r="N5180" i="1"/>
  <c r="N5183" i="1"/>
  <c r="N5184" i="1"/>
  <c r="N5185" i="1"/>
  <c r="N5186" i="1"/>
  <c r="N5187" i="1"/>
  <c r="N5188" i="1"/>
  <c r="N5189" i="1"/>
  <c r="N5192" i="1"/>
  <c r="N5193" i="1"/>
  <c r="N5194" i="1"/>
  <c r="N5195" i="1"/>
  <c r="N5196" i="1"/>
  <c r="N5197" i="1"/>
  <c r="N5198" i="1"/>
  <c r="N5200" i="1"/>
  <c r="N5201" i="1"/>
  <c r="N5202" i="1"/>
  <c r="N5203" i="1"/>
  <c r="N5204" i="1"/>
  <c r="N5208" i="1"/>
  <c r="N5210" i="1"/>
  <c r="N5211" i="1"/>
  <c r="N5212" i="1"/>
  <c r="N5213" i="1"/>
  <c r="N5214" i="1"/>
  <c r="N5216" i="1"/>
  <c r="N5217" i="1"/>
  <c r="N5218" i="1"/>
  <c r="N5219" i="1"/>
  <c r="N5220" i="1"/>
  <c r="N5221" i="1"/>
  <c r="N5223" i="1"/>
  <c r="N5224" i="1"/>
  <c r="N5225" i="1"/>
  <c r="N5227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60" i="1"/>
  <c r="N5262" i="1"/>
  <c r="N5265" i="1"/>
  <c r="N5266" i="1"/>
  <c r="N5268" i="1"/>
  <c r="N5269" i="1"/>
  <c r="N5270" i="1"/>
  <c r="N5271" i="1"/>
  <c r="N5272" i="1"/>
  <c r="N5273" i="1"/>
  <c r="N5274" i="1"/>
  <c r="N5275" i="1"/>
  <c r="N5278" i="1"/>
  <c r="N5281" i="1"/>
  <c r="N5282" i="1"/>
  <c r="N5283" i="1"/>
  <c r="N5285" i="1"/>
  <c r="N5286" i="1"/>
  <c r="N5288" i="1"/>
  <c r="N5290" i="1"/>
  <c r="N5292" i="1"/>
  <c r="N5293" i="1"/>
  <c r="N5295" i="1"/>
  <c r="N5297" i="1"/>
  <c r="N5298" i="1"/>
  <c r="N5299" i="1"/>
  <c r="N5300" i="1"/>
  <c r="N5301" i="1"/>
  <c r="N5303" i="1"/>
  <c r="N5304" i="1"/>
  <c r="N5305" i="1"/>
  <c r="N5308" i="1"/>
  <c r="N5309" i="1"/>
  <c r="N5310" i="1"/>
  <c r="N5311" i="1"/>
  <c r="N5312" i="1"/>
  <c r="N5313" i="1"/>
  <c r="N5314" i="1"/>
  <c r="N5315" i="1"/>
  <c r="N5316" i="1"/>
  <c r="N5319" i="1"/>
  <c r="N5320" i="1"/>
  <c r="N5321" i="1"/>
  <c r="N5322" i="1"/>
  <c r="N5324" i="1"/>
  <c r="N5325" i="1"/>
  <c r="N5326" i="1"/>
  <c r="N5327" i="1"/>
  <c r="N5328" i="1"/>
  <c r="N5329" i="1"/>
  <c r="N5330" i="1"/>
  <c r="N5331" i="1"/>
  <c r="N5333" i="1"/>
  <c r="N5334" i="1"/>
  <c r="N5335" i="1"/>
  <c r="N5336" i="1"/>
  <c r="N5337" i="1"/>
  <c r="N5338" i="1"/>
  <c r="N5339" i="1"/>
  <c r="N5342" i="1"/>
  <c r="N5343" i="1"/>
  <c r="N5344" i="1"/>
  <c r="N5345" i="1"/>
  <c r="N5347" i="1"/>
  <c r="N5348" i="1"/>
  <c r="N5350" i="1"/>
  <c r="N5351" i="1"/>
  <c r="N5352" i="1"/>
  <c r="N5353" i="1"/>
  <c r="N5354" i="1"/>
  <c r="N5356" i="1"/>
  <c r="N5357" i="1"/>
  <c r="N5358" i="1"/>
  <c r="N5359" i="1"/>
  <c r="N5362" i="1"/>
  <c r="N5363" i="1"/>
  <c r="N5364" i="1"/>
  <c r="N5365" i="1"/>
  <c r="N5366" i="1"/>
  <c r="N5367" i="1"/>
  <c r="N5368" i="1"/>
  <c r="N5369" i="1"/>
  <c r="N5371" i="1"/>
  <c r="N5372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9" i="1"/>
  <c r="N5390" i="1"/>
  <c r="N5391" i="1"/>
  <c r="N5392" i="1"/>
  <c r="N5394" i="1"/>
  <c r="N5395" i="1"/>
  <c r="N5396" i="1"/>
  <c r="N5397" i="1"/>
  <c r="N5399" i="1"/>
  <c r="N5404" i="1"/>
  <c r="N5405" i="1"/>
  <c r="N5407" i="1"/>
  <c r="N5408" i="1"/>
  <c r="N5409" i="1"/>
  <c r="N5410" i="1"/>
  <c r="N5411" i="1"/>
  <c r="N5412" i="1"/>
  <c r="N5413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9" i="1"/>
  <c r="N5450" i="1"/>
  <c r="N5452" i="1"/>
  <c r="N5453" i="1"/>
  <c r="N5454" i="1"/>
  <c r="N5455" i="1"/>
  <c r="N5458" i="1"/>
  <c r="N5459" i="1"/>
  <c r="N5460" i="1"/>
  <c r="N5461" i="1"/>
  <c r="N5462" i="1"/>
  <c r="N5463" i="1"/>
  <c r="N5464" i="1"/>
  <c r="N5465" i="1"/>
  <c r="N5466" i="1"/>
  <c r="N5468" i="1"/>
  <c r="N5469" i="1"/>
  <c r="N5470" i="1"/>
  <c r="N5471" i="1"/>
  <c r="N5472" i="1"/>
  <c r="N5474" i="1"/>
  <c r="N5475" i="1"/>
  <c r="N5476" i="1"/>
  <c r="N5478" i="1"/>
  <c r="N5479" i="1"/>
  <c r="N5481" i="1"/>
  <c r="N5482" i="1"/>
  <c r="N5484" i="1"/>
  <c r="N5486" i="1"/>
  <c r="N5487" i="1"/>
  <c r="N5490" i="1"/>
  <c r="N5491" i="1"/>
  <c r="N5493" i="1"/>
  <c r="N5495" i="1"/>
  <c r="N5496" i="1"/>
  <c r="N5500" i="1"/>
  <c r="N5501" i="1"/>
  <c r="N5502" i="1"/>
  <c r="N5505" i="1"/>
  <c r="N5506" i="1"/>
  <c r="N5507" i="1"/>
  <c r="N5508" i="1"/>
  <c r="N5509" i="1"/>
  <c r="N5511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1" i="1"/>
  <c r="N5533" i="1"/>
  <c r="N5534" i="1"/>
  <c r="N5536" i="1"/>
  <c r="N5537" i="1"/>
  <c r="N5538" i="1"/>
  <c r="N5539" i="1"/>
  <c r="N5540" i="1"/>
  <c r="N5541" i="1"/>
  <c r="N5542" i="1"/>
  <c r="N5545" i="1"/>
  <c r="N5547" i="1"/>
  <c r="N5548" i="1"/>
  <c r="N5549" i="1"/>
  <c r="N5550" i="1"/>
  <c r="N5551" i="1"/>
  <c r="N5552" i="1"/>
  <c r="N5553" i="1"/>
  <c r="N5554" i="1"/>
  <c r="N5555" i="1"/>
  <c r="N5557" i="1"/>
  <c r="N5559" i="1"/>
  <c r="N5561" i="1"/>
  <c r="N5563" i="1"/>
  <c r="N5564" i="1"/>
  <c r="N5567" i="1"/>
  <c r="N5569" i="1"/>
  <c r="N5570" i="1"/>
  <c r="N5571" i="1"/>
  <c r="N5573" i="1"/>
  <c r="N5574" i="1"/>
  <c r="N5575" i="1"/>
  <c r="N5577" i="1"/>
  <c r="N5578" i="1"/>
  <c r="N5579" i="1"/>
  <c r="N5580" i="1"/>
  <c r="N5581" i="1"/>
  <c r="N5582" i="1"/>
  <c r="N5583" i="1"/>
  <c r="N5586" i="1"/>
  <c r="N5587" i="1"/>
  <c r="N5588" i="1"/>
  <c r="N5589" i="1"/>
  <c r="N5591" i="1"/>
  <c r="N5593" i="1"/>
  <c r="N5596" i="1"/>
  <c r="N5598" i="1"/>
  <c r="N5600" i="1"/>
  <c r="N5601" i="1"/>
  <c r="N5602" i="1"/>
  <c r="N5603" i="1"/>
  <c r="N5604" i="1"/>
  <c r="N5605" i="1"/>
  <c r="N5606" i="1"/>
  <c r="N5608" i="1"/>
  <c r="N5609" i="1"/>
  <c r="N5611" i="1"/>
  <c r="N5612" i="1"/>
  <c r="N5613" i="1"/>
  <c r="N5615" i="1"/>
  <c r="N5616" i="1"/>
  <c r="N5617" i="1"/>
  <c r="N5619" i="1"/>
  <c r="N5622" i="1"/>
  <c r="N5623" i="1"/>
  <c r="N5624" i="1"/>
  <c r="N5625" i="1"/>
  <c r="N5627" i="1"/>
  <c r="N5628" i="1"/>
  <c r="N5629" i="1"/>
  <c r="N5632" i="1"/>
  <c r="N5633" i="1"/>
  <c r="N5634" i="1"/>
  <c r="N5635" i="1"/>
  <c r="N5637" i="1"/>
  <c r="N5639" i="1"/>
  <c r="N5640" i="1"/>
  <c r="N5641" i="1"/>
  <c r="N5643" i="1"/>
  <c r="N5644" i="1"/>
  <c r="N5645" i="1"/>
  <c r="N5646" i="1"/>
  <c r="N5647" i="1"/>
  <c r="N5648" i="1"/>
  <c r="N5650" i="1"/>
  <c r="N5651" i="1"/>
  <c r="N5652" i="1"/>
  <c r="N5653" i="1"/>
  <c r="N5655" i="1"/>
  <c r="N5656" i="1"/>
  <c r="N5658" i="1"/>
  <c r="N5660" i="1"/>
  <c r="N5661" i="1"/>
  <c r="N5662" i="1"/>
  <c r="N5663" i="1"/>
  <c r="N5664" i="1"/>
  <c r="N5665" i="1"/>
  <c r="N5666" i="1"/>
  <c r="N5667" i="1"/>
  <c r="N5668" i="1"/>
  <c r="N5669" i="1"/>
  <c r="N5671" i="1"/>
  <c r="N5672" i="1"/>
  <c r="N5673" i="1"/>
  <c r="N5674" i="1"/>
  <c r="N5676" i="1"/>
  <c r="N5677" i="1"/>
  <c r="N5678" i="1"/>
  <c r="N5679" i="1"/>
  <c r="N5680" i="1"/>
  <c r="N5681" i="1"/>
  <c r="N5682" i="1"/>
  <c r="N5684" i="1"/>
  <c r="N5686" i="1"/>
  <c r="N5688" i="1"/>
  <c r="N5689" i="1"/>
  <c r="N5690" i="1"/>
  <c r="N5691" i="1"/>
  <c r="N5692" i="1"/>
  <c r="N5694" i="1"/>
  <c r="N5695" i="1"/>
  <c r="N5696" i="1"/>
  <c r="N5697" i="1"/>
  <c r="N5698" i="1"/>
  <c r="N5699" i="1"/>
  <c r="N5700" i="1"/>
  <c r="N5701" i="1"/>
  <c r="N5703" i="1"/>
  <c r="N5705" i="1"/>
  <c r="N5706" i="1"/>
  <c r="N5707" i="1"/>
  <c r="N5708" i="1"/>
  <c r="N5710" i="1"/>
  <c r="N5711" i="1"/>
  <c r="N5712" i="1"/>
  <c r="N5713" i="1"/>
  <c r="N5714" i="1"/>
  <c r="N5716" i="1"/>
  <c r="N5717" i="1"/>
  <c r="N5718" i="1"/>
  <c r="N5719" i="1"/>
  <c r="N5720" i="1"/>
  <c r="N5721" i="1"/>
  <c r="N5722" i="1"/>
  <c r="N5724" i="1"/>
  <c r="N5725" i="1"/>
  <c r="N5727" i="1"/>
  <c r="N5730" i="1"/>
  <c r="N5731" i="1"/>
  <c r="N5732" i="1"/>
  <c r="N5734" i="1"/>
  <c r="N5735" i="1"/>
  <c r="N5737" i="1"/>
  <c r="N5738" i="1"/>
  <c r="N5739" i="1"/>
  <c r="N5741" i="1"/>
  <c r="N5742" i="1"/>
  <c r="N5743" i="1"/>
  <c r="N5744" i="1"/>
  <c r="N5745" i="1"/>
  <c r="N5746" i="1"/>
  <c r="N5747" i="1"/>
  <c r="N5748" i="1"/>
  <c r="N5749" i="1"/>
  <c r="N5750" i="1"/>
  <c r="N5752" i="1"/>
  <c r="N5753" i="1"/>
  <c r="N5754" i="1"/>
  <c r="N5755" i="1"/>
  <c r="N5757" i="1"/>
  <c r="N5758" i="1"/>
  <c r="N5759" i="1"/>
  <c r="N5760" i="1"/>
  <c r="N5763" i="1"/>
  <c r="N5764" i="1"/>
  <c r="N5767" i="1"/>
  <c r="N5768" i="1"/>
  <c r="N5769" i="1"/>
  <c r="N5771" i="1"/>
  <c r="N5776" i="1"/>
  <c r="N5777" i="1"/>
  <c r="N5778" i="1"/>
  <c r="N5780" i="1"/>
  <c r="N5782" i="1"/>
  <c r="N5783" i="1"/>
  <c r="N5784" i="1"/>
  <c r="N5785" i="1"/>
  <c r="N5786" i="1"/>
  <c r="N5787" i="1"/>
  <c r="N5788" i="1"/>
  <c r="N5789" i="1"/>
  <c r="N5791" i="1"/>
  <c r="N5793" i="1"/>
  <c r="N5794" i="1"/>
  <c r="N5795" i="1"/>
  <c r="N5796" i="1"/>
  <c r="N5797" i="1"/>
  <c r="N5798" i="1"/>
  <c r="N5801" i="1"/>
  <c r="N5802" i="1"/>
  <c r="N5803" i="1"/>
  <c r="N5804" i="1"/>
  <c r="N5805" i="1"/>
  <c r="N5806" i="1"/>
  <c r="N5807" i="1"/>
  <c r="N5808" i="1"/>
  <c r="N5809" i="1"/>
  <c r="N5811" i="1"/>
  <c r="N5812" i="1"/>
  <c r="N5813" i="1"/>
  <c r="N5816" i="1"/>
  <c r="N5817" i="1"/>
  <c r="N5818" i="1"/>
  <c r="N5820" i="1"/>
  <c r="N5821" i="1"/>
  <c r="N5823" i="1"/>
  <c r="N5824" i="1"/>
  <c r="N5825" i="1"/>
  <c r="N5826" i="1"/>
  <c r="N5827" i="1"/>
  <c r="N5828" i="1"/>
  <c r="N5829" i="1"/>
  <c r="N5832" i="1"/>
  <c r="N5833" i="1"/>
  <c r="N5835" i="1"/>
  <c r="N5836" i="1"/>
  <c r="N5837" i="1"/>
  <c r="N5839" i="1"/>
  <c r="N5840" i="1"/>
  <c r="N5841" i="1"/>
  <c r="N5842" i="1"/>
  <c r="N5843" i="1"/>
  <c r="N5844" i="1"/>
  <c r="N5845" i="1"/>
  <c r="N5846" i="1"/>
  <c r="N5847" i="1"/>
  <c r="N5849" i="1"/>
  <c r="N5850" i="1"/>
  <c r="N5852" i="1"/>
  <c r="N5856" i="1"/>
  <c r="N5857" i="1"/>
  <c r="N5859" i="1"/>
  <c r="N5860" i="1"/>
  <c r="N5861" i="1"/>
  <c r="N5862" i="1"/>
  <c r="N5863" i="1"/>
  <c r="N5864" i="1"/>
  <c r="N5865" i="1"/>
  <c r="N5866" i="1"/>
  <c r="N5869" i="1"/>
  <c r="N5870" i="1"/>
  <c r="N5871" i="1"/>
  <c r="N5872" i="1"/>
  <c r="N5873" i="1"/>
  <c r="N5875" i="1"/>
  <c r="N5876" i="1"/>
  <c r="N5877" i="1"/>
  <c r="N5878" i="1"/>
  <c r="N5879" i="1"/>
  <c r="N5881" i="1"/>
  <c r="N5882" i="1"/>
  <c r="N5883" i="1"/>
  <c r="N5885" i="1"/>
  <c r="N5886" i="1"/>
  <c r="N5887" i="1"/>
  <c r="N5888" i="1"/>
  <c r="N5889" i="1"/>
  <c r="N5890" i="1"/>
  <c r="N5891" i="1"/>
  <c r="N5893" i="1"/>
  <c r="N5894" i="1"/>
  <c r="N5895" i="1"/>
  <c r="N5896" i="1"/>
  <c r="N5897" i="1"/>
  <c r="N5898" i="1"/>
  <c r="N5899" i="1"/>
  <c r="N5900" i="1"/>
  <c r="N5901" i="1"/>
  <c r="N5902" i="1"/>
  <c r="N5905" i="1"/>
  <c r="N5906" i="1"/>
  <c r="N5907" i="1"/>
  <c r="N5908" i="1"/>
  <c r="N5910" i="1"/>
  <c r="N5911" i="1"/>
  <c r="N5912" i="1"/>
  <c r="N5913" i="1"/>
  <c r="N5914" i="1"/>
  <c r="N5915" i="1"/>
  <c r="N5917" i="1"/>
  <c r="N5920" i="1"/>
  <c r="N5921" i="1"/>
  <c r="N5922" i="1"/>
  <c r="N5924" i="1"/>
  <c r="N5926" i="1"/>
  <c r="N5927" i="1"/>
  <c r="N5928" i="1"/>
  <c r="N5929" i="1"/>
  <c r="N5930" i="1"/>
  <c r="N5931" i="1"/>
  <c r="N5932" i="1"/>
  <c r="N5934" i="1"/>
  <c r="N5935" i="1"/>
  <c r="N5937" i="1"/>
  <c r="N5938" i="1"/>
  <c r="N5939" i="1"/>
  <c r="N5940" i="1"/>
  <c r="N5941" i="1"/>
  <c r="N5945" i="1"/>
  <c r="N5946" i="1"/>
  <c r="N5947" i="1"/>
  <c r="N5948" i="1"/>
  <c r="N5949" i="1"/>
  <c r="N5952" i="1"/>
  <c r="N5953" i="1"/>
  <c r="N5954" i="1"/>
  <c r="N5956" i="1"/>
  <c r="N5957" i="1"/>
  <c r="N5958" i="1"/>
  <c r="N5959" i="1"/>
  <c r="N5960" i="1"/>
  <c r="N5961" i="1"/>
  <c r="N5962" i="1"/>
  <c r="N5963" i="1"/>
  <c r="N5964" i="1"/>
  <c r="N5965" i="1"/>
  <c r="N5966" i="1"/>
  <c r="N5969" i="1"/>
  <c r="N5970" i="1"/>
  <c r="N5971" i="1"/>
  <c r="N5972" i="1"/>
  <c r="N5977" i="1"/>
  <c r="N5978" i="1"/>
  <c r="N5981" i="1"/>
  <c r="N5982" i="1"/>
  <c r="N5984" i="1"/>
  <c r="N5985" i="1"/>
  <c r="N5986" i="1"/>
  <c r="N5988" i="1"/>
  <c r="N5989" i="1"/>
  <c r="N5990" i="1"/>
  <c r="N5991" i="1"/>
  <c r="N5992" i="1"/>
  <c r="N5994" i="1"/>
  <c r="N5995" i="1"/>
  <c r="N5996" i="1"/>
  <c r="N5998" i="1"/>
  <c r="N5999" i="1"/>
  <c r="N6001" i="1"/>
  <c r="N6002" i="1"/>
  <c r="N6004" i="1"/>
  <c r="N6005" i="1"/>
  <c r="N6006" i="1"/>
  <c r="N6007" i="1"/>
  <c r="N6008" i="1"/>
  <c r="N6009" i="1"/>
  <c r="N6010" i="1"/>
  <c r="N6012" i="1"/>
  <c r="N6014" i="1"/>
  <c r="N6016" i="1"/>
  <c r="N6018" i="1"/>
  <c r="N6019" i="1"/>
  <c r="N6020" i="1"/>
  <c r="N6021" i="1"/>
  <c r="N6024" i="1"/>
  <c r="N6026" i="1"/>
  <c r="N6027" i="1"/>
  <c r="N6028" i="1"/>
  <c r="N6029" i="1"/>
  <c r="N6030" i="1"/>
  <c r="N6031" i="1"/>
  <c r="N6032" i="1"/>
  <c r="N6033" i="1"/>
  <c r="N6034" i="1"/>
  <c r="N6035" i="1"/>
  <c r="N6037" i="1"/>
  <c r="N6038" i="1"/>
  <c r="N6039" i="1"/>
  <c r="N6040" i="1"/>
  <c r="N6041" i="1"/>
  <c r="N6042" i="1"/>
  <c r="N6044" i="1"/>
  <c r="N6046" i="1"/>
  <c r="N6047" i="1"/>
  <c r="N6048" i="1"/>
  <c r="N6049" i="1"/>
  <c r="N6050" i="1"/>
  <c r="N6051" i="1"/>
  <c r="N6052" i="1"/>
  <c r="N6054" i="1"/>
  <c r="N6055" i="1"/>
  <c r="N6056" i="1"/>
  <c r="N6057" i="1"/>
  <c r="N6058" i="1"/>
  <c r="N6059" i="1"/>
  <c r="N6061" i="1"/>
  <c r="N6062" i="1"/>
  <c r="N6063" i="1"/>
  <c r="N6064" i="1"/>
  <c r="N6066" i="1"/>
  <c r="N6067" i="1"/>
  <c r="N6068" i="1"/>
  <c r="N6071" i="1"/>
  <c r="N6073" i="1"/>
  <c r="N6074" i="1"/>
  <c r="N6075" i="1"/>
  <c r="N6076" i="1"/>
  <c r="N6077" i="1"/>
  <c r="N6078" i="1"/>
  <c r="N6079" i="1"/>
  <c r="N6081" i="1"/>
  <c r="N6082" i="1"/>
  <c r="N6083" i="1"/>
  <c r="N6084" i="1"/>
  <c r="N6085" i="1"/>
  <c r="N6087" i="1"/>
  <c r="N6088" i="1"/>
  <c r="N6089" i="1"/>
  <c r="N6090" i="1"/>
  <c r="N6092" i="1"/>
  <c r="N6093" i="1"/>
  <c r="N6096" i="1"/>
  <c r="N6098" i="1"/>
  <c r="N6103" i="1"/>
  <c r="N6104" i="1"/>
  <c r="N6105" i="1"/>
  <c r="N6106" i="1"/>
  <c r="N6108" i="1"/>
  <c r="N6109" i="1"/>
  <c r="N6110" i="1"/>
  <c r="N6111" i="1"/>
  <c r="N6113" i="1"/>
  <c r="N6115" i="1"/>
  <c r="N6118" i="1"/>
  <c r="N6119" i="1"/>
  <c r="N6120" i="1"/>
  <c r="N6121" i="1"/>
  <c r="N6122" i="1"/>
  <c r="N6124" i="1"/>
  <c r="N6126" i="1"/>
  <c r="N6127" i="1"/>
  <c r="N6128" i="1"/>
  <c r="N6129" i="1"/>
  <c r="N6130" i="1"/>
  <c r="N6131" i="1"/>
  <c r="N6133" i="1"/>
  <c r="N6134" i="1"/>
  <c r="N6135" i="1"/>
  <c r="N6136" i="1"/>
  <c r="N6137" i="1"/>
  <c r="N6138" i="1"/>
  <c r="N6139" i="1"/>
  <c r="N6140" i="1"/>
  <c r="N6143" i="1"/>
  <c r="N6144" i="1"/>
  <c r="N6145" i="1"/>
  <c r="N6146" i="1"/>
  <c r="N6147" i="1"/>
  <c r="N6150" i="1"/>
  <c r="N6151" i="1"/>
  <c r="N6153" i="1"/>
  <c r="N6154" i="1"/>
  <c r="N6156" i="1"/>
  <c r="N6157" i="1"/>
  <c r="N6158" i="1"/>
  <c r="N6160" i="1"/>
  <c r="N6161" i="1"/>
  <c r="N6162" i="1"/>
  <c r="N6163" i="1"/>
  <c r="N6166" i="1"/>
  <c r="N6168" i="1"/>
  <c r="N6169" i="1"/>
  <c r="N6170" i="1"/>
  <c r="N6171" i="1"/>
  <c r="N6172" i="1"/>
  <c r="N6174" i="1"/>
  <c r="N6175" i="1"/>
  <c r="N6176" i="1"/>
  <c r="N6177" i="1"/>
  <c r="N6178" i="1"/>
  <c r="N6179" i="1"/>
  <c r="N6180" i="1"/>
  <c r="N6181" i="1"/>
  <c r="N6182" i="1"/>
  <c r="N6186" i="1"/>
  <c r="N6188" i="1"/>
  <c r="N6190" i="1"/>
  <c r="N6191" i="1"/>
  <c r="N6192" i="1"/>
  <c r="N6193" i="1"/>
  <c r="N6194" i="1"/>
  <c r="N6195" i="1"/>
  <c r="N6196" i="1"/>
  <c r="N6197" i="1"/>
  <c r="N6199" i="1"/>
  <c r="N6200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6" i="1"/>
  <c r="N6217" i="1"/>
  <c r="N6219" i="1"/>
  <c r="N6220" i="1"/>
  <c r="N6221" i="1"/>
  <c r="N6222" i="1"/>
  <c r="N6225" i="1"/>
  <c r="N6227" i="1"/>
  <c r="N6228" i="1"/>
  <c r="N6229" i="1"/>
  <c r="N6231" i="1"/>
  <c r="N6232" i="1"/>
  <c r="N6233" i="1"/>
  <c r="N6234" i="1"/>
  <c r="N6236" i="1"/>
  <c r="N6237" i="1"/>
  <c r="N6238" i="1"/>
  <c r="N6239" i="1"/>
  <c r="N6240" i="1"/>
  <c r="N6241" i="1"/>
  <c r="N6242" i="1"/>
  <c r="N6243" i="1"/>
  <c r="N6245" i="1"/>
  <c r="N6246" i="1"/>
  <c r="N6247" i="1"/>
  <c r="N6249" i="1"/>
  <c r="N6252" i="1"/>
  <c r="N6253" i="1"/>
  <c r="N6255" i="1"/>
  <c r="N6256" i="1"/>
  <c r="N6257" i="1"/>
  <c r="N6258" i="1"/>
  <c r="N6259" i="1"/>
  <c r="N6260" i="1"/>
  <c r="N6261" i="1"/>
  <c r="N6263" i="1"/>
  <c r="N6264" i="1"/>
  <c r="N6265" i="1"/>
  <c r="N6266" i="1"/>
  <c r="N6267" i="1"/>
  <c r="N6268" i="1"/>
  <c r="N6269" i="1"/>
  <c r="N6270" i="1"/>
  <c r="N6271" i="1"/>
  <c r="N6272" i="1"/>
  <c r="N6274" i="1"/>
  <c r="N6277" i="1"/>
  <c r="N6278" i="1"/>
  <c r="N6279" i="1"/>
  <c r="N6280" i="1"/>
  <c r="N6281" i="1"/>
  <c r="N6282" i="1"/>
  <c r="N6283" i="1"/>
  <c r="N6285" i="1"/>
  <c r="N6287" i="1"/>
  <c r="N6288" i="1"/>
  <c r="N6290" i="1"/>
  <c r="N6291" i="1"/>
  <c r="N6292" i="1"/>
  <c r="N6293" i="1"/>
  <c r="N6294" i="1"/>
  <c r="N6296" i="1"/>
  <c r="N6297" i="1"/>
  <c r="N6298" i="1"/>
  <c r="N6299" i="1"/>
  <c r="N6300" i="1"/>
  <c r="N6301" i="1"/>
  <c r="N6302" i="1"/>
  <c r="N6304" i="1"/>
  <c r="N6305" i="1"/>
  <c r="N6307" i="1"/>
  <c r="N6309" i="1"/>
  <c r="N6310" i="1"/>
  <c r="N6312" i="1"/>
  <c r="N6313" i="1"/>
  <c r="N6314" i="1"/>
  <c r="N6315" i="1"/>
  <c r="N6316" i="1"/>
  <c r="N6318" i="1"/>
  <c r="N6319" i="1"/>
  <c r="N6320" i="1"/>
  <c r="N6322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8" i="1"/>
  <c r="N6339" i="1"/>
  <c r="N6340" i="1"/>
  <c r="N6341" i="1"/>
  <c r="N6342" i="1"/>
  <c r="N6344" i="1"/>
  <c r="N6345" i="1"/>
  <c r="N6346" i="1"/>
  <c r="N6347" i="1"/>
  <c r="N6348" i="1"/>
  <c r="N6349" i="1"/>
  <c r="N6354" i="1"/>
  <c r="N6355" i="1"/>
  <c r="N6357" i="1"/>
  <c r="N6358" i="1"/>
  <c r="N6359" i="1"/>
  <c r="N6360" i="1"/>
  <c r="N6361" i="1"/>
  <c r="N6362" i="1"/>
  <c r="N6363" i="1"/>
  <c r="N6364" i="1"/>
  <c r="N6365" i="1"/>
  <c r="N6366" i="1"/>
  <c r="N6368" i="1"/>
  <c r="N6370" i="1"/>
  <c r="N6373" i="1"/>
  <c r="N6374" i="1"/>
  <c r="N6375" i="1"/>
  <c r="N6376" i="1"/>
  <c r="N6377" i="1"/>
  <c r="N6379" i="1"/>
  <c r="N6380" i="1"/>
  <c r="N6381" i="1"/>
  <c r="N6382" i="1"/>
  <c r="N6383" i="1"/>
  <c r="N6384" i="1"/>
  <c r="N6385" i="1"/>
  <c r="N6386" i="1"/>
  <c r="N6387" i="1"/>
  <c r="N6388" i="1"/>
  <c r="N6392" i="1"/>
  <c r="N6393" i="1"/>
  <c r="N6394" i="1"/>
  <c r="N6395" i="1"/>
  <c r="N6397" i="1"/>
  <c r="N6398" i="1"/>
  <c r="N6402" i="1"/>
  <c r="N6403" i="1"/>
  <c r="N6404" i="1"/>
  <c r="N6405" i="1"/>
  <c r="N6407" i="1"/>
  <c r="N6408" i="1"/>
  <c r="N6409" i="1"/>
  <c r="N6410" i="1"/>
  <c r="N6412" i="1"/>
  <c r="N6414" i="1"/>
  <c r="N6416" i="1"/>
  <c r="N6417" i="1"/>
  <c r="N6418" i="1"/>
  <c r="N6419" i="1"/>
  <c r="N6420" i="1"/>
  <c r="N6421" i="1"/>
  <c r="N6422" i="1"/>
  <c r="N6423" i="1"/>
  <c r="N6424" i="1"/>
  <c r="N6425" i="1"/>
  <c r="N6428" i="1"/>
  <c r="N6429" i="1"/>
  <c r="N6430" i="1"/>
  <c r="N6431" i="1"/>
  <c r="N6432" i="1"/>
  <c r="N6433" i="1"/>
  <c r="N6435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3" i="1"/>
  <c r="N6454" i="1"/>
  <c r="N6455" i="1"/>
  <c r="N6457" i="1"/>
  <c r="N6458" i="1"/>
  <c r="N6459" i="1"/>
  <c r="N6460" i="1"/>
  <c r="N6461" i="1"/>
  <c r="N6462" i="1"/>
  <c r="N6466" i="1"/>
  <c r="N6467" i="1"/>
  <c r="N6470" i="1"/>
  <c r="N6472" i="1"/>
  <c r="N6473" i="1"/>
  <c r="N6474" i="1"/>
  <c r="N6475" i="1"/>
  <c r="N6476" i="1"/>
  <c r="N6477" i="1"/>
  <c r="N6478" i="1"/>
  <c r="N6479" i="1"/>
  <c r="N6483" i="1"/>
  <c r="N6485" i="1"/>
  <c r="N6487" i="1"/>
  <c r="N6488" i="1"/>
  <c r="N6489" i="1"/>
  <c r="N6490" i="1"/>
  <c r="N6491" i="1"/>
  <c r="N6492" i="1"/>
  <c r="N6493" i="1"/>
  <c r="N6496" i="1"/>
  <c r="N6497" i="1"/>
  <c r="N6498" i="1"/>
  <c r="N6499" i="1"/>
  <c r="N6500" i="1"/>
  <c r="N6501" i="1"/>
  <c r="N6503" i="1"/>
  <c r="N6504" i="1"/>
  <c r="N6505" i="1"/>
  <c r="N6506" i="1"/>
  <c r="N6507" i="1"/>
  <c r="N6508" i="1"/>
  <c r="N6509" i="1"/>
  <c r="N6510" i="1"/>
  <c r="N6512" i="1"/>
  <c r="N6513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1" i="1"/>
  <c r="N6532" i="1"/>
  <c r="N6533" i="1"/>
  <c r="N6534" i="1"/>
  <c r="N6535" i="1"/>
  <c r="N6536" i="1"/>
  <c r="N6537" i="1"/>
  <c r="N6538" i="1"/>
  <c r="N6540" i="1"/>
  <c r="N6542" i="1"/>
  <c r="N6543" i="1"/>
  <c r="N6544" i="1"/>
  <c r="N6546" i="1"/>
  <c r="N6548" i="1"/>
  <c r="N6549" i="1"/>
  <c r="N6550" i="1"/>
  <c r="N6552" i="1"/>
  <c r="N6553" i="1"/>
  <c r="N6554" i="1"/>
  <c r="N6555" i="1"/>
  <c r="N6556" i="1"/>
  <c r="N6557" i="1"/>
  <c r="N6560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1" i="1"/>
  <c r="N6592" i="1"/>
  <c r="N6593" i="1"/>
  <c r="N6594" i="1"/>
  <c r="N6595" i="1"/>
  <c r="N6596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2" i="1"/>
  <c r="N6613" i="1"/>
  <c r="N6614" i="1"/>
  <c r="N6615" i="1"/>
  <c r="N6616" i="1"/>
  <c r="N6618" i="1"/>
  <c r="N6619" i="1"/>
  <c r="N6620" i="1"/>
  <c r="N6621" i="1"/>
  <c r="N6622" i="1"/>
  <c r="N6623" i="1"/>
  <c r="N6625" i="1"/>
  <c r="N6626" i="1"/>
  <c r="N6628" i="1"/>
  <c r="N6630" i="1"/>
  <c r="N6631" i="1"/>
  <c r="N6632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9" i="1"/>
  <c r="N6650" i="1"/>
  <c r="N6651" i="1"/>
  <c r="N6652" i="1"/>
  <c r="N6653" i="1"/>
  <c r="N6654" i="1"/>
  <c r="N6656" i="1"/>
  <c r="N6657" i="1"/>
  <c r="N6658" i="1"/>
  <c r="N6659" i="1"/>
  <c r="N6660" i="1"/>
  <c r="N6661" i="1"/>
  <c r="N6662" i="1"/>
  <c r="N6663" i="1"/>
  <c r="N6664" i="1"/>
  <c r="N6665" i="1"/>
  <c r="N6666" i="1"/>
  <c r="N6668" i="1"/>
  <c r="N6669" i="1"/>
  <c r="N6670" i="1"/>
  <c r="N6671" i="1"/>
  <c r="N6672" i="1"/>
  <c r="N6673" i="1"/>
  <c r="N6676" i="1"/>
  <c r="N6677" i="1"/>
  <c r="N6679" i="1"/>
  <c r="N6680" i="1"/>
  <c r="N6681" i="1"/>
  <c r="N6683" i="1"/>
  <c r="N6685" i="1"/>
  <c r="N6686" i="1"/>
  <c r="N6687" i="1"/>
  <c r="N6688" i="1"/>
  <c r="N6689" i="1"/>
  <c r="N6690" i="1"/>
  <c r="N6691" i="1"/>
  <c r="N6693" i="1"/>
  <c r="N6694" i="1"/>
  <c r="N6695" i="1"/>
  <c r="N6696" i="1"/>
  <c r="N6697" i="1"/>
  <c r="N6698" i="1"/>
  <c r="N6699" i="1"/>
  <c r="N6700" i="1"/>
  <c r="N6701" i="1"/>
  <c r="N6702" i="1"/>
  <c r="N6704" i="1"/>
  <c r="N6705" i="1"/>
  <c r="N6706" i="1"/>
  <c r="N6707" i="1"/>
  <c r="N6708" i="1"/>
  <c r="N6709" i="1"/>
  <c r="N6710" i="1"/>
  <c r="N6711" i="1"/>
  <c r="N6713" i="1"/>
  <c r="N6714" i="1"/>
  <c r="N6715" i="1"/>
  <c r="N6716" i="1"/>
  <c r="N6717" i="1"/>
  <c r="N6718" i="1"/>
  <c r="N6719" i="1"/>
  <c r="N6720" i="1"/>
  <c r="N6721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9" i="1"/>
  <c r="N6741" i="1"/>
  <c r="N6743" i="1"/>
  <c r="N6744" i="1"/>
  <c r="N6745" i="1"/>
  <c r="N6746" i="1"/>
  <c r="N6747" i="1"/>
  <c r="N6751" i="1"/>
  <c r="N6752" i="1"/>
  <c r="N6754" i="1"/>
  <c r="N6755" i="1"/>
  <c r="N6756" i="1"/>
  <c r="N6757" i="1"/>
  <c r="N6758" i="1"/>
  <c r="N6759" i="1"/>
  <c r="N6760" i="1"/>
  <c r="N6761" i="1"/>
  <c r="N6762" i="1"/>
  <c r="N6763" i="1"/>
  <c r="N6764" i="1"/>
  <c r="N6766" i="1"/>
  <c r="N6767" i="1"/>
  <c r="N6768" i="1"/>
  <c r="N6769" i="1"/>
  <c r="N6772" i="1"/>
  <c r="N6773" i="1"/>
  <c r="N6774" i="1"/>
  <c r="N6775" i="1"/>
  <c r="N6776" i="1"/>
  <c r="N6777" i="1"/>
  <c r="N6778" i="1"/>
  <c r="N6779" i="1"/>
  <c r="N6780" i="1"/>
  <c r="N6781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9" i="1"/>
  <c r="N6800" i="1"/>
  <c r="N6801" i="1"/>
  <c r="N6803" i="1"/>
  <c r="N6804" i="1"/>
  <c r="N6806" i="1"/>
  <c r="N6807" i="1"/>
  <c r="N6809" i="1"/>
  <c r="N6810" i="1"/>
  <c r="N6811" i="1"/>
  <c r="N6812" i="1"/>
  <c r="N6813" i="1"/>
  <c r="N6814" i="1"/>
  <c r="N6815" i="1"/>
  <c r="N6816" i="1"/>
  <c r="N6817" i="1"/>
  <c r="N6819" i="1"/>
  <c r="N6821" i="1"/>
  <c r="N6822" i="1"/>
  <c r="N6823" i="1"/>
  <c r="N6825" i="1"/>
  <c r="N6826" i="1"/>
  <c r="N6827" i="1"/>
  <c r="N6828" i="1"/>
  <c r="N6829" i="1"/>
  <c r="N6830" i="1"/>
  <c r="N6831" i="1"/>
  <c r="N6832" i="1"/>
  <c r="N6833" i="1"/>
  <c r="N6835" i="1"/>
  <c r="N6836" i="1"/>
  <c r="N6837" i="1"/>
  <c r="N6838" i="1"/>
  <c r="N6840" i="1"/>
  <c r="N6841" i="1"/>
  <c r="N6843" i="1"/>
  <c r="N6845" i="1"/>
  <c r="N6846" i="1"/>
  <c r="N6847" i="1"/>
  <c r="N6848" i="1"/>
  <c r="N6851" i="1"/>
  <c r="N6852" i="1"/>
  <c r="N6853" i="1"/>
  <c r="N6854" i="1"/>
  <c r="N6855" i="1"/>
  <c r="N6856" i="1"/>
  <c r="N6857" i="1"/>
  <c r="N6858" i="1"/>
  <c r="N6860" i="1"/>
  <c r="N6861" i="1"/>
  <c r="N6862" i="1"/>
  <c r="N6863" i="1"/>
  <c r="N6864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80" i="1"/>
  <c r="N6882" i="1"/>
  <c r="N6883" i="1"/>
  <c r="N6884" i="1"/>
  <c r="N6885" i="1"/>
  <c r="N6886" i="1"/>
  <c r="N6887" i="1"/>
  <c r="N6888" i="1"/>
  <c r="N6889" i="1"/>
  <c r="N6890" i="1"/>
  <c r="N6891" i="1"/>
  <c r="N6893" i="1"/>
  <c r="N6894" i="1"/>
  <c r="N6896" i="1"/>
  <c r="N6897" i="1"/>
  <c r="N6898" i="1"/>
  <c r="N6899" i="1"/>
  <c r="N6900" i="1"/>
  <c r="N6901" i="1"/>
  <c r="N6902" i="1"/>
  <c r="N6903" i="1"/>
  <c r="N6904" i="1"/>
  <c r="N6905" i="1"/>
  <c r="N6906" i="1"/>
  <c r="N6912" i="1"/>
  <c r="N6913" i="1"/>
  <c r="N6914" i="1"/>
  <c r="N6916" i="1"/>
  <c r="N6918" i="1"/>
  <c r="N6919" i="1"/>
  <c r="N6920" i="1"/>
  <c r="N6921" i="1"/>
  <c r="N6923" i="1"/>
  <c r="N6924" i="1"/>
  <c r="N6926" i="1"/>
  <c r="N6927" i="1"/>
  <c r="N6928" i="1"/>
  <c r="N6929" i="1"/>
  <c r="N6930" i="1"/>
  <c r="N6932" i="1"/>
  <c r="N6933" i="1"/>
  <c r="N6934" i="1"/>
  <c r="N6937" i="1"/>
  <c r="N6938" i="1"/>
  <c r="N6940" i="1"/>
  <c r="N6944" i="1"/>
  <c r="N6945" i="1"/>
  <c r="N6948" i="1"/>
  <c r="N6949" i="1"/>
  <c r="N6950" i="1"/>
  <c r="N6952" i="1"/>
  <c r="N6953" i="1"/>
  <c r="N6954" i="1"/>
  <c r="N6955" i="1"/>
  <c r="N6956" i="1"/>
  <c r="N6957" i="1"/>
  <c r="N6958" i="1"/>
  <c r="N6959" i="1"/>
  <c r="N6960" i="1"/>
  <c r="N6961" i="1"/>
  <c r="N6963" i="1"/>
  <c r="N6964" i="1"/>
  <c r="N6965" i="1"/>
  <c r="N6966" i="1"/>
  <c r="N6967" i="1"/>
  <c r="N6969" i="1"/>
  <c r="N6970" i="1"/>
  <c r="N6971" i="1"/>
  <c r="N6972" i="1"/>
  <c r="N6973" i="1"/>
  <c r="N6974" i="1"/>
  <c r="N6976" i="1"/>
  <c r="N6977" i="1"/>
  <c r="N6978" i="1"/>
  <c r="N6980" i="1"/>
  <c r="N6981" i="1"/>
  <c r="N6982" i="1"/>
  <c r="N6983" i="1"/>
  <c r="N6984" i="1"/>
  <c r="N6985" i="1"/>
  <c r="N6986" i="1"/>
  <c r="N6987" i="1"/>
  <c r="N6988" i="1"/>
  <c r="N6989" i="1"/>
  <c r="N6990" i="1"/>
  <c r="N6992" i="1"/>
  <c r="N6993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11" i="1"/>
  <c r="N7012" i="1"/>
  <c r="N7013" i="1"/>
  <c r="N7014" i="1"/>
  <c r="N7016" i="1"/>
  <c r="N7017" i="1"/>
  <c r="N7018" i="1"/>
  <c r="N7020" i="1"/>
  <c r="N7021" i="1"/>
  <c r="N7022" i="1"/>
  <c r="N7023" i="1"/>
  <c r="N7026" i="1"/>
  <c r="N7027" i="1"/>
  <c r="N7028" i="1"/>
  <c r="N7029" i="1"/>
  <c r="N7030" i="1"/>
  <c r="N7031" i="1"/>
  <c r="N7032" i="1"/>
  <c r="N7035" i="1"/>
  <c r="N7036" i="1"/>
  <c r="N7037" i="1"/>
  <c r="N7038" i="1"/>
  <c r="N7039" i="1"/>
  <c r="N7041" i="1"/>
  <c r="N7042" i="1"/>
  <c r="N7043" i="1"/>
  <c r="N7044" i="1"/>
  <c r="N7045" i="1"/>
  <c r="N7046" i="1"/>
  <c r="N7047" i="1"/>
  <c r="N7049" i="1"/>
  <c r="N7053" i="1"/>
  <c r="N7054" i="1"/>
  <c r="N7055" i="1"/>
  <c r="N7056" i="1"/>
  <c r="N7057" i="1"/>
  <c r="N7059" i="1"/>
  <c r="N7062" i="1"/>
  <c r="N7063" i="1"/>
  <c r="N7065" i="1"/>
  <c r="N7066" i="1"/>
  <c r="N7067" i="1"/>
  <c r="N7070" i="1"/>
  <c r="N7072" i="1"/>
  <c r="N7073" i="1"/>
  <c r="N7074" i="1"/>
  <c r="N7075" i="1"/>
  <c r="N7076" i="1"/>
  <c r="N7077" i="1"/>
  <c r="N7078" i="1"/>
  <c r="N7079" i="1"/>
  <c r="N7080" i="1"/>
  <c r="N7081" i="1"/>
  <c r="N7083" i="1"/>
  <c r="N7084" i="1"/>
  <c r="N7086" i="1"/>
  <c r="N7087" i="1"/>
  <c r="N7089" i="1"/>
  <c r="N7091" i="1"/>
  <c r="N7093" i="1"/>
  <c r="N7094" i="1"/>
  <c r="N7095" i="1"/>
  <c r="N7096" i="1"/>
  <c r="N7097" i="1"/>
  <c r="N7104" i="1"/>
  <c r="N7105" i="1"/>
  <c r="N7107" i="1"/>
  <c r="N7108" i="1"/>
  <c r="N7109" i="1"/>
  <c r="N7110" i="1"/>
  <c r="N7111" i="1"/>
  <c r="N7112" i="1"/>
  <c r="N7113" i="1"/>
  <c r="N7115" i="1"/>
  <c r="N7117" i="1"/>
  <c r="N7118" i="1"/>
  <c r="N7119" i="1"/>
  <c r="N7120" i="1"/>
  <c r="N7121" i="1"/>
  <c r="N7123" i="1"/>
  <c r="N7124" i="1"/>
  <c r="N7125" i="1"/>
  <c r="N7126" i="1"/>
  <c r="N7127" i="1"/>
  <c r="N7128" i="1"/>
  <c r="N7129" i="1"/>
  <c r="N7130" i="1"/>
  <c r="N7131" i="1"/>
  <c r="N7132" i="1"/>
  <c r="N7133" i="1"/>
  <c r="N7135" i="1"/>
  <c r="N7136" i="1"/>
  <c r="N7138" i="1"/>
  <c r="N7139" i="1"/>
  <c r="N7140" i="1"/>
  <c r="N7141" i="1"/>
  <c r="N7142" i="1"/>
  <c r="N7143" i="1"/>
  <c r="N7145" i="1"/>
  <c r="N7146" i="1"/>
  <c r="N7147" i="1"/>
  <c r="N7148" i="1"/>
  <c r="N7149" i="1"/>
  <c r="N7152" i="1"/>
  <c r="N7154" i="1"/>
  <c r="N7155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6" i="1"/>
  <c r="N7177" i="1"/>
  <c r="N7178" i="1"/>
  <c r="N7179" i="1"/>
  <c r="N7180" i="1"/>
  <c r="N7181" i="1"/>
  <c r="N7182" i="1"/>
  <c r="N7183" i="1"/>
  <c r="N7185" i="1"/>
  <c r="N7186" i="1"/>
  <c r="N7188" i="1"/>
  <c r="N7189" i="1"/>
  <c r="N7190" i="1"/>
  <c r="N7192" i="1"/>
  <c r="N7193" i="1"/>
  <c r="N7194" i="1"/>
  <c r="N7196" i="1"/>
  <c r="N7197" i="1"/>
  <c r="N7198" i="1"/>
  <c r="N7203" i="1"/>
  <c r="N7205" i="1"/>
  <c r="N7207" i="1"/>
  <c r="N7208" i="1"/>
  <c r="N7209" i="1"/>
  <c r="N7210" i="1"/>
  <c r="N7211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9" i="1"/>
  <c r="N7233" i="1"/>
  <c r="N7234" i="1"/>
  <c r="N7235" i="1"/>
  <c r="N7238" i="1"/>
  <c r="N7240" i="1"/>
  <c r="N7241" i="1"/>
  <c r="N7243" i="1"/>
  <c r="N7244" i="1"/>
  <c r="N7245" i="1"/>
  <c r="N7247" i="1"/>
  <c r="N7248" i="1"/>
  <c r="N7249" i="1"/>
  <c r="N7250" i="1"/>
  <c r="N7251" i="1"/>
  <c r="N7252" i="1"/>
  <c r="N7253" i="1"/>
  <c r="N7254" i="1"/>
  <c r="N7255" i="1"/>
  <c r="N7256" i="1"/>
  <c r="N7261" i="1"/>
  <c r="N7262" i="1"/>
  <c r="N7263" i="1"/>
  <c r="N7264" i="1"/>
  <c r="N7265" i="1"/>
  <c r="N7266" i="1"/>
  <c r="N7267" i="1"/>
  <c r="N7270" i="1"/>
  <c r="N7271" i="1"/>
  <c r="N7272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4" i="1"/>
  <c r="N7295" i="1"/>
  <c r="N7296" i="1"/>
  <c r="N7297" i="1"/>
  <c r="N7298" i="1"/>
  <c r="N7299" i="1"/>
  <c r="N7301" i="1"/>
  <c r="N7302" i="1"/>
  <c r="N7303" i="1"/>
  <c r="N7304" i="1"/>
  <c r="N7305" i="1"/>
  <c r="N7306" i="1"/>
  <c r="N7309" i="1"/>
  <c r="N7310" i="1"/>
  <c r="N7311" i="1"/>
  <c r="N7312" i="1"/>
  <c r="N7313" i="1"/>
  <c r="N7314" i="1"/>
  <c r="N7315" i="1"/>
  <c r="N7317" i="1"/>
  <c r="N7318" i="1"/>
  <c r="N7319" i="1"/>
  <c r="N7321" i="1"/>
  <c r="N7322" i="1"/>
  <c r="N7323" i="1"/>
  <c r="N7324" i="1"/>
  <c r="N7325" i="1"/>
  <c r="N7326" i="1"/>
  <c r="N7327" i="1"/>
  <c r="N7329" i="1"/>
  <c r="N7330" i="1"/>
  <c r="N7332" i="1"/>
  <c r="N7333" i="1"/>
  <c r="N7334" i="1"/>
  <c r="N7335" i="1"/>
  <c r="N7336" i="1"/>
  <c r="N7337" i="1"/>
  <c r="N7338" i="1"/>
  <c r="N7339" i="1"/>
  <c r="N7341" i="1"/>
  <c r="N7342" i="1"/>
  <c r="N7343" i="1"/>
  <c r="N7344" i="1"/>
  <c r="N7345" i="1"/>
  <c r="N7346" i="1"/>
  <c r="N7347" i="1"/>
  <c r="N7349" i="1"/>
  <c r="N7350" i="1"/>
  <c r="N7351" i="1"/>
  <c r="N7352" i="1"/>
  <c r="N7353" i="1"/>
  <c r="N7354" i="1"/>
  <c r="N7355" i="1"/>
  <c r="N7356" i="1"/>
  <c r="N7357" i="1"/>
  <c r="N7360" i="1"/>
  <c r="N7362" i="1"/>
  <c r="N7363" i="1"/>
  <c r="N7364" i="1"/>
  <c r="N7366" i="1"/>
  <c r="N7367" i="1"/>
  <c r="N7369" i="1"/>
  <c r="N7370" i="1"/>
  <c r="N7371" i="1"/>
  <c r="N7372" i="1"/>
  <c r="N7373" i="1"/>
  <c r="N7375" i="1"/>
  <c r="N7376" i="1"/>
  <c r="N7377" i="1"/>
  <c r="N7380" i="1"/>
  <c r="N7381" i="1"/>
  <c r="N7382" i="1"/>
  <c r="N7383" i="1"/>
  <c r="N7384" i="1"/>
  <c r="N7385" i="1"/>
  <c r="N7386" i="1"/>
  <c r="N7388" i="1"/>
  <c r="N7390" i="1"/>
  <c r="N7391" i="1"/>
  <c r="N7392" i="1"/>
  <c r="N7393" i="1"/>
  <c r="N7394" i="1"/>
  <c r="N7395" i="1"/>
  <c r="N7396" i="1"/>
  <c r="N7397" i="1"/>
  <c r="N7399" i="1"/>
  <c r="N7400" i="1"/>
  <c r="N7402" i="1"/>
  <c r="N7403" i="1"/>
  <c r="N7405" i="1"/>
  <c r="N7406" i="1"/>
  <c r="N7407" i="1"/>
  <c r="N7408" i="1"/>
  <c r="N7409" i="1"/>
  <c r="N7410" i="1"/>
  <c r="N7411" i="1"/>
  <c r="N7412" i="1"/>
  <c r="N7413" i="1"/>
  <c r="N7414" i="1"/>
  <c r="N7415" i="1"/>
  <c r="N7419" i="1"/>
  <c r="N7420" i="1"/>
  <c r="N7421" i="1"/>
  <c r="N7422" i="1"/>
  <c r="N7425" i="1"/>
  <c r="N7426" i="1"/>
  <c r="N7427" i="1"/>
  <c r="N7429" i="1"/>
  <c r="N7430" i="1"/>
  <c r="N7431" i="1"/>
  <c r="N7434" i="1"/>
  <c r="N7435" i="1"/>
  <c r="N7436" i="1"/>
  <c r="N7437" i="1"/>
  <c r="N7438" i="1"/>
  <c r="N7439" i="1"/>
  <c r="N7440" i="1"/>
  <c r="N7441" i="1"/>
  <c r="N7443" i="1"/>
  <c r="N7444" i="1"/>
  <c r="N7445" i="1"/>
  <c r="N7446" i="1"/>
  <c r="N7447" i="1"/>
  <c r="N7448" i="1"/>
  <c r="N7449" i="1"/>
  <c r="N7450" i="1"/>
  <c r="N7452" i="1"/>
  <c r="N7453" i="1"/>
  <c r="N7454" i="1"/>
  <c r="N7455" i="1"/>
  <c r="N7456" i="1"/>
  <c r="N7458" i="1"/>
  <c r="N7459" i="1"/>
  <c r="N7461" i="1"/>
  <c r="N7462" i="1"/>
  <c r="N7463" i="1"/>
  <c r="N7464" i="1"/>
  <c r="N7465" i="1"/>
  <c r="N7466" i="1"/>
  <c r="N7467" i="1"/>
  <c r="N7468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3" i="1"/>
  <c r="N7485" i="1"/>
  <c r="N7486" i="1"/>
  <c r="N7487" i="1"/>
  <c r="N7489" i="1"/>
  <c r="N7490" i="1"/>
  <c r="N7491" i="1"/>
  <c r="N7492" i="1"/>
  <c r="N7493" i="1"/>
  <c r="N7494" i="1"/>
  <c r="N7495" i="1"/>
  <c r="N7496" i="1"/>
  <c r="N7497" i="1"/>
  <c r="N7498" i="1"/>
  <c r="N7500" i="1"/>
  <c r="N7501" i="1"/>
  <c r="N7502" i="1"/>
  <c r="N7503" i="1"/>
  <c r="N7504" i="1"/>
  <c r="N7506" i="1"/>
  <c r="N7507" i="1"/>
  <c r="N7508" i="1"/>
  <c r="N7509" i="1"/>
  <c r="N7510" i="1"/>
  <c r="N7512" i="1"/>
  <c r="N7513" i="1"/>
  <c r="N7514" i="1"/>
  <c r="N7515" i="1"/>
  <c r="N7516" i="1"/>
  <c r="N7517" i="1"/>
  <c r="N7519" i="1"/>
  <c r="N7521" i="1"/>
  <c r="N7522" i="1"/>
  <c r="N7524" i="1"/>
  <c r="N7526" i="1"/>
  <c r="N7528" i="1"/>
  <c r="N7529" i="1"/>
  <c r="N7530" i="1"/>
  <c r="N7531" i="1"/>
  <c r="N7532" i="1"/>
  <c r="N7533" i="1"/>
  <c r="N7534" i="1"/>
  <c r="N7535" i="1"/>
  <c r="N7539" i="1"/>
  <c r="N7540" i="1"/>
  <c r="N7541" i="1"/>
  <c r="N7542" i="1"/>
  <c r="N7543" i="1"/>
  <c r="N7544" i="1"/>
  <c r="N7546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5" i="1"/>
  <c r="N7566" i="1"/>
  <c r="N7568" i="1"/>
  <c r="N7569" i="1"/>
  <c r="N7570" i="1"/>
  <c r="N7571" i="1"/>
  <c r="N7573" i="1"/>
  <c r="N7574" i="1"/>
  <c r="N7575" i="1"/>
  <c r="N7576" i="1"/>
  <c r="N7577" i="1"/>
  <c r="N7578" i="1"/>
  <c r="N7579" i="1"/>
  <c r="N7580" i="1"/>
  <c r="N7583" i="1"/>
  <c r="N7584" i="1"/>
  <c r="N7585" i="1"/>
  <c r="N7587" i="1"/>
  <c r="N7590" i="1"/>
  <c r="N7591" i="1"/>
  <c r="N7593" i="1"/>
  <c r="N7594" i="1"/>
  <c r="N7595" i="1"/>
  <c r="N7596" i="1"/>
  <c r="N7597" i="1"/>
  <c r="N7598" i="1"/>
  <c r="N7599" i="1"/>
  <c r="N7600" i="1"/>
  <c r="N7601" i="1"/>
  <c r="N7603" i="1"/>
  <c r="N7604" i="1"/>
  <c r="N7605" i="1"/>
  <c r="N7606" i="1"/>
  <c r="N7607" i="1"/>
  <c r="N7608" i="1"/>
  <c r="N7609" i="1"/>
  <c r="N7612" i="1"/>
  <c r="N7613" i="1"/>
  <c r="N7614" i="1"/>
  <c r="N7615" i="1"/>
  <c r="N7616" i="1"/>
  <c r="N7617" i="1"/>
  <c r="N7618" i="1"/>
  <c r="N7619" i="1"/>
  <c r="N7621" i="1"/>
  <c r="N7622" i="1"/>
  <c r="N7623" i="1"/>
  <c r="N7625" i="1"/>
  <c r="N7626" i="1"/>
  <c r="N7628" i="1"/>
  <c r="N7629" i="1"/>
  <c r="N7630" i="1"/>
  <c r="N7631" i="1"/>
  <c r="N7632" i="1"/>
  <c r="N7633" i="1"/>
  <c r="N7634" i="1"/>
  <c r="N7636" i="1"/>
  <c r="N7638" i="1"/>
  <c r="N7639" i="1"/>
  <c r="N7640" i="1"/>
  <c r="N7641" i="1"/>
  <c r="N7643" i="1"/>
  <c r="N7644" i="1"/>
  <c r="N7647" i="1"/>
  <c r="N7648" i="1"/>
  <c r="N7649" i="1"/>
  <c r="N7650" i="1"/>
  <c r="N7653" i="1"/>
  <c r="N7654" i="1"/>
  <c r="N7655" i="1"/>
  <c r="N7656" i="1"/>
  <c r="N7658" i="1"/>
  <c r="N7661" i="1"/>
  <c r="N7662" i="1"/>
  <c r="N7664" i="1"/>
  <c r="N7665" i="1"/>
  <c r="N7666" i="1"/>
  <c r="N7668" i="1"/>
  <c r="N7669" i="1"/>
  <c r="N7670" i="1"/>
  <c r="N7671" i="1"/>
  <c r="N7672" i="1"/>
  <c r="N7673" i="1"/>
  <c r="N7674" i="1"/>
  <c r="N7676" i="1"/>
  <c r="N7677" i="1"/>
  <c r="N7678" i="1"/>
  <c r="N7679" i="1"/>
  <c r="N7680" i="1"/>
  <c r="N7681" i="1"/>
  <c r="N7683" i="1"/>
  <c r="N7684" i="1"/>
  <c r="N7685" i="1"/>
  <c r="N7686" i="1"/>
  <c r="N7687" i="1"/>
  <c r="N7689" i="1"/>
  <c r="N7690" i="1"/>
  <c r="N7691" i="1"/>
  <c r="N7692" i="1"/>
  <c r="N7693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6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6" i="1"/>
  <c r="N7738" i="1"/>
  <c r="N7739" i="1"/>
  <c r="N7740" i="1"/>
  <c r="N7741" i="1"/>
  <c r="N7742" i="1"/>
  <c r="N7743" i="1"/>
  <c r="N7744" i="1"/>
  <c r="N7745" i="1"/>
  <c r="N7746" i="1"/>
  <c r="N7747" i="1"/>
  <c r="N7751" i="1"/>
  <c r="N7752" i="1"/>
  <c r="N7754" i="1"/>
  <c r="N7755" i="1"/>
  <c r="N7756" i="1"/>
  <c r="N7757" i="1"/>
  <c r="N7758" i="1"/>
  <c r="N7759" i="1"/>
  <c r="N7761" i="1"/>
  <c r="N7762" i="1"/>
  <c r="N7764" i="1"/>
  <c r="N7765" i="1"/>
  <c r="N7766" i="1"/>
  <c r="N7767" i="1"/>
  <c r="N7768" i="1"/>
  <c r="N7769" i="1"/>
  <c r="N7770" i="1"/>
  <c r="N7771" i="1"/>
  <c r="N7773" i="1"/>
  <c r="N7774" i="1"/>
  <c r="N7775" i="1"/>
  <c r="N7776" i="1"/>
  <c r="N7777" i="1"/>
  <c r="N7778" i="1"/>
  <c r="N7779" i="1"/>
  <c r="N7780" i="1"/>
  <c r="N7781" i="1"/>
  <c r="N7782" i="1"/>
  <c r="N7785" i="1"/>
  <c r="N7786" i="1"/>
  <c r="N7788" i="1"/>
  <c r="N7789" i="1"/>
  <c r="N7790" i="1"/>
  <c r="N7791" i="1"/>
  <c r="N7792" i="1"/>
  <c r="N7793" i="1"/>
  <c r="N7796" i="1"/>
  <c r="N7799" i="1"/>
  <c r="N7800" i="1"/>
  <c r="N7801" i="1"/>
  <c r="N7803" i="1"/>
  <c r="N7805" i="1"/>
  <c r="N7807" i="1"/>
  <c r="N7809" i="1"/>
  <c r="N7810" i="1"/>
  <c r="N7812" i="1"/>
  <c r="N7813" i="1"/>
  <c r="N7814" i="1"/>
  <c r="N7816" i="1"/>
  <c r="N7817" i="1"/>
  <c r="N7818" i="1"/>
  <c r="N7819" i="1"/>
  <c r="N7820" i="1"/>
  <c r="N7822" i="1"/>
  <c r="N7823" i="1"/>
  <c r="N7825" i="1"/>
  <c r="N7827" i="1"/>
  <c r="N7828" i="1"/>
  <c r="N7830" i="1"/>
  <c r="N7833" i="1"/>
  <c r="N7834" i="1"/>
  <c r="N7836" i="1"/>
  <c r="N7837" i="1"/>
  <c r="N7838" i="1"/>
  <c r="N7839" i="1"/>
  <c r="N7840" i="1"/>
  <c r="N7841" i="1"/>
  <c r="N7842" i="1"/>
  <c r="N7843" i="1"/>
  <c r="N7844" i="1"/>
  <c r="N7845" i="1"/>
  <c r="N7846" i="1"/>
  <c r="N7848" i="1"/>
  <c r="N7849" i="1"/>
  <c r="N7852" i="1"/>
  <c r="N7854" i="1"/>
  <c r="N7855" i="1"/>
  <c r="N7856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3" i="1"/>
  <c r="N7884" i="1"/>
  <c r="N7885" i="1"/>
  <c r="N7886" i="1"/>
  <c r="N7887" i="1"/>
  <c r="N7889" i="1"/>
  <c r="N7890" i="1"/>
  <c r="N7891" i="1"/>
  <c r="N7892" i="1"/>
  <c r="N7894" i="1"/>
  <c r="N7895" i="1"/>
  <c r="N7896" i="1"/>
  <c r="N7897" i="1"/>
  <c r="N7898" i="1"/>
  <c r="N7899" i="1"/>
  <c r="N7901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7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2" i="1"/>
  <c r="N7933" i="1"/>
  <c r="N7934" i="1"/>
  <c r="N7935" i="1"/>
  <c r="N7936" i="1"/>
  <c r="N7937" i="1"/>
  <c r="N7939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8" i="1"/>
  <c r="N7979" i="1"/>
  <c r="N7980" i="1"/>
  <c r="N7981" i="1"/>
  <c r="N7985" i="1"/>
  <c r="N7987" i="1"/>
  <c r="N7988" i="1"/>
  <c r="N7989" i="1"/>
  <c r="N7991" i="1"/>
  <c r="N7992" i="1"/>
  <c r="N7993" i="1"/>
  <c r="N7994" i="1"/>
  <c r="N7995" i="1"/>
  <c r="N7996" i="1"/>
  <c r="N7997" i="1"/>
  <c r="N7998" i="1"/>
  <c r="N7999" i="1"/>
  <c r="N8000" i="1"/>
  <c r="N8001" i="1"/>
  <c r="M3" i="1"/>
  <c r="M4" i="1"/>
  <c r="N4" i="1" s="1"/>
  <c r="M5" i="1"/>
  <c r="M6" i="1"/>
  <c r="N6" i="1" s="1"/>
  <c r="M7" i="1"/>
  <c r="M8" i="1"/>
  <c r="M9" i="1"/>
  <c r="M10" i="1"/>
  <c r="M11" i="1"/>
  <c r="M12" i="1"/>
  <c r="M13" i="1"/>
  <c r="N13" i="1" s="1"/>
  <c r="M14" i="1"/>
  <c r="M15" i="1"/>
  <c r="M16" i="1"/>
  <c r="N16" i="1" s="1"/>
  <c r="M17" i="1"/>
  <c r="M18" i="1"/>
  <c r="M19" i="1"/>
  <c r="M20" i="1"/>
  <c r="M21" i="1"/>
  <c r="M22" i="1"/>
  <c r="M23" i="1"/>
  <c r="M24" i="1"/>
  <c r="M25" i="1"/>
  <c r="M26" i="1"/>
  <c r="M27" i="1"/>
  <c r="M28" i="1"/>
  <c r="N28" i="1" s="1"/>
  <c r="M29" i="1"/>
  <c r="M30" i="1"/>
  <c r="M31" i="1"/>
  <c r="M32" i="1"/>
  <c r="M33" i="1"/>
  <c r="M34" i="1"/>
  <c r="M35" i="1"/>
  <c r="M36" i="1"/>
  <c r="M37" i="1"/>
  <c r="N37" i="1" s="1"/>
  <c r="M38" i="1"/>
  <c r="M39" i="1"/>
  <c r="M40" i="1"/>
  <c r="M41" i="1"/>
  <c r="N41" i="1" s="1"/>
  <c r="M42" i="1"/>
  <c r="M43" i="1"/>
  <c r="M44" i="1"/>
  <c r="M45" i="1"/>
  <c r="M46" i="1"/>
  <c r="M47" i="1"/>
  <c r="M48" i="1"/>
  <c r="M49" i="1"/>
  <c r="M50" i="1"/>
  <c r="M51" i="1"/>
  <c r="N51" i="1" s="1"/>
  <c r="M52" i="1"/>
  <c r="M53" i="1"/>
  <c r="M54" i="1"/>
  <c r="N54" i="1" s="1"/>
  <c r="M55" i="1"/>
  <c r="M56" i="1"/>
  <c r="M57" i="1"/>
  <c r="M58" i="1"/>
  <c r="N58" i="1" s="1"/>
  <c r="M59" i="1"/>
  <c r="M60" i="1"/>
  <c r="M61" i="1"/>
  <c r="N61" i="1" s="1"/>
  <c r="M62" i="1"/>
  <c r="M63" i="1"/>
  <c r="M64" i="1"/>
  <c r="M65" i="1"/>
  <c r="N65" i="1" s="1"/>
  <c r="M66" i="1"/>
  <c r="N66" i="1" s="1"/>
  <c r="M67" i="1"/>
  <c r="M68" i="1"/>
  <c r="N68" i="1" s="1"/>
  <c r="M69" i="1"/>
  <c r="M70" i="1"/>
  <c r="M71" i="1"/>
  <c r="M72" i="1"/>
  <c r="M73" i="1"/>
  <c r="M74" i="1"/>
  <c r="N74" i="1" s="1"/>
  <c r="M75" i="1"/>
  <c r="M76" i="1"/>
  <c r="M77" i="1"/>
  <c r="M78" i="1"/>
  <c r="M79" i="1"/>
  <c r="M80" i="1"/>
  <c r="M81" i="1"/>
  <c r="N81" i="1" s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N97" i="1" s="1"/>
  <c r="M98" i="1"/>
  <c r="M99" i="1"/>
  <c r="N99" i="1" s="1"/>
  <c r="M100" i="1"/>
  <c r="N100" i="1" s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N114" i="1" s="1"/>
  <c r="M115" i="1"/>
  <c r="M116" i="1"/>
  <c r="M117" i="1"/>
  <c r="M118" i="1"/>
  <c r="N118" i="1" s="1"/>
  <c r="M119" i="1"/>
  <c r="M120" i="1"/>
  <c r="M121" i="1"/>
  <c r="M122" i="1"/>
  <c r="N122" i="1" s="1"/>
  <c r="M123" i="1"/>
  <c r="N123" i="1" s="1"/>
  <c r="M124" i="1"/>
  <c r="N124" i="1" s="1"/>
  <c r="M125" i="1"/>
  <c r="M126" i="1"/>
  <c r="M127" i="1"/>
  <c r="N127" i="1" s="1"/>
  <c r="M128" i="1"/>
  <c r="M129" i="1"/>
  <c r="M130" i="1"/>
  <c r="M131" i="1"/>
  <c r="N131" i="1" s="1"/>
  <c r="M132" i="1"/>
  <c r="M133" i="1"/>
  <c r="M134" i="1"/>
  <c r="N134" i="1" s="1"/>
  <c r="M135" i="1"/>
  <c r="N135" i="1" s="1"/>
  <c r="M136" i="1"/>
  <c r="M137" i="1"/>
  <c r="M138" i="1"/>
  <c r="M139" i="1"/>
  <c r="M140" i="1"/>
  <c r="N140" i="1" s="1"/>
  <c r="M141" i="1"/>
  <c r="N141" i="1" s="1"/>
  <c r="M142" i="1"/>
  <c r="M143" i="1"/>
  <c r="M144" i="1"/>
  <c r="N144" i="1" s="1"/>
  <c r="M145" i="1"/>
  <c r="N145" i="1" s="1"/>
  <c r="M146" i="1"/>
  <c r="M147" i="1"/>
  <c r="M148" i="1"/>
  <c r="M149" i="1"/>
  <c r="M150" i="1"/>
  <c r="M151" i="1"/>
  <c r="M152" i="1"/>
  <c r="M153" i="1"/>
  <c r="M154" i="1"/>
  <c r="M155" i="1"/>
  <c r="N155" i="1" s="1"/>
  <c r="M156" i="1"/>
  <c r="M157" i="1"/>
  <c r="N157" i="1" s="1"/>
  <c r="M158" i="1"/>
  <c r="M159" i="1"/>
  <c r="M160" i="1"/>
  <c r="M161" i="1"/>
  <c r="M162" i="1"/>
  <c r="M163" i="1"/>
  <c r="N163" i="1" s="1"/>
  <c r="M164" i="1"/>
  <c r="N164" i="1" s="1"/>
  <c r="M165" i="1"/>
  <c r="N165" i="1" s="1"/>
  <c r="M166" i="1"/>
  <c r="N166" i="1" s="1"/>
  <c r="M167" i="1"/>
  <c r="M168" i="1"/>
  <c r="M169" i="1"/>
  <c r="M170" i="1"/>
  <c r="M171" i="1"/>
  <c r="N171" i="1" s="1"/>
  <c r="M172" i="1"/>
  <c r="M173" i="1"/>
  <c r="M174" i="1"/>
  <c r="M175" i="1"/>
  <c r="M176" i="1"/>
  <c r="N176" i="1" s="1"/>
  <c r="M177" i="1"/>
  <c r="N177" i="1" s="1"/>
  <c r="M178" i="1"/>
  <c r="M179" i="1"/>
  <c r="M180" i="1"/>
  <c r="M181" i="1"/>
  <c r="N181" i="1" s="1"/>
  <c r="M182" i="1"/>
  <c r="M183" i="1"/>
  <c r="M184" i="1"/>
  <c r="M185" i="1"/>
  <c r="N185" i="1" s="1"/>
  <c r="M186" i="1"/>
  <c r="M187" i="1"/>
  <c r="N187" i="1" s="1"/>
  <c r="M188" i="1"/>
  <c r="N188" i="1" s="1"/>
  <c r="M189" i="1"/>
  <c r="M190" i="1"/>
  <c r="M191" i="1"/>
  <c r="M192" i="1"/>
  <c r="M193" i="1"/>
  <c r="M194" i="1"/>
  <c r="M195" i="1"/>
  <c r="N195" i="1" s="1"/>
  <c r="M196" i="1"/>
  <c r="N196" i="1" s="1"/>
  <c r="M197" i="1"/>
  <c r="M198" i="1"/>
  <c r="N198" i="1" s="1"/>
  <c r="M199" i="1"/>
  <c r="M200" i="1"/>
  <c r="M201" i="1"/>
  <c r="M202" i="1"/>
  <c r="M203" i="1"/>
  <c r="M204" i="1"/>
  <c r="M205" i="1"/>
  <c r="M206" i="1"/>
  <c r="M207" i="1"/>
  <c r="N207" i="1" s="1"/>
  <c r="M208" i="1"/>
  <c r="M209" i="1"/>
  <c r="N209" i="1" s="1"/>
  <c r="M210" i="1"/>
  <c r="M211" i="1"/>
  <c r="M212" i="1"/>
  <c r="M213" i="1"/>
  <c r="M214" i="1"/>
  <c r="M215" i="1"/>
  <c r="M216" i="1"/>
  <c r="M217" i="1"/>
  <c r="M218" i="1"/>
  <c r="M219" i="1"/>
  <c r="N219" i="1" s="1"/>
  <c r="M220" i="1"/>
  <c r="M221" i="1"/>
  <c r="M222" i="1"/>
  <c r="M223" i="1"/>
  <c r="M224" i="1"/>
  <c r="M225" i="1"/>
  <c r="N225" i="1" s="1"/>
  <c r="M226" i="1"/>
  <c r="N226" i="1" s="1"/>
  <c r="M227" i="1"/>
  <c r="N227" i="1" s="1"/>
  <c r="M228" i="1"/>
  <c r="M229" i="1"/>
  <c r="M230" i="1"/>
  <c r="N230" i="1" s="1"/>
  <c r="M231" i="1"/>
  <c r="M232" i="1"/>
  <c r="M233" i="1"/>
  <c r="M234" i="1"/>
  <c r="N234" i="1" s="1"/>
  <c r="M235" i="1"/>
  <c r="M236" i="1"/>
  <c r="N236" i="1" s="1"/>
  <c r="M237" i="1"/>
  <c r="N237" i="1" s="1"/>
  <c r="M238" i="1"/>
  <c r="N238" i="1" s="1"/>
  <c r="M239" i="1"/>
  <c r="M240" i="1"/>
  <c r="N240" i="1" s="1"/>
  <c r="M241" i="1"/>
  <c r="N241" i="1" s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N254" i="1" s="1"/>
  <c r="M255" i="1"/>
  <c r="M256" i="1"/>
  <c r="M257" i="1"/>
  <c r="M258" i="1"/>
  <c r="M259" i="1"/>
  <c r="M260" i="1"/>
  <c r="M261" i="1"/>
  <c r="M262" i="1"/>
  <c r="M263" i="1"/>
  <c r="N263" i="1" s="1"/>
  <c r="M264" i="1"/>
  <c r="M265" i="1"/>
  <c r="N265" i="1" s="1"/>
  <c r="M266" i="1"/>
  <c r="N266" i="1" s="1"/>
  <c r="M267" i="1"/>
  <c r="N267" i="1" s="1"/>
  <c r="M268" i="1"/>
  <c r="M269" i="1"/>
  <c r="N269" i="1" s="1"/>
  <c r="M270" i="1"/>
  <c r="M271" i="1"/>
  <c r="M272" i="1"/>
  <c r="M273" i="1"/>
  <c r="N273" i="1" s="1"/>
  <c r="M274" i="1"/>
  <c r="M275" i="1"/>
  <c r="M276" i="1"/>
  <c r="M277" i="1"/>
  <c r="M278" i="1"/>
  <c r="M279" i="1"/>
  <c r="M280" i="1"/>
  <c r="M281" i="1"/>
  <c r="M282" i="1"/>
  <c r="M283" i="1"/>
  <c r="N283" i="1" s="1"/>
  <c r="M284" i="1"/>
  <c r="M285" i="1"/>
  <c r="M286" i="1"/>
  <c r="N286" i="1" s="1"/>
  <c r="M287" i="1"/>
  <c r="M288" i="1"/>
  <c r="N288" i="1" s="1"/>
  <c r="M289" i="1"/>
  <c r="M290" i="1"/>
  <c r="N290" i="1" s="1"/>
  <c r="M291" i="1"/>
  <c r="M292" i="1"/>
  <c r="N292" i="1" s="1"/>
  <c r="M293" i="1"/>
  <c r="M294" i="1"/>
  <c r="M295" i="1"/>
  <c r="M296" i="1"/>
  <c r="N296" i="1" s="1"/>
  <c r="M297" i="1"/>
  <c r="N297" i="1" s="1"/>
  <c r="M298" i="1"/>
  <c r="M299" i="1"/>
  <c r="N299" i="1" s="1"/>
  <c r="M300" i="1"/>
  <c r="M301" i="1"/>
  <c r="M302" i="1"/>
  <c r="M303" i="1"/>
  <c r="N303" i="1" s="1"/>
  <c r="M304" i="1"/>
  <c r="M305" i="1"/>
  <c r="M306" i="1"/>
  <c r="M307" i="1"/>
  <c r="M308" i="1"/>
  <c r="N308" i="1" s="1"/>
  <c r="M309" i="1"/>
  <c r="N309" i="1" s="1"/>
  <c r="M310" i="1"/>
  <c r="M311" i="1"/>
  <c r="M312" i="1"/>
  <c r="M313" i="1"/>
  <c r="M314" i="1"/>
  <c r="M315" i="1"/>
  <c r="M316" i="1"/>
  <c r="N316" i="1" s="1"/>
  <c r="M317" i="1"/>
  <c r="M318" i="1"/>
  <c r="M319" i="1"/>
  <c r="M320" i="1"/>
  <c r="M321" i="1"/>
  <c r="M322" i="1"/>
  <c r="M323" i="1"/>
  <c r="N323" i="1" s="1"/>
  <c r="M324" i="1"/>
  <c r="M325" i="1"/>
  <c r="M326" i="1"/>
  <c r="N326" i="1" s="1"/>
  <c r="M327" i="1"/>
  <c r="N327" i="1" s="1"/>
  <c r="M328" i="1"/>
  <c r="M329" i="1"/>
  <c r="M330" i="1"/>
  <c r="M331" i="1"/>
  <c r="M332" i="1"/>
  <c r="M333" i="1"/>
  <c r="N333" i="1" s="1"/>
  <c r="M334" i="1"/>
  <c r="M335" i="1"/>
  <c r="M336" i="1"/>
  <c r="M337" i="1"/>
  <c r="M338" i="1"/>
  <c r="M339" i="1"/>
  <c r="M340" i="1"/>
  <c r="M341" i="1"/>
  <c r="N341" i="1" s="1"/>
  <c r="M342" i="1"/>
  <c r="M343" i="1"/>
  <c r="N343" i="1" s="1"/>
  <c r="M344" i="1"/>
  <c r="M345" i="1"/>
  <c r="N345" i="1" s="1"/>
  <c r="M346" i="1"/>
  <c r="N346" i="1" s="1"/>
  <c r="M347" i="1"/>
  <c r="M348" i="1"/>
  <c r="N348" i="1" s="1"/>
  <c r="M349" i="1"/>
  <c r="M350" i="1"/>
  <c r="N350" i="1" s="1"/>
  <c r="M351" i="1"/>
  <c r="M352" i="1"/>
  <c r="M353" i="1"/>
  <c r="M354" i="1"/>
  <c r="M355" i="1"/>
  <c r="N355" i="1" s="1"/>
  <c r="M356" i="1"/>
  <c r="M357" i="1"/>
  <c r="M358" i="1"/>
  <c r="N358" i="1" s="1"/>
  <c r="M359" i="1"/>
  <c r="M360" i="1"/>
  <c r="M361" i="1"/>
  <c r="N361" i="1" s="1"/>
  <c r="M362" i="1"/>
  <c r="M363" i="1"/>
  <c r="M364" i="1"/>
  <c r="N364" i="1" s="1"/>
  <c r="M365" i="1"/>
  <c r="N365" i="1" s="1"/>
  <c r="M366" i="1"/>
  <c r="M367" i="1"/>
  <c r="N367" i="1" s="1"/>
  <c r="M368" i="1"/>
  <c r="N368" i="1" s="1"/>
  <c r="M369" i="1"/>
  <c r="M370" i="1"/>
  <c r="M371" i="1"/>
  <c r="M372" i="1"/>
  <c r="N372" i="1" s="1"/>
  <c r="M373" i="1"/>
  <c r="M374" i="1"/>
  <c r="M375" i="1"/>
  <c r="N375" i="1" s="1"/>
  <c r="M376" i="1"/>
  <c r="N376" i="1" s="1"/>
  <c r="M377" i="1"/>
  <c r="M378" i="1"/>
  <c r="M379" i="1"/>
  <c r="M380" i="1"/>
  <c r="N380" i="1" s="1"/>
  <c r="M381" i="1"/>
  <c r="M382" i="1"/>
  <c r="N382" i="1" s="1"/>
  <c r="M383" i="1"/>
  <c r="M384" i="1"/>
  <c r="M385" i="1"/>
  <c r="M386" i="1"/>
  <c r="N386" i="1" s="1"/>
  <c r="M387" i="1"/>
  <c r="M388" i="1"/>
  <c r="M389" i="1"/>
  <c r="M390" i="1"/>
  <c r="N390" i="1" s="1"/>
  <c r="M391" i="1"/>
  <c r="M392" i="1"/>
  <c r="M393" i="1"/>
  <c r="N393" i="1" s="1"/>
  <c r="M394" i="1"/>
  <c r="M395" i="1"/>
  <c r="M396" i="1"/>
  <c r="M397" i="1"/>
  <c r="M398" i="1"/>
  <c r="M399" i="1"/>
  <c r="N399" i="1" s="1"/>
  <c r="M400" i="1"/>
  <c r="M401" i="1"/>
  <c r="M402" i="1"/>
  <c r="M403" i="1"/>
  <c r="M404" i="1"/>
  <c r="N404" i="1" s="1"/>
  <c r="M405" i="1"/>
  <c r="M406" i="1"/>
  <c r="N406" i="1" s="1"/>
  <c r="M407" i="1"/>
  <c r="N407" i="1" s="1"/>
  <c r="M408" i="1"/>
  <c r="M409" i="1"/>
  <c r="M410" i="1"/>
  <c r="M411" i="1"/>
  <c r="M412" i="1"/>
  <c r="M413" i="1"/>
  <c r="N413" i="1" s="1"/>
  <c r="M414" i="1"/>
  <c r="M415" i="1"/>
  <c r="M416" i="1"/>
  <c r="M417" i="1"/>
  <c r="M418" i="1"/>
  <c r="N418" i="1" s="1"/>
  <c r="M419" i="1"/>
  <c r="M420" i="1"/>
  <c r="N420" i="1" s="1"/>
  <c r="M421" i="1"/>
  <c r="N421" i="1" s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N434" i="1" s="1"/>
  <c r="M435" i="1"/>
  <c r="N435" i="1" s="1"/>
  <c r="M436" i="1"/>
  <c r="M437" i="1"/>
  <c r="M438" i="1"/>
  <c r="M439" i="1"/>
  <c r="M440" i="1"/>
  <c r="M441" i="1"/>
  <c r="M442" i="1"/>
  <c r="M443" i="1"/>
  <c r="M444" i="1"/>
  <c r="M445" i="1"/>
  <c r="M446" i="1"/>
  <c r="N446" i="1" s="1"/>
  <c r="M447" i="1"/>
  <c r="N447" i="1" s="1"/>
  <c r="M448" i="1"/>
  <c r="N448" i="1" s="1"/>
  <c r="M449" i="1"/>
  <c r="M450" i="1"/>
  <c r="M451" i="1"/>
  <c r="M452" i="1"/>
  <c r="N452" i="1" s="1"/>
  <c r="M453" i="1"/>
  <c r="N453" i="1" s="1"/>
  <c r="M454" i="1"/>
  <c r="M455" i="1"/>
  <c r="M456" i="1"/>
  <c r="M457" i="1"/>
  <c r="M458" i="1"/>
  <c r="N458" i="1" s="1"/>
  <c r="M459" i="1"/>
  <c r="N459" i="1" s="1"/>
  <c r="M460" i="1"/>
  <c r="M461" i="1"/>
  <c r="M462" i="1"/>
  <c r="N462" i="1" s="1"/>
  <c r="M463" i="1"/>
  <c r="M464" i="1"/>
  <c r="M465" i="1"/>
  <c r="M466" i="1"/>
  <c r="M467" i="1"/>
  <c r="M468" i="1"/>
  <c r="M469" i="1"/>
  <c r="M470" i="1"/>
  <c r="N470" i="1" s="1"/>
  <c r="M471" i="1"/>
  <c r="M472" i="1"/>
  <c r="M473" i="1"/>
  <c r="M474" i="1"/>
  <c r="M475" i="1"/>
  <c r="M476" i="1"/>
  <c r="M477" i="1"/>
  <c r="N477" i="1" s="1"/>
  <c r="M478" i="1"/>
  <c r="M479" i="1"/>
  <c r="M480" i="1"/>
  <c r="N480" i="1" s="1"/>
  <c r="M481" i="1"/>
  <c r="N481" i="1" s="1"/>
  <c r="M482" i="1"/>
  <c r="M483" i="1"/>
  <c r="M484" i="1"/>
  <c r="N484" i="1" s="1"/>
  <c r="M485" i="1"/>
  <c r="M486" i="1"/>
  <c r="M487" i="1"/>
  <c r="M488" i="1"/>
  <c r="N488" i="1" s="1"/>
  <c r="M489" i="1"/>
  <c r="M490" i="1"/>
  <c r="M491" i="1"/>
  <c r="N491" i="1" s="1"/>
  <c r="M492" i="1"/>
  <c r="M493" i="1"/>
  <c r="M494" i="1"/>
  <c r="N494" i="1" s="1"/>
  <c r="M495" i="1"/>
  <c r="N495" i="1" s="1"/>
  <c r="M496" i="1"/>
  <c r="M497" i="1"/>
  <c r="M498" i="1"/>
  <c r="M499" i="1"/>
  <c r="M500" i="1"/>
  <c r="M501" i="1"/>
  <c r="M502" i="1"/>
  <c r="M503" i="1"/>
  <c r="N503" i="1" s="1"/>
  <c r="M504" i="1"/>
  <c r="M505" i="1"/>
  <c r="M506" i="1"/>
  <c r="M507" i="1"/>
  <c r="M508" i="1"/>
  <c r="M509" i="1"/>
  <c r="N509" i="1" s="1"/>
  <c r="M510" i="1"/>
  <c r="M511" i="1"/>
  <c r="M512" i="1"/>
  <c r="M513" i="1"/>
  <c r="N513" i="1" s="1"/>
  <c r="M514" i="1"/>
  <c r="M515" i="1"/>
  <c r="M516" i="1"/>
  <c r="M517" i="1"/>
  <c r="N517" i="1" s="1"/>
  <c r="M518" i="1"/>
  <c r="M519" i="1"/>
  <c r="N519" i="1" s="1"/>
  <c r="M520" i="1"/>
  <c r="M521" i="1"/>
  <c r="M522" i="1"/>
  <c r="M523" i="1"/>
  <c r="M524" i="1"/>
  <c r="N524" i="1" s="1"/>
  <c r="M525" i="1"/>
  <c r="M526" i="1"/>
  <c r="M527" i="1"/>
  <c r="M528" i="1"/>
  <c r="M529" i="1"/>
  <c r="N529" i="1" s="1"/>
  <c r="M530" i="1"/>
  <c r="M531" i="1"/>
  <c r="N531" i="1" s="1"/>
  <c r="M532" i="1"/>
  <c r="M533" i="1"/>
  <c r="M534" i="1"/>
  <c r="N534" i="1" s="1"/>
  <c r="M535" i="1"/>
  <c r="N535" i="1" s="1"/>
  <c r="M536" i="1"/>
  <c r="M537" i="1"/>
  <c r="N537" i="1" s="1"/>
  <c r="M538" i="1"/>
  <c r="M539" i="1"/>
  <c r="N539" i="1" s="1"/>
  <c r="M540" i="1"/>
  <c r="M541" i="1"/>
  <c r="M542" i="1"/>
  <c r="M543" i="1"/>
  <c r="N543" i="1" s="1"/>
  <c r="M544" i="1"/>
  <c r="M545" i="1"/>
  <c r="M546" i="1"/>
  <c r="M547" i="1"/>
  <c r="M548" i="1"/>
  <c r="M549" i="1"/>
  <c r="M550" i="1"/>
  <c r="M551" i="1"/>
  <c r="M552" i="1"/>
  <c r="M553" i="1"/>
  <c r="M554" i="1"/>
  <c r="N554" i="1" s="1"/>
  <c r="M555" i="1"/>
  <c r="M556" i="1"/>
  <c r="N556" i="1" s="1"/>
  <c r="M557" i="1"/>
  <c r="M558" i="1"/>
  <c r="M559" i="1"/>
  <c r="M560" i="1"/>
  <c r="M561" i="1"/>
  <c r="M562" i="1"/>
  <c r="M563" i="1"/>
  <c r="M564" i="1"/>
  <c r="N564" i="1" s="1"/>
  <c r="M565" i="1"/>
  <c r="M566" i="1"/>
  <c r="M567" i="1"/>
  <c r="M568" i="1"/>
  <c r="M569" i="1"/>
  <c r="M570" i="1"/>
  <c r="M571" i="1"/>
  <c r="M572" i="1"/>
  <c r="N572" i="1" s="1"/>
  <c r="M573" i="1"/>
  <c r="M574" i="1"/>
  <c r="M575" i="1"/>
  <c r="M576" i="1"/>
  <c r="M577" i="1"/>
  <c r="M578" i="1"/>
  <c r="N578" i="1" s="1"/>
  <c r="M579" i="1"/>
  <c r="M580" i="1"/>
  <c r="N580" i="1" s="1"/>
  <c r="M581" i="1"/>
  <c r="M582" i="1"/>
  <c r="M583" i="1"/>
  <c r="M584" i="1"/>
  <c r="M585" i="1"/>
  <c r="M586" i="1"/>
  <c r="M587" i="1"/>
  <c r="N587" i="1" s="1"/>
  <c r="M588" i="1"/>
  <c r="M589" i="1"/>
  <c r="M590" i="1"/>
  <c r="M591" i="1"/>
  <c r="M592" i="1"/>
  <c r="M593" i="1"/>
  <c r="M594" i="1"/>
  <c r="M595" i="1"/>
  <c r="M596" i="1"/>
  <c r="N596" i="1" s="1"/>
  <c r="M597" i="1"/>
  <c r="M598" i="1"/>
  <c r="M599" i="1"/>
  <c r="M600" i="1"/>
  <c r="M601" i="1"/>
  <c r="M602" i="1"/>
  <c r="M603" i="1"/>
  <c r="M604" i="1"/>
  <c r="M605" i="1"/>
  <c r="N605" i="1" s="1"/>
  <c r="M606" i="1"/>
  <c r="N606" i="1" s="1"/>
  <c r="M607" i="1"/>
  <c r="N607" i="1" s="1"/>
  <c r="M608" i="1"/>
  <c r="M609" i="1"/>
  <c r="M610" i="1"/>
  <c r="M611" i="1"/>
  <c r="M612" i="1"/>
  <c r="M613" i="1"/>
  <c r="N613" i="1" s="1"/>
  <c r="M614" i="1"/>
  <c r="M615" i="1"/>
  <c r="M616" i="1"/>
  <c r="N616" i="1" s="1"/>
  <c r="M617" i="1"/>
  <c r="M618" i="1"/>
  <c r="N618" i="1" s="1"/>
  <c r="M619" i="1"/>
  <c r="M620" i="1"/>
  <c r="M621" i="1"/>
  <c r="M622" i="1"/>
  <c r="M623" i="1"/>
  <c r="N623" i="1" s="1"/>
  <c r="M624" i="1"/>
  <c r="M625" i="1"/>
  <c r="M626" i="1"/>
  <c r="M627" i="1"/>
  <c r="M628" i="1"/>
  <c r="M629" i="1"/>
  <c r="M630" i="1"/>
  <c r="M631" i="1"/>
  <c r="M632" i="1"/>
  <c r="M633" i="1"/>
  <c r="N633" i="1" s="1"/>
  <c r="M634" i="1"/>
  <c r="N634" i="1" s="1"/>
  <c r="M635" i="1"/>
  <c r="M636" i="1"/>
  <c r="M637" i="1"/>
  <c r="M638" i="1"/>
  <c r="M639" i="1"/>
  <c r="M640" i="1"/>
  <c r="M641" i="1"/>
  <c r="N641" i="1" s="1"/>
  <c r="M642" i="1"/>
  <c r="M643" i="1"/>
  <c r="M644" i="1"/>
  <c r="M645" i="1"/>
  <c r="M646" i="1"/>
  <c r="M647" i="1"/>
  <c r="M648" i="1"/>
  <c r="M649" i="1"/>
  <c r="M650" i="1"/>
  <c r="N650" i="1" s="1"/>
  <c r="M651" i="1"/>
  <c r="N651" i="1" s="1"/>
  <c r="M652" i="1"/>
  <c r="N652" i="1" s="1"/>
  <c r="M653" i="1"/>
  <c r="M654" i="1"/>
  <c r="M655" i="1"/>
  <c r="M656" i="1"/>
  <c r="N656" i="1" s="1"/>
  <c r="M657" i="1"/>
  <c r="M658" i="1"/>
  <c r="N658" i="1" s="1"/>
  <c r="M659" i="1"/>
  <c r="M660" i="1"/>
  <c r="M661" i="1"/>
  <c r="M662" i="1"/>
  <c r="N662" i="1" s="1"/>
  <c r="M663" i="1"/>
  <c r="M664" i="1"/>
  <c r="M665" i="1"/>
  <c r="M666" i="1"/>
  <c r="M667" i="1"/>
  <c r="M668" i="1"/>
  <c r="M669" i="1"/>
  <c r="M670" i="1"/>
  <c r="M671" i="1"/>
  <c r="N671" i="1" s="1"/>
  <c r="M672" i="1"/>
  <c r="M673" i="1"/>
  <c r="N673" i="1" s="1"/>
  <c r="M674" i="1"/>
  <c r="M675" i="1"/>
  <c r="M676" i="1"/>
  <c r="M677" i="1"/>
  <c r="M678" i="1"/>
  <c r="M679" i="1"/>
  <c r="M680" i="1"/>
  <c r="N680" i="1" s="1"/>
  <c r="M681" i="1"/>
  <c r="M682" i="1"/>
  <c r="M683" i="1"/>
  <c r="N683" i="1" s="1"/>
  <c r="M684" i="1"/>
  <c r="M685" i="1"/>
  <c r="M686" i="1"/>
  <c r="M687" i="1"/>
  <c r="M688" i="1"/>
  <c r="M689" i="1"/>
  <c r="N689" i="1" s="1"/>
  <c r="M690" i="1"/>
  <c r="M691" i="1"/>
  <c r="M692" i="1"/>
  <c r="M693" i="1"/>
  <c r="M694" i="1"/>
  <c r="M695" i="1"/>
  <c r="M696" i="1"/>
  <c r="M697" i="1"/>
  <c r="M698" i="1"/>
  <c r="M699" i="1"/>
  <c r="M700" i="1"/>
  <c r="N700" i="1" s="1"/>
  <c r="M701" i="1"/>
  <c r="M702" i="1"/>
  <c r="M703" i="1"/>
  <c r="N703" i="1" s="1"/>
  <c r="M704" i="1"/>
  <c r="N704" i="1" s="1"/>
  <c r="M705" i="1"/>
  <c r="N705" i="1" s="1"/>
  <c r="M706" i="1"/>
  <c r="N706" i="1" s="1"/>
  <c r="M707" i="1"/>
  <c r="M708" i="1"/>
  <c r="M709" i="1"/>
  <c r="M710" i="1"/>
  <c r="N710" i="1" s="1"/>
  <c r="M711" i="1"/>
  <c r="M712" i="1"/>
  <c r="M713" i="1"/>
  <c r="M714" i="1"/>
  <c r="M715" i="1"/>
  <c r="M716" i="1"/>
  <c r="M717" i="1"/>
  <c r="M718" i="1"/>
  <c r="M719" i="1"/>
  <c r="M720" i="1"/>
  <c r="N720" i="1" s="1"/>
  <c r="M721" i="1"/>
  <c r="M722" i="1"/>
  <c r="N722" i="1" s="1"/>
  <c r="M723" i="1"/>
  <c r="M724" i="1"/>
  <c r="N724" i="1" s="1"/>
  <c r="M725" i="1"/>
  <c r="M726" i="1"/>
  <c r="M727" i="1"/>
  <c r="M728" i="1"/>
  <c r="M729" i="1"/>
  <c r="N729" i="1" s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N743" i="1" s="1"/>
  <c r="M744" i="1"/>
  <c r="M745" i="1"/>
  <c r="M746" i="1"/>
  <c r="M747" i="1"/>
  <c r="M748" i="1"/>
  <c r="M749" i="1"/>
  <c r="M750" i="1"/>
  <c r="M751" i="1"/>
  <c r="M752" i="1"/>
  <c r="N752" i="1" s="1"/>
  <c r="M753" i="1"/>
  <c r="M754" i="1"/>
  <c r="M755" i="1"/>
  <c r="N755" i="1" s="1"/>
  <c r="M756" i="1"/>
  <c r="M757" i="1"/>
  <c r="M758" i="1"/>
  <c r="M759" i="1"/>
  <c r="M760" i="1"/>
  <c r="M761" i="1"/>
  <c r="N761" i="1" s="1"/>
  <c r="M762" i="1"/>
  <c r="M763" i="1"/>
  <c r="M764" i="1"/>
  <c r="M765" i="1"/>
  <c r="N765" i="1" s="1"/>
  <c r="M766" i="1"/>
  <c r="N766" i="1" s="1"/>
  <c r="M767" i="1"/>
  <c r="M768" i="1"/>
  <c r="M769" i="1"/>
  <c r="M770" i="1"/>
  <c r="M771" i="1"/>
  <c r="M772" i="1"/>
  <c r="N772" i="1" s="1"/>
  <c r="M773" i="1"/>
  <c r="M774" i="1"/>
  <c r="M775" i="1"/>
  <c r="M776" i="1"/>
  <c r="M777" i="1"/>
  <c r="N777" i="1" s="1"/>
  <c r="M778" i="1"/>
  <c r="M779" i="1"/>
  <c r="M780" i="1"/>
  <c r="M781" i="1"/>
  <c r="N781" i="1" s="1"/>
  <c r="M782" i="1"/>
  <c r="M783" i="1"/>
  <c r="M784" i="1"/>
  <c r="M785" i="1"/>
  <c r="M786" i="1"/>
  <c r="N786" i="1" s="1"/>
  <c r="M787" i="1"/>
  <c r="M788" i="1"/>
  <c r="M789" i="1"/>
  <c r="N789" i="1" s="1"/>
  <c r="M790" i="1"/>
  <c r="M791" i="1"/>
  <c r="N791" i="1" s="1"/>
  <c r="M792" i="1"/>
  <c r="M793" i="1"/>
  <c r="N793" i="1" s="1"/>
  <c r="M794" i="1"/>
  <c r="N794" i="1" s="1"/>
  <c r="M795" i="1"/>
  <c r="M796" i="1"/>
  <c r="M797" i="1"/>
  <c r="M798" i="1"/>
  <c r="M799" i="1"/>
  <c r="M800" i="1"/>
  <c r="M801" i="1"/>
  <c r="M802" i="1"/>
  <c r="N802" i="1" s="1"/>
  <c r="M803" i="1"/>
  <c r="M804" i="1"/>
  <c r="N804" i="1" s="1"/>
  <c r="M805" i="1"/>
  <c r="M806" i="1"/>
  <c r="M807" i="1"/>
  <c r="M808" i="1"/>
  <c r="M809" i="1"/>
  <c r="M810" i="1"/>
  <c r="N810" i="1" s="1"/>
  <c r="M811" i="1"/>
  <c r="M812" i="1"/>
  <c r="M813" i="1"/>
  <c r="N813" i="1" s="1"/>
  <c r="M814" i="1"/>
  <c r="M815" i="1"/>
  <c r="M816" i="1"/>
  <c r="M817" i="1"/>
  <c r="M818" i="1"/>
  <c r="N818" i="1" s="1"/>
  <c r="M819" i="1"/>
  <c r="M820" i="1"/>
  <c r="N820" i="1" s="1"/>
  <c r="M821" i="1"/>
  <c r="M822" i="1"/>
  <c r="N822" i="1" s="1"/>
  <c r="M823" i="1"/>
  <c r="M824" i="1"/>
  <c r="M825" i="1"/>
  <c r="N825" i="1" s="1"/>
  <c r="M826" i="1"/>
  <c r="M827" i="1"/>
  <c r="M828" i="1"/>
  <c r="M829" i="1"/>
  <c r="M830" i="1"/>
  <c r="N830" i="1" s="1"/>
  <c r="M831" i="1"/>
  <c r="M832" i="1"/>
  <c r="M833" i="1"/>
  <c r="N833" i="1" s="1"/>
  <c r="M834" i="1"/>
  <c r="M835" i="1"/>
  <c r="M836" i="1"/>
  <c r="M837" i="1"/>
  <c r="M838" i="1"/>
  <c r="M839" i="1"/>
  <c r="M840" i="1"/>
  <c r="M841" i="1"/>
  <c r="N841" i="1" s="1"/>
  <c r="M842" i="1"/>
  <c r="M843" i="1"/>
  <c r="N843" i="1" s="1"/>
  <c r="M844" i="1"/>
  <c r="M845" i="1"/>
  <c r="M846" i="1"/>
  <c r="N846" i="1" s="1"/>
  <c r="M847" i="1"/>
  <c r="M848" i="1"/>
  <c r="M849" i="1"/>
  <c r="M850" i="1"/>
  <c r="M851" i="1"/>
  <c r="N851" i="1" s="1"/>
  <c r="M852" i="1"/>
  <c r="M853" i="1"/>
  <c r="M854" i="1"/>
  <c r="M855" i="1"/>
  <c r="M856" i="1"/>
  <c r="M857" i="1"/>
  <c r="M858" i="1"/>
  <c r="N858" i="1" s="1"/>
  <c r="M859" i="1"/>
  <c r="M860" i="1"/>
  <c r="N860" i="1" s="1"/>
  <c r="M861" i="1"/>
  <c r="M862" i="1"/>
  <c r="M863" i="1"/>
  <c r="M864" i="1"/>
  <c r="M865" i="1"/>
  <c r="M866" i="1"/>
  <c r="M867" i="1"/>
  <c r="M868" i="1"/>
  <c r="N868" i="1" s="1"/>
  <c r="M869" i="1"/>
  <c r="N869" i="1" s="1"/>
  <c r="M870" i="1"/>
  <c r="M871" i="1"/>
  <c r="N871" i="1" s="1"/>
  <c r="M872" i="1"/>
  <c r="M873" i="1"/>
  <c r="N873" i="1" s="1"/>
  <c r="M874" i="1"/>
  <c r="M875" i="1"/>
  <c r="M876" i="1"/>
  <c r="M877" i="1"/>
  <c r="M878" i="1"/>
  <c r="N878" i="1" s="1"/>
  <c r="M879" i="1"/>
  <c r="N879" i="1" s="1"/>
  <c r="M880" i="1"/>
  <c r="N880" i="1" s="1"/>
  <c r="M881" i="1"/>
  <c r="M882" i="1"/>
  <c r="M883" i="1"/>
  <c r="N883" i="1" s="1"/>
  <c r="M884" i="1"/>
  <c r="M885" i="1"/>
  <c r="M886" i="1"/>
  <c r="M887" i="1"/>
  <c r="M888" i="1"/>
  <c r="M889" i="1"/>
  <c r="M890" i="1"/>
  <c r="M891" i="1"/>
  <c r="M892" i="1"/>
  <c r="M893" i="1"/>
  <c r="M894" i="1"/>
  <c r="M895" i="1"/>
  <c r="N895" i="1" s="1"/>
  <c r="M896" i="1"/>
  <c r="M897" i="1"/>
  <c r="M898" i="1"/>
  <c r="M899" i="1"/>
  <c r="N899" i="1" s="1"/>
  <c r="M900" i="1"/>
  <c r="M901" i="1"/>
  <c r="N901" i="1" s="1"/>
  <c r="M902" i="1"/>
  <c r="M903" i="1"/>
  <c r="M904" i="1"/>
  <c r="M905" i="1"/>
  <c r="M906" i="1"/>
  <c r="N906" i="1" s="1"/>
  <c r="M907" i="1"/>
  <c r="M908" i="1"/>
  <c r="M909" i="1"/>
  <c r="N909" i="1" s="1"/>
  <c r="M910" i="1"/>
  <c r="M911" i="1"/>
  <c r="M912" i="1"/>
  <c r="M913" i="1"/>
  <c r="N913" i="1" s="1"/>
  <c r="M914" i="1"/>
  <c r="M915" i="1"/>
  <c r="M916" i="1"/>
  <c r="M917" i="1"/>
  <c r="N917" i="1" s="1"/>
  <c r="M918" i="1"/>
  <c r="N918" i="1" s="1"/>
  <c r="M919" i="1"/>
  <c r="N919" i="1" s="1"/>
  <c r="M920" i="1"/>
  <c r="M921" i="1"/>
  <c r="M922" i="1"/>
  <c r="N922" i="1" s="1"/>
  <c r="M923" i="1"/>
  <c r="M924" i="1"/>
  <c r="N924" i="1" s="1"/>
  <c r="M925" i="1"/>
  <c r="M926" i="1"/>
  <c r="N926" i="1" s="1"/>
  <c r="M927" i="1"/>
  <c r="M928" i="1"/>
  <c r="M929" i="1"/>
  <c r="N929" i="1" s="1"/>
  <c r="M930" i="1"/>
  <c r="M931" i="1"/>
  <c r="M932" i="1"/>
  <c r="N932" i="1" s="1"/>
  <c r="M933" i="1"/>
  <c r="M934" i="1"/>
  <c r="M935" i="1"/>
  <c r="M936" i="1"/>
  <c r="M937" i="1"/>
  <c r="M938" i="1"/>
  <c r="M939" i="1"/>
  <c r="N939" i="1" s="1"/>
  <c r="M940" i="1"/>
  <c r="N940" i="1" s="1"/>
  <c r="M941" i="1"/>
  <c r="M942" i="1"/>
  <c r="M943" i="1"/>
  <c r="M944" i="1"/>
  <c r="M945" i="1"/>
  <c r="N945" i="1" s="1"/>
  <c r="M946" i="1"/>
  <c r="M947" i="1"/>
  <c r="M948" i="1"/>
  <c r="N948" i="1" s="1"/>
  <c r="M949" i="1"/>
  <c r="N949" i="1" s="1"/>
  <c r="M950" i="1"/>
  <c r="M951" i="1"/>
  <c r="M952" i="1"/>
  <c r="N952" i="1" s="1"/>
  <c r="M953" i="1"/>
  <c r="M954" i="1"/>
  <c r="M955" i="1"/>
  <c r="M956" i="1"/>
  <c r="M957" i="1"/>
  <c r="N957" i="1" s="1"/>
  <c r="M958" i="1"/>
  <c r="N958" i="1" s="1"/>
  <c r="M959" i="1"/>
  <c r="M960" i="1"/>
  <c r="M961" i="1"/>
  <c r="M962" i="1"/>
  <c r="M963" i="1"/>
  <c r="M964" i="1"/>
  <c r="M965" i="1"/>
  <c r="N965" i="1" s="1"/>
  <c r="M966" i="1"/>
  <c r="M967" i="1"/>
  <c r="M968" i="1"/>
  <c r="N968" i="1" s="1"/>
  <c r="M969" i="1"/>
  <c r="M970" i="1"/>
  <c r="M971" i="1"/>
  <c r="M972" i="1"/>
  <c r="M973" i="1"/>
  <c r="M974" i="1"/>
  <c r="N974" i="1" s="1"/>
  <c r="M975" i="1"/>
  <c r="M976" i="1"/>
  <c r="M977" i="1"/>
  <c r="M978" i="1"/>
  <c r="M979" i="1"/>
  <c r="N979" i="1" s="1"/>
  <c r="M980" i="1"/>
  <c r="N980" i="1" s="1"/>
  <c r="M981" i="1"/>
  <c r="M982" i="1"/>
  <c r="M983" i="1"/>
  <c r="M984" i="1"/>
  <c r="M985" i="1"/>
  <c r="M986" i="1"/>
  <c r="M987" i="1"/>
  <c r="N987" i="1" s="1"/>
  <c r="M988" i="1"/>
  <c r="M989" i="1"/>
  <c r="M990" i="1"/>
  <c r="M991" i="1"/>
  <c r="N991" i="1" s="1"/>
  <c r="M992" i="1"/>
  <c r="M993" i="1"/>
  <c r="N993" i="1" s="1"/>
  <c r="M994" i="1"/>
  <c r="M995" i="1"/>
  <c r="M996" i="1"/>
  <c r="M997" i="1"/>
  <c r="M998" i="1"/>
  <c r="N998" i="1" s="1"/>
  <c r="M999" i="1"/>
  <c r="N999" i="1" s="1"/>
  <c r="M1000" i="1"/>
  <c r="N1000" i="1" s="1"/>
  <c r="M1001" i="1"/>
  <c r="M1002" i="1"/>
  <c r="M1003" i="1"/>
  <c r="M1004" i="1"/>
  <c r="M1005" i="1"/>
  <c r="M1006" i="1"/>
  <c r="N1006" i="1" s="1"/>
  <c r="M1007" i="1"/>
  <c r="M1008" i="1"/>
  <c r="M1009" i="1"/>
  <c r="M1010" i="1"/>
  <c r="N1010" i="1" s="1"/>
  <c r="M1011" i="1"/>
  <c r="N1011" i="1" s="1"/>
  <c r="M1012" i="1"/>
  <c r="M1013" i="1"/>
  <c r="M1014" i="1"/>
  <c r="N1014" i="1" s="1"/>
  <c r="M1015" i="1"/>
  <c r="N1015" i="1" s="1"/>
  <c r="M1016" i="1"/>
  <c r="M1017" i="1"/>
  <c r="M1018" i="1"/>
  <c r="M1019" i="1"/>
  <c r="M1020" i="1"/>
  <c r="M1021" i="1"/>
  <c r="N1021" i="1" s="1"/>
  <c r="M1022" i="1"/>
  <c r="M1023" i="1"/>
  <c r="N1023" i="1" s="1"/>
  <c r="M1024" i="1"/>
  <c r="M1025" i="1"/>
  <c r="M1026" i="1"/>
  <c r="M1027" i="1"/>
  <c r="M1028" i="1"/>
  <c r="N1028" i="1" s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N1045" i="1" s="1"/>
  <c r="M1046" i="1"/>
  <c r="M1047" i="1"/>
  <c r="M1048" i="1"/>
  <c r="M1049" i="1"/>
  <c r="M1050" i="1"/>
  <c r="M1051" i="1"/>
  <c r="M1052" i="1"/>
  <c r="M1053" i="1"/>
  <c r="M1054" i="1"/>
  <c r="M1055" i="1"/>
  <c r="N1055" i="1" s="1"/>
  <c r="M1056" i="1"/>
  <c r="N1056" i="1" s="1"/>
  <c r="M1057" i="1"/>
  <c r="M1058" i="1"/>
  <c r="M1059" i="1"/>
  <c r="M1060" i="1"/>
  <c r="N1060" i="1" s="1"/>
  <c r="M1061" i="1"/>
  <c r="M1062" i="1"/>
  <c r="M1063" i="1"/>
  <c r="M1064" i="1"/>
  <c r="M1065" i="1"/>
  <c r="N1065" i="1" s="1"/>
  <c r="M1066" i="1"/>
  <c r="M1067" i="1"/>
  <c r="M1068" i="1"/>
  <c r="N1068" i="1" s="1"/>
  <c r="M1069" i="1"/>
  <c r="M1070" i="1"/>
  <c r="M1071" i="1"/>
  <c r="N1071" i="1" s="1"/>
  <c r="M1072" i="1"/>
  <c r="M1073" i="1"/>
  <c r="M1074" i="1"/>
  <c r="M1075" i="1"/>
  <c r="M1076" i="1"/>
  <c r="N1076" i="1" s="1"/>
  <c r="M1077" i="1"/>
  <c r="M1078" i="1"/>
  <c r="N1078" i="1" s="1"/>
  <c r="M1079" i="1"/>
  <c r="M1080" i="1"/>
  <c r="M1081" i="1"/>
  <c r="M1082" i="1"/>
  <c r="M1083" i="1"/>
  <c r="M1084" i="1"/>
  <c r="M1085" i="1"/>
  <c r="M1086" i="1"/>
  <c r="N1086" i="1" s="1"/>
  <c r="M1087" i="1"/>
  <c r="M1088" i="1"/>
  <c r="N1088" i="1" s="1"/>
  <c r="M1089" i="1"/>
  <c r="N1089" i="1" s="1"/>
  <c r="M1090" i="1"/>
  <c r="M1091" i="1"/>
  <c r="M1092" i="1"/>
  <c r="N1092" i="1" s="1"/>
  <c r="M1093" i="1"/>
  <c r="M1094" i="1"/>
  <c r="M1095" i="1"/>
  <c r="N1095" i="1" s="1"/>
  <c r="M1096" i="1"/>
  <c r="M1097" i="1"/>
  <c r="M1098" i="1"/>
  <c r="M1099" i="1"/>
  <c r="M1100" i="1"/>
  <c r="M1101" i="1"/>
  <c r="N1101" i="1" s="1"/>
  <c r="M1102" i="1"/>
  <c r="M1103" i="1"/>
  <c r="M1104" i="1"/>
  <c r="M1105" i="1"/>
  <c r="N1105" i="1" s="1"/>
  <c r="M1106" i="1"/>
  <c r="N1106" i="1" s="1"/>
  <c r="M1107" i="1"/>
  <c r="M1108" i="1"/>
  <c r="M1109" i="1"/>
  <c r="M1110" i="1"/>
  <c r="M1111" i="1"/>
  <c r="N1111" i="1" s="1"/>
  <c r="M1112" i="1"/>
  <c r="N1112" i="1" s="1"/>
  <c r="M1113" i="1"/>
  <c r="M1114" i="1"/>
  <c r="M1115" i="1"/>
  <c r="N1115" i="1" s="1"/>
  <c r="M1116" i="1"/>
  <c r="M1117" i="1"/>
  <c r="M1118" i="1"/>
  <c r="M1119" i="1"/>
  <c r="N1119" i="1" s="1"/>
  <c r="M1120" i="1"/>
  <c r="M1121" i="1"/>
  <c r="M1122" i="1"/>
  <c r="M1123" i="1"/>
  <c r="N1123" i="1" s="1"/>
  <c r="M1124" i="1"/>
  <c r="M1125" i="1"/>
  <c r="M1126" i="1"/>
  <c r="N1126" i="1" s="1"/>
  <c r="M1127" i="1"/>
  <c r="M1128" i="1"/>
  <c r="M1129" i="1"/>
  <c r="M1130" i="1"/>
  <c r="N1130" i="1" s="1"/>
  <c r="M1131" i="1"/>
  <c r="N1131" i="1" s="1"/>
  <c r="M1132" i="1"/>
  <c r="M1133" i="1"/>
  <c r="M1134" i="1"/>
  <c r="M1135" i="1"/>
  <c r="M1136" i="1"/>
  <c r="N1136" i="1" s="1"/>
  <c r="M1137" i="1"/>
  <c r="M1138" i="1"/>
  <c r="M1139" i="1"/>
  <c r="M1140" i="1"/>
  <c r="N1140" i="1" s="1"/>
  <c r="M1141" i="1"/>
  <c r="M1142" i="1"/>
  <c r="M1143" i="1"/>
  <c r="M1144" i="1"/>
  <c r="M1145" i="1"/>
  <c r="M1146" i="1"/>
  <c r="M1147" i="1"/>
  <c r="M1148" i="1"/>
  <c r="M1149" i="1"/>
  <c r="M1150" i="1"/>
  <c r="M1151" i="1"/>
  <c r="N1151" i="1" s="1"/>
  <c r="M1152" i="1"/>
  <c r="M1153" i="1"/>
  <c r="M1154" i="1"/>
  <c r="N1154" i="1" s="1"/>
  <c r="M1155" i="1"/>
  <c r="M1156" i="1"/>
  <c r="M1157" i="1"/>
  <c r="M1158" i="1"/>
  <c r="N1158" i="1" s="1"/>
  <c r="M1159" i="1"/>
  <c r="M1160" i="1"/>
  <c r="M1161" i="1"/>
  <c r="M1162" i="1"/>
  <c r="M1163" i="1"/>
  <c r="M1164" i="1"/>
  <c r="M1165" i="1"/>
  <c r="N1165" i="1" s="1"/>
  <c r="M1166" i="1"/>
  <c r="M1167" i="1"/>
  <c r="M1168" i="1"/>
  <c r="M1169" i="1"/>
  <c r="M1170" i="1"/>
  <c r="M1171" i="1"/>
  <c r="M1172" i="1"/>
  <c r="M1173" i="1"/>
  <c r="N1173" i="1" s="1"/>
  <c r="M1174" i="1"/>
  <c r="M1175" i="1"/>
  <c r="M1176" i="1"/>
  <c r="M1177" i="1"/>
  <c r="M1178" i="1"/>
  <c r="M1179" i="1"/>
  <c r="M1180" i="1"/>
  <c r="M1181" i="1"/>
  <c r="N1181" i="1" s="1"/>
  <c r="M1182" i="1"/>
  <c r="M1183" i="1"/>
  <c r="M1184" i="1"/>
  <c r="M1185" i="1"/>
  <c r="M1186" i="1"/>
  <c r="N1186" i="1" s="1"/>
  <c r="M1187" i="1"/>
  <c r="N1187" i="1" s="1"/>
  <c r="M1188" i="1"/>
  <c r="M1189" i="1"/>
  <c r="N1189" i="1" s="1"/>
  <c r="M1190" i="1"/>
  <c r="M1191" i="1"/>
  <c r="N1191" i="1" s="1"/>
  <c r="M1192" i="1"/>
  <c r="N1192" i="1" s="1"/>
  <c r="M1193" i="1"/>
  <c r="M1194" i="1"/>
  <c r="M1195" i="1"/>
  <c r="M1196" i="1"/>
  <c r="M1197" i="1"/>
  <c r="M1198" i="1"/>
  <c r="N1198" i="1" s="1"/>
  <c r="M1199" i="1"/>
  <c r="M1200" i="1"/>
  <c r="M1201" i="1"/>
  <c r="M1202" i="1"/>
  <c r="N1202" i="1" s="1"/>
  <c r="M1203" i="1"/>
  <c r="M1204" i="1"/>
  <c r="N1204" i="1" s="1"/>
  <c r="M1205" i="1"/>
  <c r="M1206" i="1"/>
  <c r="N1206" i="1" s="1"/>
  <c r="M1207" i="1"/>
  <c r="M1208" i="1"/>
  <c r="N1208" i="1" s="1"/>
  <c r="M1209" i="1"/>
  <c r="M1210" i="1"/>
  <c r="M1211" i="1"/>
  <c r="M1212" i="1"/>
  <c r="M1213" i="1"/>
  <c r="N1213" i="1" s="1"/>
  <c r="M1214" i="1"/>
  <c r="N1214" i="1" s="1"/>
  <c r="M1215" i="1"/>
  <c r="M1216" i="1"/>
  <c r="M1217" i="1"/>
  <c r="M1218" i="1"/>
  <c r="M1219" i="1"/>
  <c r="M1220" i="1"/>
  <c r="M1221" i="1"/>
  <c r="M1222" i="1"/>
  <c r="N1222" i="1" s="1"/>
  <c r="M1223" i="1"/>
  <c r="N1223" i="1" s="1"/>
  <c r="M1224" i="1"/>
  <c r="N1224" i="1" s="1"/>
  <c r="M1225" i="1"/>
  <c r="N1225" i="1" s="1"/>
  <c r="M1226" i="1"/>
  <c r="M1227" i="1"/>
  <c r="N1227" i="1" s="1"/>
  <c r="M1228" i="1"/>
  <c r="M1229" i="1"/>
  <c r="M1230" i="1"/>
  <c r="M1231" i="1"/>
  <c r="M1232" i="1"/>
  <c r="N1232" i="1" s="1"/>
  <c r="M1233" i="1"/>
  <c r="M1234" i="1"/>
  <c r="M1235" i="1"/>
  <c r="N1235" i="1" s="1"/>
  <c r="M1236" i="1"/>
  <c r="M1237" i="1"/>
  <c r="M1238" i="1"/>
  <c r="M1239" i="1"/>
  <c r="M1240" i="1"/>
  <c r="M1241" i="1"/>
  <c r="M1242" i="1"/>
  <c r="M1243" i="1"/>
  <c r="M1244" i="1"/>
  <c r="N1244" i="1" s="1"/>
  <c r="M1245" i="1"/>
  <c r="M1246" i="1"/>
  <c r="N1246" i="1" s="1"/>
  <c r="M1247" i="1"/>
  <c r="M1248" i="1"/>
  <c r="N1248" i="1" s="1"/>
  <c r="M1249" i="1"/>
  <c r="M1250" i="1"/>
  <c r="N1250" i="1" s="1"/>
  <c r="M1251" i="1"/>
  <c r="M1252" i="1"/>
  <c r="N1252" i="1" s="1"/>
  <c r="M1253" i="1"/>
  <c r="M1254" i="1"/>
  <c r="M1255" i="1"/>
  <c r="N1255" i="1" s="1"/>
  <c r="M1256" i="1"/>
  <c r="M1257" i="1"/>
  <c r="N1257" i="1" s="1"/>
  <c r="M1258" i="1"/>
  <c r="N1258" i="1" s="1"/>
  <c r="M1259" i="1"/>
  <c r="M1260" i="1"/>
  <c r="M1261" i="1"/>
  <c r="M1262" i="1"/>
  <c r="M1263" i="1"/>
  <c r="N1263" i="1" s="1"/>
  <c r="M1264" i="1"/>
  <c r="M1265" i="1"/>
  <c r="M1266" i="1"/>
  <c r="M1267" i="1"/>
  <c r="M1268" i="1"/>
  <c r="M1269" i="1"/>
  <c r="N1269" i="1" s="1"/>
  <c r="M1270" i="1"/>
  <c r="M1271" i="1"/>
  <c r="M1272" i="1"/>
  <c r="M1273" i="1"/>
  <c r="M1274" i="1"/>
  <c r="M1275" i="1"/>
  <c r="M1276" i="1"/>
  <c r="M1277" i="1"/>
  <c r="M1278" i="1"/>
  <c r="N1278" i="1" s="1"/>
  <c r="M1279" i="1"/>
  <c r="M1280" i="1"/>
  <c r="M1281" i="1"/>
  <c r="N1281" i="1" s="1"/>
  <c r="M1282" i="1"/>
  <c r="N1282" i="1" s="1"/>
  <c r="M1283" i="1"/>
  <c r="M1284" i="1"/>
  <c r="M1285" i="1"/>
  <c r="M1286" i="1"/>
  <c r="N1286" i="1" s="1"/>
  <c r="M1287" i="1"/>
  <c r="M1288" i="1"/>
  <c r="M1289" i="1"/>
  <c r="M1290" i="1"/>
  <c r="M1291" i="1"/>
  <c r="M1292" i="1"/>
  <c r="M1293" i="1"/>
  <c r="M1294" i="1"/>
  <c r="N1294" i="1" s="1"/>
  <c r="M1295" i="1"/>
  <c r="N1295" i="1" s="1"/>
  <c r="M1296" i="1"/>
  <c r="N1296" i="1" s="1"/>
  <c r="M1297" i="1"/>
  <c r="M1298" i="1"/>
  <c r="M1299" i="1"/>
  <c r="M1300" i="1"/>
  <c r="N1300" i="1" s="1"/>
  <c r="M1301" i="1"/>
  <c r="M1302" i="1"/>
  <c r="M1303" i="1"/>
  <c r="N1303" i="1" s="1"/>
  <c r="M1304" i="1"/>
  <c r="M1305" i="1"/>
  <c r="M1306" i="1"/>
  <c r="M1307" i="1"/>
  <c r="M1308" i="1"/>
  <c r="M1309" i="1"/>
  <c r="M1310" i="1"/>
  <c r="M1311" i="1"/>
  <c r="M1312" i="1"/>
  <c r="N1312" i="1" s="1"/>
  <c r="M1313" i="1"/>
  <c r="N1313" i="1" s="1"/>
  <c r="M1314" i="1"/>
  <c r="M1315" i="1"/>
  <c r="N1315" i="1" s="1"/>
  <c r="M1316" i="1"/>
  <c r="M1317" i="1"/>
  <c r="M1318" i="1"/>
  <c r="N1318" i="1" s="1"/>
  <c r="M1319" i="1"/>
  <c r="M1320" i="1"/>
  <c r="N1320" i="1" s="1"/>
  <c r="M1321" i="1"/>
  <c r="M1322" i="1"/>
  <c r="M1323" i="1"/>
  <c r="M1324" i="1"/>
  <c r="N1324" i="1" s="1"/>
  <c r="M1325" i="1"/>
  <c r="M1326" i="1"/>
  <c r="M1327" i="1"/>
  <c r="M1328" i="1"/>
  <c r="M1329" i="1"/>
  <c r="N1329" i="1" s="1"/>
  <c r="M1330" i="1"/>
  <c r="M1331" i="1"/>
  <c r="M1332" i="1"/>
  <c r="M1333" i="1"/>
  <c r="M1334" i="1"/>
  <c r="N1334" i="1" s="1"/>
  <c r="M1335" i="1"/>
  <c r="M1336" i="1"/>
  <c r="M1337" i="1"/>
  <c r="N1337" i="1" s="1"/>
  <c r="M1338" i="1"/>
  <c r="M1339" i="1"/>
  <c r="M1340" i="1"/>
  <c r="N1340" i="1" s="1"/>
  <c r="M1341" i="1"/>
  <c r="M1342" i="1"/>
  <c r="N1342" i="1" s="1"/>
  <c r="M1343" i="1"/>
  <c r="N1343" i="1" s="1"/>
  <c r="M1344" i="1"/>
  <c r="M1345" i="1"/>
  <c r="M1346" i="1"/>
  <c r="M1347" i="1"/>
  <c r="N1347" i="1" s="1"/>
  <c r="M1348" i="1"/>
  <c r="M1349" i="1"/>
  <c r="N1349" i="1" s="1"/>
  <c r="M1350" i="1"/>
  <c r="M1351" i="1"/>
  <c r="M1352" i="1"/>
  <c r="M1353" i="1"/>
  <c r="N1353" i="1" s="1"/>
  <c r="M1354" i="1"/>
  <c r="M1355" i="1"/>
  <c r="N1355" i="1" s="1"/>
  <c r="M1356" i="1"/>
  <c r="M1357" i="1"/>
  <c r="M1358" i="1"/>
  <c r="N1358" i="1" s="1"/>
  <c r="M1359" i="1"/>
  <c r="M1360" i="1"/>
  <c r="M1361" i="1"/>
  <c r="M1362" i="1"/>
  <c r="M1363" i="1"/>
  <c r="M1364" i="1"/>
  <c r="M1365" i="1"/>
  <c r="M1366" i="1"/>
  <c r="N1366" i="1" s="1"/>
  <c r="M1367" i="1"/>
  <c r="M1368" i="1"/>
  <c r="N1368" i="1" s="1"/>
  <c r="M1369" i="1"/>
  <c r="N1369" i="1" s="1"/>
  <c r="M1370" i="1"/>
  <c r="M1371" i="1"/>
  <c r="N1371" i="1" s="1"/>
  <c r="M1372" i="1"/>
  <c r="M1373" i="1"/>
  <c r="M1374" i="1"/>
  <c r="M1375" i="1"/>
  <c r="N1375" i="1" s="1"/>
  <c r="M1376" i="1"/>
  <c r="N1376" i="1" s="1"/>
  <c r="M1377" i="1"/>
  <c r="M1378" i="1"/>
  <c r="M1379" i="1"/>
  <c r="M1380" i="1"/>
  <c r="M1381" i="1"/>
  <c r="M1382" i="1"/>
  <c r="M1383" i="1"/>
  <c r="M1384" i="1"/>
  <c r="N1384" i="1" s="1"/>
  <c r="M1385" i="1"/>
  <c r="M1386" i="1"/>
  <c r="M1387" i="1"/>
  <c r="N1387" i="1" s="1"/>
  <c r="M1388" i="1"/>
  <c r="M1389" i="1"/>
  <c r="M1390" i="1"/>
  <c r="M1391" i="1"/>
  <c r="M1392" i="1"/>
  <c r="M1393" i="1"/>
  <c r="M1394" i="1"/>
  <c r="M1395" i="1"/>
  <c r="M1396" i="1"/>
  <c r="M1397" i="1"/>
  <c r="N1397" i="1" s="1"/>
  <c r="M1398" i="1"/>
  <c r="M1399" i="1"/>
  <c r="M1400" i="1"/>
  <c r="M1401" i="1"/>
  <c r="N1401" i="1" s="1"/>
  <c r="M1402" i="1"/>
  <c r="M1403" i="1"/>
  <c r="M1404" i="1"/>
  <c r="M1405" i="1"/>
  <c r="M1406" i="1"/>
  <c r="N1406" i="1" s="1"/>
  <c r="M1407" i="1"/>
  <c r="M1408" i="1"/>
  <c r="M1409" i="1"/>
  <c r="M1410" i="1"/>
  <c r="M1411" i="1"/>
  <c r="M1412" i="1"/>
  <c r="M1413" i="1"/>
  <c r="M1414" i="1"/>
  <c r="M1415" i="1"/>
  <c r="M1416" i="1"/>
  <c r="N1416" i="1" s="1"/>
  <c r="M1417" i="1"/>
  <c r="M1418" i="1"/>
  <c r="M1419" i="1"/>
  <c r="M1420" i="1"/>
  <c r="M1421" i="1"/>
  <c r="M1422" i="1"/>
  <c r="M1423" i="1"/>
  <c r="N1423" i="1" s="1"/>
  <c r="M1424" i="1"/>
  <c r="M1425" i="1"/>
  <c r="M1426" i="1"/>
  <c r="M1427" i="1"/>
  <c r="M1428" i="1"/>
  <c r="M1429" i="1"/>
  <c r="M1430" i="1"/>
  <c r="M1431" i="1"/>
  <c r="M1432" i="1"/>
  <c r="N1432" i="1" s="1"/>
  <c r="M1433" i="1"/>
  <c r="N1433" i="1" s="1"/>
  <c r="M1434" i="1"/>
  <c r="M1435" i="1"/>
  <c r="N1435" i="1" s="1"/>
  <c r="M1436" i="1"/>
  <c r="N1436" i="1" s="1"/>
  <c r="M1437" i="1"/>
  <c r="M1438" i="1"/>
  <c r="M1439" i="1"/>
  <c r="M1440" i="1"/>
  <c r="M1441" i="1"/>
  <c r="N1441" i="1" s="1"/>
  <c r="M1442" i="1"/>
  <c r="M1443" i="1"/>
  <c r="M1444" i="1"/>
  <c r="M1445" i="1"/>
  <c r="N1445" i="1" s="1"/>
  <c r="M1446" i="1"/>
  <c r="N1446" i="1" s="1"/>
  <c r="M1447" i="1"/>
  <c r="M1448" i="1"/>
  <c r="M1449" i="1"/>
  <c r="M1450" i="1"/>
  <c r="M1451" i="1"/>
  <c r="M1452" i="1"/>
  <c r="N1452" i="1" s="1"/>
  <c r="M1453" i="1"/>
  <c r="M1454" i="1"/>
  <c r="M1455" i="1"/>
  <c r="N1455" i="1" s="1"/>
  <c r="M1456" i="1"/>
  <c r="M1457" i="1"/>
  <c r="N1457" i="1" s="1"/>
  <c r="M1458" i="1"/>
  <c r="M1459" i="1"/>
  <c r="M1460" i="1"/>
  <c r="N1460" i="1" s="1"/>
  <c r="M1461" i="1"/>
  <c r="M1462" i="1"/>
  <c r="M1463" i="1"/>
  <c r="M1464" i="1"/>
  <c r="N1464" i="1" s="1"/>
  <c r="M1465" i="1"/>
  <c r="N1465" i="1" s="1"/>
  <c r="M1466" i="1"/>
  <c r="M1467" i="1"/>
  <c r="M1468" i="1"/>
  <c r="N1468" i="1" s="1"/>
  <c r="M1469" i="1"/>
  <c r="M1470" i="1"/>
  <c r="M1471" i="1"/>
  <c r="N1471" i="1" s="1"/>
  <c r="M1472" i="1"/>
  <c r="N1472" i="1" s="1"/>
  <c r="M1473" i="1"/>
  <c r="M1474" i="1"/>
  <c r="M1475" i="1"/>
  <c r="M1476" i="1"/>
  <c r="N1476" i="1" s="1"/>
  <c r="M1477" i="1"/>
  <c r="M1478" i="1"/>
  <c r="N1478" i="1" s="1"/>
  <c r="M1479" i="1"/>
  <c r="M1480" i="1"/>
  <c r="M1481" i="1"/>
  <c r="M1482" i="1"/>
  <c r="M1483" i="1"/>
  <c r="N1483" i="1" s="1"/>
  <c r="M1484" i="1"/>
  <c r="M1485" i="1"/>
  <c r="M1486" i="1"/>
  <c r="N1486" i="1" s="1"/>
  <c r="M1487" i="1"/>
  <c r="M1488" i="1"/>
  <c r="M1489" i="1"/>
  <c r="M1490" i="1"/>
  <c r="N1490" i="1" s="1"/>
  <c r="M1491" i="1"/>
  <c r="N1491" i="1" s="1"/>
  <c r="M1492" i="1"/>
  <c r="M1493" i="1"/>
  <c r="M1494" i="1"/>
  <c r="M1495" i="1"/>
  <c r="M1496" i="1"/>
  <c r="M1497" i="1"/>
  <c r="N1497" i="1" s="1"/>
  <c r="M1498" i="1"/>
  <c r="M1499" i="1"/>
  <c r="M1500" i="1"/>
  <c r="M1501" i="1"/>
  <c r="M1502" i="1"/>
  <c r="N1502" i="1" s="1"/>
  <c r="M1503" i="1"/>
  <c r="N1503" i="1" s="1"/>
  <c r="M1504" i="1"/>
  <c r="M1505" i="1"/>
  <c r="M1506" i="1"/>
  <c r="M1507" i="1"/>
  <c r="M1508" i="1"/>
  <c r="M1509" i="1"/>
  <c r="M1510" i="1"/>
  <c r="M1511" i="1"/>
  <c r="N1511" i="1" s="1"/>
  <c r="M1512" i="1"/>
  <c r="M1513" i="1"/>
  <c r="M1514" i="1"/>
  <c r="M1515" i="1"/>
  <c r="N1515" i="1" s="1"/>
  <c r="M1516" i="1"/>
  <c r="M1517" i="1"/>
  <c r="M1518" i="1"/>
  <c r="M1519" i="1"/>
  <c r="M1520" i="1"/>
  <c r="M1521" i="1"/>
  <c r="M1522" i="1"/>
  <c r="N1522" i="1" s="1"/>
  <c r="M1523" i="1"/>
  <c r="M1524" i="1"/>
  <c r="M1525" i="1"/>
  <c r="M1526" i="1"/>
  <c r="M1527" i="1"/>
  <c r="N1527" i="1" s="1"/>
  <c r="M1528" i="1"/>
  <c r="N1528" i="1" s="1"/>
  <c r="M1529" i="1"/>
  <c r="M1530" i="1"/>
  <c r="M1531" i="1"/>
  <c r="M1532" i="1"/>
  <c r="N1532" i="1" s="1"/>
  <c r="M1533" i="1"/>
  <c r="M1534" i="1"/>
  <c r="N1534" i="1" s="1"/>
  <c r="M1535" i="1"/>
  <c r="M1536" i="1"/>
  <c r="N1536" i="1" s="1"/>
  <c r="M1537" i="1"/>
  <c r="M1538" i="1"/>
  <c r="N1538" i="1" s="1"/>
  <c r="M1539" i="1"/>
  <c r="M1540" i="1"/>
  <c r="M1541" i="1"/>
  <c r="N1541" i="1" s="1"/>
  <c r="M1542" i="1"/>
  <c r="M1543" i="1"/>
  <c r="M1544" i="1"/>
  <c r="N1544" i="1" s="1"/>
  <c r="M1545" i="1"/>
  <c r="M1546" i="1"/>
  <c r="N1546" i="1" s="1"/>
  <c r="M1547" i="1"/>
  <c r="M1548" i="1"/>
  <c r="M1549" i="1"/>
  <c r="M1550" i="1"/>
  <c r="M1551" i="1"/>
  <c r="N1551" i="1" s="1"/>
  <c r="M1552" i="1"/>
  <c r="N1552" i="1" s="1"/>
  <c r="M1553" i="1"/>
  <c r="M1554" i="1"/>
  <c r="M1555" i="1"/>
  <c r="N1555" i="1" s="1"/>
  <c r="M1556" i="1"/>
  <c r="M1557" i="1"/>
  <c r="M1558" i="1"/>
  <c r="M1559" i="1"/>
  <c r="M1560" i="1"/>
  <c r="M1561" i="1"/>
  <c r="N1561" i="1" s="1"/>
  <c r="M1562" i="1"/>
  <c r="M1563" i="1"/>
  <c r="M1564" i="1"/>
  <c r="M1565" i="1"/>
  <c r="M1566" i="1"/>
  <c r="M1567" i="1"/>
  <c r="N1567" i="1" s="1"/>
  <c r="M1568" i="1"/>
  <c r="M1569" i="1"/>
  <c r="N1569" i="1" s="1"/>
  <c r="M1570" i="1"/>
  <c r="M1571" i="1"/>
  <c r="N1571" i="1" s="1"/>
  <c r="M1572" i="1"/>
  <c r="M1573" i="1"/>
  <c r="N1573" i="1" s="1"/>
  <c r="M1574" i="1"/>
  <c r="M1575" i="1"/>
  <c r="M1576" i="1"/>
  <c r="M1577" i="1"/>
  <c r="M1578" i="1"/>
  <c r="M1579" i="1"/>
  <c r="M1580" i="1"/>
  <c r="N1580" i="1" s="1"/>
  <c r="M1581" i="1"/>
  <c r="M1582" i="1"/>
  <c r="M1583" i="1"/>
  <c r="M1584" i="1"/>
  <c r="M1585" i="1"/>
  <c r="M1586" i="1"/>
  <c r="N1586" i="1" s="1"/>
  <c r="M1587" i="1"/>
  <c r="M1588" i="1"/>
  <c r="M1589" i="1"/>
  <c r="M1590" i="1"/>
  <c r="M1591" i="1"/>
  <c r="N1591" i="1" s="1"/>
  <c r="M1592" i="1"/>
  <c r="N1592" i="1" s="1"/>
  <c r="M1593" i="1"/>
  <c r="M1594" i="1"/>
  <c r="N1594" i="1" s="1"/>
  <c r="M1595" i="1"/>
  <c r="M1596" i="1"/>
  <c r="N1596" i="1" s="1"/>
  <c r="M1597" i="1"/>
  <c r="N1597" i="1" s="1"/>
  <c r="M1598" i="1"/>
  <c r="N1598" i="1" s="1"/>
  <c r="M1599" i="1"/>
  <c r="M1600" i="1"/>
  <c r="M1601" i="1"/>
  <c r="N1601" i="1" s="1"/>
  <c r="M1602" i="1"/>
  <c r="N1602" i="1" s="1"/>
  <c r="M1603" i="1"/>
  <c r="M1604" i="1"/>
  <c r="M1605" i="1"/>
  <c r="N1605" i="1" s="1"/>
  <c r="M1606" i="1"/>
  <c r="N1606" i="1" s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N1618" i="1" s="1"/>
  <c r="M1619" i="1"/>
  <c r="M1620" i="1"/>
  <c r="N1620" i="1" s="1"/>
  <c r="M1621" i="1"/>
  <c r="M1622" i="1"/>
  <c r="N1622" i="1" s="1"/>
  <c r="M1623" i="1"/>
  <c r="M1624" i="1"/>
  <c r="M1625" i="1"/>
  <c r="N1625" i="1" s="1"/>
  <c r="M1626" i="1"/>
  <c r="M1627" i="1"/>
  <c r="N1627" i="1" s="1"/>
  <c r="M1628" i="1"/>
  <c r="M1629" i="1"/>
  <c r="M1630" i="1"/>
  <c r="N1630" i="1" s="1"/>
  <c r="M1631" i="1"/>
  <c r="N1631" i="1" s="1"/>
  <c r="M1632" i="1"/>
  <c r="M1633" i="1"/>
  <c r="M1634" i="1"/>
  <c r="M1635" i="1"/>
  <c r="M1636" i="1"/>
  <c r="M1637" i="1"/>
  <c r="N1637" i="1" s="1"/>
  <c r="M1638" i="1"/>
  <c r="M1639" i="1"/>
  <c r="N1639" i="1" s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N1654" i="1" s="1"/>
  <c r="M1655" i="1"/>
  <c r="M1656" i="1"/>
  <c r="N1656" i="1" s="1"/>
  <c r="M1657" i="1"/>
  <c r="M1658" i="1"/>
  <c r="M1659" i="1"/>
  <c r="N1659" i="1" s="1"/>
  <c r="M1660" i="1"/>
  <c r="M1661" i="1"/>
  <c r="M1662" i="1"/>
  <c r="M1663" i="1"/>
  <c r="M1664" i="1"/>
  <c r="M1665" i="1"/>
  <c r="M1666" i="1"/>
  <c r="M1667" i="1"/>
  <c r="M1668" i="1"/>
  <c r="M1669" i="1"/>
  <c r="M1670" i="1"/>
  <c r="N1670" i="1" s="1"/>
  <c r="M1671" i="1"/>
  <c r="M1672" i="1"/>
  <c r="N1672" i="1" s="1"/>
  <c r="M1673" i="1"/>
  <c r="N1673" i="1" s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N1689" i="1" s="1"/>
  <c r="M1690" i="1"/>
  <c r="M1691" i="1"/>
  <c r="N1691" i="1" s="1"/>
  <c r="M1692" i="1"/>
  <c r="N1692" i="1" s="1"/>
  <c r="M1693" i="1"/>
  <c r="N1693" i="1" s="1"/>
  <c r="M1694" i="1"/>
  <c r="M1695" i="1"/>
  <c r="M1696" i="1"/>
  <c r="M1697" i="1"/>
  <c r="M1698" i="1"/>
  <c r="M1699" i="1"/>
  <c r="N1699" i="1" s="1"/>
  <c r="M1700" i="1"/>
  <c r="N1700" i="1" s="1"/>
  <c r="M1701" i="1"/>
  <c r="M1702" i="1"/>
  <c r="M1703" i="1"/>
  <c r="N1703" i="1" s="1"/>
  <c r="M1704" i="1"/>
  <c r="M1705" i="1"/>
  <c r="M1706" i="1"/>
  <c r="M1707" i="1"/>
  <c r="N1707" i="1" s="1"/>
  <c r="M1708" i="1"/>
  <c r="M1709" i="1"/>
  <c r="M1710" i="1"/>
  <c r="M1711" i="1"/>
  <c r="N1711" i="1" s="1"/>
  <c r="M1712" i="1"/>
  <c r="M1713" i="1"/>
  <c r="M1714" i="1"/>
  <c r="M1715" i="1"/>
  <c r="M1716" i="1"/>
  <c r="M1717" i="1"/>
  <c r="M1718" i="1"/>
  <c r="N1718" i="1" s="1"/>
  <c r="M1719" i="1"/>
  <c r="M1720" i="1"/>
  <c r="M1721" i="1"/>
  <c r="M1722" i="1"/>
  <c r="M1723" i="1"/>
  <c r="N1723" i="1" s="1"/>
  <c r="M1724" i="1"/>
  <c r="N1724" i="1" s="1"/>
  <c r="M1725" i="1"/>
  <c r="M1726" i="1"/>
  <c r="M1727" i="1"/>
  <c r="M1728" i="1"/>
  <c r="M1729" i="1"/>
  <c r="M1730" i="1"/>
  <c r="M1731" i="1"/>
  <c r="N1731" i="1" s="1"/>
  <c r="M1732" i="1"/>
  <c r="M1733" i="1"/>
  <c r="M1734" i="1"/>
  <c r="M1735" i="1"/>
  <c r="N1735" i="1" s="1"/>
  <c r="M1736" i="1"/>
  <c r="M1737" i="1"/>
  <c r="M1738" i="1"/>
  <c r="M1739" i="1"/>
  <c r="M1740" i="1"/>
  <c r="M1741" i="1"/>
  <c r="M1742" i="1"/>
  <c r="M1743" i="1"/>
  <c r="M1744" i="1"/>
  <c r="M1745" i="1"/>
  <c r="N1745" i="1" s="1"/>
  <c r="M1746" i="1"/>
  <c r="N1746" i="1" s="1"/>
  <c r="M1747" i="1"/>
  <c r="M1748" i="1"/>
  <c r="M1749" i="1"/>
  <c r="N1749" i="1" s="1"/>
  <c r="M1750" i="1"/>
  <c r="M1751" i="1"/>
  <c r="M1752" i="1"/>
  <c r="M1753" i="1"/>
  <c r="N1753" i="1" s="1"/>
  <c r="M1754" i="1"/>
  <c r="M1755" i="1"/>
  <c r="M1756" i="1"/>
  <c r="M1757" i="1"/>
  <c r="N1757" i="1" s="1"/>
  <c r="M1758" i="1"/>
  <c r="M1759" i="1"/>
  <c r="M1760" i="1"/>
  <c r="M1761" i="1"/>
  <c r="N1761" i="1" s="1"/>
  <c r="M1762" i="1"/>
  <c r="M1763" i="1"/>
  <c r="M1764" i="1"/>
  <c r="N1764" i="1" s="1"/>
  <c r="M1765" i="1"/>
  <c r="M1766" i="1"/>
  <c r="N1766" i="1" s="1"/>
  <c r="M1767" i="1"/>
  <c r="M1768" i="1"/>
  <c r="M1769" i="1"/>
  <c r="M1770" i="1"/>
  <c r="M1771" i="1"/>
  <c r="M1772" i="1"/>
  <c r="M1773" i="1"/>
  <c r="M1774" i="1"/>
  <c r="M1775" i="1"/>
  <c r="N1775" i="1" s="1"/>
  <c r="M1776" i="1"/>
  <c r="N1776" i="1" s="1"/>
  <c r="M1777" i="1"/>
  <c r="M1778" i="1"/>
  <c r="M1779" i="1"/>
  <c r="M1780" i="1"/>
  <c r="M1781" i="1"/>
  <c r="M1782" i="1"/>
  <c r="M1783" i="1"/>
  <c r="N1783" i="1" s="1"/>
  <c r="M1784" i="1"/>
  <c r="N1784" i="1" s="1"/>
  <c r="M1785" i="1"/>
  <c r="M1786" i="1"/>
  <c r="N1786" i="1" s="1"/>
  <c r="M1787" i="1"/>
  <c r="M1788" i="1"/>
  <c r="M1789" i="1"/>
  <c r="M1790" i="1"/>
  <c r="N1790" i="1" s="1"/>
  <c r="M1791" i="1"/>
  <c r="M1792" i="1"/>
  <c r="M1793" i="1"/>
  <c r="M1794" i="1"/>
  <c r="N1794" i="1" s="1"/>
  <c r="M1795" i="1"/>
  <c r="M1796" i="1"/>
  <c r="M1797" i="1"/>
  <c r="N1797" i="1" s="1"/>
  <c r="M1798" i="1"/>
  <c r="M1799" i="1"/>
  <c r="M1800" i="1"/>
  <c r="M1801" i="1"/>
  <c r="N1801" i="1" s="1"/>
  <c r="M1802" i="1"/>
  <c r="N1802" i="1" s="1"/>
  <c r="M1803" i="1"/>
  <c r="M1804" i="1"/>
  <c r="M1805" i="1"/>
  <c r="N1805" i="1" s="1"/>
  <c r="M1806" i="1"/>
  <c r="M1807" i="1"/>
  <c r="M1808" i="1"/>
  <c r="N1808" i="1" s="1"/>
  <c r="M1809" i="1"/>
  <c r="N1809" i="1" s="1"/>
  <c r="M1810" i="1"/>
  <c r="N1810" i="1" s="1"/>
  <c r="M1811" i="1"/>
  <c r="M1812" i="1"/>
  <c r="N1812" i="1" s="1"/>
  <c r="M1813" i="1"/>
  <c r="M1814" i="1"/>
  <c r="M1815" i="1"/>
  <c r="M1816" i="1"/>
  <c r="M1817" i="1"/>
  <c r="M1818" i="1"/>
  <c r="M1819" i="1"/>
  <c r="M1820" i="1"/>
  <c r="N1820" i="1" s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N1842" i="1" s="1"/>
  <c r="M1843" i="1"/>
  <c r="N1843" i="1" s="1"/>
  <c r="M1844" i="1"/>
  <c r="M1845" i="1"/>
  <c r="M1846" i="1"/>
  <c r="M1847" i="1"/>
  <c r="M1848" i="1"/>
  <c r="M1849" i="1"/>
  <c r="N1849" i="1" s="1"/>
  <c r="M1850" i="1"/>
  <c r="M1851" i="1"/>
  <c r="N1851" i="1" s="1"/>
  <c r="M1852" i="1"/>
  <c r="M1853" i="1"/>
  <c r="M1854" i="1"/>
  <c r="M1855" i="1"/>
  <c r="N1855" i="1" s="1"/>
  <c r="M1856" i="1"/>
  <c r="M1857" i="1"/>
  <c r="M1858" i="1"/>
  <c r="M1859" i="1"/>
  <c r="N1859" i="1" s="1"/>
  <c r="M1860" i="1"/>
  <c r="M1861" i="1"/>
  <c r="M1862" i="1"/>
  <c r="N1862" i="1" s="1"/>
  <c r="M1863" i="1"/>
  <c r="N1863" i="1" s="1"/>
  <c r="M1864" i="1"/>
  <c r="M1865" i="1"/>
  <c r="M1866" i="1"/>
  <c r="N1866" i="1" s="1"/>
  <c r="M1867" i="1"/>
  <c r="M1868" i="1"/>
  <c r="M1869" i="1"/>
  <c r="N1869" i="1" s="1"/>
  <c r="M1870" i="1"/>
  <c r="N1870" i="1" s="1"/>
  <c r="M1871" i="1"/>
  <c r="M1872" i="1"/>
  <c r="M1873" i="1"/>
  <c r="N1873" i="1" s="1"/>
  <c r="M1874" i="1"/>
  <c r="M1875" i="1"/>
  <c r="N1875" i="1" s="1"/>
  <c r="M1876" i="1"/>
  <c r="M1877" i="1"/>
  <c r="M1878" i="1"/>
  <c r="N1878" i="1" s="1"/>
  <c r="M1879" i="1"/>
  <c r="M1880" i="1"/>
  <c r="N1880" i="1" s="1"/>
  <c r="M1881" i="1"/>
  <c r="M1882" i="1"/>
  <c r="M1883" i="1"/>
  <c r="M1884" i="1"/>
  <c r="N1884" i="1" s="1"/>
  <c r="M1885" i="1"/>
  <c r="M1886" i="1"/>
  <c r="M1887" i="1"/>
  <c r="M1888" i="1"/>
  <c r="M1889" i="1"/>
  <c r="M1890" i="1"/>
  <c r="N1890" i="1" s="1"/>
  <c r="M1891" i="1"/>
  <c r="M1892" i="1"/>
  <c r="M1893" i="1"/>
  <c r="M1894" i="1"/>
  <c r="M1895" i="1"/>
  <c r="M1896" i="1"/>
  <c r="N1896" i="1" s="1"/>
  <c r="M1897" i="1"/>
  <c r="M1898" i="1"/>
  <c r="M1899" i="1"/>
  <c r="M1900" i="1"/>
  <c r="N1900" i="1" s="1"/>
  <c r="M1901" i="1"/>
  <c r="N1901" i="1" s="1"/>
  <c r="M1902" i="1"/>
  <c r="M1903" i="1"/>
  <c r="N1903" i="1" s="1"/>
  <c r="M1904" i="1"/>
  <c r="N1904" i="1" s="1"/>
  <c r="M1905" i="1"/>
  <c r="M1906" i="1"/>
  <c r="N1906" i="1" s="1"/>
  <c r="M1907" i="1"/>
  <c r="M1908" i="1"/>
  <c r="M1909" i="1"/>
  <c r="N1909" i="1" s="1"/>
  <c r="M1910" i="1"/>
  <c r="M1911" i="1"/>
  <c r="N1911" i="1" s="1"/>
  <c r="M1912" i="1"/>
  <c r="M1913" i="1"/>
  <c r="N1913" i="1" s="1"/>
  <c r="M1914" i="1"/>
  <c r="M1915" i="1"/>
  <c r="N1915" i="1" s="1"/>
  <c r="M1916" i="1"/>
  <c r="M1917" i="1"/>
  <c r="M1918" i="1"/>
  <c r="M1919" i="1"/>
  <c r="M1920" i="1"/>
  <c r="M1921" i="1"/>
  <c r="M1922" i="1"/>
  <c r="M1923" i="1"/>
  <c r="M1924" i="1"/>
  <c r="N1924" i="1" s="1"/>
  <c r="M1925" i="1"/>
  <c r="M1926" i="1"/>
  <c r="M1927" i="1"/>
  <c r="M1928" i="1"/>
  <c r="N1928" i="1" s="1"/>
  <c r="M1929" i="1"/>
  <c r="M1930" i="1"/>
  <c r="M1931" i="1"/>
  <c r="M1932" i="1"/>
  <c r="M1933" i="1"/>
  <c r="M1934" i="1"/>
  <c r="N1934" i="1" s="1"/>
  <c r="M1935" i="1"/>
  <c r="M1936" i="1"/>
  <c r="M1937" i="1"/>
  <c r="M1938" i="1"/>
  <c r="M1939" i="1"/>
  <c r="M1940" i="1"/>
  <c r="N1940" i="1" s="1"/>
  <c r="M1941" i="1"/>
  <c r="M1942" i="1"/>
  <c r="N1942" i="1" s="1"/>
  <c r="M1943" i="1"/>
  <c r="M1944" i="1"/>
  <c r="N1944" i="1" s="1"/>
  <c r="M1945" i="1"/>
  <c r="N1945" i="1" s="1"/>
  <c r="M1946" i="1"/>
  <c r="M1947" i="1"/>
  <c r="N1947" i="1" s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N1965" i="1" s="1"/>
  <c r="M1966" i="1"/>
  <c r="M1967" i="1"/>
  <c r="M1968" i="1"/>
  <c r="M1969" i="1"/>
  <c r="M1970" i="1"/>
  <c r="M1971" i="1"/>
  <c r="M1972" i="1"/>
  <c r="N1972" i="1" s="1"/>
  <c r="M1973" i="1"/>
  <c r="M1974" i="1"/>
  <c r="N1974" i="1" s="1"/>
  <c r="M1975" i="1"/>
  <c r="M1976" i="1"/>
  <c r="M1977" i="1"/>
  <c r="M1978" i="1"/>
  <c r="N1978" i="1" s="1"/>
  <c r="M1979" i="1"/>
  <c r="M1980" i="1"/>
  <c r="M1981" i="1"/>
  <c r="N1981" i="1" s="1"/>
  <c r="M1982" i="1"/>
  <c r="N1982" i="1" s="1"/>
  <c r="M1983" i="1"/>
  <c r="M1984" i="1"/>
  <c r="N1984" i="1" s="1"/>
  <c r="M1985" i="1"/>
  <c r="M1986" i="1"/>
  <c r="M1987" i="1"/>
  <c r="M1988" i="1"/>
  <c r="M1989" i="1"/>
  <c r="M1990" i="1"/>
  <c r="M1991" i="1"/>
  <c r="M1992" i="1"/>
  <c r="N1992" i="1" s="1"/>
  <c r="M1993" i="1"/>
  <c r="M1994" i="1"/>
  <c r="N1994" i="1" s="1"/>
  <c r="M1995" i="1"/>
  <c r="M1996" i="1"/>
  <c r="M1997" i="1"/>
  <c r="N1997" i="1" s="1"/>
  <c r="M1998" i="1"/>
  <c r="M1999" i="1"/>
  <c r="M2000" i="1"/>
  <c r="M2001" i="1"/>
  <c r="M2002" i="1"/>
  <c r="M2003" i="1"/>
  <c r="M2004" i="1"/>
  <c r="M2005" i="1"/>
  <c r="M2006" i="1"/>
  <c r="M2007" i="1"/>
  <c r="M2008" i="1"/>
  <c r="N2008" i="1" s="1"/>
  <c r="M2009" i="1"/>
  <c r="M2010" i="1"/>
  <c r="M2011" i="1"/>
  <c r="N2011" i="1" s="1"/>
  <c r="M2012" i="1"/>
  <c r="M2013" i="1"/>
  <c r="M2014" i="1"/>
  <c r="M2015" i="1"/>
  <c r="N2015" i="1" s="1"/>
  <c r="M2016" i="1"/>
  <c r="M2017" i="1"/>
  <c r="M2018" i="1"/>
  <c r="M2019" i="1"/>
  <c r="M2020" i="1"/>
  <c r="N2020" i="1" s="1"/>
  <c r="M2021" i="1"/>
  <c r="M2022" i="1"/>
  <c r="M2023" i="1"/>
  <c r="M2024" i="1"/>
  <c r="M2025" i="1"/>
  <c r="M2026" i="1"/>
  <c r="M2027" i="1"/>
  <c r="M2028" i="1"/>
  <c r="N2028" i="1" s="1"/>
  <c r="M2029" i="1"/>
  <c r="M2030" i="1"/>
  <c r="M2031" i="1"/>
  <c r="M2032" i="1"/>
  <c r="M2033" i="1"/>
  <c r="M2034" i="1"/>
  <c r="N2034" i="1" s="1"/>
  <c r="M2035" i="1"/>
  <c r="N2035" i="1" s="1"/>
  <c r="M2036" i="1"/>
  <c r="M2037" i="1"/>
  <c r="M2038" i="1"/>
  <c r="N2038" i="1" s="1"/>
  <c r="M2039" i="1"/>
  <c r="M2040" i="1"/>
  <c r="M2041" i="1"/>
  <c r="N2041" i="1" s="1"/>
  <c r="M2042" i="1"/>
  <c r="M2043" i="1"/>
  <c r="M2044" i="1"/>
  <c r="M2045" i="1"/>
  <c r="M2046" i="1"/>
  <c r="N2046" i="1" s="1"/>
  <c r="M2047" i="1"/>
  <c r="N2047" i="1" s="1"/>
  <c r="M2048" i="1"/>
  <c r="M2049" i="1"/>
  <c r="M2050" i="1"/>
  <c r="M2051" i="1"/>
  <c r="M2052" i="1"/>
  <c r="N2052" i="1" s="1"/>
  <c r="M2053" i="1"/>
  <c r="M2054" i="1"/>
  <c r="M2055" i="1"/>
  <c r="N2055" i="1" s="1"/>
  <c r="M2056" i="1"/>
  <c r="N2056" i="1" s="1"/>
  <c r="M2057" i="1"/>
  <c r="N2057" i="1" s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N2070" i="1" s="1"/>
  <c r="M2071" i="1"/>
  <c r="N2071" i="1" s="1"/>
  <c r="M2072" i="1"/>
  <c r="N2072" i="1" s="1"/>
  <c r="M2073" i="1"/>
  <c r="M2074" i="1"/>
  <c r="M2075" i="1"/>
  <c r="N2075" i="1" s="1"/>
  <c r="M2076" i="1"/>
  <c r="M2077" i="1"/>
  <c r="M2078" i="1"/>
  <c r="N2078" i="1" s="1"/>
  <c r="M2079" i="1"/>
  <c r="M2080" i="1"/>
  <c r="N2080" i="1" s="1"/>
  <c r="M2081" i="1"/>
  <c r="M2082" i="1"/>
  <c r="M2083" i="1"/>
  <c r="N2083" i="1" s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N2095" i="1" s="1"/>
  <c r="M2096" i="1"/>
  <c r="N2096" i="1" s="1"/>
  <c r="M2097" i="1"/>
  <c r="M2098" i="1"/>
  <c r="M2099" i="1"/>
  <c r="M2100" i="1"/>
  <c r="M2101" i="1"/>
  <c r="M2102" i="1"/>
  <c r="N2102" i="1" s="1"/>
  <c r="M2103" i="1"/>
  <c r="N2103" i="1" s="1"/>
  <c r="M2104" i="1"/>
  <c r="M2105" i="1"/>
  <c r="M2106" i="1"/>
  <c r="M2107" i="1"/>
  <c r="M2108" i="1"/>
  <c r="N2108" i="1" s="1"/>
  <c r="M2109" i="1"/>
  <c r="M2110" i="1"/>
  <c r="M2111" i="1"/>
  <c r="M2112" i="1"/>
  <c r="M2113" i="1"/>
  <c r="M2114" i="1"/>
  <c r="M2115" i="1"/>
  <c r="N2115" i="1" s="1"/>
  <c r="M2116" i="1"/>
  <c r="M2117" i="1"/>
  <c r="M2118" i="1"/>
  <c r="N2118" i="1" s="1"/>
  <c r="M2119" i="1"/>
  <c r="M2120" i="1"/>
  <c r="M2121" i="1"/>
  <c r="N2121" i="1" s="1"/>
  <c r="M2122" i="1"/>
  <c r="M2123" i="1"/>
  <c r="M2124" i="1"/>
  <c r="M2125" i="1"/>
  <c r="M2126" i="1"/>
  <c r="M2127" i="1"/>
  <c r="N2127" i="1" s="1"/>
  <c r="M2128" i="1"/>
  <c r="M2129" i="1"/>
  <c r="M2130" i="1"/>
  <c r="M2131" i="1"/>
  <c r="M2132" i="1"/>
  <c r="M2133" i="1"/>
  <c r="N2133" i="1" s="1"/>
  <c r="M2134" i="1"/>
  <c r="M2135" i="1"/>
  <c r="M2136" i="1"/>
  <c r="N2136" i="1" s="1"/>
  <c r="M2137" i="1"/>
  <c r="M2138" i="1"/>
  <c r="M2139" i="1"/>
  <c r="N2139" i="1" s="1"/>
  <c r="M2140" i="1"/>
  <c r="M2141" i="1"/>
  <c r="N2141" i="1" s="1"/>
  <c r="M2142" i="1"/>
  <c r="N2142" i="1" s="1"/>
  <c r="M2143" i="1"/>
  <c r="M2144" i="1"/>
  <c r="M2145" i="1"/>
  <c r="M2146" i="1"/>
  <c r="M2147" i="1"/>
  <c r="M2148" i="1"/>
  <c r="M2149" i="1"/>
  <c r="M2150" i="1"/>
  <c r="N2150" i="1" s="1"/>
  <c r="M2151" i="1"/>
  <c r="N2151" i="1" s="1"/>
  <c r="M2152" i="1"/>
  <c r="M2153" i="1"/>
  <c r="M2154" i="1"/>
  <c r="N2154" i="1" s="1"/>
  <c r="M2155" i="1"/>
  <c r="M2156" i="1"/>
  <c r="M2157" i="1"/>
  <c r="N2157" i="1" s="1"/>
  <c r="M2158" i="1"/>
  <c r="M2159" i="1"/>
  <c r="M2160" i="1"/>
  <c r="N2160" i="1" s="1"/>
  <c r="M2161" i="1"/>
  <c r="N2161" i="1" s="1"/>
  <c r="M2162" i="1"/>
  <c r="M2163" i="1"/>
  <c r="N2163" i="1" s="1"/>
  <c r="M2164" i="1"/>
  <c r="M2165" i="1"/>
  <c r="N2165" i="1" s="1"/>
  <c r="M2166" i="1"/>
  <c r="N2166" i="1" s="1"/>
  <c r="M2167" i="1"/>
  <c r="M2168" i="1"/>
  <c r="M2169" i="1"/>
  <c r="M2170" i="1"/>
  <c r="M2171" i="1"/>
  <c r="M2172" i="1"/>
  <c r="M2173" i="1"/>
  <c r="M2174" i="1"/>
  <c r="N2174" i="1" s="1"/>
  <c r="M2175" i="1"/>
  <c r="N2175" i="1" s="1"/>
  <c r="M2176" i="1"/>
  <c r="M2177" i="1"/>
  <c r="M2178" i="1"/>
  <c r="M2179" i="1"/>
  <c r="M2180" i="1"/>
  <c r="N2180" i="1" s="1"/>
  <c r="M2181" i="1"/>
  <c r="N2181" i="1" s="1"/>
  <c r="M2182" i="1"/>
  <c r="N2182" i="1" s="1"/>
  <c r="M2183" i="1"/>
  <c r="M2184" i="1"/>
  <c r="M2185" i="1"/>
  <c r="M2186" i="1"/>
  <c r="N2186" i="1" s="1"/>
  <c r="M2187" i="1"/>
  <c r="M2188" i="1"/>
  <c r="N2188" i="1" s="1"/>
  <c r="M2189" i="1"/>
  <c r="N2189" i="1" s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N2204" i="1" s="1"/>
  <c r="M2205" i="1"/>
  <c r="M2206" i="1"/>
  <c r="M2207" i="1"/>
  <c r="M2208" i="1"/>
  <c r="N2208" i="1" s="1"/>
  <c r="M2209" i="1"/>
  <c r="M2210" i="1"/>
  <c r="M2211" i="1"/>
  <c r="M2212" i="1"/>
  <c r="M2213" i="1"/>
  <c r="M2214" i="1"/>
  <c r="N2214" i="1" s="1"/>
  <c r="M2215" i="1"/>
  <c r="M2216" i="1"/>
  <c r="M2217" i="1"/>
  <c r="M2218" i="1"/>
  <c r="M2219" i="1"/>
  <c r="M2220" i="1"/>
  <c r="N2220" i="1" s="1"/>
  <c r="M2221" i="1"/>
  <c r="N2221" i="1" s="1"/>
  <c r="M2222" i="1"/>
  <c r="M2223" i="1"/>
  <c r="M2224" i="1"/>
  <c r="M2225" i="1"/>
  <c r="M2226" i="1"/>
  <c r="M2227" i="1"/>
  <c r="N2227" i="1" s="1"/>
  <c r="M2228" i="1"/>
  <c r="M2229" i="1"/>
  <c r="N2229" i="1" s="1"/>
  <c r="M2230" i="1"/>
  <c r="M2231" i="1"/>
  <c r="M2232" i="1"/>
  <c r="N2232" i="1" s="1"/>
  <c r="M2233" i="1"/>
  <c r="N2233" i="1" s="1"/>
  <c r="M2234" i="1"/>
  <c r="M2235" i="1"/>
  <c r="N2235" i="1" s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N2249" i="1" s="1"/>
  <c r="M2250" i="1"/>
  <c r="M2251" i="1"/>
  <c r="M2252" i="1"/>
  <c r="M2253" i="1"/>
  <c r="N2253" i="1" s="1"/>
  <c r="M2254" i="1"/>
  <c r="N2254" i="1" s="1"/>
  <c r="M2255" i="1"/>
  <c r="M2256" i="1"/>
  <c r="N2256" i="1" s="1"/>
  <c r="M2257" i="1"/>
  <c r="M2258" i="1"/>
  <c r="M2259" i="1"/>
  <c r="M2260" i="1"/>
  <c r="M2261" i="1"/>
  <c r="M2262" i="1"/>
  <c r="M2263" i="1"/>
  <c r="M2264" i="1"/>
  <c r="N2264" i="1" s="1"/>
  <c r="M2265" i="1"/>
  <c r="M2266" i="1"/>
  <c r="M2267" i="1"/>
  <c r="M2268" i="1"/>
  <c r="M2269" i="1"/>
  <c r="M2270" i="1"/>
  <c r="M2271" i="1"/>
  <c r="M2272" i="1"/>
  <c r="M2273" i="1"/>
  <c r="N2273" i="1" s="1"/>
  <c r="M2274" i="1"/>
  <c r="M2275" i="1"/>
  <c r="M2276" i="1"/>
  <c r="M2277" i="1"/>
  <c r="M2278" i="1"/>
  <c r="M2279" i="1"/>
  <c r="M2280" i="1"/>
  <c r="M2281" i="1"/>
  <c r="N2281" i="1" s="1"/>
  <c r="M2282" i="1"/>
  <c r="N2282" i="1" s="1"/>
  <c r="M2283" i="1"/>
  <c r="M2284" i="1"/>
  <c r="N2284" i="1" s="1"/>
  <c r="M2285" i="1"/>
  <c r="M2286" i="1"/>
  <c r="N2286" i="1" s="1"/>
  <c r="M2287" i="1"/>
  <c r="N2287" i="1" s="1"/>
  <c r="M2288" i="1"/>
  <c r="N2288" i="1" s="1"/>
  <c r="M2289" i="1"/>
  <c r="M2290" i="1"/>
  <c r="M2291" i="1"/>
  <c r="M2292" i="1"/>
  <c r="M2293" i="1"/>
  <c r="N2293" i="1" s="1"/>
  <c r="M2294" i="1"/>
  <c r="M2295" i="1"/>
  <c r="M2296" i="1"/>
  <c r="N2296" i="1" s="1"/>
  <c r="M2297" i="1"/>
  <c r="M2298" i="1"/>
  <c r="N2298" i="1" s="1"/>
  <c r="M2299" i="1"/>
  <c r="M2300" i="1"/>
  <c r="M2301" i="1"/>
  <c r="M2302" i="1"/>
  <c r="M2303" i="1"/>
  <c r="M2304" i="1"/>
  <c r="N2304" i="1" s="1"/>
  <c r="M2305" i="1"/>
  <c r="M2306" i="1"/>
  <c r="N2306" i="1" s="1"/>
  <c r="M2307" i="1"/>
  <c r="M2308" i="1"/>
  <c r="M2309" i="1"/>
  <c r="M2310" i="1"/>
  <c r="M2311" i="1"/>
  <c r="N2311" i="1" s="1"/>
  <c r="M2312" i="1"/>
  <c r="M2313" i="1"/>
  <c r="M2314" i="1"/>
  <c r="M2315" i="1"/>
  <c r="M2316" i="1"/>
  <c r="M2317" i="1"/>
  <c r="N2317" i="1" s="1"/>
  <c r="M2318" i="1"/>
  <c r="M2319" i="1"/>
  <c r="M2320" i="1"/>
  <c r="N2320" i="1" s="1"/>
  <c r="M2321" i="1"/>
  <c r="M2322" i="1"/>
  <c r="M2323" i="1"/>
  <c r="M2324" i="1"/>
  <c r="M2325" i="1"/>
  <c r="N2325" i="1" s="1"/>
  <c r="M2326" i="1"/>
  <c r="M2327" i="1"/>
  <c r="M2328" i="1"/>
  <c r="M2329" i="1"/>
  <c r="M2330" i="1"/>
  <c r="M2331" i="1"/>
  <c r="M2332" i="1"/>
  <c r="M2333" i="1"/>
  <c r="M2334" i="1"/>
  <c r="M2335" i="1"/>
  <c r="N2335" i="1" s="1"/>
  <c r="M2336" i="1"/>
  <c r="M2337" i="1"/>
  <c r="N2337" i="1" s="1"/>
  <c r="M2338" i="1"/>
  <c r="M2339" i="1"/>
  <c r="N2339" i="1" s="1"/>
  <c r="M2340" i="1"/>
  <c r="M2341" i="1"/>
  <c r="M2342" i="1"/>
  <c r="N2342" i="1" s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N2356" i="1" s="1"/>
  <c r="M2357" i="1"/>
  <c r="N2357" i="1" s="1"/>
  <c r="M2358" i="1"/>
  <c r="M2359" i="1"/>
  <c r="M2360" i="1"/>
  <c r="M2361" i="1"/>
  <c r="M2362" i="1"/>
  <c r="M2363" i="1"/>
  <c r="M2364" i="1"/>
  <c r="M2365" i="1"/>
  <c r="M2366" i="1"/>
  <c r="N2366" i="1" s="1"/>
  <c r="M2367" i="1"/>
  <c r="N2367" i="1" s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N2379" i="1" s="1"/>
  <c r="M2380" i="1"/>
  <c r="M2381" i="1"/>
  <c r="M2382" i="1"/>
  <c r="M2383" i="1"/>
  <c r="M2384" i="1"/>
  <c r="N2384" i="1" s="1"/>
  <c r="M2385" i="1"/>
  <c r="M2386" i="1"/>
  <c r="N2386" i="1" s="1"/>
  <c r="M2387" i="1"/>
  <c r="M2388" i="1"/>
  <c r="M2389" i="1"/>
  <c r="M2390" i="1"/>
  <c r="N2390" i="1" s="1"/>
  <c r="M2391" i="1"/>
  <c r="M2392" i="1"/>
  <c r="M2393" i="1"/>
  <c r="M2394" i="1"/>
  <c r="M2395" i="1"/>
  <c r="M2396" i="1"/>
  <c r="M2397" i="1"/>
  <c r="M2398" i="1"/>
  <c r="M2399" i="1"/>
  <c r="N2399" i="1" s="1"/>
  <c r="M2400" i="1"/>
  <c r="M2401" i="1"/>
  <c r="M2402" i="1"/>
  <c r="M2403" i="1"/>
  <c r="M2404" i="1"/>
  <c r="M2405" i="1"/>
  <c r="M2406" i="1"/>
  <c r="M2407" i="1"/>
  <c r="N2407" i="1" s="1"/>
  <c r="M2408" i="1"/>
  <c r="N2408" i="1" s="1"/>
  <c r="M2409" i="1"/>
  <c r="M2410" i="1"/>
  <c r="N2410" i="1" s="1"/>
  <c r="M2411" i="1"/>
  <c r="N2411" i="1" s="1"/>
  <c r="M2412" i="1"/>
  <c r="M2413" i="1"/>
  <c r="N2413" i="1" s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N2430" i="1" s="1"/>
  <c r="M2431" i="1"/>
  <c r="M2432" i="1"/>
  <c r="N2432" i="1" s="1"/>
  <c r="M2433" i="1"/>
  <c r="M2434" i="1"/>
  <c r="M2435" i="1"/>
  <c r="N2435" i="1" s="1"/>
  <c r="M2436" i="1"/>
  <c r="N2436" i="1" s="1"/>
  <c r="M2437" i="1"/>
  <c r="M2438" i="1"/>
  <c r="M2439" i="1"/>
  <c r="M2440" i="1"/>
  <c r="M2441" i="1"/>
  <c r="M2442" i="1"/>
  <c r="M2443" i="1"/>
  <c r="M2444" i="1"/>
  <c r="N2444" i="1" s="1"/>
  <c r="M2445" i="1"/>
  <c r="M2446" i="1"/>
  <c r="M2447" i="1"/>
  <c r="M2448" i="1"/>
  <c r="M2449" i="1"/>
  <c r="N2449" i="1" s="1"/>
  <c r="M2450" i="1"/>
  <c r="M2451" i="1"/>
  <c r="M2452" i="1"/>
  <c r="N2452" i="1" s="1"/>
  <c r="M2453" i="1"/>
  <c r="M2454" i="1"/>
  <c r="N2454" i="1" s="1"/>
  <c r="M2455" i="1"/>
  <c r="M2456" i="1"/>
  <c r="M2457" i="1"/>
  <c r="M2458" i="1"/>
  <c r="M2459" i="1"/>
  <c r="N2459" i="1" s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N2473" i="1" s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N2486" i="1" s="1"/>
  <c r="M2487" i="1"/>
  <c r="M2488" i="1"/>
  <c r="M2489" i="1"/>
  <c r="M2490" i="1"/>
  <c r="M2491" i="1"/>
  <c r="N2491" i="1" s="1"/>
  <c r="M2492" i="1"/>
  <c r="N2492" i="1" s="1"/>
  <c r="M2493" i="1"/>
  <c r="M2494" i="1"/>
  <c r="N2494" i="1" s="1"/>
  <c r="M2495" i="1"/>
  <c r="M2496" i="1"/>
  <c r="N2496" i="1" s="1"/>
  <c r="M2497" i="1"/>
  <c r="N2497" i="1" s="1"/>
  <c r="M2498" i="1"/>
  <c r="N2498" i="1" s="1"/>
  <c r="M2499" i="1"/>
  <c r="M2500" i="1"/>
  <c r="M2501" i="1"/>
  <c r="N2501" i="1" s="1"/>
  <c r="M2502" i="1"/>
  <c r="M2503" i="1"/>
  <c r="M2504" i="1"/>
  <c r="M2505" i="1"/>
  <c r="N2505" i="1" s="1"/>
  <c r="M2506" i="1"/>
  <c r="M2507" i="1"/>
  <c r="M2508" i="1"/>
  <c r="M2509" i="1"/>
  <c r="M2510" i="1"/>
  <c r="N2510" i="1" s="1"/>
  <c r="M2511" i="1"/>
  <c r="N2511" i="1" s="1"/>
  <c r="M2512" i="1"/>
  <c r="M2513" i="1"/>
  <c r="M2514" i="1"/>
  <c r="N2514" i="1" s="1"/>
  <c r="M2515" i="1"/>
  <c r="M2516" i="1"/>
  <c r="M2517" i="1"/>
  <c r="N2517" i="1" s="1"/>
  <c r="M2518" i="1"/>
  <c r="M2519" i="1"/>
  <c r="N2519" i="1" s="1"/>
  <c r="M2520" i="1"/>
  <c r="M2521" i="1"/>
  <c r="M2522" i="1"/>
  <c r="M2523" i="1"/>
  <c r="M2524" i="1"/>
  <c r="M2525" i="1"/>
  <c r="M2526" i="1"/>
  <c r="N2526" i="1" s="1"/>
  <c r="M2527" i="1"/>
  <c r="M2528" i="1"/>
  <c r="M2529" i="1"/>
  <c r="N2529" i="1" s="1"/>
  <c r="M2530" i="1"/>
  <c r="N2530" i="1" s="1"/>
  <c r="M2531" i="1"/>
  <c r="M2532" i="1"/>
  <c r="M2533" i="1"/>
  <c r="M2534" i="1"/>
  <c r="M2535" i="1"/>
  <c r="M2536" i="1"/>
  <c r="N2536" i="1" s="1"/>
  <c r="M2537" i="1"/>
  <c r="M2538" i="1"/>
  <c r="M2539" i="1"/>
  <c r="M2540" i="1"/>
  <c r="N2540" i="1" s="1"/>
  <c r="M2541" i="1"/>
  <c r="M2542" i="1"/>
  <c r="M2543" i="1"/>
  <c r="N2543" i="1" s="1"/>
  <c r="M2544" i="1"/>
  <c r="N2544" i="1" s="1"/>
  <c r="M2545" i="1"/>
  <c r="M2546" i="1"/>
  <c r="N2546" i="1" s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N2558" i="1" s="1"/>
  <c r="M2559" i="1"/>
  <c r="M2560" i="1"/>
  <c r="N2560" i="1" s="1"/>
  <c r="M2561" i="1"/>
  <c r="M2562" i="1"/>
  <c r="N2562" i="1" s="1"/>
  <c r="M2563" i="1"/>
  <c r="M2564" i="1"/>
  <c r="M2565" i="1"/>
  <c r="M2566" i="1"/>
  <c r="N2566" i="1" s="1"/>
  <c r="M2567" i="1"/>
  <c r="M2568" i="1"/>
  <c r="M2569" i="1"/>
  <c r="N2569" i="1" s="1"/>
  <c r="M2570" i="1"/>
  <c r="M2571" i="1"/>
  <c r="M2572" i="1"/>
  <c r="M2573" i="1"/>
  <c r="M2574" i="1"/>
  <c r="N2574" i="1" s="1"/>
  <c r="M2575" i="1"/>
  <c r="N2575" i="1" s="1"/>
  <c r="M2576" i="1"/>
  <c r="M2577" i="1"/>
  <c r="M2578" i="1"/>
  <c r="M2579" i="1"/>
  <c r="M2580" i="1"/>
  <c r="M2581" i="1"/>
  <c r="M2582" i="1"/>
  <c r="N2582" i="1" s="1"/>
  <c r="M2583" i="1"/>
  <c r="M2584" i="1"/>
  <c r="M2585" i="1"/>
  <c r="M2586" i="1"/>
  <c r="M2587" i="1"/>
  <c r="N2587" i="1" s="1"/>
  <c r="M2588" i="1"/>
  <c r="N2588" i="1" s="1"/>
  <c r="M2589" i="1"/>
  <c r="N2589" i="1" s="1"/>
  <c r="M2590" i="1"/>
  <c r="N2590" i="1" s="1"/>
  <c r="M2591" i="1"/>
  <c r="M2592" i="1"/>
  <c r="M2593" i="1"/>
  <c r="M2594" i="1"/>
  <c r="M2595" i="1"/>
  <c r="N2595" i="1" s="1"/>
  <c r="M2596" i="1"/>
  <c r="M2597" i="1"/>
  <c r="M2598" i="1"/>
  <c r="M2599" i="1"/>
  <c r="M2600" i="1"/>
  <c r="M2601" i="1"/>
  <c r="M2602" i="1"/>
  <c r="M2603" i="1"/>
  <c r="M2604" i="1"/>
  <c r="N2604" i="1" s="1"/>
  <c r="M2605" i="1"/>
  <c r="M2606" i="1"/>
  <c r="N2606" i="1" s="1"/>
  <c r="M2607" i="1"/>
  <c r="M2608" i="1"/>
  <c r="M2609" i="1"/>
  <c r="M2610" i="1"/>
  <c r="N2610" i="1" s="1"/>
  <c r="M2611" i="1"/>
  <c r="M2612" i="1"/>
  <c r="M2613" i="1"/>
  <c r="N2613" i="1" s="1"/>
  <c r="M2614" i="1"/>
  <c r="M2615" i="1"/>
  <c r="N2615" i="1" s="1"/>
  <c r="M2616" i="1"/>
  <c r="M2617" i="1"/>
  <c r="M2618" i="1"/>
  <c r="M2619" i="1"/>
  <c r="N2619" i="1" s="1"/>
  <c r="M2620" i="1"/>
  <c r="M2621" i="1"/>
  <c r="N2621" i="1" s="1"/>
  <c r="M2622" i="1"/>
  <c r="N2622" i="1" s="1"/>
  <c r="M2623" i="1"/>
  <c r="M2624" i="1"/>
  <c r="M2625" i="1"/>
  <c r="M2626" i="1"/>
  <c r="M2627" i="1"/>
  <c r="N2627" i="1" s="1"/>
  <c r="M2628" i="1"/>
  <c r="M2629" i="1"/>
  <c r="M2630" i="1"/>
  <c r="M2631" i="1"/>
  <c r="N2631" i="1" s="1"/>
  <c r="M2632" i="1"/>
  <c r="M2633" i="1"/>
  <c r="M2634" i="1"/>
  <c r="M2635" i="1"/>
  <c r="M2636" i="1"/>
  <c r="N2636" i="1" s="1"/>
  <c r="M2637" i="1"/>
  <c r="M2638" i="1"/>
  <c r="M2639" i="1"/>
  <c r="N2639" i="1" s="1"/>
  <c r="M2640" i="1"/>
  <c r="N2640" i="1" s="1"/>
  <c r="M2641" i="1"/>
  <c r="M2642" i="1"/>
  <c r="M2643" i="1"/>
  <c r="M2644" i="1"/>
  <c r="M2645" i="1"/>
  <c r="M2646" i="1"/>
  <c r="M2647" i="1"/>
  <c r="M2648" i="1"/>
  <c r="N2648" i="1" s="1"/>
  <c r="M2649" i="1"/>
  <c r="M2650" i="1"/>
  <c r="M2651" i="1"/>
  <c r="N2651" i="1" s="1"/>
  <c r="M2652" i="1"/>
  <c r="M2653" i="1"/>
  <c r="M2654" i="1"/>
  <c r="M2655" i="1"/>
  <c r="M2656" i="1"/>
  <c r="N2656" i="1" s="1"/>
  <c r="M2657" i="1"/>
  <c r="N2657" i="1" s="1"/>
  <c r="M2658" i="1"/>
  <c r="M2659" i="1"/>
  <c r="M2660" i="1"/>
  <c r="M2661" i="1"/>
  <c r="M2662" i="1"/>
  <c r="M2663" i="1"/>
  <c r="M2664" i="1"/>
  <c r="M2665" i="1"/>
  <c r="M2666" i="1"/>
  <c r="M2667" i="1"/>
  <c r="M2668" i="1"/>
  <c r="N2668" i="1" s="1"/>
  <c r="M2669" i="1"/>
  <c r="M2670" i="1"/>
  <c r="M2671" i="1"/>
  <c r="N2671" i="1" s="1"/>
  <c r="M2672" i="1"/>
  <c r="M2673" i="1"/>
  <c r="N2673" i="1" s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N2689" i="1" s="1"/>
  <c r="M2690" i="1"/>
  <c r="M2691" i="1"/>
  <c r="N2691" i="1" s="1"/>
  <c r="M2692" i="1"/>
  <c r="M2693" i="1"/>
  <c r="M2694" i="1"/>
  <c r="N2694" i="1" s="1"/>
  <c r="M2695" i="1"/>
  <c r="M2696" i="1"/>
  <c r="N2696" i="1" s="1"/>
  <c r="M2697" i="1"/>
  <c r="M2698" i="1"/>
  <c r="M2699" i="1"/>
  <c r="N2699" i="1" s="1"/>
  <c r="M2700" i="1"/>
  <c r="N2700" i="1" s="1"/>
  <c r="M2701" i="1"/>
  <c r="M2702" i="1"/>
  <c r="M2703" i="1"/>
  <c r="N2703" i="1" s="1"/>
  <c r="M2704" i="1"/>
  <c r="M2705" i="1"/>
  <c r="M2706" i="1"/>
  <c r="M2707" i="1"/>
  <c r="M2708" i="1"/>
  <c r="M2709" i="1"/>
  <c r="M2710" i="1"/>
  <c r="M2711" i="1"/>
  <c r="M2712" i="1"/>
  <c r="M2713" i="1"/>
  <c r="N2713" i="1" s="1"/>
  <c r="M2714" i="1"/>
  <c r="M2715" i="1"/>
  <c r="M2716" i="1"/>
  <c r="M2717" i="1"/>
  <c r="M2718" i="1"/>
  <c r="N2718" i="1" s="1"/>
  <c r="M2719" i="1"/>
  <c r="M2720" i="1"/>
  <c r="M2721" i="1"/>
  <c r="M2722" i="1"/>
  <c r="M2723" i="1"/>
  <c r="M2724" i="1"/>
  <c r="N2724" i="1" s="1"/>
  <c r="M2725" i="1"/>
  <c r="M2726" i="1"/>
  <c r="M2727" i="1"/>
  <c r="M2728" i="1"/>
  <c r="M2729" i="1"/>
  <c r="M2730" i="1"/>
  <c r="M2731" i="1"/>
  <c r="N2731" i="1" s="1"/>
  <c r="M2732" i="1"/>
  <c r="N2732" i="1" s="1"/>
  <c r="M2733" i="1"/>
  <c r="N2733" i="1" s="1"/>
  <c r="M2734" i="1"/>
  <c r="M2735" i="1"/>
  <c r="N2735" i="1" s="1"/>
  <c r="M2736" i="1"/>
  <c r="N2736" i="1" s="1"/>
  <c r="M2737" i="1"/>
  <c r="M2738" i="1"/>
  <c r="M2739" i="1"/>
  <c r="M2740" i="1"/>
  <c r="M2741" i="1"/>
  <c r="M2742" i="1"/>
  <c r="N2742" i="1" s="1"/>
  <c r="M2743" i="1"/>
  <c r="M2744" i="1"/>
  <c r="M2745" i="1"/>
  <c r="N2745" i="1" s="1"/>
  <c r="M2746" i="1"/>
  <c r="M2747" i="1"/>
  <c r="M2748" i="1"/>
  <c r="M2749" i="1"/>
  <c r="N2749" i="1" s="1"/>
  <c r="M2750" i="1"/>
  <c r="M2751" i="1"/>
  <c r="M2752" i="1"/>
  <c r="N2752" i="1" s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N2765" i="1" s="1"/>
  <c r="M2766" i="1"/>
  <c r="M2767" i="1"/>
  <c r="N2767" i="1" s="1"/>
  <c r="M2768" i="1"/>
  <c r="M2769" i="1"/>
  <c r="M2770" i="1"/>
  <c r="M2771" i="1"/>
  <c r="N2771" i="1" s="1"/>
  <c r="M2772" i="1"/>
  <c r="N2772" i="1" s="1"/>
  <c r="M2773" i="1"/>
  <c r="N2773" i="1" s="1"/>
  <c r="M2774" i="1"/>
  <c r="M2775" i="1"/>
  <c r="M2776" i="1"/>
  <c r="M2777" i="1"/>
  <c r="M2778" i="1"/>
  <c r="M2779" i="1"/>
  <c r="M2780" i="1"/>
  <c r="N2780" i="1" s="1"/>
  <c r="M2781" i="1"/>
  <c r="M2782" i="1"/>
  <c r="M2783" i="1"/>
  <c r="M2784" i="1"/>
  <c r="M2785" i="1"/>
  <c r="N2785" i="1" s="1"/>
  <c r="M2786" i="1"/>
  <c r="M2787" i="1"/>
  <c r="N2787" i="1" s="1"/>
  <c r="M2788" i="1"/>
  <c r="M2789" i="1"/>
  <c r="M2790" i="1"/>
  <c r="M2791" i="1"/>
  <c r="M2792" i="1"/>
  <c r="M2793" i="1"/>
  <c r="M2794" i="1"/>
  <c r="M2795" i="1"/>
  <c r="M2796" i="1"/>
  <c r="M2797" i="1"/>
  <c r="M2798" i="1"/>
  <c r="N2798" i="1" s="1"/>
  <c r="M2799" i="1"/>
  <c r="M2800" i="1"/>
  <c r="N2800" i="1" s="1"/>
  <c r="M2801" i="1"/>
  <c r="M2802" i="1"/>
  <c r="N2802" i="1" s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N2815" i="1" s="1"/>
  <c r="M2816" i="1"/>
  <c r="N2816" i="1" s="1"/>
  <c r="M2817" i="1"/>
  <c r="N2817" i="1" s="1"/>
  <c r="M2818" i="1"/>
  <c r="N2818" i="1" s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N2832" i="1" s="1"/>
  <c r="M2833" i="1"/>
  <c r="M2834" i="1"/>
  <c r="N2834" i="1" s="1"/>
  <c r="M2835" i="1"/>
  <c r="N2835" i="1" s="1"/>
  <c r="M2836" i="1"/>
  <c r="M2837" i="1"/>
  <c r="N2837" i="1" s="1"/>
  <c r="M2838" i="1"/>
  <c r="M2839" i="1"/>
  <c r="N2839" i="1" s="1"/>
  <c r="M2840" i="1"/>
  <c r="N2840" i="1" s="1"/>
  <c r="M2841" i="1"/>
  <c r="M2842" i="1"/>
  <c r="M2843" i="1"/>
  <c r="N2843" i="1" s="1"/>
  <c r="M2844" i="1"/>
  <c r="M2845" i="1"/>
  <c r="M2846" i="1"/>
  <c r="M2847" i="1"/>
  <c r="M2848" i="1"/>
  <c r="M2849" i="1"/>
  <c r="M2850" i="1"/>
  <c r="N2850" i="1" s="1"/>
  <c r="M2851" i="1"/>
  <c r="N2851" i="1" s="1"/>
  <c r="M2852" i="1"/>
  <c r="M2853" i="1"/>
  <c r="M2854" i="1"/>
  <c r="M2855" i="1"/>
  <c r="M2856" i="1"/>
  <c r="N2856" i="1" s="1"/>
  <c r="M2857" i="1"/>
  <c r="M2858" i="1"/>
  <c r="M2859" i="1"/>
  <c r="M2860" i="1"/>
  <c r="M2861" i="1"/>
  <c r="M2862" i="1"/>
  <c r="M2863" i="1"/>
  <c r="M2864" i="1"/>
  <c r="M2865" i="1"/>
  <c r="M2866" i="1"/>
  <c r="N2866" i="1" s="1"/>
  <c r="M2867" i="1"/>
  <c r="M2868" i="1"/>
  <c r="N2868" i="1" s="1"/>
  <c r="M2869" i="1"/>
  <c r="M2870" i="1"/>
  <c r="N2870" i="1" s="1"/>
  <c r="M2871" i="1"/>
  <c r="M2872" i="1"/>
  <c r="M2873" i="1"/>
  <c r="N2873" i="1" s="1"/>
  <c r="M2874" i="1"/>
  <c r="M2875" i="1"/>
  <c r="M2876" i="1"/>
  <c r="M2877" i="1"/>
  <c r="M2878" i="1"/>
  <c r="M2879" i="1"/>
  <c r="M2880" i="1"/>
  <c r="M2881" i="1"/>
  <c r="N2881" i="1" s="1"/>
  <c r="M2882" i="1"/>
  <c r="M2883" i="1"/>
  <c r="M2884" i="1"/>
  <c r="M2885" i="1"/>
  <c r="M2886" i="1"/>
  <c r="M2887" i="1"/>
  <c r="N2887" i="1" s="1"/>
  <c r="M2888" i="1"/>
  <c r="M2889" i="1"/>
  <c r="M2890" i="1"/>
  <c r="M2891" i="1"/>
  <c r="M2892" i="1"/>
  <c r="M2893" i="1"/>
  <c r="M2894" i="1"/>
  <c r="M2895" i="1"/>
  <c r="N2895" i="1" s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N2911" i="1" s="1"/>
  <c r="M2912" i="1"/>
  <c r="N2912" i="1" s="1"/>
  <c r="M2913" i="1"/>
  <c r="M2914" i="1"/>
  <c r="M2915" i="1"/>
  <c r="M2916" i="1"/>
  <c r="N2916" i="1" s="1"/>
  <c r="M2917" i="1"/>
  <c r="M2918" i="1"/>
  <c r="M2919" i="1"/>
  <c r="M2920" i="1"/>
  <c r="M2921" i="1"/>
  <c r="N2921" i="1" s="1"/>
  <c r="M2922" i="1"/>
  <c r="M2923" i="1"/>
  <c r="M2924" i="1"/>
  <c r="M2925" i="1"/>
  <c r="N2925" i="1" s="1"/>
  <c r="M2926" i="1"/>
  <c r="M2927" i="1"/>
  <c r="M2928" i="1"/>
  <c r="N2928" i="1" s="1"/>
  <c r="M2929" i="1"/>
  <c r="M2930" i="1"/>
  <c r="M2931" i="1"/>
  <c r="M2932" i="1"/>
  <c r="M2933" i="1"/>
  <c r="N2933" i="1" s="1"/>
  <c r="M2934" i="1"/>
  <c r="M2935" i="1"/>
  <c r="M2936" i="1"/>
  <c r="M2937" i="1"/>
  <c r="M2938" i="1"/>
  <c r="M2939" i="1"/>
  <c r="N2939" i="1" s="1"/>
  <c r="M2940" i="1"/>
  <c r="M2941" i="1"/>
  <c r="M2942" i="1"/>
  <c r="M2943" i="1"/>
  <c r="M2944" i="1"/>
  <c r="N2944" i="1" s="1"/>
  <c r="M2945" i="1"/>
  <c r="M2946" i="1"/>
  <c r="M2947" i="1"/>
  <c r="M2948" i="1"/>
  <c r="M2949" i="1"/>
  <c r="M2950" i="1"/>
  <c r="M2951" i="1"/>
  <c r="N2951" i="1" s="1"/>
  <c r="M2952" i="1"/>
  <c r="M2953" i="1"/>
  <c r="M2954" i="1"/>
  <c r="N2954" i="1" s="1"/>
  <c r="M2955" i="1"/>
  <c r="M2956" i="1"/>
  <c r="M2957" i="1"/>
  <c r="N2957" i="1" s="1"/>
  <c r="M2958" i="1"/>
  <c r="M2959" i="1"/>
  <c r="N2959" i="1" s="1"/>
  <c r="M2960" i="1"/>
  <c r="N2960" i="1" s="1"/>
  <c r="M2961" i="1"/>
  <c r="M2962" i="1"/>
  <c r="M2963" i="1"/>
  <c r="M2964" i="1"/>
  <c r="M2965" i="1"/>
  <c r="M2966" i="1"/>
  <c r="M2967" i="1"/>
  <c r="N2967" i="1" s="1"/>
  <c r="M2968" i="1"/>
  <c r="M2969" i="1"/>
  <c r="M2970" i="1"/>
  <c r="N2970" i="1" s="1"/>
  <c r="M2971" i="1"/>
  <c r="M2972" i="1"/>
  <c r="M2973" i="1"/>
  <c r="M2974" i="1"/>
  <c r="N2974" i="1" s="1"/>
  <c r="M2975" i="1"/>
  <c r="M2976" i="1"/>
  <c r="M2977" i="1"/>
  <c r="M2978" i="1"/>
  <c r="N2978" i="1" s="1"/>
  <c r="M2979" i="1"/>
  <c r="M2980" i="1"/>
  <c r="M2981" i="1"/>
  <c r="N2981" i="1" s="1"/>
  <c r="M2982" i="1"/>
  <c r="M2983" i="1"/>
  <c r="N2983" i="1" s="1"/>
  <c r="M2984" i="1"/>
  <c r="N2984" i="1" s="1"/>
  <c r="M2985" i="1"/>
  <c r="N2985" i="1" s="1"/>
  <c r="M2986" i="1"/>
  <c r="M2987" i="1"/>
  <c r="M2988" i="1"/>
  <c r="M2989" i="1"/>
  <c r="N2989" i="1" s="1"/>
  <c r="M2990" i="1"/>
  <c r="M2991" i="1"/>
  <c r="M2992" i="1"/>
  <c r="M2993" i="1"/>
  <c r="M2994" i="1"/>
  <c r="N2994" i="1" s="1"/>
  <c r="M2995" i="1"/>
  <c r="N2995" i="1" s="1"/>
  <c r="M2996" i="1"/>
  <c r="M2997" i="1"/>
  <c r="M2998" i="1"/>
  <c r="M2999" i="1"/>
  <c r="M3000" i="1"/>
  <c r="N3000" i="1" s="1"/>
  <c r="M3001" i="1"/>
  <c r="N3001" i="1" s="1"/>
  <c r="M3002" i="1"/>
  <c r="M3003" i="1"/>
  <c r="M3004" i="1"/>
  <c r="M3005" i="1"/>
  <c r="M3006" i="1"/>
  <c r="M3007" i="1"/>
  <c r="M3008" i="1"/>
  <c r="N3008" i="1" s="1"/>
  <c r="M3009" i="1"/>
  <c r="N3009" i="1" s="1"/>
  <c r="M3010" i="1"/>
  <c r="M3011" i="1"/>
  <c r="N3011" i="1" s="1"/>
  <c r="M3012" i="1"/>
  <c r="M3013" i="1"/>
  <c r="M3014" i="1"/>
  <c r="M3015" i="1"/>
  <c r="M3016" i="1"/>
  <c r="M3017" i="1"/>
  <c r="M3018" i="1"/>
  <c r="M3019" i="1"/>
  <c r="N3019" i="1" s="1"/>
  <c r="M3020" i="1"/>
  <c r="N3020" i="1" s="1"/>
  <c r="M3021" i="1"/>
  <c r="M3022" i="1"/>
  <c r="N3022" i="1" s="1"/>
  <c r="M3023" i="1"/>
  <c r="N3023" i="1" s="1"/>
  <c r="M3024" i="1"/>
  <c r="M3025" i="1"/>
  <c r="M3026" i="1"/>
  <c r="M3027" i="1"/>
  <c r="M3028" i="1"/>
  <c r="M3029" i="1"/>
  <c r="N3029" i="1" s="1"/>
  <c r="M3030" i="1"/>
  <c r="M3031" i="1"/>
  <c r="M3032" i="1"/>
  <c r="M3033" i="1"/>
  <c r="M3034" i="1"/>
  <c r="N3034" i="1" s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N3049" i="1" s="1"/>
  <c r="M3050" i="1"/>
  <c r="N3050" i="1" s="1"/>
  <c r="M3051" i="1"/>
  <c r="N3051" i="1" s="1"/>
  <c r="M3052" i="1"/>
  <c r="M3053" i="1"/>
  <c r="N3053" i="1" s="1"/>
  <c r="M3054" i="1"/>
  <c r="M3055" i="1"/>
  <c r="M3056" i="1"/>
  <c r="M3057" i="1"/>
  <c r="N3057" i="1" s="1"/>
  <c r="M3058" i="1"/>
  <c r="M3059" i="1"/>
  <c r="M3060" i="1"/>
  <c r="M3061" i="1"/>
  <c r="N3061" i="1" s="1"/>
  <c r="M3062" i="1"/>
  <c r="M3063" i="1"/>
  <c r="N3063" i="1" s="1"/>
  <c r="M3064" i="1"/>
  <c r="M3065" i="1"/>
  <c r="M3066" i="1"/>
  <c r="M3067" i="1"/>
  <c r="N3067" i="1" s="1"/>
  <c r="M3068" i="1"/>
  <c r="M3069" i="1"/>
  <c r="N3069" i="1" s="1"/>
  <c r="M3070" i="1"/>
  <c r="N3070" i="1" s="1"/>
  <c r="M3071" i="1"/>
  <c r="M3072" i="1"/>
  <c r="M3073" i="1"/>
  <c r="M3074" i="1"/>
  <c r="M3075" i="1"/>
  <c r="M3076" i="1"/>
  <c r="M3077" i="1"/>
  <c r="M3078" i="1"/>
  <c r="M3079" i="1"/>
  <c r="N3079" i="1" s="1"/>
  <c r="M3080" i="1"/>
  <c r="M3081" i="1"/>
  <c r="M3082" i="1"/>
  <c r="M3083" i="1"/>
  <c r="N3083" i="1" s="1"/>
  <c r="M3084" i="1"/>
  <c r="M3085" i="1"/>
  <c r="M3086" i="1"/>
  <c r="M3087" i="1"/>
  <c r="M3088" i="1"/>
  <c r="N3088" i="1" s="1"/>
  <c r="M3089" i="1"/>
  <c r="M3090" i="1"/>
  <c r="N3090" i="1" s="1"/>
  <c r="M3091" i="1"/>
  <c r="M3092" i="1"/>
  <c r="N3092" i="1" s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N3106" i="1" s="1"/>
  <c r="M3107" i="1"/>
  <c r="N3107" i="1" s="1"/>
  <c r="M3108" i="1"/>
  <c r="M3109" i="1"/>
  <c r="M3110" i="1"/>
  <c r="M3111" i="1"/>
  <c r="M3112" i="1"/>
  <c r="M3113" i="1"/>
  <c r="M3114" i="1"/>
  <c r="M3115" i="1"/>
  <c r="M3116" i="1"/>
  <c r="N3116" i="1" s="1"/>
  <c r="M3117" i="1"/>
  <c r="N3117" i="1" s="1"/>
  <c r="M3118" i="1"/>
  <c r="M3119" i="1"/>
  <c r="N3119" i="1" s="1"/>
  <c r="M3120" i="1"/>
  <c r="M3121" i="1"/>
  <c r="M3122" i="1"/>
  <c r="N3122" i="1" s="1"/>
  <c r="M3123" i="1"/>
  <c r="N3123" i="1" s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N3135" i="1" s="1"/>
  <c r="M3136" i="1"/>
  <c r="M3137" i="1"/>
  <c r="N3137" i="1" s="1"/>
  <c r="M3138" i="1"/>
  <c r="M3139" i="1"/>
  <c r="M3140" i="1"/>
  <c r="M3141" i="1"/>
  <c r="M3142" i="1"/>
  <c r="N3142" i="1" s="1"/>
  <c r="M3143" i="1"/>
  <c r="N3143" i="1" s="1"/>
  <c r="M3144" i="1"/>
  <c r="M3145" i="1"/>
  <c r="M3146" i="1"/>
  <c r="N3146" i="1" s="1"/>
  <c r="M3147" i="1"/>
  <c r="M3148" i="1"/>
  <c r="N3148" i="1" s="1"/>
  <c r="M3149" i="1"/>
  <c r="N3149" i="1" s="1"/>
  <c r="M3150" i="1"/>
  <c r="N3150" i="1" s="1"/>
  <c r="M3151" i="1"/>
  <c r="M3152" i="1"/>
  <c r="M3153" i="1"/>
  <c r="M3154" i="1"/>
  <c r="N3154" i="1" s="1"/>
  <c r="M3155" i="1"/>
  <c r="M3156" i="1"/>
  <c r="N3156" i="1" s="1"/>
  <c r="M3157" i="1"/>
  <c r="N3157" i="1" s="1"/>
  <c r="M3158" i="1"/>
  <c r="N3158" i="1" s="1"/>
  <c r="M3159" i="1"/>
  <c r="M3160" i="1"/>
  <c r="M3161" i="1"/>
  <c r="M3162" i="1"/>
  <c r="M3163" i="1"/>
  <c r="M3164" i="1"/>
  <c r="M3165" i="1"/>
  <c r="M3166" i="1"/>
  <c r="M3167" i="1"/>
  <c r="N3167" i="1" s="1"/>
  <c r="M3168" i="1"/>
  <c r="N3168" i="1" s="1"/>
  <c r="M3169" i="1"/>
  <c r="M3170" i="1"/>
  <c r="M3171" i="1"/>
  <c r="M3172" i="1"/>
  <c r="M3173" i="1"/>
  <c r="M3174" i="1"/>
  <c r="N3174" i="1" s="1"/>
  <c r="M3175" i="1"/>
  <c r="M3176" i="1"/>
  <c r="N3176" i="1" s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N3188" i="1" s="1"/>
  <c r="M3189" i="1"/>
  <c r="M3190" i="1"/>
  <c r="M3191" i="1"/>
  <c r="N3191" i="1" s="1"/>
  <c r="M3192" i="1"/>
  <c r="M3193" i="1"/>
  <c r="N3193" i="1" s="1"/>
  <c r="M3194" i="1"/>
  <c r="M3195" i="1"/>
  <c r="M3196" i="1"/>
  <c r="M3197" i="1"/>
  <c r="N3197" i="1" s="1"/>
  <c r="M3198" i="1"/>
  <c r="M3199" i="1"/>
  <c r="M3200" i="1"/>
  <c r="M3201" i="1"/>
  <c r="N3201" i="1" s="1"/>
  <c r="M3202" i="1"/>
  <c r="M3203" i="1"/>
  <c r="N3203" i="1" s="1"/>
  <c r="M3204" i="1"/>
  <c r="N3204" i="1" s="1"/>
  <c r="M3205" i="1"/>
  <c r="M3206" i="1"/>
  <c r="M3207" i="1"/>
  <c r="N3207" i="1" s="1"/>
  <c r="M3208" i="1"/>
  <c r="N3208" i="1" s="1"/>
  <c r="M3209" i="1"/>
  <c r="M3210" i="1"/>
  <c r="N3210" i="1" s="1"/>
  <c r="M3211" i="1"/>
  <c r="M3212" i="1"/>
  <c r="M3213" i="1"/>
  <c r="M3214" i="1"/>
  <c r="N3214" i="1" s="1"/>
  <c r="M3215" i="1"/>
  <c r="M3216" i="1"/>
  <c r="M3217" i="1"/>
  <c r="N3217" i="1" s="1"/>
  <c r="M3218" i="1"/>
  <c r="N3218" i="1" s="1"/>
  <c r="M3219" i="1"/>
  <c r="N3219" i="1" s="1"/>
  <c r="M3220" i="1"/>
  <c r="M3221" i="1"/>
  <c r="M3222" i="1"/>
  <c r="M3223" i="1"/>
  <c r="M3224" i="1"/>
  <c r="N3224" i="1" s="1"/>
  <c r="M3225" i="1"/>
  <c r="M3226" i="1"/>
  <c r="M3227" i="1"/>
  <c r="M3228" i="1"/>
  <c r="N3228" i="1" s="1"/>
  <c r="M3229" i="1"/>
  <c r="N3229" i="1" s="1"/>
  <c r="M3230" i="1"/>
  <c r="M3231" i="1"/>
  <c r="M3232" i="1"/>
  <c r="M3233" i="1"/>
  <c r="N3233" i="1" s="1"/>
  <c r="M3234" i="1"/>
  <c r="M3235" i="1"/>
  <c r="M3236" i="1"/>
  <c r="M3237" i="1"/>
  <c r="M3238" i="1"/>
  <c r="M3239" i="1"/>
  <c r="M3240" i="1"/>
  <c r="N3240" i="1" s="1"/>
  <c r="M3241" i="1"/>
  <c r="M3242" i="1"/>
  <c r="M3243" i="1"/>
  <c r="M3244" i="1"/>
  <c r="M3245" i="1"/>
  <c r="M3246" i="1"/>
  <c r="M3247" i="1"/>
  <c r="M3248" i="1"/>
  <c r="M3249" i="1"/>
  <c r="M3250" i="1"/>
  <c r="N3250" i="1" s="1"/>
  <c r="M3251" i="1"/>
  <c r="M3252" i="1"/>
  <c r="N3252" i="1" s="1"/>
  <c r="M3253" i="1"/>
  <c r="N3253" i="1" s="1"/>
  <c r="M3254" i="1"/>
  <c r="M3255" i="1"/>
  <c r="M3256" i="1"/>
  <c r="M3257" i="1"/>
  <c r="N3257" i="1" s="1"/>
  <c r="M3258" i="1"/>
  <c r="M3259" i="1"/>
  <c r="M3260" i="1"/>
  <c r="M3261" i="1"/>
  <c r="N3261" i="1" s="1"/>
  <c r="M3262" i="1"/>
  <c r="M3263" i="1"/>
  <c r="N3263" i="1" s="1"/>
  <c r="M3264" i="1"/>
  <c r="M3265" i="1"/>
  <c r="M3266" i="1"/>
  <c r="M3267" i="1"/>
  <c r="M3268" i="1"/>
  <c r="M3269" i="1"/>
  <c r="M3270" i="1"/>
  <c r="M3271" i="1"/>
  <c r="N3271" i="1" s="1"/>
  <c r="M3272" i="1"/>
  <c r="M3273" i="1"/>
  <c r="M3274" i="1"/>
  <c r="M3275" i="1"/>
  <c r="M3276" i="1"/>
  <c r="M3277" i="1"/>
  <c r="N3277" i="1" s="1"/>
  <c r="M3278" i="1"/>
  <c r="N3278" i="1" s="1"/>
  <c r="M3279" i="1"/>
  <c r="M3280" i="1"/>
  <c r="M3281" i="1"/>
  <c r="M3282" i="1"/>
  <c r="M3283" i="1"/>
  <c r="N3283" i="1" s="1"/>
  <c r="M3284" i="1"/>
  <c r="M3285" i="1"/>
  <c r="M3286" i="1"/>
  <c r="N3286" i="1" s="1"/>
  <c r="M3287" i="1"/>
  <c r="M3288" i="1"/>
  <c r="N3288" i="1" s="1"/>
  <c r="M3289" i="1"/>
  <c r="N3289" i="1" s="1"/>
  <c r="M3290" i="1"/>
  <c r="N3290" i="1" s="1"/>
  <c r="M3291" i="1"/>
  <c r="N3291" i="1" s="1"/>
  <c r="M3292" i="1"/>
  <c r="N3292" i="1" s="1"/>
  <c r="M3293" i="1"/>
  <c r="M3294" i="1"/>
  <c r="M3295" i="1"/>
  <c r="N3295" i="1" s="1"/>
  <c r="M3296" i="1"/>
  <c r="M3297" i="1"/>
  <c r="M3298" i="1"/>
  <c r="M3299" i="1"/>
  <c r="M3300" i="1"/>
  <c r="M3301" i="1"/>
  <c r="N3301" i="1" s="1"/>
  <c r="M3302" i="1"/>
  <c r="M3303" i="1"/>
  <c r="M3304" i="1"/>
  <c r="M3305" i="1"/>
  <c r="N3305" i="1" s="1"/>
  <c r="M3306" i="1"/>
  <c r="M3307" i="1"/>
  <c r="N3307" i="1" s="1"/>
  <c r="M3308" i="1"/>
  <c r="N3308" i="1" s="1"/>
  <c r="M3309" i="1"/>
  <c r="M3310" i="1"/>
  <c r="M3311" i="1"/>
  <c r="N3311" i="1" s="1"/>
  <c r="M3312" i="1"/>
  <c r="M3313" i="1"/>
  <c r="M3314" i="1"/>
  <c r="M3315" i="1"/>
  <c r="N3315" i="1" s="1"/>
  <c r="M3316" i="1"/>
  <c r="M3317" i="1"/>
  <c r="M3318" i="1"/>
  <c r="N3318" i="1" s="1"/>
  <c r="M3319" i="1"/>
  <c r="M3320" i="1"/>
  <c r="M3321" i="1"/>
  <c r="M3322" i="1"/>
  <c r="M3323" i="1"/>
  <c r="M3324" i="1"/>
  <c r="N3324" i="1" s="1"/>
  <c r="M3325" i="1"/>
  <c r="M3326" i="1"/>
  <c r="M3327" i="1"/>
  <c r="M3328" i="1"/>
  <c r="M3329" i="1"/>
  <c r="M3330" i="1"/>
  <c r="M3331" i="1"/>
  <c r="M3332" i="1"/>
  <c r="N3332" i="1" s="1"/>
  <c r="M3333" i="1"/>
  <c r="N3333" i="1" s="1"/>
  <c r="M3334" i="1"/>
  <c r="M3335" i="1"/>
  <c r="M3336" i="1"/>
  <c r="M3337" i="1"/>
  <c r="N3337" i="1" s="1"/>
  <c r="M3338" i="1"/>
  <c r="M3339" i="1"/>
  <c r="N3339" i="1" s="1"/>
  <c r="M3340" i="1"/>
  <c r="N3340" i="1" s="1"/>
  <c r="M3341" i="1"/>
  <c r="M3342" i="1"/>
  <c r="N3342" i="1" s="1"/>
  <c r="M3343" i="1"/>
  <c r="M3344" i="1"/>
  <c r="M3345" i="1"/>
  <c r="M3346" i="1"/>
  <c r="N3346" i="1" s="1"/>
  <c r="M3347" i="1"/>
  <c r="N3347" i="1" s="1"/>
  <c r="M3348" i="1"/>
  <c r="M3349" i="1"/>
  <c r="M3350" i="1"/>
  <c r="M3351" i="1"/>
  <c r="N3351" i="1" s="1"/>
  <c r="M3352" i="1"/>
  <c r="M3353" i="1"/>
  <c r="M3354" i="1"/>
  <c r="M3355" i="1"/>
  <c r="M3356" i="1"/>
  <c r="M3357" i="1"/>
  <c r="N3357" i="1" s="1"/>
  <c r="M3358" i="1"/>
  <c r="M3359" i="1"/>
  <c r="N3359" i="1" s="1"/>
  <c r="M3360" i="1"/>
  <c r="M3361" i="1"/>
  <c r="M3362" i="1"/>
  <c r="M3363" i="1"/>
  <c r="M3364" i="1"/>
  <c r="N3364" i="1" s="1"/>
  <c r="M3365" i="1"/>
  <c r="M3366" i="1"/>
  <c r="M3367" i="1"/>
  <c r="M3368" i="1"/>
  <c r="M3369" i="1"/>
  <c r="N3369" i="1" s="1"/>
  <c r="M3370" i="1"/>
  <c r="M3371" i="1"/>
  <c r="M3372" i="1"/>
  <c r="N3372" i="1" s="1"/>
  <c r="M3373" i="1"/>
  <c r="M3374" i="1"/>
  <c r="N3374" i="1" s="1"/>
  <c r="M3375" i="1"/>
  <c r="M3376" i="1"/>
  <c r="M3377" i="1"/>
  <c r="N3377" i="1" s="1"/>
  <c r="M3378" i="1"/>
  <c r="N3378" i="1" s="1"/>
  <c r="M3379" i="1"/>
  <c r="N3379" i="1" s="1"/>
  <c r="M3380" i="1"/>
  <c r="M3381" i="1"/>
  <c r="N3381" i="1" s="1"/>
  <c r="M3382" i="1"/>
  <c r="M3383" i="1"/>
  <c r="M3384" i="1"/>
  <c r="M3385" i="1"/>
  <c r="N3385" i="1" s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N3397" i="1" s="1"/>
  <c r="M3398" i="1"/>
  <c r="M3399" i="1"/>
  <c r="M3400" i="1"/>
  <c r="M3401" i="1"/>
  <c r="M3402" i="1"/>
  <c r="N3402" i="1" s="1"/>
  <c r="M3403" i="1"/>
  <c r="M3404" i="1"/>
  <c r="N3404" i="1" s="1"/>
  <c r="M3405" i="1"/>
  <c r="M3406" i="1"/>
  <c r="M3407" i="1"/>
  <c r="M3408" i="1"/>
  <c r="M3409" i="1"/>
  <c r="M3410" i="1"/>
  <c r="M3411" i="1"/>
  <c r="M3412" i="1"/>
  <c r="N3412" i="1" s="1"/>
  <c r="M3413" i="1"/>
  <c r="M3414" i="1"/>
  <c r="M3415" i="1"/>
  <c r="M3416" i="1"/>
  <c r="M3417" i="1"/>
  <c r="N3417" i="1" s="1"/>
  <c r="M3418" i="1"/>
  <c r="N3418" i="1" s="1"/>
  <c r="M3419" i="1"/>
  <c r="M3420" i="1"/>
  <c r="M3421" i="1"/>
  <c r="M3422" i="1"/>
  <c r="M3423" i="1"/>
  <c r="N3423" i="1" s="1"/>
  <c r="M3424" i="1"/>
  <c r="M3425" i="1"/>
  <c r="M3426" i="1"/>
  <c r="M3427" i="1"/>
  <c r="M3428" i="1"/>
  <c r="M3429" i="1"/>
  <c r="N3429" i="1" s="1"/>
  <c r="M3430" i="1"/>
  <c r="M3431" i="1"/>
  <c r="M3432" i="1"/>
  <c r="M3433" i="1"/>
  <c r="M3434" i="1"/>
  <c r="M3435" i="1"/>
  <c r="N3435" i="1" s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N3447" i="1" s="1"/>
  <c r="M3448" i="1"/>
  <c r="M3449" i="1"/>
  <c r="M3450" i="1"/>
  <c r="M3451" i="1"/>
  <c r="M3452" i="1"/>
  <c r="N3452" i="1" s="1"/>
  <c r="M3453" i="1"/>
  <c r="M3454" i="1"/>
  <c r="M3455" i="1"/>
  <c r="M3456" i="1"/>
  <c r="N3456" i="1" s="1"/>
  <c r="M3457" i="1"/>
  <c r="N3457" i="1" s="1"/>
  <c r="M3458" i="1"/>
  <c r="M3459" i="1"/>
  <c r="M3460" i="1"/>
  <c r="M3461" i="1"/>
  <c r="M3462" i="1"/>
  <c r="N3462" i="1" s="1"/>
  <c r="M3463" i="1"/>
  <c r="N3463" i="1" s="1"/>
  <c r="M3464" i="1"/>
  <c r="M3465" i="1"/>
  <c r="M3466" i="1"/>
  <c r="N3466" i="1" s="1"/>
  <c r="M3467" i="1"/>
  <c r="M3468" i="1"/>
  <c r="M3469" i="1"/>
  <c r="N3469" i="1" s="1"/>
  <c r="M3470" i="1"/>
  <c r="N3470" i="1" s="1"/>
  <c r="M3471" i="1"/>
  <c r="N3471" i="1" s="1"/>
  <c r="M3472" i="1"/>
  <c r="M3473" i="1"/>
  <c r="M3474" i="1"/>
  <c r="N3474" i="1" s="1"/>
  <c r="M3475" i="1"/>
  <c r="M3476" i="1"/>
  <c r="N3476" i="1" s="1"/>
  <c r="M3477" i="1"/>
  <c r="M3478" i="1"/>
  <c r="N3478" i="1" s="1"/>
  <c r="M3479" i="1"/>
  <c r="M3480" i="1"/>
  <c r="M3481" i="1"/>
  <c r="M3482" i="1"/>
  <c r="N3482" i="1" s="1"/>
  <c r="M3483" i="1"/>
  <c r="M3484" i="1"/>
  <c r="M3485" i="1"/>
  <c r="N3485" i="1" s="1"/>
  <c r="M3486" i="1"/>
  <c r="N3486" i="1" s="1"/>
  <c r="M3487" i="1"/>
  <c r="M3488" i="1"/>
  <c r="M3489" i="1"/>
  <c r="M3490" i="1"/>
  <c r="N3490" i="1" s="1"/>
  <c r="M3491" i="1"/>
  <c r="M3492" i="1"/>
  <c r="M3493" i="1"/>
  <c r="N3493" i="1" s="1"/>
  <c r="M3494" i="1"/>
  <c r="M3495" i="1"/>
  <c r="N3495" i="1" s="1"/>
  <c r="M3496" i="1"/>
  <c r="M3497" i="1"/>
  <c r="M3498" i="1"/>
  <c r="M3499" i="1"/>
  <c r="N3499" i="1" s="1"/>
  <c r="M3500" i="1"/>
  <c r="N3500" i="1" s="1"/>
  <c r="M3501" i="1"/>
  <c r="M3502" i="1"/>
  <c r="M3503" i="1"/>
  <c r="M3504" i="1"/>
  <c r="M3505" i="1"/>
  <c r="M3506" i="1"/>
  <c r="N3506" i="1" s="1"/>
  <c r="M3507" i="1"/>
  <c r="M3508" i="1"/>
  <c r="M3509" i="1"/>
  <c r="M3510" i="1"/>
  <c r="M3511" i="1"/>
  <c r="N3511" i="1" s="1"/>
  <c r="M3512" i="1"/>
  <c r="M3513" i="1"/>
  <c r="N3513" i="1" s="1"/>
  <c r="M3514" i="1"/>
  <c r="N3514" i="1" s="1"/>
  <c r="M3515" i="1"/>
  <c r="M3516" i="1"/>
  <c r="M3517" i="1"/>
  <c r="M3518" i="1"/>
  <c r="M3519" i="1"/>
  <c r="M3520" i="1"/>
  <c r="M3521" i="1"/>
  <c r="M3522" i="1"/>
  <c r="N3522" i="1" s="1"/>
  <c r="M3523" i="1"/>
  <c r="N3523" i="1" s="1"/>
  <c r="M3524" i="1"/>
  <c r="N3524" i="1" s="1"/>
  <c r="M3525" i="1"/>
  <c r="M3526" i="1"/>
  <c r="M3527" i="1"/>
  <c r="N3527" i="1" s="1"/>
  <c r="M3528" i="1"/>
  <c r="N3528" i="1" s="1"/>
  <c r="M3529" i="1"/>
  <c r="M3530" i="1"/>
  <c r="M3531" i="1"/>
  <c r="M3532" i="1"/>
  <c r="M3533" i="1"/>
  <c r="M3534" i="1"/>
  <c r="M3535" i="1"/>
  <c r="N3535" i="1" s="1"/>
  <c r="M3536" i="1"/>
  <c r="N3536" i="1" s="1"/>
  <c r="M3537" i="1"/>
  <c r="M3538" i="1"/>
  <c r="M3539" i="1"/>
  <c r="N3539" i="1" s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N3551" i="1" s="1"/>
  <c r="M3552" i="1"/>
  <c r="M3553" i="1"/>
  <c r="M3554" i="1"/>
  <c r="M3555" i="1"/>
  <c r="M3556" i="1"/>
  <c r="M3557" i="1"/>
  <c r="M3558" i="1"/>
  <c r="M3559" i="1"/>
  <c r="M3560" i="1"/>
  <c r="M3561" i="1"/>
  <c r="M3562" i="1"/>
  <c r="N3562" i="1" s="1"/>
  <c r="M3563" i="1"/>
  <c r="M3564" i="1"/>
  <c r="M3565" i="1"/>
  <c r="M3566" i="1"/>
  <c r="M3567" i="1"/>
  <c r="M3568" i="1"/>
  <c r="M3569" i="1"/>
  <c r="N3569" i="1" s="1"/>
  <c r="M3570" i="1"/>
  <c r="M3571" i="1"/>
  <c r="M3572" i="1"/>
  <c r="M3573" i="1"/>
  <c r="M3574" i="1"/>
  <c r="M3575" i="1"/>
  <c r="M3576" i="1"/>
  <c r="N3576" i="1" s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N3592" i="1" s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N3604" i="1" s="1"/>
  <c r="M3605" i="1"/>
  <c r="M3606" i="1"/>
  <c r="N3606" i="1" s="1"/>
  <c r="M3607" i="1"/>
  <c r="M3608" i="1"/>
  <c r="N3608" i="1" s="1"/>
  <c r="M3609" i="1"/>
  <c r="N3609" i="1" s="1"/>
  <c r="M3610" i="1"/>
  <c r="M3611" i="1"/>
  <c r="M3612" i="1"/>
  <c r="M3613" i="1"/>
  <c r="M3614" i="1"/>
  <c r="N3614" i="1" s="1"/>
  <c r="M3615" i="1"/>
  <c r="N3615" i="1" s="1"/>
  <c r="M3616" i="1"/>
  <c r="N3616" i="1" s="1"/>
  <c r="M3617" i="1"/>
  <c r="M3618" i="1"/>
  <c r="M3619" i="1"/>
  <c r="M3620" i="1"/>
  <c r="M3621" i="1"/>
  <c r="N3621" i="1" s="1"/>
  <c r="M3622" i="1"/>
  <c r="M3623" i="1"/>
  <c r="M3624" i="1"/>
  <c r="M3625" i="1"/>
  <c r="M3626" i="1"/>
  <c r="M3627" i="1"/>
  <c r="M3628" i="1"/>
  <c r="N3628" i="1" s="1"/>
  <c r="M3629" i="1"/>
  <c r="M3630" i="1"/>
  <c r="M3631" i="1"/>
  <c r="M3632" i="1"/>
  <c r="M3633" i="1"/>
  <c r="M3634" i="1"/>
  <c r="N3634" i="1" s="1"/>
  <c r="M3635" i="1"/>
  <c r="M3636" i="1"/>
  <c r="M3637" i="1"/>
  <c r="M3638" i="1"/>
  <c r="M3639" i="1"/>
  <c r="N3639" i="1" s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N3659" i="1" s="1"/>
  <c r="M3660" i="1"/>
  <c r="M3661" i="1"/>
  <c r="M3662" i="1"/>
  <c r="M3663" i="1"/>
  <c r="M3664" i="1"/>
  <c r="M3665" i="1"/>
  <c r="M3666" i="1"/>
  <c r="M3667" i="1"/>
  <c r="N3667" i="1" s="1"/>
  <c r="M3668" i="1"/>
  <c r="M3669" i="1"/>
  <c r="M3670" i="1"/>
  <c r="N3670" i="1" s="1"/>
  <c r="M3671" i="1"/>
  <c r="M3672" i="1"/>
  <c r="M3673" i="1"/>
  <c r="M3674" i="1"/>
  <c r="M3675" i="1"/>
  <c r="N3675" i="1" s="1"/>
  <c r="M3676" i="1"/>
  <c r="M3677" i="1"/>
  <c r="M3678" i="1"/>
  <c r="M3679" i="1"/>
  <c r="M3680" i="1"/>
  <c r="M3681" i="1"/>
  <c r="M3682" i="1"/>
  <c r="M3683" i="1"/>
  <c r="N3683" i="1" s="1"/>
  <c r="M3684" i="1"/>
  <c r="N3684" i="1" s="1"/>
  <c r="M3685" i="1"/>
  <c r="M3686" i="1"/>
  <c r="M3687" i="1"/>
  <c r="M3688" i="1"/>
  <c r="M3689" i="1"/>
  <c r="M3690" i="1"/>
  <c r="M3691" i="1"/>
  <c r="N3691" i="1" s="1"/>
  <c r="M3692" i="1"/>
  <c r="M3693" i="1"/>
  <c r="M3694" i="1"/>
  <c r="M3695" i="1"/>
  <c r="M3696" i="1"/>
  <c r="N3696" i="1" s="1"/>
  <c r="M3697" i="1"/>
  <c r="M3698" i="1"/>
  <c r="M3699" i="1"/>
  <c r="M3700" i="1"/>
  <c r="M3701" i="1"/>
  <c r="M3702" i="1"/>
  <c r="N3702" i="1" s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N3714" i="1" s="1"/>
  <c r="M3715" i="1"/>
  <c r="M3716" i="1"/>
  <c r="N3716" i="1" s="1"/>
  <c r="M3717" i="1"/>
  <c r="N3717" i="1" s="1"/>
  <c r="M3718" i="1"/>
  <c r="M3719" i="1"/>
  <c r="N3719" i="1" s="1"/>
  <c r="M3720" i="1"/>
  <c r="M3721" i="1"/>
  <c r="N3721" i="1" s="1"/>
  <c r="M3722" i="1"/>
  <c r="M3723" i="1"/>
  <c r="N3723" i="1" s="1"/>
  <c r="M3724" i="1"/>
  <c r="M3725" i="1"/>
  <c r="M3726" i="1"/>
  <c r="M3727" i="1"/>
  <c r="M3728" i="1"/>
  <c r="N3728" i="1" s="1"/>
  <c r="M3729" i="1"/>
  <c r="M3730" i="1"/>
  <c r="M3731" i="1"/>
  <c r="N3731" i="1" s="1"/>
  <c r="M3732" i="1"/>
  <c r="M3733" i="1"/>
  <c r="N3733" i="1" s="1"/>
  <c r="M3734" i="1"/>
  <c r="N3734" i="1" s="1"/>
  <c r="M3735" i="1"/>
  <c r="M3736" i="1"/>
  <c r="N3736" i="1" s="1"/>
  <c r="M3737" i="1"/>
  <c r="M3738" i="1"/>
  <c r="M3739" i="1"/>
  <c r="M3740" i="1"/>
  <c r="M3741" i="1"/>
  <c r="M3742" i="1"/>
  <c r="M3743" i="1"/>
  <c r="M3744" i="1"/>
  <c r="N3744" i="1" s="1"/>
  <c r="M3745" i="1"/>
  <c r="M3746" i="1"/>
  <c r="M3747" i="1"/>
  <c r="M3748" i="1"/>
  <c r="M3749" i="1"/>
  <c r="M3750" i="1"/>
  <c r="M3751" i="1"/>
  <c r="M3752" i="1"/>
  <c r="N3752" i="1" s="1"/>
  <c r="M3753" i="1"/>
  <c r="M3754" i="1"/>
  <c r="M3755" i="1"/>
  <c r="M3756" i="1"/>
  <c r="N3756" i="1" s="1"/>
  <c r="M3757" i="1"/>
  <c r="N3757" i="1" s="1"/>
  <c r="M3758" i="1"/>
  <c r="N3758" i="1" s="1"/>
  <c r="M3759" i="1"/>
  <c r="M3760" i="1"/>
  <c r="N3760" i="1" s="1"/>
  <c r="M3761" i="1"/>
  <c r="M3762" i="1"/>
  <c r="M3763" i="1"/>
  <c r="M3764" i="1"/>
  <c r="N3764" i="1" s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N3776" i="1" s="1"/>
  <c r="M3777" i="1"/>
  <c r="M3778" i="1"/>
  <c r="N3778" i="1" s="1"/>
  <c r="M3779" i="1"/>
  <c r="N3779" i="1" s="1"/>
  <c r="M3780" i="1"/>
  <c r="M3781" i="1"/>
  <c r="N3781" i="1" s="1"/>
  <c r="M3782" i="1"/>
  <c r="M3783" i="1"/>
  <c r="M3784" i="1"/>
  <c r="M3785" i="1"/>
  <c r="M3786" i="1"/>
  <c r="M3787" i="1"/>
  <c r="N3787" i="1" s="1"/>
  <c r="M3788" i="1"/>
  <c r="M3789" i="1"/>
  <c r="M3790" i="1"/>
  <c r="N3790" i="1" s="1"/>
  <c r="M3791" i="1"/>
  <c r="M3792" i="1"/>
  <c r="M3793" i="1"/>
  <c r="N3793" i="1" s="1"/>
  <c r="M3794" i="1"/>
  <c r="M3795" i="1"/>
  <c r="M3796" i="1"/>
  <c r="M3797" i="1"/>
  <c r="M3798" i="1"/>
  <c r="M3799" i="1"/>
  <c r="M3800" i="1"/>
  <c r="M3801" i="1"/>
  <c r="M3802" i="1"/>
  <c r="N3802" i="1" s="1"/>
  <c r="M3803" i="1"/>
  <c r="N3803" i="1" s="1"/>
  <c r="M3804" i="1"/>
  <c r="M3805" i="1"/>
  <c r="M3806" i="1"/>
  <c r="M3807" i="1"/>
  <c r="N3807" i="1" s="1"/>
  <c r="M3808" i="1"/>
  <c r="M3809" i="1"/>
  <c r="M3810" i="1"/>
  <c r="M3811" i="1"/>
  <c r="N3811" i="1" s="1"/>
  <c r="M3812" i="1"/>
  <c r="M3813" i="1"/>
  <c r="M3814" i="1"/>
  <c r="M3815" i="1"/>
  <c r="M3816" i="1"/>
  <c r="M3817" i="1"/>
  <c r="M3818" i="1"/>
  <c r="M3819" i="1"/>
  <c r="N3819" i="1" s="1"/>
  <c r="M3820" i="1"/>
  <c r="N3820" i="1" s="1"/>
  <c r="M3821" i="1"/>
  <c r="M3822" i="1"/>
  <c r="M3823" i="1"/>
  <c r="M3824" i="1"/>
  <c r="M3825" i="1"/>
  <c r="M3826" i="1"/>
  <c r="M3827" i="1"/>
  <c r="M3828" i="1"/>
  <c r="N3828" i="1" s="1"/>
  <c r="M3829" i="1"/>
  <c r="M3830" i="1"/>
  <c r="M3831" i="1"/>
  <c r="M3832" i="1"/>
  <c r="M3833" i="1"/>
  <c r="M3834" i="1"/>
  <c r="N3834" i="1" s="1"/>
  <c r="M3835" i="1"/>
  <c r="M3836" i="1"/>
  <c r="M3837" i="1"/>
  <c r="M3838" i="1"/>
  <c r="M3839" i="1"/>
  <c r="M3840" i="1"/>
  <c r="M3841" i="1"/>
  <c r="N3841" i="1" s="1"/>
  <c r="M3842" i="1"/>
  <c r="N3842" i="1" s="1"/>
  <c r="M3843" i="1"/>
  <c r="N3843" i="1" s="1"/>
  <c r="M3844" i="1"/>
  <c r="M3845" i="1"/>
  <c r="M3846" i="1"/>
  <c r="M3847" i="1"/>
  <c r="M3848" i="1"/>
  <c r="M3849" i="1"/>
  <c r="N3849" i="1" s="1"/>
  <c r="M3850" i="1"/>
  <c r="M3851" i="1"/>
  <c r="N3851" i="1" s="1"/>
  <c r="M3852" i="1"/>
  <c r="M3853" i="1"/>
  <c r="M3854" i="1"/>
  <c r="N3854" i="1" s="1"/>
  <c r="M3855" i="1"/>
  <c r="M3856" i="1"/>
  <c r="M3857" i="1"/>
  <c r="N3857" i="1" s="1"/>
  <c r="M3858" i="1"/>
  <c r="M3859" i="1"/>
  <c r="M3860" i="1"/>
  <c r="M3861" i="1"/>
  <c r="M3862" i="1"/>
  <c r="M3863" i="1"/>
  <c r="M3864" i="1"/>
  <c r="M3865" i="1"/>
  <c r="N3865" i="1" s="1"/>
  <c r="M3866" i="1"/>
  <c r="M3867" i="1"/>
  <c r="M3868" i="1"/>
  <c r="M3869" i="1"/>
  <c r="N3869" i="1" s="1"/>
  <c r="M3870" i="1"/>
  <c r="M3871" i="1"/>
  <c r="M3872" i="1"/>
  <c r="M3873" i="1"/>
  <c r="M3874" i="1"/>
  <c r="N3874" i="1" s="1"/>
  <c r="M3875" i="1"/>
  <c r="M3876" i="1"/>
  <c r="M3877" i="1"/>
  <c r="M3878" i="1"/>
  <c r="N3878" i="1" s="1"/>
  <c r="M3879" i="1"/>
  <c r="M3880" i="1"/>
  <c r="M3881" i="1"/>
  <c r="M3882" i="1"/>
  <c r="M3883" i="1"/>
  <c r="M3884" i="1"/>
  <c r="N3884" i="1" s="1"/>
  <c r="M3885" i="1"/>
  <c r="M3886" i="1"/>
  <c r="M3887" i="1"/>
  <c r="N3887" i="1" s="1"/>
  <c r="M3888" i="1"/>
  <c r="M3889" i="1"/>
  <c r="M3890" i="1"/>
  <c r="N3890" i="1" s="1"/>
  <c r="M3891" i="1"/>
  <c r="M3892" i="1"/>
  <c r="N3892" i="1" s="1"/>
  <c r="M3893" i="1"/>
  <c r="N3893" i="1" s="1"/>
  <c r="M3894" i="1"/>
  <c r="M3895" i="1"/>
  <c r="M3896" i="1"/>
  <c r="M3897" i="1"/>
  <c r="M3898" i="1"/>
  <c r="M3899" i="1"/>
  <c r="M3900" i="1"/>
  <c r="M3901" i="1"/>
  <c r="M3902" i="1"/>
  <c r="M3903" i="1"/>
  <c r="N3903" i="1" s="1"/>
  <c r="M3904" i="1"/>
  <c r="M3905" i="1"/>
  <c r="N3905" i="1" s="1"/>
  <c r="M3906" i="1"/>
  <c r="N3906" i="1" s="1"/>
  <c r="M3907" i="1"/>
  <c r="N3907" i="1" s="1"/>
  <c r="M3908" i="1"/>
  <c r="M3909" i="1"/>
  <c r="M3910" i="1"/>
  <c r="M3911" i="1"/>
  <c r="N3911" i="1" s="1"/>
  <c r="M3912" i="1"/>
  <c r="M3913" i="1"/>
  <c r="M3914" i="1"/>
  <c r="N3914" i="1" s="1"/>
  <c r="M3915" i="1"/>
  <c r="M3916" i="1"/>
  <c r="M3917" i="1"/>
  <c r="M3918" i="1"/>
  <c r="N3918" i="1" s="1"/>
  <c r="M3919" i="1"/>
  <c r="N3919" i="1" s="1"/>
  <c r="M3920" i="1"/>
  <c r="M3921" i="1"/>
  <c r="M3922" i="1"/>
  <c r="M3923" i="1"/>
  <c r="M3924" i="1"/>
  <c r="N3924" i="1" s="1"/>
  <c r="M3925" i="1"/>
  <c r="M3926" i="1"/>
  <c r="M3927" i="1"/>
  <c r="M3928" i="1"/>
  <c r="M3929" i="1"/>
  <c r="N3929" i="1" s="1"/>
  <c r="M3930" i="1"/>
  <c r="M3931" i="1"/>
  <c r="N3931" i="1" s="1"/>
  <c r="M3932" i="1"/>
  <c r="M3933" i="1"/>
  <c r="M3934" i="1"/>
  <c r="M3935" i="1"/>
  <c r="M3936" i="1"/>
  <c r="M3937" i="1"/>
  <c r="N3937" i="1" s="1"/>
  <c r="M3938" i="1"/>
  <c r="N3938" i="1" s="1"/>
  <c r="M3939" i="1"/>
  <c r="M3940" i="1"/>
  <c r="N3940" i="1" s="1"/>
  <c r="M3941" i="1"/>
  <c r="N3941" i="1" s="1"/>
  <c r="M3942" i="1"/>
  <c r="M3943" i="1"/>
  <c r="M3944" i="1"/>
  <c r="M3945" i="1"/>
  <c r="M3946" i="1"/>
  <c r="M3947" i="1"/>
  <c r="M3948" i="1"/>
  <c r="M3949" i="1"/>
  <c r="N3949" i="1" s="1"/>
  <c r="M3950" i="1"/>
  <c r="M3951" i="1"/>
  <c r="N3951" i="1" s="1"/>
  <c r="M3952" i="1"/>
  <c r="N3952" i="1" s="1"/>
  <c r="M3953" i="1"/>
  <c r="N3953" i="1" s="1"/>
  <c r="M3954" i="1"/>
  <c r="M3955" i="1"/>
  <c r="M3956" i="1"/>
  <c r="N3956" i="1" s="1"/>
  <c r="M3957" i="1"/>
  <c r="M3958" i="1"/>
  <c r="M3959" i="1"/>
  <c r="M3960" i="1"/>
  <c r="M3961" i="1"/>
  <c r="M3962" i="1"/>
  <c r="N3962" i="1" s="1"/>
  <c r="M3963" i="1"/>
  <c r="M3964" i="1"/>
  <c r="M3965" i="1"/>
  <c r="N3965" i="1" s="1"/>
  <c r="M3966" i="1"/>
  <c r="M3967" i="1"/>
  <c r="M3968" i="1"/>
  <c r="M3969" i="1"/>
  <c r="N3969" i="1" s="1"/>
  <c r="M3970" i="1"/>
  <c r="N3970" i="1" s="1"/>
  <c r="M3971" i="1"/>
  <c r="M3972" i="1"/>
  <c r="M3973" i="1"/>
  <c r="N3973" i="1" s="1"/>
  <c r="M3974" i="1"/>
  <c r="M3975" i="1"/>
  <c r="M3976" i="1"/>
  <c r="N3976" i="1" s="1"/>
  <c r="M3977" i="1"/>
  <c r="N3977" i="1" s="1"/>
  <c r="M3978" i="1"/>
  <c r="M3979" i="1"/>
  <c r="M3980" i="1"/>
  <c r="M3981" i="1"/>
  <c r="M3982" i="1"/>
  <c r="M3983" i="1"/>
  <c r="M3984" i="1"/>
  <c r="M3985" i="1"/>
  <c r="N3985" i="1" s="1"/>
  <c r="M3986" i="1"/>
  <c r="M3987" i="1"/>
  <c r="M3988" i="1"/>
  <c r="N3988" i="1" s="1"/>
  <c r="M3989" i="1"/>
  <c r="N3989" i="1" s="1"/>
  <c r="M3990" i="1"/>
  <c r="M3991" i="1"/>
  <c r="N3991" i="1" s="1"/>
  <c r="M3992" i="1"/>
  <c r="M3993" i="1"/>
  <c r="M3994" i="1"/>
  <c r="M3995" i="1"/>
  <c r="M3996" i="1"/>
  <c r="M3997" i="1"/>
  <c r="N3997" i="1" s="1"/>
  <c r="M3998" i="1"/>
  <c r="N3998" i="1" s="1"/>
  <c r="M3999" i="1"/>
  <c r="N3999" i="1" s="1"/>
  <c r="M4000" i="1"/>
  <c r="M4001" i="1"/>
  <c r="M4002" i="1"/>
  <c r="M4003" i="1"/>
  <c r="M4004" i="1"/>
  <c r="M4005" i="1"/>
  <c r="N4005" i="1" s="1"/>
  <c r="M4006" i="1"/>
  <c r="N4006" i="1" s="1"/>
  <c r="M4007" i="1"/>
  <c r="M4008" i="1"/>
  <c r="N4008" i="1" s="1"/>
  <c r="M4009" i="1"/>
  <c r="M4010" i="1"/>
  <c r="N4010" i="1" s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N4027" i="1" s="1"/>
  <c r="M4028" i="1"/>
  <c r="M4029" i="1"/>
  <c r="M4030" i="1"/>
  <c r="M4031" i="1"/>
  <c r="M4032" i="1"/>
  <c r="M4033" i="1"/>
  <c r="M4034" i="1"/>
  <c r="N4034" i="1" s="1"/>
  <c r="M4035" i="1"/>
  <c r="M4036" i="1"/>
  <c r="N4036" i="1" s="1"/>
  <c r="M4037" i="1"/>
  <c r="N4037" i="1" s="1"/>
  <c r="M4038" i="1"/>
  <c r="M4039" i="1"/>
  <c r="M4040" i="1"/>
  <c r="M4041" i="1"/>
  <c r="N4041" i="1" s="1"/>
  <c r="M4042" i="1"/>
  <c r="N4042" i="1" s="1"/>
  <c r="M4043" i="1"/>
  <c r="M4044" i="1"/>
  <c r="M4045" i="1"/>
  <c r="M4046" i="1"/>
  <c r="M4047" i="1"/>
  <c r="M4048" i="1"/>
  <c r="M4049" i="1"/>
  <c r="M4050" i="1"/>
  <c r="M4051" i="1"/>
  <c r="M4052" i="1"/>
  <c r="M4053" i="1"/>
  <c r="N4053" i="1" s="1"/>
  <c r="M4054" i="1"/>
  <c r="N4054" i="1" s="1"/>
  <c r="M4055" i="1"/>
  <c r="M4056" i="1"/>
  <c r="M4057" i="1"/>
  <c r="M4058" i="1"/>
  <c r="M4059" i="1"/>
  <c r="M4060" i="1"/>
  <c r="M4061" i="1"/>
  <c r="N4061" i="1" s="1"/>
  <c r="M4062" i="1"/>
  <c r="M4063" i="1"/>
  <c r="N4063" i="1" s="1"/>
  <c r="M4064" i="1"/>
  <c r="N4064" i="1" s="1"/>
  <c r="M4065" i="1"/>
  <c r="N4065" i="1" s="1"/>
  <c r="M4066" i="1"/>
  <c r="M4067" i="1"/>
  <c r="M4068" i="1"/>
  <c r="N4068" i="1" s="1"/>
  <c r="M4069" i="1"/>
  <c r="M4070" i="1"/>
  <c r="N4070" i="1" s="1"/>
  <c r="M4071" i="1"/>
  <c r="N4071" i="1" s="1"/>
  <c r="M4072" i="1"/>
  <c r="N4072" i="1" s="1"/>
  <c r="M4073" i="1"/>
  <c r="M4074" i="1"/>
  <c r="N4074" i="1" s="1"/>
  <c r="M4075" i="1"/>
  <c r="M4076" i="1"/>
  <c r="M4077" i="1"/>
  <c r="M4078" i="1"/>
  <c r="M4079" i="1"/>
  <c r="M4080" i="1"/>
  <c r="M4081" i="1"/>
  <c r="M4082" i="1"/>
  <c r="N4082" i="1" s="1"/>
  <c r="M4083" i="1"/>
  <c r="M4084" i="1"/>
  <c r="M4085" i="1"/>
  <c r="N4085" i="1" s="1"/>
  <c r="M4086" i="1"/>
  <c r="N4086" i="1" s="1"/>
  <c r="M4087" i="1"/>
  <c r="M4088" i="1"/>
  <c r="M4089" i="1"/>
  <c r="M4090" i="1"/>
  <c r="M4091" i="1"/>
  <c r="M4092" i="1"/>
  <c r="M4093" i="1"/>
  <c r="M4094" i="1"/>
  <c r="M4095" i="1"/>
  <c r="M4096" i="1"/>
  <c r="N4096" i="1" s="1"/>
  <c r="M4097" i="1"/>
  <c r="N4097" i="1" s="1"/>
  <c r="M4098" i="1"/>
  <c r="N4098" i="1" s="1"/>
  <c r="M4099" i="1"/>
  <c r="M4100" i="1"/>
  <c r="M4101" i="1"/>
  <c r="M4102" i="1"/>
  <c r="M4103" i="1"/>
  <c r="M4104" i="1"/>
  <c r="N4104" i="1" s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N4116" i="1" s="1"/>
  <c r="M4117" i="1"/>
  <c r="N4117" i="1" s="1"/>
  <c r="M4118" i="1"/>
  <c r="M4119" i="1"/>
  <c r="N4119" i="1" s="1"/>
  <c r="M4120" i="1"/>
  <c r="M4121" i="1"/>
  <c r="M4122" i="1"/>
  <c r="M4123" i="1"/>
  <c r="M4124" i="1"/>
  <c r="N4124" i="1" s="1"/>
  <c r="M4125" i="1"/>
  <c r="M4126" i="1"/>
  <c r="M4127" i="1"/>
  <c r="M4128" i="1"/>
  <c r="M4129" i="1"/>
  <c r="M4130" i="1"/>
  <c r="M4131" i="1"/>
  <c r="M4132" i="1"/>
  <c r="N4132" i="1" s="1"/>
  <c r="M4133" i="1"/>
  <c r="M4134" i="1"/>
  <c r="M4135" i="1"/>
  <c r="M4136" i="1"/>
  <c r="M4137" i="1"/>
  <c r="M4138" i="1"/>
  <c r="N4138" i="1" s="1"/>
  <c r="M4139" i="1"/>
  <c r="M4140" i="1"/>
  <c r="M4141" i="1"/>
  <c r="M4142" i="1"/>
  <c r="N4142" i="1" s="1"/>
  <c r="M4143" i="1"/>
  <c r="M4144" i="1"/>
  <c r="M4145" i="1"/>
  <c r="N4145" i="1" s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N4157" i="1" s="1"/>
  <c r="M4158" i="1"/>
  <c r="M4159" i="1"/>
  <c r="N4159" i="1" s="1"/>
  <c r="M4160" i="1"/>
  <c r="M4161" i="1"/>
  <c r="M4162" i="1"/>
  <c r="M4163" i="1"/>
  <c r="M4164" i="1"/>
  <c r="N4164" i="1" s="1"/>
  <c r="M4165" i="1"/>
  <c r="M4166" i="1"/>
  <c r="N4166" i="1" s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N4179" i="1" s="1"/>
  <c r="M4180" i="1"/>
  <c r="M4181" i="1"/>
  <c r="M4182" i="1"/>
  <c r="M4183" i="1"/>
  <c r="M4184" i="1"/>
  <c r="N4184" i="1" s="1"/>
  <c r="M4185" i="1"/>
  <c r="M4186" i="1"/>
  <c r="N4186" i="1" s="1"/>
  <c r="M4187" i="1"/>
  <c r="M4188" i="1"/>
  <c r="N4188" i="1" s="1"/>
  <c r="M4189" i="1"/>
  <c r="M4190" i="1"/>
  <c r="N4190" i="1" s="1"/>
  <c r="M4191" i="1"/>
  <c r="M4192" i="1"/>
  <c r="N4192" i="1" s="1"/>
  <c r="M4193" i="1"/>
  <c r="M4194" i="1"/>
  <c r="M4195" i="1"/>
  <c r="N4195" i="1" s="1"/>
  <c r="M4196" i="1"/>
  <c r="N4196" i="1" s="1"/>
  <c r="M4197" i="1"/>
  <c r="M4198" i="1"/>
  <c r="N4198" i="1" s="1"/>
  <c r="M4199" i="1"/>
  <c r="M4200" i="1"/>
  <c r="N4200" i="1" s="1"/>
  <c r="M4201" i="1"/>
  <c r="N4201" i="1" s="1"/>
  <c r="M4202" i="1"/>
  <c r="N4202" i="1" s="1"/>
  <c r="M4203" i="1"/>
  <c r="M4204" i="1"/>
  <c r="M4205" i="1"/>
  <c r="N4205" i="1" s="1"/>
  <c r="M4206" i="1"/>
  <c r="M4207" i="1"/>
  <c r="M4208" i="1"/>
  <c r="M4209" i="1"/>
  <c r="M4210" i="1"/>
  <c r="N4210" i="1" s="1"/>
  <c r="M4211" i="1"/>
  <c r="N4211" i="1" s="1"/>
  <c r="M4212" i="1"/>
  <c r="N4212" i="1" s="1"/>
  <c r="M4213" i="1"/>
  <c r="M4214" i="1"/>
  <c r="M4215" i="1"/>
  <c r="M4216" i="1"/>
  <c r="M4217" i="1"/>
  <c r="M4218" i="1"/>
  <c r="M4219" i="1"/>
  <c r="N4219" i="1" s="1"/>
  <c r="M4220" i="1"/>
  <c r="M4221" i="1"/>
  <c r="N4221" i="1" s="1"/>
  <c r="M4222" i="1"/>
  <c r="M4223" i="1"/>
  <c r="M4224" i="1"/>
  <c r="N4224" i="1" s="1"/>
  <c r="M4225" i="1"/>
  <c r="M4226" i="1"/>
  <c r="M4227" i="1"/>
  <c r="M4228" i="1"/>
  <c r="M4229" i="1"/>
  <c r="N4229" i="1" s="1"/>
  <c r="M4230" i="1"/>
  <c r="N4230" i="1" s="1"/>
  <c r="M4231" i="1"/>
  <c r="M4232" i="1"/>
  <c r="M4233" i="1"/>
  <c r="M4234" i="1"/>
  <c r="N4234" i="1" s="1"/>
  <c r="M4235" i="1"/>
  <c r="N4235" i="1" s="1"/>
  <c r="M4236" i="1"/>
  <c r="M4237" i="1"/>
  <c r="N4237" i="1" s="1"/>
  <c r="M4238" i="1"/>
  <c r="M4239" i="1"/>
  <c r="N4239" i="1" s="1"/>
  <c r="M4240" i="1"/>
  <c r="M4241" i="1"/>
  <c r="N4241" i="1" s="1"/>
  <c r="M4242" i="1"/>
  <c r="N4242" i="1" s="1"/>
  <c r="M4243" i="1"/>
  <c r="M4244" i="1"/>
  <c r="M4245" i="1"/>
  <c r="M4246" i="1"/>
  <c r="M4247" i="1"/>
  <c r="M4248" i="1"/>
  <c r="M4249" i="1"/>
  <c r="M4250" i="1"/>
  <c r="N4250" i="1" s="1"/>
  <c r="M4251" i="1"/>
  <c r="M4252" i="1"/>
  <c r="M4253" i="1"/>
  <c r="M4254" i="1"/>
  <c r="M4255" i="1"/>
  <c r="M4256" i="1"/>
  <c r="M4257" i="1"/>
  <c r="M4258" i="1"/>
  <c r="N4258" i="1" s="1"/>
  <c r="M4259" i="1"/>
  <c r="N4259" i="1" s="1"/>
  <c r="M4260" i="1"/>
  <c r="M4261" i="1"/>
  <c r="N4261" i="1" s="1"/>
  <c r="M4262" i="1"/>
  <c r="M4263" i="1"/>
  <c r="N4263" i="1" s="1"/>
  <c r="M4264" i="1"/>
  <c r="N4264" i="1" s="1"/>
  <c r="M4265" i="1"/>
  <c r="M4266" i="1"/>
  <c r="M4267" i="1"/>
  <c r="M4268" i="1"/>
  <c r="N4268" i="1" s="1"/>
  <c r="M4269" i="1"/>
  <c r="M4270" i="1"/>
  <c r="M4271" i="1"/>
  <c r="M4272" i="1"/>
  <c r="M4273" i="1"/>
  <c r="M4274" i="1"/>
  <c r="M4275" i="1"/>
  <c r="N4275" i="1" s="1"/>
  <c r="M4276" i="1"/>
  <c r="M4277" i="1"/>
  <c r="M4278" i="1"/>
  <c r="N4278" i="1" s="1"/>
  <c r="M4279" i="1"/>
  <c r="M4280" i="1"/>
  <c r="M4281" i="1"/>
  <c r="M4282" i="1"/>
  <c r="M4283" i="1"/>
  <c r="N4283" i="1" s="1"/>
  <c r="M4284" i="1"/>
  <c r="M4285" i="1"/>
  <c r="M4286" i="1"/>
  <c r="M4287" i="1"/>
  <c r="M4288" i="1"/>
  <c r="N4288" i="1" s="1"/>
  <c r="M4289" i="1"/>
  <c r="M4290" i="1"/>
  <c r="N4290" i="1" s="1"/>
  <c r="M4291" i="1"/>
  <c r="M4292" i="1"/>
  <c r="M4293" i="1"/>
  <c r="M4294" i="1"/>
  <c r="M4295" i="1"/>
  <c r="M4296" i="1"/>
  <c r="M4297" i="1"/>
  <c r="M4298" i="1"/>
  <c r="M4299" i="1"/>
  <c r="M4300" i="1"/>
  <c r="N4300" i="1" s="1"/>
  <c r="M4301" i="1"/>
  <c r="M4302" i="1"/>
  <c r="M4303" i="1"/>
  <c r="M4304" i="1"/>
  <c r="M4305" i="1"/>
  <c r="M4306" i="1"/>
  <c r="M4307" i="1"/>
  <c r="M4308" i="1"/>
  <c r="M4309" i="1"/>
  <c r="M4310" i="1"/>
  <c r="N4310" i="1" s="1"/>
  <c r="M4311" i="1"/>
  <c r="N4311" i="1" s="1"/>
  <c r="M4312" i="1"/>
  <c r="M4313" i="1"/>
  <c r="M4314" i="1"/>
  <c r="M4315" i="1"/>
  <c r="M4316" i="1"/>
  <c r="M4317" i="1"/>
  <c r="M4318" i="1"/>
  <c r="M4319" i="1"/>
  <c r="M4320" i="1"/>
  <c r="M4321" i="1"/>
  <c r="N4321" i="1" s="1"/>
  <c r="M4322" i="1"/>
  <c r="M4323" i="1"/>
  <c r="M4324" i="1"/>
  <c r="N4324" i="1" s="1"/>
  <c r="M4325" i="1"/>
  <c r="M4326" i="1"/>
  <c r="M4327" i="1"/>
  <c r="M4328" i="1"/>
  <c r="N4328" i="1" s="1"/>
  <c r="M4329" i="1"/>
  <c r="N4329" i="1" s="1"/>
  <c r="M4330" i="1"/>
  <c r="M4331" i="1"/>
  <c r="M4332" i="1"/>
  <c r="M4333" i="1"/>
  <c r="M4334" i="1"/>
  <c r="M4335" i="1"/>
  <c r="M4336" i="1"/>
  <c r="N4336" i="1" s="1"/>
  <c r="M4337" i="1"/>
  <c r="N4337" i="1" s="1"/>
  <c r="M4338" i="1"/>
  <c r="M4339" i="1"/>
  <c r="M4340" i="1"/>
  <c r="M4341" i="1"/>
  <c r="M4342" i="1"/>
  <c r="M4343" i="1"/>
  <c r="M4344" i="1"/>
  <c r="M4345" i="1"/>
  <c r="N4345" i="1" s="1"/>
  <c r="M4346" i="1"/>
  <c r="M4347" i="1"/>
  <c r="M4348" i="1"/>
  <c r="M4349" i="1"/>
  <c r="M4350" i="1"/>
  <c r="N4350" i="1" s="1"/>
  <c r="M4351" i="1"/>
  <c r="M4352" i="1"/>
  <c r="M4353" i="1"/>
  <c r="N4353" i="1" s="1"/>
  <c r="M4354" i="1"/>
  <c r="M4355" i="1"/>
  <c r="M4356" i="1"/>
  <c r="M4357" i="1"/>
  <c r="M4358" i="1"/>
  <c r="M4359" i="1"/>
  <c r="M4360" i="1"/>
  <c r="M4361" i="1"/>
  <c r="M4362" i="1"/>
  <c r="M4363" i="1"/>
  <c r="M4364" i="1"/>
  <c r="N4364" i="1" s="1"/>
  <c r="M4365" i="1"/>
  <c r="M4366" i="1"/>
  <c r="M4367" i="1"/>
  <c r="M4368" i="1"/>
  <c r="M4369" i="1"/>
  <c r="M4370" i="1"/>
  <c r="M4371" i="1"/>
  <c r="M4372" i="1"/>
  <c r="N4372" i="1" s="1"/>
  <c r="M4373" i="1"/>
  <c r="M4374" i="1"/>
  <c r="N4374" i="1" s="1"/>
  <c r="M4375" i="1"/>
  <c r="M4376" i="1"/>
  <c r="M4377" i="1"/>
  <c r="N4377" i="1" s="1"/>
  <c r="M4378" i="1"/>
  <c r="M4379" i="1"/>
  <c r="M4380" i="1"/>
  <c r="M4381" i="1"/>
  <c r="N4381" i="1" s="1"/>
  <c r="M4382" i="1"/>
  <c r="M4383" i="1"/>
  <c r="N4383" i="1" s="1"/>
  <c r="M4384" i="1"/>
  <c r="M4385" i="1"/>
  <c r="N4385" i="1" s="1"/>
  <c r="M4386" i="1"/>
  <c r="N4386" i="1" s="1"/>
  <c r="M4387" i="1"/>
  <c r="M4388" i="1"/>
  <c r="M4389" i="1"/>
  <c r="M4390" i="1"/>
  <c r="N4390" i="1" s="1"/>
  <c r="M4391" i="1"/>
  <c r="M4392" i="1"/>
  <c r="M4393" i="1"/>
  <c r="M4394" i="1"/>
  <c r="M4395" i="1"/>
  <c r="M4396" i="1"/>
  <c r="M4397" i="1"/>
  <c r="N4397" i="1" s="1"/>
  <c r="M4398" i="1"/>
  <c r="N4398" i="1" s="1"/>
  <c r="M4399" i="1"/>
  <c r="M4400" i="1"/>
  <c r="M4401" i="1"/>
  <c r="M4402" i="1"/>
  <c r="M4403" i="1"/>
  <c r="M4404" i="1"/>
  <c r="M4405" i="1"/>
  <c r="M4406" i="1"/>
  <c r="M4407" i="1"/>
  <c r="M4408" i="1"/>
  <c r="M4409" i="1"/>
  <c r="N4409" i="1" s="1"/>
  <c r="M4410" i="1"/>
  <c r="M4411" i="1"/>
  <c r="M4412" i="1"/>
  <c r="N4412" i="1" s="1"/>
  <c r="M4413" i="1"/>
  <c r="N4413" i="1" s="1"/>
  <c r="M4414" i="1"/>
  <c r="M4415" i="1"/>
  <c r="N4415" i="1" s="1"/>
  <c r="M4416" i="1"/>
  <c r="M4417" i="1"/>
  <c r="N4417" i="1" s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N4431" i="1" s="1"/>
  <c r="M4432" i="1"/>
  <c r="M4433" i="1"/>
  <c r="M4434" i="1"/>
  <c r="M4435" i="1"/>
  <c r="M4436" i="1"/>
  <c r="M4437" i="1"/>
  <c r="M4438" i="1"/>
  <c r="M4439" i="1"/>
  <c r="M4440" i="1"/>
  <c r="M4441" i="1"/>
  <c r="M4442" i="1"/>
  <c r="N4442" i="1" s="1"/>
  <c r="M4443" i="1"/>
  <c r="M4444" i="1"/>
  <c r="M4445" i="1"/>
  <c r="M4446" i="1"/>
  <c r="M4447" i="1"/>
  <c r="N4447" i="1" s="1"/>
  <c r="M4448" i="1"/>
  <c r="N4448" i="1" s="1"/>
  <c r="M4449" i="1"/>
  <c r="M4450" i="1"/>
  <c r="M4451" i="1"/>
  <c r="N4451" i="1" s="1"/>
  <c r="M4452" i="1"/>
  <c r="N4452" i="1" s="1"/>
  <c r="M4453" i="1"/>
  <c r="M4454" i="1"/>
  <c r="M4455" i="1"/>
  <c r="N4455" i="1" s="1"/>
  <c r="M4456" i="1"/>
  <c r="M4457" i="1"/>
  <c r="M4458" i="1"/>
  <c r="M4459" i="1"/>
  <c r="M4460" i="1"/>
  <c r="M4461" i="1"/>
  <c r="N4461" i="1" s="1"/>
  <c r="M4462" i="1"/>
  <c r="M4463" i="1"/>
  <c r="M4464" i="1"/>
  <c r="M4465" i="1"/>
  <c r="M4466" i="1"/>
  <c r="N4466" i="1" s="1"/>
  <c r="M4467" i="1"/>
  <c r="N4467" i="1" s="1"/>
  <c r="M4468" i="1"/>
  <c r="M4469" i="1"/>
  <c r="M4470" i="1"/>
  <c r="M4471" i="1"/>
  <c r="M4472" i="1"/>
  <c r="N4472" i="1" s="1"/>
  <c r="M4473" i="1"/>
  <c r="N4473" i="1" s="1"/>
  <c r="M4474" i="1"/>
  <c r="M4475" i="1"/>
  <c r="M4476" i="1"/>
  <c r="M4477" i="1"/>
  <c r="M4478" i="1"/>
  <c r="M4479" i="1"/>
  <c r="M4480" i="1"/>
  <c r="M4481" i="1"/>
  <c r="M4482" i="1"/>
  <c r="M4483" i="1"/>
  <c r="N4483" i="1" s="1"/>
  <c r="M4484" i="1"/>
  <c r="M4485" i="1"/>
  <c r="M4486" i="1"/>
  <c r="N4486" i="1" s="1"/>
  <c r="M4487" i="1"/>
  <c r="M4488" i="1"/>
  <c r="M4489" i="1"/>
  <c r="M4490" i="1"/>
  <c r="M4491" i="1"/>
  <c r="M4492" i="1"/>
  <c r="N4492" i="1" s="1"/>
  <c r="M4493" i="1"/>
  <c r="M4494" i="1"/>
  <c r="M4495" i="1"/>
  <c r="N4495" i="1" s="1"/>
  <c r="M4496" i="1"/>
  <c r="M4497" i="1"/>
  <c r="N4497" i="1" s="1"/>
  <c r="M4498" i="1"/>
  <c r="M4499" i="1"/>
  <c r="M4500" i="1"/>
  <c r="M4501" i="1"/>
  <c r="M4502" i="1"/>
  <c r="M4503" i="1"/>
  <c r="M4504" i="1"/>
  <c r="M4505" i="1"/>
  <c r="M4506" i="1"/>
  <c r="M4507" i="1"/>
  <c r="M4508" i="1"/>
  <c r="N4508" i="1" s="1"/>
  <c r="M4509" i="1"/>
  <c r="M4510" i="1"/>
  <c r="M4511" i="1"/>
  <c r="M4512" i="1"/>
  <c r="N4512" i="1" s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N4525" i="1" s="1"/>
  <c r="M4526" i="1"/>
  <c r="N4526" i="1" s="1"/>
  <c r="M4527" i="1"/>
  <c r="M4528" i="1"/>
  <c r="M4529" i="1"/>
  <c r="M4530" i="1"/>
  <c r="M4531" i="1"/>
  <c r="M4532" i="1"/>
  <c r="N4532" i="1" s="1"/>
  <c r="M4533" i="1"/>
  <c r="M4534" i="1"/>
  <c r="M4535" i="1"/>
  <c r="M4536" i="1"/>
  <c r="M4537" i="1"/>
  <c r="N4537" i="1" s="1"/>
  <c r="M4538" i="1"/>
  <c r="M4539" i="1"/>
  <c r="M4540" i="1"/>
  <c r="M4541" i="1"/>
  <c r="M4542" i="1"/>
  <c r="M4543" i="1"/>
  <c r="N4543" i="1" s="1"/>
  <c r="M4544" i="1"/>
  <c r="M4545" i="1"/>
  <c r="M4546" i="1"/>
  <c r="M4547" i="1"/>
  <c r="M4548" i="1"/>
  <c r="M4549" i="1"/>
  <c r="M4550" i="1"/>
  <c r="M4551" i="1"/>
  <c r="M4552" i="1"/>
  <c r="N4552" i="1" s="1"/>
  <c r="M4553" i="1"/>
  <c r="M4554" i="1"/>
  <c r="M4555" i="1"/>
  <c r="M4556" i="1"/>
  <c r="M4557" i="1"/>
  <c r="M4558" i="1"/>
  <c r="M4559" i="1"/>
  <c r="N4559" i="1" s="1"/>
  <c r="M4560" i="1"/>
  <c r="M4561" i="1"/>
  <c r="M4562" i="1"/>
  <c r="N4562" i="1" s="1"/>
  <c r="M4563" i="1"/>
  <c r="M4564" i="1"/>
  <c r="M4565" i="1"/>
  <c r="M4566" i="1"/>
  <c r="M4567" i="1"/>
  <c r="N4567" i="1" s="1"/>
  <c r="M4568" i="1"/>
  <c r="M4569" i="1"/>
  <c r="N4569" i="1" s="1"/>
  <c r="M4570" i="1"/>
  <c r="N4570" i="1" s="1"/>
  <c r="M4571" i="1"/>
  <c r="M4572" i="1"/>
  <c r="M4573" i="1"/>
  <c r="N4573" i="1" s="1"/>
  <c r="M4574" i="1"/>
  <c r="N4574" i="1" s="1"/>
  <c r="M4575" i="1"/>
  <c r="M4576" i="1"/>
  <c r="N4576" i="1" s="1"/>
  <c r="M4577" i="1"/>
  <c r="N4577" i="1" s="1"/>
  <c r="M4578" i="1"/>
  <c r="N4578" i="1" s="1"/>
  <c r="M4579" i="1"/>
  <c r="M4580" i="1"/>
  <c r="M4581" i="1"/>
  <c r="M4582" i="1"/>
  <c r="M4583" i="1"/>
  <c r="M4584" i="1"/>
  <c r="N4584" i="1" s="1"/>
  <c r="M4585" i="1"/>
  <c r="M4586" i="1"/>
  <c r="M4587" i="1"/>
  <c r="M4588" i="1"/>
  <c r="M4589" i="1"/>
  <c r="M4590" i="1"/>
  <c r="M4591" i="1"/>
  <c r="N4591" i="1" s="1"/>
  <c r="M4592" i="1"/>
  <c r="M4593" i="1"/>
  <c r="M4594" i="1"/>
  <c r="N4594" i="1" s="1"/>
  <c r="M4595" i="1"/>
  <c r="M4596" i="1"/>
  <c r="M4597" i="1"/>
  <c r="M4598" i="1"/>
  <c r="M4599" i="1"/>
  <c r="N4599" i="1" s="1"/>
  <c r="M4600" i="1"/>
  <c r="M4601" i="1"/>
  <c r="N4601" i="1" s="1"/>
  <c r="M4602" i="1"/>
  <c r="M4603" i="1"/>
  <c r="N4603" i="1" s="1"/>
  <c r="M4604" i="1"/>
  <c r="N4604" i="1" s="1"/>
  <c r="M4605" i="1"/>
  <c r="M4606" i="1"/>
  <c r="M4607" i="1"/>
  <c r="M4608" i="1"/>
  <c r="N4608" i="1" s="1"/>
  <c r="M4609" i="1"/>
  <c r="M4610" i="1"/>
  <c r="N4610" i="1" s="1"/>
  <c r="M4611" i="1"/>
  <c r="N4611" i="1" s="1"/>
  <c r="M4612" i="1"/>
  <c r="M4613" i="1"/>
  <c r="N4613" i="1" s="1"/>
  <c r="M4614" i="1"/>
  <c r="M4615" i="1"/>
  <c r="M4616" i="1"/>
  <c r="M4617" i="1"/>
  <c r="N4617" i="1" s="1"/>
  <c r="M4618" i="1"/>
  <c r="M4619" i="1"/>
  <c r="M4620" i="1"/>
  <c r="M4621" i="1"/>
  <c r="N4621" i="1" s="1"/>
  <c r="M4622" i="1"/>
  <c r="M4623" i="1"/>
  <c r="M4624" i="1"/>
  <c r="M4625" i="1"/>
  <c r="M4626" i="1"/>
  <c r="M4627" i="1"/>
  <c r="N4627" i="1" s="1"/>
  <c r="M4628" i="1"/>
  <c r="M4629" i="1"/>
  <c r="N4629" i="1" s="1"/>
  <c r="M4630" i="1"/>
  <c r="M4631" i="1"/>
  <c r="M4632" i="1"/>
  <c r="M4633" i="1"/>
  <c r="M4634" i="1"/>
  <c r="M4635" i="1"/>
  <c r="M4636" i="1"/>
  <c r="N4636" i="1" s="1"/>
  <c r="M4637" i="1"/>
  <c r="M4638" i="1"/>
  <c r="M4639" i="1"/>
  <c r="M4640" i="1"/>
  <c r="M4641" i="1"/>
  <c r="N4641" i="1" s="1"/>
  <c r="M4642" i="1"/>
  <c r="M4643" i="1"/>
  <c r="M4644" i="1"/>
  <c r="M4645" i="1"/>
  <c r="N4645" i="1" s="1"/>
  <c r="M4646" i="1"/>
  <c r="M4647" i="1"/>
  <c r="M4648" i="1"/>
  <c r="M4649" i="1"/>
  <c r="M4650" i="1"/>
  <c r="M4651" i="1"/>
  <c r="M4652" i="1"/>
  <c r="M4653" i="1"/>
  <c r="M4654" i="1"/>
  <c r="N4654" i="1" s="1"/>
  <c r="M4655" i="1"/>
  <c r="M4656" i="1"/>
  <c r="M4657" i="1"/>
  <c r="N4657" i="1" s="1"/>
  <c r="M4658" i="1"/>
  <c r="M4659" i="1"/>
  <c r="N4659" i="1" s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N4671" i="1" s="1"/>
  <c r="M4672" i="1"/>
  <c r="N4672" i="1" s="1"/>
  <c r="M4673" i="1"/>
  <c r="M4674" i="1"/>
  <c r="M4675" i="1"/>
  <c r="M4676" i="1"/>
  <c r="N4676" i="1" s="1"/>
  <c r="M4677" i="1"/>
  <c r="M4678" i="1"/>
  <c r="M4679" i="1"/>
  <c r="M4680" i="1"/>
  <c r="M4681" i="1"/>
  <c r="M4682" i="1"/>
  <c r="N4682" i="1" s="1"/>
  <c r="M4683" i="1"/>
  <c r="M4684" i="1"/>
  <c r="N4684" i="1" s="1"/>
  <c r="M4685" i="1"/>
  <c r="M4686" i="1"/>
  <c r="N4686" i="1" s="1"/>
  <c r="M4687" i="1"/>
  <c r="M4688" i="1"/>
  <c r="M4689" i="1"/>
  <c r="M4690" i="1"/>
  <c r="N4690" i="1" s="1"/>
  <c r="M4691" i="1"/>
  <c r="M4692" i="1"/>
  <c r="N4692" i="1" s="1"/>
  <c r="M4693" i="1"/>
  <c r="M4694" i="1"/>
  <c r="M4695" i="1"/>
  <c r="M4696" i="1"/>
  <c r="M4697" i="1"/>
  <c r="N4697" i="1" s="1"/>
  <c r="M4698" i="1"/>
  <c r="M4699" i="1"/>
  <c r="M4700" i="1"/>
  <c r="N4700" i="1" s="1"/>
  <c r="M4701" i="1"/>
  <c r="M4702" i="1"/>
  <c r="N4702" i="1" s="1"/>
  <c r="M4703" i="1"/>
  <c r="M4704" i="1"/>
  <c r="M4705" i="1"/>
  <c r="M4706" i="1"/>
  <c r="M4707" i="1"/>
  <c r="M4708" i="1"/>
  <c r="M4709" i="1"/>
  <c r="N4709" i="1" s="1"/>
  <c r="M4710" i="1"/>
  <c r="M4711" i="1"/>
  <c r="M4712" i="1"/>
  <c r="M4713" i="1"/>
  <c r="N4713" i="1" s="1"/>
  <c r="M4714" i="1"/>
  <c r="M4715" i="1"/>
  <c r="M4716" i="1"/>
  <c r="M4717" i="1"/>
  <c r="M4718" i="1"/>
  <c r="M4719" i="1"/>
  <c r="M4720" i="1"/>
  <c r="M4721" i="1"/>
  <c r="M4722" i="1"/>
  <c r="M4723" i="1"/>
  <c r="N4723" i="1" s="1"/>
  <c r="M4724" i="1"/>
  <c r="M4725" i="1"/>
  <c r="M4726" i="1"/>
  <c r="N4726" i="1" s="1"/>
  <c r="M4727" i="1"/>
  <c r="M4728" i="1"/>
  <c r="N4728" i="1" s="1"/>
  <c r="M4729" i="1"/>
  <c r="M4730" i="1"/>
  <c r="N4730" i="1" s="1"/>
  <c r="M4731" i="1"/>
  <c r="N4731" i="1" s="1"/>
  <c r="M4732" i="1"/>
  <c r="N4732" i="1" s="1"/>
  <c r="M4733" i="1"/>
  <c r="M4734" i="1"/>
  <c r="N4734" i="1" s="1"/>
  <c r="M4735" i="1"/>
  <c r="M4736" i="1"/>
  <c r="M4737" i="1"/>
  <c r="M4738" i="1"/>
  <c r="M4739" i="1"/>
  <c r="M4740" i="1"/>
  <c r="M4741" i="1"/>
  <c r="N4741" i="1" s="1"/>
  <c r="M4742" i="1"/>
  <c r="M4743" i="1"/>
  <c r="M4744" i="1"/>
  <c r="M4745" i="1"/>
  <c r="M4746" i="1"/>
  <c r="M4747" i="1"/>
  <c r="M4748" i="1"/>
  <c r="M4749" i="1"/>
  <c r="M4750" i="1"/>
  <c r="N4750" i="1" s="1"/>
  <c r="M4751" i="1"/>
  <c r="M4752" i="1"/>
  <c r="M4753" i="1"/>
  <c r="M4754" i="1"/>
  <c r="M4755" i="1"/>
  <c r="M4756" i="1"/>
  <c r="N4756" i="1" s="1"/>
  <c r="M4757" i="1"/>
  <c r="M4758" i="1"/>
  <c r="M4759" i="1"/>
  <c r="M4760" i="1"/>
  <c r="M4761" i="1"/>
  <c r="M4762" i="1"/>
  <c r="N4762" i="1" s="1"/>
  <c r="M4763" i="1"/>
  <c r="M4764" i="1"/>
  <c r="N4764" i="1" s="1"/>
  <c r="M4765" i="1"/>
  <c r="N4765" i="1" s="1"/>
  <c r="M4766" i="1"/>
  <c r="M4767" i="1"/>
  <c r="M4768" i="1"/>
  <c r="N4768" i="1" s="1"/>
  <c r="M4769" i="1"/>
  <c r="M4770" i="1"/>
  <c r="M4771" i="1"/>
  <c r="M4772" i="1"/>
  <c r="M4773" i="1"/>
  <c r="N4773" i="1" s="1"/>
  <c r="M4774" i="1"/>
  <c r="M4775" i="1"/>
  <c r="M4776" i="1"/>
  <c r="N4776" i="1" s="1"/>
  <c r="M4777" i="1"/>
  <c r="M4778" i="1"/>
  <c r="M4779" i="1"/>
  <c r="M4780" i="1"/>
  <c r="N4780" i="1" s="1"/>
  <c r="M4781" i="1"/>
  <c r="M4782" i="1"/>
  <c r="M4783" i="1"/>
  <c r="M4784" i="1"/>
  <c r="M4785" i="1"/>
  <c r="M4786" i="1"/>
  <c r="M4787" i="1"/>
  <c r="M4788" i="1"/>
  <c r="M4789" i="1"/>
  <c r="M4790" i="1"/>
  <c r="M4791" i="1"/>
  <c r="N4791" i="1" s="1"/>
  <c r="M4792" i="1"/>
  <c r="M4793" i="1"/>
  <c r="M4794" i="1"/>
  <c r="M4795" i="1"/>
  <c r="M4796" i="1"/>
  <c r="M4797" i="1"/>
  <c r="M4798" i="1"/>
  <c r="N4798" i="1" s="1"/>
  <c r="M4799" i="1"/>
  <c r="N4799" i="1" s="1"/>
  <c r="M4800" i="1"/>
  <c r="M4801" i="1"/>
  <c r="M4802" i="1"/>
  <c r="M4803" i="1"/>
  <c r="M4804" i="1"/>
  <c r="M4805" i="1"/>
  <c r="M4806" i="1"/>
  <c r="M4807" i="1"/>
  <c r="M4808" i="1"/>
  <c r="N4808" i="1" s="1"/>
  <c r="M4809" i="1"/>
  <c r="M4810" i="1"/>
  <c r="M4811" i="1"/>
  <c r="M4812" i="1"/>
  <c r="M4813" i="1"/>
  <c r="M4814" i="1"/>
  <c r="M4815" i="1"/>
  <c r="M4816" i="1"/>
  <c r="N4816" i="1" s="1"/>
  <c r="M4817" i="1"/>
  <c r="M4818" i="1"/>
  <c r="M4819" i="1"/>
  <c r="M4820" i="1"/>
  <c r="M4821" i="1"/>
  <c r="M4822" i="1"/>
  <c r="N4822" i="1" s="1"/>
  <c r="M4823" i="1"/>
  <c r="M4824" i="1"/>
  <c r="M4825" i="1"/>
  <c r="M4826" i="1"/>
  <c r="M4827" i="1"/>
  <c r="N4827" i="1" s="1"/>
  <c r="M4828" i="1"/>
  <c r="M4829" i="1"/>
  <c r="M4830" i="1"/>
  <c r="M4831" i="1"/>
  <c r="N4831" i="1" s="1"/>
  <c r="M4832" i="1"/>
  <c r="M4833" i="1"/>
  <c r="N4833" i="1" s="1"/>
  <c r="M4834" i="1"/>
  <c r="M4835" i="1"/>
  <c r="M4836" i="1"/>
  <c r="M4837" i="1"/>
  <c r="N4837" i="1" s="1"/>
  <c r="M4838" i="1"/>
  <c r="M4839" i="1"/>
  <c r="M4840" i="1"/>
  <c r="N4840" i="1" s="1"/>
  <c r="M4841" i="1"/>
  <c r="N4841" i="1" s="1"/>
  <c r="M4842" i="1"/>
  <c r="M4843" i="1"/>
  <c r="M4844" i="1"/>
  <c r="M4845" i="1"/>
  <c r="M4846" i="1"/>
  <c r="N4846" i="1" s="1"/>
  <c r="M4847" i="1"/>
  <c r="M4848" i="1"/>
  <c r="M4849" i="1"/>
  <c r="M4850" i="1"/>
  <c r="M4851" i="1"/>
  <c r="N4851" i="1" s="1"/>
  <c r="M4852" i="1"/>
  <c r="N4852" i="1" s="1"/>
  <c r="M4853" i="1"/>
  <c r="M4854" i="1"/>
  <c r="N4854" i="1" s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N4874" i="1" s="1"/>
  <c r="M4875" i="1"/>
  <c r="M4876" i="1"/>
  <c r="M4877" i="1"/>
  <c r="M4878" i="1"/>
  <c r="M4879" i="1"/>
  <c r="M4880" i="1"/>
  <c r="N4880" i="1" s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N4892" i="1" s="1"/>
  <c r="M4893" i="1"/>
  <c r="M4894" i="1"/>
  <c r="N4894" i="1" s="1"/>
  <c r="M4895" i="1"/>
  <c r="N4895" i="1" s="1"/>
  <c r="M4896" i="1"/>
  <c r="N4896" i="1" s="1"/>
  <c r="M4897" i="1"/>
  <c r="M4898" i="1"/>
  <c r="M4899" i="1"/>
  <c r="M4900" i="1"/>
  <c r="M4901" i="1"/>
  <c r="M4902" i="1"/>
  <c r="M4903" i="1"/>
  <c r="N4903" i="1" s="1"/>
  <c r="M4904" i="1"/>
  <c r="M4905" i="1"/>
  <c r="M4906" i="1"/>
  <c r="M4907" i="1"/>
  <c r="M4908" i="1"/>
  <c r="M4909" i="1"/>
  <c r="M4910" i="1"/>
  <c r="N4910" i="1" s="1"/>
  <c r="M4911" i="1"/>
  <c r="M4912" i="1"/>
  <c r="M4913" i="1"/>
  <c r="N4913" i="1" s="1"/>
  <c r="M4914" i="1"/>
  <c r="M4915" i="1"/>
  <c r="M4916" i="1"/>
  <c r="N4916" i="1" s="1"/>
  <c r="M4917" i="1"/>
  <c r="M4918" i="1"/>
  <c r="N4918" i="1" s="1"/>
  <c r="M4919" i="1"/>
  <c r="M4920" i="1"/>
  <c r="N4920" i="1" s="1"/>
  <c r="M4921" i="1"/>
  <c r="N4921" i="1" s="1"/>
  <c r="M4922" i="1"/>
  <c r="M4923" i="1"/>
  <c r="M4924" i="1"/>
  <c r="N4924" i="1" s="1"/>
  <c r="M4925" i="1"/>
  <c r="M4926" i="1"/>
  <c r="M4927" i="1"/>
  <c r="M4928" i="1"/>
  <c r="M4929" i="1"/>
  <c r="N4929" i="1" s="1"/>
  <c r="M4930" i="1"/>
  <c r="N4930" i="1" s="1"/>
  <c r="M4931" i="1"/>
  <c r="M4932" i="1"/>
  <c r="M4933" i="1"/>
  <c r="M4934" i="1"/>
  <c r="N4934" i="1" s="1"/>
  <c r="M4935" i="1"/>
  <c r="M4936" i="1"/>
  <c r="M4937" i="1"/>
  <c r="M4938" i="1"/>
  <c r="M4939" i="1"/>
  <c r="N4939" i="1" s="1"/>
  <c r="M4940" i="1"/>
  <c r="M4941" i="1"/>
  <c r="M4942" i="1"/>
  <c r="M4943" i="1"/>
  <c r="M4944" i="1"/>
  <c r="M4945" i="1"/>
  <c r="M4946" i="1"/>
  <c r="M4947" i="1"/>
  <c r="M4948" i="1"/>
  <c r="M4949" i="1"/>
  <c r="N4949" i="1" s="1"/>
  <c r="M4950" i="1"/>
  <c r="N4950" i="1" s="1"/>
  <c r="M4951" i="1"/>
  <c r="M4952" i="1"/>
  <c r="M4953" i="1"/>
  <c r="N4953" i="1" s="1"/>
  <c r="M4954" i="1"/>
  <c r="M4955" i="1"/>
  <c r="N4955" i="1" s="1"/>
  <c r="M4956" i="1"/>
  <c r="M4957" i="1"/>
  <c r="M4958" i="1"/>
  <c r="M4959" i="1"/>
  <c r="M4960" i="1"/>
  <c r="N4960" i="1" s="1"/>
  <c r="M4961" i="1"/>
  <c r="M4962" i="1"/>
  <c r="M4963" i="1"/>
  <c r="M4964" i="1"/>
  <c r="N4964" i="1" s="1"/>
  <c r="M4965" i="1"/>
  <c r="N4965" i="1" s="1"/>
  <c r="M4966" i="1"/>
  <c r="M4967" i="1"/>
  <c r="M4968" i="1"/>
  <c r="N4968" i="1" s="1"/>
  <c r="M4969" i="1"/>
  <c r="M4970" i="1"/>
  <c r="M4971" i="1"/>
  <c r="N4971" i="1" s="1"/>
  <c r="M4972" i="1"/>
  <c r="M4973" i="1"/>
  <c r="M4974" i="1"/>
  <c r="M4975" i="1"/>
  <c r="M4976" i="1"/>
  <c r="M4977" i="1"/>
  <c r="M4978" i="1"/>
  <c r="M4979" i="1"/>
  <c r="N4979" i="1" s="1"/>
  <c r="M4980" i="1"/>
  <c r="M4981" i="1"/>
  <c r="M4982" i="1"/>
  <c r="M4983" i="1"/>
  <c r="N4983" i="1" s="1"/>
  <c r="M4984" i="1"/>
  <c r="M4985" i="1"/>
  <c r="M4986" i="1"/>
  <c r="N4986" i="1" s="1"/>
  <c r="M4987" i="1"/>
  <c r="M4988" i="1"/>
  <c r="N4988" i="1" s="1"/>
  <c r="M4989" i="1"/>
  <c r="N4989" i="1" s="1"/>
  <c r="M4990" i="1"/>
  <c r="M4991" i="1"/>
  <c r="M4992" i="1"/>
  <c r="M4993" i="1"/>
  <c r="M4994" i="1"/>
  <c r="N4994" i="1" s="1"/>
  <c r="M4995" i="1"/>
  <c r="N4995" i="1" s="1"/>
  <c r="M4996" i="1"/>
  <c r="M4997" i="1"/>
  <c r="N4997" i="1" s="1"/>
  <c r="M4998" i="1"/>
  <c r="M4999" i="1"/>
  <c r="M5000" i="1"/>
  <c r="M5001" i="1"/>
  <c r="M5002" i="1"/>
  <c r="M5003" i="1"/>
  <c r="N5003" i="1" s="1"/>
  <c r="M5004" i="1"/>
  <c r="M5005" i="1"/>
  <c r="M5006" i="1"/>
  <c r="M5007" i="1"/>
  <c r="M5008" i="1"/>
  <c r="N5008" i="1" s="1"/>
  <c r="M5009" i="1"/>
  <c r="M5010" i="1"/>
  <c r="M5011" i="1"/>
  <c r="M5012" i="1"/>
  <c r="M5013" i="1"/>
  <c r="M5014" i="1"/>
  <c r="M5015" i="1"/>
  <c r="M5016" i="1"/>
  <c r="M5017" i="1"/>
  <c r="N5017" i="1" s="1"/>
  <c r="M5018" i="1"/>
  <c r="N5018" i="1" s="1"/>
  <c r="M5019" i="1"/>
  <c r="M5020" i="1"/>
  <c r="N5020" i="1" s="1"/>
  <c r="M5021" i="1"/>
  <c r="M5022" i="1"/>
  <c r="M5023" i="1"/>
  <c r="N5023" i="1" s="1"/>
  <c r="M5024" i="1"/>
  <c r="M5025" i="1"/>
  <c r="M5026" i="1"/>
  <c r="M5027" i="1"/>
  <c r="M5028" i="1"/>
  <c r="N5028" i="1" s="1"/>
  <c r="M5029" i="1"/>
  <c r="M5030" i="1"/>
  <c r="N5030" i="1" s="1"/>
  <c r="M5031" i="1"/>
  <c r="M5032" i="1"/>
  <c r="M5033" i="1"/>
  <c r="M5034" i="1"/>
  <c r="M5035" i="1"/>
  <c r="N5035" i="1" s="1"/>
  <c r="M5036" i="1"/>
  <c r="M5037" i="1"/>
  <c r="M5038" i="1"/>
  <c r="M5039" i="1"/>
  <c r="N5039" i="1" s="1"/>
  <c r="M5040" i="1"/>
  <c r="M5041" i="1"/>
  <c r="M5042" i="1"/>
  <c r="M5043" i="1"/>
  <c r="M5044" i="1"/>
  <c r="N5044" i="1" s="1"/>
  <c r="M5045" i="1"/>
  <c r="M5046" i="1"/>
  <c r="M5047" i="1"/>
  <c r="M5048" i="1"/>
  <c r="M5049" i="1"/>
  <c r="N5049" i="1" s="1"/>
  <c r="M5050" i="1"/>
  <c r="N5050" i="1" s="1"/>
  <c r="M5051" i="1"/>
  <c r="M5052" i="1"/>
  <c r="M5053" i="1"/>
  <c r="M5054" i="1"/>
  <c r="M5055" i="1"/>
  <c r="M5056" i="1"/>
  <c r="N5056" i="1" s="1"/>
  <c r="M5057" i="1"/>
  <c r="M5058" i="1"/>
  <c r="M5059" i="1"/>
  <c r="N5059" i="1" s="1"/>
  <c r="M5060" i="1"/>
  <c r="M5061" i="1"/>
  <c r="M5062" i="1"/>
  <c r="M5063" i="1"/>
  <c r="N5063" i="1" s="1"/>
  <c r="M5064" i="1"/>
  <c r="M5065" i="1"/>
  <c r="N5065" i="1" s="1"/>
  <c r="M5066" i="1"/>
  <c r="N5066" i="1" s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N5082" i="1" s="1"/>
  <c r="M5083" i="1"/>
  <c r="M5084" i="1"/>
  <c r="M5085" i="1"/>
  <c r="M5086" i="1"/>
  <c r="N5086" i="1" s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N5099" i="1" s="1"/>
  <c r="M5100" i="1"/>
  <c r="M5101" i="1"/>
  <c r="M5102" i="1"/>
  <c r="M5103" i="1"/>
  <c r="M5104" i="1"/>
  <c r="M5105" i="1"/>
  <c r="M5106" i="1"/>
  <c r="M5107" i="1"/>
  <c r="M5108" i="1"/>
  <c r="M5109" i="1"/>
  <c r="N5109" i="1" s="1"/>
  <c r="M5110" i="1"/>
  <c r="N5110" i="1" s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N5123" i="1" s="1"/>
  <c r="M5124" i="1"/>
  <c r="N5124" i="1" s="1"/>
  <c r="M5125" i="1"/>
  <c r="M5126" i="1"/>
  <c r="M5127" i="1"/>
  <c r="M5128" i="1"/>
  <c r="M5129" i="1"/>
  <c r="N5129" i="1" s="1"/>
  <c r="M5130" i="1"/>
  <c r="N5130" i="1" s="1"/>
  <c r="M5131" i="1"/>
  <c r="M5132" i="1"/>
  <c r="N5132" i="1" s="1"/>
  <c r="M5133" i="1"/>
  <c r="N5133" i="1" s="1"/>
  <c r="M5134" i="1"/>
  <c r="N5134" i="1" s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N5149" i="1" s="1"/>
  <c r="M5150" i="1"/>
  <c r="M5151" i="1"/>
  <c r="M5152" i="1"/>
  <c r="N5152" i="1" s="1"/>
  <c r="M5153" i="1"/>
  <c r="M5154" i="1"/>
  <c r="M5155" i="1"/>
  <c r="M5156" i="1"/>
  <c r="M5157" i="1"/>
  <c r="M5158" i="1"/>
  <c r="N5158" i="1" s="1"/>
  <c r="M5159" i="1"/>
  <c r="N5159" i="1" s="1"/>
  <c r="M5160" i="1"/>
  <c r="M5161" i="1"/>
  <c r="M5162" i="1"/>
  <c r="M5163" i="1"/>
  <c r="M5164" i="1"/>
  <c r="M5165" i="1"/>
  <c r="M5166" i="1"/>
  <c r="M5167" i="1"/>
  <c r="M5168" i="1"/>
  <c r="M5169" i="1"/>
  <c r="N5169" i="1" s="1"/>
  <c r="M5170" i="1"/>
  <c r="M5171" i="1"/>
  <c r="M5172" i="1"/>
  <c r="M5173" i="1"/>
  <c r="N5173" i="1" s="1"/>
  <c r="M5174" i="1"/>
  <c r="M5175" i="1"/>
  <c r="M5176" i="1"/>
  <c r="N5176" i="1" s="1"/>
  <c r="M5177" i="1"/>
  <c r="M5178" i="1"/>
  <c r="N5178" i="1" s="1"/>
  <c r="M5179" i="1"/>
  <c r="M5180" i="1"/>
  <c r="M5181" i="1"/>
  <c r="N5181" i="1" s="1"/>
  <c r="M5182" i="1"/>
  <c r="N5182" i="1" s="1"/>
  <c r="M5183" i="1"/>
  <c r="M5184" i="1"/>
  <c r="M5185" i="1"/>
  <c r="M5186" i="1"/>
  <c r="M5187" i="1"/>
  <c r="M5188" i="1"/>
  <c r="M5189" i="1"/>
  <c r="M5190" i="1"/>
  <c r="N5190" i="1" s="1"/>
  <c r="M5191" i="1"/>
  <c r="N5191" i="1" s="1"/>
  <c r="M5192" i="1"/>
  <c r="M5193" i="1"/>
  <c r="M5194" i="1"/>
  <c r="M5195" i="1"/>
  <c r="M5196" i="1"/>
  <c r="M5197" i="1"/>
  <c r="M5198" i="1"/>
  <c r="M5199" i="1"/>
  <c r="N5199" i="1" s="1"/>
  <c r="M5200" i="1"/>
  <c r="M5201" i="1"/>
  <c r="M5202" i="1"/>
  <c r="M5203" i="1"/>
  <c r="M5204" i="1"/>
  <c r="M5205" i="1"/>
  <c r="N5205" i="1" s="1"/>
  <c r="M5206" i="1"/>
  <c r="N5206" i="1" s="1"/>
  <c r="M5207" i="1"/>
  <c r="N5207" i="1" s="1"/>
  <c r="M5208" i="1"/>
  <c r="M5209" i="1"/>
  <c r="N5209" i="1" s="1"/>
  <c r="M5210" i="1"/>
  <c r="M5211" i="1"/>
  <c r="M5212" i="1"/>
  <c r="M5213" i="1"/>
  <c r="M5214" i="1"/>
  <c r="M5215" i="1"/>
  <c r="N5215" i="1" s="1"/>
  <c r="M5216" i="1"/>
  <c r="M5217" i="1"/>
  <c r="M5218" i="1"/>
  <c r="M5219" i="1"/>
  <c r="M5220" i="1"/>
  <c r="M5221" i="1"/>
  <c r="M5222" i="1"/>
  <c r="N5222" i="1" s="1"/>
  <c r="M5223" i="1"/>
  <c r="M5224" i="1"/>
  <c r="M5225" i="1"/>
  <c r="M5226" i="1"/>
  <c r="N5226" i="1" s="1"/>
  <c r="M5227" i="1"/>
  <c r="M5228" i="1"/>
  <c r="N5228" i="1" s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N5245" i="1" s="1"/>
  <c r="M5246" i="1"/>
  <c r="N5246" i="1" s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N5259" i="1" s="1"/>
  <c r="M5260" i="1"/>
  <c r="M5261" i="1"/>
  <c r="N5261" i="1" s="1"/>
  <c r="M5262" i="1"/>
  <c r="M5263" i="1"/>
  <c r="N5263" i="1" s="1"/>
  <c r="M5264" i="1"/>
  <c r="N5264" i="1" s="1"/>
  <c r="M5265" i="1"/>
  <c r="M5266" i="1"/>
  <c r="M5267" i="1"/>
  <c r="N5267" i="1" s="1"/>
  <c r="M5268" i="1"/>
  <c r="M5269" i="1"/>
  <c r="M5270" i="1"/>
  <c r="M5271" i="1"/>
  <c r="M5272" i="1"/>
  <c r="M5273" i="1"/>
  <c r="M5274" i="1"/>
  <c r="M5275" i="1"/>
  <c r="M5276" i="1"/>
  <c r="N5276" i="1" s="1"/>
  <c r="M5277" i="1"/>
  <c r="N5277" i="1" s="1"/>
  <c r="M5278" i="1"/>
  <c r="M5279" i="1"/>
  <c r="N5279" i="1" s="1"/>
  <c r="M5280" i="1"/>
  <c r="N5280" i="1" s="1"/>
  <c r="M5281" i="1"/>
  <c r="M5282" i="1"/>
  <c r="M5283" i="1"/>
  <c r="M5284" i="1"/>
  <c r="N5284" i="1" s="1"/>
  <c r="M5285" i="1"/>
  <c r="M5286" i="1"/>
  <c r="M5287" i="1"/>
  <c r="N5287" i="1" s="1"/>
  <c r="M5288" i="1"/>
  <c r="M5289" i="1"/>
  <c r="N5289" i="1" s="1"/>
  <c r="M5290" i="1"/>
  <c r="M5291" i="1"/>
  <c r="N5291" i="1" s="1"/>
  <c r="M5292" i="1"/>
  <c r="M5293" i="1"/>
  <c r="M5294" i="1"/>
  <c r="N5294" i="1" s="1"/>
  <c r="M5295" i="1"/>
  <c r="M5296" i="1"/>
  <c r="N5296" i="1" s="1"/>
  <c r="M5297" i="1"/>
  <c r="M5298" i="1"/>
  <c r="M5299" i="1"/>
  <c r="M5300" i="1"/>
  <c r="M5301" i="1"/>
  <c r="M5302" i="1"/>
  <c r="N5302" i="1" s="1"/>
  <c r="M5303" i="1"/>
  <c r="M5304" i="1"/>
  <c r="M5305" i="1"/>
  <c r="M5306" i="1"/>
  <c r="N5306" i="1" s="1"/>
  <c r="M5307" i="1"/>
  <c r="N5307" i="1" s="1"/>
  <c r="M5308" i="1"/>
  <c r="M5309" i="1"/>
  <c r="M5310" i="1"/>
  <c r="M5311" i="1"/>
  <c r="M5312" i="1"/>
  <c r="M5313" i="1"/>
  <c r="M5314" i="1"/>
  <c r="M5315" i="1"/>
  <c r="M5316" i="1"/>
  <c r="M5317" i="1"/>
  <c r="N5317" i="1" s="1"/>
  <c r="M5318" i="1"/>
  <c r="N5318" i="1" s="1"/>
  <c r="M5319" i="1"/>
  <c r="M5320" i="1"/>
  <c r="M5321" i="1"/>
  <c r="M5322" i="1"/>
  <c r="M5323" i="1"/>
  <c r="N5323" i="1" s="1"/>
  <c r="M5324" i="1"/>
  <c r="M5325" i="1"/>
  <c r="M5326" i="1"/>
  <c r="M5327" i="1"/>
  <c r="M5328" i="1"/>
  <c r="M5329" i="1"/>
  <c r="M5330" i="1"/>
  <c r="M5331" i="1"/>
  <c r="M5332" i="1"/>
  <c r="N5332" i="1" s="1"/>
  <c r="M5333" i="1"/>
  <c r="M5334" i="1"/>
  <c r="M5335" i="1"/>
  <c r="M5336" i="1"/>
  <c r="M5337" i="1"/>
  <c r="M5338" i="1"/>
  <c r="M5339" i="1"/>
  <c r="M5340" i="1"/>
  <c r="N5340" i="1" s="1"/>
  <c r="M5341" i="1"/>
  <c r="N5341" i="1" s="1"/>
  <c r="M5342" i="1"/>
  <c r="M5343" i="1"/>
  <c r="M5344" i="1"/>
  <c r="M5345" i="1"/>
  <c r="M5346" i="1"/>
  <c r="N5346" i="1" s="1"/>
  <c r="M5347" i="1"/>
  <c r="M5348" i="1"/>
  <c r="M5349" i="1"/>
  <c r="N5349" i="1" s="1"/>
  <c r="M5350" i="1"/>
  <c r="M5351" i="1"/>
  <c r="M5352" i="1"/>
  <c r="M5353" i="1"/>
  <c r="M5354" i="1"/>
  <c r="M5355" i="1"/>
  <c r="N5355" i="1" s="1"/>
  <c r="M5356" i="1"/>
  <c r="M5357" i="1"/>
  <c r="M5358" i="1"/>
  <c r="M5359" i="1"/>
  <c r="M5360" i="1"/>
  <c r="N5360" i="1" s="1"/>
  <c r="M5361" i="1"/>
  <c r="N5361" i="1" s="1"/>
  <c r="M5362" i="1"/>
  <c r="M5363" i="1"/>
  <c r="M5364" i="1"/>
  <c r="M5365" i="1"/>
  <c r="M5366" i="1"/>
  <c r="M5367" i="1"/>
  <c r="M5368" i="1"/>
  <c r="M5369" i="1"/>
  <c r="M5370" i="1"/>
  <c r="N5370" i="1" s="1"/>
  <c r="M5371" i="1"/>
  <c r="M5372" i="1"/>
  <c r="M5373" i="1"/>
  <c r="N5373" i="1" s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N5387" i="1" s="1"/>
  <c r="M5388" i="1"/>
  <c r="N5388" i="1" s="1"/>
  <c r="M5389" i="1"/>
  <c r="M5390" i="1"/>
  <c r="M5391" i="1"/>
  <c r="M5392" i="1"/>
  <c r="M5393" i="1"/>
  <c r="N5393" i="1" s="1"/>
  <c r="M5394" i="1"/>
  <c r="M5395" i="1"/>
  <c r="M5396" i="1"/>
  <c r="M5397" i="1"/>
  <c r="M5398" i="1"/>
  <c r="N5398" i="1" s="1"/>
  <c r="M5399" i="1"/>
  <c r="M5400" i="1"/>
  <c r="N5400" i="1" s="1"/>
  <c r="M5401" i="1"/>
  <c r="N5401" i="1" s="1"/>
  <c r="M5402" i="1"/>
  <c r="N5402" i="1" s="1"/>
  <c r="M5403" i="1"/>
  <c r="N5403" i="1" s="1"/>
  <c r="M5404" i="1"/>
  <c r="M5405" i="1"/>
  <c r="M5406" i="1"/>
  <c r="N5406" i="1" s="1"/>
  <c r="M5407" i="1"/>
  <c r="M5408" i="1"/>
  <c r="M5409" i="1"/>
  <c r="M5410" i="1"/>
  <c r="M5411" i="1"/>
  <c r="M5412" i="1"/>
  <c r="M5413" i="1"/>
  <c r="M5414" i="1"/>
  <c r="N5414" i="1" s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N5430" i="1" s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N5448" i="1" s="1"/>
  <c r="M5449" i="1"/>
  <c r="M5450" i="1"/>
  <c r="M5451" i="1"/>
  <c r="N5451" i="1" s="1"/>
  <c r="M5452" i="1"/>
  <c r="M5453" i="1"/>
  <c r="M5454" i="1"/>
  <c r="M5455" i="1"/>
  <c r="M5456" i="1"/>
  <c r="N5456" i="1" s="1"/>
  <c r="M5457" i="1"/>
  <c r="N5457" i="1" s="1"/>
  <c r="M5458" i="1"/>
  <c r="M5459" i="1"/>
  <c r="M5460" i="1"/>
  <c r="M5461" i="1"/>
  <c r="M5462" i="1"/>
  <c r="M5463" i="1"/>
  <c r="M5464" i="1"/>
  <c r="M5465" i="1"/>
  <c r="M5466" i="1"/>
  <c r="M5467" i="1"/>
  <c r="N5467" i="1" s="1"/>
  <c r="M5468" i="1"/>
  <c r="M5469" i="1"/>
  <c r="M5470" i="1"/>
  <c r="M5471" i="1"/>
  <c r="M5472" i="1"/>
  <c r="M5473" i="1"/>
  <c r="N5473" i="1" s="1"/>
  <c r="M5474" i="1"/>
  <c r="M5475" i="1"/>
  <c r="M5476" i="1"/>
  <c r="M5477" i="1"/>
  <c r="N5477" i="1" s="1"/>
  <c r="M5478" i="1"/>
  <c r="M5479" i="1"/>
  <c r="M5480" i="1"/>
  <c r="N5480" i="1" s="1"/>
  <c r="M5481" i="1"/>
  <c r="M5482" i="1"/>
  <c r="M5483" i="1"/>
  <c r="N5483" i="1" s="1"/>
  <c r="M5484" i="1"/>
  <c r="M5485" i="1"/>
  <c r="N5485" i="1" s="1"/>
  <c r="M5486" i="1"/>
  <c r="M5487" i="1"/>
  <c r="M5488" i="1"/>
  <c r="N5488" i="1" s="1"/>
  <c r="M5489" i="1"/>
  <c r="N5489" i="1" s="1"/>
  <c r="M5490" i="1"/>
  <c r="M5491" i="1"/>
  <c r="M5492" i="1"/>
  <c r="N5492" i="1" s="1"/>
  <c r="M5493" i="1"/>
  <c r="M5494" i="1"/>
  <c r="N5494" i="1" s="1"/>
  <c r="M5495" i="1"/>
  <c r="M5496" i="1"/>
  <c r="M5497" i="1"/>
  <c r="N5497" i="1" s="1"/>
  <c r="M5498" i="1"/>
  <c r="N5498" i="1" s="1"/>
  <c r="M5499" i="1"/>
  <c r="N5499" i="1" s="1"/>
  <c r="M5500" i="1"/>
  <c r="M5501" i="1"/>
  <c r="M5502" i="1"/>
  <c r="M5503" i="1"/>
  <c r="N5503" i="1" s="1"/>
  <c r="M5504" i="1"/>
  <c r="N5504" i="1" s="1"/>
  <c r="M5505" i="1"/>
  <c r="M5506" i="1"/>
  <c r="M5507" i="1"/>
  <c r="M5508" i="1"/>
  <c r="M5509" i="1"/>
  <c r="M5510" i="1"/>
  <c r="N5510" i="1" s="1"/>
  <c r="M5511" i="1"/>
  <c r="M5512" i="1"/>
  <c r="N5512" i="1" s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N5530" i="1" s="1"/>
  <c r="M5531" i="1"/>
  <c r="M5532" i="1"/>
  <c r="N5532" i="1" s="1"/>
  <c r="M5533" i="1"/>
  <c r="M5534" i="1"/>
  <c r="M5535" i="1"/>
  <c r="N5535" i="1" s="1"/>
  <c r="M5536" i="1"/>
  <c r="M5537" i="1"/>
  <c r="M5538" i="1"/>
  <c r="M5539" i="1"/>
  <c r="M5540" i="1"/>
  <c r="M5541" i="1"/>
  <c r="M5542" i="1"/>
  <c r="M5543" i="1"/>
  <c r="N5543" i="1" s="1"/>
  <c r="M5544" i="1"/>
  <c r="N5544" i="1" s="1"/>
  <c r="M5545" i="1"/>
  <c r="M5546" i="1"/>
  <c r="N5546" i="1" s="1"/>
  <c r="M5547" i="1"/>
  <c r="M5548" i="1"/>
  <c r="M5549" i="1"/>
  <c r="M5550" i="1"/>
  <c r="M5551" i="1"/>
  <c r="M5552" i="1"/>
  <c r="M5553" i="1"/>
  <c r="M5554" i="1"/>
  <c r="M5555" i="1"/>
  <c r="M5556" i="1"/>
  <c r="N5556" i="1" s="1"/>
  <c r="M5557" i="1"/>
  <c r="M5558" i="1"/>
  <c r="N5558" i="1" s="1"/>
  <c r="M5559" i="1"/>
  <c r="M5560" i="1"/>
  <c r="N5560" i="1" s="1"/>
  <c r="M5561" i="1"/>
  <c r="M5562" i="1"/>
  <c r="N5562" i="1" s="1"/>
  <c r="M5563" i="1"/>
  <c r="M5564" i="1"/>
  <c r="M5565" i="1"/>
  <c r="N5565" i="1" s="1"/>
  <c r="M5566" i="1"/>
  <c r="N5566" i="1" s="1"/>
  <c r="M5567" i="1"/>
  <c r="M5568" i="1"/>
  <c r="N5568" i="1" s="1"/>
  <c r="M5569" i="1"/>
  <c r="M5570" i="1"/>
  <c r="M5571" i="1"/>
  <c r="M5572" i="1"/>
  <c r="N5572" i="1" s="1"/>
  <c r="M5573" i="1"/>
  <c r="M5574" i="1"/>
  <c r="M5575" i="1"/>
  <c r="M5576" i="1"/>
  <c r="N5576" i="1" s="1"/>
  <c r="M5577" i="1"/>
  <c r="M5578" i="1"/>
  <c r="M5579" i="1"/>
  <c r="M5580" i="1"/>
  <c r="M5581" i="1"/>
  <c r="M5582" i="1"/>
  <c r="M5583" i="1"/>
  <c r="M5584" i="1"/>
  <c r="N5584" i="1" s="1"/>
  <c r="M5585" i="1"/>
  <c r="N5585" i="1" s="1"/>
  <c r="M5586" i="1"/>
  <c r="M5587" i="1"/>
  <c r="M5588" i="1"/>
  <c r="M5589" i="1"/>
  <c r="M5590" i="1"/>
  <c r="N5590" i="1" s="1"/>
  <c r="M5591" i="1"/>
  <c r="M5592" i="1"/>
  <c r="N5592" i="1" s="1"/>
  <c r="M5593" i="1"/>
  <c r="M5594" i="1"/>
  <c r="N5594" i="1" s="1"/>
  <c r="M5595" i="1"/>
  <c r="N5595" i="1" s="1"/>
  <c r="M5596" i="1"/>
  <c r="M5597" i="1"/>
  <c r="N5597" i="1" s="1"/>
  <c r="M5598" i="1"/>
  <c r="M5599" i="1"/>
  <c r="N5599" i="1" s="1"/>
  <c r="M5600" i="1"/>
  <c r="M5601" i="1"/>
  <c r="M5602" i="1"/>
  <c r="M5603" i="1"/>
  <c r="M5604" i="1"/>
  <c r="M5605" i="1"/>
  <c r="M5606" i="1"/>
  <c r="M5607" i="1"/>
  <c r="N5607" i="1" s="1"/>
  <c r="M5608" i="1"/>
  <c r="M5609" i="1"/>
  <c r="M5610" i="1"/>
  <c r="N5610" i="1" s="1"/>
  <c r="M5611" i="1"/>
  <c r="M5612" i="1"/>
  <c r="M5613" i="1"/>
  <c r="M5614" i="1"/>
  <c r="N5614" i="1" s="1"/>
  <c r="M5615" i="1"/>
  <c r="M5616" i="1"/>
  <c r="M5617" i="1"/>
  <c r="M5618" i="1"/>
  <c r="N5618" i="1" s="1"/>
  <c r="M5619" i="1"/>
  <c r="M5620" i="1"/>
  <c r="N5620" i="1" s="1"/>
  <c r="M5621" i="1"/>
  <c r="N5621" i="1" s="1"/>
  <c r="M5622" i="1"/>
  <c r="M5623" i="1"/>
  <c r="M5624" i="1"/>
  <c r="M5625" i="1"/>
  <c r="M5626" i="1"/>
  <c r="N5626" i="1" s="1"/>
  <c r="M5627" i="1"/>
  <c r="M5628" i="1"/>
  <c r="M5629" i="1"/>
  <c r="M5630" i="1"/>
  <c r="N5630" i="1" s="1"/>
  <c r="M5631" i="1"/>
  <c r="N5631" i="1" s="1"/>
  <c r="M5632" i="1"/>
  <c r="M5633" i="1"/>
  <c r="M5634" i="1"/>
  <c r="M5635" i="1"/>
  <c r="M5636" i="1"/>
  <c r="N5636" i="1" s="1"/>
  <c r="M5637" i="1"/>
  <c r="M5638" i="1"/>
  <c r="N5638" i="1" s="1"/>
  <c r="M5639" i="1"/>
  <c r="M5640" i="1"/>
  <c r="M5641" i="1"/>
  <c r="M5642" i="1"/>
  <c r="N5642" i="1" s="1"/>
  <c r="M5643" i="1"/>
  <c r="M5644" i="1"/>
  <c r="M5645" i="1"/>
  <c r="M5646" i="1"/>
  <c r="M5647" i="1"/>
  <c r="M5648" i="1"/>
  <c r="M5649" i="1"/>
  <c r="N5649" i="1" s="1"/>
  <c r="M5650" i="1"/>
  <c r="M5651" i="1"/>
  <c r="M5652" i="1"/>
  <c r="M5653" i="1"/>
  <c r="M5654" i="1"/>
  <c r="N5654" i="1" s="1"/>
  <c r="M5655" i="1"/>
  <c r="M5656" i="1"/>
  <c r="M5657" i="1"/>
  <c r="N5657" i="1" s="1"/>
  <c r="M5658" i="1"/>
  <c r="M5659" i="1"/>
  <c r="N5659" i="1" s="1"/>
  <c r="M5660" i="1"/>
  <c r="M5661" i="1"/>
  <c r="M5662" i="1"/>
  <c r="M5663" i="1"/>
  <c r="M5664" i="1"/>
  <c r="M5665" i="1"/>
  <c r="M5666" i="1"/>
  <c r="M5667" i="1"/>
  <c r="M5668" i="1"/>
  <c r="M5669" i="1"/>
  <c r="M5670" i="1"/>
  <c r="N5670" i="1" s="1"/>
  <c r="M5671" i="1"/>
  <c r="M5672" i="1"/>
  <c r="M5673" i="1"/>
  <c r="M5674" i="1"/>
  <c r="M5675" i="1"/>
  <c r="N5675" i="1" s="1"/>
  <c r="M5676" i="1"/>
  <c r="M5677" i="1"/>
  <c r="M5678" i="1"/>
  <c r="M5679" i="1"/>
  <c r="M5680" i="1"/>
  <c r="M5681" i="1"/>
  <c r="M5682" i="1"/>
  <c r="M5683" i="1"/>
  <c r="N5683" i="1" s="1"/>
  <c r="M5684" i="1"/>
  <c r="M5685" i="1"/>
  <c r="N5685" i="1" s="1"/>
  <c r="M5686" i="1"/>
  <c r="M5687" i="1"/>
  <c r="N5687" i="1" s="1"/>
  <c r="M5688" i="1"/>
  <c r="M5689" i="1"/>
  <c r="M5690" i="1"/>
  <c r="M5691" i="1"/>
  <c r="M5692" i="1"/>
  <c r="M5693" i="1"/>
  <c r="N5693" i="1" s="1"/>
  <c r="M5694" i="1"/>
  <c r="M5695" i="1"/>
  <c r="M5696" i="1"/>
  <c r="M5697" i="1"/>
  <c r="M5698" i="1"/>
  <c r="M5699" i="1"/>
  <c r="M5700" i="1"/>
  <c r="M5701" i="1"/>
  <c r="M5702" i="1"/>
  <c r="N5702" i="1" s="1"/>
  <c r="M5703" i="1"/>
  <c r="M5704" i="1"/>
  <c r="N5704" i="1" s="1"/>
  <c r="M5705" i="1"/>
  <c r="M5706" i="1"/>
  <c r="M5707" i="1"/>
  <c r="M5708" i="1"/>
  <c r="M5709" i="1"/>
  <c r="N5709" i="1" s="1"/>
  <c r="M5710" i="1"/>
  <c r="M5711" i="1"/>
  <c r="M5712" i="1"/>
  <c r="M5713" i="1"/>
  <c r="M5714" i="1"/>
  <c r="M5715" i="1"/>
  <c r="N5715" i="1" s="1"/>
  <c r="M5716" i="1"/>
  <c r="M5717" i="1"/>
  <c r="M5718" i="1"/>
  <c r="M5719" i="1"/>
  <c r="M5720" i="1"/>
  <c r="M5721" i="1"/>
  <c r="M5722" i="1"/>
  <c r="M5723" i="1"/>
  <c r="N5723" i="1" s="1"/>
  <c r="M5724" i="1"/>
  <c r="M5725" i="1"/>
  <c r="M5726" i="1"/>
  <c r="N5726" i="1" s="1"/>
  <c r="M5727" i="1"/>
  <c r="M5728" i="1"/>
  <c r="N5728" i="1" s="1"/>
  <c r="M5729" i="1"/>
  <c r="N5729" i="1" s="1"/>
  <c r="M5730" i="1"/>
  <c r="M5731" i="1"/>
  <c r="M5732" i="1"/>
  <c r="M5733" i="1"/>
  <c r="N5733" i="1" s="1"/>
  <c r="M5734" i="1"/>
  <c r="M5735" i="1"/>
  <c r="M5736" i="1"/>
  <c r="N5736" i="1" s="1"/>
  <c r="M5737" i="1"/>
  <c r="M5738" i="1"/>
  <c r="M5739" i="1"/>
  <c r="M5740" i="1"/>
  <c r="N5740" i="1" s="1"/>
  <c r="M5741" i="1"/>
  <c r="M5742" i="1"/>
  <c r="M5743" i="1"/>
  <c r="M5744" i="1"/>
  <c r="M5745" i="1"/>
  <c r="M5746" i="1"/>
  <c r="M5747" i="1"/>
  <c r="M5748" i="1"/>
  <c r="M5749" i="1"/>
  <c r="M5750" i="1"/>
  <c r="M5751" i="1"/>
  <c r="N5751" i="1" s="1"/>
  <c r="M5752" i="1"/>
  <c r="M5753" i="1"/>
  <c r="M5754" i="1"/>
  <c r="M5755" i="1"/>
  <c r="M5756" i="1"/>
  <c r="N5756" i="1" s="1"/>
  <c r="M5757" i="1"/>
  <c r="M5758" i="1"/>
  <c r="M5759" i="1"/>
  <c r="M5760" i="1"/>
  <c r="M5761" i="1"/>
  <c r="N5761" i="1" s="1"/>
  <c r="M5762" i="1"/>
  <c r="N5762" i="1" s="1"/>
  <c r="M5763" i="1"/>
  <c r="M5764" i="1"/>
  <c r="M5765" i="1"/>
  <c r="N5765" i="1" s="1"/>
  <c r="M5766" i="1"/>
  <c r="N5766" i="1" s="1"/>
  <c r="M5767" i="1"/>
  <c r="M5768" i="1"/>
  <c r="M5769" i="1"/>
  <c r="M5770" i="1"/>
  <c r="N5770" i="1" s="1"/>
  <c r="M5771" i="1"/>
  <c r="M5772" i="1"/>
  <c r="N5772" i="1" s="1"/>
  <c r="M5773" i="1"/>
  <c r="N5773" i="1" s="1"/>
  <c r="M5774" i="1"/>
  <c r="N5774" i="1" s="1"/>
  <c r="M5775" i="1"/>
  <c r="N5775" i="1" s="1"/>
  <c r="M5776" i="1"/>
  <c r="M5777" i="1"/>
  <c r="M5778" i="1"/>
  <c r="M5779" i="1"/>
  <c r="N5779" i="1" s="1"/>
  <c r="M5780" i="1"/>
  <c r="M5781" i="1"/>
  <c r="N5781" i="1" s="1"/>
  <c r="M5782" i="1"/>
  <c r="M5783" i="1"/>
  <c r="M5784" i="1"/>
  <c r="M5785" i="1"/>
  <c r="M5786" i="1"/>
  <c r="M5787" i="1"/>
  <c r="M5788" i="1"/>
  <c r="M5789" i="1"/>
  <c r="M5790" i="1"/>
  <c r="N5790" i="1" s="1"/>
  <c r="M5791" i="1"/>
  <c r="M5792" i="1"/>
  <c r="N5792" i="1" s="1"/>
  <c r="M5793" i="1"/>
  <c r="M5794" i="1"/>
  <c r="M5795" i="1"/>
  <c r="M5796" i="1"/>
  <c r="M5797" i="1"/>
  <c r="M5798" i="1"/>
  <c r="M5799" i="1"/>
  <c r="N5799" i="1" s="1"/>
  <c r="M5800" i="1"/>
  <c r="N5800" i="1" s="1"/>
  <c r="M5801" i="1"/>
  <c r="M5802" i="1"/>
  <c r="M5803" i="1"/>
  <c r="M5804" i="1"/>
  <c r="M5805" i="1"/>
  <c r="M5806" i="1"/>
  <c r="M5807" i="1"/>
  <c r="M5808" i="1"/>
  <c r="M5809" i="1"/>
  <c r="M5810" i="1"/>
  <c r="N5810" i="1" s="1"/>
  <c r="M5811" i="1"/>
  <c r="M5812" i="1"/>
  <c r="M5813" i="1"/>
  <c r="M5814" i="1"/>
  <c r="N5814" i="1" s="1"/>
  <c r="M5815" i="1"/>
  <c r="N5815" i="1" s="1"/>
  <c r="M5816" i="1"/>
  <c r="M5817" i="1"/>
  <c r="M5818" i="1"/>
  <c r="M5819" i="1"/>
  <c r="N5819" i="1" s="1"/>
  <c r="M5820" i="1"/>
  <c r="M5821" i="1"/>
  <c r="M5822" i="1"/>
  <c r="N5822" i="1" s="1"/>
  <c r="M5823" i="1"/>
  <c r="M5824" i="1"/>
  <c r="M5825" i="1"/>
  <c r="M5826" i="1"/>
  <c r="M5827" i="1"/>
  <c r="M5828" i="1"/>
  <c r="M5829" i="1"/>
  <c r="M5830" i="1"/>
  <c r="N5830" i="1" s="1"/>
  <c r="M5831" i="1"/>
  <c r="N5831" i="1" s="1"/>
  <c r="M5832" i="1"/>
  <c r="M5833" i="1"/>
  <c r="M5834" i="1"/>
  <c r="N5834" i="1" s="1"/>
  <c r="M5835" i="1"/>
  <c r="M5836" i="1"/>
  <c r="M5837" i="1"/>
  <c r="M5838" i="1"/>
  <c r="N5838" i="1" s="1"/>
  <c r="M5839" i="1"/>
  <c r="M5840" i="1"/>
  <c r="M5841" i="1"/>
  <c r="M5842" i="1"/>
  <c r="M5843" i="1"/>
  <c r="M5844" i="1"/>
  <c r="M5845" i="1"/>
  <c r="M5846" i="1"/>
  <c r="M5847" i="1"/>
  <c r="M5848" i="1"/>
  <c r="N5848" i="1" s="1"/>
  <c r="M5849" i="1"/>
  <c r="M5850" i="1"/>
  <c r="M5851" i="1"/>
  <c r="N5851" i="1" s="1"/>
  <c r="M5852" i="1"/>
  <c r="M5853" i="1"/>
  <c r="N5853" i="1" s="1"/>
  <c r="M5854" i="1"/>
  <c r="N5854" i="1" s="1"/>
  <c r="M5855" i="1"/>
  <c r="N5855" i="1" s="1"/>
  <c r="M5856" i="1"/>
  <c r="M5857" i="1"/>
  <c r="M5858" i="1"/>
  <c r="N5858" i="1" s="1"/>
  <c r="M5859" i="1"/>
  <c r="M5860" i="1"/>
  <c r="M5861" i="1"/>
  <c r="M5862" i="1"/>
  <c r="M5863" i="1"/>
  <c r="M5864" i="1"/>
  <c r="M5865" i="1"/>
  <c r="M5866" i="1"/>
  <c r="M5867" i="1"/>
  <c r="N5867" i="1" s="1"/>
  <c r="M5868" i="1"/>
  <c r="N5868" i="1" s="1"/>
  <c r="M5869" i="1"/>
  <c r="M5870" i="1"/>
  <c r="M5871" i="1"/>
  <c r="M5872" i="1"/>
  <c r="M5873" i="1"/>
  <c r="M5874" i="1"/>
  <c r="N5874" i="1" s="1"/>
  <c r="M5875" i="1"/>
  <c r="M5876" i="1"/>
  <c r="M5877" i="1"/>
  <c r="M5878" i="1"/>
  <c r="M5879" i="1"/>
  <c r="M5880" i="1"/>
  <c r="N5880" i="1" s="1"/>
  <c r="M5881" i="1"/>
  <c r="M5882" i="1"/>
  <c r="M5883" i="1"/>
  <c r="M5884" i="1"/>
  <c r="N5884" i="1" s="1"/>
  <c r="M5885" i="1"/>
  <c r="M5886" i="1"/>
  <c r="M5887" i="1"/>
  <c r="M5888" i="1"/>
  <c r="M5889" i="1"/>
  <c r="M5890" i="1"/>
  <c r="M5891" i="1"/>
  <c r="M5892" i="1"/>
  <c r="N5892" i="1" s="1"/>
  <c r="M5893" i="1"/>
  <c r="M5894" i="1"/>
  <c r="M5895" i="1"/>
  <c r="M5896" i="1"/>
  <c r="M5897" i="1"/>
  <c r="M5898" i="1"/>
  <c r="M5899" i="1"/>
  <c r="M5900" i="1"/>
  <c r="M5901" i="1"/>
  <c r="M5902" i="1"/>
  <c r="M5903" i="1"/>
  <c r="N5903" i="1" s="1"/>
  <c r="M5904" i="1"/>
  <c r="N5904" i="1" s="1"/>
  <c r="M5905" i="1"/>
  <c r="M5906" i="1"/>
  <c r="M5907" i="1"/>
  <c r="M5908" i="1"/>
  <c r="M5909" i="1"/>
  <c r="N5909" i="1" s="1"/>
  <c r="M5910" i="1"/>
  <c r="M5911" i="1"/>
  <c r="M5912" i="1"/>
  <c r="M5913" i="1"/>
  <c r="M5914" i="1"/>
  <c r="M5915" i="1"/>
  <c r="M5916" i="1"/>
  <c r="N5916" i="1" s="1"/>
  <c r="M5917" i="1"/>
  <c r="M5918" i="1"/>
  <c r="N5918" i="1" s="1"/>
  <c r="M5919" i="1"/>
  <c r="N5919" i="1" s="1"/>
  <c r="M5920" i="1"/>
  <c r="M5921" i="1"/>
  <c r="M5922" i="1"/>
  <c r="M5923" i="1"/>
  <c r="N5923" i="1" s="1"/>
  <c r="M5924" i="1"/>
  <c r="M5925" i="1"/>
  <c r="N5925" i="1" s="1"/>
  <c r="M5926" i="1"/>
  <c r="M5927" i="1"/>
  <c r="M5928" i="1"/>
  <c r="M5929" i="1"/>
  <c r="M5930" i="1"/>
  <c r="M5931" i="1"/>
  <c r="M5932" i="1"/>
  <c r="M5933" i="1"/>
  <c r="N5933" i="1" s="1"/>
  <c r="M5934" i="1"/>
  <c r="M5935" i="1"/>
  <c r="M5936" i="1"/>
  <c r="N5936" i="1" s="1"/>
  <c r="M5937" i="1"/>
  <c r="M5938" i="1"/>
  <c r="M5939" i="1"/>
  <c r="M5940" i="1"/>
  <c r="M5941" i="1"/>
  <c r="M5942" i="1"/>
  <c r="N5942" i="1" s="1"/>
  <c r="M5943" i="1"/>
  <c r="N5943" i="1" s="1"/>
  <c r="M5944" i="1"/>
  <c r="N5944" i="1" s="1"/>
  <c r="M5945" i="1"/>
  <c r="M5946" i="1"/>
  <c r="M5947" i="1"/>
  <c r="M5948" i="1"/>
  <c r="M5949" i="1"/>
  <c r="M5950" i="1"/>
  <c r="N5950" i="1" s="1"/>
  <c r="M5951" i="1"/>
  <c r="N5951" i="1" s="1"/>
  <c r="M5952" i="1"/>
  <c r="M5953" i="1"/>
  <c r="M5954" i="1"/>
  <c r="M5955" i="1"/>
  <c r="N5955" i="1" s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N5967" i="1" s="1"/>
  <c r="M5968" i="1"/>
  <c r="N5968" i="1" s="1"/>
  <c r="M5969" i="1"/>
  <c r="M5970" i="1"/>
  <c r="M5971" i="1"/>
  <c r="M5972" i="1"/>
  <c r="M5973" i="1"/>
  <c r="N5973" i="1" s="1"/>
  <c r="M5974" i="1"/>
  <c r="N5974" i="1" s="1"/>
  <c r="M5975" i="1"/>
  <c r="N5975" i="1" s="1"/>
  <c r="M5976" i="1"/>
  <c r="N5976" i="1" s="1"/>
  <c r="M5977" i="1"/>
  <c r="M5978" i="1"/>
  <c r="M5979" i="1"/>
  <c r="N5979" i="1" s="1"/>
  <c r="M5980" i="1"/>
  <c r="N5980" i="1" s="1"/>
  <c r="M5981" i="1"/>
  <c r="M5982" i="1"/>
  <c r="M5983" i="1"/>
  <c r="N5983" i="1" s="1"/>
  <c r="M5984" i="1"/>
  <c r="M5985" i="1"/>
  <c r="M5986" i="1"/>
  <c r="M5987" i="1"/>
  <c r="N5987" i="1" s="1"/>
  <c r="M5988" i="1"/>
  <c r="M5989" i="1"/>
  <c r="M5990" i="1"/>
  <c r="M5991" i="1"/>
  <c r="M5992" i="1"/>
  <c r="M5993" i="1"/>
  <c r="N5993" i="1" s="1"/>
  <c r="M5994" i="1"/>
  <c r="M5995" i="1"/>
  <c r="M5996" i="1"/>
  <c r="M5997" i="1"/>
  <c r="N5997" i="1" s="1"/>
  <c r="M5998" i="1"/>
  <c r="M5999" i="1"/>
  <c r="M6000" i="1"/>
  <c r="N6000" i="1" s="1"/>
  <c r="M6001" i="1"/>
  <c r="M6002" i="1"/>
  <c r="M6003" i="1"/>
  <c r="N6003" i="1" s="1"/>
  <c r="M6004" i="1"/>
  <c r="M6005" i="1"/>
  <c r="M6006" i="1"/>
  <c r="M6007" i="1"/>
  <c r="M6008" i="1"/>
  <c r="M6009" i="1"/>
  <c r="M6010" i="1"/>
  <c r="M6011" i="1"/>
  <c r="N6011" i="1" s="1"/>
  <c r="M6012" i="1"/>
  <c r="M6013" i="1"/>
  <c r="N6013" i="1" s="1"/>
  <c r="M6014" i="1"/>
  <c r="M6015" i="1"/>
  <c r="N6015" i="1" s="1"/>
  <c r="M6016" i="1"/>
  <c r="M6017" i="1"/>
  <c r="N6017" i="1" s="1"/>
  <c r="M6018" i="1"/>
  <c r="M6019" i="1"/>
  <c r="M6020" i="1"/>
  <c r="M6021" i="1"/>
  <c r="M6022" i="1"/>
  <c r="N6022" i="1" s="1"/>
  <c r="M6023" i="1"/>
  <c r="N6023" i="1" s="1"/>
  <c r="M6024" i="1"/>
  <c r="M6025" i="1"/>
  <c r="N6025" i="1" s="1"/>
  <c r="M6026" i="1"/>
  <c r="M6027" i="1"/>
  <c r="M6028" i="1"/>
  <c r="M6029" i="1"/>
  <c r="M6030" i="1"/>
  <c r="M6031" i="1"/>
  <c r="M6032" i="1"/>
  <c r="M6033" i="1"/>
  <c r="M6034" i="1"/>
  <c r="M6035" i="1"/>
  <c r="M6036" i="1"/>
  <c r="N6036" i="1" s="1"/>
  <c r="M6037" i="1"/>
  <c r="M6038" i="1"/>
  <c r="M6039" i="1"/>
  <c r="M6040" i="1"/>
  <c r="M6041" i="1"/>
  <c r="M6042" i="1"/>
  <c r="M6043" i="1"/>
  <c r="N6043" i="1" s="1"/>
  <c r="M6044" i="1"/>
  <c r="M6045" i="1"/>
  <c r="N6045" i="1" s="1"/>
  <c r="M6046" i="1"/>
  <c r="M6047" i="1"/>
  <c r="M6048" i="1"/>
  <c r="M6049" i="1"/>
  <c r="M6050" i="1"/>
  <c r="M6051" i="1"/>
  <c r="M6052" i="1"/>
  <c r="M6053" i="1"/>
  <c r="N6053" i="1" s="1"/>
  <c r="M6054" i="1"/>
  <c r="M6055" i="1"/>
  <c r="M6056" i="1"/>
  <c r="M6057" i="1"/>
  <c r="M6058" i="1"/>
  <c r="M6059" i="1"/>
  <c r="M6060" i="1"/>
  <c r="N6060" i="1" s="1"/>
  <c r="M6061" i="1"/>
  <c r="M6062" i="1"/>
  <c r="M6063" i="1"/>
  <c r="M6064" i="1"/>
  <c r="M6065" i="1"/>
  <c r="N6065" i="1" s="1"/>
  <c r="M6066" i="1"/>
  <c r="M6067" i="1"/>
  <c r="M6068" i="1"/>
  <c r="M6069" i="1"/>
  <c r="N6069" i="1" s="1"/>
  <c r="M6070" i="1"/>
  <c r="N6070" i="1" s="1"/>
  <c r="M6071" i="1"/>
  <c r="M6072" i="1"/>
  <c r="N6072" i="1" s="1"/>
  <c r="M6073" i="1"/>
  <c r="M6074" i="1"/>
  <c r="M6075" i="1"/>
  <c r="M6076" i="1"/>
  <c r="M6077" i="1"/>
  <c r="M6078" i="1"/>
  <c r="M6079" i="1"/>
  <c r="M6080" i="1"/>
  <c r="N6080" i="1" s="1"/>
  <c r="M6081" i="1"/>
  <c r="M6082" i="1"/>
  <c r="M6083" i="1"/>
  <c r="M6084" i="1"/>
  <c r="M6085" i="1"/>
  <c r="M6086" i="1"/>
  <c r="N6086" i="1" s="1"/>
  <c r="M6087" i="1"/>
  <c r="M6088" i="1"/>
  <c r="M6089" i="1"/>
  <c r="M6090" i="1"/>
  <c r="M6091" i="1"/>
  <c r="N6091" i="1" s="1"/>
  <c r="M6092" i="1"/>
  <c r="M6093" i="1"/>
  <c r="M6094" i="1"/>
  <c r="N6094" i="1" s="1"/>
  <c r="M6095" i="1"/>
  <c r="N6095" i="1" s="1"/>
  <c r="M6096" i="1"/>
  <c r="M6097" i="1"/>
  <c r="N6097" i="1" s="1"/>
  <c r="M6098" i="1"/>
  <c r="M6099" i="1"/>
  <c r="N6099" i="1" s="1"/>
  <c r="M6100" i="1"/>
  <c r="N6100" i="1" s="1"/>
  <c r="M6101" i="1"/>
  <c r="N6101" i="1" s="1"/>
  <c r="M6102" i="1"/>
  <c r="N6102" i="1" s="1"/>
  <c r="M6103" i="1"/>
  <c r="M6104" i="1"/>
  <c r="M6105" i="1"/>
  <c r="M6106" i="1"/>
  <c r="M6107" i="1"/>
  <c r="N6107" i="1" s="1"/>
  <c r="M6108" i="1"/>
  <c r="M6109" i="1"/>
  <c r="M6110" i="1"/>
  <c r="M6111" i="1"/>
  <c r="M6112" i="1"/>
  <c r="N6112" i="1" s="1"/>
  <c r="M6113" i="1"/>
  <c r="M6114" i="1"/>
  <c r="N6114" i="1" s="1"/>
  <c r="M6115" i="1"/>
  <c r="M6116" i="1"/>
  <c r="N6116" i="1" s="1"/>
  <c r="M6117" i="1"/>
  <c r="N6117" i="1" s="1"/>
  <c r="M6118" i="1"/>
  <c r="M6119" i="1"/>
  <c r="M6120" i="1"/>
  <c r="M6121" i="1"/>
  <c r="M6122" i="1"/>
  <c r="M6123" i="1"/>
  <c r="N6123" i="1" s="1"/>
  <c r="M6124" i="1"/>
  <c r="M6125" i="1"/>
  <c r="N6125" i="1" s="1"/>
  <c r="M6126" i="1"/>
  <c r="M6127" i="1"/>
  <c r="M6128" i="1"/>
  <c r="M6129" i="1"/>
  <c r="M6130" i="1"/>
  <c r="M6131" i="1"/>
  <c r="M6132" i="1"/>
  <c r="N6132" i="1" s="1"/>
  <c r="M6133" i="1"/>
  <c r="M6134" i="1"/>
  <c r="M6135" i="1"/>
  <c r="M6136" i="1"/>
  <c r="M6137" i="1"/>
  <c r="M6138" i="1"/>
  <c r="M6139" i="1"/>
  <c r="M6140" i="1"/>
  <c r="M6141" i="1"/>
  <c r="N6141" i="1" s="1"/>
  <c r="M6142" i="1"/>
  <c r="N6142" i="1" s="1"/>
  <c r="M6143" i="1"/>
  <c r="M6144" i="1"/>
  <c r="M6145" i="1"/>
  <c r="M6146" i="1"/>
  <c r="M6147" i="1"/>
  <c r="M6148" i="1"/>
  <c r="N6148" i="1" s="1"/>
  <c r="M6149" i="1"/>
  <c r="N6149" i="1" s="1"/>
  <c r="M6150" i="1"/>
  <c r="M6151" i="1"/>
  <c r="M6152" i="1"/>
  <c r="N6152" i="1" s="1"/>
  <c r="M6153" i="1"/>
  <c r="M6154" i="1"/>
  <c r="M6155" i="1"/>
  <c r="N6155" i="1" s="1"/>
  <c r="M6156" i="1"/>
  <c r="M6157" i="1"/>
  <c r="M6158" i="1"/>
  <c r="M6159" i="1"/>
  <c r="N6159" i="1" s="1"/>
  <c r="M6160" i="1"/>
  <c r="M6161" i="1"/>
  <c r="M6162" i="1"/>
  <c r="M6163" i="1"/>
  <c r="M6164" i="1"/>
  <c r="N6164" i="1" s="1"/>
  <c r="M6165" i="1"/>
  <c r="N6165" i="1" s="1"/>
  <c r="M6166" i="1"/>
  <c r="M6167" i="1"/>
  <c r="N6167" i="1" s="1"/>
  <c r="M6168" i="1"/>
  <c r="M6169" i="1"/>
  <c r="M6170" i="1"/>
  <c r="M6171" i="1"/>
  <c r="M6172" i="1"/>
  <c r="M6173" i="1"/>
  <c r="N6173" i="1" s="1"/>
  <c r="M6174" i="1"/>
  <c r="M6175" i="1"/>
  <c r="M6176" i="1"/>
  <c r="M6177" i="1"/>
  <c r="M6178" i="1"/>
  <c r="M6179" i="1"/>
  <c r="M6180" i="1"/>
  <c r="M6181" i="1"/>
  <c r="M6182" i="1"/>
  <c r="M6183" i="1"/>
  <c r="N6183" i="1" s="1"/>
  <c r="M6184" i="1"/>
  <c r="N6184" i="1" s="1"/>
  <c r="M6185" i="1"/>
  <c r="N6185" i="1" s="1"/>
  <c r="M6186" i="1"/>
  <c r="M6187" i="1"/>
  <c r="N6187" i="1" s="1"/>
  <c r="M6188" i="1"/>
  <c r="M6189" i="1"/>
  <c r="N6189" i="1" s="1"/>
  <c r="M6190" i="1"/>
  <c r="M6191" i="1"/>
  <c r="M6192" i="1"/>
  <c r="M6193" i="1"/>
  <c r="M6194" i="1"/>
  <c r="M6195" i="1"/>
  <c r="M6196" i="1"/>
  <c r="M6197" i="1"/>
  <c r="M6198" i="1"/>
  <c r="N6198" i="1" s="1"/>
  <c r="M6199" i="1"/>
  <c r="M6200" i="1"/>
  <c r="M6201" i="1"/>
  <c r="N6201" i="1" s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N6215" i="1" s="1"/>
  <c r="M6216" i="1"/>
  <c r="M6217" i="1"/>
  <c r="M6218" i="1"/>
  <c r="N6218" i="1" s="1"/>
  <c r="M6219" i="1"/>
  <c r="M6220" i="1"/>
  <c r="M6221" i="1"/>
  <c r="M6222" i="1"/>
  <c r="M6223" i="1"/>
  <c r="N6223" i="1" s="1"/>
  <c r="M6224" i="1"/>
  <c r="N6224" i="1" s="1"/>
  <c r="M6225" i="1"/>
  <c r="M6226" i="1"/>
  <c r="N6226" i="1" s="1"/>
  <c r="M6227" i="1"/>
  <c r="M6228" i="1"/>
  <c r="M6229" i="1"/>
  <c r="M6230" i="1"/>
  <c r="N6230" i="1" s="1"/>
  <c r="M6231" i="1"/>
  <c r="M6232" i="1"/>
  <c r="M6233" i="1"/>
  <c r="M6234" i="1"/>
  <c r="M6235" i="1"/>
  <c r="N6235" i="1" s="1"/>
  <c r="M6236" i="1"/>
  <c r="M6237" i="1"/>
  <c r="M6238" i="1"/>
  <c r="M6239" i="1"/>
  <c r="M6240" i="1"/>
  <c r="M6241" i="1"/>
  <c r="M6242" i="1"/>
  <c r="M6243" i="1"/>
  <c r="M6244" i="1"/>
  <c r="N6244" i="1" s="1"/>
  <c r="M6245" i="1"/>
  <c r="M6246" i="1"/>
  <c r="M6247" i="1"/>
  <c r="M6248" i="1"/>
  <c r="N6248" i="1" s="1"/>
  <c r="M6249" i="1"/>
  <c r="M6250" i="1"/>
  <c r="N6250" i="1" s="1"/>
  <c r="M6251" i="1"/>
  <c r="N6251" i="1" s="1"/>
  <c r="M6252" i="1"/>
  <c r="M6253" i="1"/>
  <c r="M6254" i="1"/>
  <c r="N6254" i="1" s="1"/>
  <c r="M6255" i="1"/>
  <c r="M6256" i="1"/>
  <c r="M6257" i="1"/>
  <c r="M6258" i="1"/>
  <c r="M6259" i="1"/>
  <c r="M6260" i="1"/>
  <c r="M6261" i="1"/>
  <c r="M6262" i="1"/>
  <c r="N6262" i="1" s="1"/>
  <c r="M6263" i="1"/>
  <c r="M6264" i="1"/>
  <c r="M6265" i="1"/>
  <c r="M6266" i="1"/>
  <c r="M6267" i="1"/>
  <c r="M6268" i="1"/>
  <c r="M6269" i="1"/>
  <c r="M6270" i="1"/>
  <c r="M6271" i="1"/>
  <c r="M6272" i="1"/>
  <c r="M6273" i="1"/>
  <c r="N6273" i="1" s="1"/>
  <c r="M6274" i="1"/>
  <c r="M6275" i="1"/>
  <c r="N6275" i="1" s="1"/>
  <c r="M6276" i="1"/>
  <c r="N6276" i="1" s="1"/>
  <c r="M6277" i="1"/>
  <c r="M6278" i="1"/>
  <c r="M6279" i="1"/>
  <c r="M6280" i="1"/>
  <c r="M6281" i="1"/>
  <c r="M6282" i="1"/>
  <c r="M6283" i="1"/>
  <c r="M6284" i="1"/>
  <c r="N6284" i="1" s="1"/>
  <c r="M6285" i="1"/>
  <c r="M6286" i="1"/>
  <c r="N6286" i="1" s="1"/>
  <c r="M6287" i="1"/>
  <c r="M6288" i="1"/>
  <c r="M6289" i="1"/>
  <c r="N6289" i="1" s="1"/>
  <c r="M6290" i="1"/>
  <c r="M6291" i="1"/>
  <c r="M6292" i="1"/>
  <c r="M6293" i="1"/>
  <c r="M6294" i="1"/>
  <c r="M6295" i="1"/>
  <c r="N6295" i="1" s="1"/>
  <c r="M6296" i="1"/>
  <c r="M6297" i="1"/>
  <c r="M6298" i="1"/>
  <c r="M6299" i="1"/>
  <c r="M6300" i="1"/>
  <c r="M6301" i="1"/>
  <c r="M6302" i="1"/>
  <c r="M6303" i="1"/>
  <c r="N6303" i="1" s="1"/>
  <c r="M6304" i="1"/>
  <c r="M6305" i="1"/>
  <c r="M6306" i="1"/>
  <c r="N6306" i="1" s="1"/>
  <c r="M6307" i="1"/>
  <c r="M6308" i="1"/>
  <c r="N6308" i="1" s="1"/>
  <c r="M6309" i="1"/>
  <c r="M6310" i="1"/>
  <c r="M6311" i="1"/>
  <c r="N6311" i="1" s="1"/>
  <c r="M6312" i="1"/>
  <c r="M6313" i="1"/>
  <c r="M6314" i="1"/>
  <c r="M6315" i="1"/>
  <c r="M6316" i="1"/>
  <c r="M6317" i="1"/>
  <c r="N6317" i="1" s="1"/>
  <c r="M6318" i="1"/>
  <c r="M6319" i="1"/>
  <c r="M6320" i="1"/>
  <c r="M6321" i="1"/>
  <c r="N6321" i="1" s="1"/>
  <c r="M6322" i="1"/>
  <c r="M6323" i="1"/>
  <c r="N6323" i="1" s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N6337" i="1" s="1"/>
  <c r="M6338" i="1"/>
  <c r="M6339" i="1"/>
  <c r="M6340" i="1"/>
  <c r="M6341" i="1"/>
  <c r="M6342" i="1"/>
  <c r="M6343" i="1"/>
  <c r="N6343" i="1" s="1"/>
  <c r="M6344" i="1"/>
  <c r="M6345" i="1"/>
  <c r="M6346" i="1"/>
  <c r="M6347" i="1"/>
  <c r="M6348" i="1"/>
  <c r="M6349" i="1"/>
  <c r="M6350" i="1"/>
  <c r="N6350" i="1" s="1"/>
  <c r="M6351" i="1"/>
  <c r="N6351" i="1" s="1"/>
  <c r="M6352" i="1"/>
  <c r="N6352" i="1" s="1"/>
  <c r="M6353" i="1"/>
  <c r="N6353" i="1" s="1"/>
  <c r="M6354" i="1"/>
  <c r="M6355" i="1"/>
  <c r="M6356" i="1"/>
  <c r="N6356" i="1" s="1"/>
  <c r="M6357" i="1"/>
  <c r="M6358" i="1"/>
  <c r="M6359" i="1"/>
  <c r="M6360" i="1"/>
  <c r="M6361" i="1"/>
  <c r="M6362" i="1"/>
  <c r="M6363" i="1"/>
  <c r="M6364" i="1"/>
  <c r="M6365" i="1"/>
  <c r="M6366" i="1"/>
  <c r="M6367" i="1"/>
  <c r="N6367" i="1" s="1"/>
  <c r="M6368" i="1"/>
  <c r="M6369" i="1"/>
  <c r="N6369" i="1" s="1"/>
  <c r="M6370" i="1"/>
  <c r="M6371" i="1"/>
  <c r="N6371" i="1" s="1"/>
  <c r="M6372" i="1"/>
  <c r="N6372" i="1" s="1"/>
  <c r="M6373" i="1"/>
  <c r="M6374" i="1"/>
  <c r="M6375" i="1"/>
  <c r="M6376" i="1"/>
  <c r="M6377" i="1"/>
  <c r="M6378" i="1"/>
  <c r="N6378" i="1" s="1"/>
  <c r="M6379" i="1"/>
  <c r="M6380" i="1"/>
  <c r="M6381" i="1"/>
  <c r="M6382" i="1"/>
  <c r="M6383" i="1"/>
  <c r="M6384" i="1"/>
  <c r="M6385" i="1"/>
  <c r="M6386" i="1"/>
  <c r="M6387" i="1"/>
  <c r="M6388" i="1"/>
  <c r="M6389" i="1"/>
  <c r="N6389" i="1" s="1"/>
  <c r="M6390" i="1"/>
  <c r="N6390" i="1" s="1"/>
  <c r="M6391" i="1"/>
  <c r="N6391" i="1" s="1"/>
  <c r="M6392" i="1"/>
  <c r="M6393" i="1"/>
  <c r="M6394" i="1"/>
  <c r="M6395" i="1"/>
  <c r="M6396" i="1"/>
  <c r="N6396" i="1" s="1"/>
  <c r="M6397" i="1"/>
  <c r="M6398" i="1"/>
  <c r="M6399" i="1"/>
  <c r="N6399" i="1" s="1"/>
  <c r="M6400" i="1"/>
  <c r="N6400" i="1" s="1"/>
  <c r="M6401" i="1"/>
  <c r="N6401" i="1" s="1"/>
  <c r="M6402" i="1"/>
  <c r="M6403" i="1"/>
  <c r="M6404" i="1"/>
  <c r="M6405" i="1"/>
  <c r="M6406" i="1"/>
  <c r="N6406" i="1" s="1"/>
  <c r="M6407" i="1"/>
  <c r="M6408" i="1"/>
  <c r="M6409" i="1"/>
  <c r="M6410" i="1"/>
  <c r="M6411" i="1"/>
  <c r="N6411" i="1" s="1"/>
  <c r="M6412" i="1"/>
  <c r="M6413" i="1"/>
  <c r="N6413" i="1" s="1"/>
  <c r="M6414" i="1"/>
  <c r="M6415" i="1"/>
  <c r="N6415" i="1" s="1"/>
  <c r="M6416" i="1"/>
  <c r="M6417" i="1"/>
  <c r="M6418" i="1"/>
  <c r="M6419" i="1"/>
  <c r="M6420" i="1"/>
  <c r="M6421" i="1"/>
  <c r="M6422" i="1"/>
  <c r="M6423" i="1"/>
  <c r="M6424" i="1"/>
  <c r="M6425" i="1"/>
  <c r="M6426" i="1"/>
  <c r="N6426" i="1" s="1"/>
  <c r="M6427" i="1"/>
  <c r="N6427" i="1" s="1"/>
  <c r="M6428" i="1"/>
  <c r="M6429" i="1"/>
  <c r="M6430" i="1"/>
  <c r="M6431" i="1"/>
  <c r="M6432" i="1"/>
  <c r="M6433" i="1"/>
  <c r="M6434" i="1"/>
  <c r="N6434" i="1" s="1"/>
  <c r="M6435" i="1"/>
  <c r="M6436" i="1"/>
  <c r="N6436" i="1" s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N6450" i="1" s="1"/>
  <c r="M6451" i="1"/>
  <c r="N6451" i="1" s="1"/>
  <c r="M6452" i="1"/>
  <c r="N6452" i="1" s="1"/>
  <c r="M6453" i="1"/>
  <c r="M6454" i="1"/>
  <c r="M6455" i="1"/>
  <c r="M6456" i="1"/>
  <c r="N6456" i="1" s="1"/>
  <c r="M6457" i="1"/>
  <c r="M6458" i="1"/>
  <c r="M6459" i="1"/>
  <c r="M6460" i="1"/>
  <c r="M6461" i="1"/>
  <c r="M6462" i="1"/>
  <c r="M6463" i="1"/>
  <c r="N6463" i="1" s="1"/>
  <c r="M6464" i="1"/>
  <c r="N6464" i="1" s="1"/>
  <c r="M6465" i="1"/>
  <c r="N6465" i="1" s="1"/>
  <c r="M6466" i="1"/>
  <c r="M6467" i="1"/>
  <c r="M6468" i="1"/>
  <c r="N6468" i="1" s="1"/>
  <c r="M6469" i="1"/>
  <c r="N6469" i="1" s="1"/>
  <c r="M6470" i="1"/>
  <c r="M6471" i="1"/>
  <c r="N6471" i="1" s="1"/>
  <c r="M6472" i="1"/>
  <c r="M6473" i="1"/>
  <c r="M6474" i="1"/>
  <c r="M6475" i="1"/>
  <c r="M6476" i="1"/>
  <c r="M6477" i="1"/>
  <c r="M6478" i="1"/>
  <c r="M6479" i="1"/>
  <c r="M6480" i="1"/>
  <c r="N6480" i="1" s="1"/>
  <c r="M6481" i="1"/>
  <c r="N6481" i="1" s="1"/>
  <c r="M6482" i="1"/>
  <c r="N6482" i="1" s="1"/>
  <c r="M6483" i="1"/>
  <c r="M6484" i="1"/>
  <c r="N6484" i="1" s="1"/>
  <c r="M6485" i="1"/>
  <c r="M6486" i="1"/>
  <c r="N6486" i="1" s="1"/>
  <c r="M6487" i="1"/>
  <c r="M6488" i="1"/>
  <c r="M6489" i="1"/>
  <c r="M6490" i="1"/>
  <c r="M6491" i="1"/>
  <c r="M6492" i="1"/>
  <c r="M6493" i="1"/>
  <c r="M6494" i="1"/>
  <c r="N6494" i="1" s="1"/>
  <c r="M6495" i="1"/>
  <c r="N6495" i="1" s="1"/>
  <c r="M6496" i="1"/>
  <c r="M6497" i="1"/>
  <c r="M6498" i="1"/>
  <c r="M6499" i="1"/>
  <c r="M6500" i="1"/>
  <c r="M6501" i="1"/>
  <c r="M6502" i="1"/>
  <c r="N6502" i="1" s="1"/>
  <c r="M6503" i="1"/>
  <c r="M6504" i="1"/>
  <c r="M6505" i="1"/>
  <c r="M6506" i="1"/>
  <c r="M6507" i="1"/>
  <c r="M6508" i="1"/>
  <c r="M6509" i="1"/>
  <c r="M6510" i="1"/>
  <c r="M6511" i="1"/>
  <c r="N6511" i="1" s="1"/>
  <c r="M6512" i="1"/>
  <c r="M6513" i="1"/>
  <c r="M6514" i="1"/>
  <c r="N6514" i="1" s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N6530" i="1" s="1"/>
  <c r="M6531" i="1"/>
  <c r="M6532" i="1"/>
  <c r="M6533" i="1"/>
  <c r="M6534" i="1"/>
  <c r="M6535" i="1"/>
  <c r="M6536" i="1"/>
  <c r="M6537" i="1"/>
  <c r="M6538" i="1"/>
  <c r="M6539" i="1"/>
  <c r="N6539" i="1" s="1"/>
  <c r="M6540" i="1"/>
  <c r="M6541" i="1"/>
  <c r="N6541" i="1" s="1"/>
  <c r="M6542" i="1"/>
  <c r="M6543" i="1"/>
  <c r="M6544" i="1"/>
  <c r="M6545" i="1"/>
  <c r="N6545" i="1" s="1"/>
  <c r="M6546" i="1"/>
  <c r="M6547" i="1"/>
  <c r="N6547" i="1" s="1"/>
  <c r="M6548" i="1"/>
  <c r="M6549" i="1"/>
  <c r="M6550" i="1"/>
  <c r="M6551" i="1"/>
  <c r="N6551" i="1" s="1"/>
  <c r="M6552" i="1"/>
  <c r="M6553" i="1"/>
  <c r="M6554" i="1"/>
  <c r="M6555" i="1"/>
  <c r="M6556" i="1"/>
  <c r="M6557" i="1"/>
  <c r="M6558" i="1"/>
  <c r="N6558" i="1" s="1"/>
  <c r="M6559" i="1"/>
  <c r="N6559" i="1" s="1"/>
  <c r="M6560" i="1"/>
  <c r="M6561" i="1"/>
  <c r="N6561" i="1" s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N6577" i="1" s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N6590" i="1" s="1"/>
  <c r="M6591" i="1"/>
  <c r="M6592" i="1"/>
  <c r="M6593" i="1"/>
  <c r="M6594" i="1"/>
  <c r="M6595" i="1"/>
  <c r="M6596" i="1"/>
  <c r="M6597" i="1"/>
  <c r="N6597" i="1" s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N6611" i="1" s="1"/>
  <c r="M6612" i="1"/>
  <c r="M6613" i="1"/>
  <c r="M6614" i="1"/>
  <c r="M6615" i="1"/>
  <c r="M6616" i="1"/>
  <c r="M6617" i="1"/>
  <c r="N6617" i="1" s="1"/>
  <c r="M6618" i="1"/>
  <c r="M6619" i="1"/>
  <c r="M6620" i="1"/>
  <c r="M6621" i="1"/>
  <c r="M6622" i="1"/>
  <c r="M6623" i="1"/>
  <c r="M6624" i="1"/>
  <c r="N6624" i="1" s="1"/>
  <c r="M6625" i="1"/>
  <c r="M6626" i="1"/>
  <c r="M6627" i="1"/>
  <c r="N6627" i="1" s="1"/>
  <c r="M6628" i="1"/>
  <c r="M6629" i="1"/>
  <c r="N6629" i="1" s="1"/>
  <c r="M6630" i="1"/>
  <c r="M6631" i="1"/>
  <c r="M6632" i="1"/>
  <c r="M6633" i="1"/>
  <c r="N6633" i="1" s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N6648" i="1" s="1"/>
  <c r="M6649" i="1"/>
  <c r="M6650" i="1"/>
  <c r="M6651" i="1"/>
  <c r="M6652" i="1"/>
  <c r="M6653" i="1"/>
  <c r="M6654" i="1"/>
  <c r="M6655" i="1"/>
  <c r="N6655" i="1" s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N6667" i="1" s="1"/>
  <c r="M6668" i="1"/>
  <c r="M6669" i="1"/>
  <c r="M6670" i="1"/>
  <c r="M6671" i="1"/>
  <c r="M6672" i="1"/>
  <c r="M6673" i="1"/>
  <c r="M6674" i="1"/>
  <c r="N6674" i="1" s="1"/>
  <c r="M6675" i="1"/>
  <c r="N6675" i="1" s="1"/>
  <c r="M6676" i="1"/>
  <c r="M6677" i="1"/>
  <c r="M6678" i="1"/>
  <c r="N6678" i="1" s="1"/>
  <c r="M6679" i="1"/>
  <c r="M6680" i="1"/>
  <c r="M6681" i="1"/>
  <c r="M6682" i="1"/>
  <c r="N6682" i="1" s="1"/>
  <c r="M6683" i="1"/>
  <c r="M6684" i="1"/>
  <c r="N6684" i="1" s="1"/>
  <c r="M6685" i="1"/>
  <c r="M6686" i="1"/>
  <c r="M6687" i="1"/>
  <c r="M6688" i="1"/>
  <c r="M6689" i="1"/>
  <c r="M6690" i="1"/>
  <c r="M6691" i="1"/>
  <c r="M6692" i="1"/>
  <c r="N6692" i="1" s="1"/>
  <c r="M6693" i="1"/>
  <c r="M6694" i="1"/>
  <c r="M6695" i="1"/>
  <c r="M6696" i="1"/>
  <c r="M6697" i="1"/>
  <c r="M6698" i="1"/>
  <c r="M6699" i="1"/>
  <c r="M6700" i="1"/>
  <c r="M6701" i="1"/>
  <c r="M6702" i="1"/>
  <c r="M6703" i="1"/>
  <c r="N6703" i="1" s="1"/>
  <c r="M6704" i="1"/>
  <c r="M6705" i="1"/>
  <c r="M6706" i="1"/>
  <c r="M6707" i="1"/>
  <c r="M6708" i="1"/>
  <c r="M6709" i="1"/>
  <c r="M6710" i="1"/>
  <c r="M6711" i="1"/>
  <c r="M6712" i="1"/>
  <c r="N6712" i="1" s="1"/>
  <c r="M6713" i="1"/>
  <c r="M6714" i="1"/>
  <c r="M6715" i="1"/>
  <c r="M6716" i="1"/>
  <c r="M6717" i="1"/>
  <c r="M6718" i="1"/>
  <c r="M6719" i="1"/>
  <c r="M6720" i="1"/>
  <c r="M6721" i="1"/>
  <c r="M6722" i="1"/>
  <c r="N6722" i="1" s="1"/>
  <c r="M6723" i="1"/>
  <c r="N6723" i="1" s="1"/>
  <c r="M6724" i="1"/>
  <c r="N6724" i="1" s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N6737" i="1" s="1"/>
  <c r="M6738" i="1"/>
  <c r="N6738" i="1" s="1"/>
  <c r="M6739" i="1"/>
  <c r="M6740" i="1"/>
  <c r="N6740" i="1" s="1"/>
  <c r="M6741" i="1"/>
  <c r="M6742" i="1"/>
  <c r="N6742" i="1" s="1"/>
  <c r="M6743" i="1"/>
  <c r="M6744" i="1"/>
  <c r="M6745" i="1"/>
  <c r="M6746" i="1"/>
  <c r="M6747" i="1"/>
  <c r="M6748" i="1"/>
  <c r="N6748" i="1" s="1"/>
  <c r="M6749" i="1"/>
  <c r="N6749" i="1" s="1"/>
  <c r="M6750" i="1"/>
  <c r="N6750" i="1" s="1"/>
  <c r="M6751" i="1"/>
  <c r="M6752" i="1"/>
  <c r="M6753" i="1"/>
  <c r="N6753" i="1" s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N6765" i="1" s="1"/>
  <c r="M6766" i="1"/>
  <c r="M6767" i="1"/>
  <c r="M6768" i="1"/>
  <c r="M6769" i="1"/>
  <c r="M6770" i="1"/>
  <c r="N6770" i="1" s="1"/>
  <c r="M6771" i="1"/>
  <c r="N6771" i="1" s="1"/>
  <c r="M6772" i="1"/>
  <c r="M6773" i="1"/>
  <c r="M6774" i="1"/>
  <c r="M6775" i="1"/>
  <c r="M6776" i="1"/>
  <c r="M6777" i="1"/>
  <c r="M6778" i="1"/>
  <c r="M6779" i="1"/>
  <c r="M6780" i="1"/>
  <c r="M6781" i="1"/>
  <c r="M6782" i="1"/>
  <c r="N6782" i="1" s="1"/>
  <c r="M6783" i="1"/>
  <c r="N6783" i="1" s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N6798" i="1" s="1"/>
  <c r="M6799" i="1"/>
  <c r="M6800" i="1"/>
  <c r="M6801" i="1"/>
  <c r="M6802" i="1"/>
  <c r="N6802" i="1" s="1"/>
  <c r="M6803" i="1"/>
  <c r="M6804" i="1"/>
  <c r="M6805" i="1"/>
  <c r="N6805" i="1" s="1"/>
  <c r="M6806" i="1"/>
  <c r="M6807" i="1"/>
  <c r="M6808" i="1"/>
  <c r="N6808" i="1" s="1"/>
  <c r="M6809" i="1"/>
  <c r="M6810" i="1"/>
  <c r="M6811" i="1"/>
  <c r="M6812" i="1"/>
  <c r="M6813" i="1"/>
  <c r="M6814" i="1"/>
  <c r="M6815" i="1"/>
  <c r="M6816" i="1"/>
  <c r="M6817" i="1"/>
  <c r="M6818" i="1"/>
  <c r="N6818" i="1" s="1"/>
  <c r="M6819" i="1"/>
  <c r="M6820" i="1"/>
  <c r="N6820" i="1" s="1"/>
  <c r="M6821" i="1"/>
  <c r="M6822" i="1"/>
  <c r="M6823" i="1"/>
  <c r="M6824" i="1"/>
  <c r="N6824" i="1" s="1"/>
  <c r="M6825" i="1"/>
  <c r="M6826" i="1"/>
  <c r="M6827" i="1"/>
  <c r="M6828" i="1"/>
  <c r="M6829" i="1"/>
  <c r="M6830" i="1"/>
  <c r="M6831" i="1"/>
  <c r="M6832" i="1"/>
  <c r="M6833" i="1"/>
  <c r="M6834" i="1"/>
  <c r="N6834" i="1" s="1"/>
  <c r="M6835" i="1"/>
  <c r="M6836" i="1"/>
  <c r="M6837" i="1"/>
  <c r="M6838" i="1"/>
  <c r="M6839" i="1"/>
  <c r="N6839" i="1" s="1"/>
  <c r="M6840" i="1"/>
  <c r="M6841" i="1"/>
  <c r="M6842" i="1"/>
  <c r="N6842" i="1" s="1"/>
  <c r="M6843" i="1"/>
  <c r="M6844" i="1"/>
  <c r="N6844" i="1" s="1"/>
  <c r="M6845" i="1"/>
  <c r="M6846" i="1"/>
  <c r="M6847" i="1"/>
  <c r="M6848" i="1"/>
  <c r="M6849" i="1"/>
  <c r="N6849" i="1" s="1"/>
  <c r="M6850" i="1"/>
  <c r="N6850" i="1" s="1"/>
  <c r="M6851" i="1"/>
  <c r="M6852" i="1"/>
  <c r="M6853" i="1"/>
  <c r="M6854" i="1"/>
  <c r="M6855" i="1"/>
  <c r="M6856" i="1"/>
  <c r="M6857" i="1"/>
  <c r="M6858" i="1"/>
  <c r="M6859" i="1"/>
  <c r="N6859" i="1" s="1"/>
  <c r="M6860" i="1"/>
  <c r="M6861" i="1"/>
  <c r="M6862" i="1"/>
  <c r="M6863" i="1"/>
  <c r="M6864" i="1"/>
  <c r="M6865" i="1"/>
  <c r="N6865" i="1" s="1"/>
  <c r="M6866" i="1"/>
  <c r="N6866" i="1" s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N6879" i="1" s="1"/>
  <c r="M6880" i="1"/>
  <c r="M6881" i="1"/>
  <c r="N6881" i="1" s="1"/>
  <c r="M6882" i="1"/>
  <c r="M6883" i="1"/>
  <c r="M6884" i="1"/>
  <c r="M6885" i="1"/>
  <c r="M6886" i="1"/>
  <c r="M6887" i="1"/>
  <c r="M6888" i="1"/>
  <c r="M6889" i="1"/>
  <c r="M6890" i="1"/>
  <c r="M6891" i="1"/>
  <c r="M6892" i="1"/>
  <c r="N6892" i="1" s="1"/>
  <c r="M6893" i="1"/>
  <c r="M6894" i="1"/>
  <c r="M6895" i="1"/>
  <c r="N6895" i="1" s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N6907" i="1" s="1"/>
  <c r="M6908" i="1"/>
  <c r="N6908" i="1" s="1"/>
  <c r="M6909" i="1"/>
  <c r="N6909" i="1" s="1"/>
  <c r="M6910" i="1"/>
  <c r="N6910" i="1" s="1"/>
  <c r="M6911" i="1"/>
  <c r="N6911" i="1" s="1"/>
  <c r="M6912" i="1"/>
  <c r="M6913" i="1"/>
  <c r="M6914" i="1"/>
  <c r="M6915" i="1"/>
  <c r="N6915" i="1" s="1"/>
  <c r="M6916" i="1"/>
  <c r="M6917" i="1"/>
  <c r="N6917" i="1" s="1"/>
  <c r="M6918" i="1"/>
  <c r="M6919" i="1"/>
  <c r="M6920" i="1"/>
  <c r="M6921" i="1"/>
  <c r="M6922" i="1"/>
  <c r="N6922" i="1" s="1"/>
  <c r="M6923" i="1"/>
  <c r="M6924" i="1"/>
  <c r="M6925" i="1"/>
  <c r="N6925" i="1" s="1"/>
  <c r="M6926" i="1"/>
  <c r="M6927" i="1"/>
  <c r="M6928" i="1"/>
  <c r="M6929" i="1"/>
  <c r="M6930" i="1"/>
  <c r="M6931" i="1"/>
  <c r="N6931" i="1" s="1"/>
  <c r="M6932" i="1"/>
  <c r="M6933" i="1"/>
  <c r="M6934" i="1"/>
  <c r="M6935" i="1"/>
  <c r="N6935" i="1" s="1"/>
  <c r="M6936" i="1"/>
  <c r="N6936" i="1" s="1"/>
  <c r="M6937" i="1"/>
  <c r="M6938" i="1"/>
  <c r="M6939" i="1"/>
  <c r="N6939" i="1" s="1"/>
  <c r="M6940" i="1"/>
  <c r="M6941" i="1"/>
  <c r="N6941" i="1" s="1"/>
  <c r="M6942" i="1"/>
  <c r="N6942" i="1" s="1"/>
  <c r="M6943" i="1"/>
  <c r="N6943" i="1" s="1"/>
  <c r="M6944" i="1"/>
  <c r="M6945" i="1"/>
  <c r="M6946" i="1"/>
  <c r="N6946" i="1" s="1"/>
  <c r="M6947" i="1"/>
  <c r="N6947" i="1" s="1"/>
  <c r="M6948" i="1"/>
  <c r="M6949" i="1"/>
  <c r="M6950" i="1"/>
  <c r="M6951" i="1"/>
  <c r="N6951" i="1" s="1"/>
  <c r="M6952" i="1"/>
  <c r="M6953" i="1"/>
  <c r="M6954" i="1"/>
  <c r="M6955" i="1"/>
  <c r="M6956" i="1"/>
  <c r="M6957" i="1"/>
  <c r="M6958" i="1"/>
  <c r="M6959" i="1"/>
  <c r="M6960" i="1"/>
  <c r="M6961" i="1"/>
  <c r="M6962" i="1"/>
  <c r="N6962" i="1" s="1"/>
  <c r="M6963" i="1"/>
  <c r="M6964" i="1"/>
  <c r="M6965" i="1"/>
  <c r="M6966" i="1"/>
  <c r="M6967" i="1"/>
  <c r="M6968" i="1"/>
  <c r="N6968" i="1" s="1"/>
  <c r="M6969" i="1"/>
  <c r="M6970" i="1"/>
  <c r="M6971" i="1"/>
  <c r="M6972" i="1"/>
  <c r="M6973" i="1"/>
  <c r="M6974" i="1"/>
  <c r="M6975" i="1"/>
  <c r="N6975" i="1" s="1"/>
  <c r="M6976" i="1"/>
  <c r="M6977" i="1"/>
  <c r="M6978" i="1"/>
  <c r="M6979" i="1"/>
  <c r="N6979" i="1" s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N6991" i="1" s="1"/>
  <c r="M6992" i="1"/>
  <c r="M6993" i="1"/>
  <c r="M6994" i="1"/>
  <c r="N6994" i="1" s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N7009" i="1" s="1"/>
  <c r="M7010" i="1"/>
  <c r="N7010" i="1" s="1"/>
  <c r="M7011" i="1"/>
  <c r="M7012" i="1"/>
  <c r="M7013" i="1"/>
  <c r="M7014" i="1"/>
  <c r="M7015" i="1"/>
  <c r="N7015" i="1" s="1"/>
  <c r="M7016" i="1"/>
  <c r="M7017" i="1"/>
  <c r="M7018" i="1"/>
  <c r="M7019" i="1"/>
  <c r="N7019" i="1" s="1"/>
  <c r="M7020" i="1"/>
  <c r="M7021" i="1"/>
  <c r="M7022" i="1"/>
  <c r="M7023" i="1"/>
  <c r="M7024" i="1"/>
  <c r="N7024" i="1" s="1"/>
  <c r="M7025" i="1"/>
  <c r="N7025" i="1" s="1"/>
  <c r="M7026" i="1"/>
  <c r="M7027" i="1"/>
  <c r="M7028" i="1"/>
  <c r="M7029" i="1"/>
  <c r="M7030" i="1"/>
  <c r="M7031" i="1"/>
  <c r="M7032" i="1"/>
  <c r="M7033" i="1"/>
  <c r="N7033" i="1" s="1"/>
  <c r="M7034" i="1"/>
  <c r="N7034" i="1" s="1"/>
  <c r="M7035" i="1"/>
  <c r="M7036" i="1"/>
  <c r="M7037" i="1"/>
  <c r="M7038" i="1"/>
  <c r="M7039" i="1"/>
  <c r="M7040" i="1"/>
  <c r="N7040" i="1" s="1"/>
  <c r="M7041" i="1"/>
  <c r="M7042" i="1"/>
  <c r="M7043" i="1"/>
  <c r="M7044" i="1"/>
  <c r="M7045" i="1"/>
  <c r="M7046" i="1"/>
  <c r="M7047" i="1"/>
  <c r="M7048" i="1"/>
  <c r="N7048" i="1" s="1"/>
  <c r="M7049" i="1"/>
  <c r="M7050" i="1"/>
  <c r="N7050" i="1" s="1"/>
  <c r="M7051" i="1"/>
  <c r="N7051" i="1" s="1"/>
  <c r="M7052" i="1"/>
  <c r="N7052" i="1" s="1"/>
  <c r="M7053" i="1"/>
  <c r="M7054" i="1"/>
  <c r="M7055" i="1"/>
  <c r="M7056" i="1"/>
  <c r="M7057" i="1"/>
  <c r="M7058" i="1"/>
  <c r="N7058" i="1" s="1"/>
  <c r="M7059" i="1"/>
  <c r="M7060" i="1"/>
  <c r="N7060" i="1" s="1"/>
  <c r="M7061" i="1"/>
  <c r="N7061" i="1" s="1"/>
  <c r="M7062" i="1"/>
  <c r="M7063" i="1"/>
  <c r="M7064" i="1"/>
  <c r="N7064" i="1" s="1"/>
  <c r="M7065" i="1"/>
  <c r="M7066" i="1"/>
  <c r="M7067" i="1"/>
  <c r="M7068" i="1"/>
  <c r="N7068" i="1" s="1"/>
  <c r="M7069" i="1"/>
  <c r="N7069" i="1" s="1"/>
  <c r="M7070" i="1"/>
  <c r="M7071" i="1"/>
  <c r="N7071" i="1" s="1"/>
  <c r="M7072" i="1"/>
  <c r="M7073" i="1"/>
  <c r="M7074" i="1"/>
  <c r="M7075" i="1"/>
  <c r="M7076" i="1"/>
  <c r="M7077" i="1"/>
  <c r="M7078" i="1"/>
  <c r="M7079" i="1"/>
  <c r="M7080" i="1"/>
  <c r="M7081" i="1"/>
  <c r="M7082" i="1"/>
  <c r="N7082" i="1" s="1"/>
  <c r="M7083" i="1"/>
  <c r="M7084" i="1"/>
  <c r="M7085" i="1"/>
  <c r="N7085" i="1" s="1"/>
  <c r="M7086" i="1"/>
  <c r="M7087" i="1"/>
  <c r="M7088" i="1"/>
  <c r="N7088" i="1" s="1"/>
  <c r="M7089" i="1"/>
  <c r="M7090" i="1"/>
  <c r="N7090" i="1" s="1"/>
  <c r="M7091" i="1"/>
  <c r="M7092" i="1"/>
  <c r="N7092" i="1" s="1"/>
  <c r="M7093" i="1"/>
  <c r="M7094" i="1"/>
  <c r="M7095" i="1"/>
  <c r="M7096" i="1"/>
  <c r="M7097" i="1"/>
  <c r="M7098" i="1"/>
  <c r="N7098" i="1" s="1"/>
  <c r="M7099" i="1"/>
  <c r="N7099" i="1" s="1"/>
  <c r="M7100" i="1"/>
  <c r="N7100" i="1" s="1"/>
  <c r="M7101" i="1"/>
  <c r="N7101" i="1" s="1"/>
  <c r="M7102" i="1"/>
  <c r="N7102" i="1" s="1"/>
  <c r="M7103" i="1"/>
  <c r="N7103" i="1" s="1"/>
  <c r="M7104" i="1"/>
  <c r="M7105" i="1"/>
  <c r="M7106" i="1"/>
  <c r="N7106" i="1" s="1"/>
  <c r="M7107" i="1"/>
  <c r="M7108" i="1"/>
  <c r="M7109" i="1"/>
  <c r="M7110" i="1"/>
  <c r="M7111" i="1"/>
  <c r="M7112" i="1"/>
  <c r="M7113" i="1"/>
  <c r="M7114" i="1"/>
  <c r="N7114" i="1" s="1"/>
  <c r="M7115" i="1"/>
  <c r="M7116" i="1"/>
  <c r="N7116" i="1" s="1"/>
  <c r="M7117" i="1"/>
  <c r="M7118" i="1"/>
  <c r="M7119" i="1"/>
  <c r="M7120" i="1"/>
  <c r="M7121" i="1"/>
  <c r="M7122" i="1"/>
  <c r="N7122" i="1" s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N7134" i="1" s="1"/>
  <c r="M7135" i="1"/>
  <c r="M7136" i="1"/>
  <c r="M7137" i="1"/>
  <c r="N7137" i="1" s="1"/>
  <c r="M7138" i="1"/>
  <c r="M7139" i="1"/>
  <c r="M7140" i="1"/>
  <c r="M7141" i="1"/>
  <c r="M7142" i="1"/>
  <c r="M7143" i="1"/>
  <c r="M7144" i="1"/>
  <c r="N7144" i="1" s="1"/>
  <c r="M7145" i="1"/>
  <c r="M7146" i="1"/>
  <c r="M7147" i="1"/>
  <c r="M7148" i="1"/>
  <c r="M7149" i="1"/>
  <c r="M7150" i="1"/>
  <c r="N7150" i="1" s="1"/>
  <c r="M7151" i="1"/>
  <c r="N7151" i="1" s="1"/>
  <c r="M7152" i="1"/>
  <c r="M7153" i="1"/>
  <c r="N7153" i="1" s="1"/>
  <c r="M7154" i="1"/>
  <c r="M7155" i="1"/>
  <c r="M7156" i="1"/>
  <c r="N7156" i="1" s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N7175" i="1" s="1"/>
  <c r="M7176" i="1"/>
  <c r="M7177" i="1"/>
  <c r="M7178" i="1"/>
  <c r="M7179" i="1"/>
  <c r="M7180" i="1"/>
  <c r="M7181" i="1"/>
  <c r="M7182" i="1"/>
  <c r="M7183" i="1"/>
  <c r="M7184" i="1"/>
  <c r="N7184" i="1" s="1"/>
  <c r="M7185" i="1"/>
  <c r="M7186" i="1"/>
  <c r="M7187" i="1"/>
  <c r="N7187" i="1" s="1"/>
  <c r="M7188" i="1"/>
  <c r="M7189" i="1"/>
  <c r="M7190" i="1"/>
  <c r="M7191" i="1"/>
  <c r="N7191" i="1" s="1"/>
  <c r="M7192" i="1"/>
  <c r="M7193" i="1"/>
  <c r="M7194" i="1"/>
  <c r="M7195" i="1"/>
  <c r="N7195" i="1" s="1"/>
  <c r="M7196" i="1"/>
  <c r="M7197" i="1"/>
  <c r="M7198" i="1"/>
  <c r="M7199" i="1"/>
  <c r="N7199" i="1" s="1"/>
  <c r="M7200" i="1"/>
  <c r="N7200" i="1" s="1"/>
  <c r="M7201" i="1"/>
  <c r="N7201" i="1" s="1"/>
  <c r="M7202" i="1"/>
  <c r="N7202" i="1" s="1"/>
  <c r="M7203" i="1"/>
  <c r="M7204" i="1"/>
  <c r="N7204" i="1" s="1"/>
  <c r="M7205" i="1"/>
  <c r="M7206" i="1"/>
  <c r="N7206" i="1" s="1"/>
  <c r="M7207" i="1"/>
  <c r="M7208" i="1"/>
  <c r="M7209" i="1"/>
  <c r="M7210" i="1"/>
  <c r="M7211" i="1"/>
  <c r="M7212" i="1"/>
  <c r="N7212" i="1" s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N7228" i="1" s="1"/>
  <c r="M7229" i="1"/>
  <c r="M7230" i="1"/>
  <c r="N7230" i="1" s="1"/>
  <c r="M7231" i="1"/>
  <c r="N7231" i="1" s="1"/>
  <c r="M7232" i="1"/>
  <c r="N7232" i="1" s="1"/>
  <c r="M7233" i="1"/>
  <c r="M7234" i="1"/>
  <c r="M7235" i="1"/>
  <c r="M7236" i="1"/>
  <c r="N7236" i="1" s="1"/>
  <c r="M7237" i="1"/>
  <c r="N7237" i="1" s="1"/>
  <c r="M7238" i="1"/>
  <c r="M7239" i="1"/>
  <c r="N7239" i="1" s="1"/>
  <c r="M7240" i="1"/>
  <c r="M7241" i="1"/>
  <c r="M7242" i="1"/>
  <c r="N7242" i="1" s="1"/>
  <c r="M7243" i="1"/>
  <c r="M7244" i="1"/>
  <c r="M7245" i="1"/>
  <c r="M7246" i="1"/>
  <c r="N7246" i="1" s="1"/>
  <c r="M7247" i="1"/>
  <c r="M7248" i="1"/>
  <c r="M7249" i="1"/>
  <c r="M7250" i="1"/>
  <c r="M7251" i="1"/>
  <c r="M7252" i="1"/>
  <c r="M7253" i="1"/>
  <c r="M7254" i="1"/>
  <c r="M7255" i="1"/>
  <c r="M7256" i="1"/>
  <c r="M7257" i="1"/>
  <c r="N7257" i="1" s="1"/>
  <c r="M7258" i="1"/>
  <c r="N7258" i="1" s="1"/>
  <c r="M7259" i="1"/>
  <c r="N7259" i="1" s="1"/>
  <c r="M7260" i="1"/>
  <c r="N7260" i="1" s="1"/>
  <c r="M7261" i="1"/>
  <c r="M7262" i="1"/>
  <c r="M7263" i="1"/>
  <c r="M7264" i="1"/>
  <c r="M7265" i="1"/>
  <c r="M7266" i="1"/>
  <c r="M7267" i="1"/>
  <c r="M7268" i="1"/>
  <c r="N7268" i="1" s="1"/>
  <c r="M7269" i="1"/>
  <c r="N7269" i="1" s="1"/>
  <c r="M7270" i="1"/>
  <c r="M7271" i="1"/>
  <c r="M7272" i="1"/>
  <c r="M7273" i="1"/>
  <c r="N7273" i="1" s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N7293" i="1" s="1"/>
  <c r="M7294" i="1"/>
  <c r="M7295" i="1"/>
  <c r="M7296" i="1"/>
  <c r="M7297" i="1"/>
  <c r="M7298" i="1"/>
  <c r="M7299" i="1"/>
  <c r="M7300" i="1"/>
  <c r="N7300" i="1" s="1"/>
  <c r="M7301" i="1"/>
  <c r="M7302" i="1"/>
  <c r="M7303" i="1"/>
  <c r="M7304" i="1"/>
  <c r="M7305" i="1"/>
  <c r="M7306" i="1"/>
  <c r="M7307" i="1"/>
  <c r="N7307" i="1" s="1"/>
  <c r="M7308" i="1"/>
  <c r="N7308" i="1" s="1"/>
  <c r="M7309" i="1"/>
  <c r="M7310" i="1"/>
  <c r="M7311" i="1"/>
  <c r="M7312" i="1"/>
  <c r="M7313" i="1"/>
  <c r="M7314" i="1"/>
  <c r="M7315" i="1"/>
  <c r="M7316" i="1"/>
  <c r="N7316" i="1" s="1"/>
  <c r="M7317" i="1"/>
  <c r="M7318" i="1"/>
  <c r="M7319" i="1"/>
  <c r="M7320" i="1"/>
  <c r="N7320" i="1" s="1"/>
  <c r="M7321" i="1"/>
  <c r="M7322" i="1"/>
  <c r="M7323" i="1"/>
  <c r="M7324" i="1"/>
  <c r="M7325" i="1"/>
  <c r="M7326" i="1"/>
  <c r="M7327" i="1"/>
  <c r="M7328" i="1"/>
  <c r="N7328" i="1" s="1"/>
  <c r="M7329" i="1"/>
  <c r="M7330" i="1"/>
  <c r="M7331" i="1"/>
  <c r="N7331" i="1" s="1"/>
  <c r="M7332" i="1"/>
  <c r="M7333" i="1"/>
  <c r="M7334" i="1"/>
  <c r="M7335" i="1"/>
  <c r="M7336" i="1"/>
  <c r="M7337" i="1"/>
  <c r="M7338" i="1"/>
  <c r="M7339" i="1"/>
  <c r="M7340" i="1"/>
  <c r="N7340" i="1" s="1"/>
  <c r="M7341" i="1"/>
  <c r="M7342" i="1"/>
  <c r="M7343" i="1"/>
  <c r="M7344" i="1"/>
  <c r="M7345" i="1"/>
  <c r="M7346" i="1"/>
  <c r="M7347" i="1"/>
  <c r="M7348" i="1"/>
  <c r="N7348" i="1" s="1"/>
  <c r="M7349" i="1"/>
  <c r="M7350" i="1"/>
  <c r="M7351" i="1"/>
  <c r="M7352" i="1"/>
  <c r="M7353" i="1"/>
  <c r="M7354" i="1"/>
  <c r="M7355" i="1"/>
  <c r="M7356" i="1"/>
  <c r="M7357" i="1"/>
  <c r="M7358" i="1"/>
  <c r="N7358" i="1" s="1"/>
  <c r="M7359" i="1"/>
  <c r="N7359" i="1" s="1"/>
  <c r="M7360" i="1"/>
  <c r="M7361" i="1"/>
  <c r="N7361" i="1" s="1"/>
  <c r="M7362" i="1"/>
  <c r="M7363" i="1"/>
  <c r="M7364" i="1"/>
  <c r="M7365" i="1"/>
  <c r="N7365" i="1" s="1"/>
  <c r="M7366" i="1"/>
  <c r="M7367" i="1"/>
  <c r="M7368" i="1"/>
  <c r="N7368" i="1" s="1"/>
  <c r="M7369" i="1"/>
  <c r="M7370" i="1"/>
  <c r="M7371" i="1"/>
  <c r="M7372" i="1"/>
  <c r="M7373" i="1"/>
  <c r="M7374" i="1"/>
  <c r="N7374" i="1" s="1"/>
  <c r="M7375" i="1"/>
  <c r="M7376" i="1"/>
  <c r="M7377" i="1"/>
  <c r="M7378" i="1"/>
  <c r="N7378" i="1" s="1"/>
  <c r="M7379" i="1"/>
  <c r="N7379" i="1" s="1"/>
  <c r="M7380" i="1"/>
  <c r="M7381" i="1"/>
  <c r="M7382" i="1"/>
  <c r="M7383" i="1"/>
  <c r="M7384" i="1"/>
  <c r="M7385" i="1"/>
  <c r="M7386" i="1"/>
  <c r="M7387" i="1"/>
  <c r="N7387" i="1" s="1"/>
  <c r="M7388" i="1"/>
  <c r="M7389" i="1"/>
  <c r="N7389" i="1" s="1"/>
  <c r="M7390" i="1"/>
  <c r="M7391" i="1"/>
  <c r="M7392" i="1"/>
  <c r="M7393" i="1"/>
  <c r="M7394" i="1"/>
  <c r="M7395" i="1"/>
  <c r="M7396" i="1"/>
  <c r="M7397" i="1"/>
  <c r="M7398" i="1"/>
  <c r="N7398" i="1" s="1"/>
  <c r="M7399" i="1"/>
  <c r="M7400" i="1"/>
  <c r="M7401" i="1"/>
  <c r="N7401" i="1" s="1"/>
  <c r="M7402" i="1"/>
  <c r="M7403" i="1"/>
  <c r="M7404" i="1"/>
  <c r="N7404" i="1" s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N7416" i="1" s="1"/>
  <c r="M7417" i="1"/>
  <c r="N7417" i="1" s="1"/>
  <c r="M7418" i="1"/>
  <c r="N7418" i="1" s="1"/>
  <c r="M7419" i="1"/>
  <c r="M7420" i="1"/>
  <c r="M7421" i="1"/>
  <c r="M7422" i="1"/>
  <c r="M7423" i="1"/>
  <c r="N7423" i="1" s="1"/>
  <c r="M7424" i="1"/>
  <c r="N7424" i="1" s="1"/>
  <c r="M7425" i="1"/>
  <c r="M7426" i="1"/>
  <c r="M7427" i="1"/>
  <c r="M7428" i="1"/>
  <c r="N7428" i="1" s="1"/>
  <c r="M7429" i="1"/>
  <c r="M7430" i="1"/>
  <c r="M7431" i="1"/>
  <c r="M7432" i="1"/>
  <c r="N7432" i="1" s="1"/>
  <c r="M7433" i="1"/>
  <c r="N7433" i="1" s="1"/>
  <c r="M7434" i="1"/>
  <c r="M7435" i="1"/>
  <c r="M7436" i="1"/>
  <c r="M7437" i="1"/>
  <c r="M7438" i="1"/>
  <c r="M7439" i="1"/>
  <c r="M7440" i="1"/>
  <c r="M7441" i="1"/>
  <c r="M7442" i="1"/>
  <c r="N7442" i="1" s="1"/>
  <c r="M7443" i="1"/>
  <c r="M7444" i="1"/>
  <c r="M7445" i="1"/>
  <c r="M7446" i="1"/>
  <c r="M7447" i="1"/>
  <c r="M7448" i="1"/>
  <c r="M7449" i="1"/>
  <c r="M7450" i="1"/>
  <c r="M7451" i="1"/>
  <c r="N7451" i="1" s="1"/>
  <c r="M7452" i="1"/>
  <c r="M7453" i="1"/>
  <c r="M7454" i="1"/>
  <c r="M7455" i="1"/>
  <c r="M7456" i="1"/>
  <c r="M7457" i="1"/>
  <c r="N7457" i="1" s="1"/>
  <c r="M7458" i="1"/>
  <c r="M7459" i="1"/>
  <c r="M7460" i="1"/>
  <c r="N7460" i="1" s="1"/>
  <c r="M7461" i="1"/>
  <c r="M7462" i="1"/>
  <c r="M7463" i="1"/>
  <c r="M7464" i="1"/>
  <c r="M7465" i="1"/>
  <c r="M7466" i="1"/>
  <c r="M7467" i="1"/>
  <c r="M7468" i="1"/>
  <c r="M7469" i="1"/>
  <c r="N7469" i="1" s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N7482" i="1" s="1"/>
  <c r="M7483" i="1"/>
  <c r="M7484" i="1"/>
  <c r="N7484" i="1" s="1"/>
  <c r="M7485" i="1"/>
  <c r="M7486" i="1"/>
  <c r="M7487" i="1"/>
  <c r="M7488" i="1"/>
  <c r="N7488" i="1" s="1"/>
  <c r="M7489" i="1"/>
  <c r="M7490" i="1"/>
  <c r="M7491" i="1"/>
  <c r="M7492" i="1"/>
  <c r="M7493" i="1"/>
  <c r="M7494" i="1"/>
  <c r="M7495" i="1"/>
  <c r="M7496" i="1"/>
  <c r="M7497" i="1"/>
  <c r="M7498" i="1"/>
  <c r="M7499" i="1"/>
  <c r="N7499" i="1" s="1"/>
  <c r="M7500" i="1"/>
  <c r="M7501" i="1"/>
  <c r="M7502" i="1"/>
  <c r="M7503" i="1"/>
  <c r="M7504" i="1"/>
  <c r="M7505" i="1"/>
  <c r="N7505" i="1" s="1"/>
  <c r="M7506" i="1"/>
  <c r="M7507" i="1"/>
  <c r="M7508" i="1"/>
  <c r="M7509" i="1"/>
  <c r="M7510" i="1"/>
  <c r="M7511" i="1"/>
  <c r="N7511" i="1" s="1"/>
  <c r="M7512" i="1"/>
  <c r="M7513" i="1"/>
  <c r="M7514" i="1"/>
  <c r="M7515" i="1"/>
  <c r="M7516" i="1"/>
  <c r="M7517" i="1"/>
  <c r="M7518" i="1"/>
  <c r="N7518" i="1" s="1"/>
  <c r="M7519" i="1"/>
  <c r="M7520" i="1"/>
  <c r="N7520" i="1" s="1"/>
  <c r="M7521" i="1"/>
  <c r="M7522" i="1"/>
  <c r="M7523" i="1"/>
  <c r="N7523" i="1" s="1"/>
  <c r="M7524" i="1"/>
  <c r="M7525" i="1"/>
  <c r="N7525" i="1" s="1"/>
  <c r="M7526" i="1"/>
  <c r="M7527" i="1"/>
  <c r="N7527" i="1" s="1"/>
  <c r="M7528" i="1"/>
  <c r="M7529" i="1"/>
  <c r="M7530" i="1"/>
  <c r="M7531" i="1"/>
  <c r="M7532" i="1"/>
  <c r="M7533" i="1"/>
  <c r="M7534" i="1"/>
  <c r="M7535" i="1"/>
  <c r="M7536" i="1"/>
  <c r="N7536" i="1" s="1"/>
  <c r="M7537" i="1"/>
  <c r="N7537" i="1" s="1"/>
  <c r="M7538" i="1"/>
  <c r="N7538" i="1" s="1"/>
  <c r="M7539" i="1"/>
  <c r="M7540" i="1"/>
  <c r="M7541" i="1"/>
  <c r="M7542" i="1"/>
  <c r="M7543" i="1"/>
  <c r="M7544" i="1"/>
  <c r="M7545" i="1"/>
  <c r="N7545" i="1" s="1"/>
  <c r="M7546" i="1"/>
  <c r="M7547" i="1"/>
  <c r="N7547" i="1" s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N7564" i="1" s="1"/>
  <c r="M7565" i="1"/>
  <c r="M7566" i="1"/>
  <c r="M7567" i="1"/>
  <c r="N7567" i="1" s="1"/>
  <c r="M7568" i="1"/>
  <c r="M7569" i="1"/>
  <c r="M7570" i="1"/>
  <c r="M7571" i="1"/>
  <c r="M7572" i="1"/>
  <c r="N7572" i="1" s="1"/>
  <c r="M7573" i="1"/>
  <c r="M7574" i="1"/>
  <c r="M7575" i="1"/>
  <c r="M7576" i="1"/>
  <c r="M7577" i="1"/>
  <c r="M7578" i="1"/>
  <c r="M7579" i="1"/>
  <c r="M7580" i="1"/>
  <c r="M7581" i="1"/>
  <c r="N7581" i="1" s="1"/>
  <c r="M7582" i="1"/>
  <c r="N7582" i="1" s="1"/>
  <c r="M7583" i="1"/>
  <c r="M7584" i="1"/>
  <c r="M7585" i="1"/>
  <c r="M7586" i="1"/>
  <c r="N7586" i="1" s="1"/>
  <c r="M7587" i="1"/>
  <c r="M7588" i="1"/>
  <c r="N7588" i="1" s="1"/>
  <c r="M7589" i="1"/>
  <c r="N7589" i="1" s="1"/>
  <c r="M7590" i="1"/>
  <c r="M7591" i="1"/>
  <c r="M7592" i="1"/>
  <c r="N7592" i="1" s="1"/>
  <c r="M7593" i="1"/>
  <c r="M7594" i="1"/>
  <c r="M7595" i="1"/>
  <c r="M7596" i="1"/>
  <c r="M7597" i="1"/>
  <c r="M7598" i="1"/>
  <c r="M7599" i="1"/>
  <c r="M7600" i="1"/>
  <c r="M7601" i="1"/>
  <c r="M7602" i="1"/>
  <c r="N7602" i="1" s="1"/>
  <c r="M7603" i="1"/>
  <c r="M7604" i="1"/>
  <c r="M7605" i="1"/>
  <c r="M7606" i="1"/>
  <c r="M7607" i="1"/>
  <c r="M7608" i="1"/>
  <c r="M7609" i="1"/>
  <c r="M7610" i="1"/>
  <c r="N7610" i="1" s="1"/>
  <c r="M7611" i="1"/>
  <c r="N7611" i="1" s="1"/>
  <c r="M7612" i="1"/>
  <c r="M7613" i="1"/>
  <c r="M7614" i="1"/>
  <c r="M7615" i="1"/>
  <c r="M7616" i="1"/>
  <c r="M7617" i="1"/>
  <c r="M7618" i="1"/>
  <c r="M7619" i="1"/>
  <c r="M7620" i="1"/>
  <c r="N7620" i="1" s="1"/>
  <c r="M7621" i="1"/>
  <c r="M7622" i="1"/>
  <c r="M7623" i="1"/>
  <c r="M7624" i="1"/>
  <c r="N7624" i="1" s="1"/>
  <c r="M7625" i="1"/>
  <c r="M7626" i="1"/>
  <c r="M7627" i="1"/>
  <c r="N7627" i="1" s="1"/>
  <c r="M7628" i="1"/>
  <c r="M7629" i="1"/>
  <c r="M7630" i="1"/>
  <c r="M7631" i="1"/>
  <c r="M7632" i="1"/>
  <c r="M7633" i="1"/>
  <c r="M7634" i="1"/>
  <c r="M7635" i="1"/>
  <c r="N7635" i="1" s="1"/>
  <c r="M7636" i="1"/>
  <c r="M7637" i="1"/>
  <c r="N7637" i="1" s="1"/>
  <c r="M7638" i="1"/>
  <c r="M7639" i="1"/>
  <c r="M7640" i="1"/>
  <c r="M7641" i="1"/>
  <c r="M7642" i="1"/>
  <c r="N7642" i="1" s="1"/>
  <c r="M7643" i="1"/>
  <c r="M7644" i="1"/>
  <c r="M7645" i="1"/>
  <c r="N7645" i="1" s="1"/>
  <c r="M7646" i="1"/>
  <c r="N7646" i="1" s="1"/>
  <c r="M7647" i="1"/>
  <c r="M7648" i="1"/>
  <c r="M7649" i="1"/>
  <c r="M7650" i="1"/>
  <c r="M7651" i="1"/>
  <c r="N7651" i="1" s="1"/>
  <c r="M7652" i="1"/>
  <c r="N7652" i="1" s="1"/>
  <c r="M7653" i="1"/>
  <c r="M7654" i="1"/>
  <c r="M7655" i="1"/>
  <c r="M7656" i="1"/>
  <c r="M7657" i="1"/>
  <c r="N7657" i="1" s="1"/>
  <c r="M7658" i="1"/>
  <c r="M7659" i="1"/>
  <c r="N7659" i="1" s="1"/>
  <c r="M7660" i="1"/>
  <c r="N7660" i="1" s="1"/>
  <c r="M7661" i="1"/>
  <c r="M7662" i="1"/>
  <c r="M7663" i="1"/>
  <c r="N7663" i="1" s="1"/>
  <c r="M7664" i="1"/>
  <c r="M7665" i="1"/>
  <c r="M7666" i="1"/>
  <c r="M7667" i="1"/>
  <c r="N7667" i="1" s="1"/>
  <c r="M7668" i="1"/>
  <c r="M7669" i="1"/>
  <c r="M7670" i="1"/>
  <c r="M7671" i="1"/>
  <c r="M7672" i="1"/>
  <c r="M7673" i="1"/>
  <c r="M7674" i="1"/>
  <c r="M7675" i="1"/>
  <c r="N7675" i="1" s="1"/>
  <c r="M7676" i="1"/>
  <c r="M7677" i="1"/>
  <c r="M7678" i="1"/>
  <c r="M7679" i="1"/>
  <c r="M7680" i="1"/>
  <c r="M7681" i="1"/>
  <c r="M7682" i="1"/>
  <c r="N7682" i="1" s="1"/>
  <c r="M7683" i="1"/>
  <c r="M7684" i="1"/>
  <c r="M7685" i="1"/>
  <c r="M7686" i="1"/>
  <c r="M7687" i="1"/>
  <c r="M7688" i="1"/>
  <c r="N7688" i="1" s="1"/>
  <c r="M7689" i="1"/>
  <c r="M7690" i="1"/>
  <c r="M7691" i="1"/>
  <c r="M7692" i="1"/>
  <c r="M7693" i="1"/>
  <c r="M7694" i="1"/>
  <c r="N7694" i="1" s="1"/>
  <c r="M7695" i="1"/>
  <c r="N7695" i="1" s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N7715" i="1" s="1"/>
  <c r="M7716" i="1"/>
  <c r="M7717" i="1"/>
  <c r="N7717" i="1" s="1"/>
  <c r="M7718" i="1"/>
  <c r="N7718" i="1" s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N7735" i="1" s="1"/>
  <c r="M7736" i="1"/>
  <c r="M7737" i="1"/>
  <c r="N7737" i="1" s="1"/>
  <c r="M7738" i="1"/>
  <c r="M7739" i="1"/>
  <c r="M7740" i="1"/>
  <c r="M7741" i="1"/>
  <c r="M7742" i="1"/>
  <c r="M7743" i="1"/>
  <c r="M7744" i="1"/>
  <c r="M7745" i="1"/>
  <c r="M7746" i="1"/>
  <c r="M7747" i="1"/>
  <c r="M7748" i="1"/>
  <c r="N7748" i="1" s="1"/>
  <c r="M7749" i="1"/>
  <c r="N7749" i="1" s="1"/>
  <c r="M7750" i="1"/>
  <c r="N7750" i="1" s="1"/>
  <c r="M7751" i="1"/>
  <c r="M7752" i="1"/>
  <c r="M7753" i="1"/>
  <c r="N7753" i="1" s="1"/>
  <c r="M7754" i="1"/>
  <c r="M7755" i="1"/>
  <c r="M7756" i="1"/>
  <c r="M7757" i="1"/>
  <c r="M7758" i="1"/>
  <c r="M7759" i="1"/>
  <c r="M7760" i="1"/>
  <c r="N7760" i="1" s="1"/>
  <c r="M7761" i="1"/>
  <c r="M7762" i="1"/>
  <c r="M7763" i="1"/>
  <c r="N7763" i="1" s="1"/>
  <c r="M7764" i="1"/>
  <c r="M7765" i="1"/>
  <c r="M7766" i="1"/>
  <c r="M7767" i="1"/>
  <c r="M7768" i="1"/>
  <c r="M7769" i="1"/>
  <c r="M7770" i="1"/>
  <c r="M7771" i="1"/>
  <c r="M7772" i="1"/>
  <c r="N7772" i="1" s="1"/>
  <c r="M7773" i="1"/>
  <c r="M7774" i="1"/>
  <c r="M7775" i="1"/>
  <c r="M7776" i="1"/>
  <c r="M7777" i="1"/>
  <c r="M7778" i="1"/>
  <c r="M7779" i="1"/>
  <c r="M7780" i="1"/>
  <c r="M7781" i="1"/>
  <c r="M7782" i="1"/>
  <c r="M7783" i="1"/>
  <c r="N7783" i="1" s="1"/>
  <c r="M7784" i="1"/>
  <c r="N7784" i="1" s="1"/>
  <c r="M7785" i="1"/>
  <c r="M7786" i="1"/>
  <c r="M7787" i="1"/>
  <c r="N7787" i="1" s="1"/>
  <c r="M7788" i="1"/>
  <c r="M7789" i="1"/>
  <c r="M7790" i="1"/>
  <c r="M7791" i="1"/>
  <c r="M7792" i="1"/>
  <c r="M7793" i="1"/>
  <c r="M7794" i="1"/>
  <c r="N7794" i="1" s="1"/>
  <c r="M7795" i="1"/>
  <c r="N7795" i="1" s="1"/>
  <c r="M7796" i="1"/>
  <c r="M7797" i="1"/>
  <c r="N7797" i="1" s="1"/>
  <c r="M7798" i="1"/>
  <c r="N7798" i="1" s="1"/>
  <c r="M7799" i="1"/>
  <c r="M7800" i="1"/>
  <c r="M7801" i="1"/>
  <c r="M7802" i="1"/>
  <c r="N7802" i="1" s="1"/>
  <c r="M7803" i="1"/>
  <c r="M7804" i="1"/>
  <c r="N7804" i="1" s="1"/>
  <c r="M7805" i="1"/>
  <c r="M7806" i="1"/>
  <c r="N7806" i="1" s="1"/>
  <c r="M7807" i="1"/>
  <c r="M7808" i="1"/>
  <c r="N7808" i="1" s="1"/>
  <c r="M7809" i="1"/>
  <c r="M7810" i="1"/>
  <c r="M7811" i="1"/>
  <c r="N7811" i="1" s="1"/>
  <c r="M7812" i="1"/>
  <c r="M7813" i="1"/>
  <c r="M7814" i="1"/>
  <c r="M7815" i="1"/>
  <c r="N7815" i="1" s="1"/>
  <c r="M7816" i="1"/>
  <c r="M7817" i="1"/>
  <c r="M7818" i="1"/>
  <c r="M7819" i="1"/>
  <c r="M7820" i="1"/>
  <c r="M7821" i="1"/>
  <c r="N7821" i="1" s="1"/>
  <c r="M7822" i="1"/>
  <c r="M7823" i="1"/>
  <c r="M7824" i="1"/>
  <c r="N7824" i="1" s="1"/>
  <c r="M7825" i="1"/>
  <c r="M7826" i="1"/>
  <c r="N7826" i="1" s="1"/>
  <c r="M7827" i="1"/>
  <c r="M7828" i="1"/>
  <c r="M7829" i="1"/>
  <c r="N7829" i="1" s="1"/>
  <c r="M7830" i="1"/>
  <c r="M7831" i="1"/>
  <c r="N7831" i="1" s="1"/>
  <c r="M7832" i="1"/>
  <c r="N7832" i="1" s="1"/>
  <c r="M7833" i="1"/>
  <c r="M7834" i="1"/>
  <c r="M7835" i="1"/>
  <c r="N7835" i="1" s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N7847" i="1" s="1"/>
  <c r="M7848" i="1"/>
  <c r="M7849" i="1"/>
  <c r="M7850" i="1"/>
  <c r="N7850" i="1" s="1"/>
  <c r="M7851" i="1"/>
  <c r="N7851" i="1" s="1"/>
  <c r="M7852" i="1"/>
  <c r="M7853" i="1"/>
  <c r="N7853" i="1" s="1"/>
  <c r="M7854" i="1"/>
  <c r="M7855" i="1"/>
  <c r="M7856" i="1"/>
  <c r="M7857" i="1"/>
  <c r="N7857" i="1" s="1"/>
  <c r="M7858" i="1"/>
  <c r="N7858" i="1" s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N7880" i="1" s="1"/>
  <c r="M7881" i="1"/>
  <c r="N7881" i="1" s="1"/>
  <c r="M7882" i="1"/>
  <c r="N7882" i="1" s="1"/>
  <c r="M7883" i="1"/>
  <c r="M7884" i="1"/>
  <c r="M7885" i="1"/>
  <c r="M7886" i="1"/>
  <c r="M7887" i="1"/>
  <c r="M7888" i="1"/>
  <c r="N7888" i="1" s="1"/>
  <c r="M7889" i="1"/>
  <c r="M7890" i="1"/>
  <c r="M7891" i="1"/>
  <c r="M7892" i="1"/>
  <c r="M7893" i="1"/>
  <c r="N7893" i="1" s="1"/>
  <c r="M7894" i="1"/>
  <c r="M7895" i="1"/>
  <c r="M7896" i="1"/>
  <c r="M7897" i="1"/>
  <c r="M7898" i="1"/>
  <c r="M7899" i="1"/>
  <c r="M7900" i="1"/>
  <c r="N7900" i="1" s="1"/>
  <c r="M7901" i="1"/>
  <c r="M7902" i="1"/>
  <c r="N7902" i="1" s="1"/>
  <c r="M7903" i="1"/>
  <c r="N7903" i="1" s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N7916" i="1" s="1"/>
  <c r="M7917" i="1"/>
  <c r="M7918" i="1"/>
  <c r="N7918" i="1" s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N7931" i="1" s="1"/>
  <c r="M7932" i="1"/>
  <c r="M7933" i="1"/>
  <c r="M7934" i="1"/>
  <c r="M7935" i="1"/>
  <c r="M7936" i="1"/>
  <c r="M7937" i="1"/>
  <c r="M7938" i="1"/>
  <c r="N7938" i="1" s="1"/>
  <c r="M7939" i="1"/>
  <c r="M7940" i="1"/>
  <c r="N7940" i="1" s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N7956" i="1" s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N7977" i="1" s="1"/>
  <c r="M7978" i="1"/>
  <c r="M7979" i="1"/>
  <c r="M7980" i="1"/>
  <c r="M7981" i="1"/>
  <c r="M7982" i="1"/>
  <c r="N7982" i="1" s="1"/>
  <c r="M7983" i="1"/>
  <c r="N7983" i="1" s="1"/>
  <c r="M7984" i="1"/>
  <c r="N7984" i="1" s="1"/>
  <c r="M7985" i="1"/>
  <c r="M7986" i="1"/>
  <c r="N7986" i="1" s="1"/>
  <c r="M7987" i="1"/>
  <c r="M7988" i="1"/>
  <c r="M7989" i="1"/>
  <c r="M7990" i="1"/>
  <c r="N7990" i="1" s="1"/>
  <c r="M7991" i="1"/>
  <c r="M7992" i="1"/>
  <c r="M7993" i="1"/>
  <c r="M7994" i="1"/>
  <c r="M7995" i="1"/>
  <c r="M7996" i="1"/>
  <c r="M7997" i="1"/>
  <c r="M7998" i="1"/>
  <c r="M7999" i="1"/>
  <c r="M8000" i="1"/>
  <c r="M8001" i="1"/>
  <c r="M2" i="1"/>
  <c r="N2" i="1" s="1"/>
  <c r="D12" i="4"/>
  <c r="D11" i="4"/>
  <c r="D10" i="4"/>
  <c r="D9" i="4"/>
  <c r="D8" i="4"/>
  <c r="D7" i="4"/>
  <c r="D6" i="4"/>
  <c r="D5" i="4"/>
  <c r="D4" i="4"/>
  <c r="D23" i="4"/>
  <c r="D22" i="4"/>
  <c r="D21" i="4"/>
  <c r="D19" i="4"/>
</calcChain>
</file>

<file path=xl/sharedStrings.xml><?xml version="1.0" encoding="utf-8"?>
<sst xmlns="http://schemas.openxmlformats.org/spreadsheetml/2006/main" count="40155" uniqueCount="51">
  <si>
    <t>user_id</t>
  </si>
  <si>
    <t>gender</t>
  </si>
  <si>
    <t>age</t>
  </si>
  <si>
    <t>country</t>
  </si>
  <si>
    <t>subscription_type</t>
  </si>
  <si>
    <t>listening_time</t>
  </si>
  <si>
    <t>songs_played_per_day</t>
  </si>
  <si>
    <t>skip_rate</t>
  </si>
  <si>
    <t>device_type</t>
  </si>
  <si>
    <t>ads_listened_per_week</t>
  </si>
  <si>
    <t>offline_listening</t>
  </si>
  <si>
    <t>is_churned</t>
  </si>
  <si>
    <t>Female</t>
  </si>
  <si>
    <t>CA</t>
  </si>
  <si>
    <t>Free</t>
  </si>
  <si>
    <t>Desktop</t>
  </si>
  <si>
    <t>Other</t>
  </si>
  <si>
    <t>DE</t>
  </si>
  <si>
    <t>Family</t>
  </si>
  <si>
    <t>Web</t>
  </si>
  <si>
    <t>Male</t>
  </si>
  <si>
    <t>AU</t>
  </si>
  <si>
    <t>Premium</t>
  </si>
  <si>
    <t>Mobile</t>
  </si>
  <si>
    <t>Student</t>
  </si>
  <si>
    <t>US</t>
  </si>
  <si>
    <t>UK</t>
  </si>
  <si>
    <t>IN</t>
  </si>
  <si>
    <t>FR</t>
  </si>
  <si>
    <t>PK</t>
  </si>
  <si>
    <t>Subscription Type</t>
  </si>
  <si>
    <t>Price</t>
  </si>
  <si>
    <t>Monthly Price</t>
  </si>
  <si>
    <t>Lost Revenue</t>
  </si>
  <si>
    <t>Row Labels</t>
  </si>
  <si>
    <t>Grand Total</t>
  </si>
  <si>
    <t>Total Lost Revenue</t>
  </si>
  <si>
    <t>Total potential Revenue</t>
  </si>
  <si>
    <t>Percentage Loss</t>
  </si>
  <si>
    <t>Sum of Monthly Price</t>
  </si>
  <si>
    <t>Sum of Lost Revenue</t>
  </si>
  <si>
    <t>Ad_bucket</t>
  </si>
  <si>
    <t>0 - 9</t>
  </si>
  <si>
    <t>10 - 19</t>
  </si>
  <si>
    <t>20 - 29</t>
  </si>
  <si>
    <t>30 - 39</t>
  </si>
  <si>
    <t>40 - 49</t>
  </si>
  <si>
    <t>Average of is_churned</t>
  </si>
  <si>
    <t>Count of user_id</t>
  </si>
  <si>
    <t>Subs Type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</si>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</sst>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19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2" applyNumberFormat="1" applyFont="1"/>
    <xf numFmtId="10" fontId="16" fillId="0" borderId="0" xfId="42" applyNumberFormat="1" applyFont="1"/>
    <xf numFmtId="0" fontId="0" fillId="0" borderId="0" xfId="0" applyAlignment="1">
      <alignment vertical="top"/>
    </xf>
    <xf numFmtId="0" fontId="14" fillId="0" borderId="0" xfId="0" applyFont="1" applyAlignment="1">
      <alignment horizontal="left"/>
    </xf>
    <xf numFmtId="0" fontId="14" fillId="0" borderId="0" xfId="0" applyFont="1"/>
    <xf numFmtId="10" fontId="14" fillId="0" borderId="0" xfId="42" applyNumberFormat="1" applyFont="1"/>
    <xf numFmtId="0" fontId="0" fillId="33" borderId="13" xfId="0" applyFont="1" applyFill="1" applyBorder="1"/>
    <xf numFmtId="0" fontId="0" fillId="0" borderId="13" xfId="0" applyFont="1" applyBorder="1"/>
    <xf numFmtId="0" fontId="13" fillId="34" borderId="11" xfId="0" applyFont="1" applyFill="1" applyBorder="1"/>
    <xf numFmtId="0" fontId="0" fillId="0" borderId="12" xfId="0" applyFont="1" applyBorder="1"/>
    <xf numFmtId="0" fontId="0" fillId="0" borderId="11" xfId="0" applyFont="1" applyBorder="1"/>
    <xf numFmtId="0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[spotify_churn_dataset.xlsx]Ad Tolerance Threshold Analysis!PivotTable1</c:name>
    <c:fmtId val="1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'Ad Tolerance Threshold Analysis'!$B$3</c:f>
              <c:strCache>
                <c:ptCount val="1"/>
                <c:pt idx="0">
                  <c:v>Average of is_churned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'Ad Tolerance Threshold Analysis'!$A$4:$A$9</c:f>
              <c:strCache>
                <c:ptCount val="5"/>
                <c:pt idx="0">
                  <c:v>0 - 9</c:v>
                </c:pt>
                <c:pt idx="1">
                  <c:v>10 - 19</c:v>
                </c:pt>
                <c:pt idx="2">
                  <c:v>20 - 29</c:v>
                </c:pt>
                <c:pt idx="3">
                  <c:v>30 - 39</c:v>
                </c:pt>
                <c:pt idx="4">
                  <c:v>40 - 49</c:v>
                </c:pt>
              </c:strCache>
            </c:strRef>
          </c:cat>
          <c:val>
            <c:numRef>
              <c:f>'Ad Tolerance Threshold Analysis'!$B$4:$B$9</c:f>
              <c:numCache>
                <c:formatCode>0.00%</c:formatCode>
                <c:ptCount val="5"/>
                <c:pt idx="0">
                  <c:v>0.2107843137254902</c:v>
                </c:pt>
                <c:pt idx="1">
                  <c:v>0.23026315789473684</c:v>
                </c:pt>
                <c:pt idx="2">
                  <c:v>0.26506024096385544</c:v>
                </c:pt>
                <c:pt idx="3">
                  <c:v>0.24197002141327623</c:v>
                </c:pt>
                <c:pt idx="4">
                  <c:v>0.27731092436974791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8-44BA-A068-D1E126FCD1B6}"/>
            </c:ext>
          </c:extLst>
        </c:ser>
        <c:ser>
          <c:idx val="1"/>
          <c:order val="1"/>
          <c:tx>
            <c:strRef>
              <c:f>'Ad Tolerance Threshold Analysis'!$C$3</c:f>
              <c:strCache>
                <c:ptCount val="1"/>
                <c:pt idx="0">
                  <c:v>Count of user_id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'Ad Tolerance Threshold Analysis'!$A$4:$A$9</c:f>
              <c:strCache>
                <c:ptCount val="5"/>
                <c:pt idx="0">
                  <c:v>0 - 9</c:v>
                </c:pt>
                <c:pt idx="1">
                  <c:v>10 - 19</c:v>
                </c:pt>
                <c:pt idx="2">
                  <c:v>20 - 29</c:v>
                </c:pt>
                <c:pt idx="3">
                  <c:v>30 - 39</c:v>
                </c:pt>
                <c:pt idx="4">
                  <c:v>40 - 49</c:v>
                </c:pt>
              </c:strCache>
            </c:strRef>
          </c:cat>
          <c:val>
            <c:numRef>
              <c:f>'Ad Tolerance Threshold Analysis'!$C$4:$C$9</c:f>
              <c:numCache>
                <c:formatCode>General</c:formatCode>
                <c:ptCount val="5"/>
                <c:pt idx="0">
                  <c:v>204</c:v>
                </c:pt>
                <c:pt idx="1">
                  <c:v>456</c:v>
                </c:pt>
                <c:pt idx="2">
                  <c:v>415</c:v>
                </c:pt>
                <c:pt idx="3">
                  <c:v>467</c:v>
                </c:pt>
                <c:pt idx="4">
                  <c:v>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E8-44BA-A068-D1E126FCD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30544"/>
        <c:axId val="439532464"/>
      </c:lineChart>
      <c:catAx>
        <c:axId val="4395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32464"/>
        <c:crosses val="autoZero"/>
        <c:auto val="1"/>
        <c:lblAlgn val="ctr"/>
        <c:lblOffset val="100"/>
        <c:noMultiLvlLbl val="0"/>
      </c:catAx>
      <c:valAx>
        <c:axId val="439532464"/>
        <c:scaling>
          <c:orientation val="minMax"/>
          <c:max val="0.28000000000000003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463550</xdr:colOff>
      <xdr:row>17</xdr:row>
      <xdr:rowOff>38100</xdr:rowOff>
    </xdr:from>
    <xdr:to>
      <xdr:col>12</xdr:col>
      <xdr:colOff>12700</xdr:colOff>
      <xdr:row>30</xdr:row>
      <xdr:rowOff>101600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1AB6944-83B0-73B5-945D-210913750463}"/>
            </a:ext>
          </a:extLst>
        </xdr:cNvPr>
        <xdr:cNvSpPr txBox="1"/>
      </xdr:nvSpPr>
      <xdr:spPr>
        <a:xfrm>
          <a:off x="3683000" y="3168650"/>
          <a:ext cx="5035550" cy="2457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b="0"/>
            <a:t>The Ad Fatigu' Threshold is 20 Ads per Week.</a:t>
          </a:r>
        </a:p>
        <a:p>
          <a:r>
            <a:rPr lang="en-AU" b="0"/>
            <a:t>Observation: Users who hear fewer than 20 ads per week have a stable churn rate of ~23.03%.</a:t>
          </a:r>
        </a:p>
        <a:p>
          <a:r>
            <a:rPr lang="en-AU" b="0"/>
            <a:t>The Tipping Point: As soon as users are exposed to 20-29 ads, churn spikes significantly to 26.51% </a:t>
          </a:r>
        </a:p>
        <a:p>
          <a:r>
            <a:rPr lang="en-AU" b="0"/>
            <a:t>Recommendation: I propose capping ad frequency at 19 ads per week for new users. This simple limit could potentially reduce churn by up to 3% for this segment without reducing ad inventory significantly for loyal users</a:t>
          </a:r>
        </a:p>
      </xdr:txBody>
    </xdr:sp>
    <xdr:clientData/>
  </xdr:twoCellAnchor>
  <xdr:twoCellAnchor>
    <xdr:from>
      <xdr:col>3</xdr:col>
      <xdr:colOff>549275</xdr:colOff>
      <xdr:row>0</xdr:row>
      <xdr:rowOff>165100</xdr:rowOff>
    </xdr:from>
    <xdr:to>
      <xdr:col>11</xdr:col>
      <xdr:colOff>244475</xdr:colOff>
      <xdr:row>15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52BB9E-827E-763F-D257-B0938A455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1</xdr:row>
      <xdr:rowOff>171450</xdr:rowOff>
    </xdr:from>
    <xdr:to>
      <xdr:col>12</xdr:col>
      <xdr:colOff>215900</xdr:colOff>
      <xdr:row>14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2CDEA5-0B14-D8B2-9815-5DB4CBEBFCA3}"/>
            </a:ext>
          </a:extLst>
        </xdr:cNvPr>
        <xdr:cNvSpPr txBox="1"/>
      </xdr:nvSpPr>
      <xdr:spPr>
        <a:xfrm>
          <a:off x="5048250" y="355600"/>
          <a:ext cx="4489450" cy="222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churn rate is </a:t>
          </a:r>
          <a:r>
            <a:rPr lang="en-A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26.43%</a:t>
          </a:r>
        </a:p>
        <a:p>
          <a:endParaRPr lang="en-AU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buNone/>
          </a:pPr>
          <a:r>
            <a:rPr lang="en-AU"/>
            <a:t>Although the Free plan has a high churn count, it costs us $0. The real financial bleed comes from the </a:t>
          </a:r>
          <a:r>
            <a:rPr lang="en-AU" b="1"/>
            <a:t>Family Plan </a:t>
          </a:r>
          <a:r>
            <a:rPr lang="en-AU" b="0"/>
            <a:t>with</a:t>
          </a:r>
          <a:r>
            <a:rPr lang="en-AU" b="1"/>
            <a:t> 27.52%</a:t>
          </a:r>
          <a:r>
            <a:rPr lang="en-AU"/>
            <a:t>.</a:t>
          </a:r>
        </a:p>
        <a:p>
          <a:pPr>
            <a:buNone/>
          </a:pPr>
          <a:endParaRPr lang="en-AU"/>
        </a:p>
        <a:p>
          <a:pPr>
            <a:buNone/>
          </a:pPr>
          <a:r>
            <a:rPr lang="en-AU" b="1"/>
            <a:t>Total Monthly Revenue Potential:</a:t>
          </a:r>
          <a:r>
            <a:rPr lang="en-AU"/>
            <a:t> ~$59,505</a:t>
          </a:r>
        </a:p>
        <a:p>
          <a:pPr>
            <a:buNone/>
          </a:pPr>
          <a:endParaRPr lang="en-AU"/>
        </a:p>
        <a:p>
          <a:pPr>
            <a:buNone/>
          </a:pPr>
          <a:r>
            <a:rPr lang="en-AU" b="1"/>
            <a:t>Total Monthly Revenue Lost:</a:t>
          </a:r>
          <a:r>
            <a:rPr lang="en-AU"/>
            <a:t> ~$15,724</a:t>
          </a:r>
        </a:p>
        <a:p>
          <a:pPr>
            <a:buNone/>
          </a:pPr>
          <a:endParaRPr lang="en-AU"/>
        </a:p>
        <a:p>
          <a:pPr>
            <a:buNone/>
          </a:pPr>
          <a:r>
            <a:rPr lang="en-AU" b="1"/>
            <a:t>Key Insight:</a:t>
          </a:r>
          <a:r>
            <a:rPr lang="en-AU"/>
            <a:t> We are losing the most</a:t>
          </a:r>
          <a:r>
            <a:rPr lang="en-AU" baseline="0"/>
            <a:t> </a:t>
          </a:r>
          <a:r>
            <a:rPr lang="en-AU"/>
            <a:t>revenue in </a:t>
          </a:r>
          <a:r>
            <a:rPr lang="en-AU" b="1"/>
            <a:t>Pakistan</a:t>
          </a:r>
          <a:r>
            <a:rPr lang="en-AU" b="1" baseline="0"/>
            <a:t> </a:t>
          </a:r>
          <a:r>
            <a:rPr lang="en-AU"/>
            <a:t>from Family Plan subscribers.</a:t>
          </a:r>
        </a:p>
        <a:p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2</xdr:row>
      <xdr:rowOff>146050</xdr:rowOff>
    </xdr:from>
    <xdr:to>
      <xdr:col>14</xdr:col>
      <xdr:colOff>266700</xdr:colOff>
      <xdr:row>13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644A1C-925E-3D24-63A5-AD826171E90E}"/>
            </a:ext>
          </a:extLst>
        </xdr:cNvPr>
        <xdr:cNvSpPr txBox="1"/>
      </xdr:nvSpPr>
      <xdr:spPr>
        <a:xfrm>
          <a:off x="4851400" y="514350"/>
          <a:ext cx="4686300" cy="189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/>
            <a:t>While the overall churn is 25.9%, the Heatmap reveals a critical failure in the </a:t>
          </a:r>
          <a:r>
            <a:rPr lang="en-AU" b="1"/>
            <a:t>PK</a:t>
          </a:r>
          <a:r>
            <a:rPr lang="en-AU" b="1" baseline="0"/>
            <a:t> Student</a:t>
          </a:r>
          <a:r>
            <a:rPr lang="en-AU" baseline="0"/>
            <a:t> </a:t>
          </a:r>
          <a:r>
            <a:rPr lang="en-AU" b="1"/>
            <a:t>Plan</a:t>
          </a:r>
          <a:r>
            <a:rPr lang="en-AU"/>
            <a:t> market, which is churned at </a:t>
          </a:r>
          <a:r>
            <a:rPr lang="en-AU" b="1"/>
            <a:t>31.6%</a:t>
          </a:r>
          <a:r>
            <a:rPr lang="en-AU"/>
            <a:t> (Dark Red), compared to the </a:t>
          </a:r>
          <a:r>
            <a:rPr lang="en-AU" b="1"/>
            <a:t>US Student Plan</a:t>
          </a:r>
          <a:r>
            <a:rPr lang="en-AU"/>
            <a:t> at </a:t>
          </a:r>
          <a:r>
            <a:rPr lang="en-AU" b="1"/>
            <a:t>18.8%</a:t>
          </a:r>
          <a:r>
            <a:rPr lang="en-AU"/>
            <a:t> (Green Color). We should investigate pricing or competitors in Student plan specifically.</a:t>
          </a:r>
          <a:endParaRPr lang="en-AU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yan Bhattarai" refreshedDate="46031.549682407407" createdVersion="8" refreshedVersion="8" minRefreshableVersion="3" recordCount="8000" xr:uid="{C8888950-30ED-4625-9EB7-E0A4B690491F}">
  <cacheSource type="worksheet">
    <worksheetSource name="Table1"/>
  </cacheSource>
  <cacheFields count="14">
    <cacheField name="user_id" numFmtId="0">
      <sharedItems containsSemiMixedTypes="0" containsString="0" containsNumber="1" containsInteger="1" minValue="1" maxValue="8000"/>
    </cacheField>
    <cacheField name="gender" numFmtId="0">
      <sharedItems/>
    </cacheField>
    <cacheField name="age" numFmtId="0">
      <sharedItems containsSemiMixedTypes="0" containsString="0" containsNumber="1" containsInteger="1" minValue="16" maxValue="59"/>
    </cacheField>
    <cacheField name="country" numFmtId="0">
      <sharedItems count="8">
        <s v="CA"/>
        <s v="DE"/>
        <s v="AU"/>
        <s v="US"/>
        <s v="UK"/>
        <s v="IN"/>
        <s v="FR"/>
        <s v="PK"/>
      </sharedItems>
    </cacheField>
    <cacheField name="subscription_type" numFmtId="0">
      <sharedItems count="4">
        <s v="Free"/>
        <s v="Family"/>
        <s v="Premium"/>
        <s v="Student"/>
      </sharedItems>
    </cacheField>
    <cacheField name="listening_time" numFmtId="0">
      <sharedItems containsSemiMixedTypes="0" containsString="0" containsNumber="1" containsInteger="1" minValue="10" maxValue="299"/>
    </cacheField>
    <cacheField name="songs_played_per_day" numFmtId="0">
      <sharedItems containsSemiMixedTypes="0" containsString="0" containsNumber="1" containsInteger="1" minValue="1" maxValue="99"/>
    </cacheField>
    <cacheField name="skip_rate" numFmtId="0">
      <sharedItems containsSemiMixedTypes="0" containsString="0" containsNumber="1" minValue="0" maxValue="0.6"/>
    </cacheField>
    <cacheField name="device_type" numFmtId="0">
      <sharedItems/>
    </cacheField>
    <cacheField name="ads_listened_per_week" numFmtId="0">
      <sharedItems containsSemiMixedTypes="0" containsString="0" containsNumber="1" containsInteger="1" minValue="0" maxValue="49"/>
    </cacheField>
    <cacheField name="offline_listening" numFmtId="0">
      <sharedItems containsSemiMixedTypes="0" containsString="0" containsNumber="1" containsInteger="1" minValue="0" maxValue="1"/>
    </cacheField>
    <cacheField name="is_churned" numFmtId="0">
      <sharedItems containsSemiMixedTypes="0" containsString="0" containsNumber="1" containsInteger="1" minValue="0" maxValue="1"/>
    </cacheField>
    <cacheField name="Monthly Price" numFmtId="0">
      <sharedItems containsSemiMixedTypes="0" containsString="0" containsNumber="1" minValue="0" maxValue="14.99"/>
    </cacheField>
    <cacheField name="Lost Revenue" numFmtId="0">
      <sharedItems containsSemiMixedTypes="0" containsString="0" containsNumber="1" minValue="0" maxValue="14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yan Bhattarai" refreshedDate="46032.505953819447" createdVersion="8" refreshedVersion="8" minRefreshableVersion="3" recordCount="2018" xr:uid="{65554FDE-8A5E-4015-82B7-496C1EBEF5AD}">
  <cacheSource type="worksheet">
    <worksheetSource name="Table2"/>
  </cacheSource>
  <cacheFields count="15">
    <cacheField name="user_id" numFmtId="0">
      <sharedItems containsSemiMixedTypes="0" containsString="0" containsNumber="1" containsInteger="1" minValue="1" maxValue="8000" count="2018">
        <n v="1"/>
        <n v="6"/>
        <n v="8"/>
        <n v="10"/>
        <n v="11"/>
        <n v="12"/>
        <n v="27"/>
        <n v="28"/>
        <n v="29"/>
        <n v="36"/>
        <n v="50"/>
        <n v="53"/>
        <n v="54"/>
        <n v="57"/>
        <n v="59"/>
        <n v="63"/>
        <n v="67"/>
        <n v="68"/>
        <n v="70"/>
        <n v="79"/>
        <n v="83"/>
        <n v="84"/>
        <n v="88"/>
        <n v="91"/>
        <n v="94"/>
        <n v="101"/>
        <n v="105"/>
        <n v="116"/>
        <n v="123"/>
        <n v="124"/>
        <n v="126"/>
        <n v="129"/>
        <n v="131"/>
        <n v="140"/>
        <n v="141"/>
        <n v="157"/>
        <n v="158"/>
        <n v="161"/>
        <n v="162"/>
        <n v="163"/>
        <n v="166"/>
        <n v="168"/>
        <n v="170"/>
        <n v="172"/>
        <n v="175"/>
        <n v="177"/>
        <n v="179"/>
        <n v="181"/>
        <n v="188"/>
        <n v="190"/>
        <n v="193"/>
        <n v="201"/>
        <n v="204"/>
        <n v="205"/>
        <n v="206"/>
        <n v="208"/>
        <n v="209"/>
        <n v="211"/>
        <n v="212"/>
        <n v="214"/>
        <n v="217"/>
        <n v="220"/>
        <n v="226"/>
        <n v="228"/>
        <n v="233"/>
        <n v="239"/>
        <n v="240"/>
        <n v="241"/>
        <n v="248"/>
        <n v="252"/>
        <n v="254"/>
        <n v="257"/>
        <n v="260"/>
        <n v="261"/>
        <n v="265"/>
        <n v="267"/>
        <n v="275"/>
        <n v="278"/>
        <n v="284"/>
        <n v="287"/>
        <n v="288"/>
        <n v="289"/>
        <n v="302"/>
        <n v="303"/>
        <n v="316"/>
        <n v="324"/>
        <n v="326"/>
        <n v="328"/>
        <n v="335"/>
        <n v="350"/>
        <n v="351"/>
        <n v="354"/>
        <n v="355"/>
        <n v="357"/>
        <n v="359"/>
        <n v="361"/>
        <n v="362"/>
        <n v="365"/>
        <n v="368"/>
        <n v="370"/>
        <n v="373"/>
        <n v="374"/>
        <n v="375"/>
        <n v="379"/>
        <n v="387"/>
        <n v="388"/>
        <n v="389"/>
        <n v="393"/>
        <n v="396"/>
        <n v="404"/>
        <n v="409"/>
        <n v="410"/>
        <n v="412"/>
        <n v="413"/>
        <n v="416"/>
        <n v="421"/>
        <n v="424"/>
        <n v="430"/>
        <n v="436"/>
        <n v="438"/>
        <n v="439"/>
        <n v="442"/>
        <n v="443"/>
        <n v="449"/>
        <n v="455"/>
        <n v="464"/>
        <n v="465"/>
        <n v="466"/>
        <n v="470"/>
        <n v="476"/>
        <n v="479"/>
        <n v="480"/>
        <n v="482"/>
        <n v="500"/>
        <n v="503"/>
        <n v="504"/>
        <n v="508"/>
        <n v="514"/>
        <n v="515"/>
        <n v="516"/>
        <n v="518"/>
        <n v="526"/>
        <n v="529"/>
        <n v="536"/>
        <n v="551"/>
        <n v="558"/>
        <n v="559"/>
        <n v="563"/>
        <n v="566"/>
        <n v="570"/>
        <n v="572"/>
        <n v="573"/>
        <n v="574"/>
        <n v="580"/>
        <n v="590"/>
        <n v="597"/>
        <n v="598"/>
        <n v="604"/>
        <n v="610"/>
        <n v="612"/>
        <n v="625"/>
        <n v="626"/>
        <n v="630"/>
        <n v="634"/>
        <n v="635"/>
        <n v="645"/>
        <n v="647"/>
        <n v="648"/>
        <n v="663"/>
        <n v="669"/>
        <n v="670"/>
        <n v="671"/>
        <n v="673"/>
        <n v="681"/>
        <n v="684"/>
        <n v="685"/>
        <n v="690"/>
        <n v="696"/>
        <n v="713"/>
        <n v="714"/>
        <n v="719"/>
        <n v="721"/>
        <n v="727"/>
        <n v="740"/>
        <n v="749"/>
        <n v="755"/>
        <n v="756"/>
        <n v="763"/>
        <n v="780"/>
        <n v="787"/>
        <n v="809"/>
        <n v="814"/>
        <n v="816"/>
        <n v="822"/>
        <n v="836"/>
        <n v="837"/>
        <n v="841"/>
        <n v="854"/>
        <n v="855"/>
        <n v="866"/>
        <n v="868"/>
        <n v="870"/>
        <n v="871"/>
        <n v="873"/>
        <n v="874"/>
        <n v="878"/>
        <n v="886"/>
        <n v="890"/>
        <n v="891"/>
        <n v="892"/>
        <n v="894"/>
        <n v="903"/>
        <n v="906"/>
        <n v="907"/>
        <n v="909"/>
        <n v="910"/>
        <n v="914"/>
        <n v="919"/>
        <n v="920"/>
        <n v="923"/>
        <n v="925"/>
        <n v="939"/>
        <n v="940"/>
        <n v="961"/>
        <n v="964"/>
        <n v="965"/>
        <n v="971"/>
        <n v="972"/>
        <n v="974"/>
        <n v="977"/>
        <n v="985"/>
        <n v="986"/>
        <n v="987"/>
        <n v="989"/>
        <n v="990"/>
        <n v="992"/>
        <n v="995"/>
        <n v="996"/>
        <n v="1004"/>
        <n v="1011"/>
        <n v="1016"/>
        <n v="1017"/>
        <n v="1021"/>
        <n v="1025"/>
        <n v="1031"/>
        <n v="1034"/>
        <n v="1036"/>
        <n v="1037"/>
        <n v="1044"/>
        <n v="1048"/>
        <n v="1050"/>
        <n v="1053"/>
        <n v="1054"/>
        <n v="1057"/>
        <n v="1058"/>
        <n v="1066"/>
        <n v="1067"/>
        <n v="1075"/>
        <n v="1084"/>
        <n v="1085"/>
        <n v="1093"/>
        <n v="1095"/>
        <n v="1099"/>
        <n v="1106"/>
        <n v="1111"/>
        <n v="1112"/>
        <n v="1116"/>
        <n v="1121"/>
        <n v="1125"/>
        <n v="1126"/>
        <n v="1128"/>
        <n v="1129"/>
        <n v="1142"/>
        <n v="1143"/>
        <n v="1147"/>
        <n v="1149"/>
        <n v="1154"/>
        <n v="1155"/>
        <n v="1166"/>
        <n v="1175"/>
        <n v="1183"/>
        <n v="1187"/>
        <n v="1195"/>
        <n v="1201"/>
        <n v="1203"/>
        <n v="1205"/>
        <n v="1206"/>
        <n v="1208"/>
        <n v="1209"/>
        <n v="1219"/>
        <n v="1220"/>
        <n v="1221"/>
        <n v="1229"/>
        <n v="1231"/>
        <n v="1235"/>
        <n v="1237"/>
        <n v="1244"/>
        <n v="1246"/>
        <n v="1247"/>
        <n v="1248"/>
        <n v="1252"/>
        <n v="1253"/>
        <n v="1259"/>
        <n v="1260"/>
        <n v="1261"/>
        <n v="1262"/>
        <n v="1265"/>
        <n v="1269"/>
        <n v="1270"/>
        <n v="1273"/>
        <n v="1278"/>
        <n v="1281"/>
        <n v="1282"/>
        <n v="1285"/>
        <n v="1291"/>
        <n v="1293"/>
        <n v="1294"/>
        <n v="1295"/>
        <n v="1296"/>
        <n v="1305"/>
        <n v="1306"/>
        <n v="1307"/>
        <n v="1308"/>
        <n v="1313"/>
        <n v="1314"/>
        <n v="1320"/>
        <n v="1321"/>
        <n v="1342"/>
        <n v="1344"/>
        <n v="1345"/>
        <n v="1352"/>
        <n v="1355"/>
        <n v="1358"/>
        <n v="1360"/>
        <n v="1363"/>
        <n v="1371"/>
        <n v="1372"/>
        <n v="1375"/>
        <n v="1377"/>
        <n v="1382"/>
        <n v="1386"/>
        <n v="1388"/>
        <n v="1389"/>
        <n v="1390"/>
        <n v="1392"/>
        <n v="1393"/>
        <n v="1394"/>
        <n v="1398"/>
        <n v="1401"/>
        <n v="1402"/>
        <n v="1406"/>
        <n v="1411"/>
        <n v="1417"/>
        <n v="1420"/>
        <n v="1423"/>
        <n v="1428"/>
        <n v="1430"/>
        <n v="1440"/>
        <n v="1442"/>
        <n v="1448"/>
        <n v="1453"/>
        <n v="1456"/>
        <n v="1458"/>
        <n v="1461"/>
        <n v="1462"/>
        <n v="1465"/>
        <n v="1467"/>
        <n v="1474"/>
        <n v="1477"/>
        <n v="1479"/>
        <n v="1481"/>
        <n v="1484"/>
        <n v="1497"/>
        <n v="1510"/>
        <n v="1515"/>
        <n v="1517"/>
        <n v="1518"/>
        <n v="1519"/>
        <n v="1520"/>
        <n v="1524"/>
        <n v="1531"/>
        <n v="1533"/>
        <n v="1539"/>
        <n v="1540"/>
        <n v="1547"/>
        <n v="1548"/>
        <n v="1553"/>
        <n v="1554"/>
        <n v="1562"/>
        <n v="1568"/>
        <n v="1569"/>
        <n v="1570"/>
        <n v="1577"/>
        <n v="1579"/>
        <n v="1583"/>
        <n v="1589"/>
        <n v="1592"/>
        <n v="1593"/>
        <n v="1596"/>
        <n v="1602"/>
        <n v="1608"/>
        <n v="1618"/>
        <n v="1619"/>
        <n v="1621"/>
        <n v="1626"/>
        <n v="1630"/>
        <n v="1633"/>
        <n v="1637"/>
        <n v="1639"/>
        <n v="1643"/>
        <n v="1655"/>
        <n v="1657"/>
        <n v="1658"/>
        <n v="1662"/>
        <n v="1667"/>
        <n v="1668"/>
        <n v="1676"/>
        <n v="1681"/>
        <n v="1682"/>
        <n v="1683"/>
        <n v="1684"/>
        <n v="1685"/>
        <n v="1686"/>
        <n v="1688"/>
        <n v="1689"/>
        <n v="1690"/>
        <n v="1695"/>
        <n v="1706"/>
        <n v="1709"/>
        <n v="1713"/>
        <n v="1715"/>
        <n v="1719"/>
        <n v="1723"/>
        <n v="1726"/>
        <n v="1727"/>
        <n v="1729"/>
        <n v="1730"/>
        <n v="1731"/>
        <n v="1736"/>
        <n v="1743"/>
        <n v="1745"/>
        <n v="1750"/>
        <n v="1759"/>
        <n v="1761"/>
        <n v="1763"/>
        <n v="1766"/>
        <n v="1779"/>
        <n v="1781"/>
        <n v="1784"/>
        <n v="1786"/>
        <n v="1790"/>
        <n v="1794"/>
        <n v="1795"/>
        <n v="1796"/>
        <n v="1799"/>
        <n v="1809"/>
        <n v="1814"/>
        <n v="1816"/>
        <n v="1818"/>
        <n v="1819"/>
        <n v="1823"/>
        <n v="1829"/>
        <n v="1832"/>
        <n v="1836"/>
        <n v="1844"/>
        <n v="1846"/>
        <n v="1849"/>
        <n v="1851"/>
        <n v="1856"/>
        <n v="1867"/>
        <n v="1870"/>
        <n v="1872"/>
        <n v="1878"/>
        <n v="1880"/>
        <n v="1887"/>
        <n v="1889"/>
        <n v="1891"/>
        <n v="1896"/>
        <n v="1897"/>
        <n v="1900"/>
        <n v="1906"/>
        <n v="1911"/>
        <n v="1915"/>
        <n v="1916"/>
        <n v="1917"/>
        <n v="1922"/>
        <n v="1924"/>
        <n v="1927"/>
        <n v="1932"/>
        <n v="1933"/>
        <n v="1934"/>
        <n v="1938"/>
        <n v="1940"/>
        <n v="1941"/>
        <n v="1951"/>
        <n v="1952"/>
        <n v="1955"/>
        <n v="1959"/>
        <n v="1961"/>
        <n v="1962"/>
        <n v="1966"/>
        <n v="1967"/>
        <n v="1968"/>
        <n v="1973"/>
        <n v="1977"/>
        <n v="1992"/>
        <n v="2000"/>
        <n v="2010"/>
        <n v="2011"/>
        <n v="2015"/>
        <n v="2024"/>
        <n v="2028"/>
        <n v="2047"/>
        <n v="2050"/>
        <n v="2052"/>
        <n v="2054"/>
        <n v="2055"/>
        <n v="2058"/>
        <n v="2059"/>
        <n v="2062"/>
        <n v="2063"/>
        <n v="2069"/>
        <n v="2070"/>
        <n v="2072"/>
        <n v="2076"/>
        <n v="2083"/>
        <n v="2087"/>
        <n v="2089"/>
        <n v="2095"/>
        <n v="2096"/>
        <n v="2097"/>
        <n v="2099"/>
        <n v="2105"/>
        <n v="2110"/>
        <n v="2111"/>
        <n v="2120"/>
        <n v="2122"/>
        <n v="2123"/>
        <n v="2135"/>
        <n v="2137"/>
        <n v="2141"/>
        <n v="2143"/>
        <n v="2146"/>
        <n v="2148"/>
        <n v="2149"/>
        <n v="2150"/>
        <n v="2162"/>
        <n v="2164"/>
        <n v="2166"/>
        <n v="2170"/>
        <n v="2171"/>
        <n v="2173"/>
        <n v="2174"/>
        <n v="2177"/>
        <n v="2180"/>
        <n v="2182"/>
        <n v="2183"/>
        <n v="2186"/>
        <n v="2188"/>
        <n v="2192"/>
        <n v="2198"/>
        <n v="2206"/>
        <n v="2210"/>
        <n v="2212"/>
        <n v="2218"/>
        <n v="2221"/>
        <n v="2227"/>
        <n v="2233"/>
        <n v="2237"/>
        <n v="2243"/>
        <n v="2244"/>
        <n v="2245"/>
        <n v="2246"/>
        <n v="2252"/>
        <n v="2254"/>
        <n v="2257"/>
        <n v="2277"/>
        <n v="2278"/>
        <n v="2279"/>
        <n v="2283"/>
        <n v="2285"/>
        <n v="2286"/>
        <n v="2294"/>
        <n v="2296"/>
        <n v="2297"/>
        <n v="2298"/>
        <n v="2299"/>
        <n v="2305"/>
        <n v="2316"/>
        <n v="2322"/>
        <n v="2329"/>
        <n v="2330"/>
        <n v="2340"/>
        <n v="2345"/>
        <n v="2354"/>
        <n v="2355"/>
        <n v="2359"/>
        <n v="2361"/>
        <n v="2366"/>
        <n v="2375"/>
        <n v="2377"/>
        <n v="2379"/>
        <n v="2381"/>
        <n v="2384"/>
        <n v="2386"/>
        <n v="2391"/>
        <n v="2392"/>
        <n v="2398"/>
        <n v="2401"/>
        <n v="2404"/>
        <n v="2407"/>
        <n v="2408"/>
        <n v="2409"/>
        <n v="2410"/>
        <n v="2413"/>
        <n v="2420"/>
        <n v="2421"/>
        <n v="2424"/>
        <n v="2432"/>
        <n v="2433"/>
        <n v="2436"/>
        <n v="2440"/>
        <n v="2443"/>
        <n v="2446"/>
        <n v="2449"/>
        <n v="2450"/>
        <n v="2452"/>
        <n v="2456"/>
        <n v="2459"/>
        <n v="2460"/>
        <n v="2462"/>
        <n v="2465"/>
        <n v="2466"/>
        <n v="2469"/>
        <n v="2471"/>
        <n v="2475"/>
        <n v="2479"/>
        <n v="2481"/>
        <n v="2493"/>
        <n v="2494"/>
        <n v="2499"/>
        <n v="2505"/>
        <n v="2520"/>
        <n v="2525"/>
        <n v="2526"/>
        <n v="2527"/>
        <n v="2543"/>
        <n v="2555"/>
        <n v="2556"/>
        <n v="2558"/>
        <n v="2564"/>
        <n v="2569"/>
        <n v="2570"/>
        <n v="2578"/>
        <n v="2579"/>
        <n v="2590"/>
        <n v="2591"/>
        <n v="2602"/>
        <n v="2604"/>
        <n v="2605"/>
        <n v="2606"/>
        <n v="2608"/>
        <n v="2610"/>
        <n v="2613"/>
        <n v="2621"/>
        <n v="2626"/>
        <n v="2634"/>
        <n v="2640"/>
        <n v="2642"/>
        <n v="2647"/>
        <n v="2652"/>
        <n v="2657"/>
        <n v="2660"/>
        <n v="2664"/>
        <n v="2666"/>
        <n v="2669"/>
        <n v="2673"/>
        <n v="2678"/>
        <n v="2679"/>
        <n v="2685"/>
        <n v="2686"/>
        <n v="2691"/>
        <n v="2698"/>
        <n v="2699"/>
        <n v="2700"/>
        <n v="2707"/>
        <n v="2710"/>
        <n v="2716"/>
        <n v="2717"/>
        <n v="2725"/>
        <n v="2727"/>
        <n v="2731"/>
        <n v="2732"/>
        <n v="2735"/>
        <n v="2743"/>
        <n v="2747"/>
        <n v="2750"/>
        <n v="2754"/>
        <n v="2757"/>
        <n v="2759"/>
        <n v="2761"/>
        <n v="2763"/>
        <n v="2771"/>
        <n v="2773"/>
        <n v="2778"/>
        <n v="2786"/>
        <n v="2787"/>
        <n v="2797"/>
        <n v="2798"/>
        <n v="2800"/>
        <n v="2804"/>
        <n v="2805"/>
        <n v="2806"/>
        <n v="2819"/>
        <n v="2822"/>
        <n v="2827"/>
        <n v="2828"/>
        <n v="2834"/>
        <n v="2838"/>
        <n v="2840"/>
        <n v="2842"/>
        <n v="2845"/>
        <n v="2848"/>
        <n v="2853"/>
        <n v="2854"/>
        <n v="2858"/>
        <n v="2861"/>
        <n v="2862"/>
        <n v="2863"/>
        <n v="2866"/>
        <n v="2875"/>
        <n v="2877"/>
        <n v="2882"/>
        <n v="2890"/>
        <n v="2893"/>
        <n v="2895"/>
        <n v="2896"/>
        <n v="2903"/>
        <n v="2906"/>
        <n v="2907"/>
        <n v="2909"/>
        <n v="2911"/>
        <n v="2918"/>
        <n v="2923"/>
        <n v="2924"/>
        <n v="2930"/>
        <n v="2935"/>
        <n v="2940"/>
        <n v="2941"/>
        <n v="2951"/>
        <n v="2957"/>
        <n v="2960"/>
        <n v="2961"/>
        <n v="2965"/>
        <n v="2973"/>
        <n v="2975"/>
        <n v="2980"/>
        <n v="2983"/>
        <n v="2989"/>
        <n v="2991"/>
        <n v="2997"/>
        <n v="3001"/>
        <n v="3005"/>
        <n v="3006"/>
        <n v="3009"/>
        <n v="3011"/>
        <n v="3015"/>
        <n v="3026"/>
        <n v="3030"/>
        <n v="3031"/>
        <n v="3038"/>
        <n v="3039"/>
        <n v="3041"/>
        <n v="3046"/>
        <n v="3050"/>
        <n v="3053"/>
        <n v="3061"/>
        <n v="3067"/>
        <n v="3068"/>
        <n v="3069"/>
        <n v="3070"/>
        <n v="3073"/>
        <n v="3074"/>
        <n v="3076"/>
        <n v="3089"/>
        <n v="3094"/>
        <n v="3095"/>
        <n v="3098"/>
        <n v="3101"/>
        <n v="3103"/>
        <n v="3104"/>
        <n v="3108"/>
        <n v="3113"/>
        <n v="3117"/>
        <n v="3121"/>
        <n v="3122"/>
        <n v="3127"/>
        <n v="3142"/>
        <n v="3144"/>
        <n v="3151"/>
        <n v="3155"/>
        <n v="3162"/>
        <n v="3165"/>
        <n v="3168"/>
        <n v="3169"/>
        <n v="3171"/>
        <n v="3182"/>
        <n v="3186"/>
        <n v="3193"/>
        <n v="3196"/>
        <n v="3206"/>
        <n v="3208"/>
        <n v="3218"/>
        <n v="3223"/>
        <n v="3232"/>
        <n v="3233"/>
        <n v="3245"/>
        <n v="3249"/>
        <n v="3250"/>
        <n v="3254"/>
        <n v="3255"/>
        <n v="3256"/>
        <n v="3258"/>
        <n v="3270"/>
        <n v="3273"/>
        <n v="3279"/>
        <n v="3284"/>
        <n v="3293"/>
        <n v="3295"/>
        <n v="3300"/>
        <n v="3303"/>
        <n v="3304"/>
        <n v="3306"/>
        <n v="3311"/>
        <n v="3319"/>
        <n v="3325"/>
        <n v="3329"/>
        <n v="3330"/>
        <n v="3331"/>
        <n v="3334"/>
        <n v="3339"/>
        <n v="3343"/>
        <n v="3346"/>
        <n v="3349"/>
        <n v="3350"/>
        <n v="3351"/>
        <n v="3357"/>
        <n v="3358"/>
        <n v="3362"/>
        <n v="3369"/>
        <n v="3371"/>
        <n v="3372"/>
        <n v="3373"/>
        <n v="3377"/>
        <n v="3379"/>
        <n v="3380"/>
        <n v="3393"/>
        <n v="3400"/>
        <n v="3406"/>
        <n v="3415"/>
        <n v="3421"/>
        <n v="3424"/>
        <n v="3427"/>
        <n v="3430"/>
        <n v="3432"/>
        <n v="3433"/>
        <n v="3437"/>
        <n v="3438"/>
        <n v="3439"/>
        <n v="3449"/>
        <n v="3450"/>
        <n v="3454"/>
        <n v="3463"/>
        <n v="3468"/>
        <n v="3469"/>
        <n v="3471"/>
        <n v="3472"/>
        <n v="3474"/>
        <n v="3480"/>
        <n v="3483"/>
        <n v="3489"/>
        <n v="3492"/>
        <n v="3493"/>
        <n v="3505"/>
        <n v="3511"/>
        <n v="3512"/>
        <n v="3520"/>
        <n v="3527"/>
        <n v="3529"/>
        <n v="3530"/>
        <n v="3542"/>
        <n v="3543"/>
        <n v="3546"/>
        <n v="3552"/>
        <n v="3556"/>
        <n v="3561"/>
        <n v="3563"/>
        <n v="3566"/>
        <n v="3576"/>
        <n v="3578"/>
        <n v="3582"/>
        <n v="3584"/>
        <n v="3589"/>
        <n v="3591"/>
        <n v="3596"/>
        <n v="3598"/>
        <n v="3600"/>
        <n v="3602"/>
        <n v="3608"/>
        <n v="3611"/>
        <n v="3612"/>
        <n v="3617"/>
        <n v="3626"/>
        <n v="3628"/>
        <n v="3633"/>
        <n v="3638"/>
        <n v="3640"/>
        <n v="3642"/>
        <n v="3643"/>
        <n v="3645"/>
        <n v="3649"/>
        <n v="3651"/>
        <n v="3653"/>
        <n v="3657"/>
        <n v="3658"/>
        <n v="3661"/>
        <n v="3669"/>
        <n v="3671"/>
        <n v="3678"/>
        <n v="3680"/>
        <n v="3685"/>
        <n v="3694"/>
        <n v="3701"/>
        <n v="3702"/>
        <n v="3705"/>
        <n v="3709"/>
        <n v="3712"/>
        <n v="3716"/>
        <n v="3719"/>
        <n v="3724"/>
        <n v="3726"/>
        <n v="3731"/>
        <n v="3732"/>
        <n v="3734"/>
        <n v="3736"/>
        <n v="3749"/>
        <n v="3753"/>
        <n v="3757"/>
        <n v="3759"/>
        <n v="3763"/>
        <n v="3764"/>
        <n v="3768"/>
        <n v="3771"/>
        <n v="3778"/>
        <n v="3779"/>
        <n v="3786"/>
        <n v="3789"/>
        <n v="3791"/>
        <n v="3797"/>
        <n v="3798"/>
        <n v="3801"/>
        <n v="3802"/>
        <n v="3803"/>
        <n v="3805"/>
        <n v="3815"/>
        <n v="3823"/>
        <n v="3824"/>
        <n v="3825"/>
        <n v="3826"/>
        <n v="3827"/>
        <n v="3832"/>
        <n v="3833"/>
        <n v="3834"/>
        <n v="3835"/>
        <n v="3836"/>
        <n v="3843"/>
        <n v="3844"/>
        <n v="3846"/>
        <n v="3847"/>
        <n v="3853"/>
        <n v="3867"/>
        <n v="3868"/>
        <n v="3870"/>
        <n v="3871"/>
        <n v="3875"/>
        <n v="3876"/>
        <n v="3877"/>
        <n v="3879"/>
        <n v="3880"/>
        <n v="3882"/>
        <n v="3890"/>
        <n v="3892"/>
        <n v="3902"/>
        <n v="3914"/>
        <n v="3917"/>
        <n v="3933"/>
        <n v="3940"/>
        <n v="3952"/>
        <n v="3957"/>
        <n v="3959"/>
        <n v="3960"/>
        <n v="3974"/>
        <n v="3977"/>
        <n v="3978"/>
        <n v="3983"/>
        <n v="3987"/>
        <n v="3992"/>
        <n v="3997"/>
        <n v="3999"/>
        <n v="4002"/>
        <n v="4006"/>
        <n v="4007"/>
        <n v="4008"/>
        <n v="4022"/>
        <n v="4024"/>
        <n v="4026"/>
        <n v="4030"/>
        <n v="4031"/>
        <n v="4032"/>
        <n v="4041"/>
        <n v="4060"/>
        <n v="4064"/>
        <n v="4065"/>
        <n v="4066"/>
        <n v="4078"/>
        <n v="4080"/>
        <n v="4081"/>
        <n v="4083"/>
        <n v="4087"/>
        <n v="4088"/>
        <n v="4091"/>
        <n v="4094"/>
        <n v="4100"/>
        <n v="4104"/>
        <n v="4106"/>
        <n v="4107"/>
        <n v="4109"/>
        <n v="4116"/>
        <n v="4124"/>
        <n v="4127"/>
        <n v="4128"/>
        <n v="4133"/>
        <n v="4136"/>
        <n v="4142"/>
        <n v="4143"/>
        <n v="4148"/>
        <n v="4155"/>
        <n v="4159"/>
        <n v="4160"/>
        <n v="4164"/>
        <n v="4166"/>
        <n v="4171"/>
        <n v="4175"/>
        <n v="4179"/>
        <n v="4183"/>
        <n v="4188"/>
        <n v="4192"/>
        <n v="4193"/>
        <n v="4196"/>
        <n v="4204"/>
        <n v="4215"/>
        <n v="4225"/>
        <n v="4226"/>
        <n v="4227"/>
        <n v="4237"/>
        <n v="4242"/>
        <n v="4243"/>
        <n v="4246"/>
        <n v="4247"/>
        <n v="4249"/>
        <n v="4250"/>
        <n v="4265"/>
        <n v="4267"/>
        <n v="4277"/>
        <n v="4278"/>
        <n v="4281"/>
        <n v="4282"/>
        <n v="4283"/>
        <n v="4287"/>
        <n v="4288"/>
        <n v="4289"/>
        <n v="4291"/>
        <n v="4292"/>
        <n v="4296"/>
        <n v="4299"/>
        <n v="4306"/>
        <n v="4307"/>
        <n v="4313"/>
        <n v="4331"/>
        <n v="4332"/>
        <n v="4333"/>
        <n v="4342"/>
        <n v="4346"/>
        <n v="4350"/>
        <n v="4352"/>
        <n v="4355"/>
        <n v="4357"/>
        <n v="4359"/>
        <n v="4362"/>
        <n v="4366"/>
        <n v="4379"/>
        <n v="4383"/>
        <n v="4384"/>
        <n v="4385"/>
        <n v="4389"/>
        <n v="4390"/>
        <n v="4392"/>
        <n v="4395"/>
        <n v="4397"/>
        <n v="4401"/>
        <n v="4404"/>
        <n v="4406"/>
        <n v="4415"/>
        <n v="4416"/>
        <n v="4423"/>
        <n v="4425"/>
        <n v="4430"/>
        <n v="4437"/>
        <n v="4438"/>
        <n v="4441"/>
        <n v="4445"/>
        <n v="4452"/>
        <n v="4453"/>
        <n v="4458"/>
        <n v="4462"/>
        <n v="4464"/>
        <n v="4467"/>
        <n v="4469"/>
        <n v="4470"/>
        <n v="4471"/>
        <n v="4476"/>
        <n v="4478"/>
        <n v="4480"/>
        <n v="4483"/>
        <n v="4489"/>
        <n v="4495"/>
        <n v="4496"/>
        <n v="4499"/>
        <n v="4503"/>
        <n v="4508"/>
        <n v="4510"/>
        <n v="4512"/>
        <n v="4513"/>
        <n v="4516"/>
        <n v="4519"/>
        <n v="4522"/>
        <n v="4523"/>
        <n v="4524"/>
        <n v="4525"/>
        <n v="4533"/>
        <n v="4536"/>
        <n v="4539"/>
        <n v="4541"/>
        <n v="4543"/>
        <n v="4544"/>
        <n v="4549"/>
        <n v="4550"/>
        <n v="4566"/>
        <n v="4573"/>
        <n v="4575"/>
        <n v="4583"/>
        <n v="4584"/>
        <n v="4587"/>
        <n v="4589"/>
        <n v="4598"/>
        <n v="4607"/>
        <n v="4612"/>
        <n v="4615"/>
        <n v="4616"/>
        <n v="4617"/>
        <n v="4619"/>
        <n v="4624"/>
        <n v="4633"/>
        <n v="4635"/>
        <n v="4637"/>
        <n v="4639"/>
        <n v="4640"/>
        <n v="4641"/>
        <n v="4648"/>
        <n v="4650"/>
        <n v="4656"/>
        <n v="4657"/>
        <n v="4658"/>
        <n v="4668"/>
        <n v="4671"/>
        <n v="4675"/>
        <n v="4677"/>
        <n v="4680"/>
        <n v="4703"/>
        <n v="4704"/>
        <n v="4706"/>
        <n v="4708"/>
        <n v="4716"/>
        <n v="4719"/>
        <n v="4725"/>
        <n v="4730"/>
        <n v="4734"/>
        <n v="4735"/>
        <n v="4738"/>
        <n v="4745"/>
        <n v="4746"/>
        <n v="4749"/>
        <n v="4755"/>
        <n v="4756"/>
        <n v="4757"/>
        <n v="4758"/>
        <n v="4759"/>
        <n v="4760"/>
        <n v="4764"/>
        <n v="4770"/>
        <n v="4776"/>
        <n v="4787"/>
        <n v="4789"/>
        <n v="4792"/>
        <n v="4793"/>
        <n v="4795"/>
        <n v="4802"/>
        <n v="4806"/>
        <n v="4807"/>
        <n v="4810"/>
        <n v="4813"/>
        <n v="4814"/>
        <n v="4815"/>
        <n v="4820"/>
        <n v="4824"/>
        <n v="4830"/>
        <n v="4831"/>
        <n v="4841"/>
        <n v="4845"/>
        <n v="4847"/>
        <n v="4854"/>
        <n v="4860"/>
        <n v="4864"/>
        <n v="4868"/>
        <n v="4872"/>
        <n v="4877"/>
        <n v="4887"/>
        <n v="4898"/>
        <n v="4899"/>
        <n v="4906"/>
        <n v="4907"/>
        <n v="4913"/>
        <n v="4916"/>
        <n v="4917"/>
        <n v="4919"/>
        <n v="4922"/>
        <n v="4926"/>
        <n v="4933"/>
        <n v="4935"/>
        <n v="4937"/>
        <n v="4938"/>
        <n v="4939"/>
        <n v="4948"/>
        <n v="4949"/>
        <n v="4957"/>
        <n v="4961"/>
        <n v="4971"/>
        <n v="4981"/>
        <n v="4989"/>
        <n v="4993"/>
        <n v="4994"/>
        <n v="4996"/>
        <n v="5012"/>
        <n v="5016"/>
        <n v="5018"/>
        <n v="5022"/>
        <n v="5025"/>
        <n v="5027"/>
        <n v="5029"/>
        <n v="5032"/>
        <n v="5033"/>
        <n v="5034"/>
        <n v="5035"/>
        <n v="5040"/>
        <n v="5053"/>
        <n v="5057"/>
        <n v="5059"/>
        <n v="5063"/>
        <n v="5064"/>
        <n v="5068"/>
        <n v="5072"/>
        <n v="5076"/>
        <n v="5082"/>
        <n v="5085"/>
        <n v="5086"/>
        <n v="5095"/>
        <n v="5097"/>
        <n v="5109"/>
        <n v="5114"/>
        <n v="5121"/>
        <n v="5130"/>
        <n v="5133"/>
        <n v="5137"/>
        <n v="5140"/>
        <n v="5141"/>
        <n v="5144"/>
        <n v="5145"/>
        <n v="5158"/>
        <n v="5161"/>
        <n v="5162"/>
        <n v="5167"/>
        <n v="5170"/>
        <n v="5172"/>
        <n v="5173"/>
        <n v="5174"/>
        <n v="5176"/>
        <n v="5177"/>
        <n v="5183"/>
        <n v="5184"/>
        <n v="5188"/>
        <n v="5190"/>
        <n v="5197"/>
        <n v="5200"/>
        <n v="5202"/>
        <n v="5206"/>
        <n v="5209"/>
        <n v="5216"/>
        <n v="5217"/>
        <n v="5226"/>
        <n v="5234"/>
        <n v="5241"/>
        <n v="5242"/>
        <n v="5245"/>
        <n v="5248"/>
        <n v="5254"/>
        <n v="5257"/>
        <n v="5261"/>
        <n v="5263"/>
        <n v="5264"/>
        <n v="5268"/>
        <n v="5273"/>
        <n v="5281"/>
        <n v="5282"/>
        <n v="5285"/>
        <n v="5288"/>
        <n v="5290"/>
        <n v="5291"/>
        <n v="5300"/>
        <n v="5306"/>
        <n v="5310"/>
        <n v="5313"/>
        <n v="5314"/>
        <n v="5318"/>
        <n v="5319"/>
        <n v="5325"/>
        <n v="5326"/>
        <n v="5327"/>
        <n v="5328"/>
        <n v="5330"/>
        <n v="5334"/>
        <n v="5338"/>
        <n v="5345"/>
        <n v="5354"/>
        <n v="5355"/>
        <n v="5363"/>
        <n v="5365"/>
        <n v="5371"/>
        <n v="5379"/>
        <n v="5386"/>
        <n v="5387"/>
        <n v="5389"/>
        <n v="5396"/>
        <n v="5404"/>
        <n v="5411"/>
        <n v="5416"/>
        <n v="5418"/>
        <n v="5419"/>
        <n v="5424"/>
        <n v="5425"/>
        <n v="5426"/>
        <n v="5428"/>
        <n v="5430"/>
        <n v="5431"/>
        <n v="5433"/>
        <n v="5435"/>
        <n v="5437"/>
        <n v="5441"/>
        <n v="5442"/>
        <n v="5444"/>
        <n v="5446"/>
        <n v="5455"/>
        <n v="5457"/>
        <n v="5461"/>
        <n v="5465"/>
        <n v="5469"/>
        <n v="5470"/>
        <n v="5483"/>
        <n v="5489"/>
        <n v="5490"/>
        <n v="5494"/>
        <n v="5498"/>
        <n v="5500"/>
        <n v="5504"/>
        <n v="5507"/>
        <n v="5515"/>
        <n v="5519"/>
        <n v="5524"/>
        <n v="5527"/>
        <n v="5531"/>
        <n v="5536"/>
        <n v="5538"/>
        <n v="5539"/>
        <n v="5540"/>
        <n v="5545"/>
        <n v="5552"/>
        <n v="5554"/>
        <n v="5556"/>
        <n v="5559"/>
        <n v="5563"/>
        <n v="5564"/>
        <n v="5567"/>
        <n v="5568"/>
        <n v="5580"/>
        <n v="5582"/>
        <n v="5583"/>
        <n v="5584"/>
        <n v="5586"/>
        <n v="5592"/>
        <n v="5605"/>
        <n v="5610"/>
        <n v="5625"/>
        <n v="5643"/>
        <n v="5648"/>
        <n v="5658"/>
        <n v="5660"/>
        <n v="5663"/>
        <n v="5666"/>
        <n v="5668"/>
        <n v="5669"/>
        <n v="5677"/>
        <n v="5681"/>
        <n v="5683"/>
        <n v="5686"/>
        <n v="5689"/>
        <n v="5691"/>
        <n v="5693"/>
        <n v="5696"/>
        <n v="5698"/>
        <n v="5700"/>
        <n v="5705"/>
        <n v="5707"/>
        <n v="5708"/>
        <n v="5709"/>
        <n v="5710"/>
        <n v="5713"/>
        <n v="5714"/>
        <n v="5720"/>
        <n v="5723"/>
        <n v="5735"/>
        <n v="5739"/>
        <n v="5741"/>
        <n v="5742"/>
        <n v="5743"/>
        <n v="5745"/>
        <n v="5746"/>
        <n v="5750"/>
        <n v="5757"/>
        <n v="5761"/>
        <n v="5762"/>
        <n v="5767"/>
        <n v="5774"/>
        <n v="5775"/>
        <n v="5776"/>
        <n v="5781"/>
        <n v="5790"/>
        <n v="5796"/>
        <n v="5812"/>
        <n v="5814"/>
        <n v="5817"/>
        <n v="5819"/>
        <n v="5821"/>
        <n v="5823"/>
        <n v="5825"/>
        <n v="5830"/>
        <n v="5831"/>
        <n v="5839"/>
        <n v="5840"/>
        <n v="5841"/>
        <n v="5843"/>
        <n v="5848"/>
        <n v="5853"/>
        <n v="5856"/>
        <n v="5861"/>
        <n v="5865"/>
        <n v="5876"/>
        <n v="5880"/>
        <n v="5884"/>
        <n v="5896"/>
        <n v="5898"/>
        <n v="5900"/>
        <n v="5901"/>
        <n v="5903"/>
        <n v="5907"/>
        <n v="5908"/>
        <n v="5910"/>
        <n v="5924"/>
        <n v="5928"/>
        <n v="5930"/>
        <n v="5931"/>
        <n v="5934"/>
        <n v="5942"/>
        <n v="5953"/>
        <n v="5954"/>
        <n v="5961"/>
        <n v="5962"/>
        <n v="5964"/>
        <n v="5970"/>
        <n v="5972"/>
        <n v="5976"/>
        <n v="5983"/>
        <n v="5984"/>
        <n v="5986"/>
        <n v="5987"/>
        <n v="5988"/>
        <n v="5994"/>
        <n v="5998"/>
        <n v="5999"/>
        <n v="6001"/>
        <n v="6003"/>
        <n v="6005"/>
        <n v="6010"/>
        <n v="6011"/>
        <n v="6012"/>
        <n v="6019"/>
        <n v="6021"/>
        <n v="6023"/>
        <n v="6028"/>
        <n v="6033"/>
        <n v="6039"/>
        <n v="6040"/>
        <n v="6042"/>
        <n v="6045"/>
        <n v="6047"/>
        <n v="6057"/>
        <n v="6058"/>
        <n v="6059"/>
        <n v="6060"/>
        <n v="6064"/>
        <n v="6068"/>
        <n v="6072"/>
        <n v="6073"/>
        <n v="6074"/>
        <n v="6084"/>
        <n v="6088"/>
        <n v="6089"/>
        <n v="6094"/>
        <n v="6100"/>
        <n v="6101"/>
        <n v="6102"/>
        <n v="6107"/>
        <n v="6110"/>
        <n v="6112"/>
        <n v="6113"/>
        <n v="6116"/>
        <n v="6122"/>
        <n v="6124"/>
        <n v="6128"/>
        <n v="6129"/>
        <n v="6132"/>
        <n v="6149"/>
        <n v="6150"/>
        <n v="6158"/>
        <n v="6162"/>
        <n v="6164"/>
        <n v="6165"/>
        <n v="6170"/>
        <n v="6171"/>
        <n v="6185"/>
        <n v="6190"/>
        <n v="6197"/>
        <n v="6205"/>
        <n v="6209"/>
        <n v="6212"/>
        <n v="6213"/>
        <n v="6215"/>
        <n v="6216"/>
        <n v="6218"/>
        <n v="6221"/>
        <n v="6232"/>
        <n v="6234"/>
        <n v="6235"/>
        <n v="6237"/>
        <n v="6240"/>
        <n v="6243"/>
        <n v="6252"/>
        <n v="6264"/>
        <n v="6272"/>
        <n v="6276"/>
        <n v="6277"/>
        <n v="6281"/>
        <n v="6282"/>
        <n v="6283"/>
        <n v="6284"/>
        <n v="6287"/>
        <n v="6299"/>
        <n v="6300"/>
        <n v="6307"/>
        <n v="6308"/>
        <n v="6313"/>
        <n v="6315"/>
        <n v="6316"/>
        <n v="6319"/>
        <n v="6323"/>
        <n v="6326"/>
        <n v="6327"/>
        <n v="6329"/>
        <n v="6334"/>
        <n v="6340"/>
        <n v="6349"/>
        <n v="6350"/>
        <n v="6351"/>
        <n v="6356"/>
        <n v="6362"/>
        <n v="6370"/>
        <n v="6373"/>
        <n v="6377"/>
        <n v="6378"/>
        <n v="6381"/>
        <n v="6387"/>
        <n v="6392"/>
        <n v="6393"/>
        <n v="6396"/>
        <n v="6399"/>
        <n v="6404"/>
        <n v="6406"/>
        <n v="6411"/>
        <n v="6414"/>
        <n v="6418"/>
        <n v="6423"/>
        <n v="6427"/>
        <n v="6428"/>
        <n v="6429"/>
        <n v="6430"/>
        <n v="6433"/>
        <n v="6435"/>
        <n v="6436"/>
        <n v="6437"/>
        <n v="6440"/>
        <n v="6441"/>
        <n v="6443"/>
        <n v="6449"/>
        <n v="6452"/>
        <n v="6456"/>
        <n v="6457"/>
        <n v="6459"/>
        <n v="6464"/>
        <n v="6465"/>
        <n v="6467"/>
        <n v="6468"/>
        <n v="6471"/>
        <n v="6472"/>
        <n v="6475"/>
        <n v="6478"/>
        <n v="6482"/>
        <n v="6484"/>
        <n v="6489"/>
        <n v="6497"/>
        <n v="6509"/>
        <n v="6511"/>
        <n v="6512"/>
        <n v="6513"/>
        <n v="6522"/>
        <n v="6523"/>
        <n v="6530"/>
        <n v="6531"/>
        <n v="6534"/>
        <n v="6548"/>
        <n v="6551"/>
        <n v="6554"/>
        <n v="6556"/>
        <n v="6565"/>
        <n v="6574"/>
        <n v="6591"/>
        <n v="6601"/>
        <n v="6603"/>
        <n v="6617"/>
        <n v="6618"/>
        <n v="6635"/>
        <n v="6640"/>
        <n v="6641"/>
        <n v="6648"/>
        <n v="6652"/>
        <n v="6661"/>
        <n v="6665"/>
        <n v="6666"/>
        <n v="6671"/>
        <n v="6672"/>
        <n v="6673"/>
        <n v="6675"/>
        <n v="6683"/>
        <n v="6686"/>
        <n v="6688"/>
        <n v="6690"/>
        <n v="6692"/>
        <n v="6693"/>
        <n v="6694"/>
        <n v="6705"/>
        <n v="6708"/>
        <n v="6709"/>
        <n v="6710"/>
        <n v="6711"/>
        <n v="6713"/>
        <n v="6715"/>
        <n v="6717"/>
        <n v="6719"/>
        <n v="6721"/>
        <n v="6731"/>
        <n v="6733"/>
        <n v="6743"/>
        <n v="6750"/>
        <n v="6751"/>
        <n v="6754"/>
        <n v="6756"/>
        <n v="6767"/>
        <n v="6769"/>
        <n v="6770"/>
        <n v="6772"/>
        <n v="6774"/>
        <n v="6778"/>
        <n v="6779"/>
        <n v="6780"/>
        <n v="6783"/>
        <n v="6787"/>
        <n v="6789"/>
        <n v="6790"/>
        <n v="6792"/>
        <n v="6793"/>
        <n v="6800"/>
        <n v="6816"/>
        <n v="6818"/>
        <n v="6820"/>
        <n v="6823"/>
        <n v="6828"/>
        <n v="6837"/>
        <n v="6839"/>
        <n v="6842"/>
        <n v="6851"/>
        <n v="6852"/>
        <n v="6854"/>
        <n v="6855"/>
        <n v="6857"/>
        <n v="6858"/>
        <n v="6860"/>
        <n v="6878"/>
        <n v="6879"/>
        <n v="6880"/>
        <n v="6882"/>
        <n v="6885"/>
        <n v="6889"/>
        <n v="6891"/>
        <n v="6895"/>
        <n v="6901"/>
        <n v="6902"/>
        <n v="6903"/>
        <n v="6910"/>
        <n v="6912"/>
        <n v="6915"/>
        <n v="6922"/>
        <n v="6925"/>
        <n v="6930"/>
        <n v="6931"/>
        <n v="6937"/>
        <n v="6941"/>
        <n v="6942"/>
        <n v="6946"/>
        <n v="6948"/>
        <n v="6953"/>
        <n v="6956"/>
        <n v="6957"/>
        <n v="6964"/>
        <n v="6969"/>
        <n v="6970"/>
        <n v="6975"/>
        <n v="6979"/>
        <n v="6986"/>
        <n v="6987"/>
        <n v="6988"/>
        <n v="6992"/>
        <n v="6993"/>
        <n v="6998"/>
        <n v="7000"/>
        <n v="7002"/>
        <n v="7009"/>
        <n v="7015"/>
        <n v="7016"/>
        <n v="7024"/>
        <n v="7025"/>
        <n v="7038"/>
        <n v="7044"/>
        <n v="7053"/>
        <n v="7054"/>
        <n v="7061"/>
        <n v="7064"/>
        <n v="7068"/>
        <n v="7070"/>
        <n v="7074"/>
        <n v="7077"/>
        <n v="7085"/>
        <n v="7088"/>
        <n v="7091"/>
        <n v="7094"/>
        <n v="7098"/>
        <n v="7099"/>
        <n v="7111"/>
        <n v="7116"/>
        <n v="7119"/>
        <n v="7124"/>
        <n v="7130"/>
        <n v="7142"/>
        <n v="7144"/>
        <n v="7145"/>
        <n v="7147"/>
        <n v="7152"/>
        <n v="7159"/>
        <n v="7160"/>
        <n v="7161"/>
        <n v="7164"/>
        <n v="7171"/>
        <n v="7173"/>
        <n v="7176"/>
        <n v="7179"/>
        <n v="7184"/>
        <n v="7190"/>
        <n v="7197"/>
        <n v="7199"/>
        <n v="7201"/>
        <n v="7213"/>
        <n v="7217"/>
        <n v="7218"/>
        <n v="7219"/>
        <n v="7231"/>
        <n v="7235"/>
        <n v="7236"/>
        <n v="7239"/>
        <n v="7250"/>
        <n v="7253"/>
        <n v="7262"/>
        <n v="7270"/>
        <n v="7272"/>
        <n v="7279"/>
        <n v="7282"/>
        <n v="7284"/>
        <n v="7285"/>
        <n v="7291"/>
        <n v="7294"/>
        <n v="7295"/>
        <n v="7297"/>
        <n v="7303"/>
        <n v="7306"/>
        <n v="7313"/>
        <n v="7315"/>
        <n v="7316"/>
        <n v="7317"/>
        <n v="7318"/>
        <n v="7320"/>
        <n v="7321"/>
        <n v="7328"/>
        <n v="7337"/>
        <n v="7339"/>
        <n v="7341"/>
        <n v="7348"/>
        <n v="7350"/>
        <n v="7352"/>
        <n v="7356"/>
        <n v="7366"/>
        <n v="7369"/>
        <n v="7375"/>
        <n v="7382"/>
        <n v="7386"/>
        <n v="7391"/>
        <n v="7397"/>
        <n v="7411"/>
        <n v="7417"/>
        <n v="7423"/>
        <n v="7424"/>
        <n v="7428"/>
        <n v="7431"/>
        <n v="7436"/>
        <n v="7438"/>
        <n v="7440"/>
        <n v="7449"/>
        <n v="7450"/>
        <n v="7460"/>
        <n v="7461"/>
        <n v="7462"/>
        <n v="7465"/>
        <n v="7470"/>
        <n v="7471"/>
        <n v="7474"/>
        <n v="7480"/>
        <n v="7481"/>
        <n v="7482"/>
        <n v="7484"/>
        <n v="7485"/>
        <n v="7490"/>
        <n v="7491"/>
        <n v="7494"/>
        <n v="7502"/>
        <n v="7505"/>
        <n v="7506"/>
        <n v="7507"/>
        <n v="7510"/>
        <n v="7511"/>
        <n v="7514"/>
        <n v="7515"/>
        <n v="7517"/>
        <n v="7520"/>
        <n v="7531"/>
        <n v="7538"/>
        <n v="7543"/>
        <n v="7550"/>
        <n v="7557"/>
        <n v="7562"/>
        <n v="7563"/>
        <n v="7568"/>
        <n v="7569"/>
        <n v="7575"/>
        <n v="7581"/>
        <n v="7586"/>
        <n v="7587"/>
        <n v="7590"/>
        <n v="7591"/>
        <n v="7592"/>
        <n v="7595"/>
        <n v="7610"/>
        <n v="7614"/>
        <n v="7616"/>
        <n v="7621"/>
        <n v="7623"/>
        <n v="7628"/>
        <n v="7631"/>
        <n v="7633"/>
        <n v="7640"/>
        <n v="7642"/>
        <n v="7643"/>
        <n v="7648"/>
        <n v="7651"/>
        <n v="7653"/>
        <n v="7671"/>
        <n v="7675"/>
        <n v="7687"/>
        <n v="7691"/>
        <n v="7693"/>
        <n v="7699"/>
        <n v="7703"/>
        <n v="7704"/>
        <n v="7713"/>
        <n v="7718"/>
        <n v="7719"/>
        <n v="7725"/>
        <n v="7728"/>
        <n v="7729"/>
        <n v="7733"/>
        <n v="7744"/>
        <n v="7745"/>
        <n v="7748"/>
        <n v="7749"/>
        <n v="7755"/>
        <n v="7756"/>
        <n v="7757"/>
        <n v="7766"/>
        <n v="7768"/>
        <n v="7769"/>
        <n v="7771"/>
        <n v="7772"/>
        <n v="7776"/>
        <n v="7777"/>
        <n v="7779"/>
        <n v="7783"/>
        <n v="7787"/>
        <n v="7788"/>
        <n v="7789"/>
        <n v="7798"/>
        <n v="7811"/>
        <n v="7812"/>
        <n v="7813"/>
        <n v="7814"/>
        <n v="7821"/>
        <n v="7826"/>
        <n v="7829"/>
        <n v="7832"/>
        <n v="7833"/>
        <n v="7834"/>
        <n v="7836"/>
        <n v="7846"/>
        <n v="7847"/>
        <n v="7851"/>
        <n v="7852"/>
        <n v="7854"/>
        <n v="7856"/>
        <n v="7857"/>
        <n v="7863"/>
        <n v="7870"/>
        <n v="7871"/>
        <n v="7882"/>
        <n v="7887"/>
        <n v="7889"/>
        <n v="7891"/>
        <n v="7893"/>
        <n v="7895"/>
        <n v="7896"/>
        <n v="7902"/>
        <n v="7908"/>
        <n v="7909"/>
        <n v="7924"/>
        <n v="7927"/>
        <n v="7937"/>
        <n v="7939"/>
        <n v="7960"/>
        <n v="7970"/>
        <n v="7976"/>
        <n v="7978"/>
        <n v="7980"/>
        <n v="7990"/>
        <n v="7993"/>
        <n v="7994"/>
        <n v="7998"/>
        <n v="8000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6" maxValue="59"/>
    </cacheField>
    <cacheField name="country" numFmtId="0">
      <sharedItems/>
    </cacheField>
    <cacheField name="subscription_type" numFmtId="0">
      <sharedItems/>
    </cacheField>
    <cacheField name="listening_time" numFmtId="0">
      <sharedItems containsSemiMixedTypes="0" containsString="0" containsNumber="1" containsInteger="1" minValue="10" maxValue="299"/>
    </cacheField>
    <cacheField name="songs_played_per_day" numFmtId="0">
      <sharedItems containsSemiMixedTypes="0" containsString="0" containsNumber="1" containsInteger="1" minValue="1" maxValue="99"/>
    </cacheField>
    <cacheField name="skip_rate" numFmtId="0">
      <sharedItems containsSemiMixedTypes="0" containsString="0" containsNumber="1" minValue="0" maxValue="0.6"/>
    </cacheField>
    <cacheField name="device_type" numFmtId="0">
      <sharedItems/>
    </cacheField>
    <cacheField name="ads_listened_per_week" numFmtId="0">
      <sharedItems containsSemiMixedTypes="0" containsString="0" containsNumber="1" containsInteger="1" minValue="5" maxValue="49"/>
    </cacheField>
    <cacheField name="offline_listening" numFmtId="0">
      <sharedItems containsSemiMixedTypes="0" containsString="0" containsNumber="1" containsInteger="1" minValue="0" maxValue="0"/>
    </cacheField>
    <cacheField name="is_churned" numFmtId="0">
      <sharedItems containsSemiMixedTypes="0" containsString="0" containsNumber="1" containsInteger="1" minValue="0" maxValue="1"/>
    </cacheField>
    <cacheField name="Monthly Price" numFmtId="0">
      <sharedItems containsSemiMixedTypes="0" containsString="0" containsNumber="1" containsInteger="1" minValue="0" maxValue="0"/>
    </cacheField>
    <cacheField name="Lost Revenue" numFmtId="0">
      <sharedItems containsSemiMixedTypes="0" containsString="0" containsNumber="1" containsInteger="1" minValue="0" maxValue="0"/>
    </cacheField>
    <cacheField name="Ad_bucket" numFmtId="0">
      <sharedItems count="5">
        <s v="30 - 39"/>
        <s v="10 - 19"/>
        <s v="0 - 9"/>
        <s v="40 - 49"/>
        <s v="20 - 2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n v="1"/>
    <s v="Female"/>
    <n v="54"/>
    <x v="0"/>
    <x v="0"/>
    <n v="26"/>
    <n v="23"/>
    <n v="0.2"/>
    <s v="Desktop"/>
    <n v="31"/>
    <n v="0"/>
    <n v="1"/>
    <n v="0"/>
    <n v="0"/>
  </r>
  <r>
    <n v="2"/>
    <s v="Other"/>
    <n v="33"/>
    <x v="1"/>
    <x v="1"/>
    <n v="141"/>
    <n v="62"/>
    <n v="0.34"/>
    <s v="Web"/>
    <n v="0"/>
    <n v="1"/>
    <n v="0"/>
    <n v="14.99"/>
    <n v="0"/>
  </r>
  <r>
    <n v="3"/>
    <s v="Male"/>
    <n v="38"/>
    <x v="2"/>
    <x v="2"/>
    <n v="199"/>
    <n v="38"/>
    <n v="0.04"/>
    <s v="Mobile"/>
    <n v="0"/>
    <n v="1"/>
    <n v="1"/>
    <n v="9.99"/>
    <n v="9.99"/>
  </r>
  <r>
    <n v="4"/>
    <s v="Female"/>
    <n v="22"/>
    <x v="0"/>
    <x v="3"/>
    <n v="36"/>
    <n v="2"/>
    <n v="0.31"/>
    <s v="Mobile"/>
    <n v="0"/>
    <n v="1"/>
    <n v="0"/>
    <n v="4.99"/>
    <n v="0"/>
  </r>
  <r>
    <n v="5"/>
    <s v="Other"/>
    <n v="29"/>
    <x v="3"/>
    <x v="1"/>
    <n v="250"/>
    <n v="57"/>
    <n v="0.36"/>
    <s v="Mobile"/>
    <n v="0"/>
    <n v="1"/>
    <n v="1"/>
    <n v="14.99"/>
    <n v="14.99"/>
  </r>
  <r>
    <n v="6"/>
    <s v="Female"/>
    <n v="17"/>
    <x v="2"/>
    <x v="0"/>
    <n v="219"/>
    <n v="35"/>
    <n v="0.46"/>
    <s v="Desktop"/>
    <n v="13"/>
    <n v="0"/>
    <n v="0"/>
    <n v="0"/>
    <n v="0"/>
  </r>
  <r>
    <n v="7"/>
    <s v="Female"/>
    <n v="39"/>
    <x v="4"/>
    <x v="2"/>
    <n v="289"/>
    <n v="44"/>
    <n v="0.38"/>
    <s v="Desktop"/>
    <n v="0"/>
    <n v="1"/>
    <n v="0"/>
    <n v="9.99"/>
    <n v="0"/>
  </r>
  <r>
    <n v="8"/>
    <s v="Female"/>
    <n v="41"/>
    <x v="4"/>
    <x v="0"/>
    <n v="210"/>
    <n v="68"/>
    <n v="0.11"/>
    <s v="Mobile"/>
    <n v="5"/>
    <n v="0"/>
    <n v="0"/>
    <n v="0"/>
    <n v="0"/>
  </r>
  <r>
    <n v="9"/>
    <s v="Other"/>
    <n v="55"/>
    <x v="1"/>
    <x v="3"/>
    <n v="50"/>
    <n v="66"/>
    <n v="0.28999999999999998"/>
    <s v="Web"/>
    <n v="0"/>
    <n v="1"/>
    <n v="0"/>
    <n v="4.99"/>
    <n v="0"/>
  </r>
  <r>
    <n v="10"/>
    <s v="Male"/>
    <n v="44"/>
    <x v="1"/>
    <x v="0"/>
    <n v="278"/>
    <n v="94"/>
    <n v="0.38"/>
    <s v="Mobile"/>
    <n v="44"/>
    <n v="0"/>
    <n v="0"/>
    <n v="0"/>
    <n v="0"/>
  </r>
  <r>
    <n v="11"/>
    <s v="Other"/>
    <n v="33"/>
    <x v="1"/>
    <x v="0"/>
    <n v="86"/>
    <n v="44"/>
    <n v="0.11"/>
    <s v="Web"/>
    <n v="37"/>
    <n v="0"/>
    <n v="0"/>
    <n v="0"/>
    <n v="0"/>
  </r>
  <r>
    <n v="12"/>
    <s v="Other"/>
    <n v="24"/>
    <x v="0"/>
    <x v="0"/>
    <n v="113"/>
    <n v="24"/>
    <n v="0.56000000000000005"/>
    <s v="Desktop"/>
    <n v="39"/>
    <n v="0"/>
    <n v="1"/>
    <n v="0"/>
    <n v="0"/>
  </r>
  <r>
    <n v="13"/>
    <s v="Female"/>
    <n v="37"/>
    <x v="5"/>
    <x v="1"/>
    <n v="24"/>
    <n v="86"/>
    <n v="0.11"/>
    <s v="Desktop"/>
    <n v="0"/>
    <n v="1"/>
    <n v="0"/>
    <n v="14.99"/>
    <n v="0"/>
  </r>
  <r>
    <n v="14"/>
    <s v="Female"/>
    <n v="53"/>
    <x v="3"/>
    <x v="2"/>
    <n v="45"/>
    <n v="47"/>
    <n v="0.6"/>
    <s v="Web"/>
    <n v="0"/>
    <n v="1"/>
    <n v="0"/>
    <n v="9.99"/>
    <n v="0"/>
  </r>
  <r>
    <n v="15"/>
    <s v="Other"/>
    <n v="37"/>
    <x v="5"/>
    <x v="1"/>
    <n v="114"/>
    <n v="13"/>
    <n v="0.44"/>
    <s v="Web"/>
    <n v="0"/>
    <n v="1"/>
    <n v="1"/>
    <n v="14.99"/>
    <n v="14.99"/>
  </r>
  <r>
    <n v="16"/>
    <s v="Male"/>
    <n v="25"/>
    <x v="6"/>
    <x v="3"/>
    <n v="230"/>
    <n v="25"/>
    <n v="0.26"/>
    <s v="Desktop"/>
    <n v="0"/>
    <n v="1"/>
    <n v="0"/>
    <n v="4.99"/>
    <n v="0"/>
  </r>
  <r>
    <n v="17"/>
    <s v="Female"/>
    <n v="36"/>
    <x v="1"/>
    <x v="3"/>
    <n v="181"/>
    <n v="93"/>
    <n v="0.23"/>
    <s v="Mobile"/>
    <n v="0"/>
    <n v="1"/>
    <n v="0"/>
    <n v="4.99"/>
    <n v="0"/>
  </r>
  <r>
    <n v="18"/>
    <s v="Male"/>
    <n v="58"/>
    <x v="3"/>
    <x v="1"/>
    <n v="120"/>
    <n v="8"/>
    <n v="0.41"/>
    <s v="Desktop"/>
    <n v="0"/>
    <n v="1"/>
    <n v="0"/>
    <n v="14.99"/>
    <n v="0"/>
  </r>
  <r>
    <n v="19"/>
    <s v="Female"/>
    <n v="34"/>
    <x v="1"/>
    <x v="1"/>
    <n v="160"/>
    <n v="32"/>
    <n v="0.35"/>
    <s v="Mobile"/>
    <n v="0"/>
    <n v="1"/>
    <n v="0"/>
    <n v="14.99"/>
    <n v="0"/>
  </r>
  <r>
    <n v="20"/>
    <s v="Male"/>
    <n v="35"/>
    <x v="4"/>
    <x v="3"/>
    <n v="281"/>
    <n v="51"/>
    <n v="0.35"/>
    <s v="Desktop"/>
    <n v="0"/>
    <n v="1"/>
    <n v="0"/>
    <n v="4.99"/>
    <n v="0"/>
  </r>
  <r>
    <n v="21"/>
    <s v="Female"/>
    <n v="33"/>
    <x v="2"/>
    <x v="3"/>
    <n v="138"/>
    <n v="60"/>
    <n v="0.6"/>
    <s v="Web"/>
    <n v="0"/>
    <n v="1"/>
    <n v="0"/>
    <n v="4.99"/>
    <n v="0"/>
  </r>
  <r>
    <n v="22"/>
    <s v="Male"/>
    <n v="49"/>
    <x v="2"/>
    <x v="2"/>
    <n v="20"/>
    <n v="7"/>
    <n v="0.45"/>
    <s v="Desktop"/>
    <n v="0"/>
    <n v="1"/>
    <n v="0"/>
    <n v="9.99"/>
    <n v="0"/>
  </r>
  <r>
    <n v="23"/>
    <s v="Female"/>
    <n v="45"/>
    <x v="7"/>
    <x v="1"/>
    <n v="138"/>
    <n v="95"/>
    <n v="0.1"/>
    <s v="Desktop"/>
    <n v="0"/>
    <n v="1"/>
    <n v="0"/>
    <n v="14.99"/>
    <n v="0"/>
  </r>
  <r>
    <n v="24"/>
    <s v="Male"/>
    <n v="44"/>
    <x v="0"/>
    <x v="1"/>
    <n v="134"/>
    <n v="97"/>
    <n v="0.42"/>
    <s v="Web"/>
    <n v="0"/>
    <n v="1"/>
    <n v="0"/>
    <n v="14.99"/>
    <n v="0"/>
  </r>
  <r>
    <n v="25"/>
    <s v="Other"/>
    <n v="32"/>
    <x v="0"/>
    <x v="2"/>
    <n v="133"/>
    <n v="22"/>
    <n v="0.59"/>
    <s v="Desktop"/>
    <n v="0"/>
    <n v="1"/>
    <n v="0"/>
    <n v="9.99"/>
    <n v="0"/>
  </r>
  <r>
    <n v="26"/>
    <s v="Female"/>
    <n v="19"/>
    <x v="3"/>
    <x v="3"/>
    <n v="39"/>
    <n v="29"/>
    <n v="0.53"/>
    <s v="Desktop"/>
    <n v="0"/>
    <n v="1"/>
    <n v="0"/>
    <n v="4.99"/>
    <n v="0"/>
  </r>
  <r>
    <n v="27"/>
    <s v="Male"/>
    <n v="28"/>
    <x v="5"/>
    <x v="0"/>
    <n v="293"/>
    <n v="67"/>
    <n v="0.33"/>
    <s v="Mobile"/>
    <n v="23"/>
    <n v="0"/>
    <n v="1"/>
    <n v="0"/>
    <n v="0"/>
  </r>
  <r>
    <n v="28"/>
    <s v="Other"/>
    <n v="58"/>
    <x v="6"/>
    <x v="0"/>
    <n v="15"/>
    <n v="55"/>
    <n v="0.3"/>
    <s v="Mobile"/>
    <n v="35"/>
    <n v="0"/>
    <n v="0"/>
    <n v="0"/>
    <n v="0"/>
  </r>
  <r>
    <n v="29"/>
    <s v="Male"/>
    <n v="33"/>
    <x v="6"/>
    <x v="0"/>
    <n v="123"/>
    <n v="13"/>
    <n v="0.22"/>
    <s v="Desktop"/>
    <n v="7"/>
    <n v="0"/>
    <n v="0"/>
    <n v="0"/>
    <n v="0"/>
  </r>
  <r>
    <n v="30"/>
    <s v="Female"/>
    <n v="22"/>
    <x v="6"/>
    <x v="2"/>
    <n v="18"/>
    <n v="12"/>
    <n v="0.39"/>
    <s v="Mobile"/>
    <n v="0"/>
    <n v="1"/>
    <n v="0"/>
    <n v="9.99"/>
    <n v="0"/>
  </r>
  <r>
    <n v="31"/>
    <s v="Other"/>
    <n v="44"/>
    <x v="4"/>
    <x v="2"/>
    <n v="149"/>
    <n v="45"/>
    <n v="0.22"/>
    <s v="Web"/>
    <n v="0"/>
    <n v="1"/>
    <n v="0"/>
    <n v="9.99"/>
    <n v="0"/>
  </r>
  <r>
    <n v="32"/>
    <s v="Male"/>
    <n v="53"/>
    <x v="3"/>
    <x v="3"/>
    <n v="72"/>
    <n v="12"/>
    <n v="0.17"/>
    <s v="Web"/>
    <n v="0"/>
    <n v="1"/>
    <n v="0"/>
    <n v="4.99"/>
    <n v="0"/>
  </r>
  <r>
    <n v="33"/>
    <s v="Female"/>
    <n v="49"/>
    <x v="5"/>
    <x v="2"/>
    <n v="291"/>
    <n v="74"/>
    <n v="0.11"/>
    <s v="Mobile"/>
    <n v="0"/>
    <n v="1"/>
    <n v="0"/>
    <n v="9.99"/>
    <n v="0"/>
  </r>
  <r>
    <n v="34"/>
    <s v="Male"/>
    <n v="49"/>
    <x v="3"/>
    <x v="1"/>
    <n v="147"/>
    <n v="52"/>
    <n v="0.43"/>
    <s v="Web"/>
    <n v="0"/>
    <n v="1"/>
    <n v="0"/>
    <n v="14.99"/>
    <n v="0"/>
  </r>
  <r>
    <n v="35"/>
    <s v="Female"/>
    <n v="55"/>
    <x v="6"/>
    <x v="2"/>
    <n v="18"/>
    <n v="2"/>
    <n v="0.04"/>
    <s v="Mobile"/>
    <n v="0"/>
    <n v="1"/>
    <n v="0"/>
    <n v="9.99"/>
    <n v="0"/>
  </r>
  <r>
    <n v="36"/>
    <s v="Other"/>
    <n v="24"/>
    <x v="1"/>
    <x v="0"/>
    <n v="59"/>
    <n v="53"/>
    <n v="0.18"/>
    <s v="Web"/>
    <n v="28"/>
    <n v="0"/>
    <n v="1"/>
    <n v="0"/>
    <n v="0"/>
  </r>
  <r>
    <n v="37"/>
    <s v="Male"/>
    <n v="22"/>
    <x v="1"/>
    <x v="3"/>
    <n v="280"/>
    <n v="99"/>
    <n v="0.28999999999999998"/>
    <s v="Desktop"/>
    <n v="0"/>
    <n v="1"/>
    <n v="0"/>
    <n v="4.99"/>
    <n v="0"/>
  </r>
  <r>
    <n v="38"/>
    <s v="Female"/>
    <n v="50"/>
    <x v="3"/>
    <x v="1"/>
    <n v="117"/>
    <n v="98"/>
    <n v="0.04"/>
    <s v="Mobile"/>
    <n v="0"/>
    <n v="1"/>
    <n v="0"/>
    <n v="14.99"/>
    <n v="0"/>
  </r>
  <r>
    <n v="39"/>
    <s v="Female"/>
    <n v="42"/>
    <x v="1"/>
    <x v="1"/>
    <n v="47"/>
    <n v="59"/>
    <n v="0.06"/>
    <s v="Desktop"/>
    <n v="0"/>
    <n v="1"/>
    <n v="0"/>
    <n v="14.99"/>
    <n v="0"/>
  </r>
  <r>
    <n v="40"/>
    <s v="Male"/>
    <n v="17"/>
    <x v="1"/>
    <x v="1"/>
    <n v="260"/>
    <n v="44"/>
    <n v="0.5"/>
    <s v="Desktop"/>
    <n v="0"/>
    <n v="1"/>
    <n v="1"/>
    <n v="14.99"/>
    <n v="14.99"/>
  </r>
  <r>
    <n v="41"/>
    <s v="Female"/>
    <n v="51"/>
    <x v="4"/>
    <x v="2"/>
    <n v="122"/>
    <n v="16"/>
    <n v="0.54"/>
    <s v="Desktop"/>
    <n v="0"/>
    <n v="1"/>
    <n v="0"/>
    <n v="9.99"/>
    <n v="0"/>
  </r>
  <r>
    <n v="42"/>
    <s v="Female"/>
    <n v="46"/>
    <x v="3"/>
    <x v="3"/>
    <n v="255"/>
    <n v="14"/>
    <n v="0.39"/>
    <s v="Desktop"/>
    <n v="0"/>
    <n v="1"/>
    <n v="0"/>
    <n v="4.99"/>
    <n v="0"/>
  </r>
  <r>
    <n v="43"/>
    <s v="Male"/>
    <n v="22"/>
    <x v="1"/>
    <x v="1"/>
    <n v="49"/>
    <n v="39"/>
    <n v="0.51"/>
    <s v="Mobile"/>
    <n v="0"/>
    <n v="1"/>
    <n v="0"/>
    <n v="14.99"/>
    <n v="0"/>
  </r>
  <r>
    <n v="44"/>
    <s v="Male"/>
    <n v="37"/>
    <x v="1"/>
    <x v="1"/>
    <n v="90"/>
    <n v="89"/>
    <n v="0.4"/>
    <s v="Mobile"/>
    <n v="0"/>
    <n v="1"/>
    <n v="0"/>
    <n v="14.99"/>
    <n v="0"/>
  </r>
  <r>
    <n v="45"/>
    <s v="Male"/>
    <n v="39"/>
    <x v="7"/>
    <x v="1"/>
    <n v="288"/>
    <n v="69"/>
    <n v="0.48"/>
    <s v="Web"/>
    <n v="0"/>
    <n v="1"/>
    <n v="0"/>
    <n v="14.99"/>
    <n v="0"/>
  </r>
  <r>
    <n v="46"/>
    <s v="Female"/>
    <n v="18"/>
    <x v="7"/>
    <x v="2"/>
    <n v="255"/>
    <n v="3"/>
    <n v="0.39"/>
    <s v="Web"/>
    <n v="0"/>
    <n v="1"/>
    <n v="0"/>
    <n v="9.99"/>
    <n v="0"/>
  </r>
  <r>
    <n v="47"/>
    <s v="Female"/>
    <n v="56"/>
    <x v="0"/>
    <x v="3"/>
    <n v="255"/>
    <n v="75"/>
    <n v="0.57999999999999996"/>
    <s v="Desktop"/>
    <n v="0"/>
    <n v="1"/>
    <n v="0"/>
    <n v="4.99"/>
    <n v="0"/>
  </r>
  <r>
    <n v="48"/>
    <s v="Male"/>
    <n v="58"/>
    <x v="3"/>
    <x v="1"/>
    <n v="26"/>
    <n v="23"/>
    <n v="0.08"/>
    <s v="Mobile"/>
    <n v="0"/>
    <n v="1"/>
    <n v="0"/>
    <n v="14.99"/>
    <n v="0"/>
  </r>
  <r>
    <n v="49"/>
    <s v="Other"/>
    <n v="59"/>
    <x v="3"/>
    <x v="1"/>
    <n v="238"/>
    <n v="60"/>
    <n v="0.28999999999999998"/>
    <s v="Desktop"/>
    <n v="0"/>
    <n v="1"/>
    <n v="0"/>
    <n v="14.99"/>
    <n v="0"/>
  </r>
  <r>
    <n v="50"/>
    <s v="Male"/>
    <n v="50"/>
    <x v="7"/>
    <x v="0"/>
    <n v="241"/>
    <n v="7"/>
    <n v="0.56000000000000005"/>
    <s v="Desktop"/>
    <n v="22"/>
    <n v="0"/>
    <n v="1"/>
    <n v="0"/>
    <n v="0"/>
  </r>
  <r>
    <n v="51"/>
    <s v="Female"/>
    <n v="45"/>
    <x v="0"/>
    <x v="2"/>
    <n v="124"/>
    <n v="98"/>
    <n v="0.36"/>
    <s v="Desktop"/>
    <n v="0"/>
    <n v="1"/>
    <n v="0"/>
    <n v="9.99"/>
    <n v="0"/>
  </r>
  <r>
    <n v="52"/>
    <s v="Other"/>
    <n v="56"/>
    <x v="6"/>
    <x v="2"/>
    <n v="175"/>
    <n v="67"/>
    <n v="0.38"/>
    <s v="Web"/>
    <n v="0"/>
    <n v="1"/>
    <n v="0"/>
    <n v="9.99"/>
    <n v="0"/>
  </r>
  <r>
    <n v="53"/>
    <s v="Female"/>
    <n v="38"/>
    <x v="2"/>
    <x v="0"/>
    <n v="41"/>
    <n v="3"/>
    <n v="0"/>
    <s v="Desktop"/>
    <n v="43"/>
    <n v="0"/>
    <n v="1"/>
    <n v="0"/>
    <n v="0"/>
  </r>
  <r>
    <n v="54"/>
    <s v="Male"/>
    <n v="57"/>
    <x v="1"/>
    <x v="0"/>
    <n v="222"/>
    <n v="96"/>
    <n v="0.26"/>
    <s v="Web"/>
    <n v="15"/>
    <n v="0"/>
    <n v="0"/>
    <n v="0"/>
    <n v="0"/>
  </r>
  <r>
    <n v="55"/>
    <s v="Female"/>
    <n v="46"/>
    <x v="4"/>
    <x v="1"/>
    <n v="121"/>
    <n v="71"/>
    <n v="0.32"/>
    <s v="Desktop"/>
    <n v="0"/>
    <n v="1"/>
    <n v="0"/>
    <n v="14.99"/>
    <n v="0"/>
  </r>
  <r>
    <n v="56"/>
    <s v="Female"/>
    <n v="41"/>
    <x v="5"/>
    <x v="1"/>
    <n v="277"/>
    <n v="2"/>
    <n v="0.59"/>
    <s v="Web"/>
    <n v="0"/>
    <n v="1"/>
    <n v="0"/>
    <n v="14.99"/>
    <n v="0"/>
  </r>
  <r>
    <n v="57"/>
    <s v="Other"/>
    <n v="19"/>
    <x v="5"/>
    <x v="0"/>
    <n v="107"/>
    <n v="82"/>
    <n v="0.11"/>
    <s v="Desktop"/>
    <n v="12"/>
    <n v="0"/>
    <n v="1"/>
    <n v="0"/>
    <n v="0"/>
  </r>
  <r>
    <n v="58"/>
    <s v="Male"/>
    <n v="48"/>
    <x v="6"/>
    <x v="3"/>
    <n v="198"/>
    <n v="63"/>
    <n v="0.23"/>
    <s v="Desktop"/>
    <n v="0"/>
    <n v="1"/>
    <n v="0"/>
    <n v="4.99"/>
    <n v="0"/>
  </r>
  <r>
    <n v="59"/>
    <s v="Other"/>
    <n v="22"/>
    <x v="1"/>
    <x v="0"/>
    <n v="59"/>
    <n v="51"/>
    <n v="0.42"/>
    <s v="Desktop"/>
    <n v="19"/>
    <n v="0"/>
    <n v="0"/>
    <n v="0"/>
    <n v="0"/>
  </r>
  <r>
    <n v="60"/>
    <s v="Other"/>
    <n v="17"/>
    <x v="5"/>
    <x v="3"/>
    <n v="95"/>
    <n v="79"/>
    <n v="0.53"/>
    <s v="Web"/>
    <n v="0"/>
    <n v="1"/>
    <n v="1"/>
    <n v="4.99"/>
    <n v="4.99"/>
  </r>
  <r>
    <n v="61"/>
    <s v="Female"/>
    <n v="25"/>
    <x v="4"/>
    <x v="2"/>
    <n v="262"/>
    <n v="23"/>
    <n v="0.17"/>
    <s v="Web"/>
    <n v="0"/>
    <n v="1"/>
    <n v="0"/>
    <n v="9.99"/>
    <n v="0"/>
  </r>
  <r>
    <n v="62"/>
    <s v="Other"/>
    <n v="49"/>
    <x v="7"/>
    <x v="3"/>
    <n v="169"/>
    <n v="26"/>
    <n v="0.56000000000000005"/>
    <s v="Mobile"/>
    <n v="0"/>
    <n v="1"/>
    <n v="0"/>
    <n v="4.99"/>
    <n v="0"/>
  </r>
  <r>
    <n v="63"/>
    <s v="Other"/>
    <n v="59"/>
    <x v="5"/>
    <x v="0"/>
    <n v="25"/>
    <n v="32"/>
    <n v="0.2"/>
    <s v="Mobile"/>
    <n v="38"/>
    <n v="0"/>
    <n v="0"/>
    <n v="0"/>
    <n v="0"/>
  </r>
  <r>
    <n v="64"/>
    <s v="Female"/>
    <n v="45"/>
    <x v="0"/>
    <x v="1"/>
    <n v="55"/>
    <n v="67"/>
    <n v="0.51"/>
    <s v="Mobile"/>
    <n v="0"/>
    <n v="1"/>
    <n v="1"/>
    <n v="14.99"/>
    <n v="14.99"/>
  </r>
  <r>
    <n v="65"/>
    <s v="Male"/>
    <n v="45"/>
    <x v="5"/>
    <x v="3"/>
    <n v="161"/>
    <n v="42"/>
    <n v="0.4"/>
    <s v="Desktop"/>
    <n v="0"/>
    <n v="1"/>
    <n v="1"/>
    <n v="4.99"/>
    <n v="4.99"/>
  </r>
  <r>
    <n v="66"/>
    <s v="Other"/>
    <n v="21"/>
    <x v="6"/>
    <x v="1"/>
    <n v="77"/>
    <n v="42"/>
    <n v="0.56000000000000005"/>
    <s v="Web"/>
    <n v="0"/>
    <n v="1"/>
    <n v="0"/>
    <n v="14.99"/>
    <n v="0"/>
  </r>
  <r>
    <n v="67"/>
    <s v="Male"/>
    <n v="45"/>
    <x v="1"/>
    <x v="0"/>
    <n v="152"/>
    <n v="32"/>
    <n v="0.49"/>
    <s v="Mobile"/>
    <n v="14"/>
    <n v="0"/>
    <n v="1"/>
    <n v="0"/>
    <n v="0"/>
  </r>
  <r>
    <n v="68"/>
    <s v="Female"/>
    <n v="45"/>
    <x v="4"/>
    <x v="0"/>
    <n v="156"/>
    <n v="51"/>
    <n v="0.14000000000000001"/>
    <s v="Desktop"/>
    <n v="18"/>
    <n v="0"/>
    <n v="0"/>
    <n v="0"/>
    <n v="0"/>
  </r>
  <r>
    <n v="69"/>
    <s v="Other"/>
    <n v="22"/>
    <x v="2"/>
    <x v="3"/>
    <n v="99"/>
    <n v="43"/>
    <n v="0.17"/>
    <s v="Desktop"/>
    <n v="0"/>
    <n v="1"/>
    <n v="0"/>
    <n v="4.99"/>
    <n v="0"/>
  </r>
  <r>
    <n v="70"/>
    <s v="Female"/>
    <n v="56"/>
    <x v="3"/>
    <x v="0"/>
    <n v="181"/>
    <n v="40"/>
    <n v="0.21"/>
    <s v="Mobile"/>
    <n v="10"/>
    <n v="0"/>
    <n v="0"/>
    <n v="0"/>
    <n v="0"/>
  </r>
  <r>
    <n v="71"/>
    <s v="Other"/>
    <n v="51"/>
    <x v="2"/>
    <x v="3"/>
    <n v="265"/>
    <n v="81"/>
    <n v="0.36"/>
    <s v="Web"/>
    <n v="0"/>
    <n v="1"/>
    <n v="0"/>
    <n v="4.99"/>
    <n v="0"/>
  </r>
  <r>
    <n v="72"/>
    <s v="Female"/>
    <n v="22"/>
    <x v="2"/>
    <x v="1"/>
    <n v="131"/>
    <n v="70"/>
    <n v="0.35"/>
    <s v="Web"/>
    <n v="0"/>
    <n v="1"/>
    <n v="0"/>
    <n v="14.99"/>
    <n v="0"/>
  </r>
  <r>
    <n v="73"/>
    <s v="Other"/>
    <n v="33"/>
    <x v="0"/>
    <x v="3"/>
    <n v="19"/>
    <n v="68"/>
    <n v="0.32"/>
    <s v="Desktop"/>
    <n v="0"/>
    <n v="1"/>
    <n v="1"/>
    <n v="4.99"/>
    <n v="4.99"/>
  </r>
  <r>
    <n v="74"/>
    <s v="Other"/>
    <n v="59"/>
    <x v="2"/>
    <x v="1"/>
    <n v="201"/>
    <n v="15"/>
    <n v="0.05"/>
    <s v="Mobile"/>
    <n v="0"/>
    <n v="1"/>
    <n v="0"/>
    <n v="14.99"/>
    <n v="0"/>
  </r>
  <r>
    <n v="75"/>
    <s v="Male"/>
    <n v="41"/>
    <x v="1"/>
    <x v="1"/>
    <n v="223"/>
    <n v="53"/>
    <n v="0.33"/>
    <s v="Web"/>
    <n v="0"/>
    <n v="1"/>
    <n v="0"/>
    <n v="14.99"/>
    <n v="0"/>
  </r>
  <r>
    <n v="76"/>
    <s v="Male"/>
    <n v="25"/>
    <x v="4"/>
    <x v="2"/>
    <n v="111"/>
    <n v="83"/>
    <n v="0.19"/>
    <s v="Desktop"/>
    <n v="0"/>
    <n v="1"/>
    <n v="0"/>
    <n v="9.99"/>
    <n v="0"/>
  </r>
  <r>
    <n v="77"/>
    <s v="Male"/>
    <n v="41"/>
    <x v="6"/>
    <x v="1"/>
    <n v="81"/>
    <n v="6"/>
    <n v="0.47"/>
    <s v="Mobile"/>
    <n v="0"/>
    <n v="1"/>
    <n v="0"/>
    <n v="14.99"/>
    <n v="0"/>
  </r>
  <r>
    <n v="78"/>
    <s v="Other"/>
    <n v="30"/>
    <x v="6"/>
    <x v="1"/>
    <n v="124"/>
    <n v="73"/>
    <n v="0.43"/>
    <s v="Mobile"/>
    <n v="0"/>
    <n v="1"/>
    <n v="0"/>
    <n v="14.99"/>
    <n v="0"/>
  </r>
  <r>
    <n v="79"/>
    <s v="Male"/>
    <n v="23"/>
    <x v="3"/>
    <x v="0"/>
    <n v="13"/>
    <n v="30"/>
    <n v="0.24"/>
    <s v="Mobile"/>
    <n v="32"/>
    <n v="0"/>
    <n v="0"/>
    <n v="0"/>
    <n v="0"/>
  </r>
  <r>
    <n v="80"/>
    <s v="Female"/>
    <n v="47"/>
    <x v="7"/>
    <x v="2"/>
    <n v="31"/>
    <n v="72"/>
    <n v="0.53"/>
    <s v="Desktop"/>
    <n v="0"/>
    <n v="1"/>
    <n v="1"/>
    <n v="9.99"/>
    <n v="9.99"/>
  </r>
  <r>
    <n v="81"/>
    <s v="Male"/>
    <n v="34"/>
    <x v="2"/>
    <x v="2"/>
    <n v="277"/>
    <n v="87"/>
    <n v="0.3"/>
    <s v="Web"/>
    <n v="0"/>
    <n v="1"/>
    <n v="0"/>
    <n v="9.99"/>
    <n v="0"/>
  </r>
  <r>
    <n v="82"/>
    <s v="Other"/>
    <n v="45"/>
    <x v="6"/>
    <x v="3"/>
    <n v="181"/>
    <n v="69"/>
    <n v="0.59"/>
    <s v="Web"/>
    <n v="0"/>
    <n v="1"/>
    <n v="0"/>
    <n v="4.99"/>
    <n v="0"/>
  </r>
  <r>
    <n v="83"/>
    <s v="Other"/>
    <n v="32"/>
    <x v="7"/>
    <x v="0"/>
    <n v="167"/>
    <n v="4"/>
    <n v="0.56000000000000005"/>
    <s v="Mobile"/>
    <n v="35"/>
    <n v="0"/>
    <n v="0"/>
    <n v="0"/>
    <n v="0"/>
  </r>
  <r>
    <n v="84"/>
    <s v="Other"/>
    <n v="51"/>
    <x v="0"/>
    <x v="0"/>
    <n v="105"/>
    <n v="11"/>
    <n v="0.03"/>
    <s v="Web"/>
    <n v="29"/>
    <n v="0"/>
    <n v="0"/>
    <n v="0"/>
    <n v="0"/>
  </r>
  <r>
    <n v="85"/>
    <s v="Other"/>
    <n v="21"/>
    <x v="6"/>
    <x v="3"/>
    <n v="202"/>
    <n v="79"/>
    <n v="0.45"/>
    <s v="Desktop"/>
    <n v="0"/>
    <n v="1"/>
    <n v="0"/>
    <n v="4.99"/>
    <n v="0"/>
  </r>
  <r>
    <n v="86"/>
    <s v="Female"/>
    <n v="20"/>
    <x v="5"/>
    <x v="1"/>
    <n v="284"/>
    <n v="38"/>
    <n v="0.23"/>
    <s v="Web"/>
    <n v="0"/>
    <n v="1"/>
    <n v="0"/>
    <n v="14.99"/>
    <n v="0"/>
  </r>
  <r>
    <n v="87"/>
    <s v="Male"/>
    <n v="21"/>
    <x v="3"/>
    <x v="2"/>
    <n v="125"/>
    <n v="82"/>
    <n v="0.43"/>
    <s v="Web"/>
    <n v="0"/>
    <n v="1"/>
    <n v="0"/>
    <n v="9.99"/>
    <n v="0"/>
  </r>
  <r>
    <n v="88"/>
    <s v="Female"/>
    <n v="44"/>
    <x v="4"/>
    <x v="0"/>
    <n v="237"/>
    <n v="36"/>
    <n v="0.37"/>
    <s v="Web"/>
    <n v="20"/>
    <n v="0"/>
    <n v="0"/>
    <n v="0"/>
    <n v="0"/>
  </r>
  <r>
    <n v="89"/>
    <s v="Other"/>
    <n v="50"/>
    <x v="7"/>
    <x v="1"/>
    <n v="99"/>
    <n v="15"/>
    <n v="0.15"/>
    <s v="Mobile"/>
    <n v="0"/>
    <n v="1"/>
    <n v="0"/>
    <n v="14.99"/>
    <n v="0"/>
  </r>
  <r>
    <n v="90"/>
    <s v="Other"/>
    <n v="52"/>
    <x v="1"/>
    <x v="3"/>
    <n v="224"/>
    <n v="49"/>
    <n v="0.38"/>
    <s v="Desktop"/>
    <n v="0"/>
    <n v="1"/>
    <n v="0"/>
    <n v="4.99"/>
    <n v="0"/>
  </r>
  <r>
    <n v="91"/>
    <s v="Male"/>
    <n v="43"/>
    <x v="4"/>
    <x v="0"/>
    <n v="195"/>
    <n v="80"/>
    <n v="0.17"/>
    <s v="Web"/>
    <n v="28"/>
    <n v="0"/>
    <n v="0"/>
    <n v="0"/>
    <n v="0"/>
  </r>
  <r>
    <n v="92"/>
    <s v="Female"/>
    <n v="41"/>
    <x v="7"/>
    <x v="2"/>
    <n v="173"/>
    <n v="85"/>
    <n v="0.22"/>
    <s v="Web"/>
    <n v="0"/>
    <n v="1"/>
    <n v="0"/>
    <n v="9.99"/>
    <n v="0"/>
  </r>
  <r>
    <n v="93"/>
    <s v="Female"/>
    <n v="57"/>
    <x v="5"/>
    <x v="1"/>
    <n v="210"/>
    <n v="7"/>
    <n v="0.25"/>
    <s v="Web"/>
    <n v="0"/>
    <n v="1"/>
    <n v="0"/>
    <n v="14.99"/>
    <n v="0"/>
  </r>
  <r>
    <n v="94"/>
    <s v="Other"/>
    <n v="50"/>
    <x v="4"/>
    <x v="0"/>
    <n v="85"/>
    <n v="7"/>
    <n v="0.45"/>
    <s v="Desktop"/>
    <n v="44"/>
    <n v="0"/>
    <n v="0"/>
    <n v="0"/>
    <n v="0"/>
  </r>
  <r>
    <n v="95"/>
    <s v="Female"/>
    <n v="35"/>
    <x v="6"/>
    <x v="1"/>
    <n v="93"/>
    <n v="1"/>
    <n v="0.4"/>
    <s v="Mobile"/>
    <n v="0"/>
    <n v="1"/>
    <n v="0"/>
    <n v="14.99"/>
    <n v="0"/>
  </r>
  <r>
    <n v="96"/>
    <s v="Other"/>
    <n v="51"/>
    <x v="5"/>
    <x v="3"/>
    <n v="222"/>
    <n v="97"/>
    <n v="0.03"/>
    <s v="Desktop"/>
    <n v="0"/>
    <n v="1"/>
    <n v="1"/>
    <n v="4.99"/>
    <n v="4.99"/>
  </r>
  <r>
    <n v="97"/>
    <s v="Male"/>
    <n v="34"/>
    <x v="0"/>
    <x v="2"/>
    <n v="196"/>
    <n v="69"/>
    <n v="7.0000000000000007E-2"/>
    <s v="Web"/>
    <n v="0"/>
    <n v="1"/>
    <n v="0"/>
    <n v="9.99"/>
    <n v="0"/>
  </r>
  <r>
    <n v="98"/>
    <s v="Female"/>
    <n v="47"/>
    <x v="3"/>
    <x v="1"/>
    <n v="215"/>
    <n v="13"/>
    <n v="0.02"/>
    <s v="Mobile"/>
    <n v="0"/>
    <n v="1"/>
    <n v="1"/>
    <n v="14.99"/>
    <n v="14.99"/>
  </r>
  <r>
    <n v="99"/>
    <s v="Male"/>
    <n v="19"/>
    <x v="7"/>
    <x v="1"/>
    <n v="22"/>
    <n v="45"/>
    <n v="0.28999999999999998"/>
    <s v="Web"/>
    <n v="0"/>
    <n v="1"/>
    <n v="1"/>
    <n v="14.99"/>
    <n v="14.99"/>
  </r>
  <r>
    <n v="100"/>
    <s v="Female"/>
    <n v="30"/>
    <x v="4"/>
    <x v="3"/>
    <n v="283"/>
    <n v="13"/>
    <n v="0.02"/>
    <s v="Desktop"/>
    <n v="0"/>
    <n v="1"/>
    <n v="0"/>
    <n v="4.99"/>
    <n v="0"/>
  </r>
  <r>
    <n v="101"/>
    <s v="Female"/>
    <n v="27"/>
    <x v="6"/>
    <x v="0"/>
    <n v="40"/>
    <n v="15"/>
    <n v="0.5"/>
    <s v="Web"/>
    <n v="16"/>
    <n v="0"/>
    <n v="0"/>
    <n v="0"/>
    <n v="0"/>
  </r>
  <r>
    <n v="102"/>
    <s v="Male"/>
    <n v="25"/>
    <x v="1"/>
    <x v="3"/>
    <n v="251"/>
    <n v="91"/>
    <n v="0.12"/>
    <s v="Desktop"/>
    <n v="0"/>
    <n v="1"/>
    <n v="0"/>
    <n v="4.99"/>
    <n v="0"/>
  </r>
  <r>
    <n v="103"/>
    <s v="Female"/>
    <n v="47"/>
    <x v="2"/>
    <x v="1"/>
    <n v="240"/>
    <n v="61"/>
    <n v="0.56000000000000005"/>
    <s v="Mobile"/>
    <n v="0"/>
    <n v="1"/>
    <n v="0"/>
    <n v="14.99"/>
    <n v="0"/>
  </r>
  <r>
    <n v="104"/>
    <s v="Male"/>
    <n v="33"/>
    <x v="3"/>
    <x v="1"/>
    <n v="160"/>
    <n v="76"/>
    <n v="0.06"/>
    <s v="Web"/>
    <n v="0"/>
    <n v="1"/>
    <n v="0"/>
    <n v="14.99"/>
    <n v="0"/>
  </r>
  <r>
    <n v="105"/>
    <s v="Male"/>
    <n v="46"/>
    <x v="0"/>
    <x v="0"/>
    <n v="114"/>
    <n v="11"/>
    <n v="0.24"/>
    <s v="Web"/>
    <n v="19"/>
    <n v="0"/>
    <n v="0"/>
    <n v="0"/>
    <n v="0"/>
  </r>
  <r>
    <n v="106"/>
    <s v="Other"/>
    <n v="50"/>
    <x v="2"/>
    <x v="3"/>
    <n v="251"/>
    <n v="9"/>
    <n v="0.39"/>
    <s v="Web"/>
    <n v="0"/>
    <n v="1"/>
    <n v="0"/>
    <n v="4.99"/>
    <n v="0"/>
  </r>
  <r>
    <n v="107"/>
    <s v="Male"/>
    <n v="31"/>
    <x v="6"/>
    <x v="3"/>
    <n v="181"/>
    <n v="89"/>
    <n v="0.11"/>
    <s v="Desktop"/>
    <n v="0"/>
    <n v="1"/>
    <n v="1"/>
    <n v="4.99"/>
    <n v="4.99"/>
  </r>
  <r>
    <n v="108"/>
    <s v="Female"/>
    <n v="45"/>
    <x v="6"/>
    <x v="2"/>
    <n v="215"/>
    <n v="16"/>
    <n v="0.26"/>
    <s v="Web"/>
    <n v="0"/>
    <n v="1"/>
    <n v="0"/>
    <n v="9.99"/>
    <n v="0"/>
  </r>
  <r>
    <n v="109"/>
    <s v="Male"/>
    <n v="51"/>
    <x v="6"/>
    <x v="3"/>
    <n v="119"/>
    <n v="11"/>
    <n v="0.05"/>
    <s v="Desktop"/>
    <n v="0"/>
    <n v="1"/>
    <n v="0"/>
    <n v="4.99"/>
    <n v="0"/>
  </r>
  <r>
    <n v="110"/>
    <s v="Other"/>
    <n v="33"/>
    <x v="0"/>
    <x v="2"/>
    <n v="224"/>
    <n v="34"/>
    <n v="0.11"/>
    <s v="Mobile"/>
    <n v="0"/>
    <n v="1"/>
    <n v="0"/>
    <n v="9.99"/>
    <n v="0"/>
  </r>
  <r>
    <n v="111"/>
    <s v="Male"/>
    <n v="42"/>
    <x v="1"/>
    <x v="2"/>
    <n v="31"/>
    <n v="61"/>
    <n v="0.28999999999999998"/>
    <s v="Mobile"/>
    <n v="0"/>
    <n v="1"/>
    <n v="0"/>
    <n v="9.99"/>
    <n v="0"/>
  </r>
  <r>
    <n v="112"/>
    <s v="Male"/>
    <n v="16"/>
    <x v="0"/>
    <x v="1"/>
    <n v="17"/>
    <n v="10"/>
    <n v="0.27"/>
    <s v="Desktop"/>
    <n v="0"/>
    <n v="1"/>
    <n v="0"/>
    <n v="14.99"/>
    <n v="0"/>
  </r>
  <r>
    <n v="113"/>
    <s v="Other"/>
    <n v="31"/>
    <x v="6"/>
    <x v="3"/>
    <n v="174"/>
    <n v="29"/>
    <n v="0.13"/>
    <s v="Desktop"/>
    <n v="0"/>
    <n v="1"/>
    <n v="1"/>
    <n v="4.99"/>
    <n v="4.99"/>
  </r>
  <r>
    <n v="114"/>
    <s v="Male"/>
    <n v="40"/>
    <x v="2"/>
    <x v="1"/>
    <n v="31"/>
    <n v="48"/>
    <n v="0.33"/>
    <s v="Web"/>
    <n v="0"/>
    <n v="1"/>
    <n v="0"/>
    <n v="14.99"/>
    <n v="0"/>
  </r>
  <r>
    <n v="115"/>
    <s v="Male"/>
    <n v="57"/>
    <x v="6"/>
    <x v="3"/>
    <n v="84"/>
    <n v="40"/>
    <n v="0.57999999999999996"/>
    <s v="Desktop"/>
    <n v="0"/>
    <n v="1"/>
    <n v="0"/>
    <n v="4.99"/>
    <n v="0"/>
  </r>
  <r>
    <n v="116"/>
    <s v="Female"/>
    <n v="17"/>
    <x v="0"/>
    <x v="0"/>
    <n v="198"/>
    <n v="31"/>
    <n v="7.0000000000000007E-2"/>
    <s v="Web"/>
    <n v="6"/>
    <n v="0"/>
    <n v="0"/>
    <n v="0"/>
    <n v="0"/>
  </r>
  <r>
    <n v="117"/>
    <s v="Male"/>
    <n v="31"/>
    <x v="0"/>
    <x v="3"/>
    <n v="272"/>
    <n v="40"/>
    <n v="0.12"/>
    <s v="Desktop"/>
    <n v="0"/>
    <n v="1"/>
    <n v="1"/>
    <n v="4.99"/>
    <n v="4.99"/>
  </r>
  <r>
    <n v="118"/>
    <s v="Other"/>
    <n v="45"/>
    <x v="4"/>
    <x v="1"/>
    <n v="21"/>
    <n v="73"/>
    <n v="0.16"/>
    <s v="Web"/>
    <n v="0"/>
    <n v="1"/>
    <n v="0"/>
    <n v="14.99"/>
    <n v="0"/>
  </r>
  <r>
    <n v="119"/>
    <s v="Male"/>
    <n v="59"/>
    <x v="7"/>
    <x v="1"/>
    <n v="251"/>
    <n v="47"/>
    <n v="0.14000000000000001"/>
    <s v="Mobile"/>
    <n v="0"/>
    <n v="1"/>
    <n v="0"/>
    <n v="14.99"/>
    <n v="0"/>
  </r>
  <r>
    <n v="120"/>
    <s v="Other"/>
    <n v="49"/>
    <x v="7"/>
    <x v="1"/>
    <n v="95"/>
    <n v="81"/>
    <n v="0.36"/>
    <s v="Mobile"/>
    <n v="0"/>
    <n v="1"/>
    <n v="0"/>
    <n v="14.99"/>
    <n v="0"/>
  </r>
  <r>
    <n v="121"/>
    <s v="Male"/>
    <n v="59"/>
    <x v="5"/>
    <x v="3"/>
    <n v="169"/>
    <n v="20"/>
    <n v="0.18"/>
    <s v="Desktop"/>
    <n v="0"/>
    <n v="1"/>
    <n v="1"/>
    <n v="4.99"/>
    <n v="4.99"/>
  </r>
  <r>
    <n v="122"/>
    <s v="Male"/>
    <n v="47"/>
    <x v="1"/>
    <x v="2"/>
    <n v="35"/>
    <n v="20"/>
    <n v="0.32"/>
    <s v="Desktop"/>
    <n v="0"/>
    <n v="1"/>
    <n v="1"/>
    <n v="9.99"/>
    <n v="9.99"/>
  </r>
  <r>
    <n v="123"/>
    <s v="Male"/>
    <n v="21"/>
    <x v="3"/>
    <x v="0"/>
    <n v="32"/>
    <n v="34"/>
    <n v="0.52"/>
    <s v="Web"/>
    <n v="14"/>
    <n v="0"/>
    <n v="1"/>
    <n v="0"/>
    <n v="0"/>
  </r>
  <r>
    <n v="124"/>
    <s v="Female"/>
    <n v="28"/>
    <x v="1"/>
    <x v="0"/>
    <n v="55"/>
    <n v="67"/>
    <n v="0.53"/>
    <s v="Desktop"/>
    <n v="7"/>
    <n v="0"/>
    <n v="0"/>
    <n v="0"/>
    <n v="0"/>
  </r>
  <r>
    <n v="125"/>
    <s v="Female"/>
    <n v="47"/>
    <x v="3"/>
    <x v="1"/>
    <n v="120"/>
    <n v="26"/>
    <n v="0.48"/>
    <s v="Desktop"/>
    <n v="0"/>
    <n v="1"/>
    <n v="0"/>
    <n v="14.99"/>
    <n v="0"/>
  </r>
  <r>
    <n v="126"/>
    <s v="Female"/>
    <n v="46"/>
    <x v="5"/>
    <x v="0"/>
    <n v="11"/>
    <n v="67"/>
    <n v="0.4"/>
    <s v="Desktop"/>
    <n v="36"/>
    <n v="0"/>
    <n v="1"/>
    <n v="0"/>
    <n v="0"/>
  </r>
  <r>
    <n v="127"/>
    <s v="Female"/>
    <n v="20"/>
    <x v="3"/>
    <x v="2"/>
    <n v="194"/>
    <n v="52"/>
    <n v="0.2"/>
    <s v="Mobile"/>
    <n v="0"/>
    <n v="1"/>
    <n v="0"/>
    <n v="9.99"/>
    <n v="0"/>
  </r>
  <r>
    <n v="128"/>
    <s v="Female"/>
    <n v="34"/>
    <x v="7"/>
    <x v="2"/>
    <n v="81"/>
    <n v="85"/>
    <n v="0.28999999999999998"/>
    <s v="Web"/>
    <n v="0"/>
    <n v="1"/>
    <n v="0"/>
    <n v="9.99"/>
    <n v="0"/>
  </r>
  <r>
    <n v="129"/>
    <s v="Other"/>
    <n v="24"/>
    <x v="1"/>
    <x v="0"/>
    <n v="217"/>
    <n v="52"/>
    <n v="0.45"/>
    <s v="Web"/>
    <n v="23"/>
    <n v="0"/>
    <n v="0"/>
    <n v="0"/>
    <n v="0"/>
  </r>
  <r>
    <n v="130"/>
    <s v="Male"/>
    <n v="40"/>
    <x v="3"/>
    <x v="2"/>
    <n v="11"/>
    <n v="11"/>
    <n v="0.42"/>
    <s v="Web"/>
    <n v="0"/>
    <n v="1"/>
    <n v="1"/>
    <n v="9.99"/>
    <n v="9.99"/>
  </r>
  <r>
    <n v="131"/>
    <s v="Male"/>
    <n v="48"/>
    <x v="4"/>
    <x v="0"/>
    <n v="72"/>
    <n v="35"/>
    <n v="0.53"/>
    <s v="Desktop"/>
    <n v="22"/>
    <n v="0"/>
    <n v="0"/>
    <n v="0"/>
    <n v="0"/>
  </r>
  <r>
    <n v="132"/>
    <s v="Other"/>
    <n v="47"/>
    <x v="7"/>
    <x v="2"/>
    <n v="162"/>
    <n v="94"/>
    <n v="0.28999999999999998"/>
    <s v="Desktop"/>
    <n v="0"/>
    <n v="1"/>
    <n v="0"/>
    <n v="9.99"/>
    <n v="0"/>
  </r>
  <r>
    <n v="133"/>
    <s v="Female"/>
    <n v="33"/>
    <x v="5"/>
    <x v="1"/>
    <n v="271"/>
    <n v="57"/>
    <n v="0.36"/>
    <s v="Mobile"/>
    <n v="0"/>
    <n v="1"/>
    <n v="1"/>
    <n v="14.99"/>
    <n v="14.99"/>
  </r>
  <r>
    <n v="134"/>
    <s v="Male"/>
    <n v="20"/>
    <x v="3"/>
    <x v="2"/>
    <n v="218"/>
    <n v="6"/>
    <n v="0.02"/>
    <s v="Desktop"/>
    <n v="0"/>
    <n v="1"/>
    <n v="1"/>
    <n v="9.99"/>
    <n v="9.99"/>
  </r>
  <r>
    <n v="135"/>
    <s v="Other"/>
    <n v="55"/>
    <x v="1"/>
    <x v="1"/>
    <n v="94"/>
    <n v="24"/>
    <n v="0.3"/>
    <s v="Web"/>
    <n v="0"/>
    <n v="1"/>
    <n v="0"/>
    <n v="14.99"/>
    <n v="0"/>
  </r>
  <r>
    <n v="136"/>
    <s v="Male"/>
    <n v="58"/>
    <x v="0"/>
    <x v="3"/>
    <n v="295"/>
    <n v="72"/>
    <n v="0.43"/>
    <s v="Desktop"/>
    <n v="0"/>
    <n v="1"/>
    <n v="0"/>
    <n v="4.99"/>
    <n v="0"/>
  </r>
  <r>
    <n v="137"/>
    <s v="Other"/>
    <n v="41"/>
    <x v="3"/>
    <x v="2"/>
    <n v="286"/>
    <n v="35"/>
    <n v="0.42"/>
    <s v="Desktop"/>
    <n v="0"/>
    <n v="1"/>
    <n v="0"/>
    <n v="9.99"/>
    <n v="0"/>
  </r>
  <r>
    <n v="138"/>
    <s v="Other"/>
    <n v="53"/>
    <x v="3"/>
    <x v="3"/>
    <n v="298"/>
    <n v="37"/>
    <n v="0.5"/>
    <s v="Mobile"/>
    <n v="0"/>
    <n v="1"/>
    <n v="0"/>
    <n v="4.99"/>
    <n v="0"/>
  </r>
  <r>
    <n v="139"/>
    <s v="Female"/>
    <n v="50"/>
    <x v="0"/>
    <x v="1"/>
    <n v="261"/>
    <n v="20"/>
    <n v="0.39"/>
    <s v="Desktop"/>
    <n v="0"/>
    <n v="1"/>
    <n v="1"/>
    <n v="14.99"/>
    <n v="14.99"/>
  </r>
  <r>
    <n v="140"/>
    <s v="Other"/>
    <n v="55"/>
    <x v="3"/>
    <x v="0"/>
    <n v="201"/>
    <n v="82"/>
    <n v="0.5"/>
    <s v="Desktop"/>
    <n v="27"/>
    <n v="0"/>
    <n v="1"/>
    <n v="0"/>
    <n v="0"/>
  </r>
  <r>
    <n v="141"/>
    <s v="Female"/>
    <n v="56"/>
    <x v="3"/>
    <x v="0"/>
    <n v="40"/>
    <n v="84"/>
    <n v="0.56000000000000005"/>
    <s v="Web"/>
    <n v="49"/>
    <n v="0"/>
    <n v="0"/>
    <n v="0"/>
    <n v="0"/>
  </r>
  <r>
    <n v="142"/>
    <s v="Other"/>
    <n v="18"/>
    <x v="2"/>
    <x v="2"/>
    <n v="30"/>
    <n v="78"/>
    <n v="0.42"/>
    <s v="Mobile"/>
    <n v="0"/>
    <n v="1"/>
    <n v="0"/>
    <n v="9.99"/>
    <n v="0"/>
  </r>
  <r>
    <n v="143"/>
    <s v="Male"/>
    <n v="29"/>
    <x v="0"/>
    <x v="3"/>
    <n v="109"/>
    <n v="88"/>
    <n v="0.45"/>
    <s v="Web"/>
    <n v="0"/>
    <n v="1"/>
    <n v="1"/>
    <n v="4.99"/>
    <n v="4.99"/>
  </r>
  <r>
    <n v="144"/>
    <s v="Female"/>
    <n v="28"/>
    <x v="4"/>
    <x v="2"/>
    <n v="171"/>
    <n v="19"/>
    <n v="0.48"/>
    <s v="Mobile"/>
    <n v="0"/>
    <n v="1"/>
    <n v="1"/>
    <n v="9.99"/>
    <n v="9.99"/>
  </r>
  <r>
    <n v="145"/>
    <s v="Male"/>
    <n v="24"/>
    <x v="7"/>
    <x v="1"/>
    <n v="223"/>
    <n v="31"/>
    <n v="0.09"/>
    <s v="Mobile"/>
    <n v="0"/>
    <n v="1"/>
    <n v="0"/>
    <n v="14.99"/>
    <n v="0"/>
  </r>
  <r>
    <n v="146"/>
    <s v="Other"/>
    <n v="44"/>
    <x v="2"/>
    <x v="1"/>
    <n v="52"/>
    <n v="17"/>
    <n v="0.2"/>
    <s v="Desktop"/>
    <n v="0"/>
    <n v="1"/>
    <n v="0"/>
    <n v="14.99"/>
    <n v="0"/>
  </r>
  <r>
    <n v="147"/>
    <s v="Other"/>
    <n v="18"/>
    <x v="5"/>
    <x v="1"/>
    <n v="195"/>
    <n v="94"/>
    <n v="0.49"/>
    <s v="Desktop"/>
    <n v="0"/>
    <n v="1"/>
    <n v="0"/>
    <n v="14.99"/>
    <n v="0"/>
  </r>
  <r>
    <n v="148"/>
    <s v="Other"/>
    <n v="40"/>
    <x v="7"/>
    <x v="2"/>
    <n v="198"/>
    <n v="78"/>
    <n v="0"/>
    <s v="Desktop"/>
    <n v="0"/>
    <n v="1"/>
    <n v="0"/>
    <n v="9.99"/>
    <n v="0"/>
  </r>
  <r>
    <n v="149"/>
    <s v="Other"/>
    <n v="22"/>
    <x v="1"/>
    <x v="3"/>
    <n v="285"/>
    <n v="2"/>
    <n v="0.3"/>
    <s v="Desktop"/>
    <n v="0"/>
    <n v="1"/>
    <n v="0"/>
    <n v="4.99"/>
    <n v="0"/>
  </r>
  <r>
    <n v="150"/>
    <s v="Male"/>
    <n v="34"/>
    <x v="6"/>
    <x v="2"/>
    <n v="278"/>
    <n v="83"/>
    <n v="0.24"/>
    <s v="Desktop"/>
    <n v="0"/>
    <n v="1"/>
    <n v="0"/>
    <n v="9.99"/>
    <n v="0"/>
  </r>
  <r>
    <n v="151"/>
    <s v="Male"/>
    <n v="44"/>
    <x v="2"/>
    <x v="2"/>
    <n v="251"/>
    <n v="57"/>
    <n v="0.37"/>
    <s v="Desktop"/>
    <n v="0"/>
    <n v="1"/>
    <n v="0"/>
    <n v="9.99"/>
    <n v="0"/>
  </r>
  <r>
    <n v="152"/>
    <s v="Male"/>
    <n v="58"/>
    <x v="3"/>
    <x v="3"/>
    <n v="158"/>
    <n v="52"/>
    <n v="0.27"/>
    <s v="Mobile"/>
    <n v="0"/>
    <n v="1"/>
    <n v="0"/>
    <n v="4.99"/>
    <n v="0"/>
  </r>
  <r>
    <n v="153"/>
    <s v="Female"/>
    <n v="41"/>
    <x v="7"/>
    <x v="1"/>
    <n v="14"/>
    <n v="41"/>
    <n v="0.59"/>
    <s v="Web"/>
    <n v="0"/>
    <n v="1"/>
    <n v="0"/>
    <n v="14.99"/>
    <n v="0"/>
  </r>
  <r>
    <n v="154"/>
    <s v="Female"/>
    <n v="52"/>
    <x v="4"/>
    <x v="2"/>
    <n v="280"/>
    <n v="81"/>
    <n v="0.27"/>
    <s v="Desktop"/>
    <n v="0"/>
    <n v="1"/>
    <n v="1"/>
    <n v="9.99"/>
    <n v="9.99"/>
  </r>
  <r>
    <n v="155"/>
    <s v="Male"/>
    <n v="26"/>
    <x v="5"/>
    <x v="3"/>
    <n v="257"/>
    <n v="14"/>
    <n v="0.13"/>
    <s v="Web"/>
    <n v="0"/>
    <n v="1"/>
    <n v="0"/>
    <n v="4.99"/>
    <n v="0"/>
  </r>
  <r>
    <n v="156"/>
    <s v="Other"/>
    <n v="42"/>
    <x v="0"/>
    <x v="1"/>
    <n v="21"/>
    <n v="76"/>
    <n v="0.56000000000000005"/>
    <s v="Web"/>
    <n v="0"/>
    <n v="1"/>
    <n v="1"/>
    <n v="14.99"/>
    <n v="14.99"/>
  </r>
  <r>
    <n v="157"/>
    <s v="Other"/>
    <n v="27"/>
    <x v="7"/>
    <x v="0"/>
    <n v="237"/>
    <n v="27"/>
    <n v="0.16"/>
    <s v="Web"/>
    <n v="40"/>
    <n v="0"/>
    <n v="0"/>
    <n v="0"/>
    <n v="0"/>
  </r>
  <r>
    <n v="158"/>
    <s v="Other"/>
    <n v="48"/>
    <x v="1"/>
    <x v="0"/>
    <n v="224"/>
    <n v="53"/>
    <n v="7.0000000000000007E-2"/>
    <s v="Mobile"/>
    <n v="43"/>
    <n v="0"/>
    <n v="0"/>
    <n v="0"/>
    <n v="0"/>
  </r>
  <r>
    <n v="159"/>
    <s v="Other"/>
    <n v="24"/>
    <x v="2"/>
    <x v="1"/>
    <n v="216"/>
    <n v="76"/>
    <n v="0.28000000000000003"/>
    <s v="Mobile"/>
    <n v="0"/>
    <n v="1"/>
    <n v="0"/>
    <n v="14.99"/>
    <n v="0"/>
  </r>
  <r>
    <n v="160"/>
    <s v="Other"/>
    <n v="34"/>
    <x v="0"/>
    <x v="2"/>
    <n v="137"/>
    <n v="97"/>
    <n v="0.32"/>
    <s v="Web"/>
    <n v="0"/>
    <n v="1"/>
    <n v="0"/>
    <n v="9.99"/>
    <n v="0"/>
  </r>
  <r>
    <n v="161"/>
    <s v="Other"/>
    <n v="28"/>
    <x v="1"/>
    <x v="0"/>
    <n v="209"/>
    <n v="84"/>
    <n v="0.53"/>
    <s v="Web"/>
    <n v="28"/>
    <n v="0"/>
    <n v="0"/>
    <n v="0"/>
    <n v="0"/>
  </r>
  <r>
    <n v="162"/>
    <s v="Female"/>
    <n v="17"/>
    <x v="6"/>
    <x v="0"/>
    <n v="36"/>
    <n v="30"/>
    <n v="0.19"/>
    <s v="Mobile"/>
    <n v="43"/>
    <n v="0"/>
    <n v="1"/>
    <n v="0"/>
    <n v="0"/>
  </r>
  <r>
    <n v="163"/>
    <s v="Other"/>
    <n v="50"/>
    <x v="7"/>
    <x v="0"/>
    <n v="95"/>
    <n v="50"/>
    <n v="0.49"/>
    <s v="Desktop"/>
    <n v="31"/>
    <n v="0"/>
    <n v="1"/>
    <n v="0"/>
    <n v="0"/>
  </r>
  <r>
    <n v="164"/>
    <s v="Female"/>
    <n v="35"/>
    <x v="2"/>
    <x v="2"/>
    <n v="298"/>
    <n v="25"/>
    <n v="0.11"/>
    <s v="Mobile"/>
    <n v="0"/>
    <n v="1"/>
    <n v="1"/>
    <n v="9.99"/>
    <n v="9.99"/>
  </r>
  <r>
    <n v="165"/>
    <s v="Male"/>
    <n v="20"/>
    <x v="1"/>
    <x v="1"/>
    <n v="224"/>
    <n v="51"/>
    <n v="0.23"/>
    <s v="Desktop"/>
    <n v="0"/>
    <n v="1"/>
    <n v="1"/>
    <n v="14.99"/>
    <n v="14.99"/>
  </r>
  <r>
    <n v="166"/>
    <s v="Female"/>
    <n v="50"/>
    <x v="7"/>
    <x v="0"/>
    <n v="205"/>
    <n v="43"/>
    <n v="0.48"/>
    <s v="Desktop"/>
    <n v="47"/>
    <n v="0"/>
    <n v="0"/>
    <n v="0"/>
    <n v="0"/>
  </r>
  <r>
    <n v="167"/>
    <s v="Male"/>
    <n v="23"/>
    <x v="6"/>
    <x v="3"/>
    <n v="95"/>
    <n v="31"/>
    <n v="0.37"/>
    <s v="Web"/>
    <n v="0"/>
    <n v="1"/>
    <n v="0"/>
    <n v="4.99"/>
    <n v="0"/>
  </r>
  <r>
    <n v="168"/>
    <s v="Other"/>
    <n v="20"/>
    <x v="4"/>
    <x v="0"/>
    <n v="289"/>
    <n v="17"/>
    <n v="0.28000000000000003"/>
    <s v="Desktop"/>
    <n v="35"/>
    <n v="0"/>
    <n v="0"/>
    <n v="0"/>
    <n v="0"/>
  </r>
  <r>
    <n v="169"/>
    <s v="Male"/>
    <n v="51"/>
    <x v="0"/>
    <x v="2"/>
    <n v="168"/>
    <n v="28"/>
    <n v="0.54"/>
    <s v="Web"/>
    <n v="0"/>
    <n v="1"/>
    <n v="0"/>
    <n v="9.99"/>
    <n v="0"/>
  </r>
  <r>
    <n v="170"/>
    <s v="Female"/>
    <n v="18"/>
    <x v="7"/>
    <x v="0"/>
    <n v="211"/>
    <n v="48"/>
    <n v="0.48"/>
    <s v="Mobile"/>
    <n v="23"/>
    <n v="0"/>
    <n v="1"/>
    <n v="0"/>
    <n v="0"/>
  </r>
  <r>
    <n v="171"/>
    <s v="Male"/>
    <n v="29"/>
    <x v="1"/>
    <x v="2"/>
    <n v="63"/>
    <n v="99"/>
    <n v="0.38"/>
    <s v="Mobile"/>
    <n v="0"/>
    <n v="1"/>
    <n v="0"/>
    <n v="9.99"/>
    <n v="0"/>
  </r>
  <r>
    <n v="172"/>
    <s v="Male"/>
    <n v="39"/>
    <x v="1"/>
    <x v="0"/>
    <n v="124"/>
    <n v="83"/>
    <n v="0.52"/>
    <s v="Mobile"/>
    <n v="35"/>
    <n v="0"/>
    <n v="0"/>
    <n v="0"/>
    <n v="0"/>
  </r>
  <r>
    <n v="173"/>
    <s v="Other"/>
    <n v="51"/>
    <x v="0"/>
    <x v="1"/>
    <n v="275"/>
    <n v="56"/>
    <n v="0.05"/>
    <s v="Web"/>
    <n v="0"/>
    <n v="1"/>
    <n v="0"/>
    <n v="14.99"/>
    <n v="0"/>
  </r>
  <r>
    <n v="174"/>
    <s v="Male"/>
    <n v="24"/>
    <x v="7"/>
    <x v="3"/>
    <n v="120"/>
    <n v="38"/>
    <n v="0.11"/>
    <s v="Mobile"/>
    <n v="0"/>
    <n v="1"/>
    <n v="0"/>
    <n v="4.99"/>
    <n v="0"/>
  </r>
  <r>
    <n v="175"/>
    <s v="Male"/>
    <n v="20"/>
    <x v="1"/>
    <x v="0"/>
    <n v="64"/>
    <n v="20"/>
    <n v="0.16"/>
    <s v="Mobile"/>
    <n v="20"/>
    <n v="0"/>
    <n v="1"/>
    <n v="0"/>
    <n v="0"/>
  </r>
  <r>
    <n v="176"/>
    <s v="Female"/>
    <n v="57"/>
    <x v="4"/>
    <x v="2"/>
    <n v="121"/>
    <n v="86"/>
    <n v="0.08"/>
    <s v="Web"/>
    <n v="0"/>
    <n v="1"/>
    <n v="1"/>
    <n v="9.99"/>
    <n v="9.99"/>
  </r>
  <r>
    <n v="177"/>
    <s v="Other"/>
    <n v="16"/>
    <x v="2"/>
    <x v="0"/>
    <n v="184"/>
    <n v="12"/>
    <n v="0.2"/>
    <s v="Desktop"/>
    <n v="15"/>
    <n v="0"/>
    <n v="0"/>
    <n v="0"/>
    <n v="0"/>
  </r>
  <r>
    <n v="178"/>
    <s v="Male"/>
    <n v="18"/>
    <x v="7"/>
    <x v="1"/>
    <n v="219"/>
    <n v="54"/>
    <n v="0.06"/>
    <s v="Web"/>
    <n v="0"/>
    <n v="1"/>
    <n v="0"/>
    <n v="14.99"/>
    <n v="0"/>
  </r>
  <r>
    <n v="179"/>
    <s v="Male"/>
    <n v="16"/>
    <x v="1"/>
    <x v="0"/>
    <n v="184"/>
    <n v="40"/>
    <n v="0.01"/>
    <s v="Mobile"/>
    <n v="9"/>
    <n v="0"/>
    <n v="0"/>
    <n v="0"/>
    <n v="0"/>
  </r>
  <r>
    <n v="180"/>
    <s v="Female"/>
    <n v="50"/>
    <x v="4"/>
    <x v="1"/>
    <n v="30"/>
    <n v="37"/>
    <n v="0.25"/>
    <s v="Desktop"/>
    <n v="0"/>
    <n v="1"/>
    <n v="1"/>
    <n v="14.99"/>
    <n v="14.99"/>
  </r>
  <r>
    <n v="181"/>
    <s v="Male"/>
    <n v="23"/>
    <x v="1"/>
    <x v="0"/>
    <n v="55"/>
    <n v="46"/>
    <n v="0.41"/>
    <s v="Desktop"/>
    <n v="7"/>
    <n v="0"/>
    <n v="0"/>
    <n v="0"/>
    <n v="0"/>
  </r>
  <r>
    <n v="182"/>
    <s v="Female"/>
    <n v="53"/>
    <x v="2"/>
    <x v="2"/>
    <n v="38"/>
    <n v="4"/>
    <n v="0.09"/>
    <s v="Mobile"/>
    <n v="0"/>
    <n v="1"/>
    <n v="0"/>
    <n v="9.99"/>
    <n v="0"/>
  </r>
  <r>
    <n v="183"/>
    <s v="Male"/>
    <n v="58"/>
    <x v="0"/>
    <x v="2"/>
    <n v="281"/>
    <n v="58"/>
    <n v="0.16"/>
    <s v="Desktop"/>
    <n v="0"/>
    <n v="1"/>
    <n v="0"/>
    <n v="9.99"/>
    <n v="0"/>
  </r>
  <r>
    <n v="184"/>
    <s v="Female"/>
    <n v="31"/>
    <x v="1"/>
    <x v="2"/>
    <n v="140"/>
    <n v="57"/>
    <n v="0.35"/>
    <s v="Mobile"/>
    <n v="0"/>
    <n v="1"/>
    <n v="1"/>
    <n v="9.99"/>
    <n v="9.99"/>
  </r>
  <r>
    <n v="185"/>
    <s v="Female"/>
    <n v="19"/>
    <x v="3"/>
    <x v="3"/>
    <n v="130"/>
    <n v="17"/>
    <n v="0.35"/>
    <s v="Desktop"/>
    <n v="0"/>
    <n v="1"/>
    <n v="0"/>
    <n v="4.99"/>
    <n v="0"/>
  </r>
  <r>
    <n v="186"/>
    <s v="Female"/>
    <n v="36"/>
    <x v="3"/>
    <x v="3"/>
    <n v="238"/>
    <n v="82"/>
    <n v="0.35"/>
    <s v="Web"/>
    <n v="0"/>
    <n v="1"/>
    <n v="1"/>
    <n v="4.99"/>
    <n v="4.99"/>
  </r>
  <r>
    <n v="187"/>
    <s v="Other"/>
    <n v="19"/>
    <x v="7"/>
    <x v="2"/>
    <n v="295"/>
    <n v="53"/>
    <n v="0.55000000000000004"/>
    <s v="Web"/>
    <n v="0"/>
    <n v="1"/>
    <n v="1"/>
    <n v="9.99"/>
    <n v="9.99"/>
  </r>
  <r>
    <n v="188"/>
    <s v="Other"/>
    <n v="26"/>
    <x v="5"/>
    <x v="0"/>
    <n v="265"/>
    <n v="31"/>
    <n v="0.41"/>
    <s v="Web"/>
    <n v="38"/>
    <n v="0"/>
    <n v="0"/>
    <n v="0"/>
    <n v="0"/>
  </r>
  <r>
    <n v="189"/>
    <s v="Other"/>
    <n v="16"/>
    <x v="3"/>
    <x v="3"/>
    <n v="179"/>
    <n v="80"/>
    <n v="0.6"/>
    <s v="Desktop"/>
    <n v="0"/>
    <n v="1"/>
    <n v="0"/>
    <n v="4.99"/>
    <n v="0"/>
  </r>
  <r>
    <n v="190"/>
    <s v="Other"/>
    <n v="49"/>
    <x v="2"/>
    <x v="0"/>
    <n v="198"/>
    <n v="4"/>
    <n v="0.1"/>
    <s v="Desktop"/>
    <n v="36"/>
    <n v="0"/>
    <n v="0"/>
    <n v="0"/>
    <n v="0"/>
  </r>
  <r>
    <n v="191"/>
    <s v="Female"/>
    <n v="55"/>
    <x v="4"/>
    <x v="2"/>
    <n v="180"/>
    <n v="17"/>
    <n v="0.08"/>
    <s v="Web"/>
    <n v="0"/>
    <n v="1"/>
    <n v="0"/>
    <n v="9.99"/>
    <n v="0"/>
  </r>
  <r>
    <n v="192"/>
    <s v="Other"/>
    <n v="21"/>
    <x v="1"/>
    <x v="3"/>
    <n v="267"/>
    <n v="89"/>
    <n v="0.52"/>
    <s v="Web"/>
    <n v="0"/>
    <n v="1"/>
    <n v="0"/>
    <n v="4.99"/>
    <n v="0"/>
  </r>
  <r>
    <n v="193"/>
    <s v="Other"/>
    <n v="48"/>
    <x v="0"/>
    <x v="0"/>
    <n v="126"/>
    <n v="22"/>
    <n v="0.57999999999999996"/>
    <s v="Mobile"/>
    <n v="45"/>
    <n v="0"/>
    <n v="0"/>
    <n v="0"/>
    <n v="0"/>
  </r>
  <r>
    <n v="194"/>
    <s v="Female"/>
    <n v="38"/>
    <x v="5"/>
    <x v="1"/>
    <n v="233"/>
    <n v="94"/>
    <n v="0.28999999999999998"/>
    <s v="Web"/>
    <n v="0"/>
    <n v="1"/>
    <n v="1"/>
    <n v="14.99"/>
    <n v="14.99"/>
  </r>
  <r>
    <n v="195"/>
    <s v="Male"/>
    <n v="59"/>
    <x v="7"/>
    <x v="3"/>
    <n v="161"/>
    <n v="95"/>
    <n v="0.59"/>
    <s v="Desktop"/>
    <n v="0"/>
    <n v="1"/>
    <n v="1"/>
    <n v="4.99"/>
    <n v="4.99"/>
  </r>
  <r>
    <n v="196"/>
    <s v="Female"/>
    <n v="31"/>
    <x v="0"/>
    <x v="3"/>
    <n v="100"/>
    <n v="70"/>
    <n v="0.43"/>
    <s v="Mobile"/>
    <n v="0"/>
    <n v="1"/>
    <n v="0"/>
    <n v="4.99"/>
    <n v="0"/>
  </r>
  <r>
    <n v="197"/>
    <s v="Female"/>
    <n v="24"/>
    <x v="3"/>
    <x v="3"/>
    <n v="240"/>
    <n v="45"/>
    <n v="0.53"/>
    <s v="Web"/>
    <n v="0"/>
    <n v="1"/>
    <n v="1"/>
    <n v="4.99"/>
    <n v="4.99"/>
  </r>
  <r>
    <n v="198"/>
    <s v="Male"/>
    <n v="55"/>
    <x v="4"/>
    <x v="3"/>
    <n v="170"/>
    <n v="95"/>
    <n v="0.45"/>
    <s v="Mobile"/>
    <n v="0"/>
    <n v="1"/>
    <n v="0"/>
    <n v="4.99"/>
    <n v="0"/>
  </r>
  <r>
    <n v="199"/>
    <s v="Male"/>
    <n v="53"/>
    <x v="4"/>
    <x v="1"/>
    <n v="150"/>
    <n v="29"/>
    <n v="0.18"/>
    <s v="Desktop"/>
    <n v="0"/>
    <n v="1"/>
    <n v="0"/>
    <n v="14.99"/>
    <n v="0"/>
  </r>
  <r>
    <n v="200"/>
    <s v="Other"/>
    <n v="31"/>
    <x v="3"/>
    <x v="1"/>
    <n v="203"/>
    <n v="79"/>
    <n v="0.15"/>
    <s v="Web"/>
    <n v="0"/>
    <n v="1"/>
    <n v="0"/>
    <n v="14.99"/>
    <n v="0"/>
  </r>
  <r>
    <n v="201"/>
    <s v="Female"/>
    <n v="49"/>
    <x v="2"/>
    <x v="0"/>
    <n v="226"/>
    <n v="31"/>
    <n v="0.24"/>
    <s v="Desktop"/>
    <n v="32"/>
    <n v="0"/>
    <n v="0"/>
    <n v="0"/>
    <n v="0"/>
  </r>
  <r>
    <n v="202"/>
    <s v="Other"/>
    <n v="49"/>
    <x v="4"/>
    <x v="2"/>
    <n v="31"/>
    <n v="93"/>
    <n v="0.03"/>
    <s v="Desktop"/>
    <n v="0"/>
    <n v="1"/>
    <n v="0"/>
    <n v="9.99"/>
    <n v="0"/>
  </r>
  <r>
    <n v="203"/>
    <s v="Female"/>
    <n v="33"/>
    <x v="1"/>
    <x v="2"/>
    <n v="81"/>
    <n v="34"/>
    <n v="0.09"/>
    <s v="Mobile"/>
    <n v="0"/>
    <n v="1"/>
    <n v="0"/>
    <n v="9.99"/>
    <n v="0"/>
  </r>
  <r>
    <n v="204"/>
    <s v="Other"/>
    <n v="59"/>
    <x v="7"/>
    <x v="0"/>
    <n v="62"/>
    <n v="99"/>
    <n v="0.55000000000000004"/>
    <s v="Mobile"/>
    <n v="5"/>
    <n v="0"/>
    <n v="0"/>
    <n v="0"/>
    <n v="0"/>
  </r>
  <r>
    <n v="205"/>
    <s v="Female"/>
    <n v="58"/>
    <x v="2"/>
    <x v="0"/>
    <n v="202"/>
    <n v="22"/>
    <n v="0.45"/>
    <s v="Mobile"/>
    <n v="36"/>
    <n v="0"/>
    <n v="0"/>
    <n v="0"/>
    <n v="0"/>
  </r>
  <r>
    <n v="206"/>
    <s v="Other"/>
    <n v="49"/>
    <x v="7"/>
    <x v="0"/>
    <n v="207"/>
    <n v="33"/>
    <n v="0.09"/>
    <s v="Web"/>
    <n v="9"/>
    <n v="0"/>
    <n v="1"/>
    <n v="0"/>
    <n v="0"/>
  </r>
  <r>
    <n v="207"/>
    <s v="Male"/>
    <n v="42"/>
    <x v="1"/>
    <x v="3"/>
    <n v="20"/>
    <n v="38"/>
    <n v="0.6"/>
    <s v="Web"/>
    <n v="0"/>
    <n v="1"/>
    <n v="0"/>
    <n v="4.99"/>
    <n v="0"/>
  </r>
  <r>
    <n v="208"/>
    <s v="Other"/>
    <n v="24"/>
    <x v="2"/>
    <x v="0"/>
    <n v="113"/>
    <n v="42"/>
    <n v="0.56000000000000005"/>
    <s v="Desktop"/>
    <n v="32"/>
    <n v="0"/>
    <n v="1"/>
    <n v="0"/>
    <n v="0"/>
  </r>
  <r>
    <n v="209"/>
    <s v="Male"/>
    <n v="33"/>
    <x v="5"/>
    <x v="0"/>
    <n v="168"/>
    <n v="42"/>
    <n v="0.12"/>
    <s v="Desktop"/>
    <n v="49"/>
    <n v="0"/>
    <n v="0"/>
    <n v="0"/>
    <n v="0"/>
  </r>
  <r>
    <n v="210"/>
    <s v="Other"/>
    <n v="20"/>
    <x v="5"/>
    <x v="3"/>
    <n v="251"/>
    <n v="79"/>
    <n v="0.37"/>
    <s v="Web"/>
    <n v="0"/>
    <n v="1"/>
    <n v="0"/>
    <n v="4.99"/>
    <n v="0"/>
  </r>
  <r>
    <n v="211"/>
    <s v="Other"/>
    <n v="42"/>
    <x v="5"/>
    <x v="0"/>
    <n v="222"/>
    <n v="95"/>
    <n v="0.04"/>
    <s v="Desktop"/>
    <n v="29"/>
    <n v="0"/>
    <n v="0"/>
    <n v="0"/>
    <n v="0"/>
  </r>
  <r>
    <n v="212"/>
    <s v="Female"/>
    <n v="16"/>
    <x v="1"/>
    <x v="0"/>
    <n v="74"/>
    <n v="33"/>
    <n v="0.12"/>
    <s v="Mobile"/>
    <n v="13"/>
    <n v="0"/>
    <n v="0"/>
    <n v="0"/>
    <n v="0"/>
  </r>
  <r>
    <n v="213"/>
    <s v="Male"/>
    <n v="37"/>
    <x v="0"/>
    <x v="2"/>
    <n v="139"/>
    <n v="71"/>
    <n v="0.16"/>
    <s v="Desktop"/>
    <n v="0"/>
    <n v="1"/>
    <n v="0"/>
    <n v="9.99"/>
    <n v="0"/>
  </r>
  <r>
    <n v="214"/>
    <s v="Female"/>
    <n v="26"/>
    <x v="6"/>
    <x v="0"/>
    <n v="160"/>
    <n v="23"/>
    <n v="0.06"/>
    <s v="Web"/>
    <n v="45"/>
    <n v="0"/>
    <n v="0"/>
    <n v="0"/>
    <n v="0"/>
  </r>
  <r>
    <n v="215"/>
    <s v="Other"/>
    <n v="46"/>
    <x v="3"/>
    <x v="2"/>
    <n v="37"/>
    <n v="94"/>
    <n v="0.37"/>
    <s v="Web"/>
    <n v="0"/>
    <n v="1"/>
    <n v="0"/>
    <n v="9.99"/>
    <n v="0"/>
  </r>
  <r>
    <n v="216"/>
    <s v="Male"/>
    <n v="36"/>
    <x v="3"/>
    <x v="1"/>
    <n v="199"/>
    <n v="4"/>
    <n v="0.12"/>
    <s v="Desktop"/>
    <n v="0"/>
    <n v="1"/>
    <n v="0"/>
    <n v="14.99"/>
    <n v="0"/>
  </r>
  <r>
    <n v="217"/>
    <s v="Other"/>
    <n v="32"/>
    <x v="6"/>
    <x v="0"/>
    <n v="204"/>
    <n v="87"/>
    <n v="0.42"/>
    <s v="Desktop"/>
    <n v="14"/>
    <n v="0"/>
    <n v="0"/>
    <n v="0"/>
    <n v="0"/>
  </r>
  <r>
    <n v="218"/>
    <s v="Other"/>
    <n v="18"/>
    <x v="5"/>
    <x v="1"/>
    <n v="181"/>
    <n v="67"/>
    <n v="0.56000000000000005"/>
    <s v="Desktop"/>
    <n v="0"/>
    <n v="1"/>
    <n v="1"/>
    <n v="14.99"/>
    <n v="14.99"/>
  </r>
  <r>
    <n v="219"/>
    <s v="Other"/>
    <n v="20"/>
    <x v="1"/>
    <x v="2"/>
    <n v="269"/>
    <n v="4"/>
    <n v="0.31"/>
    <s v="Web"/>
    <n v="0"/>
    <n v="1"/>
    <n v="0"/>
    <n v="9.99"/>
    <n v="0"/>
  </r>
  <r>
    <n v="220"/>
    <s v="Female"/>
    <n v="19"/>
    <x v="5"/>
    <x v="0"/>
    <n v="245"/>
    <n v="9"/>
    <n v="7.0000000000000007E-2"/>
    <s v="Mobile"/>
    <n v="42"/>
    <n v="0"/>
    <n v="0"/>
    <n v="0"/>
    <n v="0"/>
  </r>
  <r>
    <n v="221"/>
    <s v="Other"/>
    <n v="34"/>
    <x v="0"/>
    <x v="3"/>
    <n v="50"/>
    <n v="54"/>
    <n v="0.59"/>
    <s v="Web"/>
    <n v="0"/>
    <n v="1"/>
    <n v="0"/>
    <n v="4.99"/>
    <n v="0"/>
  </r>
  <r>
    <n v="222"/>
    <s v="Other"/>
    <n v="50"/>
    <x v="1"/>
    <x v="3"/>
    <n v="272"/>
    <n v="46"/>
    <n v="0.12"/>
    <s v="Web"/>
    <n v="0"/>
    <n v="1"/>
    <n v="0"/>
    <n v="4.99"/>
    <n v="0"/>
  </r>
  <r>
    <n v="223"/>
    <s v="Other"/>
    <n v="36"/>
    <x v="6"/>
    <x v="1"/>
    <n v="271"/>
    <n v="26"/>
    <n v="0.5"/>
    <s v="Web"/>
    <n v="0"/>
    <n v="1"/>
    <n v="0"/>
    <n v="14.99"/>
    <n v="0"/>
  </r>
  <r>
    <n v="224"/>
    <s v="Other"/>
    <n v="53"/>
    <x v="1"/>
    <x v="3"/>
    <n v="252"/>
    <n v="68"/>
    <n v="0.04"/>
    <s v="Web"/>
    <n v="0"/>
    <n v="1"/>
    <n v="1"/>
    <n v="4.99"/>
    <n v="4.99"/>
  </r>
  <r>
    <n v="225"/>
    <s v="Female"/>
    <n v="31"/>
    <x v="7"/>
    <x v="3"/>
    <n v="155"/>
    <n v="2"/>
    <n v="0.36"/>
    <s v="Desktop"/>
    <n v="0"/>
    <n v="1"/>
    <n v="1"/>
    <n v="4.99"/>
    <n v="4.99"/>
  </r>
  <r>
    <n v="226"/>
    <s v="Female"/>
    <n v="40"/>
    <x v="6"/>
    <x v="0"/>
    <n v="66"/>
    <n v="80"/>
    <n v="0.02"/>
    <s v="Mobile"/>
    <n v="48"/>
    <n v="0"/>
    <n v="1"/>
    <n v="0"/>
    <n v="0"/>
  </r>
  <r>
    <n v="227"/>
    <s v="Female"/>
    <n v="41"/>
    <x v="0"/>
    <x v="3"/>
    <n v="51"/>
    <n v="26"/>
    <n v="0.19"/>
    <s v="Web"/>
    <n v="0"/>
    <n v="1"/>
    <n v="0"/>
    <n v="4.99"/>
    <n v="0"/>
  </r>
  <r>
    <n v="228"/>
    <s v="Male"/>
    <n v="27"/>
    <x v="4"/>
    <x v="0"/>
    <n v="174"/>
    <n v="6"/>
    <n v="0.54"/>
    <s v="Mobile"/>
    <n v="7"/>
    <n v="0"/>
    <n v="0"/>
    <n v="0"/>
    <n v="0"/>
  </r>
  <r>
    <n v="229"/>
    <s v="Other"/>
    <n v="52"/>
    <x v="1"/>
    <x v="3"/>
    <n v="165"/>
    <n v="20"/>
    <n v="0.01"/>
    <s v="Desktop"/>
    <n v="0"/>
    <n v="1"/>
    <n v="1"/>
    <n v="4.99"/>
    <n v="4.99"/>
  </r>
  <r>
    <n v="230"/>
    <s v="Other"/>
    <n v="49"/>
    <x v="2"/>
    <x v="2"/>
    <n v="73"/>
    <n v="39"/>
    <n v="0.11"/>
    <s v="Mobile"/>
    <n v="0"/>
    <n v="1"/>
    <n v="0"/>
    <n v="9.99"/>
    <n v="0"/>
  </r>
  <r>
    <n v="231"/>
    <s v="Male"/>
    <n v="51"/>
    <x v="1"/>
    <x v="3"/>
    <n v="10"/>
    <n v="11"/>
    <n v="0.09"/>
    <s v="Web"/>
    <n v="0"/>
    <n v="1"/>
    <n v="0"/>
    <n v="4.99"/>
    <n v="0"/>
  </r>
  <r>
    <n v="232"/>
    <s v="Female"/>
    <n v="19"/>
    <x v="6"/>
    <x v="2"/>
    <n v="279"/>
    <n v="26"/>
    <n v="0.03"/>
    <s v="Web"/>
    <n v="0"/>
    <n v="1"/>
    <n v="0"/>
    <n v="9.99"/>
    <n v="0"/>
  </r>
  <r>
    <n v="233"/>
    <s v="Male"/>
    <n v="41"/>
    <x v="4"/>
    <x v="0"/>
    <n v="222"/>
    <n v="4"/>
    <n v="0.06"/>
    <s v="Mobile"/>
    <n v="26"/>
    <n v="0"/>
    <n v="1"/>
    <n v="0"/>
    <n v="0"/>
  </r>
  <r>
    <n v="234"/>
    <s v="Male"/>
    <n v="49"/>
    <x v="1"/>
    <x v="2"/>
    <n v="39"/>
    <n v="6"/>
    <n v="0.54"/>
    <s v="Web"/>
    <n v="0"/>
    <n v="1"/>
    <n v="0"/>
    <n v="9.99"/>
    <n v="0"/>
  </r>
  <r>
    <n v="235"/>
    <s v="Male"/>
    <n v="17"/>
    <x v="6"/>
    <x v="2"/>
    <n v="40"/>
    <n v="97"/>
    <n v="0.08"/>
    <s v="Mobile"/>
    <n v="0"/>
    <n v="1"/>
    <n v="1"/>
    <n v="9.99"/>
    <n v="9.99"/>
  </r>
  <r>
    <n v="236"/>
    <s v="Female"/>
    <n v="22"/>
    <x v="4"/>
    <x v="2"/>
    <n v="254"/>
    <n v="86"/>
    <n v="0.45"/>
    <s v="Desktop"/>
    <n v="0"/>
    <n v="1"/>
    <n v="1"/>
    <n v="9.99"/>
    <n v="9.99"/>
  </r>
  <r>
    <n v="237"/>
    <s v="Male"/>
    <n v="31"/>
    <x v="4"/>
    <x v="1"/>
    <n v="227"/>
    <n v="23"/>
    <n v="0.55000000000000004"/>
    <s v="Mobile"/>
    <n v="0"/>
    <n v="1"/>
    <n v="1"/>
    <n v="14.99"/>
    <n v="14.99"/>
  </r>
  <r>
    <n v="238"/>
    <s v="Female"/>
    <n v="19"/>
    <x v="6"/>
    <x v="2"/>
    <n v="244"/>
    <n v="5"/>
    <n v="0.34"/>
    <s v="Web"/>
    <n v="0"/>
    <n v="1"/>
    <n v="0"/>
    <n v="9.99"/>
    <n v="0"/>
  </r>
  <r>
    <n v="239"/>
    <s v="Female"/>
    <n v="37"/>
    <x v="0"/>
    <x v="0"/>
    <n v="113"/>
    <n v="85"/>
    <n v="0.23"/>
    <s v="Mobile"/>
    <n v="27"/>
    <n v="0"/>
    <n v="1"/>
    <n v="0"/>
    <n v="0"/>
  </r>
  <r>
    <n v="240"/>
    <s v="Female"/>
    <n v="43"/>
    <x v="4"/>
    <x v="0"/>
    <n v="218"/>
    <n v="6"/>
    <n v="0.01"/>
    <s v="Mobile"/>
    <n v="15"/>
    <n v="0"/>
    <n v="1"/>
    <n v="0"/>
    <n v="0"/>
  </r>
  <r>
    <n v="241"/>
    <s v="Male"/>
    <n v="29"/>
    <x v="4"/>
    <x v="0"/>
    <n v="144"/>
    <n v="94"/>
    <n v="0.33"/>
    <s v="Desktop"/>
    <n v="19"/>
    <n v="0"/>
    <n v="0"/>
    <n v="0"/>
    <n v="0"/>
  </r>
  <r>
    <n v="242"/>
    <s v="Female"/>
    <n v="51"/>
    <x v="0"/>
    <x v="2"/>
    <n v="143"/>
    <n v="48"/>
    <n v="0.09"/>
    <s v="Web"/>
    <n v="0"/>
    <n v="1"/>
    <n v="0"/>
    <n v="9.99"/>
    <n v="0"/>
  </r>
  <r>
    <n v="243"/>
    <s v="Male"/>
    <n v="41"/>
    <x v="0"/>
    <x v="2"/>
    <n v="110"/>
    <n v="61"/>
    <n v="0.44"/>
    <s v="Mobile"/>
    <n v="0"/>
    <n v="1"/>
    <n v="0"/>
    <n v="9.99"/>
    <n v="0"/>
  </r>
  <r>
    <n v="244"/>
    <s v="Other"/>
    <n v="24"/>
    <x v="6"/>
    <x v="1"/>
    <n v="283"/>
    <n v="90"/>
    <n v="0.53"/>
    <s v="Web"/>
    <n v="0"/>
    <n v="1"/>
    <n v="0"/>
    <n v="14.99"/>
    <n v="0"/>
  </r>
  <r>
    <n v="245"/>
    <s v="Other"/>
    <n v="19"/>
    <x v="7"/>
    <x v="2"/>
    <n v="276"/>
    <n v="15"/>
    <n v="0.28000000000000003"/>
    <s v="Mobile"/>
    <n v="0"/>
    <n v="1"/>
    <n v="0"/>
    <n v="9.99"/>
    <n v="0"/>
  </r>
  <r>
    <n v="246"/>
    <s v="Male"/>
    <n v="48"/>
    <x v="5"/>
    <x v="2"/>
    <n v="178"/>
    <n v="70"/>
    <n v="0.28999999999999998"/>
    <s v="Desktop"/>
    <n v="0"/>
    <n v="1"/>
    <n v="0"/>
    <n v="9.99"/>
    <n v="0"/>
  </r>
  <r>
    <n v="247"/>
    <s v="Other"/>
    <n v="37"/>
    <x v="3"/>
    <x v="2"/>
    <n v="114"/>
    <n v="13"/>
    <n v="0.49"/>
    <s v="Desktop"/>
    <n v="0"/>
    <n v="1"/>
    <n v="0"/>
    <n v="9.99"/>
    <n v="0"/>
  </r>
  <r>
    <n v="248"/>
    <s v="Female"/>
    <n v="59"/>
    <x v="3"/>
    <x v="0"/>
    <n v="98"/>
    <n v="24"/>
    <n v="0.32"/>
    <s v="Mobile"/>
    <n v="8"/>
    <n v="0"/>
    <n v="0"/>
    <n v="0"/>
    <n v="0"/>
  </r>
  <r>
    <n v="249"/>
    <s v="Female"/>
    <n v="54"/>
    <x v="5"/>
    <x v="1"/>
    <n v="49"/>
    <n v="27"/>
    <n v="0.28999999999999998"/>
    <s v="Mobile"/>
    <n v="0"/>
    <n v="1"/>
    <n v="0"/>
    <n v="14.99"/>
    <n v="0"/>
  </r>
  <r>
    <n v="250"/>
    <s v="Female"/>
    <n v="36"/>
    <x v="2"/>
    <x v="2"/>
    <n v="28"/>
    <n v="39"/>
    <n v="0.27"/>
    <s v="Web"/>
    <n v="0"/>
    <n v="1"/>
    <n v="0"/>
    <n v="9.99"/>
    <n v="0"/>
  </r>
  <r>
    <n v="251"/>
    <s v="Other"/>
    <n v="58"/>
    <x v="6"/>
    <x v="2"/>
    <n v="259"/>
    <n v="67"/>
    <n v="0.17"/>
    <s v="Mobile"/>
    <n v="0"/>
    <n v="1"/>
    <n v="0"/>
    <n v="9.99"/>
    <n v="0"/>
  </r>
  <r>
    <n v="252"/>
    <s v="Other"/>
    <n v="20"/>
    <x v="0"/>
    <x v="0"/>
    <n v="279"/>
    <n v="84"/>
    <n v="0.43"/>
    <s v="Desktop"/>
    <n v="24"/>
    <n v="0"/>
    <n v="0"/>
    <n v="0"/>
    <n v="0"/>
  </r>
  <r>
    <n v="253"/>
    <s v="Other"/>
    <n v="18"/>
    <x v="2"/>
    <x v="2"/>
    <n v="139"/>
    <n v="58"/>
    <n v="0.09"/>
    <s v="Web"/>
    <n v="0"/>
    <n v="1"/>
    <n v="1"/>
    <n v="9.99"/>
    <n v="9.99"/>
  </r>
  <r>
    <n v="254"/>
    <s v="Female"/>
    <n v="35"/>
    <x v="1"/>
    <x v="0"/>
    <n v="53"/>
    <n v="97"/>
    <n v="0.45"/>
    <s v="Desktop"/>
    <n v="29"/>
    <n v="0"/>
    <n v="0"/>
    <n v="0"/>
    <n v="0"/>
  </r>
  <r>
    <n v="255"/>
    <s v="Male"/>
    <n v="57"/>
    <x v="4"/>
    <x v="1"/>
    <n v="255"/>
    <n v="82"/>
    <n v="0.19"/>
    <s v="Mobile"/>
    <n v="0"/>
    <n v="1"/>
    <n v="0"/>
    <n v="14.99"/>
    <n v="0"/>
  </r>
  <r>
    <n v="256"/>
    <s v="Other"/>
    <n v="55"/>
    <x v="0"/>
    <x v="2"/>
    <n v="259"/>
    <n v="20"/>
    <n v="0.01"/>
    <s v="Mobile"/>
    <n v="0"/>
    <n v="1"/>
    <n v="0"/>
    <n v="9.99"/>
    <n v="0"/>
  </r>
  <r>
    <n v="257"/>
    <s v="Other"/>
    <n v="53"/>
    <x v="7"/>
    <x v="0"/>
    <n v="112"/>
    <n v="33"/>
    <n v="0.34"/>
    <s v="Mobile"/>
    <n v="30"/>
    <n v="0"/>
    <n v="0"/>
    <n v="0"/>
    <n v="0"/>
  </r>
  <r>
    <n v="258"/>
    <s v="Other"/>
    <n v="22"/>
    <x v="3"/>
    <x v="2"/>
    <n v="260"/>
    <n v="75"/>
    <n v="0.36"/>
    <s v="Web"/>
    <n v="0"/>
    <n v="1"/>
    <n v="0"/>
    <n v="9.99"/>
    <n v="0"/>
  </r>
  <r>
    <n v="259"/>
    <s v="Other"/>
    <n v="51"/>
    <x v="5"/>
    <x v="2"/>
    <n v="91"/>
    <n v="3"/>
    <n v="0.49"/>
    <s v="Desktop"/>
    <n v="0"/>
    <n v="1"/>
    <n v="0"/>
    <n v="9.99"/>
    <n v="0"/>
  </r>
  <r>
    <n v="260"/>
    <s v="Female"/>
    <n v="43"/>
    <x v="7"/>
    <x v="0"/>
    <n v="92"/>
    <n v="18"/>
    <n v="0.19"/>
    <s v="Mobile"/>
    <n v="25"/>
    <n v="0"/>
    <n v="0"/>
    <n v="0"/>
    <n v="0"/>
  </r>
  <r>
    <n v="261"/>
    <s v="Other"/>
    <n v="37"/>
    <x v="2"/>
    <x v="0"/>
    <n v="140"/>
    <n v="14"/>
    <n v="0.02"/>
    <s v="Mobile"/>
    <n v="31"/>
    <n v="0"/>
    <n v="0"/>
    <n v="0"/>
    <n v="0"/>
  </r>
  <r>
    <n v="262"/>
    <s v="Male"/>
    <n v="29"/>
    <x v="3"/>
    <x v="2"/>
    <n v="259"/>
    <n v="28"/>
    <n v="0.19"/>
    <s v="Desktop"/>
    <n v="0"/>
    <n v="1"/>
    <n v="1"/>
    <n v="9.99"/>
    <n v="9.99"/>
  </r>
  <r>
    <n v="263"/>
    <s v="Male"/>
    <n v="17"/>
    <x v="4"/>
    <x v="3"/>
    <n v="119"/>
    <n v="73"/>
    <n v="0.22"/>
    <s v="Desktop"/>
    <n v="0"/>
    <n v="1"/>
    <n v="0"/>
    <n v="4.99"/>
    <n v="0"/>
  </r>
  <r>
    <n v="264"/>
    <s v="Male"/>
    <n v="36"/>
    <x v="5"/>
    <x v="3"/>
    <n v="99"/>
    <n v="92"/>
    <n v="0.54"/>
    <s v="Web"/>
    <n v="0"/>
    <n v="1"/>
    <n v="1"/>
    <n v="4.99"/>
    <n v="4.99"/>
  </r>
  <r>
    <n v="265"/>
    <s v="Male"/>
    <n v="53"/>
    <x v="2"/>
    <x v="0"/>
    <n v="265"/>
    <n v="49"/>
    <n v="0.2"/>
    <s v="Desktop"/>
    <n v="41"/>
    <n v="0"/>
    <n v="1"/>
    <n v="0"/>
    <n v="0"/>
  </r>
  <r>
    <n v="266"/>
    <s v="Female"/>
    <n v="54"/>
    <x v="5"/>
    <x v="2"/>
    <n v="299"/>
    <n v="93"/>
    <n v="0.27"/>
    <s v="Mobile"/>
    <n v="0"/>
    <n v="1"/>
    <n v="1"/>
    <n v="9.99"/>
    <n v="9.99"/>
  </r>
  <r>
    <n v="267"/>
    <s v="Female"/>
    <n v="59"/>
    <x v="2"/>
    <x v="0"/>
    <n v="255"/>
    <n v="75"/>
    <n v="0.56000000000000005"/>
    <s v="Web"/>
    <n v="38"/>
    <n v="0"/>
    <n v="0"/>
    <n v="0"/>
    <n v="0"/>
  </r>
  <r>
    <n v="268"/>
    <s v="Other"/>
    <n v="42"/>
    <x v="1"/>
    <x v="1"/>
    <n v="157"/>
    <n v="96"/>
    <n v="0.48"/>
    <s v="Web"/>
    <n v="0"/>
    <n v="1"/>
    <n v="1"/>
    <n v="14.99"/>
    <n v="14.99"/>
  </r>
  <r>
    <n v="269"/>
    <s v="Other"/>
    <n v="36"/>
    <x v="2"/>
    <x v="1"/>
    <n v="176"/>
    <n v="15"/>
    <n v="0.11"/>
    <s v="Mobile"/>
    <n v="0"/>
    <n v="1"/>
    <n v="0"/>
    <n v="14.99"/>
    <n v="0"/>
  </r>
  <r>
    <n v="270"/>
    <s v="Female"/>
    <n v="22"/>
    <x v="2"/>
    <x v="3"/>
    <n v="146"/>
    <n v="45"/>
    <n v="0.44"/>
    <s v="Mobile"/>
    <n v="0"/>
    <n v="1"/>
    <n v="0"/>
    <n v="4.99"/>
    <n v="0"/>
  </r>
  <r>
    <n v="271"/>
    <s v="Male"/>
    <n v="19"/>
    <x v="1"/>
    <x v="1"/>
    <n v="211"/>
    <n v="64"/>
    <n v="0.15"/>
    <s v="Mobile"/>
    <n v="0"/>
    <n v="1"/>
    <n v="0"/>
    <n v="14.99"/>
    <n v="0"/>
  </r>
  <r>
    <n v="272"/>
    <s v="Male"/>
    <n v="47"/>
    <x v="5"/>
    <x v="2"/>
    <n v="191"/>
    <n v="42"/>
    <n v="0.52"/>
    <s v="Mobile"/>
    <n v="0"/>
    <n v="1"/>
    <n v="1"/>
    <n v="9.99"/>
    <n v="9.99"/>
  </r>
  <r>
    <n v="273"/>
    <s v="Male"/>
    <n v="29"/>
    <x v="0"/>
    <x v="2"/>
    <n v="218"/>
    <n v="72"/>
    <n v="0.28999999999999998"/>
    <s v="Mobile"/>
    <n v="0"/>
    <n v="1"/>
    <n v="0"/>
    <n v="9.99"/>
    <n v="0"/>
  </r>
  <r>
    <n v="274"/>
    <s v="Other"/>
    <n v="32"/>
    <x v="0"/>
    <x v="1"/>
    <n v="128"/>
    <n v="94"/>
    <n v="0.48"/>
    <s v="Web"/>
    <n v="0"/>
    <n v="1"/>
    <n v="0"/>
    <n v="14.99"/>
    <n v="0"/>
  </r>
  <r>
    <n v="275"/>
    <s v="Other"/>
    <n v="47"/>
    <x v="3"/>
    <x v="0"/>
    <n v="30"/>
    <n v="10"/>
    <n v="0.38"/>
    <s v="Web"/>
    <n v="37"/>
    <n v="0"/>
    <n v="0"/>
    <n v="0"/>
    <n v="0"/>
  </r>
  <r>
    <n v="276"/>
    <s v="Male"/>
    <n v="30"/>
    <x v="1"/>
    <x v="1"/>
    <n v="176"/>
    <n v="17"/>
    <n v="0.35"/>
    <s v="Mobile"/>
    <n v="0"/>
    <n v="1"/>
    <n v="0"/>
    <n v="14.99"/>
    <n v="0"/>
  </r>
  <r>
    <n v="277"/>
    <s v="Male"/>
    <n v="23"/>
    <x v="4"/>
    <x v="2"/>
    <n v="50"/>
    <n v="45"/>
    <n v="0.08"/>
    <s v="Mobile"/>
    <n v="0"/>
    <n v="1"/>
    <n v="0"/>
    <n v="9.99"/>
    <n v="0"/>
  </r>
  <r>
    <n v="278"/>
    <s v="Other"/>
    <n v="37"/>
    <x v="6"/>
    <x v="0"/>
    <n v="267"/>
    <n v="72"/>
    <n v="0.12"/>
    <s v="Desktop"/>
    <n v="38"/>
    <n v="0"/>
    <n v="0"/>
    <n v="0"/>
    <n v="0"/>
  </r>
  <r>
    <n v="279"/>
    <s v="Other"/>
    <n v="17"/>
    <x v="7"/>
    <x v="3"/>
    <n v="20"/>
    <n v="84"/>
    <n v="0.45"/>
    <s v="Web"/>
    <n v="0"/>
    <n v="1"/>
    <n v="0"/>
    <n v="4.99"/>
    <n v="0"/>
  </r>
  <r>
    <n v="280"/>
    <s v="Female"/>
    <n v="45"/>
    <x v="3"/>
    <x v="1"/>
    <n v="134"/>
    <n v="92"/>
    <n v="0.31"/>
    <s v="Mobile"/>
    <n v="0"/>
    <n v="1"/>
    <n v="0"/>
    <n v="14.99"/>
    <n v="0"/>
  </r>
  <r>
    <n v="281"/>
    <s v="Female"/>
    <n v="42"/>
    <x v="2"/>
    <x v="3"/>
    <n v="282"/>
    <n v="57"/>
    <n v="0.31"/>
    <s v="Mobile"/>
    <n v="0"/>
    <n v="1"/>
    <n v="0"/>
    <n v="4.99"/>
    <n v="0"/>
  </r>
  <r>
    <n v="282"/>
    <s v="Male"/>
    <n v="42"/>
    <x v="3"/>
    <x v="2"/>
    <n v="52"/>
    <n v="55"/>
    <n v="0.05"/>
    <s v="Web"/>
    <n v="0"/>
    <n v="1"/>
    <n v="1"/>
    <n v="9.99"/>
    <n v="9.99"/>
  </r>
  <r>
    <n v="283"/>
    <s v="Other"/>
    <n v="31"/>
    <x v="2"/>
    <x v="2"/>
    <n v="97"/>
    <n v="37"/>
    <n v="0.59"/>
    <s v="Web"/>
    <n v="0"/>
    <n v="1"/>
    <n v="0"/>
    <n v="9.99"/>
    <n v="0"/>
  </r>
  <r>
    <n v="284"/>
    <s v="Female"/>
    <n v="53"/>
    <x v="5"/>
    <x v="0"/>
    <n v="58"/>
    <n v="63"/>
    <n v="0.45"/>
    <s v="Mobile"/>
    <n v="45"/>
    <n v="0"/>
    <n v="0"/>
    <n v="0"/>
    <n v="0"/>
  </r>
  <r>
    <n v="285"/>
    <s v="Other"/>
    <n v="47"/>
    <x v="2"/>
    <x v="2"/>
    <n v="126"/>
    <n v="71"/>
    <n v="0.28999999999999998"/>
    <s v="Desktop"/>
    <n v="0"/>
    <n v="1"/>
    <n v="1"/>
    <n v="9.99"/>
    <n v="9.99"/>
  </r>
  <r>
    <n v="286"/>
    <s v="Female"/>
    <n v="40"/>
    <x v="6"/>
    <x v="2"/>
    <n v="172"/>
    <n v="48"/>
    <n v="0.54"/>
    <s v="Web"/>
    <n v="0"/>
    <n v="1"/>
    <n v="0"/>
    <n v="9.99"/>
    <n v="0"/>
  </r>
  <r>
    <n v="287"/>
    <s v="Female"/>
    <n v="35"/>
    <x v="7"/>
    <x v="0"/>
    <n v="258"/>
    <n v="36"/>
    <n v="0.2"/>
    <s v="Desktop"/>
    <n v="24"/>
    <n v="0"/>
    <n v="1"/>
    <n v="0"/>
    <n v="0"/>
  </r>
  <r>
    <n v="288"/>
    <s v="Female"/>
    <n v="33"/>
    <x v="5"/>
    <x v="0"/>
    <n v="291"/>
    <n v="31"/>
    <n v="0.28999999999999998"/>
    <s v="Desktop"/>
    <n v="39"/>
    <n v="0"/>
    <n v="0"/>
    <n v="0"/>
    <n v="0"/>
  </r>
  <r>
    <n v="289"/>
    <s v="Other"/>
    <n v="44"/>
    <x v="1"/>
    <x v="0"/>
    <n v="27"/>
    <n v="96"/>
    <n v="0.04"/>
    <s v="Desktop"/>
    <n v="27"/>
    <n v="0"/>
    <n v="1"/>
    <n v="0"/>
    <n v="0"/>
  </r>
  <r>
    <n v="290"/>
    <s v="Other"/>
    <n v="41"/>
    <x v="4"/>
    <x v="1"/>
    <n v="262"/>
    <n v="32"/>
    <n v="0.47"/>
    <s v="Desktop"/>
    <n v="0"/>
    <n v="1"/>
    <n v="0"/>
    <n v="14.99"/>
    <n v="0"/>
  </r>
  <r>
    <n v="291"/>
    <s v="Male"/>
    <n v="32"/>
    <x v="1"/>
    <x v="2"/>
    <n v="52"/>
    <n v="52"/>
    <n v="0.47"/>
    <s v="Desktop"/>
    <n v="0"/>
    <n v="1"/>
    <n v="1"/>
    <n v="9.99"/>
    <n v="9.99"/>
  </r>
  <r>
    <n v="292"/>
    <s v="Other"/>
    <n v="20"/>
    <x v="0"/>
    <x v="3"/>
    <n v="108"/>
    <n v="26"/>
    <n v="0.17"/>
    <s v="Web"/>
    <n v="0"/>
    <n v="1"/>
    <n v="0"/>
    <n v="4.99"/>
    <n v="0"/>
  </r>
  <r>
    <n v="293"/>
    <s v="Male"/>
    <n v="51"/>
    <x v="3"/>
    <x v="2"/>
    <n v="235"/>
    <n v="5"/>
    <n v="0.28000000000000003"/>
    <s v="Desktop"/>
    <n v="0"/>
    <n v="1"/>
    <n v="0"/>
    <n v="9.99"/>
    <n v="0"/>
  </r>
  <r>
    <n v="294"/>
    <s v="Female"/>
    <n v="25"/>
    <x v="3"/>
    <x v="3"/>
    <n v="213"/>
    <n v="36"/>
    <n v="0.28000000000000003"/>
    <s v="Web"/>
    <n v="0"/>
    <n v="1"/>
    <n v="0"/>
    <n v="4.99"/>
    <n v="0"/>
  </r>
  <r>
    <n v="295"/>
    <s v="Other"/>
    <n v="32"/>
    <x v="7"/>
    <x v="2"/>
    <n v="169"/>
    <n v="6"/>
    <n v="0.13"/>
    <s v="Web"/>
    <n v="0"/>
    <n v="1"/>
    <n v="1"/>
    <n v="9.99"/>
    <n v="9.99"/>
  </r>
  <r>
    <n v="296"/>
    <s v="Female"/>
    <n v="34"/>
    <x v="1"/>
    <x v="3"/>
    <n v="158"/>
    <n v="84"/>
    <n v="0.1"/>
    <s v="Mobile"/>
    <n v="0"/>
    <n v="1"/>
    <n v="1"/>
    <n v="4.99"/>
    <n v="4.99"/>
  </r>
  <r>
    <n v="297"/>
    <s v="Male"/>
    <n v="34"/>
    <x v="1"/>
    <x v="2"/>
    <n v="293"/>
    <n v="30"/>
    <n v="0.16"/>
    <s v="Desktop"/>
    <n v="0"/>
    <n v="1"/>
    <n v="0"/>
    <n v="9.99"/>
    <n v="0"/>
  </r>
  <r>
    <n v="298"/>
    <s v="Male"/>
    <n v="45"/>
    <x v="1"/>
    <x v="2"/>
    <n v="99"/>
    <n v="84"/>
    <n v="0.57999999999999996"/>
    <s v="Web"/>
    <n v="0"/>
    <n v="1"/>
    <n v="1"/>
    <n v="9.99"/>
    <n v="9.99"/>
  </r>
  <r>
    <n v="299"/>
    <s v="Female"/>
    <n v="45"/>
    <x v="3"/>
    <x v="3"/>
    <n v="194"/>
    <n v="40"/>
    <n v="0.59"/>
    <s v="Desktop"/>
    <n v="0"/>
    <n v="1"/>
    <n v="0"/>
    <n v="4.99"/>
    <n v="0"/>
  </r>
  <r>
    <n v="300"/>
    <s v="Other"/>
    <n v="50"/>
    <x v="3"/>
    <x v="2"/>
    <n v="126"/>
    <n v="86"/>
    <n v="0.52"/>
    <s v="Mobile"/>
    <n v="0"/>
    <n v="1"/>
    <n v="0"/>
    <n v="9.99"/>
    <n v="0"/>
  </r>
  <r>
    <n v="301"/>
    <s v="Female"/>
    <n v="45"/>
    <x v="4"/>
    <x v="1"/>
    <n v="102"/>
    <n v="18"/>
    <n v="0.08"/>
    <s v="Mobile"/>
    <n v="0"/>
    <n v="1"/>
    <n v="0"/>
    <n v="14.99"/>
    <n v="0"/>
  </r>
  <r>
    <n v="302"/>
    <s v="Female"/>
    <n v="55"/>
    <x v="7"/>
    <x v="0"/>
    <n v="210"/>
    <n v="32"/>
    <n v="0.15"/>
    <s v="Web"/>
    <n v="29"/>
    <n v="0"/>
    <n v="1"/>
    <n v="0"/>
    <n v="0"/>
  </r>
  <r>
    <n v="303"/>
    <s v="Female"/>
    <n v="32"/>
    <x v="3"/>
    <x v="0"/>
    <n v="134"/>
    <n v="71"/>
    <n v="0.43"/>
    <s v="Mobile"/>
    <n v="14"/>
    <n v="0"/>
    <n v="0"/>
    <n v="0"/>
    <n v="0"/>
  </r>
  <r>
    <n v="304"/>
    <s v="Male"/>
    <n v="48"/>
    <x v="4"/>
    <x v="2"/>
    <n v="62"/>
    <n v="25"/>
    <n v="0.53"/>
    <s v="Web"/>
    <n v="0"/>
    <n v="1"/>
    <n v="0"/>
    <n v="9.99"/>
    <n v="0"/>
  </r>
  <r>
    <n v="305"/>
    <s v="Other"/>
    <n v="36"/>
    <x v="3"/>
    <x v="2"/>
    <n v="183"/>
    <n v="29"/>
    <n v="0.53"/>
    <s v="Web"/>
    <n v="0"/>
    <n v="1"/>
    <n v="0"/>
    <n v="9.99"/>
    <n v="0"/>
  </r>
  <r>
    <n v="306"/>
    <s v="Other"/>
    <n v="39"/>
    <x v="1"/>
    <x v="2"/>
    <n v="279"/>
    <n v="97"/>
    <n v="0.36"/>
    <s v="Mobile"/>
    <n v="0"/>
    <n v="1"/>
    <n v="0"/>
    <n v="9.99"/>
    <n v="0"/>
  </r>
  <r>
    <n v="307"/>
    <s v="Other"/>
    <n v="59"/>
    <x v="0"/>
    <x v="2"/>
    <n v="159"/>
    <n v="48"/>
    <n v="0.21"/>
    <s v="Mobile"/>
    <n v="0"/>
    <n v="1"/>
    <n v="1"/>
    <n v="9.99"/>
    <n v="9.99"/>
  </r>
  <r>
    <n v="308"/>
    <s v="Male"/>
    <n v="23"/>
    <x v="3"/>
    <x v="2"/>
    <n v="187"/>
    <n v="22"/>
    <n v="0.14000000000000001"/>
    <s v="Desktop"/>
    <n v="0"/>
    <n v="1"/>
    <n v="1"/>
    <n v="9.99"/>
    <n v="9.99"/>
  </r>
  <r>
    <n v="309"/>
    <s v="Other"/>
    <n v="41"/>
    <x v="4"/>
    <x v="1"/>
    <n v="57"/>
    <n v="3"/>
    <n v="0.41"/>
    <s v="Mobile"/>
    <n v="0"/>
    <n v="1"/>
    <n v="0"/>
    <n v="14.99"/>
    <n v="0"/>
  </r>
  <r>
    <n v="310"/>
    <s v="Female"/>
    <n v="31"/>
    <x v="6"/>
    <x v="1"/>
    <n v="133"/>
    <n v="88"/>
    <n v="7.0000000000000007E-2"/>
    <s v="Desktop"/>
    <n v="0"/>
    <n v="1"/>
    <n v="0"/>
    <n v="14.99"/>
    <n v="0"/>
  </r>
  <r>
    <n v="311"/>
    <s v="Male"/>
    <n v="48"/>
    <x v="5"/>
    <x v="3"/>
    <n v="168"/>
    <n v="78"/>
    <n v="0.41"/>
    <s v="Desktop"/>
    <n v="0"/>
    <n v="1"/>
    <n v="0"/>
    <n v="4.99"/>
    <n v="0"/>
  </r>
  <r>
    <n v="312"/>
    <s v="Female"/>
    <n v="21"/>
    <x v="2"/>
    <x v="1"/>
    <n v="251"/>
    <n v="47"/>
    <n v="0.55000000000000004"/>
    <s v="Mobile"/>
    <n v="0"/>
    <n v="1"/>
    <n v="0"/>
    <n v="14.99"/>
    <n v="0"/>
  </r>
  <r>
    <n v="313"/>
    <s v="Other"/>
    <n v="18"/>
    <x v="2"/>
    <x v="1"/>
    <n v="71"/>
    <n v="18"/>
    <n v="0"/>
    <s v="Web"/>
    <n v="0"/>
    <n v="1"/>
    <n v="0"/>
    <n v="14.99"/>
    <n v="0"/>
  </r>
  <r>
    <n v="314"/>
    <s v="Female"/>
    <n v="25"/>
    <x v="6"/>
    <x v="3"/>
    <n v="178"/>
    <n v="84"/>
    <n v="0.32"/>
    <s v="Desktop"/>
    <n v="0"/>
    <n v="1"/>
    <n v="0"/>
    <n v="4.99"/>
    <n v="0"/>
  </r>
  <r>
    <n v="315"/>
    <s v="Male"/>
    <n v="56"/>
    <x v="5"/>
    <x v="3"/>
    <n v="206"/>
    <n v="64"/>
    <n v="0.1"/>
    <s v="Mobile"/>
    <n v="0"/>
    <n v="1"/>
    <n v="1"/>
    <n v="4.99"/>
    <n v="4.99"/>
  </r>
  <r>
    <n v="316"/>
    <s v="Male"/>
    <n v="34"/>
    <x v="6"/>
    <x v="0"/>
    <n v="36"/>
    <n v="12"/>
    <n v="0.22"/>
    <s v="Mobile"/>
    <n v="44"/>
    <n v="0"/>
    <n v="0"/>
    <n v="0"/>
    <n v="0"/>
  </r>
  <r>
    <n v="317"/>
    <s v="Other"/>
    <n v="25"/>
    <x v="0"/>
    <x v="1"/>
    <n v="122"/>
    <n v="69"/>
    <n v="0.09"/>
    <s v="Web"/>
    <n v="0"/>
    <n v="1"/>
    <n v="0"/>
    <n v="14.99"/>
    <n v="0"/>
  </r>
  <r>
    <n v="318"/>
    <s v="Male"/>
    <n v="24"/>
    <x v="7"/>
    <x v="2"/>
    <n v="158"/>
    <n v="51"/>
    <n v="0.26"/>
    <s v="Web"/>
    <n v="0"/>
    <n v="1"/>
    <n v="0"/>
    <n v="9.99"/>
    <n v="0"/>
  </r>
  <r>
    <n v="319"/>
    <s v="Other"/>
    <n v="41"/>
    <x v="6"/>
    <x v="3"/>
    <n v="223"/>
    <n v="79"/>
    <n v="0.05"/>
    <s v="Mobile"/>
    <n v="0"/>
    <n v="1"/>
    <n v="0"/>
    <n v="4.99"/>
    <n v="0"/>
  </r>
  <r>
    <n v="320"/>
    <s v="Male"/>
    <n v="38"/>
    <x v="5"/>
    <x v="3"/>
    <n v="251"/>
    <n v="65"/>
    <n v="0.44"/>
    <s v="Desktop"/>
    <n v="0"/>
    <n v="1"/>
    <n v="0"/>
    <n v="4.99"/>
    <n v="0"/>
  </r>
  <r>
    <n v="321"/>
    <s v="Other"/>
    <n v="19"/>
    <x v="3"/>
    <x v="1"/>
    <n v="294"/>
    <n v="5"/>
    <n v="0.44"/>
    <s v="Web"/>
    <n v="0"/>
    <n v="1"/>
    <n v="0"/>
    <n v="14.99"/>
    <n v="0"/>
  </r>
  <r>
    <n v="322"/>
    <s v="Other"/>
    <n v="25"/>
    <x v="5"/>
    <x v="3"/>
    <n v="12"/>
    <n v="2"/>
    <n v="0.34"/>
    <s v="Web"/>
    <n v="0"/>
    <n v="1"/>
    <n v="1"/>
    <n v="4.99"/>
    <n v="4.99"/>
  </r>
  <r>
    <n v="323"/>
    <s v="Male"/>
    <n v="55"/>
    <x v="5"/>
    <x v="1"/>
    <n v="218"/>
    <n v="58"/>
    <n v="0.36"/>
    <s v="Desktop"/>
    <n v="0"/>
    <n v="1"/>
    <n v="0"/>
    <n v="14.99"/>
    <n v="0"/>
  </r>
  <r>
    <n v="324"/>
    <s v="Male"/>
    <n v="17"/>
    <x v="4"/>
    <x v="0"/>
    <n v="49"/>
    <n v="26"/>
    <n v="0.54"/>
    <s v="Desktop"/>
    <n v="12"/>
    <n v="0"/>
    <n v="0"/>
    <n v="0"/>
    <n v="0"/>
  </r>
  <r>
    <n v="325"/>
    <s v="Female"/>
    <n v="50"/>
    <x v="6"/>
    <x v="3"/>
    <n v="66"/>
    <n v="13"/>
    <n v="0.57999999999999996"/>
    <s v="Mobile"/>
    <n v="0"/>
    <n v="1"/>
    <n v="1"/>
    <n v="4.99"/>
    <n v="4.99"/>
  </r>
  <r>
    <n v="326"/>
    <s v="Other"/>
    <n v="39"/>
    <x v="1"/>
    <x v="0"/>
    <n v="295"/>
    <n v="20"/>
    <n v="0.09"/>
    <s v="Mobile"/>
    <n v="21"/>
    <n v="0"/>
    <n v="1"/>
    <n v="0"/>
    <n v="0"/>
  </r>
  <r>
    <n v="327"/>
    <s v="Male"/>
    <n v="26"/>
    <x v="2"/>
    <x v="3"/>
    <n v="131"/>
    <n v="98"/>
    <n v="0.24"/>
    <s v="Desktop"/>
    <n v="0"/>
    <n v="1"/>
    <n v="0"/>
    <n v="4.99"/>
    <n v="0"/>
  </r>
  <r>
    <n v="328"/>
    <s v="Other"/>
    <n v="34"/>
    <x v="4"/>
    <x v="0"/>
    <n v="203"/>
    <n v="10"/>
    <n v="0.1"/>
    <s v="Desktop"/>
    <n v="42"/>
    <n v="0"/>
    <n v="0"/>
    <n v="0"/>
    <n v="0"/>
  </r>
  <r>
    <n v="329"/>
    <s v="Female"/>
    <n v="32"/>
    <x v="0"/>
    <x v="2"/>
    <n v="201"/>
    <n v="38"/>
    <n v="0.44"/>
    <s v="Web"/>
    <n v="0"/>
    <n v="1"/>
    <n v="0"/>
    <n v="9.99"/>
    <n v="0"/>
  </r>
  <r>
    <n v="330"/>
    <s v="Female"/>
    <n v="40"/>
    <x v="0"/>
    <x v="3"/>
    <n v="59"/>
    <n v="35"/>
    <n v="0.37"/>
    <s v="Desktop"/>
    <n v="0"/>
    <n v="1"/>
    <n v="0"/>
    <n v="4.99"/>
    <n v="0"/>
  </r>
  <r>
    <n v="331"/>
    <s v="Male"/>
    <n v="32"/>
    <x v="3"/>
    <x v="1"/>
    <n v="119"/>
    <n v="39"/>
    <n v="0.45"/>
    <s v="Web"/>
    <n v="0"/>
    <n v="1"/>
    <n v="0"/>
    <n v="14.99"/>
    <n v="0"/>
  </r>
  <r>
    <n v="332"/>
    <s v="Female"/>
    <n v="51"/>
    <x v="0"/>
    <x v="2"/>
    <n v="219"/>
    <n v="96"/>
    <n v="0.51"/>
    <s v="Web"/>
    <n v="0"/>
    <n v="1"/>
    <n v="1"/>
    <n v="9.99"/>
    <n v="9.99"/>
  </r>
  <r>
    <n v="333"/>
    <s v="Male"/>
    <n v="46"/>
    <x v="0"/>
    <x v="1"/>
    <n v="152"/>
    <n v="83"/>
    <n v="0.57999999999999996"/>
    <s v="Mobile"/>
    <n v="0"/>
    <n v="1"/>
    <n v="0"/>
    <n v="14.99"/>
    <n v="0"/>
  </r>
  <r>
    <n v="334"/>
    <s v="Female"/>
    <n v="51"/>
    <x v="0"/>
    <x v="2"/>
    <n v="157"/>
    <n v="9"/>
    <n v="0.56999999999999995"/>
    <s v="Web"/>
    <n v="0"/>
    <n v="1"/>
    <n v="0"/>
    <n v="9.99"/>
    <n v="0"/>
  </r>
  <r>
    <n v="335"/>
    <s v="Female"/>
    <n v="38"/>
    <x v="0"/>
    <x v="0"/>
    <n v="89"/>
    <n v="59"/>
    <n v="0.15"/>
    <s v="Mobile"/>
    <n v="21"/>
    <n v="0"/>
    <n v="0"/>
    <n v="0"/>
    <n v="0"/>
  </r>
  <r>
    <n v="336"/>
    <s v="Female"/>
    <n v="54"/>
    <x v="6"/>
    <x v="1"/>
    <n v="63"/>
    <n v="68"/>
    <n v="0.21"/>
    <s v="Mobile"/>
    <n v="0"/>
    <n v="1"/>
    <n v="0"/>
    <n v="14.99"/>
    <n v="0"/>
  </r>
  <r>
    <n v="337"/>
    <s v="Male"/>
    <n v="59"/>
    <x v="4"/>
    <x v="2"/>
    <n v="93"/>
    <n v="36"/>
    <n v="0.39"/>
    <s v="Desktop"/>
    <n v="0"/>
    <n v="1"/>
    <n v="0"/>
    <n v="9.99"/>
    <n v="0"/>
  </r>
  <r>
    <n v="338"/>
    <s v="Other"/>
    <n v="41"/>
    <x v="2"/>
    <x v="3"/>
    <n v="97"/>
    <n v="78"/>
    <n v="0.02"/>
    <s v="Web"/>
    <n v="0"/>
    <n v="1"/>
    <n v="0"/>
    <n v="4.99"/>
    <n v="0"/>
  </r>
  <r>
    <n v="339"/>
    <s v="Other"/>
    <n v="34"/>
    <x v="5"/>
    <x v="2"/>
    <n v="289"/>
    <n v="79"/>
    <n v="0.09"/>
    <s v="Desktop"/>
    <n v="0"/>
    <n v="1"/>
    <n v="0"/>
    <n v="9.99"/>
    <n v="0"/>
  </r>
  <r>
    <n v="340"/>
    <s v="Female"/>
    <n v="55"/>
    <x v="5"/>
    <x v="1"/>
    <n v="291"/>
    <n v="39"/>
    <n v="0.3"/>
    <s v="Mobile"/>
    <n v="0"/>
    <n v="1"/>
    <n v="1"/>
    <n v="14.99"/>
    <n v="14.99"/>
  </r>
  <r>
    <n v="341"/>
    <s v="Female"/>
    <n v="34"/>
    <x v="4"/>
    <x v="1"/>
    <n v="291"/>
    <n v="70"/>
    <n v="0.22"/>
    <s v="Desktop"/>
    <n v="0"/>
    <n v="1"/>
    <n v="0"/>
    <n v="14.99"/>
    <n v="0"/>
  </r>
  <r>
    <n v="342"/>
    <s v="Female"/>
    <n v="20"/>
    <x v="4"/>
    <x v="3"/>
    <n v="218"/>
    <n v="76"/>
    <n v="0.57999999999999996"/>
    <s v="Web"/>
    <n v="0"/>
    <n v="1"/>
    <n v="1"/>
    <n v="4.99"/>
    <n v="4.99"/>
  </r>
  <r>
    <n v="343"/>
    <s v="Female"/>
    <n v="20"/>
    <x v="0"/>
    <x v="2"/>
    <n v="56"/>
    <n v="55"/>
    <n v="0.18"/>
    <s v="Web"/>
    <n v="0"/>
    <n v="1"/>
    <n v="0"/>
    <n v="9.99"/>
    <n v="0"/>
  </r>
  <r>
    <n v="344"/>
    <s v="Male"/>
    <n v="32"/>
    <x v="5"/>
    <x v="3"/>
    <n v="157"/>
    <n v="12"/>
    <n v="0.48"/>
    <s v="Web"/>
    <n v="0"/>
    <n v="1"/>
    <n v="1"/>
    <n v="4.99"/>
    <n v="4.99"/>
  </r>
  <r>
    <n v="345"/>
    <s v="Female"/>
    <n v="37"/>
    <x v="1"/>
    <x v="3"/>
    <n v="171"/>
    <n v="65"/>
    <n v="0.52"/>
    <s v="Web"/>
    <n v="0"/>
    <n v="1"/>
    <n v="1"/>
    <n v="4.99"/>
    <n v="4.99"/>
  </r>
  <r>
    <n v="346"/>
    <s v="Other"/>
    <n v="50"/>
    <x v="0"/>
    <x v="1"/>
    <n v="16"/>
    <n v="64"/>
    <n v="0.05"/>
    <s v="Web"/>
    <n v="0"/>
    <n v="1"/>
    <n v="0"/>
    <n v="14.99"/>
    <n v="0"/>
  </r>
  <r>
    <n v="347"/>
    <s v="Female"/>
    <n v="21"/>
    <x v="1"/>
    <x v="1"/>
    <n v="207"/>
    <n v="21"/>
    <n v="0.18"/>
    <s v="Web"/>
    <n v="0"/>
    <n v="1"/>
    <n v="1"/>
    <n v="14.99"/>
    <n v="14.99"/>
  </r>
  <r>
    <n v="348"/>
    <s v="Male"/>
    <n v="48"/>
    <x v="3"/>
    <x v="2"/>
    <n v="123"/>
    <n v="37"/>
    <n v="0.27"/>
    <s v="Web"/>
    <n v="0"/>
    <n v="1"/>
    <n v="0"/>
    <n v="9.99"/>
    <n v="0"/>
  </r>
  <r>
    <n v="349"/>
    <s v="Male"/>
    <n v="46"/>
    <x v="5"/>
    <x v="2"/>
    <n v="55"/>
    <n v="48"/>
    <n v="0.47"/>
    <s v="Web"/>
    <n v="0"/>
    <n v="1"/>
    <n v="1"/>
    <n v="9.99"/>
    <n v="9.99"/>
  </r>
  <r>
    <n v="350"/>
    <s v="Other"/>
    <n v="44"/>
    <x v="2"/>
    <x v="0"/>
    <n v="49"/>
    <n v="43"/>
    <n v="0.25"/>
    <s v="Desktop"/>
    <n v="5"/>
    <n v="0"/>
    <n v="0"/>
    <n v="0"/>
    <n v="0"/>
  </r>
  <r>
    <n v="351"/>
    <s v="Female"/>
    <n v="55"/>
    <x v="7"/>
    <x v="0"/>
    <n v="62"/>
    <n v="57"/>
    <n v="0.57999999999999996"/>
    <s v="Web"/>
    <n v="7"/>
    <n v="0"/>
    <n v="0"/>
    <n v="0"/>
    <n v="0"/>
  </r>
  <r>
    <n v="352"/>
    <s v="Female"/>
    <n v="57"/>
    <x v="2"/>
    <x v="3"/>
    <n v="85"/>
    <n v="32"/>
    <n v="0"/>
    <s v="Desktop"/>
    <n v="0"/>
    <n v="1"/>
    <n v="0"/>
    <n v="4.99"/>
    <n v="0"/>
  </r>
  <r>
    <n v="353"/>
    <s v="Other"/>
    <n v="41"/>
    <x v="0"/>
    <x v="1"/>
    <n v="78"/>
    <n v="33"/>
    <n v="0.04"/>
    <s v="Desktop"/>
    <n v="0"/>
    <n v="1"/>
    <n v="0"/>
    <n v="14.99"/>
    <n v="0"/>
  </r>
  <r>
    <n v="354"/>
    <s v="Male"/>
    <n v="50"/>
    <x v="0"/>
    <x v="0"/>
    <n v="107"/>
    <n v="7"/>
    <n v="0.42"/>
    <s v="Desktop"/>
    <n v="27"/>
    <n v="0"/>
    <n v="1"/>
    <n v="0"/>
    <n v="0"/>
  </r>
  <r>
    <n v="355"/>
    <s v="Other"/>
    <n v="32"/>
    <x v="6"/>
    <x v="0"/>
    <n v="202"/>
    <n v="29"/>
    <n v="0.14000000000000001"/>
    <s v="Web"/>
    <n v="41"/>
    <n v="0"/>
    <n v="0"/>
    <n v="0"/>
    <n v="0"/>
  </r>
  <r>
    <n v="356"/>
    <s v="Male"/>
    <n v="51"/>
    <x v="7"/>
    <x v="1"/>
    <n v="211"/>
    <n v="25"/>
    <n v="0.51"/>
    <s v="Mobile"/>
    <n v="0"/>
    <n v="1"/>
    <n v="0"/>
    <n v="14.99"/>
    <n v="0"/>
  </r>
  <r>
    <n v="357"/>
    <s v="Female"/>
    <n v="26"/>
    <x v="6"/>
    <x v="0"/>
    <n v="73"/>
    <n v="27"/>
    <n v="0.19"/>
    <s v="Web"/>
    <n v="26"/>
    <n v="0"/>
    <n v="1"/>
    <n v="0"/>
    <n v="0"/>
  </r>
  <r>
    <n v="358"/>
    <s v="Male"/>
    <n v="22"/>
    <x v="7"/>
    <x v="2"/>
    <n v="229"/>
    <n v="70"/>
    <n v="0.02"/>
    <s v="Desktop"/>
    <n v="0"/>
    <n v="1"/>
    <n v="0"/>
    <n v="9.99"/>
    <n v="0"/>
  </r>
  <r>
    <n v="359"/>
    <s v="Other"/>
    <n v="19"/>
    <x v="4"/>
    <x v="0"/>
    <n v="164"/>
    <n v="21"/>
    <n v="0.53"/>
    <s v="Desktop"/>
    <n v="8"/>
    <n v="0"/>
    <n v="0"/>
    <n v="0"/>
    <n v="0"/>
  </r>
  <r>
    <n v="360"/>
    <s v="Female"/>
    <n v="49"/>
    <x v="1"/>
    <x v="1"/>
    <n v="61"/>
    <n v="33"/>
    <n v="0.48"/>
    <s v="Desktop"/>
    <n v="0"/>
    <n v="1"/>
    <n v="1"/>
    <n v="14.99"/>
    <n v="14.99"/>
  </r>
  <r>
    <n v="361"/>
    <s v="Male"/>
    <n v="56"/>
    <x v="5"/>
    <x v="0"/>
    <n v="164"/>
    <n v="66"/>
    <n v="0.3"/>
    <s v="Desktop"/>
    <n v="34"/>
    <n v="0"/>
    <n v="0"/>
    <n v="0"/>
    <n v="0"/>
  </r>
  <r>
    <n v="362"/>
    <s v="Other"/>
    <n v="39"/>
    <x v="7"/>
    <x v="0"/>
    <n v="232"/>
    <n v="2"/>
    <n v="0.14000000000000001"/>
    <s v="Mobile"/>
    <n v="27"/>
    <n v="0"/>
    <n v="0"/>
    <n v="0"/>
    <n v="0"/>
  </r>
  <r>
    <n v="363"/>
    <s v="Other"/>
    <n v="57"/>
    <x v="7"/>
    <x v="3"/>
    <n v="146"/>
    <n v="98"/>
    <n v="0.06"/>
    <s v="Mobile"/>
    <n v="0"/>
    <n v="1"/>
    <n v="1"/>
    <n v="4.99"/>
    <n v="4.99"/>
  </r>
  <r>
    <n v="364"/>
    <s v="Other"/>
    <n v="18"/>
    <x v="2"/>
    <x v="2"/>
    <n v="42"/>
    <n v="27"/>
    <n v="0.22"/>
    <s v="Web"/>
    <n v="0"/>
    <n v="1"/>
    <n v="1"/>
    <n v="9.99"/>
    <n v="9.99"/>
  </r>
  <r>
    <n v="365"/>
    <s v="Male"/>
    <n v="43"/>
    <x v="0"/>
    <x v="0"/>
    <n v="265"/>
    <n v="89"/>
    <n v="0.56000000000000005"/>
    <s v="Desktop"/>
    <n v="28"/>
    <n v="0"/>
    <n v="0"/>
    <n v="0"/>
    <n v="0"/>
  </r>
  <r>
    <n v="366"/>
    <s v="Female"/>
    <n v="32"/>
    <x v="3"/>
    <x v="1"/>
    <n v="275"/>
    <n v="47"/>
    <n v="0.59"/>
    <s v="Mobile"/>
    <n v="0"/>
    <n v="1"/>
    <n v="1"/>
    <n v="14.99"/>
    <n v="14.99"/>
  </r>
  <r>
    <n v="367"/>
    <s v="Other"/>
    <n v="33"/>
    <x v="3"/>
    <x v="3"/>
    <n v="295"/>
    <n v="1"/>
    <n v="0.03"/>
    <s v="Desktop"/>
    <n v="0"/>
    <n v="1"/>
    <n v="1"/>
    <n v="4.99"/>
    <n v="4.99"/>
  </r>
  <r>
    <n v="368"/>
    <s v="Other"/>
    <n v="16"/>
    <x v="5"/>
    <x v="0"/>
    <n v="269"/>
    <n v="13"/>
    <n v="0.54"/>
    <s v="Desktop"/>
    <n v="40"/>
    <n v="0"/>
    <n v="0"/>
    <n v="0"/>
    <n v="0"/>
  </r>
  <r>
    <n v="369"/>
    <s v="Other"/>
    <n v="50"/>
    <x v="6"/>
    <x v="1"/>
    <n v="224"/>
    <n v="18"/>
    <n v="0.09"/>
    <s v="Desktop"/>
    <n v="0"/>
    <n v="1"/>
    <n v="0"/>
    <n v="14.99"/>
    <n v="0"/>
  </r>
  <r>
    <n v="370"/>
    <s v="Female"/>
    <n v="42"/>
    <x v="7"/>
    <x v="0"/>
    <n v="51"/>
    <n v="60"/>
    <n v="0.22"/>
    <s v="Desktop"/>
    <n v="17"/>
    <n v="0"/>
    <n v="0"/>
    <n v="0"/>
    <n v="0"/>
  </r>
  <r>
    <n v="371"/>
    <s v="Other"/>
    <n v="49"/>
    <x v="4"/>
    <x v="1"/>
    <n v="100"/>
    <n v="49"/>
    <n v="0.37"/>
    <s v="Desktop"/>
    <n v="0"/>
    <n v="1"/>
    <n v="1"/>
    <n v="14.99"/>
    <n v="14.99"/>
  </r>
  <r>
    <n v="372"/>
    <s v="Female"/>
    <n v="35"/>
    <x v="6"/>
    <x v="2"/>
    <n v="267"/>
    <n v="63"/>
    <n v="0.6"/>
    <s v="Web"/>
    <n v="0"/>
    <n v="1"/>
    <n v="0"/>
    <n v="9.99"/>
    <n v="0"/>
  </r>
  <r>
    <n v="373"/>
    <s v="Other"/>
    <n v="54"/>
    <x v="5"/>
    <x v="0"/>
    <n v="102"/>
    <n v="35"/>
    <n v="0.06"/>
    <s v="Mobile"/>
    <n v="40"/>
    <n v="0"/>
    <n v="0"/>
    <n v="0"/>
    <n v="0"/>
  </r>
  <r>
    <n v="374"/>
    <s v="Male"/>
    <n v="44"/>
    <x v="7"/>
    <x v="0"/>
    <n v="84"/>
    <n v="64"/>
    <n v="0.56999999999999995"/>
    <s v="Web"/>
    <n v="23"/>
    <n v="0"/>
    <n v="1"/>
    <n v="0"/>
    <n v="0"/>
  </r>
  <r>
    <n v="375"/>
    <s v="Female"/>
    <n v="21"/>
    <x v="6"/>
    <x v="0"/>
    <n v="289"/>
    <n v="92"/>
    <n v="0.2"/>
    <s v="Mobile"/>
    <n v="27"/>
    <n v="0"/>
    <n v="1"/>
    <n v="0"/>
    <n v="0"/>
  </r>
  <r>
    <n v="376"/>
    <s v="Male"/>
    <n v="44"/>
    <x v="6"/>
    <x v="1"/>
    <n v="173"/>
    <n v="30"/>
    <n v="0.38"/>
    <s v="Desktop"/>
    <n v="0"/>
    <n v="1"/>
    <n v="0"/>
    <n v="14.99"/>
    <n v="0"/>
  </r>
  <r>
    <n v="377"/>
    <s v="Male"/>
    <n v="46"/>
    <x v="2"/>
    <x v="1"/>
    <n v="42"/>
    <n v="77"/>
    <n v="0.34"/>
    <s v="Web"/>
    <n v="0"/>
    <n v="1"/>
    <n v="0"/>
    <n v="14.99"/>
    <n v="0"/>
  </r>
  <r>
    <n v="378"/>
    <s v="Other"/>
    <n v="53"/>
    <x v="2"/>
    <x v="1"/>
    <n v="261"/>
    <n v="76"/>
    <n v="0.41"/>
    <s v="Desktop"/>
    <n v="0"/>
    <n v="1"/>
    <n v="0"/>
    <n v="14.99"/>
    <n v="0"/>
  </r>
  <r>
    <n v="379"/>
    <s v="Other"/>
    <n v="39"/>
    <x v="3"/>
    <x v="0"/>
    <n v="163"/>
    <n v="2"/>
    <n v="0.03"/>
    <s v="Web"/>
    <n v="38"/>
    <n v="0"/>
    <n v="1"/>
    <n v="0"/>
    <n v="0"/>
  </r>
  <r>
    <n v="380"/>
    <s v="Other"/>
    <n v="26"/>
    <x v="2"/>
    <x v="3"/>
    <n v="175"/>
    <n v="9"/>
    <n v="0.37"/>
    <s v="Web"/>
    <n v="0"/>
    <n v="1"/>
    <n v="0"/>
    <n v="4.99"/>
    <n v="0"/>
  </r>
  <r>
    <n v="381"/>
    <s v="Female"/>
    <n v="35"/>
    <x v="1"/>
    <x v="3"/>
    <n v="259"/>
    <n v="96"/>
    <n v="0.48"/>
    <s v="Mobile"/>
    <n v="0"/>
    <n v="1"/>
    <n v="1"/>
    <n v="4.99"/>
    <n v="4.99"/>
  </r>
  <r>
    <n v="382"/>
    <s v="Other"/>
    <n v="51"/>
    <x v="7"/>
    <x v="2"/>
    <n v="103"/>
    <n v="58"/>
    <n v="0.06"/>
    <s v="Mobile"/>
    <n v="0"/>
    <n v="1"/>
    <n v="0"/>
    <n v="9.99"/>
    <n v="0"/>
  </r>
  <r>
    <n v="383"/>
    <s v="Other"/>
    <n v="55"/>
    <x v="1"/>
    <x v="1"/>
    <n v="148"/>
    <n v="52"/>
    <n v="0.43"/>
    <s v="Desktop"/>
    <n v="0"/>
    <n v="1"/>
    <n v="0"/>
    <n v="14.99"/>
    <n v="0"/>
  </r>
  <r>
    <n v="384"/>
    <s v="Female"/>
    <n v="45"/>
    <x v="7"/>
    <x v="2"/>
    <n v="50"/>
    <n v="19"/>
    <n v="0.02"/>
    <s v="Mobile"/>
    <n v="0"/>
    <n v="1"/>
    <n v="0"/>
    <n v="9.99"/>
    <n v="0"/>
  </r>
  <r>
    <n v="385"/>
    <s v="Female"/>
    <n v="53"/>
    <x v="7"/>
    <x v="1"/>
    <n v="187"/>
    <n v="27"/>
    <n v="0.11"/>
    <s v="Desktop"/>
    <n v="0"/>
    <n v="1"/>
    <n v="1"/>
    <n v="14.99"/>
    <n v="14.99"/>
  </r>
  <r>
    <n v="386"/>
    <s v="Female"/>
    <n v="16"/>
    <x v="1"/>
    <x v="3"/>
    <n v="57"/>
    <n v="48"/>
    <n v="0.52"/>
    <s v="Web"/>
    <n v="0"/>
    <n v="1"/>
    <n v="0"/>
    <n v="4.99"/>
    <n v="0"/>
  </r>
  <r>
    <n v="387"/>
    <s v="Male"/>
    <n v="32"/>
    <x v="6"/>
    <x v="0"/>
    <n v="51"/>
    <n v="70"/>
    <n v="0.38"/>
    <s v="Web"/>
    <n v="19"/>
    <n v="0"/>
    <n v="0"/>
    <n v="0"/>
    <n v="0"/>
  </r>
  <r>
    <n v="388"/>
    <s v="Other"/>
    <n v="26"/>
    <x v="6"/>
    <x v="0"/>
    <n v="146"/>
    <n v="4"/>
    <n v="0.59"/>
    <s v="Mobile"/>
    <n v="16"/>
    <n v="0"/>
    <n v="0"/>
    <n v="0"/>
    <n v="0"/>
  </r>
  <r>
    <n v="389"/>
    <s v="Female"/>
    <n v="48"/>
    <x v="4"/>
    <x v="0"/>
    <n v="210"/>
    <n v="60"/>
    <n v="0.05"/>
    <s v="Desktop"/>
    <n v="42"/>
    <n v="0"/>
    <n v="1"/>
    <n v="0"/>
    <n v="0"/>
  </r>
  <r>
    <n v="390"/>
    <s v="Other"/>
    <n v="59"/>
    <x v="4"/>
    <x v="1"/>
    <n v="58"/>
    <n v="55"/>
    <n v="0.25"/>
    <s v="Web"/>
    <n v="0"/>
    <n v="1"/>
    <n v="0"/>
    <n v="14.99"/>
    <n v="0"/>
  </r>
  <r>
    <n v="391"/>
    <s v="Female"/>
    <n v="42"/>
    <x v="5"/>
    <x v="1"/>
    <n v="124"/>
    <n v="11"/>
    <n v="0.16"/>
    <s v="Mobile"/>
    <n v="0"/>
    <n v="1"/>
    <n v="0"/>
    <n v="14.99"/>
    <n v="0"/>
  </r>
  <r>
    <n v="392"/>
    <s v="Female"/>
    <n v="40"/>
    <x v="5"/>
    <x v="3"/>
    <n v="273"/>
    <n v="80"/>
    <n v="0.26"/>
    <s v="Mobile"/>
    <n v="0"/>
    <n v="1"/>
    <n v="1"/>
    <n v="4.99"/>
    <n v="4.99"/>
  </r>
  <r>
    <n v="393"/>
    <s v="Female"/>
    <n v="53"/>
    <x v="7"/>
    <x v="0"/>
    <n v="49"/>
    <n v="74"/>
    <n v="0.47"/>
    <s v="Mobile"/>
    <n v="19"/>
    <n v="0"/>
    <n v="0"/>
    <n v="0"/>
    <n v="0"/>
  </r>
  <r>
    <n v="394"/>
    <s v="Female"/>
    <n v="38"/>
    <x v="3"/>
    <x v="3"/>
    <n v="119"/>
    <n v="73"/>
    <n v="0.11"/>
    <s v="Web"/>
    <n v="0"/>
    <n v="1"/>
    <n v="0"/>
    <n v="4.99"/>
    <n v="0"/>
  </r>
  <r>
    <n v="395"/>
    <s v="Female"/>
    <n v="58"/>
    <x v="0"/>
    <x v="3"/>
    <n v="225"/>
    <n v="10"/>
    <n v="0.08"/>
    <s v="Web"/>
    <n v="0"/>
    <n v="1"/>
    <n v="0"/>
    <n v="4.99"/>
    <n v="0"/>
  </r>
  <r>
    <n v="396"/>
    <s v="Other"/>
    <n v="24"/>
    <x v="3"/>
    <x v="0"/>
    <n v="203"/>
    <n v="75"/>
    <n v="0.26"/>
    <s v="Desktop"/>
    <n v="27"/>
    <n v="0"/>
    <n v="0"/>
    <n v="0"/>
    <n v="0"/>
  </r>
  <r>
    <n v="397"/>
    <s v="Other"/>
    <n v="36"/>
    <x v="1"/>
    <x v="1"/>
    <n v="21"/>
    <n v="11"/>
    <n v="0.28000000000000003"/>
    <s v="Web"/>
    <n v="0"/>
    <n v="1"/>
    <n v="0"/>
    <n v="14.99"/>
    <n v="0"/>
  </r>
  <r>
    <n v="398"/>
    <s v="Female"/>
    <n v="53"/>
    <x v="4"/>
    <x v="3"/>
    <n v="120"/>
    <n v="66"/>
    <n v="0.25"/>
    <s v="Mobile"/>
    <n v="0"/>
    <n v="1"/>
    <n v="1"/>
    <n v="4.99"/>
    <n v="4.99"/>
  </r>
  <r>
    <n v="399"/>
    <s v="Male"/>
    <n v="21"/>
    <x v="2"/>
    <x v="3"/>
    <n v="59"/>
    <n v="34"/>
    <n v="0.11"/>
    <s v="Web"/>
    <n v="0"/>
    <n v="1"/>
    <n v="0"/>
    <n v="4.99"/>
    <n v="0"/>
  </r>
  <r>
    <n v="400"/>
    <s v="Male"/>
    <n v="43"/>
    <x v="6"/>
    <x v="1"/>
    <n v="272"/>
    <n v="5"/>
    <n v="0.24"/>
    <s v="Desktop"/>
    <n v="0"/>
    <n v="1"/>
    <n v="0"/>
    <n v="14.99"/>
    <n v="0"/>
  </r>
  <r>
    <n v="401"/>
    <s v="Female"/>
    <n v="26"/>
    <x v="3"/>
    <x v="2"/>
    <n v="228"/>
    <n v="24"/>
    <n v="0.12"/>
    <s v="Mobile"/>
    <n v="0"/>
    <n v="1"/>
    <n v="0"/>
    <n v="9.99"/>
    <n v="0"/>
  </r>
  <r>
    <n v="402"/>
    <s v="Male"/>
    <n v="23"/>
    <x v="1"/>
    <x v="3"/>
    <n v="131"/>
    <n v="23"/>
    <n v="0.32"/>
    <s v="Desktop"/>
    <n v="0"/>
    <n v="1"/>
    <n v="0"/>
    <n v="4.99"/>
    <n v="0"/>
  </r>
  <r>
    <n v="403"/>
    <s v="Female"/>
    <n v="40"/>
    <x v="7"/>
    <x v="3"/>
    <n v="103"/>
    <n v="39"/>
    <n v="0.08"/>
    <s v="Web"/>
    <n v="0"/>
    <n v="1"/>
    <n v="1"/>
    <n v="4.99"/>
    <n v="4.99"/>
  </r>
  <r>
    <n v="404"/>
    <s v="Female"/>
    <n v="37"/>
    <x v="0"/>
    <x v="0"/>
    <n v="152"/>
    <n v="87"/>
    <n v="0.56999999999999995"/>
    <s v="Desktop"/>
    <n v="23"/>
    <n v="0"/>
    <n v="0"/>
    <n v="0"/>
    <n v="0"/>
  </r>
  <r>
    <n v="405"/>
    <s v="Male"/>
    <n v="33"/>
    <x v="7"/>
    <x v="1"/>
    <n v="261"/>
    <n v="18"/>
    <n v="0.28000000000000003"/>
    <s v="Desktop"/>
    <n v="0"/>
    <n v="1"/>
    <n v="1"/>
    <n v="14.99"/>
    <n v="14.99"/>
  </r>
  <r>
    <n v="406"/>
    <s v="Other"/>
    <n v="26"/>
    <x v="3"/>
    <x v="1"/>
    <n v="276"/>
    <n v="46"/>
    <n v="0.2"/>
    <s v="Mobile"/>
    <n v="0"/>
    <n v="1"/>
    <n v="1"/>
    <n v="14.99"/>
    <n v="14.99"/>
  </r>
  <r>
    <n v="407"/>
    <s v="Other"/>
    <n v="43"/>
    <x v="2"/>
    <x v="1"/>
    <n v="58"/>
    <n v="22"/>
    <n v="0.37"/>
    <s v="Desktop"/>
    <n v="0"/>
    <n v="1"/>
    <n v="0"/>
    <n v="14.99"/>
    <n v="0"/>
  </r>
  <r>
    <n v="408"/>
    <s v="Other"/>
    <n v="46"/>
    <x v="0"/>
    <x v="2"/>
    <n v="118"/>
    <n v="98"/>
    <n v="0.53"/>
    <s v="Web"/>
    <n v="0"/>
    <n v="1"/>
    <n v="0"/>
    <n v="9.99"/>
    <n v="0"/>
  </r>
  <r>
    <n v="409"/>
    <s v="Male"/>
    <n v="23"/>
    <x v="2"/>
    <x v="0"/>
    <n v="256"/>
    <n v="83"/>
    <n v="0.17"/>
    <s v="Mobile"/>
    <n v="29"/>
    <n v="0"/>
    <n v="0"/>
    <n v="0"/>
    <n v="0"/>
  </r>
  <r>
    <n v="410"/>
    <s v="Female"/>
    <n v="30"/>
    <x v="0"/>
    <x v="0"/>
    <n v="84"/>
    <n v="22"/>
    <n v="0.25"/>
    <s v="Mobile"/>
    <n v="5"/>
    <n v="0"/>
    <n v="0"/>
    <n v="0"/>
    <n v="0"/>
  </r>
  <r>
    <n v="411"/>
    <s v="Female"/>
    <n v="32"/>
    <x v="2"/>
    <x v="2"/>
    <n v="51"/>
    <n v="8"/>
    <n v="0.28999999999999998"/>
    <s v="Desktop"/>
    <n v="0"/>
    <n v="1"/>
    <n v="0"/>
    <n v="9.99"/>
    <n v="0"/>
  </r>
  <r>
    <n v="412"/>
    <s v="Female"/>
    <n v="29"/>
    <x v="2"/>
    <x v="0"/>
    <n v="107"/>
    <n v="23"/>
    <n v="0.52"/>
    <s v="Web"/>
    <n v="17"/>
    <n v="0"/>
    <n v="1"/>
    <n v="0"/>
    <n v="0"/>
  </r>
  <r>
    <n v="413"/>
    <s v="Other"/>
    <n v="19"/>
    <x v="3"/>
    <x v="0"/>
    <n v="289"/>
    <n v="61"/>
    <n v="0.31"/>
    <s v="Desktop"/>
    <n v="18"/>
    <n v="0"/>
    <n v="0"/>
    <n v="0"/>
    <n v="0"/>
  </r>
  <r>
    <n v="414"/>
    <s v="Male"/>
    <n v="19"/>
    <x v="2"/>
    <x v="2"/>
    <n v="264"/>
    <n v="89"/>
    <n v="0.35"/>
    <s v="Web"/>
    <n v="0"/>
    <n v="1"/>
    <n v="0"/>
    <n v="9.99"/>
    <n v="0"/>
  </r>
  <r>
    <n v="415"/>
    <s v="Male"/>
    <n v="24"/>
    <x v="6"/>
    <x v="2"/>
    <n v="227"/>
    <n v="97"/>
    <n v="0.03"/>
    <s v="Web"/>
    <n v="0"/>
    <n v="1"/>
    <n v="0"/>
    <n v="9.99"/>
    <n v="0"/>
  </r>
  <r>
    <n v="416"/>
    <s v="Other"/>
    <n v="16"/>
    <x v="4"/>
    <x v="0"/>
    <n v="97"/>
    <n v="86"/>
    <n v="0.15"/>
    <s v="Desktop"/>
    <n v="26"/>
    <n v="0"/>
    <n v="0"/>
    <n v="0"/>
    <n v="0"/>
  </r>
  <r>
    <n v="417"/>
    <s v="Male"/>
    <n v="44"/>
    <x v="0"/>
    <x v="2"/>
    <n v="168"/>
    <n v="40"/>
    <n v="0.56000000000000005"/>
    <s v="Mobile"/>
    <n v="0"/>
    <n v="1"/>
    <n v="1"/>
    <n v="9.99"/>
    <n v="9.99"/>
  </r>
  <r>
    <n v="418"/>
    <s v="Male"/>
    <n v="42"/>
    <x v="4"/>
    <x v="2"/>
    <n v="23"/>
    <n v="66"/>
    <n v="0.49"/>
    <s v="Desktop"/>
    <n v="0"/>
    <n v="1"/>
    <n v="0"/>
    <n v="9.99"/>
    <n v="0"/>
  </r>
  <r>
    <n v="419"/>
    <s v="Female"/>
    <n v="55"/>
    <x v="6"/>
    <x v="2"/>
    <n v="271"/>
    <n v="98"/>
    <n v="0.5"/>
    <s v="Desktop"/>
    <n v="0"/>
    <n v="1"/>
    <n v="1"/>
    <n v="9.99"/>
    <n v="9.99"/>
  </r>
  <r>
    <n v="420"/>
    <s v="Other"/>
    <n v="38"/>
    <x v="4"/>
    <x v="2"/>
    <n v="104"/>
    <n v="59"/>
    <n v="0.01"/>
    <s v="Web"/>
    <n v="0"/>
    <n v="1"/>
    <n v="1"/>
    <n v="9.99"/>
    <n v="9.99"/>
  </r>
  <r>
    <n v="421"/>
    <s v="Male"/>
    <n v="30"/>
    <x v="2"/>
    <x v="0"/>
    <n v="251"/>
    <n v="59"/>
    <n v="0.11"/>
    <s v="Desktop"/>
    <n v="28"/>
    <n v="0"/>
    <n v="0"/>
    <n v="0"/>
    <n v="0"/>
  </r>
  <r>
    <n v="422"/>
    <s v="Female"/>
    <n v="20"/>
    <x v="0"/>
    <x v="3"/>
    <n v="105"/>
    <n v="75"/>
    <n v="0.25"/>
    <s v="Desktop"/>
    <n v="0"/>
    <n v="1"/>
    <n v="0"/>
    <n v="4.99"/>
    <n v="0"/>
  </r>
  <r>
    <n v="423"/>
    <s v="Female"/>
    <n v="40"/>
    <x v="2"/>
    <x v="3"/>
    <n v="281"/>
    <n v="77"/>
    <n v="0.38"/>
    <s v="Web"/>
    <n v="0"/>
    <n v="1"/>
    <n v="0"/>
    <n v="4.99"/>
    <n v="0"/>
  </r>
  <r>
    <n v="424"/>
    <s v="Female"/>
    <n v="58"/>
    <x v="6"/>
    <x v="0"/>
    <n v="93"/>
    <n v="50"/>
    <n v="0.18"/>
    <s v="Mobile"/>
    <n v="39"/>
    <n v="0"/>
    <n v="0"/>
    <n v="0"/>
    <n v="0"/>
  </r>
  <r>
    <n v="425"/>
    <s v="Other"/>
    <n v="20"/>
    <x v="2"/>
    <x v="1"/>
    <n v="146"/>
    <n v="74"/>
    <n v="0.33"/>
    <s v="Web"/>
    <n v="0"/>
    <n v="1"/>
    <n v="0"/>
    <n v="14.99"/>
    <n v="0"/>
  </r>
  <r>
    <n v="426"/>
    <s v="Male"/>
    <n v="43"/>
    <x v="1"/>
    <x v="2"/>
    <n v="170"/>
    <n v="73"/>
    <n v="0.48"/>
    <s v="Desktop"/>
    <n v="0"/>
    <n v="1"/>
    <n v="0"/>
    <n v="9.99"/>
    <n v="0"/>
  </r>
  <r>
    <n v="427"/>
    <s v="Other"/>
    <n v="37"/>
    <x v="3"/>
    <x v="2"/>
    <n v="40"/>
    <n v="91"/>
    <n v="0.56999999999999995"/>
    <s v="Mobile"/>
    <n v="0"/>
    <n v="1"/>
    <n v="0"/>
    <n v="9.99"/>
    <n v="0"/>
  </r>
  <r>
    <n v="428"/>
    <s v="Other"/>
    <n v="48"/>
    <x v="5"/>
    <x v="3"/>
    <n v="171"/>
    <n v="31"/>
    <n v="0.4"/>
    <s v="Desktop"/>
    <n v="0"/>
    <n v="1"/>
    <n v="0"/>
    <n v="4.99"/>
    <n v="0"/>
  </r>
  <r>
    <n v="429"/>
    <s v="Other"/>
    <n v="53"/>
    <x v="7"/>
    <x v="1"/>
    <n v="36"/>
    <n v="67"/>
    <n v="0.21"/>
    <s v="Mobile"/>
    <n v="0"/>
    <n v="1"/>
    <n v="0"/>
    <n v="14.99"/>
    <n v="0"/>
  </r>
  <r>
    <n v="430"/>
    <s v="Other"/>
    <n v="25"/>
    <x v="0"/>
    <x v="0"/>
    <n v="274"/>
    <n v="57"/>
    <n v="0.05"/>
    <s v="Web"/>
    <n v="38"/>
    <n v="0"/>
    <n v="0"/>
    <n v="0"/>
    <n v="0"/>
  </r>
  <r>
    <n v="431"/>
    <s v="Female"/>
    <n v="51"/>
    <x v="0"/>
    <x v="1"/>
    <n v="79"/>
    <n v="71"/>
    <n v="0.11"/>
    <s v="Desktop"/>
    <n v="0"/>
    <n v="1"/>
    <n v="0"/>
    <n v="14.99"/>
    <n v="0"/>
  </r>
  <r>
    <n v="432"/>
    <s v="Other"/>
    <n v="42"/>
    <x v="4"/>
    <x v="1"/>
    <n v="91"/>
    <n v="81"/>
    <n v="0.52"/>
    <s v="Mobile"/>
    <n v="0"/>
    <n v="1"/>
    <n v="0"/>
    <n v="14.99"/>
    <n v="0"/>
  </r>
  <r>
    <n v="433"/>
    <s v="Other"/>
    <n v="50"/>
    <x v="7"/>
    <x v="2"/>
    <n v="69"/>
    <n v="20"/>
    <n v="0.13"/>
    <s v="Mobile"/>
    <n v="0"/>
    <n v="1"/>
    <n v="1"/>
    <n v="9.99"/>
    <n v="9.99"/>
  </r>
  <r>
    <n v="434"/>
    <s v="Other"/>
    <n v="56"/>
    <x v="6"/>
    <x v="1"/>
    <n v="14"/>
    <n v="93"/>
    <n v="7.0000000000000007E-2"/>
    <s v="Desktop"/>
    <n v="0"/>
    <n v="1"/>
    <n v="1"/>
    <n v="14.99"/>
    <n v="14.99"/>
  </r>
  <r>
    <n v="435"/>
    <s v="Female"/>
    <n v="47"/>
    <x v="3"/>
    <x v="2"/>
    <n v="55"/>
    <n v="7"/>
    <n v="0.54"/>
    <s v="Web"/>
    <n v="0"/>
    <n v="1"/>
    <n v="0"/>
    <n v="9.99"/>
    <n v="0"/>
  </r>
  <r>
    <n v="436"/>
    <s v="Male"/>
    <n v="41"/>
    <x v="3"/>
    <x v="0"/>
    <n v="88"/>
    <n v="34"/>
    <n v="0.3"/>
    <s v="Web"/>
    <n v="48"/>
    <n v="0"/>
    <n v="0"/>
    <n v="0"/>
    <n v="0"/>
  </r>
  <r>
    <n v="437"/>
    <s v="Male"/>
    <n v="20"/>
    <x v="5"/>
    <x v="2"/>
    <n v="236"/>
    <n v="78"/>
    <n v="0.35"/>
    <s v="Mobile"/>
    <n v="0"/>
    <n v="1"/>
    <n v="0"/>
    <n v="9.99"/>
    <n v="0"/>
  </r>
  <r>
    <n v="438"/>
    <s v="Male"/>
    <n v="57"/>
    <x v="5"/>
    <x v="0"/>
    <n v="214"/>
    <n v="85"/>
    <n v="0.57999999999999996"/>
    <s v="Desktop"/>
    <n v="17"/>
    <n v="0"/>
    <n v="0"/>
    <n v="0"/>
    <n v="0"/>
  </r>
  <r>
    <n v="439"/>
    <s v="Other"/>
    <n v="35"/>
    <x v="1"/>
    <x v="0"/>
    <n v="172"/>
    <n v="5"/>
    <n v="0.05"/>
    <s v="Desktop"/>
    <n v="27"/>
    <n v="0"/>
    <n v="0"/>
    <n v="0"/>
    <n v="0"/>
  </r>
  <r>
    <n v="440"/>
    <s v="Male"/>
    <n v="40"/>
    <x v="7"/>
    <x v="1"/>
    <n v="163"/>
    <n v="11"/>
    <n v="0.3"/>
    <s v="Mobile"/>
    <n v="0"/>
    <n v="1"/>
    <n v="0"/>
    <n v="14.99"/>
    <n v="0"/>
  </r>
  <r>
    <n v="441"/>
    <s v="Female"/>
    <n v="46"/>
    <x v="5"/>
    <x v="2"/>
    <n v="123"/>
    <n v="9"/>
    <n v="0.27"/>
    <s v="Desktop"/>
    <n v="0"/>
    <n v="1"/>
    <n v="0"/>
    <n v="9.99"/>
    <n v="0"/>
  </r>
  <r>
    <n v="442"/>
    <s v="Male"/>
    <n v="48"/>
    <x v="3"/>
    <x v="0"/>
    <n v="251"/>
    <n v="28"/>
    <n v="0.49"/>
    <s v="Web"/>
    <n v="46"/>
    <n v="0"/>
    <n v="0"/>
    <n v="0"/>
    <n v="0"/>
  </r>
  <r>
    <n v="443"/>
    <s v="Other"/>
    <n v="49"/>
    <x v="4"/>
    <x v="0"/>
    <n v="191"/>
    <n v="92"/>
    <n v="0.49"/>
    <s v="Web"/>
    <n v="29"/>
    <n v="0"/>
    <n v="0"/>
    <n v="0"/>
    <n v="0"/>
  </r>
  <r>
    <n v="444"/>
    <s v="Male"/>
    <n v="44"/>
    <x v="2"/>
    <x v="1"/>
    <n v="35"/>
    <n v="14"/>
    <n v="0.44"/>
    <s v="Web"/>
    <n v="0"/>
    <n v="1"/>
    <n v="0"/>
    <n v="14.99"/>
    <n v="0"/>
  </r>
  <r>
    <n v="445"/>
    <s v="Other"/>
    <n v="47"/>
    <x v="2"/>
    <x v="3"/>
    <n v="250"/>
    <n v="86"/>
    <n v="0"/>
    <s v="Mobile"/>
    <n v="0"/>
    <n v="1"/>
    <n v="1"/>
    <n v="4.99"/>
    <n v="4.99"/>
  </r>
  <r>
    <n v="446"/>
    <s v="Other"/>
    <n v="46"/>
    <x v="7"/>
    <x v="3"/>
    <n v="247"/>
    <n v="67"/>
    <n v="0.32"/>
    <s v="Desktop"/>
    <n v="0"/>
    <n v="1"/>
    <n v="1"/>
    <n v="4.99"/>
    <n v="4.99"/>
  </r>
  <r>
    <n v="447"/>
    <s v="Other"/>
    <n v="44"/>
    <x v="6"/>
    <x v="2"/>
    <n v="18"/>
    <n v="51"/>
    <n v="0.38"/>
    <s v="Web"/>
    <n v="0"/>
    <n v="1"/>
    <n v="1"/>
    <n v="9.99"/>
    <n v="9.99"/>
  </r>
  <r>
    <n v="448"/>
    <s v="Male"/>
    <n v="52"/>
    <x v="5"/>
    <x v="3"/>
    <n v="296"/>
    <n v="35"/>
    <n v="0.22"/>
    <s v="Web"/>
    <n v="0"/>
    <n v="1"/>
    <n v="0"/>
    <n v="4.99"/>
    <n v="0"/>
  </r>
  <r>
    <n v="449"/>
    <s v="Other"/>
    <n v="37"/>
    <x v="6"/>
    <x v="0"/>
    <n v="25"/>
    <n v="62"/>
    <n v="0.47"/>
    <s v="Mobile"/>
    <n v="14"/>
    <n v="0"/>
    <n v="0"/>
    <n v="0"/>
    <n v="0"/>
  </r>
  <r>
    <n v="450"/>
    <s v="Male"/>
    <n v="41"/>
    <x v="3"/>
    <x v="2"/>
    <n v="166"/>
    <n v="86"/>
    <n v="0.03"/>
    <s v="Desktop"/>
    <n v="0"/>
    <n v="1"/>
    <n v="0"/>
    <n v="9.99"/>
    <n v="0"/>
  </r>
  <r>
    <n v="451"/>
    <s v="Female"/>
    <n v="55"/>
    <x v="1"/>
    <x v="3"/>
    <n v="98"/>
    <n v="17"/>
    <n v="0.17"/>
    <s v="Desktop"/>
    <n v="0"/>
    <n v="1"/>
    <n v="1"/>
    <n v="4.99"/>
    <n v="4.99"/>
  </r>
  <r>
    <n v="452"/>
    <s v="Female"/>
    <n v="28"/>
    <x v="1"/>
    <x v="3"/>
    <n v="288"/>
    <n v="86"/>
    <n v="0.16"/>
    <s v="Mobile"/>
    <n v="0"/>
    <n v="1"/>
    <n v="1"/>
    <n v="4.99"/>
    <n v="4.99"/>
  </r>
  <r>
    <n v="453"/>
    <s v="Male"/>
    <n v="40"/>
    <x v="3"/>
    <x v="2"/>
    <n v="10"/>
    <n v="54"/>
    <n v="0.5"/>
    <s v="Web"/>
    <n v="0"/>
    <n v="1"/>
    <n v="0"/>
    <n v="9.99"/>
    <n v="0"/>
  </r>
  <r>
    <n v="454"/>
    <s v="Male"/>
    <n v="19"/>
    <x v="5"/>
    <x v="2"/>
    <n v="188"/>
    <n v="15"/>
    <n v="0.27"/>
    <s v="Desktop"/>
    <n v="0"/>
    <n v="1"/>
    <n v="0"/>
    <n v="9.99"/>
    <n v="0"/>
  </r>
  <r>
    <n v="455"/>
    <s v="Male"/>
    <n v="53"/>
    <x v="0"/>
    <x v="0"/>
    <n v="65"/>
    <n v="55"/>
    <n v="0.56000000000000005"/>
    <s v="Desktop"/>
    <n v="33"/>
    <n v="0"/>
    <n v="0"/>
    <n v="0"/>
    <n v="0"/>
  </r>
  <r>
    <n v="456"/>
    <s v="Other"/>
    <n v="20"/>
    <x v="6"/>
    <x v="1"/>
    <n v="210"/>
    <n v="82"/>
    <n v="0.51"/>
    <s v="Web"/>
    <n v="0"/>
    <n v="1"/>
    <n v="0"/>
    <n v="14.99"/>
    <n v="0"/>
  </r>
  <r>
    <n v="457"/>
    <s v="Female"/>
    <n v="18"/>
    <x v="4"/>
    <x v="3"/>
    <n v="128"/>
    <n v="28"/>
    <n v="0.33"/>
    <s v="Mobile"/>
    <n v="0"/>
    <n v="1"/>
    <n v="1"/>
    <n v="4.99"/>
    <n v="4.99"/>
  </r>
  <r>
    <n v="458"/>
    <s v="Female"/>
    <n v="25"/>
    <x v="3"/>
    <x v="1"/>
    <n v="72"/>
    <n v="32"/>
    <n v="0.32"/>
    <s v="Desktop"/>
    <n v="0"/>
    <n v="1"/>
    <n v="1"/>
    <n v="14.99"/>
    <n v="14.99"/>
  </r>
  <r>
    <n v="459"/>
    <s v="Male"/>
    <n v="26"/>
    <x v="4"/>
    <x v="3"/>
    <n v="150"/>
    <n v="40"/>
    <n v="0.06"/>
    <s v="Desktop"/>
    <n v="0"/>
    <n v="1"/>
    <n v="0"/>
    <n v="4.99"/>
    <n v="0"/>
  </r>
  <r>
    <n v="460"/>
    <s v="Male"/>
    <n v="24"/>
    <x v="7"/>
    <x v="3"/>
    <n v="57"/>
    <n v="35"/>
    <n v="0.48"/>
    <s v="Web"/>
    <n v="0"/>
    <n v="1"/>
    <n v="0"/>
    <n v="4.99"/>
    <n v="0"/>
  </r>
  <r>
    <n v="461"/>
    <s v="Female"/>
    <n v="41"/>
    <x v="7"/>
    <x v="3"/>
    <n v="199"/>
    <n v="12"/>
    <n v="0.4"/>
    <s v="Web"/>
    <n v="0"/>
    <n v="1"/>
    <n v="1"/>
    <n v="4.99"/>
    <n v="4.99"/>
  </r>
  <r>
    <n v="462"/>
    <s v="Male"/>
    <n v="21"/>
    <x v="0"/>
    <x v="3"/>
    <n v="211"/>
    <n v="96"/>
    <n v="0.56999999999999995"/>
    <s v="Desktop"/>
    <n v="0"/>
    <n v="1"/>
    <n v="0"/>
    <n v="4.99"/>
    <n v="0"/>
  </r>
  <r>
    <n v="463"/>
    <s v="Female"/>
    <n v="30"/>
    <x v="0"/>
    <x v="1"/>
    <n v="115"/>
    <n v="68"/>
    <n v="0.49"/>
    <s v="Desktop"/>
    <n v="0"/>
    <n v="1"/>
    <n v="0"/>
    <n v="14.99"/>
    <n v="0"/>
  </r>
  <r>
    <n v="464"/>
    <s v="Male"/>
    <n v="37"/>
    <x v="2"/>
    <x v="0"/>
    <n v="260"/>
    <n v="30"/>
    <n v="0.51"/>
    <s v="Web"/>
    <n v="37"/>
    <n v="0"/>
    <n v="0"/>
    <n v="0"/>
    <n v="0"/>
  </r>
  <r>
    <n v="465"/>
    <s v="Male"/>
    <n v="39"/>
    <x v="1"/>
    <x v="0"/>
    <n v="110"/>
    <n v="17"/>
    <n v="0.57999999999999996"/>
    <s v="Desktop"/>
    <n v="24"/>
    <n v="0"/>
    <n v="0"/>
    <n v="0"/>
    <n v="0"/>
  </r>
  <r>
    <n v="466"/>
    <s v="Female"/>
    <n v="53"/>
    <x v="7"/>
    <x v="0"/>
    <n v="224"/>
    <n v="11"/>
    <n v="0.11"/>
    <s v="Mobile"/>
    <n v="12"/>
    <n v="0"/>
    <n v="0"/>
    <n v="0"/>
    <n v="0"/>
  </r>
  <r>
    <n v="467"/>
    <s v="Female"/>
    <n v="39"/>
    <x v="5"/>
    <x v="1"/>
    <n v="63"/>
    <n v="96"/>
    <n v="0.32"/>
    <s v="Mobile"/>
    <n v="0"/>
    <n v="1"/>
    <n v="0"/>
    <n v="14.99"/>
    <n v="0"/>
  </r>
  <r>
    <n v="468"/>
    <s v="Male"/>
    <n v="48"/>
    <x v="6"/>
    <x v="1"/>
    <n v="40"/>
    <n v="62"/>
    <n v="0.01"/>
    <s v="Mobile"/>
    <n v="0"/>
    <n v="1"/>
    <n v="0"/>
    <n v="14.99"/>
    <n v="0"/>
  </r>
  <r>
    <n v="469"/>
    <s v="Other"/>
    <n v="41"/>
    <x v="0"/>
    <x v="3"/>
    <n v="163"/>
    <n v="45"/>
    <n v="0.47"/>
    <s v="Web"/>
    <n v="0"/>
    <n v="1"/>
    <n v="1"/>
    <n v="4.99"/>
    <n v="4.99"/>
  </r>
  <r>
    <n v="470"/>
    <s v="Other"/>
    <n v="52"/>
    <x v="1"/>
    <x v="0"/>
    <n v="211"/>
    <n v="48"/>
    <n v="0.47"/>
    <s v="Desktop"/>
    <n v="27"/>
    <n v="0"/>
    <n v="0"/>
    <n v="0"/>
    <n v="0"/>
  </r>
  <r>
    <n v="471"/>
    <s v="Male"/>
    <n v="51"/>
    <x v="0"/>
    <x v="2"/>
    <n v="72"/>
    <n v="82"/>
    <n v="0.44"/>
    <s v="Web"/>
    <n v="0"/>
    <n v="1"/>
    <n v="0"/>
    <n v="9.99"/>
    <n v="0"/>
  </r>
  <r>
    <n v="472"/>
    <s v="Male"/>
    <n v="20"/>
    <x v="3"/>
    <x v="2"/>
    <n v="16"/>
    <n v="82"/>
    <n v="0.09"/>
    <s v="Web"/>
    <n v="0"/>
    <n v="1"/>
    <n v="0"/>
    <n v="9.99"/>
    <n v="0"/>
  </r>
  <r>
    <n v="473"/>
    <s v="Other"/>
    <n v="58"/>
    <x v="1"/>
    <x v="2"/>
    <n v="205"/>
    <n v="11"/>
    <n v="0.47"/>
    <s v="Mobile"/>
    <n v="0"/>
    <n v="1"/>
    <n v="0"/>
    <n v="9.99"/>
    <n v="0"/>
  </r>
  <r>
    <n v="474"/>
    <s v="Other"/>
    <n v="22"/>
    <x v="4"/>
    <x v="2"/>
    <n v="290"/>
    <n v="17"/>
    <n v="0.43"/>
    <s v="Mobile"/>
    <n v="0"/>
    <n v="1"/>
    <n v="0"/>
    <n v="9.99"/>
    <n v="0"/>
  </r>
  <r>
    <n v="475"/>
    <s v="Other"/>
    <n v="33"/>
    <x v="5"/>
    <x v="3"/>
    <n v="86"/>
    <n v="30"/>
    <n v="0.55000000000000004"/>
    <s v="Web"/>
    <n v="0"/>
    <n v="1"/>
    <n v="0"/>
    <n v="4.99"/>
    <n v="0"/>
  </r>
  <r>
    <n v="476"/>
    <s v="Female"/>
    <n v="35"/>
    <x v="1"/>
    <x v="0"/>
    <n v="34"/>
    <n v="1"/>
    <n v="0.45"/>
    <s v="Desktop"/>
    <n v="30"/>
    <n v="0"/>
    <n v="1"/>
    <n v="0"/>
    <n v="0"/>
  </r>
  <r>
    <n v="477"/>
    <s v="Female"/>
    <n v="21"/>
    <x v="5"/>
    <x v="2"/>
    <n v="192"/>
    <n v="95"/>
    <n v="0.3"/>
    <s v="Desktop"/>
    <n v="0"/>
    <n v="1"/>
    <n v="0"/>
    <n v="9.99"/>
    <n v="0"/>
  </r>
  <r>
    <n v="478"/>
    <s v="Male"/>
    <n v="31"/>
    <x v="7"/>
    <x v="2"/>
    <n v="65"/>
    <n v="7"/>
    <n v="0.04"/>
    <s v="Desktop"/>
    <n v="0"/>
    <n v="1"/>
    <n v="0"/>
    <n v="9.99"/>
    <n v="0"/>
  </r>
  <r>
    <n v="479"/>
    <s v="Other"/>
    <n v="54"/>
    <x v="6"/>
    <x v="0"/>
    <n v="225"/>
    <n v="60"/>
    <n v="0.19"/>
    <s v="Mobile"/>
    <n v="17"/>
    <n v="0"/>
    <n v="1"/>
    <n v="0"/>
    <n v="0"/>
  </r>
  <r>
    <n v="480"/>
    <s v="Female"/>
    <n v="49"/>
    <x v="4"/>
    <x v="0"/>
    <n v="266"/>
    <n v="2"/>
    <n v="0.46"/>
    <s v="Desktop"/>
    <n v="16"/>
    <n v="0"/>
    <n v="1"/>
    <n v="0"/>
    <n v="0"/>
  </r>
  <r>
    <n v="481"/>
    <s v="Other"/>
    <n v="44"/>
    <x v="1"/>
    <x v="2"/>
    <n v="196"/>
    <n v="36"/>
    <n v="0.42"/>
    <s v="Web"/>
    <n v="0"/>
    <n v="1"/>
    <n v="0"/>
    <n v="9.99"/>
    <n v="0"/>
  </r>
  <r>
    <n v="482"/>
    <s v="Other"/>
    <n v="51"/>
    <x v="4"/>
    <x v="0"/>
    <n v="294"/>
    <n v="73"/>
    <n v="0.28000000000000003"/>
    <s v="Mobile"/>
    <n v="15"/>
    <n v="0"/>
    <n v="0"/>
    <n v="0"/>
    <n v="0"/>
  </r>
  <r>
    <n v="483"/>
    <s v="Female"/>
    <n v="56"/>
    <x v="1"/>
    <x v="1"/>
    <n v="38"/>
    <n v="82"/>
    <n v="0.31"/>
    <s v="Desktop"/>
    <n v="0"/>
    <n v="1"/>
    <n v="1"/>
    <n v="14.99"/>
    <n v="14.99"/>
  </r>
  <r>
    <n v="484"/>
    <s v="Female"/>
    <n v="33"/>
    <x v="0"/>
    <x v="3"/>
    <n v="123"/>
    <n v="23"/>
    <n v="0.31"/>
    <s v="Desktop"/>
    <n v="0"/>
    <n v="1"/>
    <n v="0"/>
    <n v="4.99"/>
    <n v="0"/>
  </r>
  <r>
    <n v="485"/>
    <s v="Male"/>
    <n v="42"/>
    <x v="3"/>
    <x v="2"/>
    <n v="102"/>
    <n v="95"/>
    <n v="0.14000000000000001"/>
    <s v="Web"/>
    <n v="0"/>
    <n v="1"/>
    <n v="0"/>
    <n v="9.99"/>
    <n v="0"/>
  </r>
  <r>
    <n v="486"/>
    <s v="Female"/>
    <n v="19"/>
    <x v="4"/>
    <x v="2"/>
    <n v="43"/>
    <n v="30"/>
    <n v="0.32"/>
    <s v="Desktop"/>
    <n v="0"/>
    <n v="1"/>
    <n v="0"/>
    <n v="9.99"/>
    <n v="0"/>
  </r>
  <r>
    <n v="487"/>
    <s v="Male"/>
    <n v="16"/>
    <x v="1"/>
    <x v="3"/>
    <n v="112"/>
    <n v="81"/>
    <n v="7.0000000000000007E-2"/>
    <s v="Mobile"/>
    <n v="0"/>
    <n v="1"/>
    <n v="1"/>
    <n v="4.99"/>
    <n v="4.99"/>
  </r>
  <r>
    <n v="488"/>
    <s v="Male"/>
    <n v="29"/>
    <x v="2"/>
    <x v="3"/>
    <n v="150"/>
    <n v="27"/>
    <n v="0.1"/>
    <s v="Desktop"/>
    <n v="0"/>
    <n v="1"/>
    <n v="0"/>
    <n v="4.99"/>
    <n v="0"/>
  </r>
  <r>
    <n v="489"/>
    <s v="Male"/>
    <n v="43"/>
    <x v="2"/>
    <x v="2"/>
    <n v="28"/>
    <n v="41"/>
    <n v="0.17"/>
    <s v="Web"/>
    <n v="0"/>
    <n v="1"/>
    <n v="0"/>
    <n v="9.99"/>
    <n v="0"/>
  </r>
  <r>
    <n v="490"/>
    <s v="Other"/>
    <n v="42"/>
    <x v="1"/>
    <x v="3"/>
    <n v="256"/>
    <n v="12"/>
    <n v="0.51"/>
    <s v="Mobile"/>
    <n v="0"/>
    <n v="1"/>
    <n v="1"/>
    <n v="4.99"/>
    <n v="4.99"/>
  </r>
  <r>
    <n v="491"/>
    <s v="Other"/>
    <n v="38"/>
    <x v="3"/>
    <x v="2"/>
    <n v="205"/>
    <n v="38"/>
    <n v="0.38"/>
    <s v="Web"/>
    <n v="0"/>
    <n v="1"/>
    <n v="0"/>
    <n v="9.99"/>
    <n v="0"/>
  </r>
  <r>
    <n v="492"/>
    <s v="Male"/>
    <n v="20"/>
    <x v="3"/>
    <x v="3"/>
    <n v="174"/>
    <n v="85"/>
    <n v="0.5"/>
    <s v="Web"/>
    <n v="0"/>
    <n v="1"/>
    <n v="0"/>
    <n v="4.99"/>
    <n v="0"/>
  </r>
  <r>
    <n v="493"/>
    <s v="Male"/>
    <n v="23"/>
    <x v="2"/>
    <x v="3"/>
    <n v="181"/>
    <n v="89"/>
    <n v="0.28999999999999998"/>
    <s v="Mobile"/>
    <n v="0"/>
    <n v="1"/>
    <n v="1"/>
    <n v="4.99"/>
    <n v="4.99"/>
  </r>
  <r>
    <n v="494"/>
    <s v="Female"/>
    <n v="51"/>
    <x v="6"/>
    <x v="3"/>
    <n v="299"/>
    <n v="71"/>
    <n v="0.57999999999999996"/>
    <s v="Desktop"/>
    <n v="0"/>
    <n v="1"/>
    <n v="1"/>
    <n v="4.99"/>
    <n v="4.99"/>
  </r>
  <r>
    <n v="495"/>
    <s v="Male"/>
    <n v="17"/>
    <x v="1"/>
    <x v="3"/>
    <n v="292"/>
    <n v="27"/>
    <n v="0.17"/>
    <s v="Mobile"/>
    <n v="0"/>
    <n v="1"/>
    <n v="0"/>
    <n v="4.99"/>
    <n v="0"/>
  </r>
  <r>
    <n v="496"/>
    <s v="Other"/>
    <n v="17"/>
    <x v="7"/>
    <x v="2"/>
    <n v="141"/>
    <n v="15"/>
    <n v="0.45"/>
    <s v="Web"/>
    <n v="0"/>
    <n v="1"/>
    <n v="0"/>
    <n v="9.99"/>
    <n v="0"/>
  </r>
  <r>
    <n v="497"/>
    <s v="Female"/>
    <n v="37"/>
    <x v="5"/>
    <x v="1"/>
    <n v="184"/>
    <n v="14"/>
    <n v="0.59"/>
    <s v="Mobile"/>
    <n v="0"/>
    <n v="1"/>
    <n v="0"/>
    <n v="14.99"/>
    <n v="0"/>
  </r>
  <r>
    <n v="498"/>
    <s v="Male"/>
    <n v="55"/>
    <x v="0"/>
    <x v="3"/>
    <n v="118"/>
    <n v="13"/>
    <n v="0.42"/>
    <s v="Desktop"/>
    <n v="0"/>
    <n v="1"/>
    <n v="0"/>
    <n v="4.99"/>
    <n v="0"/>
  </r>
  <r>
    <n v="499"/>
    <s v="Female"/>
    <n v="48"/>
    <x v="6"/>
    <x v="2"/>
    <n v="164"/>
    <n v="70"/>
    <n v="0.15"/>
    <s v="Mobile"/>
    <n v="0"/>
    <n v="1"/>
    <n v="0"/>
    <n v="9.99"/>
    <n v="0"/>
  </r>
  <r>
    <n v="500"/>
    <s v="Other"/>
    <n v="38"/>
    <x v="5"/>
    <x v="0"/>
    <n v="283"/>
    <n v="69"/>
    <n v="0.01"/>
    <s v="Desktop"/>
    <n v="35"/>
    <n v="0"/>
    <n v="0"/>
    <n v="0"/>
    <n v="0"/>
  </r>
  <r>
    <n v="501"/>
    <s v="Other"/>
    <n v="55"/>
    <x v="5"/>
    <x v="3"/>
    <n v="47"/>
    <n v="24"/>
    <n v="0.59"/>
    <s v="Mobile"/>
    <n v="0"/>
    <n v="1"/>
    <n v="0"/>
    <n v="4.99"/>
    <n v="0"/>
  </r>
  <r>
    <n v="502"/>
    <s v="Female"/>
    <n v="23"/>
    <x v="2"/>
    <x v="3"/>
    <n v="101"/>
    <n v="88"/>
    <n v="0.45"/>
    <s v="Web"/>
    <n v="0"/>
    <n v="1"/>
    <n v="1"/>
    <n v="4.99"/>
    <n v="4.99"/>
  </r>
  <r>
    <n v="503"/>
    <s v="Other"/>
    <n v="49"/>
    <x v="3"/>
    <x v="0"/>
    <n v="270"/>
    <n v="92"/>
    <n v="0.38"/>
    <s v="Web"/>
    <n v="26"/>
    <n v="0"/>
    <n v="0"/>
    <n v="0"/>
    <n v="0"/>
  </r>
  <r>
    <n v="504"/>
    <s v="Other"/>
    <n v="38"/>
    <x v="4"/>
    <x v="0"/>
    <n v="208"/>
    <n v="18"/>
    <n v="0.38"/>
    <s v="Desktop"/>
    <n v="46"/>
    <n v="0"/>
    <n v="0"/>
    <n v="0"/>
    <n v="0"/>
  </r>
  <r>
    <n v="505"/>
    <s v="Other"/>
    <n v="40"/>
    <x v="0"/>
    <x v="3"/>
    <n v="172"/>
    <n v="21"/>
    <n v="0.36"/>
    <s v="Desktop"/>
    <n v="0"/>
    <n v="1"/>
    <n v="0"/>
    <n v="4.99"/>
    <n v="0"/>
  </r>
  <r>
    <n v="506"/>
    <s v="Male"/>
    <n v="31"/>
    <x v="6"/>
    <x v="2"/>
    <n v="236"/>
    <n v="11"/>
    <n v="0.13"/>
    <s v="Web"/>
    <n v="0"/>
    <n v="1"/>
    <n v="0"/>
    <n v="9.99"/>
    <n v="0"/>
  </r>
  <r>
    <n v="507"/>
    <s v="Male"/>
    <n v="36"/>
    <x v="1"/>
    <x v="2"/>
    <n v="265"/>
    <n v="25"/>
    <n v="0.19"/>
    <s v="Web"/>
    <n v="0"/>
    <n v="1"/>
    <n v="0"/>
    <n v="9.99"/>
    <n v="0"/>
  </r>
  <r>
    <n v="508"/>
    <s v="Female"/>
    <n v="57"/>
    <x v="2"/>
    <x v="0"/>
    <n v="54"/>
    <n v="65"/>
    <n v="0.01"/>
    <s v="Mobile"/>
    <n v="35"/>
    <n v="0"/>
    <n v="1"/>
    <n v="0"/>
    <n v="0"/>
  </r>
  <r>
    <n v="509"/>
    <s v="Other"/>
    <n v="48"/>
    <x v="6"/>
    <x v="1"/>
    <n v="191"/>
    <n v="78"/>
    <n v="0.32"/>
    <s v="Mobile"/>
    <n v="0"/>
    <n v="1"/>
    <n v="0"/>
    <n v="14.99"/>
    <n v="0"/>
  </r>
  <r>
    <n v="510"/>
    <s v="Male"/>
    <n v="21"/>
    <x v="3"/>
    <x v="1"/>
    <n v="251"/>
    <n v="94"/>
    <n v="0.12"/>
    <s v="Desktop"/>
    <n v="0"/>
    <n v="1"/>
    <n v="0"/>
    <n v="14.99"/>
    <n v="0"/>
  </r>
  <r>
    <n v="511"/>
    <s v="Other"/>
    <n v="21"/>
    <x v="1"/>
    <x v="2"/>
    <n v="260"/>
    <n v="97"/>
    <n v="0.25"/>
    <s v="Desktop"/>
    <n v="0"/>
    <n v="1"/>
    <n v="0"/>
    <n v="9.99"/>
    <n v="0"/>
  </r>
  <r>
    <n v="512"/>
    <s v="Female"/>
    <n v="23"/>
    <x v="6"/>
    <x v="2"/>
    <n v="213"/>
    <n v="64"/>
    <n v="0.34"/>
    <s v="Web"/>
    <n v="0"/>
    <n v="1"/>
    <n v="1"/>
    <n v="9.99"/>
    <n v="9.99"/>
  </r>
  <r>
    <n v="513"/>
    <s v="Other"/>
    <n v="28"/>
    <x v="1"/>
    <x v="1"/>
    <n v="152"/>
    <n v="11"/>
    <n v="0.15"/>
    <s v="Web"/>
    <n v="0"/>
    <n v="1"/>
    <n v="0"/>
    <n v="14.99"/>
    <n v="0"/>
  </r>
  <r>
    <n v="514"/>
    <s v="Female"/>
    <n v="53"/>
    <x v="6"/>
    <x v="0"/>
    <n v="226"/>
    <n v="99"/>
    <n v="0.05"/>
    <s v="Desktop"/>
    <n v="49"/>
    <n v="0"/>
    <n v="0"/>
    <n v="0"/>
    <n v="0"/>
  </r>
  <r>
    <n v="515"/>
    <s v="Female"/>
    <n v="20"/>
    <x v="0"/>
    <x v="0"/>
    <n v="115"/>
    <n v="28"/>
    <n v="0.09"/>
    <s v="Desktop"/>
    <n v="29"/>
    <n v="0"/>
    <n v="0"/>
    <n v="0"/>
    <n v="0"/>
  </r>
  <r>
    <n v="516"/>
    <s v="Female"/>
    <n v="43"/>
    <x v="7"/>
    <x v="0"/>
    <n v="55"/>
    <n v="64"/>
    <n v="7.0000000000000007E-2"/>
    <s v="Web"/>
    <n v="46"/>
    <n v="0"/>
    <n v="1"/>
    <n v="0"/>
    <n v="0"/>
  </r>
  <r>
    <n v="517"/>
    <s v="Other"/>
    <n v="25"/>
    <x v="3"/>
    <x v="1"/>
    <n v="123"/>
    <n v="18"/>
    <n v="0.56000000000000005"/>
    <s v="Mobile"/>
    <n v="0"/>
    <n v="1"/>
    <n v="0"/>
    <n v="14.99"/>
    <n v="0"/>
  </r>
  <r>
    <n v="518"/>
    <s v="Other"/>
    <n v="56"/>
    <x v="3"/>
    <x v="0"/>
    <n v="110"/>
    <n v="42"/>
    <n v="0.4"/>
    <s v="Desktop"/>
    <n v="16"/>
    <n v="0"/>
    <n v="1"/>
    <n v="0"/>
    <n v="0"/>
  </r>
  <r>
    <n v="519"/>
    <s v="Male"/>
    <n v="21"/>
    <x v="2"/>
    <x v="2"/>
    <n v="164"/>
    <n v="90"/>
    <n v="0.55000000000000004"/>
    <s v="Desktop"/>
    <n v="0"/>
    <n v="1"/>
    <n v="0"/>
    <n v="9.99"/>
    <n v="0"/>
  </r>
  <r>
    <n v="520"/>
    <s v="Other"/>
    <n v="24"/>
    <x v="1"/>
    <x v="2"/>
    <n v="185"/>
    <n v="77"/>
    <n v="0.54"/>
    <s v="Desktop"/>
    <n v="0"/>
    <n v="1"/>
    <n v="0"/>
    <n v="9.99"/>
    <n v="0"/>
  </r>
  <r>
    <n v="521"/>
    <s v="Male"/>
    <n v="38"/>
    <x v="1"/>
    <x v="2"/>
    <n v="262"/>
    <n v="5"/>
    <n v="0.31"/>
    <s v="Mobile"/>
    <n v="0"/>
    <n v="1"/>
    <n v="0"/>
    <n v="9.99"/>
    <n v="0"/>
  </r>
  <r>
    <n v="522"/>
    <s v="Other"/>
    <n v="20"/>
    <x v="0"/>
    <x v="2"/>
    <n v="230"/>
    <n v="32"/>
    <n v="0.04"/>
    <s v="Desktop"/>
    <n v="0"/>
    <n v="1"/>
    <n v="0"/>
    <n v="9.99"/>
    <n v="0"/>
  </r>
  <r>
    <n v="523"/>
    <s v="Male"/>
    <n v="28"/>
    <x v="5"/>
    <x v="3"/>
    <n v="17"/>
    <n v="64"/>
    <n v="0.42"/>
    <s v="Web"/>
    <n v="0"/>
    <n v="1"/>
    <n v="1"/>
    <n v="4.99"/>
    <n v="4.99"/>
  </r>
  <r>
    <n v="524"/>
    <s v="Male"/>
    <n v="58"/>
    <x v="1"/>
    <x v="3"/>
    <n v="274"/>
    <n v="18"/>
    <n v="0.03"/>
    <s v="Desktop"/>
    <n v="0"/>
    <n v="1"/>
    <n v="0"/>
    <n v="4.99"/>
    <n v="0"/>
  </r>
  <r>
    <n v="525"/>
    <s v="Male"/>
    <n v="47"/>
    <x v="0"/>
    <x v="1"/>
    <n v="75"/>
    <n v="19"/>
    <n v="0.28000000000000003"/>
    <s v="Mobile"/>
    <n v="0"/>
    <n v="1"/>
    <n v="0"/>
    <n v="14.99"/>
    <n v="0"/>
  </r>
  <r>
    <n v="526"/>
    <s v="Female"/>
    <n v="24"/>
    <x v="3"/>
    <x v="0"/>
    <n v="250"/>
    <n v="81"/>
    <n v="0.27"/>
    <s v="Desktop"/>
    <n v="16"/>
    <n v="0"/>
    <n v="0"/>
    <n v="0"/>
    <n v="0"/>
  </r>
  <r>
    <n v="527"/>
    <s v="Other"/>
    <n v="20"/>
    <x v="3"/>
    <x v="2"/>
    <n v="35"/>
    <n v="61"/>
    <n v="0.33"/>
    <s v="Web"/>
    <n v="0"/>
    <n v="1"/>
    <n v="0"/>
    <n v="9.99"/>
    <n v="0"/>
  </r>
  <r>
    <n v="528"/>
    <s v="Other"/>
    <n v="41"/>
    <x v="1"/>
    <x v="2"/>
    <n v="33"/>
    <n v="1"/>
    <n v="0.08"/>
    <s v="Web"/>
    <n v="0"/>
    <n v="1"/>
    <n v="1"/>
    <n v="9.99"/>
    <n v="9.99"/>
  </r>
  <r>
    <n v="529"/>
    <s v="Male"/>
    <n v="35"/>
    <x v="7"/>
    <x v="0"/>
    <n v="270"/>
    <n v="39"/>
    <n v="0.28999999999999998"/>
    <s v="Web"/>
    <n v="30"/>
    <n v="0"/>
    <n v="0"/>
    <n v="0"/>
    <n v="0"/>
  </r>
  <r>
    <n v="530"/>
    <s v="Female"/>
    <n v="21"/>
    <x v="7"/>
    <x v="3"/>
    <n v="192"/>
    <n v="52"/>
    <n v="0.46"/>
    <s v="Web"/>
    <n v="0"/>
    <n v="1"/>
    <n v="1"/>
    <n v="4.99"/>
    <n v="4.99"/>
  </r>
  <r>
    <n v="531"/>
    <s v="Other"/>
    <n v="17"/>
    <x v="2"/>
    <x v="1"/>
    <n v="195"/>
    <n v="60"/>
    <n v="0.26"/>
    <s v="Desktop"/>
    <n v="0"/>
    <n v="1"/>
    <n v="0"/>
    <n v="14.99"/>
    <n v="0"/>
  </r>
  <r>
    <n v="532"/>
    <s v="Other"/>
    <n v="49"/>
    <x v="6"/>
    <x v="1"/>
    <n v="288"/>
    <n v="46"/>
    <n v="0.05"/>
    <s v="Web"/>
    <n v="0"/>
    <n v="1"/>
    <n v="0"/>
    <n v="14.99"/>
    <n v="0"/>
  </r>
  <r>
    <n v="533"/>
    <s v="Male"/>
    <n v="35"/>
    <x v="3"/>
    <x v="3"/>
    <n v="155"/>
    <n v="84"/>
    <n v="0.21"/>
    <s v="Web"/>
    <n v="0"/>
    <n v="1"/>
    <n v="1"/>
    <n v="4.99"/>
    <n v="4.99"/>
  </r>
  <r>
    <n v="534"/>
    <s v="Other"/>
    <n v="34"/>
    <x v="2"/>
    <x v="1"/>
    <n v="136"/>
    <n v="3"/>
    <n v="0.04"/>
    <s v="Mobile"/>
    <n v="0"/>
    <n v="1"/>
    <n v="1"/>
    <n v="14.99"/>
    <n v="14.99"/>
  </r>
  <r>
    <n v="535"/>
    <s v="Male"/>
    <n v="38"/>
    <x v="4"/>
    <x v="2"/>
    <n v="137"/>
    <n v="38"/>
    <n v="0.02"/>
    <s v="Desktop"/>
    <n v="0"/>
    <n v="1"/>
    <n v="0"/>
    <n v="9.99"/>
    <n v="0"/>
  </r>
  <r>
    <n v="536"/>
    <s v="Other"/>
    <n v="35"/>
    <x v="1"/>
    <x v="0"/>
    <n v="111"/>
    <n v="62"/>
    <n v="0.47"/>
    <s v="Web"/>
    <n v="13"/>
    <n v="0"/>
    <n v="1"/>
    <n v="0"/>
    <n v="0"/>
  </r>
  <r>
    <n v="537"/>
    <s v="Other"/>
    <n v="38"/>
    <x v="7"/>
    <x v="1"/>
    <n v="211"/>
    <n v="72"/>
    <n v="0.35"/>
    <s v="Desktop"/>
    <n v="0"/>
    <n v="1"/>
    <n v="0"/>
    <n v="14.99"/>
    <n v="0"/>
  </r>
  <r>
    <n v="538"/>
    <s v="Female"/>
    <n v="39"/>
    <x v="1"/>
    <x v="2"/>
    <n v="168"/>
    <n v="69"/>
    <n v="0.54"/>
    <s v="Desktop"/>
    <n v="0"/>
    <n v="1"/>
    <n v="1"/>
    <n v="9.99"/>
    <n v="9.99"/>
  </r>
  <r>
    <n v="539"/>
    <s v="Female"/>
    <n v="53"/>
    <x v="2"/>
    <x v="3"/>
    <n v="86"/>
    <n v="27"/>
    <n v="0.15"/>
    <s v="Mobile"/>
    <n v="0"/>
    <n v="1"/>
    <n v="0"/>
    <n v="4.99"/>
    <n v="0"/>
  </r>
  <r>
    <n v="540"/>
    <s v="Other"/>
    <n v="42"/>
    <x v="5"/>
    <x v="2"/>
    <n v="219"/>
    <n v="2"/>
    <n v="0.04"/>
    <s v="Mobile"/>
    <n v="0"/>
    <n v="1"/>
    <n v="0"/>
    <n v="9.99"/>
    <n v="0"/>
  </r>
  <r>
    <n v="541"/>
    <s v="Female"/>
    <n v="40"/>
    <x v="1"/>
    <x v="1"/>
    <n v="66"/>
    <n v="51"/>
    <n v="0.3"/>
    <s v="Mobile"/>
    <n v="0"/>
    <n v="1"/>
    <n v="0"/>
    <n v="14.99"/>
    <n v="0"/>
  </r>
  <r>
    <n v="542"/>
    <s v="Male"/>
    <n v="48"/>
    <x v="6"/>
    <x v="2"/>
    <n v="73"/>
    <n v="97"/>
    <n v="0.41"/>
    <s v="Mobile"/>
    <n v="0"/>
    <n v="1"/>
    <n v="1"/>
    <n v="9.99"/>
    <n v="9.99"/>
  </r>
  <r>
    <n v="543"/>
    <s v="Other"/>
    <n v="52"/>
    <x v="4"/>
    <x v="2"/>
    <n v="274"/>
    <n v="56"/>
    <n v="0.09"/>
    <s v="Desktop"/>
    <n v="0"/>
    <n v="1"/>
    <n v="0"/>
    <n v="9.99"/>
    <n v="0"/>
  </r>
  <r>
    <n v="544"/>
    <s v="Female"/>
    <n v="44"/>
    <x v="2"/>
    <x v="1"/>
    <n v="169"/>
    <n v="69"/>
    <n v="0.06"/>
    <s v="Web"/>
    <n v="0"/>
    <n v="1"/>
    <n v="0"/>
    <n v="14.99"/>
    <n v="0"/>
  </r>
  <r>
    <n v="545"/>
    <s v="Male"/>
    <n v="30"/>
    <x v="1"/>
    <x v="1"/>
    <n v="88"/>
    <n v="58"/>
    <n v="0.33"/>
    <s v="Web"/>
    <n v="0"/>
    <n v="1"/>
    <n v="0"/>
    <n v="14.99"/>
    <n v="0"/>
  </r>
  <r>
    <n v="546"/>
    <s v="Female"/>
    <n v="57"/>
    <x v="6"/>
    <x v="1"/>
    <n v="286"/>
    <n v="87"/>
    <n v="0.53"/>
    <s v="Desktop"/>
    <n v="0"/>
    <n v="1"/>
    <n v="0"/>
    <n v="14.99"/>
    <n v="0"/>
  </r>
  <r>
    <n v="547"/>
    <s v="Male"/>
    <n v="29"/>
    <x v="2"/>
    <x v="2"/>
    <n v="23"/>
    <n v="98"/>
    <n v="0.36"/>
    <s v="Web"/>
    <n v="0"/>
    <n v="1"/>
    <n v="0"/>
    <n v="9.99"/>
    <n v="0"/>
  </r>
  <r>
    <n v="548"/>
    <s v="Male"/>
    <n v="49"/>
    <x v="1"/>
    <x v="2"/>
    <n v="296"/>
    <n v="69"/>
    <n v="0.35"/>
    <s v="Web"/>
    <n v="0"/>
    <n v="1"/>
    <n v="0"/>
    <n v="9.99"/>
    <n v="0"/>
  </r>
  <r>
    <n v="549"/>
    <s v="Male"/>
    <n v="25"/>
    <x v="3"/>
    <x v="3"/>
    <n v="264"/>
    <n v="51"/>
    <n v="0.09"/>
    <s v="Mobile"/>
    <n v="0"/>
    <n v="1"/>
    <n v="0"/>
    <n v="4.99"/>
    <n v="0"/>
  </r>
  <r>
    <n v="550"/>
    <s v="Other"/>
    <n v="32"/>
    <x v="5"/>
    <x v="1"/>
    <n v="167"/>
    <n v="56"/>
    <n v="0.19"/>
    <s v="Web"/>
    <n v="0"/>
    <n v="1"/>
    <n v="0"/>
    <n v="14.99"/>
    <n v="0"/>
  </r>
  <r>
    <n v="551"/>
    <s v="Male"/>
    <n v="39"/>
    <x v="7"/>
    <x v="0"/>
    <n v="87"/>
    <n v="62"/>
    <n v="0.12"/>
    <s v="Web"/>
    <n v="46"/>
    <n v="0"/>
    <n v="0"/>
    <n v="0"/>
    <n v="0"/>
  </r>
  <r>
    <n v="552"/>
    <s v="Male"/>
    <n v="22"/>
    <x v="6"/>
    <x v="3"/>
    <n v="92"/>
    <n v="70"/>
    <n v="0.51"/>
    <s v="Web"/>
    <n v="0"/>
    <n v="1"/>
    <n v="0"/>
    <n v="4.99"/>
    <n v="0"/>
  </r>
  <r>
    <n v="553"/>
    <s v="Other"/>
    <n v="23"/>
    <x v="7"/>
    <x v="3"/>
    <n v="101"/>
    <n v="96"/>
    <n v="0.41"/>
    <s v="Mobile"/>
    <n v="0"/>
    <n v="1"/>
    <n v="1"/>
    <n v="4.99"/>
    <n v="4.99"/>
  </r>
  <r>
    <n v="554"/>
    <s v="Female"/>
    <n v="53"/>
    <x v="6"/>
    <x v="3"/>
    <n v="139"/>
    <n v="1"/>
    <n v="0.54"/>
    <s v="Mobile"/>
    <n v="0"/>
    <n v="1"/>
    <n v="0"/>
    <n v="4.99"/>
    <n v="0"/>
  </r>
  <r>
    <n v="555"/>
    <s v="Male"/>
    <n v="46"/>
    <x v="1"/>
    <x v="1"/>
    <n v="159"/>
    <n v="93"/>
    <n v="0.47"/>
    <s v="Desktop"/>
    <n v="0"/>
    <n v="1"/>
    <n v="1"/>
    <n v="14.99"/>
    <n v="14.99"/>
  </r>
  <r>
    <n v="556"/>
    <s v="Male"/>
    <n v="41"/>
    <x v="1"/>
    <x v="2"/>
    <n v="229"/>
    <n v="15"/>
    <n v="0.56000000000000005"/>
    <s v="Mobile"/>
    <n v="0"/>
    <n v="1"/>
    <n v="0"/>
    <n v="9.99"/>
    <n v="0"/>
  </r>
  <r>
    <n v="557"/>
    <s v="Female"/>
    <n v="30"/>
    <x v="3"/>
    <x v="2"/>
    <n v="281"/>
    <n v="63"/>
    <n v="0.02"/>
    <s v="Desktop"/>
    <n v="0"/>
    <n v="1"/>
    <n v="0"/>
    <n v="9.99"/>
    <n v="0"/>
  </r>
  <r>
    <n v="558"/>
    <s v="Other"/>
    <n v="40"/>
    <x v="5"/>
    <x v="0"/>
    <n v="286"/>
    <n v="44"/>
    <n v="0.57999999999999996"/>
    <s v="Mobile"/>
    <n v="46"/>
    <n v="0"/>
    <n v="0"/>
    <n v="0"/>
    <n v="0"/>
  </r>
  <r>
    <n v="559"/>
    <s v="Other"/>
    <n v="46"/>
    <x v="5"/>
    <x v="0"/>
    <n v="261"/>
    <n v="12"/>
    <n v="0.6"/>
    <s v="Web"/>
    <n v="47"/>
    <n v="0"/>
    <n v="0"/>
    <n v="0"/>
    <n v="0"/>
  </r>
  <r>
    <n v="560"/>
    <s v="Female"/>
    <n v="25"/>
    <x v="7"/>
    <x v="2"/>
    <n v="295"/>
    <n v="56"/>
    <n v="0.17"/>
    <s v="Web"/>
    <n v="0"/>
    <n v="1"/>
    <n v="0"/>
    <n v="9.99"/>
    <n v="0"/>
  </r>
  <r>
    <n v="561"/>
    <s v="Female"/>
    <n v="41"/>
    <x v="2"/>
    <x v="3"/>
    <n v="256"/>
    <n v="51"/>
    <n v="0.56999999999999995"/>
    <s v="Desktop"/>
    <n v="0"/>
    <n v="1"/>
    <n v="0"/>
    <n v="4.99"/>
    <n v="0"/>
  </r>
  <r>
    <n v="562"/>
    <s v="Other"/>
    <n v="27"/>
    <x v="1"/>
    <x v="3"/>
    <n v="173"/>
    <n v="27"/>
    <n v="0.52"/>
    <s v="Desktop"/>
    <n v="0"/>
    <n v="1"/>
    <n v="0"/>
    <n v="4.99"/>
    <n v="0"/>
  </r>
  <r>
    <n v="563"/>
    <s v="Other"/>
    <n v="45"/>
    <x v="7"/>
    <x v="0"/>
    <n v="124"/>
    <n v="49"/>
    <n v="0.05"/>
    <s v="Web"/>
    <n v="22"/>
    <n v="0"/>
    <n v="1"/>
    <n v="0"/>
    <n v="0"/>
  </r>
  <r>
    <n v="564"/>
    <s v="Female"/>
    <n v="52"/>
    <x v="4"/>
    <x v="2"/>
    <n v="230"/>
    <n v="12"/>
    <n v="0.11"/>
    <s v="Mobile"/>
    <n v="0"/>
    <n v="1"/>
    <n v="0"/>
    <n v="9.99"/>
    <n v="0"/>
  </r>
  <r>
    <n v="565"/>
    <s v="Female"/>
    <n v="48"/>
    <x v="5"/>
    <x v="2"/>
    <n v="292"/>
    <n v="21"/>
    <n v="0.26"/>
    <s v="Mobile"/>
    <n v="0"/>
    <n v="1"/>
    <n v="0"/>
    <n v="9.99"/>
    <n v="0"/>
  </r>
  <r>
    <n v="566"/>
    <s v="Other"/>
    <n v="38"/>
    <x v="3"/>
    <x v="0"/>
    <n v="205"/>
    <n v="25"/>
    <n v="0.02"/>
    <s v="Desktop"/>
    <n v="33"/>
    <n v="0"/>
    <n v="0"/>
    <n v="0"/>
    <n v="0"/>
  </r>
  <r>
    <n v="567"/>
    <s v="Other"/>
    <n v="44"/>
    <x v="5"/>
    <x v="3"/>
    <n v="48"/>
    <n v="61"/>
    <n v="0.26"/>
    <s v="Mobile"/>
    <n v="0"/>
    <n v="1"/>
    <n v="0"/>
    <n v="4.99"/>
    <n v="0"/>
  </r>
  <r>
    <n v="568"/>
    <s v="Male"/>
    <n v="45"/>
    <x v="2"/>
    <x v="1"/>
    <n v="271"/>
    <n v="6"/>
    <n v="0.09"/>
    <s v="Desktop"/>
    <n v="0"/>
    <n v="1"/>
    <n v="0"/>
    <n v="14.99"/>
    <n v="0"/>
  </r>
  <r>
    <n v="569"/>
    <s v="Other"/>
    <n v="25"/>
    <x v="4"/>
    <x v="2"/>
    <n v="166"/>
    <n v="5"/>
    <n v="0.4"/>
    <s v="Web"/>
    <n v="0"/>
    <n v="1"/>
    <n v="0"/>
    <n v="9.99"/>
    <n v="0"/>
  </r>
  <r>
    <n v="570"/>
    <s v="Female"/>
    <n v="50"/>
    <x v="6"/>
    <x v="0"/>
    <n v="285"/>
    <n v="46"/>
    <n v="0.4"/>
    <s v="Web"/>
    <n v="46"/>
    <n v="0"/>
    <n v="0"/>
    <n v="0"/>
    <n v="0"/>
  </r>
  <r>
    <n v="571"/>
    <s v="Male"/>
    <n v="58"/>
    <x v="1"/>
    <x v="2"/>
    <n v="175"/>
    <n v="33"/>
    <n v="0.37"/>
    <s v="Web"/>
    <n v="0"/>
    <n v="1"/>
    <n v="1"/>
    <n v="9.99"/>
    <n v="9.99"/>
  </r>
  <r>
    <n v="572"/>
    <s v="Other"/>
    <n v="35"/>
    <x v="3"/>
    <x v="0"/>
    <n v="205"/>
    <n v="71"/>
    <n v="0.28000000000000003"/>
    <s v="Mobile"/>
    <n v="16"/>
    <n v="0"/>
    <n v="0"/>
    <n v="0"/>
    <n v="0"/>
  </r>
  <r>
    <n v="573"/>
    <s v="Male"/>
    <n v="18"/>
    <x v="6"/>
    <x v="0"/>
    <n v="101"/>
    <n v="95"/>
    <n v="0.17"/>
    <s v="Web"/>
    <n v="22"/>
    <n v="0"/>
    <n v="0"/>
    <n v="0"/>
    <n v="0"/>
  </r>
  <r>
    <n v="574"/>
    <s v="Female"/>
    <n v="21"/>
    <x v="5"/>
    <x v="0"/>
    <n v="134"/>
    <n v="80"/>
    <n v="0.23"/>
    <s v="Mobile"/>
    <n v="41"/>
    <n v="0"/>
    <n v="0"/>
    <n v="0"/>
    <n v="0"/>
  </r>
  <r>
    <n v="575"/>
    <s v="Other"/>
    <n v="32"/>
    <x v="5"/>
    <x v="2"/>
    <n v="12"/>
    <n v="38"/>
    <n v="0.24"/>
    <s v="Mobile"/>
    <n v="0"/>
    <n v="1"/>
    <n v="0"/>
    <n v="9.99"/>
    <n v="0"/>
  </r>
  <r>
    <n v="576"/>
    <s v="Male"/>
    <n v="33"/>
    <x v="1"/>
    <x v="1"/>
    <n v="147"/>
    <n v="82"/>
    <n v="0.5"/>
    <s v="Web"/>
    <n v="0"/>
    <n v="1"/>
    <n v="0"/>
    <n v="14.99"/>
    <n v="0"/>
  </r>
  <r>
    <n v="577"/>
    <s v="Male"/>
    <n v="41"/>
    <x v="2"/>
    <x v="2"/>
    <n v="174"/>
    <n v="8"/>
    <n v="0.17"/>
    <s v="Web"/>
    <n v="0"/>
    <n v="1"/>
    <n v="1"/>
    <n v="9.99"/>
    <n v="9.99"/>
  </r>
  <r>
    <n v="578"/>
    <s v="Female"/>
    <n v="33"/>
    <x v="6"/>
    <x v="2"/>
    <n v="86"/>
    <n v="57"/>
    <n v="0.26"/>
    <s v="Mobile"/>
    <n v="0"/>
    <n v="1"/>
    <n v="0"/>
    <n v="9.99"/>
    <n v="0"/>
  </r>
  <r>
    <n v="579"/>
    <s v="Male"/>
    <n v="35"/>
    <x v="2"/>
    <x v="3"/>
    <n v="99"/>
    <n v="19"/>
    <n v="0.01"/>
    <s v="Mobile"/>
    <n v="0"/>
    <n v="1"/>
    <n v="1"/>
    <n v="4.99"/>
    <n v="4.99"/>
  </r>
  <r>
    <n v="580"/>
    <s v="Male"/>
    <n v="18"/>
    <x v="7"/>
    <x v="0"/>
    <n v="78"/>
    <n v="92"/>
    <n v="0.26"/>
    <s v="Web"/>
    <n v="32"/>
    <n v="0"/>
    <n v="0"/>
    <n v="0"/>
    <n v="0"/>
  </r>
  <r>
    <n v="581"/>
    <s v="Female"/>
    <n v="58"/>
    <x v="6"/>
    <x v="2"/>
    <n v="274"/>
    <n v="60"/>
    <n v="0.45"/>
    <s v="Web"/>
    <n v="0"/>
    <n v="1"/>
    <n v="0"/>
    <n v="9.99"/>
    <n v="0"/>
  </r>
  <r>
    <n v="582"/>
    <s v="Female"/>
    <n v="46"/>
    <x v="1"/>
    <x v="2"/>
    <n v="28"/>
    <n v="53"/>
    <n v="0.02"/>
    <s v="Desktop"/>
    <n v="0"/>
    <n v="1"/>
    <n v="0"/>
    <n v="9.99"/>
    <n v="0"/>
  </r>
  <r>
    <n v="583"/>
    <s v="Female"/>
    <n v="21"/>
    <x v="2"/>
    <x v="2"/>
    <n v="211"/>
    <n v="86"/>
    <n v="0.09"/>
    <s v="Desktop"/>
    <n v="0"/>
    <n v="1"/>
    <n v="0"/>
    <n v="9.99"/>
    <n v="0"/>
  </r>
  <r>
    <n v="584"/>
    <s v="Female"/>
    <n v="33"/>
    <x v="0"/>
    <x v="3"/>
    <n v="121"/>
    <n v="41"/>
    <n v="0.08"/>
    <s v="Desktop"/>
    <n v="0"/>
    <n v="1"/>
    <n v="0"/>
    <n v="4.99"/>
    <n v="0"/>
  </r>
  <r>
    <n v="585"/>
    <s v="Other"/>
    <n v="39"/>
    <x v="4"/>
    <x v="3"/>
    <n v="32"/>
    <n v="34"/>
    <n v="0.48"/>
    <s v="Web"/>
    <n v="0"/>
    <n v="1"/>
    <n v="0"/>
    <n v="4.99"/>
    <n v="0"/>
  </r>
  <r>
    <n v="586"/>
    <s v="Female"/>
    <n v="27"/>
    <x v="7"/>
    <x v="3"/>
    <n v="246"/>
    <n v="65"/>
    <n v="0.6"/>
    <s v="Web"/>
    <n v="0"/>
    <n v="1"/>
    <n v="1"/>
    <n v="4.99"/>
    <n v="4.99"/>
  </r>
  <r>
    <n v="587"/>
    <s v="Other"/>
    <n v="26"/>
    <x v="7"/>
    <x v="3"/>
    <n v="15"/>
    <n v="15"/>
    <n v="0.46"/>
    <s v="Mobile"/>
    <n v="0"/>
    <n v="1"/>
    <n v="0"/>
    <n v="4.99"/>
    <n v="0"/>
  </r>
  <r>
    <n v="588"/>
    <s v="Female"/>
    <n v="23"/>
    <x v="3"/>
    <x v="1"/>
    <n v="55"/>
    <n v="10"/>
    <n v="0.19"/>
    <s v="Mobile"/>
    <n v="0"/>
    <n v="1"/>
    <n v="0"/>
    <n v="14.99"/>
    <n v="0"/>
  </r>
  <r>
    <n v="589"/>
    <s v="Female"/>
    <n v="58"/>
    <x v="2"/>
    <x v="2"/>
    <n v="40"/>
    <n v="72"/>
    <n v="0.42"/>
    <s v="Web"/>
    <n v="0"/>
    <n v="1"/>
    <n v="0"/>
    <n v="9.99"/>
    <n v="0"/>
  </r>
  <r>
    <n v="590"/>
    <s v="Female"/>
    <n v="51"/>
    <x v="5"/>
    <x v="0"/>
    <n v="143"/>
    <n v="35"/>
    <n v="0.08"/>
    <s v="Mobile"/>
    <n v="23"/>
    <n v="0"/>
    <n v="0"/>
    <n v="0"/>
    <n v="0"/>
  </r>
  <r>
    <n v="591"/>
    <s v="Other"/>
    <n v="22"/>
    <x v="2"/>
    <x v="2"/>
    <n v="263"/>
    <n v="74"/>
    <n v="0.18"/>
    <s v="Mobile"/>
    <n v="0"/>
    <n v="1"/>
    <n v="0"/>
    <n v="9.99"/>
    <n v="0"/>
  </r>
  <r>
    <n v="592"/>
    <s v="Male"/>
    <n v="58"/>
    <x v="4"/>
    <x v="2"/>
    <n v="178"/>
    <n v="98"/>
    <n v="0.43"/>
    <s v="Desktop"/>
    <n v="0"/>
    <n v="1"/>
    <n v="0"/>
    <n v="9.99"/>
    <n v="0"/>
  </r>
  <r>
    <n v="593"/>
    <s v="Male"/>
    <n v="37"/>
    <x v="2"/>
    <x v="2"/>
    <n v="30"/>
    <n v="38"/>
    <n v="0.16"/>
    <s v="Mobile"/>
    <n v="0"/>
    <n v="1"/>
    <n v="0"/>
    <n v="9.99"/>
    <n v="0"/>
  </r>
  <r>
    <n v="594"/>
    <s v="Male"/>
    <n v="34"/>
    <x v="5"/>
    <x v="2"/>
    <n v="278"/>
    <n v="29"/>
    <n v="0.42"/>
    <s v="Web"/>
    <n v="0"/>
    <n v="1"/>
    <n v="0"/>
    <n v="9.99"/>
    <n v="0"/>
  </r>
  <r>
    <n v="595"/>
    <s v="Other"/>
    <n v="23"/>
    <x v="3"/>
    <x v="2"/>
    <n v="230"/>
    <n v="75"/>
    <n v="0.28999999999999998"/>
    <s v="Mobile"/>
    <n v="0"/>
    <n v="1"/>
    <n v="1"/>
    <n v="9.99"/>
    <n v="9.99"/>
  </r>
  <r>
    <n v="596"/>
    <s v="Female"/>
    <n v="32"/>
    <x v="6"/>
    <x v="3"/>
    <n v="215"/>
    <n v="39"/>
    <n v="0.4"/>
    <s v="Desktop"/>
    <n v="0"/>
    <n v="1"/>
    <n v="0"/>
    <n v="4.99"/>
    <n v="0"/>
  </r>
  <r>
    <n v="597"/>
    <s v="Male"/>
    <n v="41"/>
    <x v="4"/>
    <x v="0"/>
    <n v="196"/>
    <n v="51"/>
    <n v="0.35"/>
    <s v="Web"/>
    <n v="14"/>
    <n v="0"/>
    <n v="0"/>
    <n v="0"/>
    <n v="0"/>
  </r>
  <r>
    <n v="598"/>
    <s v="Female"/>
    <n v="28"/>
    <x v="4"/>
    <x v="0"/>
    <n v="125"/>
    <n v="94"/>
    <n v="0.33"/>
    <s v="Mobile"/>
    <n v="28"/>
    <n v="0"/>
    <n v="0"/>
    <n v="0"/>
    <n v="0"/>
  </r>
  <r>
    <n v="599"/>
    <s v="Male"/>
    <n v="19"/>
    <x v="1"/>
    <x v="2"/>
    <n v="222"/>
    <n v="80"/>
    <n v="0.46"/>
    <s v="Mobile"/>
    <n v="0"/>
    <n v="1"/>
    <n v="0"/>
    <n v="9.99"/>
    <n v="0"/>
  </r>
  <r>
    <n v="600"/>
    <s v="Other"/>
    <n v="35"/>
    <x v="6"/>
    <x v="2"/>
    <n v="233"/>
    <n v="41"/>
    <n v="0.14000000000000001"/>
    <s v="Mobile"/>
    <n v="0"/>
    <n v="1"/>
    <n v="0"/>
    <n v="9.99"/>
    <n v="0"/>
  </r>
  <r>
    <n v="601"/>
    <s v="Male"/>
    <n v="25"/>
    <x v="5"/>
    <x v="1"/>
    <n v="177"/>
    <n v="24"/>
    <n v="0.01"/>
    <s v="Web"/>
    <n v="0"/>
    <n v="1"/>
    <n v="0"/>
    <n v="14.99"/>
    <n v="0"/>
  </r>
  <r>
    <n v="602"/>
    <s v="Other"/>
    <n v="44"/>
    <x v="2"/>
    <x v="3"/>
    <n v="99"/>
    <n v="9"/>
    <n v="0.53"/>
    <s v="Web"/>
    <n v="0"/>
    <n v="1"/>
    <n v="0"/>
    <n v="4.99"/>
    <n v="0"/>
  </r>
  <r>
    <n v="603"/>
    <s v="Female"/>
    <n v="58"/>
    <x v="1"/>
    <x v="3"/>
    <n v="34"/>
    <n v="58"/>
    <n v="0.16"/>
    <s v="Mobile"/>
    <n v="0"/>
    <n v="1"/>
    <n v="0"/>
    <n v="4.99"/>
    <n v="0"/>
  </r>
  <r>
    <n v="604"/>
    <s v="Male"/>
    <n v="37"/>
    <x v="4"/>
    <x v="0"/>
    <n v="138"/>
    <n v="87"/>
    <n v="0.28999999999999998"/>
    <s v="Mobile"/>
    <n v="31"/>
    <n v="0"/>
    <n v="1"/>
    <n v="0"/>
    <n v="0"/>
  </r>
  <r>
    <n v="605"/>
    <s v="Female"/>
    <n v="21"/>
    <x v="0"/>
    <x v="3"/>
    <n v="254"/>
    <n v="22"/>
    <n v="0.22"/>
    <s v="Desktop"/>
    <n v="0"/>
    <n v="1"/>
    <n v="1"/>
    <n v="4.99"/>
    <n v="4.99"/>
  </r>
  <r>
    <n v="606"/>
    <s v="Female"/>
    <n v="28"/>
    <x v="4"/>
    <x v="1"/>
    <n v="233"/>
    <n v="63"/>
    <n v="0.03"/>
    <s v="Desktop"/>
    <n v="0"/>
    <n v="1"/>
    <n v="1"/>
    <n v="14.99"/>
    <n v="14.99"/>
  </r>
  <r>
    <n v="607"/>
    <s v="Female"/>
    <n v="19"/>
    <x v="1"/>
    <x v="3"/>
    <n v="219"/>
    <n v="39"/>
    <n v="0.28000000000000003"/>
    <s v="Web"/>
    <n v="0"/>
    <n v="1"/>
    <n v="0"/>
    <n v="4.99"/>
    <n v="0"/>
  </r>
  <r>
    <n v="608"/>
    <s v="Other"/>
    <n v="21"/>
    <x v="5"/>
    <x v="1"/>
    <n v="91"/>
    <n v="20"/>
    <n v="0.56000000000000005"/>
    <s v="Web"/>
    <n v="0"/>
    <n v="1"/>
    <n v="0"/>
    <n v="14.99"/>
    <n v="0"/>
  </r>
  <r>
    <n v="609"/>
    <s v="Female"/>
    <n v="41"/>
    <x v="1"/>
    <x v="2"/>
    <n v="31"/>
    <n v="21"/>
    <n v="0.09"/>
    <s v="Web"/>
    <n v="0"/>
    <n v="1"/>
    <n v="0"/>
    <n v="9.99"/>
    <n v="0"/>
  </r>
  <r>
    <n v="610"/>
    <s v="Female"/>
    <n v="31"/>
    <x v="4"/>
    <x v="0"/>
    <n v="205"/>
    <n v="64"/>
    <n v="0.24"/>
    <s v="Desktop"/>
    <n v="42"/>
    <n v="0"/>
    <n v="0"/>
    <n v="0"/>
    <n v="0"/>
  </r>
  <r>
    <n v="611"/>
    <s v="Female"/>
    <n v="40"/>
    <x v="6"/>
    <x v="2"/>
    <n v="21"/>
    <n v="91"/>
    <n v="0.14000000000000001"/>
    <s v="Desktop"/>
    <n v="0"/>
    <n v="1"/>
    <n v="0"/>
    <n v="9.99"/>
    <n v="0"/>
  </r>
  <r>
    <n v="612"/>
    <s v="Male"/>
    <n v="57"/>
    <x v="0"/>
    <x v="0"/>
    <n v="11"/>
    <n v="52"/>
    <n v="0.49"/>
    <s v="Mobile"/>
    <n v="37"/>
    <n v="0"/>
    <n v="1"/>
    <n v="0"/>
    <n v="0"/>
  </r>
  <r>
    <n v="613"/>
    <s v="Female"/>
    <n v="22"/>
    <x v="6"/>
    <x v="2"/>
    <n v="222"/>
    <n v="93"/>
    <n v="0.33"/>
    <s v="Mobile"/>
    <n v="0"/>
    <n v="1"/>
    <n v="0"/>
    <n v="9.99"/>
    <n v="0"/>
  </r>
  <r>
    <n v="614"/>
    <s v="Female"/>
    <n v="54"/>
    <x v="5"/>
    <x v="1"/>
    <n v="123"/>
    <n v="27"/>
    <n v="0.26"/>
    <s v="Mobile"/>
    <n v="0"/>
    <n v="1"/>
    <n v="0"/>
    <n v="14.99"/>
    <n v="0"/>
  </r>
  <r>
    <n v="615"/>
    <s v="Female"/>
    <n v="42"/>
    <x v="4"/>
    <x v="3"/>
    <n v="287"/>
    <n v="96"/>
    <n v="0.08"/>
    <s v="Mobile"/>
    <n v="0"/>
    <n v="1"/>
    <n v="1"/>
    <n v="4.99"/>
    <n v="4.99"/>
  </r>
  <r>
    <n v="616"/>
    <s v="Female"/>
    <n v="37"/>
    <x v="0"/>
    <x v="1"/>
    <n v="197"/>
    <n v="19"/>
    <n v="0.22"/>
    <s v="Mobile"/>
    <n v="0"/>
    <n v="1"/>
    <n v="0"/>
    <n v="14.99"/>
    <n v="0"/>
  </r>
  <r>
    <n v="617"/>
    <s v="Other"/>
    <n v="51"/>
    <x v="4"/>
    <x v="2"/>
    <n v="267"/>
    <n v="12"/>
    <n v="0.48"/>
    <s v="Web"/>
    <n v="0"/>
    <n v="1"/>
    <n v="1"/>
    <n v="9.99"/>
    <n v="9.99"/>
  </r>
  <r>
    <n v="618"/>
    <s v="Other"/>
    <n v="26"/>
    <x v="4"/>
    <x v="3"/>
    <n v="12"/>
    <n v="62"/>
    <n v="0.44"/>
    <s v="Mobile"/>
    <n v="0"/>
    <n v="1"/>
    <n v="0"/>
    <n v="4.99"/>
    <n v="0"/>
  </r>
  <r>
    <n v="619"/>
    <s v="Male"/>
    <n v="44"/>
    <x v="2"/>
    <x v="2"/>
    <n v="243"/>
    <n v="17"/>
    <n v="0.42"/>
    <s v="Web"/>
    <n v="0"/>
    <n v="1"/>
    <n v="0"/>
    <n v="9.99"/>
    <n v="0"/>
  </r>
  <r>
    <n v="620"/>
    <s v="Other"/>
    <n v="53"/>
    <x v="6"/>
    <x v="2"/>
    <n v="140"/>
    <n v="28"/>
    <n v="0.4"/>
    <s v="Mobile"/>
    <n v="0"/>
    <n v="1"/>
    <n v="0"/>
    <n v="9.99"/>
    <n v="0"/>
  </r>
  <r>
    <n v="621"/>
    <s v="Other"/>
    <n v="54"/>
    <x v="1"/>
    <x v="2"/>
    <n v="111"/>
    <n v="87"/>
    <n v="0.36"/>
    <s v="Mobile"/>
    <n v="0"/>
    <n v="1"/>
    <n v="0"/>
    <n v="9.99"/>
    <n v="0"/>
  </r>
  <r>
    <n v="622"/>
    <s v="Female"/>
    <n v="27"/>
    <x v="1"/>
    <x v="2"/>
    <n v="238"/>
    <n v="54"/>
    <n v="0.3"/>
    <s v="Desktop"/>
    <n v="0"/>
    <n v="1"/>
    <n v="1"/>
    <n v="9.99"/>
    <n v="9.99"/>
  </r>
  <r>
    <n v="623"/>
    <s v="Female"/>
    <n v="29"/>
    <x v="5"/>
    <x v="2"/>
    <n v="225"/>
    <n v="40"/>
    <n v="0.53"/>
    <s v="Web"/>
    <n v="0"/>
    <n v="1"/>
    <n v="0"/>
    <n v="9.99"/>
    <n v="0"/>
  </r>
  <r>
    <n v="624"/>
    <s v="Other"/>
    <n v="24"/>
    <x v="2"/>
    <x v="2"/>
    <n v="214"/>
    <n v="4"/>
    <n v="0.25"/>
    <s v="Web"/>
    <n v="0"/>
    <n v="1"/>
    <n v="0"/>
    <n v="9.99"/>
    <n v="0"/>
  </r>
  <r>
    <n v="625"/>
    <s v="Other"/>
    <n v="58"/>
    <x v="3"/>
    <x v="0"/>
    <n v="112"/>
    <n v="1"/>
    <n v="0.17"/>
    <s v="Mobile"/>
    <n v="12"/>
    <n v="0"/>
    <n v="0"/>
    <n v="0"/>
    <n v="0"/>
  </r>
  <r>
    <n v="626"/>
    <s v="Male"/>
    <n v="16"/>
    <x v="1"/>
    <x v="0"/>
    <n v="85"/>
    <n v="98"/>
    <n v="0.51"/>
    <s v="Mobile"/>
    <n v="21"/>
    <n v="0"/>
    <n v="0"/>
    <n v="0"/>
    <n v="0"/>
  </r>
  <r>
    <n v="627"/>
    <s v="Female"/>
    <n v="37"/>
    <x v="2"/>
    <x v="1"/>
    <n v="192"/>
    <n v="7"/>
    <n v="0.39"/>
    <s v="Desktop"/>
    <n v="0"/>
    <n v="1"/>
    <n v="0"/>
    <n v="14.99"/>
    <n v="0"/>
  </r>
  <r>
    <n v="628"/>
    <s v="Other"/>
    <n v="16"/>
    <x v="3"/>
    <x v="3"/>
    <n v="216"/>
    <n v="27"/>
    <n v="0.31"/>
    <s v="Mobile"/>
    <n v="0"/>
    <n v="1"/>
    <n v="0"/>
    <n v="4.99"/>
    <n v="0"/>
  </r>
  <r>
    <n v="629"/>
    <s v="Other"/>
    <n v="24"/>
    <x v="3"/>
    <x v="3"/>
    <n v="283"/>
    <n v="88"/>
    <n v="0.3"/>
    <s v="Mobile"/>
    <n v="0"/>
    <n v="1"/>
    <n v="0"/>
    <n v="4.99"/>
    <n v="0"/>
  </r>
  <r>
    <n v="630"/>
    <s v="Female"/>
    <n v="32"/>
    <x v="4"/>
    <x v="0"/>
    <n v="113"/>
    <n v="88"/>
    <n v="0.01"/>
    <s v="Desktop"/>
    <n v="45"/>
    <n v="0"/>
    <n v="0"/>
    <n v="0"/>
    <n v="0"/>
  </r>
  <r>
    <n v="631"/>
    <s v="Male"/>
    <n v="29"/>
    <x v="3"/>
    <x v="1"/>
    <n v="60"/>
    <n v="15"/>
    <n v="0.17"/>
    <s v="Desktop"/>
    <n v="0"/>
    <n v="1"/>
    <n v="0"/>
    <n v="14.99"/>
    <n v="0"/>
  </r>
  <r>
    <n v="632"/>
    <s v="Female"/>
    <n v="31"/>
    <x v="2"/>
    <x v="3"/>
    <n v="115"/>
    <n v="84"/>
    <n v="0.1"/>
    <s v="Web"/>
    <n v="0"/>
    <n v="1"/>
    <n v="1"/>
    <n v="4.99"/>
    <n v="4.99"/>
  </r>
  <r>
    <n v="633"/>
    <s v="Female"/>
    <n v="59"/>
    <x v="2"/>
    <x v="2"/>
    <n v="180"/>
    <n v="84"/>
    <n v="0.35"/>
    <s v="Desktop"/>
    <n v="0"/>
    <n v="1"/>
    <n v="1"/>
    <n v="9.99"/>
    <n v="9.99"/>
  </r>
  <r>
    <n v="634"/>
    <s v="Other"/>
    <n v="56"/>
    <x v="5"/>
    <x v="0"/>
    <n v="290"/>
    <n v="84"/>
    <n v="0.05"/>
    <s v="Desktop"/>
    <n v="30"/>
    <n v="0"/>
    <n v="0"/>
    <n v="0"/>
    <n v="0"/>
  </r>
  <r>
    <n v="635"/>
    <s v="Other"/>
    <n v="20"/>
    <x v="2"/>
    <x v="0"/>
    <n v="106"/>
    <n v="10"/>
    <n v="0.19"/>
    <s v="Mobile"/>
    <n v="10"/>
    <n v="0"/>
    <n v="0"/>
    <n v="0"/>
    <n v="0"/>
  </r>
  <r>
    <n v="636"/>
    <s v="Other"/>
    <n v="27"/>
    <x v="5"/>
    <x v="2"/>
    <n v="296"/>
    <n v="79"/>
    <n v="0.27"/>
    <s v="Desktop"/>
    <n v="0"/>
    <n v="1"/>
    <n v="0"/>
    <n v="9.99"/>
    <n v="0"/>
  </r>
  <r>
    <n v="637"/>
    <s v="Other"/>
    <n v="41"/>
    <x v="3"/>
    <x v="1"/>
    <n v="68"/>
    <n v="8"/>
    <n v="0.34"/>
    <s v="Mobile"/>
    <n v="0"/>
    <n v="1"/>
    <n v="0"/>
    <n v="14.99"/>
    <n v="0"/>
  </r>
  <r>
    <n v="638"/>
    <s v="Other"/>
    <n v="16"/>
    <x v="5"/>
    <x v="3"/>
    <n v="177"/>
    <n v="34"/>
    <n v="0.15"/>
    <s v="Desktop"/>
    <n v="0"/>
    <n v="1"/>
    <n v="0"/>
    <n v="4.99"/>
    <n v="0"/>
  </r>
  <r>
    <n v="639"/>
    <s v="Male"/>
    <n v="34"/>
    <x v="2"/>
    <x v="3"/>
    <n v="198"/>
    <n v="17"/>
    <n v="0.54"/>
    <s v="Desktop"/>
    <n v="0"/>
    <n v="1"/>
    <n v="0"/>
    <n v="4.99"/>
    <n v="0"/>
  </r>
  <r>
    <n v="640"/>
    <s v="Female"/>
    <n v="23"/>
    <x v="7"/>
    <x v="3"/>
    <n v="78"/>
    <n v="68"/>
    <n v="0.37"/>
    <s v="Web"/>
    <n v="0"/>
    <n v="1"/>
    <n v="1"/>
    <n v="4.99"/>
    <n v="4.99"/>
  </r>
  <r>
    <n v="641"/>
    <s v="Female"/>
    <n v="25"/>
    <x v="3"/>
    <x v="3"/>
    <n v="290"/>
    <n v="76"/>
    <n v="0.4"/>
    <s v="Web"/>
    <n v="0"/>
    <n v="1"/>
    <n v="0"/>
    <n v="4.99"/>
    <n v="0"/>
  </r>
  <r>
    <n v="642"/>
    <s v="Male"/>
    <n v="58"/>
    <x v="2"/>
    <x v="1"/>
    <n v="36"/>
    <n v="57"/>
    <n v="0.02"/>
    <s v="Web"/>
    <n v="0"/>
    <n v="1"/>
    <n v="0"/>
    <n v="14.99"/>
    <n v="0"/>
  </r>
  <r>
    <n v="643"/>
    <s v="Other"/>
    <n v="51"/>
    <x v="1"/>
    <x v="3"/>
    <n v="108"/>
    <n v="14"/>
    <n v="0.5"/>
    <s v="Desktop"/>
    <n v="0"/>
    <n v="1"/>
    <n v="0"/>
    <n v="4.99"/>
    <n v="0"/>
  </r>
  <r>
    <n v="644"/>
    <s v="Female"/>
    <n v="48"/>
    <x v="5"/>
    <x v="2"/>
    <n v="98"/>
    <n v="88"/>
    <n v="0.18"/>
    <s v="Desktop"/>
    <n v="0"/>
    <n v="1"/>
    <n v="0"/>
    <n v="9.99"/>
    <n v="0"/>
  </r>
  <r>
    <n v="645"/>
    <s v="Male"/>
    <n v="22"/>
    <x v="2"/>
    <x v="0"/>
    <n v="287"/>
    <n v="17"/>
    <n v="0.42"/>
    <s v="Mobile"/>
    <n v="40"/>
    <n v="0"/>
    <n v="0"/>
    <n v="0"/>
    <n v="0"/>
  </r>
  <r>
    <n v="646"/>
    <s v="Other"/>
    <n v="33"/>
    <x v="1"/>
    <x v="3"/>
    <n v="172"/>
    <n v="51"/>
    <n v="0.51"/>
    <s v="Web"/>
    <n v="0"/>
    <n v="1"/>
    <n v="0"/>
    <n v="4.99"/>
    <n v="0"/>
  </r>
  <r>
    <n v="647"/>
    <s v="Male"/>
    <n v="54"/>
    <x v="4"/>
    <x v="0"/>
    <n v="89"/>
    <n v="95"/>
    <n v="0.36"/>
    <s v="Desktop"/>
    <n v="38"/>
    <n v="0"/>
    <n v="0"/>
    <n v="0"/>
    <n v="0"/>
  </r>
  <r>
    <n v="648"/>
    <s v="Male"/>
    <n v="50"/>
    <x v="7"/>
    <x v="0"/>
    <n v="200"/>
    <n v="14"/>
    <n v="0.28000000000000003"/>
    <s v="Desktop"/>
    <n v="46"/>
    <n v="0"/>
    <n v="0"/>
    <n v="0"/>
    <n v="0"/>
  </r>
  <r>
    <n v="649"/>
    <s v="Other"/>
    <n v="28"/>
    <x v="1"/>
    <x v="3"/>
    <n v="289"/>
    <n v="11"/>
    <n v="0.55000000000000004"/>
    <s v="Mobile"/>
    <n v="0"/>
    <n v="1"/>
    <n v="1"/>
    <n v="4.99"/>
    <n v="4.99"/>
  </r>
  <r>
    <n v="650"/>
    <s v="Female"/>
    <n v="48"/>
    <x v="6"/>
    <x v="1"/>
    <n v="23"/>
    <n v="76"/>
    <n v="0.57999999999999996"/>
    <s v="Desktop"/>
    <n v="0"/>
    <n v="1"/>
    <n v="1"/>
    <n v="14.99"/>
    <n v="14.99"/>
  </r>
  <r>
    <n v="651"/>
    <s v="Other"/>
    <n v="21"/>
    <x v="5"/>
    <x v="3"/>
    <n v="170"/>
    <n v="51"/>
    <n v="0.53"/>
    <s v="Mobile"/>
    <n v="0"/>
    <n v="1"/>
    <n v="1"/>
    <n v="4.99"/>
    <n v="4.99"/>
  </r>
  <r>
    <n v="652"/>
    <s v="Other"/>
    <n v="19"/>
    <x v="0"/>
    <x v="2"/>
    <n v="227"/>
    <n v="48"/>
    <n v="0.56000000000000005"/>
    <s v="Desktop"/>
    <n v="0"/>
    <n v="1"/>
    <n v="0"/>
    <n v="9.99"/>
    <n v="0"/>
  </r>
  <r>
    <n v="653"/>
    <s v="Other"/>
    <n v="26"/>
    <x v="3"/>
    <x v="1"/>
    <n v="290"/>
    <n v="66"/>
    <n v="0.36"/>
    <s v="Mobile"/>
    <n v="0"/>
    <n v="1"/>
    <n v="0"/>
    <n v="14.99"/>
    <n v="0"/>
  </r>
  <r>
    <n v="654"/>
    <s v="Female"/>
    <n v="55"/>
    <x v="0"/>
    <x v="2"/>
    <n v="200"/>
    <n v="50"/>
    <n v="0.04"/>
    <s v="Web"/>
    <n v="0"/>
    <n v="1"/>
    <n v="0"/>
    <n v="9.99"/>
    <n v="0"/>
  </r>
  <r>
    <n v="655"/>
    <s v="Female"/>
    <n v="59"/>
    <x v="5"/>
    <x v="3"/>
    <n v="34"/>
    <n v="63"/>
    <n v="0.39"/>
    <s v="Desktop"/>
    <n v="0"/>
    <n v="1"/>
    <n v="1"/>
    <n v="4.99"/>
    <n v="4.99"/>
  </r>
  <r>
    <n v="656"/>
    <s v="Female"/>
    <n v="24"/>
    <x v="5"/>
    <x v="1"/>
    <n v="105"/>
    <n v="3"/>
    <n v="0.01"/>
    <s v="Mobile"/>
    <n v="0"/>
    <n v="1"/>
    <n v="0"/>
    <n v="14.99"/>
    <n v="0"/>
  </r>
  <r>
    <n v="657"/>
    <s v="Female"/>
    <n v="58"/>
    <x v="2"/>
    <x v="2"/>
    <n v="216"/>
    <n v="31"/>
    <n v="0.33"/>
    <s v="Desktop"/>
    <n v="0"/>
    <n v="1"/>
    <n v="1"/>
    <n v="9.99"/>
    <n v="9.99"/>
  </r>
  <r>
    <n v="658"/>
    <s v="Male"/>
    <n v="23"/>
    <x v="6"/>
    <x v="1"/>
    <n v="105"/>
    <n v="55"/>
    <n v="0.55000000000000004"/>
    <s v="Desktop"/>
    <n v="0"/>
    <n v="1"/>
    <n v="0"/>
    <n v="14.99"/>
    <n v="0"/>
  </r>
  <r>
    <n v="659"/>
    <s v="Male"/>
    <n v="53"/>
    <x v="6"/>
    <x v="1"/>
    <n v="244"/>
    <n v="64"/>
    <n v="0.24"/>
    <s v="Mobile"/>
    <n v="0"/>
    <n v="1"/>
    <n v="0"/>
    <n v="14.99"/>
    <n v="0"/>
  </r>
  <r>
    <n v="660"/>
    <s v="Other"/>
    <n v="29"/>
    <x v="6"/>
    <x v="1"/>
    <n v="30"/>
    <n v="41"/>
    <n v="0.39"/>
    <s v="Mobile"/>
    <n v="0"/>
    <n v="1"/>
    <n v="0"/>
    <n v="14.99"/>
    <n v="0"/>
  </r>
  <r>
    <n v="661"/>
    <s v="Female"/>
    <n v="23"/>
    <x v="1"/>
    <x v="3"/>
    <n v="126"/>
    <n v="34"/>
    <n v="0.56999999999999995"/>
    <s v="Web"/>
    <n v="0"/>
    <n v="1"/>
    <n v="1"/>
    <n v="4.99"/>
    <n v="4.99"/>
  </r>
  <r>
    <n v="662"/>
    <s v="Female"/>
    <n v="29"/>
    <x v="2"/>
    <x v="3"/>
    <n v="106"/>
    <n v="55"/>
    <n v="0.35"/>
    <s v="Desktop"/>
    <n v="0"/>
    <n v="1"/>
    <n v="0"/>
    <n v="4.99"/>
    <n v="0"/>
  </r>
  <r>
    <n v="663"/>
    <s v="Other"/>
    <n v="49"/>
    <x v="4"/>
    <x v="0"/>
    <n v="295"/>
    <n v="17"/>
    <n v="0.4"/>
    <s v="Web"/>
    <n v="31"/>
    <n v="0"/>
    <n v="0"/>
    <n v="0"/>
    <n v="0"/>
  </r>
  <r>
    <n v="664"/>
    <s v="Female"/>
    <n v="23"/>
    <x v="1"/>
    <x v="2"/>
    <n v="230"/>
    <n v="52"/>
    <n v="0.43"/>
    <s v="Mobile"/>
    <n v="0"/>
    <n v="1"/>
    <n v="0"/>
    <n v="9.99"/>
    <n v="0"/>
  </r>
  <r>
    <n v="665"/>
    <s v="Female"/>
    <n v="29"/>
    <x v="1"/>
    <x v="1"/>
    <n v="102"/>
    <n v="74"/>
    <n v="0.32"/>
    <s v="Mobile"/>
    <n v="0"/>
    <n v="1"/>
    <n v="0"/>
    <n v="14.99"/>
    <n v="0"/>
  </r>
  <r>
    <n v="666"/>
    <s v="Other"/>
    <n v="43"/>
    <x v="5"/>
    <x v="1"/>
    <n v="152"/>
    <n v="55"/>
    <n v="0.3"/>
    <s v="Desktop"/>
    <n v="0"/>
    <n v="1"/>
    <n v="0"/>
    <n v="14.99"/>
    <n v="0"/>
  </r>
  <r>
    <n v="667"/>
    <s v="Male"/>
    <n v="31"/>
    <x v="0"/>
    <x v="3"/>
    <n v="77"/>
    <n v="80"/>
    <n v="0.35"/>
    <s v="Mobile"/>
    <n v="0"/>
    <n v="1"/>
    <n v="0"/>
    <n v="4.99"/>
    <n v="0"/>
  </r>
  <r>
    <n v="668"/>
    <s v="Other"/>
    <n v="43"/>
    <x v="3"/>
    <x v="2"/>
    <n v="78"/>
    <n v="48"/>
    <n v="0.21"/>
    <s v="Mobile"/>
    <n v="0"/>
    <n v="1"/>
    <n v="0"/>
    <n v="9.99"/>
    <n v="0"/>
  </r>
  <r>
    <n v="669"/>
    <s v="Female"/>
    <n v="39"/>
    <x v="4"/>
    <x v="0"/>
    <n v="220"/>
    <n v="18"/>
    <n v="0.05"/>
    <s v="Mobile"/>
    <n v="18"/>
    <n v="0"/>
    <n v="0"/>
    <n v="0"/>
    <n v="0"/>
  </r>
  <r>
    <n v="670"/>
    <s v="Female"/>
    <n v="38"/>
    <x v="4"/>
    <x v="0"/>
    <n v="245"/>
    <n v="12"/>
    <n v="0.52"/>
    <s v="Desktop"/>
    <n v="48"/>
    <n v="0"/>
    <n v="1"/>
    <n v="0"/>
    <n v="0"/>
  </r>
  <r>
    <n v="671"/>
    <s v="Male"/>
    <n v="31"/>
    <x v="0"/>
    <x v="0"/>
    <n v="30"/>
    <n v="42"/>
    <n v="0.06"/>
    <s v="Mobile"/>
    <n v="44"/>
    <n v="0"/>
    <n v="0"/>
    <n v="0"/>
    <n v="0"/>
  </r>
  <r>
    <n v="672"/>
    <s v="Female"/>
    <n v="35"/>
    <x v="4"/>
    <x v="3"/>
    <n v="226"/>
    <n v="55"/>
    <n v="0.25"/>
    <s v="Desktop"/>
    <n v="0"/>
    <n v="1"/>
    <n v="1"/>
    <n v="4.99"/>
    <n v="4.99"/>
  </r>
  <r>
    <n v="673"/>
    <s v="Female"/>
    <n v="44"/>
    <x v="7"/>
    <x v="0"/>
    <n v="133"/>
    <n v="18"/>
    <n v="0.4"/>
    <s v="Mobile"/>
    <n v="11"/>
    <n v="0"/>
    <n v="0"/>
    <n v="0"/>
    <n v="0"/>
  </r>
  <r>
    <n v="674"/>
    <s v="Female"/>
    <n v="33"/>
    <x v="2"/>
    <x v="1"/>
    <n v="118"/>
    <n v="36"/>
    <n v="0.57999999999999996"/>
    <s v="Desktop"/>
    <n v="0"/>
    <n v="1"/>
    <n v="0"/>
    <n v="14.99"/>
    <n v="0"/>
  </r>
  <r>
    <n v="675"/>
    <s v="Female"/>
    <n v="27"/>
    <x v="0"/>
    <x v="2"/>
    <n v="115"/>
    <n v="61"/>
    <n v="0.31"/>
    <s v="Desktop"/>
    <n v="0"/>
    <n v="1"/>
    <n v="0"/>
    <n v="9.99"/>
    <n v="0"/>
  </r>
  <r>
    <n v="676"/>
    <s v="Other"/>
    <n v="38"/>
    <x v="0"/>
    <x v="2"/>
    <n v="155"/>
    <n v="80"/>
    <n v="7.0000000000000007E-2"/>
    <s v="Mobile"/>
    <n v="0"/>
    <n v="1"/>
    <n v="0"/>
    <n v="9.99"/>
    <n v="0"/>
  </r>
  <r>
    <n v="677"/>
    <s v="Male"/>
    <n v="30"/>
    <x v="5"/>
    <x v="2"/>
    <n v="125"/>
    <n v="65"/>
    <n v="0.37"/>
    <s v="Web"/>
    <n v="0"/>
    <n v="1"/>
    <n v="0"/>
    <n v="9.99"/>
    <n v="0"/>
  </r>
  <r>
    <n v="678"/>
    <s v="Other"/>
    <n v="55"/>
    <x v="1"/>
    <x v="1"/>
    <n v="190"/>
    <n v="5"/>
    <n v="0.57999999999999996"/>
    <s v="Desktop"/>
    <n v="0"/>
    <n v="1"/>
    <n v="0"/>
    <n v="14.99"/>
    <n v="0"/>
  </r>
  <r>
    <n v="679"/>
    <s v="Female"/>
    <n v="20"/>
    <x v="4"/>
    <x v="2"/>
    <n v="164"/>
    <n v="33"/>
    <n v="0.34"/>
    <s v="Desktop"/>
    <n v="0"/>
    <n v="1"/>
    <n v="1"/>
    <n v="9.99"/>
    <n v="9.99"/>
  </r>
  <r>
    <n v="680"/>
    <s v="Male"/>
    <n v="33"/>
    <x v="0"/>
    <x v="1"/>
    <n v="126"/>
    <n v="49"/>
    <n v="0.45"/>
    <s v="Desktop"/>
    <n v="0"/>
    <n v="1"/>
    <n v="0"/>
    <n v="14.99"/>
    <n v="0"/>
  </r>
  <r>
    <n v="681"/>
    <s v="Female"/>
    <n v="47"/>
    <x v="1"/>
    <x v="0"/>
    <n v="272"/>
    <n v="8"/>
    <n v="0.32"/>
    <s v="Mobile"/>
    <n v="44"/>
    <n v="0"/>
    <n v="0"/>
    <n v="0"/>
    <n v="0"/>
  </r>
  <r>
    <n v="682"/>
    <s v="Female"/>
    <n v="47"/>
    <x v="7"/>
    <x v="1"/>
    <n v="263"/>
    <n v="79"/>
    <n v="0.57999999999999996"/>
    <s v="Web"/>
    <n v="0"/>
    <n v="1"/>
    <n v="1"/>
    <n v="14.99"/>
    <n v="14.99"/>
  </r>
  <r>
    <n v="683"/>
    <s v="Other"/>
    <n v="38"/>
    <x v="1"/>
    <x v="3"/>
    <n v="127"/>
    <n v="4"/>
    <n v="0"/>
    <s v="Web"/>
    <n v="0"/>
    <n v="1"/>
    <n v="0"/>
    <n v="4.99"/>
    <n v="0"/>
  </r>
  <r>
    <n v="684"/>
    <s v="Female"/>
    <n v="55"/>
    <x v="2"/>
    <x v="0"/>
    <n v="281"/>
    <n v="21"/>
    <n v="0.12"/>
    <s v="Mobile"/>
    <n v="42"/>
    <n v="0"/>
    <n v="0"/>
    <n v="0"/>
    <n v="0"/>
  </r>
  <r>
    <n v="685"/>
    <s v="Female"/>
    <n v="40"/>
    <x v="7"/>
    <x v="0"/>
    <n v="210"/>
    <n v="64"/>
    <n v="0.56000000000000005"/>
    <s v="Web"/>
    <n v="13"/>
    <n v="0"/>
    <n v="0"/>
    <n v="0"/>
    <n v="0"/>
  </r>
  <r>
    <n v="686"/>
    <s v="Female"/>
    <n v="49"/>
    <x v="0"/>
    <x v="2"/>
    <n v="206"/>
    <n v="27"/>
    <n v="0.41"/>
    <s v="Web"/>
    <n v="0"/>
    <n v="1"/>
    <n v="0"/>
    <n v="9.99"/>
    <n v="0"/>
  </r>
  <r>
    <n v="687"/>
    <s v="Female"/>
    <n v="52"/>
    <x v="0"/>
    <x v="1"/>
    <n v="285"/>
    <n v="82"/>
    <n v="0.56999999999999995"/>
    <s v="Mobile"/>
    <n v="0"/>
    <n v="1"/>
    <n v="0"/>
    <n v="14.99"/>
    <n v="0"/>
  </r>
  <r>
    <n v="688"/>
    <s v="Other"/>
    <n v="35"/>
    <x v="7"/>
    <x v="2"/>
    <n v="29"/>
    <n v="18"/>
    <n v="0.42"/>
    <s v="Web"/>
    <n v="0"/>
    <n v="1"/>
    <n v="1"/>
    <n v="9.99"/>
    <n v="9.99"/>
  </r>
  <r>
    <n v="689"/>
    <s v="Other"/>
    <n v="53"/>
    <x v="5"/>
    <x v="3"/>
    <n v="67"/>
    <n v="87"/>
    <n v="0.28000000000000003"/>
    <s v="Desktop"/>
    <n v="0"/>
    <n v="1"/>
    <n v="0"/>
    <n v="4.99"/>
    <n v="0"/>
  </r>
  <r>
    <n v="690"/>
    <s v="Male"/>
    <n v="52"/>
    <x v="4"/>
    <x v="0"/>
    <n v="252"/>
    <n v="44"/>
    <n v="0.34"/>
    <s v="Mobile"/>
    <n v="24"/>
    <n v="0"/>
    <n v="0"/>
    <n v="0"/>
    <n v="0"/>
  </r>
  <r>
    <n v="691"/>
    <s v="Other"/>
    <n v="22"/>
    <x v="4"/>
    <x v="3"/>
    <n v="291"/>
    <n v="97"/>
    <n v="0.24"/>
    <s v="Mobile"/>
    <n v="0"/>
    <n v="1"/>
    <n v="0"/>
    <n v="4.99"/>
    <n v="0"/>
  </r>
  <r>
    <n v="692"/>
    <s v="Other"/>
    <n v="58"/>
    <x v="1"/>
    <x v="3"/>
    <n v="136"/>
    <n v="57"/>
    <n v="0.47"/>
    <s v="Mobile"/>
    <n v="0"/>
    <n v="1"/>
    <n v="0"/>
    <n v="4.99"/>
    <n v="0"/>
  </r>
  <r>
    <n v="693"/>
    <s v="Male"/>
    <n v="33"/>
    <x v="5"/>
    <x v="2"/>
    <n v="154"/>
    <n v="52"/>
    <n v="0.32"/>
    <s v="Web"/>
    <n v="0"/>
    <n v="1"/>
    <n v="0"/>
    <n v="9.99"/>
    <n v="0"/>
  </r>
  <r>
    <n v="694"/>
    <s v="Female"/>
    <n v="20"/>
    <x v="4"/>
    <x v="1"/>
    <n v="279"/>
    <n v="67"/>
    <n v="0.4"/>
    <s v="Desktop"/>
    <n v="0"/>
    <n v="1"/>
    <n v="0"/>
    <n v="14.99"/>
    <n v="0"/>
  </r>
  <r>
    <n v="695"/>
    <s v="Male"/>
    <n v="21"/>
    <x v="0"/>
    <x v="2"/>
    <n v="199"/>
    <n v="85"/>
    <n v="0.19"/>
    <s v="Desktop"/>
    <n v="0"/>
    <n v="1"/>
    <n v="0"/>
    <n v="9.99"/>
    <n v="0"/>
  </r>
  <r>
    <n v="696"/>
    <s v="Male"/>
    <n v="56"/>
    <x v="4"/>
    <x v="0"/>
    <n v="30"/>
    <n v="66"/>
    <n v="0.35"/>
    <s v="Mobile"/>
    <n v="31"/>
    <n v="0"/>
    <n v="0"/>
    <n v="0"/>
    <n v="0"/>
  </r>
  <r>
    <n v="697"/>
    <s v="Female"/>
    <n v="54"/>
    <x v="7"/>
    <x v="1"/>
    <n v="158"/>
    <n v="2"/>
    <n v="0.34"/>
    <s v="Desktop"/>
    <n v="0"/>
    <n v="1"/>
    <n v="0"/>
    <n v="14.99"/>
    <n v="0"/>
  </r>
  <r>
    <n v="698"/>
    <s v="Male"/>
    <n v="51"/>
    <x v="4"/>
    <x v="3"/>
    <n v="83"/>
    <n v="10"/>
    <n v="0.33"/>
    <s v="Mobile"/>
    <n v="0"/>
    <n v="1"/>
    <n v="0"/>
    <n v="4.99"/>
    <n v="0"/>
  </r>
  <r>
    <n v="699"/>
    <s v="Male"/>
    <n v="24"/>
    <x v="5"/>
    <x v="2"/>
    <n v="161"/>
    <n v="23"/>
    <n v="0.45"/>
    <s v="Web"/>
    <n v="0"/>
    <n v="1"/>
    <n v="1"/>
    <n v="9.99"/>
    <n v="9.99"/>
  </r>
  <r>
    <n v="700"/>
    <s v="Female"/>
    <n v="21"/>
    <x v="7"/>
    <x v="2"/>
    <n v="183"/>
    <n v="20"/>
    <n v="0.21"/>
    <s v="Mobile"/>
    <n v="0"/>
    <n v="1"/>
    <n v="0"/>
    <n v="9.99"/>
    <n v="0"/>
  </r>
  <r>
    <n v="701"/>
    <s v="Male"/>
    <n v="58"/>
    <x v="7"/>
    <x v="3"/>
    <n v="131"/>
    <n v="47"/>
    <n v="0.06"/>
    <s v="Mobile"/>
    <n v="0"/>
    <n v="1"/>
    <n v="0"/>
    <n v="4.99"/>
    <n v="0"/>
  </r>
  <r>
    <n v="702"/>
    <s v="Female"/>
    <n v="26"/>
    <x v="3"/>
    <x v="2"/>
    <n v="126"/>
    <n v="52"/>
    <n v="0.22"/>
    <s v="Web"/>
    <n v="0"/>
    <n v="1"/>
    <n v="1"/>
    <n v="9.99"/>
    <n v="9.99"/>
  </r>
  <r>
    <n v="703"/>
    <s v="Male"/>
    <n v="32"/>
    <x v="6"/>
    <x v="1"/>
    <n v="282"/>
    <n v="22"/>
    <n v="0.19"/>
    <s v="Mobile"/>
    <n v="0"/>
    <n v="1"/>
    <n v="1"/>
    <n v="14.99"/>
    <n v="14.99"/>
  </r>
  <r>
    <n v="704"/>
    <s v="Male"/>
    <n v="44"/>
    <x v="1"/>
    <x v="2"/>
    <n v="240"/>
    <n v="46"/>
    <n v="0.11"/>
    <s v="Mobile"/>
    <n v="0"/>
    <n v="1"/>
    <n v="1"/>
    <n v="9.99"/>
    <n v="9.99"/>
  </r>
  <r>
    <n v="705"/>
    <s v="Male"/>
    <n v="22"/>
    <x v="2"/>
    <x v="3"/>
    <n v="169"/>
    <n v="52"/>
    <n v="0.1"/>
    <s v="Mobile"/>
    <n v="0"/>
    <n v="1"/>
    <n v="1"/>
    <n v="4.99"/>
    <n v="4.99"/>
  </r>
  <r>
    <n v="706"/>
    <s v="Female"/>
    <n v="29"/>
    <x v="3"/>
    <x v="3"/>
    <n v="238"/>
    <n v="61"/>
    <n v="0.09"/>
    <s v="Web"/>
    <n v="0"/>
    <n v="1"/>
    <n v="0"/>
    <n v="4.99"/>
    <n v="0"/>
  </r>
  <r>
    <n v="707"/>
    <s v="Male"/>
    <n v="37"/>
    <x v="4"/>
    <x v="1"/>
    <n v="276"/>
    <n v="17"/>
    <n v="0.4"/>
    <s v="Mobile"/>
    <n v="0"/>
    <n v="1"/>
    <n v="0"/>
    <n v="14.99"/>
    <n v="0"/>
  </r>
  <r>
    <n v="708"/>
    <s v="Female"/>
    <n v="18"/>
    <x v="7"/>
    <x v="3"/>
    <n v="101"/>
    <n v="8"/>
    <n v="0.43"/>
    <s v="Web"/>
    <n v="0"/>
    <n v="1"/>
    <n v="0"/>
    <n v="4.99"/>
    <n v="0"/>
  </r>
  <r>
    <n v="709"/>
    <s v="Female"/>
    <n v="27"/>
    <x v="2"/>
    <x v="1"/>
    <n v="176"/>
    <n v="20"/>
    <n v="0.05"/>
    <s v="Web"/>
    <n v="0"/>
    <n v="1"/>
    <n v="1"/>
    <n v="14.99"/>
    <n v="14.99"/>
  </r>
  <r>
    <n v="710"/>
    <s v="Male"/>
    <n v="43"/>
    <x v="1"/>
    <x v="2"/>
    <n v="161"/>
    <n v="84"/>
    <n v="0.08"/>
    <s v="Mobile"/>
    <n v="0"/>
    <n v="1"/>
    <n v="0"/>
    <n v="9.99"/>
    <n v="0"/>
  </r>
  <r>
    <n v="711"/>
    <s v="Male"/>
    <n v="58"/>
    <x v="6"/>
    <x v="3"/>
    <n v="153"/>
    <n v="24"/>
    <n v="0.28999999999999998"/>
    <s v="Desktop"/>
    <n v="0"/>
    <n v="1"/>
    <n v="0"/>
    <n v="4.99"/>
    <n v="0"/>
  </r>
  <r>
    <n v="712"/>
    <s v="Other"/>
    <n v="20"/>
    <x v="5"/>
    <x v="1"/>
    <n v="199"/>
    <n v="52"/>
    <n v="0.22"/>
    <s v="Web"/>
    <n v="0"/>
    <n v="1"/>
    <n v="0"/>
    <n v="14.99"/>
    <n v="0"/>
  </r>
  <r>
    <n v="713"/>
    <s v="Female"/>
    <n v="37"/>
    <x v="6"/>
    <x v="0"/>
    <n v="252"/>
    <n v="58"/>
    <n v="0.41"/>
    <s v="Web"/>
    <n v="28"/>
    <n v="0"/>
    <n v="0"/>
    <n v="0"/>
    <n v="0"/>
  </r>
  <r>
    <n v="714"/>
    <s v="Male"/>
    <n v="39"/>
    <x v="3"/>
    <x v="0"/>
    <n v="79"/>
    <n v="5"/>
    <n v="0.37"/>
    <s v="Mobile"/>
    <n v="7"/>
    <n v="0"/>
    <n v="0"/>
    <n v="0"/>
    <n v="0"/>
  </r>
  <r>
    <n v="715"/>
    <s v="Male"/>
    <n v="36"/>
    <x v="7"/>
    <x v="2"/>
    <n v="15"/>
    <n v="11"/>
    <n v="0.49"/>
    <s v="Desktop"/>
    <n v="0"/>
    <n v="1"/>
    <n v="0"/>
    <n v="9.99"/>
    <n v="0"/>
  </r>
  <r>
    <n v="716"/>
    <s v="Female"/>
    <n v="51"/>
    <x v="3"/>
    <x v="3"/>
    <n v="73"/>
    <n v="81"/>
    <n v="0.1"/>
    <s v="Mobile"/>
    <n v="0"/>
    <n v="1"/>
    <n v="0"/>
    <n v="4.99"/>
    <n v="0"/>
  </r>
  <r>
    <n v="717"/>
    <s v="Male"/>
    <n v="28"/>
    <x v="6"/>
    <x v="1"/>
    <n v="20"/>
    <n v="16"/>
    <n v="0.1"/>
    <s v="Mobile"/>
    <n v="0"/>
    <n v="1"/>
    <n v="0"/>
    <n v="14.99"/>
    <n v="0"/>
  </r>
  <r>
    <n v="718"/>
    <s v="Other"/>
    <n v="39"/>
    <x v="4"/>
    <x v="3"/>
    <n v="141"/>
    <n v="49"/>
    <n v="0.54"/>
    <s v="Web"/>
    <n v="0"/>
    <n v="1"/>
    <n v="0"/>
    <n v="4.99"/>
    <n v="0"/>
  </r>
  <r>
    <n v="719"/>
    <s v="Other"/>
    <n v="51"/>
    <x v="7"/>
    <x v="0"/>
    <n v="250"/>
    <n v="72"/>
    <n v="0.12"/>
    <s v="Web"/>
    <n v="40"/>
    <n v="0"/>
    <n v="1"/>
    <n v="0"/>
    <n v="0"/>
  </r>
  <r>
    <n v="720"/>
    <s v="Female"/>
    <n v="46"/>
    <x v="2"/>
    <x v="2"/>
    <n v="191"/>
    <n v="45"/>
    <n v="0.01"/>
    <s v="Mobile"/>
    <n v="0"/>
    <n v="1"/>
    <n v="0"/>
    <n v="9.99"/>
    <n v="0"/>
  </r>
  <r>
    <n v="721"/>
    <s v="Female"/>
    <n v="18"/>
    <x v="7"/>
    <x v="0"/>
    <n v="157"/>
    <n v="48"/>
    <n v="0.44"/>
    <s v="Mobile"/>
    <n v="18"/>
    <n v="0"/>
    <n v="1"/>
    <n v="0"/>
    <n v="0"/>
  </r>
  <r>
    <n v="722"/>
    <s v="Female"/>
    <n v="46"/>
    <x v="6"/>
    <x v="3"/>
    <n v="53"/>
    <n v="28"/>
    <n v="0.08"/>
    <s v="Web"/>
    <n v="0"/>
    <n v="1"/>
    <n v="0"/>
    <n v="4.99"/>
    <n v="0"/>
  </r>
  <r>
    <n v="723"/>
    <s v="Female"/>
    <n v="42"/>
    <x v="6"/>
    <x v="3"/>
    <n v="64"/>
    <n v="70"/>
    <n v="0.05"/>
    <s v="Web"/>
    <n v="0"/>
    <n v="1"/>
    <n v="1"/>
    <n v="4.99"/>
    <n v="4.99"/>
  </r>
  <r>
    <n v="724"/>
    <s v="Other"/>
    <n v="46"/>
    <x v="4"/>
    <x v="1"/>
    <n v="160"/>
    <n v="17"/>
    <n v="0.5"/>
    <s v="Desktop"/>
    <n v="0"/>
    <n v="1"/>
    <n v="0"/>
    <n v="14.99"/>
    <n v="0"/>
  </r>
  <r>
    <n v="725"/>
    <s v="Other"/>
    <n v="35"/>
    <x v="5"/>
    <x v="3"/>
    <n v="227"/>
    <n v="39"/>
    <n v="0.44"/>
    <s v="Web"/>
    <n v="0"/>
    <n v="1"/>
    <n v="0"/>
    <n v="4.99"/>
    <n v="0"/>
  </r>
  <r>
    <n v="726"/>
    <s v="Female"/>
    <n v="57"/>
    <x v="7"/>
    <x v="2"/>
    <n v="183"/>
    <n v="58"/>
    <n v="0"/>
    <s v="Desktop"/>
    <n v="0"/>
    <n v="1"/>
    <n v="0"/>
    <n v="9.99"/>
    <n v="0"/>
  </r>
  <r>
    <n v="727"/>
    <s v="Other"/>
    <n v="38"/>
    <x v="5"/>
    <x v="0"/>
    <n v="186"/>
    <n v="46"/>
    <n v="7.0000000000000007E-2"/>
    <s v="Mobile"/>
    <n v="30"/>
    <n v="0"/>
    <n v="0"/>
    <n v="0"/>
    <n v="0"/>
  </r>
  <r>
    <n v="728"/>
    <s v="Other"/>
    <n v="31"/>
    <x v="1"/>
    <x v="2"/>
    <n v="176"/>
    <n v="37"/>
    <n v="0.28999999999999998"/>
    <s v="Web"/>
    <n v="0"/>
    <n v="1"/>
    <n v="1"/>
    <n v="9.99"/>
    <n v="9.99"/>
  </r>
  <r>
    <n v="729"/>
    <s v="Other"/>
    <n v="20"/>
    <x v="5"/>
    <x v="2"/>
    <n v="274"/>
    <n v="54"/>
    <n v="0.6"/>
    <s v="Desktop"/>
    <n v="0"/>
    <n v="1"/>
    <n v="0"/>
    <n v="9.99"/>
    <n v="0"/>
  </r>
  <r>
    <n v="730"/>
    <s v="Other"/>
    <n v="26"/>
    <x v="5"/>
    <x v="3"/>
    <n v="183"/>
    <n v="65"/>
    <n v="0.52"/>
    <s v="Desktop"/>
    <n v="0"/>
    <n v="1"/>
    <n v="0"/>
    <n v="4.99"/>
    <n v="0"/>
  </r>
  <r>
    <n v="731"/>
    <s v="Female"/>
    <n v="58"/>
    <x v="1"/>
    <x v="1"/>
    <n v="293"/>
    <n v="47"/>
    <n v="0.06"/>
    <s v="Desktop"/>
    <n v="0"/>
    <n v="1"/>
    <n v="0"/>
    <n v="14.99"/>
    <n v="0"/>
  </r>
  <r>
    <n v="732"/>
    <s v="Other"/>
    <n v="51"/>
    <x v="4"/>
    <x v="1"/>
    <n v="70"/>
    <n v="51"/>
    <n v="0.45"/>
    <s v="Mobile"/>
    <n v="0"/>
    <n v="1"/>
    <n v="0"/>
    <n v="14.99"/>
    <n v="0"/>
  </r>
  <r>
    <n v="733"/>
    <s v="Male"/>
    <n v="23"/>
    <x v="0"/>
    <x v="2"/>
    <n v="64"/>
    <n v="85"/>
    <n v="0.16"/>
    <s v="Web"/>
    <n v="0"/>
    <n v="1"/>
    <n v="0"/>
    <n v="9.99"/>
    <n v="0"/>
  </r>
  <r>
    <n v="734"/>
    <s v="Male"/>
    <n v="38"/>
    <x v="1"/>
    <x v="3"/>
    <n v="291"/>
    <n v="75"/>
    <n v="0.33"/>
    <s v="Desktop"/>
    <n v="0"/>
    <n v="1"/>
    <n v="0"/>
    <n v="4.99"/>
    <n v="0"/>
  </r>
  <r>
    <n v="735"/>
    <s v="Female"/>
    <n v="31"/>
    <x v="3"/>
    <x v="2"/>
    <n v="218"/>
    <n v="60"/>
    <n v="0.06"/>
    <s v="Desktop"/>
    <n v="0"/>
    <n v="1"/>
    <n v="0"/>
    <n v="9.99"/>
    <n v="0"/>
  </r>
  <r>
    <n v="736"/>
    <s v="Other"/>
    <n v="24"/>
    <x v="5"/>
    <x v="3"/>
    <n v="211"/>
    <n v="76"/>
    <n v="0.52"/>
    <s v="Mobile"/>
    <n v="0"/>
    <n v="1"/>
    <n v="0"/>
    <n v="4.99"/>
    <n v="0"/>
  </r>
  <r>
    <n v="737"/>
    <s v="Male"/>
    <n v="42"/>
    <x v="1"/>
    <x v="1"/>
    <n v="126"/>
    <n v="90"/>
    <n v="0.03"/>
    <s v="Web"/>
    <n v="0"/>
    <n v="1"/>
    <n v="0"/>
    <n v="14.99"/>
    <n v="0"/>
  </r>
  <r>
    <n v="738"/>
    <s v="Other"/>
    <n v="27"/>
    <x v="7"/>
    <x v="2"/>
    <n v="231"/>
    <n v="59"/>
    <n v="0.12"/>
    <s v="Web"/>
    <n v="0"/>
    <n v="1"/>
    <n v="0"/>
    <n v="9.99"/>
    <n v="0"/>
  </r>
  <r>
    <n v="739"/>
    <s v="Other"/>
    <n v="57"/>
    <x v="5"/>
    <x v="1"/>
    <n v="290"/>
    <n v="16"/>
    <n v="0.17"/>
    <s v="Mobile"/>
    <n v="0"/>
    <n v="1"/>
    <n v="0"/>
    <n v="14.99"/>
    <n v="0"/>
  </r>
  <r>
    <n v="740"/>
    <s v="Male"/>
    <n v="36"/>
    <x v="0"/>
    <x v="0"/>
    <n v="77"/>
    <n v="85"/>
    <n v="0"/>
    <s v="Web"/>
    <n v="46"/>
    <n v="0"/>
    <n v="0"/>
    <n v="0"/>
    <n v="0"/>
  </r>
  <r>
    <n v="741"/>
    <s v="Male"/>
    <n v="16"/>
    <x v="7"/>
    <x v="2"/>
    <n v="154"/>
    <n v="29"/>
    <n v="0.34"/>
    <s v="Mobile"/>
    <n v="0"/>
    <n v="1"/>
    <n v="0"/>
    <n v="9.99"/>
    <n v="0"/>
  </r>
  <r>
    <n v="742"/>
    <s v="Female"/>
    <n v="24"/>
    <x v="6"/>
    <x v="3"/>
    <n v="105"/>
    <n v="48"/>
    <n v="0.38"/>
    <s v="Mobile"/>
    <n v="0"/>
    <n v="1"/>
    <n v="1"/>
    <n v="4.99"/>
    <n v="4.99"/>
  </r>
  <r>
    <n v="743"/>
    <s v="Male"/>
    <n v="53"/>
    <x v="1"/>
    <x v="3"/>
    <n v="113"/>
    <n v="65"/>
    <n v="0.38"/>
    <s v="Mobile"/>
    <n v="0"/>
    <n v="1"/>
    <n v="0"/>
    <n v="4.99"/>
    <n v="0"/>
  </r>
  <r>
    <n v="744"/>
    <s v="Other"/>
    <n v="36"/>
    <x v="2"/>
    <x v="2"/>
    <n v="174"/>
    <n v="11"/>
    <n v="0.28999999999999998"/>
    <s v="Mobile"/>
    <n v="0"/>
    <n v="1"/>
    <n v="0"/>
    <n v="9.99"/>
    <n v="0"/>
  </r>
  <r>
    <n v="745"/>
    <s v="Other"/>
    <n v="51"/>
    <x v="1"/>
    <x v="2"/>
    <n v="32"/>
    <n v="59"/>
    <n v="0.02"/>
    <s v="Mobile"/>
    <n v="0"/>
    <n v="1"/>
    <n v="0"/>
    <n v="9.99"/>
    <n v="0"/>
  </r>
  <r>
    <n v="746"/>
    <s v="Other"/>
    <n v="42"/>
    <x v="0"/>
    <x v="2"/>
    <n v="271"/>
    <n v="99"/>
    <n v="0.34"/>
    <s v="Web"/>
    <n v="0"/>
    <n v="1"/>
    <n v="0"/>
    <n v="9.99"/>
    <n v="0"/>
  </r>
  <r>
    <n v="747"/>
    <s v="Other"/>
    <n v="29"/>
    <x v="6"/>
    <x v="2"/>
    <n v="97"/>
    <n v="26"/>
    <n v="0.44"/>
    <s v="Desktop"/>
    <n v="0"/>
    <n v="1"/>
    <n v="0"/>
    <n v="9.99"/>
    <n v="0"/>
  </r>
  <r>
    <n v="748"/>
    <s v="Male"/>
    <n v="59"/>
    <x v="0"/>
    <x v="3"/>
    <n v="266"/>
    <n v="90"/>
    <n v="0.06"/>
    <s v="Desktop"/>
    <n v="0"/>
    <n v="1"/>
    <n v="0"/>
    <n v="4.99"/>
    <n v="0"/>
  </r>
  <r>
    <n v="749"/>
    <s v="Other"/>
    <n v="22"/>
    <x v="2"/>
    <x v="0"/>
    <n v="276"/>
    <n v="11"/>
    <n v="0.13"/>
    <s v="Desktop"/>
    <n v="9"/>
    <n v="0"/>
    <n v="0"/>
    <n v="0"/>
    <n v="0"/>
  </r>
  <r>
    <n v="750"/>
    <s v="Female"/>
    <n v="52"/>
    <x v="4"/>
    <x v="1"/>
    <n v="81"/>
    <n v="16"/>
    <n v="0.37"/>
    <s v="Desktop"/>
    <n v="0"/>
    <n v="1"/>
    <n v="0"/>
    <n v="14.99"/>
    <n v="0"/>
  </r>
  <r>
    <n v="751"/>
    <s v="Male"/>
    <n v="27"/>
    <x v="0"/>
    <x v="1"/>
    <n v="116"/>
    <n v="39"/>
    <n v="0.44"/>
    <s v="Desktop"/>
    <n v="0"/>
    <n v="1"/>
    <n v="1"/>
    <n v="14.99"/>
    <n v="14.99"/>
  </r>
  <r>
    <n v="752"/>
    <s v="Male"/>
    <n v="46"/>
    <x v="2"/>
    <x v="1"/>
    <n v="251"/>
    <n v="63"/>
    <n v="0.34"/>
    <s v="Web"/>
    <n v="0"/>
    <n v="1"/>
    <n v="0"/>
    <n v="14.99"/>
    <n v="0"/>
  </r>
  <r>
    <n v="753"/>
    <s v="Male"/>
    <n v="52"/>
    <x v="3"/>
    <x v="3"/>
    <n v="270"/>
    <n v="67"/>
    <n v="0.22"/>
    <s v="Web"/>
    <n v="0"/>
    <n v="1"/>
    <n v="0"/>
    <n v="4.99"/>
    <n v="0"/>
  </r>
  <r>
    <n v="754"/>
    <s v="Other"/>
    <n v="39"/>
    <x v="1"/>
    <x v="2"/>
    <n v="246"/>
    <n v="37"/>
    <n v="0.17"/>
    <s v="Mobile"/>
    <n v="0"/>
    <n v="1"/>
    <n v="1"/>
    <n v="9.99"/>
    <n v="9.99"/>
  </r>
  <r>
    <n v="755"/>
    <s v="Male"/>
    <n v="33"/>
    <x v="0"/>
    <x v="0"/>
    <n v="100"/>
    <n v="8"/>
    <n v="0.02"/>
    <s v="Mobile"/>
    <n v="45"/>
    <n v="0"/>
    <n v="0"/>
    <n v="0"/>
    <n v="0"/>
  </r>
  <r>
    <n v="756"/>
    <s v="Other"/>
    <n v="17"/>
    <x v="4"/>
    <x v="0"/>
    <n v="206"/>
    <n v="27"/>
    <n v="0.42"/>
    <s v="Desktop"/>
    <n v="49"/>
    <n v="0"/>
    <n v="0"/>
    <n v="0"/>
    <n v="0"/>
  </r>
  <r>
    <n v="757"/>
    <s v="Female"/>
    <n v="35"/>
    <x v="2"/>
    <x v="1"/>
    <n v="81"/>
    <n v="90"/>
    <n v="0.19"/>
    <s v="Desktop"/>
    <n v="0"/>
    <n v="1"/>
    <n v="0"/>
    <n v="14.99"/>
    <n v="0"/>
  </r>
  <r>
    <n v="758"/>
    <s v="Male"/>
    <n v="41"/>
    <x v="6"/>
    <x v="1"/>
    <n v="26"/>
    <n v="42"/>
    <n v="0.19"/>
    <s v="Mobile"/>
    <n v="0"/>
    <n v="1"/>
    <n v="0"/>
    <n v="14.99"/>
    <n v="0"/>
  </r>
  <r>
    <n v="759"/>
    <s v="Female"/>
    <n v="42"/>
    <x v="1"/>
    <x v="3"/>
    <n v="208"/>
    <n v="67"/>
    <n v="0.06"/>
    <s v="Desktop"/>
    <n v="0"/>
    <n v="1"/>
    <n v="0"/>
    <n v="4.99"/>
    <n v="0"/>
  </r>
  <r>
    <n v="760"/>
    <s v="Female"/>
    <n v="49"/>
    <x v="2"/>
    <x v="3"/>
    <n v="295"/>
    <n v="93"/>
    <n v="0.13"/>
    <s v="Mobile"/>
    <n v="0"/>
    <n v="1"/>
    <n v="1"/>
    <n v="4.99"/>
    <n v="4.99"/>
  </r>
  <r>
    <n v="761"/>
    <s v="Male"/>
    <n v="57"/>
    <x v="2"/>
    <x v="1"/>
    <n v="13"/>
    <n v="89"/>
    <n v="0.16"/>
    <s v="Desktop"/>
    <n v="0"/>
    <n v="1"/>
    <n v="0"/>
    <n v="14.99"/>
    <n v="0"/>
  </r>
  <r>
    <n v="762"/>
    <s v="Male"/>
    <n v="26"/>
    <x v="5"/>
    <x v="2"/>
    <n v="120"/>
    <n v="68"/>
    <n v="0.34"/>
    <s v="Desktop"/>
    <n v="0"/>
    <n v="1"/>
    <n v="0"/>
    <n v="9.99"/>
    <n v="0"/>
  </r>
  <r>
    <n v="763"/>
    <s v="Other"/>
    <n v="17"/>
    <x v="1"/>
    <x v="0"/>
    <n v="125"/>
    <n v="77"/>
    <n v="0.26"/>
    <s v="Desktop"/>
    <n v="18"/>
    <n v="0"/>
    <n v="0"/>
    <n v="0"/>
    <n v="0"/>
  </r>
  <r>
    <n v="764"/>
    <s v="Female"/>
    <n v="49"/>
    <x v="3"/>
    <x v="2"/>
    <n v="104"/>
    <n v="74"/>
    <n v="0.56999999999999995"/>
    <s v="Mobile"/>
    <n v="0"/>
    <n v="1"/>
    <n v="1"/>
    <n v="9.99"/>
    <n v="9.99"/>
  </r>
  <r>
    <n v="765"/>
    <s v="Other"/>
    <n v="52"/>
    <x v="1"/>
    <x v="2"/>
    <n v="225"/>
    <n v="94"/>
    <n v="0.01"/>
    <s v="Desktop"/>
    <n v="0"/>
    <n v="1"/>
    <n v="1"/>
    <n v="9.99"/>
    <n v="9.99"/>
  </r>
  <r>
    <n v="766"/>
    <s v="Other"/>
    <n v="49"/>
    <x v="2"/>
    <x v="1"/>
    <n v="261"/>
    <n v="15"/>
    <n v="0.17"/>
    <s v="Mobile"/>
    <n v="0"/>
    <n v="1"/>
    <n v="0"/>
    <n v="14.99"/>
    <n v="0"/>
  </r>
  <r>
    <n v="767"/>
    <s v="Other"/>
    <n v="57"/>
    <x v="4"/>
    <x v="2"/>
    <n v="79"/>
    <n v="2"/>
    <n v="0.22"/>
    <s v="Desktop"/>
    <n v="0"/>
    <n v="1"/>
    <n v="0"/>
    <n v="9.99"/>
    <n v="0"/>
  </r>
  <r>
    <n v="768"/>
    <s v="Female"/>
    <n v="24"/>
    <x v="6"/>
    <x v="2"/>
    <n v="240"/>
    <n v="39"/>
    <n v="0.23"/>
    <s v="Web"/>
    <n v="0"/>
    <n v="1"/>
    <n v="0"/>
    <n v="9.99"/>
    <n v="0"/>
  </r>
  <r>
    <n v="769"/>
    <s v="Other"/>
    <n v="24"/>
    <x v="1"/>
    <x v="1"/>
    <n v="28"/>
    <n v="62"/>
    <n v="0.04"/>
    <s v="Web"/>
    <n v="0"/>
    <n v="1"/>
    <n v="0"/>
    <n v="14.99"/>
    <n v="0"/>
  </r>
  <r>
    <n v="770"/>
    <s v="Female"/>
    <n v="48"/>
    <x v="2"/>
    <x v="2"/>
    <n v="91"/>
    <n v="37"/>
    <n v="0.34"/>
    <s v="Desktop"/>
    <n v="0"/>
    <n v="1"/>
    <n v="0"/>
    <n v="9.99"/>
    <n v="0"/>
  </r>
  <r>
    <n v="771"/>
    <s v="Other"/>
    <n v="40"/>
    <x v="5"/>
    <x v="2"/>
    <n v="212"/>
    <n v="66"/>
    <n v="0.27"/>
    <s v="Mobile"/>
    <n v="0"/>
    <n v="1"/>
    <n v="1"/>
    <n v="9.99"/>
    <n v="9.99"/>
  </r>
  <r>
    <n v="772"/>
    <s v="Other"/>
    <n v="59"/>
    <x v="5"/>
    <x v="2"/>
    <n v="172"/>
    <n v="69"/>
    <n v="0.41"/>
    <s v="Desktop"/>
    <n v="0"/>
    <n v="1"/>
    <n v="0"/>
    <n v="9.99"/>
    <n v="0"/>
  </r>
  <r>
    <n v="773"/>
    <s v="Female"/>
    <n v="39"/>
    <x v="5"/>
    <x v="1"/>
    <n v="55"/>
    <n v="37"/>
    <n v="0.5"/>
    <s v="Desktop"/>
    <n v="0"/>
    <n v="1"/>
    <n v="0"/>
    <n v="14.99"/>
    <n v="0"/>
  </r>
  <r>
    <n v="774"/>
    <s v="Female"/>
    <n v="54"/>
    <x v="6"/>
    <x v="3"/>
    <n v="130"/>
    <n v="46"/>
    <n v="0.26"/>
    <s v="Desktop"/>
    <n v="0"/>
    <n v="1"/>
    <n v="0"/>
    <n v="4.99"/>
    <n v="0"/>
  </r>
  <r>
    <n v="775"/>
    <s v="Male"/>
    <n v="40"/>
    <x v="5"/>
    <x v="1"/>
    <n v="97"/>
    <n v="57"/>
    <n v="0.43"/>
    <s v="Mobile"/>
    <n v="0"/>
    <n v="1"/>
    <n v="0"/>
    <n v="14.99"/>
    <n v="0"/>
  </r>
  <r>
    <n v="776"/>
    <s v="Female"/>
    <n v="51"/>
    <x v="1"/>
    <x v="1"/>
    <n v="71"/>
    <n v="15"/>
    <n v="0.57999999999999996"/>
    <s v="Mobile"/>
    <n v="0"/>
    <n v="1"/>
    <n v="1"/>
    <n v="14.99"/>
    <n v="14.99"/>
  </r>
  <r>
    <n v="777"/>
    <s v="Other"/>
    <n v="31"/>
    <x v="3"/>
    <x v="1"/>
    <n v="18"/>
    <n v="3"/>
    <n v="0.36"/>
    <s v="Web"/>
    <n v="0"/>
    <n v="1"/>
    <n v="0"/>
    <n v="14.99"/>
    <n v="0"/>
  </r>
  <r>
    <n v="778"/>
    <s v="Male"/>
    <n v="24"/>
    <x v="5"/>
    <x v="1"/>
    <n v="212"/>
    <n v="7"/>
    <n v="0.57999999999999996"/>
    <s v="Mobile"/>
    <n v="0"/>
    <n v="1"/>
    <n v="0"/>
    <n v="14.99"/>
    <n v="0"/>
  </r>
  <r>
    <n v="779"/>
    <s v="Female"/>
    <n v="18"/>
    <x v="4"/>
    <x v="1"/>
    <n v="14"/>
    <n v="49"/>
    <n v="0.5"/>
    <s v="Desktop"/>
    <n v="0"/>
    <n v="1"/>
    <n v="0"/>
    <n v="14.99"/>
    <n v="0"/>
  </r>
  <r>
    <n v="780"/>
    <s v="Female"/>
    <n v="18"/>
    <x v="1"/>
    <x v="0"/>
    <n v="213"/>
    <n v="1"/>
    <n v="0.35"/>
    <s v="Desktop"/>
    <n v="5"/>
    <n v="0"/>
    <n v="1"/>
    <n v="0"/>
    <n v="0"/>
  </r>
  <r>
    <n v="781"/>
    <s v="Female"/>
    <n v="44"/>
    <x v="4"/>
    <x v="3"/>
    <n v="207"/>
    <n v="62"/>
    <n v="0.23"/>
    <s v="Desktop"/>
    <n v="0"/>
    <n v="1"/>
    <n v="0"/>
    <n v="4.99"/>
    <n v="0"/>
  </r>
  <r>
    <n v="782"/>
    <s v="Male"/>
    <n v="32"/>
    <x v="3"/>
    <x v="2"/>
    <n v="71"/>
    <n v="53"/>
    <n v="0.54"/>
    <s v="Web"/>
    <n v="0"/>
    <n v="1"/>
    <n v="0"/>
    <n v="9.99"/>
    <n v="0"/>
  </r>
  <r>
    <n v="783"/>
    <s v="Male"/>
    <n v="32"/>
    <x v="2"/>
    <x v="2"/>
    <n v="36"/>
    <n v="2"/>
    <n v="0.52"/>
    <s v="Web"/>
    <n v="0"/>
    <n v="1"/>
    <n v="0"/>
    <n v="9.99"/>
    <n v="0"/>
  </r>
  <r>
    <n v="784"/>
    <s v="Other"/>
    <n v="52"/>
    <x v="3"/>
    <x v="2"/>
    <n v="120"/>
    <n v="84"/>
    <n v="0.5"/>
    <s v="Web"/>
    <n v="0"/>
    <n v="1"/>
    <n v="0"/>
    <n v="9.99"/>
    <n v="0"/>
  </r>
  <r>
    <n v="785"/>
    <s v="Female"/>
    <n v="31"/>
    <x v="6"/>
    <x v="2"/>
    <n v="272"/>
    <n v="71"/>
    <n v="0.15"/>
    <s v="Mobile"/>
    <n v="0"/>
    <n v="1"/>
    <n v="1"/>
    <n v="9.99"/>
    <n v="9.99"/>
  </r>
  <r>
    <n v="786"/>
    <s v="Male"/>
    <n v="33"/>
    <x v="0"/>
    <x v="2"/>
    <n v="212"/>
    <n v="43"/>
    <n v="0.05"/>
    <s v="Web"/>
    <n v="0"/>
    <n v="1"/>
    <n v="0"/>
    <n v="9.99"/>
    <n v="0"/>
  </r>
  <r>
    <n v="787"/>
    <s v="Male"/>
    <n v="46"/>
    <x v="6"/>
    <x v="0"/>
    <n v="193"/>
    <n v="94"/>
    <n v="0.18"/>
    <s v="Mobile"/>
    <n v="17"/>
    <n v="0"/>
    <n v="0"/>
    <n v="0"/>
    <n v="0"/>
  </r>
  <r>
    <n v="788"/>
    <s v="Female"/>
    <n v="16"/>
    <x v="0"/>
    <x v="2"/>
    <n v="150"/>
    <n v="74"/>
    <n v="0.01"/>
    <s v="Desktop"/>
    <n v="0"/>
    <n v="1"/>
    <n v="1"/>
    <n v="9.99"/>
    <n v="9.99"/>
  </r>
  <r>
    <n v="789"/>
    <s v="Female"/>
    <n v="23"/>
    <x v="2"/>
    <x v="3"/>
    <n v="213"/>
    <n v="20"/>
    <n v="0.5"/>
    <s v="Web"/>
    <n v="0"/>
    <n v="1"/>
    <n v="0"/>
    <n v="4.99"/>
    <n v="0"/>
  </r>
  <r>
    <n v="790"/>
    <s v="Male"/>
    <n v="26"/>
    <x v="6"/>
    <x v="3"/>
    <n v="293"/>
    <n v="15"/>
    <n v="0.39"/>
    <s v="Web"/>
    <n v="0"/>
    <n v="1"/>
    <n v="1"/>
    <n v="4.99"/>
    <n v="4.99"/>
  </r>
  <r>
    <n v="791"/>
    <s v="Female"/>
    <n v="52"/>
    <x v="2"/>
    <x v="1"/>
    <n v="80"/>
    <n v="13"/>
    <n v="0.56000000000000005"/>
    <s v="Web"/>
    <n v="0"/>
    <n v="1"/>
    <n v="0"/>
    <n v="14.99"/>
    <n v="0"/>
  </r>
  <r>
    <n v="792"/>
    <s v="Female"/>
    <n v="27"/>
    <x v="3"/>
    <x v="3"/>
    <n v="222"/>
    <n v="73"/>
    <n v="0.17"/>
    <s v="Mobile"/>
    <n v="0"/>
    <n v="1"/>
    <n v="1"/>
    <n v="4.99"/>
    <n v="4.99"/>
  </r>
  <r>
    <n v="793"/>
    <s v="Other"/>
    <n v="32"/>
    <x v="1"/>
    <x v="1"/>
    <n v="100"/>
    <n v="16"/>
    <n v="0.3"/>
    <s v="Desktop"/>
    <n v="0"/>
    <n v="1"/>
    <n v="1"/>
    <n v="14.99"/>
    <n v="14.99"/>
  </r>
  <r>
    <n v="794"/>
    <s v="Male"/>
    <n v="20"/>
    <x v="7"/>
    <x v="1"/>
    <n v="185"/>
    <n v="79"/>
    <n v="0.37"/>
    <s v="Web"/>
    <n v="0"/>
    <n v="1"/>
    <n v="0"/>
    <n v="14.99"/>
    <n v="0"/>
  </r>
  <r>
    <n v="795"/>
    <s v="Other"/>
    <n v="47"/>
    <x v="1"/>
    <x v="3"/>
    <n v="94"/>
    <n v="57"/>
    <n v="0.18"/>
    <s v="Mobile"/>
    <n v="0"/>
    <n v="1"/>
    <n v="0"/>
    <n v="4.99"/>
    <n v="0"/>
  </r>
  <r>
    <n v="796"/>
    <s v="Female"/>
    <n v="31"/>
    <x v="5"/>
    <x v="1"/>
    <n v="47"/>
    <n v="19"/>
    <n v="0.05"/>
    <s v="Desktop"/>
    <n v="0"/>
    <n v="1"/>
    <n v="0"/>
    <n v="14.99"/>
    <n v="0"/>
  </r>
  <r>
    <n v="797"/>
    <s v="Female"/>
    <n v="30"/>
    <x v="2"/>
    <x v="2"/>
    <n v="173"/>
    <n v="95"/>
    <n v="0.44"/>
    <s v="Web"/>
    <n v="0"/>
    <n v="1"/>
    <n v="0"/>
    <n v="9.99"/>
    <n v="0"/>
  </r>
  <r>
    <n v="798"/>
    <s v="Female"/>
    <n v="27"/>
    <x v="6"/>
    <x v="2"/>
    <n v="185"/>
    <n v="6"/>
    <n v="0.18"/>
    <s v="Desktop"/>
    <n v="0"/>
    <n v="1"/>
    <n v="0"/>
    <n v="9.99"/>
    <n v="0"/>
  </r>
  <r>
    <n v="799"/>
    <s v="Other"/>
    <n v="30"/>
    <x v="2"/>
    <x v="3"/>
    <n v="175"/>
    <n v="17"/>
    <n v="0.33"/>
    <s v="Web"/>
    <n v="0"/>
    <n v="1"/>
    <n v="0"/>
    <n v="4.99"/>
    <n v="0"/>
  </r>
  <r>
    <n v="800"/>
    <s v="Female"/>
    <n v="17"/>
    <x v="5"/>
    <x v="3"/>
    <n v="134"/>
    <n v="6"/>
    <n v="0.51"/>
    <s v="Desktop"/>
    <n v="0"/>
    <n v="1"/>
    <n v="0"/>
    <n v="4.99"/>
    <n v="0"/>
  </r>
  <r>
    <n v="801"/>
    <s v="Male"/>
    <n v="56"/>
    <x v="5"/>
    <x v="2"/>
    <n v="253"/>
    <n v="15"/>
    <n v="0.54"/>
    <s v="Desktop"/>
    <n v="0"/>
    <n v="1"/>
    <n v="1"/>
    <n v="9.99"/>
    <n v="9.99"/>
  </r>
  <r>
    <n v="802"/>
    <s v="Other"/>
    <n v="57"/>
    <x v="6"/>
    <x v="2"/>
    <n v="161"/>
    <n v="56"/>
    <n v="0.6"/>
    <s v="Desktop"/>
    <n v="0"/>
    <n v="1"/>
    <n v="0"/>
    <n v="9.99"/>
    <n v="0"/>
  </r>
  <r>
    <n v="803"/>
    <s v="Other"/>
    <n v="57"/>
    <x v="2"/>
    <x v="1"/>
    <n v="47"/>
    <n v="59"/>
    <n v="0.09"/>
    <s v="Web"/>
    <n v="0"/>
    <n v="1"/>
    <n v="1"/>
    <n v="14.99"/>
    <n v="14.99"/>
  </r>
  <r>
    <n v="804"/>
    <s v="Male"/>
    <n v="41"/>
    <x v="1"/>
    <x v="2"/>
    <n v="286"/>
    <n v="72"/>
    <n v="0.14000000000000001"/>
    <s v="Web"/>
    <n v="0"/>
    <n v="1"/>
    <n v="0"/>
    <n v="9.99"/>
    <n v="0"/>
  </r>
  <r>
    <n v="805"/>
    <s v="Female"/>
    <n v="36"/>
    <x v="1"/>
    <x v="3"/>
    <n v="194"/>
    <n v="12"/>
    <n v="0.02"/>
    <s v="Desktop"/>
    <n v="0"/>
    <n v="1"/>
    <n v="0"/>
    <n v="4.99"/>
    <n v="0"/>
  </r>
  <r>
    <n v="806"/>
    <s v="Other"/>
    <n v="22"/>
    <x v="2"/>
    <x v="3"/>
    <n v="87"/>
    <n v="39"/>
    <n v="0.5"/>
    <s v="Web"/>
    <n v="0"/>
    <n v="1"/>
    <n v="0"/>
    <n v="4.99"/>
    <n v="0"/>
  </r>
  <r>
    <n v="807"/>
    <s v="Female"/>
    <n v="40"/>
    <x v="3"/>
    <x v="1"/>
    <n v="92"/>
    <n v="65"/>
    <n v="0.04"/>
    <s v="Mobile"/>
    <n v="0"/>
    <n v="1"/>
    <n v="0"/>
    <n v="14.99"/>
    <n v="0"/>
  </r>
  <r>
    <n v="808"/>
    <s v="Male"/>
    <n v="36"/>
    <x v="4"/>
    <x v="2"/>
    <n v="242"/>
    <n v="7"/>
    <n v="0.04"/>
    <s v="Web"/>
    <n v="0"/>
    <n v="1"/>
    <n v="0"/>
    <n v="9.99"/>
    <n v="0"/>
  </r>
  <r>
    <n v="809"/>
    <s v="Other"/>
    <n v="19"/>
    <x v="2"/>
    <x v="0"/>
    <n v="26"/>
    <n v="2"/>
    <n v="0.57999999999999996"/>
    <s v="Web"/>
    <n v="35"/>
    <n v="0"/>
    <n v="1"/>
    <n v="0"/>
    <n v="0"/>
  </r>
  <r>
    <n v="810"/>
    <s v="Other"/>
    <n v="44"/>
    <x v="7"/>
    <x v="1"/>
    <n v="255"/>
    <n v="36"/>
    <n v="0.09"/>
    <s v="Desktop"/>
    <n v="0"/>
    <n v="1"/>
    <n v="0"/>
    <n v="14.99"/>
    <n v="0"/>
  </r>
  <r>
    <n v="811"/>
    <s v="Male"/>
    <n v="57"/>
    <x v="4"/>
    <x v="1"/>
    <n v="204"/>
    <n v="21"/>
    <n v="0.3"/>
    <s v="Mobile"/>
    <n v="0"/>
    <n v="1"/>
    <n v="0"/>
    <n v="14.99"/>
    <n v="0"/>
  </r>
  <r>
    <n v="812"/>
    <s v="Other"/>
    <n v="17"/>
    <x v="4"/>
    <x v="2"/>
    <n v="62"/>
    <n v="25"/>
    <n v="0.25"/>
    <s v="Mobile"/>
    <n v="0"/>
    <n v="1"/>
    <n v="1"/>
    <n v="9.99"/>
    <n v="9.99"/>
  </r>
  <r>
    <n v="813"/>
    <s v="Male"/>
    <n v="26"/>
    <x v="5"/>
    <x v="3"/>
    <n v="19"/>
    <n v="68"/>
    <n v="0.1"/>
    <s v="Desktop"/>
    <n v="0"/>
    <n v="1"/>
    <n v="0"/>
    <n v="4.99"/>
    <n v="0"/>
  </r>
  <r>
    <n v="814"/>
    <s v="Other"/>
    <n v="19"/>
    <x v="6"/>
    <x v="0"/>
    <n v="197"/>
    <n v="33"/>
    <n v="0.17"/>
    <s v="Web"/>
    <n v="41"/>
    <n v="0"/>
    <n v="0"/>
    <n v="0"/>
    <n v="0"/>
  </r>
  <r>
    <n v="815"/>
    <s v="Other"/>
    <n v="24"/>
    <x v="4"/>
    <x v="1"/>
    <n v="49"/>
    <n v="21"/>
    <n v="0.22"/>
    <s v="Desktop"/>
    <n v="0"/>
    <n v="1"/>
    <n v="0"/>
    <n v="14.99"/>
    <n v="0"/>
  </r>
  <r>
    <n v="816"/>
    <s v="Female"/>
    <n v="22"/>
    <x v="4"/>
    <x v="0"/>
    <n v="87"/>
    <n v="60"/>
    <n v="0.34"/>
    <s v="Desktop"/>
    <n v="41"/>
    <n v="0"/>
    <n v="0"/>
    <n v="0"/>
    <n v="0"/>
  </r>
  <r>
    <n v="817"/>
    <s v="Other"/>
    <n v="57"/>
    <x v="6"/>
    <x v="1"/>
    <n v="39"/>
    <n v="24"/>
    <n v="0.16"/>
    <s v="Web"/>
    <n v="0"/>
    <n v="1"/>
    <n v="1"/>
    <n v="14.99"/>
    <n v="14.99"/>
  </r>
  <r>
    <n v="818"/>
    <s v="Male"/>
    <n v="51"/>
    <x v="1"/>
    <x v="2"/>
    <n v="24"/>
    <n v="73"/>
    <n v="7.0000000000000007E-2"/>
    <s v="Desktop"/>
    <n v="0"/>
    <n v="1"/>
    <n v="0"/>
    <n v="9.99"/>
    <n v="0"/>
  </r>
  <r>
    <n v="819"/>
    <s v="Other"/>
    <n v="44"/>
    <x v="2"/>
    <x v="2"/>
    <n v="162"/>
    <n v="52"/>
    <n v="0.25"/>
    <s v="Web"/>
    <n v="0"/>
    <n v="1"/>
    <n v="1"/>
    <n v="9.99"/>
    <n v="9.99"/>
  </r>
  <r>
    <n v="820"/>
    <s v="Other"/>
    <n v="43"/>
    <x v="5"/>
    <x v="1"/>
    <n v="61"/>
    <n v="20"/>
    <n v="0.05"/>
    <s v="Mobile"/>
    <n v="0"/>
    <n v="1"/>
    <n v="0"/>
    <n v="14.99"/>
    <n v="0"/>
  </r>
  <r>
    <n v="821"/>
    <s v="Female"/>
    <n v="32"/>
    <x v="4"/>
    <x v="3"/>
    <n v="138"/>
    <n v="67"/>
    <n v="0.3"/>
    <s v="Web"/>
    <n v="0"/>
    <n v="1"/>
    <n v="1"/>
    <n v="4.99"/>
    <n v="4.99"/>
  </r>
  <r>
    <n v="822"/>
    <s v="Female"/>
    <n v="20"/>
    <x v="6"/>
    <x v="0"/>
    <n v="181"/>
    <n v="81"/>
    <n v="0.12"/>
    <s v="Mobile"/>
    <n v="43"/>
    <n v="0"/>
    <n v="0"/>
    <n v="0"/>
    <n v="0"/>
  </r>
  <r>
    <n v="823"/>
    <s v="Female"/>
    <n v="56"/>
    <x v="3"/>
    <x v="3"/>
    <n v="37"/>
    <n v="33"/>
    <n v="0.11"/>
    <s v="Mobile"/>
    <n v="0"/>
    <n v="1"/>
    <n v="0"/>
    <n v="4.99"/>
    <n v="0"/>
  </r>
  <r>
    <n v="824"/>
    <s v="Male"/>
    <n v="32"/>
    <x v="0"/>
    <x v="2"/>
    <n v="146"/>
    <n v="57"/>
    <n v="0.36"/>
    <s v="Desktop"/>
    <n v="0"/>
    <n v="1"/>
    <n v="1"/>
    <n v="9.99"/>
    <n v="9.99"/>
  </r>
  <r>
    <n v="825"/>
    <s v="Female"/>
    <n v="31"/>
    <x v="7"/>
    <x v="1"/>
    <n v="82"/>
    <n v="95"/>
    <n v="0.46"/>
    <s v="Desktop"/>
    <n v="0"/>
    <n v="1"/>
    <n v="0"/>
    <n v="14.99"/>
    <n v="0"/>
  </r>
  <r>
    <n v="826"/>
    <s v="Male"/>
    <n v="26"/>
    <x v="3"/>
    <x v="1"/>
    <n v="82"/>
    <n v="93"/>
    <n v="0.05"/>
    <s v="Mobile"/>
    <n v="0"/>
    <n v="1"/>
    <n v="0"/>
    <n v="14.99"/>
    <n v="0"/>
  </r>
  <r>
    <n v="827"/>
    <s v="Other"/>
    <n v="54"/>
    <x v="4"/>
    <x v="1"/>
    <n v="194"/>
    <n v="66"/>
    <n v="0.43"/>
    <s v="Mobile"/>
    <n v="0"/>
    <n v="1"/>
    <n v="1"/>
    <n v="14.99"/>
    <n v="14.99"/>
  </r>
  <r>
    <n v="828"/>
    <s v="Male"/>
    <n v="17"/>
    <x v="6"/>
    <x v="3"/>
    <n v="61"/>
    <n v="15"/>
    <n v="0.56000000000000005"/>
    <s v="Web"/>
    <n v="0"/>
    <n v="1"/>
    <n v="0"/>
    <n v="4.99"/>
    <n v="0"/>
  </r>
  <r>
    <n v="829"/>
    <s v="Male"/>
    <n v="47"/>
    <x v="6"/>
    <x v="2"/>
    <n v="191"/>
    <n v="10"/>
    <n v="0.21"/>
    <s v="Desktop"/>
    <n v="0"/>
    <n v="1"/>
    <n v="1"/>
    <n v="9.99"/>
    <n v="9.99"/>
  </r>
  <r>
    <n v="830"/>
    <s v="Other"/>
    <n v="22"/>
    <x v="1"/>
    <x v="1"/>
    <n v="107"/>
    <n v="13"/>
    <n v="0.55000000000000004"/>
    <s v="Web"/>
    <n v="0"/>
    <n v="1"/>
    <n v="0"/>
    <n v="14.99"/>
    <n v="0"/>
  </r>
  <r>
    <n v="831"/>
    <s v="Female"/>
    <n v="31"/>
    <x v="0"/>
    <x v="3"/>
    <n v="293"/>
    <n v="55"/>
    <n v="0.52"/>
    <s v="Desktop"/>
    <n v="0"/>
    <n v="1"/>
    <n v="0"/>
    <n v="4.99"/>
    <n v="0"/>
  </r>
  <r>
    <n v="832"/>
    <s v="Other"/>
    <n v="31"/>
    <x v="7"/>
    <x v="2"/>
    <n v="64"/>
    <n v="83"/>
    <n v="0.18"/>
    <s v="Desktop"/>
    <n v="0"/>
    <n v="1"/>
    <n v="1"/>
    <n v="9.99"/>
    <n v="9.99"/>
  </r>
  <r>
    <n v="833"/>
    <s v="Other"/>
    <n v="32"/>
    <x v="2"/>
    <x v="1"/>
    <n v="262"/>
    <n v="20"/>
    <n v="0.37"/>
    <s v="Desktop"/>
    <n v="0"/>
    <n v="1"/>
    <n v="0"/>
    <n v="14.99"/>
    <n v="0"/>
  </r>
  <r>
    <n v="834"/>
    <s v="Male"/>
    <n v="26"/>
    <x v="7"/>
    <x v="1"/>
    <n v="172"/>
    <n v="8"/>
    <n v="0.4"/>
    <s v="Mobile"/>
    <n v="0"/>
    <n v="1"/>
    <n v="0"/>
    <n v="14.99"/>
    <n v="0"/>
  </r>
  <r>
    <n v="835"/>
    <s v="Male"/>
    <n v="26"/>
    <x v="0"/>
    <x v="1"/>
    <n v="206"/>
    <n v="5"/>
    <n v="0.1"/>
    <s v="Desktop"/>
    <n v="0"/>
    <n v="1"/>
    <n v="0"/>
    <n v="14.99"/>
    <n v="0"/>
  </r>
  <r>
    <n v="836"/>
    <s v="Male"/>
    <n v="17"/>
    <x v="3"/>
    <x v="0"/>
    <n v="250"/>
    <n v="80"/>
    <n v="0.27"/>
    <s v="Web"/>
    <n v="12"/>
    <n v="0"/>
    <n v="0"/>
    <n v="0"/>
    <n v="0"/>
  </r>
  <r>
    <n v="837"/>
    <s v="Female"/>
    <n v="25"/>
    <x v="7"/>
    <x v="0"/>
    <n v="118"/>
    <n v="77"/>
    <n v="0.56999999999999995"/>
    <s v="Web"/>
    <n v="43"/>
    <n v="0"/>
    <n v="0"/>
    <n v="0"/>
    <n v="0"/>
  </r>
  <r>
    <n v="838"/>
    <s v="Male"/>
    <n v="31"/>
    <x v="4"/>
    <x v="3"/>
    <n v="173"/>
    <n v="28"/>
    <n v="0.42"/>
    <s v="Desktop"/>
    <n v="0"/>
    <n v="1"/>
    <n v="0"/>
    <n v="4.99"/>
    <n v="0"/>
  </r>
  <r>
    <n v="839"/>
    <s v="Other"/>
    <n v="55"/>
    <x v="0"/>
    <x v="2"/>
    <n v="85"/>
    <n v="53"/>
    <n v="0.06"/>
    <s v="Mobile"/>
    <n v="0"/>
    <n v="1"/>
    <n v="0"/>
    <n v="9.99"/>
    <n v="0"/>
  </r>
  <r>
    <n v="840"/>
    <s v="Other"/>
    <n v="36"/>
    <x v="3"/>
    <x v="2"/>
    <n v="130"/>
    <n v="78"/>
    <n v="0.47"/>
    <s v="Mobile"/>
    <n v="0"/>
    <n v="1"/>
    <n v="1"/>
    <n v="9.99"/>
    <n v="9.99"/>
  </r>
  <r>
    <n v="841"/>
    <s v="Female"/>
    <n v="39"/>
    <x v="0"/>
    <x v="0"/>
    <n v="162"/>
    <n v="4"/>
    <n v="0.49"/>
    <s v="Web"/>
    <n v="5"/>
    <n v="0"/>
    <n v="0"/>
    <n v="0"/>
    <n v="0"/>
  </r>
  <r>
    <n v="842"/>
    <s v="Male"/>
    <n v="35"/>
    <x v="4"/>
    <x v="3"/>
    <n v="192"/>
    <n v="90"/>
    <n v="0.56000000000000005"/>
    <s v="Web"/>
    <n v="0"/>
    <n v="1"/>
    <n v="1"/>
    <n v="4.99"/>
    <n v="4.99"/>
  </r>
  <r>
    <n v="843"/>
    <s v="Male"/>
    <n v="22"/>
    <x v="3"/>
    <x v="2"/>
    <n v="80"/>
    <n v="58"/>
    <n v="0.18"/>
    <s v="Desktop"/>
    <n v="0"/>
    <n v="1"/>
    <n v="0"/>
    <n v="9.99"/>
    <n v="0"/>
  </r>
  <r>
    <n v="844"/>
    <s v="Other"/>
    <n v="45"/>
    <x v="5"/>
    <x v="1"/>
    <n v="13"/>
    <n v="44"/>
    <n v="0.12"/>
    <s v="Mobile"/>
    <n v="0"/>
    <n v="1"/>
    <n v="0"/>
    <n v="14.99"/>
    <n v="0"/>
  </r>
  <r>
    <n v="845"/>
    <s v="Other"/>
    <n v="30"/>
    <x v="5"/>
    <x v="2"/>
    <n v="45"/>
    <n v="61"/>
    <n v="0.34"/>
    <s v="Web"/>
    <n v="0"/>
    <n v="1"/>
    <n v="1"/>
    <n v="9.99"/>
    <n v="9.99"/>
  </r>
  <r>
    <n v="846"/>
    <s v="Female"/>
    <n v="51"/>
    <x v="2"/>
    <x v="1"/>
    <n v="71"/>
    <n v="95"/>
    <n v="0.18"/>
    <s v="Mobile"/>
    <n v="0"/>
    <n v="1"/>
    <n v="0"/>
    <n v="14.99"/>
    <n v="0"/>
  </r>
  <r>
    <n v="847"/>
    <s v="Other"/>
    <n v="44"/>
    <x v="5"/>
    <x v="1"/>
    <n v="84"/>
    <n v="83"/>
    <n v="0.04"/>
    <s v="Web"/>
    <n v="0"/>
    <n v="1"/>
    <n v="0"/>
    <n v="14.99"/>
    <n v="0"/>
  </r>
  <r>
    <n v="848"/>
    <s v="Male"/>
    <n v="39"/>
    <x v="5"/>
    <x v="3"/>
    <n v="226"/>
    <n v="92"/>
    <n v="0.04"/>
    <s v="Mobile"/>
    <n v="0"/>
    <n v="1"/>
    <n v="0"/>
    <n v="4.99"/>
    <n v="0"/>
  </r>
  <r>
    <n v="849"/>
    <s v="Other"/>
    <n v="46"/>
    <x v="4"/>
    <x v="2"/>
    <n v="74"/>
    <n v="66"/>
    <n v="0.02"/>
    <s v="Desktop"/>
    <n v="0"/>
    <n v="1"/>
    <n v="0"/>
    <n v="9.99"/>
    <n v="0"/>
  </r>
  <r>
    <n v="850"/>
    <s v="Other"/>
    <n v="20"/>
    <x v="4"/>
    <x v="1"/>
    <n v="22"/>
    <n v="58"/>
    <n v="0.03"/>
    <s v="Mobile"/>
    <n v="0"/>
    <n v="1"/>
    <n v="1"/>
    <n v="14.99"/>
    <n v="14.99"/>
  </r>
  <r>
    <n v="851"/>
    <s v="Other"/>
    <n v="32"/>
    <x v="4"/>
    <x v="3"/>
    <n v="106"/>
    <n v="8"/>
    <n v="0.52"/>
    <s v="Mobile"/>
    <n v="0"/>
    <n v="1"/>
    <n v="0"/>
    <n v="4.99"/>
    <n v="0"/>
  </r>
  <r>
    <n v="852"/>
    <s v="Other"/>
    <n v="18"/>
    <x v="4"/>
    <x v="1"/>
    <n v="174"/>
    <n v="49"/>
    <n v="0.56999999999999995"/>
    <s v="Mobile"/>
    <n v="0"/>
    <n v="1"/>
    <n v="0"/>
    <n v="14.99"/>
    <n v="0"/>
  </r>
  <r>
    <n v="853"/>
    <s v="Male"/>
    <n v="24"/>
    <x v="7"/>
    <x v="1"/>
    <n v="297"/>
    <n v="18"/>
    <n v="0.22"/>
    <s v="Web"/>
    <n v="0"/>
    <n v="1"/>
    <n v="0"/>
    <n v="14.99"/>
    <n v="0"/>
  </r>
  <r>
    <n v="854"/>
    <s v="Male"/>
    <n v="54"/>
    <x v="5"/>
    <x v="0"/>
    <n v="48"/>
    <n v="26"/>
    <n v="0.56000000000000005"/>
    <s v="Mobile"/>
    <n v="5"/>
    <n v="0"/>
    <n v="0"/>
    <n v="0"/>
    <n v="0"/>
  </r>
  <r>
    <n v="855"/>
    <s v="Female"/>
    <n v="40"/>
    <x v="0"/>
    <x v="0"/>
    <n v="89"/>
    <n v="5"/>
    <n v="0.39"/>
    <s v="Web"/>
    <n v="30"/>
    <n v="0"/>
    <n v="0"/>
    <n v="0"/>
    <n v="0"/>
  </r>
  <r>
    <n v="856"/>
    <s v="Female"/>
    <n v="59"/>
    <x v="3"/>
    <x v="2"/>
    <n v="204"/>
    <n v="47"/>
    <n v="0.11"/>
    <s v="Desktop"/>
    <n v="0"/>
    <n v="1"/>
    <n v="0"/>
    <n v="9.99"/>
    <n v="0"/>
  </r>
  <r>
    <n v="857"/>
    <s v="Male"/>
    <n v="41"/>
    <x v="3"/>
    <x v="2"/>
    <n v="286"/>
    <n v="61"/>
    <n v="0.02"/>
    <s v="Desktop"/>
    <n v="0"/>
    <n v="1"/>
    <n v="1"/>
    <n v="9.99"/>
    <n v="9.99"/>
  </r>
  <r>
    <n v="858"/>
    <s v="Other"/>
    <n v="38"/>
    <x v="3"/>
    <x v="2"/>
    <n v="163"/>
    <n v="54"/>
    <n v="0.42"/>
    <s v="Desktop"/>
    <n v="0"/>
    <n v="1"/>
    <n v="0"/>
    <n v="9.99"/>
    <n v="0"/>
  </r>
  <r>
    <n v="859"/>
    <s v="Male"/>
    <n v="41"/>
    <x v="7"/>
    <x v="2"/>
    <n v="95"/>
    <n v="13"/>
    <n v="0.23"/>
    <s v="Mobile"/>
    <n v="0"/>
    <n v="1"/>
    <n v="1"/>
    <n v="9.99"/>
    <n v="9.99"/>
  </r>
  <r>
    <n v="860"/>
    <s v="Male"/>
    <n v="30"/>
    <x v="4"/>
    <x v="2"/>
    <n v="14"/>
    <n v="88"/>
    <n v="0.03"/>
    <s v="Desktop"/>
    <n v="0"/>
    <n v="1"/>
    <n v="0"/>
    <n v="9.99"/>
    <n v="0"/>
  </r>
  <r>
    <n v="861"/>
    <s v="Male"/>
    <n v="46"/>
    <x v="2"/>
    <x v="3"/>
    <n v="252"/>
    <n v="60"/>
    <n v="0.31"/>
    <s v="Web"/>
    <n v="0"/>
    <n v="1"/>
    <n v="0"/>
    <n v="4.99"/>
    <n v="0"/>
  </r>
  <r>
    <n v="862"/>
    <s v="Female"/>
    <n v="44"/>
    <x v="7"/>
    <x v="3"/>
    <n v="196"/>
    <n v="6"/>
    <n v="0.28999999999999998"/>
    <s v="Desktop"/>
    <n v="0"/>
    <n v="1"/>
    <n v="0"/>
    <n v="4.99"/>
    <n v="0"/>
  </r>
  <r>
    <n v="863"/>
    <s v="Male"/>
    <n v="59"/>
    <x v="1"/>
    <x v="3"/>
    <n v="250"/>
    <n v="12"/>
    <n v="0.56000000000000005"/>
    <s v="Web"/>
    <n v="0"/>
    <n v="1"/>
    <n v="0"/>
    <n v="4.99"/>
    <n v="0"/>
  </r>
  <r>
    <n v="864"/>
    <s v="Female"/>
    <n v="53"/>
    <x v="1"/>
    <x v="1"/>
    <n v="299"/>
    <n v="67"/>
    <n v="0.38"/>
    <s v="Web"/>
    <n v="0"/>
    <n v="1"/>
    <n v="0"/>
    <n v="14.99"/>
    <n v="0"/>
  </r>
  <r>
    <n v="865"/>
    <s v="Male"/>
    <n v="26"/>
    <x v="2"/>
    <x v="3"/>
    <n v="18"/>
    <n v="12"/>
    <n v="0.38"/>
    <s v="Mobile"/>
    <n v="0"/>
    <n v="1"/>
    <n v="0"/>
    <n v="4.99"/>
    <n v="0"/>
  </r>
  <r>
    <n v="866"/>
    <s v="Male"/>
    <n v="44"/>
    <x v="4"/>
    <x v="0"/>
    <n v="58"/>
    <n v="61"/>
    <n v="0.26"/>
    <s v="Desktop"/>
    <n v="14"/>
    <n v="0"/>
    <n v="0"/>
    <n v="0"/>
    <n v="0"/>
  </r>
  <r>
    <n v="867"/>
    <s v="Male"/>
    <n v="35"/>
    <x v="6"/>
    <x v="1"/>
    <n v="73"/>
    <n v="7"/>
    <n v="0.12"/>
    <s v="Desktop"/>
    <n v="0"/>
    <n v="1"/>
    <n v="1"/>
    <n v="14.99"/>
    <n v="14.99"/>
  </r>
  <r>
    <n v="868"/>
    <s v="Male"/>
    <n v="33"/>
    <x v="1"/>
    <x v="0"/>
    <n v="239"/>
    <n v="17"/>
    <n v="0.25"/>
    <s v="Web"/>
    <n v="28"/>
    <n v="0"/>
    <n v="1"/>
    <n v="0"/>
    <n v="0"/>
  </r>
  <r>
    <n v="869"/>
    <s v="Female"/>
    <n v="53"/>
    <x v="0"/>
    <x v="3"/>
    <n v="107"/>
    <n v="38"/>
    <n v="0.36"/>
    <s v="Mobile"/>
    <n v="0"/>
    <n v="1"/>
    <n v="0"/>
    <n v="4.99"/>
    <n v="0"/>
  </r>
  <r>
    <n v="870"/>
    <s v="Female"/>
    <n v="27"/>
    <x v="0"/>
    <x v="0"/>
    <n v="230"/>
    <n v="13"/>
    <n v="0.24"/>
    <s v="Mobile"/>
    <n v="46"/>
    <n v="0"/>
    <n v="1"/>
    <n v="0"/>
    <n v="0"/>
  </r>
  <r>
    <n v="871"/>
    <s v="Male"/>
    <n v="24"/>
    <x v="6"/>
    <x v="0"/>
    <n v="119"/>
    <n v="67"/>
    <n v="0.08"/>
    <s v="Mobile"/>
    <n v="11"/>
    <n v="0"/>
    <n v="0"/>
    <n v="0"/>
    <n v="0"/>
  </r>
  <r>
    <n v="872"/>
    <s v="Male"/>
    <n v="29"/>
    <x v="3"/>
    <x v="3"/>
    <n v="296"/>
    <n v="56"/>
    <n v="0.12"/>
    <s v="Mobile"/>
    <n v="0"/>
    <n v="1"/>
    <n v="1"/>
    <n v="4.99"/>
    <n v="4.99"/>
  </r>
  <r>
    <n v="873"/>
    <s v="Other"/>
    <n v="49"/>
    <x v="3"/>
    <x v="0"/>
    <n v="132"/>
    <n v="31"/>
    <n v="0.22"/>
    <s v="Desktop"/>
    <n v="6"/>
    <n v="0"/>
    <n v="0"/>
    <n v="0"/>
    <n v="0"/>
  </r>
  <r>
    <n v="874"/>
    <s v="Male"/>
    <n v="52"/>
    <x v="0"/>
    <x v="0"/>
    <n v="251"/>
    <n v="30"/>
    <n v="0.28999999999999998"/>
    <s v="Desktop"/>
    <n v="37"/>
    <n v="0"/>
    <n v="0"/>
    <n v="0"/>
    <n v="0"/>
  </r>
  <r>
    <n v="875"/>
    <s v="Male"/>
    <n v="38"/>
    <x v="1"/>
    <x v="2"/>
    <n v="276"/>
    <n v="32"/>
    <n v="0.35"/>
    <s v="Mobile"/>
    <n v="0"/>
    <n v="1"/>
    <n v="0"/>
    <n v="9.99"/>
    <n v="0"/>
  </r>
  <r>
    <n v="876"/>
    <s v="Female"/>
    <n v="37"/>
    <x v="5"/>
    <x v="2"/>
    <n v="180"/>
    <n v="40"/>
    <n v="0.28000000000000003"/>
    <s v="Web"/>
    <n v="0"/>
    <n v="1"/>
    <n v="0"/>
    <n v="9.99"/>
    <n v="0"/>
  </r>
  <r>
    <n v="877"/>
    <s v="Female"/>
    <n v="25"/>
    <x v="2"/>
    <x v="2"/>
    <n v="63"/>
    <n v="37"/>
    <n v="0.15"/>
    <s v="Desktop"/>
    <n v="0"/>
    <n v="1"/>
    <n v="1"/>
    <n v="9.99"/>
    <n v="9.99"/>
  </r>
  <r>
    <n v="878"/>
    <s v="Female"/>
    <n v="45"/>
    <x v="7"/>
    <x v="0"/>
    <n v="221"/>
    <n v="6"/>
    <n v="0.48"/>
    <s v="Mobile"/>
    <n v="21"/>
    <n v="0"/>
    <n v="1"/>
    <n v="0"/>
    <n v="0"/>
  </r>
  <r>
    <n v="879"/>
    <s v="Other"/>
    <n v="27"/>
    <x v="7"/>
    <x v="3"/>
    <n v="235"/>
    <n v="78"/>
    <n v="0.6"/>
    <s v="Web"/>
    <n v="0"/>
    <n v="1"/>
    <n v="1"/>
    <n v="4.99"/>
    <n v="4.99"/>
  </r>
  <r>
    <n v="880"/>
    <s v="Female"/>
    <n v="50"/>
    <x v="6"/>
    <x v="2"/>
    <n v="207"/>
    <n v="5"/>
    <n v="0.3"/>
    <s v="Desktop"/>
    <n v="0"/>
    <n v="1"/>
    <n v="0"/>
    <n v="9.99"/>
    <n v="0"/>
  </r>
  <r>
    <n v="881"/>
    <s v="Other"/>
    <n v="58"/>
    <x v="4"/>
    <x v="3"/>
    <n v="171"/>
    <n v="78"/>
    <n v="0.19"/>
    <s v="Mobile"/>
    <n v="0"/>
    <n v="1"/>
    <n v="0"/>
    <n v="4.99"/>
    <n v="0"/>
  </r>
  <r>
    <n v="882"/>
    <s v="Male"/>
    <n v="32"/>
    <x v="6"/>
    <x v="1"/>
    <n v="108"/>
    <n v="52"/>
    <n v="0.11"/>
    <s v="Mobile"/>
    <n v="0"/>
    <n v="1"/>
    <n v="1"/>
    <n v="14.99"/>
    <n v="14.99"/>
  </r>
  <r>
    <n v="883"/>
    <s v="Female"/>
    <n v="44"/>
    <x v="6"/>
    <x v="3"/>
    <n v="119"/>
    <n v="51"/>
    <n v="0.1"/>
    <s v="Web"/>
    <n v="0"/>
    <n v="1"/>
    <n v="0"/>
    <n v="4.99"/>
    <n v="0"/>
  </r>
  <r>
    <n v="884"/>
    <s v="Male"/>
    <n v="41"/>
    <x v="4"/>
    <x v="2"/>
    <n v="187"/>
    <n v="13"/>
    <n v="0.42"/>
    <s v="Mobile"/>
    <n v="0"/>
    <n v="1"/>
    <n v="0"/>
    <n v="9.99"/>
    <n v="0"/>
  </r>
  <r>
    <n v="885"/>
    <s v="Male"/>
    <n v="22"/>
    <x v="5"/>
    <x v="1"/>
    <n v="140"/>
    <n v="52"/>
    <n v="0.36"/>
    <s v="Desktop"/>
    <n v="0"/>
    <n v="1"/>
    <n v="0"/>
    <n v="14.99"/>
    <n v="0"/>
  </r>
  <r>
    <n v="886"/>
    <s v="Male"/>
    <n v="59"/>
    <x v="2"/>
    <x v="0"/>
    <n v="51"/>
    <n v="99"/>
    <n v="0.55000000000000004"/>
    <s v="Web"/>
    <n v="8"/>
    <n v="0"/>
    <n v="1"/>
    <n v="0"/>
    <n v="0"/>
  </r>
  <r>
    <n v="887"/>
    <s v="Male"/>
    <n v="38"/>
    <x v="4"/>
    <x v="2"/>
    <n v="224"/>
    <n v="78"/>
    <n v="0.23"/>
    <s v="Desktop"/>
    <n v="0"/>
    <n v="1"/>
    <n v="1"/>
    <n v="9.99"/>
    <n v="9.99"/>
  </r>
  <r>
    <n v="888"/>
    <s v="Other"/>
    <n v="38"/>
    <x v="0"/>
    <x v="2"/>
    <n v="111"/>
    <n v="49"/>
    <n v="0.12"/>
    <s v="Desktop"/>
    <n v="0"/>
    <n v="1"/>
    <n v="0"/>
    <n v="9.99"/>
    <n v="0"/>
  </r>
  <r>
    <n v="889"/>
    <s v="Other"/>
    <n v="59"/>
    <x v="2"/>
    <x v="2"/>
    <n v="253"/>
    <n v="19"/>
    <n v="0.18"/>
    <s v="Desktop"/>
    <n v="0"/>
    <n v="1"/>
    <n v="0"/>
    <n v="9.99"/>
    <n v="0"/>
  </r>
  <r>
    <n v="890"/>
    <s v="Female"/>
    <n v="48"/>
    <x v="6"/>
    <x v="0"/>
    <n v="246"/>
    <n v="27"/>
    <n v="0.41"/>
    <s v="Web"/>
    <n v="24"/>
    <n v="0"/>
    <n v="0"/>
    <n v="0"/>
    <n v="0"/>
  </r>
  <r>
    <n v="891"/>
    <s v="Other"/>
    <n v="28"/>
    <x v="6"/>
    <x v="0"/>
    <n v="26"/>
    <n v="59"/>
    <n v="0.25"/>
    <s v="Desktop"/>
    <n v="5"/>
    <n v="0"/>
    <n v="0"/>
    <n v="0"/>
    <n v="0"/>
  </r>
  <r>
    <n v="892"/>
    <s v="Female"/>
    <n v="48"/>
    <x v="5"/>
    <x v="0"/>
    <n v="134"/>
    <n v="79"/>
    <n v="0.16"/>
    <s v="Mobile"/>
    <n v="31"/>
    <n v="0"/>
    <n v="0"/>
    <n v="0"/>
    <n v="0"/>
  </r>
  <r>
    <n v="893"/>
    <s v="Male"/>
    <n v="37"/>
    <x v="1"/>
    <x v="3"/>
    <n v="113"/>
    <n v="50"/>
    <n v="0.51"/>
    <s v="Web"/>
    <n v="0"/>
    <n v="1"/>
    <n v="0"/>
    <n v="4.99"/>
    <n v="0"/>
  </r>
  <r>
    <n v="894"/>
    <s v="Female"/>
    <n v="33"/>
    <x v="4"/>
    <x v="0"/>
    <n v="288"/>
    <n v="13"/>
    <n v="0.59"/>
    <s v="Desktop"/>
    <n v="39"/>
    <n v="0"/>
    <n v="1"/>
    <n v="0"/>
    <n v="0"/>
  </r>
  <r>
    <n v="895"/>
    <s v="Female"/>
    <n v="40"/>
    <x v="0"/>
    <x v="1"/>
    <n v="266"/>
    <n v="71"/>
    <n v="0.31"/>
    <s v="Web"/>
    <n v="0"/>
    <n v="1"/>
    <n v="0"/>
    <n v="14.99"/>
    <n v="0"/>
  </r>
  <r>
    <n v="896"/>
    <s v="Other"/>
    <n v="42"/>
    <x v="2"/>
    <x v="2"/>
    <n v="214"/>
    <n v="25"/>
    <n v="0.3"/>
    <s v="Desktop"/>
    <n v="0"/>
    <n v="1"/>
    <n v="0"/>
    <n v="9.99"/>
    <n v="0"/>
  </r>
  <r>
    <n v="897"/>
    <s v="Male"/>
    <n v="20"/>
    <x v="5"/>
    <x v="3"/>
    <n v="247"/>
    <n v="87"/>
    <n v="0.14000000000000001"/>
    <s v="Web"/>
    <n v="0"/>
    <n v="1"/>
    <n v="0"/>
    <n v="4.99"/>
    <n v="0"/>
  </r>
  <r>
    <n v="898"/>
    <s v="Other"/>
    <n v="49"/>
    <x v="7"/>
    <x v="3"/>
    <n v="236"/>
    <n v="9"/>
    <n v="0.6"/>
    <s v="Web"/>
    <n v="0"/>
    <n v="1"/>
    <n v="1"/>
    <n v="4.99"/>
    <n v="4.99"/>
  </r>
  <r>
    <n v="899"/>
    <s v="Female"/>
    <n v="46"/>
    <x v="6"/>
    <x v="1"/>
    <n v="217"/>
    <n v="42"/>
    <n v="0.13"/>
    <s v="Mobile"/>
    <n v="0"/>
    <n v="1"/>
    <n v="0"/>
    <n v="14.99"/>
    <n v="0"/>
  </r>
  <r>
    <n v="900"/>
    <s v="Other"/>
    <n v="28"/>
    <x v="2"/>
    <x v="3"/>
    <n v="33"/>
    <n v="67"/>
    <n v="0.12"/>
    <s v="Desktop"/>
    <n v="0"/>
    <n v="1"/>
    <n v="1"/>
    <n v="4.99"/>
    <n v="4.99"/>
  </r>
  <r>
    <n v="901"/>
    <s v="Female"/>
    <n v="59"/>
    <x v="4"/>
    <x v="2"/>
    <n v="118"/>
    <n v="50"/>
    <n v="0.26"/>
    <s v="Desktop"/>
    <n v="0"/>
    <n v="1"/>
    <n v="0"/>
    <n v="9.99"/>
    <n v="0"/>
  </r>
  <r>
    <n v="902"/>
    <s v="Female"/>
    <n v="46"/>
    <x v="3"/>
    <x v="2"/>
    <n v="50"/>
    <n v="82"/>
    <n v="0.14000000000000001"/>
    <s v="Web"/>
    <n v="0"/>
    <n v="1"/>
    <n v="0"/>
    <n v="9.99"/>
    <n v="0"/>
  </r>
  <r>
    <n v="903"/>
    <s v="Female"/>
    <n v="57"/>
    <x v="6"/>
    <x v="0"/>
    <n v="206"/>
    <n v="97"/>
    <n v="0.39"/>
    <s v="Desktop"/>
    <n v="38"/>
    <n v="0"/>
    <n v="1"/>
    <n v="0"/>
    <n v="0"/>
  </r>
  <r>
    <n v="904"/>
    <s v="Female"/>
    <n v="35"/>
    <x v="2"/>
    <x v="1"/>
    <n v="149"/>
    <n v="17"/>
    <n v="0.12"/>
    <s v="Mobile"/>
    <n v="0"/>
    <n v="1"/>
    <n v="0"/>
    <n v="14.99"/>
    <n v="0"/>
  </r>
  <r>
    <n v="905"/>
    <s v="Female"/>
    <n v="43"/>
    <x v="5"/>
    <x v="3"/>
    <n v="273"/>
    <n v="12"/>
    <n v="0.31"/>
    <s v="Mobile"/>
    <n v="0"/>
    <n v="1"/>
    <n v="1"/>
    <n v="4.99"/>
    <n v="4.99"/>
  </r>
  <r>
    <n v="906"/>
    <s v="Male"/>
    <n v="16"/>
    <x v="0"/>
    <x v="0"/>
    <n v="183"/>
    <n v="71"/>
    <n v="0.1"/>
    <s v="Mobile"/>
    <n v="22"/>
    <n v="0"/>
    <n v="0"/>
    <n v="0"/>
    <n v="0"/>
  </r>
  <r>
    <n v="907"/>
    <s v="Male"/>
    <n v="57"/>
    <x v="5"/>
    <x v="0"/>
    <n v="212"/>
    <n v="90"/>
    <n v="0.22"/>
    <s v="Mobile"/>
    <n v="14"/>
    <n v="0"/>
    <n v="0"/>
    <n v="0"/>
    <n v="0"/>
  </r>
  <r>
    <n v="908"/>
    <s v="Female"/>
    <n v="55"/>
    <x v="0"/>
    <x v="2"/>
    <n v="63"/>
    <n v="75"/>
    <n v="0.46"/>
    <s v="Mobile"/>
    <n v="0"/>
    <n v="1"/>
    <n v="1"/>
    <n v="9.99"/>
    <n v="9.99"/>
  </r>
  <r>
    <n v="909"/>
    <s v="Female"/>
    <n v="50"/>
    <x v="3"/>
    <x v="0"/>
    <n v="210"/>
    <n v="48"/>
    <n v="0.25"/>
    <s v="Desktop"/>
    <n v="21"/>
    <n v="0"/>
    <n v="0"/>
    <n v="0"/>
    <n v="0"/>
  </r>
  <r>
    <n v="910"/>
    <s v="Male"/>
    <n v="29"/>
    <x v="7"/>
    <x v="0"/>
    <n v="128"/>
    <n v="5"/>
    <n v="0.25"/>
    <s v="Web"/>
    <n v="7"/>
    <n v="0"/>
    <n v="0"/>
    <n v="0"/>
    <n v="0"/>
  </r>
  <r>
    <n v="911"/>
    <s v="Other"/>
    <n v="16"/>
    <x v="7"/>
    <x v="2"/>
    <n v="114"/>
    <n v="27"/>
    <n v="0.44"/>
    <s v="Desktop"/>
    <n v="0"/>
    <n v="1"/>
    <n v="0"/>
    <n v="9.99"/>
    <n v="0"/>
  </r>
  <r>
    <n v="912"/>
    <s v="Other"/>
    <n v="56"/>
    <x v="7"/>
    <x v="1"/>
    <n v="138"/>
    <n v="47"/>
    <n v="0.56000000000000005"/>
    <s v="Desktop"/>
    <n v="0"/>
    <n v="1"/>
    <n v="1"/>
    <n v="14.99"/>
    <n v="14.99"/>
  </r>
  <r>
    <n v="913"/>
    <s v="Female"/>
    <n v="59"/>
    <x v="1"/>
    <x v="3"/>
    <n v="233"/>
    <n v="57"/>
    <n v="0.59"/>
    <s v="Web"/>
    <n v="0"/>
    <n v="1"/>
    <n v="0"/>
    <n v="4.99"/>
    <n v="0"/>
  </r>
  <r>
    <n v="914"/>
    <s v="Male"/>
    <n v="45"/>
    <x v="7"/>
    <x v="0"/>
    <n v="254"/>
    <n v="75"/>
    <n v="0.56000000000000005"/>
    <s v="Web"/>
    <n v="31"/>
    <n v="0"/>
    <n v="0"/>
    <n v="0"/>
    <n v="0"/>
  </r>
  <r>
    <n v="915"/>
    <s v="Female"/>
    <n v="53"/>
    <x v="4"/>
    <x v="3"/>
    <n v="270"/>
    <n v="29"/>
    <n v="0.13"/>
    <s v="Web"/>
    <n v="0"/>
    <n v="1"/>
    <n v="0"/>
    <n v="4.99"/>
    <n v="0"/>
  </r>
  <r>
    <n v="916"/>
    <s v="Female"/>
    <n v="34"/>
    <x v="2"/>
    <x v="2"/>
    <n v="267"/>
    <n v="26"/>
    <n v="0.21"/>
    <s v="Mobile"/>
    <n v="0"/>
    <n v="1"/>
    <n v="1"/>
    <n v="9.99"/>
    <n v="9.99"/>
  </r>
  <r>
    <n v="917"/>
    <s v="Other"/>
    <n v="20"/>
    <x v="2"/>
    <x v="1"/>
    <n v="160"/>
    <n v="16"/>
    <n v="0.5"/>
    <s v="Mobile"/>
    <n v="0"/>
    <n v="1"/>
    <n v="1"/>
    <n v="14.99"/>
    <n v="14.99"/>
  </r>
  <r>
    <n v="918"/>
    <s v="Male"/>
    <n v="32"/>
    <x v="1"/>
    <x v="2"/>
    <n v="271"/>
    <n v="34"/>
    <n v="0.28000000000000003"/>
    <s v="Web"/>
    <n v="0"/>
    <n v="1"/>
    <n v="1"/>
    <n v="9.99"/>
    <n v="9.99"/>
  </r>
  <r>
    <n v="919"/>
    <s v="Other"/>
    <n v="20"/>
    <x v="2"/>
    <x v="0"/>
    <n v="170"/>
    <n v="8"/>
    <n v="0.28999999999999998"/>
    <s v="Desktop"/>
    <n v="46"/>
    <n v="0"/>
    <n v="0"/>
    <n v="0"/>
    <n v="0"/>
  </r>
  <r>
    <n v="920"/>
    <s v="Female"/>
    <n v="47"/>
    <x v="2"/>
    <x v="0"/>
    <n v="208"/>
    <n v="49"/>
    <n v="0.3"/>
    <s v="Mobile"/>
    <n v="45"/>
    <n v="0"/>
    <n v="0"/>
    <n v="0"/>
    <n v="0"/>
  </r>
  <r>
    <n v="921"/>
    <s v="Other"/>
    <n v="22"/>
    <x v="0"/>
    <x v="2"/>
    <n v="224"/>
    <n v="99"/>
    <n v="0.3"/>
    <s v="Web"/>
    <n v="0"/>
    <n v="1"/>
    <n v="1"/>
    <n v="9.99"/>
    <n v="9.99"/>
  </r>
  <r>
    <n v="922"/>
    <s v="Male"/>
    <n v="27"/>
    <x v="1"/>
    <x v="3"/>
    <n v="275"/>
    <n v="34"/>
    <n v="0.13"/>
    <s v="Mobile"/>
    <n v="0"/>
    <n v="1"/>
    <n v="0"/>
    <n v="4.99"/>
    <n v="0"/>
  </r>
  <r>
    <n v="923"/>
    <s v="Male"/>
    <n v="48"/>
    <x v="3"/>
    <x v="0"/>
    <n v="243"/>
    <n v="48"/>
    <n v="0.6"/>
    <s v="Desktop"/>
    <n v="33"/>
    <n v="0"/>
    <n v="1"/>
    <n v="0"/>
    <n v="0"/>
  </r>
  <r>
    <n v="924"/>
    <s v="Male"/>
    <n v="34"/>
    <x v="4"/>
    <x v="1"/>
    <n v="221"/>
    <n v="45"/>
    <n v="0.49"/>
    <s v="Desktop"/>
    <n v="0"/>
    <n v="1"/>
    <n v="0"/>
    <n v="14.99"/>
    <n v="0"/>
  </r>
  <r>
    <n v="925"/>
    <s v="Other"/>
    <n v="47"/>
    <x v="1"/>
    <x v="0"/>
    <n v="271"/>
    <n v="94"/>
    <n v="0.52"/>
    <s v="Desktop"/>
    <n v="31"/>
    <n v="0"/>
    <n v="1"/>
    <n v="0"/>
    <n v="0"/>
  </r>
  <r>
    <n v="926"/>
    <s v="Female"/>
    <n v="24"/>
    <x v="0"/>
    <x v="2"/>
    <n v="275"/>
    <n v="23"/>
    <n v="0.25"/>
    <s v="Web"/>
    <n v="0"/>
    <n v="1"/>
    <n v="0"/>
    <n v="9.99"/>
    <n v="0"/>
  </r>
  <r>
    <n v="927"/>
    <s v="Male"/>
    <n v="53"/>
    <x v="0"/>
    <x v="2"/>
    <n v="269"/>
    <n v="43"/>
    <n v="0.19"/>
    <s v="Web"/>
    <n v="0"/>
    <n v="1"/>
    <n v="0"/>
    <n v="9.99"/>
    <n v="0"/>
  </r>
  <r>
    <n v="928"/>
    <s v="Male"/>
    <n v="36"/>
    <x v="6"/>
    <x v="3"/>
    <n v="236"/>
    <n v="70"/>
    <n v="0.02"/>
    <s v="Web"/>
    <n v="0"/>
    <n v="1"/>
    <n v="1"/>
    <n v="4.99"/>
    <n v="4.99"/>
  </r>
  <r>
    <n v="929"/>
    <s v="Female"/>
    <n v="45"/>
    <x v="6"/>
    <x v="2"/>
    <n v="246"/>
    <n v="52"/>
    <n v="0.35"/>
    <s v="Desktop"/>
    <n v="0"/>
    <n v="1"/>
    <n v="0"/>
    <n v="9.99"/>
    <n v="0"/>
  </r>
  <r>
    <n v="930"/>
    <s v="Female"/>
    <n v="30"/>
    <x v="5"/>
    <x v="1"/>
    <n v="222"/>
    <n v="13"/>
    <n v="0.31"/>
    <s v="Web"/>
    <n v="0"/>
    <n v="1"/>
    <n v="0"/>
    <n v="14.99"/>
    <n v="0"/>
  </r>
  <r>
    <n v="931"/>
    <s v="Female"/>
    <n v="53"/>
    <x v="2"/>
    <x v="1"/>
    <n v="112"/>
    <n v="24"/>
    <n v="0.48"/>
    <s v="Web"/>
    <n v="0"/>
    <n v="1"/>
    <n v="1"/>
    <n v="14.99"/>
    <n v="14.99"/>
  </r>
  <r>
    <n v="932"/>
    <s v="Other"/>
    <n v="33"/>
    <x v="3"/>
    <x v="2"/>
    <n v="18"/>
    <n v="73"/>
    <n v="0.22"/>
    <s v="Mobile"/>
    <n v="0"/>
    <n v="1"/>
    <n v="0"/>
    <n v="9.99"/>
    <n v="0"/>
  </r>
  <r>
    <n v="933"/>
    <s v="Female"/>
    <n v="52"/>
    <x v="3"/>
    <x v="2"/>
    <n v="109"/>
    <n v="11"/>
    <n v="0.2"/>
    <s v="Web"/>
    <n v="0"/>
    <n v="1"/>
    <n v="0"/>
    <n v="9.99"/>
    <n v="0"/>
  </r>
  <r>
    <n v="934"/>
    <s v="Female"/>
    <n v="29"/>
    <x v="3"/>
    <x v="3"/>
    <n v="246"/>
    <n v="2"/>
    <n v="0.23"/>
    <s v="Web"/>
    <n v="0"/>
    <n v="1"/>
    <n v="0"/>
    <n v="4.99"/>
    <n v="0"/>
  </r>
  <r>
    <n v="935"/>
    <s v="Male"/>
    <n v="51"/>
    <x v="4"/>
    <x v="2"/>
    <n v="102"/>
    <n v="50"/>
    <n v="0.48"/>
    <s v="Desktop"/>
    <n v="0"/>
    <n v="1"/>
    <n v="0"/>
    <n v="9.99"/>
    <n v="0"/>
  </r>
  <r>
    <n v="936"/>
    <s v="Female"/>
    <n v="42"/>
    <x v="1"/>
    <x v="3"/>
    <n v="180"/>
    <n v="63"/>
    <n v="0.56999999999999995"/>
    <s v="Web"/>
    <n v="0"/>
    <n v="1"/>
    <n v="0"/>
    <n v="4.99"/>
    <n v="0"/>
  </r>
  <r>
    <n v="937"/>
    <s v="Female"/>
    <n v="30"/>
    <x v="7"/>
    <x v="1"/>
    <n v="16"/>
    <n v="51"/>
    <n v="0.41"/>
    <s v="Desktop"/>
    <n v="0"/>
    <n v="1"/>
    <n v="0"/>
    <n v="14.99"/>
    <n v="0"/>
  </r>
  <r>
    <n v="938"/>
    <s v="Other"/>
    <n v="25"/>
    <x v="3"/>
    <x v="1"/>
    <n v="155"/>
    <n v="98"/>
    <n v="0.48"/>
    <s v="Mobile"/>
    <n v="0"/>
    <n v="1"/>
    <n v="1"/>
    <n v="14.99"/>
    <n v="14.99"/>
  </r>
  <r>
    <n v="939"/>
    <s v="Other"/>
    <n v="48"/>
    <x v="4"/>
    <x v="0"/>
    <n v="287"/>
    <n v="79"/>
    <n v="0.13"/>
    <s v="Desktop"/>
    <n v="24"/>
    <n v="0"/>
    <n v="1"/>
    <n v="0"/>
    <n v="0"/>
  </r>
  <r>
    <n v="940"/>
    <s v="Other"/>
    <n v="28"/>
    <x v="3"/>
    <x v="0"/>
    <n v="67"/>
    <n v="67"/>
    <n v="0.13"/>
    <s v="Web"/>
    <n v="44"/>
    <n v="0"/>
    <n v="0"/>
    <n v="0"/>
    <n v="0"/>
  </r>
  <r>
    <n v="941"/>
    <s v="Male"/>
    <n v="46"/>
    <x v="1"/>
    <x v="3"/>
    <n v="241"/>
    <n v="7"/>
    <n v="0.14000000000000001"/>
    <s v="Web"/>
    <n v="0"/>
    <n v="1"/>
    <n v="0"/>
    <n v="4.99"/>
    <n v="0"/>
  </r>
  <r>
    <n v="942"/>
    <s v="Female"/>
    <n v="48"/>
    <x v="3"/>
    <x v="2"/>
    <n v="105"/>
    <n v="13"/>
    <n v="0.28999999999999998"/>
    <s v="Desktop"/>
    <n v="0"/>
    <n v="1"/>
    <n v="0"/>
    <n v="9.99"/>
    <n v="0"/>
  </r>
  <r>
    <n v="943"/>
    <s v="Other"/>
    <n v="35"/>
    <x v="1"/>
    <x v="1"/>
    <n v="65"/>
    <n v="83"/>
    <n v="0.08"/>
    <s v="Web"/>
    <n v="0"/>
    <n v="1"/>
    <n v="0"/>
    <n v="14.99"/>
    <n v="0"/>
  </r>
  <r>
    <n v="944"/>
    <s v="Other"/>
    <n v="55"/>
    <x v="4"/>
    <x v="2"/>
    <n v="102"/>
    <n v="60"/>
    <n v="0.59"/>
    <s v="Web"/>
    <n v="0"/>
    <n v="1"/>
    <n v="1"/>
    <n v="9.99"/>
    <n v="9.99"/>
  </r>
  <r>
    <n v="945"/>
    <s v="Male"/>
    <n v="50"/>
    <x v="3"/>
    <x v="3"/>
    <n v="198"/>
    <n v="81"/>
    <n v="0.49"/>
    <s v="Desktop"/>
    <n v="0"/>
    <n v="1"/>
    <n v="0"/>
    <n v="4.99"/>
    <n v="0"/>
  </r>
  <r>
    <n v="946"/>
    <s v="Female"/>
    <n v="16"/>
    <x v="0"/>
    <x v="3"/>
    <n v="156"/>
    <n v="16"/>
    <n v="0.14000000000000001"/>
    <s v="Mobile"/>
    <n v="0"/>
    <n v="1"/>
    <n v="0"/>
    <n v="4.99"/>
    <n v="0"/>
  </r>
  <r>
    <n v="947"/>
    <s v="Male"/>
    <n v="28"/>
    <x v="6"/>
    <x v="2"/>
    <n v="266"/>
    <n v="51"/>
    <n v="0.32"/>
    <s v="Mobile"/>
    <n v="0"/>
    <n v="1"/>
    <n v="1"/>
    <n v="9.99"/>
    <n v="9.99"/>
  </r>
  <r>
    <n v="948"/>
    <s v="Male"/>
    <n v="31"/>
    <x v="2"/>
    <x v="3"/>
    <n v="33"/>
    <n v="21"/>
    <n v="0.16"/>
    <s v="Web"/>
    <n v="0"/>
    <n v="1"/>
    <n v="1"/>
    <n v="4.99"/>
    <n v="4.99"/>
  </r>
  <r>
    <n v="949"/>
    <s v="Male"/>
    <n v="36"/>
    <x v="1"/>
    <x v="2"/>
    <n v="42"/>
    <n v="79"/>
    <n v="0.51"/>
    <s v="Mobile"/>
    <n v="0"/>
    <n v="1"/>
    <n v="0"/>
    <n v="9.99"/>
    <n v="0"/>
  </r>
  <r>
    <n v="950"/>
    <s v="Female"/>
    <n v="19"/>
    <x v="7"/>
    <x v="1"/>
    <n v="34"/>
    <n v="18"/>
    <n v="0.06"/>
    <s v="Mobile"/>
    <n v="0"/>
    <n v="1"/>
    <n v="0"/>
    <n v="14.99"/>
    <n v="0"/>
  </r>
  <r>
    <n v="951"/>
    <s v="Male"/>
    <n v="50"/>
    <x v="3"/>
    <x v="3"/>
    <n v="234"/>
    <n v="90"/>
    <n v="0.13"/>
    <s v="Mobile"/>
    <n v="0"/>
    <n v="1"/>
    <n v="1"/>
    <n v="4.99"/>
    <n v="4.99"/>
  </r>
  <r>
    <n v="952"/>
    <s v="Male"/>
    <n v="33"/>
    <x v="0"/>
    <x v="1"/>
    <n v="44"/>
    <n v="40"/>
    <n v="0.01"/>
    <s v="Desktop"/>
    <n v="0"/>
    <n v="1"/>
    <n v="0"/>
    <n v="14.99"/>
    <n v="0"/>
  </r>
  <r>
    <n v="953"/>
    <s v="Other"/>
    <n v="35"/>
    <x v="1"/>
    <x v="1"/>
    <n v="273"/>
    <n v="50"/>
    <n v="0.36"/>
    <s v="Desktop"/>
    <n v="0"/>
    <n v="1"/>
    <n v="0"/>
    <n v="14.99"/>
    <n v="0"/>
  </r>
  <r>
    <n v="954"/>
    <s v="Other"/>
    <n v="21"/>
    <x v="7"/>
    <x v="1"/>
    <n v="28"/>
    <n v="82"/>
    <n v="0.06"/>
    <s v="Desktop"/>
    <n v="0"/>
    <n v="1"/>
    <n v="0"/>
    <n v="14.99"/>
    <n v="0"/>
  </r>
  <r>
    <n v="955"/>
    <s v="Other"/>
    <n v="17"/>
    <x v="6"/>
    <x v="3"/>
    <n v="46"/>
    <n v="17"/>
    <n v="0.17"/>
    <s v="Mobile"/>
    <n v="0"/>
    <n v="1"/>
    <n v="0"/>
    <n v="4.99"/>
    <n v="0"/>
  </r>
  <r>
    <n v="956"/>
    <s v="Male"/>
    <n v="19"/>
    <x v="7"/>
    <x v="1"/>
    <n v="291"/>
    <n v="5"/>
    <n v="0.1"/>
    <s v="Mobile"/>
    <n v="0"/>
    <n v="1"/>
    <n v="1"/>
    <n v="14.99"/>
    <n v="14.99"/>
  </r>
  <r>
    <n v="957"/>
    <s v="Other"/>
    <n v="33"/>
    <x v="2"/>
    <x v="1"/>
    <n v="174"/>
    <n v="74"/>
    <n v="0.16"/>
    <s v="Web"/>
    <n v="0"/>
    <n v="1"/>
    <n v="1"/>
    <n v="14.99"/>
    <n v="14.99"/>
  </r>
  <r>
    <n v="958"/>
    <s v="Male"/>
    <n v="36"/>
    <x v="2"/>
    <x v="1"/>
    <n v="255"/>
    <n v="92"/>
    <n v="0.44"/>
    <s v="Desktop"/>
    <n v="0"/>
    <n v="1"/>
    <n v="0"/>
    <n v="14.99"/>
    <n v="0"/>
  </r>
  <r>
    <n v="959"/>
    <s v="Other"/>
    <n v="50"/>
    <x v="2"/>
    <x v="2"/>
    <n v="157"/>
    <n v="32"/>
    <n v="0.42"/>
    <s v="Desktop"/>
    <n v="0"/>
    <n v="1"/>
    <n v="0"/>
    <n v="9.99"/>
    <n v="0"/>
  </r>
  <r>
    <n v="960"/>
    <s v="Male"/>
    <n v="54"/>
    <x v="1"/>
    <x v="1"/>
    <n v="281"/>
    <n v="16"/>
    <n v="0.36"/>
    <s v="Web"/>
    <n v="0"/>
    <n v="1"/>
    <n v="0"/>
    <n v="14.99"/>
    <n v="0"/>
  </r>
  <r>
    <n v="961"/>
    <s v="Male"/>
    <n v="36"/>
    <x v="6"/>
    <x v="0"/>
    <n v="102"/>
    <n v="71"/>
    <n v="0.34"/>
    <s v="Web"/>
    <n v="20"/>
    <n v="0"/>
    <n v="0"/>
    <n v="0"/>
    <n v="0"/>
  </r>
  <r>
    <n v="962"/>
    <s v="Female"/>
    <n v="49"/>
    <x v="6"/>
    <x v="2"/>
    <n v="184"/>
    <n v="33"/>
    <n v="0.35"/>
    <s v="Desktop"/>
    <n v="0"/>
    <n v="1"/>
    <n v="0"/>
    <n v="9.99"/>
    <n v="0"/>
  </r>
  <r>
    <n v="963"/>
    <s v="Female"/>
    <n v="35"/>
    <x v="0"/>
    <x v="2"/>
    <n v="173"/>
    <n v="48"/>
    <n v="0.56999999999999995"/>
    <s v="Web"/>
    <n v="0"/>
    <n v="1"/>
    <n v="0"/>
    <n v="9.99"/>
    <n v="0"/>
  </r>
  <r>
    <n v="964"/>
    <s v="Female"/>
    <n v="53"/>
    <x v="0"/>
    <x v="0"/>
    <n v="266"/>
    <n v="33"/>
    <n v="0.23"/>
    <s v="Desktop"/>
    <n v="32"/>
    <n v="0"/>
    <n v="1"/>
    <n v="0"/>
    <n v="0"/>
  </r>
  <r>
    <n v="965"/>
    <s v="Male"/>
    <n v="55"/>
    <x v="1"/>
    <x v="0"/>
    <n v="236"/>
    <n v="34"/>
    <n v="0.38"/>
    <s v="Mobile"/>
    <n v="47"/>
    <n v="0"/>
    <n v="0"/>
    <n v="0"/>
    <n v="0"/>
  </r>
  <r>
    <n v="966"/>
    <s v="Female"/>
    <n v="36"/>
    <x v="4"/>
    <x v="3"/>
    <n v="35"/>
    <n v="82"/>
    <n v="0.2"/>
    <s v="Web"/>
    <n v="0"/>
    <n v="1"/>
    <n v="0"/>
    <n v="4.99"/>
    <n v="0"/>
  </r>
  <r>
    <n v="967"/>
    <s v="Female"/>
    <n v="47"/>
    <x v="7"/>
    <x v="1"/>
    <n v="192"/>
    <n v="18"/>
    <n v="0.54"/>
    <s v="Web"/>
    <n v="0"/>
    <n v="1"/>
    <n v="1"/>
    <n v="14.99"/>
    <n v="14.99"/>
  </r>
  <r>
    <n v="968"/>
    <s v="Female"/>
    <n v="22"/>
    <x v="2"/>
    <x v="1"/>
    <n v="99"/>
    <n v="63"/>
    <n v="0.56000000000000005"/>
    <s v="Desktop"/>
    <n v="0"/>
    <n v="1"/>
    <n v="0"/>
    <n v="14.99"/>
    <n v="0"/>
  </r>
  <r>
    <n v="969"/>
    <s v="Other"/>
    <n v="55"/>
    <x v="2"/>
    <x v="2"/>
    <n v="100"/>
    <n v="31"/>
    <n v="7.0000000000000007E-2"/>
    <s v="Mobile"/>
    <n v="0"/>
    <n v="1"/>
    <n v="0"/>
    <n v="9.99"/>
    <n v="0"/>
  </r>
  <r>
    <n v="970"/>
    <s v="Male"/>
    <n v="47"/>
    <x v="1"/>
    <x v="2"/>
    <n v="164"/>
    <n v="42"/>
    <n v="0.38"/>
    <s v="Mobile"/>
    <n v="0"/>
    <n v="1"/>
    <n v="0"/>
    <n v="9.99"/>
    <n v="0"/>
  </r>
  <r>
    <n v="971"/>
    <s v="Male"/>
    <n v="18"/>
    <x v="6"/>
    <x v="0"/>
    <n v="30"/>
    <n v="29"/>
    <n v="0.03"/>
    <s v="Mobile"/>
    <n v="46"/>
    <n v="0"/>
    <n v="0"/>
    <n v="0"/>
    <n v="0"/>
  </r>
  <r>
    <n v="972"/>
    <s v="Other"/>
    <n v="42"/>
    <x v="2"/>
    <x v="0"/>
    <n v="121"/>
    <n v="14"/>
    <n v="0.41"/>
    <s v="Desktop"/>
    <n v="37"/>
    <n v="0"/>
    <n v="0"/>
    <n v="0"/>
    <n v="0"/>
  </r>
  <r>
    <n v="973"/>
    <s v="Male"/>
    <n v="42"/>
    <x v="6"/>
    <x v="1"/>
    <n v="166"/>
    <n v="80"/>
    <n v="0.28999999999999998"/>
    <s v="Web"/>
    <n v="0"/>
    <n v="1"/>
    <n v="1"/>
    <n v="14.99"/>
    <n v="14.99"/>
  </r>
  <r>
    <n v="974"/>
    <s v="Male"/>
    <n v="51"/>
    <x v="6"/>
    <x v="0"/>
    <n v="272"/>
    <n v="20"/>
    <n v="0.17"/>
    <s v="Desktop"/>
    <n v="11"/>
    <n v="0"/>
    <n v="0"/>
    <n v="0"/>
    <n v="0"/>
  </r>
  <r>
    <n v="975"/>
    <s v="Male"/>
    <n v="24"/>
    <x v="7"/>
    <x v="3"/>
    <n v="160"/>
    <n v="56"/>
    <n v="0.11"/>
    <s v="Desktop"/>
    <n v="0"/>
    <n v="1"/>
    <n v="0"/>
    <n v="4.99"/>
    <n v="0"/>
  </r>
  <r>
    <n v="976"/>
    <s v="Male"/>
    <n v="28"/>
    <x v="7"/>
    <x v="2"/>
    <n v="96"/>
    <n v="53"/>
    <n v="0.44"/>
    <s v="Web"/>
    <n v="0"/>
    <n v="1"/>
    <n v="0"/>
    <n v="9.99"/>
    <n v="0"/>
  </r>
  <r>
    <n v="977"/>
    <s v="Other"/>
    <n v="17"/>
    <x v="3"/>
    <x v="0"/>
    <n v="125"/>
    <n v="30"/>
    <n v="0.25"/>
    <s v="Desktop"/>
    <n v="25"/>
    <n v="0"/>
    <n v="0"/>
    <n v="0"/>
    <n v="0"/>
  </r>
  <r>
    <n v="978"/>
    <s v="Other"/>
    <n v="41"/>
    <x v="3"/>
    <x v="2"/>
    <n v="219"/>
    <n v="54"/>
    <n v="0.21"/>
    <s v="Web"/>
    <n v="0"/>
    <n v="1"/>
    <n v="1"/>
    <n v="9.99"/>
    <n v="9.99"/>
  </r>
  <r>
    <n v="979"/>
    <s v="Female"/>
    <n v="48"/>
    <x v="1"/>
    <x v="2"/>
    <n v="115"/>
    <n v="19"/>
    <n v="0.25"/>
    <s v="Web"/>
    <n v="0"/>
    <n v="1"/>
    <n v="1"/>
    <n v="9.99"/>
    <n v="9.99"/>
  </r>
  <r>
    <n v="980"/>
    <s v="Male"/>
    <n v="50"/>
    <x v="5"/>
    <x v="1"/>
    <n v="128"/>
    <n v="60"/>
    <n v="0.1"/>
    <s v="Mobile"/>
    <n v="0"/>
    <n v="1"/>
    <n v="0"/>
    <n v="14.99"/>
    <n v="0"/>
  </r>
  <r>
    <n v="981"/>
    <s v="Other"/>
    <n v="42"/>
    <x v="6"/>
    <x v="2"/>
    <n v="257"/>
    <n v="34"/>
    <n v="0"/>
    <s v="Mobile"/>
    <n v="0"/>
    <n v="1"/>
    <n v="0"/>
    <n v="9.99"/>
    <n v="0"/>
  </r>
  <r>
    <n v="982"/>
    <s v="Female"/>
    <n v="35"/>
    <x v="7"/>
    <x v="3"/>
    <n v="48"/>
    <n v="5"/>
    <n v="0.44"/>
    <s v="Web"/>
    <n v="0"/>
    <n v="1"/>
    <n v="0"/>
    <n v="4.99"/>
    <n v="0"/>
  </r>
  <r>
    <n v="983"/>
    <s v="Male"/>
    <n v="19"/>
    <x v="4"/>
    <x v="1"/>
    <n v="274"/>
    <n v="96"/>
    <n v="0.56999999999999995"/>
    <s v="Mobile"/>
    <n v="0"/>
    <n v="1"/>
    <n v="0"/>
    <n v="14.99"/>
    <n v="0"/>
  </r>
  <r>
    <n v="984"/>
    <s v="Male"/>
    <n v="31"/>
    <x v="3"/>
    <x v="2"/>
    <n v="75"/>
    <n v="4"/>
    <n v="0.04"/>
    <s v="Web"/>
    <n v="0"/>
    <n v="1"/>
    <n v="0"/>
    <n v="9.99"/>
    <n v="0"/>
  </r>
  <r>
    <n v="985"/>
    <s v="Male"/>
    <n v="37"/>
    <x v="7"/>
    <x v="0"/>
    <n v="287"/>
    <n v="94"/>
    <n v="0.5"/>
    <s v="Mobile"/>
    <n v="28"/>
    <n v="0"/>
    <n v="0"/>
    <n v="0"/>
    <n v="0"/>
  </r>
  <r>
    <n v="986"/>
    <s v="Male"/>
    <n v="43"/>
    <x v="3"/>
    <x v="0"/>
    <n v="58"/>
    <n v="3"/>
    <n v="0.22"/>
    <s v="Desktop"/>
    <n v="20"/>
    <n v="0"/>
    <n v="1"/>
    <n v="0"/>
    <n v="0"/>
  </r>
  <r>
    <n v="987"/>
    <s v="Female"/>
    <n v="37"/>
    <x v="3"/>
    <x v="0"/>
    <n v="195"/>
    <n v="27"/>
    <n v="0.11"/>
    <s v="Desktop"/>
    <n v="31"/>
    <n v="0"/>
    <n v="0"/>
    <n v="0"/>
    <n v="0"/>
  </r>
  <r>
    <n v="988"/>
    <s v="Female"/>
    <n v="35"/>
    <x v="0"/>
    <x v="2"/>
    <n v="119"/>
    <n v="98"/>
    <n v="0.51"/>
    <s v="Desktop"/>
    <n v="0"/>
    <n v="1"/>
    <n v="0"/>
    <n v="9.99"/>
    <n v="0"/>
  </r>
  <r>
    <n v="989"/>
    <s v="Male"/>
    <n v="41"/>
    <x v="2"/>
    <x v="0"/>
    <n v="248"/>
    <n v="79"/>
    <n v="0.37"/>
    <s v="Mobile"/>
    <n v="16"/>
    <n v="0"/>
    <n v="0"/>
    <n v="0"/>
    <n v="0"/>
  </r>
  <r>
    <n v="990"/>
    <s v="Female"/>
    <n v="47"/>
    <x v="6"/>
    <x v="0"/>
    <n v="212"/>
    <n v="50"/>
    <n v="0.44"/>
    <s v="Desktop"/>
    <n v="39"/>
    <n v="0"/>
    <n v="1"/>
    <n v="0"/>
    <n v="0"/>
  </r>
  <r>
    <n v="991"/>
    <s v="Male"/>
    <n v="51"/>
    <x v="4"/>
    <x v="2"/>
    <n v="296"/>
    <n v="10"/>
    <n v="0.21"/>
    <s v="Desktop"/>
    <n v="0"/>
    <n v="1"/>
    <n v="0"/>
    <n v="9.99"/>
    <n v="0"/>
  </r>
  <r>
    <n v="992"/>
    <s v="Female"/>
    <n v="43"/>
    <x v="4"/>
    <x v="0"/>
    <n v="197"/>
    <n v="77"/>
    <n v="0.43"/>
    <s v="Mobile"/>
    <n v="27"/>
    <n v="0"/>
    <n v="1"/>
    <n v="0"/>
    <n v="0"/>
  </r>
  <r>
    <n v="993"/>
    <s v="Male"/>
    <n v="56"/>
    <x v="3"/>
    <x v="2"/>
    <n v="245"/>
    <n v="60"/>
    <n v="0.35"/>
    <s v="Desktop"/>
    <n v="0"/>
    <n v="1"/>
    <n v="0"/>
    <n v="9.99"/>
    <n v="0"/>
  </r>
  <r>
    <n v="994"/>
    <s v="Male"/>
    <n v="46"/>
    <x v="3"/>
    <x v="2"/>
    <n v="159"/>
    <n v="52"/>
    <n v="0.09"/>
    <s v="Web"/>
    <n v="0"/>
    <n v="1"/>
    <n v="0"/>
    <n v="9.99"/>
    <n v="0"/>
  </r>
  <r>
    <n v="995"/>
    <s v="Male"/>
    <n v="56"/>
    <x v="0"/>
    <x v="0"/>
    <n v="252"/>
    <n v="98"/>
    <n v="0.48"/>
    <s v="Web"/>
    <n v="19"/>
    <n v="0"/>
    <n v="0"/>
    <n v="0"/>
    <n v="0"/>
  </r>
  <r>
    <n v="996"/>
    <s v="Other"/>
    <n v="39"/>
    <x v="1"/>
    <x v="0"/>
    <n v="142"/>
    <n v="46"/>
    <n v="0.45"/>
    <s v="Web"/>
    <n v="40"/>
    <n v="0"/>
    <n v="0"/>
    <n v="0"/>
    <n v="0"/>
  </r>
  <r>
    <n v="997"/>
    <s v="Other"/>
    <n v="50"/>
    <x v="3"/>
    <x v="1"/>
    <n v="43"/>
    <n v="11"/>
    <n v="0.36"/>
    <s v="Mobile"/>
    <n v="0"/>
    <n v="1"/>
    <n v="1"/>
    <n v="14.99"/>
    <n v="14.99"/>
  </r>
  <r>
    <n v="998"/>
    <s v="Other"/>
    <n v="45"/>
    <x v="5"/>
    <x v="2"/>
    <n v="56"/>
    <n v="14"/>
    <n v="0.44"/>
    <s v="Desktop"/>
    <n v="0"/>
    <n v="1"/>
    <n v="1"/>
    <n v="9.99"/>
    <n v="9.99"/>
  </r>
  <r>
    <n v="999"/>
    <s v="Male"/>
    <n v="56"/>
    <x v="5"/>
    <x v="3"/>
    <n v="56"/>
    <n v="54"/>
    <n v="0.54"/>
    <s v="Web"/>
    <n v="0"/>
    <n v="1"/>
    <n v="1"/>
    <n v="4.99"/>
    <n v="4.99"/>
  </r>
  <r>
    <n v="1000"/>
    <s v="Male"/>
    <n v="18"/>
    <x v="3"/>
    <x v="3"/>
    <n v="174"/>
    <n v="41"/>
    <n v="0.46"/>
    <s v="Desktop"/>
    <n v="0"/>
    <n v="1"/>
    <n v="0"/>
    <n v="4.99"/>
    <n v="0"/>
  </r>
  <r>
    <n v="1001"/>
    <s v="Female"/>
    <n v="31"/>
    <x v="5"/>
    <x v="2"/>
    <n v="292"/>
    <n v="54"/>
    <n v="0.26"/>
    <s v="Mobile"/>
    <n v="0"/>
    <n v="1"/>
    <n v="0"/>
    <n v="9.99"/>
    <n v="0"/>
  </r>
  <r>
    <n v="1002"/>
    <s v="Other"/>
    <n v="46"/>
    <x v="5"/>
    <x v="3"/>
    <n v="216"/>
    <n v="74"/>
    <n v="0.25"/>
    <s v="Mobile"/>
    <n v="0"/>
    <n v="1"/>
    <n v="0"/>
    <n v="4.99"/>
    <n v="0"/>
  </r>
  <r>
    <n v="1003"/>
    <s v="Male"/>
    <n v="18"/>
    <x v="7"/>
    <x v="3"/>
    <n v="272"/>
    <n v="21"/>
    <n v="0.56999999999999995"/>
    <s v="Web"/>
    <n v="0"/>
    <n v="1"/>
    <n v="0"/>
    <n v="4.99"/>
    <n v="0"/>
  </r>
  <r>
    <n v="1004"/>
    <s v="Female"/>
    <n v="25"/>
    <x v="0"/>
    <x v="0"/>
    <n v="31"/>
    <n v="15"/>
    <n v="0.01"/>
    <s v="Mobile"/>
    <n v="38"/>
    <n v="0"/>
    <n v="0"/>
    <n v="0"/>
    <n v="0"/>
  </r>
  <r>
    <n v="1005"/>
    <s v="Female"/>
    <n v="22"/>
    <x v="5"/>
    <x v="3"/>
    <n v="16"/>
    <n v="24"/>
    <n v="0.36"/>
    <s v="Mobile"/>
    <n v="0"/>
    <n v="1"/>
    <n v="1"/>
    <n v="4.99"/>
    <n v="4.99"/>
  </r>
  <r>
    <n v="1006"/>
    <s v="Other"/>
    <n v="19"/>
    <x v="4"/>
    <x v="1"/>
    <n v="68"/>
    <n v="90"/>
    <n v="0"/>
    <s v="Mobile"/>
    <n v="0"/>
    <n v="1"/>
    <n v="0"/>
    <n v="14.99"/>
    <n v="0"/>
  </r>
  <r>
    <n v="1007"/>
    <s v="Female"/>
    <n v="18"/>
    <x v="4"/>
    <x v="3"/>
    <n v="255"/>
    <n v="68"/>
    <n v="0.19"/>
    <s v="Web"/>
    <n v="0"/>
    <n v="1"/>
    <n v="0"/>
    <n v="4.99"/>
    <n v="0"/>
  </r>
  <r>
    <n v="1008"/>
    <s v="Other"/>
    <n v="49"/>
    <x v="4"/>
    <x v="2"/>
    <n v="137"/>
    <n v="43"/>
    <n v="0.31"/>
    <s v="Desktop"/>
    <n v="0"/>
    <n v="1"/>
    <n v="0"/>
    <n v="9.99"/>
    <n v="0"/>
  </r>
  <r>
    <n v="1009"/>
    <s v="Female"/>
    <n v="59"/>
    <x v="7"/>
    <x v="1"/>
    <n v="86"/>
    <n v="17"/>
    <n v="0.12"/>
    <s v="Mobile"/>
    <n v="0"/>
    <n v="1"/>
    <n v="1"/>
    <n v="14.99"/>
    <n v="14.99"/>
  </r>
  <r>
    <n v="1010"/>
    <s v="Other"/>
    <n v="59"/>
    <x v="6"/>
    <x v="3"/>
    <n v="275"/>
    <n v="25"/>
    <n v="0.6"/>
    <s v="Web"/>
    <n v="0"/>
    <n v="1"/>
    <n v="1"/>
    <n v="4.99"/>
    <n v="4.99"/>
  </r>
  <r>
    <n v="1011"/>
    <s v="Female"/>
    <n v="38"/>
    <x v="6"/>
    <x v="0"/>
    <n v="125"/>
    <n v="63"/>
    <n v="0.59"/>
    <s v="Web"/>
    <n v="12"/>
    <n v="0"/>
    <n v="0"/>
    <n v="0"/>
    <n v="0"/>
  </r>
  <r>
    <n v="1012"/>
    <s v="Other"/>
    <n v="43"/>
    <x v="2"/>
    <x v="1"/>
    <n v="26"/>
    <n v="68"/>
    <n v="0.34"/>
    <s v="Mobile"/>
    <n v="0"/>
    <n v="1"/>
    <n v="0"/>
    <n v="14.99"/>
    <n v="0"/>
  </r>
  <r>
    <n v="1013"/>
    <s v="Female"/>
    <n v="31"/>
    <x v="0"/>
    <x v="1"/>
    <n v="237"/>
    <n v="38"/>
    <n v="7.0000000000000007E-2"/>
    <s v="Desktop"/>
    <n v="0"/>
    <n v="1"/>
    <n v="1"/>
    <n v="14.99"/>
    <n v="14.99"/>
  </r>
  <r>
    <n v="1014"/>
    <s v="Other"/>
    <n v="28"/>
    <x v="1"/>
    <x v="1"/>
    <n v="258"/>
    <n v="20"/>
    <n v="0.51"/>
    <s v="Mobile"/>
    <n v="0"/>
    <n v="1"/>
    <n v="1"/>
    <n v="14.99"/>
    <n v="14.99"/>
  </r>
  <r>
    <n v="1015"/>
    <s v="Male"/>
    <n v="20"/>
    <x v="7"/>
    <x v="3"/>
    <n v="290"/>
    <n v="42"/>
    <n v="0.18"/>
    <s v="Mobile"/>
    <n v="0"/>
    <n v="1"/>
    <n v="0"/>
    <n v="4.99"/>
    <n v="0"/>
  </r>
  <r>
    <n v="1016"/>
    <s v="Other"/>
    <n v="22"/>
    <x v="3"/>
    <x v="0"/>
    <n v="29"/>
    <n v="35"/>
    <n v="0.46"/>
    <s v="Web"/>
    <n v="9"/>
    <n v="0"/>
    <n v="0"/>
    <n v="0"/>
    <n v="0"/>
  </r>
  <r>
    <n v="1017"/>
    <s v="Female"/>
    <n v="22"/>
    <x v="3"/>
    <x v="0"/>
    <n v="224"/>
    <n v="4"/>
    <n v="0.04"/>
    <s v="Web"/>
    <n v="13"/>
    <n v="0"/>
    <n v="0"/>
    <n v="0"/>
    <n v="0"/>
  </r>
  <r>
    <n v="1018"/>
    <s v="Other"/>
    <n v="51"/>
    <x v="1"/>
    <x v="1"/>
    <n v="199"/>
    <n v="35"/>
    <n v="0.51"/>
    <s v="Mobile"/>
    <n v="0"/>
    <n v="1"/>
    <n v="0"/>
    <n v="14.99"/>
    <n v="0"/>
  </r>
  <r>
    <n v="1019"/>
    <s v="Female"/>
    <n v="35"/>
    <x v="2"/>
    <x v="2"/>
    <n v="34"/>
    <n v="42"/>
    <n v="0.15"/>
    <s v="Web"/>
    <n v="0"/>
    <n v="1"/>
    <n v="0"/>
    <n v="9.99"/>
    <n v="0"/>
  </r>
  <r>
    <n v="1020"/>
    <s v="Other"/>
    <n v="34"/>
    <x v="6"/>
    <x v="3"/>
    <n v="73"/>
    <n v="58"/>
    <n v="0.49"/>
    <s v="Mobile"/>
    <n v="0"/>
    <n v="1"/>
    <n v="1"/>
    <n v="4.99"/>
    <n v="4.99"/>
  </r>
  <r>
    <n v="1021"/>
    <s v="Other"/>
    <n v="33"/>
    <x v="7"/>
    <x v="0"/>
    <n v="140"/>
    <n v="40"/>
    <n v="0.27"/>
    <s v="Web"/>
    <n v="32"/>
    <n v="0"/>
    <n v="0"/>
    <n v="0"/>
    <n v="0"/>
  </r>
  <r>
    <n v="1022"/>
    <s v="Male"/>
    <n v="42"/>
    <x v="6"/>
    <x v="3"/>
    <n v="263"/>
    <n v="60"/>
    <n v="0.02"/>
    <s v="Web"/>
    <n v="0"/>
    <n v="1"/>
    <n v="1"/>
    <n v="4.99"/>
    <n v="4.99"/>
  </r>
  <r>
    <n v="1023"/>
    <s v="Female"/>
    <n v="16"/>
    <x v="2"/>
    <x v="2"/>
    <n v="193"/>
    <n v="53"/>
    <n v="0.12"/>
    <s v="Mobile"/>
    <n v="0"/>
    <n v="1"/>
    <n v="0"/>
    <n v="9.99"/>
    <n v="0"/>
  </r>
  <r>
    <n v="1024"/>
    <s v="Male"/>
    <n v="51"/>
    <x v="5"/>
    <x v="2"/>
    <n v="289"/>
    <n v="82"/>
    <n v="0.35"/>
    <s v="Mobile"/>
    <n v="0"/>
    <n v="1"/>
    <n v="0"/>
    <n v="9.99"/>
    <n v="0"/>
  </r>
  <r>
    <n v="1025"/>
    <s v="Male"/>
    <n v="56"/>
    <x v="1"/>
    <x v="0"/>
    <n v="211"/>
    <n v="86"/>
    <n v="0.48"/>
    <s v="Web"/>
    <n v="7"/>
    <n v="0"/>
    <n v="0"/>
    <n v="0"/>
    <n v="0"/>
  </r>
  <r>
    <n v="1026"/>
    <s v="Other"/>
    <n v="57"/>
    <x v="6"/>
    <x v="1"/>
    <n v="110"/>
    <n v="58"/>
    <n v="0.12"/>
    <s v="Desktop"/>
    <n v="0"/>
    <n v="1"/>
    <n v="0"/>
    <n v="14.99"/>
    <n v="0"/>
  </r>
  <r>
    <n v="1027"/>
    <s v="Other"/>
    <n v="21"/>
    <x v="6"/>
    <x v="1"/>
    <n v="52"/>
    <n v="32"/>
    <n v="0.21"/>
    <s v="Mobile"/>
    <n v="0"/>
    <n v="1"/>
    <n v="1"/>
    <n v="14.99"/>
    <n v="14.99"/>
  </r>
  <r>
    <n v="1028"/>
    <s v="Other"/>
    <n v="20"/>
    <x v="3"/>
    <x v="2"/>
    <n v="81"/>
    <n v="23"/>
    <n v="0.1"/>
    <s v="Mobile"/>
    <n v="0"/>
    <n v="1"/>
    <n v="0"/>
    <n v="9.99"/>
    <n v="0"/>
  </r>
  <r>
    <n v="1029"/>
    <s v="Female"/>
    <n v="53"/>
    <x v="0"/>
    <x v="2"/>
    <n v="237"/>
    <n v="18"/>
    <n v="0.18"/>
    <s v="Web"/>
    <n v="0"/>
    <n v="1"/>
    <n v="0"/>
    <n v="9.99"/>
    <n v="0"/>
  </r>
  <r>
    <n v="1030"/>
    <s v="Other"/>
    <n v="40"/>
    <x v="3"/>
    <x v="1"/>
    <n v="88"/>
    <n v="88"/>
    <n v="0.06"/>
    <s v="Desktop"/>
    <n v="0"/>
    <n v="1"/>
    <n v="0"/>
    <n v="14.99"/>
    <n v="0"/>
  </r>
  <r>
    <n v="1031"/>
    <s v="Male"/>
    <n v="30"/>
    <x v="4"/>
    <x v="0"/>
    <n v="10"/>
    <n v="57"/>
    <n v="0.05"/>
    <s v="Web"/>
    <n v="5"/>
    <n v="0"/>
    <n v="0"/>
    <n v="0"/>
    <n v="0"/>
  </r>
  <r>
    <n v="1032"/>
    <s v="Other"/>
    <n v="43"/>
    <x v="6"/>
    <x v="1"/>
    <n v="255"/>
    <n v="3"/>
    <n v="0.13"/>
    <s v="Desktop"/>
    <n v="0"/>
    <n v="1"/>
    <n v="0"/>
    <n v="14.99"/>
    <n v="0"/>
  </r>
  <r>
    <n v="1033"/>
    <s v="Other"/>
    <n v="53"/>
    <x v="0"/>
    <x v="1"/>
    <n v="276"/>
    <n v="4"/>
    <n v="0.49"/>
    <s v="Web"/>
    <n v="0"/>
    <n v="1"/>
    <n v="0"/>
    <n v="14.99"/>
    <n v="0"/>
  </r>
  <r>
    <n v="1034"/>
    <s v="Other"/>
    <n v="53"/>
    <x v="1"/>
    <x v="0"/>
    <n v="291"/>
    <n v="45"/>
    <n v="0.35"/>
    <s v="Web"/>
    <n v="10"/>
    <n v="0"/>
    <n v="0"/>
    <n v="0"/>
    <n v="0"/>
  </r>
  <r>
    <n v="1035"/>
    <s v="Other"/>
    <n v="52"/>
    <x v="2"/>
    <x v="2"/>
    <n v="272"/>
    <n v="53"/>
    <n v="0.45"/>
    <s v="Web"/>
    <n v="0"/>
    <n v="1"/>
    <n v="0"/>
    <n v="9.99"/>
    <n v="0"/>
  </r>
  <r>
    <n v="1036"/>
    <s v="Male"/>
    <n v="34"/>
    <x v="4"/>
    <x v="0"/>
    <n v="254"/>
    <n v="74"/>
    <n v="0.6"/>
    <s v="Mobile"/>
    <n v="34"/>
    <n v="0"/>
    <n v="0"/>
    <n v="0"/>
    <n v="0"/>
  </r>
  <r>
    <n v="1037"/>
    <s v="Male"/>
    <n v="32"/>
    <x v="5"/>
    <x v="0"/>
    <n v="78"/>
    <n v="95"/>
    <n v="0.43"/>
    <s v="Desktop"/>
    <n v="26"/>
    <n v="0"/>
    <n v="0"/>
    <n v="0"/>
    <n v="0"/>
  </r>
  <r>
    <n v="1038"/>
    <s v="Other"/>
    <n v="22"/>
    <x v="0"/>
    <x v="3"/>
    <n v="78"/>
    <n v="9"/>
    <n v="0.21"/>
    <s v="Desktop"/>
    <n v="0"/>
    <n v="1"/>
    <n v="0"/>
    <n v="4.99"/>
    <n v="0"/>
  </r>
  <r>
    <n v="1039"/>
    <s v="Male"/>
    <n v="29"/>
    <x v="3"/>
    <x v="3"/>
    <n v="228"/>
    <n v="27"/>
    <n v="0.42"/>
    <s v="Desktop"/>
    <n v="0"/>
    <n v="1"/>
    <n v="0"/>
    <n v="4.99"/>
    <n v="0"/>
  </r>
  <r>
    <n v="1040"/>
    <s v="Female"/>
    <n v="52"/>
    <x v="0"/>
    <x v="2"/>
    <n v="38"/>
    <n v="92"/>
    <n v="0.28000000000000003"/>
    <s v="Mobile"/>
    <n v="0"/>
    <n v="1"/>
    <n v="0"/>
    <n v="9.99"/>
    <n v="0"/>
  </r>
  <r>
    <n v="1041"/>
    <s v="Female"/>
    <n v="32"/>
    <x v="3"/>
    <x v="1"/>
    <n v="131"/>
    <n v="41"/>
    <n v="0.36"/>
    <s v="Web"/>
    <n v="0"/>
    <n v="1"/>
    <n v="0"/>
    <n v="14.99"/>
    <n v="0"/>
  </r>
  <r>
    <n v="1042"/>
    <s v="Male"/>
    <n v="56"/>
    <x v="4"/>
    <x v="2"/>
    <n v="273"/>
    <n v="21"/>
    <n v="0.31"/>
    <s v="Mobile"/>
    <n v="0"/>
    <n v="1"/>
    <n v="0"/>
    <n v="9.99"/>
    <n v="0"/>
  </r>
  <r>
    <n v="1043"/>
    <s v="Male"/>
    <n v="55"/>
    <x v="1"/>
    <x v="2"/>
    <n v="161"/>
    <n v="4"/>
    <n v="0.03"/>
    <s v="Desktop"/>
    <n v="0"/>
    <n v="1"/>
    <n v="0"/>
    <n v="9.99"/>
    <n v="0"/>
  </r>
  <r>
    <n v="1044"/>
    <s v="Male"/>
    <n v="25"/>
    <x v="2"/>
    <x v="0"/>
    <n v="154"/>
    <n v="4"/>
    <n v="0.39"/>
    <s v="Mobile"/>
    <n v="14"/>
    <n v="0"/>
    <n v="1"/>
    <n v="0"/>
    <n v="0"/>
  </r>
  <r>
    <n v="1045"/>
    <s v="Male"/>
    <n v="36"/>
    <x v="4"/>
    <x v="2"/>
    <n v="49"/>
    <n v="12"/>
    <n v="0.5"/>
    <s v="Desktop"/>
    <n v="0"/>
    <n v="1"/>
    <n v="0"/>
    <n v="9.99"/>
    <n v="0"/>
  </r>
  <r>
    <n v="1046"/>
    <s v="Female"/>
    <n v="46"/>
    <x v="3"/>
    <x v="2"/>
    <n v="32"/>
    <n v="84"/>
    <n v="0.24"/>
    <s v="Mobile"/>
    <n v="0"/>
    <n v="1"/>
    <n v="0"/>
    <n v="9.99"/>
    <n v="0"/>
  </r>
  <r>
    <n v="1047"/>
    <s v="Male"/>
    <n v="25"/>
    <x v="1"/>
    <x v="3"/>
    <n v="83"/>
    <n v="34"/>
    <n v="0.55000000000000004"/>
    <s v="Desktop"/>
    <n v="0"/>
    <n v="1"/>
    <n v="0"/>
    <n v="4.99"/>
    <n v="0"/>
  </r>
  <r>
    <n v="1048"/>
    <s v="Male"/>
    <n v="58"/>
    <x v="6"/>
    <x v="0"/>
    <n v="59"/>
    <n v="26"/>
    <n v="0.37"/>
    <s v="Mobile"/>
    <n v="8"/>
    <n v="0"/>
    <n v="0"/>
    <n v="0"/>
    <n v="0"/>
  </r>
  <r>
    <n v="1049"/>
    <s v="Other"/>
    <n v="55"/>
    <x v="0"/>
    <x v="2"/>
    <n v="67"/>
    <n v="83"/>
    <n v="0.16"/>
    <s v="Desktop"/>
    <n v="0"/>
    <n v="1"/>
    <n v="0"/>
    <n v="9.99"/>
    <n v="0"/>
  </r>
  <r>
    <n v="1050"/>
    <s v="Other"/>
    <n v="16"/>
    <x v="2"/>
    <x v="0"/>
    <n v="280"/>
    <n v="56"/>
    <n v="0.01"/>
    <s v="Mobile"/>
    <n v="35"/>
    <n v="0"/>
    <n v="0"/>
    <n v="0"/>
    <n v="0"/>
  </r>
  <r>
    <n v="1051"/>
    <s v="Male"/>
    <n v="20"/>
    <x v="1"/>
    <x v="3"/>
    <n v="85"/>
    <n v="41"/>
    <n v="0.34"/>
    <s v="Web"/>
    <n v="0"/>
    <n v="1"/>
    <n v="0"/>
    <n v="4.99"/>
    <n v="0"/>
  </r>
  <r>
    <n v="1052"/>
    <s v="Female"/>
    <n v="33"/>
    <x v="2"/>
    <x v="1"/>
    <n v="169"/>
    <n v="6"/>
    <n v="0.32"/>
    <s v="Mobile"/>
    <n v="0"/>
    <n v="1"/>
    <n v="0"/>
    <n v="14.99"/>
    <n v="0"/>
  </r>
  <r>
    <n v="1053"/>
    <s v="Female"/>
    <n v="55"/>
    <x v="3"/>
    <x v="0"/>
    <n v="185"/>
    <n v="14"/>
    <n v="0.43"/>
    <s v="Mobile"/>
    <n v="30"/>
    <n v="0"/>
    <n v="0"/>
    <n v="0"/>
    <n v="0"/>
  </r>
  <r>
    <n v="1054"/>
    <s v="Male"/>
    <n v="40"/>
    <x v="0"/>
    <x v="0"/>
    <n v="37"/>
    <n v="71"/>
    <n v="0.51"/>
    <s v="Mobile"/>
    <n v="41"/>
    <n v="0"/>
    <n v="1"/>
    <n v="0"/>
    <n v="0"/>
  </r>
  <r>
    <n v="1055"/>
    <s v="Other"/>
    <n v="49"/>
    <x v="2"/>
    <x v="3"/>
    <n v="153"/>
    <n v="88"/>
    <n v="0.49"/>
    <s v="Web"/>
    <n v="0"/>
    <n v="1"/>
    <n v="1"/>
    <n v="4.99"/>
    <n v="4.99"/>
  </r>
  <r>
    <n v="1056"/>
    <s v="Female"/>
    <n v="32"/>
    <x v="1"/>
    <x v="1"/>
    <n v="221"/>
    <n v="96"/>
    <n v="0.37"/>
    <s v="Mobile"/>
    <n v="0"/>
    <n v="1"/>
    <n v="0"/>
    <n v="14.99"/>
    <n v="0"/>
  </r>
  <r>
    <n v="1057"/>
    <s v="Other"/>
    <n v="56"/>
    <x v="2"/>
    <x v="0"/>
    <n v="169"/>
    <n v="90"/>
    <n v="0.59"/>
    <s v="Desktop"/>
    <n v="33"/>
    <n v="0"/>
    <n v="0"/>
    <n v="0"/>
    <n v="0"/>
  </r>
  <r>
    <n v="1058"/>
    <s v="Male"/>
    <n v="54"/>
    <x v="3"/>
    <x v="0"/>
    <n v="79"/>
    <n v="14"/>
    <n v="0.34"/>
    <s v="Desktop"/>
    <n v="40"/>
    <n v="0"/>
    <n v="0"/>
    <n v="0"/>
    <n v="0"/>
  </r>
  <r>
    <n v="1059"/>
    <s v="Male"/>
    <n v="21"/>
    <x v="4"/>
    <x v="3"/>
    <n v="44"/>
    <n v="41"/>
    <n v="0.31"/>
    <s v="Mobile"/>
    <n v="0"/>
    <n v="1"/>
    <n v="1"/>
    <n v="4.99"/>
    <n v="4.99"/>
  </r>
  <r>
    <n v="1060"/>
    <s v="Female"/>
    <n v="22"/>
    <x v="5"/>
    <x v="1"/>
    <n v="204"/>
    <n v="19"/>
    <n v="0.42"/>
    <s v="Web"/>
    <n v="0"/>
    <n v="1"/>
    <n v="0"/>
    <n v="14.99"/>
    <n v="0"/>
  </r>
  <r>
    <n v="1061"/>
    <s v="Male"/>
    <n v="24"/>
    <x v="2"/>
    <x v="1"/>
    <n v="181"/>
    <n v="75"/>
    <n v="0.57999999999999996"/>
    <s v="Mobile"/>
    <n v="0"/>
    <n v="1"/>
    <n v="0"/>
    <n v="14.99"/>
    <n v="0"/>
  </r>
  <r>
    <n v="1062"/>
    <s v="Female"/>
    <n v="28"/>
    <x v="3"/>
    <x v="3"/>
    <n v="57"/>
    <n v="12"/>
    <n v="0.14000000000000001"/>
    <s v="Mobile"/>
    <n v="0"/>
    <n v="1"/>
    <n v="0"/>
    <n v="4.99"/>
    <n v="0"/>
  </r>
  <r>
    <n v="1063"/>
    <s v="Female"/>
    <n v="54"/>
    <x v="6"/>
    <x v="3"/>
    <n v="53"/>
    <n v="23"/>
    <n v="0.44"/>
    <s v="Mobile"/>
    <n v="0"/>
    <n v="1"/>
    <n v="0"/>
    <n v="4.99"/>
    <n v="0"/>
  </r>
  <r>
    <n v="1064"/>
    <s v="Female"/>
    <n v="28"/>
    <x v="3"/>
    <x v="2"/>
    <n v="201"/>
    <n v="54"/>
    <n v="0.41"/>
    <s v="Mobile"/>
    <n v="0"/>
    <n v="1"/>
    <n v="1"/>
    <n v="9.99"/>
    <n v="9.99"/>
  </r>
  <r>
    <n v="1065"/>
    <s v="Male"/>
    <n v="49"/>
    <x v="3"/>
    <x v="2"/>
    <n v="74"/>
    <n v="27"/>
    <n v="0.22"/>
    <s v="Mobile"/>
    <n v="0"/>
    <n v="1"/>
    <n v="0"/>
    <n v="9.99"/>
    <n v="0"/>
  </r>
  <r>
    <n v="1066"/>
    <s v="Male"/>
    <n v="26"/>
    <x v="5"/>
    <x v="0"/>
    <n v="95"/>
    <n v="50"/>
    <n v="0.26"/>
    <s v="Mobile"/>
    <n v="39"/>
    <n v="0"/>
    <n v="0"/>
    <n v="0"/>
    <n v="0"/>
  </r>
  <r>
    <n v="1067"/>
    <s v="Male"/>
    <n v="31"/>
    <x v="4"/>
    <x v="0"/>
    <n v="282"/>
    <n v="58"/>
    <n v="0.06"/>
    <s v="Desktop"/>
    <n v="15"/>
    <n v="0"/>
    <n v="1"/>
    <n v="0"/>
    <n v="0"/>
  </r>
  <r>
    <n v="1068"/>
    <s v="Female"/>
    <n v="46"/>
    <x v="0"/>
    <x v="1"/>
    <n v="54"/>
    <n v="79"/>
    <n v="0.23"/>
    <s v="Desktop"/>
    <n v="0"/>
    <n v="1"/>
    <n v="0"/>
    <n v="14.99"/>
    <n v="0"/>
  </r>
  <r>
    <n v="1069"/>
    <s v="Male"/>
    <n v="21"/>
    <x v="5"/>
    <x v="3"/>
    <n v="58"/>
    <n v="24"/>
    <n v="0.47"/>
    <s v="Web"/>
    <n v="0"/>
    <n v="1"/>
    <n v="0"/>
    <n v="4.99"/>
    <n v="0"/>
  </r>
  <r>
    <n v="1070"/>
    <s v="Other"/>
    <n v="32"/>
    <x v="5"/>
    <x v="1"/>
    <n v="219"/>
    <n v="25"/>
    <n v="0.06"/>
    <s v="Desktop"/>
    <n v="0"/>
    <n v="1"/>
    <n v="1"/>
    <n v="14.99"/>
    <n v="14.99"/>
  </r>
  <r>
    <n v="1071"/>
    <s v="Other"/>
    <n v="28"/>
    <x v="1"/>
    <x v="2"/>
    <n v="178"/>
    <n v="14"/>
    <n v="0.35"/>
    <s v="Web"/>
    <n v="0"/>
    <n v="1"/>
    <n v="0"/>
    <n v="9.99"/>
    <n v="0"/>
  </r>
  <r>
    <n v="1072"/>
    <s v="Male"/>
    <n v="51"/>
    <x v="2"/>
    <x v="3"/>
    <n v="282"/>
    <n v="15"/>
    <n v="0.22"/>
    <s v="Mobile"/>
    <n v="0"/>
    <n v="1"/>
    <n v="0"/>
    <n v="4.99"/>
    <n v="0"/>
  </r>
  <r>
    <n v="1073"/>
    <s v="Other"/>
    <n v="45"/>
    <x v="1"/>
    <x v="3"/>
    <n v="243"/>
    <n v="9"/>
    <n v="0.02"/>
    <s v="Web"/>
    <n v="0"/>
    <n v="1"/>
    <n v="0"/>
    <n v="4.99"/>
    <n v="0"/>
  </r>
  <r>
    <n v="1074"/>
    <s v="Other"/>
    <n v="40"/>
    <x v="3"/>
    <x v="1"/>
    <n v="175"/>
    <n v="20"/>
    <n v="0.41"/>
    <s v="Mobile"/>
    <n v="0"/>
    <n v="1"/>
    <n v="0"/>
    <n v="14.99"/>
    <n v="0"/>
  </r>
  <r>
    <n v="1075"/>
    <s v="Male"/>
    <n v="30"/>
    <x v="5"/>
    <x v="0"/>
    <n v="246"/>
    <n v="13"/>
    <n v="0.03"/>
    <s v="Web"/>
    <n v="13"/>
    <n v="0"/>
    <n v="1"/>
    <n v="0"/>
    <n v="0"/>
  </r>
  <r>
    <n v="1076"/>
    <s v="Other"/>
    <n v="43"/>
    <x v="4"/>
    <x v="2"/>
    <n v="277"/>
    <n v="45"/>
    <n v="0.28999999999999998"/>
    <s v="Web"/>
    <n v="0"/>
    <n v="1"/>
    <n v="0"/>
    <n v="9.99"/>
    <n v="0"/>
  </r>
  <r>
    <n v="1077"/>
    <s v="Female"/>
    <n v="32"/>
    <x v="7"/>
    <x v="1"/>
    <n v="69"/>
    <n v="8"/>
    <n v="0.56999999999999995"/>
    <s v="Mobile"/>
    <n v="0"/>
    <n v="1"/>
    <n v="1"/>
    <n v="14.99"/>
    <n v="14.99"/>
  </r>
  <r>
    <n v="1078"/>
    <s v="Male"/>
    <n v="54"/>
    <x v="7"/>
    <x v="1"/>
    <n v="182"/>
    <n v="69"/>
    <n v="0.17"/>
    <s v="Mobile"/>
    <n v="0"/>
    <n v="1"/>
    <n v="0"/>
    <n v="14.99"/>
    <n v="0"/>
  </r>
  <r>
    <n v="1079"/>
    <s v="Female"/>
    <n v="23"/>
    <x v="4"/>
    <x v="3"/>
    <n v="176"/>
    <n v="57"/>
    <n v="0.11"/>
    <s v="Mobile"/>
    <n v="0"/>
    <n v="1"/>
    <n v="0"/>
    <n v="4.99"/>
    <n v="0"/>
  </r>
  <r>
    <n v="1080"/>
    <s v="Other"/>
    <n v="21"/>
    <x v="2"/>
    <x v="1"/>
    <n v="47"/>
    <n v="86"/>
    <n v="0.15"/>
    <s v="Mobile"/>
    <n v="0"/>
    <n v="1"/>
    <n v="0"/>
    <n v="14.99"/>
    <n v="0"/>
  </r>
  <r>
    <n v="1081"/>
    <s v="Male"/>
    <n v="41"/>
    <x v="5"/>
    <x v="1"/>
    <n v="256"/>
    <n v="20"/>
    <n v="0.46"/>
    <s v="Desktop"/>
    <n v="0"/>
    <n v="1"/>
    <n v="0"/>
    <n v="14.99"/>
    <n v="0"/>
  </r>
  <r>
    <n v="1082"/>
    <s v="Male"/>
    <n v="17"/>
    <x v="6"/>
    <x v="3"/>
    <n v="74"/>
    <n v="86"/>
    <n v="0.54"/>
    <s v="Desktop"/>
    <n v="0"/>
    <n v="1"/>
    <n v="0"/>
    <n v="4.99"/>
    <n v="0"/>
  </r>
  <r>
    <n v="1083"/>
    <s v="Male"/>
    <n v="46"/>
    <x v="7"/>
    <x v="3"/>
    <n v="111"/>
    <n v="19"/>
    <n v="0.06"/>
    <s v="Desktop"/>
    <n v="0"/>
    <n v="1"/>
    <n v="0"/>
    <n v="4.99"/>
    <n v="0"/>
  </r>
  <r>
    <n v="1084"/>
    <s v="Male"/>
    <n v="50"/>
    <x v="3"/>
    <x v="0"/>
    <n v="50"/>
    <n v="39"/>
    <n v="0.31"/>
    <s v="Web"/>
    <n v="13"/>
    <n v="0"/>
    <n v="0"/>
    <n v="0"/>
    <n v="0"/>
  </r>
  <r>
    <n v="1085"/>
    <s v="Other"/>
    <n v="42"/>
    <x v="1"/>
    <x v="0"/>
    <n v="17"/>
    <n v="55"/>
    <n v="0.57999999999999996"/>
    <s v="Mobile"/>
    <n v="49"/>
    <n v="0"/>
    <n v="1"/>
    <n v="0"/>
    <n v="0"/>
  </r>
  <r>
    <n v="1086"/>
    <s v="Female"/>
    <n v="46"/>
    <x v="4"/>
    <x v="3"/>
    <n v="85"/>
    <n v="75"/>
    <n v="0.15"/>
    <s v="Mobile"/>
    <n v="0"/>
    <n v="1"/>
    <n v="0"/>
    <n v="4.99"/>
    <n v="0"/>
  </r>
  <r>
    <n v="1087"/>
    <s v="Other"/>
    <n v="17"/>
    <x v="3"/>
    <x v="1"/>
    <n v="177"/>
    <n v="79"/>
    <n v="0.38"/>
    <s v="Desktop"/>
    <n v="0"/>
    <n v="1"/>
    <n v="1"/>
    <n v="14.99"/>
    <n v="14.99"/>
  </r>
  <r>
    <n v="1088"/>
    <s v="Female"/>
    <n v="39"/>
    <x v="7"/>
    <x v="3"/>
    <n v="288"/>
    <n v="64"/>
    <n v="0"/>
    <s v="Web"/>
    <n v="0"/>
    <n v="1"/>
    <n v="1"/>
    <n v="4.99"/>
    <n v="4.99"/>
  </r>
  <r>
    <n v="1089"/>
    <s v="Male"/>
    <n v="51"/>
    <x v="7"/>
    <x v="2"/>
    <n v="299"/>
    <n v="93"/>
    <n v="0.57999999999999996"/>
    <s v="Web"/>
    <n v="0"/>
    <n v="1"/>
    <n v="0"/>
    <n v="9.99"/>
    <n v="0"/>
  </r>
  <r>
    <n v="1090"/>
    <s v="Other"/>
    <n v="25"/>
    <x v="1"/>
    <x v="1"/>
    <n v="242"/>
    <n v="19"/>
    <n v="0.4"/>
    <s v="Desktop"/>
    <n v="0"/>
    <n v="1"/>
    <n v="0"/>
    <n v="14.99"/>
    <n v="0"/>
  </r>
  <r>
    <n v="1091"/>
    <s v="Male"/>
    <n v="51"/>
    <x v="2"/>
    <x v="1"/>
    <n v="113"/>
    <n v="33"/>
    <n v="0.04"/>
    <s v="Desktop"/>
    <n v="0"/>
    <n v="1"/>
    <n v="1"/>
    <n v="14.99"/>
    <n v="14.99"/>
  </r>
  <r>
    <n v="1092"/>
    <s v="Male"/>
    <n v="25"/>
    <x v="7"/>
    <x v="3"/>
    <n v="24"/>
    <n v="60"/>
    <n v="0.56999999999999995"/>
    <s v="Mobile"/>
    <n v="0"/>
    <n v="1"/>
    <n v="0"/>
    <n v="4.99"/>
    <n v="0"/>
  </r>
  <r>
    <n v="1093"/>
    <s v="Female"/>
    <n v="54"/>
    <x v="5"/>
    <x v="0"/>
    <n v="70"/>
    <n v="56"/>
    <n v="0.37"/>
    <s v="Desktop"/>
    <n v="14"/>
    <n v="0"/>
    <n v="0"/>
    <n v="0"/>
    <n v="0"/>
  </r>
  <r>
    <n v="1094"/>
    <s v="Other"/>
    <n v="37"/>
    <x v="4"/>
    <x v="3"/>
    <n v="194"/>
    <n v="62"/>
    <n v="0.04"/>
    <s v="Mobile"/>
    <n v="0"/>
    <n v="1"/>
    <n v="1"/>
    <n v="4.99"/>
    <n v="4.99"/>
  </r>
  <r>
    <n v="1095"/>
    <s v="Male"/>
    <n v="59"/>
    <x v="2"/>
    <x v="0"/>
    <n v="232"/>
    <n v="80"/>
    <n v="0.25"/>
    <s v="Web"/>
    <n v="45"/>
    <n v="0"/>
    <n v="0"/>
    <n v="0"/>
    <n v="0"/>
  </r>
  <r>
    <n v="1096"/>
    <s v="Female"/>
    <n v="47"/>
    <x v="6"/>
    <x v="1"/>
    <n v="52"/>
    <n v="7"/>
    <n v="0.45"/>
    <s v="Web"/>
    <n v="0"/>
    <n v="1"/>
    <n v="0"/>
    <n v="14.99"/>
    <n v="0"/>
  </r>
  <r>
    <n v="1097"/>
    <s v="Female"/>
    <n v="56"/>
    <x v="6"/>
    <x v="2"/>
    <n v="186"/>
    <n v="2"/>
    <n v="0.36"/>
    <s v="Mobile"/>
    <n v="0"/>
    <n v="1"/>
    <n v="0"/>
    <n v="9.99"/>
    <n v="0"/>
  </r>
  <r>
    <n v="1098"/>
    <s v="Female"/>
    <n v="47"/>
    <x v="7"/>
    <x v="3"/>
    <n v="235"/>
    <n v="99"/>
    <n v="0.42"/>
    <s v="Mobile"/>
    <n v="0"/>
    <n v="1"/>
    <n v="0"/>
    <n v="4.99"/>
    <n v="0"/>
  </r>
  <r>
    <n v="1099"/>
    <s v="Female"/>
    <n v="32"/>
    <x v="5"/>
    <x v="0"/>
    <n v="175"/>
    <n v="12"/>
    <n v="0.54"/>
    <s v="Desktop"/>
    <n v="30"/>
    <n v="0"/>
    <n v="0"/>
    <n v="0"/>
    <n v="0"/>
  </r>
  <r>
    <n v="1100"/>
    <s v="Other"/>
    <n v="47"/>
    <x v="5"/>
    <x v="3"/>
    <n v="182"/>
    <n v="62"/>
    <n v="0.13"/>
    <s v="Desktop"/>
    <n v="0"/>
    <n v="1"/>
    <n v="1"/>
    <n v="4.99"/>
    <n v="4.99"/>
  </r>
  <r>
    <n v="1101"/>
    <s v="Other"/>
    <n v="46"/>
    <x v="5"/>
    <x v="2"/>
    <n v="244"/>
    <n v="14"/>
    <n v="0.2"/>
    <s v="Web"/>
    <n v="0"/>
    <n v="1"/>
    <n v="0"/>
    <n v="9.99"/>
    <n v="0"/>
  </r>
  <r>
    <n v="1102"/>
    <s v="Male"/>
    <n v="47"/>
    <x v="6"/>
    <x v="1"/>
    <n v="240"/>
    <n v="47"/>
    <n v="0.16"/>
    <s v="Desktop"/>
    <n v="0"/>
    <n v="1"/>
    <n v="0"/>
    <n v="14.99"/>
    <n v="0"/>
  </r>
  <r>
    <n v="1103"/>
    <s v="Other"/>
    <n v="49"/>
    <x v="5"/>
    <x v="3"/>
    <n v="217"/>
    <n v="27"/>
    <n v="0.38"/>
    <s v="Desktop"/>
    <n v="0"/>
    <n v="1"/>
    <n v="0"/>
    <n v="4.99"/>
    <n v="0"/>
  </r>
  <r>
    <n v="1104"/>
    <s v="Other"/>
    <n v="32"/>
    <x v="6"/>
    <x v="1"/>
    <n v="106"/>
    <n v="5"/>
    <n v="0.28000000000000003"/>
    <s v="Desktop"/>
    <n v="0"/>
    <n v="1"/>
    <n v="1"/>
    <n v="14.99"/>
    <n v="14.99"/>
  </r>
  <r>
    <n v="1105"/>
    <s v="Other"/>
    <n v="21"/>
    <x v="6"/>
    <x v="3"/>
    <n v="125"/>
    <n v="11"/>
    <n v="0.56999999999999995"/>
    <s v="Desktop"/>
    <n v="0"/>
    <n v="1"/>
    <n v="1"/>
    <n v="4.99"/>
    <n v="4.99"/>
  </r>
  <r>
    <n v="1106"/>
    <s v="Female"/>
    <n v="41"/>
    <x v="6"/>
    <x v="0"/>
    <n v="298"/>
    <n v="30"/>
    <n v="0.42"/>
    <s v="Web"/>
    <n v="33"/>
    <n v="0"/>
    <n v="0"/>
    <n v="0"/>
    <n v="0"/>
  </r>
  <r>
    <n v="1107"/>
    <s v="Other"/>
    <n v="25"/>
    <x v="7"/>
    <x v="1"/>
    <n v="254"/>
    <n v="64"/>
    <n v="0.39"/>
    <s v="Web"/>
    <n v="0"/>
    <n v="1"/>
    <n v="0"/>
    <n v="14.99"/>
    <n v="0"/>
  </r>
  <r>
    <n v="1108"/>
    <s v="Other"/>
    <n v="25"/>
    <x v="5"/>
    <x v="2"/>
    <n v="195"/>
    <n v="39"/>
    <n v="0.36"/>
    <s v="Desktop"/>
    <n v="0"/>
    <n v="1"/>
    <n v="0"/>
    <n v="9.99"/>
    <n v="0"/>
  </r>
  <r>
    <n v="1109"/>
    <s v="Female"/>
    <n v="45"/>
    <x v="3"/>
    <x v="1"/>
    <n v="101"/>
    <n v="64"/>
    <n v="0.41"/>
    <s v="Web"/>
    <n v="0"/>
    <n v="1"/>
    <n v="0"/>
    <n v="14.99"/>
    <n v="0"/>
  </r>
  <r>
    <n v="1110"/>
    <s v="Female"/>
    <n v="30"/>
    <x v="1"/>
    <x v="1"/>
    <n v="32"/>
    <n v="42"/>
    <n v="0.52"/>
    <s v="Desktop"/>
    <n v="0"/>
    <n v="1"/>
    <n v="1"/>
    <n v="14.99"/>
    <n v="14.99"/>
  </r>
  <r>
    <n v="1111"/>
    <s v="Male"/>
    <n v="26"/>
    <x v="1"/>
    <x v="0"/>
    <n v="288"/>
    <n v="40"/>
    <n v="0.16"/>
    <s v="Web"/>
    <n v="44"/>
    <n v="0"/>
    <n v="1"/>
    <n v="0"/>
    <n v="0"/>
  </r>
  <r>
    <n v="1112"/>
    <s v="Male"/>
    <n v="42"/>
    <x v="7"/>
    <x v="0"/>
    <n v="262"/>
    <n v="41"/>
    <n v="0.17"/>
    <s v="Mobile"/>
    <n v="37"/>
    <n v="0"/>
    <n v="0"/>
    <n v="0"/>
    <n v="0"/>
  </r>
  <r>
    <n v="1113"/>
    <s v="Male"/>
    <n v="53"/>
    <x v="4"/>
    <x v="3"/>
    <n v="83"/>
    <n v="6"/>
    <n v="0.03"/>
    <s v="Mobile"/>
    <n v="0"/>
    <n v="1"/>
    <n v="0"/>
    <n v="4.99"/>
    <n v="0"/>
  </r>
  <r>
    <n v="1114"/>
    <s v="Other"/>
    <n v="35"/>
    <x v="4"/>
    <x v="3"/>
    <n v="255"/>
    <n v="34"/>
    <n v="0.02"/>
    <s v="Desktop"/>
    <n v="0"/>
    <n v="1"/>
    <n v="1"/>
    <n v="4.99"/>
    <n v="4.99"/>
  </r>
  <r>
    <n v="1115"/>
    <s v="Other"/>
    <n v="23"/>
    <x v="6"/>
    <x v="1"/>
    <n v="47"/>
    <n v="85"/>
    <n v="0.42"/>
    <s v="Web"/>
    <n v="0"/>
    <n v="1"/>
    <n v="0"/>
    <n v="14.99"/>
    <n v="0"/>
  </r>
  <r>
    <n v="1116"/>
    <s v="Other"/>
    <n v="55"/>
    <x v="5"/>
    <x v="0"/>
    <n v="180"/>
    <n v="93"/>
    <n v="0.6"/>
    <s v="Desktop"/>
    <n v="14"/>
    <n v="0"/>
    <n v="0"/>
    <n v="0"/>
    <n v="0"/>
  </r>
  <r>
    <n v="1117"/>
    <s v="Female"/>
    <n v="24"/>
    <x v="3"/>
    <x v="3"/>
    <n v="232"/>
    <n v="71"/>
    <n v="0.23"/>
    <s v="Mobile"/>
    <n v="0"/>
    <n v="1"/>
    <n v="0"/>
    <n v="4.99"/>
    <n v="0"/>
  </r>
  <r>
    <n v="1118"/>
    <s v="Other"/>
    <n v="50"/>
    <x v="6"/>
    <x v="3"/>
    <n v="246"/>
    <n v="47"/>
    <n v="0.28000000000000003"/>
    <s v="Web"/>
    <n v="0"/>
    <n v="1"/>
    <n v="1"/>
    <n v="4.99"/>
    <n v="4.99"/>
  </r>
  <r>
    <n v="1119"/>
    <s v="Male"/>
    <n v="44"/>
    <x v="5"/>
    <x v="3"/>
    <n v="11"/>
    <n v="74"/>
    <n v="0.47"/>
    <s v="Mobile"/>
    <n v="0"/>
    <n v="1"/>
    <n v="0"/>
    <n v="4.99"/>
    <n v="0"/>
  </r>
  <r>
    <n v="1120"/>
    <s v="Male"/>
    <n v="24"/>
    <x v="2"/>
    <x v="1"/>
    <n v="164"/>
    <n v="84"/>
    <n v="0.02"/>
    <s v="Desktop"/>
    <n v="0"/>
    <n v="1"/>
    <n v="1"/>
    <n v="14.99"/>
    <n v="14.99"/>
  </r>
  <r>
    <n v="1121"/>
    <s v="Male"/>
    <n v="26"/>
    <x v="5"/>
    <x v="0"/>
    <n v="284"/>
    <n v="14"/>
    <n v="0.5"/>
    <s v="Desktop"/>
    <n v="10"/>
    <n v="0"/>
    <n v="0"/>
    <n v="0"/>
    <n v="0"/>
  </r>
  <r>
    <n v="1122"/>
    <s v="Other"/>
    <n v="29"/>
    <x v="3"/>
    <x v="2"/>
    <n v="259"/>
    <n v="39"/>
    <n v="0.39"/>
    <s v="Mobile"/>
    <n v="0"/>
    <n v="1"/>
    <n v="1"/>
    <n v="9.99"/>
    <n v="9.99"/>
  </r>
  <r>
    <n v="1123"/>
    <s v="Male"/>
    <n v="20"/>
    <x v="1"/>
    <x v="3"/>
    <n v="226"/>
    <n v="82"/>
    <n v="0.53"/>
    <s v="Desktop"/>
    <n v="0"/>
    <n v="1"/>
    <n v="0"/>
    <n v="4.99"/>
    <n v="0"/>
  </r>
  <r>
    <n v="1124"/>
    <s v="Other"/>
    <n v="18"/>
    <x v="2"/>
    <x v="2"/>
    <n v="111"/>
    <n v="42"/>
    <n v="0.54"/>
    <s v="Web"/>
    <n v="0"/>
    <n v="1"/>
    <n v="0"/>
    <n v="9.99"/>
    <n v="0"/>
  </r>
  <r>
    <n v="1125"/>
    <s v="Other"/>
    <n v="17"/>
    <x v="1"/>
    <x v="0"/>
    <n v="146"/>
    <n v="68"/>
    <n v="0.16"/>
    <s v="Web"/>
    <n v="12"/>
    <n v="0"/>
    <n v="1"/>
    <n v="0"/>
    <n v="0"/>
  </r>
  <r>
    <n v="1126"/>
    <s v="Male"/>
    <n v="21"/>
    <x v="2"/>
    <x v="0"/>
    <n v="129"/>
    <n v="5"/>
    <n v="0.02"/>
    <s v="Desktop"/>
    <n v="25"/>
    <n v="0"/>
    <n v="0"/>
    <n v="0"/>
    <n v="0"/>
  </r>
  <r>
    <n v="1127"/>
    <s v="Other"/>
    <n v="20"/>
    <x v="0"/>
    <x v="3"/>
    <n v="241"/>
    <n v="68"/>
    <n v="0.22"/>
    <s v="Mobile"/>
    <n v="0"/>
    <n v="1"/>
    <n v="0"/>
    <n v="4.99"/>
    <n v="0"/>
  </r>
  <r>
    <n v="1128"/>
    <s v="Female"/>
    <n v="27"/>
    <x v="5"/>
    <x v="0"/>
    <n v="144"/>
    <n v="75"/>
    <n v="0.2"/>
    <s v="Web"/>
    <n v="26"/>
    <n v="0"/>
    <n v="0"/>
    <n v="0"/>
    <n v="0"/>
  </r>
  <r>
    <n v="1129"/>
    <s v="Other"/>
    <n v="27"/>
    <x v="3"/>
    <x v="0"/>
    <n v="284"/>
    <n v="57"/>
    <n v="0.14000000000000001"/>
    <s v="Desktop"/>
    <n v="41"/>
    <n v="0"/>
    <n v="1"/>
    <n v="0"/>
    <n v="0"/>
  </r>
  <r>
    <n v="1130"/>
    <s v="Female"/>
    <n v="50"/>
    <x v="4"/>
    <x v="3"/>
    <n v="241"/>
    <n v="93"/>
    <n v="0.17"/>
    <s v="Web"/>
    <n v="0"/>
    <n v="1"/>
    <n v="1"/>
    <n v="4.99"/>
    <n v="4.99"/>
  </r>
  <r>
    <n v="1131"/>
    <s v="Male"/>
    <n v="26"/>
    <x v="6"/>
    <x v="2"/>
    <n v="290"/>
    <n v="14"/>
    <n v="0.33"/>
    <s v="Mobile"/>
    <n v="0"/>
    <n v="1"/>
    <n v="0"/>
    <n v="9.99"/>
    <n v="0"/>
  </r>
  <r>
    <n v="1132"/>
    <s v="Female"/>
    <n v="23"/>
    <x v="6"/>
    <x v="3"/>
    <n v="137"/>
    <n v="39"/>
    <n v="0.49"/>
    <s v="Web"/>
    <n v="0"/>
    <n v="1"/>
    <n v="0"/>
    <n v="4.99"/>
    <n v="0"/>
  </r>
  <r>
    <n v="1133"/>
    <s v="Male"/>
    <n v="56"/>
    <x v="6"/>
    <x v="2"/>
    <n v="187"/>
    <n v="60"/>
    <n v="0.14000000000000001"/>
    <s v="Web"/>
    <n v="0"/>
    <n v="1"/>
    <n v="0"/>
    <n v="9.99"/>
    <n v="0"/>
  </r>
  <r>
    <n v="1134"/>
    <s v="Female"/>
    <n v="35"/>
    <x v="6"/>
    <x v="1"/>
    <n v="36"/>
    <n v="14"/>
    <n v="0.6"/>
    <s v="Web"/>
    <n v="0"/>
    <n v="1"/>
    <n v="0"/>
    <n v="14.99"/>
    <n v="0"/>
  </r>
  <r>
    <n v="1135"/>
    <s v="Male"/>
    <n v="56"/>
    <x v="4"/>
    <x v="1"/>
    <n v="106"/>
    <n v="5"/>
    <n v="0.55000000000000004"/>
    <s v="Web"/>
    <n v="0"/>
    <n v="1"/>
    <n v="1"/>
    <n v="14.99"/>
    <n v="14.99"/>
  </r>
  <r>
    <n v="1136"/>
    <s v="Female"/>
    <n v="25"/>
    <x v="7"/>
    <x v="1"/>
    <n v="211"/>
    <n v="10"/>
    <n v="0.6"/>
    <s v="Mobile"/>
    <n v="0"/>
    <n v="1"/>
    <n v="0"/>
    <n v="14.99"/>
    <n v="0"/>
  </r>
  <r>
    <n v="1137"/>
    <s v="Female"/>
    <n v="44"/>
    <x v="2"/>
    <x v="1"/>
    <n v="64"/>
    <n v="88"/>
    <n v="0.24"/>
    <s v="Web"/>
    <n v="0"/>
    <n v="1"/>
    <n v="0"/>
    <n v="14.99"/>
    <n v="0"/>
  </r>
  <r>
    <n v="1138"/>
    <s v="Female"/>
    <n v="30"/>
    <x v="7"/>
    <x v="2"/>
    <n v="49"/>
    <n v="75"/>
    <n v="0.36"/>
    <s v="Desktop"/>
    <n v="0"/>
    <n v="1"/>
    <n v="0"/>
    <n v="9.99"/>
    <n v="0"/>
  </r>
  <r>
    <n v="1139"/>
    <s v="Male"/>
    <n v="53"/>
    <x v="0"/>
    <x v="3"/>
    <n v="68"/>
    <n v="82"/>
    <n v="0.56999999999999995"/>
    <s v="Web"/>
    <n v="0"/>
    <n v="1"/>
    <n v="1"/>
    <n v="4.99"/>
    <n v="4.99"/>
  </r>
  <r>
    <n v="1140"/>
    <s v="Male"/>
    <n v="31"/>
    <x v="3"/>
    <x v="3"/>
    <n v="268"/>
    <n v="58"/>
    <n v="0.59"/>
    <s v="Web"/>
    <n v="0"/>
    <n v="1"/>
    <n v="0"/>
    <n v="4.99"/>
    <n v="0"/>
  </r>
  <r>
    <n v="1141"/>
    <s v="Female"/>
    <n v="52"/>
    <x v="4"/>
    <x v="2"/>
    <n v="118"/>
    <n v="67"/>
    <n v="0.56999999999999995"/>
    <s v="Mobile"/>
    <n v="0"/>
    <n v="1"/>
    <n v="0"/>
    <n v="9.99"/>
    <n v="0"/>
  </r>
  <r>
    <n v="1142"/>
    <s v="Female"/>
    <n v="31"/>
    <x v="2"/>
    <x v="0"/>
    <n v="200"/>
    <n v="50"/>
    <n v="0.33"/>
    <s v="Desktop"/>
    <n v="40"/>
    <n v="0"/>
    <n v="0"/>
    <n v="0"/>
    <n v="0"/>
  </r>
  <r>
    <n v="1143"/>
    <s v="Female"/>
    <n v="49"/>
    <x v="3"/>
    <x v="0"/>
    <n v="13"/>
    <n v="96"/>
    <n v="0.05"/>
    <s v="Mobile"/>
    <n v="30"/>
    <n v="0"/>
    <n v="0"/>
    <n v="0"/>
    <n v="0"/>
  </r>
  <r>
    <n v="1144"/>
    <s v="Other"/>
    <n v="47"/>
    <x v="7"/>
    <x v="3"/>
    <n v="150"/>
    <n v="22"/>
    <n v="0.47"/>
    <s v="Mobile"/>
    <n v="0"/>
    <n v="1"/>
    <n v="0"/>
    <n v="4.99"/>
    <n v="0"/>
  </r>
  <r>
    <n v="1145"/>
    <s v="Other"/>
    <n v="30"/>
    <x v="5"/>
    <x v="1"/>
    <n v="43"/>
    <n v="7"/>
    <n v="0.04"/>
    <s v="Mobile"/>
    <n v="0"/>
    <n v="1"/>
    <n v="0"/>
    <n v="14.99"/>
    <n v="0"/>
  </r>
  <r>
    <n v="1146"/>
    <s v="Other"/>
    <n v="28"/>
    <x v="4"/>
    <x v="2"/>
    <n v="298"/>
    <n v="12"/>
    <n v="0.59"/>
    <s v="Web"/>
    <n v="0"/>
    <n v="1"/>
    <n v="0"/>
    <n v="9.99"/>
    <n v="0"/>
  </r>
  <r>
    <n v="1147"/>
    <s v="Male"/>
    <n v="49"/>
    <x v="1"/>
    <x v="0"/>
    <n v="156"/>
    <n v="32"/>
    <n v="0.28999999999999998"/>
    <s v="Desktop"/>
    <n v="33"/>
    <n v="0"/>
    <n v="0"/>
    <n v="0"/>
    <n v="0"/>
  </r>
  <r>
    <n v="1148"/>
    <s v="Female"/>
    <n v="23"/>
    <x v="2"/>
    <x v="1"/>
    <n v="27"/>
    <n v="72"/>
    <n v="0.01"/>
    <s v="Desktop"/>
    <n v="0"/>
    <n v="1"/>
    <n v="0"/>
    <n v="14.99"/>
    <n v="0"/>
  </r>
  <r>
    <n v="1149"/>
    <s v="Other"/>
    <n v="56"/>
    <x v="2"/>
    <x v="0"/>
    <n v="243"/>
    <n v="43"/>
    <n v="0.13"/>
    <s v="Desktop"/>
    <n v="10"/>
    <n v="0"/>
    <n v="0"/>
    <n v="0"/>
    <n v="0"/>
  </r>
  <r>
    <n v="1150"/>
    <s v="Female"/>
    <n v="38"/>
    <x v="6"/>
    <x v="1"/>
    <n v="282"/>
    <n v="48"/>
    <n v="0.56999999999999995"/>
    <s v="Mobile"/>
    <n v="0"/>
    <n v="1"/>
    <n v="1"/>
    <n v="14.99"/>
    <n v="14.99"/>
  </r>
  <r>
    <n v="1151"/>
    <s v="Other"/>
    <n v="59"/>
    <x v="1"/>
    <x v="1"/>
    <n v="274"/>
    <n v="97"/>
    <n v="0.22"/>
    <s v="Web"/>
    <n v="0"/>
    <n v="1"/>
    <n v="0"/>
    <n v="14.99"/>
    <n v="0"/>
  </r>
  <r>
    <n v="1152"/>
    <s v="Female"/>
    <n v="52"/>
    <x v="4"/>
    <x v="1"/>
    <n v="253"/>
    <n v="50"/>
    <n v="0.25"/>
    <s v="Web"/>
    <n v="0"/>
    <n v="1"/>
    <n v="0"/>
    <n v="14.99"/>
    <n v="0"/>
  </r>
  <r>
    <n v="1153"/>
    <s v="Male"/>
    <n v="20"/>
    <x v="1"/>
    <x v="3"/>
    <n v="276"/>
    <n v="18"/>
    <n v="0.15"/>
    <s v="Web"/>
    <n v="0"/>
    <n v="1"/>
    <n v="1"/>
    <n v="4.99"/>
    <n v="4.99"/>
  </r>
  <r>
    <n v="1154"/>
    <s v="Male"/>
    <n v="38"/>
    <x v="3"/>
    <x v="0"/>
    <n v="65"/>
    <n v="74"/>
    <n v="0.1"/>
    <s v="Web"/>
    <n v="28"/>
    <n v="0"/>
    <n v="0"/>
    <n v="0"/>
    <n v="0"/>
  </r>
  <r>
    <n v="1155"/>
    <s v="Female"/>
    <n v="24"/>
    <x v="5"/>
    <x v="0"/>
    <n v="12"/>
    <n v="99"/>
    <n v="0.17"/>
    <s v="Desktop"/>
    <n v="33"/>
    <n v="0"/>
    <n v="0"/>
    <n v="0"/>
    <n v="0"/>
  </r>
  <r>
    <n v="1156"/>
    <s v="Male"/>
    <n v="16"/>
    <x v="4"/>
    <x v="3"/>
    <n v="172"/>
    <n v="81"/>
    <n v="0.18"/>
    <s v="Web"/>
    <n v="0"/>
    <n v="1"/>
    <n v="0"/>
    <n v="4.99"/>
    <n v="0"/>
  </r>
  <r>
    <n v="1157"/>
    <s v="Female"/>
    <n v="17"/>
    <x v="6"/>
    <x v="1"/>
    <n v="183"/>
    <n v="1"/>
    <n v="0.17"/>
    <s v="Mobile"/>
    <n v="0"/>
    <n v="1"/>
    <n v="1"/>
    <n v="14.99"/>
    <n v="14.99"/>
  </r>
  <r>
    <n v="1158"/>
    <s v="Male"/>
    <n v="27"/>
    <x v="0"/>
    <x v="1"/>
    <n v="81"/>
    <n v="80"/>
    <n v="0.56999999999999995"/>
    <s v="Mobile"/>
    <n v="0"/>
    <n v="1"/>
    <n v="0"/>
    <n v="14.99"/>
    <n v="0"/>
  </r>
  <r>
    <n v="1159"/>
    <s v="Female"/>
    <n v="43"/>
    <x v="1"/>
    <x v="3"/>
    <n v="214"/>
    <n v="94"/>
    <n v="0.28000000000000003"/>
    <s v="Mobile"/>
    <n v="0"/>
    <n v="1"/>
    <n v="0"/>
    <n v="4.99"/>
    <n v="0"/>
  </r>
  <r>
    <n v="1160"/>
    <s v="Female"/>
    <n v="43"/>
    <x v="2"/>
    <x v="1"/>
    <n v="29"/>
    <n v="30"/>
    <n v="0.25"/>
    <s v="Web"/>
    <n v="0"/>
    <n v="1"/>
    <n v="0"/>
    <n v="14.99"/>
    <n v="0"/>
  </r>
  <r>
    <n v="1161"/>
    <s v="Female"/>
    <n v="38"/>
    <x v="6"/>
    <x v="2"/>
    <n v="284"/>
    <n v="96"/>
    <n v="0.53"/>
    <s v="Web"/>
    <n v="0"/>
    <n v="1"/>
    <n v="0"/>
    <n v="9.99"/>
    <n v="0"/>
  </r>
  <r>
    <n v="1162"/>
    <s v="Male"/>
    <n v="19"/>
    <x v="7"/>
    <x v="3"/>
    <n v="257"/>
    <n v="91"/>
    <n v="0.48"/>
    <s v="Web"/>
    <n v="0"/>
    <n v="1"/>
    <n v="0"/>
    <n v="4.99"/>
    <n v="0"/>
  </r>
  <r>
    <n v="1163"/>
    <s v="Other"/>
    <n v="58"/>
    <x v="7"/>
    <x v="3"/>
    <n v="61"/>
    <n v="92"/>
    <n v="0.56999999999999995"/>
    <s v="Web"/>
    <n v="0"/>
    <n v="1"/>
    <n v="0"/>
    <n v="4.99"/>
    <n v="0"/>
  </r>
  <r>
    <n v="1164"/>
    <s v="Female"/>
    <n v="35"/>
    <x v="6"/>
    <x v="3"/>
    <n v="53"/>
    <n v="25"/>
    <n v="0.06"/>
    <s v="Web"/>
    <n v="0"/>
    <n v="1"/>
    <n v="1"/>
    <n v="4.99"/>
    <n v="4.99"/>
  </r>
  <r>
    <n v="1165"/>
    <s v="Male"/>
    <n v="26"/>
    <x v="3"/>
    <x v="2"/>
    <n v="293"/>
    <n v="76"/>
    <n v="0.31"/>
    <s v="Mobile"/>
    <n v="0"/>
    <n v="1"/>
    <n v="0"/>
    <n v="9.99"/>
    <n v="0"/>
  </r>
  <r>
    <n v="1166"/>
    <s v="Other"/>
    <n v="25"/>
    <x v="0"/>
    <x v="0"/>
    <n v="205"/>
    <n v="47"/>
    <n v="0.54"/>
    <s v="Web"/>
    <n v="15"/>
    <n v="0"/>
    <n v="0"/>
    <n v="0"/>
    <n v="0"/>
  </r>
  <r>
    <n v="1167"/>
    <s v="Female"/>
    <n v="25"/>
    <x v="3"/>
    <x v="2"/>
    <n v="209"/>
    <n v="22"/>
    <n v="0.33"/>
    <s v="Web"/>
    <n v="0"/>
    <n v="1"/>
    <n v="0"/>
    <n v="9.99"/>
    <n v="0"/>
  </r>
  <r>
    <n v="1168"/>
    <s v="Male"/>
    <n v="34"/>
    <x v="2"/>
    <x v="3"/>
    <n v="242"/>
    <n v="28"/>
    <n v="0.43"/>
    <s v="Mobile"/>
    <n v="0"/>
    <n v="1"/>
    <n v="0"/>
    <n v="4.99"/>
    <n v="0"/>
  </r>
  <r>
    <n v="1169"/>
    <s v="Other"/>
    <n v="42"/>
    <x v="6"/>
    <x v="2"/>
    <n v="88"/>
    <n v="48"/>
    <n v="0.15"/>
    <s v="Mobile"/>
    <n v="0"/>
    <n v="1"/>
    <n v="0"/>
    <n v="9.99"/>
    <n v="0"/>
  </r>
  <r>
    <n v="1170"/>
    <s v="Female"/>
    <n v="42"/>
    <x v="5"/>
    <x v="2"/>
    <n v="99"/>
    <n v="67"/>
    <n v="0.26"/>
    <s v="Desktop"/>
    <n v="0"/>
    <n v="1"/>
    <n v="0"/>
    <n v="9.99"/>
    <n v="0"/>
  </r>
  <r>
    <n v="1171"/>
    <s v="Other"/>
    <n v="45"/>
    <x v="2"/>
    <x v="1"/>
    <n v="179"/>
    <n v="74"/>
    <n v="0.45"/>
    <s v="Desktop"/>
    <n v="0"/>
    <n v="1"/>
    <n v="0"/>
    <n v="14.99"/>
    <n v="0"/>
  </r>
  <r>
    <n v="1172"/>
    <s v="Female"/>
    <n v="35"/>
    <x v="4"/>
    <x v="1"/>
    <n v="174"/>
    <n v="66"/>
    <n v="0.56000000000000005"/>
    <s v="Desktop"/>
    <n v="0"/>
    <n v="1"/>
    <n v="1"/>
    <n v="14.99"/>
    <n v="14.99"/>
  </r>
  <r>
    <n v="1173"/>
    <s v="Other"/>
    <n v="37"/>
    <x v="6"/>
    <x v="3"/>
    <n v="84"/>
    <n v="96"/>
    <n v="0.4"/>
    <s v="Mobile"/>
    <n v="0"/>
    <n v="1"/>
    <n v="0"/>
    <n v="4.99"/>
    <n v="0"/>
  </r>
  <r>
    <n v="1174"/>
    <s v="Other"/>
    <n v="17"/>
    <x v="4"/>
    <x v="3"/>
    <n v="275"/>
    <n v="78"/>
    <n v="0.11"/>
    <s v="Mobile"/>
    <n v="0"/>
    <n v="1"/>
    <n v="0"/>
    <n v="4.99"/>
    <n v="0"/>
  </r>
  <r>
    <n v="1175"/>
    <s v="Male"/>
    <n v="41"/>
    <x v="1"/>
    <x v="0"/>
    <n v="272"/>
    <n v="59"/>
    <n v="0.53"/>
    <s v="Web"/>
    <n v="21"/>
    <n v="0"/>
    <n v="0"/>
    <n v="0"/>
    <n v="0"/>
  </r>
  <r>
    <n v="1176"/>
    <s v="Female"/>
    <n v="49"/>
    <x v="2"/>
    <x v="3"/>
    <n v="252"/>
    <n v="72"/>
    <n v="0.4"/>
    <s v="Mobile"/>
    <n v="0"/>
    <n v="1"/>
    <n v="0"/>
    <n v="4.99"/>
    <n v="0"/>
  </r>
  <r>
    <n v="1177"/>
    <s v="Other"/>
    <n v="17"/>
    <x v="6"/>
    <x v="3"/>
    <n v="273"/>
    <n v="81"/>
    <n v="0.6"/>
    <s v="Mobile"/>
    <n v="0"/>
    <n v="1"/>
    <n v="0"/>
    <n v="4.99"/>
    <n v="0"/>
  </r>
  <r>
    <n v="1178"/>
    <s v="Other"/>
    <n v="47"/>
    <x v="2"/>
    <x v="2"/>
    <n v="198"/>
    <n v="51"/>
    <n v="0.45"/>
    <s v="Desktop"/>
    <n v="0"/>
    <n v="1"/>
    <n v="0"/>
    <n v="9.99"/>
    <n v="0"/>
  </r>
  <r>
    <n v="1179"/>
    <s v="Male"/>
    <n v="17"/>
    <x v="3"/>
    <x v="2"/>
    <n v="172"/>
    <n v="49"/>
    <n v="0.56000000000000005"/>
    <s v="Desktop"/>
    <n v="0"/>
    <n v="1"/>
    <n v="0"/>
    <n v="9.99"/>
    <n v="0"/>
  </r>
  <r>
    <n v="1180"/>
    <s v="Other"/>
    <n v="57"/>
    <x v="6"/>
    <x v="3"/>
    <n v="33"/>
    <n v="87"/>
    <n v="0.54"/>
    <s v="Web"/>
    <n v="0"/>
    <n v="1"/>
    <n v="1"/>
    <n v="4.99"/>
    <n v="4.99"/>
  </r>
  <r>
    <n v="1181"/>
    <s v="Female"/>
    <n v="43"/>
    <x v="5"/>
    <x v="2"/>
    <n v="19"/>
    <n v="73"/>
    <n v="0.25"/>
    <s v="Desktop"/>
    <n v="0"/>
    <n v="1"/>
    <n v="0"/>
    <n v="9.99"/>
    <n v="0"/>
  </r>
  <r>
    <n v="1182"/>
    <s v="Female"/>
    <n v="59"/>
    <x v="5"/>
    <x v="3"/>
    <n v="254"/>
    <n v="46"/>
    <n v="0.45"/>
    <s v="Web"/>
    <n v="0"/>
    <n v="1"/>
    <n v="0"/>
    <n v="4.99"/>
    <n v="0"/>
  </r>
  <r>
    <n v="1183"/>
    <s v="Female"/>
    <n v="47"/>
    <x v="1"/>
    <x v="0"/>
    <n v="166"/>
    <n v="19"/>
    <n v="0.34"/>
    <s v="Desktop"/>
    <n v="36"/>
    <n v="0"/>
    <n v="0"/>
    <n v="0"/>
    <n v="0"/>
  </r>
  <r>
    <n v="1184"/>
    <s v="Other"/>
    <n v="39"/>
    <x v="0"/>
    <x v="3"/>
    <n v="215"/>
    <n v="89"/>
    <n v="0.45"/>
    <s v="Desktop"/>
    <n v="0"/>
    <n v="1"/>
    <n v="0"/>
    <n v="4.99"/>
    <n v="0"/>
  </r>
  <r>
    <n v="1185"/>
    <s v="Male"/>
    <n v="34"/>
    <x v="5"/>
    <x v="1"/>
    <n v="73"/>
    <n v="27"/>
    <n v="0.39"/>
    <s v="Mobile"/>
    <n v="0"/>
    <n v="1"/>
    <n v="1"/>
    <n v="14.99"/>
    <n v="14.99"/>
  </r>
  <r>
    <n v="1186"/>
    <s v="Male"/>
    <n v="21"/>
    <x v="5"/>
    <x v="1"/>
    <n v="247"/>
    <n v="30"/>
    <n v="0.42"/>
    <s v="Desktop"/>
    <n v="0"/>
    <n v="1"/>
    <n v="1"/>
    <n v="14.99"/>
    <n v="14.99"/>
  </r>
  <r>
    <n v="1187"/>
    <s v="Other"/>
    <n v="37"/>
    <x v="7"/>
    <x v="0"/>
    <n v="194"/>
    <n v="56"/>
    <n v="0.16"/>
    <s v="Web"/>
    <n v="13"/>
    <n v="0"/>
    <n v="0"/>
    <n v="0"/>
    <n v="0"/>
  </r>
  <r>
    <n v="1188"/>
    <s v="Other"/>
    <n v="47"/>
    <x v="5"/>
    <x v="3"/>
    <n v="193"/>
    <n v="55"/>
    <n v="0"/>
    <s v="Mobile"/>
    <n v="0"/>
    <n v="1"/>
    <n v="1"/>
    <n v="4.99"/>
    <n v="4.99"/>
  </r>
  <r>
    <n v="1189"/>
    <s v="Other"/>
    <n v="58"/>
    <x v="3"/>
    <x v="3"/>
    <n v="31"/>
    <n v="28"/>
    <n v="0.01"/>
    <s v="Desktop"/>
    <n v="0"/>
    <n v="1"/>
    <n v="0"/>
    <n v="4.99"/>
    <n v="0"/>
  </r>
  <r>
    <n v="1190"/>
    <s v="Female"/>
    <n v="51"/>
    <x v="4"/>
    <x v="1"/>
    <n v="135"/>
    <n v="49"/>
    <n v="0.35"/>
    <s v="Desktop"/>
    <n v="0"/>
    <n v="1"/>
    <n v="1"/>
    <n v="14.99"/>
    <n v="14.99"/>
  </r>
  <r>
    <n v="1191"/>
    <s v="Female"/>
    <n v="34"/>
    <x v="1"/>
    <x v="3"/>
    <n v="99"/>
    <n v="67"/>
    <n v="0.26"/>
    <s v="Mobile"/>
    <n v="0"/>
    <n v="1"/>
    <n v="1"/>
    <n v="4.99"/>
    <n v="4.99"/>
  </r>
  <r>
    <n v="1192"/>
    <s v="Female"/>
    <n v="38"/>
    <x v="5"/>
    <x v="1"/>
    <n v="260"/>
    <n v="42"/>
    <n v="0.43"/>
    <s v="Web"/>
    <n v="0"/>
    <n v="1"/>
    <n v="0"/>
    <n v="14.99"/>
    <n v="0"/>
  </r>
  <r>
    <n v="1193"/>
    <s v="Female"/>
    <n v="24"/>
    <x v="5"/>
    <x v="2"/>
    <n v="76"/>
    <n v="26"/>
    <n v="0.04"/>
    <s v="Desktop"/>
    <n v="0"/>
    <n v="1"/>
    <n v="0"/>
    <n v="9.99"/>
    <n v="0"/>
  </r>
  <r>
    <n v="1194"/>
    <s v="Male"/>
    <n v="57"/>
    <x v="1"/>
    <x v="3"/>
    <n v="221"/>
    <n v="41"/>
    <n v="0.35"/>
    <s v="Mobile"/>
    <n v="0"/>
    <n v="1"/>
    <n v="0"/>
    <n v="4.99"/>
    <n v="0"/>
  </r>
  <r>
    <n v="1195"/>
    <s v="Female"/>
    <n v="58"/>
    <x v="7"/>
    <x v="0"/>
    <n v="59"/>
    <n v="46"/>
    <n v="0.42"/>
    <s v="Mobile"/>
    <n v="5"/>
    <n v="0"/>
    <n v="0"/>
    <n v="0"/>
    <n v="0"/>
  </r>
  <r>
    <n v="1196"/>
    <s v="Male"/>
    <n v="58"/>
    <x v="2"/>
    <x v="1"/>
    <n v="80"/>
    <n v="50"/>
    <n v="0.32"/>
    <s v="Desktop"/>
    <n v="0"/>
    <n v="1"/>
    <n v="0"/>
    <n v="14.99"/>
    <n v="0"/>
  </r>
  <r>
    <n v="1197"/>
    <s v="Other"/>
    <n v="33"/>
    <x v="0"/>
    <x v="2"/>
    <n v="295"/>
    <n v="99"/>
    <n v="0.54"/>
    <s v="Web"/>
    <n v="0"/>
    <n v="1"/>
    <n v="1"/>
    <n v="9.99"/>
    <n v="9.99"/>
  </r>
  <r>
    <n v="1198"/>
    <s v="Other"/>
    <n v="43"/>
    <x v="6"/>
    <x v="1"/>
    <n v="292"/>
    <n v="71"/>
    <n v="0.42"/>
    <s v="Web"/>
    <n v="0"/>
    <n v="1"/>
    <n v="0"/>
    <n v="14.99"/>
    <n v="0"/>
  </r>
  <r>
    <n v="1199"/>
    <s v="Female"/>
    <n v="39"/>
    <x v="0"/>
    <x v="1"/>
    <n v="133"/>
    <n v="74"/>
    <n v="0.21"/>
    <s v="Mobile"/>
    <n v="0"/>
    <n v="1"/>
    <n v="0"/>
    <n v="14.99"/>
    <n v="0"/>
  </r>
  <r>
    <n v="1200"/>
    <s v="Male"/>
    <n v="40"/>
    <x v="5"/>
    <x v="2"/>
    <n v="191"/>
    <n v="88"/>
    <n v="0.52"/>
    <s v="Mobile"/>
    <n v="0"/>
    <n v="1"/>
    <n v="0"/>
    <n v="9.99"/>
    <n v="0"/>
  </r>
  <r>
    <n v="1201"/>
    <s v="Male"/>
    <n v="34"/>
    <x v="0"/>
    <x v="0"/>
    <n v="41"/>
    <n v="79"/>
    <n v="0.05"/>
    <s v="Mobile"/>
    <n v="39"/>
    <n v="0"/>
    <n v="1"/>
    <n v="0"/>
    <n v="0"/>
  </r>
  <r>
    <n v="1202"/>
    <s v="Male"/>
    <n v="20"/>
    <x v="2"/>
    <x v="2"/>
    <n v="57"/>
    <n v="8"/>
    <n v="0.56999999999999995"/>
    <s v="Desktop"/>
    <n v="0"/>
    <n v="1"/>
    <n v="0"/>
    <n v="9.99"/>
    <n v="0"/>
  </r>
  <r>
    <n v="1203"/>
    <s v="Female"/>
    <n v="35"/>
    <x v="0"/>
    <x v="0"/>
    <n v="251"/>
    <n v="27"/>
    <n v="0.52"/>
    <s v="Web"/>
    <n v="42"/>
    <n v="0"/>
    <n v="1"/>
    <n v="0"/>
    <n v="0"/>
  </r>
  <r>
    <n v="1204"/>
    <s v="Other"/>
    <n v="42"/>
    <x v="1"/>
    <x v="2"/>
    <n v="22"/>
    <n v="80"/>
    <n v="0.45"/>
    <s v="Desktop"/>
    <n v="0"/>
    <n v="1"/>
    <n v="0"/>
    <n v="9.99"/>
    <n v="0"/>
  </r>
  <r>
    <n v="1205"/>
    <s v="Male"/>
    <n v="19"/>
    <x v="3"/>
    <x v="0"/>
    <n v="32"/>
    <n v="62"/>
    <n v="0.19"/>
    <s v="Desktop"/>
    <n v="40"/>
    <n v="0"/>
    <n v="1"/>
    <n v="0"/>
    <n v="0"/>
  </r>
  <r>
    <n v="1206"/>
    <s v="Female"/>
    <n v="35"/>
    <x v="1"/>
    <x v="0"/>
    <n v="227"/>
    <n v="4"/>
    <n v="0.02"/>
    <s v="Web"/>
    <n v="32"/>
    <n v="0"/>
    <n v="0"/>
    <n v="0"/>
    <n v="0"/>
  </r>
  <r>
    <n v="1207"/>
    <s v="Other"/>
    <n v="48"/>
    <x v="4"/>
    <x v="1"/>
    <n v="228"/>
    <n v="20"/>
    <n v="0.32"/>
    <s v="Mobile"/>
    <n v="0"/>
    <n v="1"/>
    <n v="1"/>
    <n v="14.99"/>
    <n v="14.99"/>
  </r>
  <r>
    <n v="1208"/>
    <s v="Other"/>
    <n v="38"/>
    <x v="5"/>
    <x v="0"/>
    <n v="131"/>
    <n v="72"/>
    <n v="0.56999999999999995"/>
    <s v="Mobile"/>
    <n v="37"/>
    <n v="0"/>
    <n v="0"/>
    <n v="0"/>
    <n v="0"/>
  </r>
  <r>
    <n v="1209"/>
    <s v="Female"/>
    <n v="19"/>
    <x v="1"/>
    <x v="0"/>
    <n v="96"/>
    <n v="67"/>
    <n v="0.27"/>
    <s v="Desktop"/>
    <n v="38"/>
    <n v="0"/>
    <n v="0"/>
    <n v="0"/>
    <n v="0"/>
  </r>
  <r>
    <n v="1210"/>
    <s v="Other"/>
    <n v="34"/>
    <x v="0"/>
    <x v="1"/>
    <n v="10"/>
    <n v="97"/>
    <n v="0.16"/>
    <s v="Desktop"/>
    <n v="0"/>
    <n v="1"/>
    <n v="0"/>
    <n v="14.99"/>
    <n v="0"/>
  </r>
  <r>
    <n v="1211"/>
    <s v="Male"/>
    <n v="29"/>
    <x v="5"/>
    <x v="1"/>
    <n v="57"/>
    <n v="31"/>
    <n v="0.03"/>
    <s v="Web"/>
    <n v="0"/>
    <n v="1"/>
    <n v="0"/>
    <n v="14.99"/>
    <n v="0"/>
  </r>
  <r>
    <n v="1212"/>
    <s v="Male"/>
    <n v="59"/>
    <x v="1"/>
    <x v="2"/>
    <n v="51"/>
    <n v="30"/>
    <n v="0.03"/>
    <s v="Desktop"/>
    <n v="0"/>
    <n v="1"/>
    <n v="1"/>
    <n v="9.99"/>
    <n v="9.99"/>
  </r>
  <r>
    <n v="1213"/>
    <s v="Other"/>
    <n v="42"/>
    <x v="0"/>
    <x v="2"/>
    <n v="51"/>
    <n v="78"/>
    <n v="0.06"/>
    <s v="Desktop"/>
    <n v="0"/>
    <n v="1"/>
    <n v="1"/>
    <n v="9.99"/>
    <n v="9.99"/>
  </r>
  <r>
    <n v="1214"/>
    <s v="Other"/>
    <n v="44"/>
    <x v="2"/>
    <x v="3"/>
    <n v="47"/>
    <n v="80"/>
    <n v="0.44"/>
    <s v="Mobile"/>
    <n v="0"/>
    <n v="1"/>
    <n v="0"/>
    <n v="4.99"/>
    <n v="0"/>
  </r>
  <r>
    <n v="1215"/>
    <s v="Female"/>
    <n v="25"/>
    <x v="6"/>
    <x v="1"/>
    <n v="120"/>
    <n v="52"/>
    <n v="0.32"/>
    <s v="Desktop"/>
    <n v="0"/>
    <n v="1"/>
    <n v="0"/>
    <n v="14.99"/>
    <n v="0"/>
  </r>
  <r>
    <n v="1216"/>
    <s v="Other"/>
    <n v="57"/>
    <x v="3"/>
    <x v="1"/>
    <n v="101"/>
    <n v="32"/>
    <n v="0.17"/>
    <s v="Desktop"/>
    <n v="0"/>
    <n v="1"/>
    <n v="0"/>
    <n v="14.99"/>
    <n v="0"/>
  </r>
  <r>
    <n v="1217"/>
    <s v="Female"/>
    <n v="45"/>
    <x v="7"/>
    <x v="2"/>
    <n v="240"/>
    <n v="48"/>
    <n v="0.5"/>
    <s v="Web"/>
    <n v="0"/>
    <n v="1"/>
    <n v="0"/>
    <n v="9.99"/>
    <n v="0"/>
  </r>
  <r>
    <n v="1218"/>
    <s v="Female"/>
    <n v="49"/>
    <x v="2"/>
    <x v="1"/>
    <n v="89"/>
    <n v="25"/>
    <n v="0.35"/>
    <s v="Web"/>
    <n v="0"/>
    <n v="1"/>
    <n v="0"/>
    <n v="14.99"/>
    <n v="0"/>
  </r>
  <r>
    <n v="1219"/>
    <s v="Female"/>
    <n v="51"/>
    <x v="4"/>
    <x v="0"/>
    <n v="45"/>
    <n v="61"/>
    <n v="0.37"/>
    <s v="Desktop"/>
    <n v="36"/>
    <n v="0"/>
    <n v="0"/>
    <n v="0"/>
    <n v="0"/>
  </r>
  <r>
    <n v="1220"/>
    <s v="Female"/>
    <n v="47"/>
    <x v="6"/>
    <x v="0"/>
    <n v="289"/>
    <n v="49"/>
    <n v="0.06"/>
    <s v="Web"/>
    <n v="47"/>
    <n v="0"/>
    <n v="0"/>
    <n v="0"/>
    <n v="0"/>
  </r>
  <r>
    <n v="1221"/>
    <s v="Female"/>
    <n v="53"/>
    <x v="2"/>
    <x v="0"/>
    <n v="280"/>
    <n v="74"/>
    <n v="0.39"/>
    <s v="Mobile"/>
    <n v="6"/>
    <n v="0"/>
    <n v="1"/>
    <n v="0"/>
    <n v="0"/>
  </r>
  <r>
    <n v="1222"/>
    <s v="Female"/>
    <n v="23"/>
    <x v="2"/>
    <x v="1"/>
    <n v="290"/>
    <n v="82"/>
    <n v="0.44"/>
    <s v="Desktop"/>
    <n v="0"/>
    <n v="1"/>
    <n v="1"/>
    <n v="14.99"/>
    <n v="14.99"/>
  </r>
  <r>
    <n v="1223"/>
    <s v="Other"/>
    <n v="47"/>
    <x v="5"/>
    <x v="1"/>
    <n v="100"/>
    <n v="26"/>
    <n v="0.06"/>
    <s v="Mobile"/>
    <n v="0"/>
    <n v="1"/>
    <n v="1"/>
    <n v="14.99"/>
    <n v="14.99"/>
  </r>
  <r>
    <n v="1224"/>
    <s v="Male"/>
    <n v="53"/>
    <x v="4"/>
    <x v="3"/>
    <n v="22"/>
    <n v="35"/>
    <n v="0.24"/>
    <s v="Mobile"/>
    <n v="0"/>
    <n v="1"/>
    <n v="1"/>
    <n v="4.99"/>
    <n v="4.99"/>
  </r>
  <r>
    <n v="1225"/>
    <s v="Female"/>
    <n v="39"/>
    <x v="3"/>
    <x v="1"/>
    <n v="13"/>
    <n v="15"/>
    <n v="0.05"/>
    <s v="Web"/>
    <n v="0"/>
    <n v="1"/>
    <n v="0"/>
    <n v="14.99"/>
    <n v="0"/>
  </r>
  <r>
    <n v="1226"/>
    <s v="Female"/>
    <n v="26"/>
    <x v="7"/>
    <x v="3"/>
    <n v="245"/>
    <n v="71"/>
    <n v="0.37"/>
    <s v="Desktop"/>
    <n v="0"/>
    <n v="1"/>
    <n v="1"/>
    <n v="4.99"/>
    <n v="4.99"/>
  </r>
  <r>
    <n v="1227"/>
    <s v="Male"/>
    <n v="44"/>
    <x v="1"/>
    <x v="1"/>
    <n v="162"/>
    <n v="4"/>
    <n v="0.24"/>
    <s v="Web"/>
    <n v="0"/>
    <n v="1"/>
    <n v="0"/>
    <n v="14.99"/>
    <n v="0"/>
  </r>
  <r>
    <n v="1228"/>
    <s v="Male"/>
    <n v="24"/>
    <x v="3"/>
    <x v="1"/>
    <n v="249"/>
    <n v="93"/>
    <n v="0.21"/>
    <s v="Desktop"/>
    <n v="0"/>
    <n v="1"/>
    <n v="0"/>
    <n v="14.99"/>
    <n v="0"/>
  </r>
  <r>
    <n v="1229"/>
    <s v="Other"/>
    <n v="41"/>
    <x v="0"/>
    <x v="0"/>
    <n v="218"/>
    <n v="6"/>
    <n v="0.13"/>
    <s v="Web"/>
    <n v="38"/>
    <n v="0"/>
    <n v="0"/>
    <n v="0"/>
    <n v="0"/>
  </r>
  <r>
    <n v="1230"/>
    <s v="Female"/>
    <n v="25"/>
    <x v="3"/>
    <x v="1"/>
    <n v="22"/>
    <n v="87"/>
    <n v="0.27"/>
    <s v="Mobile"/>
    <n v="0"/>
    <n v="1"/>
    <n v="0"/>
    <n v="14.99"/>
    <n v="0"/>
  </r>
  <r>
    <n v="1231"/>
    <s v="Male"/>
    <n v="49"/>
    <x v="5"/>
    <x v="0"/>
    <n v="269"/>
    <n v="82"/>
    <n v="0.42"/>
    <s v="Desktop"/>
    <n v="5"/>
    <n v="0"/>
    <n v="1"/>
    <n v="0"/>
    <n v="0"/>
  </r>
  <r>
    <n v="1232"/>
    <s v="Female"/>
    <n v="39"/>
    <x v="3"/>
    <x v="3"/>
    <n v="172"/>
    <n v="55"/>
    <n v="0.27"/>
    <s v="Desktop"/>
    <n v="0"/>
    <n v="1"/>
    <n v="0"/>
    <n v="4.99"/>
    <n v="0"/>
  </r>
  <r>
    <n v="1233"/>
    <s v="Other"/>
    <n v="39"/>
    <x v="1"/>
    <x v="1"/>
    <n v="10"/>
    <n v="36"/>
    <n v="0.04"/>
    <s v="Desktop"/>
    <n v="0"/>
    <n v="1"/>
    <n v="0"/>
    <n v="14.99"/>
    <n v="0"/>
  </r>
  <r>
    <n v="1234"/>
    <s v="Other"/>
    <n v="53"/>
    <x v="7"/>
    <x v="2"/>
    <n v="93"/>
    <n v="28"/>
    <n v="0.45"/>
    <s v="Mobile"/>
    <n v="0"/>
    <n v="1"/>
    <n v="1"/>
    <n v="9.99"/>
    <n v="9.99"/>
  </r>
  <r>
    <n v="1235"/>
    <s v="Other"/>
    <n v="32"/>
    <x v="6"/>
    <x v="0"/>
    <n v="272"/>
    <n v="38"/>
    <n v="0.34"/>
    <s v="Mobile"/>
    <n v="20"/>
    <n v="0"/>
    <n v="0"/>
    <n v="0"/>
    <n v="0"/>
  </r>
  <r>
    <n v="1236"/>
    <s v="Male"/>
    <n v="27"/>
    <x v="0"/>
    <x v="1"/>
    <n v="53"/>
    <n v="82"/>
    <n v="0.48"/>
    <s v="Mobile"/>
    <n v="0"/>
    <n v="1"/>
    <n v="0"/>
    <n v="14.99"/>
    <n v="0"/>
  </r>
  <r>
    <n v="1237"/>
    <s v="Male"/>
    <n v="40"/>
    <x v="6"/>
    <x v="0"/>
    <n v="59"/>
    <n v="30"/>
    <n v="0.1"/>
    <s v="Web"/>
    <n v="44"/>
    <n v="0"/>
    <n v="0"/>
    <n v="0"/>
    <n v="0"/>
  </r>
  <r>
    <n v="1238"/>
    <s v="Male"/>
    <n v="51"/>
    <x v="2"/>
    <x v="2"/>
    <n v="20"/>
    <n v="72"/>
    <n v="0.25"/>
    <s v="Mobile"/>
    <n v="0"/>
    <n v="1"/>
    <n v="0"/>
    <n v="9.99"/>
    <n v="0"/>
  </r>
  <r>
    <n v="1239"/>
    <s v="Female"/>
    <n v="52"/>
    <x v="4"/>
    <x v="2"/>
    <n v="247"/>
    <n v="41"/>
    <n v="0.33"/>
    <s v="Desktop"/>
    <n v="0"/>
    <n v="1"/>
    <n v="0"/>
    <n v="9.99"/>
    <n v="0"/>
  </r>
  <r>
    <n v="1240"/>
    <s v="Other"/>
    <n v="40"/>
    <x v="0"/>
    <x v="2"/>
    <n v="220"/>
    <n v="97"/>
    <n v="0.05"/>
    <s v="Desktop"/>
    <n v="0"/>
    <n v="1"/>
    <n v="0"/>
    <n v="9.99"/>
    <n v="0"/>
  </r>
  <r>
    <n v="1241"/>
    <s v="Other"/>
    <n v="23"/>
    <x v="1"/>
    <x v="2"/>
    <n v="70"/>
    <n v="85"/>
    <n v="0.46"/>
    <s v="Mobile"/>
    <n v="0"/>
    <n v="1"/>
    <n v="0"/>
    <n v="9.99"/>
    <n v="0"/>
  </r>
  <r>
    <n v="1242"/>
    <s v="Female"/>
    <n v="42"/>
    <x v="4"/>
    <x v="2"/>
    <n v="154"/>
    <n v="48"/>
    <n v="0.23"/>
    <s v="Desktop"/>
    <n v="0"/>
    <n v="1"/>
    <n v="0"/>
    <n v="9.99"/>
    <n v="0"/>
  </r>
  <r>
    <n v="1243"/>
    <s v="Male"/>
    <n v="18"/>
    <x v="4"/>
    <x v="2"/>
    <n v="234"/>
    <n v="6"/>
    <n v="0.52"/>
    <s v="Desktop"/>
    <n v="0"/>
    <n v="1"/>
    <n v="1"/>
    <n v="9.99"/>
    <n v="9.99"/>
  </r>
  <r>
    <n v="1244"/>
    <s v="Male"/>
    <n v="20"/>
    <x v="2"/>
    <x v="0"/>
    <n v="158"/>
    <n v="95"/>
    <n v="0.13"/>
    <s v="Desktop"/>
    <n v="10"/>
    <n v="0"/>
    <n v="0"/>
    <n v="0"/>
    <n v="0"/>
  </r>
  <r>
    <n v="1245"/>
    <s v="Other"/>
    <n v="34"/>
    <x v="2"/>
    <x v="1"/>
    <n v="35"/>
    <n v="3"/>
    <n v="0.09"/>
    <s v="Desktop"/>
    <n v="0"/>
    <n v="1"/>
    <n v="1"/>
    <n v="14.99"/>
    <n v="14.99"/>
  </r>
  <r>
    <n v="1246"/>
    <s v="Other"/>
    <n v="59"/>
    <x v="0"/>
    <x v="0"/>
    <n v="233"/>
    <n v="80"/>
    <n v="0.16"/>
    <s v="Desktop"/>
    <n v="36"/>
    <n v="0"/>
    <n v="0"/>
    <n v="0"/>
    <n v="0"/>
  </r>
  <r>
    <n v="1247"/>
    <s v="Other"/>
    <n v="34"/>
    <x v="5"/>
    <x v="0"/>
    <n v="177"/>
    <n v="27"/>
    <n v="0.3"/>
    <s v="Web"/>
    <n v="22"/>
    <n v="0"/>
    <n v="1"/>
    <n v="0"/>
    <n v="0"/>
  </r>
  <r>
    <n v="1248"/>
    <s v="Other"/>
    <n v="42"/>
    <x v="1"/>
    <x v="0"/>
    <n v="193"/>
    <n v="28"/>
    <n v="0.55000000000000004"/>
    <s v="Web"/>
    <n v="19"/>
    <n v="0"/>
    <n v="0"/>
    <n v="0"/>
    <n v="0"/>
  </r>
  <r>
    <n v="1249"/>
    <s v="Other"/>
    <n v="39"/>
    <x v="3"/>
    <x v="1"/>
    <n v="67"/>
    <n v="38"/>
    <n v="0.06"/>
    <s v="Mobile"/>
    <n v="0"/>
    <n v="1"/>
    <n v="1"/>
    <n v="14.99"/>
    <n v="14.99"/>
  </r>
  <r>
    <n v="1250"/>
    <s v="Female"/>
    <n v="58"/>
    <x v="6"/>
    <x v="2"/>
    <n v="244"/>
    <n v="4"/>
    <n v="0.37"/>
    <s v="Mobile"/>
    <n v="0"/>
    <n v="1"/>
    <n v="0"/>
    <n v="9.99"/>
    <n v="0"/>
  </r>
  <r>
    <n v="1251"/>
    <s v="Other"/>
    <n v="20"/>
    <x v="4"/>
    <x v="3"/>
    <n v="111"/>
    <n v="92"/>
    <n v="0.36"/>
    <s v="Desktop"/>
    <n v="0"/>
    <n v="1"/>
    <n v="1"/>
    <n v="4.99"/>
    <n v="4.99"/>
  </r>
  <r>
    <n v="1252"/>
    <s v="Female"/>
    <n v="52"/>
    <x v="3"/>
    <x v="0"/>
    <n v="281"/>
    <n v="1"/>
    <n v="0.1"/>
    <s v="Web"/>
    <n v="47"/>
    <n v="0"/>
    <n v="0"/>
    <n v="0"/>
    <n v="0"/>
  </r>
  <r>
    <n v="1253"/>
    <s v="Male"/>
    <n v="55"/>
    <x v="7"/>
    <x v="0"/>
    <n v="222"/>
    <n v="74"/>
    <n v="0.49"/>
    <s v="Web"/>
    <n v="34"/>
    <n v="0"/>
    <n v="0"/>
    <n v="0"/>
    <n v="0"/>
  </r>
  <r>
    <n v="1254"/>
    <s v="Male"/>
    <n v="31"/>
    <x v="5"/>
    <x v="1"/>
    <n v="142"/>
    <n v="98"/>
    <n v="0.28000000000000003"/>
    <s v="Desktop"/>
    <n v="0"/>
    <n v="1"/>
    <n v="1"/>
    <n v="14.99"/>
    <n v="14.99"/>
  </r>
  <r>
    <n v="1255"/>
    <s v="Female"/>
    <n v="20"/>
    <x v="1"/>
    <x v="1"/>
    <n v="188"/>
    <n v="10"/>
    <n v="0.33"/>
    <s v="Desktop"/>
    <n v="0"/>
    <n v="1"/>
    <n v="0"/>
    <n v="14.99"/>
    <n v="0"/>
  </r>
  <r>
    <n v="1256"/>
    <s v="Male"/>
    <n v="21"/>
    <x v="2"/>
    <x v="3"/>
    <n v="11"/>
    <n v="3"/>
    <n v="0.48"/>
    <s v="Desktop"/>
    <n v="0"/>
    <n v="1"/>
    <n v="1"/>
    <n v="4.99"/>
    <n v="4.99"/>
  </r>
  <r>
    <n v="1257"/>
    <s v="Other"/>
    <n v="27"/>
    <x v="4"/>
    <x v="2"/>
    <n v="221"/>
    <n v="53"/>
    <n v="0.01"/>
    <s v="Mobile"/>
    <n v="0"/>
    <n v="1"/>
    <n v="1"/>
    <n v="9.99"/>
    <n v="9.99"/>
  </r>
  <r>
    <n v="1258"/>
    <s v="Other"/>
    <n v="57"/>
    <x v="5"/>
    <x v="3"/>
    <n v="76"/>
    <n v="9"/>
    <n v="0.11"/>
    <s v="Web"/>
    <n v="0"/>
    <n v="1"/>
    <n v="0"/>
    <n v="4.99"/>
    <n v="0"/>
  </r>
  <r>
    <n v="1259"/>
    <s v="Male"/>
    <n v="55"/>
    <x v="1"/>
    <x v="0"/>
    <n v="166"/>
    <n v="55"/>
    <n v="0.28000000000000003"/>
    <s v="Web"/>
    <n v="32"/>
    <n v="0"/>
    <n v="0"/>
    <n v="0"/>
    <n v="0"/>
  </r>
  <r>
    <n v="1260"/>
    <s v="Other"/>
    <n v="32"/>
    <x v="0"/>
    <x v="0"/>
    <n v="180"/>
    <n v="91"/>
    <n v="0.37"/>
    <s v="Web"/>
    <n v="7"/>
    <n v="0"/>
    <n v="0"/>
    <n v="0"/>
    <n v="0"/>
  </r>
  <r>
    <n v="1261"/>
    <s v="Other"/>
    <n v="17"/>
    <x v="0"/>
    <x v="0"/>
    <n v="298"/>
    <n v="88"/>
    <n v="0.14000000000000001"/>
    <s v="Mobile"/>
    <n v="37"/>
    <n v="0"/>
    <n v="0"/>
    <n v="0"/>
    <n v="0"/>
  </r>
  <r>
    <n v="1262"/>
    <s v="Male"/>
    <n v="38"/>
    <x v="1"/>
    <x v="0"/>
    <n v="71"/>
    <n v="85"/>
    <n v="0.4"/>
    <s v="Web"/>
    <n v="40"/>
    <n v="0"/>
    <n v="1"/>
    <n v="0"/>
    <n v="0"/>
  </r>
  <r>
    <n v="1263"/>
    <s v="Female"/>
    <n v="58"/>
    <x v="4"/>
    <x v="3"/>
    <n v="115"/>
    <n v="23"/>
    <n v="0.34"/>
    <s v="Desktop"/>
    <n v="0"/>
    <n v="1"/>
    <n v="0"/>
    <n v="4.99"/>
    <n v="0"/>
  </r>
  <r>
    <n v="1264"/>
    <s v="Male"/>
    <n v="42"/>
    <x v="4"/>
    <x v="1"/>
    <n v="193"/>
    <n v="66"/>
    <n v="0.22"/>
    <s v="Mobile"/>
    <n v="0"/>
    <n v="1"/>
    <n v="0"/>
    <n v="14.99"/>
    <n v="0"/>
  </r>
  <r>
    <n v="1265"/>
    <s v="Female"/>
    <n v="46"/>
    <x v="2"/>
    <x v="0"/>
    <n v="242"/>
    <n v="37"/>
    <n v="0.2"/>
    <s v="Web"/>
    <n v="34"/>
    <n v="0"/>
    <n v="0"/>
    <n v="0"/>
    <n v="0"/>
  </r>
  <r>
    <n v="1266"/>
    <s v="Male"/>
    <n v="51"/>
    <x v="4"/>
    <x v="2"/>
    <n v="12"/>
    <n v="81"/>
    <n v="0.3"/>
    <s v="Mobile"/>
    <n v="0"/>
    <n v="1"/>
    <n v="0"/>
    <n v="9.99"/>
    <n v="0"/>
  </r>
  <r>
    <n v="1267"/>
    <s v="Female"/>
    <n v="17"/>
    <x v="7"/>
    <x v="3"/>
    <n v="116"/>
    <n v="40"/>
    <n v="0.01"/>
    <s v="Desktop"/>
    <n v="0"/>
    <n v="1"/>
    <n v="0"/>
    <n v="4.99"/>
    <n v="0"/>
  </r>
  <r>
    <n v="1268"/>
    <s v="Male"/>
    <n v="54"/>
    <x v="2"/>
    <x v="1"/>
    <n v="213"/>
    <n v="38"/>
    <n v="0.55000000000000004"/>
    <s v="Desktop"/>
    <n v="0"/>
    <n v="1"/>
    <n v="1"/>
    <n v="14.99"/>
    <n v="14.99"/>
  </r>
  <r>
    <n v="1269"/>
    <s v="Other"/>
    <n v="35"/>
    <x v="1"/>
    <x v="0"/>
    <n v="246"/>
    <n v="46"/>
    <n v="0.13"/>
    <s v="Mobile"/>
    <n v="18"/>
    <n v="0"/>
    <n v="0"/>
    <n v="0"/>
    <n v="0"/>
  </r>
  <r>
    <n v="1270"/>
    <s v="Other"/>
    <n v="16"/>
    <x v="7"/>
    <x v="0"/>
    <n v="48"/>
    <n v="31"/>
    <n v="0.48"/>
    <s v="Desktop"/>
    <n v="44"/>
    <n v="0"/>
    <n v="0"/>
    <n v="0"/>
    <n v="0"/>
  </r>
  <r>
    <n v="1271"/>
    <s v="Male"/>
    <n v="57"/>
    <x v="2"/>
    <x v="1"/>
    <n v="133"/>
    <n v="19"/>
    <n v="0.12"/>
    <s v="Web"/>
    <n v="0"/>
    <n v="1"/>
    <n v="0"/>
    <n v="14.99"/>
    <n v="0"/>
  </r>
  <r>
    <n v="1272"/>
    <s v="Female"/>
    <n v="42"/>
    <x v="5"/>
    <x v="3"/>
    <n v="207"/>
    <n v="75"/>
    <n v="0.04"/>
    <s v="Web"/>
    <n v="0"/>
    <n v="1"/>
    <n v="0"/>
    <n v="4.99"/>
    <n v="0"/>
  </r>
  <r>
    <n v="1273"/>
    <s v="Female"/>
    <n v="31"/>
    <x v="4"/>
    <x v="0"/>
    <n v="180"/>
    <n v="7"/>
    <n v="0.44"/>
    <s v="Desktop"/>
    <n v="44"/>
    <n v="0"/>
    <n v="0"/>
    <n v="0"/>
    <n v="0"/>
  </r>
  <r>
    <n v="1274"/>
    <s v="Male"/>
    <n v="53"/>
    <x v="0"/>
    <x v="2"/>
    <n v="79"/>
    <n v="74"/>
    <n v="0.05"/>
    <s v="Desktop"/>
    <n v="0"/>
    <n v="1"/>
    <n v="0"/>
    <n v="9.99"/>
    <n v="0"/>
  </r>
  <r>
    <n v="1275"/>
    <s v="Female"/>
    <n v="25"/>
    <x v="2"/>
    <x v="2"/>
    <n v="294"/>
    <n v="74"/>
    <n v="0.36"/>
    <s v="Web"/>
    <n v="0"/>
    <n v="1"/>
    <n v="0"/>
    <n v="9.99"/>
    <n v="0"/>
  </r>
  <r>
    <n v="1276"/>
    <s v="Male"/>
    <n v="59"/>
    <x v="7"/>
    <x v="2"/>
    <n v="118"/>
    <n v="39"/>
    <n v="0.01"/>
    <s v="Web"/>
    <n v="0"/>
    <n v="1"/>
    <n v="0"/>
    <n v="9.99"/>
    <n v="0"/>
  </r>
  <r>
    <n v="1277"/>
    <s v="Male"/>
    <n v="27"/>
    <x v="6"/>
    <x v="2"/>
    <n v="205"/>
    <n v="53"/>
    <n v="0.42"/>
    <s v="Mobile"/>
    <n v="0"/>
    <n v="1"/>
    <n v="1"/>
    <n v="9.99"/>
    <n v="9.99"/>
  </r>
  <r>
    <n v="1278"/>
    <s v="Female"/>
    <n v="37"/>
    <x v="2"/>
    <x v="0"/>
    <n v="84"/>
    <n v="83"/>
    <n v="0.2"/>
    <s v="Web"/>
    <n v="7"/>
    <n v="0"/>
    <n v="0"/>
    <n v="0"/>
    <n v="0"/>
  </r>
  <r>
    <n v="1279"/>
    <s v="Other"/>
    <n v="34"/>
    <x v="2"/>
    <x v="2"/>
    <n v="296"/>
    <n v="98"/>
    <n v="0.03"/>
    <s v="Mobile"/>
    <n v="0"/>
    <n v="1"/>
    <n v="0"/>
    <n v="9.99"/>
    <n v="0"/>
  </r>
  <r>
    <n v="1280"/>
    <s v="Male"/>
    <n v="36"/>
    <x v="7"/>
    <x v="3"/>
    <n v="281"/>
    <n v="27"/>
    <n v="0.08"/>
    <s v="Desktop"/>
    <n v="0"/>
    <n v="1"/>
    <n v="1"/>
    <n v="4.99"/>
    <n v="4.99"/>
  </r>
  <r>
    <n v="1281"/>
    <s v="Female"/>
    <n v="43"/>
    <x v="6"/>
    <x v="0"/>
    <n v="63"/>
    <n v="90"/>
    <n v="0.32"/>
    <s v="Web"/>
    <n v="49"/>
    <n v="0"/>
    <n v="1"/>
    <n v="0"/>
    <n v="0"/>
  </r>
  <r>
    <n v="1282"/>
    <s v="Female"/>
    <n v="40"/>
    <x v="7"/>
    <x v="0"/>
    <n v="219"/>
    <n v="71"/>
    <n v="0.2"/>
    <s v="Desktop"/>
    <n v="26"/>
    <n v="0"/>
    <n v="0"/>
    <n v="0"/>
    <n v="0"/>
  </r>
  <r>
    <n v="1283"/>
    <s v="Other"/>
    <n v="57"/>
    <x v="2"/>
    <x v="2"/>
    <n v="63"/>
    <n v="73"/>
    <n v="0.1"/>
    <s v="Web"/>
    <n v="0"/>
    <n v="1"/>
    <n v="0"/>
    <n v="9.99"/>
    <n v="0"/>
  </r>
  <r>
    <n v="1284"/>
    <s v="Other"/>
    <n v="43"/>
    <x v="3"/>
    <x v="1"/>
    <n v="261"/>
    <n v="55"/>
    <n v="0.15"/>
    <s v="Mobile"/>
    <n v="0"/>
    <n v="1"/>
    <n v="0"/>
    <n v="14.99"/>
    <n v="0"/>
  </r>
  <r>
    <n v="1285"/>
    <s v="Male"/>
    <n v="36"/>
    <x v="4"/>
    <x v="0"/>
    <n v="243"/>
    <n v="36"/>
    <n v="0.28999999999999998"/>
    <s v="Desktop"/>
    <n v="32"/>
    <n v="0"/>
    <n v="1"/>
    <n v="0"/>
    <n v="0"/>
  </r>
  <r>
    <n v="1286"/>
    <s v="Female"/>
    <n v="33"/>
    <x v="7"/>
    <x v="2"/>
    <n v="110"/>
    <n v="78"/>
    <n v="0.42"/>
    <s v="Web"/>
    <n v="0"/>
    <n v="1"/>
    <n v="0"/>
    <n v="9.99"/>
    <n v="0"/>
  </r>
  <r>
    <n v="1287"/>
    <s v="Other"/>
    <n v="37"/>
    <x v="2"/>
    <x v="3"/>
    <n v="41"/>
    <n v="98"/>
    <n v="0.04"/>
    <s v="Web"/>
    <n v="0"/>
    <n v="1"/>
    <n v="0"/>
    <n v="4.99"/>
    <n v="0"/>
  </r>
  <r>
    <n v="1288"/>
    <s v="Other"/>
    <n v="56"/>
    <x v="3"/>
    <x v="2"/>
    <n v="140"/>
    <n v="79"/>
    <n v="0.13"/>
    <s v="Web"/>
    <n v="0"/>
    <n v="1"/>
    <n v="0"/>
    <n v="9.99"/>
    <n v="0"/>
  </r>
  <r>
    <n v="1289"/>
    <s v="Male"/>
    <n v="45"/>
    <x v="3"/>
    <x v="3"/>
    <n v="178"/>
    <n v="97"/>
    <n v="0.52"/>
    <s v="Desktop"/>
    <n v="0"/>
    <n v="1"/>
    <n v="0"/>
    <n v="4.99"/>
    <n v="0"/>
  </r>
  <r>
    <n v="1290"/>
    <s v="Male"/>
    <n v="29"/>
    <x v="1"/>
    <x v="3"/>
    <n v="179"/>
    <n v="13"/>
    <n v="0.43"/>
    <s v="Mobile"/>
    <n v="0"/>
    <n v="1"/>
    <n v="0"/>
    <n v="4.99"/>
    <n v="0"/>
  </r>
  <r>
    <n v="1291"/>
    <s v="Male"/>
    <n v="35"/>
    <x v="0"/>
    <x v="0"/>
    <n v="168"/>
    <n v="85"/>
    <n v="0.43"/>
    <s v="Mobile"/>
    <n v="39"/>
    <n v="0"/>
    <n v="0"/>
    <n v="0"/>
    <n v="0"/>
  </r>
  <r>
    <n v="1292"/>
    <s v="Female"/>
    <n v="24"/>
    <x v="6"/>
    <x v="2"/>
    <n v="90"/>
    <n v="7"/>
    <n v="0.56000000000000005"/>
    <s v="Web"/>
    <n v="0"/>
    <n v="1"/>
    <n v="0"/>
    <n v="9.99"/>
    <n v="0"/>
  </r>
  <r>
    <n v="1293"/>
    <s v="Male"/>
    <n v="44"/>
    <x v="0"/>
    <x v="0"/>
    <n v="296"/>
    <n v="90"/>
    <n v="0.15"/>
    <s v="Web"/>
    <n v="26"/>
    <n v="0"/>
    <n v="1"/>
    <n v="0"/>
    <n v="0"/>
  </r>
  <r>
    <n v="1294"/>
    <s v="Other"/>
    <n v="29"/>
    <x v="7"/>
    <x v="0"/>
    <n v="268"/>
    <n v="41"/>
    <n v="0.2"/>
    <s v="Web"/>
    <n v="38"/>
    <n v="0"/>
    <n v="1"/>
    <n v="0"/>
    <n v="0"/>
  </r>
  <r>
    <n v="1295"/>
    <s v="Other"/>
    <n v="47"/>
    <x v="5"/>
    <x v="0"/>
    <n v="80"/>
    <n v="39"/>
    <n v="0.31"/>
    <s v="Desktop"/>
    <n v="43"/>
    <n v="0"/>
    <n v="1"/>
    <n v="0"/>
    <n v="0"/>
  </r>
  <r>
    <n v="1296"/>
    <s v="Male"/>
    <n v="44"/>
    <x v="2"/>
    <x v="0"/>
    <n v="199"/>
    <n v="59"/>
    <n v="0.06"/>
    <s v="Desktop"/>
    <n v="32"/>
    <n v="0"/>
    <n v="0"/>
    <n v="0"/>
    <n v="0"/>
  </r>
  <r>
    <n v="1297"/>
    <s v="Male"/>
    <n v="53"/>
    <x v="1"/>
    <x v="3"/>
    <n v="116"/>
    <n v="37"/>
    <n v="0.44"/>
    <s v="Mobile"/>
    <n v="0"/>
    <n v="1"/>
    <n v="0"/>
    <n v="4.99"/>
    <n v="0"/>
  </r>
  <r>
    <n v="1298"/>
    <s v="Female"/>
    <n v="20"/>
    <x v="2"/>
    <x v="1"/>
    <n v="198"/>
    <n v="87"/>
    <n v="0.27"/>
    <s v="Web"/>
    <n v="0"/>
    <n v="1"/>
    <n v="0"/>
    <n v="14.99"/>
    <n v="0"/>
  </r>
  <r>
    <n v="1299"/>
    <s v="Female"/>
    <n v="25"/>
    <x v="4"/>
    <x v="1"/>
    <n v="201"/>
    <n v="31"/>
    <n v="0.17"/>
    <s v="Web"/>
    <n v="0"/>
    <n v="1"/>
    <n v="1"/>
    <n v="14.99"/>
    <n v="14.99"/>
  </r>
  <r>
    <n v="1300"/>
    <s v="Male"/>
    <n v="31"/>
    <x v="2"/>
    <x v="3"/>
    <n v="80"/>
    <n v="27"/>
    <n v="0.1"/>
    <s v="Web"/>
    <n v="0"/>
    <n v="1"/>
    <n v="0"/>
    <n v="4.99"/>
    <n v="0"/>
  </r>
  <r>
    <n v="1301"/>
    <s v="Other"/>
    <n v="41"/>
    <x v="2"/>
    <x v="3"/>
    <n v="222"/>
    <n v="90"/>
    <n v="0.57999999999999996"/>
    <s v="Web"/>
    <n v="0"/>
    <n v="1"/>
    <n v="0"/>
    <n v="4.99"/>
    <n v="0"/>
  </r>
  <r>
    <n v="1302"/>
    <s v="Female"/>
    <n v="43"/>
    <x v="7"/>
    <x v="3"/>
    <n v="36"/>
    <n v="47"/>
    <n v="0.4"/>
    <s v="Web"/>
    <n v="0"/>
    <n v="1"/>
    <n v="1"/>
    <n v="4.99"/>
    <n v="4.99"/>
  </r>
  <r>
    <n v="1303"/>
    <s v="Female"/>
    <n v="18"/>
    <x v="3"/>
    <x v="2"/>
    <n v="113"/>
    <n v="92"/>
    <n v="0.04"/>
    <s v="Mobile"/>
    <n v="0"/>
    <n v="1"/>
    <n v="0"/>
    <n v="9.99"/>
    <n v="0"/>
  </r>
  <r>
    <n v="1304"/>
    <s v="Other"/>
    <n v="31"/>
    <x v="0"/>
    <x v="1"/>
    <n v="149"/>
    <n v="96"/>
    <n v="0.28000000000000003"/>
    <s v="Desktop"/>
    <n v="0"/>
    <n v="1"/>
    <n v="0"/>
    <n v="14.99"/>
    <n v="0"/>
  </r>
  <r>
    <n v="1305"/>
    <s v="Male"/>
    <n v="44"/>
    <x v="2"/>
    <x v="0"/>
    <n v="34"/>
    <n v="50"/>
    <n v="0.15"/>
    <s v="Mobile"/>
    <n v="27"/>
    <n v="0"/>
    <n v="0"/>
    <n v="0"/>
    <n v="0"/>
  </r>
  <r>
    <n v="1306"/>
    <s v="Male"/>
    <n v="27"/>
    <x v="7"/>
    <x v="0"/>
    <n v="20"/>
    <n v="68"/>
    <n v="0"/>
    <s v="Mobile"/>
    <n v="45"/>
    <n v="0"/>
    <n v="0"/>
    <n v="0"/>
    <n v="0"/>
  </r>
  <r>
    <n v="1307"/>
    <s v="Other"/>
    <n v="21"/>
    <x v="0"/>
    <x v="0"/>
    <n v="198"/>
    <n v="46"/>
    <n v="0.49"/>
    <s v="Mobile"/>
    <n v="42"/>
    <n v="0"/>
    <n v="0"/>
    <n v="0"/>
    <n v="0"/>
  </r>
  <r>
    <n v="1308"/>
    <s v="Male"/>
    <n v="25"/>
    <x v="7"/>
    <x v="0"/>
    <n v="265"/>
    <n v="26"/>
    <n v="0.5"/>
    <s v="Desktop"/>
    <n v="14"/>
    <n v="0"/>
    <n v="0"/>
    <n v="0"/>
    <n v="0"/>
  </r>
  <r>
    <n v="1309"/>
    <s v="Male"/>
    <n v="43"/>
    <x v="5"/>
    <x v="2"/>
    <n v="149"/>
    <n v="38"/>
    <n v="0.04"/>
    <s v="Desktop"/>
    <n v="0"/>
    <n v="1"/>
    <n v="0"/>
    <n v="9.99"/>
    <n v="0"/>
  </r>
  <r>
    <n v="1310"/>
    <s v="Other"/>
    <n v="52"/>
    <x v="0"/>
    <x v="1"/>
    <n v="217"/>
    <n v="72"/>
    <n v="0.13"/>
    <s v="Web"/>
    <n v="0"/>
    <n v="1"/>
    <n v="0"/>
    <n v="14.99"/>
    <n v="0"/>
  </r>
  <r>
    <n v="1311"/>
    <s v="Other"/>
    <n v="36"/>
    <x v="0"/>
    <x v="2"/>
    <n v="54"/>
    <n v="24"/>
    <n v="0.56000000000000005"/>
    <s v="Mobile"/>
    <n v="0"/>
    <n v="1"/>
    <n v="1"/>
    <n v="9.99"/>
    <n v="9.99"/>
  </r>
  <r>
    <n v="1312"/>
    <s v="Female"/>
    <n v="31"/>
    <x v="6"/>
    <x v="3"/>
    <n v="278"/>
    <n v="12"/>
    <n v="0.18"/>
    <s v="Web"/>
    <n v="0"/>
    <n v="1"/>
    <n v="1"/>
    <n v="4.99"/>
    <n v="4.99"/>
  </r>
  <r>
    <n v="1313"/>
    <s v="Other"/>
    <n v="41"/>
    <x v="3"/>
    <x v="0"/>
    <n v="99"/>
    <n v="43"/>
    <n v="0.04"/>
    <s v="Web"/>
    <n v="19"/>
    <n v="0"/>
    <n v="0"/>
    <n v="0"/>
    <n v="0"/>
  </r>
  <r>
    <n v="1314"/>
    <s v="Male"/>
    <n v="57"/>
    <x v="3"/>
    <x v="0"/>
    <n v="89"/>
    <n v="4"/>
    <n v="0.24"/>
    <s v="Web"/>
    <n v="27"/>
    <n v="0"/>
    <n v="1"/>
    <n v="0"/>
    <n v="0"/>
  </r>
  <r>
    <n v="1315"/>
    <s v="Female"/>
    <n v="46"/>
    <x v="6"/>
    <x v="1"/>
    <n v="245"/>
    <n v="65"/>
    <n v="0.56999999999999995"/>
    <s v="Mobile"/>
    <n v="0"/>
    <n v="1"/>
    <n v="0"/>
    <n v="14.99"/>
    <n v="0"/>
  </r>
  <r>
    <n v="1316"/>
    <s v="Other"/>
    <n v="16"/>
    <x v="4"/>
    <x v="3"/>
    <n v="252"/>
    <n v="17"/>
    <n v="0.51"/>
    <s v="Mobile"/>
    <n v="0"/>
    <n v="1"/>
    <n v="0"/>
    <n v="4.99"/>
    <n v="0"/>
  </r>
  <r>
    <n v="1317"/>
    <s v="Male"/>
    <n v="20"/>
    <x v="7"/>
    <x v="2"/>
    <n v="11"/>
    <n v="59"/>
    <n v="0.42"/>
    <s v="Web"/>
    <n v="0"/>
    <n v="1"/>
    <n v="1"/>
    <n v="9.99"/>
    <n v="9.99"/>
  </r>
  <r>
    <n v="1318"/>
    <s v="Male"/>
    <n v="55"/>
    <x v="0"/>
    <x v="3"/>
    <n v="29"/>
    <n v="2"/>
    <n v="0.27"/>
    <s v="Mobile"/>
    <n v="0"/>
    <n v="1"/>
    <n v="0"/>
    <n v="4.99"/>
    <n v="0"/>
  </r>
  <r>
    <n v="1319"/>
    <s v="Other"/>
    <n v="32"/>
    <x v="2"/>
    <x v="1"/>
    <n v="78"/>
    <n v="95"/>
    <n v="0.15"/>
    <s v="Web"/>
    <n v="0"/>
    <n v="1"/>
    <n v="1"/>
    <n v="14.99"/>
    <n v="14.99"/>
  </r>
  <r>
    <n v="1320"/>
    <s v="Female"/>
    <n v="26"/>
    <x v="6"/>
    <x v="0"/>
    <n v="199"/>
    <n v="95"/>
    <n v="0.47"/>
    <s v="Web"/>
    <n v="49"/>
    <n v="0"/>
    <n v="0"/>
    <n v="0"/>
    <n v="0"/>
  </r>
  <r>
    <n v="1321"/>
    <s v="Male"/>
    <n v="25"/>
    <x v="2"/>
    <x v="0"/>
    <n v="238"/>
    <n v="34"/>
    <n v="0.18"/>
    <s v="Desktop"/>
    <n v="32"/>
    <n v="0"/>
    <n v="0"/>
    <n v="0"/>
    <n v="0"/>
  </r>
  <r>
    <n v="1322"/>
    <s v="Other"/>
    <n v="57"/>
    <x v="4"/>
    <x v="2"/>
    <n v="231"/>
    <n v="77"/>
    <n v="0.23"/>
    <s v="Mobile"/>
    <n v="0"/>
    <n v="1"/>
    <n v="0"/>
    <n v="9.99"/>
    <n v="0"/>
  </r>
  <r>
    <n v="1323"/>
    <s v="Female"/>
    <n v="28"/>
    <x v="2"/>
    <x v="3"/>
    <n v="283"/>
    <n v="17"/>
    <n v="0.04"/>
    <s v="Mobile"/>
    <n v="0"/>
    <n v="1"/>
    <n v="1"/>
    <n v="4.99"/>
    <n v="4.99"/>
  </r>
  <r>
    <n v="1324"/>
    <s v="Male"/>
    <n v="26"/>
    <x v="3"/>
    <x v="2"/>
    <n v="209"/>
    <n v="78"/>
    <n v="0.57999999999999996"/>
    <s v="Desktop"/>
    <n v="0"/>
    <n v="1"/>
    <n v="0"/>
    <n v="9.99"/>
    <n v="0"/>
  </r>
  <r>
    <n v="1325"/>
    <s v="Female"/>
    <n v="59"/>
    <x v="4"/>
    <x v="2"/>
    <n v="227"/>
    <n v="23"/>
    <n v="7.0000000000000007E-2"/>
    <s v="Mobile"/>
    <n v="0"/>
    <n v="1"/>
    <n v="0"/>
    <n v="9.99"/>
    <n v="0"/>
  </r>
  <r>
    <n v="1326"/>
    <s v="Female"/>
    <n v="20"/>
    <x v="0"/>
    <x v="2"/>
    <n v="36"/>
    <n v="23"/>
    <n v="0.18"/>
    <s v="Desktop"/>
    <n v="0"/>
    <n v="1"/>
    <n v="0"/>
    <n v="9.99"/>
    <n v="0"/>
  </r>
  <r>
    <n v="1327"/>
    <s v="Female"/>
    <n v="54"/>
    <x v="6"/>
    <x v="1"/>
    <n v="117"/>
    <n v="73"/>
    <n v="0.4"/>
    <s v="Mobile"/>
    <n v="0"/>
    <n v="1"/>
    <n v="0"/>
    <n v="14.99"/>
    <n v="0"/>
  </r>
  <r>
    <n v="1328"/>
    <s v="Male"/>
    <n v="57"/>
    <x v="5"/>
    <x v="1"/>
    <n v="131"/>
    <n v="6"/>
    <n v="0.27"/>
    <s v="Web"/>
    <n v="0"/>
    <n v="1"/>
    <n v="1"/>
    <n v="14.99"/>
    <n v="14.99"/>
  </r>
  <r>
    <n v="1329"/>
    <s v="Other"/>
    <n v="30"/>
    <x v="7"/>
    <x v="3"/>
    <n v="293"/>
    <n v="30"/>
    <n v="0.56000000000000005"/>
    <s v="Mobile"/>
    <n v="0"/>
    <n v="1"/>
    <n v="0"/>
    <n v="4.99"/>
    <n v="0"/>
  </r>
  <r>
    <n v="1330"/>
    <s v="Female"/>
    <n v="53"/>
    <x v="1"/>
    <x v="2"/>
    <n v="44"/>
    <n v="67"/>
    <n v="0.18"/>
    <s v="Mobile"/>
    <n v="0"/>
    <n v="1"/>
    <n v="0"/>
    <n v="9.99"/>
    <n v="0"/>
  </r>
  <r>
    <n v="1331"/>
    <s v="Male"/>
    <n v="40"/>
    <x v="3"/>
    <x v="1"/>
    <n v="268"/>
    <n v="98"/>
    <n v="0.33"/>
    <s v="Desktop"/>
    <n v="0"/>
    <n v="1"/>
    <n v="0"/>
    <n v="14.99"/>
    <n v="0"/>
  </r>
  <r>
    <n v="1332"/>
    <s v="Female"/>
    <n v="59"/>
    <x v="6"/>
    <x v="1"/>
    <n v="242"/>
    <n v="67"/>
    <n v="0.41"/>
    <s v="Desktop"/>
    <n v="0"/>
    <n v="1"/>
    <n v="0"/>
    <n v="14.99"/>
    <n v="0"/>
  </r>
  <r>
    <n v="1333"/>
    <s v="Male"/>
    <n v="21"/>
    <x v="2"/>
    <x v="1"/>
    <n v="141"/>
    <n v="94"/>
    <n v="0.54"/>
    <s v="Mobile"/>
    <n v="0"/>
    <n v="1"/>
    <n v="1"/>
    <n v="14.99"/>
    <n v="14.99"/>
  </r>
  <r>
    <n v="1334"/>
    <s v="Female"/>
    <n v="48"/>
    <x v="0"/>
    <x v="1"/>
    <n v="277"/>
    <n v="74"/>
    <n v="0.36"/>
    <s v="Mobile"/>
    <n v="0"/>
    <n v="1"/>
    <n v="0"/>
    <n v="14.99"/>
    <n v="0"/>
  </r>
  <r>
    <n v="1335"/>
    <s v="Female"/>
    <n v="42"/>
    <x v="7"/>
    <x v="1"/>
    <n v="106"/>
    <n v="98"/>
    <n v="0.59"/>
    <s v="Desktop"/>
    <n v="0"/>
    <n v="1"/>
    <n v="0"/>
    <n v="14.99"/>
    <n v="0"/>
  </r>
  <r>
    <n v="1336"/>
    <s v="Female"/>
    <n v="37"/>
    <x v="7"/>
    <x v="2"/>
    <n v="153"/>
    <n v="93"/>
    <n v="0.51"/>
    <s v="Mobile"/>
    <n v="0"/>
    <n v="1"/>
    <n v="1"/>
    <n v="9.99"/>
    <n v="9.99"/>
  </r>
  <r>
    <n v="1337"/>
    <s v="Other"/>
    <n v="57"/>
    <x v="4"/>
    <x v="3"/>
    <n v="91"/>
    <n v="33"/>
    <n v="0.06"/>
    <s v="Mobile"/>
    <n v="0"/>
    <n v="1"/>
    <n v="0"/>
    <n v="4.99"/>
    <n v="0"/>
  </r>
  <r>
    <n v="1338"/>
    <s v="Female"/>
    <n v="25"/>
    <x v="0"/>
    <x v="1"/>
    <n v="264"/>
    <n v="43"/>
    <n v="0.51"/>
    <s v="Web"/>
    <n v="0"/>
    <n v="1"/>
    <n v="0"/>
    <n v="14.99"/>
    <n v="0"/>
  </r>
  <r>
    <n v="1339"/>
    <s v="Male"/>
    <n v="22"/>
    <x v="3"/>
    <x v="1"/>
    <n v="163"/>
    <n v="55"/>
    <n v="0.01"/>
    <s v="Desktop"/>
    <n v="0"/>
    <n v="1"/>
    <n v="1"/>
    <n v="14.99"/>
    <n v="14.99"/>
  </r>
  <r>
    <n v="1340"/>
    <s v="Male"/>
    <n v="33"/>
    <x v="3"/>
    <x v="3"/>
    <n v="87"/>
    <n v="87"/>
    <n v="0.22"/>
    <s v="Desktop"/>
    <n v="0"/>
    <n v="1"/>
    <n v="0"/>
    <n v="4.99"/>
    <n v="0"/>
  </r>
  <r>
    <n v="1341"/>
    <s v="Female"/>
    <n v="18"/>
    <x v="4"/>
    <x v="2"/>
    <n v="155"/>
    <n v="45"/>
    <n v="0.42"/>
    <s v="Web"/>
    <n v="0"/>
    <n v="1"/>
    <n v="1"/>
    <n v="9.99"/>
    <n v="9.99"/>
  </r>
  <r>
    <n v="1342"/>
    <s v="Male"/>
    <n v="58"/>
    <x v="6"/>
    <x v="0"/>
    <n v="90"/>
    <n v="57"/>
    <n v="0.01"/>
    <s v="Web"/>
    <n v="6"/>
    <n v="0"/>
    <n v="1"/>
    <n v="0"/>
    <n v="0"/>
  </r>
  <r>
    <n v="1343"/>
    <s v="Other"/>
    <n v="43"/>
    <x v="7"/>
    <x v="3"/>
    <n v="20"/>
    <n v="56"/>
    <n v="0.09"/>
    <s v="Web"/>
    <n v="0"/>
    <n v="1"/>
    <n v="0"/>
    <n v="4.99"/>
    <n v="0"/>
  </r>
  <r>
    <n v="1344"/>
    <s v="Male"/>
    <n v="33"/>
    <x v="4"/>
    <x v="0"/>
    <n v="262"/>
    <n v="56"/>
    <n v="0.16"/>
    <s v="Desktop"/>
    <n v="41"/>
    <n v="0"/>
    <n v="0"/>
    <n v="0"/>
    <n v="0"/>
  </r>
  <r>
    <n v="1345"/>
    <s v="Other"/>
    <n v="19"/>
    <x v="5"/>
    <x v="0"/>
    <n v="177"/>
    <n v="59"/>
    <n v="0.32"/>
    <s v="Web"/>
    <n v="48"/>
    <n v="0"/>
    <n v="0"/>
    <n v="0"/>
    <n v="0"/>
  </r>
  <r>
    <n v="1346"/>
    <s v="Other"/>
    <n v="57"/>
    <x v="4"/>
    <x v="3"/>
    <n v="232"/>
    <n v="43"/>
    <n v="0.59"/>
    <s v="Web"/>
    <n v="0"/>
    <n v="1"/>
    <n v="1"/>
    <n v="4.99"/>
    <n v="4.99"/>
  </r>
  <r>
    <n v="1347"/>
    <s v="Other"/>
    <n v="32"/>
    <x v="2"/>
    <x v="3"/>
    <n v="288"/>
    <n v="84"/>
    <n v="0.33"/>
    <s v="Desktop"/>
    <n v="0"/>
    <n v="1"/>
    <n v="0"/>
    <n v="4.99"/>
    <n v="0"/>
  </r>
  <r>
    <n v="1348"/>
    <s v="Other"/>
    <n v="51"/>
    <x v="0"/>
    <x v="1"/>
    <n v="122"/>
    <n v="20"/>
    <n v="0.41"/>
    <s v="Web"/>
    <n v="0"/>
    <n v="1"/>
    <n v="1"/>
    <n v="14.99"/>
    <n v="14.99"/>
  </r>
  <r>
    <n v="1349"/>
    <s v="Other"/>
    <n v="30"/>
    <x v="3"/>
    <x v="2"/>
    <n v="249"/>
    <n v="21"/>
    <n v="0.53"/>
    <s v="Mobile"/>
    <n v="0"/>
    <n v="1"/>
    <n v="0"/>
    <n v="9.99"/>
    <n v="0"/>
  </r>
  <r>
    <n v="1350"/>
    <s v="Male"/>
    <n v="34"/>
    <x v="3"/>
    <x v="3"/>
    <n v="177"/>
    <n v="22"/>
    <n v="0.18"/>
    <s v="Web"/>
    <n v="0"/>
    <n v="1"/>
    <n v="0"/>
    <n v="4.99"/>
    <n v="0"/>
  </r>
  <r>
    <n v="1351"/>
    <s v="Male"/>
    <n v="57"/>
    <x v="0"/>
    <x v="1"/>
    <n v="59"/>
    <n v="19"/>
    <n v="0.25"/>
    <s v="Desktop"/>
    <n v="0"/>
    <n v="1"/>
    <n v="0"/>
    <n v="14.99"/>
    <n v="0"/>
  </r>
  <r>
    <n v="1352"/>
    <s v="Female"/>
    <n v="51"/>
    <x v="2"/>
    <x v="0"/>
    <n v="79"/>
    <n v="61"/>
    <n v="0.11"/>
    <s v="Web"/>
    <n v="27"/>
    <n v="0"/>
    <n v="1"/>
    <n v="0"/>
    <n v="0"/>
  </r>
  <r>
    <n v="1353"/>
    <s v="Other"/>
    <n v="22"/>
    <x v="0"/>
    <x v="1"/>
    <n v="30"/>
    <n v="39"/>
    <n v="0.33"/>
    <s v="Desktop"/>
    <n v="0"/>
    <n v="1"/>
    <n v="0"/>
    <n v="14.99"/>
    <n v="0"/>
  </r>
  <r>
    <n v="1354"/>
    <s v="Female"/>
    <n v="29"/>
    <x v="4"/>
    <x v="2"/>
    <n v="26"/>
    <n v="35"/>
    <n v="0.28000000000000003"/>
    <s v="Desktop"/>
    <n v="0"/>
    <n v="1"/>
    <n v="1"/>
    <n v="9.99"/>
    <n v="9.99"/>
  </r>
  <r>
    <n v="1355"/>
    <s v="Other"/>
    <n v="33"/>
    <x v="5"/>
    <x v="0"/>
    <n v="182"/>
    <n v="67"/>
    <n v="0.49"/>
    <s v="Web"/>
    <n v="31"/>
    <n v="0"/>
    <n v="0"/>
    <n v="0"/>
    <n v="0"/>
  </r>
  <r>
    <n v="1356"/>
    <s v="Female"/>
    <n v="48"/>
    <x v="0"/>
    <x v="1"/>
    <n v="193"/>
    <n v="41"/>
    <n v="0.17"/>
    <s v="Desktop"/>
    <n v="0"/>
    <n v="1"/>
    <n v="0"/>
    <n v="14.99"/>
    <n v="0"/>
  </r>
  <r>
    <n v="1357"/>
    <s v="Male"/>
    <n v="35"/>
    <x v="5"/>
    <x v="3"/>
    <n v="82"/>
    <n v="26"/>
    <n v="0.31"/>
    <s v="Mobile"/>
    <n v="0"/>
    <n v="1"/>
    <n v="1"/>
    <n v="4.99"/>
    <n v="4.99"/>
  </r>
  <r>
    <n v="1358"/>
    <s v="Female"/>
    <n v="32"/>
    <x v="0"/>
    <x v="0"/>
    <n v="114"/>
    <n v="34"/>
    <n v="0.16"/>
    <s v="Web"/>
    <n v="16"/>
    <n v="0"/>
    <n v="0"/>
    <n v="0"/>
    <n v="0"/>
  </r>
  <r>
    <n v="1359"/>
    <s v="Female"/>
    <n v="17"/>
    <x v="7"/>
    <x v="2"/>
    <n v="92"/>
    <n v="65"/>
    <n v="0.16"/>
    <s v="Web"/>
    <n v="0"/>
    <n v="1"/>
    <n v="0"/>
    <n v="9.99"/>
    <n v="0"/>
  </r>
  <r>
    <n v="1360"/>
    <s v="Other"/>
    <n v="56"/>
    <x v="4"/>
    <x v="0"/>
    <n v="265"/>
    <n v="50"/>
    <n v="0.05"/>
    <s v="Web"/>
    <n v="19"/>
    <n v="0"/>
    <n v="0"/>
    <n v="0"/>
    <n v="0"/>
  </r>
  <r>
    <n v="1361"/>
    <s v="Male"/>
    <n v="53"/>
    <x v="5"/>
    <x v="1"/>
    <n v="45"/>
    <n v="77"/>
    <n v="0.55000000000000004"/>
    <s v="Desktop"/>
    <n v="0"/>
    <n v="1"/>
    <n v="0"/>
    <n v="14.99"/>
    <n v="0"/>
  </r>
  <r>
    <n v="1362"/>
    <s v="Other"/>
    <n v="42"/>
    <x v="4"/>
    <x v="1"/>
    <n v="177"/>
    <n v="60"/>
    <n v="0.04"/>
    <s v="Desktop"/>
    <n v="0"/>
    <n v="1"/>
    <n v="0"/>
    <n v="14.99"/>
    <n v="0"/>
  </r>
  <r>
    <n v="1363"/>
    <s v="Other"/>
    <n v="19"/>
    <x v="6"/>
    <x v="0"/>
    <n v="16"/>
    <n v="48"/>
    <n v="0.06"/>
    <s v="Web"/>
    <n v="47"/>
    <n v="0"/>
    <n v="0"/>
    <n v="0"/>
    <n v="0"/>
  </r>
  <r>
    <n v="1364"/>
    <s v="Male"/>
    <n v="18"/>
    <x v="6"/>
    <x v="3"/>
    <n v="238"/>
    <n v="42"/>
    <n v="0.51"/>
    <s v="Desktop"/>
    <n v="0"/>
    <n v="1"/>
    <n v="0"/>
    <n v="4.99"/>
    <n v="0"/>
  </r>
  <r>
    <n v="1365"/>
    <s v="Male"/>
    <n v="49"/>
    <x v="7"/>
    <x v="1"/>
    <n v="290"/>
    <n v="21"/>
    <n v="0.53"/>
    <s v="Mobile"/>
    <n v="0"/>
    <n v="1"/>
    <n v="1"/>
    <n v="14.99"/>
    <n v="14.99"/>
  </r>
  <r>
    <n v="1366"/>
    <s v="Other"/>
    <n v="24"/>
    <x v="1"/>
    <x v="2"/>
    <n v="88"/>
    <n v="7"/>
    <n v="0.33"/>
    <s v="Mobile"/>
    <n v="0"/>
    <n v="1"/>
    <n v="0"/>
    <n v="9.99"/>
    <n v="0"/>
  </r>
  <r>
    <n v="1367"/>
    <s v="Female"/>
    <n v="47"/>
    <x v="3"/>
    <x v="2"/>
    <n v="119"/>
    <n v="50"/>
    <n v="0.56999999999999995"/>
    <s v="Mobile"/>
    <n v="0"/>
    <n v="1"/>
    <n v="1"/>
    <n v="9.99"/>
    <n v="9.99"/>
  </r>
  <r>
    <n v="1368"/>
    <s v="Female"/>
    <n v="18"/>
    <x v="5"/>
    <x v="1"/>
    <n v="52"/>
    <n v="74"/>
    <n v="0"/>
    <s v="Web"/>
    <n v="0"/>
    <n v="1"/>
    <n v="1"/>
    <n v="14.99"/>
    <n v="14.99"/>
  </r>
  <r>
    <n v="1369"/>
    <s v="Female"/>
    <n v="58"/>
    <x v="7"/>
    <x v="3"/>
    <n v="223"/>
    <n v="2"/>
    <n v="0.01"/>
    <s v="Desktop"/>
    <n v="0"/>
    <n v="1"/>
    <n v="0"/>
    <n v="4.99"/>
    <n v="0"/>
  </r>
  <r>
    <n v="1370"/>
    <s v="Other"/>
    <n v="21"/>
    <x v="4"/>
    <x v="3"/>
    <n v="240"/>
    <n v="55"/>
    <n v="0.01"/>
    <s v="Desktop"/>
    <n v="0"/>
    <n v="1"/>
    <n v="1"/>
    <n v="4.99"/>
    <n v="4.99"/>
  </r>
  <r>
    <n v="1371"/>
    <s v="Female"/>
    <n v="48"/>
    <x v="6"/>
    <x v="0"/>
    <n v="62"/>
    <n v="14"/>
    <n v="0.57999999999999996"/>
    <s v="Desktop"/>
    <n v="10"/>
    <n v="0"/>
    <n v="0"/>
    <n v="0"/>
    <n v="0"/>
  </r>
  <r>
    <n v="1372"/>
    <s v="Male"/>
    <n v="49"/>
    <x v="2"/>
    <x v="0"/>
    <n v="121"/>
    <n v="99"/>
    <n v="0.28000000000000003"/>
    <s v="Mobile"/>
    <n v="47"/>
    <n v="0"/>
    <n v="0"/>
    <n v="0"/>
    <n v="0"/>
  </r>
  <r>
    <n v="1373"/>
    <s v="Male"/>
    <n v="52"/>
    <x v="4"/>
    <x v="3"/>
    <n v="173"/>
    <n v="45"/>
    <n v="0.41"/>
    <s v="Web"/>
    <n v="0"/>
    <n v="1"/>
    <n v="0"/>
    <n v="4.99"/>
    <n v="0"/>
  </r>
  <r>
    <n v="1374"/>
    <s v="Male"/>
    <n v="25"/>
    <x v="3"/>
    <x v="3"/>
    <n v="56"/>
    <n v="91"/>
    <n v="0.08"/>
    <s v="Desktop"/>
    <n v="0"/>
    <n v="1"/>
    <n v="1"/>
    <n v="4.99"/>
    <n v="4.99"/>
  </r>
  <r>
    <n v="1375"/>
    <s v="Other"/>
    <n v="32"/>
    <x v="4"/>
    <x v="0"/>
    <n v="113"/>
    <n v="95"/>
    <n v="0.06"/>
    <s v="Web"/>
    <n v="22"/>
    <n v="0"/>
    <n v="1"/>
    <n v="0"/>
    <n v="0"/>
  </r>
  <r>
    <n v="1376"/>
    <s v="Male"/>
    <n v="44"/>
    <x v="3"/>
    <x v="3"/>
    <n v="253"/>
    <n v="87"/>
    <n v="0.26"/>
    <s v="Desktop"/>
    <n v="0"/>
    <n v="1"/>
    <n v="0"/>
    <n v="4.99"/>
    <n v="0"/>
  </r>
  <r>
    <n v="1377"/>
    <s v="Other"/>
    <n v="50"/>
    <x v="3"/>
    <x v="0"/>
    <n v="205"/>
    <n v="25"/>
    <n v="0.13"/>
    <s v="Web"/>
    <n v="13"/>
    <n v="0"/>
    <n v="0"/>
    <n v="0"/>
    <n v="0"/>
  </r>
  <r>
    <n v="1378"/>
    <s v="Female"/>
    <n v="58"/>
    <x v="6"/>
    <x v="3"/>
    <n v="20"/>
    <n v="46"/>
    <n v="0.49"/>
    <s v="Desktop"/>
    <n v="0"/>
    <n v="1"/>
    <n v="0"/>
    <n v="4.99"/>
    <n v="0"/>
  </r>
  <r>
    <n v="1379"/>
    <s v="Male"/>
    <n v="16"/>
    <x v="2"/>
    <x v="1"/>
    <n v="240"/>
    <n v="31"/>
    <n v="0.5"/>
    <s v="Web"/>
    <n v="0"/>
    <n v="1"/>
    <n v="0"/>
    <n v="14.99"/>
    <n v="0"/>
  </r>
  <r>
    <n v="1380"/>
    <s v="Other"/>
    <n v="47"/>
    <x v="5"/>
    <x v="2"/>
    <n v="92"/>
    <n v="95"/>
    <n v="0.21"/>
    <s v="Web"/>
    <n v="0"/>
    <n v="1"/>
    <n v="0"/>
    <n v="9.99"/>
    <n v="0"/>
  </r>
  <r>
    <n v="1381"/>
    <s v="Other"/>
    <n v="23"/>
    <x v="4"/>
    <x v="2"/>
    <n v="288"/>
    <n v="82"/>
    <n v="0.39"/>
    <s v="Desktop"/>
    <n v="0"/>
    <n v="1"/>
    <n v="0"/>
    <n v="9.99"/>
    <n v="0"/>
  </r>
  <r>
    <n v="1382"/>
    <s v="Other"/>
    <n v="43"/>
    <x v="3"/>
    <x v="0"/>
    <n v="273"/>
    <n v="96"/>
    <n v="0.37"/>
    <s v="Mobile"/>
    <n v="41"/>
    <n v="0"/>
    <n v="0"/>
    <n v="0"/>
    <n v="0"/>
  </r>
  <r>
    <n v="1383"/>
    <s v="Male"/>
    <n v="45"/>
    <x v="5"/>
    <x v="3"/>
    <n v="19"/>
    <n v="4"/>
    <n v="0.02"/>
    <s v="Web"/>
    <n v="0"/>
    <n v="1"/>
    <n v="1"/>
    <n v="4.99"/>
    <n v="4.99"/>
  </r>
  <r>
    <n v="1384"/>
    <s v="Male"/>
    <n v="23"/>
    <x v="7"/>
    <x v="1"/>
    <n v="271"/>
    <n v="57"/>
    <n v="0.54"/>
    <s v="Desktop"/>
    <n v="0"/>
    <n v="1"/>
    <n v="0"/>
    <n v="14.99"/>
    <n v="0"/>
  </r>
  <r>
    <n v="1385"/>
    <s v="Other"/>
    <n v="38"/>
    <x v="4"/>
    <x v="3"/>
    <n v="72"/>
    <n v="61"/>
    <n v="0.2"/>
    <s v="Web"/>
    <n v="0"/>
    <n v="1"/>
    <n v="0"/>
    <n v="4.99"/>
    <n v="0"/>
  </r>
  <r>
    <n v="1386"/>
    <s v="Female"/>
    <n v="48"/>
    <x v="5"/>
    <x v="0"/>
    <n v="114"/>
    <n v="72"/>
    <n v="0.48"/>
    <s v="Web"/>
    <n v="44"/>
    <n v="0"/>
    <n v="1"/>
    <n v="0"/>
    <n v="0"/>
  </r>
  <r>
    <n v="1387"/>
    <s v="Male"/>
    <n v="31"/>
    <x v="4"/>
    <x v="2"/>
    <n v="283"/>
    <n v="73"/>
    <n v="0.17"/>
    <s v="Mobile"/>
    <n v="0"/>
    <n v="1"/>
    <n v="0"/>
    <n v="9.99"/>
    <n v="0"/>
  </r>
  <r>
    <n v="1388"/>
    <s v="Other"/>
    <n v="56"/>
    <x v="5"/>
    <x v="0"/>
    <n v="245"/>
    <n v="92"/>
    <n v="0.28000000000000003"/>
    <s v="Mobile"/>
    <n v="38"/>
    <n v="0"/>
    <n v="0"/>
    <n v="0"/>
    <n v="0"/>
  </r>
  <r>
    <n v="1389"/>
    <s v="Female"/>
    <n v="47"/>
    <x v="3"/>
    <x v="0"/>
    <n v="116"/>
    <n v="21"/>
    <n v="0.24"/>
    <s v="Web"/>
    <n v="46"/>
    <n v="0"/>
    <n v="0"/>
    <n v="0"/>
    <n v="0"/>
  </r>
  <r>
    <n v="1390"/>
    <s v="Other"/>
    <n v="31"/>
    <x v="3"/>
    <x v="0"/>
    <n v="126"/>
    <n v="22"/>
    <n v="0.15"/>
    <s v="Web"/>
    <n v="42"/>
    <n v="0"/>
    <n v="0"/>
    <n v="0"/>
    <n v="0"/>
  </r>
  <r>
    <n v="1391"/>
    <s v="Other"/>
    <n v="59"/>
    <x v="0"/>
    <x v="3"/>
    <n v="114"/>
    <n v="13"/>
    <n v="0.01"/>
    <s v="Mobile"/>
    <n v="0"/>
    <n v="1"/>
    <n v="0"/>
    <n v="4.99"/>
    <n v="0"/>
  </r>
  <r>
    <n v="1392"/>
    <s v="Male"/>
    <n v="45"/>
    <x v="5"/>
    <x v="0"/>
    <n v="31"/>
    <n v="47"/>
    <n v="0.22"/>
    <s v="Mobile"/>
    <n v="13"/>
    <n v="0"/>
    <n v="0"/>
    <n v="0"/>
    <n v="0"/>
  </r>
  <r>
    <n v="1393"/>
    <s v="Male"/>
    <n v="53"/>
    <x v="5"/>
    <x v="0"/>
    <n v="57"/>
    <n v="90"/>
    <n v="0.5"/>
    <s v="Desktop"/>
    <n v="15"/>
    <n v="0"/>
    <n v="0"/>
    <n v="0"/>
    <n v="0"/>
  </r>
  <r>
    <n v="1394"/>
    <s v="Other"/>
    <n v="34"/>
    <x v="4"/>
    <x v="0"/>
    <n v="272"/>
    <n v="30"/>
    <n v="0.46"/>
    <s v="Mobile"/>
    <n v="12"/>
    <n v="0"/>
    <n v="0"/>
    <n v="0"/>
    <n v="0"/>
  </r>
  <r>
    <n v="1395"/>
    <s v="Male"/>
    <n v="53"/>
    <x v="2"/>
    <x v="3"/>
    <n v="264"/>
    <n v="70"/>
    <n v="0.23"/>
    <s v="Web"/>
    <n v="0"/>
    <n v="1"/>
    <n v="0"/>
    <n v="4.99"/>
    <n v="0"/>
  </r>
  <r>
    <n v="1396"/>
    <s v="Other"/>
    <n v="53"/>
    <x v="0"/>
    <x v="2"/>
    <n v="191"/>
    <n v="9"/>
    <n v="0.24"/>
    <s v="Mobile"/>
    <n v="0"/>
    <n v="1"/>
    <n v="1"/>
    <n v="9.99"/>
    <n v="9.99"/>
  </r>
  <r>
    <n v="1397"/>
    <s v="Other"/>
    <n v="44"/>
    <x v="1"/>
    <x v="3"/>
    <n v="229"/>
    <n v="6"/>
    <n v="0.33"/>
    <s v="Desktop"/>
    <n v="0"/>
    <n v="1"/>
    <n v="0"/>
    <n v="4.99"/>
    <n v="0"/>
  </r>
  <r>
    <n v="1398"/>
    <s v="Male"/>
    <n v="33"/>
    <x v="3"/>
    <x v="0"/>
    <n v="74"/>
    <n v="67"/>
    <n v="0.15"/>
    <s v="Desktop"/>
    <n v="14"/>
    <n v="0"/>
    <n v="0"/>
    <n v="0"/>
    <n v="0"/>
  </r>
  <r>
    <n v="1399"/>
    <s v="Female"/>
    <n v="51"/>
    <x v="5"/>
    <x v="2"/>
    <n v="98"/>
    <n v="38"/>
    <n v="0.59"/>
    <s v="Web"/>
    <n v="0"/>
    <n v="1"/>
    <n v="0"/>
    <n v="9.99"/>
    <n v="0"/>
  </r>
  <r>
    <n v="1400"/>
    <s v="Other"/>
    <n v="17"/>
    <x v="1"/>
    <x v="1"/>
    <n v="29"/>
    <n v="33"/>
    <n v="0.55000000000000004"/>
    <s v="Desktop"/>
    <n v="0"/>
    <n v="1"/>
    <n v="1"/>
    <n v="14.99"/>
    <n v="14.99"/>
  </r>
  <r>
    <n v="1401"/>
    <s v="Female"/>
    <n v="43"/>
    <x v="4"/>
    <x v="0"/>
    <n v="21"/>
    <n v="16"/>
    <n v="0.34"/>
    <s v="Desktop"/>
    <n v="38"/>
    <n v="0"/>
    <n v="0"/>
    <n v="0"/>
    <n v="0"/>
  </r>
  <r>
    <n v="1402"/>
    <s v="Male"/>
    <n v="20"/>
    <x v="7"/>
    <x v="0"/>
    <n v="58"/>
    <n v="75"/>
    <n v="0.08"/>
    <s v="Web"/>
    <n v="47"/>
    <n v="0"/>
    <n v="0"/>
    <n v="0"/>
    <n v="0"/>
  </r>
  <r>
    <n v="1403"/>
    <s v="Male"/>
    <n v="42"/>
    <x v="1"/>
    <x v="1"/>
    <n v="292"/>
    <n v="64"/>
    <n v="0.09"/>
    <s v="Web"/>
    <n v="0"/>
    <n v="1"/>
    <n v="0"/>
    <n v="14.99"/>
    <n v="0"/>
  </r>
  <r>
    <n v="1404"/>
    <s v="Male"/>
    <n v="54"/>
    <x v="6"/>
    <x v="2"/>
    <n v="49"/>
    <n v="13"/>
    <n v="0.04"/>
    <s v="Desktop"/>
    <n v="0"/>
    <n v="1"/>
    <n v="0"/>
    <n v="9.99"/>
    <n v="0"/>
  </r>
  <r>
    <n v="1405"/>
    <s v="Male"/>
    <n v="41"/>
    <x v="1"/>
    <x v="2"/>
    <n v="126"/>
    <n v="86"/>
    <n v="0.33"/>
    <s v="Web"/>
    <n v="0"/>
    <n v="1"/>
    <n v="1"/>
    <n v="9.99"/>
    <n v="9.99"/>
  </r>
  <r>
    <n v="1406"/>
    <s v="Other"/>
    <n v="50"/>
    <x v="2"/>
    <x v="0"/>
    <n v="192"/>
    <n v="94"/>
    <n v="0.5"/>
    <s v="Mobile"/>
    <n v="44"/>
    <n v="0"/>
    <n v="0"/>
    <n v="0"/>
    <n v="0"/>
  </r>
  <r>
    <n v="1407"/>
    <s v="Male"/>
    <n v="28"/>
    <x v="7"/>
    <x v="1"/>
    <n v="294"/>
    <n v="41"/>
    <n v="0.15"/>
    <s v="Desktop"/>
    <n v="0"/>
    <n v="1"/>
    <n v="0"/>
    <n v="14.99"/>
    <n v="0"/>
  </r>
  <r>
    <n v="1408"/>
    <s v="Female"/>
    <n v="42"/>
    <x v="2"/>
    <x v="3"/>
    <n v="123"/>
    <n v="29"/>
    <n v="0.19"/>
    <s v="Desktop"/>
    <n v="0"/>
    <n v="1"/>
    <n v="0"/>
    <n v="4.99"/>
    <n v="0"/>
  </r>
  <r>
    <n v="1409"/>
    <s v="Other"/>
    <n v="31"/>
    <x v="6"/>
    <x v="2"/>
    <n v="139"/>
    <n v="16"/>
    <n v="0.13"/>
    <s v="Desktop"/>
    <n v="0"/>
    <n v="1"/>
    <n v="0"/>
    <n v="9.99"/>
    <n v="0"/>
  </r>
  <r>
    <n v="1410"/>
    <s v="Male"/>
    <n v="34"/>
    <x v="2"/>
    <x v="2"/>
    <n v="55"/>
    <n v="17"/>
    <n v="0.39"/>
    <s v="Web"/>
    <n v="0"/>
    <n v="1"/>
    <n v="0"/>
    <n v="9.99"/>
    <n v="0"/>
  </r>
  <r>
    <n v="1411"/>
    <s v="Other"/>
    <n v="26"/>
    <x v="2"/>
    <x v="0"/>
    <n v="228"/>
    <n v="74"/>
    <n v="0.3"/>
    <s v="Web"/>
    <n v="40"/>
    <n v="0"/>
    <n v="0"/>
    <n v="0"/>
    <n v="0"/>
  </r>
  <r>
    <n v="1412"/>
    <s v="Female"/>
    <n v="45"/>
    <x v="1"/>
    <x v="3"/>
    <n v="204"/>
    <n v="93"/>
    <n v="0.33"/>
    <s v="Desktop"/>
    <n v="0"/>
    <n v="1"/>
    <n v="0"/>
    <n v="4.99"/>
    <n v="0"/>
  </r>
  <r>
    <n v="1413"/>
    <s v="Female"/>
    <n v="24"/>
    <x v="3"/>
    <x v="2"/>
    <n v="199"/>
    <n v="81"/>
    <n v="0.26"/>
    <s v="Web"/>
    <n v="0"/>
    <n v="1"/>
    <n v="0"/>
    <n v="9.99"/>
    <n v="0"/>
  </r>
  <r>
    <n v="1414"/>
    <s v="Other"/>
    <n v="56"/>
    <x v="7"/>
    <x v="1"/>
    <n v="71"/>
    <n v="48"/>
    <n v="0.28000000000000003"/>
    <s v="Web"/>
    <n v="0"/>
    <n v="1"/>
    <n v="0"/>
    <n v="14.99"/>
    <n v="0"/>
  </r>
  <r>
    <n v="1415"/>
    <s v="Female"/>
    <n v="39"/>
    <x v="6"/>
    <x v="1"/>
    <n v="251"/>
    <n v="25"/>
    <n v="0.22"/>
    <s v="Mobile"/>
    <n v="0"/>
    <n v="1"/>
    <n v="1"/>
    <n v="14.99"/>
    <n v="14.99"/>
  </r>
  <r>
    <n v="1416"/>
    <s v="Other"/>
    <n v="51"/>
    <x v="5"/>
    <x v="1"/>
    <n v="77"/>
    <n v="25"/>
    <n v="0.24"/>
    <s v="Desktop"/>
    <n v="0"/>
    <n v="1"/>
    <n v="0"/>
    <n v="14.99"/>
    <n v="0"/>
  </r>
  <r>
    <n v="1417"/>
    <s v="Female"/>
    <n v="20"/>
    <x v="3"/>
    <x v="0"/>
    <n v="23"/>
    <n v="15"/>
    <n v="0.12"/>
    <s v="Web"/>
    <n v="5"/>
    <n v="0"/>
    <n v="0"/>
    <n v="0"/>
    <n v="0"/>
  </r>
  <r>
    <n v="1418"/>
    <s v="Other"/>
    <n v="19"/>
    <x v="5"/>
    <x v="3"/>
    <n v="30"/>
    <n v="19"/>
    <n v="0.26"/>
    <s v="Desktop"/>
    <n v="0"/>
    <n v="1"/>
    <n v="0"/>
    <n v="4.99"/>
    <n v="0"/>
  </r>
  <r>
    <n v="1419"/>
    <s v="Other"/>
    <n v="30"/>
    <x v="7"/>
    <x v="1"/>
    <n v="114"/>
    <n v="49"/>
    <n v="0.3"/>
    <s v="Web"/>
    <n v="0"/>
    <n v="1"/>
    <n v="0"/>
    <n v="14.99"/>
    <n v="0"/>
  </r>
  <r>
    <n v="1420"/>
    <s v="Other"/>
    <n v="43"/>
    <x v="7"/>
    <x v="0"/>
    <n v="48"/>
    <n v="78"/>
    <n v="0.36"/>
    <s v="Mobile"/>
    <n v="19"/>
    <n v="0"/>
    <n v="0"/>
    <n v="0"/>
    <n v="0"/>
  </r>
  <r>
    <n v="1421"/>
    <s v="Other"/>
    <n v="44"/>
    <x v="2"/>
    <x v="3"/>
    <n v="33"/>
    <n v="12"/>
    <n v="0.41"/>
    <s v="Web"/>
    <n v="0"/>
    <n v="1"/>
    <n v="0"/>
    <n v="4.99"/>
    <n v="0"/>
  </r>
  <r>
    <n v="1422"/>
    <s v="Female"/>
    <n v="59"/>
    <x v="1"/>
    <x v="2"/>
    <n v="121"/>
    <n v="62"/>
    <n v="0.41"/>
    <s v="Desktop"/>
    <n v="0"/>
    <n v="1"/>
    <n v="1"/>
    <n v="9.99"/>
    <n v="9.99"/>
  </r>
  <r>
    <n v="1423"/>
    <s v="Female"/>
    <n v="16"/>
    <x v="0"/>
    <x v="0"/>
    <n v="147"/>
    <n v="4"/>
    <n v="0.57999999999999996"/>
    <s v="Web"/>
    <n v="47"/>
    <n v="0"/>
    <n v="0"/>
    <n v="0"/>
    <n v="0"/>
  </r>
  <r>
    <n v="1424"/>
    <s v="Female"/>
    <n v="48"/>
    <x v="7"/>
    <x v="3"/>
    <n v="103"/>
    <n v="88"/>
    <n v="0.54"/>
    <s v="Desktop"/>
    <n v="0"/>
    <n v="1"/>
    <n v="0"/>
    <n v="4.99"/>
    <n v="0"/>
  </r>
  <r>
    <n v="1425"/>
    <s v="Female"/>
    <n v="33"/>
    <x v="1"/>
    <x v="2"/>
    <n v="222"/>
    <n v="10"/>
    <n v="0.27"/>
    <s v="Mobile"/>
    <n v="0"/>
    <n v="1"/>
    <n v="0"/>
    <n v="9.99"/>
    <n v="0"/>
  </r>
  <r>
    <n v="1426"/>
    <s v="Male"/>
    <n v="45"/>
    <x v="7"/>
    <x v="1"/>
    <n v="58"/>
    <n v="41"/>
    <n v="0.17"/>
    <s v="Mobile"/>
    <n v="0"/>
    <n v="1"/>
    <n v="0"/>
    <n v="14.99"/>
    <n v="0"/>
  </r>
  <r>
    <n v="1427"/>
    <s v="Other"/>
    <n v="27"/>
    <x v="7"/>
    <x v="1"/>
    <n v="297"/>
    <n v="30"/>
    <n v="7.0000000000000007E-2"/>
    <s v="Desktop"/>
    <n v="0"/>
    <n v="1"/>
    <n v="0"/>
    <n v="14.99"/>
    <n v="0"/>
  </r>
  <r>
    <n v="1428"/>
    <s v="Male"/>
    <n v="17"/>
    <x v="1"/>
    <x v="0"/>
    <n v="117"/>
    <n v="83"/>
    <n v="0.26"/>
    <s v="Mobile"/>
    <n v="9"/>
    <n v="0"/>
    <n v="0"/>
    <n v="0"/>
    <n v="0"/>
  </r>
  <r>
    <n v="1429"/>
    <s v="Other"/>
    <n v="49"/>
    <x v="6"/>
    <x v="2"/>
    <n v="131"/>
    <n v="49"/>
    <n v="0.04"/>
    <s v="Mobile"/>
    <n v="0"/>
    <n v="1"/>
    <n v="0"/>
    <n v="9.99"/>
    <n v="0"/>
  </r>
  <r>
    <n v="1430"/>
    <s v="Male"/>
    <n v="36"/>
    <x v="5"/>
    <x v="0"/>
    <n v="97"/>
    <n v="12"/>
    <n v="0.44"/>
    <s v="Desktop"/>
    <n v="32"/>
    <n v="0"/>
    <n v="0"/>
    <n v="0"/>
    <n v="0"/>
  </r>
  <r>
    <n v="1431"/>
    <s v="Female"/>
    <n v="53"/>
    <x v="1"/>
    <x v="1"/>
    <n v="112"/>
    <n v="35"/>
    <n v="0.42"/>
    <s v="Web"/>
    <n v="0"/>
    <n v="1"/>
    <n v="1"/>
    <n v="14.99"/>
    <n v="14.99"/>
  </r>
  <r>
    <n v="1432"/>
    <s v="Male"/>
    <n v="34"/>
    <x v="0"/>
    <x v="1"/>
    <n v="185"/>
    <n v="10"/>
    <n v="0.41"/>
    <s v="Mobile"/>
    <n v="0"/>
    <n v="1"/>
    <n v="1"/>
    <n v="14.99"/>
    <n v="14.99"/>
  </r>
  <r>
    <n v="1433"/>
    <s v="Other"/>
    <n v="36"/>
    <x v="5"/>
    <x v="1"/>
    <n v="131"/>
    <n v="16"/>
    <n v="0.5"/>
    <s v="Desktop"/>
    <n v="0"/>
    <n v="1"/>
    <n v="0"/>
    <n v="14.99"/>
    <n v="0"/>
  </r>
  <r>
    <n v="1434"/>
    <s v="Other"/>
    <n v="25"/>
    <x v="4"/>
    <x v="2"/>
    <n v="56"/>
    <n v="53"/>
    <n v="0.12"/>
    <s v="Desktop"/>
    <n v="0"/>
    <n v="1"/>
    <n v="1"/>
    <n v="9.99"/>
    <n v="9.99"/>
  </r>
  <r>
    <n v="1435"/>
    <s v="Female"/>
    <n v="43"/>
    <x v="6"/>
    <x v="3"/>
    <n v="64"/>
    <n v="53"/>
    <n v="0.4"/>
    <s v="Desktop"/>
    <n v="0"/>
    <n v="1"/>
    <n v="1"/>
    <n v="4.99"/>
    <n v="4.99"/>
  </r>
  <r>
    <n v="1436"/>
    <s v="Male"/>
    <n v="42"/>
    <x v="2"/>
    <x v="1"/>
    <n v="160"/>
    <n v="91"/>
    <n v="0.27"/>
    <s v="Mobile"/>
    <n v="0"/>
    <n v="1"/>
    <n v="0"/>
    <n v="14.99"/>
    <n v="0"/>
  </r>
  <r>
    <n v="1437"/>
    <s v="Other"/>
    <n v="26"/>
    <x v="5"/>
    <x v="1"/>
    <n v="134"/>
    <n v="98"/>
    <n v="0.18"/>
    <s v="Desktop"/>
    <n v="0"/>
    <n v="1"/>
    <n v="0"/>
    <n v="14.99"/>
    <n v="0"/>
  </r>
  <r>
    <n v="1438"/>
    <s v="Male"/>
    <n v="16"/>
    <x v="4"/>
    <x v="2"/>
    <n v="160"/>
    <n v="15"/>
    <n v="0.03"/>
    <s v="Desktop"/>
    <n v="0"/>
    <n v="1"/>
    <n v="0"/>
    <n v="9.99"/>
    <n v="0"/>
  </r>
  <r>
    <n v="1439"/>
    <s v="Male"/>
    <n v="48"/>
    <x v="4"/>
    <x v="2"/>
    <n v="47"/>
    <n v="46"/>
    <n v="0.2"/>
    <s v="Web"/>
    <n v="0"/>
    <n v="1"/>
    <n v="0"/>
    <n v="9.99"/>
    <n v="0"/>
  </r>
  <r>
    <n v="1440"/>
    <s v="Male"/>
    <n v="53"/>
    <x v="3"/>
    <x v="0"/>
    <n v="15"/>
    <n v="26"/>
    <n v="0.02"/>
    <s v="Mobile"/>
    <n v="29"/>
    <n v="0"/>
    <n v="1"/>
    <n v="0"/>
    <n v="0"/>
  </r>
  <r>
    <n v="1441"/>
    <s v="Female"/>
    <n v="22"/>
    <x v="1"/>
    <x v="2"/>
    <n v="291"/>
    <n v="58"/>
    <n v="0.12"/>
    <s v="Desktop"/>
    <n v="0"/>
    <n v="1"/>
    <n v="0"/>
    <n v="9.99"/>
    <n v="0"/>
  </r>
  <r>
    <n v="1442"/>
    <s v="Other"/>
    <n v="19"/>
    <x v="4"/>
    <x v="0"/>
    <n v="75"/>
    <n v="21"/>
    <n v="0.24"/>
    <s v="Desktop"/>
    <n v="10"/>
    <n v="0"/>
    <n v="0"/>
    <n v="0"/>
    <n v="0"/>
  </r>
  <r>
    <n v="1443"/>
    <s v="Female"/>
    <n v="52"/>
    <x v="6"/>
    <x v="2"/>
    <n v="130"/>
    <n v="53"/>
    <n v="0.2"/>
    <s v="Desktop"/>
    <n v="0"/>
    <n v="1"/>
    <n v="0"/>
    <n v="9.99"/>
    <n v="0"/>
  </r>
  <r>
    <n v="1444"/>
    <s v="Other"/>
    <n v="20"/>
    <x v="6"/>
    <x v="2"/>
    <n v="96"/>
    <n v="50"/>
    <n v="0.49"/>
    <s v="Desktop"/>
    <n v="0"/>
    <n v="1"/>
    <n v="1"/>
    <n v="9.99"/>
    <n v="9.99"/>
  </r>
  <r>
    <n v="1445"/>
    <s v="Other"/>
    <n v="18"/>
    <x v="0"/>
    <x v="3"/>
    <n v="284"/>
    <n v="1"/>
    <n v="0.13"/>
    <s v="Mobile"/>
    <n v="0"/>
    <n v="1"/>
    <n v="1"/>
    <n v="4.99"/>
    <n v="4.99"/>
  </r>
  <r>
    <n v="1446"/>
    <s v="Other"/>
    <n v="40"/>
    <x v="6"/>
    <x v="3"/>
    <n v="173"/>
    <n v="56"/>
    <n v="0.39"/>
    <s v="Web"/>
    <n v="0"/>
    <n v="1"/>
    <n v="0"/>
    <n v="4.99"/>
    <n v="0"/>
  </r>
  <r>
    <n v="1447"/>
    <s v="Other"/>
    <n v="40"/>
    <x v="7"/>
    <x v="1"/>
    <n v="238"/>
    <n v="43"/>
    <n v="0.01"/>
    <s v="Desktop"/>
    <n v="0"/>
    <n v="1"/>
    <n v="0"/>
    <n v="14.99"/>
    <n v="0"/>
  </r>
  <r>
    <n v="1448"/>
    <s v="Other"/>
    <n v="38"/>
    <x v="7"/>
    <x v="0"/>
    <n v="52"/>
    <n v="14"/>
    <n v="0.49"/>
    <s v="Mobile"/>
    <n v="8"/>
    <n v="0"/>
    <n v="0"/>
    <n v="0"/>
    <n v="0"/>
  </r>
  <r>
    <n v="1449"/>
    <s v="Other"/>
    <n v="51"/>
    <x v="7"/>
    <x v="3"/>
    <n v="212"/>
    <n v="97"/>
    <n v="0.28999999999999998"/>
    <s v="Web"/>
    <n v="0"/>
    <n v="1"/>
    <n v="0"/>
    <n v="4.99"/>
    <n v="0"/>
  </r>
  <r>
    <n v="1450"/>
    <s v="Male"/>
    <n v="36"/>
    <x v="5"/>
    <x v="2"/>
    <n v="246"/>
    <n v="45"/>
    <n v="0.18"/>
    <s v="Mobile"/>
    <n v="0"/>
    <n v="1"/>
    <n v="0"/>
    <n v="9.99"/>
    <n v="0"/>
  </r>
  <r>
    <n v="1451"/>
    <s v="Male"/>
    <n v="51"/>
    <x v="0"/>
    <x v="1"/>
    <n v="59"/>
    <n v="88"/>
    <n v="0.14000000000000001"/>
    <s v="Mobile"/>
    <n v="0"/>
    <n v="1"/>
    <n v="1"/>
    <n v="14.99"/>
    <n v="14.99"/>
  </r>
  <r>
    <n v="1452"/>
    <s v="Male"/>
    <n v="40"/>
    <x v="0"/>
    <x v="3"/>
    <n v="250"/>
    <n v="81"/>
    <n v="0.34"/>
    <s v="Web"/>
    <n v="0"/>
    <n v="1"/>
    <n v="0"/>
    <n v="4.99"/>
    <n v="0"/>
  </r>
  <r>
    <n v="1453"/>
    <s v="Other"/>
    <n v="25"/>
    <x v="7"/>
    <x v="0"/>
    <n v="138"/>
    <n v="7"/>
    <n v="0.37"/>
    <s v="Mobile"/>
    <n v="9"/>
    <n v="0"/>
    <n v="0"/>
    <n v="0"/>
    <n v="0"/>
  </r>
  <r>
    <n v="1454"/>
    <s v="Other"/>
    <n v="45"/>
    <x v="6"/>
    <x v="2"/>
    <n v="75"/>
    <n v="4"/>
    <n v="0.17"/>
    <s v="Web"/>
    <n v="0"/>
    <n v="1"/>
    <n v="1"/>
    <n v="9.99"/>
    <n v="9.99"/>
  </r>
  <r>
    <n v="1455"/>
    <s v="Other"/>
    <n v="30"/>
    <x v="1"/>
    <x v="2"/>
    <n v="53"/>
    <n v="92"/>
    <n v="0.22"/>
    <s v="Mobile"/>
    <n v="0"/>
    <n v="1"/>
    <n v="0"/>
    <n v="9.99"/>
    <n v="0"/>
  </r>
  <r>
    <n v="1456"/>
    <s v="Other"/>
    <n v="47"/>
    <x v="0"/>
    <x v="0"/>
    <n v="168"/>
    <n v="25"/>
    <n v="0.35"/>
    <s v="Web"/>
    <n v="6"/>
    <n v="0"/>
    <n v="1"/>
    <n v="0"/>
    <n v="0"/>
  </r>
  <r>
    <n v="1457"/>
    <s v="Female"/>
    <n v="30"/>
    <x v="5"/>
    <x v="2"/>
    <n v="109"/>
    <n v="76"/>
    <n v="0.41"/>
    <s v="Desktop"/>
    <n v="0"/>
    <n v="1"/>
    <n v="0"/>
    <n v="9.99"/>
    <n v="0"/>
  </r>
  <r>
    <n v="1458"/>
    <s v="Female"/>
    <n v="46"/>
    <x v="4"/>
    <x v="0"/>
    <n v="22"/>
    <n v="63"/>
    <n v="0.36"/>
    <s v="Desktop"/>
    <n v="37"/>
    <n v="0"/>
    <n v="0"/>
    <n v="0"/>
    <n v="0"/>
  </r>
  <r>
    <n v="1459"/>
    <s v="Female"/>
    <n v="59"/>
    <x v="6"/>
    <x v="3"/>
    <n v="188"/>
    <n v="85"/>
    <n v="0.55000000000000004"/>
    <s v="Desktop"/>
    <n v="0"/>
    <n v="1"/>
    <n v="1"/>
    <n v="4.99"/>
    <n v="4.99"/>
  </r>
  <r>
    <n v="1460"/>
    <s v="Other"/>
    <n v="41"/>
    <x v="6"/>
    <x v="1"/>
    <n v="12"/>
    <n v="41"/>
    <n v="0.41"/>
    <s v="Desktop"/>
    <n v="0"/>
    <n v="1"/>
    <n v="0"/>
    <n v="14.99"/>
    <n v="0"/>
  </r>
  <r>
    <n v="1461"/>
    <s v="Male"/>
    <n v="55"/>
    <x v="2"/>
    <x v="0"/>
    <n v="62"/>
    <n v="20"/>
    <n v="0.56999999999999995"/>
    <s v="Desktop"/>
    <n v="28"/>
    <n v="0"/>
    <n v="0"/>
    <n v="0"/>
    <n v="0"/>
  </r>
  <r>
    <n v="1462"/>
    <s v="Female"/>
    <n v="30"/>
    <x v="2"/>
    <x v="0"/>
    <n v="278"/>
    <n v="11"/>
    <n v="0.27"/>
    <s v="Mobile"/>
    <n v="15"/>
    <n v="0"/>
    <n v="0"/>
    <n v="0"/>
    <n v="0"/>
  </r>
  <r>
    <n v="1463"/>
    <s v="Male"/>
    <n v="59"/>
    <x v="6"/>
    <x v="1"/>
    <n v="34"/>
    <n v="85"/>
    <n v="0.3"/>
    <s v="Web"/>
    <n v="0"/>
    <n v="1"/>
    <n v="1"/>
    <n v="14.99"/>
    <n v="14.99"/>
  </r>
  <r>
    <n v="1464"/>
    <s v="Other"/>
    <n v="26"/>
    <x v="3"/>
    <x v="1"/>
    <n v="28"/>
    <n v="28"/>
    <n v="0.31"/>
    <s v="Desktop"/>
    <n v="0"/>
    <n v="1"/>
    <n v="1"/>
    <n v="14.99"/>
    <n v="14.99"/>
  </r>
  <r>
    <n v="1465"/>
    <s v="Female"/>
    <n v="34"/>
    <x v="4"/>
    <x v="0"/>
    <n v="175"/>
    <n v="14"/>
    <n v="7.0000000000000007E-2"/>
    <s v="Desktop"/>
    <n v="48"/>
    <n v="0"/>
    <n v="0"/>
    <n v="0"/>
    <n v="0"/>
  </r>
  <r>
    <n v="1466"/>
    <s v="Male"/>
    <n v="44"/>
    <x v="6"/>
    <x v="1"/>
    <n v="217"/>
    <n v="31"/>
    <n v="0.01"/>
    <s v="Web"/>
    <n v="0"/>
    <n v="1"/>
    <n v="0"/>
    <n v="14.99"/>
    <n v="0"/>
  </r>
  <r>
    <n v="1467"/>
    <s v="Other"/>
    <n v="45"/>
    <x v="4"/>
    <x v="0"/>
    <n v="178"/>
    <n v="92"/>
    <n v="0.08"/>
    <s v="Web"/>
    <n v="16"/>
    <n v="0"/>
    <n v="1"/>
    <n v="0"/>
    <n v="0"/>
  </r>
  <r>
    <n v="1468"/>
    <s v="Other"/>
    <n v="37"/>
    <x v="3"/>
    <x v="1"/>
    <n v="135"/>
    <n v="47"/>
    <n v="0.42"/>
    <s v="Mobile"/>
    <n v="0"/>
    <n v="1"/>
    <n v="0"/>
    <n v="14.99"/>
    <n v="0"/>
  </r>
  <r>
    <n v="1469"/>
    <s v="Other"/>
    <n v="24"/>
    <x v="5"/>
    <x v="2"/>
    <n v="216"/>
    <n v="40"/>
    <n v="0.4"/>
    <s v="Web"/>
    <n v="0"/>
    <n v="1"/>
    <n v="0"/>
    <n v="9.99"/>
    <n v="0"/>
  </r>
  <r>
    <n v="1470"/>
    <s v="Other"/>
    <n v="29"/>
    <x v="3"/>
    <x v="1"/>
    <n v="203"/>
    <n v="93"/>
    <n v="0.26"/>
    <s v="Web"/>
    <n v="0"/>
    <n v="1"/>
    <n v="1"/>
    <n v="14.99"/>
    <n v="14.99"/>
  </r>
  <r>
    <n v="1471"/>
    <s v="Male"/>
    <n v="23"/>
    <x v="1"/>
    <x v="3"/>
    <n v="69"/>
    <n v="14"/>
    <n v="0.04"/>
    <s v="Mobile"/>
    <n v="0"/>
    <n v="1"/>
    <n v="1"/>
    <n v="4.99"/>
    <n v="4.99"/>
  </r>
  <r>
    <n v="1472"/>
    <s v="Male"/>
    <n v="28"/>
    <x v="6"/>
    <x v="2"/>
    <n v="280"/>
    <n v="9"/>
    <n v="0.33"/>
    <s v="Mobile"/>
    <n v="0"/>
    <n v="1"/>
    <n v="0"/>
    <n v="9.99"/>
    <n v="0"/>
  </r>
  <r>
    <n v="1473"/>
    <s v="Other"/>
    <n v="49"/>
    <x v="4"/>
    <x v="2"/>
    <n v="200"/>
    <n v="91"/>
    <n v="0.47"/>
    <s v="Mobile"/>
    <n v="0"/>
    <n v="1"/>
    <n v="0"/>
    <n v="9.99"/>
    <n v="0"/>
  </r>
  <r>
    <n v="1474"/>
    <s v="Female"/>
    <n v="39"/>
    <x v="3"/>
    <x v="0"/>
    <n v="174"/>
    <n v="82"/>
    <n v="0.24"/>
    <s v="Web"/>
    <n v="17"/>
    <n v="0"/>
    <n v="0"/>
    <n v="0"/>
    <n v="0"/>
  </r>
  <r>
    <n v="1475"/>
    <s v="Other"/>
    <n v="19"/>
    <x v="3"/>
    <x v="3"/>
    <n v="192"/>
    <n v="1"/>
    <n v="0.17"/>
    <s v="Desktop"/>
    <n v="0"/>
    <n v="1"/>
    <n v="1"/>
    <n v="4.99"/>
    <n v="4.99"/>
  </r>
  <r>
    <n v="1476"/>
    <s v="Male"/>
    <n v="43"/>
    <x v="6"/>
    <x v="3"/>
    <n v="65"/>
    <n v="91"/>
    <n v="0.09"/>
    <s v="Desktop"/>
    <n v="0"/>
    <n v="1"/>
    <n v="0"/>
    <n v="4.99"/>
    <n v="0"/>
  </r>
  <r>
    <n v="1477"/>
    <s v="Other"/>
    <n v="55"/>
    <x v="5"/>
    <x v="0"/>
    <n v="39"/>
    <n v="91"/>
    <n v="0.28999999999999998"/>
    <s v="Mobile"/>
    <n v="32"/>
    <n v="0"/>
    <n v="1"/>
    <n v="0"/>
    <n v="0"/>
  </r>
  <r>
    <n v="1478"/>
    <s v="Male"/>
    <n v="20"/>
    <x v="5"/>
    <x v="1"/>
    <n v="108"/>
    <n v="90"/>
    <n v="0.56000000000000005"/>
    <s v="Web"/>
    <n v="0"/>
    <n v="1"/>
    <n v="0"/>
    <n v="14.99"/>
    <n v="0"/>
  </r>
  <r>
    <n v="1479"/>
    <s v="Female"/>
    <n v="32"/>
    <x v="4"/>
    <x v="0"/>
    <n v="114"/>
    <n v="25"/>
    <n v="0.28000000000000003"/>
    <s v="Web"/>
    <n v="21"/>
    <n v="0"/>
    <n v="0"/>
    <n v="0"/>
    <n v="0"/>
  </r>
  <r>
    <n v="1480"/>
    <s v="Other"/>
    <n v="48"/>
    <x v="2"/>
    <x v="2"/>
    <n v="142"/>
    <n v="29"/>
    <n v="0.3"/>
    <s v="Mobile"/>
    <n v="0"/>
    <n v="1"/>
    <n v="0"/>
    <n v="9.99"/>
    <n v="0"/>
  </r>
  <r>
    <n v="1481"/>
    <s v="Male"/>
    <n v="28"/>
    <x v="5"/>
    <x v="0"/>
    <n v="25"/>
    <n v="58"/>
    <n v="0.04"/>
    <s v="Web"/>
    <n v="32"/>
    <n v="0"/>
    <n v="0"/>
    <n v="0"/>
    <n v="0"/>
  </r>
  <r>
    <n v="1482"/>
    <s v="Other"/>
    <n v="50"/>
    <x v="4"/>
    <x v="1"/>
    <n v="28"/>
    <n v="81"/>
    <n v="0.37"/>
    <s v="Mobile"/>
    <n v="0"/>
    <n v="1"/>
    <n v="1"/>
    <n v="14.99"/>
    <n v="14.99"/>
  </r>
  <r>
    <n v="1483"/>
    <s v="Female"/>
    <n v="39"/>
    <x v="7"/>
    <x v="1"/>
    <n v="104"/>
    <n v="83"/>
    <n v="0.16"/>
    <s v="Mobile"/>
    <n v="0"/>
    <n v="1"/>
    <n v="0"/>
    <n v="14.99"/>
    <n v="0"/>
  </r>
  <r>
    <n v="1484"/>
    <s v="Male"/>
    <n v="58"/>
    <x v="4"/>
    <x v="0"/>
    <n v="49"/>
    <n v="1"/>
    <n v="0.23"/>
    <s v="Web"/>
    <n v="45"/>
    <n v="0"/>
    <n v="0"/>
    <n v="0"/>
    <n v="0"/>
  </r>
  <r>
    <n v="1485"/>
    <s v="Female"/>
    <n v="49"/>
    <x v="2"/>
    <x v="2"/>
    <n v="213"/>
    <n v="85"/>
    <n v="0.15"/>
    <s v="Desktop"/>
    <n v="0"/>
    <n v="1"/>
    <n v="1"/>
    <n v="9.99"/>
    <n v="9.99"/>
  </r>
  <r>
    <n v="1486"/>
    <s v="Female"/>
    <n v="21"/>
    <x v="1"/>
    <x v="2"/>
    <n v="262"/>
    <n v="39"/>
    <n v="0.23"/>
    <s v="Web"/>
    <n v="0"/>
    <n v="1"/>
    <n v="0"/>
    <n v="9.99"/>
    <n v="0"/>
  </r>
  <r>
    <n v="1487"/>
    <s v="Other"/>
    <n v="33"/>
    <x v="1"/>
    <x v="1"/>
    <n v="224"/>
    <n v="25"/>
    <n v="0.3"/>
    <s v="Mobile"/>
    <n v="0"/>
    <n v="1"/>
    <n v="0"/>
    <n v="14.99"/>
    <n v="0"/>
  </r>
  <r>
    <n v="1488"/>
    <s v="Female"/>
    <n v="35"/>
    <x v="6"/>
    <x v="1"/>
    <n v="238"/>
    <n v="80"/>
    <n v="0.1"/>
    <s v="Web"/>
    <n v="0"/>
    <n v="1"/>
    <n v="0"/>
    <n v="14.99"/>
    <n v="0"/>
  </r>
  <r>
    <n v="1489"/>
    <s v="Female"/>
    <n v="38"/>
    <x v="2"/>
    <x v="3"/>
    <n v="216"/>
    <n v="81"/>
    <n v="0.44"/>
    <s v="Mobile"/>
    <n v="0"/>
    <n v="1"/>
    <n v="1"/>
    <n v="4.99"/>
    <n v="4.99"/>
  </r>
  <r>
    <n v="1490"/>
    <s v="Male"/>
    <n v="32"/>
    <x v="4"/>
    <x v="3"/>
    <n v="75"/>
    <n v="71"/>
    <n v="0.5"/>
    <s v="Desktop"/>
    <n v="0"/>
    <n v="1"/>
    <n v="1"/>
    <n v="4.99"/>
    <n v="4.99"/>
  </r>
  <r>
    <n v="1491"/>
    <s v="Female"/>
    <n v="58"/>
    <x v="2"/>
    <x v="2"/>
    <n v="275"/>
    <n v="13"/>
    <n v="0.59"/>
    <s v="Web"/>
    <n v="0"/>
    <n v="1"/>
    <n v="0"/>
    <n v="9.99"/>
    <n v="0"/>
  </r>
  <r>
    <n v="1492"/>
    <s v="Female"/>
    <n v="24"/>
    <x v="0"/>
    <x v="3"/>
    <n v="13"/>
    <n v="27"/>
    <n v="0.5"/>
    <s v="Web"/>
    <n v="0"/>
    <n v="1"/>
    <n v="0"/>
    <n v="4.99"/>
    <n v="0"/>
  </r>
  <r>
    <n v="1493"/>
    <s v="Other"/>
    <n v="33"/>
    <x v="0"/>
    <x v="3"/>
    <n v="37"/>
    <n v="87"/>
    <n v="0.28999999999999998"/>
    <s v="Desktop"/>
    <n v="0"/>
    <n v="1"/>
    <n v="0"/>
    <n v="4.99"/>
    <n v="0"/>
  </r>
  <r>
    <n v="1494"/>
    <s v="Other"/>
    <n v="42"/>
    <x v="2"/>
    <x v="1"/>
    <n v="126"/>
    <n v="5"/>
    <n v="0.35"/>
    <s v="Desktop"/>
    <n v="0"/>
    <n v="1"/>
    <n v="0"/>
    <n v="14.99"/>
    <n v="0"/>
  </r>
  <r>
    <n v="1495"/>
    <s v="Other"/>
    <n v="23"/>
    <x v="4"/>
    <x v="3"/>
    <n v="50"/>
    <n v="61"/>
    <n v="0.42"/>
    <s v="Web"/>
    <n v="0"/>
    <n v="1"/>
    <n v="1"/>
    <n v="4.99"/>
    <n v="4.99"/>
  </r>
  <r>
    <n v="1496"/>
    <s v="Male"/>
    <n v="27"/>
    <x v="7"/>
    <x v="1"/>
    <n v="195"/>
    <n v="3"/>
    <n v="0.27"/>
    <s v="Web"/>
    <n v="0"/>
    <n v="1"/>
    <n v="1"/>
    <n v="14.99"/>
    <n v="14.99"/>
  </r>
  <r>
    <n v="1497"/>
    <s v="Other"/>
    <n v="27"/>
    <x v="6"/>
    <x v="0"/>
    <n v="145"/>
    <n v="57"/>
    <n v="0.36"/>
    <s v="Mobile"/>
    <n v="19"/>
    <n v="0"/>
    <n v="0"/>
    <n v="0"/>
    <n v="0"/>
  </r>
  <r>
    <n v="1498"/>
    <s v="Female"/>
    <n v="48"/>
    <x v="2"/>
    <x v="1"/>
    <n v="48"/>
    <n v="11"/>
    <n v="0.5"/>
    <s v="Desktop"/>
    <n v="0"/>
    <n v="1"/>
    <n v="0"/>
    <n v="14.99"/>
    <n v="0"/>
  </r>
  <r>
    <n v="1499"/>
    <s v="Male"/>
    <n v="46"/>
    <x v="0"/>
    <x v="1"/>
    <n v="290"/>
    <n v="60"/>
    <n v="0.42"/>
    <s v="Mobile"/>
    <n v="0"/>
    <n v="1"/>
    <n v="0"/>
    <n v="14.99"/>
    <n v="0"/>
  </r>
  <r>
    <n v="1500"/>
    <s v="Male"/>
    <n v="20"/>
    <x v="1"/>
    <x v="3"/>
    <n v="215"/>
    <n v="9"/>
    <n v="0"/>
    <s v="Mobile"/>
    <n v="0"/>
    <n v="1"/>
    <n v="0"/>
    <n v="4.99"/>
    <n v="0"/>
  </r>
  <r>
    <n v="1501"/>
    <s v="Female"/>
    <n v="57"/>
    <x v="4"/>
    <x v="1"/>
    <n v="267"/>
    <n v="95"/>
    <n v="0.32"/>
    <s v="Desktop"/>
    <n v="0"/>
    <n v="1"/>
    <n v="1"/>
    <n v="14.99"/>
    <n v="14.99"/>
  </r>
  <r>
    <n v="1502"/>
    <s v="Other"/>
    <n v="45"/>
    <x v="0"/>
    <x v="2"/>
    <n v="71"/>
    <n v="68"/>
    <n v="0.18"/>
    <s v="Desktop"/>
    <n v="0"/>
    <n v="1"/>
    <n v="1"/>
    <n v="9.99"/>
    <n v="9.99"/>
  </r>
  <r>
    <n v="1503"/>
    <s v="Other"/>
    <n v="17"/>
    <x v="4"/>
    <x v="1"/>
    <n v="147"/>
    <n v="86"/>
    <n v="0.44"/>
    <s v="Desktop"/>
    <n v="0"/>
    <n v="1"/>
    <n v="0"/>
    <n v="14.99"/>
    <n v="0"/>
  </r>
  <r>
    <n v="1504"/>
    <s v="Female"/>
    <n v="43"/>
    <x v="6"/>
    <x v="2"/>
    <n v="252"/>
    <n v="68"/>
    <n v="0.13"/>
    <s v="Desktop"/>
    <n v="0"/>
    <n v="1"/>
    <n v="0"/>
    <n v="9.99"/>
    <n v="0"/>
  </r>
  <r>
    <n v="1505"/>
    <s v="Female"/>
    <n v="54"/>
    <x v="7"/>
    <x v="3"/>
    <n v="253"/>
    <n v="68"/>
    <n v="0.46"/>
    <s v="Mobile"/>
    <n v="0"/>
    <n v="1"/>
    <n v="0"/>
    <n v="4.99"/>
    <n v="0"/>
  </r>
  <r>
    <n v="1506"/>
    <s v="Female"/>
    <n v="55"/>
    <x v="3"/>
    <x v="2"/>
    <n v="157"/>
    <n v="35"/>
    <n v="0.19"/>
    <s v="Desktop"/>
    <n v="0"/>
    <n v="1"/>
    <n v="0"/>
    <n v="9.99"/>
    <n v="0"/>
  </r>
  <r>
    <n v="1507"/>
    <s v="Male"/>
    <n v="18"/>
    <x v="3"/>
    <x v="1"/>
    <n v="123"/>
    <n v="41"/>
    <n v="0.42"/>
    <s v="Web"/>
    <n v="0"/>
    <n v="1"/>
    <n v="0"/>
    <n v="14.99"/>
    <n v="0"/>
  </r>
  <r>
    <n v="1508"/>
    <s v="Male"/>
    <n v="23"/>
    <x v="0"/>
    <x v="1"/>
    <n v="171"/>
    <n v="84"/>
    <n v="0.11"/>
    <s v="Mobile"/>
    <n v="0"/>
    <n v="1"/>
    <n v="0"/>
    <n v="14.99"/>
    <n v="0"/>
  </r>
  <r>
    <n v="1509"/>
    <s v="Female"/>
    <n v="43"/>
    <x v="0"/>
    <x v="3"/>
    <n v="112"/>
    <n v="31"/>
    <n v="0.6"/>
    <s v="Desktop"/>
    <n v="0"/>
    <n v="1"/>
    <n v="0"/>
    <n v="4.99"/>
    <n v="0"/>
  </r>
  <r>
    <n v="1510"/>
    <s v="Male"/>
    <n v="58"/>
    <x v="4"/>
    <x v="0"/>
    <n v="85"/>
    <n v="58"/>
    <n v="0.04"/>
    <s v="Web"/>
    <n v="30"/>
    <n v="0"/>
    <n v="1"/>
    <n v="0"/>
    <n v="0"/>
  </r>
  <r>
    <n v="1511"/>
    <s v="Other"/>
    <n v="33"/>
    <x v="1"/>
    <x v="1"/>
    <n v="153"/>
    <n v="85"/>
    <n v="0.04"/>
    <s v="Web"/>
    <n v="0"/>
    <n v="1"/>
    <n v="0"/>
    <n v="14.99"/>
    <n v="0"/>
  </r>
  <r>
    <n v="1512"/>
    <s v="Male"/>
    <n v="37"/>
    <x v="7"/>
    <x v="1"/>
    <n v="254"/>
    <n v="84"/>
    <n v="0.01"/>
    <s v="Desktop"/>
    <n v="0"/>
    <n v="1"/>
    <n v="0"/>
    <n v="14.99"/>
    <n v="0"/>
  </r>
  <r>
    <n v="1513"/>
    <s v="Female"/>
    <n v="53"/>
    <x v="4"/>
    <x v="3"/>
    <n v="211"/>
    <n v="47"/>
    <n v="0.06"/>
    <s v="Web"/>
    <n v="0"/>
    <n v="1"/>
    <n v="1"/>
    <n v="4.99"/>
    <n v="4.99"/>
  </r>
  <r>
    <n v="1514"/>
    <s v="Female"/>
    <n v="40"/>
    <x v="7"/>
    <x v="1"/>
    <n v="155"/>
    <n v="61"/>
    <n v="0.46"/>
    <s v="Mobile"/>
    <n v="0"/>
    <n v="1"/>
    <n v="1"/>
    <n v="14.99"/>
    <n v="14.99"/>
  </r>
  <r>
    <n v="1515"/>
    <s v="Male"/>
    <n v="40"/>
    <x v="3"/>
    <x v="0"/>
    <n v="124"/>
    <n v="76"/>
    <n v="0.34"/>
    <s v="Web"/>
    <n v="42"/>
    <n v="0"/>
    <n v="0"/>
    <n v="0"/>
    <n v="0"/>
  </r>
  <r>
    <n v="1516"/>
    <s v="Female"/>
    <n v="18"/>
    <x v="4"/>
    <x v="3"/>
    <n v="120"/>
    <n v="23"/>
    <n v="0.45"/>
    <s v="Web"/>
    <n v="0"/>
    <n v="1"/>
    <n v="0"/>
    <n v="4.99"/>
    <n v="0"/>
  </r>
  <r>
    <n v="1517"/>
    <s v="Other"/>
    <n v="25"/>
    <x v="7"/>
    <x v="0"/>
    <n v="122"/>
    <n v="82"/>
    <n v="0.27"/>
    <s v="Web"/>
    <n v="47"/>
    <n v="0"/>
    <n v="0"/>
    <n v="0"/>
    <n v="0"/>
  </r>
  <r>
    <n v="1518"/>
    <s v="Male"/>
    <n v="59"/>
    <x v="4"/>
    <x v="0"/>
    <n v="135"/>
    <n v="63"/>
    <n v="0.08"/>
    <s v="Web"/>
    <n v="30"/>
    <n v="0"/>
    <n v="0"/>
    <n v="0"/>
    <n v="0"/>
  </r>
  <r>
    <n v="1519"/>
    <s v="Male"/>
    <n v="25"/>
    <x v="0"/>
    <x v="0"/>
    <n v="24"/>
    <n v="29"/>
    <n v="0.28999999999999998"/>
    <s v="Desktop"/>
    <n v="9"/>
    <n v="0"/>
    <n v="0"/>
    <n v="0"/>
    <n v="0"/>
  </r>
  <r>
    <n v="1520"/>
    <s v="Male"/>
    <n v="40"/>
    <x v="7"/>
    <x v="0"/>
    <n v="84"/>
    <n v="6"/>
    <n v="0.32"/>
    <s v="Web"/>
    <n v="18"/>
    <n v="0"/>
    <n v="0"/>
    <n v="0"/>
    <n v="0"/>
  </r>
  <r>
    <n v="1521"/>
    <s v="Other"/>
    <n v="35"/>
    <x v="0"/>
    <x v="2"/>
    <n v="15"/>
    <n v="40"/>
    <n v="0.37"/>
    <s v="Mobile"/>
    <n v="0"/>
    <n v="1"/>
    <n v="1"/>
    <n v="9.99"/>
    <n v="9.99"/>
  </r>
  <r>
    <n v="1522"/>
    <s v="Other"/>
    <n v="37"/>
    <x v="7"/>
    <x v="1"/>
    <n v="219"/>
    <n v="9"/>
    <n v="0.02"/>
    <s v="Desktop"/>
    <n v="0"/>
    <n v="1"/>
    <n v="0"/>
    <n v="14.99"/>
    <n v="0"/>
  </r>
  <r>
    <n v="1523"/>
    <s v="Male"/>
    <n v="21"/>
    <x v="5"/>
    <x v="1"/>
    <n v="81"/>
    <n v="17"/>
    <n v="0.32"/>
    <s v="Web"/>
    <n v="0"/>
    <n v="1"/>
    <n v="0"/>
    <n v="14.99"/>
    <n v="0"/>
  </r>
  <r>
    <n v="1524"/>
    <s v="Female"/>
    <n v="44"/>
    <x v="1"/>
    <x v="0"/>
    <n v="222"/>
    <n v="51"/>
    <n v="0.4"/>
    <s v="Web"/>
    <n v="17"/>
    <n v="0"/>
    <n v="0"/>
    <n v="0"/>
    <n v="0"/>
  </r>
  <r>
    <n v="1525"/>
    <s v="Male"/>
    <n v="36"/>
    <x v="5"/>
    <x v="2"/>
    <n v="165"/>
    <n v="45"/>
    <n v="0.46"/>
    <s v="Desktop"/>
    <n v="0"/>
    <n v="1"/>
    <n v="0"/>
    <n v="9.99"/>
    <n v="0"/>
  </r>
  <r>
    <n v="1526"/>
    <s v="Male"/>
    <n v="57"/>
    <x v="0"/>
    <x v="3"/>
    <n v="130"/>
    <n v="7"/>
    <n v="0.08"/>
    <s v="Mobile"/>
    <n v="0"/>
    <n v="1"/>
    <n v="1"/>
    <n v="4.99"/>
    <n v="4.99"/>
  </r>
  <r>
    <n v="1527"/>
    <s v="Male"/>
    <n v="30"/>
    <x v="1"/>
    <x v="1"/>
    <n v="175"/>
    <n v="84"/>
    <n v="0.04"/>
    <s v="Web"/>
    <n v="0"/>
    <n v="1"/>
    <n v="1"/>
    <n v="14.99"/>
    <n v="14.99"/>
  </r>
  <r>
    <n v="1528"/>
    <s v="Female"/>
    <n v="30"/>
    <x v="4"/>
    <x v="3"/>
    <n v="299"/>
    <n v="61"/>
    <n v="0.53"/>
    <s v="Web"/>
    <n v="0"/>
    <n v="1"/>
    <n v="0"/>
    <n v="4.99"/>
    <n v="0"/>
  </r>
  <r>
    <n v="1529"/>
    <s v="Female"/>
    <n v="49"/>
    <x v="6"/>
    <x v="3"/>
    <n v="38"/>
    <n v="13"/>
    <n v="0.16"/>
    <s v="Desktop"/>
    <n v="0"/>
    <n v="1"/>
    <n v="0"/>
    <n v="4.99"/>
    <n v="0"/>
  </r>
  <r>
    <n v="1530"/>
    <s v="Other"/>
    <n v="19"/>
    <x v="7"/>
    <x v="1"/>
    <n v="12"/>
    <n v="83"/>
    <n v="0.2"/>
    <s v="Desktop"/>
    <n v="0"/>
    <n v="1"/>
    <n v="0"/>
    <n v="14.99"/>
    <n v="0"/>
  </r>
  <r>
    <n v="1531"/>
    <s v="Male"/>
    <n v="20"/>
    <x v="4"/>
    <x v="0"/>
    <n v="61"/>
    <n v="1"/>
    <n v="0.27"/>
    <s v="Desktop"/>
    <n v="43"/>
    <n v="0"/>
    <n v="1"/>
    <n v="0"/>
    <n v="0"/>
  </r>
  <r>
    <n v="1532"/>
    <s v="Other"/>
    <n v="19"/>
    <x v="2"/>
    <x v="1"/>
    <n v="219"/>
    <n v="58"/>
    <n v="0.22"/>
    <s v="Desktop"/>
    <n v="0"/>
    <n v="1"/>
    <n v="0"/>
    <n v="14.99"/>
    <n v="0"/>
  </r>
  <r>
    <n v="1533"/>
    <s v="Other"/>
    <n v="20"/>
    <x v="2"/>
    <x v="0"/>
    <n v="120"/>
    <n v="46"/>
    <n v="0"/>
    <s v="Web"/>
    <n v="16"/>
    <n v="0"/>
    <n v="1"/>
    <n v="0"/>
    <n v="0"/>
  </r>
  <r>
    <n v="1534"/>
    <s v="Female"/>
    <n v="59"/>
    <x v="1"/>
    <x v="2"/>
    <n v="92"/>
    <n v="86"/>
    <n v="0.44"/>
    <s v="Desktop"/>
    <n v="0"/>
    <n v="1"/>
    <n v="0"/>
    <n v="9.99"/>
    <n v="0"/>
  </r>
  <r>
    <n v="1535"/>
    <s v="Male"/>
    <n v="41"/>
    <x v="4"/>
    <x v="3"/>
    <n v="65"/>
    <n v="87"/>
    <n v="0.47"/>
    <s v="Web"/>
    <n v="0"/>
    <n v="1"/>
    <n v="1"/>
    <n v="4.99"/>
    <n v="4.99"/>
  </r>
  <r>
    <n v="1536"/>
    <s v="Other"/>
    <n v="46"/>
    <x v="6"/>
    <x v="3"/>
    <n v="271"/>
    <n v="13"/>
    <n v="0.48"/>
    <s v="Web"/>
    <n v="0"/>
    <n v="1"/>
    <n v="0"/>
    <n v="4.99"/>
    <n v="0"/>
  </r>
  <r>
    <n v="1537"/>
    <s v="Other"/>
    <n v="26"/>
    <x v="4"/>
    <x v="1"/>
    <n v="270"/>
    <n v="4"/>
    <n v="0.15"/>
    <s v="Web"/>
    <n v="0"/>
    <n v="1"/>
    <n v="1"/>
    <n v="14.99"/>
    <n v="14.99"/>
  </r>
  <r>
    <n v="1538"/>
    <s v="Female"/>
    <n v="51"/>
    <x v="1"/>
    <x v="2"/>
    <n v="180"/>
    <n v="64"/>
    <n v="0.59"/>
    <s v="Desktop"/>
    <n v="0"/>
    <n v="1"/>
    <n v="0"/>
    <n v="9.99"/>
    <n v="0"/>
  </r>
  <r>
    <n v="1539"/>
    <s v="Other"/>
    <n v="46"/>
    <x v="2"/>
    <x v="0"/>
    <n v="154"/>
    <n v="95"/>
    <n v="0.21"/>
    <s v="Mobile"/>
    <n v="37"/>
    <n v="0"/>
    <n v="0"/>
    <n v="0"/>
    <n v="0"/>
  </r>
  <r>
    <n v="1540"/>
    <s v="Male"/>
    <n v="16"/>
    <x v="1"/>
    <x v="0"/>
    <n v="76"/>
    <n v="30"/>
    <n v="0.57999999999999996"/>
    <s v="Web"/>
    <n v="6"/>
    <n v="0"/>
    <n v="1"/>
    <n v="0"/>
    <n v="0"/>
  </r>
  <r>
    <n v="1541"/>
    <s v="Male"/>
    <n v="27"/>
    <x v="4"/>
    <x v="2"/>
    <n v="36"/>
    <n v="57"/>
    <n v="0.39"/>
    <s v="Mobile"/>
    <n v="0"/>
    <n v="1"/>
    <n v="0"/>
    <n v="9.99"/>
    <n v="0"/>
  </r>
  <r>
    <n v="1542"/>
    <s v="Other"/>
    <n v="59"/>
    <x v="3"/>
    <x v="2"/>
    <n v="79"/>
    <n v="24"/>
    <n v="0.28000000000000003"/>
    <s v="Mobile"/>
    <n v="0"/>
    <n v="1"/>
    <n v="0"/>
    <n v="9.99"/>
    <n v="0"/>
  </r>
  <r>
    <n v="1543"/>
    <s v="Other"/>
    <n v="58"/>
    <x v="6"/>
    <x v="1"/>
    <n v="238"/>
    <n v="74"/>
    <n v="0.2"/>
    <s v="Desktop"/>
    <n v="0"/>
    <n v="1"/>
    <n v="1"/>
    <n v="14.99"/>
    <n v="14.99"/>
  </r>
  <r>
    <n v="1544"/>
    <s v="Female"/>
    <n v="57"/>
    <x v="5"/>
    <x v="1"/>
    <n v="64"/>
    <n v="71"/>
    <n v="0.03"/>
    <s v="Desktop"/>
    <n v="0"/>
    <n v="1"/>
    <n v="0"/>
    <n v="14.99"/>
    <n v="0"/>
  </r>
  <r>
    <n v="1545"/>
    <s v="Female"/>
    <n v="30"/>
    <x v="7"/>
    <x v="2"/>
    <n v="258"/>
    <n v="50"/>
    <n v="0.11"/>
    <s v="Mobile"/>
    <n v="0"/>
    <n v="1"/>
    <n v="1"/>
    <n v="9.99"/>
    <n v="9.99"/>
  </r>
  <r>
    <n v="1546"/>
    <s v="Other"/>
    <n v="24"/>
    <x v="1"/>
    <x v="1"/>
    <n v="228"/>
    <n v="72"/>
    <n v="0.38"/>
    <s v="Web"/>
    <n v="0"/>
    <n v="1"/>
    <n v="0"/>
    <n v="14.99"/>
    <n v="0"/>
  </r>
  <r>
    <n v="1547"/>
    <s v="Female"/>
    <n v="51"/>
    <x v="1"/>
    <x v="0"/>
    <n v="43"/>
    <n v="4"/>
    <n v="0.08"/>
    <s v="Web"/>
    <n v="41"/>
    <n v="0"/>
    <n v="0"/>
    <n v="0"/>
    <n v="0"/>
  </r>
  <r>
    <n v="1548"/>
    <s v="Female"/>
    <n v="50"/>
    <x v="2"/>
    <x v="0"/>
    <n v="162"/>
    <n v="40"/>
    <n v="0.24"/>
    <s v="Web"/>
    <n v="11"/>
    <n v="0"/>
    <n v="0"/>
    <n v="0"/>
    <n v="0"/>
  </r>
  <r>
    <n v="1549"/>
    <s v="Other"/>
    <n v="33"/>
    <x v="5"/>
    <x v="1"/>
    <n v="144"/>
    <n v="66"/>
    <n v="0.05"/>
    <s v="Desktop"/>
    <n v="0"/>
    <n v="1"/>
    <n v="0"/>
    <n v="14.99"/>
    <n v="0"/>
  </r>
  <r>
    <n v="1550"/>
    <s v="Female"/>
    <n v="31"/>
    <x v="3"/>
    <x v="1"/>
    <n v="74"/>
    <n v="78"/>
    <n v="0.39"/>
    <s v="Desktop"/>
    <n v="0"/>
    <n v="1"/>
    <n v="1"/>
    <n v="14.99"/>
    <n v="14.99"/>
  </r>
  <r>
    <n v="1551"/>
    <s v="Male"/>
    <n v="28"/>
    <x v="1"/>
    <x v="3"/>
    <n v="213"/>
    <n v="48"/>
    <n v="0.22"/>
    <s v="Desktop"/>
    <n v="0"/>
    <n v="1"/>
    <n v="1"/>
    <n v="4.99"/>
    <n v="4.99"/>
  </r>
  <r>
    <n v="1552"/>
    <s v="Female"/>
    <n v="47"/>
    <x v="4"/>
    <x v="1"/>
    <n v="108"/>
    <n v="56"/>
    <n v="0.28000000000000003"/>
    <s v="Web"/>
    <n v="0"/>
    <n v="1"/>
    <n v="0"/>
    <n v="14.99"/>
    <n v="0"/>
  </r>
  <r>
    <n v="1553"/>
    <s v="Male"/>
    <n v="23"/>
    <x v="6"/>
    <x v="0"/>
    <n v="127"/>
    <n v="95"/>
    <n v="0.27"/>
    <s v="Mobile"/>
    <n v="16"/>
    <n v="0"/>
    <n v="0"/>
    <n v="0"/>
    <n v="0"/>
  </r>
  <r>
    <n v="1554"/>
    <s v="Male"/>
    <n v="59"/>
    <x v="6"/>
    <x v="0"/>
    <n v="295"/>
    <n v="8"/>
    <n v="0.41"/>
    <s v="Web"/>
    <n v="47"/>
    <n v="0"/>
    <n v="1"/>
    <n v="0"/>
    <n v="0"/>
  </r>
  <r>
    <n v="1555"/>
    <s v="Female"/>
    <n v="19"/>
    <x v="7"/>
    <x v="3"/>
    <n v="71"/>
    <n v="50"/>
    <n v="0.27"/>
    <s v="Desktop"/>
    <n v="0"/>
    <n v="1"/>
    <n v="0"/>
    <n v="4.99"/>
    <n v="0"/>
  </r>
  <r>
    <n v="1556"/>
    <s v="Male"/>
    <n v="35"/>
    <x v="4"/>
    <x v="2"/>
    <n v="156"/>
    <n v="44"/>
    <n v="0.56000000000000005"/>
    <s v="Mobile"/>
    <n v="0"/>
    <n v="1"/>
    <n v="0"/>
    <n v="9.99"/>
    <n v="0"/>
  </r>
  <r>
    <n v="1557"/>
    <s v="Female"/>
    <n v="44"/>
    <x v="5"/>
    <x v="3"/>
    <n v="35"/>
    <n v="64"/>
    <n v="0.39"/>
    <s v="Mobile"/>
    <n v="0"/>
    <n v="1"/>
    <n v="0"/>
    <n v="4.99"/>
    <n v="0"/>
  </r>
  <r>
    <n v="1558"/>
    <s v="Female"/>
    <n v="36"/>
    <x v="4"/>
    <x v="3"/>
    <n v="149"/>
    <n v="21"/>
    <n v="0.26"/>
    <s v="Web"/>
    <n v="0"/>
    <n v="1"/>
    <n v="0"/>
    <n v="4.99"/>
    <n v="0"/>
  </r>
  <r>
    <n v="1559"/>
    <s v="Female"/>
    <n v="52"/>
    <x v="7"/>
    <x v="3"/>
    <n v="160"/>
    <n v="46"/>
    <n v="0.3"/>
    <s v="Mobile"/>
    <n v="0"/>
    <n v="1"/>
    <n v="0"/>
    <n v="4.99"/>
    <n v="0"/>
  </r>
  <r>
    <n v="1560"/>
    <s v="Male"/>
    <n v="48"/>
    <x v="4"/>
    <x v="3"/>
    <n v="190"/>
    <n v="26"/>
    <n v="0.51"/>
    <s v="Web"/>
    <n v="0"/>
    <n v="1"/>
    <n v="1"/>
    <n v="4.99"/>
    <n v="4.99"/>
  </r>
  <r>
    <n v="1561"/>
    <s v="Other"/>
    <n v="56"/>
    <x v="0"/>
    <x v="2"/>
    <n v="37"/>
    <n v="9"/>
    <n v="0.28999999999999998"/>
    <s v="Desktop"/>
    <n v="0"/>
    <n v="1"/>
    <n v="0"/>
    <n v="9.99"/>
    <n v="0"/>
  </r>
  <r>
    <n v="1562"/>
    <s v="Female"/>
    <n v="20"/>
    <x v="7"/>
    <x v="0"/>
    <n v="48"/>
    <n v="76"/>
    <n v="0.17"/>
    <s v="Mobile"/>
    <n v="13"/>
    <n v="0"/>
    <n v="0"/>
    <n v="0"/>
    <n v="0"/>
  </r>
  <r>
    <n v="1563"/>
    <s v="Female"/>
    <n v="57"/>
    <x v="2"/>
    <x v="1"/>
    <n v="148"/>
    <n v="96"/>
    <n v="0.17"/>
    <s v="Desktop"/>
    <n v="0"/>
    <n v="1"/>
    <n v="0"/>
    <n v="14.99"/>
    <n v="0"/>
  </r>
  <r>
    <n v="1564"/>
    <s v="Female"/>
    <n v="17"/>
    <x v="1"/>
    <x v="2"/>
    <n v="156"/>
    <n v="23"/>
    <n v="0.03"/>
    <s v="Desktop"/>
    <n v="0"/>
    <n v="1"/>
    <n v="0"/>
    <n v="9.99"/>
    <n v="0"/>
  </r>
  <r>
    <n v="1565"/>
    <s v="Male"/>
    <n v="40"/>
    <x v="3"/>
    <x v="2"/>
    <n v="171"/>
    <n v="45"/>
    <n v="0.42"/>
    <s v="Web"/>
    <n v="0"/>
    <n v="1"/>
    <n v="0"/>
    <n v="9.99"/>
    <n v="0"/>
  </r>
  <r>
    <n v="1566"/>
    <s v="Male"/>
    <n v="54"/>
    <x v="7"/>
    <x v="1"/>
    <n v="276"/>
    <n v="39"/>
    <n v="0.16"/>
    <s v="Web"/>
    <n v="0"/>
    <n v="1"/>
    <n v="1"/>
    <n v="14.99"/>
    <n v="14.99"/>
  </r>
  <r>
    <n v="1567"/>
    <s v="Other"/>
    <n v="38"/>
    <x v="0"/>
    <x v="1"/>
    <n v="178"/>
    <n v="96"/>
    <n v="7.0000000000000007E-2"/>
    <s v="Web"/>
    <n v="0"/>
    <n v="1"/>
    <n v="0"/>
    <n v="14.99"/>
    <n v="0"/>
  </r>
  <r>
    <n v="1568"/>
    <s v="Female"/>
    <n v="30"/>
    <x v="4"/>
    <x v="0"/>
    <n v="193"/>
    <n v="66"/>
    <n v="0.56999999999999995"/>
    <s v="Desktop"/>
    <n v="43"/>
    <n v="0"/>
    <n v="1"/>
    <n v="0"/>
    <n v="0"/>
  </r>
  <r>
    <n v="1569"/>
    <s v="Female"/>
    <n v="36"/>
    <x v="1"/>
    <x v="0"/>
    <n v="68"/>
    <n v="20"/>
    <n v="0.47"/>
    <s v="Web"/>
    <n v="17"/>
    <n v="0"/>
    <n v="0"/>
    <n v="0"/>
    <n v="0"/>
  </r>
  <r>
    <n v="1570"/>
    <s v="Male"/>
    <n v="47"/>
    <x v="7"/>
    <x v="0"/>
    <n v="237"/>
    <n v="74"/>
    <n v="0.5"/>
    <s v="Mobile"/>
    <n v="48"/>
    <n v="0"/>
    <n v="1"/>
    <n v="0"/>
    <n v="0"/>
  </r>
  <r>
    <n v="1571"/>
    <s v="Female"/>
    <n v="39"/>
    <x v="1"/>
    <x v="3"/>
    <n v="54"/>
    <n v="20"/>
    <n v="0.19"/>
    <s v="Desktop"/>
    <n v="0"/>
    <n v="1"/>
    <n v="0"/>
    <n v="4.99"/>
    <n v="0"/>
  </r>
  <r>
    <n v="1572"/>
    <s v="Female"/>
    <n v="16"/>
    <x v="2"/>
    <x v="1"/>
    <n v="29"/>
    <n v="67"/>
    <n v="0.11"/>
    <s v="Mobile"/>
    <n v="0"/>
    <n v="1"/>
    <n v="1"/>
    <n v="14.99"/>
    <n v="14.99"/>
  </r>
  <r>
    <n v="1573"/>
    <s v="Other"/>
    <n v="48"/>
    <x v="7"/>
    <x v="2"/>
    <n v="265"/>
    <n v="61"/>
    <n v="0.05"/>
    <s v="Mobile"/>
    <n v="0"/>
    <n v="1"/>
    <n v="0"/>
    <n v="9.99"/>
    <n v="0"/>
  </r>
  <r>
    <n v="1574"/>
    <s v="Male"/>
    <n v="59"/>
    <x v="7"/>
    <x v="3"/>
    <n v="138"/>
    <n v="72"/>
    <n v="0.2"/>
    <s v="Mobile"/>
    <n v="0"/>
    <n v="1"/>
    <n v="0"/>
    <n v="4.99"/>
    <n v="0"/>
  </r>
  <r>
    <n v="1575"/>
    <s v="Female"/>
    <n v="58"/>
    <x v="4"/>
    <x v="2"/>
    <n v="165"/>
    <n v="21"/>
    <n v="0.02"/>
    <s v="Mobile"/>
    <n v="0"/>
    <n v="1"/>
    <n v="0"/>
    <n v="9.99"/>
    <n v="0"/>
  </r>
  <r>
    <n v="1576"/>
    <s v="Other"/>
    <n v="41"/>
    <x v="0"/>
    <x v="1"/>
    <n v="135"/>
    <n v="12"/>
    <n v="0.32"/>
    <s v="Web"/>
    <n v="0"/>
    <n v="1"/>
    <n v="0"/>
    <n v="14.99"/>
    <n v="0"/>
  </r>
  <r>
    <n v="1577"/>
    <s v="Female"/>
    <n v="41"/>
    <x v="4"/>
    <x v="0"/>
    <n v="156"/>
    <n v="9"/>
    <n v="0.31"/>
    <s v="Mobile"/>
    <n v="25"/>
    <n v="0"/>
    <n v="0"/>
    <n v="0"/>
    <n v="0"/>
  </r>
  <r>
    <n v="1578"/>
    <s v="Other"/>
    <n v="49"/>
    <x v="4"/>
    <x v="1"/>
    <n v="289"/>
    <n v="88"/>
    <n v="0.32"/>
    <s v="Web"/>
    <n v="0"/>
    <n v="1"/>
    <n v="0"/>
    <n v="14.99"/>
    <n v="0"/>
  </r>
  <r>
    <n v="1579"/>
    <s v="Male"/>
    <n v="36"/>
    <x v="6"/>
    <x v="0"/>
    <n v="205"/>
    <n v="33"/>
    <n v="0.25"/>
    <s v="Web"/>
    <n v="46"/>
    <n v="0"/>
    <n v="1"/>
    <n v="0"/>
    <n v="0"/>
  </r>
  <r>
    <n v="1580"/>
    <s v="Male"/>
    <n v="58"/>
    <x v="3"/>
    <x v="3"/>
    <n v="158"/>
    <n v="66"/>
    <n v="0.04"/>
    <s v="Desktop"/>
    <n v="0"/>
    <n v="1"/>
    <n v="0"/>
    <n v="4.99"/>
    <n v="0"/>
  </r>
  <r>
    <n v="1581"/>
    <s v="Male"/>
    <n v="47"/>
    <x v="6"/>
    <x v="3"/>
    <n v="150"/>
    <n v="52"/>
    <n v="0.03"/>
    <s v="Web"/>
    <n v="0"/>
    <n v="1"/>
    <n v="0"/>
    <n v="4.99"/>
    <n v="0"/>
  </r>
  <r>
    <n v="1582"/>
    <s v="Male"/>
    <n v="42"/>
    <x v="1"/>
    <x v="3"/>
    <n v="83"/>
    <n v="12"/>
    <n v="0.04"/>
    <s v="Desktop"/>
    <n v="0"/>
    <n v="1"/>
    <n v="0"/>
    <n v="4.99"/>
    <n v="0"/>
  </r>
  <r>
    <n v="1583"/>
    <s v="Other"/>
    <n v="27"/>
    <x v="7"/>
    <x v="0"/>
    <n v="216"/>
    <n v="49"/>
    <n v="0.05"/>
    <s v="Mobile"/>
    <n v="31"/>
    <n v="0"/>
    <n v="0"/>
    <n v="0"/>
    <n v="0"/>
  </r>
  <r>
    <n v="1584"/>
    <s v="Female"/>
    <n v="34"/>
    <x v="7"/>
    <x v="2"/>
    <n v="99"/>
    <n v="78"/>
    <n v="0.43"/>
    <s v="Desktop"/>
    <n v="0"/>
    <n v="1"/>
    <n v="0"/>
    <n v="9.99"/>
    <n v="0"/>
  </r>
  <r>
    <n v="1585"/>
    <s v="Male"/>
    <n v="36"/>
    <x v="2"/>
    <x v="1"/>
    <n v="171"/>
    <n v="55"/>
    <n v="0.15"/>
    <s v="Mobile"/>
    <n v="0"/>
    <n v="1"/>
    <n v="1"/>
    <n v="14.99"/>
    <n v="14.99"/>
  </r>
  <r>
    <n v="1586"/>
    <s v="Other"/>
    <n v="18"/>
    <x v="0"/>
    <x v="3"/>
    <n v="126"/>
    <n v="15"/>
    <n v="0.08"/>
    <s v="Web"/>
    <n v="0"/>
    <n v="1"/>
    <n v="0"/>
    <n v="4.99"/>
    <n v="0"/>
  </r>
  <r>
    <n v="1587"/>
    <s v="Female"/>
    <n v="39"/>
    <x v="1"/>
    <x v="2"/>
    <n v="133"/>
    <n v="52"/>
    <n v="0.56999999999999995"/>
    <s v="Web"/>
    <n v="0"/>
    <n v="1"/>
    <n v="0"/>
    <n v="9.99"/>
    <n v="0"/>
  </r>
  <r>
    <n v="1588"/>
    <s v="Female"/>
    <n v="56"/>
    <x v="2"/>
    <x v="3"/>
    <n v="289"/>
    <n v="29"/>
    <n v="0.13"/>
    <s v="Desktop"/>
    <n v="0"/>
    <n v="1"/>
    <n v="0"/>
    <n v="4.99"/>
    <n v="0"/>
  </r>
  <r>
    <n v="1589"/>
    <s v="Male"/>
    <n v="21"/>
    <x v="3"/>
    <x v="0"/>
    <n v="215"/>
    <n v="30"/>
    <n v="0.55000000000000004"/>
    <s v="Mobile"/>
    <n v="10"/>
    <n v="0"/>
    <n v="0"/>
    <n v="0"/>
    <n v="0"/>
  </r>
  <r>
    <n v="1590"/>
    <s v="Male"/>
    <n v="50"/>
    <x v="0"/>
    <x v="2"/>
    <n v="90"/>
    <n v="51"/>
    <n v="0.1"/>
    <s v="Desktop"/>
    <n v="0"/>
    <n v="1"/>
    <n v="1"/>
    <n v="9.99"/>
    <n v="9.99"/>
  </r>
  <r>
    <n v="1591"/>
    <s v="Female"/>
    <n v="51"/>
    <x v="1"/>
    <x v="3"/>
    <n v="208"/>
    <n v="89"/>
    <n v="0.11"/>
    <s v="Mobile"/>
    <n v="0"/>
    <n v="1"/>
    <n v="1"/>
    <n v="4.99"/>
    <n v="4.99"/>
  </r>
  <r>
    <n v="1592"/>
    <s v="Female"/>
    <n v="59"/>
    <x v="2"/>
    <x v="0"/>
    <n v="88"/>
    <n v="32"/>
    <n v="0.1"/>
    <s v="Mobile"/>
    <n v="22"/>
    <n v="0"/>
    <n v="0"/>
    <n v="0"/>
    <n v="0"/>
  </r>
  <r>
    <n v="1593"/>
    <s v="Female"/>
    <n v="17"/>
    <x v="3"/>
    <x v="0"/>
    <n v="18"/>
    <n v="82"/>
    <n v="0.02"/>
    <s v="Mobile"/>
    <n v="38"/>
    <n v="0"/>
    <n v="1"/>
    <n v="0"/>
    <n v="0"/>
  </r>
  <r>
    <n v="1594"/>
    <s v="Female"/>
    <n v="58"/>
    <x v="2"/>
    <x v="3"/>
    <n v="10"/>
    <n v="5"/>
    <n v="0.12"/>
    <s v="Desktop"/>
    <n v="0"/>
    <n v="1"/>
    <n v="0"/>
    <n v="4.99"/>
    <n v="0"/>
  </r>
  <r>
    <n v="1595"/>
    <s v="Other"/>
    <n v="40"/>
    <x v="6"/>
    <x v="3"/>
    <n v="232"/>
    <n v="43"/>
    <n v="0.54"/>
    <s v="Web"/>
    <n v="0"/>
    <n v="1"/>
    <n v="1"/>
    <n v="4.99"/>
    <n v="4.99"/>
  </r>
  <r>
    <n v="1596"/>
    <s v="Female"/>
    <n v="28"/>
    <x v="3"/>
    <x v="0"/>
    <n v="110"/>
    <n v="26"/>
    <n v="0.31"/>
    <s v="Mobile"/>
    <n v="40"/>
    <n v="0"/>
    <n v="1"/>
    <n v="0"/>
    <n v="0"/>
  </r>
  <r>
    <n v="1597"/>
    <s v="Female"/>
    <n v="55"/>
    <x v="3"/>
    <x v="2"/>
    <n v="147"/>
    <n v="98"/>
    <n v="0.08"/>
    <s v="Desktop"/>
    <n v="0"/>
    <n v="1"/>
    <n v="1"/>
    <n v="9.99"/>
    <n v="9.99"/>
  </r>
  <r>
    <n v="1598"/>
    <s v="Other"/>
    <n v="17"/>
    <x v="2"/>
    <x v="3"/>
    <n v="48"/>
    <n v="51"/>
    <n v="7.0000000000000007E-2"/>
    <s v="Desktop"/>
    <n v="0"/>
    <n v="1"/>
    <n v="0"/>
    <n v="4.99"/>
    <n v="0"/>
  </r>
  <r>
    <n v="1599"/>
    <s v="Other"/>
    <n v="23"/>
    <x v="7"/>
    <x v="2"/>
    <n v="254"/>
    <n v="46"/>
    <n v="0.49"/>
    <s v="Web"/>
    <n v="0"/>
    <n v="1"/>
    <n v="0"/>
    <n v="9.99"/>
    <n v="0"/>
  </r>
  <r>
    <n v="1600"/>
    <s v="Female"/>
    <n v="16"/>
    <x v="7"/>
    <x v="3"/>
    <n v="268"/>
    <n v="16"/>
    <n v="0.33"/>
    <s v="Desktop"/>
    <n v="0"/>
    <n v="1"/>
    <n v="1"/>
    <n v="4.99"/>
    <n v="4.99"/>
  </r>
  <r>
    <n v="1601"/>
    <s v="Male"/>
    <n v="55"/>
    <x v="4"/>
    <x v="1"/>
    <n v="220"/>
    <n v="54"/>
    <n v="0.31"/>
    <s v="Web"/>
    <n v="0"/>
    <n v="1"/>
    <n v="1"/>
    <n v="14.99"/>
    <n v="14.99"/>
  </r>
  <r>
    <n v="1602"/>
    <s v="Male"/>
    <n v="39"/>
    <x v="6"/>
    <x v="0"/>
    <n v="299"/>
    <n v="56"/>
    <n v="0.24"/>
    <s v="Web"/>
    <n v="15"/>
    <n v="0"/>
    <n v="0"/>
    <n v="0"/>
    <n v="0"/>
  </r>
  <r>
    <n v="1603"/>
    <s v="Male"/>
    <n v="48"/>
    <x v="0"/>
    <x v="2"/>
    <n v="252"/>
    <n v="33"/>
    <n v="0.36"/>
    <s v="Mobile"/>
    <n v="0"/>
    <n v="1"/>
    <n v="0"/>
    <n v="9.99"/>
    <n v="0"/>
  </r>
  <r>
    <n v="1604"/>
    <s v="Male"/>
    <n v="35"/>
    <x v="5"/>
    <x v="1"/>
    <n v="75"/>
    <n v="92"/>
    <n v="0.38"/>
    <s v="Desktop"/>
    <n v="0"/>
    <n v="1"/>
    <n v="1"/>
    <n v="14.99"/>
    <n v="14.99"/>
  </r>
  <r>
    <n v="1605"/>
    <s v="Female"/>
    <n v="20"/>
    <x v="1"/>
    <x v="3"/>
    <n v="62"/>
    <n v="94"/>
    <n v="0.52"/>
    <s v="Desktop"/>
    <n v="0"/>
    <n v="1"/>
    <n v="1"/>
    <n v="4.99"/>
    <n v="4.99"/>
  </r>
  <r>
    <n v="1606"/>
    <s v="Male"/>
    <n v="44"/>
    <x v="0"/>
    <x v="2"/>
    <n v="86"/>
    <n v="4"/>
    <n v="0.43"/>
    <s v="Desktop"/>
    <n v="0"/>
    <n v="1"/>
    <n v="0"/>
    <n v="9.99"/>
    <n v="0"/>
  </r>
  <r>
    <n v="1607"/>
    <s v="Female"/>
    <n v="24"/>
    <x v="5"/>
    <x v="2"/>
    <n v="128"/>
    <n v="30"/>
    <n v="0.11"/>
    <s v="Desktop"/>
    <n v="0"/>
    <n v="1"/>
    <n v="0"/>
    <n v="9.99"/>
    <n v="0"/>
  </r>
  <r>
    <n v="1608"/>
    <s v="Other"/>
    <n v="59"/>
    <x v="7"/>
    <x v="0"/>
    <n v="68"/>
    <n v="17"/>
    <n v="0.5"/>
    <s v="Desktop"/>
    <n v="38"/>
    <n v="0"/>
    <n v="0"/>
    <n v="0"/>
    <n v="0"/>
  </r>
  <r>
    <n v="1609"/>
    <s v="Male"/>
    <n v="23"/>
    <x v="5"/>
    <x v="1"/>
    <n v="74"/>
    <n v="59"/>
    <n v="0.16"/>
    <s v="Mobile"/>
    <n v="0"/>
    <n v="1"/>
    <n v="0"/>
    <n v="14.99"/>
    <n v="0"/>
  </r>
  <r>
    <n v="1610"/>
    <s v="Female"/>
    <n v="49"/>
    <x v="0"/>
    <x v="1"/>
    <n v="170"/>
    <n v="45"/>
    <n v="0.21"/>
    <s v="Desktop"/>
    <n v="0"/>
    <n v="1"/>
    <n v="0"/>
    <n v="14.99"/>
    <n v="0"/>
  </r>
  <r>
    <n v="1611"/>
    <s v="Female"/>
    <n v="39"/>
    <x v="2"/>
    <x v="2"/>
    <n v="266"/>
    <n v="28"/>
    <n v="0.4"/>
    <s v="Desktop"/>
    <n v="0"/>
    <n v="1"/>
    <n v="0"/>
    <n v="9.99"/>
    <n v="0"/>
  </r>
  <r>
    <n v="1612"/>
    <s v="Other"/>
    <n v="58"/>
    <x v="5"/>
    <x v="2"/>
    <n v="69"/>
    <n v="27"/>
    <n v="0.23"/>
    <s v="Mobile"/>
    <n v="0"/>
    <n v="1"/>
    <n v="0"/>
    <n v="9.99"/>
    <n v="0"/>
  </r>
  <r>
    <n v="1613"/>
    <s v="Other"/>
    <n v="31"/>
    <x v="5"/>
    <x v="2"/>
    <n v="125"/>
    <n v="56"/>
    <n v="0.21"/>
    <s v="Mobile"/>
    <n v="0"/>
    <n v="1"/>
    <n v="0"/>
    <n v="9.99"/>
    <n v="0"/>
  </r>
  <r>
    <n v="1614"/>
    <s v="Female"/>
    <n v="25"/>
    <x v="7"/>
    <x v="3"/>
    <n v="60"/>
    <n v="31"/>
    <n v="0.28999999999999998"/>
    <s v="Web"/>
    <n v="0"/>
    <n v="1"/>
    <n v="0"/>
    <n v="4.99"/>
    <n v="0"/>
  </r>
  <r>
    <n v="1615"/>
    <s v="Female"/>
    <n v="56"/>
    <x v="7"/>
    <x v="2"/>
    <n v="202"/>
    <n v="82"/>
    <n v="0.41"/>
    <s v="Desktop"/>
    <n v="0"/>
    <n v="1"/>
    <n v="0"/>
    <n v="9.99"/>
    <n v="0"/>
  </r>
  <r>
    <n v="1616"/>
    <s v="Male"/>
    <n v="17"/>
    <x v="7"/>
    <x v="1"/>
    <n v="227"/>
    <n v="65"/>
    <n v="0.48"/>
    <s v="Mobile"/>
    <n v="0"/>
    <n v="1"/>
    <n v="0"/>
    <n v="14.99"/>
    <n v="0"/>
  </r>
  <r>
    <n v="1617"/>
    <s v="Male"/>
    <n v="34"/>
    <x v="6"/>
    <x v="1"/>
    <n v="80"/>
    <n v="62"/>
    <n v="0.08"/>
    <s v="Mobile"/>
    <n v="0"/>
    <n v="1"/>
    <n v="1"/>
    <n v="14.99"/>
    <n v="14.99"/>
  </r>
  <r>
    <n v="1618"/>
    <s v="Male"/>
    <n v="51"/>
    <x v="5"/>
    <x v="0"/>
    <n v="176"/>
    <n v="9"/>
    <n v="0.09"/>
    <s v="Web"/>
    <n v="39"/>
    <n v="0"/>
    <n v="0"/>
    <n v="0"/>
    <n v="0"/>
  </r>
  <r>
    <n v="1619"/>
    <s v="Female"/>
    <n v="43"/>
    <x v="2"/>
    <x v="0"/>
    <n v="218"/>
    <n v="77"/>
    <n v="0.14000000000000001"/>
    <s v="Desktop"/>
    <n v="35"/>
    <n v="0"/>
    <n v="1"/>
    <n v="0"/>
    <n v="0"/>
  </r>
  <r>
    <n v="1620"/>
    <s v="Female"/>
    <n v="28"/>
    <x v="2"/>
    <x v="2"/>
    <n v="241"/>
    <n v="47"/>
    <n v="0.28000000000000003"/>
    <s v="Web"/>
    <n v="0"/>
    <n v="1"/>
    <n v="0"/>
    <n v="9.99"/>
    <n v="0"/>
  </r>
  <r>
    <n v="1621"/>
    <s v="Male"/>
    <n v="38"/>
    <x v="3"/>
    <x v="0"/>
    <n v="16"/>
    <n v="50"/>
    <n v="0.48"/>
    <s v="Mobile"/>
    <n v="20"/>
    <n v="0"/>
    <n v="1"/>
    <n v="0"/>
    <n v="0"/>
  </r>
  <r>
    <n v="1622"/>
    <s v="Male"/>
    <n v="28"/>
    <x v="0"/>
    <x v="1"/>
    <n v="217"/>
    <n v="47"/>
    <n v="0.36"/>
    <s v="Web"/>
    <n v="0"/>
    <n v="1"/>
    <n v="0"/>
    <n v="14.99"/>
    <n v="0"/>
  </r>
  <r>
    <n v="1623"/>
    <s v="Other"/>
    <n v="44"/>
    <x v="3"/>
    <x v="2"/>
    <n v="293"/>
    <n v="39"/>
    <n v="0.48"/>
    <s v="Desktop"/>
    <n v="0"/>
    <n v="1"/>
    <n v="0"/>
    <n v="9.99"/>
    <n v="0"/>
  </r>
  <r>
    <n v="1624"/>
    <s v="Male"/>
    <n v="42"/>
    <x v="1"/>
    <x v="1"/>
    <n v="59"/>
    <n v="52"/>
    <n v="0.3"/>
    <s v="Web"/>
    <n v="0"/>
    <n v="1"/>
    <n v="1"/>
    <n v="14.99"/>
    <n v="14.99"/>
  </r>
  <r>
    <n v="1625"/>
    <s v="Female"/>
    <n v="49"/>
    <x v="7"/>
    <x v="3"/>
    <n v="99"/>
    <n v="11"/>
    <n v="0.12"/>
    <s v="Web"/>
    <n v="0"/>
    <n v="1"/>
    <n v="0"/>
    <n v="4.99"/>
    <n v="0"/>
  </r>
  <r>
    <n v="1626"/>
    <s v="Other"/>
    <n v="27"/>
    <x v="2"/>
    <x v="0"/>
    <n v="204"/>
    <n v="23"/>
    <n v="0.49"/>
    <s v="Mobile"/>
    <n v="8"/>
    <n v="0"/>
    <n v="1"/>
    <n v="0"/>
    <n v="0"/>
  </r>
  <r>
    <n v="1627"/>
    <s v="Male"/>
    <n v="54"/>
    <x v="4"/>
    <x v="2"/>
    <n v="203"/>
    <n v="97"/>
    <n v="0.08"/>
    <s v="Desktop"/>
    <n v="0"/>
    <n v="1"/>
    <n v="0"/>
    <n v="9.99"/>
    <n v="0"/>
  </r>
  <r>
    <n v="1628"/>
    <s v="Female"/>
    <n v="51"/>
    <x v="0"/>
    <x v="2"/>
    <n v="145"/>
    <n v="30"/>
    <n v="0.42"/>
    <s v="Web"/>
    <n v="0"/>
    <n v="1"/>
    <n v="0"/>
    <n v="9.99"/>
    <n v="0"/>
  </r>
  <r>
    <n v="1629"/>
    <s v="Other"/>
    <n v="45"/>
    <x v="1"/>
    <x v="1"/>
    <n v="272"/>
    <n v="14"/>
    <n v="0.31"/>
    <s v="Mobile"/>
    <n v="0"/>
    <n v="1"/>
    <n v="1"/>
    <n v="14.99"/>
    <n v="14.99"/>
  </r>
  <r>
    <n v="1630"/>
    <s v="Other"/>
    <n v="21"/>
    <x v="7"/>
    <x v="0"/>
    <n v="141"/>
    <n v="26"/>
    <n v="0.43"/>
    <s v="Mobile"/>
    <n v="36"/>
    <n v="0"/>
    <n v="1"/>
    <n v="0"/>
    <n v="0"/>
  </r>
  <r>
    <n v="1631"/>
    <s v="Female"/>
    <n v="37"/>
    <x v="4"/>
    <x v="1"/>
    <n v="222"/>
    <n v="15"/>
    <n v="0.02"/>
    <s v="Desktop"/>
    <n v="0"/>
    <n v="1"/>
    <n v="0"/>
    <n v="14.99"/>
    <n v="0"/>
  </r>
  <r>
    <n v="1632"/>
    <s v="Male"/>
    <n v="27"/>
    <x v="5"/>
    <x v="2"/>
    <n v="165"/>
    <n v="35"/>
    <n v="0.57999999999999996"/>
    <s v="Web"/>
    <n v="0"/>
    <n v="1"/>
    <n v="0"/>
    <n v="9.99"/>
    <n v="0"/>
  </r>
  <r>
    <n v="1633"/>
    <s v="Female"/>
    <n v="28"/>
    <x v="0"/>
    <x v="0"/>
    <n v="215"/>
    <n v="35"/>
    <n v="0.06"/>
    <s v="Mobile"/>
    <n v="19"/>
    <n v="0"/>
    <n v="0"/>
    <n v="0"/>
    <n v="0"/>
  </r>
  <r>
    <n v="1634"/>
    <s v="Male"/>
    <n v="22"/>
    <x v="7"/>
    <x v="3"/>
    <n v="111"/>
    <n v="48"/>
    <n v="0.01"/>
    <s v="Web"/>
    <n v="0"/>
    <n v="1"/>
    <n v="0"/>
    <n v="4.99"/>
    <n v="0"/>
  </r>
  <r>
    <n v="1635"/>
    <s v="Female"/>
    <n v="49"/>
    <x v="4"/>
    <x v="3"/>
    <n v="55"/>
    <n v="40"/>
    <n v="0.44"/>
    <s v="Web"/>
    <n v="0"/>
    <n v="1"/>
    <n v="0"/>
    <n v="4.99"/>
    <n v="0"/>
  </r>
  <r>
    <n v="1636"/>
    <s v="Female"/>
    <n v="16"/>
    <x v="1"/>
    <x v="3"/>
    <n v="184"/>
    <n v="83"/>
    <n v="0.14000000000000001"/>
    <s v="Mobile"/>
    <n v="0"/>
    <n v="1"/>
    <n v="1"/>
    <n v="4.99"/>
    <n v="4.99"/>
  </r>
  <r>
    <n v="1637"/>
    <s v="Male"/>
    <n v="31"/>
    <x v="7"/>
    <x v="0"/>
    <n v="56"/>
    <n v="56"/>
    <n v="0.14000000000000001"/>
    <s v="Mobile"/>
    <n v="20"/>
    <n v="0"/>
    <n v="0"/>
    <n v="0"/>
    <n v="0"/>
  </r>
  <r>
    <n v="1638"/>
    <s v="Male"/>
    <n v="28"/>
    <x v="1"/>
    <x v="1"/>
    <n v="52"/>
    <n v="21"/>
    <n v="0.09"/>
    <s v="Web"/>
    <n v="0"/>
    <n v="1"/>
    <n v="1"/>
    <n v="14.99"/>
    <n v="14.99"/>
  </r>
  <r>
    <n v="1639"/>
    <s v="Female"/>
    <n v="48"/>
    <x v="2"/>
    <x v="0"/>
    <n v="292"/>
    <n v="23"/>
    <n v="0.45"/>
    <s v="Web"/>
    <n v="39"/>
    <n v="0"/>
    <n v="0"/>
    <n v="0"/>
    <n v="0"/>
  </r>
  <r>
    <n v="1640"/>
    <s v="Other"/>
    <n v="45"/>
    <x v="7"/>
    <x v="2"/>
    <n v="155"/>
    <n v="7"/>
    <n v="0.27"/>
    <s v="Web"/>
    <n v="0"/>
    <n v="1"/>
    <n v="0"/>
    <n v="9.99"/>
    <n v="0"/>
  </r>
  <r>
    <n v="1641"/>
    <s v="Male"/>
    <n v="18"/>
    <x v="1"/>
    <x v="3"/>
    <n v="274"/>
    <n v="43"/>
    <n v="0.49"/>
    <s v="Desktop"/>
    <n v="0"/>
    <n v="1"/>
    <n v="0"/>
    <n v="4.99"/>
    <n v="0"/>
  </r>
  <r>
    <n v="1642"/>
    <s v="Other"/>
    <n v="54"/>
    <x v="7"/>
    <x v="2"/>
    <n v="299"/>
    <n v="64"/>
    <n v="0.19"/>
    <s v="Desktop"/>
    <n v="0"/>
    <n v="1"/>
    <n v="0"/>
    <n v="9.99"/>
    <n v="0"/>
  </r>
  <r>
    <n v="1643"/>
    <s v="Other"/>
    <n v="35"/>
    <x v="0"/>
    <x v="0"/>
    <n v="262"/>
    <n v="54"/>
    <n v="0.32"/>
    <s v="Web"/>
    <n v="19"/>
    <n v="0"/>
    <n v="0"/>
    <n v="0"/>
    <n v="0"/>
  </r>
  <r>
    <n v="1644"/>
    <s v="Male"/>
    <n v="46"/>
    <x v="4"/>
    <x v="2"/>
    <n v="224"/>
    <n v="27"/>
    <n v="0.16"/>
    <s v="Mobile"/>
    <n v="0"/>
    <n v="1"/>
    <n v="0"/>
    <n v="9.99"/>
    <n v="0"/>
  </r>
  <r>
    <n v="1645"/>
    <s v="Other"/>
    <n v="24"/>
    <x v="3"/>
    <x v="3"/>
    <n v="283"/>
    <n v="8"/>
    <n v="0.56000000000000005"/>
    <s v="Desktop"/>
    <n v="0"/>
    <n v="1"/>
    <n v="0"/>
    <n v="4.99"/>
    <n v="0"/>
  </r>
  <r>
    <n v="1646"/>
    <s v="Female"/>
    <n v="41"/>
    <x v="1"/>
    <x v="2"/>
    <n v="220"/>
    <n v="87"/>
    <n v="0.19"/>
    <s v="Mobile"/>
    <n v="0"/>
    <n v="1"/>
    <n v="0"/>
    <n v="9.99"/>
    <n v="0"/>
  </r>
  <r>
    <n v="1647"/>
    <s v="Female"/>
    <n v="39"/>
    <x v="4"/>
    <x v="3"/>
    <n v="95"/>
    <n v="91"/>
    <n v="0.16"/>
    <s v="Desktop"/>
    <n v="0"/>
    <n v="1"/>
    <n v="0"/>
    <n v="4.99"/>
    <n v="0"/>
  </r>
  <r>
    <n v="1648"/>
    <s v="Male"/>
    <n v="41"/>
    <x v="7"/>
    <x v="3"/>
    <n v="64"/>
    <n v="38"/>
    <n v="0.54"/>
    <s v="Web"/>
    <n v="0"/>
    <n v="1"/>
    <n v="0"/>
    <n v="4.99"/>
    <n v="0"/>
  </r>
  <r>
    <n v="1649"/>
    <s v="Male"/>
    <n v="40"/>
    <x v="7"/>
    <x v="1"/>
    <n v="145"/>
    <n v="99"/>
    <n v="0.1"/>
    <s v="Desktop"/>
    <n v="0"/>
    <n v="1"/>
    <n v="0"/>
    <n v="14.99"/>
    <n v="0"/>
  </r>
  <r>
    <n v="1650"/>
    <s v="Male"/>
    <n v="40"/>
    <x v="1"/>
    <x v="3"/>
    <n v="25"/>
    <n v="25"/>
    <n v="0.41"/>
    <s v="Web"/>
    <n v="0"/>
    <n v="1"/>
    <n v="0"/>
    <n v="4.99"/>
    <n v="0"/>
  </r>
  <r>
    <n v="1651"/>
    <s v="Other"/>
    <n v="30"/>
    <x v="7"/>
    <x v="3"/>
    <n v="25"/>
    <n v="62"/>
    <n v="0.23"/>
    <s v="Web"/>
    <n v="0"/>
    <n v="1"/>
    <n v="0"/>
    <n v="4.99"/>
    <n v="0"/>
  </r>
  <r>
    <n v="1652"/>
    <s v="Male"/>
    <n v="18"/>
    <x v="4"/>
    <x v="1"/>
    <n v="137"/>
    <n v="72"/>
    <n v="0.15"/>
    <s v="Mobile"/>
    <n v="0"/>
    <n v="1"/>
    <n v="0"/>
    <n v="14.99"/>
    <n v="0"/>
  </r>
  <r>
    <n v="1653"/>
    <s v="Male"/>
    <n v="52"/>
    <x v="0"/>
    <x v="1"/>
    <n v="59"/>
    <n v="79"/>
    <n v="0.48"/>
    <s v="Mobile"/>
    <n v="0"/>
    <n v="1"/>
    <n v="1"/>
    <n v="14.99"/>
    <n v="14.99"/>
  </r>
  <r>
    <n v="1654"/>
    <s v="Female"/>
    <n v="56"/>
    <x v="2"/>
    <x v="3"/>
    <n v="236"/>
    <n v="65"/>
    <n v="0.57999999999999996"/>
    <s v="Desktop"/>
    <n v="0"/>
    <n v="1"/>
    <n v="0"/>
    <n v="4.99"/>
    <n v="0"/>
  </r>
  <r>
    <n v="1655"/>
    <s v="Male"/>
    <n v="57"/>
    <x v="6"/>
    <x v="0"/>
    <n v="158"/>
    <n v="51"/>
    <n v="0.2"/>
    <s v="Desktop"/>
    <n v="42"/>
    <n v="0"/>
    <n v="1"/>
    <n v="0"/>
    <n v="0"/>
  </r>
  <r>
    <n v="1656"/>
    <s v="Other"/>
    <n v="36"/>
    <x v="4"/>
    <x v="1"/>
    <n v="135"/>
    <n v="1"/>
    <n v="0.04"/>
    <s v="Mobile"/>
    <n v="0"/>
    <n v="1"/>
    <n v="0"/>
    <n v="14.99"/>
    <n v="0"/>
  </r>
  <r>
    <n v="1657"/>
    <s v="Male"/>
    <n v="47"/>
    <x v="0"/>
    <x v="0"/>
    <n v="99"/>
    <n v="63"/>
    <n v="0.08"/>
    <s v="Web"/>
    <n v="31"/>
    <n v="0"/>
    <n v="0"/>
    <n v="0"/>
    <n v="0"/>
  </r>
  <r>
    <n v="1658"/>
    <s v="Female"/>
    <n v="37"/>
    <x v="4"/>
    <x v="0"/>
    <n v="138"/>
    <n v="98"/>
    <n v="0.54"/>
    <s v="Web"/>
    <n v="17"/>
    <n v="0"/>
    <n v="1"/>
    <n v="0"/>
    <n v="0"/>
  </r>
  <r>
    <n v="1659"/>
    <s v="Male"/>
    <n v="48"/>
    <x v="1"/>
    <x v="2"/>
    <n v="107"/>
    <n v="9"/>
    <n v="0.04"/>
    <s v="Mobile"/>
    <n v="0"/>
    <n v="1"/>
    <n v="0"/>
    <n v="9.99"/>
    <n v="0"/>
  </r>
  <r>
    <n v="1660"/>
    <s v="Male"/>
    <n v="53"/>
    <x v="4"/>
    <x v="3"/>
    <n v="196"/>
    <n v="3"/>
    <n v="7.0000000000000007E-2"/>
    <s v="Mobile"/>
    <n v="0"/>
    <n v="1"/>
    <n v="0"/>
    <n v="4.99"/>
    <n v="0"/>
  </r>
  <r>
    <n v="1661"/>
    <s v="Female"/>
    <n v="17"/>
    <x v="0"/>
    <x v="2"/>
    <n v="151"/>
    <n v="53"/>
    <n v="0.25"/>
    <s v="Web"/>
    <n v="0"/>
    <n v="1"/>
    <n v="0"/>
    <n v="9.99"/>
    <n v="0"/>
  </r>
  <r>
    <n v="1662"/>
    <s v="Other"/>
    <n v="54"/>
    <x v="0"/>
    <x v="0"/>
    <n v="218"/>
    <n v="76"/>
    <n v="0.41"/>
    <s v="Mobile"/>
    <n v="49"/>
    <n v="0"/>
    <n v="0"/>
    <n v="0"/>
    <n v="0"/>
  </r>
  <r>
    <n v="1663"/>
    <s v="Other"/>
    <n v="55"/>
    <x v="3"/>
    <x v="3"/>
    <n v="33"/>
    <n v="93"/>
    <n v="0.09"/>
    <s v="Mobile"/>
    <n v="0"/>
    <n v="1"/>
    <n v="0"/>
    <n v="4.99"/>
    <n v="0"/>
  </r>
  <r>
    <n v="1664"/>
    <s v="Male"/>
    <n v="35"/>
    <x v="4"/>
    <x v="2"/>
    <n v="138"/>
    <n v="31"/>
    <n v="0.26"/>
    <s v="Web"/>
    <n v="0"/>
    <n v="1"/>
    <n v="0"/>
    <n v="9.99"/>
    <n v="0"/>
  </r>
  <r>
    <n v="1665"/>
    <s v="Male"/>
    <n v="37"/>
    <x v="4"/>
    <x v="2"/>
    <n v="221"/>
    <n v="65"/>
    <n v="0.01"/>
    <s v="Mobile"/>
    <n v="0"/>
    <n v="1"/>
    <n v="0"/>
    <n v="9.99"/>
    <n v="0"/>
  </r>
  <r>
    <n v="1666"/>
    <s v="Male"/>
    <n v="34"/>
    <x v="1"/>
    <x v="2"/>
    <n v="234"/>
    <n v="7"/>
    <n v="0.01"/>
    <s v="Web"/>
    <n v="0"/>
    <n v="1"/>
    <n v="0"/>
    <n v="9.99"/>
    <n v="0"/>
  </r>
  <r>
    <n v="1667"/>
    <s v="Other"/>
    <n v="33"/>
    <x v="2"/>
    <x v="0"/>
    <n v="236"/>
    <n v="56"/>
    <n v="0.17"/>
    <s v="Web"/>
    <n v="19"/>
    <n v="0"/>
    <n v="0"/>
    <n v="0"/>
    <n v="0"/>
  </r>
  <r>
    <n v="1668"/>
    <s v="Female"/>
    <n v="55"/>
    <x v="5"/>
    <x v="0"/>
    <n v="242"/>
    <n v="14"/>
    <n v="0.04"/>
    <s v="Desktop"/>
    <n v="17"/>
    <n v="0"/>
    <n v="0"/>
    <n v="0"/>
    <n v="0"/>
  </r>
  <r>
    <n v="1669"/>
    <s v="Male"/>
    <n v="24"/>
    <x v="7"/>
    <x v="3"/>
    <n v="118"/>
    <n v="60"/>
    <n v="0.51"/>
    <s v="Mobile"/>
    <n v="0"/>
    <n v="1"/>
    <n v="1"/>
    <n v="4.99"/>
    <n v="4.99"/>
  </r>
  <r>
    <n v="1670"/>
    <s v="Female"/>
    <n v="35"/>
    <x v="4"/>
    <x v="3"/>
    <n v="98"/>
    <n v="45"/>
    <n v="0.14000000000000001"/>
    <s v="Web"/>
    <n v="0"/>
    <n v="1"/>
    <n v="0"/>
    <n v="4.99"/>
    <n v="0"/>
  </r>
  <r>
    <n v="1671"/>
    <s v="Male"/>
    <n v="41"/>
    <x v="1"/>
    <x v="3"/>
    <n v="108"/>
    <n v="74"/>
    <n v="0.36"/>
    <s v="Web"/>
    <n v="0"/>
    <n v="1"/>
    <n v="1"/>
    <n v="4.99"/>
    <n v="4.99"/>
  </r>
  <r>
    <n v="1672"/>
    <s v="Other"/>
    <n v="51"/>
    <x v="5"/>
    <x v="3"/>
    <n v="198"/>
    <n v="41"/>
    <n v="0.47"/>
    <s v="Mobile"/>
    <n v="0"/>
    <n v="1"/>
    <n v="1"/>
    <n v="4.99"/>
    <n v="4.99"/>
  </r>
  <r>
    <n v="1673"/>
    <s v="Female"/>
    <n v="16"/>
    <x v="6"/>
    <x v="2"/>
    <n v="148"/>
    <n v="76"/>
    <n v="0.5"/>
    <s v="Desktop"/>
    <n v="0"/>
    <n v="1"/>
    <n v="0"/>
    <n v="9.99"/>
    <n v="0"/>
  </r>
  <r>
    <n v="1674"/>
    <s v="Male"/>
    <n v="45"/>
    <x v="1"/>
    <x v="3"/>
    <n v="198"/>
    <n v="4"/>
    <n v="0.15"/>
    <s v="Desktop"/>
    <n v="0"/>
    <n v="1"/>
    <n v="0"/>
    <n v="4.99"/>
    <n v="0"/>
  </r>
  <r>
    <n v="1675"/>
    <s v="Other"/>
    <n v="34"/>
    <x v="2"/>
    <x v="1"/>
    <n v="245"/>
    <n v="20"/>
    <n v="0.12"/>
    <s v="Desktop"/>
    <n v="0"/>
    <n v="1"/>
    <n v="0"/>
    <n v="14.99"/>
    <n v="0"/>
  </r>
  <r>
    <n v="1676"/>
    <s v="Female"/>
    <n v="48"/>
    <x v="5"/>
    <x v="0"/>
    <n v="272"/>
    <n v="96"/>
    <n v="0.34"/>
    <s v="Desktop"/>
    <n v="46"/>
    <n v="0"/>
    <n v="0"/>
    <n v="0"/>
    <n v="0"/>
  </r>
  <r>
    <n v="1677"/>
    <s v="Female"/>
    <n v="49"/>
    <x v="0"/>
    <x v="3"/>
    <n v="24"/>
    <n v="25"/>
    <n v="0.2"/>
    <s v="Desktop"/>
    <n v="0"/>
    <n v="1"/>
    <n v="0"/>
    <n v="4.99"/>
    <n v="0"/>
  </r>
  <r>
    <n v="1678"/>
    <s v="Male"/>
    <n v="46"/>
    <x v="5"/>
    <x v="2"/>
    <n v="291"/>
    <n v="29"/>
    <n v="0.03"/>
    <s v="Web"/>
    <n v="0"/>
    <n v="1"/>
    <n v="0"/>
    <n v="9.99"/>
    <n v="0"/>
  </r>
  <r>
    <n v="1679"/>
    <s v="Male"/>
    <n v="35"/>
    <x v="6"/>
    <x v="2"/>
    <n v="244"/>
    <n v="42"/>
    <n v="0.48"/>
    <s v="Desktop"/>
    <n v="0"/>
    <n v="1"/>
    <n v="0"/>
    <n v="9.99"/>
    <n v="0"/>
  </r>
  <r>
    <n v="1680"/>
    <s v="Female"/>
    <n v="18"/>
    <x v="1"/>
    <x v="3"/>
    <n v="29"/>
    <n v="5"/>
    <n v="0.01"/>
    <s v="Web"/>
    <n v="0"/>
    <n v="1"/>
    <n v="0"/>
    <n v="4.99"/>
    <n v="0"/>
  </r>
  <r>
    <n v="1681"/>
    <s v="Female"/>
    <n v="36"/>
    <x v="3"/>
    <x v="0"/>
    <n v="189"/>
    <n v="30"/>
    <n v="0.53"/>
    <s v="Desktop"/>
    <n v="20"/>
    <n v="0"/>
    <n v="0"/>
    <n v="0"/>
    <n v="0"/>
  </r>
  <r>
    <n v="1682"/>
    <s v="Female"/>
    <n v="58"/>
    <x v="4"/>
    <x v="0"/>
    <n v="237"/>
    <n v="52"/>
    <n v="0.19"/>
    <s v="Web"/>
    <n v="19"/>
    <n v="0"/>
    <n v="0"/>
    <n v="0"/>
    <n v="0"/>
  </r>
  <r>
    <n v="1683"/>
    <s v="Female"/>
    <n v="24"/>
    <x v="1"/>
    <x v="0"/>
    <n v="246"/>
    <n v="51"/>
    <n v="0.37"/>
    <s v="Mobile"/>
    <n v="30"/>
    <n v="0"/>
    <n v="0"/>
    <n v="0"/>
    <n v="0"/>
  </r>
  <r>
    <n v="1684"/>
    <s v="Female"/>
    <n v="46"/>
    <x v="5"/>
    <x v="0"/>
    <n v="213"/>
    <n v="44"/>
    <n v="0.35"/>
    <s v="Mobile"/>
    <n v="32"/>
    <n v="0"/>
    <n v="0"/>
    <n v="0"/>
    <n v="0"/>
  </r>
  <r>
    <n v="1685"/>
    <s v="Other"/>
    <n v="35"/>
    <x v="4"/>
    <x v="0"/>
    <n v="182"/>
    <n v="38"/>
    <n v="0.53"/>
    <s v="Web"/>
    <n v="40"/>
    <n v="0"/>
    <n v="0"/>
    <n v="0"/>
    <n v="0"/>
  </r>
  <r>
    <n v="1686"/>
    <s v="Female"/>
    <n v="34"/>
    <x v="1"/>
    <x v="0"/>
    <n v="16"/>
    <n v="46"/>
    <n v="0.01"/>
    <s v="Web"/>
    <n v="47"/>
    <n v="0"/>
    <n v="0"/>
    <n v="0"/>
    <n v="0"/>
  </r>
  <r>
    <n v="1687"/>
    <s v="Male"/>
    <n v="18"/>
    <x v="6"/>
    <x v="1"/>
    <n v="294"/>
    <n v="3"/>
    <n v="0.44"/>
    <s v="Web"/>
    <n v="0"/>
    <n v="1"/>
    <n v="0"/>
    <n v="14.99"/>
    <n v="0"/>
  </r>
  <r>
    <n v="1688"/>
    <s v="Female"/>
    <n v="39"/>
    <x v="3"/>
    <x v="0"/>
    <n v="140"/>
    <n v="54"/>
    <n v="0.16"/>
    <s v="Desktop"/>
    <n v="33"/>
    <n v="0"/>
    <n v="1"/>
    <n v="0"/>
    <n v="0"/>
  </r>
  <r>
    <n v="1689"/>
    <s v="Female"/>
    <n v="33"/>
    <x v="6"/>
    <x v="0"/>
    <n v="110"/>
    <n v="11"/>
    <n v="0.52"/>
    <s v="Desktop"/>
    <n v="19"/>
    <n v="0"/>
    <n v="0"/>
    <n v="0"/>
    <n v="0"/>
  </r>
  <r>
    <n v="1690"/>
    <s v="Female"/>
    <n v="29"/>
    <x v="4"/>
    <x v="0"/>
    <n v="93"/>
    <n v="99"/>
    <n v="0.25"/>
    <s v="Mobile"/>
    <n v="47"/>
    <n v="0"/>
    <n v="1"/>
    <n v="0"/>
    <n v="0"/>
  </r>
  <r>
    <n v="1691"/>
    <s v="Male"/>
    <n v="41"/>
    <x v="5"/>
    <x v="2"/>
    <n v="221"/>
    <n v="64"/>
    <n v="0.35"/>
    <s v="Web"/>
    <n v="0"/>
    <n v="1"/>
    <n v="1"/>
    <n v="9.99"/>
    <n v="9.99"/>
  </r>
  <r>
    <n v="1692"/>
    <s v="Female"/>
    <n v="35"/>
    <x v="4"/>
    <x v="2"/>
    <n v="142"/>
    <n v="1"/>
    <n v="0.59"/>
    <s v="Desktop"/>
    <n v="0"/>
    <n v="1"/>
    <n v="1"/>
    <n v="9.99"/>
    <n v="9.99"/>
  </r>
  <r>
    <n v="1693"/>
    <s v="Male"/>
    <n v="51"/>
    <x v="0"/>
    <x v="3"/>
    <n v="72"/>
    <n v="43"/>
    <n v="0.38"/>
    <s v="Mobile"/>
    <n v="0"/>
    <n v="1"/>
    <n v="0"/>
    <n v="4.99"/>
    <n v="0"/>
  </r>
  <r>
    <n v="1694"/>
    <s v="Male"/>
    <n v="45"/>
    <x v="0"/>
    <x v="3"/>
    <n v="256"/>
    <n v="50"/>
    <n v="0.21"/>
    <s v="Mobile"/>
    <n v="0"/>
    <n v="1"/>
    <n v="0"/>
    <n v="4.99"/>
    <n v="0"/>
  </r>
  <r>
    <n v="1695"/>
    <s v="Female"/>
    <n v="17"/>
    <x v="2"/>
    <x v="0"/>
    <n v="66"/>
    <n v="25"/>
    <n v="0.52"/>
    <s v="Desktop"/>
    <n v="18"/>
    <n v="0"/>
    <n v="0"/>
    <n v="0"/>
    <n v="0"/>
  </r>
  <r>
    <n v="1696"/>
    <s v="Male"/>
    <n v="29"/>
    <x v="4"/>
    <x v="2"/>
    <n v="81"/>
    <n v="21"/>
    <n v="0.19"/>
    <s v="Mobile"/>
    <n v="0"/>
    <n v="1"/>
    <n v="0"/>
    <n v="9.99"/>
    <n v="0"/>
  </r>
  <r>
    <n v="1697"/>
    <s v="Female"/>
    <n v="30"/>
    <x v="1"/>
    <x v="3"/>
    <n v="37"/>
    <n v="79"/>
    <n v="0.53"/>
    <s v="Mobile"/>
    <n v="0"/>
    <n v="1"/>
    <n v="0"/>
    <n v="4.99"/>
    <n v="0"/>
  </r>
  <r>
    <n v="1698"/>
    <s v="Male"/>
    <n v="52"/>
    <x v="3"/>
    <x v="2"/>
    <n v="92"/>
    <n v="60"/>
    <n v="0.55000000000000004"/>
    <s v="Mobile"/>
    <n v="0"/>
    <n v="1"/>
    <n v="1"/>
    <n v="9.99"/>
    <n v="9.99"/>
  </r>
  <r>
    <n v="1699"/>
    <s v="Female"/>
    <n v="53"/>
    <x v="3"/>
    <x v="1"/>
    <n v="32"/>
    <n v="6"/>
    <n v="0.19"/>
    <s v="Web"/>
    <n v="0"/>
    <n v="1"/>
    <n v="1"/>
    <n v="14.99"/>
    <n v="14.99"/>
  </r>
  <r>
    <n v="1700"/>
    <s v="Female"/>
    <n v="34"/>
    <x v="1"/>
    <x v="3"/>
    <n v="175"/>
    <n v="8"/>
    <n v="0.01"/>
    <s v="Desktop"/>
    <n v="0"/>
    <n v="1"/>
    <n v="0"/>
    <n v="4.99"/>
    <n v="0"/>
  </r>
  <r>
    <n v="1701"/>
    <s v="Male"/>
    <n v="32"/>
    <x v="1"/>
    <x v="1"/>
    <n v="106"/>
    <n v="44"/>
    <n v="0.57999999999999996"/>
    <s v="Mobile"/>
    <n v="0"/>
    <n v="1"/>
    <n v="0"/>
    <n v="14.99"/>
    <n v="0"/>
  </r>
  <r>
    <n v="1702"/>
    <s v="Male"/>
    <n v="58"/>
    <x v="6"/>
    <x v="2"/>
    <n v="154"/>
    <n v="28"/>
    <n v="0.19"/>
    <s v="Web"/>
    <n v="0"/>
    <n v="1"/>
    <n v="1"/>
    <n v="9.99"/>
    <n v="9.99"/>
  </r>
  <r>
    <n v="1703"/>
    <s v="Other"/>
    <n v="23"/>
    <x v="5"/>
    <x v="2"/>
    <n v="210"/>
    <n v="66"/>
    <n v="0.01"/>
    <s v="Mobile"/>
    <n v="0"/>
    <n v="1"/>
    <n v="0"/>
    <n v="9.99"/>
    <n v="0"/>
  </r>
  <r>
    <n v="1704"/>
    <s v="Male"/>
    <n v="16"/>
    <x v="1"/>
    <x v="1"/>
    <n v="226"/>
    <n v="78"/>
    <n v="0.38"/>
    <s v="Web"/>
    <n v="0"/>
    <n v="1"/>
    <n v="0"/>
    <n v="14.99"/>
    <n v="0"/>
  </r>
  <r>
    <n v="1705"/>
    <s v="Other"/>
    <n v="57"/>
    <x v="1"/>
    <x v="3"/>
    <n v="78"/>
    <n v="21"/>
    <n v="0.08"/>
    <s v="Web"/>
    <n v="0"/>
    <n v="1"/>
    <n v="0"/>
    <n v="4.99"/>
    <n v="0"/>
  </r>
  <r>
    <n v="1706"/>
    <s v="Female"/>
    <n v="25"/>
    <x v="6"/>
    <x v="0"/>
    <n v="220"/>
    <n v="89"/>
    <n v="0.56000000000000005"/>
    <s v="Web"/>
    <n v="33"/>
    <n v="0"/>
    <n v="1"/>
    <n v="0"/>
    <n v="0"/>
  </r>
  <r>
    <n v="1707"/>
    <s v="Other"/>
    <n v="53"/>
    <x v="4"/>
    <x v="1"/>
    <n v="124"/>
    <n v="97"/>
    <n v="0.47"/>
    <s v="Desktop"/>
    <n v="0"/>
    <n v="1"/>
    <n v="0"/>
    <n v="14.99"/>
    <n v="0"/>
  </r>
  <r>
    <n v="1708"/>
    <s v="Other"/>
    <n v="59"/>
    <x v="3"/>
    <x v="3"/>
    <n v="217"/>
    <n v="37"/>
    <n v="7.0000000000000007E-2"/>
    <s v="Web"/>
    <n v="0"/>
    <n v="1"/>
    <n v="0"/>
    <n v="4.99"/>
    <n v="0"/>
  </r>
  <r>
    <n v="1709"/>
    <s v="Male"/>
    <n v="21"/>
    <x v="0"/>
    <x v="0"/>
    <n v="41"/>
    <n v="43"/>
    <n v="0.17"/>
    <s v="Mobile"/>
    <n v="22"/>
    <n v="0"/>
    <n v="0"/>
    <n v="0"/>
    <n v="0"/>
  </r>
  <r>
    <n v="1710"/>
    <s v="Other"/>
    <n v="22"/>
    <x v="0"/>
    <x v="2"/>
    <n v="205"/>
    <n v="94"/>
    <n v="0.26"/>
    <s v="Desktop"/>
    <n v="0"/>
    <n v="1"/>
    <n v="1"/>
    <n v="9.99"/>
    <n v="9.99"/>
  </r>
  <r>
    <n v="1711"/>
    <s v="Male"/>
    <n v="16"/>
    <x v="3"/>
    <x v="2"/>
    <n v="166"/>
    <n v="14"/>
    <n v="0.18"/>
    <s v="Mobile"/>
    <n v="0"/>
    <n v="1"/>
    <n v="0"/>
    <n v="9.99"/>
    <n v="0"/>
  </r>
  <r>
    <n v="1712"/>
    <s v="Male"/>
    <n v="43"/>
    <x v="3"/>
    <x v="3"/>
    <n v="271"/>
    <n v="66"/>
    <n v="0.54"/>
    <s v="Mobile"/>
    <n v="0"/>
    <n v="1"/>
    <n v="0"/>
    <n v="4.99"/>
    <n v="0"/>
  </r>
  <r>
    <n v="1713"/>
    <s v="Other"/>
    <n v="59"/>
    <x v="1"/>
    <x v="0"/>
    <n v="66"/>
    <n v="35"/>
    <n v="0"/>
    <s v="Web"/>
    <n v="49"/>
    <n v="0"/>
    <n v="0"/>
    <n v="0"/>
    <n v="0"/>
  </r>
  <r>
    <n v="1714"/>
    <s v="Female"/>
    <n v="52"/>
    <x v="4"/>
    <x v="3"/>
    <n v="280"/>
    <n v="53"/>
    <n v="0.41"/>
    <s v="Mobile"/>
    <n v="0"/>
    <n v="1"/>
    <n v="0"/>
    <n v="4.99"/>
    <n v="0"/>
  </r>
  <r>
    <n v="1715"/>
    <s v="Female"/>
    <n v="50"/>
    <x v="1"/>
    <x v="0"/>
    <n v="62"/>
    <n v="78"/>
    <n v="0.47"/>
    <s v="Web"/>
    <n v="26"/>
    <n v="0"/>
    <n v="0"/>
    <n v="0"/>
    <n v="0"/>
  </r>
  <r>
    <n v="1716"/>
    <s v="Other"/>
    <n v="57"/>
    <x v="2"/>
    <x v="3"/>
    <n v="53"/>
    <n v="96"/>
    <n v="0.28000000000000003"/>
    <s v="Desktop"/>
    <n v="0"/>
    <n v="1"/>
    <n v="0"/>
    <n v="4.99"/>
    <n v="0"/>
  </r>
  <r>
    <n v="1717"/>
    <s v="Female"/>
    <n v="37"/>
    <x v="6"/>
    <x v="2"/>
    <n v="90"/>
    <n v="80"/>
    <n v="0.3"/>
    <s v="Desktop"/>
    <n v="0"/>
    <n v="1"/>
    <n v="1"/>
    <n v="9.99"/>
    <n v="9.99"/>
  </r>
  <r>
    <n v="1718"/>
    <s v="Male"/>
    <n v="19"/>
    <x v="1"/>
    <x v="3"/>
    <n v="23"/>
    <n v="50"/>
    <n v="0.43"/>
    <s v="Desktop"/>
    <n v="0"/>
    <n v="1"/>
    <n v="0"/>
    <n v="4.99"/>
    <n v="0"/>
  </r>
  <r>
    <n v="1719"/>
    <s v="Male"/>
    <n v="29"/>
    <x v="5"/>
    <x v="0"/>
    <n v="57"/>
    <n v="78"/>
    <n v="0.45"/>
    <s v="Web"/>
    <n v="37"/>
    <n v="0"/>
    <n v="0"/>
    <n v="0"/>
    <n v="0"/>
  </r>
  <r>
    <n v="1720"/>
    <s v="Female"/>
    <n v="46"/>
    <x v="1"/>
    <x v="3"/>
    <n v="226"/>
    <n v="22"/>
    <n v="0.08"/>
    <s v="Web"/>
    <n v="0"/>
    <n v="1"/>
    <n v="0"/>
    <n v="4.99"/>
    <n v="0"/>
  </r>
  <r>
    <n v="1721"/>
    <s v="Female"/>
    <n v="53"/>
    <x v="4"/>
    <x v="3"/>
    <n v="274"/>
    <n v="71"/>
    <n v="0.55000000000000004"/>
    <s v="Mobile"/>
    <n v="0"/>
    <n v="1"/>
    <n v="0"/>
    <n v="4.99"/>
    <n v="0"/>
  </r>
  <r>
    <n v="1722"/>
    <s v="Male"/>
    <n v="23"/>
    <x v="5"/>
    <x v="3"/>
    <n v="133"/>
    <n v="93"/>
    <n v="0.48"/>
    <s v="Mobile"/>
    <n v="0"/>
    <n v="1"/>
    <n v="1"/>
    <n v="4.99"/>
    <n v="4.99"/>
  </r>
  <r>
    <n v="1723"/>
    <s v="Other"/>
    <n v="34"/>
    <x v="0"/>
    <x v="0"/>
    <n v="95"/>
    <n v="71"/>
    <n v="0.52"/>
    <s v="Web"/>
    <n v="34"/>
    <n v="0"/>
    <n v="1"/>
    <n v="0"/>
    <n v="0"/>
  </r>
  <r>
    <n v="1724"/>
    <s v="Female"/>
    <n v="49"/>
    <x v="6"/>
    <x v="2"/>
    <n v="68"/>
    <n v="3"/>
    <n v="0.26"/>
    <s v="Desktop"/>
    <n v="0"/>
    <n v="1"/>
    <n v="0"/>
    <n v="9.99"/>
    <n v="0"/>
  </r>
  <r>
    <n v="1725"/>
    <s v="Female"/>
    <n v="23"/>
    <x v="3"/>
    <x v="3"/>
    <n v="146"/>
    <n v="57"/>
    <n v="0.4"/>
    <s v="Web"/>
    <n v="0"/>
    <n v="1"/>
    <n v="0"/>
    <n v="4.99"/>
    <n v="0"/>
  </r>
  <r>
    <n v="1726"/>
    <s v="Male"/>
    <n v="16"/>
    <x v="5"/>
    <x v="0"/>
    <n v="281"/>
    <n v="79"/>
    <n v="0.19"/>
    <s v="Web"/>
    <n v="15"/>
    <n v="0"/>
    <n v="0"/>
    <n v="0"/>
    <n v="0"/>
  </r>
  <r>
    <n v="1727"/>
    <s v="Female"/>
    <n v="32"/>
    <x v="3"/>
    <x v="0"/>
    <n v="59"/>
    <n v="26"/>
    <n v="0.33"/>
    <s v="Web"/>
    <n v="23"/>
    <n v="0"/>
    <n v="0"/>
    <n v="0"/>
    <n v="0"/>
  </r>
  <r>
    <n v="1728"/>
    <s v="Female"/>
    <n v="21"/>
    <x v="2"/>
    <x v="1"/>
    <n v="263"/>
    <n v="1"/>
    <n v="0.02"/>
    <s v="Web"/>
    <n v="0"/>
    <n v="1"/>
    <n v="0"/>
    <n v="14.99"/>
    <n v="0"/>
  </r>
  <r>
    <n v="1729"/>
    <s v="Female"/>
    <n v="40"/>
    <x v="1"/>
    <x v="0"/>
    <n v="180"/>
    <n v="37"/>
    <n v="0.19"/>
    <s v="Desktop"/>
    <n v="45"/>
    <n v="0"/>
    <n v="0"/>
    <n v="0"/>
    <n v="0"/>
  </r>
  <r>
    <n v="1730"/>
    <s v="Female"/>
    <n v="59"/>
    <x v="5"/>
    <x v="0"/>
    <n v="188"/>
    <n v="36"/>
    <n v="0.4"/>
    <s v="Mobile"/>
    <n v="16"/>
    <n v="0"/>
    <n v="1"/>
    <n v="0"/>
    <n v="0"/>
  </r>
  <r>
    <n v="1731"/>
    <s v="Female"/>
    <n v="45"/>
    <x v="7"/>
    <x v="0"/>
    <n v="99"/>
    <n v="77"/>
    <n v="0.55000000000000004"/>
    <s v="Mobile"/>
    <n v="6"/>
    <n v="0"/>
    <n v="0"/>
    <n v="0"/>
    <n v="0"/>
  </r>
  <r>
    <n v="1732"/>
    <s v="Female"/>
    <n v="38"/>
    <x v="6"/>
    <x v="2"/>
    <n v="290"/>
    <n v="76"/>
    <n v="0.38"/>
    <s v="Web"/>
    <n v="0"/>
    <n v="1"/>
    <n v="0"/>
    <n v="9.99"/>
    <n v="0"/>
  </r>
  <r>
    <n v="1733"/>
    <s v="Other"/>
    <n v="49"/>
    <x v="4"/>
    <x v="1"/>
    <n v="239"/>
    <n v="93"/>
    <n v="0.54"/>
    <s v="Desktop"/>
    <n v="0"/>
    <n v="1"/>
    <n v="0"/>
    <n v="14.99"/>
    <n v="0"/>
  </r>
  <r>
    <n v="1734"/>
    <s v="Female"/>
    <n v="17"/>
    <x v="2"/>
    <x v="1"/>
    <n v="114"/>
    <n v="40"/>
    <n v="0.35"/>
    <s v="Web"/>
    <n v="0"/>
    <n v="1"/>
    <n v="1"/>
    <n v="14.99"/>
    <n v="14.99"/>
  </r>
  <r>
    <n v="1735"/>
    <s v="Male"/>
    <n v="19"/>
    <x v="5"/>
    <x v="3"/>
    <n v="23"/>
    <n v="15"/>
    <n v="0.48"/>
    <s v="Desktop"/>
    <n v="0"/>
    <n v="1"/>
    <n v="0"/>
    <n v="4.99"/>
    <n v="0"/>
  </r>
  <r>
    <n v="1736"/>
    <s v="Other"/>
    <n v="39"/>
    <x v="7"/>
    <x v="0"/>
    <n v="89"/>
    <n v="20"/>
    <n v="0.09"/>
    <s v="Web"/>
    <n v="34"/>
    <n v="0"/>
    <n v="0"/>
    <n v="0"/>
    <n v="0"/>
  </r>
  <r>
    <n v="1737"/>
    <s v="Male"/>
    <n v="22"/>
    <x v="1"/>
    <x v="2"/>
    <n v="279"/>
    <n v="20"/>
    <n v="0.51"/>
    <s v="Mobile"/>
    <n v="0"/>
    <n v="1"/>
    <n v="0"/>
    <n v="9.99"/>
    <n v="0"/>
  </r>
  <r>
    <n v="1738"/>
    <s v="Other"/>
    <n v="20"/>
    <x v="4"/>
    <x v="2"/>
    <n v="180"/>
    <n v="80"/>
    <n v="0.42"/>
    <s v="Web"/>
    <n v="0"/>
    <n v="1"/>
    <n v="0"/>
    <n v="9.99"/>
    <n v="0"/>
  </r>
  <r>
    <n v="1739"/>
    <s v="Male"/>
    <n v="52"/>
    <x v="0"/>
    <x v="3"/>
    <n v="154"/>
    <n v="88"/>
    <n v="0.39"/>
    <s v="Mobile"/>
    <n v="0"/>
    <n v="1"/>
    <n v="0"/>
    <n v="4.99"/>
    <n v="0"/>
  </r>
  <r>
    <n v="1740"/>
    <s v="Other"/>
    <n v="23"/>
    <x v="4"/>
    <x v="2"/>
    <n v="267"/>
    <n v="84"/>
    <n v="0.16"/>
    <s v="Mobile"/>
    <n v="0"/>
    <n v="1"/>
    <n v="0"/>
    <n v="9.99"/>
    <n v="0"/>
  </r>
  <r>
    <n v="1741"/>
    <s v="Male"/>
    <n v="20"/>
    <x v="2"/>
    <x v="1"/>
    <n v="119"/>
    <n v="63"/>
    <n v="0.41"/>
    <s v="Desktop"/>
    <n v="0"/>
    <n v="1"/>
    <n v="0"/>
    <n v="14.99"/>
    <n v="0"/>
  </r>
  <r>
    <n v="1742"/>
    <s v="Female"/>
    <n v="34"/>
    <x v="3"/>
    <x v="1"/>
    <n v="167"/>
    <n v="54"/>
    <n v="0.01"/>
    <s v="Mobile"/>
    <n v="0"/>
    <n v="1"/>
    <n v="0"/>
    <n v="14.99"/>
    <n v="0"/>
  </r>
  <r>
    <n v="1743"/>
    <s v="Female"/>
    <n v="32"/>
    <x v="6"/>
    <x v="0"/>
    <n v="111"/>
    <n v="70"/>
    <n v="0.18"/>
    <s v="Web"/>
    <n v="13"/>
    <n v="0"/>
    <n v="0"/>
    <n v="0"/>
    <n v="0"/>
  </r>
  <r>
    <n v="1744"/>
    <s v="Female"/>
    <n v="47"/>
    <x v="6"/>
    <x v="1"/>
    <n v="87"/>
    <n v="30"/>
    <n v="0.45"/>
    <s v="Web"/>
    <n v="0"/>
    <n v="1"/>
    <n v="1"/>
    <n v="14.99"/>
    <n v="14.99"/>
  </r>
  <r>
    <n v="1745"/>
    <s v="Male"/>
    <n v="26"/>
    <x v="1"/>
    <x v="0"/>
    <n v="163"/>
    <n v="76"/>
    <n v="0.57999999999999996"/>
    <s v="Mobile"/>
    <n v="36"/>
    <n v="0"/>
    <n v="1"/>
    <n v="0"/>
    <n v="0"/>
  </r>
  <r>
    <n v="1746"/>
    <s v="Other"/>
    <n v="59"/>
    <x v="5"/>
    <x v="2"/>
    <n v="283"/>
    <n v="3"/>
    <n v="0.37"/>
    <s v="Mobile"/>
    <n v="0"/>
    <n v="1"/>
    <n v="0"/>
    <n v="9.99"/>
    <n v="0"/>
  </r>
  <r>
    <n v="1747"/>
    <s v="Other"/>
    <n v="16"/>
    <x v="7"/>
    <x v="1"/>
    <n v="90"/>
    <n v="58"/>
    <n v="0.15"/>
    <s v="Mobile"/>
    <n v="0"/>
    <n v="1"/>
    <n v="0"/>
    <n v="14.99"/>
    <n v="0"/>
  </r>
  <r>
    <n v="1748"/>
    <s v="Female"/>
    <n v="35"/>
    <x v="4"/>
    <x v="2"/>
    <n v="101"/>
    <n v="27"/>
    <n v="0.55000000000000004"/>
    <s v="Desktop"/>
    <n v="0"/>
    <n v="1"/>
    <n v="1"/>
    <n v="9.99"/>
    <n v="9.99"/>
  </r>
  <r>
    <n v="1749"/>
    <s v="Female"/>
    <n v="57"/>
    <x v="3"/>
    <x v="1"/>
    <n v="64"/>
    <n v="82"/>
    <n v="0.5"/>
    <s v="Mobile"/>
    <n v="0"/>
    <n v="1"/>
    <n v="0"/>
    <n v="14.99"/>
    <n v="0"/>
  </r>
  <r>
    <n v="1750"/>
    <s v="Other"/>
    <n v="26"/>
    <x v="4"/>
    <x v="0"/>
    <n v="137"/>
    <n v="58"/>
    <n v="0"/>
    <s v="Web"/>
    <n v="28"/>
    <n v="0"/>
    <n v="0"/>
    <n v="0"/>
    <n v="0"/>
  </r>
  <r>
    <n v="1751"/>
    <s v="Female"/>
    <n v="20"/>
    <x v="0"/>
    <x v="1"/>
    <n v="189"/>
    <n v="29"/>
    <n v="0.27"/>
    <s v="Desktop"/>
    <n v="0"/>
    <n v="1"/>
    <n v="0"/>
    <n v="14.99"/>
    <n v="0"/>
  </r>
  <r>
    <n v="1752"/>
    <s v="Male"/>
    <n v="27"/>
    <x v="0"/>
    <x v="3"/>
    <n v="134"/>
    <n v="46"/>
    <n v="0.46"/>
    <s v="Web"/>
    <n v="0"/>
    <n v="1"/>
    <n v="1"/>
    <n v="4.99"/>
    <n v="4.99"/>
  </r>
  <r>
    <n v="1753"/>
    <s v="Other"/>
    <n v="17"/>
    <x v="5"/>
    <x v="3"/>
    <n v="173"/>
    <n v="79"/>
    <n v="0.41"/>
    <s v="Mobile"/>
    <n v="0"/>
    <n v="1"/>
    <n v="0"/>
    <n v="4.99"/>
    <n v="0"/>
  </r>
  <r>
    <n v="1754"/>
    <s v="Male"/>
    <n v="57"/>
    <x v="4"/>
    <x v="2"/>
    <n v="219"/>
    <n v="73"/>
    <n v="7.0000000000000007E-2"/>
    <s v="Desktop"/>
    <n v="0"/>
    <n v="1"/>
    <n v="0"/>
    <n v="9.99"/>
    <n v="0"/>
  </r>
  <r>
    <n v="1755"/>
    <s v="Female"/>
    <n v="49"/>
    <x v="4"/>
    <x v="2"/>
    <n v="156"/>
    <n v="19"/>
    <n v="0.4"/>
    <s v="Desktop"/>
    <n v="0"/>
    <n v="1"/>
    <n v="0"/>
    <n v="9.99"/>
    <n v="0"/>
  </r>
  <r>
    <n v="1756"/>
    <s v="Male"/>
    <n v="45"/>
    <x v="1"/>
    <x v="3"/>
    <n v="285"/>
    <n v="60"/>
    <n v="7.0000000000000007E-2"/>
    <s v="Mobile"/>
    <n v="0"/>
    <n v="1"/>
    <n v="1"/>
    <n v="4.99"/>
    <n v="4.99"/>
  </r>
  <r>
    <n v="1757"/>
    <s v="Female"/>
    <n v="57"/>
    <x v="6"/>
    <x v="1"/>
    <n v="179"/>
    <n v="97"/>
    <n v="0.19"/>
    <s v="Web"/>
    <n v="0"/>
    <n v="1"/>
    <n v="0"/>
    <n v="14.99"/>
    <n v="0"/>
  </r>
  <r>
    <n v="1758"/>
    <s v="Male"/>
    <n v="44"/>
    <x v="2"/>
    <x v="3"/>
    <n v="12"/>
    <n v="17"/>
    <n v="0.5"/>
    <s v="Web"/>
    <n v="0"/>
    <n v="1"/>
    <n v="0"/>
    <n v="4.99"/>
    <n v="0"/>
  </r>
  <r>
    <n v="1759"/>
    <s v="Male"/>
    <n v="34"/>
    <x v="5"/>
    <x v="0"/>
    <n v="137"/>
    <n v="18"/>
    <n v="0.28000000000000003"/>
    <s v="Mobile"/>
    <n v="38"/>
    <n v="0"/>
    <n v="0"/>
    <n v="0"/>
    <n v="0"/>
  </r>
  <r>
    <n v="1760"/>
    <s v="Other"/>
    <n v="23"/>
    <x v="5"/>
    <x v="2"/>
    <n v="105"/>
    <n v="79"/>
    <n v="0.26"/>
    <s v="Desktop"/>
    <n v="0"/>
    <n v="1"/>
    <n v="1"/>
    <n v="9.99"/>
    <n v="9.99"/>
  </r>
  <r>
    <n v="1761"/>
    <s v="Other"/>
    <n v="36"/>
    <x v="2"/>
    <x v="0"/>
    <n v="72"/>
    <n v="3"/>
    <n v="0.15"/>
    <s v="Mobile"/>
    <n v="48"/>
    <n v="0"/>
    <n v="0"/>
    <n v="0"/>
    <n v="0"/>
  </r>
  <r>
    <n v="1762"/>
    <s v="Male"/>
    <n v="34"/>
    <x v="0"/>
    <x v="2"/>
    <n v="171"/>
    <n v="45"/>
    <n v="0.15"/>
    <s v="Web"/>
    <n v="0"/>
    <n v="1"/>
    <n v="0"/>
    <n v="9.99"/>
    <n v="0"/>
  </r>
  <r>
    <n v="1763"/>
    <s v="Other"/>
    <n v="54"/>
    <x v="1"/>
    <x v="0"/>
    <n v="290"/>
    <n v="91"/>
    <n v="0.42"/>
    <s v="Desktop"/>
    <n v="41"/>
    <n v="0"/>
    <n v="1"/>
    <n v="0"/>
    <n v="0"/>
  </r>
  <r>
    <n v="1764"/>
    <s v="Other"/>
    <n v="35"/>
    <x v="6"/>
    <x v="1"/>
    <n v="47"/>
    <n v="29"/>
    <n v="0.54"/>
    <s v="Desktop"/>
    <n v="0"/>
    <n v="1"/>
    <n v="0"/>
    <n v="14.99"/>
    <n v="0"/>
  </r>
  <r>
    <n v="1765"/>
    <s v="Female"/>
    <n v="31"/>
    <x v="7"/>
    <x v="3"/>
    <n v="154"/>
    <n v="47"/>
    <n v="0.31"/>
    <s v="Web"/>
    <n v="0"/>
    <n v="1"/>
    <n v="1"/>
    <n v="4.99"/>
    <n v="4.99"/>
  </r>
  <r>
    <n v="1766"/>
    <s v="Male"/>
    <n v="50"/>
    <x v="1"/>
    <x v="0"/>
    <n v="50"/>
    <n v="96"/>
    <n v="0.05"/>
    <s v="Mobile"/>
    <n v="33"/>
    <n v="0"/>
    <n v="0"/>
    <n v="0"/>
    <n v="0"/>
  </r>
  <r>
    <n v="1767"/>
    <s v="Other"/>
    <n v="17"/>
    <x v="1"/>
    <x v="3"/>
    <n v="59"/>
    <n v="41"/>
    <n v="0.31"/>
    <s v="Mobile"/>
    <n v="0"/>
    <n v="1"/>
    <n v="0"/>
    <n v="4.99"/>
    <n v="0"/>
  </r>
  <r>
    <n v="1768"/>
    <s v="Female"/>
    <n v="49"/>
    <x v="4"/>
    <x v="3"/>
    <n v="166"/>
    <n v="80"/>
    <n v="0.49"/>
    <s v="Desktop"/>
    <n v="0"/>
    <n v="1"/>
    <n v="0"/>
    <n v="4.99"/>
    <n v="0"/>
  </r>
  <r>
    <n v="1769"/>
    <s v="Other"/>
    <n v="21"/>
    <x v="1"/>
    <x v="1"/>
    <n v="214"/>
    <n v="11"/>
    <n v="0.03"/>
    <s v="Desktop"/>
    <n v="0"/>
    <n v="1"/>
    <n v="0"/>
    <n v="14.99"/>
    <n v="0"/>
  </r>
  <r>
    <n v="1770"/>
    <s v="Other"/>
    <n v="46"/>
    <x v="1"/>
    <x v="2"/>
    <n v="157"/>
    <n v="71"/>
    <n v="0.52"/>
    <s v="Desktop"/>
    <n v="0"/>
    <n v="1"/>
    <n v="0"/>
    <n v="9.99"/>
    <n v="0"/>
  </r>
  <r>
    <n v="1771"/>
    <s v="Other"/>
    <n v="53"/>
    <x v="4"/>
    <x v="3"/>
    <n v="38"/>
    <n v="44"/>
    <n v="0.15"/>
    <s v="Web"/>
    <n v="0"/>
    <n v="1"/>
    <n v="0"/>
    <n v="4.99"/>
    <n v="0"/>
  </r>
  <r>
    <n v="1772"/>
    <s v="Female"/>
    <n v="52"/>
    <x v="1"/>
    <x v="2"/>
    <n v="243"/>
    <n v="4"/>
    <n v="0.21"/>
    <s v="Desktop"/>
    <n v="0"/>
    <n v="1"/>
    <n v="0"/>
    <n v="9.99"/>
    <n v="0"/>
  </r>
  <r>
    <n v="1773"/>
    <s v="Other"/>
    <n v="35"/>
    <x v="1"/>
    <x v="3"/>
    <n v="261"/>
    <n v="57"/>
    <n v="0.28000000000000003"/>
    <s v="Web"/>
    <n v="0"/>
    <n v="1"/>
    <n v="0"/>
    <n v="4.99"/>
    <n v="0"/>
  </r>
  <r>
    <n v="1774"/>
    <s v="Male"/>
    <n v="21"/>
    <x v="4"/>
    <x v="3"/>
    <n v="113"/>
    <n v="71"/>
    <n v="0.5"/>
    <s v="Web"/>
    <n v="0"/>
    <n v="1"/>
    <n v="1"/>
    <n v="4.99"/>
    <n v="4.99"/>
  </r>
  <r>
    <n v="1775"/>
    <s v="Other"/>
    <n v="34"/>
    <x v="4"/>
    <x v="2"/>
    <n v="294"/>
    <n v="71"/>
    <n v="0.2"/>
    <s v="Desktop"/>
    <n v="0"/>
    <n v="1"/>
    <n v="1"/>
    <n v="9.99"/>
    <n v="9.99"/>
  </r>
  <r>
    <n v="1776"/>
    <s v="Other"/>
    <n v="33"/>
    <x v="1"/>
    <x v="3"/>
    <n v="50"/>
    <n v="85"/>
    <n v="0.43"/>
    <s v="Desktop"/>
    <n v="0"/>
    <n v="1"/>
    <n v="0"/>
    <n v="4.99"/>
    <n v="0"/>
  </r>
  <r>
    <n v="1777"/>
    <s v="Other"/>
    <n v="26"/>
    <x v="5"/>
    <x v="3"/>
    <n v="209"/>
    <n v="35"/>
    <n v="0.2"/>
    <s v="Web"/>
    <n v="0"/>
    <n v="1"/>
    <n v="0"/>
    <n v="4.99"/>
    <n v="0"/>
  </r>
  <r>
    <n v="1778"/>
    <s v="Female"/>
    <n v="22"/>
    <x v="3"/>
    <x v="2"/>
    <n v="274"/>
    <n v="37"/>
    <n v="0.05"/>
    <s v="Web"/>
    <n v="0"/>
    <n v="1"/>
    <n v="0"/>
    <n v="9.99"/>
    <n v="0"/>
  </r>
  <r>
    <n v="1779"/>
    <s v="Male"/>
    <n v="22"/>
    <x v="3"/>
    <x v="0"/>
    <n v="156"/>
    <n v="53"/>
    <n v="0.06"/>
    <s v="Web"/>
    <n v="45"/>
    <n v="0"/>
    <n v="0"/>
    <n v="0"/>
    <n v="0"/>
  </r>
  <r>
    <n v="1780"/>
    <s v="Female"/>
    <n v="27"/>
    <x v="5"/>
    <x v="2"/>
    <n v="27"/>
    <n v="18"/>
    <n v="0.03"/>
    <s v="Mobile"/>
    <n v="0"/>
    <n v="1"/>
    <n v="0"/>
    <n v="9.99"/>
    <n v="0"/>
  </r>
  <r>
    <n v="1781"/>
    <s v="Other"/>
    <n v="37"/>
    <x v="2"/>
    <x v="0"/>
    <n v="276"/>
    <n v="21"/>
    <n v="7.0000000000000007E-2"/>
    <s v="Mobile"/>
    <n v="20"/>
    <n v="0"/>
    <n v="0"/>
    <n v="0"/>
    <n v="0"/>
  </r>
  <r>
    <n v="1782"/>
    <s v="Female"/>
    <n v="29"/>
    <x v="5"/>
    <x v="1"/>
    <n v="142"/>
    <n v="76"/>
    <n v="0.32"/>
    <s v="Mobile"/>
    <n v="0"/>
    <n v="1"/>
    <n v="1"/>
    <n v="14.99"/>
    <n v="14.99"/>
  </r>
  <r>
    <n v="1783"/>
    <s v="Male"/>
    <n v="28"/>
    <x v="4"/>
    <x v="2"/>
    <n v="277"/>
    <n v="80"/>
    <n v="0.16"/>
    <s v="Mobile"/>
    <n v="0"/>
    <n v="1"/>
    <n v="1"/>
    <n v="9.99"/>
    <n v="9.99"/>
  </r>
  <r>
    <n v="1784"/>
    <s v="Female"/>
    <n v="21"/>
    <x v="3"/>
    <x v="0"/>
    <n v="150"/>
    <n v="46"/>
    <n v="0.41"/>
    <s v="Desktop"/>
    <n v="18"/>
    <n v="0"/>
    <n v="0"/>
    <n v="0"/>
    <n v="0"/>
  </r>
  <r>
    <n v="1785"/>
    <s v="Male"/>
    <n v="46"/>
    <x v="4"/>
    <x v="2"/>
    <n v="169"/>
    <n v="28"/>
    <n v="0.15"/>
    <s v="Mobile"/>
    <n v="0"/>
    <n v="1"/>
    <n v="1"/>
    <n v="9.99"/>
    <n v="9.99"/>
  </r>
  <r>
    <n v="1786"/>
    <s v="Male"/>
    <n v="25"/>
    <x v="0"/>
    <x v="0"/>
    <n v="52"/>
    <n v="72"/>
    <n v="0.18"/>
    <s v="Desktop"/>
    <n v="26"/>
    <n v="0"/>
    <n v="0"/>
    <n v="0"/>
    <n v="0"/>
  </r>
  <r>
    <n v="1787"/>
    <s v="Female"/>
    <n v="59"/>
    <x v="1"/>
    <x v="1"/>
    <n v="72"/>
    <n v="10"/>
    <n v="0.36"/>
    <s v="Web"/>
    <n v="0"/>
    <n v="1"/>
    <n v="1"/>
    <n v="14.99"/>
    <n v="14.99"/>
  </r>
  <r>
    <n v="1788"/>
    <s v="Female"/>
    <n v="37"/>
    <x v="5"/>
    <x v="2"/>
    <n v="197"/>
    <n v="34"/>
    <n v="0.56000000000000005"/>
    <s v="Desktop"/>
    <n v="0"/>
    <n v="1"/>
    <n v="0"/>
    <n v="9.99"/>
    <n v="0"/>
  </r>
  <r>
    <n v="1789"/>
    <s v="Male"/>
    <n v="55"/>
    <x v="2"/>
    <x v="1"/>
    <n v="54"/>
    <n v="27"/>
    <n v="0.31"/>
    <s v="Desktop"/>
    <n v="0"/>
    <n v="1"/>
    <n v="1"/>
    <n v="14.99"/>
    <n v="14.99"/>
  </r>
  <r>
    <n v="1790"/>
    <s v="Other"/>
    <n v="57"/>
    <x v="6"/>
    <x v="0"/>
    <n v="32"/>
    <n v="10"/>
    <n v="0.01"/>
    <s v="Web"/>
    <n v="35"/>
    <n v="0"/>
    <n v="0"/>
    <n v="0"/>
    <n v="0"/>
  </r>
  <r>
    <n v="1791"/>
    <s v="Male"/>
    <n v="48"/>
    <x v="5"/>
    <x v="1"/>
    <n v="216"/>
    <n v="70"/>
    <n v="0.23"/>
    <s v="Desktop"/>
    <n v="0"/>
    <n v="1"/>
    <n v="0"/>
    <n v="14.99"/>
    <n v="0"/>
  </r>
  <r>
    <n v="1792"/>
    <s v="Other"/>
    <n v="49"/>
    <x v="5"/>
    <x v="3"/>
    <n v="155"/>
    <n v="54"/>
    <n v="0.42"/>
    <s v="Desktop"/>
    <n v="0"/>
    <n v="1"/>
    <n v="0"/>
    <n v="4.99"/>
    <n v="0"/>
  </r>
  <r>
    <n v="1793"/>
    <s v="Male"/>
    <n v="16"/>
    <x v="1"/>
    <x v="2"/>
    <n v="186"/>
    <n v="52"/>
    <n v="0.42"/>
    <s v="Web"/>
    <n v="0"/>
    <n v="1"/>
    <n v="1"/>
    <n v="9.99"/>
    <n v="9.99"/>
  </r>
  <r>
    <n v="1794"/>
    <s v="Male"/>
    <n v="46"/>
    <x v="2"/>
    <x v="0"/>
    <n v="16"/>
    <n v="44"/>
    <n v="0.31"/>
    <s v="Desktop"/>
    <n v="26"/>
    <n v="0"/>
    <n v="0"/>
    <n v="0"/>
    <n v="0"/>
  </r>
  <r>
    <n v="1795"/>
    <s v="Male"/>
    <n v="47"/>
    <x v="7"/>
    <x v="0"/>
    <n v="268"/>
    <n v="86"/>
    <n v="0.01"/>
    <s v="Mobile"/>
    <n v="9"/>
    <n v="0"/>
    <n v="0"/>
    <n v="0"/>
    <n v="0"/>
  </r>
  <r>
    <n v="1796"/>
    <s v="Other"/>
    <n v="36"/>
    <x v="5"/>
    <x v="0"/>
    <n v="278"/>
    <n v="55"/>
    <n v="0.11"/>
    <s v="Desktop"/>
    <n v="27"/>
    <n v="0"/>
    <n v="1"/>
    <n v="0"/>
    <n v="0"/>
  </r>
  <r>
    <n v="1797"/>
    <s v="Other"/>
    <n v="34"/>
    <x v="2"/>
    <x v="2"/>
    <n v="233"/>
    <n v="90"/>
    <n v="0.42"/>
    <s v="Web"/>
    <n v="0"/>
    <n v="1"/>
    <n v="0"/>
    <n v="9.99"/>
    <n v="0"/>
  </r>
  <r>
    <n v="1798"/>
    <s v="Other"/>
    <n v="57"/>
    <x v="3"/>
    <x v="1"/>
    <n v="172"/>
    <n v="29"/>
    <n v="0.41"/>
    <s v="Web"/>
    <n v="0"/>
    <n v="1"/>
    <n v="0"/>
    <n v="14.99"/>
    <n v="0"/>
  </r>
  <r>
    <n v="1799"/>
    <s v="Other"/>
    <n v="45"/>
    <x v="1"/>
    <x v="0"/>
    <n v="162"/>
    <n v="85"/>
    <n v="0.04"/>
    <s v="Web"/>
    <n v="43"/>
    <n v="0"/>
    <n v="0"/>
    <n v="0"/>
    <n v="0"/>
  </r>
  <r>
    <n v="1800"/>
    <s v="Male"/>
    <n v="52"/>
    <x v="0"/>
    <x v="1"/>
    <n v="95"/>
    <n v="9"/>
    <n v="0.02"/>
    <s v="Mobile"/>
    <n v="0"/>
    <n v="1"/>
    <n v="1"/>
    <n v="14.99"/>
    <n v="14.99"/>
  </r>
  <r>
    <n v="1801"/>
    <s v="Female"/>
    <n v="24"/>
    <x v="1"/>
    <x v="1"/>
    <n v="157"/>
    <n v="93"/>
    <n v="0.17"/>
    <s v="Mobile"/>
    <n v="0"/>
    <n v="1"/>
    <n v="1"/>
    <n v="14.99"/>
    <n v="14.99"/>
  </r>
  <r>
    <n v="1802"/>
    <s v="Other"/>
    <n v="24"/>
    <x v="5"/>
    <x v="3"/>
    <n v="220"/>
    <n v="34"/>
    <n v="0.17"/>
    <s v="Desktop"/>
    <n v="0"/>
    <n v="1"/>
    <n v="0"/>
    <n v="4.99"/>
    <n v="0"/>
  </r>
  <r>
    <n v="1803"/>
    <s v="Other"/>
    <n v="29"/>
    <x v="5"/>
    <x v="2"/>
    <n v="296"/>
    <n v="39"/>
    <n v="0.43"/>
    <s v="Desktop"/>
    <n v="0"/>
    <n v="1"/>
    <n v="0"/>
    <n v="9.99"/>
    <n v="0"/>
  </r>
  <r>
    <n v="1804"/>
    <s v="Other"/>
    <n v="47"/>
    <x v="1"/>
    <x v="3"/>
    <n v="66"/>
    <n v="60"/>
    <n v="0.13"/>
    <s v="Desktop"/>
    <n v="0"/>
    <n v="1"/>
    <n v="1"/>
    <n v="4.99"/>
    <n v="4.99"/>
  </r>
  <r>
    <n v="1805"/>
    <s v="Male"/>
    <n v="55"/>
    <x v="3"/>
    <x v="2"/>
    <n v="170"/>
    <n v="29"/>
    <n v="0.28999999999999998"/>
    <s v="Mobile"/>
    <n v="0"/>
    <n v="1"/>
    <n v="0"/>
    <n v="9.99"/>
    <n v="0"/>
  </r>
  <r>
    <n v="1806"/>
    <s v="Female"/>
    <n v="41"/>
    <x v="2"/>
    <x v="2"/>
    <n v="36"/>
    <n v="67"/>
    <n v="0.42"/>
    <s v="Web"/>
    <n v="0"/>
    <n v="1"/>
    <n v="0"/>
    <n v="9.99"/>
    <n v="0"/>
  </r>
  <r>
    <n v="1807"/>
    <s v="Male"/>
    <n v="57"/>
    <x v="0"/>
    <x v="1"/>
    <n v="199"/>
    <n v="25"/>
    <n v="0.08"/>
    <s v="Web"/>
    <n v="0"/>
    <n v="1"/>
    <n v="1"/>
    <n v="14.99"/>
    <n v="14.99"/>
  </r>
  <r>
    <n v="1808"/>
    <s v="Male"/>
    <n v="22"/>
    <x v="2"/>
    <x v="2"/>
    <n v="127"/>
    <n v="31"/>
    <n v="0.26"/>
    <s v="Mobile"/>
    <n v="0"/>
    <n v="1"/>
    <n v="1"/>
    <n v="9.99"/>
    <n v="9.99"/>
  </r>
  <r>
    <n v="1809"/>
    <s v="Male"/>
    <n v="41"/>
    <x v="7"/>
    <x v="0"/>
    <n v="34"/>
    <n v="66"/>
    <n v="0.27"/>
    <s v="Mobile"/>
    <n v="10"/>
    <n v="0"/>
    <n v="1"/>
    <n v="0"/>
    <n v="0"/>
  </r>
  <r>
    <n v="1810"/>
    <s v="Male"/>
    <n v="29"/>
    <x v="1"/>
    <x v="3"/>
    <n v="293"/>
    <n v="60"/>
    <n v="0.04"/>
    <s v="Desktop"/>
    <n v="0"/>
    <n v="1"/>
    <n v="0"/>
    <n v="4.99"/>
    <n v="0"/>
  </r>
  <r>
    <n v="1811"/>
    <s v="Male"/>
    <n v="59"/>
    <x v="6"/>
    <x v="2"/>
    <n v="63"/>
    <n v="83"/>
    <n v="0.34"/>
    <s v="Mobile"/>
    <n v="0"/>
    <n v="1"/>
    <n v="1"/>
    <n v="9.99"/>
    <n v="9.99"/>
  </r>
  <r>
    <n v="1812"/>
    <s v="Male"/>
    <n v="17"/>
    <x v="5"/>
    <x v="2"/>
    <n v="101"/>
    <n v="52"/>
    <n v="0.12"/>
    <s v="Web"/>
    <n v="0"/>
    <n v="1"/>
    <n v="0"/>
    <n v="9.99"/>
    <n v="0"/>
  </r>
  <r>
    <n v="1813"/>
    <s v="Male"/>
    <n v="32"/>
    <x v="4"/>
    <x v="2"/>
    <n v="187"/>
    <n v="38"/>
    <n v="0.33"/>
    <s v="Web"/>
    <n v="0"/>
    <n v="1"/>
    <n v="0"/>
    <n v="9.99"/>
    <n v="0"/>
  </r>
  <r>
    <n v="1814"/>
    <s v="Other"/>
    <n v="42"/>
    <x v="1"/>
    <x v="0"/>
    <n v="131"/>
    <n v="87"/>
    <n v="0.09"/>
    <s v="Mobile"/>
    <n v="12"/>
    <n v="0"/>
    <n v="0"/>
    <n v="0"/>
    <n v="0"/>
  </r>
  <r>
    <n v="1815"/>
    <s v="Female"/>
    <n v="46"/>
    <x v="6"/>
    <x v="2"/>
    <n v="14"/>
    <n v="37"/>
    <n v="0.56999999999999995"/>
    <s v="Desktop"/>
    <n v="0"/>
    <n v="1"/>
    <n v="0"/>
    <n v="9.99"/>
    <n v="0"/>
  </r>
  <r>
    <n v="1816"/>
    <s v="Other"/>
    <n v="53"/>
    <x v="2"/>
    <x v="0"/>
    <n v="141"/>
    <n v="87"/>
    <n v="0.5"/>
    <s v="Web"/>
    <n v="47"/>
    <n v="0"/>
    <n v="0"/>
    <n v="0"/>
    <n v="0"/>
  </r>
  <r>
    <n v="1817"/>
    <s v="Male"/>
    <n v="16"/>
    <x v="1"/>
    <x v="1"/>
    <n v="120"/>
    <n v="56"/>
    <n v="0.28999999999999998"/>
    <s v="Desktop"/>
    <n v="0"/>
    <n v="1"/>
    <n v="0"/>
    <n v="14.99"/>
    <n v="0"/>
  </r>
  <r>
    <n v="1818"/>
    <s v="Other"/>
    <n v="19"/>
    <x v="6"/>
    <x v="0"/>
    <n v="102"/>
    <n v="26"/>
    <n v="0.46"/>
    <s v="Mobile"/>
    <n v="44"/>
    <n v="0"/>
    <n v="0"/>
    <n v="0"/>
    <n v="0"/>
  </r>
  <r>
    <n v="1819"/>
    <s v="Male"/>
    <n v="51"/>
    <x v="2"/>
    <x v="0"/>
    <n v="140"/>
    <n v="53"/>
    <n v="0.37"/>
    <s v="Web"/>
    <n v="20"/>
    <n v="0"/>
    <n v="1"/>
    <n v="0"/>
    <n v="0"/>
  </r>
  <r>
    <n v="1820"/>
    <s v="Other"/>
    <n v="43"/>
    <x v="5"/>
    <x v="3"/>
    <n v="171"/>
    <n v="69"/>
    <n v="0.37"/>
    <s v="Mobile"/>
    <n v="0"/>
    <n v="1"/>
    <n v="0"/>
    <n v="4.99"/>
    <n v="0"/>
  </r>
  <r>
    <n v="1821"/>
    <s v="Male"/>
    <n v="59"/>
    <x v="0"/>
    <x v="2"/>
    <n v="243"/>
    <n v="62"/>
    <n v="0.51"/>
    <s v="Desktop"/>
    <n v="0"/>
    <n v="1"/>
    <n v="0"/>
    <n v="9.99"/>
    <n v="0"/>
  </r>
  <r>
    <n v="1822"/>
    <s v="Female"/>
    <n v="52"/>
    <x v="3"/>
    <x v="1"/>
    <n v="119"/>
    <n v="2"/>
    <n v="0.21"/>
    <s v="Mobile"/>
    <n v="0"/>
    <n v="1"/>
    <n v="0"/>
    <n v="14.99"/>
    <n v="0"/>
  </r>
  <r>
    <n v="1823"/>
    <s v="Other"/>
    <n v="51"/>
    <x v="7"/>
    <x v="0"/>
    <n v="263"/>
    <n v="44"/>
    <n v="0.45"/>
    <s v="Web"/>
    <n v="19"/>
    <n v="0"/>
    <n v="0"/>
    <n v="0"/>
    <n v="0"/>
  </r>
  <r>
    <n v="1824"/>
    <s v="Female"/>
    <n v="26"/>
    <x v="5"/>
    <x v="2"/>
    <n v="66"/>
    <n v="29"/>
    <n v="0.22"/>
    <s v="Mobile"/>
    <n v="0"/>
    <n v="1"/>
    <n v="0"/>
    <n v="9.99"/>
    <n v="0"/>
  </r>
  <r>
    <n v="1825"/>
    <s v="Female"/>
    <n v="26"/>
    <x v="4"/>
    <x v="1"/>
    <n v="10"/>
    <n v="75"/>
    <n v="0.59"/>
    <s v="Mobile"/>
    <n v="0"/>
    <n v="1"/>
    <n v="0"/>
    <n v="14.99"/>
    <n v="0"/>
  </r>
  <r>
    <n v="1826"/>
    <s v="Other"/>
    <n v="20"/>
    <x v="5"/>
    <x v="1"/>
    <n v="203"/>
    <n v="49"/>
    <n v="0.53"/>
    <s v="Mobile"/>
    <n v="0"/>
    <n v="1"/>
    <n v="0"/>
    <n v="14.99"/>
    <n v="0"/>
  </r>
  <r>
    <n v="1827"/>
    <s v="Female"/>
    <n v="33"/>
    <x v="6"/>
    <x v="3"/>
    <n v="235"/>
    <n v="72"/>
    <n v="0.26"/>
    <s v="Web"/>
    <n v="0"/>
    <n v="1"/>
    <n v="0"/>
    <n v="4.99"/>
    <n v="0"/>
  </r>
  <r>
    <n v="1828"/>
    <s v="Other"/>
    <n v="56"/>
    <x v="4"/>
    <x v="2"/>
    <n v="201"/>
    <n v="42"/>
    <n v="0.15"/>
    <s v="Mobile"/>
    <n v="0"/>
    <n v="1"/>
    <n v="0"/>
    <n v="9.99"/>
    <n v="0"/>
  </r>
  <r>
    <n v="1829"/>
    <s v="Male"/>
    <n v="33"/>
    <x v="2"/>
    <x v="0"/>
    <n v="181"/>
    <n v="81"/>
    <n v="0.28000000000000003"/>
    <s v="Desktop"/>
    <n v="14"/>
    <n v="0"/>
    <n v="0"/>
    <n v="0"/>
    <n v="0"/>
  </r>
  <r>
    <n v="1830"/>
    <s v="Male"/>
    <n v="31"/>
    <x v="5"/>
    <x v="3"/>
    <n v="239"/>
    <n v="16"/>
    <n v="0.16"/>
    <s v="Web"/>
    <n v="0"/>
    <n v="1"/>
    <n v="0"/>
    <n v="4.99"/>
    <n v="0"/>
  </r>
  <r>
    <n v="1831"/>
    <s v="Male"/>
    <n v="58"/>
    <x v="1"/>
    <x v="2"/>
    <n v="10"/>
    <n v="8"/>
    <n v="0.59"/>
    <s v="Desktop"/>
    <n v="0"/>
    <n v="1"/>
    <n v="0"/>
    <n v="9.99"/>
    <n v="0"/>
  </r>
  <r>
    <n v="1832"/>
    <s v="Other"/>
    <n v="22"/>
    <x v="3"/>
    <x v="0"/>
    <n v="93"/>
    <n v="10"/>
    <n v="0.03"/>
    <s v="Mobile"/>
    <n v="12"/>
    <n v="0"/>
    <n v="0"/>
    <n v="0"/>
    <n v="0"/>
  </r>
  <r>
    <n v="1833"/>
    <s v="Female"/>
    <n v="48"/>
    <x v="6"/>
    <x v="2"/>
    <n v="183"/>
    <n v="26"/>
    <n v="0.32"/>
    <s v="Desktop"/>
    <n v="0"/>
    <n v="1"/>
    <n v="0"/>
    <n v="9.99"/>
    <n v="0"/>
  </r>
  <r>
    <n v="1834"/>
    <s v="Male"/>
    <n v="17"/>
    <x v="2"/>
    <x v="3"/>
    <n v="234"/>
    <n v="45"/>
    <n v="0.01"/>
    <s v="Web"/>
    <n v="0"/>
    <n v="1"/>
    <n v="0"/>
    <n v="4.99"/>
    <n v="0"/>
  </r>
  <r>
    <n v="1835"/>
    <s v="Other"/>
    <n v="35"/>
    <x v="1"/>
    <x v="3"/>
    <n v="197"/>
    <n v="30"/>
    <n v="0.21"/>
    <s v="Desktop"/>
    <n v="0"/>
    <n v="1"/>
    <n v="0"/>
    <n v="4.99"/>
    <n v="0"/>
  </r>
  <r>
    <n v="1836"/>
    <s v="Other"/>
    <n v="39"/>
    <x v="1"/>
    <x v="0"/>
    <n v="62"/>
    <n v="15"/>
    <n v="0.42"/>
    <s v="Mobile"/>
    <n v="49"/>
    <n v="0"/>
    <n v="0"/>
    <n v="0"/>
    <n v="0"/>
  </r>
  <r>
    <n v="1837"/>
    <s v="Male"/>
    <n v="16"/>
    <x v="4"/>
    <x v="1"/>
    <n v="157"/>
    <n v="20"/>
    <n v="0.2"/>
    <s v="Web"/>
    <n v="0"/>
    <n v="1"/>
    <n v="0"/>
    <n v="14.99"/>
    <n v="0"/>
  </r>
  <r>
    <n v="1838"/>
    <s v="Female"/>
    <n v="48"/>
    <x v="2"/>
    <x v="3"/>
    <n v="124"/>
    <n v="23"/>
    <n v="0.47"/>
    <s v="Mobile"/>
    <n v="0"/>
    <n v="1"/>
    <n v="0"/>
    <n v="4.99"/>
    <n v="0"/>
  </r>
  <r>
    <n v="1839"/>
    <s v="Other"/>
    <n v="42"/>
    <x v="4"/>
    <x v="2"/>
    <n v="64"/>
    <n v="84"/>
    <n v="0.19"/>
    <s v="Desktop"/>
    <n v="0"/>
    <n v="1"/>
    <n v="0"/>
    <n v="9.99"/>
    <n v="0"/>
  </r>
  <r>
    <n v="1840"/>
    <s v="Female"/>
    <n v="20"/>
    <x v="2"/>
    <x v="1"/>
    <n v="276"/>
    <n v="47"/>
    <n v="0.56999999999999995"/>
    <s v="Mobile"/>
    <n v="0"/>
    <n v="1"/>
    <n v="0"/>
    <n v="14.99"/>
    <n v="0"/>
  </r>
  <r>
    <n v="1841"/>
    <s v="Female"/>
    <n v="26"/>
    <x v="7"/>
    <x v="3"/>
    <n v="40"/>
    <n v="71"/>
    <n v="0.21"/>
    <s v="Desktop"/>
    <n v="0"/>
    <n v="1"/>
    <n v="1"/>
    <n v="4.99"/>
    <n v="4.99"/>
  </r>
  <r>
    <n v="1842"/>
    <s v="Other"/>
    <n v="37"/>
    <x v="3"/>
    <x v="2"/>
    <n v="226"/>
    <n v="5"/>
    <n v="0.08"/>
    <s v="Desktop"/>
    <n v="0"/>
    <n v="1"/>
    <n v="1"/>
    <n v="9.99"/>
    <n v="9.99"/>
  </r>
  <r>
    <n v="1843"/>
    <s v="Male"/>
    <n v="51"/>
    <x v="7"/>
    <x v="2"/>
    <n v="267"/>
    <n v="11"/>
    <n v="0.06"/>
    <s v="Desktop"/>
    <n v="0"/>
    <n v="1"/>
    <n v="0"/>
    <n v="9.99"/>
    <n v="0"/>
  </r>
  <r>
    <n v="1844"/>
    <s v="Male"/>
    <n v="42"/>
    <x v="4"/>
    <x v="0"/>
    <n v="297"/>
    <n v="12"/>
    <n v="0.54"/>
    <s v="Desktop"/>
    <n v="15"/>
    <n v="0"/>
    <n v="0"/>
    <n v="0"/>
    <n v="0"/>
  </r>
  <r>
    <n v="1845"/>
    <s v="Female"/>
    <n v="25"/>
    <x v="0"/>
    <x v="1"/>
    <n v="44"/>
    <n v="80"/>
    <n v="0.42"/>
    <s v="Mobile"/>
    <n v="0"/>
    <n v="1"/>
    <n v="0"/>
    <n v="14.99"/>
    <n v="0"/>
  </r>
  <r>
    <n v="1846"/>
    <s v="Male"/>
    <n v="18"/>
    <x v="0"/>
    <x v="0"/>
    <n v="264"/>
    <n v="52"/>
    <n v="0.33"/>
    <s v="Desktop"/>
    <n v="19"/>
    <n v="0"/>
    <n v="0"/>
    <n v="0"/>
    <n v="0"/>
  </r>
  <r>
    <n v="1847"/>
    <s v="Male"/>
    <n v="19"/>
    <x v="6"/>
    <x v="1"/>
    <n v="125"/>
    <n v="65"/>
    <n v="0.49"/>
    <s v="Mobile"/>
    <n v="0"/>
    <n v="1"/>
    <n v="0"/>
    <n v="14.99"/>
    <n v="0"/>
  </r>
  <r>
    <n v="1848"/>
    <s v="Female"/>
    <n v="23"/>
    <x v="6"/>
    <x v="2"/>
    <n v="263"/>
    <n v="82"/>
    <n v="0.25"/>
    <s v="Desktop"/>
    <n v="0"/>
    <n v="1"/>
    <n v="1"/>
    <n v="9.99"/>
    <n v="9.99"/>
  </r>
  <r>
    <n v="1849"/>
    <s v="Female"/>
    <n v="17"/>
    <x v="1"/>
    <x v="0"/>
    <n v="285"/>
    <n v="6"/>
    <n v="0.19"/>
    <s v="Web"/>
    <n v="18"/>
    <n v="0"/>
    <n v="0"/>
    <n v="0"/>
    <n v="0"/>
  </r>
  <r>
    <n v="1850"/>
    <s v="Male"/>
    <n v="22"/>
    <x v="0"/>
    <x v="2"/>
    <n v="128"/>
    <n v="26"/>
    <n v="0.08"/>
    <s v="Web"/>
    <n v="0"/>
    <n v="1"/>
    <n v="1"/>
    <n v="9.99"/>
    <n v="9.99"/>
  </r>
  <r>
    <n v="1851"/>
    <s v="Female"/>
    <n v="20"/>
    <x v="0"/>
    <x v="0"/>
    <n v="80"/>
    <n v="74"/>
    <n v="0.55000000000000004"/>
    <s v="Desktop"/>
    <n v="49"/>
    <n v="0"/>
    <n v="1"/>
    <n v="0"/>
    <n v="0"/>
  </r>
  <r>
    <n v="1852"/>
    <s v="Female"/>
    <n v="30"/>
    <x v="2"/>
    <x v="3"/>
    <n v="66"/>
    <n v="35"/>
    <n v="0.11"/>
    <s v="Mobile"/>
    <n v="0"/>
    <n v="1"/>
    <n v="0"/>
    <n v="4.99"/>
    <n v="0"/>
  </r>
  <r>
    <n v="1853"/>
    <s v="Other"/>
    <n v="31"/>
    <x v="1"/>
    <x v="3"/>
    <n v="84"/>
    <n v="87"/>
    <n v="0.46"/>
    <s v="Mobile"/>
    <n v="0"/>
    <n v="1"/>
    <n v="0"/>
    <n v="4.99"/>
    <n v="0"/>
  </r>
  <r>
    <n v="1854"/>
    <s v="Male"/>
    <n v="17"/>
    <x v="3"/>
    <x v="1"/>
    <n v="136"/>
    <n v="98"/>
    <n v="0.27"/>
    <s v="Web"/>
    <n v="0"/>
    <n v="1"/>
    <n v="1"/>
    <n v="14.99"/>
    <n v="14.99"/>
  </r>
  <r>
    <n v="1855"/>
    <s v="Other"/>
    <n v="28"/>
    <x v="5"/>
    <x v="3"/>
    <n v="273"/>
    <n v="61"/>
    <n v="0.04"/>
    <s v="Web"/>
    <n v="0"/>
    <n v="1"/>
    <n v="0"/>
    <n v="4.99"/>
    <n v="0"/>
  </r>
  <r>
    <n v="1856"/>
    <s v="Other"/>
    <n v="24"/>
    <x v="7"/>
    <x v="0"/>
    <n v="297"/>
    <n v="12"/>
    <n v="0.39"/>
    <s v="Desktop"/>
    <n v="6"/>
    <n v="0"/>
    <n v="0"/>
    <n v="0"/>
    <n v="0"/>
  </r>
  <r>
    <n v="1857"/>
    <s v="Female"/>
    <n v="32"/>
    <x v="6"/>
    <x v="1"/>
    <n v="96"/>
    <n v="70"/>
    <n v="0.21"/>
    <s v="Web"/>
    <n v="0"/>
    <n v="1"/>
    <n v="0"/>
    <n v="14.99"/>
    <n v="0"/>
  </r>
  <r>
    <n v="1858"/>
    <s v="Female"/>
    <n v="26"/>
    <x v="5"/>
    <x v="2"/>
    <n v="26"/>
    <n v="54"/>
    <n v="0.25"/>
    <s v="Desktop"/>
    <n v="0"/>
    <n v="1"/>
    <n v="1"/>
    <n v="9.99"/>
    <n v="9.99"/>
  </r>
  <r>
    <n v="1859"/>
    <s v="Female"/>
    <n v="42"/>
    <x v="2"/>
    <x v="2"/>
    <n v="29"/>
    <n v="78"/>
    <n v="0.21"/>
    <s v="Web"/>
    <n v="0"/>
    <n v="1"/>
    <n v="0"/>
    <n v="9.99"/>
    <n v="0"/>
  </r>
  <r>
    <n v="1860"/>
    <s v="Male"/>
    <n v="39"/>
    <x v="4"/>
    <x v="1"/>
    <n v="94"/>
    <n v="80"/>
    <n v="0.23"/>
    <s v="Mobile"/>
    <n v="0"/>
    <n v="1"/>
    <n v="0"/>
    <n v="14.99"/>
    <n v="0"/>
  </r>
  <r>
    <n v="1861"/>
    <s v="Other"/>
    <n v="19"/>
    <x v="6"/>
    <x v="1"/>
    <n v="129"/>
    <n v="97"/>
    <n v="0.28000000000000003"/>
    <s v="Mobile"/>
    <n v="0"/>
    <n v="1"/>
    <n v="1"/>
    <n v="14.99"/>
    <n v="14.99"/>
  </r>
  <r>
    <n v="1862"/>
    <s v="Other"/>
    <n v="22"/>
    <x v="3"/>
    <x v="2"/>
    <n v="251"/>
    <n v="30"/>
    <n v="0.55000000000000004"/>
    <s v="Desktop"/>
    <n v="0"/>
    <n v="1"/>
    <n v="1"/>
    <n v="9.99"/>
    <n v="9.99"/>
  </r>
  <r>
    <n v="1863"/>
    <s v="Other"/>
    <n v="55"/>
    <x v="1"/>
    <x v="3"/>
    <n v="279"/>
    <n v="90"/>
    <n v="0.47"/>
    <s v="Desktop"/>
    <n v="0"/>
    <n v="1"/>
    <n v="0"/>
    <n v="4.99"/>
    <n v="0"/>
  </r>
  <r>
    <n v="1864"/>
    <s v="Male"/>
    <n v="51"/>
    <x v="7"/>
    <x v="3"/>
    <n v="239"/>
    <n v="36"/>
    <n v="0.37"/>
    <s v="Web"/>
    <n v="0"/>
    <n v="1"/>
    <n v="0"/>
    <n v="4.99"/>
    <n v="0"/>
  </r>
  <r>
    <n v="1865"/>
    <s v="Other"/>
    <n v="42"/>
    <x v="4"/>
    <x v="1"/>
    <n v="199"/>
    <n v="22"/>
    <n v="0.4"/>
    <s v="Mobile"/>
    <n v="0"/>
    <n v="1"/>
    <n v="1"/>
    <n v="14.99"/>
    <n v="14.99"/>
  </r>
  <r>
    <n v="1866"/>
    <s v="Other"/>
    <n v="35"/>
    <x v="5"/>
    <x v="2"/>
    <n v="45"/>
    <n v="33"/>
    <n v="0.53"/>
    <s v="Mobile"/>
    <n v="0"/>
    <n v="1"/>
    <n v="0"/>
    <n v="9.99"/>
    <n v="0"/>
  </r>
  <r>
    <n v="1867"/>
    <s v="Other"/>
    <n v="34"/>
    <x v="0"/>
    <x v="0"/>
    <n v="84"/>
    <n v="43"/>
    <n v="0.31"/>
    <s v="Mobile"/>
    <n v="39"/>
    <n v="0"/>
    <n v="0"/>
    <n v="0"/>
    <n v="0"/>
  </r>
  <r>
    <n v="1868"/>
    <s v="Female"/>
    <n v="45"/>
    <x v="2"/>
    <x v="2"/>
    <n v="58"/>
    <n v="36"/>
    <n v="0.55000000000000004"/>
    <s v="Desktop"/>
    <n v="0"/>
    <n v="1"/>
    <n v="1"/>
    <n v="9.99"/>
    <n v="9.99"/>
  </r>
  <r>
    <n v="1869"/>
    <s v="Male"/>
    <n v="27"/>
    <x v="2"/>
    <x v="2"/>
    <n v="279"/>
    <n v="29"/>
    <n v="0.46"/>
    <s v="Web"/>
    <n v="0"/>
    <n v="1"/>
    <n v="1"/>
    <n v="9.99"/>
    <n v="9.99"/>
  </r>
  <r>
    <n v="1870"/>
    <s v="Other"/>
    <n v="36"/>
    <x v="0"/>
    <x v="0"/>
    <n v="287"/>
    <n v="44"/>
    <n v="7.0000000000000007E-2"/>
    <s v="Mobile"/>
    <n v="32"/>
    <n v="0"/>
    <n v="0"/>
    <n v="0"/>
    <n v="0"/>
  </r>
  <r>
    <n v="1871"/>
    <s v="Male"/>
    <n v="37"/>
    <x v="5"/>
    <x v="2"/>
    <n v="187"/>
    <n v="74"/>
    <n v="0.05"/>
    <s v="Mobile"/>
    <n v="0"/>
    <n v="1"/>
    <n v="0"/>
    <n v="9.99"/>
    <n v="0"/>
  </r>
  <r>
    <n v="1872"/>
    <s v="Other"/>
    <n v="21"/>
    <x v="6"/>
    <x v="0"/>
    <n v="116"/>
    <n v="84"/>
    <n v="0.59"/>
    <s v="Desktop"/>
    <n v="18"/>
    <n v="0"/>
    <n v="1"/>
    <n v="0"/>
    <n v="0"/>
  </r>
  <r>
    <n v="1873"/>
    <s v="Female"/>
    <n v="57"/>
    <x v="5"/>
    <x v="2"/>
    <n v="30"/>
    <n v="43"/>
    <n v="0.32"/>
    <s v="Mobile"/>
    <n v="0"/>
    <n v="1"/>
    <n v="0"/>
    <n v="9.99"/>
    <n v="0"/>
  </r>
  <r>
    <n v="1874"/>
    <s v="Female"/>
    <n v="56"/>
    <x v="7"/>
    <x v="3"/>
    <n v="241"/>
    <n v="39"/>
    <n v="0.42"/>
    <s v="Desktop"/>
    <n v="0"/>
    <n v="1"/>
    <n v="1"/>
    <n v="4.99"/>
    <n v="4.99"/>
  </r>
  <r>
    <n v="1875"/>
    <s v="Other"/>
    <n v="58"/>
    <x v="4"/>
    <x v="2"/>
    <n v="282"/>
    <n v="35"/>
    <n v="0.45"/>
    <s v="Desktop"/>
    <n v="0"/>
    <n v="1"/>
    <n v="0"/>
    <n v="9.99"/>
    <n v="0"/>
  </r>
  <r>
    <n v="1876"/>
    <s v="Male"/>
    <n v="33"/>
    <x v="7"/>
    <x v="1"/>
    <n v="33"/>
    <n v="65"/>
    <n v="0.28000000000000003"/>
    <s v="Web"/>
    <n v="0"/>
    <n v="1"/>
    <n v="0"/>
    <n v="14.99"/>
    <n v="0"/>
  </r>
  <r>
    <n v="1877"/>
    <s v="Male"/>
    <n v="57"/>
    <x v="6"/>
    <x v="1"/>
    <n v="82"/>
    <n v="96"/>
    <n v="0.43"/>
    <s v="Web"/>
    <n v="0"/>
    <n v="1"/>
    <n v="1"/>
    <n v="14.99"/>
    <n v="14.99"/>
  </r>
  <r>
    <n v="1878"/>
    <s v="Male"/>
    <n v="37"/>
    <x v="3"/>
    <x v="0"/>
    <n v="21"/>
    <n v="40"/>
    <n v="0.35"/>
    <s v="Web"/>
    <n v="36"/>
    <n v="0"/>
    <n v="0"/>
    <n v="0"/>
    <n v="0"/>
  </r>
  <r>
    <n v="1879"/>
    <s v="Other"/>
    <n v="51"/>
    <x v="1"/>
    <x v="3"/>
    <n v="186"/>
    <n v="6"/>
    <n v="0.44"/>
    <s v="Web"/>
    <n v="0"/>
    <n v="1"/>
    <n v="1"/>
    <n v="4.99"/>
    <n v="4.99"/>
  </r>
  <r>
    <n v="1880"/>
    <s v="Female"/>
    <n v="23"/>
    <x v="4"/>
    <x v="0"/>
    <n v="19"/>
    <n v="46"/>
    <n v="0.34"/>
    <s v="Web"/>
    <n v="13"/>
    <n v="0"/>
    <n v="0"/>
    <n v="0"/>
    <n v="0"/>
  </r>
  <r>
    <n v="1881"/>
    <s v="Male"/>
    <n v="56"/>
    <x v="3"/>
    <x v="3"/>
    <n v="85"/>
    <n v="80"/>
    <n v="0.14000000000000001"/>
    <s v="Desktop"/>
    <n v="0"/>
    <n v="1"/>
    <n v="0"/>
    <n v="4.99"/>
    <n v="0"/>
  </r>
  <r>
    <n v="1882"/>
    <s v="Other"/>
    <n v="54"/>
    <x v="1"/>
    <x v="3"/>
    <n v="278"/>
    <n v="57"/>
    <n v="0.21"/>
    <s v="Desktop"/>
    <n v="0"/>
    <n v="1"/>
    <n v="0"/>
    <n v="4.99"/>
    <n v="0"/>
  </r>
  <r>
    <n v="1883"/>
    <s v="Male"/>
    <n v="43"/>
    <x v="6"/>
    <x v="2"/>
    <n v="88"/>
    <n v="35"/>
    <n v="0.36"/>
    <s v="Desktop"/>
    <n v="0"/>
    <n v="1"/>
    <n v="1"/>
    <n v="9.99"/>
    <n v="9.99"/>
  </r>
  <r>
    <n v="1884"/>
    <s v="Other"/>
    <n v="22"/>
    <x v="5"/>
    <x v="2"/>
    <n v="245"/>
    <n v="42"/>
    <n v="0.28000000000000003"/>
    <s v="Desktop"/>
    <n v="0"/>
    <n v="1"/>
    <n v="0"/>
    <n v="9.99"/>
    <n v="0"/>
  </r>
  <r>
    <n v="1885"/>
    <s v="Male"/>
    <n v="47"/>
    <x v="0"/>
    <x v="3"/>
    <n v="139"/>
    <n v="33"/>
    <n v="0.19"/>
    <s v="Desktop"/>
    <n v="0"/>
    <n v="1"/>
    <n v="0"/>
    <n v="4.99"/>
    <n v="0"/>
  </r>
  <r>
    <n v="1886"/>
    <s v="Other"/>
    <n v="45"/>
    <x v="6"/>
    <x v="3"/>
    <n v="151"/>
    <n v="39"/>
    <n v="0.25"/>
    <s v="Web"/>
    <n v="0"/>
    <n v="1"/>
    <n v="0"/>
    <n v="4.99"/>
    <n v="0"/>
  </r>
  <r>
    <n v="1887"/>
    <s v="Male"/>
    <n v="18"/>
    <x v="3"/>
    <x v="0"/>
    <n v="165"/>
    <n v="21"/>
    <n v="0.05"/>
    <s v="Web"/>
    <n v="43"/>
    <n v="0"/>
    <n v="0"/>
    <n v="0"/>
    <n v="0"/>
  </r>
  <r>
    <n v="1888"/>
    <s v="Other"/>
    <n v="56"/>
    <x v="1"/>
    <x v="1"/>
    <n v="146"/>
    <n v="64"/>
    <n v="0.16"/>
    <s v="Mobile"/>
    <n v="0"/>
    <n v="1"/>
    <n v="0"/>
    <n v="14.99"/>
    <n v="0"/>
  </r>
  <r>
    <n v="1889"/>
    <s v="Other"/>
    <n v="55"/>
    <x v="1"/>
    <x v="0"/>
    <n v="252"/>
    <n v="52"/>
    <n v="0.25"/>
    <s v="Desktop"/>
    <n v="49"/>
    <n v="0"/>
    <n v="1"/>
    <n v="0"/>
    <n v="0"/>
  </r>
  <r>
    <n v="1890"/>
    <s v="Male"/>
    <n v="48"/>
    <x v="2"/>
    <x v="1"/>
    <n v="206"/>
    <n v="7"/>
    <n v="0.27"/>
    <s v="Web"/>
    <n v="0"/>
    <n v="1"/>
    <n v="0"/>
    <n v="14.99"/>
    <n v="0"/>
  </r>
  <r>
    <n v="1891"/>
    <s v="Male"/>
    <n v="22"/>
    <x v="3"/>
    <x v="0"/>
    <n v="200"/>
    <n v="64"/>
    <n v="0.32"/>
    <s v="Web"/>
    <n v="42"/>
    <n v="0"/>
    <n v="0"/>
    <n v="0"/>
    <n v="0"/>
  </r>
  <r>
    <n v="1892"/>
    <s v="Male"/>
    <n v="28"/>
    <x v="2"/>
    <x v="3"/>
    <n v="71"/>
    <n v="18"/>
    <n v="0.42"/>
    <s v="Desktop"/>
    <n v="0"/>
    <n v="1"/>
    <n v="0"/>
    <n v="4.99"/>
    <n v="0"/>
  </r>
  <r>
    <n v="1893"/>
    <s v="Other"/>
    <n v="45"/>
    <x v="2"/>
    <x v="1"/>
    <n v="171"/>
    <n v="44"/>
    <n v="0.43"/>
    <s v="Web"/>
    <n v="0"/>
    <n v="1"/>
    <n v="0"/>
    <n v="14.99"/>
    <n v="0"/>
  </r>
  <r>
    <n v="1894"/>
    <s v="Other"/>
    <n v="58"/>
    <x v="5"/>
    <x v="2"/>
    <n v="26"/>
    <n v="55"/>
    <n v="0.59"/>
    <s v="Web"/>
    <n v="0"/>
    <n v="1"/>
    <n v="0"/>
    <n v="9.99"/>
    <n v="0"/>
  </r>
  <r>
    <n v="1895"/>
    <s v="Other"/>
    <n v="31"/>
    <x v="1"/>
    <x v="2"/>
    <n v="236"/>
    <n v="19"/>
    <n v="0.24"/>
    <s v="Mobile"/>
    <n v="0"/>
    <n v="1"/>
    <n v="1"/>
    <n v="9.99"/>
    <n v="9.99"/>
  </r>
  <r>
    <n v="1896"/>
    <s v="Other"/>
    <n v="42"/>
    <x v="7"/>
    <x v="0"/>
    <n v="136"/>
    <n v="25"/>
    <n v="0.05"/>
    <s v="Mobile"/>
    <n v="9"/>
    <n v="0"/>
    <n v="0"/>
    <n v="0"/>
    <n v="0"/>
  </r>
  <r>
    <n v="1897"/>
    <s v="Other"/>
    <n v="58"/>
    <x v="2"/>
    <x v="0"/>
    <n v="164"/>
    <n v="54"/>
    <n v="0.57999999999999996"/>
    <s v="Web"/>
    <n v="24"/>
    <n v="0"/>
    <n v="0"/>
    <n v="0"/>
    <n v="0"/>
  </r>
  <r>
    <n v="1898"/>
    <s v="Male"/>
    <n v="48"/>
    <x v="0"/>
    <x v="2"/>
    <n v="169"/>
    <n v="26"/>
    <n v="0.12"/>
    <s v="Desktop"/>
    <n v="0"/>
    <n v="1"/>
    <n v="0"/>
    <n v="9.99"/>
    <n v="0"/>
  </r>
  <r>
    <n v="1899"/>
    <s v="Female"/>
    <n v="58"/>
    <x v="2"/>
    <x v="1"/>
    <n v="285"/>
    <n v="94"/>
    <n v="0.56999999999999995"/>
    <s v="Desktop"/>
    <n v="0"/>
    <n v="1"/>
    <n v="1"/>
    <n v="14.99"/>
    <n v="14.99"/>
  </r>
  <r>
    <n v="1900"/>
    <s v="Male"/>
    <n v="38"/>
    <x v="1"/>
    <x v="0"/>
    <n v="105"/>
    <n v="25"/>
    <n v="0.21"/>
    <s v="Mobile"/>
    <n v="27"/>
    <n v="0"/>
    <n v="1"/>
    <n v="0"/>
    <n v="0"/>
  </r>
  <r>
    <n v="1901"/>
    <s v="Other"/>
    <n v="18"/>
    <x v="6"/>
    <x v="2"/>
    <n v="217"/>
    <n v="87"/>
    <n v="0.39"/>
    <s v="Web"/>
    <n v="0"/>
    <n v="1"/>
    <n v="0"/>
    <n v="9.99"/>
    <n v="0"/>
  </r>
  <r>
    <n v="1902"/>
    <s v="Male"/>
    <n v="28"/>
    <x v="3"/>
    <x v="2"/>
    <n v="204"/>
    <n v="40"/>
    <n v="0.2"/>
    <s v="Web"/>
    <n v="0"/>
    <n v="1"/>
    <n v="1"/>
    <n v="9.99"/>
    <n v="9.99"/>
  </r>
  <r>
    <n v="1903"/>
    <s v="Male"/>
    <n v="44"/>
    <x v="6"/>
    <x v="2"/>
    <n v="107"/>
    <n v="4"/>
    <n v="0.53"/>
    <s v="Web"/>
    <n v="0"/>
    <n v="1"/>
    <n v="1"/>
    <n v="9.99"/>
    <n v="9.99"/>
  </r>
  <r>
    <n v="1904"/>
    <s v="Other"/>
    <n v="37"/>
    <x v="3"/>
    <x v="3"/>
    <n v="15"/>
    <n v="31"/>
    <n v="0.14000000000000001"/>
    <s v="Mobile"/>
    <n v="0"/>
    <n v="1"/>
    <n v="0"/>
    <n v="4.99"/>
    <n v="0"/>
  </r>
  <r>
    <n v="1905"/>
    <s v="Other"/>
    <n v="18"/>
    <x v="3"/>
    <x v="2"/>
    <n v="200"/>
    <n v="65"/>
    <n v="0"/>
    <s v="Mobile"/>
    <n v="0"/>
    <n v="1"/>
    <n v="1"/>
    <n v="9.99"/>
    <n v="9.99"/>
  </r>
  <r>
    <n v="1906"/>
    <s v="Other"/>
    <n v="19"/>
    <x v="5"/>
    <x v="0"/>
    <n v="118"/>
    <n v="25"/>
    <n v="0.57999999999999996"/>
    <s v="Desktop"/>
    <n v="48"/>
    <n v="0"/>
    <n v="0"/>
    <n v="0"/>
    <n v="0"/>
  </r>
  <r>
    <n v="1907"/>
    <s v="Male"/>
    <n v="24"/>
    <x v="2"/>
    <x v="1"/>
    <n v="170"/>
    <n v="23"/>
    <n v="0.18"/>
    <s v="Desktop"/>
    <n v="0"/>
    <n v="1"/>
    <n v="0"/>
    <n v="14.99"/>
    <n v="0"/>
  </r>
  <r>
    <n v="1908"/>
    <s v="Female"/>
    <n v="43"/>
    <x v="2"/>
    <x v="3"/>
    <n v="264"/>
    <n v="27"/>
    <n v="0.56000000000000005"/>
    <s v="Desktop"/>
    <n v="0"/>
    <n v="1"/>
    <n v="1"/>
    <n v="4.99"/>
    <n v="4.99"/>
  </r>
  <r>
    <n v="1909"/>
    <s v="Other"/>
    <n v="16"/>
    <x v="5"/>
    <x v="1"/>
    <n v="113"/>
    <n v="68"/>
    <n v="0.24"/>
    <s v="Web"/>
    <n v="0"/>
    <n v="1"/>
    <n v="0"/>
    <n v="14.99"/>
    <n v="0"/>
  </r>
  <r>
    <n v="1910"/>
    <s v="Other"/>
    <n v="20"/>
    <x v="1"/>
    <x v="3"/>
    <n v="262"/>
    <n v="86"/>
    <n v="0.34"/>
    <s v="Web"/>
    <n v="0"/>
    <n v="1"/>
    <n v="1"/>
    <n v="4.99"/>
    <n v="4.99"/>
  </r>
  <r>
    <n v="1911"/>
    <s v="Female"/>
    <n v="22"/>
    <x v="5"/>
    <x v="0"/>
    <n v="251"/>
    <n v="18"/>
    <n v="0.36"/>
    <s v="Desktop"/>
    <n v="15"/>
    <n v="0"/>
    <n v="0"/>
    <n v="0"/>
    <n v="0"/>
  </r>
  <r>
    <n v="1912"/>
    <s v="Other"/>
    <n v="43"/>
    <x v="1"/>
    <x v="3"/>
    <n v="71"/>
    <n v="84"/>
    <n v="0.47"/>
    <s v="Desktop"/>
    <n v="0"/>
    <n v="1"/>
    <n v="1"/>
    <n v="4.99"/>
    <n v="4.99"/>
  </r>
  <r>
    <n v="1913"/>
    <s v="Other"/>
    <n v="27"/>
    <x v="0"/>
    <x v="2"/>
    <n v="133"/>
    <n v="20"/>
    <n v="0.05"/>
    <s v="Web"/>
    <n v="0"/>
    <n v="1"/>
    <n v="0"/>
    <n v="9.99"/>
    <n v="0"/>
  </r>
  <r>
    <n v="1914"/>
    <s v="Male"/>
    <n v="38"/>
    <x v="2"/>
    <x v="1"/>
    <n v="164"/>
    <n v="41"/>
    <n v="0.42"/>
    <s v="Mobile"/>
    <n v="0"/>
    <n v="1"/>
    <n v="1"/>
    <n v="14.99"/>
    <n v="14.99"/>
  </r>
  <r>
    <n v="1915"/>
    <s v="Female"/>
    <n v="31"/>
    <x v="5"/>
    <x v="0"/>
    <n v="13"/>
    <n v="8"/>
    <n v="0.33"/>
    <s v="Mobile"/>
    <n v="26"/>
    <n v="0"/>
    <n v="0"/>
    <n v="0"/>
    <n v="0"/>
  </r>
  <r>
    <n v="1916"/>
    <s v="Other"/>
    <n v="29"/>
    <x v="7"/>
    <x v="0"/>
    <n v="227"/>
    <n v="31"/>
    <n v="0.57999999999999996"/>
    <s v="Mobile"/>
    <n v="6"/>
    <n v="0"/>
    <n v="0"/>
    <n v="0"/>
    <n v="0"/>
  </r>
  <r>
    <n v="1917"/>
    <s v="Other"/>
    <n v="59"/>
    <x v="1"/>
    <x v="0"/>
    <n v="286"/>
    <n v="55"/>
    <n v="0"/>
    <s v="Mobile"/>
    <n v="29"/>
    <n v="0"/>
    <n v="0"/>
    <n v="0"/>
    <n v="0"/>
  </r>
  <r>
    <n v="1918"/>
    <s v="Other"/>
    <n v="34"/>
    <x v="7"/>
    <x v="3"/>
    <n v="267"/>
    <n v="70"/>
    <n v="0.39"/>
    <s v="Desktop"/>
    <n v="0"/>
    <n v="1"/>
    <n v="0"/>
    <n v="4.99"/>
    <n v="0"/>
  </r>
  <r>
    <n v="1919"/>
    <s v="Male"/>
    <n v="24"/>
    <x v="7"/>
    <x v="1"/>
    <n v="276"/>
    <n v="46"/>
    <n v="0.16"/>
    <s v="Desktop"/>
    <n v="0"/>
    <n v="1"/>
    <n v="0"/>
    <n v="14.99"/>
    <n v="0"/>
  </r>
  <r>
    <n v="1920"/>
    <s v="Other"/>
    <n v="37"/>
    <x v="5"/>
    <x v="2"/>
    <n v="46"/>
    <n v="80"/>
    <n v="0.52"/>
    <s v="Mobile"/>
    <n v="0"/>
    <n v="1"/>
    <n v="0"/>
    <n v="9.99"/>
    <n v="0"/>
  </r>
  <r>
    <n v="1921"/>
    <s v="Male"/>
    <n v="30"/>
    <x v="4"/>
    <x v="3"/>
    <n v="79"/>
    <n v="1"/>
    <n v="0.16"/>
    <s v="Web"/>
    <n v="0"/>
    <n v="1"/>
    <n v="0"/>
    <n v="4.99"/>
    <n v="0"/>
  </r>
  <r>
    <n v="1922"/>
    <s v="Other"/>
    <n v="27"/>
    <x v="3"/>
    <x v="0"/>
    <n v="93"/>
    <n v="68"/>
    <n v="0.39"/>
    <s v="Desktop"/>
    <n v="36"/>
    <n v="0"/>
    <n v="0"/>
    <n v="0"/>
    <n v="0"/>
  </r>
  <r>
    <n v="1923"/>
    <s v="Female"/>
    <n v="40"/>
    <x v="4"/>
    <x v="2"/>
    <n v="27"/>
    <n v="48"/>
    <n v="0.41"/>
    <s v="Mobile"/>
    <n v="0"/>
    <n v="1"/>
    <n v="1"/>
    <n v="9.99"/>
    <n v="9.99"/>
  </r>
  <r>
    <n v="1924"/>
    <s v="Male"/>
    <n v="50"/>
    <x v="4"/>
    <x v="0"/>
    <n v="133"/>
    <n v="12"/>
    <n v="0.27"/>
    <s v="Web"/>
    <n v="15"/>
    <n v="0"/>
    <n v="0"/>
    <n v="0"/>
    <n v="0"/>
  </r>
  <r>
    <n v="1925"/>
    <s v="Male"/>
    <n v="41"/>
    <x v="3"/>
    <x v="1"/>
    <n v="210"/>
    <n v="86"/>
    <n v="0.03"/>
    <s v="Mobile"/>
    <n v="0"/>
    <n v="1"/>
    <n v="0"/>
    <n v="14.99"/>
    <n v="0"/>
  </r>
  <r>
    <n v="1926"/>
    <s v="Male"/>
    <n v="31"/>
    <x v="2"/>
    <x v="2"/>
    <n v="229"/>
    <n v="15"/>
    <n v="0.3"/>
    <s v="Desktop"/>
    <n v="0"/>
    <n v="1"/>
    <n v="0"/>
    <n v="9.99"/>
    <n v="0"/>
  </r>
  <r>
    <n v="1927"/>
    <s v="Other"/>
    <n v="29"/>
    <x v="1"/>
    <x v="0"/>
    <n v="175"/>
    <n v="13"/>
    <n v="0.42"/>
    <s v="Mobile"/>
    <n v="9"/>
    <n v="0"/>
    <n v="1"/>
    <n v="0"/>
    <n v="0"/>
  </r>
  <r>
    <n v="1928"/>
    <s v="Male"/>
    <n v="31"/>
    <x v="0"/>
    <x v="3"/>
    <n v="285"/>
    <n v="5"/>
    <n v="0.04"/>
    <s v="Web"/>
    <n v="0"/>
    <n v="1"/>
    <n v="0"/>
    <n v="4.99"/>
    <n v="0"/>
  </r>
  <r>
    <n v="1929"/>
    <s v="Other"/>
    <n v="19"/>
    <x v="4"/>
    <x v="2"/>
    <n v="13"/>
    <n v="70"/>
    <n v="0.59"/>
    <s v="Mobile"/>
    <n v="0"/>
    <n v="1"/>
    <n v="0"/>
    <n v="9.99"/>
    <n v="0"/>
  </r>
  <r>
    <n v="1930"/>
    <s v="Other"/>
    <n v="33"/>
    <x v="6"/>
    <x v="1"/>
    <n v="49"/>
    <n v="89"/>
    <n v="0.27"/>
    <s v="Desktop"/>
    <n v="0"/>
    <n v="1"/>
    <n v="0"/>
    <n v="14.99"/>
    <n v="0"/>
  </r>
  <r>
    <n v="1931"/>
    <s v="Female"/>
    <n v="30"/>
    <x v="0"/>
    <x v="1"/>
    <n v="193"/>
    <n v="57"/>
    <n v="0.39"/>
    <s v="Mobile"/>
    <n v="0"/>
    <n v="1"/>
    <n v="0"/>
    <n v="14.99"/>
    <n v="0"/>
  </r>
  <r>
    <n v="1932"/>
    <s v="Other"/>
    <n v="34"/>
    <x v="7"/>
    <x v="0"/>
    <n v="248"/>
    <n v="15"/>
    <n v="0.01"/>
    <s v="Desktop"/>
    <n v="19"/>
    <n v="0"/>
    <n v="0"/>
    <n v="0"/>
    <n v="0"/>
  </r>
  <r>
    <n v="1933"/>
    <s v="Female"/>
    <n v="18"/>
    <x v="3"/>
    <x v="0"/>
    <n v="151"/>
    <n v="33"/>
    <n v="0.45"/>
    <s v="Web"/>
    <n v="14"/>
    <n v="0"/>
    <n v="1"/>
    <n v="0"/>
    <n v="0"/>
  </r>
  <r>
    <n v="1934"/>
    <s v="Male"/>
    <n v="26"/>
    <x v="7"/>
    <x v="0"/>
    <n v="151"/>
    <n v="33"/>
    <n v="0.09"/>
    <s v="Web"/>
    <n v="41"/>
    <n v="0"/>
    <n v="0"/>
    <n v="0"/>
    <n v="0"/>
  </r>
  <r>
    <n v="1935"/>
    <s v="Male"/>
    <n v="26"/>
    <x v="6"/>
    <x v="3"/>
    <n v="29"/>
    <n v="32"/>
    <n v="0.26"/>
    <s v="Mobile"/>
    <n v="0"/>
    <n v="1"/>
    <n v="0"/>
    <n v="4.99"/>
    <n v="0"/>
  </r>
  <r>
    <n v="1936"/>
    <s v="Male"/>
    <n v="51"/>
    <x v="3"/>
    <x v="1"/>
    <n v="126"/>
    <n v="63"/>
    <n v="0.39"/>
    <s v="Desktop"/>
    <n v="0"/>
    <n v="1"/>
    <n v="0"/>
    <n v="14.99"/>
    <n v="0"/>
  </r>
  <r>
    <n v="1937"/>
    <s v="Other"/>
    <n v="24"/>
    <x v="1"/>
    <x v="1"/>
    <n v="93"/>
    <n v="59"/>
    <n v="0.03"/>
    <s v="Web"/>
    <n v="0"/>
    <n v="1"/>
    <n v="0"/>
    <n v="14.99"/>
    <n v="0"/>
  </r>
  <r>
    <n v="1938"/>
    <s v="Female"/>
    <n v="54"/>
    <x v="6"/>
    <x v="0"/>
    <n v="101"/>
    <n v="91"/>
    <n v="0.17"/>
    <s v="Mobile"/>
    <n v="11"/>
    <n v="0"/>
    <n v="0"/>
    <n v="0"/>
    <n v="0"/>
  </r>
  <r>
    <n v="1939"/>
    <s v="Other"/>
    <n v="50"/>
    <x v="2"/>
    <x v="1"/>
    <n v="26"/>
    <n v="34"/>
    <n v="0.17"/>
    <s v="Desktop"/>
    <n v="0"/>
    <n v="1"/>
    <n v="1"/>
    <n v="14.99"/>
    <n v="14.99"/>
  </r>
  <r>
    <n v="1940"/>
    <s v="Male"/>
    <n v="59"/>
    <x v="0"/>
    <x v="0"/>
    <n v="97"/>
    <n v="2"/>
    <n v="0.56000000000000005"/>
    <s v="Desktop"/>
    <n v="9"/>
    <n v="0"/>
    <n v="0"/>
    <n v="0"/>
    <n v="0"/>
  </r>
  <r>
    <n v="1941"/>
    <s v="Female"/>
    <n v="26"/>
    <x v="3"/>
    <x v="0"/>
    <n v="252"/>
    <n v="81"/>
    <n v="0.39"/>
    <s v="Web"/>
    <n v="6"/>
    <n v="0"/>
    <n v="1"/>
    <n v="0"/>
    <n v="0"/>
  </r>
  <r>
    <n v="1942"/>
    <s v="Female"/>
    <n v="55"/>
    <x v="7"/>
    <x v="3"/>
    <n v="271"/>
    <n v="21"/>
    <n v="0.03"/>
    <s v="Web"/>
    <n v="0"/>
    <n v="1"/>
    <n v="0"/>
    <n v="4.99"/>
    <n v="0"/>
  </r>
  <r>
    <n v="1943"/>
    <s v="Other"/>
    <n v="36"/>
    <x v="0"/>
    <x v="1"/>
    <n v="140"/>
    <n v="35"/>
    <n v="0.37"/>
    <s v="Web"/>
    <n v="0"/>
    <n v="1"/>
    <n v="1"/>
    <n v="14.99"/>
    <n v="14.99"/>
  </r>
  <r>
    <n v="1944"/>
    <s v="Other"/>
    <n v="35"/>
    <x v="4"/>
    <x v="1"/>
    <n v="235"/>
    <n v="99"/>
    <n v="0.45"/>
    <s v="Desktop"/>
    <n v="0"/>
    <n v="1"/>
    <n v="1"/>
    <n v="14.99"/>
    <n v="14.99"/>
  </r>
  <r>
    <n v="1945"/>
    <s v="Other"/>
    <n v="19"/>
    <x v="3"/>
    <x v="1"/>
    <n v="34"/>
    <n v="78"/>
    <n v="0.36"/>
    <s v="Mobile"/>
    <n v="0"/>
    <n v="1"/>
    <n v="0"/>
    <n v="14.99"/>
    <n v="0"/>
  </r>
  <r>
    <n v="1946"/>
    <s v="Male"/>
    <n v="27"/>
    <x v="1"/>
    <x v="2"/>
    <n v="75"/>
    <n v="13"/>
    <n v="0.46"/>
    <s v="Desktop"/>
    <n v="0"/>
    <n v="1"/>
    <n v="1"/>
    <n v="9.99"/>
    <n v="9.99"/>
  </r>
  <r>
    <n v="1947"/>
    <s v="Male"/>
    <n v="47"/>
    <x v="0"/>
    <x v="3"/>
    <n v="156"/>
    <n v="38"/>
    <n v="0.37"/>
    <s v="Mobile"/>
    <n v="0"/>
    <n v="1"/>
    <n v="0"/>
    <n v="4.99"/>
    <n v="0"/>
  </r>
  <r>
    <n v="1948"/>
    <s v="Female"/>
    <n v="47"/>
    <x v="0"/>
    <x v="2"/>
    <n v="107"/>
    <n v="3"/>
    <n v="0.15"/>
    <s v="Desktop"/>
    <n v="0"/>
    <n v="1"/>
    <n v="0"/>
    <n v="9.99"/>
    <n v="0"/>
  </r>
  <r>
    <n v="1949"/>
    <s v="Other"/>
    <n v="40"/>
    <x v="4"/>
    <x v="3"/>
    <n v="18"/>
    <n v="84"/>
    <n v="0.26"/>
    <s v="Desktop"/>
    <n v="0"/>
    <n v="1"/>
    <n v="0"/>
    <n v="4.99"/>
    <n v="0"/>
  </r>
  <r>
    <n v="1950"/>
    <s v="Male"/>
    <n v="25"/>
    <x v="3"/>
    <x v="3"/>
    <n v="213"/>
    <n v="76"/>
    <n v="0.42"/>
    <s v="Mobile"/>
    <n v="0"/>
    <n v="1"/>
    <n v="0"/>
    <n v="4.99"/>
    <n v="0"/>
  </r>
  <r>
    <n v="1951"/>
    <s v="Female"/>
    <n v="29"/>
    <x v="0"/>
    <x v="0"/>
    <n v="223"/>
    <n v="89"/>
    <n v="0.24"/>
    <s v="Desktop"/>
    <n v="16"/>
    <n v="0"/>
    <n v="0"/>
    <n v="0"/>
    <n v="0"/>
  </r>
  <r>
    <n v="1952"/>
    <s v="Female"/>
    <n v="21"/>
    <x v="5"/>
    <x v="0"/>
    <n v="286"/>
    <n v="35"/>
    <n v="0.55000000000000004"/>
    <s v="Desktop"/>
    <n v="13"/>
    <n v="0"/>
    <n v="0"/>
    <n v="0"/>
    <n v="0"/>
  </r>
  <r>
    <n v="1953"/>
    <s v="Male"/>
    <n v="38"/>
    <x v="1"/>
    <x v="1"/>
    <n v="31"/>
    <n v="48"/>
    <n v="0.23"/>
    <s v="Web"/>
    <n v="0"/>
    <n v="1"/>
    <n v="0"/>
    <n v="14.99"/>
    <n v="0"/>
  </r>
  <r>
    <n v="1954"/>
    <s v="Female"/>
    <n v="46"/>
    <x v="0"/>
    <x v="2"/>
    <n v="151"/>
    <n v="71"/>
    <n v="0.36"/>
    <s v="Mobile"/>
    <n v="0"/>
    <n v="1"/>
    <n v="0"/>
    <n v="9.99"/>
    <n v="0"/>
  </r>
  <r>
    <n v="1955"/>
    <s v="Male"/>
    <n v="47"/>
    <x v="4"/>
    <x v="0"/>
    <n v="243"/>
    <n v="87"/>
    <n v="0.27"/>
    <s v="Desktop"/>
    <n v="37"/>
    <n v="0"/>
    <n v="0"/>
    <n v="0"/>
    <n v="0"/>
  </r>
  <r>
    <n v="1956"/>
    <s v="Other"/>
    <n v="51"/>
    <x v="0"/>
    <x v="2"/>
    <n v="14"/>
    <n v="5"/>
    <n v="0.47"/>
    <s v="Mobile"/>
    <n v="0"/>
    <n v="1"/>
    <n v="0"/>
    <n v="9.99"/>
    <n v="0"/>
  </r>
  <r>
    <n v="1957"/>
    <s v="Female"/>
    <n v="52"/>
    <x v="2"/>
    <x v="3"/>
    <n v="225"/>
    <n v="46"/>
    <n v="0.15"/>
    <s v="Desktop"/>
    <n v="0"/>
    <n v="1"/>
    <n v="0"/>
    <n v="4.99"/>
    <n v="0"/>
  </r>
  <r>
    <n v="1958"/>
    <s v="Other"/>
    <n v="59"/>
    <x v="6"/>
    <x v="2"/>
    <n v="30"/>
    <n v="42"/>
    <n v="0.19"/>
    <s v="Desktop"/>
    <n v="0"/>
    <n v="1"/>
    <n v="0"/>
    <n v="9.99"/>
    <n v="0"/>
  </r>
  <r>
    <n v="1959"/>
    <s v="Female"/>
    <n v="43"/>
    <x v="3"/>
    <x v="0"/>
    <n v="294"/>
    <n v="20"/>
    <n v="0.46"/>
    <s v="Desktop"/>
    <n v="46"/>
    <n v="0"/>
    <n v="0"/>
    <n v="0"/>
    <n v="0"/>
  </r>
  <r>
    <n v="1960"/>
    <s v="Female"/>
    <n v="24"/>
    <x v="4"/>
    <x v="3"/>
    <n v="192"/>
    <n v="98"/>
    <n v="0.44"/>
    <s v="Desktop"/>
    <n v="0"/>
    <n v="1"/>
    <n v="0"/>
    <n v="4.99"/>
    <n v="0"/>
  </r>
  <r>
    <n v="1961"/>
    <s v="Female"/>
    <n v="30"/>
    <x v="4"/>
    <x v="0"/>
    <n v="217"/>
    <n v="12"/>
    <n v="7.0000000000000007E-2"/>
    <s v="Mobile"/>
    <n v="36"/>
    <n v="0"/>
    <n v="0"/>
    <n v="0"/>
    <n v="0"/>
  </r>
  <r>
    <n v="1962"/>
    <s v="Male"/>
    <n v="45"/>
    <x v="0"/>
    <x v="0"/>
    <n v="241"/>
    <n v="12"/>
    <n v="0.14000000000000001"/>
    <s v="Web"/>
    <n v="5"/>
    <n v="0"/>
    <n v="0"/>
    <n v="0"/>
    <n v="0"/>
  </r>
  <r>
    <n v="1963"/>
    <s v="Female"/>
    <n v="46"/>
    <x v="2"/>
    <x v="1"/>
    <n v="178"/>
    <n v="24"/>
    <n v="0.28999999999999998"/>
    <s v="Web"/>
    <n v="0"/>
    <n v="1"/>
    <n v="0"/>
    <n v="14.99"/>
    <n v="0"/>
  </r>
  <r>
    <n v="1964"/>
    <s v="Other"/>
    <n v="36"/>
    <x v="1"/>
    <x v="2"/>
    <n v="211"/>
    <n v="36"/>
    <n v="0.19"/>
    <s v="Desktop"/>
    <n v="0"/>
    <n v="1"/>
    <n v="1"/>
    <n v="9.99"/>
    <n v="9.99"/>
  </r>
  <r>
    <n v="1965"/>
    <s v="Other"/>
    <n v="50"/>
    <x v="5"/>
    <x v="2"/>
    <n v="260"/>
    <n v="7"/>
    <n v="0.09"/>
    <s v="Web"/>
    <n v="0"/>
    <n v="1"/>
    <n v="0"/>
    <n v="9.99"/>
    <n v="0"/>
  </r>
  <r>
    <n v="1966"/>
    <s v="Other"/>
    <n v="37"/>
    <x v="0"/>
    <x v="0"/>
    <n v="189"/>
    <n v="77"/>
    <n v="0.05"/>
    <s v="Desktop"/>
    <n v="39"/>
    <n v="0"/>
    <n v="0"/>
    <n v="0"/>
    <n v="0"/>
  </r>
  <r>
    <n v="1967"/>
    <s v="Female"/>
    <n v="50"/>
    <x v="2"/>
    <x v="0"/>
    <n v="236"/>
    <n v="43"/>
    <n v="0.3"/>
    <s v="Web"/>
    <n v="31"/>
    <n v="0"/>
    <n v="0"/>
    <n v="0"/>
    <n v="0"/>
  </r>
  <r>
    <n v="1968"/>
    <s v="Male"/>
    <n v="26"/>
    <x v="6"/>
    <x v="0"/>
    <n v="181"/>
    <n v="52"/>
    <n v="0.48"/>
    <s v="Mobile"/>
    <n v="36"/>
    <n v="0"/>
    <n v="0"/>
    <n v="0"/>
    <n v="0"/>
  </r>
  <r>
    <n v="1969"/>
    <s v="Male"/>
    <n v="24"/>
    <x v="3"/>
    <x v="3"/>
    <n v="118"/>
    <n v="18"/>
    <n v="0.5"/>
    <s v="Web"/>
    <n v="0"/>
    <n v="1"/>
    <n v="0"/>
    <n v="4.99"/>
    <n v="0"/>
  </r>
  <r>
    <n v="1970"/>
    <s v="Other"/>
    <n v="46"/>
    <x v="2"/>
    <x v="2"/>
    <n v="124"/>
    <n v="64"/>
    <n v="0.11"/>
    <s v="Desktop"/>
    <n v="0"/>
    <n v="1"/>
    <n v="0"/>
    <n v="9.99"/>
    <n v="0"/>
  </r>
  <r>
    <n v="1971"/>
    <s v="Female"/>
    <n v="52"/>
    <x v="7"/>
    <x v="3"/>
    <n v="175"/>
    <n v="28"/>
    <n v="0.16"/>
    <s v="Web"/>
    <n v="0"/>
    <n v="1"/>
    <n v="1"/>
    <n v="4.99"/>
    <n v="4.99"/>
  </r>
  <r>
    <n v="1972"/>
    <s v="Female"/>
    <n v="53"/>
    <x v="4"/>
    <x v="2"/>
    <n v="138"/>
    <n v="66"/>
    <n v="0.03"/>
    <s v="Web"/>
    <n v="0"/>
    <n v="1"/>
    <n v="0"/>
    <n v="9.99"/>
    <n v="0"/>
  </r>
  <r>
    <n v="1973"/>
    <s v="Other"/>
    <n v="56"/>
    <x v="6"/>
    <x v="0"/>
    <n v="258"/>
    <n v="53"/>
    <n v="0.48"/>
    <s v="Desktop"/>
    <n v="24"/>
    <n v="0"/>
    <n v="1"/>
    <n v="0"/>
    <n v="0"/>
  </r>
  <r>
    <n v="1974"/>
    <s v="Male"/>
    <n v="39"/>
    <x v="1"/>
    <x v="1"/>
    <n v="130"/>
    <n v="36"/>
    <n v="0.57999999999999996"/>
    <s v="Desktop"/>
    <n v="0"/>
    <n v="1"/>
    <n v="0"/>
    <n v="14.99"/>
    <n v="0"/>
  </r>
  <r>
    <n v="1975"/>
    <s v="Other"/>
    <n v="30"/>
    <x v="5"/>
    <x v="1"/>
    <n v="179"/>
    <n v="48"/>
    <n v="0.18"/>
    <s v="Mobile"/>
    <n v="0"/>
    <n v="1"/>
    <n v="0"/>
    <n v="14.99"/>
    <n v="0"/>
  </r>
  <r>
    <n v="1976"/>
    <s v="Other"/>
    <n v="23"/>
    <x v="2"/>
    <x v="3"/>
    <n v="161"/>
    <n v="9"/>
    <n v="0.43"/>
    <s v="Desktop"/>
    <n v="0"/>
    <n v="1"/>
    <n v="0"/>
    <n v="4.99"/>
    <n v="0"/>
  </r>
  <r>
    <n v="1977"/>
    <s v="Female"/>
    <n v="39"/>
    <x v="0"/>
    <x v="0"/>
    <n v="51"/>
    <n v="11"/>
    <n v="0.56000000000000005"/>
    <s v="Mobile"/>
    <n v="23"/>
    <n v="0"/>
    <n v="1"/>
    <n v="0"/>
    <n v="0"/>
  </r>
  <r>
    <n v="1978"/>
    <s v="Female"/>
    <n v="55"/>
    <x v="6"/>
    <x v="2"/>
    <n v="248"/>
    <n v="74"/>
    <n v="0.52"/>
    <s v="Web"/>
    <n v="0"/>
    <n v="1"/>
    <n v="0"/>
    <n v="9.99"/>
    <n v="0"/>
  </r>
  <r>
    <n v="1979"/>
    <s v="Male"/>
    <n v="28"/>
    <x v="6"/>
    <x v="2"/>
    <n v="213"/>
    <n v="89"/>
    <n v="0.28000000000000003"/>
    <s v="Web"/>
    <n v="0"/>
    <n v="1"/>
    <n v="0"/>
    <n v="9.99"/>
    <n v="0"/>
  </r>
  <r>
    <n v="1980"/>
    <s v="Male"/>
    <n v="31"/>
    <x v="0"/>
    <x v="1"/>
    <n v="169"/>
    <n v="64"/>
    <n v="0.31"/>
    <s v="Web"/>
    <n v="0"/>
    <n v="1"/>
    <n v="1"/>
    <n v="14.99"/>
    <n v="14.99"/>
  </r>
  <r>
    <n v="1981"/>
    <s v="Male"/>
    <n v="46"/>
    <x v="4"/>
    <x v="1"/>
    <n v="168"/>
    <n v="5"/>
    <n v="0.49"/>
    <s v="Mobile"/>
    <n v="0"/>
    <n v="1"/>
    <n v="1"/>
    <n v="14.99"/>
    <n v="14.99"/>
  </r>
  <r>
    <n v="1982"/>
    <s v="Other"/>
    <n v="20"/>
    <x v="6"/>
    <x v="1"/>
    <n v="133"/>
    <n v="5"/>
    <n v="0.12"/>
    <s v="Web"/>
    <n v="0"/>
    <n v="1"/>
    <n v="0"/>
    <n v="14.99"/>
    <n v="0"/>
  </r>
  <r>
    <n v="1983"/>
    <s v="Female"/>
    <n v="50"/>
    <x v="3"/>
    <x v="2"/>
    <n v="203"/>
    <n v="71"/>
    <n v="0.34"/>
    <s v="Web"/>
    <n v="0"/>
    <n v="1"/>
    <n v="1"/>
    <n v="9.99"/>
    <n v="9.99"/>
  </r>
  <r>
    <n v="1984"/>
    <s v="Male"/>
    <n v="55"/>
    <x v="6"/>
    <x v="2"/>
    <n v="176"/>
    <n v="91"/>
    <n v="0.2"/>
    <s v="Desktop"/>
    <n v="0"/>
    <n v="1"/>
    <n v="0"/>
    <n v="9.99"/>
    <n v="0"/>
  </r>
  <r>
    <n v="1985"/>
    <s v="Male"/>
    <n v="40"/>
    <x v="4"/>
    <x v="2"/>
    <n v="136"/>
    <n v="72"/>
    <n v="0.52"/>
    <s v="Desktop"/>
    <n v="0"/>
    <n v="1"/>
    <n v="0"/>
    <n v="9.99"/>
    <n v="0"/>
  </r>
  <r>
    <n v="1986"/>
    <s v="Other"/>
    <n v="54"/>
    <x v="1"/>
    <x v="2"/>
    <n v="198"/>
    <n v="68"/>
    <n v="0.28999999999999998"/>
    <s v="Web"/>
    <n v="0"/>
    <n v="1"/>
    <n v="0"/>
    <n v="9.99"/>
    <n v="0"/>
  </r>
  <r>
    <n v="1987"/>
    <s v="Male"/>
    <n v="19"/>
    <x v="1"/>
    <x v="1"/>
    <n v="125"/>
    <n v="42"/>
    <n v="0.5"/>
    <s v="Mobile"/>
    <n v="0"/>
    <n v="1"/>
    <n v="0"/>
    <n v="14.99"/>
    <n v="0"/>
  </r>
  <r>
    <n v="1988"/>
    <s v="Female"/>
    <n v="40"/>
    <x v="2"/>
    <x v="1"/>
    <n v="62"/>
    <n v="48"/>
    <n v="0.02"/>
    <s v="Mobile"/>
    <n v="0"/>
    <n v="1"/>
    <n v="0"/>
    <n v="14.99"/>
    <n v="0"/>
  </r>
  <r>
    <n v="1989"/>
    <s v="Female"/>
    <n v="41"/>
    <x v="7"/>
    <x v="1"/>
    <n v="284"/>
    <n v="52"/>
    <n v="0.1"/>
    <s v="Web"/>
    <n v="0"/>
    <n v="1"/>
    <n v="0"/>
    <n v="14.99"/>
    <n v="0"/>
  </r>
  <r>
    <n v="1990"/>
    <s v="Other"/>
    <n v="22"/>
    <x v="3"/>
    <x v="1"/>
    <n v="72"/>
    <n v="7"/>
    <n v="0.5"/>
    <s v="Mobile"/>
    <n v="0"/>
    <n v="1"/>
    <n v="0"/>
    <n v="14.99"/>
    <n v="0"/>
  </r>
  <r>
    <n v="1991"/>
    <s v="Female"/>
    <n v="19"/>
    <x v="2"/>
    <x v="3"/>
    <n v="163"/>
    <n v="36"/>
    <n v="0.1"/>
    <s v="Web"/>
    <n v="0"/>
    <n v="1"/>
    <n v="1"/>
    <n v="4.99"/>
    <n v="4.99"/>
  </r>
  <r>
    <n v="1992"/>
    <s v="Male"/>
    <n v="20"/>
    <x v="0"/>
    <x v="0"/>
    <n v="107"/>
    <n v="12"/>
    <n v="0.44"/>
    <s v="Web"/>
    <n v="30"/>
    <n v="0"/>
    <n v="0"/>
    <n v="0"/>
    <n v="0"/>
  </r>
  <r>
    <n v="1993"/>
    <s v="Other"/>
    <n v="50"/>
    <x v="2"/>
    <x v="1"/>
    <n v="90"/>
    <n v="50"/>
    <n v="0.15"/>
    <s v="Mobile"/>
    <n v="0"/>
    <n v="1"/>
    <n v="1"/>
    <n v="14.99"/>
    <n v="14.99"/>
  </r>
  <r>
    <n v="1994"/>
    <s v="Other"/>
    <n v="36"/>
    <x v="6"/>
    <x v="3"/>
    <n v="160"/>
    <n v="67"/>
    <n v="0.46"/>
    <s v="Desktop"/>
    <n v="0"/>
    <n v="1"/>
    <n v="0"/>
    <n v="4.99"/>
    <n v="0"/>
  </r>
  <r>
    <n v="1995"/>
    <s v="Other"/>
    <n v="34"/>
    <x v="1"/>
    <x v="1"/>
    <n v="112"/>
    <n v="34"/>
    <n v="0.25"/>
    <s v="Desktop"/>
    <n v="0"/>
    <n v="1"/>
    <n v="0"/>
    <n v="14.99"/>
    <n v="0"/>
  </r>
  <r>
    <n v="1996"/>
    <s v="Male"/>
    <n v="56"/>
    <x v="1"/>
    <x v="1"/>
    <n v="123"/>
    <n v="96"/>
    <n v="0.42"/>
    <s v="Web"/>
    <n v="0"/>
    <n v="1"/>
    <n v="1"/>
    <n v="14.99"/>
    <n v="14.99"/>
  </r>
  <r>
    <n v="1997"/>
    <s v="Male"/>
    <n v="51"/>
    <x v="3"/>
    <x v="3"/>
    <n v="42"/>
    <n v="21"/>
    <n v="0.03"/>
    <s v="Mobile"/>
    <n v="0"/>
    <n v="1"/>
    <n v="0"/>
    <n v="4.99"/>
    <n v="0"/>
  </r>
  <r>
    <n v="1998"/>
    <s v="Male"/>
    <n v="36"/>
    <x v="1"/>
    <x v="3"/>
    <n v="30"/>
    <n v="18"/>
    <n v="0.05"/>
    <s v="Desktop"/>
    <n v="0"/>
    <n v="1"/>
    <n v="0"/>
    <n v="4.99"/>
    <n v="0"/>
  </r>
  <r>
    <n v="1999"/>
    <s v="Male"/>
    <n v="50"/>
    <x v="4"/>
    <x v="2"/>
    <n v="151"/>
    <n v="8"/>
    <n v="0.27"/>
    <s v="Mobile"/>
    <n v="0"/>
    <n v="1"/>
    <n v="0"/>
    <n v="9.99"/>
    <n v="0"/>
  </r>
  <r>
    <n v="2000"/>
    <s v="Female"/>
    <n v="28"/>
    <x v="0"/>
    <x v="0"/>
    <n v="133"/>
    <n v="23"/>
    <n v="0.42"/>
    <s v="Desktop"/>
    <n v="21"/>
    <n v="0"/>
    <n v="0"/>
    <n v="0"/>
    <n v="0"/>
  </r>
  <r>
    <n v="2001"/>
    <s v="Other"/>
    <n v="34"/>
    <x v="6"/>
    <x v="1"/>
    <n v="297"/>
    <n v="36"/>
    <n v="0.39"/>
    <s v="Mobile"/>
    <n v="0"/>
    <n v="1"/>
    <n v="0"/>
    <n v="14.99"/>
    <n v="0"/>
  </r>
  <r>
    <n v="2002"/>
    <s v="Other"/>
    <n v="17"/>
    <x v="6"/>
    <x v="2"/>
    <n v="229"/>
    <n v="59"/>
    <n v="0.52"/>
    <s v="Mobile"/>
    <n v="0"/>
    <n v="1"/>
    <n v="0"/>
    <n v="9.99"/>
    <n v="0"/>
  </r>
  <r>
    <n v="2003"/>
    <s v="Female"/>
    <n v="49"/>
    <x v="7"/>
    <x v="1"/>
    <n v="123"/>
    <n v="99"/>
    <n v="0.03"/>
    <s v="Desktop"/>
    <n v="0"/>
    <n v="1"/>
    <n v="0"/>
    <n v="14.99"/>
    <n v="0"/>
  </r>
  <r>
    <n v="2004"/>
    <s v="Male"/>
    <n v="44"/>
    <x v="1"/>
    <x v="3"/>
    <n v="85"/>
    <n v="25"/>
    <n v="0.38"/>
    <s v="Web"/>
    <n v="0"/>
    <n v="1"/>
    <n v="0"/>
    <n v="4.99"/>
    <n v="0"/>
  </r>
  <r>
    <n v="2005"/>
    <s v="Other"/>
    <n v="34"/>
    <x v="6"/>
    <x v="3"/>
    <n v="258"/>
    <n v="18"/>
    <n v="0.04"/>
    <s v="Desktop"/>
    <n v="0"/>
    <n v="1"/>
    <n v="0"/>
    <n v="4.99"/>
    <n v="0"/>
  </r>
  <r>
    <n v="2006"/>
    <s v="Other"/>
    <n v="40"/>
    <x v="7"/>
    <x v="3"/>
    <n v="92"/>
    <n v="24"/>
    <n v="0.04"/>
    <s v="Mobile"/>
    <n v="0"/>
    <n v="1"/>
    <n v="0"/>
    <n v="4.99"/>
    <n v="0"/>
  </r>
  <r>
    <n v="2007"/>
    <s v="Other"/>
    <n v="51"/>
    <x v="3"/>
    <x v="3"/>
    <n v="236"/>
    <n v="49"/>
    <n v="0.6"/>
    <s v="Mobile"/>
    <n v="0"/>
    <n v="1"/>
    <n v="1"/>
    <n v="4.99"/>
    <n v="4.99"/>
  </r>
  <r>
    <n v="2008"/>
    <s v="Male"/>
    <n v="47"/>
    <x v="7"/>
    <x v="2"/>
    <n v="289"/>
    <n v="56"/>
    <n v="0.34"/>
    <s v="Desktop"/>
    <n v="0"/>
    <n v="1"/>
    <n v="0"/>
    <n v="9.99"/>
    <n v="0"/>
  </r>
  <r>
    <n v="2009"/>
    <s v="Male"/>
    <n v="38"/>
    <x v="1"/>
    <x v="3"/>
    <n v="203"/>
    <n v="32"/>
    <n v="0.08"/>
    <s v="Desktop"/>
    <n v="0"/>
    <n v="1"/>
    <n v="0"/>
    <n v="4.99"/>
    <n v="0"/>
  </r>
  <r>
    <n v="2010"/>
    <s v="Female"/>
    <n v="20"/>
    <x v="5"/>
    <x v="0"/>
    <n v="171"/>
    <n v="1"/>
    <n v="0.6"/>
    <s v="Mobile"/>
    <n v="20"/>
    <n v="0"/>
    <n v="1"/>
    <n v="0"/>
    <n v="0"/>
  </r>
  <r>
    <n v="2011"/>
    <s v="Female"/>
    <n v="58"/>
    <x v="7"/>
    <x v="0"/>
    <n v="146"/>
    <n v="92"/>
    <n v="0.2"/>
    <s v="Mobile"/>
    <n v="16"/>
    <n v="0"/>
    <n v="0"/>
    <n v="0"/>
    <n v="0"/>
  </r>
  <r>
    <n v="2012"/>
    <s v="Male"/>
    <n v="30"/>
    <x v="2"/>
    <x v="1"/>
    <n v="131"/>
    <n v="42"/>
    <n v="0.19"/>
    <s v="Web"/>
    <n v="0"/>
    <n v="1"/>
    <n v="0"/>
    <n v="14.99"/>
    <n v="0"/>
  </r>
  <r>
    <n v="2013"/>
    <s v="Other"/>
    <n v="36"/>
    <x v="0"/>
    <x v="1"/>
    <n v="223"/>
    <n v="81"/>
    <n v="0.02"/>
    <s v="Mobile"/>
    <n v="0"/>
    <n v="1"/>
    <n v="0"/>
    <n v="14.99"/>
    <n v="0"/>
  </r>
  <r>
    <n v="2014"/>
    <s v="Male"/>
    <n v="58"/>
    <x v="5"/>
    <x v="3"/>
    <n v="173"/>
    <n v="26"/>
    <n v="0.06"/>
    <s v="Desktop"/>
    <n v="0"/>
    <n v="1"/>
    <n v="1"/>
    <n v="4.99"/>
    <n v="4.99"/>
  </r>
  <r>
    <n v="2015"/>
    <s v="Female"/>
    <n v="26"/>
    <x v="6"/>
    <x v="0"/>
    <n v="183"/>
    <n v="98"/>
    <n v="0.49"/>
    <s v="Web"/>
    <n v="30"/>
    <n v="0"/>
    <n v="0"/>
    <n v="0"/>
    <n v="0"/>
  </r>
  <r>
    <n v="2016"/>
    <s v="Male"/>
    <n v="29"/>
    <x v="7"/>
    <x v="3"/>
    <n v="96"/>
    <n v="93"/>
    <n v="0.11"/>
    <s v="Desktop"/>
    <n v="0"/>
    <n v="1"/>
    <n v="0"/>
    <n v="4.99"/>
    <n v="0"/>
  </r>
  <r>
    <n v="2017"/>
    <s v="Female"/>
    <n v="30"/>
    <x v="3"/>
    <x v="1"/>
    <n v="44"/>
    <n v="38"/>
    <n v="0.22"/>
    <s v="Web"/>
    <n v="0"/>
    <n v="1"/>
    <n v="0"/>
    <n v="14.99"/>
    <n v="0"/>
  </r>
  <r>
    <n v="2018"/>
    <s v="Female"/>
    <n v="21"/>
    <x v="6"/>
    <x v="1"/>
    <n v="194"/>
    <n v="46"/>
    <n v="0.15"/>
    <s v="Desktop"/>
    <n v="0"/>
    <n v="1"/>
    <n v="0"/>
    <n v="14.99"/>
    <n v="0"/>
  </r>
  <r>
    <n v="2019"/>
    <s v="Other"/>
    <n v="29"/>
    <x v="3"/>
    <x v="1"/>
    <n v="116"/>
    <n v="45"/>
    <n v="7.0000000000000007E-2"/>
    <s v="Desktop"/>
    <n v="0"/>
    <n v="1"/>
    <n v="1"/>
    <n v="14.99"/>
    <n v="14.99"/>
  </r>
  <r>
    <n v="2020"/>
    <s v="Other"/>
    <n v="34"/>
    <x v="7"/>
    <x v="3"/>
    <n v="42"/>
    <n v="89"/>
    <n v="0.6"/>
    <s v="Web"/>
    <n v="0"/>
    <n v="1"/>
    <n v="0"/>
    <n v="4.99"/>
    <n v="0"/>
  </r>
  <r>
    <n v="2021"/>
    <s v="Female"/>
    <n v="27"/>
    <x v="1"/>
    <x v="1"/>
    <n v="52"/>
    <n v="50"/>
    <n v="0.36"/>
    <s v="Web"/>
    <n v="0"/>
    <n v="1"/>
    <n v="0"/>
    <n v="14.99"/>
    <n v="0"/>
  </r>
  <r>
    <n v="2022"/>
    <s v="Female"/>
    <n v="20"/>
    <x v="1"/>
    <x v="3"/>
    <n v="37"/>
    <n v="93"/>
    <n v="0.08"/>
    <s v="Web"/>
    <n v="0"/>
    <n v="1"/>
    <n v="0"/>
    <n v="4.99"/>
    <n v="0"/>
  </r>
  <r>
    <n v="2023"/>
    <s v="Other"/>
    <n v="29"/>
    <x v="4"/>
    <x v="1"/>
    <n v="118"/>
    <n v="25"/>
    <n v="0.12"/>
    <s v="Desktop"/>
    <n v="0"/>
    <n v="1"/>
    <n v="0"/>
    <n v="14.99"/>
    <n v="0"/>
  </r>
  <r>
    <n v="2024"/>
    <s v="Other"/>
    <n v="23"/>
    <x v="1"/>
    <x v="0"/>
    <n v="223"/>
    <n v="18"/>
    <n v="0.48"/>
    <s v="Desktop"/>
    <n v="9"/>
    <n v="0"/>
    <n v="0"/>
    <n v="0"/>
    <n v="0"/>
  </r>
  <r>
    <n v="2025"/>
    <s v="Male"/>
    <n v="28"/>
    <x v="7"/>
    <x v="2"/>
    <n v="79"/>
    <n v="2"/>
    <n v="0.27"/>
    <s v="Mobile"/>
    <n v="0"/>
    <n v="1"/>
    <n v="0"/>
    <n v="9.99"/>
    <n v="0"/>
  </r>
  <r>
    <n v="2026"/>
    <s v="Male"/>
    <n v="59"/>
    <x v="1"/>
    <x v="2"/>
    <n v="155"/>
    <n v="41"/>
    <n v="0.16"/>
    <s v="Web"/>
    <n v="0"/>
    <n v="1"/>
    <n v="0"/>
    <n v="9.99"/>
    <n v="0"/>
  </r>
  <r>
    <n v="2027"/>
    <s v="Male"/>
    <n v="25"/>
    <x v="7"/>
    <x v="3"/>
    <n v="99"/>
    <n v="51"/>
    <n v="0.14000000000000001"/>
    <s v="Mobile"/>
    <n v="0"/>
    <n v="1"/>
    <n v="1"/>
    <n v="4.99"/>
    <n v="4.99"/>
  </r>
  <r>
    <n v="2028"/>
    <s v="Female"/>
    <n v="45"/>
    <x v="5"/>
    <x v="0"/>
    <n v="43"/>
    <n v="97"/>
    <n v="0.53"/>
    <s v="Desktop"/>
    <n v="28"/>
    <n v="0"/>
    <n v="0"/>
    <n v="0"/>
    <n v="0"/>
  </r>
  <r>
    <n v="2029"/>
    <s v="Male"/>
    <n v="35"/>
    <x v="5"/>
    <x v="3"/>
    <n v="65"/>
    <n v="67"/>
    <n v="0.27"/>
    <s v="Mobile"/>
    <n v="0"/>
    <n v="1"/>
    <n v="0"/>
    <n v="4.99"/>
    <n v="0"/>
  </r>
  <r>
    <n v="2030"/>
    <s v="Other"/>
    <n v="37"/>
    <x v="5"/>
    <x v="2"/>
    <n v="89"/>
    <n v="82"/>
    <n v="0.35"/>
    <s v="Web"/>
    <n v="0"/>
    <n v="1"/>
    <n v="0"/>
    <n v="9.99"/>
    <n v="0"/>
  </r>
  <r>
    <n v="2031"/>
    <s v="Male"/>
    <n v="41"/>
    <x v="7"/>
    <x v="3"/>
    <n v="283"/>
    <n v="6"/>
    <n v="0.31"/>
    <s v="Web"/>
    <n v="0"/>
    <n v="1"/>
    <n v="0"/>
    <n v="4.99"/>
    <n v="0"/>
  </r>
  <r>
    <n v="2032"/>
    <s v="Other"/>
    <n v="56"/>
    <x v="0"/>
    <x v="2"/>
    <n v="33"/>
    <n v="85"/>
    <n v="0.38"/>
    <s v="Desktop"/>
    <n v="0"/>
    <n v="1"/>
    <n v="0"/>
    <n v="9.99"/>
    <n v="0"/>
  </r>
  <r>
    <n v="2033"/>
    <s v="Other"/>
    <n v="41"/>
    <x v="7"/>
    <x v="3"/>
    <n v="117"/>
    <n v="86"/>
    <n v="0.06"/>
    <s v="Web"/>
    <n v="0"/>
    <n v="1"/>
    <n v="1"/>
    <n v="4.99"/>
    <n v="4.99"/>
  </r>
  <r>
    <n v="2034"/>
    <s v="Other"/>
    <n v="18"/>
    <x v="1"/>
    <x v="1"/>
    <n v="96"/>
    <n v="21"/>
    <n v="0.24"/>
    <s v="Desktop"/>
    <n v="0"/>
    <n v="1"/>
    <n v="1"/>
    <n v="14.99"/>
    <n v="14.99"/>
  </r>
  <r>
    <n v="2035"/>
    <s v="Male"/>
    <n v="39"/>
    <x v="0"/>
    <x v="1"/>
    <n v="20"/>
    <n v="43"/>
    <n v="0.56000000000000005"/>
    <s v="Mobile"/>
    <n v="0"/>
    <n v="1"/>
    <n v="0"/>
    <n v="14.99"/>
    <n v="0"/>
  </r>
  <r>
    <n v="2036"/>
    <s v="Female"/>
    <n v="28"/>
    <x v="6"/>
    <x v="1"/>
    <n v="203"/>
    <n v="95"/>
    <n v="0.09"/>
    <s v="Mobile"/>
    <n v="0"/>
    <n v="1"/>
    <n v="0"/>
    <n v="14.99"/>
    <n v="0"/>
  </r>
  <r>
    <n v="2037"/>
    <s v="Female"/>
    <n v="47"/>
    <x v="4"/>
    <x v="3"/>
    <n v="244"/>
    <n v="14"/>
    <n v="0.42"/>
    <s v="Desktop"/>
    <n v="0"/>
    <n v="1"/>
    <n v="1"/>
    <n v="4.99"/>
    <n v="4.99"/>
  </r>
  <r>
    <n v="2038"/>
    <s v="Other"/>
    <n v="58"/>
    <x v="7"/>
    <x v="1"/>
    <n v="97"/>
    <n v="85"/>
    <n v="0.45"/>
    <s v="Web"/>
    <n v="0"/>
    <n v="1"/>
    <n v="0"/>
    <n v="14.99"/>
    <n v="0"/>
  </r>
  <r>
    <n v="2039"/>
    <s v="Female"/>
    <n v="45"/>
    <x v="3"/>
    <x v="1"/>
    <n v="169"/>
    <n v="74"/>
    <n v="0.54"/>
    <s v="Web"/>
    <n v="0"/>
    <n v="1"/>
    <n v="0"/>
    <n v="14.99"/>
    <n v="0"/>
  </r>
  <r>
    <n v="2040"/>
    <s v="Other"/>
    <n v="40"/>
    <x v="4"/>
    <x v="3"/>
    <n v="147"/>
    <n v="22"/>
    <n v="0.43"/>
    <s v="Desktop"/>
    <n v="0"/>
    <n v="1"/>
    <n v="1"/>
    <n v="4.99"/>
    <n v="4.99"/>
  </r>
  <r>
    <n v="2041"/>
    <s v="Other"/>
    <n v="24"/>
    <x v="5"/>
    <x v="3"/>
    <n v="247"/>
    <n v="38"/>
    <n v="0.17"/>
    <s v="Mobile"/>
    <n v="0"/>
    <n v="1"/>
    <n v="0"/>
    <n v="4.99"/>
    <n v="0"/>
  </r>
  <r>
    <n v="2042"/>
    <s v="Female"/>
    <n v="44"/>
    <x v="3"/>
    <x v="2"/>
    <n v="25"/>
    <n v="80"/>
    <n v="0.49"/>
    <s v="Desktop"/>
    <n v="0"/>
    <n v="1"/>
    <n v="0"/>
    <n v="9.99"/>
    <n v="0"/>
  </r>
  <r>
    <n v="2043"/>
    <s v="Other"/>
    <n v="57"/>
    <x v="7"/>
    <x v="3"/>
    <n v="145"/>
    <n v="18"/>
    <n v="0.53"/>
    <s v="Desktop"/>
    <n v="0"/>
    <n v="1"/>
    <n v="0"/>
    <n v="4.99"/>
    <n v="0"/>
  </r>
  <r>
    <n v="2044"/>
    <s v="Male"/>
    <n v="49"/>
    <x v="7"/>
    <x v="2"/>
    <n v="30"/>
    <n v="3"/>
    <n v="0.24"/>
    <s v="Mobile"/>
    <n v="0"/>
    <n v="1"/>
    <n v="0"/>
    <n v="9.99"/>
    <n v="0"/>
  </r>
  <r>
    <n v="2045"/>
    <s v="Female"/>
    <n v="29"/>
    <x v="1"/>
    <x v="1"/>
    <n v="22"/>
    <n v="71"/>
    <n v="0.1"/>
    <s v="Mobile"/>
    <n v="0"/>
    <n v="1"/>
    <n v="1"/>
    <n v="14.99"/>
    <n v="14.99"/>
  </r>
  <r>
    <n v="2046"/>
    <s v="Other"/>
    <n v="37"/>
    <x v="4"/>
    <x v="3"/>
    <n v="100"/>
    <n v="46"/>
    <n v="0.02"/>
    <s v="Desktop"/>
    <n v="0"/>
    <n v="1"/>
    <n v="1"/>
    <n v="4.99"/>
    <n v="4.99"/>
  </r>
  <r>
    <n v="2047"/>
    <s v="Female"/>
    <n v="25"/>
    <x v="7"/>
    <x v="0"/>
    <n v="49"/>
    <n v="9"/>
    <n v="0.45"/>
    <s v="Mobile"/>
    <n v="6"/>
    <n v="0"/>
    <n v="0"/>
    <n v="0"/>
    <n v="0"/>
  </r>
  <r>
    <n v="2048"/>
    <s v="Male"/>
    <n v="53"/>
    <x v="3"/>
    <x v="2"/>
    <n v="75"/>
    <n v="63"/>
    <n v="0.03"/>
    <s v="Desktop"/>
    <n v="0"/>
    <n v="1"/>
    <n v="0"/>
    <n v="9.99"/>
    <n v="0"/>
  </r>
  <r>
    <n v="2049"/>
    <s v="Other"/>
    <n v="20"/>
    <x v="5"/>
    <x v="3"/>
    <n v="272"/>
    <n v="46"/>
    <n v="0.1"/>
    <s v="Mobile"/>
    <n v="0"/>
    <n v="1"/>
    <n v="0"/>
    <n v="4.99"/>
    <n v="0"/>
  </r>
  <r>
    <n v="2050"/>
    <s v="Other"/>
    <n v="17"/>
    <x v="2"/>
    <x v="0"/>
    <n v="99"/>
    <n v="19"/>
    <n v="0.28000000000000003"/>
    <s v="Desktop"/>
    <n v="6"/>
    <n v="0"/>
    <n v="0"/>
    <n v="0"/>
    <n v="0"/>
  </r>
  <r>
    <n v="2051"/>
    <s v="Other"/>
    <n v="33"/>
    <x v="7"/>
    <x v="1"/>
    <n v="92"/>
    <n v="8"/>
    <n v="0.53"/>
    <s v="Web"/>
    <n v="0"/>
    <n v="1"/>
    <n v="1"/>
    <n v="14.99"/>
    <n v="14.99"/>
  </r>
  <r>
    <n v="2052"/>
    <s v="Female"/>
    <n v="55"/>
    <x v="0"/>
    <x v="0"/>
    <n v="65"/>
    <n v="13"/>
    <n v="0.54"/>
    <s v="Web"/>
    <n v="44"/>
    <n v="0"/>
    <n v="0"/>
    <n v="0"/>
    <n v="0"/>
  </r>
  <r>
    <n v="2053"/>
    <s v="Other"/>
    <n v="26"/>
    <x v="2"/>
    <x v="2"/>
    <n v="61"/>
    <n v="94"/>
    <n v="0.27"/>
    <s v="Web"/>
    <n v="0"/>
    <n v="1"/>
    <n v="0"/>
    <n v="9.99"/>
    <n v="0"/>
  </r>
  <r>
    <n v="2054"/>
    <s v="Other"/>
    <n v="49"/>
    <x v="1"/>
    <x v="0"/>
    <n v="199"/>
    <n v="10"/>
    <n v="0.11"/>
    <s v="Desktop"/>
    <n v="22"/>
    <n v="0"/>
    <n v="1"/>
    <n v="0"/>
    <n v="0"/>
  </r>
  <r>
    <n v="2055"/>
    <s v="Other"/>
    <n v="28"/>
    <x v="7"/>
    <x v="0"/>
    <n v="125"/>
    <n v="56"/>
    <n v="0.5"/>
    <s v="Desktop"/>
    <n v="23"/>
    <n v="0"/>
    <n v="1"/>
    <n v="0"/>
    <n v="0"/>
  </r>
  <r>
    <n v="2056"/>
    <s v="Other"/>
    <n v="32"/>
    <x v="7"/>
    <x v="3"/>
    <n v="244"/>
    <n v="59"/>
    <n v="0.47"/>
    <s v="Mobile"/>
    <n v="0"/>
    <n v="1"/>
    <n v="1"/>
    <n v="4.99"/>
    <n v="4.99"/>
  </r>
  <r>
    <n v="2057"/>
    <s v="Male"/>
    <n v="54"/>
    <x v="0"/>
    <x v="1"/>
    <n v="127"/>
    <n v="87"/>
    <n v="0.47"/>
    <s v="Mobile"/>
    <n v="0"/>
    <n v="1"/>
    <n v="0"/>
    <n v="14.99"/>
    <n v="0"/>
  </r>
  <r>
    <n v="2058"/>
    <s v="Other"/>
    <n v="57"/>
    <x v="0"/>
    <x v="0"/>
    <n v="187"/>
    <n v="90"/>
    <n v="0.18"/>
    <s v="Mobile"/>
    <n v="16"/>
    <n v="0"/>
    <n v="0"/>
    <n v="0"/>
    <n v="0"/>
  </r>
  <r>
    <n v="2059"/>
    <s v="Female"/>
    <n v="43"/>
    <x v="0"/>
    <x v="0"/>
    <n v="290"/>
    <n v="70"/>
    <n v="0.33"/>
    <s v="Desktop"/>
    <n v="48"/>
    <n v="0"/>
    <n v="0"/>
    <n v="0"/>
    <n v="0"/>
  </r>
  <r>
    <n v="2060"/>
    <s v="Other"/>
    <n v="39"/>
    <x v="6"/>
    <x v="2"/>
    <n v="199"/>
    <n v="34"/>
    <n v="0.12"/>
    <s v="Desktop"/>
    <n v="0"/>
    <n v="1"/>
    <n v="0"/>
    <n v="9.99"/>
    <n v="0"/>
  </r>
  <r>
    <n v="2061"/>
    <s v="Female"/>
    <n v="18"/>
    <x v="1"/>
    <x v="3"/>
    <n v="185"/>
    <n v="32"/>
    <n v="0.01"/>
    <s v="Mobile"/>
    <n v="0"/>
    <n v="1"/>
    <n v="0"/>
    <n v="4.99"/>
    <n v="0"/>
  </r>
  <r>
    <n v="2062"/>
    <s v="Female"/>
    <n v="35"/>
    <x v="5"/>
    <x v="0"/>
    <n v="234"/>
    <n v="29"/>
    <n v="0.15"/>
    <s v="Mobile"/>
    <n v="25"/>
    <n v="0"/>
    <n v="0"/>
    <n v="0"/>
    <n v="0"/>
  </r>
  <r>
    <n v="2063"/>
    <s v="Other"/>
    <n v="53"/>
    <x v="2"/>
    <x v="0"/>
    <n v="144"/>
    <n v="76"/>
    <n v="0.02"/>
    <s v="Desktop"/>
    <n v="38"/>
    <n v="0"/>
    <n v="0"/>
    <n v="0"/>
    <n v="0"/>
  </r>
  <r>
    <n v="2064"/>
    <s v="Female"/>
    <n v="58"/>
    <x v="3"/>
    <x v="2"/>
    <n v="159"/>
    <n v="6"/>
    <n v="0.05"/>
    <s v="Web"/>
    <n v="0"/>
    <n v="1"/>
    <n v="0"/>
    <n v="9.99"/>
    <n v="0"/>
  </r>
  <r>
    <n v="2065"/>
    <s v="Female"/>
    <n v="56"/>
    <x v="0"/>
    <x v="1"/>
    <n v="144"/>
    <n v="64"/>
    <n v="0.1"/>
    <s v="Web"/>
    <n v="0"/>
    <n v="1"/>
    <n v="0"/>
    <n v="14.99"/>
    <n v="0"/>
  </r>
  <r>
    <n v="2066"/>
    <s v="Other"/>
    <n v="59"/>
    <x v="0"/>
    <x v="1"/>
    <n v="84"/>
    <n v="39"/>
    <n v="0.28000000000000003"/>
    <s v="Mobile"/>
    <n v="0"/>
    <n v="1"/>
    <n v="0"/>
    <n v="14.99"/>
    <n v="0"/>
  </r>
  <r>
    <n v="2067"/>
    <s v="Female"/>
    <n v="59"/>
    <x v="5"/>
    <x v="1"/>
    <n v="260"/>
    <n v="52"/>
    <n v="0.2"/>
    <s v="Web"/>
    <n v="0"/>
    <n v="1"/>
    <n v="0"/>
    <n v="14.99"/>
    <n v="0"/>
  </r>
  <r>
    <n v="2068"/>
    <s v="Female"/>
    <n v="42"/>
    <x v="0"/>
    <x v="3"/>
    <n v="170"/>
    <n v="87"/>
    <n v="0.53"/>
    <s v="Web"/>
    <n v="0"/>
    <n v="1"/>
    <n v="0"/>
    <n v="4.99"/>
    <n v="0"/>
  </r>
  <r>
    <n v="2069"/>
    <s v="Male"/>
    <n v="29"/>
    <x v="7"/>
    <x v="0"/>
    <n v="79"/>
    <n v="40"/>
    <n v="0.12"/>
    <s v="Desktop"/>
    <n v="8"/>
    <n v="0"/>
    <n v="1"/>
    <n v="0"/>
    <n v="0"/>
  </r>
  <r>
    <n v="2070"/>
    <s v="Female"/>
    <n v="36"/>
    <x v="6"/>
    <x v="0"/>
    <n v="231"/>
    <n v="63"/>
    <n v="0.28000000000000003"/>
    <s v="Mobile"/>
    <n v="14"/>
    <n v="0"/>
    <n v="1"/>
    <n v="0"/>
    <n v="0"/>
  </r>
  <r>
    <n v="2071"/>
    <s v="Female"/>
    <n v="42"/>
    <x v="1"/>
    <x v="2"/>
    <n v="165"/>
    <n v="63"/>
    <n v="0.47"/>
    <s v="Mobile"/>
    <n v="0"/>
    <n v="1"/>
    <n v="1"/>
    <n v="9.99"/>
    <n v="9.99"/>
  </r>
  <r>
    <n v="2072"/>
    <s v="Other"/>
    <n v="53"/>
    <x v="1"/>
    <x v="0"/>
    <n v="232"/>
    <n v="10"/>
    <n v="0.15"/>
    <s v="Desktop"/>
    <n v="38"/>
    <n v="0"/>
    <n v="0"/>
    <n v="0"/>
    <n v="0"/>
  </r>
  <r>
    <n v="2073"/>
    <s v="Female"/>
    <n v="26"/>
    <x v="6"/>
    <x v="3"/>
    <n v="296"/>
    <n v="6"/>
    <n v="0.35"/>
    <s v="Desktop"/>
    <n v="0"/>
    <n v="1"/>
    <n v="0"/>
    <n v="4.99"/>
    <n v="0"/>
  </r>
  <r>
    <n v="2074"/>
    <s v="Other"/>
    <n v="50"/>
    <x v="3"/>
    <x v="1"/>
    <n v="284"/>
    <n v="27"/>
    <n v="0.54"/>
    <s v="Web"/>
    <n v="0"/>
    <n v="1"/>
    <n v="1"/>
    <n v="14.99"/>
    <n v="14.99"/>
  </r>
  <r>
    <n v="2075"/>
    <s v="Female"/>
    <n v="57"/>
    <x v="3"/>
    <x v="2"/>
    <n v="234"/>
    <n v="34"/>
    <n v="0.59"/>
    <s v="Desktop"/>
    <n v="0"/>
    <n v="1"/>
    <n v="0"/>
    <n v="9.99"/>
    <n v="0"/>
  </r>
  <r>
    <n v="2076"/>
    <s v="Other"/>
    <n v="54"/>
    <x v="3"/>
    <x v="0"/>
    <n v="73"/>
    <n v="86"/>
    <n v="7.0000000000000007E-2"/>
    <s v="Mobile"/>
    <n v="41"/>
    <n v="0"/>
    <n v="0"/>
    <n v="0"/>
    <n v="0"/>
  </r>
  <r>
    <n v="2077"/>
    <s v="Male"/>
    <n v="16"/>
    <x v="7"/>
    <x v="1"/>
    <n v="159"/>
    <n v="66"/>
    <n v="7.0000000000000007E-2"/>
    <s v="Desktop"/>
    <n v="0"/>
    <n v="1"/>
    <n v="1"/>
    <n v="14.99"/>
    <n v="14.99"/>
  </r>
  <r>
    <n v="2078"/>
    <s v="Female"/>
    <n v="16"/>
    <x v="1"/>
    <x v="2"/>
    <n v="25"/>
    <n v="28"/>
    <n v="0.56999999999999995"/>
    <s v="Web"/>
    <n v="0"/>
    <n v="1"/>
    <n v="0"/>
    <n v="9.99"/>
    <n v="0"/>
  </r>
  <r>
    <n v="2079"/>
    <s v="Female"/>
    <n v="44"/>
    <x v="0"/>
    <x v="1"/>
    <n v="116"/>
    <n v="19"/>
    <n v="0.43"/>
    <s v="Desktop"/>
    <n v="0"/>
    <n v="1"/>
    <n v="1"/>
    <n v="14.99"/>
    <n v="14.99"/>
  </r>
  <r>
    <n v="2080"/>
    <s v="Male"/>
    <n v="36"/>
    <x v="0"/>
    <x v="3"/>
    <n v="77"/>
    <n v="34"/>
    <n v="0.44"/>
    <s v="Web"/>
    <n v="0"/>
    <n v="1"/>
    <n v="0"/>
    <n v="4.99"/>
    <n v="0"/>
  </r>
  <r>
    <n v="2081"/>
    <s v="Female"/>
    <n v="20"/>
    <x v="7"/>
    <x v="2"/>
    <n v="272"/>
    <n v="56"/>
    <n v="0.27"/>
    <s v="Desktop"/>
    <n v="0"/>
    <n v="1"/>
    <n v="0"/>
    <n v="9.99"/>
    <n v="0"/>
  </r>
  <r>
    <n v="2082"/>
    <s v="Male"/>
    <n v="45"/>
    <x v="6"/>
    <x v="3"/>
    <n v="150"/>
    <n v="98"/>
    <n v="0.48"/>
    <s v="Mobile"/>
    <n v="0"/>
    <n v="1"/>
    <n v="1"/>
    <n v="4.99"/>
    <n v="4.99"/>
  </r>
  <r>
    <n v="2083"/>
    <s v="Female"/>
    <n v="53"/>
    <x v="0"/>
    <x v="0"/>
    <n v="52"/>
    <n v="20"/>
    <n v="0.37"/>
    <s v="Mobile"/>
    <n v="42"/>
    <n v="0"/>
    <n v="0"/>
    <n v="0"/>
    <n v="0"/>
  </r>
  <r>
    <n v="2084"/>
    <s v="Female"/>
    <n v="17"/>
    <x v="7"/>
    <x v="3"/>
    <n v="256"/>
    <n v="75"/>
    <n v="0.54"/>
    <s v="Mobile"/>
    <n v="0"/>
    <n v="1"/>
    <n v="0"/>
    <n v="4.99"/>
    <n v="0"/>
  </r>
  <r>
    <n v="2085"/>
    <s v="Other"/>
    <n v="53"/>
    <x v="5"/>
    <x v="3"/>
    <n v="67"/>
    <n v="35"/>
    <n v="0.53"/>
    <s v="Web"/>
    <n v="0"/>
    <n v="1"/>
    <n v="0"/>
    <n v="4.99"/>
    <n v="0"/>
  </r>
  <r>
    <n v="2086"/>
    <s v="Female"/>
    <n v="20"/>
    <x v="4"/>
    <x v="3"/>
    <n v="48"/>
    <n v="47"/>
    <n v="0.27"/>
    <s v="Mobile"/>
    <n v="0"/>
    <n v="1"/>
    <n v="0"/>
    <n v="4.99"/>
    <n v="0"/>
  </r>
  <r>
    <n v="2087"/>
    <s v="Female"/>
    <n v="31"/>
    <x v="3"/>
    <x v="0"/>
    <n v="89"/>
    <n v="43"/>
    <n v="0.11"/>
    <s v="Web"/>
    <n v="40"/>
    <n v="0"/>
    <n v="0"/>
    <n v="0"/>
    <n v="0"/>
  </r>
  <r>
    <n v="2088"/>
    <s v="Male"/>
    <n v="56"/>
    <x v="3"/>
    <x v="1"/>
    <n v="239"/>
    <n v="12"/>
    <n v="0.48"/>
    <s v="Web"/>
    <n v="0"/>
    <n v="1"/>
    <n v="0"/>
    <n v="14.99"/>
    <n v="0"/>
  </r>
  <r>
    <n v="2089"/>
    <s v="Other"/>
    <n v="48"/>
    <x v="3"/>
    <x v="0"/>
    <n v="179"/>
    <n v="57"/>
    <n v="0.19"/>
    <s v="Web"/>
    <n v="17"/>
    <n v="0"/>
    <n v="0"/>
    <n v="0"/>
    <n v="0"/>
  </r>
  <r>
    <n v="2090"/>
    <s v="Other"/>
    <n v="20"/>
    <x v="1"/>
    <x v="1"/>
    <n v="208"/>
    <n v="44"/>
    <n v="0.36"/>
    <s v="Web"/>
    <n v="0"/>
    <n v="1"/>
    <n v="0"/>
    <n v="14.99"/>
    <n v="0"/>
  </r>
  <r>
    <n v="2091"/>
    <s v="Other"/>
    <n v="43"/>
    <x v="0"/>
    <x v="1"/>
    <n v="118"/>
    <n v="80"/>
    <n v="0.03"/>
    <s v="Desktop"/>
    <n v="0"/>
    <n v="1"/>
    <n v="0"/>
    <n v="14.99"/>
    <n v="0"/>
  </r>
  <r>
    <n v="2092"/>
    <s v="Male"/>
    <n v="42"/>
    <x v="4"/>
    <x v="2"/>
    <n v="49"/>
    <n v="1"/>
    <n v="0.56000000000000005"/>
    <s v="Desktop"/>
    <n v="0"/>
    <n v="1"/>
    <n v="0"/>
    <n v="9.99"/>
    <n v="0"/>
  </r>
  <r>
    <n v="2093"/>
    <s v="Other"/>
    <n v="23"/>
    <x v="1"/>
    <x v="2"/>
    <n v="293"/>
    <n v="70"/>
    <n v="0.08"/>
    <s v="Web"/>
    <n v="0"/>
    <n v="1"/>
    <n v="0"/>
    <n v="9.99"/>
    <n v="0"/>
  </r>
  <r>
    <n v="2094"/>
    <s v="Female"/>
    <n v="55"/>
    <x v="6"/>
    <x v="3"/>
    <n v="195"/>
    <n v="13"/>
    <n v="0.49"/>
    <s v="Mobile"/>
    <n v="0"/>
    <n v="1"/>
    <n v="1"/>
    <n v="4.99"/>
    <n v="4.99"/>
  </r>
  <r>
    <n v="2095"/>
    <s v="Female"/>
    <n v="33"/>
    <x v="1"/>
    <x v="0"/>
    <n v="267"/>
    <n v="91"/>
    <n v="0.3"/>
    <s v="Web"/>
    <n v="43"/>
    <n v="0"/>
    <n v="1"/>
    <n v="0"/>
    <n v="0"/>
  </r>
  <r>
    <n v="2096"/>
    <s v="Female"/>
    <n v="27"/>
    <x v="2"/>
    <x v="0"/>
    <n v="219"/>
    <n v="50"/>
    <n v="0.42"/>
    <s v="Mobile"/>
    <n v="16"/>
    <n v="0"/>
    <n v="0"/>
    <n v="0"/>
    <n v="0"/>
  </r>
  <r>
    <n v="2097"/>
    <s v="Female"/>
    <n v="22"/>
    <x v="4"/>
    <x v="0"/>
    <n v="67"/>
    <n v="43"/>
    <n v="0.56999999999999995"/>
    <s v="Mobile"/>
    <n v="13"/>
    <n v="0"/>
    <n v="0"/>
    <n v="0"/>
    <n v="0"/>
  </r>
  <r>
    <n v="2098"/>
    <s v="Female"/>
    <n v="19"/>
    <x v="5"/>
    <x v="3"/>
    <n v="87"/>
    <n v="19"/>
    <n v="0.03"/>
    <s v="Mobile"/>
    <n v="0"/>
    <n v="1"/>
    <n v="0"/>
    <n v="4.99"/>
    <n v="0"/>
  </r>
  <r>
    <n v="2099"/>
    <s v="Female"/>
    <n v="50"/>
    <x v="7"/>
    <x v="0"/>
    <n v="68"/>
    <n v="70"/>
    <n v="0.01"/>
    <s v="Web"/>
    <n v="44"/>
    <n v="0"/>
    <n v="0"/>
    <n v="0"/>
    <n v="0"/>
  </r>
  <r>
    <n v="2100"/>
    <s v="Other"/>
    <n v="22"/>
    <x v="2"/>
    <x v="2"/>
    <n v="123"/>
    <n v="41"/>
    <n v="0.49"/>
    <s v="Desktop"/>
    <n v="0"/>
    <n v="1"/>
    <n v="0"/>
    <n v="9.99"/>
    <n v="0"/>
  </r>
  <r>
    <n v="2101"/>
    <s v="Other"/>
    <n v="34"/>
    <x v="6"/>
    <x v="1"/>
    <n v="152"/>
    <n v="23"/>
    <n v="0.38"/>
    <s v="Web"/>
    <n v="0"/>
    <n v="1"/>
    <n v="1"/>
    <n v="14.99"/>
    <n v="14.99"/>
  </r>
  <r>
    <n v="2102"/>
    <s v="Male"/>
    <n v="44"/>
    <x v="5"/>
    <x v="2"/>
    <n v="255"/>
    <n v="97"/>
    <n v="0.09"/>
    <s v="Mobile"/>
    <n v="0"/>
    <n v="1"/>
    <n v="1"/>
    <n v="9.99"/>
    <n v="9.99"/>
  </r>
  <r>
    <n v="2103"/>
    <s v="Female"/>
    <n v="38"/>
    <x v="4"/>
    <x v="1"/>
    <n v="181"/>
    <n v="35"/>
    <n v="0.56999999999999995"/>
    <s v="Mobile"/>
    <n v="0"/>
    <n v="1"/>
    <n v="0"/>
    <n v="14.99"/>
    <n v="0"/>
  </r>
  <r>
    <n v="2104"/>
    <s v="Male"/>
    <n v="18"/>
    <x v="5"/>
    <x v="3"/>
    <n v="141"/>
    <n v="42"/>
    <n v="0.56999999999999995"/>
    <s v="Mobile"/>
    <n v="0"/>
    <n v="1"/>
    <n v="0"/>
    <n v="4.99"/>
    <n v="0"/>
  </r>
  <r>
    <n v="2105"/>
    <s v="Male"/>
    <n v="23"/>
    <x v="5"/>
    <x v="0"/>
    <n v="137"/>
    <n v="24"/>
    <n v="0.21"/>
    <s v="Mobile"/>
    <n v="26"/>
    <n v="0"/>
    <n v="0"/>
    <n v="0"/>
    <n v="0"/>
  </r>
  <r>
    <n v="2106"/>
    <s v="Male"/>
    <n v="18"/>
    <x v="5"/>
    <x v="3"/>
    <n v="119"/>
    <n v="50"/>
    <n v="0.5"/>
    <s v="Desktop"/>
    <n v="0"/>
    <n v="1"/>
    <n v="0"/>
    <n v="4.99"/>
    <n v="0"/>
  </r>
  <r>
    <n v="2107"/>
    <s v="Other"/>
    <n v="56"/>
    <x v="7"/>
    <x v="3"/>
    <n v="55"/>
    <n v="1"/>
    <n v="0.19"/>
    <s v="Mobile"/>
    <n v="0"/>
    <n v="1"/>
    <n v="1"/>
    <n v="4.99"/>
    <n v="4.99"/>
  </r>
  <r>
    <n v="2108"/>
    <s v="Female"/>
    <n v="57"/>
    <x v="7"/>
    <x v="2"/>
    <n v="216"/>
    <n v="25"/>
    <n v="0.53"/>
    <s v="Web"/>
    <n v="0"/>
    <n v="1"/>
    <n v="0"/>
    <n v="9.99"/>
    <n v="0"/>
  </r>
  <r>
    <n v="2109"/>
    <s v="Other"/>
    <n v="23"/>
    <x v="7"/>
    <x v="3"/>
    <n v="37"/>
    <n v="18"/>
    <n v="0.36"/>
    <s v="Mobile"/>
    <n v="0"/>
    <n v="1"/>
    <n v="0"/>
    <n v="4.99"/>
    <n v="0"/>
  </r>
  <r>
    <n v="2110"/>
    <s v="Male"/>
    <n v="33"/>
    <x v="2"/>
    <x v="0"/>
    <n v="197"/>
    <n v="43"/>
    <n v="0.26"/>
    <s v="Web"/>
    <n v="47"/>
    <n v="0"/>
    <n v="0"/>
    <n v="0"/>
    <n v="0"/>
  </r>
  <r>
    <n v="2111"/>
    <s v="Other"/>
    <n v="24"/>
    <x v="6"/>
    <x v="0"/>
    <n v="86"/>
    <n v="13"/>
    <n v="0.33"/>
    <s v="Web"/>
    <n v="28"/>
    <n v="0"/>
    <n v="0"/>
    <n v="0"/>
    <n v="0"/>
  </r>
  <r>
    <n v="2112"/>
    <s v="Female"/>
    <n v="56"/>
    <x v="2"/>
    <x v="1"/>
    <n v="283"/>
    <n v="48"/>
    <n v="0.41"/>
    <s v="Mobile"/>
    <n v="0"/>
    <n v="1"/>
    <n v="0"/>
    <n v="14.99"/>
    <n v="0"/>
  </r>
  <r>
    <n v="2113"/>
    <s v="Male"/>
    <n v="18"/>
    <x v="4"/>
    <x v="2"/>
    <n v="240"/>
    <n v="16"/>
    <n v="0.35"/>
    <s v="Desktop"/>
    <n v="0"/>
    <n v="1"/>
    <n v="0"/>
    <n v="9.99"/>
    <n v="0"/>
  </r>
  <r>
    <n v="2114"/>
    <s v="Other"/>
    <n v="31"/>
    <x v="1"/>
    <x v="3"/>
    <n v="199"/>
    <n v="58"/>
    <n v="0.08"/>
    <s v="Desktop"/>
    <n v="0"/>
    <n v="1"/>
    <n v="1"/>
    <n v="4.99"/>
    <n v="4.99"/>
  </r>
  <r>
    <n v="2115"/>
    <s v="Female"/>
    <n v="47"/>
    <x v="5"/>
    <x v="1"/>
    <n v="191"/>
    <n v="75"/>
    <n v="0.04"/>
    <s v="Mobile"/>
    <n v="0"/>
    <n v="1"/>
    <n v="0"/>
    <n v="14.99"/>
    <n v="0"/>
  </r>
  <r>
    <n v="2116"/>
    <s v="Other"/>
    <n v="47"/>
    <x v="2"/>
    <x v="2"/>
    <n v="74"/>
    <n v="62"/>
    <n v="0.47"/>
    <s v="Desktop"/>
    <n v="0"/>
    <n v="1"/>
    <n v="0"/>
    <n v="9.99"/>
    <n v="0"/>
  </r>
  <r>
    <n v="2117"/>
    <s v="Other"/>
    <n v="25"/>
    <x v="4"/>
    <x v="1"/>
    <n v="194"/>
    <n v="91"/>
    <n v="0.17"/>
    <s v="Mobile"/>
    <n v="0"/>
    <n v="1"/>
    <n v="1"/>
    <n v="14.99"/>
    <n v="14.99"/>
  </r>
  <r>
    <n v="2118"/>
    <s v="Female"/>
    <n v="37"/>
    <x v="2"/>
    <x v="1"/>
    <n v="298"/>
    <n v="78"/>
    <n v="0.6"/>
    <s v="Desktop"/>
    <n v="0"/>
    <n v="1"/>
    <n v="0"/>
    <n v="14.99"/>
    <n v="0"/>
  </r>
  <r>
    <n v="2119"/>
    <s v="Other"/>
    <n v="37"/>
    <x v="4"/>
    <x v="2"/>
    <n v="113"/>
    <n v="30"/>
    <n v="0.17"/>
    <s v="Desktop"/>
    <n v="0"/>
    <n v="1"/>
    <n v="0"/>
    <n v="9.99"/>
    <n v="0"/>
  </r>
  <r>
    <n v="2120"/>
    <s v="Male"/>
    <n v="38"/>
    <x v="3"/>
    <x v="0"/>
    <n v="157"/>
    <n v="57"/>
    <n v="0.4"/>
    <s v="Desktop"/>
    <n v="40"/>
    <n v="0"/>
    <n v="1"/>
    <n v="0"/>
    <n v="0"/>
  </r>
  <r>
    <n v="2121"/>
    <s v="Female"/>
    <n v="29"/>
    <x v="6"/>
    <x v="2"/>
    <n v="141"/>
    <n v="42"/>
    <n v="0.01"/>
    <s v="Desktop"/>
    <n v="0"/>
    <n v="1"/>
    <n v="0"/>
    <n v="9.99"/>
    <n v="0"/>
  </r>
  <r>
    <n v="2122"/>
    <s v="Male"/>
    <n v="16"/>
    <x v="7"/>
    <x v="0"/>
    <n v="52"/>
    <n v="33"/>
    <n v="0.5"/>
    <s v="Web"/>
    <n v="25"/>
    <n v="0"/>
    <n v="0"/>
    <n v="0"/>
    <n v="0"/>
  </r>
  <r>
    <n v="2123"/>
    <s v="Male"/>
    <n v="19"/>
    <x v="4"/>
    <x v="0"/>
    <n v="215"/>
    <n v="33"/>
    <n v="0"/>
    <s v="Web"/>
    <n v="20"/>
    <n v="0"/>
    <n v="0"/>
    <n v="0"/>
    <n v="0"/>
  </r>
  <r>
    <n v="2124"/>
    <s v="Male"/>
    <n v="21"/>
    <x v="4"/>
    <x v="2"/>
    <n v="118"/>
    <n v="87"/>
    <n v="0.27"/>
    <s v="Web"/>
    <n v="0"/>
    <n v="1"/>
    <n v="0"/>
    <n v="9.99"/>
    <n v="0"/>
  </r>
  <r>
    <n v="2125"/>
    <s v="Other"/>
    <n v="41"/>
    <x v="4"/>
    <x v="3"/>
    <n v="110"/>
    <n v="47"/>
    <n v="0.05"/>
    <s v="Mobile"/>
    <n v="0"/>
    <n v="1"/>
    <n v="0"/>
    <n v="4.99"/>
    <n v="0"/>
  </r>
  <r>
    <n v="2126"/>
    <s v="Male"/>
    <n v="16"/>
    <x v="6"/>
    <x v="1"/>
    <n v="91"/>
    <n v="78"/>
    <n v="0.37"/>
    <s v="Mobile"/>
    <n v="0"/>
    <n v="1"/>
    <n v="1"/>
    <n v="14.99"/>
    <n v="14.99"/>
  </r>
  <r>
    <n v="2127"/>
    <s v="Female"/>
    <n v="46"/>
    <x v="4"/>
    <x v="1"/>
    <n v="82"/>
    <n v="65"/>
    <n v="0.26"/>
    <s v="Desktop"/>
    <n v="0"/>
    <n v="1"/>
    <n v="0"/>
    <n v="14.99"/>
    <n v="0"/>
  </r>
  <r>
    <n v="2128"/>
    <s v="Male"/>
    <n v="48"/>
    <x v="5"/>
    <x v="3"/>
    <n v="108"/>
    <n v="49"/>
    <n v="0.25"/>
    <s v="Desktop"/>
    <n v="0"/>
    <n v="1"/>
    <n v="0"/>
    <n v="4.99"/>
    <n v="0"/>
  </r>
  <r>
    <n v="2129"/>
    <s v="Male"/>
    <n v="39"/>
    <x v="6"/>
    <x v="2"/>
    <n v="57"/>
    <n v="92"/>
    <n v="0.52"/>
    <s v="Desktop"/>
    <n v="0"/>
    <n v="1"/>
    <n v="0"/>
    <n v="9.99"/>
    <n v="0"/>
  </r>
  <r>
    <n v="2130"/>
    <s v="Female"/>
    <n v="30"/>
    <x v="6"/>
    <x v="2"/>
    <n v="267"/>
    <n v="80"/>
    <n v="0.21"/>
    <s v="Mobile"/>
    <n v="0"/>
    <n v="1"/>
    <n v="0"/>
    <n v="9.99"/>
    <n v="0"/>
  </r>
  <r>
    <n v="2131"/>
    <s v="Other"/>
    <n v="58"/>
    <x v="4"/>
    <x v="2"/>
    <n v="227"/>
    <n v="7"/>
    <n v="0.34"/>
    <s v="Desktop"/>
    <n v="0"/>
    <n v="1"/>
    <n v="0"/>
    <n v="9.99"/>
    <n v="0"/>
  </r>
  <r>
    <n v="2132"/>
    <s v="Female"/>
    <n v="45"/>
    <x v="7"/>
    <x v="2"/>
    <n v="172"/>
    <n v="60"/>
    <n v="0.06"/>
    <s v="Desktop"/>
    <n v="0"/>
    <n v="1"/>
    <n v="1"/>
    <n v="9.99"/>
    <n v="9.99"/>
  </r>
  <r>
    <n v="2133"/>
    <s v="Female"/>
    <n v="18"/>
    <x v="3"/>
    <x v="2"/>
    <n v="21"/>
    <n v="49"/>
    <n v="0.01"/>
    <s v="Desktop"/>
    <n v="0"/>
    <n v="1"/>
    <n v="0"/>
    <n v="9.99"/>
    <n v="0"/>
  </r>
  <r>
    <n v="2134"/>
    <s v="Female"/>
    <n v="25"/>
    <x v="0"/>
    <x v="3"/>
    <n v="41"/>
    <n v="62"/>
    <n v="0.34"/>
    <s v="Desktop"/>
    <n v="0"/>
    <n v="1"/>
    <n v="0"/>
    <n v="4.99"/>
    <n v="0"/>
  </r>
  <r>
    <n v="2135"/>
    <s v="Male"/>
    <n v="22"/>
    <x v="0"/>
    <x v="0"/>
    <n v="30"/>
    <n v="31"/>
    <n v="0.4"/>
    <s v="Desktop"/>
    <n v="12"/>
    <n v="0"/>
    <n v="1"/>
    <n v="0"/>
    <n v="0"/>
  </r>
  <r>
    <n v="2136"/>
    <s v="Male"/>
    <n v="29"/>
    <x v="4"/>
    <x v="2"/>
    <n v="257"/>
    <n v="43"/>
    <n v="0.53"/>
    <s v="Mobile"/>
    <n v="0"/>
    <n v="1"/>
    <n v="0"/>
    <n v="9.99"/>
    <n v="0"/>
  </r>
  <r>
    <n v="2137"/>
    <s v="Male"/>
    <n v="19"/>
    <x v="3"/>
    <x v="0"/>
    <n v="292"/>
    <n v="75"/>
    <n v="0.23"/>
    <s v="Web"/>
    <n v="11"/>
    <n v="0"/>
    <n v="0"/>
    <n v="0"/>
    <n v="0"/>
  </r>
  <r>
    <n v="2138"/>
    <s v="Other"/>
    <n v="33"/>
    <x v="6"/>
    <x v="1"/>
    <n v="138"/>
    <n v="39"/>
    <n v="0.28999999999999998"/>
    <s v="Mobile"/>
    <n v="0"/>
    <n v="1"/>
    <n v="1"/>
    <n v="14.99"/>
    <n v="14.99"/>
  </r>
  <r>
    <n v="2139"/>
    <s v="Female"/>
    <n v="35"/>
    <x v="6"/>
    <x v="3"/>
    <n v="236"/>
    <n v="51"/>
    <n v="0.55000000000000004"/>
    <s v="Web"/>
    <n v="0"/>
    <n v="1"/>
    <n v="0"/>
    <n v="4.99"/>
    <n v="0"/>
  </r>
  <r>
    <n v="2140"/>
    <s v="Male"/>
    <n v="43"/>
    <x v="6"/>
    <x v="2"/>
    <n v="79"/>
    <n v="64"/>
    <n v="0.38"/>
    <s v="Web"/>
    <n v="0"/>
    <n v="1"/>
    <n v="1"/>
    <n v="9.99"/>
    <n v="9.99"/>
  </r>
  <r>
    <n v="2141"/>
    <s v="Female"/>
    <n v="19"/>
    <x v="6"/>
    <x v="0"/>
    <n v="157"/>
    <n v="25"/>
    <n v="0.49"/>
    <s v="Mobile"/>
    <n v="25"/>
    <n v="0"/>
    <n v="1"/>
    <n v="0"/>
    <n v="0"/>
  </r>
  <r>
    <n v="2142"/>
    <s v="Female"/>
    <n v="19"/>
    <x v="7"/>
    <x v="2"/>
    <n v="279"/>
    <n v="13"/>
    <n v="0.35"/>
    <s v="Web"/>
    <n v="0"/>
    <n v="1"/>
    <n v="0"/>
    <n v="9.99"/>
    <n v="0"/>
  </r>
  <r>
    <n v="2143"/>
    <s v="Male"/>
    <n v="47"/>
    <x v="6"/>
    <x v="0"/>
    <n v="189"/>
    <n v="77"/>
    <n v="0.3"/>
    <s v="Desktop"/>
    <n v="39"/>
    <n v="0"/>
    <n v="0"/>
    <n v="0"/>
    <n v="0"/>
  </r>
  <r>
    <n v="2144"/>
    <s v="Female"/>
    <n v="57"/>
    <x v="2"/>
    <x v="3"/>
    <n v="223"/>
    <n v="18"/>
    <n v="0.35"/>
    <s v="Desktop"/>
    <n v="0"/>
    <n v="1"/>
    <n v="0"/>
    <n v="4.99"/>
    <n v="0"/>
  </r>
  <r>
    <n v="2145"/>
    <s v="Male"/>
    <n v="39"/>
    <x v="1"/>
    <x v="3"/>
    <n v="114"/>
    <n v="71"/>
    <n v="0.4"/>
    <s v="Mobile"/>
    <n v="0"/>
    <n v="1"/>
    <n v="0"/>
    <n v="4.99"/>
    <n v="0"/>
  </r>
  <r>
    <n v="2146"/>
    <s v="Female"/>
    <n v="54"/>
    <x v="3"/>
    <x v="0"/>
    <n v="99"/>
    <n v="95"/>
    <n v="0.22"/>
    <s v="Desktop"/>
    <n v="27"/>
    <n v="0"/>
    <n v="0"/>
    <n v="0"/>
    <n v="0"/>
  </r>
  <r>
    <n v="2147"/>
    <s v="Male"/>
    <n v="42"/>
    <x v="1"/>
    <x v="1"/>
    <n v="298"/>
    <n v="60"/>
    <n v="0.34"/>
    <s v="Mobile"/>
    <n v="0"/>
    <n v="1"/>
    <n v="0"/>
    <n v="14.99"/>
    <n v="0"/>
  </r>
  <r>
    <n v="2148"/>
    <s v="Female"/>
    <n v="49"/>
    <x v="1"/>
    <x v="0"/>
    <n v="256"/>
    <n v="7"/>
    <n v="0.11"/>
    <s v="Web"/>
    <n v="5"/>
    <n v="0"/>
    <n v="0"/>
    <n v="0"/>
    <n v="0"/>
  </r>
  <r>
    <n v="2149"/>
    <s v="Male"/>
    <n v="48"/>
    <x v="6"/>
    <x v="0"/>
    <n v="30"/>
    <n v="82"/>
    <n v="0.11"/>
    <s v="Desktop"/>
    <n v="16"/>
    <n v="0"/>
    <n v="1"/>
    <n v="0"/>
    <n v="0"/>
  </r>
  <r>
    <n v="2150"/>
    <s v="Male"/>
    <n v="28"/>
    <x v="7"/>
    <x v="0"/>
    <n v="125"/>
    <n v="82"/>
    <n v="0.37"/>
    <s v="Mobile"/>
    <n v="39"/>
    <n v="0"/>
    <n v="1"/>
    <n v="0"/>
    <n v="0"/>
  </r>
  <r>
    <n v="2151"/>
    <s v="Male"/>
    <n v="22"/>
    <x v="1"/>
    <x v="2"/>
    <n v="261"/>
    <n v="68"/>
    <n v="0.56000000000000005"/>
    <s v="Web"/>
    <n v="0"/>
    <n v="1"/>
    <n v="0"/>
    <n v="9.99"/>
    <n v="0"/>
  </r>
  <r>
    <n v="2152"/>
    <s v="Female"/>
    <n v="41"/>
    <x v="5"/>
    <x v="3"/>
    <n v="17"/>
    <n v="47"/>
    <n v="0.14000000000000001"/>
    <s v="Web"/>
    <n v="0"/>
    <n v="1"/>
    <n v="0"/>
    <n v="4.99"/>
    <n v="0"/>
  </r>
  <r>
    <n v="2153"/>
    <s v="Male"/>
    <n v="49"/>
    <x v="1"/>
    <x v="2"/>
    <n v="131"/>
    <n v="55"/>
    <n v="0.5"/>
    <s v="Desktop"/>
    <n v="0"/>
    <n v="1"/>
    <n v="1"/>
    <n v="9.99"/>
    <n v="9.99"/>
  </r>
  <r>
    <n v="2154"/>
    <s v="Male"/>
    <n v="45"/>
    <x v="1"/>
    <x v="2"/>
    <n v="83"/>
    <n v="25"/>
    <n v="0.14000000000000001"/>
    <s v="Web"/>
    <n v="0"/>
    <n v="1"/>
    <n v="0"/>
    <n v="9.99"/>
    <n v="0"/>
  </r>
  <r>
    <n v="2155"/>
    <s v="Female"/>
    <n v="47"/>
    <x v="5"/>
    <x v="3"/>
    <n v="177"/>
    <n v="52"/>
    <n v="0.44"/>
    <s v="Web"/>
    <n v="0"/>
    <n v="1"/>
    <n v="0"/>
    <n v="4.99"/>
    <n v="0"/>
  </r>
  <r>
    <n v="2156"/>
    <s v="Male"/>
    <n v="59"/>
    <x v="5"/>
    <x v="3"/>
    <n v="165"/>
    <n v="76"/>
    <n v="0.1"/>
    <s v="Web"/>
    <n v="0"/>
    <n v="1"/>
    <n v="1"/>
    <n v="4.99"/>
    <n v="4.99"/>
  </r>
  <r>
    <n v="2157"/>
    <s v="Female"/>
    <n v="28"/>
    <x v="2"/>
    <x v="2"/>
    <n v="210"/>
    <n v="34"/>
    <n v="0.27"/>
    <s v="Web"/>
    <n v="0"/>
    <n v="1"/>
    <n v="0"/>
    <n v="9.99"/>
    <n v="0"/>
  </r>
  <r>
    <n v="2158"/>
    <s v="Male"/>
    <n v="44"/>
    <x v="0"/>
    <x v="3"/>
    <n v="261"/>
    <n v="77"/>
    <n v="0.28000000000000003"/>
    <s v="Web"/>
    <n v="0"/>
    <n v="1"/>
    <n v="0"/>
    <n v="4.99"/>
    <n v="0"/>
  </r>
  <r>
    <n v="2159"/>
    <s v="Male"/>
    <n v="26"/>
    <x v="0"/>
    <x v="1"/>
    <n v="291"/>
    <n v="43"/>
    <n v="0.06"/>
    <s v="Web"/>
    <n v="0"/>
    <n v="1"/>
    <n v="1"/>
    <n v="14.99"/>
    <n v="14.99"/>
  </r>
  <r>
    <n v="2160"/>
    <s v="Male"/>
    <n v="50"/>
    <x v="0"/>
    <x v="1"/>
    <n v="176"/>
    <n v="78"/>
    <n v="0.11"/>
    <s v="Web"/>
    <n v="0"/>
    <n v="1"/>
    <n v="1"/>
    <n v="14.99"/>
    <n v="14.99"/>
  </r>
  <r>
    <n v="2161"/>
    <s v="Male"/>
    <n v="50"/>
    <x v="4"/>
    <x v="3"/>
    <n v="102"/>
    <n v="20"/>
    <n v="0.41"/>
    <s v="Mobile"/>
    <n v="0"/>
    <n v="1"/>
    <n v="0"/>
    <n v="4.99"/>
    <n v="0"/>
  </r>
  <r>
    <n v="2162"/>
    <s v="Female"/>
    <n v="41"/>
    <x v="7"/>
    <x v="0"/>
    <n v="107"/>
    <n v="57"/>
    <n v="0.27"/>
    <s v="Web"/>
    <n v="41"/>
    <n v="0"/>
    <n v="1"/>
    <n v="0"/>
    <n v="0"/>
  </r>
  <r>
    <n v="2163"/>
    <s v="Other"/>
    <n v="58"/>
    <x v="3"/>
    <x v="2"/>
    <n v="182"/>
    <n v="45"/>
    <n v="0.14000000000000001"/>
    <s v="Web"/>
    <n v="0"/>
    <n v="1"/>
    <n v="0"/>
    <n v="9.99"/>
    <n v="0"/>
  </r>
  <r>
    <n v="2164"/>
    <s v="Other"/>
    <n v="48"/>
    <x v="3"/>
    <x v="0"/>
    <n v="167"/>
    <n v="54"/>
    <n v="0.48"/>
    <s v="Desktop"/>
    <n v="7"/>
    <n v="0"/>
    <n v="1"/>
    <n v="0"/>
    <n v="0"/>
  </r>
  <r>
    <n v="2165"/>
    <s v="Other"/>
    <n v="39"/>
    <x v="2"/>
    <x v="3"/>
    <n v="246"/>
    <n v="57"/>
    <n v="0.08"/>
    <s v="Desktop"/>
    <n v="0"/>
    <n v="1"/>
    <n v="1"/>
    <n v="4.99"/>
    <n v="4.99"/>
  </r>
  <r>
    <n v="2166"/>
    <s v="Female"/>
    <n v="44"/>
    <x v="3"/>
    <x v="0"/>
    <n v="185"/>
    <n v="64"/>
    <n v="0.45"/>
    <s v="Mobile"/>
    <n v="15"/>
    <n v="0"/>
    <n v="0"/>
    <n v="0"/>
    <n v="0"/>
  </r>
  <r>
    <n v="2167"/>
    <s v="Female"/>
    <n v="21"/>
    <x v="6"/>
    <x v="2"/>
    <n v="86"/>
    <n v="42"/>
    <n v="0.56000000000000005"/>
    <s v="Web"/>
    <n v="0"/>
    <n v="1"/>
    <n v="0"/>
    <n v="9.99"/>
    <n v="0"/>
  </r>
  <r>
    <n v="2168"/>
    <s v="Female"/>
    <n v="59"/>
    <x v="2"/>
    <x v="2"/>
    <n v="265"/>
    <n v="61"/>
    <n v="0.3"/>
    <s v="Web"/>
    <n v="0"/>
    <n v="1"/>
    <n v="0"/>
    <n v="9.99"/>
    <n v="0"/>
  </r>
  <r>
    <n v="2169"/>
    <s v="Female"/>
    <n v="51"/>
    <x v="4"/>
    <x v="3"/>
    <n v="114"/>
    <n v="56"/>
    <n v="0.36"/>
    <s v="Desktop"/>
    <n v="0"/>
    <n v="1"/>
    <n v="0"/>
    <n v="4.99"/>
    <n v="0"/>
  </r>
  <r>
    <n v="2170"/>
    <s v="Other"/>
    <n v="17"/>
    <x v="1"/>
    <x v="0"/>
    <n v="240"/>
    <n v="65"/>
    <n v="0.54"/>
    <s v="Web"/>
    <n v="7"/>
    <n v="0"/>
    <n v="0"/>
    <n v="0"/>
    <n v="0"/>
  </r>
  <r>
    <n v="2171"/>
    <s v="Female"/>
    <n v="20"/>
    <x v="4"/>
    <x v="0"/>
    <n v="181"/>
    <n v="33"/>
    <n v="7.0000000000000007E-2"/>
    <s v="Web"/>
    <n v="38"/>
    <n v="0"/>
    <n v="0"/>
    <n v="0"/>
    <n v="0"/>
  </r>
  <r>
    <n v="2172"/>
    <s v="Female"/>
    <n v="23"/>
    <x v="6"/>
    <x v="2"/>
    <n v="226"/>
    <n v="19"/>
    <n v="0.56999999999999995"/>
    <s v="Web"/>
    <n v="0"/>
    <n v="1"/>
    <n v="0"/>
    <n v="9.99"/>
    <n v="0"/>
  </r>
  <r>
    <n v="2173"/>
    <s v="Male"/>
    <n v="36"/>
    <x v="7"/>
    <x v="0"/>
    <n v="145"/>
    <n v="73"/>
    <n v="0.38"/>
    <s v="Web"/>
    <n v="47"/>
    <n v="0"/>
    <n v="1"/>
    <n v="0"/>
    <n v="0"/>
  </r>
  <r>
    <n v="2174"/>
    <s v="Male"/>
    <n v="58"/>
    <x v="6"/>
    <x v="0"/>
    <n v="133"/>
    <n v="77"/>
    <n v="0.03"/>
    <s v="Desktop"/>
    <n v="8"/>
    <n v="0"/>
    <n v="1"/>
    <n v="0"/>
    <n v="0"/>
  </r>
  <r>
    <n v="2175"/>
    <s v="Female"/>
    <n v="45"/>
    <x v="5"/>
    <x v="3"/>
    <n v="115"/>
    <n v="3"/>
    <n v="0.18"/>
    <s v="Web"/>
    <n v="0"/>
    <n v="1"/>
    <n v="0"/>
    <n v="4.99"/>
    <n v="0"/>
  </r>
  <r>
    <n v="2176"/>
    <s v="Female"/>
    <n v="17"/>
    <x v="2"/>
    <x v="1"/>
    <n v="184"/>
    <n v="93"/>
    <n v="0.15"/>
    <s v="Mobile"/>
    <n v="0"/>
    <n v="1"/>
    <n v="0"/>
    <n v="14.99"/>
    <n v="0"/>
  </r>
  <r>
    <n v="2177"/>
    <s v="Other"/>
    <n v="24"/>
    <x v="0"/>
    <x v="0"/>
    <n v="41"/>
    <n v="48"/>
    <n v="0.18"/>
    <s v="Desktop"/>
    <n v="33"/>
    <n v="0"/>
    <n v="0"/>
    <n v="0"/>
    <n v="0"/>
  </r>
  <r>
    <n v="2178"/>
    <s v="Other"/>
    <n v="17"/>
    <x v="0"/>
    <x v="2"/>
    <n v="288"/>
    <n v="93"/>
    <n v="0.17"/>
    <s v="Desktop"/>
    <n v="0"/>
    <n v="1"/>
    <n v="0"/>
    <n v="9.99"/>
    <n v="0"/>
  </r>
  <r>
    <n v="2179"/>
    <s v="Female"/>
    <n v="49"/>
    <x v="6"/>
    <x v="1"/>
    <n v="162"/>
    <n v="37"/>
    <n v="0.1"/>
    <s v="Desktop"/>
    <n v="0"/>
    <n v="1"/>
    <n v="1"/>
    <n v="14.99"/>
    <n v="14.99"/>
  </r>
  <r>
    <n v="2180"/>
    <s v="Other"/>
    <n v="53"/>
    <x v="4"/>
    <x v="0"/>
    <n v="240"/>
    <n v="47"/>
    <n v="0.56000000000000005"/>
    <s v="Web"/>
    <n v="8"/>
    <n v="0"/>
    <n v="1"/>
    <n v="0"/>
    <n v="0"/>
  </r>
  <r>
    <n v="2181"/>
    <s v="Female"/>
    <n v="41"/>
    <x v="3"/>
    <x v="1"/>
    <n v="192"/>
    <n v="54"/>
    <n v="0.31"/>
    <s v="Desktop"/>
    <n v="0"/>
    <n v="1"/>
    <n v="1"/>
    <n v="14.99"/>
    <n v="14.99"/>
  </r>
  <r>
    <n v="2182"/>
    <s v="Male"/>
    <n v="59"/>
    <x v="7"/>
    <x v="0"/>
    <n v="106"/>
    <n v="8"/>
    <n v="0.21"/>
    <s v="Desktop"/>
    <n v="9"/>
    <n v="0"/>
    <n v="0"/>
    <n v="0"/>
    <n v="0"/>
  </r>
  <r>
    <n v="2183"/>
    <s v="Other"/>
    <n v="27"/>
    <x v="6"/>
    <x v="0"/>
    <n v="88"/>
    <n v="7"/>
    <n v="0.2"/>
    <s v="Web"/>
    <n v="45"/>
    <n v="0"/>
    <n v="0"/>
    <n v="0"/>
    <n v="0"/>
  </r>
  <r>
    <n v="2184"/>
    <s v="Female"/>
    <n v="22"/>
    <x v="4"/>
    <x v="3"/>
    <n v="19"/>
    <n v="13"/>
    <n v="0.53"/>
    <s v="Web"/>
    <n v="0"/>
    <n v="1"/>
    <n v="0"/>
    <n v="4.99"/>
    <n v="0"/>
  </r>
  <r>
    <n v="2185"/>
    <s v="Female"/>
    <n v="39"/>
    <x v="0"/>
    <x v="1"/>
    <n v="269"/>
    <n v="18"/>
    <n v="0.23"/>
    <s v="Desktop"/>
    <n v="0"/>
    <n v="1"/>
    <n v="1"/>
    <n v="14.99"/>
    <n v="14.99"/>
  </r>
  <r>
    <n v="2186"/>
    <s v="Male"/>
    <n v="53"/>
    <x v="1"/>
    <x v="0"/>
    <n v="174"/>
    <n v="78"/>
    <n v="0.56000000000000005"/>
    <s v="Web"/>
    <n v="44"/>
    <n v="0"/>
    <n v="0"/>
    <n v="0"/>
    <n v="0"/>
  </r>
  <r>
    <n v="2187"/>
    <s v="Male"/>
    <n v="29"/>
    <x v="5"/>
    <x v="3"/>
    <n v="153"/>
    <n v="51"/>
    <n v="0.3"/>
    <s v="Mobile"/>
    <n v="0"/>
    <n v="1"/>
    <n v="1"/>
    <n v="4.99"/>
    <n v="4.99"/>
  </r>
  <r>
    <n v="2188"/>
    <s v="Male"/>
    <n v="21"/>
    <x v="2"/>
    <x v="0"/>
    <n v="113"/>
    <n v="78"/>
    <n v="0.25"/>
    <s v="Desktop"/>
    <n v="19"/>
    <n v="0"/>
    <n v="1"/>
    <n v="0"/>
    <n v="0"/>
  </r>
  <r>
    <n v="2189"/>
    <s v="Female"/>
    <n v="31"/>
    <x v="5"/>
    <x v="3"/>
    <n v="211"/>
    <n v="48"/>
    <n v="0.24"/>
    <s v="Mobile"/>
    <n v="0"/>
    <n v="1"/>
    <n v="0"/>
    <n v="4.99"/>
    <n v="0"/>
  </r>
  <r>
    <n v="2190"/>
    <s v="Other"/>
    <n v="16"/>
    <x v="4"/>
    <x v="3"/>
    <n v="14"/>
    <n v="75"/>
    <n v="0.36"/>
    <s v="Web"/>
    <n v="0"/>
    <n v="1"/>
    <n v="0"/>
    <n v="4.99"/>
    <n v="0"/>
  </r>
  <r>
    <n v="2191"/>
    <s v="Female"/>
    <n v="57"/>
    <x v="0"/>
    <x v="3"/>
    <n v="201"/>
    <n v="36"/>
    <n v="0.09"/>
    <s v="Desktop"/>
    <n v="0"/>
    <n v="1"/>
    <n v="0"/>
    <n v="4.99"/>
    <n v="0"/>
  </r>
  <r>
    <n v="2192"/>
    <s v="Male"/>
    <n v="49"/>
    <x v="0"/>
    <x v="0"/>
    <n v="162"/>
    <n v="34"/>
    <n v="0.35"/>
    <s v="Mobile"/>
    <n v="42"/>
    <n v="0"/>
    <n v="0"/>
    <n v="0"/>
    <n v="0"/>
  </r>
  <r>
    <n v="2193"/>
    <s v="Male"/>
    <n v="17"/>
    <x v="2"/>
    <x v="1"/>
    <n v="298"/>
    <n v="44"/>
    <n v="0.33"/>
    <s v="Mobile"/>
    <n v="0"/>
    <n v="1"/>
    <n v="0"/>
    <n v="14.99"/>
    <n v="0"/>
  </r>
  <r>
    <n v="2194"/>
    <s v="Other"/>
    <n v="54"/>
    <x v="6"/>
    <x v="1"/>
    <n v="167"/>
    <n v="73"/>
    <n v="0.31"/>
    <s v="Desktop"/>
    <n v="0"/>
    <n v="1"/>
    <n v="0"/>
    <n v="14.99"/>
    <n v="0"/>
  </r>
  <r>
    <n v="2195"/>
    <s v="Female"/>
    <n v="25"/>
    <x v="1"/>
    <x v="1"/>
    <n v="80"/>
    <n v="22"/>
    <n v="0.18"/>
    <s v="Mobile"/>
    <n v="0"/>
    <n v="1"/>
    <n v="0"/>
    <n v="14.99"/>
    <n v="0"/>
  </r>
  <r>
    <n v="2196"/>
    <s v="Female"/>
    <n v="57"/>
    <x v="5"/>
    <x v="2"/>
    <n v="194"/>
    <n v="55"/>
    <n v="0.01"/>
    <s v="Mobile"/>
    <n v="0"/>
    <n v="1"/>
    <n v="0"/>
    <n v="9.99"/>
    <n v="0"/>
  </r>
  <r>
    <n v="2197"/>
    <s v="Other"/>
    <n v="32"/>
    <x v="1"/>
    <x v="3"/>
    <n v="141"/>
    <n v="82"/>
    <n v="0.2"/>
    <s v="Desktop"/>
    <n v="0"/>
    <n v="1"/>
    <n v="0"/>
    <n v="4.99"/>
    <n v="0"/>
  </r>
  <r>
    <n v="2198"/>
    <s v="Other"/>
    <n v="45"/>
    <x v="0"/>
    <x v="0"/>
    <n v="91"/>
    <n v="28"/>
    <n v="0.43"/>
    <s v="Web"/>
    <n v="26"/>
    <n v="0"/>
    <n v="0"/>
    <n v="0"/>
    <n v="0"/>
  </r>
  <r>
    <n v="2199"/>
    <s v="Male"/>
    <n v="34"/>
    <x v="7"/>
    <x v="3"/>
    <n v="20"/>
    <n v="91"/>
    <n v="0.11"/>
    <s v="Web"/>
    <n v="0"/>
    <n v="1"/>
    <n v="0"/>
    <n v="4.99"/>
    <n v="0"/>
  </r>
  <r>
    <n v="2200"/>
    <s v="Female"/>
    <n v="58"/>
    <x v="2"/>
    <x v="2"/>
    <n v="250"/>
    <n v="78"/>
    <n v="0.19"/>
    <s v="Desktop"/>
    <n v="0"/>
    <n v="1"/>
    <n v="0"/>
    <n v="9.99"/>
    <n v="0"/>
  </r>
  <r>
    <n v="2201"/>
    <s v="Female"/>
    <n v="56"/>
    <x v="6"/>
    <x v="3"/>
    <n v="166"/>
    <n v="40"/>
    <n v="0.03"/>
    <s v="Desktop"/>
    <n v="0"/>
    <n v="1"/>
    <n v="0"/>
    <n v="4.99"/>
    <n v="0"/>
  </r>
  <r>
    <n v="2202"/>
    <s v="Other"/>
    <n v="38"/>
    <x v="4"/>
    <x v="2"/>
    <n v="149"/>
    <n v="98"/>
    <n v="0.46"/>
    <s v="Web"/>
    <n v="0"/>
    <n v="1"/>
    <n v="0"/>
    <n v="9.99"/>
    <n v="0"/>
  </r>
  <r>
    <n v="2203"/>
    <s v="Female"/>
    <n v="49"/>
    <x v="2"/>
    <x v="1"/>
    <n v="17"/>
    <n v="85"/>
    <n v="0.46"/>
    <s v="Mobile"/>
    <n v="0"/>
    <n v="1"/>
    <n v="1"/>
    <n v="14.99"/>
    <n v="14.99"/>
  </r>
  <r>
    <n v="2204"/>
    <s v="Female"/>
    <n v="24"/>
    <x v="4"/>
    <x v="2"/>
    <n v="128"/>
    <n v="59"/>
    <n v="0.15"/>
    <s v="Web"/>
    <n v="0"/>
    <n v="1"/>
    <n v="0"/>
    <n v="9.99"/>
    <n v="0"/>
  </r>
  <r>
    <n v="2205"/>
    <s v="Other"/>
    <n v="59"/>
    <x v="3"/>
    <x v="2"/>
    <n v="129"/>
    <n v="48"/>
    <n v="0.21"/>
    <s v="Desktop"/>
    <n v="0"/>
    <n v="1"/>
    <n v="0"/>
    <n v="9.99"/>
    <n v="0"/>
  </r>
  <r>
    <n v="2206"/>
    <s v="Male"/>
    <n v="45"/>
    <x v="6"/>
    <x v="0"/>
    <n v="136"/>
    <n v="37"/>
    <n v="0.4"/>
    <s v="Desktop"/>
    <n v="5"/>
    <n v="0"/>
    <n v="0"/>
    <n v="0"/>
    <n v="0"/>
  </r>
  <r>
    <n v="2207"/>
    <s v="Male"/>
    <n v="41"/>
    <x v="7"/>
    <x v="1"/>
    <n v="130"/>
    <n v="88"/>
    <n v="0.51"/>
    <s v="Mobile"/>
    <n v="0"/>
    <n v="1"/>
    <n v="1"/>
    <n v="14.99"/>
    <n v="14.99"/>
  </r>
  <r>
    <n v="2208"/>
    <s v="Female"/>
    <n v="34"/>
    <x v="1"/>
    <x v="3"/>
    <n v="179"/>
    <n v="96"/>
    <n v="0.54"/>
    <s v="Mobile"/>
    <n v="0"/>
    <n v="1"/>
    <n v="0"/>
    <n v="4.99"/>
    <n v="0"/>
  </r>
  <r>
    <n v="2209"/>
    <s v="Female"/>
    <n v="27"/>
    <x v="4"/>
    <x v="1"/>
    <n v="43"/>
    <n v="61"/>
    <n v="7.0000000000000007E-2"/>
    <s v="Web"/>
    <n v="0"/>
    <n v="1"/>
    <n v="0"/>
    <n v="14.99"/>
    <n v="0"/>
  </r>
  <r>
    <n v="2210"/>
    <s v="Female"/>
    <n v="58"/>
    <x v="7"/>
    <x v="0"/>
    <n v="260"/>
    <n v="49"/>
    <n v="0.11"/>
    <s v="Mobile"/>
    <n v="34"/>
    <n v="0"/>
    <n v="0"/>
    <n v="0"/>
    <n v="0"/>
  </r>
  <r>
    <n v="2211"/>
    <s v="Other"/>
    <n v="47"/>
    <x v="5"/>
    <x v="3"/>
    <n v="64"/>
    <n v="52"/>
    <n v="0.55000000000000004"/>
    <s v="Web"/>
    <n v="0"/>
    <n v="1"/>
    <n v="0"/>
    <n v="4.99"/>
    <n v="0"/>
  </r>
  <r>
    <n v="2212"/>
    <s v="Other"/>
    <n v="47"/>
    <x v="2"/>
    <x v="0"/>
    <n v="58"/>
    <n v="17"/>
    <n v="0.42"/>
    <s v="Desktop"/>
    <n v="46"/>
    <n v="0"/>
    <n v="0"/>
    <n v="0"/>
    <n v="0"/>
  </r>
  <r>
    <n v="2213"/>
    <s v="Other"/>
    <n v="55"/>
    <x v="6"/>
    <x v="3"/>
    <n v="276"/>
    <n v="78"/>
    <n v="0.1"/>
    <s v="Desktop"/>
    <n v="0"/>
    <n v="1"/>
    <n v="1"/>
    <n v="4.99"/>
    <n v="4.99"/>
  </r>
  <r>
    <n v="2214"/>
    <s v="Other"/>
    <n v="16"/>
    <x v="4"/>
    <x v="2"/>
    <n v="130"/>
    <n v="80"/>
    <n v="0.51"/>
    <s v="Desktop"/>
    <n v="0"/>
    <n v="1"/>
    <n v="0"/>
    <n v="9.99"/>
    <n v="0"/>
  </r>
  <r>
    <n v="2215"/>
    <s v="Male"/>
    <n v="42"/>
    <x v="6"/>
    <x v="3"/>
    <n v="53"/>
    <n v="72"/>
    <n v="0.5"/>
    <s v="Web"/>
    <n v="0"/>
    <n v="1"/>
    <n v="1"/>
    <n v="4.99"/>
    <n v="4.99"/>
  </r>
  <r>
    <n v="2216"/>
    <s v="Female"/>
    <n v="21"/>
    <x v="0"/>
    <x v="2"/>
    <n v="184"/>
    <n v="22"/>
    <n v="0.4"/>
    <s v="Mobile"/>
    <n v="0"/>
    <n v="1"/>
    <n v="0"/>
    <n v="9.99"/>
    <n v="0"/>
  </r>
  <r>
    <n v="2217"/>
    <s v="Other"/>
    <n v="22"/>
    <x v="4"/>
    <x v="1"/>
    <n v="209"/>
    <n v="21"/>
    <n v="0.56000000000000005"/>
    <s v="Web"/>
    <n v="0"/>
    <n v="1"/>
    <n v="0"/>
    <n v="14.99"/>
    <n v="0"/>
  </r>
  <r>
    <n v="2218"/>
    <s v="Female"/>
    <n v="23"/>
    <x v="1"/>
    <x v="0"/>
    <n v="168"/>
    <n v="18"/>
    <n v="0.46"/>
    <s v="Web"/>
    <n v="6"/>
    <n v="0"/>
    <n v="0"/>
    <n v="0"/>
    <n v="0"/>
  </r>
  <r>
    <n v="2219"/>
    <s v="Female"/>
    <n v="55"/>
    <x v="2"/>
    <x v="3"/>
    <n v="27"/>
    <n v="20"/>
    <n v="0.44"/>
    <s v="Web"/>
    <n v="0"/>
    <n v="1"/>
    <n v="1"/>
    <n v="4.99"/>
    <n v="4.99"/>
  </r>
  <r>
    <n v="2220"/>
    <s v="Other"/>
    <n v="33"/>
    <x v="7"/>
    <x v="3"/>
    <n v="54"/>
    <n v="63"/>
    <n v="0.02"/>
    <s v="Web"/>
    <n v="0"/>
    <n v="1"/>
    <n v="1"/>
    <n v="4.99"/>
    <n v="4.99"/>
  </r>
  <r>
    <n v="2221"/>
    <s v="Other"/>
    <n v="57"/>
    <x v="5"/>
    <x v="0"/>
    <n v="22"/>
    <n v="80"/>
    <n v="0.6"/>
    <s v="Mobile"/>
    <n v="22"/>
    <n v="0"/>
    <n v="0"/>
    <n v="0"/>
    <n v="0"/>
  </r>
  <r>
    <n v="2222"/>
    <s v="Male"/>
    <n v="33"/>
    <x v="6"/>
    <x v="2"/>
    <n v="87"/>
    <n v="83"/>
    <n v="0.46"/>
    <s v="Desktop"/>
    <n v="0"/>
    <n v="1"/>
    <n v="0"/>
    <n v="9.99"/>
    <n v="0"/>
  </r>
  <r>
    <n v="2223"/>
    <s v="Other"/>
    <n v="42"/>
    <x v="7"/>
    <x v="1"/>
    <n v="198"/>
    <n v="71"/>
    <n v="0.44"/>
    <s v="Mobile"/>
    <n v="0"/>
    <n v="1"/>
    <n v="0"/>
    <n v="14.99"/>
    <n v="0"/>
  </r>
  <r>
    <n v="2224"/>
    <s v="Female"/>
    <n v="48"/>
    <x v="6"/>
    <x v="1"/>
    <n v="252"/>
    <n v="34"/>
    <n v="0.48"/>
    <s v="Desktop"/>
    <n v="0"/>
    <n v="1"/>
    <n v="0"/>
    <n v="14.99"/>
    <n v="0"/>
  </r>
  <r>
    <n v="2225"/>
    <s v="Male"/>
    <n v="43"/>
    <x v="3"/>
    <x v="1"/>
    <n v="50"/>
    <n v="19"/>
    <n v="0.38"/>
    <s v="Desktop"/>
    <n v="0"/>
    <n v="1"/>
    <n v="0"/>
    <n v="14.99"/>
    <n v="0"/>
  </r>
  <r>
    <n v="2226"/>
    <s v="Female"/>
    <n v="39"/>
    <x v="6"/>
    <x v="3"/>
    <n v="171"/>
    <n v="18"/>
    <n v="0.04"/>
    <s v="Web"/>
    <n v="0"/>
    <n v="1"/>
    <n v="1"/>
    <n v="4.99"/>
    <n v="4.99"/>
  </r>
  <r>
    <n v="2227"/>
    <s v="Female"/>
    <n v="22"/>
    <x v="4"/>
    <x v="0"/>
    <n v="175"/>
    <n v="78"/>
    <n v="0.38"/>
    <s v="Mobile"/>
    <n v="31"/>
    <n v="0"/>
    <n v="0"/>
    <n v="0"/>
    <n v="0"/>
  </r>
  <r>
    <n v="2228"/>
    <s v="Other"/>
    <n v="34"/>
    <x v="7"/>
    <x v="1"/>
    <n v="213"/>
    <n v="79"/>
    <n v="0.51"/>
    <s v="Mobile"/>
    <n v="0"/>
    <n v="1"/>
    <n v="1"/>
    <n v="14.99"/>
    <n v="14.99"/>
  </r>
  <r>
    <n v="2229"/>
    <s v="Male"/>
    <n v="28"/>
    <x v="5"/>
    <x v="1"/>
    <n v="83"/>
    <n v="38"/>
    <n v="0.27"/>
    <s v="Desktop"/>
    <n v="0"/>
    <n v="1"/>
    <n v="0"/>
    <n v="14.99"/>
    <n v="0"/>
  </r>
  <r>
    <n v="2230"/>
    <s v="Female"/>
    <n v="17"/>
    <x v="0"/>
    <x v="3"/>
    <n v="235"/>
    <n v="73"/>
    <n v="0.03"/>
    <s v="Mobile"/>
    <n v="0"/>
    <n v="1"/>
    <n v="0"/>
    <n v="4.99"/>
    <n v="0"/>
  </r>
  <r>
    <n v="2231"/>
    <s v="Male"/>
    <n v="30"/>
    <x v="6"/>
    <x v="2"/>
    <n v="276"/>
    <n v="30"/>
    <n v="0.17"/>
    <s v="Web"/>
    <n v="0"/>
    <n v="1"/>
    <n v="1"/>
    <n v="9.99"/>
    <n v="9.99"/>
  </r>
  <r>
    <n v="2232"/>
    <s v="Male"/>
    <n v="16"/>
    <x v="0"/>
    <x v="3"/>
    <n v="229"/>
    <n v="13"/>
    <n v="0.59"/>
    <s v="Desktop"/>
    <n v="0"/>
    <n v="1"/>
    <n v="1"/>
    <n v="4.99"/>
    <n v="4.99"/>
  </r>
  <r>
    <n v="2233"/>
    <s v="Other"/>
    <n v="16"/>
    <x v="6"/>
    <x v="0"/>
    <n v="94"/>
    <n v="39"/>
    <n v="0.08"/>
    <s v="Desktop"/>
    <n v="35"/>
    <n v="0"/>
    <n v="0"/>
    <n v="0"/>
    <n v="0"/>
  </r>
  <r>
    <n v="2234"/>
    <s v="Male"/>
    <n v="34"/>
    <x v="4"/>
    <x v="2"/>
    <n v="201"/>
    <n v="41"/>
    <n v="0.44"/>
    <s v="Desktop"/>
    <n v="0"/>
    <n v="1"/>
    <n v="1"/>
    <n v="9.99"/>
    <n v="9.99"/>
  </r>
  <r>
    <n v="2235"/>
    <s v="Male"/>
    <n v="57"/>
    <x v="7"/>
    <x v="2"/>
    <n v="90"/>
    <n v="86"/>
    <n v="0.56000000000000005"/>
    <s v="Web"/>
    <n v="0"/>
    <n v="1"/>
    <n v="0"/>
    <n v="9.99"/>
    <n v="0"/>
  </r>
  <r>
    <n v="2236"/>
    <s v="Male"/>
    <n v="42"/>
    <x v="2"/>
    <x v="3"/>
    <n v="77"/>
    <n v="13"/>
    <n v="0"/>
    <s v="Web"/>
    <n v="0"/>
    <n v="1"/>
    <n v="0"/>
    <n v="4.99"/>
    <n v="0"/>
  </r>
  <r>
    <n v="2237"/>
    <s v="Other"/>
    <n v="37"/>
    <x v="0"/>
    <x v="0"/>
    <n v="94"/>
    <n v="91"/>
    <n v="0.02"/>
    <s v="Desktop"/>
    <n v="10"/>
    <n v="0"/>
    <n v="0"/>
    <n v="0"/>
    <n v="0"/>
  </r>
  <r>
    <n v="2238"/>
    <s v="Other"/>
    <n v="31"/>
    <x v="0"/>
    <x v="3"/>
    <n v="166"/>
    <n v="84"/>
    <n v="0.49"/>
    <s v="Mobile"/>
    <n v="0"/>
    <n v="1"/>
    <n v="0"/>
    <n v="4.99"/>
    <n v="0"/>
  </r>
  <r>
    <n v="2239"/>
    <s v="Female"/>
    <n v="40"/>
    <x v="1"/>
    <x v="2"/>
    <n v="235"/>
    <n v="43"/>
    <n v="0.56999999999999995"/>
    <s v="Web"/>
    <n v="0"/>
    <n v="1"/>
    <n v="0"/>
    <n v="9.99"/>
    <n v="0"/>
  </r>
  <r>
    <n v="2240"/>
    <s v="Other"/>
    <n v="37"/>
    <x v="4"/>
    <x v="3"/>
    <n v="105"/>
    <n v="70"/>
    <n v="0.15"/>
    <s v="Mobile"/>
    <n v="0"/>
    <n v="1"/>
    <n v="0"/>
    <n v="4.99"/>
    <n v="0"/>
  </r>
  <r>
    <n v="2241"/>
    <s v="Female"/>
    <n v="56"/>
    <x v="5"/>
    <x v="2"/>
    <n v="97"/>
    <n v="56"/>
    <n v="0.42"/>
    <s v="Desktop"/>
    <n v="0"/>
    <n v="1"/>
    <n v="0"/>
    <n v="9.99"/>
    <n v="0"/>
  </r>
  <r>
    <n v="2242"/>
    <s v="Female"/>
    <n v="46"/>
    <x v="1"/>
    <x v="3"/>
    <n v="168"/>
    <n v="81"/>
    <n v="0.09"/>
    <s v="Mobile"/>
    <n v="0"/>
    <n v="1"/>
    <n v="0"/>
    <n v="4.99"/>
    <n v="0"/>
  </r>
  <r>
    <n v="2243"/>
    <s v="Female"/>
    <n v="25"/>
    <x v="5"/>
    <x v="0"/>
    <n v="19"/>
    <n v="52"/>
    <n v="0.35"/>
    <s v="Desktop"/>
    <n v="17"/>
    <n v="0"/>
    <n v="0"/>
    <n v="0"/>
    <n v="0"/>
  </r>
  <r>
    <n v="2244"/>
    <s v="Female"/>
    <n v="28"/>
    <x v="7"/>
    <x v="0"/>
    <n v="294"/>
    <n v="60"/>
    <n v="0.39"/>
    <s v="Web"/>
    <n v="18"/>
    <n v="0"/>
    <n v="0"/>
    <n v="0"/>
    <n v="0"/>
  </r>
  <r>
    <n v="2245"/>
    <s v="Other"/>
    <n v="23"/>
    <x v="3"/>
    <x v="0"/>
    <n v="137"/>
    <n v="5"/>
    <n v="0.38"/>
    <s v="Desktop"/>
    <n v="16"/>
    <n v="0"/>
    <n v="0"/>
    <n v="0"/>
    <n v="0"/>
  </r>
  <r>
    <n v="2246"/>
    <s v="Other"/>
    <n v="54"/>
    <x v="1"/>
    <x v="0"/>
    <n v="161"/>
    <n v="31"/>
    <n v="0.39"/>
    <s v="Desktop"/>
    <n v="46"/>
    <n v="0"/>
    <n v="0"/>
    <n v="0"/>
    <n v="0"/>
  </r>
  <r>
    <n v="2247"/>
    <s v="Female"/>
    <n v="35"/>
    <x v="1"/>
    <x v="2"/>
    <n v="253"/>
    <n v="62"/>
    <n v="0.21"/>
    <s v="Mobile"/>
    <n v="0"/>
    <n v="1"/>
    <n v="0"/>
    <n v="9.99"/>
    <n v="0"/>
  </r>
  <r>
    <n v="2248"/>
    <s v="Female"/>
    <n v="44"/>
    <x v="4"/>
    <x v="2"/>
    <n v="221"/>
    <n v="99"/>
    <n v="0.28999999999999998"/>
    <s v="Web"/>
    <n v="0"/>
    <n v="1"/>
    <n v="1"/>
    <n v="9.99"/>
    <n v="9.99"/>
  </r>
  <r>
    <n v="2249"/>
    <s v="Other"/>
    <n v="50"/>
    <x v="7"/>
    <x v="3"/>
    <n v="31"/>
    <n v="83"/>
    <n v="0.1"/>
    <s v="Web"/>
    <n v="0"/>
    <n v="1"/>
    <n v="0"/>
    <n v="4.99"/>
    <n v="0"/>
  </r>
  <r>
    <n v="2250"/>
    <s v="Male"/>
    <n v="32"/>
    <x v="6"/>
    <x v="3"/>
    <n v="170"/>
    <n v="40"/>
    <n v="0.21"/>
    <s v="Desktop"/>
    <n v="0"/>
    <n v="1"/>
    <n v="0"/>
    <n v="4.99"/>
    <n v="0"/>
  </r>
  <r>
    <n v="2251"/>
    <s v="Female"/>
    <n v="51"/>
    <x v="6"/>
    <x v="3"/>
    <n v="213"/>
    <n v="72"/>
    <n v="0.11"/>
    <s v="Desktop"/>
    <n v="0"/>
    <n v="1"/>
    <n v="0"/>
    <n v="4.99"/>
    <n v="0"/>
  </r>
  <r>
    <n v="2252"/>
    <s v="Male"/>
    <n v="58"/>
    <x v="5"/>
    <x v="0"/>
    <n v="163"/>
    <n v="86"/>
    <n v="0.05"/>
    <s v="Mobile"/>
    <n v="45"/>
    <n v="0"/>
    <n v="1"/>
    <n v="0"/>
    <n v="0"/>
  </r>
  <r>
    <n v="2253"/>
    <s v="Male"/>
    <n v="28"/>
    <x v="5"/>
    <x v="2"/>
    <n v="175"/>
    <n v="29"/>
    <n v="0.57999999999999996"/>
    <s v="Web"/>
    <n v="0"/>
    <n v="1"/>
    <n v="1"/>
    <n v="9.99"/>
    <n v="9.99"/>
  </r>
  <r>
    <n v="2254"/>
    <s v="Male"/>
    <n v="27"/>
    <x v="5"/>
    <x v="0"/>
    <n v="155"/>
    <n v="25"/>
    <n v="0.38"/>
    <s v="Web"/>
    <n v="16"/>
    <n v="0"/>
    <n v="0"/>
    <n v="0"/>
    <n v="0"/>
  </r>
  <r>
    <n v="2255"/>
    <s v="Female"/>
    <n v="54"/>
    <x v="6"/>
    <x v="1"/>
    <n v="136"/>
    <n v="86"/>
    <n v="0.55000000000000004"/>
    <s v="Web"/>
    <n v="0"/>
    <n v="1"/>
    <n v="1"/>
    <n v="14.99"/>
    <n v="14.99"/>
  </r>
  <r>
    <n v="2256"/>
    <s v="Male"/>
    <n v="42"/>
    <x v="4"/>
    <x v="2"/>
    <n v="48"/>
    <n v="79"/>
    <n v="0.22"/>
    <s v="Desktop"/>
    <n v="0"/>
    <n v="1"/>
    <n v="0"/>
    <n v="9.99"/>
    <n v="0"/>
  </r>
  <r>
    <n v="2257"/>
    <s v="Other"/>
    <n v="48"/>
    <x v="7"/>
    <x v="0"/>
    <n v="141"/>
    <n v="34"/>
    <n v="0.1"/>
    <s v="Web"/>
    <n v="45"/>
    <n v="0"/>
    <n v="0"/>
    <n v="0"/>
    <n v="0"/>
  </r>
  <r>
    <n v="2258"/>
    <s v="Female"/>
    <n v="28"/>
    <x v="3"/>
    <x v="1"/>
    <n v="33"/>
    <n v="10"/>
    <n v="0.2"/>
    <s v="Mobile"/>
    <n v="0"/>
    <n v="1"/>
    <n v="0"/>
    <n v="14.99"/>
    <n v="0"/>
  </r>
  <r>
    <n v="2259"/>
    <s v="Male"/>
    <n v="39"/>
    <x v="6"/>
    <x v="3"/>
    <n v="290"/>
    <n v="89"/>
    <n v="0.4"/>
    <s v="Desktop"/>
    <n v="0"/>
    <n v="1"/>
    <n v="0"/>
    <n v="4.99"/>
    <n v="0"/>
  </r>
  <r>
    <n v="2260"/>
    <s v="Other"/>
    <n v="49"/>
    <x v="1"/>
    <x v="3"/>
    <n v="50"/>
    <n v="49"/>
    <n v="0.21"/>
    <s v="Web"/>
    <n v="0"/>
    <n v="1"/>
    <n v="0"/>
    <n v="4.99"/>
    <n v="0"/>
  </r>
  <r>
    <n v="2261"/>
    <s v="Female"/>
    <n v="36"/>
    <x v="3"/>
    <x v="1"/>
    <n v="266"/>
    <n v="97"/>
    <n v="0.4"/>
    <s v="Web"/>
    <n v="0"/>
    <n v="1"/>
    <n v="0"/>
    <n v="14.99"/>
    <n v="0"/>
  </r>
  <r>
    <n v="2262"/>
    <s v="Male"/>
    <n v="20"/>
    <x v="6"/>
    <x v="3"/>
    <n v="294"/>
    <n v="20"/>
    <n v="0.14000000000000001"/>
    <s v="Web"/>
    <n v="0"/>
    <n v="1"/>
    <n v="0"/>
    <n v="4.99"/>
    <n v="0"/>
  </r>
  <r>
    <n v="2263"/>
    <s v="Female"/>
    <n v="39"/>
    <x v="0"/>
    <x v="2"/>
    <n v="194"/>
    <n v="7"/>
    <n v="0.22"/>
    <s v="Web"/>
    <n v="0"/>
    <n v="1"/>
    <n v="1"/>
    <n v="9.99"/>
    <n v="9.99"/>
  </r>
  <r>
    <n v="2264"/>
    <s v="Male"/>
    <n v="20"/>
    <x v="4"/>
    <x v="2"/>
    <n v="260"/>
    <n v="99"/>
    <n v="0.34"/>
    <s v="Desktop"/>
    <n v="0"/>
    <n v="1"/>
    <n v="0"/>
    <n v="9.99"/>
    <n v="0"/>
  </r>
  <r>
    <n v="2265"/>
    <s v="Male"/>
    <n v="59"/>
    <x v="6"/>
    <x v="3"/>
    <n v="283"/>
    <n v="28"/>
    <n v="0.18"/>
    <s v="Desktop"/>
    <n v="0"/>
    <n v="1"/>
    <n v="0"/>
    <n v="4.99"/>
    <n v="0"/>
  </r>
  <r>
    <n v="2266"/>
    <s v="Male"/>
    <n v="59"/>
    <x v="0"/>
    <x v="3"/>
    <n v="135"/>
    <n v="91"/>
    <n v="0.43"/>
    <s v="Mobile"/>
    <n v="0"/>
    <n v="1"/>
    <n v="0"/>
    <n v="4.99"/>
    <n v="0"/>
  </r>
  <r>
    <n v="2267"/>
    <s v="Male"/>
    <n v="38"/>
    <x v="2"/>
    <x v="3"/>
    <n v="28"/>
    <n v="70"/>
    <n v="0.2"/>
    <s v="Web"/>
    <n v="0"/>
    <n v="1"/>
    <n v="0"/>
    <n v="4.99"/>
    <n v="0"/>
  </r>
  <r>
    <n v="2268"/>
    <s v="Female"/>
    <n v="47"/>
    <x v="3"/>
    <x v="2"/>
    <n v="45"/>
    <n v="60"/>
    <n v="0.36"/>
    <s v="Desktop"/>
    <n v="0"/>
    <n v="1"/>
    <n v="0"/>
    <n v="9.99"/>
    <n v="0"/>
  </r>
  <r>
    <n v="2269"/>
    <s v="Male"/>
    <n v="21"/>
    <x v="2"/>
    <x v="1"/>
    <n v="234"/>
    <n v="61"/>
    <n v="0.46"/>
    <s v="Mobile"/>
    <n v="0"/>
    <n v="1"/>
    <n v="0"/>
    <n v="14.99"/>
    <n v="0"/>
  </r>
  <r>
    <n v="2270"/>
    <s v="Female"/>
    <n v="24"/>
    <x v="1"/>
    <x v="1"/>
    <n v="270"/>
    <n v="49"/>
    <n v="0.23"/>
    <s v="Web"/>
    <n v="0"/>
    <n v="1"/>
    <n v="0"/>
    <n v="14.99"/>
    <n v="0"/>
  </r>
  <r>
    <n v="2271"/>
    <s v="Male"/>
    <n v="41"/>
    <x v="7"/>
    <x v="2"/>
    <n v="120"/>
    <n v="97"/>
    <n v="0.16"/>
    <s v="Mobile"/>
    <n v="0"/>
    <n v="1"/>
    <n v="0"/>
    <n v="9.99"/>
    <n v="0"/>
  </r>
  <r>
    <n v="2272"/>
    <s v="Female"/>
    <n v="59"/>
    <x v="1"/>
    <x v="3"/>
    <n v="229"/>
    <n v="96"/>
    <n v="0.09"/>
    <s v="Desktop"/>
    <n v="0"/>
    <n v="1"/>
    <n v="1"/>
    <n v="4.99"/>
    <n v="4.99"/>
  </r>
  <r>
    <n v="2273"/>
    <s v="Female"/>
    <n v="42"/>
    <x v="5"/>
    <x v="1"/>
    <n v="126"/>
    <n v="3"/>
    <n v="0.55000000000000004"/>
    <s v="Web"/>
    <n v="0"/>
    <n v="1"/>
    <n v="0"/>
    <n v="14.99"/>
    <n v="0"/>
  </r>
  <r>
    <n v="2274"/>
    <s v="Female"/>
    <n v="31"/>
    <x v="5"/>
    <x v="2"/>
    <n v="172"/>
    <n v="41"/>
    <n v="0.08"/>
    <s v="Web"/>
    <n v="0"/>
    <n v="1"/>
    <n v="0"/>
    <n v="9.99"/>
    <n v="0"/>
  </r>
  <r>
    <n v="2275"/>
    <s v="Other"/>
    <n v="20"/>
    <x v="5"/>
    <x v="2"/>
    <n v="166"/>
    <n v="75"/>
    <n v="0.22"/>
    <s v="Desktop"/>
    <n v="0"/>
    <n v="1"/>
    <n v="0"/>
    <n v="9.99"/>
    <n v="0"/>
  </r>
  <r>
    <n v="2276"/>
    <s v="Male"/>
    <n v="53"/>
    <x v="6"/>
    <x v="1"/>
    <n v="49"/>
    <n v="83"/>
    <n v="0.55000000000000004"/>
    <s v="Web"/>
    <n v="0"/>
    <n v="1"/>
    <n v="0"/>
    <n v="14.99"/>
    <n v="0"/>
  </r>
  <r>
    <n v="2277"/>
    <s v="Female"/>
    <n v="46"/>
    <x v="6"/>
    <x v="0"/>
    <n v="279"/>
    <n v="7"/>
    <n v="0.05"/>
    <s v="Desktop"/>
    <n v="30"/>
    <n v="0"/>
    <n v="0"/>
    <n v="0"/>
    <n v="0"/>
  </r>
  <r>
    <n v="2278"/>
    <s v="Male"/>
    <n v="59"/>
    <x v="0"/>
    <x v="0"/>
    <n v="235"/>
    <n v="71"/>
    <n v="0.45"/>
    <s v="Desktop"/>
    <n v="42"/>
    <n v="0"/>
    <n v="0"/>
    <n v="0"/>
    <n v="0"/>
  </r>
  <r>
    <n v="2279"/>
    <s v="Female"/>
    <n v="46"/>
    <x v="6"/>
    <x v="0"/>
    <n v="91"/>
    <n v="1"/>
    <n v="0.49"/>
    <s v="Web"/>
    <n v="42"/>
    <n v="0"/>
    <n v="0"/>
    <n v="0"/>
    <n v="0"/>
  </r>
  <r>
    <n v="2280"/>
    <s v="Female"/>
    <n v="38"/>
    <x v="6"/>
    <x v="2"/>
    <n v="215"/>
    <n v="4"/>
    <n v="0.37"/>
    <s v="Mobile"/>
    <n v="0"/>
    <n v="1"/>
    <n v="1"/>
    <n v="9.99"/>
    <n v="9.99"/>
  </r>
  <r>
    <n v="2281"/>
    <s v="Female"/>
    <n v="24"/>
    <x v="4"/>
    <x v="1"/>
    <n v="175"/>
    <n v="54"/>
    <n v="0.51"/>
    <s v="Mobile"/>
    <n v="0"/>
    <n v="1"/>
    <n v="1"/>
    <n v="14.99"/>
    <n v="14.99"/>
  </r>
  <r>
    <n v="2282"/>
    <s v="Male"/>
    <n v="32"/>
    <x v="0"/>
    <x v="2"/>
    <n v="182"/>
    <n v="77"/>
    <n v="0.34"/>
    <s v="Web"/>
    <n v="0"/>
    <n v="1"/>
    <n v="0"/>
    <n v="9.99"/>
    <n v="0"/>
  </r>
  <r>
    <n v="2283"/>
    <s v="Other"/>
    <n v="30"/>
    <x v="7"/>
    <x v="0"/>
    <n v="86"/>
    <n v="50"/>
    <n v="0.16"/>
    <s v="Web"/>
    <n v="42"/>
    <n v="0"/>
    <n v="1"/>
    <n v="0"/>
    <n v="0"/>
  </r>
  <r>
    <n v="2284"/>
    <s v="Male"/>
    <n v="25"/>
    <x v="6"/>
    <x v="1"/>
    <n v="189"/>
    <n v="93"/>
    <n v="0.57999999999999996"/>
    <s v="Desktop"/>
    <n v="0"/>
    <n v="1"/>
    <n v="0"/>
    <n v="14.99"/>
    <n v="0"/>
  </r>
  <r>
    <n v="2285"/>
    <s v="Other"/>
    <n v="32"/>
    <x v="1"/>
    <x v="0"/>
    <n v="77"/>
    <n v="43"/>
    <n v="0.1"/>
    <s v="Web"/>
    <n v="37"/>
    <n v="0"/>
    <n v="1"/>
    <n v="0"/>
    <n v="0"/>
  </r>
  <r>
    <n v="2286"/>
    <s v="Female"/>
    <n v="36"/>
    <x v="3"/>
    <x v="0"/>
    <n v="71"/>
    <n v="8"/>
    <n v="0.18"/>
    <s v="Desktop"/>
    <n v="7"/>
    <n v="0"/>
    <n v="1"/>
    <n v="0"/>
    <n v="0"/>
  </r>
  <r>
    <n v="2287"/>
    <s v="Male"/>
    <n v="51"/>
    <x v="2"/>
    <x v="1"/>
    <n v="235"/>
    <n v="30"/>
    <n v="0.44"/>
    <s v="Mobile"/>
    <n v="0"/>
    <n v="1"/>
    <n v="1"/>
    <n v="14.99"/>
    <n v="14.99"/>
  </r>
  <r>
    <n v="2288"/>
    <s v="Female"/>
    <n v="32"/>
    <x v="1"/>
    <x v="3"/>
    <n v="295"/>
    <n v="24"/>
    <n v="0.24"/>
    <s v="Web"/>
    <n v="0"/>
    <n v="1"/>
    <n v="0"/>
    <n v="4.99"/>
    <n v="0"/>
  </r>
  <r>
    <n v="2289"/>
    <s v="Female"/>
    <n v="24"/>
    <x v="3"/>
    <x v="1"/>
    <n v="105"/>
    <n v="52"/>
    <n v="0.34"/>
    <s v="Desktop"/>
    <n v="0"/>
    <n v="1"/>
    <n v="0"/>
    <n v="14.99"/>
    <n v="0"/>
  </r>
  <r>
    <n v="2290"/>
    <s v="Female"/>
    <n v="24"/>
    <x v="5"/>
    <x v="3"/>
    <n v="32"/>
    <n v="95"/>
    <n v="0.49"/>
    <s v="Desktop"/>
    <n v="0"/>
    <n v="1"/>
    <n v="0"/>
    <n v="4.99"/>
    <n v="0"/>
  </r>
  <r>
    <n v="2291"/>
    <s v="Female"/>
    <n v="48"/>
    <x v="0"/>
    <x v="1"/>
    <n v="183"/>
    <n v="15"/>
    <n v="0.38"/>
    <s v="Desktop"/>
    <n v="0"/>
    <n v="1"/>
    <n v="0"/>
    <n v="14.99"/>
    <n v="0"/>
  </r>
  <r>
    <n v="2292"/>
    <s v="Other"/>
    <n v="27"/>
    <x v="1"/>
    <x v="2"/>
    <n v="86"/>
    <n v="9"/>
    <n v="0.4"/>
    <s v="Mobile"/>
    <n v="0"/>
    <n v="1"/>
    <n v="1"/>
    <n v="9.99"/>
    <n v="9.99"/>
  </r>
  <r>
    <n v="2293"/>
    <s v="Other"/>
    <n v="35"/>
    <x v="4"/>
    <x v="2"/>
    <n v="163"/>
    <n v="85"/>
    <n v="0.19"/>
    <s v="Web"/>
    <n v="0"/>
    <n v="1"/>
    <n v="0"/>
    <n v="9.99"/>
    <n v="0"/>
  </r>
  <r>
    <n v="2294"/>
    <s v="Other"/>
    <n v="51"/>
    <x v="6"/>
    <x v="0"/>
    <n v="46"/>
    <n v="70"/>
    <n v="0.3"/>
    <s v="Desktop"/>
    <n v="46"/>
    <n v="0"/>
    <n v="0"/>
    <n v="0"/>
    <n v="0"/>
  </r>
  <r>
    <n v="2295"/>
    <s v="Female"/>
    <n v="40"/>
    <x v="6"/>
    <x v="2"/>
    <n v="146"/>
    <n v="91"/>
    <n v="0.5"/>
    <s v="Web"/>
    <n v="0"/>
    <n v="1"/>
    <n v="1"/>
    <n v="9.99"/>
    <n v="9.99"/>
  </r>
  <r>
    <n v="2296"/>
    <s v="Female"/>
    <n v="21"/>
    <x v="2"/>
    <x v="0"/>
    <n v="121"/>
    <n v="92"/>
    <n v="0.31"/>
    <s v="Mobile"/>
    <n v="18"/>
    <n v="0"/>
    <n v="0"/>
    <n v="0"/>
    <n v="0"/>
  </r>
  <r>
    <n v="2297"/>
    <s v="Female"/>
    <n v="46"/>
    <x v="1"/>
    <x v="0"/>
    <n v="119"/>
    <n v="87"/>
    <n v="0.55000000000000004"/>
    <s v="Web"/>
    <n v="26"/>
    <n v="0"/>
    <n v="1"/>
    <n v="0"/>
    <n v="0"/>
  </r>
  <r>
    <n v="2298"/>
    <s v="Female"/>
    <n v="40"/>
    <x v="0"/>
    <x v="0"/>
    <n v="45"/>
    <n v="36"/>
    <n v="0.21"/>
    <s v="Mobile"/>
    <n v="33"/>
    <n v="0"/>
    <n v="0"/>
    <n v="0"/>
    <n v="0"/>
  </r>
  <r>
    <n v="2299"/>
    <s v="Other"/>
    <n v="42"/>
    <x v="2"/>
    <x v="0"/>
    <n v="47"/>
    <n v="35"/>
    <n v="0.25"/>
    <s v="Desktop"/>
    <n v="14"/>
    <n v="0"/>
    <n v="0"/>
    <n v="0"/>
    <n v="0"/>
  </r>
  <r>
    <n v="2300"/>
    <s v="Male"/>
    <n v="58"/>
    <x v="3"/>
    <x v="1"/>
    <n v="50"/>
    <n v="79"/>
    <n v="0.23"/>
    <s v="Desktop"/>
    <n v="0"/>
    <n v="1"/>
    <n v="0"/>
    <n v="14.99"/>
    <n v="0"/>
  </r>
  <r>
    <n v="2301"/>
    <s v="Female"/>
    <n v="51"/>
    <x v="5"/>
    <x v="2"/>
    <n v="273"/>
    <n v="88"/>
    <n v="0.54"/>
    <s v="Web"/>
    <n v="0"/>
    <n v="1"/>
    <n v="0"/>
    <n v="9.99"/>
    <n v="0"/>
  </r>
  <r>
    <n v="2302"/>
    <s v="Other"/>
    <n v="53"/>
    <x v="5"/>
    <x v="2"/>
    <n v="147"/>
    <n v="19"/>
    <n v="0.49"/>
    <s v="Mobile"/>
    <n v="0"/>
    <n v="1"/>
    <n v="0"/>
    <n v="9.99"/>
    <n v="0"/>
  </r>
  <r>
    <n v="2303"/>
    <s v="Other"/>
    <n v="22"/>
    <x v="2"/>
    <x v="3"/>
    <n v="51"/>
    <n v="39"/>
    <n v="0.28000000000000003"/>
    <s v="Web"/>
    <n v="0"/>
    <n v="1"/>
    <n v="1"/>
    <n v="4.99"/>
    <n v="4.99"/>
  </r>
  <r>
    <n v="2304"/>
    <s v="Other"/>
    <n v="45"/>
    <x v="1"/>
    <x v="2"/>
    <n v="13"/>
    <n v="34"/>
    <n v="0.05"/>
    <s v="Desktop"/>
    <n v="0"/>
    <n v="1"/>
    <n v="0"/>
    <n v="9.99"/>
    <n v="0"/>
  </r>
  <r>
    <n v="2305"/>
    <s v="Other"/>
    <n v="22"/>
    <x v="3"/>
    <x v="0"/>
    <n v="158"/>
    <n v="50"/>
    <n v="0.08"/>
    <s v="Mobile"/>
    <n v="14"/>
    <n v="0"/>
    <n v="1"/>
    <n v="0"/>
    <n v="0"/>
  </r>
  <r>
    <n v="2306"/>
    <s v="Female"/>
    <n v="44"/>
    <x v="7"/>
    <x v="2"/>
    <n v="46"/>
    <n v="26"/>
    <n v="0.23"/>
    <s v="Mobile"/>
    <n v="0"/>
    <n v="1"/>
    <n v="0"/>
    <n v="9.99"/>
    <n v="0"/>
  </r>
  <r>
    <n v="2307"/>
    <s v="Male"/>
    <n v="31"/>
    <x v="1"/>
    <x v="1"/>
    <n v="37"/>
    <n v="72"/>
    <n v="0.09"/>
    <s v="Web"/>
    <n v="0"/>
    <n v="1"/>
    <n v="0"/>
    <n v="14.99"/>
    <n v="0"/>
  </r>
  <r>
    <n v="2308"/>
    <s v="Male"/>
    <n v="44"/>
    <x v="1"/>
    <x v="1"/>
    <n v="246"/>
    <n v="21"/>
    <n v="0.05"/>
    <s v="Web"/>
    <n v="0"/>
    <n v="1"/>
    <n v="0"/>
    <n v="14.99"/>
    <n v="0"/>
  </r>
  <r>
    <n v="2309"/>
    <s v="Female"/>
    <n v="52"/>
    <x v="7"/>
    <x v="3"/>
    <n v="238"/>
    <n v="98"/>
    <n v="0.32"/>
    <s v="Mobile"/>
    <n v="0"/>
    <n v="1"/>
    <n v="0"/>
    <n v="4.99"/>
    <n v="0"/>
  </r>
  <r>
    <n v="2310"/>
    <s v="Female"/>
    <n v="24"/>
    <x v="2"/>
    <x v="3"/>
    <n v="198"/>
    <n v="18"/>
    <n v="0.28999999999999998"/>
    <s v="Desktop"/>
    <n v="0"/>
    <n v="1"/>
    <n v="1"/>
    <n v="4.99"/>
    <n v="4.99"/>
  </r>
  <r>
    <n v="2311"/>
    <s v="Other"/>
    <n v="30"/>
    <x v="3"/>
    <x v="2"/>
    <n v="129"/>
    <n v="12"/>
    <n v="0.01"/>
    <s v="Desktop"/>
    <n v="0"/>
    <n v="1"/>
    <n v="0"/>
    <n v="9.99"/>
    <n v="0"/>
  </r>
  <r>
    <n v="2312"/>
    <s v="Female"/>
    <n v="34"/>
    <x v="0"/>
    <x v="1"/>
    <n v="297"/>
    <n v="62"/>
    <n v="0.45"/>
    <s v="Web"/>
    <n v="0"/>
    <n v="1"/>
    <n v="0"/>
    <n v="14.99"/>
    <n v="0"/>
  </r>
  <r>
    <n v="2313"/>
    <s v="Male"/>
    <n v="32"/>
    <x v="0"/>
    <x v="3"/>
    <n v="281"/>
    <n v="33"/>
    <n v="0.49"/>
    <s v="Mobile"/>
    <n v="0"/>
    <n v="1"/>
    <n v="0"/>
    <n v="4.99"/>
    <n v="0"/>
  </r>
  <r>
    <n v="2314"/>
    <s v="Female"/>
    <n v="58"/>
    <x v="3"/>
    <x v="2"/>
    <n v="120"/>
    <n v="74"/>
    <n v="0.27"/>
    <s v="Web"/>
    <n v="0"/>
    <n v="1"/>
    <n v="0"/>
    <n v="9.99"/>
    <n v="0"/>
  </r>
  <r>
    <n v="2315"/>
    <s v="Female"/>
    <n v="39"/>
    <x v="1"/>
    <x v="1"/>
    <n v="113"/>
    <n v="51"/>
    <n v="0.53"/>
    <s v="Web"/>
    <n v="0"/>
    <n v="1"/>
    <n v="0"/>
    <n v="14.99"/>
    <n v="0"/>
  </r>
  <r>
    <n v="2316"/>
    <s v="Female"/>
    <n v="43"/>
    <x v="4"/>
    <x v="0"/>
    <n v="288"/>
    <n v="22"/>
    <n v="0.53"/>
    <s v="Web"/>
    <n v="49"/>
    <n v="0"/>
    <n v="1"/>
    <n v="0"/>
    <n v="0"/>
  </r>
  <r>
    <n v="2317"/>
    <s v="Other"/>
    <n v="27"/>
    <x v="2"/>
    <x v="2"/>
    <n v="198"/>
    <n v="42"/>
    <n v="0.06"/>
    <s v="Desktop"/>
    <n v="0"/>
    <n v="1"/>
    <n v="0"/>
    <n v="9.99"/>
    <n v="0"/>
  </r>
  <r>
    <n v="2318"/>
    <s v="Other"/>
    <n v="23"/>
    <x v="3"/>
    <x v="2"/>
    <n v="228"/>
    <n v="88"/>
    <n v="7.0000000000000007E-2"/>
    <s v="Desktop"/>
    <n v="0"/>
    <n v="1"/>
    <n v="0"/>
    <n v="9.99"/>
    <n v="0"/>
  </r>
  <r>
    <n v="2319"/>
    <s v="Female"/>
    <n v="36"/>
    <x v="3"/>
    <x v="1"/>
    <n v="44"/>
    <n v="61"/>
    <n v="0.31"/>
    <s v="Mobile"/>
    <n v="0"/>
    <n v="1"/>
    <n v="1"/>
    <n v="14.99"/>
    <n v="14.99"/>
  </r>
  <r>
    <n v="2320"/>
    <s v="Male"/>
    <n v="47"/>
    <x v="6"/>
    <x v="3"/>
    <n v="203"/>
    <n v="3"/>
    <n v="0.4"/>
    <s v="Web"/>
    <n v="0"/>
    <n v="1"/>
    <n v="0"/>
    <n v="4.99"/>
    <n v="0"/>
  </r>
  <r>
    <n v="2321"/>
    <s v="Male"/>
    <n v="49"/>
    <x v="1"/>
    <x v="2"/>
    <n v="272"/>
    <n v="39"/>
    <n v="0.01"/>
    <s v="Mobile"/>
    <n v="0"/>
    <n v="1"/>
    <n v="0"/>
    <n v="9.99"/>
    <n v="0"/>
  </r>
  <r>
    <n v="2322"/>
    <s v="Other"/>
    <n v="30"/>
    <x v="2"/>
    <x v="0"/>
    <n v="273"/>
    <n v="28"/>
    <n v="0.28999999999999998"/>
    <s v="Web"/>
    <n v="35"/>
    <n v="0"/>
    <n v="0"/>
    <n v="0"/>
    <n v="0"/>
  </r>
  <r>
    <n v="2323"/>
    <s v="Female"/>
    <n v="49"/>
    <x v="5"/>
    <x v="1"/>
    <n v="137"/>
    <n v="23"/>
    <n v="0.19"/>
    <s v="Desktop"/>
    <n v="0"/>
    <n v="1"/>
    <n v="0"/>
    <n v="14.99"/>
    <n v="0"/>
  </r>
  <r>
    <n v="2324"/>
    <s v="Other"/>
    <n v="53"/>
    <x v="3"/>
    <x v="2"/>
    <n v="127"/>
    <n v="75"/>
    <n v="0.39"/>
    <s v="Desktop"/>
    <n v="0"/>
    <n v="1"/>
    <n v="1"/>
    <n v="9.99"/>
    <n v="9.99"/>
  </r>
  <r>
    <n v="2325"/>
    <s v="Male"/>
    <n v="40"/>
    <x v="5"/>
    <x v="3"/>
    <n v="13"/>
    <n v="71"/>
    <n v="0.32"/>
    <s v="Mobile"/>
    <n v="0"/>
    <n v="1"/>
    <n v="0"/>
    <n v="4.99"/>
    <n v="0"/>
  </r>
  <r>
    <n v="2326"/>
    <s v="Male"/>
    <n v="57"/>
    <x v="1"/>
    <x v="1"/>
    <n v="18"/>
    <n v="33"/>
    <n v="0.17"/>
    <s v="Desktop"/>
    <n v="0"/>
    <n v="1"/>
    <n v="0"/>
    <n v="14.99"/>
    <n v="0"/>
  </r>
  <r>
    <n v="2327"/>
    <s v="Male"/>
    <n v="50"/>
    <x v="4"/>
    <x v="1"/>
    <n v="150"/>
    <n v="71"/>
    <n v="0.02"/>
    <s v="Desktop"/>
    <n v="0"/>
    <n v="1"/>
    <n v="0"/>
    <n v="14.99"/>
    <n v="0"/>
  </r>
  <r>
    <n v="2328"/>
    <s v="Female"/>
    <n v="57"/>
    <x v="7"/>
    <x v="3"/>
    <n v="140"/>
    <n v="3"/>
    <n v="0.02"/>
    <s v="Desktop"/>
    <n v="0"/>
    <n v="1"/>
    <n v="0"/>
    <n v="4.99"/>
    <n v="0"/>
  </r>
  <r>
    <n v="2329"/>
    <s v="Other"/>
    <n v="33"/>
    <x v="3"/>
    <x v="0"/>
    <n v="28"/>
    <n v="3"/>
    <n v="0.37"/>
    <s v="Web"/>
    <n v="46"/>
    <n v="0"/>
    <n v="0"/>
    <n v="0"/>
    <n v="0"/>
  </r>
  <r>
    <n v="2330"/>
    <s v="Male"/>
    <n v="39"/>
    <x v="7"/>
    <x v="0"/>
    <n v="53"/>
    <n v="1"/>
    <n v="0.34"/>
    <s v="Web"/>
    <n v="5"/>
    <n v="0"/>
    <n v="0"/>
    <n v="0"/>
    <n v="0"/>
  </r>
  <r>
    <n v="2331"/>
    <s v="Male"/>
    <n v="51"/>
    <x v="4"/>
    <x v="2"/>
    <n v="290"/>
    <n v="95"/>
    <n v="0.09"/>
    <s v="Mobile"/>
    <n v="0"/>
    <n v="1"/>
    <n v="0"/>
    <n v="9.99"/>
    <n v="0"/>
  </r>
  <r>
    <n v="2332"/>
    <s v="Other"/>
    <n v="44"/>
    <x v="0"/>
    <x v="1"/>
    <n v="214"/>
    <n v="92"/>
    <n v="0.18"/>
    <s v="Desktop"/>
    <n v="0"/>
    <n v="1"/>
    <n v="0"/>
    <n v="14.99"/>
    <n v="0"/>
  </r>
  <r>
    <n v="2333"/>
    <s v="Male"/>
    <n v="47"/>
    <x v="5"/>
    <x v="3"/>
    <n v="170"/>
    <n v="35"/>
    <n v="0.47"/>
    <s v="Web"/>
    <n v="0"/>
    <n v="1"/>
    <n v="0"/>
    <n v="4.99"/>
    <n v="0"/>
  </r>
  <r>
    <n v="2334"/>
    <s v="Other"/>
    <n v="53"/>
    <x v="4"/>
    <x v="3"/>
    <n v="202"/>
    <n v="65"/>
    <n v="0.18"/>
    <s v="Desktop"/>
    <n v="0"/>
    <n v="1"/>
    <n v="1"/>
    <n v="4.99"/>
    <n v="4.99"/>
  </r>
  <r>
    <n v="2335"/>
    <s v="Male"/>
    <n v="55"/>
    <x v="1"/>
    <x v="3"/>
    <n v="250"/>
    <n v="93"/>
    <n v="0.45"/>
    <s v="Desktop"/>
    <n v="0"/>
    <n v="1"/>
    <n v="0"/>
    <n v="4.99"/>
    <n v="0"/>
  </r>
  <r>
    <n v="2336"/>
    <s v="Other"/>
    <n v="47"/>
    <x v="2"/>
    <x v="1"/>
    <n v="159"/>
    <n v="81"/>
    <n v="0.06"/>
    <s v="Desktop"/>
    <n v="0"/>
    <n v="1"/>
    <n v="1"/>
    <n v="14.99"/>
    <n v="14.99"/>
  </r>
  <r>
    <n v="2337"/>
    <s v="Male"/>
    <n v="49"/>
    <x v="6"/>
    <x v="2"/>
    <n v="165"/>
    <n v="62"/>
    <n v="0.27"/>
    <s v="Web"/>
    <n v="0"/>
    <n v="1"/>
    <n v="0"/>
    <n v="9.99"/>
    <n v="0"/>
  </r>
  <r>
    <n v="2338"/>
    <s v="Other"/>
    <n v="22"/>
    <x v="6"/>
    <x v="2"/>
    <n v="118"/>
    <n v="95"/>
    <n v="0.48"/>
    <s v="Desktop"/>
    <n v="0"/>
    <n v="1"/>
    <n v="1"/>
    <n v="9.99"/>
    <n v="9.99"/>
  </r>
  <r>
    <n v="2339"/>
    <s v="Other"/>
    <n v="31"/>
    <x v="3"/>
    <x v="2"/>
    <n v="91"/>
    <n v="8"/>
    <n v="0.56000000000000005"/>
    <s v="Desktop"/>
    <n v="0"/>
    <n v="1"/>
    <n v="0"/>
    <n v="9.99"/>
    <n v="0"/>
  </r>
  <r>
    <n v="2340"/>
    <s v="Other"/>
    <n v="32"/>
    <x v="6"/>
    <x v="0"/>
    <n v="72"/>
    <n v="70"/>
    <n v="0.47"/>
    <s v="Web"/>
    <n v="46"/>
    <n v="0"/>
    <n v="0"/>
    <n v="0"/>
    <n v="0"/>
  </r>
  <r>
    <n v="2341"/>
    <s v="Female"/>
    <n v="48"/>
    <x v="4"/>
    <x v="2"/>
    <n v="188"/>
    <n v="32"/>
    <n v="0.03"/>
    <s v="Desktop"/>
    <n v="0"/>
    <n v="1"/>
    <n v="1"/>
    <n v="9.99"/>
    <n v="9.99"/>
  </r>
  <r>
    <n v="2342"/>
    <s v="Female"/>
    <n v="17"/>
    <x v="6"/>
    <x v="3"/>
    <n v="172"/>
    <n v="52"/>
    <n v="0.32"/>
    <s v="Mobile"/>
    <n v="0"/>
    <n v="1"/>
    <n v="0"/>
    <n v="4.99"/>
    <n v="0"/>
  </r>
  <r>
    <n v="2343"/>
    <s v="Female"/>
    <n v="42"/>
    <x v="0"/>
    <x v="3"/>
    <n v="30"/>
    <n v="90"/>
    <n v="0.27"/>
    <s v="Mobile"/>
    <n v="0"/>
    <n v="1"/>
    <n v="0"/>
    <n v="4.99"/>
    <n v="0"/>
  </r>
  <r>
    <n v="2344"/>
    <s v="Male"/>
    <n v="22"/>
    <x v="4"/>
    <x v="2"/>
    <n v="49"/>
    <n v="38"/>
    <n v="0.11"/>
    <s v="Desktop"/>
    <n v="0"/>
    <n v="1"/>
    <n v="0"/>
    <n v="9.99"/>
    <n v="0"/>
  </r>
  <r>
    <n v="2345"/>
    <s v="Male"/>
    <n v="32"/>
    <x v="6"/>
    <x v="0"/>
    <n v="128"/>
    <n v="14"/>
    <n v="0.35"/>
    <s v="Web"/>
    <n v="7"/>
    <n v="0"/>
    <n v="0"/>
    <n v="0"/>
    <n v="0"/>
  </r>
  <r>
    <n v="2346"/>
    <s v="Male"/>
    <n v="26"/>
    <x v="3"/>
    <x v="2"/>
    <n v="119"/>
    <n v="11"/>
    <n v="0.27"/>
    <s v="Mobile"/>
    <n v="0"/>
    <n v="1"/>
    <n v="0"/>
    <n v="9.99"/>
    <n v="0"/>
  </r>
  <r>
    <n v="2347"/>
    <s v="Female"/>
    <n v="45"/>
    <x v="7"/>
    <x v="2"/>
    <n v="80"/>
    <n v="28"/>
    <n v="0.37"/>
    <s v="Web"/>
    <n v="0"/>
    <n v="1"/>
    <n v="0"/>
    <n v="9.99"/>
    <n v="0"/>
  </r>
  <r>
    <n v="2348"/>
    <s v="Female"/>
    <n v="38"/>
    <x v="0"/>
    <x v="3"/>
    <n v="84"/>
    <n v="86"/>
    <n v="0.38"/>
    <s v="Mobile"/>
    <n v="0"/>
    <n v="1"/>
    <n v="0"/>
    <n v="4.99"/>
    <n v="0"/>
  </r>
  <r>
    <n v="2349"/>
    <s v="Female"/>
    <n v="38"/>
    <x v="2"/>
    <x v="3"/>
    <n v="87"/>
    <n v="88"/>
    <n v="0.4"/>
    <s v="Web"/>
    <n v="0"/>
    <n v="1"/>
    <n v="0"/>
    <n v="4.99"/>
    <n v="0"/>
  </r>
  <r>
    <n v="2350"/>
    <s v="Other"/>
    <n v="41"/>
    <x v="2"/>
    <x v="1"/>
    <n v="22"/>
    <n v="72"/>
    <n v="0.11"/>
    <s v="Mobile"/>
    <n v="0"/>
    <n v="1"/>
    <n v="0"/>
    <n v="14.99"/>
    <n v="0"/>
  </r>
  <r>
    <n v="2351"/>
    <s v="Male"/>
    <n v="24"/>
    <x v="7"/>
    <x v="3"/>
    <n v="199"/>
    <n v="90"/>
    <n v="0.55000000000000004"/>
    <s v="Web"/>
    <n v="0"/>
    <n v="1"/>
    <n v="0"/>
    <n v="4.99"/>
    <n v="0"/>
  </r>
  <r>
    <n v="2352"/>
    <s v="Male"/>
    <n v="35"/>
    <x v="2"/>
    <x v="3"/>
    <n v="163"/>
    <n v="97"/>
    <n v="0.53"/>
    <s v="Web"/>
    <n v="0"/>
    <n v="1"/>
    <n v="0"/>
    <n v="4.99"/>
    <n v="0"/>
  </r>
  <r>
    <n v="2353"/>
    <s v="Other"/>
    <n v="23"/>
    <x v="5"/>
    <x v="1"/>
    <n v="92"/>
    <n v="40"/>
    <n v="0.42"/>
    <s v="Mobile"/>
    <n v="0"/>
    <n v="1"/>
    <n v="0"/>
    <n v="14.99"/>
    <n v="0"/>
  </r>
  <r>
    <n v="2354"/>
    <s v="Female"/>
    <n v="27"/>
    <x v="1"/>
    <x v="0"/>
    <n v="252"/>
    <n v="11"/>
    <n v="0.35"/>
    <s v="Web"/>
    <n v="28"/>
    <n v="0"/>
    <n v="0"/>
    <n v="0"/>
    <n v="0"/>
  </r>
  <r>
    <n v="2355"/>
    <s v="Male"/>
    <n v="18"/>
    <x v="3"/>
    <x v="0"/>
    <n v="124"/>
    <n v="35"/>
    <n v="0.45"/>
    <s v="Web"/>
    <n v="28"/>
    <n v="0"/>
    <n v="1"/>
    <n v="0"/>
    <n v="0"/>
  </r>
  <r>
    <n v="2356"/>
    <s v="Female"/>
    <n v="55"/>
    <x v="6"/>
    <x v="3"/>
    <n v="271"/>
    <n v="29"/>
    <n v="7.0000000000000007E-2"/>
    <s v="Desktop"/>
    <n v="0"/>
    <n v="1"/>
    <n v="1"/>
    <n v="4.99"/>
    <n v="4.99"/>
  </r>
  <r>
    <n v="2357"/>
    <s v="Male"/>
    <n v="21"/>
    <x v="3"/>
    <x v="2"/>
    <n v="26"/>
    <n v="96"/>
    <n v="0.24"/>
    <s v="Web"/>
    <n v="0"/>
    <n v="1"/>
    <n v="0"/>
    <n v="9.99"/>
    <n v="0"/>
  </r>
  <r>
    <n v="2358"/>
    <s v="Male"/>
    <n v="48"/>
    <x v="0"/>
    <x v="3"/>
    <n v="50"/>
    <n v="33"/>
    <n v="0.1"/>
    <s v="Mobile"/>
    <n v="0"/>
    <n v="1"/>
    <n v="0"/>
    <n v="4.99"/>
    <n v="0"/>
  </r>
  <r>
    <n v="2359"/>
    <s v="Female"/>
    <n v="20"/>
    <x v="5"/>
    <x v="0"/>
    <n v="275"/>
    <n v="40"/>
    <n v="0.15"/>
    <s v="Desktop"/>
    <n v="47"/>
    <n v="0"/>
    <n v="0"/>
    <n v="0"/>
    <n v="0"/>
  </r>
  <r>
    <n v="2360"/>
    <s v="Female"/>
    <n v="32"/>
    <x v="2"/>
    <x v="1"/>
    <n v="175"/>
    <n v="75"/>
    <n v="0.5"/>
    <s v="Desktop"/>
    <n v="0"/>
    <n v="1"/>
    <n v="0"/>
    <n v="14.99"/>
    <n v="0"/>
  </r>
  <r>
    <n v="2361"/>
    <s v="Female"/>
    <n v="42"/>
    <x v="2"/>
    <x v="0"/>
    <n v="109"/>
    <n v="70"/>
    <n v="0.22"/>
    <s v="Web"/>
    <n v="37"/>
    <n v="0"/>
    <n v="0"/>
    <n v="0"/>
    <n v="0"/>
  </r>
  <r>
    <n v="2362"/>
    <s v="Other"/>
    <n v="19"/>
    <x v="2"/>
    <x v="2"/>
    <n v="187"/>
    <n v="54"/>
    <n v="0.52"/>
    <s v="Mobile"/>
    <n v="0"/>
    <n v="1"/>
    <n v="0"/>
    <n v="9.99"/>
    <n v="0"/>
  </r>
  <r>
    <n v="2363"/>
    <s v="Female"/>
    <n v="22"/>
    <x v="1"/>
    <x v="3"/>
    <n v="244"/>
    <n v="22"/>
    <n v="0.37"/>
    <s v="Desktop"/>
    <n v="0"/>
    <n v="1"/>
    <n v="0"/>
    <n v="4.99"/>
    <n v="0"/>
  </r>
  <r>
    <n v="2364"/>
    <s v="Female"/>
    <n v="50"/>
    <x v="1"/>
    <x v="3"/>
    <n v="123"/>
    <n v="8"/>
    <n v="0.48"/>
    <s v="Desktop"/>
    <n v="0"/>
    <n v="1"/>
    <n v="0"/>
    <n v="4.99"/>
    <n v="0"/>
  </r>
  <r>
    <n v="2365"/>
    <s v="Male"/>
    <n v="52"/>
    <x v="0"/>
    <x v="2"/>
    <n v="15"/>
    <n v="67"/>
    <n v="0.41"/>
    <s v="Desktop"/>
    <n v="0"/>
    <n v="1"/>
    <n v="1"/>
    <n v="9.99"/>
    <n v="9.99"/>
  </r>
  <r>
    <n v="2366"/>
    <s v="Male"/>
    <n v="31"/>
    <x v="0"/>
    <x v="0"/>
    <n v="88"/>
    <n v="11"/>
    <n v="0.54"/>
    <s v="Mobile"/>
    <n v="47"/>
    <n v="0"/>
    <n v="1"/>
    <n v="0"/>
    <n v="0"/>
  </r>
  <r>
    <n v="2367"/>
    <s v="Other"/>
    <n v="23"/>
    <x v="5"/>
    <x v="2"/>
    <n v="122"/>
    <n v="28"/>
    <n v="0.56000000000000005"/>
    <s v="Mobile"/>
    <n v="0"/>
    <n v="1"/>
    <n v="0"/>
    <n v="9.99"/>
    <n v="0"/>
  </r>
  <r>
    <n v="2368"/>
    <s v="Female"/>
    <n v="31"/>
    <x v="4"/>
    <x v="1"/>
    <n v="169"/>
    <n v="33"/>
    <n v="0.51"/>
    <s v="Web"/>
    <n v="0"/>
    <n v="1"/>
    <n v="0"/>
    <n v="14.99"/>
    <n v="0"/>
  </r>
  <r>
    <n v="2369"/>
    <s v="Other"/>
    <n v="16"/>
    <x v="0"/>
    <x v="2"/>
    <n v="68"/>
    <n v="57"/>
    <n v="0.4"/>
    <s v="Web"/>
    <n v="0"/>
    <n v="1"/>
    <n v="0"/>
    <n v="9.99"/>
    <n v="0"/>
  </r>
  <r>
    <n v="2370"/>
    <s v="Female"/>
    <n v="39"/>
    <x v="6"/>
    <x v="1"/>
    <n v="62"/>
    <n v="57"/>
    <n v="0.34"/>
    <s v="Mobile"/>
    <n v="0"/>
    <n v="1"/>
    <n v="0"/>
    <n v="14.99"/>
    <n v="0"/>
  </r>
  <r>
    <n v="2371"/>
    <s v="Female"/>
    <n v="26"/>
    <x v="5"/>
    <x v="3"/>
    <n v="67"/>
    <n v="60"/>
    <n v="0.31"/>
    <s v="Desktop"/>
    <n v="0"/>
    <n v="1"/>
    <n v="0"/>
    <n v="4.99"/>
    <n v="0"/>
  </r>
  <r>
    <n v="2372"/>
    <s v="Other"/>
    <n v="45"/>
    <x v="3"/>
    <x v="1"/>
    <n v="254"/>
    <n v="57"/>
    <n v="0.43"/>
    <s v="Web"/>
    <n v="0"/>
    <n v="1"/>
    <n v="0"/>
    <n v="14.99"/>
    <n v="0"/>
  </r>
  <r>
    <n v="2373"/>
    <s v="Other"/>
    <n v="50"/>
    <x v="5"/>
    <x v="2"/>
    <n v="128"/>
    <n v="64"/>
    <n v="0.45"/>
    <s v="Web"/>
    <n v="0"/>
    <n v="1"/>
    <n v="0"/>
    <n v="9.99"/>
    <n v="0"/>
  </r>
  <r>
    <n v="2374"/>
    <s v="Female"/>
    <n v="57"/>
    <x v="7"/>
    <x v="3"/>
    <n v="126"/>
    <n v="57"/>
    <n v="0.3"/>
    <s v="Mobile"/>
    <n v="0"/>
    <n v="1"/>
    <n v="0"/>
    <n v="4.99"/>
    <n v="0"/>
  </r>
  <r>
    <n v="2375"/>
    <s v="Male"/>
    <n v="47"/>
    <x v="5"/>
    <x v="0"/>
    <n v="156"/>
    <n v="18"/>
    <n v="0.18"/>
    <s v="Desktop"/>
    <n v="17"/>
    <n v="0"/>
    <n v="0"/>
    <n v="0"/>
    <n v="0"/>
  </r>
  <r>
    <n v="2376"/>
    <s v="Other"/>
    <n v="57"/>
    <x v="6"/>
    <x v="3"/>
    <n v="22"/>
    <n v="4"/>
    <n v="0.33"/>
    <s v="Mobile"/>
    <n v="0"/>
    <n v="1"/>
    <n v="0"/>
    <n v="4.99"/>
    <n v="0"/>
  </r>
  <r>
    <n v="2377"/>
    <s v="Female"/>
    <n v="32"/>
    <x v="7"/>
    <x v="0"/>
    <n v="32"/>
    <n v="98"/>
    <n v="0.25"/>
    <s v="Mobile"/>
    <n v="18"/>
    <n v="0"/>
    <n v="0"/>
    <n v="0"/>
    <n v="0"/>
  </r>
  <r>
    <n v="2378"/>
    <s v="Male"/>
    <n v="33"/>
    <x v="7"/>
    <x v="3"/>
    <n v="52"/>
    <n v="50"/>
    <n v="0.18"/>
    <s v="Mobile"/>
    <n v="0"/>
    <n v="1"/>
    <n v="1"/>
    <n v="4.99"/>
    <n v="4.99"/>
  </r>
  <r>
    <n v="2379"/>
    <s v="Male"/>
    <n v="35"/>
    <x v="5"/>
    <x v="0"/>
    <n v="162"/>
    <n v="96"/>
    <n v="0.56999999999999995"/>
    <s v="Mobile"/>
    <n v="24"/>
    <n v="0"/>
    <n v="0"/>
    <n v="0"/>
    <n v="0"/>
  </r>
  <r>
    <n v="2380"/>
    <s v="Other"/>
    <n v="37"/>
    <x v="2"/>
    <x v="3"/>
    <n v="85"/>
    <n v="7"/>
    <n v="0.39"/>
    <s v="Web"/>
    <n v="0"/>
    <n v="1"/>
    <n v="0"/>
    <n v="4.99"/>
    <n v="0"/>
  </r>
  <r>
    <n v="2381"/>
    <s v="Male"/>
    <n v="35"/>
    <x v="0"/>
    <x v="0"/>
    <n v="204"/>
    <n v="22"/>
    <n v="0.5"/>
    <s v="Desktop"/>
    <n v="31"/>
    <n v="0"/>
    <n v="0"/>
    <n v="0"/>
    <n v="0"/>
  </r>
  <r>
    <n v="2382"/>
    <s v="Male"/>
    <n v="34"/>
    <x v="4"/>
    <x v="1"/>
    <n v="193"/>
    <n v="78"/>
    <n v="0.13"/>
    <s v="Web"/>
    <n v="0"/>
    <n v="1"/>
    <n v="0"/>
    <n v="14.99"/>
    <n v="0"/>
  </r>
  <r>
    <n v="2383"/>
    <s v="Male"/>
    <n v="37"/>
    <x v="3"/>
    <x v="1"/>
    <n v="298"/>
    <n v="33"/>
    <n v="0.42"/>
    <s v="Desktop"/>
    <n v="0"/>
    <n v="1"/>
    <n v="1"/>
    <n v="14.99"/>
    <n v="14.99"/>
  </r>
  <r>
    <n v="2384"/>
    <s v="Female"/>
    <n v="47"/>
    <x v="6"/>
    <x v="0"/>
    <n v="219"/>
    <n v="8"/>
    <n v="0.45"/>
    <s v="Web"/>
    <n v="39"/>
    <n v="0"/>
    <n v="0"/>
    <n v="0"/>
    <n v="0"/>
  </r>
  <r>
    <n v="2385"/>
    <s v="Female"/>
    <n v="28"/>
    <x v="1"/>
    <x v="2"/>
    <n v="282"/>
    <n v="8"/>
    <n v="0.45"/>
    <s v="Mobile"/>
    <n v="0"/>
    <n v="1"/>
    <n v="1"/>
    <n v="9.99"/>
    <n v="9.99"/>
  </r>
  <r>
    <n v="2386"/>
    <s v="Other"/>
    <n v="43"/>
    <x v="2"/>
    <x v="0"/>
    <n v="135"/>
    <n v="13"/>
    <n v="0.47"/>
    <s v="Web"/>
    <n v="10"/>
    <n v="0"/>
    <n v="0"/>
    <n v="0"/>
    <n v="0"/>
  </r>
  <r>
    <n v="2387"/>
    <s v="Male"/>
    <n v="58"/>
    <x v="0"/>
    <x v="2"/>
    <n v="100"/>
    <n v="48"/>
    <n v="0.53"/>
    <s v="Mobile"/>
    <n v="0"/>
    <n v="1"/>
    <n v="0"/>
    <n v="9.99"/>
    <n v="0"/>
  </r>
  <r>
    <n v="2388"/>
    <s v="Male"/>
    <n v="53"/>
    <x v="5"/>
    <x v="3"/>
    <n v="44"/>
    <n v="64"/>
    <n v="0.35"/>
    <s v="Desktop"/>
    <n v="0"/>
    <n v="1"/>
    <n v="0"/>
    <n v="4.99"/>
    <n v="0"/>
  </r>
  <r>
    <n v="2389"/>
    <s v="Male"/>
    <n v="47"/>
    <x v="1"/>
    <x v="2"/>
    <n v="153"/>
    <n v="26"/>
    <n v="0.15"/>
    <s v="Desktop"/>
    <n v="0"/>
    <n v="1"/>
    <n v="1"/>
    <n v="9.99"/>
    <n v="9.99"/>
  </r>
  <r>
    <n v="2390"/>
    <s v="Other"/>
    <n v="53"/>
    <x v="2"/>
    <x v="3"/>
    <n v="283"/>
    <n v="85"/>
    <n v="0.3"/>
    <s v="Web"/>
    <n v="0"/>
    <n v="1"/>
    <n v="0"/>
    <n v="4.99"/>
    <n v="0"/>
  </r>
  <r>
    <n v="2391"/>
    <s v="Male"/>
    <n v="34"/>
    <x v="7"/>
    <x v="0"/>
    <n v="296"/>
    <n v="67"/>
    <n v="0.17"/>
    <s v="Mobile"/>
    <n v="31"/>
    <n v="0"/>
    <n v="0"/>
    <n v="0"/>
    <n v="0"/>
  </r>
  <r>
    <n v="2392"/>
    <s v="Male"/>
    <n v="37"/>
    <x v="4"/>
    <x v="0"/>
    <n v="284"/>
    <n v="92"/>
    <n v="0.03"/>
    <s v="Web"/>
    <n v="35"/>
    <n v="0"/>
    <n v="0"/>
    <n v="0"/>
    <n v="0"/>
  </r>
  <r>
    <n v="2393"/>
    <s v="Male"/>
    <n v="37"/>
    <x v="3"/>
    <x v="1"/>
    <n v="51"/>
    <n v="67"/>
    <n v="0.08"/>
    <s v="Mobile"/>
    <n v="0"/>
    <n v="1"/>
    <n v="0"/>
    <n v="14.99"/>
    <n v="0"/>
  </r>
  <r>
    <n v="2394"/>
    <s v="Other"/>
    <n v="58"/>
    <x v="7"/>
    <x v="3"/>
    <n v="67"/>
    <n v="50"/>
    <n v="0.5"/>
    <s v="Desktop"/>
    <n v="0"/>
    <n v="1"/>
    <n v="0"/>
    <n v="4.99"/>
    <n v="0"/>
  </r>
  <r>
    <n v="2395"/>
    <s v="Female"/>
    <n v="23"/>
    <x v="5"/>
    <x v="3"/>
    <n v="131"/>
    <n v="66"/>
    <n v="0.33"/>
    <s v="Desktop"/>
    <n v="0"/>
    <n v="1"/>
    <n v="0"/>
    <n v="4.99"/>
    <n v="0"/>
  </r>
  <r>
    <n v="2396"/>
    <s v="Male"/>
    <n v="21"/>
    <x v="5"/>
    <x v="3"/>
    <n v="108"/>
    <n v="97"/>
    <n v="0.48"/>
    <s v="Web"/>
    <n v="0"/>
    <n v="1"/>
    <n v="0"/>
    <n v="4.99"/>
    <n v="0"/>
  </r>
  <r>
    <n v="2397"/>
    <s v="Female"/>
    <n v="22"/>
    <x v="7"/>
    <x v="2"/>
    <n v="193"/>
    <n v="71"/>
    <n v="0.08"/>
    <s v="Desktop"/>
    <n v="0"/>
    <n v="1"/>
    <n v="0"/>
    <n v="9.99"/>
    <n v="0"/>
  </r>
  <r>
    <n v="2398"/>
    <s v="Male"/>
    <n v="59"/>
    <x v="5"/>
    <x v="0"/>
    <n v="185"/>
    <n v="18"/>
    <n v="0.48"/>
    <s v="Desktop"/>
    <n v="49"/>
    <n v="0"/>
    <n v="1"/>
    <n v="0"/>
    <n v="0"/>
  </r>
  <r>
    <n v="2399"/>
    <s v="Other"/>
    <n v="48"/>
    <x v="1"/>
    <x v="1"/>
    <n v="207"/>
    <n v="2"/>
    <n v="0.05"/>
    <s v="Mobile"/>
    <n v="0"/>
    <n v="1"/>
    <n v="0"/>
    <n v="14.99"/>
    <n v="0"/>
  </r>
  <r>
    <n v="2400"/>
    <s v="Other"/>
    <n v="30"/>
    <x v="0"/>
    <x v="3"/>
    <n v="168"/>
    <n v="52"/>
    <n v="0.28999999999999998"/>
    <s v="Web"/>
    <n v="0"/>
    <n v="1"/>
    <n v="0"/>
    <n v="4.99"/>
    <n v="0"/>
  </r>
  <r>
    <n v="2401"/>
    <s v="Male"/>
    <n v="55"/>
    <x v="5"/>
    <x v="0"/>
    <n v="266"/>
    <n v="8"/>
    <n v="0.08"/>
    <s v="Web"/>
    <n v="23"/>
    <n v="0"/>
    <n v="0"/>
    <n v="0"/>
    <n v="0"/>
  </r>
  <r>
    <n v="2402"/>
    <s v="Male"/>
    <n v="52"/>
    <x v="2"/>
    <x v="2"/>
    <n v="72"/>
    <n v="52"/>
    <n v="0.5"/>
    <s v="Desktop"/>
    <n v="0"/>
    <n v="1"/>
    <n v="0"/>
    <n v="9.99"/>
    <n v="0"/>
  </r>
  <r>
    <n v="2403"/>
    <s v="Male"/>
    <n v="44"/>
    <x v="5"/>
    <x v="1"/>
    <n v="25"/>
    <n v="87"/>
    <n v="0.57999999999999996"/>
    <s v="Mobile"/>
    <n v="0"/>
    <n v="1"/>
    <n v="0"/>
    <n v="14.99"/>
    <n v="0"/>
  </r>
  <r>
    <n v="2404"/>
    <s v="Female"/>
    <n v="26"/>
    <x v="2"/>
    <x v="0"/>
    <n v="166"/>
    <n v="22"/>
    <n v="0.44"/>
    <s v="Web"/>
    <n v="5"/>
    <n v="0"/>
    <n v="0"/>
    <n v="0"/>
    <n v="0"/>
  </r>
  <r>
    <n v="2405"/>
    <s v="Male"/>
    <n v="32"/>
    <x v="0"/>
    <x v="3"/>
    <n v="126"/>
    <n v="28"/>
    <n v="0.46"/>
    <s v="Web"/>
    <n v="0"/>
    <n v="1"/>
    <n v="0"/>
    <n v="4.99"/>
    <n v="0"/>
  </r>
  <r>
    <n v="2406"/>
    <s v="Male"/>
    <n v="55"/>
    <x v="7"/>
    <x v="1"/>
    <n v="160"/>
    <n v="29"/>
    <n v="0.4"/>
    <s v="Web"/>
    <n v="0"/>
    <n v="1"/>
    <n v="1"/>
    <n v="14.99"/>
    <n v="14.99"/>
  </r>
  <r>
    <n v="2407"/>
    <s v="Other"/>
    <n v="57"/>
    <x v="7"/>
    <x v="0"/>
    <n v="31"/>
    <n v="86"/>
    <n v="0.39"/>
    <s v="Mobile"/>
    <n v="43"/>
    <n v="0"/>
    <n v="1"/>
    <n v="0"/>
    <n v="0"/>
  </r>
  <r>
    <n v="2408"/>
    <s v="Other"/>
    <n v="50"/>
    <x v="3"/>
    <x v="0"/>
    <n v="281"/>
    <n v="42"/>
    <n v="0.36"/>
    <s v="Web"/>
    <n v="40"/>
    <n v="0"/>
    <n v="0"/>
    <n v="0"/>
    <n v="0"/>
  </r>
  <r>
    <n v="2409"/>
    <s v="Male"/>
    <n v="21"/>
    <x v="6"/>
    <x v="0"/>
    <n v="231"/>
    <n v="86"/>
    <n v="0.14000000000000001"/>
    <s v="Web"/>
    <n v="11"/>
    <n v="0"/>
    <n v="1"/>
    <n v="0"/>
    <n v="0"/>
  </r>
  <r>
    <n v="2410"/>
    <s v="Other"/>
    <n v="25"/>
    <x v="6"/>
    <x v="0"/>
    <n v="95"/>
    <n v="87"/>
    <n v="0.2"/>
    <s v="Desktop"/>
    <n v="42"/>
    <n v="0"/>
    <n v="1"/>
    <n v="0"/>
    <n v="0"/>
  </r>
  <r>
    <n v="2411"/>
    <s v="Female"/>
    <n v="28"/>
    <x v="1"/>
    <x v="2"/>
    <n v="182"/>
    <n v="47"/>
    <n v="0.51"/>
    <s v="Web"/>
    <n v="0"/>
    <n v="1"/>
    <n v="0"/>
    <n v="9.99"/>
    <n v="0"/>
  </r>
  <r>
    <n v="2412"/>
    <s v="Other"/>
    <n v="45"/>
    <x v="5"/>
    <x v="2"/>
    <n v="76"/>
    <n v="41"/>
    <n v="0.05"/>
    <s v="Mobile"/>
    <n v="0"/>
    <n v="1"/>
    <n v="1"/>
    <n v="9.99"/>
    <n v="9.99"/>
  </r>
  <r>
    <n v="2413"/>
    <s v="Female"/>
    <n v="52"/>
    <x v="3"/>
    <x v="0"/>
    <n v="151"/>
    <n v="77"/>
    <n v="0.03"/>
    <s v="Desktop"/>
    <n v="46"/>
    <n v="0"/>
    <n v="0"/>
    <n v="0"/>
    <n v="0"/>
  </r>
  <r>
    <n v="2414"/>
    <s v="Female"/>
    <n v="44"/>
    <x v="3"/>
    <x v="3"/>
    <n v="105"/>
    <n v="92"/>
    <n v="0.28000000000000003"/>
    <s v="Mobile"/>
    <n v="0"/>
    <n v="1"/>
    <n v="0"/>
    <n v="4.99"/>
    <n v="0"/>
  </r>
  <r>
    <n v="2415"/>
    <s v="Other"/>
    <n v="16"/>
    <x v="5"/>
    <x v="1"/>
    <n v="23"/>
    <n v="43"/>
    <n v="0.42"/>
    <s v="Web"/>
    <n v="0"/>
    <n v="1"/>
    <n v="0"/>
    <n v="14.99"/>
    <n v="0"/>
  </r>
  <r>
    <n v="2416"/>
    <s v="Other"/>
    <n v="35"/>
    <x v="0"/>
    <x v="3"/>
    <n v="60"/>
    <n v="19"/>
    <n v="0.44"/>
    <s v="Desktop"/>
    <n v="0"/>
    <n v="1"/>
    <n v="1"/>
    <n v="4.99"/>
    <n v="4.99"/>
  </r>
  <r>
    <n v="2417"/>
    <s v="Male"/>
    <n v="19"/>
    <x v="6"/>
    <x v="1"/>
    <n v="237"/>
    <n v="66"/>
    <n v="0.41"/>
    <s v="Mobile"/>
    <n v="0"/>
    <n v="1"/>
    <n v="0"/>
    <n v="14.99"/>
    <n v="0"/>
  </r>
  <r>
    <n v="2418"/>
    <s v="Other"/>
    <n v="41"/>
    <x v="1"/>
    <x v="2"/>
    <n v="15"/>
    <n v="1"/>
    <n v="0.06"/>
    <s v="Desktop"/>
    <n v="0"/>
    <n v="1"/>
    <n v="0"/>
    <n v="9.99"/>
    <n v="0"/>
  </r>
  <r>
    <n v="2419"/>
    <s v="Male"/>
    <n v="16"/>
    <x v="3"/>
    <x v="2"/>
    <n v="129"/>
    <n v="55"/>
    <n v="0.14000000000000001"/>
    <s v="Mobile"/>
    <n v="0"/>
    <n v="1"/>
    <n v="0"/>
    <n v="9.99"/>
    <n v="0"/>
  </r>
  <r>
    <n v="2420"/>
    <s v="Female"/>
    <n v="39"/>
    <x v="0"/>
    <x v="0"/>
    <n v="158"/>
    <n v="69"/>
    <n v="0.27"/>
    <s v="Web"/>
    <n v="5"/>
    <n v="0"/>
    <n v="0"/>
    <n v="0"/>
    <n v="0"/>
  </r>
  <r>
    <n v="2421"/>
    <s v="Male"/>
    <n v="24"/>
    <x v="5"/>
    <x v="0"/>
    <n v="95"/>
    <n v="63"/>
    <n v="0.16"/>
    <s v="Desktop"/>
    <n v="43"/>
    <n v="0"/>
    <n v="0"/>
    <n v="0"/>
    <n v="0"/>
  </r>
  <r>
    <n v="2422"/>
    <s v="Male"/>
    <n v="53"/>
    <x v="5"/>
    <x v="3"/>
    <n v="157"/>
    <n v="47"/>
    <n v="0.57999999999999996"/>
    <s v="Mobile"/>
    <n v="0"/>
    <n v="1"/>
    <n v="0"/>
    <n v="4.99"/>
    <n v="0"/>
  </r>
  <r>
    <n v="2423"/>
    <s v="Female"/>
    <n v="58"/>
    <x v="4"/>
    <x v="2"/>
    <n v="284"/>
    <n v="71"/>
    <n v="0.45"/>
    <s v="Web"/>
    <n v="0"/>
    <n v="1"/>
    <n v="0"/>
    <n v="9.99"/>
    <n v="0"/>
  </r>
  <r>
    <n v="2424"/>
    <s v="Male"/>
    <n v="48"/>
    <x v="4"/>
    <x v="0"/>
    <n v="224"/>
    <n v="41"/>
    <n v="0.45"/>
    <s v="Mobile"/>
    <n v="11"/>
    <n v="0"/>
    <n v="0"/>
    <n v="0"/>
    <n v="0"/>
  </r>
  <r>
    <n v="2425"/>
    <s v="Male"/>
    <n v="39"/>
    <x v="3"/>
    <x v="3"/>
    <n v="176"/>
    <n v="15"/>
    <n v="0.47"/>
    <s v="Web"/>
    <n v="0"/>
    <n v="1"/>
    <n v="0"/>
    <n v="4.99"/>
    <n v="0"/>
  </r>
  <r>
    <n v="2426"/>
    <s v="Male"/>
    <n v="37"/>
    <x v="1"/>
    <x v="2"/>
    <n v="199"/>
    <n v="45"/>
    <n v="0.11"/>
    <s v="Mobile"/>
    <n v="0"/>
    <n v="1"/>
    <n v="0"/>
    <n v="9.99"/>
    <n v="0"/>
  </r>
  <r>
    <n v="2427"/>
    <s v="Female"/>
    <n v="32"/>
    <x v="7"/>
    <x v="3"/>
    <n v="87"/>
    <n v="79"/>
    <n v="7.0000000000000007E-2"/>
    <s v="Desktop"/>
    <n v="0"/>
    <n v="1"/>
    <n v="0"/>
    <n v="4.99"/>
    <n v="0"/>
  </r>
  <r>
    <n v="2428"/>
    <s v="Other"/>
    <n v="57"/>
    <x v="3"/>
    <x v="3"/>
    <n v="35"/>
    <n v="39"/>
    <n v="0.41"/>
    <s v="Web"/>
    <n v="0"/>
    <n v="1"/>
    <n v="0"/>
    <n v="4.99"/>
    <n v="0"/>
  </r>
  <r>
    <n v="2429"/>
    <s v="Female"/>
    <n v="52"/>
    <x v="6"/>
    <x v="1"/>
    <n v="126"/>
    <n v="53"/>
    <n v="0.05"/>
    <s v="Desktop"/>
    <n v="0"/>
    <n v="1"/>
    <n v="1"/>
    <n v="14.99"/>
    <n v="14.99"/>
  </r>
  <r>
    <n v="2430"/>
    <s v="Male"/>
    <n v="37"/>
    <x v="2"/>
    <x v="3"/>
    <n v="186"/>
    <n v="8"/>
    <n v="0.14000000000000001"/>
    <s v="Web"/>
    <n v="0"/>
    <n v="1"/>
    <n v="0"/>
    <n v="4.99"/>
    <n v="0"/>
  </r>
  <r>
    <n v="2431"/>
    <s v="Male"/>
    <n v="34"/>
    <x v="4"/>
    <x v="1"/>
    <n v="14"/>
    <n v="84"/>
    <n v="0.56000000000000005"/>
    <s v="Mobile"/>
    <n v="0"/>
    <n v="1"/>
    <n v="1"/>
    <n v="14.99"/>
    <n v="14.99"/>
  </r>
  <r>
    <n v="2432"/>
    <s v="Male"/>
    <n v="44"/>
    <x v="0"/>
    <x v="0"/>
    <n v="42"/>
    <n v="38"/>
    <n v="0.55000000000000004"/>
    <s v="Desktop"/>
    <n v="36"/>
    <n v="0"/>
    <n v="1"/>
    <n v="0"/>
    <n v="0"/>
  </r>
  <r>
    <n v="2433"/>
    <s v="Female"/>
    <n v="32"/>
    <x v="7"/>
    <x v="0"/>
    <n v="264"/>
    <n v="56"/>
    <n v="0.23"/>
    <s v="Mobile"/>
    <n v="47"/>
    <n v="0"/>
    <n v="0"/>
    <n v="0"/>
    <n v="0"/>
  </r>
  <r>
    <n v="2434"/>
    <s v="Female"/>
    <n v="17"/>
    <x v="4"/>
    <x v="2"/>
    <n v="80"/>
    <n v="11"/>
    <n v="0.15"/>
    <s v="Desktop"/>
    <n v="0"/>
    <n v="1"/>
    <n v="1"/>
    <n v="9.99"/>
    <n v="9.99"/>
  </r>
  <r>
    <n v="2435"/>
    <s v="Female"/>
    <n v="49"/>
    <x v="2"/>
    <x v="1"/>
    <n v="279"/>
    <n v="85"/>
    <n v="0.34"/>
    <s v="Web"/>
    <n v="0"/>
    <n v="1"/>
    <n v="1"/>
    <n v="14.99"/>
    <n v="14.99"/>
  </r>
  <r>
    <n v="2436"/>
    <s v="Male"/>
    <n v="31"/>
    <x v="1"/>
    <x v="0"/>
    <n v="226"/>
    <n v="2"/>
    <n v="0.47"/>
    <s v="Desktop"/>
    <n v="13"/>
    <n v="0"/>
    <n v="0"/>
    <n v="0"/>
    <n v="0"/>
  </r>
  <r>
    <n v="2437"/>
    <s v="Male"/>
    <n v="26"/>
    <x v="5"/>
    <x v="2"/>
    <n v="79"/>
    <n v="20"/>
    <n v="0.48"/>
    <s v="Mobile"/>
    <n v="0"/>
    <n v="1"/>
    <n v="0"/>
    <n v="9.99"/>
    <n v="0"/>
  </r>
  <r>
    <n v="2438"/>
    <s v="Other"/>
    <n v="37"/>
    <x v="5"/>
    <x v="2"/>
    <n v="179"/>
    <n v="56"/>
    <n v="0.34"/>
    <s v="Mobile"/>
    <n v="0"/>
    <n v="1"/>
    <n v="0"/>
    <n v="9.99"/>
    <n v="0"/>
  </r>
  <r>
    <n v="2439"/>
    <s v="Female"/>
    <n v="30"/>
    <x v="5"/>
    <x v="3"/>
    <n v="240"/>
    <n v="13"/>
    <n v="0.28000000000000003"/>
    <s v="Mobile"/>
    <n v="0"/>
    <n v="1"/>
    <n v="0"/>
    <n v="4.99"/>
    <n v="0"/>
  </r>
  <r>
    <n v="2440"/>
    <s v="Male"/>
    <n v="22"/>
    <x v="2"/>
    <x v="0"/>
    <n v="257"/>
    <n v="11"/>
    <n v="0.47"/>
    <s v="Mobile"/>
    <n v="41"/>
    <n v="0"/>
    <n v="0"/>
    <n v="0"/>
    <n v="0"/>
  </r>
  <r>
    <n v="2441"/>
    <s v="Male"/>
    <n v="52"/>
    <x v="1"/>
    <x v="3"/>
    <n v="293"/>
    <n v="69"/>
    <n v="0.23"/>
    <s v="Mobile"/>
    <n v="0"/>
    <n v="1"/>
    <n v="0"/>
    <n v="4.99"/>
    <n v="0"/>
  </r>
  <r>
    <n v="2442"/>
    <s v="Female"/>
    <n v="45"/>
    <x v="4"/>
    <x v="1"/>
    <n v="267"/>
    <n v="40"/>
    <n v="0.43"/>
    <s v="Desktop"/>
    <n v="0"/>
    <n v="1"/>
    <n v="0"/>
    <n v="14.99"/>
    <n v="0"/>
  </r>
  <r>
    <n v="2443"/>
    <s v="Female"/>
    <n v="54"/>
    <x v="6"/>
    <x v="0"/>
    <n v="283"/>
    <n v="27"/>
    <n v="0.54"/>
    <s v="Mobile"/>
    <n v="11"/>
    <n v="0"/>
    <n v="1"/>
    <n v="0"/>
    <n v="0"/>
  </r>
  <r>
    <n v="2444"/>
    <s v="Male"/>
    <n v="35"/>
    <x v="1"/>
    <x v="2"/>
    <n v="69"/>
    <n v="83"/>
    <n v="0.37"/>
    <s v="Mobile"/>
    <n v="0"/>
    <n v="1"/>
    <n v="0"/>
    <n v="9.99"/>
    <n v="0"/>
  </r>
  <r>
    <n v="2445"/>
    <s v="Other"/>
    <n v="30"/>
    <x v="5"/>
    <x v="3"/>
    <n v="21"/>
    <n v="35"/>
    <n v="0.44"/>
    <s v="Web"/>
    <n v="0"/>
    <n v="1"/>
    <n v="0"/>
    <n v="4.99"/>
    <n v="0"/>
  </r>
  <r>
    <n v="2446"/>
    <s v="Female"/>
    <n v="20"/>
    <x v="6"/>
    <x v="0"/>
    <n v="218"/>
    <n v="33"/>
    <n v="0.26"/>
    <s v="Mobile"/>
    <n v="30"/>
    <n v="0"/>
    <n v="0"/>
    <n v="0"/>
    <n v="0"/>
  </r>
  <r>
    <n v="2447"/>
    <s v="Other"/>
    <n v="33"/>
    <x v="2"/>
    <x v="3"/>
    <n v="149"/>
    <n v="25"/>
    <n v="0.57999999999999996"/>
    <s v="Web"/>
    <n v="0"/>
    <n v="1"/>
    <n v="0"/>
    <n v="4.99"/>
    <n v="0"/>
  </r>
  <r>
    <n v="2448"/>
    <s v="Male"/>
    <n v="50"/>
    <x v="5"/>
    <x v="1"/>
    <n v="84"/>
    <n v="86"/>
    <n v="0.26"/>
    <s v="Mobile"/>
    <n v="0"/>
    <n v="1"/>
    <n v="1"/>
    <n v="14.99"/>
    <n v="14.99"/>
  </r>
  <r>
    <n v="2449"/>
    <s v="Other"/>
    <n v="41"/>
    <x v="0"/>
    <x v="0"/>
    <n v="69"/>
    <n v="51"/>
    <n v="0.06"/>
    <s v="Mobile"/>
    <n v="16"/>
    <n v="0"/>
    <n v="0"/>
    <n v="0"/>
    <n v="0"/>
  </r>
  <r>
    <n v="2450"/>
    <s v="Other"/>
    <n v="37"/>
    <x v="1"/>
    <x v="0"/>
    <n v="252"/>
    <n v="68"/>
    <n v="0.42"/>
    <s v="Desktop"/>
    <n v="24"/>
    <n v="0"/>
    <n v="0"/>
    <n v="0"/>
    <n v="0"/>
  </r>
  <r>
    <n v="2451"/>
    <s v="Male"/>
    <n v="42"/>
    <x v="7"/>
    <x v="2"/>
    <n v="13"/>
    <n v="75"/>
    <n v="0.14000000000000001"/>
    <s v="Web"/>
    <n v="0"/>
    <n v="1"/>
    <n v="1"/>
    <n v="9.99"/>
    <n v="9.99"/>
  </r>
  <r>
    <n v="2452"/>
    <s v="Other"/>
    <n v="53"/>
    <x v="4"/>
    <x v="0"/>
    <n v="290"/>
    <n v="74"/>
    <n v="0.53"/>
    <s v="Mobile"/>
    <n v="36"/>
    <n v="0"/>
    <n v="0"/>
    <n v="0"/>
    <n v="0"/>
  </r>
  <r>
    <n v="2453"/>
    <s v="Male"/>
    <n v="22"/>
    <x v="6"/>
    <x v="2"/>
    <n v="13"/>
    <n v="7"/>
    <n v="0.41"/>
    <s v="Web"/>
    <n v="0"/>
    <n v="1"/>
    <n v="1"/>
    <n v="9.99"/>
    <n v="9.99"/>
  </r>
  <r>
    <n v="2454"/>
    <s v="Female"/>
    <n v="19"/>
    <x v="3"/>
    <x v="2"/>
    <n v="165"/>
    <n v="19"/>
    <n v="0.51"/>
    <s v="Web"/>
    <n v="0"/>
    <n v="1"/>
    <n v="0"/>
    <n v="9.99"/>
    <n v="0"/>
  </r>
  <r>
    <n v="2455"/>
    <s v="Male"/>
    <n v="22"/>
    <x v="2"/>
    <x v="2"/>
    <n v="131"/>
    <n v="82"/>
    <n v="0.25"/>
    <s v="Web"/>
    <n v="0"/>
    <n v="1"/>
    <n v="1"/>
    <n v="9.99"/>
    <n v="9.99"/>
  </r>
  <r>
    <n v="2456"/>
    <s v="Other"/>
    <n v="30"/>
    <x v="7"/>
    <x v="0"/>
    <n v="50"/>
    <n v="71"/>
    <n v="0.03"/>
    <s v="Web"/>
    <n v="21"/>
    <n v="0"/>
    <n v="0"/>
    <n v="0"/>
    <n v="0"/>
  </r>
  <r>
    <n v="2457"/>
    <s v="Male"/>
    <n v="51"/>
    <x v="1"/>
    <x v="1"/>
    <n v="116"/>
    <n v="75"/>
    <n v="0.51"/>
    <s v="Web"/>
    <n v="0"/>
    <n v="1"/>
    <n v="0"/>
    <n v="14.99"/>
    <n v="0"/>
  </r>
  <r>
    <n v="2458"/>
    <s v="Female"/>
    <n v="16"/>
    <x v="4"/>
    <x v="1"/>
    <n v="27"/>
    <n v="48"/>
    <n v="0.43"/>
    <s v="Desktop"/>
    <n v="0"/>
    <n v="1"/>
    <n v="1"/>
    <n v="14.99"/>
    <n v="14.99"/>
  </r>
  <r>
    <n v="2459"/>
    <s v="Male"/>
    <n v="29"/>
    <x v="4"/>
    <x v="0"/>
    <n v="77"/>
    <n v="89"/>
    <n v="0.12"/>
    <s v="Web"/>
    <n v="12"/>
    <n v="0"/>
    <n v="0"/>
    <n v="0"/>
    <n v="0"/>
  </r>
  <r>
    <n v="2460"/>
    <s v="Female"/>
    <n v="51"/>
    <x v="3"/>
    <x v="0"/>
    <n v="28"/>
    <n v="4"/>
    <n v="0.36"/>
    <s v="Desktop"/>
    <n v="34"/>
    <n v="0"/>
    <n v="0"/>
    <n v="0"/>
    <n v="0"/>
  </r>
  <r>
    <n v="2461"/>
    <s v="Female"/>
    <n v="53"/>
    <x v="4"/>
    <x v="1"/>
    <n v="249"/>
    <n v="25"/>
    <n v="0.15"/>
    <s v="Mobile"/>
    <n v="0"/>
    <n v="1"/>
    <n v="0"/>
    <n v="14.99"/>
    <n v="0"/>
  </r>
  <r>
    <n v="2462"/>
    <s v="Female"/>
    <n v="30"/>
    <x v="1"/>
    <x v="0"/>
    <n v="146"/>
    <n v="77"/>
    <n v="0.33"/>
    <s v="Mobile"/>
    <n v="42"/>
    <n v="0"/>
    <n v="0"/>
    <n v="0"/>
    <n v="0"/>
  </r>
  <r>
    <n v="2463"/>
    <s v="Male"/>
    <n v="35"/>
    <x v="1"/>
    <x v="2"/>
    <n v="216"/>
    <n v="20"/>
    <n v="0.41"/>
    <s v="Web"/>
    <n v="0"/>
    <n v="1"/>
    <n v="0"/>
    <n v="9.99"/>
    <n v="0"/>
  </r>
  <r>
    <n v="2464"/>
    <s v="Female"/>
    <n v="46"/>
    <x v="3"/>
    <x v="2"/>
    <n v="56"/>
    <n v="8"/>
    <n v="0.17"/>
    <s v="Desktop"/>
    <n v="0"/>
    <n v="1"/>
    <n v="0"/>
    <n v="9.99"/>
    <n v="0"/>
  </r>
  <r>
    <n v="2465"/>
    <s v="Other"/>
    <n v="47"/>
    <x v="6"/>
    <x v="0"/>
    <n v="48"/>
    <n v="86"/>
    <n v="0.55000000000000004"/>
    <s v="Mobile"/>
    <n v="28"/>
    <n v="0"/>
    <n v="0"/>
    <n v="0"/>
    <n v="0"/>
  </r>
  <r>
    <n v="2466"/>
    <s v="Other"/>
    <n v="17"/>
    <x v="6"/>
    <x v="0"/>
    <n v="285"/>
    <n v="59"/>
    <n v="0.22"/>
    <s v="Mobile"/>
    <n v="31"/>
    <n v="0"/>
    <n v="0"/>
    <n v="0"/>
    <n v="0"/>
  </r>
  <r>
    <n v="2467"/>
    <s v="Other"/>
    <n v="47"/>
    <x v="3"/>
    <x v="3"/>
    <n v="214"/>
    <n v="79"/>
    <n v="0.52"/>
    <s v="Web"/>
    <n v="0"/>
    <n v="1"/>
    <n v="0"/>
    <n v="4.99"/>
    <n v="0"/>
  </r>
  <r>
    <n v="2468"/>
    <s v="Female"/>
    <n v="28"/>
    <x v="6"/>
    <x v="2"/>
    <n v="27"/>
    <n v="40"/>
    <n v="0.2"/>
    <s v="Web"/>
    <n v="0"/>
    <n v="1"/>
    <n v="0"/>
    <n v="9.99"/>
    <n v="0"/>
  </r>
  <r>
    <n v="2469"/>
    <s v="Other"/>
    <n v="41"/>
    <x v="0"/>
    <x v="0"/>
    <n v="87"/>
    <n v="65"/>
    <n v="0.56999999999999995"/>
    <s v="Web"/>
    <n v="36"/>
    <n v="0"/>
    <n v="0"/>
    <n v="0"/>
    <n v="0"/>
  </r>
  <r>
    <n v="2470"/>
    <s v="Male"/>
    <n v="43"/>
    <x v="0"/>
    <x v="1"/>
    <n v="205"/>
    <n v="83"/>
    <n v="7.0000000000000007E-2"/>
    <s v="Web"/>
    <n v="0"/>
    <n v="1"/>
    <n v="0"/>
    <n v="14.99"/>
    <n v="0"/>
  </r>
  <r>
    <n v="2471"/>
    <s v="Other"/>
    <n v="56"/>
    <x v="3"/>
    <x v="0"/>
    <n v="289"/>
    <n v="3"/>
    <n v="0.05"/>
    <s v="Web"/>
    <n v="37"/>
    <n v="0"/>
    <n v="1"/>
    <n v="0"/>
    <n v="0"/>
  </r>
  <r>
    <n v="2472"/>
    <s v="Male"/>
    <n v="59"/>
    <x v="4"/>
    <x v="3"/>
    <n v="11"/>
    <n v="92"/>
    <n v="0.32"/>
    <s v="Mobile"/>
    <n v="0"/>
    <n v="1"/>
    <n v="1"/>
    <n v="4.99"/>
    <n v="4.99"/>
  </r>
  <r>
    <n v="2473"/>
    <s v="Other"/>
    <n v="47"/>
    <x v="3"/>
    <x v="3"/>
    <n v="87"/>
    <n v="10"/>
    <n v="7.0000000000000007E-2"/>
    <s v="Mobile"/>
    <n v="0"/>
    <n v="1"/>
    <n v="0"/>
    <n v="4.99"/>
    <n v="0"/>
  </r>
  <r>
    <n v="2474"/>
    <s v="Other"/>
    <n v="28"/>
    <x v="7"/>
    <x v="1"/>
    <n v="19"/>
    <n v="5"/>
    <n v="0.22"/>
    <s v="Mobile"/>
    <n v="0"/>
    <n v="1"/>
    <n v="0"/>
    <n v="14.99"/>
    <n v="0"/>
  </r>
  <r>
    <n v="2475"/>
    <s v="Other"/>
    <n v="31"/>
    <x v="1"/>
    <x v="0"/>
    <n v="262"/>
    <n v="59"/>
    <n v="0.28000000000000003"/>
    <s v="Mobile"/>
    <n v="38"/>
    <n v="0"/>
    <n v="0"/>
    <n v="0"/>
    <n v="0"/>
  </r>
  <r>
    <n v="2476"/>
    <s v="Female"/>
    <n v="40"/>
    <x v="7"/>
    <x v="1"/>
    <n v="295"/>
    <n v="32"/>
    <n v="0.35"/>
    <s v="Mobile"/>
    <n v="0"/>
    <n v="1"/>
    <n v="0"/>
    <n v="14.99"/>
    <n v="0"/>
  </r>
  <r>
    <n v="2477"/>
    <s v="Other"/>
    <n v="19"/>
    <x v="0"/>
    <x v="2"/>
    <n v="148"/>
    <n v="13"/>
    <n v="0.34"/>
    <s v="Mobile"/>
    <n v="0"/>
    <n v="1"/>
    <n v="0"/>
    <n v="9.99"/>
    <n v="0"/>
  </r>
  <r>
    <n v="2478"/>
    <s v="Male"/>
    <n v="53"/>
    <x v="6"/>
    <x v="1"/>
    <n v="126"/>
    <n v="91"/>
    <n v="0.4"/>
    <s v="Desktop"/>
    <n v="0"/>
    <n v="1"/>
    <n v="0"/>
    <n v="14.99"/>
    <n v="0"/>
  </r>
  <r>
    <n v="2479"/>
    <s v="Other"/>
    <n v="59"/>
    <x v="2"/>
    <x v="0"/>
    <n v="188"/>
    <n v="86"/>
    <n v="0.11"/>
    <s v="Mobile"/>
    <n v="46"/>
    <n v="0"/>
    <n v="0"/>
    <n v="0"/>
    <n v="0"/>
  </r>
  <r>
    <n v="2480"/>
    <s v="Other"/>
    <n v="17"/>
    <x v="7"/>
    <x v="2"/>
    <n v="296"/>
    <n v="78"/>
    <n v="0.08"/>
    <s v="Web"/>
    <n v="0"/>
    <n v="1"/>
    <n v="0"/>
    <n v="9.99"/>
    <n v="0"/>
  </r>
  <r>
    <n v="2481"/>
    <s v="Female"/>
    <n v="46"/>
    <x v="2"/>
    <x v="0"/>
    <n v="11"/>
    <n v="86"/>
    <n v="0.3"/>
    <s v="Web"/>
    <n v="41"/>
    <n v="0"/>
    <n v="0"/>
    <n v="0"/>
    <n v="0"/>
  </r>
  <r>
    <n v="2482"/>
    <s v="Other"/>
    <n v="38"/>
    <x v="1"/>
    <x v="2"/>
    <n v="23"/>
    <n v="89"/>
    <n v="0.16"/>
    <s v="Mobile"/>
    <n v="0"/>
    <n v="1"/>
    <n v="0"/>
    <n v="9.99"/>
    <n v="0"/>
  </r>
  <r>
    <n v="2483"/>
    <s v="Other"/>
    <n v="44"/>
    <x v="5"/>
    <x v="3"/>
    <n v="82"/>
    <n v="83"/>
    <n v="0.34"/>
    <s v="Desktop"/>
    <n v="0"/>
    <n v="1"/>
    <n v="0"/>
    <n v="4.99"/>
    <n v="0"/>
  </r>
  <r>
    <n v="2484"/>
    <s v="Male"/>
    <n v="16"/>
    <x v="2"/>
    <x v="2"/>
    <n v="270"/>
    <n v="77"/>
    <n v="0.56999999999999995"/>
    <s v="Desktop"/>
    <n v="0"/>
    <n v="1"/>
    <n v="0"/>
    <n v="9.99"/>
    <n v="0"/>
  </r>
  <r>
    <n v="2485"/>
    <s v="Male"/>
    <n v="18"/>
    <x v="6"/>
    <x v="1"/>
    <n v="45"/>
    <n v="55"/>
    <n v="0.6"/>
    <s v="Mobile"/>
    <n v="0"/>
    <n v="1"/>
    <n v="1"/>
    <n v="14.99"/>
    <n v="14.99"/>
  </r>
  <r>
    <n v="2486"/>
    <s v="Female"/>
    <n v="20"/>
    <x v="1"/>
    <x v="1"/>
    <n v="135"/>
    <n v="11"/>
    <n v="0.48"/>
    <s v="Web"/>
    <n v="0"/>
    <n v="1"/>
    <n v="0"/>
    <n v="14.99"/>
    <n v="0"/>
  </r>
  <r>
    <n v="2487"/>
    <s v="Male"/>
    <n v="25"/>
    <x v="3"/>
    <x v="3"/>
    <n v="170"/>
    <n v="96"/>
    <n v="0.01"/>
    <s v="Mobile"/>
    <n v="0"/>
    <n v="1"/>
    <n v="0"/>
    <n v="4.99"/>
    <n v="0"/>
  </r>
  <r>
    <n v="2488"/>
    <s v="Other"/>
    <n v="33"/>
    <x v="0"/>
    <x v="1"/>
    <n v="246"/>
    <n v="34"/>
    <n v="0.31"/>
    <s v="Web"/>
    <n v="0"/>
    <n v="1"/>
    <n v="0"/>
    <n v="14.99"/>
    <n v="0"/>
  </r>
  <r>
    <n v="2489"/>
    <s v="Female"/>
    <n v="41"/>
    <x v="1"/>
    <x v="3"/>
    <n v="166"/>
    <n v="55"/>
    <n v="0.37"/>
    <s v="Mobile"/>
    <n v="0"/>
    <n v="1"/>
    <n v="1"/>
    <n v="4.99"/>
    <n v="4.99"/>
  </r>
  <r>
    <n v="2490"/>
    <s v="Female"/>
    <n v="37"/>
    <x v="0"/>
    <x v="3"/>
    <n v="100"/>
    <n v="24"/>
    <n v="0.1"/>
    <s v="Web"/>
    <n v="0"/>
    <n v="1"/>
    <n v="1"/>
    <n v="4.99"/>
    <n v="4.99"/>
  </r>
  <r>
    <n v="2491"/>
    <s v="Other"/>
    <n v="52"/>
    <x v="3"/>
    <x v="2"/>
    <n v="294"/>
    <n v="36"/>
    <n v="0.4"/>
    <s v="Web"/>
    <n v="0"/>
    <n v="1"/>
    <n v="1"/>
    <n v="9.99"/>
    <n v="9.99"/>
  </r>
  <r>
    <n v="2492"/>
    <s v="Male"/>
    <n v="36"/>
    <x v="3"/>
    <x v="3"/>
    <n v="175"/>
    <n v="66"/>
    <n v="0.13"/>
    <s v="Mobile"/>
    <n v="0"/>
    <n v="1"/>
    <n v="0"/>
    <n v="4.99"/>
    <n v="0"/>
  </r>
  <r>
    <n v="2493"/>
    <s v="Female"/>
    <n v="39"/>
    <x v="3"/>
    <x v="0"/>
    <n v="296"/>
    <n v="9"/>
    <n v="0"/>
    <s v="Mobile"/>
    <n v="18"/>
    <n v="0"/>
    <n v="1"/>
    <n v="0"/>
    <n v="0"/>
  </r>
  <r>
    <n v="2494"/>
    <s v="Other"/>
    <n v="28"/>
    <x v="0"/>
    <x v="0"/>
    <n v="21"/>
    <n v="19"/>
    <n v="0.52"/>
    <s v="Mobile"/>
    <n v="32"/>
    <n v="0"/>
    <n v="0"/>
    <n v="0"/>
    <n v="0"/>
  </r>
  <r>
    <n v="2495"/>
    <s v="Male"/>
    <n v="38"/>
    <x v="4"/>
    <x v="1"/>
    <n v="82"/>
    <n v="24"/>
    <n v="0.52"/>
    <s v="Web"/>
    <n v="0"/>
    <n v="1"/>
    <n v="1"/>
    <n v="14.99"/>
    <n v="14.99"/>
  </r>
  <r>
    <n v="2496"/>
    <s v="Other"/>
    <n v="35"/>
    <x v="6"/>
    <x v="3"/>
    <n v="213"/>
    <n v="25"/>
    <n v="0.12"/>
    <s v="Mobile"/>
    <n v="0"/>
    <n v="1"/>
    <n v="1"/>
    <n v="4.99"/>
    <n v="4.99"/>
  </r>
  <r>
    <n v="2497"/>
    <s v="Male"/>
    <n v="30"/>
    <x v="0"/>
    <x v="3"/>
    <n v="271"/>
    <n v="70"/>
    <n v="0.31"/>
    <s v="Desktop"/>
    <n v="0"/>
    <n v="1"/>
    <n v="1"/>
    <n v="4.99"/>
    <n v="4.99"/>
  </r>
  <r>
    <n v="2498"/>
    <s v="Male"/>
    <n v="43"/>
    <x v="6"/>
    <x v="1"/>
    <n v="187"/>
    <n v="38"/>
    <n v="0.03"/>
    <s v="Web"/>
    <n v="0"/>
    <n v="1"/>
    <n v="0"/>
    <n v="14.99"/>
    <n v="0"/>
  </r>
  <r>
    <n v="2499"/>
    <s v="Other"/>
    <n v="29"/>
    <x v="3"/>
    <x v="0"/>
    <n v="251"/>
    <n v="15"/>
    <n v="0.12"/>
    <s v="Web"/>
    <n v="48"/>
    <n v="0"/>
    <n v="0"/>
    <n v="0"/>
    <n v="0"/>
  </r>
  <r>
    <n v="2500"/>
    <s v="Female"/>
    <n v="42"/>
    <x v="4"/>
    <x v="1"/>
    <n v="293"/>
    <n v="88"/>
    <n v="0.1"/>
    <s v="Mobile"/>
    <n v="0"/>
    <n v="1"/>
    <n v="1"/>
    <n v="14.99"/>
    <n v="14.99"/>
  </r>
  <r>
    <n v="2501"/>
    <s v="Male"/>
    <n v="38"/>
    <x v="3"/>
    <x v="2"/>
    <n v="95"/>
    <n v="77"/>
    <n v="0.01"/>
    <s v="Desktop"/>
    <n v="0"/>
    <n v="1"/>
    <n v="0"/>
    <n v="9.99"/>
    <n v="0"/>
  </r>
  <r>
    <n v="2502"/>
    <s v="Other"/>
    <n v="38"/>
    <x v="1"/>
    <x v="3"/>
    <n v="225"/>
    <n v="26"/>
    <n v="0.33"/>
    <s v="Mobile"/>
    <n v="0"/>
    <n v="1"/>
    <n v="0"/>
    <n v="4.99"/>
    <n v="0"/>
  </r>
  <r>
    <n v="2503"/>
    <s v="Female"/>
    <n v="58"/>
    <x v="2"/>
    <x v="3"/>
    <n v="143"/>
    <n v="17"/>
    <n v="0.36"/>
    <s v="Mobile"/>
    <n v="0"/>
    <n v="1"/>
    <n v="0"/>
    <n v="4.99"/>
    <n v="0"/>
  </r>
  <r>
    <n v="2504"/>
    <s v="Male"/>
    <n v="47"/>
    <x v="6"/>
    <x v="2"/>
    <n v="157"/>
    <n v="82"/>
    <n v="0.2"/>
    <s v="Mobile"/>
    <n v="0"/>
    <n v="1"/>
    <n v="1"/>
    <n v="9.99"/>
    <n v="9.99"/>
  </r>
  <r>
    <n v="2505"/>
    <s v="Female"/>
    <n v="26"/>
    <x v="3"/>
    <x v="0"/>
    <n v="285"/>
    <n v="44"/>
    <n v="0.48"/>
    <s v="Web"/>
    <n v="21"/>
    <n v="0"/>
    <n v="0"/>
    <n v="0"/>
    <n v="0"/>
  </r>
  <r>
    <n v="2506"/>
    <s v="Female"/>
    <n v="45"/>
    <x v="6"/>
    <x v="1"/>
    <n v="263"/>
    <n v="71"/>
    <n v="0.18"/>
    <s v="Mobile"/>
    <n v="0"/>
    <n v="1"/>
    <n v="0"/>
    <n v="14.99"/>
    <n v="0"/>
  </r>
  <r>
    <n v="2507"/>
    <s v="Female"/>
    <n v="18"/>
    <x v="1"/>
    <x v="3"/>
    <n v="235"/>
    <n v="7"/>
    <n v="0.42"/>
    <s v="Desktop"/>
    <n v="0"/>
    <n v="1"/>
    <n v="0"/>
    <n v="4.99"/>
    <n v="0"/>
  </r>
  <r>
    <n v="2508"/>
    <s v="Male"/>
    <n v="27"/>
    <x v="1"/>
    <x v="1"/>
    <n v="112"/>
    <n v="13"/>
    <n v="0.54"/>
    <s v="Desktop"/>
    <n v="0"/>
    <n v="1"/>
    <n v="0"/>
    <n v="14.99"/>
    <n v="0"/>
  </r>
  <r>
    <n v="2509"/>
    <s v="Female"/>
    <n v="58"/>
    <x v="2"/>
    <x v="2"/>
    <n v="208"/>
    <n v="86"/>
    <n v="0.1"/>
    <s v="Web"/>
    <n v="0"/>
    <n v="1"/>
    <n v="1"/>
    <n v="9.99"/>
    <n v="9.99"/>
  </r>
  <r>
    <n v="2510"/>
    <s v="Other"/>
    <n v="42"/>
    <x v="7"/>
    <x v="3"/>
    <n v="184"/>
    <n v="90"/>
    <n v="0.51"/>
    <s v="Desktop"/>
    <n v="0"/>
    <n v="1"/>
    <n v="1"/>
    <n v="4.99"/>
    <n v="4.99"/>
  </r>
  <r>
    <n v="2511"/>
    <s v="Female"/>
    <n v="50"/>
    <x v="7"/>
    <x v="3"/>
    <n v="129"/>
    <n v="50"/>
    <n v="0.34"/>
    <s v="Mobile"/>
    <n v="0"/>
    <n v="1"/>
    <n v="0"/>
    <n v="4.99"/>
    <n v="0"/>
  </r>
  <r>
    <n v="2512"/>
    <s v="Male"/>
    <n v="25"/>
    <x v="3"/>
    <x v="2"/>
    <n v="211"/>
    <n v="99"/>
    <n v="7.0000000000000007E-2"/>
    <s v="Mobile"/>
    <n v="0"/>
    <n v="1"/>
    <n v="0"/>
    <n v="9.99"/>
    <n v="0"/>
  </r>
  <r>
    <n v="2513"/>
    <s v="Male"/>
    <n v="31"/>
    <x v="7"/>
    <x v="2"/>
    <n v="146"/>
    <n v="38"/>
    <n v="0.38"/>
    <s v="Mobile"/>
    <n v="0"/>
    <n v="1"/>
    <n v="1"/>
    <n v="9.99"/>
    <n v="9.99"/>
  </r>
  <r>
    <n v="2514"/>
    <s v="Female"/>
    <n v="25"/>
    <x v="0"/>
    <x v="1"/>
    <n v="297"/>
    <n v="33"/>
    <n v="0.56999999999999995"/>
    <s v="Mobile"/>
    <n v="0"/>
    <n v="1"/>
    <n v="0"/>
    <n v="14.99"/>
    <n v="0"/>
  </r>
  <r>
    <n v="2515"/>
    <s v="Female"/>
    <n v="22"/>
    <x v="1"/>
    <x v="1"/>
    <n v="28"/>
    <n v="70"/>
    <n v="0.19"/>
    <s v="Mobile"/>
    <n v="0"/>
    <n v="1"/>
    <n v="0"/>
    <n v="14.99"/>
    <n v="0"/>
  </r>
  <r>
    <n v="2516"/>
    <s v="Other"/>
    <n v="51"/>
    <x v="0"/>
    <x v="1"/>
    <n v="84"/>
    <n v="23"/>
    <n v="0.26"/>
    <s v="Desktop"/>
    <n v="0"/>
    <n v="1"/>
    <n v="1"/>
    <n v="14.99"/>
    <n v="14.99"/>
  </r>
  <r>
    <n v="2517"/>
    <s v="Other"/>
    <n v="46"/>
    <x v="4"/>
    <x v="2"/>
    <n v="103"/>
    <n v="40"/>
    <n v="0.33"/>
    <s v="Mobile"/>
    <n v="0"/>
    <n v="1"/>
    <n v="0"/>
    <n v="9.99"/>
    <n v="0"/>
  </r>
  <r>
    <n v="2518"/>
    <s v="Female"/>
    <n v="45"/>
    <x v="6"/>
    <x v="2"/>
    <n v="282"/>
    <n v="73"/>
    <n v="0.28999999999999998"/>
    <s v="Mobile"/>
    <n v="0"/>
    <n v="1"/>
    <n v="1"/>
    <n v="9.99"/>
    <n v="9.99"/>
  </r>
  <r>
    <n v="2519"/>
    <s v="Other"/>
    <n v="53"/>
    <x v="4"/>
    <x v="1"/>
    <n v="157"/>
    <n v="12"/>
    <n v="0.56000000000000005"/>
    <s v="Web"/>
    <n v="0"/>
    <n v="1"/>
    <n v="0"/>
    <n v="14.99"/>
    <n v="0"/>
  </r>
  <r>
    <n v="2520"/>
    <s v="Female"/>
    <n v="23"/>
    <x v="5"/>
    <x v="0"/>
    <n v="152"/>
    <n v="11"/>
    <n v="0.23"/>
    <s v="Web"/>
    <n v="16"/>
    <n v="0"/>
    <n v="0"/>
    <n v="0"/>
    <n v="0"/>
  </r>
  <r>
    <n v="2521"/>
    <s v="Female"/>
    <n v="21"/>
    <x v="4"/>
    <x v="2"/>
    <n v="233"/>
    <n v="11"/>
    <n v="0.1"/>
    <s v="Mobile"/>
    <n v="0"/>
    <n v="1"/>
    <n v="0"/>
    <n v="9.99"/>
    <n v="0"/>
  </r>
  <r>
    <n v="2522"/>
    <s v="Female"/>
    <n v="28"/>
    <x v="0"/>
    <x v="3"/>
    <n v="111"/>
    <n v="61"/>
    <n v="0.41"/>
    <s v="Web"/>
    <n v="0"/>
    <n v="1"/>
    <n v="0"/>
    <n v="4.99"/>
    <n v="0"/>
  </r>
  <r>
    <n v="2523"/>
    <s v="Other"/>
    <n v="21"/>
    <x v="5"/>
    <x v="2"/>
    <n v="297"/>
    <n v="95"/>
    <n v="0.28000000000000003"/>
    <s v="Web"/>
    <n v="0"/>
    <n v="1"/>
    <n v="0"/>
    <n v="9.99"/>
    <n v="0"/>
  </r>
  <r>
    <n v="2524"/>
    <s v="Other"/>
    <n v="37"/>
    <x v="4"/>
    <x v="3"/>
    <n v="46"/>
    <n v="29"/>
    <n v="0.4"/>
    <s v="Web"/>
    <n v="0"/>
    <n v="1"/>
    <n v="0"/>
    <n v="4.99"/>
    <n v="0"/>
  </r>
  <r>
    <n v="2525"/>
    <s v="Female"/>
    <n v="33"/>
    <x v="1"/>
    <x v="0"/>
    <n v="56"/>
    <n v="57"/>
    <n v="0.57999999999999996"/>
    <s v="Mobile"/>
    <n v="16"/>
    <n v="0"/>
    <n v="1"/>
    <n v="0"/>
    <n v="0"/>
  </r>
  <r>
    <n v="2526"/>
    <s v="Female"/>
    <n v="50"/>
    <x v="4"/>
    <x v="0"/>
    <n v="118"/>
    <n v="72"/>
    <n v="0.06"/>
    <s v="Mobile"/>
    <n v="8"/>
    <n v="0"/>
    <n v="0"/>
    <n v="0"/>
    <n v="0"/>
  </r>
  <r>
    <n v="2527"/>
    <s v="Female"/>
    <n v="17"/>
    <x v="6"/>
    <x v="0"/>
    <n v="98"/>
    <n v="82"/>
    <n v="0.44"/>
    <s v="Web"/>
    <n v="24"/>
    <n v="0"/>
    <n v="0"/>
    <n v="0"/>
    <n v="0"/>
  </r>
  <r>
    <n v="2528"/>
    <s v="Female"/>
    <n v="51"/>
    <x v="0"/>
    <x v="3"/>
    <n v="178"/>
    <n v="73"/>
    <n v="0.14000000000000001"/>
    <s v="Mobile"/>
    <n v="0"/>
    <n v="1"/>
    <n v="1"/>
    <n v="4.99"/>
    <n v="4.99"/>
  </r>
  <r>
    <n v="2529"/>
    <s v="Female"/>
    <n v="46"/>
    <x v="3"/>
    <x v="1"/>
    <n v="97"/>
    <n v="71"/>
    <n v="0.22"/>
    <s v="Desktop"/>
    <n v="0"/>
    <n v="1"/>
    <n v="1"/>
    <n v="14.99"/>
    <n v="14.99"/>
  </r>
  <r>
    <n v="2530"/>
    <s v="Female"/>
    <n v="39"/>
    <x v="3"/>
    <x v="2"/>
    <n v="165"/>
    <n v="16"/>
    <n v="0.19"/>
    <s v="Mobile"/>
    <n v="0"/>
    <n v="1"/>
    <n v="0"/>
    <n v="9.99"/>
    <n v="0"/>
  </r>
  <r>
    <n v="2531"/>
    <s v="Female"/>
    <n v="45"/>
    <x v="1"/>
    <x v="2"/>
    <n v="85"/>
    <n v="78"/>
    <n v="0.03"/>
    <s v="Web"/>
    <n v="0"/>
    <n v="1"/>
    <n v="0"/>
    <n v="9.99"/>
    <n v="0"/>
  </r>
  <r>
    <n v="2532"/>
    <s v="Female"/>
    <n v="59"/>
    <x v="4"/>
    <x v="1"/>
    <n v="137"/>
    <n v="19"/>
    <n v="0.2"/>
    <s v="Mobile"/>
    <n v="0"/>
    <n v="1"/>
    <n v="0"/>
    <n v="14.99"/>
    <n v="0"/>
  </r>
  <r>
    <n v="2533"/>
    <s v="Male"/>
    <n v="16"/>
    <x v="5"/>
    <x v="2"/>
    <n v="215"/>
    <n v="58"/>
    <n v="0.23"/>
    <s v="Web"/>
    <n v="0"/>
    <n v="1"/>
    <n v="0"/>
    <n v="9.99"/>
    <n v="0"/>
  </r>
  <r>
    <n v="2534"/>
    <s v="Female"/>
    <n v="17"/>
    <x v="4"/>
    <x v="3"/>
    <n v="48"/>
    <n v="53"/>
    <n v="0.59"/>
    <s v="Desktop"/>
    <n v="0"/>
    <n v="1"/>
    <n v="0"/>
    <n v="4.99"/>
    <n v="0"/>
  </r>
  <r>
    <n v="2535"/>
    <s v="Male"/>
    <n v="58"/>
    <x v="3"/>
    <x v="1"/>
    <n v="60"/>
    <n v="85"/>
    <n v="0.45"/>
    <s v="Web"/>
    <n v="0"/>
    <n v="1"/>
    <n v="1"/>
    <n v="14.99"/>
    <n v="14.99"/>
  </r>
  <r>
    <n v="2536"/>
    <s v="Other"/>
    <n v="26"/>
    <x v="6"/>
    <x v="1"/>
    <n v="229"/>
    <n v="40"/>
    <n v="0.28000000000000003"/>
    <s v="Web"/>
    <n v="0"/>
    <n v="1"/>
    <n v="0"/>
    <n v="14.99"/>
    <n v="0"/>
  </r>
  <r>
    <n v="2537"/>
    <s v="Female"/>
    <n v="46"/>
    <x v="5"/>
    <x v="3"/>
    <n v="33"/>
    <n v="58"/>
    <n v="0.54"/>
    <s v="Web"/>
    <n v="0"/>
    <n v="1"/>
    <n v="0"/>
    <n v="4.99"/>
    <n v="0"/>
  </r>
  <r>
    <n v="2538"/>
    <s v="Female"/>
    <n v="52"/>
    <x v="4"/>
    <x v="1"/>
    <n v="272"/>
    <n v="27"/>
    <n v="0.43"/>
    <s v="Web"/>
    <n v="0"/>
    <n v="1"/>
    <n v="0"/>
    <n v="14.99"/>
    <n v="0"/>
  </r>
  <r>
    <n v="2539"/>
    <s v="Female"/>
    <n v="39"/>
    <x v="2"/>
    <x v="3"/>
    <n v="126"/>
    <n v="48"/>
    <n v="0.36"/>
    <s v="Mobile"/>
    <n v="0"/>
    <n v="1"/>
    <n v="1"/>
    <n v="4.99"/>
    <n v="4.99"/>
  </r>
  <r>
    <n v="2540"/>
    <s v="Male"/>
    <n v="54"/>
    <x v="0"/>
    <x v="2"/>
    <n v="201"/>
    <n v="65"/>
    <n v="0.13"/>
    <s v="Mobile"/>
    <n v="0"/>
    <n v="1"/>
    <n v="0"/>
    <n v="9.99"/>
    <n v="0"/>
  </r>
  <r>
    <n v="2541"/>
    <s v="Other"/>
    <n v="17"/>
    <x v="7"/>
    <x v="2"/>
    <n v="143"/>
    <n v="92"/>
    <n v="0.06"/>
    <s v="Mobile"/>
    <n v="0"/>
    <n v="1"/>
    <n v="0"/>
    <n v="9.99"/>
    <n v="0"/>
  </r>
  <r>
    <n v="2542"/>
    <s v="Other"/>
    <n v="26"/>
    <x v="6"/>
    <x v="2"/>
    <n v="52"/>
    <n v="5"/>
    <n v="0.47"/>
    <s v="Mobile"/>
    <n v="0"/>
    <n v="1"/>
    <n v="1"/>
    <n v="9.99"/>
    <n v="9.99"/>
  </r>
  <r>
    <n v="2543"/>
    <s v="Other"/>
    <n v="52"/>
    <x v="2"/>
    <x v="0"/>
    <n v="19"/>
    <n v="37"/>
    <n v="0.49"/>
    <s v="Mobile"/>
    <n v="30"/>
    <n v="0"/>
    <n v="1"/>
    <n v="0"/>
    <n v="0"/>
  </r>
  <r>
    <n v="2544"/>
    <s v="Male"/>
    <n v="52"/>
    <x v="7"/>
    <x v="2"/>
    <n v="151"/>
    <n v="59"/>
    <n v="0.32"/>
    <s v="Mobile"/>
    <n v="0"/>
    <n v="1"/>
    <n v="0"/>
    <n v="9.99"/>
    <n v="0"/>
  </r>
  <r>
    <n v="2545"/>
    <s v="Other"/>
    <n v="39"/>
    <x v="2"/>
    <x v="2"/>
    <n v="137"/>
    <n v="20"/>
    <n v="0.44"/>
    <s v="Web"/>
    <n v="0"/>
    <n v="1"/>
    <n v="1"/>
    <n v="9.99"/>
    <n v="9.99"/>
  </r>
  <r>
    <n v="2546"/>
    <s v="Other"/>
    <n v="54"/>
    <x v="6"/>
    <x v="3"/>
    <n v="273"/>
    <n v="6"/>
    <n v="0.18"/>
    <s v="Mobile"/>
    <n v="0"/>
    <n v="1"/>
    <n v="0"/>
    <n v="4.99"/>
    <n v="0"/>
  </r>
  <r>
    <n v="2547"/>
    <s v="Female"/>
    <n v="51"/>
    <x v="1"/>
    <x v="1"/>
    <n v="132"/>
    <n v="14"/>
    <n v="0.6"/>
    <s v="Web"/>
    <n v="0"/>
    <n v="1"/>
    <n v="0"/>
    <n v="14.99"/>
    <n v="0"/>
  </r>
  <r>
    <n v="2548"/>
    <s v="Other"/>
    <n v="17"/>
    <x v="0"/>
    <x v="1"/>
    <n v="190"/>
    <n v="11"/>
    <n v="0.19"/>
    <s v="Web"/>
    <n v="0"/>
    <n v="1"/>
    <n v="0"/>
    <n v="14.99"/>
    <n v="0"/>
  </r>
  <r>
    <n v="2549"/>
    <s v="Male"/>
    <n v="51"/>
    <x v="4"/>
    <x v="2"/>
    <n v="107"/>
    <n v="50"/>
    <n v="0.27"/>
    <s v="Web"/>
    <n v="0"/>
    <n v="1"/>
    <n v="0"/>
    <n v="9.99"/>
    <n v="0"/>
  </r>
  <r>
    <n v="2550"/>
    <s v="Male"/>
    <n v="35"/>
    <x v="2"/>
    <x v="1"/>
    <n v="296"/>
    <n v="30"/>
    <n v="0.28000000000000003"/>
    <s v="Web"/>
    <n v="0"/>
    <n v="1"/>
    <n v="0"/>
    <n v="14.99"/>
    <n v="0"/>
  </r>
  <r>
    <n v="2551"/>
    <s v="Other"/>
    <n v="18"/>
    <x v="4"/>
    <x v="3"/>
    <n v="102"/>
    <n v="85"/>
    <n v="0.51"/>
    <s v="Web"/>
    <n v="0"/>
    <n v="1"/>
    <n v="0"/>
    <n v="4.99"/>
    <n v="0"/>
  </r>
  <r>
    <n v="2552"/>
    <s v="Other"/>
    <n v="48"/>
    <x v="2"/>
    <x v="3"/>
    <n v="39"/>
    <n v="32"/>
    <n v="0.04"/>
    <s v="Web"/>
    <n v="0"/>
    <n v="1"/>
    <n v="0"/>
    <n v="4.99"/>
    <n v="0"/>
  </r>
  <r>
    <n v="2553"/>
    <s v="Male"/>
    <n v="17"/>
    <x v="5"/>
    <x v="3"/>
    <n v="77"/>
    <n v="25"/>
    <n v="0.05"/>
    <s v="Mobile"/>
    <n v="0"/>
    <n v="1"/>
    <n v="0"/>
    <n v="4.99"/>
    <n v="0"/>
  </r>
  <r>
    <n v="2554"/>
    <s v="Other"/>
    <n v="37"/>
    <x v="5"/>
    <x v="3"/>
    <n v="34"/>
    <n v="33"/>
    <n v="0.26"/>
    <s v="Desktop"/>
    <n v="0"/>
    <n v="1"/>
    <n v="0"/>
    <n v="4.99"/>
    <n v="0"/>
  </r>
  <r>
    <n v="2555"/>
    <s v="Male"/>
    <n v="29"/>
    <x v="5"/>
    <x v="0"/>
    <n v="110"/>
    <n v="46"/>
    <n v="0.17"/>
    <s v="Mobile"/>
    <n v="22"/>
    <n v="0"/>
    <n v="0"/>
    <n v="0"/>
    <n v="0"/>
  </r>
  <r>
    <n v="2556"/>
    <s v="Female"/>
    <n v="33"/>
    <x v="0"/>
    <x v="0"/>
    <n v="154"/>
    <n v="69"/>
    <n v="0.48"/>
    <s v="Web"/>
    <n v="10"/>
    <n v="0"/>
    <n v="0"/>
    <n v="0"/>
    <n v="0"/>
  </r>
  <r>
    <n v="2557"/>
    <s v="Other"/>
    <n v="22"/>
    <x v="4"/>
    <x v="3"/>
    <n v="207"/>
    <n v="61"/>
    <n v="0.37"/>
    <s v="Web"/>
    <n v="0"/>
    <n v="1"/>
    <n v="1"/>
    <n v="4.99"/>
    <n v="4.99"/>
  </r>
  <r>
    <n v="2558"/>
    <s v="Other"/>
    <n v="48"/>
    <x v="6"/>
    <x v="0"/>
    <n v="212"/>
    <n v="85"/>
    <n v="0.28000000000000003"/>
    <s v="Web"/>
    <n v="19"/>
    <n v="0"/>
    <n v="0"/>
    <n v="0"/>
    <n v="0"/>
  </r>
  <r>
    <n v="2559"/>
    <s v="Female"/>
    <n v="52"/>
    <x v="5"/>
    <x v="1"/>
    <n v="143"/>
    <n v="48"/>
    <n v="0.38"/>
    <s v="Desktop"/>
    <n v="0"/>
    <n v="1"/>
    <n v="1"/>
    <n v="14.99"/>
    <n v="14.99"/>
  </r>
  <r>
    <n v="2560"/>
    <s v="Male"/>
    <n v="57"/>
    <x v="2"/>
    <x v="1"/>
    <n v="207"/>
    <n v="22"/>
    <n v="0.15"/>
    <s v="Desktop"/>
    <n v="0"/>
    <n v="1"/>
    <n v="0"/>
    <n v="14.99"/>
    <n v="0"/>
  </r>
  <r>
    <n v="2561"/>
    <s v="Other"/>
    <n v="27"/>
    <x v="6"/>
    <x v="2"/>
    <n v="78"/>
    <n v="53"/>
    <n v="0.31"/>
    <s v="Web"/>
    <n v="0"/>
    <n v="1"/>
    <n v="1"/>
    <n v="9.99"/>
    <n v="9.99"/>
  </r>
  <r>
    <n v="2562"/>
    <s v="Other"/>
    <n v="25"/>
    <x v="5"/>
    <x v="3"/>
    <n v="266"/>
    <n v="50"/>
    <n v="0.54"/>
    <s v="Desktop"/>
    <n v="0"/>
    <n v="1"/>
    <n v="0"/>
    <n v="4.99"/>
    <n v="0"/>
  </r>
  <r>
    <n v="2563"/>
    <s v="Female"/>
    <n v="27"/>
    <x v="3"/>
    <x v="2"/>
    <n v="175"/>
    <n v="14"/>
    <n v="0.56000000000000005"/>
    <s v="Web"/>
    <n v="0"/>
    <n v="1"/>
    <n v="0"/>
    <n v="9.99"/>
    <n v="0"/>
  </r>
  <r>
    <n v="2564"/>
    <s v="Other"/>
    <n v="41"/>
    <x v="5"/>
    <x v="0"/>
    <n v="21"/>
    <n v="57"/>
    <n v="0.22"/>
    <s v="Desktop"/>
    <n v="30"/>
    <n v="0"/>
    <n v="0"/>
    <n v="0"/>
    <n v="0"/>
  </r>
  <r>
    <n v="2565"/>
    <s v="Male"/>
    <n v="56"/>
    <x v="5"/>
    <x v="3"/>
    <n v="122"/>
    <n v="98"/>
    <n v="0.6"/>
    <s v="Web"/>
    <n v="0"/>
    <n v="1"/>
    <n v="1"/>
    <n v="4.99"/>
    <n v="4.99"/>
  </r>
  <r>
    <n v="2566"/>
    <s v="Female"/>
    <n v="43"/>
    <x v="6"/>
    <x v="2"/>
    <n v="265"/>
    <n v="91"/>
    <n v="0.46"/>
    <s v="Desktop"/>
    <n v="0"/>
    <n v="1"/>
    <n v="0"/>
    <n v="9.99"/>
    <n v="0"/>
  </r>
  <r>
    <n v="2567"/>
    <s v="Male"/>
    <n v="51"/>
    <x v="7"/>
    <x v="1"/>
    <n v="76"/>
    <n v="93"/>
    <n v="0.28000000000000003"/>
    <s v="Mobile"/>
    <n v="0"/>
    <n v="1"/>
    <n v="0"/>
    <n v="14.99"/>
    <n v="0"/>
  </r>
  <r>
    <n v="2568"/>
    <s v="Male"/>
    <n v="56"/>
    <x v="5"/>
    <x v="2"/>
    <n v="223"/>
    <n v="90"/>
    <n v="0.18"/>
    <s v="Desktop"/>
    <n v="0"/>
    <n v="1"/>
    <n v="1"/>
    <n v="9.99"/>
    <n v="9.99"/>
  </r>
  <r>
    <n v="2569"/>
    <s v="Male"/>
    <n v="38"/>
    <x v="3"/>
    <x v="0"/>
    <n v="83"/>
    <n v="60"/>
    <n v="0.31"/>
    <s v="Web"/>
    <n v="8"/>
    <n v="0"/>
    <n v="0"/>
    <n v="0"/>
    <n v="0"/>
  </r>
  <r>
    <n v="2570"/>
    <s v="Male"/>
    <n v="16"/>
    <x v="1"/>
    <x v="0"/>
    <n v="180"/>
    <n v="8"/>
    <n v="0.06"/>
    <s v="Mobile"/>
    <n v="43"/>
    <n v="0"/>
    <n v="0"/>
    <n v="0"/>
    <n v="0"/>
  </r>
  <r>
    <n v="2571"/>
    <s v="Female"/>
    <n v="54"/>
    <x v="6"/>
    <x v="1"/>
    <n v="23"/>
    <n v="41"/>
    <n v="0.1"/>
    <s v="Mobile"/>
    <n v="0"/>
    <n v="1"/>
    <n v="0"/>
    <n v="14.99"/>
    <n v="0"/>
  </r>
  <r>
    <n v="2572"/>
    <s v="Other"/>
    <n v="43"/>
    <x v="0"/>
    <x v="3"/>
    <n v="190"/>
    <n v="96"/>
    <n v="0.19"/>
    <s v="Mobile"/>
    <n v="0"/>
    <n v="1"/>
    <n v="0"/>
    <n v="4.99"/>
    <n v="0"/>
  </r>
  <r>
    <n v="2573"/>
    <s v="Female"/>
    <n v="29"/>
    <x v="2"/>
    <x v="1"/>
    <n v="55"/>
    <n v="47"/>
    <n v="0.39"/>
    <s v="Web"/>
    <n v="0"/>
    <n v="1"/>
    <n v="1"/>
    <n v="14.99"/>
    <n v="14.99"/>
  </r>
  <r>
    <n v="2574"/>
    <s v="Male"/>
    <n v="30"/>
    <x v="4"/>
    <x v="1"/>
    <n v="163"/>
    <n v="4"/>
    <n v="0.51"/>
    <s v="Desktop"/>
    <n v="0"/>
    <n v="1"/>
    <n v="1"/>
    <n v="14.99"/>
    <n v="14.99"/>
  </r>
  <r>
    <n v="2575"/>
    <s v="Other"/>
    <n v="17"/>
    <x v="4"/>
    <x v="2"/>
    <n v="108"/>
    <n v="82"/>
    <n v="0.23"/>
    <s v="Desktop"/>
    <n v="0"/>
    <n v="1"/>
    <n v="0"/>
    <n v="9.99"/>
    <n v="0"/>
  </r>
  <r>
    <n v="2576"/>
    <s v="Other"/>
    <n v="50"/>
    <x v="1"/>
    <x v="3"/>
    <n v="184"/>
    <n v="4"/>
    <n v="0.56999999999999995"/>
    <s v="Mobile"/>
    <n v="0"/>
    <n v="1"/>
    <n v="0"/>
    <n v="4.99"/>
    <n v="0"/>
  </r>
  <r>
    <n v="2577"/>
    <s v="Other"/>
    <n v="43"/>
    <x v="2"/>
    <x v="1"/>
    <n v="123"/>
    <n v="50"/>
    <n v="0.03"/>
    <s v="Desktop"/>
    <n v="0"/>
    <n v="1"/>
    <n v="0"/>
    <n v="14.99"/>
    <n v="0"/>
  </r>
  <r>
    <n v="2578"/>
    <s v="Other"/>
    <n v="19"/>
    <x v="7"/>
    <x v="0"/>
    <n v="285"/>
    <n v="92"/>
    <n v="0.48"/>
    <s v="Desktop"/>
    <n v="17"/>
    <n v="0"/>
    <n v="0"/>
    <n v="0"/>
    <n v="0"/>
  </r>
  <r>
    <n v="2579"/>
    <s v="Female"/>
    <n v="34"/>
    <x v="4"/>
    <x v="0"/>
    <n v="197"/>
    <n v="81"/>
    <n v="0.01"/>
    <s v="Desktop"/>
    <n v="17"/>
    <n v="0"/>
    <n v="0"/>
    <n v="0"/>
    <n v="0"/>
  </r>
  <r>
    <n v="2580"/>
    <s v="Male"/>
    <n v="53"/>
    <x v="6"/>
    <x v="2"/>
    <n v="47"/>
    <n v="96"/>
    <n v="0.54"/>
    <s v="Web"/>
    <n v="0"/>
    <n v="1"/>
    <n v="0"/>
    <n v="9.99"/>
    <n v="0"/>
  </r>
  <r>
    <n v="2581"/>
    <s v="Other"/>
    <n v="31"/>
    <x v="2"/>
    <x v="3"/>
    <n v="90"/>
    <n v="65"/>
    <n v="0.25"/>
    <s v="Mobile"/>
    <n v="0"/>
    <n v="1"/>
    <n v="1"/>
    <n v="4.99"/>
    <n v="4.99"/>
  </r>
  <r>
    <n v="2582"/>
    <s v="Other"/>
    <n v="25"/>
    <x v="7"/>
    <x v="1"/>
    <n v="11"/>
    <n v="35"/>
    <n v="0.23"/>
    <s v="Web"/>
    <n v="0"/>
    <n v="1"/>
    <n v="1"/>
    <n v="14.99"/>
    <n v="14.99"/>
  </r>
  <r>
    <n v="2583"/>
    <s v="Other"/>
    <n v="23"/>
    <x v="3"/>
    <x v="2"/>
    <n v="234"/>
    <n v="10"/>
    <n v="0.38"/>
    <s v="Desktop"/>
    <n v="0"/>
    <n v="1"/>
    <n v="0"/>
    <n v="9.99"/>
    <n v="0"/>
  </r>
  <r>
    <n v="2584"/>
    <s v="Male"/>
    <n v="41"/>
    <x v="3"/>
    <x v="1"/>
    <n v="197"/>
    <n v="9"/>
    <n v="0.57999999999999996"/>
    <s v="Web"/>
    <n v="0"/>
    <n v="1"/>
    <n v="0"/>
    <n v="14.99"/>
    <n v="0"/>
  </r>
  <r>
    <n v="2585"/>
    <s v="Male"/>
    <n v="37"/>
    <x v="5"/>
    <x v="3"/>
    <n v="46"/>
    <n v="85"/>
    <n v="0.01"/>
    <s v="Desktop"/>
    <n v="0"/>
    <n v="1"/>
    <n v="0"/>
    <n v="4.99"/>
    <n v="0"/>
  </r>
  <r>
    <n v="2586"/>
    <s v="Other"/>
    <n v="34"/>
    <x v="6"/>
    <x v="3"/>
    <n v="181"/>
    <n v="72"/>
    <n v="0.41"/>
    <s v="Desktop"/>
    <n v="0"/>
    <n v="1"/>
    <n v="1"/>
    <n v="4.99"/>
    <n v="4.99"/>
  </r>
  <r>
    <n v="2587"/>
    <s v="Female"/>
    <n v="42"/>
    <x v="3"/>
    <x v="2"/>
    <n v="114"/>
    <n v="64"/>
    <n v="0.1"/>
    <s v="Mobile"/>
    <n v="0"/>
    <n v="1"/>
    <n v="1"/>
    <n v="9.99"/>
    <n v="9.99"/>
  </r>
  <r>
    <n v="2588"/>
    <s v="Other"/>
    <n v="54"/>
    <x v="1"/>
    <x v="2"/>
    <n v="55"/>
    <n v="68"/>
    <n v="0.28000000000000003"/>
    <s v="Web"/>
    <n v="0"/>
    <n v="1"/>
    <n v="1"/>
    <n v="9.99"/>
    <n v="9.99"/>
  </r>
  <r>
    <n v="2589"/>
    <s v="Female"/>
    <n v="37"/>
    <x v="7"/>
    <x v="2"/>
    <n v="120"/>
    <n v="84"/>
    <n v="0.55000000000000004"/>
    <s v="Mobile"/>
    <n v="0"/>
    <n v="1"/>
    <n v="1"/>
    <n v="9.99"/>
    <n v="9.99"/>
  </r>
  <r>
    <n v="2590"/>
    <s v="Other"/>
    <n v="38"/>
    <x v="5"/>
    <x v="0"/>
    <n v="149"/>
    <n v="21"/>
    <n v="0.4"/>
    <s v="Mobile"/>
    <n v="33"/>
    <n v="0"/>
    <n v="0"/>
    <n v="0"/>
    <n v="0"/>
  </r>
  <r>
    <n v="2591"/>
    <s v="Female"/>
    <n v="40"/>
    <x v="0"/>
    <x v="0"/>
    <n v="151"/>
    <n v="85"/>
    <n v="0.56999999999999995"/>
    <s v="Mobile"/>
    <n v="20"/>
    <n v="0"/>
    <n v="0"/>
    <n v="0"/>
    <n v="0"/>
  </r>
  <r>
    <n v="2592"/>
    <s v="Female"/>
    <n v="42"/>
    <x v="2"/>
    <x v="2"/>
    <n v="257"/>
    <n v="96"/>
    <n v="0.57999999999999996"/>
    <s v="Desktop"/>
    <n v="0"/>
    <n v="1"/>
    <n v="0"/>
    <n v="9.99"/>
    <n v="0"/>
  </r>
  <r>
    <n v="2593"/>
    <s v="Female"/>
    <n v="46"/>
    <x v="3"/>
    <x v="3"/>
    <n v="257"/>
    <n v="8"/>
    <n v="0.09"/>
    <s v="Web"/>
    <n v="0"/>
    <n v="1"/>
    <n v="0"/>
    <n v="4.99"/>
    <n v="0"/>
  </r>
  <r>
    <n v="2594"/>
    <s v="Other"/>
    <n v="22"/>
    <x v="3"/>
    <x v="2"/>
    <n v="33"/>
    <n v="98"/>
    <n v="0.51"/>
    <s v="Web"/>
    <n v="0"/>
    <n v="1"/>
    <n v="1"/>
    <n v="9.99"/>
    <n v="9.99"/>
  </r>
  <r>
    <n v="2595"/>
    <s v="Other"/>
    <n v="52"/>
    <x v="7"/>
    <x v="3"/>
    <n v="296"/>
    <n v="32"/>
    <n v="0.24"/>
    <s v="Web"/>
    <n v="0"/>
    <n v="1"/>
    <n v="0"/>
    <n v="4.99"/>
    <n v="0"/>
  </r>
  <r>
    <n v="2596"/>
    <s v="Male"/>
    <n v="53"/>
    <x v="1"/>
    <x v="3"/>
    <n v="146"/>
    <n v="54"/>
    <n v="0.12"/>
    <s v="Web"/>
    <n v="0"/>
    <n v="1"/>
    <n v="0"/>
    <n v="4.99"/>
    <n v="0"/>
  </r>
  <r>
    <n v="2597"/>
    <s v="Male"/>
    <n v="16"/>
    <x v="6"/>
    <x v="3"/>
    <n v="27"/>
    <n v="99"/>
    <n v="0.15"/>
    <s v="Mobile"/>
    <n v="0"/>
    <n v="1"/>
    <n v="0"/>
    <n v="4.99"/>
    <n v="0"/>
  </r>
  <r>
    <n v="2598"/>
    <s v="Female"/>
    <n v="33"/>
    <x v="2"/>
    <x v="2"/>
    <n v="75"/>
    <n v="71"/>
    <n v="0.51"/>
    <s v="Desktop"/>
    <n v="0"/>
    <n v="1"/>
    <n v="0"/>
    <n v="9.99"/>
    <n v="0"/>
  </r>
  <r>
    <n v="2599"/>
    <s v="Male"/>
    <n v="19"/>
    <x v="7"/>
    <x v="2"/>
    <n v="171"/>
    <n v="50"/>
    <n v="0.41"/>
    <s v="Desktop"/>
    <n v="0"/>
    <n v="1"/>
    <n v="0"/>
    <n v="9.99"/>
    <n v="0"/>
  </r>
  <r>
    <n v="2600"/>
    <s v="Female"/>
    <n v="30"/>
    <x v="6"/>
    <x v="1"/>
    <n v="23"/>
    <n v="76"/>
    <n v="0.5"/>
    <s v="Mobile"/>
    <n v="0"/>
    <n v="1"/>
    <n v="0"/>
    <n v="14.99"/>
    <n v="0"/>
  </r>
  <r>
    <n v="2601"/>
    <s v="Other"/>
    <n v="48"/>
    <x v="5"/>
    <x v="2"/>
    <n v="230"/>
    <n v="61"/>
    <n v="0.28999999999999998"/>
    <s v="Desktop"/>
    <n v="0"/>
    <n v="1"/>
    <n v="0"/>
    <n v="9.99"/>
    <n v="0"/>
  </r>
  <r>
    <n v="2602"/>
    <s v="Other"/>
    <n v="45"/>
    <x v="4"/>
    <x v="0"/>
    <n v="164"/>
    <n v="97"/>
    <n v="0.1"/>
    <s v="Web"/>
    <n v="26"/>
    <n v="0"/>
    <n v="0"/>
    <n v="0"/>
    <n v="0"/>
  </r>
  <r>
    <n v="2603"/>
    <s v="Female"/>
    <n v="57"/>
    <x v="4"/>
    <x v="3"/>
    <n v="120"/>
    <n v="53"/>
    <n v="0.4"/>
    <s v="Mobile"/>
    <n v="0"/>
    <n v="1"/>
    <n v="1"/>
    <n v="4.99"/>
    <n v="4.99"/>
  </r>
  <r>
    <n v="2604"/>
    <s v="Other"/>
    <n v="57"/>
    <x v="0"/>
    <x v="0"/>
    <n v="220"/>
    <n v="48"/>
    <n v="0.45"/>
    <s v="Web"/>
    <n v="18"/>
    <n v="0"/>
    <n v="0"/>
    <n v="0"/>
    <n v="0"/>
  </r>
  <r>
    <n v="2605"/>
    <s v="Female"/>
    <n v="33"/>
    <x v="7"/>
    <x v="0"/>
    <n v="33"/>
    <n v="20"/>
    <n v="0.24"/>
    <s v="Mobile"/>
    <n v="23"/>
    <n v="0"/>
    <n v="1"/>
    <n v="0"/>
    <n v="0"/>
  </r>
  <r>
    <n v="2606"/>
    <s v="Other"/>
    <n v="44"/>
    <x v="0"/>
    <x v="0"/>
    <n v="10"/>
    <n v="57"/>
    <n v="0.06"/>
    <s v="Desktop"/>
    <n v="39"/>
    <n v="0"/>
    <n v="0"/>
    <n v="0"/>
    <n v="0"/>
  </r>
  <r>
    <n v="2607"/>
    <s v="Other"/>
    <n v="49"/>
    <x v="7"/>
    <x v="3"/>
    <n v="275"/>
    <n v="60"/>
    <n v="0.38"/>
    <s v="Mobile"/>
    <n v="0"/>
    <n v="1"/>
    <n v="0"/>
    <n v="4.99"/>
    <n v="0"/>
  </r>
  <r>
    <n v="2608"/>
    <s v="Other"/>
    <n v="34"/>
    <x v="1"/>
    <x v="0"/>
    <n v="147"/>
    <n v="27"/>
    <n v="0.18"/>
    <s v="Mobile"/>
    <n v="39"/>
    <n v="0"/>
    <n v="0"/>
    <n v="0"/>
    <n v="0"/>
  </r>
  <r>
    <n v="2609"/>
    <s v="Female"/>
    <n v="38"/>
    <x v="2"/>
    <x v="2"/>
    <n v="211"/>
    <n v="4"/>
    <n v="0.14000000000000001"/>
    <s v="Web"/>
    <n v="0"/>
    <n v="1"/>
    <n v="1"/>
    <n v="9.99"/>
    <n v="9.99"/>
  </r>
  <r>
    <n v="2610"/>
    <s v="Female"/>
    <n v="30"/>
    <x v="3"/>
    <x v="0"/>
    <n v="39"/>
    <n v="9"/>
    <n v="0.6"/>
    <s v="Desktop"/>
    <n v="40"/>
    <n v="0"/>
    <n v="0"/>
    <n v="0"/>
    <n v="0"/>
  </r>
  <r>
    <n v="2611"/>
    <s v="Other"/>
    <n v="33"/>
    <x v="4"/>
    <x v="1"/>
    <n v="111"/>
    <n v="10"/>
    <n v="0.56000000000000005"/>
    <s v="Web"/>
    <n v="0"/>
    <n v="1"/>
    <n v="0"/>
    <n v="14.99"/>
    <n v="0"/>
  </r>
  <r>
    <n v="2612"/>
    <s v="Female"/>
    <n v="47"/>
    <x v="7"/>
    <x v="1"/>
    <n v="109"/>
    <n v="23"/>
    <n v="0.46"/>
    <s v="Desktop"/>
    <n v="0"/>
    <n v="1"/>
    <n v="1"/>
    <n v="14.99"/>
    <n v="14.99"/>
  </r>
  <r>
    <n v="2613"/>
    <s v="Other"/>
    <n v="23"/>
    <x v="2"/>
    <x v="0"/>
    <n v="64"/>
    <n v="7"/>
    <n v="7.0000000000000007E-2"/>
    <s v="Mobile"/>
    <n v="40"/>
    <n v="0"/>
    <n v="0"/>
    <n v="0"/>
    <n v="0"/>
  </r>
  <r>
    <n v="2614"/>
    <s v="Female"/>
    <n v="41"/>
    <x v="7"/>
    <x v="2"/>
    <n v="18"/>
    <n v="43"/>
    <n v="0.51"/>
    <s v="Desktop"/>
    <n v="0"/>
    <n v="1"/>
    <n v="1"/>
    <n v="9.99"/>
    <n v="9.99"/>
  </r>
  <r>
    <n v="2615"/>
    <s v="Other"/>
    <n v="30"/>
    <x v="7"/>
    <x v="2"/>
    <n v="141"/>
    <n v="45"/>
    <n v="0.12"/>
    <s v="Desktop"/>
    <n v="0"/>
    <n v="1"/>
    <n v="0"/>
    <n v="9.99"/>
    <n v="0"/>
  </r>
  <r>
    <n v="2616"/>
    <s v="Female"/>
    <n v="28"/>
    <x v="1"/>
    <x v="2"/>
    <n v="89"/>
    <n v="80"/>
    <n v="0.31"/>
    <s v="Mobile"/>
    <n v="0"/>
    <n v="1"/>
    <n v="0"/>
    <n v="9.99"/>
    <n v="0"/>
  </r>
  <r>
    <n v="2617"/>
    <s v="Female"/>
    <n v="17"/>
    <x v="2"/>
    <x v="1"/>
    <n v="260"/>
    <n v="38"/>
    <n v="0.51"/>
    <s v="Desktop"/>
    <n v="0"/>
    <n v="1"/>
    <n v="0"/>
    <n v="14.99"/>
    <n v="0"/>
  </r>
  <r>
    <n v="2618"/>
    <s v="Female"/>
    <n v="52"/>
    <x v="7"/>
    <x v="1"/>
    <n v="149"/>
    <n v="79"/>
    <n v="0.12"/>
    <s v="Desktop"/>
    <n v="0"/>
    <n v="1"/>
    <n v="1"/>
    <n v="14.99"/>
    <n v="14.99"/>
  </r>
  <r>
    <n v="2619"/>
    <s v="Female"/>
    <n v="55"/>
    <x v="0"/>
    <x v="3"/>
    <n v="88"/>
    <n v="37"/>
    <n v="0.09"/>
    <s v="Desktop"/>
    <n v="0"/>
    <n v="1"/>
    <n v="0"/>
    <n v="4.99"/>
    <n v="0"/>
  </r>
  <r>
    <n v="2620"/>
    <s v="Other"/>
    <n v="20"/>
    <x v="1"/>
    <x v="3"/>
    <n v="251"/>
    <n v="35"/>
    <n v="0.32"/>
    <s v="Web"/>
    <n v="0"/>
    <n v="1"/>
    <n v="1"/>
    <n v="4.99"/>
    <n v="4.99"/>
  </r>
  <r>
    <n v="2621"/>
    <s v="Female"/>
    <n v="44"/>
    <x v="5"/>
    <x v="0"/>
    <n v="256"/>
    <n v="43"/>
    <n v="0.51"/>
    <s v="Mobile"/>
    <n v="11"/>
    <n v="0"/>
    <n v="1"/>
    <n v="0"/>
    <n v="0"/>
  </r>
  <r>
    <n v="2622"/>
    <s v="Other"/>
    <n v="56"/>
    <x v="2"/>
    <x v="2"/>
    <n v="191"/>
    <n v="72"/>
    <n v="0.24"/>
    <s v="Mobile"/>
    <n v="0"/>
    <n v="1"/>
    <n v="0"/>
    <n v="9.99"/>
    <n v="0"/>
  </r>
  <r>
    <n v="2623"/>
    <s v="Other"/>
    <n v="53"/>
    <x v="2"/>
    <x v="1"/>
    <n v="222"/>
    <n v="72"/>
    <n v="0.6"/>
    <s v="Web"/>
    <n v="0"/>
    <n v="1"/>
    <n v="0"/>
    <n v="14.99"/>
    <n v="0"/>
  </r>
  <r>
    <n v="2624"/>
    <s v="Female"/>
    <n v="42"/>
    <x v="6"/>
    <x v="2"/>
    <n v="248"/>
    <n v="60"/>
    <n v="0.26"/>
    <s v="Web"/>
    <n v="0"/>
    <n v="1"/>
    <n v="0"/>
    <n v="9.99"/>
    <n v="0"/>
  </r>
  <r>
    <n v="2625"/>
    <s v="Male"/>
    <n v="38"/>
    <x v="3"/>
    <x v="2"/>
    <n v="247"/>
    <n v="51"/>
    <n v="0.38"/>
    <s v="Web"/>
    <n v="0"/>
    <n v="1"/>
    <n v="0"/>
    <n v="9.99"/>
    <n v="0"/>
  </r>
  <r>
    <n v="2626"/>
    <s v="Female"/>
    <n v="18"/>
    <x v="0"/>
    <x v="0"/>
    <n v="183"/>
    <n v="30"/>
    <n v="0.36"/>
    <s v="Desktop"/>
    <n v="24"/>
    <n v="0"/>
    <n v="1"/>
    <n v="0"/>
    <n v="0"/>
  </r>
  <r>
    <n v="2627"/>
    <s v="Other"/>
    <n v="53"/>
    <x v="6"/>
    <x v="2"/>
    <n v="144"/>
    <n v="84"/>
    <n v="0.52"/>
    <s v="Mobile"/>
    <n v="0"/>
    <n v="1"/>
    <n v="0"/>
    <n v="9.99"/>
    <n v="0"/>
  </r>
  <r>
    <n v="2628"/>
    <s v="Male"/>
    <n v="49"/>
    <x v="5"/>
    <x v="1"/>
    <n v="13"/>
    <n v="63"/>
    <n v="0.13"/>
    <s v="Mobile"/>
    <n v="0"/>
    <n v="1"/>
    <n v="0"/>
    <n v="14.99"/>
    <n v="0"/>
  </r>
  <r>
    <n v="2629"/>
    <s v="Male"/>
    <n v="41"/>
    <x v="6"/>
    <x v="2"/>
    <n v="188"/>
    <n v="97"/>
    <n v="0.01"/>
    <s v="Web"/>
    <n v="0"/>
    <n v="1"/>
    <n v="0"/>
    <n v="9.99"/>
    <n v="0"/>
  </r>
  <r>
    <n v="2630"/>
    <s v="Other"/>
    <n v="47"/>
    <x v="4"/>
    <x v="2"/>
    <n v="128"/>
    <n v="15"/>
    <n v="0.11"/>
    <s v="Web"/>
    <n v="0"/>
    <n v="1"/>
    <n v="1"/>
    <n v="9.99"/>
    <n v="9.99"/>
  </r>
  <r>
    <n v="2631"/>
    <s v="Male"/>
    <n v="26"/>
    <x v="3"/>
    <x v="2"/>
    <n v="160"/>
    <n v="75"/>
    <n v="0.12"/>
    <s v="Desktop"/>
    <n v="0"/>
    <n v="1"/>
    <n v="0"/>
    <n v="9.99"/>
    <n v="0"/>
  </r>
  <r>
    <n v="2632"/>
    <s v="Female"/>
    <n v="30"/>
    <x v="2"/>
    <x v="1"/>
    <n v="102"/>
    <n v="25"/>
    <n v="0.33"/>
    <s v="Desktop"/>
    <n v="0"/>
    <n v="1"/>
    <n v="0"/>
    <n v="14.99"/>
    <n v="0"/>
  </r>
  <r>
    <n v="2633"/>
    <s v="Female"/>
    <n v="56"/>
    <x v="6"/>
    <x v="2"/>
    <n v="120"/>
    <n v="93"/>
    <n v="0.56999999999999995"/>
    <s v="Mobile"/>
    <n v="0"/>
    <n v="1"/>
    <n v="0"/>
    <n v="9.99"/>
    <n v="0"/>
  </r>
  <r>
    <n v="2634"/>
    <s v="Other"/>
    <n v="52"/>
    <x v="2"/>
    <x v="0"/>
    <n v="61"/>
    <n v="29"/>
    <n v="0.25"/>
    <s v="Desktop"/>
    <n v="34"/>
    <n v="0"/>
    <n v="0"/>
    <n v="0"/>
    <n v="0"/>
  </r>
  <r>
    <n v="2635"/>
    <s v="Other"/>
    <n v="20"/>
    <x v="2"/>
    <x v="2"/>
    <n v="45"/>
    <n v="60"/>
    <n v="0.24"/>
    <s v="Desktop"/>
    <n v="0"/>
    <n v="1"/>
    <n v="1"/>
    <n v="9.99"/>
    <n v="9.99"/>
  </r>
  <r>
    <n v="2636"/>
    <s v="Other"/>
    <n v="38"/>
    <x v="3"/>
    <x v="3"/>
    <n v="111"/>
    <n v="32"/>
    <n v="0.22"/>
    <s v="Desktop"/>
    <n v="0"/>
    <n v="1"/>
    <n v="0"/>
    <n v="4.99"/>
    <n v="0"/>
  </r>
  <r>
    <n v="2637"/>
    <s v="Male"/>
    <n v="46"/>
    <x v="1"/>
    <x v="3"/>
    <n v="112"/>
    <n v="92"/>
    <n v="0.2"/>
    <s v="Desktop"/>
    <n v="0"/>
    <n v="1"/>
    <n v="0"/>
    <n v="4.99"/>
    <n v="0"/>
  </r>
  <r>
    <n v="2638"/>
    <s v="Other"/>
    <n v="18"/>
    <x v="2"/>
    <x v="1"/>
    <n v="78"/>
    <n v="43"/>
    <n v="0.1"/>
    <s v="Desktop"/>
    <n v="0"/>
    <n v="1"/>
    <n v="1"/>
    <n v="14.99"/>
    <n v="14.99"/>
  </r>
  <r>
    <n v="2639"/>
    <s v="Female"/>
    <n v="39"/>
    <x v="3"/>
    <x v="1"/>
    <n v="280"/>
    <n v="57"/>
    <n v="7.0000000000000007E-2"/>
    <s v="Web"/>
    <n v="0"/>
    <n v="1"/>
    <n v="1"/>
    <n v="14.99"/>
    <n v="14.99"/>
  </r>
  <r>
    <n v="2640"/>
    <s v="Other"/>
    <n v="38"/>
    <x v="6"/>
    <x v="0"/>
    <n v="246"/>
    <n v="91"/>
    <n v="0.17"/>
    <s v="Web"/>
    <n v="49"/>
    <n v="0"/>
    <n v="0"/>
    <n v="0"/>
    <n v="0"/>
  </r>
  <r>
    <n v="2641"/>
    <s v="Male"/>
    <n v="33"/>
    <x v="4"/>
    <x v="2"/>
    <n v="13"/>
    <n v="84"/>
    <n v="0.38"/>
    <s v="Desktop"/>
    <n v="0"/>
    <n v="1"/>
    <n v="0"/>
    <n v="9.99"/>
    <n v="0"/>
  </r>
  <r>
    <n v="2642"/>
    <s v="Other"/>
    <n v="57"/>
    <x v="5"/>
    <x v="0"/>
    <n v="209"/>
    <n v="68"/>
    <n v="0.24"/>
    <s v="Mobile"/>
    <n v="34"/>
    <n v="0"/>
    <n v="0"/>
    <n v="0"/>
    <n v="0"/>
  </r>
  <r>
    <n v="2643"/>
    <s v="Male"/>
    <n v="27"/>
    <x v="0"/>
    <x v="1"/>
    <n v="12"/>
    <n v="74"/>
    <n v="0.14000000000000001"/>
    <s v="Mobile"/>
    <n v="0"/>
    <n v="1"/>
    <n v="0"/>
    <n v="14.99"/>
    <n v="0"/>
  </r>
  <r>
    <n v="2644"/>
    <s v="Male"/>
    <n v="46"/>
    <x v="7"/>
    <x v="1"/>
    <n v="213"/>
    <n v="34"/>
    <n v="0.06"/>
    <s v="Mobile"/>
    <n v="0"/>
    <n v="1"/>
    <n v="0"/>
    <n v="14.99"/>
    <n v="0"/>
  </r>
  <r>
    <n v="2645"/>
    <s v="Female"/>
    <n v="45"/>
    <x v="6"/>
    <x v="2"/>
    <n v="276"/>
    <n v="60"/>
    <n v="0.01"/>
    <s v="Desktop"/>
    <n v="0"/>
    <n v="1"/>
    <n v="0"/>
    <n v="9.99"/>
    <n v="0"/>
  </r>
  <r>
    <n v="2646"/>
    <s v="Other"/>
    <n v="45"/>
    <x v="6"/>
    <x v="3"/>
    <n v="238"/>
    <n v="20"/>
    <n v="0.02"/>
    <s v="Desktop"/>
    <n v="0"/>
    <n v="1"/>
    <n v="0"/>
    <n v="4.99"/>
    <n v="0"/>
  </r>
  <r>
    <n v="2647"/>
    <s v="Other"/>
    <n v="20"/>
    <x v="5"/>
    <x v="0"/>
    <n v="167"/>
    <n v="84"/>
    <n v="0.5"/>
    <s v="Mobile"/>
    <n v="16"/>
    <n v="0"/>
    <n v="1"/>
    <n v="0"/>
    <n v="0"/>
  </r>
  <r>
    <n v="2648"/>
    <s v="Other"/>
    <n v="26"/>
    <x v="0"/>
    <x v="3"/>
    <n v="123"/>
    <n v="39"/>
    <n v="0.03"/>
    <s v="Mobile"/>
    <n v="0"/>
    <n v="1"/>
    <n v="0"/>
    <n v="4.99"/>
    <n v="0"/>
  </r>
  <r>
    <n v="2649"/>
    <s v="Female"/>
    <n v="20"/>
    <x v="1"/>
    <x v="2"/>
    <n v="28"/>
    <n v="49"/>
    <n v="0.3"/>
    <s v="Web"/>
    <n v="0"/>
    <n v="1"/>
    <n v="0"/>
    <n v="9.99"/>
    <n v="0"/>
  </r>
  <r>
    <n v="2650"/>
    <s v="Other"/>
    <n v="38"/>
    <x v="1"/>
    <x v="3"/>
    <n v="55"/>
    <n v="92"/>
    <n v="0.5"/>
    <s v="Mobile"/>
    <n v="0"/>
    <n v="1"/>
    <n v="1"/>
    <n v="4.99"/>
    <n v="4.99"/>
  </r>
  <r>
    <n v="2651"/>
    <s v="Male"/>
    <n v="56"/>
    <x v="1"/>
    <x v="2"/>
    <n v="17"/>
    <n v="23"/>
    <n v="0.27"/>
    <s v="Desktop"/>
    <n v="0"/>
    <n v="1"/>
    <n v="0"/>
    <n v="9.99"/>
    <n v="0"/>
  </r>
  <r>
    <n v="2652"/>
    <s v="Female"/>
    <n v="28"/>
    <x v="6"/>
    <x v="0"/>
    <n v="209"/>
    <n v="59"/>
    <n v="0.31"/>
    <s v="Mobile"/>
    <n v="44"/>
    <n v="0"/>
    <n v="0"/>
    <n v="0"/>
    <n v="0"/>
  </r>
  <r>
    <n v="2653"/>
    <s v="Other"/>
    <n v="33"/>
    <x v="1"/>
    <x v="1"/>
    <n v="31"/>
    <n v="55"/>
    <n v="0.56999999999999995"/>
    <s v="Web"/>
    <n v="0"/>
    <n v="1"/>
    <n v="0"/>
    <n v="14.99"/>
    <n v="0"/>
  </r>
  <r>
    <n v="2654"/>
    <s v="Other"/>
    <n v="19"/>
    <x v="5"/>
    <x v="3"/>
    <n v="122"/>
    <n v="64"/>
    <n v="0.48"/>
    <s v="Web"/>
    <n v="0"/>
    <n v="1"/>
    <n v="0"/>
    <n v="4.99"/>
    <n v="0"/>
  </r>
  <r>
    <n v="2655"/>
    <s v="Female"/>
    <n v="38"/>
    <x v="4"/>
    <x v="1"/>
    <n v="274"/>
    <n v="17"/>
    <n v="0.46"/>
    <s v="Mobile"/>
    <n v="0"/>
    <n v="1"/>
    <n v="1"/>
    <n v="14.99"/>
    <n v="14.99"/>
  </r>
  <r>
    <n v="2656"/>
    <s v="Female"/>
    <n v="50"/>
    <x v="3"/>
    <x v="2"/>
    <n v="153"/>
    <n v="70"/>
    <n v="0.59"/>
    <s v="Desktop"/>
    <n v="0"/>
    <n v="1"/>
    <n v="1"/>
    <n v="9.99"/>
    <n v="9.99"/>
  </r>
  <r>
    <n v="2657"/>
    <s v="Male"/>
    <n v="58"/>
    <x v="2"/>
    <x v="0"/>
    <n v="117"/>
    <n v="14"/>
    <n v="0.4"/>
    <s v="Desktop"/>
    <n v="39"/>
    <n v="0"/>
    <n v="0"/>
    <n v="0"/>
    <n v="0"/>
  </r>
  <r>
    <n v="2658"/>
    <s v="Male"/>
    <n v="55"/>
    <x v="1"/>
    <x v="2"/>
    <n v="14"/>
    <n v="80"/>
    <n v="0.42"/>
    <s v="Mobile"/>
    <n v="0"/>
    <n v="1"/>
    <n v="0"/>
    <n v="9.99"/>
    <n v="0"/>
  </r>
  <r>
    <n v="2659"/>
    <s v="Male"/>
    <n v="38"/>
    <x v="0"/>
    <x v="1"/>
    <n v="173"/>
    <n v="31"/>
    <n v="0.05"/>
    <s v="Desktop"/>
    <n v="0"/>
    <n v="1"/>
    <n v="0"/>
    <n v="14.99"/>
    <n v="0"/>
  </r>
  <r>
    <n v="2660"/>
    <s v="Male"/>
    <n v="44"/>
    <x v="2"/>
    <x v="0"/>
    <n v="277"/>
    <n v="54"/>
    <n v="0.3"/>
    <s v="Desktop"/>
    <n v="29"/>
    <n v="0"/>
    <n v="0"/>
    <n v="0"/>
    <n v="0"/>
  </r>
  <r>
    <n v="2661"/>
    <s v="Other"/>
    <n v="59"/>
    <x v="3"/>
    <x v="3"/>
    <n v="77"/>
    <n v="12"/>
    <n v="0.34"/>
    <s v="Mobile"/>
    <n v="0"/>
    <n v="1"/>
    <n v="0"/>
    <n v="4.99"/>
    <n v="0"/>
  </r>
  <r>
    <n v="2662"/>
    <s v="Male"/>
    <n v="51"/>
    <x v="6"/>
    <x v="3"/>
    <n v="229"/>
    <n v="37"/>
    <n v="0.37"/>
    <s v="Web"/>
    <n v="0"/>
    <n v="1"/>
    <n v="0"/>
    <n v="4.99"/>
    <n v="0"/>
  </r>
  <r>
    <n v="2663"/>
    <s v="Male"/>
    <n v="21"/>
    <x v="7"/>
    <x v="2"/>
    <n v="39"/>
    <n v="62"/>
    <n v="0.04"/>
    <s v="Mobile"/>
    <n v="0"/>
    <n v="1"/>
    <n v="0"/>
    <n v="9.99"/>
    <n v="0"/>
  </r>
  <r>
    <n v="2664"/>
    <s v="Other"/>
    <n v="28"/>
    <x v="0"/>
    <x v="0"/>
    <n v="174"/>
    <n v="16"/>
    <n v="0.44"/>
    <s v="Mobile"/>
    <n v="46"/>
    <n v="0"/>
    <n v="0"/>
    <n v="0"/>
    <n v="0"/>
  </r>
  <r>
    <n v="2665"/>
    <s v="Male"/>
    <n v="54"/>
    <x v="6"/>
    <x v="1"/>
    <n v="278"/>
    <n v="16"/>
    <n v="0.46"/>
    <s v="Mobile"/>
    <n v="0"/>
    <n v="1"/>
    <n v="0"/>
    <n v="14.99"/>
    <n v="0"/>
  </r>
  <r>
    <n v="2666"/>
    <s v="Female"/>
    <n v="17"/>
    <x v="7"/>
    <x v="0"/>
    <n v="253"/>
    <n v="98"/>
    <n v="0.33"/>
    <s v="Mobile"/>
    <n v="38"/>
    <n v="0"/>
    <n v="0"/>
    <n v="0"/>
    <n v="0"/>
  </r>
  <r>
    <n v="2667"/>
    <s v="Other"/>
    <n v="32"/>
    <x v="6"/>
    <x v="1"/>
    <n v="182"/>
    <n v="37"/>
    <n v="0.39"/>
    <s v="Desktop"/>
    <n v="0"/>
    <n v="1"/>
    <n v="1"/>
    <n v="14.99"/>
    <n v="14.99"/>
  </r>
  <r>
    <n v="2668"/>
    <s v="Female"/>
    <n v="57"/>
    <x v="6"/>
    <x v="3"/>
    <n v="36"/>
    <n v="49"/>
    <n v="0.13"/>
    <s v="Web"/>
    <n v="0"/>
    <n v="1"/>
    <n v="0"/>
    <n v="4.99"/>
    <n v="0"/>
  </r>
  <r>
    <n v="2669"/>
    <s v="Other"/>
    <n v="28"/>
    <x v="0"/>
    <x v="0"/>
    <n v="12"/>
    <n v="48"/>
    <n v="0.51"/>
    <s v="Desktop"/>
    <n v="26"/>
    <n v="0"/>
    <n v="0"/>
    <n v="0"/>
    <n v="0"/>
  </r>
  <r>
    <n v="2670"/>
    <s v="Female"/>
    <n v="48"/>
    <x v="7"/>
    <x v="2"/>
    <n v="183"/>
    <n v="63"/>
    <n v="0.36"/>
    <s v="Desktop"/>
    <n v="0"/>
    <n v="1"/>
    <n v="1"/>
    <n v="9.99"/>
    <n v="9.99"/>
  </r>
  <r>
    <n v="2671"/>
    <s v="Male"/>
    <n v="47"/>
    <x v="4"/>
    <x v="3"/>
    <n v="41"/>
    <n v="76"/>
    <n v="0.45"/>
    <s v="Desktop"/>
    <n v="0"/>
    <n v="1"/>
    <n v="0"/>
    <n v="4.99"/>
    <n v="0"/>
  </r>
  <r>
    <n v="2672"/>
    <s v="Male"/>
    <n v="56"/>
    <x v="0"/>
    <x v="2"/>
    <n v="242"/>
    <n v="49"/>
    <n v="0.24"/>
    <s v="Mobile"/>
    <n v="0"/>
    <n v="1"/>
    <n v="1"/>
    <n v="9.99"/>
    <n v="9.99"/>
  </r>
  <r>
    <n v="2673"/>
    <s v="Male"/>
    <n v="59"/>
    <x v="1"/>
    <x v="0"/>
    <n v="275"/>
    <n v="43"/>
    <n v="0.57999999999999996"/>
    <s v="Mobile"/>
    <n v="38"/>
    <n v="0"/>
    <n v="0"/>
    <n v="0"/>
    <n v="0"/>
  </r>
  <r>
    <n v="2674"/>
    <s v="Other"/>
    <n v="31"/>
    <x v="4"/>
    <x v="2"/>
    <n v="76"/>
    <n v="6"/>
    <n v="0.02"/>
    <s v="Web"/>
    <n v="0"/>
    <n v="1"/>
    <n v="0"/>
    <n v="9.99"/>
    <n v="0"/>
  </r>
  <r>
    <n v="2675"/>
    <s v="Female"/>
    <n v="49"/>
    <x v="6"/>
    <x v="2"/>
    <n v="103"/>
    <n v="15"/>
    <n v="0.57999999999999996"/>
    <s v="Desktop"/>
    <n v="0"/>
    <n v="1"/>
    <n v="0"/>
    <n v="9.99"/>
    <n v="0"/>
  </r>
  <r>
    <n v="2676"/>
    <s v="Female"/>
    <n v="46"/>
    <x v="2"/>
    <x v="2"/>
    <n v="163"/>
    <n v="72"/>
    <n v="0.05"/>
    <s v="Mobile"/>
    <n v="0"/>
    <n v="1"/>
    <n v="0"/>
    <n v="9.99"/>
    <n v="0"/>
  </r>
  <r>
    <n v="2677"/>
    <s v="Male"/>
    <n v="37"/>
    <x v="0"/>
    <x v="1"/>
    <n v="92"/>
    <n v="16"/>
    <n v="0.17"/>
    <s v="Desktop"/>
    <n v="0"/>
    <n v="1"/>
    <n v="0"/>
    <n v="14.99"/>
    <n v="0"/>
  </r>
  <r>
    <n v="2678"/>
    <s v="Other"/>
    <n v="41"/>
    <x v="2"/>
    <x v="0"/>
    <n v="134"/>
    <n v="78"/>
    <n v="0.28999999999999998"/>
    <s v="Mobile"/>
    <n v="36"/>
    <n v="0"/>
    <n v="0"/>
    <n v="0"/>
    <n v="0"/>
  </r>
  <r>
    <n v="2679"/>
    <s v="Female"/>
    <n v="23"/>
    <x v="4"/>
    <x v="0"/>
    <n v="288"/>
    <n v="31"/>
    <n v="0.17"/>
    <s v="Web"/>
    <n v="42"/>
    <n v="0"/>
    <n v="0"/>
    <n v="0"/>
    <n v="0"/>
  </r>
  <r>
    <n v="2680"/>
    <s v="Female"/>
    <n v="35"/>
    <x v="1"/>
    <x v="3"/>
    <n v="26"/>
    <n v="81"/>
    <n v="0.03"/>
    <s v="Web"/>
    <n v="0"/>
    <n v="1"/>
    <n v="0"/>
    <n v="4.99"/>
    <n v="0"/>
  </r>
  <r>
    <n v="2681"/>
    <s v="Female"/>
    <n v="29"/>
    <x v="4"/>
    <x v="2"/>
    <n v="246"/>
    <n v="8"/>
    <n v="0.36"/>
    <s v="Web"/>
    <n v="0"/>
    <n v="1"/>
    <n v="0"/>
    <n v="9.99"/>
    <n v="0"/>
  </r>
  <r>
    <n v="2682"/>
    <s v="Female"/>
    <n v="18"/>
    <x v="6"/>
    <x v="2"/>
    <n v="224"/>
    <n v="2"/>
    <n v="0.17"/>
    <s v="Mobile"/>
    <n v="0"/>
    <n v="1"/>
    <n v="0"/>
    <n v="9.99"/>
    <n v="0"/>
  </r>
  <r>
    <n v="2683"/>
    <s v="Female"/>
    <n v="23"/>
    <x v="3"/>
    <x v="2"/>
    <n v="52"/>
    <n v="37"/>
    <n v="0.44"/>
    <s v="Mobile"/>
    <n v="0"/>
    <n v="1"/>
    <n v="0"/>
    <n v="9.99"/>
    <n v="0"/>
  </r>
  <r>
    <n v="2684"/>
    <s v="Female"/>
    <n v="53"/>
    <x v="1"/>
    <x v="2"/>
    <n v="67"/>
    <n v="59"/>
    <n v="0.51"/>
    <s v="Desktop"/>
    <n v="0"/>
    <n v="1"/>
    <n v="0"/>
    <n v="9.99"/>
    <n v="0"/>
  </r>
  <r>
    <n v="2685"/>
    <s v="Male"/>
    <n v="27"/>
    <x v="2"/>
    <x v="0"/>
    <n v="254"/>
    <n v="33"/>
    <n v="0.06"/>
    <s v="Desktop"/>
    <n v="28"/>
    <n v="0"/>
    <n v="0"/>
    <n v="0"/>
    <n v="0"/>
  </r>
  <r>
    <n v="2686"/>
    <s v="Male"/>
    <n v="22"/>
    <x v="0"/>
    <x v="0"/>
    <n v="74"/>
    <n v="23"/>
    <n v="0.27"/>
    <s v="Mobile"/>
    <n v="47"/>
    <n v="0"/>
    <n v="0"/>
    <n v="0"/>
    <n v="0"/>
  </r>
  <r>
    <n v="2687"/>
    <s v="Other"/>
    <n v="30"/>
    <x v="3"/>
    <x v="3"/>
    <n v="296"/>
    <n v="79"/>
    <n v="0.32"/>
    <s v="Web"/>
    <n v="0"/>
    <n v="1"/>
    <n v="0"/>
    <n v="4.99"/>
    <n v="0"/>
  </r>
  <r>
    <n v="2688"/>
    <s v="Female"/>
    <n v="49"/>
    <x v="0"/>
    <x v="1"/>
    <n v="146"/>
    <n v="83"/>
    <n v="0.08"/>
    <s v="Mobile"/>
    <n v="0"/>
    <n v="1"/>
    <n v="1"/>
    <n v="14.99"/>
    <n v="14.99"/>
  </r>
  <r>
    <n v="2689"/>
    <s v="Male"/>
    <n v="55"/>
    <x v="4"/>
    <x v="3"/>
    <n v="96"/>
    <n v="73"/>
    <n v="0.24"/>
    <s v="Desktop"/>
    <n v="0"/>
    <n v="1"/>
    <n v="0"/>
    <n v="4.99"/>
    <n v="0"/>
  </r>
  <r>
    <n v="2690"/>
    <s v="Female"/>
    <n v="55"/>
    <x v="3"/>
    <x v="3"/>
    <n v="203"/>
    <n v="42"/>
    <n v="0.05"/>
    <s v="Web"/>
    <n v="0"/>
    <n v="1"/>
    <n v="1"/>
    <n v="4.99"/>
    <n v="4.99"/>
  </r>
  <r>
    <n v="2691"/>
    <s v="Other"/>
    <n v="22"/>
    <x v="1"/>
    <x v="0"/>
    <n v="274"/>
    <n v="3"/>
    <n v="0.22"/>
    <s v="Mobile"/>
    <n v="18"/>
    <n v="0"/>
    <n v="0"/>
    <n v="0"/>
    <n v="0"/>
  </r>
  <r>
    <n v="2692"/>
    <s v="Male"/>
    <n v="19"/>
    <x v="1"/>
    <x v="2"/>
    <n v="145"/>
    <n v="67"/>
    <n v="0.25"/>
    <s v="Web"/>
    <n v="0"/>
    <n v="1"/>
    <n v="0"/>
    <n v="9.99"/>
    <n v="0"/>
  </r>
  <r>
    <n v="2693"/>
    <s v="Male"/>
    <n v="47"/>
    <x v="4"/>
    <x v="3"/>
    <n v="122"/>
    <n v="97"/>
    <n v="0.24"/>
    <s v="Mobile"/>
    <n v="0"/>
    <n v="1"/>
    <n v="1"/>
    <n v="4.99"/>
    <n v="4.99"/>
  </r>
  <r>
    <n v="2694"/>
    <s v="Female"/>
    <n v="26"/>
    <x v="2"/>
    <x v="1"/>
    <n v="41"/>
    <n v="88"/>
    <n v="0.14000000000000001"/>
    <s v="Mobile"/>
    <n v="0"/>
    <n v="1"/>
    <n v="0"/>
    <n v="14.99"/>
    <n v="0"/>
  </r>
  <r>
    <n v="2695"/>
    <s v="Male"/>
    <n v="25"/>
    <x v="2"/>
    <x v="1"/>
    <n v="298"/>
    <n v="61"/>
    <n v="0.53"/>
    <s v="Desktop"/>
    <n v="0"/>
    <n v="1"/>
    <n v="1"/>
    <n v="14.99"/>
    <n v="14.99"/>
  </r>
  <r>
    <n v="2696"/>
    <s v="Female"/>
    <n v="41"/>
    <x v="0"/>
    <x v="3"/>
    <n v="64"/>
    <n v="75"/>
    <n v="0.14000000000000001"/>
    <s v="Web"/>
    <n v="0"/>
    <n v="1"/>
    <n v="0"/>
    <n v="4.99"/>
    <n v="0"/>
  </r>
  <r>
    <n v="2697"/>
    <s v="Other"/>
    <n v="22"/>
    <x v="6"/>
    <x v="2"/>
    <n v="237"/>
    <n v="91"/>
    <n v="0.17"/>
    <s v="Web"/>
    <n v="0"/>
    <n v="1"/>
    <n v="1"/>
    <n v="9.99"/>
    <n v="9.99"/>
  </r>
  <r>
    <n v="2698"/>
    <s v="Female"/>
    <n v="41"/>
    <x v="7"/>
    <x v="0"/>
    <n v="16"/>
    <n v="72"/>
    <n v="0.05"/>
    <s v="Mobile"/>
    <n v="11"/>
    <n v="0"/>
    <n v="1"/>
    <n v="0"/>
    <n v="0"/>
  </r>
  <r>
    <n v="2699"/>
    <s v="Other"/>
    <n v="39"/>
    <x v="4"/>
    <x v="0"/>
    <n v="180"/>
    <n v="29"/>
    <n v="0.16"/>
    <s v="Web"/>
    <n v="44"/>
    <n v="0"/>
    <n v="1"/>
    <n v="0"/>
    <n v="0"/>
  </r>
  <r>
    <n v="2700"/>
    <s v="Female"/>
    <n v="56"/>
    <x v="3"/>
    <x v="0"/>
    <n v="143"/>
    <n v="19"/>
    <n v="0.11"/>
    <s v="Desktop"/>
    <n v="25"/>
    <n v="0"/>
    <n v="0"/>
    <n v="0"/>
    <n v="0"/>
  </r>
  <r>
    <n v="2701"/>
    <s v="Other"/>
    <n v="17"/>
    <x v="5"/>
    <x v="2"/>
    <n v="50"/>
    <n v="13"/>
    <n v="0.45"/>
    <s v="Desktop"/>
    <n v="0"/>
    <n v="1"/>
    <n v="0"/>
    <n v="9.99"/>
    <n v="0"/>
  </r>
  <r>
    <n v="2702"/>
    <s v="Female"/>
    <n v="41"/>
    <x v="1"/>
    <x v="2"/>
    <n v="99"/>
    <n v="77"/>
    <n v="0.01"/>
    <s v="Desktop"/>
    <n v="0"/>
    <n v="1"/>
    <n v="1"/>
    <n v="9.99"/>
    <n v="9.99"/>
  </r>
  <r>
    <n v="2703"/>
    <s v="Male"/>
    <n v="43"/>
    <x v="6"/>
    <x v="3"/>
    <n v="131"/>
    <n v="25"/>
    <n v="0.08"/>
    <s v="Web"/>
    <n v="0"/>
    <n v="1"/>
    <n v="0"/>
    <n v="4.99"/>
    <n v="0"/>
  </r>
  <r>
    <n v="2704"/>
    <s v="Other"/>
    <n v="22"/>
    <x v="1"/>
    <x v="2"/>
    <n v="164"/>
    <n v="55"/>
    <n v="0.48"/>
    <s v="Web"/>
    <n v="0"/>
    <n v="1"/>
    <n v="0"/>
    <n v="9.99"/>
    <n v="0"/>
  </r>
  <r>
    <n v="2705"/>
    <s v="Female"/>
    <n v="48"/>
    <x v="1"/>
    <x v="3"/>
    <n v="184"/>
    <n v="12"/>
    <n v="0.56000000000000005"/>
    <s v="Desktop"/>
    <n v="0"/>
    <n v="1"/>
    <n v="0"/>
    <n v="4.99"/>
    <n v="0"/>
  </r>
  <r>
    <n v="2706"/>
    <s v="Other"/>
    <n v="26"/>
    <x v="6"/>
    <x v="2"/>
    <n v="94"/>
    <n v="57"/>
    <n v="0.55000000000000004"/>
    <s v="Web"/>
    <n v="0"/>
    <n v="1"/>
    <n v="0"/>
    <n v="9.99"/>
    <n v="0"/>
  </r>
  <r>
    <n v="2707"/>
    <s v="Other"/>
    <n v="57"/>
    <x v="7"/>
    <x v="0"/>
    <n v="220"/>
    <n v="22"/>
    <n v="0.36"/>
    <s v="Desktop"/>
    <n v="15"/>
    <n v="0"/>
    <n v="0"/>
    <n v="0"/>
    <n v="0"/>
  </r>
  <r>
    <n v="2708"/>
    <s v="Female"/>
    <n v="29"/>
    <x v="1"/>
    <x v="2"/>
    <n v="180"/>
    <n v="9"/>
    <n v="0.34"/>
    <s v="Desktop"/>
    <n v="0"/>
    <n v="1"/>
    <n v="0"/>
    <n v="9.99"/>
    <n v="0"/>
  </r>
  <r>
    <n v="2709"/>
    <s v="Male"/>
    <n v="17"/>
    <x v="5"/>
    <x v="3"/>
    <n v="104"/>
    <n v="3"/>
    <n v="0.3"/>
    <s v="Web"/>
    <n v="0"/>
    <n v="1"/>
    <n v="0"/>
    <n v="4.99"/>
    <n v="0"/>
  </r>
  <r>
    <n v="2710"/>
    <s v="Male"/>
    <n v="43"/>
    <x v="6"/>
    <x v="0"/>
    <n v="260"/>
    <n v="29"/>
    <n v="0.03"/>
    <s v="Web"/>
    <n v="6"/>
    <n v="0"/>
    <n v="0"/>
    <n v="0"/>
    <n v="0"/>
  </r>
  <r>
    <n v="2711"/>
    <s v="Other"/>
    <n v="33"/>
    <x v="6"/>
    <x v="2"/>
    <n v="52"/>
    <n v="97"/>
    <n v="0.1"/>
    <s v="Web"/>
    <n v="0"/>
    <n v="1"/>
    <n v="0"/>
    <n v="9.99"/>
    <n v="0"/>
  </r>
  <r>
    <n v="2712"/>
    <s v="Other"/>
    <n v="45"/>
    <x v="4"/>
    <x v="1"/>
    <n v="27"/>
    <n v="50"/>
    <n v="0.14000000000000001"/>
    <s v="Mobile"/>
    <n v="0"/>
    <n v="1"/>
    <n v="1"/>
    <n v="14.99"/>
    <n v="14.99"/>
  </r>
  <r>
    <n v="2713"/>
    <s v="Male"/>
    <n v="56"/>
    <x v="5"/>
    <x v="3"/>
    <n v="236"/>
    <n v="4"/>
    <n v="0.1"/>
    <s v="Desktop"/>
    <n v="0"/>
    <n v="1"/>
    <n v="0"/>
    <n v="4.99"/>
    <n v="0"/>
  </r>
  <r>
    <n v="2714"/>
    <s v="Other"/>
    <n v="49"/>
    <x v="2"/>
    <x v="2"/>
    <n v="252"/>
    <n v="45"/>
    <n v="0.56999999999999995"/>
    <s v="Desktop"/>
    <n v="0"/>
    <n v="1"/>
    <n v="0"/>
    <n v="9.99"/>
    <n v="0"/>
  </r>
  <r>
    <n v="2715"/>
    <s v="Female"/>
    <n v="37"/>
    <x v="5"/>
    <x v="2"/>
    <n v="190"/>
    <n v="80"/>
    <n v="0.5"/>
    <s v="Desktop"/>
    <n v="0"/>
    <n v="1"/>
    <n v="0"/>
    <n v="9.99"/>
    <n v="0"/>
  </r>
  <r>
    <n v="2716"/>
    <s v="Other"/>
    <n v="34"/>
    <x v="7"/>
    <x v="0"/>
    <n v="266"/>
    <n v="81"/>
    <n v="0.45"/>
    <s v="Desktop"/>
    <n v="31"/>
    <n v="0"/>
    <n v="0"/>
    <n v="0"/>
    <n v="0"/>
  </r>
  <r>
    <n v="2717"/>
    <s v="Female"/>
    <n v="28"/>
    <x v="2"/>
    <x v="0"/>
    <n v="72"/>
    <n v="22"/>
    <n v="0.57999999999999996"/>
    <s v="Web"/>
    <n v="12"/>
    <n v="0"/>
    <n v="1"/>
    <n v="0"/>
    <n v="0"/>
  </r>
  <r>
    <n v="2718"/>
    <s v="Male"/>
    <n v="28"/>
    <x v="0"/>
    <x v="2"/>
    <n v="43"/>
    <n v="50"/>
    <n v="0.27"/>
    <s v="Web"/>
    <n v="0"/>
    <n v="1"/>
    <n v="0"/>
    <n v="9.99"/>
    <n v="0"/>
  </r>
  <r>
    <n v="2719"/>
    <s v="Male"/>
    <n v="19"/>
    <x v="3"/>
    <x v="2"/>
    <n v="210"/>
    <n v="88"/>
    <n v="0.2"/>
    <s v="Desktop"/>
    <n v="0"/>
    <n v="1"/>
    <n v="0"/>
    <n v="9.99"/>
    <n v="0"/>
  </r>
  <r>
    <n v="2720"/>
    <s v="Other"/>
    <n v="26"/>
    <x v="2"/>
    <x v="3"/>
    <n v="253"/>
    <n v="98"/>
    <n v="0.25"/>
    <s v="Desktop"/>
    <n v="0"/>
    <n v="1"/>
    <n v="0"/>
    <n v="4.99"/>
    <n v="0"/>
  </r>
  <r>
    <n v="2721"/>
    <s v="Other"/>
    <n v="24"/>
    <x v="5"/>
    <x v="2"/>
    <n v="78"/>
    <n v="12"/>
    <n v="0.47"/>
    <s v="Web"/>
    <n v="0"/>
    <n v="1"/>
    <n v="0"/>
    <n v="9.99"/>
    <n v="0"/>
  </r>
  <r>
    <n v="2722"/>
    <s v="Male"/>
    <n v="17"/>
    <x v="5"/>
    <x v="3"/>
    <n v="223"/>
    <n v="60"/>
    <n v="0.15"/>
    <s v="Web"/>
    <n v="0"/>
    <n v="1"/>
    <n v="0"/>
    <n v="4.99"/>
    <n v="0"/>
  </r>
  <r>
    <n v="2723"/>
    <s v="Other"/>
    <n v="34"/>
    <x v="6"/>
    <x v="3"/>
    <n v="187"/>
    <n v="37"/>
    <n v="0.37"/>
    <s v="Mobile"/>
    <n v="0"/>
    <n v="1"/>
    <n v="1"/>
    <n v="4.99"/>
    <n v="4.99"/>
  </r>
  <r>
    <n v="2724"/>
    <s v="Male"/>
    <n v="51"/>
    <x v="1"/>
    <x v="2"/>
    <n v="232"/>
    <n v="43"/>
    <n v="0.1"/>
    <s v="Mobile"/>
    <n v="0"/>
    <n v="1"/>
    <n v="0"/>
    <n v="9.99"/>
    <n v="0"/>
  </r>
  <r>
    <n v="2725"/>
    <s v="Other"/>
    <n v="51"/>
    <x v="4"/>
    <x v="0"/>
    <n v="92"/>
    <n v="49"/>
    <n v="0.4"/>
    <s v="Mobile"/>
    <n v="5"/>
    <n v="0"/>
    <n v="0"/>
    <n v="0"/>
    <n v="0"/>
  </r>
  <r>
    <n v="2726"/>
    <s v="Female"/>
    <n v="43"/>
    <x v="2"/>
    <x v="2"/>
    <n v="230"/>
    <n v="39"/>
    <n v="0.46"/>
    <s v="Mobile"/>
    <n v="0"/>
    <n v="1"/>
    <n v="0"/>
    <n v="9.99"/>
    <n v="0"/>
  </r>
  <r>
    <n v="2727"/>
    <s v="Other"/>
    <n v="56"/>
    <x v="6"/>
    <x v="0"/>
    <n v="264"/>
    <n v="95"/>
    <n v="0.52"/>
    <s v="Desktop"/>
    <n v="35"/>
    <n v="0"/>
    <n v="0"/>
    <n v="0"/>
    <n v="0"/>
  </r>
  <r>
    <n v="2728"/>
    <s v="Male"/>
    <n v="18"/>
    <x v="2"/>
    <x v="2"/>
    <n v="174"/>
    <n v="27"/>
    <n v="0.03"/>
    <s v="Mobile"/>
    <n v="0"/>
    <n v="1"/>
    <n v="0"/>
    <n v="9.99"/>
    <n v="0"/>
  </r>
  <r>
    <n v="2729"/>
    <s v="Female"/>
    <n v="50"/>
    <x v="5"/>
    <x v="3"/>
    <n v="17"/>
    <n v="78"/>
    <n v="0.26"/>
    <s v="Mobile"/>
    <n v="0"/>
    <n v="1"/>
    <n v="0"/>
    <n v="4.99"/>
    <n v="0"/>
  </r>
  <r>
    <n v="2730"/>
    <s v="Other"/>
    <n v="50"/>
    <x v="7"/>
    <x v="3"/>
    <n v="30"/>
    <n v="73"/>
    <n v="0.27"/>
    <s v="Web"/>
    <n v="0"/>
    <n v="1"/>
    <n v="1"/>
    <n v="4.99"/>
    <n v="4.99"/>
  </r>
  <r>
    <n v="2731"/>
    <s v="Male"/>
    <n v="22"/>
    <x v="1"/>
    <x v="0"/>
    <n v="217"/>
    <n v="50"/>
    <n v="0.44"/>
    <s v="Desktop"/>
    <n v="28"/>
    <n v="0"/>
    <n v="1"/>
    <n v="0"/>
    <n v="0"/>
  </r>
  <r>
    <n v="2732"/>
    <s v="Male"/>
    <n v="24"/>
    <x v="2"/>
    <x v="0"/>
    <n v="52"/>
    <n v="17"/>
    <n v="0.09"/>
    <s v="Mobile"/>
    <n v="15"/>
    <n v="0"/>
    <n v="1"/>
    <n v="0"/>
    <n v="0"/>
  </r>
  <r>
    <n v="2733"/>
    <s v="Male"/>
    <n v="59"/>
    <x v="4"/>
    <x v="1"/>
    <n v="67"/>
    <n v="79"/>
    <n v="0.21"/>
    <s v="Web"/>
    <n v="0"/>
    <n v="1"/>
    <n v="0"/>
    <n v="14.99"/>
    <n v="0"/>
  </r>
  <r>
    <n v="2734"/>
    <s v="Other"/>
    <n v="20"/>
    <x v="6"/>
    <x v="2"/>
    <n v="248"/>
    <n v="67"/>
    <n v="0.4"/>
    <s v="Desktop"/>
    <n v="0"/>
    <n v="1"/>
    <n v="1"/>
    <n v="9.99"/>
    <n v="9.99"/>
  </r>
  <r>
    <n v="2735"/>
    <s v="Male"/>
    <n v="37"/>
    <x v="6"/>
    <x v="0"/>
    <n v="51"/>
    <n v="17"/>
    <n v="0.51"/>
    <s v="Web"/>
    <n v="49"/>
    <n v="0"/>
    <n v="1"/>
    <n v="0"/>
    <n v="0"/>
  </r>
  <r>
    <n v="2736"/>
    <s v="Female"/>
    <n v="30"/>
    <x v="0"/>
    <x v="1"/>
    <n v="65"/>
    <n v="34"/>
    <n v="0.44"/>
    <s v="Desktop"/>
    <n v="0"/>
    <n v="1"/>
    <n v="0"/>
    <n v="14.99"/>
    <n v="0"/>
  </r>
  <r>
    <n v="2737"/>
    <s v="Other"/>
    <n v="37"/>
    <x v="5"/>
    <x v="2"/>
    <n v="245"/>
    <n v="21"/>
    <n v="0.35"/>
    <s v="Desktop"/>
    <n v="0"/>
    <n v="1"/>
    <n v="0"/>
    <n v="9.99"/>
    <n v="0"/>
  </r>
  <r>
    <n v="2738"/>
    <s v="Other"/>
    <n v="21"/>
    <x v="7"/>
    <x v="2"/>
    <n v="202"/>
    <n v="4"/>
    <n v="0.24"/>
    <s v="Mobile"/>
    <n v="0"/>
    <n v="1"/>
    <n v="0"/>
    <n v="9.99"/>
    <n v="0"/>
  </r>
  <r>
    <n v="2739"/>
    <s v="Female"/>
    <n v="56"/>
    <x v="1"/>
    <x v="1"/>
    <n v="227"/>
    <n v="40"/>
    <n v="0.6"/>
    <s v="Web"/>
    <n v="0"/>
    <n v="1"/>
    <n v="0"/>
    <n v="14.99"/>
    <n v="0"/>
  </r>
  <r>
    <n v="2740"/>
    <s v="Male"/>
    <n v="46"/>
    <x v="0"/>
    <x v="3"/>
    <n v="104"/>
    <n v="13"/>
    <n v="0.39"/>
    <s v="Web"/>
    <n v="0"/>
    <n v="1"/>
    <n v="0"/>
    <n v="4.99"/>
    <n v="0"/>
  </r>
  <r>
    <n v="2741"/>
    <s v="Male"/>
    <n v="32"/>
    <x v="6"/>
    <x v="2"/>
    <n v="41"/>
    <n v="54"/>
    <n v="0.57999999999999996"/>
    <s v="Desktop"/>
    <n v="0"/>
    <n v="1"/>
    <n v="1"/>
    <n v="9.99"/>
    <n v="9.99"/>
  </r>
  <r>
    <n v="2742"/>
    <s v="Other"/>
    <n v="23"/>
    <x v="0"/>
    <x v="2"/>
    <n v="241"/>
    <n v="87"/>
    <n v="0.26"/>
    <s v="Web"/>
    <n v="0"/>
    <n v="1"/>
    <n v="0"/>
    <n v="9.99"/>
    <n v="0"/>
  </r>
  <r>
    <n v="2743"/>
    <s v="Other"/>
    <n v="53"/>
    <x v="0"/>
    <x v="0"/>
    <n v="249"/>
    <n v="61"/>
    <n v="0.28000000000000003"/>
    <s v="Desktop"/>
    <n v="39"/>
    <n v="0"/>
    <n v="0"/>
    <n v="0"/>
    <n v="0"/>
  </r>
  <r>
    <n v="2744"/>
    <s v="Other"/>
    <n v="16"/>
    <x v="6"/>
    <x v="2"/>
    <n v="115"/>
    <n v="53"/>
    <n v="0.18"/>
    <s v="Web"/>
    <n v="0"/>
    <n v="1"/>
    <n v="1"/>
    <n v="9.99"/>
    <n v="9.99"/>
  </r>
  <r>
    <n v="2745"/>
    <s v="Female"/>
    <n v="48"/>
    <x v="3"/>
    <x v="3"/>
    <n v="236"/>
    <n v="82"/>
    <n v="0.2"/>
    <s v="Web"/>
    <n v="0"/>
    <n v="1"/>
    <n v="0"/>
    <n v="4.99"/>
    <n v="0"/>
  </r>
  <r>
    <n v="2746"/>
    <s v="Other"/>
    <n v="34"/>
    <x v="4"/>
    <x v="2"/>
    <n v="187"/>
    <n v="74"/>
    <n v="0.22"/>
    <s v="Desktop"/>
    <n v="0"/>
    <n v="1"/>
    <n v="0"/>
    <n v="9.99"/>
    <n v="0"/>
  </r>
  <r>
    <n v="2747"/>
    <s v="Female"/>
    <n v="54"/>
    <x v="6"/>
    <x v="0"/>
    <n v="123"/>
    <n v="55"/>
    <n v="0.59"/>
    <s v="Web"/>
    <n v="39"/>
    <n v="0"/>
    <n v="0"/>
    <n v="0"/>
    <n v="0"/>
  </r>
  <r>
    <n v="2748"/>
    <s v="Female"/>
    <n v="30"/>
    <x v="3"/>
    <x v="3"/>
    <n v="27"/>
    <n v="77"/>
    <n v="0.36"/>
    <s v="Web"/>
    <n v="0"/>
    <n v="1"/>
    <n v="1"/>
    <n v="4.99"/>
    <n v="4.99"/>
  </r>
  <r>
    <n v="2749"/>
    <s v="Male"/>
    <n v="25"/>
    <x v="3"/>
    <x v="3"/>
    <n v="215"/>
    <n v="76"/>
    <n v="0.13"/>
    <s v="Web"/>
    <n v="0"/>
    <n v="1"/>
    <n v="0"/>
    <n v="4.99"/>
    <n v="0"/>
  </r>
  <r>
    <n v="2750"/>
    <s v="Female"/>
    <n v="40"/>
    <x v="2"/>
    <x v="0"/>
    <n v="29"/>
    <n v="87"/>
    <n v="0.28999999999999998"/>
    <s v="Mobile"/>
    <n v="25"/>
    <n v="0"/>
    <n v="0"/>
    <n v="0"/>
    <n v="0"/>
  </r>
  <r>
    <n v="2751"/>
    <s v="Other"/>
    <n v="46"/>
    <x v="4"/>
    <x v="1"/>
    <n v="42"/>
    <n v="84"/>
    <n v="0.1"/>
    <s v="Desktop"/>
    <n v="0"/>
    <n v="1"/>
    <n v="1"/>
    <n v="14.99"/>
    <n v="14.99"/>
  </r>
  <r>
    <n v="2752"/>
    <s v="Female"/>
    <n v="52"/>
    <x v="1"/>
    <x v="1"/>
    <n v="118"/>
    <n v="69"/>
    <n v="0.36"/>
    <s v="Mobile"/>
    <n v="0"/>
    <n v="1"/>
    <n v="0"/>
    <n v="14.99"/>
    <n v="0"/>
  </r>
  <r>
    <n v="2753"/>
    <s v="Other"/>
    <n v="51"/>
    <x v="1"/>
    <x v="1"/>
    <n v="142"/>
    <n v="29"/>
    <n v="0.09"/>
    <s v="Desktop"/>
    <n v="0"/>
    <n v="1"/>
    <n v="0"/>
    <n v="14.99"/>
    <n v="0"/>
  </r>
  <r>
    <n v="2754"/>
    <s v="Male"/>
    <n v="29"/>
    <x v="4"/>
    <x v="0"/>
    <n v="182"/>
    <n v="52"/>
    <n v="0.3"/>
    <s v="Web"/>
    <n v="18"/>
    <n v="0"/>
    <n v="0"/>
    <n v="0"/>
    <n v="0"/>
  </r>
  <r>
    <n v="2755"/>
    <s v="Female"/>
    <n v="54"/>
    <x v="2"/>
    <x v="3"/>
    <n v="204"/>
    <n v="40"/>
    <n v="0.01"/>
    <s v="Mobile"/>
    <n v="0"/>
    <n v="1"/>
    <n v="0"/>
    <n v="4.99"/>
    <n v="0"/>
  </r>
  <r>
    <n v="2756"/>
    <s v="Other"/>
    <n v="19"/>
    <x v="3"/>
    <x v="2"/>
    <n v="188"/>
    <n v="23"/>
    <n v="0.11"/>
    <s v="Desktop"/>
    <n v="0"/>
    <n v="1"/>
    <n v="0"/>
    <n v="9.99"/>
    <n v="0"/>
  </r>
  <r>
    <n v="2757"/>
    <s v="Female"/>
    <n v="35"/>
    <x v="1"/>
    <x v="0"/>
    <n v="232"/>
    <n v="18"/>
    <n v="0.49"/>
    <s v="Desktop"/>
    <n v="25"/>
    <n v="0"/>
    <n v="0"/>
    <n v="0"/>
    <n v="0"/>
  </r>
  <r>
    <n v="2758"/>
    <s v="Male"/>
    <n v="33"/>
    <x v="7"/>
    <x v="3"/>
    <n v="274"/>
    <n v="14"/>
    <n v="0.2"/>
    <s v="Desktop"/>
    <n v="0"/>
    <n v="1"/>
    <n v="0"/>
    <n v="4.99"/>
    <n v="0"/>
  </r>
  <r>
    <n v="2759"/>
    <s v="Female"/>
    <n v="27"/>
    <x v="5"/>
    <x v="0"/>
    <n v="32"/>
    <n v="65"/>
    <n v="0.19"/>
    <s v="Mobile"/>
    <n v="34"/>
    <n v="0"/>
    <n v="0"/>
    <n v="0"/>
    <n v="0"/>
  </r>
  <r>
    <n v="2760"/>
    <s v="Other"/>
    <n v="19"/>
    <x v="5"/>
    <x v="3"/>
    <n v="210"/>
    <n v="33"/>
    <n v="0.33"/>
    <s v="Desktop"/>
    <n v="0"/>
    <n v="1"/>
    <n v="0"/>
    <n v="4.99"/>
    <n v="0"/>
  </r>
  <r>
    <n v="2761"/>
    <s v="Male"/>
    <n v="16"/>
    <x v="2"/>
    <x v="0"/>
    <n v="111"/>
    <n v="47"/>
    <n v="0.33"/>
    <s v="Mobile"/>
    <n v="25"/>
    <n v="0"/>
    <n v="0"/>
    <n v="0"/>
    <n v="0"/>
  </r>
  <r>
    <n v="2762"/>
    <s v="Female"/>
    <n v="19"/>
    <x v="3"/>
    <x v="2"/>
    <n v="196"/>
    <n v="11"/>
    <n v="0.51"/>
    <s v="Web"/>
    <n v="0"/>
    <n v="1"/>
    <n v="0"/>
    <n v="9.99"/>
    <n v="0"/>
  </r>
  <r>
    <n v="2763"/>
    <s v="Other"/>
    <n v="34"/>
    <x v="5"/>
    <x v="0"/>
    <n v="125"/>
    <n v="94"/>
    <n v="0.02"/>
    <s v="Web"/>
    <n v="15"/>
    <n v="0"/>
    <n v="0"/>
    <n v="0"/>
    <n v="0"/>
  </r>
  <r>
    <n v="2764"/>
    <s v="Female"/>
    <n v="17"/>
    <x v="0"/>
    <x v="3"/>
    <n v="86"/>
    <n v="9"/>
    <n v="0.28000000000000003"/>
    <s v="Mobile"/>
    <n v="0"/>
    <n v="1"/>
    <n v="1"/>
    <n v="4.99"/>
    <n v="4.99"/>
  </r>
  <r>
    <n v="2765"/>
    <s v="Male"/>
    <n v="19"/>
    <x v="1"/>
    <x v="1"/>
    <n v="12"/>
    <n v="35"/>
    <n v="0.13"/>
    <s v="Mobile"/>
    <n v="0"/>
    <n v="1"/>
    <n v="0"/>
    <n v="14.99"/>
    <n v="0"/>
  </r>
  <r>
    <n v="2766"/>
    <s v="Female"/>
    <n v="40"/>
    <x v="3"/>
    <x v="2"/>
    <n v="242"/>
    <n v="88"/>
    <n v="0.25"/>
    <s v="Mobile"/>
    <n v="0"/>
    <n v="1"/>
    <n v="1"/>
    <n v="9.99"/>
    <n v="9.99"/>
  </r>
  <r>
    <n v="2767"/>
    <s v="Other"/>
    <n v="41"/>
    <x v="2"/>
    <x v="3"/>
    <n v="21"/>
    <n v="61"/>
    <n v="0.19"/>
    <s v="Web"/>
    <n v="0"/>
    <n v="1"/>
    <n v="0"/>
    <n v="4.99"/>
    <n v="0"/>
  </r>
  <r>
    <n v="2768"/>
    <s v="Female"/>
    <n v="19"/>
    <x v="7"/>
    <x v="1"/>
    <n v="16"/>
    <n v="72"/>
    <n v="0.57999999999999996"/>
    <s v="Desktop"/>
    <n v="0"/>
    <n v="1"/>
    <n v="0"/>
    <n v="14.99"/>
    <n v="0"/>
  </r>
  <r>
    <n v="2769"/>
    <s v="Other"/>
    <n v="18"/>
    <x v="0"/>
    <x v="3"/>
    <n v="168"/>
    <n v="51"/>
    <n v="0.28999999999999998"/>
    <s v="Desktop"/>
    <n v="0"/>
    <n v="1"/>
    <n v="0"/>
    <n v="4.99"/>
    <n v="0"/>
  </r>
  <r>
    <n v="2770"/>
    <s v="Other"/>
    <n v="22"/>
    <x v="6"/>
    <x v="3"/>
    <n v="253"/>
    <n v="9"/>
    <n v="0.39"/>
    <s v="Desktop"/>
    <n v="0"/>
    <n v="1"/>
    <n v="1"/>
    <n v="4.99"/>
    <n v="4.99"/>
  </r>
  <r>
    <n v="2771"/>
    <s v="Male"/>
    <n v="53"/>
    <x v="4"/>
    <x v="0"/>
    <n v="203"/>
    <n v="71"/>
    <n v="0.45"/>
    <s v="Web"/>
    <n v="36"/>
    <n v="0"/>
    <n v="1"/>
    <n v="0"/>
    <n v="0"/>
  </r>
  <r>
    <n v="2772"/>
    <s v="Female"/>
    <n v="32"/>
    <x v="4"/>
    <x v="2"/>
    <n v="28"/>
    <n v="2"/>
    <n v="0.5"/>
    <s v="Web"/>
    <n v="0"/>
    <n v="1"/>
    <n v="1"/>
    <n v="9.99"/>
    <n v="9.99"/>
  </r>
  <r>
    <n v="2773"/>
    <s v="Other"/>
    <n v="18"/>
    <x v="5"/>
    <x v="0"/>
    <n v="132"/>
    <n v="18"/>
    <n v="0.34"/>
    <s v="Mobile"/>
    <n v="13"/>
    <n v="0"/>
    <n v="0"/>
    <n v="0"/>
    <n v="0"/>
  </r>
  <r>
    <n v="2774"/>
    <s v="Male"/>
    <n v="29"/>
    <x v="5"/>
    <x v="1"/>
    <n v="267"/>
    <n v="28"/>
    <n v="0.14000000000000001"/>
    <s v="Desktop"/>
    <n v="0"/>
    <n v="1"/>
    <n v="0"/>
    <n v="14.99"/>
    <n v="0"/>
  </r>
  <r>
    <n v="2775"/>
    <s v="Other"/>
    <n v="33"/>
    <x v="6"/>
    <x v="3"/>
    <n v="98"/>
    <n v="92"/>
    <n v="0.42"/>
    <s v="Mobile"/>
    <n v="0"/>
    <n v="1"/>
    <n v="0"/>
    <n v="4.99"/>
    <n v="0"/>
  </r>
  <r>
    <n v="2776"/>
    <s v="Other"/>
    <n v="43"/>
    <x v="4"/>
    <x v="2"/>
    <n v="62"/>
    <n v="17"/>
    <n v="0.02"/>
    <s v="Web"/>
    <n v="0"/>
    <n v="1"/>
    <n v="0"/>
    <n v="9.99"/>
    <n v="0"/>
  </r>
  <r>
    <n v="2777"/>
    <s v="Other"/>
    <n v="46"/>
    <x v="0"/>
    <x v="3"/>
    <n v="138"/>
    <n v="42"/>
    <n v="0.53"/>
    <s v="Desktop"/>
    <n v="0"/>
    <n v="1"/>
    <n v="0"/>
    <n v="4.99"/>
    <n v="0"/>
  </r>
  <r>
    <n v="2778"/>
    <s v="Male"/>
    <n v="16"/>
    <x v="5"/>
    <x v="0"/>
    <n v="246"/>
    <n v="62"/>
    <n v="0.56999999999999995"/>
    <s v="Desktop"/>
    <n v="15"/>
    <n v="0"/>
    <n v="0"/>
    <n v="0"/>
    <n v="0"/>
  </r>
  <r>
    <n v="2779"/>
    <s v="Female"/>
    <n v="19"/>
    <x v="4"/>
    <x v="3"/>
    <n v="159"/>
    <n v="75"/>
    <n v="0.22"/>
    <s v="Mobile"/>
    <n v="0"/>
    <n v="1"/>
    <n v="1"/>
    <n v="4.99"/>
    <n v="4.99"/>
  </r>
  <r>
    <n v="2780"/>
    <s v="Male"/>
    <n v="29"/>
    <x v="3"/>
    <x v="1"/>
    <n v="216"/>
    <n v="72"/>
    <n v="0"/>
    <s v="Web"/>
    <n v="0"/>
    <n v="1"/>
    <n v="0"/>
    <n v="14.99"/>
    <n v="0"/>
  </r>
  <r>
    <n v="2781"/>
    <s v="Other"/>
    <n v="52"/>
    <x v="0"/>
    <x v="3"/>
    <n v="279"/>
    <n v="58"/>
    <n v="0.38"/>
    <s v="Web"/>
    <n v="0"/>
    <n v="1"/>
    <n v="0"/>
    <n v="4.99"/>
    <n v="0"/>
  </r>
  <r>
    <n v="2782"/>
    <s v="Female"/>
    <n v="19"/>
    <x v="2"/>
    <x v="2"/>
    <n v="142"/>
    <n v="68"/>
    <n v="0.23"/>
    <s v="Mobile"/>
    <n v="0"/>
    <n v="1"/>
    <n v="0"/>
    <n v="9.99"/>
    <n v="0"/>
  </r>
  <r>
    <n v="2783"/>
    <s v="Other"/>
    <n v="43"/>
    <x v="3"/>
    <x v="2"/>
    <n v="273"/>
    <n v="68"/>
    <n v="0.23"/>
    <s v="Web"/>
    <n v="0"/>
    <n v="1"/>
    <n v="0"/>
    <n v="9.99"/>
    <n v="0"/>
  </r>
  <r>
    <n v="2784"/>
    <s v="Male"/>
    <n v="50"/>
    <x v="2"/>
    <x v="1"/>
    <n v="135"/>
    <n v="27"/>
    <n v="0.3"/>
    <s v="Desktop"/>
    <n v="0"/>
    <n v="1"/>
    <n v="1"/>
    <n v="14.99"/>
    <n v="14.99"/>
  </r>
  <r>
    <n v="2785"/>
    <s v="Male"/>
    <n v="28"/>
    <x v="4"/>
    <x v="3"/>
    <n v="281"/>
    <n v="50"/>
    <n v="0.27"/>
    <s v="Desktop"/>
    <n v="0"/>
    <n v="1"/>
    <n v="0"/>
    <n v="4.99"/>
    <n v="0"/>
  </r>
  <r>
    <n v="2786"/>
    <s v="Female"/>
    <n v="29"/>
    <x v="5"/>
    <x v="0"/>
    <n v="26"/>
    <n v="18"/>
    <n v="0.56000000000000005"/>
    <s v="Mobile"/>
    <n v="37"/>
    <n v="0"/>
    <n v="1"/>
    <n v="0"/>
    <n v="0"/>
  </r>
  <r>
    <n v="2787"/>
    <s v="Male"/>
    <n v="30"/>
    <x v="7"/>
    <x v="0"/>
    <n v="225"/>
    <n v="46"/>
    <n v="0.21"/>
    <s v="Desktop"/>
    <n v="8"/>
    <n v="0"/>
    <n v="0"/>
    <n v="0"/>
    <n v="0"/>
  </r>
  <r>
    <n v="2788"/>
    <s v="Male"/>
    <n v="32"/>
    <x v="4"/>
    <x v="2"/>
    <n v="115"/>
    <n v="65"/>
    <n v="0.19"/>
    <s v="Mobile"/>
    <n v="0"/>
    <n v="1"/>
    <n v="0"/>
    <n v="9.99"/>
    <n v="0"/>
  </r>
  <r>
    <n v="2789"/>
    <s v="Other"/>
    <n v="47"/>
    <x v="3"/>
    <x v="2"/>
    <n v="88"/>
    <n v="81"/>
    <n v="0.46"/>
    <s v="Web"/>
    <n v="0"/>
    <n v="1"/>
    <n v="0"/>
    <n v="9.99"/>
    <n v="0"/>
  </r>
  <r>
    <n v="2790"/>
    <s v="Female"/>
    <n v="32"/>
    <x v="2"/>
    <x v="3"/>
    <n v="25"/>
    <n v="84"/>
    <n v="0.01"/>
    <s v="Web"/>
    <n v="0"/>
    <n v="1"/>
    <n v="0"/>
    <n v="4.99"/>
    <n v="0"/>
  </r>
  <r>
    <n v="2791"/>
    <s v="Female"/>
    <n v="34"/>
    <x v="2"/>
    <x v="3"/>
    <n v="235"/>
    <n v="49"/>
    <n v="0.08"/>
    <s v="Web"/>
    <n v="0"/>
    <n v="1"/>
    <n v="0"/>
    <n v="4.99"/>
    <n v="0"/>
  </r>
  <r>
    <n v="2792"/>
    <s v="Female"/>
    <n v="25"/>
    <x v="4"/>
    <x v="2"/>
    <n v="232"/>
    <n v="71"/>
    <n v="0.11"/>
    <s v="Mobile"/>
    <n v="0"/>
    <n v="1"/>
    <n v="0"/>
    <n v="9.99"/>
    <n v="0"/>
  </r>
  <r>
    <n v="2793"/>
    <s v="Other"/>
    <n v="29"/>
    <x v="0"/>
    <x v="1"/>
    <n v="14"/>
    <n v="6"/>
    <n v="0.26"/>
    <s v="Mobile"/>
    <n v="0"/>
    <n v="1"/>
    <n v="0"/>
    <n v="14.99"/>
    <n v="0"/>
  </r>
  <r>
    <n v="2794"/>
    <s v="Other"/>
    <n v="34"/>
    <x v="7"/>
    <x v="1"/>
    <n v="120"/>
    <n v="89"/>
    <n v="0.55000000000000004"/>
    <s v="Web"/>
    <n v="0"/>
    <n v="1"/>
    <n v="0"/>
    <n v="14.99"/>
    <n v="0"/>
  </r>
  <r>
    <n v="2795"/>
    <s v="Male"/>
    <n v="19"/>
    <x v="6"/>
    <x v="2"/>
    <n v="93"/>
    <n v="15"/>
    <n v="0.15"/>
    <s v="Web"/>
    <n v="0"/>
    <n v="1"/>
    <n v="0"/>
    <n v="9.99"/>
    <n v="0"/>
  </r>
  <r>
    <n v="2796"/>
    <s v="Female"/>
    <n v="17"/>
    <x v="2"/>
    <x v="3"/>
    <n v="43"/>
    <n v="88"/>
    <n v="0.57999999999999996"/>
    <s v="Mobile"/>
    <n v="0"/>
    <n v="1"/>
    <n v="0"/>
    <n v="4.99"/>
    <n v="0"/>
  </r>
  <r>
    <n v="2797"/>
    <s v="Male"/>
    <n v="45"/>
    <x v="6"/>
    <x v="0"/>
    <n v="44"/>
    <n v="10"/>
    <n v="0.19"/>
    <s v="Desktop"/>
    <n v="48"/>
    <n v="0"/>
    <n v="1"/>
    <n v="0"/>
    <n v="0"/>
  </r>
  <r>
    <n v="2798"/>
    <s v="Female"/>
    <n v="44"/>
    <x v="7"/>
    <x v="0"/>
    <n v="46"/>
    <n v="66"/>
    <n v="0.2"/>
    <s v="Web"/>
    <n v="11"/>
    <n v="0"/>
    <n v="0"/>
    <n v="0"/>
    <n v="0"/>
  </r>
  <r>
    <n v="2799"/>
    <s v="Other"/>
    <n v="44"/>
    <x v="3"/>
    <x v="2"/>
    <n v="276"/>
    <n v="69"/>
    <n v="0.56999999999999995"/>
    <s v="Web"/>
    <n v="0"/>
    <n v="1"/>
    <n v="1"/>
    <n v="9.99"/>
    <n v="9.99"/>
  </r>
  <r>
    <n v="2800"/>
    <s v="Male"/>
    <n v="54"/>
    <x v="1"/>
    <x v="0"/>
    <n v="161"/>
    <n v="50"/>
    <n v="0.11"/>
    <s v="Web"/>
    <n v="30"/>
    <n v="0"/>
    <n v="0"/>
    <n v="0"/>
    <n v="0"/>
  </r>
  <r>
    <n v="2801"/>
    <s v="Other"/>
    <n v="54"/>
    <x v="4"/>
    <x v="2"/>
    <n v="275"/>
    <n v="66"/>
    <n v="0.25"/>
    <s v="Web"/>
    <n v="0"/>
    <n v="1"/>
    <n v="1"/>
    <n v="9.99"/>
    <n v="9.99"/>
  </r>
  <r>
    <n v="2802"/>
    <s v="Male"/>
    <n v="52"/>
    <x v="0"/>
    <x v="3"/>
    <n v="182"/>
    <n v="69"/>
    <n v="0.48"/>
    <s v="Mobile"/>
    <n v="0"/>
    <n v="1"/>
    <n v="0"/>
    <n v="4.99"/>
    <n v="0"/>
  </r>
  <r>
    <n v="2803"/>
    <s v="Other"/>
    <n v="26"/>
    <x v="4"/>
    <x v="1"/>
    <n v="261"/>
    <n v="53"/>
    <n v="0.27"/>
    <s v="Desktop"/>
    <n v="0"/>
    <n v="1"/>
    <n v="0"/>
    <n v="14.99"/>
    <n v="0"/>
  </r>
  <r>
    <n v="2804"/>
    <s v="Other"/>
    <n v="56"/>
    <x v="0"/>
    <x v="0"/>
    <n v="266"/>
    <n v="72"/>
    <n v="0.24"/>
    <s v="Desktop"/>
    <n v="12"/>
    <n v="0"/>
    <n v="0"/>
    <n v="0"/>
    <n v="0"/>
  </r>
  <r>
    <n v="2805"/>
    <s v="Other"/>
    <n v="30"/>
    <x v="0"/>
    <x v="0"/>
    <n v="271"/>
    <n v="68"/>
    <n v="0.43"/>
    <s v="Desktop"/>
    <n v="44"/>
    <n v="0"/>
    <n v="0"/>
    <n v="0"/>
    <n v="0"/>
  </r>
  <r>
    <n v="2806"/>
    <s v="Female"/>
    <n v="25"/>
    <x v="0"/>
    <x v="0"/>
    <n v="264"/>
    <n v="27"/>
    <n v="0.05"/>
    <s v="Web"/>
    <n v="24"/>
    <n v="0"/>
    <n v="0"/>
    <n v="0"/>
    <n v="0"/>
  </r>
  <r>
    <n v="2807"/>
    <s v="Male"/>
    <n v="21"/>
    <x v="4"/>
    <x v="2"/>
    <n v="281"/>
    <n v="7"/>
    <n v="0.12"/>
    <s v="Desktop"/>
    <n v="0"/>
    <n v="1"/>
    <n v="1"/>
    <n v="9.99"/>
    <n v="9.99"/>
  </r>
  <r>
    <n v="2808"/>
    <s v="Other"/>
    <n v="18"/>
    <x v="7"/>
    <x v="3"/>
    <n v="207"/>
    <n v="19"/>
    <n v="0.59"/>
    <s v="Web"/>
    <n v="0"/>
    <n v="1"/>
    <n v="0"/>
    <n v="4.99"/>
    <n v="0"/>
  </r>
  <r>
    <n v="2809"/>
    <s v="Male"/>
    <n v="52"/>
    <x v="2"/>
    <x v="1"/>
    <n v="243"/>
    <n v="2"/>
    <n v="0.48"/>
    <s v="Desktop"/>
    <n v="0"/>
    <n v="1"/>
    <n v="0"/>
    <n v="14.99"/>
    <n v="0"/>
  </r>
  <r>
    <n v="2810"/>
    <s v="Female"/>
    <n v="26"/>
    <x v="3"/>
    <x v="3"/>
    <n v="228"/>
    <n v="76"/>
    <n v="0.1"/>
    <s v="Desktop"/>
    <n v="0"/>
    <n v="1"/>
    <n v="0"/>
    <n v="4.99"/>
    <n v="0"/>
  </r>
  <r>
    <n v="2811"/>
    <s v="Female"/>
    <n v="41"/>
    <x v="5"/>
    <x v="1"/>
    <n v="243"/>
    <n v="41"/>
    <n v="0.42"/>
    <s v="Desktop"/>
    <n v="0"/>
    <n v="1"/>
    <n v="0"/>
    <n v="14.99"/>
    <n v="0"/>
  </r>
  <r>
    <n v="2812"/>
    <s v="Female"/>
    <n v="29"/>
    <x v="5"/>
    <x v="1"/>
    <n v="60"/>
    <n v="96"/>
    <n v="0.28999999999999998"/>
    <s v="Web"/>
    <n v="0"/>
    <n v="1"/>
    <n v="0"/>
    <n v="14.99"/>
    <n v="0"/>
  </r>
  <r>
    <n v="2813"/>
    <s v="Other"/>
    <n v="21"/>
    <x v="4"/>
    <x v="3"/>
    <n v="145"/>
    <n v="37"/>
    <n v="0.22"/>
    <s v="Desktop"/>
    <n v="0"/>
    <n v="1"/>
    <n v="0"/>
    <n v="4.99"/>
    <n v="0"/>
  </r>
  <r>
    <n v="2814"/>
    <s v="Other"/>
    <n v="43"/>
    <x v="6"/>
    <x v="2"/>
    <n v="32"/>
    <n v="87"/>
    <n v="0.46"/>
    <s v="Mobile"/>
    <n v="0"/>
    <n v="1"/>
    <n v="1"/>
    <n v="9.99"/>
    <n v="9.99"/>
  </r>
  <r>
    <n v="2815"/>
    <s v="Male"/>
    <n v="38"/>
    <x v="3"/>
    <x v="3"/>
    <n v="183"/>
    <n v="50"/>
    <n v="0.59"/>
    <s v="Mobile"/>
    <n v="0"/>
    <n v="1"/>
    <n v="1"/>
    <n v="4.99"/>
    <n v="4.99"/>
  </r>
  <r>
    <n v="2816"/>
    <s v="Female"/>
    <n v="48"/>
    <x v="5"/>
    <x v="1"/>
    <n v="26"/>
    <n v="84"/>
    <n v="0.35"/>
    <s v="Mobile"/>
    <n v="0"/>
    <n v="1"/>
    <n v="1"/>
    <n v="14.99"/>
    <n v="14.99"/>
  </r>
  <r>
    <n v="2817"/>
    <s v="Female"/>
    <n v="32"/>
    <x v="3"/>
    <x v="3"/>
    <n v="140"/>
    <n v="92"/>
    <n v="0.28000000000000003"/>
    <s v="Mobile"/>
    <n v="0"/>
    <n v="1"/>
    <n v="1"/>
    <n v="4.99"/>
    <n v="4.99"/>
  </r>
  <r>
    <n v="2818"/>
    <s v="Female"/>
    <n v="24"/>
    <x v="2"/>
    <x v="1"/>
    <n v="286"/>
    <n v="42"/>
    <n v="0.4"/>
    <s v="Web"/>
    <n v="0"/>
    <n v="1"/>
    <n v="0"/>
    <n v="14.99"/>
    <n v="0"/>
  </r>
  <r>
    <n v="2819"/>
    <s v="Male"/>
    <n v="35"/>
    <x v="6"/>
    <x v="0"/>
    <n v="236"/>
    <n v="59"/>
    <n v="0.27"/>
    <s v="Desktop"/>
    <n v="46"/>
    <n v="0"/>
    <n v="0"/>
    <n v="0"/>
    <n v="0"/>
  </r>
  <r>
    <n v="2820"/>
    <s v="Other"/>
    <n v="42"/>
    <x v="5"/>
    <x v="1"/>
    <n v="31"/>
    <n v="19"/>
    <n v="0.33"/>
    <s v="Desktop"/>
    <n v="0"/>
    <n v="1"/>
    <n v="0"/>
    <n v="14.99"/>
    <n v="0"/>
  </r>
  <r>
    <n v="2821"/>
    <s v="Male"/>
    <n v="43"/>
    <x v="6"/>
    <x v="2"/>
    <n v="188"/>
    <n v="82"/>
    <n v="0.52"/>
    <s v="Desktop"/>
    <n v="0"/>
    <n v="1"/>
    <n v="0"/>
    <n v="9.99"/>
    <n v="0"/>
  </r>
  <r>
    <n v="2822"/>
    <s v="Male"/>
    <n v="55"/>
    <x v="3"/>
    <x v="0"/>
    <n v="12"/>
    <n v="8"/>
    <n v="0.03"/>
    <s v="Mobile"/>
    <n v="34"/>
    <n v="0"/>
    <n v="0"/>
    <n v="0"/>
    <n v="0"/>
  </r>
  <r>
    <n v="2823"/>
    <s v="Male"/>
    <n v="32"/>
    <x v="2"/>
    <x v="1"/>
    <n v="164"/>
    <n v="49"/>
    <n v="0.08"/>
    <s v="Desktop"/>
    <n v="0"/>
    <n v="1"/>
    <n v="0"/>
    <n v="14.99"/>
    <n v="0"/>
  </r>
  <r>
    <n v="2824"/>
    <s v="Female"/>
    <n v="49"/>
    <x v="6"/>
    <x v="3"/>
    <n v="245"/>
    <n v="20"/>
    <n v="0.52"/>
    <s v="Web"/>
    <n v="0"/>
    <n v="1"/>
    <n v="0"/>
    <n v="4.99"/>
    <n v="0"/>
  </r>
  <r>
    <n v="2825"/>
    <s v="Female"/>
    <n v="36"/>
    <x v="6"/>
    <x v="1"/>
    <n v="38"/>
    <n v="96"/>
    <n v="0.37"/>
    <s v="Web"/>
    <n v="0"/>
    <n v="1"/>
    <n v="1"/>
    <n v="14.99"/>
    <n v="14.99"/>
  </r>
  <r>
    <n v="2826"/>
    <s v="Male"/>
    <n v="46"/>
    <x v="2"/>
    <x v="1"/>
    <n v="76"/>
    <n v="44"/>
    <n v="0.13"/>
    <s v="Desktop"/>
    <n v="0"/>
    <n v="1"/>
    <n v="1"/>
    <n v="14.99"/>
    <n v="14.99"/>
  </r>
  <r>
    <n v="2827"/>
    <s v="Other"/>
    <n v="52"/>
    <x v="4"/>
    <x v="0"/>
    <n v="196"/>
    <n v="6"/>
    <n v="7.0000000000000007E-2"/>
    <s v="Desktop"/>
    <n v="37"/>
    <n v="0"/>
    <n v="1"/>
    <n v="0"/>
    <n v="0"/>
  </r>
  <r>
    <n v="2828"/>
    <s v="Female"/>
    <n v="30"/>
    <x v="7"/>
    <x v="0"/>
    <n v="150"/>
    <n v="47"/>
    <n v="0.51"/>
    <s v="Mobile"/>
    <n v="43"/>
    <n v="0"/>
    <n v="0"/>
    <n v="0"/>
    <n v="0"/>
  </r>
  <r>
    <n v="2829"/>
    <s v="Other"/>
    <n v="36"/>
    <x v="4"/>
    <x v="3"/>
    <n v="281"/>
    <n v="40"/>
    <n v="0.35"/>
    <s v="Mobile"/>
    <n v="0"/>
    <n v="1"/>
    <n v="0"/>
    <n v="4.99"/>
    <n v="0"/>
  </r>
  <r>
    <n v="2830"/>
    <s v="Other"/>
    <n v="22"/>
    <x v="1"/>
    <x v="1"/>
    <n v="110"/>
    <n v="85"/>
    <n v="0.24"/>
    <s v="Desktop"/>
    <n v="0"/>
    <n v="1"/>
    <n v="0"/>
    <n v="14.99"/>
    <n v="0"/>
  </r>
  <r>
    <n v="2831"/>
    <s v="Female"/>
    <n v="55"/>
    <x v="0"/>
    <x v="1"/>
    <n v="106"/>
    <n v="70"/>
    <n v="0.04"/>
    <s v="Web"/>
    <n v="0"/>
    <n v="1"/>
    <n v="1"/>
    <n v="14.99"/>
    <n v="14.99"/>
  </r>
  <r>
    <n v="2832"/>
    <s v="Female"/>
    <n v="36"/>
    <x v="3"/>
    <x v="3"/>
    <n v="137"/>
    <n v="59"/>
    <n v="0.1"/>
    <s v="Web"/>
    <n v="0"/>
    <n v="1"/>
    <n v="0"/>
    <n v="4.99"/>
    <n v="0"/>
  </r>
  <r>
    <n v="2833"/>
    <s v="Female"/>
    <n v="47"/>
    <x v="5"/>
    <x v="1"/>
    <n v="251"/>
    <n v="40"/>
    <n v="0.42"/>
    <s v="Mobile"/>
    <n v="0"/>
    <n v="1"/>
    <n v="1"/>
    <n v="14.99"/>
    <n v="14.99"/>
  </r>
  <r>
    <n v="2834"/>
    <s v="Male"/>
    <n v="34"/>
    <x v="3"/>
    <x v="0"/>
    <n v="187"/>
    <n v="63"/>
    <n v="0.35"/>
    <s v="Mobile"/>
    <n v="29"/>
    <n v="0"/>
    <n v="1"/>
    <n v="0"/>
    <n v="0"/>
  </r>
  <r>
    <n v="2835"/>
    <s v="Other"/>
    <n v="23"/>
    <x v="6"/>
    <x v="3"/>
    <n v="173"/>
    <n v="55"/>
    <n v="0.2"/>
    <s v="Desktop"/>
    <n v="0"/>
    <n v="1"/>
    <n v="0"/>
    <n v="4.99"/>
    <n v="0"/>
  </r>
  <r>
    <n v="2836"/>
    <s v="Other"/>
    <n v="46"/>
    <x v="6"/>
    <x v="2"/>
    <n v="255"/>
    <n v="42"/>
    <n v="0.57999999999999996"/>
    <s v="Web"/>
    <n v="0"/>
    <n v="1"/>
    <n v="1"/>
    <n v="9.99"/>
    <n v="9.99"/>
  </r>
  <r>
    <n v="2837"/>
    <s v="Male"/>
    <n v="36"/>
    <x v="4"/>
    <x v="3"/>
    <n v="155"/>
    <n v="77"/>
    <n v="0.31"/>
    <s v="Desktop"/>
    <n v="0"/>
    <n v="1"/>
    <n v="0"/>
    <n v="4.99"/>
    <n v="0"/>
  </r>
  <r>
    <n v="2838"/>
    <s v="Male"/>
    <n v="40"/>
    <x v="7"/>
    <x v="0"/>
    <n v="213"/>
    <n v="40"/>
    <n v="0.22"/>
    <s v="Mobile"/>
    <n v="17"/>
    <n v="0"/>
    <n v="1"/>
    <n v="0"/>
    <n v="0"/>
  </r>
  <r>
    <n v="2839"/>
    <s v="Female"/>
    <n v="47"/>
    <x v="7"/>
    <x v="3"/>
    <n v="150"/>
    <n v="70"/>
    <n v="0.1"/>
    <s v="Mobile"/>
    <n v="0"/>
    <n v="1"/>
    <n v="1"/>
    <n v="4.99"/>
    <n v="4.99"/>
  </r>
  <r>
    <n v="2840"/>
    <s v="Female"/>
    <n v="18"/>
    <x v="5"/>
    <x v="0"/>
    <n v="202"/>
    <n v="90"/>
    <n v="0.16"/>
    <s v="Mobile"/>
    <n v="16"/>
    <n v="0"/>
    <n v="0"/>
    <n v="0"/>
    <n v="0"/>
  </r>
  <r>
    <n v="2841"/>
    <s v="Female"/>
    <n v="28"/>
    <x v="4"/>
    <x v="1"/>
    <n v="260"/>
    <n v="25"/>
    <n v="0.36"/>
    <s v="Desktop"/>
    <n v="0"/>
    <n v="1"/>
    <n v="0"/>
    <n v="14.99"/>
    <n v="0"/>
  </r>
  <r>
    <n v="2842"/>
    <s v="Other"/>
    <n v="17"/>
    <x v="2"/>
    <x v="0"/>
    <n v="171"/>
    <n v="19"/>
    <n v="0.44"/>
    <s v="Web"/>
    <n v="11"/>
    <n v="0"/>
    <n v="1"/>
    <n v="0"/>
    <n v="0"/>
  </r>
  <r>
    <n v="2843"/>
    <s v="Male"/>
    <n v="29"/>
    <x v="2"/>
    <x v="3"/>
    <n v="199"/>
    <n v="57"/>
    <n v="0.3"/>
    <s v="Web"/>
    <n v="0"/>
    <n v="1"/>
    <n v="0"/>
    <n v="4.99"/>
    <n v="0"/>
  </r>
  <r>
    <n v="2844"/>
    <s v="Female"/>
    <n v="26"/>
    <x v="6"/>
    <x v="1"/>
    <n v="103"/>
    <n v="85"/>
    <n v="0.1"/>
    <s v="Desktop"/>
    <n v="0"/>
    <n v="1"/>
    <n v="0"/>
    <n v="14.99"/>
    <n v="0"/>
  </r>
  <r>
    <n v="2845"/>
    <s v="Male"/>
    <n v="22"/>
    <x v="4"/>
    <x v="0"/>
    <n v="246"/>
    <n v="16"/>
    <n v="0.36"/>
    <s v="Web"/>
    <n v="42"/>
    <n v="0"/>
    <n v="0"/>
    <n v="0"/>
    <n v="0"/>
  </r>
  <r>
    <n v="2846"/>
    <s v="Female"/>
    <n v="52"/>
    <x v="7"/>
    <x v="3"/>
    <n v="174"/>
    <n v="44"/>
    <n v="0.5"/>
    <s v="Mobile"/>
    <n v="0"/>
    <n v="1"/>
    <n v="0"/>
    <n v="4.99"/>
    <n v="0"/>
  </r>
  <r>
    <n v="2847"/>
    <s v="Male"/>
    <n v="41"/>
    <x v="4"/>
    <x v="2"/>
    <n v="235"/>
    <n v="72"/>
    <n v="0.28000000000000003"/>
    <s v="Web"/>
    <n v="0"/>
    <n v="1"/>
    <n v="0"/>
    <n v="9.99"/>
    <n v="0"/>
  </r>
  <r>
    <n v="2848"/>
    <s v="Male"/>
    <n v="39"/>
    <x v="7"/>
    <x v="0"/>
    <n v="219"/>
    <n v="93"/>
    <n v="0.22"/>
    <s v="Desktop"/>
    <n v="10"/>
    <n v="0"/>
    <n v="0"/>
    <n v="0"/>
    <n v="0"/>
  </r>
  <r>
    <n v="2849"/>
    <s v="Female"/>
    <n v="51"/>
    <x v="1"/>
    <x v="3"/>
    <n v="245"/>
    <n v="63"/>
    <n v="0.57999999999999996"/>
    <s v="Mobile"/>
    <n v="0"/>
    <n v="1"/>
    <n v="1"/>
    <n v="4.99"/>
    <n v="4.99"/>
  </r>
  <r>
    <n v="2850"/>
    <s v="Male"/>
    <n v="32"/>
    <x v="5"/>
    <x v="2"/>
    <n v="193"/>
    <n v="7"/>
    <n v="0.51"/>
    <s v="Mobile"/>
    <n v="0"/>
    <n v="1"/>
    <n v="1"/>
    <n v="9.99"/>
    <n v="9.99"/>
  </r>
  <r>
    <n v="2851"/>
    <s v="Female"/>
    <n v="30"/>
    <x v="7"/>
    <x v="2"/>
    <n v="279"/>
    <n v="32"/>
    <n v="0.59"/>
    <s v="Web"/>
    <n v="0"/>
    <n v="1"/>
    <n v="0"/>
    <n v="9.99"/>
    <n v="0"/>
  </r>
  <r>
    <n v="2852"/>
    <s v="Female"/>
    <n v="25"/>
    <x v="4"/>
    <x v="2"/>
    <n v="205"/>
    <n v="39"/>
    <n v="0.55000000000000004"/>
    <s v="Web"/>
    <n v="0"/>
    <n v="1"/>
    <n v="0"/>
    <n v="9.99"/>
    <n v="0"/>
  </r>
  <r>
    <n v="2853"/>
    <s v="Other"/>
    <n v="44"/>
    <x v="1"/>
    <x v="0"/>
    <n v="251"/>
    <n v="62"/>
    <n v="0.38"/>
    <s v="Web"/>
    <n v="5"/>
    <n v="0"/>
    <n v="0"/>
    <n v="0"/>
    <n v="0"/>
  </r>
  <r>
    <n v="2854"/>
    <s v="Female"/>
    <n v="18"/>
    <x v="4"/>
    <x v="0"/>
    <n v="190"/>
    <n v="41"/>
    <n v="0.3"/>
    <s v="Web"/>
    <n v="21"/>
    <n v="0"/>
    <n v="0"/>
    <n v="0"/>
    <n v="0"/>
  </r>
  <r>
    <n v="2855"/>
    <s v="Other"/>
    <n v="57"/>
    <x v="4"/>
    <x v="2"/>
    <n v="184"/>
    <n v="98"/>
    <n v="0.28000000000000003"/>
    <s v="Web"/>
    <n v="0"/>
    <n v="1"/>
    <n v="1"/>
    <n v="9.99"/>
    <n v="9.99"/>
  </r>
  <r>
    <n v="2856"/>
    <s v="Male"/>
    <n v="32"/>
    <x v="1"/>
    <x v="1"/>
    <n v="267"/>
    <n v="14"/>
    <n v="0.56000000000000005"/>
    <s v="Mobile"/>
    <n v="0"/>
    <n v="1"/>
    <n v="0"/>
    <n v="14.99"/>
    <n v="0"/>
  </r>
  <r>
    <n v="2857"/>
    <s v="Male"/>
    <n v="25"/>
    <x v="2"/>
    <x v="1"/>
    <n v="118"/>
    <n v="76"/>
    <n v="0.27"/>
    <s v="Desktop"/>
    <n v="0"/>
    <n v="1"/>
    <n v="0"/>
    <n v="14.99"/>
    <n v="0"/>
  </r>
  <r>
    <n v="2858"/>
    <s v="Female"/>
    <n v="40"/>
    <x v="3"/>
    <x v="0"/>
    <n v="96"/>
    <n v="7"/>
    <n v="0.21"/>
    <s v="Mobile"/>
    <n v="35"/>
    <n v="0"/>
    <n v="0"/>
    <n v="0"/>
    <n v="0"/>
  </r>
  <r>
    <n v="2859"/>
    <s v="Other"/>
    <n v="33"/>
    <x v="0"/>
    <x v="1"/>
    <n v="172"/>
    <n v="35"/>
    <n v="0.56000000000000005"/>
    <s v="Web"/>
    <n v="0"/>
    <n v="1"/>
    <n v="0"/>
    <n v="14.99"/>
    <n v="0"/>
  </r>
  <r>
    <n v="2860"/>
    <s v="Female"/>
    <n v="42"/>
    <x v="6"/>
    <x v="3"/>
    <n v="10"/>
    <n v="38"/>
    <n v="0.3"/>
    <s v="Desktop"/>
    <n v="0"/>
    <n v="1"/>
    <n v="0"/>
    <n v="4.99"/>
    <n v="0"/>
  </r>
  <r>
    <n v="2861"/>
    <s v="Female"/>
    <n v="39"/>
    <x v="4"/>
    <x v="0"/>
    <n v="45"/>
    <n v="19"/>
    <n v="0.51"/>
    <s v="Desktop"/>
    <n v="13"/>
    <n v="0"/>
    <n v="0"/>
    <n v="0"/>
    <n v="0"/>
  </r>
  <r>
    <n v="2862"/>
    <s v="Other"/>
    <n v="52"/>
    <x v="4"/>
    <x v="0"/>
    <n v="50"/>
    <n v="13"/>
    <n v="0.21"/>
    <s v="Desktop"/>
    <n v="23"/>
    <n v="0"/>
    <n v="0"/>
    <n v="0"/>
    <n v="0"/>
  </r>
  <r>
    <n v="2863"/>
    <s v="Other"/>
    <n v="26"/>
    <x v="1"/>
    <x v="0"/>
    <n v="183"/>
    <n v="48"/>
    <n v="0.43"/>
    <s v="Mobile"/>
    <n v="41"/>
    <n v="0"/>
    <n v="0"/>
    <n v="0"/>
    <n v="0"/>
  </r>
  <r>
    <n v="2864"/>
    <s v="Female"/>
    <n v="38"/>
    <x v="1"/>
    <x v="1"/>
    <n v="213"/>
    <n v="19"/>
    <n v="0.09"/>
    <s v="Desktop"/>
    <n v="0"/>
    <n v="1"/>
    <n v="0"/>
    <n v="14.99"/>
    <n v="0"/>
  </r>
  <r>
    <n v="2865"/>
    <s v="Female"/>
    <n v="39"/>
    <x v="4"/>
    <x v="1"/>
    <n v="211"/>
    <n v="60"/>
    <n v="0.16"/>
    <s v="Desktop"/>
    <n v="0"/>
    <n v="1"/>
    <n v="1"/>
    <n v="14.99"/>
    <n v="14.99"/>
  </r>
  <r>
    <n v="2866"/>
    <s v="Male"/>
    <n v="57"/>
    <x v="5"/>
    <x v="0"/>
    <n v="59"/>
    <n v="87"/>
    <n v="0.24"/>
    <s v="Web"/>
    <n v="16"/>
    <n v="0"/>
    <n v="0"/>
    <n v="0"/>
    <n v="0"/>
  </r>
  <r>
    <n v="2867"/>
    <s v="Other"/>
    <n v="44"/>
    <x v="2"/>
    <x v="1"/>
    <n v="161"/>
    <n v="72"/>
    <n v="0.32"/>
    <s v="Web"/>
    <n v="0"/>
    <n v="1"/>
    <n v="1"/>
    <n v="14.99"/>
    <n v="14.99"/>
  </r>
  <r>
    <n v="2868"/>
    <s v="Other"/>
    <n v="36"/>
    <x v="4"/>
    <x v="3"/>
    <n v="103"/>
    <n v="95"/>
    <n v="0"/>
    <s v="Mobile"/>
    <n v="0"/>
    <n v="1"/>
    <n v="0"/>
    <n v="4.99"/>
    <n v="0"/>
  </r>
  <r>
    <n v="2869"/>
    <s v="Female"/>
    <n v="34"/>
    <x v="6"/>
    <x v="2"/>
    <n v="89"/>
    <n v="24"/>
    <n v="0.44"/>
    <s v="Mobile"/>
    <n v="0"/>
    <n v="1"/>
    <n v="1"/>
    <n v="9.99"/>
    <n v="9.99"/>
  </r>
  <r>
    <n v="2870"/>
    <s v="Other"/>
    <n v="44"/>
    <x v="1"/>
    <x v="1"/>
    <n v="137"/>
    <n v="2"/>
    <n v="0.13"/>
    <s v="Web"/>
    <n v="0"/>
    <n v="1"/>
    <n v="0"/>
    <n v="14.99"/>
    <n v="0"/>
  </r>
  <r>
    <n v="2871"/>
    <s v="Female"/>
    <n v="23"/>
    <x v="4"/>
    <x v="2"/>
    <n v="257"/>
    <n v="58"/>
    <n v="0.35"/>
    <s v="Web"/>
    <n v="0"/>
    <n v="1"/>
    <n v="0"/>
    <n v="9.99"/>
    <n v="0"/>
  </r>
  <r>
    <n v="2872"/>
    <s v="Female"/>
    <n v="33"/>
    <x v="7"/>
    <x v="1"/>
    <n v="148"/>
    <n v="48"/>
    <n v="0.3"/>
    <s v="Web"/>
    <n v="0"/>
    <n v="1"/>
    <n v="1"/>
    <n v="14.99"/>
    <n v="14.99"/>
  </r>
  <r>
    <n v="2873"/>
    <s v="Male"/>
    <n v="53"/>
    <x v="3"/>
    <x v="3"/>
    <n v="295"/>
    <n v="88"/>
    <n v="0.42"/>
    <s v="Desktop"/>
    <n v="0"/>
    <n v="1"/>
    <n v="0"/>
    <n v="4.99"/>
    <n v="0"/>
  </r>
  <r>
    <n v="2874"/>
    <s v="Male"/>
    <n v="44"/>
    <x v="0"/>
    <x v="2"/>
    <n v="114"/>
    <n v="96"/>
    <n v="0.04"/>
    <s v="Desktop"/>
    <n v="0"/>
    <n v="1"/>
    <n v="0"/>
    <n v="9.99"/>
    <n v="0"/>
  </r>
  <r>
    <n v="2875"/>
    <s v="Male"/>
    <n v="53"/>
    <x v="3"/>
    <x v="0"/>
    <n v="167"/>
    <n v="18"/>
    <n v="0.14000000000000001"/>
    <s v="Desktop"/>
    <n v="9"/>
    <n v="0"/>
    <n v="0"/>
    <n v="0"/>
    <n v="0"/>
  </r>
  <r>
    <n v="2876"/>
    <s v="Other"/>
    <n v="38"/>
    <x v="3"/>
    <x v="1"/>
    <n v="255"/>
    <n v="43"/>
    <n v="0.4"/>
    <s v="Desktop"/>
    <n v="0"/>
    <n v="1"/>
    <n v="0"/>
    <n v="14.99"/>
    <n v="0"/>
  </r>
  <r>
    <n v="2877"/>
    <s v="Other"/>
    <n v="21"/>
    <x v="6"/>
    <x v="0"/>
    <n v="266"/>
    <n v="15"/>
    <n v="0.41"/>
    <s v="Mobile"/>
    <n v="8"/>
    <n v="0"/>
    <n v="0"/>
    <n v="0"/>
    <n v="0"/>
  </r>
  <r>
    <n v="2878"/>
    <s v="Female"/>
    <n v="53"/>
    <x v="3"/>
    <x v="1"/>
    <n v="42"/>
    <n v="5"/>
    <n v="0.12"/>
    <s v="Web"/>
    <n v="0"/>
    <n v="1"/>
    <n v="0"/>
    <n v="14.99"/>
    <n v="0"/>
  </r>
  <r>
    <n v="2879"/>
    <s v="Other"/>
    <n v="54"/>
    <x v="0"/>
    <x v="2"/>
    <n v="52"/>
    <n v="4"/>
    <n v="0.55000000000000004"/>
    <s v="Web"/>
    <n v="0"/>
    <n v="1"/>
    <n v="0"/>
    <n v="9.99"/>
    <n v="0"/>
  </r>
  <r>
    <n v="2880"/>
    <s v="Other"/>
    <n v="57"/>
    <x v="1"/>
    <x v="3"/>
    <n v="67"/>
    <n v="58"/>
    <n v="0.31"/>
    <s v="Desktop"/>
    <n v="0"/>
    <n v="1"/>
    <n v="1"/>
    <n v="4.99"/>
    <n v="4.99"/>
  </r>
  <r>
    <n v="2881"/>
    <s v="Female"/>
    <n v="47"/>
    <x v="7"/>
    <x v="2"/>
    <n v="38"/>
    <n v="27"/>
    <n v="0.1"/>
    <s v="Web"/>
    <n v="0"/>
    <n v="1"/>
    <n v="0"/>
    <n v="9.99"/>
    <n v="0"/>
  </r>
  <r>
    <n v="2882"/>
    <s v="Male"/>
    <n v="22"/>
    <x v="0"/>
    <x v="0"/>
    <n v="259"/>
    <n v="43"/>
    <n v="0.32"/>
    <s v="Mobile"/>
    <n v="34"/>
    <n v="0"/>
    <n v="0"/>
    <n v="0"/>
    <n v="0"/>
  </r>
  <r>
    <n v="2883"/>
    <s v="Other"/>
    <n v="31"/>
    <x v="6"/>
    <x v="2"/>
    <n v="49"/>
    <n v="84"/>
    <n v="0.47"/>
    <s v="Web"/>
    <n v="0"/>
    <n v="1"/>
    <n v="0"/>
    <n v="9.99"/>
    <n v="0"/>
  </r>
  <r>
    <n v="2884"/>
    <s v="Other"/>
    <n v="37"/>
    <x v="6"/>
    <x v="1"/>
    <n v="205"/>
    <n v="88"/>
    <n v="0.35"/>
    <s v="Desktop"/>
    <n v="0"/>
    <n v="1"/>
    <n v="0"/>
    <n v="14.99"/>
    <n v="0"/>
  </r>
  <r>
    <n v="2885"/>
    <s v="Other"/>
    <n v="58"/>
    <x v="0"/>
    <x v="1"/>
    <n v="291"/>
    <n v="32"/>
    <n v="0.48"/>
    <s v="Mobile"/>
    <n v="0"/>
    <n v="1"/>
    <n v="0"/>
    <n v="14.99"/>
    <n v="0"/>
  </r>
  <r>
    <n v="2886"/>
    <s v="Female"/>
    <n v="49"/>
    <x v="3"/>
    <x v="2"/>
    <n v="86"/>
    <n v="67"/>
    <n v="0.19"/>
    <s v="Mobile"/>
    <n v="0"/>
    <n v="1"/>
    <n v="1"/>
    <n v="9.99"/>
    <n v="9.99"/>
  </r>
  <r>
    <n v="2887"/>
    <s v="Female"/>
    <n v="54"/>
    <x v="4"/>
    <x v="2"/>
    <n v="106"/>
    <n v="39"/>
    <n v="0.49"/>
    <s v="Desktop"/>
    <n v="0"/>
    <n v="1"/>
    <n v="1"/>
    <n v="9.99"/>
    <n v="9.99"/>
  </r>
  <r>
    <n v="2888"/>
    <s v="Male"/>
    <n v="16"/>
    <x v="2"/>
    <x v="3"/>
    <n v="230"/>
    <n v="28"/>
    <n v="0.57999999999999996"/>
    <s v="Web"/>
    <n v="0"/>
    <n v="1"/>
    <n v="0"/>
    <n v="4.99"/>
    <n v="0"/>
  </r>
  <r>
    <n v="2889"/>
    <s v="Male"/>
    <n v="24"/>
    <x v="4"/>
    <x v="3"/>
    <n v="123"/>
    <n v="92"/>
    <n v="0.33"/>
    <s v="Web"/>
    <n v="0"/>
    <n v="1"/>
    <n v="0"/>
    <n v="4.99"/>
    <n v="0"/>
  </r>
  <r>
    <n v="2890"/>
    <s v="Female"/>
    <n v="43"/>
    <x v="2"/>
    <x v="0"/>
    <n v="204"/>
    <n v="67"/>
    <n v="0.01"/>
    <s v="Desktop"/>
    <n v="20"/>
    <n v="0"/>
    <n v="0"/>
    <n v="0"/>
    <n v="0"/>
  </r>
  <r>
    <n v="2891"/>
    <s v="Female"/>
    <n v="28"/>
    <x v="1"/>
    <x v="3"/>
    <n v="252"/>
    <n v="5"/>
    <n v="0.4"/>
    <s v="Desktop"/>
    <n v="0"/>
    <n v="1"/>
    <n v="0"/>
    <n v="4.99"/>
    <n v="0"/>
  </r>
  <r>
    <n v="2892"/>
    <s v="Male"/>
    <n v="23"/>
    <x v="0"/>
    <x v="1"/>
    <n v="249"/>
    <n v="79"/>
    <n v="0.04"/>
    <s v="Web"/>
    <n v="0"/>
    <n v="1"/>
    <n v="0"/>
    <n v="14.99"/>
    <n v="0"/>
  </r>
  <r>
    <n v="2893"/>
    <s v="Other"/>
    <n v="46"/>
    <x v="1"/>
    <x v="0"/>
    <n v="296"/>
    <n v="95"/>
    <n v="0.19"/>
    <s v="Desktop"/>
    <n v="12"/>
    <n v="0"/>
    <n v="0"/>
    <n v="0"/>
    <n v="0"/>
  </r>
  <r>
    <n v="2894"/>
    <s v="Other"/>
    <n v="18"/>
    <x v="1"/>
    <x v="1"/>
    <n v="257"/>
    <n v="2"/>
    <n v="0.04"/>
    <s v="Mobile"/>
    <n v="0"/>
    <n v="1"/>
    <n v="1"/>
    <n v="14.99"/>
    <n v="14.99"/>
  </r>
  <r>
    <n v="2895"/>
    <s v="Female"/>
    <n v="47"/>
    <x v="2"/>
    <x v="0"/>
    <n v="257"/>
    <n v="98"/>
    <n v="0"/>
    <s v="Mobile"/>
    <n v="45"/>
    <n v="0"/>
    <n v="0"/>
    <n v="0"/>
    <n v="0"/>
  </r>
  <r>
    <n v="2896"/>
    <s v="Male"/>
    <n v="55"/>
    <x v="3"/>
    <x v="0"/>
    <n v="134"/>
    <n v="40"/>
    <n v="0.09"/>
    <s v="Web"/>
    <n v="10"/>
    <n v="0"/>
    <n v="0"/>
    <n v="0"/>
    <n v="0"/>
  </r>
  <r>
    <n v="2897"/>
    <s v="Other"/>
    <n v="34"/>
    <x v="4"/>
    <x v="2"/>
    <n v="297"/>
    <n v="56"/>
    <n v="0.49"/>
    <s v="Desktop"/>
    <n v="0"/>
    <n v="1"/>
    <n v="0"/>
    <n v="9.99"/>
    <n v="0"/>
  </r>
  <r>
    <n v="2898"/>
    <s v="Male"/>
    <n v="49"/>
    <x v="0"/>
    <x v="1"/>
    <n v="192"/>
    <n v="26"/>
    <n v="0.21"/>
    <s v="Web"/>
    <n v="0"/>
    <n v="1"/>
    <n v="0"/>
    <n v="14.99"/>
    <n v="0"/>
  </r>
  <r>
    <n v="2899"/>
    <s v="Female"/>
    <n v="45"/>
    <x v="6"/>
    <x v="1"/>
    <n v="83"/>
    <n v="55"/>
    <n v="0.56999999999999995"/>
    <s v="Web"/>
    <n v="0"/>
    <n v="1"/>
    <n v="0"/>
    <n v="14.99"/>
    <n v="0"/>
  </r>
  <r>
    <n v="2900"/>
    <s v="Male"/>
    <n v="54"/>
    <x v="3"/>
    <x v="2"/>
    <n v="223"/>
    <n v="73"/>
    <n v="0.36"/>
    <s v="Mobile"/>
    <n v="0"/>
    <n v="1"/>
    <n v="0"/>
    <n v="9.99"/>
    <n v="0"/>
  </r>
  <r>
    <n v="2901"/>
    <s v="Other"/>
    <n v="26"/>
    <x v="5"/>
    <x v="3"/>
    <n v="105"/>
    <n v="39"/>
    <n v="0.19"/>
    <s v="Web"/>
    <n v="0"/>
    <n v="1"/>
    <n v="0"/>
    <n v="4.99"/>
    <n v="0"/>
  </r>
  <r>
    <n v="2902"/>
    <s v="Other"/>
    <n v="58"/>
    <x v="0"/>
    <x v="2"/>
    <n v="215"/>
    <n v="14"/>
    <n v="0.41"/>
    <s v="Mobile"/>
    <n v="0"/>
    <n v="1"/>
    <n v="0"/>
    <n v="9.99"/>
    <n v="0"/>
  </r>
  <r>
    <n v="2903"/>
    <s v="Female"/>
    <n v="29"/>
    <x v="5"/>
    <x v="0"/>
    <n v="212"/>
    <n v="94"/>
    <n v="0.47"/>
    <s v="Desktop"/>
    <n v="5"/>
    <n v="0"/>
    <n v="1"/>
    <n v="0"/>
    <n v="0"/>
  </r>
  <r>
    <n v="2904"/>
    <s v="Female"/>
    <n v="38"/>
    <x v="5"/>
    <x v="2"/>
    <n v="178"/>
    <n v="12"/>
    <n v="0.22"/>
    <s v="Desktop"/>
    <n v="0"/>
    <n v="1"/>
    <n v="0"/>
    <n v="9.99"/>
    <n v="0"/>
  </r>
  <r>
    <n v="2905"/>
    <s v="Female"/>
    <n v="50"/>
    <x v="3"/>
    <x v="2"/>
    <n v="158"/>
    <n v="61"/>
    <n v="0.25"/>
    <s v="Mobile"/>
    <n v="0"/>
    <n v="1"/>
    <n v="0"/>
    <n v="9.99"/>
    <n v="0"/>
  </r>
  <r>
    <n v="2906"/>
    <s v="Female"/>
    <n v="24"/>
    <x v="4"/>
    <x v="0"/>
    <n v="15"/>
    <n v="86"/>
    <n v="0.54"/>
    <s v="Web"/>
    <n v="38"/>
    <n v="0"/>
    <n v="0"/>
    <n v="0"/>
    <n v="0"/>
  </r>
  <r>
    <n v="2907"/>
    <s v="Female"/>
    <n v="39"/>
    <x v="7"/>
    <x v="0"/>
    <n v="247"/>
    <n v="41"/>
    <n v="0.17"/>
    <s v="Desktop"/>
    <n v="23"/>
    <n v="0"/>
    <n v="0"/>
    <n v="0"/>
    <n v="0"/>
  </r>
  <r>
    <n v="2908"/>
    <s v="Other"/>
    <n v="16"/>
    <x v="6"/>
    <x v="1"/>
    <n v="153"/>
    <n v="14"/>
    <n v="0.46"/>
    <s v="Mobile"/>
    <n v="0"/>
    <n v="1"/>
    <n v="0"/>
    <n v="14.99"/>
    <n v="0"/>
  </r>
  <r>
    <n v="2909"/>
    <s v="Female"/>
    <n v="22"/>
    <x v="6"/>
    <x v="0"/>
    <n v="245"/>
    <n v="50"/>
    <n v="0.01"/>
    <s v="Web"/>
    <n v="47"/>
    <n v="0"/>
    <n v="0"/>
    <n v="0"/>
    <n v="0"/>
  </r>
  <r>
    <n v="2910"/>
    <s v="Male"/>
    <n v="57"/>
    <x v="3"/>
    <x v="3"/>
    <n v="203"/>
    <n v="42"/>
    <n v="0.15"/>
    <s v="Desktop"/>
    <n v="0"/>
    <n v="1"/>
    <n v="1"/>
    <n v="4.99"/>
    <n v="4.99"/>
  </r>
  <r>
    <n v="2911"/>
    <s v="Other"/>
    <n v="28"/>
    <x v="7"/>
    <x v="0"/>
    <n v="78"/>
    <n v="55"/>
    <n v="0.56999999999999995"/>
    <s v="Desktop"/>
    <n v="9"/>
    <n v="0"/>
    <n v="1"/>
    <n v="0"/>
    <n v="0"/>
  </r>
  <r>
    <n v="2912"/>
    <s v="Other"/>
    <n v="48"/>
    <x v="4"/>
    <x v="2"/>
    <n v="108"/>
    <n v="86"/>
    <n v="0.35"/>
    <s v="Mobile"/>
    <n v="0"/>
    <n v="1"/>
    <n v="0"/>
    <n v="9.99"/>
    <n v="0"/>
  </r>
  <r>
    <n v="2913"/>
    <s v="Female"/>
    <n v="48"/>
    <x v="6"/>
    <x v="1"/>
    <n v="47"/>
    <n v="86"/>
    <n v="0.57999999999999996"/>
    <s v="Web"/>
    <n v="0"/>
    <n v="1"/>
    <n v="0"/>
    <n v="14.99"/>
    <n v="0"/>
  </r>
  <r>
    <n v="2914"/>
    <s v="Other"/>
    <n v="46"/>
    <x v="3"/>
    <x v="1"/>
    <n v="145"/>
    <n v="13"/>
    <n v="0.55000000000000004"/>
    <s v="Mobile"/>
    <n v="0"/>
    <n v="1"/>
    <n v="0"/>
    <n v="14.99"/>
    <n v="0"/>
  </r>
  <r>
    <n v="2915"/>
    <s v="Female"/>
    <n v="46"/>
    <x v="0"/>
    <x v="2"/>
    <n v="81"/>
    <n v="66"/>
    <n v="0.34"/>
    <s v="Desktop"/>
    <n v="0"/>
    <n v="1"/>
    <n v="1"/>
    <n v="9.99"/>
    <n v="9.99"/>
  </r>
  <r>
    <n v="2916"/>
    <s v="Other"/>
    <n v="36"/>
    <x v="3"/>
    <x v="1"/>
    <n v="32"/>
    <n v="98"/>
    <n v="0.54"/>
    <s v="Web"/>
    <n v="0"/>
    <n v="1"/>
    <n v="0"/>
    <n v="14.99"/>
    <n v="0"/>
  </r>
  <r>
    <n v="2917"/>
    <s v="Male"/>
    <n v="37"/>
    <x v="4"/>
    <x v="3"/>
    <n v="242"/>
    <n v="56"/>
    <n v="0.37"/>
    <s v="Desktop"/>
    <n v="0"/>
    <n v="1"/>
    <n v="0"/>
    <n v="4.99"/>
    <n v="0"/>
  </r>
  <r>
    <n v="2918"/>
    <s v="Other"/>
    <n v="25"/>
    <x v="5"/>
    <x v="0"/>
    <n v="177"/>
    <n v="10"/>
    <n v="0.06"/>
    <s v="Web"/>
    <n v="35"/>
    <n v="0"/>
    <n v="0"/>
    <n v="0"/>
    <n v="0"/>
  </r>
  <r>
    <n v="2919"/>
    <s v="Female"/>
    <n v="21"/>
    <x v="3"/>
    <x v="2"/>
    <n v="283"/>
    <n v="26"/>
    <n v="0.09"/>
    <s v="Mobile"/>
    <n v="0"/>
    <n v="1"/>
    <n v="0"/>
    <n v="9.99"/>
    <n v="0"/>
  </r>
  <r>
    <n v="2920"/>
    <s v="Male"/>
    <n v="29"/>
    <x v="3"/>
    <x v="2"/>
    <n v="261"/>
    <n v="91"/>
    <n v="0.36"/>
    <s v="Mobile"/>
    <n v="0"/>
    <n v="1"/>
    <n v="1"/>
    <n v="9.99"/>
    <n v="9.99"/>
  </r>
  <r>
    <n v="2921"/>
    <s v="Female"/>
    <n v="52"/>
    <x v="5"/>
    <x v="2"/>
    <n v="158"/>
    <n v="22"/>
    <n v="0.32"/>
    <s v="Desktop"/>
    <n v="0"/>
    <n v="1"/>
    <n v="0"/>
    <n v="9.99"/>
    <n v="0"/>
  </r>
  <r>
    <n v="2922"/>
    <s v="Male"/>
    <n v="30"/>
    <x v="0"/>
    <x v="2"/>
    <n v="248"/>
    <n v="29"/>
    <n v="0.49"/>
    <s v="Mobile"/>
    <n v="0"/>
    <n v="1"/>
    <n v="0"/>
    <n v="9.99"/>
    <n v="0"/>
  </r>
  <r>
    <n v="2923"/>
    <s v="Other"/>
    <n v="26"/>
    <x v="3"/>
    <x v="0"/>
    <n v="174"/>
    <n v="54"/>
    <n v="0.18"/>
    <s v="Mobile"/>
    <n v="8"/>
    <n v="0"/>
    <n v="0"/>
    <n v="0"/>
    <n v="0"/>
  </r>
  <r>
    <n v="2924"/>
    <s v="Other"/>
    <n v="16"/>
    <x v="4"/>
    <x v="0"/>
    <n v="184"/>
    <n v="56"/>
    <n v="0.52"/>
    <s v="Mobile"/>
    <n v="12"/>
    <n v="0"/>
    <n v="1"/>
    <n v="0"/>
    <n v="0"/>
  </r>
  <r>
    <n v="2925"/>
    <s v="Female"/>
    <n v="42"/>
    <x v="5"/>
    <x v="3"/>
    <n v="101"/>
    <n v="58"/>
    <n v="0.48"/>
    <s v="Mobile"/>
    <n v="0"/>
    <n v="1"/>
    <n v="0"/>
    <n v="4.99"/>
    <n v="0"/>
  </r>
  <r>
    <n v="2926"/>
    <s v="Male"/>
    <n v="59"/>
    <x v="2"/>
    <x v="1"/>
    <n v="33"/>
    <n v="10"/>
    <n v="0.52"/>
    <s v="Desktop"/>
    <n v="0"/>
    <n v="1"/>
    <n v="0"/>
    <n v="14.99"/>
    <n v="0"/>
  </r>
  <r>
    <n v="2927"/>
    <s v="Male"/>
    <n v="48"/>
    <x v="3"/>
    <x v="1"/>
    <n v="228"/>
    <n v="56"/>
    <n v="0.41"/>
    <s v="Desktop"/>
    <n v="0"/>
    <n v="1"/>
    <n v="1"/>
    <n v="14.99"/>
    <n v="14.99"/>
  </r>
  <r>
    <n v="2928"/>
    <s v="Other"/>
    <n v="25"/>
    <x v="2"/>
    <x v="1"/>
    <n v="216"/>
    <n v="91"/>
    <n v="0.13"/>
    <s v="Web"/>
    <n v="0"/>
    <n v="1"/>
    <n v="0"/>
    <n v="14.99"/>
    <n v="0"/>
  </r>
  <r>
    <n v="2929"/>
    <s v="Female"/>
    <n v="47"/>
    <x v="0"/>
    <x v="1"/>
    <n v="297"/>
    <n v="71"/>
    <n v="0.13"/>
    <s v="Web"/>
    <n v="0"/>
    <n v="1"/>
    <n v="0"/>
    <n v="14.99"/>
    <n v="0"/>
  </r>
  <r>
    <n v="2930"/>
    <s v="Female"/>
    <n v="25"/>
    <x v="2"/>
    <x v="0"/>
    <n v="198"/>
    <n v="5"/>
    <n v="0.1"/>
    <s v="Desktop"/>
    <n v="14"/>
    <n v="0"/>
    <n v="0"/>
    <n v="0"/>
    <n v="0"/>
  </r>
  <r>
    <n v="2931"/>
    <s v="Other"/>
    <n v="30"/>
    <x v="3"/>
    <x v="3"/>
    <n v="28"/>
    <n v="72"/>
    <n v="0.46"/>
    <s v="Mobile"/>
    <n v="0"/>
    <n v="1"/>
    <n v="0"/>
    <n v="4.99"/>
    <n v="0"/>
  </r>
  <r>
    <n v="2932"/>
    <s v="Male"/>
    <n v="31"/>
    <x v="5"/>
    <x v="2"/>
    <n v="81"/>
    <n v="14"/>
    <n v="0.46"/>
    <s v="Desktop"/>
    <n v="0"/>
    <n v="1"/>
    <n v="1"/>
    <n v="9.99"/>
    <n v="9.99"/>
  </r>
  <r>
    <n v="2933"/>
    <s v="Female"/>
    <n v="37"/>
    <x v="7"/>
    <x v="2"/>
    <n v="237"/>
    <n v="97"/>
    <n v="0.53"/>
    <s v="Mobile"/>
    <n v="0"/>
    <n v="1"/>
    <n v="0"/>
    <n v="9.99"/>
    <n v="0"/>
  </r>
  <r>
    <n v="2934"/>
    <s v="Male"/>
    <n v="40"/>
    <x v="3"/>
    <x v="3"/>
    <n v="240"/>
    <n v="42"/>
    <n v="0.05"/>
    <s v="Mobile"/>
    <n v="0"/>
    <n v="1"/>
    <n v="0"/>
    <n v="4.99"/>
    <n v="0"/>
  </r>
  <r>
    <n v="2935"/>
    <s v="Other"/>
    <n v="24"/>
    <x v="1"/>
    <x v="0"/>
    <n v="163"/>
    <n v="9"/>
    <n v="0.22"/>
    <s v="Web"/>
    <n v="25"/>
    <n v="0"/>
    <n v="0"/>
    <n v="0"/>
    <n v="0"/>
  </r>
  <r>
    <n v="2936"/>
    <s v="Female"/>
    <n v="40"/>
    <x v="5"/>
    <x v="3"/>
    <n v="164"/>
    <n v="46"/>
    <n v="0.28000000000000003"/>
    <s v="Web"/>
    <n v="0"/>
    <n v="1"/>
    <n v="0"/>
    <n v="4.99"/>
    <n v="0"/>
  </r>
  <r>
    <n v="2937"/>
    <s v="Other"/>
    <n v="57"/>
    <x v="0"/>
    <x v="1"/>
    <n v="203"/>
    <n v="11"/>
    <n v="0.54"/>
    <s v="Mobile"/>
    <n v="0"/>
    <n v="1"/>
    <n v="0"/>
    <n v="14.99"/>
    <n v="0"/>
  </r>
  <r>
    <n v="2938"/>
    <s v="Other"/>
    <n v="40"/>
    <x v="7"/>
    <x v="2"/>
    <n v="61"/>
    <n v="28"/>
    <n v="0.49"/>
    <s v="Mobile"/>
    <n v="0"/>
    <n v="1"/>
    <n v="1"/>
    <n v="9.99"/>
    <n v="9.99"/>
  </r>
  <r>
    <n v="2939"/>
    <s v="Other"/>
    <n v="41"/>
    <x v="7"/>
    <x v="2"/>
    <n v="136"/>
    <n v="77"/>
    <n v="0.23"/>
    <s v="Mobile"/>
    <n v="0"/>
    <n v="1"/>
    <n v="0"/>
    <n v="9.99"/>
    <n v="0"/>
  </r>
  <r>
    <n v="2940"/>
    <s v="Male"/>
    <n v="31"/>
    <x v="6"/>
    <x v="0"/>
    <n v="41"/>
    <n v="59"/>
    <n v="0.22"/>
    <s v="Desktop"/>
    <n v="28"/>
    <n v="0"/>
    <n v="0"/>
    <n v="0"/>
    <n v="0"/>
  </r>
  <r>
    <n v="2941"/>
    <s v="Female"/>
    <n v="59"/>
    <x v="4"/>
    <x v="0"/>
    <n v="198"/>
    <n v="94"/>
    <n v="0.21"/>
    <s v="Web"/>
    <n v="28"/>
    <n v="0"/>
    <n v="0"/>
    <n v="0"/>
    <n v="0"/>
  </r>
  <r>
    <n v="2942"/>
    <s v="Other"/>
    <n v="44"/>
    <x v="0"/>
    <x v="3"/>
    <n v="232"/>
    <n v="39"/>
    <n v="0.54"/>
    <s v="Mobile"/>
    <n v="0"/>
    <n v="1"/>
    <n v="0"/>
    <n v="4.99"/>
    <n v="0"/>
  </r>
  <r>
    <n v="2943"/>
    <s v="Female"/>
    <n v="33"/>
    <x v="3"/>
    <x v="3"/>
    <n v="107"/>
    <n v="18"/>
    <n v="0.42"/>
    <s v="Mobile"/>
    <n v="0"/>
    <n v="1"/>
    <n v="1"/>
    <n v="4.99"/>
    <n v="4.99"/>
  </r>
  <r>
    <n v="2944"/>
    <s v="Female"/>
    <n v="32"/>
    <x v="6"/>
    <x v="3"/>
    <n v="208"/>
    <n v="76"/>
    <n v="0.19"/>
    <s v="Mobile"/>
    <n v="0"/>
    <n v="1"/>
    <n v="0"/>
    <n v="4.99"/>
    <n v="0"/>
  </r>
  <r>
    <n v="2945"/>
    <s v="Male"/>
    <n v="38"/>
    <x v="1"/>
    <x v="2"/>
    <n v="243"/>
    <n v="76"/>
    <n v="0.12"/>
    <s v="Mobile"/>
    <n v="0"/>
    <n v="1"/>
    <n v="0"/>
    <n v="9.99"/>
    <n v="0"/>
  </r>
  <r>
    <n v="2946"/>
    <s v="Female"/>
    <n v="52"/>
    <x v="1"/>
    <x v="1"/>
    <n v="16"/>
    <n v="88"/>
    <n v="0.49"/>
    <s v="Desktop"/>
    <n v="0"/>
    <n v="1"/>
    <n v="0"/>
    <n v="14.99"/>
    <n v="0"/>
  </r>
  <r>
    <n v="2947"/>
    <s v="Female"/>
    <n v="22"/>
    <x v="6"/>
    <x v="3"/>
    <n v="208"/>
    <n v="19"/>
    <n v="0.36"/>
    <s v="Web"/>
    <n v="0"/>
    <n v="1"/>
    <n v="0"/>
    <n v="4.99"/>
    <n v="0"/>
  </r>
  <r>
    <n v="2948"/>
    <s v="Female"/>
    <n v="52"/>
    <x v="6"/>
    <x v="3"/>
    <n v="111"/>
    <n v="33"/>
    <n v="0.16"/>
    <s v="Mobile"/>
    <n v="0"/>
    <n v="1"/>
    <n v="0"/>
    <n v="4.99"/>
    <n v="0"/>
  </r>
  <r>
    <n v="2949"/>
    <s v="Female"/>
    <n v="51"/>
    <x v="4"/>
    <x v="2"/>
    <n v="288"/>
    <n v="32"/>
    <n v="7.0000000000000007E-2"/>
    <s v="Mobile"/>
    <n v="0"/>
    <n v="1"/>
    <n v="0"/>
    <n v="9.99"/>
    <n v="0"/>
  </r>
  <r>
    <n v="2950"/>
    <s v="Female"/>
    <n v="29"/>
    <x v="2"/>
    <x v="2"/>
    <n v="124"/>
    <n v="55"/>
    <n v="0.19"/>
    <s v="Desktop"/>
    <n v="0"/>
    <n v="1"/>
    <n v="1"/>
    <n v="9.99"/>
    <n v="9.99"/>
  </r>
  <r>
    <n v="2951"/>
    <s v="Male"/>
    <n v="35"/>
    <x v="4"/>
    <x v="0"/>
    <n v="252"/>
    <n v="14"/>
    <n v="0.59"/>
    <s v="Web"/>
    <n v="27"/>
    <n v="0"/>
    <n v="0"/>
    <n v="0"/>
    <n v="0"/>
  </r>
  <r>
    <n v="2952"/>
    <s v="Female"/>
    <n v="23"/>
    <x v="7"/>
    <x v="3"/>
    <n v="192"/>
    <n v="36"/>
    <n v="0.3"/>
    <s v="Desktop"/>
    <n v="0"/>
    <n v="1"/>
    <n v="0"/>
    <n v="4.99"/>
    <n v="0"/>
  </r>
  <r>
    <n v="2953"/>
    <s v="Other"/>
    <n v="34"/>
    <x v="3"/>
    <x v="3"/>
    <n v="122"/>
    <n v="9"/>
    <n v="0.53"/>
    <s v="Mobile"/>
    <n v="0"/>
    <n v="1"/>
    <n v="1"/>
    <n v="4.99"/>
    <n v="4.99"/>
  </r>
  <r>
    <n v="2954"/>
    <s v="Female"/>
    <n v="57"/>
    <x v="3"/>
    <x v="1"/>
    <n v="190"/>
    <n v="68"/>
    <n v="0.34"/>
    <s v="Desktop"/>
    <n v="0"/>
    <n v="1"/>
    <n v="0"/>
    <n v="14.99"/>
    <n v="0"/>
  </r>
  <r>
    <n v="2955"/>
    <s v="Other"/>
    <n v="51"/>
    <x v="0"/>
    <x v="1"/>
    <n v="81"/>
    <n v="53"/>
    <n v="0.37"/>
    <s v="Desktop"/>
    <n v="0"/>
    <n v="1"/>
    <n v="0"/>
    <n v="14.99"/>
    <n v="0"/>
  </r>
  <r>
    <n v="2956"/>
    <s v="Female"/>
    <n v="19"/>
    <x v="5"/>
    <x v="1"/>
    <n v="138"/>
    <n v="62"/>
    <n v="0.17"/>
    <s v="Desktop"/>
    <n v="0"/>
    <n v="1"/>
    <n v="1"/>
    <n v="14.99"/>
    <n v="14.99"/>
  </r>
  <r>
    <n v="2957"/>
    <s v="Other"/>
    <n v="38"/>
    <x v="4"/>
    <x v="0"/>
    <n v="272"/>
    <n v="39"/>
    <n v="0.31"/>
    <s v="Web"/>
    <n v="44"/>
    <n v="0"/>
    <n v="0"/>
    <n v="0"/>
    <n v="0"/>
  </r>
  <r>
    <n v="2958"/>
    <s v="Other"/>
    <n v="40"/>
    <x v="1"/>
    <x v="1"/>
    <n v="299"/>
    <n v="43"/>
    <n v="0.09"/>
    <s v="Mobile"/>
    <n v="0"/>
    <n v="1"/>
    <n v="1"/>
    <n v="14.99"/>
    <n v="14.99"/>
  </r>
  <r>
    <n v="2959"/>
    <s v="Other"/>
    <n v="29"/>
    <x v="1"/>
    <x v="1"/>
    <n v="195"/>
    <n v="71"/>
    <n v="0.57999999999999996"/>
    <s v="Desktop"/>
    <n v="0"/>
    <n v="1"/>
    <n v="1"/>
    <n v="14.99"/>
    <n v="14.99"/>
  </r>
  <r>
    <n v="2960"/>
    <s v="Female"/>
    <n v="34"/>
    <x v="7"/>
    <x v="0"/>
    <n v="129"/>
    <n v="42"/>
    <n v="0.27"/>
    <s v="Web"/>
    <n v="31"/>
    <n v="0"/>
    <n v="0"/>
    <n v="0"/>
    <n v="0"/>
  </r>
  <r>
    <n v="2961"/>
    <s v="Male"/>
    <n v="23"/>
    <x v="0"/>
    <x v="0"/>
    <n v="76"/>
    <n v="53"/>
    <n v="0.56999999999999995"/>
    <s v="Web"/>
    <n v="15"/>
    <n v="0"/>
    <n v="0"/>
    <n v="0"/>
    <n v="0"/>
  </r>
  <r>
    <n v="2962"/>
    <s v="Other"/>
    <n v="30"/>
    <x v="3"/>
    <x v="1"/>
    <n v="40"/>
    <n v="13"/>
    <n v="0.41"/>
    <s v="Desktop"/>
    <n v="0"/>
    <n v="1"/>
    <n v="0"/>
    <n v="14.99"/>
    <n v="0"/>
  </r>
  <r>
    <n v="2963"/>
    <s v="Female"/>
    <n v="49"/>
    <x v="1"/>
    <x v="1"/>
    <n v="275"/>
    <n v="74"/>
    <n v="0.42"/>
    <s v="Web"/>
    <n v="0"/>
    <n v="1"/>
    <n v="0"/>
    <n v="14.99"/>
    <n v="0"/>
  </r>
  <r>
    <n v="2964"/>
    <s v="Female"/>
    <n v="46"/>
    <x v="2"/>
    <x v="1"/>
    <n v="54"/>
    <n v="47"/>
    <n v="0.06"/>
    <s v="Web"/>
    <n v="0"/>
    <n v="1"/>
    <n v="0"/>
    <n v="14.99"/>
    <n v="0"/>
  </r>
  <r>
    <n v="2965"/>
    <s v="Male"/>
    <n v="36"/>
    <x v="2"/>
    <x v="0"/>
    <n v="243"/>
    <n v="24"/>
    <n v="0.22"/>
    <s v="Desktop"/>
    <n v="22"/>
    <n v="0"/>
    <n v="0"/>
    <n v="0"/>
    <n v="0"/>
  </r>
  <r>
    <n v="2966"/>
    <s v="Male"/>
    <n v="27"/>
    <x v="0"/>
    <x v="3"/>
    <n v="196"/>
    <n v="23"/>
    <n v="0.59"/>
    <s v="Mobile"/>
    <n v="0"/>
    <n v="1"/>
    <n v="1"/>
    <n v="4.99"/>
    <n v="4.99"/>
  </r>
  <r>
    <n v="2967"/>
    <s v="Female"/>
    <n v="34"/>
    <x v="2"/>
    <x v="3"/>
    <n v="36"/>
    <n v="87"/>
    <n v="0.2"/>
    <s v="Mobile"/>
    <n v="0"/>
    <n v="1"/>
    <n v="0"/>
    <n v="4.99"/>
    <n v="0"/>
  </r>
  <r>
    <n v="2968"/>
    <s v="Male"/>
    <n v="37"/>
    <x v="7"/>
    <x v="2"/>
    <n v="280"/>
    <n v="55"/>
    <n v="0.28999999999999998"/>
    <s v="Desktop"/>
    <n v="0"/>
    <n v="1"/>
    <n v="0"/>
    <n v="9.99"/>
    <n v="0"/>
  </r>
  <r>
    <n v="2969"/>
    <s v="Female"/>
    <n v="38"/>
    <x v="5"/>
    <x v="2"/>
    <n v="229"/>
    <n v="73"/>
    <n v="0.55000000000000004"/>
    <s v="Mobile"/>
    <n v="0"/>
    <n v="1"/>
    <n v="1"/>
    <n v="9.99"/>
    <n v="9.99"/>
  </r>
  <r>
    <n v="2970"/>
    <s v="Male"/>
    <n v="36"/>
    <x v="7"/>
    <x v="1"/>
    <n v="147"/>
    <n v="36"/>
    <n v="0.38"/>
    <s v="Mobile"/>
    <n v="0"/>
    <n v="1"/>
    <n v="1"/>
    <n v="14.99"/>
    <n v="14.99"/>
  </r>
  <r>
    <n v="2971"/>
    <s v="Male"/>
    <n v="56"/>
    <x v="7"/>
    <x v="2"/>
    <n v="126"/>
    <n v="46"/>
    <n v="0.33"/>
    <s v="Mobile"/>
    <n v="0"/>
    <n v="1"/>
    <n v="0"/>
    <n v="9.99"/>
    <n v="0"/>
  </r>
  <r>
    <n v="2972"/>
    <s v="Male"/>
    <n v="35"/>
    <x v="0"/>
    <x v="3"/>
    <n v="288"/>
    <n v="65"/>
    <n v="0.54"/>
    <s v="Desktop"/>
    <n v="0"/>
    <n v="1"/>
    <n v="0"/>
    <n v="4.99"/>
    <n v="0"/>
  </r>
  <r>
    <n v="2973"/>
    <s v="Female"/>
    <n v="22"/>
    <x v="5"/>
    <x v="0"/>
    <n v="181"/>
    <n v="7"/>
    <n v="0.48"/>
    <s v="Web"/>
    <n v="18"/>
    <n v="0"/>
    <n v="1"/>
    <n v="0"/>
    <n v="0"/>
  </r>
  <r>
    <n v="2974"/>
    <s v="Other"/>
    <n v="44"/>
    <x v="1"/>
    <x v="3"/>
    <n v="124"/>
    <n v="88"/>
    <n v="0.18"/>
    <s v="Desktop"/>
    <n v="0"/>
    <n v="1"/>
    <n v="0"/>
    <n v="4.99"/>
    <n v="0"/>
  </r>
  <r>
    <n v="2975"/>
    <s v="Male"/>
    <n v="45"/>
    <x v="7"/>
    <x v="0"/>
    <n v="86"/>
    <n v="54"/>
    <n v="0.38"/>
    <s v="Desktop"/>
    <n v="41"/>
    <n v="0"/>
    <n v="0"/>
    <n v="0"/>
    <n v="0"/>
  </r>
  <r>
    <n v="2976"/>
    <s v="Other"/>
    <n v="39"/>
    <x v="7"/>
    <x v="1"/>
    <n v="124"/>
    <n v="79"/>
    <n v="0.28000000000000003"/>
    <s v="Web"/>
    <n v="0"/>
    <n v="1"/>
    <n v="0"/>
    <n v="14.99"/>
    <n v="0"/>
  </r>
  <r>
    <n v="2977"/>
    <s v="Female"/>
    <n v="41"/>
    <x v="4"/>
    <x v="3"/>
    <n v="127"/>
    <n v="5"/>
    <n v="0.38"/>
    <s v="Web"/>
    <n v="0"/>
    <n v="1"/>
    <n v="1"/>
    <n v="4.99"/>
    <n v="4.99"/>
  </r>
  <r>
    <n v="2978"/>
    <s v="Other"/>
    <n v="52"/>
    <x v="7"/>
    <x v="3"/>
    <n v="187"/>
    <n v="94"/>
    <n v="0.47"/>
    <s v="Web"/>
    <n v="0"/>
    <n v="1"/>
    <n v="0"/>
    <n v="4.99"/>
    <n v="0"/>
  </r>
  <r>
    <n v="2979"/>
    <s v="Female"/>
    <n v="26"/>
    <x v="2"/>
    <x v="1"/>
    <n v="19"/>
    <n v="99"/>
    <n v="0.5"/>
    <s v="Web"/>
    <n v="0"/>
    <n v="1"/>
    <n v="0"/>
    <n v="14.99"/>
    <n v="0"/>
  </r>
  <r>
    <n v="2980"/>
    <s v="Male"/>
    <n v="18"/>
    <x v="2"/>
    <x v="0"/>
    <n v="234"/>
    <n v="69"/>
    <n v="0.26"/>
    <s v="Web"/>
    <n v="44"/>
    <n v="0"/>
    <n v="1"/>
    <n v="0"/>
    <n v="0"/>
  </r>
  <r>
    <n v="2981"/>
    <s v="Male"/>
    <n v="41"/>
    <x v="5"/>
    <x v="3"/>
    <n v="90"/>
    <n v="87"/>
    <n v="0.26"/>
    <s v="Mobile"/>
    <n v="0"/>
    <n v="1"/>
    <n v="0"/>
    <n v="4.99"/>
    <n v="0"/>
  </r>
  <r>
    <n v="2982"/>
    <s v="Other"/>
    <n v="29"/>
    <x v="7"/>
    <x v="1"/>
    <n v="74"/>
    <n v="99"/>
    <n v="0.49"/>
    <s v="Desktop"/>
    <n v="0"/>
    <n v="1"/>
    <n v="1"/>
    <n v="14.99"/>
    <n v="14.99"/>
  </r>
  <r>
    <n v="2983"/>
    <s v="Male"/>
    <n v="51"/>
    <x v="7"/>
    <x v="0"/>
    <n v="228"/>
    <n v="36"/>
    <n v="0.23"/>
    <s v="Web"/>
    <n v="21"/>
    <n v="0"/>
    <n v="1"/>
    <n v="0"/>
    <n v="0"/>
  </r>
  <r>
    <n v="2984"/>
    <s v="Male"/>
    <n v="42"/>
    <x v="0"/>
    <x v="3"/>
    <n v="43"/>
    <n v="35"/>
    <n v="0.57999999999999996"/>
    <s v="Desktop"/>
    <n v="0"/>
    <n v="1"/>
    <n v="1"/>
    <n v="4.99"/>
    <n v="4.99"/>
  </r>
  <r>
    <n v="2985"/>
    <s v="Male"/>
    <n v="55"/>
    <x v="4"/>
    <x v="1"/>
    <n v="50"/>
    <n v="96"/>
    <n v="0.22"/>
    <s v="Web"/>
    <n v="0"/>
    <n v="1"/>
    <n v="0"/>
    <n v="14.99"/>
    <n v="0"/>
  </r>
  <r>
    <n v="2986"/>
    <s v="Other"/>
    <n v="33"/>
    <x v="3"/>
    <x v="1"/>
    <n v="107"/>
    <n v="79"/>
    <n v="0.21"/>
    <s v="Mobile"/>
    <n v="0"/>
    <n v="1"/>
    <n v="0"/>
    <n v="14.99"/>
    <n v="0"/>
  </r>
  <r>
    <n v="2987"/>
    <s v="Other"/>
    <n v="57"/>
    <x v="5"/>
    <x v="1"/>
    <n v="204"/>
    <n v="48"/>
    <n v="0.11"/>
    <s v="Desktop"/>
    <n v="0"/>
    <n v="1"/>
    <n v="0"/>
    <n v="14.99"/>
    <n v="0"/>
  </r>
  <r>
    <n v="2988"/>
    <s v="Other"/>
    <n v="32"/>
    <x v="6"/>
    <x v="2"/>
    <n v="95"/>
    <n v="90"/>
    <n v="0.44"/>
    <s v="Web"/>
    <n v="0"/>
    <n v="1"/>
    <n v="1"/>
    <n v="9.99"/>
    <n v="9.99"/>
  </r>
  <r>
    <n v="2989"/>
    <s v="Male"/>
    <n v="28"/>
    <x v="4"/>
    <x v="0"/>
    <n v="156"/>
    <n v="14"/>
    <n v="0.15"/>
    <s v="Mobile"/>
    <n v="38"/>
    <n v="0"/>
    <n v="0"/>
    <n v="0"/>
    <n v="0"/>
  </r>
  <r>
    <n v="2990"/>
    <s v="Other"/>
    <n v="29"/>
    <x v="5"/>
    <x v="2"/>
    <n v="284"/>
    <n v="44"/>
    <n v="0.34"/>
    <s v="Web"/>
    <n v="0"/>
    <n v="1"/>
    <n v="0"/>
    <n v="9.99"/>
    <n v="0"/>
  </r>
  <r>
    <n v="2991"/>
    <s v="Other"/>
    <n v="56"/>
    <x v="5"/>
    <x v="0"/>
    <n v="136"/>
    <n v="16"/>
    <n v="0.11"/>
    <s v="Web"/>
    <n v="30"/>
    <n v="0"/>
    <n v="0"/>
    <n v="0"/>
    <n v="0"/>
  </r>
  <r>
    <n v="2992"/>
    <s v="Male"/>
    <n v="51"/>
    <x v="7"/>
    <x v="3"/>
    <n v="259"/>
    <n v="36"/>
    <n v="0.27"/>
    <s v="Web"/>
    <n v="0"/>
    <n v="1"/>
    <n v="0"/>
    <n v="4.99"/>
    <n v="0"/>
  </r>
  <r>
    <n v="2993"/>
    <s v="Female"/>
    <n v="39"/>
    <x v="4"/>
    <x v="3"/>
    <n v="172"/>
    <n v="8"/>
    <n v="0.19"/>
    <s v="Web"/>
    <n v="0"/>
    <n v="1"/>
    <n v="1"/>
    <n v="4.99"/>
    <n v="4.99"/>
  </r>
  <r>
    <n v="2994"/>
    <s v="Female"/>
    <n v="59"/>
    <x v="5"/>
    <x v="3"/>
    <n v="138"/>
    <n v="3"/>
    <n v="0.16"/>
    <s v="Desktop"/>
    <n v="0"/>
    <n v="1"/>
    <n v="1"/>
    <n v="4.99"/>
    <n v="4.99"/>
  </r>
  <r>
    <n v="2995"/>
    <s v="Male"/>
    <n v="37"/>
    <x v="4"/>
    <x v="2"/>
    <n v="135"/>
    <n v="10"/>
    <n v="0.28999999999999998"/>
    <s v="Desktop"/>
    <n v="0"/>
    <n v="1"/>
    <n v="0"/>
    <n v="9.99"/>
    <n v="0"/>
  </r>
  <r>
    <n v="2996"/>
    <s v="Female"/>
    <n v="56"/>
    <x v="5"/>
    <x v="3"/>
    <n v="167"/>
    <n v="51"/>
    <n v="0.2"/>
    <s v="Web"/>
    <n v="0"/>
    <n v="1"/>
    <n v="0"/>
    <n v="4.99"/>
    <n v="0"/>
  </r>
  <r>
    <n v="2997"/>
    <s v="Other"/>
    <n v="18"/>
    <x v="3"/>
    <x v="0"/>
    <n v="271"/>
    <n v="42"/>
    <n v="0.31"/>
    <s v="Desktop"/>
    <n v="16"/>
    <n v="0"/>
    <n v="0"/>
    <n v="0"/>
    <n v="0"/>
  </r>
  <r>
    <n v="2998"/>
    <s v="Female"/>
    <n v="29"/>
    <x v="2"/>
    <x v="2"/>
    <n v="271"/>
    <n v="64"/>
    <n v="0.34"/>
    <s v="Mobile"/>
    <n v="0"/>
    <n v="1"/>
    <n v="0"/>
    <n v="9.99"/>
    <n v="0"/>
  </r>
  <r>
    <n v="2999"/>
    <s v="Other"/>
    <n v="39"/>
    <x v="6"/>
    <x v="3"/>
    <n v="193"/>
    <n v="49"/>
    <n v="0.2"/>
    <s v="Mobile"/>
    <n v="0"/>
    <n v="1"/>
    <n v="1"/>
    <n v="4.99"/>
    <n v="4.99"/>
  </r>
  <r>
    <n v="3000"/>
    <s v="Male"/>
    <n v="45"/>
    <x v="3"/>
    <x v="1"/>
    <n v="146"/>
    <n v="76"/>
    <n v="0.56999999999999995"/>
    <s v="Web"/>
    <n v="0"/>
    <n v="1"/>
    <n v="1"/>
    <n v="14.99"/>
    <n v="14.99"/>
  </r>
  <r>
    <n v="3001"/>
    <s v="Male"/>
    <n v="25"/>
    <x v="2"/>
    <x v="0"/>
    <n v="276"/>
    <n v="15"/>
    <n v="0.18"/>
    <s v="Desktop"/>
    <n v="47"/>
    <n v="0"/>
    <n v="0"/>
    <n v="0"/>
    <n v="0"/>
  </r>
  <r>
    <n v="3002"/>
    <s v="Male"/>
    <n v="19"/>
    <x v="3"/>
    <x v="2"/>
    <n v="276"/>
    <n v="72"/>
    <n v="0.2"/>
    <s v="Web"/>
    <n v="0"/>
    <n v="1"/>
    <n v="0"/>
    <n v="9.99"/>
    <n v="0"/>
  </r>
  <r>
    <n v="3003"/>
    <s v="Other"/>
    <n v="31"/>
    <x v="4"/>
    <x v="3"/>
    <n v="82"/>
    <n v="37"/>
    <n v="0.56000000000000005"/>
    <s v="Desktop"/>
    <n v="0"/>
    <n v="1"/>
    <n v="0"/>
    <n v="4.99"/>
    <n v="0"/>
  </r>
  <r>
    <n v="3004"/>
    <s v="Male"/>
    <n v="40"/>
    <x v="0"/>
    <x v="2"/>
    <n v="250"/>
    <n v="45"/>
    <n v="0.15"/>
    <s v="Mobile"/>
    <n v="0"/>
    <n v="1"/>
    <n v="0"/>
    <n v="9.99"/>
    <n v="0"/>
  </r>
  <r>
    <n v="3005"/>
    <s v="Female"/>
    <n v="22"/>
    <x v="7"/>
    <x v="0"/>
    <n v="60"/>
    <n v="46"/>
    <n v="0.02"/>
    <s v="Desktop"/>
    <n v="31"/>
    <n v="0"/>
    <n v="0"/>
    <n v="0"/>
    <n v="0"/>
  </r>
  <r>
    <n v="3006"/>
    <s v="Other"/>
    <n v="54"/>
    <x v="7"/>
    <x v="0"/>
    <n v="115"/>
    <n v="84"/>
    <n v="0.28000000000000003"/>
    <s v="Desktop"/>
    <n v="6"/>
    <n v="0"/>
    <n v="0"/>
    <n v="0"/>
    <n v="0"/>
  </r>
  <r>
    <n v="3007"/>
    <s v="Other"/>
    <n v="50"/>
    <x v="3"/>
    <x v="1"/>
    <n v="104"/>
    <n v="13"/>
    <n v="0.21"/>
    <s v="Mobile"/>
    <n v="0"/>
    <n v="1"/>
    <n v="1"/>
    <n v="14.99"/>
    <n v="14.99"/>
  </r>
  <r>
    <n v="3008"/>
    <s v="Male"/>
    <n v="53"/>
    <x v="2"/>
    <x v="1"/>
    <n v="219"/>
    <n v="61"/>
    <n v="0.23"/>
    <s v="Desktop"/>
    <n v="0"/>
    <n v="1"/>
    <n v="1"/>
    <n v="14.99"/>
    <n v="14.99"/>
  </r>
  <r>
    <n v="3009"/>
    <s v="Female"/>
    <n v="54"/>
    <x v="6"/>
    <x v="0"/>
    <n v="109"/>
    <n v="89"/>
    <n v="0.21"/>
    <s v="Mobile"/>
    <n v="30"/>
    <n v="0"/>
    <n v="0"/>
    <n v="0"/>
    <n v="0"/>
  </r>
  <r>
    <n v="3010"/>
    <s v="Male"/>
    <n v="47"/>
    <x v="2"/>
    <x v="1"/>
    <n v="163"/>
    <n v="50"/>
    <n v="0.05"/>
    <s v="Desktop"/>
    <n v="0"/>
    <n v="1"/>
    <n v="1"/>
    <n v="14.99"/>
    <n v="14.99"/>
  </r>
  <r>
    <n v="3011"/>
    <s v="Other"/>
    <n v="35"/>
    <x v="6"/>
    <x v="0"/>
    <n v="265"/>
    <n v="25"/>
    <n v="0.22"/>
    <s v="Web"/>
    <n v="48"/>
    <n v="0"/>
    <n v="0"/>
    <n v="0"/>
    <n v="0"/>
  </r>
  <r>
    <n v="3012"/>
    <s v="Male"/>
    <n v="29"/>
    <x v="2"/>
    <x v="2"/>
    <n v="117"/>
    <n v="26"/>
    <n v="0.13"/>
    <s v="Web"/>
    <n v="0"/>
    <n v="1"/>
    <n v="0"/>
    <n v="9.99"/>
    <n v="0"/>
  </r>
  <r>
    <n v="3013"/>
    <s v="Other"/>
    <n v="54"/>
    <x v="6"/>
    <x v="2"/>
    <n v="219"/>
    <n v="22"/>
    <n v="0.38"/>
    <s v="Desktop"/>
    <n v="0"/>
    <n v="1"/>
    <n v="0"/>
    <n v="9.99"/>
    <n v="0"/>
  </r>
  <r>
    <n v="3014"/>
    <s v="Female"/>
    <n v="47"/>
    <x v="3"/>
    <x v="2"/>
    <n v="15"/>
    <n v="7"/>
    <n v="0.04"/>
    <s v="Mobile"/>
    <n v="0"/>
    <n v="1"/>
    <n v="0"/>
    <n v="9.99"/>
    <n v="0"/>
  </r>
  <r>
    <n v="3015"/>
    <s v="Female"/>
    <n v="19"/>
    <x v="1"/>
    <x v="0"/>
    <n v="87"/>
    <n v="61"/>
    <n v="0.45"/>
    <s v="Web"/>
    <n v="16"/>
    <n v="0"/>
    <n v="0"/>
    <n v="0"/>
    <n v="0"/>
  </r>
  <r>
    <n v="3016"/>
    <s v="Male"/>
    <n v="37"/>
    <x v="2"/>
    <x v="3"/>
    <n v="50"/>
    <n v="53"/>
    <n v="0.42"/>
    <s v="Web"/>
    <n v="0"/>
    <n v="1"/>
    <n v="0"/>
    <n v="4.99"/>
    <n v="0"/>
  </r>
  <r>
    <n v="3017"/>
    <s v="Male"/>
    <n v="48"/>
    <x v="4"/>
    <x v="3"/>
    <n v="130"/>
    <n v="3"/>
    <n v="0.3"/>
    <s v="Desktop"/>
    <n v="0"/>
    <n v="1"/>
    <n v="0"/>
    <n v="4.99"/>
    <n v="0"/>
  </r>
  <r>
    <n v="3018"/>
    <s v="Male"/>
    <n v="41"/>
    <x v="0"/>
    <x v="1"/>
    <n v="104"/>
    <n v="56"/>
    <n v="0.17"/>
    <s v="Web"/>
    <n v="0"/>
    <n v="1"/>
    <n v="1"/>
    <n v="14.99"/>
    <n v="14.99"/>
  </r>
  <r>
    <n v="3019"/>
    <s v="Other"/>
    <n v="55"/>
    <x v="2"/>
    <x v="3"/>
    <n v="166"/>
    <n v="17"/>
    <n v="0.13"/>
    <s v="Desktop"/>
    <n v="0"/>
    <n v="1"/>
    <n v="1"/>
    <n v="4.99"/>
    <n v="4.99"/>
  </r>
  <r>
    <n v="3020"/>
    <s v="Male"/>
    <n v="28"/>
    <x v="2"/>
    <x v="1"/>
    <n v="126"/>
    <n v="59"/>
    <n v="0.36"/>
    <s v="Mobile"/>
    <n v="0"/>
    <n v="1"/>
    <n v="0"/>
    <n v="14.99"/>
    <n v="0"/>
  </r>
  <r>
    <n v="3021"/>
    <s v="Other"/>
    <n v="38"/>
    <x v="4"/>
    <x v="3"/>
    <n v="148"/>
    <n v="82"/>
    <n v="0.31"/>
    <s v="Desktop"/>
    <n v="0"/>
    <n v="1"/>
    <n v="1"/>
    <n v="4.99"/>
    <n v="4.99"/>
  </r>
  <r>
    <n v="3022"/>
    <s v="Male"/>
    <n v="54"/>
    <x v="7"/>
    <x v="1"/>
    <n v="193"/>
    <n v="50"/>
    <n v="0.15"/>
    <s v="Mobile"/>
    <n v="0"/>
    <n v="1"/>
    <n v="1"/>
    <n v="14.99"/>
    <n v="14.99"/>
  </r>
  <r>
    <n v="3023"/>
    <s v="Female"/>
    <n v="30"/>
    <x v="0"/>
    <x v="1"/>
    <n v="294"/>
    <n v="40"/>
    <n v="0.54"/>
    <s v="Web"/>
    <n v="0"/>
    <n v="1"/>
    <n v="0"/>
    <n v="14.99"/>
    <n v="0"/>
  </r>
  <r>
    <n v="3024"/>
    <s v="Female"/>
    <n v="56"/>
    <x v="6"/>
    <x v="2"/>
    <n v="51"/>
    <n v="43"/>
    <n v="0.45"/>
    <s v="Web"/>
    <n v="0"/>
    <n v="1"/>
    <n v="0"/>
    <n v="9.99"/>
    <n v="0"/>
  </r>
  <r>
    <n v="3025"/>
    <s v="Male"/>
    <n v="43"/>
    <x v="2"/>
    <x v="1"/>
    <n v="252"/>
    <n v="51"/>
    <n v="0.42"/>
    <s v="Mobile"/>
    <n v="0"/>
    <n v="1"/>
    <n v="0"/>
    <n v="14.99"/>
    <n v="0"/>
  </r>
  <r>
    <n v="3026"/>
    <s v="Female"/>
    <n v="43"/>
    <x v="2"/>
    <x v="0"/>
    <n v="215"/>
    <n v="71"/>
    <n v="0.55000000000000004"/>
    <s v="Web"/>
    <n v="42"/>
    <n v="0"/>
    <n v="0"/>
    <n v="0"/>
    <n v="0"/>
  </r>
  <r>
    <n v="3027"/>
    <s v="Other"/>
    <n v="54"/>
    <x v="4"/>
    <x v="2"/>
    <n v="173"/>
    <n v="43"/>
    <n v="0.18"/>
    <s v="Mobile"/>
    <n v="0"/>
    <n v="1"/>
    <n v="0"/>
    <n v="9.99"/>
    <n v="0"/>
  </r>
  <r>
    <n v="3028"/>
    <s v="Other"/>
    <n v="39"/>
    <x v="7"/>
    <x v="1"/>
    <n v="207"/>
    <n v="98"/>
    <n v="0.6"/>
    <s v="Mobile"/>
    <n v="0"/>
    <n v="1"/>
    <n v="1"/>
    <n v="14.99"/>
    <n v="14.99"/>
  </r>
  <r>
    <n v="3029"/>
    <s v="Other"/>
    <n v="28"/>
    <x v="5"/>
    <x v="1"/>
    <n v="205"/>
    <n v="60"/>
    <n v="0.32"/>
    <s v="Mobile"/>
    <n v="0"/>
    <n v="1"/>
    <n v="0"/>
    <n v="14.99"/>
    <n v="0"/>
  </r>
  <r>
    <n v="3030"/>
    <s v="Female"/>
    <n v="34"/>
    <x v="7"/>
    <x v="0"/>
    <n v="76"/>
    <n v="23"/>
    <n v="0.03"/>
    <s v="Web"/>
    <n v="48"/>
    <n v="0"/>
    <n v="0"/>
    <n v="0"/>
    <n v="0"/>
  </r>
  <r>
    <n v="3031"/>
    <s v="Male"/>
    <n v="21"/>
    <x v="0"/>
    <x v="0"/>
    <n v="200"/>
    <n v="34"/>
    <n v="0.48"/>
    <s v="Web"/>
    <n v="28"/>
    <n v="0"/>
    <n v="0"/>
    <n v="0"/>
    <n v="0"/>
  </r>
  <r>
    <n v="3032"/>
    <s v="Male"/>
    <n v="19"/>
    <x v="1"/>
    <x v="3"/>
    <n v="170"/>
    <n v="84"/>
    <n v="0.43"/>
    <s v="Mobile"/>
    <n v="0"/>
    <n v="1"/>
    <n v="0"/>
    <n v="4.99"/>
    <n v="0"/>
  </r>
  <r>
    <n v="3033"/>
    <s v="Female"/>
    <n v="26"/>
    <x v="7"/>
    <x v="2"/>
    <n v="107"/>
    <n v="24"/>
    <n v="0.08"/>
    <s v="Mobile"/>
    <n v="0"/>
    <n v="1"/>
    <n v="1"/>
    <n v="9.99"/>
    <n v="9.99"/>
  </r>
  <r>
    <n v="3034"/>
    <s v="Other"/>
    <n v="57"/>
    <x v="3"/>
    <x v="2"/>
    <n v="96"/>
    <n v="72"/>
    <n v="0.19"/>
    <s v="Desktop"/>
    <n v="0"/>
    <n v="1"/>
    <n v="0"/>
    <n v="9.99"/>
    <n v="0"/>
  </r>
  <r>
    <n v="3035"/>
    <s v="Male"/>
    <n v="39"/>
    <x v="0"/>
    <x v="1"/>
    <n v="128"/>
    <n v="21"/>
    <n v="0.31"/>
    <s v="Desktop"/>
    <n v="0"/>
    <n v="1"/>
    <n v="0"/>
    <n v="14.99"/>
    <n v="0"/>
  </r>
  <r>
    <n v="3036"/>
    <s v="Female"/>
    <n v="28"/>
    <x v="0"/>
    <x v="3"/>
    <n v="223"/>
    <n v="62"/>
    <n v="0.3"/>
    <s v="Web"/>
    <n v="0"/>
    <n v="1"/>
    <n v="0"/>
    <n v="4.99"/>
    <n v="0"/>
  </r>
  <r>
    <n v="3037"/>
    <s v="Other"/>
    <n v="30"/>
    <x v="1"/>
    <x v="2"/>
    <n v="230"/>
    <n v="48"/>
    <n v="0.54"/>
    <s v="Web"/>
    <n v="0"/>
    <n v="1"/>
    <n v="0"/>
    <n v="9.99"/>
    <n v="0"/>
  </r>
  <r>
    <n v="3038"/>
    <s v="Other"/>
    <n v="18"/>
    <x v="0"/>
    <x v="0"/>
    <n v="150"/>
    <n v="51"/>
    <n v="0.44"/>
    <s v="Web"/>
    <n v="14"/>
    <n v="0"/>
    <n v="0"/>
    <n v="0"/>
    <n v="0"/>
  </r>
  <r>
    <n v="3039"/>
    <s v="Male"/>
    <n v="51"/>
    <x v="7"/>
    <x v="0"/>
    <n v="251"/>
    <n v="10"/>
    <n v="0.23"/>
    <s v="Mobile"/>
    <n v="28"/>
    <n v="0"/>
    <n v="0"/>
    <n v="0"/>
    <n v="0"/>
  </r>
  <r>
    <n v="3040"/>
    <s v="Other"/>
    <n v="27"/>
    <x v="5"/>
    <x v="3"/>
    <n v="226"/>
    <n v="39"/>
    <n v="0.12"/>
    <s v="Web"/>
    <n v="0"/>
    <n v="1"/>
    <n v="0"/>
    <n v="4.99"/>
    <n v="0"/>
  </r>
  <r>
    <n v="3041"/>
    <s v="Other"/>
    <n v="42"/>
    <x v="0"/>
    <x v="0"/>
    <n v="211"/>
    <n v="15"/>
    <n v="0.23"/>
    <s v="Web"/>
    <n v="40"/>
    <n v="0"/>
    <n v="0"/>
    <n v="0"/>
    <n v="0"/>
  </r>
  <r>
    <n v="3042"/>
    <s v="Female"/>
    <n v="51"/>
    <x v="4"/>
    <x v="1"/>
    <n v="190"/>
    <n v="88"/>
    <n v="0.03"/>
    <s v="Web"/>
    <n v="0"/>
    <n v="1"/>
    <n v="0"/>
    <n v="14.99"/>
    <n v="0"/>
  </r>
  <r>
    <n v="3043"/>
    <s v="Other"/>
    <n v="51"/>
    <x v="6"/>
    <x v="3"/>
    <n v="192"/>
    <n v="47"/>
    <n v="0.15"/>
    <s v="Mobile"/>
    <n v="0"/>
    <n v="1"/>
    <n v="0"/>
    <n v="4.99"/>
    <n v="0"/>
  </r>
  <r>
    <n v="3044"/>
    <s v="Other"/>
    <n v="57"/>
    <x v="0"/>
    <x v="2"/>
    <n v="130"/>
    <n v="66"/>
    <n v="0.43"/>
    <s v="Mobile"/>
    <n v="0"/>
    <n v="1"/>
    <n v="0"/>
    <n v="9.99"/>
    <n v="0"/>
  </r>
  <r>
    <n v="3045"/>
    <s v="Other"/>
    <n v="22"/>
    <x v="4"/>
    <x v="1"/>
    <n v="113"/>
    <n v="89"/>
    <n v="0.31"/>
    <s v="Mobile"/>
    <n v="0"/>
    <n v="1"/>
    <n v="0"/>
    <n v="14.99"/>
    <n v="0"/>
  </r>
  <r>
    <n v="3046"/>
    <s v="Female"/>
    <n v="37"/>
    <x v="1"/>
    <x v="0"/>
    <n v="285"/>
    <n v="17"/>
    <n v="0.24"/>
    <s v="Desktop"/>
    <n v="11"/>
    <n v="0"/>
    <n v="0"/>
    <n v="0"/>
    <n v="0"/>
  </r>
  <r>
    <n v="3047"/>
    <s v="Male"/>
    <n v="34"/>
    <x v="3"/>
    <x v="1"/>
    <n v="200"/>
    <n v="39"/>
    <n v="7.0000000000000007E-2"/>
    <s v="Mobile"/>
    <n v="0"/>
    <n v="1"/>
    <n v="0"/>
    <n v="14.99"/>
    <n v="0"/>
  </r>
  <r>
    <n v="3048"/>
    <s v="Male"/>
    <n v="59"/>
    <x v="1"/>
    <x v="2"/>
    <n v="277"/>
    <n v="57"/>
    <n v="0.2"/>
    <s v="Mobile"/>
    <n v="0"/>
    <n v="1"/>
    <n v="1"/>
    <n v="9.99"/>
    <n v="9.99"/>
  </r>
  <r>
    <n v="3049"/>
    <s v="Male"/>
    <n v="21"/>
    <x v="3"/>
    <x v="1"/>
    <n v="269"/>
    <n v="4"/>
    <n v="0.4"/>
    <s v="Desktop"/>
    <n v="0"/>
    <n v="1"/>
    <n v="1"/>
    <n v="14.99"/>
    <n v="14.99"/>
  </r>
  <r>
    <n v="3050"/>
    <s v="Male"/>
    <n v="20"/>
    <x v="5"/>
    <x v="0"/>
    <n v="190"/>
    <n v="9"/>
    <n v="0.21"/>
    <s v="Web"/>
    <n v="15"/>
    <n v="0"/>
    <n v="1"/>
    <n v="0"/>
    <n v="0"/>
  </r>
  <r>
    <n v="3051"/>
    <s v="Male"/>
    <n v="52"/>
    <x v="6"/>
    <x v="2"/>
    <n v="70"/>
    <n v="80"/>
    <n v="0.27"/>
    <s v="Desktop"/>
    <n v="0"/>
    <n v="1"/>
    <n v="0"/>
    <n v="9.99"/>
    <n v="0"/>
  </r>
  <r>
    <n v="3052"/>
    <s v="Male"/>
    <n v="41"/>
    <x v="1"/>
    <x v="2"/>
    <n v="58"/>
    <n v="33"/>
    <n v="0.21"/>
    <s v="Desktop"/>
    <n v="0"/>
    <n v="1"/>
    <n v="1"/>
    <n v="9.99"/>
    <n v="9.99"/>
  </r>
  <r>
    <n v="3053"/>
    <s v="Female"/>
    <n v="51"/>
    <x v="5"/>
    <x v="0"/>
    <n v="206"/>
    <n v="49"/>
    <n v="0.55000000000000004"/>
    <s v="Web"/>
    <n v="43"/>
    <n v="0"/>
    <n v="0"/>
    <n v="0"/>
    <n v="0"/>
  </r>
  <r>
    <n v="3054"/>
    <s v="Other"/>
    <n v="55"/>
    <x v="2"/>
    <x v="3"/>
    <n v="54"/>
    <n v="12"/>
    <n v="0.46"/>
    <s v="Mobile"/>
    <n v="0"/>
    <n v="1"/>
    <n v="0"/>
    <n v="4.99"/>
    <n v="0"/>
  </r>
  <r>
    <n v="3055"/>
    <s v="Female"/>
    <n v="59"/>
    <x v="5"/>
    <x v="2"/>
    <n v="45"/>
    <n v="24"/>
    <n v="0.54"/>
    <s v="Mobile"/>
    <n v="0"/>
    <n v="1"/>
    <n v="0"/>
    <n v="9.99"/>
    <n v="0"/>
  </r>
  <r>
    <n v="3056"/>
    <s v="Female"/>
    <n v="56"/>
    <x v="7"/>
    <x v="1"/>
    <n v="276"/>
    <n v="51"/>
    <n v="0.09"/>
    <s v="Mobile"/>
    <n v="0"/>
    <n v="1"/>
    <n v="1"/>
    <n v="14.99"/>
    <n v="14.99"/>
  </r>
  <r>
    <n v="3057"/>
    <s v="Female"/>
    <n v="22"/>
    <x v="0"/>
    <x v="1"/>
    <n v="100"/>
    <n v="92"/>
    <n v="0.6"/>
    <s v="Desktop"/>
    <n v="0"/>
    <n v="1"/>
    <n v="0"/>
    <n v="14.99"/>
    <n v="0"/>
  </r>
  <r>
    <n v="3058"/>
    <s v="Female"/>
    <n v="20"/>
    <x v="4"/>
    <x v="3"/>
    <n v="213"/>
    <n v="39"/>
    <n v="0.39"/>
    <s v="Desktop"/>
    <n v="0"/>
    <n v="1"/>
    <n v="0"/>
    <n v="4.99"/>
    <n v="0"/>
  </r>
  <r>
    <n v="3059"/>
    <s v="Other"/>
    <n v="19"/>
    <x v="4"/>
    <x v="2"/>
    <n v="64"/>
    <n v="55"/>
    <n v="0.31"/>
    <s v="Mobile"/>
    <n v="0"/>
    <n v="1"/>
    <n v="0"/>
    <n v="9.99"/>
    <n v="0"/>
  </r>
  <r>
    <n v="3060"/>
    <s v="Male"/>
    <n v="42"/>
    <x v="5"/>
    <x v="3"/>
    <n v="92"/>
    <n v="25"/>
    <n v="0.13"/>
    <s v="Desktop"/>
    <n v="0"/>
    <n v="1"/>
    <n v="1"/>
    <n v="4.99"/>
    <n v="4.99"/>
  </r>
  <r>
    <n v="3061"/>
    <s v="Male"/>
    <n v="47"/>
    <x v="1"/>
    <x v="0"/>
    <n v="274"/>
    <n v="8"/>
    <n v="0.26"/>
    <s v="Mobile"/>
    <n v="8"/>
    <n v="0"/>
    <n v="0"/>
    <n v="0"/>
    <n v="0"/>
  </r>
  <r>
    <n v="3062"/>
    <s v="Other"/>
    <n v="54"/>
    <x v="3"/>
    <x v="1"/>
    <n v="218"/>
    <n v="6"/>
    <n v="0.26"/>
    <s v="Web"/>
    <n v="0"/>
    <n v="1"/>
    <n v="1"/>
    <n v="14.99"/>
    <n v="14.99"/>
  </r>
  <r>
    <n v="3063"/>
    <s v="Other"/>
    <n v="49"/>
    <x v="1"/>
    <x v="3"/>
    <n v="72"/>
    <n v="99"/>
    <n v="0.43"/>
    <s v="Desktop"/>
    <n v="0"/>
    <n v="1"/>
    <n v="0"/>
    <n v="4.99"/>
    <n v="0"/>
  </r>
  <r>
    <n v="3064"/>
    <s v="Other"/>
    <n v="43"/>
    <x v="2"/>
    <x v="2"/>
    <n v="92"/>
    <n v="91"/>
    <n v="0.21"/>
    <s v="Mobile"/>
    <n v="0"/>
    <n v="1"/>
    <n v="0"/>
    <n v="9.99"/>
    <n v="0"/>
  </r>
  <r>
    <n v="3065"/>
    <s v="Other"/>
    <n v="41"/>
    <x v="4"/>
    <x v="1"/>
    <n v="288"/>
    <n v="79"/>
    <n v="0.52"/>
    <s v="Desktop"/>
    <n v="0"/>
    <n v="1"/>
    <n v="0"/>
    <n v="14.99"/>
    <n v="0"/>
  </r>
  <r>
    <n v="3066"/>
    <s v="Female"/>
    <n v="30"/>
    <x v="7"/>
    <x v="1"/>
    <n v="234"/>
    <n v="13"/>
    <n v="0.16"/>
    <s v="Mobile"/>
    <n v="0"/>
    <n v="1"/>
    <n v="1"/>
    <n v="14.99"/>
    <n v="14.99"/>
  </r>
  <r>
    <n v="3067"/>
    <s v="Other"/>
    <n v="41"/>
    <x v="2"/>
    <x v="0"/>
    <n v="64"/>
    <n v="70"/>
    <n v="0.49"/>
    <s v="Desktop"/>
    <n v="18"/>
    <n v="0"/>
    <n v="0"/>
    <n v="0"/>
    <n v="0"/>
  </r>
  <r>
    <n v="3068"/>
    <s v="Female"/>
    <n v="43"/>
    <x v="5"/>
    <x v="0"/>
    <n v="36"/>
    <n v="41"/>
    <n v="7.0000000000000007E-2"/>
    <s v="Web"/>
    <n v="7"/>
    <n v="0"/>
    <n v="1"/>
    <n v="0"/>
    <n v="0"/>
  </r>
  <r>
    <n v="3069"/>
    <s v="Female"/>
    <n v="53"/>
    <x v="2"/>
    <x v="0"/>
    <n v="14"/>
    <n v="28"/>
    <n v="0.34"/>
    <s v="Mobile"/>
    <n v="39"/>
    <n v="0"/>
    <n v="1"/>
    <n v="0"/>
    <n v="0"/>
  </r>
  <r>
    <n v="3070"/>
    <s v="Other"/>
    <n v="24"/>
    <x v="5"/>
    <x v="0"/>
    <n v="59"/>
    <n v="96"/>
    <n v="0.39"/>
    <s v="Mobile"/>
    <n v="30"/>
    <n v="0"/>
    <n v="0"/>
    <n v="0"/>
    <n v="0"/>
  </r>
  <r>
    <n v="3071"/>
    <s v="Male"/>
    <n v="17"/>
    <x v="6"/>
    <x v="1"/>
    <n v="280"/>
    <n v="93"/>
    <n v="0.1"/>
    <s v="Desktop"/>
    <n v="0"/>
    <n v="1"/>
    <n v="0"/>
    <n v="14.99"/>
    <n v="0"/>
  </r>
  <r>
    <n v="3072"/>
    <s v="Female"/>
    <n v="32"/>
    <x v="6"/>
    <x v="2"/>
    <n v="247"/>
    <n v="42"/>
    <n v="0.48"/>
    <s v="Desktop"/>
    <n v="0"/>
    <n v="1"/>
    <n v="0"/>
    <n v="9.99"/>
    <n v="0"/>
  </r>
  <r>
    <n v="3073"/>
    <s v="Female"/>
    <n v="18"/>
    <x v="7"/>
    <x v="0"/>
    <n v="104"/>
    <n v="78"/>
    <n v="0.55000000000000004"/>
    <s v="Mobile"/>
    <n v="47"/>
    <n v="0"/>
    <n v="0"/>
    <n v="0"/>
    <n v="0"/>
  </r>
  <r>
    <n v="3074"/>
    <s v="Male"/>
    <n v="34"/>
    <x v="6"/>
    <x v="0"/>
    <n v="256"/>
    <n v="34"/>
    <n v="0.28000000000000003"/>
    <s v="Mobile"/>
    <n v="36"/>
    <n v="0"/>
    <n v="0"/>
    <n v="0"/>
    <n v="0"/>
  </r>
  <r>
    <n v="3075"/>
    <s v="Other"/>
    <n v="34"/>
    <x v="5"/>
    <x v="1"/>
    <n v="222"/>
    <n v="77"/>
    <n v="0.18"/>
    <s v="Web"/>
    <n v="0"/>
    <n v="1"/>
    <n v="0"/>
    <n v="14.99"/>
    <n v="0"/>
  </r>
  <r>
    <n v="3076"/>
    <s v="Female"/>
    <n v="56"/>
    <x v="1"/>
    <x v="0"/>
    <n v="246"/>
    <n v="17"/>
    <n v="0.52"/>
    <s v="Web"/>
    <n v="37"/>
    <n v="0"/>
    <n v="0"/>
    <n v="0"/>
    <n v="0"/>
  </r>
  <r>
    <n v="3077"/>
    <s v="Female"/>
    <n v="38"/>
    <x v="7"/>
    <x v="3"/>
    <n v="114"/>
    <n v="71"/>
    <n v="0.34"/>
    <s v="Mobile"/>
    <n v="0"/>
    <n v="1"/>
    <n v="0"/>
    <n v="4.99"/>
    <n v="0"/>
  </r>
  <r>
    <n v="3078"/>
    <s v="Other"/>
    <n v="50"/>
    <x v="4"/>
    <x v="3"/>
    <n v="179"/>
    <n v="35"/>
    <n v="0.08"/>
    <s v="Mobile"/>
    <n v="0"/>
    <n v="1"/>
    <n v="1"/>
    <n v="4.99"/>
    <n v="4.99"/>
  </r>
  <r>
    <n v="3079"/>
    <s v="Other"/>
    <n v="30"/>
    <x v="0"/>
    <x v="3"/>
    <n v="18"/>
    <n v="6"/>
    <n v="0.47"/>
    <s v="Desktop"/>
    <n v="0"/>
    <n v="1"/>
    <n v="0"/>
    <n v="4.99"/>
    <n v="0"/>
  </r>
  <r>
    <n v="3080"/>
    <s v="Male"/>
    <n v="51"/>
    <x v="7"/>
    <x v="3"/>
    <n v="87"/>
    <n v="65"/>
    <n v="0.32"/>
    <s v="Web"/>
    <n v="0"/>
    <n v="1"/>
    <n v="0"/>
    <n v="4.99"/>
    <n v="0"/>
  </r>
  <r>
    <n v="3081"/>
    <s v="Male"/>
    <n v="34"/>
    <x v="0"/>
    <x v="3"/>
    <n v="293"/>
    <n v="89"/>
    <n v="0.36"/>
    <s v="Web"/>
    <n v="0"/>
    <n v="1"/>
    <n v="0"/>
    <n v="4.99"/>
    <n v="0"/>
  </r>
  <r>
    <n v="3082"/>
    <s v="Other"/>
    <n v="18"/>
    <x v="5"/>
    <x v="2"/>
    <n v="12"/>
    <n v="70"/>
    <n v="0.46"/>
    <s v="Desktop"/>
    <n v="0"/>
    <n v="1"/>
    <n v="1"/>
    <n v="9.99"/>
    <n v="9.99"/>
  </r>
  <r>
    <n v="3083"/>
    <s v="Male"/>
    <n v="42"/>
    <x v="7"/>
    <x v="2"/>
    <n v="226"/>
    <n v="65"/>
    <n v="0.16"/>
    <s v="Desktop"/>
    <n v="0"/>
    <n v="1"/>
    <n v="0"/>
    <n v="9.99"/>
    <n v="0"/>
  </r>
  <r>
    <n v="3084"/>
    <s v="Female"/>
    <n v="23"/>
    <x v="7"/>
    <x v="3"/>
    <n v="128"/>
    <n v="55"/>
    <n v="0.28999999999999998"/>
    <s v="Desktop"/>
    <n v="0"/>
    <n v="1"/>
    <n v="0"/>
    <n v="4.99"/>
    <n v="0"/>
  </r>
  <r>
    <n v="3085"/>
    <s v="Male"/>
    <n v="18"/>
    <x v="3"/>
    <x v="2"/>
    <n v="97"/>
    <n v="24"/>
    <n v="0.49"/>
    <s v="Desktop"/>
    <n v="0"/>
    <n v="1"/>
    <n v="0"/>
    <n v="9.99"/>
    <n v="0"/>
  </r>
  <r>
    <n v="3086"/>
    <s v="Female"/>
    <n v="45"/>
    <x v="2"/>
    <x v="3"/>
    <n v="236"/>
    <n v="31"/>
    <n v="0.38"/>
    <s v="Desktop"/>
    <n v="0"/>
    <n v="1"/>
    <n v="0"/>
    <n v="4.99"/>
    <n v="0"/>
  </r>
  <r>
    <n v="3087"/>
    <s v="Male"/>
    <n v="26"/>
    <x v="1"/>
    <x v="1"/>
    <n v="110"/>
    <n v="58"/>
    <n v="0.19"/>
    <s v="Desktop"/>
    <n v="0"/>
    <n v="1"/>
    <n v="1"/>
    <n v="14.99"/>
    <n v="14.99"/>
  </r>
  <r>
    <n v="3088"/>
    <s v="Male"/>
    <n v="18"/>
    <x v="2"/>
    <x v="2"/>
    <n v="27"/>
    <n v="58"/>
    <n v="0.11"/>
    <s v="Desktop"/>
    <n v="0"/>
    <n v="1"/>
    <n v="0"/>
    <n v="9.99"/>
    <n v="0"/>
  </r>
  <r>
    <n v="3089"/>
    <s v="Female"/>
    <n v="50"/>
    <x v="5"/>
    <x v="0"/>
    <n v="40"/>
    <n v="88"/>
    <n v="0.2"/>
    <s v="Desktop"/>
    <n v="35"/>
    <n v="0"/>
    <n v="1"/>
    <n v="0"/>
    <n v="0"/>
  </r>
  <r>
    <n v="3090"/>
    <s v="Other"/>
    <n v="42"/>
    <x v="7"/>
    <x v="3"/>
    <n v="127"/>
    <n v="97"/>
    <n v="0.49"/>
    <s v="Desktop"/>
    <n v="0"/>
    <n v="1"/>
    <n v="0"/>
    <n v="4.99"/>
    <n v="0"/>
  </r>
  <r>
    <n v="3091"/>
    <s v="Female"/>
    <n v="40"/>
    <x v="6"/>
    <x v="1"/>
    <n v="213"/>
    <n v="29"/>
    <n v="0.18"/>
    <s v="Desktop"/>
    <n v="0"/>
    <n v="1"/>
    <n v="1"/>
    <n v="14.99"/>
    <n v="14.99"/>
  </r>
  <r>
    <n v="3092"/>
    <s v="Female"/>
    <n v="50"/>
    <x v="4"/>
    <x v="3"/>
    <n v="207"/>
    <n v="31"/>
    <n v="0.24"/>
    <s v="Desktop"/>
    <n v="0"/>
    <n v="1"/>
    <n v="0"/>
    <n v="4.99"/>
    <n v="0"/>
  </r>
  <r>
    <n v="3093"/>
    <s v="Male"/>
    <n v="28"/>
    <x v="3"/>
    <x v="3"/>
    <n v="88"/>
    <n v="44"/>
    <n v="0.49"/>
    <s v="Web"/>
    <n v="0"/>
    <n v="1"/>
    <n v="0"/>
    <n v="4.99"/>
    <n v="0"/>
  </r>
  <r>
    <n v="3094"/>
    <s v="Female"/>
    <n v="36"/>
    <x v="0"/>
    <x v="0"/>
    <n v="293"/>
    <n v="77"/>
    <n v="0.54"/>
    <s v="Desktop"/>
    <n v="22"/>
    <n v="0"/>
    <n v="0"/>
    <n v="0"/>
    <n v="0"/>
  </r>
  <r>
    <n v="3095"/>
    <s v="Male"/>
    <n v="24"/>
    <x v="6"/>
    <x v="0"/>
    <n v="191"/>
    <n v="85"/>
    <n v="0.5"/>
    <s v="Desktop"/>
    <n v="44"/>
    <n v="0"/>
    <n v="0"/>
    <n v="0"/>
    <n v="0"/>
  </r>
  <r>
    <n v="3096"/>
    <s v="Female"/>
    <n v="48"/>
    <x v="0"/>
    <x v="1"/>
    <n v="272"/>
    <n v="71"/>
    <n v="0.06"/>
    <s v="Desktop"/>
    <n v="0"/>
    <n v="1"/>
    <n v="0"/>
    <n v="14.99"/>
    <n v="0"/>
  </r>
  <r>
    <n v="3097"/>
    <s v="Other"/>
    <n v="43"/>
    <x v="4"/>
    <x v="2"/>
    <n v="196"/>
    <n v="78"/>
    <n v="0.44"/>
    <s v="Mobile"/>
    <n v="0"/>
    <n v="1"/>
    <n v="0"/>
    <n v="9.99"/>
    <n v="0"/>
  </r>
  <r>
    <n v="3098"/>
    <s v="Female"/>
    <n v="22"/>
    <x v="5"/>
    <x v="0"/>
    <n v="129"/>
    <n v="76"/>
    <n v="0.17"/>
    <s v="Mobile"/>
    <n v="17"/>
    <n v="0"/>
    <n v="0"/>
    <n v="0"/>
    <n v="0"/>
  </r>
  <r>
    <n v="3099"/>
    <s v="Male"/>
    <n v="35"/>
    <x v="2"/>
    <x v="3"/>
    <n v="76"/>
    <n v="84"/>
    <n v="0.14000000000000001"/>
    <s v="Web"/>
    <n v="0"/>
    <n v="1"/>
    <n v="0"/>
    <n v="4.99"/>
    <n v="0"/>
  </r>
  <r>
    <n v="3100"/>
    <s v="Female"/>
    <n v="47"/>
    <x v="4"/>
    <x v="2"/>
    <n v="135"/>
    <n v="68"/>
    <n v="0.5"/>
    <s v="Desktop"/>
    <n v="0"/>
    <n v="1"/>
    <n v="0"/>
    <n v="9.99"/>
    <n v="0"/>
  </r>
  <r>
    <n v="3101"/>
    <s v="Other"/>
    <n v="30"/>
    <x v="7"/>
    <x v="0"/>
    <n v="42"/>
    <n v="99"/>
    <n v="0.05"/>
    <s v="Web"/>
    <n v="35"/>
    <n v="0"/>
    <n v="0"/>
    <n v="0"/>
    <n v="0"/>
  </r>
  <r>
    <n v="3102"/>
    <s v="Female"/>
    <n v="37"/>
    <x v="4"/>
    <x v="1"/>
    <n v="220"/>
    <n v="58"/>
    <n v="0.06"/>
    <s v="Desktop"/>
    <n v="0"/>
    <n v="1"/>
    <n v="0"/>
    <n v="14.99"/>
    <n v="0"/>
  </r>
  <r>
    <n v="3103"/>
    <s v="Other"/>
    <n v="36"/>
    <x v="2"/>
    <x v="0"/>
    <n v="118"/>
    <n v="26"/>
    <n v="0.53"/>
    <s v="Desktop"/>
    <n v="41"/>
    <n v="0"/>
    <n v="0"/>
    <n v="0"/>
    <n v="0"/>
  </r>
  <r>
    <n v="3104"/>
    <s v="Male"/>
    <n v="39"/>
    <x v="0"/>
    <x v="0"/>
    <n v="244"/>
    <n v="87"/>
    <n v="0.15"/>
    <s v="Desktop"/>
    <n v="33"/>
    <n v="0"/>
    <n v="0"/>
    <n v="0"/>
    <n v="0"/>
  </r>
  <r>
    <n v="3105"/>
    <s v="Female"/>
    <n v="55"/>
    <x v="3"/>
    <x v="2"/>
    <n v="144"/>
    <n v="31"/>
    <n v="0.09"/>
    <s v="Web"/>
    <n v="0"/>
    <n v="1"/>
    <n v="1"/>
    <n v="9.99"/>
    <n v="9.99"/>
  </r>
  <r>
    <n v="3106"/>
    <s v="Female"/>
    <n v="18"/>
    <x v="1"/>
    <x v="1"/>
    <n v="192"/>
    <n v="89"/>
    <n v="0.22"/>
    <s v="Mobile"/>
    <n v="0"/>
    <n v="1"/>
    <n v="1"/>
    <n v="14.99"/>
    <n v="14.99"/>
  </r>
  <r>
    <n v="3107"/>
    <s v="Female"/>
    <n v="19"/>
    <x v="7"/>
    <x v="2"/>
    <n v="279"/>
    <n v="85"/>
    <n v="0.12"/>
    <s v="Mobile"/>
    <n v="0"/>
    <n v="1"/>
    <n v="0"/>
    <n v="9.99"/>
    <n v="0"/>
  </r>
  <r>
    <n v="3108"/>
    <s v="Other"/>
    <n v="50"/>
    <x v="0"/>
    <x v="0"/>
    <n v="209"/>
    <n v="21"/>
    <n v="0.35"/>
    <s v="Mobile"/>
    <n v="21"/>
    <n v="0"/>
    <n v="0"/>
    <n v="0"/>
    <n v="0"/>
  </r>
  <r>
    <n v="3109"/>
    <s v="Male"/>
    <n v="57"/>
    <x v="5"/>
    <x v="3"/>
    <n v="248"/>
    <n v="72"/>
    <n v="0.2"/>
    <s v="Mobile"/>
    <n v="0"/>
    <n v="1"/>
    <n v="0"/>
    <n v="4.99"/>
    <n v="0"/>
  </r>
  <r>
    <n v="3110"/>
    <s v="Female"/>
    <n v="51"/>
    <x v="6"/>
    <x v="2"/>
    <n v="46"/>
    <n v="82"/>
    <n v="0.22"/>
    <s v="Mobile"/>
    <n v="0"/>
    <n v="1"/>
    <n v="0"/>
    <n v="9.99"/>
    <n v="0"/>
  </r>
  <r>
    <n v="3111"/>
    <s v="Female"/>
    <n v="34"/>
    <x v="5"/>
    <x v="2"/>
    <n v="33"/>
    <n v="68"/>
    <n v="0.23"/>
    <s v="Mobile"/>
    <n v="0"/>
    <n v="1"/>
    <n v="0"/>
    <n v="9.99"/>
    <n v="0"/>
  </r>
  <r>
    <n v="3112"/>
    <s v="Female"/>
    <n v="23"/>
    <x v="7"/>
    <x v="3"/>
    <n v="53"/>
    <n v="85"/>
    <n v="0.21"/>
    <s v="Web"/>
    <n v="0"/>
    <n v="1"/>
    <n v="0"/>
    <n v="4.99"/>
    <n v="0"/>
  </r>
  <r>
    <n v="3113"/>
    <s v="Other"/>
    <n v="32"/>
    <x v="3"/>
    <x v="0"/>
    <n v="82"/>
    <n v="10"/>
    <n v="0.28999999999999998"/>
    <s v="Mobile"/>
    <n v="22"/>
    <n v="0"/>
    <n v="0"/>
    <n v="0"/>
    <n v="0"/>
  </r>
  <r>
    <n v="3114"/>
    <s v="Female"/>
    <n v="37"/>
    <x v="1"/>
    <x v="2"/>
    <n v="244"/>
    <n v="39"/>
    <n v="0.18"/>
    <s v="Web"/>
    <n v="0"/>
    <n v="1"/>
    <n v="0"/>
    <n v="9.99"/>
    <n v="0"/>
  </r>
  <r>
    <n v="3115"/>
    <s v="Male"/>
    <n v="21"/>
    <x v="6"/>
    <x v="1"/>
    <n v="285"/>
    <n v="80"/>
    <n v="0.28999999999999998"/>
    <s v="Desktop"/>
    <n v="0"/>
    <n v="1"/>
    <n v="1"/>
    <n v="14.99"/>
    <n v="14.99"/>
  </r>
  <r>
    <n v="3116"/>
    <s v="Other"/>
    <n v="43"/>
    <x v="0"/>
    <x v="2"/>
    <n v="14"/>
    <n v="63"/>
    <n v="0.5"/>
    <s v="Mobile"/>
    <n v="0"/>
    <n v="1"/>
    <n v="1"/>
    <n v="9.99"/>
    <n v="9.99"/>
  </r>
  <r>
    <n v="3117"/>
    <s v="Male"/>
    <n v="38"/>
    <x v="6"/>
    <x v="0"/>
    <n v="205"/>
    <n v="71"/>
    <n v="0.23"/>
    <s v="Web"/>
    <n v="11"/>
    <n v="0"/>
    <n v="0"/>
    <n v="0"/>
    <n v="0"/>
  </r>
  <r>
    <n v="3118"/>
    <s v="Male"/>
    <n v="59"/>
    <x v="3"/>
    <x v="3"/>
    <n v="151"/>
    <n v="61"/>
    <n v="7.0000000000000007E-2"/>
    <s v="Mobile"/>
    <n v="0"/>
    <n v="1"/>
    <n v="1"/>
    <n v="4.99"/>
    <n v="4.99"/>
  </r>
  <r>
    <n v="3119"/>
    <s v="Other"/>
    <n v="20"/>
    <x v="6"/>
    <x v="2"/>
    <n v="185"/>
    <n v="22"/>
    <n v="0.45"/>
    <s v="Mobile"/>
    <n v="0"/>
    <n v="1"/>
    <n v="0"/>
    <n v="9.99"/>
    <n v="0"/>
  </r>
  <r>
    <n v="3120"/>
    <s v="Female"/>
    <n v="52"/>
    <x v="3"/>
    <x v="3"/>
    <n v="10"/>
    <n v="34"/>
    <n v="0.38"/>
    <s v="Mobile"/>
    <n v="0"/>
    <n v="1"/>
    <n v="0"/>
    <n v="4.99"/>
    <n v="0"/>
  </r>
  <r>
    <n v="3121"/>
    <s v="Female"/>
    <n v="40"/>
    <x v="0"/>
    <x v="0"/>
    <n v="141"/>
    <n v="79"/>
    <n v="0.46"/>
    <s v="Web"/>
    <n v="41"/>
    <n v="0"/>
    <n v="1"/>
    <n v="0"/>
    <n v="0"/>
  </r>
  <r>
    <n v="3122"/>
    <s v="Other"/>
    <n v="28"/>
    <x v="5"/>
    <x v="0"/>
    <n v="110"/>
    <n v="49"/>
    <n v="0.43"/>
    <s v="Mobile"/>
    <n v="13"/>
    <n v="0"/>
    <n v="1"/>
    <n v="0"/>
    <n v="0"/>
  </r>
  <r>
    <n v="3123"/>
    <s v="Female"/>
    <n v="49"/>
    <x v="5"/>
    <x v="2"/>
    <n v="148"/>
    <n v="52"/>
    <n v="0.56000000000000005"/>
    <s v="Desktop"/>
    <n v="0"/>
    <n v="1"/>
    <n v="0"/>
    <n v="9.99"/>
    <n v="0"/>
  </r>
  <r>
    <n v="3124"/>
    <s v="Female"/>
    <n v="26"/>
    <x v="2"/>
    <x v="2"/>
    <n v="77"/>
    <n v="48"/>
    <n v="0.12"/>
    <s v="Desktop"/>
    <n v="0"/>
    <n v="1"/>
    <n v="0"/>
    <n v="9.99"/>
    <n v="0"/>
  </r>
  <r>
    <n v="3125"/>
    <s v="Other"/>
    <n v="16"/>
    <x v="5"/>
    <x v="1"/>
    <n v="122"/>
    <n v="46"/>
    <n v="0.21"/>
    <s v="Web"/>
    <n v="0"/>
    <n v="1"/>
    <n v="0"/>
    <n v="14.99"/>
    <n v="0"/>
  </r>
  <r>
    <n v="3126"/>
    <s v="Female"/>
    <n v="37"/>
    <x v="1"/>
    <x v="2"/>
    <n v="81"/>
    <n v="2"/>
    <n v="0.32"/>
    <s v="Mobile"/>
    <n v="0"/>
    <n v="1"/>
    <n v="0"/>
    <n v="9.99"/>
    <n v="0"/>
  </r>
  <r>
    <n v="3127"/>
    <s v="Other"/>
    <n v="46"/>
    <x v="7"/>
    <x v="0"/>
    <n v="190"/>
    <n v="88"/>
    <n v="0.41"/>
    <s v="Mobile"/>
    <n v="26"/>
    <n v="0"/>
    <n v="0"/>
    <n v="0"/>
    <n v="0"/>
  </r>
  <r>
    <n v="3128"/>
    <s v="Male"/>
    <n v="40"/>
    <x v="5"/>
    <x v="2"/>
    <n v="111"/>
    <n v="89"/>
    <n v="0.25"/>
    <s v="Desktop"/>
    <n v="0"/>
    <n v="1"/>
    <n v="0"/>
    <n v="9.99"/>
    <n v="0"/>
  </r>
  <r>
    <n v="3129"/>
    <s v="Other"/>
    <n v="41"/>
    <x v="0"/>
    <x v="1"/>
    <n v="68"/>
    <n v="8"/>
    <n v="0.19"/>
    <s v="Desktop"/>
    <n v="0"/>
    <n v="1"/>
    <n v="0"/>
    <n v="14.99"/>
    <n v="0"/>
  </r>
  <r>
    <n v="3130"/>
    <s v="Male"/>
    <n v="38"/>
    <x v="2"/>
    <x v="2"/>
    <n v="51"/>
    <n v="35"/>
    <n v="0.06"/>
    <s v="Desktop"/>
    <n v="0"/>
    <n v="1"/>
    <n v="0"/>
    <n v="9.99"/>
    <n v="0"/>
  </r>
  <r>
    <n v="3131"/>
    <s v="Male"/>
    <n v="51"/>
    <x v="4"/>
    <x v="1"/>
    <n v="102"/>
    <n v="55"/>
    <n v="0.53"/>
    <s v="Web"/>
    <n v="0"/>
    <n v="1"/>
    <n v="0"/>
    <n v="14.99"/>
    <n v="0"/>
  </r>
  <r>
    <n v="3132"/>
    <s v="Female"/>
    <n v="23"/>
    <x v="3"/>
    <x v="1"/>
    <n v="273"/>
    <n v="14"/>
    <n v="0.12"/>
    <s v="Mobile"/>
    <n v="0"/>
    <n v="1"/>
    <n v="0"/>
    <n v="14.99"/>
    <n v="0"/>
  </r>
  <r>
    <n v="3133"/>
    <s v="Other"/>
    <n v="18"/>
    <x v="6"/>
    <x v="3"/>
    <n v="74"/>
    <n v="30"/>
    <n v="0.38"/>
    <s v="Desktop"/>
    <n v="0"/>
    <n v="1"/>
    <n v="0"/>
    <n v="4.99"/>
    <n v="0"/>
  </r>
  <r>
    <n v="3134"/>
    <s v="Male"/>
    <n v="34"/>
    <x v="7"/>
    <x v="1"/>
    <n v="200"/>
    <n v="17"/>
    <n v="0.31"/>
    <s v="Desktop"/>
    <n v="0"/>
    <n v="1"/>
    <n v="1"/>
    <n v="14.99"/>
    <n v="14.99"/>
  </r>
  <r>
    <n v="3135"/>
    <s v="Female"/>
    <n v="28"/>
    <x v="3"/>
    <x v="2"/>
    <n v="248"/>
    <n v="81"/>
    <n v="0.08"/>
    <s v="Web"/>
    <n v="0"/>
    <n v="1"/>
    <n v="0"/>
    <n v="9.99"/>
    <n v="0"/>
  </r>
  <r>
    <n v="3136"/>
    <s v="Other"/>
    <n v="51"/>
    <x v="0"/>
    <x v="3"/>
    <n v="127"/>
    <n v="62"/>
    <n v="0.17"/>
    <s v="Desktop"/>
    <n v="0"/>
    <n v="1"/>
    <n v="1"/>
    <n v="4.99"/>
    <n v="4.99"/>
  </r>
  <r>
    <n v="3137"/>
    <s v="Female"/>
    <n v="54"/>
    <x v="6"/>
    <x v="3"/>
    <n v="231"/>
    <n v="79"/>
    <n v="0.48"/>
    <s v="Web"/>
    <n v="0"/>
    <n v="1"/>
    <n v="0"/>
    <n v="4.99"/>
    <n v="0"/>
  </r>
  <r>
    <n v="3138"/>
    <s v="Male"/>
    <n v="26"/>
    <x v="5"/>
    <x v="1"/>
    <n v="88"/>
    <n v="12"/>
    <n v="0.32"/>
    <s v="Mobile"/>
    <n v="0"/>
    <n v="1"/>
    <n v="0"/>
    <n v="14.99"/>
    <n v="0"/>
  </r>
  <r>
    <n v="3139"/>
    <s v="Other"/>
    <n v="27"/>
    <x v="5"/>
    <x v="2"/>
    <n v="226"/>
    <n v="15"/>
    <n v="7.0000000000000007E-2"/>
    <s v="Mobile"/>
    <n v="0"/>
    <n v="1"/>
    <n v="0"/>
    <n v="9.99"/>
    <n v="0"/>
  </r>
  <r>
    <n v="3140"/>
    <s v="Female"/>
    <n v="41"/>
    <x v="3"/>
    <x v="1"/>
    <n v="246"/>
    <n v="65"/>
    <n v="0.44"/>
    <s v="Desktop"/>
    <n v="0"/>
    <n v="1"/>
    <n v="0"/>
    <n v="14.99"/>
    <n v="0"/>
  </r>
  <r>
    <n v="3141"/>
    <s v="Male"/>
    <n v="49"/>
    <x v="2"/>
    <x v="1"/>
    <n v="177"/>
    <n v="57"/>
    <n v="0.46"/>
    <s v="Desktop"/>
    <n v="0"/>
    <n v="1"/>
    <n v="1"/>
    <n v="14.99"/>
    <n v="14.99"/>
  </r>
  <r>
    <n v="3142"/>
    <s v="Other"/>
    <n v="21"/>
    <x v="4"/>
    <x v="0"/>
    <n v="203"/>
    <n v="70"/>
    <n v="0.56000000000000005"/>
    <s v="Desktop"/>
    <n v="20"/>
    <n v="0"/>
    <n v="1"/>
    <n v="0"/>
    <n v="0"/>
  </r>
  <r>
    <n v="3143"/>
    <s v="Other"/>
    <n v="31"/>
    <x v="1"/>
    <x v="3"/>
    <n v="49"/>
    <n v="39"/>
    <n v="0.54"/>
    <s v="Mobile"/>
    <n v="0"/>
    <n v="1"/>
    <n v="0"/>
    <n v="4.99"/>
    <n v="0"/>
  </r>
  <r>
    <n v="3144"/>
    <s v="Other"/>
    <n v="55"/>
    <x v="4"/>
    <x v="0"/>
    <n v="251"/>
    <n v="88"/>
    <n v="0.49"/>
    <s v="Mobile"/>
    <n v="37"/>
    <n v="0"/>
    <n v="0"/>
    <n v="0"/>
    <n v="0"/>
  </r>
  <r>
    <n v="3145"/>
    <s v="Female"/>
    <n v="16"/>
    <x v="7"/>
    <x v="1"/>
    <n v="215"/>
    <n v="58"/>
    <n v="0.48"/>
    <s v="Mobile"/>
    <n v="0"/>
    <n v="1"/>
    <n v="1"/>
    <n v="14.99"/>
    <n v="14.99"/>
  </r>
  <r>
    <n v="3146"/>
    <s v="Male"/>
    <n v="45"/>
    <x v="5"/>
    <x v="1"/>
    <n v="149"/>
    <n v="9"/>
    <n v="0.19"/>
    <s v="Desktop"/>
    <n v="0"/>
    <n v="1"/>
    <n v="0"/>
    <n v="14.99"/>
    <n v="0"/>
  </r>
  <r>
    <n v="3147"/>
    <s v="Other"/>
    <n v="48"/>
    <x v="7"/>
    <x v="1"/>
    <n v="70"/>
    <n v="50"/>
    <n v="0.32"/>
    <s v="Web"/>
    <n v="0"/>
    <n v="1"/>
    <n v="1"/>
    <n v="14.99"/>
    <n v="14.99"/>
  </r>
  <r>
    <n v="3148"/>
    <s v="Male"/>
    <n v="21"/>
    <x v="5"/>
    <x v="3"/>
    <n v="39"/>
    <n v="68"/>
    <n v="0.53"/>
    <s v="Desktop"/>
    <n v="0"/>
    <n v="1"/>
    <n v="1"/>
    <n v="4.99"/>
    <n v="4.99"/>
  </r>
  <r>
    <n v="3149"/>
    <s v="Male"/>
    <n v="21"/>
    <x v="5"/>
    <x v="2"/>
    <n v="200"/>
    <n v="94"/>
    <n v="0.41"/>
    <s v="Web"/>
    <n v="0"/>
    <n v="1"/>
    <n v="1"/>
    <n v="9.99"/>
    <n v="9.99"/>
  </r>
  <r>
    <n v="3150"/>
    <s v="Other"/>
    <n v="19"/>
    <x v="6"/>
    <x v="2"/>
    <n v="266"/>
    <n v="17"/>
    <n v="0.52"/>
    <s v="Mobile"/>
    <n v="0"/>
    <n v="1"/>
    <n v="0"/>
    <n v="9.99"/>
    <n v="0"/>
  </r>
  <r>
    <n v="3151"/>
    <s v="Male"/>
    <n v="35"/>
    <x v="2"/>
    <x v="0"/>
    <n v="129"/>
    <n v="59"/>
    <n v="0.02"/>
    <s v="Mobile"/>
    <n v="32"/>
    <n v="0"/>
    <n v="0"/>
    <n v="0"/>
    <n v="0"/>
  </r>
  <r>
    <n v="3152"/>
    <s v="Female"/>
    <n v="35"/>
    <x v="6"/>
    <x v="3"/>
    <n v="242"/>
    <n v="34"/>
    <n v="0.56999999999999995"/>
    <s v="Web"/>
    <n v="0"/>
    <n v="1"/>
    <n v="0"/>
    <n v="4.99"/>
    <n v="0"/>
  </r>
  <r>
    <n v="3153"/>
    <s v="Female"/>
    <n v="52"/>
    <x v="3"/>
    <x v="1"/>
    <n v="114"/>
    <n v="50"/>
    <n v="0.47"/>
    <s v="Web"/>
    <n v="0"/>
    <n v="1"/>
    <n v="1"/>
    <n v="14.99"/>
    <n v="14.99"/>
  </r>
  <r>
    <n v="3154"/>
    <s v="Male"/>
    <n v="52"/>
    <x v="4"/>
    <x v="2"/>
    <n v="132"/>
    <n v="80"/>
    <n v="0.49"/>
    <s v="Desktop"/>
    <n v="0"/>
    <n v="1"/>
    <n v="0"/>
    <n v="9.99"/>
    <n v="0"/>
  </r>
  <r>
    <n v="3155"/>
    <s v="Other"/>
    <n v="53"/>
    <x v="3"/>
    <x v="0"/>
    <n v="100"/>
    <n v="42"/>
    <n v="0.01"/>
    <s v="Mobile"/>
    <n v="21"/>
    <n v="0"/>
    <n v="1"/>
    <n v="0"/>
    <n v="0"/>
  </r>
  <r>
    <n v="3156"/>
    <s v="Other"/>
    <n v="35"/>
    <x v="0"/>
    <x v="2"/>
    <n v="26"/>
    <n v="44"/>
    <n v="0.34"/>
    <s v="Desktop"/>
    <n v="0"/>
    <n v="1"/>
    <n v="1"/>
    <n v="9.99"/>
    <n v="9.99"/>
  </r>
  <r>
    <n v="3157"/>
    <s v="Male"/>
    <n v="35"/>
    <x v="4"/>
    <x v="1"/>
    <n v="180"/>
    <n v="41"/>
    <n v="0.04"/>
    <s v="Mobile"/>
    <n v="0"/>
    <n v="1"/>
    <n v="1"/>
    <n v="14.99"/>
    <n v="14.99"/>
  </r>
  <r>
    <n v="3158"/>
    <s v="Other"/>
    <n v="17"/>
    <x v="7"/>
    <x v="3"/>
    <n v="277"/>
    <n v="28"/>
    <n v="0.45"/>
    <s v="Web"/>
    <n v="0"/>
    <n v="1"/>
    <n v="0"/>
    <n v="4.99"/>
    <n v="0"/>
  </r>
  <r>
    <n v="3159"/>
    <s v="Female"/>
    <n v="48"/>
    <x v="0"/>
    <x v="1"/>
    <n v="185"/>
    <n v="94"/>
    <n v="0.38"/>
    <s v="Mobile"/>
    <n v="0"/>
    <n v="1"/>
    <n v="0"/>
    <n v="14.99"/>
    <n v="0"/>
  </r>
  <r>
    <n v="3160"/>
    <s v="Female"/>
    <n v="59"/>
    <x v="3"/>
    <x v="1"/>
    <n v="113"/>
    <n v="33"/>
    <n v="0.4"/>
    <s v="Mobile"/>
    <n v="0"/>
    <n v="1"/>
    <n v="0"/>
    <n v="14.99"/>
    <n v="0"/>
  </r>
  <r>
    <n v="3161"/>
    <s v="Male"/>
    <n v="51"/>
    <x v="6"/>
    <x v="3"/>
    <n v="251"/>
    <n v="10"/>
    <n v="0.12"/>
    <s v="Desktop"/>
    <n v="0"/>
    <n v="1"/>
    <n v="0"/>
    <n v="4.99"/>
    <n v="0"/>
  </r>
  <r>
    <n v="3162"/>
    <s v="Other"/>
    <n v="25"/>
    <x v="7"/>
    <x v="0"/>
    <n v="100"/>
    <n v="63"/>
    <n v="0.46"/>
    <s v="Desktop"/>
    <n v="37"/>
    <n v="0"/>
    <n v="0"/>
    <n v="0"/>
    <n v="0"/>
  </r>
  <r>
    <n v="3163"/>
    <s v="Male"/>
    <n v="18"/>
    <x v="5"/>
    <x v="3"/>
    <n v="163"/>
    <n v="64"/>
    <n v="0.04"/>
    <s v="Mobile"/>
    <n v="0"/>
    <n v="1"/>
    <n v="0"/>
    <n v="4.99"/>
    <n v="0"/>
  </r>
  <r>
    <n v="3164"/>
    <s v="Female"/>
    <n v="43"/>
    <x v="0"/>
    <x v="3"/>
    <n v="66"/>
    <n v="20"/>
    <n v="0.16"/>
    <s v="Mobile"/>
    <n v="0"/>
    <n v="1"/>
    <n v="0"/>
    <n v="4.99"/>
    <n v="0"/>
  </r>
  <r>
    <n v="3165"/>
    <s v="Female"/>
    <n v="18"/>
    <x v="4"/>
    <x v="0"/>
    <n v="243"/>
    <n v="37"/>
    <n v="0.53"/>
    <s v="Mobile"/>
    <n v="21"/>
    <n v="0"/>
    <n v="0"/>
    <n v="0"/>
    <n v="0"/>
  </r>
  <r>
    <n v="3166"/>
    <s v="Female"/>
    <n v="20"/>
    <x v="2"/>
    <x v="3"/>
    <n v="135"/>
    <n v="31"/>
    <n v="0.11"/>
    <s v="Desktop"/>
    <n v="0"/>
    <n v="1"/>
    <n v="1"/>
    <n v="4.99"/>
    <n v="4.99"/>
  </r>
  <r>
    <n v="3167"/>
    <s v="Female"/>
    <n v="36"/>
    <x v="7"/>
    <x v="3"/>
    <n v="213"/>
    <n v="48"/>
    <n v="0.35"/>
    <s v="Mobile"/>
    <n v="0"/>
    <n v="1"/>
    <n v="1"/>
    <n v="4.99"/>
    <n v="4.99"/>
  </r>
  <r>
    <n v="3168"/>
    <s v="Female"/>
    <n v="16"/>
    <x v="0"/>
    <x v="0"/>
    <n v="24"/>
    <n v="19"/>
    <n v="0.5"/>
    <s v="Mobile"/>
    <n v="46"/>
    <n v="0"/>
    <n v="0"/>
    <n v="0"/>
    <n v="0"/>
  </r>
  <r>
    <n v="3169"/>
    <s v="Male"/>
    <n v="38"/>
    <x v="0"/>
    <x v="0"/>
    <n v="85"/>
    <n v="67"/>
    <n v="0.4"/>
    <s v="Mobile"/>
    <n v="13"/>
    <n v="0"/>
    <n v="0"/>
    <n v="0"/>
    <n v="0"/>
  </r>
  <r>
    <n v="3170"/>
    <s v="Male"/>
    <n v="24"/>
    <x v="1"/>
    <x v="3"/>
    <n v="212"/>
    <n v="61"/>
    <n v="7.0000000000000007E-2"/>
    <s v="Mobile"/>
    <n v="0"/>
    <n v="1"/>
    <n v="0"/>
    <n v="4.99"/>
    <n v="0"/>
  </r>
  <r>
    <n v="3171"/>
    <s v="Other"/>
    <n v="22"/>
    <x v="2"/>
    <x v="0"/>
    <n v="256"/>
    <n v="18"/>
    <n v="0.02"/>
    <s v="Desktop"/>
    <n v="48"/>
    <n v="0"/>
    <n v="0"/>
    <n v="0"/>
    <n v="0"/>
  </r>
  <r>
    <n v="3172"/>
    <s v="Other"/>
    <n v="30"/>
    <x v="4"/>
    <x v="2"/>
    <n v="23"/>
    <n v="32"/>
    <n v="0.42"/>
    <s v="Desktop"/>
    <n v="0"/>
    <n v="1"/>
    <n v="0"/>
    <n v="9.99"/>
    <n v="0"/>
  </r>
  <r>
    <n v="3173"/>
    <s v="Female"/>
    <n v="18"/>
    <x v="2"/>
    <x v="2"/>
    <n v="281"/>
    <n v="81"/>
    <n v="0.2"/>
    <s v="Web"/>
    <n v="0"/>
    <n v="1"/>
    <n v="1"/>
    <n v="9.99"/>
    <n v="9.99"/>
  </r>
  <r>
    <n v="3174"/>
    <s v="Female"/>
    <n v="24"/>
    <x v="7"/>
    <x v="2"/>
    <n v="138"/>
    <n v="7"/>
    <n v="0.54"/>
    <s v="Web"/>
    <n v="0"/>
    <n v="1"/>
    <n v="0"/>
    <n v="9.99"/>
    <n v="0"/>
  </r>
  <r>
    <n v="3175"/>
    <s v="Female"/>
    <n v="27"/>
    <x v="4"/>
    <x v="1"/>
    <n v="247"/>
    <n v="46"/>
    <n v="0.46"/>
    <s v="Web"/>
    <n v="0"/>
    <n v="1"/>
    <n v="1"/>
    <n v="14.99"/>
    <n v="14.99"/>
  </r>
  <r>
    <n v="3176"/>
    <s v="Female"/>
    <n v="37"/>
    <x v="6"/>
    <x v="1"/>
    <n v="64"/>
    <n v="97"/>
    <n v="0.21"/>
    <s v="Web"/>
    <n v="0"/>
    <n v="1"/>
    <n v="0"/>
    <n v="14.99"/>
    <n v="0"/>
  </r>
  <r>
    <n v="3177"/>
    <s v="Male"/>
    <n v="44"/>
    <x v="1"/>
    <x v="3"/>
    <n v="242"/>
    <n v="22"/>
    <n v="0.48"/>
    <s v="Mobile"/>
    <n v="0"/>
    <n v="1"/>
    <n v="0"/>
    <n v="4.99"/>
    <n v="0"/>
  </r>
  <r>
    <n v="3178"/>
    <s v="Male"/>
    <n v="24"/>
    <x v="6"/>
    <x v="1"/>
    <n v="51"/>
    <n v="78"/>
    <n v="0.54"/>
    <s v="Desktop"/>
    <n v="0"/>
    <n v="1"/>
    <n v="0"/>
    <n v="14.99"/>
    <n v="0"/>
  </r>
  <r>
    <n v="3179"/>
    <s v="Other"/>
    <n v="37"/>
    <x v="6"/>
    <x v="1"/>
    <n v="100"/>
    <n v="17"/>
    <n v="7.0000000000000007E-2"/>
    <s v="Web"/>
    <n v="0"/>
    <n v="1"/>
    <n v="0"/>
    <n v="14.99"/>
    <n v="0"/>
  </r>
  <r>
    <n v="3180"/>
    <s v="Other"/>
    <n v="41"/>
    <x v="3"/>
    <x v="2"/>
    <n v="213"/>
    <n v="3"/>
    <n v="0.14000000000000001"/>
    <s v="Web"/>
    <n v="0"/>
    <n v="1"/>
    <n v="0"/>
    <n v="9.99"/>
    <n v="0"/>
  </r>
  <r>
    <n v="3181"/>
    <s v="Other"/>
    <n v="44"/>
    <x v="4"/>
    <x v="2"/>
    <n v="287"/>
    <n v="96"/>
    <n v="0.4"/>
    <s v="Web"/>
    <n v="0"/>
    <n v="1"/>
    <n v="0"/>
    <n v="9.99"/>
    <n v="0"/>
  </r>
  <r>
    <n v="3182"/>
    <s v="Female"/>
    <n v="37"/>
    <x v="4"/>
    <x v="0"/>
    <n v="38"/>
    <n v="5"/>
    <n v="0.48"/>
    <s v="Desktop"/>
    <n v="40"/>
    <n v="0"/>
    <n v="0"/>
    <n v="0"/>
    <n v="0"/>
  </r>
  <r>
    <n v="3183"/>
    <s v="Female"/>
    <n v="54"/>
    <x v="3"/>
    <x v="2"/>
    <n v="106"/>
    <n v="61"/>
    <n v="0.56999999999999995"/>
    <s v="Desktop"/>
    <n v="0"/>
    <n v="1"/>
    <n v="0"/>
    <n v="9.99"/>
    <n v="0"/>
  </r>
  <r>
    <n v="3184"/>
    <s v="Other"/>
    <n v="33"/>
    <x v="0"/>
    <x v="2"/>
    <n v="174"/>
    <n v="85"/>
    <n v="0.46"/>
    <s v="Web"/>
    <n v="0"/>
    <n v="1"/>
    <n v="0"/>
    <n v="9.99"/>
    <n v="0"/>
  </r>
  <r>
    <n v="3185"/>
    <s v="Other"/>
    <n v="32"/>
    <x v="4"/>
    <x v="2"/>
    <n v="157"/>
    <n v="97"/>
    <n v="0.09"/>
    <s v="Mobile"/>
    <n v="0"/>
    <n v="1"/>
    <n v="0"/>
    <n v="9.99"/>
    <n v="0"/>
  </r>
  <r>
    <n v="3186"/>
    <s v="Female"/>
    <n v="25"/>
    <x v="0"/>
    <x v="0"/>
    <n v="263"/>
    <n v="36"/>
    <n v="0.19"/>
    <s v="Web"/>
    <n v="11"/>
    <n v="0"/>
    <n v="0"/>
    <n v="0"/>
    <n v="0"/>
  </r>
  <r>
    <n v="3187"/>
    <s v="Male"/>
    <n v="22"/>
    <x v="2"/>
    <x v="3"/>
    <n v="165"/>
    <n v="43"/>
    <n v="0.18"/>
    <s v="Desktop"/>
    <n v="0"/>
    <n v="1"/>
    <n v="1"/>
    <n v="4.99"/>
    <n v="4.99"/>
  </r>
  <r>
    <n v="3188"/>
    <s v="Other"/>
    <n v="53"/>
    <x v="1"/>
    <x v="3"/>
    <n v="34"/>
    <n v="37"/>
    <n v="0.05"/>
    <s v="Web"/>
    <n v="0"/>
    <n v="1"/>
    <n v="0"/>
    <n v="4.99"/>
    <n v="0"/>
  </r>
  <r>
    <n v="3189"/>
    <s v="Other"/>
    <n v="36"/>
    <x v="6"/>
    <x v="1"/>
    <n v="122"/>
    <n v="10"/>
    <n v="0.31"/>
    <s v="Web"/>
    <n v="0"/>
    <n v="1"/>
    <n v="0"/>
    <n v="14.99"/>
    <n v="0"/>
  </r>
  <r>
    <n v="3190"/>
    <s v="Other"/>
    <n v="22"/>
    <x v="3"/>
    <x v="1"/>
    <n v="236"/>
    <n v="4"/>
    <n v="0.53"/>
    <s v="Web"/>
    <n v="0"/>
    <n v="1"/>
    <n v="1"/>
    <n v="14.99"/>
    <n v="14.99"/>
  </r>
  <r>
    <n v="3191"/>
    <s v="Female"/>
    <n v="42"/>
    <x v="7"/>
    <x v="1"/>
    <n v="31"/>
    <n v="72"/>
    <n v="0.36"/>
    <s v="Mobile"/>
    <n v="0"/>
    <n v="1"/>
    <n v="0"/>
    <n v="14.99"/>
    <n v="0"/>
  </r>
  <r>
    <n v="3192"/>
    <s v="Female"/>
    <n v="45"/>
    <x v="3"/>
    <x v="3"/>
    <n v="104"/>
    <n v="66"/>
    <n v="0.12"/>
    <s v="Desktop"/>
    <n v="0"/>
    <n v="1"/>
    <n v="1"/>
    <n v="4.99"/>
    <n v="4.99"/>
  </r>
  <r>
    <n v="3193"/>
    <s v="Male"/>
    <n v="34"/>
    <x v="6"/>
    <x v="0"/>
    <n v="64"/>
    <n v="34"/>
    <n v="0.5"/>
    <s v="Mobile"/>
    <n v="16"/>
    <n v="0"/>
    <n v="0"/>
    <n v="0"/>
    <n v="0"/>
  </r>
  <r>
    <n v="3194"/>
    <s v="Female"/>
    <n v="39"/>
    <x v="4"/>
    <x v="1"/>
    <n v="37"/>
    <n v="9"/>
    <n v="0.23"/>
    <s v="Mobile"/>
    <n v="0"/>
    <n v="1"/>
    <n v="0"/>
    <n v="14.99"/>
    <n v="0"/>
  </r>
  <r>
    <n v="3195"/>
    <s v="Male"/>
    <n v="22"/>
    <x v="3"/>
    <x v="1"/>
    <n v="282"/>
    <n v="93"/>
    <n v="0.1"/>
    <s v="Mobile"/>
    <n v="0"/>
    <n v="1"/>
    <n v="0"/>
    <n v="14.99"/>
    <n v="0"/>
  </r>
  <r>
    <n v="3196"/>
    <s v="Female"/>
    <n v="48"/>
    <x v="0"/>
    <x v="0"/>
    <n v="291"/>
    <n v="55"/>
    <n v="0.1"/>
    <s v="Desktop"/>
    <n v="31"/>
    <n v="0"/>
    <n v="1"/>
    <n v="0"/>
    <n v="0"/>
  </r>
  <r>
    <n v="3197"/>
    <s v="Male"/>
    <n v="29"/>
    <x v="6"/>
    <x v="1"/>
    <n v="154"/>
    <n v="98"/>
    <n v="0.57999999999999996"/>
    <s v="Mobile"/>
    <n v="0"/>
    <n v="1"/>
    <n v="0"/>
    <n v="14.99"/>
    <n v="0"/>
  </r>
  <r>
    <n v="3198"/>
    <s v="Male"/>
    <n v="16"/>
    <x v="2"/>
    <x v="1"/>
    <n v="71"/>
    <n v="57"/>
    <n v="0.54"/>
    <s v="Desktop"/>
    <n v="0"/>
    <n v="1"/>
    <n v="0"/>
    <n v="14.99"/>
    <n v="0"/>
  </r>
  <r>
    <n v="3199"/>
    <s v="Male"/>
    <n v="42"/>
    <x v="1"/>
    <x v="3"/>
    <n v="107"/>
    <n v="38"/>
    <n v="0.15"/>
    <s v="Mobile"/>
    <n v="0"/>
    <n v="1"/>
    <n v="0"/>
    <n v="4.99"/>
    <n v="0"/>
  </r>
  <r>
    <n v="3200"/>
    <s v="Male"/>
    <n v="27"/>
    <x v="0"/>
    <x v="2"/>
    <n v="91"/>
    <n v="74"/>
    <n v="0.3"/>
    <s v="Mobile"/>
    <n v="0"/>
    <n v="1"/>
    <n v="1"/>
    <n v="9.99"/>
    <n v="9.99"/>
  </r>
  <r>
    <n v="3201"/>
    <s v="Other"/>
    <n v="32"/>
    <x v="5"/>
    <x v="1"/>
    <n v="54"/>
    <n v="99"/>
    <n v="0.4"/>
    <s v="Web"/>
    <n v="0"/>
    <n v="1"/>
    <n v="0"/>
    <n v="14.99"/>
    <n v="0"/>
  </r>
  <r>
    <n v="3202"/>
    <s v="Male"/>
    <n v="29"/>
    <x v="4"/>
    <x v="1"/>
    <n v="195"/>
    <n v="74"/>
    <n v="0.34"/>
    <s v="Mobile"/>
    <n v="0"/>
    <n v="1"/>
    <n v="1"/>
    <n v="14.99"/>
    <n v="14.99"/>
  </r>
  <r>
    <n v="3203"/>
    <s v="Other"/>
    <n v="29"/>
    <x v="7"/>
    <x v="2"/>
    <n v="222"/>
    <n v="70"/>
    <n v="0.32"/>
    <s v="Mobile"/>
    <n v="0"/>
    <n v="1"/>
    <n v="1"/>
    <n v="9.99"/>
    <n v="9.99"/>
  </r>
  <r>
    <n v="3204"/>
    <s v="Other"/>
    <n v="33"/>
    <x v="5"/>
    <x v="2"/>
    <n v="184"/>
    <n v="94"/>
    <n v="0.15"/>
    <s v="Mobile"/>
    <n v="0"/>
    <n v="1"/>
    <n v="0"/>
    <n v="9.99"/>
    <n v="0"/>
  </r>
  <r>
    <n v="3205"/>
    <s v="Male"/>
    <n v="23"/>
    <x v="5"/>
    <x v="2"/>
    <n v="218"/>
    <n v="90"/>
    <n v="0.38"/>
    <s v="Web"/>
    <n v="0"/>
    <n v="1"/>
    <n v="0"/>
    <n v="9.99"/>
    <n v="0"/>
  </r>
  <r>
    <n v="3206"/>
    <s v="Male"/>
    <n v="59"/>
    <x v="3"/>
    <x v="0"/>
    <n v="260"/>
    <n v="58"/>
    <n v="0.41"/>
    <s v="Desktop"/>
    <n v="5"/>
    <n v="0"/>
    <n v="1"/>
    <n v="0"/>
    <n v="0"/>
  </r>
  <r>
    <n v="3207"/>
    <s v="Other"/>
    <n v="55"/>
    <x v="3"/>
    <x v="2"/>
    <n v="183"/>
    <n v="81"/>
    <n v="0.44"/>
    <s v="Web"/>
    <n v="0"/>
    <n v="1"/>
    <n v="1"/>
    <n v="9.99"/>
    <n v="9.99"/>
  </r>
  <r>
    <n v="3208"/>
    <s v="Other"/>
    <n v="37"/>
    <x v="6"/>
    <x v="0"/>
    <n v="46"/>
    <n v="26"/>
    <n v="0.44"/>
    <s v="Mobile"/>
    <n v="40"/>
    <n v="0"/>
    <n v="0"/>
    <n v="0"/>
    <n v="0"/>
  </r>
  <r>
    <n v="3209"/>
    <s v="Female"/>
    <n v="48"/>
    <x v="1"/>
    <x v="2"/>
    <n v="148"/>
    <n v="56"/>
    <n v="0.6"/>
    <s v="Web"/>
    <n v="0"/>
    <n v="1"/>
    <n v="1"/>
    <n v="9.99"/>
    <n v="9.99"/>
  </r>
  <r>
    <n v="3210"/>
    <s v="Other"/>
    <n v="23"/>
    <x v="2"/>
    <x v="2"/>
    <n v="71"/>
    <n v="15"/>
    <n v="0.03"/>
    <s v="Mobile"/>
    <n v="0"/>
    <n v="1"/>
    <n v="0"/>
    <n v="9.99"/>
    <n v="0"/>
  </r>
  <r>
    <n v="3211"/>
    <s v="Male"/>
    <n v="17"/>
    <x v="6"/>
    <x v="1"/>
    <n v="31"/>
    <n v="50"/>
    <n v="0.45"/>
    <s v="Desktop"/>
    <n v="0"/>
    <n v="1"/>
    <n v="0"/>
    <n v="14.99"/>
    <n v="0"/>
  </r>
  <r>
    <n v="3212"/>
    <s v="Female"/>
    <n v="40"/>
    <x v="3"/>
    <x v="1"/>
    <n v="36"/>
    <n v="25"/>
    <n v="0.26"/>
    <s v="Web"/>
    <n v="0"/>
    <n v="1"/>
    <n v="0"/>
    <n v="14.99"/>
    <n v="0"/>
  </r>
  <r>
    <n v="3213"/>
    <s v="Other"/>
    <n v="58"/>
    <x v="1"/>
    <x v="1"/>
    <n v="29"/>
    <n v="5"/>
    <n v="7.0000000000000007E-2"/>
    <s v="Web"/>
    <n v="0"/>
    <n v="1"/>
    <n v="1"/>
    <n v="14.99"/>
    <n v="14.99"/>
  </r>
  <r>
    <n v="3214"/>
    <s v="Other"/>
    <n v="57"/>
    <x v="3"/>
    <x v="3"/>
    <n v="201"/>
    <n v="53"/>
    <n v="0.14000000000000001"/>
    <s v="Desktop"/>
    <n v="0"/>
    <n v="1"/>
    <n v="0"/>
    <n v="4.99"/>
    <n v="0"/>
  </r>
  <r>
    <n v="3215"/>
    <s v="Female"/>
    <n v="55"/>
    <x v="2"/>
    <x v="2"/>
    <n v="102"/>
    <n v="53"/>
    <n v="0.03"/>
    <s v="Desktop"/>
    <n v="0"/>
    <n v="1"/>
    <n v="0"/>
    <n v="9.99"/>
    <n v="0"/>
  </r>
  <r>
    <n v="3216"/>
    <s v="Female"/>
    <n v="16"/>
    <x v="2"/>
    <x v="1"/>
    <n v="262"/>
    <n v="52"/>
    <n v="0.56999999999999995"/>
    <s v="Desktop"/>
    <n v="0"/>
    <n v="1"/>
    <n v="1"/>
    <n v="14.99"/>
    <n v="14.99"/>
  </r>
  <r>
    <n v="3217"/>
    <s v="Male"/>
    <n v="56"/>
    <x v="0"/>
    <x v="2"/>
    <n v="98"/>
    <n v="12"/>
    <n v="0.56000000000000005"/>
    <s v="Web"/>
    <n v="0"/>
    <n v="1"/>
    <n v="1"/>
    <n v="9.99"/>
    <n v="9.99"/>
  </r>
  <r>
    <n v="3218"/>
    <s v="Female"/>
    <n v="27"/>
    <x v="3"/>
    <x v="0"/>
    <n v="226"/>
    <n v="20"/>
    <n v="0.53"/>
    <s v="Mobile"/>
    <n v="13"/>
    <n v="0"/>
    <n v="1"/>
    <n v="0"/>
    <n v="0"/>
  </r>
  <r>
    <n v="3219"/>
    <s v="Female"/>
    <n v="29"/>
    <x v="5"/>
    <x v="1"/>
    <n v="273"/>
    <n v="6"/>
    <n v="0.21"/>
    <s v="Desktop"/>
    <n v="0"/>
    <n v="1"/>
    <n v="0"/>
    <n v="14.99"/>
    <n v="0"/>
  </r>
  <r>
    <n v="3220"/>
    <s v="Other"/>
    <n v="55"/>
    <x v="6"/>
    <x v="3"/>
    <n v="286"/>
    <n v="39"/>
    <n v="0.2"/>
    <s v="Mobile"/>
    <n v="0"/>
    <n v="1"/>
    <n v="0"/>
    <n v="4.99"/>
    <n v="0"/>
  </r>
  <r>
    <n v="3221"/>
    <s v="Female"/>
    <n v="19"/>
    <x v="1"/>
    <x v="3"/>
    <n v="24"/>
    <n v="94"/>
    <n v="0.25"/>
    <s v="Web"/>
    <n v="0"/>
    <n v="1"/>
    <n v="0"/>
    <n v="4.99"/>
    <n v="0"/>
  </r>
  <r>
    <n v="3222"/>
    <s v="Other"/>
    <n v="38"/>
    <x v="4"/>
    <x v="2"/>
    <n v="267"/>
    <n v="34"/>
    <n v="0.44"/>
    <s v="Mobile"/>
    <n v="0"/>
    <n v="1"/>
    <n v="0"/>
    <n v="9.99"/>
    <n v="0"/>
  </r>
  <r>
    <n v="3223"/>
    <s v="Other"/>
    <n v="44"/>
    <x v="7"/>
    <x v="0"/>
    <n v="270"/>
    <n v="37"/>
    <n v="7.0000000000000007E-2"/>
    <s v="Mobile"/>
    <n v="31"/>
    <n v="0"/>
    <n v="1"/>
    <n v="0"/>
    <n v="0"/>
  </r>
  <r>
    <n v="3224"/>
    <s v="Male"/>
    <n v="19"/>
    <x v="0"/>
    <x v="1"/>
    <n v="168"/>
    <n v="49"/>
    <n v="0.43"/>
    <s v="Mobile"/>
    <n v="0"/>
    <n v="1"/>
    <n v="0"/>
    <n v="14.99"/>
    <n v="0"/>
  </r>
  <r>
    <n v="3225"/>
    <s v="Female"/>
    <n v="22"/>
    <x v="4"/>
    <x v="2"/>
    <n v="258"/>
    <n v="66"/>
    <n v="0.04"/>
    <s v="Web"/>
    <n v="0"/>
    <n v="1"/>
    <n v="0"/>
    <n v="9.99"/>
    <n v="0"/>
  </r>
  <r>
    <n v="3226"/>
    <s v="Male"/>
    <n v="56"/>
    <x v="5"/>
    <x v="2"/>
    <n v="121"/>
    <n v="61"/>
    <n v="0.56999999999999995"/>
    <s v="Mobile"/>
    <n v="0"/>
    <n v="1"/>
    <n v="0"/>
    <n v="9.99"/>
    <n v="0"/>
  </r>
  <r>
    <n v="3227"/>
    <s v="Other"/>
    <n v="42"/>
    <x v="1"/>
    <x v="2"/>
    <n v="113"/>
    <n v="54"/>
    <n v="0.36"/>
    <s v="Desktop"/>
    <n v="0"/>
    <n v="1"/>
    <n v="1"/>
    <n v="9.99"/>
    <n v="9.99"/>
  </r>
  <r>
    <n v="3228"/>
    <s v="Female"/>
    <n v="53"/>
    <x v="5"/>
    <x v="3"/>
    <n v="61"/>
    <n v="35"/>
    <n v="0.35"/>
    <s v="Mobile"/>
    <n v="0"/>
    <n v="1"/>
    <n v="1"/>
    <n v="4.99"/>
    <n v="4.99"/>
  </r>
  <r>
    <n v="3229"/>
    <s v="Male"/>
    <n v="46"/>
    <x v="0"/>
    <x v="1"/>
    <n v="86"/>
    <n v="98"/>
    <n v="0.23"/>
    <s v="Desktop"/>
    <n v="0"/>
    <n v="1"/>
    <n v="0"/>
    <n v="14.99"/>
    <n v="0"/>
  </r>
  <r>
    <n v="3230"/>
    <s v="Other"/>
    <n v="55"/>
    <x v="4"/>
    <x v="2"/>
    <n v="173"/>
    <n v="73"/>
    <n v="0.28000000000000003"/>
    <s v="Mobile"/>
    <n v="0"/>
    <n v="1"/>
    <n v="0"/>
    <n v="9.99"/>
    <n v="0"/>
  </r>
  <r>
    <n v="3231"/>
    <s v="Female"/>
    <n v="21"/>
    <x v="4"/>
    <x v="2"/>
    <n v="65"/>
    <n v="63"/>
    <n v="0.35"/>
    <s v="Mobile"/>
    <n v="0"/>
    <n v="1"/>
    <n v="0"/>
    <n v="9.99"/>
    <n v="0"/>
  </r>
  <r>
    <n v="3232"/>
    <s v="Other"/>
    <n v="23"/>
    <x v="3"/>
    <x v="0"/>
    <n v="230"/>
    <n v="92"/>
    <n v="0.22"/>
    <s v="Web"/>
    <n v="18"/>
    <n v="0"/>
    <n v="1"/>
    <n v="0"/>
    <n v="0"/>
  </r>
  <r>
    <n v="3233"/>
    <s v="Female"/>
    <n v="20"/>
    <x v="5"/>
    <x v="0"/>
    <n v="289"/>
    <n v="82"/>
    <n v="0.31"/>
    <s v="Desktop"/>
    <n v="18"/>
    <n v="0"/>
    <n v="0"/>
    <n v="0"/>
    <n v="0"/>
  </r>
  <r>
    <n v="3234"/>
    <s v="Female"/>
    <n v="40"/>
    <x v="6"/>
    <x v="3"/>
    <n v="150"/>
    <n v="96"/>
    <n v="0.04"/>
    <s v="Desktop"/>
    <n v="0"/>
    <n v="1"/>
    <n v="0"/>
    <n v="4.99"/>
    <n v="0"/>
  </r>
  <r>
    <n v="3235"/>
    <s v="Other"/>
    <n v="35"/>
    <x v="0"/>
    <x v="3"/>
    <n v="27"/>
    <n v="75"/>
    <n v="0.15"/>
    <s v="Mobile"/>
    <n v="0"/>
    <n v="1"/>
    <n v="0"/>
    <n v="4.99"/>
    <n v="0"/>
  </r>
  <r>
    <n v="3236"/>
    <s v="Female"/>
    <n v="30"/>
    <x v="7"/>
    <x v="1"/>
    <n v="30"/>
    <n v="64"/>
    <n v="0.3"/>
    <s v="Desktop"/>
    <n v="0"/>
    <n v="1"/>
    <n v="0"/>
    <n v="14.99"/>
    <n v="0"/>
  </r>
  <r>
    <n v="3237"/>
    <s v="Male"/>
    <n v="20"/>
    <x v="5"/>
    <x v="1"/>
    <n v="269"/>
    <n v="96"/>
    <n v="0.34"/>
    <s v="Mobile"/>
    <n v="0"/>
    <n v="1"/>
    <n v="0"/>
    <n v="14.99"/>
    <n v="0"/>
  </r>
  <r>
    <n v="3238"/>
    <s v="Male"/>
    <n v="47"/>
    <x v="6"/>
    <x v="1"/>
    <n v="237"/>
    <n v="29"/>
    <n v="0.57999999999999996"/>
    <s v="Web"/>
    <n v="0"/>
    <n v="1"/>
    <n v="0"/>
    <n v="14.99"/>
    <n v="0"/>
  </r>
  <r>
    <n v="3239"/>
    <s v="Female"/>
    <n v="59"/>
    <x v="7"/>
    <x v="2"/>
    <n v="123"/>
    <n v="59"/>
    <n v="0.23"/>
    <s v="Desktop"/>
    <n v="0"/>
    <n v="1"/>
    <n v="1"/>
    <n v="9.99"/>
    <n v="9.99"/>
  </r>
  <r>
    <n v="3240"/>
    <s v="Other"/>
    <n v="41"/>
    <x v="1"/>
    <x v="2"/>
    <n v="149"/>
    <n v="22"/>
    <n v="0.16"/>
    <s v="Web"/>
    <n v="0"/>
    <n v="1"/>
    <n v="0"/>
    <n v="9.99"/>
    <n v="0"/>
  </r>
  <r>
    <n v="3241"/>
    <s v="Female"/>
    <n v="18"/>
    <x v="4"/>
    <x v="2"/>
    <n v="286"/>
    <n v="49"/>
    <n v="0.46"/>
    <s v="Web"/>
    <n v="0"/>
    <n v="1"/>
    <n v="0"/>
    <n v="9.99"/>
    <n v="0"/>
  </r>
  <r>
    <n v="3242"/>
    <s v="Female"/>
    <n v="58"/>
    <x v="4"/>
    <x v="3"/>
    <n v="45"/>
    <n v="59"/>
    <n v="0.49"/>
    <s v="Desktop"/>
    <n v="0"/>
    <n v="1"/>
    <n v="0"/>
    <n v="4.99"/>
    <n v="0"/>
  </r>
  <r>
    <n v="3243"/>
    <s v="Male"/>
    <n v="27"/>
    <x v="3"/>
    <x v="3"/>
    <n v="65"/>
    <n v="62"/>
    <n v="0.1"/>
    <s v="Mobile"/>
    <n v="0"/>
    <n v="1"/>
    <n v="0"/>
    <n v="4.99"/>
    <n v="0"/>
  </r>
  <r>
    <n v="3244"/>
    <s v="Other"/>
    <n v="45"/>
    <x v="3"/>
    <x v="1"/>
    <n v="262"/>
    <n v="16"/>
    <n v="0.45"/>
    <s v="Web"/>
    <n v="0"/>
    <n v="1"/>
    <n v="0"/>
    <n v="14.99"/>
    <n v="0"/>
  </r>
  <r>
    <n v="3245"/>
    <s v="Male"/>
    <n v="38"/>
    <x v="5"/>
    <x v="0"/>
    <n v="262"/>
    <n v="82"/>
    <n v="0.45"/>
    <s v="Desktop"/>
    <n v="46"/>
    <n v="0"/>
    <n v="0"/>
    <n v="0"/>
    <n v="0"/>
  </r>
  <r>
    <n v="3246"/>
    <s v="Male"/>
    <n v="33"/>
    <x v="0"/>
    <x v="2"/>
    <n v="134"/>
    <n v="34"/>
    <n v="0.04"/>
    <s v="Desktop"/>
    <n v="0"/>
    <n v="1"/>
    <n v="0"/>
    <n v="9.99"/>
    <n v="0"/>
  </r>
  <r>
    <n v="3247"/>
    <s v="Female"/>
    <n v="32"/>
    <x v="2"/>
    <x v="1"/>
    <n v="280"/>
    <n v="25"/>
    <n v="7.0000000000000007E-2"/>
    <s v="Mobile"/>
    <n v="0"/>
    <n v="1"/>
    <n v="0"/>
    <n v="14.99"/>
    <n v="0"/>
  </r>
  <r>
    <n v="3248"/>
    <s v="Other"/>
    <n v="26"/>
    <x v="2"/>
    <x v="3"/>
    <n v="36"/>
    <n v="89"/>
    <n v="0.4"/>
    <s v="Desktop"/>
    <n v="0"/>
    <n v="1"/>
    <n v="0"/>
    <n v="4.99"/>
    <n v="0"/>
  </r>
  <r>
    <n v="3249"/>
    <s v="Female"/>
    <n v="51"/>
    <x v="1"/>
    <x v="0"/>
    <n v="12"/>
    <n v="53"/>
    <n v="0.05"/>
    <s v="Mobile"/>
    <n v="14"/>
    <n v="0"/>
    <n v="1"/>
    <n v="0"/>
    <n v="0"/>
  </r>
  <r>
    <n v="3250"/>
    <s v="Female"/>
    <n v="41"/>
    <x v="4"/>
    <x v="0"/>
    <n v="296"/>
    <n v="42"/>
    <n v="0.15"/>
    <s v="Mobile"/>
    <n v="37"/>
    <n v="0"/>
    <n v="0"/>
    <n v="0"/>
    <n v="0"/>
  </r>
  <r>
    <n v="3251"/>
    <s v="Male"/>
    <n v="26"/>
    <x v="2"/>
    <x v="1"/>
    <n v="109"/>
    <n v="41"/>
    <n v="0.51"/>
    <s v="Web"/>
    <n v="0"/>
    <n v="1"/>
    <n v="1"/>
    <n v="14.99"/>
    <n v="14.99"/>
  </r>
  <r>
    <n v="3252"/>
    <s v="Male"/>
    <n v="48"/>
    <x v="5"/>
    <x v="2"/>
    <n v="172"/>
    <n v="36"/>
    <n v="0.27"/>
    <s v="Mobile"/>
    <n v="0"/>
    <n v="1"/>
    <n v="1"/>
    <n v="9.99"/>
    <n v="9.99"/>
  </r>
  <r>
    <n v="3253"/>
    <s v="Other"/>
    <n v="19"/>
    <x v="7"/>
    <x v="2"/>
    <n v="118"/>
    <n v="54"/>
    <n v="0.11"/>
    <s v="Mobile"/>
    <n v="0"/>
    <n v="1"/>
    <n v="0"/>
    <n v="9.99"/>
    <n v="0"/>
  </r>
  <r>
    <n v="3254"/>
    <s v="Other"/>
    <n v="32"/>
    <x v="1"/>
    <x v="0"/>
    <n v="27"/>
    <n v="70"/>
    <n v="0.3"/>
    <s v="Web"/>
    <n v="34"/>
    <n v="0"/>
    <n v="0"/>
    <n v="0"/>
    <n v="0"/>
  </r>
  <r>
    <n v="3255"/>
    <s v="Male"/>
    <n v="35"/>
    <x v="2"/>
    <x v="0"/>
    <n v="263"/>
    <n v="16"/>
    <n v="0.39"/>
    <s v="Mobile"/>
    <n v="21"/>
    <n v="0"/>
    <n v="0"/>
    <n v="0"/>
    <n v="0"/>
  </r>
  <r>
    <n v="3256"/>
    <s v="Other"/>
    <n v="17"/>
    <x v="1"/>
    <x v="0"/>
    <n v="227"/>
    <n v="66"/>
    <n v="0.34"/>
    <s v="Web"/>
    <n v="44"/>
    <n v="0"/>
    <n v="1"/>
    <n v="0"/>
    <n v="0"/>
  </r>
  <r>
    <n v="3257"/>
    <s v="Other"/>
    <n v="20"/>
    <x v="5"/>
    <x v="3"/>
    <n v="159"/>
    <n v="92"/>
    <n v="0.34"/>
    <s v="Web"/>
    <n v="0"/>
    <n v="1"/>
    <n v="0"/>
    <n v="4.99"/>
    <n v="0"/>
  </r>
  <r>
    <n v="3258"/>
    <s v="Other"/>
    <n v="25"/>
    <x v="4"/>
    <x v="0"/>
    <n v="276"/>
    <n v="9"/>
    <n v="0.59"/>
    <s v="Web"/>
    <n v="37"/>
    <n v="0"/>
    <n v="0"/>
    <n v="0"/>
    <n v="0"/>
  </r>
  <r>
    <n v="3259"/>
    <s v="Female"/>
    <n v="47"/>
    <x v="6"/>
    <x v="2"/>
    <n v="147"/>
    <n v="38"/>
    <n v="0.21"/>
    <s v="Web"/>
    <n v="0"/>
    <n v="1"/>
    <n v="0"/>
    <n v="9.99"/>
    <n v="0"/>
  </r>
  <r>
    <n v="3260"/>
    <s v="Male"/>
    <n v="47"/>
    <x v="1"/>
    <x v="2"/>
    <n v="111"/>
    <n v="63"/>
    <n v="0.22"/>
    <s v="Desktop"/>
    <n v="0"/>
    <n v="1"/>
    <n v="1"/>
    <n v="9.99"/>
    <n v="9.99"/>
  </r>
  <r>
    <n v="3261"/>
    <s v="Other"/>
    <n v="27"/>
    <x v="2"/>
    <x v="3"/>
    <n v="275"/>
    <n v="46"/>
    <n v="0.17"/>
    <s v="Mobile"/>
    <n v="0"/>
    <n v="1"/>
    <n v="0"/>
    <n v="4.99"/>
    <n v="0"/>
  </r>
  <r>
    <n v="3262"/>
    <s v="Male"/>
    <n v="50"/>
    <x v="1"/>
    <x v="3"/>
    <n v="19"/>
    <n v="72"/>
    <n v="0.51"/>
    <s v="Mobile"/>
    <n v="0"/>
    <n v="1"/>
    <n v="1"/>
    <n v="4.99"/>
    <n v="4.99"/>
  </r>
  <r>
    <n v="3263"/>
    <s v="Other"/>
    <n v="47"/>
    <x v="5"/>
    <x v="2"/>
    <n v="82"/>
    <n v="31"/>
    <n v="0.52"/>
    <s v="Web"/>
    <n v="0"/>
    <n v="1"/>
    <n v="0"/>
    <n v="9.99"/>
    <n v="0"/>
  </r>
  <r>
    <n v="3264"/>
    <s v="Male"/>
    <n v="31"/>
    <x v="6"/>
    <x v="3"/>
    <n v="294"/>
    <n v="86"/>
    <n v="0.25"/>
    <s v="Desktop"/>
    <n v="0"/>
    <n v="1"/>
    <n v="0"/>
    <n v="4.99"/>
    <n v="0"/>
  </r>
  <r>
    <n v="3265"/>
    <s v="Male"/>
    <n v="45"/>
    <x v="5"/>
    <x v="1"/>
    <n v="183"/>
    <n v="27"/>
    <n v="0.06"/>
    <s v="Desktop"/>
    <n v="0"/>
    <n v="1"/>
    <n v="0"/>
    <n v="14.99"/>
    <n v="0"/>
  </r>
  <r>
    <n v="3266"/>
    <s v="Female"/>
    <n v="20"/>
    <x v="4"/>
    <x v="2"/>
    <n v="200"/>
    <n v="67"/>
    <n v="0.16"/>
    <s v="Mobile"/>
    <n v="0"/>
    <n v="1"/>
    <n v="0"/>
    <n v="9.99"/>
    <n v="0"/>
  </r>
  <r>
    <n v="3267"/>
    <s v="Other"/>
    <n v="47"/>
    <x v="4"/>
    <x v="1"/>
    <n v="234"/>
    <n v="10"/>
    <n v="0.47"/>
    <s v="Web"/>
    <n v="0"/>
    <n v="1"/>
    <n v="0"/>
    <n v="14.99"/>
    <n v="0"/>
  </r>
  <r>
    <n v="3268"/>
    <s v="Other"/>
    <n v="33"/>
    <x v="3"/>
    <x v="1"/>
    <n v="94"/>
    <n v="49"/>
    <n v="0.57999999999999996"/>
    <s v="Mobile"/>
    <n v="0"/>
    <n v="1"/>
    <n v="0"/>
    <n v="14.99"/>
    <n v="0"/>
  </r>
  <r>
    <n v="3269"/>
    <s v="Female"/>
    <n v="43"/>
    <x v="1"/>
    <x v="1"/>
    <n v="130"/>
    <n v="49"/>
    <n v="0.1"/>
    <s v="Mobile"/>
    <n v="0"/>
    <n v="1"/>
    <n v="0"/>
    <n v="14.99"/>
    <n v="0"/>
  </r>
  <r>
    <n v="3270"/>
    <s v="Female"/>
    <n v="30"/>
    <x v="5"/>
    <x v="0"/>
    <n v="41"/>
    <n v="11"/>
    <n v="0.59"/>
    <s v="Mobile"/>
    <n v="5"/>
    <n v="0"/>
    <n v="1"/>
    <n v="0"/>
    <n v="0"/>
  </r>
  <r>
    <n v="3271"/>
    <s v="Other"/>
    <n v="59"/>
    <x v="7"/>
    <x v="3"/>
    <n v="131"/>
    <n v="39"/>
    <n v="0.54"/>
    <s v="Web"/>
    <n v="0"/>
    <n v="1"/>
    <n v="0"/>
    <n v="4.99"/>
    <n v="0"/>
  </r>
  <r>
    <n v="3272"/>
    <s v="Female"/>
    <n v="50"/>
    <x v="7"/>
    <x v="3"/>
    <n v="231"/>
    <n v="90"/>
    <n v="0.06"/>
    <s v="Mobile"/>
    <n v="0"/>
    <n v="1"/>
    <n v="0"/>
    <n v="4.99"/>
    <n v="0"/>
  </r>
  <r>
    <n v="3273"/>
    <s v="Male"/>
    <n v="28"/>
    <x v="3"/>
    <x v="0"/>
    <n v="170"/>
    <n v="25"/>
    <n v="0.16"/>
    <s v="Web"/>
    <n v="32"/>
    <n v="0"/>
    <n v="0"/>
    <n v="0"/>
    <n v="0"/>
  </r>
  <r>
    <n v="3274"/>
    <s v="Other"/>
    <n v="47"/>
    <x v="4"/>
    <x v="1"/>
    <n v="22"/>
    <n v="30"/>
    <n v="0.17"/>
    <s v="Mobile"/>
    <n v="0"/>
    <n v="1"/>
    <n v="0"/>
    <n v="14.99"/>
    <n v="0"/>
  </r>
  <r>
    <n v="3275"/>
    <s v="Female"/>
    <n v="41"/>
    <x v="6"/>
    <x v="1"/>
    <n v="260"/>
    <n v="73"/>
    <n v="0.38"/>
    <s v="Desktop"/>
    <n v="0"/>
    <n v="1"/>
    <n v="0"/>
    <n v="14.99"/>
    <n v="0"/>
  </r>
  <r>
    <n v="3276"/>
    <s v="Other"/>
    <n v="56"/>
    <x v="7"/>
    <x v="3"/>
    <n v="74"/>
    <n v="65"/>
    <n v="0.51"/>
    <s v="Mobile"/>
    <n v="0"/>
    <n v="1"/>
    <n v="1"/>
    <n v="4.99"/>
    <n v="4.99"/>
  </r>
  <r>
    <n v="3277"/>
    <s v="Male"/>
    <n v="23"/>
    <x v="4"/>
    <x v="1"/>
    <n v="112"/>
    <n v="82"/>
    <n v="0"/>
    <s v="Web"/>
    <n v="0"/>
    <n v="1"/>
    <n v="1"/>
    <n v="14.99"/>
    <n v="14.99"/>
  </r>
  <r>
    <n v="3278"/>
    <s v="Female"/>
    <n v="58"/>
    <x v="7"/>
    <x v="3"/>
    <n v="91"/>
    <n v="17"/>
    <n v="0.1"/>
    <s v="Desktop"/>
    <n v="0"/>
    <n v="1"/>
    <n v="0"/>
    <n v="4.99"/>
    <n v="0"/>
  </r>
  <r>
    <n v="3279"/>
    <s v="Female"/>
    <n v="49"/>
    <x v="1"/>
    <x v="0"/>
    <n v="74"/>
    <n v="12"/>
    <n v="0.49"/>
    <s v="Web"/>
    <n v="6"/>
    <n v="0"/>
    <n v="0"/>
    <n v="0"/>
    <n v="0"/>
  </r>
  <r>
    <n v="3280"/>
    <s v="Male"/>
    <n v="43"/>
    <x v="7"/>
    <x v="2"/>
    <n v="33"/>
    <n v="9"/>
    <n v="0.45"/>
    <s v="Web"/>
    <n v="0"/>
    <n v="1"/>
    <n v="0"/>
    <n v="9.99"/>
    <n v="0"/>
  </r>
  <r>
    <n v="3281"/>
    <s v="Female"/>
    <n v="16"/>
    <x v="3"/>
    <x v="1"/>
    <n v="228"/>
    <n v="21"/>
    <n v="0.2"/>
    <s v="Web"/>
    <n v="0"/>
    <n v="1"/>
    <n v="0"/>
    <n v="14.99"/>
    <n v="0"/>
  </r>
  <r>
    <n v="3282"/>
    <s v="Other"/>
    <n v="59"/>
    <x v="0"/>
    <x v="1"/>
    <n v="162"/>
    <n v="7"/>
    <n v="0.47"/>
    <s v="Desktop"/>
    <n v="0"/>
    <n v="1"/>
    <n v="1"/>
    <n v="14.99"/>
    <n v="14.99"/>
  </r>
  <r>
    <n v="3283"/>
    <s v="Other"/>
    <n v="22"/>
    <x v="0"/>
    <x v="3"/>
    <n v="192"/>
    <n v="30"/>
    <n v="0.28999999999999998"/>
    <s v="Mobile"/>
    <n v="0"/>
    <n v="1"/>
    <n v="0"/>
    <n v="4.99"/>
    <n v="0"/>
  </r>
  <r>
    <n v="3284"/>
    <s v="Male"/>
    <n v="40"/>
    <x v="3"/>
    <x v="0"/>
    <n v="14"/>
    <n v="55"/>
    <n v="0.11"/>
    <s v="Desktop"/>
    <n v="24"/>
    <n v="0"/>
    <n v="0"/>
    <n v="0"/>
    <n v="0"/>
  </r>
  <r>
    <n v="3285"/>
    <s v="Female"/>
    <n v="24"/>
    <x v="5"/>
    <x v="3"/>
    <n v="198"/>
    <n v="81"/>
    <n v="0.44"/>
    <s v="Web"/>
    <n v="0"/>
    <n v="1"/>
    <n v="1"/>
    <n v="4.99"/>
    <n v="4.99"/>
  </r>
  <r>
    <n v="3286"/>
    <s v="Female"/>
    <n v="35"/>
    <x v="6"/>
    <x v="2"/>
    <n v="259"/>
    <n v="47"/>
    <n v="0.05"/>
    <s v="Web"/>
    <n v="0"/>
    <n v="1"/>
    <n v="0"/>
    <n v="9.99"/>
    <n v="0"/>
  </r>
  <r>
    <n v="3287"/>
    <s v="Female"/>
    <n v="24"/>
    <x v="7"/>
    <x v="1"/>
    <n v="204"/>
    <n v="68"/>
    <n v="0.48"/>
    <s v="Mobile"/>
    <n v="0"/>
    <n v="1"/>
    <n v="1"/>
    <n v="14.99"/>
    <n v="14.99"/>
  </r>
  <r>
    <n v="3288"/>
    <s v="Other"/>
    <n v="41"/>
    <x v="5"/>
    <x v="1"/>
    <n v="291"/>
    <n v="70"/>
    <n v="0.44"/>
    <s v="Mobile"/>
    <n v="0"/>
    <n v="1"/>
    <n v="1"/>
    <n v="14.99"/>
    <n v="14.99"/>
  </r>
  <r>
    <n v="3289"/>
    <s v="Female"/>
    <n v="39"/>
    <x v="5"/>
    <x v="3"/>
    <n v="132"/>
    <n v="57"/>
    <n v="0.5"/>
    <s v="Web"/>
    <n v="0"/>
    <n v="1"/>
    <n v="1"/>
    <n v="4.99"/>
    <n v="4.99"/>
  </r>
  <r>
    <n v="3290"/>
    <s v="Male"/>
    <n v="21"/>
    <x v="6"/>
    <x v="1"/>
    <n v="58"/>
    <n v="59"/>
    <n v="0.42"/>
    <s v="Desktop"/>
    <n v="0"/>
    <n v="1"/>
    <n v="1"/>
    <n v="14.99"/>
    <n v="14.99"/>
  </r>
  <r>
    <n v="3291"/>
    <s v="Other"/>
    <n v="37"/>
    <x v="0"/>
    <x v="1"/>
    <n v="271"/>
    <n v="8"/>
    <n v="0.59"/>
    <s v="Web"/>
    <n v="0"/>
    <n v="1"/>
    <n v="1"/>
    <n v="14.99"/>
    <n v="14.99"/>
  </r>
  <r>
    <n v="3292"/>
    <s v="Male"/>
    <n v="51"/>
    <x v="7"/>
    <x v="3"/>
    <n v="11"/>
    <n v="58"/>
    <n v="0.38"/>
    <s v="Desktop"/>
    <n v="0"/>
    <n v="1"/>
    <n v="0"/>
    <n v="4.99"/>
    <n v="0"/>
  </r>
  <r>
    <n v="3293"/>
    <s v="Female"/>
    <n v="16"/>
    <x v="6"/>
    <x v="0"/>
    <n v="212"/>
    <n v="67"/>
    <n v="0.38"/>
    <s v="Desktop"/>
    <n v="18"/>
    <n v="0"/>
    <n v="0"/>
    <n v="0"/>
    <n v="0"/>
  </r>
  <r>
    <n v="3294"/>
    <s v="Other"/>
    <n v="50"/>
    <x v="0"/>
    <x v="2"/>
    <n v="272"/>
    <n v="1"/>
    <n v="0.16"/>
    <s v="Desktop"/>
    <n v="0"/>
    <n v="1"/>
    <n v="1"/>
    <n v="9.99"/>
    <n v="9.99"/>
  </r>
  <r>
    <n v="3295"/>
    <s v="Male"/>
    <n v="42"/>
    <x v="4"/>
    <x v="0"/>
    <n v="86"/>
    <n v="4"/>
    <n v="0.2"/>
    <s v="Desktop"/>
    <n v="29"/>
    <n v="0"/>
    <n v="0"/>
    <n v="0"/>
    <n v="0"/>
  </r>
  <r>
    <n v="3296"/>
    <s v="Female"/>
    <n v="21"/>
    <x v="5"/>
    <x v="3"/>
    <n v="103"/>
    <n v="87"/>
    <n v="0.38"/>
    <s v="Mobile"/>
    <n v="0"/>
    <n v="1"/>
    <n v="0"/>
    <n v="4.99"/>
    <n v="0"/>
  </r>
  <r>
    <n v="3297"/>
    <s v="Other"/>
    <n v="41"/>
    <x v="5"/>
    <x v="3"/>
    <n v="33"/>
    <n v="60"/>
    <n v="0.24"/>
    <s v="Web"/>
    <n v="0"/>
    <n v="1"/>
    <n v="0"/>
    <n v="4.99"/>
    <n v="0"/>
  </r>
  <r>
    <n v="3298"/>
    <s v="Female"/>
    <n v="21"/>
    <x v="3"/>
    <x v="3"/>
    <n v="190"/>
    <n v="8"/>
    <n v="0.36"/>
    <s v="Desktop"/>
    <n v="0"/>
    <n v="1"/>
    <n v="0"/>
    <n v="4.99"/>
    <n v="0"/>
  </r>
  <r>
    <n v="3299"/>
    <s v="Other"/>
    <n v="58"/>
    <x v="6"/>
    <x v="1"/>
    <n v="266"/>
    <n v="52"/>
    <n v="0.56999999999999995"/>
    <s v="Web"/>
    <n v="0"/>
    <n v="1"/>
    <n v="0"/>
    <n v="14.99"/>
    <n v="0"/>
  </r>
  <r>
    <n v="3300"/>
    <s v="Female"/>
    <n v="39"/>
    <x v="6"/>
    <x v="0"/>
    <n v="232"/>
    <n v="45"/>
    <n v="0.22"/>
    <s v="Web"/>
    <n v="12"/>
    <n v="0"/>
    <n v="1"/>
    <n v="0"/>
    <n v="0"/>
  </r>
  <r>
    <n v="3301"/>
    <s v="Other"/>
    <n v="42"/>
    <x v="2"/>
    <x v="3"/>
    <n v="24"/>
    <n v="70"/>
    <n v="0.17"/>
    <s v="Mobile"/>
    <n v="0"/>
    <n v="1"/>
    <n v="0"/>
    <n v="4.99"/>
    <n v="0"/>
  </r>
  <r>
    <n v="3302"/>
    <s v="Male"/>
    <n v="21"/>
    <x v="0"/>
    <x v="3"/>
    <n v="242"/>
    <n v="18"/>
    <n v="0.12"/>
    <s v="Desktop"/>
    <n v="0"/>
    <n v="1"/>
    <n v="0"/>
    <n v="4.99"/>
    <n v="0"/>
  </r>
  <r>
    <n v="3303"/>
    <s v="Male"/>
    <n v="44"/>
    <x v="7"/>
    <x v="0"/>
    <n v="274"/>
    <n v="29"/>
    <n v="0.14000000000000001"/>
    <s v="Desktop"/>
    <n v="17"/>
    <n v="0"/>
    <n v="0"/>
    <n v="0"/>
    <n v="0"/>
  </r>
  <r>
    <n v="3304"/>
    <s v="Female"/>
    <n v="54"/>
    <x v="5"/>
    <x v="0"/>
    <n v="20"/>
    <n v="50"/>
    <n v="0.31"/>
    <s v="Mobile"/>
    <n v="15"/>
    <n v="0"/>
    <n v="1"/>
    <n v="0"/>
    <n v="0"/>
  </r>
  <r>
    <n v="3305"/>
    <s v="Female"/>
    <n v="19"/>
    <x v="5"/>
    <x v="3"/>
    <n v="128"/>
    <n v="56"/>
    <n v="0.26"/>
    <s v="Web"/>
    <n v="0"/>
    <n v="1"/>
    <n v="0"/>
    <n v="4.99"/>
    <n v="0"/>
  </r>
  <r>
    <n v="3306"/>
    <s v="Female"/>
    <n v="44"/>
    <x v="2"/>
    <x v="0"/>
    <n v="77"/>
    <n v="39"/>
    <n v="0.53"/>
    <s v="Web"/>
    <n v="18"/>
    <n v="0"/>
    <n v="1"/>
    <n v="0"/>
    <n v="0"/>
  </r>
  <r>
    <n v="3307"/>
    <s v="Male"/>
    <n v="42"/>
    <x v="0"/>
    <x v="3"/>
    <n v="245"/>
    <n v="81"/>
    <n v="0.46"/>
    <s v="Mobile"/>
    <n v="0"/>
    <n v="1"/>
    <n v="1"/>
    <n v="4.99"/>
    <n v="4.99"/>
  </r>
  <r>
    <n v="3308"/>
    <s v="Other"/>
    <n v="52"/>
    <x v="7"/>
    <x v="2"/>
    <n v="269"/>
    <n v="53"/>
    <n v="7.0000000000000007E-2"/>
    <s v="Desktop"/>
    <n v="0"/>
    <n v="1"/>
    <n v="0"/>
    <n v="9.99"/>
    <n v="0"/>
  </r>
  <r>
    <n v="3309"/>
    <s v="Male"/>
    <n v="49"/>
    <x v="7"/>
    <x v="3"/>
    <n v="256"/>
    <n v="96"/>
    <n v="0.16"/>
    <s v="Desktop"/>
    <n v="0"/>
    <n v="1"/>
    <n v="0"/>
    <n v="4.99"/>
    <n v="0"/>
  </r>
  <r>
    <n v="3310"/>
    <s v="Female"/>
    <n v="41"/>
    <x v="1"/>
    <x v="3"/>
    <n v="229"/>
    <n v="79"/>
    <n v="0.53"/>
    <s v="Desktop"/>
    <n v="0"/>
    <n v="1"/>
    <n v="1"/>
    <n v="4.99"/>
    <n v="4.99"/>
  </r>
  <r>
    <n v="3311"/>
    <s v="Other"/>
    <n v="58"/>
    <x v="5"/>
    <x v="0"/>
    <n v="113"/>
    <n v="62"/>
    <n v="0.48"/>
    <s v="Web"/>
    <n v="31"/>
    <n v="0"/>
    <n v="0"/>
    <n v="0"/>
    <n v="0"/>
  </r>
  <r>
    <n v="3312"/>
    <s v="Female"/>
    <n v="33"/>
    <x v="1"/>
    <x v="2"/>
    <n v="253"/>
    <n v="98"/>
    <n v="0.22"/>
    <s v="Mobile"/>
    <n v="0"/>
    <n v="1"/>
    <n v="0"/>
    <n v="9.99"/>
    <n v="0"/>
  </r>
  <r>
    <n v="3313"/>
    <s v="Other"/>
    <n v="57"/>
    <x v="4"/>
    <x v="3"/>
    <n v="72"/>
    <n v="42"/>
    <n v="0.39"/>
    <s v="Web"/>
    <n v="0"/>
    <n v="1"/>
    <n v="0"/>
    <n v="4.99"/>
    <n v="0"/>
  </r>
  <r>
    <n v="3314"/>
    <s v="Male"/>
    <n v="40"/>
    <x v="3"/>
    <x v="1"/>
    <n v="84"/>
    <n v="86"/>
    <n v="0.31"/>
    <s v="Web"/>
    <n v="0"/>
    <n v="1"/>
    <n v="1"/>
    <n v="14.99"/>
    <n v="14.99"/>
  </r>
  <r>
    <n v="3315"/>
    <s v="Male"/>
    <n v="37"/>
    <x v="5"/>
    <x v="1"/>
    <n v="212"/>
    <n v="92"/>
    <n v="0.56000000000000005"/>
    <s v="Desktop"/>
    <n v="0"/>
    <n v="1"/>
    <n v="0"/>
    <n v="14.99"/>
    <n v="0"/>
  </r>
  <r>
    <n v="3316"/>
    <s v="Female"/>
    <n v="21"/>
    <x v="2"/>
    <x v="2"/>
    <n v="151"/>
    <n v="66"/>
    <n v="0.51"/>
    <s v="Desktop"/>
    <n v="0"/>
    <n v="1"/>
    <n v="0"/>
    <n v="9.99"/>
    <n v="0"/>
  </r>
  <r>
    <n v="3317"/>
    <s v="Other"/>
    <n v="49"/>
    <x v="6"/>
    <x v="1"/>
    <n v="155"/>
    <n v="13"/>
    <n v="0.32"/>
    <s v="Desktop"/>
    <n v="0"/>
    <n v="1"/>
    <n v="1"/>
    <n v="14.99"/>
    <n v="14.99"/>
  </r>
  <r>
    <n v="3318"/>
    <s v="Male"/>
    <n v="33"/>
    <x v="3"/>
    <x v="3"/>
    <n v="278"/>
    <n v="70"/>
    <n v="0.24"/>
    <s v="Web"/>
    <n v="0"/>
    <n v="1"/>
    <n v="0"/>
    <n v="4.99"/>
    <n v="0"/>
  </r>
  <r>
    <n v="3319"/>
    <s v="Male"/>
    <n v="33"/>
    <x v="4"/>
    <x v="0"/>
    <n v="45"/>
    <n v="64"/>
    <n v="0.12"/>
    <s v="Desktop"/>
    <n v="39"/>
    <n v="0"/>
    <n v="0"/>
    <n v="0"/>
    <n v="0"/>
  </r>
  <r>
    <n v="3320"/>
    <s v="Other"/>
    <n v="28"/>
    <x v="2"/>
    <x v="1"/>
    <n v="72"/>
    <n v="57"/>
    <n v="0.54"/>
    <s v="Mobile"/>
    <n v="0"/>
    <n v="1"/>
    <n v="0"/>
    <n v="14.99"/>
    <n v="0"/>
  </r>
  <r>
    <n v="3321"/>
    <s v="Male"/>
    <n v="53"/>
    <x v="7"/>
    <x v="1"/>
    <n v="136"/>
    <n v="85"/>
    <n v="0.4"/>
    <s v="Mobile"/>
    <n v="0"/>
    <n v="1"/>
    <n v="0"/>
    <n v="14.99"/>
    <n v="0"/>
  </r>
  <r>
    <n v="3322"/>
    <s v="Male"/>
    <n v="40"/>
    <x v="1"/>
    <x v="2"/>
    <n v="197"/>
    <n v="18"/>
    <n v="0.08"/>
    <s v="Mobile"/>
    <n v="0"/>
    <n v="1"/>
    <n v="0"/>
    <n v="9.99"/>
    <n v="0"/>
  </r>
  <r>
    <n v="3323"/>
    <s v="Other"/>
    <n v="33"/>
    <x v="5"/>
    <x v="3"/>
    <n v="298"/>
    <n v="7"/>
    <n v="0.28000000000000003"/>
    <s v="Web"/>
    <n v="0"/>
    <n v="1"/>
    <n v="1"/>
    <n v="4.99"/>
    <n v="4.99"/>
  </r>
  <r>
    <n v="3324"/>
    <s v="Female"/>
    <n v="45"/>
    <x v="4"/>
    <x v="1"/>
    <n v="214"/>
    <n v="72"/>
    <n v="0.18"/>
    <s v="Desktop"/>
    <n v="0"/>
    <n v="1"/>
    <n v="0"/>
    <n v="14.99"/>
    <n v="0"/>
  </r>
  <r>
    <n v="3325"/>
    <s v="Other"/>
    <n v="24"/>
    <x v="0"/>
    <x v="0"/>
    <n v="150"/>
    <n v="53"/>
    <n v="0.21"/>
    <s v="Web"/>
    <n v="44"/>
    <n v="0"/>
    <n v="0"/>
    <n v="0"/>
    <n v="0"/>
  </r>
  <r>
    <n v="3326"/>
    <s v="Female"/>
    <n v="26"/>
    <x v="4"/>
    <x v="2"/>
    <n v="194"/>
    <n v="64"/>
    <n v="0.09"/>
    <s v="Mobile"/>
    <n v="0"/>
    <n v="1"/>
    <n v="0"/>
    <n v="9.99"/>
    <n v="0"/>
  </r>
  <r>
    <n v="3327"/>
    <s v="Male"/>
    <n v="49"/>
    <x v="4"/>
    <x v="1"/>
    <n v="234"/>
    <n v="58"/>
    <n v="0.4"/>
    <s v="Web"/>
    <n v="0"/>
    <n v="1"/>
    <n v="0"/>
    <n v="14.99"/>
    <n v="0"/>
  </r>
  <r>
    <n v="3328"/>
    <s v="Female"/>
    <n v="47"/>
    <x v="5"/>
    <x v="3"/>
    <n v="25"/>
    <n v="60"/>
    <n v="0.23"/>
    <s v="Desktop"/>
    <n v="0"/>
    <n v="1"/>
    <n v="0"/>
    <n v="4.99"/>
    <n v="0"/>
  </r>
  <r>
    <n v="3329"/>
    <s v="Other"/>
    <n v="22"/>
    <x v="7"/>
    <x v="0"/>
    <n v="217"/>
    <n v="74"/>
    <n v="0.55000000000000004"/>
    <s v="Mobile"/>
    <n v="13"/>
    <n v="0"/>
    <n v="0"/>
    <n v="0"/>
    <n v="0"/>
  </r>
  <r>
    <n v="3330"/>
    <s v="Female"/>
    <n v="57"/>
    <x v="6"/>
    <x v="0"/>
    <n v="75"/>
    <n v="62"/>
    <n v="0.49"/>
    <s v="Mobile"/>
    <n v="44"/>
    <n v="0"/>
    <n v="0"/>
    <n v="0"/>
    <n v="0"/>
  </r>
  <r>
    <n v="3331"/>
    <s v="Male"/>
    <n v="42"/>
    <x v="3"/>
    <x v="0"/>
    <n v="204"/>
    <n v="32"/>
    <n v="0.05"/>
    <s v="Web"/>
    <n v="36"/>
    <n v="0"/>
    <n v="1"/>
    <n v="0"/>
    <n v="0"/>
  </r>
  <r>
    <n v="3332"/>
    <s v="Other"/>
    <n v="55"/>
    <x v="5"/>
    <x v="3"/>
    <n v="33"/>
    <n v="99"/>
    <n v="0.48"/>
    <s v="Desktop"/>
    <n v="0"/>
    <n v="1"/>
    <n v="1"/>
    <n v="4.99"/>
    <n v="4.99"/>
  </r>
  <r>
    <n v="3333"/>
    <s v="Male"/>
    <n v="53"/>
    <x v="6"/>
    <x v="3"/>
    <n v="299"/>
    <n v="71"/>
    <n v="0.03"/>
    <s v="Desktop"/>
    <n v="0"/>
    <n v="1"/>
    <n v="0"/>
    <n v="4.99"/>
    <n v="0"/>
  </r>
  <r>
    <n v="3334"/>
    <s v="Male"/>
    <n v="21"/>
    <x v="4"/>
    <x v="0"/>
    <n v="183"/>
    <n v="51"/>
    <n v="0.55000000000000004"/>
    <s v="Desktop"/>
    <n v="21"/>
    <n v="0"/>
    <n v="0"/>
    <n v="0"/>
    <n v="0"/>
  </r>
  <r>
    <n v="3335"/>
    <s v="Female"/>
    <n v="51"/>
    <x v="0"/>
    <x v="2"/>
    <n v="225"/>
    <n v="38"/>
    <n v="0.22"/>
    <s v="Desktop"/>
    <n v="0"/>
    <n v="1"/>
    <n v="0"/>
    <n v="9.99"/>
    <n v="0"/>
  </r>
  <r>
    <n v="3336"/>
    <s v="Other"/>
    <n v="40"/>
    <x v="5"/>
    <x v="3"/>
    <n v="297"/>
    <n v="85"/>
    <n v="0.38"/>
    <s v="Mobile"/>
    <n v="0"/>
    <n v="1"/>
    <n v="1"/>
    <n v="4.99"/>
    <n v="4.99"/>
  </r>
  <r>
    <n v="3337"/>
    <s v="Female"/>
    <n v="30"/>
    <x v="6"/>
    <x v="2"/>
    <n v="101"/>
    <n v="35"/>
    <n v="0.41"/>
    <s v="Desktop"/>
    <n v="0"/>
    <n v="1"/>
    <n v="0"/>
    <n v="9.99"/>
    <n v="0"/>
  </r>
  <r>
    <n v="3338"/>
    <s v="Other"/>
    <n v="17"/>
    <x v="3"/>
    <x v="2"/>
    <n v="93"/>
    <n v="49"/>
    <n v="0.54"/>
    <s v="Web"/>
    <n v="0"/>
    <n v="1"/>
    <n v="1"/>
    <n v="9.99"/>
    <n v="9.99"/>
  </r>
  <r>
    <n v="3339"/>
    <s v="Male"/>
    <n v="56"/>
    <x v="4"/>
    <x v="0"/>
    <n v="287"/>
    <n v="21"/>
    <n v="0.28999999999999998"/>
    <s v="Web"/>
    <n v="34"/>
    <n v="0"/>
    <n v="1"/>
    <n v="0"/>
    <n v="0"/>
  </r>
  <r>
    <n v="3340"/>
    <s v="Male"/>
    <n v="37"/>
    <x v="2"/>
    <x v="1"/>
    <n v="33"/>
    <n v="58"/>
    <n v="0.1"/>
    <s v="Desktop"/>
    <n v="0"/>
    <n v="1"/>
    <n v="0"/>
    <n v="14.99"/>
    <n v="0"/>
  </r>
  <r>
    <n v="3341"/>
    <s v="Female"/>
    <n v="18"/>
    <x v="3"/>
    <x v="2"/>
    <n v="156"/>
    <n v="82"/>
    <n v="0.03"/>
    <s v="Mobile"/>
    <n v="0"/>
    <n v="1"/>
    <n v="1"/>
    <n v="9.99"/>
    <n v="9.99"/>
  </r>
  <r>
    <n v="3342"/>
    <s v="Other"/>
    <n v="29"/>
    <x v="1"/>
    <x v="1"/>
    <n v="245"/>
    <n v="72"/>
    <n v="0.22"/>
    <s v="Web"/>
    <n v="0"/>
    <n v="1"/>
    <n v="0"/>
    <n v="14.99"/>
    <n v="0"/>
  </r>
  <r>
    <n v="3343"/>
    <s v="Other"/>
    <n v="33"/>
    <x v="0"/>
    <x v="0"/>
    <n v="298"/>
    <n v="86"/>
    <n v="0.26"/>
    <s v="Mobile"/>
    <n v="24"/>
    <n v="0"/>
    <n v="0"/>
    <n v="0"/>
    <n v="0"/>
  </r>
  <r>
    <n v="3344"/>
    <s v="Male"/>
    <n v="32"/>
    <x v="3"/>
    <x v="3"/>
    <n v="186"/>
    <n v="35"/>
    <n v="0.5"/>
    <s v="Desktop"/>
    <n v="0"/>
    <n v="1"/>
    <n v="0"/>
    <n v="4.99"/>
    <n v="0"/>
  </r>
  <r>
    <n v="3345"/>
    <s v="Male"/>
    <n v="21"/>
    <x v="0"/>
    <x v="2"/>
    <n v="291"/>
    <n v="45"/>
    <n v="0.24"/>
    <s v="Web"/>
    <n v="0"/>
    <n v="1"/>
    <n v="1"/>
    <n v="9.99"/>
    <n v="9.99"/>
  </r>
  <r>
    <n v="3346"/>
    <s v="Other"/>
    <n v="52"/>
    <x v="2"/>
    <x v="0"/>
    <n v="226"/>
    <n v="6"/>
    <n v="0.3"/>
    <s v="Web"/>
    <n v="18"/>
    <n v="0"/>
    <n v="1"/>
    <n v="0"/>
    <n v="0"/>
  </r>
  <r>
    <n v="3347"/>
    <s v="Other"/>
    <n v="43"/>
    <x v="7"/>
    <x v="3"/>
    <n v="193"/>
    <n v="70"/>
    <n v="0.08"/>
    <s v="Desktop"/>
    <n v="0"/>
    <n v="1"/>
    <n v="0"/>
    <n v="4.99"/>
    <n v="0"/>
  </r>
  <r>
    <n v="3348"/>
    <s v="Female"/>
    <n v="45"/>
    <x v="5"/>
    <x v="2"/>
    <n v="147"/>
    <n v="48"/>
    <n v="0.56999999999999995"/>
    <s v="Desktop"/>
    <n v="0"/>
    <n v="1"/>
    <n v="0"/>
    <n v="9.99"/>
    <n v="0"/>
  </r>
  <r>
    <n v="3349"/>
    <s v="Other"/>
    <n v="59"/>
    <x v="1"/>
    <x v="0"/>
    <n v="206"/>
    <n v="23"/>
    <n v="0.28999999999999998"/>
    <s v="Web"/>
    <n v="9"/>
    <n v="0"/>
    <n v="0"/>
    <n v="0"/>
    <n v="0"/>
  </r>
  <r>
    <n v="3350"/>
    <s v="Male"/>
    <n v="45"/>
    <x v="5"/>
    <x v="0"/>
    <n v="43"/>
    <n v="80"/>
    <n v="0.49"/>
    <s v="Mobile"/>
    <n v="13"/>
    <n v="0"/>
    <n v="1"/>
    <n v="0"/>
    <n v="0"/>
  </r>
  <r>
    <n v="3351"/>
    <s v="Other"/>
    <n v="35"/>
    <x v="0"/>
    <x v="0"/>
    <n v="211"/>
    <n v="50"/>
    <n v="0.28999999999999998"/>
    <s v="Desktop"/>
    <n v="12"/>
    <n v="0"/>
    <n v="0"/>
    <n v="0"/>
    <n v="0"/>
  </r>
  <r>
    <n v="3352"/>
    <s v="Female"/>
    <n v="16"/>
    <x v="6"/>
    <x v="2"/>
    <n v="88"/>
    <n v="60"/>
    <n v="0.41"/>
    <s v="Mobile"/>
    <n v="0"/>
    <n v="1"/>
    <n v="0"/>
    <n v="9.99"/>
    <n v="0"/>
  </r>
  <r>
    <n v="3353"/>
    <s v="Other"/>
    <n v="46"/>
    <x v="1"/>
    <x v="1"/>
    <n v="22"/>
    <n v="92"/>
    <n v="0.53"/>
    <s v="Mobile"/>
    <n v="0"/>
    <n v="1"/>
    <n v="0"/>
    <n v="14.99"/>
    <n v="0"/>
  </r>
  <r>
    <n v="3354"/>
    <s v="Male"/>
    <n v="56"/>
    <x v="3"/>
    <x v="3"/>
    <n v="209"/>
    <n v="70"/>
    <n v="0.48"/>
    <s v="Mobile"/>
    <n v="0"/>
    <n v="1"/>
    <n v="0"/>
    <n v="4.99"/>
    <n v="0"/>
  </r>
  <r>
    <n v="3355"/>
    <s v="Male"/>
    <n v="34"/>
    <x v="7"/>
    <x v="1"/>
    <n v="93"/>
    <n v="86"/>
    <n v="0.22"/>
    <s v="Web"/>
    <n v="0"/>
    <n v="1"/>
    <n v="0"/>
    <n v="14.99"/>
    <n v="0"/>
  </r>
  <r>
    <n v="3356"/>
    <s v="Other"/>
    <n v="54"/>
    <x v="0"/>
    <x v="1"/>
    <n v="184"/>
    <n v="9"/>
    <n v="0.37"/>
    <s v="Web"/>
    <n v="0"/>
    <n v="1"/>
    <n v="1"/>
    <n v="14.99"/>
    <n v="14.99"/>
  </r>
  <r>
    <n v="3357"/>
    <s v="Other"/>
    <n v="52"/>
    <x v="0"/>
    <x v="0"/>
    <n v="169"/>
    <n v="35"/>
    <n v="0.33"/>
    <s v="Web"/>
    <n v="34"/>
    <n v="0"/>
    <n v="0"/>
    <n v="0"/>
    <n v="0"/>
  </r>
  <r>
    <n v="3358"/>
    <s v="Male"/>
    <n v="49"/>
    <x v="0"/>
    <x v="0"/>
    <n v="142"/>
    <n v="22"/>
    <n v="0.42"/>
    <s v="Web"/>
    <n v="12"/>
    <n v="0"/>
    <n v="1"/>
    <n v="0"/>
    <n v="0"/>
  </r>
  <r>
    <n v="3359"/>
    <s v="Other"/>
    <n v="54"/>
    <x v="4"/>
    <x v="2"/>
    <n v="69"/>
    <n v="78"/>
    <n v="0.13"/>
    <s v="Desktop"/>
    <n v="0"/>
    <n v="1"/>
    <n v="0"/>
    <n v="9.99"/>
    <n v="0"/>
  </r>
  <r>
    <n v="3360"/>
    <s v="Other"/>
    <n v="22"/>
    <x v="1"/>
    <x v="3"/>
    <n v="158"/>
    <n v="52"/>
    <n v="0.13"/>
    <s v="Mobile"/>
    <n v="0"/>
    <n v="1"/>
    <n v="0"/>
    <n v="4.99"/>
    <n v="0"/>
  </r>
  <r>
    <n v="3361"/>
    <s v="Female"/>
    <n v="41"/>
    <x v="5"/>
    <x v="3"/>
    <n v="214"/>
    <n v="11"/>
    <n v="0.18"/>
    <s v="Web"/>
    <n v="0"/>
    <n v="1"/>
    <n v="0"/>
    <n v="4.99"/>
    <n v="0"/>
  </r>
  <r>
    <n v="3362"/>
    <s v="Male"/>
    <n v="17"/>
    <x v="3"/>
    <x v="0"/>
    <n v="66"/>
    <n v="19"/>
    <n v="0.06"/>
    <s v="Desktop"/>
    <n v="49"/>
    <n v="0"/>
    <n v="0"/>
    <n v="0"/>
    <n v="0"/>
  </r>
  <r>
    <n v="3363"/>
    <s v="Male"/>
    <n v="23"/>
    <x v="0"/>
    <x v="3"/>
    <n v="152"/>
    <n v="57"/>
    <n v="0.28000000000000003"/>
    <s v="Desktop"/>
    <n v="0"/>
    <n v="1"/>
    <n v="1"/>
    <n v="4.99"/>
    <n v="4.99"/>
  </r>
  <r>
    <n v="3364"/>
    <s v="Other"/>
    <n v="23"/>
    <x v="4"/>
    <x v="2"/>
    <n v="179"/>
    <n v="38"/>
    <n v="0.43"/>
    <s v="Desktop"/>
    <n v="0"/>
    <n v="1"/>
    <n v="0"/>
    <n v="9.99"/>
    <n v="0"/>
  </r>
  <r>
    <n v="3365"/>
    <s v="Other"/>
    <n v="24"/>
    <x v="5"/>
    <x v="3"/>
    <n v="213"/>
    <n v="23"/>
    <n v="0.3"/>
    <s v="Desktop"/>
    <n v="0"/>
    <n v="1"/>
    <n v="0"/>
    <n v="4.99"/>
    <n v="0"/>
  </r>
  <r>
    <n v="3366"/>
    <s v="Female"/>
    <n v="55"/>
    <x v="3"/>
    <x v="2"/>
    <n v="198"/>
    <n v="87"/>
    <n v="0.16"/>
    <s v="Web"/>
    <n v="0"/>
    <n v="1"/>
    <n v="0"/>
    <n v="9.99"/>
    <n v="0"/>
  </r>
  <r>
    <n v="3367"/>
    <s v="Male"/>
    <n v="32"/>
    <x v="2"/>
    <x v="1"/>
    <n v="25"/>
    <n v="28"/>
    <n v="0.44"/>
    <s v="Web"/>
    <n v="0"/>
    <n v="1"/>
    <n v="0"/>
    <n v="14.99"/>
    <n v="0"/>
  </r>
  <r>
    <n v="3368"/>
    <s v="Female"/>
    <n v="38"/>
    <x v="2"/>
    <x v="1"/>
    <n v="85"/>
    <n v="37"/>
    <n v="0.15"/>
    <s v="Mobile"/>
    <n v="0"/>
    <n v="1"/>
    <n v="1"/>
    <n v="14.99"/>
    <n v="14.99"/>
  </r>
  <r>
    <n v="3369"/>
    <s v="Male"/>
    <n v="35"/>
    <x v="4"/>
    <x v="0"/>
    <n v="170"/>
    <n v="78"/>
    <n v="0.28000000000000003"/>
    <s v="Desktop"/>
    <n v="39"/>
    <n v="0"/>
    <n v="0"/>
    <n v="0"/>
    <n v="0"/>
  </r>
  <r>
    <n v="3370"/>
    <s v="Other"/>
    <n v="35"/>
    <x v="5"/>
    <x v="2"/>
    <n v="80"/>
    <n v="60"/>
    <n v="0.56000000000000005"/>
    <s v="Desktop"/>
    <n v="0"/>
    <n v="1"/>
    <n v="0"/>
    <n v="9.99"/>
    <n v="0"/>
  </r>
  <r>
    <n v="3371"/>
    <s v="Female"/>
    <n v="40"/>
    <x v="3"/>
    <x v="0"/>
    <n v="204"/>
    <n v="12"/>
    <n v="0.54"/>
    <s v="Desktop"/>
    <n v="31"/>
    <n v="0"/>
    <n v="1"/>
    <n v="0"/>
    <n v="0"/>
  </r>
  <r>
    <n v="3372"/>
    <s v="Female"/>
    <n v="36"/>
    <x v="5"/>
    <x v="0"/>
    <n v="221"/>
    <n v="32"/>
    <n v="0.02"/>
    <s v="Mobile"/>
    <n v="36"/>
    <n v="0"/>
    <n v="0"/>
    <n v="0"/>
    <n v="0"/>
  </r>
  <r>
    <n v="3373"/>
    <s v="Male"/>
    <n v="49"/>
    <x v="2"/>
    <x v="0"/>
    <n v="73"/>
    <n v="93"/>
    <n v="0.45"/>
    <s v="Desktop"/>
    <n v="20"/>
    <n v="0"/>
    <n v="1"/>
    <n v="0"/>
    <n v="0"/>
  </r>
  <r>
    <n v="3374"/>
    <s v="Other"/>
    <n v="40"/>
    <x v="5"/>
    <x v="2"/>
    <n v="260"/>
    <n v="33"/>
    <n v="0.32"/>
    <s v="Desktop"/>
    <n v="0"/>
    <n v="1"/>
    <n v="0"/>
    <n v="9.99"/>
    <n v="0"/>
  </r>
  <r>
    <n v="3375"/>
    <s v="Female"/>
    <n v="38"/>
    <x v="7"/>
    <x v="3"/>
    <n v="248"/>
    <n v="65"/>
    <n v="0.56999999999999995"/>
    <s v="Mobile"/>
    <n v="0"/>
    <n v="1"/>
    <n v="0"/>
    <n v="4.99"/>
    <n v="0"/>
  </r>
  <r>
    <n v="3376"/>
    <s v="Male"/>
    <n v="55"/>
    <x v="3"/>
    <x v="3"/>
    <n v="235"/>
    <n v="60"/>
    <n v="0.13"/>
    <s v="Web"/>
    <n v="0"/>
    <n v="1"/>
    <n v="1"/>
    <n v="4.99"/>
    <n v="4.99"/>
  </r>
  <r>
    <n v="3377"/>
    <s v="Female"/>
    <n v="33"/>
    <x v="7"/>
    <x v="0"/>
    <n v="83"/>
    <n v="71"/>
    <n v="0.21"/>
    <s v="Desktop"/>
    <n v="46"/>
    <n v="0"/>
    <n v="1"/>
    <n v="0"/>
    <n v="0"/>
  </r>
  <r>
    <n v="3378"/>
    <s v="Male"/>
    <n v="29"/>
    <x v="3"/>
    <x v="2"/>
    <n v="298"/>
    <n v="85"/>
    <n v="0.22"/>
    <s v="Desktop"/>
    <n v="0"/>
    <n v="1"/>
    <n v="1"/>
    <n v="9.99"/>
    <n v="9.99"/>
  </r>
  <r>
    <n v="3379"/>
    <s v="Other"/>
    <n v="33"/>
    <x v="4"/>
    <x v="0"/>
    <n v="39"/>
    <n v="69"/>
    <n v="0.39"/>
    <s v="Mobile"/>
    <n v="22"/>
    <n v="0"/>
    <n v="0"/>
    <n v="0"/>
    <n v="0"/>
  </r>
  <r>
    <n v="3380"/>
    <s v="Female"/>
    <n v="16"/>
    <x v="2"/>
    <x v="0"/>
    <n v="232"/>
    <n v="26"/>
    <n v="0.09"/>
    <s v="Web"/>
    <n v="26"/>
    <n v="0"/>
    <n v="1"/>
    <n v="0"/>
    <n v="0"/>
  </r>
  <r>
    <n v="3381"/>
    <s v="Female"/>
    <n v="48"/>
    <x v="0"/>
    <x v="2"/>
    <n v="125"/>
    <n v="37"/>
    <n v="0.3"/>
    <s v="Desktop"/>
    <n v="0"/>
    <n v="1"/>
    <n v="0"/>
    <n v="9.99"/>
    <n v="0"/>
  </r>
  <r>
    <n v="3382"/>
    <s v="Male"/>
    <n v="33"/>
    <x v="0"/>
    <x v="2"/>
    <n v="17"/>
    <n v="89"/>
    <n v="7.0000000000000007E-2"/>
    <s v="Desktop"/>
    <n v="0"/>
    <n v="1"/>
    <n v="0"/>
    <n v="9.99"/>
    <n v="0"/>
  </r>
  <r>
    <n v="3383"/>
    <s v="Other"/>
    <n v="50"/>
    <x v="1"/>
    <x v="1"/>
    <n v="88"/>
    <n v="20"/>
    <n v="0.23"/>
    <s v="Mobile"/>
    <n v="0"/>
    <n v="1"/>
    <n v="0"/>
    <n v="14.99"/>
    <n v="0"/>
  </r>
  <r>
    <n v="3384"/>
    <s v="Male"/>
    <n v="24"/>
    <x v="6"/>
    <x v="3"/>
    <n v="110"/>
    <n v="6"/>
    <n v="0.3"/>
    <s v="Web"/>
    <n v="0"/>
    <n v="1"/>
    <n v="1"/>
    <n v="4.99"/>
    <n v="4.99"/>
  </r>
  <r>
    <n v="3385"/>
    <s v="Female"/>
    <n v="21"/>
    <x v="2"/>
    <x v="3"/>
    <n v="262"/>
    <n v="18"/>
    <n v="0.03"/>
    <s v="Desktop"/>
    <n v="0"/>
    <n v="1"/>
    <n v="0"/>
    <n v="4.99"/>
    <n v="0"/>
  </r>
  <r>
    <n v="3386"/>
    <s v="Female"/>
    <n v="55"/>
    <x v="7"/>
    <x v="1"/>
    <n v="256"/>
    <n v="99"/>
    <n v="0.5"/>
    <s v="Web"/>
    <n v="0"/>
    <n v="1"/>
    <n v="0"/>
    <n v="14.99"/>
    <n v="0"/>
  </r>
  <r>
    <n v="3387"/>
    <s v="Other"/>
    <n v="47"/>
    <x v="3"/>
    <x v="2"/>
    <n v="73"/>
    <n v="2"/>
    <n v="0.03"/>
    <s v="Mobile"/>
    <n v="0"/>
    <n v="1"/>
    <n v="0"/>
    <n v="9.99"/>
    <n v="0"/>
  </r>
  <r>
    <n v="3388"/>
    <s v="Male"/>
    <n v="59"/>
    <x v="7"/>
    <x v="3"/>
    <n v="120"/>
    <n v="83"/>
    <n v="0.17"/>
    <s v="Web"/>
    <n v="0"/>
    <n v="1"/>
    <n v="0"/>
    <n v="4.99"/>
    <n v="0"/>
  </r>
  <r>
    <n v="3389"/>
    <s v="Other"/>
    <n v="49"/>
    <x v="7"/>
    <x v="3"/>
    <n v="36"/>
    <n v="58"/>
    <n v="0.49"/>
    <s v="Mobile"/>
    <n v="0"/>
    <n v="1"/>
    <n v="0"/>
    <n v="4.99"/>
    <n v="0"/>
  </r>
  <r>
    <n v="3390"/>
    <s v="Other"/>
    <n v="50"/>
    <x v="6"/>
    <x v="3"/>
    <n v="285"/>
    <n v="81"/>
    <n v="0.17"/>
    <s v="Desktop"/>
    <n v="0"/>
    <n v="1"/>
    <n v="0"/>
    <n v="4.99"/>
    <n v="0"/>
  </r>
  <r>
    <n v="3391"/>
    <s v="Male"/>
    <n v="27"/>
    <x v="6"/>
    <x v="3"/>
    <n v="153"/>
    <n v="47"/>
    <n v="0.32"/>
    <s v="Web"/>
    <n v="0"/>
    <n v="1"/>
    <n v="0"/>
    <n v="4.99"/>
    <n v="0"/>
  </r>
  <r>
    <n v="3392"/>
    <s v="Male"/>
    <n v="31"/>
    <x v="7"/>
    <x v="1"/>
    <n v="148"/>
    <n v="7"/>
    <n v="0.18"/>
    <s v="Desktop"/>
    <n v="0"/>
    <n v="1"/>
    <n v="0"/>
    <n v="14.99"/>
    <n v="0"/>
  </r>
  <r>
    <n v="3393"/>
    <s v="Female"/>
    <n v="18"/>
    <x v="4"/>
    <x v="0"/>
    <n v="201"/>
    <n v="68"/>
    <n v="0.52"/>
    <s v="Desktop"/>
    <n v="12"/>
    <n v="0"/>
    <n v="0"/>
    <n v="0"/>
    <n v="0"/>
  </r>
  <r>
    <n v="3394"/>
    <s v="Female"/>
    <n v="55"/>
    <x v="5"/>
    <x v="2"/>
    <n v="13"/>
    <n v="54"/>
    <n v="0.26"/>
    <s v="Mobile"/>
    <n v="0"/>
    <n v="1"/>
    <n v="0"/>
    <n v="9.99"/>
    <n v="0"/>
  </r>
  <r>
    <n v="3395"/>
    <s v="Male"/>
    <n v="23"/>
    <x v="6"/>
    <x v="2"/>
    <n v="132"/>
    <n v="45"/>
    <n v="0.12"/>
    <s v="Web"/>
    <n v="0"/>
    <n v="1"/>
    <n v="0"/>
    <n v="9.99"/>
    <n v="0"/>
  </r>
  <r>
    <n v="3396"/>
    <s v="Male"/>
    <n v="33"/>
    <x v="0"/>
    <x v="1"/>
    <n v="165"/>
    <n v="51"/>
    <n v="0.52"/>
    <s v="Web"/>
    <n v="0"/>
    <n v="1"/>
    <n v="1"/>
    <n v="14.99"/>
    <n v="14.99"/>
  </r>
  <r>
    <n v="3397"/>
    <s v="Other"/>
    <n v="35"/>
    <x v="0"/>
    <x v="3"/>
    <n v="272"/>
    <n v="61"/>
    <n v="0.04"/>
    <s v="Desktop"/>
    <n v="0"/>
    <n v="1"/>
    <n v="0"/>
    <n v="4.99"/>
    <n v="0"/>
  </r>
  <r>
    <n v="3398"/>
    <s v="Other"/>
    <n v="57"/>
    <x v="5"/>
    <x v="1"/>
    <n v="161"/>
    <n v="19"/>
    <n v="0.32"/>
    <s v="Desktop"/>
    <n v="0"/>
    <n v="1"/>
    <n v="0"/>
    <n v="14.99"/>
    <n v="0"/>
  </r>
  <r>
    <n v="3399"/>
    <s v="Male"/>
    <n v="57"/>
    <x v="3"/>
    <x v="1"/>
    <n v="189"/>
    <n v="59"/>
    <n v="0.59"/>
    <s v="Web"/>
    <n v="0"/>
    <n v="1"/>
    <n v="0"/>
    <n v="14.99"/>
    <n v="0"/>
  </r>
  <r>
    <n v="3400"/>
    <s v="Male"/>
    <n v="48"/>
    <x v="6"/>
    <x v="0"/>
    <n v="100"/>
    <n v="52"/>
    <n v="0.31"/>
    <s v="Web"/>
    <n v="13"/>
    <n v="0"/>
    <n v="0"/>
    <n v="0"/>
    <n v="0"/>
  </r>
  <r>
    <n v="3401"/>
    <s v="Female"/>
    <n v="37"/>
    <x v="4"/>
    <x v="1"/>
    <n v="57"/>
    <n v="93"/>
    <n v="0.08"/>
    <s v="Web"/>
    <n v="0"/>
    <n v="1"/>
    <n v="1"/>
    <n v="14.99"/>
    <n v="14.99"/>
  </r>
  <r>
    <n v="3402"/>
    <s v="Male"/>
    <n v="38"/>
    <x v="6"/>
    <x v="1"/>
    <n v="90"/>
    <n v="12"/>
    <n v="0.41"/>
    <s v="Desktop"/>
    <n v="0"/>
    <n v="1"/>
    <n v="0"/>
    <n v="14.99"/>
    <n v="0"/>
  </r>
  <r>
    <n v="3403"/>
    <s v="Male"/>
    <n v="17"/>
    <x v="4"/>
    <x v="1"/>
    <n v="53"/>
    <n v="54"/>
    <n v="0.24"/>
    <s v="Desktop"/>
    <n v="0"/>
    <n v="1"/>
    <n v="1"/>
    <n v="14.99"/>
    <n v="14.99"/>
  </r>
  <r>
    <n v="3404"/>
    <s v="Male"/>
    <n v="59"/>
    <x v="2"/>
    <x v="2"/>
    <n v="230"/>
    <n v="63"/>
    <n v="0.25"/>
    <s v="Desktop"/>
    <n v="0"/>
    <n v="1"/>
    <n v="0"/>
    <n v="9.99"/>
    <n v="0"/>
  </r>
  <r>
    <n v="3405"/>
    <s v="Female"/>
    <n v="24"/>
    <x v="3"/>
    <x v="2"/>
    <n v="24"/>
    <n v="22"/>
    <n v="0.15"/>
    <s v="Mobile"/>
    <n v="0"/>
    <n v="1"/>
    <n v="0"/>
    <n v="9.99"/>
    <n v="0"/>
  </r>
  <r>
    <n v="3406"/>
    <s v="Other"/>
    <n v="51"/>
    <x v="4"/>
    <x v="0"/>
    <n v="211"/>
    <n v="2"/>
    <n v="0.1"/>
    <s v="Web"/>
    <n v="6"/>
    <n v="0"/>
    <n v="0"/>
    <n v="0"/>
    <n v="0"/>
  </r>
  <r>
    <n v="3407"/>
    <s v="Other"/>
    <n v="50"/>
    <x v="1"/>
    <x v="1"/>
    <n v="79"/>
    <n v="89"/>
    <n v="0.2"/>
    <s v="Desktop"/>
    <n v="0"/>
    <n v="1"/>
    <n v="0"/>
    <n v="14.99"/>
    <n v="0"/>
  </r>
  <r>
    <n v="3408"/>
    <s v="Female"/>
    <n v="55"/>
    <x v="0"/>
    <x v="3"/>
    <n v="252"/>
    <n v="63"/>
    <n v="0.02"/>
    <s v="Desktop"/>
    <n v="0"/>
    <n v="1"/>
    <n v="0"/>
    <n v="4.99"/>
    <n v="0"/>
  </r>
  <r>
    <n v="3409"/>
    <s v="Other"/>
    <n v="16"/>
    <x v="6"/>
    <x v="1"/>
    <n v="153"/>
    <n v="85"/>
    <n v="0.15"/>
    <s v="Desktop"/>
    <n v="0"/>
    <n v="1"/>
    <n v="0"/>
    <n v="14.99"/>
    <n v="0"/>
  </r>
  <r>
    <n v="3410"/>
    <s v="Other"/>
    <n v="22"/>
    <x v="0"/>
    <x v="3"/>
    <n v="111"/>
    <n v="50"/>
    <n v="0.4"/>
    <s v="Web"/>
    <n v="0"/>
    <n v="1"/>
    <n v="0"/>
    <n v="4.99"/>
    <n v="0"/>
  </r>
  <r>
    <n v="3411"/>
    <s v="Female"/>
    <n v="21"/>
    <x v="7"/>
    <x v="3"/>
    <n v="260"/>
    <n v="54"/>
    <n v="0.36"/>
    <s v="Mobile"/>
    <n v="0"/>
    <n v="1"/>
    <n v="1"/>
    <n v="4.99"/>
    <n v="4.99"/>
  </r>
  <r>
    <n v="3412"/>
    <s v="Other"/>
    <n v="43"/>
    <x v="3"/>
    <x v="3"/>
    <n v="250"/>
    <n v="60"/>
    <n v="0.37"/>
    <s v="Desktop"/>
    <n v="0"/>
    <n v="1"/>
    <n v="0"/>
    <n v="4.99"/>
    <n v="0"/>
  </r>
  <r>
    <n v="3413"/>
    <s v="Other"/>
    <n v="19"/>
    <x v="2"/>
    <x v="2"/>
    <n v="163"/>
    <n v="58"/>
    <n v="0.57999999999999996"/>
    <s v="Mobile"/>
    <n v="0"/>
    <n v="1"/>
    <n v="0"/>
    <n v="9.99"/>
    <n v="0"/>
  </r>
  <r>
    <n v="3414"/>
    <s v="Female"/>
    <n v="43"/>
    <x v="7"/>
    <x v="2"/>
    <n v="197"/>
    <n v="13"/>
    <n v="0.54"/>
    <s v="Mobile"/>
    <n v="0"/>
    <n v="1"/>
    <n v="0"/>
    <n v="9.99"/>
    <n v="0"/>
  </r>
  <r>
    <n v="3415"/>
    <s v="Male"/>
    <n v="27"/>
    <x v="2"/>
    <x v="0"/>
    <n v="140"/>
    <n v="15"/>
    <n v="0.56999999999999995"/>
    <s v="Desktop"/>
    <n v="40"/>
    <n v="0"/>
    <n v="0"/>
    <n v="0"/>
    <n v="0"/>
  </r>
  <r>
    <n v="3416"/>
    <s v="Other"/>
    <n v="38"/>
    <x v="5"/>
    <x v="2"/>
    <n v="37"/>
    <n v="64"/>
    <n v="0.35"/>
    <s v="Web"/>
    <n v="0"/>
    <n v="1"/>
    <n v="1"/>
    <n v="9.99"/>
    <n v="9.99"/>
  </r>
  <r>
    <n v="3417"/>
    <s v="Other"/>
    <n v="41"/>
    <x v="2"/>
    <x v="1"/>
    <n v="212"/>
    <n v="52"/>
    <n v="0.25"/>
    <s v="Web"/>
    <n v="0"/>
    <n v="1"/>
    <n v="1"/>
    <n v="14.99"/>
    <n v="14.99"/>
  </r>
  <r>
    <n v="3418"/>
    <s v="Female"/>
    <n v="40"/>
    <x v="2"/>
    <x v="2"/>
    <n v="11"/>
    <n v="70"/>
    <n v="0.46"/>
    <s v="Web"/>
    <n v="0"/>
    <n v="1"/>
    <n v="0"/>
    <n v="9.99"/>
    <n v="0"/>
  </r>
  <r>
    <n v="3419"/>
    <s v="Female"/>
    <n v="38"/>
    <x v="1"/>
    <x v="3"/>
    <n v="13"/>
    <n v="49"/>
    <n v="0.04"/>
    <s v="Desktop"/>
    <n v="0"/>
    <n v="1"/>
    <n v="0"/>
    <n v="4.99"/>
    <n v="0"/>
  </r>
  <r>
    <n v="3420"/>
    <s v="Female"/>
    <n v="30"/>
    <x v="6"/>
    <x v="3"/>
    <n v="70"/>
    <n v="42"/>
    <n v="0.01"/>
    <s v="Desktop"/>
    <n v="0"/>
    <n v="1"/>
    <n v="0"/>
    <n v="4.99"/>
    <n v="0"/>
  </r>
  <r>
    <n v="3421"/>
    <s v="Other"/>
    <n v="54"/>
    <x v="4"/>
    <x v="0"/>
    <n v="197"/>
    <n v="39"/>
    <n v="0.34"/>
    <s v="Mobile"/>
    <n v="29"/>
    <n v="0"/>
    <n v="0"/>
    <n v="0"/>
    <n v="0"/>
  </r>
  <r>
    <n v="3422"/>
    <s v="Male"/>
    <n v="42"/>
    <x v="5"/>
    <x v="3"/>
    <n v="183"/>
    <n v="1"/>
    <n v="0.04"/>
    <s v="Mobile"/>
    <n v="0"/>
    <n v="1"/>
    <n v="1"/>
    <n v="4.99"/>
    <n v="4.99"/>
  </r>
  <r>
    <n v="3423"/>
    <s v="Male"/>
    <n v="42"/>
    <x v="2"/>
    <x v="2"/>
    <n v="226"/>
    <n v="42"/>
    <n v="0.11"/>
    <s v="Mobile"/>
    <n v="0"/>
    <n v="1"/>
    <n v="0"/>
    <n v="9.99"/>
    <n v="0"/>
  </r>
  <r>
    <n v="3424"/>
    <s v="Female"/>
    <n v="52"/>
    <x v="3"/>
    <x v="0"/>
    <n v="145"/>
    <n v="55"/>
    <n v="0.22"/>
    <s v="Desktop"/>
    <n v="16"/>
    <n v="0"/>
    <n v="0"/>
    <n v="0"/>
    <n v="0"/>
  </r>
  <r>
    <n v="3425"/>
    <s v="Male"/>
    <n v="24"/>
    <x v="0"/>
    <x v="3"/>
    <n v="195"/>
    <n v="63"/>
    <n v="0.37"/>
    <s v="Web"/>
    <n v="0"/>
    <n v="1"/>
    <n v="0"/>
    <n v="4.99"/>
    <n v="0"/>
  </r>
  <r>
    <n v="3426"/>
    <s v="Female"/>
    <n v="50"/>
    <x v="0"/>
    <x v="3"/>
    <n v="294"/>
    <n v="71"/>
    <n v="0.48"/>
    <s v="Desktop"/>
    <n v="0"/>
    <n v="1"/>
    <n v="0"/>
    <n v="4.99"/>
    <n v="0"/>
  </r>
  <r>
    <n v="3427"/>
    <s v="Female"/>
    <n v="29"/>
    <x v="3"/>
    <x v="0"/>
    <n v="189"/>
    <n v="54"/>
    <n v="0.26"/>
    <s v="Desktop"/>
    <n v="34"/>
    <n v="0"/>
    <n v="0"/>
    <n v="0"/>
    <n v="0"/>
  </r>
  <r>
    <n v="3428"/>
    <s v="Female"/>
    <n v="28"/>
    <x v="4"/>
    <x v="1"/>
    <n v="77"/>
    <n v="4"/>
    <n v="0.06"/>
    <s v="Mobile"/>
    <n v="0"/>
    <n v="1"/>
    <n v="1"/>
    <n v="14.99"/>
    <n v="14.99"/>
  </r>
  <r>
    <n v="3429"/>
    <s v="Male"/>
    <n v="26"/>
    <x v="2"/>
    <x v="3"/>
    <n v="147"/>
    <n v="18"/>
    <n v="0.13"/>
    <s v="Desktop"/>
    <n v="0"/>
    <n v="1"/>
    <n v="0"/>
    <n v="4.99"/>
    <n v="0"/>
  </r>
  <r>
    <n v="3430"/>
    <s v="Other"/>
    <n v="19"/>
    <x v="7"/>
    <x v="0"/>
    <n v="129"/>
    <n v="27"/>
    <n v="0.51"/>
    <s v="Web"/>
    <n v="33"/>
    <n v="0"/>
    <n v="0"/>
    <n v="0"/>
    <n v="0"/>
  </r>
  <r>
    <n v="3431"/>
    <s v="Male"/>
    <n v="53"/>
    <x v="1"/>
    <x v="3"/>
    <n v="273"/>
    <n v="27"/>
    <n v="0.5"/>
    <s v="Desktop"/>
    <n v="0"/>
    <n v="1"/>
    <n v="0"/>
    <n v="4.99"/>
    <n v="0"/>
  </r>
  <r>
    <n v="3432"/>
    <s v="Male"/>
    <n v="56"/>
    <x v="5"/>
    <x v="0"/>
    <n v="43"/>
    <n v="21"/>
    <n v="0.13"/>
    <s v="Desktop"/>
    <n v="45"/>
    <n v="0"/>
    <n v="0"/>
    <n v="0"/>
    <n v="0"/>
  </r>
  <r>
    <n v="3433"/>
    <s v="Male"/>
    <n v="19"/>
    <x v="1"/>
    <x v="0"/>
    <n v="19"/>
    <n v="88"/>
    <n v="0"/>
    <s v="Web"/>
    <n v="41"/>
    <n v="0"/>
    <n v="0"/>
    <n v="0"/>
    <n v="0"/>
  </r>
  <r>
    <n v="3434"/>
    <s v="Female"/>
    <n v="58"/>
    <x v="4"/>
    <x v="1"/>
    <n v="183"/>
    <n v="33"/>
    <n v="0.5"/>
    <s v="Mobile"/>
    <n v="0"/>
    <n v="1"/>
    <n v="1"/>
    <n v="14.99"/>
    <n v="14.99"/>
  </r>
  <r>
    <n v="3435"/>
    <s v="Female"/>
    <n v="21"/>
    <x v="7"/>
    <x v="1"/>
    <n v="13"/>
    <n v="61"/>
    <n v="0.26"/>
    <s v="Desktop"/>
    <n v="0"/>
    <n v="1"/>
    <n v="0"/>
    <n v="14.99"/>
    <n v="0"/>
  </r>
  <r>
    <n v="3436"/>
    <s v="Male"/>
    <n v="22"/>
    <x v="7"/>
    <x v="1"/>
    <n v="14"/>
    <n v="75"/>
    <n v="0.59"/>
    <s v="Web"/>
    <n v="0"/>
    <n v="1"/>
    <n v="0"/>
    <n v="14.99"/>
    <n v="0"/>
  </r>
  <r>
    <n v="3437"/>
    <s v="Other"/>
    <n v="30"/>
    <x v="5"/>
    <x v="0"/>
    <n v="272"/>
    <n v="80"/>
    <n v="0.04"/>
    <s v="Desktop"/>
    <n v="18"/>
    <n v="0"/>
    <n v="0"/>
    <n v="0"/>
    <n v="0"/>
  </r>
  <r>
    <n v="3438"/>
    <s v="Female"/>
    <n v="42"/>
    <x v="1"/>
    <x v="0"/>
    <n v="259"/>
    <n v="5"/>
    <n v="0.32"/>
    <s v="Mobile"/>
    <n v="17"/>
    <n v="0"/>
    <n v="1"/>
    <n v="0"/>
    <n v="0"/>
  </r>
  <r>
    <n v="3439"/>
    <s v="Male"/>
    <n v="54"/>
    <x v="5"/>
    <x v="0"/>
    <n v="19"/>
    <n v="80"/>
    <n v="0.38"/>
    <s v="Desktop"/>
    <n v="44"/>
    <n v="0"/>
    <n v="0"/>
    <n v="0"/>
    <n v="0"/>
  </r>
  <r>
    <n v="3440"/>
    <s v="Male"/>
    <n v="36"/>
    <x v="3"/>
    <x v="3"/>
    <n v="210"/>
    <n v="13"/>
    <n v="0.03"/>
    <s v="Web"/>
    <n v="0"/>
    <n v="1"/>
    <n v="0"/>
    <n v="4.99"/>
    <n v="0"/>
  </r>
  <r>
    <n v="3441"/>
    <s v="Other"/>
    <n v="40"/>
    <x v="3"/>
    <x v="3"/>
    <n v="275"/>
    <n v="21"/>
    <n v="0.26"/>
    <s v="Desktop"/>
    <n v="0"/>
    <n v="1"/>
    <n v="0"/>
    <n v="4.99"/>
    <n v="0"/>
  </r>
  <r>
    <n v="3442"/>
    <s v="Other"/>
    <n v="42"/>
    <x v="4"/>
    <x v="1"/>
    <n v="197"/>
    <n v="42"/>
    <n v="0.54"/>
    <s v="Mobile"/>
    <n v="0"/>
    <n v="1"/>
    <n v="0"/>
    <n v="14.99"/>
    <n v="0"/>
  </r>
  <r>
    <n v="3443"/>
    <s v="Other"/>
    <n v="47"/>
    <x v="7"/>
    <x v="1"/>
    <n v="96"/>
    <n v="74"/>
    <n v="0.16"/>
    <s v="Mobile"/>
    <n v="0"/>
    <n v="1"/>
    <n v="0"/>
    <n v="14.99"/>
    <n v="0"/>
  </r>
  <r>
    <n v="3444"/>
    <s v="Female"/>
    <n v="31"/>
    <x v="4"/>
    <x v="2"/>
    <n v="239"/>
    <n v="34"/>
    <n v="0.35"/>
    <s v="Mobile"/>
    <n v="0"/>
    <n v="1"/>
    <n v="0"/>
    <n v="9.99"/>
    <n v="0"/>
  </r>
  <r>
    <n v="3445"/>
    <s v="Other"/>
    <n v="16"/>
    <x v="5"/>
    <x v="2"/>
    <n v="133"/>
    <n v="10"/>
    <n v="0.4"/>
    <s v="Web"/>
    <n v="0"/>
    <n v="1"/>
    <n v="0"/>
    <n v="9.99"/>
    <n v="0"/>
  </r>
  <r>
    <n v="3446"/>
    <s v="Male"/>
    <n v="18"/>
    <x v="2"/>
    <x v="3"/>
    <n v="294"/>
    <n v="85"/>
    <n v="0.31"/>
    <s v="Web"/>
    <n v="0"/>
    <n v="1"/>
    <n v="1"/>
    <n v="4.99"/>
    <n v="4.99"/>
  </r>
  <r>
    <n v="3447"/>
    <s v="Male"/>
    <n v="57"/>
    <x v="3"/>
    <x v="2"/>
    <n v="209"/>
    <n v="98"/>
    <n v="0.38"/>
    <s v="Desktop"/>
    <n v="0"/>
    <n v="1"/>
    <n v="0"/>
    <n v="9.99"/>
    <n v="0"/>
  </r>
  <r>
    <n v="3448"/>
    <s v="Female"/>
    <n v="40"/>
    <x v="1"/>
    <x v="2"/>
    <n v="12"/>
    <n v="5"/>
    <n v="7.0000000000000007E-2"/>
    <s v="Desktop"/>
    <n v="0"/>
    <n v="1"/>
    <n v="0"/>
    <n v="9.99"/>
    <n v="0"/>
  </r>
  <r>
    <n v="3449"/>
    <s v="Other"/>
    <n v="58"/>
    <x v="1"/>
    <x v="0"/>
    <n v="155"/>
    <n v="39"/>
    <n v="0.14000000000000001"/>
    <s v="Desktop"/>
    <n v="24"/>
    <n v="0"/>
    <n v="0"/>
    <n v="0"/>
    <n v="0"/>
  </r>
  <r>
    <n v="3450"/>
    <s v="Female"/>
    <n v="22"/>
    <x v="4"/>
    <x v="0"/>
    <n v="98"/>
    <n v="83"/>
    <n v="0.5"/>
    <s v="Mobile"/>
    <n v="13"/>
    <n v="0"/>
    <n v="0"/>
    <n v="0"/>
    <n v="0"/>
  </r>
  <r>
    <n v="3451"/>
    <s v="Other"/>
    <n v="22"/>
    <x v="2"/>
    <x v="1"/>
    <n v="185"/>
    <n v="92"/>
    <n v="0.21"/>
    <s v="Desktop"/>
    <n v="0"/>
    <n v="1"/>
    <n v="1"/>
    <n v="14.99"/>
    <n v="14.99"/>
  </r>
  <r>
    <n v="3452"/>
    <s v="Other"/>
    <n v="48"/>
    <x v="0"/>
    <x v="3"/>
    <n v="57"/>
    <n v="92"/>
    <n v="0.12"/>
    <s v="Desktop"/>
    <n v="0"/>
    <n v="1"/>
    <n v="0"/>
    <n v="4.99"/>
    <n v="0"/>
  </r>
  <r>
    <n v="3453"/>
    <s v="Other"/>
    <n v="42"/>
    <x v="2"/>
    <x v="2"/>
    <n v="85"/>
    <n v="12"/>
    <n v="0.27"/>
    <s v="Desktop"/>
    <n v="0"/>
    <n v="1"/>
    <n v="0"/>
    <n v="9.99"/>
    <n v="0"/>
  </r>
  <r>
    <n v="3454"/>
    <s v="Other"/>
    <n v="39"/>
    <x v="1"/>
    <x v="0"/>
    <n v="113"/>
    <n v="79"/>
    <n v="0.27"/>
    <s v="Web"/>
    <n v="20"/>
    <n v="0"/>
    <n v="0"/>
    <n v="0"/>
    <n v="0"/>
  </r>
  <r>
    <n v="3455"/>
    <s v="Other"/>
    <n v="40"/>
    <x v="2"/>
    <x v="2"/>
    <n v="200"/>
    <n v="68"/>
    <n v="0.46"/>
    <s v="Desktop"/>
    <n v="0"/>
    <n v="1"/>
    <n v="1"/>
    <n v="9.99"/>
    <n v="9.99"/>
  </r>
  <r>
    <n v="3456"/>
    <s v="Male"/>
    <n v="19"/>
    <x v="2"/>
    <x v="3"/>
    <n v="152"/>
    <n v="2"/>
    <n v="0.04"/>
    <s v="Desktop"/>
    <n v="0"/>
    <n v="1"/>
    <n v="1"/>
    <n v="4.99"/>
    <n v="4.99"/>
  </r>
  <r>
    <n v="3457"/>
    <s v="Male"/>
    <n v="55"/>
    <x v="1"/>
    <x v="2"/>
    <n v="50"/>
    <n v="77"/>
    <n v="0.24"/>
    <s v="Mobile"/>
    <n v="0"/>
    <n v="1"/>
    <n v="0"/>
    <n v="9.99"/>
    <n v="0"/>
  </r>
  <r>
    <n v="3458"/>
    <s v="Male"/>
    <n v="35"/>
    <x v="4"/>
    <x v="1"/>
    <n v="73"/>
    <n v="56"/>
    <n v="0.2"/>
    <s v="Mobile"/>
    <n v="0"/>
    <n v="1"/>
    <n v="0"/>
    <n v="14.99"/>
    <n v="0"/>
  </r>
  <r>
    <n v="3459"/>
    <s v="Female"/>
    <n v="59"/>
    <x v="3"/>
    <x v="2"/>
    <n v="99"/>
    <n v="16"/>
    <n v="0.19"/>
    <s v="Mobile"/>
    <n v="0"/>
    <n v="1"/>
    <n v="0"/>
    <n v="9.99"/>
    <n v="0"/>
  </r>
  <r>
    <n v="3460"/>
    <s v="Male"/>
    <n v="28"/>
    <x v="7"/>
    <x v="2"/>
    <n v="30"/>
    <n v="14"/>
    <n v="0.18"/>
    <s v="Mobile"/>
    <n v="0"/>
    <n v="1"/>
    <n v="0"/>
    <n v="9.99"/>
    <n v="0"/>
  </r>
  <r>
    <n v="3461"/>
    <s v="Female"/>
    <n v="45"/>
    <x v="7"/>
    <x v="1"/>
    <n v="125"/>
    <n v="90"/>
    <n v="0.09"/>
    <s v="Desktop"/>
    <n v="0"/>
    <n v="1"/>
    <n v="1"/>
    <n v="14.99"/>
    <n v="14.99"/>
  </r>
  <r>
    <n v="3462"/>
    <s v="Male"/>
    <n v="26"/>
    <x v="6"/>
    <x v="2"/>
    <n v="269"/>
    <n v="86"/>
    <n v="0.32"/>
    <s v="Mobile"/>
    <n v="0"/>
    <n v="1"/>
    <n v="1"/>
    <n v="9.99"/>
    <n v="9.99"/>
  </r>
  <r>
    <n v="3463"/>
    <s v="Male"/>
    <n v="55"/>
    <x v="5"/>
    <x v="0"/>
    <n v="141"/>
    <n v="69"/>
    <n v="0.19"/>
    <s v="Web"/>
    <n v="17"/>
    <n v="0"/>
    <n v="0"/>
    <n v="0"/>
    <n v="0"/>
  </r>
  <r>
    <n v="3464"/>
    <s v="Male"/>
    <n v="49"/>
    <x v="7"/>
    <x v="1"/>
    <n v="54"/>
    <n v="56"/>
    <n v="0.39"/>
    <s v="Desktop"/>
    <n v="0"/>
    <n v="1"/>
    <n v="0"/>
    <n v="14.99"/>
    <n v="0"/>
  </r>
  <r>
    <n v="3465"/>
    <s v="Female"/>
    <n v="21"/>
    <x v="7"/>
    <x v="3"/>
    <n v="146"/>
    <n v="16"/>
    <n v="0.08"/>
    <s v="Mobile"/>
    <n v="0"/>
    <n v="1"/>
    <n v="1"/>
    <n v="4.99"/>
    <n v="4.99"/>
  </r>
  <r>
    <n v="3466"/>
    <s v="Other"/>
    <n v="25"/>
    <x v="0"/>
    <x v="1"/>
    <n v="282"/>
    <n v="44"/>
    <n v="0.4"/>
    <s v="Mobile"/>
    <n v="0"/>
    <n v="1"/>
    <n v="0"/>
    <n v="14.99"/>
    <n v="0"/>
  </r>
  <r>
    <n v="3467"/>
    <s v="Male"/>
    <n v="49"/>
    <x v="7"/>
    <x v="3"/>
    <n v="85"/>
    <n v="62"/>
    <n v="0.01"/>
    <s v="Web"/>
    <n v="0"/>
    <n v="1"/>
    <n v="0"/>
    <n v="4.99"/>
    <n v="0"/>
  </r>
  <r>
    <n v="3468"/>
    <s v="Male"/>
    <n v="41"/>
    <x v="3"/>
    <x v="0"/>
    <n v="75"/>
    <n v="7"/>
    <n v="0.38"/>
    <s v="Desktop"/>
    <n v="35"/>
    <n v="0"/>
    <n v="1"/>
    <n v="0"/>
    <n v="0"/>
  </r>
  <r>
    <n v="3469"/>
    <s v="Female"/>
    <n v="52"/>
    <x v="0"/>
    <x v="0"/>
    <n v="191"/>
    <n v="6"/>
    <n v="0.42"/>
    <s v="Web"/>
    <n v="45"/>
    <n v="0"/>
    <n v="1"/>
    <n v="0"/>
    <n v="0"/>
  </r>
  <r>
    <n v="3470"/>
    <s v="Other"/>
    <n v="34"/>
    <x v="5"/>
    <x v="3"/>
    <n v="187"/>
    <n v="65"/>
    <n v="0.25"/>
    <s v="Web"/>
    <n v="0"/>
    <n v="1"/>
    <n v="1"/>
    <n v="4.99"/>
    <n v="4.99"/>
  </r>
  <r>
    <n v="3471"/>
    <s v="Other"/>
    <n v="16"/>
    <x v="7"/>
    <x v="0"/>
    <n v="195"/>
    <n v="96"/>
    <n v="0.14000000000000001"/>
    <s v="Desktop"/>
    <n v="37"/>
    <n v="0"/>
    <n v="0"/>
    <n v="0"/>
    <n v="0"/>
  </r>
  <r>
    <n v="3472"/>
    <s v="Female"/>
    <n v="46"/>
    <x v="2"/>
    <x v="0"/>
    <n v="37"/>
    <n v="69"/>
    <n v="0.46"/>
    <s v="Mobile"/>
    <n v="32"/>
    <n v="0"/>
    <n v="0"/>
    <n v="0"/>
    <n v="0"/>
  </r>
  <r>
    <n v="3473"/>
    <s v="Male"/>
    <n v="17"/>
    <x v="5"/>
    <x v="2"/>
    <n v="65"/>
    <n v="28"/>
    <n v="0.25"/>
    <s v="Web"/>
    <n v="0"/>
    <n v="1"/>
    <n v="1"/>
    <n v="9.99"/>
    <n v="9.99"/>
  </r>
  <r>
    <n v="3474"/>
    <s v="Female"/>
    <n v="43"/>
    <x v="5"/>
    <x v="0"/>
    <n v="100"/>
    <n v="72"/>
    <n v="0.17"/>
    <s v="Desktop"/>
    <n v="14"/>
    <n v="0"/>
    <n v="0"/>
    <n v="0"/>
    <n v="0"/>
  </r>
  <r>
    <n v="3475"/>
    <s v="Male"/>
    <n v="44"/>
    <x v="5"/>
    <x v="1"/>
    <n v="134"/>
    <n v="76"/>
    <n v="0.43"/>
    <s v="Web"/>
    <n v="0"/>
    <n v="1"/>
    <n v="1"/>
    <n v="14.99"/>
    <n v="14.99"/>
  </r>
  <r>
    <n v="3476"/>
    <s v="Female"/>
    <n v="26"/>
    <x v="0"/>
    <x v="1"/>
    <n v="60"/>
    <n v="85"/>
    <n v="0.26"/>
    <s v="Web"/>
    <n v="0"/>
    <n v="1"/>
    <n v="0"/>
    <n v="14.99"/>
    <n v="0"/>
  </r>
  <r>
    <n v="3477"/>
    <s v="Other"/>
    <n v="27"/>
    <x v="1"/>
    <x v="1"/>
    <n v="261"/>
    <n v="83"/>
    <n v="0.51"/>
    <s v="Web"/>
    <n v="0"/>
    <n v="1"/>
    <n v="1"/>
    <n v="14.99"/>
    <n v="14.99"/>
  </r>
  <r>
    <n v="3478"/>
    <s v="Other"/>
    <n v="20"/>
    <x v="6"/>
    <x v="2"/>
    <n v="298"/>
    <n v="65"/>
    <n v="0.4"/>
    <s v="Desktop"/>
    <n v="0"/>
    <n v="1"/>
    <n v="0"/>
    <n v="9.99"/>
    <n v="0"/>
  </r>
  <r>
    <n v="3479"/>
    <s v="Female"/>
    <n v="48"/>
    <x v="6"/>
    <x v="1"/>
    <n v="58"/>
    <n v="18"/>
    <n v="0.02"/>
    <s v="Web"/>
    <n v="0"/>
    <n v="1"/>
    <n v="0"/>
    <n v="14.99"/>
    <n v="0"/>
  </r>
  <r>
    <n v="3480"/>
    <s v="Other"/>
    <n v="48"/>
    <x v="2"/>
    <x v="0"/>
    <n v="104"/>
    <n v="33"/>
    <n v="0.56000000000000005"/>
    <s v="Web"/>
    <n v="22"/>
    <n v="0"/>
    <n v="0"/>
    <n v="0"/>
    <n v="0"/>
  </r>
  <r>
    <n v="3481"/>
    <s v="Female"/>
    <n v="24"/>
    <x v="1"/>
    <x v="1"/>
    <n v="185"/>
    <n v="49"/>
    <n v="0.11"/>
    <s v="Web"/>
    <n v="0"/>
    <n v="1"/>
    <n v="1"/>
    <n v="14.99"/>
    <n v="14.99"/>
  </r>
  <r>
    <n v="3482"/>
    <s v="Male"/>
    <n v="34"/>
    <x v="3"/>
    <x v="1"/>
    <n v="235"/>
    <n v="94"/>
    <n v="0.46"/>
    <s v="Mobile"/>
    <n v="0"/>
    <n v="1"/>
    <n v="0"/>
    <n v="14.99"/>
    <n v="0"/>
  </r>
  <r>
    <n v="3483"/>
    <s v="Female"/>
    <n v="42"/>
    <x v="0"/>
    <x v="0"/>
    <n v="232"/>
    <n v="1"/>
    <n v="0.56999999999999995"/>
    <s v="Desktop"/>
    <n v="49"/>
    <n v="0"/>
    <n v="0"/>
    <n v="0"/>
    <n v="0"/>
  </r>
  <r>
    <n v="3484"/>
    <s v="Other"/>
    <n v="31"/>
    <x v="2"/>
    <x v="2"/>
    <n v="153"/>
    <n v="19"/>
    <n v="0.39"/>
    <s v="Web"/>
    <n v="0"/>
    <n v="1"/>
    <n v="1"/>
    <n v="9.99"/>
    <n v="9.99"/>
  </r>
  <r>
    <n v="3485"/>
    <s v="Female"/>
    <n v="48"/>
    <x v="5"/>
    <x v="1"/>
    <n v="176"/>
    <n v="19"/>
    <n v="0.23"/>
    <s v="Desktop"/>
    <n v="0"/>
    <n v="1"/>
    <n v="1"/>
    <n v="14.99"/>
    <n v="14.99"/>
  </r>
  <r>
    <n v="3486"/>
    <s v="Female"/>
    <n v="35"/>
    <x v="3"/>
    <x v="2"/>
    <n v="210"/>
    <n v="7"/>
    <n v="0.33"/>
    <s v="Web"/>
    <n v="0"/>
    <n v="1"/>
    <n v="0"/>
    <n v="9.99"/>
    <n v="0"/>
  </r>
  <r>
    <n v="3487"/>
    <s v="Other"/>
    <n v="53"/>
    <x v="5"/>
    <x v="1"/>
    <n v="103"/>
    <n v="40"/>
    <n v="0.32"/>
    <s v="Mobile"/>
    <n v="0"/>
    <n v="1"/>
    <n v="0"/>
    <n v="14.99"/>
    <n v="0"/>
  </r>
  <r>
    <n v="3488"/>
    <s v="Male"/>
    <n v="19"/>
    <x v="1"/>
    <x v="2"/>
    <n v="41"/>
    <n v="10"/>
    <n v="0.37"/>
    <s v="Web"/>
    <n v="0"/>
    <n v="1"/>
    <n v="0"/>
    <n v="9.99"/>
    <n v="0"/>
  </r>
  <r>
    <n v="3489"/>
    <s v="Female"/>
    <n v="59"/>
    <x v="1"/>
    <x v="0"/>
    <n v="16"/>
    <n v="20"/>
    <n v="0.53"/>
    <s v="Desktop"/>
    <n v="13"/>
    <n v="0"/>
    <n v="1"/>
    <n v="0"/>
    <n v="0"/>
  </r>
  <r>
    <n v="3490"/>
    <s v="Other"/>
    <n v="33"/>
    <x v="3"/>
    <x v="1"/>
    <n v="256"/>
    <n v="7"/>
    <n v="0.11"/>
    <s v="Web"/>
    <n v="0"/>
    <n v="1"/>
    <n v="0"/>
    <n v="14.99"/>
    <n v="0"/>
  </r>
  <r>
    <n v="3491"/>
    <s v="Other"/>
    <n v="50"/>
    <x v="7"/>
    <x v="2"/>
    <n v="236"/>
    <n v="55"/>
    <n v="0.1"/>
    <s v="Desktop"/>
    <n v="0"/>
    <n v="1"/>
    <n v="0"/>
    <n v="9.99"/>
    <n v="0"/>
  </r>
  <r>
    <n v="3492"/>
    <s v="Other"/>
    <n v="36"/>
    <x v="6"/>
    <x v="0"/>
    <n v="198"/>
    <n v="20"/>
    <n v="0.46"/>
    <s v="Web"/>
    <n v="7"/>
    <n v="0"/>
    <n v="1"/>
    <n v="0"/>
    <n v="0"/>
  </r>
  <r>
    <n v="3493"/>
    <s v="Male"/>
    <n v="49"/>
    <x v="4"/>
    <x v="0"/>
    <n v="233"/>
    <n v="62"/>
    <n v="0.26"/>
    <s v="Web"/>
    <n v="32"/>
    <n v="0"/>
    <n v="0"/>
    <n v="0"/>
    <n v="0"/>
  </r>
  <r>
    <n v="3494"/>
    <s v="Other"/>
    <n v="48"/>
    <x v="5"/>
    <x v="2"/>
    <n v="130"/>
    <n v="66"/>
    <n v="0.55000000000000004"/>
    <s v="Desktop"/>
    <n v="0"/>
    <n v="1"/>
    <n v="1"/>
    <n v="9.99"/>
    <n v="9.99"/>
  </r>
  <r>
    <n v="3495"/>
    <s v="Female"/>
    <n v="31"/>
    <x v="3"/>
    <x v="3"/>
    <n v="235"/>
    <n v="25"/>
    <n v="0.01"/>
    <s v="Web"/>
    <n v="0"/>
    <n v="1"/>
    <n v="0"/>
    <n v="4.99"/>
    <n v="0"/>
  </r>
  <r>
    <n v="3496"/>
    <s v="Other"/>
    <n v="51"/>
    <x v="7"/>
    <x v="1"/>
    <n v="88"/>
    <n v="92"/>
    <n v="0.6"/>
    <s v="Mobile"/>
    <n v="0"/>
    <n v="1"/>
    <n v="0"/>
    <n v="14.99"/>
    <n v="0"/>
  </r>
  <r>
    <n v="3497"/>
    <s v="Female"/>
    <n v="17"/>
    <x v="4"/>
    <x v="2"/>
    <n v="41"/>
    <n v="6"/>
    <n v="0.56000000000000005"/>
    <s v="Web"/>
    <n v="0"/>
    <n v="1"/>
    <n v="0"/>
    <n v="9.99"/>
    <n v="0"/>
  </r>
  <r>
    <n v="3498"/>
    <s v="Female"/>
    <n v="20"/>
    <x v="4"/>
    <x v="3"/>
    <n v="103"/>
    <n v="19"/>
    <n v="0.33"/>
    <s v="Mobile"/>
    <n v="0"/>
    <n v="1"/>
    <n v="1"/>
    <n v="4.99"/>
    <n v="4.99"/>
  </r>
  <r>
    <n v="3499"/>
    <s v="Male"/>
    <n v="16"/>
    <x v="1"/>
    <x v="1"/>
    <n v="218"/>
    <n v="68"/>
    <n v="0.25"/>
    <s v="Mobile"/>
    <n v="0"/>
    <n v="1"/>
    <n v="1"/>
    <n v="14.99"/>
    <n v="14.99"/>
  </r>
  <r>
    <n v="3500"/>
    <s v="Other"/>
    <n v="45"/>
    <x v="2"/>
    <x v="2"/>
    <n v="238"/>
    <n v="66"/>
    <n v="0.06"/>
    <s v="Web"/>
    <n v="0"/>
    <n v="1"/>
    <n v="0"/>
    <n v="9.99"/>
    <n v="0"/>
  </r>
  <r>
    <n v="3501"/>
    <s v="Male"/>
    <n v="19"/>
    <x v="2"/>
    <x v="3"/>
    <n v="154"/>
    <n v="99"/>
    <n v="0.27"/>
    <s v="Desktop"/>
    <n v="0"/>
    <n v="1"/>
    <n v="0"/>
    <n v="4.99"/>
    <n v="0"/>
  </r>
  <r>
    <n v="3502"/>
    <s v="Other"/>
    <n v="39"/>
    <x v="2"/>
    <x v="3"/>
    <n v="149"/>
    <n v="41"/>
    <n v="0.43"/>
    <s v="Desktop"/>
    <n v="0"/>
    <n v="1"/>
    <n v="0"/>
    <n v="4.99"/>
    <n v="0"/>
  </r>
  <r>
    <n v="3503"/>
    <s v="Male"/>
    <n v="31"/>
    <x v="4"/>
    <x v="1"/>
    <n v="248"/>
    <n v="71"/>
    <n v="7.0000000000000007E-2"/>
    <s v="Web"/>
    <n v="0"/>
    <n v="1"/>
    <n v="0"/>
    <n v="14.99"/>
    <n v="0"/>
  </r>
  <r>
    <n v="3504"/>
    <s v="Female"/>
    <n v="48"/>
    <x v="5"/>
    <x v="1"/>
    <n v="272"/>
    <n v="85"/>
    <n v="0.57999999999999996"/>
    <s v="Desktop"/>
    <n v="0"/>
    <n v="1"/>
    <n v="0"/>
    <n v="14.99"/>
    <n v="0"/>
  </r>
  <r>
    <n v="3505"/>
    <s v="Male"/>
    <n v="36"/>
    <x v="3"/>
    <x v="0"/>
    <n v="231"/>
    <n v="96"/>
    <n v="0.57999999999999996"/>
    <s v="Mobile"/>
    <n v="25"/>
    <n v="0"/>
    <n v="1"/>
    <n v="0"/>
    <n v="0"/>
  </r>
  <r>
    <n v="3506"/>
    <s v="Male"/>
    <n v="56"/>
    <x v="5"/>
    <x v="3"/>
    <n v="108"/>
    <n v="69"/>
    <n v="0.54"/>
    <s v="Web"/>
    <n v="0"/>
    <n v="1"/>
    <n v="0"/>
    <n v="4.99"/>
    <n v="0"/>
  </r>
  <r>
    <n v="3507"/>
    <s v="Male"/>
    <n v="52"/>
    <x v="6"/>
    <x v="3"/>
    <n v="267"/>
    <n v="7"/>
    <n v="0.34"/>
    <s v="Desktop"/>
    <n v="0"/>
    <n v="1"/>
    <n v="0"/>
    <n v="4.99"/>
    <n v="0"/>
  </r>
  <r>
    <n v="3508"/>
    <s v="Male"/>
    <n v="59"/>
    <x v="7"/>
    <x v="2"/>
    <n v="238"/>
    <n v="40"/>
    <n v="0.09"/>
    <s v="Desktop"/>
    <n v="0"/>
    <n v="1"/>
    <n v="0"/>
    <n v="9.99"/>
    <n v="0"/>
  </r>
  <r>
    <n v="3509"/>
    <s v="Other"/>
    <n v="58"/>
    <x v="3"/>
    <x v="1"/>
    <n v="195"/>
    <n v="55"/>
    <n v="7.0000000000000007E-2"/>
    <s v="Mobile"/>
    <n v="0"/>
    <n v="1"/>
    <n v="0"/>
    <n v="14.99"/>
    <n v="0"/>
  </r>
  <r>
    <n v="3510"/>
    <s v="Male"/>
    <n v="57"/>
    <x v="6"/>
    <x v="2"/>
    <n v="212"/>
    <n v="46"/>
    <n v="0.18"/>
    <s v="Web"/>
    <n v="0"/>
    <n v="1"/>
    <n v="1"/>
    <n v="9.99"/>
    <n v="9.99"/>
  </r>
  <r>
    <n v="3511"/>
    <s v="Other"/>
    <n v="29"/>
    <x v="2"/>
    <x v="0"/>
    <n v="169"/>
    <n v="32"/>
    <n v="0.26"/>
    <s v="Web"/>
    <n v="27"/>
    <n v="0"/>
    <n v="0"/>
    <n v="0"/>
    <n v="0"/>
  </r>
  <r>
    <n v="3512"/>
    <s v="Male"/>
    <n v="50"/>
    <x v="4"/>
    <x v="0"/>
    <n v="204"/>
    <n v="92"/>
    <n v="0.15"/>
    <s v="Web"/>
    <n v="26"/>
    <n v="0"/>
    <n v="1"/>
    <n v="0"/>
    <n v="0"/>
  </r>
  <r>
    <n v="3513"/>
    <s v="Male"/>
    <n v="34"/>
    <x v="1"/>
    <x v="2"/>
    <n v="144"/>
    <n v="56"/>
    <n v="0.12"/>
    <s v="Desktop"/>
    <n v="0"/>
    <n v="1"/>
    <n v="1"/>
    <n v="9.99"/>
    <n v="9.99"/>
  </r>
  <r>
    <n v="3514"/>
    <s v="Other"/>
    <n v="18"/>
    <x v="3"/>
    <x v="2"/>
    <n v="205"/>
    <n v="83"/>
    <n v="0.23"/>
    <s v="Desktop"/>
    <n v="0"/>
    <n v="1"/>
    <n v="0"/>
    <n v="9.99"/>
    <n v="0"/>
  </r>
  <r>
    <n v="3515"/>
    <s v="Male"/>
    <n v="31"/>
    <x v="4"/>
    <x v="1"/>
    <n v="275"/>
    <n v="78"/>
    <n v="0.19"/>
    <s v="Mobile"/>
    <n v="0"/>
    <n v="1"/>
    <n v="0"/>
    <n v="14.99"/>
    <n v="0"/>
  </r>
  <r>
    <n v="3516"/>
    <s v="Female"/>
    <n v="23"/>
    <x v="4"/>
    <x v="3"/>
    <n v="245"/>
    <n v="2"/>
    <n v="0.06"/>
    <s v="Web"/>
    <n v="0"/>
    <n v="1"/>
    <n v="0"/>
    <n v="4.99"/>
    <n v="0"/>
  </r>
  <r>
    <n v="3517"/>
    <s v="Female"/>
    <n v="54"/>
    <x v="1"/>
    <x v="3"/>
    <n v="282"/>
    <n v="69"/>
    <n v="7.0000000000000007E-2"/>
    <s v="Desktop"/>
    <n v="0"/>
    <n v="1"/>
    <n v="0"/>
    <n v="4.99"/>
    <n v="0"/>
  </r>
  <r>
    <n v="3518"/>
    <s v="Other"/>
    <n v="43"/>
    <x v="7"/>
    <x v="3"/>
    <n v="144"/>
    <n v="44"/>
    <n v="0.34"/>
    <s v="Web"/>
    <n v="0"/>
    <n v="1"/>
    <n v="0"/>
    <n v="4.99"/>
    <n v="0"/>
  </r>
  <r>
    <n v="3519"/>
    <s v="Male"/>
    <n v="52"/>
    <x v="0"/>
    <x v="3"/>
    <n v="146"/>
    <n v="63"/>
    <n v="0.16"/>
    <s v="Web"/>
    <n v="0"/>
    <n v="1"/>
    <n v="0"/>
    <n v="4.99"/>
    <n v="0"/>
  </r>
  <r>
    <n v="3520"/>
    <s v="Male"/>
    <n v="55"/>
    <x v="4"/>
    <x v="0"/>
    <n v="266"/>
    <n v="74"/>
    <n v="0.01"/>
    <s v="Mobile"/>
    <n v="7"/>
    <n v="0"/>
    <n v="0"/>
    <n v="0"/>
    <n v="0"/>
  </r>
  <r>
    <n v="3521"/>
    <s v="Other"/>
    <n v="46"/>
    <x v="4"/>
    <x v="2"/>
    <n v="90"/>
    <n v="3"/>
    <n v="7.0000000000000007E-2"/>
    <s v="Web"/>
    <n v="0"/>
    <n v="1"/>
    <n v="1"/>
    <n v="9.99"/>
    <n v="9.99"/>
  </r>
  <r>
    <n v="3522"/>
    <s v="Other"/>
    <n v="45"/>
    <x v="3"/>
    <x v="2"/>
    <n v="136"/>
    <n v="20"/>
    <n v="0.33"/>
    <s v="Desktop"/>
    <n v="0"/>
    <n v="1"/>
    <n v="1"/>
    <n v="9.99"/>
    <n v="9.99"/>
  </r>
  <r>
    <n v="3523"/>
    <s v="Male"/>
    <n v="19"/>
    <x v="1"/>
    <x v="1"/>
    <n v="113"/>
    <n v="92"/>
    <n v="0.26"/>
    <s v="Mobile"/>
    <n v="0"/>
    <n v="1"/>
    <n v="1"/>
    <n v="14.99"/>
    <n v="14.99"/>
  </r>
  <r>
    <n v="3524"/>
    <s v="Female"/>
    <n v="49"/>
    <x v="4"/>
    <x v="3"/>
    <n v="61"/>
    <n v="34"/>
    <n v="0.43"/>
    <s v="Mobile"/>
    <n v="0"/>
    <n v="1"/>
    <n v="0"/>
    <n v="4.99"/>
    <n v="0"/>
  </r>
  <r>
    <n v="3525"/>
    <s v="Other"/>
    <n v="58"/>
    <x v="5"/>
    <x v="1"/>
    <n v="231"/>
    <n v="87"/>
    <n v="0.45"/>
    <s v="Mobile"/>
    <n v="0"/>
    <n v="1"/>
    <n v="0"/>
    <n v="14.99"/>
    <n v="0"/>
  </r>
  <r>
    <n v="3526"/>
    <s v="Male"/>
    <n v="52"/>
    <x v="6"/>
    <x v="1"/>
    <n v="192"/>
    <n v="84"/>
    <n v="0.06"/>
    <s v="Desktop"/>
    <n v="0"/>
    <n v="1"/>
    <n v="1"/>
    <n v="14.99"/>
    <n v="14.99"/>
  </r>
  <r>
    <n v="3527"/>
    <s v="Male"/>
    <n v="24"/>
    <x v="0"/>
    <x v="0"/>
    <n v="291"/>
    <n v="43"/>
    <n v="0.05"/>
    <s v="Desktop"/>
    <n v="25"/>
    <n v="0"/>
    <n v="1"/>
    <n v="0"/>
    <n v="0"/>
  </r>
  <r>
    <n v="3528"/>
    <s v="Male"/>
    <n v="47"/>
    <x v="3"/>
    <x v="2"/>
    <n v="204"/>
    <n v="52"/>
    <n v="0.04"/>
    <s v="Desktop"/>
    <n v="0"/>
    <n v="1"/>
    <n v="1"/>
    <n v="9.99"/>
    <n v="9.99"/>
  </r>
  <r>
    <n v="3529"/>
    <s v="Male"/>
    <n v="42"/>
    <x v="1"/>
    <x v="0"/>
    <n v="37"/>
    <n v="98"/>
    <n v="0.26"/>
    <s v="Desktop"/>
    <n v="30"/>
    <n v="0"/>
    <n v="0"/>
    <n v="0"/>
    <n v="0"/>
  </r>
  <r>
    <n v="3530"/>
    <s v="Female"/>
    <n v="16"/>
    <x v="7"/>
    <x v="0"/>
    <n v="145"/>
    <n v="48"/>
    <n v="0.52"/>
    <s v="Desktop"/>
    <n v="44"/>
    <n v="0"/>
    <n v="0"/>
    <n v="0"/>
    <n v="0"/>
  </r>
  <r>
    <n v="3531"/>
    <s v="Male"/>
    <n v="55"/>
    <x v="5"/>
    <x v="2"/>
    <n v="87"/>
    <n v="23"/>
    <n v="0.57999999999999996"/>
    <s v="Desktop"/>
    <n v="0"/>
    <n v="1"/>
    <n v="0"/>
    <n v="9.99"/>
    <n v="0"/>
  </r>
  <r>
    <n v="3532"/>
    <s v="Male"/>
    <n v="50"/>
    <x v="5"/>
    <x v="1"/>
    <n v="41"/>
    <n v="4"/>
    <n v="0.46"/>
    <s v="Web"/>
    <n v="0"/>
    <n v="1"/>
    <n v="0"/>
    <n v="14.99"/>
    <n v="0"/>
  </r>
  <r>
    <n v="3533"/>
    <s v="Female"/>
    <n v="29"/>
    <x v="0"/>
    <x v="1"/>
    <n v="51"/>
    <n v="55"/>
    <n v="0.48"/>
    <s v="Web"/>
    <n v="0"/>
    <n v="1"/>
    <n v="0"/>
    <n v="14.99"/>
    <n v="0"/>
  </r>
  <r>
    <n v="3534"/>
    <s v="Male"/>
    <n v="29"/>
    <x v="4"/>
    <x v="3"/>
    <n v="114"/>
    <n v="83"/>
    <n v="0.13"/>
    <s v="Web"/>
    <n v="0"/>
    <n v="1"/>
    <n v="1"/>
    <n v="4.99"/>
    <n v="4.99"/>
  </r>
  <r>
    <n v="3535"/>
    <s v="Other"/>
    <n v="35"/>
    <x v="7"/>
    <x v="3"/>
    <n v="41"/>
    <n v="76"/>
    <n v="0.51"/>
    <s v="Mobile"/>
    <n v="0"/>
    <n v="1"/>
    <n v="1"/>
    <n v="4.99"/>
    <n v="4.99"/>
  </r>
  <r>
    <n v="3536"/>
    <s v="Other"/>
    <n v="48"/>
    <x v="7"/>
    <x v="2"/>
    <n v="260"/>
    <n v="33"/>
    <n v="0.53"/>
    <s v="Desktop"/>
    <n v="0"/>
    <n v="1"/>
    <n v="0"/>
    <n v="9.99"/>
    <n v="0"/>
  </r>
  <r>
    <n v="3537"/>
    <s v="Other"/>
    <n v="38"/>
    <x v="6"/>
    <x v="2"/>
    <n v="123"/>
    <n v="4"/>
    <n v="0.53"/>
    <s v="Web"/>
    <n v="0"/>
    <n v="1"/>
    <n v="0"/>
    <n v="9.99"/>
    <n v="0"/>
  </r>
  <r>
    <n v="3538"/>
    <s v="Female"/>
    <n v="41"/>
    <x v="1"/>
    <x v="2"/>
    <n v="80"/>
    <n v="29"/>
    <n v="0.16"/>
    <s v="Desktop"/>
    <n v="0"/>
    <n v="1"/>
    <n v="1"/>
    <n v="9.99"/>
    <n v="9.99"/>
  </r>
  <r>
    <n v="3539"/>
    <s v="Female"/>
    <n v="50"/>
    <x v="4"/>
    <x v="1"/>
    <n v="85"/>
    <n v="64"/>
    <n v="0.14000000000000001"/>
    <s v="Desktop"/>
    <n v="0"/>
    <n v="1"/>
    <n v="0"/>
    <n v="14.99"/>
    <n v="0"/>
  </r>
  <r>
    <n v="3540"/>
    <s v="Female"/>
    <n v="45"/>
    <x v="0"/>
    <x v="1"/>
    <n v="266"/>
    <n v="84"/>
    <n v="0.17"/>
    <s v="Web"/>
    <n v="0"/>
    <n v="1"/>
    <n v="0"/>
    <n v="14.99"/>
    <n v="0"/>
  </r>
  <r>
    <n v="3541"/>
    <s v="Other"/>
    <n v="42"/>
    <x v="3"/>
    <x v="1"/>
    <n v="230"/>
    <n v="62"/>
    <n v="0.3"/>
    <s v="Web"/>
    <n v="0"/>
    <n v="1"/>
    <n v="0"/>
    <n v="14.99"/>
    <n v="0"/>
  </r>
  <r>
    <n v="3542"/>
    <s v="Other"/>
    <n v="29"/>
    <x v="7"/>
    <x v="0"/>
    <n v="298"/>
    <n v="35"/>
    <n v="0.24"/>
    <s v="Mobile"/>
    <n v="10"/>
    <n v="0"/>
    <n v="0"/>
    <n v="0"/>
    <n v="0"/>
  </r>
  <r>
    <n v="3543"/>
    <s v="Male"/>
    <n v="37"/>
    <x v="1"/>
    <x v="0"/>
    <n v="278"/>
    <n v="70"/>
    <n v="0.18"/>
    <s v="Mobile"/>
    <n v="21"/>
    <n v="0"/>
    <n v="0"/>
    <n v="0"/>
    <n v="0"/>
  </r>
  <r>
    <n v="3544"/>
    <s v="Female"/>
    <n v="19"/>
    <x v="5"/>
    <x v="2"/>
    <n v="214"/>
    <n v="83"/>
    <n v="0.15"/>
    <s v="Desktop"/>
    <n v="0"/>
    <n v="1"/>
    <n v="0"/>
    <n v="9.99"/>
    <n v="0"/>
  </r>
  <r>
    <n v="3545"/>
    <s v="Other"/>
    <n v="57"/>
    <x v="6"/>
    <x v="3"/>
    <n v="157"/>
    <n v="7"/>
    <n v="0.39"/>
    <s v="Desktop"/>
    <n v="0"/>
    <n v="1"/>
    <n v="0"/>
    <n v="4.99"/>
    <n v="0"/>
  </r>
  <r>
    <n v="3546"/>
    <s v="Male"/>
    <n v="43"/>
    <x v="4"/>
    <x v="0"/>
    <n v="78"/>
    <n v="3"/>
    <n v="0.32"/>
    <s v="Desktop"/>
    <n v="33"/>
    <n v="0"/>
    <n v="0"/>
    <n v="0"/>
    <n v="0"/>
  </r>
  <r>
    <n v="3547"/>
    <s v="Female"/>
    <n v="40"/>
    <x v="3"/>
    <x v="1"/>
    <n v="257"/>
    <n v="50"/>
    <n v="0.38"/>
    <s v="Desktop"/>
    <n v="0"/>
    <n v="1"/>
    <n v="0"/>
    <n v="14.99"/>
    <n v="0"/>
  </r>
  <r>
    <n v="3548"/>
    <s v="Female"/>
    <n v="30"/>
    <x v="3"/>
    <x v="3"/>
    <n v="58"/>
    <n v="87"/>
    <n v="0.46"/>
    <s v="Web"/>
    <n v="0"/>
    <n v="1"/>
    <n v="0"/>
    <n v="4.99"/>
    <n v="0"/>
  </r>
  <r>
    <n v="3549"/>
    <s v="Female"/>
    <n v="33"/>
    <x v="7"/>
    <x v="2"/>
    <n v="75"/>
    <n v="8"/>
    <n v="0.24"/>
    <s v="Web"/>
    <n v="0"/>
    <n v="1"/>
    <n v="0"/>
    <n v="9.99"/>
    <n v="0"/>
  </r>
  <r>
    <n v="3550"/>
    <s v="Male"/>
    <n v="56"/>
    <x v="1"/>
    <x v="1"/>
    <n v="256"/>
    <n v="40"/>
    <n v="0.53"/>
    <s v="Web"/>
    <n v="0"/>
    <n v="1"/>
    <n v="1"/>
    <n v="14.99"/>
    <n v="14.99"/>
  </r>
  <r>
    <n v="3551"/>
    <s v="Female"/>
    <n v="21"/>
    <x v="2"/>
    <x v="3"/>
    <n v="235"/>
    <n v="80"/>
    <n v="0.04"/>
    <s v="Web"/>
    <n v="0"/>
    <n v="1"/>
    <n v="0"/>
    <n v="4.99"/>
    <n v="0"/>
  </r>
  <r>
    <n v="3552"/>
    <s v="Female"/>
    <n v="26"/>
    <x v="0"/>
    <x v="0"/>
    <n v="122"/>
    <n v="2"/>
    <n v="0.36"/>
    <s v="Web"/>
    <n v="31"/>
    <n v="0"/>
    <n v="0"/>
    <n v="0"/>
    <n v="0"/>
  </r>
  <r>
    <n v="3553"/>
    <s v="Other"/>
    <n v="36"/>
    <x v="6"/>
    <x v="2"/>
    <n v="285"/>
    <n v="97"/>
    <n v="0.09"/>
    <s v="Web"/>
    <n v="0"/>
    <n v="1"/>
    <n v="0"/>
    <n v="9.99"/>
    <n v="0"/>
  </r>
  <r>
    <n v="3554"/>
    <s v="Other"/>
    <n v="27"/>
    <x v="5"/>
    <x v="1"/>
    <n v="178"/>
    <n v="82"/>
    <n v="0.01"/>
    <s v="Desktop"/>
    <n v="0"/>
    <n v="1"/>
    <n v="0"/>
    <n v="14.99"/>
    <n v="0"/>
  </r>
  <r>
    <n v="3555"/>
    <s v="Female"/>
    <n v="20"/>
    <x v="0"/>
    <x v="3"/>
    <n v="270"/>
    <n v="82"/>
    <n v="0.03"/>
    <s v="Mobile"/>
    <n v="0"/>
    <n v="1"/>
    <n v="0"/>
    <n v="4.99"/>
    <n v="0"/>
  </r>
  <r>
    <n v="3556"/>
    <s v="Male"/>
    <n v="38"/>
    <x v="6"/>
    <x v="0"/>
    <n v="74"/>
    <n v="47"/>
    <n v="0.19"/>
    <s v="Web"/>
    <n v="23"/>
    <n v="0"/>
    <n v="0"/>
    <n v="0"/>
    <n v="0"/>
  </r>
  <r>
    <n v="3557"/>
    <s v="Male"/>
    <n v="29"/>
    <x v="3"/>
    <x v="3"/>
    <n v="223"/>
    <n v="57"/>
    <n v="0.15"/>
    <s v="Mobile"/>
    <n v="0"/>
    <n v="1"/>
    <n v="0"/>
    <n v="4.99"/>
    <n v="0"/>
  </r>
  <r>
    <n v="3558"/>
    <s v="Other"/>
    <n v="46"/>
    <x v="7"/>
    <x v="3"/>
    <n v="132"/>
    <n v="75"/>
    <n v="0.12"/>
    <s v="Web"/>
    <n v="0"/>
    <n v="1"/>
    <n v="0"/>
    <n v="4.99"/>
    <n v="0"/>
  </r>
  <r>
    <n v="3559"/>
    <s v="Female"/>
    <n v="52"/>
    <x v="3"/>
    <x v="1"/>
    <n v="230"/>
    <n v="45"/>
    <n v="0.03"/>
    <s v="Desktop"/>
    <n v="0"/>
    <n v="1"/>
    <n v="0"/>
    <n v="14.99"/>
    <n v="0"/>
  </r>
  <r>
    <n v="3560"/>
    <s v="Female"/>
    <n v="23"/>
    <x v="7"/>
    <x v="2"/>
    <n v="23"/>
    <n v="97"/>
    <n v="0.16"/>
    <s v="Web"/>
    <n v="0"/>
    <n v="1"/>
    <n v="0"/>
    <n v="9.99"/>
    <n v="0"/>
  </r>
  <r>
    <n v="3561"/>
    <s v="Male"/>
    <n v="18"/>
    <x v="0"/>
    <x v="0"/>
    <n v="116"/>
    <n v="85"/>
    <n v="0.19"/>
    <s v="Web"/>
    <n v="29"/>
    <n v="0"/>
    <n v="1"/>
    <n v="0"/>
    <n v="0"/>
  </r>
  <r>
    <n v="3562"/>
    <s v="Male"/>
    <n v="44"/>
    <x v="6"/>
    <x v="2"/>
    <n v="43"/>
    <n v="32"/>
    <n v="0.12"/>
    <s v="Desktop"/>
    <n v="0"/>
    <n v="1"/>
    <n v="0"/>
    <n v="9.99"/>
    <n v="0"/>
  </r>
  <r>
    <n v="3563"/>
    <s v="Other"/>
    <n v="49"/>
    <x v="2"/>
    <x v="0"/>
    <n v="231"/>
    <n v="82"/>
    <n v="0.11"/>
    <s v="Desktop"/>
    <n v="36"/>
    <n v="0"/>
    <n v="0"/>
    <n v="0"/>
    <n v="0"/>
  </r>
  <r>
    <n v="3564"/>
    <s v="Other"/>
    <n v="27"/>
    <x v="0"/>
    <x v="2"/>
    <n v="275"/>
    <n v="3"/>
    <n v="0.49"/>
    <s v="Web"/>
    <n v="0"/>
    <n v="1"/>
    <n v="0"/>
    <n v="9.99"/>
    <n v="0"/>
  </r>
  <r>
    <n v="3565"/>
    <s v="Other"/>
    <n v="45"/>
    <x v="3"/>
    <x v="3"/>
    <n v="153"/>
    <n v="2"/>
    <n v="0.15"/>
    <s v="Desktop"/>
    <n v="0"/>
    <n v="1"/>
    <n v="0"/>
    <n v="4.99"/>
    <n v="0"/>
  </r>
  <r>
    <n v="3566"/>
    <s v="Other"/>
    <n v="22"/>
    <x v="1"/>
    <x v="0"/>
    <n v="278"/>
    <n v="40"/>
    <n v="0.25"/>
    <s v="Mobile"/>
    <n v="33"/>
    <n v="0"/>
    <n v="0"/>
    <n v="0"/>
    <n v="0"/>
  </r>
  <r>
    <n v="3567"/>
    <s v="Female"/>
    <n v="57"/>
    <x v="6"/>
    <x v="1"/>
    <n v="254"/>
    <n v="72"/>
    <n v="7.0000000000000007E-2"/>
    <s v="Desktop"/>
    <n v="0"/>
    <n v="1"/>
    <n v="0"/>
    <n v="14.99"/>
    <n v="0"/>
  </r>
  <r>
    <n v="3568"/>
    <s v="Other"/>
    <n v="34"/>
    <x v="1"/>
    <x v="1"/>
    <n v="42"/>
    <n v="16"/>
    <n v="0.5"/>
    <s v="Desktop"/>
    <n v="0"/>
    <n v="1"/>
    <n v="1"/>
    <n v="14.99"/>
    <n v="14.99"/>
  </r>
  <r>
    <n v="3569"/>
    <s v="Other"/>
    <n v="36"/>
    <x v="4"/>
    <x v="1"/>
    <n v="152"/>
    <n v="39"/>
    <n v="0.06"/>
    <s v="Desktop"/>
    <n v="0"/>
    <n v="1"/>
    <n v="0"/>
    <n v="14.99"/>
    <n v="0"/>
  </r>
  <r>
    <n v="3570"/>
    <s v="Male"/>
    <n v="45"/>
    <x v="7"/>
    <x v="2"/>
    <n v="159"/>
    <n v="34"/>
    <n v="0.01"/>
    <s v="Web"/>
    <n v="0"/>
    <n v="1"/>
    <n v="0"/>
    <n v="9.99"/>
    <n v="0"/>
  </r>
  <r>
    <n v="3571"/>
    <s v="Female"/>
    <n v="45"/>
    <x v="2"/>
    <x v="2"/>
    <n v="158"/>
    <n v="97"/>
    <n v="0.5"/>
    <s v="Mobile"/>
    <n v="0"/>
    <n v="1"/>
    <n v="0"/>
    <n v="9.99"/>
    <n v="0"/>
  </r>
  <r>
    <n v="3572"/>
    <s v="Male"/>
    <n v="50"/>
    <x v="1"/>
    <x v="1"/>
    <n v="59"/>
    <n v="37"/>
    <n v="0.43"/>
    <s v="Desktop"/>
    <n v="0"/>
    <n v="1"/>
    <n v="0"/>
    <n v="14.99"/>
    <n v="0"/>
  </r>
  <r>
    <n v="3573"/>
    <s v="Female"/>
    <n v="22"/>
    <x v="7"/>
    <x v="2"/>
    <n v="272"/>
    <n v="54"/>
    <n v="0.14000000000000001"/>
    <s v="Web"/>
    <n v="0"/>
    <n v="1"/>
    <n v="0"/>
    <n v="9.99"/>
    <n v="0"/>
  </r>
  <r>
    <n v="3574"/>
    <s v="Female"/>
    <n v="59"/>
    <x v="3"/>
    <x v="3"/>
    <n v="203"/>
    <n v="66"/>
    <n v="0.48"/>
    <s v="Mobile"/>
    <n v="0"/>
    <n v="1"/>
    <n v="0"/>
    <n v="4.99"/>
    <n v="0"/>
  </r>
  <r>
    <n v="3575"/>
    <s v="Other"/>
    <n v="25"/>
    <x v="4"/>
    <x v="1"/>
    <n v="193"/>
    <n v="36"/>
    <n v="0.33"/>
    <s v="Web"/>
    <n v="0"/>
    <n v="1"/>
    <n v="1"/>
    <n v="14.99"/>
    <n v="14.99"/>
  </r>
  <r>
    <n v="3576"/>
    <s v="Male"/>
    <n v="44"/>
    <x v="2"/>
    <x v="0"/>
    <n v="34"/>
    <n v="74"/>
    <n v="0.19"/>
    <s v="Mobile"/>
    <n v="27"/>
    <n v="0"/>
    <n v="0"/>
    <n v="0"/>
    <n v="0"/>
  </r>
  <r>
    <n v="3577"/>
    <s v="Male"/>
    <n v="32"/>
    <x v="5"/>
    <x v="3"/>
    <n v="233"/>
    <n v="45"/>
    <n v="0.05"/>
    <s v="Desktop"/>
    <n v="0"/>
    <n v="1"/>
    <n v="0"/>
    <n v="4.99"/>
    <n v="0"/>
  </r>
  <r>
    <n v="3578"/>
    <s v="Other"/>
    <n v="57"/>
    <x v="2"/>
    <x v="0"/>
    <n v="69"/>
    <n v="21"/>
    <n v="0.41"/>
    <s v="Mobile"/>
    <n v="27"/>
    <n v="0"/>
    <n v="0"/>
    <n v="0"/>
    <n v="0"/>
  </r>
  <r>
    <n v="3579"/>
    <s v="Male"/>
    <n v="30"/>
    <x v="1"/>
    <x v="2"/>
    <n v="32"/>
    <n v="38"/>
    <n v="0.16"/>
    <s v="Web"/>
    <n v="0"/>
    <n v="1"/>
    <n v="0"/>
    <n v="9.99"/>
    <n v="0"/>
  </r>
  <r>
    <n v="3580"/>
    <s v="Other"/>
    <n v="20"/>
    <x v="0"/>
    <x v="1"/>
    <n v="99"/>
    <n v="23"/>
    <n v="0.26"/>
    <s v="Web"/>
    <n v="0"/>
    <n v="1"/>
    <n v="0"/>
    <n v="14.99"/>
    <n v="0"/>
  </r>
  <r>
    <n v="3581"/>
    <s v="Other"/>
    <n v="23"/>
    <x v="2"/>
    <x v="2"/>
    <n v="141"/>
    <n v="89"/>
    <n v="0.56999999999999995"/>
    <s v="Desktop"/>
    <n v="0"/>
    <n v="1"/>
    <n v="0"/>
    <n v="9.99"/>
    <n v="0"/>
  </r>
  <r>
    <n v="3582"/>
    <s v="Female"/>
    <n v="26"/>
    <x v="0"/>
    <x v="0"/>
    <n v="115"/>
    <n v="12"/>
    <n v="0.11"/>
    <s v="Mobile"/>
    <n v="30"/>
    <n v="0"/>
    <n v="0"/>
    <n v="0"/>
    <n v="0"/>
  </r>
  <r>
    <n v="3583"/>
    <s v="Female"/>
    <n v="21"/>
    <x v="5"/>
    <x v="1"/>
    <n v="160"/>
    <n v="57"/>
    <n v="0.22"/>
    <s v="Mobile"/>
    <n v="0"/>
    <n v="1"/>
    <n v="0"/>
    <n v="14.99"/>
    <n v="0"/>
  </r>
  <r>
    <n v="3584"/>
    <s v="Male"/>
    <n v="33"/>
    <x v="7"/>
    <x v="0"/>
    <n v="104"/>
    <n v="18"/>
    <n v="0.4"/>
    <s v="Desktop"/>
    <n v="17"/>
    <n v="0"/>
    <n v="0"/>
    <n v="0"/>
    <n v="0"/>
  </r>
  <r>
    <n v="3585"/>
    <s v="Female"/>
    <n v="56"/>
    <x v="0"/>
    <x v="1"/>
    <n v="269"/>
    <n v="54"/>
    <n v="0.21"/>
    <s v="Desktop"/>
    <n v="0"/>
    <n v="1"/>
    <n v="0"/>
    <n v="14.99"/>
    <n v="0"/>
  </r>
  <r>
    <n v="3586"/>
    <s v="Female"/>
    <n v="58"/>
    <x v="5"/>
    <x v="2"/>
    <n v="245"/>
    <n v="43"/>
    <n v="0.2"/>
    <s v="Web"/>
    <n v="0"/>
    <n v="1"/>
    <n v="0"/>
    <n v="9.99"/>
    <n v="0"/>
  </r>
  <r>
    <n v="3587"/>
    <s v="Other"/>
    <n v="36"/>
    <x v="5"/>
    <x v="1"/>
    <n v="230"/>
    <n v="15"/>
    <n v="0.57999999999999996"/>
    <s v="Desktop"/>
    <n v="0"/>
    <n v="1"/>
    <n v="0"/>
    <n v="14.99"/>
    <n v="0"/>
  </r>
  <r>
    <n v="3588"/>
    <s v="Male"/>
    <n v="16"/>
    <x v="1"/>
    <x v="1"/>
    <n v="30"/>
    <n v="37"/>
    <n v="0.27"/>
    <s v="Mobile"/>
    <n v="0"/>
    <n v="1"/>
    <n v="0"/>
    <n v="14.99"/>
    <n v="0"/>
  </r>
  <r>
    <n v="3589"/>
    <s v="Female"/>
    <n v="44"/>
    <x v="7"/>
    <x v="0"/>
    <n v="279"/>
    <n v="6"/>
    <n v="0.57999999999999996"/>
    <s v="Web"/>
    <n v="43"/>
    <n v="0"/>
    <n v="0"/>
    <n v="0"/>
    <n v="0"/>
  </r>
  <r>
    <n v="3590"/>
    <s v="Female"/>
    <n v="23"/>
    <x v="3"/>
    <x v="3"/>
    <n v="280"/>
    <n v="46"/>
    <n v="0"/>
    <s v="Desktop"/>
    <n v="0"/>
    <n v="1"/>
    <n v="0"/>
    <n v="4.99"/>
    <n v="0"/>
  </r>
  <r>
    <n v="3591"/>
    <s v="Female"/>
    <n v="44"/>
    <x v="7"/>
    <x v="0"/>
    <n v="68"/>
    <n v="32"/>
    <n v="0.18"/>
    <s v="Web"/>
    <n v="35"/>
    <n v="0"/>
    <n v="1"/>
    <n v="0"/>
    <n v="0"/>
  </r>
  <r>
    <n v="3592"/>
    <s v="Female"/>
    <n v="44"/>
    <x v="5"/>
    <x v="2"/>
    <n v="37"/>
    <n v="93"/>
    <n v="0.19"/>
    <s v="Desktop"/>
    <n v="0"/>
    <n v="1"/>
    <n v="0"/>
    <n v="9.99"/>
    <n v="0"/>
  </r>
  <r>
    <n v="3593"/>
    <s v="Female"/>
    <n v="51"/>
    <x v="3"/>
    <x v="3"/>
    <n v="226"/>
    <n v="11"/>
    <n v="0.27"/>
    <s v="Desktop"/>
    <n v="0"/>
    <n v="1"/>
    <n v="0"/>
    <n v="4.99"/>
    <n v="0"/>
  </r>
  <r>
    <n v="3594"/>
    <s v="Other"/>
    <n v="48"/>
    <x v="1"/>
    <x v="1"/>
    <n v="205"/>
    <n v="49"/>
    <n v="0.55000000000000004"/>
    <s v="Web"/>
    <n v="0"/>
    <n v="1"/>
    <n v="0"/>
    <n v="14.99"/>
    <n v="0"/>
  </r>
  <r>
    <n v="3595"/>
    <s v="Other"/>
    <n v="39"/>
    <x v="1"/>
    <x v="3"/>
    <n v="109"/>
    <n v="95"/>
    <n v="0.57999999999999996"/>
    <s v="Mobile"/>
    <n v="0"/>
    <n v="1"/>
    <n v="0"/>
    <n v="4.99"/>
    <n v="0"/>
  </r>
  <r>
    <n v="3596"/>
    <s v="Other"/>
    <n v="59"/>
    <x v="4"/>
    <x v="0"/>
    <n v="44"/>
    <n v="36"/>
    <n v="0.28999999999999998"/>
    <s v="Web"/>
    <n v="36"/>
    <n v="0"/>
    <n v="0"/>
    <n v="0"/>
    <n v="0"/>
  </r>
  <r>
    <n v="3597"/>
    <s v="Male"/>
    <n v="55"/>
    <x v="3"/>
    <x v="1"/>
    <n v="258"/>
    <n v="66"/>
    <n v="0.21"/>
    <s v="Mobile"/>
    <n v="0"/>
    <n v="1"/>
    <n v="0"/>
    <n v="14.99"/>
    <n v="0"/>
  </r>
  <r>
    <n v="3598"/>
    <s v="Female"/>
    <n v="49"/>
    <x v="3"/>
    <x v="0"/>
    <n v="211"/>
    <n v="91"/>
    <n v="0.34"/>
    <s v="Mobile"/>
    <n v="26"/>
    <n v="0"/>
    <n v="0"/>
    <n v="0"/>
    <n v="0"/>
  </r>
  <r>
    <n v="3599"/>
    <s v="Female"/>
    <n v="31"/>
    <x v="2"/>
    <x v="3"/>
    <n v="215"/>
    <n v="93"/>
    <n v="0.32"/>
    <s v="Web"/>
    <n v="0"/>
    <n v="1"/>
    <n v="0"/>
    <n v="4.99"/>
    <n v="0"/>
  </r>
  <r>
    <n v="3600"/>
    <s v="Other"/>
    <n v="43"/>
    <x v="7"/>
    <x v="0"/>
    <n v="218"/>
    <n v="53"/>
    <n v="0.02"/>
    <s v="Web"/>
    <n v="40"/>
    <n v="0"/>
    <n v="0"/>
    <n v="0"/>
    <n v="0"/>
  </r>
  <r>
    <n v="3601"/>
    <s v="Male"/>
    <n v="52"/>
    <x v="7"/>
    <x v="1"/>
    <n v="255"/>
    <n v="20"/>
    <n v="0.04"/>
    <s v="Desktop"/>
    <n v="0"/>
    <n v="1"/>
    <n v="0"/>
    <n v="14.99"/>
    <n v="0"/>
  </r>
  <r>
    <n v="3602"/>
    <s v="Other"/>
    <n v="35"/>
    <x v="0"/>
    <x v="0"/>
    <n v="218"/>
    <n v="97"/>
    <n v="0.53"/>
    <s v="Web"/>
    <n v="13"/>
    <n v="0"/>
    <n v="0"/>
    <n v="0"/>
    <n v="0"/>
  </r>
  <r>
    <n v="3603"/>
    <s v="Female"/>
    <n v="26"/>
    <x v="1"/>
    <x v="1"/>
    <n v="222"/>
    <n v="5"/>
    <n v="0.03"/>
    <s v="Web"/>
    <n v="0"/>
    <n v="1"/>
    <n v="1"/>
    <n v="14.99"/>
    <n v="14.99"/>
  </r>
  <r>
    <n v="3604"/>
    <s v="Male"/>
    <n v="21"/>
    <x v="6"/>
    <x v="1"/>
    <n v="271"/>
    <n v="52"/>
    <n v="0.39"/>
    <s v="Web"/>
    <n v="0"/>
    <n v="1"/>
    <n v="0"/>
    <n v="14.99"/>
    <n v="0"/>
  </r>
  <r>
    <n v="3605"/>
    <s v="Male"/>
    <n v="44"/>
    <x v="5"/>
    <x v="1"/>
    <n v="85"/>
    <n v="92"/>
    <n v="0.06"/>
    <s v="Desktop"/>
    <n v="0"/>
    <n v="1"/>
    <n v="1"/>
    <n v="14.99"/>
    <n v="14.99"/>
  </r>
  <r>
    <n v="3606"/>
    <s v="Male"/>
    <n v="35"/>
    <x v="0"/>
    <x v="2"/>
    <n v="185"/>
    <n v="91"/>
    <n v="0.24"/>
    <s v="Mobile"/>
    <n v="0"/>
    <n v="1"/>
    <n v="0"/>
    <n v="9.99"/>
    <n v="0"/>
  </r>
  <r>
    <n v="3607"/>
    <s v="Male"/>
    <n v="45"/>
    <x v="0"/>
    <x v="3"/>
    <n v="66"/>
    <n v="64"/>
    <n v="0.57999999999999996"/>
    <s v="Mobile"/>
    <n v="0"/>
    <n v="1"/>
    <n v="1"/>
    <n v="4.99"/>
    <n v="4.99"/>
  </r>
  <r>
    <n v="3608"/>
    <s v="Male"/>
    <n v="41"/>
    <x v="2"/>
    <x v="0"/>
    <n v="276"/>
    <n v="35"/>
    <n v="0.59"/>
    <s v="Web"/>
    <n v="43"/>
    <n v="0"/>
    <n v="1"/>
    <n v="0"/>
    <n v="0"/>
  </r>
  <r>
    <n v="3609"/>
    <s v="Male"/>
    <n v="41"/>
    <x v="3"/>
    <x v="3"/>
    <n v="256"/>
    <n v="38"/>
    <n v="0.37"/>
    <s v="Desktop"/>
    <n v="0"/>
    <n v="1"/>
    <n v="0"/>
    <n v="4.99"/>
    <n v="0"/>
  </r>
  <r>
    <n v="3610"/>
    <s v="Other"/>
    <n v="25"/>
    <x v="1"/>
    <x v="2"/>
    <n v="177"/>
    <n v="91"/>
    <n v="0.53"/>
    <s v="Web"/>
    <n v="0"/>
    <n v="1"/>
    <n v="0"/>
    <n v="9.99"/>
    <n v="0"/>
  </r>
  <r>
    <n v="3611"/>
    <s v="Female"/>
    <n v="58"/>
    <x v="6"/>
    <x v="0"/>
    <n v="103"/>
    <n v="86"/>
    <n v="0.19"/>
    <s v="Web"/>
    <n v="20"/>
    <n v="0"/>
    <n v="0"/>
    <n v="0"/>
    <n v="0"/>
  </r>
  <r>
    <n v="3612"/>
    <s v="Female"/>
    <n v="41"/>
    <x v="5"/>
    <x v="0"/>
    <n v="196"/>
    <n v="98"/>
    <n v="0.24"/>
    <s v="Mobile"/>
    <n v="13"/>
    <n v="0"/>
    <n v="0"/>
    <n v="0"/>
    <n v="0"/>
  </r>
  <r>
    <n v="3613"/>
    <s v="Other"/>
    <n v="30"/>
    <x v="1"/>
    <x v="3"/>
    <n v="178"/>
    <n v="7"/>
    <n v="0.49"/>
    <s v="Mobile"/>
    <n v="0"/>
    <n v="1"/>
    <n v="1"/>
    <n v="4.99"/>
    <n v="4.99"/>
  </r>
  <r>
    <n v="3614"/>
    <s v="Other"/>
    <n v="20"/>
    <x v="1"/>
    <x v="2"/>
    <n v="165"/>
    <n v="32"/>
    <n v="0.19"/>
    <s v="Desktop"/>
    <n v="0"/>
    <n v="1"/>
    <n v="1"/>
    <n v="9.99"/>
    <n v="9.99"/>
  </r>
  <r>
    <n v="3615"/>
    <s v="Other"/>
    <n v="17"/>
    <x v="5"/>
    <x v="2"/>
    <n v="132"/>
    <n v="74"/>
    <n v="0.57999999999999996"/>
    <s v="Mobile"/>
    <n v="0"/>
    <n v="1"/>
    <n v="1"/>
    <n v="9.99"/>
    <n v="9.99"/>
  </r>
  <r>
    <n v="3616"/>
    <s v="Male"/>
    <n v="16"/>
    <x v="5"/>
    <x v="2"/>
    <n v="203"/>
    <n v="15"/>
    <n v="0.24"/>
    <s v="Web"/>
    <n v="0"/>
    <n v="1"/>
    <n v="0"/>
    <n v="9.99"/>
    <n v="0"/>
  </r>
  <r>
    <n v="3617"/>
    <s v="Male"/>
    <n v="23"/>
    <x v="0"/>
    <x v="0"/>
    <n v="201"/>
    <n v="16"/>
    <n v="0.1"/>
    <s v="Mobile"/>
    <n v="45"/>
    <n v="0"/>
    <n v="0"/>
    <n v="0"/>
    <n v="0"/>
  </r>
  <r>
    <n v="3618"/>
    <s v="Female"/>
    <n v="26"/>
    <x v="5"/>
    <x v="2"/>
    <n v="78"/>
    <n v="72"/>
    <n v="0.5"/>
    <s v="Web"/>
    <n v="0"/>
    <n v="1"/>
    <n v="0"/>
    <n v="9.99"/>
    <n v="0"/>
  </r>
  <r>
    <n v="3619"/>
    <s v="Male"/>
    <n v="49"/>
    <x v="1"/>
    <x v="1"/>
    <n v="159"/>
    <n v="15"/>
    <n v="7.0000000000000007E-2"/>
    <s v="Web"/>
    <n v="0"/>
    <n v="1"/>
    <n v="0"/>
    <n v="14.99"/>
    <n v="0"/>
  </r>
  <r>
    <n v="3620"/>
    <s v="Other"/>
    <n v="18"/>
    <x v="1"/>
    <x v="2"/>
    <n v="45"/>
    <n v="16"/>
    <n v="0.1"/>
    <s v="Web"/>
    <n v="0"/>
    <n v="1"/>
    <n v="1"/>
    <n v="9.99"/>
    <n v="9.99"/>
  </r>
  <r>
    <n v="3621"/>
    <s v="Other"/>
    <n v="29"/>
    <x v="0"/>
    <x v="2"/>
    <n v="89"/>
    <n v="1"/>
    <n v="0.21"/>
    <s v="Desktop"/>
    <n v="0"/>
    <n v="1"/>
    <n v="0"/>
    <n v="9.99"/>
    <n v="0"/>
  </r>
  <r>
    <n v="3622"/>
    <s v="Other"/>
    <n v="34"/>
    <x v="4"/>
    <x v="1"/>
    <n v="54"/>
    <n v="36"/>
    <n v="0.09"/>
    <s v="Desktop"/>
    <n v="0"/>
    <n v="1"/>
    <n v="0"/>
    <n v="14.99"/>
    <n v="0"/>
  </r>
  <r>
    <n v="3623"/>
    <s v="Male"/>
    <n v="46"/>
    <x v="4"/>
    <x v="2"/>
    <n v="78"/>
    <n v="58"/>
    <n v="0.42"/>
    <s v="Web"/>
    <n v="0"/>
    <n v="1"/>
    <n v="0"/>
    <n v="9.99"/>
    <n v="0"/>
  </r>
  <r>
    <n v="3624"/>
    <s v="Male"/>
    <n v="57"/>
    <x v="5"/>
    <x v="3"/>
    <n v="176"/>
    <n v="6"/>
    <n v="0.12"/>
    <s v="Web"/>
    <n v="0"/>
    <n v="1"/>
    <n v="0"/>
    <n v="4.99"/>
    <n v="0"/>
  </r>
  <r>
    <n v="3625"/>
    <s v="Female"/>
    <n v="25"/>
    <x v="2"/>
    <x v="2"/>
    <n v="74"/>
    <n v="5"/>
    <n v="0.25"/>
    <s v="Desktop"/>
    <n v="0"/>
    <n v="1"/>
    <n v="0"/>
    <n v="9.99"/>
    <n v="0"/>
  </r>
  <r>
    <n v="3626"/>
    <s v="Other"/>
    <n v="34"/>
    <x v="0"/>
    <x v="0"/>
    <n v="265"/>
    <n v="96"/>
    <n v="0.3"/>
    <s v="Web"/>
    <n v="20"/>
    <n v="0"/>
    <n v="0"/>
    <n v="0"/>
    <n v="0"/>
  </r>
  <r>
    <n v="3627"/>
    <s v="Male"/>
    <n v="45"/>
    <x v="6"/>
    <x v="2"/>
    <n v="78"/>
    <n v="31"/>
    <n v="0.18"/>
    <s v="Desktop"/>
    <n v="0"/>
    <n v="1"/>
    <n v="1"/>
    <n v="9.99"/>
    <n v="9.99"/>
  </r>
  <r>
    <n v="3628"/>
    <s v="Female"/>
    <n v="35"/>
    <x v="3"/>
    <x v="0"/>
    <n v="166"/>
    <n v="7"/>
    <n v="0.24"/>
    <s v="Web"/>
    <n v="11"/>
    <n v="0"/>
    <n v="0"/>
    <n v="0"/>
    <n v="0"/>
  </r>
  <r>
    <n v="3629"/>
    <s v="Male"/>
    <n v="50"/>
    <x v="4"/>
    <x v="1"/>
    <n v="254"/>
    <n v="19"/>
    <n v="0.27"/>
    <s v="Web"/>
    <n v="0"/>
    <n v="1"/>
    <n v="0"/>
    <n v="14.99"/>
    <n v="0"/>
  </r>
  <r>
    <n v="3630"/>
    <s v="Other"/>
    <n v="48"/>
    <x v="7"/>
    <x v="1"/>
    <n v="172"/>
    <n v="31"/>
    <n v="0.18"/>
    <s v="Mobile"/>
    <n v="0"/>
    <n v="1"/>
    <n v="0"/>
    <n v="14.99"/>
    <n v="0"/>
  </r>
  <r>
    <n v="3631"/>
    <s v="Female"/>
    <n v="17"/>
    <x v="1"/>
    <x v="2"/>
    <n v="15"/>
    <n v="78"/>
    <n v="0.13"/>
    <s v="Mobile"/>
    <n v="0"/>
    <n v="1"/>
    <n v="0"/>
    <n v="9.99"/>
    <n v="0"/>
  </r>
  <r>
    <n v="3632"/>
    <s v="Female"/>
    <n v="56"/>
    <x v="1"/>
    <x v="2"/>
    <n v="269"/>
    <n v="9"/>
    <n v="0.51"/>
    <s v="Web"/>
    <n v="0"/>
    <n v="1"/>
    <n v="1"/>
    <n v="9.99"/>
    <n v="9.99"/>
  </r>
  <r>
    <n v="3633"/>
    <s v="Male"/>
    <n v="30"/>
    <x v="3"/>
    <x v="0"/>
    <n v="154"/>
    <n v="33"/>
    <n v="0.27"/>
    <s v="Desktop"/>
    <n v="19"/>
    <n v="0"/>
    <n v="1"/>
    <n v="0"/>
    <n v="0"/>
  </r>
  <r>
    <n v="3634"/>
    <s v="Male"/>
    <n v="58"/>
    <x v="0"/>
    <x v="1"/>
    <n v="37"/>
    <n v="53"/>
    <n v="0.05"/>
    <s v="Web"/>
    <n v="0"/>
    <n v="1"/>
    <n v="0"/>
    <n v="14.99"/>
    <n v="0"/>
  </r>
  <r>
    <n v="3635"/>
    <s v="Other"/>
    <n v="54"/>
    <x v="7"/>
    <x v="3"/>
    <n v="22"/>
    <n v="98"/>
    <n v="0.57999999999999996"/>
    <s v="Web"/>
    <n v="0"/>
    <n v="1"/>
    <n v="0"/>
    <n v="4.99"/>
    <n v="0"/>
  </r>
  <r>
    <n v="3636"/>
    <s v="Male"/>
    <n v="27"/>
    <x v="0"/>
    <x v="1"/>
    <n v="54"/>
    <n v="18"/>
    <n v="0.01"/>
    <s v="Web"/>
    <n v="0"/>
    <n v="1"/>
    <n v="0"/>
    <n v="14.99"/>
    <n v="0"/>
  </r>
  <r>
    <n v="3637"/>
    <s v="Male"/>
    <n v="33"/>
    <x v="0"/>
    <x v="3"/>
    <n v="107"/>
    <n v="75"/>
    <n v="0.45"/>
    <s v="Web"/>
    <n v="0"/>
    <n v="1"/>
    <n v="0"/>
    <n v="4.99"/>
    <n v="0"/>
  </r>
  <r>
    <n v="3638"/>
    <s v="Other"/>
    <n v="39"/>
    <x v="4"/>
    <x v="0"/>
    <n v="215"/>
    <n v="11"/>
    <n v="0.52"/>
    <s v="Mobile"/>
    <n v="23"/>
    <n v="0"/>
    <n v="1"/>
    <n v="0"/>
    <n v="0"/>
  </r>
  <r>
    <n v="3639"/>
    <s v="Other"/>
    <n v="50"/>
    <x v="5"/>
    <x v="2"/>
    <n v="124"/>
    <n v="85"/>
    <n v="0.41"/>
    <s v="Desktop"/>
    <n v="0"/>
    <n v="1"/>
    <n v="0"/>
    <n v="9.99"/>
    <n v="0"/>
  </r>
  <r>
    <n v="3640"/>
    <s v="Other"/>
    <n v="29"/>
    <x v="0"/>
    <x v="0"/>
    <n v="280"/>
    <n v="84"/>
    <n v="0.51"/>
    <s v="Mobile"/>
    <n v="46"/>
    <n v="0"/>
    <n v="0"/>
    <n v="0"/>
    <n v="0"/>
  </r>
  <r>
    <n v="3641"/>
    <s v="Other"/>
    <n v="37"/>
    <x v="2"/>
    <x v="3"/>
    <n v="182"/>
    <n v="48"/>
    <n v="0.34"/>
    <s v="Desktop"/>
    <n v="0"/>
    <n v="1"/>
    <n v="0"/>
    <n v="4.99"/>
    <n v="0"/>
  </r>
  <r>
    <n v="3642"/>
    <s v="Other"/>
    <n v="21"/>
    <x v="3"/>
    <x v="0"/>
    <n v="289"/>
    <n v="63"/>
    <n v="0.2"/>
    <s v="Web"/>
    <n v="35"/>
    <n v="0"/>
    <n v="0"/>
    <n v="0"/>
    <n v="0"/>
  </r>
  <r>
    <n v="3643"/>
    <s v="Male"/>
    <n v="24"/>
    <x v="3"/>
    <x v="0"/>
    <n v="42"/>
    <n v="60"/>
    <n v="0.28999999999999998"/>
    <s v="Mobile"/>
    <n v="22"/>
    <n v="0"/>
    <n v="0"/>
    <n v="0"/>
    <n v="0"/>
  </r>
  <r>
    <n v="3644"/>
    <s v="Male"/>
    <n v="29"/>
    <x v="4"/>
    <x v="1"/>
    <n v="243"/>
    <n v="6"/>
    <n v="0.03"/>
    <s v="Web"/>
    <n v="0"/>
    <n v="1"/>
    <n v="0"/>
    <n v="14.99"/>
    <n v="0"/>
  </r>
  <r>
    <n v="3645"/>
    <s v="Male"/>
    <n v="16"/>
    <x v="3"/>
    <x v="0"/>
    <n v="173"/>
    <n v="65"/>
    <n v="0.5"/>
    <s v="Web"/>
    <n v="34"/>
    <n v="0"/>
    <n v="0"/>
    <n v="0"/>
    <n v="0"/>
  </r>
  <r>
    <n v="3646"/>
    <s v="Male"/>
    <n v="56"/>
    <x v="4"/>
    <x v="2"/>
    <n v="248"/>
    <n v="11"/>
    <n v="0.39"/>
    <s v="Web"/>
    <n v="0"/>
    <n v="1"/>
    <n v="0"/>
    <n v="9.99"/>
    <n v="0"/>
  </r>
  <r>
    <n v="3647"/>
    <s v="Male"/>
    <n v="36"/>
    <x v="6"/>
    <x v="2"/>
    <n v="237"/>
    <n v="48"/>
    <n v="0.18"/>
    <s v="Web"/>
    <n v="0"/>
    <n v="1"/>
    <n v="0"/>
    <n v="9.99"/>
    <n v="0"/>
  </r>
  <r>
    <n v="3648"/>
    <s v="Female"/>
    <n v="40"/>
    <x v="6"/>
    <x v="2"/>
    <n v="95"/>
    <n v="83"/>
    <n v="0.56000000000000005"/>
    <s v="Mobile"/>
    <n v="0"/>
    <n v="1"/>
    <n v="0"/>
    <n v="9.99"/>
    <n v="0"/>
  </r>
  <r>
    <n v="3649"/>
    <s v="Male"/>
    <n v="38"/>
    <x v="3"/>
    <x v="0"/>
    <n v="209"/>
    <n v="81"/>
    <n v="0.39"/>
    <s v="Web"/>
    <n v="39"/>
    <n v="0"/>
    <n v="0"/>
    <n v="0"/>
    <n v="0"/>
  </r>
  <r>
    <n v="3650"/>
    <s v="Female"/>
    <n v="41"/>
    <x v="1"/>
    <x v="3"/>
    <n v="171"/>
    <n v="67"/>
    <n v="0.43"/>
    <s v="Mobile"/>
    <n v="0"/>
    <n v="1"/>
    <n v="0"/>
    <n v="4.99"/>
    <n v="0"/>
  </r>
  <r>
    <n v="3651"/>
    <s v="Male"/>
    <n v="49"/>
    <x v="7"/>
    <x v="0"/>
    <n v="96"/>
    <n v="2"/>
    <n v="0.28999999999999998"/>
    <s v="Mobile"/>
    <n v="15"/>
    <n v="0"/>
    <n v="0"/>
    <n v="0"/>
    <n v="0"/>
  </r>
  <r>
    <n v="3652"/>
    <s v="Male"/>
    <n v="26"/>
    <x v="1"/>
    <x v="1"/>
    <n v="227"/>
    <n v="1"/>
    <n v="0.19"/>
    <s v="Web"/>
    <n v="0"/>
    <n v="1"/>
    <n v="0"/>
    <n v="14.99"/>
    <n v="0"/>
  </r>
  <r>
    <n v="3653"/>
    <s v="Male"/>
    <n v="24"/>
    <x v="7"/>
    <x v="0"/>
    <n v="226"/>
    <n v="29"/>
    <n v="0.31"/>
    <s v="Mobile"/>
    <n v="35"/>
    <n v="0"/>
    <n v="0"/>
    <n v="0"/>
    <n v="0"/>
  </r>
  <r>
    <n v="3654"/>
    <s v="Female"/>
    <n v="29"/>
    <x v="1"/>
    <x v="3"/>
    <n v="102"/>
    <n v="67"/>
    <n v="0.43"/>
    <s v="Web"/>
    <n v="0"/>
    <n v="1"/>
    <n v="0"/>
    <n v="4.99"/>
    <n v="0"/>
  </r>
  <r>
    <n v="3655"/>
    <s v="Female"/>
    <n v="20"/>
    <x v="4"/>
    <x v="1"/>
    <n v="23"/>
    <n v="84"/>
    <n v="0.2"/>
    <s v="Mobile"/>
    <n v="0"/>
    <n v="1"/>
    <n v="0"/>
    <n v="14.99"/>
    <n v="0"/>
  </r>
  <r>
    <n v="3656"/>
    <s v="Other"/>
    <n v="37"/>
    <x v="2"/>
    <x v="1"/>
    <n v="187"/>
    <n v="7"/>
    <n v="0.28999999999999998"/>
    <s v="Desktop"/>
    <n v="0"/>
    <n v="1"/>
    <n v="0"/>
    <n v="14.99"/>
    <n v="0"/>
  </r>
  <r>
    <n v="3657"/>
    <s v="Male"/>
    <n v="36"/>
    <x v="0"/>
    <x v="0"/>
    <n v="27"/>
    <n v="30"/>
    <n v="0.12"/>
    <s v="Mobile"/>
    <n v="20"/>
    <n v="0"/>
    <n v="0"/>
    <n v="0"/>
    <n v="0"/>
  </r>
  <r>
    <n v="3658"/>
    <s v="Male"/>
    <n v="49"/>
    <x v="2"/>
    <x v="0"/>
    <n v="199"/>
    <n v="19"/>
    <n v="0.26"/>
    <s v="Desktop"/>
    <n v="41"/>
    <n v="0"/>
    <n v="1"/>
    <n v="0"/>
    <n v="0"/>
  </r>
  <r>
    <n v="3659"/>
    <s v="Other"/>
    <n v="39"/>
    <x v="0"/>
    <x v="3"/>
    <n v="23"/>
    <n v="97"/>
    <n v="0.11"/>
    <s v="Web"/>
    <n v="0"/>
    <n v="1"/>
    <n v="0"/>
    <n v="4.99"/>
    <n v="0"/>
  </r>
  <r>
    <n v="3660"/>
    <s v="Female"/>
    <n v="42"/>
    <x v="0"/>
    <x v="2"/>
    <n v="279"/>
    <n v="98"/>
    <n v="0.12"/>
    <s v="Mobile"/>
    <n v="0"/>
    <n v="1"/>
    <n v="0"/>
    <n v="9.99"/>
    <n v="0"/>
  </r>
  <r>
    <n v="3661"/>
    <s v="Other"/>
    <n v="47"/>
    <x v="3"/>
    <x v="0"/>
    <n v="262"/>
    <n v="98"/>
    <n v="0.05"/>
    <s v="Desktop"/>
    <n v="33"/>
    <n v="0"/>
    <n v="0"/>
    <n v="0"/>
    <n v="0"/>
  </r>
  <r>
    <n v="3662"/>
    <s v="Female"/>
    <n v="45"/>
    <x v="7"/>
    <x v="2"/>
    <n v="241"/>
    <n v="12"/>
    <n v="0"/>
    <s v="Desktop"/>
    <n v="0"/>
    <n v="1"/>
    <n v="0"/>
    <n v="9.99"/>
    <n v="0"/>
  </r>
  <r>
    <n v="3663"/>
    <s v="Other"/>
    <n v="42"/>
    <x v="6"/>
    <x v="3"/>
    <n v="170"/>
    <n v="39"/>
    <n v="0.36"/>
    <s v="Web"/>
    <n v="0"/>
    <n v="1"/>
    <n v="0"/>
    <n v="4.99"/>
    <n v="0"/>
  </r>
  <r>
    <n v="3664"/>
    <s v="Female"/>
    <n v="28"/>
    <x v="5"/>
    <x v="1"/>
    <n v="78"/>
    <n v="64"/>
    <n v="0.51"/>
    <s v="Desktop"/>
    <n v="0"/>
    <n v="1"/>
    <n v="0"/>
    <n v="14.99"/>
    <n v="0"/>
  </r>
  <r>
    <n v="3665"/>
    <s v="Other"/>
    <n v="24"/>
    <x v="1"/>
    <x v="3"/>
    <n v="219"/>
    <n v="37"/>
    <n v="0.39"/>
    <s v="Desktop"/>
    <n v="0"/>
    <n v="1"/>
    <n v="0"/>
    <n v="4.99"/>
    <n v="0"/>
  </r>
  <r>
    <n v="3666"/>
    <s v="Male"/>
    <n v="45"/>
    <x v="3"/>
    <x v="1"/>
    <n v="116"/>
    <n v="97"/>
    <n v="0.21"/>
    <s v="Mobile"/>
    <n v="0"/>
    <n v="1"/>
    <n v="1"/>
    <n v="14.99"/>
    <n v="14.99"/>
  </r>
  <r>
    <n v="3667"/>
    <s v="Female"/>
    <n v="58"/>
    <x v="6"/>
    <x v="2"/>
    <n v="136"/>
    <n v="12"/>
    <n v="0.36"/>
    <s v="Desktop"/>
    <n v="0"/>
    <n v="1"/>
    <n v="0"/>
    <n v="9.99"/>
    <n v="0"/>
  </r>
  <r>
    <n v="3668"/>
    <s v="Female"/>
    <n v="39"/>
    <x v="0"/>
    <x v="2"/>
    <n v="275"/>
    <n v="67"/>
    <n v="0.12"/>
    <s v="Web"/>
    <n v="0"/>
    <n v="1"/>
    <n v="0"/>
    <n v="9.99"/>
    <n v="0"/>
  </r>
  <r>
    <n v="3669"/>
    <s v="Female"/>
    <n v="41"/>
    <x v="0"/>
    <x v="0"/>
    <n v="234"/>
    <n v="7"/>
    <n v="0.22"/>
    <s v="Web"/>
    <n v="22"/>
    <n v="0"/>
    <n v="1"/>
    <n v="0"/>
    <n v="0"/>
  </r>
  <r>
    <n v="3670"/>
    <s v="Other"/>
    <n v="35"/>
    <x v="2"/>
    <x v="1"/>
    <n v="231"/>
    <n v="81"/>
    <n v="0.01"/>
    <s v="Mobile"/>
    <n v="0"/>
    <n v="1"/>
    <n v="1"/>
    <n v="14.99"/>
    <n v="14.99"/>
  </r>
  <r>
    <n v="3671"/>
    <s v="Male"/>
    <n v="27"/>
    <x v="7"/>
    <x v="0"/>
    <n v="191"/>
    <n v="54"/>
    <n v="0.51"/>
    <s v="Mobile"/>
    <n v="36"/>
    <n v="0"/>
    <n v="0"/>
    <n v="0"/>
    <n v="0"/>
  </r>
  <r>
    <n v="3672"/>
    <s v="Other"/>
    <n v="21"/>
    <x v="4"/>
    <x v="1"/>
    <n v="213"/>
    <n v="91"/>
    <n v="0.36"/>
    <s v="Mobile"/>
    <n v="0"/>
    <n v="1"/>
    <n v="1"/>
    <n v="14.99"/>
    <n v="14.99"/>
  </r>
  <r>
    <n v="3673"/>
    <s v="Female"/>
    <n v="19"/>
    <x v="3"/>
    <x v="2"/>
    <n v="93"/>
    <n v="57"/>
    <n v="0.05"/>
    <s v="Desktop"/>
    <n v="0"/>
    <n v="1"/>
    <n v="0"/>
    <n v="9.99"/>
    <n v="0"/>
  </r>
  <r>
    <n v="3674"/>
    <s v="Other"/>
    <n v="21"/>
    <x v="1"/>
    <x v="3"/>
    <n v="45"/>
    <n v="67"/>
    <n v="0.45"/>
    <s v="Desktop"/>
    <n v="0"/>
    <n v="1"/>
    <n v="1"/>
    <n v="4.99"/>
    <n v="4.99"/>
  </r>
  <r>
    <n v="3675"/>
    <s v="Other"/>
    <n v="51"/>
    <x v="3"/>
    <x v="3"/>
    <n v="79"/>
    <n v="98"/>
    <n v="0.02"/>
    <s v="Desktop"/>
    <n v="0"/>
    <n v="1"/>
    <n v="0"/>
    <n v="4.99"/>
    <n v="0"/>
  </r>
  <r>
    <n v="3676"/>
    <s v="Female"/>
    <n v="39"/>
    <x v="4"/>
    <x v="1"/>
    <n v="156"/>
    <n v="79"/>
    <n v="7.0000000000000007E-2"/>
    <s v="Desktop"/>
    <n v="0"/>
    <n v="1"/>
    <n v="0"/>
    <n v="14.99"/>
    <n v="0"/>
  </r>
  <r>
    <n v="3677"/>
    <s v="Female"/>
    <n v="25"/>
    <x v="3"/>
    <x v="2"/>
    <n v="125"/>
    <n v="28"/>
    <n v="0.11"/>
    <s v="Desktop"/>
    <n v="0"/>
    <n v="1"/>
    <n v="0"/>
    <n v="9.99"/>
    <n v="0"/>
  </r>
  <r>
    <n v="3678"/>
    <s v="Female"/>
    <n v="39"/>
    <x v="7"/>
    <x v="0"/>
    <n v="110"/>
    <n v="19"/>
    <n v="0.38"/>
    <s v="Mobile"/>
    <n v="11"/>
    <n v="0"/>
    <n v="0"/>
    <n v="0"/>
    <n v="0"/>
  </r>
  <r>
    <n v="3679"/>
    <s v="Male"/>
    <n v="43"/>
    <x v="5"/>
    <x v="1"/>
    <n v="252"/>
    <n v="59"/>
    <n v="0.06"/>
    <s v="Mobile"/>
    <n v="0"/>
    <n v="1"/>
    <n v="0"/>
    <n v="14.99"/>
    <n v="0"/>
  </r>
  <r>
    <n v="3680"/>
    <s v="Female"/>
    <n v="19"/>
    <x v="7"/>
    <x v="0"/>
    <n v="16"/>
    <n v="29"/>
    <n v="0.1"/>
    <s v="Mobile"/>
    <n v="26"/>
    <n v="0"/>
    <n v="0"/>
    <n v="0"/>
    <n v="0"/>
  </r>
  <r>
    <n v="3681"/>
    <s v="Male"/>
    <n v="30"/>
    <x v="1"/>
    <x v="1"/>
    <n v="116"/>
    <n v="71"/>
    <n v="0.15"/>
    <s v="Desktop"/>
    <n v="0"/>
    <n v="1"/>
    <n v="0"/>
    <n v="14.99"/>
    <n v="0"/>
  </r>
  <r>
    <n v="3682"/>
    <s v="Male"/>
    <n v="55"/>
    <x v="1"/>
    <x v="3"/>
    <n v="93"/>
    <n v="85"/>
    <n v="0.4"/>
    <s v="Web"/>
    <n v="0"/>
    <n v="1"/>
    <n v="1"/>
    <n v="4.99"/>
    <n v="4.99"/>
  </r>
  <r>
    <n v="3683"/>
    <s v="Other"/>
    <n v="46"/>
    <x v="7"/>
    <x v="3"/>
    <n v="64"/>
    <n v="83"/>
    <n v="0.16"/>
    <s v="Web"/>
    <n v="0"/>
    <n v="1"/>
    <n v="1"/>
    <n v="4.99"/>
    <n v="4.99"/>
  </r>
  <r>
    <n v="3684"/>
    <s v="Female"/>
    <n v="23"/>
    <x v="3"/>
    <x v="2"/>
    <n v="97"/>
    <n v="24"/>
    <n v="0.25"/>
    <s v="Mobile"/>
    <n v="0"/>
    <n v="1"/>
    <n v="0"/>
    <n v="9.99"/>
    <n v="0"/>
  </r>
  <r>
    <n v="3685"/>
    <s v="Male"/>
    <n v="33"/>
    <x v="1"/>
    <x v="0"/>
    <n v="274"/>
    <n v="68"/>
    <n v="0.24"/>
    <s v="Web"/>
    <n v="24"/>
    <n v="0"/>
    <n v="0"/>
    <n v="0"/>
    <n v="0"/>
  </r>
  <r>
    <n v="3686"/>
    <s v="Male"/>
    <n v="18"/>
    <x v="7"/>
    <x v="3"/>
    <n v="237"/>
    <n v="63"/>
    <n v="0.1"/>
    <s v="Desktop"/>
    <n v="0"/>
    <n v="1"/>
    <n v="0"/>
    <n v="4.99"/>
    <n v="0"/>
  </r>
  <r>
    <n v="3687"/>
    <s v="Male"/>
    <n v="47"/>
    <x v="4"/>
    <x v="2"/>
    <n v="184"/>
    <n v="55"/>
    <n v="0.01"/>
    <s v="Mobile"/>
    <n v="0"/>
    <n v="1"/>
    <n v="1"/>
    <n v="9.99"/>
    <n v="9.99"/>
  </r>
  <r>
    <n v="3688"/>
    <s v="Female"/>
    <n v="51"/>
    <x v="7"/>
    <x v="2"/>
    <n v="199"/>
    <n v="13"/>
    <n v="0.02"/>
    <s v="Mobile"/>
    <n v="0"/>
    <n v="1"/>
    <n v="0"/>
    <n v="9.99"/>
    <n v="0"/>
  </r>
  <r>
    <n v="3689"/>
    <s v="Other"/>
    <n v="16"/>
    <x v="6"/>
    <x v="2"/>
    <n v="72"/>
    <n v="4"/>
    <n v="0.16"/>
    <s v="Mobile"/>
    <n v="0"/>
    <n v="1"/>
    <n v="0"/>
    <n v="9.99"/>
    <n v="0"/>
  </r>
  <r>
    <n v="3690"/>
    <s v="Female"/>
    <n v="53"/>
    <x v="0"/>
    <x v="3"/>
    <n v="16"/>
    <n v="79"/>
    <n v="0.44"/>
    <s v="Desktop"/>
    <n v="0"/>
    <n v="1"/>
    <n v="1"/>
    <n v="4.99"/>
    <n v="4.99"/>
  </r>
  <r>
    <n v="3691"/>
    <s v="Male"/>
    <n v="19"/>
    <x v="1"/>
    <x v="3"/>
    <n v="42"/>
    <n v="30"/>
    <n v="0.21"/>
    <s v="Web"/>
    <n v="0"/>
    <n v="1"/>
    <n v="0"/>
    <n v="4.99"/>
    <n v="0"/>
  </r>
  <r>
    <n v="3692"/>
    <s v="Male"/>
    <n v="47"/>
    <x v="7"/>
    <x v="1"/>
    <n v="119"/>
    <n v="33"/>
    <n v="0.32"/>
    <s v="Web"/>
    <n v="0"/>
    <n v="1"/>
    <n v="0"/>
    <n v="14.99"/>
    <n v="0"/>
  </r>
  <r>
    <n v="3693"/>
    <s v="Female"/>
    <n v="53"/>
    <x v="3"/>
    <x v="2"/>
    <n v="153"/>
    <n v="84"/>
    <n v="0.18"/>
    <s v="Desktop"/>
    <n v="0"/>
    <n v="1"/>
    <n v="0"/>
    <n v="9.99"/>
    <n v="0"/>
  </r>
  <r>
    <n v="3694"/>
    <s v="Other"/>
    <n v="58"/>
    <x v="5"/>
    <x v="0"/>
    <n v="36"/>
    <n v="53"/>
    <n v="0.44"/>
    <s v="Desktop"/>
    <n v="28"/>
    <n v="0"/>
    <n v="0"/>
    <n v="0"/>
    <n v="0"/>
  </r>
  <r>
    <n v="3695"/>
    <s v="Female"/>
    <n v="26"/>
    <x v="2"/>
    <x v="1"/>
    <n v="199"/>
    <n v="20"/>
    <n v="0.55000000000000004"/>
    <s v="Desktop"/>
    <n v="0"/>
    <n v="1"/>
    <n v="1"/>
    <n v="14.99"/>
    <n v="14.99"/>
  </r>
  <r>
    <n v="3696"/>
    <s v="Other"/>
    <n v="29"/>
    <x v="4"/>
    <x v="3"/>
    <n v="50"/>
    <n v="5"/>
    <n v="0.26"/>
    <s v="Mobile"/>
    <n v="0"/>
    <n v="1"/>
    <n v="0"/>
    <n v="4.99"/>
    <n v="0"/>
  </r>
  <r>
    <n v="3697"/>
    <s v="Male"/>
    <n v="57"/>
    <x v="1"/>
    <x v="2"/>
    <n v="171"/>
    <n v="46"/>
    <n v="0.56999999999999995"/>
    <s v="Web"/>
    <n v="0"/>
    <n v="1"/>
    <n v="0"/>
    <n v="9.99"/>
    <n v="0"/>
  </r>
  <r>
    <n v="3698"/>
    <s v="Female"/>
    <n v="58"/>
    <x v="2"/>
    <x v="3"/>
    <n v="26"/>
    <n v="99"/>
    <n v="0.3"/>
    <s v="Desktop"/>
    <n v="0"/>
    <n v="1"/>
    <n v="0"/>
    <n v="4.99"/>
    <n v="0"/>
  </r>
  <r>
    <n v="3699"/>
    <s v="Other"/>
    <n v="54"/>
    <x v="2"/>
    <x v="2"/>
    <n v="229"/>
    <n v="81"/>
    <n v="0.59"/>
    <s v="Web"/>
    <n v="0"/>
    <n v="1"/>
    <n v="0"/>
    <n v="9.99"/>
    <n v="0"/>
  </r>
  <r>
    <n v="3700"/>
    <s v="Female"/>
    <n v="23"/>
    <x v="2"/>
    <x v="1"/>
    <n v="103"/>
    <n v="35"/>
    <n v="0.39"/>
    <s v="Web"/>
    <n v="0"/>
    <n v="1"/>
    <n v="0"/>
    <n v="14.99"/>
    <n v="0"/>
  </r>
  <r>
    <n v="3701"/>
    <s v="Male"/>
    <n v="36"/>
    <x v="6"/>
    <x v="0"/>
    <n v="210"/>
    <n v="25"/>
    <n v="0.17"/>
    <s v="Desktop"/>
    <n v="46"/>
    <n v="0"/>
    <n v="1"/>
    <n v="0"/>
    <n v="0"/>
  </r>
  <r>
    <n v="3702"/>
    <s v="Female"/>
    <n v="48"/>
    <x v="1"/>
    <x v="0"/>
    <n v="267"/>
    <n v="50"/>
    <n v="0.59"/>
    <s v="Desktop"/>
    <n v="14"/>
    <n v="0"/>
    <n v="0"/>
    <n v="0"/>
    <n v="0"/>
  </r>
  <r>
    <n v="3703"/>
    <s v="Female"/>
    <n v="49"/>
    <x v="2"/>
    <x v="1"/>
    <n v="283"/>
    <n v="8"/>
    <n v="0.38"/>
    <s v="Desktop"/>
    <n v="0"/>
    <n v="1"/>
    <n v="0"/>
    <n v="14.99"/>
    <n v="0"/>
  </r>
  <r>
    <n v="3704"/>
    <s v="Female"/>
    <n v="34"/>
    <x v="0"/>
    <x v="2"/>
    <n v="156"/>
    <n v="52"/>
    <n v="0.2"/>
    <s v="Desktop"/>
    <n v="0"/>
    <n v="1"/>
    <n v="0"/>
    <n v="9.99"/>
    <n v="0"/>
  </r>
  <r>
    <n v="3705"/>
    <s v="Female"/>
    <n v="43"/>
    <x v="7"/>
    <x v="0"/>
    <n v="277"/>
    <n v="9"/>
    <n v="0.48"/>
    <s v="Web"/>
    <n v="14"/>
    <n v="0"/>
    <n v="0"/>
    <n v="0"/>
    <n v="0"/>
  </r>
  <r>
    <n v="3706"/>
    <s v="Female"/>
    <n v="17"/>
    <x v="7"/>
    <x v="1"/>
    <n v="250"/>
    <n v="39"/>
    <n v="0.03"/>
    <s v="Mobile"/>
    <n v="0"/>
    <n v="1"/>
    <n v="0"/>
    <n v="14.99"/>
    <n v="0"/>
  </r>
  <r>
    <n v="3707"/>
    <s v="Female"/>
    <n v="53"/>
    <x v="2"/>
    <x v="3"/>
    <n v="187"/>
    <n v="38"/>
    <n v="0.04"/>
    <s v="Mobile"/>
    <n v="0"/>
    <n v="1"/>
    <n v="0"/>
    <n v="4.99"/>
    <n v="0"/>
  </r>
  <r>
    <n v="3708"/>
    <s v="Male"/>
    <n v="19"/>
    <x v="7"/>
    <x v="3"/>
    <n v="161"/>
    <n v="69"/>
    <n v="0.34"/>
    <s v="Mobile"/>
    <n v="0"/>
    <n v="1"/>
    <n v="0"/>
    <n v="4.99"/>
    <n v="0"/>
  </r>
  <r>
    <n v="3709"/>
    <s v="Other"/>
    <n v="29"/>
    <x v="0"/>
    <x v="0"/>
    <n v="28"/>
    <n v="60"/>
    <n v="0.26"/>
    <s v="Mobile"/>
    <n v="47"/>
    <n v="0"/>
    <n v="0"/>
    <n v="0"/>
    <n v="0"/>
  </r>
  <r>
    <n v="3710"/>
    <s v="Other"/>
    <n v="37"/>
    <x v="1"/>
    <x v="1"/>
    <n v="224"/>
    <n v="29"/>
    <n v="0.56000000000000005"/>
    <s v="Mobile"/>
    <n v="0"/>
    <n v="1"/>
    <n v="0"/>
    <n v="14.99"/>
    <n v="0"/>
  </r>
  <r>
    <n v="3711"/>
    <s v="Other"/>
    <n v="39"/>
    <x v="2"/>
    <x v="3"/>
    <n v="93"/>
    <n v="92"/>
    <n v="0.01"/>
    <s v="Mobile"/>
    <n v="0"/>
    <n v="1"/>
    <n v="0"/>
    <n v="4.99"/>
    <n v="0"/>
  </r>
  <r>
    <n v="3712"/>
    <s v="Male"/>
    <n v="50"/>
    <x v="7"/>
    <x v="0"/>
    <n v="102"/>
    <n v="3"/>
    <n v="0.41"/>
    <s v="Mobile"/>
    <n v="13"/>
    <n v="0"/>
    <n v="0"/>
    <n v="0"/>
    <n v="0"/>
  </r>
  <r>
    <n v="3713"/>
    <s v="Male"/>
    <n v="30"/>
    <x v="4"/>
    <x v="2"/>
    <n v="287"/>
    <n v="31"/>
    <n v="0.27"/>
    <s v="Web"/>
    <n v="0"/>
    <n v="1"/>
    <n v="1"/>
    <n v="9.99"/>
    <n v="9.99"/>
  </r>
  <r>
    <n v="3714"/>
    <s v="Male"/>
    <n v="27"/>
    <x v="1"/>
    <x v="1"/>
    <n v="135"/>
    <n v="18"/>
    <n v="0.53"/>
    <s v="Desktop"/>
    <n v="0"/>
    <n v="1"/>
    <n v="0"/>
    <n v="14.99"/>
    <n v="0"/>
  </r>
  <r>
    <n v="3715"/>
    <s v="Male"/>
    <n v="19"/>
    <x v="1"/>
    <x v="2"/>
    <n v="96"/>
    <n v="42"/>
    <n v="0.41"/>
    <s v="Mobile"/>
    <n v="0"/>
    <n v="1"/>
    <n v="1"/>
    <n v="9.99"/>
    <n v="9.99"/>
  </r>
  <r>
    <n v="3716"/>
    <s v="Male"/>
    <n v="21"/>
    <x v="3"/>
    <x v="0"/>
    <n v="264"/>
    <n v="95"/>
    <n v="0.24"/>
    <s v="Web"/>
    <n v="47"/>
    <n v="0"/>
    <n v="1"/>
    <n v="0"/>
    <n v="0"/>
  </r>
  <r>
    <n v="3717"/>
    <s v="Other"/>
    <n v="49"/>
    <x v="7"/>
    <x v="3"/>
    <n v="30"/>
    <n v="33"/>
    <n v="0.43"/>
    <s v="Web"/>
    <n v="0"/>
    <n v="1"/>
    <n v="0"/>
    <n v="4.99"/>
    <n v="0"/>
  </r>
  <r>
    <n v="3718"/>
    <s v="Other"/>
    <n v="32"/>
    <x v="7"/>
    <x v="2"/>
    <n v="279"/>
    <n v="60"/>
    <n v="0.48"/>
    <s v="Mobile"/>
    <n v="0"/>
    <n v="1"/>
    <n v="1"/>
    <n v="9.99"/>
    <n v="9.99"/>
  </r>
  <r>
    <n v="3719"/>
    <s v="Other"/>
    <n v="46"/>
    <x v="0"/>
    <x v="0"/>
    <n v="183"/>
    <n v="64"/>
    <n v="0.4"/>
    <s v="Web"/>
    <n v="15"/>
    <n v="0"/>
    <n v="0"/>
    <n v="0"/>
    <n v="0"/>
  </r>
  <r>
    <n v="3720"/>
    <s v="Male"/>
    <n v="22"/>
    <x v="6"/>
    <x v="1"/>
    <n v="207"/>
    <n v="65"/>
    <n v="0.04"/>
    <s v="Desktop"/>
    <n v="0"/>
    <n v="1"/>
    <n v="1"/>
    <n v="14.99"/>
    <n v="14.99"/>
  </r>
  <r>
    <n v="3721"/>
    <s v="Male"/>
    <n v="46"/>
    <x v="3"/>
    <x v="3"/>
    <n v="152"/>
    <n v="27"/>
    <n v="0.41"/>
    <s v="Mobile"/>
    <n v="0"/>
    <n v="1"/>
    <n v="0"/>
    <n v="4.99"/>
    <n v="0"/>
  </r>
  <r>
    <n v="3722"/>
    <s v="Other"/>
    <n v="35"/>
    <x v="5"/>
    <x v="2"/>
    <n v="261"/>
    <n v="75"/>
    <n v="0.28999999999999998"/>
    <s v="Mobile"/>
    <n v="0"/>
    <n v="1"/>
    <n v="1"/>
    <n v="9.99"/>
    <n v="9.99"/>
  </r>
  <r>
    <n v="3723"/>
    <s v="Male"/>
    <n v="42"/>
    <x v="0"/>
    <x v="3"/>
    <n v="122"/>
    <n v="27"/>
    <n v="0.03"/>
    <s v="Mobile"/>
    <n v="0"/>
    <n v="1"/>
    <n v="0"/>
    <n v="4.99"/>
    <n v="0"/>
  </r>
  <r>
    <n v="3724"/>
    <s v="Male"/>
    <n v="25"/>
    <x v="1"/>
    <x v="0"/>
    <n v="91"/>
    <n v="34"/>
    <n v="0.01"/>
    <s v="Web"/>
    <n v="24"/>
    <n v="0"/>
    <n v="0"/>
    <n v="0"/>
    <n v="0"/>
  </r>
  <r>
    <n v="3725"/>
    <s v="Other"/>
    <n v="58"/>
    <x v="0"/>
    <x v="2"/>
    <n v="230"/>
    <n v="68"/>
    <n v="0.28999999999999998"/>
    <s v="Desktop"/>
    <n v="0"/>
    <n v="1"/>
    <n v="0"/>
    <n v="9.99"/>
    <n v="0"/>
  </r>
  <r>
    <n v="3726"/>
    <s v="Female"/>
    <n v="57"/>
    <x v="2"/>
    <x v="0"/>
    <n v="31"/>
    <n v="60"/>
    <n v="0.11"/>
    <s v="Desktop"/>
    <n v="36"/>
    <n v="0"/>
    <n v="0"/>
    <n v="0"/>
    <n v="0"/>
  </r>
  <r>
    <n v="3727"/>
    <s v="Female"/>
    <n v="54"/>
    <x v="2"/>
    <x v="3"/>
    <n v="44"/>
    <n v="57"/>
    <n v="0.19"/>
    <s v="Mobile"/>
    <n v="0"/>
    <n v="1"/>
    <n v="1"/>
    <n v="4.99"/>
    <n v="4.99"/>
  </r>
  <r>
    <n v="3728"/>
    <s v="Other"/>
    <n v="45"/>
    <x v="6"/>
    <x v="1"/>
    <n v="233"/>
    <n v="55"/>
    <n v="0.56000000000000005"/>
    <s v="Web"/>
    <n v="0"/>
    <n v="1"/>
    <n v="0"/>
    <n v="14.99"/>
    <n v="0"/>
  </r>
  <r>
    <n v="3729"/>
    <s v="Male"/>
    <n v="42"/>
    <x v="5"/>
    <x v="2"/>
    <n v="299"/>
    <n v="32"/>
    <n v="0.39"/>
    <s v="Desktop"/>
    <n v="0"/>
    <n v="1"/>
    <n v="0"/>
    <n v="9.99"/>
    <n v="0"/>
  </r>
  <r>
    <n v="3730"/>
    <s v="Other"/>
    <n v="22"/>
    <x v="5"/>
    <x v="1"/>
    <n v="37"/>
    <n v="79"/>
    <n v="0.38"/>
    <s v="Mobile"/>
    <n v="0"/>
    <n v="1"/>
    <n v="1"/>
    <n v="14.99"/>
    <n v="14.99"/>
  </r>
  <r>
    <n v="3731"/>
    <s v="Female"/>
    <n v="22"/>
    <x v="5"/>
    <x v="0"/>
    <n v="284"/>
    <n v="23"/>
    <n v="7.0000000000000007E-2"/>
    <s v="Mobile"/>
    <n v="31"/>
    <n v="0"/>
    <n v="0"/>
    <n v="0"/>
    <n v="0"/>
  </r>
  <r>
    <n v="3732"/>
    <s v="Other"/>
    <n v="35"/>
    <x v="0"/>
    <x v="0"/>
    <n v="138"/>
    <n v="68"/>
    <n v="0.38"/>
    <s v="Mobile"/>
    <n v="12"/>
    <n v="0"/>
    <n v="1"/>
    <n v="0"/>
    <n v="0"/>
  </r>
  <r>
    <n v="3733"/>
    <s v="Other"/>
    <n v="26"/>
    <x v="5"/>
    <x v="1"/>
    <n v="112"/>
    <n v="90"/>
    <n v="0.1"/>
    <s v="Mobile"/>
    <n v="0"/>
    <n v="1"/>
    <n v="1"/>
    <n v="14.99"/>
    <n v="14.99"/>
  </r>
  <r>
    <n v="3734"/>
    <s v="Female"/>
    <n v="36"/>
    <x v="4"/>
    <x v="0"/>
    <n v="33"/>
    <n v="9"/>
    <n v="0.37"/>
    <s v="Desktop"/>
    <n v="22"/>
    <n v="0"/>
    <n v="0"/>
    <n v="0"/>
    <n v="0"/>
  </r>
  <r>
    <n v="3735"/>
    <s v="Female"/>
    <n v="31"/>
    <x v="7"/>
    <x v="3"/>
    <n v="191"/>
    <n v="81"/>
    <n v="0.08"/>
    <s v="Web"/>
    <n v="0"/>
    <n v="1"/>
    <n v="1"/>
    <n v="4.99"/>
    <n v="4.99"/>
  </r>
  <r>
    <n v="3736"/>
    <s v="Other"/>
    <n v="50"/>
    <x v="3"/>
    <x v="0"/>
    <n v="183"/>
    <n v="37"/>
    <n v="0.55000000000000004"/>
    <s v="Desktop"/>
    <n v="11"/>
    <n v="0"/>
    <n v="0"/>
    <n v="0"/>
    <n v="0"/>
  </r>
  <r>
    <n v="3737"/>
    <s v="Female"/>
    <n v="48"/>
    <x v="7"/>
    <x v="1"/>
    <n v="197"/>
    <n v="85"/>
    <n v="0.56999999999999995"/>
    <s v="Web"/>
    <n v="0"/>
    <n v="1"/>
    <n v="0"/>
    <n v="14.99"/>
    <n v="0"/>
  </r>
  <r>
    <n v="3738"/>
    <s v="Female"/>
    <n v="54"/>
    <x v="4"/>
    <x v="3"/>
    <n v="36"/>
    <n v="54"/>
    <n v="0.03"/>
    <s v="Mobile"/>
    <n v="0"/>
    <n v="1"/>
    <n v="0"/>
    <n v="4.99"/>
    <n v="0"/>
  </r>
  <r>
    <n v="3739"/>
    <s v="Female"/>
    <n v="52"/>
    <x v="5"/>
    <x v="3"/>
    <n v="64"/>
    <n v="50"/>
    <n v="0.55000000000000004"/>
    <s v="Web"/>
    <n v="0"/>
    <n v="1"/>
    <n v="0"/>
    <n v="4.99"/>
    <n v="0"/>
  </r>
  <r>
    <n v="3740"/>
    <s v="Female"/>
    <n v="17"/>
    <x v="4"/>
    <x v="2"/>
    <n v="245"/>
    <n v="23"/>
    <n v="0.19"/>
    <s v="Mobile"/>
    <n v="0"/>
    <n v="1"/>
    <n v="0"/>
    <n v="9.99"/>
    <n v="0"/>
  </r>
  <r>
    <n v="3741"/>
    <s v="Male"/>
    <n v="56"/>
    <x v="0"/>
    <x v="2"/>
    <n v="83"/>
    <n v="96"/>
    <n v="0.19"/>
    <s v="Web"/>
    <n v="0"/>
    <n v="1"/>
    <n v="0"/>
    <n v="9.99"/>
    <n v="0"/>
  </r>
  <r>
    <n v="3742"/>
    <s v="Male"/>
    <n v="17"/>
    <x v="7"/>
    <x v="1"/>
    <n v="232"/>
    <n v="48"/>
    <n v="0.53"/>
    <s v="Mobile"/>
    <n v="0"/>
    <n v="1"/>
    <n v="0"/>
    <n v="14.99"/>
    <n v="0"/>
  </r>
  <r>
    <n v="3743"/>
    <s v="Other"/>
    <n v="49"/>
    <x v="0"/>
    <x v="2"/>
    <n v="278"/>
    <n v="74"/>
    <n v="0.26"/>
    <s v="Desktop"/>
    <n v="0"/>
    <n v="1"/>
    <n v="1"/>
    <n v="9.99"/>
    <n v="9.99"/>
  </r>
  <r>
    <n v="3744"/>
    <s v="Female"/>
    <n v="56"/>
    <x v="2"/>
    <x v="2"/>
    <n v="27"/>
    <n v="35"/>
    <n v="0.48"/>
    <s v="Mobile"/>
    <n v="0"/>
    <n v="1"/>
    <n v="0"/>
    <n v="9.99"/>
    <n v="0"/>
  </r>
  <r>
    <n v="3745"/>
    <s v="Female"/>
    <n v="30"/>
    <x v="6"/>
    <x v="3"/>
    <n v="257"/>
    <n v="28"/>
    <n v="0.36"/>
    <s v="Mobile"/>
    <n v="0"/>
    <n v="1"/>
    <n v="0"/>
    <n v="4.99"/>
    <n v="0"/>
  </r>
  <r>
    <n v="3746"/>
    <s v="Male"/>
    <n v="21"/>
    <x v="4"/>
    <x v="1"/>
    <n v="36"/>
    <n v="59"/>
    <n v="7.0000000000000007E-2"/>
    <s v="Web"/>
    <n v="0"/>
    <n v="1"/>
    <n v="0"/>
    <n v="14.99"/>
    <n v="0"/>
  </r>
  <r>
    <n v="3747"/>
    <s v="Female"/>
    <n v="23"/>
    <x v="5"/>
    <x v="3"/>
    <n v="287"/>
    <n v="63"/>
    <n v="7.0000000000000007E-2"/>
    <s v="Desktop"/>
    <n v="0"/>
    <n v="1"/>
    <n v="0"/>
    <n v="4.99"/>
    <n v="0"/>
  </r>
  <r>
    <n v="3748"/>
    <s v="Female"/>
    <n v="55"/>
    <x v="2"/>
    <x v="2"/>
    <n v="116"/>
    <n v="35"/>
    <n v="0.03"/>
    <s v="Web"/>
    <n v="0"/>
    <n v="1"/>
    <n v="0"/>
    <n v="9.99"/>
    <n v="0"/>
  </r>
  <r>
    <n v="3749"/>
    <s v="Male"/>
    <n v="48"/>
    <x v="6"/>
    <x v="0"/>
    <n v="234"/>
    <n v="11"/>
    <n v="0.15"/>
    <s v="Desktop"/>
    <n v="31"/>
    <n v="0"/>
    <n v="0"/>
    <n v="0"/>
    <n v="0"/>
  </r>
  <r>
    <n v="3750"/>
    <s v="Female"/>
    <n v="35"/>
    <x v="2"/>
    <x v="1"/>
    <n v="51"/>
    <n v="6"/>
    <n v="0.19"/>
    <s v="Web"/>
    <n v="0"/>
    <n v="1"/>
    <n v="0"/>
    <n v="14.99"/>
    <n v="0"/>
  </r>
  <r>
    <n v="3751"/>
    <s v="Male"/>
    <n v="43"/>
    <x v="7"/>
    <x v="1"/>
    <n v="287"/>
    <n v="22"/>
    <n v="0.44"/>
    <s v="Web"/>
    <n v="0"/>
    <n v="1"/>
    <n v="1"/>
    <n v="14.99"/>
    <n v="14.99"/>
  </r>
  <r>
    <n v="3752"/>
    <s v="Male"/>
    <n v="47"/>
    <x v="1"/>
    <x v="1"/>
    <n v="143"/>
    <n v="99"/>
    <n v="0.28999999999999998"/>
    <s v="Desktop"/>
    <n v="0"/>
    <n v="1"/>
    <n v="0"/>
    <n v="14.99"/>
    <n v="0"/>
  </r>
  <r>
    <n v="3753"/>
    <s v="Other"/>
    <n v="25"/>
    <x v="6"/>
    <x v="0"/>
    <n v="132"/>
    <n v="69"/>
    <n v="0.54"/>
    <s v="Desktop"/>
    <n v="22"/>
    <n v="0"/>
    <n v="0"/>
    <n v="0"/>
    <n v="0"/>
  </r>
  <r>
    <n v="3754"/>
    <s v="Female"/>
    <n v="44"/>
    <x v="6"/>
    <x v="3"/>
    <n v="12"/>
    <n v="31"/>
    <n v="0.01"/>
    <s v="Desktop"/>
    <n v="0"/>
    <n v="1"/>
    <n v="0"/>
    <n v="4.99"/>
    <n v="0"/>
  </r>
  <r>
    <n v="3755"/>
    <s v="Male"/>
    <n v="51"/>
    <x v="4"/>
    <x v="1"/>
    <n v="238"/>
    <n v="84"/>
    <n v="0.12"/>
    <s v="Desktop"/>
    <n v="0"/>
    <n v="1"/>
    <n v="1"/>
    <n v="14.99"/>
    <n v="14.99"/>
  </r>
  <r>
    <n v="3756"/>
    <s v="Male"/>
    <n v="43"/>
    <x v="5"/>
    <x v="1"/>
    <n v="256"/>
    <n v="20"/>
    <n v="0.38"/>
    <s v="Web"/>
    <n v="0"/>
    <n v="1"/>
    <n v="1"/>
    <n v="14.99"/>
    <n v="14.99"/>
  </r>
  <r>
    <n v="3757"/>
    <s v="Other"/>
    <n v="46"/>
    <x v="1"/>
    <x v="0"/>
    <n v="201"/>
    <n v="13"/>
    <n v="0.24"/>
    <s v="Desktop"/>
    <n v="39"/>
    <n v="0"/>
    <n v="1"/>
    <n v="0"/>
    <n v="0"/>
  </r>
  <r>
    <n v="3758"/>
    <s v="Female"/>
    <n v="38"/>
    <x v="6"/>
    <x v="3"/>
    <n v="57"/>
    <n v="92"/>
    <n v="0.23"/>
    <s v="Mobile"/>
    <n v="0"/>
    <n v="1"/>
    <n v="0"/>
    <n v="4.99"/>
    <n v="0"/>
  </r>
  <r>
    <n v="3759"/>
    <s v="Female"/>
    <n v="37"/>
    <x v="3"/>
    <x v="0"/>
    <n v="281"/>
    <n v="44"/>
    <n v="0.2"/>
    <s v="Mobile"/>
    <n v="16"/>
    <n v="0"/>
    <n v="1"/>
    <n v="0"/>
    <n v="0"/>
  </r>
  <r>
    <n v="3760"/>
    <s v="Male"/>
    <n v="51"/>
    <x v="2"/>
    <x v="2"/>
    <n v="36"/>
    <n v="78"/>
    <n v="0.47"/>
    <s v="Desktop"/>
    <n v="0"/>
    <n v="1"/>
    <n v="0"/>
    <n v="9.99"/>
    <n v="0"/>
  </r>
  <r>
    <n v="3761"/>
    <s v="Other"/>
    <n v="27"/>
    <x v="5"/>
    <x v="1"/>
    <n v="192"/>
    <n v="62"/>
    <n v="0.47"/>
    <s v="Mobile"/>
    <n v="0"/>
    <n v="1"/>
    <n v="0"/>
    <n v="14.99"/>
    <n v="0"/>
  </r>
  <r>
    <n v="3762"/>
    <s v="Other"/>
    <n v="41"/>
    <x v="2"/>
    <x v="3"/>
    <n v="19"/>
    <n v="57"/>
    <n v="0.28999999999999998"/>
    <s v="Desktop"/>
    <n v="0"/>
    <n v="1"/>
    <n v="0"/>
    <n v="4.99"/>
    <n v="0"/>
  </r>
  <r>
    <n v="3763"/>
    <s v="Female"/>
    <n v="58"/>
    <x v="2"/>
    <x v="0"/>
    <n v="85"/>
    <n v="24"/>
    <n v="0.33"/>
    <s v="Desktop"/>
    <n v="26"/>
    <n v="0"/>
    <n v="1"/>
    <n v="0"/>
    <n v="0"/>
  </r>
  <r>
    <n v="3764"/>
    <s v="Male"/>
    <n v="59"/>
    <x v="1"/>
    <x v="0"/>
    <n v="170"/>
    <n v="73"/>
    <n v="0.21"/>
    <s v="Desktop"/>
    <n v="31"/>
    <n v="0"/>
    <n v="0"/>
    <n v="0"/>
    <n v="0"/>
  </r>
  <r>
    <n v="3765"/>
    <s v="Male"/>
    <n v="56"/>
    <x v="7"/>
    <x v="3"/>
    <n v="115"/>
    <n v="41"/>
    <n v="0.2"/>
    <s v="Mobile"/>
    <n v="0"/>
    <n v="1"/>
    <n v="0"/>
    <n v="4.99"/>
    <n v="0"/>
  </r>
  <r>
    <n v="3766"/>
    <s v="Male"/>
    <n v="32"/>
    <x v="2"/>
    <x v="3"/>
    <n v="256"/>
    <n v="91"/>
    <n v="0.38"/>
    <s v="Web"/>
    <n v="0"/>
    <n v="1"/>
    <n v="0"/>
    <n v="4.99"/>
    <n v="0"/>
  </r>
  <r>
    <n v="3767"/>
    <s v="Male"/>
    <n v="48"/>
    <x v="3"/>
    <x v="2"/>
    <n v="24"/>
    <n v="26"/>
    <n v="0.49"/>
    <s v="Mobile"/>
    <n v="0"/>
    <n v="1"/>
    <n v="0"/>
    <n v="9.99"/>
    <n v="0"/>
  </r>
  <r>
    <n v="3768"/>
    <s v="Female"/>
    <n v="24"/>
    <x v="5"/>
    <x v="0"/>
    <n v="81"/>
    <n v="70"/>
    <n v="0.27"/>
    <s v="Mobile"/>
    <n v="28"/>
    <n v="0"/>
    <n v="0"/>
    <n v="0"/>
    <n v="0"/>
  </r>
  <r>
    <n v="3769"/>
    <s v="Female"/>
    <n v="40"/>
    <x v="7"/>
    <x v="3"/>
    <n v="191"/>
    <n v="70"/>
    <n v="0.28999999999999998"/>
    <s v="Web"/>
    <n v="0"/>
    <n v="1"/>
    <n v="0"/>
    <n v="4.99"/>
    <n v="0"/>
  </r>
  <r>
    <n v="3770"/>
    <s v="Male"/>
    <n v="42"/>
    <x v="6"/>
    <x v="2"/>
    <n v="47"/>
    <n v="97"/>
    <n v="0.06"/>
    <s v="Mobile"/>
    <n v="0"/>
    <n v="1"/>
    <n v="0"/>
    <n v="9.99"/>
    <n v="0"/>
  </r>
  <r>
    <n v="3771"/>
    <s v="Female"/>
    <n v="57"/>
    <x v="1"/>
    <x v="0"/>
    <n v="164"/>
    <n v="9"/>
    <n v="0.55000000000000004"/>
    <s v="Web"/>
    <n v="5"/>
    <n v="0"/>
    <n v="0"/>
    <n v="0"/>
    <n v="0"/>
  </r>
  <r>
    <n v="3772"/>
    <s v="Female"/>
    <n v="21"/>
    <x v="5"/>
    <x v="2"/>
    <n v="53"/>
    <n v="68"/>
    <n v="0.31"/>
    <s v="Desktop"/>
    <n v="0"/>
    <n v="1"/>
    <n v="0"/>
    <n v="9.99"/>
    <n v="0"/>
  </r>
  <r>
    <n v="3773"/>
    <s v="Male"/>
    <n v="30"/>
    <x v="4"/>
    <x v="2"/>
    <n v="175"/>
    <n v="31"/>
    <n v="0.28999999999999998"/>
    <s v="Web"/>
    <n v="0"/>
    <n v="1"/>
    <n v="0"/>
    <n v="9.99"/>
    <n v="0"/>
  </r>
  <r>
    <n v="3774"/>
    <s v="Other"/>
    <n v="39"/>
    <x v="2"/>
    <x v="1"/>
    <n v="269"/>
    <n v="27"/>
    <n v="0.52"/>
    <s v="Mobile"/>
    <n v="0"/>
    <n v="1"/>
    <n v="0"/>
    <n v="14.99"/>
    <n v="0"/>
  </r>
  <r>
    <n v="3775"/>
    <s v="Female"/>
    <n v="47"/>
    <x v="5"/>
    <x v="2"/>
    <n v="150"/>
    <n v="22"/>
    <n v="0.1"/>
    <s v="Web"/>
    <n v="0"/>
    <n v="1"/>
    <n v="1"/>
    <n v="9.99"/>
    <n v="9.99"/>
  </r>
  <r>
    <n v="3776"/>
    <s v="Female"/>
    <n v="56"/>
    <x v="7"/>
    <x v="3"/>
    <n v="18"/>
    <n v="27"/>
    <n v="0.14000000000000001"/>
    <s v="Mobile"/>
    <n v="0"/>
    <n v="1"/>
    <n v="0"/>
    <n v="4.99"/>
    <n v="0"/>
  </r>
  <r>
    <n v="3777"/>
    <s v="Other"/>
    <n v="43"/>
    <x v="2"/>
    <x v="1"/>
    <n v="96"/>
    <n v="38"/>
    <n v="0.56999999999999995"/>
    <s v="Mobile"/>
    <n v="0"/>
    <n v="1"/>
    <n v="1"/>
    <n v="14.99"/>
    <n v="14.99"/>
  </r>
  <r>
    <n v="3778"/>
    <s v="Female"/>
    <n v="19"/>
    <x v="6"/>
    <x v="0"/>
    <n v="197"/>
    <n v="86"/>
    <n v="0"/>
    <s v="Desktop"/>
    <n v="32"/>
    <n v="0"/>
    <n v="1"/>
    <n v="0"/>
    <n v="0"/>
  </r>
  <r>
    <n v="3779"/>
    <s v="Other"/>
    <n v="30"/>
    <x v="0"/>
    <x v="0"/>
    <n v="112"/>
    <n v="29"/>
    <n v="0.3"/>
    <s v="Mobile"/>
    <n v="43"/>
    <n v="0"/>
    <n v="0"/>
    <n v="0"/>
    <n v="0"/>
  </r>
  <r>
    <n v="3780"/>
    <s v="Female"/>
    <n v="35"/>
    <x v="1"/>
    <x v="1"/>
    <n v="152"/>
    <n v="63"/>
    <n v="0.14000000000000001"/>
    <s v="Desktop"/>
    <n v="0"/>
    <n v="1"/>
    <n v="1"/>
    <n v="14.99"/>
    <n v="14.99"/>
  </r>
  <r>
    <n v="3781"/>
    <s v="Other"/>
    <n v="48"/>
    <x v="6"/>
    <x v="3"/>
    <n v="183"/>
    <n v="43"/>
    <n v="0.26"/>
    <s v="Desktop"/>
    <n v="0"/>
    <n v="1"/>
    <n v="0"/>
    <n v="4.99"/>
    <n v="0"/>
  </r>
  <r>
    <n v="3782"/>
    <s v="Female"/>
    <n v="32"/>
    <x v="7"/>
    <x v="1"/>
    <n v="73"/>
    <n v="20"/>
    <n v="0.57999999999999996"/>
    <s v="Mobile"/>
    <n v="0"/>
    <n v="1"/>
    <n v="0"/>
    <n v="14.99"/>
    <n v="0"/>
  </r>
  <r>
    <n v="3783"/>
    <s v="Male"/>
    <n v="37"/>
    <x v="7"/>
    <x v="3"/>
    <n v="204"/>
    <n v="25"/>
    <n v="0.33"/>
    <s v="Desktop"/>
    <n v="0"/>
    <n v="1"/>
    <n v="0"/>
    <n v="4.99"/>
    <n v="0"/>
  </r>
  <r>
    <n v="3784"/>
    <s v="Male"/>
    <n v="23"/>
    <x v="3"/>
    <x v="1"/>
    <n v="142"/>
    <n v="6"/>
    <n v="0.34"/>
    <s v="Desktop"/>
    <n v="0"/>
    <n v="1"/>
    <n v="0"/>
    <n v="14.99"/>
    <n v="0"/>
  </r>
  <r>
    <n v="3785"/>
    <s v="Other"/>
    <n v="43"/>
    <x v="1"/>
    <x v="1"/>
    <n v="68"/>
    <n v="44"/>
    <n v="0.25"/>
    <s v="Web"/>
    <n v="0"/>
    <n v="1"/>
    <n v="0"/>
    <n v="14.99"/>
    <n v="0"/>
  </r>
  <r>
    <n v="3786"/>
    <s v="Other"/>
    <n v="51"/>
    <x v="5"/>
    <x v="0"/>
    <n v="227"/>
    <n v="5"/>
    <n v="0.53"/>
    <s v="Web"/>
    <n v="45"/>
    <n v="0"/>
    <n v="1"/>
    <n v="0"/>
    <n v="0"/>
  </r>
  <r>
    <n v="3787"/>
    <s v="Female"/>
    <n v="42"/>
    <x v="4"/>
    <x v="2"/>
    <n v="188"/>
    <n v="67"/>
    <n v="0.47"/>
    <s v="Web"/>
    <n v="0"/>
    <n v="1"/>
    <n v="0"/>
    <n v="9.99"/>
    <n v="0"/>
  </r>
  <r>
    <n v="3788"/>
    <s v="Male"/>
    <n v="57"/>
    <x v="5"/>
    <x v="3"/>
    <n v="86"/>
    <n v="83"/>
    <n v="0.09"/>
    <s v="Web"/>
    <n v="0"/>
    <n v="1"/>
    <n v="0"/>
    <n v="4.99"/>
    <n v="0"/>
  </r>
  <r>
    <n v="3789"/>
    <s v="Other"/>
    <n v="46"/>
    <x v="7"/>
    <x v="0"/>
    <n v="61"/>
    <n v="85"/>
    <n v="0.56999999999999995"/>
    <s v="Web"/>
    <n v="31"/>
    <n v="0"/>
    <n v="1"/>
    <n v="0"/>
    <n v="0"/>
  </r>
  <r>
    <n v="3790"/>
    <s v="Female"/>
    <n v="52"/>
    <x v="7"/>
    <x v="3"/>
    <n v="28"/>
    <n v="33"/>
    <n v="0.19"/>
    <s v="Mobile"/>
    <n v="0"/>
    <n v="1"/>
    <n v="0"/>
    <n v="4.99"/>
    <n v="0"/>
  </r>
  <r>
    <n v="3791"/>
    <s v="Female"/>
    <n v="21"/>
    <x v="4"/>
    <x v="0"/>
    <n v="50"/>
    <n v="47"/>
    <n v="0.37"/>
    <s v="Desktop"/>
    <n v="24"/>
    <n v="0"/>
    <n v="0"/>
    <n v="0"/>
    <n v="0"/>
  </r>
  <r>
    <n v="3792"/>
    <s v="Other"/>
    <n v="45"/>
    <x v="7"/>
    <x v="1"/>
    <n v="20"/>
    <n v="14"/>
    <n v="0.45"/>
    <s v="Mobile"/>
    <n v="0"/>
    <n v="1"/>
    <n v="1"/>
    <n v="14.99"/>
    <n v="14.99"/>
  </r>
  <r>
    <n v="3793"/>
    <s v="Male"/>
    <n v="21"/>
    <x v="6"/>
    <x v="2"/>
    <n v="176"/>
    <n v="41"/>
    <n v="0.56999999999999995"/>
    <s v="Desktop"/>
    <n v="0"/>
    <n v="1"/>
    <n v="0"/>
    <n v="9.99"/>
    <n v="0"/>
  </r>
  <r>
    <n v="3794"/>
    <s v="Female"/>
    <n v="41"/>
    <x v="7"/>
    <x v="3"/>
    <n v="46"/>
    <n v="53"/>
    <n v="0.25"/>
    <s v="Mobile"/>
    <n v="0"/>
    <n v="1"/>
    <n v="0"/>
    <n v="4.99"/>
    <n v="0"/>
  </r>
  <r>
    <n v="3795"/>
    <s v="Male"/>
    <n v="22"/>
    <x v="4"/>
    <x v="2"/>
    <n v="77"/>
    <n v="88"/>
    <n v="0.33"/>
    <s v="Desktop"/>
    <n v="0"/>
    <n v="1"/>
    <n v="0"/>
    <n v="9.99"/>
    <n v="0"/>
  </r>
  <r>
    <n v="3796"/>
    <s v="Female"/>
    <n v="49"/>
    <x v="7"/>
    <x v="3"/>
    <n v="37"/>
    <n v="17"/>
    <n v="0.2"/>
    <s v="Desktop"/>
    <n v="0"/>
    <n v="1"/>
    <n v="0"/>
    <n v="4.99"/>
    <n v="0"/>
  </r>
  <r>
    <n v="3797"/>
    <s v="Male"/>
    <n v="37"/>
    <x v="5"/>
    <x v="0"/>
    <n v="256"/>
    <n v="30"/>
    <n v="0.14000000000000001"/>
    <s v="Web"/>
    <n v="12"/>
    <n v="0"/>
    <n v="0"/>
    <n v="0"/>
    <n v="0"/>
  </r>
  <r>
    <n v="3798"/>
    <s v="Other"/>
    <n v="31"/>
    <x v="6"/>
    <x v="0"/>
    <n v="240"/>
    <n v="84"/>
    <n v="0.57999999999999996"/>
    <s v="Mobile"/>
    <n v="39"/>
    <n v="0"/>
    <n v="0"/>
    <n v="0"/>
    <n v="0"/>
  </r>
  <r>
    <n v="3799"/>
    <s v="Other"/>
    <n v="47"/>
    <x v="5"/>
    <x v="3"/>
    <n v="196"/>
    <n v="24"/>
    <n v="7.0000000000000007E-2"/>
    <s v="Mobile"/>
    <n v="0"/>
    <n v="1"/>
    <n v="0"/>
    <n v="4.99"/>
    <n v="0"/>
  </r>
  <r>
    <n v="3800"/>
    <s v="Male"/>
    <n v="53"/>
    <x v="7"/>
    <x v="1"/>
    <n v="57"/>
    <n v="16"/>
    <n v="0.5"/>
    <s v="Web"/>
    <n v="0"/>
    <n v="1"/>
    <n v="0"/>
    <n v="14.99"/>
    <n v="0"/>
  </r>
  <r>
    <n v="3801"/>
    <s v="Female"/>
    <n v="57"/>
    <x v="1"/>
    <x v="0"/>
    <n v="214"/>
    <n v="51"/>
    <n v="0.15"/>
    <s v="Web"/>
    <n v="33"/>
    <n v="0"/>
    <n v="1"/>
    <n v="0"/>
    <n v="0"/>
  </r>
  <r>
    <n v="3802"/>
    <s v="Female"/>
    <n v="19"/>
    <x v="7"/>
    <x v="0"/>
    <n v="48"/>
    <n v="83"/>
    <n v="0.44"/>
    <s v="Web"/>
    <n v="40"/>
    <n v="0"/>
    <n v="1"/>
    <n v="0"/>
    <n v="0"/>
  </r>
  <r>
    <n v="3803"/>
    <s v="Male"/>
    <n v="53"/>
    <x v="5"/>
    <x v="0"/>
    <n v="99"/>
    <n v="1"/>
    <n v="0.24"/>
    <s v="Desktop"/>
    <n v="25"/>
    <n v="0"/>
    <n v="0"/>
    <n v="0"/>
    <n v="0"/>
  </r>
  <r>
    <n v="3804"/>
    <s v="Male"/>
    <n v="43"/>
    <x v="2"/>
    <x v="2"/>
    <n v="172"/>
    <n v="88"/>
    <n v="0.36"/>
    <s v="Web"/>
    <n v="0"/>
    <n v="1"/>
    <n v="0"/>
    <n v="9.99"/>
    <n v="0"/>
  </r>
  <r>
    <n v="3805"/>
    <s v="Other"/>
    <n v="59"/>
    <x v="4"/>
    <x v="0"/>
    <n v="166"/>
    <n v="68"/>
    <n v="0.23"/>
    <s v="Web"/>
    <n v="19"/>
    <n v="0"/>
    <n v="0"/>
    <n v="0"/>
    <n v="0"/>
  </r>
  <r>
    <n v="3806"/>
    <s v="Other"/>
    <n v="24"/>
    <x v="0"/>
    <x v="3"/>
    <n v="108"/>
    <n v="86"/>
    <n v="0.38"/>
    <s v="Web"/>
    <n v="0"/>
    <n v="1"/>
    <n v="1"/>
    <n v="4.99"/>
    <n v="4.99"/>
  </r>
  <r>
    <n v="3807"/>
    <s v="Female"/>
    <n v="32"/>
    <x v="3"/>
    <x v="2"/>
    <n v="33"/>
    <n v="42"/>
    <n v="0.47"/>
    <s v="Web"/>
    <n v="0"/>
    <n v="1"/>
    <n v="0"/>
    <n v="9.99"/>
    <n v="0"/>
  </r>
  <r>
    <n v="3808"/>
    <s v="Female"/>
    <n v="47"/>
    <x v="5"/>
    <x v="3"/>
    <n v="125"/>
    <n v="33"/>
    <n v="0.38"/>
    <s v="Web"/>
    <n v="0"/>
    <n v="1"/>
    <n v="0"/>
    <n v="4.99"/>
    <n v="0"/>
  </r>
  <r>
    <n v="3809"/>
    <s v="Female"/>
    <n v="35"/>
    <x v="1"/>
    <x v="2"/>
    <n v="142"/>
    <n v="21"/>
    <n v="7.0000000000000007E-2"/>
    <s v="Desktop"/>
    <n v="0"/>
    <n v="1"/>
    <n v="0"/>
    <n v="9.99"/>
    <n v="0"/>
  </r>
  <r>
    <n v="3810"/>
    <s v="Male"/>
    <n v="22"/>
    <x v="4"/>
    <x v="2"/>
    <n v="242"/>
    <n v="90"/>
    <n v="0.03"/>
    <s v="Mobile"/>
    <n v="0"/>
    <n v="1"/>
    <n v="1"/>
    <n v="9.99"/>
    <n v="9.99"/>
  </r>
  <r>
    <n v="3811"/>
    <s v="Male"/>
    <n v="17"/>
    <x v="3"/>
    <x v="2"/>
    <n v="196"/>
    <n v="12"/>
    <n v="0.44"/>
    <s v="Desktop"/>
    <n v="0"/>
    <n v="1"/>
    <n v="0"/>
    <n v="9.99"/>
    <n v="0"/>
  </r>
  <r>
    <n v="3812"/>
    <s v="Female"/>
    <n v="16"/>
    <x v="6"/>
    <x v="1"/>
    <n v="99"/>
    <n v="66"/>
    <n v="0.37"/>
    <s v="Web"/>
    <n v="0"/>
    <n v="1"/>
    <n v="0"/>
    <n v="14.99"/>
    <n v="0"/>
  </r>
  <r>
    <n v="3813"/>
    <s v="Female"/>
    <n v="41"/>
    <x v="0"/>
    <x v="2"/>
    <n v="128"/>
    <n v="12"/>
    <n v="0.05"/>
    <s v="Desktop"/>
    <n v="0"/>
    <n v="1"/>
    <n v="0"/>
    <n v="9.99"/>
    <n v="0"/>
  </r>
  <r>
    <n v="3814"/>
    <s v="Male"/>
    <n v="21"/>
    <x v="3"/>
    <x v="1"/>
    <n v="231"/>
    <n v="31"/>
    <n v="0.55000000000000004"/>
    <s v="Mobile"/>
    <n v="0"/>
    <n v="1"/>
    <n v="0"/>
    <n v="14.99"/>
    <n v="0"/>
  </r>
  <r>
    <n v="3815"/>
    <s v="Female"/>
    <n v="30"/>
    <x v="4"/>
    <x v="0"/>
    <n v="68"/>
    <n v="50"/>
    <n v="0.53"/>
    <s v="Web"/>
    <n v="36"/>
    <n v="0"/>
    <n v="0"/>
    <n v="0"/>
    <n v="0"/>
  </r>
  <r>
    <n v="3816"/>
    <s v="Other"/>
    <n v="37"/>
    <x v="1"/>
    <x v="1"/>
    <n v="266"/>
    <n v="49"/>
    <n v="0.6"/>
    <s v="Mobile"/>
    <n v="0"/>
    <n v="1"/>
    <n v="0"/>
    <n v="14.99"/>
    <n v="0"/>
  </r>
  <r>
    <n v="3817"/>
    <s v="Female"/>
    <n v="19"/>
    <x v="2"/>
    <x v="2"/>
    <n v="197"/>
    <n v="74"/>
    <n v="0.39"/>
    <s v="Desktop"/>
    <n v="0"/>
    <n v="1"/>
    <n v="0"/>
    <n v="9.99"/>
    <n v="0"/>
  </r>
  <r>
    <n v="3818"/>
    <s v="Female"/>
    <n v="41"/>
    <x v="5"/>
    <x v="2"/>
    <n v="217"/>
    <n v="7"/>
    <n v="0.31"/>
    <s v="Desktop"/>
    <n v="0"/>
    <n v="1"/>
    <n v="1"/>
    <n v="9.99"/>
    <n v="9.99"/>
  </r>
  <r>
    <n v="3819"/>
    <s v="Male"/>
    <n v="56"/>
    <x v="7"/>
    <x v="1"/>
    <n v="23"/>
    <n v="68"/>
    <n v="0.45"/>
    <s v="Desktop"/>
    <n v="0"/>
    <n v="1"/>
    <n v="1"/>
    <n v="14.99"/>
    <n v="14.99"/>
  </r>
  <r>
    <n v="3820"/>
    <s v="Female"/>
    <n v="55"/>
    <x v="3"/>
    <x v="1"/>
    <n v="160"/>
    <n v="66"/>
    <n v="0.47"/>
    <s v="Desktop"/>
    <n v="0"/>
    <n v="1"/>
    <n v="0"/>
    <n v="14.99"/>
    <n v="0"/>
  </r>
  <r>
    <n v="3821"/>
    <s v="Female"/>
    <n v="43"/>
    <x v="4"/>
    <x v="3"/>
    <n v="163"/>
    <n v="34"/>
    <n v="0.37"/>
    <s v="Desktop"/>
    <n v="0"/>
    <n v="1"/>
    <n v="0"/>
    <n v="4.99"/>
    <n v="0"/>
  </r>
  <r>
    <n v="3822"/>
    <s v="Male"/>
    <n v="22"/>
    <x v="2"/>
    <x v="2"/>
    <n v="224"/>
    <n v="80"/>
    <n v="0.54"/>
    <s v="Desktop"/>
    <n v="0"/>
    <n v="1"/>
    <n v="0"/>
    <n v="9.99"/>
    <n v="0"/>
  </r>
  <r>
    <n v="3823"/>
    <s v="Female"/>
    <n v="44"/>
    <x v="0"/>
    <x v="0"/>
    <n v="55"/>
    <n v="48"/>
    <n v="0.56999999999999995"/>
    <s v="Desktop"/>
    <n v="22"/>
    <n v="0"/>
    <n v="0"/>
    <n v="0"/>
    <n v="0"/>
  </r>
  <r>
    <n v="3824"/>
    <s v="Other"/>
    <n v="53"/>
    <x v="6"/>
    <x v="0"/>
    <n v="79"/>
    <n v="73"/>
    <n v="0.53"/>
    <s v="Mobile"/>
    <n v="16"/>
    <n v="0"/>
    <n v="0"/>
    <n v="0"/>
    <n v="0"/>
  </r>
  <r>
    <n v="3825"/>
    <s v="Other"/>
    <n v="37"/>
    <x v="6"/>
    <x v="0"/>
    <n v="115"/>
    <n v="23"/>
    <n v="0.54"/>
    <s v="Desktop"/>
    <n v="46"/>
    <n v="0"/>
    <n v="0"/>
    <n v="0"/>
    <n v="0"/>
  </r>
  <r>
    <n v="3826"/>
    <s v="Other"/>
    <n v="18"/>
    <x v="1"/>
    <x v="0"/>
    <n v="20"/>
    <n v="67"/>
    <n v="0.38"/>
    <s v="Mobile"/>
    <n v="39"/>
    <n v="0"/>
    <n v="0"/>
    <n v="0"/>
    <n v="0"/>
  </r>
  <r>
    <n v="3827"/>
    <s v="Male"/>
    <n v="26"/>
    <x v="5"/>
    <x v="0"/>
    <n v="132"/>
    <n v="51"/>
    <n v="0.08"/>
    <s v="Desktop"/>
    <n v="46"/>
    <n v="0"/>
    <n v="1"/>
    <n v="0"/>
    <n v="0"/>
  </r>
  <r>
    <n v="3828"/>
    <s v="Male"/>
    <n v="25"/>
    <x v="1"/>
    <x v="3"/>
    <n v="150"/>
    <n v="41"/>
    <n v="0.42"/>
    <s v="Desktop"/>
    <n v="0"/>
    <n v="1"/>
    <n v="0"/>
    <n v="4.99"/>
    <n v="0"/>
  </r>
  <r>
    <n v="3829"/>
    <s v="Other"/>
    <n v="55"/>
    <x v="7"/>
    <x v="1"/>
    <n v="91"/>
    <n v="55"/>
    <n v="0.59"/>
    <s v="Mobile"/>
    <n v="0"/>
    <n v="1"/>
    <n v="0"/>
    <n v="14.99"/>
    <n v="0"/>
  </r>
  <r>
    <n v="3830"/>
    <s v="Male"/>
    <n v="43"/>
    <x v="6"/>
    <x v="1"/>
    <n v="262"/>
    <n v="32"/>
    <n v="0.04"/>
    <s v="Mobile"/>
    <n v="0"/>
    <n v="1"/>
    <n v="0"/>
    <n v="14.99"/>
    <n v="0"/>
  </r>
  <r>
    <n v="3831"/>
    <s v="Male"/>
    <n v="18"/>
    <x v="7"/>
    <x v="2"/>
    <n v="109"/>
    <n v="73"/>
    <n v="0.12"/>
    <s v="Mobile"/>
    <n v="0"/>
    <n v="1"/>
    <n v="0"/>
    <n v="9.99"/>
    <n v="0"/>
  </r>
  <r>
    <n v="3832"/>
    <s v="Male"/>
    <n v="52"/>
    <x v="7"/>
    <x v="0"/>
    <n v="88"/>
    <n v="49"/>
    <n v="0.36"/>
    <s v="Mobile"/>
    <n v="23"/>
    <n v="0"/>
    <n v="0"/>
    <n v="0"/>
    <n v="0"/>
  </r>
  <r>
    <n v="3833"/>
    <s v="Other"/>
    <n v="25"/>
    <x v="2"/>
    <x v="0"/>
    <n v="22"/>
    <n v="96"/>
    <n v="0.22"/>
    <s v="Mobile"/>
    <n v="14"/>
    <n v="0"/>
    <n v="1"/>
    <n v="0"/>
    <n v="0"/>
  </r>
  <r>
    <n v="3834"/>
    <s v="Other"/>
    <n v="56"/>
    <x v="2"/>
    <x v="0"/>
    <n v="179"/>
    <n v="73"/>
    <n v="0.57999999999999996"/>
    <s v="Desktop"/>
    <n v="41"/>
    <n v="0"/>
    <n v="0"/>
    <n v="0"/>
    <n v="0"/>
  </r>
  <r>
    <n v="3835"/>
    <s v="Male"/>
    <n v="31"/>
    <x v="4"/>
    <x v="0"/>
    <n v="46"/>
    <n v="28"/>
    <n v="0.49"/>
    <s v="Web"/>
    <n v="9"/>
    <n v="0"/>
    <n v="0"/>
    <n v="0"/>
    <n v="0"/>
  </r>
  <r>
    <n v="3836"/>
    <s v="Other"/>
    <n v="33"/>
    <x v="2"/>
    <x v="0"/>
    <n v="171"/>
    <n v="39"/>
    <n v="0.14000000000000001"/>
    <s v="Mobile"/>
    <n v="30"/>
    <n v="0"/>
    <n v="0"/>
    <n v="0"/>
    <n v="0"/>
  </r>
  <r>
    <n v="3837"/>
    <s v="Male"/>
    <n v="53"/>
    <x v="1"/>
    <x v="3"/>
    <n v="165"/>
    <n v="67"/>
    <n v="0.25"/>
    <s v="Web"/>
    <n v="0"/>
    <n v="1"/>
    <n v="0"/>
    <n v="4.99"/>
    <n v="0"/>
  </r>
  <r>
    <n v="3838"/>
    <s v="Female"/>
    <n v="53"/>
    <x v="7"/>
    <x v="1"/>
    <n v="48"/>
    <n v="3"/>
    <n v="0.11"/>
    <s v="Mobile"/>
    <n v="0"/>
    <n v="1"/>
    <n v="0"/>
    <n v="14.99"/>
    <n v="0"/>
  </r>
  <r>
    <n v="3839"/>
    <s v="Other"/>
    <n v="56"/>
    <x v="7"/>
    <x v="2"/>
    <n v="254"/>
    <n v="4"/>
    <n v="0.28999999999999998"/>
    <s v="Mobile"/>
    <n v="0"/>
    <n v="1"/>
    <n v="0"/>
    <n v="9.99"/>
    <n v="0"/>
  </r>
  <r>
    <n v="3840"/>
    <s v="Other"/>
    <n v="47"/>
    <x v="3"/>
    <x v="3"/>
    <n v="285"/>
    <n v="93"/>
    <n v="0.27"/>
    <s v="Desktop"/>
    <n v="0"/>
    <n v="1"/>
    <n v="1"/>
    <n v="4.99"/>
    <n v="4.99"/>
  </r>
  <r>
    <n v="3841"/>
    <s v="Female"/>
    <n v="24"/>
    <x v="3"/>
    <x v="3"/>
    <n v="110"/>
    <n v="53"/>
    <n v="0.41"/>
    <s v="Desktop"/>
    <n v="0"/>
    <n v="1"/>
    <n v="1"/>
    <n v="4.99"/>
    <n v="4.99"/>
  </r>
  <r>
    <n v="3842"/>
    <s v="Other"/>
    <n v="55"/>
    <x v="4"/>
    <x v="3"/>
    <n v="130"/>
    <n v="99"/>
    <n v="0.32"/>
    <s v="Mobile"/>
    <n v="0"/>
    <n v="1"/>
    <n v="1"/>
    <n v="4.99"/>
    <n v="4.99"/>
  </r>
  <r>
    <n v="3843"/>
    <s v="Male"/>
    <n v="37"/>
    <x v="6"/>
    <x v="0"/>
    <n v="245"/>
    <n v="13"/>
    <n v="0.17"/>
    <s v="Desktop"/>
    <n v="19"/>
    <n v="0"/>
    <n v="0"/>
    <n v="0"/>
    <n v="0"/>
  </r>
  <r>
    <n v="3844"/>
    <s v="Female"/>
    <n v="19"/>
    <x v="6"/>
    <x v="0"/>
    <n v="99"/>
    <n v="28"/>
    <n v="0.18"/>
    <s v="Mobile"/>
    <n v="12"/>
    <n v="0"/>
    <n v="0"/>
    <n v="0"/>
    <n v="0"/>
  </r>
  <r>
    <n v="3845"/>
    <s v="Male"/>
    <n v="32"/>
    <x v="4"/>
    <x v="2"/>
    <n v="77"/>
    <n v="59"/>
    <n v="0.4"/>
    <s v="Web"/>
    <n v="0"/>
    <n v="1"/>
    <n v="0"/>
    <n v="9.99"/>
    <n v="0"/>
  </r>
  <r>
    <n v="3846"/>
    <s v="Female"/>
    <n v="29"/>
    <x v="4"/>
    <x v="0"/>
    <n v="46"/>
    <n v="11"/>
    <n v="0.56999999999999995"/>
    <s v="Web"/>
    <n v="46"/>
    <n v="0"/>
    <n v="0"/>
    <n v="0"/>
    <n v="0"/>
  </r>
  <r>
    <n v="3847"/>
    <s v="Male"/>
    <n v="35"/>
    <x v="7"/>
    <x v="0"/>
    <n v="52"/>
    <n v="41"/>
    <n v="0.35"/>
    <s v="Web"/>
    <n v="7"/>
    <n v="0"/>
    <n v="0"/>
    <n v="0"/>
    <n v="0"/>
  </r>
  <r>
    <n v="3848"/>
    <s v="Other"/>
    <n v="20"/>
    <x v="5"/>
    <x v="2"/>
    <n v="99"/>
    <n v="6"/>
    <n v="0.13"/>
    <s v="Mobile"/>
    <n v="0"/>
    <n v="1"/>
    <n v="1"/>
    <n v="9.99"/>
    <n v="9.99"/>
  </r>
  <r>
    <n v="3849"/>
    <s v="Male"/>
    <n v="42"/>
    <x v="0"/>
    <x v="2"/>
    <n v="188"/>
    <n v="42"/>
    <n v="7.0000000000000007E-2"/>
    <s v="Web"/>
    <n v="0"/>
    <n v="1"/>
    <n v="0"/>
    <n v="9.99"/>
    <n v="0"/>
  </r>
  <r>
    <n v="3850"/>
    <s v="Female"/>
    <n v="22"/>
    <x v="1"/>
    <x v="1"/>
    <n v="67"/>
    <n v="73"/>
    <n v="0.56000000000000005"/>
    <s v="Desktop"/>
    <n v="0"/>
    <n v="1"/>
    <n v="1"/>
    <n v="14.99"/>
    <n v="14.99"/>
  </r>
  <r>
    <n v="3851"/>
    <s v="Male"/>
    <n v="16"/>
    <x v="4"/>
    <x v="1"/>
    <n v="27"/>
    <n v="21"/>
    <n v="0.56999999999999995"/>
    <s v="Desktop"/>
    <n v="0"/>
    <n v="1"/>
    <n v="0"/>
    <n v="14.99"/>
    <n v="0"/>
  </r>
  <r>
    <n v="3852"/>
    <s v="Male"/>
    <n v="50"/>
    <x v="2"/>
    <x v="3"/>
    <n v="63"/>
    <n v="7"/>
    <n v="0.11"/>
    <s v="Web"/>
    <n v="0"/>
    <n v="1"/>
    <n v="0"/>
    <n v="4.99"/>
    <n v="0"/>
  </r>
  <r>
    <n v="3853"/>
    <s v="Other"/>
    <n v="20"/>
    <x v="3"/>
    <x v="0"/>
    <n v="112"/>
    <n v="41"/>
    <n v="0.17"/>
    <s v="Web"/>
    <n v="49"/>
    <n v="0"/>
    <n v="1"/>
    <n v="0"/>
    <n v="0"/>
  </r>
  <r>
    <n v="3854"/>
    <s v="Male"/>
    <n v="38"/>
    <x v="4"/>
    <x v="1"/>
    <n v="231"/>
    <n v="24"/>
    <n v="0.2"/>
    <s v="Desktop"/>
    <n v="0"/>
    <n v="1"/>
    <n v="0"/>
    <n v="14.99"/>
    <n v="0"/>
  </r>
  <r>
    <n v="3855"/>
    <s v="Female"/>
    <n v="54"/>
    <x v="2"/>
    <x v="1"/>
    <n v="49"/>
    <n v="70"/>
    <n v="0.03"/>
    <s v="Web"/>
    <n v="0"/>
    <n v="1"/>
    <n v="0"/>
    <n v="14.99"/>
    <n v="0"/>
  </r>
  <r>
    <n v="3856"/>
    <s v="Female"/>
    <n v="49"/>
    <x v="4"/>
    <x v="1"/>
    <n v="82"/>
    <n v="53"/>
    <n v="0.4"/>
    <s v="Mobile"/>
    <n v="0"/>
    <n v="1"/>
    <n v="1"/>
    <n v="14.99"/>
    <n v="14.99"/>
  </r>
  <r>
    <n v="3857"/>
    <s v="Male"/>
    <n v="43"/>
    <x v="5"/>
    <x v="2"/>
    <n v="144"/>
    <n v="19"/>
    <n v="0.03"/>
    <s v="Desktop"/>
    <n v="0"/>
    <n v="1"/>
    <n v="0"/>
    <n v="9.99"/>
    <n v="0"/>
  </r>
  <r>
    <n v="3858"/>
    <s v="Other"/>
    <n v="34"/>
    <x v="2"/>
    <x v="2"/>
    <n v="112"/>
    <n v="61"/>
    <n v="0.43"/>
    <s v="Web"/>
    <n v="0"/>
    <n v="1"/>
    <n v="0"/>
    <n v="9.99"/>
    <n v="0"/>
  </r>
  <r>
    <n v="3859"/>
    <s v="Female"/>
    <n v="54"/>
    <x v="4"/>
    <x v="3"/>
    <n v="38"/>
    <n v="78"/>
    <n v="0.27"/>
    <s v="Web"/>
    <n v="0"/>
    <n v="1"/>
    <n v="0"/>
    <n v="4.99"/>
    <n v="0"/>
  </r>
  <r>
    <n v="3860"/>
    <s v="Other"/>
    <n v="39"/>
    <x v="6"/>
    <x v="3"/>
    <n v="243"/>
    <n v="42"/>
    <n v="0.59"/>
    <s v="Desktop"/>
    <n v="0"/>
    <n v="1"/>
    <n v="0"/>
    <n v="4.99"/>
    <n v="0"/>
  </r>
  <r>
    <n v="3861"/>
    <s v="Male"/>
    <n v="48"/>
    <x v="4"/>
    <x v="2"/>
    <n v="217"/>
    <n v="17"/>
    <n v="0.34"/>
    <s v="Mobile"/>
    <n v="0"/>
    <n v="1"/>
    <n v="0"/>
    <n v="9.99"/>
    <n v="0"/>
  </r>
  <r>
    <n v="3862"/>
    <s v="Male"/>
    <n v="43"/>
    <x v="1"/>
    <x v="1"/>
    <n v="218"/>
    <n v="38"/>
    <n v="0.56000000000000005"/>
    <s v="Desktop"/>
    <n v="0"/>
    <n v="1"/>
    <n v="0"/>
    <n v="14.99"/>
    <n v="0"/>
  </r>
  <r>
    <n v="3863"/>
    <s v="Other"/>
    <n v="39"/>
    <x v="5"/>
    <x v="3"/>
    <n v="260"/>
    <n v="29"/>
    <n v="0.5"/>
    <s v="Mobile"/>
    <n v="0"/>
    <n v="1"/>
    <n v="0"/>
    <n v="4.99"/>
    <n v="0"/>
  </r>
  <r>
    <n v="3864"/>
    <s v="Other"/>
    <n v="51"/>
    <x v="1"/>
    <x v="1"/>
    <n v="41"/>
    <n v="19"/>
    <n v="0.1"/>
    <s v="Desktop"/>
    <n v="0"/>
    <n v="1"/>
    <n v="1"/>
    <n v="14.99"/>
    <n v="14.99"/>
  </r>
  <r>
    <n v="3865"/>
    <s v="Male"/>
    <n v="59"/>
    <x v="6"/>
    <x v="1"/>
    <n v="165"/>
    <n v="74"/>
    <n v="0.16"/>
    <s v="Web"/>
    <n v="0"/>
    <n v="1"/>
    <n v="0"/>
    <n v="14.99"/>
    <n v="0"/>
  </r>
  <r>
    <n v="3866"/>
    <s v="Male"/>
    <n v="36"/>
    <x v="5"/>
    <x v="1"/>
    <n v="41"/>
    <n v="43"/>
    <n v="0.56999999999999995"/>
    <s v="Web"/>
    <n v="0"/>
    <n v="1"/>
    <n v="0"/>
    <n v="14.99"/>
    <n v="0"/>
  </r>
  <r>
    <n v="3867"/>
    <s v="Female"/>
    <n v="54"/>
    <x v="0"/>
    <x v="0"/>
    <n v="227"/>
    <n v="22"/>
    <n v="0.49"/>
    <s v="Desktop"/>
    <n v="38"/>
    <n v="0"/>
    <n v="0"/>
    <n v="0"/>
    <n v="0"/>
  </r>
  <r>
    <n v="3868"/>
    <s v="Other"/>
    <n v="59"/>
    <x v="2"/>
    <x v="0"/>
    <n v="291"/>
    <n v="31"/>
    <n v="0.13"/>
    <s v="Desktop"/>
    <n v="11"/>
    <n v="0"/>
    <n v="1"/>
    <n v="0"/>
    <n v="0"/>
  </r>
  <r>
    <n v="3869"/>
    <s v="Male"/>
    <n v="35"/>
    <x v="4"/>
    <x v="2"/>
    <n v="76"/>
    <n v="78"/>
    <n v="7.0000000000000007E-2"/>
    <s v="Mobile"/>
    <n v="0"/>
    <n v="1"/>
    <n v="0"/>
    <n v="9.99"/>
    <n v="0"/>
  </r>
  <r>
    <n v="3870"/>
    <s v="Male"/>
    <n v="36"/>
    <x v="7"/>
    <x v="0"/>
    <n v="273"/>
    <n v="34"/>
    <n v="0.38"/>
    <s v="Desktop"/>
    <n v="13"/>
    <n v="0"/>
    <n v="0"/>
    <n v="0"/>
    <n v="0"/>
  </r>
  <r>
    <n v="3871"/>
    <s v="Other"/>
    <n v="22"/>
    <x v="5"/>
    <x v="0"/>
    <n v="289"/>
    <n v="97"/>
    <n v="0.53"/>
    <s v="Web"/>
    <n v="33"/>
    <n v="0"/>
    <n v="0"/>
    <n v="0"/>
    <n v="0"/>
  </r>
  <r>
    <n v="3872"/>
    <s v="Male"/>
    <n v="42"/>
    <x v="1"/>
    <x v="2"/>
    <n v="87"/>
    <n v="13"/>
    <n v="0.05"/>
    <s v="Web"/>
    <n v="0"/>
    <n v="1"/>
    <n v="0"/>
    <n v="9.99"/>
    <n v="0"/>
  </r>
  <r>
    <n v="3873"/>
    <s v="Other"/>
    <n v="51"/>
    <x v="0"/>
    <x v="1"/>
    <n v="259"/>
    <n v="10"/>
    <n v="0.37"/>
    <s v="Web"/>
    <n v="0"/>
    <n v="1"/>
    <n v="1"/>
    <n v="14.99"/>
    <n v="14.99"/>
  </r>
  <r>
    <n v="3874"/>
    <s v="Female"/>
    <n v="40"/>
    <x v="1"/>
    <x v="3"/>
    <n v="269"/>
    <n v="38"/>
    <n v="0.22"/>
    <s v="Desktop"/>
    <n v="0"/>
    <n v="1"/>
    <n v="0"/>
    <n v="4.99"/>
    <n v="0"/>
  </r>
  <r>
    <n v="3875"/>
    <s v="Other"/>
    <n v="20"/>
    <x v="2"/>
    <x v="0"/>
    <n v="179"/>
    <n v="7"/>
    <n v="0.41"/>
    <s v="Web"/>
    <n v="14"/>
    <n v="0"/>
    <n v="0"/>
    <n v="0"/>
    <n v="0"/>
  </r>
  <r>
    <n v="3876"/>
    <s v="Female"/>
    <n v="41"/>
    <x v="6"/>
    <x v="0"/>
    <n v="67"/>
    <n v="18"/>
    <n v="0.54"/>
    <s v="Web"/>
    <n v="40"/>
    <n v="0"/>
    <n v="0"/>
    <n v="0"/>
    <n v="0"/>
  </r>
  <r>
    <n v="3877"/>
    <s v="Male"/>
    <n v="36"/>
    <x v="7"/>
    <x v="0"/>
    <n v="100"/>
    <n v="34"/>
    <n v="0.08"/>
    <s v="Desktop"/>
    <n v="35"/>
    <n v="0"/>
    <n v="1"/>
    <n v="0"/>
    <n v="0"/>
  </r>
  <r>
    <n v="3878"/>
    <s v="Male"/>
    <n v="34"/>
    <x v="1"/>
    <x v="1"/>
    <n v="75"/>
    <n v="35"/>
    <n v="0.54"/>
    <s v="Desktop"/>
    <n v="0"/>
    <n v="1"/>
    <n v="0"/>
    <n v="14.99"/>
    <n v="0"/>
  </r>
  <r>
    <n v="3879"/>
    <s v="Male"/>
    <n v="26"/>
    <x v="3"/>
    <x v="0"/>
    <n v="282"/>
    <n v="24"/>
    <n v="0.54"/>
    <s v="Mobile"/>
    <n v="22"/>
    <n v="0"/>
    <n v="1"/>
    <n v="0"/>
    <n v="0"/>
  </r>
  <r>
    <n v="3880"/>
    <s v="Female"/>
    <n v="17"/>
    <x v="4"/>
    <x v="0"/>
    <n v="99"/>
    <n v="74"/>
    <n v="0.2"/>
    <s v="Mobile"/>
    <n v="17"/>
    <n v="0"/>
    <n v="1"/>
    <n v="0"/>
    <n v="0"/>
  </r>
  <r>
    <n v="3881"/>
    <s v="Other"/>
    <n v="22"/>
    <x v="2"/>
    <x v="3"/>
    <n v="160"/>
    <n v="55"/>
    <n v="0.26"/>
    <s v="Mobile"/>
    <n v="0"/>
    <n v="1"/>
    <n v="1"/>
    <n v="4.99"/>
    <n v="4.99"/>
  </r>
  <r>
    <n v="3882"/>
    <s v="Female"/>
    <n v="46"/>
    <x v="7"/>
    <x v="0"/>
    <n v="218"/>
    <n v="88"/>
    <n v="0.34"/>
    <s v="Mobile"/>
    <n v="23"/>
    <n v="0"/>
    <n v="0"/>
    <n v="0"/>
    <n v="0"/>
  </r>
  <r>
    <n v="3883"/>
    <s v="Female"/>
    <n v="37"/>
    <x v="3"/>
    <x v="2"/>
    <n v="125"/>
    <n v="52"/>
    <n v="7.0000000000000007E-2"/>
    <s v="Web"/>
    <n v="0"/>
    <n v="1"/>
    <n v="1"/>
    <n v="9.99"/>
    <n v="9.99"/>
  </r>
  <r>
    <n v="3884"/>
    <s v="Other"/>
    <n v="59"/>
    <x v="5"/>
    <x v="2"/>
    <n v="252"/>
    <n v="82"/>
    <n v="7.0000000000000007E-2"/>
    <s v="Mobile"/>
    <n v="0"/>
    <n v="1"/>
    <n v="0"/>
    <n v="9.99"/>
    <n v="0"/>
  </r>
  <r>
    <n v="3885"/>
    <s v="Female"/>
    <n v="47"/>
    <x v="3"/>
    <x v="3"/>
    <n v="166"/>
    <n v="1"/>
    <n v="0.22"/>
    <s v="Mobile"/>
    <n v="0"/>
    <n v="1"/>
    <n v="0"/>
    <n v="4.99"/>
    <n v="0"/>
  </r>
  <r>
    <n v="3886"/>
    <s v="Female"/>
    <n v="57"/>
    <x v="4"/>
    <x v="1"/>
    <n v="118"/>
    <n v="81"/>
    <n v="0.12"/>
    <s v="Mobile"/>
    <n v="0"/>
    <n v="1"/>
    <n v="1"/>
    <n v="14.99"/>
    <n v="14.99"/>
  </r>
  <r>
    <n v="3887"/>
    <s v="Male"/>
    <n v="54"/>
    <x v="4"/>
    <x v="1"/>
    <n v="35"/>
    <n v="50"/>
    <n v="0.47"/>
    <s v="Desktop"/>
    <n v="0"/>
    <n v="1"/>
    <n v="0"/>
    <n v="14.99"/>
    <n v="0"/>
  </r>
  <r>
    <n v="3888"/>
    <s v="Other"/>
    <n v="18"/>
    <x v="4"/>
    <x v="1"/>
    <n v="207"/>
    <n v="90"/>
    <n v="0.02"/>
    <s v="Desktop"/>
    <n v="0"/>
    <n v="1"/>
    <n v="0"/>
    <n v="14.99"/>
    <n v="0"/>
  </r>
  <r>
    <n v="3889"/>
    <s v="Male"/>
    <n v="59"/>
    <x v="7"/>
    <x v="2"/>
    <n v="19"/>
    <n v="88"/>
    <n v="0.57999999999999996"/>
    <s v="Mobile"/>
    <n v="0"/>
    <n v="1"/>
    <n v="1"/>
    <n v="9.99"/>
    <n v="9.99"/>
  </r>
  <r>
    <n v="3890"/>
    <s v="Female"/>
    <n v="51"/>
    <x v="2"/>
    <x v="0"/>
    <n v="214"/>
    <n v="49"/>
    <n v="0.03"/>
    <s v="Web"/>
    <n v="10"/>
    <n v="0"/>
    <n v="0"/>
    <n v="0"/>
    <n v="0"/>
  </r>
  <r>
    <n v="3891"/>
    <s v="Female"/>
    <n v="17"/>
    <x v="2"/>
    <x v="3"/>
    <n v="242"/>
    <n v="84"/>
    <n v="7.0000000000000007E-2"/>
    <s v="Web"/>
    <n v="0"/>
    <n v="1"/>
    <n v="1"/>
    <n v="4.99"/>
    <n v="4.99"/>
  </r>
  <r>
    <n v="3892"/>
    <s v="Other"/>
    <n v="28"/>
    <x v="0"/>
    <x v="0"/>
    <n v="65"/>
    <n v="82"/>
    <n v="0.36"/>
    <s v="Mobile"/>
    <n v="40"/>
    <n v="0"/>
    <n v="1"/>
    <n v="0"/>
    <n v="0"/>
  </r>
  <r>
    <n v="3893"/>
    <s v="Other"/>
    <n v="40"/>
    <x v="0"/>
    <x v="3"/>
    <n v="231"/>
    <n v="60"/>
    <n v="0.15"/>
    <s v="Desktop"/>
    <n v="0"/>
    <n v="1"/>
    <n v="0"/>
    <n v="4.99"/>
    <n v="0"/>
  </r>
  <r>
    <n v="3894"/>
    <s v="Other"/>
    <n v="57"/>
    <x v="1"/>
    <x v="2"/>
    <n v="161"/>
    <n v="46"/>
    <n v="0.55000000000000004"/>
    <s v="Desktop"/>
    <n v="0"/>
    <n v="1"/>
    <n v="0"/>
    <n v="9.99"/>
    <n v="0"/>
  </r>
  <r>
    <n v="3895"/>
    <s v="Female"/>
    <n v="54"/>
    <x v="3"/>
    <x v="2"/>
    <n v="199"/>
    <n v="95"/>
    <n v="0.51"/>
    <s v="Mobile"/>
    <n v="0"/>
    <n v="1"/>
    <n v="0"/>
    <n v="9.99"/>
    <n v="0"/>
  </r>
  <r>
    <n v="3896"/>
    <s v="Male"/>
    <n v="59"/>
    <x v="2"/>
    <x v="1"/>
    <n v="151"/>
    <n v="45"/>
    <n v="0.08"/>
    <s v="Web"/>
    <n v="0"/>
    <n v="1"/>
    <n v="0"/>
    <n v="14.99"/>
    <n v="0"/>
  </r>
  <r>
    <n v="3897"/>
    <s v="Male"/>
    <n v="23"/>
    <x v="0"/>
    <x v="1"/>
    <n v="239"/>
    <n v="58"/>
    <n v="0.02"/>
    <s v="Mobile"/>
    <n v="0"/>
    <n v="1"/>
    <n v="0"/>
    <n v="14.99"/>
    <n v="0"/>
  </r>
  <r>
    <n v="3898"/>
    <s v="Male"/>
    <n v="25"/>
    <x v="3"/>
    <x v="3"/>
    <n v="157"/>
    <n v="91"/>
    <n v="0.51"/>
    <s v="Mobile"/>
    <n v="0"/>
    <n v="1"/>
    <n v="0"/>
    <n v="4.99"/>
    <n v="0"/>
  </r>
  <r>
    <n v="3899"/>
    <s v="Female"/>
    <n v="29"/>
    <x v="3"/>
    <x v="1"/>
    <n v="125"/>
    <n v="42"/>
    <n v="0.2"/>
    <s v="Web"/>
    <n v="0"/>
    <n v="1"/>
    <n v="0"/>
    <n v="14.99"/>
    <n v="0"/>
  </r>
  <r>
    <n v="3900"/>
    <s v="Female"/>
    <n v="46"/>
    <x v="5"/>
    <x v="2"/>
    <n v="116"/>
    <n v="37"/>
    <n v="0.45"/>
    <s v="Desktop"/>
    <n v="0"/>
    <n v="1"/>
    <n v="0"/>
    <n v="9.99"/>
    <n v="0"/>
  </r>
  <r>
    <n v="3901"/>
    <s v="Other"/>
    <n v="35"/>
    <x v="5"/>
    <x v="1"/>
    <n v="43"/>
    <n v="27"/>
    <n v="7.0000000000000007E-2"/>
    <s v="Desktop"/>
    <n v="0"/>
    <n v="1"/>
    <n v="1"/>
    <n v="14.99"/>
    <n v="14.99"/>
  </r>
  <r>
    <n v="3902"/>
    <s v="Female"/>
    <n v="39"/>
    <x v="4"/>
    <x v="0"/>
    <n v="104"/>
    <n v="22"/>
    <n v="0.32"/>
    <s v="Desktop"/>
    <n v="12"/>
    <n v="0"/>
    <n v="1"/>
    <n v="0"/>
    <n v="0"/>
  </r>
  <r>
    <n v="3903"/>
    <s v="Other"/>
    <n v="16"/>
    <x v="5"/>
    <x v="3"/>
    <n v="33"/>
    <n v="95"/>
    <n v="0.3"/>
    <s v="Desktop"/>
    <n v="0"/>
    <n v="1"/>
    <n v="0"/>
    <n v="4.99"/>
    <n v="0"/>
  </r>
  <r>
    <n v="3904"/>
    <s v="Female"/>
    <n v="35"/>
    <x v="0"/>
    <x v="1"/>
    <n v="286"/>
    <n v="56"/>
    <n v="0.04"/>
    <s v="Web"/>
    <n v="0"/>
    <n v="1"/>
    <n v="1"/>
    <n v="14.99"/>
    <n v="14.99"/>
  </r>
  <r>
    <n v="3905"/>
    <s v="Other"/>
    <n v="59"/>
    <x v="5"/>
    <x v="2"/>
    <n v="11"/>
    <n v="11"/>
    <n v="0.36"/>
    <s v="Mobile"/>
    <n v="0"/>
    <n v="1"/>
    <n v="1"/>
    <n v="9.99"/>
    <n v="9.99"/>
  </r>
  <r>
    <n v="3906"/>
    <s v="Female"/>
    <n v="31"/>
    <x v="6"/>
    <x v="3"/>
    <n v="94"/>
    <n v="4"/>
    <n v="0.44"/>
    <s v="Desktop"/>
    <n v="0"/>
    <n v="1"/>
    <n v="1"/>
    <n v="4.99"/>
    <n v="4.99"/>
  </r>
  <r>
    <n v="3907"/>
    <s v="Male"/>
    <n v="36"/>
    <x v="7"/>
    <x v="2"/>
    <n v="140"/>
    <n v="91"/>
    <n v="0.05"/>
    <s v="Desktop"/>
    <n v="0"/>
    <n v="1"/>
    <n v="0"/>
    <n v="9.99"/>
    <n v="0"/>
  </r>
  <r>
    <n v="3908"/>
    <s v="Male"/>
    <n v="28"/>
    <x v="6"/>
    <x v="2"/>
    <n v="146"/>
    <n v="68"/>
    <n v="0.03"/>
    <s v="Desktop"/>
    <n v="0"/>
    <n v="1"/>
    <n v="0"/>
    <n v="9.99"/>
    <n v="0"/>
  </r>
  <r>
    <n v="3909"/>
    <s v="Other"/>
    <n v="40"/>
    <x v="4"/>
    <x v="2"/>
    <n v="137"/>
    <n v="89"/>
    <n v="0.1"/>
    <s v="Desktop"/>
    <n v="0"/>
    <n v="1"/>
    <n v="0"/>
    <n v="9.99"/>
    <n v="0"/>
  </r>
  <r>
    <n v="3910"/>
    <s v="Male"/>
    <n v="55"/>
    <x v="0"/>
    <x v="3"/>
    <n v="121"/>
    <n v="69"/>
    <n v="0.42"/>
    <s v="Web"/>
    <n v="0"/>
    <n v="1"/>
    <n v="1"/>
    <n v="4.99"/>
    <n v="4.99"/>
  </r>
  <r>
    <n v="3911"/>
    <s v="Female"/>
    <n v="34"/>
    <x v="3"/>
    <x v="1"/>
    <n v="70"/>
    <n v="9"/>
    <n v="0.21"/>
    <s v="Web"/>
    <n v="0"/>
    <n v="1"/>
    <n v="0"/>
    <n v="14.99"/>
    <n v="0"/>
  </r>
  <r>
    <n v="3912"/>
    <s v="Female"/>
    <n v="40"/>
    <x v="5"/>
    <x v="1"/>
    <n v="169"/>
    <n v="90"/>
    <n v="0.28000000000000003"/>
    <s v="Desktop"/>
    <n v="0"/>
    <n v="1"/>
    <n v="0"/>
    <n v="14.99"/>
    <n v="0"/>
  </r>
  <r>
    <n v="3913"/>
    <s v="Male"/>
    <n v="48"/>
    <x v="1"/>
    <x v="1"/>
    <n v="161"/>
    <n v="57"/>
    <n v="0.47"/>
    <s v="Mobile"/>
    <n v="0"/>
    <n v="1"/>
    <n v="1"/>
    <n v="14.99"/>
    <n v="14.99"/>
  </r>
  <r>
    <n v="3914"/>
    <s v="Other"/>
    <n v="23"/>
    <x v="4"/>
    <x v="0"/>
    <n v="99"/>
    <n v="39"/>
    <n v="0.4"/>
    <s v="Web"/>
    <n v="46"/>
    <n v="0"/>
    <n v="0"/>
    <n v="0"/>
    <n v="0"/>
  </r>
  <r>
    <n v="3915"/>
    <s v="Female"/>
    <n v="50"/>
    <x v="2"/>
    <x v="3"/>
    <n v="140"/>
    <n v="89"/>
    <n v="0.24"/>
    <s v="Desktop"/>
    <n v="0"/>
    <n v="1"/>
    <n v="0"/>
    <n v="4.99"/>
    <n v="0"/>
  </r>
  <r>
    <n v="3916"/>
    <s v="Male"/>
    <n v="55"/>
    <x v="4"/>
    <x v="1"/>
    <n v="155"/>
    <n v="24"/>
    <n v="0.15"/>
    <s v="Web"/>
    <n v="0"/>
    <n v="1"/>
    <n v="0"/>
    <n v="14.99"/>
    <n v="0"/>
  </r>
  <r>
    <n v="3917"/>
    <s v="Other"/>
    <n v="36"/>
    <x v="3"/>
    <x v="0"/>
    <n v="121"/>
    <n v="2"/>
    <n v="0.36"/>
    <s v="Mobile"/>
    <n v="36"/>
    <n v="0"/>
    <n v="1"/>
    <n v="0"/>
    <n v="0"/>
  </r>
  <r>
    <n v="3918"/>
    <s v="Male"/>
    <n v="40"/>
    <x v="1"/>
    <x v="3"/>
    <n v="54"/>
    <n v="31"/>
    <n v="0.3"/>
    <s v="Desktop"/>
    <n v="0"/>
    <n v="1"/>
    <n v="1"/>
    <n v="4.99"/>
    <n v="4.99"/>
  </r>
  <r>
    <n v="3919"/>
    <s v="Female"/>
    <n v="42"/>
    <x v="3"/>
    <x v="2"/>
    <n v="235"/>
    <n v="23"/>
    <n v="0.33"/>
    <s v="Web"/>
    <n v="0"/>
    <n v="1"/>
    <n v="0"/>
    <n v="9.99"/>
    <n v="0"/>
  </r>
  <r>
    <n v="3920"/>
    <s v="Other"/>
    <n v="21"/>
    <x v="2"/>
    <x v="1"/>
    <n v="224"/>
    <n v="58"/>
    <n v="0.59"/>
    <s v="Mobile"/>
    <n v="0"/>
    <n v="1"/>
    <n v="0"/>
    <n v="14.99"/>
    <n v="0"/>
  </r>
  <r>
    <n v="3921"/>
    <s v="Female"/>
    <n v="16"/>
    <x v="5"/>
    <x v="2"/>
    <n v="177"/>
    <n v="50"/>
    <n v="0.49"/>
    <s v="Mobile"/>
    <n v="0"/>
    <n v="1"/>
    <n v="0"/>
    <n v="9.99"/>
    <n v="0"/>
  </r>
  <r>
    <n v="3922"/>
    <s v="Male"/>
    <n v="52"/>
    <x v="7"/>
    <x v="3"/>
    <n v="288"/>
    <n v="88"/>
    <n v="0.45"/>
    <s v="Desktop"/>
    <n v="0"/>
    <n v="1"/>
    <n v="0"/>
    <n v="4.99"/>
    <n v="0"/>
  </r>
  <r>
    <n v="3923"/>
    <s v="Other"/>
    <n v="59"/>
    <x v="0"/>
    <x v="2"/>
    <n v="115"/>
    <n v="35"/>
    <n v="0.3"/>
    <s v="Web"/>
    <n v="0"/>
    <n v="1"/>
    <n v="1"/>
    <n v="9.99"/>
    <n v="9.99"/>
  </r>
  <r>
    <n v="3924"/>
    <s v="Male"/>
    <n v="43"/>
    <x v="5"/>
    <x v="2"/>
    <n v="221"/>
    <n v="13"/>
    <n v="0.57999999999999996"/>
    <s v="Desktop"/>
    <n v="0"/>
    <n v="1"/>
    <n v="0"/>
    <n v="9.99"/>
    <n v="0"/>
  </r>
  <r>
    <n v="3925"/>
    <s v="Male"/>
    <n v="53"/>
    <x v="3"/>
    <x v="1"/>
    <n v="73"/>
    <n v="91"/>
    <n v="0.15"/>
    <s v="Web"/>
    <n v="0"/>
    <n v="1"/>
    <n v="0"/>
    <n v="14.99"/>
    <n v="0"/>
  </r>
  <r>
    <n v="3926"/>
    <s v="Other"/>
    <n v="16"/>
    <x v="6"/>
    <x v="2"/>
    <n v="95"/>
    <n v="46"/>
    <n v="0.03"/>
    <s v="Mobile"/>
    <n v="0"/>
    <n v="1"/>
    <n v="0"/>
    <n v="9.99"/>
    <n v="0"/>
  </r>
  <r>
    <n v="3927"/>
    <s v="Other"/>
    <n v="54"/>
    <x v="7"/>
    <x v="2"/>
    <n v="46"/>
    <n v="86"/>
    <n v="0.12"/>
    <s v="Mobile"/>
    <n v="0"/>
    <n v="1"/>
    <n v="0"/>
    <n v="9.99"/>
    <n v="0"/>
  </r>
  <r>
    <n v="3928"/>
    <s v="Male"/>
    <n v="45"/>
    <x v="6"/>
    <x v="3"/>
    <n v="59"/>
    <n v="28"/>
    <n v="0.32"/>
    <s v="Web"/>
    <n v="0"/>
    <n v="1"/>
    <n v="1"/>
    <n v="4.99"/>
    <n v="4.99"/>
  </r>
  <r>
    <n v="3929"/>
    <s v="Other"/>
    <n v="50"/>
    <x v="0"/>
    <x v="2"/>
    <n v="264"/>
    <n v="71"/>
    <n v="0.27"/>
    <s v="Desktop"/>
    <n v="0"/>
    <n v="1"/>
    <n v="0"/>
    <n v="9.99"/>
    <n v="0"/>
  </r>
  <r>
    <n v="3930"/>
    <s v="Female"/>
    <n v="27"/>
    <x v="0"/>
    <x v="2"/>
    <n v="55"/>
    <n v="84"/>
    <n v="0.43"/>
    <s v="Web"/>
    <n v="0"/>
    <n v="1"/>
    <n v="1"/>
    <n v="9.99"/>
    <n v="9.99"/>
  </r>
  <r>
    <n v="3931"/>
    <s v="Male"/>
    <n v="36"/>
    <x v="5"/>
    <x v="2"/>
    <n v="202"/>
    <n v="43"/>
    <n v="0.04"/>
    <s v="Desktop"/>
    <n v="0"/>
    <n v="1"/>
    <n v="0"/>
    <n v="9.99"/>
    <n v="0"/>
  </r>
  <r>
    <n v="3932"/>
    <s v="Other"/>
    <n v="36"/>
    <x v="7"/>
    <x v="2"/>
    <n v="66"/>
    <n v="82"/>
    <n v="0.56000000000000005"/>
    <s v="Desktop"/>
    <n v="0"/>
    <n v="1"/>
    <n v="0"/>
    <n v="9.99"/>
    <n v="0"/>
  </r>
  <r>
    <n v="3933"/>
    <s v="Male"/>
    <n v="26"/>
    <x v="4"/>
    <x v="0"/>
    <n v="224"/>
    <n v="20"/>
    <n v="0.18"/>
    <s v="Web"/>
    <n v="47"/>
    <n v="0"/>
    <n v="0"/>
    <n v="0"/>
    <n v="0"/>
  </r>
  <r>
    <n v="3934"/>
    <s v="Female"/>
    <n v="30"/>
    <x v="6"/>
    <x v="1"/>
    <n v="175"/>
    <n v="25"/>
    <n v="0.56999999999999995"/>
    <s v="Mobile"/>
    <n v="0"/>
    <n v="1"/>
    <n v="0"/>
    <n v="14.99"/>
    <n v="0"/>
  </r>
  <r>
    <n v="3935"/>
    <s v="Female"/>
    <n v="39"/>
    <x v="0"/>
    <x v="2"/>
    <n v="143"/>
    <n v="40"/>
    <n v="0.41"/>
    <s v="Mobile"/>
    <n v="0"/>
    <n v="1"/>
    <n v="0"/>
    <n v="9.99"/>
    <n v="0"/>
  </r>
  <r>
    <n v="3936"/>
    <s v="Female"/>
    <n v="24"/>
    <x v="3"/>
    <x v="2"/>
    <n v="202"/>
    <n v="77"/>
    <n v="0.4"/>
    <s v="Mobile"/>
    <n v="0"/>
    <n v="1"/>
    <n v="1"/>
    <n v="9.99"/>
    <n v="9.99"/>
  </r>
  <r>
    <n v="3937"/>
    <s v="Other"/>
    <n v="31"/>
    <x v="3"/>
    <x v="2"/>
    <n v="203"/>
    <n v="35"/>
    <n v="0.28999999999999998"/>
    <s v="Web"/>
    <n v="0"/>
    <n v="1"/>
    <n v="1"/>
    <n v="9.99"/>
    <n v="9.99"/>
  </r>
  <r>
    <n v="3938"/>
    <s v="Female"/>
    <n v="31"/>
    <x v="6"/>
    <x v="1"/>
    <n v="21"/>
    <n v="82"/>
    <n v="0.21"/>
    <s v="Web"/>
    <n v="0"/>
    <n v="1"/>
    <n v="0"/>
    <n v="14.99"/>
    <n v="0"/>
  </r>
  <r>
    <n v="3939"/>
    <s v="Other"/>
    <n v="32"/>
    <x v="7"/>
    <x v="3"/>
    <n v="82"/>
    <n v="91"/>
    <n v="0.3"/>
    <s v="Mobile"/>
    <n v="0"/>
    <n v="1"/>
    <n v="1"/>
    <n v="4.99"/>
    <n v="4.99"/>
  </r>
  <r>
    <n v="3940"/>
    <s v="Female"/>
    <n v="51"/>
    <x v="7"/>
    <x v="0"/>
    <n v="175"/>
    <n v="34"/>
    <n v="0.59"/>
    <s v="Desktop"/>
    <n v="31"/>
    <n v="0"/>
    <n v="1"/>
    <n v="0"/>
    <n v="0"/>
  </r>
  <r>
    <n v="3941"/>
    <s v="Female"/>
    <n v="50"/>
    <x v="5"/>
    <x v="2"/>
    <n v="234"/>
    <n v="23"/>
    <n v="0.24"/>
    <s v="Desktop"/>
    <n v="0"/>
    <n v="1"/>
    <n v="0"/>
    <n v="9.99"/>
    <n v="0"/>
  </r>
  <r>
    <n v="3942"/>
    <s v="Female"/>
    <n v="23"/>
    <x v="1"/>
    <x v="3"/>
    <n v="150"/>
    <n v="20"/>
    <n v="0.16"/>
    <s v="Desktop"/>
    <n v="0"/>
    <n v="1"/>
    <n v="0"/>
    <n v="4.99"/>
    <n v="0"/>
  </r>
  <r>
    <n v="3943"/>
    <s v="Other"/>
    <n v="55"/>
    <x v="1"/>
    <x v="2"/>
    <n v="246"/>
    <n v="81"/>
    <n v="0.57999999999999996"/>
    <s v="Desktop"/>
    <n v="0"/>
    <n v="1"/>
    <n v="0"/>
    <n v="9.99"/>
    <n v="0"/>
  </r>
  <r>
    <n v="3944"/>
    <s v="Other"/>
    <n v="54"/>
    <x v="3"/>
    <x v="1"/>
    <n v="80"/>
    <n v="36"/>
    <n v="0.43"/>
    <s v="Mobile"/>
    <n v="0"/>
    <n v="1"/>
    <n v="0"/>
    <n v="14.99"/>
    <n v="0"/>
  </r>
  <r>
    <n v="3945"/>
    <s v="Male"/>
    <n v="24"/>
    <x v="2"/>
    <x v="1"/>
    <n v="67"/>
    <n v="43"/>
    <n v="0.57999999999999996"/>
    <s v="Web"/>
    <n v="0"/>
    <n v="1"/>
    <n v="0"/>
    <n v="14.99"/>
    <n v="0"/>
  </r>
  <r>
    <n v="3946"/>
    <s v="Female"/>
    <n v="56"/>
    <x v="6"/>
    <x v="1"/>
    <n v="12"/>
    <n v="99"/>
    <n v="0.52"/>
    <s v="Desktop"/>
    <n v="0"/>
    <n v="1"/>
    <n v="0"/>
    <n v="14.99"/>
    <n v="0"/>
  </r>
  <r>
    <n v="3947"/>
    <s v="Male"/>
    <n v="23"/>
    <x v="1"/>
    <x v="2"/>
    <n v="288"/>
    <n v="88"/>
    <n v="0.53"/>
    <s v="Web"/>
    <n v="0"/>
    <n v="1"/>
    <n v="0"/>
    <n v="9.99"/>
    <n v="0"/>
  </r>
  <r>
    <n v="3948"/>
    <s v="Female"/>
    <n v="19"/>
    <x v="6"/>
    <x v="3"/>
    <n v="178"/>
    <n v="84"/>
    <n v="0.13"/>
    <s v="Web"/>
    <n v="0"/>
    <n v="1"/>
    <n v="1"/>
    <n v="4.99"/>
    <n v="4.99"/>
  </r>
  <r>
    <n v="3949"/>
    <s v="Male"/>
    <n v="22"/>
    <x v="6"/>
    <x v="2"/>
    <n v="221"/>
    <n v="59"/>
    <n v="0.45"/>
    <s v="Web"/>
    <n v="0"/>
    <n v="1"/>
    <n v="0"/>
    <n v="9.99"/>
    <n v="0"/>
  </r>
  <r>
    <n v="3950"/>
    <s v="Other"/>
    <n v="22"/>
    <x v="5"/>
    <x v="2"/>
    <n v="117"/>
    <n v="73"/>
    <n v="0.31"/>
    <s v="Web"/>
    <n v="0"/>
    <n v="1"/>
    <n v="1"/>
    <n v="9.99"/>
    <n v="9.99"/>
  </r>
  <r>
    <n v="3951"/>
    <s v="Male"/>
    <n v="26"/>
    <x v="1"/>
    <x v="2"/>
    <n v="13"/>
    <n v="11"/>
    <n v="0.27"/>
    <s v="Desktop"/>
    <n v="0"/>
    <n v="1"/>
    <n v="1"/>
    <n v="9.99"/>
    <n v="9.99"/>
  </r>
  <r>
    <n v="3952"/>
    <s v="Female"/>
    <n v="36"/>
    <x v="0"/>
    <x v="0"/>
    <n v="130"/>
    <n v="25"/>
    <n v="0.05"/>
    <s v="Web"/>
    <n v="32"/>
    <n v="0"/>
    <n v="1"/>
    <n v="0"/>
    <n v="0"/>
  </r>
  <r>
    <n v="3953"/>
    <s v="Female"/>
    <n v="49"/>
    <x v="3"/>
    <x v="2"/>
    <n v="83"/>
    <n v="45"/>
    <n v="0.03"/>
    <s v="Web"/>
    <n v="0"/>
    <n v="1"/>
    <n v="0"/>
    <n v="9.99"/>
    <n v="0"/>
  </r>
  <r>
    <n v="3954"/>
    <s v="Other"/>
    <n v="20"/>
    <x v="0"/>
    <x v="3"/>
    <n v="86"/>
    <n v="77"/>
    <n v="0.27"/>
    <s v="Web"/>
    <n v="0"/>
    <n v="1"/>
    <n v="0"/>
    <n v="4.99"/>
    <n v="0"/>
  </r>
  <r>
    <n v="3955"/>
    <s v="Female"/>
    <n v="16"/>
    <x v="2"/>
    <x v="1"/>
    <n v="206"/>
    <n v="42"/>
    <n v="7.0000000000000007E-2"/>
    <s v="Web"/>
    <n v="0"/>
    <n v="1"/>
    <n v="1"/>
    <n v="14.99"/>
    <n v="14.99"/>
  </r>
  <r>
    <n v="3956"/>
    <s v="Female"/>
    <n v="17"/>
    <x v="1"/>
    <x v="2"/>
    <n v="258"/>
    <n v="80"/>
    <n v="0.16"/>
    <s v="Desktop"/>
    <n v="0"/>
    <n v="1"/>
    <n v="0"/>
    <n v="9.99"/>
    <n v="0"/>
  </r>
  <r>
    <n v="3957"/>
    <s v="Female"/>
    <n v="54"/>
    <x v="4"/>
    <x v="0"/>
    <n v="120"/>
    <n v="71"/>
    <n v="0.35"/>
    <s v="Mobile"/>
    <n v="46"/>
    <n v="0"/>
    <n v="0"/>
    <n v="0"/>
    <n v="0"/>
  </r>
  <r>
    <n v="3958"/>
    <s v="Male"/>
    <n v="50"/>
    <x v="3"/>
    <x v="2"/>
    <n v="55"/>
    <n v="42"/>
    <n v="0.26"/>
    <s v="Web"/>
    <n v="0"/>
    <n v="1"/>
    <n v="0"/>
    <n v="9.99"/>
    <n v="0"/>
  </r>
  <r>
    <n v="3959"/>
    <s v="Male"/>
    <n v="32"/>
    <x v="4"/>
    <x v="0"/>
    <n v="133"/>
    <n v="75"/>
    <n v="0.22"/>
    <s v="Mobile"/>
    <n v="28"/>
    <n v="0"/>
    <n v="0"/>
    <n v="0"/>
    <n v="0"/>
  </r>
  <r>
    <n v="3960"/>
    <s v="Other"/>
    <n v="25"/>
    <x v="0"/>
    <x v="0"/>
    <n v="159"/>
    <n v="16"/>
    <n v="0.56999999999999995"/>
    <s v="Mobile"/>
    <n v="17"/>
    <n v="0"/>
    <n v="0"/>
    <n v="0"/>
    <n v="0"/>
  </r>
  <r>
    <n v="3961"/>
    <s v="Male"/>
    <n v="34"/>
    <x v="1"/>
    <x v="3"/>
    <n v="109"/>
    <n v="3"/>
    <n v="0.49"/>
    <s v="Mobile"/>
    <n v="0"/>
    <n v="1"/>
    <n v="1"/>
    <n v="4.99"/>
    <n v="4.99"/>
  </r>
  <r>
    <n v="3962"/>
    <s v="Male"/>
    <n v="27"/>
    <x v="4"/>
    <x v="1"/>
    <n v="92"/>
    <n v="43"/>
    <n v="0.32"/>
    <s v="Desktop"/>
    <n v="0"/>
    <n v="1"/>
    <n v="0"/>
    <n v="14.99"/>
    <n v="0"/>
  </r>
  <r>
    <n v="3963"/>
    <s v="Other"/>
    <n v="49"/>
    <x v="1"/>
    <x v="1"/>
    <n v="279"/>
    <n v="78"/>
    <n v="0.56000000000000005"/>
    <s v="Desktop"/>
    <n v="0"/>
    <n v="1"/>
    <n v="0"/>
    <n v="14.99"/>
    <n v="0"/>
  </r>
  <r>
    <n v="3964"/>
    <s v="Other"/>
    <n v="17"/>
    <x v="2"/>
    <x v="2"/>
    <n v="41"/>
    <n v="80"/>
    <n v="0.14000000000000001"/>
    <s v="Mobile"/>
    <n v="0"/>
    <n v="1"/>
    <n v="1"/>
    <n v="9.99"/>
    <n v="9.99"/>
  </r>
  <r>
    <n v="3965"/>
    <s v="Male"/>
    <n v="27"/>
    <x v="5"/>
    <x v="3"/>
    <n v="245"/>
    <n v="55"/>
    <n v="0.38"/>
    <s v="Web"/>
    <n v="0"/>
    <n v="1"/>
    <n v="0"/>
    <n v="4.99"/>
    <n v="0"/>
  </r>
  <r>
    <n v="3966"/>
    <s v="Male"/>
    <n v="42"/>
    <x v="5"/>
    <x v="1"/>
    <n v="166"/>
    <n v="61"/>
    <n v="0.38"/>
    <s v="Mobile"/>
    <n v="0"/>
    <n v="1"/>
    <n v="0"/>
    <n v="14.99"/>
    <n v="0"/>
  </r>
  <r>
    <n v="3967"/>
    <s v="Male"/>
    <n v="55"/>
    <x v="3"/>
    <x v="2"/>
    <n v="21"/>
    <n v="66"/>
    <n v="0.33"/>
    <s v="Web"/>
    <n v="0"/>
    <n v="1"/>
    <n v="0"/>
    <n v="9.99"/>
    <n v="0"/>
  </r>
  <r>
    <n v="3968"/>
    <s v="Male"/>
    <n v="51"/>
    <x v="2"/>
    <x v="3"/>
    <n v="34"/>
    <n v="96"/>
    <n v="0.6"/>
    <s v="Mobile"/>
    <n v="0"/>
    <n v="1"/>
    <n v="1"/>
    <n v="4.99"/>
    <n v="4.99"/>
  </r>
  <r>
    <n v="3969"/>
    <s v="Female"/>
    <n v="24"/>
    <x v="4"/>
    <x v="3"/>
    <n v="273"/>
    <n v="78"/>
    <n v="0.56999999999999995"/>
    <s v="Desktop"/>
    <n v="0"/>
    <n v="1"/>
    <n v="1"/>
    <n v="4.99"/>
    <n v="4.99"/>
  </r>
  <r>
    <n v="3970"/>
    <s v="Other"/>
    <n v="47"/>
    <x v="6"/>
    <x v="2"/>
    <n v="264"/>
    <n v="95"/>
    <n v="0.06"/>
    <s v="Desktop"/>
    <n v="0"/>
    <n v="1"/>
    <n v="0"/>
    <n v="9.99"/>
    <n v="0"/>
  </r>
  <r>
    <n v="3971"/>
    <s v="Other"/>
    <n v="28"/>
    <x v="3"/>
    <x v="2"/>
    <n v="159"/>
    <n v="82"/>
    <n v="0.56000000000000005"/>
    <s v="Mobile"/>
    <n v="0"/>
    <n v="1"/>
    <n v="0"/>
    <n v="9.99"/>
    <n v="0"/>
  </r>
  <r>
    <n v="3972"/>
    <s v="Other"/>
    <n v="57"/>
    <x v="1"/>
    <x v="2"/>
    <n v="151"/>
    <n v="61"/>
    <n v="0.51"/>
    <s v="Web"/>
    <n v="0"/>
    <n v="1"/>
    <n v="1"/>
    <n v="9.99"/>
    <n v="9.99"/>
  </r>
  <r>
    <n v="3973"/>
    <s v="Other"/>
    <n v="16"/>
    <x v="4"/>
    <x v="3"/>
    <n v="277"/>
    <n v="49"/>
    <n v="0.22"/>
    <s v="Desktop"/>
    <n v="0"/>
    <n v="1"/>
    <n v="0"/>
    <n v="4.99"/>
    <n v="0"/>
  </r>
  <r>
    <n v="3974"/>
    <s v="Other"/>
    <n v="57"/>
    <x v="7"/>
    <x v="0"/>
    <n v="104"/>
    <n v="78"/>
    <n v="0.42"/>
    <s v="Web"/>
    <n v="43"/>
    <n v="0"/>
    <n v="0"/>
    <n v="0"/>
    <n v="0"/>
  </r>
  <r>
    <n v="3975"/>
    <s v="Female"/>
    <n v="34"/>
    <x v="7"/>
    <x v="2"/>
    <n v="255"/>
    <n v="49"/>
    <n v="0.3"/>
    <s v="Desktop"/>
    <n v="0"/>
    <n v="1"/>
    <n v="1"/>
    <n v="9.99"/>
    <n v="9.99"/>
  </r>
  <r>
    <n v="3976"/>
    <s v="Other"/>
    <n v="27"/>
    <x v="0"/>
    <x v="2"/>
    <n v="80"/>
    <n v="74"/>
    <n v="0.42"/>
    <s v="Web"/>
    <n v="0"/>
    <n v="1"/>
    <n v="1"/>
    <n v="9.99"/>
    <n v="9.99"/>
  </r>
  <r>
    <n v="3977"/>
    <s v="Other"/>
    <n v="49"/>
    <x v="3"/>
    <x v="0"/>
    <n v="120"/>
    <n v="3"/>
    <n v="0.11"/>
    <s v="Desktop"/>
    <n v="24"/>
    <n v="0"/>
    <n v="0"/>
    <n v="0"/>
    <n v="0"/>
  </r>
  <r>
    <n v="3978"/>
    <s v="Other"/>
    <n v="29"/>
    <x v="6"/>
    <x v="0"/>
    <n v="229"/>
    <n v="56"/>
    <n v="0.23"/>
    <s v="Mobile"/>
    <n v="37"/>
    <n v="0"/>
    <n v="0"/>
    <n v="0"/>
    <n v="0"/>
  </r>
  <r>
    <n v="3979"/>
    <s v="Female"/>
    <n v="46"/>
    <x v="0"/>
    <x v="3"/>
    <n v="99"/>
    <n v="86"/>
    <n v="0.24"/>
    <s v="Web"/>
    <n v="0"/>
    <n v="1"/>
    <n v="0"/>
    <n v="4.99"/>
    <n v="0"/>
  </r>
  <r>
    <n v="3980"/>
    <s v="Female"/>
    <n v="46"/>
    <x v="7"/>
    <x v="3"/>
    <n v="268"/>
    <n v="69"/>
    <n v="0.45"/>
    <s v="Mobile"/>
    <n v="0"/>
    <n v="1"/>
    <n v="0"/>
    <n v="4.99"/>
    <n v="0"/>
  </r>
  <r>
    <n v="3981"/>
    <s v="Male"/>
    <n v="42"/>
    <x v="2"/>
    <x v="3"/>
    <n v="86"/>
    <n v="42"/>
    <n v="0.03"/>
    <s v="Mobile"/>
    <n v="0"/>
    <n v="1"/>
    <n v="0"/>
    <n v="4.99"/>
    <n v="0"/>
  </r>
  <r>
    <n v="3982"/>
    <s v="Male"/>
    <n v="54"/>
    <x v="3"/>
    <x v="2"/>
    <n v="223"/>
    <n v="29"/>
    <n v="0.33"/>
    <s v="Desktop"/>
    <n v="0"/>
    <n v="1"/>
    <n v="0"/>
    <n v="9.99"/>
    <n v="0"/>
  </r>
  <r>
    <n v="3983"/>
    <s v="Other"/>
    <n v="44"/>
    <x v="5"/>
    <x v="0"/>
    <n v="148"/>
    <n v="62"/>
    <n v="0"/>
    <s v="Desktop"/>
    <n v="37"/>
    <n v="0"/>
    <n v="0"/>
    <n v="0"/>
    <n v="0"/>
  </r>
  <r>
    <n v="3984"/>
    <s v="Male"/>
    <n v="25"/>
    <x v="1"/>
    <x v="2"/>
    <n v="29"/>
    <n v="57"/>
    <n v="0.44"/>
    <s v="Desktop"/>
    <n v="0"/>
    <n v="1"/>
    <n v="1"/>
    <n v="9.99"/>
    <n v="9.99"/>
  </r>
  <r>
    <n v="3985"/>
    <s v="Male"/>
    <n v="54"/>
    <x v="3"/>
    <x v="1"/>
    <n v="229"/>
    <n v="17"/>
    <n v="0.04"/>
    <s v="Desktop"/>
    <n v="0"/>
    <n v="1"/>
    <n v="0"/>
    <n v="14.99"/>
    <n v="0"/>
  </r>
  <r>
    <n v="3986"/>
    <s v="Male"/>
    <n v="36"/>
    <x v="3"/>
    <x v="2"/>
    <n v="254"/>
    <n v="36"/>
    <n v="0.15"/>
    <s v="Web"/>
    <n v="0"/>
    <n v="1"/>
    <n v="0"/>
    <n v="9.99"/>
    <n v="0"/>
  </r>
  <r>
    <n v="3987"/>
    <s v="Other"/>
    <n v="25"/>
    <x v="2"/>
    <x v="0"/>
    <n v="239"/>
    <n v="16"/>
    <n v="0.57999999999999996"/>
    <s v="Desktop"/>
    <n v="35"/>
    <n v="0"/>
    <n v="1"/>
    <n v="0"/>
    <n v="0"/>
  </r>
  <r>
    <n v="3988"/>
    <s v="Other"/>
    <n v="34"/>
    <x v="5"/>
    <x v="1"/>
    <n v="120"/>
    <n v="48"/>
    <n v="0.54"/>
    <s v="Mobile"/>
    <n v="0"/>
    <n v="1"/>
    <n v="1"/>
    <n v="14.99"/>
    <n v="14.99"/>
  </r>
  <r>
    <n v="3989"/>
    <s v="Female"/>
    <n v="33"/>
    <x v="3"/>
    <x v="3"/>
    <n v="41"/>
    <n v="65"/>
    <n v="0.44"/>
    <s v="Mobile"/>
    <n v="0"/>
    <n v="1"/>
    <n v="0"/>
    <n v="4.99"/>
    <n v="0"/>
  </r>
  <r>
    <n v="3990"/>
    <s v="Female"/>
    <n v="35"/>
    <x v="7"/>
    <x v="3"/>
    <n v="65"/>
    <n v="63"/>
    <n v="0.24"/>
    <s v="Mobile"/>
    <n v="0"/>
    <n v="1"/>
    <n v="1"/>
    <n v="4.99"/>
    <n v="4.99"/>
  </r>
  <r>
    <n v="3991"/>
    <s v="Male"/>
    <n v="49"/>
    <x v="7"/>
    <x v="2"/>
    <n v="207"/>
    <n v="22"/>
    <n v="0.4"/>
    <s v="Web"/>
    <n v="0"/>
    <n v="1"/>
    <n v="0"/>
    <n v="9.99"/>
    <n v="0"/>
  </r>
  <r>
    <n v="3992"/>
    <s v="Other"/>
    <n v="22"/>
    <x v="7"/>
    <x v="0"/>
    <n v="278"/>
    <n v="40"/>
    <n v="0.25"/>
    <s v="Desktop"/>
    <n v="35"/>
    <n v="0"/>
    <n v="0"/>
    <n v="0"/>
    <n v="0"/>
  </r>
  <r>
    <n v="3993"/>
    <s v="Male"/>
    <n v="27"/>
    <x v="6"/>
    <x v="3"/>
    <n v="22"/>
    <n v="93"/>
    <n v="7.0000000000000007E-2"/>
    <s v="Web"/>
    <n v="0"/>
    <n v="1"/>
    <n v="0"/>
    <n v="4.99"/>
    <n v="0"/>
  </r>
  <r>
    <n v="3994"/>
    <s v="Other"/>
    <n v="46"/>
    <x v="6"/>
    <x v="1"/>
    <n v="237"/>
    <n v="28"/>
    <n v="0.12"/>
    <s v="Web"/>
    <n v="0"/>
    <n v="1"/>
    <n v="1"/>
    <n v="14.99"/>
    <n v="14.99"/>
  </r>
  <r>
    <n v="3995"/>
    <s v="Other"/>
    <n v="40"/>
    <x v="3"/>
    <x v="3"/>
    <n v="101"/>
    <n v="57"/>
    <n v="0.26"/>
    <s v="Mobile"/>
    <n v="0"/>
    <n v="1"/>
    <n v="0"/>
    <n v="4.99"/>
    <n v="0"/>
  </r>
  <r>
    <n v="3996"/>
    <s v="Other"/>
    <n v="35"/>
    <x v="6"/>
    <x v="1"/>
    <n v="285"/>
    <n v="15"/>
    <n v="0.16"/>
    <s v="Web"/>
    <n v="0"/>
    <n v="1"/>
    <n v="1"/>
    <n v="14.99"/>
    <n v="14.99"/>
  </r>
  <r>
    <n v="3997"/>
    <s v="Female"/>
    <n v="37"/>
    <x v="5"/>
    <x v="0"/>
    <n v="283"/>
    <n v="60"/>
    <n v="0.3"/>
    <s v="Desktop"/>
    <n v="42"/>
    <n v="0"/>
    <n v="1"/>
    <n v="0"/>
    <n v="0"/>
  </r>
  <r>
    <n v="3998"/>
    <s v="Female"/>
    <n v="42"/>
    <x v="2"/>
    <x v="3"/>
    <n v="255"/>
    <n v="99"/>
    <n v="0.57999999999999996"/>
    <s v="Mobile"/>
    <n v="0"/>
    <n v="1"/>
    <n v="1"/>
    <n v="4.99"/>
    <n v="4.99"/>
  </r>
  <r>
    <n v="3999"/>
    <s v="Other"/>
    <n v="43"/>
    <x v="6"/>
    <x v="0"/>
    <n v="17"/>
    <n v="54"/>
    <n v="0.47"/>
    <s v="Mobile"/>
    <n v="41"/>
    <n v="0"/>
    <n v="0"/>
    <n v="0"/>
    <n v="0"/>
  </r>
  <r>
    <n v="4000"/>
    <s v="Male"/>
    <n v="50"/>
    <x v="4"/>
    <x v="1"/>
    <n v="67"/>
    <n v="41"/>
    <n v="0.53"/>
    <s v="Web"/>
    <n v="0"/>
    <n v="1"/>
    <n v="0"/>
    <n v="14.99"/>
    <n v="0"/>
  </r>
  <r>
    <n v="4001"/>
    <s v="Other"/>
    <n v="31"/>
    <x v="2"/>
    <x v="3"/>
    <n v="48"/>
    <n v="46"/>
    <n v="0.28999999999999998"/>
    <s v="Web"/>
    <n v="0"/>
    <n v="1"/>
    <n v="0"/>
    <n v="4.99"/>
    <n v="0"/>
  </r>
  <r>
    <n v="4002"/>
    <s v="Female"/>
    <n v="30"/>
    <x v="3"/>
    <x v="0"/>
    <n v="12"/>
    <n v="71"/>
    <n v="0"/>
    <s v="Desktop"/>
    <n v="10"/>
    <n v="0"/>
    <n v="0"/>
    <n v="0"/>
    <n v="0"/>
  </r>
  <r>
    <n v="4003"/>
    <s v="Female"/>
    <n v="39"/>
    <x v="2"/>
    <x v="3"/>
    <n v="224"/>
    <n v="50"/>
    <n v="0.37"/>
    <s v="Desktop"/>
    <n v="0"/>
    <n v="1"/>
    <n v="0"/>
    <n v="4.99"/>
    <n v="0"/>
  </r>
  <r>
    <n v="4004"/>
    <s v="Other"/>
    <n v="49"/>
    <x v="4"/>
    <x v="3"/>
    <n v="207"/>
    <n v="85"/>
    <n v="0.28999999999999998"/>
    <s v="Desktop"/>
    <n v="0"/>
    <n v="1"/>
    <n v="1"/>
    <n v="4.99"/>
    <n v="4.99"/>
  </r>
  <r>
    <n v="4005"/>
    <s v="Female"/>
    <n v="58"/>
    <x v="0"/>
    <x v="3"/>
    <n v="133"/>
    <n v="42"/>
    <n v="0.02"/>
    <s v="Mobile"/>
    <n v="0"/>
    <n v="1"/>
    <n v="1"/>
    <n v="4.99"/>
    <n v="4.99"/>
  </r>
  <r>
    <n v="4006"/>
    <s v="Other"/>
    <n v="45"/>
    <x v="7"/>
    <x v="0"/>
    <n v="139"/>
    <n v="79"/>
    <n v="0.08"/>
    <s v="Desktop"/>
    <n v="44"/>
    <n v="0"/>
    <n v="0"/>
    <n v="0"/>
    <n v="0"/>
  </r>
  <r>
    <n v="4007"/>
    <s v="Male"/>
    <n v="42"/>
    <x v="0"/>
    <x v="0"/>
    <n v="102"/>
    <n v="58"/>
    <n v="0.03"/>
    <s v="Web"/>
    <n v="14"/>
    <n v="0"/>
    <n v="1"/>
    <n v="0"/>
    <n v="0"/>
  </r>
  <r>
    <n v="4008"/>
    <s v="Other"/>
    <n v="37"/>
    <x v="3"/>
    <x v="0"/>
    <n v="151"/>
    <n v="63"/>
    <n v="0.16"/>
    <s v="Mobile"/>
    <n v="29"/>
    <n v="0"/>
    <n v="0"/>
    <n v="0"/>
    <n v="0"/>
  </r>
  <r>
    <n v="4009"/>
    <s v="Female"/>
    <n v="27"/>
    <x v="7"/>
    <x v="1"/>
    <n v="187"/>
    <n v="90"/>
    <n v="0.53"/>
    <s v="Mobile"/>
    <n v="0"/>
    <n v="1"/>
    <n v="1"/>
    <n v="14.99"/>
    <n v="14.99"/>
  </r>
  <r>
    <n v="4010"/>
    <s v="Other"/>
    <n v="52"/>
    <x v="3"/>
    <x v="3"/>
    <n v="93"/>
    <n v="26"/>
    <n v="0.54"/>
    <s v="Mobile"/>
    <n v="0"/>
    <n v="1"/>
    <n v="0"/>
    <n v="4.99"/>
    <n v="0"/>
  </r>
  <r>
    <n v="4011"/>
    <s v="Male"/>
    <n v="50"/>
    <x v="3"/>
    <x v="3"/>
    <n v="217"/>
    <n v="46"/>
    <n v="0.52"/>
    <s v="Desktop"/>
    <n v="0"/>
    <n v="1"/>
    <n v="0"/>
    <n v="4.99"/>
    <n v="0"/>
  </r>
  <r>
    <n v="4012"/>
    <s v="Female"/>
    <n v="51"/>
    <x v="3"/>
    <x v="2"/>
    <n v="235"/>
    <n v="6"/>
    <n v="0.41"/>
    <s v="Mobile"/>
    <n v="0"/>
    <n v="1"/>
    <n v="0"/>
    <n v="9.99"/>
    <n v="0"/>
  </r>
  <r>
    <n v="4013"/>
    <s v="Female"/>
    <n v="51"/>
    <x v="2"/>
    <x v="1"/>
    <n v="128"/>
    <n v="97"/>
    <n v="0.13"/>
    <s v="Mobile"/>
    <n v="0"/>
    <n v="1"/>
    <n v="0"/>
    <n v="14.99"/>
    <n v="0"/>
  </r>
  <r>
    <n v="4014"/>
    <s v="Female"/>
    <n v="52"/>
    <x v="6"/>
    <x v="2"/>
    <n v="262"/>
    <n v="88"/>
    <n v="0.23"/>
    <s v="Desktop"/>
    <n v="0"/>
    <n v="1"/>
    <n v="0"/>
    <n v="9.99"/>
    <n v="0"/>
  </r>
  <r>
    <n v="4015"/>
    <s v="Other"/>
    <n v="19"/>
    <x v="1"/>
    <x v="1"/>
    <n v="283"/>
    <n v="49"/>
    <n v="0.19"/>
    <s v="Desktop"/>
    <n v="0"/>
    <n v="1"/>
    <n v="0"/>
    <n v="14.99"/>
    <n v="0"/>
  </r>
  <r>
    <n v="4016"/>
    <s v="Male"/>
    <n v="43"/>
    <x v="3"/>
    <x v="3"/>
    <n v="285"/>
    <n v="90"/>
    <n v="0.26"/>
    <s v="Mobile"/>
    <n v="0"/>
    <n v="1"/>
    <n v="0"/>
    <n v="4.99"/>
    <n v="0"/>
  </r>
  <r>
    <n v="4017"/>
    <s v="Female"/>
    <n v="30"/>
    <x v="0"/>
    <x v="1"/>
    <n v="83"/>
    <n v="61"/>
    <n v="0.31"/>
    <s v="Web"/>
    <n v="0"/>
    <n v="1"/>
    <n v="0"/>
    <n v="14.99"/>
    <n v="0"/>
  </r>
  <r>
    <n v="4018"/>
    <s v="Female"/>
    <n v="22"/>
    <x v="7"/>
    <x v="3"/>
    <n v="277"/>
    <n v="62"/>
    <n v="0"/>
    <s v="Mobile"/>
    <n v="0"/>
    <n v="1"/>
    <n v="0"/>
    <n v="4.99"/>
    <n v="0"/>
  </r>
  <r>
    <n v="4019"/>
    <s v="Other"/>
    <n v="29"/>
    <x v="3"/>
    <x v="2"/>
    <n v="108"/>
    <n v="45"/>
    <n v="0.34"/>
    <s v="Mobile"/>
    <n v="0"/>
    <n v="1"/>
    <n v="0"/>
    <n v="9.99"/>
    <n v="0"/>
  </r>
  <r>
    <n v="4020"/>
    <s v="Other"/>
    <n v="32"/>
    <x v="1"/>
    <x v="1"/>
    <n v="17"/>
    <n v="68"/>
    <n v="0.56000000000000005"/>
    <s v="Desktop"/>
    <n v="0"/>
    <n v="1"/>
    <n v="0"/>
    <n v="14.99"/>
    <n v="0"/>
  </r>
  <r>
    <n v="4021"/>
    <s v="Male"/>
    <n v="28"/>
    <x v="3"/>
    <x v="2"/>
    <n v="208"/>
    <n v="22"/>
    <n v="0.28999999999999998"/>
    <s v="Web"/>
    <n v="0"/>
    <n v="1"/>
    <n v="0"/>
    <n v="9.99"/>
    <n v="0"/>
  </r>
  <r>
    <n v="4022"/>
    <s v="Female"/>
    <n v="44"/>
    <x v="7"/>
    <x v="0"/>
    <n v="140"/>
    <n v="92"/>
    <n v="0.12"/>
    <s v="Desktop"/>
    <n v="39"/>
    <n v="0"/>
    <n v="0"/>
    <n v="0"/>
    <n v="0"/>
  </r>
  <r>
    <n v="4023"/>
    <s v="Female"/>
    <n v="45"/>
    <x v="7"/>
    <x v="1"/>
    <n v="285"/>
    <n v="80"/>
    <n v="0.19"/>
    <s v="Mobile"/>
    <n v="0"/>
    <n v="1"/>
    <n v="0"/>
    <n v="14.99"/>
    <n v="0"/>
  </r>
  <r>
    <n v="4024"/>
    <s v="Female"/>
    <n v="41"/>
    <x v="6"/>
    <x v="0"/>
    <n v="139"/>
    <n v="18"/>
    <n v="0.25"/>
    <s v="Web"/>
    <n v="17"/>
    <n v="0"/>
    <n v="0"/>
    <n v="0"/>
    <n v="0"/>
  </r>
  <r>
    <n v="4025"/>
    <s v="Other"/>
    <n v="58"/>
    <x v="7"/>
    <x v="2"/>
    <n v="17"/>
    <n v="90"/>
    <n v="0.14000000000000001"/>
    <s v="Desktop"/>
    <n v="0"/>
    <n v="1"/>
    <n v="0"/>
    <n v="9.99"/>
    <n v="0"/>
  </r>
  <r>
    <n v="4026"/>
    <s v="Male"/>
    <n v="18"/>
    <x v="4"/>
    <x v="0"/>
    <n v="78"/>
    <n v="64"/>
    <n v="0"/>
    <s v="Desktop"/>
    <n v="23"/>
    <n v="0"/>
    <n v="1"/>
    <n v="0"/>
    <n v="0"/>
  </r>
  <r>
    <n v="4027"/>
    <s v="Male"/>
    <n v="16"/>
    <x v="6"/>
    <x v="2"/>
    <n v="101"/>
    <n v="91"/>
    <n v="0.39"/>
    <s v="Mobile"/>
    <n v="0"/>
    <n v="1"/>
    <n v="0"/>
    <n v="9.99"/>
    <n v="0"/>
  </r>
  <r>
    <n v="4028"/>
    <s v="Other"/>
    <n v="45"/>
    <x v="7"/>
    <x v="2"/>
    <n v="42"/>
    <n v="41"/>
    <n v="0.17"/>
    <s v="Desktop"/>
    <n v="0"/>
    <n v="1"/>
    <n v="0"/>
    <n v="9.99"/>
    <n v="0"/>
  </r>
  <r>
    <n v="4029"/>
    <s v="Female"/>
    <n v="22"/>
    <x v="4"/>
    <x v="1"/>
    <n v="52"/>
    <n v="95"/>
    <n v="0.46"/>
    <s v="Mobile"/>
    <n v="0"/>
    <n v="1"/>
    <n v="0"/>
    <n v="14.99"/>
    <n v="0"/>
  </r>
  <r>
    <n v="4030"/>
    <s v="Other"/>
    <n v="35"/>
    <x v="3"/>
    <x v="0"/>
    <n v="294"/>
    <n v="97"/>
    <n v="0.57999999999999996"/>
    <s v="Web"/>
    <n v="25"/>
    <n v="0"/>
    <n v="0"/>
    <n v="0"/>
    <n v="0"/>
  </r>
  <r>
    <n v="4031"/>
    <s v="Other"/>
    <n v="46"/>
    <x v="1"/>
    <x v="0"/>
    <n v="274"/>
    <n v="48"/>
    <n v="0.15"/>
    <s v="Mobile"/>
    <n v="29"/>
    <n v="0"/>
    <n v="0"/>
    <n v="0"/>
    <n v="0"/>
  </r>
  <r>
    <n v="4032"/>
    <s v="Female"/>
    <n v="47"/>
    <x v="2"/>
    <x v="0"/>
    <n v="101"/>
    <n v="25"/>
    <n v="0.51"/>
    <s v="Desktop"/>
    <n v="19"/>
    <n v="0"/>
    <n v="0"/>
    <n v="0"/>
    <n v="0"/>
  </r>
  <r>
    <n v="4033"/>
    <s v="Female"/>
    <n v="17"/>
    <x v="3"/>
    <x v="2"/>
    <n v="225"/>
    <n v="95"/>
    <n v="0.13"/>
    <s v="Desktop"/>
    <n v="0"/>
    <n v="1"/>
    <n v="1"/>
    <n v="9.99"/>
    <n v="9.99"/>
  </r>
  <r>
    <n v="4034"/>
    <s v="Other"/>
    <n v="57"/>
    <x v="3"/>
    <x v="1"/>
    <n v="140"/>
    <n v="57"/>
    <n v="0.46"/>
    <s v="Desktop"/>
    <n v="0"/>
    <n v="1"/>
    <n v="0"/>
    <n v="14.99"/>
    <n v="0"/>
  </r>
  <r>
    <n v="4035"/>
    <s v="Male"/>
    <n v="33"/>
    <x v="0"/>
    <x v="2"/>
    <n v="40"/>
    <n v="26"/>
    <n v="0.02"/>
    <s v="Mobile"/>
    <n v="0"/>
    <n v="1"/>
    <n v="1"/>
    <n v="9.99"/>
    <n v="9.99"/>
  </r>
  <r>
    <n v="4036"/>
    <s v="Male"/>
    <n v="16"/>
    <x v="4"/>
    <x v="3"/>
    <n v="66"/>
    <n v="19"/>
    <n v="0.22"/>
    <s v="Mobile"/>
    <n v="0"/>
    <n v="1"/>
    <n v="1"/>
    <n v="4.99"/>
    <n v="4.99"/>
  </r>
  <r>
    <n v="4037"/>
    <s v="Other"/>
    <n v="28"/>
    <x v="2"/>
    <x v="2"/>
    <n v="48"/>
    <n v="4"/>
    <n v="0.24"/>
    <s v="Mobile"/>
    <n v="0"/>
    <n v="1"/>
    <n v="0"/>
    <n v="9.99"/>
    <n v="0"/>
  </r>
  <r>
    <n v="4038"/>
    <s v="Male"/>
    <n v="52"/>
    <x v="6"/>
    <x v="3"/>
    <n v="181"/>
    <n v="18"/>
    <n v="0.56999999999999995"/>
    <s v="Mobile"/>
    <n v="0"/>
    <n v="1"/>
    <n v="0"/>
    <n v="4.99"/>
    <n v="0"/>
  </r>
  <r>
    <n v="4039"/>
    <s v="Other"/>
    <n v="46"/>
    <x v="5"/>
    <x v="3"/>
    <n v="86"/>
    <n v="47"/>
    <n v="0.24"/>
    <s v="Web"/>
    <n v="0"/>
    <n v="1"/>
    <n v="0"/>
    <n v="4.99"/>
    <n v="0"/>
  </r>
  <r>
    <n v="4040"/>
    <s v="Male"/>
    <n v="22"/>
    <x v="0"/>
    <x v="1"/>
    <n v="50"/>
    <n v="30"/>
    <n v="0.03"/>
    <s v="Desktop"/>
    <n v="0"/>
    <n v="1"/>
    <n v="1"/>
    <n v="14.99"/>
    <n v="14.99"/>
  </r>
  <r>
    <n v="4041"/>
    <s v="Female"/>
    <n v="38"/>
    <x v="1"/>
    <x v="0"/>
    <n v="46"/>
    <n v="49"/>
    <n v="0.4"/>
    <s v="Desktop"/>
    <n v="26"/>
    <n v="0"/>
    <n v="1"/>
    <n v="0"/>
    <n v="0"/>
  </r>
  <r>
    <n v="4042"/>
    <s v="Male"/>
    <n v="39"/>
    <x v="2"/>
    <x v="2"/>
    <n v="240"/>
    <n v="54"/>
    <n v="0.06"/>
    <s v="Desktop"/>
    <n v="0"/>
    <n v="1"/>
    <n v="0"/>
    <n v="9.99"/>
    <n v="0"/>
  </r>
  <r>
    <n v="4043"/>
    <s v="Other"/>
    <n v="33"/>
    <x v="0"/>
    <x v="2"/>
    <n v="87"/>
    <n v="40"/>
    <n v="0.56999999999999995"/>
    <s v="Mobile"/>
    <n v="0"/>
    <n v="1"/>
    <n v="0"/>
    <n v="9.99"/>
    <n v="0"/>
  </r>
  <r>
    <n v="4044"/>
    <s v="Male"/>
    <n v="21"/>
    <x v="1"/>
    <x v="2"/>
    <n v="168"/>
    <n v="89"/>
    <n v="0.26"/>
    <s v="Web"/>
    <n v="0"/>
    <n v="1"/>
    <n v="0"/>
    <n v="9.99"/>
    <n v="0"/>
  </r>
  <r>
    <n v="4045"/>
    <s v="Female"/>
    <n v="45"/>
    <x v="3"/>
    <x v="1"/>
    <n v="111"/>
    <n v="26"/>
    <n v="0.49"/>
    <s v="Web"/>
    <n v="0"/>
    <n v="1"/>
    <n v="0"/>
    <n v="14.99"/>
    <n v="0"/>
  </r>
  <r>
    <n v="4046"/>
    <s v="Other"/>
    <n v="34"/>
    <x v="0"/>
    <x v="2"/>
    <n v="102"/>
    <n v="56"/>
    <n v="0.24"/>
    <s v="Desktop"/>
    <n v="0"/>
    <n v="1"/>
    <n v="0"/>
    <n v="9.99"/>
    <n v="0"/>
  </r>
  <r>
    <n v="4047"/>
    <s v="Male"/>
    <n v="33"/>
    <x v="3"/>
    <x v="3"/>
    <n v="214"/>
    <n v="80"/>
    <n v="0.18"/>
    <s v="Desktop"/>
    <n v="0"/>
    <n v="1"/>
    <n v="0"/>
    <n v="4.99"/>
    <n v="0"/>
  </r>
  <r>
    <n v="4048"/>
    <s v="Female"/>
    <n v="55"/>
    <x v="0"/>
    <x v="2"/>
    <n v="163"/>
    <n v="55"/>
    <n v="0.6"/>
    <s v="Mobile"/>
    <n v="0"/>
    <n v="1"/>
    <n v="0"/>
    <n v="9.99"/>
    <n v="0"/>
  </r>
  <r>
    <n v="4049"/>
    <s v="Other"/>
    <n v="27"/>
    <x v="0"/>
    <x v="3"/>
    <n v="160"/>
    <n v="20"/>
    <n v="0.51"/>
    <s v="Desktop"/>
    <n v="0"/>
    <n v="1"/>
    <n v="0"/>
    <n v="4.99"/>
    <n v="0"/>
  </r>
  <r>
    <n v="4050"/>
    <s v="Female"/>
    <n v="37"/>
    <x v="6"/>
    <x v="3"/>
    <n v="270"/>
    <n v="18"/>
    <n v="0.03"/>
    <s v="Web"/>
    <n v="0"/>
    <n v="1"/>
    <n v="0"/>
    <n v="4.99"/>
    <n v="0"/>
  </r>
  <r>
    <n v="4051"/>
    <s v="Other"/>
    <n v="34"/>
    <x v="3"/>
    <x v="1"/>
    <n v="74"/>
    <n v="71"/>
    <n v="0.24"/>
    <s v="Mobile"/>
    <n v="0"/>
    <n v="1"/>
    <n v="0"/>
    <n v="14.99"/>
    <n v="0"/>
  </r>
  <r>
    <n v="4052"/>
    <s v="Female"/>
    <n v="21"/>
    <x v="2"/>
    <x v="1"/>
    <n v="110"/>
    <n v="81"/>
    <n v="0.34"/>
    <s v="Mobile"/>
    <n v="0"/>
    <n v="1"/>
    <n v="1"/>
    <n v="14.99"/>
    <n v="14.99"/>
  </r>
  <r>
    <n v="4053"/>
    <s v="Other"/>
    <n v="30"/>
    <x v="1"/>
    <x v="3"/>
    <n v="260"/>
    <n v="17"/>
    <n v="0.25"/>
    <s v="Mobile"/>
    <n v="0"/>
    <n v="1"/>
    <n v="1"/>
    <n v="4.99"/>
    <n v="4.99"/>
  </r>
  <r>
    <n v="4054"/>
    <s v="Other"/>
    <n v="16"/>
    <x v="4"/>
    <x v="3"/>
    <n v="149"/>
    <n v="29"/>
    <n v="0.25"/>
    <s v="Mobile"/>
    <n v="0"/>
    <n v="1"/>
    <n v="0"/>
    <n v="4.99"/>
    <n v="0"/>
  </r>
  <r>
    <n v="4055"/>
    <s v="Male"/>
    <n v="20"/>
    <x v="1"/>
    <x v="1"/>
    <n v="151"/>
    <n v="47"/>
    <n v="0.34"/>
    <s v="Desktop"/>
    <n v="0"/>
    <n v="1"/>
    <n v="0"/>
    <n v="14.99"/>
    <n v="0"/>
  </r>
  <r>
    <n v="4056"/>
    <s v="Other"/>
    <n v="31"/>
    <x v="7"/>
    <x v="1"/>
    <n v="19"/>
    <n v="25"/>
    <n v="0.25"/>
    <s v="Desktop"/>
    <n v="0"/>
    <n v="1"/>
    <n v="0"/>
    <n v="14.99"/>
    <n v="0"/>
  </r>
  <r>
    <n v="4057"/>
    <s v="Male"/>
    <n v="18"/>
    <x v="4"/>
    <x v="2"/>
    <n v="235"/>
    <n v="86"/>
    <n v="0.56999999999999995"/>
    <s v="Desktop"/>
    <n v="0"/>
    <n v="1"/>
    <n v="0"/>
    <n v="9.99"/>
    <n v="0"/>
  </r>
  <r>
    <n v="4058"/>
    <s v="Female"/>
    <n v="22"/>
    <x v="5"/>
    <x v="2"/>
    <n v="64"/>
    <n v="53"/>
    <n v="0.28999999999999998"/>
    <s v="Web"/>
    <n v="0"/>
    <n v="1"/>
    <n v="0"/>
    <n v="9.99"/>
    <n v="0"/>
  </r>
  <r>
    <n v="4059"/>
    <s v="Male"/>
    <n v="18"/>
    <x v="3"/>
    <x v="1"/>
    <n v="131"/>
    <n v="7"/>
    <n v="0.27"/>
    <s v="Desktop"/>
    <n v="0"/>
    <n v="1"/>
    <n v="0"/>
    <n v="14.99"/>
    <n v="0"/>
  </r>
  <r>
    <n v="4060"/>
    <s v="Female"/>
    <n v="50"/>
    <x v="4"/>
    <x v="0"/>
    <n v="229"/>
    <n v="71"/>
    <n v="0.54"/>
    <s v="Desktop"/>
    <n v="32"/>
    <n v="0"/>
    <n v="1"/>
    <n v="0"/>
    <n v="0"/>
  </r>
  <r>
    <n v="4061"/>
    <s v="Male"/>
    <n v="25"/>
    <x v="7"/>
    <x v="3"/>
    <n v="101"/>
    <n v="99"/>
    <n v="0.34"/>
    <s v="Web"/>
    <n v="0"/>
    <n v="1"/>
    <n v="0"/>
    <n v="4.99"/>
    <n v="0"/>
  </r>
  <r>
    <n v="4062"/>
    <s v="Female"/>
    <n v="49"/>
    <x v="6"/>
    <x v="1"/>
    <n v="195"/>
    <n v="39"/>
    <n v="0.52"/>
    <s v="Web"/>
    <n v="0"/>
    <n v="1"/>
    <n v="1"/>
    <n v="14.99"/>
    <n v="14.99"/>
  </r>
  <r>
    <n v="4063"/>
    <s v="Male"/>
    <n v="29"/>
    <x v="3"/>
    <x v="1"/>
    <n v="118"/>
    <n v="19"/>
    <n v="0.16"/>
    <s v="Web"/>
    <n v="0"/>
    <n v="1"/>
    <n v="1"/>
    <n v="14.99"/>
    <n v="14.99"/>
  </r>
  <r>
    <n v="4064"/>
    <s v="Male"/>
    <n v="26"/>
    <x v="0"/>
    <x v="0"/>
    <n v="176"/>
    <n v="20"/>
    <n v="0.48"/>
    <s v="Desktop"/>
    <n v="47"/>
    <n v="0"/>
    <n v="1"/>
    <n v="0"/>
    <n v="0"/>
  </r>
  <r>
    <n v="4065"/>
    <s v="Male"/>
    <n v="53"/>
    <x v="4"/>
    <x v="0"/>
    <n v="31"/>
    <n v="72"/>
    <n v="0.46"/>
    <s v="Web"/>
    <n v="5"/>
    <n v="0"/>
    <n v="0"/>
    <n v="0"/>
    <n v="0"/>
  </r>
  <r>
    <n v="4066"/>
    <s v="Other"/>
    <n v="22"/>
    <x v="3"/>
    <x v="0"/>
    <n v="250"/>
    <n v="26"/>
    <n v="0.21"/>
    <s v="Mobile"/>
    <n v="28"/>
    <n v="0"/>
    <n v="0"/>
    <n v="0"/>
    <n v="0"/>
  </r>
  <r>
    <n v="4067"/>
    <s v="Other"/>
    <n v="19"/>
    <x v="5"/>
    <x v="2"/>
    <n v="228"/>
    <n v="92"/>
    <n v="0.4"/>
    <s v="Mobile"/>
    <n v="0"/>
    <n v="1"/>
    <n v="1"/>
    <n v="9.99"/>
    <n v="9.99"/>
  </r>
  <r>
    <n v="4068"/>
    <s v="Male"/>
    <n v="51"/>
    <x v="3"/>
    <x v="1"/>
    <n v="157"/>
    <n v="19"/>
    <n v="0.53"/>
    <s v="Web"/>
    <n v="0"/>
    <n v="1"/>
    <n v="0"/>
    <n v="14.99"/>
    <n v="0"/>
  </r>
  <r>
    <n v="4069"/>
    <s v="Other"/>
    <n v="42"/>
    <x v="2"/>
    <x v="1"/>
    <n v="82"/>
    <n v="27"/>
    <n v="0.57999999999999996"/>
    <s v="Desktop"/>
    <n v="0"/>
    <n v="1"/>
    <n v="1"/>
    <n v="14.99"/>
    <n v="14.99"/>
  </r>
  <r>
    <n v="4070"/>
    <s v="Other"/>
    <n v="46"/>
    <x v="2"/>
    <x v="1"/>
    <n v="154"/>
    <n v="51"/>
    <n v="0.16"/>
    <s v="Desktop"/>
    <n v="0"/>
    <n v="1"/>
    <n v="1"/>
    <n v="14.99"/>
    <n v="14.99"/>
  </r>
  <r>
    <n v="4071"/>
    <s v="Male"/>
    <n v="17"/>
    <x v="0"/>
    <x v="3"/>
    <n v="211"/>
    <n v="24"/>
    <n v="0.09"/>
    <s v="Web"/>
    <n v="0"/>
    <n v="1"/>
    <n v="1"/>
    <n v="4.99"/>
    <n v="4.99"/>
  </r>
  <r>
    <n v="4072"/>
    <s v="Other"/>
    <n v="59"/>
    <x v="1"/>
    <x v="1"/>
    <n v="65"/>
    <n v="24"/>
    <n v="0.04"/>
    <s v="Web"/>
    <n v="0"/>
    <n v="1"/>
    <n v="0"/>
    <n v="14.99"/>
    <n v="0"/>
  </r>
  <r>
    <n v="4073"/>
    <s v="Female"/>
    <n v="24"/>
    <x v="7"/>
    <x v="1"/>
    <n v="221"/>
    <n v="65"/>
    <n v="0.5"/>
    <s v="Desktop"/>
    <n v="0"/>
    <n v="1"/>
    <n v="1"/>
    <n v="14.99"/>
    <n v="14.99"/>
  </r>
  <r>
    <n v="4074"/>
    <s v="Female"/>
    <n v="51"/>
    <x v="5"/>
    <x v="2"/>
    <n v="283"/>
    <n v="16"/>
    <n v="0.27"/>
    <s v="Mobile"/>
    <n v="0"/>
    <n v="1"/>
    <n v="0"/>
    <n v="9.99"/>
    <n v="0"/>
  </r>
  <r>
    <n v="4075"/>
    <s v="Female"/>
    <n v="27"/>
    <x v="0"/>
    <x v="3"/>
    <n v="147"/>
    <n v="78"/>
    <n v="0.15"/>
    <s v="Web"/>
    <n v="0"/>
    <n v="1"/>
    <n v="0"/>
    <n v="4.99"/>
    <n v="0"/>
  </r>
  <r>
    <n v="4076"/>
    <s v="Female"/>
    <n v="32"/>
    <x v="3"/>
    <x v="3"/>
    <n v="279"/>
    <n v="78"/>
    <n v="0.42"/>
    <s v="Web"/>
    <n v="0"/>
    <n v="1"/>
    <n v="0"/>
    <n v="4.99"/>
    <n v="0"/>
  </r>
  <r>
    <n v="4077"/>
    <s v="Other"/>
    <n v="30"/>
    <x v="7"/>
    <x v="1"/>
    <n v="134"/>
    <n v="71"/>
    <n v="0.05"/>
    <s v="Desktop"/>
    <n v="0"/>
    <n v="1"/>
    <n v="0"/>
    <n v="14.99"/>
    <n v="0"/>
  </r>
  <r>
    <n v="4078"/>
    <s v="Male"/>
    <n v="24"/>
    <x v="7"/>
    <x v="0"/>
    <n v="73"/>
    <n v="18"/>
    <n v="0.55000000000000004"/>
    <s v="Desktop"/>
    <n v="33"/>
    <n v="0"/>
    <n v="0"/>
    <n v="0"/>
    <n v="0"/>
  </r>
  <r>
    <n v="4079"/>
    <s v="Female"/>
    <n v="22"/>
    <x v="5"/>
    <x v="3"/>
    <n v="239"/>
    <n v="32"/>
    <n v="0.35"/>
    <s v="Web"/>
    <n v="0"/>
    <n v="1"/>
    <n v="0"/>
    <n v="4.99"/>
    <n v="0"/>
  </r>
  <r>
    <n v="4080"/>
    <s v="Other"/>
    <n v="28"/>
    <x v="7"/>
    <x v="0"/>
    <n v="64"/>
    <n v="97"/>
    <n v="0.13"/>
    <s v="Desktop"/>
    <n v="45"/>
    <n v="0"/>
    <n v="0"/>
    <n v="0"/>
    <n v="0"/>
  </r>
  <r>
    <n v="4081"/>
    <s v="Other"/>
    <n v="17"/>
    <x v="6"/>
    <x v="0"/>
    <n v="113"/>
    <n v="76"/>
    <n v="0.13"/>
    <s v="Mobile"/>
    <n v="39"/>
    <n v="0"/>
    <n v="1"/>
    <n v="0"/>
    <n v="0"/>
  </r>
  <r>
    <n v="4082"/>
    <s v="Male"/>
    <n v="43"/>
    <x v="5"/>
    <x v="2"/>
    <n v="61"/>
    <n v="51"/>
    <n v="0.48"/>
    <s v="Desktop"/>
    <n v="0"/>
    <n v="1"/>
    <n v="0"/>
    <n v="9.99"/>
    <n v="0"/>
  </r>
  <r>
    <n v="4083"/>
    <s v="Male"/>
    <n v="36"/>
    <x v="1"/>
    <x v="0"/>
    <n v="173"/>
    <n v="29"/>
    <n v="0.1"/>
    <s v="Desktop"/>
    <n v="39"/>
    <n v="0"/>
    <n v="0"/>
    <n v="0"/>
    <n v="0"/>
  </r>
  <r>
    <n v="4084"/>
    <s v="Male"/>
    <n v="20"/>
    <x v="7"/>
    <x v="2"/>
    <n v="239"/>
    <n v="42"/>
    <n v="0.56999999999999995"/>
    <s v="Desktop"/>
    <n v="0"/>
    <n v="1"/>
    <n v="1"/>
    <n v="9.99"/>
    <n v="9.99"/>
  </r>
  <r>
    <n v="4085"/>
    <s v="Male"/>
    <n v="43"/>
    <x v="1"/>
    <x v="1"/>
    <n v="108"/>
    <n v="53"/>
    <n v="0.03"/>
    <s v="Desktop"/>
    <n v="0"/>
    <n v="1"/>
    <n v="1"/>
    <n v="14.99"/>
    <n v="14.99"/>
  </r>
  <r>
    <n v="4086"/>
    <s v="Other"/>
    <n v="28"/>
    <x v="4"/>
    <x v="3"/>
    <n v="276"/>
    <n v="85"/>
    <n v="0.51"/>
    <s v="Desktop"/>
    <n v="0"/>
    <n v="1"/>
    <n v="0"/>
    <n v="4.99"/>
    <n v="0"/>
  </r>
  <r>
    <n v="4087"/>
    <s v="Female"/>
    <n v="26"/>
    <x v="0"/>
    <x v="0"/>
    <n v="41"/>
    <n v="49"/>
    <n v="0.46"/>
    <s v="Desktop"/>
    <n v="24"/>
    <n v="0"/>
    <n v="0"/>
    <n v="0"/>
    <n v="0"/>
  </r>
  <r>
    <n v="4088"/>
    <s v="Female"/>
    <n v="20"/>
    <x v="4"/>
    <x v="0"/>
    <n v="233"/>
    <n v="90"/>
    <n v="0.4"/>
    <s v="Desktop"/>
    <n v="47"/>
    <n v="0"/>
    <n v="0"/>
    <n v="0"/>
    <n v="0"/>
  </r>
  <r>
    <n v="4089"/>
    <s v="Male"/>
    <n v="38"/>
    <x v="2"/>
    <x v="2"/>
    <n v="247"/>
    <n v="15"/>
    <n v="0.26"/>
    <s v="Mobile"/>
    <n v="0"/>
    <n v="1"/>
    <n v="0"/>
    <n v="9.99"/>
    <n v="0"/>
  </r>
  <r>
    <n v="4090"/>
    <s v="Other"/>
    <n v="50"/>
    <x v="0"/>
    <x v="1"/>
    <n v="257"/>
    <n v="82"/>
    <n v="0.04"/>
    <s v="Desktop"/>
    <n v="0"/>
    <n v="1"/>
    <n v="0"/>
    <n v="14.99"/>
    <n v="0"/>
  </r>
  <r>
    <n v="4091"/>
    <s v="Other"/>
    <n v="32"/>
    <x v="2"/>
    <x v="0"/>
    <n v="233"/>
    <n v="46"/>
    <n v="0.22"/>
    <s v="Web"/>
    <n v="32"/>
    <n v="0"/>
    <n v="0"/>
    <n v="0"/>
    <n v="0"/>
  </r>
  <r>
    <n v="4092"/>
    <s v="Female"/>
    <n v="37"/>
    <x v="0"/>
    <x v="2"/>
    <n v="278"/>
    <n v="19"/>
    <n v="0.57999999999999996"/>
    <s v="Desktop"/>
    <n v="0"/>
    <n v="1"/>
    <n v="0"/>
    <n v="9.99"/>
    <n v="0"/>
  </r>
  <r>
    <n v="4093"/>
    <s v="Female"/>
    <n v="35"/>
    <x v="1"/>
    <x v="2"/>
    <n v="184"/>
    <n v="64"/>
    <n v="0.24"/>
    <s v="Desktop"/>
    <n v="0"/>
    <n v="1"/>
    <n v="0"/>
    <n v="9.99"/>
    <n v="0"/>
  </r>
  <r>
    <n v="4094"/>
    <s v="Male"/>
    <n v="40"/>
    <x v="2"/>
    <x v="0"/>
    <n v="121"/>
    <n v="2"/>
    <n v="0.53"/>
    <s v="Desktop"/>
    <n v="38"/>
    <n v="0"/>
    <n v="0"/>
    <n v="0"/>
    <n v="0"/>
  </r>
  <r>
    <n v="4095"/>
    <s v="Male"/>
    <n v="33"/>
    <x v="4"/>
    <x v="1"/>
    <n v="44"/>
    <n v="71"/>
    <n v="0.48"/>
    <s v="Desktop"/>
    <n v="0"/>
    <n v="1"/>
    <n v="1"/>
    <n v="14.99"/>
    <n v="14.99"/>
  </r>
  <r>
    <n v="4096"/>
    <s v="Other"/>
    <n v="34"/>
    <x v="1"/>
    <x v="3"/>
    <n v="147"/>
    <n v="59"/>
    <n v="0.15"/>
    <s v="Mobile"/>
    <n v="0"/>
    <n v="1"/>
    <n v="1"/>
    <n v="4.99"/>
    <n v="4.99"/>
  </r>
  <r>
    <n v="4097"/>
    <s v="Other"/>
    <n v="38"/>
    <x v="1"/>
    <x v="2"/>
    <n v="165"/>
    <n v="39"/>
    <n v="0.55000000000000004"/>
    <s v="Web"/>
    <n v="0"/>
    <n v="1"/>
    <n v="1"/>
    <n v="9.99"/>
    <n v="9.99"/>
  </r>
  <r>
    <n v="4098"/>
    <s v="Female"/>
    <n v="27"/>
    <x v="1"/>
    <x v="1"/>
    <n v="38"/>
    <n v="25"/>
    <n v="0.55000000000000004"/>
    <s v="Mobile"/>
    <n v="0"/>
    <n v="1"/>
    <n v="0"/>
    <n v="14.99"/>
    <n v="0"/>
  </r>
  <r>
    <n v="4099"/>
    <s v="Other"/>
    <n v="58"/>
    <x v="1"/>
    <x v="3"/>
    <n v="11"/>
    <n v="71"/>
    <n v="0.56000000000000005"/>
    <s v="Desktop"/>
    <n v="0"/>
    <n v="1"/>
    <n v="0"/>
    <n v="4.99"/>
    <n v="0"/>
  </r>
  <r>
    <n v="4100"/>
    <s v="Male"/>
    <n v="19"/>
    <x v="5"/>
    <x v="0"/>
    <n v="87"/>
    <n v="66"/>
    <n v="0.43"/>
    <s v="Web"/>
    <n v="34"/>
    <n v="0"/>
    <n v="0"/>
    <n v="0"/>
    <n v="0"/>
  </r>
  <r>
    <n v="4101"/>
    <s v="Other"/>
    <n v="19"/>
    <x v="5"/>
    <x v="2"/>
    <n v="63"/>
    <n v="61"/>
    <n v="0.1"/>
    <s v="Desktop"/>
    <n v="0"/>
    <n v="1"/>
    <n v="0"/>
    <n v="9.99"/>
    <n v="0"/>
  </r>
  <r>
    <n v="4102"/>
    <s v="Female"/>
    <n v="25"/>
    <x v="6"/>
    <x v="3"/>
    <n v="241"/>
    <n v="18"/>
    <n v="0.14000000000000001"/>
    <s v="Desktop"/>
    <n v="0"/>
    <n v="1"/>
    <n v="0"/>
    <n v="4.99"/>
    <n v="0"/>
  </r>
  <r>
    <n v="4103"/>
    <s v="Female"/>
    <n v="56"/>
    <x v="5"/>
    <x v="3"/>
    <n v="92"/>
    <n v="47"/>
    <n v="0.17"/>
    <s v="Desktop"/>
    <n v="0"/>
    <n v="1"/>
    <n v="1"/>
    <n v="4.99"/>
    <n v="4.99"/>
  </r>
  <r>
    <n v="4104"/>
    <s v="Female"/>
    <n v="25"/>
    <x v="7"/>
    <x v="0"/>
    <n v="262"/>
    <n v="9"/>
    <n v="0.02"/>
    <s v="Mobile"/>
    <n v="35"/>
    <n v="0"/>
    <n v="0"/>
    <n v="0"/>
    <n v="0"/>
  </r>
  <r>
    <n v="4105"/>
    <s v="Other"/>
    <n v="51"/>
    <x v="1"/>
    <x v="1"/>
    <n v="253"/>
    <n v="1"/>
    <n v="0.01"/>
    <s v="Desktop"/>
    <n v="0"/>
    <n v="1"/>
    <n v="0"/>
    <n v="14.99"/>
    <n v="0"/>
  </r>
  <r>
    <n v="4106"/>
    <s v="Other"/>
    <n v="17"/>
    <x v="0"/>
    <x v="0"/>
    <n v="270"/>
    <n v="27"/>
    <n v="0.43"/>
    <s v="Mobile"/>
    <n v="44"/>
    <n v="0"/>
    <n v="0"/>
    <n v="0"/>
    <n v="0"/>
  </r>
  <r>
    <n v="4107"/>
    <s v="Other"/>
    <n v="16"/>
    <x v="3"/>
    <x v="0"/>
    <n v="248"/>
    <n v="60"/>
    <n v="0.09"/>
    <s v="Desktop"/>
    <n v="32"/>
    <n v="0"/>
    <n v="0"/>
    <n v="0"/>
    <n v="0"/>
  </r>
  <r>
    <n v="4108"/>
    <s v="Male"/>
    <n v="48"/>
    <x v="0"/>
    <x v="1"/>
    <n v="156"/>
    <n v="5"/>
    <n v="0.16"/>
    <s v="Mobile"/>
    <n v="0"/>
    <n v="1"/>
    <n v="0"/>
    <n v="14.99"/>
    <n v="0"/>
  </r>
  <r>
    <n v="4109"/>
    <s v="Female"/>
    <n v="59"/>
    <x v="6"/>
    <x v="0"/>
    <n v="225"/>
    <n v="77"/>
    <n v="0.55000000000000004"/>
    <s v="Mobile"/>
    <n v="27"/>
    <n v="0"/>
    <n v="0"/>
    <n v="0"/>
    <n v="0"/>
  </r>
  <r>
    <n v="4110"/>
    <s v="Male"/>
    <n v="39"/>
    <x v="4"/>
    <x v="3"/>
    <n v="84"/>
    <n v="41"/>
    <n v="0.45"/>
    <s v="Mobile"/>
    <n v="0"/>
    <n v="1"/>
    <n v="0"/>
    <n v="4.99"/>
    <n v="0"/>
  </r>
  <r>
    <n v="4111"/>
    <s v="Other"/>
    <n v="20"/>
    <x v="0"/>
    <x v="2"/>
    <n v="215"/>
    <n v="68"/>
    <n v="0.4"/>
    <s v="Web"/>
    <n v="0"/>
    <n v="1"/>
    <n v="0"/>
    <n v="9.99"/>
    <n v="0"/>
  </r>
  <r>
    <n v="4112"/>
    <s v="Male"/>
    <n v="39"/>
    <x v="4"/>
    <x v="3"/>
    <n v="180"/>
    <n v="32"/>
    <n v="0.23"/>
    <s v="Desktop"/>
    <n v="0"/>
    <n v="1"/>
    <n v="0"/>
    <n v="4.99"/>
    <n v="0"/>
  </r>
  <r>
    <n v="4113"/>
    <s v="Other"/>
    <n v="24"/>
    <x v="3"/>
    <x v="2"/>
    <n v="88"/>
    <n v="55"/>
    <n v="0.47"/>
    <s v="Web"/>
    <n v="0"/>
    <n v="1"/>
    <n v="0"/>
    <n v="9.99"/>
    <n v="0"/>
  </r>
  <r>
    <n v="4114"/>
    <s v="Male"/>
    <n v="34"/>
    <x v="0"/>
    <x v="3"/>
    <n v="157"/>
    <n v="83"/>
    <n v="0.05"/>
    <s v="Mobile"/>
    <n v="0"/>
    <n v="1"/>
    <n v="0"/>
    <n v="4.99"/>
    <n v="0"/>
  </r>
  <r>
    <n v="4115"/>
    <s v="Male"/>
    <n v="38"/>
    <x v="3"/>
    <x v="2"/>
    <n v="156"/>
    <n v="92"/>
    <n v="0.11"/>
    <s v="Desktop"/>
    <n v="0"/>
    <n v="1"/>
    <n v="1"/>
    <n v="9.99"/>
    <n v="9.99"/>
  </r>
  <r>
    <n v="4116"/>
    <s v="Female"/>
    <n v="52"/>
    <x v="7"/>
    <x v="0"/>
    <n v="250"/>
    <n v="70"/>
    <n v="0.48"/>
    <s v="Web"/>
    <n v="43"/>
    <n v="0"/>
    <n v="1"/>
    <n v="0"/>
    <n v="0"/>
  </r>
  <r>
    <n v="4117"/>
    <s v="Female"/>
    <n v="21"/>
    <x v="5"/>
    <x v="3"/>
    <n v="143"/>
    <n v="40"/>
    <n v="0.17"/>
    <s v="Desktop"/>
    <n v="0"/>
    <n v="1"/>
    <n v="0"/>
    <n v="4.99"/>
    <n v="0"/>
  </r>
  <r>
    <n v="4118"/>
    <s v="Other"/>
    <n v="44"/>
    <x v="2"/>
    <x v="1"/>
    <n v="39"/>
    <n v="8"/>
    <n v="0.56000000000000005"/>
    <s v="Desktop"/>
    <n v="0"/>
    <n v="1"/>
    <n v="1"/>
    <n v="14.99"/>
    <n v="14.99"/>
  </r>
  <r>
    <n v="4119"/>
    <s v="Other"/>
    <n v="17"/>
    <x v="3"/>
    <x v="2"/>
    <n v="273"/>
    <n v="32"/>
    <n v="0.21"/>
    <s v="Web"/>
    <n v="0"/>
    <n v="1"/>
    <n v="0"/>
    <n v="9.99"/>
    <n v="0"/>
  </r>
  <r>
    <n v="4120"/>
    <s v="Male"/>
    <n v="43"/>
    <x v="2"/>
    <x v="2"/>
    <n v="250"/>
    <n v="8"/>
    <n v="0.39"/>
    <s v="Mobile"/>
    <n v="0"/>
    <n v="1"/>
    <n v="0"/>
    <n v="9.99"/>
    <n v="0"/>
  </r>
  <r>
    <n v="4121"/>
    <s v="Female"/>
    <n v="30"/>
    <x v="1"/>
    <x v="1"/>
    <n v="159"/>
    <n v="18"/>
    <n v="0.5"/>
    <s v="Mobile"/>
    <n v="0"/>
    <n v="1"/>
    <n v="0"/>
    <n v="14.99"/>
    <n v="0"/>
  </r>
  <r>
    <n v="4122"/>
    <s v="Male"/>
    <n v="20"/>
    <x v="5"/>
    <x v="3"/>
    <n v="237"/>
    <n v="27"/>
    <n v="0.42"/>
    <s v="Web"/>
    <n v="0"/>
    <n v="1"/>
    <n v="0"/>
    <n v="4.99"/>
    <n v="0"/>
  </r>
  <r>
    <n v="4123"/>
    <s v="Other"/>
    <n v="47"/>
    <x v="2"/>
    <x v="3"/>
    <n v="55"/>
    <n v="73"/>
    <n v="0.41"/>
    <s v="Desktop"/>
    <n v="0"/>
    <n v="1"/>
    <n v="1"/>
    <n v="4.99"/>
    <n v="4.99"/>
  </r>
  <r>
    <n v="4124"/>
    <s v="Male"/>
    <n v="55"/>
    <x v="2"/>
    <x v="0"/>
    <n v="79"/>
    <n v="55"/>
    <n v="0.1"/>
    <s v="Mobile"/>
    <n v="47"/>
    <n v="0"/>
    <n v="0"/>
    <n v="0"/>
    <n v="0"/>
  </r>
  <r>
    <n v="4125"/>
    <s v="Female"/>
    <n v="34"/>
    <x v="7"/>
    <x v="3"/>
    <n v="272"/>
    <n v="48"/>
    <n v="0.5"/>
    <s v="Mobile"/>
    <n v="0"/>
    <n v="1"/>
    <n v="0"/>
    <n v="4.99"/>
    <n v="0"/>
  </r>
  <r>
    <n v="4126"/>
    <s v="Other"/>
    <n v="18"/>
    <x v="3"/>
    <x v="1"/>
    <n v="70"/>
    <n v="51"/>
    <n v="0.4"/>
    <s v="Desktop"/>
    <n v="0"/>
    <n v="1"/>
    <n v="0"/>
    <n v="14.99"/>
    <n v="0"/>
  </r>
  <r>
    <n v="4127"/>
    <s v="Male"/>
    <n v="42"/>
    <x v="1"/>
    <x v="0"/>
    <n v="234"/>
    <n v="16"/>
    <n v="0.13"/>
    <s v="Mobile"/>
    <n v="16"/>
    <n v="0"/>
    <n v="0"/>
    <n v="0"/>
    <n v="0"/>
  </r>
  <r>
    <n v="4128"/>
    <s v="Male"/>
    <n v="39"/>
    <x v="2"/>
    <x v="0"/>
    <n v="195"/>
    <n v="82"/>
    <n v="0.56999999999999995"/>
    <s v="Mobile"/>
    <n v="44"/>
    <n v="0"/>
    <n v="0"/>
    <n v="0"/>
    <n v="0"/>
  </r>
  <r>
    <n v="4129"/>
    <s v="Female"/>
    <n v="20"/>
    <x v="0"/>
    <x v="3"/>
    <n v="28"/>
    <n v="88"/>
    <n v="0.19"/>
    <s v="Mobile"/>
    <n v="0"/>
    <n v="1"/>
    <n v="0"/>
    <n v="4.99"/>
    <n v="0"/>
  </r>
  <r>
    <n v="4130"/>
    <s v="Male"/>
    <n v="39"/>
    <x v="4"/>
    <x v="3"/>
    <n v="38"/>
    <n v="28"/>
    <n v="0.02"/>
    <s v="Desktop"/>
    <n v="0"/>
    <n v="1"/>
    <n v="0"/>
    <n v="4.99"/>
    <n v="0"/>
  </r>
  <r>
    <n v="4131"/>
    <s v="Male"/>
    <n v="49"/>
    <x v="2"/>
    <x v="1"/>
    <n v="177"/>
    <n v="24"/>
    <n v="0.03"/>
    <s v="Mobile"/>
    <n v="0"/>
    <n v="1"/>
    <n v="1"/>
    <n v="14.99"/>
    <n v="14.99"/>
  </r>
  <r>
    <n v="4132"/>
    <s v="Other"/>
    <n v="17"/>
    <x v="6"/>
    <x v="3"/>
    <n v="290"/>
    <n v="88"/>
    <n v="0.57999999999999996"/>
    <s v="Desktop"/>
    <n v="0"/>
    <n v="1"/>
    <n v="0"/>
    <n v="4.99"/>
    <n v="0"/>
  </r>
  <r>
    <n v="4133"/>
    <s v="Other"/>
    <n v="30"/>
    <x v="4"/>
    <x v="0"/>
    <n v="243"/>
    <n v="14"/>
    <n v="0"/>
    <s v="Web"/>
    <n v="25"/>
    <n v="0"/>
    <n v="0"/>
    <n v="0"/>
    <n v="0"/>
  </r>
  <r>
    <n v="4134"/>
    <s v="Male"/>
    <n v="29"/>
    <x v="7"/>
    <x v="3"/>
    <n v="28"/>
    <n v="22"/>
    <n v="0.6"/>
    <s v="Mobile"/>
    <n v="0"/>
    <n v="1"/>
    <n v="0"/>
    <n v="4.99"/>
    <n v="0"/>
  </r>
  <r>
    <n v="4135"/>
    <s v="Female"/>
    <n v="27"/>
    <x v="4"/>
    <x v="1"/>
    <n v="45"/>
    <n v="9"/>
    <n v="0.21"/>
    <s v="Mobile"/>
    <n v="0"/>
    <n v="1"/>
    <n v="0"/>
    <n v="14.99"/>
    <n v="0"/>
  </r>
  <r>
    <n v="4136"/>
    <s v="Female"/>
    <n v="24"/>
    <x v="2"/>
    <x v="0"/>
    <n v="279"/>
    <n v="37"/>
    <n v="0.16"/>
    <s v="Desktop"/>
    <n v="36"/>
    <n v="0"/>
    <n v="0"/>
    <n v="0"/>
    <n v="0"/>
  </r>
  <r>
    <n v="4137"/>
    <s v="Other"/>
    <n v="35"/>
    <x v="3"/>
    <x v="3"/>
    <n v="164"/>
    <n v="60"/>
    <n v="0.49"/>
    <s v="Desktop"/>
    <n v="0"/>
    <n v="1"/>
    <n v="1"/>
    <n v="4.99"/>
    <n v="4.99"/>
  </r>
  <r>
    <n v="4138"/>
    <s v="Male"/>
    <n v="31"/>
    <x v="6"/>
    <x v="1"/>
    <n v="207"/>
    <n v="39"/>
    <n v="0.28000000000000003"/>
    <s v="Web"/>
    <n v="0"/>
    <n v="1"/>
    <n v="0"/>
    <n v="14.99"/>
    <n v="0"/>
  </r>
  <r>
    <n v="4139"/>
    <s v="Male"/>
    <n v="37"/>
    <x v="0"/>
    <x v="3"/>
    <n v="56"/>
    <n v="10"/>
    <n v="0.02"/>
    <s v="Web"/>
    <n v="0"/>
    <n v="1"/>
    <n v="0"/>
    <n v="4.99"/>
    <n v="0"/>
  </r>
  <r>
    <n v="4140"/>
    <s v="Male"/>
    <n v="23"/>
    <x v="4"/>
    <x v="2"/>
    <n v="268"/>
    <n v="56"/>
    <n v="0.53"/>
    <s v="Mobile"/>
    <n v="0"/>
    <n v="1"/>
    <n v="0"/>
    <n v="9.99"/>
    <n v="0"/>
  </r>
  <r>
    <n v="4141"/>
    <s v="Female"/>
    <n v="50"/>
    <x v="7"/>
    <x v="1"/>
    <n v="67"/>
    <n v="76"/>
    <n v="0.27"/>
    <s v="Web"/>
    <n v="0"/>
    <n v="1"/>
    <n v="1"/>
    <n v="14.99"/>
    <n v="14.99"/>
  </r>
  <r>
    <n v="4142"/>
    <s v="Male"/>
    <n v="34"/>
    <x v="5"/>
    <x v="0"/>
    <n v="114"/>
    <n v="41"/>
    <n v="0.05"/>
    <s v="Desktop"/>
    <n v="36"/>
    <n v="0"/>
    <n v="0"/>
    <n v="0"/>
    <n v="0"/>
  </r>
  <r>
    <n v="4143"/>
    <s v="Male"/>
    <n v="32"/>
    <x v="5"/>
    <x v="0"/>
    <n v="270"/>
    <n v="34"/>
    <n v="0.51"/>
    <s v="Desktop"/>
    <n v="30"/>
    <n v="0"/>
    <n v="0"/>
    <n v="0"/>
    <n v="0"/>
  </r>
  <r>
    <n v="4144"/>
    <s v="Female"/>
    <n v="25"/>
    <x v="2"/>
    <x v="3"/>
    <n v="199"/>
    <n v="90"/>
    <n v="0.51"/>
    <s v="Mobile"/>
    <n v="0"/>
    <n v="1"/>
    <n v="1"/>
    <n v="4.99"/>
    <n v="4.99"/>
  </r>
  <r>
    <n v="4145"/>
    <s v="Female"/>
    <n v="32"/>
    <x v="7"/>
    <x v="1"/>
    <n v="182"/>
    <n v="12"/>
    <n v="0.54"/>
    <s v="Web"/>
    <n v="0"/>
    <n v="1"/>
    <n v="0"/>
    <n v="14.99"/>
    <n v="0"/>
  </r>
  <r>
    <n v="4146"/>
    <s v="Male"/>
    <n v="51"/>
    <x v="5"/>
    <x v="1"/>
    <n v="203"/>
    <n v="84"/>
    <n v="0.53"/>
    <s v="Web"/>
    <n v="0"/>
    <n v="1"/>
    <n v="0"/>
    <n v="14.99"/>
    <n v="0"/>
  </r>
  <r>
    <n v="4147"/>
    <s v="Male"/>
    <n v="33"/>
    <x v="4"/>
    <x v="3"/>
    <n v="149"/>
    <n v="84"/>
    <n v="0.01"/>
    <s v="Web"/>
    <n v="0"/>
    <n v="1"/>
    <n v="0"/>
    <n v="4.99"/>
    <n v="0"/>
  </r>
  <r>
    <n v="4148"/>
    <s v="Female"/>
    <n v="48"/>
    <x v="7"/>
    <x v="0"/>
    <n v="118"/>
    <n v="41"/>
    <n v="0.44"/>
    <s v="Mobile"/>
    <n v="7"/>
    <n v="0"/>
    <n v="0"/>
    <n v="0"/>
    <n v="0"/>
  </r>
  <r>
    <n v="4149"/>
    <s v="Other"/>
    <n v="24"/>
    <x v="3"/>
    <x v="2"/>
    <n v="182"/>
    <n v="59"/>
    <n v="0.34"/>
    <s v="Mobile"/>
    <n v="0"/>
    <n v="1"/>
    <n v="0"/>
    <n v="9.99"/>
    <n v="0"/>
  </r>
  <r>
    <n v="4150"/>
    <s v="Male"/>
    <n v="43"/>
    <x v="6"/>
    <x v="3"/>
    <n v="212"/>
    <n v="42"/>
    <n v="0.48"/>
    <s v="Mobile"/>
    <n v="0"/>
    <n v="1"/>
    <n v="0"/>
    <n v="4.99"/>
    <n v="0"/>
  </r>
  <r>
    <n v="4151"/>
    <s v="Female"/>
    <n v="25"/>
    <x v="5"/>
    <x v="2"/>
    <n v="11"/>
    <n v="51"/>
    <n v="0.21"/>
    <s v="Desktop"/>
    <n v="0"/>
    <n v="1"/>
    <n v="0"/>
    <n v="9.99"/>
    <n v="0"/>
  </r>
  <r>
    <n v="4152"/>
    <s v="Other"/>
    <n v="59"/>
    <x v="1"/>
    <x v="1"/>
    <n v="35"/>
    <n v="27"/>
    <n v="0.28999999999999998"/>
    <s v="Desktop"/>
    <n v="0"/>
    <n v="1"/>
    <n v="0"/>
    <n v="14.99"/>
    <n v="0"/>
  </r>
  <r>
    <n v="4153"/>
    <s v="Male"/>
    <n v="19"/>
    <x v="0"/>
    <x v="3"/>
    <n v="241"/>
    <n v="91"/>
    <n v="0.51"/>
    <s v="Web"/>
    <n v="0"/>
    <n v="1"/>
    <n v="0"/>
    <n v="4.99"/>
    <n v="0"/>
  </r>
  <r>
    <n v="4154"/>
    <s v="Male"/>
    <n v="38"/>
    <x v="6"/>
    <x v="1"/>
    <n v="20"/>
    <n v="49"/>
    <n v="0.06"/>
    <s v="Mobile"/>
    <n v="0"/>
    <n v="1"/>
    <n v="0"/>
    <n v="14.99"/>
    <n v="0"/>
  </r>
  <r>
    <n v="4155"/>
    <s v="Female"/>
    <n v="48"/>
    <x v="7"/>
    <x v="0"/>
    <n v="140"/>
    <n v="66"/>
    <n v="0.59"/>
    <s v="Web"/>
    <n v="25"/>
    <n v="0"/>
    <n v="0"/>
    <n v="0"/>
    <n v="0"/>
  </r>
  <r>
    <n v="4156"/>
    <s v="Female"/>
    <n v="30"/>
    <x v="6"/>
    <x v="3"/>
    <n v="233"/>
    <n v="95"/>
    <n v="0.36"/>
    <s v="Desktop"/>
    <n v="0"/>
    <n v="1"/>
    <n v="1"/>
    <n v="4.99"/>
    <n v="4.99"/>
  </r>
  <r>
    <n v="4157"/>
    <s v="Male"/>
    <n v="52"/>
    <x v="2"/>
    <x v="3"/>
    <n v="187"/>
    <n v="30"/>
    <n v="0.28999999999999998"/>
    <s v="Desktop"/>
    <n v="0"/>
    <n v="1"/>
    <n v="0"/>
    <n v="4.99"/>
    <n v="0"/>
  </r>
  <r>
    <n v="4158"/>
    <s v="Female"/>
    <n v="51"/>
    <x v="4"/>
    <x v="1"/>
    <n v="62"/>
    <n v="36"/>
    <n v="0.38"/>
    <s v="Mobile"/>
    <n v="0"/>
    <n v="1"/>
    <n v="1"/>
    <n v="14.99"/>
    <n v="14.99"/>
  </r>
  <r>
    <n v="4159"/>
    <s v="Female"/>
    <n v="49"/>
    <x v="3"/>
    <x v="0"/>
    <n v="272"/>
    <n v="75"/>
    <n v="0.53"/>
    <s v="Mobile"/>
    <n v="48"/>
    <n v="0"/>
    <n v="0"/>
    <n v="0"/>
    <n v="0"/>
  </r>
  <r>
    <n v="4160"/>
    <s v="Other"/>
    <n v="18"/>
    <x v="0"/>
    <x v="0"/>
    <n v="195"/>
    <n v="37"/>
    <n v="0.26"/>
    <s v="Mobile"/>
    <n v="47"/>
    <n v="0"/>
    <n v="0"/>
    <n v="0"/>
    <n v="0"/>
  </r>
  <r>
    <n v="4161"/>
    <s v="Male"/>
    <n v="42"/>
    <x v="2"/>
    <x v="2"/>
    <n v="210"/>
    <n v="13"/>
    <n v="0.32"/>
    <s v="Web"/>
    <n v="0"/>
    <n v="1"/>
    <n v="0"/>
    <n v="9.99"/>
    <n v="0"/>
  </r>
  <r>
    <n v="4162"/>
    <s v="Male"/>
    <n v="38"/>
    <x v="2"/>
    <x v="1"/>
    <n v="226"/>
    <n v="44"/>
    <n v="0.26"/>
    <s v="Mobile"/>
    <n v="0"/>
    <n v="1"/>
    <n v="0"/>
    <n v="14.99"/>
    <n v="0"/>
  </r>
  <r>
    <n v="4163"/>
    <s v="Other"/>
    <n v="24"/>
    <x v="1"/>
    <x v="1"/>
    <n v="71"/>
    <n v="1"/>
    <n v="0.28000000000000003"/>
    <s v="Desktop"/>
    <n v="0"/>
    <n v="1"/>
    <n v="1"/>
    <n v="14.99"/>
    <n v="14.99"/>
  </r>
  <r>
    <n v="4164"/>
    <s v="Female"/>
    <n v="36"/>
    <x v="2"/>
    <x v="0"/>
    <n v="243"/>
    <n v="73"/>
    <n v="0.2"/>
    <s v="Web"/>
    <n v="31"/>
    <n v="0"/>
    <n v="0"/>
    <n v="0"/>
    <n v="0"/>
  </r>
  <r>
    <n v="4165"/>
    <s v="Male"/>
    <n v="16"/>
    <x v="7"/>
    <x v="2"/>
    <n v="131"/>
    <n v="28"/>
    <n v="0.31"/>
    <s v="Web"/>
    <n v="0"/>
    <n v="1"/>
    <n v="1"/>
    <n v="9.99"/>
    <n v="9.99"/>
  </r>
  <r>
    <n v="4166"/>
    <s v="Female"/>
    <n v="54"/>
    <x v="2"/>
    <x v="0"/>
    <n v="112"/>
    <n v="77"/>
    <n v="0.32"/>
    <s v="Desktop"/>
    <n v="15"/>
    <n v="0"/>
    <n v="0"/>
    <n v="0"/>
    <n v="0"/>
  </r>
  <r>
    <n v="4167"/>
    <s v="Female"/>
    <n v="40"/>
    <x v="7"/>
    <x v="3"/>
    <n v="190"/>
    <n v="81"/>
    <n v="0.09"/>
    <s v="Desktop"/>
    <n v="0"/>
    <n v="1"/>
    <n v="0"/>
    <n v="4.99"/>
    <n v="0"/>
  </r>
  <r>
    <n v="4168"/>
    <s v="Other"/>
    <n v="46"/>
    <x v="3"/>
    <x v="2"/>
    <n v="171"/>
    <n v="91"/>
    <n v="0.14000000000000001"/>
    <s v="Web"/>
    <n v="0"/>
    <n v="1"/>
    <n v="0"/>
    <n v="9.99"/>
    <n v="0"/>
  </r>
  <r>
    <n v="4169"/>
    <s v="Female"/>
    <n v="31"/>
    <x v="5"/>
    <x v="1"/>
    <n v="20"/>
    <n v="47"/>
    <n v="0.12"/>
    <s v="Mobile"/>
    <n v="0"/>
    <n v="1"/>
    <n v="0"/>
    <n v="14.99"/>
    <n v="0"/>
  </r>
  <r>
    <n v="4170"/>
    <s v="Female"/>
    <n v="42"/>
    <x v="4"/>
    <x v="3"/>
    <n v="256"/>
    <n v="49"/>
    <n v="0.12"/>
    <s v="Mobile"/>
    <n v="0"/>
    <n v="1"/>
    <n v="0"/>
    <n v="4.99"/>
    <n v="0"/>
  </r>
  <r>
    <n v="4171"/>
    <s v="Female"/>
    <n v="42"/>
    <x v="3"/>
    <x v="0"/>
    <n v="66"/>
    <n v="53"/>
    <n v="0.5"/>
    <s v="Web"/>
    <n v="25"/>
    <n v="0"/>
    <n v="0"/>
    <n v="0"/>
    <n v="0"/>
  </r>
  <r>
    <n v="4172"/>
    <s v="Male"/>
    <n v="59"/>
    <x v="7"/>
    <x v="2"/>
    <n v="199"/>
    <n v="67"/>
    <n v="0.14000000000000001"/>
    <s v="Mobile"/>
    <n v="0"/>
    <n v="1"/>
    <n v="0"/>
    <n v="9.99"/>
    <n v="0"/>
  </r>
  <r>
    <n v="4173"/>
    <s v="Female"/>
    <n v="24"/>
    <x v="2"/>
    <x v="2"/>
    <n v="92"/>
    <n v="79"/>
    <n v="0.47"/>
    <s v="Web"/>
    <n v="0"/>
    <n v="1"/>
    <n v="0"/>
    <n v="9.99"/>
    <n v="0"/>
  </r>
  <r>
    <n v="4174"/>
    <s v="Female"/>
    <n v="21"/>
    <x v="0"/>
    <x v="2"/>
    <n v="161"/>
    <n v="49"/>
    <n v="0.34"/>
    <s v="Desktop"/>
    <n v="0"/>
    <n v="1"/>
    <n v="0"/>
    <n v="9.99"/>
    <n v="0"/>
  </r>
  <r>
    <n v="4175"/>
    <s v="Female"/>
    <n v="38"/>
    <x v="1"/>
    <x v="0"/>
    <n v="296"/>
    <n v="65"/>
    <n v="0.37"/>
    <s v="Web"/>
    <n v="14"/>
    <n v="0"/>
    <n v="0"/>
    <n v="0"/>
    <n v="0"/>
  </r>
  <r>
    <n v="4176"/>
    <s v="Female"/>
    <n v="29"/>
    <x v="3"/>
    <x v="3"/>
    <n v="219"/>
    <n v="49"/>
    <n v="0.48"/>
    <s v="Mobile"/>
    <n v="0"/>
    <n v="1"/>
    <n v="0"/>
    <n v="4.99"/>
    <n v="0"/>
  </r>
  <r>
    <n v="4177"/>
    <s v="Female"/>
    <n v="20"/>
    <x v="3"/>
    <x v="2"/>
    <n v="45"/>
    <n v="1"/>
    <n v="0.56999999999999995"/>
    <s v="Web"/>
    <n v="0"/>
    <n v="1"/>
    <n v="0"/>
    <n v="9.99"/>
    <n v="0"/>
  </r>
  <r>
    <n v="4178"/>
    <s v="Other"/>
    <n v="44"/>
    <x v="5"/>
    <x v="2"/>
    <n v="154"/>
    <n v="98"/>
    <n v="7.0000000000000007E-2"/>
    <s v="Mobile"/>
    <n v="0"/>
    <n v="1"/>
    <n v="1"/>
    <n v="9.99"/>
    <n v="9.99"/>
  </r>
  <r>
    <n v="4179"/>
    <s v="Other"/>
    <n v="58"/>
    <x v="7"/>
    <x v="0"/>
    <n v="228"/>
    <n v="14"/>
    <n v="0.03"/>
    <s v="Mobile"/>
    <n v="41"/>
    <n v="0"/>
    <n v="0"/>
    <n v="0"/>
    <n v="0"/>
  </r>
  <r>
    <n v="4180"/>
    <s v="Other"/>
    <n v="34"/>
    <x v="0"/>
    <x v="2"/>
    <n v="163"/>
    <n v="14"/>
    <n v="7.0000000000000007E-2"/>
    <s v="Web"/>
    <n v="0"/>
    <n v="1"/>
    <n v="0"/>
    <n v="9.99"/>
    <n v="0"/>
  </r>
  <r>
    <n v="4181"/>
    <s v="Male"/>
    <n v="36"/>
    <x v="6"/>
    <x v="2"/>
    <n v="113"/>
    <n v="30"/>
    <n v="0.08"/>
    <s v="Mobile"/>
    <n v="0"/>
    <n v="1"/>
    <n v="0"/>
    <n v="9.99"/>
    <n v="0"/>
  </r>
  <r>
    <n v="4182"/>
    <s v="Female"/>
    <n v="51"/>
    <x v="5"/>
    <x v="2"/>
    <n v="70"/>
    <n v="91"/>
    <n v="0.04"/>
    <s v="Desktop"/>
    <n v="0"/>
    <n v="1"/>
    <n v="0"/>
    <n v="9.99"/>
    <n v="0"/>
  </r>
  <r>
    <n v="4183"/>
    <s v="Female"/>
    <n v="48"/>
    <x v="1"/>
    <x v="0"/>
    <n v="209"/>
    <n v="66"/>
    <n v="0.37"/>
    <s v="Web"/>
    <n v="29"/>
    <n v="0"/>
    <n v="1"/>
    <n v="0"/>
    <n v="0"/>
  </r>
  <r>
    <n v="4184"/>
    <s v="Male"/>
    <n v="44"/>
    <x v="7"/>
    <x v="2"/>
    <n v="200"/>
    <n v="14"/>
    <n v="0.28000000000000003"/>
    <s v="Mobile"/>
    <n v="0"/>
    <n v="1"/>
    <n v="0"/>
    <n v="9.99"/>
    <n v="0"/>
  </r>
  <r>
    <n v="4185"/>
    <s v="Male"/>
    <n v="55"/>
    <x v="0"/>
    <x v="1"/>
    <n v="111"/>
    <n v="46"/>
    <n v="0.4"/>
    <s v="Desktop"/>
    <n v="0"/>
    <n v="1"/>
    <n v="1"/>
    <n v="14.99"/>
    <n v="14.99"/>
  </r>
  <r>
    <n v="4186"/>
    <s v="Male"/>
    <n v="39"/>
    <x v="7"/>
    <x v="2"/>
    <n v="186"/>
    <n v="37"/>
    <n v="0.38"/>
    <s v="Mobile"/>
    <n v="0"/>
    <n v="1"/>
    <n v="0"/>
    <n v="9.99"/>
    <n v="0"/>
  </r>
  <r>
    <n v="4187"/>
    <s v="Other"/>
    <n v="34"/>
    <x v="3"/>
    <x v="1"/>
    <n v="250"/>
    <n v="13"/>
    <n v="0.48"/>
    <s v="Web"/>
    <n v="0"/>
    <n v="1"/>
    <n v="1"/>
    <n v="14.99"/>
    <n v="14.99"/>
  </r>
  <r>
    <n v="4188"/>
    <s v="Male"/>
    <n v="32"/>
    <x v="2"/>
    <x v="0"/>
    <n v="31"/>
    <n v="30"/>
    <n v="0.5"/>
    <s v="Desktop"/>
    <n v="41"/>
    <n v="0"/>
    <n v="0"/>
    <n v="0"/>
    <n v="0"/>
  </r>
  <r>
    <n v="4189"/>
    <s v="Other"/>
    <n v="30"/>
    <x v="5"/>
    <x v="2"/>
    <n v="195"/>
    <n v="87"/>
    <n v="0.1"/>
    <s v="Desktop"/>
    <n v="0"/>
    <n v="1"/>
    <n v="1"/>
    <n v="9.99"/>
    <n v="9.99"/>
  </r>
  <r>
    <n v="4190"/>
    <s v="Other"/>
    <n v="34"/>
    <x v="4"/>
    <x v="1"/>
    <n v="239"/>
    <n v="53"/>
    <n v="0.28000000000000003"/>
    <s v="Mobile"/>
    <n v="0"/>
    <n v="1"/>
    <n v="0"/>
    <n v="14.99"/>
    <n v="0"/>
  </r>
  <r>
    <n v="4191"/>
    <s v="Other"/>
    <n v="56"/>
    <x v="2"/>
    <x v="3"/>
    <n v="273"/>
    <n v="29"/>
    <n v="0.23"/>
    <s v="Mobile"/>
    <n v="0"/>
    <n v="1"/>
    <n v="1"/>
    <n v="4.99"/>
    <n v="4.99"/>
  </r>
  <r>
    <n v="4192"/>
    <s v="Male"/>
    <n v="24"/>
    <x v="7"/>
    <x v="0"/>
    <n v="260"/>
    <n v="46"/>
    <n v="0.42"/>
    <s v="Mobile"/>
    <n v="10"/>
    <n v="0"/>
    <n v="0"/>
    <n v="0"/>
    <n v="0"/>
  </r>
  <r>
    <n v="4193"/>
    <s v="Other"/>
    <n v="54"/>
    <x v="2"/>
    <x v="0"/>
    <n v="168"/>
    <n v="71"/>
    <n v="0.57999999999999996"/>
    <s v="Mobile"/>
    <n v="31"/>
    <n v="0"/>
    <n v="0"/>
    <n v="0"/>
    <n v="0"/>
  </r>
  <r>
    <n v="4194"/>
    <s v="Other"/>
    <n v="27"/>
    <x v="6"/>
    <x v="3"/>
    <n v="185"/>
    <n v="6"/>
    <n v="0.1"/>
    <s v="Mobile"/>
    <n v="0"/>
    <n v="1"/>
    <n v="1"/>
    <n v="4.99"/>
    <n v="4.99"/>
  </r>
  <r>
    <n v="4195"/>
    <s v="Male"/>
    <n v="33"/>
    <x v="5"/>
    <x v="3"/>
    <n v="252"/>
    <n v="56"/>
    <n v="0.44"/>
    <s v="Desktop"/>
    <n v="0"/>
    <n v="1"/>
    <n v="1"/>
    <n v="4.99"/>
    <n v="4.99"/>
  </r>
  <r>
    <n v="4196"/>
    <s v="Other"/>
    <n v="26"/>
    <x v="2"/>
    <x v="0"/>
    <n v="229"/>
    <n v="16"/>
    <n v="0.4"/>
    <s v="Mobile"/>
    <n v="45"/>
    <n v="0"/>
    <n v="0"/>
    <n v="0"/>
    <n v="0"/>
  </r>
  <r>
    <n v="4197"/>
    <s v="Other"/>
    <n v="47"/>
    <x v="1"/>
    <x v="2"/>
    <n v="225"/>
    <n v="68"/>
    <n v="0.25"/>
    <s v="Desktop"/>
    <n v="0"/>
    <n v="1"/>
    <n v="1"/>
    <n v="9.99"/>
    <n v="9.99"/>
  </r>
  <r>
    <n v="4198"/>
    <s v="Female"/>
    <n v="16"/>
    <x v="2"/>
    <x v="1"/>
    <n v="146"/>
    <n v="81"/>
    <n v="0.56000000000000005"/>
    <s v="Web"/>
    <n v="0"/>
    <n v="1"/>
    <n v="0"/>
    <n v="14.99"/>
    <n v="0"/>
  </r>
  <r>
    <n v="4199"/>
    <s v="Other"/>
    <n v="18"/>
    <x v="3"/>
    <x v="2"/>
    <n v="27"/>
    <n v="83"/>
    <n v="0.47"/>
    <s v="Desktop"/>
    <n v="0"/>
    <n v="1"/>
    <n v="1"/>
    <n v="9.99"/>
    <n v="9.99"/>
  </r>
  <r>
    <n v="4200"/>
    <s v="Other"/>
    <n v="28"/>
    <x v="0"/>
    <x v="3"/>
    <n v="21"/>
    <n v="61"/>
    <n v="0.26"/>
    <s v="Mobile"/>
    <n v="0"/>
    <n v="1"/>
    <n v="1"/>
    <n v="4.99"/>
    <n v="4.99"/>
  </r>
  <r>
    <n v="4201"/>
    <s v="Other"/>
    <n v="59"/>
    <x v="6"/>
    <x v="3"/>
    <n v="251"/>
    <n v="77"/>
    <n v="0.1"/>
    <s v="Mobile"/>
    <n v="0"/>
    <n v="1"/>
    <n v="1"/>
    <n v="4.99"/>
    <n v="4.99"/>
  </r>
  <r>
    <n v="4202"/>
    <s v="Male"/>
    <n v="45"/>
    <x v="7"/>
    <x v="1"/>
    <n v="284"/>
    <n v="90"/>
    <n v="0.48"/>
    <s v="Web"/>
    <n v="0"/>
    <n v="1"/>
    <n v="0"/>
    <n v="14.99"/>
    <n v="0"/>
  </r>
  <r>
    <n v="4203"/>
    <s v="Male"/>
    <n v="57"/>
    <x v="3"/>
    <x v="1"/>
    <n v="226"/>
    <n v="55"/>
    <n v="0.6"/>
    <s v="Mobile"/>
    <n v="0"/>
    <n v="1"/>
    <n v="0"/>
    <n v="14.99"/>
    <n v="0"/>
  </r>
  <r>
    <n v="4204"/>
    <s v="Other"/>
    <n v="22"/>
    <x v="6"/>
    <x v="0"/>
    <n v="239"/>
    <n v="73"/>
    <n v="0.46"/>
    <s v="Web"/>
    <n v="45"/>
    <n v="0"/>
    <n v="1"/>
    <n v="0"/>
    <n v="0"/>
  </r>
  <r>
    <n v="4205"/>
    <s v="Male"/>
    <n v="28"/>
    <x v="2"/>
    <x v="1"/>
    <n v="229"/>
    <n v="12"/>
    <n v="0.48"/>
    <s v="Desktop"/>
    <n v="0"/>
    <n v="1"/>
    <n v="0"/>
    <n v="14.99"/>
    <n v="0"/>
  </r>
  <r>
    <n v="4206"/>
    <s v="Female"/>
    <n v="37"/>
    <x v="4"/>
    <x v="3"/>
    <n v="213"/>
    <n v="40"/>
    <n v="0.56999999999999995"/>
    <s v="Desktop"/>
    <n v="0"/>
    <n v="1"/>
    <n v="0"/>
    <n v="4.99"/>
    <n v="0"/>
  </r>
  <r>
    <n v="4207"/>
    <s v="Male"/>
    <n v="35"/>
    <x v="7"/>
    <x v="1"/>
    <n v="90"/>
    <n v="37"/>
    <n v="0.21"/>
    <s v="Mobile"/>
    <n v="0"/>
    <n v="1"/>
    <n v="0"/>
    <n v="14.99"/>
    <n v="0"/>
  </r>
  <r>
    <n v="4208"/>
    <s v="Female"/>
    <n v="57"/>
    <x v="6"/>
    <x v="2"/>
    <n v="18"/>
    <n v="62"/>
    <n v="0.47"/>
    <s v="Mobile"/>
    <n v="0"/>
    <n v="1"/>
    <n v="0"/>
    <n v="9.99"/>
    <n v="0"/>
  </r>
  <r>
    <n v="4209"/>
    <s v="Male"/>
    <n v="17"/>
    <x v="4"/>
    <x v="1"/>
    <n v="48"/>
    <n v="44"/>
    <n v="0.59"/>
    <s v="Web"/>
    <n v="0"/>
    <n v="1"/>
    <n v="1"/>
    <n v="14.99"/>
    <n v="14.99"/>
  </r>
  <r>
    <n v="4210"/>
    <s v="Other"/>
    <n v="30"/>
    <x v="2"/>
    <x v="1"/>
    <n v="76"/>
    <n v="5"/>
    <n v="0.2"/>
    <s v="Mobile"/>
    <n v="0"/>
    <n v="1"/>
    <n v="1"/>
    <n v="14.99"/>
    <n v="14.99"/>
  </r>
  <r>
    <n v="4211"/>
    <s v="Female"/>
    <n v="33"/>
    <x v="1"/>
    <x v="2"/>
    <n v="202"/>
    <n v="21"/>
    <n v="0.51"/>
    <s v="Web"/>
    <n v="0"/>
    <n v="1"/>
    <n v="1"/>
    <n v="9.99"/>
    <n v="9.99"/>
  </r>
  <r>
    <n v="4212"/>
    <s v="Male"/>
    <n v="49"/>
    <x v="7"/>
    <x v="3"/>
    <n v="207"/>
    <n v="85"/>
    <n v="0.39"/>
    <s v="Web"/>
    <n v="0"/>
    <n v="1"/>
    <n v="0"/>
    <n v="4.99"/>
    <n v="0"/>
  </r>
  <r>
    <n v="4213"/>
    <s v="Male"/>
    <n v="25"/>
    <x v="4"/>
    <x v="2"/>
    <n v="115"/>
    <n v="35"/>
    <n v="0.21"/>
    <s v="Mobile"/>
    <n v="0"/>
    <n v="1"/>
    <n v="0"/>
    <n v="9.99"/>
    <n v="0"/>
  </r>
  <r>
    <n v="4214"/>
    <s v="Other"/>
    <n v="41"/>
    <x v="1"/>
    <x v="2"/>
    <n v="263"/>
    <n v="76"/>
    <n v="0.56000000000000005"/>
    <s v="Mobile"/>
    <n v="0"/>
    <n v="1"/>
    <n v="0"/>
    <n v="9.99"/>
    <n v="0"/>
  </r>
  <r>
    <n v="4215"/>
    <s v="Other"/>
    <n v="39"/>
    <x v="5"/>
    <x v="0"/>
    <n v="77"/>
    <n v="64"/>
    <n v="0.34"/>
    <s v="Web"/>
    <n v="37"/>
    <n v="0"/>
    <n v="1"/>
    <n v="0"/>
    <n v="0"/>
  </r>
  <r>
    <n v="4216"/>
    <s v="Male"/>
    <n v="47"/>
    <x v="2"/>
    <x v="2"/>
    <n v="115"/>
    <n v="90"/>
    <n v="0.24"/>
    <s v="Web"/>
    <n v="0"/>
    <n v="1"/>
    <n v="0"/>
    <n v="9.99"/>
    <n v="0"/>
  </r>
  <r>
    <n v="4217"/>
    <s v="Female"/>
    <n v="59"/>
    <x v="5"/>
    <x v="3"/>
    <n v="286"/>
    <n v="68"/>
    <n v="0.46"/>
    <s v="Desktop"/>
    <n v="0"/>
    <n v="1"/>
    <n v="0"/>
    <n v="4.99"/>
    <n v="0"/>
  </r>
  <r>
    <n v="4218"/>
    <s v="Male"/>
    <n v="25"/>
    <x v="6"/>
    <x v="3"/>
    <n v="68"/>
    <n v="37"/>
    <n v="0.2"/>
    <s v="Desktop"/>
    <n v="0"/>
    <n v="1"/>
    <n v="1"/>
    <n v="4.99"/>
    <n v="4.99"/>
  </r>
  <r>
    <n v="4219"/>
    <s v="Male"/>
    <n v="50"/>
    <x v="5"/>
    <x v="2"/>
    <n v="252"/>
    <n v="22"/>
    <n v="0.41"/>
    <s v="Web"/>
    <n v="0"/>
    <n v="1"/>
    <n v="0"/>
    <n v="9.99"/>
    <n v="0"/>
  </r>
  <r>
    <n v="4220"/>
    <s v="Female"/>
    <n v="29"/>
    <x v="5"/>
    <x v="1"/>
    <n v="181"/>
    <n v="86"/>
    <n v="0.5"/>
    <s v="Desktop"/>
    <n v="0"/>
    <n v="1"/>
    <n v="1"/>
    <n v="14.99"/>
    <n v="14.99"/>
  </r>
  <r>
    <n v="4221"/>
    <s v="Female"/>
    <n v="39"/>
    <x v="1"/>
    <x v="3"/>
    <n v="150"/>
    <n v="12"/>
    <n v="0.16"/>
    <s v="Desktop"/>
    <n v="0"/>
    <n v="1"/>
    <n v="0"/>
    <n v="4.99"/>
    <n v="0"/>
  </r>
  <r>
    <n v="4222"/>
    <s v="Male"/>
    <n v="25"/>
    <x v="0"/>
    <x v="2"/>
    <n v="166"/>
    <n v="8"/>
    <n v="0.56000000000000005"/>
    <s v="Web"/>
    <n v="0"/>
    <n v="1"/>
    <n v="0"/>
    <n v="9.99"/>
    <n v="0"/>
  </r>
  <r>
    <n v="4223"/>
    <s v="Male"/>
    <n v="49"/>
    <x v="4"/>
    <x v="1"/>
    <n v="253"/>
    <n v="75"/>
    <n v="0.13"/>
    <s v="Mobile"/>
    <n v="0"/>
    <n v="1"/>
    <n v="1"/>
    <n v="14.99"/>
    <n v="14.99"/>
  </r>
  <r>
    <n v="4224"/>
    <s v="Male"/>
    <n v="50"/>
    <x v="7"/>
    <x v="1"/>
    <n v="45"/>
    <n v="83"/>
    <n v="0.18"/>
    <s v="Desktop"/>
    <n v="0"/>
    <n v="1"/>
    <n v="0"/>
    <n v="14.99"/>
    <n v="0"/>
  </r>
  <r>
    <n v="4225"/>
    <s v="Female"/>
    <n v="36"/>
    <x v="6"/>
    <x v="0"/>
    <n v="72"/>
    <n v="65"/>
    <n v="0.43"/>
    <s v="Mobile"/>
    <n v="24"/>
    <n v="0"/>
    <n v="0"/>
    <n v="0"/>
    <n v="0"/>
  </r>
  <r>
    <n v="4226"/>
    <s v="Female"/>
    <n v="56"/>
    <x v="4"/>
    <x v="0"/>
    <n v="198"/>
    <n v="28"/>
    <n v="0"/>
    <s v="Web"/>
    <n v="24"/>
    <n v="0"/>
    <n v="0"/>
    <n v="0"/>
    <n v="0"/>
  </r>
  <r>
    <n v="4227"/>
    <s v="Female"/>
    <n v="37"/>
    <x v="4"/>
    <x v="0"/>
    <n v="16"/>
    <n v="43"/>
    <n v="0.39"/>
    <s v="Mobile"/>
    <n v="43"/>
    <n v="0"/>
    <n v="0"/>
    <n v="0"/>
    <n v="0"/>
  </r>
  <r>
    <n v="4228"/>
    <s v="Other"/>
    <n v="44"/>
    <x v="6"/>
    <x v="1"/>
    <n v="170"/>
    <n v="32"/>
    <n v="0.3"/>
    <s v="Mobile"/>
    <n v="0"/>
    <n v="1"/>
    <n v="1"/>
    <n v="14.99"/>
    <n v="14.99"/>
  </r>
  <r>
    <n v="4229"/>
    <s v="Other"/>
    <n v="42"/>
    <x v="2"/>
    <x v="1"/>
    <n v="68"/>
    <n v="19"/>
    <n v="0.4"/>
    <s v="Desktop"/>
    <n v="0"/>
    <n v="1"/>
    <n v="1"/>
    <n v="14.99"/>
    <n v="14.99"/>
  </r>
  <r>
    <n v="4230"/>
    <s v="Female"/>
    <n v="19"/>
    <x v="3"/>
    <x v="2"/>
    <n v="218"/>
    <n v="18"/>
    <n v="0.46"/>
    <s v="Desktop"/>
    <n v="0"/>
    <n v="1"/>
    <n v="0"/>
    <n v="9.99"/>
    <n v="0"/>
  </r>
  <r>
    <n v="4231"/>
    <s v="Female"/>
    <n v="52"/>
    <x v="6"/>
    <x v="3"/>
    <n v="124"/>
    <n v="59"/>
    <n v="0.41"/>
    <s v="Desktop"/>
    <n v="0"/>
    <n v="1"/>
    <n v="0"/>
    <n v="4.99"/>
    <n v="0"/>
  </r>
  <r>
    <n v="4232"/>
    <s v="Female"/>
    <n v="37"/>
    <x v="2"/>
    <x v="1"/>
    <n v="133"/>
    <n v="67"/>
    <n v="0.17"/>
    <s v="Desktop"/>
    <n v="0"/>
    <n v="1"/>
    <n v="0"/>
    <n v="14.99"/>
    <n v="0"/>
  </r>
  <r>
    <n v="4233"/>
    <s v="Other"/>
    <n v="26"/>
    <x v="1"/>
    <x v="2"/>
    <n v="137"/>
    <n v="58"/>
    <n v="0.36"/>
    <s v="Web"/>
    <n v="0"/>
    <n v="1"/>
    <n v="1"/>
    <n v="9.99"/>
    <n v="9.99"/>
  </r>
  <r>
    <n v="4234"/>
    <s v="Female"/>
    <n v="58"/>
    <x v="4"/>
    <x v="2"/>
    <n v="293"/>
    <n v="99"/>
    <n v="0.31"/>
    <s v="Mobile"/>
    <n v="0"/>
    <n v="1"/>
    <n v="1"/>
    <n v="9.99"/>
    <n v="9.99"/>
  </r>
  <r>
    <n v="4235"/>
    <s v="Female"/>
    <n v="52"/>
    <x v="2"/>
    <x v="1"/>
    <n v="18"/>
    <n v="4"/>
    <n v="0.12"/>
    <s v="Web"/>
    <n v="0"/>
    <n v="1"/>
    <n v="0"/>
    <n v="14.99"/>
    <n v="0"/>
  </r>
  <r>
    <n v="4236"/>
    <s v="Male"/>
    <n v="42"/>
    <x v="7"/>
    <x v="3"/>
    <n v="42"/>
    <n v="34"/>
    <n v="0.6"/>
    <s v="Web"/>
    <n v="0"/>
    <n v="1"/>
    <n v="1"/>
    <n v="4.99"/>
    <n v="4.99"/>
  </r>
  <r>
    <n v="4237"/>
    <s v="Other"/>
    <n v="56"/>
    <x v="4"/>
    <x v="0"/>
    <n v="125"/>
    <n v="81"/>
    <n v="0.08"/>
    <s v="Web"/>
    <n v="17"/>
    <n v="0"/>
    <n v="0"/>
    <n v="0"/>
    <n v="0"/>
  </r>
  <r>
    <n v="4238"/>
    <s v="Male"/>
    <n v="47"/>
    <x v="0"/>
    <x v="1"/>
    <n v="266"/>
    <n v="52"/>
    <n v="0.54"/>
    <s v="Desktop"/>
    <n v="0"/>
    <n v="1"/>
    <n v="1"/>
    <n v="14.99"/>
    <n v="14.99"/>
  </r>
  <r>
    <n v="4239"/>
    <s v="Female"/>
    <n v="31"/>
    <x v="0"/>
    <x v="3"/>
    <n v="13"/>
    <n v="70"/>
    <n v="0.34"/>
    <s v="Desktop"/>
    <n v="0"/>
    <n v="1"/>
    <n v="0"/>
    <n v="4.99"/>
    <n v="0"/>
  </r>
  <r>
    <n v="4240"/>
    <s v="Female"/>
    <n v="41"/>
    <x v="0"/>
    <x v="3"/>
    <n v="57"/>
    <n v="72"/>
    <n v="0.09"/>
    <s v="Desktop"/>
    <n v="0"/>
    <n v="1"/>
    <n v="1"/>
    <n v="4.99"/>
    <n v="4.99"/>
  </r>
  <r>
    <n v="4241"/>
    <s v="Female"/>
    <n v="47"/>
    <x v="6"/>
    <x v="2"/>
    <n v="23"/>
    <n v="66"/>
    <n v="0.59"/>
    <s v="Desktop"/>
    <n v="0"/>
    <n v="1"/>
    <n v="1"/>
    <n v="9.99"/>
    <n v="9.99"/>
  </r>
  <r>
    <n v="4242"/>
    <s v="Female"/>
    <n v="25"/>
    <x v="2"/>
    <x v="0"/>
    <n v="108"/>
    <n v="53"/>
    <n v="0.14000000000000001"/>
    <s v="Web"/>
    <n v="30"/>
    <n v="0"/>
    <n v="0"/>
    <n v="0"/>
    <n v="0"/>
  </r>
  <r>
    <n v="4243"/>
    <s v="Male"/>
    <n v="20"/>
    <x v="7"/>
    <x v="0"/>
    <n v="102"/>
    <n v="85"/>
    <n v="0.09"/>
    <s v="Mobile"/>
    <n v="39"/>
    <n v="0"/>
    <n v="0"/>
    <n v="0"/>
    <n v="0"/>
  </r>
  <r>
    <n v="4244"/>
    <s v="Other"/>
    <n v="16"/>
    <x v="6"/>
    <x v="1"/>
    <n v="91"/>
    <n v="79"/>
    <n v="0.53"/>
    <s v="Mobile"/>
    <n v="0"/>
    <n v="1"/>
    <n v="0"/>
    <n v="14.99"/>
    <n v="0"/>
  </r>
  <r>
    <n v="4245"/>
    <s v="Male"/>
    <n v="34"/>
    <x v="7"/>
    <x v="2"/>
    <n v="74"/>
    <n v="40"/>
    <n v="0.01"/>
    <s v="Desktop"/>
    <n v="0"/>
    <n v="1"/>
    <n v="0"/>
    <n v="9.99"/>
    <n v="0"/>
  </r>
  <r>
    <n v="4246"/>
    <s v="Other"/>
    <n v="24"/>
    <x v="0"/>
    <x v="0"/>
    <n v="171"/>
    <n v="38"/>
    <n v="0.28000000000000003"/>
    <s v="Web"/>
    <n v="43"/>
    <n v="0"/>
    <n v="0"/>
    <n v="0"/>
    <n v="0"/>
  </r>
  <r>
    <n v="4247"/>
    <s v="Female"/>
    <n v="44"/>
    <x v="1"/>
    <x v="0"/>
    <n v="197"/>
    <n v="85"/>
    <n v="0.39"/>
    <s v="Web"/>
    <n v="18"/>
    <n v="0"/>
    <n v="0"/>
    <n v="0"/>
    <n v="0"/>
  </r>
  <r>
    <n v="4248"/>
    <s v="Female"/>
    <n v="36"/>
    <x v="2"/>
    <x v="2"/>
    <n v="203"/>
    <n v="72"/>
    <n v="0.19"/>
    <s v="Web"/>
    <n v="0"/>
    <n v="1"/>
    <n v="0"/>
    <n v="9.99"/>
    <n v="0"/>
  </r>
  <r>
    <n v="4249"/>
    <s v="Other"/>
    <n v="30"/>
    <x v="6"/>
    <x v="0"/>
    <n v="106"/>
    <n v="25"/>
    <n v="0.56999999999999995"/>
    <s v="Web"/>
    <n v="11"/>
    <n v="0"/>
    <n v="1"/>
    <n v="0"/>
    <n v="0"/>
  </r>
  <r>
    <n v="4250"/>
    <s v="Other"/>
    <n v="42"/>
    <x v="2"/>
    <x v="0"/>
    <n v="225"/>
    <n v="8"/>
    <n v="0.32"/>
    <s v="Web"/>
    <n v="8"/>
    <n v="0"/>
    <n v="0"/>
    <n v="0"/>
    <n v="0"/>
  </r>
  <r>
    <n v="4251"/>
    <s v="Male"/>
    <n v="25"/>
    <x v="2"/>
    <x v="2"/>
    <n v="280"/>
    <n v="26"/>
    <n v="0.42"/>
    <s v="Desktop"/>
    <n v="0"/>
    <n v="1"/>
    <n v="0"/>
    <n v="9.99"/>
    <n v="0"/>
  </r>
  <r>
    <n v="4252"/>
    <s v="Other"/>
    <n v="58"/>
    <x v="3"/>
    <x v="1"/>
    <n v="78"/>
    <n v="87"/>
    <n v="0"/>
    <s v="Desktop"/>
    <n v="0"/>
    <n v="1"/>
    <n v="0"/>
    <n v="14.99"/>
    <n v="0"/>
  </r>
  <r>
    <n v="4253"/>
    <s v="Other"/>
    <n v="53"/>
    <x v="1"/>
    <x v="3"/>
    <n v="176"/>
    <n v="6"/>
    <n v="0.51"/>
    <s v="Web"/>
    <n v="0"/>
    <n v="1"/>
    <n v="0"/>
    <n v="4.99"/>
    <n v="0"/>
  </r>
  <r>
    <n v="4254"/>
    <s v="Other"/>
    <n v="23"/>
    <x v="5"/>
    <x v="2"/>
    <n v="287"/>
    <n v="64"/>
    <n v="0.05"/>
    <s v="Mobile"/>
    <n v="0"/>
    <n v="1"/>
    <n v="0"/>
    <n v="9.99"/>
    <n v="0"/>
  </r>
  <r>
    <n v="4255"/>
    <s v="Other"/>
    <n v="23"/>
    <x v="3"/>
    <x v="1"/>
    <n v="42"/>
    <n v="31"/>
    <n v="0.32"/>
    <s v="Desktop"/>
    <n v="0"/>
    <n v="1"/>
    <n v="0"/>
    <n v="14.99"/>
    <n v="0"/>
  </r>
  <r>
    <n v="4256"/>
    <s v="Other"/>
    <n v="25"/>
    <x v="2"/>
    <x v="2"/>
    <n v="272"/>
    <n v="94"/>
    <n v="0.23"/>
    <s v="Mobile"/>
    <n v="0"/>
    <n v="1"/>
    <n v="0"/>
    <n v="9.99"/>
    <n v="0"/>
  </r>
  <r>
    <n v="4257"/>
    <s v="Male"/>
    <n v="46"/>
    <x v="2"/>
    <x v="2"/>
    <n v="10"/>
    <n v="99"/>
    <n v="0.18"/>
    <s v="Mobile"/>
    <n v="0"/>
    <n v="1"/>
    <n v="1"/>
    <n v="9.99"/>
    <n v="9.99"/>
  </r>
  <r>
    <n v="4258"/>
    <s v="Other"/>
    <n v="49"/>
    <x v="6"/>
    <x v="2"/>
    <n v="203"/>
    <n v="79"/>
    <n v="0.35"/>
    <s v="Web"/>
    <n v="0"/>
    <n v="1"/>
    <n v="1"/>
    <n v="9.99"/>
    <n v="9.99"/>
  </r>
  <r>
    <n v="4259"/>
    <s v="Female"/>
    <n v="56"/>
    <x v="0"/>
    <x v="3"/>
    <n v="123"/>
    <n v="71"/>
    <n v="0.5"/>
    <s v="Desktop"/>
    <n v="0"/>
    <n v="1"/>
    <n v="0"/>
    <n v="4.99"/>
    <n v="0"/>
  </r>
  <r>
    <n v="4260"/>
    <s v="Other"/>
    <n v="56"/>
    <x v="6"/>
    <x v="1"/>
    <n v="115"/>
    <n v="34"/>
    <n v="0.59"/>
    <s v="Desktop"/>
    <n v="0"/>
    <n v="1"/>
    <n v="1"/>
    <n v="14.99"/>
    <n v="14.99"/>
  </r>
  <r>
    <n v="4261"/>
    <s v="Male"/>
    <n v="50"/>
    <x v="1"/>
    <x v="1"/>
    <n v="227"/>
    <n v="30"/>
    <n v="0.04"/>
    <s v="Mobile"/>
    <n v="0"/>
    <n v="1"/>
    <n v="0"/>
    <n v="14.99"/>
    <n v="0"/>
  </r>
  <r>
    <n v="4262"/>
    <s v="Female"/>
    <n v="48"/>
    <x v="2"/>
    <x v="2"/>
    <n v="40"/>
    <n v="8"/>
    <n v="0.28999999999999998"/>
    <s v="Mobile"/>
    <n v="0"/>
    <n v="1"/>
    <n v="1"/>
    <n v="9.99"/>
    <n v="9.99"/>
  </r>
  <r>
    <n v="4263"/>
    <s v="Other"/>
    <n v="30"/>
    <x v="0"/>
    <x v="3"/>
    <n v="179"/>
    <n v="61"/>
    <n v="0.4"/>
    <s v="Desktop"/>
    <n v="0"/>
    <n v="1"/>
    <n v="1"/>
    <n v="4.99"/>
    <n v="4.99"/>
  </r>
  <r>
    <n v="4264"/>
    <s v="Female"/>
    <n v="23"/>
    <x v="6"/>
    <x v="3"/>
    <n v="290"/>
    <n v="74"/>
    <n v="0.19"/>
    <s v="Desktop"/>
    <n v="0"/>
    <n v="1"/>
    <n v="0"/>
    <n v="4.99"/>
    <n v="0"/>
  </r>
  <r>
    <n v="4265"/>
    <s v="Other"/>
    <n v="50"/>
    <x v="2"/>
    <x v="0"/>
    <n v="57"/>
    <n v="91"/>
    <n v="0.21"/>
    <s v="Desktop"/>
    <n v="13"/>
    <n v="0"/>
    <n v="0"/>
    <n v="0"/>
    <n v="0"/>
  </r>
  <r>
    <n v="4266"/>
    <s v="Female"/>
    <n v="57"/>
    <x v="0"/>
    <x v="2"/>
    <n v="10"/>
    <n v="72"/>
    <n v="0.43"/>
    <s v="Desktop"/>
    <n v="0"/>
    <n v="1"/>
    <n v="0"/>
    <n v="9.99"/>
    <n v="0"/>
  </r>
  <r>
    <n v="4267"/>
    <s v="Other"/>
    <n v="26"/>
    <x v="5"/>
    <x v="0"/>
    <n v="88"/>
    <n v="91"/>
    <n v="0.25"/>
    <s v="Mobile"/>
    <n v="33"/>
    <n v="0"/>
    <n v="1"/>
    <n v="0"/>
    <n v="0"/>
  </r>
  <r>
    <n v="4268"/>
    <s v="Female"/>
    <n v="18"/>
    <x v="2"/>
    <x v="3"/>
    <n v="237"/>
    <n v="76"/>
    <n v="0.56999999999999995"/>
    <s v="Mobile"/>
    <n v="0"/>
    <n v="1"/>
    <n v="0"/>
    <n v="4.99"/>
    <n v="0"/>
  </r>
  <r>
    <n v="4269"/>
    <s v="Other"/>
    <n v="28"/>
    <x v="1"/>
    <x v="3"/>
    <n v="268"/>
    <n v="39"/>
    <n v="0.42"/>
    <s v="Web"/>
    <n v="0"/>
    <n v="1"/>
    <n v="0"/>
    <n v="4.99"/>
    <n v="0"/>
  </r>
  <r>
    <n v="4270"/>
    <s v="Male"/>
    <n v="54"/>
    <x v="3"/>
    <x v="1"/>
    <n v="100"/>
    <n v="23"/>
    <n v="0.44"/>
    <s v="Web"/>
    <n v="0"/>
    <n v="1"/>
    <n v="0"/>
    <n v="14.99"/>
    <n v="0"/>
  </r>
  <r>
    <n v="4271"/>
    <s v="Female"/>
    <n v="36"/>
    <x v="0"/>
    <x v="2"/>
    <n v="83"/>
    <n v="71"/>
    <n v="0.08"/>
    <s v="Mobile"/>
    <n v="0"/>
    <n v="1"/>
    <n v="0"/>
    <n v="9.99"/>
    <n v="0"/>
  </r>
  <r>
    <n v="4272"/>
    <s v="Female"/>
    <n v="28"/>
    <x v="3"/>
    <x v="1"/>
    <n v="177"/>
    <n v="26"/>
    <n v="0.22"/>
    <s v="Desktop"/>
    <n v="0"/>
    <n v="1"/>
    <n v="0"/>
    <n v="14.99"/>
    <n v="0"/>
  </r>
  <r>
    <n v="4273"/>
    <s v="Other"/>
    <n v="40"/>
    <x v="4"/>
    <x v="2"/>
    <n v="146"/>
    <n v="93"/>
    <n v="0.52"/>
    <s v="Desktop"/>
    <n v="0"/>
    <n v="1"/>
    <n v="0"/>
    <n v="9.99"/>
    <n v="0"/>
  </r>
  <r>
    <n v="4274"/>
    <s v="Other"/>
    <n v="19"/>
    <x v="4"/>
    <x v="2"/>
    <n v="182"/>
    <n v="2"/>
    <n v="0.53"/>
    <s v="Desktop"/>
    <n v="0"/>
    <n v="1"/>
    <n v="1"/>
    <n v="9.99"/>
    <n v="9.99"/>
  </r>
  <r>
    <n v="4275"/>
    <s v="Female"/>
    <n v="33"/>
    <x v="0"/>
    <x v="2"/>
    <n v="180"/>
    <n v="32"/>
    <n v="0.34"/>
    <s v="Desktop"/>
    <n v="0"/>
    <n v="1"/>
    <n v="0"/>
    <n v="9.99"/>
    <n v="0"/>
  </r>
  <r>
    <n v="4276"/>
    <s v="Female"/>
    <n v="52"/>
    <x v="7"/>
    <x v="2"/>
    <n v="64"/>
    <n v="78"/>
    <n v="0.46"/>
    <s v="Desktop"/>
    <n v="0"/>
    <n v="1"/>
    <n v="0"/>
    <n v="9.99"/>
    <n v="0"/>
  </r>
  <r>
    <n v="4277"/>
    <s v="Male"/>
    <n v="23"/>
    <x v="6"/>
    <x v="0"/>
    <n v="115"/>
    <n v="85"/>
    <n v="0.16"/>
    <s v="Web"/>
    <n v="23"/>
    <n v="0"/>
    <n v="1"/>
    <n v="0"/>
    <n v="0"/>
  </r>
  <r>
    <n v="4278"/>
    <s v="Other"/>
    <n v="34"/>
    <x v="2"/>
    <x v="0"/>
    <n v="101"/>
    <n v="26"/>
    <n v="0.19"/>
    <s v="Mobile"/>
    <n v="46"/>
    <n v="0"/>
    <n v="0"/>
    <n v="0"/>
    <n v="0"/>
  </r>
  <r>
    <n v="4279"/>
    <s v="Male"/>
    <n v="22"/>
    <x v="7"/>
    <x v="3"/>
    <n v="185"/>
    <n v="11"/>
    <n v="0.17"/>
    <s v="Mobile"/>
    <n v="0"/>
    <n v="1"/>
    <n v="0"/>
    <n v="4.99"/>
    <n v="0"/>
  </r>
  <r>
    <n v="4280"/>
    <s v="Other"/>
    <n v="36"/>
    <x v="1"/>
    <x v="3"/>
    <n v="80"/>
    <n v="21"/>
    <n v="0.2"/>
    <s v="Web"/>
    <n v="0"/>
    <n v="1"/>
    <n v="0"/>
    <n v="4.99"/>
    <n v="0"/>
  </r>
  <r>
    <n v="4281"/>
    <s v="Male"/>
    <n v="52"/>
    <x v="3"/>
    <x v="0"/>
    <n v="260"/>
    <n v="11"/>
    <n v="0.12"/>
    <s v="Web"/>
    <n v="11"/>
    <n v="0"/>
    <n v="0"/>
    <n v="0"/>
    <n v="0"/>
  </r>
  <r>
    <n v="4282"/>
    <s v="Other"/>
    <n v="21"/>
    <x v="6"/>
    <x v="0"/>
    <n v="269"/>
    <n v="86"/>
    <n v="0.16"/>
    <s v="Mobile"/>
    <n v="43"/>
    <n v="0"/>
    <n v="1"/>
    <n v="0"/>
    <n v="0"/>
  </r>
  <r>
    <n v="4283"/>
    <s v="Female"/>
    <n v="30"/>
    <x v="7"/>
    <x v="0"/>
    <n v="141"/>
    <n v="1"/>
    <n v="0.49"/>
    <s v="Web"/>
    <n v="13"/>
    <n v="0"/>
    <n v="0"/>
    <n v="0"/>
    <n v="0"/>
  </r>
  <r>
    <n v="4284"/>
    <s v="Female"/>
    <n v="51"/>
    <x v="6"/>
    <x v="1"/>
    <n v="291"/>
    <n v="72"/>
    <n v="0.33"/>
    <s v="Desktop"/>
    <n v="0"/>
    <n v="1"/>
    <n v="0"/>
    <n v="14.99"/>
    <n v="0"/>
  </r>
  <r>
    <n v="4285"/>
    <s v="Male"/>
    <n v="18"/>
    <x v="5"/>
    <x v="3"/>
    <n v="111"/>
    <n v="14"/>
    <n v="0.6"/>
    <s v="Mobile"/>
    <n v="0"/>
    <n v="1"/>
    <n v="0"/>
    <n v="4.99"/>
    <n v="0"/>
  </r>
  <r>
    <n v="4286"/>
    <s v="Other"/>
    <n v="43"/>
    <x v="2"/>
    <x v="2"/>
    <n v="187"/>
    <n v="75"/>
    <n v="0.54"/>
    <s v="Desktop"/>
    <n v="0"/>
    <n v="1"/>
    <n v="0"/>
    <n v="9.99"/>
    <n v="0"/>
  </r>
  <r>
    <n v="4287"/>
    <s v="Male"/>
    <n v="45"/>
    <x v="2"/>
    <x v="0"/>
    <n v="202"/>
    <n v="21"/>
    <n v="0.14000000000000001"/>
    <s v="Mobile"/>
    <n v="41"/>
    <n v="0"/>
    <n v="1"/>
    <n v="0"/>
    <n v="0"/>
  </r>
  <r>
    <n v="4288"/>
    <s v="Other"/>
    <n v="31"/>
    <x v="7"/>
    <x v="0"/>
    <n v="82"/>
    <n v="54"/>
    <n v="0.47"/>
    <s v="Web"/>
    <n v="6"/>
    <n v="0"/>
    <n v="0"/>
    <n v="0"/>
    <n v="0"/>
  </r>
  <r>
    <n v="4289"/>
    <s v="Female"/>
    <n v="20"/>
    <x v="2"/>
    <x v="0"/>
    <n v="286"/>
    <n v="53"/>
    <n v="0.45"/>
    <s v="Desktop"/>
    <n v="46"/>
    <n v="0"/>
    <n v="1"/>
    <n v="0"/>
    <n v="0"/>
  </r>
  <r>
    <n v="4290"/>
    <s v="Female"/>
    <n v="23"/>
    <x v="4"/>
    <x v="1"/>
    <n v="128"/>
    <n v="82"/>
    <n v="0.36"/>
    <s v="Desktop"/>
    <n v="0"/>
    <n v="1"/>
    <n v="0"/>
    <n v="14.99"/>
    <n v="0"/>
  </r>
  <r>
    <n v="4291"/>
    <s v="Other"/>
    <n v="18"/>
    <x v="0"/>
    <x v="0"/>
    <n v="235"/>
    <n v="36"/>
    <n v="0.19"/>
    <s v="Desktop"/>
    <n v="25"/>
    <n v="0"/>
    <n v="0"/>
    <n v="0"/>
    <n v="0"/>
  </r>
  <r>
    <n v="4292"/>
    <s v="Other"/>
    <n v="45"/>
    <x v="6"/>
    <x v="0"/>
    <n v="102"/>
    <n v="77"/>
    <n v="0.1"/>
    <s v="Mobile"/>
    <n v="22"/>
    <n v="0"/>
    <n v="0"/>
    <n v="0"/>
    <n v="0"/>
  </r>
  <r>
    <n v="4293"/>
    <s v="Male"/>
    <n v="22"/>
    <x v="2"/>
    <x v="1"/>
    <n v="149"/>
    <n v="91"/>
    <n v="0.48"/>
    <s v="Desktop"/>
    <n v="0"/>
    <n v="1"/>
    <n v="0"/>
    <n v="14.99"/>
    <n v="0"/>
  </r>
  <r>
    <n v="4294"/>
    <s v="Female"/>
    <n v="50"/>
    <x v="2"/>
    <x v="1"/>
    <n v="215"/>
    <n v="46"/>
    <n v="0.54"/>
    <s v="Web"/>
    <n v="0"/>
    <n v="1"/>
    <n v="0"/>
    <n v="14.99"/>
    <n v="0"/>
  </r>
  <r>
    <n v="4295"/>
    <s v="Other"/>
    <n v="49"/>
    <x v="7"/>
    <x v="2"/>
    <n v="66"/>
    <n v="25"/>
    <n v="0.27"/>
    <s v="Mobile"/>
    <n v="0"/>
    <n v="1"/>
    <n v="0"/>
    <n v="9.99"/>
    <n v="0"/>
  </r>
  <r>
    <n v="4296"/>
    <s v="Female"/>
    <n v="50"/>
    <x v="0"/>
    <x v="0"/>
    <n v="272"/>
    <n v="60"/>
    <n v="0.32"/>
    <s v="Desktop"/>
    <n v="5"/>
    <n v="0"/>
    <n v="0"/>
    <n v="0"/>
    <n v="0"/>
  </r>
  <r>
    <n v="4297"/>
    <s v="Male"/>
    <n v="43"/>
    <x v="1"/>
    <x v="1"/>
    <n v="194"/>
    <n v="21"/>
    <n v="0.26"/>
    <s v="Desktop"/>
    <n v="0"/>
    <n v="1"/>
    <n v="0"/>
    <n v="14.99"/>
    <n v="0"/>
  </r>
  <r>
    <n v="4298"/>
    <s v="Male"/>
    <n v="25"/>
    <x v="2"/>
    <x v="1"/>
    <n v="38"/>
    <n v="38"/>
    <n v="0.46"/>
    <s v="Mobile"/>
    <n v="0"/>
    <n v="1"/>
    <n v="0"/>
    <n v="14.99"/>
    <n v="0"/>
  </r>
  <r>
    <n v="4299"/>
    <s v="Female"/>
    <n v="22"/>
    <x v="1"/>
    <x v="0"/>
    <n v="247"/>
    <n v="57"/>
    <n v="0.42"/>
    <s v="Desktop"/>
    <n v="31"/>
    <n v="0"/>
    <n v="1"/>
    <n v="0"/>
    <n v="0"/>
  </r>
  <r>
    <n v="4300"/>
    <s v="Male"/>
    <n v="18"/>
    <x v="2"/>
    <x v="1"/>
    <n v="109"/>
    <n v="93"/>
    <n v="0.45"/>
    <s v="Mobile"/>
    <n v="0"/>
    <n v="1"/>
    <n v="0"/>
    <n v="14.99"/>
    <n v="0"/>
  </r>
  <r>
    <n v="4301"/>
    <s v="Female"/>
    <n v="52"/>
    <x v="0"/>
    <x v="2"/>
    <n v="145"/>
    <n v="90"/>
    <n v="0.14000000000000001"/>
    <s v="Desktop"/>
    <n v="0"/>
    <n v="1"/>
    <n v="0"/>
    <n v="9.99"/>
    <n v="0"/>
  </r>
  <r>
    <n v="4302"/>
    <s v="Male"/>
    <n v="26"/>
    <x v="0"/>
    <x v="2"/>
    <n v="148"/>
    <n v="91"/>
    <n v="0.01"/>
    <s v="Web"/>
    <n v="0"/>
    <n v="1"/>
    <n v="0"/>
    <n v="9.99"/>
    <n v="0"/>
  </r>
  <r>
    <n v="4303"/>
    <s v="Other"/>
    <n v="26"/>
    <x v="4"/>
    <x v="2"/>
    <n v="244"/>
    <n v="12"/>
    <n v="0.3"/>
    <s v="Desktop"/>
    <n v="0"/>
    <n v="1"/>
    <n v="0"/>
    <n v="9.99"/>
    <n v="0"/>
  </r>
  <r>
    <n v="4304"/>
    <s v="Other"/>
    <n v="41"/>
    <x v="0"/>
    <x v="1"/>
    <n v="192"/>
    <n v="81"/>
    <n v="0.43"/>
    <s v="Desktop"/>
    <n v="0"/>
    <n v="1"/>
    <n v="0"/>
    <n v="14.99"/>
    <n v="0"/>
  </r>
  <r>
    <n v="4305"/>
    <s v="Male"/>
    <n v="33"/>
    <x v="3"/>
    <x v="1"/>
    <n v="236"/>
    <n v="64"/>
    <n v="0.34"/>
    <s v="Web"/>
    <n v="0"/>
    <n v="1"/>
    <n v="0"/>
    <n v="14.99"/>
    <n v="0"/>
  </r>
  <r>
    <n v="4306"/>
    <s v="Other"/>
    <n v="19"/>
    <x v="2"/>
    <x v="0"/>
    <n v="46"/>
    <n v="22"/>
    <n v="0.11"/>
    <s v="Mobile"/>
    <n v="48"/>
    <n v="0"/>
    <n v="0"/>
    <n v="0"/>
    <n v="0"/>
  </r>
  <r>
    <n v="4307"/>
    <s v="Male"/>
    <n v="22"/>
    <x v="1"/>
    <x v="0"/>
    <n v="282"/>
    <n v="31"/>
    <n v="0.6"/>
    <s v="Desktop"/>
    <n v="6"/>
    <n v="0"/>
    <n v="0"/>
    <n v="0"/>
    <n v="0"/>
  </r>
  <r>
    <n v="4308"/>
    <s v="Male"/>
    <n v="49"/>
    <x v="1"/>
    <x v="1"/>
    <n v="286"/>
    <n v="60"/>
    <n v="0.56999999999999995"/>
    <s v="Mobile"/>
    <n v="0"/>
    <n v="1"/>
    <n v="0"/>
    <n v="14.99"/>
    <n v="0"/>
  </r>
  <r>
    <n v="4309"/>
    <s v="Male"/>
    <n v="46"/>
    <x v="5"/>
    <x v="1"/>
    <n v="49"/>
    <n v="74"/>
    <n v="0.2"/>
    <s v="Desktop"/>
    <n v="0"/>
    <n v="1"/>
    <n v="1"/>
    <n v="14.99"/>
    <n v="14.99"/>
  </r>
  <r>
    <n v="4310"/>
    <s v="Female"/>
    <n v="59"/>
    <x v="6"/>
    <x v="2"/>
    <n v="25"/>
    <n v="41"/>
    <n v="0.42"/>
    <s v="Mobile"/>
    <n v="0"/>
    <n v="1"/>
    <n v="1"/>
    <n v="9.99"/>
    <n v="9.99"/>
  </r>
  <r>
    <n v="4311"/>
    <s v="Other"/>
    <n v="22"/>
    <x v="5"/>
    <x v="3"/>
    <n v="40"/>
    <n v="98"/>
    <n v="0.44"/>
    <s v="Desktop"/>
    <n v="0"/>
    <n v="1"/>
    <n v="0"/>
    <n v="4.99"/>
    <n v="0"/>
  </r>
  <r>
    <n v="4312"/>
    <s v="Male"/>
    <n v="18"/>
    <x v="3"/>
    <x v="3"/>
    <n v="131"/>
    <n v="10"/>
    <n v="0.3"/>
    <s v="Web"/>
    <n v="0"/>
    <n v="1"/>
    <n v="0"/>
    <n v="4.99"/>
    <n v="0"/>
  </r>
  <r>
    <n v="4313"/>
    <s v="Male"/>
    <n v="30"/>
    <x v="3"/>
    <x v="0"/>
    <n v="103"/>
    <n v="11"/>
    <n v="0.25"/>
    <s v="Desktop"/>
    <n v="24"/>
    <n v="0"/>
    <n v="0"/>
    <n v="0"/>
    <n v="0"/>
  </r>
  <r>
    <n v="4314"/>
    <s v="Female"/>
    <n v="38"/>
    <x v="3"/>
    <x v="3"/>
    <n v="180"/>
    <n v="77"/>
    <n v="0.08"/>
    <s v="Desktop"/>
    <n v="0"/>
    <n v="1"/>
    <n v="0"/>
    <n v="4.99"/>
    <n v="0"/>
  </r>
  <r>
    <n v="4315"/>
    <s v="Female"/>
    <n v="28"/>
    <x v="2"/>
    <x v="3"/>
    <n v="45"/>
    <n v="97"/>
    <n v="0.39"/>
    <s v="Mobile"/>
    <n v="0"/>
    <n v="1"/>
    <n v="0"/>
    <n v="4.99"/>
    <n v="0"/>
  </r>
  <r>
    <n v="4316"/>
    <s v="Female"/>
    <n v="26"/>
    <x v="7"/>
    <x v="2"/>
    <n v="13"/>
    <n v="39"/>
    <n v="0.31"/>
    <s v="Web"/>
    <n v="0"/>
    <n v="1"/>
    <n v="0"/>
    <n v="9.99"/>
    <n v="0"/>
  </r>
  <r>
    <n v="4317"/>
    <s v="Male"/>
    <n v="30"/>
    <x v="4"/>
    <x v="1"/>
    <n v="154"/>
    <n v="77"/>
    <n v="0.28999999999999998"/>
    <s v="Desktop"/>
    <n v="0"/>
    <n v="1"/>
    <n v="0"/>
    <n v="14.99"/>
    <n v="0"/>
  </r>
  <r>
    <n v="4318"/>
    <s v="Male"/>
    <n v="24"/>
    <x v="7"/>
    <x v="2"/>
    <n v="52"/>
    <n v="86"/>
    <n v="0.28000000000000003"/>
    <s v="Desktop"/>
    <n v="0"/>
    <n v="1"/>
    <n v="0"/>
    <n v="9.99"/>
    <n v="0"/>
  </r>
  <r>
    <n v="4319"/>
    <s v="Other"/>
    <n v="28"/>
    <x v="6"/>
    <x v="1"/>
    <n v="292"/>
    <n v="5"/>
    <n v="0.41"/>
    <s v="Mobile"/>
    <n v="0"/>
    <n v="1"/>
    <n v="0"/>
    <n v="14.99"/>
    <n v="0"/>
  </r>
  <r>
    <n v="4320"/>
    <s v="Male"/>
    <n v="18"/>
    <x v="1"/>
    <x v="1"/>
    <n v="182"/>
    <n v="90"/>
    <n v="0.13"/>
    <s v="Desktop"/>
    <n v="0"/>
    <n v="1"/>
    <n v="1"/>
    <n v="14.99"/>
    <n v="14.99"/>
  </r>
  <r>
    <n v="4321"/>
    <s v="Male"/>
    <n v="21"/>
    <x v="6"/>
    <x v="1"/>
    <n v="24"/>
    <n v="63"/>
    <n v="0.26"/>
    <s v="Desktop"/>
    <n v="0"/>
    <n v="1"/>
    <n v="0"/>
    <n v="14.99"/>
    <n v="0"/>
  </r>
  <r>
    <n v="4322"/>
    <s v="Female"/>
    <n v="27"/>
    <x v="3"/>
    <x v="1"/>
    <n v="167"/>
    <n v="79"/>
    <n v="7.0000000000000007E-2"/>
    <s v="Desktop"/>
    <n v="0"/>
    <n v="1"/>
    <n v="0"/>
    <n v="14.99"/>
    <n v="0"/>
  </r>
  <r>
    <n v="4323"/>
    <s v="Male"/>
    <n v="55"/>
    <x v="7"/>
    <x v="1"/>
    <n v="139"/>
    <n v="7"/>
    <n v="0.06"/>
    <s v="Mobile"/>
    <n v="0"/>
    <n v="1"/>
    <n v="1"/>
    <n v="14.99"/>
    <n v="14.99"/>
  </r>
  <r>
    <n v="4324"/>
    <s v="Male"/>
    <n v="35"/>
    <x v="5"/>
    <x v="1"/>
    <n v="53"/>
    <n v="73"/>
    <n v="0.18"/>
    <s v="Desktop"/>
    <n v="0"/>
    <n v="1"/>
    <n v="0"/>
    <n v="14.99"/>
    <n v="0"/>
  </r>
  <r>
    <n v="4325"/>
    <s v="Male"/>
    <n v="38"/>
    <x v="6"/>
    <x v="2"/>
    <n v="253"/>
    <n v="47"/>
    <n v="0.38"/>
    <s v="Web"/>
    <n v="0"/>
    <n v="1"/>
    <n v="0"/>
    <n v="9.99"/>
    <n v="0"/>
  </r>
  <r>
    <n v="4326"/>
    <s v="Male"/>
    <n v="24"/>
    <x v="6"/>
    <x v="2"/>
    <n v="25"/>
    <n v="98"/>
    <n v="0.5"/>
    <s v="Web"/>
    <n v="0"/>
    <n v="1"/>
    <n v="0"/>
    <n v="9.99"/>
    <n v="0"/>
  </r>
  <r>
    <n v="4327"/>
    <s v="Other"/>
    <n v="33"/>
    <x v="2"/>
    <x v="3"/>
    <n v="31"/>
    <n v="97"/>
    <n v="0.26"/>
    <s v="Desktop"/>
    <n v="0"/>
    <n v="1"/>
    <n v="1"/>
    <n v="4.99"/>
    <n v="4.99"/>
  </r>
  <r>
    <n v="4328"/>
    <s v="Male"/>
    <n v="31"/>
    <x v="6"/>
    <x v="1"/>
    <n v="150"/>
    <n v="43"/>
    <n v="0.44"/>
    <s v="Web"/>
    <n v="0"/>
    <n v="1"/>
    <n v="1"/>
    <n v="14.99"/>
    <n v="14.99"/>
  </r>
  <r>
    <n v="4329"/>
    <s v="Other"/>
    <n v="57"/>
    <x v="2"/>
    <x v="2"/>
    <n v="123"/>
    <n v="8"/>
    <n v="0.56999999999999995"/>
    <s v="Web"/>
    <n v="0"/>
    <n v="1"/>
    <n v="0"/>
    <n v="9.99"/>
    <n v="0"/>
  </r>
  <r>
    <n v="4330"/>
    <s v="Male"/>
    <n v="45"/>
    <x v="1"/>
    <x v="2"/>
    <n v="248"/>
    <n v="14"/>
    <n v="0.45"/>
    <s v="Mobile"/>
    <n v="0"/>
    <n v="1"/>
    <n v="0"/>
    <n v="9.99"/>
    <n v="0"/>
  </r>
  <r>
    <n v="4331"/>
    <s v="Other"/>
    <n v="53"/>
    <x v="6"/>
    <x v="0"/>
    <n v="167"/>
    <n v="2"/>
    <n v="0.1"/>
    <s v="Mobile"/>
    <n v="34"/>
    <n v="0"/>
    <n v="0"/>
    <n v="0"/>
    <n v="0"/>
  </r>
  <r>
    <n v="4332"/>
    <s v="Other"/>
    <n v="45"/>
    <x v="1"/>
    <x v="0"/>
    <n v="219"/>
    <n v="68"/>
    <n v="0.6"/>
    <s v="Desktop"/>
    <n v="45"/>
    <n v="0"/>
    <n v="0"/>
    <n v="0"/>
    <n v="0"/>
  </r>
  <r>
    <n v="4333"/>
    <s v="Male"/>
    <n v="33"/>
    <x v="2"/>
    <x v="0"/>
    <n v="160"/>
    <n v="40"/>
    <n v="0.03"/>
    <s v="Web"/>
    <n v="18"/>
    <n v="0"/>
    <n v="0"/>
    <n v="0"/>
    <n v="0"/>
  </r>
  <r>
    <n v="4334"/>
    <s v="Other"/>
    <n v="16"/>
    <x v="5"/>
    <x v="3"/>
    <n v="60"/>
    <n v="12"/>
    <n v="0.19"/>
    <s v="Desktop"/>
    <n v="0"/>
    <n v="1"/>
    <n v="0"/>
    <n v="4.99"/>
    <n v="0"/>
  </r>
  <r>
    <n v="4335"/>
    <s v="Female"/>
    <n v="36"/>
    <x v="7"/>
    <x v="1"/>
    <n v="211"/>
    <n v="48"/>
    <n v="0.42"/>
    <s v="Mobile"/>
    <n v="0"/>
    <n v="1"/>
    <n v="1"/>
    <n v="14.99"/>
    <n v="14.99"/>
  </r>
  <r>
    <n v="4336"/>
    <s v="Other"/>
    <n v="28"/>
    <x v="4"/>
    <x v="3"/>
    <n v="63"/>
    <n v="82"/>
    <n v="0.17"/>
    <s v="Desktop"/>
    <n v="0"/>
    <n v="1"/>
    <n v="1"/>
    <n v="4.99"/>
    <n v="4.99"/>
  </r>
  <r>
    <n v="4337"/>
    <s v="Female"/>
    <n v="28"/>
    <x v="3"/>
    <x v="2"/>
    <n v="114"/>
    <n v="23"/>
    <n v="0.09"/>
    <s v="Desktop"/>
    <n v="0"/>
    <n v="1"/>
    <n v="0"/>
    <n v="9.99"/>
    <n v="0"/>
  </r>
  <r>
    <n v="4338"/>
    <s v="Male"/>
    <n v="49"/>
    <x v="7"/>
    <x v="3"/>
    <n v="274"/>
    <n v="38"/>
    <n v="0.1"/>
    <s v="Desktop"/>
    <n v="0"/>
    <n v="1"/>
    <n v="0"/>
    <n v="4.99"/>
    <n v="0"/>
  </r>
  <r>
    <n v="4339"/>
    <s v="Other"/>
    <n v="59"/>
    <x v="7"/>
    <x v="3"/>
    <n v="97"/>
    <n v="35"/>
    <n v="0.01"/>
    <s v="Mobile"/>
    <n v="0"/>
    <n v="1"/>
    <n v="0"/>
    <n v="4.99"/>
    <n v="0"/>
  </r>
  <r>
    <n v="4340"/>
    <s v="Male"/>
    <n v="53"/>
    <x v="3"/>
    <x v="2"/>
    <n v="244"/>
    <n v="82"/>
    <n v="0.31"/>
    <s v="Mobile"/>
    <n v="0"/>
    <n v="1"/>
    <n v="0"/>
    <n v="9.99"/>
    <n v="0"/>
  </r>
  <r>
    <n v="4341"/>
    <s v="Other"/>
    <n v="34"/>
    <x v="1"/>
    <x v="2"/>
    <n v="286"/>
    <n v="56"/>
    <n v="0.19"/>
    <s v="Desktop"/>
    <n v="0"/>
    <n v="1"/>
    <n v="0"/>
    <n v="9.99"/>
    <n v="0"/>
  </r>
  <r>
    <n v="4342"/>
    <s v="Female"/>
    <n v="20"/>
    <x v="3"/>
    <x v="0"/>
    <n v="133"/>
    <n v="65"/>
    <n v="0.04"/>
    <s v="Desktop"/>
    <n v="29"/>
    <n v="0"/>
    <n v="0"/>
    <n v="0"/>
    <n v="0"/>
  </r>
  <r>
    <n v="4343"/>
    <s v="Male"/>
    <n v="35"/>
    <x v="1"/>
    <x v="2"/>
    <n v="199"/>
    <n v="91"/>
    <n v="0.02"/>
    <s v="Mobile"/>
    <n v="0"/>
    <n v="1"/>
    <n v="0"/>
    <n v="9.99"/>
    <n v="0"/>
  </r>
  <r>
    <n v="4344"/>
    <s v="Female"/>
    <n v="16"/>
    <x v="4"/>
    <x v="2"/>
    <n v="117"/>
    <n v="56"/>
    <n v="0"/>
    <s v="Web"/>
    <n v="0"/>
    <n v="1"/>
    <n v="1"/>
    <n v="9.99"/>
    <n v="9.99"/>
  </r>
  <r>
    <n v="4345"/>
    <s v="Female"/>
    <n v="42"/>
    <x v="2"/>
    <x v="3"/>
    <n v="233"/>
    <n v="94"/>
    <n v="0.37"/>
    <s v="Web"/>
    <n v="0"/>
    <n v="1"/>
    <n v="0"/>
    <n v="4.99"/>
    <n v="0"/>
  </r>
  <r>
    <n v="4346"/>
    <s v="Male"/>
    <n v="39"/>
    <x v="6"/>
    <x v="0"/>
    <n v="132"/>
    <n v="69"/>
    <n v="0.57999999999999996"/>
    <s v="Web"/>
    <n v="31"/>
    <n v="0"/>
    <n v="0"/>
    <n v="0"/>
    <n v="0"/>
  </r>
  <r>
    <n v="4347"/>
    <s v="Male"/>
    <n v="31"/>
    <x v="7"/>
    <x v="2"/>
    <n v="79"/>
    <n v="17"/>
    <n v="0.3"/>
    <s v="Desktop"/>
    <n v="0"/>
    <n v="1"/>
    <n v="0"/>
    <n v="9.99"/>
    <n v="0"/>
  </r>
  <r>
    <n v="4348"/>
    <s v="Other"/>
    <n v="32"/>
    <x v="1"/>
    <x v="3"/>
    <n v="115"/>
    <n v="56"/>
    <n v="0.01"/>
    <s v="Mobile"/>
    <n v="0"/>
    <n v="1"/>
    <n v="0"/>
    <n v="4.99"/>
    <n v="0"/>
  </r>
  <r>
    <n v="4349"/>
    <s v="Male"/>
    <n v="16"/>
    <x v="0"/>
    <x v="2"/>
    <n v="214"/>
    <n v="6"/>
    <n v="0.15"/>
    <s v="Web"/>
    <n v="0"/>
    <n v="1"/>
    <n v="1"/>
    <n v="9.99"/>
    <n v="9.99"/>
  </r>
  <r>
    <n v="4350"/>
    <s v="Male"/>
    <n v="51"/>
    <x v="0"/>
    <x v="0"/>
    <n v="165"/>
    <n v="81"/>
    <n v="0.54"/>
    <s v="Mobile"/>
    <n v="20"/>
    <n v="0"/>
    <n v="0"/>
    <n v="0"/>
    <n v="0"/>
  </r>
  <r>
    <n v="4351"/>
    <s v="Other"/>
    <n v="59"/>
    <x v="3"/>
    <x v="1"/>
    <n v="85"/>
    <n v="79"/>
    <n v="0.09"/>
    <s v="Mobile"/>
    <n v="0"/>
    <n v="1"/>
    <n v="0"/>
    <n v="14.99"/>
    <n v="0"/>
  </r>
  <r>
    <n v="4352"/>
    <s v="Other"/>
    <n v="45"/>
    <x v="7"/>
    <x v="0"/>
    <n v="90"/>
    <n v="29"/>
    <n v="0.06"/>
    <s v="Desktop"/>
    <n v="14"/>
    <n v="0"/>
    <n v="1"/>
    <n v="0"/>
    <n v="0"/>
  </r>
  <r>
    <n v="4353"/>
    <s v="Male"/>
    <n v="44"/>
    <x v="5"/>
    <x v="2"/>
    <n v="208"/>
    <n v="2"/>
    <n v="0.51"/>
    <s v="Mobile"/>
    <n v="0"/>
    <n v="1"/>
    <n v="0"/>
    <n v="9.99"/>
    <n v="0"/>
  </r>
  <r>
    <n v="4354"/>
    <s v="Other"/>
    <n v="50"/>
    <x v="7"/>
    <x v="2"/>
    <n v="94"/>
    <n v="89"/>
    <n v="0.33"/>
    <s v="Web"/>
    <n v="0"/>
    <n v="1"/>
    <n v="0"/>
    <n v="9.99"/>
    <n v="0"/>
  </r>
  <r>
    <n v="4355"/>
    <s v="Female"/>
    <n v="25"/>
    <x v="7"/>
    <x v="0"/>
    <n v="251"/>
    <n v="68"/>
    <n v="0.28000000000000003"/>
    <s v="Web"/>
    <n v="14"/>
    <n v="0"/>
    <n v="0"/>
    <n v="0"/>
    <n v="0"/>
  </r>
  <r>
    <n v="4356"/>
    <s v="Other"/>
    <n v="31"/>
    <x v="2"/>
    <x v="1"/>
    <n v="268"/>
    <n v="16"/>
    <n v="0.49"/>
    <s v="Desktop"/>
    <n v="0"/>
    <n v="1"/>
    <n v="0"/>
    <n v="14.99"/>
    <n v="0"/>
  </r>
  <r>
    <n v="4357"/>
    <s v="Female"/>
    <n v="55"/>
    <x v="7"/>
    <x v="0"/>
    <n v="133"/>
    <n v="75"/>
    <n v="0.39"/>
    <s v="Desktop"/>
    <n v="10"/>
    <n v="0"/>
    <n v="0"/>
    <n v="0"/>
    <n v="0"/>
  </r>
  <r>
    <n v="4358"/>
    <s v="Female"/>
    <n v="43"/>
    <x v="4"/>
    <x v="1"/>
    <n v="124"/>
    <n v="16"/>
    <n v="0.49"/>
    <s v="Mobile"/>
    <n v="0"/>
    <n v="1"/>
    <n v="0"/>
    <n v="14.99"/>
    <n v="0"/>
  </r>
  <r>
    <n v="4359"/>
    <s v="Female"/>
    <n v="51"/>
    <x v="5"/>
    <x v="0"/>
    <n v="17"/>
    <n v="2"/>
    <n v="0.39"/>
    <s v="Desktop"/>
    <n v="18"/>
    <n v="0"/>
    <n v="0"/>
    <n v="0"/>
    <n v="0"/>
  </r>
  <r>
    <n v="4360"/>
    <s v="Other"/>
    <n v="33"/>
    <x v="2"/>
    <x v="1"/>
    <n v="167"/>
    <n v="99"/>
    <n v="0.22"/>
    <s v="Desktop"/>
    <n v="0"/>
    <n v="1"/>
    <n v="0"/>
    <n v="14.99"/>
    <n v="0"/>
  </r>
  <r>
    <n v="4361"/>
    <s v="Female"/>
    <n v="47"/>
    <x v="4"/>
    <x v="3"/>
    <n v="98"/>
    <n v="3"/>
    <n v="0"/>
    <s v="Web"/>
    <n v="0"/>
    <n v="1"/>
    <n v="0"/>
    <n v="4.99"/>
    <n v="0"/>
  </r>
  <r>
    <n v="4362"/>
    <s v="Male"/>
    <n v="45"/>
    <x v="7"/>
    <x v="0"/>
    <n v="93"/>
    <n v="83"/>
    <n v="0.04"/>
    <s v="Web"/>
    <n v="32"/>
    <n v="0"/>
    <n v="0"/>
    <n v="0"/>
    <n v="0"/>
  </r>
  <r>
    <n v="4363"/>
    <s v="Female"/>
    <n v="58"/>
    <x v="0"/>
    <x v="3"/>
    <n v="159"/>
    <n v="4"/>
    <n v="0.14000000000000001"/>
    <s v="Desktop"/>
    <n v="0"/>
    <n v="1"/>
    <n v="1"/>
    <n v="4.99"/>
    <n v="4.99"/>
  </r>
  <r>
    <n v="4364"/>
    <s v="Female"/>
    <n v="32"/>
    <x v="3"/>
    <x v="2"/>
    <n v="147"/>
    <n v="88"/>
    <n v="0.15"/>
    <s v="Web"/>
    <n v="0"/>
    <n v="1"/>
    <n v="0"/>
    <n v="9.99"/>
    <n v="0"/>
  </r>
  <r>
    <n v="4365"/>
    <s v="Female"/>
    <n v="22"/>
    <x v="7"/>
    <x v="3"/>
    <n v="151"/>
    <n v="30"/>
    <n v="0.06"/>
    <s v="Desktop"/>
    <n v="0"/>
    <n v="1"/>
    <n v="0"/>
    <n v="4.99"/>
    <n v="0"/>
  </r>
  <r>
    <n v="4366"/>
    <s v="Female"/>
    <n v="47"/>
    <x v="0"/>
    <x v="0"/>
    <n v="105"/>
    <n v="30"/>
    <n v="0.51"/>
    <s v="Mobile"/>
    <n v="5"/>
    <n v="0"/>
    <n v="0"/>
    <n v="0"/>
    <n v="0"/>
  </r>
  <r>
    <n v="4367"/>
    <s v="Other"/>
    <n v="40"/>
    <x v="3"/>
    <x v="3"/>
    <n v="296"/>
    <n v="57"/>
    <n v="0.14000000000000001"/>
    <s v="Desktop"/>
    <n v="0"/>
    <n v="1"/>
    <n v="0"/>
    <n v="4.99"/>
    <n v="0"/>
  </r>
  <r>
    <n v="4368"/>
    <s v="Male"/>
    <n v="40"/>
    <x v="0"/>
    <x v="3"/>
    <n v="131"/>
    <n v="37"/>
    <n v="0.47"/>
    <s v="Mobile"/>
    <n v="0"/>
    <n v="1"/>
    <n v="0"/>
    <n v="4.99"/>
    <n v="0"/>
  </r>
  <r>
    <n v="4369"/>
    <s v="Other"/>
    <n v="34"/>
    <x v="7"/>
    <x v="1"/>
    <n v="47"/>
    <n v="28"/>
    <n v="0.17"/>
    <s v="Web"/>
    <n v="0"/>
    <n v="1"/>
    <n v="0"/>
    <n v="14.99"/>
    <n v="0"/>
  </r>
  <r>
    <n v="4370"/>
    <s v="Female"/>
    <n v="57"/>
    <x v="7"/>
    <x v="2"/>
    <n v="129"/>
    <n v="78"/>
    <n v="0.54"/>
    <s v="Mobile"/>
    <n v="0"/>
    <n v="1"/>
    <n v="0"/>
    <n v="9.99"/>
    <n v="0"/>
  </r>
  <r>
    <n v="4371"/>
    <s v="Other"/>
    <n v="30"/>
    <x v="2"/>
    <x v="1"/>
    <n v="217"/>
    <n v="27"/>
    <n v="0.33"/>
    <s v="Web"/>
    <n v="0"/>
    <n v="1"/>
    <n v="1"/>
    <n v="14.99"/>
    <n v="14.99"/>
  </r>
  <r>
    <n v="4372"/>
    <s v="Other"/>
    <n v="54"/>
    <x v="6"/>
    <x v="2"/>
    <n v="280"/>
    <n v="18"/>
    <n v="0.56000000000000005"/>
    <s v="Desktop"/>
    <n v="0"/>
    <n v="1"/>
    <n v="0"/>
    <n v="9.99"/>
    <n v="0"/>
  </r>
  <r>
    <n v="4373"/>
    <s v="Other"/>
    <n v="36"/>
    <x v="2"/>
    <x v="1"/>
    <n v="108"/>
    <n v="15"/>
    <n v="0.04"/>
    <s v="Desktop"/>
    <n v="0"/>
    <n v="1"/>
    <n v="1"/>
    <n v="14.99"/>
    <n v="14.99"/>
  </r>
  <r>
    <n v="4374"/>
    <s v="Female"/>
    <n v="19"/>
    <x v="6"/>
    <x v="1"/>
    <n v="262"/>
    <n v="97"/>
    <n v="0.6"/>
    <s v="Web"/>
    <n v="0"/>
    <n v="1"/>
    <n v="0"/>
    <n v="14.99"/>
    <n v="0"/>
  </r>
  <r>
    <n v="4375"/>
    <s v="Female"/>
    <n v="57"/>
    <x v="2"/>
    <x v="3"/>
    <n v="287"/>
    <n v="73"/>
    <n v="0.41"/>
    <s v="Mobile"/>
    <n v="0"/>
    <n v="1"/>
    <n v="0"/>
    <n v="4.99"/>
    <n v="0"/>
  </r>
  <r>
    <n v="4376"/>
    <s v="Other"/>
    <n v="18"/>
    <x v="3"/>
    <x v="3"/>
    <n v="118"/>
    <n v="66"/>
    <n v="0.4"/>
    <s v="Web"/>
    <n v="0"/>
    <n v="1"/>
    <n v="1"/>
    <n v="4.99"/>
    <n v="4.99"/>
  </r>
  <r>
    <n v="4377"/>
    <s v="Female"/>
    <n v="25"/>
    <x v="0"/>
    <x v="1"/>
    <n v="93"/>
    <n v="87"/>
    <n v="0.14000000000000001"/>
    <s v="Mobile"/>
    <n v="0"/>
    <n v="1"/>
    <n v="0"/>
    <n v="14.99"/>
    <n v="0"/>
  </r>
  <r>
    <n v="4378"/>
    <s v="Male"/>
    <n v="50"/>
    <x v="2"/>
    <x v="2"/>
    <n v="139"/>
    <n v="97"/>
    <n v="0.12"/>
    <s v="Mobile"/>
    <n v="0"/>
    <n v="1"/>
    <n v="0"/>
    <n v="9.99"/>
    <n v="0"/>
  </r>
  <r>
    <n v="4379"/>
    <s v="Male"/>
    <n v="16"/>
    <x v="6"/>
    <x v="0"/>
    <n v="259"/>
    <n v="88"/>
    <n v="0.19"/>
    <s v="Desktop"/>
    <n v="12"/>
    <n v="0"/>
    <n v="0"/>
    <n v="0"/>
    <n v="0"/>
  </r>
  <r>
    <n v="4380"/>
    <s v="Female"/>
    <n v="18"/>
    <x v="2"/>
    <x v="1"/>
    <n v="98"/>
    <n v="65"/>
    <n v="0.05"/>
    <s v="Desktop"/>
    <n v="0"/>
    <n v="1"/>
    <n v="1"/>
    <n v="14.99"/>
    <n v="14.99"/>
  </r>
  <r>
    <n v="4381"/>
    <s v="Female"/>
    <n v="45"/>
    <x v="2"/>
    <x v="1"/>
    <n v="61"/>
    <n v="77"/>
    <n v="0.21"/>
    <s v="Mobile"/>
    <n v="0"/>
    <n v="1"/>
    <n v="0"/>
    <n v="14.99"/>
    <n v="0"/>
  </r>
  <r>
    <n v="4382"/>
    <s v="Other"/>
    <n v="45"/>
    <x v="6"/>
    <x v="2"/>
    <n v="81"/>
    <n v="70"/>
    <n v="0.43"/>
    <s v="Web"/>
    <n v="0"/>
    <n v="1"/>
    <n v="1"/>
    <n v="9.99"/>
    <n v="9.99"/>
  </r>
  <r>
    <n v="4383"/>
    <s v="Male"/>
    <n v="46"/>
    <x v="7"/>
    <x v="0"/>
    <n v="204"/>
    <n v="80"/>
    <n v="0.25"/>
    <s v="Desktop"/>
    <n v="47"/>
    <n v="0"/>
    <n v="0"/>
    <n v="0"/>
    <n v="0"/>
  </r>
  <r>
    <n v="4384"/>
    <s v="Female"/>
    <n v="49"/>
    <x v="3"/>
    <x v="0"/>
    <n v="158"/>
    <n v="44"/>
    <n v="0.09"/>
    <s v="Desktop"/>
    <n v="34"/>
    <n v="0"/>
    <n v="1"/>
    <n v="0"/>
    <n v="0"/>
  </r>
  <r>
    <n v="4385"/>
    <s v="Female"/>
    <n v="21"/>
    <x v="6"/>
    <x v="0"/>
    <n v="174"/>
    <n v="8"/>
    <n v="0.08"/>
    <s v="Mobile"/>
    <n v="14"/>
    <n v="0"/>
    <n v="1"/>
    <n v="0"/>
    <n v="0"/>
  </r>
  <r>
    <n v="4386"/>
    <s v="Male"/>
    <n v="46"/>
    <x v="1"/>
    <x v="3"/>
    <n v="72"/>
    <n v="22"/>
    <n v="0.19"/>
    <s v="Desktop"/>
    <n v="0"/>
    <n v="1"/>
    <n v="0"/>
    <n v="4.99"/>
    <n v="0"/>
  </r>
  <r>
    <n v="4387"/>
    <s v="Male"/>
    <n v="32"/>
    <x v="6"/>
    <x v="3"/>
    <n v="22"/>
    <n v="81"/>
    <n v="0.41"/>
    <s v="Mobile"/>
    <n v="0"/>
    <n v="1"/>
    <n v="0"/>
    <n v="4.99"/>
    <n v="0"/>
  </r>
  <r>
    <n v="4388"/>
    <s v="Other"/>
    <n v="38"/>
    <x v="1"/>
    <x v="1"/>
    <n v="118"/>
    <n v="72"/>
    <n v="0.22"/>
    <s v="Mobile"/>
    <n v="0"/>
    <n v="1"/>
    <n v="0"/>
    <n v="14.99"/>
    <n v="0"/>
  </r>
  <r>
    <n v="4389"/>
    <s v="Male"/>
    <n v="21"/>
    <x v="6"/>
    <x v="0"/>
    <n v="292"/>
    <n v="83"/>
    <n v="0.3"/>
    <s v="Desktop"/>
    <n v="44"/>
    <n v="0"/>
    <n v="1"/>
    <n v="0"/>
    <n v="0"/>
  </r>
  <r>
    <n v="4390"/>
    <s v="Other"/>
    <n v="27"/>
    <x v="1"/>
    <x v="0"/>
    <n v="261"/>
    <n v="9"/>
    <n v="0.12"/>
    <s v="Web"/>
    <n v="48"/>
    <n v="0"/>
    <n v="0"/>
    <n v="0"/>
    <n v="0"/>
  </r>
  <r>
    <n v="4391"/>
    <s v="Female"/>
    <n v="35"/>
    <x v="2"/>
    <x v="3"/>
    <n v="15"/>
    <n v="33"/>
    <n v="0.59"/>
    <s v="Desktop"/>
    <n v="0"/>
    <n v="1"/>
    <n v="0"/>
    <n v="4.99"/>
    <n v="0"/>
  </r>
  <r>
    <n v="4392"/>
    <s v="Other"/>
    <n v="48"/>
    <x v="2"/>
    <x v="0"/>
    <n v="92"/>
    <n v="61"/>
    <n v="0.27"/>
    <s v="Mobile"/>
    <n v="46"/>
    <n v="0"/>
    <n v="0"/>
    <n v="0"/>
    <n v="0"/>
  </r>
  <r>
    <n v="4393"/>
    <s v="Female"/>
    <n v="52"/>
    <x v="1"/>
    <x v="1"/>
    <n v="50"/>
    <n v="55"/>
    <n v="0.35"/>
    <s v="Mobile"/>
    <n v="0"/>
    <n v="1"/>
    <n v="0"/>
    <n v="14.99"/>
    <n v="0"/>
  </r>
  <r>
    <n v="4394"/>
    <s v="Female"/>
    <n v="58"/>
    <x v="5"/>
    <x v="2"/>
    <n v="144"/>
    <n v="54"/>
    <n v="0.33"/>
    <s v="Web"/>
    <n v="0"/>
    <n v="1"/>
    <n v="0"/>
    <n v="9.99"/>
    <n v="0"/>
  </r>
  <r>
    <n v="4395"/>
    <s v="Female"/>
    <n v="32"/>
    <x v="7"/>
    <x v="0"/>
    <n v="137"/>
    <n v="88"/>
    <n v="0.21"/>
    <s v="Mobile"/>
    <n v="35"/>
    <n v="0"/>
    <n v="0"/>
    <n v="0"/>
    <n v="0"/>
  </r>
  <r>
    <n v="4396"/>
    <s v="Male"/>
    <n v="28"/>
    <x v="7"/>
    <x v="1"/>
    <n v="195"/>
    <n v="78"/>
    <n v="0.38"/>
    <s v="Web"/>
    <n v="0"/>
    <n v="1"/>
    <n v="1"/>
    <n v="14.99"/>
    <n v="14.99"/>
  </r>
  <r>
    <n v="4397"/>
    <s v="Male"/>
    <n v="41"/>
    <x v="5"/>
    <x v="0"/>
    <n v="61"/>
    <n v="1"/>
    <n v="0.39"/>
    <s v="Mobile"/>
    <n v="16"/>
    <n v="0"/>
    <n v="1"/>
    <n v="0"/>
    <n v="0"/>
  </r>
  <r>
    <n v="4398"/>
    <s v="Female"/>
    <n v="53"/>
    <x v="2"/>
    <x v="1"/>
    <n v="297"/>
    <n v="2"/>
    <n v="0.37"/>
    <s v="Mobile"/>
    <n v="0"/>
    <n v="1"/>
    <n v="0"/>
    <n v="14.99"/>
    <n v="0"/>
  </r>
  <r>
    <n v="4399"/>
    <s v="Male"/>
    <n v="47"/>
    <x v="6"/>
    <x v="3"/>
    <n v="73"/>
    <n v="34"/>
    <n v="0.4"/>
    <s v="Web"/>
    <n v="0"/>
    <n v="1"/>
    <n v="0"/>
    <n v="4.99"/>
    <n v="0"/>
  </r>
  <r>
    <n v="4400"/>
    <s v="Female"/>
    <n v="34"/>
    <x v="3"/>
    <x v="2"/>
    <n v="117"/>
    <n v="53"/>
    <n v="0.41"/>
    <s v="Desktop"/>
    <n v="0"/>
    <n v="1"/>
    <n v="0"/>
    <n v="9.99"/>
    <n v="0"/>
  </r>
  <r>
    <n v="4401"/>
    <s v="Male"/>
    <n v="45"/>
    <x v="0"/>
    <x v="0"/>
    <n v="243"/>
    <n v="39"/>
    <n v="0.31"/>
    <s v="Desktop"/>
    <n v="47"/>
    <n v="0"/>
    <n v="0"/>
    <n v="0"/>
    <n v="0"/>
  </r>
  <r>
    <n v="4402"/>
    <s v="Female"/>
    <n v="19"/>
    <x v="4"/>
    <x v="2"/>
    <n v="150"/>
    <n v="88"/>
    <n v="0.59"/>
    <s v="Web"/>
    <n v="0"/>
    <n v="1"/>
    <n v="0"/>
    <n v="9.99"/>
    <n v="0"/>
  </r>
  <r>
    <n v="4403"/>
    <s v="Male"/>
    <n v="47"/>
    <x v="1"/>
    <x v="2"/>
    <n v="157"/>
    <n v="62"/>
    <n v="0.06"/>
    <s v="Desktop"/>
    <n v="0"/>
    <n v="1"/>
    <n v="0"/>
    <n v="9.99"/>
    <n v="0"/>
  </r>
  <r>
    <n v="4404"/>
    <s v="Male"/>
    <n v="45"/>
    <x v="0"/>
    <x v="0"/>
    <n v="201"/>
    <n v="39"/>
    <n v="0.51"/>
    <s v="Mobile"/>
    <n v="13"/>
    <n v="0"/>
    <n v="0"/>
    <n v="0"/>
    <n v="0"/>
  </r>
  <r>
    <n v="4405"/>
    <s v="Other"/>
    <n v="24"/>
    <x v="7"/>
    <x v="2"/>
    <n v="211"/>
    <n v="74"/>
    <n v="0.15"/>
    <s v="Desktop"/>
    <n v="0"/>
    <n v="1"/>
    <n v="0"/>
    <n v="9.99"/>
    <n v="0"/>
  </r>
  <r>
    <n v="4406"/>
    <s v="Other"/>
    <n v="45"/>
    <x v="6"/>
    <x v="0"/>
    <n v="290"/>
    <n v="27"/>
    <n v="0.47"/>
    <s v="Mobile"/>
    <n v="29"/>
    <n v="0"/>
    <n v="1"/>
    <n v="0"/>
    <n v="0"/>
  </r>
  <r>
    <n v="4407"/>
    <s v="Male"/>
    <n v="30"/>
    <x v="3"/>
    <x v="3"/>
    <n v="150"/>
    <n v="99"/>
    <n v="0.5"/>
    <s v="Desktop"/>
    <n v="0"/>
    <n v="1"/>
    <n v="0"/>
    <n v="4.99"/>
    <n v="0"/>
  </r>
  <r>
    <n v="4408"/>
    <s v="Female"/>
    <n v="57"/>
    <x v="0"/>
    <x v="1"/>
    <n v="97"/>
    <n v="30"/>
    <n v="0.33"/>
    <s v="Web"/>
    <n v="0"/>
    <n v="1"/>
    <n v="1"/>
    <n v="14.99"/>
    <n v="14.99"/>
  </r>
  <r>
    <n v="4409"/>
    <s v="Other"/>
    <n v="50"/>
    <x v="7"/>
    <x v="3"/>
    <n v="60"/>
    <n v="93"/>
    <n v="0.34"/>
    <s v="Desktop"/>
    <n v="0"/>
    <n v="1"/>
    <n v="0"/>
    <n v="4.99"/>
    <n v="0"/>
  </r>
  <r>
    <n v="4410"/>
    <s v="Female"/>
    <n v="52"/>
    <x v="0"/>
    <x v="1"/>
    <n v="20"/>
    <n v="60"/>
    <n v="0.6"/>
    <s v="Web"/>
    <n v="0"/>
    <n v="1"/>
    <n v="0"/>
    <n v="14.99"/>
    <n v="0"/>
  </r>
  <r>
    <n v="4411"/>
    <s v="Female"/>
    <n v="24"/>
    <x v="2"/>
    <x v="2"/>
    <n v="249"/>
    <n v="5"/>
    <n v="0.53"/>
    <s v="Web"/>
    <n v="0"/>
    <n v="1"/>
    <n v="1"/>
    <n v="9.99"/>
    <n v="9.99"/>
  </r>
  <r>
    <n v="4412"/>
    <s v="Female"/>
    <n v="59"/>
    <x v="7"/>
    <x v="3"/>
    <n v="48"/>
    <n v="37"/>
    <n v="0.28999999999999998"/>
    <s v="Mobile"/>
    <n v="0"/>
    <n v="1"/>
    <n v="1"/>
    <n v="4.99"/>
    <n v="4.99"/>
  </r>
  <r>
    <n v="4413"/>
    <s v="Other"/>
    <n v="23"/>
    <x v="3"/>
    <x v="3"/>
    <n v="180"/>
    <n v="63"/>
    <n v="0.01"/>
    <s v="Mobile"/>
    <n v="0"/>
    <n v="1"/>
    <n v="0"/>
    <n v="4.99"/>
    <n v="0"/>
  </r>
  <r>
    <n v="4414"/>
    <s v="Other"/>
    <n v="36"/>
    <x v="0"/>
    <x v="1"/>
    <n v="194"/>
    <n v="91"/>
    <n v="7.0000000000000007E-2"/>
    <s v="Web"/>
    <n v="0"/>
    <n v="1"/>
    <n v="1"/>
    <n v="14.99"/>
    <n v="14.99"/>
  </r>
  <r>
    <n v="4415"/>
    <s v="Female"/>
    <n v="27"/>
    <x v="5"/>
    <x v="0"/>
    <n v="250"/>
    <n v="24"/>
    <n v="0.38"/>
    <s v="Mobile"/>
    <n v="6"/>
    <n v="0"/>
    <n v="0"/>
    <n v="0"/>
    <n v="0"/>
  </r>
  <r>
    <n v="4416"/>
    <s v="Female"/>
    <n v="21"/>
    <x v="1"/>
    <x v="0"/>
    <n v="195"/>
    <n v="55"/>
    <n v="7.0000000000000007E-2"/>
    <s v="Desktop"/>
    <n v="43"/>
    <n v="0"/>
    <n v="1"/>
    <n v="0"/>
    <n v="0"/>
  </r>
  <r>
    <n v="4417"/>
    <s v="Male"/>
    <n v="33"/>
    <x v="5"/>
    <x v="2"/>
    <n v="262"/>
    <n v="60"/>
    <n v="0.31"/>
    <s v="Desktop"/>
    <n v="0"/>
    <n v="1"/>
    <n v="0"/>
    <n v="9.99"/>
    <n v="0"/>
  </r>
  <r>
    <n v="4418"/>
    <s v="Female"/>
    <n v="28"/>
    <x v="5"/>
    <x v="1"/>
    <n v="249"/>
    <n v="78"/>
    <n v="0.24"/>
    <s v="Web"/>
    <n v="0"/>
    <n v="1"/>
    <n v="0"/>
    <n v="14.99"/>
    <n v="0"/>
  </r>
  <r>
    <n v="4419"/>
    <s v="Other"/>
    <n v="43"/>
    <x v="3"/>
    <x v="1"/>
    <n v="177"/>
    <n v="66"/>
    <n v="0.24"/>
    <s v="Desktop"/>
    <n v="0"/>
    <n v="1"/>
    <n v="0"/>
    <n v="14.99"/>
    <n v="0"/>
  </r>
  <r>
    <n v="4420"/>
    <s v="Other"/>
    <n v="49"/>
    <x v="3"/>
    <x v="3"/>
    <n v="101"/>
    <n v="39"/>
    <n v="0.39"/>
    <s v="Desktop"/>
    <n v="0"/>
    <n v="1"/>
    <n v="0"/>
    <n v="4.99"/>
    <n v="0"/>
  </r>
  <r>
    <n v="4421"/>
    <s v="Female"/>
    <n v="23"/>
    <x v="2"/>
    <x v="3"/>
    <n v="84"/>
    <n v="23"/>
    <n v="0.04"/>
    <s v="Web"/>
    <n v="0"/>
    <n v="1"/>
    <n v="0"/>
    <n v="4.99"/>
    <n v="0"/>
  </r>
  <r>
    <n v="4422"/>
    <s v="Female"/>
    <n v="49"/>
    <x v="7"/>
    <x v="1"/>
    <n v="255"/>
    <n v="88"/>
    <n v="0.44"/>
    <s v="Web"/>
    <n v="0"/>
    <n v="1"/>
    <n v="0"/>
    <n v="14.99"/>
    <n v="0"/>
  </r>
  <r>
    <n v="4423"/>
    <s v="Female"/>
    <n v="23"/>
    <x v="0"/>
    <x v="0"/>
    <n v="234"/>
    <n v="87"/>
    <n v="0.27"/>
    <s v="Desktop"/>
    <n v="25"/>
    <n v="0"/>
    <n v="0"/>
    <n v="0"/>
    <n v="0"/>
  </r>
  <r>
    <n v="4424"/>
    <s v="Other"/>
    <n v="46"/>
    <x v="1"/>
    <x v="3"/>
    <n v="149"/>
    <n v="83"/>
    <n v="0.56000000000000005"/>
    <s v="Desktop"/>
    <n v="0"/>
    <n v="1"/>
    <n v="1"/>
    <n v="4.99"/>
    <n v="4.99"/>
  </r>
  <r>
    <n v="4425"/>
    <s v="Male"/>
    <n v="53"/>
    <x v="5"/>
    <x v="0"/>
    <n v="289"/>
    <n v="55"/>
    <n v="0.25"/>
    <s v="Desktop"/>
    <n v="46"/>
    <n v="0"/>
    <n v="0"/>
    <n v="0"/>
    <n v="0"/>
  </r>
  <r>
    <n v="4426"/>
    <s v="Male"/>
    <n v="17"/>
    <x v="7"/>
    <x v="3"/>
    <n v="266"/>
    <n v="28"/>
    <n v="0.47"/>
    <s v="Desktop"/>
    <n v="0"/>
    <n v="1"/>
    <n v="1"/>
    <n v="4.99"/>
    <n v="4.99"/>
  </r>
  <r>
    <n v="4427"/>
    <s v="Other"/>
    <n v="35"/>
    <x v="7"/>
    <x v="1"/>
    <n v="214"/>
    <n v="29"/>
    <n v="0.27"/>
    <s v="Mobile"/>
    <n v="0"/>
    <n v="1"/>
    <n v="0"/>
    <n v="14.99"/>
    <n v="0"/>
  </r>
  <r>
    <n v="4428"/>
    <s v="Male"/>
    <n v="48"/>
    <x v="5"/>
    <x v="1"/>
    <n v="176"/>
    <n v="65"/>
    <n v="0.11"/>
    <s v="Mobile"/>
    <n v="0"/>
    <n v="1"/>
    <n v="0"/>
    <n v="14.99"/>
    <n v="0"/>
  </r>
  <r>
    <n v="4429"/>
    <s v="Female"/>
    <n v="22"/>
    <x v="4"/>
    <x v="2"/>
    <n v="36"/>
    <n v="32"/>
    <n v="0.44"/>
    <s v="Web"/>
    <n v="0"/>
    <n v="1"/>
    <n v="0"/>
    <n v="9.99"/>
    <n v="0"/>
  </r>
  <r>
    <n v="4430"/>
    <s v="Male"/>
    <n v="22"/>
    <x v="5"/>
    <x v="0"/>
    <n v="291"/>
    <n v="43"/>
    <n v="0.14000000000000001"/>
    <s v="Desktop"/>
    <n v="7"/>
    <n v="0"/>
    <n v="1"/>
    <n v="0"/>
    <n v="0"/>
  </r>
  <r>
    <n v="4431"/>
    <s v="Other"/>
    <n v="30"/>
    <x v="2"/>
    <x v="2"/>
    <n v="176"/>
    <n v="68"/>
    <n v="0.56000000000000005"/>
    <s v="Mobile"/>
    <n v="0"/>
    <n v="1"/>
    <n v="0"/>
    <n v="9.99"/>
    <n v="0"/>
  </r>
  <r>
    <n v="4432"/>
    <s v="Female"/>
    <n v="17"/>
    <x v="5"/>
    <x v="3"/>
    <n v="108"/>
    <n v="17"/>
    <n v="0.17"/>
    <s v="Mobile"/>
    <n v="0"/>
    <n v="1"/>
    <n v="0"/>
    <n v="4.99"/>
    <n v="0"/>
  </r>
  <r>
    <n v="4433"/>
    <s v="Male"/>
    <n v="58"/>
    <x v="1"/>
    <x v="1"/>
    <n v="232"/>
    <n v="15"/>
    <n v="0.01"/>
    <s v="Mobile"/>
    <n v="0"/>
    <n v="1"/>
    <n v="0"/>
    <n v="14.99"/>
    <n v="0"/>
  </r>
  <r>
    <n v="4434"/>
    <s v="Female"/>
    <n v="58"/>
    <x v="1"/>
    <x v="3"/>
    <n v="13"/>
    <n v="78"/>
    <n v="0.43"/>
    <s v="Mobile"/>
    <n v="0"/>
    <n v="1"/>
    <n v="0"/>
    <n v="4.99"/>
    <n v="0"/>
  </r>
  <r>
    <n v="4435"/>
    <s v="Other"/>
    <n v="26"/>
    <x v="3"/>
    <x v="1"/>
    <n v="279"/>
    <n v="39"/>
    <n v="0.45"/>
    <s v="Web"/>
    <n v="0"/>
    <n v="1"/>
    <n v="0"/>
    <n v="14.99"/>
    <n v="0"/>
  </r>
  <r>
    <n v="4436"/>
    <s v="Other"/>
    <n v="39"/>
    <x v="5"/>
    <x v="1"/>
    <n v="45"/>
    <n v="47"/>
    <n v="0.53"/>
    <s v="Mobile"/>
    <n v="0"/>
    <n v="1"/>
    <n v="0"/>
    <n v="14.99"/>
    <n v="0"/>
  </r>
  <r>
    <n v="4437"/>
    <s v="Male"/>
    <n v="52"/>
    <x v="0"/>
    <x v="0"/>
    <n v="153"/>
    <n v="97"/>
    <n v="0.39"/>
    <s v="Desktop"/>
    <n v="48"/>
    <n v="0"/>
    <n v="0"/>
    <n v="0"/>
    <n v="0"/>
  </r>
  <r>
    <n v="4438"/>
    <s v="Male"/>
    <n v="34"/>
    <x v="5"/>
    <x v="0"/>
    <n v="203"/>
    <n v="56"/>
    <n v="0.04"/>
    <s v="Web"/>
    <n v="19"/>
    <n v="0"/>
    <n v="0"/>
    <n v="0"/>
    <n v="0"/>
  </r>
  <r>
    <n v="4439"/>
    <s v="Other"/>
    <n v="31"/>
    <x v="3"/>
    <x v="1"/>
    <n v="258"/>
    <n v="75"/>
    <n v="0.38"/>
    <s v="Desktop"/>
    <n v="0"/>
    <n v="1"/>
    <n v="0"/>
    <n v="14.99"/>
    <n v="0"/>
  </r>
  <r>
    <n v="4440"/>
    <s v="Male"/>
    <n v="21"/>
    <x v="4"/>
    <x v="2"/>
    <n v="279"/>
    <n v="45"/>
    <n v="0.16"/>
    <s v="Web"/>
    <n v="0"/>
    <n v="1"/>
    <n v="0"/>
    <n v="9.99"/>
    <n v="0"/>
  </r>
  <r>
    <n v="4441"/>
    <s v="Other"/>
    <n v="57"/>
    <x v="3"/>
    <x v="0"/>
    <n v="106"/>
    <n v="47"/>
    <n v="0.4"/>
    <s v="Web"/>
    <n v="20"/>
    <n v="0"/>
    <n v="1"/>
    <n v="0"/>
    <n v="0"/>
  </r>
  <r>
    <n v="4442"/>
    <s v="Male"/>
    <n v="33"/>
    <x v="1"/>
    <x v="2"/>
    <n v="101"/>
    <n v="72"/>
    <n v="0.19"/>
    <s v="Mobile"/>
    <n v="0"/>
    <n v="1"/>
    <n v="0"/>
    <n v="9.99"/>
    <n v="0"/>
  </r>
  <r>
    <n v="4443"/>
    <s v="Female"/>
    <n v="31"/>
    <x v="3"/>
    <x v="2"/>
    <n v="23"/>
    <n v="76"/>
    <n v="0.55000000000000004"/>
    <s v="Desktop"/>
    <n v="0"/>
    <n v="1"/>
    <n v="0"/>
    <n v="9.99"/>
    <n v="0"/>
  </r>
  <r>
    <n v="4444"/>
    <s v="Male"/>
    <n v="17"/>
    <x v="2"/>
    <x v="3"/>
    <n v="85"/>
    <n v="66"/>
    <n v="0.49"/>
    <s v="Web"/>
    <n v="0"/>
    <n v="1"/>
    <n v="0"/>
    <n v="4.99"/>
    <n v="0"/>
  </r>
  <r>
    <n v="4445"/>
    <s v="Female"/>
    <n v="19"/>
    <x v="0"/>
    <x v="0"/>
    <n v="150"/>
    <n v="20"/>
    <n v="0.34"/>
    <s v="Mobile"/>
    <n v="39"/>
    <n v="0"/>
    <n v="0"/>
    <n v="0"/>
    <n v="0"/>
  </r>
  <r>
    <n v="4446"/>
    <s v="Other"/>
    <n v="56"/>
    <x v="7"/>
    <x v="1"/>
    <n v="12"/>
    <n v="66"/>
    <n v="0.56000000000000005"/>
    <s v="Web"/>
    <n v="0"/>
    <n v="1"/>
    <n v="1"/>
    <n v="14.99"/>
    <n v="14.99"/>
  </r>
  <r>
    <n v="4447"/>
    <s v="Female"/>
    <n v="52"/>
    <x v="0"/>
    <x v="1"/>
    <n v="38"/>
    <n v="85"/>
    <n v="0.23"/>
    <s v="Web"/>
    <n v="0"/>
    <n v="1"/>
    <n v="1"/>
    <n v="14.99"/>
    <n v="14.99"/>
  </r>
  <r>
    <n v="4448"/>
    <s v="Other"/>
    <n v="48"/>
    <x v="1"/>
    <x v="3"/>
    <n v="44"/>
    <n v="68"/>
    <n v="0.2"/>
    <s v="Web"/>
    <n v="0"/>
    <n v="1"/>
    <n v="0"/>
    <n v="4.99"/>
    <n v="0"/>
  </r>
  <r>
    <n v="4449"/>
    <s v="Other"/>
    <n v="58"/>
    <x v="2"/>
    <x v="1"/>
    <n v="75"/>
    <n v="20"/>
    <n v="0.05"/>
    <s v="Web"/>
    <n v="0"/>
    <n v="1"/>
    <n v="0"/>
    <n v="14.99"/>
    <n v="0"/>
  </r>
  <r>
    <n v="4450"/>
    <s v="Other"/>
    <n v="22"/>
    <x v="7"/>
    <x v="1"/>
    <n v="161"/>
    <n v="78"/>
    <n v="0.28999999999999998"/>
    <s v="Desktop"/>
    <n v="0"/>
    <n v="1"/>
    <n v="1"/>
    <n v="14.99"/>
    <n v="14.99"/>
  </r>
  <r>
    <n v="4451"/>
    <s v="Male"/>
    <n v="22"/>
    <x v="3"/>
    <x v="3"/>
    <n v="66"/>
    <n v="52"/>
    <n v="0.52"/>
    <s v="Desktop"/>
    <n v="0"/>
    <n v="1"/>
    <n v="1"/>
    <n v="4.99"/>
    <n v="4.99"/>
  </r>
  <r>
    <n v="4452"/>
    <s v="Male"/>
    <n v="16"/>
    <x v="2"/>
    <x v="0"/>
    <n v="60"/>
    <n v="9"/>
    <n v="0.6"/>
    <s v="Desktop"/>
    <n v="39"/>
    <n v="0"/>
    <n v="0"/>
    <n v="0"/>
    <n v="0"/>
  </r>
  <r>
    <n v="4453"/>
    <s v="Female"/>
    <n v="55"/>
    <x v="7"/>
    <x v="0"/>
    <n v="179"/>
    <n v="44"/>
    <n v="0.3"/>
    <s v="Web"/>
    <n v="20"/>
    <n v="0"/>
    <n v="0"/>
    <n v="0"/>
    <n v="0"/>
  </r>
  <r>
    <n v="4454"/>
    <s v="Female"/>
    <n v="42"/>
    <x v="7"/>
    <x v="3"/>
    <n v="224"/>
    <n v="63"/>
    <n v="0.32"/>
    <s v="Web"/>
    <n v="0"/>
    <n v="1"/>
    <n v="1"/>
    <n v="4.99"/>
    <n v="4.99"/>
  </r>
  <r>
    <n v="4455"/>
    <s v="Male"/>
    <n v="54"/>
    <x v="4"/>
    <x v="2"/>
    <n v="225"/>
    <n v="24"/>
    <n v="0.53"/>
    <s v="Desktop"/>
    <n v="0"/>
    <n v="1"/>
    <n v="0"/>
    <n v="9.99"/>
    <n v="0"/>
  </r>
  <r>
    <n v="4456"/>
    <s v="Other"/>
    <n v="52"/>
    <x v="5"/>
    <x v="1"/>
    <n v="74"/>
    <n v="79"/>
    <n v="0.26"/>
    <s v="Desktop"/>
    <n v="0"/>
    <n v="1"/>
    <n v="0"/>
    <n v="14.99"/>
    <n v="0"/>
  </r>
  <r>
    <n v="4457"/>
    <s v="Female"/>
    <n v="39"/>
    <x v="7"/>
    <x v="2"/>
    <n v="226"/>
    <n v="71"/>
    <n v="0.02"/>
    <s v="Mobile"/>
    <n v="0"/>
    <n v="1"/>
    <n v="0"/>
    <n v="9.99"/>
    <n v="0"/>
  </r>
  <r>
    <n v="4458"/>
    <s v="Female"/>
    <n v="55"/>
    <x v="0"/>
    <x v="0"/>
    <n v="285"/>
    <n v="30"/>
    <n v="0.33"/>
    <s v="Mobile"/>
    <n v="27"/>
    <n v="0"/>
    <n v="0"/>
    <n v="0"/>
    <n v="0"/>
  </r>
  <r>
    <n v="4459"/>
    <s v="Male"/>
    <n v="26"/>
    <x v="1"/>
    <x v="1"/>
    <n v="275"/>
    <n v="19"/>
    <n v="0.17"/>
    <s v="Desktop"/>
    <n v="0"/>
    <n v="1"/>
    <n v="0"/>
    <n v="14.99"/>
    <n v="0"/>
  </r>
  <r>
    <n v="4460"/>
    <s v="Male"/>
    <n v="52"/>
    <x v="3"/>
    <x v="1"/>
    <n v="247"/>
    <n v="11"/>
    <n v="0.04"/>
    <s v="Web"/>
    <n v="0"/>
    <n v="1"/>
    <n v="1"/>
    <n v="14.99"/>
    <n v="14.99"/>
  </r>
  <r>
    <n v="4461"/>
    <s v="Other"/>
    <n v="34"/>
    <x v="1"/>
    <x v="3"/>
    <n v="153"/>
    <n v="82"/>
    <n v="0.47"/>
    <s v="Desktop"/>
    <n v="0"/>
    <n v="1"/>
    <n v="0"/>
    <n v="4.99"/>
    <n v="0"/>
  </r>
  <r>
    <n v="4462"/>
    <s v="Other"/>
    <n v="16"/>
    <x v="5"/>
    <x v="0"/>
    <n v="296"/>
    <n v="77"/>
    <n v="0.1"/>
    <s v="Web"/>
    <n v="22"/>
    <n v="0"/>
    <n v="0"/>
    <n v="0"/>
    <n v="0"/>
  </r>
  <r>
    <n v="4463"/>
    <s v="Female"/>
    <n v="31"/>
    <x v="4"/>
    <x v="3"/>
    <n v="129"/>
    <n v="97"/>
    <n v="0.21"/>
    <s v="Desktop"/>
    <n v="0"/>
    <n v="1"/>
    <n v="0"/>
    <n v="4.99"/>
    <n v="0"/>
  </r>
  <r>
    <n v="4464"/>
    <s v="Other"/>
    <n v="47"/>
    <x v="3"/>
    <x v="0"/>
    <n v="283"/>
    <n v="24"/>
    <n v="0.15"/>
    <s v="Web"/>
    <n v="28"/>
    <n v="0"/>
    <n v="0"/>
    <n v="0"/>
    <n v="0"/>
  </r>
  <r>
    <n v="4465"/>
    <s v="Other"/>
    <n v="30"/>
    <x v="2"/>
    <x v="1"/>
    <n v="79"/>
    <n v="67"/>
    <n v="0.22"/>
    <s v="Desktop"/>
    <n v="0"/>
    <n v="1"/>
    <n v="1"/>
    <n v="14.99"/>
    <n v="14.99"/>
  </r>
  <r>
    <n v="4466"/>
    <s v="Female"/>
    <n v="50"/>
    <x v="5"/>
    <x v="1"/>
    <n v="282"/>
    <n v="19"/>
    <n v="0.38"/>
    <s v="Desktop"/>
    <n v="0"/>
    <n v="1"/>
    <n v="1"/>
    <n v="14.99"/>
    <n v="14.99"/>
  </r>
  <r>
    <n v="4467"/>
    <s v="Female"/>
    <n v="30"/>
    <x v="5"/>
    <x v="0"/>
    <n v="159"/>
    <n v="57"/>
    <n v="0.46"/>
    <s v="Desktop"/>
    <n v="15"/>
    <n v="0"/>
    <n v="0"/>
    <n v="0"/>
    <n v="0"/>
  </r>
  <r>
    <n v="4468"/>
    <s v="Male"/>
    <n v="20"/>
    <x v="2"/>
    <x v="3"/>
    <n v="147"/>
    <n v="41"/>
    <n v="0.19"/>
    <s v="Mobile"/>
    <n v="0"/>
    <n v="1"/>
    <n v="0"/>
    <n v="4.99"/>
    <n v="0"/>
  </r>
  <r>
    <n v="4469"/>
    <s v="Male"/>
    <n v="29"/>
    <x v="7"/>
    <x v="0"/>
    <n v="92"/>
    <n v="96"/>
    <n v="0.08"/>
    <s v="Web"/>
    <n v="43"/>
    <n v="0"/>
    <n v="0"/>
    <n v="0"/>
    <n v="0"/>
  </r>
  <r>
    <n v="4470"/>
    <s v="Male"/>
    <n v="26"/>
    <x v="6"/>
    <x v="0"/>
    <n v="86"/>
    <n v="65"/>
    <n v="0"/>
    <s v="Desktop"/>
    <n v="32"/>
    <n v="0"/>
    <n v="0"/>
    <n v="0"/>
    <n v="0"/>
  </r>
  <r>
    <n v="4471"/>
    <s v="Other"/>
    <n v="45"/>
    <x v="2"/>
    <x v="0"/>
    <n v="209"/>
    <n v="81"/>
    <n v="0.26"/>
    <s v="Mobile"/>
    <n v="26"/>
    <n v="0"/>
    <n v="1"/>
    <n v="0"/>
    <n v="0"/>
  </r>
  <r>
    <n v="4472"/>
    <s v="Male"/>
    <n v="21"/>
    <x v="2"/>
    <x v="2"/>
    <n v="157"/>
    <n v="64"/>
    <n v="0.4"/>
    <s v="Mobile"/>
    <n v="0"/>
    <n v="1"/>
    <n v="1"/>
    <n v="9.99"/>
    <n v="9.99"/>
  </r>
  <r>
    <n v="4473"/>
    <s v="Other"/>
    <n v="17"/>
    <x v="3"/>
    <x v="3"/>
    <n v="224"/>
    <n v="5"/>
    <n v="0.25"/>
    <s v="Web"/>
    <n v="0"/>
    <n v="1"/>
    <n v="0"/>
    <n v="4.99"/>
    <n v="0"/>
  </r>
  <r>
    <n v="4474"/>
    <s v="Male"/>
    <n v="34"/>
    <x v="0"/>
    <x v="3"/>
    <n v="278"/>
    <n v="28"/>
    <n v="0.25"/>
    <s v="Desktop"/>
    <n v="0"/>
    <n v="1"/>
    <n v="0"/>
    <n v="4.99"/>
    <n v="0"/>
  </r>
  <r>
    <n v="4475"/>
    <s v="Other"/>
    <n v="41"/>
    <x v="4"/>
    <x v="3"/>
    <n v="183"/>
    <n v="66"/>
    <n v="0.4"/>
    <s v="Web"/>
    <n v="0"/>
    <n v="1"/>
    <n v="0"/>
    <n v="4.99"/>
    <n v="0"/>
  </r>
  <r>
    <n v="4476"/>
    <s v="Other"/>
    <n v="47"/>
    <x v="6"/>
    <x v="0"/>
    <n v="135"/>
    <n v="28"/>
    <n v="0.32"/>
    <s v="Desktop"/>
    <n v="34"/>
    <n v="0"/>
    <n v="0"/>
    <n v="0"/>
    <n v="0"/>
  </r>
  <r>
    <n v="4477"/>
    <s v="Other"/>
    <n v="21"/>
    <x v="3"/>
    <x v="3"/>
    <n v="36"/>
    <n v="1"/>
    <n v="0.02"/>
    <s v="Mobile"/>
    <n v="0"/>
    <n v="1"/>
    <n v="0"/>
    <n v="4.99"/>
    <n v="0"/>
  </r>
  <r>
    <n v="4478"/>
    <s v="Female"/>
    <n v="44"/>
    <x v="0"/>
    <x v="0"/>
    <n v="209"/>
    <n v="34"/>
    <n v="0.44"/>
    <s v="Mobile"/>
    <n v="19"/>
    <n v="0"/>
    <n v="0"/>
    <n v="0"/>
    <n v="0"/>
  </r>
  <r>
    <n v="4479"/>
    <s v="Other"/>
    <n v="32"/>
    <x v="1"/>
    <x v="1"/>
    <n v="159"/>
    <n v="88"/>
    <n v="0.31"/>
    <s v="Mobile"/>
    <n v="0"/>
    <n v="1"/>
    <n v="0"/>
    <n v="14.99"/>
    <n v="0"/>
  </r>
  <r>
    <n v="4480"/>
    <s v="Male"/>
    <n v="30"/>
    <x v="5"/>
    <x v="0"/>
    <n v="204"/>
    <n v="97"/>
    <n v="0.31"/>
    <s v="Web"/>
    <n v="9"/>
    <n v="0"/>
    <n v="0"/>
    <n v="0"/>
    <n v="0"/>
  </r>
  <r>
    <n v="4481"/>
    <s v="Male"/>
    <n v="19"/>
    <x v="1"/>
    <x v="3"/>
    <n v="235"/>
    <n v="86"/>
    <n v="0.36"/>
    <s v="Desktop"/>
    <n v="0"/>
    <n v="1"/>
    <n v="0"/>
    <n v="4.99"/>
    <n v="0"/>
  </r>
  <r>
    <n v="4482"/>
    <s v="Female"/>
    <n v="33"/>
    <x v="4"/>
    <x v="2"/>
    <n v="115"/>
    <n v="30"/>
    <n v="0.57999999999999996"/>
    <s v="Desktop"/>
    <n v="0"/>
    <n v="1"/>
    <n v="1"/>
    <n v="9.99"/>
    <n v="9.99"/>
  </r>
  <r>
    <n v="4483"/>
    <s v="Other"/>
    <n v="43"/>
    <x v="0"/>
    <x v="0"/>
    <n v="201"/>
    <n v="37"/>
    <n v="0.19"/>
    <s v="Web"/>
    <n v="49"/>
    <n v="0"/>
    <n v="0"/>
    <n v="0"/>
    <n v="0"/>
  </r>
  <r>
    <n v="4484"/>
    <s v="Male"/>
    <n v="52"/>
    <x v="4"/>
    <x v="2"/>
    <n v="46"/>
    <n v="75"/>
    <n v="7.0000000000000007E-2"/>
    <s v="Web"/>
    <n v="0"/>
    <n v="1"/>
    <n v="0"/>
    <n v="9.99"/>
    <n v="0"/>
  </r>
  <r>
    <n v="4485"/>
    <s v="Male"/>
    <n v="21"/>
    <x v="6"/>
    <x v="1"/>
    <n v="83"/>
    <n v="67"/>
    <n v="0.39"/>
    <s v="Web"/>
    <n v="0"/>
    <n v="1"/>
    <n v="1"/>
    <n v="14.99"/>
    <n v="14.99"/>
  </r>
  <r>
    <n v="4486"/>
    <s v="Male"/>
    <n v="55"/>
    <x v="2"/>
    <x v="3"/>
    <n v="98"/>
    <n v="70"/>
    <n v="7.0000000000000007E-2"/>
    <s v="Desktop"/>
    <n v="0"/>
    <n v="1"/>
    <n v="0"/>
    <n v="4.99"/>
    <n v="0"/>
  </r>
  <r>
    <n v="4487"/>
    <s v="Male"/>
    <n v="59"/>
    <x v="1"/>
    <x v="2"/>
    <n v="251"/>
    <n v="21"/>
    <n v="0.02"/>
    <s v="Web"/>
    <n v="0"/>
    <n v="1"/>
    <n v="0"/>
    <n v="9.99"/>
    <n v="0"/>
  </r>
  <r>
    <n v="4488"/>
    <s v="Male"/>
    <n v="19"/>
    <x v="0"/>
    <x v="2"/>
    <n v="241"/>
    <n v="20"/>
    <n v="0.03"/>
    <s v="Mobile"/>
    <n v="0"/>
    <n v="1"/>
    <n v="0"/>
    <n v="9.99"/>
    <n v="0"/>
  </r>
  <r>
    <n v="4489"/>
    <s v="Female"/>
    <n v="36"/>
    <x v="4"/>
    <x v="0"/>
    <n v="276"/>
    <n v="29"/>
    <n v="0.56000000000000005"/>
    <s v="Web"/>
    <n v="47"/>
    <n v="0"/>
    <n v="0"/>
    <n v="0"/>
    <n v="0"/>
  </r>
  <r>
    <n v="4490"/>
    <s v="Female"/>
    <n v="33"/>
    <x v="5"/>
    <x v="2"/>
    <n v="41"/>
    <n v="90"/>
    <n v="0.56000000000000005"/>
    <s v="Desktop"/>
    <n v="0"/>
    <n v="1"/>
    <n v="0"/>
    <n v="9.99"/>
    <n v="0"/>
  </r>
  <r>
    <n v="4491"/>
    <s v="Other"/>
    <n v="57"/>
    <x v="1"/>
    <x v="3"/>
    <n v="57"/>
    <n v="42"/>
    <n v="0.37"/>
    <s v="Desktop"/>
    <n v="0"/>
    <n v="1"/>
    <n v="1"/>
    <n v="4.99"/>
    <n v="4.99"/>
  </r>
  <r>
    <n v="4492"/>
    <s v="Male"/>
    <n v="51"/>
    <x v="1"/>
    <x v="1"/>
    <n v="296"/>
    <n v="31"/>
    <n v="0.49"/>
    <s v="Mobile"/>
    <n v="0"/>
    <n v="1"/>
    <n v="0"/>
    <n v="14.99"/>
    <n v="0"/>
  </r>
  <r>
    <n v="4493"/>
    <s v="Male"/>
    <n v="51"/>
    <x v="7"/>
    <x v="3"/>
    <n v="223"/>
    <n v="55"/>
    <n v="0.42"/>
    <s v="Desktop"/>
    <n v="0"/>
    <n v="1"/>
    <n v="0"/>
    <n v="4.99"/>
    <n v="0"/>
  </r>
  <r>
    <n v="4494"/>
    <s v="Male"/>
    <n v="55"/>
    <x v="5"/>
    <x v="2"/>
    <n v="273"/>
    <n v="66"/>
    <n v="0.05"/>
    <s v="Mobile"/>
    <n v="0"/>
    <n v="1"/>
    <n v="1"/>
    <n v="9.99"/>
    <n v="9.99"/>
  </r>
  <r>
    <n v="4495"/>
    <s v="Male"/>
    <n v="30"/>
    <x v="2"/>
    <x v="0"/>
    <n v="150"/>
    <n v="9"/>
    <n v="0.05"/>
    <s v="Web"/>
    <n v="40"/>
    <n v="0"/>
    <n v="0"/>
    <n v="0"/>
    <n v="0"/>
  </r>
  <r>
    <n v="4496"/>
    <s v="Male"/>
    <n v="41"/>
    <x v="7"/>
    <x v="0"/>
    <n v="20"/>
    <n v="84"/>
    <n v="0.52"/>
    <s v="Mobile"/>
    <n v="17"/>
    <n v="0"/>
    <n v="1"/>
    <n v="0"/>
    <n v="0"/>
  </r>
  <r>
    <n v="4497"/>
    <s v="Male"/>
    <n v="54"/>
    <x v="5"/>
    <x v="3"/>
    <n v="51"/>
    <n v="60"/>
    <n v="0.18"/>
    <s v="Mobile"/>
    <n v="0"/>
    <n v="1"/>
    <n v="0"/>
    <n v="4.99"/>
    <n v="0"/>
  </r>
  <r>
    <n v="4498"/>
    <s v="Female"/>
    <n v="49"/>
    <x v="5"/>
    <x v="2"/>
    <n v="25"/>
    <n v="6"/>
    <n v="0.34"/>
    <s v="Web"/>
    <n v="0"/>
    <n v="1"/>
    <n v="0"/>
    <n v="9.99"/>
    <n v="0"/>
  </r>
  <r>
    <n v="4499"/>
    <s v="Male"/>
    <n v="27"/>
    <x v="1"/>
    <x v="0"/>
    <n v="297"/>
    <n v="18"/>
    <n v="0.15"/>
    <s v="Desktop"/>
    <n v="41"/>
    <n v="0"/>
    <n v="0"/>
    <n v="0"/>
    <n v="0"/>
  </r>
  <r>
    <n v="4500"/>
    <s v="Female"/>
    <n v="55"/>
    <x v="1"/>
    <x v="3"/>
    <n v="235"/>
    <n v="72"/>
    <n v="0.55000000000000004"/>
    <s v="Mobile"/>
    <n v="0"/>
    <n v="1"/>
    <n v="0"/>
    <n v="4.99"/>
    <n v="0"/>
  </r>
  <r>
    <n v="4501"/>
    <s v="Male"/>
    <n v="56"/>
    <x v="2"/>
    <x v="1"/>
    <n v="117"/>
    <n v="9"/>
    <n v="0.56000000000000005"/>
    <s v="Web"/>
    <n v="0"/>
    <n v="1"/>
    <n v="0"/>
    <n v="14.99"/>
    <n v="0"/>
  </r>
  <r>
    <n v="4502"/>
    <s v="Female"/>
    <n v="45"/>
    <x v="3"/>
    <x v="1"/>
    <n v="77"/>
    <n v="92"/>
    <n v="0.12"/>
    <s v="Mobile"/>
    <n v="0"/>
    <n v="1"/>
    <n v="0"/>
    <n v="14.99"/>
    <n v="0"/>
  </r>
  <r>
    <n v="4503"/>
    <s v="Female"/>
    <n v="46"/>
    <x v="7"/>
    <x v="0"/>
    <n v="296"/>
    <n v="52"/>
    <n v="0.33"/>
    <s v="Mobile"/>
    <n v="31"/>
    <n v="0"/>
    <n v="0"/>
    <n v="0"/>
    <n v="0"/>
  </r>
  <r>
    <n v="4504"/>
    <s v="Other"/>
    <n v="31"/>
    <x v="5"/>
    <x v="2"/>
    <n v="65"/>
    <n v="51"/>
    <n v="0.19"/>
    <s v="Web"/>
    <n v="0"/>
    <n v="1"/>
    <n v="0"/>
    <n v="9.99"/>
    <n v="0"/>
  </r>
  <r>
    <n v="4505"/>
    <s v="Female"/>
    <n v="33"/>
    <x v="7"/>
    <x v="2"/>
    <n v="133"/>
    <n v="11"/>
    <n v="0.43"/>
    <s v="Mobile"/>
    <n v="0"/>
    <n v="1"/>
    <n v="1"/>
    <n v="9.99"/>
    <n v="9.99"/>
  </r>
  <r>
    <n v="4506"/>
    <s v="Male"/>
    <n v="20"/>
    <x v="7"/>
    <x v="2"/>
    <n v="107"/>
    <n v="85"/>
    <n v="0.1"/>
    <s v="Mobile"/>
    <n v="0"/>
    <n v="1"/>
    <n v="0"/>
    <n v="9.99"/>
    <n v="0"/>
  </r>
  <r>
    <n v="4507"/>
    <s v="Female"/>
    <n v="26"/>
    <x v="3"/>
    <x v="1"/>
    <n v="75"/>
    <n v="73"/>
    <n v="0.5"/>
    <s v="Web"/>
    <n v="0"/>
    <n v="1"/>
    <n v="1"/>
    <n v="14.99"/>
    <n v="14.99"/>
  </r>
  <r>
    <n v="4508"/>
    <s v="Female"/>
    <n v="46"/>
    <x v="7"/>
    <x v="0"/>
    <n v="225"/>
    <n v="18"/>
    <n v="0"/>
    <s v="Web"/>
    <n v="48"/>
    <n v="0"/>
    <n v="0"/>
    <n v="0"/>
    <n v="0"/>
  </r>
  <r>
    <n v="4509"/>
    <s v="Other"/>
    <n v="31"/>
    <x v="4"/>
    <x v="3"/>
    <n v="147"/>
    <n v="27"/>
    <n v="0.24"/>
    <s v="Desktop"/>
    <n v="0"/>
    <n v="1"/>
    <n v="0"/>
    <n v="4.99"/>
    <n v="0"/>
  </r>
  <r>
    <n v="4510"/>
    <s v="Male"/>
    <n v="36"/>
    <x v="2"/>
    <x v="0"/>
    <n v="34"/>
    <n v="24"/>
    <n v="0.35"/>
    <s v="Desktop"/>
    <n v="23"/>
    <n v="0"/>
    <n v="0"/>
    <n v="0"/>
    <n v="0"/>
  </r>
  <r>
    <n v="4511"/>
    <s v="Male"/>
    <n v="24"/>
    <x v="0"/>
    <x v="2"/>
    <n v="267"/>
    <n v="54"/>
    <n v="0.02"/>
    <s v="Mobile"/>
    <n v="0"/>
    <n v="1"/>
    <n v="1"/>
    <n v="9.99"/>
    <n v="9.99"/>
  </r>
  <r>
    <n v="4512"/>
    <s v="Other"/>
    <n v="51"/>
    <x v="4"/>
    <x v="0"/>
    <n v="97"/>
    <n v="36"/>
    <n v="0.25"/>
    <s v="Desktop"/>
    <n v="10"/>
    <n v="0"/>
    <n v="0"/>
    <n v="0"/>
    <n v="0"/>
  </r>
  <r>
    <n v="4513"/>
    <s v="Other"/>
    <n v="29"/>
    <x v="5"/>
    <x v="0"/>
    <n v="254"/>
    <n v="81"/>
    <n v="0.59"/>
    <s v="Mobile"/>
    <n v="27"/>
    <n v="0"/>
    <n v="0"/>
    <n v="0"/>
    <n v="0"/>
  </r>
  <r>
    <n v="4514"/>
    <s v="Other"/>
    <n v="33"/>
    <x v="3"/>
    <x v="3"/>
    <n v="253"/>
    <n v="30"/>
    <n v="7.0000000000000007E-2"/>
    <s v="Mobile"/>
    <n v="0"/>
    <n v="1"/>
    <n v="0"/>
    <n v="4.99"/>
    <n v="0"/>
  </r>
  <r>
    <n v="4515"/>
    <s v="Female"/>
    <n v="46"/>
    <x v="5"/>
    <x v="2"/>
    <n v="182"/>
    <n v="20"/>
    <n v="0.47"/>
    <s v="Desktop"/>
    <n v="0"/>
    <n v="1"/>
    <n v="0"/>
    <n v="9.99"/>
    <n v="0"/>
  </r>
  <r>
    <n v="4516"/>
    <s v="Other"/>
    <n v="23"/>
    <x v="5"/>
    <x v="0"/>
    <n v="27"/>
    <n v="95"/>
    <n v="0.4"/>
    <s v="Mobile"/>
    <n v="47"/>
    <n v="0"/>
    <n v="0"/>
    <n v="0"/>
    <n v="0"/>
  </r>
  <r>
    <n v="4517"/>
    <s v="Other"/>
    <n v="19"/>
    <x v="2"/>
    <x v="1"/>
    <n v="51"/>
    <n v="76"/>
    <n v="0.04"/>
    <s v="Desktop"/>
    <n v="0"/>
    <n v="1"/>
    <n v="0"/>
    <n v="14.99"/>
    <n v="0"/>
  </r>
  <r>
    <n v="4518"/>
    <s v="Male"/>
    <n v="33"/>
    <x v="3"/>
    <x v="2"/>
    <n v="149"/>
    <n v="36"/>
    <n v="0.32"/>
    <s v="Mobile"/>
    <n v="0"/>
    <n v="1"/>
    <n v="0"/>
    <n v="9.99"/>
    <n v="0"/>
  </r>
  <r>
    <n v="4519"/>
    <s v="Other"/>
    <n v="24"/>
    <x v="6"/>
    <x v="0"/>
    <n v="271"/>
    <n v="7"/>
    <n v="0.12"/>
    <s v="Desktop"/>
    <n v="48"/>
    <n v="0"/>
    <n v="0"/>
    <n v="0"/>
    <n v="0"/>
  </r>
  <r>
    <n v="4520"/>
    <s v="Male"/>
    <n v="16"/>
    <x v="7"/>
    <x v="2"/>
    <n v="289"/>
    <n v="42"/>
    <n v="0.15"/>
    <s v="Mobile"/>
    <n v="0"/>
    <n v="1"/>
    <n v="0"/>
    <n v="9.99"/>
    <n v="0"/>
  </r>
  <r>
    <n v="4521"/>
    <s v="Other"/>
    <n v="28"/>
    <x v="0"/>
    <x v="3"/>
    <n v="293"/>
    <n v="40"/>
    <n v="0.25"/>
    <s v="Mobile"/>
    <n v="0"/>
    <n v="1"/>
    <n v="0"/>
    <n v="4.99"/>
    <n v="0"/>
  </r>
  <r>
    <n v="4522"/>
    <s v="Female"/>
    <n v="58"/>
    <x v="3"/>
    <x v="0"/>
    <n v="257"/>
    <n v="56"/>
    <n v="0.25"/>
    <s v="Mobile"/>
    <n v="24"/>
    <n v="0"/>
    <n v="0"/>
    <n v="0"/>
    <n v="0"/>
  </r>
  <r>
    <n v="4523"/>
    <s v="Other"/>
    <n v="52"/>
    <x v="5"/>
    <x v="0"/>
    <n v="63"/>
    <n v="99"/>
    <n v="0.41"/>
    <s v="Desktop"/>
    <n v="15"/>
    <n v="0"/>
    <n v="0"/>
    <n v="0"/>
    <n v="0"/>
  </r>
  <r>
    <n v="4524"/>
    <s v="Other"/>
    <n v="58"/>
    <x v="1"/>
    <x v="0"/>
    <n v="22"/>
    <n v="74"/>
    <n v="0.25"/>
    <s v="Mobile"/>
    <n v="20"/>
    <n v="0"/>
    <n v="1"/>
    <n v="0"/>
    <n v="0"/>
  </r>
  <r>
    <n v="4525"/>
    <s v="Male"/>
    <n v="57"/>
    <x v="7"/>
    <x v="0"/>
    <n v="230"/>
    <n v="65"/>
    <n v="0.49"/>
    <s v="Desktop"/>
    <n v="15"/>
    <n v="0"/>
    <n v="1"/>
    <n v="0"/>
    <n v="0"/>
  </r>
  <r>
    <n v="4526"/>
    <s v="Other"/>
    <n v="18"/>
    <x v="7"/>
    <x v="2"/>
    <n v="155"/>
    <n v="79"/>
    <n v="0.32"/>
    <s v="Mobile"/>
    <n v="0"/>
    <n v="1"/>
    <n v="0"/>
    <n v="9.99"/>
    <n v="0"/>
  </r>
  <r>
    <n v="4527"/>
    <s v="Male"/>
    <n v="42"/>
    <x v="2"/>
    <x v="1"/>
    <n v="193"/>
    <n v="24"/>
    <n v="0.56000000000000005"/>
    <s v="Web"/>
    <n v="0"/>
    <n v="1"/>
    <n v="0"/>
    <n v="14.99"/>
    <n v="0"/>
  </r>
  <r>
    <n v="4528"/>
    <s v="Female"/>
    <n v="32"/>
    <x v="0"/>
    <x v="1"/>
    <n v="65"/>
    <n v="88"/>
    <n v="0.06"/>
    <s v="Web"/>
    <n v="0"/>
    <n v="1"/>
    <n v="0"/>
    <n v="14.99"/>
    <n v="0"/>
  </r>
  <r>
    <n v="4529"/>
    <s v="Male"/>
    <n v="40"/>
    <x v="6"/>
    <x v="1"/>
    <n v="29"/>
    <n v="20"/>
    <n v="0.56999999999999995"/>
    <s v="Web"/>
    <n v="0"/>
    <n v="1"/>
    <n v="0"/>
    <n v="14.99"/>
    <n v="0"/>
  </r>
  <r>
    <n v="4530"/>
    <s v="Male"/>
    <n v="53"/>
    <x v="5"/>
    <x v="1"/>
    <n v="265"/>
    <n v="14"/>
    <n v="0.39"/>
    <s v="Mobile"/>
    <n v="0"/>
    <n v="1"/>
    <n v="0"/>
    <n v="14.99"/>
    <n v="0"/>
  </r>
  <r>
    <n v="4531"/>
    <s v="Male"/>
    <n v="25"/>
    <x v="5"/>
    <x v="2"/>
    <n v="43"/>
    <n v="6"/>
    <n v="0.09"/>
    <s v="Desktop"/>
    <n v="0"/>
    <n v="1"/>
    <n v="1"/>
    <n v="9.99"/>
    <n v="9.99"/>
  </r>
  <r>
    <n v="4532"/>
    <s v="Female"/>
    <n v="23"/>
    <x v="4"/>
    <x v="3"/>
    <n v="98"/>
    <n v="33"/>
    <n v="0.13"/>
    <s v="Web"/>
    <n v="0"/>
    <n v="1"/>
    <n v="0"/>
    <n v="4.99"/>
    <n v="0"/>
  </r>
  <r>
    <n v="4533"/>
    <s v="Male"/>
    <n v="40"/>
    <x v="0"/>
    <x v="0"/>
    <n v="86"/>
    <n v="18"/>
    <n v="0.31"/>
    <s v="Mobile"/>
    <n v="48"/>
    <n v="0"/>
    <n v="0"/>
    <n v="0"/>
    <n v="0"/>
  </r>
  <r>
    <n v="4534"/>
    <s v="Other"/>
    <n v="25"/>
    <x v="7"/>
    <x v="3"/>
    <n v="34"/>
    <n v="91"/>
    <n v="0.11"/>
    <s v="Desktop"/>
    <n v="0"/>
    <n v="1"/>
    <n v="0"/>
    <n v="4.99"/>
    <n v="0"/>
  </r>
  <r>
    <n v="4535"/>
    <s v="Other"/>
    <n v="49"/>
    <x v="2"/>
    <x v="3"/>
    <n v="113"/>
    <n v="42"/>
    <n v="0.32"/>
    <s v="Desktop"/>
    <n v="0"/>
    <n v="1"/>
    <n v="0"/>
    <n v="4.99"/>
    <n v="0"/>
  </r>
  <r>
    <n v="4536"/>
    <s v="Female"/>
    <n v="28"/>
    <x v="1"/>
    <x v="0"/>
    <n v="255"/>
    <n v="68"/>
    <n v="0.1"/>
    <s v="Mobile"/>
    <n v="45"/>
    <n v="0"/>
    <n v="1"/>
    <n v="0"/>
    <n v="0"/>
  </r>
  <r>
    <n v="4537"/>
    <s v="Other"/>
    <n v="59"/>
    <x v="0"/>
    <x v="1"/>
    <n v="38"/>
    <n v="30"/>
    <n v="0.15"/>
    <s v="Web"/>
    <n v="0"/>
    <n v="1"/>
    <n v="0"/>
    <n v="14.99"/>
    <n v="0"/>
  </r>
  <r>
    <n v="4538"/>
    <s v="Other"/>
    <n v="51"/>
    <x v="3"/>
    <x v="2"/>
    <n v="209"/>
    <n v="12"/>
    <n v="0.27"/>
    <s v="Desktop"/>
    <n v="0"/>
    <n v="1"/>
    <n v="0"/>
    <n v="9.99"/>
    <n v="0"/>
  </r>
  <r>
    <n v="4539"/>
    <s v="Female"/>
    <n v="40"/>
    <x v="2"/>
    <x v="0"/>
    <n v="35"/>
    <n v="43"/>
    <n v="0.12"/>
    <s v="Mobile"/>
    <n v="38"/>
    <n v="0"/>
    <n v="0"/>
    <n v="0"/>
    <n v="0"/>
  </r>
  <r>
    <n v="4540"/>
    <s v="Other"/>
    <n v="19"/>
    <x v="4"/>
    <x v="1"/>
    <n v="65"/>
    <n v="14"/>
    <n v="7.0000000000000007E-2"/>
    <s v="Mobile"/>
    <n v="0"/>
    <n v="1"/>
    <n v="0"/>
    <n v="14.99"/>
    <n v="0"/>
  </r>
  <r>
    <n v="4541"/>
    <s v="Male"/>
    <n v="33"/>
    <x v="1"/>
    <x v="0"/>
    <n v="219"/>
    <n v="55"/>
    <n v="0.52"/>
    <s v="Web"/>
    <n v="7"/>
    <n v="0"/>
    <n v="0"/>
    <n v="0"/>
    <n v="0"/>
  </r>
  <r>
    <n v="4542"/>
    <s v="Female"/>
    <n v="21"/>
    <x v="6"/>
    <x v="2"/>
    <n v="103"/>
    <n v="82"/>
    <n v="0.37"/>
    <s v="Web"/>
    <n v="0"/>
    <n v="1"/>
    <n v="1"/>
    <n v="9.99"/>
    <n v="9.99"/>
  </r>
  <r>
    <n v="4543"/>
    <s v="Female"/>
    <n v="17"/>
    <x v="4"/>
    <x v="0"/>
    <n v="204"/>
    <n v="6"/>
    <n v="0.49"/>
    <s v="Web"/>
    <n v="44"/>
    <n v="0"/>
    <n v="0"/>
    <n v="0"/>
    <n v="0"/>
  </r>
  <r>
    <n v="4544"/>
    <s v="Female"/>
    <n v="38"/>
    <x v="6"/>
    <x v="0"/>
    <n v="42"/>
    <n v="31"/>
    <n v="0.51"/>
    <s v="Mobile"/>
    <n v="15"/>
    <n v="0"/>
    <n v="0"/>
    <n v="0"/>
    <n v="0"/>
  </r>
  <r>
    <n v="4545"/>
    <s v="Male"/>
    <n v="35"/>
    <x v="5"/>
    <x v="1"/>
    <n v="194"/>
    <n v="76"/>
    <n v="0.12"/>
    <s v="Desktop"/>
    <n v="0"/>
    <n v="1"/>
    <n v="0"/>
    <n v="14.99"/>
    <n v="0"/>
  </r>
  <r>
    <n v="4546"/>
    <s v="Female"/>
    <n v="30"/>
    <x v="0"/>
    <x v="1"/>
    <n v="32"/>
    <n v="35"/>
    <n v="0.31"/>
    <s v="Desktop"/>
    <n v="0"/>
    <n v="1"/>
    <n v="0"/>
    <n v="14.99"/>
    <n v="0"/>
  </r>
  <r>
    <n v="4547"/>
    <s v="Other"/>
    <n v="37"/>
    <x v="1"/>
    <x v="2"/>
    <n v="22"/>
    <n v="91"/>
    <n v="0.3"/>
    <s v="Desktop"/>
    <n v="0"/>
    <n v="1"/>
    <n v="0"/>
    <n v="9.99"/>
    <n v="0"/>
  </r>
  <r>
    <n v="4548"/>
    <s v="Other"/>
    <n v="42"/>
    <x v="1"/>
    <x v="1"/>
    <n v="74"/>
    <n v="97"/>
    <n v="0.02"/>
    <s v="Desktop"/>
    <n v="0"/>
    <n v="1"/>
    <n v="0"/>
    <n v="14.99"/>
    <n v="0"/>
  </r>
  <r>
    <n v="4549"/>
    <s v="Male"/>
    <n v="26"/>
    <x v="4"/>
    <x v="0"/>
    <n v="233"/>
    <n v="69"/>
    <n v="0.42"/>
    <s v="Desktop"/>
    <n v="16"/>
    <n v="0"/>
    <n v="0"/>
    <n v="0"/>
    <n v="0"/>
  </r>
  <r>
    <n v="4550"/>
    <s v="Other"/>
    <n v="24"/>
    <x v="0"/>
    <x v="0"/>
    <n v="88"/>
    <n v="72"/>
    <n v="0.3"/>
    <s v="Web"/>
    <n v="41"/>
    <n v="0"/>
    <n v="0"/>
    <n v="0"/>
    <n v="0"/>
  </r>
  <r>
    <n v="4551"/>
    <s v="Male"/>
    <n v="45"/>
    <x v="2"/>
    <x v="2"/>
    <n v="52"/>
    <n v="74"/>
    <n v="0.54"/>
    <s v="Desktop"/>
    <n v="0"/>
    <n v="1"/>
    <n v="1"/>
    <n v="9.99"/>
    <n v="9.99"/>
  </r>
  <r>
    <n v="4552"/>
    <s v="Female"/>
    <n v="23"/>
    <x v="6"/>
    <x v="3"/>
    <n v="232"/>
    <n v="30"/>
    <n v="0.52"/>
    <s v="Mobile"/>
    <n v="0"/>
    <n v="1"/>
    <n v="0"/>
    <n v="4.99"/>
    <n v="0"/>
  </r>
  <r>
    <n v="4553"/>
    <s v="Other"/>
    <n v="56"/>
    <x v="5"/>
    <x v="3"/>
    <n v="221"/>
    <n v="72"/>
    <n v="0.3"/>
    <s v="Desktop"/>
    <n v="0"/>
    <n v="1"/>
    <n v="0"/>
    <n v="4.99"/>
    <n v="0"/>
  </r>
  <r>
    <n v="4554"/>
    <s v="Other"/>
    <n v="39"/>
    <x v="4"/>
    <x v="2"/>
    <n v="239"/>
    <n v="39"/>
    <n v="0.1"/>
    <s v="Mobile"/>
    <n v="0"/>
    <n v="1"/>
    <n v="0"/>
    <n v="9.99"/>
    <n v="0"/>
  </r>
  <r>
    <n v="4555"/>
    <s v="Other"/>
    <n v="49"/>
    <x v="1"/>
    <x v="1"/>
    <n v="105"/>
    <n v="99"/>
    <n v="0.01"/>
    <s v="Web"/>
    <n v="0"/>
    <n v="1"/>
    <n v="0"/>
    <n v="14.99"/>
    <n v="0"/>
  </r>
  <r>
    <n v="4556"/>
    <s v="Other"/>
    <n v="20"/>
    <x v="5"/>
    <x v="1"/>
    <n v="186"/>
    <n v="26"/>
    <n v="0.41"/>
    <s v="Desktop"/>
    <n v="0"/>
    <n v="1"/>
    <n v="0"/>
    <n v="14.99"/>
    <n v="0"/>
  </r>
  <r>
    <n v="4557"/>
    <s v="Female"/>
    <n v="24"/>
    <x v="0"/>
    <x v="2"/>
    <n v="205"/>
    <n v="86"/>
    <n v="0.21"/>
    <s v="Mobile"/>
    <n v="0"/>
    <n v="1"/>
    <n v="0"/>
    <n v="9.99"/>
    <n v="0"/>
  </r>
  <r>
    <n v="4558"/>
    <s v="Other"/>
    <n v="56"/>
    <x v="6"/>
    <x v="2"/>
    <n v="249"/>
    <n v="96"/>
    <n v="0.19"/>
    <s v="Desktop"/>
    <n v="0"/>
    <n v="1"/>
    <n v="1"/>
    <n v="9.99"/>
    <n v="9.99"/>
  </r>
  <r>
    <n v="4559"/>
    <s v="Female"/>
    <n v="23"/>
    <x v="4"/>
    <x v="1"/>
    <n v="242"/>
    <n v="2"/>
    <n v="0.34"/>
    <s v="Mobile"/>
    <n v="0"/>
    <n v="1"/>
    <n v="0"/>
    <n v="14.99"/>
    <n v="0"/>
  </r>
  <r>
    <n v="4560"/>
    <s v="Female"/>
    <n v="54"/>
    <x v="6"/>
    <x v="1"/>
    <n v="108"/>
    <n v="65"/>
    <n v="0.26"/>
    <s v="Web"/>
    <n v="0"/>
    <n v="1"/>
    <n v="0"/>
    <n v="14.99"/>
    <n v="0"/>
  </r>
  <r>
    <n v="4561"/>
    <s v="Male"/>
    <n v="19"/>
    <x v="1"/>
    <x v="3"/>
    <n v="179"/>
    <n v="61"/>
    <n v="0.19"/>
    <s v="Mobile"/>
    <n v="0"/>
    <n v="1"/>
    <n v="1"/>
    <n v="4.99"/>
    <n v="4.99"/>
  </r>
  <r>
    <n v="4562"/>
    <s v="Female"/>
    <n v="32"/>
    <x v="7"/>
    <x v="2"/>
    <n v="106"/>
    <n v="94"/>
    <n v="7.0000000000000007E-2"/>
    <s v="Desktop"/>
    <n v="0"/>
    <n v="1"/>
    <n v="0"/>
    <n v="9.99"/>
    <n v="0"/>
  </r>
  <r>
    <n v="4563"/>
    <s v="Other"/>
    <n v="31"/>
    <x v="6"/>
    <x v="3"/>
    <n v="11"/>
    <n v="61"/>
    <n v="0"/>
    <s v="Web"/>
    <n v="0"/>
    <n v="1"/>
    <n v="0"/>
    <n v="4.99"/>
    <n v="0"/>
  </r>
  <r>
    <n v="4564"/>
    <s v="Male"/>
    <n v="32"/>
    <x v="6"/>
    <x v="1"/>
    <n v="116"/>
    <n v="77"/>
    <n v="0.56999999999999995"/>
    <s v="Mobile"/>
    <n v="0"/>
    <n v="1"/>
    <n v="0"/>
    <n v="14.99"/>
    <n v="0"/>
  </r>
  <r>
    <n v="4565"/>
    <s v="Other"/>
    <n v="29"/>
    <x v="4"/>
    <x v="2"/>
    <n v="42"/>
    <n v="51"/>
    <n v="0.6"/>
    <s v="Mobile"/>
    <n v="0"/>
    <n v="1"/>
    <n v="0"/>
    <n v="9.99"/>
    <n v="0"/>
  </r>
  <r>
    <n v="4566"/>
    <s v="Male"/>
    <n v="36"/>
    <x v="4"/>
    <x v="0"/>
    <n v="192"/>
    <n v="45"/>
    <n v="0.35"/>
    <s v="Web"/>
    <n v="37"/>
    <n v="0"/>
    <n v="1"/>
    <n v="0"/>
    <n v="0"/>
  </r>
  <r>
    <n v="4567"/>
    <s v="Female"/>
    <n v="30"/>
    <x v="4"/>
    <x v="1"/>
    <n v="96"/>
    <n v="10"/>
    <n v="0.39"/>
    <s v="Desktop"/>
    <n v="0"/>
    <n v="1"/>
    <n v="0"/>
    <n v="14.99"/>
    <n v="0"/>
  </r>
  <r>
    <n v="4568"/>
    <s v="Other"/>
    <n v="51"/>
    <x v="1"/>
    <x v="2"/>
    <n v="279"/>
    <n v="13"/>
    <n v="0.22"/>
    <s v="Web"/>
    <n v="0"/>
    <n v="1"/>
    <n v="1"/>
    <n v="9.99"/>
    <n v="9.99"/>
  </r>
  <r>
    <n v="4569"/>
    <s v="Other"/>
    <n v="23"/>
    <x v="3"/>
    <x v="1"/>
    <n v="105"/>
    <n v="15"/>
    <n v="0.49"/>
    <s v="Desktop"/>
    <n v="0"/>
    <n v="1"/>
    <n v="1"/>
    <n v="14.99"/>
    <n v="14.99"/>
  </r>
  <r>
    <n v="4570"/>
    <s v="Other"/>
    <n v="55"/>
    <x v="7"/>
    <x v="1"/>
    <n v="204"/>
    <n v="10"/>
    <n v="0.12"/>
    <s v="Desktop"/>
    <n v="0"/>
    <n v="1"/>
    <n v="0"/>
    <n v="14.99"/>
    <n v="0"/>
  </r>
  <r>
    <n v="4571"/>
    <s v="Male"/>
    <n v="48"/>
    <x v="7"/>
    <x v="1"/>
    <n v="174"/>
    <n v="99"/>
    <n v="0.39"/>
    <s v="Web"/>
    <n v="0"/>
    <n v="1"/>
    <n v="0"/>
    <n v="14.99"/>
    <n v="0"/>
  </r>
  <r>
    <n v="4572"/>
    <s v="Other"/>
    <n v="19"/>
    <x v="2"/>
    <x v="2"/>
    <n v="125"/>
    <n v="95"/>
    <n v="0.56999999999999995"/>
    <s v="Desktop"/>
    <n v="0"/>
    <n v="1"/>
    <n v="1"/>
    <n v="9.99"/>
    <n v="9.99"/>
  </r>
  <r>
    <n v="4573"/>
    <s v="Other"/>
    <n v="44"/>
    <x v="6"/>
    <x v="0"/>
    <n v="241"/>
    <n v="42"/>
    <n v="0.19"/>
    <s v="Mobile"/>
    <n v="33"/>
    <n v="0"/>
    <n v="1"/>
    <n v="0"/>
    <n v="0"/>
  </r>
  <r>
    <n v="4574"/>
    <s v="Male"/>
    <n v="59"/>
    <x v="1"/>
    <x v="1"/>
    <n v="195"/>
    <n v="21"/>
    <n v="0.54"/>
    <s v="Desktop"/>
    <n v="0"/>
    <n v="1"/>
    <n v="0"/>
    <n v="14.99"/>
    <n v="0"/>
  </r>
  <r>
    <n v="4575"/>
    <s v="Female"/>
    <n v="39"/>
    <x v="0"/>
    <x v="0"/>
    <n v="68"/>
    <n v="43"/>
    <n v="0.1"/>
    <s v="Mobile"/>
    <n v="5"/>
    <n v="0"/>
    <n v="1"/>
    <n v="0"/>
    <n v="0"/>
  </r>
  <r>
    <n v="4576"/>
    <s v="Male"/>
    <n v="59"/>
    <x v="6"/>
    <x v="2"/>
    <n v="187"/>
    <n v="79"/>
    <n v="0.31"/>
    <s v="Mobile"/>
    <n v="0"/>
    <n v="1"/>
    <n v="1"/>
    <n v="9.99"/>
    <n v="9.99"/>
  </r>
  <r>
    <n v="4577"/>
    <s v="Other"/>
    <n v="45"/>
    <x v="2"/>
    <x v="1"/>
    <n v="61"/>
    <n v="95"/>
    <n v="0.28999999999999998"/>
    <s v="Web"/>
    <n v="0"/>
    <n v="1"/>
    <n v="1"/>
    <n v="14.99"/>
    <n v="14.99"/>
  </r>
  <r>
    <n v="4578"/>
    <s v="Male"/>
    <n v="39"/>
    <x v="0"/>
    <x v="3"/>
    <n v="112"/>
    <n v="53"/>
    <n v="0.27"/>
    <s v="Mobile"/>
    <n v="0"/>
    <n v="1"/>
    <n v="0"/>
    <n v="4.99"/>
    <n v="0"/>
  </r>
  <r>
    <n v="4579"/>
    <s v="Other"/>
    <n v="31"/>
    <x v="3"/>
    <x v="2"/>
    <n v="103"/>
    <n v="44"/>
    <n v="0.52"/>
    <s v="Desktop"/>
    <n v="0"/>
    <n v="1"/>
    <n v="0"/>
    <n v="9.99"/>
    <n v="0"/>
  </r>
  <r>
    <n v="4580"/>
    <s v="Female"/>
    <n v="51"/>
    <x v="7"/>
    <x v="3"/>
    <n v="126"/>
    <n v="22"/>
    <n v="0.57999999999999996"/>
    <s v="Mobile"/>
    <n v="0"/>
    <n v="1"/>
    <n v="0"/>
    <n v="4.99"/>
    <n v="0"/>
  </r>
  <r>
    <n v="4581"/>
    <s v="Male"/>
    <n v="18"/>
    <x v="4"/>
    <x v="2"/>
    <n v="276"/>
    <n v="22"/>
    <n v="0.18"/>
    <s v="Mobile"/>
    <n v="0"/>
    <n v="1"/>
    <n v="0"/>
    <n v="9.99"/>
    <n v="0"/>
  </r>
  <r>
    <n v="4582"/>
    <s v="Female"/>
    <n v="58"/>
    <x v="1"/>
    <x v="2"/>
    <n v="225"/>
    <n v="82"/>
    <n v="0.06"/>
    <s v="Desktop"/>
    <n v="0"/>
    <n v="1"/>
    <n v="0"/>
    <n v="9.99"/>
    <n v="0"/>
  </r>
  <r>
    <n v="4583"/>
    <s v="Female"/>
    <n v="35"/>
    <x v="4"/>
    <x v="0"/>
    <n v="227"/>
    <n v="82"/>
    <n v="0.59"/>
    <s v="Desktop"/>
    <n v="7"/>
    <n v="0"/>
    <n v="1"/>
    <n v="0"/>
    <n v="0"/>
  </r>
  <r>
    <n v="4584"/>
    <s v="Other"/>
    <n v="45"/>
    <x v="3"/>
    <x v="0"/>
    <n v="181"/>
    <n v="87"/>
    <n v="0.56999999999999995"/>
    <s v="Mobile"/>
    <n v="40"/>
    <n v="0"/>
    <n v="0"/>
    <n v="0"/>
    <n v="0"/>
  </r>
  <r>
    <n v="4585"/>
    <s v="Other"/>
    <n v="44"/>
    <x v="5"/>
    <x v="3"/>
    <n v="255"/>
    <n v="74"/>
    <n v="0.43"/>
    <s v="Desktop"/>
    <n v="0"/>
    <n v="1"/>
    <n v="0"/>
    <n v="4.99"/>
    <n v="0"/>
  </r>
  <r>
    <n v="4586"/>
    <s v="Female"/>
    <n v="20"/>
    <x v="3"/>
    <x v="2"/>
    <n v="112"/>
    <n v="45"/>
    <n v="0.55000000000000004"/>
    <s v="Web"/>
    <n v="0"/>
    <n v="1"/>
    <n v="0"/>
    <n v="9.99"/>
    <n v="0"/>
  </r>
  <r>
    <n v="4587"/>
    <s v="Female"/>
    <n v="48"/>
    <x v="2"/>
    <x v="0"/>
    <n v="29"/>
    <n v="99"/>
    <n v="0.4"/>
    <s v="Desktop"/>
    <n v="20"/>
    <n v="0"/>
    <n v="0"/>
    <n v="0"/>
    <n v="0"/>
  </r>
  <r>
    <n v="4588"/>
    <s v="Female"/>
    <n v="50"/>
    <x v="6"/>
    <x v="2"/>
    <n v="129"/>
    <n v="25"/>
    <n v="0.34"/>
    <s v="Mobile"/>
    <n v="0"/>
    <n v="1"/>
    <n v="0"/>
    <n v="9.99"/>
    <n v="0"/>
  </r>
  <r>
    <n v="4589"/>
    <s v="Other"/>
    <n v="48"/>
    <x v="3"/>
    <x v="0"/>
    <n v="107"/>
    <n v="6"/>
    <n v="0.06"/>
    <s v="Web"/>
    <n v="45"/>
    <n v="0"/>
    <n v="0"/>
    <n v="0"/>
    <n v="0"/>
  </r>
  <r>
    <n v="4590"/>
    <s v="Female"/>
    <n v="46"/>
    <x v="2"/>
    <x v="2"/>
    <n v="281"/>
    <n v="72"/>
    <n v="0.11"/>
    <s v="Web"/>
    <n v="0"/>
    <n v="1"/>
    <n v="1"/>
    <n v="9.99"/>
    <n v="9.99"/>
  </r>
  <r>
    <n v="4591"/>
    <s v="Other"/>
    <n v="23"/>
    <x v="1"/>
    <x v="1"/>
    <n v="28"/>
    <n v="87"/>
    <n v="0.39"/>
    <s v="Desktop"/>
    <n v="0"/>
    <n v="1"/>
    <n v="0"/>
    <n v="14.99"/>
    <n v="0"/>
  </r>
  <r>
    <n v="4592"/>
    <s v="Male"/>
    <n v="40"/>
    <x v="1"/>
    <x v="3"/>
    <n v="132"/>
    <n v="39"/>
    <n v="0.09"/>
    <s v="Desktop"/>
    <n v="0"/>
    <n v="1"/>
    <n v="0"/>
    <n v="4.99"/>
    <n v="0"/>
  </r>
  <r>
    <n v="4593"/>
    <s v="Male"/>
    <n v="27"/>
    <x v="3"/>
    <x v="2"/>
    <n v="274"/>
    <n v="17"/>
    <n v="0.24"/>
    <s v="Desktop"/>
    <n v="0"/>
    <n v="1"/>
    <n v="1"/>
    <n v="9.99"/>
    <n v="9.99"/>
  </r>
  <r>
    <n v="4594"/>
    <s v="Other"/>
    <n v="36"/>
    <x v="6"/>
    <x v="1"/>
    <n v="205"/>
    <n v="60"/>
    <n v="0.43"/>
    <s v="Mobile"/>
    <n v="0"/>
    <n v="1"/>
    <n v="0"/>
    <n v="14.99"/>
    <n v="0"/>
  </r>
  <r>
    <n v="4595"/>
    <s v="Male"/>
    <n v="56"/>
    <x v="4"/>
    <x v="3"/>
    <n v="190"/>
    <n v="94"/>
    <n v="0.44"/>
    <s v="Web"/>
    <n v="0"/>
    <n v="1"/>
    <n v="0"/>
    <n v="4.99"/>
    <n v="0"/>
  </r>
  <r>
    <n v="4596"/>
    <s v="Male"/>
    <n v="43"/>
    <x v="7"/>
    <x v="1"/>
    <n v="163"/>
    <n v="36"/>
    <n v="0.28000000000000003"/>
    <s v="Desktop"/>
    <n v="0"/>
    <n v="1"/>
    <n v="0"/>
    <n v="14.99"/>
    <n v="0"/>
  </r>
  <r>
    <n v="4597"/>
    <s v="Other"/>
    <n v="18"/>
    <x v="1"/>
    <x v="3"/>
    <n v="143"/>
    <n v="93"/>
    <n v="0.59"/>
    <s v="Desktop"/>
    <n v="0"/>
    <n v="1"/>
    <n v="0"/>
    <n v="4.99"/>
    <n v="0"/>
  </r>
  <r>
    <n v="4598"/>
    <s v="Male"/>
    <n v="23"/>
    <x v="4"/>
    <x v="0"/>
    <n v="20"/>
    <n v="90"/>
    <n v="0.01"/>
    <s v="Web"/>
    <n v="44"/>
    <n v="0"/>
    <n v="1"/>
    <n v="0"/>
    <n v="0"/>
  </r>
  <r>
    <n v="4599"/>
    <s v="Male"/>
    <n v="55"/>
    <x v="6"/>
    <x v="2"/>
    <n v="234"/>
    <n v="75"/>
    <n v="0.54"/>
    <s v="Web"/>
    <n v="0"/>
    <n v="1"/>
    <n v="0"/>
    <n v="9.99"/>
    <n v="0"/>
  </r>
  <r>
    <n v="4600"/>
    <s v="Female"/>
    <n v="44"/>
    <x v="1"/>
    <x v="1"/>
    <n v="59"/>
    <n v="6"/>
    <n v="0.56999999999999995"/>
    <s v="Desktop"/>
    <n v="0"/>
    <n v="1"/>
    <n v="1"/>
    <n v="14.99"/>
    <n v="14.99"/>
  </r>
  <r>
    <n v="4601"/>
    <s v="Male"/>
    <n v="42"/>
    <x v="2"/>
    <x v="1"/>
    <n v="172"/>
    <n v="28"/>
    <n v="0.56000000000000005"/>
    <s v="Mobile"/>
    <n v="0"/>
    <n v="1"/>
    <n v="0"/>
    <n v="14.99"/>
    <n v="0"/>
  </r>
  <r>
    <n v="4602"/>
    <s v="Female"/>
    <n v="17"/>
    <x v="6"/>
    <x v="3"/>
    <n v="206"/>
    <n v="61"/>
    <n v="0.1"/>
    <s v="Mobile"/>
    <n v="0"/>
    <n v="1"/>
    <n v="1"/>
    <n v="4.99"/>
    <n v="4.99"/>
  </r>
  <r>
    <n v="4603"/>
    <s v="Other"/>
    <n v="36"/>
    <x v="5"/>
    <x v="2"/>
    <n v="226"/>
    <n v="24"/>
    <n v="0.08"/>
    <s v="Desktop"/>
    <n v="0"/>
    <n v="1"/>
    <n v="1"/>
    <n v="9.99"/>
    <n v="9.99"/>
  </r>
  <r>
    <n v="4604"/>
    <s v="Female"/>
    <n v="44"/>
    <x v="6"/>
    <x v="1"/>
    <n v="41"/>
    <n v="46"/>
    <n v="0.25"/>
    <s v="Mobile"/>
    <n v="0"/>
    <n v="1"/>
    <n v="0"/>
    <n v="14.99"/>
    <n v="0"/>
  </r>
  <r>
    <n v="4605"/>
    <s v="Male"/>
    <n v="20"/>
    <x v="2"/>
    <x v="3"/>
    <n v="215"/>
    <n v="71"/>
    <n v="0.56000000000000005"/>
    <s v="Mobile"/>
    <n v="0"/>
    <n v="1"/>
    <n v="0"/>
    <n v="4.99"/>
    <n v="0"/>
  </r>
  <r>
    <n v="4606"/>
    <s v="Other"/>
    <n v="55"/>
    <x v="4"/>
    <x v="3"/>
    <n v="108"/>
    <n v="66"/>
    <n v="0.35"/>
    <s v="Web"/>
    <n v="0"/>
    <n v="1"/>
    <n v="0"/>
    <n v="4.99"/>
    <n v="0"/>
  </r>
  <r>
    <n v="4607"/>
    <s v="Other"/>
    <n v="28"/>
    <x v="7"/>
    <x v="0"/>
    <n v="108"/>
    <n v="68"/>
    <n v="0"/>
    <s v="Desktop"/>
    <n v="21"/>
    <n v="0"/>
    <n v="1"/>
    <n v="0"/>
    <n v="0"/>
  </r>
  <r>
    <n v="4608"/>
    <s v="Female"/>
    <n v="35"/>
    <x v="6"/>
    <x v="2"/>
    <n v="283"/>
    <n v="39"/>
    <n v="0.12"/>
    <s v="Mobile"/>
    <n v="0"/>
    <n v="1"/>
    <n v="0"/>
    <n v="9.99"/>
    <n v="0"/>
  </r>
  <r>
    <n v="4609"/>
    <s v="Male"/>
    <n v="30"/>
    <x v="3"/>
    <x v="1"/>
    <n v="36"/>
    <n v="6"/>
    <n v="0.06"/>
    <s v="Web"/>
    <n v="0"/>
    <n v="1"/>
    <n v="1"/>
    <n v="14.99"/>
    <n v="14.99"/>
  </r>
  <r>
    <n v="4610"/>
    <s v="Female"/>
    <n v="59"/>
    <x v="7"/>
    <x v="3"/>
    <n v="276"/>
    <n v="23"/>
    <n v="0.45"/>
    <s v="Desktop"/>
    <n v="0"/>
    <n v="1"/>
    <n v="1"/>
    <n v="4.99"/>
    <n v="4.99"/>
  </r>
  <r>
    <n v="4611"/>
    <s v="Male"/>
    <n v="47"/>
    <x v="6"/>
    <x v="2"/>
    <n v="73"/>
    <n v="59"/>
    <n v="0.42"/>
    <s v="Mobile"/>
    <n v="0"/>
    <n v="1"/>
    <n v="0"/>
    <n v="9.99"/>
    <n v="0"/>
  </r>
  <r>
    <n v="4612"/>
    <s v="Other"/>
    <n v="46"/>
    <x v="6"/>
    <x v="0"/>
    <n v="10"/>
    <n v="41"/>
    <n v="0.52"/>
    <s v="Desktop"/>
    <n v="20"/>
    <n v="0"/>
    <n v="1"/>
    <n v="0"/>
    <n v="0"/>
  </r>
  <r>
    <n v="4613"/>
    <s v="Male"/>
    <n v="37"/>
    <x v="7"/>
    <x v="1"/>
    <n v="110"/>
    <n v="38"/>
    <n v="0.56999999999999995"/>
    <s v="Web"/>
    <n v="0"/>
    <n v="1"/>
    <n v="1"/>
    <n v="14.99"/>
    <n v="14.99"/>
  </r>
  <r>
    <n v="4614"/>
    <s v="Female"/>
    <n v="52"/>
    <x v="3"/>
    <x v="1"/>
    <n v="177"/>
    <n v="83"/>
    <n v="0.45"/>
    <s v="Desktop"/>
    <n v="0"/>
    <n v="1"/>
    <n v="0"/>
    <n v="14.99"/>
    <n v="0"/>
  </r>
  <r>
    <n v="4615"/>
    <s v="Other"/>
    <n v="23"/>
    <x v="1"/>
    <x v="0"/>
    <n v="155"/>
    <n v="88"/>
    <n v="0.34"/>
    <s v="Web"/>
    <n v="9"/>
    <n v="0"/>
    <n v="0"/>
    <n v="0"/>
    <n v="0"/>
  </r>
  <r>
    <n v="4616"/>
    <s v="Female"/>
    <n v="54"/>
    <x v="4"/>
    <x v="0"/>
    <n v="33"/>
    <n v="61"/>
    <n v="0.59"/>
    <s v="Mobile"/>
    <n v="29"/>
    <n v="0"/>
    <n v="1"/>
    <n v="0"/>
    <n v="0"/>
  </r>
  <r>
    <n v="4617"/>
    <s v="Female"/>
    <n v="49"/>
    <x v="0"/>
    <x v="0"/>
    <n v="121"/>
    <n v="19"/>
    <n v="0.24"/>
    <s v="Web"/>
    <n v="46"/>
    <n v="0"/>
    <n v="0"/>
    <n v="0"/>
    <n v="0"/>
  </r>
  <r>
    <n v="4618"/>
    <s v="Male"/>
    <n v="53"/>
    <x v="5"/>
    <x v="1"/>
    <n v="205"/>
    <n v="60"/>
    <n v="0.37"/>
    <s v="Desktop"/>
    <n v="0"/>
    <n v="1"/>
    <n v="0"/>
    <n v="14.99"/>
    <n v="0"/>
  </r>
  <r>
    <n v="4619"/>
    <s v="Female"/>
    <n v="29"/>
    <x v="6"/>
    <x v="0"/>
    <n v="114"/>
    <n v="32"/>
    <n v="0.1"/>
    <s v="Web"/>
    <n v="12"/>
    <n v="0"/>
    <n v="0"/>
    <n v="0"/>
    <n v="0"/>
  </r>
  <r>
    <n v="4620"/>
    <s v="Other"/>
    <n v="33"/>
    <x v="2"/>
    <x v="1"/>
    <n v="50"/>
    <n v="79"/>
    <n v="0.14000000000000001"/>
    <s v="Desktop"/>
    <n v="0"/>
    <n v="1"/>
    <n v="1"/>
    <n v="14.99"/>
    <n v="14.99"/>
  </r>
  <r>
    <n v="4621"/>
    <s v="Male"/>
    <n v="58"/>
    <x v="4"/>
    <x v="2"/>
    <n v="145"/>
    <n v="15"/>
    <n v="0.32"/>
    <s v="Web"/>
    <n v="0"/>
    <n v="1"/>
    <n v="0"/>
    <n v="9.99"/>
    <n v="0"/>
  </r>
  <r>
    <n v="4622"/>
    <s v="Female"/>
    <n v="47"/>
    <x v="2"/>
    <x v="3"/>
    <n v="137"/>
    <n v="70"/>
    <n v="0.1"/>
    <s v="Mobile"/>
    <n v="0"/>
    <n v="1"/>
    <n v="0"/>
    <n v="4.99"/>
    <n v="0"/>
  </r>
  <r>
    <n v="4623"/>
    <s v="Male"/>
    <n v="22"/>
    <x v="7"/>
    <x v="1"/>
    <n v="265"/>
    <n v="30"/>
    <n v="0.36"/>
    <s v="Mobile"/>
    <n v="0"/>
    <n v="1"/>
    <n v="0"/>
    <n v="14.99"/>
    <n v="0"/>
  </r>
  <r>
    <n v="4624"/>
    <s v="Other"/>
    <n v="36"/>
    <x v="0"/>
    <x v="0"/>
    <n v="106"/>
    <n v="30"/>
    <n v="0.47"/>
    <s v="Desktop"/>
    <n v="35"/>
    <n v="0"/>
    <n v="0"/>
    <n v="0"/>
    <n v="0"/>
  </r>
  <r>
    <n v="4625"/>
    <s v="Other"/>
    <n v="40"/>
    <x v="1"/>
    <x v="2"/>
    <n v="176"/>
    <n v="16"/>
    <n v="0.18"/>
    <s v="Web"/>
    <n v="0"/>
    <n v="1"/>
    <n v="0"/>
    <n v="9.99"/>
    <n v="0"/>
  </r>
  <r>
    <n v="4626"/>
    <s v="Other"/>
    <n v="28"/>
    <x v="1"/>
    <x v="1"/>
    <n v="32"/>
    <n v="92"/>
    <n v="0.37"/>
    <s v="Mobile"/>
    <n v="0"/>
    <n v="1"/>
    <n v="1"/>
    <n v="14.99"/>
    <n v="14.99"/>
  </r>
  <r>
    <n v="4627"/>
    <s v="Female"/>
    <n v="35"/>
    <x v="2"/>
    <x v="3"/>
    <n v="161"/>
    <n v="95"/>
    <n v="0.53"/>
    <s v="Web"/>
    <n v="0"/>
    <n v="1"/>
    <n v="0"/>
    <n v="4.99"/>
    <n v="0"/>
  </r>
  <r>
    <n v="4628"/>
    <s v="Male"/>
    <n v="51"/>
    <x v="3"/>
    <x v="2"/>
    <n v="85"/>
    <n v="90"/>
    <n v="0.33"/>
    <s v="Web"/>
    <n v="0"/>
    <n v="1"/>
    <n v="1"/>
    <n v="9.99"/>
    <n v="9.99"/>
  </r>
  <r>
    <n v="4629"/>
    <s v="Female"/>
    <n v="43"/>
    <x v="2"/>
    <x v="2"/>
    <n v="216"/>
    <n v="55"/>
    <n v="0.5"/>
    <s v="Mobile"/>
    <n v="0"/>
    <n v="1"/>
    <n v="0"/>
    <n v="9.99"/>
    <n v="0"/>
  </r>
  <r>
    <n v="4630"/>
    <s v="Male"/>
    <n v="21"/>
    <x v="3"/>
    <x v="3"/>
    <n v="40"/>
    <n v="99"/>
    <n v="0.51"/>
    <s v="Desktop"/>
    <n v="0"/>
    <n v="1"/>
    <n v="1"/>
    <n v="4.99"/>
    <n v="4.99"/>
  </r>
  <r>
    <n v="4631"/>
    <s v="Other"/>
    <n v="53"/>
    <x v="5"/>
    <x v="3"/>
    <n v="270"/>
    <n v="7"/>
    <n v="0.41"/>
    <s v="Desktop"/>
    <n v="0"/>
    <n v="1"/>
    <n v="0"/>
    <n v="4.99"/>
    <n v="0"/>
  </r>
  <r>
    <n v="4632"/>
    <s v="Male"/>
    <n v="57"/>
    <x v="2"/>
    <x v="3"/>
    <n v="237"/>
    <n v="29"/>
    <n v="0.56000000000000005"/>
    <s v="Mobile"/>
    <n v="0"/>
    <n v="1"/>
    <n v="0"/>
    <n v="4.99"/>
    <n v="0"/>
  </r>
  <r>
    <n v="4633"/>
    <s v="Male"/>
    <n v="27"/>
    <x v="0"/>
    <x v="0"/>
    <n v="61"/>
    <n v="63"/>
    <n v="0.11"/>
    <s v="Web"/>
    <n v="13"/>
    <n v="0"/>
    <n v="0"/>
    <n v="0"/>
    <n v="0"/>
  </r>
  <r>
    <n v="4634"/>
    <s v="Female"/>
    <n v="34"/>
    <x v="0"/>
    <x v="3"/>
    <n v="189"/>
    <n v="94"/>
    <n v="0.28999999999999998"/>
    <s v="Mobile"/>
    <n v="0"/>
    <n v="1"/>
    <n v="0"/>
    <n v="4.99"/>
    <n v="0"/>
  </r>
  <r>
    <n v="4635"/>
    <s v="Male"/>
    <n v="47"/>
    <x v="5"/>
    <x v="0"/>
    <n v="287"/>
    <n v="80"/>
    <n v="0.43"/>
    <s v="Web"/>
    <n v="24"/>
    <n v="0"/>
    <n v="1"/>
    <n v="0"/>
    <n v="0"/>
  </r>
  <r>
    <n v="4636"/>
    <s v="Male"/>
    <n v="38"/>
    <x v="3"/>
    <x v="3"/>
    <n v="107"/>
    <n v="80"/>
    <n v="0.5"/>
    <s v="Desktop"/>
    <n v="0"/>
    <n v="1"/>
    <n v="0"/>
    <n v="4.99"/>
    <n v="0"/>
  </r>
  <r>
    <n v="4637"/>
    <s v="Male"/>
    <n v="21"/>
    <x v="5"/>
    <x v="0"/>
    <n v="121"/>
    <n v="15"/>
    <n v="0.01"/>
    <s v="Web"/>
    <n v="17"/>
    <n v="0"/>
    <n v="0"/>
    <n v="0"/>
    <n v="0"/>
  </r>
  <r>
    <n v="4638"/>
    <s v="Male"/>
    <n v="17"/>
    <x v="0"/>
    <x v="2"/>
    <n v="264"/>
    <n v="61"/>
    <n v="0.51"/>
    <s v="Desktop"/>
    <n v="0"/>
    <n v="1"/>
    <n v="0"/>
    <n v="9.99"/>
    <n v="0"/>
  </r>
  <r>
    <n v="4639"/>
    <s v="Male"/>
    <n v="52"/>
    <x v="4"/>
    <x v="0"/>
    <n v="253"/>
    <n v="43"/>
    <n v="0.41"/>
    <s v="Desktop"/>
    <n v="43"/>
    <n v="0"/>
    <n v="0"/>
    <n v="0"/>
    <n v="0"/>
  </r>
  <r>
    <n v="4640"/>
    <s v="Female"/>
    <n v="31"/>
    <x v="2"/>
    <x v="0"/>
    <n v="159"/>
    <n v="52"/>
    <n v="0"/>
    <s v="Mobile"/>
    <n v="41"/>
    <n v="0"/>
    <n v="1"/>
    <n v="0"/>
    <n v="0"/>
  </r>
  <r>
    <n v="4641"/>
    <s v="Other"/>
    <n v="28"/>
    <x v="2"/>
    <x v="0"/>
    <n v="26"/>
    <n v="36"/>
    <n v="0.47"/>
    <s v="Desktop"/>
    <n v="35"/>
    <n v="0"/>
    <n v="0"/>
    <n v="0"/>
    <n v="0"/>
  </r>
  <r>
    <n v="4642"/>
    <s v="Female"/>
    <n v="21"/>
    <x v="4"/>
    <x v="1"/>
    <n v="40"/>
    <n v="61"/>
    <n v="0.06"/>
    <s v="Desktop"/>
    <n v="0"/>
    <n v="1"/>
    <n v="0"/>
    <n v="14.99"/>
    <n v="0"/>
  </r>
  <r>
    <n v="4643"/>
    <s v="Female"/>
    <n v="52"/>
    <x v="7"/>
    <x v="1"/>
    <n v="64"/>
    <n v="85"/>
    <n v="0.17"/>
    <s v="Mobile"/>
    <n v="0"/>
    <n v="1"/>
    <n v="0"/>
    <n v="14.99"/>
    <n v="0"/>
  </r>
  <r>
    <n v="4644"/>
    <s v="Other"/>
    <n v="22"/>
    <x v="5"/>
    <x v="3"/>
    <n v="241"/>
    <n v="40"/>
    <n v="0.31"/>
    <s v="Mobile"/>
    <n v="0"/>
    <n v="1"/>
    <n v="1"/>
    <n v="4.99"/>
    <n v="4.99"/>
  </r>
  <r>
    <n v="4645"/>
    <s v="Female"/>
    <n v="50"/>
    <x v="3"/>
    <x v="2"/>
    <n v="289"/>
    <n v="16"/>
    <n v="0.31"/>
    <s v="Desktop"/>
    <n v="0"/>
    <n v="1"/>
    <n v="0"/>
    <n v="9.99"/>
    <n v="0"/>
  </r>
  <r>
    <n v="4646"/>
    <s v="Other"/>
    <n v="23"/>
    <x v="5"/>
    <x v="1"/>
    <n v="292"/>
    <n v="74"/>
    <n v="0.35"/>
    <s v="Desktop"/>
    <n v="0"/>
    <n v="1"/>
    <n v="0"/>
    <n v="14.99"/>
    <n v="0"/>
  </r>
  <r>
    <n v="4647"/>
    <s v="Other"/>
    <n v="36"/>
    <x v="4"/>
    <x v="2"/>
    <n v="226"/>
    <n v="2"/>
    <n v="0.13"/>
    <s v="Mobile"/>
    <n v="0"/>
    <n v="1"/>
    <n v="1"/>
    <n v="9.99"/>
    <n v="9.99"/>
  </r>
  <r>
    <n v="4648"/>
    <s v="Other"/>
    <n v="46"/>
    <x v="5"/>
    <x v="0"/>
    <n v="238"/>
    <n v="29"/>
    <n v="0.45"/>
    <s v="Mobile"/>
    <n v="26"/>
    <n v="0"/>
    <n v="0"/>
    <n v="0"/>
    <n v="0"/>
  </r>
  <r>
    <n v="4649"/>
    <s v="Female"/>
    <n v="51"/>
    <x v="7"/>
    <x v="3"/>
    <n v="128"/>
    <n v="40"/>
    <n v="0.41"/>
    <s v="Desktop"/>
    <n v="0"/>
    <n v="1"/>
    <n v="0"/>
    <n v="4.99"/>
    <n v="0"/>
  </r>
  <r>
    <n v="4650"/>
    <s v="Male"/>
    <n v="50"/>
    <x v="6"/>
    <x v="0"/>
    <n v="184"/>
    <n v="30"/>
    <n v="0.01"/>
    <s v="Web"/>
    <n v="39"/>
    <n v="0"/>
    <n v="0"/>
    <n v="0"/>
    <n v="0"/>
  </r>
  <r>
    <n v="4651"/>
    <s v="Female"/>
    <n v="33"/>
    <x v="2"/>
    <x v="3"/>
    <n v="66"/>
    <n v="53"/>
    <n v="0.03"/>
    <s v="Web"/>
    <n v="0"/>
    <n v="1"/>
    <n v="0"/>
    <n v="4.99"/>
    <n v="0"/>
  </r>
  <r>
    <n v="4652"/>
    <s v="Other"/>
    <n v="28"/>
    <x v="5"/>
    <x v="3"/>
    <n v="53"/>
    <n v="8"/>
    <n v="0.53"/>
    <s v="Web"/>
    <n v="0"/>
    <n v="1"/>
    <n v="0"/>
    <n v="4.99"/>
    <n v="0"/>
  </r>
  <r>
    <n v="4653"/>
    <s v="Male"/>
    <n v="44"/>
    <x v="1"/>
    <x v="3"/>
    <n v="180"/>
    <n v="39"/>
    <n v="0.51"/>
    <s v="Mobile"/>
    <n v="0"/>
    <n v="1"/>
    <n v="1"/>
    <n v="4.99"/>
    <n v="4.99"/>
  </r>
  <r>
    <n v="4654"/>
    <s v="Female"/>
    <n v="37"/>
    <x v="6"/>
    <x v="2"/>
    <n v="110"/>
    <n v="1"/>
    <n v="0.05"/>
    <s v="Desktop"/>
    <n v="0"/>
    <n v="1"/>
    <n v="0"/>
    <n v="9.99"/>
    <n v="0"/>
  </r>
  <r>
    <n v="4655"/>
    <s v="Other"/>
    <n v="31"/>
    <x v="4"/>
    <x v="1"/>
    <n v="212"/>
    <n v="24"/>
    <n v="0.44"/>
    <s v="Mobile"/>
    <n v="0"/>
    <n v="1"/>
    <n v="0"/>
    <n v="14.99"/>
    <n v="0"/>
  </r>
  <r>
    <n v="4656"/>
    <s v="Other"/>
    <n v="49"/>
    <x v="4"/>
    <x v="0"/>
    <n v="78"/>
    <n v="22"/>
    <n v="0.48"/>
    <s v="Mobile"/>
    <n v="48"/>
    <n v="0"/>
    <n v="1"/>
    <n v="0"/>
    <n v="0"/>
  </r>
  <r>
    <n v="4657"/>
    <s v="Other"/>
    <n v="16"/>
    <x v="3"/>
    <x v="0"/>
    <n v="278"/>
    <n v="77"/>
    <n v="0.47"/>
    <s v="Desktop"/>
    <n v="32"/>
    <n v="0"/>
    <n v="0"/>
    <n v="0"/>
    <n v="0"/>
  </r>
  <r>
    <n v="4658"/>
    <s v="Other"/>
    <n v="31"/>
    <x v="6"/>
    <x v="0"/>
    <n v="170"/>
    <n v="16"/>
    <n v="0.16"/>
    <s v="Mobile"/>
    <n v="45"/>
    <n v="0"/>
    <n v="1"/>
    <n v="0"/>
    <n v="0"/>
  </r>
  <r>
    <n v="4659"/>
    <s v="Male"/>
    <n v="44"/>
    <x v="0"/>
    <x v="3"/>
    <n v="210"/>
    <n v="29"/>
    <n v="0.28999999999999998"/>
    <s v="Desktop"/>
    <n v="0"/>
    <n v="1"/>
    <n v="0"/>
    <n v="4.99"/>
    <n v="0"/>
  </r>
  <r>
    <n v="4660"/>
    <s v="Male"/>
    <n v="48"/>
    <x v="4"/>
    <x v="3"/>
    <n v="99"/>
    <n v="12"/>
    <n v="0.56999999999999995"/>
    <s v="Desktop"/>
    <n v="0"/>
    <n v="1"/>
    <n v="0"/>
    <n v="4.99"/>
    <n v="0"/>
  </r>
  <r>
    <n v="4661"/>
    <s v="Other"/>
    <n v="53"/>
    <x v="1"/>
    <x v="2"/>
    <n v="65"/>
    <n v="47"/>
    <n v="0.43"/>
    <s v="Desktop"/>
    <n v="0"/>
    <n v="1"/>
    <n v="0"/>
    <n v="9.99"/>
    <n v="0"/>
  </r>
  <r>
    <n v="4662"/>
    <s v="Other"/>
    <n v="48"/>
    <x v="3"/>
    <x v="3"/>
    <n v="138"/>
    <n v="38"/>
    <n v="0.59"/>
    <s v="Desktop"/>
    <n v="0"/>
    <n v="1"/>
    <n v="0"/>
    <n v="4.99"/>
    <n v="0"/>
  </r>
  <r>
    <n v="4663"/>
    <s v="Female"/>
    <n v="47"/>
    <x v="5"/>
    <x v="2"/>
    <n v="47"/>
    <n v="71"/>
    <n v="0.43"/>
    <s v="Desktop"/>
    <n v="0"/>
    <n v="1"/>
    <n v="0"/>
    <n v="9.99"/>
    <n v="0"/>
  </r>
  <r>
    <n v="4664"/>
    <s v="Male"/>
    <n v="18"/>
    <x v="6"/>
    <x v="1"/>
    <n v="152"/>
    <n v="57"/>
    <n v="0.38"/>
    <s v="Web"/>
    <n v="0"/>
    <n v="1"/>
    <n v="0"/>
    <n v="14.99"/>
    <n v="0"/>
  </r>
  <r>
    <n v="4665"/>
    <s v="Female"/>
    <n v="48"/>
    <x v="0"/>
    <x v="1"/>
    <n v="96"/>
    <n v="86"/>
    <n v="0.32"/>
    <s v="Mobile"/>
    <n v="0"/>
    <n v="1"/>
    <n v="0"/>
    <n v="14.99"/>
    <n v="0"/>
  </r>
  <r>
    <n v="4666"/>
    <s v="Female"/>
    <n v="22"/>
    <x v="5"/>
    <x v="1"/>
    <n v="261"/>
    <n v="32"/>
    <n v="0.31"/>
    <s v="Web"/>
    <n v="0"/>
    <n v="1"/>
    <n v="0"/>
    <n v="14.99"/>
    <n v="0"/>
  </r>
  <r>
    <n v="4667"/>
    <s v="Male"/>
    <n v="35"/>
    <x v="4"/>
    <x v="3"/>
    <n v="156"/>
    <n v="63"/>
    <n v="0.45"/>
    <s v="Desktop"/>
    <n v="0"/>
    <n v="1"/>
    <n v="0"/>
    <n v="4.99"/>
    <n v="0"/>
  </r>
  <r>
    <n v="4668"/>
    <s v="Male"/>
    <n v="42"/>
    <x v="5"/>
    <x v="0"/>
    <n v="268"/>
    <n v="64"/>
    <n v="0.22"/>
    <s v="Mobile"/>
    <n v="44"/>
    <n v="0"/>
    <n v="0"/>
    <n v="0"/>
    <n v="0"/>
  </r>
  <r>
    <n v="4669"/>
    <s v="Female"/>
    <n v="31"/>
    <x v="6"/>
    <x v="2"/>
    <n v="246"/>
    <n v="92"/>
    <n v="0.3"/>
    <s v="Web"/>
    <n v="0"/>
    <n v="1"/>
    <n v="0"/>
    <n v="9.99"/>
    <n v="0"/>
  </r>
  <r>
    <n v="4670"/>
    <s v="Female"/>
    <n v="32"/>
    <x v="2"/>
    <x v="3"/>
    <n v="243"/>
    <n v="79"/>
    <n v="0.36"/>
    <s v="Desktop"/>
    <n v="0"/>
    <n v="1"/>
    <n v="1"/>
    <n v="4.99"/>
    <n v="4.99"/>
  </r>
  <r>
    <n v="4671"/>
    <s v="Male"/>
    <n v="37"/>
    <x v="1"/>
    <x v="0"/>
    <n v="218"/>
    <n v="76"/>
    <n v="0.44"/>
    <s v="Desktop"/>
    <n v="46"/>
    <n v="0"/>
    <n v="1"/>
    <n v="0"/>
    <n v="0"/>
  </r>
  <r>
    <n v="4672"/>
    <s v="Male"/>
    <n v="24"/>
    <x v="2"/>
    <x v="1"/>
    <n v="68"/>
    <n v="27"/>
    <n v="0.54"/>
    <s v="Web"/>
    <n v="0"/>
    <n v="1"/>
    <n v="0"/>
    <n v="14.99"/>
    <n v="0"/>
  </r>
  <r>
    <n v="4673"/>
    <s v="Other"/>
    <n v="19"/>
    <x v="1"/>
    <x v="1"/>
    <n v="16"/>
    <n v="48"/>
    <n v="0.45"/>
    <s v="Desktop"/>
    <n v="0"/>
    <n v="1"/>
    <n v="0"/>
    <n v="14.99"/>
    <n v="0"/>
  </r>
  <r>
    <n v="4674"/>
    <s v="Other"/>
    <n v="38"/>
    <x v="1"/>
    <x v="3"/>
    <n v="89"/>
    <n v="86"/>
    <n v="0.12"/>
    <s v="Web"/>
    <n v="0"/>
    <n v="1"/>
    <n v="0"/>
    <n v="4.99"/>
    <n v="0"/>
  </r>
  <r>
    <n v="4675"/>
    <s v="Other"/>
    <n v="44"/>
    <x v="6"/>
    <x v="0"/>
    <n v="11"/>
    <n v="82"/>
    <n v="0.37"/>
    <s v="Mobile"/>
    <n v="36"/>
    <n v="0"/>
    <n v="1"/>
    <n v="0"/>
    <n v="0"/>
  </r>
  <r>
    <n v="4676"/>
    <s v="Other"/>
    <n v="48"/>
    <x v="2"/>
    <x v="1"/>
    <n v="169"/>
    <n v="93"/>
    <n v="0.15"/>
    <s v="Web"/>
    <n v="0"/>
    <n v="1"/>
    <n v="0"/>
    <n v="14.99"/>
    <n v="0"/>
  </r>
  <r>
    <n v="4677"/>
    <s v="Female"/>
    <n v="56"/>
    <x v="3"/>
    <x v="0"/>
    <n v="225"/>
    <n v="53"/>
    <n v="0.27"/>
    <s v="Desktop"/>
    <n v="47"/>
    <n v="0"/>
    <n v="0"/>
    <n v="0"/>
    <n v="0"/>
  </r>
  <r>
    <n v="4678"/>
    <s v="Other"/>
    <n v="30"/>
    <x v="0"/>
    <x v="3"/>
    <n v="21"/>
    <n v="67"/>
    <n v="0.37"/>
    <s v="Web"/>
    <n v="0"/>
    <n v="1"/>
    <n v="0"/>
    <n v="4.99"/>
    <n v="0"/>
  </r>
  <r>
    <n v="4679"/>
    <s v="Male"/>
    <n v="17"/>
    <x v="1"/>
    <x v="3"/>
    <n v="164"/>
    <n v="18"/>
    <n v="0.13"/>
    <s v="Mobile"/>
    <n v="0"/>
    <n v="1"/>
    <n v="0"/>
    <n v="4.99"/>
    <n v="0"/>
  </r>
  <r>
    <n v="4680"/>
    <s v="Female"/>
    <n v="28"/>
    <x v="6"/>
    <x v="0"/>
    <n v="240"/>
    <n v="28"/>
    <n v="0.22"/>
    <s v="Web"/>
    <n v="16"/>
    <n v="0"/>
    <n v="0"/>
    <n v="0"/>
    <n v="0"/>
  </r>
  <r>
    <n v="4681"/>
    <s v="Other"/>
    <n v="32"/>
    <x v="3"/>
    <x v="1"/>
    <n v="58"/>
    <n v="97"/>
    <n v="0.27"/>
    <s v="Mobile"/>
    <n v="0"/>
    <n v="1"/>
    <n v="1"/>
    <n v="14.99"/>
    <n v="14.99"/>
  </r>
  <r>
    <n v="4682"/>
    <s v="Other"/>
    <n v="24"/>
    <x v="5"/>
    <x v="1"/>
    <n v="243"/>
    <n v="64"/>
    <n v="0.1"/>
    <s v="Desktop"/>
    <n v="0"/>
    <n v="1"/>
    <n v="0"/>
    <n v="14.99"/>
    <n v="0"/>
  </r>
  <r>
    <n v="4683"/>
    <s v="Other"/>
    <n v="26"/>
    <x v="4"/>
    <x v="3"/>
    <n v="133"/>
    <n v="91"/>
    <n v="0.14000000000000001"/>
    <s v="Desktop"/>
    <n v="0"/>
    <n v="1"/>
    <n v="1"/>
    <n v="4.99"/>
    <n v="4.99"/>
  </r>
  <r>
    <n v="4684"/>
    <s v="Female"/>
    <n v="22"/>
    <x v="2"/>
    <x v="1"/>
    <n v="201"/>
    <n v="43"/>
    <n v="0.11"/>
    <s v="Desktop"/>
    <n v="0"/>
    <n v="1"/>
    <n v="0"/>
    <n v="14.99"/>
    <n v="0"/>
  </r>
  <r>
    <n v="4685"/>
    <s v="Other"/>
    <n v="27"/>
    <x v="1"/>
    <x v="2"/>
    <n v="291"/>
    <n v="11"/>
    <n v="0.51"/>
    <s v="Web"/>
    <n v="0"/>
    <n v="1"/>
    <n v="1"/>
    <n v="9.99"/>
    <n v="9.99"/>
  </r>
  <r>
    <n v="4686"/>
    <s v="Female"/>
    <n v="50"/>
    <x v="4"/>
    <x v="2"/>
    <n v="291"/>
    <n v="18"/>
    <n v="0.55000000000000004"/>
    <s v="Mobile"/>
    <n v="0"/>
    <n v="1"/>
    <n v="0"/>
    <n v="9.99"/>
    <n v="0"/>
  </r>
  <r>
    <n v="4687"/>
    <s v="Male"/>
    <n v="37"/>
    <x v="1"/>
    <x v="3"/>
    <n v="96"/>
    <n v="23"/>
    <n v="0.36"/>
    <s v="Mobile"/>
    <n v="0"/>
    <n v="1"/>
    <n v="0"/>
    <n v="4.99"/>
    <n v="0"/>
  </r>
  <r>
    <n v="4688"/>
    <s v="Male"/>
    <n v="49"/>
    <x v="6"/>
    <x v="1"/>
    <n v="34"/>
    <n v="93"/>
    <n v="0.37"/>
    <s v="Mobile"/>
    <n v="0"/>
    <n v="1"/>
    <n v="0"/>
    <n v="14.99"/>
    <n v="0"/>
  </r>
  <r>
    <n v="4689"/>
    <s v="Male"/>
    <n v="48"/>
    <x v="3"/>
    <x v="3"/>
    <n v="33"/>
    <n v="52"/>
    <n v="0.43"/>
    <s v="Web"/>
    <n v="0"/>
    <n v="1"/>
    <n v="1"/>
    <n v="4.99"/>
    <n v="4.99"/>
  </r>
  <r>
    <n v="4690"/>
    <s v="Female"/>
    <n v="45"/>
    <x v="2"/>
    <x v="3"/>
    <n v="166"/>
    <n v="59"/>
    <n v="0.56000000000000005"/>
    <s v="Desktop"/>
    <n v="0"/>
    <n v="1"/>
    <n v="0"/>
    <n v="4.99"/>
    <n v="0"/>
  </r>
  <r>
    <n v="4691"/>
    <s v="Other"/>
    <n v="58"/>
    <x v="6"/>
    <x v="1"/>
    <n v="297"/>
    <n v="56"/>
    <n v="0.53"/>
    <s v="Desktop"/>
    <n v="0"/>
    <n v="1"/>
    <n v="1"/>
    <n v="14.99"/>
    <n v="14.99"/>
  </r>
  <r>
    <n v="4692"/>
    <s v="Other"/>
    <n v="35"/>
    <x v="3"/>
    <x v="2"/>
    <n v="204"/>
    <n v="40"/>
    <n v="0.17"/>
    <s v="Mobile"/>
    <n v="0"/>
    <n v="1"/>
    <n v="0"/>
    <n v="9.99"/>
    <n v="0"/>
  </r>
  <r>
    <n v="4693"/>
    <s v="Male"/>
    <n v="36"/>
    <x v="6"/>
    <x v="2"/>
    <n v="182"/>
    <n v="81"/>
    <n v="0.26"/>
    <s v="Desktop"/>
    <n v="0"/>
    <n v="1"/>
    <n v="0"/>
    <n v="9.99"/>
    <n v="0"/>
  </r>
  <r>
    <n v="4694"/>
    <s v="Female"/>
    <n v="33"/>
    <x v="5"/>
    <x v="1"/>
    <n v="102"/>
    <n v="18"/>
    <n v="0.09"/>
    <s v="Web"/>
    <n v="0"/>
    <n v="1"/>
    <n v="0"/>
    <n v="14.99"/>
    <n v="0"/>
  </r>
  <r>
    <n v="4695"/>
    <s v="Male"/>
    <n v="28"/>
    <x v="2"/>
    <x v="2"/>
    <n v="119"/>
    <n v="25"/>
    <n v="0.52"/>
    <s v="Mobile"/>
    <n v="0"/>
    <n v="1"/>
    <n v="0"/>
    <n v="9.99"/>
    <n v="0"/>
  </r>
  <r>
    <n v="4696"/>
    <s v="Male"/>
    <n v="32"/>
    <x v="5"/>
    <x v="1"/>
    <n v="274"/>
    <n v="62"/>
    <n v="0.51"/>
    <s v="Mobile"/>
    <n v="0"/>
    <n v="1"/>
    <n v="1"/>
    <n v="14.99"/>
    <n v="14.99"/>
  </r>
  <r>
    <n v="4697"/>
    <s v="Male"/>
    <n v="34"/>
    <x v="5"/>
    <x v="1"/>
    <n v="177"/>
    <n v="11"/>
    <n v="0.34"/>
    <s v="Web"/>
    <n v="0"/>
    <n v="1"/>
    <n v="0"/>
    <n v="14.99"/>
    <n v="0"/>
  </r>
  <r>
    <n v="4698"/>
    <s v="Other"/>
    <n v="20"/>
    <x v="6"/>
    <x v="1"/>
    <n v="163"/>
    <n v="96"/>
    <n v="0.11"/>
    <s v="Mobile"/>
    <n v="0"/>
    <n v="1"/>
    <n v="0"/>
    <n v="14.99"/>
    <n v="0"/>
  </r>
  <r>
    <n v="4699"/>
    <s v="Other"/>
    <n v="58"/>
    <x v="4"/>
    <x v="2"/>
    <n v="103"/>
    <n v="54"/>
    <n v="0.28000000000000003"/>
    <s v="Mobile"/>
    <n v="0"/>
    <n v="1"/>
    <n v="1"/>
    <n v="9.99"/>
    <n v="9.99"/>
  </r>
  <r>
    <n v="4700"/>
    <s v="Other"/>
    <n v="30"/>
    <x v="5"/>
    <x v="3"/>
    <n v="136"/>
    <n v="16"/>
    <n v="0.22"/>
    <s v="Mobile"/>
    <n v="0"/>
    <n v="1"/>
    <n v="0"/>
    <n v="4.99"/>
    <n v="0"/>
  </r>
  <r>
    <n v="4701"/>
    <s v="Female"/>
    <n v="33"/>
    <x v="3"/>
    <x v="2"/>
    <n v="266"/>
    <n v="45"/>
    <n v="0.39"/>
    <s v="Mobile"/>
    <n v="0"/>
    <n v="1"/>
    <n v="1"/>
    <n v="9.99"/>
    <n v="9.99"/>
  </r>
  <r>
    <n v="4702"/>
    <s v="Other"/>
    <n v="34"/>
    <x v="2"/>
    <x v="1"/>
    <n v="29"/>
    <n v="43"/>
    <n v="0.53"/>
    <s v="Web"/>
    <n v="0"/>
    <n v="1"/>
    <n v="0"/>
    <n v="14.99"/>
    <n v="0"/>
  </r>
  <r>
    <n v="4703"/>
    <s v="Male"/>
    <n v="20"/>
    <x v="5"/>
    <x v="0"/>
    <n v="266"/>
    <n v="36"/>
    <n v="0.46"/>
    <s v="Desktop"/>
    <n v="34"/>
    <n v="0"/>
    <n v="0"/>
    <n v="0"/>
    <n v="0"/>
  </r>
  <r>
    <n v="4704"/>
    <s v="Female"/>
    <n v="39"/>
    <x v="7"/>
    <x v="0"/>
    <n v="172"/>
    <n v="58"/>
    <n v="0.45"/>
    <s v="Desktop"/>
    <n v="12"/>
    <n v="0"/>
    <n v="0"/>
    <n v="0"/>
    <n v="0"/>
  </r>
  <r>
    <n v="4705"/>
    <s v="Male"/>
    <n v="28"/>
    <x v="7"/>
    <x v="1"/>
    <n v="33"/>
    <n v="28"/>
    <n v="0.18"/>
    <s v="Web"/>
    <n v="0"/>
    <n v="1"/>
    <n v="1"/>
    <n v="14.99"/>
    <n v="14.99"/>
  </r>
  <r>
    <n v="4706"/>
    <s v="Other"/>
    <n v="32"/>
    <x v="6"/>
    <x v="0"/>
    <n v="110"/>
    <n v="50"/>
    <n v="0.01"/>
    <s v="Mobile"/>
    <n v="13"/>
    <n v="0"/>
    <n v="0"/>
    <n v="0"/>
    <n v="0"/>
  </r>
  <r>
    <n v="4707"/>
    <s v="Male"/>
    <n v="48"/>
    <x v="0"/>
    <x v="2"/>
    <n v="69"/>
    <n v="79"/>
    <n v="0.45"/>
    <s v="Web"/>
    <n v="0"/>
    <n v="1"/>
    <n v="0"/>
    <n v="9.99"/>
    <n v="0"/>
  </r>
  <r>
    <n v="4708"/>
    <s v="Male"/>
    <n v="49"/>
    <x v="1"/>
    <x v="0"/>
    <n v="191"/>
    <n v="48"/>
    <n v="0.03"/>
    <s v="Mobile"/>
    <n v="36"/>
    <n v="0"/>
    <n v="1"/>
    <n v="0"/>
    <n v="0"/>
  </r>
  <r>
    <n v="4709"/>
    <s v="Male"/>
    <n v="59"/>
    <x v="2"/>
    <x v="2"/>
    <n v="229"/>
    <n v="96"/>
    <n v="0.35"/>
    <s v="Desktop"/>
    <n v="0"/>
    <n v="1"/>
    <n v="0"/>
    <n v="9.99"/>
    <n v="0"/>
  </r>
  <r>
    <n v="4710"/>
    <s v="Other"/>
    <n v="21"/>
    <x v="2"/>
    <x v="2"/>
    <n v="286"/>
    <n v="5"/>
    <n v="0.31"/>
    <s v="Mobile"/>
    <n v="0"/>
    <n v="1"/>
    <n v="0"/>
    <n v="9.99"/>
    <n v="0"/>
  </r>
  <r>
    <n v="4711"/>
    <s v="Female"/>
    <n v="18"/>
    <x v="1"/>
    <x v="1"/>
    <n v="158"/>
    <n v="89"/>
    <n v="0.26"/>
    <s v="Desktop"/>
    <n v="0"/>
    <n v="1"/>
    <n v="0"/>
    <n v="14.99"/>
    <n v="0"/>
  </r>
  <r>
    <n v="4712"/>
    <s v="Male"/>
    <n v="55"/>
    <x v="6"/>
    <x v="3"/>
    <n v="136"/>
    <n v="64"/>
    <n v="0.28000000000000003"/>
    <s v="Web"/>
    <n v="0"/>
    <n v="1"/>
    <n v="1"/>
    <n v="4.99"/>
    <n v="4.99"/>
  </r>
  <r>
    <n v="4713"/>
    <s v="Other"/>
    <n v="48"/>
    <x v="3"/>
    <x v="3"/>
    <n v="102"/>
    <n v="51"/>
    <n v="0.36"/>
    <s v="Web"/>
    <n v="0"/>
    <n v="1"/>
    <n v="0"/>
    <n v="4.99"/>
    <n v="0"/>
  </r>
  <r>
    <n v="4714"/>
    <s v="Male"/>
    <n v="17"/>
    <x v="3"/>
    <x v="3"/>
    <n v="227"/>
    <n v="41"/>
    <n v="0.47"/>
    <s v="Desktop"/>
    <n v="0"/>
    <n v="1"/>
    <n v="0"/>
    <n v="4.99"/>
    <n v="0"/>
  </r>
  <r>
    <n v="4715"/>
    <s v="Female"/>
    <n v="36"/>
    <x v="4"/>
    <x v="2"/>
    <n v="40"/>
    <n v="37"/>
    <n v="0.52"/>
    <s v="Mobile"/>
    <n v="0"/>
    <n v="1"/>
    <n v="0"/>
    <n v="9.99"/>
    <n v="0"/>
  </r>
  <r>
    <n v="4716"/>
    <s v="Female"/>
    <n v="27"/>
    <x v="4"/>
    <x v="0"/>
    <n v="138"/>
    <n v="40"/>
    <n v="0.28000000000000003"/>
    <s v="Web"/>
    <n v="27"/>
    <n v="0"/>
    <n v="0"/>
    <n v="0"/>
    <n v="0"/>
  </r>
  <r>
    <n v="4717"/>
    <s v="Other"/>
    <n v="48"/>
    <x v="6"/>
    <x v="3"/>
    <n v="251"/>
    <n v="11"/>
    <n v="0.24"/>
    <s v="Desktop"/>
    <n v="0"/>
    <n v="1"/>
    <n v="0"/>
    <n v="4.99"/>
    <n v="0"/>
  </r>
  <r>
    <n v="4718"/>
    <s v="Female"/>
    <n v="20"/>
    <x v="5"/>
    <x v="2"/>
    <n v="174"/>
    <n v="70"/>
    <n v="0.32"/>
    <s v="Mobile"/>
    <n v="0"/>
    <n v="1"/>
    <n v="0"/>
    <n v="9.99"/>
    <n v="0"/>
  </r>
  <r>
    <n v="4719"/>
    <s v="Other"/>
    <n v="49"/>
    <x v="5"/>
    <x v="0"/>
    <n v="23"/>
    <n v="7"/>
    <n v="0.43"/>
    <s v="Mobile"/>
    <n v="40"/>
    <n v="0"/>
    <n v="0"/>
    <n v="0"/>
    <n v="0"/>
  </r>
  <r>
    <n v="4720"/>
    <s v="Female"/>
    <n v="22"/>
    <x v="6"/>
    <x v="3"/>
    <n v="280"/>
    <n v="10"/>
    <n v="0.32"/>
    <s v="Desktop"/>
    <n v="0"/>
    <n v="1"/>
    <n v="0"/>
    <n v="4.99"/>
    <n v="0"/>
  </r>
  <r>
    <n v="4721"/>
    <s v="Other"/>
    <n v="54"/>
    <x v="6"/>
    <x v="2"/>
    <n v="242"/>
    <n v="23"/>
    <n v="0.15"/>
    <s v="Desktop"/>
    <n v="0"/>
    <n v="1"/>
    <n v="0"/>
    <n v="9.99"/>
    <n v="0"/>
  </r>
  <r>
    <n v="4722"/>
    <s v="Female"/>
    <n v="55"/>
    <x v="5"/>
    <x v="2"/>
    <n v="28"/>
    <n v="33"/>
    <n v="0.23"/>
    <s v="Web"/>
    <n v="0"/>
    <n v="1"/>
    <n v="1"/>
    <n v="9.99"/>
    <n v="9.99"/>
  </r>
  <r>
    <n v="4723"/>
    <s v="Male"/>
    <n v="25"/>
    <x v="1"/>
    <x v="1"/>
    <n v="173"/>
    <n v="71"/>
    <n v="0.38"/>
    <s v="Desktop"/>
    <n v="0"/>
    <n v="1"/>
    <n v="0"/>
    <n v="14.99"/>
    <n v="0"/>
  </r>
  <r>
    <n v="4724"/>
    <s v="Female"/>
    <n v="36"/>
    <x v="2"/>
    <x v="1"/>
    <n v="108"/>
    <n v="57"/>
    <n v="0.35"/>
    <s v="Desktop"/>
    <n v="0"/>
    <n v="1"/>
    <n v="0"/>
    <n v="14.99"/>
    <n v="0"/>
  </r>
  <r>
    <n v="4725"/>
    <s v="Female"/>
    <n v="32"/>
    <x v="4"/>
    <x v="0"/>
    <n v="161"/>
    <n v="20"/>
    <n v="0.01"/>
    <s v="Desktop"/>
    <n v="16"/>
    <n v="0"/>
    <n v="1"/>
    <n v="0"/>
    <n v="0"/>
  </r>
  <r>
    <n v="4726"/>
    <s v="Other"/>
    <n v="33"/>
    <x v="2"/>
    <x v="3"/>
    <n v="204"/>
    <n v="88"/>
    <n v="0.13"/>
    <s v="Desktop"/>
    <n v="0"/>
    <n v="1"/>
    <n v="0"/>
    <n v="4.99"/>
    <n v="0"/>
  </r>
  <r>
    <n v="4727"/>
    <s v="Other"/>
    <n v="58"/>
    <x v="3"/>
    <x v="1"/>
    <n v="208"/>
    <n v="68"/>
    <n v="0.19"/>
    <s v="Desktop"/>
    <n v="0"/>
    <n v="1"/>
    <n v="1"/>
    <n v="14.99"/>
    <n v="14.99"/>
  </r>
  <r>
    <n v="4728"/>
    <s v="Male"/>
    <n v="32"/>
    <x v="1"/>
    <x v="3"/>
    <n v="157"/>
    <n v="43"/>
    <n v="0.26"/>
    <s v="Web"/>
    <n v="0"/>
    <n v="1"/>
    <n v="0"/>
    <n v="4.99"/>
    <n v="0"/>
  </r>
  <r>
    <n v="4729"/>
    <s v="Male"/>
    <n v="41"/>
    <x v="6"/>
    <x v="3"/>
    <n v="273"/>
    <n v="57"/>
    <n v="0.46"/>
    <s v="Desktop"/>
    <n v="0"/>
    <n v="1"/>
    <n v="1"/>
    <n v="4.99"/>
    <n v="4.99"/>
  </r>
  <r>
    <n v="4730"/>
    <s v="Female"/>
    <n v="39"/>
    <x v="6"/>
    <x v="0"/>
    <n v="251"/>
    <n v="3"/>
    <n v="0.27"/>
    <s v="Desktop"/>
    <n v="9"/>
    <n v="0"/>
    <n v="1"/>
    <n v="0"/>
    <n v="0"/>
  </r>
  <r>
    <n v="4731"/>
    <s v="Female"/>
    <n v="29"/>
    <x v="3"/>
    <x v="2"/>
    <n v="215"/>
    <n v="38"/>
    <n v="0.55000000000000004"/>
    <s v="Web"/>
    <n v="0"/>
    <n v="1"/>
    <n v="1"/>
    <n v="9.99"/>
    <n v="9.99"/>
  </r>
  <r>
    <n v="4732"/>
    <s v="Female"/>
    <n v="42"/>
    <x v="6"/>
    <x v="2"/>
    <n v="206"/>
    <n v="47"/>
    <n v="0.35"/>
    <s v="Web"/>
    <n v="0"/>
    <n v="1"/>
    <n v="0"/>
    <n v="9.99"/>
    <n v="0"/>
  </r>
  <r>
    <n v="4733"/>
    <s v="Male"/>
    <n v="56"/>
    <x v="6"/>
    <x v="3"/>
    <n v="162"/>
    <n v="29"/>
    <n v="0.32"/>
    <s v="Web"/>
    <n v="0"/>
    <n v="1"/>
    <n v="1"/>
    <n v="4.99"/>
    <n v="4.99"/>
  </r>
  <r>
    <n v="4734"/>
    <s v="Female"/>
    <n v="29"/>
    <x v="1"/>
    <x v="0"/>
    <n v="254"/>
    <n v="30"/>
    <n v="0.4"/>
    <s v="Mobile"/>
    <n v="7"/>
    <n v="0"/>
    <n v="0"/>
    <n v="0"/>
    <n v="0"/>
  </r>
  <r>
    <n v="4735"/>
    <s v="Other"/>
    <n v="48"/>
    <x v="6"/>
    <x v="0"/>
    <n v="171"/>
    <n v="56"/>
    <n v="0.41"/>
    <s v="Web"/>
    <n v="20"/>
    <n v="0"/>
    <n v="0"/>
    <n v="0"/>
    <n v="0"/>
  </r>
  <r>
    <n v="4736"/>
    <s v="Other"/>
    <n v="24"/>
    <x v="4"/>
    <x v="2"/>
    <n v="131"/>
    <n v="38"/>
    <n v="0.27"/>
    <s v="Mobile"/>
    <n v="0"/>
    <n v="1"/>
    <n v="0"/>
    <n v="9.99"/>
    <n v="0"/>
  </r>
  <r>
    <n v="4737"/>
    <s v="Other"/>
    <n v="44"/>
    <x v="2"/>
    <x v="3"/>
    <n v="250"/>
    <n v="21"/>
    <n v="0.48"/>
    <s v="Desktop"/>
    <n v="0"/>
    <n v="1"/>
    <n v="0"/>
    <n v="4.99"/>
    <n v="0"/>
  </r>
  <r>
    <n v="4738"/>
    <s v="Male"/>
    <n v="21"/>
    <x v="6"/>
    <x v="0"/>
    <n v="37"/>
    <n v="55"/>
    <n v="0.28999999999999998"/>
    <s v="Web"/>
    <n v="36"/>
    <n v="0"/>
    <n v="0"/>
    <n v="0"/>
    <n v="0"/>
  </r>
  <r>
    <n v="4739"/>
    <s v="Male"/>
    <n v="44"/>
    <x v="1"/>
    <x v="2"/>
    <n v="263"/>
    <n v="36"/>
    <n v="0.14000000000000001"/>
    <s v="Mobile"/>
    <n v="0"/>
    <n v="1"/>
    <n v="0"/>
    <n v="9.99"/>
    <n v="0"/>
  </r>
  <r>
    <n v="4740"/>
    <s v="Female"/>
    <n v="25"/>
    <x v="3"/>
    <x v="1"/>
    <n v="123"/>
    <n v="20"/>
    <n v="0.2"/>
    <s v="Desktop"/>
    <n v="0"/>
    <n v="1"/>
    <n v="1"/>
    <n v="14.99"/>
    <n v="14.99"/>
  </r>
  <r>
    <n v="4741"/>
    <s v="Male"/>
    <n v="56"/>
    <x v="3"/>
    <x v="2"/>
    <n v="294"/>
    <n v="99"/>
    <n v="0.01"/>
    <s v="Desktop"/>
    <n v="0"/>
    <n v="1"/>
    <n v="0"/>
    <n v="9.99"/>
    <n v="0"/>
  </r>
  <r>
    <n v="4742"/>
    <s v="Other"/>
    <n v="46"/>
    <x v="7"/>
    <x v="3"/>
    <n v="150"/>
    <n v="77"/>
    <n v="0.5"/>
    <s v="Mobile"/>
    <n v="0"/>
    <n v="1"/>
    <n v="0"/>
    <n v="4.99"/>
    <n v="0"/>
  </r>
  <r>
    <n v="4743"/>
    <s v="Male"/>
    <n v="47"/>
    <x v="6"/>
    <x v="1"/>
    <n v="248"/>
    <n v="23"/>
    <n v="0.35"/>
    <s v="Desktop"/>
    <n v="0"/>
    <n v="1"/>
    <n v="0"/>
    <n v="14.99"/>
    <n v="0"/>
  </r>
  <r>
    <n v="4744"/>
    <s v="Female"/>
    <n v="18"/>
    <x v="3"/>
    <x v="2"/>
    <n v="221"/>
    <n v="99"/>
    <n v="0.15"/>
    <s v="Web"/>
    <n v="0"/>
    <n v="1"/>
    <n v="0"/>
    <n v="9.99"/>
    <n v="0"/>
  </r>
  <r>
    <n v="4745"/>
    <s v="Female"/>
    <n v="21"/>
    <x v="1"/>
    <x v="0"/>
    <n v="167"/>
    <n v="48"/>
    <n v="0.21"/>
    <s v="Web"/>
    <n v="32"/>
    <n v="0"/>
    <n v="0"/>
    <n v="0"/>
    <n v="0"/>
  </r>
  <r>
    <n v="4746"/>
    <s v="Male"/>
    <n v="56"/>
    <x v="6"/>
    <x v="0"/>
    <n v="242"/>
    <n v="85"/>
    <n v="0.1"/>
    <s v="Mobile"/>
    <n v="21"/>
    <n v="0"/>
    <n v="0"/>
    <n v="0"/>
    <n v="0"/>
  </r>
  <r>
    <n v="4747"/>
    <s v="Female"/>
    <n v="56"/>
    <x v="0"/>
    <x v="3"/>
    <n v="295"/>
    <n v="26"/>
    <n v="0.53"/>
    <s v="Mobile"/>
    <n v="0"/>
    <n v="1"/>
    <n v="0"/>
    <n v="4.99"/>
    <n v="0"/>
  </r>
  <r>
    <n v="4748"/>
    <s v="Male"/>
    <n v="21"/>
    <x v="6"/>
    <x v="2"/>
    <n v="282"/>
    <n v="21"/>
    <n v="0.02"/>
    <s v="Web"/>
    <n v="0"/>
    <n v="1"/>
    <n v="0"/>
    <n v="9.99"/>
    <n v="0"/>
  </r>
  <r>
    <n v="4749"/>
    <s v="Female"/>
    <n v="48"/>
    <x v="2"/>
    <x v="0"/>
    <n v="31"/>
    <n v="46"/>
    <n v="0.08"/>
    <s v="Web"/>
    <n v="47"/>
    <n v="0"/>
    <n v="1"/>
    <n v="0"/>
    <n v="0"/>
  </r>
  <r>
    <n v="4750"/>
    <s v="Female"/>
    <n v="59"/>
    <x v="7"/>
    <x v="3"/>
    <n v="71"/>
    <n v="45"/>
    <n v="0.22"/>
    <s v="Web"/>
    <n v="0"/>
    <n v="1"/>
    <n v="0"/>
    <n v="4.99"/>
    <n v="0"/>
  </r>
  <r>
    <n v="4751"/>
    <s v="Female"/>
    <n v="37"/>
    <x v="2"/>
    <x v="3"/>
    <n v="10"/>
    <n v="90"/>
    <n v="0.09"/>
    <s v="Desktop"/>
    <n v="0"/>
    <n v="1"/>
    <n v="0"/>
    <n v="4.99"/>
    <n v="0"/>
  </r>
  <r>
    <n v="4752"/>
    <s v="Female"/>
    <n v="44"/>
    <x v="7"/>
    <x v="2"/>
    <n v="269"/>
    <n v="9"/>
    <n v="0.44"/>
    <s v="Mobile"/>
    <n v="0"/>
    <n v="1"/>
    <n v="0"/>
    <n v="9.99"/>
    <n v="0"/>
  </r>
  <r>
    <n v="4753"/>
    <s v="Other"/>
    <n v="20"/>
    <x v="3"/>
    <x v="2"/>
    <n v="105"/>
    <n v="80"/>
    <n v="0.4"/>
    <s v="Mobile"/>
    <n v="0"/>
    <n v="1"/>
    <n v="0"/>
    <n v="9.99"/>
    <n v="0"/>
  </r>
  <r>
    <n v="4754"/>
    <s v="Other"/>
    <n v="50"/>
    <x v="1"/>
    <x v="3"/>
    <n v="98"/>
    <n v="4"/>
    <n v="0.52"/>
    <s v="Mobile"/>
    <n v="0"/>
    <n v="1"/>
    <n v="0"/>
    <n v="4.99"/>
    <n v="0"/>
  </r>
  <r>
    <n v="4755"/>
    <s v="Female"/>
    <n v="22"/>
    <x v="4"/>
    <x v="0"/>
    <n v="97"/>
    <n v="62"/>
    <n v="0.33"/>
    <s v="Web"/>
    <n v="45"/>
    <n v="0"/>
    <n v="1"/>
    <n v="0"/>
    <n v="0"/>
  </r>
  <r>
    <n v="4756"/>
    <s v="Male"/>
    <n v="47"/>
    <x v="0"/>
    <x v="0"/>
    <n v="52"/>
    <n v="43"/>
    <n v="0.04"/>
    <s v="Desktop"/>
    <n v="48"/>
    <n v="0"/>
    <n v="0"/>
    <n v="0"/>
    <n v="0"/>
  </r>
  <r>
    <n v="4757"/>
    <s v="Female"/>
    <n v="37"/>
    <x v="7"/>
    <x v="0"/>
    <n v="242"/>
    <n v="23"/>
    <n v="0.56000000000000005"/>
    <s v="Web"/>
    <n v="21"/>
    <n v="0"/>
    <n v="0"/>
    <n v="0"/>
    <n v="0"/>
  </r>
  <r>
    <n v="4758"/>
    <s v="Female"/>
    <n v="48"/>
    <x v="1"/>
    <x v="0"/>
    <n v="44"/>
    <n v="56"/>
    <n v="0.5"/>
    <s v="Desktop"/>
    <n v="26"/>
    <n v="0"/>
    <n v="0"/>
    <n v="0"/>
    <n v="0"/>
  </r>
  <r>
    <n v="4759"/>
    <s v="Male"/>
    <n v="22"/>
    <x v="2"/>
    <x v="0"/>
    <n v="180"/>
    <n v="23"/>
    <n v="0"/>
    <s v="Mobile"/>
    <n v="9"/>
    <n v="0"/>
    <n v="0"/>
    <n v="0"/>
    <n v="0"/>
  </r>
  <r>
    <n v="4760"/>
    <s v="Female"/>
    <n v="58"/>
    <x v="0"/>
    <x v="0"/>
    <n v="255"/>
    <n v="90"/>
    <n v="0"/>
    <s v="Mobile"/>
    <n v="8"/>
    <n v="0"/>
    <n v="0"/>
    <n v="0"/>
    <n v="0"/>
  </r>
  <r>
    <n v="4761"/>
    <s v="Male"/>
    <n v="32"/>
    <x v="5"/>
    <x v="1"/>
    <n v="65"/>
    <n v="25"/>
    <n v="0.02"/>
    <s v="Web"/>
    <n v="0"/>
    <n v="1"/>
    <n v="1"/>
    <n v="14.99"/>
    <n v="14.99"/>
  </r>
  <r>
    <n v="4762"/>
    <s v="Male"/>
    <n v="21"/>
    <x v="6"/>
    <x v="3"/>
    <n v="131"/>
    <n v="55"/>
    <n v="0.21"/>
    <s v="Web"/>
    <n v="0"/>
    <n v="1"/>
    <n v="0"/>
    <n v="4.99"/>
    <n v="0"/>
  </r>
  <r>
    <n v="4763"/>
    <s v="Other"/>
    <n v="28"/>
    <x v="2"/>
    <x v="1"/>
    <n v="98"/>
    <n v="25"/>
    <n v="0.59"/>
    <s v="Desktop"/>
    <n v="0"/>
    <n v="1"/>
    <n v="1"/>
    <n v="14.99"/>
    <n v="14.99"/>
  </r>
  <r>
    <n v="4764"/>
    <s v="Male"/>
    <n v="46"/>
    <x v="5"/>
    <x v="0"/>
    <n v="116"/>
    <n v="10"/>
    <n v="0.54"/>
    <s v="Mobile"/>
    <n v="20"/>
    <n v="0"/>
    <n v="1"/>
    <n v="0"/>
    <n v="0"/>
  </r>
  <r>
    <n v="4765"/>
    <s v="Other"/>
    <n v="43"/>
    <x v="2"/>
    <x v="3"/>
    <n v="256"/>
    <n v="4"/>
    <n v="0.42"/>
    <s v="Desktop"/>
    <n v="0"/>
    <n v="1"/>
    <n v="0"/>
    <n v="4.99"/>
    <n v="0"/>
  </r>
  <r>
    <n v="4766"/>
    <s v="Male"/>
    <n v="22"/>
    <x v="0"/>
    <x v="1"/>
    <n v="169"/>
    <n v="41"/>
    <n v="0.47"/>
    <s v="Mobile"/>
    <n v="0"/>
    <n v="1"/>
    <n v="0"/>
    <n v="14.99"/>
    <n v="0"/>
  </r>
  <r>
    <n v="4767"/>
    <s v="Female"/>
    <n v="58"/>
    <x v="5"/>
    <x v="3"/>
    <n v="99"/>
    <n v="12"/>
    <n v="0.51"/>
    <s v="Mobile"/>
    <n v="0"/>
    <n v="1"/>
    <n v="1"/>
    <n v="4.99"/>
    <n v="4.99"/>
  </r>
  <r>
    <n v="4768"/>
    <s v="Other"/>
    <n v="16"/>
    <x v="1"/>
    <x v="1"/>
    <n v="110"/>
    <n v="24"/>
    <n v="0.45"/>
    <s v="Mobile"/>
    <n v="0"/>
    <n v="1"/>
    <n v="0"/>
    <n v="14.99"/>
    <n v="0"/>
  </r>
  <r>
    <n v="4769"/>
    <s v="Female"/>
    <n v="55"/>
    <x v="2"/>
    <x v="3"/>
    <n v="178"/>
    <n v="86"/>
    <n v="0.24"/>
    <s v="Web"/>
    <n v="0"/>
    <n v="1"/>
    <n v="0"/>
    <n v="4.99"/>
    <n v="0"/>
  </r>
  <r>
    <n v="4770"/>
    <s v="Other"/>
    <n v="47"/>
    <x v="1"/>
    <x v="0"/>
    <n v="104"/>
    <n v="39"/>
    <n v="0.21"/>
    <s v="Desktop"/>
    <n v="13"/>
    <n v="0"/>
    <n v="0"/>
    <n v="0"/>
    <n v="0"/>
  </r>
  <r>
    <n v="4771"/>
    <s v="Other"/>
    <n v="31"/>
    <x v="6"/>
    <x v="3"/>
    <n v="79"/>
    <n v="57"/>
    <n v="0.47"/>
    <s v="Web"/>
    <n v="0"/>
    <n v="1"/>
    <n v="0"/>
    <n v="4.99"/>
    <n v="0"/>
  </r>
  <r>
    <n v="4772"/>
    <s v="Female"/>
    <n v="58"/>
    <x v="7"/>
    <x v="1"/>
    <n v="70"/>
    <n v="54"/>
    <n v="0.1"/>
    <s v="Mobile"/>
    <n v="0"/>
    <n v="1"/>
    <n v="1"/>
    <n v="14.99"/>
    <n v="14.99"/>
  </r>
  <r>
    <n v="4773"/>
    <s v="Female"/>
    <n v="44"/>
    <x v="1"/>
    <x v="1"/>
    <n v="199"/>
    <n v="90"/>
    <n v="0.53"/>
    <s v="Desktop"/>
    <n v="0"/>
    <n v="1"/>
    <n v="0"/>
    <n v="14.99"/>
    <n v="0"/>
  </r>
  <r>
    <n v="4774"/>
    <s v="Female"/>
    <n v="37"/>
    <x v="7"/>
    <x v="3"/>
    <n v="262"/>
    <n v="30"/>
    <n v="0.42"/>
    <s v="Desktop"/>
    <n v="0"/>
    <n v="1"/>
    <n v="0"/>
    <n v="4.99"/>
    <n v="0"/>
  </r>
  <r>
    <n v="4775"/>
    <s v="Male"/>
    <n v="23"/>
    <x v="1"/>
    <x v="3"/>
    <n v="294"/>
    <n v="27"/>
    <n v="0.37"/>
    <s v="Desktop"/>
    <n v="0"/>
    <n v="1"/>
    <n v="1"/>
    <n v="4.99"/>
    <n v="4.99"/>
  </r>
  <r>
    <n v="4776"/>
    <s v="Female"/>
    <n v="50"/>
    <x v="0"/>
    <x v="0"/>
    <n v="74"/>
    <n v="80"/>
    <n v="0.59"/>
    <s v="Desktop"/>
    <n v="25"/>
    <n v="0"/>
    <n v="0"/>
    <n v="0"/>
    <n v="0"/>
  </r>
  <r>
    <n v="4777"/>
    <s v="Other"/>
    <n v="47"/>
    <x v="5"/>
    <x v="1"/>
    <n v="45"/>
    <n v="95"/>
    <n v="0.43"/>
    <s v="Web"/>
    <n v="0"/>
    <n v="1"/>
    <n v="0"/>
    <n v="14.99"/>
    <n v="0"/>
  </r>
  <r>
    <n v="4778"/>
    <s v="Male"/>
    <n v="50"/>
    <x v="2"/>
    <x v="2"/>
    <n v="131"/>
    <n v="27"/>
    <n v="0.56999999999999995"/>
    <s v="Web"/>
    <n v="0"/>
    <n v="1"/>
    <n v="0"/>
    <n v="9.99"/>
    <n v="0"/>
  </r>
  <r>
    <n v="4779"/>
    <s v="Female"/>
    <n v="43"/>
    <x v="7"/>
    <x v="2"/>
    <n v="165"/>
    <n v="14"/>
    <n v="0.06"/>
    <s v="Desktop"/>
    <n v="0"/>
    <n v="1"/>
    <n v="1"/>
    <n v="9.99"/>
    <n v="9.99"/>
  </r>
  <r>
    <n v="4780"/>
    <s v="Other"/>
    <n v="46"/>
    <x v="5"/>
    <x v="1"/>
    <n v="27"/>
    <n v="26"/>
    <n v="0.22"/>
    <s v="Desktop"/>
    <n v="0"/>
    <n v="1"/>
    <n v="0"/>
    <n v="14.99"/>
    <n v="0"/>
  </r>
  <r>
    <n v="4781"/>
    <s v="Male"/>
    <n v="36"/>
    <x v="6"/>
    <x v="2"/>
    <n v="199"/>
    <n v="97"/>
    <n v="0.52"/>
    <s v="Desktop"/>
    <n v="0"/>
    <n v="1"/>
    <n v="0"/>
    <n v="9.99"/>
    <n v="0"/>
  </r>
  <r>
    <n v="4782"/>
    <s v="Male"/>
    <n v="41"/>
    <x v="7"/>
    <x v="3"/>
    <n v="107"/>
    <n v="59"/>
    <n v="0.4"/>
    <s v="Desktop"/>
    <n v="0"/>
    <n v="1"/>
    <n v="0"/>
    <n v="4.99"/>
    <n v="0"/>
  </r>
  <r>
    <n v="4783"/>
    <s v="Female"/>
    <n v="39"/>
    <x v="0"/>
    <x v="3"/>
    <n v="49"/>
    <n v="84"/>
    <n v="0.3"/>
    <s v="Web"/>
    <n v="0"/>
    <n v="1"/>
    <n v="0"/>
    <n v="4.99"/>
    <n v="0"/>
  </r>
  <r>
    <n v="4784"/>
    <s v="Male"/>
    <n v="50"/>
    <x v="7"/>
    <x v="2"/>
    <n v="265"/>
    <n v="77"/>
    <n v="0.44"/>
    <s v="Mobile"/>
    <n v="0"/>
    <n v="1"/>
    <n v="0"/>
    <n v="9.99"/>
    <n v="0"/>
  </r>
  <r>
    <n v="4785"/>
    <s v="Female"/>
    <n v="22"/>
    <x v="3"/>
    <x v="3"/>
    <n v="106"/>
    <n v="76"/>
    <n v="7.0000000000000007E-2"/>
    <s v="Desktop"/>
    <n v="0"/>
    <n v="1"/>
    <n v="0"/>
    <n v="4.99"/>
    <n v="0"/>
  </r>
  <r>
    <n v="4786"/>
    <s v="Other"/>
    <n v="49"/>
    <x v="3"/>
    <x v="3"/>
    <n v="103"/>
    <n v="34"/>
    <n v="0.18"/>
    <s v="Web"/>
    <n v="0"/>
    <n v="1"/>
    <n v="0"/>
    <n v="4.99"/>
    <n v="0"/>
  </r>
  <r>
    <n v="4787"/>
    <s v="Other"/>
    <n v="59"/>
    <x v="5"/>
    <x v="0"/>
    <n v="224"/>
    <n v="92"/>
    <n v="0.36"/>
    <s v="Web"/>
    <n v="10"/>
    <n v="0"/>
    <n v="0"/>
    <n v="0"/>
    <n v="0"/>
  </r>
  <r>
    <n v="4788"/>
    <s v="Female"/>
    <n v="57"/>
    <x v="1"/>
    <x v="1"/>
    <n v="243"/>
    <n v="42"/>
    <n v="0.32"/>
    <s v="Desktop"/>
    <n v="0"/>
    <n v="1"/>
    <n v="0"/>
    <n v="14.99"/>
    <n v="0"/>
  </r>
  <r>
    <n v="4789"/>
    <s v="Male"/>
    <n v="34"/>
    <x v="2"/>
    <x v="0"/>
    <n v="17"/>
    <n v="82"/>
    <n v="0.48"/>
    <s v="Desktop"/>
    <n v="19"/>
    <n v="0"/>
    <n v="0"/>
    <n v="0"/>
    <n v="0"/>
  </r>
  <r>
    <n v="4790"/>
    <s v="Other"/>
    <n v="51"/>
    <x v="4"/>
    <x v="2"/>
    <n v="173"/>
    <n v="61"/>
    <n v="0.35"/>
    <s v="Web"/>
    <n v="0"/>
    <n v="1"/>
    <n v="1"/>
    <n v="9.99"/>
    <n v="9.99"/>
  </r>
  <r>
    <n v="4791"/>
    <s v="Other"/>
    <n v="46"/>
    <x v="6"/>
    <x v="2"/>
    <n v="97"/>
    <n v="56"/>
    <n v="0.26"/>
    <s v="Desktop"/>
    <n v="0"/>
    <n v="1"/>
    <n v="0"/>
    <n v="9.99"/>
    <n v="0"/>
  </r>
  <r>
    <n v="4792"/>
    <s v="Male"/>
    <n v="22"/>
    <x v="6"/>
    <x v="0"/>
    <n v="162"/>
    <n v="44"/>
    <n v="0.01"/>
    <s v="Mobile"/>
    <n v="15"/>
    <n v="0"/>
    <n v="0"/>
    <n v="0"/>
    <n v="0"/>
  </r>
  <r>
    <n v="4793"/>
    <s v="Other"/>
    <n v="52"/>
    <x v="1"/>
    <x v="0"/>
    <n v="147"/>
    <n v="9"/>
    <n v="0.11"/>
    <s v="Web"/>
    <n v="21"/>
    <n v="0"/>
    <n v="0"/>
    <n v="0"/>
    <n v="0"/>
  </r>
  <r>
    <n v="4794"/>
    <s v="Female"/>
    <n v="50"/>
    <x v="3"/>
    <x v="3"/>
    <n v="27"/>
    <n v="55"/>
    <n v="0.08"/>
    <s v="Mobile"/>
    <n v="0"/>
    <n v="1"/>
    <n v="0"/>
    <n v="4.99"/>
    <n v="0"/>
  </r>
  <r>
    <n v="4795"/>
    <s v="Male"/>
    <n v="27"/>
    <x v="3"/>
    <x v="0"/>
    <n v="88"/>
    <n v="52"/>
    <n v="0.1"/>
    <s v="Web"/>
    <n v="10"/>
    <n v="0"/>
    <n v="0"/>
    <n v="0"/>
    <n v="0"/>
  </r>
  <r>
    <n v="4796"/>
    <s v="Male"/>
    <n v="38"/>
    <x v="0"/>
    <x v="3"/>
    <n v="294"/>
    <n v="55"/>
    <n v="0.31"/>
    <s v="Desktop"/>
    <n v="0"/>
    <n v="1"/>
    <n v="0"/>
    <n v="4.99"/>
    <n v="0"/>
  </r>
  <r>
    <n v="4797"/>
    <s v="Male"/>
    <n v="59"/>
    <x v="2"/>
    <x v="1"/>
    <n v="235"/>
    <n v="46"/>
    <n v="0.3"/>
    <s v="Mobile"/>
    <n v="0"/>
    <n v="1"/>
    <n v="1"/>
    <n v="14.99"/>
    <n v="14.99"/>
  </r>
  <r>
    <n v="4798"/>
    <s v="Other"/>
    <n v="45"/>
    <x v="2"/>
    <x v="3"/>
    <n v="296"/>
    <n v="5"/>
    <n v="0.39"/>
    <s v="Mobile"/>
    <n v="0"/>
    <n v="1"/>
    <n v="1"/>
    <n v="4.99"/>
    <n v="4.99"/>
  </r>
  <r>
    <n v="4799"/>
    <s v="Other"/>
    <n v="31"/>
    <x v="4"/>
    <x v="2"/>
    <n v="249"/>
    <n v="86"/>
    <n v="0.56999999999999995"/>
    <s v="Web"/>
    <n v="0"/>
    <n v="1"/>
    <n v="0"/>
    <n v="9.99"/>
    <n v="0"/>
  </r>
  <r>
    <n v="4800"/>
    <s v="Male"/>
    <n v="22"/>
    <x v="7"/>
    <x v="1"/>
    <n v="197"/>
    <n v="85"/>
    <n v="0.03"/>
    <s v="Mobile"/>
    <n v="0"/>
    <n v="1"/>
    <n v="0"/>
    <n v="14.99"/>
    <n v="0"/>
  </r>
  <r>
    <n v="4801"/>
    <s v="Other"/>
    <n v="24"/>
    <x v="7"/>
    <x v="2"/>
    <n v="221"/>
    <n v="67"/>
    <n v="0.57999999999999996"/>
    <s v="Mobile"/>
    <n v="0"/>
    <n v="1"/>
    <n v="0"/>
    <n v="9.99"/>
    <n v="0"/>
  </r>
  <r>
    <n v="4802"/>
    <s v="Female"/>
    <n v="44"/>
    <x v="6"/>
    <x v="0"/>
    <n v="46"/>
    <n v="20"/>
    <n v="0.23"/>
    <s v="Desktop"/>
    <n v="32"/>
    <n v="0"/>
    <n v="0"/>
    <n v="0"/>
    <n v="0"/>
  </r>
  <r>
    <n v="4803"/>
    <s v="Female"/>
    <n v="59"/>
    <x v="3"/>
    <x v="3"/>
    <n v="18"/>
    <n v="95"/>
    <n v="0.46"/>
    <s v="Desktop"/>
    <n v="0"/>
    <n v="1"/>
    <n v="0"/>
    <n v="4.99"/>
    <n v="0"/>
  </r>
  <r>
    <n v="4804"/>
    <s v="Other"/>
    <n v="34"/>
    <x v="6"/>
    <x v="2"/>
    <n v="105"/>
    <n v="24"/>
    <n v="0.57999999999999996"/>
    <s v="Mobile"/>
    <n v="0"/>
    <n v="1"/>
    <n v="0"/>
    <n v="9.99"/>
    <n v="0"/>
  </r>
  <r>
    <n v="4805"/>
    <s v="Male"/>
    <n v="28"/>
    <x v="3"/>
    <x v="3"/>
    <n v="256"/>
    <n v="84"/>
    <n v="0.21"/>
    <s v="Mobile"/>
    <n v="0"/>
    <n v="1"/>
    <n v="0"/>
    <n v="4.99"/>
    <n v="0"/>
  </r>
  <r>
    <n v="4806"/>
    <s v="Other"/>
    <n v="40"/>
    <x v="4"/>
    <x v="0"/>
    <n v="253"/>
    <n v="55"/>
    <n v="0.09"/>
    <s v="Web"/>
    <n v="25"/>
    <n v="0"/>
    <n v="0"/>
    <n v="0"/>
    <n v="0"/>
  </r>
  <r>
    <n v="4807"/>
    <s v="Female"/>
    <n v="33"/>
    <x v="0"/>
    <x v="0"/>
    <n v="27"/>
    <n v="66"/>
    <n v="0.4"/>
    <s v="Desktop"/>
    <n v="28"/>
    <n v="0"/>
    <n v="1"/>
    <n v="0"/>
    <n v="0"/>
  </r>
  <r>
    <n v="4808"/>
    <s v="Other"/>
    <n v="27"/>
    <x v="6"/>
    <x v="3"/>
    <n v="224"/>
    <n v="88"/>
    <n v="0.01"/>
    <s v="Mobile"/>
    <n v="0"/>
    <n v="1"/>
    <n v="0"/>
    <n v="4.99"/>
    <n v="0"/>
  </r>
  <r>
    <n v="4809"/>
    <s v="Other"/>
    <n v="56"/>
    <x v="1"/>
    <x v="3"/>
    <n v="24"/>
    <n v="29"/>
    <n v="0.16"/>
    <s v="Web"/>
    <n v="0"/>
    <n v="1"/>
    <n v="0"/>
    <n v="4.99"/>
    <n v="0"/>
  </r>
  <r>
    <n v="4810"/>
    <s v="Male"/>
    <n v="26"/>
    <x v="3"/>
    <x v="0"/>
    <n v="102"/>
    <n v="2"/>
    <n v="0.04"/>
    <s v="Desktop"/>
    <n v="19"/>
    <n v="0"/>
    <n v="0"/>
    <n v="0"/>
    <n v="0"/>
  </r>
  <r>
    <n v="4811"/>
    <s v="Female"/>
    <n v="54"/>
    <x v="6"/>
    <x v="2"/>
    <n v="231"/>
    <n v="41"/>
    <n v="0.15"/>
    <s v="Mobile"/>
    <n v="0"/>
    <n v="1"/>
    <n v="0"/>
    <n v="9.99"/>
    <n v="0"/>
  </r>
  <r>
    <n v="4812"/>
    <s v="Female"/>
    <n v="32"/>
    <x v="2"/>
    <x v="1"/>
    <n v="275"/>
    <n v="95"/>
    <n v="0.1"/>
    <s v="Web"/>
    <n v="0"/>
    <n v="1"/>
    <n v="0"/>
    <n v="14.99"/>
    <n v="0"/>
  </r>
  <r>
    <n v="4813"/>
    <s v="Female"/>
    <n v="26"/>
    <x v="7"/>
    <x v="0"/>
    <n v="70"/>
    <n v="7"/>
    <n v="0.5"/>
    <s v="Desktop"/>
    <n v="30"/>
    <n v="0"/>
    <n v="0"/>
    <n v="0"/>
    <n v="0"/>
  </r>
  <r>
    <n v="4814"/>
    <s v="Male"/>
    <n v="45"/>
    <x v="2"/>
    <x v="0"/>
    <n v="247"/>
    <n v="79"/>
    <n v="0.06"/>
    <s v="Web"/>
    <n v="13"/>
    <n v="0"/>
    <n v="0"/>
    <n v="0"/>
    <n v="0"/>
  </r>
  <r>
    <n v="4815"/>
    <s v="Female"/>
    <n v="58"/>
    <x v="0"/>
    <x v="0"/>
    <n v="290"/>
    <n v="49"/>
    <n v="0.14000000000000001"/>
    <s v="Mobile"/>
    <n v="44"/>
    <n v="0"/>
    <n v="1"/>
    <n v="0"/>
    <n v="0"/>
  </r>
  <r>
    <n v="4816"/>
    <s v="Male"/>
    <n v="32"/>
    <x v="7"/>
    <x v="1"/>
    <n v="50"/>
    <n v="80"/>
    <n v="7.0000000000000007E-2"/>
    <s v="Desktop"/>
    <n v="0"/>
    <n v="1"/>
    <n v="0"/>
    <n v="14.99"/>
    <n v="0"/>
  </r>
  <r>
    <n v="4817"/>
    <s v="Male"/>
    <n v="40"/>
    <x v="6"/>
    <x v="1"/>
    <n v="50"/>
    <n v="39"/>
    <n v="0.2"/>
    <s v="Mobile"/>
    <n v="0"/>
    <n v="1"/>
    <n v="0"/>
    <n v="14.99"/>
    <n v="0"/>
  </r>
  <r>
    <n v="4818"/>
    <s v="Other"/>
    <n v="44"/>
    <x v="1"/>
    <x v="3"/>
    <n v="254"/>
    <n v="33"/>
    <n v="0.04"/>
    <s v="Web"/>
    <n v="0"/>
    <n v="1"/>
    <n v="1"/>
    <n v="4.99"/>
    <n v="4.99"/>
  </r>
  <r>
    <n v="4819"/>
    <s v="Male"/>
    <n v="17"/>
    <x v="4"/>
    <x v="3"/>
    <n v="166"/>
    <n v="53"/>
    <n v="0.32"/>
    <s v="Desktop"/>
    <n v="0"/>
    <n v="1"/>
    <n v="0"/>
    <n v="4.99"/>
    <n v="0"/>
  </r>
  <r>
    <n v="4820"/>
    <s v="Other"/>
    <n v="29"/>
    <x v="0"/>
    <x v="0"/>
    <n v="262"/>
    <n v="28"/>
    <n v="0.4"/>
    <s v="Desktop"/>
    <n v="9"/>
    <n v="0"/>
    <n v="0"/>
    <n v="0"/>
    <n v="0"/>
  </r>
  <r>
    <n v="4821"/>
    <s v="Female"/>
    <n v="47"/>
    <x v="6"/>
    <x v="2"/>
    <n v="208"/>
    <n v="48"/>
    <n v="0.38"/>
    <s v="Mobile"/>
    <n v="0"/>
    <n v="1"/>
    <n v="1"/>
    <n v="9.99"/>
    <n v="9.99"/>
  </r>
  <r>
    <n v="4822"/>
    <s v="Female"/>
    <n v="24"/>
    <x v="4"/>
    <x v="1"/>
    <n v="36"/>
    <n v="47"/>
    <n v="0.08"/>
    <s v="Desktop"/>
    <n v="0"/>
    <n v="1"/>
    <n v="0"/>
    <n v="14.99"/>
    <n v="0"/>
  </r>
  <r>
    <n v="4823"/>
    <s v="Male"/>
    <n v="59"/>
    <x v="2"/>
    <x v="3"/>
    <n v="207"/>
    <n v="9"/>
    <n v="0.06"/>
    <s v="Mobile"/>
    <n v="0"/>
    <n v="1"/>
    <n v="0"/>
    <n v="4.99"/>
    <n v="0"/>
  </r>
  <r>
    <n v="4824"/>
    <s v="Other"/>
    <n v="21"/>
    <x v="0"/>
    <x v="0"/>
    <n v="281"/>
    <n v="84"/>
    <n v="0.34"/>
    <s v="Mobile"/>
    <n v="5"/>
    <n v="0"/>
    <n v="0"/>
    <n v="0"/>
    <n v="0"/>
  </r>
  <r>
    <n v="4825"/>
    <s v="Female"/>
    <n v="17"/>
    <x v="6"/>
    <x v="3"/>
    <n v="50"/>
    <n v="19"/>
    <n v="0.32"/>
    <s v="Desktop"/>
    <n v="0"/>
    <n v="1"/>
    <n v="0"/>
    <n v="4.99"/>
    <n v="0"/>
  </r>
  <r>
    <n v="4826"/>
    <s v="Male"/>
    <n v="42"/>
    <x v="4"/>
    <x v="3"/>
    <n v="80"/>
    <n v="71"/>
    <n v="0.34"/>
    <s v="Desktop"/>
    <n v="0"/>
    <n v="1"/>
    <n v="1"/>
    <n v="4.99"/>
    <n v="4.99"/>
  </r>
  <r>
    <n v="4827"/>
    <s v="Female"/>
    <n v="24"/>
    <x v="5"/>
    <x v="2"/>
    <n v="17"/>
    <n v="88"/>
    <n v="0"/>
    <s v="Desktop"/>
    <n v="0"/>
    <n v="1"/>
    <n v="0"/>
    <n v="9.99"/>
    <n v="0"/>
  </r>
  <r>
    <n v="4828"/>
    <s v="Male"/>
    <n v="28"/>
    <x v="7"/>
    <x v="1"/>
    <n v="267"/>
    <n v="64"/>
    <n v="0.02"/>
    <s v="Desktop"/>
    <n v="0"/>
    <n v="1"/>
    <n v="1"/>
    <n v="14.99"/>
    <n v="14.99"/>
  </r>
  <r>
    <n v="4829"/>
    <s v="Female"/>
    <n v="26"/>
    <x v="6"/>
    <x v="1"/>
    <n v="126"/>
    <n v="41"/>
    <n v="0.2"/>
    <s v="Mobile"/>
    <n v="0"/>
    <n v="1"/>
    <n v="0"/>
    <n v="14.99"/>
    <n v="0"/>
  </r>
  <r>
    <n v="4830"/>
    <s v="Male"/>
    <n v="50"/>
    <x v="5"/>
    <x v="0"/>
    <n v="53"/>
    <n v="5"/>
    <n v="0.36"/>
    <s v="Mobile"/>
    <n v="11"/>
    <n v="0"/>
    <n v="1"/>
    <n v="0"/>
    <n v="0"/>
  </r>
  <r>
    <n v="4831"/>
    <s v="Male"/>
    <n v="21"/>
    <x v="3"/>
    <x v="0"/>
    <n v="113"/>
    <n v="70"/>
    <n v="7.0000000000000007E-2"/>
    <s v="Web"/>
    <n v="9"/>
    <n v="0"/>
    <n v="0"/>
    <n v="0"/>
    <n v="0"/>
  </r>
  <r>
    <n v="4832"/>
    <s v="Other"/>
    <n v="51"/>
    <x v="7"/>
    <x v="3"/>
    <n v="165"/>
    <n v="43"/>
    <n v="0.39"/>
    <s v="Web"/>
    <n v="0"/>
    <n v="1"/>
    <n v="1"/>
    <n v="4.99"/>
    <n v="4.99"/>
  </r>
  <r>
    <n v="4833"/>
    <s v="Male"/>
    <n v="30"/>
    <x v="2"/>
    <x v="2"/>
    <n v="43"/>
    <n v="99"/>
    <n v="0.51"/>
    <s v="Web"/>
    <n v="0"/>
    <n v="1"/>
    <n v="0"/>
    <n v="9.99"/>
    <n v="0"/>
  </r>
  <r>
    <n v="4834"/>
    <s v="Other"/>
    <n v="48"/>
    <x v="3"/>
    <x v="1"/>
    <n v="243"/>
    <n v="65"/>
    <n v="0.23"/>
    <s v="Web"/>
    <n v="0"/>
    <n v="1"/>
    <n v="0"/>
    <n v="14.99"/>
    <n v="0"/>
  </r>
  <r>
    <n v="4835"/>
    <s v="Female"/>
    <n v="19"/>
    <x v="4"/>
    <x v="2"/>
    <n v="192"/>
    <n v="79"/>
    <n v="0.22"/>
    <s v="Web"/>
    <n v="0"/>
    <n v="1"/>
    <n v="0"/>
    <n v="9.99"/>
    <n v="0"/>
  </r>
  <r>
    <n v="4836"/>
    <s v="Other"/>
    <n v="53"/>
    <x v="2"/>
    <x v="3"/>
    <n v="151"/>
    <n v="22"/>
    <n v="0.54"/>
    <s v="Mobile"/>
    <n v="0"/>
    <n v="1"/>
    <n v="1"/>
    <n v="4.99"/>
    <n v="4.99"/>
  </r>
  <r>
    <n v="4837"/>
    <s v="Male"/>
    <n v="30"/>
    <x v="4"/>
    <x v="1"/>
    <n v="23"/>
    <n v="55"/>
    <n v="0.12"/>
    <s v="Mobile"/>
    <n v="0"/>
    <n v="1"/>
    <n v="0"/>
    <n v="14.99"/>
    <n v="0"/>
  </r>
  <r>
    <n v="4838"/>
    <s v="Female"/>
    <n v="16"/>
    <x v="6"/>
    <x v="1"/>
    <n v="188"/>
    <n v="95"/>
    <n v="0.25"/>
    <s v="Desktop"/>
    <n v="0"/>
    <n v="1"/>
    <n v="0"/>
    <n v="14.99"/>
    <n v="0"/>
  </r>
  <r>
    <n v="4839"/>
    <s v="Male"/>
    <n v="39"/>
    <x v="6"/>
    <x v="2"/>
    <n v="125"/>
    <n v="43"/>
    <n v="0.42"/>
    <s v="Mobile"/>
    <n v="0"/>
    <n v="1"/>
    <n v="1"/>
    <n v="9.99"/>
    <n v="9.99"/>
  </r>
  <r>
    <n v="4840"/>
    <s v="Other"/>
    <n v="51"/>
    <x v="2"/>
    <x v="2"/>
    <n v="264"/>
    <n v="94"/>
    <n v="0.49"/>
    <s v="Mobile"/>
    <n v="0"/>
    <n v="1"/>
    <n v="1"/>
    <n v="9.99"/>
    <n v="9.99"/>
  </r>
  <r>
    <n v="4841"/>
    <s v="Male"/>
    <n v="33"/>
    <x v="0"/>
    <x v="0"/>
    <n v="253"/>
    <n v="67"/>
    <n v="0.54"/>
    <s v="Mobile"/>
    <n v="34"/>
    <n v="0"/>
    <n v="0"/>
    <n v="0"/>
    <n v="0"/>
  </r>
  <r>
    <n v="4842"/>
    <s v="Male"/>
    <n v="34"/>
    <x v="6"/>
    <x v="3"/>
    <n v="48"/>
    <n v="87"/>
    <n v="0.04"/>
    <s v="Web"/>
    <n v="0"/>
    <n v="1"/>
    <n v="0"/>
    <n v="4.99"/>
    <n v="0"/>
  </r>
  <r>
    <n v="4843"/>
    <s v="Male"/>
    <n v="41"/>
    <x v="0"/>
    <x v="1"/>
    <n v="17"/>
    <n v="95"/>
    <n v="0.23"/>
    <s v="Mobile"/>
    <n v="0"/>
    <n v="1"/>
    <n v="0"/>
    <n v="14.99"/>
    <n v="0"/>
  </r>
  <r>
    <n v="4844"/>
    <s v="Other"/>
    <n v="57"/>
    <x v="3"/>
    <x v="3"/>
    <n v="76"/>
    <n v="92"/>
    <n v="0.51"/>
    <s v="Mobile"/>
    <n v="0"/>
    <n v="1"/>
    <n v="0"/>
    <n v="4.99"/>
    <n v="0"/>
  </r>
  <r>
    <n v="4845"/>
    <s v="Male"/>
    <n v="24"/>
    <x v="2"/>
    <x v="0"/>
    <n v="239"/>
    <n v="37"/>
    <n v="0.27"/>
    <s v="Desktop"/>
    <n v="36"/>
    <n v="0"/>
    <n v="1"/>
    <n v="0"/>
    <n v="0"/>
  </r>
  <r>
    <n v="4846"/>
    <s v="Male"/>
    <n v="24"/>
    <x v="5"/>
    <x v="2"/>
    <n v="98"/>
    <n v="36"/>
    <n v="0.28999999999999998"/>
    <s v="Desktop"/>
    <n v="0"/>
    <n v="1"/>
    <n v="0"/>
    <n v="9.99"/>
    <n v="0"/>
  </r>
  <r>
    <n v="4847"/>
    <s v="Other"/>
    <n v="26"/>
    <x v="2"/>
    <x v="0"/>
    <n v="229"/>
    <n v="61"/>
    <n v="0.28999999999999998"/>
    <s v="Desktop"/>
    <n v="15"/>
    <n v="0"/>
    <n v="0"/>
    <n v="0"/>
    <n v="0"/>
  </r>
  <r>
    <n v="4848"/>
    <s v="Other"/>
    <n v="17"/>
    <x v="1"/>
    <x v="1"/>
    <n v="296"/>
    <n v="80"/>
    <n v="0.02"/>
    <s v="Mobile"/>
    <n v="0"/>
    <n v="1"/>
    <n v="0"/>
    <n v="14.99"/>
    <n v="0"/>
  </r>
  <r>
    <n v="4849"/>
    <s v="Female"/>
    <n v="26"/>
    <x v="0"/>
    <x v="1"/>
    <n v="235"/>
    <n v="51"/>
    <n v="0.08"/>
    <s v="Mobile"/>
    <n v="0"/>
    <n v="1"/>
    <n v="0"/>
    <n v="14.99"/>
    <n v="0"/>
  </r>
  <r>
    <n v="4850"/>
    <s v="Male"/>
    <n v="45"/>
    <x v="5"/>
    <x v="2"/>
    <n v="49"/>
    <n v="96"/>
    <n v="0.14000000000000001"/>
    <s v="Desktop"/>
    <n v="0"/>
    <n v="1"/>
    <n v="1"/>
    <n v="9.99"/>
    <n v="9.99"/>
  </r>
  <r>
    <n v="4851"/>
    <s v="Female"/>
    <n v="49"/>
    <x v="5"/>
    <x v="3"/>
    <n v="221"/>
    <n v="82"/>
    <n v="0.59"/>
    <s v="Mobile"/>
    <n v="0"/>
    <n v="1"/>
    <n v="1"/>
    <n v="4.99"/>
    <n v="4.99"/>
  </r>
  <r>
    <n v="4852"/>
    <s v="Male"/>
    <n v="48"/>
    <x v="1"/>
    <x v="1"/>
    <n v="103"/>
    <n v="80"/>
    <n v="0.24"/>
    <s v="Desktop"/>
    <n v="0"/>
    <n v="1"/>
    <n v="0"/>
    <n v="14.99"/>
    <n v="0"/>
  </r>
  <r>
    <n v="4853"/>
    <s v="Male"/>
    <n v="18"/>
    <x v="1"/>
    <x v="2"/>
    <n v="72"/>
    <n v="11"/>
    <n v="0.46"/>
    <s v="Web"/>
    <n v="0"/>
    <n v="1"/>
    <n v="1"/>
    <n v="9.99"/>
    <n v="9.99"/>
  </r>
  <r>
    <n v="4854"/>
    <s v="Other"/>
    <n v="23"/>
    <x v="5"/>
    <x v="0"/>
    <n v="256"/>
    <n v="3"/>
    <n v="0.38"/>
    <s v="Mobile"/>
    <n v="11"/>
    <n v="0"/>
    <n v="0"/>
    <n v="0"/>
    <n v="0"/>
  </r>
  <r>
    <n v="4855"/>
    <s v="Female"/>
    <n v="45"/>
    <x v="5"/>
    <x v="1"/>
    <n v="18"/>
    <n v="79"/>
    <n v="0.3"/>
    <s v="Mobile"/>
    <n v="0"/>
    <n v="1"/>
    <n v="0"/>
    <n v="14.99"/>
    <n v="0"/>
  </r>
  <r>
    <n v="4856"/>
    <s v="Other"/>
    <n v="58"/>
    <x v="5"/>
    <x v="3"/>
    <n v="204"/>
    <n v="98"/>
    <n v="0.09"/>
    <s v="Web"/>
    <n v="0"/>
    <n v="1"/>
    <n v="0"/>
    <n v="4.99"/>
    <n v="0"/>
  </r>
  <r>
    <n v="4857"/>
    <s v="Male"/>
    <n v="28"/>
    <x v="0"/>
    <x v="2"/>
    <n v="22"/>
    <n v="59"/>
    <n v="0.22"/>
    <s v="Web"/>
    <n v="0"/>
    <n v="1"/>
    <n v="0"/>
    <n v="9.99"/>
    <n v="0"/>
  </r>
  <r>
    <n v="4858"/>
    <s v="Male"/>
    <n v="48"/>
    <x v="4"/>
    <x v="1"/>
    <n v="68"/>
    <n v="35"/>
    <n v="0.28999999999999998"/>
    <s v="Web"/>
    <n v="0"/>
    <n v="1"/>
    <n v="0"/>
    <n v="14.99"/>
    <n v="0"/>
  </r>
  <r>
    <n v="4859"/>
    <s v="Male"/>
    <n v="18"/>
    <x v="3"/>
    <x v="3"/>
    <n v="23"/>
    <n v="58"/>
    <n v="0.5"/>
    <s v="Desktop"/>
    <n v="0"/>
    <n v="1"/>
    <n v="0"/>
    <n v="4.99"/>
    <n v="0"/>
  </r>
  <r>
    <n v="4860"/>
    <s v="Male"/>
    <n v="47"/>
    <x v="4"/>
    <x v="0"/>
    <n v="75"/>
    <n v="72"/>
    <n v="0"/>
    <s v="Desktop"/>
    <n v="38"/>
    <n v="0"/>
    <n v="0"/>
    <n v="0"/>
    <n v="0"/>
  </r>
  <r>
    <n v="4861"/>
    <s v="Female"/>
    <n v="48"/>
    <x v="7"/>
    <x v="1"/>
    <n v="131"/>
    <n v="45"/>
    <n v="0.28999999999999998"/>
    <s v="Web"/>
    <n v="0"/>
    <n v="1"/>
    <n v="0"/>
    <n v="14.99"/>
    <n v="0"/>
  </r>
  <r>
    <n v="4862"/>
    <s v="Male"/>
    <n v="22"/>
    <x v="3"/>
    <x v="3"/>
    <n v="42"/>
    <n v="78"/>
    <n v="0.26"/>
    <s v="Web"/>
    <n v="0"/>
    <n v="1"/>
    <n v="0"/>
    <n v="4.99"/>
    <n v="0"/>
  </r>
  <r>
    <n v="4863"/>
    <s v="Male"/>
    <n v="38"/>
    <x v="2"/>
    <x v="2"/>
    <n v="96"/>
    <n v="90"/>
    <n v="7.0000000000000007E-2"/>
    <s v="Desktop"/>
    <n v="0"/>
    <n v="1"/>
    <n v="0"/>
    <n v="9.99"/>
    <n v="0"/>
  </r>
  <r>
    <n v="4864"/>
    <s v="Male"/>
    <n v="24"/>
    <x v="3"/>
    <x v="0"/>
    <n v="114"/>
    <n v="88"/>
    <n v="0.35"/>
    <s v="Mobile"/>
    <n v="33"/>
    <n v="0"/>
    <n v="0"/>
    <n v="0"/>
    <n v="0"/>
  </r>
  <r>
    <n v="4865"/>
    <s v="Female"/>
    <n v="26"/>
    <x v="7"/>
    <x v="3"/>
    <n v="12"/>
    <n v="97"/>
    <n v="0.14000000000000001"/>
    <s v="Web"/>
    <n v="0"/>
    <n v="1"/>
    <n v="1"/>
    <n v="4.99"/>
    <n v="4.99"/>
  </r>
  <r>
    <n v="4866"/>
    <s v="Other"/>
    <n v="40"/>
    <x v="3"/>
    <x v="2"/>
    <n v="295"/>
    <n v="82"/>
    <n v="0.41"/>
    <s v="Web"/>
    <n v="0"/>
    <n v="1"/>
    <n v="1"/>
    <n v="9.99"/>
    <n v="9.99"/>
  </r>
  <r>
    <n v="4867"/>
    <s v="Male"/>
    <n v="53"/>
    <x v="4"/>
    <x v="1"/>
    <n v="79"/>
    <n v="25"/>
    <n v="0.39"/>
    <s v="Desktop"/>
    <n v="0"/>
    <n v="1"/>
    <n v="0"/>
    <n v="14.99"/>
    <n v="0"/>
  </r>
  <r>
    <n v="4868"/>
    <s v="Male"/>
    <n v="21"/>
    <x v="4"/>
    <x v="0"/>
    <n v="41"/>
    <n v="32"/>
    <n v="0.46"/>
    <s v="Desktop"/>
    <n v="44"/>
    <n v="0"/>
    <n v="0"/>
    <n v="0"/>
    <n v="0"/>
  </r>
  <r>
    <n v="4869"/>
    <s v="Male"/>
    <n v="39"/>
    <x v="3"/>
    <x v="1"/>
    <n v="273"/>
    <n v="10"/>
    <n v="0.53"/>
    <s v="Web"/>
    <n v="0"/>
    <n v="1"/>
    <n v="0"/>
    <n v="14.99"/>
    <n v="0"/>
  </r>
  <r>
    <n v="4870"/>
    <s v="Female"/>
    <n v="52"/>
    <x v="7"/>
    <x v="1"/>
    <n v="241"/>
    <n v="20"/>
    <n v="0"/>
    <s v="Mobile"/>
    <n v="0"/>
    <n v="1"/>
    <n v="0"/>
    <n v="14.99"/>
    <n v="0"/>
  </r>
  <r>
    <n v="4871"/>
    <s v="Other"/>
    <n v="40"/>
    <x v="4"/>
    <x v="1"/>
    <n v="242"/>
    <n v="18"/>
    <n v="0.37"/>
    <s v="Desktop"/>
    <n v="0"/>
    <n v="1"/>
    <n v="0"/>
    <n v="14.99"/>
    <n v="0"/>
  </r>
  <r>
    <n v="4872"/>
    <s v="Other"/>
    <n v="52"/>
    <x v="7"/>
    <x v="0"/>
    <n v="149"/>
    <n v="6"/>
    <n v="0.39"/>
    <s v="Web"/>
    <n v="47"/>
    <n v="0"/>
    <n v="0"/>
    <n v="0"/>
    <n v="0"/>
  </r>
  <r>
    <n v="4873"/>
    <s v="Other"/>
    <n v="17"/>
    <x v="0"/>
    <x v="1"/>
    <n v="232"/>
    <n v="88"/>
    <n v="0.22"/>
    <s v="Desktop"/>
    <n v="0"/>
    <n v="1"/>
    <n v="1"/>
    <n v="14.99"/>
    <n v="14.99"/>
  </r>
  <r>
    <n v="4874"/>
    <s v="Other"/>
    <n v="19"/>
    <x v="0"/>
    <x v="1"/>
    <n v="286"/>
    <n v="67"/>
    <n v="0.16"/>
    <s v="Desktop"/>
    <n v="0"/>
    <n v="1"/>
    <n v="0"/>
    <n v="14.99"/>
    <n v="0"/>
  </r>
  <r>
    <n v="4875"/>
    <s v="Female"/>
    <n v="16"/>
    <x v="0"/>
    <x v="1"/>
    <n v="12"/>
    <n v="98"/>
    <n v="0.22"/>
    <s v="Desktop"/>
    <n v="0"/>
    <n v="1"/>
    <n v="0"/>
    <n v="14.99"/>
    <n v="0"/>
  </r>
  <r>
    <n v="4876"/>
    <s v="Other"/>
    <n v="46"/>
    <x v="3"/>
    <x v="1"/>
    <n v="231"/>
    <n v="72"/>
    <n v="0.25"/>
    <s v="Desktop"/>
    <n v="0"/>
    <n v="1"/>
    <n v="0"/>
    <n v="14.99"/>
    <n v="0"/>
  </r>
  <r>
    <n v="4877"/>
    <s v="Female"/>
    <n v="29"/>
    <x v="3"/>
    <x v="0"/>
    <n v="49"/>
    <n v="30"/>
    <n v="0.34"/>
    <s v="Desktop"/>
    <n v="10"/>
    <n v="0"/>
    <n v="0"/>
    <n v="0"/>
    <n v="0"/>
  </r>
  <r>
    <n v="4878"/>
    <s v="Female"/>
    <n v="26"/>
    <x v="2"/>
    <x v="2"/>
    <n v="237"/>
    <n v="33"/>
    <n v="0.16"/>
    <s v="Mobile"/>
    <n v="0"/>
    <n v="1"/>
    <n v="0"/>
    <n v="9.99"/>
    <n v="0"/>
  </r>
  <r>
    <n v="4879"/>
    <s v="Male"/>
    <n v="27"/>
    <x v="5"/>
    <x v="3"/>
    <n v="284"/>
    <n v="76"/>
    <n v="0.41"/>
    <s v="Mobile"/>
    <n v="0"/>
    <n v="1"/>
    <n v="1"/>
    <n v="4.99"/>
    <n v="4.99"/>
  </r>
  <r>
    <n v="4880"/>
    <s v="Other"/>
    <n v="57"/>
    <x v="0"/>
    <x v="2"/>
    <n v="109"/>
    <n v="69"/>
    <n v="0.3"/>
    <s v="Mobile"/>
    <n v="0"/>
    <n v="1"/>
    <n v="0"/>
    <n v="9.99"/>
    <n v="0"/>
  </r>
  <r>
    <n v="4881"/>
    <s v="Female"/>
    <n v="20"/>
    <x v="2"/>
    <x v="2"/>
    <n v="156"/>
    <n v="49"/>
    <n v="0.36"/>
    <s v="Web"/>
    <n v="0"/>
    <n v="1"/>
    <n v="0"/>
    <n v="9.99"/>
    <n v="0"/>
  </r>
  <r>
    <n v="4882"/>
    <s v="Male"/>
    <n v="36"/>
    <x v="1"/>
    <x v="3"/>
    <n v="123"/>
    <n v="62"/>
    <n v="0.05"/>
    <s v="Web"/>
    <n v="0"/>
    <n v="1"/>
    <n v="1"/>
    <n v="4.99"/>
    <n v="4.99"/>
  </r>
  <r>
    <n v="4883"/>
    <s v="Other"/>
    <n v="32"/>
    <x v="5"/>
    <x v="2"/>
    <n v="87"/>
    <n v="48"/>
    <n v="7.0000000000000007E-2"/>
    <s v="Web"/>
    <n v="0"/>
    <n v="1"/>
    <n v="0"/>
    <n v="9.99"/>
    <n v="0"/>
  </r>
  <r>
    <n v="4884"/>
    <s v="Male"/>
    <n v="47"/>
    <x v="7"/>
    <x v="1"/>
    <n v="59"/>
    <n v="53"/>
    <n v="0.37"/>
    <s v="Web"/>
    <n v="0"/>
    <n v="1"/>
    <n v="0"/>
    <n v="14.99"/>
    <n v="0"/>
  </r>
  <r>
    <n v="4885"/>
    <s v="Male"/>
    <n v="25"/>
    <x v="4"/>
    <x v="3"/>
    <n v="170"/>
    <n v="97"/>
    <n v="0.31"/>
    <s v="Desktop"/>
    <n v="0"/>
    <n v="1"/>
    <n v="0"/>
    <n v="4.99"/>
    <n v="0"/>
  </r>
  <r>
    <n v="4886"/>
    <s v="Female"/>
    <n v="36"/>
    <x v="3"/>
    <x v="1"/>
    <n v="190"/>
    <n v="49"/>
    <n v="0.15"/>
    <s v="Desktop"/>
    <n v="0"/>
    <n v="1"/>
    <n v="0"/>
    <n v="14.99"/>
    <n v="0"/>
  </r>
  <r>
    <n v="4887"/>
    <s v="Male"/>
    <n v="22"/>
    <x v="1"/>
    <x v="0"/>
    <n v="170"/>
    <n v="10"/>
    <n v="0.19"/>
    <s v="Web"/>
    <n v="16"/>
    <n v="0"/>
    <n v="0"/>
    <n v="0"/>
    <n v="0"/>
  </r>
  <r>
    <n v="4888"/>
    <s v="Other"/>
    <n v="58"/>
    <x v="7"/>
    <x v="3"/>
    <n v="71"/>
    <n v="11"/>
    <n v="0.57999999999999996"/>
    <s v="Web"/>
    <n v="0"/>
    <n v="1"/>
    <n v="0"/>
    <n v="4.99"/>
    <n v="0"/>
  </r>
  <r>
    <n v="4889"/>
    <s v="Male"/>
    <n v="50"/>
    <x v="5"/>
    <x v="2"/>
    <n v="213"/>
    <n v="16"/>
    <n v="0.49"/>
    <s v="Mobile"/>
    <n v="0"/>
    <n v="1"/>
    <n v="0"/>
    <n v="9.99"/>
    <n v="0"/>
  </r>
  <r>
    <n v="4890"/>
    <s v="Female"/>
    <n v="20"/>
    <x v="2"/>
    <x v="2"/>
    <n v="115"/>
    <n v="74"/>
    <n v="0.12"/>
    <s v="Desktop"/>
    <n v="0"/>
    <n v="1"/>
    <n v="0"/>
    <n v="9.99"/>
    <n v="0"/>
  </r>
  <r>
    <n v="4891"/>
    <s v="Male"/>
    <n v="20"/>
    <x v="4"/>
    <x v="2"/>
    <n v="99"/>
    <n v="58"/>
    <n v="0.17"/>
    <s v="Desktop"/>
    <n v="0"/>
    <n v="1"/>
    <n v="1"/>
    <n v="9.99"/>
    <n v="9.99"/>
  </r>
  <r>
    <n v="4892"/>
    <s v="Male"/>
    <n v="53"/>
    <x v="0"/>
    <x v="2"/>
    <n v="14"/>
    <n v="47"/>
    <n v="0.08"/>
    <s v="Desktop"/>
    <n v="0"/>
    <n v="1"/>
    <n v="0"/>
    <n v="9.99"/>
    <n v="0"/>
  </r>
  <r>
    <n v="4893"/>
    <s v="Female"/>
    <n v="22"/>
    <x v="3"/>
    <x v="3"/>
    <n v="211"/>
    <n v="19"/>
    <n v="0.24"/>
    <s v="Mobile"/>
    <n v="0"/>
    <n v="1"/>
    <n v="1"/>
    <n v="4.99"/>
    <n v="4.99"/>
  </r>
  <r>
    <n v="4894"/>
    <s v="Other"/>
    <n v="58"/>
    <x v="6"/>
    <x v="2"/>
    <n v="17"/>
    <n v="17"/>
    <n v="0.21"/>
    <s v="Mobile"/>
    <n v="0"/>
    <n v="1"/>
    <n v="1"/>
    <n v="9.99"/>
    <n v="9.99"/>
  </r>
  <r>
    <n v="4895"/>
    <s v="Male"/>
    <n v="28"/>
    <x v="3"/>
    <x v="1"/>
    <n v="122"/>
    <n v="36"/>
    <n v="0.04"/>
    <s v="Web"/>
    <n v="0"/>
    <n v="1"/>
    <n v="1"/>
    <n v="14.99"/>
    <n v="14.99"/>
  </r>
  <r>
    <n v="4896"/>
    <s v="Female"/>
    <n v="37"/>
    <x v="7"/>
    <x v="3"/>
    <n v="263"/>
    <n v="20"/>
    <n v="0.3"/>
    <s v="Mobile"/>
    <n v="0"/>
    <n v="1"/>
    <n v="1"/>
    <n v="4.99"/>
    <n v="4.99"/>
  </r>
  <r>
    <n v="4897"/>
    <s v="Male"/>
    <n v="57"/>
    <x v="7"/>
    <x v="3"/>
    <n v="162"/>
    <n v="41"/>
    <n v="0.56000000000000005"/>
    <s v="Mobile"/>
    <n v="0"/>
    <n v="1"/>
    <n v="0"/>
    <n v="4.99"/>
    <n v="0"/>
  </r>
  <r>
    <n v="4898"/>
    <s v="Male"/>
    <n v="29"/>
    <x v="7"/>
    <x v="0"/>
    <n v="81"/>
    <n v="90"/>
    <n v="0.28999999999999998"/>
    <s v="Desktop"/>
    <n v="8"/>
    <n v="0"/>
    <n v="0"/>
    <n v="0"/>
    <n v="0"/>
  </r>
  <r>
    <n v="4899"/>
    <s v="Female"/>
    <n v="32"/>
    <x v="1"/>
    <x v="0"/>
    <n v="223"/>
    <n v="31"/>
    <n v="0.01"/>
    <s v="Desktop"/>
    <n v="40"/>
    <n v="0"/>
    <n v="0"/>
    <n v="0"/>
    <n v="0"/>
  </r>
  <r>
    <n v="4900"/>
    <s v="Male"/>
    <n v="37"/>
    <x v="6"/>
    <x v="1"/>
    <n v="209"/>
    <n v="37"/>
    <n v="0.02"/>
    <s v="Mobile"/>
    <n v="0"/>
    <n v="1"/>
    <n v="0"/>
    <n v="14.99"/>
    <n v="0"/>
  </r>
  <r>
    <n v="4901"/>
    <s v="Other"/>
    <n v="17"/>
    <x v="5"/>
    <x v="1"/>
    <n v="90"/>
    <n v="1"/>
    <n v="7.0000000000000007E-2"/>
    <s v="Desktop"/>
    <n v="0"/>
    <n v="1"/>
    <n v="0"/>
    <n v="14.99"/>
    <n v="0"/>
  </r>
  <r>
    <n v="4902"/>
    <s v="Other"/>
    <n v="35"/>
    <x v="4"/>
    <x v="3"/>
    <n v="162"/>
    <n v="61"/>
    <n v="0.13"/>
    <s v="Desktop"/>
    <n v="0"/>
    <n v="1"/>
    <n v="1"/>
    <n v="4.99"/>
    <n v="4.99"/>
  </r>
  <r>
    <n v="4903"/>
    <s v="Female"/>
    <n v="52"/>
    <x v="5"/>
    <x v="1"/>
    <n v="117"/>
    <n v="42"/>
    <n v="0.06"/>
    <s v="Desktop"/>
    <n v="0"/>
    <n v="1"/>
    <n v="0"/>
    <n v="14.99"/>
    <n v="0"/>
  </r>
  <r>
    <n v="4904"/>
    <s v="Male"/>
    <n v="50"/>
    <x v="3"/>
    <x v="2"/>
    <n v="191"/>
    <n v="46"/>
    <n v="0.28000000000000003"/>
    <s v="Web"/>
    <n v="0"/>
    <n v="1"/>
    <n v="0"/>
    <n v="9.99"/>
    <n v="0"/>
  </r>
  <r>
    <n v="4905"/>
    <s v="Male"/>
    <n v="23"/>
    <x v="6"/>
    <x v="1"/>
    <n v="215"/>
    <n v="98"/>
    <n v="0.21"/>
    <s v="Desktop"/>
    <n v="0"/>
    <n v="1"/>
    <n v="0"/>
    <n v="14.99"/>
    <n v="0"/>
  </r>
  <r>
    <n v="4906"/>
    <s v="Female"/>
    <n v="50"/>
    <x v="6"/>
    <x v="0"/>
    <n v="239"/>
    <n v="76"/>
    <n v="0.3"/>
    <s v="Web"/>
    <n v="11"/>
    <n v="0"/>
    <n v="0"/>
    <n v="0"/>
    <n v="0"/>
  </r>
  <r>
    <n v="4907"/>
    <s v="Male"/>
    <n v="51"/>
    <x v="2"/>
    <x v="0"/>
    <n v="37"/>
    <n v="87"/>
    <n v="0.44"/>
    <s v="Web"/>
    <n v="48"/>
    <n v="0"/>
    <n v="0"/>
    <n v="0"/>
    <n v="0"/>
  </r>
  <r>
    <n v="4908"/>
    <s v="Female"/>
    <n v="59"/>
    <x v="3"/>
    <x v="1"/>
    <n v="179"/>
    <n v="54"/>
    <n v="0.17"/>
    <s v="Desktop"/>
    <n v="0"/>
    <n v="1"/>
    <n v="0"/>
    <n v="14.99"/>
    <n v="0"/>
  </r>
  <r>
    <n v="4909"/>
    <s v="Other"/>
    <n v="39"/>
    <x v="1"/>
    <x v="3"/>
    <n v="215"/>
    <n v="48"/>
    <n v="7.0000000000000007E-2"/>
    <s v="Desktop"/>
    <n v="0"/>
    <n v="1"/>
    <n v="1"/>
    <n v="4.99"/>
    <n v="4.99"/>
  </r>
  <r>
    <n v="4910"/>
    <s v="Female"/>
    <n v="39"/>
    <x v="3"/>
    <x v="3"/>
    <n v="255"/>
    <n v="8"/>
    <n v="0.42"/>
    <s v="Mobile"/>
    <n v="0"/>
    <n v="1"/>
    <n v="0"/>
    <n v="4.99"/>
    <n v="0"/>
  </r>
  <r>
    <n v="4911"/>
    <s v="Male"/>
    <n v="37"/>
    <x v="6"/>
    <x v="2"/>
    <n v="94"/>
    <n v="76"/>
    <n v="0.57999999999999996"/>
    <s v="Web"/>
    <n v="0"/>
    <n v="1"/>
    <n v="0"/>
    <n v="9.99"/>
    <n v="0"/>
  </r>
  <r>
    <n v="4912"/>
    <s v="Other"/>
    <n v="42"/>
    <x v="2"/>
    <x v="2"/>
    <n v="280"/>
    <n v="84"/>
    <n v="0.56000000000000005"/>
    <s v="Mobile"/>
    <n v="0"/>
    <n v="1"/>
    <n v="1"/>
    <n v="9.99"/>
    <n v="9.99"/>
  </r>
  <r>
    <n v="4913"/>
    <s v="Other"/>
    <n v="57"/>
    <x v="6"/>
    <x v="0"/>
    <n v="186"/>
    <n v="30"/>
    <n v="0.03"/>
    <s v="Web"/>
    <n v="49"/>
    <n v="0"/>
    <n v="1"/>
    <n v="0"/>
    <n v="0"/>
  </r>
  <r>
    <n v="4914"/>
    <s v="Male"/>
    <n v="16"/>
    <x v="1"/>
    <x v="2"/>
    <n v="66"/>
    <n v="39"/>
    <n v="0.15"/>
    <s v="Desktop"/>
    <n v="0"/>
    <n v="1"/>
    <n v="0"/>
    <n v="9.99"/>
    <n v="0"/>
  </r>
  <r>
    <n v="4915"/>
    <s v="Female"/>
    <n v="52"/>
    <x v="0"/>
    <x v="1"/>
    <n v="232"/>
    <n v="22"/>
    <n v="0.51"/>
    <s v="Desktop"/>
    <n v="0"/>
    <n v="1"/>
    <n v="1"/>
    <n v="14.99"/>
    <n v="14.99"/>
  </r>
  <r>
    <n v="4916"/>
    <s v="Other"/>
    <n v="41"/>
    <x v="0"/>
    <x v="0"/>
    <n v="246"/>
    <n v="25"/>
    <n v="0.28999999999999998"/>
    <s v="Mobile"/>
    <n v="21"/>
    <n v="0"/>
    <n v="0"/>
    <n v="0"/>
    <n v="0"/>
  </r>
  <r>
    <n v="4917"/>
    <s v="Male"/>
    <n v="19"/>
    <x v="5"/>
    <x v="0"/>
    <n v="67"/>
    <n v="9"/>
    <n v="0.43"/>
    <s v="Mobile"/>
    <n v="10"/>
    <n v="0"/>
    <n v="1"/>
    <n v="0"/>
    <n v="0"/>
  </r>
  <r>
    <n v="4918"/>
    <s v="Male"/>
    <n v="58"/>
    <x v="2"/>
    <x v="2"/>
    <n v="269"/>
    <n v="67"/>
    <n v="0.57999999999999996"/>
    <s v="Web"/>
    <n v="0"/>
    <n v="1"/>
    <n v="0"/>
    <n v="9.99"/>
    <n v="0"/>
  </r>
  <r>
    <n v="4919"/>
    <s v="Male"/>
    <n v="21"/>
    <x v="4"/>
    <x v="0"/>
    <n v="235"/>
    <n v="9"/>
    <n v="0.3"/>
    <s v="Desktop"/>
    <n v="15"/>
    <n v="0"/>
    <n v="1"/>
    <n v="0"/>
    <n v="0"/>
  </r>
  <r>
    <n v="4920"/>
    <s v="Other"/>
    <n v="45"/>
    <x v="0"/>
    <x v="1"/>
    <n v="99"/>
    <n v="96"/>
    <n v="0.47"/>
    <s v="Mobile"/>
    <n v="0"/>
    <n v="1"/>
    <n v="1"/>
    <n v="14.99"/>
    <n v="14.99"/>
  </r>
  <r>
    <n v="4921"/>
    <s v="Male"/>
    <n v="42"/>
    <x v="5"/>
    <x v="1"/>
    <n v="281"/>
    <n v="69"/>
    <n v="0.08"/>
    <s v="Desktop"/>
    <n v="0"/>
    <n v="1"/>
    <n v="0"/>
    <n v="14.99"/>
    <n v="0"/>
  </r>
  <r>
    <n v="4922"/>
    <s v="Female"/>
    <n v="20"/>
    <x v="7"/>
    <x v="0"/>
    <n v="95"/>
    <n v="67"/>
    <n v="0.25"/>
    <s v="Mobile"/>
    <n v="17"/>
    <n v="0"/>
    <n v="0"/>
    <n v="0"/>
    <n v="0"/>
  </r>
  <r>
    <n v="4923"/>
    <s v="Female"/>
    <n v="33"/>
    <x v="3"/>
    <x v="2"/>
    <n v="105"/>
    <n v="30"/>
    <n v="0.43"/>
    <s v="Desktop"/>
    <n v="0"/>
    <n v="1"/>
    <n v="1"/>
    <n v="9.99"/>
    <n v="9.99"/>
  </r>
  <r>
    <n v="4924"/>
    <s v="Other"/>
    <n v="42"/>
    <x v="2"/>
    <x v="1"/>
    <n v="241"/>
    <n v="69"/>
    <n v="0.34"/>
    <s v="Web"/>
    <n v="0"/>
    <n v="1"/>
    <n v="0"/>
    <n v="14.99"/>
    <n v="0"/>
  </r>
  <r>
    <n v="4925"/>
    <s v="Male"/>
    <n v="49"/>
    <x v="2"/>
    <x v="3"/>
    <n v="265"/>
    <n v="31"/>
    <n v="0.56000000000000005"/>
    <s v="Desktop"/>
    <n v="0"/>
    <n v="1"/>
    <n v="0"/>
    <n v="4.99"/>
    <n v="0"/>
  </r>
  <r>
    <n v="4926"/>
    <s v="Male"/>
    <n v="40"/>
    <x v="3"/>
    <x v="0"/>
    <n v="30"/>
    <n v="4"/>
    <n v="0.16"/>
    <s v="Desktop"/>
    <n v="16"/>
    <n v="0"/>
    <n v="0"/>
    <n v="0"/>
    <n v="0"/>
  </r>
  <r>
    <n v="4927"/>
    <s v="Female"/>
    <n v="44"/>
    <x v="0"/>
    <x v="3"/>
    <n v="77"/>
    <n v="52"/>
    <n v="0.01"/>
    <s v="Desktop"/>
    <n v="0"/>
    <n v="1"/>
    <n v="0"/>
    <n v="4.99"/>
    <n v="0"/>
  </r>
  <r>
    <n v="4928"/>
    <s v="Other"/>
    <n v="28"/>
    <x v="2"/>
    <x v="3"/>
    <n v="115"/>
    <n v="22"/>
    <n v="0.48"/>
    <s v="Desktop"/>
    <n v="0"/>
    <n v="1"/>
    <n v="1"/>
    <n v="4.99"/>
    <n v="4.99"/>
  </r>
  <r>
    <n v="4929"/>
    <s v="Other"/>
    <n v="48"/>
    <x v="5"/>
    <x v="2"/>
    <n v="205"/>
    <n v="51"/>
    <n v="0.19"/>
    <s v="Mobile"/>
    <n v="0"/>
    <n v="1"/>
    <n v="1"/>
    <n v="9.99"/>
    <n v="9.99"/>
  </r>
  <r>
    <n v="4930"/>
    <s v="Female"/>
    <n v="35"/>
    <x v="4"/>
    <x v="1"/>
    <n v="199"/>
    <n v="33"/>
    <n v="0.59"/>
    <s v="Mobile"/>
    <n v="0"/>
    <n v="1"/>
    <n v="0"/>
    <n v="14.99"/>
    <n v="0"/>
  </r>
  <r>
    <n v="4931"/>
    <s v="Other"/>
    <n v="54"/>
    <x v="1"/>
    <x v="1"/>
    <n v="200"/>
    <n v="48"/>
    <n v="0.34"/>
    <s v="Mobile"/>
    <n v="0"/>
    <n v="1"/>
    <n v="0"/>
    <n v="14.99"/>
    <n v="0"/>
  </r>
  <r>
    <n v="4932"/>
    <s v="Male"/>
    <n v="38"/>
    <x v="5"/>
    <x v="2"/>
    <n v="210"/>
    <n v="4"/>
    <n v="0.41"/>
    <s v="Web"/>
    <n v="0"/>
    <n v="1"/>
    <n v="0"/>
    <n v="9.99"/>
    <n v="0"/>
  </r>
  <r>
    <n v="4933"/>
    <s v="Female"/>
    <n v="47"/>
    <x v="3"/>
    <x v="0"/>
    <n v="139"/>
    <n v="31"/>
    <n v="0.05"/>
    <s v="Mobile"/>
    <n v="44"/>
    <n v="0"/>
    <n v="1"/>
    <n v="0"/>
    <n v="0"/>
  </r>
  <r>
    <n v="4934"/>
    <s v="Male"/>
    <n v="59"/>
    <x v="7"/>
    <x v="1"/>
    <n v="248"/>
    <n v="4"/>
    <n v="0.5"/>
    <s v="Desktop"/>
    <n v="0"/>
    <n v="1"/>
    <n v="0"/>
    <n v="14.99"/>
    <n v="0"/>
  </r>
  <r>
    <n v="4935"/>
    <s v="Other"/>
    <n v="55"/>
    <x v="6"/>
    <x v="0"/>
    <n v="41"/>
    <n v="5"/>
    <n v="0.48"/>
    <s v="Desktop"/>
    <n v="25"/>
    <n v="0"/>
    <n v="0"/>
    <n v="0"/>
    <n v="0"/>
  </r>
  <r>
    <n v="4936"/>
    <s v="Other"/>
    <n v="49"/>
    <x v="6"/>
    <x v="3"/>
    <n v="201"/>
    <n v="39"/>
    <n v="0.12"/>
    <s v="Web"/>
    <n v="0"/>
    <n v="1"/>
    <n v="0"/>
    <n v="4.99"/>
    <n v="0"/>
  </r>
  <r>
    <n v="4937"/>
    <s v="Female"/>
    <n v="35"/>
    <x v="3"/>
    <x v="0"/>
    <n v="47"/>
    <n v="94"/>
    <n v="0"/>
    <s v="Web"/>
    <n v="27"/>
    <n v="0"/>
    <n v="0"/>
    <n v="0"/>
    <n v="0"/>
  </r>
  <r>
    <n v="4938"/>
    <s v="Male"/>
    <n v="53"/>
    <x v="1"/>
    <x v="0"/>
    <n v="39"/>
    <n v="37"/>
    <n v="0.17"/>
    <s v="Web"/>
    <n v="29"/>
    <n v="0"/>
    <n v="1"/>
    <n v="0"/>
    <n v="0"/>
  </r>
  <r>
    <n v="4939"/>
    <s v="Other"/>
    <n v="32"/>
    <x v="1"/>
    <x v="0"/>
    <n v="172"/>
    <n v="50"/>
    <n v="0.57999999999999996"/>
    <s v="Mobile"/>
    <n v="10"/>
    <n v="0"/>
    <n v="0"/>
    <n v="0"/>
    <n v="0"/>
  </r>
  <r>
    <n v="4940"/>
    <s v="Female"/>
    <n v="50"/>
    <x v="1"/>
    <x v="3"/>
    <n v="233"/>
    <n v="85"/>
    <n v="0.02"/>
    <s v="Desktop"/>
    <n v="0"/>
    <n v="1"/>
    <n v="0"/>
    <n v="4.99"/>
    <n v="0"/>
  </r>
  <r>
    <n v="4941"/>
    <s v="Other"/>
    <n v="41"/>
    <x v="7"/>
    <x v="1"/>
    <n v="284"/>
    <n v="16"/>
    <n v="0.35"/>
    <s v="Web"/>
    <n v="0"/>
    <n v="1"/>
    <n v="0"/>
    <n v="14.99"/>
    <n v="0"/>
  </r>
  <r>
    <n v="4942"/>
    <s v="Female"/>
    <n v="24"/>
    <x v="4"/>
    <x v="2"/>
    <n v="205"/>
    <n v="86"/>
    <n v="0.08"/>
    <s v="Mobile"/>
    <n v="0"/>
    <n v="1"/>
    <n v="0"/>
    <n v="9.99"/>
    <n v="0"/>
  </r>
  <r>
    <n v="4943"/>
    <s v="Other"/>
    <n v="46"/>
    <x v="5"/>
    <x v="1"/>
    <n v="260"/>
    <n v="31"/>
    <n v="0.49"/>
    <s v="Web"/>
    <n v="0"/>
    <n v="1"/>
    <n v="0"/>
    <n v="14.99"/>
    <n v="0"/>
  </r>
  <r>
    <n v="4944"/>
    <s v="Other"/>
    <n v="42"/>
    <x v="6"/>
    <x v="2"/>
    <n v="14"/>
    <n v="20"/>
    <n v="0.16"/>
    <s v="Desktop"/>
    <n v="0"/>
    <n v="1"/>
    <n v="0"/>
    <n v="9.99"/>
    <n v="0"/>
  </r>
  <r>
    <n v="4945"/>
    <s v="Male"/>
    <n v="23"/>
    <x v="6"/>
    <x v="1"/>
    <n v="190"/>
    <n v="83"/>
    <n v="0.41"/>
    <s v="Desktop"/>
    <n v="0"/>
    <n v="1"/>
    <n v="1"/>
    <n v="14.99"/>
    <n v="14.99"/>
  </r>
  <r>
    <n v="4946"/>
    <s v="Male"/>
    <n v="42"/>
    <x v="2"/>
    <x v="3"/>
    <n v="189"/>
    <n v="39"/>
    <n v="7.0000000000000007E-2"/>
    <s v="Web"/>
    <n v="0"/>
    <n v="1"/>
    <n v="0"/>
    <n v="4.99"/>
    <n v="0"/>
  </r>
  <r>
    <n v="4947"/>
    <s v="Male"/>
    <n v="36"/>
    <x v="5"/>
    <x v="1"/>
    <n v="193"/>
    <n v="57"/>
    <n v="0.34"/>
    <s v="Mobile"/>
    <n v="0"/>
    <n v="1"/>
    <n v="0"/>
    <n v="14.99"/>
    <n v="0"/>
  </r>
  <r>
    <n v="4948"/>
    <s v="Other"/>
    <n v="31"/>
    <x v="3"/>
    <x v="0"/>
    <n v="145"/>
    <n v="62"/>
    <n v="0.04"/>
    <s v="Desktop"/>
    <n v="30"/>
    <n v="0"/>
    <n v="1"/>
    <n v="0"/>
    <n v="0"/>
  </r>
  <r>
    <n v="4949"/>
    <s v="Female"/>
    <n v="41"/>
    <x v="6"/>
    <x v="0"/>
    <n v="92"/>
    <n v="55"/>
    <n v="0.56000000000000005"/>
    <s v="Mobile"/>
    <n v="8"/>
    <n v="0"/>
    <n v="1"/>
    <n v="0"/>
    <n v="0"/>
  </r>
  <r>
    <n v="4950"/>
    <s v="Female"/>
    <n v="44"/>
    <x v="4"/>
    <x v="1"/>
    <n v="248"/>
    <n v="45"/>
    <n v="0.02"/>
    <s v="Web"/>
    <n v="0"/>
    <n v="1"/>
    <n v="0"/>
    <n v="14.99"/>
    <n v="0"/>
  </r>
  <r>
    <n v="4951"/>
    <s v="Male"/>
    <n v="50"/>
    <x v="0"/>
    <x v="1"/>
    <n v="238"/>
    <n v="70"/>
    <n v="0.42"/>
    <s v="Mobile"/>
    <n v="0"/>
    <n v="1"/>
    <n v="0"/>
    <n v="14.99"/>
    <n v="0"/>
  </r>
  <r>
    <n v="4952"/>
    <s v="Other"/>
    <n v="54"/>
    <x v="7"/>
    <x v="1"/>
    <n v="74"/>
    <n v="33"/>
    <n v="0.09"/>
    <s v="Web"/>
    <n v="0"/>
    <n v="1"/>
    <n v="1"/>
    <n v="14.99"/>
    <n v="14.99"/>
  </r>
  <r>
    <n v="4953"/>
    <s v="Male"/>
    <n v="38"/>
    <x v="2"/>
    <x v="3"/>
    <n v="264"/>
    <n v="71"/>
    <n v="0.27"/>
    <s v="Desktop"/>
    <n v="0"/>
    <n v="1"/>
    <n v="0"/>
    <n v="4.99"/>
    <n v="0"/>
  </r>
  <r>
    <n v="4954"/>
    <s v="Female"/>
    <n v="57"/>
    <x v="4"/>
    <x v="2"/>
    <n v="288"/>
    <n v="99"/>
    <n v="0.31"/>
    <s v="Desktop"/>
    <n v="0"/>
    <n v="1"/>
    <n v="1"/>
    <n v="9.99"/>
    <n v="9.99"/>
  </r>
  <r>
    <n v="4955"/>
    <s v="Female"/>
    <n v="57"/>
    <x v="2"/>
    <x v="1"/>
    <n v="83"/>
    <n v="40"/>
    <n v="0.51"/>
    <s v="Web"/>
    <n v="0"/>
    <n v="1"/>
    <n v="0"/>
    <n v="14.99"/>
    <n v="0"/>
  </r>
  <r>
    <n v="4956"/>
    <s v="Male"/>
    <n v="22"/>
    <x v="4"/>
    <x v="3"/>
    <n v="65"/>
    <n v="64"/>
    <n v="0.15"/>
    <s v="Desktop"/>
    <n v="0"/>
    <n v="1"/>
    <n v="0"/>
    <n v="4.99"/>
    <n v="0"/>
  </r>
  <r>
    <n v="4957"/>
    <s v="Other"/>
    <n v="18"/>
    <x v="2"/>
    <x v="0"/>
    <n v="194"/>
    <n v="68"/>
    <n v="0.56999999999999995"/>
    <s v="Web"/>
    <n v="38"/>
    <n v="0"/>
    <n v="0"/>
    <n v="0"/>
    <n v="0"/>
  </r>
  <r>
    <n v="4958"/>
    <s v="Male"/>
    <n v="19"/>
    <x v="5"/>
    <x v="1"/>
    <n v="83"/>
    <n v="85"/>
    <n v="0.45"/>
    <s v="Desktop"/>
    <n v="0"/>
    <n v="1"/>
    <n v="0"/>
    <n v="14.99"/>
    <n v="0"/>
  </r>
  <r>
    <n v="4959"/>
    <s v="Female"/>
    <n v="20"/>
    <x v="7"/>
    <x v="2"/>
    <n v="153"/>
    <n v="92"/>
    <n v="0.3"/>
    <s v="Mobile"/>
    <n v="0"/>
    <n v="1"/>
    <n v="1"/>
    <n v="9.99"/>
    <n v="9.99"/>
  </r>
  <r>
    <n v="4960"/>
    <s v="Other"/>
    <n v="38"/>
    <x v="4"/>
    <x v="2"/>
    <n v="67"/>
    <n v="68"/>
    <n v="0.32"/>
    <s v="Mobile"/>
    <n v="0"/>
    <n v="1"/>
    <n v="0"/>
    <n v="9.99"/>
    <n v="0"/>
  </r>
  <r>
    <n v="4961"/>
    <s v="Female"/>
    <n v="54"/>
    <x v="3"/>
    <x v="0"/>
    <n v="142"/>
    <n v="46"/>
    <n v="0.35"/>
    <s v="Web"/>
    <n v="28"/>
    <n v="0"/>
    <n v="0"/>
    <n v="0"/>
    <n v="0"/>
  </r>
  <r>
    <n v="4962"/>
    <s v="Male"/>
    <n v="23"/>
    <x v="0"/>
    <x v="1"/>
    <n v="248"/>
    <n v="89"/>
    <n v="0.24"/>
    <s v="Desktop"/>
    <n v="0"/>
    <n v="1"/>
    <n v="1"/>
    <n v="14.99"/>
    <n v="14.99"/>
  </r>
  <r>
    <n v="4963"/>
    <s v="Female"/>
    <n v="49"/>
    <x v="3"/>
    <x v="1"/>
    <n v="139"/>
    <n v="39"/>
    <n v="0.01"/>
    <s v="Mobile"/>
    <n v="0"/>
    <n v="1"/>
    <n v="1"/>
    <n v="14.99"/>
    <n v="14.99"/>
  </r>
  <r>
    <n v="4964"/>
    <s v="Other"/>
    <n v="56"/>
    <x v="7"/>
    <x v="2"/>
    <n v="29"/>
    <n v="21"/>
    <n v="0.18"/>
    <s v="Web"/>
    <n v="0"/>
    <n v="1"/>
    <n v="1"/>
    <n v="9.99"/>
    <n v="9.99"/>
  </r>
  <r>
    <n v="4965"/>
    <s v="Male"/>
    <n v="39"/>
    <x v="3"/>
    <x v="2"/>
    <n v="144"/>
    <n v="70"/>
    <n v="0.35"/>
    <s v="Web"/>
    <n v="0"/>
    <n v="1"/>
    <n v="0"/>
    <n v="9.99"/>
    <n v="0"/>
  </r>
  <r>
    <n v="4966"/>
    <s v="Male"/>
    <n v="57"/>
    <x v="1"/>
    <x v="1"/>
    <n v="172"/>
    <n v="56"/>
    <n v="0.47"/>
    <s v="Web"/>
    <n v="0"/>
    <n v="1"/>
    <n v="0"/>
    <n v="14.99"/>
    <n v="0"/>
  </r>
  <r>
    <n v="4967"/>
    <s v="Male"/>
    <n v="54"/>
    <x v="5"/>
    <x v="3"/>
    <n v="65"/>
    <n v="4"/>
    <n v="0.35"/>
    <s v="Desktop"/>
    <n v="0"/>
    <n v="1"/>
    <n v="1"/>
    <n v="4.99"/>
    <n v="4.99"/>
  </r>
  <r>
    <n v="4968"/>
    <s v="Other"/>
    <n v="40"/>
    <x v="2"/>
    <x v="2"/>
    <n v="31"/>
    <n v="34"/>
    <n v="0.28999999999999998"/>
    <s v="Desktop"/>
    <n v="0"/>
    <n v="1"/>
    <n v="0"/>
    <n v="9.99"/>
    <n v="0"/>
  </r>
  <r>
    <n v="4969"/>
    <s v="Male"/>
    <n v="22"/>
    <x v="2"/>
    <x v="2"/>
    <n v="293"/>
    <n v="98"/>
    <n v="0.35"/>
    <s v="Web"/>
    <n v="0"/>
    <n v="1"/>
    <n v="1"/>
    <n v="9.99"/>
    <n v="9.99"/>
  </r>
  <r>
    <n v="4970"/>
    <s v="Female"/>
    <n v="30"/>
    <x v="3"/>
    <x v="2"/>
    <n v="77"/>
    <n v="56"/>
    <n v="0.28999999999999998"/>
    <s v="Web"/>
    <n v="0"/>
    <n v="1"/>
    <n v="1"/>
    <n v="9.99"/>
    <n v="9.99"/>
  </r>
  <r>
    <n v="4971"/>
    <s v="Other"/>
    <n v="23"/>
    <x v="4"/>
    <x v="0"/>
    <n v="43"/>
    <n v="75"/>
    <n v="0.57999999999999996"/>
    <s v="Desktop"/>
    <n v="16"/>
    <n v="0"/>
    <n v="0"/>
    <n v="0"/>
    <n v="0"/>
  </r>
  <r>
    <n v="4972"/>
    <s v="Female"/>
    <n v="58"/>
    <x v="3"/>
    <x v="3"/>
    <n v="147"/>
    <n v="81"/>
    <n v="0.1"/>
    <s v="Mobile"/>
    <n v="0"/>
    <n v="1"/>
    <n v="0"/>
    <n v="4.99"/>
    <n v="0"/>
  </r>
  <r>
    <n v="4973"/>
    <s v="Female"/>
    <n v="47"/>
    <x v="2"/>
    <x v="3"/>
    <n v="250"/>
    <n v="75"/>
    <n v="0.03"/>
    <s v="Mobile"/>
    <n v="0"/>
    <n v="1"/>
    <n v="0"/>
    <n v="4.99"/>
    <n v="0"/>
  </r>
  <r>
    <n v="4974"/>
    <s v="Other"/>
    <n v="44"/>
    <x v="5"/>
    <x v="1"/>
    <n v="105"/>
    <n v="49"/>
    <n v="0"/>
    <s v="Desktop"/>
    <n v="0"/>
    <n v="1"/>
    <n v="0"/>
    <n v="14.99"/>
    <n v="0"/>
  </r>
  <r>
    <n v="4975"/>
    <s v="Male"/>
    <n v="56"/>
    <x v="3"/>
    <x v="3"/>
    <n v="231"/>
    <n v="4"/>
    <n v="0.56000000000000005"/>
    <s v="Web"/>
    <n v="0"/>
    <n v="1"/>
    <n v="0"/>
    <n v="4.99"/>
    <n v="0"/>
  </r>
  <r>
    <n v="4976"/>
    <s v="Female"/>
    <n v="56"/>
    <x v="5"/>
    <x v="2"/>
    <n v="285"/>
    <n v="96"/>
    <n v="0.2"/>
    <s v="Mobile"/>
    <n v="0"/>
    <n v="1"/>
    <n v="0"/>
    <n v="9.99"/>
    <n v="0"/>
  </r>
  <r>
    <n v="4977"/>
    <s v="Male"/>
    <n v="21"/>
    <x v="1"/>
    <x v="3"/>
    <n v="108"/>
    <n v="61"/>
    <n v="0.44"/>
    <s v="Mobile"/>
    <n v="0"/>
    <n v="1"/>
    <n v="0"/>
    <n v="4.99"/>
    <n v="0"/>
  </r>
  <r>
    <n v="4978"/>
    <s v="Female"/>
    <n v="17"/>
    <x v="3"/>
    <x v="1"/>
    <n v="150"/>
    <n v="68"/>
    <n v="7.0000000000000007E-2"/>
    <s v="Mobile"/>
    <n v="0"/>
    <n v="1"/>
    <n v="1"/>
    <n v="14.99"/>
    <n v="14.99"/>
  </r>
  <r>
    <n v="4979"/>
    <s v="Female"/>
    <n v="54"/>
    <x v="3"/>
    <x v="3"/>
    <n v="105"/>
    <n v="78"/>
    <n v="0.11"/>
    <s v="Mobile"/>
    <n v="0"/>
    <n v="1"/>
    <n v="0"/>
    <n v="4.99"/>
    <n v="0"/>
  </r>
  <r>
    <n v="4980"/>
    <s v="Female"/>
    <n v="50"/>
    <x v="3"/>
    <x v="1"/>
    <n v="263"/>
    <n v="13"/>
    <n v="0.12"/>
    <s v="Web"/>
    <n v="0"/>
    <n v="1"/>
    <n v="0"/>
    <n v="14.99"/>
    <n v="0"/>
  </r>
  <r>
    <n v="4981"/>
    <s v="Male"/>
    <n v="17"/>
    <x v="4"/>
    <x v="0"/>
    <n v="78"/>
    <n v="2"/>
    <n v="0.32"/>
    <s v="Web"/>
    <n v="9"/>
    <n v="0"/>
    <n v="0"/>
    <n v="0"/>
    <n v="0"/>
  </r>
  <r>
    <n v="4982"/>
    <s v="Male"/>
    <n v="20"/>
    <x v="7"/>
    <x v="2"/>
    <n v="200"/>
    <n v="52"/>
    <n v="0.46"/>
    <s v="Desktop"/>
    <n v="0"/>
    <n v="1"/>
    <n v="1"/>
    <n v="9.99"/>
    <n v="9.99"/>
  </r>
  <r>
    <n v="4983"/>
    <s v="Male"/>
    <n v="44"/>
    <x v="6"/>
    <x v="3"/>
    <n v="218"/>
    <n v="16"/>
    <n v="0.26"/>
    <s v="Web"/>
    <n v="0"/>
    <n v="1"/>
    <n v="0"/>
    <n v="4.99"/>
    <n v="0"/>
  </r>
  <r>
    <n v="4984"/>
    <s v="Female"/>
    <n v="27"/>
    <x v="6"/>
    <x v="3"/>
    <n v="22"/>
    <n v="58"/>
    <n v="0.33"/>
    <s v="Mobile"/>
    <n v="0"/>
    <n v="1"/>
    <n v="0"/>
    <n v="4.99"/>
    <n v="0"/>
  </r>
  <r>
    <n v="4985"/>
    <s v="Other"/>
    <n v="44"/>
    <x v="0"/>
    <x v="1"/>
    <n v="67"/>
    <n v="34"/>
    <n v="0.4"/>
    <s v="Web"/>
    <n v="0"/>
    <n v="1"/>
    <n v="1"/>
    <n v="14.99"/>
    <n v="14.99"/>
  </r>
  <r>
    <n v="4986"/>
    <s v="Other"/>
    <n v="40"/>
    <x v="2"/>
    <x v="1"/>
    <n v="12"/>
    <n v="93"/>
    <n v="0.19"/>
    <s v="Web"/>
    <n v="0"/>
    <n v="1"/>
    <n v="0"/>
    <n v="14.99"/>
    <n v="0"/>
  </r>
  <r>
    <n v="4987"/>
    <s v="Male"/>
    <n v="41"/>
    <x v="2"/>
    <x v="2"/>
    <n v="37"/>
    <n v="72"/>
    <n v="0.3"/>
    <s v="Desktop"/>
    <n v="0"/>
    <n v="1"/>
    <n v="1"/>
    <n v="9.99"/>
    <n v="9.99"/>
  </r>
  <r>
    <n v="4988"/>
    <s v="Male"/>
    <n v="23"/>
    <x v="4"/>
    <x v="1"/>
    <n v="297"/>
    <n v="20"/>
    <n v="0.26"/>
    <s v="Mobile"/>
    <n v="0"/>
    <n v="1"/>
    <n v="1"/>
    <n v="14.99"/>
    <n v="14.99"/>
  </r>
  <r>
    <n v="4989"/>
    <s v="Male"/>
    <n v="37"/>
    <x v="6"/>
    <x v="0"/>
    <n v="231"/>
    <n v="33"/>
    <n v="0.2"/>
    <s v="Desktop"/>
    <n v="17"/>
    <n v="0"/>
    <n v="0"/>
    <n v="0"/>
    <n v="0"/>
  </r>
  <r>
    <n v="4990"/>
    <s v="Other"/>
    <n v="40"/>
    <x v="5"/>
    <x v="3"/>
    <n v="178"/>
    <n v="11"/>
    <n v="0.18"/>
    <s v="Desktop"/>
    <n v="0"/>
    <n v="1"/>
    <n v="0"/>
    <n v="4.99"/>
    <n v="0"/>
  </r>
  <r>
    <n v="4991"/>
    <s v="Male"/>
    <n v="57"/>
    <x v="3"/>
    <x v="1"/>
    <n v="280"/>
    <n v="30"/>
    <n v="0.14000000000000001"/>
    <s v="Web"/>
    <n v="0"/>
    <n v="1"/>
    <n v="0"/>
    <n v="14.99"/>
    <n v="0"/>
  </r>
  <r>
    <n v="4992"/>
    <s v="Other"/>
    <n v="36"/>
    <x v="4"/>
    <x v="3"/>
    <n v="254"/>
    <n v="73"/>
    <n v="0.24"/>
    <s v="Web"/>
    <n v="0"/>
    <n v="1"/>
    <n v="0"/>
    <n v="4.99"/>
    <n v="0"/>
  </r>
  <r>
    <n v="4993"/>
    <s v="Male"/>
    <n v="25"/>
    <x v="7"/>
    <x v="0"/>
    <n v="54"/>
    <n v="73"/>
    <n v="0.51"/>
    <s v="Desktop"/>
    <n v="45"/>
    <n v="0"/>
    <n v="1"/>
    <n v="0"/>
    <n v="0"/>
  </r>
  <r>
    <n v="4994"/>
    <s v="Other"/>
    <n v="57"/>
    <x v="2"/>
    <x v="0"/>
    <n v="276"/>
    <n v="11"/>
    <n v="0.25"/>
    <s v="Desktop"/>
    <n v="34"/>
    <n v="0"/>
    <n v="1"/>
    <n v="0"/>
    <n v="0"/>
  </r>
  <r>
    <n v="4995"/>
    <s v="Female"/>
    <n v="23"/>
    <x v="1"/>
    <x v="2"/>
    <n v="230"/>
    <n v="18"/>
    <n v="0.1"/>
    <s v="Web"/>
    <n v="0"/>
    <n v="1"/>
    <n v="0"/>
    <n v="9.99"/>
    <n v="0"/>
  </r>
  <r>
    <n v="4996"/>
    <s v="Other"/>
    <n v="43"/>
    <x v="5"/>
    <x v="0"/>
    <n v="252"/>
    <n v="94"/>
    <n v="7.0000000000000007E-2"/>
    <s v="Mobile"/>
    <n v="26"/>
    <n v="0"/>
    <n v="1"/>
    <n v="0"/>
    <n v="0"/>
  </r>
  <r>
    <n v="4997"/>
    <s v="Female"/>
    <n v="40"/>
    <x v="5"/>
    <x v="2"/>
    <n v="136"/>
    <n v="36"/>
    <n v="0.24"/>
    <s v="Web"/>
    <n v="0"/>
    <n v="1"/>
    <n v="0"/>
    <n v="9.99"/>
    <n v="0"/>
  </r>
  <r>
    <n v="4998"/>
    <s v="Female"/>
    <n v="16"/>
    <x v="2"/>
    <x v="1"/>
    <n v="163"/>
    <n v="71"/>
    <n v="0.49"/>
    <s v="Desktop"/>
    <n v="0"/>
    <n v="1"/>
    <n v="0"/>
    <n v="14.99"/>
    <n v="0"/>
  </r>
  <r>
    <n v="4999"/>
    <s v="Female"/>
    <n v="21"/>
    <x v="0"/>
    <x v="2"/>
    <n v="138"/>
    <n v="18"/>
    <n v="0.28000000000000003"/>
    <s v="Mobile"/>
    <n v="0"/>
    <n v="1"/>
    <n v="0"/>
    <n v="9.99"/>
    <n v="0"/>
  </r>
  <r>
    <n v="5000"/>
    <s v="Female"/>
    <n v="24"/>
    <x v="4"/>
    <x v="3"/>
    <n v="179"/>
    <n v="25"/>
    <n v="0.31"/>
    <s v="Desktop"/>
    <n v="0"/>
    <n v="1"/>
    <n v="0"/>
    <n v="4.99"/>
    <n v="0"/>
  </r>
  <r>
    <n v="5001"/>
    <s v="Other"/>
    <n v="19"/>
    <x v="5"/>
    <x v="2"/>
    <n v="230"/>
    <n v="82"/>
    <n v="0.26"/>
    <s v="Web"/>
    <n v="0"/>
    <n v="1"/>
    <n v="0"/>
    <n v="9.99"/>
    <n v="0"/>
  </r>
  <r>
    <n v="5002"/>
    <s v="Other"/>
    <n v="31"/>
    <x v="7"/>
    <x v="1"/>
    <n v="18"/>
    <n v="57"/>
    <n v="0.28999999999999998"/>
    <s v="Mobile"/>
    <n v="0"/>
    <n v="1"/>
    <n v="1"/>
    <n v="14.99"/>
    <n v="14.99"/>
  </r>
  <r>
    <n v="5003"/>
    <s v="Male"/>
    <n v="17"/>
    <x v="7"/>
    <x v="3"/>
    <n v="110"/>
    <n v="23"/>
    <n v="0.34"/>
    <s v="Mobile"/>
    <n v="0"/>
    <n v="1"/>
    <n v="0"/>
    <n v="4.99"/>
    <n v="0"/>
  </r>
  <r>
    <n v="5004"/>
    <s v="Male"/>
    <n v="59"/>
    <x v="1"/>
    <x v="2"/>
    <n v="44"/>
    <n v="93"/>
    <n v="0.54"/>
    <s v="Desktop"/>
    <n v="0"/>
    <n v="1"/>
    <n v="0"/>
    <n v="9.99"/>
    <n v="0"/>
  </r>
  <r>
    <n v="5005"/>
    <s v="Male"/>
    <n v="24"/>
    <x v="6"/>
    <x v="3"/>
    <n v="66"/>
    <n v="37"/>
    <n v="0.09"/>
    <s v="Desktop"/>
    <n v="0"/>
    <n v="1"/>
    <n v="0"/>
    <n v="4.99"/>
    <n v="0"/>
  </r>
  <r>
    <n v="5006"/>
    <s v="Female"/>
    <n v="34"/>
    <x v="1"/>
    <x v="1"/>
    <n v="56"/>
    <n v="36"/>
    <n v="0.35"/>
    <s v="Mobile"/>
    <n v="0"/>
    <n v="1"/>
    <n v="0"/>
    <n v="14.99"/>
    <n v="0"/>
  </r>
  <r>
    <n v="5007"/>
    <s v="Male"/>
    <n v="21"/>
    <x v="1"/>
    <x v="2"/>
    <n v="74"/>
    <n v="98"/>
    <n v="0.23"/>
    <s v="Web"/>
    <n v="0"/>
    <n v="1"/>
    <n v="1"/>
    <n v="9.99"/>
    <n v="9.99"/>
  </r>
  <r>
    <n v="5008"/>
    <s v="Female"/>
    <n v="32"/>
    <x v="2"/>
    <x v="3"/>
    <n v="72"/>
    <n v="64"/>
    <n v="0.47"/>
    <s v="Desktop"/>
    <n v="0"/>
    <n v="1"/>
    <n v="0"/>
    <n v="4.99"/>
    <n v="0"/>
  </r>
  <r>
    <n v="5009"/>
    <s v="Female"/>
    <n v="32"/>
    <x v="7"/>
    <x v="1"/>
    <n v="210"/>
    <n v="70"/>
    <n v="0.34"/>
    <s v="Desktop"/>
    <n v="0"/>
    <n v="1"/>
    <n v="0"/>
    <n v="14.99"/>
    <n v="0"/>
  </r>
  <r>
    <n v="5010"/>
    <s v="Female"/>
    <n v="58"/>
    <x v="4"/>
    <x v="1"/>
    <n v="95"/>
    <n v="4"/>
    <n v="0.14000000000000001"/>
    <s v="Web"/>
    <n v="0"/>
    <n v="1"/>
    <n v="0"/>
    <n v="14.99"/>
    <n v="0"/>
  </r>
  <r>
    <n v="5011"/>
    <s v="Female"/>
    <n v="21"/>
    <x v="1"/>
    <x v="3"/>
    <n v="46"/>
    <n v="27"/>
    <n v="0.47"/>
    <s v="Web"/>
    <n v="0"/>
    <n v="1"/>
    <n v="0"/>
    <n v="4.99"/>
    <n v="0"/>
  </r>
  <r>
    <n v="5012"/>
    <s v="Male"/>
    <n v="43"/>
    <x v="1"/>
    <x v="0"/>
    <n v="118"/>
    <n v="93"/>
    <n v="0.12"/>
    <s v="Mobile"/>
    <n v="46"/>
    <n v="0"/>
    <n v="0"/>
    <n v="0"/>
    <n v="0"/>
  </r>
  <r>
    <n v="5013"/>
    <s v="Female"/>
    <n v="41"/>
    <x v="4"/>
    <x v="3"/>
    <n v="218"/>
    <n v="12"/>
    <n v="0.41"/>
    <s v="Desktop"/>
    <n v="0"/>
    <n v="1"/>
    <n v="0"/>
    <n v="4.99"/>
    <n v="0"/>
  </r>
  <r>
    <n v="5014"/>
    <s v="Female"/>
    <n v="17"/>
    <x v="1"/>
    <x v="2"/>
    <n v="269"/>
    <n v="45"/>
    <n v="0.53"/>
    <s v="Desktop"/>
    <n v="0"/>
    <n v="1"/>
    <n v="0"/>
    <n v="9.99"/>
    <n v="0"/>
  </r>
  <r>
    <n v="5015"/>
    <s v="Other"/>
    <n v="37"/>
    <x v="6"/>
    <x v="2"/>
    <n v="276"/>
    <n v="13"/>
    <n v="0.41"/>
    <s v="Web"/>
    <n v="0"/>
    <n v="1"/>
    <n v="0"/>
    <n v="9.99"/>
    <n v="0"/>
  </r>
  <r>
    <n v="5016"/>
    <s v="Male"/>
    <n v="20"/>
    <x v="6"/>
    <x v="0"/>
    <n v="105"/>
    <n v="82"/>
    <n v="0.5"/>
    <s v="Desktop"/>
    <n v="13"/>
    <n v="0"/>
    <n v="1"/>
    <n v="0"/>
    <n v="0"/>
  </r>
  <r>
    <n v="5017"/>
    <s v="Male"/>
    <n v="38"/>
    <x v="4"/>
    <x v="3"/>
    <n v="160"/>
    <n v="56"/>
    <n v="0.11"/>
    <s v="Web"/>
    <n v="0"/>
    <n v="1"/>
    <n v="1"/>
    <n v="4.99"/>
    <n v="4.99"/>
  </r>
  <r>
    <n v="5018"/>
    <s v="Female"/>
    <n v="23"/>
    <x v="3"/>
    <x v="0"/>
    <n v="13"/>
    <n v="56"/>
    <n v="0.24"/>
    <s v="Mobile"/>
    <n v="29"/>
    <n v="0"/>
    <n v="0"/>
    <n v="0"/>
    <n v="0"/>
  </r>
  <r>
    <n v="5019"/>
    <s v="Other"/>
    <n v="20"/>
    <x v="2"/>
    <x v="2"/>
    <n v="90"/>
    <n v="6"/>
    <n v="0.28000000000000003"/>
    <s v="Desktop"/>
    <n v="0"/>
    <n v="1"/>
    <n v="1"/>
    <n v="9.99"/>
    <n v="9.99"/>
  </r>
  <r>
    <n v="5020"/>
    <s v="Other"/>
    <n v="43"/>
    <x v="7"/>
    <x v="1"/>
    <n v="150"/>
    <n v="66"/>
    <n v="0.3"/>
    <s v="Mobile"/>
    <n v="0"/>
    <n v="1"/>
    <n v="0"/>
    <n v="14.99"/>
    <n v="0"/>
  </r>
  <r>
    <n v="5021"/>
    <s v="Female"/>
    <n v="47"/>
    <x v="1"/>
    <x v="2"/>
    <n v="117"/>
    <n v="12"/>
    <n v="0.36"/>
    <s v="Web"/>
    <n v="0"/>
    <n v="1"/>
    <n v="0"/>
    <n v="9.99"/>
    <n v="0"/>
  </r>
  <r>
    <n v="5022"/>
    <s v="Male"/>
    <n v="38"/>
    <x v="0"/>
    <x v="0"/>
    <n v="55"/>
    <n v="26"/>
    <n v="0.23"/>
    <s v="Desktop"/>
    <n v="45"/>
    <n v="0"/>
    <n v="1"/>
    <n v="0"/>
    <n v="0"/>
  </r>
  <r>
    <n v="5023"/>
    <s v="Male"/>
    <n v="49"/>
    <x v="5"/>
    <x v="3"/>
    <n v="105"/>
    <n v="83"/>
    <n v="0.01"/>
    <s v="Desktop"/>
    <n v="0"/>
    <n v="1"/>
    <n v="0"/>
    <n v="4.99"/>
    <n v="0"/>
  </r>
  <r>
    <n v="5024"/>
    <s v="Male"/>
    <n v="45"/>
    <x v="6"/>
    <x v="2"/>
    <n v="229"/>
    <n v="68"/>
    <n v="0.05"/>
    <s v="Web"/>
    <n v="0"/>
    <n v="1"/>
    <n v="0"/>
    <n v="9.99"/>
    <n v="0"/>
  </r>
  <r>
    <n v="5025"/>
    <s v="Male"/>
    <n v="19"/>
    <x v="2"/>
    <x v="0"/>
    <n v="267"/>
    <n v="99"/>
    <n v="0.51"/>
    <s v="Web"/>
    <n v="35"/>
    <n v="0"/>
    <n v="0"/>
    <n v="0"/>
    <n v="0"/>
  </r>
  <r>
    <n v="5026"/>
    <s v="Male"/>
    <n v="19"/>
    <x v="1"/>
    <x v="2"/>
    <n v="59"/>
    <n v="85"/>
    <n v="0.12"/>
    <s v="Desktop"/>
    <n v="0"/>
    <n v="1"/>
    <n v="0"/>
    <n v="9.99"/>
    <n v="0"/>
  </r>
  <r>
    <n v="5027"/>
    <s v="Other"/>
    <n v="33"/>
    <x v="5"/>
    <x v="0"/>
    <n v="90"/>
    <n v="7"/>
    <n v="0.22"/>
    <s v="Desktop"/>
    <n v="39"/>
    <n v="0"/>
    <n v="1"/>
    <n v="0"/>
    <n v="0"/>
  </r>
  <r>
    <n v="5028"/>
    <s v="Male"/>
    <n v="22"/>
    <x v="3"/>
    <x v="2"/>
    <n v="269"/>
    <n v="11"/>
    <n v="0.06"/>
    <s v="Mobile"/>
    <n v="0"/>
    <n v="1"/>
    <n v="0"/>
    <n v="9.99"/>
    <n v="0"/>
  </r>
  <r>
    <n v="5029"/>
    <s v="Male"/>
    <n v="24"/>
    <x v="3"/>
    <x v="0"/>
    <n v="133"/>
    <n v="58"/>
    <n v="0.54"/>
    <s v="Mobile"/>
    <n v="36"/>
    <n v="0"/>
    <n v="1"/>
    <n v="0"/>
    <n v="0"/>
  </r>
  <r>
    <n v="5030"/>
    <s v="Other"/>
    <n v="21"/>
    <x v="5"/>
    <x v="2"/>
    <n v="89"/>
    <n v="9"/>
    <n v="0.43"/>
    <s v="Mobile"/>
    <n v="0"/>
    <n v="1"/>
    <n v="0"/>
    <n v="9.99"/>
    <n v="0"/>
  </r>
  <r>
    <n v="5031"/>
    <s v="Other"/>
    <n v="51"/>
    <x v="0"/>
    <x v="2"/>
    <n v="253"/>
    <n v="19"/>
    <n v="0.15"/>
    <s v="Mobile"/>
    <n v="0"/>
    <n v="1"/>
    <n v="0"/>
    <n v="9.99"/>
    <n v="0"/>
  </r>
  <r>
    <n v="5032"/>
    <s v="Female"/>
    <n v="18"/>
    <x v="6"/>
    <x v="0"/>
    <n v="14"/>
    <n v="82"/>
    <n v="0.04"/>
    <s v="Web"/>
    <n v="31"/>
    <n v="0"/>
    <n v="0"/>
    <n v="0"/>
    <n v="0"/>
  </r>
  <r>
    <n v="5033"/>
    <s v="Male"/>
    <n v="43"/>
    <x v="2"/>
    <x v="0"/>
    <n v="297"/>
    <n v="38"/>
    <n v="0.41"/>
    <s v="Web"/>
    <n v="18"/>
    <n v="0"/>
    <n v="0"/>
    <n v="0"/>
    <n v="0"/>
  </r>
  <r>
    <n v="5034"/>
    <s v="Other"/>
    <n v="16"/>
    <x v="3"/>
    <x v="0"/>
    <n v="263"/>
    <n v="10"/>
    <n v="0.55000000000000004"/>
    <s v="Web"/>
    <n v="11"/>
    <n v="0"/>
    <n v="1"/>
    <n v="0"/>
    <n v="0"/>
  </r>
  <r>
    <n v="5035"/>
    <s v="Female"/>
    <n v="22"/>
    <x v="1"/>
    <x v="0"/>
    <n v="22"/>
    <n v="99"/>
    <n v="0.21"/>
    <s v="Mobile"/>
    <n v="10"/>
    <n v="0"/>
    <n v="0"/>
    <n v="0"/>
    <n v="0"/>
  </r>
  <r>
    <n v="5036"/>
    <s v="Other"/>
    <n v="38"/>
    <x v="1"/>
    <x v="2"/>
    <n v="256"/>
    <n v="73"/>
    <n v="0.3"/>
    <s v="Web"/>
    <n v="0"/>
    <n v="1"/>
    <n v="0"/>
    <n v="9.99"/>
    <n v="0"/>
  </r>
  <r>
    <n v="5037"/>
    <s v="Male"/>
    <n v="37"/>
    <x v="3"/>
    <x v="2"/>
    <n v="144"/>
    <n v="40"/>
    <n v="0.27"/>
    <s v="Desktop"/>
    <n v="0"/>
    <n v="1"/>
    <n v="0"/>
    <n v="9.99"/>
    <n v="0"/>
  </r>
  <r>
    <n v="5038"/>
    <s v="Female"/>
    <n v="37"/>
    <x v="2"/>
    <x v="3"/>
    <n v="89"/>
    <n v="18"/>
    <n v="0.48"/>
    <s v="Desktop"/>
    <n v="0"/>
    <n v="1"/>
    <n v="1"/>
    <n v="4.99"/>
    <n v="4.99"/>
  </r>
  <r>
    <n v="5039"/>
    <s v="Male"/>
    <n v="34"/>
    <x v="6"/>
    <x v="3"/>
    <n v="94"/>
    <n v="61"/>
    <n v="0.12"/>
    <s v="Desktop"/>
    <n v="0"/>
    <n v="1"/>
    <n v="0"/>
    <n v="4.99"/>
    <n v="0"/>
  </r>
  <r>
    <n v="5040"/>
    <s v="Other"/>
    <n v="21"/>
    <x v="3"/>
    <x v="0"/>
    <n v="205"/>
    <n v="25"/>
    <n v="0.41"/>
    <s v="Web"/>
    <n v="45"/>
    <n v="0"/>
    <n v="0"/>
    <n v="0"/>
    <n v="0"/>
  </r>
  <r>
    <n v="5041"/>
    <s v="Male"/>
    <n v="55"/>
    <x v="1"/>
    <x v="1"/>
    <n v="14"/>
    <n v="68"/>
    <n v="0.42"/>
    <s v="Desktop"/>
    <n v="0"/>
    <n v="1"/>
    <n v="0"/>
    <n v="14.99"/>
    <n v="0"/>
  </r>
  <r>
    <n v="5042"/>
    <s v="Other"/>
    <n v="42"/>
    <x v="6"/>
    <x v="3"/>
    <n v="220"/>
    <n v="96"/>
    <n v="0.23"/>
    <s v="Web"/>
    <n v="0"/>
    <n v="1"/>
    <n v="0"/>
    <n v="4.99"/>
    <n v="0"/>
  </r>
  <r>
    <n v="5043"/>
    <s v="Other"/>
    <n v="57"/>
    <x v="4"/>
    <x v="3"/>
    <n v="80"/>
    <n v="93"/>
    <n v="0.24"/>
    <s v="Mobile"/>
    <n v="0"/>
    <n v="1"/>
    <n v="1"/>
    <n v="4.99"/>
    <n v="4.99"/>
  </r>
  <r>
    <n v="5044"/>
    <s v="Male"/>
    <n v="21"/>
    <x v="3"/>
    <x v="3"/>
    <n v="55"/>
    <n v="79"/>
    <n v="0.19"/>
    <s v="Mobile"/>
    <n v="0"/>
    <n v="1"/>
    <n v="0"/>
    <n v="4.99"/>
    <n v="0"/>
  </r>
  <r>
    <n v="5045"/>
    <s v="Female"/>
    <n v="19"/>
    <x v="6"/>
    <x v="2"/>
    <n v="47"/>
    <n v="56"/>
    <n v="0.02"/>
    <s v="Desktop"/>
    <n v="0"/>
    <n v="1"/>
    <n v="0"/>
    <n v="9.99"/>
    <n v="0"/>
  </r>
  <r>
    <n v="5046"/>
    <s v="Male"/>
    <n v="52"/>
    <x v="5"/>
    <x v="2"/>
    <n v="126"/>
    <n v="95"/>
    <n v="0.38"/>
    <s v="Desktop"/>
    <n v="0"/>
    <n v="1"/>
    <n v="0"/>
    <n v="9.99"/>
    <n v="0"/>
  </r>
  <r>
    <n v="5047"/>
    <s v="Male"/>
    <n v="22"/>
    <x v="2"/>
    <x v="3"/>
    <n v="70"/>
    <n v="18"/>
    <n v="0.28000000000000003"/>
    <s v="Web"/>
    <n v="0"/>
    <n v="1"/>
    <n v="0"/>
    <n v="4.99"/>
    <n v="0"/>
  </r>
  <r>
    <n v="5048"/>
    <s v="Other"/>
    <n v="20"/>
    <x v="1"/>
    <x v="1"/>
    <n v="132"/>
    <n v="80"/>
    <n v="0.35"/>
    <s v="Mobile"/>
    <n v="0"/>
    <n v="1"/>
    <n v="1"/>
    <n v="14.99"/>
    <n v="14.99"/>
  </r>
  <r>
    <n v="5049"/>
    <s v="Other"/>
    <n v="49"/>
    <x v="2"/>
    <x v="3"/>
    <n v="53"/>
    <n v="99"/>
    <n v="0.22"/>
    <s v="Mobile"/>
    <n v="0"/>
    <n v="1"/>
    <n v="1"/>
    <n v="4.99"/>
    <n v="4.99"/>
  </r>
  <r>
    <n v="5050"/>
    <s v="Male"/>
    <n v="33"/>
    <x v="3"/>
    <x v="3"/>
    <n v="162"/>
    <n v="70"/>
    <n v="0.51"/>
    <s v="Web"/>
    <n v="0"/>
    <n v="1"/>
    <n v="0"/>
    <n v="4.99"/>
    <n v="0"/>
  </r>
  <r>
    <n v="5051"/>
    <s v="Male"/>
    <n v="44"/>
    <x v="3"/>
    <x v="1"/>
    <n v="274"/>
    <n v="76"/>
    <n v="7.0000000000000007E-2"/>
    <s v="Web"/>
    <n v="0"/>
    <n v="1"/>
    <n v="0"/>
    <n v="14.99"/>
    <n v="0"/>
  </r>
  <r>
    <n v="5052"/>
    <s v="Female"/>
    <n v="36"/>
    <x v="5"/>
    <x v="3"/>
    <n v="290"/>
    <n v="88"/>
    <n v="0.43"/>
    <s v="Desktop"/>
    <n v="0"/>
    <n v="1"/>
    <n v="0"/>
    <n v="4.99"/>
    <n v="0"/>
  </r>
  <r>
    <n v="5053"/>
    <s v="Female"/>
    <n v="37"/>
    <x v="0"/>
    <x v="0"/>
    <n v="100"/>
    <n v="93"/>
    <n v="0.33"/>
    <s v="Desktop"/>
    <n v="27"/>
    <n v="0"/>
    <n v="0"/>
    <n v="0"/>
    <n v="0"/>
  </r>
  <r>
    <n v="5054"/>
    <s v="Female"/>
    <n v="58"/>
    <x v="2"/>
    <x v="2"/>
    <n v="38"/>
    <n v="21"/>
    <n v="0.16"/>
    <s v="Desktop"/>
    <n v="0"/>
    <n v="1"/>
    <n v="0"/>
    <n v="9.99"/>
    <n v="0"/>
  </r>
  <r>
    <n v="5055"/>
    <s v="Male"/>
    <n v="39"/>
    <x v="6"/>
    <x v="1"/>
    <n v="204"/>
    <n v="48"/>
    <n v="0.36"/>
    <s v="Web"/>
    <n v="0"/>
    <n v="1"/>
    <n v="1"/>
    <n v="14.99"/>
    <n v="14.99"/>
  </r>
  <r>
    <n v="5056"/>
    <s v="Male"/>
    <n v="23"/>
    <x v="1"/>
    <x v="1"/>
    <n v="96"/>
    <n v="90"/>
    <n v="0.48"/>
    <s v="Desktop"/>
    <n v="0"/>
    <n v="1"/>
    <n v="0"/>
    <n v="14.99"/>
    <n v="0"/>
  </r>
  <r>
    <n v="5057"/>
    <s v="Female"/>
    <n v="17"/>
    <x v="1"/>
    <x v="0"/>
    <n v="125"/>
    <n v="18"/>
    <n v="0.35"/>
    <s v="Web"/>
    <n v="45"/>
    <n v="0"/>
    <n v="0"/>
    <n v="0"/>
    <n v="0"/>
  </r>
  <r>
    <n v="5058"/>
    <s v="Female"/>
    <n v="24"/>
    <x v="7"/>
    <x v="3"/>
    <n v="50"/>
    <n v="50"/>
    <n v="0.47"/>
    <s v="Mobile"/>
    <n v="0"/>
    <n v="1"/>
    <n v="1"/>
    <n v="4.99"/>
    <n v="4.99"/>
  </r>
  <r>
    <n v="5059"/>
    <s v="Other"/>
    <n v="18"/>
    <x v="7"/>
    <x v="0"/>
    <n v="188"/>
    <n v="79"/>
    <n v="0.22"/>
    <s v="Mobile"/>
    <n v="19"/>
    <n v="0"/>
    <n v="0"/>
    <n v="0"/>
    <n v="0"/>
  </r>
  <r>
    <n v="5060"/>
    <s v="Female"/>
    <n v="38"/>
    <x v="2"/>
    <x v="2"/>
    <n v="32"/>
    <n v="44"/>
    <n v="0.19"/>
    <s v="Desktop"/>
    <n v="0"/>
    <n v="1"/>
    <n v="0"/>
    <n v="9.99"/>
    <n v="0"/>
  </r>
  <r>
    <n v="5061"/>
    <s v="Male"/>
    <n v="44"/>
    <x v="7"/>
    <x v="1"/>
    <n v="40"/>
    <n v="29"/>
    <n v="0.5"/>
    <s v="Desktop"/>
    <n v="0"/>
    <n v="1"/>
    <n v="0"/>
    <n v="14.99"/>
    <n v="0"/>
  </r>
  <r>
    <n v="5062"/>
    <s v="Male"/>
    <n v="23"/>
    <x v="5"/>
    <x v="1"/>
    <n v="169"/>
    <n v="76"/>
    <n v="0.49"/>
    <s v="Mobile"/>
    <n v="0"/>
    <n v="1"/>
    <n v="1"/>
    <n v="14.99"/>
    <n v="14.99"/>
  </r>
  <r>
    <n v="5063"/>
    <s v="Other"/>
    <n v="37"/>
    <x v="5"/>
    <x v="0"/>
    <n v="291"/>
    <n v="24"/>
    <n v="0.36"/>
    <s v="Desktop"/>
    <n v="30"/>
    <n v="0"/>
    <n v="0"/>
    <n v="0"/>
    <n v="0"/>
  </r>
  <r>
    <n v="5064"/>
    <s v="Female"/>
    <n v="17"/>
    <x v="1"/>
    <x v="0"/>
    <n v="203"/>
    <n v="57"/>
    <n v="0"/>
    <s v="Desktop"/>
    <n v="41"/>
    <n v="0"/>
    <n v="1"/>
    <n v="0"/>
    <n v="0"/>
  </r>
  <r>
    <n v="5065"/>
    <s v="Other"/>
    <n v="22"/>
    <x v="0"/>
    <x v="3"/>
    <n v="185"/>
    <n v="21"/>
    <n v="0.51"/>
    <s v="Mobile"/>
    <n v="0"/>
    <n v="1"/>
    <n v="1"/>
    <n v="4.99"/>
    <n v="4.99"/>
  </r>
  <r>
    <n v="5066"/>
    <s v="Female"/>
    <n v="23"/>
    <x v="3"/>
    <x v="1"/>
    <n v="101"/>
    <n v="56"/>
    <n v="0.21"/>
    <s v="Mobile"/>
    <n v="0"/>
    <n v="1"/>
    <n v="0"/>
    <n v="14.99"/>
    <n v="0"/>
  </r>
  <r>
    <n v="5067"/>
    <s v="Male"/>
    <n v="20"/>
    <x v="7"/>
    <x v="1"/>
    <n v="250"/>
    <n v="97"/>
    <n v="0.24"/>
    <s v="Mobile"/>
    <n v="0"/>
    <n v="1"/>
    <n v="0"/>
    <n v="14.99"/>
    <n v="0"/>
  </r>
  <r>
    <n v="5068"/>
    <s v="Other"/>
    <n v="20"/>
    <x v="1"/>
    <x v="0"/>
    <n v="224"/>
    <n v="68"/>
    <n v="0.44"/>
    <s v="Web"/>
    <n v="5"/>
    <n v="0"/>
    <n v="0"/>
    <n v="0"/>
    <n v="0"/>
  </r>
  <r>
    <n v="5069"/>
    <s v="Female"/>
    <n v="59"/>
    <x v="4"/>
    <x v="1"/>
    <n v="34"/>
    <n v="78"/>
    <n v="0.17"/>
    <s v="Mobile"/>
    <n v="0"/>
    <n v="1"/>
    <n v="0"/>
    <n v="14.99"/>
    <n v="0"/>
  </r>
  <r>
    <n v="5070"/>
    <s v="Other"/>
    <n v="42"/>
    <x v="4"/>
    <x v="2"/>
    <n v="77"/>
    <n v="15"/>
    <n v="0.18"/>
    <s v="Mobile"/>
    <n v="0"/>
    <n v="1"/>
    <n v="0"/>
    <n v="9.99"/>
    <n v="0"/>
  </r>
  <r>
    <n v="5071"/>
    <s v="Other"/>
    <n v="21"/>
    <x v="0"/>
    <x v="3"/>
    <n v="81"/>
    <n v="51"/>
    <n v="0.24"/>
    <s v="Desktop"/>
    <n v="0"/>
    <n v="1"/>
    <n v="0"/>
    <n v="4.99"/>
    <n v="0"/>
  </r>
  <r>
    <n v="5072"/>
    <s v="Other"/>
    <n v="47"/>
    <x v="4"/>
    <x v="0"/>
    <n v="216"/>
    <n v="75"/>
    <n v="0.19"/>
    <s v="Web"/>
    <n v="19"/>
    <n v="0"/>
    <n v="0"/>
    <n v="0"/>
    <n v="0"/>
  </r>
  <r>
    <n v="5073"/>
    <s v="Other"/>
    <n v="30"/>
    <x v="4"/>
    <x v="1"/>
    <n v="154"/>
    <n v="13"/>
    <n v="0.33"/>
    <s v="Mobile"/>
    <n v="0"/>
    <n v="1"/>
    <n v="0"/>
    <n v="14.99"/>
    <n v="0"/>
  </r>
  <r>
    <n v="5074"/>
    <s v="Male"/>
    <n v="40"/>
    <x v="1"/>
    <x v="2"/>
    <n v="137"/>
    <n v="5"/>
    <n v="0.57999999999999996"/>
    <s v="Web"/>
    <n v="0"/>
    <n v="1"/>
    <n v="0"/>
    <n v="9.99"/>
    <n v="0"/>
  </r>
  <r>
    <n v="5075"/>
    <s v="Male"/>
    <n v="24"/>
    <x v="2"/>
    <x v="3"/>
    <n v="160"/>
    <n v="42"/>
    <n v="0.05"/>
    <s v="Desktop"/>
    <n v="0"/>
    <n v="1"/>
    <n v="0"/>
    <n v="4.99"/>
    <n v="0"/>
  </r>
  <r>
    <n v="5076"/>
    <s v="Other"/>
    <n v="20"/>
    <x v="7"/>
    <x v="0"/>
    <n v="13"/>
    <n v="48"/>
    <n v="0.52"/>
    <s v="Desktop"/>
    <n v="40"/>
    <n v="0"/>
    <n v="0"/>
    <n v="0"/>
    <n v="0"/>
  </r>
  <r>
    <n v="5077"/>
    <s v="Other"/>
    <n v="55"/>
    <x v="5"/>
    <x v="3"/>
    <n v="180"/>
    <n v="55"/>
    <n v="0.34"/>
    <s v="Desktop"/>
    <n v="0"/>
    <n v="1"/>
    <n v="0"/>
    <n v="4.99"/>
    <n v="0"/>
  </r>
  <r>
    <n v="5078"/>
    <s v="Other"/>
    <n v="30"/>
    <x v="7"/>
    <x v="2"/>
    <n v="285"/>
    <n v="39"/>
    <n v="0.35"/>
    <s v="Mobile"/>
    <n v="0"/>
    <n v="1"/>
    <n v="0"/>
    <n v="9.99"/>
    <n v="0"/>
  </r>
  <r>
    <n v="5079"/>
    <s v="Male"/>
    <n v="22"/>
    <x v="0"/>
    <x v="2"/>
    <n v="192"/>
    <n v="78"/>
    <n v="0.11"/>
    <s v="Desktop"/>
    <n v="0"/>
    <n v="1"/>
    <n v="0"/>
    <n v="9.99"/>
    <n v="0"/>
  </r>
  <r>
    <n v="5080"/>
    <s v="Other"/>
    <n v="34"/>
    <x v="0"/>
    <x v="1"/>
    <n v="113"/>
    <n v="8"/>
    <n v="0.56000000000000005"/>
    <s v="Mobile"/>
    <n v="0"/>
    <n v="1"/>
    <n v="0"/>
    <n v="14.99"/>
    <n v="0"/>
  </r>
  <r>
    <n v="5081"/>
    <s v="Male"/>
    <n v="39"/>
    <x v="2"/>
    <x v="2"/>
    <n v="158"/>
    <n v="90"/>
    <n v="0.3"/>
    <s v="Desktop"/>
    <n v="0"/>
    <n v="1"/>
    <n v="1"/>
    <n v="9.99"/>
    <n v="9.99"/>
  </r>
  <r>
    <n v="5082"/>
    <s v="Female"/>
    <n v="36"/>
    <x v="2"/>
    <x v="0"/>
    <n v="231"/>
    <n v="91"/>
    <n v="0.22"/>
    <s v="Web"/>
    <n v="29"/>
    <n v="0"/>
    <n v="0"/>
    <n v="0"/>
    <n v="0"/>
  </r>
  <r>
    <n v="5083"/>
    <s v="Female"/>
    <n v="40"/>
    <x v="2"/>
    <x v="2"/>
    <n v="99"/>
    <n v="15"/>
    <n v="0.57999999999999996"/>
    <s v="Mobile"/>
    <n v="0"/>
    <n v="1"/>
    <n v="0"/>
    <n v="9.99"/>
    <n v="0"/>
  </r>
  <r>
    <n v="5084"/>
    <s v="Female"/>
    <n v="57"/>
    <x v="1"/>
    <x v="3"/>
    <n v="117"/>
    <n v="38"/>
    <n v="0.53"/>
    <s v="Mobile"/>
    <n v="0"/>
    <n v="1"/>
    <n v="0"/>
    <n v="4.99"/>
    <n v="0"/>
  </r>
  <r>
    <n v="5085"/>
    <s v="Female"/>
    <n v="54"/>
    <x v="3"/>
    <x v="0"/>
    <n v="73"/>
    <n v="48"/>
    <n v="7.0000000000000007E-2"/>
    <s v="Mobile"/>
    <n v="40"/>
    <n v="0"/>
    <n v="1"/>
    <n v="0"/>
    <n v="0"/>
  </r>
  <r>
    <n v="5086"/>
    <s v="Other"/>
    <n v="21"/>
    <x v="4"/>
    <x v="0"/>
    <n v="21"/>
    <n v="20"/>
    <n v="0.18"/>
    <s v="Web"/>
    <n v="22"/>
    <n v="0"/>
    <n v="0"/>
    <n v="0"/>
    <n v="0"/>
  </r>
  <r>
    <n v="5087"/>
    <s v="Other"/>
    <n v="40"/>
    <x v="7"/>
    <x v="3"/>
    <n v="154"/>
    <n v="67"/>
    <n v="0.26"/>
    <s v="Mobile"/>
    <n v="0"/>
    <n v="1"/>
    <n v="0"/>
    <n v="4.99"/>
    <n v="0"/>
  </r>
  <r>
    <n v="5088"/>
    <s v="Female"/>
    <n v="47"/>
    <x v="2"/>
    <x v="2"/>
    <n v="136"/>
    <n v="82"/>
    <n v="0.17"/>
    <s v="Desktop"/>
    <n v="0"/>
    <n v="1"/>
    <n v="0"/>
    <n v="9.99"/>
    <n v="0"/>
  </r>
  <r>
    <n v="5089"/>
    <s v="Other"/>
    <n v="33"/>
    <x v="5"/>
    <x v="1"/>
    <n v="107"/>
    <n v="55"/>
    <n v="0.37"/>
    <s v="Desktop"/>
    <n v="0"/>
    <n v="1"/>
    <n v="1"/>
    <n v="14.99"/>
    <n v="14.99"/>
  </r>
  <r>
    <n v="5090"/>
    <s v="Female"/>
    <n v="37"/>
    <x v="0"/>
    <x v="3"/>
    <n v="87"/>
    <n v="84"/>
    <n v="0.25"/>
    <s v="Mobile"/>
    <n v="0"/>
    <n v="1"/>
    <n v="0"/>
    <n v="4.99"/>
    <n v="0"/>
  </r>
  <r>
    <n v="5091"/>
    <s v="Female"/>
    <n v="33"/>
    <x v="4"/>
    <x v="2"/>
    <n v="186"/>
    <n v="37"/>
    <n v="0.11"/>
    <s v="Mobile"/>
    <n v="0"/>
    <n v="1"/>
    <n v="0"/>
    <n v="9.99"/>
    <n v="0"/>
  </r>
  <r>
    <n v="5092"/>
    <s v="Female"/>
    <n v="16"/>
    <x v="2"/>
    <x v="2"/>
    <n v="51"/>
    <n v="85"/>
    <n v="0.17"/>
    <s v="Web"/>
    <n v="0"/>
    <n v="1"/>
    <n v="0"/>
    <n v="9.99"/>
    <n v="0"/>
  </r>
  <r>
    <n v="5093"/>
    <s v="Other"/>
    <n v="53"/>
    <x v="5"/>
    <x v="3"/>
    <n v="285"/>
    <n v="30"/>
    <n v="0.46"/>
    <s v="Desktop"/>
    <n v="0"/>
    <n v="1"/>
    <n v="0"/>
    <n v="4.99"/>
    <n v="0"/>
  </r>
  <r>
    <n v="5094"/>
    <s v="Male"/>
    <n v="23"/>
    <x v="6"/>
    <x v="2"/>
    <n v="207"/>
    <n v="86"/>
    <n v="0.06"/>
    <s v="Web"/>
    <n v="0"/>
    <n v="1"/>
    <n v="0"/>
    <n v="9.99"/>
    <n v="0"/>
  </r>
  <r>
    <n v="5095"/>
    <s v="Female"/>
    <n v="46"/>
    <x v="3"/>
    <x v="0"/>
    <n v="252"/>
    <n v="85"/>
    <n v="0.53"/>
    <s v="Mobile"/>
    <n v="47"/>
    <n v="0"/>
    <n v="0"/>
    <n v="0"/>
    <n v="0"/>
  </r>
  <r>
    <n v="5096"/>
    <s v="Other"/>
    <n v="16"/>
    <x v="5"/>
    <x v="3"/>
    <n v="40"/>
    <n v="89"/>
    <n v="0.21"/>
    <s v="Web"/>
    <n v="0"/>
    <n v="1"/>
    <n v="0"/>
    <n v="4.99"/>
    <n v="0"/>
  </r>
  <r>
    <n v="5097"/>
    <s v="Other"/>
    <n v="51"/>
    <x v="7"/>
    <x v="0"/>
    <n v="41"/>
    <n v="85"/>
    <n v="0.48"/>
    <s v="Mobile"/>
    <n v="30"/>
    <n v="0"/>
    <n v="0"/>
    <n v="0"/>
    <n v="0"/>
  </r>
  <r>
    <n v="5098"/>
    <s v="Other"/>
    <n v="39"/>
    <x v="1"/>
    <x v="2"/>
    <n v="159"/>
    <n v="77"/>
    <n v="0.15"/>
    <s v="Mobile"/>
    <n v="0"/>
    <n v="1"/>
    <n v="1"/>
    <n v="9.99"/>
    <n v="9.99"/>
  </r>
  <r>
    <n v="5099"/>
    <s v="Female"/>
    <n v="39"/>
    <x v="1"/>
    <x v="2"/>
    <n v="29"/>
    <n v="87"/>
    <n v="0.03"/>
    <s v="Desktop"/>
    <n v="0"/>
    <n v="1"/>
    <n v="0"/>
    <n v="9.99"/>
    <n v="0"/>
  </r>
  <r>
    <n v="5100"/>
    <s v="Female"/>
    <n v="26"/>
    <x v="7"/>
    <x v="1"/>
    <n v="234"/>
    <n v="31"/>
    <n v="0.41"/>
    <s v="Web"/>
    <n v="0"/>
    <n v="1"/>
    <n v="0"/>
    <n v="14.99"/>
    <n v="0"/>
  </r>
  <r>
    <n v="5101"/>
    <s v="Female"/>
    <n v="17"/>
    <x v="4"/>
    <x v="2"/>
    <n v="283"/>
    <n v="32"/>
    <n v="0.06"/>
    <s v="Mobile"/>
    <n v="0"/>
    <n v="1"/>
    <n v="0"/>
    <n v="9.99"/>
    <n v="0"/>
  </r>
  <r>
    <n v="5102"/>
    <s v="Female"/>
    <n v="19"/>
    <x v="6"/>
    <x v="3"/>
    <n v="261"/>
    <n v="49"/>
    <n v="0.06"/>
    <s v="Mobile"/>
    <n v="0"/>
    <n v="1"/>
    <n v="0"/>
    <n v="4.99"/>
    <n v="0"/>
  </r>
  <r>
    <n v="5103"/>
    <s v="Male"/>
    <n v="59"/>
    <x v="0"/>
    <x v="2"/>
    <n v="100"/>
    <n v="66"/>
    <n v="0.43"/>
    <s v="Desktop"/>
    <n v="0"/>
    <n v="1"/>
    <n v="0"/>
    <n v="9.99"/>
    <n v="0"/>
  </r>
  <r>
    <n v="5104"/>
    <s v="Other"/>
    <n v="54"/>
    <x v="5"/>
    <x v="2"/>
    <n v="12"/>
    <n v="19"/>
    <n v="0.46"/>
    <s v="Mobile"/>
    <n v="0"/>
    <n v="1"/>
    <n v="0"/>
    <n v="9.99"/>
    <n v="0"/>
  </r>
  <r>
    <n v="5105"/>
    <s v="Female"/>
    <n v="25"/>
    <x v="3"/>
    <x v="2"/>
    <n v="215"/>
    <n v="82"/>
    <n v="0.42"/>
    <s v="Desktop"/>
    <n v="0"/>
    <n v="1"/>
    <n v="1"/>
    <n v="9.99"/>
    <n v="9.99"/>
  </r>
  <r>
    <n v="5106"/>
    <s v="Male"/>
    <n v="49"/>
    <x v="0"/>
    <x v="3"/>
    <n v="163"/>
    <n v="48"/>
    <n v="0.56000000000000005"/>
    <s v="Desktop"/>
    <n v="0"/>
    <n v="1"/>
    <n v="0"/>
    <n v="4.99"/>
    <n v="0"/>
  </r>
  <r>
    <n v="5107"/>
    <s v="Female"/>
    <n v="56"/>
    <x v="1"/>
    <x v="1"/>
    <n v="31"/>
    <n v="19"/>
    <n v="0.45"/>
    <s v="Web"/>
    <n v="0"/>
    <n v="1"/>
    <n v="0"/>
    <n v="14.99"/>
    <n v="0"/>
  </r>
  <r>
    <n v="5108"/>
    <s v="Female"/>
    <n v="31"/>
    <x v="4"/>
    <x v="2"/>
    <n v="230"/>
    <n v="54"/>
    <n v="0.31"/>
    <s v="Web"/>
    <n v="0"/>
    <n v="1"/>
    <n v="1"/>
    <n v="9.99"/>
    <n v="9.99"/>
  </r>
  <r>
    <n v="5109"/>
    <s v="Female"/>
    <n v="59"/>
    <x v="5"/>
    <x v="0"/>
    <n v="136"/>
    <n v="62"/>
    <n v="0.39"/>
    <s v="Mobile"/>
    <n v="23"/>
    <n v="0"/>
    <n v="1"/>
    <n v="0"/>
    <n v="0"/>
  </r>
  <r>
    <n v="5110"/>
    <s v="Other"/>
    <n v="41"/>
    <x v="0"/>
    <x v="3"/>
    <n v="173"/>
    <n v="71"/>
    <n v="0.33"/>
    <s v="Mobile"/>
    <n v="0"/>
    <n v="1"/>
    <n v="0"/>
    <n v="4.99"/>
    <n v="0"/>
  </r>
  <r>
    <n v="5111"/>
    <s v="Female"/>
    <n v="44"/>
    <x v="1"/>
    <x v="3"/>
    <n v="149"/>
    <n v="54"/>
    <n v="0.17"/>
    <s v="Mobile"/>
    <n v="0"/>
    <n v="1"/>
    <n v="0"/>
    <n v="4.99"/>
    <n v="0"/>
  </r>
  <r>
    <n v="5112"/>
    <s v="Female"/>
    <n v="40"/>
    <x v="3"/>
    <x v="3"/>
    <n v="212"/>
    <n v="75"/>
    <n v="0.3"/>
    <s v="Web"/>
    <n v="0"/>
    <n v="1"/>
    <n v="0"/>
    <n v="4.99"/>
    <n v="0"/>
  </r>
  <r>
    <n v="5113"/>
    <s v="Female"/>
    <n v="19"/>
    <x v="0"/>
    <x v="1"/>
    <n v="276"/>
    <n v="59"/>
    <n v="0.27"/>
    <s v="Desktop"/>
    <n v="0"/>
    <n v="1"/>
    <n v="0"/>
    <n v="14.99"/>
    <n v="0"/>
  </r>
  <r>
    <n v="5114"/>
    <s v="Male"/>
    <n v="50"/>
    <x v="6"/>
    <x v="0"/>
    <n v="47"/>
    <n v="62"/>
    <n v="0.41"/>
    <s v="Mobile"/>
    <n v="39"/>
    <n v="0"/>
    <n v="0"/>
    <n v="0"/>
    <n v="0"/>
  </r>
  <r>
    <n v="5115"/>
    <s v="Male"/>
    <n v="30"/>
    <x v="2"/>
    <x v="3"/>
    <n v="200"/>
    <n v="80"/>
    <n v="0.28000000000000003"/>
    <s v="Desktop"/>
    <n v="0"/>
    <n v="1"/>
    <n v="0"/>
    <n v="4.99"/>
    <n v="0"/>
  </r>
  <r>
    <n v="5116"/>
    <s v="Female"/>
    <n v="54"/>
    <x v="0"/>
    <x v="3"/>
    <n v="238"/>
    <n v="57"/>
    <n v="0.51"/>
    <s v="Web"/>
    <n v="0"/>
    <n v="1"/>
    <n v="0"/>
    <n v="4.99"/>
    <n v="0"/>
  </r>
  <r>
    <n v="5117"/>
    <s v="Female"/>
    <n v="34"/>
    <x v="5"/>
    <x v="2"/>
    <n v="75"/>
    <n v="92"/>
    <n v="0.43"/>
    <s v="Mobile"/>
    <n v="0"/>
    <n v="1"/>
    <n v="0"/>
    <n v="9.99"/>
    <n v="0"/>
  </r>
  <r>
    <n v="5118"/>
    <s v="Other"/>
    <n v="35"/>
    <x v="0"/>
    <x v="3"/>
    <n v="60"/>
    <n v="45"/>
    <n v="0.27"/>
    <s v="Mobile"/>
    <n v="0"/>
    <n v="1"/>
    <n v="0"/>
    <n v="4.99"/>
    <n v="0"/>
  </r>
  <r>
    <n v="5119"/>
    <s v="Male"/>
    <n v="56"/>
    <x v="0"/>
    <x v="2"/>
    <n v="140"/>
    <n v="37"/>
    <n v="0.6"/>
    <s v="Web"/>
    <n v="0"/>
    <n v="1"/>
    <n v="0"/>
    <n v="9.99"/>
    <n v="0"/>
  </r>
  <r>
    <n v="5120"/>
    <s v="Male"/>
    <n v="31"/>
    <x v="2"/>
    <x v="2"/>
    <n v="222"/>
    <n v="39"/>
    <n v="0.17"/>
    <s v="Mobile"/>
    <n v="0"/>
    <n v="1"/>
    <n v="0"/>
    <n v="9.99"/>
    <n v="0"/>
  </r>
  <r>
    <n v="5121"/>
    <s v="Female"/>
    <n v="22"/>
    <x v="2"/>
    <x v="0"/>
    <n v="215"/>
    <n v="32"/>
    <n v="0.44"/>
    <s v="Web"/>
    <n v="22"/>
    <n v="0"/>
    <n v="0"/>
    <n v="0"/>
    <n v="0"/>
  </r>
  <r>
    <n v="5122"/>
    <s v="Female"/>
    <n v="49"/>
    <x v="5"/>
    <x v="2"/>
    <n v="214"/>
    <n v="41"/>
    <n v="0.59"/>
    <s v="Desktop"/>
    <n v="0"/>
    <n v="1"/>
    <n v="1"/>
    <n v="9.99"/>
    <n v="9.99"/>
  </r>
  <r>
    <n v="5123"/>
    <s v="Other"/>
    <n v="51"/>
    <x v="4"/>
    <x v="1"/>
    <n v="16"/>
    <n v="64"/>
    <n v="0.36"/>
    <s v="Mobile"/>
    <n v="0"/>
    <n v="1"/>
    <n v="1"/>
    <n v="14.99"/>
    <n v="14.99"/>
  </r>
  <r>
    <n v="5124"/>
    <s v="Other"/>
    <n v="24"/>
    <x v="4"/>
    <x v="1"/>
    <n v="224"/>
    <n v="60"/>
    <n v="0.2"/>
    <s v="Mobile"/>
    <n v="0"/>
    <n v="1"/>
    <n v="0"/>
    <n v="14.99"/>
    <n v="0"/>
  </r>
  <r>
    <n v="5125"/>
    <s v="Male"/>
    <n v="44"/>
    <x v="0"/>
    <x v="1"/>
    <n v="89"/>
    <n v="34"/>
    <n v="0.46"/>
    <s v="Desktop"/>
    <n v="0"/>
    <n v="1"/>
    <n v="0"/>
    <n v="14.99"/>
    <n v="0"/>
  </r>
  <r>
    <n v="5126"/>
    <s v="Male"/>
    <n v="18"/>
    <x v="2"/>
    <x v="1"/>
    <n v="156"/>
    <n v="32"/>
    <n v="0.21"/>
    <s v="Mobile"/>
    <n v="0"/>
    <n v="1"/>
    <n v="0"/>
    <n v="14.99"/>
    <n v="0"/>
  </r>
  <r>
    <n v="5127"/>
    <s v="Male"/>
    <n v="57"/>
    <x v="7"/>
    <x v="2"/>
    <n v="149"/>
    <n v="14"/>
    <n v="0.4"/>
    <s v="Mobile"/>
    <n v="0"/>
    <n v="1"/>
    <n v="0"/>
    <n v="9.99"/>
    <n v="0"/>
  </r>
  <r>
    <n v="5128"/>
    <s v="Other"/>
    <n v="38"/>
    <x v="3"/>
    <x v="3"/>
    <n v="20"/>
    <n v="93"/>
    <n v="0.32"/>
    <s v="Mobile"/>
    <n v="0"/>
    <n v="1"/>
    <n v="1"/>
    <n v="4.99"/>
    <n v="4.99"/>
  </r>
  <r>
    <n v="5129"/>
    <s v="Other"/>
    <n v="16"/>
    <x v="6"/>
    <x v="1"/>
    <n v="255"/>
    <n v="71"/>
    <n v="0.02"/>
    <s v="Web"/>
    <n v="0"/>
    <n v="1"/>
    <n v="1"/>
    <n v="14.99"/>
    <n v="14.99"/>
  </r>
  <r>
    <n v="5130"/>
    <s v="Female"/>
    <n v="40"/>
    <x v="6"/>
    <x v="0"/>
    <n v="152"/>
    <n v="7"/>
    <n v="0.44"/>
    <s v="Mobile"/>
    <n v="34"/>
    <n v="0"/>
    <n v="0"/>
    <n v="0"/>
    <n v="0"/>
  </r>
  <r>
    <n v="5131"/>
    <s v="Male"/>
    <n v="39"/>
    <x v="0"/>
    <x v="3"/>
    <n v="224"/>
    <n v="35"/>
    <n v="0.52"/>
    <s v="Web"/>
    <n v="0"/>
    <n v="1"/>
    <n v="1"/>
    <n v="4.99"/>
    <n v="4.99"/>
  </r>
  <r>
    <n v="5132"/>
    <s v="Female"/>
    <n v="32"/>
    <x v="7"/>
    <x v="3"/>
    <n v="214"/>
    <n v="99"/>
    <n v="0.46"/>
    <s v="Desktop"/>
    <n v="0"/>
    <n v="1"/>
    <n v="1"/>
    <n v="4.99"/>
    <n v="4.99"/>
  </r>
  <r>
    <n v="5133"/>
    <s v="Other"/>
    <n v="51"/>
    <x v="6"/>
    <x v="0"/>
    <n v="295"/>
    <n v="27"/>
    <n v="0.04"/>
    <s v="Web"/>
    <n v="34"/>
    <n v="0"/>
    <n v="1"/>
    <n v="0"/>
    <n v="0"/>
  </r>
  <r>
    <n v="5134"/>
    <s v="Male"/>
    <n v="59"/>
    <x v="6"/>
    <x v="1"/>
    <n v="149"/>
    <n v="46"/>
    <n v="0.53"/>
    <s v="Mobile"/>
    <n v="0"/>
    <n v="1"/>
    <n v="0"/>
    <n v="14.99"/>
    <n v="0"/>
  </r>
  <r>
    <n v="5135"/>
    <s v="Male"/>
    <n v="52"/>
    <x v="3"/>
    <x v="2"/>
    <n v="167"/>
    <n v="29"/>
    <n v="0.09"/>
    <s v="Mobile"/>
    <n v="0"/>
    <n v="1"/>
    <n v="0"/>
    <n v="9.99"/>
    <n v="0"/>
  </r>
  <r>
    <n v="5136"/>
    <s v="Female"/>
    <n v="59"/>
    <x v="0"/>
    <x v="2"/>
    <n v="182"/>
    <n v="3"/>
    <n v="0.24"/>
    <s v="Desktop"/>
    <n v="0"/>
    <n v="1"/>
    <n v="0"/>
    <n v="9.99"/>
    <n v="0"/>
  </r>
  <r>
    <n v="5137"/>
    <s v="Male"/>
    <n v="16"/>
    <x v="2"/>
    <x v="0"/>
    <n v="157"/>
    <n v="46"/>
    <n v="0.14000000000000001"/>
    <s v="Mobile"/>
    <n v="32"/>
    <n v="0"/>
    <n v="0"/>
    <n v="0"/>
    <n v="0"/>
  </r>
  <r>
    <n v="5138"/>
    <s v="Female"/>
    <n v="22"/>
    <x v="5"/>
    <x v="2"/>
    <n v="15"/>
    <n v="49"/>
    <n v="0.22"/>
    <s v="Web"/>
    <n v="0"/>
    <n v="1"/>
    <n v="0"/>
    <n v="9.99"/>
    <n v="0"/>
  </r>
  <r>
    <n v="5139"/>
    <s v="Male"/>
    <n v="41"/>
    <x v="3"/>
    <x v="2"/>
    <n v="199"/>
    <n v="10"/>
    <n v="0.49"/>
    <s v="Desktop"/>
    <n v="0"/>
    <n v="1"/>
    <n v="0"/>
    <n v="9.99"/>
    <n v="0"/>
  </r>
  <r>
    <n v="5140"/>
    <s v="Female"/>
    <n v="49"/>
    <x v="5"/>
    <x v="0"/>
    <n v="201"/>
    <n v="48"/>
    <n v="0.22"/>
    <s v="Mobile"/>
    <n v="11"/>
    <n v="0"/>
    <n v="0"/>
    <n v="0"/>
    <n v="0"/>
  </r>
  <r>
    <n v="5141"/>
    <s v="Female"/>
    <n v="24"/>
    <x v="3"/>
    <x v="0"/>
    <n v="183"/>
    <n v="76"/>
    <n v="0.04"/>
    <s v="Web"/>
    <n v="29"/>
    <n v="0"/>
    <n v="0"/>
    <n v="0"/>
    <n v="0"/>
  </r>
  <r>
    <n v="5142"/>
    <s v="Other"/>
    <n v="38"/>
    <x v="5"/>
    <x v="1"/>
    <n v="240"/>
    <n v="78"/>
    <n v="0.41"/>
    <s v="Web"/>
    <n v="0"/>
    <n v="1"/>
    <n v="0"/>
    <n v="14.99"/>
    <n v="0"/>
  </r>
  <r>
    <n v="5143"/>
    <s v="Male"/>
    <n v="40"/>
    <x v="4"/>
    <x v="2"/>
    <n v="114"/>
    <n v="12"/>
    <n v="0.23"/>
    <s v="Mobile"/>
    <n v="0"/>
    <n v="1"/>
    <n v="0"/>
    <n v="9.99"/>
    <n v="0"/>
  </r>
  <r>
    <n v="5144"/>
    <s v="Female"/>
    <n v="16"/>
    <x v="4"/>
    <x v="0"/>
    <n v="150"/>
    <n v="71"/>
    <n v="0.1"/>
    <s v="Mobile"/>
    <n v="48"/>
    <n v="0"/>
    <n v="1"/>
    <n v="0"/>
    <n v="0"/>
  </r>
  <r>
    <n v="5145"/>
    <s v="Male"/>
    <n v="28"/>
    <x v="3"/>
    <x v="0"/>
    <n v="61"/>
    <n v="92"/>
    <n v="0.55000000000000004"/>
    <s v="Web"/>
    <n v="25"/>
    <n v="0"/>
    <n v="0"/>
    <n v="0"/>
    <n v="0"/>
  </r>
  <r>
    <n v="5146"/>
    <s v="Male"/>
    <n v="51"/>
    <x v="4"/>
    <x v="2"/>
    <n v="51"/>
    <n v="59"/>
    <n v="0.14000000000000001"/>
    <s v="Mobile"/>
    <n v="0"/>
    <n v="1"/>
    <n v="0"/>
    <n v="9.99"/>
    <n v="0"/>
  </r>
  <r>
    <n v="5147"/>
    <s v="Other"/>
    <n v="48"/>
    <x v="5"/>
    <x v="1"/>
    <n v="239"/>
    <n v="49"/>
    <n v="0.23"/>
    <s v="Desktop"/>
    <n v="0"/>
    <n v="1"/>
    <n v="0"/>
    <n v="14.99"/>
    <n v="0"/>
  </r>
  <r>
    <n v="5148"/>
    <s v="Male"/>
    <n v="54"/>
    <x v="5"/>
    <x v="1"/>
    <n v="113"/>
    <n v="26"/>
    <n v="0.31"/>
    <s v="Mobile"/>
    <n v="0"/>
    <n v="1"/>
    <n v="1"/>
    <n v="14.99"/>
    <n v="14.99"/>
  </r>
  <r>
    <n v="5149"/>
    <s v="Other"/>
    <n v="26"/>
    <x v="5"/>
    <x v="2"/>
    <n v="237"/>
    <n v="33"/>
    <n v="0.03"/>
    <s v="Web"/>
    <n v="0"/>
    <n v="1"/>
    <n v="0"/>
    <n v="9.99"/>
    <n v="0"/>
  </r>
  <r>
    <n v="5150"/>
    <s v="Other"/>
    <n v="44"/>
    <x v="3"/>
    <x v="3"/>
    <n v="194"/>
    <n v="17"/>
    <n v="0.49"/>
    <s v="Desktop"/>
    <n v="0"/>
    <n v="1"/>
    <n v="0"/>
    <n v="4.99"/>
    <n v="0"/>
  </r>
  <r>
    <n v="5151"/>
    <s v="Male"/>
    <n v="46"/>
    <x v="5"/>
    <x v="3"/>
    <n v="212"/>
    <n v="50"/>
    <n v="0.51"/>
    <s v="Desktop"/>
    <n v="0"/>
    <n v="1"/>
    <n v="1"/>
    <n v="4.99"/>
    <n v="4.99"/>
  </r>
  <r>
    <n v="5152"/>
    <s v="Female"/>
    <n v="27"/>
    <x v="3"/>
    <x v="2"/>
    <n v="62"/>
    <n v="3"/>
    <n v="7.0000000000000007E-2"/>
    <s v="Mobile"/>
    <n v="0"/>
    <n v="1"/>
    <n v="0"/>
    <n v="9.99"/>
    <n v="0"/>
  </r>
  <r>
    <n v="5153"/>
    <s v="Male"/>
    <n v="25"/>
    <x v="1"/>
    <x v="1"/>
    <n v="270"/>
    <n v="54"/>
    <n v="0.18"/>
    <s v="Desktop"/>
    <n v="0"/>
    <n v="1"/>
    <n v="0"/>
    <n v="14.99"/>
    <n v="0"/>
  </r>
  <r>
    <n v="5154"/>
    <s v="Male"/>
    <n v="30"/>
    <x v="0"/>
    <x v="3"/>
    <n v="71"/>
    <n v="46"/>
    <n v="0.25"/>
    <s v="Web"/>
    <n v="0"/>
    <n v="1"/>
    <n v="0"/>
    <n v="4.99"/>
    <n v="0"/>
  </r>
  <r>
    <n v="5155"/>
    <s v="Female"/>
    <n v="18"/>
    <x v="2"/>
    <x v="2"/>
    <n v="209"/>
    <n v="2"/>
    <n v="0.11"/>
    <s v="Mobile"/>
    <n v="0"/>
    <n v="1"/>
    <n v="0"/>
    <n v="9.99"/>
    <n v="0"/>
  </r>
  <r>
    <n v="5156"/>
    <s v="Female"/>
    <n v="31"/>
    <x v="3"/>
    <x v="2"/>
    <n v="120"/>
    <n v="42"/>
    <n v="0.16"/>
    <s v="Web"/>
    <n v="0"/>
    <n v="1"/>
    <n v="0"/>
    <n v="9.99"/>
    <n v="0"/>
  </r>
  <r>
    <n v="5157"/>
    <s v="Male"/>
    <n v="30"/>
    <x v="0"/>
    <x v="3"/>
    <n v="277"/>
    <n v="85"/>
    <n v="0.2"/>
    <s v="Mobile"/>
    <n v="0"/>
    <n v="1"/>
    <n v="1"/>
    <n v="4.99"/>
    <n v="4.99"/>
  </r>
  <r>
    <n v="5158"/>
    <s v="Female"/>
    <n v="35"/>
    <x v="2"/>
    <x v="0"/>
    <n v="248"/>
    <n v="92"/>
    <n v="0.18"/>
    <s v="Web"/>
    <n v="35"/>
    <n v="0"/>
    <n v="1"/>
    <n v="0"/>
    <n v="0"/>
  </r>
  <r>
    <n v="5159"/>
    <s v="Other"/>
    <n v="42"/>
    <x v="1"/>
    <x v="2"/>
    <n v="163"/>
    <n v="3"/>
    <n v="0.46"/>
    <s v="Mobile"/>
    <n v="0"/>
    <n v="1"/>
    <n v="0"/>
    <n v="9.99"/>
    <n v="0"/>
  </r>
  <r>
    <n v="5160"/>
    <s v="Male"/>
    <n v="44"/>
    <x v="7"/>
    <x v="1"/>
    <n v="117"/>
    <n v="15"/>
    <n v="0.12"/>
    <s v="Web"/>
    <n v="0"/>
    <n v="1"/>
    <n v="0"/>
    <n v="14.99"/>
    <n v="0"/>
  </r>
  <r>
    <n v="5161"/>
    <s v="Other"/>
    <n v="42"/>
    <x v="1"/>
    <x v="0"/>
    <n v="235"/>
    <n v="61"/>
    <n v="0.48"/>
    <s v="Desktop"/>
    <n v="37"/>
    <n v="0"/>
    <n v="0"/>
    <n v="0"/>
    <n v="0"/>
  </r>
  <r>
    <n v="5162"/>
    <s v="Male"/>
    <n v="27"/>
    <x v="2"/>
    <x v="0"/>
    <n v="255"/>
    <n v="22"/>
    <n v="0.01"/>
    <s v="Desktop"/>
    <n v="25"/>
    <n v="0"/>
    <n v="0"/>
    <n v="0"/>
    <n v="0"/>
  </r>
  <r>
    <n v="5163"/>
    <s v="Female"/>
    <n v="39"/>
    <x v="3"/>
    <x v="1"/>
    <n v="191"/>
    <n v="16"/>
    <n v="0.31"/>
    <s v="Desktop"/>
    <n v="0"/>
    <n v="1"/>
    <n v="0"/>
    <n v="14.99"/>
    <n v="0"/>
  </r>
  <r>
    <n v="5164"/>
    <s v="Other"/>
    <n v="32"/>
    <x v="6"/>
    <x v="2"/>
    <n v="113"/>
    <n v="90"/>
    <n v="0.48"/>
    <s v="Mobile"/>
    <n v="0"/>
    <n v="1"/>
    <n v="0"/>
    <n v="9.99"/>
    <n v="0"/>
  </r>
  <r>
    <n v="5165"/>
    <s v="Other"/>
    <n v="57"/>
    <x v="4"/>
    <x v="1"/>
    <n v="86"/>
    <n v="39"/>
    <n v="0.53"/>
    <s v="Web"/>
    <n v="0"/>
    <n v="1"/>
    <n v="1"/>
    <n v="14.99"/>
    <n v="14.99"/>
  </r>
  <r>
    <n v="5166"/>
    <s v="Female"/>
    <n v="54"/>
    <x v="1"/>
    <x v="1"/>
    <n v="97"/>
    <n v="94"/>
    <n v="0.3"/>
    <s v="Mobile"/>
    <n v="0"/>
    <n v="1"/>
    <n v="0"/>
    <n v="14.99"/>
    <n v="0"/>
  </r>
  <r>
    <n v="5167"/>
    <s v="Male"/>
    <n v="19"/>
    <x v="6"/>
    <x v="0"/>
    <n v="254"/>
    <n v="52"/>
    <n v="0.1"/>
    <s v="Mobile"/>
    <n v="24"/>
    <n v="0"/>
    <n v="0"/>
    <n v="0"/>
    <n v="0"/>
  </r>
  <r>
    <n v="5168"/>
    <s v="Male"/>
    <n v="32"/>
    <x v="2"/>
    <x v="1"/>
    <n v="290"/>
    <n v="54"/>
    <n v="0.28000000000000003"/>
    <s v="Mobile"/>
    <n v="0"/>
    <n v="1"/>
    <n v="1"/>
    <n v="14.99"/>
    <n v="14.99"/>
  </r>
  <r>
    <n v="5169"/>
    <s v="Female"/>
    <n v="58"/>
    <x v="5"/>
    <x v="2"/>
    <n v="241"/>
    <n v="64"/>
    <n v="0.28000000000000003"/>
    <s v="Mobile"/>
    <n v="0"/>
    <n v="1"/>
    <n v="0"/>
    <n v="9.99"/>
    <n v="0"/>
  </r>
  <r>
    <n v="5170"/>
    <s v="Female"/>
    <n v="38"/>
    <x v="5"/>
    <x v="0"/>
    <n v="182"/>
    <n v="49"/>
    <n v="0.05"/>
    <s v="Desktop"/>
    <n v="49"/>
    <n v="0"/>
    <n v="0"/>
    <n v="0"/>
    <n v="0"/>
  </r>
  <r>
    <n v="5171"/>
    <s v="Female"/>
    <n v="37"/>
    <x v="5"/>
    <x v="1"/>
    <n v="172"/>
    <n v="45"/>
    <n v="0.51"/>
    <s v="Web"/>
    <n v="0"/>
    <n v="1"/>
    <n v="0"/>
    <n v="14.99"/>
    <n v="0"/>
  </r>
  <r>
    <n v="5172"/>
    <s v="Other"/>
    <n v="18"/>
    <x v="7"/>
    <x v="0"/>
    <n v="73"/>
    <n v="38"/>
    <n v="0.6"/>
    <s v="Mobile"/>
    <n v="15"/>
    <n v="0"/>
    <n v="1"/>
    <n v="0"/>
    <n v="0"/>
  </r>
  <r>
    <n v="5173"/>
    <s v="Male"/>
    <n v="32"/>
    <x v="4"/>
    <x v="0"/>
    <n v="152"/>
    <n v="51"/>
    <n v="0.28999999999999998"/>
    <s v="Web"/>
    <n v="27"/>
    <n v="0"/>
    <n v="0"/>
    <n v="0"/>
    <n v="0"/>
  </r>
  <r>
    <n v="5174"/>
    <s v="Male"/>
    <n v="35"/>
    <x v="0"/>
    <x v="0"/>
    <n v="37"/>
    <n v="48"/>
    <n v="0"/>
    <s v="Mobile"/>
    <n v="10"/>
    <n v="0"/>
    <n v="0"/>
    <n v="0"/>
    <n v="0"/>
  </r>
  <r>
    <n v="5175"/>
    <s v="Female"/>
    <n v="47"/>
    <x v="7"/>
    <x v="2"/>
    <n v="292"/>
    <n v="48"/>
    <n v="0.13"/>
    <s v="Web"/>
    <n v="0"/>
    <n v="1"/>
    <n v="1"/>
    <n v="9.99"/>
    <n v="9.99"/>
  </r>
  <r>
    <n v="5176"/>
    <s v="Male"/>
    <n v="45"/>
    <x v="5"/>
    <x v="0"/>
    <n v="62"/>
    <n v="31"/>
    <n v="0.36"/>
    <s v="Desktop"/>
    <n v="20"/>
    <n v="0"/>
    <n v="0"/>
    <n v="0"/>
    <n v="0"/>
  </r>
  <r>
    <n v="5177"/>
    <s v="Male"/>
    <n v="31"/>
    <x v="7"/>
    <x v="0"/>
    <n v="263"/>
    <n v="43"/>
    <n v="0.06"/>
    <s v="Web"/>
    <n v="23"/>
    <n v="0"/>
    <n v="1"/>
    <n v="0"/>
    <n v="0"/>
  </r>
  <r>
    <n v="5178"/>
    <s v="Female"/>
    <n v="20"/>
    <x v="7"/>
    <x v="1"/>
    <n v="58"/>
    <n v="48"/>
    <n v="0.35"/>
    <s v="Web"/>
    <n v="0"/>
    <n v="1"/>
    <n v="0"/>
    <n v="14.99"/>
    <n v="0"/>
  </r>
  <r>
    <n v="5179"/>
    <s v="Other"/>
    <n v="52"/>
    <x v="6"/>
    <x v="3"/>
    <n v="113"/>
    <n v="35"/>
    <n v="0.23"/>
    <s v="Desktop"/>
    <n v="0"/>
    <n v="1"/>
    <n v="0"/>
    <n v="4.99"/>
    <n v="0"/>
  </r>
  <r>
    <n v="5180"/>
    <s v="Other"/>
    <n v="50"/>
    <x v="2"/>
    <x v="2"/>
    <n v="40"/>
    <n v="91"/>
    <n v="0.52"/>
    <s v="Web"/>
    <n v="0"/>
    <n v="1"/>
    <n v="1"/>
    <n v="9.99"/>
    <n v="9.99"/>
  </r>
  <r>
    <n v="5181"/>
    <s v="Other"/>
    <n v="20"/>
    <x v="6"/>
    <x v="2"/>
    <n v="216"/>
    <n v="17"/>
    <n v="0.19"/>
    <s v="Web"/>
    <n v="0"/>
    <n v="1"/>
    <n v="1"/>
    <n v="9.99"/>
    <n v="9.99"/>
  </r>
  <r>
    <n v="5182"/>
    <s v="Other"/>
    <n v="36"/>
    <x v="0"/>
    <x v="2"/>
    <n v="35"/>
    <n v="18"/>
    <n v="0.52"/>
    <s v="Mobile"/>
    <n v="0"/>
    <n v="1"/>
    <n v="0"/>
    <n v="9.99"/>
    <n v="0"/>
  </r>
  <r>
    <n v="5183"/>
    <s v="Male"/>
    <n v="17"/>
    <x v="1"/>
    <x v="0"/>
    <n v="289"/>
    <n v="85"/>
    <n v="0.56999999999999995"/>
    <s v="Desktop"/>
    <n v="10"/>
    <n v="0"/>
    <n v="0"/>
    <n v="0"/>
    <n v="0"/>
  </r>
  <r>
    <n v="5184"/>
    <s v="Other"/>
    <n v="28"/>
    <x v="5"/>
    <x v="0"/>
    <n v="255"/>
    <n v="24"/>
    <n v="0.15"/>
    <s v="Desktop"/>
    <n v="6"/>
    <n v="0"/>
    <n v="0"/>
    <n v="0"/>
    <n v="0"/>
  </r>
  <r>
    <n v="5185"/>
    <s v="Other"/>
    <n v="29"/>
    <x v="6"/>
    <x v="3"/>
    <n v="277"/>
    <n v="8"/>
    <n v="0.18"/>
    <s v="Web"/>
    <n v="0"/>
    <n v="1"/>
    <n v="0"/>
    <n v="4.99"/>
    <n v="0"/>
  </r>
  <r>
    <n v="5186"/>
    <s v="Female"/>
    <n v="43"/>
    <x v="6"/>
    <x v="1"/>
    <n v="161"/>
    <n v="82"/>
    <n v="0.47"/>
    <s v="Desktop"/>
    <n v="0"/>
    <n v="1"/>
    <n v="0"/>
    <n v="14.99"/>
    <n v="0"/>
  </r>
  <r>
    <n v="5187"/>
    <s v="Male"/>
    <n v="48"/>
    <x v="2"/>
    <x v="2"/>
    <n v="113"/>
    <n v="94"/>
    <n v="0.18"/>
    <s v="Web"/>
    <n v="0"/>
    <n v="1"/>
    <n v="0"/>
    <n v="9.99"/>
    <n v="0"/>
  </r>
  <r>
    <n v="5188"/>
    <s v="Other"/>
    <n v="40"/>
    <x v="1"/>
    <x v="0"/>
    <n v="277"/>
    <n v="21"/>
    <n v="0.41"/>
    <s v="Desktop"/>
    <n v="12"/>
    <n v="0"/>
    <n v="0"/>
    <n v="0"/>
    <n v="0"/>
  </r>
  <r>
    <n v="5189"/>
    <s v="Other"/>
    <n v="51"/>
    <x v="6"/>
    <x v="3"/>
    <n v="190"/>
    <n v="90"/>
    <n v="0.54"/>
    <s v="Mobile"/>
    <n v="0"/>
    <n v="1"/>
    <n v="1"/>
    <n v="4.99"/>
    <n v="4.99"/>
  </r>
  <r>
    <n v="5190"/>
    <s v="Female"/>
    <n v="19"/>
    <x v="1"/>
    <x v="0"/>
    <n v="256"/>
    <n v="46"/>
    <n v="0.42"/>
    <s v="Desktop"/>
    <n v="37"/>
    <n v="0"/>
    <n v="1"/>
    <n v="0"/>
    <n v="0"/>
  </r>
  <r>
    <n v="5191"/>
    <s v="Male"/>
    <n v="57"/>
    <x v="2"/>
    <x v="2"/>
    <n v="294"/>
    <n v="88"/>
    <n v="0.12"/>
    <s v="Mobile"/>
    <n v="0"/>
    <n v="1"/>
    <n v="0"/>
    <n v="9.99"/>
    <n v="0"/>
  </r>
  <r>
    <n v="5192"/>
    <s v="Female"/>
    <n v="26"/>
    <x v="3"/>
    <x v="1"/>
    <n v="97"/>
    <n v="41"/>
    <n v="0.22"/>
    <s v="Mobile"/>
    <n v="0"/>
    <n v="1"/>
    <n v="0"/>
    <n v="14.99"/>
    <n v="0"/>
  </r>
  <r>
    <n v="5193"/>
    <s v="Other"/>
    <n v="49"/>
    <x v="7"/>
    <x v="1"/>
    <n v="39"/>
    <n v="26"/>
    <n v="0.22"/>
    <s v="Mobile"/>
    <n v="0"/>
    <n v="1"/>
    <n v="0"/>
    <n v="14.99"/>
    <n v="0"/>
  </r>
  <r>
    <n v="5194"/>
    <s v="Female"/>
    <n v="56"/>
    <x v="5"/>
    <x v="1"/>
    <n v="264"/>
    <n v="91"/>
    <n v="0.47"/>
    <s v="Mobile"/>
    <n v="0"/>
    <n v="1"/>
    <n v="0"/>
    <n v="14.99"/>
    <n v="0"/>
  </r>
  <r>
    <n v="5195"/>
    <s v="Male"/>
    <n v="33"/>
    <x v="1"/>
    <x v="2"/>
    <n v="285"/>
    <n v="94"/>
    <n v="7.0000000000000007E-2"/>
    <s v="Desktop"/>
    <n v="0"/>
    <n v="1"/>
    <n v="0"/>
    <n v="9.99"/>
    <n v="0"/>
  </r>
  <r>
    <n v="5196"/>
    <s v="Male"/>
    <n v="44"/>
    <x v="3"/>
    <x v="2"/>
    <n v="78"/>
    <n v="36"/>
    <n v="0.16"/>
    <s v="Web"/>
    <n v="0"/>
    <n v="1"/>
    <n v="0"/>
    <n v="9.99"/>
    <n v="0"/>
  </r>
  <r>
    <n v="5197"/>
    <s v="Male"/>
    <n v="54"/>
    <x v="7"/>
    <x v="0"/>
    <n v="144"/>
    <n v="77"/>
    <n v="0.05"/>
    <s v="Mobile"/>
    <n v="37"/>
    <n v="0"/>
    <n v="0"/>
    <n v="0"/>
    <n v="0"/>
  </r>
  <r>
    <n v="5198"/>
    <s v="Male"/>
    <n v="19"/>
    <x v="3"/>
    <x v="1"/>
    <n v="239"/>
    <n v="21"/>
    <n v="0.59"/>
    <s v="Desktop"/>
    <n v="0"/>
    <n v="1"/>
    <n v="1"/>
    <n v="14.99"/>
    <n v="14.99"/>
  </r>
  <r>
    <n v="5199"/>
    <s v="Other"/>
    <n v="24"/>
    <x v="1"/>
    <x v="1"/>
    <n v="122"/>
    <n v="54"/>
    <n v="0.11"/>
    <s v="Desktop"/>
    <n v="0"/>
    <n v="1"/>
    <n v="0"/>
    <n v="14.99"/>
    <n v="0"/>
  </r>
  <r>
    <n v="5200"/>
    <s v="Male"/>
    <n v="43"/>
    <x v="6"/>
    <x v="0"/>
    <n v="142"/>
    <n v="83"/>
    <n v="0.55000000000000004"/>
    <s v="Desktop"/>
    <n v="25"/>
    <n v="0"/>
    <n v="0"/>
    <n v="0"/>
    <n v="0"/>
  </r>
  <r>
    <n v="5201"/>
    <s v="Male"/>
    <n v="24"/>
    <x v="6"/>
    <x v="2"/>
    <n v="133"/>
    <n v="60"/>
    <n v="0.18"/>
    <s v="Web"/>
    <n v="0"/>
    <n v="1"/>
    <n v="0"/>
    <n v="9.99"/>
    <n v="0"/>
  </r>
  <r>
    <n v="5202"/>
    <s v="Male"/>
    <n v="17"/>
    <x v="0"/>
    <x v="0"/>
    <n v="259"/>
    <n v="90"/>
    <n v="0.39"/>
    <s v="Mobile"/>
    <n v="41"/>
    <n v="0"/>
    <n v="0"/>
    <n v="0"/>
    <n v="0"/>
  </r>
  <r>
    <n v="5203"/>
    <s v="Female"/>
    <n v="41"/>
    <x v="2"/>
    <x v="1"/>
    <n v="161"/>
    <n v="83"/>
    <n v="0.05"/>
    <s v="Mobile"/>
    <n v="0"/>
    <n v="1"/>
    <n v="0"/>
    <n v="14.99"/>
    <n v="0"/>
  </r>
  <r>
    <n v="5204"/>
    <s v="Female"/>
    <n v="43"/>
    <x v="3"/>
    <x v="2"/>
    <n v="218"/>
    <n v="63"/>
    <n v="0.14000000000000001"/>
    <s v="Mobile"/>
    <n v="0"/>
    <n v="1"/>
    <n v="1"/>
    <n v="9.99"/>
    <n v="9.99"/>
  </r>
  <r>
    <n v="5205"/>
    <s v="Other"/>
    <n v="51"/>
    <x v="7"/>
    <x v="3"/>
    <n v="51"/>
    <n v="78"/>
    <n v="0.28999999999999998"/>
    <s v="Mobile"/>
    <n v="0"/>
    <n v="1"/>
    <n v="1"/>
    <n v="4.99"/>
    <n v="4.99"/>
  </r>
  <r>
    <n v="5206"/>
    <s v="Female"/>
    <n v="48"/>
    <x v="4"/>
    <x v="0"/>
    <n v="282"/>
    <n v="11"/>
    <n v="0.2"/>
    <s v="Mobile"/>
    <n v="29"/>
    <n v="0"/>
    <n v="1"/>
    <n v="0"/>
    <n v="0"/>
  </r>
  <r>
    <n v="5207"/>
    <s v="Female"/>
    <n v="57"/>
    <x v="4"/>
    <x v="2"/>
    <n v="277"/>
    <n v="61"/>
    <n v="0.08"/>
    <s v="Web"/>
    <n v="0"/>
    <n v="1"/>
    <n v="0"/>
    <n v="9.99"/>
    <n v="0"/>
  </r>
  <r>
    <n v="5208"/>
    <s v="Female"/>
    <n v="30"/>
    <x v="5"/>
    <x v="2"/>
    <n v="242"/>
    <n v="28"/>
    <n v="0.38"/>
    <s v="Desktop"/>
    <n v="0"/>
    <n v="1"/>
    <n v="1"/>
    <n v="9.99"/>
    <n v="9.99"/>
  </r>
  <r>
    <n v="5209"/>
    <s v="Male"/>
    <n v="27"/>
    <x v="1"/>
    <x v="0"/>
    <n v="11"/>
    <n v="50"/>
    <n v="0.32"/>
    <s v="Mobile"/>
    <n v="33"/>
    <n v="0"/>
    <n v="0"/>
    <n v="0"/>
    <n v="0"/>
  </r>
  <r>
    <n v="5210"/>
    <s v="Male"/>
    <n v="51"/>
    <x v="2"/>
    <x v="1"/>
    <n v="90"/>
    <n v="56"/>
    <n v="0.2"/>
    <s v="Web"/>
    <n v="0"/>
    <n v="1"/>
    <n v="0"/>
    <n v="14.99"/>
    <n v="0"/>
  </r>
  <r>
    <n v="5211"/>
    <s v="Male"/>
    <n v="39"/>
    <x v="6"/>
    <x v="2"/>
    <n v="152"/>
    <n v="1"/>
    <n v="0.4"/>
    <s v="Desktop"/>
    <n v="0"/>
    <n v="1"/>
    <n v="0"/>
    <n v="9.99"/>
    <n v="0"/>
  </r>
  <r>
    <n v="5212"/>
    <s v="Other"/>
    <n v="29"/>
    <x v="7"/>
    <x v="2"/>
    <n v="235"/>
    <n v="86"/>
    <n v="0.48"/>
    <s v="Web"/>
    <n v="0"/>
    <n v="1"/>
    <n v="0"/>
    <n v="9.99"/>
    <n v="0"/>
  </r>
  <r>
    <n v="5213"/>
    <s v="Female"/>
    <n v="29"/>
    <x v="2"/>
    <x v="3"/>
    <n v="256"/>
    <n v="47"/>
    <n v="0.57999999999999996"/>
    <s v="Desktop"/>
    <n v="0"/>
    <n v="1"/>
    <n v="0"/>
    <n v="4.99"/>
    <n v="0"/>
  </r>
  <r>
    <n v="5214"/>
    <s v="Female"/>
    <n v="19"/>
    <x v="1"/>
    <x v="2"/>
    <n v="232"/>
    <n v="21"/>
    <n v="0.16"/>
    <s v="Web"/>
    <n v="0"/>
    <n v="1"/>
    <n v="1"/>
    <n v="9.99"/>
    <n v="9.99"/>
  </r>
  <r>
    <n v="5215"/>
    <s v="Other"/>
    <n v="33"/>
    <x v="3"/>
    <x v="3"/>
    <n v="237"/>
    <n v="62"/>
    <n v="0.41"/>
    <s v="Desktop"/>
    <n v="0"/>
    <n v="1"/>
    <n v="0"/>
    <n v="4.99"/>
    <n v="0"/>
  </r>
  <r>
    <n v="5216"/>
    <s v="Other"/>
    <n v="21"/>
    <x v="0"/>
    <x v="0"/>
    <n v="207"/>
    <n v="62"/>
    <n v="0.2"/>
    <s v="Mobile"/>
    <n v="33"/>
    <n v="0"/>
    <n v="0"/>
    <n v="0"/>
    <n v="0"/>
  </r>
  <r>
    <n v="5217"/>
    <s v="Male"/>
    <n v="21"/>
    <x v="4"/>
    <x v="0"/>
    <n v="101"/>
    <n v="30"/>
    <n v="0.52"/>
    <s v="Desktop"/>
    <n v="45"/>
    <n v="0"/>
    <n v="1"/>
    <n v="0"/>
    <n v="0"/>
  </r>
  <r>
    <n v="5218"/>
    <s v="Other"/>
    <n v="57"/>
    <x v="7"/>
    <x v="3"/>
    <n v="291"/>
    <n v="51"/>
    <n v="0.42"/>
    <s v="Web"/>
    <n v="0"/>
    <n v="1"/>
    <n v="0"/>
    <n v="4.99"/>
    <n v="0"/>
  </r>
  <r>
    <n v="5219"/>
    <s v="Female"/>
    <n v="18"/>
    <x v="2"/>
    <x v="1"/>
    <n v="135"/>
    <n v="16"/>
    <n v="0.54"/>
    <s v="Desktop"/>
    <n v="0"/>
    <n v="1"/>
    <n v="0"/>
    <n v="14.99"/>
    <n v="0"/>
  </r>
  <r>
    <n v="5220"/>
    <s v="Male"/>
    <n v="56"/>
    <x v="4"/>
    <x v="1"/>
    <n v="238"/>
    <n v="75"/>
    <n v="0.33"/>
    <s v="Web"/>
    <n v="0"/>
    <n v="1"/>
    <n v="0"/>
    <n v="14.99"/>
    <n v="0"/>
  </r>
  <r>
    <n v="5221"/>
    <s v="Female"/>
    <n v="37"/>
    <x v="4"/>
    <x v="1"/>
    <n v="53"/>
    <n v="32"/>
    <n v="0.24"/>
    <s v="Desktop"/>
    <n v="0"/>
    <n v="1"/>
    <n v="1"/>
    <n v="14.99"/>
    <n v="14.99"/>
  </r>
  <r>
    <n v="5222"/>
    <s v="Female"/>
    <n v="31"/>
    <x v="7"/>
    <x v="2"/>
    <n v="105"/>
    <n v="67"/>
    <n v="0.19"/>
    <s v="Web"/>
    <n v="0"/>
    <n v="1"/>
    <n v="0"/>
    <n v="9.99"/>
    <n v="0"/>
  </r>
  <r>
    <n v="5223"/>
    <s v="Male"/>
    <n v="26"/>
    <x v="0"/>
    <x v="1"/>
    <n v="211"/>
    <n v="48"/>
    <n v="0.17"/>
    <s v="Desktop"/>
    <n v="0"/>
    <n v="1"/>
    <n v="0"/>
    <n v="14.99"/>
    <n v="0"/>
  </r>
  <r>
    <n v="5224"/>
    <s v="Female"/>
    <n v="48"/>
    <x v="3"/>
    <x v="1"/>
    <n v="137"/>
    <n v="8"/>
    <n v="0.15"/>
    <s v="Mobile"/>
    <n v="0"/>
    <n v="1"/>
    <n v="0"/>
    <n v="14.99"/>
    <n v="0"/>
  </r>
  <r>
    <n v="5225"/>
    <s v="Other"/>
    <n v="34"/>
    <x v="2"/>
    <x v="2"/>
    <n v="16"/>
    <n v="47"/>
    <n v="0.28000000000000003"/>
    <s v="Web"/>
    <n v="0"/>
    <n v="1"/>
    <n v="1"/>
    <n v="9.99"/>
    <n v="9.99"/>
  </r>
  <r>
    <n v="5226"/>
    <s v="Male"/>
    <n v="57"/>
    <x v="3"/>
    <x v="0"/>
    <n v="120"/>
    <n v="14"/>
    <n v="0.03"/>
    <s v="Desktop"/>
    <n v="44"/>
    <n v="0"/>
    <n v="0"/>
    <n v="0"/>
    <n v="0"/>
  </r>
  <r>
    <n v="5227"/>
    <s v="Female"/>
    <n v="16"/>
    <x v="4"/>
    <x v="3"/>
    <n v="260"/>
    <n v="56"/>
    <n v="0.4"/>
    <s v="Desktop"/>
    <n v="0"/>
    <n v="1"/>
    <n v="1"/>
    <n v="4.99"/>
    <n v="4.99"/>
  </r>
  <r>
    <n v="5228"/>
    <s v="Other"/>
    <n v="25"/>
    <x v="7"/>
    <x v="1"/>
    <n v="100"/>
    <n v="41"/>
    <n v="0.25"/>
    <s v="Mobile"/>
    <n v="0"/>
    <n v="1"/>
    <n v="0"/>
    <n v="14.99"/>
    <n v="0"/>
  </r>
  <r>
    <n v="5229"/>
    <s v="Female"/>
    <n v="23"/>
    <x v="0"/>
    <x v="2"/>
    <n v="249"/>
    <n v="69"/>
    <n v="0.16"/>
    <s v="Desktop"/>
    <n v="0"/>
    <n v="1"/>
    <n v="0"/>
    <n v="9.99"/>
    <n v="0"/>
  </r>
  <r>
    <n v="5230"/>
    <s v="Other"/>
    <n v="20"/>
    <x v="4"/>
    <x v="1"/>
    <n v="111"/>
    <n v="13"/>
    <n v="0.5"/>
    <s v="Mobile"/>
    <n v="0"/>
    <n v="1"/>
    <n v="0"/>
    <n v="14.99"/>
    <n v="0"/>
  </r>
  <r>
    <n v="5231"/>
    <s v="Male"/>
    <n v="27"/>
    <x v="0"/>
    <x v="3"/>
    <n v="196"/>
    <n v="25"/>
    <n v="0.57999999999999996"/>
    <s v="Web"/>
    <n v="0"/>
    <n v="1"/>
    <n v="0"/>
    <n v="4.99"/>
    <n v="0"/>
  </r>
  <r>
    <n v="5232"/>
    <s v="Female"/>
    <n v="28"/>
    <x v="5"/>
    <x v="2"/>
    <n v="164"/>
    <n v="79"/>
    <n v="0.42"/>
    <s v="Desktop"/>
    <n v="0"/>
    <n v="1"/>
    <n v="0"/>
    <n v="9.99"/>
    <n v="0"/>
  </r>
  <r>
    <n v="5233"/>
    <s v="Female"/>
    <n v="22"/>
    <x v="6"/>
    <x v="3"/>
    <n v="230"/>
    <n v="57"/>
    <n v="0.12"/>
    <s v="Mobile"/>
    <n v="0"/>
    <n v="1"/>
    <n v="0"/>
    <n v="4.99"/>
    <n v="0"/>
  </r>
  <r>
    <n v="5234"/>
    <s v="Male"/>
    <n v="49"/>
    <x v="3"/>
    <x v="0"/>
    <n v="128"/>
    <n v="4"/>
    <n v="0.49"/>
    <s v="Mobile"/>
    <n v="10"/>
    <n v="0"/>
    <n v="0"/>
    <n v="0"/>
    <n v="0"/>
  </r>
  <r>
    <n v="5235"/>
    <s v="Other"/>
    <n v="50"/>
    <x v="6"/>
    <x v="3"/>
    <n v="59"/>
    <n v="55"/>
    <n v="0.26"/>
    <s v="Mobile"/>
    <n v="0"/>
    <n v="1"/>
    <n v="0"/>
    <n v="4.99"/>
    <n v="0"/>
  </r>
  <r>
    <n v="5236"/>
    <s v="Other"/>
    <n v="59"/>
    <x v="5"/>
    <x v="1"/>
    <n v="87"/>
    <n v="99"/>
    <n v="0.31"/>
    <s v="Mobile"/>
    <n v="0"/>
    <n v="1"/>
    <n v="0"/>
    <n v="14.99"/>
    <n v="0"/>
  </r>
  <r>
    <n v="5237"/>
    <s v="Male"/>
    <n v="46"/>
    <x v="3"/>
    <x v="3"/>
    <n v="229"/>
    <n v="33"/>
    <n v="0.13"/>
    <s v="Mobile"/>
    <n v="0"/>
    <n v="1"/>
    <n v="0"/>
    <n v="4.99"/>
    <n v="0"/>
  </r>
  <r>
    <n v="5238"/>
    <s v="Other"/>
    <n v="46"/>
    <x v="2"/>
    <x v="1"/>
    <n v="220"/>
    <n v="63"/>
    <n v="0.1"/>
    <s v="Web"/>
    <n v="0"/>
    <n v="1"/>
    <n v="0"/>
    <n v="14.99"/>
    <n v="0"/>
  </r>
  <r>
    <n v="5239"/>
    <s v="Male"/>
    <n v="59"/>
    <x v="0"/>
    <x v="3"/>
    <n v="208"/>
    <n v="84"/>
    <n v="0.15"/>
    <s v="Web"/>
    <n v="0"/>
    <n v="1"/>
    <n v="0"/>
    <n v="4.99"/>
    <n v="0"/>
  </r>
  <r>
    <n v="5240"/>
    <s v="Male"/>
    <n v="46"/>
    <x v="3"/>
    <x v="3"/>
    <n v="108"/>
    <n v="14"/>
    <n v="0.38"/>
    <s v="Mobile"/>
    <n v="0"/>
    <n v="1"/>
    <n v="0"/>
    <n v="4.99"/>
    <n v="0"/>
  </r>
  <r>
    <n v="5241"/>
    <s v="Male"/>
    <n v="25"/>
    <x v="0"/>
    <x v="0"/>
    <n v="13"/>
    <n v="86"/>
    <n v="0.47"/>
    <s v="Mobile"/>
    <n v="34"/>
    <n v="0"/>
    <n v="0"/>
    <n v="0"/>
    <n v="0"/>
  </r>
  <r>
    <n v="5242"/>
    <s v="Female"/>
    <n v="58"/>
    <x v="7"/>
    <x v="0"/>
    <n v="118"/>
    <n v="52"/>
    <n v="0.3"/>
    <s v="Web"/>
    <n v="26"/>
    <n v="0"/>
    <n v="0"/>
    <n v="0"/>
    <n v="0"/>
  </r>
  <r>
    <n v="5243"/>
    <s v="Male"/>
    <n v="29"/>
    <x v="3"/>
    <x v="3"/>
    <n v="169"/>
    <n v="71"/>
    <n v="0.57999999999999996"/>
    <s v="Mobile"/>
    <n v="0"/>
    <n v="1"/>
    <n v="0"/>
    <n v="4.99"/>
    <n v="0"/>
  </r>
  <r>
    <n v="5244"/>
    <s v="Male"/>
    <n v="32"/>
    <x v="6"/>
    <x v="1"/>
    <n v="267"/>
    <n v="66"/>
    <n v="0.28999999999999998"/>
    <s v="Desktop"/>
    <n v="0"/>
    <n v="1"/>
    <n v="1"/>
    <n v="14.99"/>
    <n v="14.99"/>
  </r>
  <r>
    <n v="5245"/>
    <s v="Female"/>
    <n v="46"/>
    <x v="7"/>
    <x v="0"/>
    <n v="28"/>
    <n v="19"/>
    <n v="0.25"/>
    <s v="Desktop"/>
    <n v="19"/>
    <n v="0"/>
    <n v="1"/>
    <n v="0"/>
    <n v="0"/>
  </r>
  <r>
    <n v="5246"/>
    <s v="Female"/>
    <n v="30"/>
    <x v="6"/>
    <x v="2"/>
    <n v="244"/>
    <n v="64"/>
    <n v="0.21"/>
    <s v="Desktop"/>
    <n v="0"/>
    <n v="1"/>
    <n v="0"/>
    <n v="9.99"/>
    <n v="0"/>
  </r>
  <r>
    <n v="5247"/>
    <s v="Male"/>
    <n v="21"/>
    <x v="0"/>
    <x v="2"/>
    <n v="284"/>
    <n v="91"/>
    <n v="0.53"/>
    <s v="Desktop"/>
    <n v="0"/>
    <n v="1"/>
    <n v="0"/>
    <n v="9.99"/>
    <n v="0"/>
  </r>
  <r>
    <n v="5248"/>
    <s v="Female"/>
    <n v="18"/>
    <x v="2"/>
    <x v="0"/>
    <n v="226"/>
    <n v="64"/>
    <n v="0.46"/>
    <s v="Mobile"/>
    <n v="28"/>
    <n v="0"/>
    <n v="0"/>
    <n v="0"/>
    <n v="0"/>
  </r>
  <r>
    <n v="5249"/>
    <s v="Female"/>
    <n v="28"/>
    <x v="6"/>
    <x v="3"/>
    <n v="243"/>
    <n v="8"/>
    <n v="0.15"/>
    <s v="Desktop"/>
    <n v="0"/>
    <n v="1"/>
    <n v="0"/>
    <n v="4.99"/>
    <n v="0"/>
  </r>
  <r>
    <n v="5250"/>
    <s v="Male"/>
    <n v="31"/>
    <x v="3"/>
    <x v="3"/>
    <n v="253"/>
    <n v="83"/>
    <n v="0.09"/>
    <s v="Mobile"/>
    <n v="0"/>
    <n v="1"/>
    <n v="0"/>
    <n v="4.99"/>
    <n v="0"/>
  </r>
  <r>
    <n v="5251"/>
    <s v="Other"/>
    <n v="55"/>
    <x v="0"/>
    <x v="3"/>
    <n v="265"/>
    <n v="85"/>
    <n v="7.0000000000000007E-2"/>
    <s v="Desktop"/>
    <n v="0"/>
    <n v="1"/>
    <n v="0"/>
    <n v="4.99"/>
    <n v="0"/>
  </r>
  <r>
    <n v="5252"/>
    <s v="Male"/>
    <n v="16"/>
    <x v="7"/>
    <x v="3"/>
    <n v="165"/>
    <n v="96"/>
    <n v="0.28999999999999998"/>
    <s v="Web"/>
    <n v="0"/>
    <n v="1"/>
    <n v="0"/>
    <n v="4.99"/>
    <n v="0"/>
  </r>
  <r>
    <n v="5253"/>
    <s v="Female"/>
    <n v="36"/>
    <x v="7"/>
    <x v="3"/>
    <n v="205"/>
    <n v="21"/>
    <n v="0.36"/>
    <s v="Mobile"/>
    <n v="0"/>
    <n v="1"/>
    <n v="0"/>
    <n v="4.99"/>
    <n v="0"/>
  </r>
  <r>
    <n v="5254"/>
    <s v="Other"/>
    <n v="55"/>
    <x v="0"/>
    <x v="0"/>
    <n v="97"/>
    <n v="5"/>
    <n v="0.28000000000000003"/>
    <s v="Mobile"/>
    <n v="8"/>
    <n v="0"/>
    <n v="0"/>
    <n v="0"/>
    <n v="0"/>
  </r>
  <r>
    <n v="5255"/>
    <s v="Female"/>
    <n v="35"/>
    <x v="5"/>
    <x v="2"/>
    <n v="25"/>
    <n v="85"/>
    <n v="7.0000000000000007E-2"/>
    <s v="Mobile"/>
    <n v="0"/>
    <n v="1"/>
    <n v="0"/>
    <n v="9.99"/>
    <n v="0"/>
  </r>
  <r>
    <n v="5256"/>
    <s v="Female"/>
    <n v="32"/>
    <x v="5"/>
    <x v="3"/>
    <n v="38"/>
    <n v="88"/>
    <n v="0.53"/>
    <s v="Desktop"/>
    <n v="0"/>
    <n v="1"/>
    <n v="0"/>
    <n v="4.99"/>
    <n v="0"/>
  </r>
  <r>
    <n v="5257"/>
    <s v="Other"/>
    <n v="54"/>
    <x v="4"/>
    <x v="0"/>
    <n v="152"/>
    <n v="88"/>
    <n v="0.21"/>
    <s v="Web"/>
    <n v="15"/>
    <n v="0"/>
    <n v="0"/>
    <n v="0"/>
    <n v="0"/>
  </r>
  <r>
    <n v="5258"/>
    <s v="Female"/>
    <n v="31"/>
    <x v="3"/>
    <x v="2"/>
    <n v="100"/>
    <n v="32"/>
    <n v="0.13"/>
    <s v="Web"/>
    <n v="0"/>
    <n v="1"/>
    <n v="1"/>
    <n v="9.99"/>
    <n v="9.99"/>
  </r>
  <r>
    <n v="5259"/>
    <s v="Female"/>
    <n v="43"/>
    <x v="3"/>
    <x v="2"/>
    <n v="225"/>
    <n v="4"/>
    <n v="0.37"/>
    <s v="Mobile"/>
    <n v="0"/>
    <n v="1"/>
    <n v="0"/>
    <n v="9.99"/>
    <n v="0"/>
  </r>
  <r>
    <n v="5260"/>
    <s v="Other"/>
    <n v="17"/>
    <x v="0"/>
    <x v="3"/>
    <n v="13"/>
    <n v="54"/>
    <n v="0.39"/>
    <s v="Mobile"/>
    <n v="0"/>
    <n v="1"/>
    <n v="1"/>
    <n v="4.99"/>
    <n v="4.99"/>
  </r>
  <r>
    <n v="5261"/>
    <s v="Male"/>
    <n v="45"/>
    <x v="6"/>
    <x v="0"/>
    <n v="27"/>
    <n v="63"/>
    <n v="0.1"/>
    <s v="Desktop"/>
    <n v="34"/>
    <n v="0"/>
    <n v="0"/>
    <n v="0"/>
    <n v="0"/>
  </r>
  <r>
    <n v="5262"/>
    <s v="Other"/>
    <n v="59"/>
    <x v="7"/>
    <x v="3"/>
    <n v="246"/>
    <n v="87"/>
    <n v="0.32"/>
    <s v="Mobile"/>
    <n v="0"/>
    <n v="1"/>
    <n v="1"/>
    <n v="4.99"/>
    <n v="4.99"/>
  </r>
  <r>
    <n v="5263"/>
    <s v="Female"/>
    <n v="30"/>
    <x v="2"/>
    <x v="0"/>
    <n v="27"/>
    <n v="92"/>
    <n v="0.08"/>
    <s v="Mobile"/>
    <n v="6"/>
    <n v="0"/>
    <n v="1"/>
    <n v="0"/>
    <n v="0"/>
  </r>
  <r>
    <n v="5264"/>
    <s v="Other"/>
    <n v="16"/>
    <x v="5"/>
    <x v="0"/>
    <n v="56"/>
    <n v="20"/>
    <n v="0.01"/>
    <s v="Web"/>
    <n v="16"/>
    <n v="0"/>
    <n v="0"/>
    <n v="0"/>
    <n v="0"/>
  </r>
  <r>
    <n v="5265"/>
    <s v="Male"/>
    <n v="38"/>
    <x v="4"/>
    <x v="2"/>
    <n v="273"/>
    <n v="28"/>
    <n v="0.25"/>
    <s v="Mobile"/>
    <n v="0"/>
    <n v="1"/>
    <n v="0"/>
    <n v="9.99"/>
    <n v="0"/>
  </r>
  <r>
    <n v="5266"/>
    <s v="Male"/>
    <n v="30"/>
    <x v="3"/>
    <x v="2"/>
    <n v="185"/>
    <n v="36"/>
    <n v="0.15"/>
    <s v="Web"/>
    <n v="0"/>
    <n v="1"/>
    <n v="1"/>
    <n v="9.99"/>
    <n v="9.99"/>
  </r>
  <r>
    <n v="5267"/>
    <s v="Female"/>
    <n v="52"/>
    <x v="2"/>
    <x v="2"/>
    <n v="132"/>
    <n v="44"/>
    <n v="0.33"/>
    <s v="Mobile"/>
    <n v="0"/>
    <n v="1"/>
    <n v="0"/>
    <n v="9.99"/>
    <n v="0"/>
  </r>
  <r>
    <n v="5268"/>
    <s v="Other"/>
    <n v="30"/>
    <x v="1"/>
    <x v="0"/>
    <n v="108"/>
    <n v="89"/>
    <n v="0.09"/>
    <s v="Mobile"/>
    <n v="49"/>
    <n v="0"/>
    <n v="0"/>
    <n v="0"/>
    <n v="0"/>
  </r>
  <r>
    <n v="5269"/>
    <s v="Male"/>
    <n v="37"/>
    <x v="7"/>
    <x v="1"/>
    <n v="214"/>
    <n v="68"/>
    <n v="0.39"/>
    <s v="Mobile"/>
    <n v="0"/>
    <n v="1"/>
    <n v="0"/>
    <n v="14.99"/>
    <n v="0"/>
  </r>
  <r>
    <n v="5270"/>
    <s v="Male"/>
    <n v="19"/>
    <x v="1"/>
    <x v="1"/>
    <n v="159"/>
    <n v="60"/>
    <n v="0.04"/>
    <s v="Desktop"/>
    <n v="0"/>
    <n v="1"/>
    <n v="0"/>
    <n v="14.99"/>
    <n v="0"/>
  </r>
  <r>
    <n v="5271"/>
    <s v="Other"/>
    <n v="57"/>
    <x v="0"/>
    <x v="2"/>
    <n v="91"/>
    <n v="22"/>
    <n v="0.03"/>
    <s v="Web"/>
    <n v="0"/>
    <n v="1"/>
    <n v="0"/>
    <n v="9.99"/>
    <n v="0"/>
  </r>
  <r>
    <n v="5272"/>
    <s v="Female"/>
    <n v="49"/>
    <x v="4"/>
    <x v="2"/>
    <n v="56"/>
    <n v="51"/>
    <n v="0.31"/>
    <s v="Mobile"/>
    <n v="0"/>
    <n v="1"/>
    <n v="0"/>
    <n v="9.99"/>
    <n v="0"/>
  </r>
  <r>
    <n v="5273"/>
    <s v="Other"/>
    <n v="50"/>
    <x v="4"/>
    <x v="0"/>
    <n v="125"/>
    <n v="7"/>
    <n v="0.14000000000000001"/>
    <s v="Mobile"/>
    <n v="49"/>
    <n v="0"/>
    <n v="0"/>
    <n v="0"/>
    <n v="0"/>
  </r>
  <r>
    <n v="5274"/>
    <s v="Male"/>
    <n v="36"/>
    <x v="7"/>
    <x v="2"/>
    <n v="148"/>
    <n v="49"/>
    <n v="0.01"/>
    <s v="Web"/>
    <n v="0"/>
    <n v="1"/>
    <n v="0"/>
    <n v="9.99"/>
    <n v="0"/>
  </r>
  <r>
    <n v="5275"/>
    <s v="Female"/>
    <n v="32"/>
    <x v="0"/>
    <x v="1"/>
    <n v="99"/>
    <n v="62"/>
    <n v="0.22"/>
    <s v="Web"/>
    <n v="0"/>
    <n v="1"/>
    <n v="1"/>
    <n v="14.99"/>
    <n v="14.99"/>
  </r>
  <r>
    <n v="5276"/>
    <s v="Male"/>
    <n v="20"/>
    <x v="5"/>
    <x v="2"/>
    <n v="248"/>
    <n v="78"/>
    <n v="0.27"/>
    <s v="Desktop"/>
    <n v="0"/>
    <n v="1"/>
    <n v="1"/>
    <n v="9.99"/>
    <n v="9.99"/>
  </r>
  <r>
    <n v="5277"/>
    <s v="Female"/>
    <n v="54"/>
    <x v="5"/>
    <x v="3"/>
    <n v="169"/>
    <n v="38"/>
    <n v="0.15"/>
    <s v="Web"/>
    <n v="0"/>
    <n v="1"/>
    <n v="0"/>
    <n v="4.99"/>
    <n v="0"/>
  </r>
  <r>
    <n v="5278"/>
    <s v="Female"/>
    <n v="32"/>
    <x v="6"/>
    <x v="3"/>
    <n v="126"/>
    <n v="57"/>
    <n v="0.02"/>
    <s v="Mobile"/>
    <n v="0"/>
    <n v="1"/>
    <n v="1"/>
    <n v="4.99"/>
    <n v="4.99"/>
  </r>
  <r>
    <n v="5279"/>
    <s v="Male"/>
    <n v="32"/>
    <x v="0"/>
    <x v="1"/>
    <n v="189"/>
    <n v="95"/>
    <n v="0.17"/>
    <s v="Desktop"/>
    <n v="0"/>
    <n v="1"/>
    <n v="1"/>
    <n v="14.99"/>
    <n v="14.99"/>
  </r>
  <r>
    <n v="5280"/>
    <s v="Other"/>
    <n v="31"/>
    <x v="4"/>
    <x v="3"/>
    <n v="81"/>
    <n v="36"/>
    <n v="0.43"/>
    <s v="Mobile"/>
    <n v="0"/>
    <n v="1"/>
    <n v="0"/>
    <n v="4.99"/>
    <n v="0"/>
  </r>
  <r>
    <n v="5281"/>
    <s v="Female"/>
    <n v="31"/>
    <x v="1"/>
    <x v="0"/>
    <n v="75"/>
    <n v="15"/>
    <n v="0.23"/>
    <s v="Desktop"/>
    <n v="41"/>
    <n v="0"/>
    <n v="0"/>
    <n v="0"/>
    <n v="0"/>
  </r>
  <r>
    <n v="5282"/>
    <s v="Female"/>
    <n v="42"/>
    <x v="1"/>
    <x v="0"/>
    <n v="98"/>
    <n v="29"/>
    <n v="0.34"/>
    <s v="Web"/>
    <n v="39"/>
    <n v="0"/>
    <n v="0"/>
    <n v="0"/>
    <n v="0"/>
  </r>
  <r>
    <n v="5283"/>
    <s v="Male"/>
    <n v="53"/>
    <x v="0"/>
    <x v="2"/>
    <n v="24"/>
    <n v="7"/>
    <n v="0.32"/>
    <s v="Desktop"/>
    <n v="0"/>
    <n v="1"/>
    <n v="1"/>
    <n v="9.99"/>
    <n v="9.99"/>
  </r>
  <r>
    <n v="5284"/>
    <s v="Other"/>
    <n v="19"/>
    <x v="3"/>
    <x v="2"/>
    <n v="75"/>
    <n v="76"/>
    <n v="0.28000000000000003"/>
    <s v="Desktop"/>
    <n v="0"/>
    <n v="1"/>
    <n v="0"/>
    <n v="9.99"/>
    <n v="0"/>
  </r>
  <r>
    <n v="5285"/>
    <s v="Female"/>
    <n v="51"/>
    <x v="4"/>
    <x v="0"/>
    <n v="140"/>
    <n v="21"/>
    <n v="0.4"/>
    <s v="Desktop"/>
    <n v="33"/>
    <n v="0"/>
    <n v="0"/>
    <n v="0"/>
    <n v="0"/>
  </r>
  <r>
    <n v="5286"/>
    <s v="Male"/>
    <n v="18"/>
    <x v="2"/>
    <x v="3"/>
    <n v="210"/>
    <n v="89"/>
    <n v="0.56999999999999995"/>
    <s v="Web"/>
    <n v="0"/>
    <n v="1"/>
    <n v="1"/>
    <n v="4.99"/>
    <n v="4.99"/>
  </r>
  <r>
    <n v="5287"/>
    <s v="Female"/>
    <n v="51"/>
    <x v="3"/>
    <x v="2"/>
    <n v="54"/>
    <n v="53"/>
    <n v="0.1"/>
    <s v="Desktop"/>
    <n v="0"/>
    <n v="1"/>
    <n v="0"/>
    <n v="9.99"/>
    <n v="0"/>
  </r>
  <r>
    <n v="5288"/>
    <s v="Female"/>
    <n v="27"/>
    <x v="5"/>
    <x v="0"/>
    <n v="26"/>
    <n v="95"/>
    <n v="0.17"/>
    <s v="Web"/>
    <n v="47"/>
    <n v="0"/>
    <n v="1"/>
    <n v="0"/>
    <n v="0"/>
  </r>
  <r>
    <n v="5289"/>
    <s v="Male"/>
    <n v="29"/>
    <x v="2"/>
    <x v="2"/>
    <n v="203"/>
    <n v="72"/>
    <n v="0.57999999999999996"/>
    <s v="Mobile"/>
    <n v="0"/>
    <n v="1"/>
    <n v="0"/>
    <n v="9.99"/>
    <n v="0"/>
  </r>
  <r>
    <n v="5290"/>
    <s v="Female"/>
    <n v="16"/>
    <x v="3"/>
    <x v="0"/>
    <n v="268"/>
    <n v="98"/>
    <n v="0.59"/>
    <s v="Mobile"/>
    <n v="8"/>
    <n v="0"/>
    <n v="1"/>
    <n v="0"/>
    <n v="0"/>
  </r>
  <r>
    <n v="5291"/>
    <s v="Other"/>
    <n v="52"/>
    <x v="6"/>
    <x v="0"/>
    <n v="36"/>
    <n v="77"/>
    <n v="0.52"/>
    <s v="Web"/>
    <n v="13"/>
    <n v="0"/>
    <n v="0"/>
    <n v="0"/>
    <n v="0"/>
  </r>
  <r>
    <n v="5292"/>
    <s v="Female"/>
    <n v="47"/>
    <x v="1"/>
    <x v="3"/>
    <n v="268"/>
    <n v="20"/>
    <n v="0.12"/>
    <s v="Desktop"/>
    <n v="0"/>
    <n v="1"/>
    <n v="0"/>
    <n v="4.99"/>
    <n v="0"/>
  </r>
  <r>
    <n v="5293"/>
    <s v="Female"/>
    <n v="21"/>
    <x v="2"/>
    <x v="1"/>
    <n v="24"/>
    <n v="31"/>
    <n v="0.3"/>
    <s v="Mobile"/>
    <n v="0"/>
    <n v="1"/>
    <n v="1"/>
    <n v="14.99"/>
    <n v="14.99"/>
  </r>
  <r>
    <n v="5294"/>
    <s v="Other"/>
    <n v="25"/>
    <x v="7"/>
    <x v="1"/>
    <n v="54"/>
    <n v="43"/>
    <n v="0"/>
    <s v="Desktop"/>
    <n v="0"/>
    <n v="1"/>
    <n v="0"/>
    <n v="14.99"/>
    <n v="0"/>
  </r>
  <r>
    <n v="5295"/>
    <s v="Male"/>
    <n v="20"/>
    <x v="5"/>
    <x v="2"/>
    <n v="190"/>
    <n v="41"/>
    <n v="0.38"/>
    <s v="Web"/>
    <n v="0"/>
    <n v="1"/>
    <n v="1"/>
    <n v="9.99"/>
    <n v="9.99"/>
  </r>
  <r>
    <n v="5296"/>
    <s v="Male"/>
    <n v="59"/>
    <x v="5"/>
    <x v="2"/>
    <n v="285"/>
    <n v="72"/>
    <n v="0.34"/>
    <s v="Desktop"/>
    <n v="0"/>
    <n v="1"/>
    <n v="0"/>
    <n v="9.99"/>
    <n v="0"/>
  </r>
  <r>
    <n v="5297"/>
    <s v="Other"/>
    <n v="54"/>
    <x v="0"/>
    <x v="2"/>
    <n v="271"/>
    <n v="82"/>
    <n v="0.11"/>
    <s v="Desktop"/>
    <n v="0"/>
    <n v="1"/>
    <n v="0"/>
    <n v="9.99"/>
    <n v="0"/>
  </r>
  <r>
    <n v="5298"/>
    <s v="Other"/>
    <n v="34"/>
    <x v="3"/>
    <x v="2"/>
    <n v="58"/>
    <n v="54"/>
    <n v="0.13"/>
    <s v="Web"/>
    <n v="0"/>
    <n v="1"/>
    <n v="0"/>
    <n v="9.99"/>
    <n v="0"/>
  </r>
  <r>
    <n v="5299"/>
    <s v="Female"/>
    <n v="46"/>
    <x v="0"/>
    <x v="1"/>
    <n v="68"/>
    <n v="80"/>
    <n v="0.02"/>
    <s v="Mobile"/>
    <n v="0"/>
    <n v="1"/>
    <n v="0"/>
    <n v="14.99"/>
    <n v="0"/>
  </r>
  <r>
    <n v="5300"/>
    <s v="Female"/>
    <n v="50"/>
    <x v="3"/>
    <x v="0"/>
    <n v="245"/>
    <n v="50"/>
    <n v="7.0000000000000007E-2"/>
    <s v="Mobile"/>
    <n v="7"/>
    <n v="0"/>
    <n v="0"/>
    <n v="0"/>
    <n v="0"/>
  </r>
  <r>
    <n v="5301"/>
    <s v="Female"/>
    <n v="19"/>
    <x v="4"/>
    <x v="3"/>
    <n v="257"/>
    <n v="43"/>
    <n v="0.33"/>
    <s v="Desktop"/>
    <n v="0"/>
    <n v="1"/>
    <n v="1"/>
    <n v="4.99"/>
    <n v="4.99"/>
  </r>
  <r>
    <n v="5302"/>
    <s v="Male"/>
    <n v="37"/>
    <x v="6"/>
    <x v="2"/>
    <n v="53"/>
    <n v="59"/>
    <n v="0.13"/>
    <s v="Web"/>
    <n v="0"/>
    <n v="1"/>
    <n v="0"/>
    <n v="9.99"/>
    <n v="0"/>
  </r>
  <r>
    <n v="5303"/>
    <s v="Other"/>
    <n v="53"/>
    <x v="2"/>
    <x v="2"/>
    <n v="13"/>
    <n v="39"/>
    <n v="0.44"/>
    <s v="Mobile"/>
    <n v="0"/>
    <n v="1"/>
    <n v="0"/>
    <n v="9.99"/>
    <n v="0"/>
  </r>
  <r>
    <n v="5304"/>
    <s v="Female"/>
    <n v="53"/>
    <x v="1"/>
    <x v="1"/>
    <n v="58"/>
    <n v="96"/>
    <n v="0.43"/>
    <s v="Desktop"/>
    <n v="0"/>
    <n v="1"/>
    <n v="0"/>
    <n v="14.99"/>
    <n v="0"/>
  </r>
  <r>
    <n v="5305"/>
    <s v="Female"/>
    <n v="54"/>
    <x v="1"/>
    <x v="1"/>
    <n v="174"/>
    <n v="89"/>
    <n v="0.3"/>
    <s v="Mobile"/>
    <n v="0"/>
    <n v="1"/>
    <n v="1"/>
    <n v="14.99"/>
    <n v="14.99"/>
  </r>
  <r>
    <n v="5306"/>
    <s v="Male"/>
    <n v="33"/>
    <x v="0"/>
    <x v="0"/>
    <n v="29"/>
    <n v="54"/>
    <n v="0.04"/>
    <s v="Web"/>
    <n v="5"/>
    <n v="0"/>
    <n v="1"/>
    <n v="0"/>
    <n v="0"/>
  </r>
  <r>
    <n v="5307"/>
    <s v="Other"/>
    <n v="49"/>
    <x v="5"/>
    <x v="3"/>
    <n v="280"/>
    <n v="51"/>
    <n v="0.37"/>
    <s v="Desktop"/>
    <n v="0"/>
    <n v="1"/>
    <n v="0"/>
    <n v="4.99"/>
    <n v="0"/>
  </r>
  <r>
    <n v="5308"/>
    <s v="Female"/>
    <n v="39"/>
    <x v="2"/>
    <x v="3"/>
    <n v="277"/>
    <n v="91"/>
    <n v="0.11"/>
    <s v="Desktop"/>
    <n v="0"/>
    <n v="1"/>
    <n v="0"/>
    <n v="4.99"/>
    <n v="0"/>
  </r>
  <r>
    <n v="5309"/>
    <s v="Other"/>
    <n v="32"/>
    <x v="2"/>
    <x v="2"/>
    <n v="296"/>
    <n v="1"/>
    <n v="0.02"/>
    <s v="Mobile"/>
    <n v="0"/>
    <n v="1"/>
    <n v="0"/>
    <n v="9.99"/>
    <n v="0"/>
  </r>
  <r>
    <n v="5310"/>
    <s v="Other"/>
    <n v="37"/>
    <x v="4"/>
    <x v="0"/>
    <n v="171"/>
    <n v="42"/>
    <n v="0.15"/>
    <s v="Desktop"/>
    <n v="32"/>
    <n v="0"/>
    <n v="0"/>
    <n v="0"/>
    <n v="0"/>
  </r>
  <r>
    <n v="5311"/>
    <s v="Male"/>
    <n v="28"/>
    <x v="4"/>
    <x v="2"/>
    <n v="270"/>
    <n v="5"/>
    <n v="0.09"/>
    <s v="Web"/>
    <n v="0"/>
    <n v="1"/>
    <n v="0"/>
    <n v="9.99"/>
    <n v="0"/>
  </r>
  <r>
    <n v="5312"/>
    <s v="Other"/>
    <n v="36"/>
    <x v="1"/>
    <x v="1"/>
    <n v="29"/>
    <n v="55"/>
    <n v="0.27"/>
    <s v="Mobile"/>
    <n v="0"/>
    <n v="1"/>
    <n v="0"/>
    <n v="14.99"/>
    <n v="0"/>
  </r>
  <r>
    <n v="5313"/>
    <s v="Other"/>
    <n v="42"/>
    <x v="3"/>
    <x v="0"/>
    <n v="65"/>
    <n v="87"/>
    <n v="0.24"/>
    <s v="Desktop"/>
    <n v="23"/>
    <n v="0"/>
    <n v="0"/>
    <n v="0"/>
    <n v="0"/>
  </r>
  <r>
    <n v="5314"/>
    <s v="Female"/>
    <n v="22"/>
    <x v="0"/>
    <x v="0"/>
    <n v="232"/>
    <n v="70"/>
    <n v="0.55000000000000004"/>
    <s v="Web"/>
    <n v="12"/>
    <n v="0"/>
    <n v="1"/>
    <n v="0"/>
    <n v="0"/>
  </r>
  <r>
    <n v="5315"/>
    <s v="Female"/>
    <n v="21"/>
    <x v="3"/>
    <x v="3"/>
    <n v="90"/>
    <n v="65"/>
    <n v="0.4"/>
    <s v="Web"/>
    <n v="0"/>
    <n v="1"/>
    <n v="0"/>
    <n v="4.99"/>
    <n v="0"/>
  </r>
  <r>
    <n v="5316"/>
    <s v="Female"/>
    <n v="54"/>
    <x v="7"/>
    <x v="2"/>
    <n v="182"/>
    <n v="78"/>
    <n v="0.25"/>
    <s v="Mobile"/>
    <n v="0"/>
    <n v="1"/>
    <n v="1"/>
    <n v="9.99"/>
    <n v="9.99"/>
  </r>
  <r>
    <n v="5317"/>
    <s v="Other"/>
    <n v="58"/>
    <x v="4"/>
    <x v="1"/>
    <n v="47"/>
    <n v="96"/>
    <n v="0.35"/>
    <s v="Mobile"/>
    <n v="0"/>
    <n v="1"/>
    <n v="1"/>
    <n v="14.99"/>
    <n v="14.99"/>
  </r>
  <r>
    <n v="5318"/>
    <s v="Female"/>
    <n v="25"/>
    <x v="6"/>
    <x v="0"/>
    <n v="107"/>
    <n v="83"/>
    <n v="0.13"/>
    <s v="Mobile"/>
    <n v="17"/>
    <n v="0"/>
    <n v="0"/>
    <n v="0"/>
    <n v="0"/>
  </r>
  <r>
    <n v="5319"/>
    <s v="Male"/>
    <n v="37"/>
    <x v="7"/>
    <x v="0"/>
    <n v="12"/>
    <n v="87"/>
    <n v="0.42"/>
    <s v="Desktop"/>
    <n v="30"/>
    <n v="0"/>
    <n v="0"/>
    <n v="0"/>
    <n v="0"/>
  </r>
  <r>
    <n v="5320"/>
    <s v="Female"/>
    <n v="33"/>
    <x v="2"/>
    <x v="1"/>
    <n v="204"/>
    <n v="96"/>
    <n v="0.5"/>
    <s v="Desktop"/>
    <n v="0"/>
    <n v="1"/>
    <n v="0"/>
    <n v="14.99"/>
    <n v="0"/>
  </r>
  <r>
    <n v="5321"/>
    <s v="Other"/>
    <n v="57"/>
    <x v="3"/>
    <x v="2"/>
    <n v="292"/>
    <n v="23"/>
    <n v="7.0000000000000007E-2"/>
    <s v="Desktop"/>
    <n v="0"/>
    <n v="1"/>
    <n v="0"/>
    <n v="9.99"/>
    <n v="0"/>
  </r>
  <r>
    <n v="5322"/>
    <s v="Female"/>
    <n v="44"/>
    <x v="1"/>
    <x v="1"/>
    <n v="213"/>
    <n v="56"/>
    <n v="0.06"/>
    <s v="Web"/>
    <n v="0"/>
    <n v="1"/>
    <n v="1"/>
    <n v="14.99"/>
    <n v="14.99"/>
  </r>
  <r>
    <n v="5323"/>
    <s v="Male"/>
    <n v="37"/>
    <x v="4"/>
    <x v="3"/>
    <n v="286"/>
    <n v="75"/>
    <n v="0.21"/>
    <s v="Web"/>
    <n v="0"/>
    <n v="1"/>
    <n v="0"/>
    <n v="4.99"/>
    <n v="0"/>
  </r>
  <r>
    <n v="5324"/>
    <s v="Female"/>
    <n v="46"/>
    <x v="7"/>
    <x v="1"/>
    <n v="116"/>
    <n v="49"/>
    <n v="0.45"/>
    <s v="Mobile"/>
    <n v="0"/>
    <n v="1"/>
    <n v="0"/>
    <n v="14.99"/>
    <n v="0"/>
  </r>
  <r>
    <n v="5325"/>
    <s v="Male"/>
    <n v="57"/>
    <x v="7"/>
    <x v="0"/>
    <n v="266"/>
    <n v="19"/>
    <n v="0.36"/>
    <s v="Web"/>
    <n v="35"/>
    <n v="0"/>
    <n v="0"/>
    <n v="0"/>
    <n v="0"/>
  </r>
  <r>
    <n v="5326"/>
    <s v="Female"/>
    <n v="42"/>
    <x v="1"/>
    <x v="0"/>
    <n v="74"/>
    <n v="96"/>
    <n v="0.42"/>
    <s v="Web"/>
    <n v="49"/>
    <n v="0"/>
    <n v="0"/>
    <n v="0"/>
    <n v="0"/>
  </r>
  <r>
    <n v="5327"/>
    <s v="Male"/>
    <n v="25"/>
    <x v="3"/>
    <x v="0"/>
    <n v="171"/>
    <n v="52"/>
    <n v="0.36"/>
    <s v="Web"/>
    <n v="11"/>
    <n v="0"/>
    <n v="0"/>
    <n v="0"/>
    <n v="0"/>
  </r>
  <r>
    <n v="5328"/>
    <s v="Other"/>
    <n v="36"/>
    <x v="2"/>
    <x v="0"/>
    <n v="164"/>
    <n v="66"/>
    <n v="0.1"/>
    <s v="Web"/>
    <n v="48"/>
    <n v="0"/>
    <n v="0"/>
    <n v="0"/>
    <n v="0"/>
  </r>
  <r>
    <n v="5329"/>
    <s v="Female"/>
    <n v="56"/>
    <x v="2"/>
    <x v="1"/>
    <n v="216"/>
    <n v="73"/>
    <n v="0.56000000000000005"/>
    <s v="Mobile"/>
    <n v="0"/>
    <n v="1"/>
    <n v="0"/>
    <n v="14.99"/>
    <n v="0"/>
  </r>
  <r>
    <n v="5330"/>
    <s v="Male"/>
    <n v="25"/>
    <x v="0"/>
    <x v="0"/>
    <n v="26"/>
    <n v="24"/>
    <n v="0.01"/>
    <s v="Mobile"/>
    <n v="42"/>
    <n v="0"/>
    <n v="0"/>
    <n v="0"/>
    <n v="0"/>
  </r>
  <r>
    <n v="5331"/>
    <s v="Female"/>
    <n v="42"/>
    <x v="0"/>
    <x v="2"/>
    <n v="129"/>
    <n v="77"/>
    <n v="0.55000000000000004"/>
    <s v="Desktop"/>
    <n v="0"/>
    <n v="1"/>
    <n v="1"/>
    <n v="9.99"/>
    <n v="9.99"/>
  </r>
  <r>
    <n v="5332"/>
    <s v="Male"/>
    <n v="36"/>
    <x v="0"/>
    <x v="1"/>
    <n v="94"/>
    <n v="99"/>
    <n v="0.32"/>
    <s v="Web"/>
    <n v="0"/>
    <n v="1"/>
    <n v="0"/>
    <n v="14.99"/>
    <n v="0"/>
  </r>
  <r>
    <n v="5333"/>
    <s v="Male"/>
    <n v="59"/>
    <x v="1"/>
    <x v="1"/>
    <n v="117"/>
    <n v="12"/>
    <n v="0.48"/>
    <s v="Mobile"/>
    <n v="0"/>
    <n v="1"/>
    <n v="0"/>
    <n v="14.99"/>
    <n v="0"/>
  </r>
  <r>
    <n v="5334"/>
    <s v="Female"/>
    <n v="46"/>
    <x v="4"/>
    <x v="0"/>
    <n v="298"/>
    <n v="18"/>
    <n v="0.27"/>
    <s v="Web"/>
    <n v="35"/>
    <n v="0"/>
    <n v="0"/>
    <n v="0"/>
    <n v="0"/>
  </r>
  <r>
    <n v="5335"/>
    <s v="Female"/>
    <n v="33"/>
    <x v="0"/>
    <x v="1"/>
    <n v="151"/>
    <n v="69"/>
    <n v="0.51"/>
    <s v="Desktop"/>
    <n v="0"/>
    <n v="1"/>
    <n v="0"/>
    <n v="14.99"/>
    <n v="0"/>
  </r>
  <r>
    <n v="5336"/>
    <s v="Female"/>
    <n v="53"/>
    <x v="3"/>
    <x v="2"/>
    <n v="111"/>
    <n v="65"/>
    <n v="0.28000000000000003"/>
    <s v="Desktop"/>
    <n v="0"/>
    <n v="1"/>
    <n v="0"/>
    <n v="9.99"/>
    <n v="0"/>
  </r>
  <r>
    <n v="5337"/>
    <s v="Male"/>
    <n v="58"/>
    <x v="0"/>
    <x v="2"/>
    <n v="135"/>
    <n v="34"/>
    <n v="0.22"/>
    <s v="Web"/>
    <n v="0"/>
    <n v="1"/>
    <n v="0"/>
    <n v="9.99"/>
    <n v="0"/>
  </r>
  <r>
    <n v="5338"/>
    <s v="Female"/>
    <n v="48"/>
    <x v="1"/>
    <x v="0"/>
    <n v="179"/>
    <n v="36"/>
    <n v="0.34"/>
    <s v="Web"/>
    <n v="32"/>
    <n v="0"/>
    <n v="0"/>
    <n v="0"/>
    <n v="0"/>
  </r>
  <r>
    <n v="5339"/>
    <s v="Other"/>
    <n v="44"/>
    <x v="3"/>
    <x v="2"/>
    <n v="142"/>
    <n v="51"/>
    <n v="0.09"/>
    <s v="Desktop"/>
    <n v="0"/>
    <n v="1"/>
    <n v="1"/>
    <n v="9.99"/>
    <n v="9.99"/>
  </r>
  <r>
    <n v="5340"/>
    <s v="Female"/>
    <n v="39"/>
    <x v="6"/>
    <x v="2"/>
    <n v="61"/>
    <n v="42"/>
    <n v="0.27"/>
    <s v="Mobile"/>
    <n v="0"/>
    <n v="1"/>
    <n v="1"/>
    <n v="9.99"/>
    <n v="9.99"/>
  </r>
  <r>
    <n v="5341"/>
    <s v="Male"/>
    <n v="57"/>
    <x v="3"/>
    <x v="1"/>
    <n v="123"/>
    <n v="62"/>
    <n v="0.04"/>
    <s v="Web"/>
    <n v="0"/>
    <n v="1"/>
    <n v="0"/>
    <n v="14.99"/>
    <n v="0"/>
  </r>
  <r>
    <n v="5342"/>
    <s v="Male"/>
    <n v="28"/>
    <x v="0"/>
    <x v="2"/>
    <n v="89"/>
    <n v="22"/>
    <n v="0.13"/>
    <s v="Web"/>
    <n v="0"/>
    <n v="1"/>
    <n v="0"/>
    <n v="9.99"/>
    <n v="0"/>
  </r>
  <r>
    <n v="5343"/>
    <s v="Female"/>
    <n v="33"/>
    <x v="2"/>
    <x v="2"/>
    <n v="56"/>
    <n v="87"/>
    <n v="0.44"/>
    <s v="Mobile"/>
    <n v="0"/>
    <n v="1"/>
    <n v="0"/>
    <n v="9.99"/>
    <n v="0"/>
  </r>
  <r>
    <n v="5344"/>
    <s v="Other"/>
    <n v="17"/>
    <x v="3"/>
    <x v="3"/>
    <n v="181"/>
    <n v="73"/>
    <n v="0.13"/>
    <s v="Desktop"/>
    <n v="0"/>
    <n v="1"/>
    <n v="0"/>
    <n v="4.99"/>
    <n v="0"/>
  </r>
  <r>
    <n v="5345"/>
    <s v="Male"/>
    <n v="49"/>
    <x v="5"/>
    <x v="0"/>
    <n v="170"/>
    <n v="2"/>
    <n v="0.17"/>
    <s v="Web"/>
    <n v="43"/>
    <n v="0"/>
    <n v="1"/>
    <n v="0"/>
    <n v="0"/>
  </r>
  <r>
    <n v="5346"/>
    <s v="Male"/>
    <n v="48"/>
    <x v="2"/>
    <x v="2"/>
    <n v="249"/>
    <n v="5"/>
    <n v="0.36"/>
    <s v="Desktop"/>
    <n v="0"/>
    <n v="1"/>
    <n v="0"/>
    <n v="9.99"/>
    <n v="0"/>
  </r>
  <r>
    <n v="5347"/>
    <s v="Female"/>
    <n v="27"/>
    <x v="2"/>
    <x v="1"/>
    <n v="246"/>
    <n v="60"/>
    <n v="0.14000000000000001"/>
    <s v="Web"/>
    <n v="0"/>
    <n v="1"/>
    <n v="0"/>
    <n v="14.99"/>
    <n v="0"/>
  </r>
  <r>
    <n v="5348"/>
    <s v="Other"/>
    <n v="38"/>
    <x v="0"/>
    <x v="2"/>
    <n v="226"/>
    <n v="61"/>
    <n v="0.17"/>
    <s v="Web"/>
    <n v="0"/>
    <n v="1"/>
    <n v="1"/>
    <n v="9.99"/>
    <n v="9.99"/>
  </r>
  <r>
    <n v="5349"/>
    <s v="Other"/>
    <n v="54"/>
    <x v="0"/>
    <x v="3"/>
    <n v="274"/>
    <n v="32"/>
    <n v="0.03"/>
    <s v="Web"/>
    <n v="0"/>
    <n v="1"/>
    <n v="0"/>
    <n v="4.99"/>
    <n v="0"/>
  </r>
  <r>
    <n v="5350"/>
    <s v="Male"/>
    <n v="44"/>
    <x v="4"/>
    <x v="2"/>
    <n v="293"/>
    <n v="95"/>
    <n v="0.45"/>
    <s v="Web"/>
    <n v="0"/>
    <n v="1"/>
    <n v="0"/>
    <n v="9.99"/>
    <n v="0"/>
  </r>
  <r>
    <n v="5351"/>
    <s v="Female"/>
    <n v="30"/>
    <x v="7"/>
    <x v="1"/>
    <n v="150"/>
    <n v="78"/>
    <n v="0.47"/>
    <s v="Mobile"/>
    <n v="0"/>
    <n v="1"/>
    <n v="0"/>
    <n v="14.99"/>
    <n v="0"/>
  </r>
  <r>
    <n v="5352"/>
    <s v="Female"/>
    <n v="52"/>
    <x v="7"/>
    <x v="3"/>
    <n v="44"/>
    <n v="43"/>
    <n v="0.03"/>
    <s v="Mobile"/>
    <n v="0"/>
    <n v="1"/>
    <n v="0"/>
    <n v="4.99"/>
    <n v="0"/>
  </r>
  <r>
    <n v="5353"/>
    <s v="Male"/>
    <n v="53"/>
    <x v="4"/>
    <x v="3"/>
    <n v="27"/>
    <n v="2"/>
    <n v="0.08"/>
    <s v="Desktop"/>
    <n v="0"/>
    <n v="1"/>
    <n v="0"/>
    <n v="4.99"/>
    <n v="0"/>
  </r>
  <r>
    <n v="5354"/>
    <s v="Male"/>
    <n v="17"/>
    <x v="0"/>
    <x v="0"/>
    <n v="233"/>
    <n v="93"/>
    <n v="0.3"/>
    <s v="Mobile"/>
    <n v="12"/>
    <n v="0"/>
    <n v="1"/>
    <n v="0"/>
    <n v="0"/>
  </r>
  <r>
    <n v="5355"/>
    <s v="Female"/>
    <n v="20"/>
    <x v="1"/>
    <x v="0"/>
    <n v="166"/>
    <n v="37"/>
    <n v="0.44"/>
    <s v="Web"/>
    <n v="20"/>
    <n v="0"/>
    <n v="0"/>
    <n v="0"/>
    <n v="0"/>
  </r>
  <r>
    <n v="5356"/>
    <s v="Female"/>
    <n v="27"/>
    <x v="5"/>
    <x v="2"/>
    <n v="63"/>
    <n v="4"/>
    <n v="0.01"/>
    <s v="Desktop"/>
    <n v="0"/>
    <n v="1"/>
    <n v="0"/>
    <n v="9.99"/>
    <n v="0"/>
  </r>
  <r>
    <n v="5357"/>
    <s v="Male"/>
    <n v="28"/>
    <x v="4"/>
    <x v="2"/>
    <n v="208"/>
    <n v="96"/>
    <n v="0.26"/>
    <s v="Web"/>
    <n v="0"/>
    <n v="1"/>
    <n v="0"/>
    <n v="9.99"/>
    <n v="0"/>
  </r>
  <r>
    <n v="5358"/>
    <s v="Female"/>
    <n v="35"/>
    <x v="6"/>
    <x v="1"/>
    <n v="276"/>
    <n v="25"/>
    <n v="0.49"/>
    <s v="Web"/>
    <n v="0"/>
    <n v="1"/>
    <n v="0"/>
    <n v="14.99"/>
    <n v="0"/>
  </r>
  <r>
    <n v="5359"/>
    <s v="Male"/>
    <n v="41"/>
    <x v="7"/>
    <x v="3"/>
    <n v="200"/>
    <n v="70"/>
    <n v="0.38"/>
    <s v="Mobile"/>
    <n v="0"/>
    <n v="1"/>
    <n v="1"/>
    <n v="4.99"/>
    <n v="4.99"/>
  </r>
  <r>
    <n v="5360"/>
    <s v="Female"/>
    <n v="51"/>
    <x v="6"/>
    <x v="2"/>
    <n v="143"/>
    <n v="6"/>
    <n v="0.34"/>
    <s v="Mobile"/>
    <n v="0"/>
    <n v="1"/>
    <n v="1"/>
    <n v="9.99"/>
    <n v="9.99"/>
  </r>
  <r>
    <n v="5361"/>
    <s v="Female"/>
    <n v="19"/>
    <x v="3"/>
    <x v="3"/>
    <n v="206"/>
    <n v="66"/>
    <n v="0.55000000000000004"/>
    <s v="Web"/>
    <n v="0"/>
    <n v="1"/>
    <n v="0"/>
    <n v="4.99"/>
    <n v="0"/>
  </r>
  <r>
    <n v="5362"/>
    <s v="Female"/>
    <n v="18"/>
    <x v="1"/>
    <x v="3"/>
    <n v="19"/>
    <n v="74"/>
    <n v="0.31"/>
    <s v="Desktop"/>
    <n v="0"/>
    <n v="1"/>
    <n v="0"/>
    <n v="4.99"/>
    <n v="0"/>
  </r>
  <r>
    <n v="5363"/>
    <s v="Female"/>
    <n v="51"/>
    <x v="4"/>
    <x v="0"/>
    <n v="230"/>
    <n v="72"/>
    <n v="0.05"/>
    <s v="Desktop"/>
    <n v="32"/>
    <n v="0"/>
    <n v="0"/>
    <n v="0"/>
    <n v="0"/>
  </r>
  <r>
    <n v="5364"/>
    <s v="Male"/>
    <n v="49"/>
    <x v="2"/>
    <x v="2"/>
    <n v="130"/>
    <n v="69"/>
    <n v="0.43"/>
    <s v="Web"/>
    <n v="0"/>
    <n v="1"/>
    <n v="0"/>
    <n v="9.99"/>
    <n v="0"/>
  </r>
  <r>
    <n v="5365"/>
    <s v="Other"/>
    <n v="46"/>
    <x v="7"/>
    <x v="0"/>
    <n v="239"/>
    <n v="64"/>
    <n v="0.56999999999999995"/>
    <s v="Web"/>
    <n v="40"/>
    <n v="0"/>
    <n v="0"/>
    <n v="0"/>
    <n v="0"/>
  </r>
  <r>
    <n v="5366"/>
    <s v="Male"/>
    <n v="31"/>
    <x v="0"/>
    <x v="2"/>
    <n v="104"/>
    <n v="69"/>
    <n v="0.4"/>
    <s v="Desktop"/>
    <n v="0"/>
    <n v="1"/>
    <n v="0"/>
    <n v="9.99"/>
    <n v="0"/>
  </r>
  <r>
    <n v="5367"/>
    <s v="Male"/>
    <n v="49"/>
    <x v="0"/>
    <x v="1"/>
    <n v="76"/>
    <n v="97"/>
    <n v="0.09"/>
    <s v="Desktop"/>
    <n v="0"/>
    <n v="1"/>
    <n v="0"/>
    <n v="14.99"/>
    <n v="0"/>
  </r>
  <r>
    <n v="5368"/>
    <s v="Other"/>
    <n v="47"/>
    <x v="6"/>
    <x v="3"/>
    <n v="191"/>
    <n v="44"/>
    <n v="0.53"/>
    <s v="Mobile"/>
    <n v="0"/>
    <n v="1"/>
    <n v="0"/>
    <n v="4.99"/>
    <n v="0"/>
  </r>
  <r>
    <n v="5369"/>
    <s v="Female"/>
    <n v="21"/>
    <x v="2"/>
    <x v="2"/>
    <n v="208"/>
    <n v="91"/>
    <n v="0.2"/>
    <s v="Desktop"/>
    <n v="0"/>
    <n v="1"/>
    <n v="1"/>
    <n v="9.99"/>
    <n v="9.99"/>
  </r>
  <r>
    <n v="5370"/>
    <s v="Other"/>
    <n v="20"/>
    <x v="5"/>
    <x v="3"/>
    <n v="111"/>
    <n v="55"/>
    <n v="0.3"/>
    <s v="Mobile"/>
    <n v="0"/>
    <n v="1"/>
    <n v="0"/>
    <n v="4.99"/>
    <n v="0"/>
  </r>
  <r>
    <n v="5371"/>
    <s v="Other"/>
    <n v="35"/>
    <x v="7"/>
    <x v="0"/>
    <n v="287"/>
    <n v="72"/>
    <n v="0.37"/>
    <s v="Mobile"/>
    <n v="26"/>
    <n v="0"/>
    <n v="0"/>
    <n v="0"/>
    <n v="0"/>
  </r>
  <r>
    <n v="5372"/>
    <s v="Other"/>
    <n v="37"/>
    <x v="3"/>
    <x v="1"/>
    <n v="38"/>
    <n v="32"/>
    <n v="0.04"/>
    <s v="Desktop"/>
    <n v="0"/>
    <n v="1"/>
    <n v="1"/>
    <n v="14.99"/>
    <n v="14.99"/>
  </r>
  <r>
    <n v="5373"/>
    <s v="Male"/>
    <n v="45"/>
    <x v="0"/>
    <x v="3"/>
    <n v="160"/>
    <n v="98"/>
    <n v="0.31"/>
    <s v="Desktop"/>
    <n v="0"/>
    <n v="1"/>
    <n v="0"/>
    <n v="4.99"/>
    <n v="0"/>
  </r>
  <r>
    <n v="5374"/>
    <s v="Other"/>
    <n v="49"/>
    <x v="3"/>
    <x v="1"/>
    <n v="150"/>
    <n v="85"/>
    <n v="0.04"/>
    <s v="Web"/>
    <n v="0"/>
    <n v="1"/>
    <n v="0"/>
    <n v="14.99"/>
    <n v="0"/>
  </r>
  <r>
    <n v="5375"/>
    <s v="Female"/>
    <n v="50"/>
    <x v="4"/>
    <x v="3"/>
    <n v="286"/>
    <n v="10"/>
    <n v="0.57999999999999996"/>
    <s v="Mobile"/>
    <n v="0"/>
    <n v="1"/>
    <n v="0"/>
    <n v="4.99"/>
    <n v="0"/>
  </r>
  <r>
    <n v="5376"/>
    <s v="Male"/>
    <n v="39"/>
    <x v="4"/>
    <x v="2"/>
    <n v="216"/>
    <n v="74"/>
    <n v="0.3"/>
    <s v="Mobile"/>
    <n v="0"/>
    <n v="1"/>
    <n v="0"/>
    <n v="9.99"/>
    <n v="0"/>
  </r>
  <r>
    <n v="5377"/>
    <s v="Female"/>
    <n v="20"/>
    <x v="7"/>
    <x v="2"/>
    <n v="80"/>
    <n v="67"/>
    <n v="0.31"/>
    <s v="Desktop"/>
    <n v="0"/>
    <n v="1"/>
    <n v="0"/>
    <n v="9.99"/>
    <n v="0"/>
  </r>
  <r>
    <n v="5378"/>
    <s v="Male"/>
    <n v="50"/>
    <x v="1"/>
    <x v="2"/>
    <n v="38"/>
    <n v="19"/>
    <n v="0.42"/>
    <s v="Mobile"/>
    <n v="0"/>
    <n v="1"/>
    <n v="0"/>
    <n v="9.99"/>
    <n v="0"/>
  </r>
  <r>
    <n v="5379"/>
    <s v="Female"/>
    <n v="39"/>
    <x v="3"/>
    <x v="0"/>
    <n v="184"/>
    <n v="77"/>
    <n v="0.21"/>
    <s v="Mobile"/>
    <n v="7"/>
    <n v="0"/>
    <n v="0"/>
    <n v="0"/>
    <n v="0"/>
  </r>
  <r>
    <n v="5380"/>
    <s v="Male"/>
    <n v="35"/>
    <x v="7"/>
    <x v="1"/>
    <n v="70"/>
    <n v="23"/>
    <n v="0.28000000000000003"/>
    <s v="Web"/>
    <n v="0"/>
    <n v="1"/>
    <n v="0"/>
    <n v="14.99"/>
    <n v="0"/>
  </r>
  <r>
    <n v="5381"/>
    <s v="Female"/>
    <n v="40"/>
    <x v="4"/>
    <x v="1"/>
    <n v="267"/>
    <n v="17"/>
    <n v="0.14000000000000001"/>
    <s v="Web"/>
    <n v="0"/>
    <n v="1"/>
    <n v="0"/>
    <n v="14.99"/>
    <n v="0"/>
  </r>
  <r>
    <n v="5382"/>
    <s v="Other"/>
    <n v="19"/>
    <x v="3"/>
    <x v="1"/>
    <n v="256"/>
    <n v="59"/>
    <n v="0.41"/>
    <s v="Web"/>
    <n v="0"/>
    <n v="1"/>
    <n v="0"/>
    <n v="14.99"/>
    <n v="0"/>
  </r>
  <r>
    <n v="5383"/>
    <s v="Female"/>
    <n v="52"/>
    <x v="5"/>
    <x v="3"/>
    <n v="166"/>
    <n v="91"/>
    <n v="0.04"/>
    <s v="Mobile"/>
    <n v="0"/>
    <n v="1"/>
    <n v="0"/>
    <n v="4.99"/>
    <n v="0"/>
  </r>
  <r>
    <n v="5384"/>
    <s v="Male"/>
    <n v="29"/>
    <x v="6"/>
    <x v="2"/>
    <n v="49"/>
    <n v="12"/>
    <n v="0.34"/>
    <s v="Web"/>
    <n v="0"/>
    <n v="1"/>
    <n v="0"/>
    <n v="9.99"/>
    <n v="0"/>
  </r>
  <r>
    <n v="5385"/>
    <s v="Female"/>
    <n v="22"/>
    <x v="4"/>
    <x v="3"/>
    <n v="166"/>
    <n v="97"/>
    <n v="0.54"/>
    <s v="Web"/>
    <n v="0"/>
    <n v="1"/>
    <n v="0"/>
    <n v="4.99"/>
    <n v="0"/>
  </r>
  <r>
    <n v="5386"/>
    <s v="Other"/>
    <n v="45"/>
    <x v="4"/>
    <x v="0"/>
    <n v="131"/>
    <n v="78"/>
    <n v="0.13"/>
    <s v="Desktop"/>
    <n v="39"/>
    <n v="0"/>
    <n v="1"/>
    <n v="0"/>
    <n v="0"/>
  </r>
  <r>
    <n v="5387"/>
    <s v="Other"/>
    <n v="55"/>
    <x v="5"/>
    <x v="0"/>
    <n v="190"/>
    <n v="68"/>
    <n v="0.13"/>
    <s v="Mobile"/>
    <n v="31"/>
    <n v="0"/>
    <n v="1"/>
    <n v="0"/>
    <n v="0"/>
  </r>
  <r>
    <n v="5388"/>
    <s v="Female"/>
    <n v="30"/>
    <x v="1"/>
    <x v="1"/>
    <n v="211"/>
    <n v="57"/>
    <n v="0.15"/>
    <s v="Web"/>
    <n v="0"/>
    <n v="1"/>
    <n v="0"/>
    <n v="14.99"/>
    <n v="0"/>
  </r>
  <r>
    <n v="5389"/>
    <s v="Male"/>
    <n v="55"/>
    <x v="2"/>
    <x v="0"/>
    <n v="248"/>
    <n v="54"/>
    <n v="0.48"/>
    <s v="Desktop"/>
    <n v="7"/>
    <n v="0"/>
    <n v="0"/>
    <n v="0"/>
    <n v="0"/>
  </r>
  <r>
    <n v="5390"/>
    <s v="Other"/>
    <n v="54"/>
    <x v="5"/>
    <x v="2"/>
    <n v="206"/>
    <n v="21"/>
    <n v="0.56000000000000005"/>
    <s v="Desktop"/>
    <n v="0"/>
    <n v="1"/>
    <n v="0"/>
    <n v="9.99"/>
    <n v="0"/>
  </r>
  <r>
    <n v="5391"/>
    <s v="Other"/>
    <n v="42"/>
    <x v="2"/>
    <x v="3"/>
    <n v="293"/>
    <n v="9"/>
    <n v="0.35"/>
    <s v="Desktop"/>
    <n v="0"/>
    <n v="1"/>
    <n v="0"/>
    <n v="4.99"/>
    <n v="0"/>
  </r>
  <r>
    <n v="5392"/>
    <s v="Female"/>
    <n v="42"/>
    <x v="1"/>
    <x v="3"/>
    <n v="15"/>
    <n v="27"/>
    <n v="0.14000000000000001"/>
    <s v="Mobile"/>
    <n v="0"/>
    <n v="1"/>
    <n v="1"/>
    <n v="4.99"/>
    <n v="4.99"/>
  </r>
  <r>
    <n v="5393"/>
    <s v="Other"/>
    <n v="50"/>
    <x v="6"/>
    <x v="2"/>
    <n v="115"/>
    <n v="68"/>
    <n v="0.19"/>
    <s v="Mobile"/>
    <n v="0"/>
    <n v="1"/>
    <n v="0"/>
    <n v="9.99"/>
    <n v="0"/>
  </r>
  <r>
    <n v="5394"/>
    <s v="Male"/>
    <n v="48"/>
    <x v="2"/>
    <x v="1"/>
    <n v="189"/>
    <n v="5"/>
    <n v="0.54"/>
    <s v="Desktop"/>
    <n v="0"/>
    <n v="1"/>
    <n v="1"/>
    <n v="14.99"/>
    <n v="14.99"/>
  </r>
  <r>
    <n v="5395"/>
    <s v="Male"/>
    <n v="56"/>
    <x v="4"/>
    <x v="3"/>
    <n v="117"/>
    <n v="82"/>
    <n v="0.22"/>
    <s v="Web"/>
    <n v="0"/>
    <n v="1"/>
    <n v="0"/>
    <n v="4.99"/>
    <n v="0"/>
  </r>
  <r>
    <n v="5396"/>
    <s v="Male"/>
    <n v="32"/>
    <x v="1"/>
    <x v="0"/>
    <n v="72"/>
    <n v="57"/>
    <n v="0.52"/>
    <s v="Web"/>
    <n v="25"/>
    <n v="0"/>
    <n v="0"/>
    <n v="0"/>
    <n v="0"/>
  </r>
  <r>
    <n v="5397"/>
    <s v="Female"/>
    <n v="43"/>
    <x v="4"/>
    <x v="2"/>
    <n v="180"/>
    <n v="15"/>
    <n v="0.13"/>
    <s v="Desktop"/>
    <n v="0"/>
    <n v="1"/>
    <n v="1"/>
    <n v="9.99"/>
    <n v="9.99"/>
  </r>
  <r>
    <n v="5398"/>
    <s v="Female"/>
    <n v="57"/>
    <x v="4"/>
    <x v="1"/>
    <n v="294"/>
    <n v="9"/>
    <n v="0.37"/>
    <s v="Mobile"/>
    <n v="0"/>
    <n v="1"/>
    <n v="0"/>
    <n v="14.99"/>
    <n v="0"/>
  </r>
  <r>
    <n v="5399"/>
    <s v="Female"/>
    <n v="23"/>
    <x v="7"/>
    <x v="3"/>
    <n v="177"/>
    <n v="47"/>
    <n v="0.41"/>
    <s v="Desktop"/>
    <n v="0"/>
    <n v="1"/>
    <n v="1"/>
    <n v="4.99"/>
    <n v="4.99"/>
  </r>
  <r>
    <n v="5400"/>
    <s v="Male"/>
    <n v="49"/>
    <x v="0"/>
    <x v="2"/>
    <n v="85"/>
    <n v="25"/>
    <n v="0.14000000000000001"/>
    <s v="Web"/>
    <n v="0"/>
    <n v="1"/>
    <n v="1"/>
    <n v="9.99"/>
    <n v="9.99"/>
  </r>
  <r>
    <n v="5401"/>
    <s v="Male"/>
    <n v="44"/>
    <x v="6"/>
    <x v="3"/>
    <n v="269"/>
    <n v="51"/>
    <n v="0.47"/>
    <s v="Desktop"/>
    <n v="0"/>
    <n v="1"/>
    <n v="1"/>
    <n v="4.99"/>
    <n v="4.99"/>
  </r>
  <r>
    <n v="5402"/>
    <s v="Female"/>
    <n v="16"/>
    <x v="7"/>
    <x v="3"/>
    <n v="27"/>
    <n v="19"/>
    <n v="0.03"/>
    <s v="Desktop"/>
    <n v="0"/>
    <n v="1"/>
    <n v="1"/>
    <n v="4.99"/>
    <n v="4.99"/>
  </r>
  <r>
    <n v="5403"/>
    <s v="Female"/>
    <n v="27"/>
    <x v="5"/>
    <x v="3"/>
    <n v="38"/>
    <n v="38"/>
    <n v="0.38"/>
    <s v="Desktop"/>
    <n v="0"/>
    <n v="1"/>
    <n v="0"/>
    <n v="4.99"/>
    <n v="0"/>
  </r>
  <r>
    <n v="5404"/>
    <s v="Female"/>
    <n v="37"/>
    <x v="2"/>
    <x v="0"/>
    <n v="216"/>
    <n v="57"/>
    <n v="0.12"/>
    <s v="Mobile"/>
    <n v="44"/>
    <n v="0"/>
    <n v="1"/>
    <n v="0"/>
    <n v="0"/>
  </r>
  <r>
    <n v="5405"/>
    <s v="Other"/>
    <n v="46"/>
    <x v="5"/>
    <x v="1"/>
    <n v="202"/>
    <n v="84"/>
    <n v="0.48"/>
    <s v="Desktop"/>
    <n v="0"/>
    <n v="1"/>
    <n v="1"/>
    <n v="14.99"/>
    <n v="14.99"/>
  </r>
  <r>
    <n v="5406"/>
    <s v="Other"/>
    <n v="45"/>
    <x v="0"/>
    <x v="3"/>
    <n v="103"/>
    <n v="82"/>
    <n v="0.25"/>
    <s v="Desktop"/>
    <n v="0"/>
    <n v="1"/>
    <n v="0"/>
    <n v="4.99"/>
    <n v="0"/>
  </r>
  <r>
    <n v="5407"/>
    <s v="Male"/>
    <n v="19"/>
    <x v="5"/>
    <x v="3"/>
    <n v="85"/>
    <n v="98"/>
    <n v="0.23"/>
    <s v="Mobile"/>
    <n v="0"/>
    <n v="1"/>
    <n v="0"/>
    <n v="4.99"/>
    <n v="0"/>
  </r>
  <r>
    <n v="5408"/>
    <s v="Female"/>
    <n v="19"/>
    <x v="7"/>
    <x v="2"/>
    <n v="283"/>
    <n v="3"/>
    <n v="0.49"/>
    <s v="Desktop"/>
    <n v="0"/>
    <n v="1"/>
    <n v="0"/>
    <n v="9.99"/>
    <n v="0"/>
  </r>
  <r>
    <n v="5409"/>
    <s v="Other"/>
    <n v="44"/>
    <x v="5"/>
    <x v="3"/>
    <n v="203"/>
    <n v="69"/>
    <n v="0.2"/>
    <s v="Mobile"/>
    <n v="0"/>
    <n v="1"/>
    <n v="0"/>
    <n v="4.99"/>
    <n v="0"/>
  </r>
  <r>
    <n v="5410"/>
    <s v="Other"/>
    <n v="27"/>
    <x v="3"/>
    <x v="2"/>
    <n v="77"/>
    <n v="5"/>
    <n v="0.49"/>
    <s v="Web"/>
    <n v="0"/>
    <n v="1"/>
    <n v="0"/>
    <n v="9.99"/>
    <n v="0"/>
  </r>
  <r>
    <n v="5411"/>
    <s v="Other"/>
    <n v="37"/>
    <x v="2"/>
    <x v="0"/>
    <n v="100"/>
    <n v="99"/>
    <n v="0.15"/>
    <s v="Mobile"/>
    <n v="26"/>
    <n v="0"/>
    <n v="0"/>
    <n v="0"/>
    <n v="0"/>
  </r>
  <r>
    <n v="5412"/>
    <s v="Male"/>
    <n v="16"/>
    <x v="2"/>
    <x v="1"/>
    <n v="113"/>
    <n v="43"/>
    <n v="0.37"/>
    <s v="Desktop"/>
    <n v="0"/>
    <n v="1"/>
    <n v="0"/>
    <n v="14.99"/>
    <n v="0"/>
  </r>
  <r>
    <n v="5413"/>
    <s v="Other"/>
    <n v="48"/>
    <x v="1"/>
    <x v="2"/>
    <n v="175"/>
    <n v="23"/>
    <n v="0.59"/>
    <s v="Web"/>
    <n v="0"/>
    <n v="1"/>
    <n v="1"/>
    <n v="9.99"/>
    <n v="9.99"/>
  </r>
  <r>
    <n v="5414"/>
    <s v="Female"/>
    <n v="44"/>
    <x v="2"/>
    <x v="2"/>
    <n v="90"/>
    <n v="47"/>
    <n v="0.59"/>
    <s v="Mobile"/>
    <n v="0"/>
    <n v="1"/>
    <n v="0"/>
    <n v="9.99"/>
    <n v="0"/>
  </r>
  <r>
    <n v="5415"/>
    <s v="Male"/>
    <n v="56"/>
    <x v="1"/>
    <x v="1"/>
    <n v="47"/>
    <n v="49"/>
    <n v="0.54"/>
    <s v="Desktop"/>
    <n v="0"/>
    <n v="1"/>
    <n v="0"/>
    <n v="14.99"/>
    <n v="0"/>
  </r>
  <r>
    <n v="5416"/>
    <s v="Female"/>
    <n v="44"/>
    <x v="1"/>
    <x v="0"/>
    <n v="94"/>
    <n v="13"/>
    <n v="0.23"/>
    <s v="Web"/>
    <n v="47"/>
    <n v="0"/>
    <n v="0"/>
    <n v="0"/>
    <n v="0"/>
  </r>
  <r>
    <n v="5417"/>
    <s v="Male"/>
    <n v="22"/>
    <x v="2"/>
    <x v="1"/>
    <n v="11"/>
    <n v="89"/>
    <n v="0.52"/>
    <s v="Desktop"/>
    <n v="0"/>
    <n v="1"/>
    <n v="0"/>
    <n v="14.99"/>
    <n v="0"/>
  </r>
  <r>
    <n v="5418"/>
    <s v="Male"/>
    <n v="18"/>
    <x v="7"/>
    <x v="0"/>
    <n v="299"/>
    <n v="3"/>
    <n v="0.23"/>
    <s v="Web"/>
    <n v="48"/>
    <n v="0"/>
    <n v="0"/>
    <n v="0"/>
    <n v="0"/>
  </r>
  <r>
    <n v="5419"/>
    <s v="Male"/>
    <n v="57"/>
    <x v="5"/>
    <x v="0"/>
    <n v="191"/>
    <n v="28"/>
    <n v="0.12"/>
    <s v="Mobile"/>
    <n v="11"/>
    <n v="0"/>
    <n v="0"/>
    <n v="0"/>
    <n v="0"/>
  </r>
  <r>
    <n v="5420"/>
    <s v="Male"/>
    <n v="48"/>
    <x v="5"/>
    <x v="1"/>
    <n v="250"/>
    <n v="40"/>
    <n v="0.13"/>
    <s v="Desktop"/>
    <n v="0"/>
    <n v="1"/>
    <n v="0"/>
    <n v="14.99"/>
    <n v="0"/>
  </r>
  <r>
    <n v="5421"/>
    <s v="Male"/>
    <n v="33"/>
    <x v="0"/>
    <x v="2"/>
    <n v="298"/>
    <n v="34"/>
    <n v="0.15"/>
    <s v="Desktop"/>
    <n v="0"/>
    <n v="1"/>
    <n v="0"/>
    <n v="9.99"/>
    <n v="0"/>
  </r>
  <r>
    <n v="5422"/>
    <s v="Female"/>
    <n v="29"/>
    <x v="4"/>
    <x v="3"/>
    <n v="286"/>
    <n v="83"/>
    <n v="0.5"/>
    <s v="Web"/>
    <n v="0"/>
    <n v="1"/>
    <n v="0"/>
    <n v="4.99"/>
    <n v="0"/>
  </r>
  <r>
    <n v="5423"/>
    <s v="Female"/>
    <n v="42"/>
    <x v="7"/>
    <x v="2"/>
    <n v="58"/>
    <n v="55"/>
    <n v="0.33"/>
    <s v="Mobile"/>
    <n v="0"/>
    <n v="1"/>
    <n v="0"/>
    <n v="9.99"/>
    <n v="0"/>
  </r>
  <r>
    <n v="5424"/>
    <s v="Female"/>
    <n v="16"/>
    <x v="6"/>
    <x v="0"/>
    <n v="172"/>
    <n v="66"/>
    <n v="0.54"/>
    <s v="Mobile"/>
    <n v="5"/>
    <n v="0"/>
    <n v="0"/>
    <n v="0"/>
    <n v="0"/>
  </r>
  <r>
    <n v="5425"/>
    <s v="Male"/>
    <n v="26"/>
    <x v="3"/>
    <x v="0"/>
    <n v="14"/>
    <n v="16"/>
    <n v="0.34"/>
    <s v="Desktop"/>
    <n v="18"/>
    <n v="0"/>
    <n v="0"/>
    <n v="0"/>
    <n v="0"/>
  </r>
  <r>
    <n v="5426"/>
    <s v="Male"/>
    <n v="16"/>
    <x v="7"/>
    <x v="0"/>
    <n v="93"/>
    <n v="58"/>
    <n v="0.45"/>
    <s v="Mobile"/>
    <n v="26"/>
    <n v="0"/>
    <n v="0"/>
    <n v="0"/>
    <n v="0"/>
  </r>
  <r>
    <n v="5427"/>
    <s v="Male"/>
    <n v="57"/>
    <x v="1"/>
    <x v="3"/>
    <n v="175"/>
    <n v="96"/>
    <n v="0.03"/>
    <s v="Mobile"/>
    <n v="0"/>
    <n v="1"/>
    <n v="0"/>
    <n v="4.99"/>
    <n v="0"/>
  </r>
  <r>
    <n v="5428"/>
    <s v="Other"/>
    <n v="57"/>
    <x v="6"/>
    <x v="0"/>
    <n v="272"/>
    <n v="65"/>
    <n v="0.17"/>
    <s v="Desktop"/>
    <n v="42"/>
    <n v="0"/>
    <n v="0"/>
    <n v="0"/>
    <n v="0"/>
  </r>
  <r>
    <n v="5429"/>
    <s v="Male"/>
    <n v="33"/>
    <x v="0"/>
    <x v="2"/>
    <n v="242"/>
    <n v="99"/>
    <n v="0.03"/>
    <s v="Mobile"/>
    <n v="0"/>
    <n v="1"/>
    <n v="1"/>
    <n v="9.99"/>
    <n v="9.99"/>
  </r>
  <r>
    <n v="5430"/>
    <s v="Male"/>
    <n v="23"/>
    <x v="2"/>
    <x v="0"/>
    <n v="40"/>
    <n v="24"/>
    <n v="0.28000000000000003"/>
    <s v="Web"/>
    <n v="23"/>
    <n v="0"/>
    <n v="0"/>
    <n v="0"/>
    <n v="0"/>
  </r>
  <r>
    <n v="5431"/>
    <s v="Male"/>
    <n v="37"/>
    <x v="5"/>
    <x v="0"/>
    <n v="273"/>
    <n v="15"/>
    <n v="0.45"/>
    <s v="Mobile"/>
    <n v="12"/>
    <n v="0"/>
    <n v="0"/>
    <n v="0"/>
    <n v="0"/>
  </r>
  <r>
    <n v="5432"/>
    <s v="Other"/>
    <n v="46"/>
    <x v="4"/>
    <x v="2"/>
    <n v="280"/>
    <n v="76"/>
    <n v="0.03"/>
    <s v="Web"/>
    <n v="0"/>
    <n v="1"/>
    <n v="0"/>
    <n v="9.99"/>
    <n v="0"/>
  </r>
  <r>
    <n v="5433"/>
    <s v="Female"/>
    <n v="16"/>
    <x v="1"/>
    <x v="0"/>
    <n v="30"/>
    <n v="40"/>
    <n v="0.32"/>
    <s v="Mobile"/>
    <n v="37"/>
    <n v="0"/>
    <n v="0"/>
    <n v="0"/>
    <n v="0"/>
  </r>
  <r>
    <n v="5434"/>
    <s v="Female"/>
    <n v="28"/>
    <x v="1"/>
    <x v="3"/>
    <n v="215"/>
    <n v="29"/>
    <n v="0.02"/>
    <s v="Mobile"/>
    <n v="0"/>
    <n v="1"/>
    <n v="0"/>
    <n v="4.99"/>
    <n v="0"/>
  </r>
  <r>
    <n v="5435"/>
    <s v="Male"/>
    <n v="25"/>
    <x v="4"/>
    <x v="0"/>
    <n v="231"/>
    <n v="2"/>
    <n v="0.59"/>
    <s v="Desktop"/>
    <n v="49"/>
    <n v="0"/>
    <n v="0"/>
    <n v="0"/>
    <n v="0"/>
  </r>
  <r>
    <n v="5436"/>
    <s v="Other"/>
    <n v="21"/>
    <x v="0"/>
    <x v="3"/>
    <n v="26"/>
    <n v="17"/>
    <n v="0.12"/>
    <s v="Desktop"/>
    <n v="0"/>
    <n v="1"/>
    <n v="0"/>
    <n v="4.99"/>
    <n v="0"/>
  </r>
  <r>
    <n v="5437"/>
    <s v="Male"/>
    <n v="22"/>
    <x v="6"/>
    <x v="0"/>
    <n v="55"/>
    <n v="45"/>
    <n v="0.1"/>
    <s v="Desktop"/>
    <n v="38"/>
    <n v="0"/>
    <n v="0"/>
    <n v="0"/>
    <n v="0"/>
  </r>
  <r>
    <n v="5438"/>
    <s v="Other"/>
    <n v="33"/>
    <x v="6"/>
    <x v="3"/>
    <n v="171"/>
    <n v="13"/>
    <n v="0.49"/>
    <s v="Mobile"/>
    <n v="0"/>
    <n v="1"/>
    <n v="0"/>
    <n v="4.99"/>
    <n v="0"/>
  </r>
  <r>
    <n v="5439"/>
    <s v="Male"/>
    <n v="41"/>
    <x v="4"/>
    <x v="3"/>
    <n v="90"/>
    <n v="7"/>
    <n v="0.45"/>
    <s v="Desktop"/>
    <n v="0"/>
    <n v="1"/>
    <n v="0"/>
    <n v="4.99"/>
    <n v="0"/>
  </r>
  <r>
    <n v="5440"/>
    <s v="Female"/>
    <n v="20"/>
    <x v="7"/>
    <x v="1"/>
    <n v="39"/>
    <n v="94"/>
    <n v="0.53"/>
    <s v="Mobile"/>
    <n v="0"/>
    <n v="1"/>
    <n v="0"/>
    <n v="14.99"/>
    <n v="0"/>
  </r>
  <r>
    <n v="5441"/>
    <s v="Female"/>
    <n v="17"/>
    <x v="6"/>
    <x v="0"/>
    <n v="256"/>
    <n v="61"/>
    <n v="0.39"/>
    <s v="Web"/>
    <n v="19"/>
    <n v="0"/>
    <n v="0"/>
    <n v="0"/>
    <n v="0"/>
  </r>
  <r>
    <n v="5442"/>
    <s v="Other"/>
    <n v="50"/>
    <x v="2"/>
    <x v="0"/>
    <n v="33"/>
    <n v="88"/>
    <n v="0.11"/>
    <s v="Desktop"/>
    <n v="24"/>
    <n v="0"/>
    <n v="0"/>
    <n v="0"/>
    <n v="0"/>
  </r>
  <r>
    <n v="5443"/>
    <s v="Other"/>
    <n v="37"/>
    <x v="1"/>
    <x v="2"/>
    <n v="281"/>
    <n v="16"/>
    <n v="0.33"/>
    <s v="Mobile"/>
    <n v="0"/>
    <n v="1"/>
    <n v="0"/>
    <n v="9.99"/>
    <n v="0"/>
  </r>
  <r>
    <n v="5444"/>
    <s v="Other"/>
    <n v="49"/>
    <x v="3"/>
    <x v="0"/>
    <n v="57"/>
    <n v="82"/>
    <n v="0.18"/>
    <s v="Desktop"/>
    <n v="30"/>
    <n v="0"/>
    <n v="0"/>
    <n v="0"/>
    <n v="0"/>
  </r>
  <r>
    <n v="5445"/>
    <s v="Other"/>
    <n v="16"/>
    <x v="2"/>
    <x v="2"/>
    <n v="41"/>
    <n v="4"/>
    <n v="0.45"/>
    <s v="Desktop"/>
    <n v="0"/>
    <n v="1"/>
    <n v="0"/>
    <n v="9.99"/>
    <n v="0"/>
  </r>
  <r>
    <n v="5446"/>
    <s v="Male"/>
    <n v="48"/>
    <x v="5"/>
    <x v="0"/>
    <n v="58"/>
    <n v="14"/>
    <n v="0.32"/>
    <s v="Desktop"/>
    <n v="20"/>
    <n v="0"/>
    <n v="0"/>
    <n v="0"/>
    <n v="0"/>
  </r>
  <r>
    <n v="5447"/>
    <s v="Other"/>
    <n v="50"/>
    <x v="0"/>
    <x v="1"/>
    <n v="132"/>
    <n v="14"/>
    <n v="0.5"/>
    <s v="Web"/>
    <n v="0"/>
    <n v="1"/>
    <n v="1"/>
    <n v="14.99"/>
    <n v="14.99"/>
  </r>
  <r>
    <n v="5448"/>
    <s v="Other"/>
    <n v="18"/>
    <x v="6"/>
    <x v="3"/>
    <n v="169"/>
    <n v="45"/>
    <n v="0.04"/>
    <s v="Mobile"/>
    <n v="0"/>
    <n v="1"/>
    <n v="0"/>
    <n v="4.99"/>
    <n v="0"/>
  </r>
  <r>
    <n v="5449"/>
    <s v="Female"/>
    <n v="53"/>
    <x v="4"/>
    <x v="3"/>
    <n v="258"/>
    <n v="73"/>
    <n v="0.19"/>
    <s v="Web"/>
    <n v="0"/>
    <n v="1"/>
    <n v="0"/>
    <n v="4.99"/>
    <n v="0"/>
  </r>
  <r>
    <n v="5450"/>
    <s v="Other"/>
    <n v="17"/>
    <x v="0"/>
    <x v="3"/>
    <n v="197"/>
    <n v="26"/>
    <n v="0.48"/>
    <s v="Mobile"/>
    <n v="0"/>
    <n v="1"/>
    <n v="1"/>
    <n v="4.99"/>
    <n v="4.99"/>
  </r>
  <r>
    <n v="5451"/>
    <s v="Male"/>
    <n v="52"/>
    <x v="6"/>
    <x v="1"/>
    <n v="173"/>
    <n v="19"/>
    <n v="0.25"/>
    <s v="Desktop"/>
    <n v="0"/>
    <n v="1"/>
    <n v="0"/>
    <n v="14.99"/>
    <n v="0"/>
  </r>
  <r>
    <n v="5452"/>
    <s v="Female"/>
    <n v="48"/>
    <x v="4"/>
    <x v="3"/>
    <n v="63"/>
    <n v="19"/>
    <n v="0.56999999999999995"/>
    <s v="Desktop"/>
    <n v="0"/>
    <n v="1"/>
    <n v="0"/>
    <n v="4.99"/>
    <n v="0"/>
  </r>
  <r>
    <n v="5453"/>
    <s v="Other"/>
    <n v="53"/>
    <x v="3"/>
    <x v="2"/>
    <n v="44"/>
    <n v="78"/>
    <n v="0.16"/>
    <s v="Desktop"/>
    <n v="0"/>
    <n v="1"/>
    <n v="0"/>
    <n v="9.99"/>
    <n v="0"/>
  </r>
  <r>
    <n v="5454"/>
    <s v="Male"/>
    <n v="37"/>
    <x v="4"/>
    <x v="2"/>
    <n v="257"/>
    <n v="63"/>
    <n v="0.09"/>
    <s v="Desktop"/>
    <n v="0"/>
    <n v="1"/>
    <n v="0"/>
    <n v="9.99"/>
    <n v="0"/>
  </r>
  <r>
    <n v="5455"/>
    <s v="Other"/>
    <n v="55"/>
    <x v="5"/>
    <x v="0"/>
    <n v="79"/>
    <n v="26"/>
    <n v="0.08"/>
    <s v="Web"/>
    <n v="9"/>
    <n v="0"/>
    <n v="1"/>
    <n v="0"/>
    <n v="0"/>
  </r>
  <r>
    <n v="5456"/>
    <s v="Female"/>
    <n v="44"/>
    <x v="3"/>
    <x v="1"/>
    <n v="189"/>
    <n v="1"/>
    <n v="0.42"/>
    <s v="Desktop"/>
    <n v="0"/>
    <n v="1"/>
    <n v="1"/>
    <n v="14.99"/>
    <n v="14.99"/>
  </r>
  <r>
    <n v="5457"/>
    <s v="Other"/>
    <n v="42"/>
    <x v="5"/>
    <x v="0"/>
    <n v="166"/>
    <n v="8"/>
    <n v="0.44"/>
    <s v="Web"/>
    <n v="34"/>
    <n v="0"/>
    <n v="0"/>
    <n v="0"/>
    <n v="0"/>
  </r>
  <r>
    <n v="5458"/>
    <s v="Female"/>
    <n v="21"/>
    <x v="1"/>
    <x v="2"/>
    <n v="142"/>
    <n v="80"/>
    <n v="0.01"/>
    <s v="Web"/>
    <n v="0"/>
    <n v="1"/>
    <n v="0"/>
    <n v="9.99"/>
    <n v="0"/>
  </r>
  <r>
    <n v="5459"/>
    <s v="Female"/>
    <n v="50"/>
    <x v="6"/>
    <x v="2"/>
    <n v="200"/>
    <n v="73"/>
    <n v="0.43"/>
    <s v="Web"/>
    <n v="0"/>
    <n v="1"/>
    <n v="0"/>
    <n v="9.99"/>
    <n v="0"/>
  </r>
  <r>
    <n v="5460"/>
    <s v="Male"/>
    <n v="28"/>
    <x v="3"/>
    <x v="2"/>
    <n v="39"/>
    <n v="83"/>
    <n v="0.5"/>
    <s v="Mobile"/>
    <n v="0"/>
    <n v="1"/>
    <n v="0"/>
    <n v="9.99"/>
    <n v="0"/>
  </r>
  <r>
    <n v="5461"/>
    <s v="Male"/>
    <n v="33"/>
    <x v="4"/>
    <x v="0"/>
    <n v="51"/>
    <n v="67"/>
    <n v="0.41"/>
    <s v="Web"/>
    <n v="36"/>
    <n v="0"/>
    <n v="0"/>
    <n v="0"/>
    <n v="0"/>
  </r>
  <r>
    <n v="5462"/>
    <s v="Male"/>
    <n v="44"/>
    <x v="6"/>
    <x v="2"/>
    <n v="278"/>
    <n v="37"/>
    <n v="0.52"/>
    <s v="Web"/>
    <n v="0"/>
    <n v="1"/>
    <n v="0"/>
    <n v="9.99"/>
    <n v="0"/>
  </r>
  <r>
    <n v="5463"/>
    <s v="Other"/>
    <n v="41"/>
    <x v="7"/>
    <x v="2"/>
    <n v="166"/>
    <n v="18"/>
    <n v="0.01"/>
    <s v="Web"/>
    <n v="0"/>
    <n v="1"/>
    <n v="0"/>
    <n v="9.99"/>
    <n v="0"/>
  </r>
  <r>
    <n v="5464"/>
    <s v="Other"/>
    <n v="21"/>
    <x v="6"/>
    <x v="2"/>
    <n v="282"/>
    <n v="51"/>
    <n v="0.05"/>
    <s v="Mobile"/>
    <n v="0"/>
    <n v="1"/>
    <n v="0"/>
    <n v="9.99"/>
    <n v="0"/>
  </r>
  <r>
    <n v="5465"/>
    <s v="Other"/>
    <n v="28"/>
    <x v="6"/>
    <x v="0"/>
    <n v="179"/>
    <n v="62"/>
    <n v="0.37"/>
    <s v="Web"/>
    <n v="46"/>
    <n v="0"/>
    <n v="0"/>
    <n v="0"/>
    <n v="0"/>
  </r>
  <r>
    <n v="5466"/>
    <s v="Female"/>
    <n v="56"/>
    <x v="5"/>
    <x v="2"/>
    <n v="208"/>
    <n v="54"/>
    <n v="0.46"/>
    <s v="Web"/>
    <n v="0"/>
    <n v="1"/>
    <n v="1"/>
    <n v="9.99"/>
    <n v="9.99"/>
  </r>
  <r>
    <n v="5467"/>
    <s v="Other"/>
    <n v="40"/>
    <x v="3"/>
    <x v="3"/>
    <n v="63"/>
    <n v="54"/>
    <n v="0.31"/>
    <s v="Mobile"/>
    <n v="0"/>
    <n v="1"/>
    <n v="0"/>
    <n v="4.99"/>
    <n v="0"/>
  </r>
  <r>
    <n v="5468"/>
    <s v="Other"/>
    <n v="24"/>
    <x v="2"/>
    <x v="2"/>
    <n v="163"/>
    <n v="55"/>
    <n v="0.2"/>
    <s v="Desktop"/>
    <n v="0"/>
    <n v="1"/>
    <n v="0"/>
    <n v="9.99"/>
    <n v="0"/>
  </r>
  <r>
    <n v="5469"/>
    <s v="Other"/>
    <n v="22"/>
    <x v="2"/>
    <x v="0"/>
    <n v="111"/>
    <n v="80"/>
    <n v="0.14000000000000001"/>
    <s v="Mobile"/>
    <n v="16"/>
    <n v="0"/>
    <n v="0"/>
    <n v="0"/>
    <n v="0"/>
  </r>
  <r>
    <n v="5470"/>
    <s v="Female"/>
    <n v="26"/>
    <x v="4"/>
    <x v="0"/>
    <n v="60"/>
    <n v="12"/>
    <n v="0.5"/>
    <s v="Desktop"/>
    <n v="22"/>
    <n v="0"/>
    <n v="0"/>
    <n v="0"/>
    <n v="0"/>
  </r>
  <r>
    <n v="5471"/>
    <s v="Male"/>
    <n v="18"/>
    <x v="4"/>
    <x v="3"/>
    <n v="183"/>
    <n v="74"/>
    <n v="0.27"/>
    <s v="Web"/>
    <n v="0"/>
    <n v="1"/>
    <n v="0"/>
    <n v="4.99"/>
    <n v="0"/>
  </r>
  <r>
    <n v="5472"/>
    <s v="Male"/>
    <n v="54"/>
    <x v="2"/>
    <x v="3"/>
    <n v="175"/>
    <n v="6"/>
    <n v="0.54"/>
    <s v="Mobile"/>
    <n v="0"/>
    <n v="1"/>
    <n v="1"/>
    <n v="4.99"/>
    <n v="4.99"/>
  </r>
  <r>
    <n v="5473"/>
    <s v="Other"/>
    <n v="27"/>
    <x v="7"/>
    <x v="2"/>
    <n v="197"/>
    <n v="29"/>
    <n v="0.21"/>
    <s v="Desktop"/>
    <n v="0"/>
    <n v="1"/>
    <n v="0"/>
    <n v="9.99"/>
    <n v="0"/>
  </r>
  <r>
    <n v="5474"/>
    <s v="Other"/>
    <n v="46"/>
    <x v="4"/>
    <x v="3"/>
    <n v="283"/>
    <n v="61"/>
    <n v="0.19"/>
    <s v="Desktop"/>
    <n v="0"/>
    <n v="1"/>
    <n v="0"/>
    <n v="4.99"/>
    <n v="0"/>
  </r>
  <r>
    <n v="5475"/>
    <s v="Male"/>
    <n v="21"/>
    <x v="7"/>
    <x v="2"/>
    <n v="58"/>
    <n v="37"/>
    <n v="7.0000000000000007E-2"/>
    <s v="Desktop"/>
    <n v="0"/>
    <n v="1"/>
    <n v="0"/>
    <n v="9.99"/>
    <n v="0"/>
  </r>
  <r>
    <n v="5476"/>
    <s v="Male"/>
    <n v="31"/>
    <x v="2"/>
    <x v="2"/>
    <n v="190"/>
    <n v="66"/>
    <n v="0.13"/>
    <s v="Desktop"/>
    <n v="0"/>
    <n v="1"/>
    <n v="1"/>
    <n v="9.99"/>
    <n v="9.99"/>
  </r>
  <r>
    <n v="5477"/>
    <s v="Other"/>
    <n v="31"/>
    <x v="4"/>
    <x v="2"/>
    <n v="64"/>
    <n v="25"/>
    <n v="0.11"/>
    <s v="Web"/>
    <n v="0"/>
    <n v="1"/>
    <n v="0"/>
    <n v="9.99"/>
    <n v="0"/>
  </r>
  <r>
    <n v="5478"/>
    <s v="Male"/>
    <n v="53"/>
    <x v="1"/>
    <x v="3"/>
    <n v="29"/>
    <n v="57"/>
    <n v="0.21"/>
    <s v="Desktop"/>
    <n v="0"/>
    <n v="1"/>
    <n v="0"/>
    <n v="4.99"/>
    <n v="0"/>
  </r>
  <r>
    <n v="5479"/>
    <s v="Male"/>
    <n v="33"/>
    <x v="3"/>
    <x v="3"/>
    <n v="241"/>
    <n v="29"/>
    <n v="0.2"/>
    <s v="Desktop"/>
    <n v="0"/>
    <n v="1"/>
    <n v="1"/>
    <n v="4.99"/>
    <n v="4.99"/>
  </r>
  <r>
    <n v="5480"/>
    <s v="Male"/>
    <n v="52"/>
    <x v="5"/>
    <x v="3"/>
    <n v="40"/>
    <n v="84"/>
    <n v="0.08"/>
    <s v="Desktop"/>
    <n v="0"/>
    <n v="1"/>
    <n v="0"/>
    <n v="4.99"/>
    <n v="0"/>
  </r>
  <r>
    <n v="5481"/>
    <s v="Female"/>
    <n v="18"/>
    <x v="1"/>
    <x v="1"/>
    <n v="154"/>
    <n v="71"/>
    <n v="0.24"/>
    <s v="Desktop"/>
    <n v="0"/>
    <n v="1"/>
    <n v="0"/>
    <n v="14.99"/>
    <n v="0"/>
  </r>
  <r>
    <n v="5482"/>
    <s v="Male"/>
    <n v="33"/>
    <x v="2"/>
    <x v="2"/>
    <n v="105"/>
    <n v="67"/>
    <n v="0.56999999999999995"/>
    <s v="Mobile"/>
    <n v="0"/>
    <n v="1"/>
    <n v="1"/>
    <n v="9.99"/>
    <n v="9.99"/>
  </r>
  <r>
    <n v="5483"/>
    <s v="Male"/>
    <n v="55"/>
    <x v="2"/>
    <x v="0"/>
    <n v="197"/>
    <n v="12"/>
    <n v="0.37"/>
    <s v="Web"/>
    <n v="19"/>
    <n v="0"/>
    <n v="0"/>
    <n v="0"/>
    <n v="0"/>
  </r>
  <r>
    <n v="5484"/>
    <s v="Female"/>
    <n v="48"/>
    <x v="0"/>
    <x v="3"/>
    <n v="123"/>
    <n v="60"/>
    <n v="0.11"/>
    <s v="Desktop"/>
    <n v="0"/>
    <n v="1"/>
    <n v="1"/>
    <n v="4.99"/>
    <n v="4.99"/>
  </r>
  <r>
    <n v="5485"/>
    <s v="Female"/>
    <n v="19"/>
    <x v="2"/>
    <x v="3"/>
    <n v="169"/>
    <n v="43"/>
    <n v="7.0000000000000007E-2"/>
    <s v="Desktop"/>
    <n v="0"/>
    <n v="1"/>
    <n v="0"/>
    <n v="4.99"/>
    <n v="0"/>
  </r>
  <r>
    <n v="5486"/>
    <s v="Male"/>
    <n v="58"/>
    <x v="6"/>
    <x v="3"/>
    <n v="298"/>
    <n v="85"/>
    <n v="0.35"/>
    <s v="Desktop"/>
    <n v="0"/>
    <n v="1"/>
    <n v="0"/>
    <n v="4.99"/>
    <n v="0"/>
  </r>
  <r>
    <n v="5487"/>
    <s v="Male"/>
    <n v="32"/>
    <x v="7"/>
    <x v="3"/>
    <n v="96"/>
    <n v="35"/>
    <n v="0.03"/>
    <s v="Mobile"/>
    <n v="0"/>
    <n v="1"/>
    <n v="1"/>
    <n v="4.99"/>
    <n v="4.99"/>
  </r>
  <r>
    <n v="5488"/>
    <s v="Male"/>
    <n v="53"/>
    <x v="3"/>
    <x v="3"/>
    <n v="292"/>
    <n v="72"/>
    <n v="0.28999999999999998"/>
    <s v="Desktop"/>
    <n v="0"/>
    <n v="1"/>
    <n v="1"/>
    <n v="4.99"/>
    <n v="4.99"/>
  </r>
  <r>
    <n v="5489"/>
    <s v="Male"/>
    <n v="51"/>
    <x v="5"/>
    <x v="0"/>
    <n v="159"/>
    <n v="73"/>
    <n v="0.47"/>
    <s v="Desktop"/>
    <n v="6"/>
    <n v="0"/>
    <n v="0"/>
    <n v="0"/>
    <n v="0"/>
  </r>
  <r>
    <n v="5490"/>
    <s v="Other"/>
    <n v="52"/>
    <x v="3"/>
    <x v="0"/>
    <n v="29"/>
    <n v="23"/>
    <n v="0.11"/>
    <s v="Web"/>
    <n v="30"/>
    <n v="0"/>
    <n v="0"/>
    <n v="0"/>
    <n v="0"/>
  </r>
  <r>
    <n v="5491"/>
    <s v="Female"/>
    <n v="51"/>
    <x v="2"/>
    <x v="2"/>
    <n v="143"/>
    <n v="7"/>
    <n v="0.31"/>
    <s v="Desktop"/>
    <n v="0"/>
    <n v="1"/>
    <n v="1"/>
    <n v="9.99"/>
    <n v="9.99"/>
  </r>
  <r>
    <n v="5492"/>
    <s v="Other"/>
    <n v="17"/>
    <x v="7"/>
    <x v="3"/>
    <n v="154"/>
    <n v="37"/>
    <n v="0.03"/>
    <s v="Desktop"/>
    <n v="0"/>
    <n v="1"/>
    <n v="0"/>
    <n v="4.99"/>
    <n v="0"/>
  </r>
  <r>
    <n v="5493"/>
    <s v="Other"/>
    <n v="50"/>
    <x v="1"/>
    <x v="2"/>
    <n v="107"/>
    <n v="76"/>
    <n v="0.02"/>
    <s v="Desktop"/>
    <n v="0"/>
    <n v="1"/>
    <n v="1"/>
    <n v="9.99"/>
    <n v="9.99"/>
  </r>
  <r>
    <n v="5494"/>
    <s v="Other"/>
    <n v="41"/>
    <x v="4"/>
    <x v="0"/>
    <n v="86"/>
    <n v="19"/>
    <n v="0.26"/>
    <s v="Mobile"/>
    <n v="9"/>
    <n v="0"/>
    <n v="0"/>
    <n v="0"/>
    <n v="0"/>
  </r>
  <r>
    <n v="5495"/>
    <s v="Male"/>
    <n v="29"/>
    <x v="3"/>
    <x v="3"/>
    <n v="52"/>
    <n v="23"/>
    <n v="0.27"/>
    <s v="Desktop"/>
    <n v="0"/>
    <n v="1"/>
    <n v="0"/>
    <n v="4.99"/>
    <n v="0"/>
  </r>
  <r>
    <n v="5496"/>
    <s v="Male"/>
    <n v="40"/>
    <x v="7"/>
    <x v="1"/>
    <n v="83"/>
    <n v="68"/>
    <n v="0.39"/>
    <s v="Web"/>
    <n v="0"/>
    <n v="1"/>
    <n v="1"/>
    <n v="14.99"/>
    <n v="14.99"/>
  </r>
  <r>
    <n v="5497"/>
    <s v="Female"/>
    <n v="18"/>
    <x v="2"/>
    <x v="3"/>
    <n v="247"/>
    <n v="26"/>
    <n v="0.4"/>
    <s v="Mobile"/>
    <n v="0"/>
    <n v="1"/>
    <n v="1"/>
    <n v="4.99"/>
    <n v="4.99"/>
  </r>
  <r>
    <n v="5498"/>
    <s v="Male"/>
    <n v="48"/>
    <x v="5"/>
    <x v="0"/>
    <n v="89"/>
    <n v="90"/>
    <n v="0.34"/>
    <s v="Desktop"/>
    <n v="22"/>
    <n v="0"/>
    <n v="1"/>
    <n v="0"/>
    <n v="0"/>
  </r>
  <r>
    <n v="5499"/>
    <s v="Female"/>
    <n v="29"/>
    <x v="1"/>
    <x v="3"/>
    <n v="290"/>
    <n v="28"/>
    <n v="0.39"/>
    <s v="Desktop"/>
    <n v="0"/>
    <n v="1"/>
    <n v="1"/>
    <n v="4.99"/>
    <n v="4.99"/>
  </r>
  <r>
    <n v="5500"/>
    <s v="Female"/>
    <n v="30"/>
    <x v="3"/>
    <x v="0"/>
    <n v="251"/>
    <n v="54"/>
    <n v="0.2"/>
    <s v="Desktop"/>
    <n v="37"/>
    <n v="0"/>
    <n v="0"/>
    <n v="0"/>
    <n v="0"/>
  </r>
  <r>
    <n v="5501"/>
    <s v="Other"/>
    <n v="37"/>
    <x v="7"/>
    <x v="1"/>
    <n v="242"/>
    <n v="36"/>
    <n v="0.13"/>
    <s v="Web"/>
    <n v="0"/>
    <n v="1"/>
    <n v="0"/>
    <n v="14.99"/>
    <n v="0"/>
  </r>
  <r>
    <n v="5502"/>
    <s v="Other"/>
    <n v="59"/>
    <x v="7"/>
    <x v="3"/>
    <n v="152"/>
    <n v="80"/>
    <n v="7.0000000000000007E-2"/>
    <s v="Web"/>
    <n v="0"/>
    <n v="1"/>
    <n v="1"/>
    <n v="4.99"/>
    <n v="4.99"/>
  </r>
  <r>
    <n v="5503"/>
    <s v="Male"/>
    <n v="48"/>
    <x v="2"/>
    <x v="1"/>
    <n v="260"/>
    <n v="41"/>
    <n v="0.45"/>
    <s v="Desktop"/>
    <n v="0"/>
    <n v="1"/>
    <n v="1"/>
    <n v="14.99"/>
    <n v="14.99"/>
  </r>
  <r>
    <n v="5504"/>
    <s v="Male"/>
    <n v="56"/>
    <x v="7"/>
    <x v="0"/>
    <n v="263"/>
    <n v="52"/>
    <n v="0.3"/>
    <s v="Web"/>
    <n v="41"/>
    <n v="0"/>
    <n v="0"/>
    <n v="0"/>
    <n v="0"/>
  </r>
  <r>
    <n v="5505"/>
    <s v="Male"/>
    <n v="45"/>
    <x v="4"/>
    <x v="1"/>
    <n v="37"/>
    <n v="92"/>
    <n v="0.47"/>
    <s v="Web"/>
    <n v="0"/>
    <n v="1"/>
    <n v="0"/>
    <n v="14.99"/>
    <n v="0"/>
  </r>
  <r>
    <n v="5506"/>
    <s v="Male"/>
    <n v="36"/>
    <x v="0"/>
    <x v="1"/>
    <n v="27"/>
    <n v="89"/>
    <n v="0.51"/>
    <s v="Desktop"/>
    <n v="0"/>
    <n v="1"/>
    <n v="0"/>
    <n v="14.99"/>
    <n v="0"/>
  </r>
  <r>
    <n v="5507"/>
    <s v="Other"/>
    <n v="44"/>
    <x v="7"/>
    <x v="0"/>
    <n v="198"/>
    <n v="41"/>
    <n v="0.53"/>
    <s v="Web"/>
    <n v="43"/>
    <n v="0"/>
    <n v="0"/>
    <n v="0"/>
    <n v="0"/>
  </r>
  <r>
    <n v="5508"/>
    <s v="Female"/>
    <n v="58"/>
    <x v="7"/>
    <x v="2"/>
    <n v="269"/>
    <n v="92"/>
    <n v="0.59"/>
    <s v="Web"/>
    <n v="0"/>
    <n v="1"/>
    <n v="0"/>
    <n v="9.99"/>
    <n v="0"/>
  </r>
  <r>
    <n v="5509"/>
    <s v="Male"/>
    <n v="25"/>
    <x v="2"/>
    <x v="1"/>
    <n v="30"/>
    <n v="74"/>
    <n v="0.26"/>
    <s v="Desktop"/>
    <n v="0"/>
    <n v="1"/>
    <n v="1"/>
    <n v="14.99"/>
    <n v="14.99"/>
  </r>
  <r>
    <n v="5510"/>
    <s v="Male"/>
    <n v="47"/>
    <x v="3"/>
    <x v="3"/>
    <n v="112"/>
    <n v="73"/>
    <n v="0.11"/>
    <s v="Web"/>
    <n v="0"/>
    <n v="1"/>
    <n v="0"/>
    <n v="4.99"/>
    <n v="0"/>
  </r>
  <r>
    <n v="5511"/>
    <s v="Female"/>
    <n v="25"/>
    <x v="0"/>
    <x v="3"/>
    <n v="128"/>
    <n v="77"/>
    <n v="0.03"/>
    <s v="Web"/>
    <n v="0"/>
    <n v="1"/>
    <n v="1"/>
    <n v="4.99"/>
    <n v="4.99"/>
  </r>
  <r>
    <n v="5512"/>
    <s v="Female"/>
    <n v="26"/>
    <x v="1"/>
    <x v="3"/>
    <n v="185"/>
    <n v="76"/>
    <n v="0.3"/>
    <s v="Mobile"/>
    <n v="0"/>
    <n v="1"/>
    <n v="0"/>
    <n v="4.99"/>
    <n v="0"/>
  </r>
  <r>
    <n v="5513"/>
    <s v="Female"/>
    <n v="59"/>
    <x v="1"/>
    <x v="2"/>
    <n v="296"/>
    <n v="16"/>
    <n v="0.54"/>
    <s v="Mobile"/>
    <n v="0"/>
    <n v="1"/>
    <n v="0"/>
    <n v="9.99"/>
    <n v="0"/>
  </r>
  <r>
    <n v="5514"/>
    <s v="Other"/>
    <n v="41"/>
    <x v="5"/>
    <x v="2"/>
    <n v="65"/>
    <n v="92"/>
    <n v="0.21"/>
    <s v="Mobile"/>
    <n v="0"/>
    <n v="1"/>
    <n v="0"/>
    <n v="9.99"/>
    <n v="0"/>
  </r>
  <r>
    <n v="5515"/>
    <s v="Other"/>
    <n v="39"/>
    <x v="5"/>
    <x v="0"/>
    <n v="91"/>
    <n v="44"/>
    <n v="0.08"/>
    <s v="Web"/>
    <n v="43"/>
    <n v="0"/>
    <n v="0"/>
    <n v="0"/>
    <n v="0"/>
  </r>
  <r>
    <n v="5516"/>
    <s v="Other"/>
    <n v="42"/>
    <x v="7"/>
    <x v="2"/>
    <n v="95"/>
    <n v="77"/>
    <n v="0.44"/>
    <s v="Desktop"/>
    <n v="0"/>
    <n v="1"/>
    <n v="0"/>
    <n v="9.99"/>
    <n v="0"/>
  </r>
  <r>
    <n v="5517"/>
    <s v="Other"/>
    <n v="37"/>
    <x v="0"/>
    <x v="2"/>
    <n v="43"/>
    <n v="54"/>
    <n v="0.39"/>
    <s v="Desktop"/>
    <n v="0"/>
    <n v="1"/>
    <n v="0"/>
    <n v="9.99"/>
    <n v="0"/>
  </r>
  <r>
    <n v="5518"/>
    <s v="Other"/>
    <n v="27"/>
    <x v="0"/>
    <x v="1"/>
    <n v="232"/>
    <n v="65"/>
    <n v="0.44"/>
    <s v="Mobile"/>
    <n v="0"/>
    <n v="1"/>
    <n v="0"/>
    <n v="14.99"/>
    <n v="0"/>
  </r>
  <r>
    <n v="5519"/>
    <s v="Other"/>
    <n v="44"/>
    <x v="3"/>
    <x v="0"/>
    <n v="57"/>
    <n v="63"/>
    <n v="0.52"/>
    <s v="Web"/>
    <n v="27"/>
    <n v="0"/>
    <n v="0"/>
    <n v="0"/>
    <n v="0"/>
  </r>
  <r>
    <n v="5520"/>
    <s v="Male"/>
    <n v="38"/>
    <x v="4"/>
    <x v="1"/>
    <n v="130"/>
    <n v="4"/>
    <n v="0.52"/>
    <s v="Mobile"/>
    <n v="0"/>
    <n v="1"/>
    <n v="1"/>
    <n v="14.99"/>
    <n v="14.99"/>
  </r>
  <r>
    <n v="5521"/>
    <s v="Male"/>
    <n v="57"/>
    <x v="5"/>
    <x v="2"/>
    <n v="225"/>
    <n v="9"/>
    <n v="0.03"/>
    <s v="Mobile"/>
    <n v="0"/>
    <n v="1"/>
    <n v="1"/>
    <n v="9.99"/>
    <n v="9.99"/>
  </r>
  <r>
    <n v="5522"/>
    <s v="Female"/>
    <n v="47"/>
    <x v="0"/>
    <x v="2"/>
    <n v="180"/>
    <n v="62"/>
    <n v="0.24"/>
    <s v="Mobile"/>
    <n v="0"/>
    <n v="1"/>
    <n v="0"/>
    <n v="9.99"/>
    <n v="0"/>
  </r>
  <r>
    <n v="5523"/>
    <s v="Female"/>
    <n v="31"/>
    <x v="3"/>
    <x v="3"/>
    <n v="275"/>
    <n v="61"/>
    <n v="0.34"/>
    <s v="Desktop"/>
    <n v="0"/>
    <n v="1"/>
    <n v="0"/>
    <n v="4.99"/>
    <n v="0"/>
  </r>
  <r>
    <n v="5524"/>
    <s v="Female"/>
    <n v="38"/>
    <x v="5"/>
    <x v="0"/>
    <n v="262"/>
    <n v="39"/>
    <n v="0.34"/>
    <s v="Web"/>
    <n v="43"/>
    <n v="0"/>
    <n v="0"/>
    <n v="0"/>
    <n v="0"/>
  </r>
  <r>
    <n v="5525"/>
    <s v="Male"/>
    <n v="55"/>
    <x v="3"/>
    <x v="1"/>
    <n v="39"/>
    <n v="25"/>
    <n v="0.21"/>
    <s v="Desktop"/>
    <n v="0"/>
    <n v="1"/>
    <n v="0"/>
    <n v="14.99"/>
    <n v="0"/>
  </r>
  <r>
    <n v="5526"/>
    <s v="Male"/>
    <n v="24"/>
    <x v="7"/>
    <x v="3"/>
    <n v="191"/>
    <n v="54"/>
    <n v="0.57999999999999996"/>
    <s v="Desktop"/>
    <n v="0"/>
    <n v="1"/>
    <n v="0"/>
    <n v="4.99"/>
    <n v="0"/>
  </r>
  <r>
    <n v="5527"/>
    <s v="Other"/>
    <n v="57"/>
    <x v="1"/>
    <x v="0"/>
    <n v="58"/>
    <n v="41"/>
    <n v="0"/>
    <s v="Mobile"/>
    <n v="27"/>
    <n v="0"/>
    <n v="0"/>
    <n v="0"/>
    <n v="0"/>
  </r>
  <r>
    <n v="5528"/>
    <s v="Male"/>
    <n v="21"/>
    <x v="3"/>
    <x v="1"/>
    <n v="283"/>
    <n v="45"/>
    <n v="0.42"/>
    <s v="Web"/>
    <n v="0"/>
    <n v="1"/>
    <n v="0"/>
    <n v="14.99"/>
    <n v="0"/>
  </r>
  <r>
    <n v="5529"/>
    <s v="Other"/>
    <n v="46"/>
    <x v="3"/>
    <x v="2"/>
    <n v="24"/>
    <n v="1"/>
    <n v="0.34"/>
    <s v="Desktop"/>
    <n v="0"/>
    <n v="1"/>
    <n v="1"/>
    <n v="9.99"/>
    <n v="9.99"/>
  </r>
  <r>
    <n v="5530"/>
    <s v="Male"/>
    <n v="58"/>
    <x v="5"/>
    <x v="1"/>
    <n v="130"/>
    <n v="80"/>
    <n v="0.17"/>
    <s v="Desktop"/>
    <n v="0"/>
    <n v="1"/>
    <n v="0"/>
    <n v="14.99"/>
    <n v="0"/>
  </r>
  <r>
    <n v="5531"/>
    <s v="Other"/>
    <n v="28"/>
    <x v="5"/>
    <x v="0"/>
    <n v="119"/>
    <n v="9"/>
    <n v="0.5"/>
    <s v="Mobile"/>
    <n v="25"/>
    <n v="0"/>
    <n v="1"/>
    <n v="0"/>
    <n v="0"/>
  </r>
  <r>
    <n v="5532"/>
    <s v="Other"/>
    <n v="20"/>
    <x v="4"/>
    <x v="1"/>
    <n v="38"/>
    <n v="11"/>
    <n v="0.47"/>
    <s v="Web"/>
    <n v="0"/>
    <n v="1"/>
    <n v="0"/>
    <n v="14.99"/>
    <n v="0"/>
  </r>
  <r>
    <n v="5533"/>
    <s v="Male"/>
    <n v="26"/>
    <x v="1"/>
    <x v="3"/>
    <n v="292"/>
    <n v="13"/>
    <n v="0.26"/>
    <s v="Web"/>
    <n v="0"/>
    <n v="1"/>
    <n v="0"/>
    <n v="4.99"/>
    <n v="0"/>
  </r>
  <r>
    <n v="5534"/>
    <s v="Other"/>
    <n v="23"/>
    <x v="6"/>
    <x v="1"/>
    <n v="173"/>
    <n v="83"/>
    <n v="0.24"/>
    <s v="Desktop"/>
    <n v="0"/>
    <n v="1"/>
    <n v="1"/>
    <n v="14.99"/>
    <n v="14.99"/>
  </r>
  <r>
    <n v="5535"/>
    <s v="Male"/>
    <n v="21"/>
    <x v="0"/>
    <x v="1"/>
    <n v="120"/>
    <n v="70"/>
    <n v="0.08"/>
    <s v="Desktop"/>
    <n v="0"/>
    <n v="1"/>
    <n v="0"/>
    <n v="14.99"/>
    <n v="0"/>
  </r>
  <r>
    <n v="5536"/>
    <s v="Female"/>
    <n v="36"/>
    <x v="0"/>
    <x v="0"/>
    <n v="236"/>
    <n v="41"/>
    <n v="0.46"/>
    <s v="Desktop"/>
    <n v="32"/>
    <n v="0"/>
    <n v="1"/>
    <n v="0"/>
    <n v="0"/>
  </r>
  <r>
    <n v="5537"/>
    <s v="Other"/>
    <n v="37"/>
    <x v="3"/>
    <x v="2"/>
    <n v="18"/>
    <n v="18"/>
    <n v="0.16"/>
    <s v="Web"/>
    <n v="0"/>
    <n v="1"/>
    <n v="0"/>
    <n v="9.99"/>
    <n v="0"/>
  </r>
  <r>
    <n v="5538"/>
    <s v="Other"/>
    <n v="28"/>
    <x v="2"/>
    <x v="0"/>
    <n v="62"/>
    <n v="61"/>
    <n v="0.5"/>
    <s v="Mobile"/>
    <n v="45"/>
    <n v="0"/>
    <n v="0"/>
    <n v="0"/>
    <n v="0"/>
  </r>
  <r>
    <n v="5539"/>
    <s v="Other"/>
    <n v="50"/>
    <x v="3"/>
    <x v="0"/>
    <n v="231"/>
    <n v="86"/>
    <n v="0.57999999999999996"/>
    <s v="Mobile"/>
    <n v="35"/>
    <n v="0"/>
    <n v="0"/>
    <n v="0"/>
    <n v="0"/>
  </r>
  <r>
    <n v="5540"/>
    <s v="Female"/>
    <n v="52"/>
    <x v="2"/>
    <x v="0"/>
    <n v="79"/>
    <n v="24"/>
    <n v="0.13"/>
    <s v="Web"/>
    <n v="32"/>
    <n v="0"/>
    <n v="0"/>
    <n v="0"/>
    <n v="0"/>
  </r>
  <r>
    <n v="5541"/>
    <s v="Other"/>
    <n v="43"/>
    <x v="0"/>
    <x v="3"/>
    <n v="146"/>
    <n v="83"/>
    <n v="0.59"/>
    <s v="Web"/>
    <n v="0"/>
    <n v="1"/>
    <n v="0"/>
    <n v="4.99"/>
    <n v="0"/>
  </r>
  <r>
    <n v="5542"/>
    <s v="Female"/>
    <n v="54"/>
    <x v="4"/>
    <x v="2"/>
    <n v="36"/>
    <n v="68"/>
    <n v="0.35"/>
    <s v="Mobile"/>
    <n v="0"/>
    <n v="1"/>
    <n v="1"/>
    <n v="9.99"/>
    <n v="9.99"/>
  </r>
  <r>
    <n v="5543"/>
    <s v="Male"/>
    <n v="47"/>
    <x v="6"/>
    <x v="2"/>
    <n v="195"/>
    <n v="53"/>
    <n v="0.37"/>
    <s v="Desktop"/>
    <n v="0"/>
    <n v="1"/>
    <n v="1"/>
    <n v="9.99"/>
    <n v="9.99"/>
  </r>
  <r>
    <n v="5544"/>
    <s v="Male"/>
    <n v="17"/>
    <x v="7"/>
    <x v="2"/>
    <n v="115"/>
    <n v="80"/>
    <n v="0.1"/>
    <s v="Web"/>
    <n v="0"/>
    <n v="1"/>
    <n v="0"/>
    <n v="9.99"/>
    <n v="0"/>
  </r>
  <r>
    <n v="5545"/>
    <s v="Male"/>
    <n v="18"/>
    <x v="2"/>
    <x v="0"/>
    <n v="109"/>
    <n v="20"/>
    <n v="0.04"/>
    <s v="Web"/>
    <n v="26"/>
    <n v="0"/>
    <n v="1"/>
    <n v="0"/>
    <n v="0"/>
  </r>
  <r>
    <n v="5546"/>
    <s v="Male"/>
    <n v="43"/>
    <x v="1"/>
    <x v="1"/>
    <n v="159"/>
    <n v="75"/>
    <n v="0.24"/>
    <s v="Web"/>
    <n v="0"/>
    <n v="1"/>
    <n v="0"/>
    <n v="14.99"/>
    <n v="0"/>
  </r>
  <r>
    <n v="5547"/>
    <s v="Other"/>
    <n v="20"/>
    <x v="3"/>
    <x v="2"/>
    <n v="215"/>
    <n v="41"/>
    <n v="0.57999999999999996"/>
    <s v="Web"/>
    <n v="0"/>
    <n v="1"/>
    <n v="0"/>
    <n v="9.99"/>
    <n v="0"/>
  </r>
  <r>
    <n v="5548"/>
    <s v="Female"/>
    <n v="38"/>
    <x v="0"/>
    <x v="2"/>
    <n v="136"/>
    <n v="53"/>
    <n v="0.3"/>
    <s v="Desktop"/>
    <n v="0"/>
    <n v="1"/>
    <n v="0"/>
    <n v="9.99"/>
    <n v="0"/>
  </r>
  <r>
    <n v="5549"/>
    <s v="Male"/>
    <n v="56"/>
    <x v="3"/>
    <x v="1"/>
    <n v="52"/>
    <n v="2"/>
    <n v="0.17"/>
    <s v="Mobile"/>
    <n v="0"/>
    <n v="1"/>
    <n v="0"/>
    <n v="14.99"/>
    <n v="0"/>
  </r>
  <r>
    <n v="5550"/>
    <s v="Male"/>
    <n v="32"/>
    <x v="7"/>
    <x v="3"/>
    <n v="61"/>
    <n v="91"/>
    <n v="0.47"/>
    <s v="Mobile"/>
    <n v="0"/>
    <n v="1"/>
    <n v="0"/>
    <n v="4.99"/>
    <n v="0"/>
  </r>
  <r>
    <n v="5551"/>
    <s v="Male"/>
    <n v="31"/>
    <x v="2"/>
    <x v="3"/>
    <n v="117"/>
    <n v="84"/>
    <n v="0.48"/>
    <s v="Desktop"/>
    <n v="0"/>
    <n v="1"/>
    <n v="0"/>
    <n v="4.99"/>
    <n v="0"/>
  </r>
  <r>
    <n v="5552"/>
    <s v="Female"/>
    <n v="53"/>
    <x v="3"/>
    <x v="0"/>
    <n v="77"/>
    <n v="47"/>
    <n v="0.31"/>
    <s v="Web"/>
    <n v="38"/>
    <n v="0"/>
    <n v="0"/>
    <n v="0"/>
    <n v="0"/>
  </r>
  <r>
    <n v="5553"/>
    <s v="Other"/>
    <n v="43"/>
    <x v="1"/>
    <x v="1"/>
    <n v="154"/>
    <n v="74"/>
    <n v="0.49"/>
    <s v="Web"/>
    <n v="0"/>
    <n v="1"/>
    <n v="0"/>
    <n v="14.99"/>
    <n v="0"/>
  </r>
  <r>
    <n v="5554"/>
    <s v="Male"/>
    <n v="27"/>
    <x v="3"/>
    <x v="0"/>
    <n v="207"/>
    <n v="78"/>
    <n v="0.37"/>
    <s v="Web"/>
    <n v="7"/>
    <n v="0"/>
    <n v="0"/>
    <n v="0"/>
    <n v="0"/>
  </r>
  <r>
    <n v="5555"/>
    <s v="Female"/>
    <n v="22"/>
    <x v="3"/>
    <x v="2"/>
    <n v="36"/>
    <n v="20"/>
    <n v="0.27"/>
    <s v="Web"/>
    <n v="0"/>
    <n v="1"/>
    <n v="1"/>
    <n v="9.99"/>
    <n v="9.99"/>
  </r>
  <r>
    <n v="5556"/>
    <s v="Female"/>
    <n v="51"/>
    <x v="3"/>
    <x v="0"/>
    <n v="179"/>
    <n v="35"/>
    <n v="0.02"/>
    <s v="Mobile"/>
    <n v="39"/>
    <n v="0"/>
    <n v="0"/>
    <n v="0"/>
    <n v="0"/>
  </r>
  <r>
    <n v="5557"/>
    <s v="Female"/>
    <n v="54"/>
    <x v="3"/>
    <x v="3"/>
    <n v="19"/>
    <n v="53"/>
    <n v="0.28999999999999998"/>
    <s v="Desktop"/>
    <n v="0"/>
    <n v="1"/>
    <n v="1"/>
    <n v="4.99"/>
    <n v="4.99"/>
  </r>
  <r>
    <n v="5558"/>
    <s v="Male"/>
    <n v="22"/>
    <x v="4"/>
    <x v="2"/>
    <n v="73"/>
    <n v="20"/>
    <n v="0.09"/>
    <s v="Mobile"/>
    <n v="0"/>
    <n v="1"/>
    <n v="0"/>
    <n v="9.99"/>
    <n v="0"/>
  </r>
  <r>
    <n v="5559"/>
    <s v="Male"/>
    <n v="51"/>
    <x v="5"/>
    <x v="0"/>
    <n v="230"/>
    <n v="84"/>
    <n v="0.43"/>
    <s v="Desktop"/>
    <n v="43"/>
    <n v="0"/>
    <n v="1"/>
    <n v="0"/>
    <n v="0"/>
  </r>
  <r>
    <n v="5560"/>
    <s v="Male"/>
    <n v="58"/>
    <x v="3"/>
    <x v="1"/>
    <n v="253"/>
    <n v="98"/>
    <n v="0.17"/>
    <s v="Web"/>
    <n v="0"/>
    <n v="1"/>
    <n v="0"/>
    <n v="14.99"/>
    <n v="0"/>
  </r>
  <r>
    <n v="5561"/>
    <s v="Female"/>
    <n v="57"/>
    <x v="6"/>
    <x v="2"/>
    <n v="295"/>
    <n v="76"/>
    <n v="0.39"/>
    <s v="Mobile"/>
    <n v="0"/>
    <n v="1"/>
    <n v="1"/>
    <n v="9.99"/>
    <n v="9.99"/>
  </r>
  <r>
    <n v="5562"/>
    <s v="Female"/>
    <n v="19"/>
    <x v="6"/>
    <x v="1"/>
    <n v="120"/>
    <n v="43"/>
    <n v="0.15"/>
    <s v="Desktop"/>
    <n v="0"/>
    <n v="1"/>
    <n v="0"/>
    <n v="14.99"/>
    <n v="0"/>
  </r>
  <r>
    <n v="5563"/>
    <s v="Other"/>
    <n v="45"/>
    <x v="4"/>
    <x v="0"/>
    <n v="137"/>
    <n v="5"/>
    <n v="0.41"/>
    <s v="Web"/>
    <n v="26"/>
    <n v="0"/>
    <n v="0"/>
    <n v="0"/>
    <n v="0"/>
  </r>
  <r>
    <n v="5564"/>
    <s v="Female"/>
    <n v="28"/>
    <x v="6"/>
    <x v="0"/>
    <n v="157"/>
    <n v="91"/>
    <n v="0.59"/>
    <s v="Desktop"/>
    <n v="38"/>
    <n v="0"/>
    <n v="1"/>
    <n v="0"/>
    <n v="0"/>
  </r>
  <r>
    <n v="5565"/>
    <s v="Male"/>
    <n v="54"/>
    <x v="4"/>
    <x v="2"/>
    <n v="144"/>
    <n v="49"/>
    <n v="0.27"/>
    <s v="Desktop"/>
    <n v="0"/>
    <n v="1"/>
    <n v="1"/>
    <n v="9.99"/>
    <n v="9.99"/>
  </r>
  <r>
    <n v="5566"/>
    <s v="Male"/>
    <n v="55"/>
    <x v="6"/>
    <x v="1"/>
    <n v="34"/>
    <n v="70"/>
    <n v="0.38"/>
    <s v="Mobile"/>
    <n v="0"/>
    <n v="1"/>
    <n v="0"/>
    <n v="14.99"/>
    <n v="0"/>
  </r>
  <r>
    <n v="5567"/>
    <s v="Male"/>
    <n v="31"/>
    <x v="6"/>
    <x v="0"/>
    <n v="56"/>
    <n v="96"/>
    <n v="0.47"/>
    <s v="Web"/>
    <n v="46"/>
    <n v="0"/>
    <n v="1"/>
    <n v="0"/>
    <n v="0"/>
  </r>
  <r>
    <n v="5568"/>
    <s v="Female"/>
    <n v="44"/>
    <x v="1"/>
    <x v="0"/>
    <n v="191"/>
    <n v="25"/>
    <n v="0.26"/>
    <s v="Mobile"/>
    <n v="11"/>
    <n v="0"/>
    <n v="0"/>
    <n v="0"/>
    <n v="0"/>
  </r>
  <r>
    <n v="5569"/>
    <s v="Male"/>
    <n v="17"/>
    <x v="3"/>
    <x v="3"/>
    <n v="291"/>
    <n v="4"/>
    <n v="0.02"/>
    <s v="Desktop"/>
    <n v="0"/>
    <n v="1"/>
    <n v="0"/>
    <n v="4.99"/>
    <n v="0"/>
  </r>
  <r>
    <n v="5570"/>
    <s v="Female"/>
    <n v="45"/>
    <x v="7"/>
    <x v="3"/>
    <n v="151"/>
    <n v="51"/>
    <n v="0.55000000000000004"/>
    <s v="Web"/>
    <n v="0"/>
    <n v="1"/>
    <n v="0"/>
    <n v="4.99"/>
    <n v="0"/>
  </r>
  <r>
    <n v="5571"/>
    <s v="Other"/>
    <n v="26"/>
    <x v="3"/>
    <x v="2"/>
    <n v="200"/>
    <n v="82"/>
    <n v="0.5"/>
    <s v="Desktop"/>
    <n v="0"/>
    <n v="1"/>
    <n v="1"/>
    <n v="9.99"/>
    <n v="9.99"/>
  </r>
  <r>
    <n v="5572"/>
    <s v="Other"/>
    <n v="52"/>
    <x v="5"/>
    <x v="1"/>
    <n v="224"/>
    <n v="76"/>
    <n v="0.16"/>
    <s v="Mobile"/>
    <n v="0"/>
    <n v="1"/>
    <n v="0"/>
    <n v="14.99"/>
    <n v="0"/>
  </r>
  <r>
    <n v="5573"/>
    <s v="Other"/>
    <n v="30"/>
    <x v="7"/>
    <x v="3"/>
    <n v="211"/>
    <n v="41"/>
    <n v="0.3"/>
    <s v="Desktop"/>
    <n v="0"/>
    <n v="1"/>
    <n v="0"/>
    <n v="4.99"/>
    <n v="0"/>
  </r>
  <r>
    <n v="5574"/>
    <s v="Male"/>
    <n v="57"/>
    <x v="4"/>
    <x v="3"/>
    <n v="45"/>
    <n v="59"/>
    <n v="0.12"/>
    <s v="Mobile"/>
    <n v="0"/>
    <n v="1"/>
    <n v="0"/>
    <n v="4.99"/>
    <n v="0"/>
  </r>
  <r>
    <n v="5575"/>
    <s v="Other"/>
    <n v="44"/>
    <x v="7"/>
    <x v="2"/>
    <n v="95"/>
    <n v="71"/>
    <n v="0.38"/>
    <s v="Desktop"/>
    <n v="0"/>
    <n v="1"/>
    <n v="1"/>
    <n v="9.99"/>
    <n v="9.99"/>
  </r>
  <r>
    <n v="5576"/>
    <s v="Female"/>
    <n v="29"/>
    <x v="2"/>
    <x v="2"/>
    <n v="33"/>
    <n v="1"/>
    <n v="0.49"/>
    <s v="Desktop"/>
    <n v="0"/>
    <n v="1"/>
    <n v="0"/>
    <n v="9.99"/>
    <n v="0"/>
  </r>
  <r>
    <n v="5577"/>
    <s v="Female"/>
    <n v="42"/>
    <x v="0"/>
    <x v="3"/>
    <n v="101"/>
    <n v="49"/>
    <n v="0.31"/>
    <s v="Mobile"/>
    <n v="0"/>
    <n v="1"/>
    <n v="0"/>
    <n v="4.99"/>
    <n v="0"/>
  </r>
  <r>
    <n v="5578"/>
    <s v="Male"/>
    <n v="21"/>
    <x v="4"/>
    <x v="1"/>
    <n v="52"/>
    <n v="94"/>
    <n v="0.05"/>
    <s v="Mobile"/>
    <n v="0"/>
    <n v="1"/>
    <n v="0"/>
    <n v="14.99"/>
    <n v="0"/>
  </r>
  <r>
    <n v="5579"/>
    <s v="Female"/>
    <n v="23"/>
    <x v="2"/>
    <x v="3"/>
    <n v="254"/>
    <n v="35"/>
    <n v="0.56999999999999995"/>
    <s v="Mobile"/>
    <n v="0"/>
    <n v="1"/>
    <n v="0"/>
    <n v="4.99"/>
    <n v="0"/>
  </r>
  <r>
    <n v="5580"/>
    <s v="Female"/>
    <n v="39"/>
    <x v="1"/>
    <x v="0"/>
    <n v="31"/>
    <n v="85"/>
    <n v="0.13"/>
    <s v="Web"/>
    <n v="25"/>
    <n v="0"/>
    <n v="0"/>
    <n v="0"/>
    <n v="0"/>
  </r>
  <r>
    <n v="5581"/>
    <s v="Female"/>
    <n v="19"/>
    <x v="1"/>
    <x v="2"/>
    <n v="114"/>
    <n v="35"/>
    <n v="0.04"/>
    <s v="Web"/>
    <n v="0"/>
    <n v="1"/>
    <n v="0"/>
    <n v="9.99"/>
    <n v="0"/>
  </r>
  <r>
    <n v="5582"/>
    <s v="Female"/>
    <n v="34"/>
    <x v="7"/>
    <x v="0"/>
    <n v="55"/>
    <n v="3"/>
    <n v="0.34"/>
    <s v="Mobile"/>
    <n v="34"/>
    <n v="0"/>
    <n v="0"/>
    <n v="0"/>
    <n v="0"/>
  </r>
  <r>
    <n v="5583"/>
    <s v="Other"/>
    <n v="56"/>
    <x v="4"/>
    <x v="0"/>
    <n v="50"/>
    <n v="99"/>
    <n v="0.32"/>
    <s v="Web"/>
    <n v="34"/>
    <n v="0"/>
    <n v="1"/>
    <n v="0"/>
    <n v="0"/>
  </r>
  <r>
    <n v="5584"/>
    <s v="Other"/>
    <n v="42"/>
    <x v="3"/>
    <x v="0"/>
    <n v="181"/>
    <n v="65"/>
    <n v="0.14000000000000001"/>
    <s v="Web"/>
    <n v="36"/>
    <n v="0"/>
    <n v="1"/>
    <n v="0"/>
    <n v="0"/>
  </r>
  <r>
    <n v="5585"/>
    <s v="Other"/>
    <n v="28"/>
    <x v="5"/>
    <x v="3"/>
    <n v="176"/>
    <n v="26"/>
    <n v="0.16"/>
    <s v="Web"/>
    <n v="0"/>
    <n v="1"/>
    <n v="0"/>
    <n v="4.99"/>
    <n v="0"/>
  </r>
  <r>
    <n v="5586"/>
    <s v="Male"/>
    <n v="19"/>
    <x v="0"/>
    <x v="0"/>
    <n v="71"/>
    <n v="1"/>
    <n v="0.19"/>
    <s v="Desktop"/>
    <n v="24"/>
    <n v="0"/>
    <n v="0"/>
    <n v="0"/>
    <n v="0"/>
  </r>
  <r>
    <n v="5587"/>
    <s v="Other"/>
    <n v="56"/>
    <x v="6"/>
    <x v="1"/>
    <n v="119"/>
    <n v="92"/>
    <n v="0.14000000000000001"/>
    <s v="Mobile"/>
    <n v="0"/>
    <n v="1"/>
    <n v="0"/>
    <n v="14.99"/>
    <n v="0"/>
  </r>
  <r>
    <n v="5588"/>
    <s v="Female"/>
    <n v="43"/>
    <x v="1"/>
    <x v="2"/>
    <n v="266"/>
    <n v="9"/>
    <n v="7.0000000000000007E-2"/>
    <s v="Mobile"/>
    <n v="0"/>
    <n v="1"/>
    <n v="0"/>
    <n v="9.99"/>
    <n v="0"/>
  </r>
  <r>
    <n v="5589"/>
    <s v="Other"/>
    <n v="55"/>
    <x v="2"/>
    <x v="3"/>
    <n v="83"/>
    <n v="43"/>
    <n v="0.53"/>
    <s v="Web"/>
    <n v="0"/>
    <n v="1"/>
    <n v="1"/>
    <n v="4.99"/>
    <n v="4.99"/>
  </r>
  <r>
    <n v="5590"/>
    <s v="Other"/>
    <n v="16"/>
    <x v="2"/>
    <x v="3"/>
    <n v="240"/>
    <n v="94"/>
    <n v="0.09"/>
    <s v="Desktop"/>
    <n v="0"/>
    <n v="1"/>
    <n v="0"/>
    <n v="4.99"/>
    <n v="0"/>
  </r>
  <r>
    <n v="5591"/>
    <s v="Male"/>
    <n v="54"/>
    <x v="2"/>
    <x v="2"/>
    <n v="118"/>
    <n v="25"/>
    <n v="0.16"/>
    <s v="Mobile"/>
    <n v="0"/>
    <n v="1"/>
    <n v="1"/>
    <n v="9.99"/>
    <n v="9.99"/>
  </r>
  <r>
    <n v="5592"/>
    <s v="Female"/>
    <n v="32"/>
    <x v="3"/>
    <x v="0"/>
    <n v="276"/>
    <n v="23"/>
    <n v="0.38"/>
    <s v="Web"/>
    <n v="9"/>
    <n v="0"/>
    <n v="0"/>
    <n v="0"/>
    <n v="0"/>
  </r>
  <r>
    <n v="5593"/>
    <s v="Other"/>
    <n v="42"/>
    <x v="4"/>
    <x v="1"/>
    <n v="112"/>
    <n v="34"/>
    <n v="0.53"/>
    <s v="Web"/>
    <n v="0"/>
    <n v="1"/>
    <n v="1"/>
    <n v="14.99"/>
    <n v="14.99"/>
  </r>
  <r>
    <n v="5594"/>
    <s v="Female"/>
    <n v="55"/>
    <x v="1"/>
    <x v="1"/>
    <n v="10"/>
    <n v="82"/>
    <n v="0.56000000000000005"/>
    <s v="Web"/>
    <n v="0"/>
    <n v="1"/>
    <n v="1"/>
    <n v="14.99"/>
    <n v="14.99"/>
  </r>
  <r>
    <n v="5595"/>
    <s v="Male"/>
    <n v="29"/>
    <x v="7"/>
    <x v="2"/>
    <n v="113"/>
    <n v="97"/>
    <n v="0.23"/>
    <s v="Mobile"/>
    <n v="0"/>
    <n v="1"/>
    <n v="0"/>
    <n v="9.99"/>
    <n v="0"/>
  </r>
  <r>
    <n v="5596"/>
    <s v="Male"/>
    <n v="33"/>
    <x v="3"/>
    <x v="3"/>
    <n v="262"/>
    <n v="42"/>
    <n v="0.41"/>
    <s v="Desktop"/>
    <n v="0"/>
    <n v="1"/>
    <n v="1"/>
    <n v="4.99"/>
    <n v="4.99"/>
  </r>
  <r>
    <n v="5597"/>
    <s v="Other"/>
    <n v="54"/>
    <x v="6"/>
    <x v="1"/>
    <n v="59"/>
    <n v="96"/>
    <n v="0.49"/>
    <s v="Mobile"/>
    <n v="0"/>
    <n v="1"/>
    <n v="0"/>
    <n v="14.99"/>
    <n v="0"/>
  </r>
  <r>
    <n v="5598"/>
    <s v="Female"/>
    <n v="36"/>
    <x v="0"/>
    <x v="2"/>
    <n v="244"/>
    <n v="27"/>
    <n v="0.51"/>
    <s v="Mobile"/>
    <n v="0"/>
    <n v="1"/>
    <n v="1"/>
    <n v="9.99"/>
    <n v="9.99"/>
  </r>
  <r>
    <n v="5599"/>
    <s v="Male"/>
    <n v="57"/>
    <x v="1"/>
    <x v="3"/>
    <n v="182"/>
    <n v="91"/>
    <n v="0.27"/>
    <s v="Desktop"/>
    <n v="0"/>
    <n v="1"/>
    <n v="0"/>
    <n v="4.99"/>
    <n v="0"/>
  </r>
  <r>
    <n v="5600"/>
    <s v="Male"/>
    <n v="32"/>
    <x v="0"/>
    <x v="2"/>
    <n v="265"/>
    <n v="38"/>
    <n v="0.08"/>
    <s v="Desktop"/>
    <n v="0"/>
    <n v="1"/>
    <n v="0"/>
    <n v="9.99"/>
    <n v="0"/>
  </r>
  <r>
    <n v="5601"/>
    <s v="Female"/>
    <n v="58"/>
    <x v="3"/>
    <x v="3"/>
    <n v="199"/>
    <n v="41"/>
    <n v="0.08"/>
    <s v="Desktop"/>
    <n v="0"/>
    <n v="1"/>
    <n v="0"/>
    <n v="4.99"/>
    <n v="0"/>
  </r>
  <r>
    <n v="5602"/>
    <s v="Other"/>
    <n v="34"/>
    <x v="3"/>
    <x v="3"/>
    <n v="295"/>
    <n v="81"/>
    <n v="0.54"/>
    <s v="Web"/>
    <n v="0"/>
    <n v="1"/>
    <n v="0"/>
    <n v="4.99"/>
    <n v="0"/>
  </r>
  <r>
    <n v="5603"/>
    <s v="Male"/>
    <n v="56"/>
    <x v="5"/>
    <x v="3"/>
    <n v="78"/>
    <n v="3"/>
    <n v="0.36"/>
    <s v="Desktop"/>
    <n v="0"/>
    <n v="1"/>
    <n v="0"/>
    <n v="4.99"/>
    <n v="0"/>
  </r>
  <r>
    <n v="5604"/>
    <s v="Male"/>
    <n v="59"/>
    <x v="4"/>
    <x v="3"/>
    <n v="126"/>
    <n v="98"/>
    <n v="0.13"/>
    <s v="Desktop"/>
    <n v="0"/>
    <n v="1"/>
    <n v="0"/>
    <n v="4.99"/>
    <n v="0"/>
  </r>
  <r>
    <n v="5605"/>
    <s v="Female"/>
    <n v="40"/>
    <x v="7"/>
    <x v="0"/>
    <n v="53"/>
    <n v="42"/>
    <n v="0.25"/>
    <s v="Mobile"/>
    <n v="12"/>
    <n v="0"/>
    <n v="0"/>
    <n v="0"/>
    <n v="0"/>
  </r>
  <r>
    <n v="5606"/>
    <s v="Female"/>
    <n v="58"/>
    <x v="6"/>
    <x v="2"/>
    <n v="203"/>
    <n v="57"/>
    <n v="0.47"/>
    <s v="Desktop"/>
    <n v="0"/>
    <n v="1"/>
    <n v="1"/>
    <n v="9.99"/>
    <n v="9.99"/>
  </r>
  <r>
    <n v="5607"/>
    <s v="Female"/>
    <n v="56"/>
    <x v="0"/>
    <x v="3"/>
    <n v="88"/>
    <n v="1"/>
    <n v="0.47"/>
    <s v="Web"/>
    <n v="0"/>
    <n v="1"/>
    <n v="0"/>
    <n v="4.99"/>
    <n v="0"/>
  </r>
  <r>
    <n v="5608"/>
    <s v="Other"/>
    <n v="45"/>
    <x v="7"/>
    <x v="2"/>
    <n v="294"/>
    <n v="23"/>
    <n v="0.21"/>
    <s v="Mobile"/>
    <n v="0"/>
    <n v="1"/>
    <n v="0"/>
    <n v="9.99"/>
    <n v="0"/>
  </r>
  <r>
    <n v="5609"/>
    <s v="Male"/>
    <n v="34"/>
    <x v="3"/>
    <x v="1"/>
    <n v="255"/>
    <n v="6"/>
    <n v="0.2"/>
    <s v="Mobile"/>
    <n v="0"/>
    <n v="1"/>
    <n v="1"/>
    <n v="14.99"/>
    <n v="14.99"/>
  </r>
  <r>
    <n v="5610"/>
    <s v="Female"/>
    <n v="57"/>
    <x v="7"/>
    <x v="0"/>
    <n v="113"/>
    <n v="60"/>
    <n v="0.21"/>
    <s v="Desktop"/>
    <n v="39"/>
    <n v="0"/>
    <n v="0"/>
    <n v="0"/>
    <n v="0"/>
  </r>
  <r>
    <n v="5611"/>
    <s v="Other"/>
    <n v="24"/>
    <x v="0"/>
    <x v="1"/>
    <n v="173"/>
    <n v="23"/>
    <n v="0.09"/>
    <s v="Web"/>
    <n v="0"/>
    <n v="1"/>
    <n v="0"/>
    <n v="14.99"/>
    <n v="0"/>
  </r>
  <r>
    <n v="5612"/>
    <s v="Male"/>
    <n v="56"/>
    <x v="4"/>
    <x v="2"/>
    <n v="265"/>
    <n v="97"/>
    <n v="0.28000000000000003"/>
    <s v="Web"/>
    <n v="0"/>
    <n v="1"/>
    <n v="0"/>
    <n v="9.99"/>
    <n v="0"/>
  </r>
  <r>
    <n v="5613"/>
    <s v="Other"/>
    <n v="37"/>
    <x v="7"/>
    <x v="2"/>
    <n v="12"/>
    <n v="22"/>
    <n v="0.32"/>
    <s v="Web"/>
    <n v="0"/>
    <n v="1"/>
    <n v="1"/>
    <n v="9.99"/>
    <n v="9.99"/>
  </r>
  <r>
    <n v="5614"/>
    <s v="Female"/>
    <n v="25"/>
    <x v="3"/>
    <x v="1"/>
    <n v="165"/>
    <n v="22"/>
    <n v="0.16"/>
    <s v="Mobile"/>
    <n v="0"/>
    <n v="1"/>
    <n v="0"/>
    <n v="14.99"/>
    <n v="0"/>
  </r>
  <r>
    <n v="5615"/>
    <s v="Female"/>
    <n v="28"/>
    <x v="5"/>
    <x v="1"/>
    <n v="168"/>
    <n v="58"/>
    <n v="0.09"/>
    <s v="Desktop"/>
    <n v="0"/>
    <n v="1"/>
    <n v="0"/>
    <n v="14.99"/>
    <n v="0"/>
  </r>
  <r>
    <n v="5616"/>
    <s v="Female"/>
    <n v="30"/>
    <x v="3"/>
    <x v="1"/>
    <n v="185"/>
    <n v="18"/>
    <n v="0.22"/>
    <s v="Web"/>
    <n v="0"/>
    <n v="1"/>
    <n v="0"/>
    <n v="14.99"/>
    <n v="0"/>
  </r>
  <r>
    <n v="5617"/>
    <s v="Other"/>
    <n v="25"/>
    <x v="2"/>
    <x v="2"/>
    <n v="136"/>
    <n v="52"/>
    <n v="0.37"/>
    <s v="Mobile"/>
    <n v="0"/>
    <n v="1"/>
    <n v="1"/>
    <n v="9.99"/>
    <n v="9.99"/>
  </r>
  <r>
    <n v="5618"/>
    <s v="Female"/>
    <n v="57"/>
    <x v="2"/>
    <x v="1"/>
    <n v="299"/>
    <n v="68"/>
    <n v="0.06"/>
    <s v="Desktop"/>
    <n v="0"/>
    <n v="1"/>
    <n v="0"/>
    <n v="14.99"/>
    <n v="0"/>
  </r>
  <r>
    <n v="5619"/>
    <s v="Female"/>
    <n v="30"/>
    <x v="7"/>
    <x v="2"/>
    <n v="59"/>
    <n v="47"/>
    <n v="0.22"/>
    <s v="Mobile"/>
    <n v="0"/>
    <n v="1"/>
    <n v="1"/>
    <n v="9.99"/>
    <n v="9.99"/>
  </r>
  <r>
    <n v="5620"/>
    <s v="Male"/>
    <n v="52"/>
    <x v="0"/>
    <x v="1"/>
    <n v="220"/>
    <n v="66"/>
    <n v="0.06"/>
    <s v="Mobile"/>
    <n v="0"/>
    <n v="1"/>
    <n v="1"/>
    <n v="14.99"/>
    <n v="14.99"/>
  </r>
  <r>
    <n v="5621"/>
    <s v="Other"/>
    <n v="52"/>
    <x v="0"/>
    <x v="3"/>
    <n v="207"/>
    <n v="80"/>
    <n v="0.11"/>
    <s v="Mobile"/>
    <n v="0"/>
    <n v="1"/>
    <n v="0"/>
    <n v="4.99"/>
    <n v="0"/>
  </r>
  <r>
    <n v="5622"/>
    <s v="Female"/>
    <n v="38"/>
    <x v="5"/>
    <x v="3"/>
    <n v="80"/>
    <n v="15"/>
    <n v="0.47"/>
    <s v="Mobile"/>
    <n v="0"/>
    <n v="1"/>
    <n v="0"/>
    <n v="4.99"/>
    <n v="0"/>
  </r>
  <r>
    <n v="5623"/>
    <s v="Male"/>
    <n v="28"/>
    <x v="1"/>
    <x v="1"/>
    <n v="262"/>
    <n v="25"/>
    <n v="0.56000000000000005"/>
    <s v="Mobile"/>
    <n v="0"/>
    <n v="1"/>
    <n v="0"/>
    <n v="14.99"/>
    <n v="0"/>
  </r>
  <r>
    <n v="5624"/>
    <s v="Female"/>
    <n v="28"/>
    <x v="0"/>
    <x v="3"/>
    <n v="299"/>
    <n v="93"/>
    <n v="0.28999999999999998"/>
    <s v="Desktop"/>
    <n v="0"/>
    <n v="1"/>
    <n v="0"/>
    <n v="4.99"/>
    <n v="0"/>
  </r>
  <r>
    <n v="5625"/>
    <s v="Male"/>
    <n v="56"/>
    <x v="6"/>
    <x v="0"/>
    <n v="261"/>
    <n v="83"/>
    <n v="0.14000000000000001"/>
    <s v="Web"/>
    <n v="23"/>
    <n v="0"/>
    <n v="1"/>
    <n v="0"/>
    <n v="0"/>
  </r>
  <r>
    <n v="5626"/>
    <s v="Male"/>
    <n v="41"/>
    <x v="7"/>
    <x v="1"/>
    <n v="178"/>
    <n v="75"/>
    <n v="0.22"/>
    <s v="Desktop"/>
    <n v="0"/>
    <n v="1"/>
    <n v="0"/>
    <n v="14.99"/>
    <n v="0"/>
  </r>
  <r>
    <n v="5627"/>
    <s v="Other"/>
    <n v="36"/>
    <x v="7"/>
    <x v="3"/>
    <n v="244"/>
    <n v="22"/>
    <n v="0.56000000000000005"/>
    <s v="Mobile"/>
    <n v="0"/>
    <n v="1"/>
    <n v="0"/>
    <n v="4.99"/>
    <n v="0"/>
  </r>
  <r>
    <n v="5628"/>
    <s v="Female"/>
    <n v="17"/>
    <x v="7"/>
    <x v="2"/>
    <n v="227"/>
    <n v="34"/>
    <n v="0.56999999999999995"/>
    <s v="Web"/>
    <n v="0"/>
    <n v="1"/>
    <n v="0"/>
    <n v="9.99"/>
    <n v="0"/>
  </r>
  <r>
    <n v="5629"/>
    <s v="Other"/>
    <n v="39"/>
    <x v="5"/>
    <x v="3"/>
    <n v="134"/>
    <n v="37"/>
    <n v="0.13"/>
    <s v="Web"/>
    <n v="0"/>
    <n v="1"/>
    <n v="1"/>
    <n v="4.99"/>
    <n v="4.99"/>
  </r>
  <r>
    <n v="5630"/>
    <s v="Other"/>
    <n v="50"/>
    <x v="5"/>
    <x v="1"/>
    <n v="251"/>
    <n v="1"/>
    <n v="0.03"/>
    <s v="Desktop"/>
    <n v="0"/>
    <n v="1"/>
    <n v="1"/>
    <n v="14.99"/>
    <n v="14.99"/>
  </r>
  <r>
    <n v="5631"/>
    <s v="Other"/>
    <n v="38"/>
    <x v="6"/>
    <x v="3"/>
    <n v="262"/>
    <n v="35"/>
    <n v="0.2"/>
    <s v="Web"/>
    <n v="0"/>
    <n v="1"/>
    <n v="0"/>
    <n v="4.99"/>
    <n v="0"/>
  </r>
  <r>
    <n v="5632"/>
    <s v="Male"/>
    <n v="50"/>
    <x v="7"/>
    <x v="3"/>
    <n v="271"/>
    <n v="19"/>
    <n v="0.19"/>
    <s v="Web"/>
    <n v="0"/>
    <n v="1"/>
    <n v="0"/>
    <n v="4.99"/>
    <n v="0"/>
  </r>
  <r>
    <n v="5633"/>
    <s v="Male"/>
    <n v="33"/>
    <x v="3"/>
    <x v="3"/>
    <n v="245"/>
    <n v="22"/>
    <n v="0.24"/>
    <s v="Mobile"/>
    <n v="0"/>
    <n v="1"/>
    <n v="0"/>
    <n v="4.99"/>
    <n v="0"/>
  </r>
  <r>
    <n v="5634"/>
    <s v="Other"/>
    <n v="35"/>
    <x v="5"/>
    <x v="2"/>
    <n v="32"/>
    <n v="35"/>
    <n v="0.54"/>
    <s v="Mobile"/>
    <n v="0"/>
    <n v="1"/>
    <n v="0"/>
    <n v="9.99"/>
    <n v="0"/>
  </r>
  <r>
    <n v="5635"/>
    <s v="Other"/>
    <n v="55"/>
    <x v="1"/>
    <x v="2"/>
    <n v="75"/>
    <n v="32"/>
    <n v="0.1"/>
    <s v="Web"/>
    <n v="0"/>
    <n v="1"/>
    <n v="1"/>
    <n v="9.99"/>
    <n v="9.99"/>
  </r>
  <r>
    <n v="5636"/>
    <s v="Male"/>
    <n v="41"/>
    <x v="2"/>
    <x v="2"/>
    <n v="49"/>
    <n v="92"/>
    <n v="0.51"/>
    <s v="Desktop"/>
    <n v="0"/>
    <n v="1"/>
    <n v="0"/>
    <n v="9.99"/>
    <n v="0"/>
  </r>
  <r>
    <n v="5637"/>
    <s v="Male"/>
    <n v="16"/>
    <x v="2"/>
    <x v="1"/>
    <n v="143"/>
    <n v="37"/>
    <n v="0.11"/>
    <s v="Web"/>
    <n v="0"/>
    <n v="1"/>
    <n v="1"/>
    <n v="14.99"/>
    <n v="14.99"/>
  </r>
  <r>
    <n v="5638"/>
    <s v="Other"/>
    <n v="29"/>
    <x v="4"/>
    <x v="3"/>
    <n v="28"/>
    <n v="74"/>
    <n v="0.22"/>
    <s v="Mobile"/>
    <n v="0"/>
    <n v="1"/>
    <n v="0"/>
    <n v="4.99"/>
    <n v="0"/>
  </r>
  <r>
    <n v="5639"/>
    <s v="Female"/>
    <n v="47"/>
    <x v="2"/>
    <x v="1"/>
    <n v="18"/>
    <n v="14"/>
    <n v="0.02"/>
    <s v="Web"/>
    <n v="0"/>
    <n v="1"/>
    <n v="0"/>
    <n v="14.99"/>
    <n v="0"/>
  </r>
  <r>
    <n v="5640"/>
    <s v="Other"/>
    <n v="16"/>
    <x v="3"/>
    <x v="2"/>
    <n v="212"/>
    <n v="44"/>
    <n v="0.33"/>
    <s v="Mobile"/>
    <n v="0"/>
    <n v="1"/>
    <n v="0"/>
    <n v="9.99"/>
    <n v="0"/>
  </r>
  <r>
    <n v="5641"/>
    <s v="Other"/>
    <n v="54"/>
    <x v="0"/>
    <x v="2"/>
    <n v="180"/>
    <n v="16"/>
    <n v="0.22"/>
    <s v="Web"/>
    <n v="0"/>
    <n v="1"/>
    <n v="1"/>
    <n v="9.99"/>
    <n v="9.99"/>
  </r>
  <r>
    <n v="5642"/>
    <s v="Female"/>
    <n v="17"/>
    <x v="2"/>
    <x v="2"/>
    <n v="228"/>
    <n v="5"/>
    <n v="7.0000000000000007E-2"/>
    <s v="Desktop"/>
    <n v="0"/>
    <n v="1"/>
    <n v="0"/>
    <n v="9.99"/>
    <n v="0"/>
  </r>
  <r>
    <n v="5643"/>
    <s v="Other"/>
    <n v="42"/>
    <x v="7"/>
    <x v="0"/>
    <n v="150"/>
    <n v="59"/>
    <n v="0.53"/>
    <s v="Mobile"/>
    <n v="34"/>
    <n v="0"/>
    <n v="0"/>
    <n v="0"/>
    <n v="0"/>
  </r>
  <r>
    <n v="5644"/>
    <s v="Female"/>
    <n v="30"/>
    <x v="7"/>
    <x v="2"/>
    <n v="233"/>
    <n v="81"/>
    <n v="0.42"/>
    <s v="Web"/>
    <n v="0"/>
    <n v="1"/>
    <n v="0"/>
    <n v="9.99"/>
    <n v="0"/>
  </r>
  <r>
    <n v="5645"/>
    <s v="Male"/>
    <n v="53"/>
    <x v="3"/>
    <x v="1"/>
    <n v="250"/>
    <n v="18"/>
    <n v="0.2"/>
    <s v="Desktop"/>
    <n v="0"/>
    <n v="1"/>
    <n v="0"/>
    <n v="14.99"/>
    <n v="0"/>
  </r>
  <r>
    <n v="5646"/>
    <s v="Female"/>
    <n v="20"/>
    <x v="5"/>
    <x v="1"/>
    <n v="101"/>
    <n v="39"/>
    <n v="0.5"/>
    <s v="Web"/>
    <n v="0"/>
    <n v="1"/>
    <n v="0"/>
    <n v="14.99"/>
    <n v="0"/>
  </r>
  <r>
    <n v="5647"/>
    <s v="Female"/>
    <n v="58"/>
    <x v="0"/>
    <x v="2"/>
    <n v="226"/>
    <n v="64"/>
    <n v="0.41"/>
    <s v="Web"/>
    <n v="0"/>
    <n v="1"/>
    <n v="0"/>
    <n v="9.99"/>
    <n v="0"/>
  </r>
  <r>
    <n v="5648"/>
    <s v="Female"/>
    <n v="35"/>
    <x v="1"/>
    <x v="0"/>
    <n v="125"/>
    <n v="91"/>
    <n v="0.4"/>
    <s v="Web"/>
    <n v="34"/>
    <n v="0"/>
    <n v="1"/>
    <n v="0"/>
    <n v="0"/>
  </r>
  <r>
    <n v="5649"/>
    <s v="Female"/>
    <n v="53"/>
    <x v="0"/>
    <x v="3"/>
    <n v="273"/>
    <n v="96"/>
    <n v="0.39"/>
    <s v="Desktop"/>
    <n v="0"/>
    <n v="1"/>
    <n v="0"/>
    <n v="4.99"/>
    <n v="0"/>
  </r>
  <r>
    <n v="5650"/>
    <s v="Male"/>
    <n v="47"/>
    <x v="6"/>
    <x v="1"/>
    <n v="132"/>
    <n v="33"/>
    <n v="0.01"/>
    <s v="Web"/>
    <n v="0"/>
    <n v="1"/>
    <n v="0"/>
    <n v="14.99"/>
    <n v="0"/>
  </r>
  <r>
    <n v="5651"/>
    <s v="Male"/>
    <n v="24"/>
    <x v="1"/>
    <x v="1"/>
    <n v="250"/>
    <n v="15"/>
    <n v="0.48"/>
    <s v="Desktop"/>
    <n v="0"/>
    <n v="1"/>
    <n v="0"/>
    <n v="14.99"/>
    <n v="0"/>
  </r>
  <r>
    <n v="5652"/>
    <s v="Male"/>
    <n v="46"/>
    <x v="6"/>
    <x v="1"/>
    <n v="93"/>
    <n v="46"/>
    <n v="0.59"/>
    <s v="Mobile"/>
    <n v="0"/>
    <n v="1"/>
    <n v="0"/>
    <n v="14.99"/>
    <n v="0"/>
  </r>
  <r>
    <n v="5653"/>
    <s v="Male"/>
    <n v="40"/>
    <x v="3"/>
    <x v="1"/>
    <n v="163"/>
    <n v="65"/>
    <n v="0.49"/>
    <s v="Mobile"/>
    <n v="0"/>
    <n v="1"/>
    <n v="1"/>
    <n v="14.99"/>
    <n v="14.99"/>
  </r>
  <r>
    <n v="5654"/>
    <s v="Other"/>
    <n v="34"/>
    <x v="1"/>
    <x v="2"/>
    <n v="296"/>
    <n v="16"/>
    <n v="0.17"/>
    <s v="Desktop"/>
    <n v="0"/>
    <n v="1"/>
    <n v="0"/>
    <n v="9.99"/>
    <n v="0"/>
  </r>
  <r>
    <n v="5655"/>
    <s v="Male"/>
    <n v="34"/>
    <x v="2"/>
    <x v="3"/>
    <n v="273"/>
    <n v="81"/>
    <n v="0.35"/>
    <s v="Desktop"/>
    <n v="0"/>
    <n v="1"/>
    <n v="0"/>
    <n v="4.99"/>
    <n v="0"/>
  </r>
  <r>
    <n v="5656"/>
    <s v="Other"/>
    <n v="29"/>
    <x v="2"/>
    <x v="2"/>
    <n v="183"/>
    <n v="20"/>
    <n v="0.14000000000000001"/>
    <s v="Mobile"/>
    <n v="0"/>
    <n v="1"/>
    <n v="1"/>
    <n v="9.99"/>
    <n v="9.99"/>
  </r>
  <r>
    <n v="5657"/>
    <s v="Male"/>
    <n v="37"/>
    <x v="1"/>
    <x v="3"/>
    <n v="274"/>
    <n v="34"/>
    <n v="0.01"/>
    <s v="Mobile"/>
    <n v="0"/>
    <n v="1"/>
    <n v="0"/>
    <n v="4.99"/>
    <n v="0"/>
  </r>
  <r>
    <n v="5658"/>
    <s v="Female"/>
    <n v="40"/>
    <x v="7"/>
    <x v="0"/>
    <n v="298"/>
    <n v="19"/>
    <n v="0.06"/>
    <s v="Mobile"/>
    <n v="11"/>
    <n v="0"/>
    <n v="1"/>
    <n v="0"/>
    <n v="0"/>
  </r>
  <r>
    <n v="5659"/>
    <s v="Female"/>
    <n v="55"/>
    <x v="7"/>
    <x v="2"/>
    <n v="281"/>
    <n v="27"/>
    <n v="0.44"/>
    <s v="Web"/>
    <n v="0"/>
    <n v="1"/>
    <n v="0"/>
    <n v="9.99"/>
    <n v="0"/>
  </r>
  <r>
    <n v="5660"/>
    <s v="Other"/>
    <n v="42"/>
    <x v="1"/>
    <x v="0"/>
    <n v="283"/>
    <n v="63"/>
    <n v="0.51"/>
    <s v="Web"/>
    <n v="35"/>
    <n v="0"/>
    <n v="0"/>
    <n v="0"/>
    <n v="0"/>
  </r>
  <r>
    <n v="5661"/>
    <s v="Female"/>
    <n v="52"/>
    <x v="5"/>
    <x v="2"/>
    <n v="210"/>
    <n v="9"/>
    <n v="0.05"/>
    <s v="Mobile"/>
    <n v="0"/>
    <n v="1"/>
    <n v="0"/>
    <n v="9.99"/>
    <n v="0"/>
  </r>
  <r>
    <n v="5662"/>
    <s v="Female"/>
    <n v="45"/>
    <x v="7"/>
    <x v="2"/>
    <n v="233"/>
    <n v="44"/>
    <n v="0.46"/>
    <s v="Web"/>
    <n v="0"/>
    <n v="1"/>
    <n v="0"/>
    <n v="9.99"/>
    <n v="0"/>
  </r>
  <r>
    <n v="5663"/>
    <s v="Other"/>
    <n v="55"/>
    <x v="6"/>
    <x v="0"/>
    <n v="40"/>
    <n v="62"/>
    <n v="0.23"/>
    <s v="Desktop"/>
    <n v="18"/>
    <n v="0"/>
    <n v="0"/>
    <n v="0"/>
    <n v="0"/>
  </r>
  <r>
    <n v="5664"/>
    <s v="Female"/>
    <n v="18"/>
    <x v="1"/>
    <x v="2"/>
    <n v="118"/>
    <n v="65"/>
    <n v="0.36"/>
    <s v="Web"/>
    <n v="0"/>
    <n v="1"/>
    <n v="0"/>
    <n v="9.99"/>
    <n v="0"/>
  </r>
  <r>
    <n v="5665"/>
    <s v="Male"/>
    <n v="25"/>
    <x v="5"/>
    <x v="3"/>
    <n v="95"/>
    <n v="92"/>
    <n v="0.26"/>
    <s v="Desktop"/>
    <n v="0"/>
    <n v="1"/>
    <n v="0"/>
    <n v="4.99"/>
    <n v="0"/>
  </r>
  <r>
    <n v="5666"/>
    <s v="Other"/>
    <n v="21"/>
    <x v="1"/>
    <x v="0"/>
    <n v="227"/>
    <n v="80"/>
    <n v="0.03"/>
    <s v="Web"/>
    <n v="38"/>
    <n v="0"/>
    <n v="0"/>
    <n v="0"/>
    <n v="0"/>
  </r>
  <r>
    <n v="5667"/>
    <s v="Other"/>
    <n v="25"/>
    <x v="2"/>
    <x v="3"/>
    <n v="15"/>
    <n v="35"/>
    <n v="0.28000000000000003"/>
    <s v="Mobile"/>
    <n v="0"/>
    <n v="1"/>
    <n v="0"/>
    <n v="4.99"/>
    <n v="0"/>
  </r>
  <r>
    <n v="5668"/>
    <s v="Other"/>
    <n v="51"/>
    <x v="3"/>
    <x v="0"/>
    <n v="57"/>
    <n v="59"/>
    <n v="0.43"/>
    <s v="Web"/>
    <n v="24"/>
    <n v="0"/>
    <n v="0"/>
    <n v="0"/>
    <n v="0"/>
  </r>
  <r>
    <n v="5669"/>
    <s v="Male"/>
    <n v="46"/>
    <x v="5"/>
    <x v="0"/>
    <n v="169"/>
    <n v="57"/>
    <n v="0.46"/>
    <s v="Desktop"/>
    <n v="40"/>
    <n v="0"/>
    <n v="1"/>
    <n v="0"/>
    <n v="0"/>
  </r>
  <r>
    <n v="5670"/>
    <s v="Male"/>
    <n v="49"/>
    <x v="3"/>
    <x v="2"/>
    <n v="26"/>
    <n v="87"/>
    <n v="0.44"/>
    <s v="Mobile"/>
    <n v="0"/>
    <n v="1"/>
    <n v="0"/>
    <n v="9.99"/>
    <n v="0"/>
  </r>
  <r>
    <n v="5671"/>
    <s v="Other"/>
    <n v="59"/>
    <x v="5"/>
    <x v="2"/>
    <n v="269"/>
    <n v="97"/>
    <n v="0.34"/>
    <s v="Desktop"/>
    <n v="0"/>
    <n v="1"/>
    <n v="0"/>
    <n v="9.99"/>
    <n v="0"/>
  </r>
  <r>
    <n v="5672"/>
    <s v="Female"/>
    <n v="33"/>
    <x v="0"/>
    <x v="3"/>
    <n v="182"/>
    <n v="6"/>
    <n v="0.4"/>
    <s v="Mobile"/>
    <n v="0"/>
    <n v="1"/>
    <n v="0"/>
    <n v="4.99"/>
    <n v="0"/>
  </r>
  <r>
    <n v="5673"/>
    <s v="Other"/>
    <n v="43"/>
    <x v="2"/>
    <x v="3"/>
    <n v="78"/>
    <n v="15"/>
    <n v="0.08"/>
    <s v="Mobile"/>
    <n v="0"/>
    <n v="1"/>
    <n v="0"/>
    <n v="4.99"/>
    <n v="0"/>
  </r>
  <r>
    <n v="5674"/>
    <s v="Male"/>
    <n v="49"/>
    <x v="4"/>
    <x v="2"/>
    <n v="53"/>
    <n v="14"/>
    <n v="0.09"/>
    <s v="Web"/>
    <n v="0"/>
    <n v="1"/>
    <n v="1"/>
    <n v="9.99"/>
    <n v="9.99"/>
  </r>
  <r>
    <n v="5675"/>
    <s v="Male"/>
    <n v="34"/>
    <x v="2"/>
    <x v="2"/>
    <n v="288"/>
    <n v="63"/>
    <n v="0.34"/>
    <s v="Desktop"/>
    <n v="0"/>
    <n v="1"/>
    <n v="0"/>
    <n v="9.99"/>
    <n v="0"/>
  </r>
  <r>
    <n v="5676"/>
    <s v="Female"/>
    <n v="19"/>
    <x v="3"/>
    <x v="1"/>
    <n v="57"/>
    <n v="44"/>
    <n v="0.55000000000000004"/>
    <s v="Desktop"/>
    <n v="0"/>
    <n v="1"/>
    <n v="0"/>
    <n v="14.99"/>
    <n v="0"/>
  </r>
  <r>
    <n v="5677"/>
    <s v="Other"/>
    <n v="56"/>
    <x v="2"/>
    <x v="0"/>
    <n v="74"/>
    <n v="1"/>
    <n v="0.02"/>
    <s v="Web"/>
    <n v="12"/>
    <n v="0"/>
    <n v="0"/>
    <n v="0"/>
    <n v="0"/>
  </r>
  <r>
    <n v="5678"/>
    <s v="Other"/>
    <n v="47"/>
    <x v="6"/>
    <x v="3"/>
    <n v="66"/>
    <n v="62"/>
    <n v="0.49"/>
    <s v="Mobile"/>
    <n v="0"/>
    <n v="1"/>
    <n v="0"/>
    <n v="4.99"/>
    <n v="0"/>
  </r>
  <r>
    <n v="5679"/>
    <s v="Other"/>
    <n v="42"/>
    <x v="5"/>
    <x v="2"/>
    <n v="264"/>
    <n v="50"/>
    <n v="0.57999999999999996"/>
    <s v="Web"/>
    <n v="0"/>
    <n v="1"/>
    <n v="0"/>
    <n v="9.99"/>
    <n v="0"/>
  </r>
  <r>
    <n v="5680"/>
    <s v="Female"/>
    <n v="58"/>
    <x v="1"/>
    <x v="1"/>
    <n v="213"/>
    <n v="86"/>
    <n v="0.28999999999999998"/>
    <s v="Desktop"/>
    <n v="0"/>
    <n v="1"/>
    <n v="0"/>
    <n v="14.99"/>
    <n v="0"/>
  </r>
  <r>
    <n v="5681"/>
    <s v="Female"/>
    <n v="53"/>
    <x v="1"/>
    <x v="0"/>
    <n v="115"/>
    <n v="70"/>
    <n v="0.05"/>
    <s v="Web"/>
    <n v="22"/>
    <n v="0"/>
    <n v="1"/>
    <n v="0"/>
    <n v="0"/>
  </r>
  <r>
    <n v="5682"/>
    <s v="Male"/>
    <n v="45"/>
    <x v="6"/>
    <x v="3"/>
    <n v="23"/>
    <n v="18"/>
    <n v="0.27"/>
    <s v="Desktop"/>
    <n v="0"/>
    <n v="1"/>
    <n v="1"/>
    <n v="4.99"/>
    <n v="4.99"/>
  </r>
  <r>
    <n v="5683"/>
    <s v="Other"/>
    <n v="50"/>
    <x v="4"/>
    <x v="0"/>
    <n v="160"/>
    <n v="94"/>
    <n v="0.5"/>
    <s v="Mobile"/>
    <n v="16"/>
    <n v="0"/>
    <n v="0"/>
    <n v="0"/>
    <n v="0"/>
  </r>
  <r>
    <n v="5684"/>
    <s v="Male"/>
    <n v="21"/>
    <x v="1"/>
    <x v="3"/>
    <n v="291"/>
    <n v="9"/>
    <n v="0.44"/>
    <s v="Desktop"/>
    <n v="0"/>
    <n v="1"/>
    <n v="1"/>
    <n v="4.99"/>
    <n v="4.99"/>
  </r>
  <r>
    <n v="5685"/>
    <s v="Other"/>
    <n v="42"/>
    <x v="2"/>
    <x v="2"/>
    <n v="98"/>
    <n v="41"/>
    <n v="0.03"/>
    <s v="Desktop"/>
    <n v="0"/>
    <n v="1"/>
    <n v="0"/>
    <n v="9.99"/>
    <n v="0"/>
  </r>
  <r>
    <n v="5686"/>
    <s v="Male"/>
    <n v="50"/>
    <x v="5"/>
    <x v="0"/>
    <n v="85"/>
    <n v="89"/>
    <n v="0.47"/>
    <s v="Mobile"/>
    <n v="16"/>
    <n v="0"/>
    <n v="1"/>
    <n v="0"/>
    <n v="0"/>
  </r>
  <r>
    <n v="5687"/>
    <s v="Female"/>
    <n v="48"/>
    <x v="7"/>
    <x v="3"/>
    <n v="206"/>
    <n v="12"/>
    <n v="0.36"/>
    <s v="Mobile"/>
    <n v="0"/>
    <n v="1"/>
    <n v="0"/>
    <n v="4.99"/>
    <n v="0"/>
  </r>
  <r>
    <n v="5688"/>
    <s v="Other"/>
    <n v="36"/>
    <x v="0"/>
    <x v="2"/>
    <n v="51"/>
    <n v="9"/>
    <n v="0.41"/>
    <s v="Mobile"/>
    <n v="0"/>
    <n v="1"/>
    <n v="0"/>
    <n v="9.99"/>
    <n v="0"/>
  </r>
  <r>
    <n v="5689"/>
    <s v="Other"/>
    <n v="21"/>
    <x v="7"/>
    <x v="0"/>
    <n v="236"/>
    <n v="85"/>
    <n v="0.16"/>
    <s v="Mobile"/>
    <n v="18"/>
    <n v="0"/>
    <n v="0"/>
    <n v="0"/>
    <n v="0"/>
  </r>
  <r>
    <n v="5690"/>
    <s v="Male"/>
    <n v="40"/>
    <x v="1"/>
    <x v="2"/>
    <n v="72"/>
    <n v="13"/>
    <n v="0.6"/>
    <s v="Web"/>
    <n v="0"/>
    <n v="1"/>
    <n v="0"/>
    <n v="9.99"/>
    <n v="0"/>
  </r>
  <r>
    <n v="5691"/>
    <s v="Other"/>
    <n v="46"/>
    <x v="3"/>
    <x v="0"/>
    <n v="268"/>
    <n v="68"/>
    <n v="0.59"/>
    <s v="Mobile"/>
    <n v="22"/>
    <n v="0"/>
    <n v="0"/>
    <n v="0"/>
    <n v="0"/>
  </r>
  <r>
    <n v="5692"/>
    <s v="Male"/>
    <n v="54"/>
    <x v="2"/>
    <x v="1"/>
    <n v="16"/>
    <n v="98"/>
    <n v="0.56000000000000005"/>
    <s v="Mobile"/>
    <n v="0"/>
    <n v="1"/>
    <n v="1"/>
    <n v="14.99"/>
    <n v="14.99"/>
  </r>
  <r>
    <n v="5693"/>
    <s v="Other"/>
    <n v="21"/>
    <x v="0"/>
    <x v="0"/>
    <n v="65"/>
    <n v="63"/>
    <n v="0.34"/>
    <s v="Desktop"/>
    <n v="6"/>
    <n v="0"/>
    <n v="0"/>
    <n v="0"/>
    <n v="0"/>
  </r>
  <r>
    <n v="5694"/>
    <s v="Other"/>
    <n v="34"/>
    <x v="7"/>
    <x v="3"/>
    <n v="31"/>
    <n v="80"/>
    <n v="0.01"/>
    <s v="Desktop"/>
    <n v="0"/>
    <n v="1"/>
    <n v="0"/>
    <n v="4.99"/>
    <n v="0"/>
  </r>
  <r>
    <n v="5695"/>
    <s v="Male"/>
    <n v="45"/>
    <x v="7"/>
    <x v="2"/>
    <n v="97"/>
    <n v="63"/>
    <n v="0.13"/>
    <s v="Web"/>
    <n v="0"/>
    <n v="1"/>
    <n v="0"/>
    <n v="9.99"/>
    <n v="0"/>
  </r>
  <r>
    <n v="5696"/>
    <s v="Male"/>
    <n v="33"/>
    <x v="2"/>
    <x v="0"/>
    <n v="36"/>
    <n v="47"/>
    <n v="0.31"/>
    <s v="Web"/>
    <n v="18"/>
    <n v="0"/>
    <n v="0"/>
    <n v="0"/>
    <n v="0"/>
  </r>
  <r>
    <n v="5697"/>
    <s v="Female"/>
    <n v="32"/>
    <x v="1"/>
    <x v="3"/>
    <n v="109"/>
    <n v="84"/>
    <n v="0.15"/>
    <s v="Desktop"/>
    <n v="0"/>
    <n v="1"/>
    <n v="0"/>
    <n v="4.99"/>
    <n v="0"/>
  </r>
  <r>
    <n v="5698"/>
    <s v="Other"/>
    <n v="52"/>
    <x v="1"/>
    <x v="0"/>
    <n v="168"/>
    <n v="87"/>
    <n v="0.22"/>
    <s v="Desktop"/>
    <n v="34"/>
    <n v="0"/>
    <n v="0"/>
    <n v="0"/>
    <n v="0"/>
  </r>
  <r>
    <n v="5699"/>
    <s v="Male"/>
    <n v="37"/>
    <x v="2"/>
    <x v="2"/>
    <n v="33"/>
    <n v="28"/>
    <n v="0.21"/>
    <s v="Web"/>
    <n v="0"/>
    <n v="1"/>
    <n v="0"/>
    <n v="9.99"/>
    <n v="0"/>
  </r>
  <r>
    <n v="5700"/>
    <s v="Female"/>
    <n v="49"/>
    <x v="2"/>
    <x v="0"/>
    <n v="12"/>
    <n v="41"/>
    <n v="0.41"/>
    <s v="Mobile"/>
    <n v="38"/>
    <n v="0"/>
    <n v="0"/>
    <n v="0"/>
    <n v="0"/>
  </r>
  <r>
    <n v="5701"/>
    <s v="Female"/>
    <n v="39"/>
    <x v="5"/>
    <x v="1"/>
    <n v="217"/>
    <n v="36"/>
    <n v="0.03"/>
    <s v="Desktop"/>
    <n v="0"/>
    <n v="1"/>
    <n v="1"/>
    <n v="14.99"/>
    <n v="14.99"/>
  </r>
  <r>
    <n v="5702"/>
    <s v="Male"/>
    <n v="58"/>
    <x v="4"/>
    <x v="2"/>
    <n v="258"/>
    <n v="79"/>
    <n v="0.53"/>
    <s v="Mobile"/>
    <n v="0"/>
    <n v="1"/>
    <n v="0"/>
    <n v="9.99"/>
    <n v="0"/>
  </r>
  <r>
    <n v="5703"/>
    <s v="Female"/>
    <n v="29"/>
    <x v="0"/>
    <x v="1"/>
    <n v="50"/>
    <n v="85"/>
    <n v="0.55000000000000004"/>
    <s v="Mobile"/>
    <n v="0"/>
    <n v="1"/>
    <n v="1"/>
    <n v="14.99"/>
    <n v="14.99"/>
  </r>
  <r>
    <n v="5704"/>
    <s v="Male"/>
    <n v="56"/>
    <x v="3"/>
    <x v="1"/>
    <n v="112"/>
    <n v="16"/>
    <n v="0.54"/>
    <s v="Mobile"/>
    <n v="0"/>
    <n v="1"/>
    <n v="0"/>
    <n v="14.99"/>
    <n v="0"/>
  </r>
  <r>
    <n v="5705"/>
    <s v="Male"/>
    <n v="38"/>
    <x v="7"/>
    <x v="0"/>
    <n v="93"/>
    <n v="91"/>
    <n v="0.28999999999999998"/>
    <s v="Mobile"/>
    <n v="29"/>
    <n v="0"/>
    <n v="0"/>
    <n v="0"/>
    <n v="0"/>
  </r>
  <r>
    <n v="5706"/>
    <s v="Male"/>
    <n v="50"/>
    <x v="2"/>
    <x v="1"/>
    <n v="126"/>
    <n v="42"/>
    <n v="0.46"/>
    <s v="Mobile"/>
    <n v="0"/>
    <n v="1"/>
    <n v="0"/>
    <n v="14.99"/>
    <n v="0"/>
  </r>
  <r>
    <n v="5707"/>
    <s v="Male"/>
    <n v="58"/>
    <x v="4"/>
    <x v="0"/>
    <n v="191"/>
    <n v="5"/>
    <n v="0.4"/>
    <s v="Desktop"/>
    <n v="25"/>
    <n v="0"/>
    <n v="0"/>
    <n v="0"/>
    <n v="0"/>
  </r>
  <r>
    <n v="5708"/>
    <s v="Male"/>
    <n v="53"/>
    <x v="6"/>
    <x v="0"/>
    <n v="258"/>
    <n v="48"/>
    <n v="0.15"/>
    <s v="Mobile"/>
    <n v="42"/>
    <n v="0"/>
    <n v="1"/>
    <n v="0"/>
    <n v="0"/>
  </r>
  <r>
    <n v="5709"/>
    <s v="Male"/>
    <n v="21"/>
    <x v="0"/>
    <x v="0"/>
    <n v="145"/>
    <n v="29"/>
    <n v="0.55000000000000004"/>
    <s v="Web"/>
    <n v="36"/>
    <n v="0"/>
    <n v="0"/>
    <n v="0"/>
    <n v="0"/>
  </r>
  <r>
    <n v="5710"/>
    <s v="Female"/>
    <n v="21"/>
    <x v="2"/>
    <x v="0"/>
    <n v="91"/>
    <n v="27"/>
    <n v="0.38"/>
    <s v="Desktop"/>
    <n v="8"/>
    <n v="0"/>
    <n v="0"/>
    <n v="0"/>
    <n v="0"/>
  </r>
  <r>
    <n v="5711"/>
    <s v="Other"/>
    <n v="46"/>
    <x v="2"/>
    <x v="3"/>
    <n v="40"/>
    <n v="29"/>
    <n v="0.24"/>
    <s v="Web"/>
    <n v="0"/>
    <n v="1"/>
    <n v="0"/>
    <n v="4.99"/>
    <n v="0"/>
  </r>
  <r>
    <n v="5712"/>
    <s v="Other"/>
    <n v="38"/>
    <x v="1"/>
    <x v="2"/>
    <n v="241"/>
    <n v="12"/>
    <n v="0.08"/>
    <s v="Web"/>
    <n v="0"/>
    <n v="1"/>
    <n v="1"/>
    <n v="9.99"/>
    <n v="9.99"/>
  </r>
  <r>
    <n v="5713"/>
    <s v="Female"/>
    <n v="54"/>
    <x v="4"/>
    <x v="0"/>
    <n v="285"/>
    <n v="5"/>
    <n v="0.36"/>
    <s v="Web"/>
    <n v="36"/>
    <n v="0"/>
    <n v="0"/>
    <n v="0"/>
    <n v="0"/>
  </r>
  <r>
    <n v="5714"/>
    <s v="Other"/>
    <n v="34"/>
    <x v="6"/>
    <x v="0"/>
    <n v="280"/>
    <n v="88"/>
    <n v="0.31"/>
    <s v="Web"/>
    <n v="14"/>
    <n v="0"/>
    <n v="1"/>
    <n v="0"/>
    <n v="0"/>
  </r>
  <r>
    <n v="5715"/>
    <s v="Male"/>
    <n v="23"/>
    <x v="1"/>
    <x v="1"/>
    <n v="15"/>
    <n v="43"/>
    <n v="0.26"/>
    <s v="Desktop"/>
    <n v="0"/>
    <n v="1"/>
    <n v="0"/>
    <n v="14.99"/>
    <n v="0"/>
  </r>
  <r>
    <n v="5716"/>
    <s v="Male"/>
    <n v="45"/>
    <x v="4"/>
    <x v="3"/>
    <n v="125"/>
    <n v="56"/>
    <n v="0.47"/>
    <s v="Web"/>
    <n v="0"/>
    <n v="1"/>
    <n v="0"/>
    <n v="4.99"/>
    <n v="0"/>
  </r>
  <r>
    <n v="5717"/>
    <s v="Female"/>
    <n v="24"/>
    <x v="0"/>
    <x v="3"/>
    <n v="35"/>
    <n v="67"/>
    <n v="0.37"/>
    <s v="Web"/>
    <n v="0"/>
    <n v="1"/>
    <n v="0"/>
    <n v="4.99"/>
    <n v="0"/>
  </r>
  <r>
    <n v="5718"/>
    <s v="Other"/>
    <n v="39"/>
    <x v="7"/>
    <x v="1"/>
    <n v="115"/>
    <n v="84"/>
    <n v="0.55000000000000004"/>
    <s v="Desktop"/>
    <n v="0"/>
    <n v="1"/>
    <n v="0"/>
    <n v="14.99"/>
    <n v="0"/>
  </r>
  <r>
    <n v="5719"/>
    <s v="Female"/>
    <n v="21"/>
    <x v="1"/>
    <x v="3"/>
    <n v="36"/>
    <n v="40"/>
    <n v="0.27"/>
    <s v="Desktop"/>
    <n v="0"/>
    <n v="1"/>
    <n v="0"/>
    <n v="4.99"/>
    <n v="0"/>
  </r>
  <r>
    <n v="5720"/>
    <s v="Female"/>
    <n v="16"/>
    <x v="0"/>
    <x v="0"/>
    <n v="65"/>
    <n v="95"/>
    <n v="0.59"/>
    <s v="Desktop"/>
    <n v="11"/>
    <n v="0"/>
    <n v="0"/>
    <n v="0"/>
    <n v="0"/>
  </r>
  <r>
    <n v="5721"/>
    <s v="Male"/>
    <n v="47"/>
    <x v="0"/>
    <x v="1"/>
    <n v="122"/>
    <n v="1"/>
    <n v="0.47"/>
    <s v="Mobile"/>
    <n v="0"/>
    <n v="1"/>
    <n v="0"/>
    <n v="14.99"/>
    <n v="0"/>
  </r>
  <r>
    <n v="5722"/>
    <s v="Other"/>
    <n v="47"/>
    <x v="5"/>
    <x v="2"/>
    <n v="82"/>
    <n v="72"/>
    <n v="0.27"/>
    <s v="Web"/>
    <n v="0"/>
    <n v="1"/>
    <n v="1"/>
    <n v="9.99"/>
    <n v="9.99"/>
  </r>
  <r>
    <n v="5723"/>
    <s v="Male"/>
    <n v="16"/>
    <x v="4"/>
    <x v="0"/>
    <n v="270"/>
    <n v="77"/>
    <n v="0.19"/>
    <s v="Mobile"/>
    <n v="48"/>
    <n v="0"/>
    <n v="0"/>
    <n v="0"/>
    <n v="0"/>
  </r>
  <r>
    <n v="5724"/>
    <s v="Male"/>
    <n v="58"/>
    <x v="7"/>
    <x v="1"/>
    <n v="123"/>
    <n v="49"/>
    <n v="0.17"/>
    <s v="Web"/>
    <n v="0"/>
    <n v="1"/>
    <n v="0"/>
    <n v="14.99"/>
    <n v="0"/>
  </r>
  <r>
    <n v="5725"/>
    <s v="Other"/>
    <n v="18"/>
    <x v="5"/>
    <x v="3"/>
    <n v="296"/>
    <n v="90"/>
    <n v="0.05"/>
    <s v="Web"/>
    <n v="0"/>
    <n v="1"/>
    <n v="1"/>
    <n v="4.99"/>
    <n v="4.99"/>
  </r>
  <r>
    <n v="5726"/>
    <s v="Other"/>
    <n v="32"/>
    <x v="1"/>
    <x v="1"/>
    <n v="164"/>
    <n v="32"/>
    <n v="0.21"/>
    <s v="Desktop"/>
    <n v="0"/>
    <n v="1"/>
    <n v="0"/>
    <n v="14.99"/>
    <n v="0"/>
  </r>
  <r>
    <n v="5727"/>
    <s v="Other"/>
    <n v="54"/>
    <x v="0"/>
    <x v="2"/>
    <n v="88"/>
    <n v="24"/>
    <n v="0.51"/>
    <s v="Web"/>
    <n v="0"/>
    <n v="1"/>
    <n v="1"/>
    <n v="9.99"/>
    <n v="9.99"/>
  </r>
  <r>
    <n v="5728"/>
    <s v="Female"/>
    <n v="53"/>
    <x v="7"/>
    <x v="1"/>
    <n v="249"/>
    <n v="53"/>
    <n v="0.28000000000000003"/>
    <s v="Mobile"/>
    <n v="0"/>
    <n v="1"/>
    <n v="1"/>
    <n v="14.99"/>
    <n v="14.99"/>
  </r>
  <r>
    <n v="5729"/>
    <s v="Male"/>
    <n v="36"/>
    <x v="0"/>
    <x v="3"/>
    <n v="51"/>
    <n v="91"/>
    <n v="0.31"/>
    <s v="Desktop"/>
    <n v="0"/>
    <n v="1"/>
    <n v="0"/>
    <n v="4.99"/>
    <n v="0"/>
  </r>
  <r>
    <n v="5730"/>
    <s v="Male"/>
    <n v="53"/>
    <x v="3"/>
    <x v="3"/>
    <n v="218"/>
    <n v="47"/>
    <n v="0.08"/>
    <s v="Mobile"/>
    <n v="0"/>
    <n v="1"/>
    <n v="0"/>
    <n v="4.99"/>
    <n v="0"/>
  </r>
  <r>
    <n v="5731"/>
    <s v="Female"/>
    <n v="27"/>
    <x v="0"/>
    <x v="1"/>
    <n v="104"/>
    <n v="66"/>
    <n v="0.45"/>
    <s v="Desktop"/>
    <n v="0"/>
    <n v="1"/>
    <n v="0"/>
    <n v="14.99"/>
    <n v="0"/>
  </r>
  <r>
    <n v="5732"/>
    <s v="Male"/>
    <n v="18"/>
    <x v="2"/>
    <x v="3"/>
    <n v="105"/>
    <n v="51"/>
    <n v="0.01"/>
    <s v="Mobile"/>
    <n v="0"/>
    <n v="1"/>
    <n v="1"/>
    <n v="4.99"/>
    <n v="4.99"/>
  </r>
  <r>
    <n v="5733"/>
    <s v="Other"/>
    <n v="17"/>
    <x v="2"/>
    <x v="3"/>
    <n v="299"/>
    <n v="26"/>
    <n v="0.16"/>
    <s v="Mobile"/>
    <n v="0"/>
    <n v="1"/>
    <n v="0"/>
    <n v="4.99"/>
    <n v="0"/>
  </r>
  <r>
    <n v="5734"/>
    <s v="Other"/>
    <n v="57"/>
    <x v="7"/>
    <x v="3"/>
    <n v="115"/>
    <n v="54"/>
    <n v="0.09"/>
    <s v="Desktop"/>
    <n v="0"/>
    <n v="1"/>
    <n v="0"/>
    <n v="4.99"/>
    <n v="0"/>
  </r>
  <r>
    <n v="5735"/>
    <s v="Male"/>
    <n v="25"/>
    <x v="3"/>
    <x v="0"/>
    <n v="68"/>
    <n v="13"/>
    <n v="0.51"/>
    <s v="Desktop"/>
    <n v="27"/>
    <n v="0"/>
    <n v="1"/>
    <n v="0"/>
    <n v="0"/>
  </r>
  <r>
    <n v="5736"/>
    <s v="Male"/>
    <n v="48"/>
    <x v="2"/>
    <x v="2"/>
    <n v="86"/>
    <n v="87"/>
    <n v="0.08"/>
    <s v="Mobile"/>
    <n v="0"/>
    <n v="1"/>
    <n v="0"/>
    <n v="9.99"/>
    <n v="0"/>
  </r>
  <r>
    <n v="5737"/>
    <s v="Female"/>
    <n v="41"/>
    <x v="2"/>
    <x v="1"/>
    <n v="188"/>
    <n v="92"/>
    <n v="0.52"/>
    <s v="Web"/>
    <n v="0"/>
    <n v="1"/>
    <n v="0"/>
    <n v="14.99"/>
    <n v="0"/>
  </r>
  <r>
    <n v="5738"/>
    <s v="Other"/>
    <n v="16"/>
    <x v="4"/>
    <x v="3"/>
    <n v="238"/>
    <n v="3"/>
    <n v="0.44"/>
    <s v="Desktop"/>
    <n v="0"/>
    <n v="1"/>
    <n v="0"/>
    <n v="4.99"/>
    <n v="0"/>
  </r>
  <r>
    <n v="5739"/>
    <s v="Female"/>
    <n v="52"/>
    <x v="4"/>
    <x v="0"/>
    <n v="137"/>
    <n v="65"/>
    <n v="0.33"/>
    <s v="Desktop"/>
    <n v="46"/>
    <n v="0"/>
    <n v="1"/>
    <n v="0"/>
    <n v="0"/>
  </r>
  <r>
    <n v="5740"/>
    <s v="Female"/>
    <n v="40"/>
    <x v="6"/>
    <x v="2"/>
    <n v="83"/>
    <n v="90"/>
    <n v="0.54"/>
    <s v="Mobile"/>
    <n v="0"/>
    <n v="1"/>
    <n v="0"/>
    <n v="9.99"/>
    <n v="0"/>
  </r>
  <r>
    <n v="5741"/>
    <s v="Female"/>
    <n v="52"/>
    <x v="0"/>
    <x v="0"/>
    <n v="281"/>
    <n v="80"/>
    <n v="0.56999999999999995"/>
    <s v="Desktop"/>
    <n v="17"/>
    <n v="0"/>
    <n v="0"/>
    <n v="0"/>
    <n v="0"/>
  </r>
  <r>
    <n v="5742"/>
    <s v="Other"/>
    <n v="49"/>
    <x v="1"/>
    <x v="0"/>
    <n v="290"/>
    <n v="2"/>
    <n v="0.43"/>
    <s v="Desktop"/>
    <n v="35"/>
    <n v="0"/>
    <n v="0"/>
    <n v="0"/>
    <n v="0"/>
  </r>
  <r>
    <n v="5743"/>
    <s v="Female"/>
    <n v="45"/>
    <x v="4"/>
    <x v="0"/>
    <n v="76"/>
    <n v="54"/>
    <n v="0.5"/>
    <s v="Mobile"/>
    <n v="41"/>
    <n v="0"/>
    <n v="0"/>
    <n v="0"/>
    <n v="0"/>
  </r>
  <r>
    <n v="5744"/>
    <s v="Female"/>
    <n v="53"/>
    <x v="6"/>
    <x v="1"/>
    <n v="192"/>
    <n v="56"/>
    <n v="0.43"/>
    <s v="Web"/>
    <n v="0"/>
    <n v="1"/>
    <n v="0"/>
    <n v="14.99"/>
    <n v="0"/>
  </r>
  <r>
    <n v="5745"/>
    <s v="Other"/>
    <n v="20"/>
    <x v="5"/>
    <x v="0"/>
    <n v="82"/>
    <n v="12"/>
    <n v="0.56000000000000005"/>
    <s v="Web"/>
    <n v="37"/>
    <n v="0"/>
    <n v="0"/>
    <n v="0"/>
    <n v="0"/>
  </r>
  <r>
    <n v="5746"/>
    <s v="Male"/>
    <n v="50"/>
    <x v="6"/>
    <x v="0"/>
    <n v="170"/>
    <n v="88"/>
    <n v="0.36"/>
    <s v="Desktop"/>
    <n v="10"/>
    <n v="0"/>
    <n v="0"/>
    <n v="0"/>
    <n v="0"/>
  </r>
  <r>
    <n v="5747"/>
    <s v="Female"/>
    <n v="39"/>
    <x v="7"/>
    <x v="2"/>
    <n v="286"/>
    <n v="7"/>
    <n v="0.18"/>
    <s v="Desktop"/>
    <n v="0"/>
    <n v="1"/>
    <n v="0"/>
    <n v="9.99"/>
    <n v="0"/>
  </r>
  <r>
    <n v="5748"/>
    <s v="Male"/>
    <n v="58"/>
    <x v="7"/>
    <x v="2"/>
    <n v="134"/>
    <n v="13"/>
    <n v="0.01"/>
    <s v="Desktop"/>
    <n v="0"/>
    <n v="1"/>
    <n v="0"/>
    <n v="9.99"/>
    <n v="0"/>
  </r>
  <r>
    <n v="5749"/>
    <s v="Other"/>
    <n v="24"/>
    <x v="6"/>
    <x v="1"/>
    <n v="51"/>
    <n v="44"/>
    <n v="0.46"/>
    <s v="Web"/>
    <n v="0"/>
    <n v="1"/>
    <n v="0"/>
    <n v="14.99"/>
    <n v="0"/>
  </r>
  <r>
    <n v="5750"/>
    <s v="Male"/>
    <n v="22"/>
    <x v="3"/>
    <x v="0"/>
    <n v="295"/>
    <n v="21"/>
    <n v="0.27"/>
    <s v="Web"/>
    <n v="17"/>
    <n v="0"/>
    <n v="1"/>
    <n v="0"/>
    <n v="0"/>
  </r>
  <r>
    <n v="5751"/>
    <s v="Male"/>
    <n v="49"/>
    <x v="0"/>
    <x v="2"/>
    <n v="248"/>
    <n v="61"/>
    <n v="0.49"/>
    <s v="Mobile"/>
    <n v="0"/>
    <n v="1"/>
    <n v="0"/>
    <n v="9.99"/>
    <n v="0"/>
  </r>
  <r>
    <n v="5752"/>
    <s v="Male"/>
    <n v="34"/>
    <x v="0"/>
    <x v="3"/>
    <n v="26"/>
    <n v="56"/>
    <n v="0.52"/>
    <s v="Mobile"/>
    <n v="0"/>
    <n v="1"/>
    <n v="0"/>
    <n v="4.99"/>
    <n v="0"/>
  </r>
  <r>
    <n v="5753"/>
    <s v="Female"/>
    <n v="32"/>
    <x v="3"/>
    <x v="3"/>
    <n v="153"/>
    <n v="78"/>
    <n v="0.14000000000000001"/>
    <s v="Desktop"/>
    <n v="0"/>
    <n v="1"/>
    <n v="0"/>
    <n v="4.99"/>
    <n v="0"/>
  </r>
  <r>
    <n v="5754"/>
    <s v="Male"/>
    <n v="29"/>
    <x v="5"/>
    <x v="3"/>
    <n v="270"/>
    <n v="71"/>
    <n v="0.14000000000000001"/>
    <s v="Web"/>
    <n v="0"/>
    <n v="1"/>
    <n v="0"/>
    <n v="4.99"/>
    <n v="0"/>
  </r>
  <r>
    <n v="5755"/>
    <s v="Other"/>
    <n v="20"/>
    <x v="2"/>
    <x v="2"/>
    <n v="226"/>
    <n v="85"/>
    <n v="0.36"/>
    <s v="Web"/>
    <n v="0"/>
    <n v="1"/>
    <n v="1"/>
    <n v="9.99"/>
    <n v="9.99"/>
  </r>
  <r>
    <n v="5756"/>
    <s v="Female"/>
    <n v="35"/>
    <x v="0"/>
    <x v="3"/>
    <n v="104"/>
    <n v="7"/>
    <n v="0.28000000000000003"/>
    <s v="Desktop"/>
    <n v="0"/>
    <n v="1"/>
    <n v="0"/>
    <n v="4.99"/>
    <n v="0"/>
  </r>
  <r>
    <n v="5757"/>
    <s v="Female"/>
    <n v="29"/>
    <x v="2"/>
    <x v="0"/>
    <n v="113"/>
    <n v="10"/>
    <n v="0.56000000000000005"/>
    <s v="Desktop"/>
    <n v="44"/>
    <n v="0"/>
    <n v="0"/>
    <n v="0"/>
    <n v="0"/>
  </r>
  <r>
    <n v="5758"/>
    <s v="Female"/>
    <n v="47"/>
    <x v="2"/>
    <x v="3"/>
    <n v="219"/>
    <n v="7"/>
    <n v="0.53"/>
    <s v="Mobile"/>
    <n v="0"/>
    <n v="1"/>
    <n v="0"/>
    <n v="4.99"/>
    <n v="0"/>
  </r>
  <r>
    <n v="5759"/>
    <s v="Other"/>
    <n v="57"/>
    <x v="3"/>
    <x v="1"/>
    <n v="224"/>
    <n v="59"/>
    <n v="0.55000000000000004"/>
    <s v="Desktop"/>
    <n v="0"/>
    <n v="1"/>
    <n v="0"/>
    <n v="14.99"/>
    <n v="0"/>
  </r>
  <r>
    <n v="5760"/>
    <s v="Female"/>
    <n v="48"/>
    <x v="7"/>
    <x v="3"/>
    <n v="166"/>
    <n v="50"/>
    <n v="0.39"/>
    <s v="Web"/>
    <n v="0"/>
    <n v="1"/>
    <n v="1"/>
    <n v="4.99"/>
    <n v="4.99"/>
  </r>
  <r>
    <n v="5761"/>
    <s v="Other"/>
    <n v="41"/>
    <x v="0"/>
    <x v="0"/>
    <n v="125"/>
    <n v="17"/>
    <n v="0.34"/>
    <s v="Mobile"/>
    <n v="33"/>
    <n v="0"/>
    <n v="1"/>
    <n v="0"/>
    <n v="0"/>
  </r>
  <r>
    <n v="5762"/>
    <s v="Male"/>
    <n v="31"/>
    <x v="5"/>
    <x v="0"/>
    <n v="110"/>
    <n v="70"/>
    <n v="0.33"/>
    <s v="Web"/>
    <n v="19"/>
    <n v="0"/>
    <n v="0"/>
    <n v="0"/>
    <n v="0"/>
  </r>
  <r>
    <n v="5763"/>
    <s v="Other"/>
    <n v="42"/>
    <x v="0"/>
    <x v="1"/>
    <n v="272"/>
    <n v="5"/>
    <n v="0.39"/>
    <s v="Desktop"/>
    <n v="0"/>
    <n v="1"/>
    <n v="0"/>
    <n v="14.99"/>
    <n v="0"/>
  </r>
  <r>
    <n v="5764"/>
    <s v="Other"/>
    <n v="27"/>
    <x v="2"/>
    <x v="3"/>
    <n v="97"/>
    <n v="1"/>
    <n v="0.46"/>
    <s v="Desktop"/>
    <n v="0"/>
    <n v="1"/>
    <n v="1"/>
    <n v="4.99"/>
    <n v="4.99"/>
  </r>
  <r>
    <n v="5765"/>
    <s v="Female"/>
    <n v="51"/>
    <x v="7"/>
    <x v="1"/>
    <n v="207"/>
    <n v="92"/>
    <n v="0.14000000000000001"/>
    <s v="Web"/>
    <n v="0"/>
    <n v="1"/>
    <n v="1"/>
    <n v="14.99"/>
    <n v="14.99"/>
  </r>
  <r>
    <n v="5766"/>
    <s v="Other"/>
    <n v="45"/>
    <x v="2"/>
    <x v="3"/>
    <n v="46"/>
    <n v="6"/>
    <n v="0.28000000000000003"/>
    <s v="Desktop"/>
    <n v="0"/>
    <n v="1"/>
    <n v="0"/>
    <n v="4.99"/>
    <n v="0"/>
  </r>
  <r>
    <n v="5767"/>
    <s v="Female"/>
    <n v="52"/>
    <x v="2"/>
    <x v="0"/>
    <n v="189"/>
    <n v="85"/>
    <n v="0.37"/>
    <s v="Web"/>
    <n v="13"/>
    <n v="0"/>
    <n v="0"/>
    <n v="0"/>
    <n v="0"/>
  </r>
  <r>
    <n v="5768"/>
    <s v="Male"/>
    <n v="47"/>
    <x v="6"/>
    <x v="2"/>
    <n v="297"/>
    <n v="34"/>
    <n v="0.38"/>
    <s v="Web"/>
    <n v="0"/>
    <n v="1"/>
    <n v="0"/>
    <n v="9.99"/>
    <n v="0"/>
  </r>
  <r>
    <n v="5769"/>
    <s v="Female"/>
    <n v="46"/>
    <x v="2"/>
    <x v="3"/>
    <n v="232"/>
    <n v="55"/>
    <n v="0.01"/>
    <s v="Web"/>
    <n v="0"/>
    <n v="1"/>
    <n v="1"/>
    <n v="4.99"/>
    <n v="4.99"/>
  </r>
  <r>
    <n v="5770"/>
    <s v="Male"/>
    <n v="48"/>
    <x v="3"/>
    <x v="2"/>
    <n v="285"/>
    <n v="16"/>
    <n v="0.32"/>
    <s v="Desktop"/>
    <n v="0"/>
    <n v="1"/>
    <n v="0"/>
    <n v="9.99"/>
    <n v="0"/>
  </r>
  <r>
    <n v="5771"/>
    <s v="Female"/>
    <n v="20"/>
    <x v="2"/>
    <x v="2"/>
    <n v="158"/>
    <n v="41"/>
    <n v="7.0000000000000007E-2"/>
    <s v="Mobile"/>
    <n v="0"/>
    <n v="1"/>
    <n v="1"/>
    <n v="9.99"/>
    <n v="9.99"/>
  </r>
  <r>
    <n v="5772"/>
    <s v="Male"/>
    <n v="40"/>
    <x v="0"/>
    <x v="3"/>
    <n v="298"/>
    <n v="92"/>
    <n v="0.51"/>
    <s v="Web"/>
    <n v="0"/>
    <n v="1"/>
    <n v="1"/>
    <n v="4.99"/>
    <n v="4.99"/>
  </r>
  <r>
    <n v="5773"/>
    <s v="Other"/>
    <n v="36"/>
    <x v="2"/>
    <x v="2"/>
    <n v="90"/>
    <n v="45"/>
    <n v="0.13"/>
    <s v="Web"/>
    <n v="0"/>
    <n v="1"/>
    <n v="1"/>
    <n v="9.99"/>
    <n v="9.99"/>
  </r>
  <r>
    <n v="5774"/>
    <s v="Other"/>
    <n v="57"/>
    <x v="3"/>
    <x v="0"/>
    <n v="221"/>
    <n v="22"/>
    <n v="0.44"/>
    <s v="Desktop"/>
    <n v="32"/>
    <n v="0"/>
    <n v="1"/>
    <n v="0"/>
    <n v="0"/>
  </r>
  <r>
    <n v="5775"/>
    <s v="Female"/>
    <n v="22"/>
    <x v="2"/>
    <x v="0"/>
    <n v="52"/>
    <n v="17"/>
    <n v="0.2"/>
    <s v="Mobile"/>
    <n v="32"/>
    <n v="0"/>
    <n v="0"/>
    <n v="0"/>
    <n v="0"/>
  </r>
  <r>
    <n v="5776"/>
    <s v="Female"/>
    <n v="54"/>
    <x v="5"/>
    <x v="0"/>
    <n v="37"/>
    <n v="55"/>
    <n v="0.48"/>
    <s v="Web"/>
    <n v="35"/>
    <n v="0"/>
    <n v="0"/>
    <n v="0"/>
    <n v="0"/>
  </r>
  <r>
    <n v="5777"/>
    <s v="Other"/>
    <n v="20"/>
    <x v="6"/>
    <x v="1"/>
    <n v="219"/>
    <n v="94"/>
    <n v="0.19"/>
    <s v="Web"/>
    <n v="0"/>
    <n v="1"/>
    <n v="0"/>
    <n v="14.99"/>
    <n v="0"/>
  </r>
  <r>
    <n v="5778"/>
    <s v="Male"/>
    <n v="53"/>
    <x v="7"/>
    <x v="2"/>
    <n v="213"/>
    <n v="18"/>
    <n v="0.26"/>
    <s v="Mobile"/>
    <n v="0"/>
    <n v="1"/>
    <n v="1"/>
    <n v="9.99"/>
    <n v="9.99"/>
  </r>
  <r>
    <n v="5779"/>
    <s v="Female"/>
    <n v="26"/>
    <x v="6"/>
    <x v="3"/>
    <n v="56"/>
    <n v="44"/>
    <n v="0.38"/>
    <s v="Web"/>
    <n v="0"/>
    <n v="1"/>
    <n v="0"/>
    <n v="4.99"/>
    <n v="0"/>
  </r>
  <r>
    <n v="5780"/>
    <s v="Male"/>
    <n v="43"/>
    <x v="7"/>
    <x v="3"/>
    <n v="258"/>
    <n v="47"/>
    <n v="0.16"/>
    <s v="Web"/>
    <n v="0"/>
    <n v="1"/>
    <n v="1"/>
    <n v="4.99"/>
    <n v="4.99"/>
  </r>
  <r>
    <n v="5781"/>
    <s v="Male"/>
    <n v="37"/>
    <x v="4"/>
    <x v="0"/>
    <n v="65"/>
    <n v="56"/>
    <n v="0.31"/>
    <s v="Desktop"/>
    <n v="44"/>
    <n v="0"/>
    <n v="0"/>
    <n v="0"/>
    <n v="0"/>
  </r>
  <r>
    <n v="5782"/>
    <s v="Other"/>
    <n v="24"/>
    <x v="2"/>
    <x v="3"/>
    <n v="10"/>
    <n v="85"/>
    <n v="0.33"/>
    <s v="Web"/>
    <n v="0"/>
    <n v="1"/>
    <n v="0"/>
    <n v="4.99"/>
    <n v="0"/>
  </r>
  <r>
    <n v="5783"/>
    <s v="Female"/>
    <n v="24"/>
    <x v="5"/>
    <x v="1"/>
    <n v="42"/>
    <n v="39"/>
    <n v="0.45"/>
    <s v="Web"/>
    <n v="0"/>
    <n v="1"/>
    <n v="0"/>
    <n v="14.99"/>
    <n v="0"/>
  </r>
  <r>
    <n v="5784"/>
    <s v="Male"/>
    <n v="54"/>
    <x v="3"/>
    <x v="1"/>
    <n v="107"/>
    <n v="30"/>
    <n v="0.1"/>
    <s v="Mobile"/>
    <n v="0"/>
    <n v="1"/>
    <n v="0"/>
    <n v="14.99"/>
    <n v="0"/>
  </r>
  <r>
    <n v="5785"/>
    <s v="Male"/>
    <n v="24"/>
    <x v="7"/>
    <x v="1"/>
    <n v="66"/>
    <n v="81"/>
    <n v="0.5"/>
    <s v="Web"/>
    <n v="0"/>
    <n v="1"/>
    <n v="0"/>
    <n v="14.99"/>
    <n v="0"/>
  </r>
  <r>
    <n v="5786"/>
    <s v="Other"/>
    <n v="38"/>
    <x v="2"/>
    <x v="3"/>
    <n v="261"/>
    <n v="60"/>
    <n v="0.32"/>
    <s v="Web"/>
    <n v="0"/>
    <n v="1"/>
    <n v="0"/>
    <n v="4.99"/>
    <n v="0"/>
  </r>
  <r>
    <n v="5787"/>
    <s v="Female"/>
    <n v="44"/>
    <x v="3"/>
    <x v="1"/>
    <n v="193"/>
    <n v="85"/>
    <n v="0.4"/>
    <s v="Desktop"/>
    <n v="0"/>
    <n v="1"/>
    <n v="0"/>
    <n v="14.99"/>
    <n v="0"/>
  </r>
  <r>
    <n v="5788"/>
    <s v="Other"/>
    <n v="24"/>
    <x v="1"/>
    <x v="1"/>
    <n v="40"/>
    <n v="38"/>
    <n v="0.56999999999999995"/>
    <s v="Desktop"/>
    <n v="0"/>
    <n v="1"/>
    <n v="0"/>
    <n v="14.99"/>
    <n v="0"/>
  </r>
  <r>
    <n v="5789"/>
    <s v="Male"/>
    <n v="34"/>
    <x v="4"/>
    <x v="3"/>
    <n v="13"/>
    <n v="90"/>
    <n v="0.44"/>
    <s v="Web"/>
    <n v="0"/>
    <n v="1"/>
    <n v="1"/>
    <n v="4.99"/>
    <n v="4.99"/>
  </r>
  <r>
    <n v="5790"/>
    <s v="Other"/>
    <n v="48"/>
    <x v="7"/>
    <x v="0"/>
    <n v="23"/>
    <n v="76"/>
    <n v="0.01"/>
    <s v="Web"/>
    <n v="17"/>
    <n v="0"/>
    <n v="0"/>
    <n v="0"/>
    <n v="0"/>
  </r>
  <r>
    <n v="5791"/>
    <s v="Other"/>
    <n v="31"/>
    <x v="0"/>
    <x v="3"/>
    <n v="227"/>
    <n v="74"/>
    <n v="0.47"/>
    <s v="Web"/>
    <n v="0"/>
    <n v="1"/>
    <n v="1"/>
    <n v="4.99"/>
    <n v="4.99"/>
  </r>
  <r>
    <n v="5792"/>
    <s v="Other"/>
    <n v="52"/>
    <x v="5"/>
    <x v="2"/>
    <n v="163"/>
    <n v="87"/>
    <n v="0.45"/>
    <s v="Mobile"/>
    <n v="0"/>
    <n v="1"/>
    <n v="0"/>
    <n v="9.99"/>
    <n v="0"/>
  </r>
  <r>
    <n v="5793"/>
    <s v="Female"/>
    <n v="49"/>
    <x v="2"/>
    <x v="3"/>
    <n v="195"/>
    <n v="60"/>
    <n v="0.33"/>
    <s v="Web"/>
    <n v="0"/>
    <n v="1"/>
    <n v="0"/>
    <n v="4.99"/>
    <n v="0"/>
  </r>
  <r>
    <n v="5794"/>
    <s v="Female"/>
    <n v="25"/>
    <x v="1"/>
    <x v="2"/>
    <n v="270"/>
    <n v="35"/>
    <n v="0.32"/>
    <s v="Mobile"/>
    <n v="0"/>
    <n v="1"/>
    <n v="0"/>
    <n v="9.99"/>
    <n v="0"/>
  </r>
  <r>
    <n v="5795"/>
    <s v="Other"/>
    <n v="36"/>
    <x v="6"/>
    <x v="2"/>
    <n v="99"/>
    <n v="38"/>
    <n v="0.56000000000000005"/>
    <s v="Mobile"/>
    <n v="0"/>
    <n v="1"/>
    <n v="0"/>
    <n v="9.99"/>
    <n v="0"/>
  </r>
  <r>
    <n v="5796"/>
    <s v="Female"/>
    <n v="50"/>
    <x v="3"/>
    <x v="0"/>
    <n v="224"/>
    <n v="39"/>
    <n v="0.25"/>
    <s v="Desktop"/>
    <n v="8"/>
    <n v="0"/>
    <n v="0"/>
    <n v="0"/>
    <n v="0"/>
  </r>
  <r>
    <n v="5797"/>
    <s v="Female"/>
    <n v="37"/>
    <x v="1"/>
    <x v="2"/>
    <n v="116"/>
    <n v="29"/>
    <n v="0.57999999999999996"/>
    <s v="Desktop"/>
    <n v="0"/>
    <n v="1"/>
    <n v="0"/>
    <n v="9.99"/>
    <n v="0"/>
  </r>
  <r>
    <n v="5798"/>
    <s v="Other"/>
    <n v="38"/>
    <x v="1"/>
    <x v="1"/>
    <n v="278"/>
    <n v="3"/>
    <n v="0.25"/>
    <s v="Web"/>
    <n v="0"/>
    <n v="1"/>
    <n v="1"/>
    <n v="14.99"/>
    <n v="14.99"/>
  </r>
  <r>
    <n v="5799"/>
    <s v="Female"/>
    <n v="23"/>
    <x v="1"/>
    <x v="3"/>
    <n v="62"/>
    <n v="86"/>
    <n v="0.5"/>
    <s v="Web"/>
    <n v="0"/>
    <n v="1"/>
    <n v="1"/>
    <n v="4.99"/>
    <n v="4.99"/>
  </r>
  <r>
    <n v="5800"/>
    <s v="Male"/>
    <n v="56"/>
    <x v="5"/>
    <x v="2"/>
    <n v="217"/>
    <n v="34"/>
    <n v="0.15"/>
    <s v="Desktop"/>
    <n v="0"/>
    <n v="1"/>
    <n v="0"/>
    <n v="9.99"/>
    <n v="0"/>
  </r>
  <r>
    <n v="5801"/>
    <s v="Male"/>
    <n v="41"/>
    <x v="1"/>
    <x v="3"/>
    <n v="126"/>
    <n v="66"/>
    <n v="0.59"/>
    <s v="Web"/>
    <n v="0"/>
    <n v="1"/>
    <n v="1"/>
    <n v="4.99"/>
    <n v="4.99"/>
  </r>
  <r>
    <n v="5802"/>
    <s v="Other"/>
    <n v="59"/>
    <x v="6"/>
    <x v="3"/>
    <n v="116"/>
    <n v="90"/>
    <n v="0.14000000000000001"/>
    <s v="Mobile"/>
    <n v="0"/>
    <n v="1"/>
    <n v="0"/>
    <n v="4.99"/>
    <n v="0"/>
  </r>
  <r>
    <n v="5803"/>
    <s v="Other"/>
    <n v="16"/>
    <x v="4"/>
    <x v="2"/>
    <n v="79"/>
    <n v="61"/>
    <n v="0.48"/>
    <s v="Mobile"/>
    <n v="0"/>
    <n v="1"/>
    <n v="0"/>
    <n v="9.99"/>
    <n v="0"/>
  </r>
  <r>
    <n v="5804"/>
    <s v="Female"/>
    <n v="21"/>
    <x v="4"/>
    <x v="3"/>
    <n v="206"/>
    <n v="30"/>
    <n v="0.38"/>
    <s v="Desktop"/>
    <n v="0"/>
    <n v="1"/>
    <n v="0"/>
    <n v="4.99"/>
    <n v="0"/>
  </r>
  <r>
    <n v="5805"/>
    <s v="Other"/>
    <n v="22"/>
    <x v="6"/>
    <x v="1"/>
    <n v="53"/>
    <n v="51"/>
    <n v="0.44"/>
    <s v="Mobile"/>
    <n v="0"/>
    <n v="1"/>
    <n v="0"/>
    <n v="14.99"/>
    <n v="0"/>
  </r>
  <r>
    <n v="5806"/>
    <s v="Male"/>
    <n v="58"/>
    <x v="3"/>
    <x v="2"/>
    <n v="43"/>
    <n v="18"/>
    <n v="0.15"/>
    <s v="Web"/>
    <n v="0"/>
    <n v="1"/>
    <n v="1"/>
    <n v="9.99"/>
    <n v="9.99"/>
  </r>
  <r>
    <n v="5807"/>
    <s v="Other"/>
    <n v="28"/>
    <x v="6"/>
    <x v="3"/>
    <n v="145"/>
    <n v="90"/>
    <n v="0.28000000000000003"/>
    <s v="Desktop"/>
    <n v="0"/>
    <n v="1"/>
    <n v="0"/>
    <n v="4.99"/>
    <n v="0"/>
  </r>
  <r>
    <n v="5808"/>
    <s v="Female"/>
    <n v="16"/>
    <x v="0"/>
    <x v="1"/>
    <n v="57"/>
    <n v="74"/>
    <n v="0.51"/>
    <s v="Web"/>
    <n v="0"/>
    <n v="1"/>
    <n v="0"/>
    <n v="14.99"/>
    <n v="0"/>
  </r>
  <r>
    <n v="5809"/>
    <s v="Male"/>
    <n v="25"/>
    <x v="6"/>
    <x v="3"/>
    <n v="149"/>
    <n v="92"/>
    <n v="0.33"/>
    <s v="Desktop"/>
    <n v="0"/>
    <n v="1"/>
    <n v="1"/>
    <n v="4.99"/>
    <n v="4.99"/>
  </r>
  <r>
    <n v="5810"/>
    <s v="Female"/>
    <n v="54"/>
    <x v="7"/>
    <x v="2"/>
    <n v="85"/>
    <n v="19"/>
    <n v="0.34"/>
    <s v="Web"/>
    <n v="0"/>
    <n v="1"/>
    <n v="0"/>
    <n v="9.99"/>
    <n v="0"/>
  </r>
  <r>
    <n v="5811"/>
    <s v="Male"/>
    <n v="17"/>
    <x v="0"/>
    <x v="1"/>
    <n v="70"/>
    <n v="5"/>
    <n v="0.6"/>
    <s v="Mobile"/>
    <n v="0"/>
    <n v="1"/>
    <n v="0"/>
    <n v="14.99"/>
    <n v="0"/>
  </r>
  <r>
    <n v="5812"/>
    <s v="Other"/>
    <n v="34"/>
    <x v="0"/>
    <x v="0"/>
    <n v="135"/>
    <n v="31"/>
    <n v="0.2"/>
    <s v="Mobile"/>
    <n v="46"/>
    <n v="0"/>
    <n v="0"/>
    <n v="0"/>
    <n v="0"/>
  </r>
  <r>
    <n v="5813"/>
    <s v="Male"/>
    <n v="32"/>
    <x v="3"/>
    <x v="2"/>
    <n v="204"/>
    <n v="16"/>
    <n v="0.53"/>
    <s v="Desktop"/>
    <n v="0"/>
    <n v="1"/>
    <n v="1"/>
    <n v="9.99"/>
    <n v="9.99"/>
  </r>
  <r>
    <n v="5814"/>
    <s v="Other"/>
    <n v="29"/>
    <x v="2"/>
    <x v="0"/>
    <n v="177"/>
    <n v="96"/>
    <n v="0.18"/>
    <s v="Web"/>
    <n v="17"/>
    <n v="0"/>
    <n v="1"/>
    <n v="0"/>
    <n v="0"/>
  </r>
  <r>
    <n v="5815"/>
    <s v="Male"/>
    <n v="26"/>
    <x v="5"/>
    <x v="3"/>
    <n v="238"/>
    <n v="1"/>
    <n v="0.05"/>
    <s v="Mobile"/>
    <n v="0"/>
    <n v="1"/>
    <n v="0"/>
    <n v="4.99"/>
    <n v="0"/>
  </r>
  <r>
    <n v="5816"/>
    <s v="Male"/>
    <n v="52"/>
    <x v="4"/>
    <x v="3"/>
    <n v="151"/>
    <n v="54"/>
    <n v="0.19"/>
    <s v="Desktop"/>
    <n v="0"/>
    <n v="1"/>
    <n v="0"/>
    <n v="4.99"/>
    <n v="0"/>
  </r>
  <r>
    <n v="5817"/>
    <s v="Male"/>
    <n v="24"/>
    <x v="7"/>
    <x v="0"/>
    <n v="136"/>
    <n v="50"/>
    <n v="0.4"/>
    <s v="Desktop"/>
    <n v="6"/>
    <n v="0"/>
    <n v="0"/>
    <n v="0"/>
    <n v="0"/>
  </r>
  <r>
    <n v="5818"/>
    <s v="Female"/>
    <n v="20"/>
    <x v="0"/>
    <x v="1"/>
    <n v="74"/>
    <n v="10"/>
    <n v="0.09"/>
    <s v="Mobile"/>
    <n v="0"/>
    <n v="1"/>
    <n v="1"/>
    <n v="14.99"/>
    <n v="14.99"/>
  </r>
  <r>
    <n v="5819"/>
    <s v="Other"/>
    <n v="56"/>
    <x v="7"/>
    <x v="0"/>
    <n v="232"/>
    <n v="63"/>
    <n v="0.01"/>
    <s v="Mobile"/>
    <n v="35"/>
    <n v="0"/>
    <n v="0"/>
    <n v="0"/>
    <n v="0"/>
  </r>
  <r>
    <n v="5820"/>
    <s v="Male"/>
    <n v="34"/>
    <x v="4"/>
    <x v="2"/>
    <n v="138"/>
    <n v="41"/>
    <n v="0.04"/>
    <s v="Web"/>
    <n v="0"/>
    <n v="1"/>
    <n v="0"/>
    <n v="9.99"/>
    <n v="0"/>
  </r>
  <r>
    <n v="5821"/>
    <s v="Female"/>
    <n v="50"/>
    <x v="0"/>
    <x v="0"/>
    <n v="297"/>
    <n v="44"/>
    <n v="0.34"/>
    <s v="Desktop"/>
    <n v="26"/>
    <n v="0"/>
    <n v="1"/>
    <n v="0"/>
    <n v="0"/>
  </r>
  <r>
    <n v="5822"/>
    <s v="Female"/>
    <n v="36"/>
    <x v="6"/>
    <x v="1"/>
    <n v="19"/>
    <n v="81"/>
    <n v="0.52"/>
    <s v="Mobile"/>
    <n v="0"/>
    <n v="1"/>
    <n v="0"/>
    <n v="14.99"/>
    <n v="0"/>
  </r>
  <r>
    <n v="5823"/>
    <s v="Female"/>
    <n v="56"/>
    <x v="6"/>
    <x v="0"/>
    <n v="264"/>
    <n v="28"/>
    <n v="0.3"/>
    <s v="Mobile"/>
    <n v="8"/>
    <n v="0"/>
    <n v="0"/>
    <n v="0"/>
    <n v="0"/>
  </r>
  <r>
    <n v="5824"/>
    <s v="Other"/>
    <n v="22"/>
    <x v="1"/>
    <x v="1"/>
    <n v="203"/>
    <n v="92"/>
    <n v="0.35"/>
    <s v="Mobile"/>
    <n v="0"/>
    <n v="1"/>
    <n v="0"/>
    <n v="14.99"/>
    <n v="0"/>
  </r>
  <r>
    <n v="5825"/>
    <s v="Female"/>
    <n v="25"/>
    <x v="2"/>
    <x v="0"/>
    <n v="104"/>
    <n v="51"/>
    <n v="0.2"/>
    <s v="Desktop"/>
    <n v="28"/>
    <n v="0"/>
    <n v="0"/>
    <n v="0"/>
    <n v="0"/>
  </r>
  <r>
    <n v="5826"/>
    <s v="Male"/>
    <n v="41"/>
    <x v="2"/>
    <x v="2"/>
    <n v="272"/>
    <n v="3"/>
    <n v="0.47"/>
    <s v="Desktop"/>
    <n v="0"/>
    <n v="1"/>
    <n v="0"/>
    <n v="9.99"/>
    <n v="0"/>
  </r>
  <r>
    <n v="5827"/>
    <s v="Male"/>
    <n v="52"/>
    <x v="5"/>
    <x v="3"/>
    <n v="299"/>
    <n v="56"/>
    <n v="0.59"/>
    <s v="Desktop"/>
    <n v="0"/>
    <n v="1"/>
    <n v="0"/>
    <n v="4.99"/>
    <n v="0"/>
  </r>
  <r>
    <n v="5828"/>
    <s v="Other"/>
    <n v="35"/>
    <x v="6"/>
    <x v="1"/>
    <n v="249"/>
    <n v="64"/>
    <n v="0.56000000000000005"/>
    <s v="Web"/>
    <n v="0"/>
    <n v="1"/>
    <n v="0"/>
    <n v="14.99"/>
    <n v="0"/>
  </r>
  <r>
    <n v="5829"/>
    <s v="Other"/>
    <n v="39"/>
    <x v="6"/>
    <x v="3"/>
    <n v="201"/>
    <n v="60"/>
    <n v="0.51"/>
    <s v="Web"/>
    <n v="0"/>
    <n v="1"/>
    <n v="1"/>
    <n v="4.99"/>
    <n v="4.99"/>
  </r>
  <r>
    <n v="5830"/>
    <s v="Male"/>
    <n v="40"/>
    <x v="5"/>
    <x v="0"/>
    <n v="103"/>
    <n v="85"/>
    <n v="0.38"/>
    <s v="Mobile"/>
    <n v="33"/>
    <n v="0"/>
    <n v="1"/>
    <n v="0"/>
    <n v="0"/>
  </r>
  <r>
    <n v="5831"/>
    <s v="Other"/>
    <n v="24"/>
    <x v="4"/>
    <x v="0"/>
    <n v="226"/>
    <n v="98"/>
    <n v="0.1"/>
    <s v="Web"/>
    <n v="20"/>
    <n v="0"/>
    <n v="0"/>
    <n v="0"/>
    <n v="0"/>
  </r>
  <r>
    <n v="5832"/>
    <s v="Male"/>
    <n v="44"/>
    <x v="2"/>
    <x v="1"/>
    <n v="137"/>
    <n v="38"/>
    <n v="0.2"/>
    <s v="Desktop"/>
    <n v="0"/>
    <n v="1"/>
    <n v="0"/>
    <n v="14.99"/>
    <n v="0"/>
  </r>
  <r>
    <n v="5833"/>
    <s v="Male"/>
    <n v="54"/>
    <x v="2"/>
    <x v="2"/>
    <n v="43"/>
    <n v="26"/>
    <n v="0.59"/>
    <s v="Mobile"/>
    <n v="0"/>
    <n v="1"/>
    <n v="1"/>
    <n v="9.99"/>
    <n v="9.99"/>
  </r>
  <r>
    <n v="5834"/>
    <s v="Other"/>
    <n v="46"/>
    <x v="7"/>
    <x v="1"/>
    <n v="81"/>
    <n v="38"/>
    <n v="0.33"/>
    <s v="Mobile"/>
    <n v="0"/>
    <n v="1"/>
    <n v="0"/>
    <n v="14.99"/>
    <n v="0"/>
  </r>
  <r>
    <n v="5835"/>
    <s v="Male"/>
    <n v="21"/>
    <x v="7"/>
    <x v="2"/>
    <n v="137"/>
    <n v="75"/>
    <n v="0.05"/>
    <s v="Mobile"/>
    <n v="0"/>
    <n v="1"/>
    <n v="0"/>
    <n v="9.99"/>
    <n v="0"/>
  </r>
  <r>
    <n v="5836"/>
    <s v="Male"/>
    <n v="20"/>
    <x v="5"/>
    <x v="2"/>
    <n v="248"/>
    <n v="79"/>
    <n v="7.0000000000000007E-2"/>
    <s v="Desktop"/>
    <n v="0"/>
    <n v="1"/>
    <n v="0"/>
    <n v="9.99"/>
    <n v="0"/>
  </r>
  <r>
    <n v="5837"/>
    <s v="Female"/>
    <n v="24"/>
    <x v="1"/>
    <x v="1"/>
    <n v="151"/>
    <n v="30"/>
    <n v="0.16"/>
    <s v="Mobile"/>
    <n v="0"/>
    <n v="1"/>
    <n v="1"/>
    <n v="14.99"/>
    <n v="14.99"/>
  </r>
  <r>
    <n v="5838"/>
    <s v="Other"/>
    <n v="46"/>
    <x v="6"/>
    <x v="1"/>
    <n v="32"/>
    <n v="29"/>
    <n v="0.19"/>
    <s v="Desktop"/>
    <n v="0"/>
    <n v="1"/>
    <n v="0"/>
    <n v="14.99"/>
    <n v="0"/>
  </r>
  <r>
    <n v="5839"/>
    <s v="Other"/>
    <n v="25"/>
    <x v="4"/>
    <x v="0"/>
    <n v="36"/>
    <n v="16"/>
    <n v="0.5"/>
    <s v="Mobile"/>
    <n v="11"/>
    <n v="0"/>
    <n v="0"/>
    <n v="0"/>
    <n v="0"/>
  </r>
  <r>
    <n v="5840"/>
    <s v="Other"/>
    <n v="34"/>
    <x v="2"/>
    <x v="0"/>
    <n v="262"/>
    <n v="17"/>
    <n v="0.18"/>
    <s v="Desktop"/>
    <n v="27"/>
    <n v="0"/>
    <n v="0"/>
    <n v="0"/>
    <n v="0"/>
  </r>
  <r>
    <n v="5841"/>
    <s v="Male"/>
    <n v="36"/>
    <x v="4"/>
    <x v="0"/>
    <n v="54"/>
    <n v="37"/>
    <n v="0.52"/>
    <s v="Mobile"/>
    <n v="27"/>
    <n v="0"/>
    <n v="0"/>
    <n v="0"/>
    <n v="0"/>
  </r>
  <r>
    <n v="5842"/>
    <s v="Male"/>
    <n v="37"/>
    <x v="3"/>
    <x v="3"/>
    <n v="52"/>
    <n v="41"/>
    <n v="0.28000000000000003"/>
    <s v="Mobile"/>
    <n v="0"/>
    <n v="1"/>
    <n v="0"/>
    <n v="4.99"/>
    <n v="0"/>
  </r>
  <r>
    <n v="5843"/>
    <s v="Female"/>
    <n v="31"/>
    <x v="6"/>
    <x v="0"/>
    <n v="145"/>
    <n v="7"/>
    <n v="0.01"/>
    <s v="Web"/>
    <n v="41"/>
    <n v="0"/>
    <n v="0"/>
    <n v="0"/>
    <n v="0"/>
  </r>
  <r>
    <n v="5844"/>
    <s v="Other"/>
    <n v="17"/>
    <x v="1"/>
    <x v="2"/>
    <n v="32"/>
    <n v="71"/>
    <n v="0.27"/>
    <s v="Desktop"/>
    <n v="0"/>
    <n v="1"/>
    <n v="0"/>
    <n v="9.99"/>
    <n v="0"/>
  </r>
  <r>
    <n v="5845"/>
    <s v="Male"/>
    <n v="58"/>
    <x v="1"/>
    <x v="1"/>
    <n v="295"/>
    <n v="12"/>
    <n v="0.49"/>
    <s v="Web"/>
    <n v="0"/>
    <n v="1"/>
    <n v="0"/>
    <n v="14.99"/>
    <n v="0"/>
  </r>
  <r>
    <n v="5846"/>
    <s v="Female"/>
    <n v="18"/>
    <x v="2"/>
    <x v="2"/>
    <n v="139"/>
    <n v="55"/>
    <n v="0.44"/>
    <s v="Mobile"/>
    <n v="0"/>
    <n v="1"/>
    <n v="0"/>
    <n v="9.99"/>
    <n v="0"/>
  </r>
  <r>
    <n v="5847"/>
    <s v="Female"/>
    <n v="57"/>
    <x v="2"/>
    <x v="2"/>
    <n v="125"/>
    <n v="60"/>
    <n v="0.26"/>
    <s v="Web"/>
    <n v="0"/>
    <n v="1"/>
    <n v="1"/>
    <n v="9.99"/>
    <n v="9.99"/>
  </r>
  <r>
    <n v="5848"/>
    <s v="Male"/>
    <n v="31"/>
    <x v="1"/>
    <x v="0"/>
    <n v="151"/>
    <n v="46"/>
    <n v="0.6"/>
    <s v="Desktop"/>
    <n v="18"/>
    <n v="0"/>
    <n v="0"/>
    <n v="0"/>
    <n v="0"/>
  </r>
  <r>
    <n v="5849"/>
    <s v="Female"/>
    <n v="43"/>
    <x v="5"/>
    <x v="3"/>
    <n v="275"/>
    <n v="38"/>
    <n v="0.59"/>
    <s v="Web"/>
    <n v="0"/>
    <n v="1"/>
    <n v="0"/>
    <n v="4.99"/>
    <n v="0"/>
  </r>
  <r>
    <n v="5850"/>
    <s v="Female"/>
    <n v="37"/>
    <x v="3"/>
    <x v="1"/>
    <n v="204"/>
    <n v="59"/>
    <n v="0.39"/>
    <s v="Mobile"/>
    <n v="0"/>
    <n v="1"/>
    <n v="1"/>
    <n v="14.99"/>
    <n v="14.99"/>
  </r>
  <r>
    <n v="5851"/>
    <s v="Other"/>
    <n v="27"/>
    <x v="5"/>
    <x v="1"/>
    <n v="234"/>
    <n v="56"/>
    <n v="0.15"/>
    <s v="Web"/>
    <n v="0"/>
    <n v="1"/>
    <n v="0"/>
    <n v="14.99"/>
    <n v="0"/>
  </r>
  <r>
    <n v="5852"/>
    <s v="Male"/>
    <n v="30"/>
    <x v="2"/>
    <x v="1"/>
    <n v="267"/>
    <n v="45"/>
    <n v="0.17"/>
    <s v="Mobile"/>
    <n v="0"/>
    <n v="1"/>
    <n v="1"/>
    <n v="14.99"/>
    <n v="14.99"/>
  </r>
  <r>
    <n v="5853"/>
    <s v="Male"/>
    <n v="51"/>
    <x v="5"/>
    <x v="0"/>
    <n v="263"/>
    <n v="83"/>
    <n v="0.03"/>
    <s v="Desktop"/>
    <n v="42"/>
    <n v="0"/>
    <n v="1"/>
    <n v="0"/>
    <n v="0"/>
  </r>
  <r>
    <n v="5854"/>
    <s v="Male"/>
    <n v="30"/>
    <x v="2"/>
    <x v="1"/>
    <n v="78"/>
    <n v="65"/>
    <n v="0.08"/>
    <s v="Desktop"/>
    <n v="0"/>
    <n v="1"/>
    <n v="1"/>
    <n v="14.99"/>
    <n v="14.99"/>
  </r>
  <r>
    <n v="5855"/>
    <s v="Male"/>
    <n v="37"/>
    <x v="3"/>
    <x v="3"/>
    <n v="199"/>
    <n v="55"/>
    <n v="0.28000000000000003"/>
    <s v="Mobile"/>
    <n v="0"/>
    <n v="1"/>
    <n v="0"/>
    <n v="4.99"/>
    <n v="0"/>
  </r>
  <r>
    <n v="5856"/>
    <s v="Other"/>
    <n v="23"/>
    <x v="3"/>
    <x v="0"/>
    <n v="103"/>
    <n v="10"/>
    <n v="0.57999999999999996"/>
    <s v="Mobile"/>
    <n v="38"/>
    <n v="0"/>
    <n v="0"/>
    <n v="0"/>
    <n v="0"/>
  </r>
  <r>
    <n v="5857"/>
    <s v="Male"/>
    <n v="32"/>
    <x v="5"/>
    <x v="2"/>
    <n v="114"/>
    <n v="62"/>
    <n v="0.59"/>
    <s v="Desktop"/>
    <n v="0"/>
    <n v="1"/>
    <n v="1"/>
    <n v="9.99"/>
    <n v="9.99"/>
  </r>
  <r>
    <n v="5858"/>
    <s v="Other"/>
    <n v="50"/>
    <x v="0"/>
    <x v="2"/>
    <n v="25"/>
    <n v="28"/>
    <n v="0.11"/>
    <s v="Mobile"/>
    <n v="0"/>
    <n v="1"/>
    <n v="0"/>
    <n v="9.99"/>
    <n v="0"/>
  </r>
  <r>
    <n v="5859"/>
    <s v="Female"/>
    <n v="37"/>
    <x v="2"/>
    <x v="3"/>
    <n v="148"/>
    <n v="84"/>
    <n v="0.02"/>
    <s v="Web"/>
    <n v="0"/>
    <n v="1"/>
    <n v="0"/>
    <n v="4.99"/>
    <n v="0"/>
  </r>
  <r>
    <n v="5860"/>
    <s v="Other"/>
    <n v="37"/>
    <x v="5"/>
    <x v="2"/>
    <n v="244"/>
    <n v="13"/>
    <n v="0.31"/>
    <s v="Mobile"/>
    <n v="0"/>
    <n v="1"/>
    <n v="0"/>
    <n v="9.99"/>
    <n v="0"/>
  </r>
  <r>
    <n v="5861"/>
    <s v="Female"/>
    <n v="38"/>
    <x v="0"/>
    <x v="0"/>
    <n v="55"/>
    <n v="33"/>
    <n v="0.18"/>
    <s v="Mobile"/>
    <n v="49"/>
    <n v="0"/>
    <n v="0"/>
    <n v="0"/>
    <n v="0"/>
  </r>
  <r>
    <n v="5862"/>
    <s v="Female"/>
    <n v="24"/>
    <x v="0"/>
    <x v="2"/>
    <n v="141"/>
    <n v="56"/>
    <n v="0.43"/>
    <s v="Desktop"/>
    <n v="0"/>
    <n v="1"/>
    <n v="0"/>
    <n v="9.99"/>
    <n v="0"/>
  </r>
  <r>
    <n v="5863"/>
    <s v="Male"/>
    <n v="42"/>
    <x v="4"/>
    <x v="2"/>
    <n v="133"/>
    <n v="3"/>
    <n v="0.1"/>
    <s v="Web"/>
    <n v="0"/>
    <n v="1"/>
    <n v="0"/>
    <n v="9.99"/>
    <n v="0"/>
  </r>
  <r>
    <n v="5864"/>
    <s v="Male"/>
    <n v="37"/>
    <x v="0"/>
    <x v="1"/>
    <n v="166"/>
    <n v="38"/>
    <n v="0.17"/>
    <s v="Desktop"/>
    <n v="0"/>
    <n v="1"/>
    <n v="0"/>
    <n v="14.99"/>
    <n v="0"/>
  </r>
  <r>
    <n v="5865"/>
    <s v="Female"/>
    <n v="44"/>
    <x v="6"/>
    <x v="0"/>
    <n v="113"/>
    <n v="14"/>
    <n v="0.56999999999999995"/>
    <s v="Desktop"/>
    <n v="26"/>
    <n v="0"/>
    <n v="0"/>
    <n v="0"/>
    <n v="0"/>
  </r>
  <r>
    <n v="5866"/>
    <s v="Other"/>
    <n v="18"/>
    <x v="4"/>
    <x v="3"/>
    <n v="113"/>
    <n v="5"/>
    <n v="0.27"/>
    <s v="Web"/>
    <n v="0"/>
    <n v="1"/>
    <n v="1"/>
    <n v="4.99"/>
    <n v="4.99"/>
  </r>
  <r>
    <n v="5867"/>
    <s v="Other"/>
    <n v="41"/>
    <x v="3"/>
    <x v="1"/>
    <n v="147"/>
    <n v="59"/>
    <n v="0.36"/>
    <s v="Desktop"/>
    <n v="0"/>
    <n v="1"/>
    <n v="1"/>
    <n v="14.99"/>
    <n v="14.99"/>
  </r>
  <r>
    <n v="5868"/>
    <s v="Male"/>
    <n v="16"/>
    <x v="0"/>
    <x v="2"/>
    <n v="203"/>
    <n v="38"/>
    <n v="0.35"/>
    <s v="Web"/>
    <n v="0"/>
    <n v="1"/>
    <n v="0"/>
    <n v="9.99"/>
    <n v="0"/>
  </r>
  <r>
    <n v="5869"/>
    <s v="Female"/>
    <n v="49"/>
    <x v="2"/>
    <x v="3"/>
    <n v="188"/>
    <n v="45"/>
    <n v="0.31"/>
    <s v="Mobile"/>
    <n v="0"/>
    <n v="1"/>
    <n v="0"/>
    <n v="4.99"/>
    <n v="0"/>
  </r>
  <r>
    <n v="5870"/>
    <s v="Female"/>
    <n v="31"/>
    <x v="4"/>
    <x v="1"/>
    <n v="131"/>
    <n v="76"/>
    <n v="0.57999999999999996"/>
    <s v="Web"/>
    <n v="0"/>
    <n v="1"/>
    <n v="0"/>
    <n v="14.99"/>
    <n v="0"/>
  </r>
  <r>
    <n v="5871"/>
    <s v="Male"/>
    <n v="23"/>
    <x v="0"/>
    <x v="1"/>
    <n v="78"/>
    <n v="48"/>
    <n v="0.43"/>
    <s v="Mobile"/>
    <n v="0"/>
    <n v="1"/>
    <n v="0"/>
    <n v="14.99"/>
    <n v="0"/>
  </r>
  <r>
    <n v="5872"/>
    <s v="Male"/>
    <n v="54"/>
    <x v="5"/>
    <x v="3"/>
    <n v="243"/>
    <n v="93"/>
    <n v="0.51"/>
    <s v="Mobile"/>
    <n v="0"/>
    <n v="1"/>
    <n v="0"/>
    <n v="4.99"/>
    <n v="0"/>
  </r>
  <r>
    <n v="5873"/>
    <s v="Other"/>
    <n v="35"/>
    <x v="5"/>
    <x v="1"/>
    <n v="230"/>
    <n v="60"/>
    <n v="0.09"/>
    <s v="Mobile"/>
    <n v="0"/>
    <n v="1"/>
    <n v="1"/>
    <n v="14.99"/>
    <n v="14.99"/>
  </r>
  <r>
    <n v="5874"/>
    <s v="Male"/>
    <n v="33"/>
    <x v="5"/>
    <x v="2"/>
    <n v="127"/>
    <n v="60"/>
    <n v="7.0000000000000007E-2"/>
    <s v="Web"/>
    <n v="0"/>
    <n v="1"/>
    <n v="0"/>
    <n v="9.99"/>
    <n v="0"/>
  </r>
  <r>
    <n v="5875"/>
    <s v="Male"/>
    <n v="21"/>
    <x v="6"/>
    <x v="2"/>
    <n v="210"/>
    <n v="29"/>
    <n v="0.35"/>
    <s v="Web"/>
    <n v="0"/>
    <n v="1"/>
    <n v="0"/>
    <n v="9.99"/>
    <n v="0"/>
  </r>
  <r>
    <n v="5876"/>
    <s v="Other"/>
    <n v="59"/>
    <x v="7"/>
    <x v="0"/>
    <n v="32"/>
    <n v="88"/>
    <n v="0.12"/>
    <s v="Web"/>
    <n v="17"/>
    <n v="0"/>
    <n v="0"/>
    <n v="0"/>
    <n v="0"/>
  </r>
  <r>
    <n v="5877"/>
    <s v="Other"/>
    <n v="39"/>
    <x v="4"/>
    <x v="2"/>
    <n v="44"/>
    <n v="54"/>
    <n v="0.52"/>
    <s v="Mobile"/>
    <n v="0"/>
    <n v="1"/>
    <n v="0"/>
    <n v="9.99"/>
    <n v="0"/>
  </r>
  <r>
    <n v="5878"/>
    <s v="Female"/>
    <n v="23"/>
    <x v="7"/>
    <x v="1"/>
    <n v="238"/>
    <n v="91"/>
    <n v="0.2"/>
    <s v="Mobile"/>
    <n v="0"/>
    <n v="1"/>
    <n v="0"/>
    <n v="14.99"/>
    <n v="0"/>
  </r>
  <r>
    <n v="5879"/>
    <s v="Other"/>
    <n v="16"/>
    <x v="0"/>
    <x v="3"/>
    <n v="171"/>
    <n v="7"/>
    <n v="0.27"/>
    <s v="Mobile"/>
    <n v="0"/>
    <n v="1"/>
    <n v="1"/>
    <n v="4.99"/>
    <n v="4.99"/>
  </r>
  <r>
    <n v="5880"/>
    <s v="Male"/>
    <n v="57"/>
    <x v="1"/>
    <x v="0"/>
    <n v="79"/>
    <n v="12"/>
    <n v="0.08"/>
    <s v="Web"/>
    <n v="47"/>
    <n v="0"/>
    <n v="0"/>
    <n v="0"/>
    <n v="0"/>
  </r>
  <r>
    <n v="5881"/>
    <s v="Female"/>
    <n v="52"/>
    <x v="6"/>
    <x v="1"/>
    <n v="88"/>
    <n v="13"/>
    <n v="0.03"/>
    <s v="Desktop"/>
    <n v="0"/>
    <n v="1"/>
    <n v="0"/>
    <n v="14.99"/>
    <n v="0"/>
  </r>
  <r>
    <n v="5882"/>
    <s v="Male"/>
    <n v="46"/>
    <x v="4"/>
    <x v="2"/>
    <n v="273"/>
    <n v="3"/>
    <n v="0.22"/>
    <s v="Mobile"/>
    <n v="0"/>
    <n v="1"/>
    <n v="0"/>
    <n v="9.99"/>
    <n v="0"/>
  </r>
  <r>
    <n v="5883"/>
    <s v="Male"/>
    <n v="42"/>
    <x v="0"/>
    <x v="1"/>
    <n v="35"/>
    <n v="50"/>
    <n v="0.06"/>
    <s v="Mobile"/>
    <n v="0"/>
    <n v="1"/>
    <n v="1"/>
    <n v="14.99"/>
    <n v="14.99"/>
  </r>
  <r>
    <n v="5884"/>
    <s v="Female"/>
    <n v="25"/>
    <x v="6"/>
    <x v="0"/>
    <n v="16"/>
    <n v="83"/>
    <n v="0.35"/>
    <s v="Mobile"/>
    <n v="24"/>
    <n v="0"/>
    <n v="0"/>
    <n v="0"/>
    <n v="0"/>
  </r>
  <r>
    <n v="5885"/>
    <s v="Male"/>
    <n v="38"/>
    <x v="3"/>
    <x v="2"/>
    <n v="89"/>
    <n v="54"/>
    <n v="0.28000000000000003"/>
    <s v="Mobile"/>
    <n v="0"/>
    <n v="1"/>
    <n v="0"/>
    <n v="9.99"/>
    <n v="0"/>
  </r>
  <r>
    <n v="5886"/>
    <s v="Male"/>
    <n v="25"/>
    <x v="6"/>
    <x v="1"/>
    <n v="220"/>
    <n v="64"/>
    <n v="0.56999999999999995"/>
    <s v="Desktop"/>
    <n v="0"/>
    <n v="1"/>
    <n v="0"/>
    <n v="14.99"/>
    <n v="0"/>
  </r>
  <r>
    <n v="5887"/>
    <s v="Male"/>
    <n v="47"/>
    <x v="0"/>
    <x v="2"/>
    <n v="129"/>
    <n v="85"/>
    <n v="0.27"/>
    <s v="Mobile"/>
    <n v="0"/>
    <n v="1"/>
    <n v="0"/>
    <n v="9.99"/>
    <n v="0"/>
  </r>
  <r>
    <n v="5888"/>
    <s v="Female"/>
    <n v="38"/>
    <x v="2"/>
    <x v="1"/>
    <n v="185"/>
    <n v="2"/>
    <n v="0.05"/>
    <s v="Mobile"/>
    <n v="0"/>
    <n v="1"/>
    <n v="0"/>
    <n v="14.99"/>
    <n v="0"/>
  </r>
  <r>
    <n v="5889"/>
    <s v="Male"/>
    <n v="32"/>
    <x v="7"/>
    <x v="1"/>
    <n v="286"/>
    <n v="39"/>
    <n v="0.01"/>
    <s v="Mobile"/>
    <n v="0"/>
    <n v="1"/>
    <n v="0"/>
    <n v="14.99"/>
    <n v="0"/>
  </r>
  <r>
    <n v="5890"/>
    <s v="Male"/>
    <n v="58"/>
    <x v="4"/>
    <x v="3"/>
    <n v="83"/>
    <n v="8"/>
    <n v="0.09"/>
    <s v="Desktop"/>
    <n v="0"/>
    <n v="1"/>
    <n v="0"/>
    <n v="4.99"/>
    <n v="0"/>
  </r>
  <r>
    <n v="5891"/>
    <s v="Female"/>
    <n v="27"/>
    <x v="6"/>
    <x v="1"/>
    <n v="242"/>
    <n v="1"/>
    <n v="0"/>
    <s v="Desktop"/>
    <n v="0"/>
    <n v="1"/>
    <n v="1"/>
    <n v="14.99"/>
    <n v="14.99"/>
  </r>
  <r>
    <n v="5892"/>
    <s v="Male"/>
    <n v="58"/>
    <x v="3"/>
    <x v="3"/>
    <n v="134"/>
    <n v="67"/>
    <n v="0.27"/>
    <s v="Web"/>
    <n v="0"/>
    <n v="1"/>
    <n v="0"/>
    <n v="4.99"/>
    <n v="0"/>
  </r>
  <r>
    <n v="5893"/>
    <s v="Female"/>
    <n v="57"/>
    <x v="2"/>
    <x v="1"/>
    <n v="180"/>
    <n v="45"/>
    <n v="0.54"/>
    <s v="Web"/>
    <n v="0"/>
    <n v="1"/>
    <n v="0"/>
    <n v="14.99"/>
    <n v="0"/>
  </r>
  <r>
    <n v="5894"/>
    <s v="Female"/>
    <n v="39"/>
    <x v="0"/>
    <x v="1"/>
    <n v="206"/>
    <n v="37"/>
    <n v="0.54"/>
    <s v="Web"/>
    <n v="0"/>
    <n v="1"/>
    <n v="0"/>
    <n v="14.99"/>
    <n v="0"/>
  </r>
  <r>
    <n v="5895"/>
    <s v="Female"/>
    <n v="55"/>
    <x v="0"/>
    <x v="3"/>
    <n v="97"/>
    <n v="25"/>
    <n v="0.39"/>
    <s v="Desktop"/>
    <n v="0"/>
    <n v="1"/>
    <n v="0"/>
    <n v="4.99"/>
    <n v="0"/>
  </r>
  <r>
    <n v="5896"/>
    <s v="Male"/>
    <n v="21"/>
    <x v="2"/>
    <x v="0"/>
    <n v="236"/>
    <n v="88"/>
    <n v="0.27"/>
    <s v="Mobile"/>
    <n v="27"/>
    <n v="0"/>
    <n v="0"/>
    <n v="0"/>
    <n v="0"/>
  </r>
  <r>
    <n v="5897"/>
    <s v="Male"/>
    <n v="18"/>
    <x v="7"/>
    <x v="2"/>
    <n v="226"/>
    <n v="7"/>
    <n v="0.32"/>
    <s v="Web"/>
    <n v="0"/>
    <n v="1"/>
    <n v="0"/>
    <n v="9.99"/>
    <n v="0"/>
  </r>
  <r>
    <n v="5898"/>
    <s v="Other"/>
    <n v="24"/>
    <x v="3"/>
    <x v="0"/>
    <n v="60"/>
    <n v="93"/>
    <n v="0.47"/>
    <s v="Desktop"/>
    <n v="35"/>
    <n v="0"/>
    <n v="0"/>
    <n v="0"/>
    <n v="0"/>
  </r>
  <r>
    <n v="5899"/>
    <s v="Male"/>
    <n v="36"/>
    <x v="7"/>
    <x v="2"/>
    <n v="270"/>
    <n v="73"/>
    <n v="0.42"/>
    <s v="Desktop"/>
    <n v="0"/>
    <n v="1"/>
    <n v="1"/>
    <n v="9.99"/>
    <n v="9.99"/>
  </r>
  <r>
    <n v="5900"/>
    <s v="Female"/>
    <n v="50"/>
    <x v="1"/>
    <x v="0"/>
    <n v="128"/>
    <n v="9"/>
    <n v="0.26"/>
    <s v="Desktop"/>
    <n v="35"/>
    <n v="0"/>
    <n v="0"/>
    <n v="0"/>
    <n v="0"/>
  </r>
  <r>
    <n v="5901"/>
    <s v="Other"/>
    <n v="26"/>
    <x v="7"/>
    <x v="0"/>
    <n v="171"/>
    <n v="49"/>
    <n v="0.21"/>
    <s v="Mobile"/>
    <n v="40"/>
    <n v="0"/>
    <n v="0"/>
    <n v="0"/>
    <n v="0"/>
  </r>
  <r>
    <n v="5902"/>
    <s v="Female"/>
    <n v="28"/>
    <x v="3"/>
    <x v="3"/>
    <n v="299"/>
    <n v="96"/>
    <n v="0.49"/>
    <s v="Desktop"/>
    <n v="0"/>
    <n v="1"/>
    <n v="1"/>
    <n v="4.99"/>
    <n v="4.99"/>
  </r>
  <r>
    <n v="5903"/>
    <s v="Male"/>
    <n v="45"/>
    <x v="6"/>
    <x v="0"/>
    <n v="227"/>
    <n v="14"/>
    <n v="0.28000000000000003"/>
    <s v="Desktop"/>
    <n v="17"/>
    <n v="0"/>
    <n v="1"/>
    <n v="0"/>
    <n v="0"/>
  </r>
  <r>
    <n v="5904"/>
    <s v="Male"/>
    <n v="47"/>
    <x v="3"/>
    <x v="1"/>
    <n v="165"/>
    <n v="22"/>
    <n v="0.14000000000000001"/>
    <s v="Mobile"/>
    <n v="0"/>
    <n v="1"/>
    <n v="0"/>
    <n v="14.99"/>
    <n v="0"/>
  </r>
  <r>
    <n v="5905"/>
    <s v="Male"/>
    <n v="36"/>
    <x v="1"/>
    <x v="2"/>
    <n v="22"/>
    <n v="44"/>
    <n v="0.33"/>
    <s v="Mobile"/>
    <n v="0"/>
    <n v="1"/>
    <n v="0"/>
    <n v="9.99"/>
    <n v="0"/>
  </r>
  <r>
    <n v="5906"/>
    <s v="Male"/>
    <n v="41"/>
    <x v="1"/>
    <x v="1"/>
    <n v="118"/>
    <n v="94"/>
    <n v="0.53"/>
    <s v="Web"/>
    <n v="0"/>
    <n v="1"/>
    <n v="1"/>
    <n v="14.99"/>
    <n v="14.99"/>
  </r>
  <r>
    <n v="5907"/>
    <s v="Other"/>
    <n v="53"/>
    <x v="5"/>
    <x v="0"/>
    <n v="221"/>
    <n v="50"/>
    <n v="0.36"/>
    <s v="Mobile"/>
    <n v="5"/>
    <n v="0"/>
    <n v="0"/>
    <n v="0"/>
    <n v="0"/>
  </r>
  <r>
    <n v="5908"/>
    <s v="Female"/>
    <n v="50"/>
    <x v="1"/>
    <x v="0"/>
    <n v="94"/>
    <n v="64"/>
    <n v="0.49"/>
    <s v="Desktop"/>
    <n v="47"/>
    <n v="0"/>
    <n v="1"/>
    <n v="0"/>
    <n v="0"/>
  </r>
  <r>
    <n v="5909"/>
    <s v="Male"/>
    <n v="25"/>
    <x v="3"/>
    <x v="2"/>
    <n v="165"/>
    <n v="60"/>
    <n v="0.57999999999999996"/>
    <s v="Mobile"/>
    <n v="0"/>
    <n v="1"/>
    <n v="0"/>
    <n v="9.99"/>
    <n v="0"/>
  </r>
  <r>
    <n v="5910"/>
    <s v="Other"/>
    <n v="40"/>
    <x v="4"/>
    <x v="0"/>
    <n v="239"/>
    <n v="57"/>
    <n v="0.53"/>
    <s v="Mobile"/>
    <n v="29"/>
    <n v="0"/>
    <n v="0"/>
    <n v="0"/>
    <n v="0"/>
  </r>
  <r>
    <n v="5911"/>
    <s v="Other"/>
    <n v="33"/>
    <x v="4"/>
    <x v="2"/>
    <n v="146"/>
    <n v="25"/>
    <n v="0.43"/>
    <s v="Desktop"/>
    <n v="0"/>
    <n v="1"/>
    <n v="0"/>
    <n v="9.99"/>
    <n v="0"/>
  </r>
  <r>
    <n v="5912"/>
    <s v="Other"/>
    <n v="19"/>
    <x v="6"/>
    <x v="2"/>
    <n v="118"/>
    <n v="87"/>
    <n v="0.46"/>
    <s v="Desktop"/>
    <n v="0"/>
    <n v="1"/>
    <n v="0"/>
    <n v="9.99"/>
    <n v="0"/>
  </r>
  <r>
    <n v="5913"/>
    <s v="Other"/>
    <n v="36"/>
    <x v="3"/>
    <x v="3"/>
    <n v="128"/>
    <n v="22"/>
    <n v="0.6"/>
    <s v="Desktop"/>
    <n v="0"/>
    <n v="1"/>
    <n v="0"/>
    <n v="4.99"/>
    <n v="0"/>
  </r>
  <r>
    <n v="5914"/>
    <s v="Female"/>
    <n v="28"/>
    <x v="1"/>
    <x v="1"/>
    <n v="251"/>
    <n v="38"/>
    <n v="0.1"/>
    <s v="Mobile"/>
    <n v="0"/>
    <n v="1"/>
    <n v="0"/>
    <n v="14.99"/>
    <n v="0"/>
  </r>
  <r>
    <n v="5915"/>
    <s v="Male"/>
    <n v="50"/>
    <x v="3"/>
    <x v="1"/>
    <n v="228"/>
    <n v="33"/>
    <n v="7.0000000000000007E-2"/>
    <s v="Desktop"/>
    <n v="0"/>
    <n v="1"/>
    <n v="1"/>
    <n v="14.99"/>
    <n v="14.99"/>
  </r>
  <r>
    <n v="5916"/>
    <s v="Female"/>
    <n v="38"/>
    <x v="6"/>
    <x v="2"/>
    <n v="222"/>
    <n v="62"/>
    <n v="0.31"/>
    <s v="Web"/>
    <n v="0"/>
    <n v="1"/>
    <n v="0"/>
    <n v="9.99"/>
    <n v="0"/>
  </r>
  <r>
    <n v="5917"/>
    <s v="Female"/>
    <n v="55"/>
    <x v="7"/>
    <x v="1"/>
    <n v="124"/>
    <n v="69"/>
    <n v="0.43"/>
    <s v="Desktop"/>
    <n v="0"/>
    <n v="1"/>
    <n v="1"/>
    <n v="14.99"/>
    <n v="14.99"/>
  </r>
  <r>
    <n v="5918"/>
    <s v="Male"/>
    <n v="18"/>
    <x v="0"/>
    <x v="1"/>
    <n v="203"/>
    <n v="12"/>
    <n v="0.24"/>
    <s v="Mobile"/>
    <n v="0"/>
    <n v="1"/>
    <n v="1"/>
    <n v="14.99"/>
    <n v="14.99"/>
  </r>
  <r>
    <n v="5919"/>
    <s v="Female"/>
    <n v="28"/>
    <x v="0"/>
    <x v="1"/>
    <n v="292"/>
    <n v="28"/>
    <n v="0.08"/>
    <s v="Desktop"/>
    <n v="0"/>
    <n v="1"/>
    <n v="0"/>
    <n v="14.99"/>
    <n v="0"/>
  </r>
  <r>
    <n v="5920"/>
    <s v="Female"/>
    <n v="47"/>
    <x v="0"/>
    <x v="3"/>
    <n v="235"/>
    <n v="10"/>
    <n v="0.1"/>
    <s v="Mobile"/>
    <n v="0"/>
    <n v="1"/>
    <n v="0"/>
    <n v="4.99"/>
    <n v="0"/>
  </r>
  <r>
    <n v="5921"/>
    <s v="Other"/>
    <n v="25"/>
    <x v="2"/>
    <x v="2"/>
    <n v="69"/>
    <n v="32"/>
    <n v="0.28999999999999998"/>
    <s v="Desktop"/>
    <n v="0"/>
    <n v="1"/>
    <n v="0"/>
    <n v="9.99"/>
    <n v="0"/>
  </r>
  <r>
    <n v="5922"/>
    <s v="Male"/>
    <n v="48"/>
    <x v="5"/>
    <x v="3"/>
    <n v="137"/>
    <n v="43"/>
    <n v="0.24"/>
    <s v="Web"/>
    <n v="0"/>
    <n v="1"/>
    <n v="1"/>
    <n v="4.99"/>
    <n v="4.99"/>
  </r>
  <r>
    <n v="5923"/>
    <s v="Other"/>
    <n v="43"/>
    <x v="6"/>
    <x v="1"/>
    <n v="59"/>
    <n v="65"/>
    <n v="0.28000000000000003"/>
    <s v="Desktop"/>
    <n v="0"/>
    <n v="1"/>
    <n v="0"/>
    <n v="14.99"/>
    <n v="0"/>
  </r>
  <r>
    <n v="5924"/>
    <s v="Male"/>
    <n v="36"/>
    <x v="0"/>
    <x v="0"/>
    <n v="233"/>
    <n v="76"/>
    <n v="0.55000000000000004"/>
    <s v="Desktop"/>
    <n v="33"/>
    <n v="0"/>
    <n v="1"/>
    <n v="0"/>
    <n v="0"/>
  </r>
  <r>
    <n v="5925"/>
    <s v="Other"/>
    <n v="33"/>
    <x v="3"/>
    <x v="2"/>
    <n v="140"/>
    <n v="77"/>
    <n v="0.37"/>
    <s v="Desktop"/>
    <n v="0"/>
    <n v="1"/>
    <n v="0"/>
    <n v="9.99"/>
    <n v="0"/>
  </r>
  <r>
    <n v="5926"/>
    <s v="Female"/>
    <n v="55"/>
    <x v="2"/>
    <x v="1"/>
    <n v="213"/>
    <n v="36"/>
    <n v="0.46"/>
    <s v="Web"/>
    <n v="0"/>
    <n v="1"/>
    <n v="0"/>
    <n v="14.99"/>
    <n v="0"/>
  </r>
  <r>
    <n v="5927"/>
    <s v="Female"/>
    <n v="46"/>
    <x v="6"/>
    <x v="1"/>
    <n v="139"/>
    <n v="44"/>
    <n v="0.21"/>
    <s v="Mobile"/>
    <n v="0"/>
    <n v="1"/>
    <n v="0"/>
    <n v="14.99"/>
    <n v="0"/>
  </r>
  <r>
    <n v="5928"/>
    <s v="Male"/>
    <n v="45"/>
    <x v="1"/>
    <x v="0"/>
    <n v="53"/>
    <n v="18"/>
    <n v="0.38"/>
    <s v="Mobile"/>
    <n v="22"/>
    <n v="0"/>
    <n v="1"/>
    <n v="0"/>
    <n v="0"/>
  </r>
  <r>
    <n v="5929"/>
    <s v="Female"/>
    <n v="51"/>
    <x v="4"/>
    <x v="3"/>
    <n v="268"/>
    <n v="9"/>
    <n v="0.3"/>
    <s v="Desktop"/>
    <n v="0"/>
    <n v="1"/>
    <n v="0"/>
    <n v="4.99"/>
    <n v="0"/>
  </r>
  <r>
    <n v="5930"/>
    <s v="Female"/>
    <n v="20"/>
    <x v="6"/>
    <x v="0"/>
    <n v="74"/>
    <n v="10"/>
    <n v="0.27"/>
    <s v="Mobile"/>
    <n v="25"/>
    <n v="0"/>
    <n v="0"/>
    <n v="0"/>
    <n v="0"/>
  </r>
  <r>
    <n v="5931"/>
    <s v="Male"/>
    <n v="30"/>
    <x v="2"/>
    <x v="0"/>
    <n v="51"/>
    <n v="93"/>
    <n v="0.2"/>
    <s v="Mobile"/>
    <n v="45"/>
    <n v="0"/>
    <n v="0"/>
    <n v="0"/>
    <n v="0"/>
  </r>
  <r>
    <n v="5932"/>
    <s v="Male"/>
    <n v="58"/>
    <x v="4"/>
    <x v="2"/>
    <n v="222"/>
    <n v="68"/>
    <n v="0.26"/>
    <s v="Desktop"/>
    <n v="0"/>
    <n v="1"/>
    <n v="1"/>
    <n v="9.99"/>
    <n v="9.99"/>
  </r>
  <r>
    <n v="5933"/>
    <s v="Male"/>
    <n v="51"/>
    <x v="5"/>
    <x v="3"/>
    <n v="144"/>
    <n v="59"/>
    <n v="0.16"/>
    <s v="Mobile"/>
    <n v="0"/>
    <n v="1"/>
    <n v="0"/>
    <n v="4.99"/>
    <n v="0"/>
  </r>
  <r>
    <n v="5934"/>
    <s v="Other"/>
    <n v="37"/>
    <x v="2"/>
    <x v="0"/>
    <n v="180"/>
    <n v="11"/>
    <n v="0.32"/>
    <s v="Web"/>
    <n v="9"/>
    <n v="0"/>
    <n v="0"/>
    <n v="0"/>
    <n v="0"/>
  </r>
  <r>
    <n v="5935"/>
    <s v="Female"/>
    <n v="16"/>
    <x v="3"/>
    <x v="2"/>
    <n v="62"/>
    <n v="53"/>
    <n v="0.53"/>
    <s v="Desktop"/>
    <n v="0"/>
    <n v="1"/>
    <n v="1"/>
    <n v="9.99"/>
    <n v="9.99"/>
  </r>
  <r>
    <n v="5936"/>
    <s v="Female"/>
    <n v="36"/>
    <x v="2"/>
    <x v="3"/>
    <n v="70"/>
    <n v="61"/>
    <n v="0.28999999999999998"/>
    <s v="Mobile"/>
    <n v="0"/>
    <n v="1"/>
    <n v="0"/>
    <n v="4.99"/>
    <n v="0"/>
  </r>
  <r>
    <n v="5937"/>
    <s v="Female"/>
    <n v="19"/>
    <x v="7"/>
    <x v="1"/>
    <n v="165"/>
    <n v="12"/>
    <n v="0.48"/>
    <s v="Desktop"/>
    <n v="0"/>
    <n v="1"/>
    <n v="0"/>
    <n v="14.99"/>
    <n v="0"/>
  </r>
  <r>
    <n v="5938"/>
    <s v="Other"/>
    <n v="38"/>
    <x v="4"/>
    <x v="2"/>
    <n v="229"/>
    <n v="54"/>
    <n v="0.26"/>
    <s v="Mobile"/>
    <n v="0"/>
    <n v="1"/>
    <n v="0"/>
    <n v="9.99"/>
    <n v="0"/>
  </r>
  <r>
    <n v="5939"/>
    <s v="Male"/>
    <n v="22"/>
    <x v="0"/>
    <x v="3"/>
    <n v="180"/>
    <n v="77"/>
    <n v="0.1"/>
    <s v="Desktop"/>
    <n v="0"/>
    <n v="1"/>
    <n v="0"/>
    <n v="4.99"/>
    <n v="0"/>
  </r>
  <r>
    <n v="5940"/>
    <s v="Male"/>
    <n v="56"/>
    <x v="2"/>
    <x v="3"/>
    <n v="173"/>
    <n v="83"/>
    <n v="0.01"/>
    <s v="Web"/>
    <n v="0"/>
    <n v="1"/>
    <n v="0"/>
    <n v="4.99"/>
    <n v="0"/>
  </r>
  <r>
    <n v="5941"/>
    <s v="Female"/>
    <n v="40"/>
    <x v="2"/>
    <x v="2"/>
    <n v="152"/>
    <n v="8"/>
    <n v="0.09"/>
    <s v="Web"/>
    <n v="0"/>
    <n v="1"/>
    <n v="1"/>
    <n v="9.99"/>
    <n v="9.99"/>
  </r>
  <r>
    <n v="5942"/>
    <s v="Other"/>
    <n v="58"/>
    <x v="3"/>
    <x v="0"/>
    <n v="214"/>
    <n v="80"/>
    <n v="0.21"/>
    <s v="Desktop"/>
    <n v="47"/>
    <n v="0"/>
    <n v="1"/>
    <n v="0"/>
    <n v="0"/>
  </r>
  <r>
    <n v="5943"/>
    <s v="Female"/>
    <n v="48"/>
    <x v="0"/>
    <x v="3"/>
    <n v="286"/>
    <n v="61"/>
    <n v="0.08"/>
    <s v="Mobile"/>
    <n v="0"/>
    <n v="1"/>
    <n v="1"/>
    <n v="4.99"/>
    <n v="4.99"/>
  </r>
  <r>
    <n v="5944"/>
    <s v="Female"/>
    <n v="42"/>
    <x v="6"/>
    <x v="2"/>
    <n v="188"/>
    <n v="35"/>
    <n v="0.15"/>
    <s v="Desktop"/>
    <n v="0"/>
    <n v="1"/>
    <n v="0"/>
    <n v="9.99"/>
    <n v="0"/>
  </r>
  <r>
    <n v="5945"/>
    <s v="Female"/>
    <n v="43"/>
    <x v="2"/>
    <x v="3"/>
    <n v="29"/>
    <n v="5"/>
    <n v="0.25"/>
    <s v="Desktop"/>
    <n v="0"/>
    <n v="1"/>
    <n v="0"/>
    <n v="4.99"/>
    <n v="0"/>
  </r>
  <r>
    <n v="5946"/>
    <s v="Male"/>
    <n v="20"/>
    <x v="3"/>
    <x v="1"/>
    <n v="161"/>
    <n v="59"/>
    <n v="0.44"/>
    <s v="Mobile"/>
    <n v="0"/>
    <n v="1"/>
    <n v="0"/>
    <n v="14.99"/>
    <n v="0"/>
  </r>
  <r>
    <n v="5947"/>
    <s v="Male"/>
    <n v="39"/>
    <x v="5"/>
    <x v="3"/>
    <n v="123"/>
    <n v="6"/>
    <n v="0.53"/>
    <s v="Mobile"/>
    <n v="0"/>
    <n v="1"/>
    <n v="0"/>
    <n v="4.99"/>
    <n v="0"/>
  </r>
  <r>
    <n v="5948"/>
    <s v="Male"/>
    <n v="53"/>
    <x v="3"/>
    <x v="3"/>
    <n v="107"/>
    <n v="6"/>
    <n v="0.53"/>
    <s v="Desktop"/>
    <n v="0"/>
    <n v="1"/>
    <n v="0"/>
    <n v="4.99"/>
    <n v="0"/>
  </r>
  <r>
    <n v="5949"/>
    <s v="Female"/>
    <n v="34"/>
    <x v="5"/>
    <x v="3"/>
    <n v="99"/>
    <n v="60"/>
    <n v="0.19"/>
    <s v="Desktop"/>
    <n v="0"/>
    <n v="1"/>
    <n v="1"/>
    <n v="4.99"/>
    <n v="4.99"/>
  </r>
  <r>
    <n v="5950"/>
    <s v="Female"/>
    <n v="59"/>
    <x v="6"/>
    <x v="3"/>
    <n v="270"/>
    <n v="89"/>
    <n v="0.23"/>
    <s v="Desktop"/>
    <n v="0"/>
    <n v="1"/>
    <n v="1"/>
    <n v="4.99"/>
    <n v="4.99"/>
  </r>
  <r>
    <n v="5951"/>
    <s v="Female"/>
    <n v="28"/>
    <x v="5"/>
    <x v="2"/>
    <n v="220"/>
    <n v="96"/>
    <n v="0.01"/>
    <s v="Desktop"/>
    <n v="0"/>
    <n v="1"/>
    <n v="0"/>
    <n v="9.99"/>
    <n v="0"/>
  </r>
  <r>
    <n v="5952"/>
    <s v="Male"/>
    <n v="54"/>
    <x v="2"/>
    <x v="1"/>
    <n v="129"/>
    <n v="54"/>
    <n v="0.26"/>
    <s v="Desktop"/>
    <n v="0"/>
    <n v="1"/>
    <n v="0"/>
    <n v="14.99"/>
    <n v="0"/>
  </r>
  <r>
    <n v="5953"/>
    <s v="Male"/>
    <n v="22"/>
    <x v="3"/>
    <x v="0"/>
    <n v="145"/>
    <n v="21"/>
    <n v="0.44"/>
    <s v="Desktop"/>
    <n v="26"/>
    <n v="0"/>
    <n v="0"/>
    <n v="0"/>
    <n v="0"/>
  </r>
  <r>
    <n v="5954"/>
    <s v="Female"/>
    <n v="52"/>
    <x v="1"/>
    <x v="0"/>
    <n v="248"/>
    <n v="66"/>
    <n v="0.02"/>
    <s v="Desktop"/>
    <n v="5"/>
    <n v="0"/>
    <n v="1"/>
    <n v="0"/>
    <n v="0"/>
  </r>
  <r>
    <n v="5955"/>
    <s v="Other"/>
    <n v="28"/>
    <x v="0"/>
    <x v="2"/>
    <n v="168"/>
    <n v="15"/>
    <n v="0.48"/>
    <s v="Mobile"/>
    <n v="0"/>
    <n v="1"/>
    <n v="0"/>
    <n v="9.99"/>
    <n v="0"/>
  </r>
  <r>
    <n v="5956"/>
    <s v="Other"/>
    <n v="30"/>
    <x v="0"/>
    <x v="1"/>
    <n v="15"/>
    <n v="81"/>
    <n v="0.26"/>
    <s v="Desktop"/>
    <n v="0"/>
    <n v="1"/>
    <n v="0"/>
    <n v="14.99"/>
    <n v="0"/>
  </r>
  <r>
    <n v="5957"/>
    <s v="Other"/>
    <n v="25"/>
    <x v="2"/>
    <x v="3"/>
    <n v="208"/>
    <n v="70"/>
    <n v="0.09"/>
    <s v="Web"/>
    <n v="0"/>
    <n v="1"/>
    <n v="0"/>
    <n v="4.99"/>
    <n v="0"/>
  </r>
  <r>
    <n v="5958"/>
    <s v="Female"/>
    <n v="17"/>
    <x v="4"/>
    <x v="2"/>
    <n v="188"/>
    <n v="45"/>
    <n v="0.28000000000000003"/>
    <s v="Desktop"/>
    <n v="0"/>
    <n v="1"/>
    <n v="0"/>
    <n v="9.99"/>
    <n v="0"/>
  </r>
  <r>
    <n v="5959"/>
    <s v="Male"/>
    <n v="51"/>
    <x v="7"/>
    <x v="2"/>
    <n v="13"/>
    <n v="93"/>
    <n v="0.02"/>
    <s v="Desktop"/>
    <n v="0"/>
    <n v="1"/>
    <n v="0"/>
    <n v="9.99"/>
    <n v="0"/>
  </r>
  <r>
    <n v="5960"/>
    <s v="Male"/>
    <n v="23"/>
    <x v="2"/>
    <x v="2"/>
    <n v="49"/>
    <n v="33"/>
    <n v="0.28000000000000003"/>
    <s v="Desktop"/>
    <n v="0"/>
    <n v="1"/>
    <n v="0"/>
    <n v="9.99"/>
    <n v="0"/>
  </r>
  <r>
    <n v="5961"/>
    <s v="Other"/>
    <n v="43"/>
    <x v="7"/>
    <x v="0"/>
    <n v="241"/>
    <n v="38"/>
    <n v="0.24"/>
    <s v="Desktop"/>
    <n v="15"/>
    <n v="0"/>
    <n v="0"/>
    <n v="0"/>
    <n v="0"/>
  </r>
  <r>
    <n v="5962"/>
    <s v="Female"/>
    <n v="25"/>
    <x v="6"/>
    <x v="0"/>
    <n v="287"/>
    <n v="23"/>
    <n v="0.51"/>
    <s v="Web"/>
    <n v="43"/>
    <n v="0"/>
    <n v="0"/>
    <n v="0"/>
    <n v="0"/>
  </r>
  <r>
    <n v="5963"/>
    <s v="Male"/>
    <n v="58"/>
    <x v="0"/>
    <x v="1"/>
    <n v="141"/>
    <n v="84"/>
    <n v="0.27"/>
    <s v="Desktop"/>
    <n v="0"/>
    <n v="1"/>
    <n v="0"/>
    <n v="14.99"/>
    <n v="0"/>
  </r>
  <r>
    <n v="5964"/>
    <s v="Female"/>
    <n v="49"/>
    <x v="1"/>
    <x v="0"/>
    <n v="287"/>
    <n v="52"/>
    <n v="0.27"/>
    <s v="Mobile"/>
    <n v="34"/>
    <n v="0"/>
    <n v="0"/>
    <n v="0"/>
    <n v="0"/>
  </r>
  <r>
    <n v="5965"/>
    <s v="Other"/>
    <n v="34"/>
    <x v="0"/>
    <x v="3"/>
    <n v="25"/>
    <n v="76"/>
    <n v="0.45"/>
    <s v="Web"/>
    <n v="0"/>
    <n v="1"/>
    <n v="0"/>
    <n v="4.99"/>
    <n v="0"/>
  </r>
  <r>
    <n v="5966"/>
    <s v="Other"/>
    <n v="59"/>
    <x v="7"/>
    <x v="2"/>
    <n v="135"/>
    <n v="99"/>
    <n v="0.56999999999999995"/>
    <s v="Desktop"/>
    <n v="0"/>
    <n v="1"/>
    <n v="1"/>
    <n v="9.99"/>
    <n v="9.99"/>
  </r>
  <r>
    <n v="5967"/>
    <s v="Female"/>
    <n v="28"/>
    <x v="5"/>
    <x v="1"/>
    <n v="146"/>
    <n v="88"/>
    <n v="0.35"/>
    <s v="Web"/>
    <n v="0"/>
    <n v="1"/>
    <n v="1"/>
    <n v="14.99"/>
    <n v="14.99"/>
  </r>
  <r>
    <n v="5968"/>
    <s v="Female"/>
    <n v="31"/>
    <x v="1"/>
    <x v="2"/>
    <n v="94"/>
    <n v="97"/>
    <n v="0.04"/>
    <s v="Desktop"/>
    <n v="0"/>
    <n v="1"/>
    <n v="0"/>
    <n v="9.99"/>
    <n v="0"/>
  </r>
  <r>
    <n v="5969"/>
    <s v="Other"/>
    <n v="43"/>
    <x v="2"/>
    <x v="2"/>
    <n v="227"/>
    <n v="37"/>
    <n v="0.13"/>
    <s v="Desktop"/>
    <n v="0"/>
    <n v="1"/>
    <n v="0"/>
    <n v="9.99"/>
    <n v="0"/>
  </r>
  <r>
    <n v="5970"/>
    <s v="Male"/>
    <n v="24"/>
    <x v="5"/>
    <x v="0"/>
    <n v="255"/>
    <n v="45"/>
    <n v="0.05"/>
    <s v="Mobile"/>
    <n v="40"/>
    <n v="0"/>
    <n v="0"/>
    <n v="0"/>
    <n v="0"/>
  </r>
  <r>
    <n v="5971"/>
    <s v="Other"/>
    <n v="55"/>
    <x v="1"/>
    <x v="1"/>
    <n v="191"/>
    <n v="88"/>
    <n v="0.12"/>
    <s v="Web"/>
    <n v="0"/>
    <n v="1"/>
    <n v="0"/>
    <n v="14.99"/>
    <n v="0"/>
  </r>
  <r>
    <n v="5972"/>
    <s v="Female"/>
    <n v="37"/>
    <x v="7"/>
    <x v="0"/>
    <n v="239"/>
    <n v="39"/>
    <n v="0.22"/>
    <s v="Mobile"/>
    <n v="46"/>
    <n v="0"/>
    <n v="1"/>
    <n v="0"/>
    <n v="0"/>
  </r>
  <r>
    <n v="5973"/>
    <s v="Female"/>
    <n v="42"/>
    <x v="2"/>
    <x v="3"/>
    <n v="205"/>
    <n v="13"/>
    <n v="0.12"/>
    <s v="Web"/>
    <n v="0"/>
    <n v="1"/>
    <n v="1"/>
    <n v="4.99"/>
    <n v="4.99"/>
  </r>
  <r>
    <n v="5974"/>
    <s v="Male"/>
    <n v="35"/>
    <x v="0"/>
    <x v="3"/>
    <n v="110"/>
    <n v="96"/>
    <n v="0.41"/>
    <s v="Web"/>
    <n v="0"/>
    <n v="1"/>
    <n v="1"/>
    <n v="4.99"/>
    <n v="4.99"/>
  </r>
  <r>
    <n v="5975"/>
    <s v="Other"/>
    <n v="25"/>
    <x v="4"/>
    <x v="2"/>
    <n v="146"/>
    <n v="37"/>
    <n v="0.1"/>
    <s v="Web"/>
    <n v="0"/>
    <n v="1"/>
    <n v="1"/>
    <n v="9.99"/>
    <n v="9.99"/>
  </r>
  <r>
    <n v="5976"/>
    <s v="Other"/>
    <n v="38"/>
    <x v="5"/>
    <x v="0"/>
    <n v="86"/>
    <n v="59"/>
    <n v="0.52"/>
    <s v="Desktop"/>
    <n v="8"/>
    <n v="0"/>
    <n v="0"/>
    <n v="0"/>
    <n v="0"/>
  </r>
  <r>
    <n v="5977"/>
    <s v="Male"/>
    <n v="56"/>
    <x v="4"/>
    <x v="2"/>
    <n v="110"/>
    <n v="94"/>
    <n v="0.33"/>
    <s v="Web"/>
    <n v="0"/>
    <n v="1"/>
    <n v="0"/>
    <n v="9.99"/>
    <n v="0"/>
  </r>
  <r>
    <n v="5978"/>
    <s v="Female"/>
    <n v="54"/>
    <x v="6"/>
    <x v="1"/>
    <n v="49"/>
    <n v="25"/>
    <n v="0.01"/>
    <s v="Web"/>
    <n v="0"/>
    <n v="1"/>
    <n v="1"/>
    <n v="14.99"/>
    <n v="14.99"/>
  </r>
  <r>
    <n v="5979"/>
    <s v="Male"/>
    <n v="56"/>
    <x v="0"/>
    <x v="3"/>
    <n v="75"/>
    <n v="68"/>
    <n v="0.44"/>
    <s v="Mobile"/>
    <n v="0"/>
    <n v="1"/>
    <n v="1"/>
    <n v="4.99"/>
    <n v="4.99"/>
  </r>
  <r>
    <n v="5980"/>
    <s v="Other"/>
    <n v="46"/>
    <x v="2"/>
    <x v="3"/>
    <n v="173"/>
    <n v="44"/>
    <n v="0.56999999999999995"/>
    <s v="Web"/>
    <n v="0"/>
    <n v="1"/>
    <n v="0"/>
    <n v="4.99"/>
    <n v="0"/>
  </r>
  <r>
    <n v="5981"/>
    <s v="Male"/>
    <n v="55"/>
    <x v="6"/>
    <x v="2"/>
    <n v="94"/>
    <n v="72"/>
    <n v="0.28999999999999998"/>
    <s v="Desktop"/>
    <n v="0"/>
    <n v="1"/>
    <n v="0"/>
    <n v="9.99"/>
    <n v="0"/>
  </r>
  <r>
    <n v="5982"/>
    <s v="Female"/>
    <n v="55"/>
    <x v="2"/>
    <x v="3"/>
    <n v="279"/>
    <n v="24"/>
    <n v="0.23"/>
    <s v="Desktop"/>
    <n v="0"/>
    <n v="1"/>
    <n v="1"/>
    <n v="4.99"/>
    <n v="4.99"/>
  </r>
  <r>
    <n v="5983"/>
    <s v="Male"/>
    <n v="21"/>
    <x v="5"/>
    <x v="0"/>
    <n v="226"/>
    <n v="80"/>
    <n v="0.43"/>
    <s v="Web"/>
    <n v="37"/>
    <n v="0"/>
    <n v="0"/>
    <n v="0"/>
    <n v="0"/>
  </r>
  <r>
    <n v="5984"/>
    <s v="Female"/>
    <n v="49"/>
    <x v="2"/>
    <x v="0"/>
    <n v="210"/>
    <n v="11"/>
    <n v="7.0000000000000007E-2"/>
    <s v="Mobile"/>
    <n v="8"/>
    <n v="0"/>
    <n v="0"/>
    <n v="0"/>
    <n v="0"/>
  </r>
  <r>
    <n v="5985"/>
    <s v="Male"/>
    <n v="24"/>
    <x v="6"/>
    <x v="2"/>
    <n v="256"/>
    <n v="11"/>
    <n v="0.3"/>
    <s v="Desktop"/>
    <n v="0"/>
    <n v="1"/>
    <n v="0"/>
    <n v="9.99"/>
    <n v="0"/>
  </r>
  <r>
    <n v="5986"/>
    <s v="Other"/>
    <n v="23"/>
    <x v="5"/>
    <x v="0"/>
    <n v="77"/>
    <n v="12"/>
    <n v="7.0000000000000007E-2"/>
    <s v="Desktop"/>
    <n v="8"/>
    <n v="0"/>
    <n v="1"/>
    <n v="0"/>
    <n v="0"/>
  </r>
  <r>
    <n v="5987"/>
    <s v="Male"/>
    <n v="25"/>
    <x v="1"/>
    <x v="0"/>
    <n v="249"/>
    <n v="33"/>
    <n v="7.0000000000000007E-2"/>
    <s v="Web"/>
    <n v="18"/>
    <n v="0"/>
    <n v="0"/>
    <n v="0"/>
    <n v="0"/>
  </r>
  <r>
    <n v="5988"/>
    <s v="Female"/>
    <n v="56"/>
    <x v="2"/>
    <x v="0"/>
    <n v="184"/>
    <n v="19"/>
    <n v="0.1"/>
    <s v="Desktop"/>
    <n v="27"/>
    <n v="0"/>
    <n v="0"/>
    <n v="0"/>
    <n v="0"/>
  </r>
  <r>
    <n v="5989"/>
    <s v="Male"/>
    <n v="54"/>
    <x v="6"/>
    <x v="2"/>
    <n v="224"/>
    <n v="60"/>
    <n v="0.4"/>
    <s v="Desktop"/>
    <n v="0"/>
    <n v="1"/>
    <n v="0"/>
    <n v="9.99"/>
    <n v="0"/>
  </r>
  <r>
    <n v="5990"/>
    <s v="Other"/>
    <n v="46"/>
    <x v="5"/>
    <x v="2"/>
    <n v="206"/>
    <n v="23"/>
    <n v="0.49"/>
    <s v="Desktop"/>
    <n v="0"/>
    <n v="1"/>
    <n v="0"/>
    <n v="9.99"/>
    <n v="0"/>
  </r>
  <r>
    <n v="5991"/>
    <s v="Male"/>
    <n v="22"/>
    <x v="1"/>
    <x v="3"/>
    <n v="118"/>
    <n v="74"/>
    <n v="0.48"/>
    <s v="Web"/>
    <n v="0"/>
    <n v="1"/>
    <n v="0"/>
    <n v="4.99"/>
    <n v="0"/>
  </r>
  <r>
    <n v="5992"/>
    <s v="Male"/>
    <n v="55"/>
    <x v="4"/>
    <x v="2"/>
    <n v="63"/>
    <n v="46"/>
    <n v="0.53"/>
    <s v="Mobile"/>
    <n v="0"/>
    <n v="1"/>
    <n v="1"/>
    <n v="9.99"/>
    <n v="9.99"/>
  </r>
  <r>
    <n v="5993"/>
    <s v="Male"/>
    <n v="40"/>
    <x v="5"/>
    <x v="1"/>
    <n v="110"/>
    <n v="16"/>
    <n v="0.09"/>
    <s v="Web"/>
    <n v="0"/>
    <n v="1"/>
    <n v="0"/>
    <n v="14.99"/>
    <n v="0"/>
  </r>
  <r>
    <n v="5994"/>
    <s v="Female"/>
    <n v="17"/>
    <x v="1"/>
    <x v="0"/>
    <n v="209"/>
    <n v="49"/>
    <n v="0.51"/>
    <s v="Web"/>
    <n v="15"/>
    <n v="0"/>
    <n v="0"/>
    <n v="0"/>
    <n v="0"/>
  </r>
  <r>
    <n v="5995"/>
    <s v="Other"/>
    <n v="49"/>
    <x v="0"/>
    <x v="1"/>
    <n v="168"/>
    <n v="87"/>
    <n v="0.48"/>
    <s v="Web"/>
    <n v="0"/>
    <n v="1"/>
    <n v="0"/>
    <n v="14.99"/>
    <n v="0"/>
  </r>
  <r>
    <n v="5996"/>
    <s v="Female"/>
    <n v="26"/>
    <x v="7"/>
    <x v="2"/>
    <n v="85"/>
    <n v="75"/>
    <n v="0.52"/>
    <s v="Web"/>
    <n v="0"/>
    <n v="1"/>
    <n v="1"/>
    <n v="9.99"/>
    <n v="9.99"/>
  </r>
  <r>
    <n v="5997"/>
    <s v="Female"/>
    <n v="25"/>
    <x v="2"/>
    <x v="2"/>
    <n v="26"/>
    <n v="88"/>
    <n v="0.11"/>
    <s v="Desktop"/>
    <n v="0"/>
    <n v="1"/>
    <n v="0"/>
    <n v="9.99"/>
    <n v="0"/>
  </r>
  <r>
    <n v="5998"/>
    <s v="Male"/>
    <n v="57"/>
    <x v="4"/>
    <x v="0"/>
    <n v="213"/>
    <n v="85"/>
    <n v="0.05"/>
    <s v="Desktop"/>
    <n v="15"/>
    <n v="0"/>
    <n v="0"/>
    <n v="0"/>
    <n v="0"/>
  </r>
  <r>
    <n v="5999"/>
    <s v="Other"/>
    <n v="28"/>
    <x v="3"/>
    <x v="0"/>
    <n v="45"/>
    <n v="62"/>
    <n v="0.54"/>
    <s v="Web"/>
    <n v="24"/>
    <n v="0"/>
    <n v="1"/>
    <n v="0"/>
    <n v="0"/>
  </r>
  <r>
    <n v="6000"/>
    <s v="Female"/>
    <n v="21"/>
    <x v="6"/>
    <x v="1"/>
    <n v="93"/>
    <n v="31"/>
    <n v="0.37"/>
    <s v="Desktop"/>
    <n v="0"/>
    <n v="1"/>
    <n v="0"/>
    <n v="14.99"/>
    <n v="0"/>
  </r>
  <r>
    <n v="6001"/>
    <s v="Female"/>
    <n v="53"/>
    <x v="2"/>
    <x v="0"/>
    <n v="96"/>
    <n v="10"/>
    <n v="0.59"/>
    <s v="Mobile"/>
    <n v="15"/>
    <n v="0"/>
    <n v="1"/>
    <n v="0"/>
    <n v="0"/>
  </r>
  <r>
    <n v="6002"/>
    <s v="Male"/>
    <n v="32"/>
    <x v="1"/>
    <x v="3"/>
    <n v="233"/>
    <n v="57"/>
    <n v="0.51"/>
    <s v="Mobile"/>
    <n v="0"/>
    <n v="1"/>
    <n v="1"/>
    <n v="4.99"/>
    <n v="4.99"/>
  </r>
  <r>
    <n v="6003"/>
    <s v="Male"/>
    <n v="28"/>
    <x v="4"/>
    <x v="0"/>
    <n v="61"/>
    <n v="31"/>
    <n v="0.56999999999999995"/>
    <s v="Mobile"/>
    <n v="48"/>
    <n v="0"/>
    <n v="1"/>
    <n v="0"/>
    <n v="0"/>
  </r>
  <r>
    <n v="6004"/>
    <s v="Male"/>
    <n v="16"/>
    <x v="0"/>
    <x v="3"/>
    <n v="206"/>
    <n v="58"/>
    <n v="0.28999999999999998"/>
    <s v="Desktop"/>
    <n v="0"/>
    <n v="1"/>
    <n v="0"/>
    <n v="4.99"/>
    <n v="0"/>
  </r>
  <r>
    <n v="6005"/>
    <s v="Female"/>
    <n v="41"/>
    <x v="0"/>
    <x v="0"/>
    <n v="151"/>
    <n v="3"/>
    <n v="0.32"/>
    <s v="Mobile"/>
    <n v="10"/>
    <n v="0"/>
    <n v="0"/>
    <n v="0"/>
    <n v="0"/>
  </r>
  <r>
    <n v="6006"/>
    <s v="Other"/>
    <n v="45"/>
    <x v="1"/>
    <x v="2"/>
    <n v="196"/>
    <n v="42"/>
    <n v="0.13"/>
    <s v="Desktop"/>
    <n v="0"/>
    <n v="1"/>
    <n v="0"/>
    <n v="9.99"/>
    <n v="0"/>
  </r>
  <r>
    <n v="6007"/>
    <s v="Other"/>
    <n v="54"/>
    <x v="7"/>
    <x v="1"/>
    <n v="242"/>
    <n v="1"/>
    <n v="0.35"/>
    <s v="Desktop"/>
    <n v="0"/>
    <n v="1"/>
    <n v="0"/>
    <n v="14.99"/>
    <n v="0"/>
  </r>
  <r>
    <n v="6008"/>
    <s v="Male"/>
    <n v="16"/>
    <x v="2"/>
    <x v="2"/>
    <n v="215"/>
    <n v="30"/>
    <n v="0.36"/>
    <s v="Desktop"/>
    <n v="0"/>
    <n v="1"/>
    <n v="0"/>
    <n v="9.99"/>
    <n v="0"/>
  </r>
  <r>
    <n v="6009"/>
    <s v="Other"/>
    <n v="46"/>
    <x v="7"/>
    <x v="1"/>
    <n v="14"/>
    <n v="23"/>
    <n v="0.19"/>
    <s v="Desktop"/>
    <n v="0"/>
    <n v="1"/>
    <n v="0"/>
    <n v="14.99"/>
    <n v="0"/>
  </r>
  <r>
    <n v="6010"/>
    <s v="Other"/>
    <n v="34"/>
    <x v="1"/>
    <x v="0"/>
    <n v="221"/>
    <n v="71"/>
    <n v="0.16"/>
    <s v="Mobile"/>
    <n v="13"/>
    <n v="0"/>
    <n v="1"/>
    <n v="0"/>
    <n v="0"/>
  </r>
  <r>
    <n v="6011"/>
    <s v="Other"/>
    <n v="44"/>
    <x v="6"/>
    <x v="0"/>
    <n v="157"/>
    <n v="15"/>
    <n v="0.01"/>
    <s v="Web"/>
    <n v="18"/>
    <n v="0"/>
    <n v="0"/>
    <n v="0"/>
    <n v="0"/>
  </r>
  <r>
    <n v="6012"/>
    <s v="Other"/>
    <n v="18"/>
    <x v="3"/>
    <x v="0"/>
    <n v="224"/>
    <n v="19"/>
    <n v="0.57999999999999996"/>
    <s v="Desktop"/>
    <n v="40"/>
    <n v="0"/>
    <n v="1"/>
    <n v="0"/>
    <n v="0"/>
  </r>
  <r>
    <n v="6013"/>
    <s v="Other"/>
    <n v="47"/>
    <x v="2"/>
    <x v="3"/>
    <n v="233"/>
    <n v="32"/>
    <n v="0.11"/>
    <s v="Mobile"/>
    <n v="0"/>
    <n v="1"/>
    <n v="0"/>
    <n v="4.99"/>
    <n v="0"/>
  </r>
  <r>
    <n v="6014"/>
    <s v="Other"/>
    <n v="48"/>
    <x v="0"/>
    <x v="1"/>
    <n v="19"/>
    <n v="47"/>
    <n v="0.43"/>
    <s v="Mobile"/>
    <n v="0"/>
    <n v="1"/>
    <n v="1"/>
    <n v="14.99"/>
    <n v="14.99"/>
  </r>
  <r>
    <n v="6015"/>
    <s v="Male"/>
    <n v="56"/>
    <x v="4"/>
    <x v="1"/>
    <n v="159"/>
    <n v="21"/>
    <n v="0.17"/>
    <s v="Mobile"/>
    <n v="0"/>
    <n v="1"/>
    <n v="0"/>
    <n v="14.99"/>
    <n v="0"/>
  </r>
  <r>
    <n v="6016"/>
    <s v="Female"/>
    <n v="40"/>
    <x v="3"/>
    <x v="1"/>
    <n v="167"/>
    <n v="60"/>
    <n v="0.37"/>
    <s v="Mobile"/>
    <n v="0"/>
    <n v="1"/>
    <n v="1"/>
    <n v="14.99"/>
    <n v="14.99"/>
  </r>
  <r>
    <n v="6017"/>
    <s v="Male"/>
    <n v="55"/>
    <x v="4"/>
    <x v="3"/>
    <n v="84"/>
    <n v="46"/>
    <n v="0.21"/>
    <s v="Web"/>
    <n v="0"/>
    <n v="1"/>
    <n v="0"/>
    <n v="4.99"/>
    <n v="0"/>
  </r>
  <r>
    <n v="6018"/>
    <s v="Other"/>
    <n v="49"/>
    <x v="7"/>
    <x v="1"/>
    <n v="264"/>
    <n v="89"/>
    <n v="0.23"/>
    <s v="Mobile"/>
    <n v="0"/>
    <n v="1"/>
    <n v="0"/>
    <n v="14.99"/>
    <n v="0"/>
  </r>
  <r>
    <n v="6019"/>
    <s v="Other"/>
    <n v="53"/>
    <x v="1"/>
    <x v="0"/>
    <n v="219"/>
    <n v="92"/>
    <n v="0.13"/>
    <s v="Web"/>
    <n v="6"/>
    <n v="0"/>
    <n v="0"/>
    <n v="0"/>
    <n v="0"/>
  </r>
  <r>
    <n v="6020"/>
    <s v="Other"/>
    <n v="48"/>
    <x v="5"/>
    <x v="3"/>
    <n v="206"/>
    <n v="85"/>
    <n v="0.19"/>
    <s v="Desktop"/>
    <n v="0"/>
    <n v="1"/>
    <n v="0"/>
    <n v="4.99"/>
    <n v="0"/>
  </r>
  <r>
    <n v="6021"/>
    <s v="Other"/>
    <n v="56"/>
    <x v="1"/>
    <x v="0"/>
    <n v="260"/>
    <n v="21"/>
    <n v="0.06"/>
    <s v="Desktop"/>
    <n v="45"/>
    <n v="0"/>
    <n v="1"/>
    <n v="0"/>
    <n v="0"/>
  </r>
  <r>
    <n v="6022"/>
    <s v="Female"/>
    <n v="57"/>
    <x v="1"/>
    <x v="2"/>
    <n v="125"/>
    <n v="96"/>
    <n v="0.46"/>
    <s v="Mobile"/>
    <n v="0"/>
    <n v="1"/>
    <n v="1"/>
    <n v="9.99"/>
    <n v="9.99"/>
  </r>
  <r>
    <n v="6023"/>
    <s v="Male"/>
    <n v="58"/>
    <x v="0"/>
    <x v="0"/>
    <n v="83"/>
    <n v="80"/>
    <n v="0.05"/>
    <s v="Mobile"/>
    <n v="16"/>
    <n v="0"/>
    <n v="0"/>
    <n v="0"/>
    <n v="0"/>
  </r>
  <r>
    <n v="6024"/>
    <s v="Female"/>
    <n v="37"/>
    <x v="5"/>
    <x v="3"/>
    <n v="22"/>
    <n v="95"/>
    <n v="0.41"/>
    <s v="Desktop"/>
    <n v="0"/>
    <n v="1"/>
    <n v="1"/>
    <n v="4.99"/>
    <n v="4.99"/>
  </r>
  <r>
    <n v="6025"/>
    <s v="Other"/>
    <n v="18"/>
    <x v="5"/>
    <x v="2"/>
    <n v="274"/>
    <n v="64"/>
    <n v="0.51"/>
    <s v="Web"/>
    <n v="0"/>
    <n v="1"/>
    <n v="0"/>
    <n v="9.99"/>
    <n v="0"/>
  </r>
  <r>
    <n v="6026"/>
    <s v="Other"/>
    <n v="30"/>
    <x v="2"/>
    <x v="2"/>
    <n v="158"/>
    <n v="52"/>
    <n v="0.54"/>
    <s v="Mobile"/>
    <n v="0"/>
    <n v="1"/>
    <n v="0"/>
    <n v="9.99"/>
    <n v="0"/>
  </r>
  <r>
    <n v="6027"/>
    <s v="Male"/>
    <n v="38"/>
    <x v="3"/>
    <x v="3"/>
    <n v="28"/>
    <n v="51"/>
    <n v="0.09"/>
    <s v="Web"/>
    <n v="0"/>
    <n v="1"/>
    <n v="0"/>
    <n v="4.99"/>
    <n v="0"/>
  </r>
  <r>
    <n v="6028"/>
    <s v="Other"/>
    <n v="16"/>
    <x v="5"/>
    <x v="0"/>
    <n v="124"/>
    <n v="51"/>
    <n v="0.13"/>
    <s v="Web"/>
    <n v="16"/>
    <n v="0"/>
    <n v="0"/>
    <n v="0"/>
    <n v="0"/>
  </r>
  <r>
    <n v="6029"/>
    <s v="Other"/>
    <n v="49"/>
    <x v="5"/>
    <x v="3"/>
    <n v="166"/>
    <n v="69"/>
    <n v="0.14000000000000001"/>
    <s v="Desktop"/>
    <n v="0"/>
    <n v="1"/>
    <n v="0"/>
    <n v="4.99"/>
    <n v="0"/>
  </r>
  <r>
    <n v="6030"/>
    <s v="Female"/>
    <n v="32"/>
    <x v="7"/>
    <x v="3"/>
    <n v="154"/>
    <n v="70"/>
    <n v="0.56999999999999995"/>
    <s v="Mobile"/>
    <n v="0"/>
    <n v="1"/>
    <n v="0"/>
    <n v="4.99"/>
    <n v="0"/>
  </r>
  <r>
    <n v="6031"/>
    <s v="Other"/>
    <n v="27"/>
    <x v="4"/>
    <x v="2"/>
    <n v="23"/>
    <n v="42"/>
    <n v="0.39"/>
    <s v="Web"/>
    <n v="0"/>
    <n v="1"/>
    <n v="0"/>
    <n v="9.99"/>
    <n v="0"/>
  </r>
  <r>
    <n v="6032"/>
    <s v="Male"/>
    <n v="17"/>
    <x v="6"/>
    <x v="2"/>
    <n v="239"/>
    <n v="42"/>
    <n v="0.01"/>
    <s v="Desktop"/>
    <n v="0"/>
    <n v="1"/>
    <n v="0"/>
    <n v="9.99"/>
    <n v="0"/>
  </r>
  <r>
    <n v="6033"/>
    <s v="Male"/>
    <n v="54"/>
    <x v="3"/>
    <x v="0"/>
    <n v="133"/>
    <n v="47"/>
    <n v="0.08"/>
    <s v="Desktop"/>
    <n v="41"/>
    <n v="0"/>
    <n v="0"/>
    <n v="0"/>
    <n v="0"/>
  </r>
  <r>
    <n v="6034"/>
    <s v="Female"/>
    <n v="25"/>
    <x v="6"/>
    <x v="3"/>
    <n v="77"/>
    <n v="20"/>
    <n v="0.15"/>
    <s v="Desktop"/>
    <n v="0"/>
    <n v="1"/>
    <n v="0"/>
    <n v="4.99"/>
    <n v="0"/>
  </r>
  <r>
    <n v="6035"/>
    <s v="Male"/>
    <n v="30"/>
    <x v="6"/>
    <x v="3"/>
    <n v="75"/>
    <n v="42"/>
    <n v="0.28000000000000003"/>
    <s v="Mobile"/>
    <n v="0"/>
    <n v="1"/>
    <n v="1"/>
    <n v="4.99"/>
    <n v="4.99"/>
  </r>
  <r>
    <n v="6036"/>
    <s v="Other"/>
    <n v="53"/>
    <x v="3"/>
    <x v="3"/>
    <n v="113"/>
    <n v="59"/>
    <n v="0.35"/>
    <s v="Desktop"/>
    <n v="0"/>
    <n v="1"/>
    <n v="0"/>
    <n v="4.99"/>
    <n v="0"/>
  </r>
  <r>
    <n v="6037"/>
    <s v="Female"/>
    <n v="18"/>
    <x v="3"/>
    <x v="3"/>
    <n v="56"/>
    <n v="24"/>
    <n v="0.46"/>
    <s v="Web"/>
    <n v="0"/>
    <n v="1"/>
    <n v="0"/>
    <n v="4.99"/>
    <n v="0"/>
  </r>
  <r>
    <n v="6038"/>
    <s v="Male"/>
    <n v="59"/>
    <x v="5"/>
    <x v="2"/>
    <n v="141"/>
    <n v="99"/>
    <n v="7.0000000000000007E-2"/>
    <s v="Mobile"/>
    <n v="0"/>
    <n v="1"/>
    <n v="0"/>
    <n v="9.99"/>
    <n v="0"/>
  </r>
  <r>
    <n v="6039"/>
    <s v="Male"/>
    <n v="20"/>
    <x v="5"/>
    <x v="0"/>
    <n v="114"/>
    <n v="44"/>
    <n v="0.47"/>
    <s v="Mobile"/>
    <n v="16"/>
    <n v="0"/>
    <n v="0"/>
    <n v="0"/>
    <n v="0"/>
  </r>
  <r>
    <n v="6040"/>
    <s v="Male"/>
    <n v="16"/>
    <x v="3"/>
    <x v="0"/>
    <n v="131"/>
    <n v="40"/>
    <n v="0.34"/>
    <s v="Web"/>
    <n v="47"/>
    <n v="0"/>
    <n v="0"/>
    <n v="0"/>
    <n v="0"/>
  </r>
  <r>
    <n v="6041"/>
    <s v="Female"/>
    <n v="21"/>
    <x v="4"/>
    <x v="2"/>
    <n v="49"/>
    <n v="46"/>
    <n v="0.16"/>
    <s v="Desktop"/>
    <n v="0"/>
    <n v="1"/>
    <n v="0"/>
    <n v="9.99"/>
    <n v="0"/>
  </r>
  <r>
    <n v="6042"/>
    <s v="Other"/>
    <n v="59"/>
    <x v="7"/>
    <x v="0"/>
    <n v="203"/>
    <n v="11"/>
    <n v="0.21"/>
    <s v="Mobile"/>
    <n v="45"/>
    <n v="0"/>
    <n v="1"/>
    <n v="0"/>
    <n v="0"/>
  </r>
  <r>
    <n v="6043"/>
    <s v="Other"/>
    <n v="59"/>
    <x v="3"/>
    <x v="2"/>
    <n v="179"/>
    <n v="26"/>
    <n v="0.3"/>
    <s v="Web"/>
    <n v="0"/>
    <n v="1"/>
    <n v="0"/>
    <n v="9.99"/>
    <n v="0"/>
  </r>
  <r>
    <n v="6044"/>
    <s v="Male"/>
    <n v="59"/>
    <x v="7"/>
    <x v="1"/>
    <n v="126"/>
    <n v="21"/>
    <n v="0.05"/>
    <s v="Web"/>
    <n v="0"/>
    <n v="1"/>
    <n v="1"/>
    <n v="14.99"/>
    <n v="14.99"/>
  </r>
  <r>
    <n v="6045"/>
    <s v="Male"/>
    <n v="31"/>
    <x v="4"/>
    <x v="0"/>
    <n v="237"/>
    <n v="50"/>
    <n v="0.54"/>
    <s v="Mobile"/>
    <n v="11"/>
    <n v="0"/>
    <n v="0"/>
    <n v="0"/>
    <n v="0"/>
  </r>
  <r>
    <n v="6046"/>
    <s v="Female"/>
    <n v="23"/>
    <x v="7"/>
    <x v="2"/>
    <n v="99"/>
    <n v="74"/>
    <n v="0.26"/>
    <s v="Mobile"/>
    <n v="0"/>
    <n v="1"/>
    <n v="0"/>
    <n v="9.99"/>
    <n v="0"/>
  </r>
  <r>
    <n v="6047"/>
    <s v="Male"/>
    <n v="56"/>
    <x v="3"/>
    <x v="0"/>
    <n v="205"/>
    <n v="64"/>
    <n v="0.47"/>
    <s v="Web"/>
    <n v="9"/>
    <n v="0"/>
    <n v="0"/>
    <n v="0"/>
    <n v="0"/>
  </r>
  <r>
    <n v="6048"/>
    <s v="Female"/>
    <n v="52"/>
    <x v="7"/>
    <x v="3"/>
    <n v="297"/>
    <n v="63"/>
    <n v="0.1"/>
    <s v="Mobile"/>
    <n v="0"/>
    <n v="1"/>
    <n v="0"/>
    <n v="4.99"/>
    <n v="0"/>
  </r>
  <r>
    <n v="6049"/>
    <s v="Other"/>
    <n v="44"/>
    <x v="4"/>
    <x v="1"/>
    <n v="242"/>
    <n v="96"/>
    <n v="0.32"/>
    <s v="Desktop"/>
    <n v="0"/>
    <n v="1"/>
    <n v="0"/>
    <n v="14.99"/>
    <n v="0"/>
  </r>
  <r>
    <n v="6050"/>
    <s v="Male"/>
    <n v="29"/>
    <x v="3"/>
    <x v="1"/>
    <n v="121"/>
    <n v="8"/>
    <n v="0.12"/>
    <s v="Desktop"/>
    <n v="0"/>
    <n v="1"/>
    <n v="0"/>
    <n v="14.99"/>
    <n v="0"/>
  </r>
  <r>
    <n v="6051"/>
    <s v="Other"/>
    <n v="44"/>
    <x v="6"/>
    <x v="2"/>
    <n v="48"/>
    <n v="72"/>
    <n v="0.51"/>
    <s v="Desktop"/>
    <n v="0"/>
    <n v="1"/>
    <n v="0"/>
    <n v="9.99"/>
    <n v="0"/>
  </r>
  <r>
    <n v="6052"/>
    <s v="Female"/>
    <n v="21"/>
    <x v="5"/>
    <x v="2"/>
    <n v="136"/>
    <n v="20"/>
    <n v="0.55000000000000004"/>
    <s v="Web"/>
    <n v="0"/>
    <n v="1"/>
    <n v="1"/>
    <n v="9.99"/>
    <n v="9.99"/>
  </r>
  <r>
    <n v="6053"/>
    <s v="Other"/>
    <n v="43"/>
    <x v="1"/>
    <x v="2"/>
    <n v="257"/>
    <n v="62"/>
    <n v="0.51"/>
    <s v="Web"/>
    <n v="0"/>
    <n v="1"/>
    <n v="0"/>
    <n v="9.99"/>
    <n v="0"/>
  </r>
  <r>
    <n v="6054"/>
    <s v="Other"/>
    <n v="34"/>
    <x v="0"/>
    <x v="2"/>
    <n v="256"/>
    <n v="46"/>
    <n v="0.06"/>
    <s v="Mobile"/>
    <n v="0"/>
    <n v="1"/>
    <n v="0"/>
    <n v="9.99"/>
    <n v="0"/>
  </r>
  <r>
    <n v="6055"/>
    <s v="Other"/>
    <n v="18"/>
    <x v="5"/>
    <x v="2"/>
    <n v="132"/>
    <n v="38"/>
    <n v="0.35"/>
    <s v="Web"/>
    <n v="0"/>
    <n v="1"/>
    <n v="0"/>
    <n v="9.99"/>
    <n v="0"/>
  </r>
  <r>
    <n v="6056"/>
    <s v="Other"/>
    <n v="35"/>
    <x v="6"/>
    <x v="2"/>
    <n v="126"/>
    <n v="17"/>
    <n v="0.45"/>
    <s v="Web"/>
    <n v="0"/>
    <n v="1"/>
    <n v="0"/>
    <n v="9.99"/>
    <n v="0"/>
  </r>
  <r>
    <n v="6057"/>
    <s v="Male"/>
    <n v="58"/>
    <x v="4"/>
    <x v="0"/>
    <n v="67"/>
    <n v="78"/>
    <n v="0.15"/>
    <s v="Mobile"/>
    <n v="44"/>
    <n v="0"/>
    <n v="0"/>
    <n v="0"/>
    <n v="0"/>
  </r>
  <r>
    <n v="6058"/>
    <s v="Female"/>
    <n v="35"/>
    <x v="6"/>
    <x v="0"/>
    <n v="80"/>
    <n v="77"/>
    <n v="0.52"/>
    <s v="Desktop"/>
    <n v="26"/>
    <n v="0"/>
    <n v="0"/>
    <n v="0"/>
    <n v="0"/>
  </r>
  <r>
    <n v="6059"/>
    <s v="Other"/>
    <n v="47"/>
    <x v="1"/>
    <x v="0"/>
    <n v="26"/>
    <n v="42"/>
    <n v="0.35"/>
    <s v="Mobile"/>
    <n v="30"/>
    <n v="0"/>
    <n v="1"/>
    <n v="0"/>
    <n v="0"/>
  </r>
  <r>
    <n v="6060"/>
    <s v="Male"/>
    <n v="18"/>
    <x v="0"/>
    <x v="0"/>
    <n v="17"/>
    <n v="94"/>
    <n v="0.52"/>
    <s v="Desktop"/>
    <n v="45"/>
    <n v="0"/>
    <n v="0"/>
    <n v="0"/>
    <n v="0"/>
  </r>
  <r>
    <n v="6061"/>
    <s v="Other"/>
    <n v="19"/>
    <x v="0"/>
    <x v="2"/>
    <n v="149"/>
    <n v="55"/>
    <n v="0.43"/>
    <s v="Mobile"/>
    <n v="0"/>
    <n v="1"/>
    <n v="0"/>
    <n v="9.99"/>
    <n v="0"/>
  </r>
  <r>
    <n v="6062"/>
    <s v="Other"/>
    <n v="28"/>
    <x v="2"/>
    <x v="2"/>
    <n v="247"/>
    <n v="13"/>
    <n v="0.18"/>
    <s v="Desktop"/>
    <n v="0"/>
    <n v="1"/>
    <n v="0"/>
    <n v="9.99"/>
    <n v="0"/>
  </r>
  <r>
    <n v="6063"/>
    <s v="Female"/>
    <n v="25"/>
    <x v="4"/>
    <x v="2"/>
    <n v="12"/>
    <n v="40"/>
    <n v="0.06"/>
    <s v="Mobile"/>
    <n v="0"/>
    <n v="1"/>
    <n v="0"/>
    <n v="9.99"/>
    <n v="0"/>
  </r>
  <r>
    <n v="6064"/>
    <s v="Male"/>
    <n v="26"/>
    <x v="0"/>
    <x v="0"/>
    <n v="244"/>
    <n v="73"/>
    <n v="0.32"/>
    <s v="Mobile"/>
    <n v="45"/>
    <n v="0"/>
    <n v="1"/>
    <n v="0"/>
    <n v="0"/>
  </r>
  <r>
    <n v="6065"/>
    <s v="Other"/>
    <n v="39"/>
    <x v="3"/>
    <x v="3"/>
    <n v="41"/>
    <n v="92"/>
    <n v="0.44"/>
    <s v="Web"/>
    <n v="0"/>
    <n v="1"/>
    <n v="0"/>
    <n v="4.99"/>
    <n v="0"/>
  </r>
  <r>
    <n v="6066"/>
    <s v="Female"/>
    <n v="32"/>
    <x v="0"/>
    <x v="3"/>
    <n v="32"/>
    <n v="90"/>
    <n v="0.53"/>
    <s v="Desktop"/>
    <n v="0"/>
    <n v="1"/>
    <n v="0"/>
    <n v="4.99"/>
    <n v="0"/>
  </r>
  <r>
    <n v="6067"/>
    <s v="Other"/>
    <n v="18"/>
    <x v="0"/>
    <x v="2"/>
    <n v="263"/>
    <n v="73"/>
    <n v="0.45"/>
    <s v="Desktop"/>
    <n v="0"/>
    <n v="1"/>
    <n v="0"/>
    <n v="9.99"/>
    <n v="0"/>
  </r>
  <r>
    <n v="6068"/>
    <s v="Other"/>
    <n v="50"/>
    <x v="1"/>
    <x v="0"/>
    <n v="85"/>
    <n v="7"/>
    <n v="0.47"/>
    <s v="Mobile"/>
    <n v="49"/>
    <n v="0"/>
    <n v="1"/>
    <n v="0"/>
    <n v="0"/>
  </r>
  <r>
    <n v="6069"/>
    <s v="Other"/>
    <n v="29"/>
    <x v="2"/>
    <x v="2"/>
    <n v="88"/>
    <n v="6"/>
    <n v="0.3"/>
    <s v="Desktop"/>
    <n v="0"/>
    <n v="1"/>
    <n v="1"/>
    <n v="9.99"/>
    <n v="9.99"/>
  </r>
  <r>
    <n v="6070"/>
    <s v="Female"/>
    <n v="54"/>
    <x v="1"/>
    <x v="1"/>
    <n v="264"/>
    <n v="67"/>
    <n v="0.27"/>
    <s v="Mobile"/>
    <n v="0"/>
    <n v="1"/>
    <n v="0"/>
    <n v="14.99"/>
    <n v="0"/>
  </r>
  <r>
    <n v="6071"/>
    <s v="Other"/>
    <n v="51"/>
    <x v="7"/>
    <x v="2"/>
    <n v="151"/>
    <n v="86"/>
    <n v="0.34"/>
    <s v="Desktop"/>
    <n v="0"/>
    <n v="1"/>
    <n v="1"/>
    <n v="9.99"/>
    <n v="9.99"/>
  </r>
  <r>
    <n v="6072"/>
    <s v="Other"/>
    <n v="40"/>
    <x v="4"/>
    <x v="0"/>
    <n v="58"/>
    <n v="78"/>
    <n v="0.21"/>
    <s v="Desktop"/>
    <n v="42"/>
    <n v="0"/>
    <n v="0"/>
    <n v="0"/>
    <n v="0"/>
  </r>
  <r>
    <n v="6073"/>
    <s v="Male"/>
    <n v="48"/>
    <x v="6"/>
    <x v="0"/>
    <n v="128"/>
    <n v="5"/>
    <n v="0.28999999999999998"/>
    <s v="Mobile"/>
    <n v="47"/>
    <n v="0"/>
    <n v="1"/>
    <n v="0"/>
    <n v="0"/>
  </r>
  <r>
    <n v="6074"/>
    <s v="Other"/>
    <n v="37"/>
    <x v="2"/>
    <x v="0"/>
    <n v="75"/>
    <n v="13"/>
    <n v="0.18"/>
    <s v="Desktop"/>
    <n v="36"/>
    <n v="0"/>
    <n v="0"/>
    <n v="0"/>
    <n v="0"/>
  </r>
  <r>
    <n v="6075"/>
    <s v="Other"/>
    <n v="40"/>
    <x v="0"/>
    <x v="1"/>
    <n v="80"/>
    <n v="46"/>
    <n v="0.39"/>
    <s v="Desktop"/>
    <n v="0"/>
    <n v="1"/>
    <n v="0"/>
    <n v="14.99"/>
    <n v="0"/>
  </r>
  <r>
    <n v="6076"/>
    <s v="Male"/>
    <n v="23"/>
    <x v="0"/>
    <x v="2"/>
    <n v="298"/>
    <n v="23"/>
    <n v="0.28999999999999998"/>
    <s v="Desktop"/>
    <n v="0"/>
    <n v="1"/>
    <n v="0"/>
    <n v="9.99"/>
    <n v="0"/>
  </r>
  <r>
    <n v="6077"/>
    <s v="Other"/>
    <n v="37"/>
    <x v="5"/>
    <x v="2"/>
    <n v="101"/>
    <n v="26"/>
    <n v="0.25"/>
    <s v="Web"/>
    <n v="0"/>
    <n v="1"/>
    <n v="0"/>
    <n v="9.99"/>
    <n v="0"/>
  </r>
  <r>
    <n v="6078"/>
    <s v="Other"/>
    <n v="20"/>
    <x v="4"/>
    <x v="1"/>
    <n v="281"/>
    <n v="37"/>
    <n v="0.41"/>
    <s v="Mobile"/>
    <n v="0"/>
    <n v="1"/>
    <n v="0"/>
    <n v="14.99"/>
    <n v="0"/>
  </r>
  <r>
    <n v="6079"/>
    <s v="Other"/>
    <n v="43"/>
    <x v="4"/>
    <x v="2"/>
    <n v="292"/>
    <n v="19"/>
    <n v="0.32"/>
    <s v="Mobile"/>
    <n v="0"/>
    <n v="1"/>
    <n v="1"/>
    <n v="9.99"/>
    <n v="9.99"/>
  </r>
  <r>
    <n v="6080"/>
    <s v="Other"/>
    <n v="27"/>
    <x v="3"/>
    <x v="3"/>
    <n v="50"/>
    <n v="89"/>
    <n v="0.02"/>
    <s v="Web"/>
    <n v="0"/>
    <n v="1"/>
    <n v="0"/>
    <n v="4.99"/>
    <n v="0"/>
  </r>
  <r>
    <n v="6081"/>
    <s v="Other"/>
    <n v="24"/>
    <x v="2"/>
    <x v="2"/>
    <n v="287"/>
    <n v="70"/>
    <n v="0.37"/>
    <s v="Mobile"/>
    <n v="0"/>
    <n v="1"/>
    <n v="0"/>
    <n v="9.99"/>
    <n v="0"/>
  </r>
  <r>
    <n v="6082"/>
    <s v="Other"/>
    <n v="36"/>
    <x v="3"/>
    <x v="1"/>
    <n v="248"/>
    <n v="92"/>
    <n v="0.39"/>
    <s v="Desktop"/>
    <n v="0"/>
    <n v="1"/>
    <n v="0"/>
    <n v="14.99"/>
    <n v="0"/>
  </r>
  <r>
    <n v="6083"/>
    <s v="Other"/>
    <n v="23"/>
    <x v="6"/>
    <x v="1"/>
    <n v="273"/>
    <n v="37"/>
    <n v="0.32"/>
    <s v="Mobile"/>
    <n v="0"/>
    <n v="1"/>
    <n v="1"/>
    <n v="14.99"/>
    <n v="14.99"/>
  </r>
  <r>
    <n v="6084"/>
    <s v="Female"/>
    <n v="31"/>
    <x v="5"/>
    <x v="0"/>
    <n v="88"/>
    <n v="91"/>
    <n v="0.48"/>
    <s v="Web"/>
    <n v="9"/>
    <n v="0"/>
    <n v="0"/>
    <n v="0"/>
    <n v="0"/>
  </r>
  <r>
    <n v="6085"/>
    <s v="Other"/>
    <n v="46"/>
    <x v="6"/>
    <x v="3"/>
    <n v="70"/>
    <n v="98"/>
    <n v="0.21"/>
    <s v="Web"/>
    <n v="0"/>
    <n v="1"/>
    <n v="1"/>
    <n v="4.99"/>
    <n v="4.99"/>
  </r>
  <r>
    <n v="6086"/>
    <s v="Female"/>
    <n v="40"/>
    <x v="5"/>
    <x v="3"/>
    <n v="265"/>
    <n v="31"/>
    <n v="0.54"/>
    <s v="Web"/>
    <n v="0"/>
    <n v="1"/>
    <n v="0"/>
    <n v="4.99"/>
    <n v="0"/>
  </r>
  <r>
    <n v="6087"/>
    <s v="Male"/>
    <n v="57"/>
    <x v="3"/>
    <x v="3"/>
    <n v="188"/>
    <n v="92"/>
    <n v="0.1"/>
    <s v="Mobile"/>
    <n v="0"/>
    <n v="1"/>
    <n v="0"/>
    <n v="4.99"/>
    <n v="0"/>
  </r>
  <r>
    <n v="6088"/>
    <s v="Other"/>
    <n v="59"/>
    <x v="3"/>
    <x v="0"/>
    <n v="15"/>
    <n v="42"/>
    <n v="0.49"/>
    <s v="Desktop"/>
    <n v="6"/>
    <n v="0"/>
    <n v="1"/>
    <n v="0"/>
    <n v="0"/>
  </r>
  <r>
    <n v="6089"/>
    <s v="Male"/>
    <n v="42"/>
    <x v="3"/>
    <x v="0"/>
    <n v="199"/>
    <n v="44"/>
    <n v="0.19"/>
    <s v="Mobile"/>
    <n v="44"/>
    <n v="0"/>
    <n v="0"/>
    <n v="0"/>
    <n v="0"/>
  </r>
  <r>
    <n v="6090"/>
    <s v="Female"/>
    <n v="56"/>
    <x v="2"/>
    <x v="1"/>
    <n v="80"/>
    <n v="56"/>
    <n v="0.4"/>
    <s v="Web"/>
    <n v="0"/>
    <n v="1"/>
    <n v="1"/>
    <n v="14.99"/>
    <n v="14.99"/>
  </r>
  <r>
    <n v="6091"/>
    <s v="Male"/>
    <n v="53"/>
    <x v="6"/>
    <x v="2"/>
    <n v="266"/>
    <n v="4"/>
    <n v="0.17"/>
    <s v="Desktop"/>
    <n v="0"/>
    <n v="1"/>
    <n v="0"/>
    <n v="9.99"/>
    <n v="0"/>
  </r>
  <r>
    <n v="6092"/>
    <s v="Male"/>
    <n v="59"/>
    <x v="5"/>
    <x v="2"/>
    <n v="37"/>
    <n v="39"/>
    <n v="0.15"/>
    <s v="Web"/>
    <n v="0"/>
    <n v="1"/>
    <n v="0"/>
    <n v="9.99"/>
    <n v="0"/>
  </r>
  <r>
    <n v="6093"/>
    <s v="Other"/>
    <n v="41"/>
    <x v="2"/>
    <x v="3"/>
    <n v="69"/>
    <n v="77"/>
    <n v="0.1"/>
    <s v="Desktop"/>
    <n v="0"/>
    <n v="1"/>
    <n v="1"/>
    <n v="4.99"/>
    <n v="4.99"/>
  </r>
  <r>
    <n v="6094"/>
    <s v="Other"/>
    <n v="31"/>
    <x v="6"/>
    <x v="0"/>
    <n v="290"/>
    <n v="51"/>
    <n v="0.38"/>
    <s v="Mobile"/>
    <n v="33"/>
    <n v="0"/>
    <n v="1"/>
    <n v="0"/>
    <n v="0"/>
  </r>
  <r>
    <n v="6095"/>
    <s v="Male"/>
    <n v="41"/>
    <x v="2"/>
    <x v="3"/>
    <n v="25"/>
    <n v="52"/>
    <n v="0.33"/>
    <s v="Mobile"/>
    <n v="0"/>
    <n v="1"/>
    <n v="0"/>
    <n v="4.99"/>
    <n v="0"/>
  </r>
  <r>
    <n v="6096"/>
    <s v="Male"/>
    <n v="23"/>
    <x v="7"/>
    <x v="3"/>
    <n v="37"/>
    <n v="59"/>
    <n v="0.28000000000000003"/>
    <s v="Desktop"/>
    <n v="0"/>
    <n v="1"/>
    <n v="1"/>
    <n v="4.99"/>
    <n v="4.99"/>
  </r>
  <r>
    <n v="6097"/>
    <s v="Female"/>
    <n v="54"/>
    <x v="0"/>
    <x v="1"/>
    <n v="180"/>
    <n v="74"/>
    <n v="0.2"/>
    <s v="Web"/>
    <n v="0"/>
    <n v="1"/>
    <n v="0"/>
    <n v="14.99"/>
    <n v="0"/>
  </r>
  <r>
    <n v="6098"/>
    <s v="Male"/>
    <n v="26"/>
    <x v="0"/>
    <x v="1"/>
    <n v="53"/>
    <n v="61"/>
    <n v="0.14000000000000001"/>
    <s v="Mobile"/>
    <n v="0"/>
    <n v="1"/>
    <n v="1"/>
    <n v="14.99"/>
    <n v="14.99"/>
  </r>
  <r>
    <n v="6099"/>
    <s v="Other"/>
    <n v="48"/>
    <x v="2"/>
    <x v="1"/>
    <n v="91"/>
    <n v="85"/>
    <n v="0.02"/>
    <s v="Web"/>
    <n v="0"/>
    <n v="1"/>
    <n v="1"/>
    <n v="14.99"/>
    <n v="14.99"/>
  </r>
  <r>
    <n v="6100"/>
    <s v="Male"/>
    <n v="49"/>
    <x v="3"/>
    <x v="0"/>
    <n v="211"/>
    <n v="56"/>
    <n v="0.03"/>
    <s v="Web"/>
    <n v="34"/>
    <n v="0"/>
    <n v="1"/>
    <n v="0"/>
    <n v="0"/>
  </r>
  <r>
    <n v="6101"/>
    <s v="Other"/>
    <n v="22"/>
    <x v="2"/>
    <x v="0"/>
    <n v="139"/>
    <n v="65"/>
    <n v="0.56999999999999995"/>
    <s v="Desktop"/>
    <n v="11"/>
    <n v="0"/>
    <n v="1"/>
    <n v="0"/>
    <n v="0"/>
  </r>
  <r>
    <n v="6102"/>
    <s v="Other"/>
    <n v="33"/>
    <x v="1"/>
    <x v="0"/>
    <n v="42"/>
    <n v="63"/>
    <n v="0.53"/>
    <s v="Mobile"/>
    <n v="48"/>
    <n v="0"/>
    <n v="0"/>
    <n v="0"/>
    <n v="0"/>
  </r>
  <r>
    <n v="6103"/>
    <s v="Female"/>
    <n v="18"/>
    <x v="2"/>
    <x v="3"/>
    <n v="200"/>
    <n v="31"/>
    <n v="0.49"/>
    <s v="Desktop"/>
    <n v="0"/>
    <n v="1"/>
    <n v="0"/>
    <n v="4.99"/>
    <n v="0"/>
  </r>
  <r>
    <n v="6104"/>
    <s v="Female"/>
    <n v="57"/>
    <x v="7"/>
    <x v="2"/>
    <n v="261"/>
    <n v="5"/>
    <n v="0.52"/>
    <s v="Desktop"/>
    <n v="0"/>
    <n v="1"/>
    <n v="0"/>
    <n v="9.99"/>
    <n v="0"/>
  </r>
  <r>
    <n v="6105"/>
    <s v="Other"/>
    <n v="46"/>
    <x v="4"/>
    <x v="3"/>
    <n v="65"/>
    <n v="88"/>
    <n v="0.43"/>
    <s v="Mobile"/>
    <n v="0"/>
    <n v="1"/>
    <n v="0"/>
    <n v="4.99"/>
    <n v="0"/>
  </r>
  <r>
    <n v="6106"/>
    <s v="Female"/>
    <n v="34"/>
    <x v="1"/>
    <x v="3"/>
    <n v="103"/>
    <n v="15"/>
    <n v="0.39"/>
    <s v="Desktop"/>
    <n v="0"/>
    <n v="1"/>
    <n v="1"/>
    <n v="4.99"/>
    <n v="4.99"/>
  </r>
  <r>
    <n v="6107"/>
    <s v="Female"/>
    <n v="38"/>
    <x v="0"/>
    <x v="0"/>
    <n v="105"/>
    <n v="28"/>
    <n v="0.45"/>
    <s v="Desktop"/>
    <n v="40"/>
    <n v="0"/>
    <n v="0"/>
    <n v="0"/>
    <n v="0"/>
  </r>
  <r>
    <n v="6108"/>
    <s v="Other"/>
    <n v="50"/>
    <x v="7"/>
    <x v="2"/>
    <n v="253"/>
    <n v="92"/>
    <n v="0.23"/>
    <s v="Web"/>
    <n v="0"/>
    <n v="1"/>
    <n v="0"/>
    <n v="9.99"/>
    <n v="0"/>
  </r>
  <r>
    <n v="6109"/>
    <s v="Male"/>
    <n v="21"/>
    <x v="2"/>
    <x v="2"/>
    <n v="33"/>
    <n v="30"/>
    <n v="0.57999999999999996"/>
    <s v="Mobile"/>
    <n v="0"/>
    <n v="1"/>
    <n v="0"/>
    <n v="9.99"/>
    <n v="0"/>
  </r>
  <r>
    <n v="6110"/>
    <s v="Other"/>
    <n v="16"/>
    <x v="3"/>
    <x v="0"/>
    <n v="239"/>
    <n v="36"/>
    <n v="0.17"/>
    <s v="Web"/>
    <n v="13"/>
    <n v="0"/>
    <n v="0"/>
    <n v="0"/>
    <n v="0"/>
  </r>
  <r>
    <n v="6111"/>
    <s v="Male"/>
    <n v="54"/>
    <x v="1"/>
    <x v="2"/>
    <n v="179"/>
    <n v="85"/>
    <n v="0.13"/>
    <s v="Web"/>
    <n v="0"/>
    <n v="1"/>
    <n v="1"/>
    <n v="9.99"/>
    <n v="9.99"/>
  </r>
  <r>
    <n v="6112"/>
    <s v="Other"/>
    <n v="28"/>
    <x v="0"/>
    <x v="0"/>
    <n v="123"/>
    <n v="71"/>
    <n v="0.43"/>
    <s v="Web"/>
    <n v="31"/>
    <n v="0"/>
    <n v="0"/>
    <n v="0"/>
    <n v="0"/>
  </r>
  <r>
    <n v="6113"/>
    <s v="Male"/>
    <n v="30"/>
    <x v="7"/>
    <x v="0"/>
    <n v="287"/>
    <n v="60"/>
    <n v="0.15"/>
    <s v="Web"/>
    <n v="36"/>
    <n v="0"/>
    <n v="1"/>
    <n v="0"/>
    <n v="0"/>
  </r>
  <r>
    <n v="6114"/>
    <s v="Other"/>
    <n v="16"/>
    <x v="5"/>
    <x v="3"/>
    <n v="255"/>
    <n v="63"/>
    <n v="7.0000000000000007E-2"/>
    <s v="Web"/>
    <n v="0"/>
    <n v="1"/>
    <n v="0"/>
    <n v="4.99"/>
    <n v="0"/>
  </r>
  <r>
    <n v="6115"/>
    <s v="Female"/>
    <n v="23"/>
    <x v="2"/>
    <x v="3"/>
    <n v="230"/>
    <n v="3"/>
    <n v="0.41"/>
    <s v="Mobile"/>
    <n v="0"/>
    <n v="1"/>
    <n v="1"/>
    <n v="4.99"/>
    <n v="4.99"/>
  </r>
  <r>
    <n v="6116"/>
    <s v="Other"/>
    <n v="56"/>
    <x v="1"/>
    <x v="0"/>
    <n v="40"/>
    <n v="29"/>
    <n v="0.37"/>
    <s v="Desktop"/>
    <n v="44"/>
    <n v="0"/>
    <n v="1"/>
    <n v="0"/>
    <n v="0"/>
  </r>
  <r>
    <n v="6117"/>
    <s v="Male"/>
    <n v="55"/>
    <x v="0"/>
    <x v="1"/>
    <n v="130"/>
    <n v="81"/>
    <n v="0.31"/>
    <s v="Web"/>
    <n v="0"/>
    <n v="1"/>
    <n v="0"/>
    <n v="14.99"/>
    <n v="0"/>
  </r>
  <r>
    <n v="6118"/>
    <s v="Female"/>
    <n v="23"/>
    <x v="6"/>
    <x v="3"/>
    <n v="175"/>
    <n v="87"/>
    <n v="0.02"/>
    <s v="Desktop"/>
    <n v="0"/>
    <n v="1"/>
    <n v="0"/>
    <n v="4.99"/>
    <n v="0"/>
  </r>
  <r>
    <n v="6119"/>
    <s v="Male"/>
    <n v="38"/>
    <x v="6"/>
    <x v="3"/>
    <n v="10"/>
    <n v="23"/>
    <n v="0.56999999999999995"/>
    <s v="Desktop"/>
    <n v="0"/>
    <n v="1"/>
    <n v="0"/>
    <n v="4.99"/>
    <n v="0"/>
  </r>
  <r>
    <n v="6120"/>
    <s v="Male"/>
    <n v="17"/>
    <x v="5"/>
    <x v="3"/>
    <n v="294"/>
    <n v="97"/>
    <n v="0.18"/>
    <s v="Web"/>
    <n v="0"/>
    <n v="1"/>
    <n v="0"/>
    <n v="4.99"/>
    <n v="0"/>
  </r>
  <r>
    <n v="6121"/>
    <s v="Male"/>
    <n v="42"/>
    <x v="0"/>
    <x v="1"/>
    <n v="132"/>
    <n v="62"/>
    <n v="0.44"/>
    <s v="Mobile"/>
    <n v="0"/>
    <n v="1"/>
    <n v="0"/>
    <n v="14.99"/>
    <n v="0"/>
  </r>
  <r>
    <n v="6122"/>
    <s v="Male"/>
    <n v="19"/>
    <x v="7"/>
    <x v="0"/>
    <n v="251"/>
    <n v="96"/>
    <n v="0.11"/>
    <s v="Desktop"/>
    <n v="40"/>
    <n v="0"/>
    <n v="1"/>
    <n v="0"/>
    <n v="0"/>
  </r>
  <r>
    <n v="6123"/>
    <s v="Male"/>
    <n v="40"/>
    <x v="1"/>
    <x v="3"/>
    <n v="168"/>
    <n v="64"/>
    <n v="0.19"/>
    <s v="Web"/>
    <n v="0"/>
    <n v="1"/>
    <n v="0"/>
    <n v="4.99"/>
    <n v="0"/>
  </r>
  <r>
    <n v="6124"/>
    <s v="Female"/>
    <n v="22"/>
    <x v="6"/>
    <x v="0"/>
    <n v="283"/>
    <n v="33"/>
    <n v="0.51"/>
    <s v="Desktop"/>
    <n v="18"/>
    <n v="0"/>
    <n v="1"/>
    <n v="0"/>
    <n v="0"/>
  </r>
  <r>
    <n v="6125"/>
    <s v="Male"/>
    <n v="56"/>
    <x v="4"/>
    <x v="1"/>
    <n v="194"/>
    <n v="57"/>
    <n v="0.41"/>
    <s v="Desktop"/>
    <n v="0"/>
    <n v="1"/>
    <n v="0"/>
    <n v="14.99"/>
    <n v="0"/>
  </r>
  <r>
    <n v="6126"/>
    <s v="Female"/>
    <n v="18"/>
    <x v="4"/>
    <x v="3"/>
    <n v="263"/>
    <n v="39"/>
    <n v="0.35"/>
    <s v="Mobile"/>
    <n v="0"/>
    <n v="1"/>
    <n v="0"/>
    <n v="4.99"/>
    <n v="0"/>
  </r>
  <r>
    <n v="6127"/>
    <s v="Other"/>
    <n v="17"/>
    <x v="4"/>
    <x v="1"/>
    <n v="184"/>
    <n v="20"/>
    <n v="0.47"/>
    <s v="Desktop"/>
    <n v="0"/>
    <n v="1"/>
    <n v="0"/>
    <n v="14.99"/>
    <n v="0"/>
  </r>
  <r>
    <n v="6128"/>
    <s v="Female"/>
    <n v="32"/>
    <x v="0"/>
    <x v="0"/>
    <n v="111"/>
    <n v="94"/>
    <n v="0.28999999999999998"/>
    <s v="Desktop"/>
    <n v="20"/>
    <n v="0"/>
    <n v="0"/>
    <n v="0"/>
    <n v="0"/>
  </r>
  <r>
    <n v="6129"/>
    <s v="Male"/>
    <n v="49"/>
    <x v="3"/>
    <x v="0"/>
    <n v="230"/>
    <n v="78"/>
    <n v="0.06"/>
    <s v="Desktop"/>
    <n v="39"/>
    <n v="0"/>
    <n v="0"/>
    <n v="0"/>
    <n v="0"/>
  </r>
  <r>
    <n v="6130"/>
    <s v="Male"/>
    <n v="34"/>
    <x v="1"/>
    <x v="3"/>
    <n v="204"/>
    <n v="11"/>
    <n v="0.03"/>
    <s v="Mobile"/>
    <n v="0"/>
    <n v="1"/>
    <n v="0"/>
    <n v="4.99"/>
    <n v="0"/>
  </r>
  <r>
    <n v="6131"/>
    <s v="Other"/>
    <n v="18"/>
    <x v="1"/>
    <x v="3"/>
    <n v="284"/>
    <n v="71"/>
    <n v="0.05"/>
    <s v="Web"/>
    <n v="0"/>
    <n v="1"/>
    <n v="1"/>
    <n v="4.99"/>
    <n v="4.99"/>
  </r>
  <r>
    <n v="6132"/>
    <s v="Female"/>
    <n v="41"/>
    <x v="2"/>
    <x v="0"/>
    <n v="201"/>
    <n v="47"/>
    <n v="0.04"/>
    <s v="Web"/>
    <n v="49"/>
    <n v="0"/>
    <n v="0"/>
    <n v="0"/>
    <n v="0"/>
  </r>
  <r>
    <n v="6133"/>
    <s v="Female"/>
    <n v="26"/>
    <x v="1"/>
    <x v="3"/>
    <n v="67"/>
    <n v="7"/>
    <n v="0.02"/>
    <s v="Web"/>
    <n v="0"/>
    <n v="1"/>
    <n v="0"/>
    <n v="4.99"/>
    <n v="0"/>
  </r>
  <r>
    <n v="6134"/>
    <s v="Other"/>
    <n v="34"/>
    <x v="1"/>
    <x v="2"/>
    <n v="293"/>
    <n v="33"/>
    <n v="0.35"/>
    <s v="Desktop"/>
    <n v="0"/>
    <n v="1"/>
    <n v="0"/>
    <n v="9.99"/>
    <n v="0"/>
  </r>
  <r>
    <n v="6135"/>
    <s v="Female"/>
    <n v="22"/>
    <x v="5"/>
    <x v="2"/>
    <n v="98"/>
    <n v="37"/>
    <n v="0.39"/>
    <s v="Desktop"/>
    <n v="0"/>
    <n v="1"/>
    <n v="0"/>
    <n v="9.99"/>
    <n v="0"/>
  </r>
  <r>
    <n v="6136"/>
    <s v="Other"/>
    <n v="49"/>
    <x v="0"/>
    <x v="1"/>
    <n v="112"/>
    <n v="71"/>
    <n v="0.19"/>
    <s v="Desktop"/>
    <n v="0"/>
    <n v="1"/>
    <n v="0"/>
    <n v="14.99"/>
    <n v="0"/>
  </r>
  <r>
    <n v="6137"/>
    <s v="Other"/>
    <n v="30"/>
    <x v="5"/>
    <x v="2"/>
    <n v="229"/>
    <n v="27"/>
    <n v="0.09"/>
    <s v="Web"/>
    <n v="0"/>
    <n v="1"/>
    <n v="1"/>
    <n v="9.99"/>
    <n v="9.99"/>
  </r>
  <r>
    <n v="6138"/>
    <s v="Other"/>
    <n v="40"/>
    <x v="4"/>
    <x v="3"/>
    <n v="67"/>
    <n v="41"/>
    <n v="0.53"/>
    <s v="Mobile"/>
    <n v="0"/>
    <n v="1"/>
    <n v="0"/>
    <n v="4.99"/>
    <n v="0"/>
  </r>
  <r>
    <n v="6139"/>
    <s v="Male"/>
    <n v="46"/>
    <x v="3"/>
    <x v="1"/>
    <n v="53"/>
    <n v="76"/>
    <n v="0.39"/>
    <s v="Web"/>
    <n v="0"/>
    <n v="1"/>
    <n v="0"/>
    <n v="14.99"/>
    <n v="0"/>
  </r>
  <r>
    <n v="6140"/>
    <s v="Female"/>
    <n v="37"/>
    <x v="7"/>
    <x v="2"/>
    <n v="169"/>
    <n v="37"/>
    <n v="0.38"/>
    <s v="Desktop"/>
    <n v="0"/>
    <n v="1"/>
    <n v="1"/>
    <n v="9.99"/>
    <n v="9.99"/>
  </r>
  <r>
    <n v="6141"/>
    <s v="Other"/>
    <n v="34"/>
    <x v="0"/>
    <x v="3"/>
    <n v="55"/>
    <n v="79"/>
    <n v="0.24"/>
    <s v="Desktop"/>
    <n v="0"/>
    <n v="1"/>
    <n v="1"/>
    <n v="4.99"/>
    <n v="4.99"/>
  </r>
  <r>
    <n v="6142"/>
    <s v="Female"/>
    <n v="22"/>
    <x v="6"/>
    <x v="3"/>
    <n v="298"/>
    <n v="5"/>
    <n v="0.31"/>
    <s v="Web"/>
    <n v="0"/>
    <n v="1"/>
    <n v="0"/>
    <n v="4.99"/>
    <n v="0"/>
  </r>
  <r>
    <n v="6143"/>
    <s v="Female"/>
    <n v="36"/>
    <x v="0"/>
    <x v="3"/>
    <n v="127"/>
    <n v="17"/>
    <n v="0.1"/>
    <s v="Desktop"/>
    <n v="0"/>
    <n v="1"/>
    <n v="0"/>
    <n v="4.99"/>
    <n v="0"/>
  </r>
  <r>
    <n v="6144"/>
    <s v="Female"/>
    <n v="35"/>
    <x v="3"/>
    <x v="2"/>
    <n v="208"/>
    <n v="55"/>
    <n v="0.28999999999999998"/>
    <s v="Mobile"/>
    <n v="0"/>
    <n v="1"/>
    <n v="0"/>
    <n v="9.99"/>
    <n v="0"/>
  </r>
  <r>
    <n v="6145"/>
    <s v="Other"/>
    <n v="55"/>
    <x v="4"/>
    <x v="3"/>
    <n v="103"/>
    <n v="43"/>
    <n v="0.55000000000000004"/>
    <s v="Desktop"/>
    <n v="0"/>
    <n v="1"/>
    <n v="0"/>
    <n v="4.99"/>
    <n v="0"/>
  </r>
  <r>
    <n v="6146"/>
    <s v="Male"/>
    <n v="45"/>
    <x v="5"/>
    <x v="3"/>
    <n v="133"/>
    <n v="54"/>
    <n v="0.3"/>
    <s v="Mobile"/>
    <n v="0"/>
    <n v="1"/>
    <n v="0"/>
    <n v="4.99"/>
    <n v="0"/>
  </r>
  <r>
    <n v="6147"/>
    <s v="Female"/>
    <n v="32"/>
    <x v="3"/>
    <x v="1"/>
    <n v="284"/>
    <n v="39"/>
    <n v="0.44"/>
    <s v="Mobile"/>
    <n v="0"/>
    <n v="1"/>
    <n v="1"/>
    <n v="14.99"/>
    <n v="14.99"/>
  </r>
  <r>
    <n v="6148"/>
    <s v="Other"/>
    <n v="43"/>
    <x v="0"/>
    <x v="1"/>
    <n v="156"/>
    <n v="89"/>
    <n v="0.59"/>
    <s v="Web"/>
    <n v="0"/>
    <n v="1"/>
    <n v="1"/>
    <n v="14.99"/>
    <n v="14.99"/>
  </r>
  <r>
    <n v="6149"/>
    <s v="Other"/>
    <n v="52"/>
    <x v="5"/>
    <x v="0"/>
    <n v="273"/>
    <n v="15"/>
    <n v="0.09"/>
    <s v="Web"/>
    <n v="20"/>
    <n v="0"/>
    <n v="0"/>
    <n v="0"/>
    <n v="0"/>
  </r>
  <r>
    <n v="6150"/>
    <s v="Male"/>
    <n v="17"/>
    <x v="2"/>
    <x v="0"/>
    <n v="48"/>
    <n v="10"/>
    <n v="0.24"/>
    <s v="Desktop"/>
    <n v="22"/>
    <n v="0"/>
    <n v="0"/>
    <n v="0"/>
    <n v="0"/>
  </r>
  <r>
    <n v="6151"/>
    <s v="Female"/>
    <n v="50"/>
    <x v="3"/>
    <x v="1"/>
    <n v="75"/>
    <n v="73"/>
    <n v="0.39"/>
    <s v="Mobile"/>
    <n v="0"/>
    <n v="1"/>
    <n v="1"/>
    <n v="14.99"/>
    <n v="14.99"/>
  </r>
  <r>
    <n v="6152"/>
    <s v="Other"/>
    <n v="21"/>
    <x v="5"/>
    <x v="3"/>
    <n v="187"/>
    <n v="88"/>
    <n v="0.3"/>
    <s v="Desktop"/>
    <n v="0"/>
    <n v="1"/>
    <n v="0"/>
    <n v="4.99"/>
    <n v="0"/>
  </r>
  <r>
    <n v="6153"/>
    <s v="Female"/>
    <n v="36"/>
    <x v="2"/>
    <x v="3"/>
    <n v="296"/>
    <n v="75"/>
    <n v="0.37"/>
    <s v="Web"/>
    <n v="0"/>
    <n v="1"/>
    <n v="1"/>
    <n v="4.99"/>
    <n v="4.99"/>
  </r>
  <r>
    <n v="6154"/>
    <s v="Male"/>
    <n v="48"/>
    <x v="0"/>
    <x v="1"/>
    <n v="40"/>
    <n v="69"/>
    <n v="0.38"/>
    <s v="Web"/>
    <n v="0"/>
    <n v="1"/>
    <n v="1"/>
    <n v="14.99"/>
    <n v="14.99"/>
  </r>
  <r>
    <n v="6155"/>
    <s v="Male"/>
    <n v="28"/>
    <x v="0"/>
    <x v="1"/>
    <n v="123"/>
    <n v="73"/>
    <n v="0.59"/>
    <s v="Mobile"/>
    <n v="0"/>
    <n v="1"/>
    <n v="0"/>
    <n v="14.99"/>
    <n v="0"/>
  </r>
  <r>
    <n v="6156"/>
    <s v="Other"/>
    <n v="26"/>
    <x v="4"/>
    <x v="1"/>
    <n v="247"/>
    <n v="49"/>
    <n v="0.46"/>
    <s v="Desktop"/>
    <n v="0"/>
    <n v="1"/>
    <n v="0"/>
    <n v="14.99"/>
    <n v="0"/>
  </r>
  <r>
    <n v="6157"/>
    <s v="Female"/>
    <n v="36"/>
    <x v="2"/>
    <x v="2"/>
    <n v="174"/>
    <n v="42"/>
    <n v="0.16"/>
    <s v="Desktop"/>
    <n v="0"/>
    <n v="1"/>
    <n v="0"/>
    <n v="9.99"/>
    <n v="0"/>
  </r>
  <r>
    <n v="6158"/>
    <s v="Male"/>
    <n v="52"/>
    <x v="0"/>
    <x v="0"/>
    <n v="112"/>
    <n v="84"/>
    <n v="0.48"/>
    <s v="Mobile"/>
    <n v="23"/>
    <n v="0"/>
    <n v="1"/>
    <n v="0"/>
    <n v="0"/>
  </r>
  <r>
    <n v="6159"/>
    <s v="Male"/>
    <n v="37"/>
    <x v="3"/>
    <x v="2"/>
    <n v="25"/>
    <n v="1"/>
    <n v="0.28000000000000003"/>
    <s v="Mobile"/>
    <n v="0"/>
    <n v="1"/>
    <n v="0"/>
    <n v="9.99"/>
    <n v="0"/>
  </r>
  <r>
    <n v="6160"/>
    <s v="Male"/>
    <n v="26"/>
    <x v="1"/>
    <x v="1"/>
    <n v="193"/>
    <n v="89"/>
    <n v="0.55000000000000004"/>
    <s v="Mobile"/>
    <n v="0"/>
    <n v="1"/>
    <n v="0"/>
    <n v="14.99"/>
    <n v="0"/>
  </r>
  <r>
    <n v="6161"/>
    <s v="Other"/>
    <n v="20"/>
    <x v="5"/>
    <x v="2"/>
    <n v="183"/>
    <n v="30"/>
    <n v="0.3"/>
    <s v="Web"/>
    <n v="0"/>
    <n v="1"/>
    <n v="0"/>
    <n v="9.99"/>
    <n v="0"/>
  </r>
  <r>
    <n v="6162"/>
    <s v="Male"/>
    <n v="53"/>
    <x v="0"/>
    <x v="0"/>
    <n v="127"/>
    <n v="86"/>
    <n v="0.44"/>
    <s v="Desktop"/>
    <n v="20"/>
    <n v="0"/>
    <n v="0"/>
    <n v="0"/>
    <n v="0"/>
  </r>
  <r>
    <n v="6163"/>
    <s v="Male"/>
    <n v="21"/>
    <x v="7"/>
    <x v="3"/>
    <n v="289"/>
    <n v="93"/>
    <n v="0.39"/>
    <s v="Desktop"/>
    <n v="0"/>
    <n v="1"/>
    <n v="1"/>
    <n v="4.99"/>
    <n v="4.99"/>
  </r>
  <r>
    <n v="6164"/>
    <s v="Other"/>
    <n v="52"/>
    <x v="1"/>
    <x v="0"/>
    <n v="262"/>
    <n v="84"/>
    <n v="0.36"/>
    <s v="Web"/>
    <n v="40"/>
    <n v="0"/>
    <n v="1"/>
    <n v="0"/>
    <n v="0"/>
  </r>
  <r>
    <n v="6165"/>
    <s v="Male"/>
    <n v="54"/>
    <x v="1"/>
    <x v="0"/>
    <n v="192"/>
    <n v="77"/>
    <n v="0.45"/>
    <s v="Web"/>
    <n v="38"/>
    <n v="0"/>
    <n v="0"/>
    <n v="0"/>
    <n v="0"/>
  </r>
  <r>
    <n v="6166"/>
    <s v="Other"/>
    <n v="49"/>
    <x v="5"/>
    <x v="3"/>
    <n v="22"/>
    <n v="55"/>
    <n v="0.57999999999999996"/>
    <s v="Web"/>
    <n v="0"/>
    <n v="1"/>
    <n v="1"/>
    <n v="4.99"/>
    <n v="4.99"/>
  </r>
  <r>
    <n v="6167"/>
    <s v="Male"/>
    <n v="33"/>
    <x v="5"/>
    <x v="2"/>
    <n v="195"/>
    <n v="33"/>
    <n v="0"/>
    <s v="Mobile"/>
    <n v="0"/>
    <n v="1"/>
    <n v="0"/>
    <n v="9.99"/>
    <n v="0"/>
  </r>
  <r>
    <n v="6168"/>
    <s v="Male"/>
    <n v="47"/>
    <x v="0"/>
    <x v="3"/>
    <n v="238"/>
    <n v="3"/>
    <n v="0.15"/>
    <s v="Desktop"/>
    <n v="0"/>
    <n v="1"/>
    <n v="0"/>
    <n v="4.99"/>
    <n v="0"/>
  </r>
  <r>
    <n v="6169"/>
    <s v="Female"/>
    <n v="58"/>
    <x v="3"/>
    <x v="3"/>
    <n v="36"/>
    <n v="86"/>
    <n v="0.34"/>
    <s v="Desktop"/>
    <n v="0"/>
    <n v="1"/>
    <n v="0"/>
    <n v="4.99"/>
    <n v="0"/>
  </r>
  <r>
    <n v="6170"/>
    <s v="Male"/>
    <n v="43"/>
    <x v="3"/>
    <x v="0"/>
    <n v="255"/>
    <n v="61"/>
    <n v="0.09"/>
    <s v="Desktop"/>
    <n v="49"/>
    <n v="0"/>
    <n v="0"/>
    <n v="0"/>
    <n v="0"/>
  </r>
  <r>
    <n v="6171"/>
    <s v="Other"/>
    <n v="40"/>
    <x v="0"/>
    <x v="0"/>
    <n v="219"/>
    <n v="98"/>
    <n v="0.34"/>
    <s v="Mobile"/>
    <n v="27"/>
    <n v="0"/>
    <n v="0"/>
    <n v="0"/>
    <n v="0"/>
  </r>
  <r>
    <n v="6172"/>
    <s v="Other"/>
    <n v="42"/>
    <x v="3"/>
    <x v="2"/>
    <n v="81"/>
    <n v="68"/>
    <n v="0.23"/>
    <s v="Web"/>
    <n v="0"/>
    <n v="1"/>
    <n v="1"/>
    <n v="9.99"/>
    <n v="9.99"/>
  </r>
  <r>
    <n v="6173"/>
    <s v="Female"/>
    <n v="27"/>
    <x v="4"/>
    <x v="3"/>
    <n v="76"/>
    <n v="34"/>
    <n v="0.18"/>
    <s v="Desktop"/>
    <n v="0"/>
    <n v="1"/>
    <n v="0"/>
    <n v="4.99"/>
    <n v="0"/>
  </r>
  <r>
    <n v="6174"/>
    <s v="Female"/>
    <n v="49"/>
    <x v="7"/>
    <x v="1"/>
    <n v="263"/>
    <n v="43"/>
    <n v="0.52"/>
    <s v="Desktop"/>
    <n v="0"/>
    <n v="1"/>
    <n v="0"/>
    <n v="14.99"/>
    <n v="0"/>
  </r>
  <r>
    <n v="6175"/>
    <s v="Female"/>
    <n v="40"/>
    <x v="4"/>
    <x v="3"/>
    <n v="73"/>
    <n v="15"/>
    <n v="0.04"/>
    <s v="Desktop"/>
    <n v="0"/>
    <n v="1"/>
    <n v="0"/>
    <n v="4.99"/>
    <n v="0"/>
  </r>
  <r>
    <n v="6176"/>
    <s v="Other"/>
    <n v="17"/>
    <x v="0"/>
    <x v="3"/>
    <n v="249"/>
    <n v="72"/>
    <n v="0.22"/>
    <s v="Mobile"/>
    <n v="0"/>
    <n v="1"/>
    <n v="1"/>
    <n v="4.99"/>
    <n v="4.99"/>
  </r>
  <r>
    <n v="6177"/>
    <s v="Male"/>
    <n v="16"/>
    <x v="2"/>
    <x v="2"/>
    <n v="182"/>
    <n v="52"/>
    <n v="0.45"/>
    <s v="Desktop"/>
    <n v="0"/>
    <n v="1"/>
    <n v="0"/>
    <n v="9.99"/>
    <n v="0"/>
  </r>
  <r>
    <n v="6178"/>
    <s v="Other"/>
    <n v="48"/>
    <x v="3"/>
    <x v="3"/>
    <n v="193"/>
    <n v="74"/>
    <n v="0.46"/>
    <s v="Desktop"/>
    <n v="0"/>
    <n v="1"/>
    <n v="0"/>
    <n v="4.99"/>
    <n v="0"/>
  </r>
  <r>
    <n v="6179"/>
    <s v="Female"/>
    <n v="39"/>
    <x v="2"/>
    <x v="3"/>
    <n v="179"/>
    <n v="93"/>
    <n v="0.15"/>
    <s v="Mobile"/>
    <n v="0"/>
    <n v="1"/>
    <n v="0"/>
    <n v="4.99"/>
    <n v="0"/>
  </r>
  <r>
    <n v="6180"/>
    <s v="Other"/>
    <n v="33"/>
    <x v="7"/>
    <x v="2"/>
    <n v="40"/>
    <n v="51"/>
    <n v="0.28999999999999998"/>
    <s v="Desktop"/>
    <n v="0"/>
    <n v="1"/>
    <n v="0"/>
    <n v="9.99"/>
    <n v="0"/>
  </r>
  <r>
    <n v="6181"/>
    <s v="Female"/>
    <n v="50"/>
    <x v="2"/>
    <x v="3"/>
    <n v="82"/>
    <n v="45"/>
    <n v="0.15"/>
    <s v="Web"/>
    <n v="0"/>
    <n v="1"/>
    <n v="0"/>
    <n v="4.99"/>
    <n v="0"/>
  </r>
  <r>
    <n v="6182"/>
    <s v="Female"/>
    <n v="38"/>
    <x v="1"/>
    <x v="2"/>
    <n v="278"/>
    <n v="86"/>
    <n v="0.55000000000000004"/>
    <s v="Desktop"/>
    <n v="0"/>
    <n v="1"/>
    <n v="1"/>
    <n v="9.99"/>
    <n v="9.99"/>
  </r>
  <r>
    <n v="6183"/>
    <s v="Male"/>
    <n v="23"/>
    <x v="6"/>
    <x v="3"/>
    <n v="197"/>
    <n v="71"/>
    <n v="0.11"/>
    <s v="Desktop"/>
    <n v="0"/>
    <n v="1"/>
    <n v="1"/>
    <n v="4.99"/>
    <n v="4.99"/>
  </r>
  <r>
    <n v="6184"/>
    <s v="Female"/>
    <n v="21"/>
    <x v="4"/>
    <x v="2"/>
    <n v="153"/>
    <n v="41"/>
    <n v="0.41"/>
    <s v="Desktop"/>
    <n v="0"/>
    <n v="1"/>
    <n v="1"/>
    <n v="9.99"/>
    <n v="9.99"/>
  </r>
  <r>
    <n v="6185"/>
    <s v="Other"/>
    <n v="33"/>
    <x v="6"/>
    <x v="0"/>
    <n v="127"/>
    <n v="33"/>
    <n v="0.09"/>
    <s v="Web"/>
    <n v="48"/>
    <n v="0"/>
    <n v="0"/>
    <n v="0"/>
    <n v="0"/>
  </r>
  <r>
    <n v="6186"/>
    <s v="Male"/>
    <n v="32"/>
    <x v="7"/>
    <x v="2"/>
    <n v="12"/>
    <n v="96"/>
    <n v="0.47"/>
    <s v="Web"/>
    <n v="0"/>
    <n v="1"/>
    <n v="1"/>
    <n v="9.99"/>
    <n v="9.99"/>
  </r>
  <r>
    <n v="6187"/>
    <s v="Female"/>
    <n v="46"/>
    <x v="6"/>
    <x v="3"/>
    <n v="164"/>
    <n v="92"/>
    <n v="0.1"/>
    <s v="Mobile"/>
    <n v="0"/>
    <n v="1"/>
    <n v="0"/>
    <n v="4.99"/>
    <n v="0"/>
  </r>
  <r>
    <n v="6188"/>
    <s v="Other"/>
    <n v="34"/>
    <x v="1"/>
    <x v="2"/>
    <n v="113"/>
    <n v="92"/>
    <n v="0.34"/>
    <s v="Mobile"/>
    <n v="0"/>
    <n v="1"/>
    <n v="1"/>
    <n v="9.99"/>
    <n v="9.99"/>
  </r>
  <r>
    <n v="6189"/>
    <s v="Other"/>
    <n v="16"/>
    <x v="5"/>
    <x v="1"/>
    <n v="72"/>
    <n v="62"/>
    <n v="0.32"/>
    <s v="Mobile"/>
    <n v="0"/>
    <n v="1"/>
    <n v="0"/>
    <n v="14.99"/>
    <n v="0"/>
  </r>
  <r>
    <n v="6190"/>
    <s v="Other"/>
    <n v="31"/>
    <x v="2"/>
    <x v="0"/>
    <n v="135"/>
    <n v="83"/>
    <n v="0.04"/>
    <s v="Mobile"/>
    <n v="33"/>
    <n v="0"/>
    <n v="0"/>
    <n v="0"/>
    <n v="0"/>
  </r>
  <r>
    <n v="6191"/>
    <s v="Other"/>
    <n v="38"/>
    <x v="1"/>
    <x v="2"/>
    <n v="135"/>
    <n v="12"/>
    <n v="0.04"/>
    <s v="Web"/>
    <n v="0"/>
    <n v="1"/>
    <n v="0"/>
    <n v="9.99"/>
    <n v="0"/>
  </r>
  <r>
    <n v="6192"/>
    <s v="Male"/>
    <n v="54"/>
    <x v="4"/>
    <x v="1"/>
    <n v="189"/>
    <n v="20"/>
    <n v="0.09"/>
    <s v="Mobile"/>
    <n v="0"/>
    <n v="1"/>
    <n v="0"/>
    <n v="14.99"/>
    <n v="0"/>
  </r>
  <r>
    <n v="6193"/>
    <s v="Male"/>
    <n v="30"/>
    <x v="6"/>
    <x v="2"/>
    <n v="57"/>
    <n v="24"/>
    <n v="0.31"/>
    <s v="Desktop"/>
    <n v="0"/>
    <n v="1"/>
    <n v="0"/>
    <n v="9.99"/>
    <n v="0"/>
  </r>
  <r>
    <n v="6194"/>
    <s v="Other"/>
    <n v="50"/>
    <x v="0"/>
    <x v="3"/>
    <n v="167"/>
    <n v="3"/>
    <n v="0.25"/>
    <s v="Desktop"/>
    <n v="0"/>
    <n v="1"/>
    <n v="0"/>
    <n v="4.99"/>
    <n v="0"/>
  </r>
  <r>
    <n v="6195"/>
    <s v="Female"/>
    <n v="42"/>
    <x v="1"/>
    <x v="1"/>
    <n v="13"/>
    <n v="28"/>
    <n v="0.26"/>
    <s v="Web"/>
    <n v="0"/>
    <n v="1"/>
    <n v="0"/>
    <n v="14.99"/>
    <n v="0"/>
  </r>
  <r>
    <n v="6196"/>
    <s v="Male"/>
    <n v="38"/>
    <x v="3"/>
    <x v="2"/>
    <n v="172"/>
    <n v="11"/>
    <n v="0.32"/>
    <s v="Mobile"/>
    <n v="0"/>
    <n v="1"/>
    <n v="0"/>
    <n v="9.99"/>
    <n v="0"/>
  </r>
  <r>
    <n v="6197"/>
    <s v="Other"/>
    <n v="25"/>
    <x v="3"/>
    <x v="0"/>
    <n v="296"/>
    <n v="69"/>
    <n v="0.52"/>
    <s v="Mobile"/>
    <n v="12"/>
    <n v="0"/>
    <n v="1"/>
    <n v="0"/>
    <n v="0"/>
  </r>
  <r>
    <n v="6198"/>
    <s v="Male"/>
    <n v="42"/>
    <x v="3"/>
    <x v="3"/>
    <n v="73"/>
    <n v="16"/>
    <n v="0.2"/>
    <s v="Desktop"/>
    <n v="0"/>
    <n v="1"/>
    <n v="0"/>
    <n v="4.99"/>
    <n v="0"/>
  </r>
  <r>
    <n v="6199"/>
    <s v="Female"/>
    <n v="43"/>
    <x v="2"/>
    <x v="2"/>
    <n v="231"/>
    <n v="49"/>
    <n v="0.56000000000000005"/>
    <s v="Mobile"/>
    <n v="0"/>
    <n v="1"/>
    <n v="0"/>
    <n v="9.99"/>
    <n v="0"/>
  </r>
  <r>
    <n v="6200"/>
    <s v="Male"/>
    <n v="52"/>
    <x v="6"/>
    <x v="2"/>
    <n v="161"/>
    <n v="7"/>
    <n v="0.46"/>
    <s v="Web"/>
    <n v="0"/>
    <n v="1"/>
    <n v="1"/>
    <n v="9.99"/>
    <n v="9.99"/>
  </r>
  <r>
    <n v="6201"/>
    <s v="Male"/>
    <n v="37"/>
    <x v="7"/>
    <x v="1"/>
    <n v="79"/>
    <n v="27"/>
    <n v="0.13"/>
    <s v="Web"/>
    <n v="0"/>
    <n v="1"/>
    <n v="0"/>
    <n v="14.99"/>
    <n v="0"/>
  </r>
  <r>
    <n v="6202"/>
    <s v="Other"/>
    <n v="29"/>
    <x v="7"/>
    <x v="3"/>
    <n v="66"/>
    <n v="89"/>
    <n v="0.14000000000000001"/>
    <s v="Desktop"/>
    <n v="0"/>
    <n v="1"/>
    <n v="0"/>
    <n v="4.99"/>
    <n v="0"/>
  </r>
  <r>
    <n v="6203"/>
    <s v="Female"/>
    <n v="52"/>
    <x v="4"/>
    <x v="3"/>
    <n v="180"/>
    <n v="86"/>
    <n v="0.13"/>
    <s v="Web"/>
    <n v="0"/>
    <n v="1"/>
    <n v="0"/>
    <n v="4.99"/>
    <n v="0"/>
  </r>
  <r>
    <n v="6204"/>
    <s v="Female"/>
    <n v="45"/>
    <x v="5"/>
    <x v="3"/>
    <n v="214"/>
    <n v="9"/>
    <n v="0.18"/>
    <s v="Mobile"/>
    <n v="0"/>
    <n v="1"/>
    <n v="0"/>
    <n v="4.99"/>
    <n v="0"/>
  </r>
  <r>
    <n v="6205"/>
    <s v="Female"/>
    <n v="17"/>
    <x v="1"/>
    <x v="0"/>
    <n v="115"/>
    <n v="8"/>
    <n v="0.2"/>
    <s v="Mobile"/>
    <n v="42"/>
    <n v="0"/>
    <n v="0"/>
    <n v="0"/>
    <n v="0"/>
  </r>
  <r>
    <n v="6206"/>
    <s v="Male"/>
    <n v="52"/>
    <x v="0"/>
    <x v="3"/>
    <n v="204"/>
    <n v="58"/>
    <n v="0.11"/>
    <s v="Web"/>
    <n v="0"/>
    <n v="1"/>
    <n v="0"/>
    <n v="4.99"/>
    <n v="0"/>
  </r>
  <r>
    <n v="6207"/>
    <s v="Female"/>
    <n v="53"/>
    <x v="5"/>
    <x v="1"/>
    <n v="32"/>
    <n v="54"/>
    <n v="0.28999999999999998"/>
    <s v="Desktop"/>
    <n v="0"/>
    <n v="1"/>
    <n v="0"/>
    <n v="14.99"/>
    <n v="0"/>
  </r>
  <r>
    <n v="6208"/>
    <s v="Female"/>
    <n v="49"/>
    <x v="2"/>
    <x v="1"/>
    <n v="173"/>
    <n v="5"/>
    <n v="0.39"/>
    <s v="Web"/>
    <n v="0"/>
    <n v="1"/>
    <n v="0"/>
    <n v="14.99"/>
    <n v="0"/>
  </r>
  <r>
    <n v="6209"/>
    <s v="Male"/>
    <n v="50"/>
    <x v="6"/>
    <x v="0"/>
    <n v="269"/>
    <n v="52"/>
    <n v="0.17"/>
    <s v="Web"/>
    <n v="8"/>
    <n v="0"/>
    <n v="0"/>
    <n v="0"/>
    <n v="0"/>
  </r>
  <r>
    <n v="6210"/>
    <s v="Female"/>
    <n v="50"/>
    <x v="4"/>
    <x v="3"/>
    <n v="281"/>
    <n v="40"/>
    <n v="0.31"/>
    <s v="Web"/>
    <n v="0"/>
    <n v="1"/>
    <n v="0"/>
    <n v="4.99"/>
    <n v="0"/>
  </r>
  <r>
    <n v="6211"/>
    <s v="Other"/>
    <n v="48"/>
    <x v="5"/>
    <x v="3"/>
    <n v="226"/>
    <n v="45"/>
    <n v="0.44"/>
    <s v="Web"/>
    <n v="0"/>
    <n v="1"/>
    <n v="0"/>
    <n v="4.99"/>
    <n v="0"/>
  </r>
  <r>
    <n v="6212"/>
    <s v="Female"/>
    <n v="24"/>
    <x v="2"/>
    <x v="0"/>
    <n v="165"/>
    <n v="71"/>
    <n v="0.22"/>
    <s v="Web"/>
    <n v="33"/>
    <n v="0"/>
    <n v="0"/>
    <n v="0"/>
    <n v="0"/>
  </r>
  <r>
    <n v="6213"/>
    <s v="Male"/>
    <n v="44"/>
    <x v="7"/>
    <x v="0"/>
    <n v="155"/>
    <n v="97"/>
    <n v="0.2"/>
    <s v="Mobile"/>
    <n v="34"/>
    <n v="0"/>
    <n v="0"/>
    <n v="0"/>
    <n v="0"/>
  </r>
  <r>
    <n v="6214"/>
    <s v="Other"/>
    <n v="38"/>
    <x v="0"/>
    <x v="3"/>
    <n v="161"/>
    <n v="66"/>
    <n v="0.52"/>
    <s v="Web"/>
    <n v="0"/>
    <n v="1"/>
    <n v="1"/>
    <n v="4.99"/>
    <n v="4.99"/>
  </r>
  <r>
    <n v="6215"/>
    <s v="Other"/>
    <n v="30"/>
    <x v="4"/>
    <x v="0"/>
    <n v="15"/>
    <n v="24"/>
    <n v="0"/>
    <s v="Mobile"/>
    <n v="38"/>
    <n v="0"/>
    <n v="0"/>
    <n v="0"/>
    <n v="0"/>
  </r>
  <r>
    <n v="6216"/>
    <s v="Other"/>
    <n v="19"/>
    <x v="1"/>
    <x v="0"/>
    <n v="288"/>
    <n v="1"/>
    <n v="0.19"/>
    <s v="Desktop"/>
    <n v="47"/>
    <n v="0"/>
    <n v="0"/>
    <n v="0"/>
    <n v="0"/>
  </r>
  <r>
    <n v="6217"/>
    <s v="Male"/>
    <n v="24"/>
    <x v="4"/>
    <x v="1"/>
    <n v="16"/>
    <n v="27"/>
    <n v="0.1"/>
    <s v="Desktop"/>
    <n v="0"/>
    <n v="1"/>
    <n v="1"/>
    <n v="14.99"/>
    <n v="14.99"/>
  </r>
  <r>
    <n v="6218"/>
    <s v="Female"/>
    <n v="53"/>
    <x v="4"/>
    <x v="0"/>
    <n v="101"/>
    <n v="64"/>
    <n v="0.35"/>
    <s v="Mobile"/>
    <n v="20"/>
    <n v="0"/>
    <n v="0"/>
    <n v="0"/>
    <n v="0"/>
  </r>
  <r>
    <n v="6219"/>
    <s v="Male"/>
    <n v="46"/>
    <x v="4"/>
    <x v="2"/>
    <n v="100"/>
    <n v="46"/>
    <n v="0.56000000000000005"/>
    <s v="Desktop"/>
    <n v="0"/>
    <n v="1"/>
    <n v="0"/>
    <n v="9.99"/>
    <n v="0"/>
  </r>
  <r>
    <n v="6220"/>
    <s v="Female"/>
    <n v="56"/>
    <x v="6"/>
    <x v="1"/>
    <n v="50"/>
    <n v="5"/>
    <n v="0.57999999999999996"/>
    <s v="Web"/>
    <n v="0"/>
    <n v="1"/>
    <n v="0"/>
    <n v="14.99"/>
    <n v="0"/>
  </r>
  <r>
    <n v="6221"/>
    <s v="Other"/>
    <n v="50"/>
    <x v="0"/>
    <x v="0"/>
    <n v="97"/>
    <n v="74"/>
    <n v="0.32"/>
    <s v="Web"/>
    <n v="29"/>
    <n v="0"/>
    <n v="0"/>
    <n v="0"/>
    <n v="0"/>
  </r>
  <r>
    <n v="6222"/>
    <s v="Female"/>
    <n v="40"/>
    <x v="3"/>
    <x v="1"/>
    <n v="49"/>
    <n v="1"/>
    <n v="0.47"/>
    <s v="Web"/>
    <n v="0"/>
    <n v="1"/>
    <n v="1"/>
    <n v="14.99"/>
    <n v="14.99"/>
  </r>
  <r>
    <n v="6223"/>
    <s v="Female"/>
    <n v="36"/>
    <x v="4"/>
    <x v="3"/>
    <n v="211"/>
    <n v="44"/>
    <n v="0.54"/>
    <s v="Web"/>
    <n v="0"/>
    <n v="1"/>
    <n v="1"/>
    <n v="4.99"/>
    <n v="4.99"/>
  </r>
  <r>
    <n v="6224"/>
    <s v="Other"/>
    <n v="20"/>
    <x v="7"/>
    <x v="2"/>
    <n v="60"/>
    <n v="15"/>
    <n v="0.49"/>
    <s v="Web"/>
    <n v="0"/>
    <n v="1"/>
    <n v="0"/>
    <n v="9.99"/>
    <n v="0"/>
  </r>
  <r>
    <n v="6225"/>
    <s v="Other"/>
    <n v="18"/>
    <x v="0"/>
    <x v="2"/>
    <n v="23"/>
    <n v="39"/>
    <n v="0.22"/>
    <s v="Mobile"/>
    <n v="0"/>
    <n v="1"/>
    <n v="1"/>
    <n v="9.99"/>
    <n v="9.99"/>
  </r>
  <r>
    <n v="6226"/>
    <s v="Other"/>
    <n v="20"/>
    <x v="2"/>
    <x v="3"/>
    <n v="140"/>
    <n v="48"/>
    <n v="0.45"/>
    <s v="Web"/>
    <n v="0"/>
    <n v="1"/>
    <n v="0"/>
    <n v="4.99"/>
    <n v="0"/>
  </r>
  <r>
    <n v="6227"/>
    <s v="Male"/>
    <n v="53"/>
    <x v="1"/>
    <x v="1"/>
    <n v="211"/>
    <n v="60"/>
    <n v="0.46"/>
    <s v="Web"/>
    <n v="0"/>
    <n v="1"/>
    <n v="1"/>
    <n v="14.99"/>
    <n v="14.99"/>
  </r>
  <r>
    <n v="6228"/>
    <s v="Other"/>
    <n v="29"/>
    <x v="5"/>
    <x v="1"/>
    <n v="119"/>
    <n v="90"/>
    <n v="0.42"/>
    <s v="Desktop"/>
    <n v="0"/>
    <n v="1"/>
    <n v="0"/>
    <n v="14.99"/>
    <n v="0"/>
  </r>
  <r>
    <n v="6229"/>
    <s v="Other"/>
    <n v="52"/>
    <x v="0"/>
    <x v="2"/>
    <n v="117"/>
    <n v="83"/>
    <n v="0.56000000000000005"/>
    <s v="Web"/>
    <n v="0"/>
    <n v="1"/>
    <n v="1"/>
    <n v="9.99"/>
    <n v="9.99"/>
  </r>
  <r>
    <n v="6230"/>
    <s v="Male"/>
    <n v="23"/>
    <x v="5"/>
    <x v="2"/>
    <n v="215"/>
    <n v="42"/>
    <n v="0.33"/>
    <s v="Web"/>
    <n v="0"/>
    <n v="1"/>
    <n v="0"/>
    <n v="9.99"/>
    <n v="0"/>
  </r>
  <r>
    <n v="6231"/>
    <s v="Female"/>
    <n v="41"/>
    <x v="6"/>
    <x v="3"/>
    <n v="66"/>
    <n v="3"/>
    <n v="0.55000000000000004"/>
    <s v="Web"/>
    <n v="0"/>
    <n v="1"/>
    <n v="0"/>
    <n v="4.99"/>
    <n v="0"/>
  </r>
  <r>
    <n v="6232"/>
    <s v="Male"/>
    <n v="31"/>
    <x v="3"/>
    <x v="0"/>
    <n v="17"/>
    <n v="97"/>
    <n v="7.0000000000000007E-2"/>
    <s v="Web"/>
    <n v="30"/>
    <n v="0"/>
    <n v="0"/>
    <n v="0"/>
    <n v="0"/>
  </r>
  <r>
    <n v="6233"/>
    <s v="Male"/>
    <n v="23"/>
    <x v="5"/>
    <x v="1"/>
    <n v="219"/>
    <n v="79"/>
    <n v="0.28000000000000003"/>
    <s v="Web"/>
    <n v="0"/>
    <n v="1"/>
    <n v="0"/>
    <n v="14.99"/>
    <n v="0"/>
  </r>
  <r>
    <n v="6234"/>
    <s v="Female"/>
    <n v="45"/>
    <x v="3"/>
    <x v="0"/>
    <n v="246"/>
    <n v="6"/>
    <n v="0.22"/>
    <s v="Web"/>
    <n v="45"/>
    <n v="0"/>
    <n v="1"/>
    <n v="0"/>
    <n v="0"/>
  </r>
  <r>
    <n v="6235"/>
    <s v="Male"/>
    <n v="38"/>
    <x v="7"/>
    <x v="0"/>
    <n v="30"/>
    <n v="64"/>
    <n v="0.04"/>
    <s v="Mobile"/>
    <n v="42"/>
    <n v="0"/>
    <n v="0"/>
    <n v="0"/>
    <n v="0"/>
  </r>
  <r>
    <n v="6236"/>
    <s v="Other"/>
    <n v="44"/>
    <x v="1"/>
    <x v="1"/>
    <n v="141"/>
    <n v="72"/>
    <n v="0.17"/>
    <s v="Mobile"/>
    <n v="0"/>
    <n v="1"/>
    <n v="0"/>
    <n v="14.99"/>
    <n v="0"/>
  </r>
  <r>
    <n v="6237"/>
    <s v="Other"/>
    <n v="51"/>
    <x v="0"/>
    <x v="0"/>
    <n v="42"/>
    <n v="22"/>
    <n v="0.43"/>
    <s v="Desktop"/>
    <n v="39"/>
    <n v="0"/>
    <n v="0"/>
    <n v="0"/>
    <n v="0"/>
  </r>
  <r>
    <n v="6238"/>
    <s v="Male"/>
    <n v="20"/>
    <x v="6"/>
    <x v="2"/>
    <n v="188"/>
    <n v="32"/>
    <n v="0.48"/>
    <s v="Mobile"/>
    <n v="0"/>
    <n v="1"/>
    <n v="0"/>
    <n v="9.99"/>
    <n v="0"/>
  </r>
  <r>
    <n v="6239"/>
    <s v="Female"/>
    <n v="46"/>
    <x v="4"/>
    <x v="2"/>
    <n v="56"/>
    <n v="96"/>
    <n v="0.57999999999999996"/>
    <s v="Desktop"/>
    <n v="0"/>
    <n v="1"/>
    <n v="0"/>
    <n v="9.99"/>
    <n v="0"/>
  </r>
  <r>
    <n v="6240"/>
    <s v="Male"/>
    <n v="21"/>
    <x v="0"/>
    <x v="0"/>
    <n v="93"/>
    <n v="99"/>
    <n v="0.1"/>
    <s v="Desktop"/>
    <n v="22"/>
    <n v="0"/>
    <n v="0"/>
    <n v="0"/>
    <n v="0"/>
  </r>
  <r>
    <n v="6241"/>
    <s v="Male"/>
    <n v="19"/>
    <x v="5"/>
    <x v="3"/>
    <n v="89"/>
    <n v="74"/>
    <n v="0.33"/>
    <s v="Mobile"/>
    <n v="0"/>
    <n v="1"/>
    <n v="0"/>
    <n v="4.99"/>
    <n v="0"/>
  </r>
  <r>
    <n v="6242"/>
    <s v="Female"/>
    <n v="36"/>
    <x v="3"/>
    <x v="1"/>
    <n v="133"/>
    <n v="6"/>
    <n v="0.59"/>
    <s v="Mobile"/>
    <n v="0"/>
    <n v="1"/>
    <n v="0"/>
    <n v="14.99"/>
    <n v="0"/>
  </r>
  <r>
    <n v="6243"/>
    <s v="Female"/>
    <n v="41"/>
    <x v="7"/>
    <x v="0"/>
    <n v="201"/>
    <n v="54"/>
    <n v="0.55000000000000004"/>
    <s v="Mobile"/>
    <n v="35"/>
    <n v="0"/>
    <n v="1"/>
    <n v="0"/>
    <n v="0"/>
  </r>
  <r>
    <n v="6244"/>
    <s v="Other"/>
    <n v="29"/>
    <x v="3"/>
    <x v="1"/>
    <n v="279"/>
    <n v="6"/>
    <n v="0.46"/>
    <s v="Web"/>
    <n v="0"/>
    <n v="1"/>
    <n v="0"/>
    <n v="14.99"/>
    <n v="0"/>
  </r>
  <r>
    <n v="6245"/>
    <s v="Other"/>
    <n v="46"/>
    <x v="1"/>
    <x v="1"/>
    <n v="101"/>
    <n v="13"/>
    <n v="0.08"/>
    <s v="Mobile"/>
    <n v="0"/>
    <n v="1"/>
    <n v="0"/>
    <n v="14.99"/>
    <n v="0"/>
  </r>
  <r>
    <n v="6246"/>
    <s v="Female"/>
    <n v="59"/>
    <x v="3"/>
    <x v="1"/>
    <n v="259"/>
    <n v="59"/>
    <n v="0.05"/>
    <s v="Desktop"/>
    <n v="0"/>
    <n v="1"/>
    <n v="0"/>
    <n v="14.99"/>
    <n v="0"/>
  </r>
  <r>
    <n v="6247"/>
    <s v="Male"/>
    <n v="29"/>
    <x v="0"/>
    <x v="3"/>
    <n v="181"/>
    <n v="28"/>
    <n v="0.28000000000000003"/>
    <s v="Mobile"/>
    <n v="0"/>
    <n v="1"/>
    <n v="1"/>
    <n v="4.99"/>
    <n v="4.99"/>
  </r>
  <r>
    <n v="6248"/>
    <s v="Female"/>
    <n v="47"/>
    <x v="1"/>
    <x v="2"/>
    <n v="158"/>
    <n v="36"/>
    <n v="0.53"/>
    <s v="Web"/>
    <n v="0"/>
    <n v="1"/>
    <n v="0"/>
    <n v="9.99"/>
    <n v="0"/>
  </r>
  <r>
    <n v="6249"/>
    <s v="Other"/>
    <n v="41"/>
    <x v="7"/>
    <x v="3"/>
    <n v="236"/>
    <n v="9"/>
    <n v="0.08"/>
    <s v="Desktop"/>
    <n v="0"/>
    <n v="1"/>
    <n v="1"/>
    <n v="4.99"/>
    <n v="4.99"/>
  </r>
  <r>
    <n v="6250"/>
    <s v="Other"/>
    <n v="50"/>
    <x v="0"/>
    <x v="1"/>
    <n v="235"/>
    <n v="3"/>
    <n v="0.55000000000000004"/>
    <s v="Web"/>
    <n v="0"/>
    <n v="1"/>
    <n v="1"/>
    <n v="14.99"/>
    <n v="14.99"/>
  </r>
  <r>
    <n v="6251"/>
    <s v="Female"/>
    <n v="16"/>
    <x v="1"/>
    <x v="2"/>
    <n v="32"/>
    <n v="68"/>
    <n v="0.44"/>
    <s v="Mobile"/>
    <n v="0"/>
    <n v="1"/>
    <n v="0"/>
    <n v="9.99"/>
    <n v="0"/>
  </r>
  <r>
    <n v="6252"/>
    <s v="Other"/>
    <n v="38"/>
    <x v="7"/>
    <x v="0"/>
    <n v="45"/>
    <n v="97"/>
    <n v="0.56000000000000005"/>
    <s v="Mobile"/>
    <n v="13"/>
    <n v="0"/>
    <n v="0"/>
    <n v="0"/>
    <n v="0"/>
  </r>
  <r>
    <n v="6253"/>
    <s v="Female"/>
    <n v="56"/>
    <x v="7"/>
    <x v="3"/>
    <n v="20"/>
    <n v="55"/>
    <n v="0.38"/>
    <s v="Mobile"/>
    <n v="0"/>
    <n v="1"/>
    <n v="1"/>
    <n v="4.99"/>
    <n v="4.99"/>
  </r>
  <r>
    <n v="6254"/>
    <s v="Other"/>
    <n v="19"/>
    <x v="5"/>
    <x v="2"/>
    <n v="11"/>
    <n v="41"/>
    <n v="0.05"/>
    <s v="Mobile"/>
    <n v="0"/>
    <n v="1"/>
    <n v="0"/>
    <n v="9.99"/>
    <n v="0"/>
  </r>
  <r>
    <n v="6255"/>
    <s v="Other"/>
    <n v="57"/>
    <x v="3"/>
    <x v="2"/>
    <n v="33"/>
    <n v="48"/>
    <n v="0.48"/>
    <s v="Web"/>
    <n v="0"/>
    <n v="1"/>
    <n v="0"/>
    <n v="9.99"/>
    <n v="0"/>
  </r>
  <r>
    <n v="6256"/>
    <s v="Other"/>
    <n v="27"/>
    <x v="0"/>
    <x v="3"/>
    <n v="213"/>
    <n v="98"/>
    <n v="0.15"/>
    <s v="Web"/>
    <n v="0"/>
    <n v="1"/>
    <n v="0"/>
    <n v="4.99"/>
    <n v="0"/>
  </r>
  <r>
    <n v="6257"/>
    <s v="Female"/>
    <n v="40"/>
    <x v="6"/>
    <x v="2"/>
    <n v="262"/>
    <n v="64"/>
    <n v="0.15"/>
    <s v="Mobile"/>
    <n v="0"/>
    <n v="1"/>
    <n v="1"/>
    <n v="9.99"/>
    <n v="9.99"/>
  </r>
  <r>
    <n v="6258"/>
    <s v="Female"/>
    <n v="32"/>
    <x v="6"/>
    <x v="3"/>
    <n v="80"/>
    <n v="85"/>
    <n v="0.34"/>
    <s v="Mobile"/>
    <n v="0"/>
    <n v="1"/>
    <n v="0"/>
    <n v="4.99"/>
    <n v="0"/>
  </r>
  <r>
    <n v="6259"/>
    <s v="Female"/>
    <n v="16"/>
    <x v="4"/>
    <x v="3"/>
    <n v="68"/>
    <n v="51"/>
    <n v="0.43"/>
    <s v="Web"/>
    <n v="0"/>
    <n v="1"/>
    <n v="0"/>
    <n v="4.99"/>
    <n v="0"/>
  </r>
  <r>
    <n v="6260"/>
    <s v="Female"/>
    <n v="34"/>
    <x v="6"/>
    <x v="3"/>
    <n v="102"/>
    <n v="56"/>
    <n v="0.12"/>
    <s v="Web"/>
    <n v="0"/>
    <n v="1"/>
    <n v="0"/>
    <n v="4.99"/>
    <n v="0"/>
  </r>
  <r>
    <n v="6261"/>
    <s v="Female"/>
    <n v="17"/>
    <x v="3"/>
    <x v="3"/>
    <n v="298"/>
    <n v="37"/>
    <n v="0.22"/>
    <s v="Desktop"/>
    <n v="0"/>
    <n v="1"/>
    <n v="1"/>
    <n v="4.99"/>
    <n v="4.99"/>
  </r>
  <r>
    <n v="6262"/>
    <s v="Female"/>
    <n v="45"/>
    <x v="4"/>
    <x v="2"/>
    <n v="192"/>
    <n v="85"/>
    <n v="0.05"/>
    <s v="Desktop"/>
    <n v="0"/>
    <n v="1"/>
    <n v="0"/>
    <n v="9.99"/>
    <n v="0"/>
  </r>
  <r>
    <n v="6263"/>
    <s v="Male"/>
    <n v="52"/>
    <x v="7"/>
    <x v="1"/>
    <n v="174"/>
    <n v="18"/>
    <n v="0.53"/>
    <s v="Mobile"/>
    <n v="0"/>
    <n v="1"/>
    <n v="0"/>
    <n v="14.99"/>
    <n v="0"/>
  </r>
  <r>
    <n v="6264"/>
    <s v="Female"/>
    <n v="22"/>
    <x v="4"/>
    <x v="0"/>
    <n v="273"/>
    <n v="35"/>
    <n v="0.16"/>
    <s v="Web"/>
    <n v="36"/>
    <n v="0"/>
    <n v="0"/>
    <n v="0"/>
    <n v="0"/>
  </r>
  <r>
    <n v="6265"/>
    <s v="Male"/>
    <n v="38"/>
    <x v="7"/>
    <x v="1"/>
    <n v="277"/>
    <n v="90"/>
    <n v="0.26"/>
    <s v="Desktop"/>
    <n v="0"/>
    <n v="1"/>
    <n v="0"/>
    <n v="14.99"/>
    <n v="0"/>
  </r>
  <r>
    <n v="6266"/>
    <s v="Other"/>
    <n v="44"/>
    <x v="3"/>
    <x v="3"/>
    <n v="204"/>
    <n v="72"/>
    <n v="0.34"/>
    <s v="Web"/>
    <n v="0"/>
    <n v="1"/>
    <n v="0"/>
    <n v="4.99"/>
    <n v="0"/>
  </r>
  <r>
    <n v="6267"/>
    <s v="Male"/>
    <n v="59"/>
    <x v="0"/>
    <x v="3"/>
    <n v="23"/>
    <n v="14"/>
    <n v="0.47"/>
    <s v="Desktop"/>
    <n v="0"/>
    <n v="1"/>
    <n v="0"/>
    <n v="4.99"/>
    <n v="0"/>
  </r>
  <r>
    <n v="6268"/>
    <s v="Female"/>
    <n v="52"/>
    <x v="1"/>
    <x v="2"/>
    <n v="273"/>
    <n v="61"/>
    <n v="0.49"/>
    <s v="Desktop"/>
    <n v="0"/>
    <n v="1"/>
    <n v="0"/>
    <n v="9.99"/>
    <n v="0"/>
  </r>
  <r>
    <n v="6269"/>
    <s v="Other"/>
    <n v="54"/>
    <x v="3"/>
    <x v="1"/>
    <n v="109"/>
    <n v="32"/>
    <n v="0.54"/>
    <s v="Web"/>
    <n v="0"/>
    <n v="1"/>
    <n v="0"/>
    <n v="14.99"/>
    <n v="0"/>
  </r>
  <r>
    <n v="6270"/>
    <s v="Male"/>
    <n v="40"/>
    <x v="5"/>
    <x v="3"/>
    <n v="57"/>
    <n v="56"/>
    <n v="0.06"/>
    <s v="Mobile"/>
    <n v="0"/>
    <n v="1"/>
    <n v="0"/>
    <n v="4.99"/>
    <n v="0"/>
  </r>
  <r>
    <n v="6271"/>
    <s v="Male"/>
    <n v="55"/>
    <x v="0"/>
    <x v="3"/>
    <n v="294"/>
    <n v="96"/>
    <n v="0.14000000000000001"/>
    <s v="Web"/>
    <n v="0"/>
    <n v="1"/>
    <n v="0"/>
    <n v="4.99"/>
    <n v="0"/>
  </r>
  <r>
    <n v="6272"/>
    <s v="Female"/>
    <n v="20"/>
    <x v="1"/>
    <x v="0"/>
    <n v="88"/>
    <n v="83"/>
    <n v="0.55000000000000004"/>
    <s v="Mobile"/>
    <n v="32"/>
    <n v="0"/>
    <n v="1"/>
    <n v="0"/>
    <n v="0"/>
  </r>
  <r>
    <n v="6273"/>
    <s v="Female"/>
    <n v="51"/>
    <x v="0"/>
    <x v="2"/>
    <n v="274"/>
    <n v="70"/>
    <n v="0.44"/>
    <s v="Desktop"/>
    <n v="0"/>
    <n v="1"/>
    <n v="0"/>
    <n v="9.99"/>
    <n v="0"/>
  </r>
  <r>
    <n v="6274"/>
    <s v="Other"/>
    <n v="32"/>
    <x v="1"/>
    <x v="3"/>
    <n v="41"/>
    <n v="47"/>
    <n v="0.48"/>
    <s v="Web"/>
    <n v="0"/>
    <n v="1"/>
    <n v="1"/>
    <n v="4.99"/>
    <n v="4.99"/>
  </r>
  <r>
    <n v="6275"/>
    <s v="Female"/>
    <n v="47"/>
    <x v="0"/>
    <x v="1"/>
    <n v="108"/>
    <n v="69"/>
    <n v="0.04"/>
    <s v="Web"/>
    <n v="0"/>
    <n v="1"/>
    <n v="1"/>
    <n v="14.99"/>
    <n v="14.99"/>
  </r>
  <r>
    <n v="6276"/>
    <s v="Other"/>
    <n v="27"/>
    <x v="6"/>
    <x v="0"/>
    <n v="139"/>
    <n v="80"/>
    <n v="0.23"/>
    <s v="Web"/>
    <n v="39"/>
    <n v="0"/>
    <n v="0"/>
    <n v="0"/>
    <n v="0"/>
  </r>
  <r>
    <n v="6277"/>
    <s v="Other"/>
    <n v="18"/>
    <x v="7"/>
    <x v="0"/>
    <n v="123"/>
    <n v="81"/>
    <n v="0.34"/>
    <s v="Web"/>
    <n v="28"/>
    <n v="0"/>
    <n v="0"/>
    <n v="0"/>
    <n v="0"/>
  </r>
  <r>
    <n v="6278"/>
    <s v="Male"/>
    <n v="30"/>
    <x v="4"/>
    <x v="2"/>
    <n v="164"/>
    <n v="69"/>
    <n v="0.19"/>
    <s v="Desktop"/>
    <n v="0"/>
    <n v="1"/>
    <n v="0"/>
    <n v="9.99"/>
    <n v="0"/>
  </r>
  <r>
    <n v="6279"/>
    <s v="Male"/>
    <n v="33"/>
    <x v="3"/>
    <x v="3"/>
    <n v="28"/>
    <n v="59"/>
    <n v="0.31"/>
    <s v="Mobile"/>
    <n v="0"/>
    <n v="1"/>
    <n v="0"/>
    <n v="4.99"/>
    <n v="0"/>
  </r>
  <r>
    <n v="6280"/>
    <s v="Other"/>
    <n v="53"/>
    <x v="4"/>
    <x v="1"/>
    <n v="289"/>
    <n v="10"/>
    <n v="0.39"/>
    <s v="Desktop"/>
    <n v="0"/>
    <n v="1"/>
    <n v="0"/>
    <n v="14.99"/>
    <n v="0"/>
  </r>
  <r>
    <n v="6281"/>
    <s v="Female"/>
    <n v="42"/>
    <x v="0"/>
    <x v="0"/>
    <n v="195"/>
    <n v="29"/>
    <n v="0.43"/>
    <s v="Mobile"/>
    <n v="40"/>
    <n v="0"/>
    <n v="0"/>
    <n v="0"/>
    <n v="0"/>
  </r>
  <r>
    <n v="6282"/>
    <s v="Female"/>
    <n v="50"/>
    <x v="3"/>
    <x v="0"/>
    <n v="170"/>
    <n v="64"/>
    <n v="0.01"/>
    <s v="Mobile"/>
    <n v="25"/>
    <n v="0"/>
    <n v="0"/>
    <n v="0"/>
    <n v="0"/>
  </r>
  <r>
    <n v="6283"/>
    <s v="Female"/>
    <n v="30"/>
    <x v="1"/>
    <x v="0"/>
    <n v="103"/>
    <n v="35"/>
    <n v="0.38"/>
    <s v="Web"/>
    <n v="33"/>
    <n v="0"/>
    <n v="1"/>
    <n v="0"/>
    <n v="0"/>
  </r>
  <r>
    <n v="6284"/>
    <s v="Female"/>
    <n v="38"/>
    <x v="4"/>
    <x v="0"/>
    <n v="87"/>
    <n v="14"/>
    <n v="0.38"/>
    <s v="Mobile"/>
    <n v="18"/>
    <n v="0"/>
    <n v="0"/>
    <n v="0"/>
    <n v="0"/>
  </r>
  <r>
    <n v="6285"/>
    <s v="Other"/>
    <n v="50"/>
    <x v="0"/>
    <x v="1"/>
    <n v="36"/>
    <n v="21"/>
    <n v="0.03"/>
    <s v="Web"/>
    <n v="0"/>
    <n v="1"/>
    <n v="1"/>
    <n v="14.99"/>
    <n v="14.99"/>
  </r>
  <r>
    <n v="6286"/>
    <s v="Other"/>
    <n v="20"/>
    <x v="1"/>
    <x v="1"/>
    <n v="172"/>
    <n v="70"/>
    <n v="0.19"/>
    <s v="Desktop"/>
    <n v="0"/>
    <n v="1"/>
    <n v="0"/>
    <n v="14.99"/>
    <n v="0"/>
  </r>
  <r>
    <n v="6287"/>
    <s v="Male"/>
    <n v="18"/>
    <x v="7"/>
    <x v="0"/>
    <n v="245"/>
    <n v="95"/>
    <n v="0.54"/>
    <s v="Mobile"/>
    <n v="17"/>
    <n v="0"/>
    <n v="0"/>
    <n v="0"/>
    <n v="0"/>
  </r>
  <r>
    <n v="6288"/>
    <s v="Female"/>
    <n v="48"/>
    <x v="2"/>
    <x v="2"/>
    <n v="240"/>
    <n v="26"/>
    <n v="0.32"/>
    <s v="Desktop"/>
    <n v="0"/>
    <n v="1"/>
    <n v="1"/>
    <n v="9.99"/>
    <n v="9.99"/>
  </r>
  <r>
    <n v="6289"/>
    <s v="Female"/>
    <n v="51"/>
    <x v="6"/>
    <x v="1"/>
    <n v="32"/>
    <n v="25"/>
    <n v="0.49"/>
    <s v="Web"/>
    <n v="0"/>
    <n v="1"/>
    <n v="0"/>
    <n v="14.99"/>
    <n v="0"/>
  </r>
  <r>
    <n v="6290"/>
    <s v="Female"/>
    <n v="57"/>
    <x v="4"/>
    <x v="2"/>
    <n v="294"/>
    <n v="54"/>
    <n v="0.57999999999999996"/>
    <s v="Mobile"/>
    <n v="0"/>
    <n v="1"/>
    <n v="0"/>
    <n v="9.99"/>
    <n v="0"/>
  </r>
  <r>
    <n v="6291"/>
    <s v="Other"/>
    <n v="32"/>
    <x v="7"/>
    <x v="3"/>
    <n v="217"/>
    <n v="77"/>
    <n v="0.34"/>
    <s v="Web"/>
    <n v="0"/>
    <n v="1"/>
    <n v="0"/>
    <n v="4.99"/>
    <n v="0"/>
  </r>
  <r>
    <n v="6292"/>
    <s v="Female"/>
    <n v="26"/>
    <x v="0"/>
    <x v="1"/>
    <n v="82"/>
    <n v="46"/>
    <n v="0.45"/>
    <s v="Web"/>
    <n v="0"/>
    <n v="1"/>
    <n v="0"/>
    <n v="14.99"/>
    <n v="0"/>
  </r>
  <r>
    <n v="6293"/>
    <s v="Other"/>
    <n v="46"/>
    <x v="7"/>
    <x v="1"/>
    <n v="196"/>
    <n v="77"/>
    <n v="0.51"/>
    <s v="Mobile"/>
    <n v="0"/>
    <n v="1"/>
    <n v="0"/>
    <n v="14.99"/>
    <n v="0"/>
  </r>
  <r>
    <n v="6294"/>
    <s v="Male"/>
    <n v="41"/>
    <x v="5"/>
    <x v="3"/>
    <n v="177"/>
    <n v="25"/>
    <n v="0.42"/>
    <s v="Web"/>
    <n v="0"/>
    <n v="1"/>
    <n v="1"/>
    <n v="4.99"/>
    <n v="4.99"/>
  </r>
  <r>
    <n v="6295"/>
    <s v="Other"/>
    <n v="27"/>
    <x v="5"/>
    <x v="2"/>
    <n v="223"/>
    <n v="39"/>
    <n v="0.17"/>
    <s v="Web"/>
    <n v="0"/>
    <n v="1"/>
    <n v="0"/>
    <n v="9.99"/>
    <n v="0"/>
  </r>
  <r>
    <n v="6296"/>
    <s v="Female"/>
    <n v="30"/>
    <x v="7"/>
    <x v="2"/>
    <n v="272"/>
    <n v="46"/>
    <n v="0.27"/>
    <s v="Desktop"/>
    <n v="0"/>
    <n v="1"/>
    <n v="0"/>
    <n v="9.99"/>
    <n v="0"/>
  </r>
  <r>
    <n v="6297"/>
    <s v="Other"/>
    <n v="31"/>
    <x v="0"/>
    <x v="2"/>
    <n v="11"/>
    <n v="4"/>
    <n v="0.5"/>
    <s v="Mobile"/>
    <n v="0"/>
    <n v="1"/>
    <n v="0"/>
    <n v="9.99"/>
    <n v="0"/>
  </r>
  <r>
    <n v="6298"/>
    <s v="Male"/>
    <n v="20"/>
    <x v="2"/>
    <x v="3"/>
    <n v="10"/>
    <n v="76"/>
    <n v="0.49"/>
    <s v="Desktop"/>
    <n v="0"/>
    <n v="1"/>
    <n v="0"/>
    <n v="4.99"/>
    <n v="0"/>
  </r>
  <r>
    <n v="6299"/>
    <s v="Other"/>
    <n v="45"/>
    <x v="6"/>
    <x v="0"/>
    <n v="154"/>
    <n v="88"/>
    <n v="0.23"/>
    <s v="Mobile"/>
    <n v="44"/>
    <n v="0"/>
    <n v="0"/>
    <n v="0"/>
    <n v="0"/>
  </r>
  <r>
    <n v="6300"/>
    <s v="Other"/>
    <n v="37"/>
    <x v="0"/>
    <x v="0"/>
    <n v="145"/>
    <n v="82"/>
    <n v="0.13"/>
    <s v="Web"/>
    <n v="42"/>
    <n v="0"/>
    <n v="0"/>
    <n v="0"/>
    <n v="0"/>
  </r>
  <r>
    <n v="6301"/>
    <s v="Male"/>
    <n v="55"/>
    <x v="6"/>
    <x v="3"/>
    <n v="239"/>
    <n v="66"/>
    <n v="0.1"/>
    <s v="Web"/>
    <n v="0"/>
    <n v="1"/>
    <n v="0"/>
    <n v="4.99"/>
    <n v="0"/>
  </r>
  <r>
    <n v="6302"/>
    <s v="Male"/>
    <n v="29"/>
    <x v="1"/>
    <x v="3"/>
    <n v="217"/>
    <n v="93"/>
    <n v="0.52"/>
    <s v="Desktop"/>
    <n v="0"/>
    <n v="1"/>
    <n v="1"/>
    <n v="4.99"/>
    <n v="4.99"/>
  </r>
  <r>
    <n v="6303"/>
    <s v="Other"/>
    <n v="41"/>
    <x v="5"/>
    <x v="1"/>
    <n v="297"/>
    <n v="2"/>
    <n v="0.3"/>
    <s v="Desktop"/>
    <n v="0"/>
    <n v="1"/>
    <n v="0"/>
    <n v="14.99"/>
    <n v="0"/>
  </r>
  <r>
    <n v="6304"/>
    <s v="Male"/>
    <n v="54"/>
    <x v="0"/>
    <x v="2"/>
    <n v="257"/>
    <n v="87"/>
    <n v="0.28000000000000003"/>
    <s v="Mobile"/>
    <n v="0"/>
    <n v="1"/>
    <n v="0"/>
    <n v="9.99"/>
    <n v="0"/>
  </r>
  <r>
    <n v="6305"/>
    <s v="Other"/>
    <n v="45"/>
    <x v="6"/>
    <x v="3"/>
    <n v="203"/>
    <n v="58"/>
    <n v="0.32"/>
    <s v="Web"/>
    <n v="0"/>
    <n v="1"/>
    <n v="1"/>
    <n v="4.99"/>
    <n v="4.99"/>
  </r>
  <r>
    <n v="6306"/>
    <s v="Female"/>
    <n v="26"/>
    <x v="3"/>
    <x v="3"/>
    <n v="143"/>
    <n v="9"/>
    <n v="0.23"/>
    <s v="Web"/>
    <n v="0"/>
    <n v="1"/>
    <n v="0"/>
    <n v="4.99"/>
    <n v="0"/>
  </r>
  <r>
    <n v="6307"/>
    <s v="Male"/>
    <n v="53"/>
    <x v="5"/>
    <x v="0"/>
    <n v="256"/>
    <n v="60"/>
    <n v="0.06"/>
    <s v="Desktop"/>
    <n v="35"/>
    <n v="0"/>
    <n v="1"/>
    <n v="0"/>
    <n v="0"/>
  </r>
  <r>
    <n v="6308"/>
    <s v="Female"/>
    <n v="45"/>
    <x v="5"/>
    <x v="0"/>
    <n v="294"/>
    <n v="43"/>
    <n v="0.51"/>
    <s v="Web"/>
    <n v="27"/>
    <n v="0"/>
    <n v="0"/>
    <n v="0"/>
    <n v="0"/>
  </r>
  <r>
    <n v="6309"/>
    <s v="Other"/>
    <n v="42"/>
    <x v="3"/>
    <x v="1"/>
    <n v="270"/>
    <n v="77"/>
    <n v="0.25"/>
    <s v="Web"/>
    <n v="0"/>
    <n v="1"/>
    <n v="0"/>
    <n v="14.99"/>
    <n v="0"/>
  </r>
  <r>
    <n v="6310"/>
    <s v="Other"/>
    <n v="18"/>
    <x v="3"/>
    <x v="1"/>
    <n v="194"/>
    <n v="4"/>
    <n v="0.5"/>
    <s v="Mobile"/>
    <n v="0"/>
    <n v="1"/>
    <n v="1"/>
    <n v="14.99"/>
    <n v="14.99"/>
  </r>
  <r>
    <n v="6311"/>
    <s v="Male"/>
    <n v="52"/>
    <x v="0"/>
    <x v="2"/>
    <n v="195"/>
    <n v="76"/>
    <n v="0.15"/>
    <s v="Desktop"/>
    <n v="0"/>
    <n v="1"/>
    <n v="0"/>
    <n v="9.99"/>
    <n v="0"/>
  </r>
  <r>
    <n v="6312"/>
    <s v="Other"/>
    <n v="45"/>
    <x v="0"/>
    <x v="1"/>
    <n v="113"/>
    <n v="62"/>
    <n v="0.11"/>
    <s v="Desktop"/>
    <n v="0"/>
    <n v="1"/>
    <n v="0"/>
    <n v="14.99"/>
    <n v="0"/>
  </r>
  <r>
    <n v="6313"/>
    <s v="Male"/>
    <n v="18"/>
    <x v="3"/>
    <x v="0"/>
    <n v="230"/>
    <n v="42"/>
    <n v="0.26"/>
    <s v="Mobile"/>
    <n v="28"/>
    <n v="0"/>
    <n v="0"/>
    <n v="0"/>
    <n v="0"/>
  </r>
  <r>
    <n v="6314"/>
    <s v="Male"/>
    <n v="25"/>
    <x v="3"/>
    <x v="1"/>
    <n v="238"/>
    <n v="25"/>
    <n v="0.13"/>
    <s v="Web"/>
    <n v="0"/>
    <n v="1"/>
    <n v="0"/>
    <n v="14.99"/>
    <n v="0"/>
  </r>
  <r>
    <n v="6315"/>
    <s v="Female"/>
    <n v="50"/>
    <x v="5"/>
    <x v="0"/>
    <n v="181"/>
    <n v="2"/>
    <n v="0.12"/>
    <s v="Web"/>
    <n v="20"/>
    <n v="0"/>
    <n v="0"/>
    <n v="0"/>
    <n v="0"/>
  </r>
  <r>
    <n v="6316"/>
    <s v="Male"/>
    <n v="55"/>
    <x v="1"/>
    <x v="0"/>
    <n v="65"/>
    <n v="69"/>
    <n v="0.47"/>
    <s v="Desktop"/>
    <n v="49"/>
    <n v="0"/>
    <n v="1"/>
    <n v="0"/>
    <n v="0"/>
  </r>
  <r>
    <n v="6317"/>
    <s v="Male"/>
    <n v="37"/>
    <x v="1"/>
    <x v="2"/>
    <n v="149"/>
    <n v="52"/>
    <n v="0.48"/>
    <s v="Web"/>
    <n v="0"/>
    <n v="1"/>
    <n v="0"/>
    <n v="9.99"/>
    <n v="0"/>
  </r>
  <r>
    <n v="6318"/>
    <s v="Female"/>
    <n v="42"/>
    <x v="1"/>
    <x v="1"/>
    <n v="197"/>
    <n v="86"/>
    <n v="0.35"/>
    <s v="Desktop"/>
    <n v="0"/>
    <n v="1"/>
    <n v="0"/>
    <n v="14.99"/>
    <n v="0"/>
  </r>
  <r>
    <n v="6319"/>
    <s v="Female"/>
    <n v="17"/>
    <x v="1"/>
    <x v="0"/>
    <n v="214"/>
    <n v="78"/>
    <n v="0.57999999999999996"/>
    <s v="Desktop"/>
    <n v="43"/>
    <n v="0"/>
    <n v="0"/>
    <n v="0"/>
    <n v="0"/>
  </r>
  <r>
    <n v="6320"/>
    <s v="Other"/>
    <n v="35"/>
    <x v="2"/>
    <x v="2"/>
    <n v="207"/>
    <n v="33"/>
    <n v="0.28999999999999998"/>
    <s v="Web"/>
    <n v="0"/>
    <n v="1"/>
    <n v="1"/>
    <n v="9.99"/>
    <n v="9.99"/>
  </r>
  <r>
    <n v="6321"/>
    <s v="Male"/>
    <n v="39"/>
    <x v="3"/>
    <x v="1"/>
    <n v="245"/>
    <n v="16"/>
    <n v="0.5"/>
    <s v="Desktop"/>
    <n v="0"/>
    <n v="1"/>
    <n v="0"/>
    <n v="14.99"/>
    <n v="0"/>
  </r>
  <r>
    <n v="6322"/>
    <s v="Female"/>
    <n v="31"/>
    <x v="7"/>
    <x v="2"/>
    <n v="111"/>
    <n v="11"/>
    <n v="0.28000000000000003"/>
    <s v="Desktop"/>
    <n v="0"/>
    <n v="1"/>
    <n v="1"/>
    <n v="9.99"/>
    <n v="9.99"/>
  </r>
  <r>
    <n v="6323"/>
    <s v="Male"/>
    <n v="57"/>
    <x v="0"/>
    <x v="0"/>
    <n v="269"/>
    <n v="97"/>
    <n v="0.08"/>
    <s v="Desktop"/>
    <n v="15"/>
    <n v="0"/>
    <n v="0"/>
    <n v="0"/>
    <n v="0"/>
  </r>
  <r>
    <n v="6324"/>
    <s v="Male"/>
    <n v="52"/>
    <x v="3"/>
    <x v="2"/>
    <n v="299"/>
    <n v="56"/>
    <n v="0.56000000000000005"/>
    <s v="Web"/>
    <n v="0"/>
    <n v="1"/>
    <n v="0"/>
    <n v="9.99"/>
    <n v="0"/>
  </r>
  <r>
    <n v="6325"/>
    <s v="Other"/>
    <n v="31"/>
    <x v="1"/>
    <x v="2"/>
    <n v="65"/>
    <n v="54"/>
    <n v="0.23"/>
    <s v="Desktop"/>
    <n v="0"/>
    <n v="1"/>
    <n v="0"/>
    <n v="9.99"/>
    <n v="0"/>
  </r>
  <r>
    <n v="6326"/>
    <s v="Female"/>
    <n v="20"/>
    <x v="1"/>
    <x v="0"/>
    <n v="219"/>
    <n v="76"/>
    <n v="0.32"/>
    <s v="Mobile"/>
    <n v="44"/>
    <n v="0"/>
    <n v="0"/>
    <n v="0"/>
    <n v="0"/>
  </r>
  <r>
    <n v="6327"/>
    <s v="Female"/>
    <n v="57"/>
    <x v="0"/>
    <x v="0"/>
    <n v="103"/>
    <n v="83"/>
    <n v="0.17"/>
    <s v="Mobile"/>
    <n v="21"/>
    <n v="0"/>
    <n v="1"/>
    <n v="0"/>
    <n v="0"/>
  </r>
  <r>
    <n v="6328"/>
    <s v="Other"/>
    <n v="33"/>
    <x v="6"/>
    <x v="2"/>
    <n v="285"/>
    <n v="65"/>
    <n v="0.49"/>
    <s v="Mobile"/>
    <n v="0"/>
    <n v="1"/>
    <n v="0"/>
    <n v="9.99"/>
    <n v="0"/>
  </r>
  <r>
    <n v="6329"/>
    <s v="Other"/>
    <n v="54"/>
    <x v="1"/>
    <x v="0"/>
    <n v="19"/>
    <n v="62"/>
    <n v="0.34"/>
    <s v="Desktop"/>
    <n v="39"/>
    <n v="0"/>
    <n v="0"/>
    <n v="0"/>
    <n v="0"/>
  </r>
  <r>
    <n v="6330"/>
    <s v="Male"/>
    <n v="51"/>
    <x v="2"/>
    <x v="2"/>
    <n v="160"/>
    <n v="10"/>
    <n v="0.31"/>
    <s v="Desktop"/>
    <n v="0"/>
    <n v="1"/>
    <n v="0"/>
    <n v="9.99"/>
    <n v="0"/>
  </r>
  <r>
    <n v="6331"/>
    <s v="Female"/>
    <n v="54"/>
    <x v="1"/>
    <x v="3"/>
    <n v="228"/>
    <n v="53"/>
    <n v="0.54"/>
    <s v="Desktop"/>
    <n v="0"/>
    <n v="1"/>
    <n v="0"/>
    <n v="4.99"/>
    <n v="0"/>
  </r>
  <r>
    <n v="6332"/>
    <s v="Male"/>
    <n v="49"/>
    <x v="7"/>
    <x v="1"/>
    <n v="48"/>
    <n v="43"/>
    <n v="0.46"/>
    <s v="Desktop"/>
    <n v="0"/>
    <n v="1"/>
    <n v="0"/>
    <n v="14.99"/>
    <n v="0"/>
  </r>
  <r>
    <n v="6333"/>
    <s v="Female"/>
    <n v="28"/>
    <x v="2"/>
    <x v="3"/>
    <n v="155"/>
    <n v="74"/>
    <n v="0.53"/>
    <s v="Web"/>
    <n v="0"/>
    <n v="1"/>
    <n v="0"/>
    <n v="4.99"/>
    <n v="0"/>
  </r>
  <r>
    <n v="6334"/>
    <s v="Female"/>
    <n v="38"/>
    <x v="6"/>
    <x v="0"/>
    <n v="294"/>
    <n v="63"/>
    <n v="0.21"/>
    <s v="Mobile"/>
    <n v="35"/>
    <n v="0"/>
    <n v="0"/>
    <n v="0"/>
    <n v="0"/>
  </r>
  <r>
    <n v="6335"/>
    <s v="Other"/>
    <n v="34"/>
    <x v="0"/>
    <x v="1"/>
    <n v="69"/>
    <n v="40"/>
    <n v="0.28999999999999998"/>
    <s v="Mobile"/>
    <n v="0"/>
    <n v="1"/>
    <n v="0"/>
    <n v="14.99"/>
    <n v="0"/>
  </r>
  <r>
    <n v="6336"/>
    <s v="Other"/>
    <n v="24"/>
    <x v="7"/>
    <x v="3"/>
    <n v="175"/>
    <n v="51"/>
    <n v="0.15"/>
    <s v="Web"/>
    <n v="0"/>
    <n v="1"/>
    <n v="1"/>
    <n v="4.99"/>
    <n v="4.99"/>
  </r>
  <r>
    <n v="6337"/>
    <s v="Other"/>
    <n v="57"/>
    <x v="5"/>
    <x v="1"/>
    <n v="154"/>
    <n v="98"/>
    <n v="0.56000000000000005"/>
    <s v="Mobile"/>
    <n v="0"/>
    <n v="1"/>
    <n v="0"/>
    <n v="14.99"/>
    <n v="0"/>
  </r>
  <r>
    <n v="6338"/>
    <s v="Other"/>
    <n v="45"/>
    <x v="5"/>
    <x v="2"/>
    <n v="89"/>
    <n v="51"/>
    <n v="0.57999999999999996"/>
    <s v="Mobile"/>
    <n v="0"/>
    <n v="1"/>
    <n v="0"/>
    <n v="9.99"/>
    <n v="0"/>
  </r>
  <r>
    <n v="6339"/>
    <s v="Other"/>
    <n v="41"/>
    <x v="4"/>
    <x v="3"/>
    <n v="176"/>
    <n v="81"/>
    <n v="0.41"/>
    <s v="Web"/>
    <n v="0"/>
    <n v="1"/>
    <n v="0"/>
    <n v="4.99"/>
    <n v="0"/>
  </r>
  <r>
    <n v="6340"/>
    <s v="Other"/>
    <n v="37"/>
    <x v="5"/>
    <x v="0"/>
    <n v="106"/>
    <n v="38"/>
    <n v="0.57999999999999996"/>
    <s v="Web"/>
    <n v="7"/>
    <n v="0"/>
    <n v="0"/>
    <n v="0"/>
    <n v="0"/>
  </r>
  <r>
    <n v="6341"/>
    <s v="Male"/>
    <n v="25"/>
    <x v="2"/>
    <x v="1"/>
    <n v="45"/>
    <n v="42"/>
    <n v="0.17"/>
    <s v="Web"/>
    <n v="0"/>
    <n v="1"/>
    <n v="0"/>
    <n v="14.99"/>
    <n v="0"/>
  </r>
  <r>
    <n v="6342"/>
    <s v="Other"/>
    <n v="24"/>
    <x v="6"/>
    <x v="3"/>
    <n v="241"/>
    <n v="75"/>
    <n v="0.25"/>
    <s v="Web"/>
    <n v="0"/>
    <n v="1"/>
    <n v="1"/>
    <n v="4.99"/>
    <n v="4.99"/>
  </r>
  <r>
    <n v="6343"/>
    <s v="Other"/>
    <n v="27"/>
    <x v="3"/>
    <x v="2"/>
    <n v="134"/>
    <n v="86"/>
    <n v="0.25"/>
    <s v="Web"/>
    <n v="0"/>
    <n v="1"/>
    <n v="0"/>
    <n v="9.99"/>
    <n v="0"/>
  </r>
  <r>
    <n v="6344"/>
    <s v="Other"/>
    <n v="58"/>
    <x v="2"/>
    <x v="2"/>
    <n v="146"/>
    <n v="31"/>
    <n v="0.46"/>
    <s v="Desktop"/>
    <n v="0"/>
    <n v="1"/>
    <n v="1"/>
    <n v="9.99"/>
    <n v="9.99"/>
  </r>
  <r>
    <n v="6345"/>
    <s v="Male"/>
    <n v="39"/>
    <x v="1"/>
    <x v="2"/>
    <n v="74"/>
    <n v="63"/>
    <n v="0.4"/>
    <s v="Web"/>
    <n v="0"/>
    <n v="1"/>
    <n v="0"/>
    <n v="9.99"/>
    <n v="0"/>
  </r>
  <r>
    <n v="6346"/>
    <s v="Male"/>
    <n v="32"/>
    <x v="5"/>
    <x v="1"/>
    <n v="123"/>
    <n v="52"/>
    <n v="0.13"/>
    <s v="Mobile"/>
    <n v="0"/>
    <n v="1"/>
    <n v="0"/>
    <n v="14.99"/>
    <n v="0"/>
  </r>
  <r>
    <n v="6347"/>
    <s v="Other"/>
    <n v="26"/>
    <x v="0"/>
    <x v="3"/>
    <n v="267"/>
    <n v="40"/>
    <n v="0.45"/>
    <s v="Mobile"/>
    <n v="0"/>
    <n v="1"/>
    <n v="0"/>
    <n v="4.99"/>
    <n v="0"/>
  </r>
  <r>
    <n v="6348"/>
    <s v="Male"/>
    <n v="20"/>
    <x v="1"/>
    <x v="2"/>
    <n v="196"/>
    <n v="77"/>
    <n v="0.27"/>
    <s v="Mobile"/>
    <n v="0"/>
    <n v="1"/>
    <n v="0"/>
    <n v="9.99"/>
    <n v="0"/>
  </r>
  <r>
    <n v="6349"/>
    <s v="Female"/>
    <n v="18"/>
    <x v="5"/>
    <x v="0"/>
    <n v="95"/>
    <n v="37"/>
    <n v="0.24"/>
    <s v="Mobile"/>
    <n v="7"/>
    <n v="0"/>
    <n v="1"/>
    <n v="0"/>
    <n v="0"/>
  </r>
  <r>
    <n v="6350"/>
    <s v="Female"/>
    <n v="56"/>
    <x v="3"/>
    <x v="0"/>
    <n v="33"/>
    <n v="24"/>
    <n v="0.44"/>
    <s v="Mobile"/>
    <n v="33"/>
    <n v="0"/>
    <n v="1"/>
    <n v="0"/>
    <n v="0"/>
  </r>
  <r>
    <n v="6351"/>
    <s v="Male"/>
    <n v="47"/>
    <x v="3"/>
    <x v="0"/>
    <n v="281"/>
    <n v="5"/>
    <n v="0.5"/>
    <s v="Desktop"/>
    <n v="39"/>
    <n v="0"/>
    <n v="1"/>
    <n v="0"/>
    <n v="0"/>
  </r>
  <r>
    <n v="6352"/>
    <s v="Male"/>
    <n v="18"/>
    <x v="1"/>
    <x v="2"/>
    <n v="34"/>
    <n v="44"/>
    <n v="0.15"/>
    <s v="Mobile"/>
    <n v="0"/>
    <n v="1"/>
    <n v="1"/>
    <n v="9.99"/>
    <n v="9.99"/>
  </r>
  <r>
    <n v="6353"/>
    <s v="Other"/>
    <n v="42"/>
    <x v="5"/>
    <x v="2"/>
    <n v="104"/>
    <n v="27"/>
    <n v="0.34"/>
    <s v="Web"/>
    <n v="0"/>
    <n v="1"/>
    <n v="0"/>
    <n v="9.99"/>
    <n v="0"/>
  </r>
  <r>
    <n v="6354"/>
    <s v="Other"/>
    <n v="51"/>
    <x v="6"/>
    <x v="1"/>
    <n v="238"/>
    <n v="35"/>
    <n v="0.12"/>
    <s v="Desktop"/>
    <n v="0"/>
    <n v="1"/>
    <n v="0"/>
    <n v="14.99"/>
    <n v="0"/>
  </r>
  <r>
    <n v="6355"/>
    <s v="Male"/>
    <n v="23"/>
    <x v="6"/>
    <x v="2"/>
    <n v="246"/>
    <n v="24"/>
    <n v="0.28000000000000003"/>
    <s v="Desktop"/>
    <n v="0"/>
    <n v="1"/>
    <n v="1"/>
    <n v="9.99"/>
    <n v="9.99"/>
  </r>
  <r>
    <n v="6356"/>
    <s v="Other"/>
    <n v="39"/>
    <x v="3"/>
    <x v="0"/>
    <n v="229"/>
    <n v="41"/>
    <n v="0.13"/>
    <s v="Web"/>
    <n v="34"/>
    <n v="0"/>
    <n v="0"/>
    <n v="0"/>
    <n v="0"/>
  </r>
  <r>
    <n v="6357"/>
    <s v="Female"/>
    <n v="17"/>
    <x v="0"/>
    <x v="2"/>
    <n v="272"/>
    <n v="96"/>
    <n v="0.24"/>
    <s v="Desktop"/>
    <n v="0"/>
    <n v="1"/>
    <n v="0"/>
    <n v="9.99"/>
    <n v="0"/>
  </r>
  <r>
    <n v="6358"/>
    <s v="Male"/>
    <n v="42"/>
    <x v="0"/>
    <x v="3"/>
    <n v="107"/>
    <n v="76"/>
    <n v="0.22"/>
    <s v="Mobile"/>
    <n v="0"/>
    <n v="1"/>
    <n v="0"/>
    <n v="4.99"/>
    <n v="0"/>
  </r>
  <r>
    <n v="6359"/>
    <s v="Other"/>
    <n v="42"/>
    <x v="4"/>
    <x v="1"/>
    <n v="57"/>
    <n v="97"/>
    <n v="0.09"/>
    <s v="Web"/>
    <n v="0"/>
    <n v="1"/>
    <n v="0"/>
    <n v="14.99"/>
    <n v="0"/>
  </r>
  <r>
    <n v="6360"/>
    <s v="Other"/>
    <n v="27"/>
    <x v="2"/>
    <x v="2"/>
    <n v="81"/>
    <n v="52"/>
    <n v="0.5"/>
    <s v="Mobile"/>
    <n v="0"/>
    <n v="1"/>
    <n v="0"/>
    <n v="9.99"/>
    <n v="0"/>
  </r>
  <r>
    <n v="6361"/>
    <s v="Male"/>
    <n v="57"/>
    <x v="4"/>
    <x v="1"/>
    <n v="24"/>
    <n v="35"/>
    <n v="0.3"/>
    <s v="Mobile"/>
    <n v="0"/>
    <n v="1"/>
    <n v="0"/>
    <n v="14.99"/>
    <n v="0"/>
  </r>
  <r>
    <n v="6362"/>
    <s v="Male"/>
    <n v="18"/>
    <x v="7"/>
    <x v="0"/>
    <n v="195"/>
    <n v="95"/>
    <n v="0.06"/>
    <s v="Desktop"/>
    <n v="6"/>
    <n v="0"/>
    <n v="0"/>
    <n v="0"/>
    <n v="0"/>
  </r>
  <r>
    <n v="6363"/>
    <s v="Other"/>
    <n v="55"/>
    <x v="1"/>
    <x v="1"/>
    <n v="21"/>
    <n v="71"/>
    <n v="0.3"/>
    <s v="Mobile"/>
    <n v="0"/>
    <n v="1"/>
    <n v="0"/>
    <n v="14.99"/>
    <n v="0"/>
  </r>
  <r>
    <n v="6364"/>
    <s v="Other"/>
    <n v="43"/>
    <x v="2"/>
    <x v="1"/>
    <n v="155"/>
    <n v="58"/>
    <n v="0.27"/>
    <s v="Desktop"/>
    <n v="0"/>
    <n v="1"/>
    <n v="0"/>
    <n v="14.99"/>
    <n v="0"/>
  </r>
  <r>
    <n v="6365"/>
    <s v="Female"/>
    <n v="36"/>
    <x v="3"/>
    <x v="2"/>
    <n v="180"/>
    <n v="78"/>
    <n v="0.28000000000000003"/>
    <s v="Mobile"/>
    <n v="0"/>
    <n v="1"/>
    <n v="0"/>
    <n v="9.99"/>
    <n v="0"/>
  </r>
  <r>
    <n v="6366"/>
    <s v="Other"/>
    <n v="35"/>
    <x v="2"/>
    <x v="1"/>
    <n v="55"/>
    <n v="86"/>
    <n v="0.19"/>
    <s v="Web"/>
    <n v="0"/>
    <n v="1"/>
    <n v="1"/>
    <n v="14.99"/>
    <n v="14.99"/>
  </r>
  <r>
    <n v="6367"/>
    <s v="Female"/>
    <n v="57"/>
    <x v="7"/>
    <x v="1"/>
    <n v="31"/>
    <n v="12"/>
    <n v="0.54"/>
    <s v="Web"/>
    <n v="0"/>
    <n v="1"/>
    <n v="0"/>
    <n v="14.99"/>
    <n v="0"/>
  </r>
  <r>
    <n v="6368"/>
    <s v="Other"/>
    <n v="51"/>
    <x v="7"/>
    <x v="1"/>
    <n v="63"/>
    <n v="63"/>
    <n v="0.34"/>
    <s v="Web"/>
    <n v="0"/>
    <n v="1"/>
    <n v="1"/>
    <n v="14.99"/>
    <n v="14.99"/>
  </r>
  <r>
    <n v="6369"/>
    <s v="Male"/>
    <n v="56"/>
    <x v="1"/>
    <x v="1"/>
    <n v="292"/>
    <n v="90"/>
    <n v="0.1"/>
    <s v="Mobile"/>
    <n v="0"/>
    <n v="1"/>
    <n v="0"/>
    <n v="14.99"/>
    <n v="0"/>
  </r>
  <r>
    <n v="6370"/>
    <s v="Other"/>
    <n v="28"/>
    <x v="0"/>
    <x v="0"/>
    <n v="159"/>
    <n v="71"/>
    <n v="0.44"/>
    <s v="Mobile"/>
    <n v="25"/>
    <n v="0"/>
    <n v="1"/>
    <n v="0"/>
    <n v="0"/>
  </r>
  <r>
    <n v="6371"/>
    <s v="Male"/>
    <n v="59"/>
    <x v="1"/>
    <x v="1"/>
    <n v="128"/>
    <n v="50"/>
    <n v="0.56000000000000005"/>
    <s v="Desktop"/>
    <n v="0"/>
    <n v="1"/>
    <n v="1"/>
    <n v="14.99"/>
    <n v="14.99"/>
  </r>
  <r>
    <n v="6372"/>
    <s v="Other"/>
    <n v="36"/>
    <x v="5"/>
    <x v="2"/>
    <n v="246"/>
    <n v="4"/>
    <n v="0.56999999999999995"/>
    <s v="Desktop"/>
    <n v="0"/>
    <n v="1"/>
    <n v="0"/>
    <n v="9.99"/>
    <n v="0"/>
  </r>
  <r>
    <n v="6373"/>
    <s v="Male"/>
    <n v="59"/>
    <x v="2"/>
    <x v="0"/>
    <n v="20"/>
    <n v="98"/>
    <n v="0.37"/>
    <s v="Mobile"/>
    <n v="42"/>
    <n v="0"/>
    <n v="0"/>
    <n v="0"/>
    <n v="0"/>
  </r>
  <r>
    <n v="6374"/>
    <s v="Male"/>
    <n v="53"/>
    <x v="0"/>
    <x v="2"/>
    <n v="110"/>
    <n v="53"/>
    <n v="0.48"/>
    <s v="Web"/>
    <n v="0"/>
    <n v="1"/>
    <n v="0"/>
    <n v="9.99"/>
    <n v="0"/>
  </r>
  <r>
    <n v="6375"/>
    <s v="Male"/>
    <n v="57"/>
    <x v="7"/>
    <x v="1"/>
    <n v="295"/>
    <n v="7"/>
    <n v="0.44"/>
    <s v="Desktop"/>
    <n v="0"/>
    <n v="1"/>
    <n v="0"/>
    <n v="14.99"/>
    <n v="0"/>
  </r>
  <r>
    <n v="6376"/>
    <s v="Female"/>
    <n v="24"/>
    <x v="0"/>
    <x v="2"/>
    <n v="27"/>
    <n v="50"/>
    <n v="0.56000000000000005"/>
    <s v="Mobile"/>
    <n v="0"/>
    <n v="1"/>
    <n v="0"/>
    <n v="9.99"/>
    <n v="0"/>
  </r>
  <r>
    <n v="6377"/>
    <s v="Female"/>
    <n v="38"/>
    <x v="5"/>
    <x v="0"/>
    <n v="101"/>
    <n v="47"/>
    <n v="0.06"/>
    <s v="Mobile"/>
    <n v="39"/>
    <n v="0"/>
    <n v="1"/>
    <n v="0"/>
    <n v="0"/>
  </r>
  <r>
    <n v="6378"/>
    <s v="Male"/>
    <n v="53"/>
    <x v="6"/>
    <x v="0"/>
    <n v="96"/>
    <n v="60"/>
    <n v="0.5"/>
    <s v="Web"/>
    <n v="25"/>
    <n v="0"/>
    <n v="0"/>
    <n v="0"/>
    <n v="0"/>
  </r>
  <r>
    <n v="6379"/>
    <s v="Male"/>
    <n v="37"/>
    <x v="4"/>
    <x v="1"/>
    <n v="270"/>
    <n v="37"/>
    <n v="0.18"/>
    <s v="Web"/>
    <n v="0"/>
    <n v="1"/>
    <n v="0"/>
    <n v="14.99"/>
    <n v="0"/>
  </r>
  <r>
    <n v="6380"/>
    <s v="Female"/>
    <n v="26"/>
    <x v="4"/>
    <x v="2"/>
    <n v="60"/>
    <n v="14"/>
    <n v="0.13"/>
    <s v="Desktop"/>
    <n v="0"/>
    <n v="1"/>
    <n v="0"/>
    <n v="9.99"/>
    <n v="0"/>
  </r>
  <r>
    <n v="6381"/>
    <s v="Other"/>
    <n v="31"/>
    <x v="0"/>
    <x v="0"/>
    <n v="110"/>
    <n v="34"/>
    <n v="0.06"/>
    <s v="Desktop"/>
    <n v="49"/>
    <n v="0"/>
    <n v="0"/>
    <n v="0"/>
    <n v="0"/>
  </r>
  <r>
    <n v="6382"/>
    <s v="Other"/>
    <n v="38"/>
    <x v="4"/>
    <x v="1"/>
    <n v="129"/>
    <n v="50"/>
    <n v="0.59"/>
    <s v="Mobile"/>
    <n v="0"/>
    <n v="1"/>
    <n v="0"/>
    <n v="14.99"/>
    <n v="0"/>
  </r>
  <r>
    <n v="6383"/>
    <s v="Male"/>
    <n v="33"/>
    <x v="3"/>
    <x v="3"/>
    <n v="112"/>
    <n v="17"/>
    <n v="0.15"/>
    <s v="Web"/>
    <n v="0"/>
    <n v="1"/>
    <n v="0"/>
    <n v="4.99"/>
    <n v="0"/>
  </r>
  <r>
    <n v="6384"/>
    <s v="Female"/>
    <n v="55"/>
    <x v="7"/>
    <x v="3"/>
    <n v="102"/>
    <n v="63"/>
    <n v="0.24"/>
    <s v="Mobile"/>
    <n v="0"/>
    <n v="1"/>
    <n v="0"/>
    <n v="4.99"/>
    <n v="0"/>
  </r>
  <r>
    <n v="6385"/>
    <s v="Male"/>
    <n v="30"/>
    <x v="7"/>
    <x v="2"/>
    <n v="192"/>
    <n v="73"/>
    <n v="0.31"/>
    <s v="Mobile"/>
    <n v="0"/>
    <n v="1"/>
    <n v="1"/>
    <n v="9.99"/>
    <n v="9.99"/>
  </r>
  <r>
    <n v="6386"/>
    <s v="Male"/>
    <n v="43"/>
    <x v="6"/>
    <x v="2"/>
    <n v="299"/>
    <n v="97"/>
    <n v="0.06"/>
    <s v="Desktop"/>
    <n v="0"/>
    <n v="1"/>
    <n v="0"/>
    <n v="9.99"/>
    <n v="0"/>
  </r>
  <r>
    <n v="6387"/>
    <s v="Female"/>
    <n v="26"/>
    <x v="6"/>
    <x v="0"/>
    <n v="80"/>
    <n v="73"/>
    <n v="0.4"/>
    <s v="Mobile"/>
    <n v="5"/>
    <n v="0"/>
    <n v="0"/>
    <n v="0"/>
    <n v="0"/>
  </r>
  <r>
    <n v="6388"/>
    <s v="Male"/>
    <n v="57"/>
    <x v="5"/>
    <x v="2"/>
    <n v="213"/>
    <n v="89"/>
    <n v="0.12"/>
    <s v="Mobile"/>
    <n v="0"/>
    <n v="1"/>
    <n v="1"/>
    <n v="9.99"/>
    <n v="9.99"/>
  </r>
  <r>
    <n v="6389"/>
    <s v="Other"/>
    <n v="28"/>
    <x v="0"/>
    <x v="2"/>
    <n v="189"/>
    <n v="93"/>
    <n v="0.46"/>
    <s v="Web"/>
    <n v="0"/>
    <n v="1"/>
    <n v="1"/>
    <n v="9.99"/>
    <n v="9.99"/>
  </r>
  <r>
    <n v="6390"/>
    <s v="Female"/>
    <n v="32"/>
    <x v="5"/>
    <x v="2"/>
    <n v="167"/>
    <n v="26"/>
    <n v="0.06"/>
    <s v="Mobile"/>
    <n v="0"/>
    <n v="1"/>
    <n v="1"/>
    <n v="9.99"/>
    <n v="9.99"/>
  </r>
  <r>
    <n v="6391"/>
    <s v="Other"/>
    <n v="56"/>
    <x v="5"/>
    <x v="3"/>
    <n v="18"/>
    <n v="41"/>
    <n v="0.33"/>
    <s v="Desktop"/>
    <n v="0"/>
    <n v="1"/>
    <n v="0"/>
    <n v="4.99"/>
    <n v="0"/>
  </r>
  <r>
    <n v="6392"/>
    <s v="Other"/>
    <n v="18"/>
    <x v="0"/>
    <x v="0"/>
    <n v="255"/>
    <n v="33"/>
    <n v="0.55000000000000004"/>
    <s v="Web"/>
    <n v="45"/>
    <n v="0"/>
    <n v="0"/>
    <n v="0"/>
    <n v="0"/>
  </r>
  <r>
    <n v="6393"/>
    <s v="Female"/>
    <n v="47"/>
    <x v="0"/>
    <x v="0"/>
    <n v="88"/>
    <n v="87"/>
    <n v="0.56000000000000005"/>
    <s v="Web"/>
    <n v="24"/>
    <n v="0"/>
    <n v="0"/>
    <n v="0"/>
    <n v="0"/>
  </r>
  <r>
    <n v="6394"/>
    <s v="Female"/>
    <n v="35"/>
    <x v="5"/>
    <x v="3"/>
    <n v="68"/>
    <n v="78"/>
    <n v="0.59"/>
    <s v="Web"/>
    <n v="0"/>
    <n v="1"/>
    <n v="0"/>
    <n v="4.99"/>
    <n v="0"/>
  </r>
  <r>
    <n v="6395"/>
    <s v="Male"/>
    <n v="47"/>
    <x v="6"/>
    <x v="2"/>
    <n v="46"/>
    <n v="54"/>
    <n v="0.2"/>
    <s v="Desktop"/>
    <n v="0"/>
    <n v="1"/>
    <n v="1"/>
    <n v="9.99"/>
    <n v="9.99"/>
  </r>
  <r>
    <n v="6396"/>
    <s v="Female"/>
    <n v="42"/>
    <x v="7"/>
    <x v="0"/>
    <n v="284"/>
    <n v="70"/>
    <n v="0.52"/>
    <s v="Web"/>
    <n v="33"/>
    <n v="0"/>
    <n v="0"/>
    <n v="0"/>
    <n v="0"/>
  </r>
  <r>
    <n v="6397"/>
    <s v="Other"/>
    <n v="44"/>
    <x v="3"/>
    <x v="3"/>
    <n v="118"/>
    <n v="3"/>
    <n v="0.25"/>
    <s v="Desktop"/>
    <n v="0"/>
    <n v="1"/>
    <n v="0"/>
    <n v="4.99"/>
    <n v="0"/>
  </r>
  <r>
    <n v="6398"/>
    <s v="Other"/>
    <n v="48"/>
    <x v="6"/>
    <x v="2"/>
    <n v="72"/>
    <n v="26"/>
    <n v="0.55000000000000004"/>
    <s v="Web"/>
    <n v="0"/>
    <n v="1"/>
    <n v="1"/>
    <n v="9.99"/>
    <n v="9.99"/>
  </r>
  <r>
    <n v="6399"/>
    <s v="Male"/>
    <n v="48"/>
    <x v="1"/>
    <x v="0"/>
    <n v="278"/>
    <n v="34"/>
    <n v="0.09"/>
    <s v="Mobile"/>
    <n v="13"/>
    <n v="0"/>
    <n v="1"/>
    <n v="0"/>
    <n v="0"/>
  </r>
  <r>
    <n v="6400"/>
    <s v="Other"/>
    <n v="49"/>
    <x v="7"/>
    <x v="1"/>
    <n v="173"/>
    <n v="98"/>
    <n v="0.19"/>
    <s v="Mobile"/>
    <n v="0"/>
    <n v="1"/>
    <n v="1"/>
    <n v="14.99"/>
    <n v="14.99"/>
  </r>
  <r>
    <n v="6401"/>
    <s v="Male"/>
    <n v="47"/>
    <x v="2"/>
    <x v="1"/>
    <n v="295"/>
    <n v="60"/>
    <n v="0.12"/>
    <s v="Web"/>
    <n v="0"/>
    <n v="1"/>
    <n v="0"/>
    <n v="14.99"/>
    <n v="0"/>
  </r>
  <r>
    <n v="6402"/>
    <s v="Other"/>
    <n v="58"/>
    <x v="3"/>
    <x v="1"/>
    <n v="251"/>
    <n v="82"/>
    <n v="0.18"/>
    <s v="Desktop"/>
    <n v="0"/>
    <n v="1"/>
    <n v="0"/>
    <n v="14.99"/>
    <n v="0"/>
  </r>
  <r>
    <n v="6403"/>
    <s v="Male"/>
    <n v="20"/>
    <x v="1"/>
    <x v="1"/>
    <n v="138"/>
    <n v="6"/>
    <n v="0.44"/>
    <s v="Web"/>
    <n v="0"/>
    <n v="1"/>
    <n v="0"/>
    <n v="14.99"/>
    <n v="0"/>
  </r>
  <r>
    <n v="6404"/>
    <s v="Male"/>
    <n v="47"/>
    <x v="4"/>
    <x v="0"/>
    <n v="119"/>
    <n v="24"/>
    <n v="0.47"/>
    <s v="Desktop"/>
    <n v="14"/>
    <n v="0"/>
    <n v="0"/>
    <n v="0"/>
    <n v="0"/>
  </r>
  <r>
    <n v="6405"/>
    <s v="Female"/>
    <n v="44"/>
    <x v="2"/>
    <x v="2"/>
    <n v="43"/>
    <n v="82"/>
    <n v="0.48"/>
    <s v="Mobile"/>
    <n v="0"/>
    <n v="1"/>
    <n v="1"/>
    <n v="9.99"/>
    <n v="9.99"/>
  </r>
  <r>
    <n v="6406"/>
    <s v="Other"/>
    <n v="34"/>
    <x v="6"/>
    <x v="0"/>
    <n v="152"/>
    <n v="22"/>
    <n v="0.04"/>
    <s v="Web"/>
    <n v="14"/>
    <n v="0"/>
    <n v="0"/>
    <n v="0"/>
    <n v="0"/>
  </r>
  <r>
    <n v="6407"/>
    <s v="Other"/>
    <n v="24"/>
    <x v="4"/>
    <x v="3"/>
    <n v="75"/>
    <n v="29"/>
    <n v="0.26"/>
    <s v="Mobile"/>
    <n v="0"/>
    <n v="1"/>
    <n v="0"/>
    <n v="4.99"/>
    <n v="0"/>
  </r>
  <r>
    <n v="6408"/>
    <s v="Female"/>
    <n v="21"/>
    <x v="6"/>
    <x v="2"/>
    <n v="108"/>
    <n v="93"/>
    <n v="0.24"/>
    <s v="Web"/>
    <n v="0"/>
    <n v="1"/>
    <n v="0"/>
    <n v="9.99"/>
    <n v="0"/>
  </r>
  <r>
    <n v="6409"/>
    <s v="Female"/>
    <n v="21"/>
    <x v="3"/>
    <x v="1"/>
    <n v="126"/>
    <n v="96"/>
    <n v="0.02"/>
    <s v="Mobile"/>
    <n v="0"/>
    <n v="1"/>
    <n v="0"/>
    <n v="14.99"/>
    <n v="0"/>
  </r>
  <r>
    <n v="6410"/>
    <s v="Male"/>
    <n v="55"/>
    <x v="7"/>
    <x v="1"/>
    <n v="160"/>
    <n v="81"/>
    <n v="0.42"/>
    <s v="Mobile"/>
    <n v="0"/>
    <n v="1"/>
    <n v="1"/>
    <n v="14.99"/>
    <n v="14.99"/>
  </r>
  <r>
    <n v="6411"/>
    <s v="Male"/>
    <n v="30"/>
    <x v="2"/>
    <x v="0"/>
    <n v="26"/>
    <n v="15"/>
    <n v="0.59"/>
    <s v="Mobile"/>
    <n v="27"/>
    <n v="0"/>
    <n v="0"/>
    <n v="0"/>
    <n v="0"/>
  </r>
  <r>
    <n v="6412"/>
    <s v="Male"/>
    <n v="41"/>
    <x v="0"/>
    <x v="3"/>
    <n v="64"/>
    <n v="88"/>
    <n v="0.33"/>
    <s v="Web"/>
    <n v="0"/>
    <n v="1"/>
    <n v="1"/>
    <n v="4.99"/>
    <n v="4.99"/>
  </r>
  <r>
    <n v="6413"/>
    <s v="Other"/>
    <n v="31"/>
    <x v="6"/>
    <x v="3"/>
    <n v="299"/>
    <n v="52"/>
    <n v="0.21"/>
    <s v="Desktop"/>
    <n v="0"/>
    <n v="1"/>
    <n v="0"/>
    <n v="4.99"/>
    <n v="0"/>
  </r>
  <r>
    <n v="6414"/>
    <s v="Female"/>
    <n v="26"/>
    <x v="4"/>
    <x v="0"/>
    <n v="94"/>
    <n v="34"/>
    <n v="0.12"/>
    <s v="Web"/>
    <n v="15"/>
    <n v="0"/>
    <n v="1"/>
    <n v="0"/>
    <n v="0"/>
  </r>
  <r>
    <n v="6415"/>
    <s v="Male"/>
    <n v="17"/>
    <x v="1"/>
    <x v="1"/>
    <n v="191"/>
    <n v="24"/>
    <n v="0.02"/>
    <s v="Web"/>
    <n v="0"/>
    <n v="1"/>
    <n v="0"/>
    <n v="14.99"/>
    <n v="0"/>
  </r>
  <r>
    <n v="6416"/>
    <s v="Female"/>
    <n v="49"/>
    <x v="6"/>
    <x v="1"/>
    <n v="133"/>
    <n v="38"/>
    <n v="0.33"/>
    <s v="Desktop"/>
    <n v="0"/>
    <n v="1"/>
    <n v="0"/>
    <n v="14.99"/>
    <n v="0"/>
  </r>
  <r>
    <n v="6417"/>
    <s v="Male"/>
    <n v="51"/>
    <x v="6"/>
    <x v="1"/>
    <n v="92"/>
    <n v="58"/>
    <n v="0"/>
    <s v="Desktop"/>
    <n v="0"/>
    <n v="1"/>
    <n v="0"/>
    <n v="14.99"/>
    <n v="0"/>
  </r>
  <r>
    <n v="6418"/>
    <s v="Male"/>
    <n v="32"/>
    <x v="3"/>
    <x v="0"/>
    <n v="28"/>
    <n v="11"/>
    <n v="0.19"/>
    <s v="Mobile"/>
    <n v="41"/>
    <n v="0"/>
    <n v="0"/>
    <n v="0"/>
    <n v="0"/>
  </r>
  <r>
    <n v="6419"/>
    <s v="Other"/>
    <n v="57"/>
    <x v="6"/>
    <x v="2"/>
    <n v="22"/>
    <n v="2"/>
    <n v="0.18"/>
    <s v="Web"/>
    <n v="0"/>
    <n v="1"/>
    <n v="0"/>
    <n v="9.99"/>
    <n v="0"/>
  </r>
  <r>
    <n v="6420"/>
    <s v="Female"/>
    <n v="59"/>
    <x v="7"/>
    <x v="2"/>
    <n v="146"/>
    <n v="70"/>
    <n v="0.57999999999999996"/>
    <s v="Desktop"/>
    <n v="0"/>
    <n v="1"/>
    <n v="0"/>
    <n v="9.99"/>
    <n v="0"/>
  </r>
  <r>
    <n v="6421"/>
    <s v="Other"/>
    <n v="53"/>
    <x v="3"/>
    <x v="1"/>
    <n v="201"/>
    <n v="19"/>
    <n v="0.15"/>
    <s v="Web"/>
    <n v="0"/>
    <n v="1"/>
    <n v="0"/>
    <n v="14.99"/>
    <n v="0"/>
  </r>
  <r>
    <n v="6422"/>
    <s v="Male"/>
    <n v="57"/>
    <x v="0"/>
    <x v="3"/>
    <n v="211"/>
    <n v="7"/>
    <n v="0.6"/>
    <s v="Web"/>
    <n v="0"/>
    <n v="1"/>
    <n v="0"/>
    <n v="4.99"/>
    <n v="0"/>
  </r>
  <r>
    <n v="6423"/>
    <s v="Male"/>
    <n v="54"/>
    <x v="4"/>
    <x v="0"/>
    <n v="185"/>
    <n v="20"/>
    <n v="0.02"/>
    <s v="Web"/>
    <n v="24"/>
    <n v="0"/>
    <n v="0"/>
    <n v="0"/>
    <n v="0"/>
  </r>
  <r>
    <n v="6424"/>
    <s v="Other"/>
    <n v="21"/>
    <x v="4"/>
    <x v="3"/>
    <n v="61"/>
    <n v="13"/>
    <n v="0.6"/>
    <s v="Desktop"/>
    <n v="0"/>
    <n v="1"/>
    <n v="0"/>
    <n v="4.99"/>
    <n v="0"/>
  </r>
  <r>
    <n v="6425"/>
    <s v="Female"/>
    <n v="31"/>
    <x v="2"/>
    <x v="2"/>
    <n v="56"/>
    <n v="19"/>
    <n v="0.47"/>
    <s v="Web"/>
    <n v="0"/>
    <n v="1"/>
    <n v="1"/>
    <n v="9.99"/>
    <n v="9.99"/>
  </r>
  <r>
    <n v="6426"/>
    <s v="Female"/>
    <n v="28"/>
    <x v="6"/>
    <x v="1"/>
    <n v="225"/>
    <n v="73"/>
    <n v="0.35"/>
    <s v="Mobile"/>
    <n v="0"/>
    <n v="1"/>
    <n v="1"/>
    <n v="14.99"/>
    <n v="14.99"/>
  </r>
  <r>
    <n v="6427"/>
    <s v="Other"/>
    <n v="46"/>
    <x v="4"/>
    <x v="0"/>
    <n v="126"/>
    <n v="98"/>
    <n v="0.03"/>
    <s v="Web"/>
    <n v="9"/>
    <n v="0"/>
    <n v="0"/>
    <n v="0"/>
    <n v="0"/>
  </r>
  <r>
    <n v="6428"/>
    <s v="Female"/>
    <n v="23"/>
    <x v="3"/>
    <x v="0"/>
    <n v="203"/>
    <n v="32"/>
    <n v="0.35"/>
    <s v="Desktop"/>
    <n v="48"/>
    <n v="0"/>
    <n v="0"/>
    <n v="0"/>
    <n v="0"/>
  </r>
  <r>
    <n v="6429"/>
    <s v="Female"/>
    <n v="47"/>
    <x v="7"/>
    <x v="0"/>
    <n v="114"/>
    <n v="86"/>
    <n v="0.16"/>
    <s v="Mobile"/>
    <n v="20"/>
    <n v="0"/>
    <n v="0"/>
    <n v="0"/>
    <n v="0"/>
  </r>
  <r>
    <n v="6430"/>
    <s v="Other"/>
    <n v="38"/>
    <x v="0"/>
    <x v="0"/>
    <n v="279"/>
    <n v="83"/>
    <n v="0.55000000000000004"/>
    <s v="Mobile"/>
    <n v="18"/>
    <n v="0"/>
    <n v="0"/>
    <n v="0"/>
    <n v="0"/>
  </r>
  <r>
    <n v="6431"/>
    <s v="Female"/>
    <n v="45"/>
    <x v="2"/>
    <x v="2"/>
    <n v="83"/>
    <n v="40"/>
    <n v="0.52"/>
    <s v="Web"/>
    <n v="0"/>
    <n v="1"/>
    <n v="0"/>
    <n v="9.99"/>
    <n v="0"/>
  </r>
  <r>
    <n v="6432"/>
    <s v="Female"/>
    <n v="49"/>
    <x v="2"/>
    <x v="1"/>
    <n v="55"/>
    <n v="12"/>
    <n v="0.21"/>
    <s v="Web"/>
    <n v="0"/>
    <n v="1"/>
    <n v="0"/>
    <n v="14.99"/>
    <n v="0"/>
  </r>
  <r>
    <n v="6433"/>
    <s v="Male"/>
    <n v="43"/>
    <x v="5"/>
    <x v="0"/>
    <n v="205"/>
    <n v="12"/>
    <n v="0.08"/>
    <s v="Web"/>
    <n v="26"/>
    <n v="0"/>
    <n v="1"/>
    <n v="0"/>
    <n v="0"/>
  </r>
  <r>
    <n v="6434"/>
    <s v="Other"/>
    <n v="45"/>
    <x v="2"/>
    <x v="3"/>
    <n v="93"/>
    <n v="96"/>
    <n v="0.5"/>
    <s v="Mobile"/>
    <n v="0"/>
    <n v="1"/>
    <n v="0"/>
    <n v="4.99"/>
    <n v="0"/>
  </r>
  <r>
    <n v="6435"/>
    <s v="Female"/>
    <n v="57"/>
    <x v="0"/>
    <x v="0"/>
    <n v="247"/>
    <n v="32"/>
    <n v="0.32"/>
    <s v="Desktop"/>
    <n v="36"/>
    <n v="0"/>
    <n v="1"/>
    <n v="0"/>
    <n v="0"/>
  </r>
  <r>
    <n v="6436"/>
    <s v="Other"/>
    <n v="17"/>
    <x v="3"/>
    <x v="0"/>
    <n v="23"/>
    <n v="75"/>
    <n v="0.16"/>
    <s v="Mobile"/>
    <n v="46"/>
    <n v="0"/>
    <n v="0"/>
    <n v="0"/>
    <n v="0"/>
  </r>
  <r>
    <n v="6437"/>
    <s v="Other"/>
    <n v="46"/>
    <x v="2"/>
    <x v="0"/>
    <n v="68"/>
    <n v="92"/>
    <n v="0.43"/>
    <s v="Desktop"/>
    <n v="34"/>
    <n v="0"/>
    <n v="1"/>
    <n v="0"/>
    <n v="0"/>
  </r>
  <r>
    <n v="6438"/>
    <s v="Other"/>
    <n v="59"/>
    <x v="3"/>
    <x v="2"/>
    <n v="137"/>
    <n v="33"/>
    <n v="0"/>
    <s v="Mobile"/>
    <n v="0"/>
    <n v="1"/>
    <n v="0"/>
    <n v="9.99"/>
    <n v="0"/>
  </r>
  <r>
    <n v="6439"/>
    <s v="Male"/>
    <n v="29"/>
    <x v="5"/>
    <x v="1"/>
    <n v="31"/>
    <n v="32"/>
    <n v="0.09"/>
    <s v="Web"/>
    <n v="0"/>
    <n v="1"/>
    <n v="0"/>
    <n v="14.99"/>
    <n v="0"/>
  </r>
  <r>
    <n v="6440"/>
    <s v="Male"/>
    <n v="51"/>
    <x v="3"/>
    <x v="0"/>
    <n v="30"/>
    <n v="46"/>
    <n v="0.34"/>
    <s v="Web"/>
    <n v="28"/>
    <n v="0"/>
    <n v="0"/>
    <n v="0"/>
    <n v="0"/>
  </r>
  <r>
    <n v="6441"/>
    <s v="Male"/>
    <n v="32"/>
    <x v="1"/>
    <x v="0"/>
    <n v="62"/>
    <n v="43"/>
    <n v="0.01"/>
    <s v="Desktop"/>
    <n v="47"/>
    <n v="0"/>
    <n v="0"/>
    <n v="0"/>
    <n v="0"/>
  </r>
  <r>
    <n v="6442"/>
    <s v="Other"/>
    <n v="21"/>
    <x v="2"/>
    <x v="3"/>
    <n v="143"/>
    <n v="6"/>
    <n v="0.36"/>
    <s v="Web"/>
    <n v="0"/>
    <n v="1"/>
    <n v="0"/>
    <n v="4.99"/>
    <n v="0"/>
  </r>
  <r>
    <n v="6443"/>
    <s v="Female"/>
    <n v="39"/>
    <x v="0"/>
    <x v="0"/>
    <n v="112"/>
    <n v="35"/>
    <n v="0.56000000000000005"/>
    <s v="Mobile"/>
    <n v="16"/>
    <n v="0"/>
    <n v="0"/>
    <n v="0"/>
    <n v="0"/>
  </r>
  <r>
    <n v="6444"/>
    <s v="Other"/>
    <n v="52"/>
    <x v="6"/>
    <x v="1"/>
    <n v="98"/>
    <n v="35"/>
    <n v="0.23"/>
    <s v="Mobile"/>
    <n v="0"/>
    <n v="1"/>
    <n v="0"/>
    <n v="14.99"/>
    <n v="0"/>
  </r>
  <r>
    <n v="6445"/>
    <s v="Other"/>
    <n v="25"/>
    <x v="6"/>
    <x v="1"/>
    <n v="81"/>
    <n v="99"/>
    <n v="0.39"/>
    <s v="Mobile"/>
    <n v="0"/>
    <n v="1"/>
    <n v="0"/>
    <n v="14.99"/>
    <n v="0"/>
  </r>
  <r>
    <n v="6446"/>
    <s v="Other"/>
    <n v="46"/>
    <x v="6"/>
    <x v="3"/>
    <n v="165"/>
    <n v="87"/>
    <n v="0.56999999999999995"/>
    <s v="Desktop"/>
    <n v="0"/>
    <n v="1"/>
    <n v="0"/>
    <n v="4.99"/>
    <n v="0"/>
  </r>
  <r>
    <n v="6447"/>
    <s v="Female"/>
    <n v="31"/>
    <x v="7"/>
    <x v="1"/>
    <n v="151"/>
    <n v="93"/>
    <n v="0.08"/>
    <s v="Web"/>
    <n v="0"/>
    <n v="1"/>
    <n v="0"/>
    <n v="14.99"/>
    <n v="0"/>
  </r>
  <r>
    <n v="6448"/>
    <s v="Male"/>
    <n v="45"/>
    <x v="5"/>
    <x v="1"/>
    <n v="123"/>
    <n v="97"/>
    <n v="0.02"/>
    <s v="Mobile"/>
    <n v="0"/>
    <n v="1"/>
    <n v="0"/>
    <n v="14.99"/>
    <n v="0"/>
  </r>
  <r>
    <n v="6449"/>
    <s v="Other"/>
    <n v="29"/>
    <x v="3"/>
    <x v="0"/>
    <n v="216"/>
    <n v="86"/>
    <n v="0.53"/>
    <s v="Web"/>
    <n v="28"/>
    <n v="0"/>
    <n v="1"/>
    <n v="0"/>
    <n v="0"/>
  </r>
  <r>
    <n v="6450"/>
    <s v="Female"/>
    <n v="20"/>
    <x v="1"/>
    <x v="3"/>
    <n v="293"/>
    <n v="17"/>
    <n v="0.2"/>
    <s v="Web"/>
    <n v="0"/>
    <n v="1"/>
    <n v="1"/>
    <n v="4.99"/>
    <n v="4.99"/>
  </r>
  <r>
    <n v="6451"/>
    <s v="Other"/>
    <n v="36"/>
    <x v="0"/>
    <x v="2"/>
    <n v="262"/>
    <n v="90"/>
    <n v="0.39"/>
    <s v="Desktop"/>
    <n v="0"/>
    <n v="1"/>
    <n v="1"/>
    <n v="9.99"/>
    <n v="9.99"/>
  </r>
  <r>
    <n v="6452"/>
    <s v="Male"/>
    <n v="38"/>
    <x v="2"/>
    <x v="0"/>
    <n v="196"/>
    <n v="83"/>
    <n v="0.03"/>
    <s v="Desktop"/>
    <n v="31"/>
    <n v="0"/>
    <n v="0"/>
    <n v="0"/>
    <n v="0"/>
  </r>
  <r>
    <n v="6453"/>
    <s v="Female"/>
    <n v="41"/>
    <x v="4"/>
    <x v="1"/>
    <n v="190"/>
    <n v="24"/>
    <n v="0.5"/>
    <s v="Mobile"/>
    <n v="0"/>
    <n v="1"/>
    <n v="0"/>
    <n v="14.99"/>
    <n v="0"/>
  </r>
  <r>
    <n v="6454"/>
    <s v="Other"/>
    <n v="50"/>
    <x v="2"/>
    <x v="3"/>
    <n v="266"/>
    <n v="49"/>
    <n v="0.35"/>
    <s v="Desktop"/>
    <n v="0"/>
    <n v="1"/>
    <n v="0"/>
    <n v="4.99"/>
    <n v="0"/>
  </r>
  <r>
    <n v="6455"/>
    <s v="Other"/>
    <n v="19"/>
    <x v="1"/>
    <x v="2"/>
    <n v="200"/>
    <n v="34"/>
    <n v="0.14000000000000001"/>
    <s v="Web"/>
    <n v="0"/>
    <n v="1"/>
    <n v="1"/>
    <n v="9.99"/>
    <n v="9.99"/>
  </r>
  <r>
    <n v="6456"/>
    <s v="Other"/>
    <n v="54"/>
    <x v="5"/>
    <x v="0"/>
    <n v="60"/>
    <n v="46"/>
    <n v="0.52"/>
    <s v="Desktop"/>
    <n v="25"/>
    <n v="0"/>
    <n v="1"/>
    <n v="0"/>
    <n v="0"/>
  </r>
  <r>
    <n v="6457"/>
    <s v="Other"/>
    <n v="46"/>
    <x v="4"/>
    <x v="0"/>
    <n v="154"/>
    <n v="38"/>
    <n v="0.25"/>
    <s v="Web"/>
    <n v="6"/>
    <n v="0"/>
    <n v="0"/>
    <n v="0"/>
    <n v="0"/>
  </r>
  <r>
    <n v="6458"/>
    <s v="Female"/>
    <n v="30"/>
    <x v="3"/>
    <x v="1"/>
    <n v="91"/>
    <n v="47"/>
    <n v="0.33"/>
    <s v="Mobile"/>
    <n v="0"/>
    <n v="1"/>
    <n v="0"/>
    <n v="14.99"/>
    <n v="0"/>
  </r>
  <r>
    <n v="6459"/>
    <s v="Male"/>
    <n v="16"/>
    <x v="4"/>
    <x v="0"/>
    <n v="104"/>
    <n v="99"/>
    <n v="0.11"/>
    <s v="Mobile"/>
    <n v="11"/>
    <n v="0"/>
    <n v="0"/>
    <n v="0"/>
    <n v="0"/>
  </r>
  <r>
    <n v="6460"/>
    <s v="Other"/>
    <n v="33"/>
    <x v="3"/>
    <x v="1"/>
    <n v="217"/>
    <n v="16"/>
    <n v="0.39"/>
    <s v="Mobile"/>
    <n v="0"/>
    <n v="1"/>
    <n v="0"/>
    <n v="14.99"/>
    <n v="0"/>
  </r>
  <r>
    <n v="6461"/>
    <s v="Other"/>
    <n v="47"/>
    <x v="7"/>
    <x v="3"/>
    <n v="187"/>
    <n v="99"/>
    <n v="0.48"/>
    <s v="Web"/>
    <n v="0"/>
    <n v="1"/>
    <n v="0"/>
    <n v="4.99"/>
    <n v="0"/>
  </r>
  <r>
    <n v="6462"/>
    <s v="Male"/>
    <n v="38"/>
    <x v="6"/>
    <x v="1"/>
    <n v="98"/>
    <n v="7"/>
    <n v="0.55000000000000004"/>
    <s v="Desktop"/>
    <n v="0"/>
    <n v="1"/>
    <n v="1"/>
    <n v="14.99"/>
    <n v="14.99"/>
  </r>
  <r>
    <n v="6463"/>
    <s v="Other"/>
    <n v="43"/>
    <x v="6"/>
    <x v="1"/>
    <n v="188"/>
    <n v="85"/>
    <n v="0.22"/>
    <s v="Web"/>
    <n v="0"/>
    <n v="1"/>
    <n v="1"/>
    <n v="14.99"/>
    <n v="14.99"/>
  </r>
  <r>
    <n v="6464"/>
    <s v="Female"/>
    <n v="33"/>
    <x v="5"/>
    <x v="0"/>
    <n v="244"/>
    <n v="57"/>
    <n v="0.42"/>
    <s v="Desktop"/>
    <n v="28"/>
    <n v="0"/>
    <n v="1"/>
    <n v="0"/>
    <n v="0"/>
  </r>
  <r>
    <n v="6465"/>
    <s v="Female"/>
    <n v="49"/>
    <x v="6"/>
    <x v="0"/>
    <n v="164"/>
    <n v="84"/>
    <n v="0.05"/>
    <s v="Mobile"/>
    <n v="7"/>
    <n v="0"/>
    <n v="0"/>
    <n v="0"/>
    <n v="0"/>
  </r>
  <r>
    <n v="6466"/>
    <s v="Female"/>
    <n v="50"/>
    <x v="2"/>
    <x v="1"/>
    <n v="295"/>
    <n v="61"/>
    <n v="0.1"/>
    <s v="Desktop"/>
    <n v="0"/>
    <n v="1"/>
    <n v="0"/>
    <n v="14.99"/>
    <n v="0"/>
  </r>
  <r>
    <n v="6467"/>
    <s v="Other"/>
    <n v="55"/>
    <x v="1"/>
    <x v="0"/>
    <n v="220"/>
    <n v="13"/>
    <n v="0.26"/>
    <s v="Mobile"/>
    <n v="21"/>
    <n v="0"/>
    <n v="1"/>
    <n v="0"/>
    <n v="0"/>
  </r>
  <r>
    <n v="6468"/>
    <s v="Male"/>
    <n v="48"/>
    <x v="6"/>
    <x v="0"/>
    <n v="46"/>
    <n v="58"/>
    <n v="0.56999999999999995"/>
    <s v="Web"/>
    <n v="21"/>
    <n v="0"/>
    <n v="1"/>
    <n v="0"/>
    <n v="0"/>
  </r>
  <r>
    <n v="6469"/>
    <s v="Male"/>
    <n v="51"/>
    <x v="7"/>
    <x v="1"/>
    <n v="127"/>
    <n v="59"/>
    <n v="0.21"/>
    <s v="Web"/>
    <n v="0"/>
    <n v="1"/>
    <n v="0"/>
    <n v="14.99"/>
    <n v="0"/>
  </r>
  <r>
    <n v="6470"/>
    <s v="Other"/>
    <n v="23"/>
    <x v="2"/>
    <x v="1"/>
    <n v="270"/>
    <n v="72"/>
    <n v="0.21"/>
    <s v="Web"/>
    <n v="0"/>
    <n v="1"/>
    <n v="1"/>
    <n v="14.99"/>
    <n v="14.99"/>
  </r>
  <r>
    <n v="6471"/>
    <s v="Male"/>
    <n v="47"/>
    <x v="1"/>
    <x v="0"/>
    <n v="151"/>
    <n v="88"/>
    <n v="0.44"/>
    <s v="Web"/>
    <n v="31"/>
    <n v="0"/>
    <n v="0"/>
    <n v="0"/>
    <n v="0"/>
  </r>
  <r>
    <n v="6472"/>
    <s v="Female"/>
    <n v="42"/>
    <x v="6"/>
    <x v="0"/>
    <n v="122"/>
    <n v="17"/>
    <n v="0.4"/>
    <s v="Web"/>
    <n v="24"/>
    <n v="0"/>
    <n v="0"/>
    <n v="0"/>
    <n v="0"/>
  </r>
  <r>
    <n v="6473"/>
    <s v="Female"/>
    <n v="23"/>
    <x v="2"/>
    <x v="3"/>
    <n v="170"/>
    <n v="17"/>
    <n v="0.14000000000000001"/>
    <s v="Desktop"/>
    <n v="0"/>
    <n v="1"/>
    <n v="0"/>
    <n v="4.99"/>
    <n v="0"/>
  </r>
  <r>
    <n v="6474"/>
    <s v="Female"/>
    <n v="42"/>
    <x v="2"/>
    <x v="3"/>
    <n v="294"/>
    <n v="79"/>
    <n v="0.45"/>
    <s v="Mobile"/>
    <n v="0"/>
    <n v="1"/>
    <n v="0"/>
    <n v="4.99"/>
    <n v="0"/>
  </r>
  <r>
    <n v="6475"/>
    <s v="Female"/>
    <n v="28"/>
    <x v="0"/>
    <x v="0"/>
    <n v="29"/>
    <n v="72"/>
    <n v="0.34"/>
    <s v="Desktop"/>
    <n v="41"/>
    <n v="0"/>
    <n v="0"/>
    <n v="0"/>
    <n v="0"/>
  </r>
  <r>
    <n v="6476"/>
    <s v="Male"/>
    <n v="33"/>
    <x v="5"/>
    <x v="3"/>
    <n v="77"/>
    <n v="56"/>
    <n v="0.34"/>
    <s v="Web"/>
    <n v="0"/>
    <n v="1"/>
    <n v="0"/>
    <n v="4.99"/>
    <n v="0"/>
  </r>
  <r>
    <n v="6477"/>
    <s v="Male"/>
    <n v="20"/>
    <x v="0"/>
    <x v="1"/>
    <n v="10"/>
    <n v="1"/>
    <n v="0.56000000000000005"/>
    <s v="Mobile"/>
    <n v="0"/>
    <n v="1"/>
    <n v="0"/>
    <n v="14.99"/>
    <n v="0"/>
  </r>
  <r>
    <n v="6478"/>
    <s v="Female"/>
    <n v="47"/>
    <x v="1"/>
    <x v="0"/>
    <n v="34"/>
    <n v="14"/>
    <n v="0.44"/>
    <s v="Desktop"/>
    <n v="34"/>
    <n v="0"/>
    <n v="0"/>
    <n v="0"/>
    <n v="0"/>
  </r>
  <r>
    <n v="6479"/>
    <s v="Male"/>
    <n v="35"/>
    <x v="7"/>
    <x v="2"/>
    <n v="172"/>
    <n v="25"/>
    <n v="0.42"/>
    <s v="Web"/>
    <n v="0"/>
    <n v="1"/>
    <n v="1"/>
    <n v="9.99"/>
    <n v="9.99"/>
  </r>
  <r>
    <n v="6480"/>
    <s v="Male"/>
    <n v="35"/>
    <x v="7"/>
    <x v="3"/>
    <n v="78"/>
    <n v="8"/>
    <n v="0.05"/>
    <s v="Mobile"/>
    <n v="0"/>
    <n v="1"/>
    <n v="1"/>
    <n v="4.99"/>
    <n v="4.99"/>
  </r>
  <r>
    <n v="6481"/>
    <s v="Male"/>
    <n v="54"/>
    <x v="7"/>
    <x v="1"/>
    <n v="297"/>
    <n v="53"/>
    <n v="0.34"/>
    <s v="Web"/>
    <n v="0"/>
    <n v="1"/>
    <n v="1"/>
    <n v="14.99"/>
    <n v="14.99"/>
  </r>
  <r>
    <n v="6482"/>
    <s v="Male"/>
    <n v="47"/>
    <x v="4"/>
    <x v="0"/>
    <n v="18"/>
    <n v="22"/>
    <n v="0.59"/>
    <s v="Mobile"/>
    <n v="43"/>
    <n v="0"/>
    <n v="0"/>
    <n v="0"/>
    <n v="0"/>
  </r>
  <r>
    <n v="6483"/>
    <s v="Other"/>
    <n v="49"/>
    <x v="1"/>
    <x v="1"/>
    <n v="75"/>
    <n v="81"/>
    <n v="0.56999999999999995"/>
    <s v="Mobile"/>
    <n v="0"/>
    <n v="1"/>
    <n v="1"/>
    <n v="14.99"/>
    <n v="14.99"/>
  </r>
  <r>
    <n v="6484"/>
    <s v="Female"/>
    <n v="44"/>
    <x v="7"/>
    <x v="0"/>
    <n v="75"/>
    <n v="21"/>
    <n v="0.17"/>
    <s v="Mobile"/>
    <n v="19"/>
    <n v="0"/>
    <n v="0"/>
    <n v="0"/>
    <n v="0"/>
  </r>
  <r>
    <n v="6485"/>
    <s v="Other"/>
    <n v="21"/>
    <x v="7"/>
    <x v="2"/>
    <n v="82"/>
    <n v="73"/>
    <n v="0.26"/>
    <s v="Mobile"/>
    <n v="0"/>
    <n v="1"/>
    <n v="1"/>
    <n v="9.99"/>
    <n v="9.99"/>
  </r>
  <r>
    <n v="6486"/>
    <s v="Female"/>
    <n v="44"/>
    <x v="2"/>
    <x v="1"/>
    <n v="89"/>
    <n v="80"/>
    <n v="0.32"/>
    <s v="Web"/>
    <n v="0"/>
    <n v="1"/>
    <n v="0"/>
    <n v="14.99"/>
    <n v="0"/>
  </r>
  <r>
    <n v="6487"/>
    <s v="Other"/>
    <n v="49"/>
    <x v="1"/>
    <x v="1"/>
    <n v="242"/>
    <n v="93"/>
    <n v="0.28999999999999998"/>
    <s v="Mobile"/>
    <n v="0"/>
    <n v="1"/>
    <n v="0"/>
    <n v="14.99"/>
    <n v="0"/>
  </r>
  <r>
    <n v="6488"/>
    <s v="Other"/>
    <n v="30"/>
    <x v="1"/>
    <x v="3"/>
    <n v="50"/>
    <n v="29"/>
    <n v="0.16"/>
    <s v="Mobile"/>
    <n v="0"/>
    <n v="1"/>
    <n v="0"/>
    <n v="4.99"/>
    <n v="0"/>
  </r>
  <r>
    <n v="6489"/>
    <s v="Female"/>
    <n v="48"/>
    <x v="2"/>
    <x v="0"/>
    <n v="168"/>
    <n v="25"/>
    <n v="0.19"/>
    <s v="Web"/>
    <n v="38"/>
    <n v="0"/>
    <n v="0"/>
    <n v="0"/>
    <n v="0"/>
  </r>
  <r>
    <n v="6490"/>
    <s v="Other"/>
    <n v="38"/>
    <x v="7"/>
    <x v="1"/>
    <n v="217"/>
    <n v="38"/>
    <n v="0.34"/>
    <s v="Desktop"/>
    <n v="0"/>
    <n v="1"/>
    <n v="0"/>
    <n v="14.99"/>
    <n v="0"/>
  </r>
  <r>
    <n v="6491"/>
    <s v="Female"/>
    <n v="48"/>
    <x v="0"/>
    <x v="3"/>
    <n v="254"/>
    <n v="16"/>
    <n v="0.45"/>
    <s v="Mobile"/>
    <n v="0"/>
    <n v="1"/>
    <n v="0"/>
    <n v="4.99"/>
    <n v="0"/>
  </r>
  <r>
    <n v="6492"/>
    <s v="Female"/>
    <n v="44"/>
    <x v="7"/>
    <x v="3"/>
    <n v="190"/>
    <n v="36"/>
    <n v="0.27"/>
    <s v="Web"/>
    <n v="0"/>
    <n v="1"/>
    <n v="0"/>
    <n v="4.99"/>
    <n v="0"/>
  </r>
  <r>
    <n v="6493"/>
    <s v="Female"/>
    <n v="26"/>
    <x v="7"/>
    <x v="1"/>
    <n v="123"/>
    <n v="19"/>
    <n v="0.13"/>
    <s v="Web"/>
    <n v="0"/>
    <n v="1"/>
    <n v="1"/>
    <n v="14.99"/>
    <n v="14.99"/>
  </r>
  <r>
    <n v="6494"/>
    <s v="Male"/>
    <n v="34"/>
    <x v="0"/>
    <x v="1"/>
    <n v="47"/>
    <n v="58"/>
    <n v="0.59"/>
    <s v="Web"/>
    <n v="0"/>
    <n v="1"/>
    <n v="1"/>
    <n v="14.99"/>
    <n v="14.99"/>
  </r>
  <r>
    <n v="6495"/>
    <s v="Female"/>
    <n v="41"/>
    <x v="4"/>
    <x v="2"/>
    <n v="194"/>
    <n v="82"/>
    <n v="0.17"/>
    <s v="Web"/>
    <n v="0"/>
    <n v="1"/>
    <n v="0"/>
    <n v="9.99"/>
    <n v="0"/>
  </r>
  <r>
    <n v="6496"/>
    <s v="Male"/>
    <n v="44"/>
    <x v="6"/>
    <x v="1"/>
    <n v="67"/>
    <n v="66"/>
    <n v="0.53"/>
    <s v="Mobile"/>
    <n v="0"/>
    <n v="1"/>
    <n v="0"/>
    <n v="14.99"/>
    <n v="0"/>
  </r>
  <r>
    <n v="6497"/>
    <s v="Male"/>
    <n v="40"/>
    <x v="2"/>
    <x v="0"/>
    <n v="296"/>
    <n v="41"/>
    <n v="0.23"/>
    <s v="Desktop"/>
    <n v="13"/>
    <n v="0"/>
    <n v="0"/>
    <n v="0"/>
    <n v="0"/>
  </r>
  <r>
    <n v="6498"/>
    <s v="Female"/>
    <n v="51"/>
    <x v="6"/>
    <x v="2"/>
    <n v="118"/>
    <n v="80"/>
    <n v="0.23"/>
    <s v="Web"/>
    <n v="0"/>
    <n v="1"/>
    <n v="0"/>
    <n v="9.99"/>
    <n v="0"/>
  </r>
  <r>
    <n v="6499"/>
    <s v="Other"/>
    <n v="48"/>
    <x v="4"/>
    <x v="1"/>
    <n v="284"/>
    <n v="97"/>
    <n v="0.15"/>
    <s v="Desktop"/>
    <n v="0"/>
    <n v="1"/>
    <n v="0"/>
    <n v="14.99"/>
    <n v="0"/>
  </r>
  <r>
    <n v="6500"/>
    <s v="Female"/>
    <n v="56"/>
    <x v="7"/>
    <x v="3"/>
    <n v="245"/>
    <n v="10"/>
    <n v="0.5"/>
    <s v="Web"/>
    <n v="0"/>
    <n v="1"/>
    <n v="0"/>
    <n v="4.99"/>
    <n v="0"/>
  </r>
  <r>
    <n v="6501"/>
    <s v="Female"/>
    <n v="43"/>
    <x v="6"/>
    <x v="2"/>
    <n v="149"/>
    <n v="37"/>
    <n v="0.26"/>
    <s v="Desktop"/>
    <n v="0"/>
    <n v="1"/>
    <n v="1"/>
    <n v="9.99"/>
    <n v="9.99"/>
  </r>
  <r>
    <n v="6502"/>
    <s v="Other"/>
    <n v="47"/>
    <x v="1"/>
    <x v="1"/>
    <n v="281"/>
    <n v="31"/>
    <n v="0.19"/>
    <s v="Mobile"/>
    <n v="0"/>
    <n v="1"/>
    <n v="0"/>
    <n v="14.99"/>
    <n v="0"/>
  </r>
  <r>
    <n v="6503"/>
    <s v="Male"/>
    <n v="36"/>
    <x v="0"/>
    <x v="1"/>
    <n v="265"/>
    <n v="69"/>
    <n v="0.16"/>
    <s v="Desktop"/>
    <n v="0"/>
    <n v="1"/>
    <n v="0"/>
    <n v="14.99"/>
    <n v="0"/>
  </r>
  <r>
    <n v="6504"/>
    <s v="Male"/>
    <n v="27"/>
    <x v="6"/>
    <x v="3"/>
    <n v="56"/>
    <n v="31"/>
    <n v="0.16"/>
    <s v="Desktop"/>
    <n v="0"/>
    <n v="1"/>
    <n v="0"/>
    <n v="4.99"/>
    <n v="0"/>
  </r>
  <r>
    <n v="6505"/>
    <s v="Male"/>
    <n v="53"/>
    <x v="5"/>
    <x v="3"/>
    <n v="43"/>
    <n v="89"/>
    <n v="0.53"/>
    <s v="Desktop"/>
    <n v="0"/>
    <n v="1"/>
    <n v="0"/>
    <n v="4.99"/>
    <n v="0"/>
  </r>
  <r>
    <n v="6506"/>
    <s v="Female"/>
    <n v="27"/>
    <x v="6"/>
    <x v="3"/>
    <n v="220"/>
    <n v="93"/>
    <n v="0.34"/>
    <s v="Mobile"/>
    <n v="0"/>
    <n v="1"/>
    <n v="0"/>
    <n v="4.99"/>
    <n v="0"/>
  </r>
  <r>
    <n v="6507"/>
    <s v="Female"/>
    <n v="39"/>
    <x v="2"/>
    <x v="1"/>
    <n v="53"/>
    <n v="39"/>
    <n v="0.01"/>
    <s v="Web"/>
    <n v="0"/>
    <n v="1"/>
    <n v="0"/>
    <n v="14.99"/>
    <n v="0"/>
  </r>
  <r>
    <n v="6508"/>
    <s v="Male"/>
    <n v="39"/>
    <x v="5"/>
    <x v="1"/>
    <n v="146"/>
    <n v="32"/>
    <n v="0.41"/>
    <s v="Mobile"/>
    <n v="0"/>
    <n v="1"/>
    <n v="0"/>
    <n v="14.99"/>
    <n v="0"/>
  </r>
  <r>
    <n v="6509"/>
    <s v="Female"/>
    <n v="53"/>
    <x v="5"/>
    <x v="0"/>
    <n v="12"/>
    <n v="90"/>
    <n v="0.09"/>
    <s v="Mobile"/>
    <n v="39"/>
    <n v="0"/>
    <n v="0"/>
    <n v="0"/>
    <n v="0"/>
  </r>
  <r>
    <n v="6510"/>
    <s v="Other"/>
    <n v="18"/>
    <x v="4"/>
    <x v="1"/>
    <n v="256"/>
    <n v="17"/>
    <n v="0.1"/>
    <s v="Desktop"/>
    <n v="0"/>
    <n v="1"/>
    <n v="1"/>
    <n v="14.99"/>
    <n v="14.99"/>
  </r>
  <r>
    <n v="6511"/>
    <s v="Other"/>
    <n v="20"/>
    <x v="3"/>
    <x v="0"/>
    <n v="290"/>
    <n v="44"/>
    <n v="0.05"/>
    <s v="Web"/>
    <n v="20"/>
    <n v="0"/>
    <n v="0"/>
    <n v="0"/>
    <n v="0"/>
  </r>
  <r>
    <n v="6512"/>
    <s v="Other"/>
    <n v="20"/>
    <x v="3"/>
    <x v="0"/>
    <n v="123"/>
    <n v="80"/>
    <n v="0.33"/>
    <s v="Web"/>
    <n v="22"/>
    <n v="0"/>
    <n v="0"/>
    <n v="0"/>
    <n v="0"/>
  </r>
  <r>
    <n v="6513"/>
    <s v="Female"/>
    <n v="40"/>
    <x v="6"/>
    <x v="0"/>
    <n v="174"/>
    <n v="12"/>
    <n v="0.2"/>
    <s v="Desktop"/>
    <n v="15"/>
    <n v="0"/>
    <n v="1"/>
    <n v="0"/>
    <n v="0"/>
  </r>
  <r>
    <n v="6514"/>
    <s v="Female"/>
    <n v="18"/>
    <x v="5"/>
    <x v="1"/>
    <n v="64"/>
    <n v="41"/>
    <n v="0.54"/>
    <s v="Desktop"/>
    <n v="0"/>
    <n v="1"/>
    <n v="0"/>
    <n v="14.99"/>
    <n v="0"/>
  </r>
  <r>
    <n v="6515"/>
    <s v="Other"/>
    <n v="37"/>
    <x v="4"/>
    <x v="2"/>
    <n v="185"/>
    <n v="65"/>
    <n v="0.19"/>
    <s v="Web"/>
    <n v="0"/>
    <n v="1"/>
    <n v="0"/>
    <n v="9.99"/>
    <n v="0"/>
  </r>
  <r>
    <n v="6516"/>
    <s v="Other"/>
    <n v="31"/>
    <x v="1"/>
    <x v="2"/>
    <n v="85"/>
    <n v="92"/>
    <n v="0.18"/>
    <s v="Desktop"/>
    <n v="0"/>
    <n v="1"/>
    <n v="0"/>
    <n v="9.99"/>
    <n v="0"/>
  </r>
  <r>
    <n v="6517"/>
    <s v="Male"/>
    <n v="18"/>
    <x v="5"/>
    <x v="2"/>
    <n v="255"/>
    <n v="75"/>
    <n v="0.56999999999999995"/>
    <s v="Mobile"/>
    <n v="0"/>
    <n v="1"/>
    <n v="0"/>
    <n v="9.99"/>
    <n v="0"/>
  </r>
  <r>
    <n v="6518"/>
    <s v="Female"/>
    <n v="48"/>
    <x v="7"/>
    <x v="1"/>
    <n v="162"/>
    <n v="24"/>
    <n v="0.15"/>
    <s v="Desktop"/>
    <n v="0"/>
    <n v="1"/>
    <n v="0"/>
    <n v="14.99"/>
    <n v="0"/>
  </r>
  <r>
    <n v="6519"/>
    <s v="Female"/>
    <n v="37"/>
    <x v="0"/>
    <x v="1"/>
    <n v="262"/>
    <n v="53"/>
    <n v="0.55000000000000004"/>
    <s v="Desktop"/>
    <n v="0"/>
    <n v="1"/>
    <n v="0"/>
    <n v="14.99"/>
    <n v="0"/>
  </r>
  <r>
    <n v="6520"/>
    <s v="Other"/>
    <n v="21"/>
    <x v="7"/>
    <x v="2"/>
    <n v="230"/>
    <n v="46"/>
    <n v="0.44"/>
    <s v="Mobile"/>
    <n v="0"/>
    <n v="1"/>
    <n v="0"/>
    <n v="9.99"/>
    <n v="0"/>
  </r>
  <r>
    <n v="6521"/>
    <s v="Other"/>
    <n v="38"/>
    <x v="0"/>
    <x v="1"/>
    <n v="294"/>
    <n v="33"/>
    <n v="7.0000000000000007E-2"/>
    <s v="Desktop"/>
    <n v="0"/>
    <n v="1"/>
    <n v="0"/>
    <n v="14.99"/>
    <n v="0"/>
  </r>
  <r>
    <n v="6522"/>
    <s v="Female"/>
    <n v="18"/>
    <x v="7"/>
    <x v="0"/>
    <n v="146"/>
    <n v="85"/>
    <n v="0.51"/>
    <s v="Desktop"/>
    <n v="19"/>
    <n v="0"/>
    <n v="0"/>
    <n v="0"/>
    <n v="0"/>
  </r>
  <r>
    <n v="6523"/>
    <s v="Other"/>
    <n v="43"/>
    <x v="5"/>
    <x v="0"/>
    <n v="105"/>
    <n v="66"/>
    <n v="0.48"/>
    <s v="Desktop"/>
    <n v="36"/>
    <n v="0"/>
    <n v="0"/>
    <n v="0"/>
    <n v="0"/>
  </r>
  <r>
    <n v="6524"/>
    <s v="Other"/>
    <n v="51"/>
    <x v="6"/>
    <x v="2"/>
    <n v="147"/>
    <n v="77"/>
    <n v="0.09"/>
    <s v="Web"/>
    <n v="0"/>
    <n v="1"/>
    <n v="0"/>
    <n v="9.99"/>
    <n v="0"/>
  </r>
  <r>
    <n v="6525"/>
    <s v="Male"/>
    <n v="22"/>
    <x v="0"/>
    <x v="1"/>
    <n v="275"/>
    <n v="18"/>
    <n v="0.12"/>
    <s v="Desktop"/>
    <n v="0"/>
    <n v="1"/>
    <n v="0"/>
    <n v="14.99"/>
    <n v="0"/>
  </r>
  <r>
    <n v="6526"/>
    <s v="Female"/>
    <n v="43"/>
    <x v="2"/>
    <x v="3"/>
    <n v="299"/>
    <n v="39"/>
    <n v="0.12"/>
    <s v="Desktop"/>
    <n v="0"/>
    <n v="1"/>
    <n v="0"/>
    <n v="4.99"/>
    <n v="0"/>
  </r>
  <r>
    <n v="6527"/>
    <s v="Male"/>
    <n v="33"/>
    <x v="6"/>
    <x v="1"/>
    <n v="220"/>
    <n v="81"/>
    <n v="0.16"/>
    <s v="Mobile"/>
    <n v="0"/>
    <n v="1"/>
    <n v="0"/>
    <n v="14.99"/>
    <n v="0"/>
  </r>
  <r>
    <n v="6528"/>
    <s v="Male"/>
    <n v="54"/>
    <x v="0"/>
    <x v="3"/>
    <n v="272"/>
    <n v="98"/>
    <n v="0.57999999999999996"/>
    <s v="Web"/>
    <n v="0"/>
    <n v="1"/>
    <n v="0"/>
    <n v="4.99"/>
    <n v="0"/>
  </r>
  <r>
    <n v="6529"/>
    <s v="Female"/>
    <n v="20"/>
    <x v="7"/>
    <x v="3"/>
    <n v="264"/>
    <n v="80"/>
    <n v="0.3"/>
    <s v="Web"/>
    <n v="0"/>
    <n v="1"/>
    <n v="1"/>
    <n v="4.99"/>
    <n v="4.99"/>
  </r>
  <r>
    <n v="6530"/>
    <s v="Female"/>
    <n v="18"/>
    <x v="0"/>
    <x v="0"/>
    <n v="54"/>
    <n v="38"/>
    <n v="0.56000000000000005"/>
    <s v="Mobile"/>
    <n v="30"/>
    <n v="0"/>
    <n v="0"/>
    <n v="0"/>
    <n v="0"/>
  </r>
  <r>
    <n v="6531"/>
    <s v="Other"/>
    <n v="26"/>
    <x v="0"/>
    <x v="0"/>
    <n v="23"/>
    <n v="87"/>
    <n v="0.11"/>
    <s v="Mobile"/>
    <n v="27"/>
    <n v="0"/>
    <n v="0"/>
    <n v="0"/>
    <n v="0"/>
  </r>
  <r>
    <n v="6532"/>
    <s v="Other"/>
    <n v="30"/>
    <x v="0"/>
    <x v="3"/>
    <n v="43"/>
    <n v="43"/>
    <n v="0.08"/>
    <s v="Web"/>
    <n v="0"/>
    <n v="1"/>
    <n v="0"/>
    <n v="4.99"/>
    <n v="0"/>
  </r>
  <r>
    <n v="6533"/>
    <s v="Male"/>
    <n v="22"/>
    <x v="0"/>
    <x v="2"/>
    <n v="169"/>
    <n v="28"/>
    <n v="0.4"/>
    <s v="Mobile"/>
    <n v="0"/>
    <n v="1"/>
    <n v="1"/>
    <n v="9.99"/>
    <n v="9.99"/>
  </r>
  <r>
    <n v="6534"/>
    <s v="Male"/>
    <n v="24"/>
    <x v="1"/>
    <x v="0"/>
    <n v="52"/>
    <n v="21"/>
    <n v="0.52"/>
    <s v="Mobile"/>
    <n v="5"/>
    <n v="0"/>
    <n v="0"/>
    <n v="0"/>
    <n v="0"/>
  </r>
  <r>
    <n v="6535"/>
    <s v="Female"/>
    <n v="48"/>
    <x v="1"/>
    <x v="1"/>
    <n v="189"/>
    <n v="92"/>
    <n v="0.23"/>
    <s v="Web"/>
    <n v="0"/>
    <n v="1"/>
    <n v="0"/>
    <n v="14.99"/>
    <n v="0"/>
  </r>
  <r>
    <n v="6536"/>
    <s v="Male"/>
    <n v="31"/>
    <x v="3"/>
    <x v="2"/>
    <n v="14"/>
    <n v="92"/>
    <n v="0.31"/>
    <s v="Desktop"/>
    <n v="0"/>
    <n v="1"/>
    <n v="0"/>
    <n v="9.99"/>
    <n v="0"/>
  </r>
  <r>
    <n v="6537"/>
    <s v="Male"/>
    <n v="23"/>
    <x v="3"/>
    <x v="2"/>
    <n v="51"/>
    <n v="63"/>
    <n v="0.15"/>
    <s v="Web"/>
    <n v="0"/>
    <n v="1"/>
    <n v="0"/>
    <n v="9.99"/>
    <n v="0"/>
  </r>
  <r>
    <n v="6538"/>
    <s v="Male"/>
    <n v="33"/>
    <x v="0"/>
    <x v="3"/>
    <n v="41"/>
    <n v="22"/>
    <n v="0.55000000000000004"/>
    <s v="Desktop"/>
    <n v="0"/>
    <n v="1"/>
    <n v="1"/>
    <n v="4.99"/>
    <n v="4.99"/>
  </r>
  <r>
    <n v="6539"/>
    <s v="Male"/>
    <n v="38"/>
    <x v="3"/>
    <x v="1"/>
    <n v="98"/>
    <n v="19"/>
    <n v="0.42"/>
    <s v="Mobile"/>
    <n v="0"/>
    <n v="1"/>
    <n v="0"/>
    <n v="14.99"/>
    <n v="0"/>
  </r>
  <r>
    <n v="6540"/>
    <s v="Female"/>
    <n v="35"/>
    <x v="6"/>
    <x v="2"/>
    <n v="94"/>
    <n v="33"/>
    <n v="0.54"/>
    <s v="Mobile"/>
    <n v="0"/>
    <n v="1"/>
    <n v="1"/>
    <n v="9.99"/>
    <n v="9.99"/>
  </r>
  <r>
    <n v="6541"/>
    <s v="Male"/>
    <n v="23"/>
    <x v="1"/>
    <x v="3"/>
    <n v="261"/>
    <n v="60"/>
    <n v="0.4"/>
    <s v="Desktop"/>
    <n v="0"/>
    <n v="1"/>
    <n v="0"/>
    <n v="4.99"/>
    <n v="0"/>
  </r>
  <r>
    <n v="6542"/>
    <s v="Male"/>
    <n v="19"/>
    <x v="0"/>
    <x v="2"/>
    <n v="180"/>
    <n v="40"/>
    <n v="0.32"/>
    <s v="Web"/>
    <n v="0"/>
    <n v="1"/>
    <n v="0"/>
    <n v="9.99"/>
    <n v="0"/>
  </r>
  <r>
    <n v="6543"/>
    <s v="Other"/>
    <n v="26"/>
    <x v="0"/>
    <x v="1"/>
    <n v="178"/>
    <n v="53"/>
    <n v="0.52"/>
    <s v="Mobile"/>
    <n v="0"/>
    <n v="1"/>
    <n v="0"/>
    <n v="14.99"/>
    <n v="0"/>
  </r>
  <r>
    <n v="6544"/>
    <s v="Other"/>
    <n v="50"/>
    <x v="2"/>
    <x v="3"/>
    <n v="31"/>
    <n v="39"/>
    <n v="0.57999999999999996"/>
    <s v="Mobile"/>
    <n v="0"/>
    <n v="1"/>
    <n v="1"/>
    <n v="4.99"/>
    <n v="4.99"/>
  </r>
  <r>
    <n v="6545"/>
    <s v="Other"/>
    <n v="25"/>
    <x v="6"/>
    <x v="1"/>
    <n v="299"/>
    <n v="99"/>
    <n v="0.3"/>
    <s v="Desktop"/>
    <n v="0"/>
    <n v="1"/>
    <n v="0"/>
    <n v="14.99"/>
    <n v="0"/>
  </r>
  <r>
    <n v="6546"/>
    <s v="Female"/>
    <n v="41"/>
    <x v="0"/>
    <x v="2"/>
    <n v="240"/>
    <n v="58"/>
    <n v="0.14000000000000001"/>
    <s v="Desktop"/>
    <n v="0"/>
    <n v="1"/>
    <n v="1"/>
    <n v="9.99"/>
    <n v="9.99"/>
  </r>
  <r>
    <n v="6547"/>
    <s v="Male"/>
    <n v="42"/>
    <x v="1"/>
    <x v="1"/>
    <n v="233"/>
    <n v="45"/>
    <n v="0.02"/>
    <s v="Desktop"/>
    <n v="0"/>
    <n v="1"/>
    <n v="0"/>
    <n v="14.99"/>
    <n v="0"/>
  </r>
  <r>
    <n v="6548"/>
    <s v="Female"/>
    <n v="53"/>
    <x v="5"/>
    <x v="0"/>
    <n v="95"/>
    <n v="88"/>
    <n v="0.31"/>
    <s v="Mobile"/>
    <n v="13"/>
    <n v="0"/>
    <n v="0"/>
    <n v="0"/>
    <n v="0"/>
  </r>
  <r>
    <n v="6549"/>
    <s v="Other"/>
    <n v="34"/>
    <x v="2"/>
    <x v="3"/>
    <n v="155"/>
    <n v="21"/>
    <n v="0.35"/>
    <s v="Mobile"/>
    <n v="0"/>
    <n v="1"/>
    <n v="1"/>
    <n v="4.99"/>
    <n v="4.99"/>
  </r>
  <r>
    <n v="6550"/>
    <s v="Other"/>
    <n v="56"/>
    <x v="5"/>
    <x v="1"/>
    <n v="65"/>
    <n v="68"/>
    <n v="0.05"/>
    <s v="Web"/>
    <n v="0"/>
    <n v="1"/>
    <n v="1"/>
    <n v="14.99"/>
    <n v="14.99"/>
  </r>
  <r>
    <n v="6551"/>
    <s v="Other"/>
    <n v="31"/>
    <x v="4"/>
    <x v="0"/>
    <n v="160"/>
    <n v="35"/>
    <n v="0.52"/>
    <s v="Desktop"/>
    <n v="8"/>
    <n v="0"/>
    <n v="0"/>
    <n v="0"/>
    <n v="0"/>
  </r>
  <r>
    <n v="6552"/>
    <s v="Female"/>
    <n v="40"/>
    <x v="3"/>
    <x v="3"/>
    <n v="129"/>
    <n v="29"/>
    <n v="0.12"/>
    <s v="Web"/>
    <n v="0"/>
    <n v="1"/>
    <n v="0"/>
    <n v="4.99"/>
    <n v="0"/>
  </r>
  <r>
    <n v="6553"/>
    <s v="Other"/>
    <n v="20"/>
    <x v="2"/>
    <x v="3"/>
    <n v="290"/>
    <n v="46"/>
    <n v="0.4"/>
    <s v="Desktop"/>
    <n v="0"/>
    <n v="1"/>
    <n v="0"/>
    <n v="4.99"/>
    <n v="0"/>
  </r>
  <r>
    <n v="6554"/>
    <s v="Other"/>
    <n v="53"/>
    <x v="7"/>
    <x v="0"/>
    <n v="49"/>
    <n v="70"/>
    <n v="0.11"/>
    <s v="Desktop"/>
    <n v="24"/>
    <n v="0"/>
    <n v="0"/>
    <n v="0"/>
    <n v="0"/>
  </r>
  <r>
    <n v="6555"/>
    <s v="Other"/>
    <n v="21"/>
    <x v="0"/>
    <x v="1"/>
    <n v="51"/>
    <n v="86"/>
    <n v="0.03"/>
    <s v="Web"/>
    <n v="0"/>
    <n v="1"/>
    <n v="0"/>
    <n v="14.99"/>
    <n v="0"/>
  </r>
  <r>
    <n v="6556"/>
    <s v="Male"/>
    <n v="30"/>
    <x v="3"/>
    <x v="0"/>
    <n v="81"/>
    <n v="30"/>
    <n v="0.35"/>
    <s v="Web"/>
    <n v="42"/>
    <n v="0"/>
    <n v="0"/>
    <n v="0"/>
    <n v="0"/>
  </r>
  <r>
    <n v="6557"/>
    <s v="Other"/>
    <n v="45"/>
    <x v="6"/>
    <x v="2"/>
    <n v="124"/>
    <n v="5"/>
    <n v="0.18"/>
    <s v="Desktop"/>
    <n v="0"/>
    <n v="1"/>
    <n v="1"/>
    <n v="9.99"/>
    <n v="9.99"/>
  </r>
  <r>
    <n v="6558"/>
    <s v="Other"/>
    <n v="18"/>
    <x v="2"/>
    <x v="1"/>
    <n v="200"/>
    <n v="75"/>
    <n v="0.26"/>
    <s v="Web"/>
    <n v="0"/>
    <n v="1"/>
    <n v="1"/>
    <n v="14.99"/>
    <n v="14.99"/>
  </r>
  <r>
    <n v="6559"/>
    <s v="Other"/>
    <n v="48"/>
    <x v="5"/>
    <x v="1"/>
    <n v="70"/>
    <n v="70"/>
    <n v="0.06"/>
    <s v="Desktop"/>
    <n v="0"/>
    <n v="1"/>
    <n v="0"/>
    <n v="14.99"/>
    <n v="0"/>
  </r>
  <r>
    <n v="6560"/>
    <s v="Male"/>
    <n v="52"/>
    <x v="5"/>
    <x v="3"/>
    <n v="99"/>
    <n v="41"/>
    <n v="0.49"/>
    <s v="Web"/>
    <n v="0"/>
    <n v="1"/>
    <n v="1"/>
    <n v="4.99"/>
    <n v="4.99"/>
  </r>
  <r>
    <n v="6561"/>
    <s v="Female"/>
    <n v="28"/>
    <x v="1"/>
    <x v="1"/>
    <n v="202"/>
    <n v="44"/>
    <n v="0.1"/>
    <s v="Web"/>
    <n v="0"/>
    <n v="1"/>
    <n v="0"/>
    <n v="14.99"/>
    <n v="0"/>
  </r>
  <r>
    <n v="6562"/>
    <s v="Other"/>
    <n v="18"/>
    <x v="7"/>
    <x v="2"/>
    <n v="105"/>
    <n v="82"/>
    <n v="0.37"/>
    <s v="Desktop"/>
    <n v="0"/>
    <n v="1"/>
    <n v="0"/>
    <n v="9.99"/>
    <n v="0"/>
  </r>
  <r>
    <n v="6563"/>
    <s v="Female"/>
    <n v="57"/>
    <x v="2"/>
    <x v="3"/>
    <n v="57"/>
    <n v="93"/>
    <n v="0.1"/>
    <s v="Desktop"/>
    <n v="0"/>
    <n v="1"/>
    <n v="0"/>
    <n v="4.99"/>
    <n v="0"/>
  </r>
  <r>
    <n v="6564"/>
    <s v="Female"/>
    <n v="26"/>
    <x v="6"/>
    <x v="3"/>
    <n v="248"/>
    <n v="67"/>
    <n v="0.09"/>
    <s v="Desktop"/>
    <n v="0"/>
    <n v="1"/>
    <n v="0"/>
    <n v="4.99"/>
    <n v="0"/>
  </r>
  <r>
    <n v="6565"/>
    <s v="Male"/>
    <n v="25"/>
    <x v="4"/>
    <x v="0"/>
    <n v="164"/>
    <n v="32"/>
    <n v="0.2"/>
    <s v="Mobile"/>
    <n v="25"/>
    <n v="0"/>
    <n v="0"/>
    <n v="0"/>
    <n v="0"/>
  </r>
  <r>
    <n v="6566"/>
    <s v="Male"/>
    <n v="54"/>
    <x v="5"/>
    <x v="2"/>
    <n v="85"/>
    <n v="69"/>
    <n v="0.39"/>
    <s v="Web"/>
    <n v="0"/>
    <n v="1"/>
    <n v="0"/>
    <n v="9.99"/>
    <n v="0"/>
  </r>
  <r>
    <n v="6567"/>
    <s v="Male"/>
    <n v="20"/>
    <x v="0"/>
    <x v="3"/>
    <n v="26"/>
    <n v="81"/>
    <n v="0.54"/>
    <s v="Desktop"/>
    <n v="0"/>
    <n v="1"/>
    <n v="0"/>
    <n v="4.99"/>
    <n v="0"/>
  </r>
  <r>
    <n v="6568"/>
    <s v="Male"/>
    <n v="32"/>
    <x v="6"/>
    <x v="1"/>
    <n v="208"/>
    <n v="56"/>
    <n v="0.15"/>
    <s v="Web"/>
    <n v="0"/>
    <n v="1"/>
    <n v="0"/>
    <n v="14.99"/>
    <n v="0"/>
  </r>
  <r>
    <n v="6569"/>
    <s v="Other"/>
    <n v="47"/>
    <x v="0"/>
    <x v="1"/>
    <n v="28"/>
    <n v="25"/>
    <n v="0.5"/>
    <s v="Web"/>
    <n v="0"/>
    <n v="1"/>
    <n v="0"/>
    <n v="14.99"/>
    <n v="0"/>
  </r>
  <r>
    <n v="6570"/>
    <s v="Male"/>
    <n v="32"/>
    <x v="0"/>
    <x v="2"/>
    <n v="10"/>
    <n v="24"/>
    <n v="0.47"/>
    <s v="Web"/>
    <n v="0"/>
    <n v="1"/>
    <n v="0"/>
    <n v="9.99"/>
    <n v="0"/>
  </r>
  <r>
    <n v="6571"/>
    <s v="Male"/>
    <n v="18"/>
    <x v="1"/>
    <x v="3"/>
    <n v="290"/>
    <n v="31"/>
    <n v="0.45"/>
    <s v="Desktop"/>
    <n v="0"/>
    <n v="1"/>
    <n v="0"/>
    <n v="4.99"/>
    <n v="0"/>
  </r>
  <r>
    <n v="6572"/>
    <s v="Male"/>
    <n v="51"/>
    <x v="3"/>
    <x v="3"/>
    <n v="153"/>
    <n v="62"/>
    <n v="0.42"/>
    <s v="Desktop"/>
    <n v="0"/>
    <n v="1"/>
    <n v="0"/>
    <n v="4.99"/>
    <n v="0"/>
  </r>
  <r>
    <n v="6573"/>
    <s v="Male"/>
    <n v="57"/>
    <x v="1"/>
    <x v="2"/>
    <n v="200"/>
    <n v="88"/>
    <n v="0.41"/>
    <s v="Desktop"/>
    <n v="0"/>
    <n v="1"/>
    <n v="0"/>
    <n v="9.99"/>
    <n v="0"/>
  </r>
  <r>
    <n v="6574"/>
    <s v="Other"/>
    <n v="46"/>
    <x v="1"/>
    <x v="0"/>
    <n v="273"/>
    <n v="61"/>
    <n v="0.15"/>
    <s v="Mobile"/>
    <n v="9"/>
    <n v="0"/>
    <n v="0"/>
    <n v="0"/>
    <n v="0"/>
  </r>
  <r>
    <n v="6575"/>
    <s v="Male"/>
    <n v="20"/>
    <x v="3"/>
    <x v="2"/>
    <n v="254"/>
    <n v="96"/>
    <n v="0.38"/>
    <s v="Desktop"/>
    <n v="0"/>
    <n v="1"/>
    <n v="0"/>
    <n v="9.99"/>
    <n v="0"/>
  </r>
  <r>
    <n v="6576"/>
    <s v="Other"/>
    <n v="57"/>
    <x v="6"/>
    <x v="2"/>
    <n v="298"/>
    <n v="39"/>
    <n v="0.09"/>
    <s v="Mobile"/>
    <n v="0"/>
    <n v="1"/>
    <n v="1"/>
    <n v="9.99"/>
    <n v="9.99"/>
  </r>
  <r>
    <n v="6577"/>
    <s v="Other"/>
    <n v="53"/>
    <x v="4"/>
    <x v="2"/>
    <n v="146"/>
    <n v="97"/>
    <n v="0.05"/>
    <s v="Desktop"/>
    <n v="0"/>
    <n v="1"/>
    <n v="0"/>
    <n v="9.99"/>
    <n v="0"/>
  </r>
  <r>
    <n v="6578"/>
    <s v="Other"/>
    <n v="44"/>
    <x v="0"/>
    <x v="2"/>
    <n v="84"/>
    <n v="68"/>
    <n v="0.04"/>
    <s v="Mobile"/>
    <n v="0"/>
    <n v="1"/>
    <n v="0"/>
    <n v="9.99"/>
    <n v="0"/>
  </r>
  <r>
    <n v="6579"/>
    <s v="Other"/>
    <n v="48"/>
    <x v="7"/>
    <x v="1"/>
    <n v="134"/>
    <n v="81"/>
    <n v="0.24"/>
    <s v="Mobile"/>
    <n v="0"/>
    <n v="1"/>
    <n v="0"/>
    <n v="14.99"/>
    <n v="0"/>
  </r>
  <r>
    <n v="6580"/>
    <s v="Other"/>
    <n v="54"/>
    <x v="2"/>
    <x v="3"/>
    <n v="125"/>
    <n v="11"/>
    <n v="0.21"/>
    <s v="Desktop"/>
    <n v="0"/>
    <n v="1"/>
    <n v="0"/>
    <n v="4.99"/>
    <n v="0"/>
  </r>
  <r>
    <n v="6581"/>
    <s v="Male"/>
    <n v="48"/>
    <x v="3"/>
    <x v="2"/>
    <n v="72"/>
    <n v="65"/>
    <n v="0.11"/>
    <s v="Desktop"/>
    <n v="0"/>
    <n v="1"/>
    <n v="1"/>
    <n v="9.99"/>
    <n v="9.99"/>
  </r>
  <r>
    <n v="6582"/>
    <s v="Other"/>
    <n v="48"/>
    <x v="2"/>
    <x v="2"/>
    <n v="264"/>
    <n v="85"/>
    <n v="0.57999999999999996"/>
    <s v="Web"/>
    <n v="0"/>
    <n v="1"/>
    <n v="0"/>
    <n v="9.99"/>
    <n v="0"/>
  </r>
  <r>
    <n v="6583"/>
    <s v="Male"/>
    <n v="35"/>
    <x v="5"/>
    <x v="2"/>
    <n v="67"/>
    <n v="38"/>
    <n v="0.19"/>
    <s v="Desktop"/>
    <n v="0"/>
    <n v="1"/>
    <n v="0"/>
    <n v="9.99"/>
    <n v="0"/>
  </r>
  <r>
    <n v="6584"/>
    <s v="Male"/>
    <n v="33"/>
    <x v="6"/>
    <x v="1"/>
    <n v="187"/>
    <n v="81"/>
    <n v="0.44"/>
    <s v="Desktop"/>
    <n v="0"/>
    <n v="1"/>
    <n v="0"/>
    <n v="14.99"/>
    <n v="0"/>
  </r>
  <r>
    <n v="6585"/>
    <s v="Male"/>
    <n v="21"/>
    <x v="3"/>
    <x v="3"/>
    <n v="24"/>
    <n v="6"/>
    <n v="0.59"/>
    <s v="Desktop"/>
    <n v="0"/>
    <n v="1"/>
    <n v="0"/>
    <n v="4.99"/>
    <n v="0"/>
  </r>
  <r>
    <n v="6586"/>
    <s v="Other"/>
    <n v="59"/>
    <x v="7"/>
    <x v="1"/>
    <n v="29"/>
    <n v="79"/>
    <n v="0.45"/>
    <s v="Web"/>
    <n v="0"/>
    <n v="1"/>
    <n v="0"/>
    <n v="14.99"/>
    <n v="0"/>
  </r>
  <r>
    <n v="6587"/>
    <s v="Other"/>
    <n v="58"/>
    <x v="6"/>
    <x v="3"/>
    <n v="125"/>
    <n v="49"/>
    <n v="0.12"/>
    <s v="Desktop"/>
    <n v="0"/>
    <n v="1"/>
    <n v="0"/>
    <n v="4.99"/>
    <n v="0"/>
  </r>
  <r>
    <n v="6588"/>
    <s v="Other"/>
    <n v="23"/>
    <x v="6"/>
    <x v="3"/>
    <n v="201"/>
    <n v="57"/>
    <n v="0.42"/>
    <s v="Desktop"/>
    <n v="0"/>
    <n v="1"/>
    <n v="0"/>
    <n v="4.99"/>
    <n v="0"/>
  </r>
  <r>
    <n v="6589"/>
    <s v="Male"/>
    <n v="59"/>
    <x v="4"/>
    <x v="3"/>
    <n v="186"/>
    <n v="92"/>
    <n v="0.12"/>
    <s v="Mobile"/>
    <n v="0"/>
    <n v="1"/>
    <n v="1"/>
    <n v="4.99"/>
    <n v="4.99"/>
  </r>
  <r>
    <n v="6590"/>
    <s v="Male"/>
    <n v="22"/>
    <x v="0"/>
    <x v="3"/>
    <n v="54"/>
    <n v="84"/>
    <n v="0.14000000000000001"/>
    <s v="Mobile"/>
    <n v="0"/>
    <n v="1"/>
    <n v="0"/>
    <n v="4.99"/>
    <n v="0"/>
  </r>
  <r>
    <n v="6591"/>
    <s v="Male"/>
    <n v="55"/>
    <x v="1"/>
    <x v="0"/>
    <n v="236"/>
    <n v="48"/>
    <n v="0.25"/>
    <s v="Web"/>
    <n v="8"/>
    <n v="0"/>
    <n v="0"/>
    <n v="0"/>
    <n v="0"/>
  </r>
  <r>
    <n v="6592"/>
    <s v="Female"/>
    <n v="40"/>
    <x v="2"/>
    <x v="2"/>
    <n v="114"/>
    <n v="88"/>
    <n v="0.55000000000000004"/>
    <s v="Mobile"/>
    <n v="0"/>
    <n v="1"/>
    <n v="0"/>
    <n v="9.99"/>
    <n v="0"/>
  </r>
  <r>
    <n v="6593"/>
    <s v="Male"/>
    <n v="36"/>
    <x v="6"/>
    <x v="1"/>
    <n v="176"/>
    <n v="67"/>
    <n v="0.46"/>
    <s v="Web"/>
    <n v="0"/>
    <n v="1"/>
    <n v="0"/>
    <n v="14.99"/>
    <n v="0"/>
  </r>
  <r>
    <n v="6594"/>
    <s v="Other"/>
    <n v="46"/>
    <x v="1"/>
    <x v="2"/>
    <n v="251"/>
    <n v="69"/>
    <n v="0.59"/>
    <s v="Desktop"/>
    <n v="0"/>
    <n v="1"/>
    <n v="0"/>
    <n v="9.99"/>
    <n v="0"/>
  </r>
  <r>
    <n v="6595"/>
    <s v="Male"/>
    <n v="56"/>
    <x v="0"/>
    <x v="2"/>
    <n v="129"/>
    <n v="25"/>
    <n v="0.48"/>
    <s v="Web"/>
    <n v="0"/>
    <n v="1"/>
    <n v="0"/>
    <n v="9.99"/>
    <n v="0"/>
  </r>
  <r>
    <n v="6596"/>
    <s v="Other"/>
    <n v="28"/>
    <x v="7"/>
    <x v="1"/>
    <n v="201"/>
    <n v="95"/>
    <n v="0.24"/>
    <s v="Web"/>
    <n v="0"/>
    <n v="1"/>
    <n v="1"/>
    <n v="14.99"/>
    <n v="14.99"/>
  </r>
  <r>
    <n v="6597"/>
    <s v="Female"/>
    <n v="59"/>
    <x v="6"/>
    <x v="2"/>
    <n v="49"/>
    <n v="42"/>
    <n v="0.3"/>
    <s v="Mobile"/>
    <n v="0"/>
    <n v="1"/>
    <n v="0"/>
    <n v="9.99"/>
    <n v="0"/>
  </r>
  <r>
    <n v="6598"/>
    <s v="Other"/>
    <n v="51"/>
    <x v="4"/>
    <x v="3"/>
    <n v="239"/>
    <n v="73"/>
    <n v="0.03"/>
    <s v="Desktop"/>
    <n v="0"/>
    <n v="1"/>
    <n v="0"/>
    <n v="4.99"/>
    <n v="0"/>
  </r>
  <r>
    <n v="6599"/>
    <s v="Male"/>
    <n v="27"/>
    <x v="0"/>
    <x v="2"/>
    <n v="30"/>
    <n v="63"/>
    <n v="0.41"/>
    <s v="Desktop"/>
    <n v="0"/>
    <n v="1"/>
    <n v="0"/>
    <n v="9.99"/>
    <n v="0"/>
  </r>
  <r>
    <n v="6600"/>
    <s v="Male"/>
    <n v="54"/>
    <x v="1"/>
    <x v="2"/>
    <n v="237"/>
    <n v="72"/>
    <n v="0.1"/>
    <s v="Mobile"/>
    <n v="0"/>
    <n v="1"/>
    <n v="0"/>
    <n v="9.99"/>
    <n v="0"/>
  </r>
  <r>
    <n v="6601"/>
    <s v="Male"/>
    <n v="16"/>
    <x v="0"/>
    <x v="0"/>
    <n v="97"/>
    <n v="5"/>
    <n v="0.6"/>
    <s v="Mobile"/>
    <n v="32"/>
    <n v="0"/>
    <n v="0"/>
    <n v="0"/>
    <n v="0"/>
  </r>
  <r>
    <n v="6602"/>
    <s v="Female"/>
    <n v="18"/>
    <x v="6"/>
    <x v="1"/>
    <n v="178"/>
    <n v="59"/>
    <n v="0.27"/>
    <s v="Mobile"/>
    <n v="0"/>
    <n v="1"/>
    <n v="0"/>
    <n v="14.99"/>
    <n v="0"/>
  </r>
  <r>
    <n v="6603"/>
    <s v="Female"/>
    <n v="36"/>
    <x v="3"/>
    <x v="0"/>
    <n v="133"/>
    <n v="88"/>
    <n v="0.5"/>
    <s v="Desktop"/>
    <n v="49"/>
    <n v="0"/>
    <n v="0"/>
    <n v="0"/>
    <n v="0"/>
  </r>
  <r>
    <n v="6604"/>
    <s v="Male"/>
    <n v="50"/>
    <x v="7"/>
    <x v="1"/>
    <n v="169"/>
    <n v="50"/>
    <n v="0.2"/>
    <s v="Mobile"/>
    <n v="0"/>
    <n v="1"/>
    <n v="0"/>
    <n v="14.99"/>
    <n v="0"/>
  </r>
  <r>
    <n v="6605"/>
    <s v="Male"/>
    <n v="41"/>
    <x v="4"/>
    <x v="3"/>
    <n v="291"/>
    <n v="52"/>
    <n v="0.41"/>
    <s v="Web"/>
    <n v="0"/>
    <n v="1"/>
    <n v="0"/>
    <n v="4.99"/>
    <n v="0"/>
  </r>
  <r>
    <n v="6606"/>
    <s v="Male"/>
    <n v="41"/>
    <x v="7"/>
    <x v="3"/>
    <n v="276"/>
    <n v="69"/>
    <n v="7.0000000000000007E-2"/>
    <s v="Web"/>
    <n v="0"/>
    <n v="1"/>
    <n v="0"/>
    <n v="4.99"/>
    <n v="0"/>
  </r>
  <r>
    <n v="6607"/>
    <s v="Female"/>
    <n v="25"/>
    <x v="2"/>
    <x v="2"/>
    <n v="46"/>
    <n v="69"/>
    <n v="0.04"/>
    <s v="Web"/>
    <n v="0"/>
    <n v="1"/>
    <n v="0"/>
    <n v="9.99"/>
    <n v="0"/>
  </r>
  <r>
    <n v="6608"/>
    <s v="Male"/>
    <n v="57"/>
    <x v="0"/>
    <x v="1"/>
    <n v="53"/>
    <n v="50"/>
    <n v="0.45"/>
    <s v="Desktop"/>
    <n v="0"/>
    <n v="1"/>
    <n v="0"/>
    <n v="14.99"/>
    <n v="0"/>
  </r>
  <r>
    <n v="6609"/>
    <s v="Male"/>
    <n v="46"/>
    <x v="5"/>
    <x v="2"/>
    <n v="201"/>
    <n v="74"/>
    <n v="0.39"/>
    <s v="Desktop"/>
    <n v="0"/>
    <n v="1"/>
    <n v="0"/>
    <n v="9.99"/>
    <n v="0"/>
  </r>
  <r>
    <n v="6610"/>
    <s v="Other"/>
    <n v="53"/>
    <x v="7"/>
    <x v="1"/>
    <n v="164"/>
    <n v="82"/>
    <n v="0.28999999999999998"/>
    <s v="Desktop"/>
    <n v="0"/>
    <n v="1"/>
    <n v="1"/>
    <n v="14.99"/>
    <n v="14.99"/>
  </r>
  <r>
    <n v="6611"/>
    <s v="Other"/>
    <n v="44"/>
    <x v="5"/>
    <x v="2"/>
    <n v="259"/>
    <n v="15"/>
    <n v="0.44"/>
    <s v="Web"/>
    <n v="0"/>
    <n v="1"/>
    <n v="0"/>
    <n v="9.99"/>
    <n v="0"/>
  </r>
  <r>
    <n v="6612"/>
    <s v="Other"/>
    <n v="55"/>
    <x v="4"/>
    <x v="3"/>
    <n v="128"/>
    <n v="11"/>
    <n v="0.03"/>
    <s v="Mobile"/>
    <n v="0"/>
    <n v="1"/>
    <n v="0"/>
    <n v="4.99"/>
    <n v="0"/>
  </r>
  <r>
    <n v="6613"/>
    <s v="Male"/>
    <n v="58"/>
    <x v="5"/>
    <x v="2"/>
    <n v="42"/>
    <n v="45"/>
    <n v="0.21"/>
    <s v="Mobile"/>
    <n v="0"/>
    <n v="1"/>
    <n v="0"/>
    <n v="9.99"/>
    <n v="0"/>
  </r>
  <r>
    <n v="6614"/>
    <s v="Male"/>
    <n v="20"/>
    <x v="2"/>
    <x v="1"/>
    <n v="258"/>
    <n v="59"/>
    <n v="0.48"/>
    <s v="Desktop"/>
    <n v="0"/>
    <n v="1"/>
    <n v="0"/>
    <n v="14.99"/>
    <n v="0"/>
  </r>
  <r>
    <n v="6615"/>
    <s v="Other"/>
    <n v="31"/>
    <x v="5"/>
    <x v="1"/>
    <n v="263"/>
    <n v="8"/>
    <n v="0.38"/>
    <s v="Mobile"/>
    <n v="0"/>
    <n v="1"/>
    <n v="0"/>
    <n v="14.99"/>
    <n v="0"/>
  </r>
  <r>
    <n v="6616"/>
    <s v="Other"/>
    <n v="49"/>
    <x v="6"/>
    <x v="1"/>
    <n v="45"/>
    <n v="15"/>
    <n v="0.34"/>
    <s v="Web"/>
    <n v="0"/>
    <n v="1"/>
    <n v="1"/>
    <n v="14.99"/>
    <n v="14.99"/>
  </r>
  <r>
    <n v="6617"/>
    <s v="Male"/>
    <n v="19"/>
    <x v="4"/>
    <x v="0"/>
    <n v="24"/>
    <n v="60"/>
    <n v="0.1"/>
    <s v="Mobile"/>
    <n v="26"/>
    <n v="0"/>
    <n v="0"/>
    <n v="0"/>
    <n v="0"/>
  </r>
  <r>
    <n v="6618"/>
    <s v="Male"/>
    <n v="19"/>
    <x v="4"/>
    <x v="0"/>
    <n v="241"/>
    <n v="20"/>
    <n v="0.56999999999999995"/>
    <s v="Mobile"/>
    <n v="26"/>
    <n v="0"/>
    <n v="0"/>
    <n v="0"/>
    <n v="0"/>
  </r>
  <r>
    <n v="6619"/>
    <s v="Other"/>
    <n v="35"/>
    <x v="2"/>
    <x v="3"/>
    <n v="41"/>
    <n v="8"/>
    <n v="0.17"/>
    <s v="Web"/>
    <n v="0"/>
    <n v="1"/>
    <n v="1"/>
    <n v="4.99"/>
    <n v="4.99"/>
  </r>
  <r>
    <n v="6620"/>
    <s v="Male"/>
    <n v="36"/>
    <x v="5"/>
    <x v="2"/>
    <n v="252"/>
    <n v="85"/>
    <n v="0.55000000000000004"/>
    <s v="Mobile"/>
    <n v="0"/>
    <n v="1"/>
    <n v="0"/>
    <n v="9.99"/>
    <n v="0"/>
  </r>
  <r>
    <n v="6621"/>
    <s v="Male"/>
    <n v="37"/>
    <x v="3"/>
    <x v="3"/>
    <n v="236"/>
    <n v="60"/>
    <n v="0.15"/>
    <s v="Web"/>
    <n v="0"/>
    <n v="1"/>
    <n v="0"/>
    <n v="4.99"/>
    <n v="0"/>
  </r>
  <r>
    <n v="6622"/>
    <s v="Other"/>
    <n v="46"/>
    <x v="3"/>
    <x v="3"/>
    <n v="173"/>
    <n v="68"/>
    <n v="0.51"/>
    <s v="Web"/>
    <n v="0"/>
    <n v="1"/>
    <n v="0"/>
    <n v="4.99"/>
    <n v="0"/>
  </r>
  <r>
    <n v="6623"/>
    <s v="Other"/>
    <n v="24"/>
    <x v="1"/>
    <x v="3"/>
    <n v="279"/>
    <n v="60"/>
    <n v="0.24"/>
    <s v="Mobile"/>
    <n v="0"/>
    <n v="1"/>
    <n v="1"/>
    <n v="4.99"/>
    <n v="4.99"/>
  </r>
  <r>
    <n v="6624"/>
    <s v="Male"/>
    <n v="57"/>
    <x v="2"/>
    <x v="1"/>
    <n v="286"/>
    <n v="47"/>
    <n v="0.25"/>
    <s v="Web"/>
    <n v="0"/>
    <n v="1"/>
    <n v="0"/>
    <n v="14.99"/>
    <n v="0"/>
  </r>
  <r>
    <n v="6625"/>
    <s v="Female"/>
    <n v="46"/>
    <x v="0"/>
    <x v="2"/>
    <n v="170"/>
    <n v="38"/>
    <n v="0.6"/>
    <s v="Web"/>
    <n v="0"/>
    <n v="1"/>
    <n v="0"/>
    <n v="9.99"/>
    <n v="0"/>
  </r>
  <r>
    <n v="6626"/>
    <s v="Female"/>
    <n v="41"/>
    <x v="0"/>
    <x v="3"/>
    <n v="98"/>
    <n v="20"/>
    <n v="0.5"/>
    <s v="Web"/>
    <n v="0"/>
    <n v="1"/>
    <n v="1"/>
    <n v="4.99"/>
    <n v="4.99"/>
  </r>
  <r>
    <n v="6627"/>
    <s v="Male"/>
    <n v="43"/>
    <x v="0"/>
    <x v="3"/>
    <n v="150"/>
    <n v="37"/>
    <n v="0.23"/>
    <s v="Desktop"/>
    <n v="0"/>
    <n v="1"/>
    <n v="0"/>
    <n v="4.99"/>
    <n v="0"/>
  </r>
  <r>
    <n v="6628"/>
    <s v="Other"/>
    <n v="25"/>
    <x v="4"/>
    <x v="2"/>
    <n v="139"/>
    <n v="8"/>
    <n v="0.48"/>
    <s v="Mobile"/>
    <n v="0"/>
    <n v="1"/>
    <n v="1"/>
    <n v="9.99"/>
    <n v="9.99"/>
  </r>
  <r>
    <n v="6629"/>
    <s v="Male"/>
    <n v="35"/>
    <x v="7"/>
    <x v="1"/>
    <n v="39"/>
    <n v="81"/>
    <n v="0.16"/>
    <s v="Desktop"/>
    <n v="0"/>
    <n v="1"/>
    <n v="0"/>
    <n v="14.99"/>
    <n v="0"/>
  </r>
  <r>
    <n v="6630"/>
    <s v="Other"/>
    <n v="36"/>
    <x v="0"/>
    <x v="1"/>
    <n v="164"/>
    <n v="90"/>
    <n v="0.26"/>
    <s v="Mobile"/>
    <n v="0"/>
    <n v="1"/>
    <n v="0"/>
    <n v="14.99"/>
    <n v="0"/>
  </r>
  <r>
    <n v="6631"/>
    <s v="Female"/>
    <n v="46"/>
    <x v="1"/>
    <x v="1"/>
    <n v="282"/>
    <n v="7"/>
    <n v="0.25"/>
    <s v="Desktop"/>
    <n v="0"/>
    <n v="1"/>
    <n v="0"/>
    <n v="14.99"/>
    <n v="0"/>
  </r>
  <r>
    <n v="6632"/>
    <s v="Male"/>
    <n v="26"/>
    <x v="0"/>
    <x v="2"/>
    <n v="175"/>
    <n v="52"/>
    <n v="0.48"/>
    <s v="Mobile"/>
    <n v="0"/>
    <n v="1"/>
    <n v="1"/>
    <n v="9.99"/>
    <n v="9.99"/>
  </r>
  <r>
    <n v="6633"/>
    <s v="Other"/>
    <n v="22"/>
    <x v="6"/>
    <x v="2"/>
    <n v="271"/>
    <n v="14"/>
    <n v="0.41"/>
    <s v="Web"/>
    <n v="0"/>
    <n v="1"/>
    <n v="0"/>
    <n v="9.99"/>
    <n v="0"/>
  </r>
  <r>
    <n v="6634"/>
    <s v="Male"/>
    <n v="48"/>
    <x v="4"/>
    <x v="3"/>
    <n v="268"/>
    <n v="11"/>
    <n v="0.19"/>
    <s v="Mobile"/>
    <n v="0"/>
    <n v="1"/>
    <n v="0"/>
    <n v="4.99"/>
    <n v="0"/>
  </r>
  <r>
    <n v="6635"/>
    <s v="Female"/>
    <n v="30"/>
    <x v="0"/>
    <x v="0"/>
    <n v="146"/>
    <n v="93"/>
    <n v="0.33"/>
    <s v="Web"/>
    <n v="28"/>
    <n v="0"/>
    <n v="0"/>
    <n v="0"/>
    <n v="0"/>
  </r>
  <r>
    <n v="6636"/>
    <s v="Other"/>
    <n v="52"/>
    <x v="3"/>
    <x v="1"/>
    <n v="134"/>
    <n v="73"/>
    <n v="0.55000000000000004"/>
    <s v="Desktop"/>
    <n v="0"/>
    <n v="1"/>
    <n v="0"/>
    <n v="14.99"/>
    <n v="0"/>
  </r>
  <r>
    <n v="6637"/>
    <s v="Other"/>
    <n v="39"/>
    <x v="5"/>
    <x v="2"/>
    <n v="283"/>
    <n v="57"/>
    <n v="0.11"/>
    <s v="Web"/>
    <n v="0"/>
    <n v="1"/>
    <n v="0"/>
    <n v="9.99"/>
    <n v="0"/>
  </r>
  <r>
    <n v="6638"/>
    <s v="Other"/>
    <n v="40"/>
    <x v="3"/>
    <x v="3"/>
    <n v="181"/>
    <n v="91"/>
    <n v="0.56999999999999995"/>
    <s v="Mobile"/>
    <n v="0"/>
    <n v="1"/>
    <n v="0"/>
    <n v="4.99"/>
    <n v="0"/>
  </r>
  <r>
    <n v="6639"/>
    <s v="Male"/>
    <n v="36"/>
    <x v="2"/>
    <x v="1"/>
    <n v="213"/>
    <n v="29"/>
    <n v="0.34"/>
    <s v="Desktop"/>
    <n v="0"/>
    <n v="1"/>
    <n v="0"/>
    <n v="14.99"/>
    <n v="0"/>
  </r>
  <r>
    <n v="6640"/>
    <s v="Male"/>
    <n v="58"/>
    <x v="1"/>
    <x v="0"/>
    <n v="206"/>
    <n v="11"/>
    <n v="0.56000000000000005"/>
    <s v="Desktop"/>
    <n v="8"/>
    <n v="0"/>
    <n v="0"/>
    <n v="0"/>
    <n v="0"/>
  </r>
  <r>
    <n v="6641"/>
    <s v="Female"/>
    <n v="55"/>
    <x v="7"/>
    <x v="0"/>
    <n v="127"/>
    <n v="81"/>
    <n v="0"/>
    <s v="Mobile"/>
    <n v="47"/>
    <n v="0"/>
    <n v="0"/>
    <n v="0"/>
    <n v="0"/>
  </r>
  <r>
    <n v="6642"/>
    <s v="Other"/>
    <n v="49"/>
    <x v="1"/>
    <x v="1"/>
    <n v="169"/>
    <n v="31"/>
    <n v="0.08"/>
    <s v="Mobile"/>
    <n v="0"/>
    <n v="1"/>
    <n v="0"/>
    <n v="14.99"/>
    <n v="0"/>
  </r>
  <r>
    <n v="6643"/>
    <s v="Female"/>
    <n v="28"/>
    <x v="1"/>
    <x v="2"/>
    <n v="60"/>
    <n v="65"/>
    <n v="0.01"/>
    <s v="Mobile"/>
    <n v="0"/>
    <n v="1"/>
    <n v="0"/>
    <n v="9.99"/>
    <n v="0"/>
  </r>
  <r>
    <n v="6644"/>
    <s v="Other"/>
    <n v="24"/>
    <x v="6"/>
    <x v="1"/>
    <n v="95"/>
    <n v="51"/>
    <n v="0.31"/>
    <s v="Desktop"/>
    <n v="0"/>
    <n v="1"/>
    <n v="0"/>
    <n v="14.99"/>
    <n v="0"/>
  </r>
  <r>
    <n v="6645"/>
    <s v="Other"/>
    <n v="41"/>
    <x v="7"/>
    <x v="2"/>
    <n v="33"/>
    <n v="91"/>
    <n v="0.16"/>
    <s v="Mobile"/>
    <n v="0"/>
    <n v="1"/>
    <n v="0"/>
    <n v="9.99"/>
    <n v="0"/>
  </r>
  <r>
    <n v="6646"/>
    <s v="Male"/>
    <n v="33"/>
    <x v="0"/>
    <x v="3"/>
    <n v="241"/>
    <n v="99"/>
    <n v="0.53"/>
    <s v="Desktop"/>
    <n v="0"/>
    <n v="1"/>
    <n v="0"/>
    <n v="4.99"/>
    <n v="0"/>
  </r>
  <r>
    <n v="6647"/>
    <s v="Female"/>
    <n v="56"/>
    <x v="4"/>
    <x v="3"/>
    <n v="105"/>
    <n v="52"/>
    <n v="0.2"/>
    <s v="Mobile"/>
    <n v="0"/>
    <n v="1"/>
    <n v="1"/>
    <n v="4.99"/>
    <n v="4.99"/>
  </r>
  <r>
    <n v="6648"/>
    <s v="Male"/>
    <n v="26"/>
    <x v="2"/>
    <x v="0"/>
    <n v="210"/>
    <n v="81"/>
    <n v="0.53"/>
    <s v="Web"/>
    <n v="14"/>
    <n v="0"/>
    <n v="0"/>
    <n v="0"/>
    <n v="0"/>
  </r>
  <r>
    <n v="6649"/>
    <s v="Other"/>
    <n v="19"/>
    <x v="3"/>
    <x v="2"/>
    <n v="277"/>
    <n v="33"/>
    <n v="0.31"/>
    <s v="Web"/>
    <n v="0"/>
    <n v="1"/>
    <n v="0"/>
    <n v="9.99"/>
    <n v="0"/>
  </r>
  <r>
    <n v="6650"/>
    <s v="Female"/>
    <n v="50"/>
    <x v="2"/>
    <x v="2"/>
    <n v="168"/>
    <n v="76"/>
    <n v="0.38"/>
    <s v="Desktop"/>
    <n v="0"/>
    <n v="1"/>
    <n v="0"/>
    <n v="9.99"/>
    <n v="0"/>
  </r>
  <r>
    <n v="6651"/>
    <s v="Male"/>
    <n v="28"/>
    <x v="5"/>
    <x v="3"/>
    <n v="54"/>
    <n v="44"/>
    <n v="0.03"/>
    <s v="Web"/>
    <n v="0"/>
    <n v="1"/>
    <n v="0"/>
    <n v="4.99"/>
    <n v="0"/>
  </r>
  <r>
    <n v="6652"/>
    <s v="Other"/>
    <n v="28"/>
    <x v="5"/>
    <x v="0"/>
    <n v="268"/>
    <n v="48"/>
    <n v="7.0000000000000007E-2"/>
    <s v="Desktop"/>
    <n v="43"/>
    <n v="0"/>
    <n v="0"/>
    <n v="0"/>
    <n v="0"/>
  </r>
  <r>
    <n v="6653"/>
    <s v="Other"/>
    <n v="55"/>
    <x v="0"/>
    <x v="3"/>
    <n v="190"/>
    <n v="44"/>
    <n v="0.48"/>
    <s v="Desktop"/>
    <n v="0"/>
    <n v="1"/>
    <n v="0"/>
    <n v="4.99"/>
    <n v="0"/>
  </r>
  <r>
    <n v="6654"/>
    <s v="Other"/>
    <n v="49"/>
    <x v="0"/>
    <x v="1"/>
    <n v="291"/>
    <n v="13"/>
    <n v="0.2"/>
    <s v="Web"/>
    <n v="0"/>
    <n v="1"/>
    <n v="1"/>
    <n v="14.99"/>
    <n v="14.99"/>
  </r>
  <r>
    <n v="6655"/>
    <s v="Female"/>
    <n v="31"/>
    <x v="0"/>
    <x v="3"/>
    <n v="249"/>
    <n v="6"/>
    <n v="0.31"/>
    <s v="Web"/>
    <n v="0"/>
    <n v="1"/>
    <n v="0"/>
    <n v="4.99"/>
    <n v="0"/>
  </r>
  <r>
    <n v="6656"/>
    <s v="Male"/>
    <n v="19"/>
    <x v="1"/>
    <x v="3"/>
    <n v="53"/>
    <n v="72"/>
    <n v="0.56000000000000005"/>
    <s v="Web"/>
    <n v="0"/>
    <n v="1"/>
    <n v="0"/>
    <n v="4.99"/>
    <n v="0"/>
  </r>
  <r>
    <n v="6657"/>
    <s v="Female"/>
    <n v="37"/>
    <x v="4"/>
    <x v="3"/>
    <n v="88"/>
    <n v="86"/>
    <n v="0.19"/>
    <s v="Web"/>
    <n v="0"/>
    <n v="1"/>
    <n v="0"/>
    <n v="4.99"/>
    <n v="0"/>
  </r>
  <r>
    <n v="6658"/>
    <s v="Other"/>
    <n v="19"/>
    <x v="5"/>
    <x v="3"/>
    <n v="158"/>
    <n v="8"/>
    <n v="0.28999999999999998"/>
    <s v="Web"/>
    <n v="0"/>
    <n v="1"/>
    <n v="0"/>
    <n v="4.99"/>
    <n v="0"/>
  </r>
  <r>
    <n v="6659"/>
    <s v="Male"/>
    <n v="44"/>
    <x v="6"/>
    <x v="2"/>
    <n v="23"/>
    <n v="94"/>
    <n v="0.47"/>
    <s v="Web"/>
    <n v="0"/>
    <n v="1"/>
    <n v="0"/>
    <n v="9.99"/>
    <n v="0"/>
  </r>
  <r>
    <n v="6660"/>
    <s v="Male"/>
    <n v="17"/>
    <x v="1"/>
    <x v="2"/>
    <n v="163"/>
    <n v="30"/>
    <n v="0.36"/>
    <s v="Mobile"/>
    <n v="0"/>
    <n v="1"/>
    <n v="0"/>
    <n v="9.99"/>
    <n v="0"/>
  </r>
  <r>
    <n v="6661"/>
    <s v="Female"/>
    <n v="32"/>
    <x v="1"/>
    <x v="0"/>
    <n v="100"/>
    <n v="37"/>
    <n v="0.04"/>
    <s v="Desktop"/>
    <n v="21"/>
    <n v="0"/>
    <n v="1"/>
    <n v="0"/>
    <n v="0"/>
  </r>
  <r>
    <n v="6662"/>
    <s v="Female"/>
    <n v="35"/>
    <x v="2"/>
    <x v="2"/>
    <n v="104"/>
    <n v="72"/>
    <n v="0.34"/>
    <s v="Desktop"/>
    <n v="0"/>
    <n v="1"/>
    <n v="0"/>
    <n v="9.99"/>
    <n v="0"/>
  </r>
  <r>
    <n v="6663"/>
    <s v="Female"/>
    <n v="58"/>
    <x v="4"/>
    <x v="3"/>
    <n v="58"/>
    <n v="22"/>
    <n v="0.15"/>
    <s v="Mobile"/>
    <n v="0"/>
    <n v="1"/>
    <n v="0"/>
    <n v="4.99"/>
    <n v="0"/>
  </r>
  <r>
    <n v="6664"/>
    <s v="Male"/>
    <n v="47"/>
    <x v="4"/>
    <x v="1"/>
    <n v="88"/>
    <n v="2"/>
    <n v="0.33"/>
    <s v="Mobile"/>
    <n v="0"/>
    <n v="1"/>
    <n v="0"/>
    <n v="14.99"/>
    <n v="0"/>
  </r>
  <r>
    <n v="6665"/>
    <s v="Female"/>
    <n v="58"/>
    <x v="4"/>
    <x v="0"/>
    <n v="25"/>
    <n v="94"/>
    <n v="0.08"/>
    <s v="Desktop"/>
    <n v="42"/>
    <n v="0"/>
    <n v="0"/>
    <n v="0"/>
    <n v="0"/>
  </r>
  <r>
    <n v="6666"/>
    <s v="Other"/>
    <n v="37"/>
    <x v="1"/>
    <x v="0"/>
    <n v="296"/>
    <n v="34"/>
    <n v="0.01"/>
    <s v="Desktop"/>
    <n v="46"/>
    <n v="0"/>
    <n v="1"/>
    <n v="0"/>
    <n v="0"/>
  </r>
  <r>
    <n v="6667"/>
    <s v="Other"/>
    <n v="27"/>
    <x v="7"/>
    <x v="2"/>
    <n v="262"/>
    <n v="88"/>
    <n v="0.02"/>
    <s v="Web"/>
    <n v="0"/>
    <n v="1"/>
    <n v="0"/>
    <n v="9.99"/>
    <n v="0"/>
  </r>
  <r>
    <n v="6668"/>
    <s v="Other"/>
    <n v="46"/>
    <x v="1"/>
    <x v="1"/>
    <n v="264"/>
    <n v="85"/>
    <n v="0.27"/>
    <s v="Web"/>
    <n v="0"/>
    <n v="1"/>
    <n v="0"/>
    <n v="14.99"/>
    <n v="0"/>
  </r>
  <r>
    <n v="6669"/>
    <s v="Male"/>
    <n v="18"/>
    <x v="6"/>
    <x v="2"/>
    <n v="58"/>
    <n v="88"/>
    <n v="0.53"/>
    <s v="Web"/>
    <n v="0"/>
    <n v="1"/>
    <n v="0"/>
    <n v="9.99"/>
    <n v="0"/>
  </r>
  <r>
    <n v="6670"/>
    <s v="Male"/>
    <n v="46"/>
    <x v="0"/>
    <x v="1"/>
    <n v="249"/>
    <n v="66"/>
    <n v="0"/>
    <s v="Desktop"/>
    <n v="0"/>
    <n v="1"/>
    <n v="0"/>
    <n v="14.99"/>
    <n v="0"/>
  </r>
  <r>
    <n v="6671"/>
    <s v="Male"/>
    <n v="43"/>
    <x v="3"/>
    <x v="0"/>
    <n v="208"/>
    <n v="29"/>
    <n v="0.4"/>
    <s v="Desktop"/>
    <n v="9"/>
    <n v="0"/>
    <n v="0"/>
    <n v="0"/>
    <n v="0"/>
  </r>
  <r>
    <n v="6672"/>
    <s v="Female"/>
    <n v="20"/>
    <x v="5"/>
    <x v="0"/>
    <n v="278"/>
    <n v="16"/>
    <n v="0.01"/>
    <s v="Mobile"/>
    <n v="28"/>
    <n v="0"/>
    <n v="0"/>
    <n v="0"/>
    <n v="0"/>
  </r>
  <r>
    <n v="6673"/>
    <s v="Male"/>
    <n v="53"/>
    <x v="1"/>
    <x v="0"/>
    <n v="15"/>
    <n v="27"/>
    <n v="0.46"/>
    <s v="Mobile"/>
    <n v="43"/>
    <n v="0"/>
    <n v="1"/>
    <n v="0"/>
    <n v="0"/>
  </r>
  <r>
    <n v="6674"/>
    <s v="Female"/>
    <n v="48"/>
    <x v="2"/>
    <x v="2"/>
    <n v="165"/>
    <n v="54"/>
    <n v="0.22"/>
    <s v="Desktop"/>
    <n v="0"/>
    <n v="1"/>
    <n v="1"/>
    <n v="9.99"/>
    <n v="9.99"/>
  </r>
  <r>
    <n v="6675"/>
    <s v="Female"/>
    <n v="18"/>
    <x v="4"/>
    <x v="0"/>
    <n v="144"/>
    <n v="88"/>
    <n v="0.55000000000000004"/>
    <s v="Mobile"/>
    <n v="23"/>
    <n v="0"/>
    <n v="0"/>
    <n v="0"/>
    <n v="0"/>
  </r>
  <r>
    <n v="6676"/>
    <s v="Other"/>
    <n v="39"/>
    <x v="0"/>
    <x v="3"/>
    <n v="163"/>
    <n v="13"/>
    <n v="0.26"/>
    <s v="Web"/>
    <n v="0"/>
    <n v="1"/>
    <n v="0"/>
    <n v="4.99"/>
    <n v="0"/>
  </r>
  <r>
    <n v="6677"/>
    <s v="Female"/>
    <n v="51"/>
    <x v="2"/>
    <x v="2"/>
    <n v="28"/>
    <n v="48"/>
    <n v="0.09"/>
    <s v="Mobile"/>
    <n v="0"/>
    <n v="1"/>
    <n v="1"/>
    <n v="9.99"/>
    <n v="9.99"/>
  </r>
  <r>
    <n v="6678"/>
    <s v="Male"/>
    <n v="21"/>
    <x v="2"/>
    <x v="3"/>
    <n v="77"/>
    <n v="13"/>
    <n v="0.21"/>
    <s v="Desktop"/>
    <n v="0"/>
    <n v="1"/>
    <n v="0"/>
    <n v="4.99"/>
    <n v="0"/>
  </r>
  <r>
    <n v="6679"/>
    <s v="Female"/>
    <n v="47"/>
    <x v="5"/>
    <x v="2"/>
    <n v="243"/>
    <n v="80"/>
    <n v="0.48"/>
    <s v="Web"/>
    <n v="0"/>
    <n v="1"/>
    <n v="0"/>
    <n v="9.99"/>
    <n v="0"/>
  </r>
  <r>
    <n v="6680"/>
    <s v="Male"/>
    <n v="55"/>
    <x v="2"/>
    <x v="3"/>
    <n v="119"/>
    <n v="72"/>
    <n v="0.35"/>
    <s v="Web"/>
    <n v="0"/>
    <n v="1"/>
    <n v="0"/>
    <n v="4.99"/>
    <n v="0"/>
  </r>
  <r>
    <n v="6681"/>
    <s v="Male"/>
    <n v="32"/>
    <x v="3"/>
    <x v="2"/>
    <n v="197"/>
    <n v="97"/>
    <n v="0.01"/>
    <s v="Desktop"/>
    <n v="0"/>
    <n v="1"/>
    <n v="1"/>
    <n v="9.99"/>
    <n v="9.99"/>
  </r>
  <r>
    <n v="6682"/>
    <s v="Female"/>
    <n v="59"/>
    <x v="7"/>
    <x v="2"/>
    <n v="39"/>
    <n v="5"/>
    <n v="0.37"/>
    <s v="Web"/>
    <n v="0"/>
    <n v="1"/>
    <n v="0"/>
    <n v="9.99"/>
    <n v="0"/>
  </r>
  <r>
    <n v="6683"/>
    <s v="Male"/>
    <n v="59"/>
    <x v="6"/>
    <x v="0"/>
    <n v="14"/>
    <n v="98"/>
    <n v="0.42"/>
    <s v="Desktop"/>
    <n v="16"/>
    <n v="0"/>
    <n v="1"/>
    <n v="0"/>
    <n v="0"/>
  </r>
  <r>
    <n v="6684"/>
    <s v="Male"/>
    <n v="26"/>
    <x v="6"/>
    <x v="3"/>
    <n v="193"/>
    <n v="17"/>
    <n v="0.55000000000000004"/>
    <s v="Web"/>
    <n v="0"/>
    <n v="1"/>
    <n v="0"/>
    <n v="4.99"/>
    <n v="0"/>
  </r>
  <r>
    <n v="6685"/>
    <s v="Male"/>
    <n v="36"/>
    <x v="5"/>
    <x v="2"/>
    <n v="60"/>
    <n v="41"/>
    <n v="0.38"/>
    <s v="Desktop"/>
    <n v="0"/>
    <n v="1"/>
    <n v="0"/>
    <n v="9.99"/>
    <n v="0"/>
  </r>
  <r>
    <n v="6686"/>
    <s v="Male"/>
    <n v="44"/>
    <x v="2"/>
    <x v="0"/>
    <n v="270"/>
    <n v="55"/>
    <n v="0.51"/>
    <s v="Web"/>
    <n v="43"/>
    <n v="0"/>
    <n v="0"/>
    <n v="0"/>
    <n v="0"/>
  </r>
  <r>
    <n v="6687"/>
    <s v="Female"/>
    <n v="47"/>
    <x v="0"/>
    <x v="1"/>
    <n v="227"/>
    <n v="6"/>
    <n v="0.13"/>
    <s v="Desktop"/>
    <n v="0"/>
    <n v="1"/>
    <n v="0"/>
    <n v="14.99"/>
    <n v="0"/>
  </r>
  <r>
    <n v="6688"/>
    <s v="Female"/>
    <n v="25"/>
    <x v="4"/>
    <x v="0"/>
    <n v="69"/>
    <n v="94"/>
    <n v="0.16"/>
    <s v="Desktop"/>
    <n v="18"/>
    <n v="0"/>
    <n v="0"/>
    <n v="0"/>
    <n v="0"/>
  </r>
  <r>
    <n v="6689"/>
    <s v="Male"/>
    <n v="40"/>
    <x v="3"/>
    <x v="2"/>
    <n v="62"/>
    <n v="13"/>
    <n v="0.43"/>
    <s v="Mobile"/>
    <n v="0"/>
    <n v="1"/>
    <n v="0"/>
    <n v="9.99"/>
    <n v="0"/>
  </r>
  <r>
    <n v="6690"/>
    <s v="Male"/>
    <n v="39"/>
    <x v="5"/>
    <x v="0"/>
    <n v="67"/>
    <n v="38"/>
    <n v="0.53"/>
    <s v="Web"/>
    <n v="36"/>
    <n v="0"/>
    <n v="0"/>
    <n v="0"/>
    <n v="0"/>
  </r>
  <r>
    <n v="6691"/>
    <s v="Other"/>
    <n v="21"/>
    <x v="6"/>
    <x v="2"/>
    <n v="208"/>
    <n v="21"/>
    <n v="0.04"/>
    <s v="Mobile"/>
    <n v="0"/>
    <n v="1"/>
    <n v="1"/>
    <n v="9.99"/>
    <n v="9.99"/>
  </r>
  <r>
    <n v="6692"/>
    <s v="Other"/>
    <n v="56"/>
    <x v="6"/>
    <x v="0"/>
    <n v="63"/>
    <n v="64"/>
    <n v="0.56000000000000005"/>
    <s v="Desktop"/>
    <n v="46"/>
    <n v="0"/>
    <n v="0"/>
    <n v="0"/>
    <n v="0"/>
  </r>
  <r>
    <n v="6693"/>
    <s v="Other"/>
    <n v="42"/>
    <x v="4"/>
    <x v="0"/>
    <n v="169"/>
    <n v="69"/>
    <n v="0.49"/>
    <s v="Web"/>
    <n v="48"/>
    <n v="0"/>
    <n v="0"/>
    <n v="0"/>
    <n v="0"/>
  </r>
  <r>
    <n v="6694"/>
    <s v="Male"/>
    <n v="30"/>
    <x v="1"/>
    <x v="0"/>
    <n v="206"/>
    <n v="88"/>
    <n v="0.22"/>
    <s v="Web"/>
    <n v="39"/>
    <n v="0"/>
    <n v="0"/>
    <n v="0"/>
    <n v="0"/>
  </r>
  <r>
    <n v="6695"/>
    <s v="Other"/>
    <n v="19"/>
    <x v="5"/>
    <x v="1"/>
    <n v="110"/>
    <n v="71"/>
    <n v="0.16"/>
    <s v="Mobile"/>
    <n v="0"/>
    <n v="1"/>
    <n v="0"/>
    <n v="14.99"/>
    <n v="0"/>
  </r>
  <r>
    <n v="6696"/>
    <s v="Male"/>
    <n v="20"/>
    <x v="2"/>
    <x v="1"/>
    <n v="60"/>
    <n v="9"/>
    <n v="0.15"/>
    <s v="Desktop"/>
    <n v="0"/>
    <n v="1"/>
    <n v="0"/>
    <n v="14.99"/>
    <n v="0"/>
  </r>
  <r>
    <n v="6697"/>
    <s v="Female"/>
    <n v="23"/>
    <x v="6"/>
    <x v="2"/>
    <n v="247"/>
    <n v="27"/>
    <n v="0.18"/>
    <s v="Web"/>
    <n v="0"/>
    <n v="1"/>
    <n v="0"/>
    <n v="9.99"/>
    <n v="0"/>
  </r>
  <r>
    <n v="6698"/>
    <s v="Other"/>
    <n v="24"/>
    <x v="1"/>
    <x v="2"/>
    <n v="98"/>
    <n v="17"/>
    <n v="0.17"/>
    <s v="Mobile"/>
    <n v="0"/>
    <n v="1"/>
    <n v="0"/>
    <n v="9.99"/>
    <n v="0"/>
  </r>
  <r>
    <n v="6699"/>
    <s v="Other"/>
    <n v="55"/>
    <x v="5"/>
    <x v="3"/>
    <n v="214"/>
    <n v="68"/>
    <n v="0.48"/>
    <s v="Desktop"/>
    <n v="0"/>
    <n v="1"/>
    <n v="0"/>
    <n v="4.99"/>
    <n v="0"/>
  </r>
  <r>
    <n v="6700"/>
    <s v="Female"/>
    <n v="32"/>
    <x v="2"/>
    <x v="2"/>
    <n v="69"/>
    <n v="76"/>
    <n v="0.06"/>
    <s v="Web"/>
    <n v="0"/>
    <n v="1"/>
    <n v="0"/>
    <n v="9.99"/>
    <n v="0"/>
  </r>
  <r>
    <n v="6701"/>
    <s v="Female"/>
    <n v="38"/>
    <x v="2"/>
    <x v="2"/>
    <n v="163"/>
    <n v="77"/>
    <n v="0.05"/>
    <s v="Web"/>
    <n v="0"/>
    <n v="1"/>
    <n v="0"/>
    <n v="9.99"/>
    <n v="0"/>
  </r>
  <r>
    <n v="6702"/>
    <s v="Female"/>
    <n v="18"/>
    <x v="3"/>
    <x v="1"/>
    <n v="106"/>
    <n v="52"/>
    <n v="0.13"/>
    <s v="Desktop"/>
    <n v="0"/>
    <n v="1"/>
    <n v="1"/>
    <n v="14.99"/>
    <n v="14.99"/>
  </r>
  <r>
    <n v="6703"/>
    <s v="Other"/>
    <n v="59"/>
    <x v="6"/>
    <x v="2"/>
    <n v="119"/>
    <n v="77"/>
    <n v="0.25"/>
    <s v="Mobile"/>
    <n v="0"/>
    <n v="1"/>
    <n v="0"/>
    <n v="9.99"/>
    <n v="0"/>
  </r>
  <r>
    <n v="6704"/>
    <s v="Female"/>
    <n v="27"/>
    <x v="7"/>
    <x v="2"/>
    <n v="180"/>
    <n v="83"/>
    <n v="0.54"/>
    <s v="Web"/>
    <n v="0"/>
    <n v="1"/>
    <n v="0"/>
    <n v="9.99"/>
    <n v="0"/>
  </r>
  <r>
    <n v="6705"/>
    <s v="Other"/>
    <n v="16"/>
    <x v="5"/>
    <x v="0"/>
    <n v="93"/>
    <n v="71"/>
    <n v="0.43"/>
    <s v="Web"/>
    <n v="21"/>
    <n v="0"/>
    <n v="0"/>
    <n v="0"/>
    <n v="0"/>
  </r>
  <r>
    <n v="6706"/>
    <s v="Other"/>
    <n v="40"/>
    <x v="6"/>
    <x v="2"/>
    <n v="58"/>
    <n v="83"/>
    <n v="0.27"/>
    <s v="Mobile"/>
    <n v="0"/>
    <n v="1"/>
    <n v="0"/>
    <n v="9.99"/>
    <n v="0"/>
  </r>
  <r>
    <n v="6707"/>
    <s v="Other"/>
    <n v="19"/>
    <x v="0"/>
    <x v="1"/>
    <n v="219"/>
    <n v="90"/>
    <n v="0.32"/>
    <s v="Desktop"/>
    <n v="0"/>
    <n v="1"/>
    <n v="0"/>
    <n v="14.99"/>
    <n v="0"/>
  </r>
  <r>
    <n v="6708"/>
    <s v="Other"/>
    <n v="55"/>
    <x v="4"/>
    <x v="0"/>
    <n v="92"/>
    <n v="66"/>
    <n v="0.49"/>
    <s v="Desktop"/>
    <n v="30"/>
    <n v="0"/>
    <n v="0"/>
    <n v="0"/>
    <n v="0"/>
  </r>
  <r>
    <n v="6709"/>
    <s v="Other"/>
    <n v="51"/>
    <x v="0"/>
    <x v="0"/>
    <n v="25"/>
    <n v="88"/>
    <n v="0.36"/>
    <s v="Mobile"/>
    <n v="37"/>
    <n v="0"/>
    <n v="0"/>
    <n v="0"/>
    <n v="0"/>
  </r>
  <r>
    <n v="6710"/>
    <s v="Female"/>
    <n v="52"/>
    <x v="0"/>
    <x v="0"/>
    <n v="37"/>
    <n v="18"/>
    <n v="0.42"/>
    <s v="Web"/>
    <n v="10"/>
    <n v="0"/>
    <n v="0"/>
    <n v="0"/>
    <n v="0"/>
  </r>
  <r>
    <n v="6711"/>
    <s v="Female"/>
    <n v="18"/>
    <x v="1"/>
    <x v="0"/>
    <n v="298"/>
    <n v="12"/>
    <n v="0.18"/>
    <s v="Desktop"/>
    <n v="47"/>
    <n v="0"/>
    <n v="1"/>
    <n v="0"/>
    <n v="0"/>
  </r>
  <r>
    <n v="6712"/>
    <s v="Female"/>
    <n v="53"/>
    <x v="7"/>
    <x v="3"/>
    <n v="267"/>
    <n v="47"/>
    <n v="0.49"/>
    <s v="Desktop"/>
    <n v="0"/>
    <n v="1"/>
    <n v="0"/>
    <n v="4.99"/>
    <n v="0"/>
  </r>
  <r>
    <n v="6713"/>
    <s v="Other"/>
    <n v="44"/>
    <x v="6"/>
    <x v="0"/>
    <n v="80"/>
    <n v="82"/>
    <n v="0.43"/>
    <s v="Mobile"/>
    <n v="27"/>
    <n v="0"/>
    <n v="0"/>
    <n v="0"/>
    <n v="0"/>
  </r>
  <r>
    <n v="6714"/>
    <s v="Other"/>
    <n v="56"/>
    <x v="2"/>
    <x v="1"/>
    <n v="87"/>
    <n v="24"/>
    <n v="0.3"/>
    <s v="Mobile"/>
    <n v="0"/>
    <n v="1"/>
    <n v="1"/>
    <n v="14.99"/>
    <n v="14.99"/>
  </r>
  <r>
    <n v="6715"/>
    <s v="Other"/>
    <n v="38"/>
    <x v="2"/>
    <x v="0"/>
    <n v="186"/>
    <n v="43"/>
    <n v="0.54"/>
    <s v="Desktop"/>
    <n v="8"/>
    <n v="0"/>
    <n v="0"/>
    <n v="0"/>
    <n v="0"/>
  </r>
  <r>
    <n v="6716"/>
    <s v="Other"/>
    <n v="26"/>
    <x v="4"/>
    <x v="2"/>
    <n v="245"/>
    <n v="61"/>
    <n v="0.48"/>
    <s v="Desktop"/>
    <n v="0"/>
    <n v="1"/>
    <n v="0"/>
    <n v="9.99"/>
    <n v="0"/>
  </r>
  <r>
    <n v="6717"/>
    <s v="Female"/>
    <n v="38"/>
    <x v="7"/>
    <x v="0"/>
    <n v="28"/>
    <n v="74"/>
    <n v="0.03"/>
    <s v="Web"/>
    <n v="20"/>
    <n v="0"/>
    <n v="0"/>
    <n v="0"/>
    <n v="0"/>
  </r>
  <r>
    <n v="6718"/>
    <s v="Female"/>
    <n v="29"/>
    <x v="7"/>
    <x v="2"/>
    <n v="80"/>
    <n v="52"/>
    <n v="0.53"/>
    <s v="Mobile"/>
    <n v="0"/>
    <n v="1"/>
    <n v="0"/>
    <n v="9.99"/>
    <n v="0"/>
  </r>
  <r>
    <n v="6719"/>
    <s v="Female"/>
    <n v="19"/>
    <x v="6"/>
    <x v="0"/>
    <n v="119"/>
    <n v="99"/>
    <n v="0.38"/>
    <s v="Mobile"/>
    <n v="36"/>
    <n v="0"/>
    <n v="0"/>
    <n v="0"/>
    <n v="0"/>
  </r>
  <r>
    <n v="6720"/>
    <s v="Male"/>
    <n v="17"/>
    <x v="3"/>
    <x v="3"/>
    <n v="126"/>
    <n v="68"/>
    <n v="0.49"/>
    <s v="Web"/>
    <n v="0"/>
    <n v="1"/>
    <n v="0"/>
    <n v="4.99"/>
    <n v="0"/>
  </r>
  <r>
    <n v="6721"/>
    <s v="Male"/>
    <n v="49"/>
    <x v="3"/>
    <x v="0"/>
    <n v="28"/>
    <n v="18"/>
    <n v="0.01"/>
    <s v="Desktop"/>
    <n v="22"/>
    <n v="0"/>
    <n v="1"/>
    <n v="0"/>
    <n v="0"/>
  </r>
  <r>
    <n v="6722"/>
    <s v="Male"/>
    <n v="46"/>
    <x v="7"/>
    <x v="1"/>
    <n v="96"/>
    <n v="91"/>
    <n v="0.37"/>
    <s v="Desktop"/>
    <n v="0"/>
    <n v="1"/>
    <n v="1"/>
    <n v="14.99"/>
    <n v="14.99"/>
  </r>
  <r>
    <n v="6723"/>
    <s v="Other"/>
    <n v="53"/>
    <x v="3"/>
    <x v="2"/>
    <n v="14"/>
    <n v="96"/>
    <n v="0.14000000000000001"/>
    <s v="Web"/>
    <n v="0"/>
    <n v="1"/>
    <n v="1"/>
    <n v="9.99"/>
    <n v="9.99"/>
  </r>
  <r>
    <n v="6724"/>
    <s v="Female"/>
    <n v="33"/>
    <x v="2"/>
    <x v="3"/>
    <n v="155"/>
    <n v="17"/>
    <n v="0.57999999999999996"/>
    <s v="Mobile"/>
    <n v="0"/>
    <n v="1"/>
    <n v="0"/>
    <n v="4.99"/>
    <n v="0"/>
  </r>
  <r>
    <n v="6725"/>
    <s v="Other"/>
    <n v="23"/>
    <x v="0"/>
    <x v="1"/>
    <n v="213"/>
    <n v="71"/>
    <n v="0.45"/>
    <s v="Mobile"/>
    <n v="0"/>
    <n v="1"/>
    <n v="0"/>
    <n v="14.99"/>
    <n v="0"/>
  </r>
  <r>
    <n v="6726"/>
    <s v="Female"/>
    <n v="30"/>
    <x v="7"/>
    <x v="3"/>
    <n v="173"/>
    <n v="92"/>
    <n v="0.38"/>
    <s v="Web"/>
    <n v="0"/>
    <n v="1"/>
    <n v="0"/>
    <n v="4.99"/>
    <n v="0"/>
  </r>
  <r>
    <n v="6727"/>
    <s v="Female"/>
    <n v="57"/>
    <x v="3"/>
    <x v="3"/>
    <n v="294"/>
    <n v="44"/>
    <n v="0.2"/>
    <s v="Desktop"/>
    <n v="0"/>
    <n v="1"/>
    <n v="0"/>
    <n v="4.99"/>
    <n v="0"/>
  </r>
  <r>
    <n v="6728"/>
    <s v="Other"/>
    <n v="23"/>
    <x v="6"/>
    <x v="2"/>
    <n v="83"/>
    <n v="14"/>
    <n v="0.15"/>
    <s v="Mobile"/>
    <n v="0"/>
    <n v="1"/>
    <n v="1"/>
    <n v="9.99"/>
    <n v="9.99"/>
  </r>
  <r>
    <n v="6729"/>
    <s v="Other"/>
    <n v="17"/>
    <x v="0"/>
    <x v="2"/>
    <n v="156"/>
    <n v="52"/>
    <n v="0.44"/>
    <s v="Mobile"/>
    <n v="0"/>
    <n v="1"/>
    <n v="0"/>
    <n v="9.99"/>
    <n v="0"/>
  </r>
  <r>
    <n v="6730"/>
    <s v="Female"/>
    <n v="40"/>
    <x v="6"/>
    <x v="1"/>
    <n v="214"/>
    <n v="11"/>
    <n v="0.1"/>
    <s v="Web"/>
    <n v="0"/>
    <n v="1"/>
    <n v="0"/>
    <n v="14.99"/>
    <n v="0"/>
  </r>
  <r>
    <n v="6731"/>
    <s v="Female"/>
    <n v="19"/>
    <x v="5"/>
    <x v="0"/>
    <n v="229"/>
    <n v="7"/>
    <n v="0.6"/>
    <s v="Web"/>
    <n v="37"/>
    <n v="0"/>
    <n v="0"/>
    <n v="0"/>
    <n v="0"/>
  </r>
  <r>
    <n v="6732"/>
    <s v="Male"/>
    <n v="44"/>
    <x v="5"/>
    <x v="3"/>
    <n v="170"/>
    <n v="55"/>
    <n v="0.28000000000000003"/>
    <s v="Desktop"/>
    <n v="0"/>
    <n v="1"/>
    <n v="0"/>
    <n v="4.99"/>
    <n v="0"/>
  </r>
  <r>
    <n v="6733"/>
    <s v="Other"/>
    <n v="57"/>
    <x v="6"/>
    <x v="0"/>
    <n v="270"/>
    <n v="75"/>
    <n v="0.13"/>
    <s v="Mobile"/>
    <n v="18"/>
    <n v="0"/>
    <n v="0"/>
    <n v="0"/>
    <n v="0"/>
  </r>
  <r>
    <n v="6734"/>
    <s v="Male"/>
    <n v="26"/>
    <x v="6"/>
    <x v="1"/>
    <n v="158"/>
    <n v="57"/>
    <n v="0.46"/>
    <s v="Web"/>
    <n v="0"/>
    <n v="1"/>
    <n v="0"/>
    <n v="14.99"/>
    <n v="0"/>
  </r>
  <r>
    <n v="6735"/>
    <s v="Other"/>
    <n v="48"/>
    <x v="4"/>
    <x v="1"/>
    <n v="10"/>
    <n v="5"/>
    <n v="0.33"/>
    <s v="Web"/>
    <n v="0"/>
    <n v="1"/>
    <n v="0"/>
    <n v="14.99"/>
    <n v="0"/>
  </r>
  <r>
    <n v="6736"/>
    <s v="Other"/>
    <n v="37"/>
    <x v="7"/>
    <x v="3"/>
    <n v="252"/>
    <n v="34"/>
    <n v="0.43"/>
    <s v="Mobile"/>
    <n v="0"/>
    <n v="1"/>
    <n v="1"/>
    <n v="4.99"/>
    <n v="4.99"/>
  </r>
  <r>
    <n v="6737"/>
    <s v="Other"/>
    <n v="31"/>
    <x v="3"/>
    <x v="1"/>
    <n v="139"/>
    <n v="5"/>
    <n v="0.5"/>
    <s v="Mobile"/>
    <n v="0"/>
    <n v="1"/>
    <n v="1"/>
    <n v="14.99"/>
    <n v="14.99"/>
  </r>
  <r>
    <n v="6738"/>
    <s v="Female"/>
    <n v="58"/>
    <x v="0"/>
    <x v="2"/>
    <n v="227"/>
    <n v="88"/>
    <n v="0.27"/>
    <s v="Web"/>
    <n v="0"/>
    <n v="1"/>
    <n v="0"/>
    <n v="9.99"/>
    <n v="0"/>
  </r>
  <r>
    <n v="6739"/>
    <s v="Female"/>
    <n v="52"/>
    <x v="2"/>
    <x v="3"/>
    <n v="155"/>
    <n v="39"/>
    <n v="0.34"/>
    <s v="Mobile"/>
    <n v="0"/>
    <n v="1"/>
    <n v="1"/>
    <n v="4.99"/>
    <n v="4.99"/>
  </r>
  <r>
    <n v="6740"/>
    <s v="Other"/>
    <n v="41"/>
    <x v="5"/>
    <x v="2"/>
    <n v="201"/>
    <n v="46"/>
    <n v="0.13"/>
    <s v="Mobile"/>
    <n v="0"/>
    <n v="1"/>
    <n v="0"/>
    <n v="9.99"/>
    <n v="0"/>
  </r>
  <r>
    <n v="6741"/>
    <s v="Male"/>
    <n v="20"/>
    <x v="0"/>
    <x v="3"/>
    <n v="146"/>
    <n v="73"/>
    <n v="0.34"/>
    <s v="Web"/>
    <n v="0"/>
    <n v="1"/>
    <n v="1"/>
    <n v="4.99"/>
    <n v="4.99"/>
  </r>
  <r>
    <n v="6742"/>
    <s v="Other"/>
    <n v="20"/>
    <x v="7"/>
    <x v="1"/>
    <n v="81"/>
    <n v="41"/>
    <n v="0.28999999999999998"/>
    <s v="Mobile"/>
    <n v="0"/>
    <n v="1"/>
    <n v="0"/>
    <n v="14.99"/>
    <n v="0"/>
  </r>
  <r>
    <n v="6743"/>
    <s v="Female"/>
    <n v="52"/>
    <x v="5"/>
    <x v="0"/>
    <n v="252"/>
    <n v="63"/>
    <n v="0.34"/>
    <s v="Web"/>
    <n v="29"/>
    <n v="0"/>
    <n v="0"/>
    <n v="0"/>
    <n v="0"/>
  </r>
  <r>
    <n v="6744"/>
    <s v="Male"/>
    <n v="43"/>
    <x v="4"/>
    <x v="2"/>
    <n v="167"/>
    <n v="59"/>
    <n v="0.45"/>
    <s v="Web"/>
    <n v="0"/>
    <n v="1"/>
    <n v="0"/>
    <n v="9.99"/>
    <n v="0"/>
  </r>
  <r>
    <n v="6745"/>
    <s v="Female"/>
    <n v="24"/>
    <x v="5"/>
    <x v="1"/>
    <n v="261"/>
    <n v="63"/>
    <n v="0.17"/>
    <s v="Mobile"/>
    <n v="0"/>
    <n v="1"/>
    <n v="0"/>
    <n v="14.99"/>
    <n v="0"/>
  </r>
  <r>
    <n v="6746"/>
    <s v="Female"/>
    <n v="36"/>
    <x v="1"/>
    <x v="2"/>
    <n v="43"/>
    <n v="28"/>
    <n v="0.45"/>
    <s v="Mobile"/>
    <n v="0"/>
    <n v="1"/>
    <n v="0"/>
    <n v="9.99"/>
    <n v="0"/>
  </r>
  <r>
    <n v="6747"/>
    <s v="Male"/>
    <n v="53"/>
    <x v="1"/>
    <x v="3"/>
    <n v="232"/>
    <n v="94"/>
    <n v="0.12"/>
    <s v="Mobile"/>
    <n v="0"/>
    <n v="1"/>
    <n v="1"/>
    <n v="4.99"/>
    <n v="4.99"/>
  </r>
  <r>
    <n v="6748"/>
    <s v="Female"/>
    <n v="49"/>
    <x v="3"/>
    <x v="3"/>
    <n v="204"/>
    <n v="41"/>
    <n v="7.0000000000000007E-2"/>
    <s v="Desktop"/>
    <n v="0"/>
    <n v="1"/>
    <n v="1"/>
    <n v="4.99"/>
    <n v="4.99"/>
  </r>
  <r>
    <n v="6749"/>
    <s v="Other"/>
    <n v="26"/>
    <x v="4"/>
    <x v="1"/>
    <n v="274"/>
    <n v="48"/>
    <n v="0.59"/>
    <s v="Desktop"/>
    <n v="0"/>
    <n v="1"/>
    <n v="1"/>
    <n v="14.99"/>
    <n v="14.99"/>
  </r>
  <r>
    <n v="6750"/>
    <s v="Other"/>
    <n v="54"/>
    <x v="2"/>
    <x v="0"/>
    <n v="296"/>
    <n v="74"/>
    <n v="0.22"/>
    <s v="Desktop"/>
    <n v="10"/>
    <n v="0"/>
    <n v="0"/>
    <n v="0"/>
    <n v="0"/>
  </r>
  <r>
    <n v="6751"/>
    <s v="Male"/>
    <n v="35"/>
    <x v="3"/>
    <x v="0"/>
    <n v="223"/>
    <n v="97"/>
    <n v="0.08"/>
    <s v="Mobile"/>
    <n v="27"/>
    <n v="0"/>
    <n v="0"/>
    <n v="0"/>
    <n v="0"/>
  </r>
  <r>
    <n v="6752"/>
    <s v="Female"/>
    <n v="26"/>
    <x v="1"/>
    <x v="2"/>
    <n v="292"/>
    <n v="78"/>
    <n v="0.37"/>
    <s v="Desktop"/>
    <n v="0"/>
    <n v="1"/>
    <n v="1"/>
    <n v="9.99"/>
    <n v="9.99"/>
  </r>
  <r>
    <n v="6753"/>
    <s v="Female"/>
    <n v="30"/>
    <x v="6"/>
    <x v="2"/>
    <n v="18"/>
    <n v="95"/>
    <n v="0.47"/>
    <s v="Web"/>
    <n v="0"/>
    <n v="1"/>
    <n v="0"/>
    <n v="9.99"/>
    <n v="0"/>
  </r>
  <r>
    <n v="6754"/>
    <s v="Female"/>
    <n v="28"/>
    <x v="6"/>
    <x v="0"/>
    <n v="250"/>
    <n v="58"/>
    <n v="0.44"/>
    <s v="Web"/>
    <n v="6"/>
    <n v="0"/>
    <n v="0"/>
    <n v="0"/>
    <n v="0"/>
  </r>
  <r>
    <n v="6755"/>
    <s v="Male"/>
    <n v="35"/>
    <x v="2"/>
    <x v="1"/>
    <n v="158"/>
    <n v="78"/>
    <n v="0.2"/>
    <s v="Desktop"/>
    <n v="0"/>
    <n v="1"/>
    <n v="0"/>
    <n v="14.99"/>
    <n v="0"/>
  </r>
  <r>
    <n v="6756"/>
    <s v="Female"/>
    <n v="57"/>
    <x v="6"/>
    <x v="0"/>
    <n v="256"/>
    <n v="62"/>
    <n v="0.56000000000000005"/>
    <s v="Mobile"/>
    <n v="49"/>
    <n v="0"/>
    <n v="0"/>
    <n v="0"/>
    <n v="0"/>
  </r>
  <r>
    <n v="6757"/>
    <s v="Male"/>
    <n v="30"/>
    <x v="7"/>
    <x v="1"/>
    <n v="54"/>
    <n v="68"/>
    <n v="0.01"/>
    <s v="Mobile"/>
    <n v="0"/>
    <n v="1"/>
    <n v="0"/>
    <n v="14.99"/>
    <n v="0"/>
  </r>
  <r>
    <n v="6758"/>
    <s v="Male"/>
    <n v="46"/>
    <x v="6"/>
    <x v="3"/>
    <n v="156"/>
    <n v="29"/>
    <n v="0.52"/>
    <s v="Mobile"/>
    <n v="0"/>
    <n v="1"/>
    <n v="0"/>
    <n v="4.99"/>
    <n v="0"/>
  </r>
  <r>
    <n v="6759"/>
    <s v="Female"/>
    <n v="48"/>
    <x v="2"/>
    <x v="2"/>
    <n v="126"/>
    <n v="59"/>
    <n v="0.26"/>
    <s v="Web"/>
    <n v="0"/>
    <n v="1"/>
    <n v="0"/>
    <n v="9.99"/>
    <n v="0"/>
  </r>
  <r>
    <n v="6760"/>
    <s v="Male"/>
    <n v="28"/>
    <x v="4"/>
    <x v="3"/>
    <n v="240"/>
    <n v="31"/>
    <n v="0.56000000000000005"/>
    <s v="Mobile"/>
    <n v="0"/>
    <n v="1"/>
    <n v="0"/>
    <n v="4.99"/>
    <n v="0"/>
  </r>
  <r>
    <n v="6761"/>
    <s v="Female"/>
    <n v="43"/>
    <x v="5"/>
    <x v="1"/>
    <n v="82"/>
    <n v="11"/>
    <n v="0.49"/>
    <s v="Desktop"/>
    <n v="0"/>
    <n v="1"/>
    <n v="0"/>
    <n v="14.99"/>
    <n v="0"/>
  </r>
  <r>
    <n v="6762"/>
    <s v="Other"/>
    <n v="43"/>
    <x v="0"/>
    <x v="2"/>
    <n v="251"/>
    <n v="21"/>
    <n v="0.34"/>
    <s v="Desktop"/>
    <n v="0"/>
    <n v="1"/>
    <n v="0"/>
    <n v="9.99"/>
    <n v="0"/>
  </r>
  <r>
    <n v="6763"/>
    <s v="Female"/>
    <n v="33"/>
    <x v="1"/>
    <x v="3"/>
    <n v="43"/>
    <n v="59"/>
    <n v="0.51"/>
    <s v="Desktop"/>
    <n v="0"/>
    <n v="1"/>
    <n v="0"/>
    <n v="4.99"/>
    <n v="0"/>
  </r>
  <r>
    <n v="6764"/>
    <s v="Other"/>
    <n v="59"/>
    <x v="0"/>
    <x v="3"/>
    <n v="270"/>
    <n v="86"/>
    <n v="0.43"/>
    <s v="Mobile"/>
    <n v="0"/>
    <n v="1"/>
    <n v="1"/>
    <n v="4.99"/>
    <n v="4.99"/>
  </r>
  <r>
    <n v="6765"/>
    <s v="Male"/>
    <n v="28"/>
    <x v="2"/>
    <x v="2"/>
    <n v="160"/>
    <n v="2"/>
    <n v="0.24"/>
    <s v="Mobile"/>
    <n v="0"/>
    <n v="1"/>
    <n v="0"/>
    <n v="9.99"/>
    <n v="0"/>
  </r>
  <r>
    <n v="6766"/>
    <s v="Female"/>
    <n v="23"/>
    <x v="7"/>
    <x v="2"/>
    <n v="266"/>
    <n v="60"/>
    <n v="0"/>
    <s v="Web"/>
    <n v="0"/>
    <n v="1"/>
    <n v="0"/>
    <n v="9.99"/>
    <n v="0"/>
  </r>
  <r>
    <n v="6767"/>
    <s v="Other"/>
    <n v="30"/>
    <x v="1"/>
    <x v="0"/>
    <n v="171"/>
    <n v="50"/>
    <n v="0.33"/>
    <s v="Web"/>
    <n v="24"/>
    <n v="0"/>
    <n v="0"/>
    <n v="0"/>
    <n v="0"/>
  </r>
  <r>
    <n v="6768"/>
    <s v="Female"/>
    <n v="21"/>
    <x v="3"/>
    <x v="1"/>
    <n v="154"/>
    <n v="8"/>
    <n v="0.35"/>
    <s v="Web"/>
    <n v="0"/>
    <n v="1"/>
    <n v="0"/>
    <n v="14.99"/>
    <n v="0"/>
  </r>
  <r>
    <n v="6769"/>
    <s v="Male"/>
    <n v="43"/>
    <x v="5"/>
    <x v="0"/>
    <n v="164"/>
    <n v="42"/>
    <n v="0.49"/>
    <s v="Desktop"/>
    <n v="6"/>
    <n v="0"/>
    <n v="1"/>
    <n v="0"/>
    <n v="0"/>
  </r>
  <r>
    <n v="6770"/>
    <s v="Female"/>
    <n v="56"/>
    <x v="3"/>
    <x v="0"/>
    <n v="294"/>
    <n v="20"/>
    <n v="0.1"/>
    <s v="Web"/>
    <n v="7"/>
    <n v="0"/>
    <n v="1"/>
    <n v="0"/>
    <n v="0"/>
  </r>
  <r>
    <n v="6771"/>
    <s v="Other"/>
    <n v="37"/>
    <x v="1"/>
    <x v="2"/>
    <n v="18"/>
    <n v="60"/>
    <n v="0.1"/>
    <s v="Mobile"/>
    <n v="0"/>
    <n v="1"/>
    <n v="0"/>
    <n v="9.99"/>
    <n v="0"/>
  </r>
  <r>
    <n v="6772"/>
    <s v="Other"/>
    <n v="36"/>
    <x v="1"/>
    <x v="0"/>
    <n v="190"/>
    <n v="45"/>
    <n v="0.36"/>
    <s v="Mobile"/>
    <n v="24"/>
    <n v="0"/>
    <n v="0"/>
    <n v="0"/>
    <n v="0"/>
  </r>
  <r>
    <n v="6773"/>
    <s v="Female"/>
    <n v="56"/>
    <x v="0"/>
    <x v="2"/>
    <n v="74"/>
    <n v="86"/>
    <n v="0.08"/>
    <s v="Mobile"/>
    <n v="0"/>
    <n v="1"/>
    <n v="1"/>
    <n v="9.99"/>
    <n v="9.99"/>
  </r>
  <r>
    <n v="6774"/>
    <s v="Male"/>
    <n v="25"/>
    <x v="2"/>
    <x v="0"/>
    <n v="93"/>
    <n v="6"/>
    <n v="0.47"/>
    <s v="Desktop"/>
    <n v="39"/>
    <n v="0"/>
    <n v="0"/>
    <n v="0"/>
    <n v="0"/>
  </r>
  <r>
    <n v="6775"/>
    <s v="Other"/>
    <n v="42"/>
    <x v="6"/>
    <x v="1"/>
    <n v="205"/>
    <n v="5"/>
    <n v="0.42"/>
    <s v="Desktop"/>
    <n v="0"/>
    <n v="1"/>
    <n v="0"/>
    <n v="14.99"/>
    <n v="0"/>
  </r>
  <r>
    <n v="6776"/>
    <s v="Other"/>
    <n v="50"/>
    <x v="7"/>
    <x v="1"/>
    <n v="170"/>
    <n v="39"/>
    <n v="0.26"/>
    <s v="Mobile"/>
    <n v="0"/>
    <n v="1"/>
    <n v="0"/>
    <n v="14.99"/>
    <n v="0"/>
  </r>
  <r>
    <n v="6777"/>
    <s v="Female"/>
    <n v="35"/>
    <x v="3"/>
    <x v="1"/>
    <n v="33"/>
    <n v="29"/>
    <n v="0.16"/>
    <s v="Desktop"/>
    <n v="0"/>
    <n v="1"/>
    <n v="0"/>
    <n v="14.99"/>
    <n v="0"/>
  </r>
  <r>
    <n v="6778"/>
    <s v="Female"/>
    <n v="52"/>
    <x v="7"/>
    <x v="0"/>
    <n v="188"/>
    <n v="86"/>
    <n v="0.54"/>
    <s v="Desktop"/>
    <n v="29"/>
    <n v="0"/>
    <n v="0"/>
    <n v="0"/>
    <n v="0"/>
  </r>
  <r>
    <n v="6779"/>
    <s v="Other"/>
    <n v="16"/>
    <x v="5"/>
    <x v="0"/>
    <n v="72"/>
    <n v="95"/>
    <n v="0.17"/>
    <s v="Web"/>
    <n v="43"/>
    <n v="0"/>
    <n v="0"/>
    <n v="0"/>
    <n v="0"/>
  </r>
  <r>
    <n v="6780"/>
    <s v="Male"/>
    <n v="53"/>
    <x v="3"/>
    <x v="0"/>
    <n v="167"/>
    <n v="80"/>
    <n v="0.13"/>
    <s v="Mobile"/>
    <n v="40"/>
    <n v="0"/>
    <n v="0"/>
    <n v="0"/>
    <n v="0"/>
  </r>
  <r>
    <n v="6781"/>
    <s v="Female"/>
    <n v="52"/>
    <x v="1"/>
    <x v="3"/>
    <n v="126"/>
    <n v="59"/>
    <n v="0.45"/>
    <s v="Web"/>
    <n v="0"/>
    <n v="1"/>
    <n v="1"/>
    <n v="4.99"/>
    <n v="4.99"/>
  </r>
  <r>
    <n v="6782"/>
    <s v="Other"/>
    <n v="42"/>
    <x v="3"/>
    <x v="1"/>
    <n v="75"/>
    <n v="8"/>
    <n v="0.52"/>
    <s v="Desktop"/>
    <n v="0"/>
    <n v="1"/>
    <n v="1"/>
    <n v="14.99"/>
    <n v="14.99"/>
  </r>
  <r>
    <n v="6783"/>
    <s v="Other"/>
    <n v="34"/>
    <x v="2"/>
    <x v="0"/>
    <n v="167"/>
    <n v="31"/>
    <n v="0.32"/>
    <s v="Mobile"/>
    <n v="41"/>
    <n v="0"/>
    <n v="0"/>
    <n v="0"/>
    <n v="0"/>
  </r>
  <r>
    <n v="6784"/>
    <s v="Female"/>
    <n v="27"/>
    <x v="4"/>
    <x v="3"/>
    <n v="158"/>
    <n v="77"/>
    <n v="0.55000000000000004"/>
    <s v="Mobile"/>
    <n v="0"/>
    <n v="1"/>
    <n v="0"/>
    <n v="4.99"/>
    <n v="0"/>
  </r>
  <r>
    <n v="6785"/>
    <s v="Male"/>
    <n v="33"/>
    <x v="0"/>
    <x v="1"/>
    <n v="225"/>
    <n v="23"/>
    <n v="0.25"/>
    <s v="Mobile"/>
    <n v="0"/>
    <n v="1"/>
    <n v="0"/>
    <n v="14.99"/>
    <n v="0"/>
  </r>
  <r>
    <n v="6786"/>
    <s v="Male"/>
    <n v="17"/>
    <x v="3"/>
    <x v="3"/>
    <n v="196"/>
    <n v="21"/>
    <n v="0.54"/>
    <s v="Mobile"/>
    <n v="0"/>
    <n v="1"/>
    <n v="0"/>
    <n v="4.99"/>
    <n v="0"/>
  </r>
  <r>
    <n v="6787"/>
    <s v="Male"/>
    <n v="25"/>
    <x v="0"/>
    <x v="0"/>
    <n v="163"/>
    <n v="92"/>
    <n v="0.21"/>
    <s v="Desktop"/>
    <n v="8"/>
    <n v="0"/>
    <n v="0"/>
    <n v="0"/>
    <n v="0"/>
  </r>
  <r>
    <n v="6788"/>
    <s v="Male"/>
    <n v="57"/>
    <x v="4"/>
    <x v="2"/>
    <n v="125"/>
    <n v="20"/>
    <n v="0.1"/>
    <s v="Web"/>
    <n v="0"/>
    <n v="1"/>
    <n v="0"/>
    <n v="9.99"/>
    <n v="0"/>
  </r>
  <r>
    <n v="6789"/>
    <s v="Female"/>
    <n v="18"/>
    <x v="3"/>
    <x v="0"/>
    <n v="240"/>
    <n v="74"/>
    <n v="0.18"/>
    <s v="Desktop"/>
    <n v="46"/>
    <n v="0"/>
    <n v="0"/>
    <n v="0"/>
    <n v="0"/>
  </r>
  <r>
    <n v="6790"/>
    <s v="Male"/>
    <n v="31"/>
    <x v="6"/>
    <x v="0"/>
    <n v="166"/>
    <n v="72"/>
    <n v="0.45"/>
    <s v="Mobile"/>
    <n v="20"/>
    <n v="0"/>
    <n v="0"/>
    <n v="0"/>
    <n v="0"/>
  </r>
  <r>
    <n v="6791"/>
    <s v="Female"/>
    <n v="17"/>
    <x v="2"/>
    <x v="3"/>
    <n v="119"/>
    <n v="35"/>
    <n v="0.11"/>
    <s v="Desktop"/>
    <n v="0"/>
    <n v="1"/>
    <n v="0"/>
    <n v="4.99"/>
    <n v="0"/>
  </r>
  <r>
    <n v="6792"/>
    <s v="Other"/>
    <n v="30"/>
    <x v="5"/>
    <x v="0"/>
    <n v="183"/>
    <n v="61"/>
    <n v="0.32"/>
    <s v="Desktop"/>
    <n v="36"/>
    <n v="0"/>
    <n v="0"/>
    <n v="0"/>
    <n v="0"/>
  </r>
  <r>
    <n v="6793"/>
    <s v="Other"/>
    <n v="35"/>
    <x v="2"/>
    <x v="0"/>
    <n v="55"/>
    <n v="51"/>
    <n v="0.16"/>
    <s v="Mobile"/>
    <n v="12"/>
    <n v="0"/>
    <n v="0"/>
    <n v="0"/>
    <n v="0"/>
  </r>
  <r>
    <n v="6794"/>
    <s v="Male"/>
    <n v="56"/>
    <x v="6"/>
    <x v="2"/>
    <n v="280"/>
    <n v="4"/>
    <n v="0.14000000000000001"/>
    <s v="Desktop"/>
    <n v="0"/>
    <n v="1"/>
    <n v="0"/>
    <n v="9.99"/>
    <n v="0"/>
  </r>
  <r>
    <n v="6795"/>
    <s v="Other"/>
    <n v="46"/>
    <x v="4"/>
    <x v="1"/>
    <n v="283"/>
    <n v="33"/>
    <n v="0.4"/>
    <s v="Desktop"/>
    <n v="0"/>
    <n v="1"/>
    <n v="0"/>
    <n v="14.99"/>
    <n v="0"/>
  </r>
  <r>
    <n v="6796"/>
    <s v="Other"/>
    <n v="27"/>
    <x v="0"/>
    <x v="1"/>
    <n v="261"/>
    <n v="74"/>
    <n v="0.09"/>
    <s v="Desktop"/>
    <n v="0"/>
    <n v="1"/>
    <n v="0"/>
    <n v="14.99"/>
    <n v="0"/>
  </r>
  <r>
    <n v="6797"/>
    <s v="Female"/>
    <n v="31"/>
    <x v="2"/>
    <x v="1"/>
    <n v="205"/>
    <n v="53"/>
    <n v="0.13"/>
    <s v="Web"/>
    <n v="0"/>
    <n v="1"/>
    <n v="1"/>
    <n v="14.99"/>
    <n v="14.99"/>
  </r>
  <r>
    <n v="6798"/>
    <s v="Male"/>
    <n v="19"/>
    <x v="2"/>
    <x v="2"/>
    <n v="84"/>
    <n v="78"/>
    <n v="0.04"/>
    <s v="Mobile"/>
    <n v="0"/>
    <n v="1"/>
    <n v="0"/>
    <n v="9.99"/>
    <n v="0"/>
  </r>
  <r>
    <n v="6799"/>
    <s v="Female"/>
    <n v="40"/>
    <x v="6"/>
    <x v="3"/>
    <n v="167"/>
    <n v="81"/>
    <n v="0.53"/>
    <s v="Mobile"/>
    <n v="0"/>
    <n v="1"/>
    <n v="0"/>
    <n v="4.99"/>
    <n v="0"/>
  </r>
  <r>
    <n v="6800"/>
    <s v="Male"/>
    <n v="26"/>
    <x v="6"/>
    <x v="0"/>
    <n v="35"/>
    <n v="18"/>
    <n v="0.23"/>
    <s v="Web"/>
    <n v="41"/>
    <n v="0"/>
    <n v="0"/>
    <n v="0"/>
    <n v="0"/>
  </r>
  <r>
    <n v="6801"/>
    <s v="Female"/>
    <n v="42"/>
    <x v="6"/>
    <x v="3"/>
    <n v="73"/>
    <n v="32"/>
    <n v="0.25"/>
    <s v="Desktop"/>
    <n v="0"/>
    <n v="1"/>
    <n v="1"/>
    <n v="4.99"/>
    <n v="4.99"/>
  </r>
  <r>
    <n v="6802"/>
    <s v="Male"/>
    <n v="33"/>
    <x v="4"/>
    <x v="2"/>
    <n v="54"/>
    <n v="44"/>
    <n v="0.5"/>
    <s v="Web"/>
    <n v="0"/>
    <n v="1"/>
    <n v="0"/>
    <n v="9.99"/>
    <n v="0"/>
  </r>
  <r>
    <n v="6803"/>
    <s v="Other"/>
    <n v="59"/>
    <x v="2"/>
    <x v="2"/>
    <n v="106"/>
    <n v="37"/>
    <n v="0.53"/>
    <s v="Mobile"/>
    <n v="0"/>
    <n v="1"/>
    <n v="0"/>
    <n v="9.99"/>
    <n v="0"/>
  </r>
  <r>
    <n v="6804"/>
    <s v="Male"/>
    <n v="41"/>
    <x v="0"/>
    <x v="1"/>
    <n v="140"/>
    <n v="82"/>
    <n v="0.43"/>
    <s v="Mobile"/>
    <n v="0"/>
    <n v="1"/>
    <n v="1"/>
    <n v="14.99"/>
    <n v="14.99"/>
  </r>
  <r>
    <n v="6805"/>
    <s v="Other"/>
    <n v="31"/>
    <x v="0"/>
    <x v="1"/>
    <n v="200"/>
    <n v="24"/>
    <n v="0.15"/>
    <s v="Desktop"/>
    <n v="0"/>
    <n v="1"/>
    <n v="0"/>
    <n v="14.99"/>
    <n v="0"/>
  </r>
  <r>
    <n v="6806"/>
    <s v="Male"/>
    <n v="31"/>
    <x v="5"/>
    <x v="1"/>
    <n v="274"/>
    <n v="36"/>
    <n v="0.13"/>
    <s v="Desktop"/>
    <n v="0"/>
    <n v="1"/>
    <n v="0"/>
    <n v="14.99"/>
    <n v="0"/>
  </r>
  <r>
    <n v="6807"/>
    <s v="Male"/>
    <n v="43"/>
    <x v="5"/>
    <x v="2"/>
    <n v="75"/>
    <n v="43"/>
    <n v="0.56999999999999995"/>
    <s v="Desktop"/>
    <n v="0"/>
    <n v="1"/>
    <n v="1"/>
    <n v="9.99"/>
    <n v="9.99"/>
  </r>
  <r>
    <n v="6808"/>
    <s v="Female"/>
    <n v="51"/>
    <x v="7"/>
    <x v="2"/>
    <n v="166"/>
    <n v="77"/>
    <n v="0.28999999999999998"/>
    <s v="Web"/>
    <n v="0"/>
    <n v="1"/>
    <n v="0"/>
    <n v="9.99"/>
    <n v="0"/>
  </r>
  <r>
    <n v="6809"/>
    <s v="Female"/>
    <n v="45"/>
    <x v="2"/>
    <x v="2"/>
    <n v="203"/>
    <n v="88"/>
    <n v="0.33"/>
    <s v="Mobile"/>
    <n v="0"/>
    <n v="1"/>
    <n v="0"/>
    <n v="9.99"/>
    <n v="0"/>
  </r>
  <r>
    <n v="6810"/>
    <s v="Female"/>
    <n v="35"/>
    <x v="7"/>
    <x v="1"/>
    <n v="18"/>
    <n v="35"/>
    <n v="0.19"/>
    <s v="Desktop"/>
    <n v="0"/>
    <n v="1"/>
    <n v="0"/>
    <n v="14.99"/>
    <n v="0"/>
  </r>
  <r>
    <n v="6811"/>
    <s v="Female"/>
    <n v="17"/>
    <x v="2"/>
    <x v="1"/>
    <n v="127"/>
    <n v="75"/>
    <n v="0.09"/>
    <s v="Mobile"/>
    <n v="0"/>
    <n v="1"/>
    <n v="1"/>
    <n v="14.99"/>
    <n v="14.99"/>
  </r>
  <r>
    <n v="6812"/>
    <s v="Male"/>
    <n v="32"/>
    <x v="6"/>
    <x v="3"/>
    <n v="198"/>
    <n v="5"/>
    <n v="0.21"/>
    <s v="Mobile"/>
    <n v="0"/>
    <n v="1"/>
    <n v="0"/>
    <n v="4.99"/>
    <n v="0"/>
  </r>
  <r>
    <n v="6813"/>
    <s v="Other"/>
    <n v="21"/>
    <x v="7"/>
    <x v="2"/>
    <n v="265"/>
    <n v="68"/>
    <n v="0.56999999999999995"/>
    <s v="Desktop"/>
    <n v="0"/>
    <n v="1"/>
    <n v="0"/>
    <n v="9.99"/>
    <n v="0"/>
  </r>
  <r>
    <n v="6814"/>
    <s v="Male"/>
    <n v="37"/>
    <x v="4"/>
    <x v="3"/>
    <n v="119"/>
    <n v="57"/>
    <n v="0.1"/>
    <s v="Web"/>
    <n v="0"/>
    <n v="1"/>
    <n v="0"/>
    <n v="4.99"/>
    <n v="0"/>
  </r>
  <r>
    <n v="6815"/>
    <s v="Female"/>
    <n v="25"/>
    <x v="2"/>
    <x v="3"/>
    <n v="55"/>
    <n v="93"/>
    <n v="0.57999999999999996"/>
    <s v="Mobile"/>
    <n v="0"/>
    <n v="1"/>
    <n v="0"/>
    <n v="4.99"/>
    <n v="0"/>
  </r>
  <r>
    <n v="6816"/>
    <s v="Other"/>
    <n v="56"/>
    <x v="6"/>
    <x v="0"/>
    <n v="298"/>
    <n v="74"/>
    <n v="0.41"/>
    <s v="Web"/>
    <n v="12"/>
    <n v="0"/>
    <n v="0"/>
    <n v="0"/>
    <n v="0"/>
  </r>
  <r>
    <n v="6817"/>
    <s v="Other"/>
    <n v="37"/>
    <x v="7"/>
    <x v="2"/>
    <n v="189"/>
    <n v="30"/>
    <n v="0.53"/>
    <s v="Mobile"/>
    <n v="0"/>
    <n v="1"/>
    <n v="1"/>
    <n v="9.99"/>
    <n v="9.99"/>
  </r>
  <r>
    <n v="6818"/>
    <s v="Male"/>
    <n v="31"/>
    <x v="0"/>
    <x v="0"/>
    <n v="139"/>
    <n v="65"/>
    <n v="0.56000000000000005"/>
    <s v="Mobile"/>
    <n v="9"/>
    <n v="0"/>
    <n v="0"/>
    <n v="0"/>
    <n v="0"/>
  </r>
  <r>
    <n v="6819"/>
    <s v="Other"/>
    <n v="23"/>
    <x v="3"/>
    <x v="3"/>
    <n v="167"/>
    <n v="91"/>
    <n v="0.22"/>
    <s v="Mobile"/>
    <n v="0"/>
    <n v="1"/>
    <n v="1"/>
    <n v="4.99"/>
    <n v="4.99"/>
  </r>
  <r>
    <n v="6820"/>
    <s v="Other"/>
    <n v="31"/>
    <x v="3"/>
    <x v="0"/>
    <n v="19"/>
    <n v="27"/>
    <n v="0.53"/>
    <s v="Mobile"/>
    <n v="16"/>
    <n v="0"/>
    <n v="0"/>
    <n v="0"/>
    <n v="0"/>
  </r>
  <r>
    <n v="6821"/>
    <s v="Male"/>
    <n v="58"/>
    <x v="2"/>
    <x v="3"/>
    <n v="298"/>
    <n v="82"/>
    <n v="0.36"/>
    <s v="Desktop"/>
    <n v="0"/>
    <n v="1"/>
    <n v="0"/>
    <n v="4.99"/>
    <n v="0"/>
  </r>
  <r>
    <n v="6822"/>
    <s v="Other"/>
    <n v="43"/>
    <x v="4"/>
    <x v="2"/>
    <n v="54"/>
    <n v="36"/>
    <n v="0.3"/>
    <s v="Desktop"/>
    <n v="0"/>
    <n v="1"/>
    <n v="0"/>
    <n v="9.99"/>
    <n v="0"/>
  </r>
  <r>
    <n v="6823"/>
    <s v="Male"/>
    <n v="17"/>
    <x v="2"/>
    <x v="0"/>
    <n v="89"/>
    <n v="15"/>
    <n v="0.19"/>
    <s v="Mobile"/>
    <n v="40"/>
    <n v="0"/>
    <n v="1"/>
    <n v="0"/>
    <n v="0"/>
  </r>
  <r>
    <n v="6824"/>
    <s v="Female"/>
    <n v="33"/>
    <x v="5"/>
    <x v="2"/>
    <n v="57"/>
    <n v="16"/>
    <n v="0.08"/>
    <s v="Web"/>
    <n v="0"/>
    <n v="1"/>
    <n v="0"/>
    <n v="9.99"/>
    <n v="0"/>
  </r>
  <r>
    <n v="6825"/>
    <s v="Other"/>
    <n v="32"/>
    <x v="4"/>
    <x v="1"/>
    <n v="105"/>
    <n v="17"/>
    <n v="0.17"/>
    <s v="Web"/>
    <n v="0"/>
    <n v="1"/>
    <n v="0"/>
    <n v="14.99"/>
    <n v="0"/>
  </r>
  <r>
    <n v="6826"/>
    <s v="Female"/>
    <n v="19"/>
    <x v="6"/>
    <x v="2"/>
    <n v="85"/>
    <n v="65"/>
    <n v="0.01"/>
    <s v="Desktop"/>
    <n v="0"/>
    <n v="1"/>
    <n v="0"/>
    <n v="9.99"/>
    <n v="0"/>
  </r>
  <r>
    <n v="6827"/>
    <s v="Female"/>
    <n v="47"/>
    <x v="2"/>
    <x v="2"/>
    <n v="144"/>
    <n v="6"/>
    <n v="0.46"/>
    <s v="Mobile"/>
    <n v="0"/>
    <n v="1"/>
    <n v="1"/>
    <n v="9.99"/>
    <n v="9.99"/>
  </r>
  <r>
    <n v="6828"/>
    <s v="Male"/>
    <n v="44"/>
    <x v="2"/>
    <x v="0"/>
    <n v="24"/>
    <n v="95"/>
    <n v="0.15"/>
    <s v="Mobile"/>
    <n v="7"/>
    <n v="0"/>
    <n v="0"/>
    <n v="0"/>
    <n v="0"/>
  </r>
  <r>
    <n v="6829"/>
    <s v="Other"/>
    <n v="33"/>
    <x v="0"/>
    <x v="3"/>
    <n v="287"/>
    <n v="53"/>
    <n v="0.02"/>
    <s v="Mobile"/>
    <n v="0"/>
    <n v="1"/>
    <n v="0"/>
    <n v="4.99"/>
    <n v="0"/>
  </r>
  <r>
    <n v="6830"/>
    <s v="Other"/>
    <n v="34"/>
    <x v="4"/>
    <x v="3"/>
    <n v="32"/>
    <n v="36"/>
    <n v="0.48"/>
    <s v="Desktop"/>
    <n v="0"/>
    <n v="1"/>
    <n v="0"/>
    <n v="4.99"/>
    <n v="0"/>
  </r>
  <r>
    <n v="6831"/>
    <s v="Male"/>
    <n v="19"/>
    <x v="0"/>
    <x v="2"/>
    <n v="286"/>
    <n v="26"/>
    <n v="0.08"/>
    <s v="Desktop"/>
    <n v="0"/>
    <n v="1"/>
    <n v="0"/>
    <n v="9.99"/>
    <n v="0"/>
  </r>
  <r>
    <n v="6832"/>
    <s v="Female"/>
    <n v="47"/>
    <x v="0"/>
    <x v="1"/>
    <n v="54"/>
    <n v="53"/>
    <n v="0.19"/>
    <s v="Desktop"/>
    <n v="0"/>
    <n v="1"/>
    <n v="0"/>
    <n v="14.99"/>
    <n v="0"/>
  </r>
  <r>
    <n v="6833"/>
    <s v="Male"/>
    <n v="40"/>
    <x v="6"/>
    <x v="3"/>
    <n v="14"/>
    <n v="51"/>
    <n v="0.04"/>
    <s v="Mobile"/>
    <n v="0"/>
    <n v="1"/>
    <n v="1"/>
    <n v="4.99"/>
    <n v="4.99"/>
  </r>
  <r>
    <n v="6834"/>
    <s v="Male"/>
    <n v="59"/>
    <x v="6"/>
    <x v="2"/>
    <n v="195"/>
    <n v="67"/>
    <n v="0.56999999999999995"/>
    <s v="Desktop"/>
    <n v="0"/>
    <n v="1"/>
    <n v="0"/>
    <n v="9.99"/>
    <n v="0"/>
  </r>
  <r>
    <n v="6835"/>
    <s v="Female"/>
    <n v="44"/>
    <x v="2"/>
    <x v="1"/>
    <n v="274"/>
    <n v="49"/>
    <n v="0.43"/>
    <s v="Desktop"/>
    <n v="0"/>
    <n v="1"/>
    <n v="0"/>
    <n v="14.99"/>
    <n v="0"/>
  </r>
  <r>
    <n v="6836"/>
    <s v="Other"/>
    <n v="41"/>
    <x v="3"/>
    <x v="3"/>
    <n v="232"/>
    <n v="94"/>
    <n v="0.16"/>
    <s v="Desktop"/>
    <n v="0"/>
    <n v="1"/>
    <n v="0"/>
    <n v="4.99"/>
    <n v="0"/>
  </r>
  <r>
    <n v="6837"/>
    <s v="Other"/>
    <n v="19"/>
    <x v="4"/>
    <x v="0"/>
    <n v="102"/>
    <n v="34"/>
    <n v="0.36"/>
    <s v="Desktop"/>
    <n v="43"/>
    <n v="0"/>
    <n v="0"/>
    <n v="0"/>
    <n v="0"/>
  </r>
  <r>
    <n v="6838"/>
    <s v="Male"/>
    <n v="47"/>
    <x v="0"/>
    <x v="2"/>
    <n v="123"/>
    <n v="42"/>
    <n v="0.54"/>
    <s v="Mobile"/>
    <n v="0"/>
    <n v="1"/>
    <n v="1"/>
    <n v="9.99"/>
    <n v="9.99"/>
  </r>
  <r>
    <n v="6839"/>
    <s v="Female"/>
    <n v="34"/>
    <x v="3"/>
    <x v="0"/>
    <n v="171"/>
    <n v="94"/>
    <n v="0.03"/>
    <s v="Web"/>
    <n v="24"/>
    <n v="0"/>
    <n v="0"/>
    <n v="0"/>
    <n v="0"/>
  </r>
  <r>
    <n v="6840"/>
    <s v="Other"/>
    <n v="57"/>
    <x v="5"/>
    <x v="1"/>
    <n v="223"/>
    <n v="19"/>
    <n v="0.46"/>
    <s v="Mobile"/>
    <n v="0"/>
    <n v="1"/>
    <n v="0"/>
    <n v="14.99"/>
    <n v="0"/>
  </r>
  <r>
    <n v="6841"/>
    <s v="Other"/>
    <n v="42"/>
    <x v="5"/>
    <x v="3"/>
    <n v="158"/>
    <n v="21"/>
    <n v="0.1"/>
    <s v="Mobile"/>
    <n v="0"/>
    <n v="1"/>
    <n v="1"/>
    <n v="4.99"/>
    <n v="4.99"/>
  </r>
  <r>
    <n v="6842"/>
    <s v="Female"/>
    <n v="24"/>
    <x v="6"/>
    <x v="0"/>
    <n v="161"/>
    <n v="62"/>
    <n v="0.2"/>
    <s v="Desktop"/>
    <n v="26"/>
    <n v="0"/>
    <n v="0"/>
    <n v="0"/>
    <n v="0"/>
  </r>
  <r>
    <n v="6843"/>
    <s v="Female"/>
    <n v="40"/>
    <x v="7"/>
    <x v="2"/>
    <n v="43"/>
    <n v="32"/>
    <n v="0.02"/>
    <s v="Web"/>
    <n v="0"/>
    <n v="1"/>
    <n v="1"/>
    <n v="9.99"/>
    <n v="9.99"/>
  </r>
  <r>
    <n v="6844"/>
    <s v="Male"/>
    <n v="58"/>
    <x v="7"/>
    <x v="2"/>
    <n v="35"/>
    <n v="4"/>
    <n v="0.25"/>
    <s v="Mobile"/>
    <n v="0"/>
    <n v="1"/>
    <n v="0"/>
    <n v="9.99"/>
    <n v="0"/>
  </r>
  <r>
    <n v="6845"/>
    <s v="Female"/>
    <n v="29"/>
    <x v="0"/>
    <x v="2"/>
    <n v="66"/>
    <n v="30"/>
    <n v="0.08"/>
    <s v="Mobile"/>
    <n v="0"/>
    <n v="1"/>
    <n v="0"/>
    <n v="9.99"/>
    <n v="0"/>
  </r>
  <r>
    <n v="6846"/>
    <s v="Other"/>
    <n v="23"/>
    <x v="7"/>
    <x v="2"/>
    <n v="115"/>
    <n v="13"/>
    <n v="0.16"/>
    <s v="Mobile"/>
    <n v="0"/>
    <n v="1"/>
    <n v="0"/>
    <n v="9.99"/>
    <n v="0"/>
  </r>
  <r>
    <n v="6847"/>
    <s v="Female"/>
    <n v="46"/>
    <x v="2"/>
    <x v="2"/>
    <n v="152"/>
    <n v="88"/>
    <n v="0.02"/>
    <s v="Desktop"/>
    <n v="0"/>
    <n v="1"/>
    <n v="0"/>
    <n v="9.99"/>
    <n v="0"/>
  </r>
  <r>
    <n v="6848"/>
    <s v="Female"/>
    <n v="44"/>
    <x v="1"/>
    <x v="1"/>
    <n v="44"/>
    <n v="86"/>
    <n v="0.56000000000000005"/>
    <s v="Mobile"/>
    <n v="0"/>
    <n v="1"/>
    <n v="1"/>
    <n v="14.99"/>
    <n v="14.99"/>
  </r>
  <r>
    <n v="6849"/>
    <s v="Other"/>
    <n v="55"/>
    <x v="5"/>
    <x v="1"/>
    <n v="63"/>
    <n v="11"/>
    <n v="0.24"/>
    <s v="Desktop"/>
    <n v="0"/>
    <n v="1"/>
    <n v="1"/>
    <n v="14.99"/>
    <n v="14.99"/>
  </r>
  <r>
    <n v="6850"/>
    <s v="Other"/>
    <n v="55"/>
    <x v="5"/>
    <x v="3"/>
    <n v="220"/>
    <n v="35"/>
    <n v="0.31"/>
    <s v="Desktop"/>
    <n v="0"/>
    <n v="1"/>
    <n v="0"/>
    <n v="4.99"/>
    <n v="0"/>
  </r>
  <r>
    <n v="6851"/>
    <s v="Male"/>
    <n v="47"/>
    <x v="7"/>
    <x v="0"/>
    <n v="32"/>
    <n v="52"/>
    <n v="0.33"/>
    <s v="Desktop"/>
    <n v="48"/>
    <n v="0"/>
    <n v="0"/>
    <n v="0"/>
    <n v="0"/>
  </r>
  <r>
    <n v="6852"/>
    <s v="Female"/>
    <n v="24"/>
    <x v="5"/>
    <x v="0"/>
    <n v="170"/>
    <n v="23"/>
    <n v="0.37"/>
    <s v="Desktop"/>
    <n v="23"/>
    <n v="0"/>
    <n v="0"/>
    <n v="0"/>
    <n v="0"/>
  </r>
  <r>
    <n v="6853"/>
    <s v="Female"/>
    <n v="38"/>
    <x v="6"/>
    <x v="1"/>
    <n v="10"/>
    <n v="10"/>
    <n v="0.56000000000000005"/>
    <s v="Web"/>
    <n v="0"/>
    <n v="1"/>
    <n v="0"/>
    <n v="14.99"/>
    <n v="0"/>
  </r>
  <r>
    <n v="6854"/>
    <s v="Other"/>
    <n v="48"/>
    <x v="2"/>
    <x v="0"/>
    <n v="172"/>
    <n v="63"/>
    <n v="0.41"/>
    <s v="Mobile"/>
    <n v="33"/>
    <n v="0"/>
    <n v="0"/>
    <n v="0"/>
    <n v="0"/>
  </r>
  <r>
    <n v="6855"/>
    <s v="Male"/>
    <n v="47"/>
    <x v="6"/>
    <x v="0"/>
    <n v="192"/>
    <n v="11"/>
    <n v="0.42"/>
    <s v="Mobile"/>
    <n v="44"/>
    <n v="0"/>
    <n v="0"/>
    <n v="0"/>
    <n v="0"/>
  </r>
  <r>
    <n v="6856"/>
    <s v="Other"/>
    <n v="46"/>
    <x v="3"/>
    <x v="2"/>
    <n v="13"/>
    <n v="68"/>
    <n v="0.57999999999999996"/>
    <s v="Web"/>
    <n v="0"/>
    <n v="1"/>
    <n v="0"/>
    <n v="9.99"/>
    <n v="0"/>
  </r>
  <r>
    <n v="6857"/>
    <s v="Other"/>
    <n v="35"/>
    <x v="3"/>
    <x v="0"/>
    <n v="234"/>
    <n v="79"/>
    <n v="0.44"/>
    <s v="Desktop"/>
    <n v="9"/>
    <n v="0"/>
    <n v="0"/>
    <n v="0"/>
    <n v="0"/>
  </r>
  <r>
    <n v="6858"/>
    <s v="Other"/>
    <n v="17"/>
    <x v="3"/>
    <x v="0"/>
    <n v="222"/>
    <n v="92"/>
    <n v="0.56999999999999995"/>
    <s v="Web"/>
    <n v="16"/>
    <n v="0"/>
    <n v="1"/>
    <n v="0"/>
    <n v="0"/>
  </r>
  <r>
    <n v="6859"/>
    <s v="Other"/>
    <n v="52"/>
    <x v="6"/>
    <x v="1"/>
    <n v="223"/>
    <n v="47"/>
    <n v="0.18"/>
    <s v="Desktop"/>
    <n v="0"/>
    <n v="1"/>
    <n v="0"/>
    <n v="14.99"/>
    <n v="0"/>
  </r>
  <r>
    <n v="6860"/>
    <s v="Female"/>
    <n v="41"/>
    <x v="6"/>
    <x v="0"/>
    <n v="40"/>
    <n v="44"/>
    <n v="0.39"/>
    <s v="Web"/>
    <n v="43"/>
    <n v="0"/>
    <n v="0"/>
    <n v="0"/>
    <n v="0"/>
  </r>
  <r>
    <n v="6861"/>
    <s v="Male"/>
    <n v="23"/>
    <x v="5"/>
    <x v="1"/>
    <n v="242"/>
    <n v="14"/>
    <n v="0.24"/>
    <s v="Mobile"/>
    <n v="0"/>
    <n v="1"/>
    <n v="0"/>
    <n v="14.99"/>
    <n v="0"/>
  </r>
  <r>
    <n v="6862"/>
    <s v="Male"/>
    <n v="25"/>
    <x v="4"/>
    <x v="2"/>
    <n v="265"/>
    <n v="36"/>
    <n v="0.21"/>
    <s v="Mobile"/>
    <n v="0"/>
    <n v="1"/>
    <n v="0"/>
    <n v="9.99"/>
    <n v="0"/>
  </r>
  <r>
    <n v="6863"/>
    <s v="Female"/>
    <n v="27"/>
    <x v="2"/>
    <x v="1"/>
    <n v="225"/>
    <n v="48"/>
    <n v="0.19"/>
    <s v="Web"/>
    <n v="0"/>
    <n v="1"/>
    <n v="0"/>
    <n v="14.99"/>
    <n v="0"/>
  </r>
  <r>
    <n v="6864"/>
    <s v="Other"/>
    <n v="25"/>
    <x v="5"/>
    <x v="1"/>
    <n v="67"/>
    <n v="22"/>
    <n v="0.09"/>
    <s v="Mobile"/>
    <n v="0"/>
    <n v="1"/>
    <n v="1"/>
    <n v="14.99"/>
    <n v="14.99"/>
  </r>
  <r>
    <n v="6865"/>
    <s v="Female"/>
    <n v="50"/>
    <x v="7"/>
    <x v="1"/>
    <n v="30"/>
    <n v="84"/>
    <n v="0.41"/>
    <s v="Mobile"/>
    <n v="0"/>
    <n v="1"/>
    <n v="1"/>
    <n v="14.99"/>
    <n v="14.99"/>
  </r>
  <r>
    <n v="6866"/>
    <s v="Other"/>
    <n v="52"/>
    <x v="6"/>
    <x v="2"/>
    <n v="100"/>
    <n v="3"/>
    <n v="0.53"/>
    <s v="Desktop"/>
    <n v="0"/>
    <n v="1"/>
    <n v="0"/>
    <n v="9.99"/>
    <n v="0"/>
  </r>
  <r>
    <n v="6867"/>
    <s v="Male"/>
    <n v="20"/>
    <x v="7"/>
    <x v="1"/>
    <n v="148"/>
    <n v="49"/>
    <n v="0.04"/>
    <s v="Web"/>
    <n v="0"/>
    <n v="1"/>
    <n v="0"/>
    <n v="14.99"/>
    <n v="0"/>
  </r>
  <r>
    <n v="6868"/>
    <s v="Male"/>
    <n v="52"/>
    <x v="7"/>
    <x v="3"/>
    <n v="138"/>
    <n v="45"/>
    <n v="0.59"/>
    <s v="Desktop"/>
    <n v="0"/>
    <n v="1"/>
    <n v="0"/>
    <n v="4.99"/>
    <n v="0"/>
  </r>
  <r>
    <n v="6869"/>
    <s v="Female"/>
    <n v="21"/>
    <x v="2"/>
    <x v="3"/>
    <n v="297"/>
    <n v="40"/>
    <n v="0.23"/>
    <s v="Web"/>
    <n v="0"/>
    <n v="1"/>
    <n v="0"/>
    <n v="4.99"/>
    <n v="0"/>
  </r>
  <r>
    <n v="6870"/>
    <s v="Other"/>
    <n v="50"/>
    <x v="4"/>
    <x v="3"/>
    <n v="177"/>
    <n v="53"/>
    <n v="0.22"/>
    <s v="Desktop"/>
    <n v="0"/>
    <n v="1"/>
    <n v="0"/>
    <n v="4.99"/>
    <n v="0"/>
  </r>
  <r>
    <n v="6871"/>
    <s v="Male"/>
    <n v="48"/>
    <x v="1"/>
    <x v="2"/>
    <n v="202"/>
    <n v="63"/>
    <n v="0.54"/>
    <s v="Desktop"/>
    <n v="0"/>
    <n v="1"/>
    <n v="0"/>
    <n v="9.99"/>
    <n v="0"/>
  </r>
  <r>
    <n v="6872"/>
    <s v="Other"/>
    <n v="48"/>
    <x v="5"/>
    <x v="2"/>
    <n v="134"/>
    <n v="91"/>
    <n v="0.14000000000000001"/>
    <s v="Desktop"/>
    <n v="0"/>
    <n v="1"/>
    <n v="0"/>
    <n v="9.99"/>
    <n v="0"/>
  </r>
  <r>
    <n v="6873"/>
    <s v="Male"/>
    <n v="39"/>
    <x v="2"/>
    <x v="3"/>
    <n v="240"/>
    <n v="73"/>
    <n v="0.39"/>
    <s v="Web"/>
    <n v="0"/>
    <n v="1"/>
    <n v="0"/>
    <n v="4.99"/>
    <n v="0"/>
  </r>
  <r>
    <n v="6874"/>
    <s v="Other"/>
    <n v="33"/>
    <x v="5"/>
    <x v="3"/>
    <n v="71"/>
    <n v="73"/>
    <n v="0.21"/>
    <s v="Desktop"/>
    <n v="0"/>
    <n v="1"/>
    <n v="0"/>
    <n v="4.99"/>
    <n v="0"/>
  </r>
  <r>
    <n v="6875"/>
    <s v="Male"/>
    <n v="43"/>
    <x v="5"/>
    <x v="2"/>
    <n v="152"/>
    <n v="76"/>
    <n v="0.55000000000000004"/>
    <s v="Web"/>
    <n v="0"/>
    <n v="1"/>
    <n v="0"/>
    <n v="9.99"/>
    <n v="0"/>
  </r>
  <r>
    <n v="6876"/>
    <s v="Female"/>
    <n v="52"/>
    <x v="1"/>
    <x v="3"/>
    <n v="107"/>
    <n v="89"/>
    <n v="0.06"/>
    <s v="Web"/>
    <n v="0"/>
    <n v="1"/>
    <n v="0"/>
    <n v="4.99"/>
    <n v="0"/>
  </r>
  <r>
    <n v="6877"/>
    <s v="Other"/>
    <n v="52"/>
    <x v="3"/>
    <x v="3"/>
    <n v="102"/>
    <n v="36"/>
    <n v="0.45"/>
    <s v="Mobile"/>
    <n v="0"/>
    <n v="1"/>
    <n v="0"/>
    <n v="4.99"/>
    <n v="0"/>
  </r>
  <r>
    <n v="6878"/>
    <s v="Male"/>
    <n v="26"/>
    <x v="7"/>
    <x v="0"/>
    <n v="14"/>
    <n v="45"/>
    <n v="0.31"/>
    <s v="Desktop"/>
    <n v="29"/>
    <n v="0"/>
    <n v="1"/>
    <n v="0"/>
    <n v="0"/>
  </r>
  <r>
    <n v="6879"/>
    <s v="Male"/>
    <n v="53"/>
    <x v="7"/>
    <x v="0"/>
    <n v="213"/>
    <n v="87"/>
    <n v="0.6"/>
    <s v="Web"/>
    <n v="20"/>
    <n v="0"/>
    <n v="0"/>
    <n v="0"/>
    <n v="0"/>
  </r>
  <r>
    <n v="6880"/>
    <s v="Other"/>
    <n v="21"/>
    <x v="3"/>
    <x v="0"/>
    <n v="141"/>
    <n v="4"/>
    <n v="0.27"/>
    <s v="Desktop"/>
    <n v="37"/>
    <n v="0"/>
    <n v="1"/>
    <n v="0"/>
    <n v="0"/>
  </r>
  <r>
    <n v="6881"/>
    <s v="Male"/>
    <n v="18"/>
    <x v="4"/>
    <x v="3"/>
    <n v="132"/>
    <n v="92"/>
    <n v="0.19"/>
    <s v="Web"/>
    <n v="0"/>
    <n v="1"/>
    <n v="0"/>
    <n v="4.99"/>
    <n v="0"/>
  </r>
  <r>
    <n v="6882"/>
    <s v="Female"/>
    <n v="56"/>
    <x v="3"/>
    <x v="0"/>
    <n v="227"/>
    <n v="83"/>
    <n v="0.44"/>
    <s v="Web"/>
    <n v="7"/>
    <n v="0"/>
    <n v="0"/>
    <n v="0"/>
    <n v="0"/>
  </r>
  <r>
    <n v="6883"/>
    <s v="Male"/>
    <n v="57"/>
    <x v="2"/>
    <x v="1"/>
    <n v="284"/>
    <n v="52"/>
    <n v="0.35"/>
    <s v="Web"/>
    <n v="0"/>
    <n v="1"/>
    <n v="0"/>
    <n v="14.99"/>
    <n v="0"/>
  </r>
  <r>
    <n v="6884"/>
    <s v="Other"/>
    <n v="22"/>
    <x v="0"/>
    <x v="3"/>
    <n v="48"/>
    <n v="10"/>
    <n v="0.36"/>
    <s v="Mobile"/>
    <n v="0"/>
    <n v="1"/>
    <n v="0"/>
    <n v="4.99"/>
    <n v="0"/>
  </r>
  <r>
    <n v="6885"/>
    <s v="Other"/>
    <n v="54"/>
    <x v="1"/>
    <x v="0"/>
    <n v="271"/>
    <n v="33"/>
    <n v="0.57999999999999996"/>
    <s v="Desktop"/>
    <n v="8"/>
    <n v="0"/>
    <n v="0"/>
    <n v="0"/>
    <n v="0"/>
  </r>
  <r>
    <n v="6886"/>
    <s v="Female"/>
    <n v="38"/>
    <x v="6"/>
    <x v="3"/>
    <n v="53"/>
    <n v="82"/>
    <n v="0.28000000000000003"/>
    <s v="Desktop"/>
    <n v="0"/>
    <n v="1"/>
    <n v="0"/>
    <n v="4.99"/>
    <n v="0"/>
  </r>
  <r>
    <n v="6887"/>
    <s v="Female"/>
    <n v="35"/>
    <x v="5"/>
    <x v="2"/>
    <n v="16"/>
    <n v="16"/>
    <n v="0.09"/>
    <s v="Desktop"/>
    <n v="0"/>
    <n v="1"/>
    <n v="0"/>
    <n v="9.99"/>
    <n v="0"/>
  </r>
  <r>
    <n v="6888"/>
    <s v="Male"/>
    <n v="46"/>
    <x v="7"/>
    <x v="3"/>
    <n v="283"/>
    <n v="90"/>
    <n v="0.15"/>
    <s v="Web"/>
    <n v="0"/>
    <n v="1"/>
    <n v="0"/>
    <n v="4.99"/>
    <n v="0"/>
  </r>
  <r>
    <n v="6889"/>
    <s v="Male"/>
    <n v="48"/>
    <x v="4"/>
    <x v="0"/>
    <n v="94"/>
    <n v="10"/>
    <n v="0.18"/>
    <s v="Mobile"/>
    <n v="9"/>
    <n v="0"/>
    <n v="0"/>
    <n v="0"/>
    <n v="0"/>
  </r>
  <r>
    <n v="6890"/>
    <s v="Female"/>
    <n v="51"/>
    <x v="1"/>
    <x v="3"/>
    <n v="279"/>
    <n v="93"/>
    <n v="0.32"/>
    <s v="Desktop"/>
    <n v="0"/>
    <n v="1"/>
    <n v="0"/>
    <n v="4.99"/>
    <n v="0"/>
  </r>
  <r>
    <n v="6891"/>
    <s v="Female"/>
    <n v="48"/>
    <x v="0"/>
    <x v="0"/>
    <n v="120"/>
    <n v="78"/>
    <n v="0.54"/>
    <s v="Mobile"/>
    <n v="41"/>
    <n v="0"/>
    <n v="1"/>
    <n v="0"/>
    <n v="0"/>
  </r>
  <r>
    <n v="6892"/>
    <s v="Male"/>
    <n v="55"/>
    <x v="1"/>
    <x v="3"/>
    <n v="55"/>
    <n v="1"/>
    <n v="0.09"/>
    <s v="Web"/>
    <n v="0"/>
    <n v="1"/>
    <n v="0"/>
    <n v="4.99"/>
    <n v="0"/>
  </r>
  <r>
    <n v="6893"/>
    <s v="Male"/>
    <n v="57"/>
    <x v="5"/>
    <x v="2"/>
    <n v="244"/>
    <n v="36"/>
    <n v="0.26"/>
    <s v="Desktop"/>
    <n v="0"/>
    <n v="1"/>
    <n v="0"/>
    <n v="9.99"/>
    <n v="0"/>
  </r>
  <r>
    <n v="6894"/>
    <s v="Other"/>
    <n v="26"/>
    <x v="6"/>
    <x v="3"/>
    <n v="199"/>
    <n v="71"/>
    <n v="0.25"/>
    <s v="Desktop"/>
    <n v="0"/>
    <n v="1"/>
    <n v="1"/>
    <n v="4.99"/>
    <n v="4.99"/>
  </r>
  <r>
    <n v="6895"/>
    <s v="Male"/>
    <n v="44"/>
    <x v="7"/>
    <x v="0"/>
    <n v="67"/>
    <n v="80"/>
    <n v="7.0000000000000007E-2"/>
    <s v="Desktop"/>
    <n v="35"/>
    <n v="0"/>
    <n v="0"/>
    <n v="0"/>
    <n v="0"/>
  </r>
  <r>
    <n v="6896"/>
    <s v="Male"/>
    <n v="20"/>
    <x v="0"/>
    <x v="1"/>
    <n v="288"/>
    <n v="37"/>
    <n v="0.01"/>
    <s v="Mobile"/>
    <n v="0"/>
    <n v="1"/>
    <n v="0"/>
    <n v="14.99"/>
    <n v="0"/>
  </r>
  <r>
    <n v="6897"/>
    <s v="Male"/>
    <n v="42"/>
    <x v="7"/>
    <x v="2"/>
    <n v="92"/>
    <n v="13"/>
    <n v="0.09"/>
    <s v="Mobile"/>
    <n v="0"/>
    <n v="1"/>
    <n v="0"/>
    <n v="9.99"/>
    <n v="0"/>
  </r>
  <r>
    <n v="6898"/>
    <s v="Other"/>
    <n v="23"/>
    <x v="7"/>
    <x v="2"/>
    <n v="160"/>
    <n v="50"/>
    <n v="0.2"/>
    <s v="Web"/>
    <n v="0"/>
    <n v="1"/>
    <n v="0"/>
    <n v="9.99"/>
    <n v="0"/>
  </r>
  <r>
    <n v="6899"/>
    <s v="Male"/>
    <n v="50"/>
    <x v="0"/>
    <x v="3"/>
    <n v="138"/>
    <n v="11"/>
    <n v="0.24"/>
    <s v="Web"/>
    <n v="0"/>
    <n v="1"/>
    <n v="0"/>
    <n v="4.99"/>
    <n v="0"/>
  </r>
  <r>
    <n v="6900"/>
    <s v="Female"/>
    <n v="54"/>
    <x v="2"/>
    <x v="1"/>
    <n v="16"/>
    <n v="14"/>
    <n v="0.59"/>
    <s v="Mobile"/>
    <n v="0"/>
    <n v="1"/>
    <n v="0"/>
    <n v="14.99"/>
    <n v="0"/>
  </r>
  <r>
    <n v="6901"/>
    <s v="Female"/>
    <n v="18"/>
    <x v="6"/>
    <x v="0"/>
    <n v="39"/>
    <n v="38"/>
    <n v="0.25"/>
    <s v="Desktop"/>
    <n v="41"/>
    <n v="0"/>
    <n v="1"/>
    <n v="0"/>
    <n v="0"/>
  </r>
  <r>
    <n v="6902"/>
    <s v="Female"/>
    <n v="51"/>
    <x v="3"/>
    <x v="0"/>
    <n v="214"/>
    <n v="26"/>
    <n v="0.24"/>
    <s v="Web"/>
    <n v="47"/>
    <n v="0"/>
    <n v="0"/>
    <n v="0"/>
    <n v="0"/>
  </r>
  <r>
    <n v="6903"/>
    <s v="Other"/>
    <n v="34"/>
    <x v="0"/>
    <x v="0"/>
    <n v="138"/>
    <n v="36"/>
    <n v="0.32"/>
    <s v="Desktop"/>
    <n v="9"/>
    <n v="0"/>
    <n v="0"/>
    <n v="0"/>
    <n v="0"/>
  </r>
  <r>
    <n v="6904"/>
    <s v="Female"/>
    <n v="43"/>
    <x v="1"/>
    <x v="3"/>
    <n v="30"/>
    <n v="38"/>
    <n v="0.18"/>
    <s v="Web"/>
    <n v="0"/>
    <n v="1"/>
    <n v="0"/>
    <n v="4.99"/>
    <n v="0"/>
  </r>
  <r>
    <n v="6905"/>
    <s v="Female"/>
    <n v="30"/>
    <x v="4"/>
    <x v="2"/>
    <n v="187"/>
    <n v="56"/>
    <n v="0.31"/>
    <s v="Mobile"/>
    <n v="0"/>
    <n v="1"/>
    <n v="0"/>
    <n v="9.99"/>
    <n v="0"/>
  </r>
  <r>
    <n v="6906"/>
    <s v="Other"/>
    <n v="57"/>
    <x v="1"/>
    <x v="3"/>
    <n v="214"/>
    <n v="30"/>
    <n v="0.17"/>
    <s v="Desktop"/>
    <n v="0"/>
    <n v="1"/>
    <n v="1"/>
    <n v="4.99"/>
    <n v="4.99"/>
  </r>
  <r>
    <n v="6907"/>
    <s v="Female"/>
    <n v="59"/>
    <x v="3"/>
    <x v="2"/>
    <n v="238"/>
    <n v="95"/>
    <n v="0.12"/>
    <s v="Desktop"/>
    <n v="0"/>
    <n v="1"/>
    <n v="1"/>
    <n v="9.99"/>
    <n v="9.99"/>
  </r>
  <r>
    <n v="6908"/>
    <s v="Male"/>
    <n v="50"/>
    <x v="1"/>
    <x v="3"/>
    <n v="177"/>
    <n v="15"/>
    <n v="0.3"/>
    <s v="Desktop"/>
    <n v="0"/>
    <n v="1"/>
    <n v="1"/>
    <n v="4.99"/>
    <n v="4.99"/>
  </r>
  <r>
    <n v="6909"/>
    <s v="Female"/>
    <n v="58"/>
    <x v="3"/>
    <x v="3"/>
    <n v="124"/>
    <n v="4"/>
    <n v="0.46"/>
    <s v="Web"/>
    <n v="0"/>
    <n v="1"/>
    <n v="1"/>
    <n v="4.99"/>
    <n v="4.99"/>
  </r>
  <r>
    <n v="6910"/>
    <s v="Male"/>
    <n v="21"/>
    <x v="6"/>
    <x v="0"/>
    <n v="126"/>
    <n v="31"/>
    <n v="0.46"/>
    <s v="Desktop"/>
    <n v="15"/>
    <n v="0"/>
    <n v="1"/>
    <n v="0"/>
    <n v="0"/>
  </r>
  <r>
    <n v="6911"/>
    <s v="Female"/>
    <n v="28"/>
    <x v="5"/>
    <x v="2"/>
    <n v="115"/>
    <n v="46"/>
    <n v="0.56000000000000005"/>
    <s v="Desktop"/>
    <n v="0"/>
    <n v="1"/>
    <n v="0"/>
    <n v="9.99"/>
    <n v="0"/>
  </r>
  <r>
    <n v="6912"/>
    <s v="Male"/>
    <n v="52"/>
    <x v="5"/>
    <x v="0"/>
    <n v="191"/>
    <n v="39"/>
    <n v="0.19"/>
    <s v="Web"/>
    <n v="7"/>
    <n v="0"/>
    <n v="0"/>
    <n v="0"/>
    <n v="0"/>
  </r>
  <r>
    <n v="6913"/>
    <s v="Female"/>
    <n v="27"/>
    <x v="5"/>
    <x v="2"/>
    <n v="264"/>
    <n v="84"/>
    <n v="0.4"/>
    <s v="Web"/>
    <n v="0"/>
    <n v="1"/>
    <n v="0"/>
    <n v="9.99"/>
    <n v="0"/>
  </r>
  <r>
    <n v="6914"/>
    <s v="Other"/>
    <n v="27"/>
    <x v="0"/>
    <x v="1"/>
    <n v="83"/>
    <n v="68"/>
    <n v="0.21"/>
    <s v="Web"/>
    <n v="0"/>
    <n v="1"/>
    <n v="1"/>
    <n v="14.99"/>
    <n v="14.99"/>
  </r>
  <r>
    <n v="6915"/>
    <s v="Male"/>
    <n v="40"/>
    <x v="5"/>
    <x v="0"/>
    <n v="151"/>
    <n v="96"/>
    <n v="0.42"/>
    <s v="Web"/>
    <n v="18"/>
    <n v="0"/>
    <n v="0"/>
    <n v="0"/>
    <n v="0"/>
  </r>
  <r>
    <n v="6916"/>
    <s v="Male"/>
    <n v="37"/>
    <x v="6"/>
    <x v="3"/>
    <n v="147"/>
    <n v="72"/>
    <n v="0.05"/>
    <s v="Desktop"/>
    <n v="0"/>
    <n v="1"/>
    <n v="1"/>
    <n v="4.99"/>
    <n v="4.99"/>
  </r>
  <r>
    <n v="6917"/>
    <s v="Male"/>
    <n v="22"/>
    <x v="0"/>
    <x v="2"/>
    <n v="131"/>
    <n v="10"/>
    <n v="0.12"/>
    <s v="Mobile"/>
    <n v="0"/>
    <n v="1"/>
    <n v="0"/>
    <n v="9.99"/>
    <n v="0"/>
  </r>
  <r>
    <n v="6918"/>
    <s v="Other"/>
    <n v="32"/>
    <x v="2"/>
    <x v="3"/>
    <n v="91"/>
    <n v="31"/>
    <n v="0.32"/>
    <s v="Web"/>
    <n v="0"/>
    <n v="1"/>
    <n v="0"/>
    <n v="4.99"/>
    <n v="0"/>
  </r>
  <r>
    <n v="6919"/>
    <s v="Male"/>
    <n v="33"/>
    <x v="6"/>
    <x v="3"/>
    <n v="62"/>
    <n v="14"/>
    <n v="0.04"/>
    <s v="Web"/>
    <n v="0"/>
    <n v="1"/>
    <n v="0"/>
    <n v="4.99"/>
    <n v="0"/>
  </r>
  <r>
    <n v="6920"/>
    <s v="Male"/>
    <n v="47"/>
    <x v="3"/>
    <x v="3"/>
    <n v="287"/>
    <n v="69"/>
    <n v="0.22"/>
    <s v="Desktop"/>
    <n v="0"/>
    <n v="1"/>
    <n v="0"/>
    <n v="4.99"/>
    <n v="0"/>
  </r>
  <r>
    <n v="6921"/>
    <s v="Female"/>
    <n v="30"/>
    <x v="0"/>
    <x v="3"/>
    <n v="44"/>
    <n v="30"/>
    <n v="0.57999999999999996"/>
    <s v="Web"/>
    <n v="0"/>
    <n v="1"/>
    <n v="1"/>
    <n v="4.99"/>
    <n v="4.99"/>
  </r>
  <r>
    <n v="6922"/>
    <s v="Female"/>
    <n v="52"/>
    <x v="3"/>
    <x v="0"/>
    <n v="239"/>
    <n v="59"/>
    <n v="0.05"/>
    <s v="Web"/>
    <n v="8"/>
    <n v="0"/>
    <n v="0"/>
    <n v="0"/>
    <n v="0"/>
  </r>
  <r>
    <n v="6923"/>
    <s v="Female"/>
    <n v="41"/>
    <x v="3"/>
    <x v="2"/>
    <n v="132"/>
    <n v="4"/>
    <n v="0.35"/>
    <s v="Mobile"/>
    <n v="0"/>
    <n v="1"/>
    <n v="0"/>
    <n v="9.99"/>
    <n v="0"/>
  </r>
  <r>
    <n v="6924"/>
    <s v="Female"/>
    <n v="40"/>
    <x v="7"/>
    <x v="3"/>
    <n v="211"/>
    <n v="43"/>
    <n v="0.17"/>
    <s v="Mobile"/>
    <n v="0"/>
    <n v="1"/>
    <n v="1"/>
    <n v="4.99"/>
    <n v="4.99"/>
  </r>
  <r>
    <n v="6925"/>
    <s v="Male"/>
    <n v="58"/>
    <x v="6"/>
    <x v="0"/>
    <n v="44"/>
    <n v="30"/>
    <n v="0.59"/>
    <s v="Desktop"/>
    <n v="18"/>
    <n v="0"/>
    <n v="0"/>
    <n v="0"/>
    <n v="0"/>
  </r>
  <r>
    <n v="6926"/>
    <s v="Other"/>
    <n v="41"/>
    <x v="2"/>
    <x v="3"/>
    <n v="207"/>
    <n v="40"/>
    <n v="0.37"/>
    <s v="Desktop"/>
    <n v="0"/>
    <n v="1"/>
    <n v="0"/>
    <n v="4.99"/>
    <n v="0"/>
  </r>
  <r>
    <n v="6927"/>
    <s v="Female"/>
    <n v="52"/>
    <x v="1"/>
    <x v="2"/>
    <n v="99"/>
    <n v="5"/>
    <n v="0.19"/>
    <s v="Desktop"/>
    <n v="0"/>
    <n v="1"/>
    <n v="0"/>
    <n v="9.99"/>
    <n v="0"/>
  </r>
  <r>
    <n v="6928"/>
    <s v="Other"/>
    <n v="37"/>
    <x v="1"/>
    <x v="2"/>
    <n v="292"/>
    <n v="15"/>
    <n v="0.48"/>
    <s v="Mobile"/>
    <n v="0"/>
    <n v="1"/>
    <n v="0"/>
    <n v="9.99"/>
    <n v="0"/>
  </r>
  <r>
    <n v="6929"/>
    <s v="Male"/>
    <n v="21"/>
    <x v="7"/>
    <x v="3"/>
    <n v="156"/>
    <n v="55"/>
    <n v="0.34"/>
    <s v="Desktop"/>
    <n v="0"/>
    <n v="1"/>
    <n v="0"/>
    <n v="4.99"/>
    <n v="0"/>
  </r>
  <r>
    <n v="6930"/>
    <s v="Male"/>
    <n v="40"/>
    <x v="0"/>
    <x v="0"/>
    <n v="26"/>
    <n v="81"/>
    <n v="0.45"/>
    <s v="Desktop"/>
    <n v="7"/>
    <n v="0"/>
    <n v="1"/>
    <n v="0"/>
    <n v="0"/>
  </r>
  <r>
    <n v="6931"/>
    <s v="Female"/>
    <n v="25"/>
    <x v="5"/>
    <x v="0"/>
    <n v="139"/>
    <n v="49"/>
    <n v="0.5"/>
    <s v="Desktop"/>
    <n v="14"/>
    <n v="0"/>
    <n v="0"/>
    <n v="0"/>
    <n v="0"/>
  </r>
  <r>
    <n v="6932"/>
    <s v="Female"/>
    <n v="35"/>
    <x v="0"/>
    <x v="2"/>
    <n v="267"/>
    <n v="30"/>
    <n v="0.59"/>
    <s v="Desktop"/>
    <n v="0"/>
    <n v="1"/>
    <n v="0"/>
    <n v="9.99"/>
    <n v="0"/>
  </r>
  <r>
    <n v="6933"/>
    <s v="Male"/>
    <n v="51"/>
    <x v="4"/>
    <x v="2"/>
    <n v="174"/>
    <n v="58"/>
    <n v="0.15"/>
    <s v="Web"/>
    <n v="0"/>
    <n v="1"/>
    <n v="0"/>
    <n v="9.99"/>
    <n v="0"/>
  </r>
  <r>
    <n v="6934"/>
    <s v="Other"/>
    <n v="52"/>
    <x v="4"/>
    <x v="3"/>
    <n v="135"/>
    <n v="10"/>
    <n v="0.47"/>
    <s v="Desktop"/>
    <n v="0"/>
    <n v="1"/>
    <n v="1"/>
    <n v="4.99"/>
    <n v="4.99"/>
  </r>
  <r>
    <n v="6935"/>
    <s v="Male"/>
    <n v="18"/>
    <x v="4"/>
    <x v="3"/>
    <n v="195"/>
    <n v="99"/>
    <n v="0.3"/>
    <s v="Desktop"/>
    <n v="0"/>
    <n v="1"/>
    <n v="1"/>
    <n v="4.99"/>
    <n v="4.99"/>
  </r>
  <r>
    <n v="6936"/>
    <s v="Female"/>
    <n v="32"/>
    <x v="7"/>
    <x v="3"/>
    <n v="242"/>
    <n v="9"/>
    <n v="0.43"/>
    <s v="Mobile"/>
    <n v="0"/>
    <n v="1"/>
    <n v="0"/>
    <n v="4.99"/>
    <n v="0"/>
  </r>
  <r>
    <n v="6937"/>
    <s v="Female"/>
    <n v="56"/>
    <x v="6"/>
    <x v="0"/>
    <n v="149"/>
    <n v="6"/>
    <n v="0.48"/>
    <s v="Web"/>
    <n v="39"/>
    <n v="0"/>
    <n v="0"/>
    <n v="0"/>
    <n v="0"/>
  </r>
  <r>
    <n v="6938"/>
    <s v="Other"/>
    <n v="16"/>
    <x v="5"/>
    <x v="1"/>
    <n v="220"/>
    <n v="4"/>
    <n v="0.6"/>
    <s v="Desktop"/>
    <n v="0"/>
    <n v="1"/>
    <n v="1"/>
    <n v="14.99"/>
    <n v="14.99"/>
  </r>
  <r>
    <n v="6939"/>
    <s v="Female"/>
    <n v="38"/>
    <x v="7"/>
    <x v="2"/>
    <n v="55"/>
    <n v="75"/>
    <n v="0.12"/>
    <s v="Web"/>
    <n v="0"/>
    <n v="1"/>
    <n v="0"/>
    <n v="9.99"/>
    <n v="0"/>
  </r>
  <r>
    <n v="6940"/>
    <s v="Female"/>
    <n v="20"/>
    <x v="6"/>
    <x v="3"/>
    <n v="179"/>
    <n v="67"/>
    <n v="0.49"/>
    <s v="Web"/>
    <n v="0"/>
    <n v="1"/>
    <n v="1"/>
    <n v="4.99"/>
    <n v="4.99"/>
  </r>
  <r>
    <n v="6941"/>
    <s v="Male"/>
    <n v="20"/>
    <x v="1"/>
    <x v="0"/>
    <n v="142"/>
    <n v="95"/>
    <n v="0.6"/>
    <s v="Web"/>
    <n v="29"/>
    <n v="0"/>
    <n v="1"/>
    <n v="0"/>
    <n v="0"/>
  </r>
  <r>
    <n v="6942"/>
    <s v="Female"/>
    <n v="41"/>
    <x v="5"/>
    <x v="0"/>
    <n v="119"/>
    <n v="91"/>
    <n v="0.14000000000000001"/>
    <s v="Mobile"/>
    <n v="41"/>
    <n v="0"/>
    <n v="1"/>
    <n v="0"/>
    <n v="0"/>
  </r>
  <r>
    <n v="6943"/>
    <s v="Male"/>
    <n v="54"/>
    <x v="0"/>
    <x v="3"/>
    <n v="77"/>
    <n v="8"/>
    <n v="0.44"/>
    <s v="Mobile"/>
    <n v="0"/>
    <n v="1"/>
    <n v="0"/>
    <n v="4.99"/>
    <n v="0"/>
  </r>
  <r>
    <n v="6944"/>
    <s v="Male"/>
    <n v="26"/>
    <x v="1"/>
    <x v="1"/>
    <n v="241"/>
    <n v="54"/>
    <n v="0.35"/>
    <s v="Desktop"/>
    <n v="0"/>
    <n v="1"/>
    <n v="0"/>
    <n v="14.99"/>
    <n v="0"/>
  </r>
  <r>
    <n v="6945"/>
    <s v="Other"/>
    <n v="22"/>
    <x v="1"/>
    <x v="1"/>
    <n v="112"/>
    <n v="29"/>
    <n v="0.28999999999999998"/>
    <s v="Mobile"/>
    <n v="0"/>
    <n v="1"/>
    <n v="1"/>
    <n v="14.99"/>
    <n v="14.99"/>
  </r>
  <r>
    <n v="6946"/>
    <s v="Male"/>
    <n v="34"/>
    <x v="0"/>
    <x v="0"/>
    <n v="140"/>
    <n v="43"/>
    <n v="0.35"/>
    <s v="Web"/>
    <n v="18"/>
    <n v="0"/>
    <n v="1"/>
    <n v="0"/>
    <n v="0"/>
  </r>
  <r>
    <n v="6947"/>
    <s v="Other"/>
    <n v="28"/>
    <x v="6"/>
    <x v="3"/>
    <n v="187"/>
    <n v="16"/>
    <n v="0.21"/>
    <s v="Web"/>
    <n v="0"/>
    <n v="1"/>
    <n v="0"/>
    <n v="4.99"/>
    <n v="0"/>
  </r>
  <r>
    <n v="6948"/>
    <s v="Other"/>
    <n v="57"/>
    <x v="0"/>
    <x v="0"/>
    <n v="118"/>
    <n v="65"/>
    <n v="0.52"/>
    <s v="Desktop"/>
    <n v="22"/>
    <n v="0"/>
    <n v="0"/>
    <n v="0"/>
    <n v="0"/>
  </r>
  <r>
    <n v="6949"/>
    <s v="Male"/>
    <n v="57"/>
    <x v="7"/>
    <x v="3"/>
    <n v="33"/>
    <n v="63"/>
    <n v="0.18"/>
    <s v="Desktop"/>
    <n v="0"/>
    <n v="1"/>
    <n v="0"/>
    <n v="4.99"/>
    <n v="0"/>
  </r>
  <r>
    <n v="6950"/>
    <s v="Other"/>
    <n v="59"/>
    <x v="2"/>
    <x v="1"/>
    <n v="279"/>
    <n v="25"/>
    <n v="0.35"/>
    <s v="Web"/>
    <n v="0"/>
    <n v="1"/>
    <n v="1"/>
    <n v="14.99"/>
    <n v="14.99"/>
  </r>
  <r>
    <n v="6951"/>
    <s v="Other"/>
    <n v="34"/>
    <x v="1"/>
    <x v="3"/>
    <n v="11"/>
    <n v="57"/>
    <n v="0.52"/>
    <s v="Mobile"/>
    <n v="0"/>
    <n v="1"/>
    <n v="0"/>
    <n v="4.99"/>
    <n v="0"/>
  </r>
  <r>
    <n v="6952"/>
    <s v="Other"/>
    <n v="31"/>
    <x v="0"/>
    <x v="3"/>
    <n v="241"/>
    <n v="27"/>
    <n v="0.08"/>
    <s v="Web"/>
    <n v="0"/>
    <n v="1"/>
    <n v="0"/>
    <n v="4.99"/>
    <n v="0"/>
  </r>
  <r>
    <n v="6953"/>
    <s v="Female"/>
    <n v="30"/>
    <x v="4"/>
    <x v="0"/>
    <n v="28"/>
    <n v="86"/>
    <n v="0.26"/>
    <s v="Desktop"/>
    <n v="42"/>
    <n v="0"/>
    <n v="1"/>
    <n v="0"/>
    <n v="0"/>
  </r>
  <r>
    <n v="6954"/>
    <s v="Other"/>
    <n v="36"/>
    <x v="2"/>
    <x v="1"/>
    <n v="86"/>
    <n v="85"/>
    <n v="0.46"/>
    <s v="Web"/>
    <n v="0"/>
    <n v="1"/>
    <n v="0"/>
    <n v="14.99"/>
    <n v="0"/>
  </r>
  <r>
    <n v="6955"/>
    <s v="Female"/>
    <n v="21"/>
    <x v="5"/>
    <x v="1"/>
    <n v="170"/>
    <n v="5"/>
    <n v="0.48"/>
    <s v="Desktop"/>
    <n v="0"/>
    <n v="1"/>
    <n v="0"/>
    <n v="14.99"/>
    <n v="0"/>
  </r>
  <r>
    <n v="6956"/>
    <s v="Other"/>
    <n v="19"/>
    <x v="3"/>
    <x v="0"/>
    <n v="270"/>
    <n v="35"/>
    <n v="0.2"/>
    <s v="Mobile"/>
    <n v="22"/>
    <n v="0"/>
    <n v="0"/>
    <n v="0"/>
    <n v="0"/>
  </r>
  <r>
    <n v="6957"/>
    <s v="Female"/>
    <n v="57"/>
    <x v="4"/>
    <x v="0"/>
    <n v="234"/>
    <n v="32"/>
    <n v="0.14000000000000001"/>
    <s v="Web"/>
    <n v="44"/>
    <n v="0"/>
    <n v="0"/>
    <n v="0"/>
    <n v="0"/>
  </r>
  <r>
    <n v="6958"/>
    <s v="Female"/>
    <n v="17"/>
    <x v="5"/>
    <x v="3"/>
    <n v="266"/>
    <n v="52"/>
    <n v="0.41"/>
    <s v="Desktop"/>
    <n v="0"/>
    <n v="1"/>
    <n v="0"/>
    <n v="4.99"/>
    <n v="0"/>
  </r>
  <r>
    <n v="6959"/>
    <s v="Other"/>
    <n v="43"/>
    <x v="3"/>
    <x v="3"/>
    <n v="75"/>
    <n v="72"/>
    <n v="0.56999999999999995"/>
    <s v="Mobile"/>
    <n v="0"/>
    <n v="1"/>
    <n v="0"/>
    <n v="4.99"/>
    <n v="0"/>
  </r>
  <r>
    <n v="6960"/>
    <s v="Female"/>
    <n v="41"/>
    <x v="5"/>
    <x v="1"/>
    <n v="259"/>
    <n v="50"/>
    <n v="7.0000000000000007E-2"/>
    <s v="Web"/>
    <n v="0"/>
    <n v="1"/>
    <n v="0"/>
    <n v="14.99"/>
    <n v="0"/>
  </r>
  <r>
    <n v="6961"/>
    <s v="Male"/>
    <n v="46"/>
    <x v="7"/>
    <x v="1"/>
    <n v="270"/>
    <n v="14"/>
    <n v="0.05"/>
    <s v="Mobile"/>
    <n v="0"/>
    <n v="1"/>
    <n v="1"/>
    <n v="14.99"/>
    <n v="14.99"/>
  </r>
  <r>
    <n v="6962"/>
    <s v="Other"/>
    <n v="44"/>
    <x v="1"/>
    <x v="1"/>
    <n v="173"/>
    <n v="36"/>
    <n v="0.52"/>
    <s v="Web"/>
    <n v="0"/>
    <n v="1"/>
    <n v="0"/>
    <n v="14.99"/>
    <n v="0"/>
  </r>
  <r>
    <n v="6963"/>
    <s v="Other"/>
    <n v="39"/>
    <x v="3"/>
    <x v="1"/>
    <n v="240"/>
    <n v="59"/>
    <n v="0.22"/>
    <s v="Desktop"/>
    <n v="0"/>
    <n v="1"/>
    <n v="0"/>
    <n v="14.99"/>
    <n v="0"/>
  </r>
  <r>
    <n v="6964"/>
    <s v="Other"/>
    <n v="39"/>
    <x v="7"/>
    <x v="0"/>
    <n v="36"/>
    <n v="9"/>
    <n v="0.57999999999999996"/>
    <s v="Desktop"/>
    <n v="25"/>
    <n v="0"/>
    <n v="0"/>
    <n v="0"/>
    <n v="0"/>
  </r>
  <r>
    <n v="6965"/>
    <s v="Other"/>
    <n v="50"/>
    <x v="5"/>
    <x v="2"/>
    <n v="26"/>
    <n v="68"/>
    <n v="0.09"/>
    <s v="Mobile"/>
    <n v="0"/>
    <n v="1"/>
    <n v="0"/>
    <n v="9.99"/>
    <n v="0"/>
  </r>
  <r>
    <n v="6966"/>
    <s v="Male"/>
    <n v="27"/>
    <x v="2"/>
    <x v="2"/>
    <n v="247"/>
    <n v="13"/>
    <n v="0.34"/>
    <s v="Desktop"/>
    <n v="0"/>
    <n v="1"/>
    <n v="0"/>
    <n v="9.99"/>
    <n v="0"/>
  </r>
  <r>
    <n v="6967"/>
    <s v="Male"/>
    <n v="35"/>
    <x v="6"/>
    <x v="3"/>
    <n v="214"/>
    <n v="83"/>
    <n v="0.45"/>
    <s v="Desktop"/>
    <n v="0"/>
    <n v="1"/>
    <n v="1"/>
    <n v="4.99"/>
    <n v="4.99"/>
  </r>
  <r>
    <n v="6968"/>
    <s v="Male"/>
    <n v="54"/>
    <x v="4"/>
    <x v="1"/>
    <n v="11"/>
    <n v="40"/>
    <n v="0.52"/>
    <s v="Web"/>
    <n v="0"/>
    <n v="1"/>
    <n v="0"/>
    <n v="14.99"/>
    <n v="0"/>
  </r>
  <r>
    <n v="6969"/>
    <s v="Male"/>
    <n v="59"/>
    <x v="0"/>
    <x v="0"/>
    <n v="254"/>
    <n v="60"/>
    <n v="0.25"/>
    <s v="Mobile"/>
    <n v="41"/>
    <n v="0"/>
    <n v="0"/>
    <n v="0"/>
    <n v="0"/>
  </r>
  <r>
    <n v="6970"/>
    <s v="Other"/>
    <n v="25"/>
    <x v="1"/>
    <x v="0"/>
    <n v="292"/>
    <n v="87"/>
    <n v="0.04"/>
    <s v="Web"/>
    <n v="44"/>
    <n v="0"/>
    <n v="0"/>
    <n v="0"/>
    <n v="0"/>
  </r>
  <r>
    <n v="6971"/>
    <s v="Female"/>
    <n v="26"/>
    <x v="6"/>
    <x v="2"/>
    <n v="213"/>
    <n v="78"/>
    <n v="0.14000000000000001"/>
    <s v="Web"/>
    <n v="0"/>
    <n v="1"/>
    <n v="0"/>
    <n v="9.99"/>
    <n v="0"/>
  </r>
  <r>
    <n v="6972"/>
    <s v="Other"/>
    <n v="49"/>
    <x v="5"/>
    <x v="3"/>
    <n v="137"/>
    <n v="75"/>
    <n v="0.5"/>
    <s v="Desktop"/>
    <n v="0"/>
    <n v="1"/>
    <n v="1"/>
    <n v="4.99"/>
    <n v="4.99"/>
  </r>
  <r>
    <n v="6973"/>
    <s v="Female"/>
    <n v="49"/>
    <x v="7"/>
    <x v="1"/>
    <n v="238"/>
    <n v="63"/>
    <n v="0.56999999999999995"/>
    <s v="Mobile"/>
    <n v="0"/>
    <n v="1"/>
    <n v="0"/>
    <n v="14.99"/>
    <n v="0"/>
  </r>
  <r>
    <n v="6974"/>
    <s v="Female"/>
    <n v="49"/>
    <x v="5"/>
    <x v="2"/>
    <n v="174"/>
    <n v="59"/>
    <n v="0.37"/>
    <s v="Desktop"/>
    <n v="0"/>
    <n v="1"/>
    <n v="1"/>
    <n v="9.99"/>
    <n v="9.99"/>
  </r>
  <r>
    <n v="6975"/>
    <s v="Female"/>
    <n v="36"/>
    <x v="5"/>
    <x v="0"/>
    <n v="278"/>
    <n v="67"/>
    <n v="0.46"/>
    <s v="Desktop"/>
    <n v="22"/>
    <n v="0"/>
    <n v="0"/>
    <n v="0"/>
    <n v="0"/>
  </r>
  <r>
    <n v="6976"/>
    <s v="Male"/>
    <n v="45"/>
    <x v="3"/>
    <x v="1"/>
    <n v="162"/>
    <n v="28"/>
    <n v="0.23"/>
    <s v="Web"/>
    <n v="0"/>
    <n v="1"/>
    <n v="0"/>
    <n v="14.99"/>
    <n v="0"/>
  </r>
  <r>
    <n v="6977"/>
    <s v="Other"/>
    <n v="27"/>
    <x v="2"/>
    <x v="1"/>
    <n v="217"/>
    <n v="95"/>
    <n v="0.34"/>
    <s v="Web"/>
    <n v="0"/>
    <n v="1"/>
    <n v="0"/>
    <n v="14.99"/>
    <n v="0"/>
  </r>
  <r>
    <n v="6978"/>
    <s v="Other"/>
    <n v="39"/>
    <x v="6"/>
    <x v="3"/>
    <n v="264"/>
    <n v="21"/>
    <n v="0.14000000000000001"/>
    <s v="Mobile"/>
    <n v="0"/>
    <n v="1"/>
    <n v="1"/>
    <n v="4.99"/>
    <n v="4.99"/>
  </r>
  <r>
    <n v="6979"/>
    <s v="Other"/>
    <n v="25"/>
    <x v="3"/>
    <x v="0"/>
    <n v="79"/>
    <n v="16"/>
    <n v="0.55000000000000004"/>
    <s v="Desktop"/>
    <n v="32"/>
    <n v="0"/>
    <n v="0"/>
    <n v="0"/>
    <n v="0"/>
  </r>
  <r>
    <n v="6980"/>
    <s v="Female"/>
    <n v="40"/>
    <x v="0"/>
    <x v="2"/>
    <n v="23"/>
    <n v="7"/>
    <n v="0.49"/>
    <s v="Mobile"/>
    <n v="0"/>
    <n v="1"/>
    <n v="0"/>
    <n v="9.99"/>
    <n v="0"/>
  </r>
  <r>
    <n v="6981"/>
    <s v="Male"/>
    <n v="44"/>
    <x v="4"/>
    <x v="2"/>
    <n v="262"/>
    <n v="43"/>
    <n v="0.31"/>
    <s v="Desktop"/>
    <n v="0"/>
    <n v="1"/>
    <n v="0"/>
    <n v="9.99"/>
    <n v="0"/>
  </r>
  <r>
    <n v="6982"/>
    <s v="Male"/>
    <n v="29"/>
    <x v="0"/>
    <x v="1"/>
    <n v="191"/>
    <n v="43"/>
    <n v="0.11"/>
    <s v="Desktop"/>
    <n v="0"/>
    <n v="1"/>
    <n v="0"/>
    <n v="14.99"/>
    <n v="0"/>
  </r>
  <r>
    <n v="6983"/>
    <s v="Other"/>
    <n v="48"/>
    <x v="6"/>
    <x v="3"/>
    <n v="88"/>
    <n v="31"/>
    <n v="0.05"/>
    <s v="Desktop"/>
    <n v="0"/>
    <n v="1"/>
    <n v="0"/>
    <n v="4.99"/>
    <n v="0"/>
  </r>
  <r>
    <n v="6984"/>
    <s v="Male"/>
    <n v="41"/>
    <x v="7"/>
    <x v="2"/>
    <n v="204"/>
    <n v="65"/>
    <n v="0.44"/>
    <s v="Desktop"/>
    <n v="0"/>
    <n v="1"/>
    <n v="0"/>
    <n v="9.99"/>
    <n v="0"/>
  </r>
  <r>
    <n v="6985"/>
    <s v="Other"/>
    <n v="30"/>
    <x v="5"/>
    <x v="1"/>
    <n v="92"/>
    <n v="37"/>
    <n v="0.39"/>
    <s v="Web"/>
    <n v="0"/>
    <n v="1"/>
    <n v="0"/>
    <n v="14.99"/>
    <n v="0"/>
  </r>
  <r>
    <n v="6986"/>
    <s v="Male"/>
    <n v="35"/>
    <x v="6"/>
    <x v="0"/>
    <n v="61"/>
    <n v="86"/>
    <n v="0.52"/>
    <s v="Web"/>
    <n v="19"/>
    <n v="0"/>
    <n v="0"/>
    <n v="0"/>
    <n v="0"/>
  </r>
  <r>
    <n v="6987"/>
    <s v="Female"/>
    <n v="28"/>
    <x v="2"/>
    <x v="0"/>
    <n v="269"/>
    <n v="4"/>
    <n v="0.39"/>
    <s v="Web"/>
    <n v="29"/>
    <n v="0"/>
    <n v="0"/>
    <n v="0"/>
    <n v="0"/>
  </r>
  <r>
    <n v="6988"/>
    <s v="Other"/>
    <n v="36"/>
    <x v="7"/>
    <x v="0"/>
    <n v="298"/>
    <n v="51"/>
    <n v="0.56999999999999995"/>
    <s v="Web"/>
    <n v="39"/>
    <n v="0"/>
    <n v="1"/>
    <n v="0"/>
    <n v="0"/>
  </r>
  <r>
    <n v="6989"/>
    <s v="Other"/>
    <n v="57"/>
    <x v="7"/>
    <x v="2"/>
    <n v="291"/>
    <n v="96"/>
    <n v="0.06"/>
    <s v="Mobile"/>
    <n v="0"/>
    <n v="1"/>
    <n v="0"/>
    <n v="9.99"/>
    <n v="0"/>
  </r>
  <r>
    <n v="6990"/>
    <s v="Other"/>
    <n v="41"/>
    <x v="6"/>
    <x v="1"/>
    <n v="59"/>
    <n v="20"/>
    <n v="0.12"/>
    <s v="Desktop"/>
    <n v="0"/>
    <n v="1"/>
    <n v="1"/>
    <n v="14.99"/>
    <n v="14.99"/>
  </r>
  <r>
    <n v="6991"/>
    <s v="Male"/>
    <n v="23"/>
    <x v="0"/>
    <x v="1"/>
    <n v="288"/>
    <n v="25"/>
    <n v="0.2"/>
    <s v="Mobile"/>
    <n v="0"/>
    <n v="1"/>
    <n v="0"/>
    <n v="14.99"/>
    <n v="0"/>
  </r>
  <r>
    <n v="6992"/>
    <s v="Male"/>
    <n v="37"/>
    <x v="7"/>
    <x v="0"/>
    <n v="255"/>
    <n v="39"/>
    <n v="0.23"/>
    <s v="Mobile"/>
    <n v="49"/>
    <n v="0"/>
    <n v="0"/>
    <n v="0"/>
    <n v="0"/>
  </r>
  <r>
    <n v="6993"/>
    <s v="Male"/>
    <n v="50"/>
    <x v="0"/>
    <x v="0"/>
    <n v="80"/>
    <n v="76"/>
    <n v="0.39"/>
    <s v="Mobile"/>
    <n v="47"/>
    <n v="0"/>
    <n v="1"/>
    <n v="0"/>
    <n v="0"/>
  </r>
  <r>
    <n v="6994"/>
    <s v="Other"/>
    <n v="54"/>
    <x v="7"/>
    <x v="3"/>
    <n v="199"/>
    <n v="17"/>
    <n v="0.37"/>
    <s v="Web"/>
    <n v="0"/>
    <n v="1"/>
    <n v="0"/>
    <n v="4.99"/>
    <n v="0"/>
  </r>
  <r>
    <n v="6995"/>
    <s v="Other"/>
    <n v="53"/>
    <x v="4"/>
    <x v="3"/>
    <n v="11"/>
    <n v="92"/>
    <n v="0.49"/>
    <s v="Web"/>
    <n v="0"/>
    <n v="1"/>
    <n v="0"/>
    <n v="4.99"/>
    <n v="0"/>
  </r>
  <r>
    <n v="6996"/>
    <s v="Female"/>
    <n v="16"/>
    <x v="3"/>
    <x v="2"/>
    <n v="93"/>
    <n v="19"/>
    <n v="0.26"/>
    <s v="Desktop"/>
    <n v="0"/>
    <n v="1"/>
    <n v="0"/>
    <n v="9.99"/>
    <n v="0"/>
  </r>
  <r>
    <n v="6997"/>
    <s v="Female"/>
    <n v="58"/>
    <x v="3"/>
    <x v="2"/>
    <n v="122"/>
    <n v="61"/>
    <n v="0.2"/>
    <s v="Mobile"/>
    <n v="0"/>
    <n v="1"/>
    <n v="1"/>
    <n v="9.99"/>
    <n v="9.99"/>
  </r>
  <r>
    <n v="6998"/>
    <s v="Other"/>
    <n v="51"/>
    <x v="2"/>
    <x v="0"/>
    <n v="220"/>
    <n v="70"/>
    <n v="0.34"/>
    <s v="Web"/>
    <n v="44"/>
    <n v="0"/>
    <n v="0"/>
    <n v="0"/>
    <n v="0"/>
  </r>
  <r>
    <n v="6999"/>
    <s v="Male"/>
    <n v="16"/>
    <x v="3"/>
    <x v="3"/>
    <n v="49"/>
    <n v="47"/>
    <n v="0.38"/>
    <s v="Web"/>
    <n v="0"/>
    <n v="1"/>
    <n v="0"/>
    <n v="4.99"/>
    <n v="0"/>
  </r>
  <r>
    <n v="7000"/>
    <s v="Male"/>
    <n v="37"/>
    <x v="4"/>
    <x v="0"/>
    <n v="100"/>
    <n v="89"/>
    <n v="0.11"/>
    <s v="Web"/>
    <n v="13"/>
    <n v="0"/>
    <n v="0"/>
    <n v="0"/>
    <n v="0"/>
  </r>
  <r>
    <n v="7001"/>
    <s v="Female"/>
    <n v="49"/>
    <x v="4"/>
    <x v="3"/>
    <n v="57"/>
    <n v="47"/>
    <n v="0.15"/>
    <s v="Desktop"/>
    <n v="0"/>
    <n v="1"/>
    <n v="0"/>
    <n v="4.99"/>
    <n v="0"/>
  </r>
  <r>
    <n v="7002"/>
    <s v="Other"/>
    <n v="31"/>
    <x v="5"/>
    <x v="0"/>
    <n v="148"/>
    <n v="93"/>
    <n v="0.55000000000000004"/>
    <s v="Desktop"/>
    <n v="8"/>
    <n v="0"/>
    <n v="0"/>
    <n v="0"/>
    <n v="0"/>
  </r>
  <r>
    <n v="7003"/>
    <s v="Other"/>
    <n v="33"/>
    <x v="2"/>
    <x v="1"/>
    <n v="244"/>
    <n v="54"/>
    <n v="0.43"/>
    <s v="Web"/>
    <n v="0"/>
    <n v="1"/>
    <n v="0"/>
    <n v="14.99"/>
    <n v="0"/>
  </r>
  <r>
    <n v="7004"/>
    <s v="Other"/>
    <n v="37"/>
    <x v="7"/>
    <x v="2"/>
    <n v="116"/>
    <n v="65"/>
    <n v="0.3"/>
    <s v="Mobile"/>
    <n v="0"/>
    <n v="1"/>
    <n v="0"/>
    <n v="9.99"/>
    <n v="0"/>
  </r>
  <r>
    <n v="7005"/>
    <s v="Other"/>
    <n v="31"/>
    <x v="5"/>
    <x v="2"/>
    <n v="186"/>
    <n v="18"/>
    <n v="0.27"/>
    <s v="Web"/>
    <n v="0"/>
    <n v="1"/>
    <n v="0"/>
    <n v="9.99"/>
    <n v="0"/>
  </r>
  <r>
    <n v="7006"/>
    <s v="Male"/>
    <n v="17"/>
    <x v="0"/>
    <x v="2"/>
    <n v="222"/>
    <n v="47"/>
    <n v="0.21"/>
    <s v="Desktop"/>
    <n v="0"/>
    <n v="1"/>
    <n v="1"/>
    <n v="9.99"/>
    <n v="9.99"/>
  </r>
  <r>
    <n v="7007"/>
    <s v="Male"/>
    <n v="16"/>
    <x v="3"/>
    <x v="3"/>
    <n v="174"/>
    <n v="41"/>
    <n v="0.46"/>
    <s v="Web"/>
    <n v="0"/>
    <n v="1"/>
    <n v="0"/>
    <n v="4.99"/>
    <n v="0"/>
  </r>
  <r>
    <n v="7008"/>
    <s v="Other"/>
    <n v="24"/>
    <x v="7"/>
    <x v="1"/>
    <n v="276"/>
    <n v="90"/>
    <n v="0.17"/>
    <s v="Mobile"/>
    <n v="0"/>
    <n v="1"/>
    <n v="1"/>
    <n v="14.99"/>
    <n v="14.99"/>
  </r>
  <r>
    <n v="7009"/>
    <s v="Female"/>
    <n v="22"/>
    <x v="7"/>
    <x v="0"/>
    <n v="110"/>
    <n v="61"/>
    <n v="0.51"/>
    <s v="Mobile"/>
    <n v="38"/>
    <n v="0"/>
    <n v="1"/>
    <n v="0"/>
    <n v="0"/>
  </r>
  <r>
    <n v="7010"/>
    <s v="Male"/>
    <n v="31"/>
    <x v="6"/>
    <x v="2"/>
    <n v="282"/>
    <n v="3"/>
    <n v="0.56999999999999995"/>
    <s v="Desktop"/>
    <n v="0"/>
    <n v="1"/>
    <n v="0"/>
    <n v="9.99"/>
    <n v="0"/>
  </r>
  <r>
    <n v="7011"/>
    <s v="Other"/>
    <n v="51"/>
    <x v="2"/>
    <x v="1"/>
    <n v="251"/>
    <n v="77"/>
    <n v="0.53"/>
    <s v="Mobile"/>
    <n v="0"/>
    <n v="1"/>
    <n v="0"/>
    <n v="14.99"/>
    <n v="0"/>
  </r>
  <r>
    <n v="7012"/>
    <s v="Female"/>
    <n v="53"/>
    <x v="5"/>
    <x v="3"/>
    <n v="128"/>
    <n v="90"/>
    <n v="0.3"/>
    <s v="Mobile"/>
    <n v="0"/>
    <n v="1"/>
    <n v="0"/>
    <n v="4.99"/>
    <n v="0"/>
  </r>
  <r>
    <n v="7013"/>
    <s v="Other"/>
    <n v="41"/>
    <x v="2"/>
    <x v="1"/>
    <n v="95"/>
    <n v="96"/>
    <n v="0.01"/>
    <s v="Web"/>
    <n v="0"/>
    <n v="1"/>
    <n v="0"/>
    <n v="14.99"/>
    <n v="0"/>
  </r>
  <r>
    <n v="7014"/>
    <s v="Male"/>
    <n v="50"/>
    <x v="7"/>
    <x v="2"/>
    <n v="210"/>
    <n v="26"/>
    <n v="0.01"/>
    <s v="Web"/>
    <n v="0"/>
    <n v="1"/>
    <n v="1"/>
    <n v="9.99"/>
    <n v="9.99"/>
  </r>
  <r>
    <n v="7015"/>
    <s v="Female"/>
    <n v="31"/>
    <x v="5"/>
    <x v="0"/>
    <n v="252"/>
    <n v="13"/>
    <n v="0.01"/>
    <s v="Web"/>
    <n v="17"/>
    <n v="0"/>
    <n v="0"/>
    <n v="0"/>
    <n v="0"/>
  </r>
  <r>
    <n v="7016"/>
    <s v="Female"/>
    <n v="26"/>
    <x v="1"/>
    <x v="0"/>
    <n v="169"/>
    <n v="6"/>
    <n v="0.32"/>
    <s v="Web"/>
    <n v="26"/>
    <n v="0"/>
    <n v="0"/>
    <n v="0"/>
    <n v="0"/>
  </r>
  <r>
    <n v="7017"/>
    <s v="Male"/>
    <n v="18"/>
    <x v="0"/>
    <x v="2"/>
    <n v="55"/>
    <n v="85"/>
    <n v="0.53"/>
    <s v="Mobile"/>
    <n v="0"/>
    <n v="1"/>
    <n v="0"/>
    <n v="9.99"/>
    <n v="0"/>
  </r>
  <r>
    <n v="7018"/>
    <s v="Female"/>
    <n v="48"/>
    <x v="1"/>
    <x v="2"/>
    <n v="62"/>
    <n v="31"/>
    <n v="0.59"/>
    <s v="Mobile"/>
    <n v="0"/>
    <n v="1"/>
    <n v="1"/>
    <n v="9.99"/>
    <n v="9.99"/>
  </r>
  <r>
    <n v="7019"/>
    <s v="Female"/>
    <n v="29"/>
    <x v="7"/>
    <x v="3"/>
    <n v="52"/>
    <n v="1"/>
    <n v="0.36"/>
    <s v="Desktop"/>
    <n v="0"/>
    <n v="1"/>
    <n v="0"/>
    <n v="4.99"/>
    <n v="0"/>
  </r>
  <r>
    <n v="7020"/>
    <s v="Other"/>
    <n v="34"/>
    <x v="1"/>
    <x v="2"/>
    <n v="77"/>
    <n v="73"/>
    <n v="0.03"/>
    <s v="Mobile"/>
    <n v="0"/>
    <n v="1"/>
    <n v="0"/>
    <n v="9.99"/>
    <n v="0"/>
  </r>
  <r>
    <n v="7021"/>
    <s v="Other"/>
    <n v="20"/>
    <x v="1"/>
    <x v="1"/>
    <n v="285"/>
    <n v="32"/>
    <n v="0.56999999999999995"/>
    <s v="Web"/>
    <n v="0"/>
    <n v="1"/>
    <n v="0"/>
    <n v="14.99"/>
    <n v="0"/>
  </r>
  <r>
    <n v="7022"/>
    <s v="Male"/>
    <n v="55"/>
    <x v="5"/>
    <x v="2"/>
    <n v="295"/>
    <n v="27"/>
    <n v="0.39"/>
    <s v="Mobile"/>
    <n v="0"/>
    <n v="1"/>
    <n v="0"/>
    <n v="9.99"/>
    <n v="0"/>
  </r>
  <r>
    <n v="7023"/>
    <s v="Other"/>
    <n v="54"/>
    <x v="7"/>
    <x v="1"/>
    <n v="268"/>
    <n v="46"/>
    <n v="0.01"/>
    <s v="Web"/>
    <n v="0"/>
    <n v="1"/>
    <n v="1"/>
    <n v="14.99"/>
    <n v="14.99"/>
  </r>
  <r>
    <n v="7024"/>
    <s v="Other"/>
    <n v="22"/>
    <x v="6"/>
    <x v="0"/>
    <n v="154"/>
    <n v="21"/>
    <n v="0.1"/>
    <s v="Mobile"/>
    <n v="41"/>
    <n v="0"/>
    <n v="1"/>
    <n v="0"/>
    <n v="0"/>
  </r>
  <r>
    <n v="7025"/>
    <s v="Other"/>
    <n v="47"/>
    <x v="1"/>
    <x v="0"/>
    <n v="72"/>
    <n v="69"/>
    <n v="0.49"/>
    <s v="Mobile"/>
    <n v="27"/>
    <n v="0"/>
    <n v="0"/>
    <n v="0"/>
    <n v="0"/>
  </r>
  <r>
    <n v="7026"/>
    <s v="Male"/>
    <n v="37"/>
    <x v="5"/>
    <x v="2"/>
    <n v="25"/>
    <n v="53"/>
    <n v="0.4"/>
    <s v="Desktop"/>
    <n v="0"/>
    <n v="1"/>
    <n v="0"/>
    <n v="9.99"/>
    <n v="0"/>
  </r>
  <r>
    <n v="7027"/>
    <s v="Male"/>
    <n v="44"/>
    <x v="0"/>
    <x v="1"/>
    <n v="59"/>
    <n v="10"/>
    <n v="0.2"/>
    <s v="Web"/>
    <n v="0"/>
    <n v="1"/>
    <n v="0"/>
    <n v="14.99"/>
    <n v="0"/>
  </r>
  <r>
    <n v="7028"/>
    <s v="Other"/>
    <n v="46"/>
    <x v="5"/>
    <x v="1"/>
    <n v="262"/>
    <n v="74"/>
    <n v="0.16"/>
    <s v="Mobile"/>
    <n v="0"/>
    <n v="1"/>
    <n v="0"/>
    <n v="14.99"/>
    <n v="0"/>
  </r>
  <r>
    <n v="7029"/>
    <s v="Other"/>
    <n v="57"/>
    <x v="3"/>
    <x v="1"/>
    <n v="59"/>
    <n v="10"/>
    <n v="0.31"/>
    <s v="Mobile"/>
    <n v="0"/>
    <n v="1"/>
    <n v="0"/>
    <n v="14.99"/>
    <n v="0"/>
  </r>
  <r>
    <n v="7030"/>
    <s v="Male"/>
    <n v="41"/>
    <x v="5"/>
    <x v="1"/>
    <n v="27"/>
    <n v="76"/>
    <n v="0.15"/>
    <s v="Mobile"/>
    <n v="0"/>
    <n v="1"/>
    <n v="0"/>
    <n v="14.99"/>
    <n v="0"/>
  </r>
  <r>
    <n v="7031"/>
    <s v="Female"/>
    <n v="48"/>
    <x v="7"/>
    <x v="3"/>
    <n v="207"/>
    <n v="69"/>
    <n v="0.08"/>
    <s v="Desktop"/>
    <n v="0"/>
    <n v="1"/>
    <n v="0"/>
    <n v="4.99"/>
    <n v="0"/>
  </r>
  <r>
    <n v="7032"/>
    <s v="Female"/>
    <n v="59"/>
    <x v="1"/>
    <x v="1"/>
    <n v="235"/>
    <n v="51"/>
    <n v="0.31"/>
    <s v="Desktop"/>
    <n v="0"/>
    <n v="1"/>
    <n v="1"/>
    <n v="14.99"/>
    <n v="14.99"/>
  </r>
  <r>
    <n v="7033"/>
    <s v="Male"/>
    <n v="31"/>
    <x v="2"/>
    <x v="1"/>
    <n v="11"/>
    <n v="78"/>
    <n v="0.08"/>
    <s v="Web"/>
    <n v="0"/>
    <n v="1"/>
    <n v="1"/>
    <n v="14.99"/>
    <n v="14.99"/>
  </r>
  <r>
    <n v="7034"/>
    <s v="Female"/>
    <n v="16"/>
    <x v="1"/>
    <x v="1"/>
    <n v="220"/>
    <n v="78"/>
    <n v="0.22"/>
    <s v="Mobile"/>
    <n v="0"/>
    <n v="1"/>
    <n v="0"/>
    <n v="14.99"/>
    <n v="0"/>
  </r>
  <r>
    <n v="7035"/>
    <s v="Male"/>
    <n v="34"/>
    <x v="0"/>
    <x v="2"/>
    <n v="85"/>
    <n v="31"/>
    <n v="0.38"/>
    <s v="Desktop"/>
    <n v="0"/>
    <n v="1"/>
    <n v="0"/>
    <n v="9.99"/>
    <n v="0"/>
  </r>
  <r>
    <n v="7036"/>
    <s v="Other"/>
    <n v="26"/>
    <x v="3"/>
    <x v="2"/>
    <n v="180"/>
    <n v="86"/>
    <n v="0.17"/>
    <s v="Web"/>
    <n v="0"/>
    <n v="1"/>
    <n v="0"/>
    <n v="9.99"/>
    <n v="0"/>
  </r>
  <r>
    <n v="7037"/>
    <s v="Other"/>
    <n v="30"/>
    <x v="6"/>
    <x v="2"/>
    <n v="46"/>
    <n v="60"/>
    <n v="0.03"/>
    <s v="Web"/>
    <n v="0"/>
    <n v="1"/>
    <n v="0"/>
    <n v="9.99"/>
    <n v="0"/>
  </r>
  <r>
    <n v="7038"/>
    <s v="Female"/>
    <n v="45"/>
    <x v="4"/>
    <x v="0"/>
    <n v="127"/>
    <n v="90"/>
    <n v="0.19"/>
    <s v="Web"/>
    <n v="42"/>
    <n v="0"/>
    <n v="0"/>
    <n v="0"/>
    <n v="0"/>
  </r>
  <r>
    <n v="7039"/>
    <s v="Other"/>
    <n v="36"/>
    <x v="2"/>
    <x v="2"/>
    <n v="74"/>
    <n v="7"/>
    <n v="0.17"/>
    <s v="Desktop"/>
    <n v="0"/>
    <n v="1"/>
    <n v="1"/>
    <n v="9.99"/>
    <n v="9.99"/>
  </r>
  <r>
    <n v="7040"/>
    <s v="Male"/>
    <n v="30"/>
    <x v="3"/>
    <x v="1"/>
    <n v="250"/>
    <n v="50"/>
    <n v="0.31"/>
    <s v="Desktop"/>
    <n v="0"/>
    <n v="1"/>
    <n v="0"/>
    <n v="14.99"/>
    <n v="0"/>
  </r>
  <r>
    <n v="7041"/>
    <s v="Other"/>
    <n v="23"/>
    <x v="7"/>
    <x v="3"/>
    <n v="108"/>
    <n v="4"/>
    <n v="0.36"/>
    <s v="Desktop"/>
    <n v="0"/>
    <n v="1"/>
    <n v="0"/>
    <n v="4.99"/>
    <n v="0"/>
  </r>
  <r>
    <n v="7042"/>
    <s v="Male"/>
    <n v="51"/>
    <x v="2"/>
    <x v="3"/>
    <n v="36"/>
    <n v="50"/>
    <n v="0.41"/>
    <s v="Mobile"/>
    <n v="0"/>
    <n v="1"/>
    <n v="0"/>
    <n v="4.99"/>
    <n v="0"/>
  </r>
  <r>
    <n v="7043"/>
    <s v="Male"/>
    <n v="19"/>
    <x v="4"/>
    <x v="2"/>
    <n v="95"/>
    <n v="24"/>
    <n v="0.43"/>
    <s v="Web"/>
    <n v="0"/>
    <n v="1"/>
    <n v="0"/>
    <n v="9.99"/>
    <n v="0"/>
  </r>
  <r>
    <n v="7044"/>
    <s v="Female"/>
    <n v="50"/>
    <x v="0"/>
    <x v="0"/>
    <n v="248"/>
    <n v="13"/>
    <n v="0.23"/>
    <s v="Mobile"/>
    <n v="44"/>
    <n v="0"/>
    <n v="0"/>
    <n v="0"/>
    <n v="0"/>
  </r>
  <r>
    <n v="7045"/>
    <s v="Other"/>
    <n v="45"/>
    <x v="7"/>
    <x v="1"/>
    <n v="284"/>
    <n v="23"/>
    <n v="0.43"/>
    <s v="Web"/>
    <n v="0"/>
    <n v="1"/>
    <n v="0"/>
    <n v="14.99"/>
    <n v="0"/>
  </r>
  <r>
    <n v="7046"/>
    <s v="Female"/>
    <n v="34"/>
    <x v="7"/>
    <x v="3"/>
    <n v="90"/>
    <n v="59"/>
    <n v="7.0000000000000007E-2"/>
    <s v="Desktop"/>
    <n v="0"/>
    <n v="1"/>
    <n v="0"/>
    <n v="4.99"/>
    <n v="0"/>
  </r>
  <r>
    <n v="7047"/>
    <s v="Male"/>
    <n v="16"/>
    <x v="3"/>
    <x v="3"/>
    <n v="51"/>
    <n v="49"/>
    <n v="0.12"/>
    <s v="Mobile"/>
    <n v="0"/>
    <n v="1"/>
    <n v="1"/>
    <n v="4.99"/>
    <n v="4.99"/>
  </r>
  <r>
    <n v="7048"/>
    <s v="Other"/>
    <n v="57"/>
    <x v="5"/>
    <x v="3"/>
    <n v="264"/>
    <n v="91"/>
    <n v="0.28000000000000003"/>
    <s v="Web"/>
    <n v="0"/>
    <n v="1"/>
    <n v="0"/>
    <n v="4.99"/>
    <n v="0"/>
  </r>
  <r>
    <n v="7049"/>
    <s v="Female"/>
    <n v="39"/>
    <x v="6"/>
    <x v="2"/>
    <n v="136"/>
    <n v="41"/>
    <n v="0.04"/>
    <s v="Mobile"/>
    <n v="0"/>
    <n v="1"/>
    <n v="1"/>
    <n v="9.99"/>
    <n v="9.99"/>
  </r>
  <r>
    <n v="7050"/>
    <s v="Female"/>
    <n v="23"/>
    <x v="7"/>
    <x v="1"/>
    <n v="239"/>
    <n v="65"/>
    <n v="0.37"/>
    <s v="Web"/>
    <n v="0"/>
    <n v="1"/>
    <n v="1"/>
    <n v="14.99"/>
    <n v="14.99"/>
  </r>
  <r>
    <n v="7051"/>
    <s v="Male"/>
    <n v="35"/>
    <x v="6"/>
    <x v="2"/>
    <n v="12"/>
    <n v="60"/>
    <n v="0.28999999999999998"/>
    <s v="Mobile"/>
    <n v="0"/>
    <n v="1"/>
    <n v="1"/>
    <n v="9.99"/>
    <n v="9.99"/>
  </r>
  <r>
    <n v="7052"/>
    <s v="Other"/>
    <n v="28"/>
    <x v="4"/>
    <x v="3"/>
    <n v="155"/>
    <n v="93"/>
    <n v="0.38"/>
    <s v="Mobile"/>
    <n v="0"/>
    <n v="1"/>
    <n v="0"/>
    <n v="4.99"/>
    <n v="0"/>
  </r>
  <r>
    <n v="7053"/>
    <s v="Female"/>
    <n v="29"/>
    <x v="1"/>
    <x v="0"/>
    <n v="234"/>
    <n v="3"/>
    <n v="0.53"/>
    <s v="Mobile"/>
    <n v="31"/>
    <n v="0"/>
    <n v="0"/>
    <n v="0"/>
    <n v="0"/>
  </r>
  <r>
    <n v="7054"/>
    <s v="Male"/>
    <n v="37"/>
    <x v="0"/>
    <x v="0"/>
    <n v="287"/>
    <n v="82"/>
    <n v="0.32"/>
    <s v="Web"/>
    <n v="35"/>
    <n v="0"/>
    <n v="0"/>
    <n v="0"/>
    <n v="0"/>
  </r>
  <r>
    <n v="7055"/>
    <s v="Male"/>
    <n v="24"/>
    <x v="5"/>
    <x v="1"/>
    <n v="41"/>
    <n v="94"/>
    <n v="0.3"/>
    <s v="Desktop"/>
    <n v="0"/>
    <n v="1"/>
    <n v="0"/>
    <n v="14.99"/>
    <n v="0"/>
  </r>
  <r>
    <n v="7056"/>
    <s v="Other"/>
    <n v="46"/>
    <x v="6"/>
    <x v="2"/>
    <n v="201"/>
    <n v="37"/>
    <n v="0.34"/>
    <s v="Mobile"/>
    <n v="0"/>
    <n v="1"/>
    <n v="0"/>
    <n v="9.99"/>
    <n v="0"/>
  </r>
  <r>
    <n v="7057"/>
    <s v="Female"/>
    <n v="29"/>
    <x v="5"/>
    <x v="2"/>
    <n v="261"/>
    <n v="92"/>
    <n v="0.44"/>
    <s v="Desktop"/>
    <n v="0"/>
    <n v="1"/>
    <n v="1"/>
    <n v="9.99"/>
    <n v="9.99"/>
  </r>
  <r>
    <n v="7058"/>
    <s v="Male"/>
    <n v="24"/>
    <x v="3"/>
    <x v="3"/>
    <n v="205"/>
    <n v="29"/>
    <n v="0.47"/>
    <s v="Web"/>
    <n v="0"/>
    <n v="1"/>
    <n v="0"/>
    <n v="4.99"/>
    <n v="0"/>
  </r>
  <r>
    <n v="7059"/>
    <s v="Female"/>
    <n v="29"/>
    <x v="0"/>
    <x v="2"/>
    <n v="280"/>
    <n v="45"/>
    <n v="0.05"/>
    <s v="Web"/>
    <n v="0"/>
    <n v="1"/>
    <n v="1"/>
    <n v="9.99"/>
    <n v="9.99"/>
  </r>
  <r>
    <n v="7060"/>
    <s v="Other"/>
    <n v="22"/>
    <x v="7"/>
    <x v="2"/>
    <n v="178"/>
    <n v="97"/>
    <n v="0.28000000000000003"/>
    <s v="Desktop"/>
    <n v="0"/>
    <n v="1"/>
    <n v="1"/>
    <n v="9.99"/>
    <n v="9.99"/>
  </r>
  <r>
    <n v="7061"/>
    <s v="Male"/>
    <n v="36"/>
    <x v="4"/>
    <x v="0"/>
    <n v="44"/>
    <n v="12"/>
    <n v="0.36"/>
    <s v="Web"/>
    <n v="35"/>
    <n v="0"/>
    <n v="0"/>
    <n v="0"/>
    <n v="0"/>
  </r>
  <r>
    <n v="7062"/>
    <s v="Male"/>
    <n v="27"/>
    <x v="5"/>
    <x v="1"/>
    <n v="234"/>
    <n v="22"/>
    <n v="0.17"/>
    <s v="Web"/>
    <n v="0"/>
    <n v="1"/>
    <n v="0"/>
    <n v="14.99"/>
    <n v="0"/>
  </r>
  <r>
    <n v="7063"/>
    <s v="Male"/>
    <n v="38"/>
    <x v="5"/>
    <x v="2"/>
    <n v="283"/>
    <n v="65"/>
    <n v="0.33"/>
    <s v="Desktop"/>
    <n v="0"/>
    <n v="1"/>
    <n v="1"/>
    <n v="9.99"/>
    <n v="9.99"/>
  </r>
  <r>
    <n v="7064"/>
    <s v="Female"/>
    <n v="51"/>
    <x v="7"/>
    <x v="0"/>
    <n v="273"/>
    <n v="69"/>
    <n v="0.24"/>
    <s v="Desktop"/>
    <n v="16"/>
    <n v="0"/>
    <n v="0"/>
    <n v="0"/>
    <n v="0"/>
  </r>
  <r>
    <n v="7065"/>
    <s v="Male"/>
    <n v="58"/>
    <x v="3"/>
    <x v="2"/>
    <n v="269"/>
    <n v="23"/>
    <n v="0.05"/>
    <s v="Web"/>
    <n v="0"/>
    <n v="1"/>
    <n v="0"/>
    <n v="9.99"/>
    <n v="0"/>
  </r>
  <r>
    <n v="7066"/>
    <s v="Other"/>
    <n v="36"/>
    <x v="6"/>
    <x v="2"/>
    <n v="202"/>
    <n v="48"/>
    <n v="0.56999999999999995"/>
    <s v="Desktop"/>
    <n v="0"/>
    <n v="1"/>
    <n v="0"/>
    <n v="9.99"/>
    <n v="0"/>
  </r>
  <r>
    <n v="7067"/>
    <s v="Female"/>
    <n v="54"/>
    <x v="6"/>
    <x v="2"/>
    <n v="159"/>
    <n v="73"/>
    <n v="0.11"/>
    <s v="Mobile"/>
    <n v="0"/>
    <n v="1"/>
    <n v="1"/>
    <n v="9.99"/>
    <n v="9.99"/>
  </r>
  <r>
    <n v="7068"/>
    <s v="Male"/>
    <n v="25"/>
    <x v="2"/>
    <x v="0"/>
    <n v="69"/>
    <n v="95"/>
    <n v="0.26"/>
    <s v="Web"/>
    <n v="41"/>
    <n v="0"/>
    <n v="1"/>
    <n v="0"/>
    <n v="0"/>
  </r>
  <r>
    <n v="7069"/>
    <s v="Other"/>
    <n v="30"/>
    <x v="6"/>
    <x v="3"/>
    <n v="283"/>
    <n v="95"/>
    <n v="0.12"/>
    <s v="Desktop"/>
    <n v="0"/>
    <n v="1"/>
    <n v="0"/>
    <n v="4.99"/>
    <n v="0"/>
  </r>
  <r>
    <n v="7070"/>
    <s v="Other"/>
    <n v="47"/>
    <x v="3"/>
    <x v="0"/>
    <n v="100"/>
    <n v="20"/>
    <n v="0.46"/>
    <s v="Web"/>
    <n v="6"/>
    <n v="0"/>
    <n v="1"/>
    <n v="0"/>
    <n v="0"/>
  </r>
  <r>
    <n v="7071"/>
    <s v="Other"/>
    <n v="58"/>
    <x v="3"/>
    <x v="2"/>
    <n v="170"/>
    <n v="70"/>
    <n v="0.05"/>
    <s v="Mobile"/>
    <n v="0"/>
    <n v="1"/>
    <n v="0"/>
    <n v="9.99"/>
    <n v="0"/>
  </r>
  <r>
    <n v="7072"/>
    <s v="Female"/>
    <n v="43"/>
    <x v="7"/>
    <x v="1"/>
    <n v="293"/>
    <n v="94"/>
    <n v="0.54"/>
    <s v="Web"/>
    <n v="0"/>
    <n v="1"/>
    <n v="0"/>
    <n v="14.99"/>
    <n v="0"/>
  </r>
  <r>
    <n v="7073"/>
    <s v="Other"/>
    <n v="17"/>
    <x v="7"/>
    <x v="1"/>
    <n v="282"/>
    <n v="90"/>
    <n v="0.2"/>
    <s v="Desktop"/>
    <n v="0"/>
    <n v="1"/>
    <n v="0"/>
    <n v="14.99"/>
    <n v="0"/>
  </r>
  <r>
    <n v="7074"/>
    <s v="Other"/>
    <n v="43"/>
    <x v="1"/>
    <x v="0"/>
    <n v="62"/>
    <n v="81"/>
    <n v="0.22"/>
    <s v="Desktop"/>
    <n v="18"/>
    <n v="0"/>
    <n v="0"/>
    <n v="0"/>
    <n v="0"/>
  </r>
  <r>
    <n v="7075"/>
    <s v="Male"/>
    <n v="25"/>
    <x v="1"/>
    <x v="2"/>
    <n v="64"/>
    <n v="82"/>
    <n v="0.33"/>
    <s v="Web"/>
    <n v="0"/>
    <n v="1"/>
    <n v="0"/>
    <n v="9.99"/>
    <n v="0"/>
  </r>
  <r>
    <n v="7076"/>
    <s v="Other"/>
    <n v="19"/>
    <x v="6"/>
    <x v="3"/>
    <n v="108"/>
    <n v="88"/>
    <n v="0.19"/>
    <s v="Desktop"/>
    <n v="0"/>
    <n v="1"/>
    <n v="0"/>
    <n v="4.99"/>
    <n v="0"/>
  </r>
  <r>
    <n v="7077"/>
    <s v="Male"/>
    <n v="22"/>
    <x v="2"/>
    <x v="0"/>
    <n v="202"/>
    <n v="34"/>
    <n v="0.19"/>
    <s v="Web"/>
    <n v="37"/>
    <n v="0"/>
    <n v="0"/>
    <n v="0"/>
    <n v="0"/>
  </r>
  <r>
    <n v="7078"/>
    <s v="Female"/>
    <n v="23"/>
    <x v="0"/>
    <x v="2"/>
    <n v="137"/>
    <n v="67"/>
    <n v="0.35"/>
    <s v="Desktop"/>
    <n v="0"/>
    <n v="1"/>
    <n v="0"/>
    <n v="9.99"/>
    <n v="0"/>
  </r>
  <r>
    <n v="7079"/>
    <s v="Other"/>
    <n v="21"/>
    <x v="1"/>
    <x v="3"/>
    <n v="199"/>
    <n v="48"/>
    <n v="0.24"/>
    <s v="Mobile"/>
    <n v="0"/>
    <n v="1"/>
    <n v="0"/>
    <n v="4.99"/>
    <n v="0"/>
  </r>
  <r>
    <n v="7080"/>
    <s v="Female"/>
    <n v="42"/>
    <x v="5"/>
    <x v="3"/>
    <n v="109"/>
    <n v="20"/>
    <n v="0.5"/>
    <s v="Mobile"/>
    <n v="0"/>
    <n v="1"/>
    <n v="0"/>
    <n v="4.99"/>
    <n v="0"/>
  </r>
  <r>
    <n v="7081"/>
    <s v="Female"/>
    <n v="52"/>
    <x v="1"/>
    <x v="3"/>
    <n v="180"/>
    <n v="42"/>
    <n v="0.45"/>
    <s v="Desktop"/>
    <n v="0"/>
    <n v="1"/>
    <n v="1"/>
    <n v="4.99"/>
    <n v="4.99"/>
  </r>
  <r>
    <n v="7082"/>
    <s v="Other"/>
    <n v="28"/>
    <x v="6"/>
    <x v="3"/>
    <n v="139"/>
    <n v="26"/>
    <n v="0.49"/>
    <s v="Web"/>
    <n v="0"/>
    <n v="1"/>
    <n v="0"/>
    <n v="4.99"/>
    <n v="0"/>
  </r>
  <r>
    <n v="7083"/>
    <s v="Other"/>
    <n v="49"/>
    <x v="6"/>
    <x v="3"/>
    <n v="215"/>
    <n v="5"/>
    <n v="0.12"/>
    <s v="Desktop"/>
    <n v="0"/>
    <n v="1"/>
    <n v="0"/>
    <n v="4.99"/>
    <n v="0"/>
  </r>
  <r>
    <n v="7084"/>
    <s v="Female"/>
    <n v="30"/>
    <x v="3"/>
    <x v="3"/>
    <n v="250"/>
    <n v="1"/>
    <n v="0.35"/>
    <s v="Mobile"/>
    <n v="0"/>
    <n v="1"/>
    <n v="1"/>
    <n v="4.99"/>
    <n v="4.99"/>
  </r>
  <r>
    <n v="7085"/>
    <s v="Female"/>
    <n v="45"/>
    <x v="0"/>
    <x v="0"/>
    <n v="186"/>
    <n v="7"/>
    <n v="0.41"/>
    <s v="Desktop"/>
    <n v="27"/>
    <n v="0"/>
    <n v="0"/>
    <n v="0"/>
    <n v="0"/>
  </r>
  <r>
    <n v="7086"/>
    <s v="Male"/>
    <n v="30"/>
    <x v="6"/>
    <x v="2"/>
    <n v="80"/>
    <n v="30"/>
    <n v="0.39"/>
    <s v="Desktop"/>
    <n v="0"/>
    <n v="1"/>
    <n v="0"/>
    <n v="9.99"/>
    <n v="0"/>
  </r>
  <r>
    <n v="7087"/>
    <s v="Other"/>
    <n v="43"/>
    <x v="3"/>
    <x v="1"/>
    <n v="56"/>
    <n v="90"/>
    <n v="0.06"/>
    <s v="Mobile"/>
    <n v="0"/>
    <n v="1"/>
    <n v="1"/>
    <n v="14.99"/>
    <n v="14.99"/>
  </r>
  <r>
    <n v="7088"/>
    <s v="Male"/>
    <n v="21"/>
    <x v="6"/>
    <x v="0"/>
    <n v="193"/>
    <n v="99"/>
    <n v="0.54"/>
    <s v="Web"/>
    <n v="48"/>
    <n v="0"/>
    <n v="0"/>
    <n v="0"/>
    <n v="0"/>
  </r>
  <r>
    <n v="7089"/>
    <s v="Other"/>
    <n v="53"/>
    <x v="0"/>
    <x v="3"/>
    <n v="208"/>
    <n v="25"/>
    <n v="0.31"/>
    <s v="Desktop"/>
    <n v="0"/>
    <n v="1"/>
    <n v="1"/>
    <n v="4.99"/>
    <n v="4.99"/>
  </r>
  <r>
    <n v="7090"/>
    <s v="Other"/>
    <n v="41"/>
    <x v="7"/>
    <x v="1"/>
    <n v="74"/>
    <n v="36"/>
    <n v="0.26"/>
    <s v="Desktop"/>
    <n v="0"/>
    <n v="1"/>
    <n v="0"/>
    <n v="14.99"/>
    <n v="0"/>
  </r>
  <r>
    <n v="7091"/>
    <s v="Female"/>
    <n v="33"/>
    <x v="4"/>
    <x v="0"/>
    <n v="232"/>
    <n v="98"/>
    <n v="0.13"/>
    <s v="Desktop"/>
    <n v="30"/>
    <n v="0"/>
    <n v="1"/>
    <n v="0"/>
    <n v="0"/>
  </r>
  <r>
    <n v="7092"/>
    <s v="Male"/>
    <n v="53"/>
    <x v="0"/>
    <x v="1"/>
    <n v="137"/>
    <n v="48"/>
    <n v="0.34"/>
    <s v="Desktop"/>
    <n v="0"/>
    <n v="1"/>
    <n v="0"/>
    <n v="14.99"/>
    <n v="0"/>
  </r>
  <r>
    <n v="7093"/>
    <s v="Male"/>
    <n v="37"/>
    <x v="0"/>
    <x v="2"/>
    <n v="140"/>
    <n v="70"/>
    <n v="0.59"/>
    <s v="Mobile"/>
    <n v="0"/>
    <n v="1"/>
    <n v="0"/>
    <n v="9.99"/>
    <n v="0"/>
  </r>
  <r>
    <n v="7094"/>
    <s v="Male"/>
    <n v="42"/>
    <x v="4"/>
    <x v="0"/>
    <n v="19"/>
    <n v="8"/>
    <n v="0.08"/>
    <s v="Web"/>
    <n v="22"/>
    <n v="0"/>
    <n v="0"/>
    <n v="0"/>
    <n v="0"/>
  </r>
  <r>
    <n v="7095"/>
    <s v="Female"/>
    <n v="54"/>
    <x v="5"/>
    <x v="2"/>
    <n v="205"/>
    <n v="94"/>
    <n v="0.09"/>
    <s v="Web"/>
    <n v="0"/>
    <n v="1"/>
    <n v="0"/>
    <n v="9.99"/>
    <n v="0"/>
  </r>
  <r>
    <n v="7096"/>
    <s v="Other"/>
    <n v="36"/>
    <x v="3"/>
    <x v="3"/>
    <n v="181"/>
    <n v="9"/>
    <n v="0.59"/>
    <s v="Mobile"/>
    <n v="0"/>
    <n v="1"/>
    <n v="0"/>
    <n v="4.99"/>
    <n v="0"/>
  </r>
  <r>
    <n v="7097"/>
    <s v="Male"/>
    <n v="46"/>
    <x v="4"/>
    <x v="3"/>
    <n v="261"/>
    <n v="14"/>
    <n v="0.47"/>
    <s v="Web"/>
    <n v="0"/>
    <n v="1"/>
    <n v="1"/>
    <n v="4.99"/>
    <n v="4.99"/>
  </r>
  <r>
    <n v="7098"/>
    <s v="Female"/>
    <n v="23"/>
    <x v="7"/>
    <x v="0"/>
    <n v="224"/>
    <n v="71"/>
    <n v="0.16"/>
    <s v="Web"/>
    <n v="33"/>
    <n v="0"/>
    <n v="1"/>
    <n v="0"/>
    <n v="0"/>
  </r>
  <r>
    <n v="7099"/>
    <s v="Other"/>
    <n v="31"/>
    <x v="5"/>
    <x v="0"/>
    <n v="73"/>
    <n v="85"/>
    <n v="0.22"/>
    <s v="Desktop"/>
    <n v="27"/>
    <n v="0"/>
    <n v="1"/>
    <n v="0"/>
    <n v="0"/>
  </r>
  <r>
    <n v="7100"/>
    <s v="Male"/>
    <n v="47"/>
    <x v="6"/>
    <x v="2"/>
    <n v="18"/>
    <n v="69"/>
    <n v="0.23"/>
    <s v="Web"/>
    <n v="0"/>
    <n v="1"/>
    <n v="1"/>
    <n v="9.99"/>
    <n v="9.99"/>
  </r>
  <r>
    <n v="7101"/>
    <s v="Male"/>
    <n v="57"/>
    <x v="1"/>
    <x v="1"/>
    <n v="68"/>
    <n v="21"/>
    <n v="0.44"/>
    <s v="Mobile"/>
    <n v="0"/>
    <n v="1"/>
    <n v="1"/>
    <n v="14.99"/>
    <n v="14.99"/>
  </r>
  <r>
    <n v="7102"/>
    <s v="Female"/>
    <n v="40"/>
    <x v="3"/>
    <x v="1"/>
    <n v="97"/>
    <n v="97"/>
    <n v="0.23"/>
    <s v="Web"/>
    <n v="0"/>
    <n v="1"/>
    <n v="1"/>
    <n v="14.99"/>
    <n v="14.99"/>
  </r>
  <r>
    <n v="7103"/>
    <s v="Other"/>
    <n v="39"/>
    <x v="1"/>
    <x v="1"/>
    <n v="177"/>
    <n v="69"/>
    <n v="0.44"/>
    <s v="Desktop"/>
    <n v="0"/>
    <n v="1"/>
    <n v="0"/>
    <n v="14.99"/>
    <n v="0"/>
  </r>
  <r>
    <n v="7104"/>
    <s v="Male"/>
    <n v="26"/>
    <x v="3"/>
    <x v="2"/>
    <n v="246"/>
    <n v="52"/>
    <n v="0.47"/>
    <s v="Desktop"/>
    <n v="0"/>
    <n v="1"/>
    <n v="0"/>
    <n v="9.99"/>
    <n v="0"/>
  </r>
  <r>
    <n v="7105"/>
    <s v="Male"/>
    <n v="26"/>
    <x v="1"/>
    <x v="2"/>
    <n v="170"/>
    <n v="47"/>
    <n v="0.36"/>
    <s v="Web"/>
    <n v="0"/>
    <n v="1"/>
    <n v="1"/>
    <n v="9.99"/>
    <n v="9.99"/>
  </r>
  <r>
    <n v="7106"/>
    <s v="Female"/>
    <n v="18"/>
    <x v="5"/>
    <x v="1"/>
    <n v="197"/>
    <n v="69"/>
    <n v="0.4"/>
    <s v="Web"/>
    <n v="0"/>
    <n v="1"/>
    <n v="0"/>
    <n v="14.99"/>
    <n v="0"/>
  </r>
  <r>
    <n v="7107"/>
    <s v="Male"/>
    <n v="29"/>
    <x v="4"/>
    <x v="2"/>
    <n v="47"/>
    <n v="79"/>
    <n v="0.5"/>
    <s v="Desktop"/>
    <n v="0"/>
    <n v="1"/>
    <n v="0"/>
    <n v="9.99"/>
    <n v="0"/>
  </r>
  <r>
    <n v="7108"/>
    <s v="Female"/>
    <n v="54"/>
    <x v="3"/>
    <x v="3"/>
    <n v="277"/>
    <n v="58"/>
    <n v="0.6"/>
    <s v="Desktop"/>
    <n v="0"/>
    <n v="1"/>
    <n v="0"/>
    <n v="4.99"/>
    <n v="0"/>
  </r>
  <r>
    <n v="7109"/>
    <s v="Male"/>
    <n v="55"/>
    <x v="4"/>
    <x v="2"/>
    <n v="33"/>
    <n v="64"/>
    <n v="0.05"/>
    <s v="Web"/>
    <n v="0"/>
    <n v="1"/>
    <n v="0"/>
    <n v="9.99"/>
    <n v="0"/>
  </r>
  <r>
    <n v="7110"/>
    <s v="Female"/>
    <n v="52"/>
    <x v="0"/>
    <x v="1"/>
    <n v="129"/>
    <n v="94"/>
    <n v="0.46"/>
    <s v="Web"/>
    <n v="0"/>
    <n v="1"/>
    <n v="0"/>
    <n v="14.99"/>
    <n v="0"/>
  </r>
  <r>
    <n v="7111"/>
    <s v="Male"/>
    <n v="27"/>
    <x v="1"/>
    <x v="0"/>
    <n v="217"/>
    <n v="83"/>
    <n v="0.5"/>
    <s v="Desktop"/>
    <n v="49"/>
    <n v="0"/>
    <n v="0"/>
    <n v="0"/>
    <n v="0"/>
  </r>
  <r>
    <n v="7112"/>
    <s v="Female"/>
    <n v="54"/>
    <x v="3"/>
    <x v="1"/>
    <n v="219"/>
    <n v="28"/>
    <n v="0.34"/>
    <s v="Web"/>
    <n v="0"/>
    <n v="1"/>
    <n v="1"/>
    <n v="14.99"/>
    <n v="14.99"/>
  </r>
  <r>
    <n v="7113"/>
    <s v="Other"/>
    <n v="17"/>
    <x v="2"/>
    <x v="3"/>
    <n v="14"/>
    <n v="52"/>
    <n v="0.47"/>
    <s v="Web"/>
    <n v="0"/>
    <n v="1"/>
    <n v="1"/>
    <n v="4.99"/>
    <n v="4.99"/>
  </r>
  <r>
    <n v="7114"/>
    <s v="Male"/>
    <n v="54"/>
    <x v="7"/>
    <x v="1"/>
    <n v="31"/>
    <n v="33"/>
    <n v="0.2"/>
    <s v="Web"/>
    <n v="0"/>
    <n v="1"/>
    <n v="0"/>
    <n v="14.99"/>
    <n v="0"/>
  </r>
  <r>
    <n v="7115"/>
    <s v="Female"/>
    <n v="40"/>
    <x v="7"/>
    <x v="1"/>
    <n v="105"/>
    <n v="35"/>
    <n v="0.32"/>
    <s v="Desktop"/>
    <n v="0"/>
    <n v="1"/>
    <n v="1"/>
    <n v="14.99"/>
    <n v="14.99"/>
  </r>
  <r>
    <n v="7116"/>
    <s v="Female"/>
    <n v="52"/>
    <x v="3"/>
    <x v="0"/>
    <n v="114"/>
    <n v="92"/>
    <n v="0.03"/>
    <s v="Web"/>
    <n v="19"/>
    <n v="0"/>
    <n v="0"/>
    <n v="0"/>
    <n v="0"/>
  </r>
  <r>
    <n v="7117"/>
    <s v="Other"/>
    <n v="48"/>
    <x v="1"/>
    <x v="3"/>
    <n v="55"/>
    <n v="98"/>
    <n v="0.13"/>
    <s v="Mobile"/>
    <n v="0"/>
    <n v="1"/>
    <n v="0"/>
    <n v="4.99"/>
    <n v="0"/>
  </r>
  <r>
    <n v="7118"/>
    <s v="Female"/>
    <n v="18"/>
    <x v="0"/>
    <x v="3"/>
    <n v="280"/>
    <n v="78"/>
    <n v="0.25"/>
    <s v="Mobile"/>
    <n v="0"/>
    <n v="1"/>
    <n v="0"/>
    <n v="4.99"/>
    <n v="0"/>
  </r>
  <r>
    <n v="7119"/>
    <s v="Other"/>
    <n v="18"/>
    <x v="7"/>
    <x v="0"/>
    <n v="238"/>
    <n v="88"/>
    <n v="0.22"/>
    <s v="Mobile"/>
    <n v="42"/>
    <n v="0"/>
    <n v="0"/>
    <n v="0"/>
    <n v="0"/>
  </r>
  <r>
    <n v="7120"/>
    <s v="Male"/>
    <n v="22"/>
    <x v="7"/>
    <x v="2"/>
    <n v="36"/>
    <n v="8"/>
    <n v="0.35"/>
    <s v="Web"/>
    <n v="0"/>
    <n v="1"/>
    <n v="0"/>
    <n v="9.99"/>
    <n v="0"/>
  </r>
  <r>
    <n v="7121"/>
    <s v="Other"/>
    <n v="38"/>
    <x v="2"/>
    <x v="3"/>
    <n v="78"/>
    <n v="50"/>
    <n v="0.15"/>
    <s v="Mobile"/>
    <n v="0"/>
    <n v="1"/>
    <n v="1"/>
    <n v="4.99"/>
    <n v="4.99"/>
  </r>
  <r>
    <n v="7122"/>
    <s v="Female"/>
    <n v="58"/>
    <x v="2"/>
    <x v="1"/>
    <n v="245"/>
    <n v="79"/>
    <n v="0.28999999999999998"/>
    <s v="Desktop"/>
    <n v="0"/>
    <n v="1"/>
    <n v="0"/>
    <n v="14.99"/>
    <n v="0"/>
  </r>
  <r>
    <n v="7123"/>
    <s v="Male"/>
    <n v="23"/>
    <x v="2"/>
    <x v="2"/>
    <n v="85"/>
    <n v="96"/>
    <n v="0.12"/>
    <s v="Mobile"/>
    <n v="0"/>
    <n v="1"/>
    <n v="0"/>
    <n v="9.99"/>
    <n v="0"/>
  </r>
  <r>
    <n v="7124"/>
    <s v="Male"/>
    <n v="29"/>
    <x v="7"/>
    <x v="0"/>
    <n v="90"/>
    <n v="75"/>
    <n v="0.52"/>
    <s v="Web"/>
    <n v="16"/>
    <n v="0"/>
    <n v="0"/>
    <n v="0"/>
    <n v="0"/>
  </r>
  <r>
    <n v="7125"/>
    <s v="Male"/>
    <n v="29"/>
    <x v="0"/>
    <x v="1"/>
    <n v="215"/>
    <n v="6"/>
    <n v="0.13"/>
    <s v="Web"/>
    <n v="0"/>
    <n v="1"/>
    <n v="0"/>
    <n v="14.99"/>
    <n v="0"/>
  </r>
  <r>
    <n v="7126"/>
    <s v="Female"/>
    <n v="56"/>
    <x v="3"/>
    <x v="3"/>
    <n v="63"/>
    <n v="83"/>
    <n v="0.47"/>
    <s v="Web"/>
    <n v="0"/>
    <n v="1"/>
    <n v="0"/>
    <n v="4.99"/>
    <n v="0"/>
  </r>
  <r>
    <n v="7127"/>
    <s v="Other"/>
    <n v="58"/>
    <x v="6"/>
    <x v="3"/>
    <n v="185"/>
    <n v="68"/>
    <n v="0.57999999999999996"/>
    <s v="Web"/>
    <n v="0"/>
    <n v="1"/>
    <n v="0"/>
    <n v="4.99"/>
    <n v="0"/>
  </r>
  <r>
    <n v="7128"/>
    <s v="Other"/>
    <n v="57"/>
    <x v="7"/>
    <x v="3"/>
    <n v="160"/>
    <n v="47"/>
    <n v="0.27"/>
    <s v="Mobile"/>
    <n v="0"/>
    <n v="1"/>
    <n v="1"/>
    <n v="4.99"/>
    <n v="4.99"/>
  </r>
  <r>
    <n v="7129"/>
    <s v="Male"/>
    <n v="47"/>
    <x v="0"/>
    <x v="2"/>
    <n v="151"/>
    <n v="36"/>
    <n v="0.59"/>
    <s v="Web"/>
    <n v="0"/>
    <n v="1"/>
    <n v="0"/>
    <n v="9.99"/>
    <n v="0"/>
  </r>
  <r>
    <n v="7130"/>
    <s v="Other"/>
    <n v="37"/>
    <x v="4"/>
    <x v="0"/>
    <n v="275"/>
    <n v="95"/>
    <n v="0.31"/>
    <s v="Web"/>
    <n v="47"/>
    <n v="0"/>
    <n v="0"/>
    <n v="0"/>
    <n v="0"/>
  </r>
  <r>
    <n v="7131"/>
    <s v="Male"/>
    <n v="27"/>
    <x v="5"/>
    <x v="3"/>
    <n v="31"/>
    <n v="45"/>
    <n v="0.18"/>
    <s v="Mobile"/>
    <n v="0"/>
    <n v="1"/>
    <n v="0"/>
    <n v="4.99"/>
    <n v="0"/>
  </r>
  <r>
    <n v="7132"/>
    <s v="Male"/>
    <n v="41"/>
    <x v="1"/>
    <x v="1"/>
    <n v="170"/>
    <n v="18"/>
    <n v="0.55000000000000004"/>
    <s v="Web"/>
    <n v="0"/>
    <n v="1"/>
    <n v="0"/>
    <n v="14.99"/>
    <n v="0"/>
  </r>
  <r>
    <n v="7133"/>
    <s v="Male"/>
    <n v="46"/>
    <x v="3"/>
    <x v="3"/>
    <n v="72"/>
    <n v="33"/>
    <n v="0.48"/>
    <s v="Mobile"/>
    <n v="0"/>
    <n v="1"/>
    <n v="1"/>
    <n v="4.99"/>
    <n v="4.99"/>
  </r>
  <r>
    <n v="7134"/>
    <s v="Other"/>
    <n v="47"/>
    <x v="2"/>
    <x v="2"/>
    <n v="277"/>
    <n v="13"/>
    <n v="0.49"/>
    <s v="Desktop"/>
    <n v="0"/>
    <n v="1"/>
    <n v="0"/>
    <n v="9.99"/>
    <n v="0"/>
  </r>
  <r>
    <n v="7135"/>
    <s v="Female"/>
    <n v="38"/>
    <x v="4"/>
    <x v="3"/>
    <n v="194"/>
    <n v="98"/>
    <n v="0.24"/>
    <s v="Web"/>
    <n v="0"/>
    <n v="1"/>
    <n v="0"/>
    <n v="4.99"/>
    <n v="0"/>
  </r>
  <r>
    <n v="7136"/>
    <s v="Female"/>
    <n v="52"/>
    <x v="1"/>
    <x v="1"/>
    <n v="276"/>
    <n v="71"/>
    <n v="0.02"/>
    <s v="Desktop"/>
    <n v="0"/>
    <n v="1"/>
    <n v="1"/>
    <n v="14.99"/>
    <n v="14.99"/>
  </r>
  <r>
    <n v="7137"/>
    <s v="Female"/>
    <n v="50"/>
    <x v="3"/>
    <x v="1"/>
    <n v="233"/>
    <n v="11"/>
    <n v="0.13"/>
    <s v="Web"/>
    <n v="0"/>
    <n v="1"/>
    <n v="0"/>
    <n v="14.99"/>
    <n v="0"/>
  </r>
  <r>
    <n v="7138"/>
    <s v="Other"/>
    <n v="45"/>
    <x v="7"/>
    <x v="3"/>
    <n v="75"/>
    <n v="43"/>
    <n v="0.41"/>
    <s v="Desktop"/>
    <n v="0"/>
    <n v="1"/>
    <n v="0"/>
    <n v="4.99"/>
    <n v="0"/>
  </r>
  <r>
    <n v="7139"/>
    <s v="Female"/>
    <n v="56"/>
    <x v="3"/>
    <x v="1"/>
    <n v="75"/>
    <n v="62"/>
    <n v="0.3"/>
    <s v="Web"/>
    <n v="0"/>
    <n v="1"/>
    <n v="0"/>
    <n v="14.99"/>
    <n v="0"/>
  </r>
  <r>
    <n v="7140"/>
    <s v="Male"/>
    <n v="30"/>
    <x v="4"/>
    <x v="3"/>
    <n v="21"/>
    <n v="62"/>
    <n v="0.09"/>
    <s v="Mobile"/>
    <n v="0"/>
    <n v="1"/>
    <n v="0"/>
    <n v="4.99"/>
    <n v="0"/>
  </r>
  <r>
    <n v="7141"/>
    <s v="Male"/>
    <n v="37"/>
    <x v="2"/>
    <x v="3"/>
    <n v="171"/>
    <n v="77"/>
    <n v="0.5"/>
    <s v="Mobile"/>
    <n v="0"/>
    <n v="1"/>
    <n v="0"/>
    <n v="4.99"/>
    <n v="0"/>
  </r>
  <r>
    <n v="7142"/>
    <s v="Male"/>
    <n v="23"/>
    <x v="5"/>
    <x v="0"/>
    <n v="204"/>
    <n v="36"/>
    <n v="7.0000000000000007E-2"/>
    <s v="Web"/>
    <n v="35"/>
    <n v="0"/>
    <n v="0"/>
    <n v="0"/>
    <n v="0"/>
  </r>
  <r>
    <n v="7143"/>
    <s v="Other"/>
    <n v="59"/>
    <x v="5"/>
    <x v="3"/>
    <n v="136"/>
    <n v="36"/>
    <n v="0.21"/>
    <s v="Desktop"/>
    <n v="0"/>
    <n v="1"/>
    <n v="1"/>
    <n v="4.99"/>
    <n v="4.99"/>
  </r>
  <r>
    <n v="7144"/>
    <s v="Other"/>
    <n v="24"/>
    <x v="1"/>
    <x v="0"/>
    <n v="42"/>
    <n v="28"/>
    <n v="0.6"/>
    <s v="Web"/>
    <n v="5"/>
    <n v="0"/>
    <n v="0"/>
    <n v="0"/>
    <n v="0"/>
  </r>
  <r>
    <n v="7145"/>
    <s v="Other"/>
    <n v="40"/>
    <x v="6"/>
    <x v="0"/>
    <n v="294"/>
    <n v="35"/>
    <n v="0.22"/>
    <s v="Web"/>
    <n v="17"/>
    <n v="0"/>
    <n v="0"/>
    <n v="0"/>
    <n v="0"/>
  </r>
  <r>
    <n v="7146"/>
    <s v="Other"/>
    <n v="54"/>
    <x v="6"/>
    <x v="1"/>
    <n v="125"/>
    <n v="56"/>
    <n v="0.05"/>
    <s v="Web"/>
    <n v="0"/>
    <n v="1"/>
    <n v="0"/>
    <n v="14.99"/>
    <n v="0"/>
  </r>
  <r>
    <n v="7147"/>
    <s v="Male"/>
    <n v="54"/>
    <x v="2"/>
    <x v="0"/>
    <n v="184"/>
    <n v="45"/>
    <n v="0.38"/>
    <s v="Mobile"/>
    <n v="39"/>
    <n v="0"/>
    <n v="0"/>
    <n v="0"/>
    <n v="0"/>
  </r>
  <r>
    <n v="7148"/>
    <s v="Male"/>
    <n v="41"/>
    <x v="3"/>
    <x v="2"/>
    <n v="210"/>
    <n v="34"/>
    <n v="0.04"/>
    <s v="Web"/>
    <n v="0"/>
    <n v="1"/>
    <n v="0"/>
    <n v="9.99"/>
    <n v="0"/>
  </r>
  <r>
    <n v="7149"/>
    <s v="Female"/>
    <n v="58"/>
    <x v="2"/>
    <x v="3"/>
    <n v="239"/>
    <n v="93"/>
    <n v="0.05"/>
    <s v="Desktop"/>
    <n v="0"/>
    <n v="1"/>
    <n v="1"/>
    <n v="4.99"/>
    <n v="4.99"/>
  </r>
  <r>
    <n v="7150"/>
    <s v="Female"/>
    <n v="40"/>
    <x v="1"/>
    <x v="3"/>
    <n v="220"/>
    <n v="86"/>
    <n v="0.42"/>
    <s v="Web"/>
    <n v="0"/>
    <n v="1"/>
    <n v="1"/>
    <n v="4.99"/>
    <n v="4.99"/>
  </r>
  <r>
    <n v="7151"/>
    <s v="Other"/>
    <n v="45"/>
    <x v="6"/>
    <x v="2"/>
    <n v="57"/>
    <n v="62"/>
    <n v="0.01"/>
    <s v="Web"/>
    <n v="0"/>
    <n v="1"/>
    <n v="0"/>
    <n v="9.99"/>
    <n v="0"/>
  </r>
  <r>
    <n v="7152"/>
    <s v="Male"/>
    <n v="31"/>
    <x v="5"/>
    <x v="0"/>
    <n v="79"/>
    <n v="40"/>
    <n v="0.18"/>
    <s v="Web"/>
    <n v="23"/>
    <n v="0"/>
    <n v="1"/>
    <n v="0"/>
    <n v="0"/>
  </r>
  <r>
    <n v="7153"/>
    <s v="Other"/>
    <n v="55"/>
    <x v="7"/>
    <x v="2"/>
    <n v="41"/>
    <n v="62"/>
    <n v="0.35"/>
    <s v="Desktop"/>
    <n v="0"/>
    <n v="1"/>
    <n v="0"/>
    <n v="9.99"/>
    <n v="0"/>
  </r>
  <r>
    <n v="7154"/>
    <s v="Other"/>
    <n v="43"/>
    <x v="1"/>
    <x v="3"/>
    <n v="127"/>
    <n v="36"/>
    <n v="0.4"/>
    <s v="Desktop"/>
    <n v="0"/>
    <n v="1"/>
    <n v="0"/>
    <n v="4.99"/>
    <n v="0"/>
  </r>
  <r>
    <n v="7155"/>
    <s v="Male"/>
    <n v="35"/>
    <x v="0"/>
    <x v="3"/>
    <n v="64"/>
    <n v="64"/>
    <n v="0.37"/>
    <s v="Desktop"/>
    <n v="0"/>
    <n v="1"/>
    <n v="1"/>
    <n v="4.99"/>
    <n v="4.99"/>
  </r>
  <r>
    <n v="7156"/>
    <s v="Male"/>
    <n v="36"/>
    <x v="4"/>
    <x v="1"/>
    <n v="34"/>
    <n v="50"/>
    <n v="0.54"/>
    <s v="Mobile"/>
    <n v="0"/>
    <n v="1"/>
    <n v="0"/>
    <n v="14.99"/>
    <n v="0"/>
  </r>
  <r>
    <n v="7157"/>
    <s v="Other"/>
    <n v="42"/>
    <x v="7"/>
    <x v="1"/>
    <n v="235"/>
    <n v="68"/>
    <n v="7.0000000000000007E-2"/>
    <s v="Web"/>
    <n v="0"/>
    <n v="1"/>
    <n v="0"/>
    <n v="14.99"/>
    <n v="0"/>
  </r>
  <r>
    <n v="7158"/>
    <s v="Other"/>
    <n v="46"/>
    <x v="7"/>
    <x v="1"/>
    <n v="297"/>
    <n v="88"/>
    <n v="0.14000000000000001"/>
    <s v="Mobile"/>
    <n v="0"/>
    <n v="1"/>
    <n v="0"/>
    <n v="14.99"/>
    <n v="0"/>
  </r>
  <r>
    <n v="7159"/>
    <s v="Other"/>
    <n v="40"/>
    <x v="7"/>
    <x v="0"/>
    <n v="20"/>
    <n v="40"/>
    <n v="0.1"/>
    <s v="Desktop"/>
    <n v="45"/>
    <n v="0"/>
    <n v="0"/>
    <n v="0"/>
    <n v="0"/>
  </r>
  <r>
    <n v="7160"/>
    <s v="Female"/>
    <n v="43"/>
    <x v="7"/>
    <x v="0"/>
    <n v="54"/>
    <n v="64"/>
    <n v="0.01"/>
    <s v="Mobile"/>
    <n v="37"/>
    <n v="0"/>
    <n v="0"/>
    <n v="0"/>
    <n v="0"/>
  </r>
  <r>
    <n v="7161"/>
    <s v="Female"/>
    <n v="46"/>
    <x v="2"/>
    <x v="0"/>
    <n v="222"/>
    <n v="48"/>
    <n v="0.57999999999999996"/>
    <s v="Mobile"/>
    <n v="42"/>
    <n v="0"/>
    <n v="0"/>
    <n v="0"/>
    <n v="0"/>
  </r>
  <r>
    <n v="7162"/>
    <s v="Female"/>
    <n v="39"/>
    <x v="1"/>
    <x v="1"/>
    <n v="297"/>
    <n v="33"/>
    <n v="0.4"/>
    <s v="Web"/>
    <n v="0"/>
    <n v="1"/>
    <n v="0"/>
    <n v="14.99"/>
    <n v="0"/>
  </r>
  <r>
    <n v="7163"/>
    <s v="Other"/>
    <n v="17"/>
    <x v="3"/>
    <x v="1"/>
    <n v="115"/>
    <n v="72"/>
    <n v="0.5"/>
    <s v="Desktop"/>
    <n v="0"/>
    <n v="1"/>
    <n v="1"/>
    <n v="14.99"/>
    <n v="14.99"/>
  </r>
  <r>
    <n v="7164"/>
    <s v="Male"/>
    <n v="40"/>
    <x v="5"/>
    <x v="0"/>
    <n v="284"/>
    <n v="99"/>
    <n v="0"/>
    <s v="Desktop"/>
    <n v="7"/>
    <n v="0"/>
    <n v="0"/>
    <n v="0"/>
    <n v="0"/>
  </r>
  <r>
    <n v="7165"/>
    <s v="Other"/>
    <n v="29"/>
    <x v="6"/>
    <x v="2"/>
    <n v="255"/>
    <n v="99"/>
    <n v="0.25"/>
    <s v="Web"/>
    <n v="0"/>
    <n v="1"/>
    <n v="1"/>
    <n v="9.99"/>
    <n v="9.99"/>
  </r>
  <r>
    <n v="7166"/>
    <s v="Other"/>
    <n v="23"/>
    <x v="1"/>
    <x v="1"/>
    <n v="112"/>
    <n v="53"/>
    <n v="0.6"/>
    <s v="Desktop"/>
    <n v="0"/>
    <n v="1"/>
    <n v="0"/>
    <n v="14.99"/>
    <n v="0"/>
  </r>
  <r>
    <n v="7167"/>
    <s v="Male"/>
    <n v="52"/>
    <x v="4"/>
    <x v="1"/>
    <n v="228"/>
    <n v="82"/>
    <n v="0.43"/>
    <s v="Mobile"/>
    <n v="0"/>
    <n v="1"/>
    <n v="0"/>
    <n v="14.99"/>
    <n v="0"/>
  </r>
  <r>
    <n v="7168"/>
    <s v="Male"/>
    <n v="56"/>
    <x v="2"/>
    <x v="2"/>
    <n v="175"/>
    <n v="87"/>
    <n v="0"/>
    <s v="Mobile"/>
    <n v="0"/>
    <n v="1"/>
    <n v="0"/>
    <n v="9.99"/>
    <n v="0"/>
  </r>
  <r>
    <n v="7169"/>
    <s v="Male"/>
    <n v="54"/>
    <x v="4"/>
    <x v="3"/>
    <n v="176"/>
    <n v="59"/>
    <n v="0.44"/>
    <s v="Desktop"/>
    <n v="0"/>
    <n v="1"/>
    <n v="0"/>
    <n v="4.99"/>
    <n v="0"/>
  </r>
  <r>
    <n v="7170"/>
    <s v="Female"/>
    <n v="53"/>
    <x v="5"/>
    <x v="2"/>
    <n v="39"/>
    <n v="30"/>
    <n v="0.56000000000000005"/>
    <s v="Mobile"/>
    <n v="0"/>
    <n v="1"/>
    <n v="0"/>
    <n v="9.99"/>
    <n v="0"/>
  </r>
  <r>
    <n v="7171"/>
    <s v="Male"/>
    <n v="34"/>
    <x v="7"/>
    <x v="0"/>
    <n v="30"/>
    <n v="54"/>
    <n v="0.38"/>
    <s v="Mobile"/>
    <n v="41"/>
    <n v="0"/>
    <n v="0"/>
    <n v="0"/>
    <n v="0"/>
  </r>
  <r>
    <n v="7172"/>
    <s v="Male"/>
    <n v="44"/>
    <x v="7"/>
    <x v="1"/>
    <n v="110"/>
    <n v="96"/>
    <n v="0.31"/>
    <s v="Desktop"/>
    <n v="0"/>
    <n v="1"/>
    <n v="0"/>
    <n v="14.99"/>
    <n v="0"/>
  </r>
  <r>
    <n v="7173"/>
    <s v="Other"/>
    <n v="16"/>
    <x v="7"/>
    <x v="0"/>
    <n v="212"/>
    <n v="3"/>
    <n v="0.23"/>
    <s v="Desktop"/>
    <n v="16"/>
    <n v="0"/>
    <n v="0"/>
    <n v="0"/>
    <n v="0"/>
  </r>
  <r>
    <n v="7174"/>
    <s v="Other"/>
    <n v="47"/>
    <x v="3"/>
    <x v="1"/>
    <n v="137"/>
    <n v="30"/>
    <n v="0.28999999999999998"/>
    <s v="Web"/>
    <n v="0"/>
    <n v="1"/>
    <n v="1"/>
    <n v="14.99"/>
    <n v="14.99"/>
  </r>
  <r>
    <n v="7175"/>
    <s v="Other"/>
    <n v="39"/>
    <x v="3"/>
    <x v="1"/>
    <n v="270"/>
    <n v="80"/>
    <n v="0.59"/>
    <s v="Desktop"/>
    <n v="0"/>
    <n v="1"/>
    <n v="0"/>
    <n v="14.99"/>
    <n v="0"/>
  </r>
  <r>
    <n v="7176"/>
    <s v="Male"/>
    <n v="51"/>
    <x v="5"/>
    <x v="0"/>
    <n v="24"/>
    <n v="37"/>
    <n v="0.11"/>
    <s v="Web"/>
    <n v="12"/>
    <n v="0"/>
    <n v="0"/>
    <n v="0"/>
    <n v="0"/>
  </r>
  <r>
    <n v="7177"/>
    <s v="Female"/>
    <n v="59"/>
    <x v="7"/>
    <x v="2"/>
    <n v="26"/>
    <n v="37"/>
    <n v="0.27"/>
    <s v="Desktop"/>
    <n v="0"/>
    <n v="1"/>
    <n v="1"/>
    <n v="9.99"/>
    <n v="9.99"/>
  </r>
  <r>
    <n v="7178"/>
    <s v="Other"/>
    <n v="18"/>
    <x v="5"/>
    <x v="2"/>
    <n v="137"/>
    <n v="36"/>
    <n v="0.43"/>
    <s v="Mobile"/>
    <n v="0"/>
    <n v="1"/>
    <n v="0"/>
    <n v="9.99"/>
    <n v="0"/>
  </r>
  <r>
    <n v="7179"/>
    <s v="Male"/>
    <n v="56"/>
    <x v="4"/>
    <x v="0"/>
    <n v="28"/>
    <n v="15"/>
    <n v="0.17"/>
    <s v="Web"/>
    <n v="18"/>
    <n v="0"/>
    <n v="0"/>
    <n v="0"/>
    <n v="0"/>
  </r>
  <r>
    <n v="7180"/>
    <s v="Female"/>
    <n v="52"/>
    <x v="0"/>
    <x v="1"/>
    <n v="21"/>
    <n v="72"/>
    <n v="0.55000000000000004"/>
    <s v="Mobile"/>
    <n v="0"/>
    <n v="1"/>
    <n v="0"/>
    <n v="14.99"/>
    <n v="0"/>
  </r>
  <r>
    <n v="7181"/>
    <s v="Female"/>
    <n v="27"/>
    <x v="4"/>
    <x v="3"/>
    <n v="145"/>
    <n v="70"/>
    <n v="0.37"/>
    <s v="Desktop"/>
    <n v="0"/>
    <n v="1"/>
    <n v="1"/>
    <n v="4.99"/>
    <n v="4.99"/>
  </r>
  <r>
    <n v="7182"/>
    <s v="Other"/>
    <n v="37"/>
    <x v="0"/>
    <x v="1"/>
    <n v="283"/>
    <n v="74"/>
    <n v="0.13"/>
    <s v="Desktop"/>
    <n v="0"/>
    <n v="1"/>
    <n v="1"/>
    <n v="14.99"/>
    <n v="14.99"/>
  </r>
  <r>
    <n v="7183"/>
    <s v="Other"/>
    <n v="27"/>
    <x v="5"/>
    <x v="1"/>
    <n v="107"/>
    <n v="21"/>
    <n v="0.47"/>
    <s v="Mobile"/>
    <n v="0"/>
    <n v="1"/>
    <n v="1"/>
    <n v="14.99"/>
    <n v="14.99"/>
  </r>
  <r>
    <n v="7184"/>
    <s v="Female"/>
    <n v="33"/>
    <x v="3"/>
    <x v="0"/>
    <n v="277"/>
    <n v="49"/>
    <n v="0.39"/>
    <s v="Mobile"/>
    <n v="29"/>
    <n v="0"/>
    <n v="0"/>
    <n v="0"/>
    <n v="0"/>
  </r>
  <r>
    <n v="7185"/>
    <s v="Other"/>
    <n v="49"/>
    <x v="7"/>
    <x v="2"/>
    <n v="43"/>
    <n v="24"/>
    <n v="0.48"/>
    <s v="Mobile"/>
    <n v="0"/>
    <n v="1"/>
    <n v="0"/>
    <n v="9.99"/>
    <n v="0"/>
  </r>
  <r>
    <n v="7186"/>
    <s v="Female"/>
    <n v="45"/>
    <x v="3"/>
    <x v="3"/>
    <n v="233"/>
    <n v="78"/>
    <n v="0.15"/>
    <s v="Web"/>
    <n v="0"/>
    <n v="1"/>
    <n v="1"/>
    <n v="4.99"/>
    <n v="4.99"/>
  </r>
  <r>
    <n v="7187"/>
    <s v="Other"/>
    <n v="32"/>
    <x v="5"/>
    <x v="3"/>
    <n v="11"/>
    <n v="66"/>
    <n v="0.5"/>
    <s v="Mobile"/>
    <n v="0"/>
    <n v="1"/>
    <n v="0"/>
    <n v="4.99"/>
    <n v="0"/>
  </r>
  <r>
    <n v="7188"/>
    <s v="Other"/>
    <n v="40"/>
    <x v="4"/>
    <x v="3"/>
    <n v="193"/>
    <n v="70"/>
    <n v="0.11"/>
    <s v="Desktop"/>
    <n v="0"/>
    <n v="1"/>
    <n v="0"/>
    <n v="4.99"/>
    <n v="0"/>
  </r>
  <r>
    <n v="7189"/>
    <s v="Other"/>
    <n v="26"/>
    <x v="1"/>
    <x v="2"/>
    <n v="204"/>
    <n v="60"/>
    <n v="0.56000000000000005"/>
    <s v="Desktop"/>
    <n v="0"/>
    <n v="1"/>
    <n v="0"/>
    <n v="9.99"/>
    <n v="0"/>
  </r>
  <r>
    <n v="7190"/>
    <s v="Other"/>
    <n v="20"/>
    <x v="7"/>
    <x v="0"/>
    <n v="96"/>
    <n v="56"/>
    <n v="0.08"/>
    <s v="Mobile"/>
    <n v="45"/>
    <n v="0"/>
    <n v="1"/>
    <n v="0"/>
    <n v="0"/>
  </r>
  <r>
    <n v="7191"/>
    <s v="Male"/>
    <n v="59"/>
    <x v="7"/>
    <x v="2"/>
    <n v="79"/>
    <n v="70"/>
    <n v="0.34"/>
    <s v="Web"/>
    <n v="0"/>
    <n v="1"/>
    <n v="0"/>
    <n v="9.99"/>
    <n v="0"/>
  </r>
  <r>
    <n v="7192"/>
    <s v="Male"/>
    <n v="24"/>
    <x v="6"/>
    <x v="3"/>
    <n v="253"/>
    <n v="74"/>
    <n v="7.0000000000000007E-2"/>
    <s v="Desktop"/>
    <n v="0"/>
    <n v="1"/>
    <n v="0"/>
    <n v="4.99"/>
    <n v="0"/>
  </r>
  <r>
    <n v="7193"/>
    <s v="Male"/>
    <n v="52"/>
    <x v="4"/>
    <x v="3"/>
    <n v="194"/>
    <n v="75"/>
    <n v="0.42"/>
    <s v="Mobile"/>
    <n v="0"/>
    <n v="1"/>
    <n v="0"/>
    <n v="4.99"/>
    <n v="0"/>
  </r>
  <r>
    <n v="7194"/>
    <s v="Other"/>
    <n v="39"/>
    <x v="6"/>
    <x v="2"/>
    <n v="50"/>
    <n v="89"/>
    <n v="0.55000000000000004"/>
    <s v="Desktop"/>
    <n v="0"/>
    <n v="1"/>
    <n v="1"/>
    <n v="9.99"/>
    <n v="9.99"/>
  </r>
  <r>
    <n v="7195"/>
    <s v="Female"/>
    <n v="32"/>
    <x v="2"/>
    <x v="3"/>
    <n v="112"/>
    <n v="91"/>
    <n v="0.28000000000000003"/>
    <s v="Mobile"/>
    <n v="0"/>
    <n v="1"/>
    <n v="0"/>
    <n v="4.99"/>
    <n v="0"/>
  </r>
  <r>
    <n v="7196"/>
    <s v="Male"/>
    <n v="57"/>
    <x v="7"/>
    <x v="1"/>
    <n v="33"/>
    <n v="53"/>
    <n v="0.53"/>
    <s v="Desktop"/>
    <n v="0"/>
    <n v="1"/>
    <n v="0"/>
    <n v="14.99"/>
    <n v="0"/>
  </r>
  <r>
    <n v="7197"/>
    <s v="Other"/>
    <n v="23"/>
    <x v="4"/>
    <x v="0"/>
    <n v="105"/>
    <n v="84"/>
    <n v="0.36"/>
    <s v="Desktop"/>
    <n v="30"/>
    <n v="0"/>
    <n v="0"/>
    <n v="0"/>
    <n v="0"/>
  </r>
  <r>
    <n v="7198"/>
    <s v="Female"/>
    <n v="37"/>
    <x v="1"/>
    <x v="1"/>
    <n v="143"/>
    <n v="87"/>
    <n v="0.23"/>
    <s v="Web"/>
    <n v="0"/>
    <n v="1"/>
    <n v="1"/>
    <n v="14.99"/>
    <n v="14.99"/>
  </r>
  <r>
    <n v="7199"/>
    <s v="Female"/>
    <n v="52"/>
    <x v="7"/>
    <x v="0"/>
    <n v="167"/>
    <n v="59"/>
    <n v="0.31"/>
    <s v="Web"/>
    <n v="12"/>
    <n v="0"/>
    <n v="1"/>
    <n v="0"/>
    <n v="0"/>
  </r>
  <r>
    <n v="7200"/>
    <s v="Other"/>
    <n v="18"/>
    <x v="1"/>
    <x v="1"/>
    <n v="238"/>
    <n v="28"/>
    <n v="0.31"/>
    <s v="Web"/>
    <n v="0"/>
    <n v="1"/>
    <n v="1"/>
    <n v="14.99"/>
    <n v="14.99"/>
  </r>
  <r>
    <n v="7201"/>
    <s v="Male"/>
    <n v="37"/>
    <x v="3"/>
    <x v="0"/>
    <n v="255"/>
    <n v="9"/>
    <n v="0.56000000000000005"/>
    <s v="Mobile"/>
    <n v="12"/>
    <n v="0"/>
    <n v="1"/>
    <n v="0"/>
    <n v="0"/>
  </r>
  <r>
    <n v="7202"/>
    <s v="Female"/>
    <n v="39"/>
    <x v="7"/>
    <x v="3"/>
    <n v="282"/>
    <n v="97"/>
    <n v="0.03"/>
    <s v="Desktop"/>
    <n v="0"/>
    <n v="1"/>
    <n v="0"/>
    <n v="4.99"/>
    <n v="0"/>
  </r>
  <r>
    <n v="7203"/>
    <s v="Male"/>
    <n v="45"/>
    <x v="4"/>
    <x v="1"/>
    <n v="275"/>
    <n v="58"/>
    <n v="0.44"/>
    <s v="Web"/>
    <n v="0"/>
    <n v="1"/>
    <n v="1"/>
    <n v="14.99"/>
    <n v="14.99"/>
  </r>
  <r>
    <n v="7204"/>
    <s v="Other"/>
    <n v="51"/>
    <x v="1"/>
    <x v="2"/>
    <n v="217"/>
    <n v="44"/>
    <n v="0.06"/>
    <s v="Mobile"/>
    <n v="0"/>
    <n v="1"/>
    <n v="0"/>
    <n v="9.99"/>
    <n v="0"/>
  </r>
  <r>
    <n v="7205"/>
    <s v="Male"/>
    <n v="19"/>
    <x v="0"/>
    <x v="1"/>
    <n v="228"/>
    <n v="99"/>
    <n v="0.55000000000000004"/>
    <s v="Desktop"/>
    <n v="0"/>
    <n v="1"/>
    <n v="1"/>
    <n v="14.99"/>
    <n v="14.99"/>
  </r>
  <r>
    <n v="7206"/>
    <s v="Male"/>
    <n v="34"/>
    <x v="4"/>
    <x v="3"/>
    <n v="143"/>
    <n v="99"/>
    <n v="0.43"/>
    <s v="Web"/>
    <n v="0"/>
    <n v="1"/>
    <n v="0"/>
    <n v="4.99"/>
    <n v="0"/>
  </r>
  <r>
    <n v="7207"/>
    <s v="Female"/>
    <n v="21"/>
    <x v="1"/>
    <x v="3"/>
    <n v="259"/>
    <n v="80"/>
    <n v="0.35"/>
    <s v="Web"/>
    <n v="0"/>
    <n v="1"/>
    <n v="0"/>
    <n v="4.99"/>
    <n v="0"/>
  </r>
  <r>
    <n v="7208"/>
    <s v="Other"/>
    <n v="38"/>
    <x v="2"/>
    <x v="1"/>
    <n v="224"/>
    <n v="81"/>
    <n v="0.21"/>
    <s v="Mobile"/>
    <n v="0"/>
    <n v="1"/>
    <n v="0"/>
    <n v="14.99"/>
    <n v="0"/>
  </r>
  <r>
    <n v="7209"/>
    <s v="Female"/>
    <n v="40"/>
    <x v="3"/>
    <x v="2"/>
    <n v="101"/>
    <n v="88"/>
    <n v="0.06"/>
    <s v="Mobile"/>
    <n v="0"/>
    <n v="1"/>
    <n v="0"/>
    <n v="9.99"/>
    <n v="0"/>
  </r>
  <r>
    <n v="7210"/>
    <s v="Male"/>
    <n v="26"/>
    <x v="1"/>
    <x v="2"/>
    <n v="85"/>
    <n v="46"/>
    <n v="0.09"/>
    <s v="Mobile"/>
    <n v="0"/>
    <n v="1"/>
    <n v="0"/>
    <n v="9.99"/>
    <n v="0"/>
  </r>
  <r>
    <n v="7211"/>
    <s v="Other"/>
    <n v="43"/>
    <x v="5"/>
    <x v="2"/>
    <n v="207"/>
    <n v="67"/>
    <n v="0.09"/>
    <s v="Mobile"/>
    <n v="0"/>
    <n v="1"/>
    <n v="1"/>
    <n v="9.99"/>
    <n v="9.99"/>
  </r>
  <r>
    <n v="7212"/>
    <s v="Male"/>
    <n v="18"/>
    <x v="1"/>
    <x v="2"/>
    <n v="279"/>
    <n v="45"/>
    <n v="0.4"/>
    <s v="Mobile"/>
    <n v="0"/>
    <n v="1"/>
    <n v="0"/>
    <n v="9.99"/>
    <n v="0"/>
  </r>
  <r>
    <n v="7213"/>
    <s v="Other"/>
    <n v="54"/>
    <x v="2"/>
    <x v="0"/>
    <n v="133"/>
    <n v="99"/>
    <n v="0.17"/>
    <s v="Desktop"/>
    <n v="24"/>
    <n v="0"/>
    <n v="0"/>
    <n v="0"/>
    <n v="0"/>
  </r>
  <r>
    <n v="7214"/>
    <s v="Other"/>
    <n v="51"/>
    <x v="5"/>
    <x v="2"/>
    <n v="66"/>
    <n v="47"/>
    <n v="0.04"/>
    <s v="Desktop"/>
    <n v="0"/>
    <n v="1"/>
    <n v="0"/>
    <n v="9.99"/>
    <n v="0"/>
  </r>
  <r>
    <n v="7215"/>
    <s v="Male"/>
    <n v="54"/>
    <x v="4"/>
    <x v="1"/>
    <n v="104"/>
    <n v="45"/>
    <n v="0.31"/>
    <s v="Web"/>
    <n v="0"/>
    <n v="1"/>
    <n v="0"/>
    <n v="14.99"/>
    <n v="0"/>
  </r>
  <r>
    <n v="7216"/>
    <s v="Female"/>
    <n v="49"/>
    <x v="2"/>
    <x v="3"/>
    <n v="208"/>
    <n v="62"/>
    <n v="0.51"/>
    <s v="Desktop"/>
    <n v="0"/>
    <n v="1"/>
    <n v="0"/>
    <n v="4.99"/>
    <n v="0"/>
  </r>
  <r>
    <n v="7217"/>
    <s v="Male"/>
    <n v="16"/>
    <x v="6"/>
    <x v="0"/>
    <n v="111"/>
    <n v="78"/>
    <n v="0.24"/>
    <s v="Mobile"/>
    <n v="12"/>
    <n v="0"/>
    <n v="0"/>
    <n v="0"/>
    <n v="0"/>
  </r>
  <r>
    <n v="7218"/>
    <s v="Female"/>
    <n v="44"/>
    <x v="6"/>
    <x v="0"/>
    <n v="273"/>
    <n v="46"/>
    <n v="0.31"/>
    <s v="Web"/>
    <n v="38"/>
    <n v="0"/>
    <n v="0"/>
    <n v="0"/>
    <n v="0"/>
  </r>
  <r>
    <n v="7219"/>
    <s v="Other"/>
    <n v="37"/>
    <x v="2"/>
    <x v="0"/>
    <n v="254"/>
    <n v="10"/>
    <n v="0.37"/>
    <s v="Mobile"/>
    <n v="31"/>
    <n v="0"/>
    <n v="0"/>
    <n v="0"/>
    <n v="0"/>
  </r>
  <r>
    <n v="7220"/>
    <s v="Male"/>
    <n v="28"/>
    <x v="4"/>
    <x v="3"/>
    <n v="243"/>
    <n v="67"/>
    <n v="0.02"/>
    <s v="Mobile"/>
    <n v="0"/>
    <n v="1"/>
    <n v="0"/>
    <n v="4.99"/>
    <n v="0"/>
  </r>
  <r>
    <n v="7221"/>
    <s v="Other"/>
    <n v="50"/>
    <x v="6"/>
    <x v="2"/>
    <n v="197"/>
    <n v="28"/>
    <n v="0.32"/>
    <s v="Web"/>
    <n v="0"/>
    <n v="1"/>
    <n v="0"/>
    <n v="9.99"/>
    <n v="0"/>
  </r>
  <r>
    <n v="7222"/>
    <s v="Male"/>
    <n v="22"/>
    <x v="7"/>
    <x v="1"/>
    <n v="107"/>
    <n v="81"/>
    <n v="0.51"/>
    <s v="Desktop"/>
    <n v="0"/>
    <n v="1"/>
    <n v="0"/>
    <n v="14.99"/>
    <n v="0"/>
  </r>
  <r>
    <n v="7223"/>
    <s v="Female"/>
    <n v="56"/>
    <x v="0"/>
    <x v="3"/>
    <n v="41"/>
    <n v="65"/>
    <n v="0.01"/>
    <s v="Mobile"/>
    <n v="0"/>
    <n v="1"/>
    <n v="0"/>
    <n v="4.99"/>
    <n v="0"/>
  </r>
  <r>
    <n v="7224"/>
    <s v="Other"/>
    <n v="28"/>
    <x v="1"/>
    <x v="3"/>
    <n v="209"/>
    <n v="73"/>
    <n v="0.38"/>
    <s v="Desktop"/>
    <n v="0"/>
    <n v="1"/>
    <n v="0"/>
    <n v="4.99"/>
    <n v="0"/>
  </r>
  <r>
    <n v="7225"/>
    <s v="Female"/>
    <n v="52"/>
    <x v="6"/>
    <x v="2"/>
    <n v="105"/>
    <n v="9"/>
    <n v="0.41"/>
    <s v="Mobile"/>
    <n v="0"/>
    <n v="1"/>
    <n v="0"/>
    <n v="9.99"/>
    <n v="0"/>
  </r>
  <r>
    <n v="7226"/>
    <s v="Other"/>
    <n v="53"/>
    <x v="5"/>
    <x v="3"/>
    <n v="65"/>
    <n v="26"/>
    <n v="0.33"/>
    <s v="Mobile"/>
    <n v="0"/>
    <n v="1"/>
    <n v="0"/>
    <n v="4.99"/>
    <n v="0"/>
  </r>
  <r>
    <n v="7227"/>
    <s v="Male"/>
    <n v="32"/>
    <x v="6"/>
    <x v="1"/>
    <n v="246"/>
    <n v="25"/>
    <n v="0.24"/>
    <s v="Web"/>
    <n v="0"/>
    <n v="1"/>
    <n v="1"/>
    <n v="14.99"/>
    <n v="14.99"/>
  </r>
  <r>
    <n v="7228"/>
    <s v="Male"/>
    <n v="22"/>
    <x v="2"/>
    <x v="1"/>
    <n v="184"/>
    <n v="50"/>
    <n v="0.09"/>
    <s v="Mobile"/>
    <n v="0"/>
    <n v="1"/>
    <n v="0"/>
    <n v="14.99"/>
    <n v="0"/>
  </r>
  <r>
    <n v="7229"/>
    <s v="Male"/>
    <n v="16"/>
    <x v="3"/>
    <x v="2"/>
    <n v="94"/>
    <n v="2"/>
    <n v="0.56000000000000005"/>
    <s v="Web"/>
    <n v="0"/>
    <n v="1"/>
    <n v="1"/>
    <n v="9.99"/>
    <n v="9.99"/>
  </r>
  <r>
    <n v="7230"/>
    <s v="Female"/>
    <n v="51"/>
    <x v="3"/>
    <x v="1"/>
    <n v="152"/>
    <n v="17"/>
    <n v="0.55000000000000004"/>
    <s v="Desktop"/>
    <n v="0"/>
    <n v="1"/>
    <n v="1"/>
    <n v="14.99"/>
    <n v="14.99"/>
  </r>
  <r>
    <n v="7231"/>
    <s v="Female"/>
    <n v="37"/>
    <x v="2"/>
    <x v="0"/>
    <n v="59"/>
    <n v="44"/>
    <n v="0.33"/>
    <s v="Mobile"/>
    <n v="33"/>
    <n v="0"/>
    <n v="1"/>
    <n v="0"/>
    <n v="0"/>
  </r>
  <r>
    <n v="7232"/>
    <s v="Other"/>
    <n v="16"/>
    <x v="0"/>
    <x v="3"/>
    <n v="118"/>
    <n v="68"/>
    <n v="0.44"/>
    <s v="Web"/>
    <n v="0"/>
    <n v="1"/>
    <n v="0"/>
    <n v="4.99"/>
    <n v="0"/>
  </r>
  <r>
    <n v="7233"/>
    <s v="Other"/>
    <n v="21"/>
    <x v="5"/>
    <x v="1"/>
    <n v="125"/>
    <n v="29"/>
    <n v="0.08"/>
    <s v="Web"/>
    <n v="0"/>
    <n v="1"/>
    <n v="0"/>
    <n v="14.99"/>
    <n v="0"/>
  </r>
  <r>
    <n v="7234"/>
    <s v="Male"/>
    <n v="18"/>
    <x v="1"/>
    <x v="1"/>
    <n v="214"/>
    <n v="58"/>
    <n v="0.55000000000000004"/>
    <s v="Web"/>
    <n v="0"/>
    <n v="1"/>
    <n v="0"/>
    <n v="14.99"/>
    <n v="0"/>
  </r>
  <r>
    <n v="7235"/>
    <s v="Other"/>
    <n v="45"/>
    <x v="0"/>
    <x v="0"/>
    <n v="106"/>
    <n v="62"/>
    <n v="0.52"/>
    <s v="Web"/>
    <n v="41"/>
    <n v="0"/>
    <n v="1"/>
    <n v="0"/>
    <n v="0"/>
  </r>
  <r>
    <n v="7236"/>
    <s v="Other"/>
    <n v="54"/>
    <x v="1"/>
    <x v="0"/>
    <n v="163"/>
    <n v="68"/>
    <n v="0.24"/>
    <s v="Desktop"/>
    <n v="47"/>
    <n v="0"/>
    <n v="1"/>
    <n v="0"/>
    <n v="0"/>
  </r>
  <r>
    <n v="7237"/>
    <s v="Male"/>
    <n v="38"/>
    <x v="4"/>
    <x v="3"/>
    <n v="244"/>
    <n v="46"/>
    <n v="0.1"/>
    <s v="Desktop"/>
    <n v="0"/>
    <n v="1"/>
    <n v="0"/>
    <n v="4.99"/>
    <n v="0"/>
  </r>
  <r>
    <n v="7238"/>
    <s v="Other"/>
    <n v="57"/>
    <x v="0"/>
    <x v="1"/>
    <n v="107"/>
    <n v="32"/>
    <n v="0.14000000000000001"/>
    <s v="Desktop"/>
    <n v="0"/>
    <n v="1"/>
    <n v="1"/>
    <n v="14.99"/>
    <n v="14.99"/>
  </r>
  <r>
    <n v="7239"/>
    <s v="Male"/>
    <n v="50"/>
    <x v="1"/>
    <x v="0"/>
    <n v="95"/>
    <n v="6"/>
    <n v="0.34"/>
    <s v="Web"/>
    <n v="14"/>
    <n v="0"/>
    <n v="0"/>
    <n v="0"/>
    <n v="0"/>
  </r>
  <r>
    <n v="7240"/>
    <s v="Other"/>
    <n v="52"/>
    <x v="2"/>
    <x v="3"/>
    <n v="258"/>
    <n v="49"/>
    <n v="0.51"/>
    <s v="Mobile"/>
    <n v="0"/>
    <n v="1"/>
    <n v="0"/>
    <n v="4.99"/>
    <n v="0"/>
  </r>
  <r>
    <n v="7241"/>
    <s v="Male"/>
    <n v="18"/>
    <x v="1"/>
    <x v="3"/>
    <n v="268"/>
    <n v="21"/>
    <n v="0.36"/>
    <s v="Web"/>
    <n v="0"/>
    <n v="1"/>
    <n v="1"/>
    <n v="4.99"/>
    <n v="4.99"/>
  </r>
  <r>
    <n v="7242"/>
    <s v="Male"/>
    <n v="57"/>
    <x v="6"/>
    <x v="2"/>
    <n v="138"/>
    <n v="3"/>
    <n v="0.42"/>
    <s v="Mobile"/>
    <n v="0"/>
    <n v="1"/>
    <n v="0"/>
    <n v="9.99"/>
    <n v="0"/>
  </r>
  <r>
    <n v="7243"/>
    <s v="Male"/>
    <n v="35"/>
    <x v="7"/>
    <x v="2"/>
    <n v="216"/>
    <n v="36"/>
    <n v="0.43"/>
    <s v="Web"/>
    <n v="0"/>
    <n v="1"/>
    <n v="0"/>
    <n v="9.99"/>
    <n v="0"/>
  </r>
  <r>
    <n v="7244"/>
    <s v="Male"/>
    <n v="25"/>
    <x v="6"/>
    <x v="3"/>
    <n v="56"/>
    <n v="30"/>
    <n v="0.53"/>
    <s v="Web"/>
    <n v="0"/>
    <n v="1"/>
    <n v="0"/>
    <n v="4.99"/>
    <n v="0"/>
  </r>
  <r>
    <n v="7245"/>
    <s v="Female"/>
    <n v="34"/>
    <x v="3"/>
    <x v="3"/>
    <n v="244"/>
    <n v="68"/>
    <n v="0.6"/>
    <s v="Desktop"/>
    <n v="0"/>
    <n v="1"/>
    <n v="1"/>
    <n v="4.99"/>
    <n v="4.99"/>
  </r>
  <r>
    <n v="7246"/>
    <s v="Male"/>
    <n v="36"/>
    <x v="4"/>
    <x v="1"/>
    <n v="214"/>
    <n v="15"/>
    <n v="0.56999999999999995"/>
    <s v="Desktop"/>
    <n v="0"/>
    <n v="1"/>
    <n v="0"/>
    <n v="14.99"/>
    <n v="0"/>
  </r>
  <r>
    <n v="7247"/>
    <s v="Female"/>
    <n v="42"/>
    <x v="7"/>
    <x v="1"/>
    <n v="134"/>
    <n v="35"/>
    <n v="0.57999999999999996"/>
    <s v="Web"/>
    <n v="0"/>
    <n v="1"/>
    <n v="0"/>
    <n v="14.99"/>
    <n v="0"/>
  </r>
  <r>
    <n v="7248"/>
    <s v="Female"/>
    <n v="20"/>
    <x v="7"/>
    <x v="1"/>
    <n v="226"/>
    <n v="11"/>
    <n v="0.06"/>
    <s v="Web"/>
    <n v="0"/>
    <n v="1"/>
    <n v="0"/>
    <n v="14.99"/>
    <n v="0"/>
  </r>
  <r>
    <n v="7249"/>
    <s v="Male"/>
    <n v="46"/>
    <x v="3"/>
    <x v="2"/>
    <n v="15"/>
    <n v="38"/>
    <n v="0.13"/>
    <s v="Desktop"/>
    <n v="0"/>
    <n v="1"/>
    <n v="0"/>
    <n v="9.99"/>
    <n v="0"/>
  </r>
  <r>
    <n v="7250"/>
    <s v="Other"/>
    <n v="27"/>
    <x v="4"/>
    <x v="0"/>
    <n v="20"/>
    <n v="87"/>
    <n v="0.59"/>
    <s v="Web"/>
    <n v="25"/>
    <n v="0"/>
    <n v="0"/>
    <n v="0"/>
    <n v="0"/>
  </r>
  <r>
    <n v="7251"/>
    <s v="Female"/>
    <n v="54"/>
    <x v="0"/>
    <x v="2"/>
    <n v="266"/>
    <n v="60"/>
    <n v="0.16"/>
    <s v="Web"/>
    <n v="0"/>
    <n v="1"/>
    <n v="0"/>
    <n v="9.99"/>
    <n v="0"/>
  </r>
  <r>
    <n v="7252"/>
    <s v="Male"/>
    <n v="49"/>
    <x v="5"/>
    <x v="1"/>
    <n v="42"/>
    <n v="41"/>
    <n v="0.19"/>
    <s v="Desktop"/>
    <n v="0"/>
    <n v="1"/>
    <n v="0"/>
    <n v="14.99"/>
    <n v="0"/>
  </r>
  <r>
    <n v="7253"/>
    <s v="Male"/>
    <n v="55"/>
    <x v="3"/>
    <x v="0"/>
    <n v="23"/>
    <n v="64"/>
    <n v="0.01"/>
    <s v="Web"/>
    <n v="26"/>
    <n v="0"/>
    <n v="0"/>
    <n v="0"/>
    <n v="0"/>
  </r>
  <r>
    <n v="7254"/>
    <s v="Other"/>
    <n v="29"/>
    <x v="4"/>
    <x v="2"/>
    <n v="223"/>
    <n v="52"/>
    <n v="0.28000000000000003"/>
    <s v="Mobile"/>
    <n v="0"/>
    <n v="1"/>
    <n v="0"/>
    <n v="9.99"/>
    <n v="0"/>
  </r>
  <r>
    <n v="7255"/>
    <s v="Female"/>
    <n v="46"/>
    <x v="5"/>
    <x v="3"/>
    <n v="35"/>
    <n v="20"/>
    <n v="0.36"/>
    <s v="Web"/>
    <n v="0"/>
    <n v="1"/>
    <n v="0"/>
    <n v="4.99"/>
    <n v="0"/>
  </r>
  <r>
    <n v="7256"/>
    <s v="Other"/>
    <n v="43"/>
    <x v="0"/>
    <x v="1"/>
    <n v="84"/>
    <n v="96"/>
    <n v="0.08"/>
    <s v="Mobile"/>
    <n v="0"/>
    <n v="1"/>
    <n v="1"/>
    <n v="14.99"/>
    <n v="14.99"/>
  </r>
  <r>
    <n v="7257"/>
    <s v="Other"/>
    <n v="32"/>
    <x v="2"/>
    <x v="1"/>
    <n v="212"/>
    <n v="74"/>
    <n v="0.12"/>
    <s v="Desktop"/>
    <n v="0"/>
    <n v="1"/>
    <n v="1"/>
    <n v="14.99"/>
    <n v="14.99"/>
  </r>
  <r>
    <n v="7258"/>
    <s v="Other"/>
    <n v="56"/>
    <x v="7"/>
    <x v="3"/>
    <n v="289"/>
    <n v="99"/>
    <n v="0.38"/>
    <s v="Desktop"/>
    <n v="0"/>
    <n v="1"/>
    <n v="1"/>
    <n v="4.99"/>
    <n v="4.99"/>
  </r>
  <r>
    <n v="7259"/>
    <s v="Female"/>
    <n v="32"/>
    <x v="1"/>
    <x v="2"/>
    <n v="88"/>
    <n v="75"/>
    <n v="0.54"/>
    <s v="Mobile"/>
    <n v="0"/>
    <n v="1"/>
    <n v="1"/>
    <n v="9.99"/>
    <n v="9.99"/>
  </r>
  <r>
    <n v="7260"/>
    <s v="Male"/>
    <n v="41"/>
    <x v="7"/>
    <x v="2"/>
    <n v="14"/>
    <n v="27"/>
    <n v="0.11"/>
    <s v="Web"/>
    <n v="0"/>
    <n v="1"/>
    <n v="0"/>
    <n v="9.99"/>
    <n v="0"/>
  </r>
  <r>
    <n v="7261"/>
    <s v="Female"/>
    <n v="51"/>
    <x v="3"/>
    <x v="2"/>
    <n v="57"/>
    <n v="13"/>
    <n v="0.34"/>
    <s v="Desktop"/>
    <n v="0"/>
    <n v="1"/>
    <n v="0"/>
    <n v="9.99"/>
    <n v="0"/>
  </r>
  <r>
    <n v="7262"/>
    <s v="Male"/>
    <n v="46"/>
    <x v="5"/>
    <x v="0"/>
    <n v="21"/>
    <n v="24"/>
    <n v="0.17"/>
    <s v="Desktop"/>
    <n v="35"/>
    <n v="0"/>
    <n v="0"/>
    <n v="0"/>
    <n v="0"/>
  </r>
  <r>
    <n v="7263"/>
    <s v="Female"/>
    <n v="24"/>
    <x v="1"/>
    <x v="3"/>
    <n v="241"/>
    <n v="65"/>
    <n v="0.59"/>
    <s v="Desktop"/>
    <n v="0"/>
    <n v="1"/>
    <n v="0"/>
    <n v="4.99"/>
    <n v="0"/>
  </r>
  <r>
    <n v="7264"/>
    <s v="Female"/>
    <n v="42"/>
    <x v="4"/>
    <x v="2"/>
    <n v="199"/>
    <n v="62"/>
    <n v="0.56000000000000005"/>
    <s v="Desktop"/>
    <n v="0"/>
    <n v="1"/>
    <n v="0"/>
    <n v="9.99"/>
    <n v="0"/>
  </r>
  <r>
    <n v="7265"/>
    <s v="Male"/>
    <n v="50"/>
    <x v="0"/>
    <x v="3"/>
    <n v="272"/>
    <n v="62"/>
    <n v="0.57999999999999996"/>
    <s v="Desktop"/>
    <n v="0"/>
    <n v="1"/>
    <n v="0"/>
    <n v="4.99"/>
    <n v="0"/>
  </r>
  <r>
    <n v="7266"/>
    <s v="Other"/>
    <n v="41"/>
    <x v="3"/>
    <x v="1"/>
    <n v="82"/>
    <n v="93"/>
    <n v="0.13"/>
    <s v="Web"/>
    <n v="0"/>
    <n v="1"/>
    <n v="0"/>
    <n v="14.99"/>
    <n v="0"/>
  </r>
  <r>
    <n v="7267"/>
    <s v="Female"/>
    <n v="40"/>
    <x v="5"/>
    <x v="3"/>
    <n v="131"/>
    <n v="64"/>
    <n v="0.41"/>
    <s v="Mobile"/>
    <n v="0"/>
    <n v="1"/>
    <n v="1"/>
    <n v="4.99"/>
    <n v="4.99"/>
  </r>
  <r>
    <n v="7268"/>
    <s v="Male"/>
    <n v="44"/>
    <x v="7"/>
    <x v="1"/>
    <n v="146"/>
    <n v="20"/>
    <n v="0.08"/>
    <s v="Mobile"/>
    <n v="0"/>
    <n v="1"/>
    <n v="1"/>
    <n v="14.99"/>
    <n v="14.99"/>
  </r>
  <r>
    <n v="7269"/>
    <s v="Other"/>
    <n v="58"/>
    <x v="4"/>
    <x v="3"/>
    <n v="77"/>
    <n v="20"/>
    <n v="0.25"/>
    <s v="Mobile"/>
    <n v="0"/>
    <n v="1"/>
    <n v="0"/>
    <n v="4.99"/>
    <n v="0"/>
  </r>
  <r>
    <n v="7270"/>
    <s v="Male"/>
    <n v="56"/>
    <x v="7"/>
    <x v="0"/>
    <n v="226"/>
    <n v="8"/>
    <n v="0.2"/>
    <s v="Desktop"/>
    <n v="15"/>
    <n v="0"/>
    <n v="0"/>
    <n v="0"/>
    <n v="0"/>
  </r>
  <r>
    <n v="7271"/>
    <s v="Other"/>
    <n v="52"/>
    <x v="0"/>
    <x v="3"/>
    <n v="10"/>
    <n v="5"/>
    <n v="0.05"/>
    <s v="Mobile"/>
    <n v="0"/>
    <n v="1"/>
    <n v="0"/>
    <n v="4.99"/>
    <n v="0"/>
  </r>
  <r>
    <n v="7272"/>
    <s v="Other"/>
    <n v="54"/>
    <x v="4"/>
    <x v="0"/>
    <n v="90"/>
    <n v="19"/>
    <n v="0.19"/>
    <s v="Mobile"/>
    <n v="45"/>
    <n v="0"/>
    <n v="1"/>
    <n v="0"/>
    <n v="0"/>
  </r>
  <r>
    <n v="7273"/>
    <s v="Male"/>
    <n v="44"/>
    <x v="1"/>
    <x v="1"/>
    <n v="269"/>
    <n v="17"/>
    <n v="0.35"/>
    <s v="Mobile"/>
    <n v="0"/>
    <n v="1"/>
    <n v="0"/>
    <n v="14.99"/>
    <n v="0"/>
  </r>
  <r>
    <n v="7274"/>
    <s v="Other"/>
    <n v="56"/>
    <x v="6"/>
    <x v="1"/>
    <n v="165"/>
    <n v="56"/>
    <n v="0.5"/>
    <s v="Desktop"/>
    <n v="0"/>
    <n v="1"/>
    <n v="0"/>
    <n v="14.99"/>
    <n v="0"/>
  </r>
  <r>
    <n v="7275"/>
    <s v="Male"/>
    <n v="40"/>
    <x v="0"/>
    <x v="3"/>
    <n v="22"/>
    <n v="44"/>
    <n v="0.56000000000000005"/>
    <s v="Web"/>
    <n v="0"/>
    <n v="1"/>
    <n v="0"/>
    <n v="4.99"/>
    <n v="0"/>
  </r>
  <r>
    <n v="7276"/>
    <s v="Female"/>
    <n v="22"/>
    <x v="5"/>
    <x v="2"/>
    <n v="107"/>
    <n v="36"/>
    <n v="0.3"/>
    <s v="Desktop"/>
    <n v="0"/>
    <n v="1"/>
    <n v="0"/>
    <n v="9.99"/>
    <n v="0"/>
  </r>
  <r>
    <n v="7277"/>
    <s v="Female"/>
    <n v="49"/>
    <x v="2"/>
    <x v="2"/>
    <n v="175"/>
    <n v="73"/>
    <n v="0.01"/>
    <s v="Desktop"/>
    <n v="0"/>
    <n v="1"/>
    <n v="0"/>
    <n v="9.99"/>
    <n v="0"/>
  </r>
  <r>
    <n v="7278"/>
    <s v="Female"/>
    <n v="33"/>
    <x v="2"/>
    <x v="1"/>
    <n v="45"/>
    <n v="11"/>
    <n v="0.15"/>
    <s v="Web"/>
    <n v="0"/>
    <n v="1"/>
    <n v="0"/>
    <n v="14.99"/>
    <n v="0"/>
  </r>
  <r>
    <n v="7279"/>
    <s v="Female"/>
    <n v="19"/>
    <x v="4"/>
    <x v="0"/>
    <n v="55"/>
    <n v="24"/>
    <n v="0.41"/>
    <s v="Web"/>
    <n v="39"/>
    <n v="0"/>
    <n v="0"/>
    <n v="0"/>
    <n v="0"/>
  </r>
  <r>
    <n v="7280"/>
    <s v="Female"/>
    <n v="35"/>
    <x v="7"/>
    <x v="1"/>
    <n v="167"/>
    <n v="30"/>
    <n v="0.55000000000000004"/>
    <s v="Desktop"/>
    <n v="0"/>
    <n v="1"/>
    <n v="0"/>
    <n v="14.99"/>
    <n v="0"/>
  </r>
  <r>
    <n v="7281"/>
    <s v="Male"/>
    <n v="36"/>
    <x v="7"/>
    <x v="1"/>
    <n v="40"/>
    <n v="65"/>
    <n v="0.42"/>
    <s v="Mobile"/>
    <n v="0"/>
    <n v="1"/>
    <n v="0"/>
    <n v="14.99"/>
    <n v="0"/>
  </r>
  <r>
    <n v="7282"/>
    <s v="Male"/>
    <n v="47"/>
    <x v="0"/>
    <x v="0"/>
    <n v="136"/>
    <n v="37"/>
    <n v="0.31"/>
    <s v="Web"/>
    <n v="42"/>
    <n v="0"/>
    <n v="0"/>
    <n v="0"/>
    <n v="0"/>
  </r>
  <r>
    <n v="7283"/>
    <s v="Female"/>
    <n v="37"/>
    <x v="1"/>
    <x v="2"/>
    <n v="255"/>
    <n v="11"/>
    <n v="0.06"/>
    <s v="Mobile"/>
    <n v="0"/>
    <n v="1"/>
    <n v="0"/>
    <n v="9.99"/>
    <n v="0"/>
  </r>
  <r>
    <n v="7284"/>
    <s v="Other"/>
    <n v="34"/>
    <x v="2"/>
    <x v="0"/>
    <n v="173"/>
    <n v="96"/>
    <n v="0.32"/>
    <s v="Desktop"/>
    <n v="28"/>
    <n v="0"/>
    <n v="0"/>
    <n v="0"/>
    <n v="0"/>
  </r>
  <r>
    <n v="7285"/>
    <s v="Female"/>
    <n v="53"/>
    <x v="4"/>
    <x v="0"/>
    <n v="182"/>
    <n v="70"/>
    <n v="0.26"/>
    <s v="Mobile"/>
    <n v="21"/>
    <n v="0"/>
    <n v="0"/>
    <n v="0"/>
    <n v="0"/>
  </r>
  <r>
    <n v="7286"/>
    <s v="Female"/>
    <n v="48"/>
    <x v="4"/>
    <x v="2"/>
    <n v="80"/>
    <n v="53"/>
    <n v="0.05"/>
    <s v="Mobile"/>
    <n v="0"/>
    <n v="1"/>
    <n v="0"/>
    <n v="9.99"/>
    <n v="0"/>
  </r>
  <r>
    <n v="7287"/>
    <s v="Male"/>
    <n v="23"/>
    <x v="4"/>
    <x v="2"/>
    <n v="279"/>
    <n v="35"/>
    <n v="0.08"/>
    <s v="Mobile"/>
    <n v="0"/>
    <n v="1"/>
    <n v="0"/>
    <n v="9.99"/>
    <n v="0"/>
  </r>
  <r>
    <n v="7288"/>
    <s v="Female"/>
    <n v="39"/>
    <x v="3"/>
    <x v="2"/>
    <n v="59"/>
    <n v="73"/>
    <n v="0.27"/>
    <s v="Desktop"/>
    <n v="0"/>
    <n v="1"/>
    <n v="0"/>
    <n v="9.99"/>
    <n v="0"/>
  </r>
  <r>
    <n v="7289"/>
    <s v="Other"/>
    <n v="56"/>
    <x v="3"/>
    <x v="1"/>
    <n v="235"/>
    <n v="28"/>
    <n v="0.13"/>
    <s v="Desktop"/>
    <n v="0"/>
    <n v="1"/>
    <n v="0"/>
    <n v="14.99"/>
    <n v="0"/>
  </r>
  <r>
    <n v="7290"/>
    <s v="Other"/>
    <n v="20"/>
    <x v="0"/>
    <x v="1"/>
    <n v="96"/>
    <n v="85"/>
    <n v="0.34"/>
    <s v="Desktop"/>
    <n v="0"/>
    <n v="1"/>
    <n v="0"/>
    <n v="14.99"/>
    <n v="0"/>
  </r>
  <r>
    <n v="7291"/>
    <s v="Female"/>
    <n v="51"/>
    <x v="6"/>
    <x v="0"/>
    <n v="251"/>
    <n v="60"/>
    <n v="0.1"/>
    <s v="Mobile"/>
    <n v="8"/>
    <n v="0"/>
    <n v="0"/>
    <n v="0"/>
    <n v="0"/>
  </r>
  <r>
    <n v="7292"/>
    <s v="Male"/>
    <n v="52"/>
    <x v="3"/>
    <x v="2"/>
    <n v="122"/>
    <n v="35"/>
    <n v="0.24"/>
    <s v="Desktop"/>
    <n v="0"/>
    <n v="1"/>
    <n v="1"/>
    <n v="9.99"/>
    <n v="9.99"/>
  </r>
  <r>
    <n v="7293"/>
    <s v="Female"/>
    <n v="33"/>
    <x v="1"/>
    <x v="1"/>
    <n v="32"/>
    <n v="13"/>
    <n v="0.51"/>
    <s v="Web"/>
    <n v="0"/>
    <n v="1"/>
    <n v="0"/>
    <n v="14.99"/>
    <n v="0"/>
  </r>
  <r>
    <n v="7294"/>
    <s v="Female"/>
    <n v="22"/>
    <x v="7"/>
    <x v="0"/>
    <n v="63"/>
    <n v="26"/>
    <n v="0.17"/>
    <s v="Mobile"/>
    <n v="9"/>
    <n v="0"/>
    <n v="0"/>
    <n v="0"/>
    <n v="0"/>
  </r>
  <r>
    <n v="7295"/>
    <s v="Female"/>
    <n v="29"/>
    <x v="2"/>
    <x v="0"/>
    <n v="127"/>
    <n v="70"/>
    <n v="0.51"/>
    <s v="Mobile"/>
    <n v="12"/>
    <n v="0"/>
    <n v="0"/>
    <n v="0"/>
    <n v="0"/>
  </r>
  <r>
    <n v="7296"/>
    <s v="Male"/>
    <n v="29"/>
    <x v="4"/>
    <x v="2"/>
    <n v="218"/>
    <n v="70"/>
    <n v="0.35"/>
    <s v="Mobile"/>
    <n v="0"/>
    <n v="1"/>
    <n v="0"/>
    <n v="9.99"/>
    <n v="0"/>
  </r>
  <r>
    <n v="7297"/>
    <s v="Other"/>
    <n v="51"/>
    <x v="1"/>
    <x v="0"/>
    <n v="13"/>
    <n v="42"/>
    <n v="0.23"/>
    <s v="Mobile"/>
    <n v="42"/>
    <n v="0"/>
    <n v="0"/>
    <n v="0"/>
    <n v="0"/>
  </r>
  <r>
    <n v="7298"/>
    <s v="Other"/>
    <n v="53"/>
    <x v="6"/>
    <x v="2"/>
    <n v="169"/>
    <n v="56"/>
    <n v="0.17"/>
    <s v="Desktop"/>
    <n v="0"/>
    <n v="1"/>
    <n v="0"/>
    <n v="9.99"/>
    <n v="0"/>
  </r>
  <r>
    <n v="7299"/>
    <s v="Other"/>
    <n v="44"/>
    <x v="6"/>
    <x v="1"/>
    <n v="276"/>
    <n v="97"/>
    <n v="0.23"/>
    <s v="Mobile"/>
    <n v="0"/>
    <n v="1"/>
    <n v="1"/>
    <n v="14.99"/>
    <n v="14.99"/>
  </r>
  <r>
    <n v="7300"/>
    <s v="Female"/>
    <n v="19"/>
    <x v="5"/>
    <x v="2"/>
    <n v="203"/>
    <n v="81"/>
    <n v="0.45"/>
    <s v="Mobile"/>
    <n v="0"/>
    <n v="1"/>
    <n v="0"/>
    <n v="9.99"/>
    <n v="0"/>
  </r>
  <r>
    <n v="7301"/>
    <s v="Other"/>
    <n v="52"/>
    <x v="3"/>
    <x v="1"/>
    <n v="88"/>
    <n v="57"/>
    <n v="0.52"/>
    <s v="Desktop"/>
    <n v="0"/>
    <n v="1"/>
    <n v="0"/>
    <n v="14.99"/>
    <n v="0"/>
  </r>
  <r>
    <n v="7302"/>
    <s v="Other"/>
    <n v="17"/>
    <x v="4"/>
    <x v="2"/>
    <n v="123"/>
    <n v="2"/>
    <n v="0.5"/>
    <s v="Web"/>
    <n v="0"/>
    <n v="1"/>
    <n v="0"/>
    <n v="9.99"/>
    <n v="0"/>
  </r>
  <r>
    <n v="7303"/>
    <s v="Other"/>
    <n v="26"/>
    <x v="6"/>
    <x v="0"/>
    <n v="48"/>
    <n v="52"/>
    <n v="0.45"/>
    <s v="Mobile"/>
    <n v="14"/>
    <n v="0"/>
    <n v="0"/>
    <n v="0"/>
    <n v="0"/>
  </r>
  <r>
    <n v="7304"/>
    <s v="Female"/>
    <n v="56"/>
    <x v="3"/>
    <x v="1"/>
    <n v="79"/>
    <n v="78"/>
    <n v="7.0000000000000007E-2"/>
    <s v="Desktop"/>
    <n v="0"/>
    <n v="1"/>
    <n v="0"/>
    <n v="14.99"/>
    <n v="0"/>
  </r>
  <r>
    <n v="7305"/>
    <s v="Other"/>
    <n v="23"/>
    <x v="7"/>
    <x v="3"/>
    <n v="166"/>
    <n v="71"/>
    <n v="0.57999999999999996"/>
    <s v="Web"/>
    <n v="0"/>
    <n v="1"/>
    <n v="0"/>
    <n v="4.99"/>
    <n v="0"/>
  </r>
  <r>
    <n v="7306"/>
    <s v="Female"/>
    <n v="43"/>
    <x v="1"/>
    <x v="0"/>
    <n v="212"/>
    <n v="73"/>
    <n v="0.56999999999999995"/>
    <s v="Web"/>
    <n v="19"/>
    <n v="0"/>
    <n v="1"/>
    <n v="0"/>
    <n v="0"/>
  </r>
  <r>
    <n v="7307"/>
    <s v="Other"/>
    <n v="56"/>
    <x v="7"/>
    <x v="3"/>
    <n v="10"/>
    <n v="34"/>
    <n v="0.22"/>
    <s v="Mobile"/>
    <n v="0"/>
    <n v="1"/>
    <n v="1"/>
    <n v="4.99"/>
    <n v="4.99"/>
  </r>
  <r>
    <n v="7308"/>
    <s v="Other"/>
    <n v="33"/>
    <x v="2"/>
    <x v="2"/>
    <n v="29"/>
    <n v="38"/>
    <n v="0.17"/>
    <s v="Web"/>
    <n v="0"/>
    <n v="1"/>
    <n v="0"/>
    <n v="9.99"/>
    <n v="0"/>
  </r>
  <r>
    <n v="7309"/>
    <s v="Other"/>
    <n v="20"/>
    <x v="5"/>
    <x v="3"/>
    <n v="166"/>
    <n v="69"/>
    <n v="0.25"/>
    <s v="Desktop"/>
    <n v="0"/>
    <n v="1"/>
    <n v="0"/>
    <n v="4.99"/>
    <n v="0"/>
  </r>
  <r>
    <n v="7310"/>
    <s v="Other"/>
    <n v="53"/>
    <x v="4"/>
    <x v="2"/>
    <n v="33"/>
    <n v="76"/>
    <n v="0.28999999999999998"/>
    <s v="Mobile"/>
    <n v="0"/>
    <n v="1"/>
    <n v="0"/>
    <n v="9.99"/>
    <n v="0"/>
  </r>
  <r>
    <n v="7311"/>
    <s v="Female"/>
    <n v="29"/>
    <x v="5"/>
    <x v="3"/>
    <n v="108"/>
    <n v="52"/>
    <n v="0.26"/>
    <s v="Mobile"/>
    <n v="0"/>
    <n v="1"/>
    <n v="0"/>
    <n v="4.99"/>
    <n v="0"/>
  </r>
  <r>
    <n v="7312"/>
    <s v="Other"/>
    <n v="54"/>
    <x v="3"/>
    <x v="1"/>
    <n v="51"/>
    <n v="10"/>
    <n v="0.3"/>
    <s v="Mobile"/>
    <n v="0"/>
    <n v="1"/>
    <n v="0"/>
    <n v="14.99"/>
    <n v="0"/>
  </r>
  <r>
    <n v="7313"/>
    <s v="Female"/>
    <n v="35"/>
    <x v="1"/>
    <x v="0"/>
    <n v="259"/>
    <n v="15"/>
    <n v="0.28999999999999998"/>
    <s v="Web"/>
    <n v="9"/>
    <n v="0"/>
    <n v="0"/>
    <n v="0"/>
    <n v="0"/>
  </r>
  <r>
    <n v="7314"/>
    <s v="Female"/>
    <n v="43"/>
    <x v="4"/>
    <x v="2"/>
    <n v="74"/>
    <n v="32"/>
    <n v="0.04"/>
    <s v="Web"/>
    <n v="0"/>
    <n v="1"/>
    <n v="0"/>
    <n v="9.99"/>
    <n v="0"/>
  </r>
  <r>
    <n v="7315"/>
    <s v="Male"/>
    <n v="51"/>
    <x v="7"/>
    <x v="0"/>
    <n v="272"/>
    <n v="53"/>
    <n v="0.26"/>
    <s v="Web"/>
    <n v="32"/>
    <n v="0"/>
    <n v="1"/>
    <n v="0"/>
    <n v="0"/>
  </r>
  <r>
    <n v="7316"/>
    <s v="Male"/>
    <n v="52"/>
    <x v="5"/>
    <x v="0"/>
    <n v="126"/>
    <n v="23"/>
    <n v="0.42"/>
    <s v="Desktop"/>
    <n v="43"/>
    <n v="0"/>
    <n v="0"/>
    <n v="0"/>
    <n v="0"/>
  </r>
  <r>
    <n v="7317"/>
    <s v="Male"/>
    <n v="29"/>
    <x v="7"/>
    <x v="0"/>
    <n v="184"/>
    <n v="38"/>
    <n v="0.55000000000000004"/>
    <s v="Web"/>
    <n v="10"/>
    <n v="0"/>
    <n v="0"/>
    <n v="0"/>
    <n v="0"/>
  </r>
  <r>
    <n v="7318"/>
    <s v="Female"/>
    <n v="39"/>
    <x v="5"/>
    <x v="0"/>
    <n v="225"/>
    <n v="30"/>
    <n v="0.24"/>
    <s v="Desktop"/>
    <n v="47"/>
    <n v="0"/>
    <n v="0"/>
    <n v="0"/>
    <n v="0"/>
  </r>
  <r>
    <n v="7319"/>
    <s v="Male"/>
    <n v="25"/>
    <x v="3"/>
    <x v="3"/>
    <n v="165"/>
    <n v="49"/>
    <n v="0.42"/>
    <s v="Desktop"/>
    <n v="0"/>
    <n v="1"/>
    <n v="1"/>
    <n v="4.99"/>
    <n v="4.99"/>
  </r>
  <r>
    <n v="7320"/>
    <s v="Female"/>
    <n v="51"/>
    <x v="7"/>
    <x v="0"/>
    <n v="120"/>
    <n v="21"/>
    <n v="0.56999999999999995"/>
    <s v="Mobile"/>
    <n v="9"/>
    <n v="0"/>
    <n v="0"/>
    <n v="0"/>
    <n v="0"/>
  </r>
  <r>
    <n v="7321"/>
    <s v="Male"/>
    <n v="21"/>
    <x v="3"/>
    <x v="0"/>
    <n v="135"/>
    <n v="80"/>
    <n v="0.03"/>
    <s v="Desktop"/>
    <n v="38"/>
    <n v="0"/>
    <n v="0"/>
    <n v="0"/>
    <n v="0"/>
  </r>
  <r>
    <n v="7322"/>
    <s v="Male"/>
    <n v="49"/>
    <x v="7"/>
    <x v="1"/>
    <n v="170"/>
    <n v="51"/>
    <n v="7.0000000000000007E-2"/>
    <s v="Desktop"/>
    <n v="0"/>
    <n v="1"/>
    <n v="0"/>
    <n v="14.99"/>
    <n v="0"/>
  </r>
  <r>
    <n v="7323"/>
    <s v="Other"/>
    <n v="44"/>
    <x v="7"/>
    <x v="1"/>
    <n v="201"/>
    <n v="75"/>
    <n v="0.15"/>
    <s v="Mobile"/>
    <n v="0"/>
    <n v="1"/>
    <n v="0"/>
    <n v="14.99"/>
    <n v="0"/>
  </r>
  <r>
    <n v="7324"/>
    <s v="Male"/>
    <n v="54"/>
    <x v="6"/>
    <x v="2"/>
    <n v="38"/>
    <n v="22"/>
    <n v="0.13"/>
    <s v="Desktop"/>
    <n v="0"/>
    <n v="1"/>
    <n v="0"/>
    <n v="9.99"/>
    <n v="0"/>
  </r>
  <r>
    <n v="7325"/>
    <s v="Female"/>
    <n v="51"/>
    <x v="7"/>
    <x v="3"/>
    <n v="123"/>
    <n v="33"/>
    <n v="0.28000000000000003"/>
    <s v="Desktop"/>
    <n v="0"/>
    <n v="1"/>
    <n v="0"/>
    <n v="4.99"/>
    <n v="0"/>
  </r>
  <r>
    <n v="7326"/>
    <s v="Other"/>
    <n v="16"/>
    <x v="3"/>
    <x v="3"/>
    <n v="148"/>
    <n v="90"/>
    <n v="0.53"/>
    <s v="Web"/>
    <n v="0"/>
    <n v="1"/>
    <n v="0"/>
    <n v="4.99"/>
    <n v="0"/>
  </r>
  <r>
    <n v="7327"/>
    <s v="Male"/>
    <n v="55"/>
    <x v="6"/>
    <x v="1"/>
    <n v="41"/>
    <n v="65"/>
    <n v="0.31"/>
    <s v="Mobile"/>
    <n v="0"/>
    <n v="1"/>
    <n v="1"/>
    <n v="14.99"/>
    <n v="14.99"/>
  </r>
  <r>
    <n v="7328"/>
    <s v="Male"/>
    <n v="30"/>
    <x v="2"/>
    <x v="0"/>
    <n v="266"/>
    <n v="81"/>
    <n v="0.45"/>
    <s v="Desktop"/>
    <n v="34"/>
    <n v="0"/>
    <n v="0"/>
    <n v="0"/>
    <n v="0"/>
  </r>
  <r>
    <n v="7329"/>
    <s v="Male"/>
    <n v="46"/>
    <x v="2"/>
    <x v="2"/>
    <n v="122"/>
    <n v="46"/>
    <n v="0.31"/>
    <s v="Web"/>
    <n v="0"/>
    <n v="1"/>
    <n v="0"/>
    <n v="9.99"/>
    <n v="0"/>
  </r>
  <r>
    <n v="7330"/>
    <s v="Female"/>
    <n v="56"/>
    <x v="2"/>
    <x v="3"/>
    <n v="44"/>
    <n v="62"/>
    <n v="0.37"/>
    <s v="Web"/>
    <n v="0"/>
    <n v="1"/>
    <n v="1"/>
    <n v="4.99"/>
    <n v="4.99"/>
  </r>
  <r>
    <n v="7331"/>
    <s v="Other"/>
    <n v="51"/>
    <x v="4"/>
    <x v="1"/>
    <n v="204"/>
    <n v="35"/>
    <n v="0.41"/>
    <s v="Web"/>
    <n v="0"/>
    <n v="1"/>
    <n v="0"/>
    <n v="14.99"/>
    <n v="0"/>
  </r>
  <r>
    <n v="7332"/>
    <s v="Male"/>
    <n v="37"/>
    <x v="2"/>
    <x v="1"/>
    <n v="49"/>
    <n v="40"/>
    <n v="0.5"/>
    <s v="Mobile"/>
    <n v="0"/>
    <n v="1"/>
    <n v="0"/>
    <n v="14.99"/>
    <n v="0"/>
  </r>
  <r>
    <n v="7333"/>
    <s v="Other"/>
    <n v="49"/>
    <x v="7"/>
    <x v="3"/>
    <n v="82"/>
    <n v="55"/>
    <n v="0.25"/>
    <s v="Desktop"/>
    <n v="0"/>
    <n v="1"/>
    <n v="0"/>
    <n v="4.99"/>
    <n v="0"/>
  </r>
  <r>
    <n v="7334"/>
    <s v="Male"/>
    <n v="39"/>
    <x v="4"/>
    <x v="2"/>
    <n v="271"/>
    <n v="54"/>
    <n v="0.55000000000000004"/>
    <s v="Desktop"/>
    <n v="0"/>
    <n v="1"/>
    <n v="1"/>
    <n v="9.99"/>
    <n v="9.99"/>
  </r>
  <r>
    <n v="7335"/>
    <s v="Male"/>
    <n v="30"/>
    <x v="4"/>
    <x v="1"/>
    <n v="186"/>
    <n v="51"/>
    <n v="0.57999999999999996"/>
    <s v="Mobile"/>
    <n v="0"/>
    <n v="1"/>
    <n v="0"/>
    <n v="14.99"/>
    <n v="0"/>
  </r>
  <r>
    <n v="7336"/>
    <s v="Male"/>
    <n v="35"/>
    <x v="3"/>
    <x v="1"/>
    <n v="74"/>
    <n v="45"/>
    <n v="0.12"/>
    <s v="Mobile"/>
    <n v="0"/>
    <n v="1"/>
    <n v="0"/>
    <n v="14.99"/>
    <n v="0"/>
  </r>
  <r>
    <n v="7337"/>
    <s v="Male"/>
    <n v="19"/>
    <x v="4"/>
    <x v="0"/>
    <n v="244"/>
    <n v="84"/>
    <n v="0.24"/>
    <s v="Web"/>
    <n v="9"/>
    <n v="0"/>
    <n v="0"/>
    <n v="0"/>
    <n v="0"/>
  </r>
  <r>
    <n v="7338"/>
    <s v="Other"/>
    <n v="52"/>
    <x v="7"/>
    <x v="3"/>
    <n v="118"/>
    <n v="59"/>
    <n v="0.36"/>
    <s v="Desktop"/>
    <n v="0"/>
    <n v="1"/>
    <n v="0"/>
    <n v="4.99"/>
    <n v="0"/>
  </r>
  <r>
    <n v="7339"/>
    <s v="Female"/>
    <n v="30"/>
    <x v="5"/>
    <x v="0"/>
    <n v="211"/>
    <n v="89"/>
    <n v="0.23"/>
    <s v="Mobile"/>
    <n v="12"/>
    <n v="0"/>
    <n v="1"/>
    <n v="0"/>
    <n v="0"/>
  </r>
  <r>
    <n v="7340"/>
    <s v="Male"/>
    <n v="26"/>
    <x v="2"/>
    <x v="2"/>
    <n v="246"/>
    <n v="37"/>
    <n v="0.53"/>
    <s v="Mobile"/>
    <n v="0"/>
    <n v="1"/>
    <n v="0"/>
    <n v="9.99"/>
    <n v="0"/>
  </r>
  <r>
    <n v="7341"/>
    <s v="Male"/>
    <n v="16"/>
    <x v="6"/>
    <x v="0"/>
    <n v="71"/>
    <n v="91"/>
    <n v="0.05"/>
    <s v="Desktop"/>
    <n v="35"/>
    <n v="0"/>
    <n v="0"/>
    <n v="0"/>
    <n v="0"/>
  </r>
  <r>
    <n v="7342"/>
    <s v="Male"/>
    <n v="34"/>
    <x v="0"/>
    <x v="1"/>
    <n v="155"/>
    <n v="32"/>
    <n v="0.46"/>
    <s v="Mobile"/>
    <n v="0"/>
    <n v="1"/>
    <n v="0"/>
    <n v="14.99"/>
    <n v="0"/>
  </r>
  <r>
    <n v="7343"/>
    <s v="Other"/>
    <n v="48"/>
    <x v="6"/>
    <x v="3"/>
    <n v="191"/>
    <n v="75"/>
    <n v="0.41"/>
    <s v="Web"/>
    <n v="0"/>
    <n v="1"/>
    <n v="0"/>
    <n v="4.99"/>
    <n v="0"/>
  </r>
  <r>
    <n v="7344"/>
    <s v="Male"/>
    <n v="25"/>
    <x v="5"/>
    <x v="3"/>
    <n v="224"/>
    <n v="77"/>
    <n v="0.06"/>
    <s v="Desktop"/>
    <n v="0"/>
    <n v="1"/>
    <n v="0"/>
    <n v="4.99"/>
    <n v="0"/>
  </r>
  <r>
    <n v="7345"/>
    <s v="Male"/>
    <n v="32"/>
    <x v="5"/>
    <x v="3"/>
    <n v="208"/>
    <n v="14"/>
    <n v="0.41"/>
    <s v="Mobile"/>
    <n v="0"/>
    <n v="1"/>
    <n v="0"/>
    <n v="4.99"/>
    <n v="0"/>
  </r>
  <r>
    <n v="7346"/>
    <s v="Other"/>
    <n v="45"/>
    <x v="6"/>
    <x v="2"/>
    <n v="234"/>
    <n v="69"/>
    <n v="0.44"/>
    <s v="Mobile"/>
    <n v="0"/>
    <n v="1"/>
    <n v="0"/>
    <n v="9.99"/>
    <n v="0"/>
  </r>
  <r>
    <n v="7347"/>
    <s v="Male"/>
    <n v="55"/>
    <x v="1"/>
    <x v="1"/>
    <n v="280"/>
    <n v="28"/>
    <n v="0.2"/>
    <s v="Desktop"/>
    <n v="0"/>
    <n v="1"/>
    <n v="1"/>
    <n v="14.99"/>
    <n v="14.99"/>
  </r>
  <r>
    <n v="7348"/>
    <s v="Other"/>
    <n v="55"/>
    <x v="5"/>
    <x v="0"/>
    <n v="106"/>
    <n v="91"/>
    <n v="0.49"/>
    <s v="Mobile"/>
    <n v="12"/>
    <n v="0"/>
    <n v="0"/>
    <n v="0"/>
    <n v="0"/>
  </r>
  <r>
    <n v="7349"/>
    <s v="Other"/>
    <n v="33"/>
    <x v="7"/>
    <x v="2"/>
    <n v="281"/>
    <n v="87"/>
    <n v="0.46"/>
    <s v="Desktop"/>
    <n v="0"/>
    <n v="1"/>
    <n v="1"/>
    <n v="9.99"/>
    <n v="9.99"/>
  </r>
  <r>
    <n v="7350"/>
    <s v="Male"/>
    <n v="48"/>
    <x v="6"/>
    <x v="0"/>
    <n v="259"/>
    <n v="21"/>
    <n v="0.19"/>
    <s v="Mobile"/>
    <n v="43"/>
    <n v="0"/>
    <n v="0"/>
    <n v="0"/>
    <n v="0"/>
  </r>
  <r>
    <n v="7351"/>
    <s v="Other"/>
    <n v="55"/>
    <x v="7"/>
    <x v="2"/>
    <n v="262"/>
    <n v="12"/>
    <n v="0.17"/>
    <s v="Web"/>
    <n v="0"/>
    <n v="1"/>
    <n v="0"/>
    <n v="9.99"/>
    <n v="0"/>
  </r>
  <r>
    <n v="7352"/>
    <s v="Female"/>
    <n v="52"/>
    <x v="2"/>
    <x v="0"/>
    <n v="274"/>
    <n v="94"/>
    <n v="0.26"/>
    <s v="Desktop"/>
    <n v="36"/>
    <n v="0"/>
    <n v="0"/>
    <n v="0"/>
    <n v="0"/>
  </r>
  <r>
    <n v="7353"/>
    <s v="Other"/>
    <n v="41"/>
    <x v="2"/>
    <x v="1"/>
    <n v="172"/>
    <n v="28"/>
    <n v="0.56000000000000005"/>
    <s v="Desktop"/>
    <n v="0"/>
    <n v="1"/>
    <n v="0"/>
    <n v="14.99"/>
    <n v="0"/>
  </r>
  <r>
    <n v="7354"/>
    <s v="Other"/>
    <n v="17"/>
    <x v="4"/>
    <x v="2"/>
    <n v="238"/>
    <n v="73"/>
    <n v="7.0000000000000007E-2"/>
    <s v="Web"/>
    <n v="0"/>
    <n v="1"/>
    <n v="0"/>
    <n v="9.99"/>
    <n v="0"/>
  </r>
  <r>
    <n v="7355"/>
    <s v="Other"/>
    <n v="30"/>
    <x v="6"/>
    <x v="2"/>
    <n v="145"/>
    <n v="48"/>
    <n v="0.59"/>
    <s v="Desktop"/>
    <n v="0"/>
    <n v="1"/>
    <n v="0"/>
    <n v="9.99"/>
    <n v="0"/>
  </r>
  <r>
    <n v="7356"/>
    <s v="Female"/>
    <n v="53"/>
    <x v="4"/>
    <x v="0"/>
    <n v="244"/>
    <n v="51"/>
    <n v="7.0000000000000007E-2"/>
    <s v="Web"/>
    <n v="18"/>
    <n v="0"/>
    <n v="0"/>
    <n v="0"/>
    <n v="0"/>
  </r>
  <r>
    <n v="7357"/>
    <s v="Other"/>
    <n v="30"/>
    <x v="0"/>
    <x v="2"/>
    <n v="299"/>
    <n v="57"/>
    <n v="0.56000000000000005"/>
    <s v="Desktop"/>
    <n v="0"/>
    <n v="1"/>
    <n v="1"/>
    <n v="9.99"/>
    <n v="9.99"/>
  </r>
  <r>
    <n v="7358"/>
    <s v="Male"/>
    <n v="33"/>
    <x v="7"/>
    <x v="3"/>
    <n v="125"/>
    <n v="85"/>
    <n v="0.44"/>
    <s v="Mobile"/>
    <n v="0"/>
    <n v="1"/>
    <n v="1"/>
    <n v="4.99"/>
    <n v="4.99"/>
  </r>
  <r>
    <n v="7359"/>
    <s v="Female"/>
    <n v="38"/>
    <x v="1"/>
    <x v="3"/>
    <n v="218"/>
    <n v="50"/>
    <n v="0.56000000000000005"/>
    <s v="Desktop"/>
    <n v="0"/>
    <n v="1"/>
    <n v="0"/>
    <n v="4.99"/>
    <n v="0"/>
  </r>
  <r>
    <n v="7360"/>
    <s v="Other"/>
    <n v="44"/>
    <x v="4"/>
    <x v="3"/>
    <n v="144"/>
    <n v="3"/>
    <n v="0.57999999999999996"/>
    <s v="Web"/>
    <n v="0"/>
    <n v="1"/>
    <n v="1"/>
    <n v="4.99"/>
    <n v="4.99"/>
  </r>
  <r>
    <n v="7361"/>
    <s v="Other"/>
    <n v="33"/>
    <x v="1"/>
    <x v="3"/>
    <n v="269"/>
    <n v="41"/>
    <n v="0.12"/>
    <s v="Desktop"/>
    <n v="0"/>
    <n v="1"/>
    <n v="0"/>
    <n v="4.99"/>
    <n v="0"/>
  </r>
  <r>
    <n v="7362"/>
    <s v="Other"/>
    <n v="25"/>
    <x v="2"/>
    <x v="2"/>
    <n v="149"/>
    <n v="18"/>
    <n v="0.02"/>
    <s v="Web"/>
    <n v="0"/>
    <n v="1"/>
    <n v="0"/>
    <n v="9.99"/>
    <n v="0"/>
  </r>
  <r>
    <n v="7363"/>
    <s v="Female"/>
    <n v="32"/>
    <x v="2"/>
    <x v="2"/>
    <n v="210"/>
    <n v="89"/>
    <n v="0.06"/>
    <s v="Mobile"/>
    <n v="0"/>
    <n v="1"/>
    <n v="0"/>
    <n v="9.99"/>
    <n v="0"/>
  </r>
  <r>
    <n v="7364"/>
    <s v="Male"/>
    <n v="58"/>
    <x v="6"/>
    <x v="3"/>
    <n v="100"/>
    <n v="14"/>
    <n v="0.34"/>
    <s v="Desktop"/>
    <n v="0"/>
    <n v="1"/>
    <n v="1"/>
    <n v="4.99"/>
    <n v="4.99"/>
  </r>
  <r>
    <n v="7365"/>
    <s v="Other"/>
    <n v="17"/>
    <x v="6"/>
    <x v="3"/>
    <n v="166"/>
    <n v="29"/>
    <n v="0.51"/>
    <s v="Mobile"/>
    <n v="0"/>
    <n v="1"/>
    <n v="0"/>
    <n v="4.99"/>
    <n v="0"/>
  </r>
  <r>
    <n v="7366"/>
    <s v="Other"/>
    <n v="55"/>
    <x v="5"/>
    <x v="0"/>
    <n v="156"/>
    <n v="2"/>
    <n v="0.33"/>
    <s v="Mobile"/>
    <n v="41"/>
    <n v="0"/>
    <n v="0"/>
    <n v="0"/>
    <n v="0"/>
  </r>
  <r>
    <n v="7367"/>
    <s v="Other"/>
    <n v="42"/>
    <x v="3"/>
    <x v="1"/>
    <n v="162"/>
    <n v="81"/>
    <n v="0.06"/>
    <s v="Mobile"/>
    <n v="0"/>
    <n v="1"/>
    <n v="1"/>
    <n v="14.99"/>
    <n v="14.99"/>
  </r>
  <r>
    <n v="7368"/>
    <s v="Female"/>
    <n v="59"/>
    <x v="3"/>
    <x v="3"/>
    <n v="294"/>
    <n v="5"/>
    <n v="0.05"/>
    <s v="Mobile"/>
    <n v="0"/>
    <n v="1"/>
    <n v="1"/>
    <n v="4.99"/>
    <n v="4.99"/>
  </r>
  <r>
    <n v="7369"/>
    <s v="Female"/>
    <n v="20"/>
    <x v="0"/>
    <x v="0"/>
    <n v="142"/>
    <n v="96"/>
    <n v="0.02"/>
    <s v="Web"/>
    <n v="41"/>
    <n v="0"/>
    <n v="0"/>
    <n v="0"/>
    <n v="0"/>
  </r>
  <r>
    <n v="7370"/>
    <s v="Male"/>
    <n v="29"/>
    <x v="3"/>
    <x v="3"/>
    <n v="76"/>
    <n v="77"/>
    <n v="0.23"/>
    <s v="Mobile"/>
    <n v="0"/>
    <n v="1"/>
    <n v="1"/>
    <n v="4.99"/>
    <n v="4.99"/>
  </r>
  <r>
    <n v="7371"/>
    <s v="Other"/>
    <n v="30"/>
    <x v="0"/>
    <x v="2"/>
    <n v="292"/>
    <n v="44"/>
    <n v="0.09"/>
    <s v="Mobile"/>
    <n v="0"/>
    <n v="1"/>
    <n v="0"/>
    <n v="9.99"/>
    <n v="0"/>
  </r>
  <r>
    <n v="7372"/>
    <s v="Male"/>
    <n v="38"/>
    <x v="5"/>
    <x v="1"/>
    <n v="262"/>
    <n v="65"/>
    <n v="0.04"/>
    <s v="Mobile"/>
    <n v="0"/>
    <n v="1"/>
    <n v="0"/>
    <n v="14.99"/>
    <n v="0"/>
  </r>
  <r>
    <n v="7373"/>
    <s v="Other"/>
    <n v="36"/>
    <x v="5"/>
    <x v="2"/>
    <n v="73"/>
    <n v="80"/>
    <n v="0.15"/>
    <s v="Mobile"/>
    <n v="0"/>
    <n v="1"/>
    <n v="1"/>
    <n v="9.99"/>
    <n v="9.99"/>
  </r>
  <r>
    <n v="7374"/>
    <s v="Female"/>
    <n v="50"/>
    <x v="5"/>
    <x v="1"/>
    <n v="153"/>
    <n v="76"/>
    <n v="0.14000000000000001"/>
    <s v="Web"/>
    <n v="0"/>
    <n v="1"/>
    <n v="0"/>
    <n v="14.99"/>
    <n v="0"/>
  </r>
  <r>
    <n v="7375"/>
    <s v="Male"/>
    <n v="32"/>
    <x v="0"/>
    <x v="0"/>
    <n v="32"/>
    <n v="65"/>
    <n v="0.28000000000000003"/>
    <s v="Desktop"/>
    <n v="5"/>
    <n v="0"/>
    <n v="0"/>
    <n v="0"/>
    <n v="0"/>
  </r>
  <r>
    <n v="7376"/>
    <s v="Female"/>
    <n v="43"/>
    <x v="0"/>
    <x v="3"/>
    <n v="274"/>
    <n v="30"/>
    <n v="0.3"/>
    <s v="Desktop"/>
    <n v="0"/>
    <n v="1"/>
    <n v="0"/>
    <n v="4.99"/>
    <n v="0"/>
  </r>
  <r>
    <n v="7377"/>
    <s v="Male"/>
    <n v="31"/>
    <x v="6"/>
    <x v="1"/>
    <n v="143"/>
    <n v="41"/>
    <n v="0.48"/>
    <s v="Mobile"/>
    <n v="0"/>
    <n v="1"/>
    <n v="1"/>
    <n v="14.99"/>
    <n v="14.99"/>
  </r>
  <r>
    <n v="7378"/>
    <s v="Other"/>
    <n v="47"/>
    <x v="7"/>
    <x v="1"/>
    <n v="47"/>
    <n v="59"/>
    <n v="0.08"/>
    <s v="Desktop"/>
    <n v="0"/>
    <n v="1"/>
    <n v="1"/>
    <n v="14.99"/>
    <n v="14.99"/>
  </r>
  <r>
    <n v="7379"/>
    <s v="Female"/>
    <n v="30"/>
    <x v="1"/>
    <x v="3"/>
    <n v="107"/>
    <n v="1"/>
    <n v="0.6"/>
    <s v="Mobile"/>
    <n v="0"/>
    <n v="1"/>
    <n v="0"/>
    <n v="4.99"/>
    <n v="0"/>
  </r>
  <r>
    <n v="7380"/>
    <s v="Other"/>
    <n v="46"/>
    <x v="1"/>
    <x v="2"/>
    <n v="167"/>
    <n v="6"/>
    <n v="0.33"/>
    <s v="Web"/>
    <n v="0"/>
    <n v="1"/>
    <n v="0"/>
    <n v="9.99"/>
    <n v="0"/>
  </r>
  <r>
    <n v="7381"/>
    <s v="Other"/>
    <n v="16"/>
    <x v="2"/>
    <x v="2"/>
    <n v="269"/>
    <n v="57"/>
    <n v="0.52"/>
    <s v="Desktop"/>
    <n v="0"/>
    <n v="1"/>
    <n v="0"/>
    <n v="9.99"/>
    <n v="0"/>
  </r>
  <r>
    <n v="7382"/>
    <s v="Female"/>
    <n v="16"/>
    <x v="2"/>
    <x v="0"/>
    <n v="218"/>
    <n v="31"/>
    <n v="0.41"/>
    <s v="Desktop"/>
    <n v="40"/>
    <n v="0"/>
    <n v="0"/>
    <n v="0"/>
    <n v="0"/>
  </r>
  <r>
    <n v="7383"/>
    <s v="Female"/>
    <n v="33"/>
    <x v="5"/>
    <x v="3"/>
    <n v="99"/>
    <n v="6"/>
    <n v="0.18"/>
    <s v="Mobile"/>
    <n v="0"/>
    <n v="1"/>
    <n v="0"/>
    <n v="4.99"/>
    <n v="0"/>
  </r>
  <r>
    <n v="7384"/>
    <s v="Other"/>
    <n v="19"/>
    <x v="3"/>
    <x v="3"/>
    <n v="128"/>
    <n v="60"/>
    <n v="0.59"/>
    <s v="Desktop"/>
    <n v="0"/>
    <n v="1"/>
    <n v="0"/>
    <n v="4.99"/>
    <n v="0"/>
  </r>
  <r>
    <n v="7385"/>
    <s v="Other"/>
    <n v="55"/>
    <x v="3"/>
    <x v="2"/>
    <n v="172"/>
    <n v="43"/>
    <n v="0.3"/>
    <s v="Mobile"/>
    <n v="0"/>
    <n v="1"/>
    <n v="0"/>
    <n v="9.99"/>
    <n v="0"/>
  </r>
  <r>
    <n v="7386"/>
    <s v="Male"/>
    <n v="27"/>
    <x v="5"/>
    <x v="0"/>
    <n v="202"/>
    <n v="68"/>
    <n v="0.43"/>
    <s v="Web"/>
    <n v="30"/>
    <n v="0"/>
    <n v="1"/>
    <n v="0"/>
    <n v="0"/>
  </r>
  <r>
    <n v="7387"/>
    <s v="Other"/>
    <n v="38"/>
    <x v="3"/>
    <x v="3"/>
    <n v="108"/>
    <n v="56"/>
    <n v="0.51"/>
    <s v="Desktop"/>
    <n v="0"/>
    <n v="1"/>
    <n v="0"/>
    <n v="4.99"/>
    <n v="0"/>
  </r>
  <r>
    <n v="7388"/>
    <s v="Other"/>
    <n v="20"/>
    <x v="6"/>
    <x v="2"/>
    <n v="229"/>
    <n v="28"/>
    <n v="0.22"/>
    <s v="Web"/>
    <n v="0"/>
    <n v="1"/>
    <n v="1"/>
    <n v="9.99"/>
    <n v="9.99"/>
  </r>
  <r>
    <n v="7389"/>
    <s v="Male"/>
    <n v="22"/>
    <x v="5"/>
    <x v="1"/>
    <n v="229"/>
    <n v="98"/>
    <n v="0.33"/>
    <s v="Mobile"/>
    <n v="0"/>
    <n v="1"/>
    <n v="0"/>
    <n v="14.99"/>
    <n v="0"/>
  </r>
  <r>
    <n v="7390"/>
    <s v="Female"/>
    <n v="53"/>
    <x v="0"/>
    <x v="2"/>
    <n v="35"/>
    <n v="25"/>
    <n v="0.33"/>
    <s v="Desktop"/>
    <n v="0"/>
    <n v="1"/>
    <n v="0"/>
    <n v="9.99"/>
    <n v="0"/>
  </r>
  <r>
    <n v="7391"/>
    <s v="Other"/>
    <n v="17"/>
    <x v="4"/>
    <x v="0"/>
    <n v="48"/>
    <n v="34"/>
    <n v="0.48"/>
    <s v="Mobile"/>
    <n v="44"/>
    <n v="0"/>
    <n v="0"/>
    <n v="0"/>
    <n v="0"/>
  </r>
  <r>
    <n v="7392"/>
    <s v="Other"/>
    <n v="47"/>
    <x v="2"/>
    <x v="1"/>
    <n v="172"/>
    <n v="83"/>
    <n v="7.0000000000000007E-2"/>
    <s v="Mobile"/>
    <n v="0"/>
    <n v="1"/>
    <n v="0"/>
    <n v="14.99"/>
    <n v="0"/>
  </r>
  <r>
    <n v="7393"/>
    <s v="Other"/>
    <n v="38"/>
    <x v="1"/>
    <x v="2"/>
    <n v="31"/>
    <n v="20"/>
    <n v="0.48"/>
    <s v="Web"/>
    <n v="0"/>
    <n v="1"/>
    <n v="0"/>
    <n v="9.99"/>
    <n v="0"/>
  </r>
  <r>
    <n v="7394"/>
    <s v="Female"/>
    <n v="51"/>
    <x v="4"/>
    <x v="1"/>
    <n v="137"/>
    <n v="26"/>
    <n v="0.39"/>
    <s v="Web"/>
    <n v="0"/>
    <n v="1"/>
    <n v="0"/>
    <n v="14.99"/>
    <n v="0"/>
  </r>
  <r>
    <n v="7395"/>
    <s v="Female"/>
    <n v="43"/>
    <x v="2"/>
    <x v="1"/>
    <n v="45"/>
    <n v="39"/>
    <n v="0.08"/>
    <s v="Mobile"/>
    <n v="0"/>
    <n v="1"/>
    <n v="0"/>
    <n v="14.99"/>
    <n v="0"/>
  </r>
  <r>
    <n v="7396"/>
    <s v="Other"/>
    <n v="39"/>
    <x v="0"/>
    <x v="1"/>
    <n v="14"/>
    <n v="56"/>
    <n v="0.04"/>
    <s v="Mobile"/>
    <n v="0"/>
    <n v="1"/>
    <n v="0"/>
    <n v="14.99"/>
    <n v="0"/>
  </r>
  <r>
    <n v="7397"/>
    <s v="Male"/>
    <n v="42"/>
    <x v="3"/>
    <x v="0"/>
    <n v="212"/>
    <n v="17"/>
    <n v="0.35"/>
    <s v="Mobile"/>
    <n v="45"/>
    <n v="0"/>
    <n v="1"/>
    <n v="0"/>
    <n v="0"/>
  </r>
  <r>
    <n v="7398"/>
    <s v="Other"/>
    <n v="36"/>
    <x v="4"/>
    <x v="3"/>
    <n v="25"/>
    <n v="33"/>
    <n v="0.38"/>
    <s v="Web"/>
    <n v="0"/>
    <n v="1"/>
    <n v="0"/>
    <n v="4.99"/>
    <n v="0"/>
  </r>
  <r>
    <n v="7399"/>
    <s v="Male"/>
    <n v="55"/>
    <x v="4"/>
    <x v="3"/>
    <n v="243"/>
    <n v="35"/>
    <n v="0.28000000000000003"/>
    <s v="Mobile"/>
    <n v="0"/>
    <n v="1"/>
    <n v="0"/>
    <n v="4.99"/>
    <n v="0"/>
  </r>
  <r>
    <n v="7400"/>
    <s v="Other"/>
    <n v="52"/>
    <x v="3"/>
    <x v="2"/>
    <n v="29"/>
    <n v="5"/>
    <n v="0.56999999999999995"/>
    <s v="Web"/>
    <n v="0"/>
    <n v="1"/>
    <n v="1"/>
    <n v="9.99"/>
    <n v="9.99"/>
  </r>
  <r>
    <n v="7401"/>
    <s v="Male"/>
    <n v="59"/>
    <x v="5"/>
    <x v="2"/>
    <n v="291"/>
    <n v="64"/>
    <n v="0.09"/>
    <s v="Web"/>
    <n v="0"/>
    <n v="1"/>
    <n v="0"/>
    <n v="9.99"/>
    <n v="0"/>
  </r>
  <r>
    <n v="7402"/>
    <s v="Male"/>
    <n v="39"/>
    <x v="5"/>
    <x v="3"/>
    <n v="95"/>
    <n v="14"/>
    <n v="0.56000000000000005"/>
    <s v="Web"/>
    <n v="0"/>
    <n v="1"/>
    <n v="0"/>
    <n v="4.99"/>
    <n v="0"/>
  </r>
  <r>
    <n v="7403"/>
    <s v="Other"/>
    <n v="51"/>
    <x v="7"/>
    <x v="2"/>
    <n v="276"/>
    <n v="25"/>
    <n v="0.05"/>
    <s v="Desktop"/>
    <n v="0"/>
    <n v="1"/>
    <n v="1"/>
    <n v="9.99"/>
    <n v="9.99"/>
  </r>
  <r>
    <n v="7404"/>
    <s v="Male"/>
    <n v="30"/>
    <x v="7"/>
    <x v="2"/>
    <n v="235"/>
    <n v="12"/>
    <n v="0.46"/>
    <s v="Web"/>
    <n v="0"/>
    <n v="1"/>
    <n v="0"/>
    <n v="9.99"/>
    <n v="0"/>
  </r>
  <r>
    <n v="7405"/>
    <s v="Other"/>
    <n v="39"/>
    <x v="5"/>
    <x v="3"/>
    <n v="255"/>
    <n v="66"/>
    <n v="0.05"/>
    <s v="Desktop"/>
    <n v="0"/>
    <n v="1"/>
    <n v="0"/>
    <n v="4.99"/>
    <n v="0"/>
  </r>
  <r>
    <n v="7406"/>
    <s v="Male"/>
    <n v="43"/>
    <x v="7"/>
    <x v="3"/>
    <n v="220"/>
    <n v="39"/>
    <n v="0.3"/>
    <s v="Mobile"/>
    <n v="0"/>
    <n v="1"/>
    <n v="0"/>
    <n v="4.99"/>
    <n v="0"/>
  </r>
  <r>
    <n v="7407"/>
    <s v="Female"/>
    <n v="37"/>
    <x v="1"/>
    <x v="2"/>
    <n v="37"/>
    <n v="55"/>
    <n v="0.44"/>
    <s v="Desktop"/>
    <n v="0"/>
    <n v="1"/>
    <n v="0"/>
    <n v="9.99"/>
    <n v="0"/>
  </r>
  <r>
    <n v="7408"/>
    <s v="Other"/>
    <n v="41"/>
    <x v="3"/>
    <x v="3"/>
    <n v="177"/>
    <n v="85"/>
    <n v="0.28000000000000003"/>
    <s v="Web"/>
    <n v="0"/>
    <n v="1"/>
    <n v="0"/>
    <n v="4.99"/>
    <n v="0"/>
  </r>
  <r>
    <n v="7409"/>
    <s v="Female"/>
    <n v="42"/>
    <x v="7"/>
    <x v="2"/>
    <n v="190"/>
    <n v="36"/>
    <n v="0.21"/>
    <s v="Mobile"/>
    <n v="0"/>
    <n v="1"/>
    <n v="0"/>
    <n v="9.99"/>
    <n v="0"/>
  </r>
  <r>
    <n v="7410"/>
    <s v="Male"/>
    <n v="49"/>
    <x v="3"/>
    <x v="2"/>
    <n v="242"/>
    <n v="14"/>
    <n v="0.4"/>
    <s v="Mobile"/>
    <n v="0"/>
    <n v="1"/>
    <n v="0"/>
    <n v="9.99"/>
    <n v="0"/>
  </r>
  <r>
    <n v="7411"/>
    <s v="Male"/>
    <n v="36"/>
    <x v="6"/>
    <x v="0"/>
    <n v="55"/>
    <n v="42"/>
    <n v="0.27"/>
    <s v="Web"/>
    <n v="42"/>
    <n v="0"/>
    <n v="0"/>
    <n v="0"/>
    <n v="0"/>
  </r>
  <r>
    <n v="7412"/>
    <s v="Other"/>
    <n v="37"/>
    <x v="0"/>
    <x v="1"/>
    <n v="69"/>
    <n v="47"/>
    <n v="0.22"/>
    <s v="Desktop"/>
    <n v="0"/>
    <n v="1"/>
    <n v="0"/>
    <n v="14.99"/>
    <n v="0"/>
  </r>
  <r>
    <n v="7413"/>
    <s v="Female"/>
    <n v="40"/>
    <x v="7"/>
    <x v="1"/>
    <n v="12"/>
    <n v="25"/>
    <n v="0.03"/>
    <s v="Desktop"/>
    <n v="0"/>
    <n v="1"/>
    <n v="0"/>
    <n v="14.99"/>
    <n v="0"/>
  </r>
  <r>
    <n v="7414"/>
    <s v="Female"/>
    <n v="24"/>
    <x v="7"/>
    <x v="1"/>
    <n v="174"/>
    <n v="94"/>
    <n v="0.3"/>
    <s v="Web"/>
    <n v="0"/>
    <n v="1"/>
    <n v="0"/>
    <n v="14.99"/>
    <n v="0"/>
  </r>
  <r>
    <n v="7415"/>
    <s v="Female"/>
    <n v="36"/>
    <x v="4"/>
    <x v="2"/>
    <n v="75"/>
    <n v="93"/>
    <n v="0.59"/>
    <s v="Mobile"/>
    <n v="0"/>
    <n v="1"/>
    <n v="1"/>
    <n v="9.99"/>
    <n v="9.99"/>
  </r>
  <r>
    <n v="7416"/>
    <s v="Other"/>
    <n v="50"/>
    <x v="6"/>
    <x v="3"/>
    <n v="293"/>
    <n v="25"/>
    <n v="0.59"/>
    <s v="Web"/>
    <n v="0"/>
    <n v="1"/>
    <n v="1"/>
    <n v="4.99"/>
    <n v="4.99"/>
  </r>
  <r>
    <n v="7417"/>
    <s v="Female"/>
    <n v="58"/>
    <x v="7"/>
    <x v="0"/>
    <n v="97"/>
    <n v="30"/>
    <n v="0.02"/>
    <s v="Desktop"/>
    <n v="36"/>
    <n v="0"/>
    <n v="1"/>
    <n v="0"/>
    <n v="0"/>
  </r>
  <r>
    <n v="7418"/>
    <s v="Other"/>
    <n v="25"/>
    <x v="5"/>
    <x v="3"/>
    <n v="272"/>
    <n v="31"/>
    <n v="0.37"/>
    <s v="Desktop"/>
    <n v="0"/>
    <n v="1"/>
    <n v="0"/>
    <n v="4.99"/>
    <n v="0"/>
  </r>
  <r>
    <n v="7419"/>
    <s v="Male"/>
    <n v="58"/>
    <x v="7"/>
    <x v="1"/>
    <n v="50"/>
    <n v="51"/>
    <n v="0.25"/>
    <s v="Desktop"/>
    <n v="0"/>
    <n v="1"/>
    <n v="0"/>
    <n v="14.99"/>
    <n v="0"/>
  </r>
  <r>
    <n v="7420"/>
    <s v="Other"/>
    <n v="43"/>
    <x v="1"/>
    <x v="1"/>
    <n v="132"/>
    <n v="25"/>
    <n v="0.27"/>
    <s v="Desktop"/>
    <n v="0"/>
    <n v="1"/>
    <n v="0"/>
    <n v="14.99"/>
    <n v="0"/>
  </r>
  <r>
    <n v="7421"/>
    <s v="Female"/>
    <n v="30"/>
    <x v="4"/>
    <x v="2"/>
    <n v="68"/>
    <n v="54"/>
    <n v="0.16"/>
    <s v="Web"/>
    <n v="0"/>
    <n v="1"/>
    <n v="0"/>
    <n v="9.99"/>
    <n v="0"/>
  </r>
  <r>
    <n v="7422"/>
    <s v="Female"/>
    <n v="33"/>
    <x v="5"/>
    <x v="1"/>
    <n v="27"/>
    <n v="12"/>
    <n v="0.04"/>
    <s v="Web"/>
    <n v="0"/>
    <n v="1"/>
    <n v="1"/>
    <n v="14.99"/>
    <n v="14.99"/>
  </r>
  <r>
    <n v="7423"/>
    <s v="Other"/>
    <n v="17"/>
    <x v="0"/>
    <x v="0"/>
    <n v="22"/>
    <n v="97"/>
    <n v="0.49"/>
    <s v="Mobile"/>
    <n v="18"/>
    <n v="0"/>
    <n v="1"/>
    <n v="0"/>
    <n v="0"/>
  </r>
  <r>
    <n v="7424"/>
    <s v="Male"/>
    <n v="24"/>
    <x v="1"/>
    <x v="0"/>
    <n v="64"/>
    <n v="96"/>
    <n v="0.08"/>
    <s v="Desktop"/>
    <n v="8"/>
    <n v="0"/>
    <n v="0"/>
    <n v="0"/>
    <n v="0"/>
  </r>
  <r>
    <n v="7425"/>
    <s v="Male"/>
    <n v="42"/>
    <x v="3"/>
    <x v="3"/>
    <n v="98"/>
    <n v="48"/>
    <n v="0.27"/>
    <s v="Web"/>
    <n v="0"/>
    <n v="1"/>
    <n v="0"/>
    <n v="4.99"/>
    <n v="0"/>
  </r>
  <r>
    <n v="7426"/>
    <s v="Other"/>
    <n v="34"/>
    <x v="1"/>
    <x v="2"/>
    <n v="187"/>
    <n v="41"/>
    <n v="0.59"/>
    <s v="Mobile"/>
    <n v="0"/>
    <n v="1"/>
    <n v="0"/>
    <n v="9.99"/>
    <n v="0"/>
  </r>
  <r>
    <n v="7427"/>
    <s v="Male"/>
    <n v="47"/>
    <x v="5"/>
    <x v="2"/>
    <n v="153"/>
    <n v="56"/>
    <n v="0.03"/>
    <s v="Web"/>
    <n v="0"/>
    <n v="1"/>
    <n v="1"/>
    <n v="9.99"/>
    <n v="9.99"/>
  </r>
  <r>
    <n v="7428"/>
    <s v="Female"/>
    <n v="22"/>
    <x v="5"/>
    <x v="0"/>
    <n v="237"/>
    <n v="40"/>
    <n v="0.46"/>
    <s v="Web"/>
    <n v="13"/>
    <n v="0"/>
    <n v="0"/>
    <n v="0"/>
    <n v="0"/>
  </r>
  <r>
    <n v="7429"/>
    <s v="Other"/>
    <n v="33"/>
    <x v="6"/>
    <x v="1"/>
    <n v="52"/>
    <n v="72"/>
    <n v="0.5"/>
    <s v="Web"/>
    <n v="0"/>
    <n v="1"/>
    <n v="0"/>
    <n v="14.99"/>
    <n v="0"/>
  </r>
  <r>
    <n v="7430"/>
    <s v="Female"/>
    <n v="41"/>
    <x v="2"/>
    <x v="1"/>
    <n v="84"/>
    <n v="13"/>
    <n v="0.44"/>
    <s v="Web"/>
    <n v="0"/>
    <n v="1"/>
    <n v="0"/>
    <n v="14.99"/>
    <n v="0"/>
  </r>
  <r>
    <n v="7431"/>
    <s v="Female"/>
    <n v="26"/>
    <x v="0"/>
    <x v="0"/>
    <n v="209"/>
    <n v="41"/>
    <n v="0.59"/>
    <s v="Web"/>
    <n v="45"/>
    <n v="0"/>
    <n v="1"/>
    <n v="0"/>
    <n v="0"/>
  </r>
  <r>
    <n v="7432"/>
    <s v="Male"/>
    <n v="37"/>
    <x v="4"/>
    <x v="3"/>
    <n v="264"/>
    <n v="40"/>
    <n v="0.35"/>
    <s v="Mobile"/>
    <n v="0"/>
    <n v="1"/>
    <n v="1"/>
    <n v="4.99"/>
    <n v="4.99"/>
  </r>
  <r>
    <n v="7433"/>
    <s v="Other"/>
    <n v="28"/>
    <x v="0"/>
    <x v="1"/>
    <n v="185"/>
    <n v="45"/>
    <n v="0.3"/>
    <s v="Web"/>
    <n v="0"/>
    <n v="1"/>
    <n v="0"/>
    <n v="14.99"/>
    <n v="0"/>
  </r>
  <r>
    <n v="7434"/>
    <s v="Other"/>
    <n v="58"/>
    <x v="2"/>
    <x v="2"/>
    <n v="171"/>
    <n v="97"/>
    <n v="0.03"/>
    <s v="Web"/>
    <n v="0"/>
    <n v="1"/>
    <n v="0"/>
    <n v="9.99"/>
    <n v="0"/>
  </r>
  <r>
    <n v="7435"/>
    <s v="Male"/>
    <n v="18"/>
    <x v="3"/>
    <x v="3"/>
    <n v="174"/>
    <n v="1"/>
    <n v="0.3"/>
    <s v="Web"/>
    <n v="0"/>
    <n v="1"/>
    <n v="0"/>
    <n v="4.99"/>
    <n v="0"/>
  </r>
  <r>
    <n v="7436"/>
    <s v="Male"/>
    <n v="16"/>
    <x v="0"/>
    <x v="0"/>
    <n v="164"/>
    <n v="82"/>
    <n v="0.56999999999999995"/>
    <s v="Desktop"/>
    <n v="21"/>
    <n v="0"/>
    <n v="0"/>
    <n v="0"/>
    <n v="0"/>
  </r>
  <r>
    <n v="7437"/>
    <s v="Other"/>
    <n v="54"/>
    <x v="5"/>
    <x v="2"/>
    <n v="240"/>
    <n v="77"/>
    <n v="0.25"/>
    <s v="Mobile"/>
    <n v="0"/>
    <n v="1"/>
    <n v="0"/>
    <n v="9.99"/>
    <n v="0"/>
  </r>
  <r>
    <n v="7438"/>
    <s v="Male"/>
    <n v="48"/>
    <x v="6"/>
    <x v="0"/>
    <n v="162"/>
    <n v="68"/>
    <n v="0.39"/>
    <s v="Desktop"/>
    <n v="44"/>
    <n v="0"/>
    <n v="0"/>
    <n v="0"/>
    <n v="0"/>
  </r>
  <r>
    <n v="7439"/>
    <s v="Male"/>
    <n v="21"/>
    <x v="5"/>
    <x v="2"/>
    <n v="154"/>
    <n v="96"/>
    <n v="0.25"/>
    <s v="Mobile"/>
    <n v="0"/>
    <n v="1"/>
    <n v="0"/>
    <n v="9.99"/>
    <n v="0"/>
  </r>
  <r>
    <n v="7440"/>
    <s v="Other"/>
    <n v="26"/>
    <x v="5"/>
    <x v="0"/>
    <n v="32"/>
    <n v="58"/>
    <n v="0.01"/>
    <s v="Web"/>
    <n v="42"/>
    <n v="0"/>
    <n v="0"/>
    <n v="0"/>
    <n v="0"/>
  </r>
  <r>
    <n v="7441"/>
    <s v="Male"/>
    <n v="24"/>
    <x v="0"/>
    <x v="1"/>
    <n v="283"/>
    <n v="75"/>
    <n v="0.11"/>
    <s v="Desktop"/>
    <n v="0"/>
    <n v="1"/>
    <n v="1"/>
    <n v="14.99"/>
    <n v="14.99"/>
  </r>
  <r>
    <n v="7442"/>
    <s v="Male"/>
    <n v="49"/>
    <x v="4"/>
    <x v="1"/>
    <n v="252"/>
    <n v="91"/>
    <n v="0.26"/>
    <s v="Mobile"/>
    <n v="0"/>
    <n v="1"/>
    <n v="0"/>
    <n v="14.99"/>
    <n v="0"/>
  </r>
  <r>
    <n v="7443"/>
    <s v="Male"/>
    <n v="57"/>
    <x v="6"/>
    <x v="3"/>
    <n v="75"/>
    <n v="7"/>
    <n v="0.21"/>
    <s v="Mobile"/>
    <n v="0"/>
    <n v="1"/>
    <n v="0"/>
    <n v="4.99"/>
    <n v="0"/>
  </r>
  <r>
    <n v="7444"/>
    <s v="Male"/>
    <n v="22"/>
    <x v="7"/>
    <x v="1"/>
    <n v="59"/>
    <n v="54"/>
    <n v="0.03"/>
    <s v="Desktop"/>
    <n v="0"/>
    <n v="1"/>
    <n v="0"/>
    <n v="14.99"/>
    <n v="0"/>
  </r>
  <r>
    <n v="7445"/>
    <s v="Female"/>
    <n v="23"/>
    <x v="4"/>
    <x v="2"/>
    <n v="221"/>
    <n v="41"/>
    <n v="0.3"/>
    <s v="Desktop"/>
    <n v="0"/>
    <n v="1"/>
    <n v="0"/>
    <n v="9.99"/>
    <n v="0"/>
  </r>
  <r>
    <n v="7446"/>
    <s v="Male"/>
    <n v="16"/>
    <x v="1"/>
    <x v="1"/>
    <n v="238"/>
    <n v="1"/>
    <n v="0.09"/>
    <s v="Desktop"/>
    <n v="0"/>
    <n v="1"/>
    <n v="0"/>
    <n v="14.99"/>
    <n v="0"/>
  </r>
  <r>
    <n v="7447"/>
    <s v="Female"/>
    <n v="57"/>
    <x v="4"/>
    <x v="3"/>
    <n v="249"/>
    <n v="52"/>
    <n v="0.31"/>
    <s v="Web"/>
    <n v="0"/>
    <n v="1"/>
    <n v="0"/>
    <n v="4.99"/>
    <n v="0"/>
  </r>
  <r>
    <n v="7448"/>
    <s v="Female"/>
    <n v="50"/>
    <x v="6"/>
    <x v="3"/>
    <n v="66"/>
    <n v="91"/>
    <n v="0.38"/>
    <s v="Desktop"/>
    <n v="0"/>
    <n v="1"/>
    <n v="0"/>
    <n v="4.99"/>
    <n v="0"/>
  </r>
  <r>
    <n v="7449"/>
    <s v="Other"/>
    <n v="31"/>
    <x v="2"/>
    <x v="0"/>
    <n v="112"/>
    <n v="17"/>
    <n v="0.37"/>
    <s v="Web"/>
    <n v="42"/>
    <n v="0"/>
    <n v="0"/>
    <n v="0"/>
    <n v="0"/>
  </r>
  <r>
    <n v="7450"/>
    <s v="Female"/>
    <n v="44"/>
    <x v="4"/>
    <x v="0"/>
    <n v="115"/>
    <n v="54"/>
    <n v="0.49"/>
    <s v="Web"/>
    <n v="8"/>
    <n v="0"/>
    <n v="1"/>
    <n v="0"/>
    <n v="0"/>
  </r>
  <r>
    <n v="7451"/>
    <s v="Female"/>
    <n v="41"/>
    <x v="6"/>
    <x v="3"/>
    <n v="67"/>
    <n v="79"/>
    <n v="0.14000000000000001"/>
    <s v="Mobile"/>
    <n v="0"/>
    <n v="1"/>
    <n v="0"/>
    <n v="4.99"/>
    <n v="0"/>
  </r>
  <r>
    <n v="7452"/>
    <s v="Male"/>
    <n v="22"/>
    <x v="7"/>
    <x v="2"/>
    <n v="143"/>
    <n v="3"/>
    <n v="0.54"/>
    <s v="Mobile"/>
    <n v="0"/>
    <n v="1"/>
    <n v="0"/>
    <n v="9.99"/>
    <n v="0"/>
  </r>
  <r>
    <n v="7453"/>
    <s v="Female"/>
    <n v="36"/>
    <x v="2"/>
    <x v="2"/>
    <n v="131"/>
    <n v="46"/>
    <n v="0.32"/>
    <s v="Mobile"/>
    <n v="0"/>
    <n v="1"/>
    <n v="0"/>
    <n v="9.99"/>
    <n v="0"/>
  </r>
  <r>
    <n v="7454"/>
    <s v="Female"/>
    <n v="55"/>
    <x v="6"/>
    <x v="3"/>
    <n v="112"/>
    <n v="44"/>
    <n v="0.03"/>
    <s v="Web"/>
    <n v="0"/>
    <n v="1"/>
    <n v="0"/>
    <n v="4.99"/>
    <n v="0"/>
  </r>
  <r>
    <n v="7455"/>
    <s v="Other"/>
    <n v="27"/>
    <x v="0"/>
    <x v="3"/>
    <n v="167"/>
    <n v="87"/>
    <n v="0.55000000000000004"/>
    <s v="Web"/>
    <n v="0"/>
    <n v="1"/>
    <n v="0"/>
    <n v="4.99"/>
    <n v="0"/>
  </r>
  <r>
    <n v="7456"/>
    <s v="Female"/>
    <n v="23"/>
    <x v="5"/>
    <x v="3"/>
    <n v="265"/>
    <n v="4"/>
    <n v="0.47"/>
    <s v="Web"/>
    <n v="0"/>
    <n v="1"/>
    <n v="1"/>
    <n v="4.99"/>
    <n v="4.99"/>
  </r>
  <r>
    <n v="7457"/>
    <s v="Other"/>
    <n v="53"/>
    <x v="1"/>
    <x v="1"/>
    <n v="154"/>
    <n v="13"/>
    <n v="0.21"/>
    <s v="Web"/>
    <n v="0"/>
    <n v="1"/>
    <n v="0"/>
    <n v="14.99"/>
    <n v="0"/>
  </r>
  <r>
    <n v="7458"/>
    <s v="Male"/>
    <n v="19"/>
    <x v="1"/>
    <x v="3"/>
    <n v="57"/>
    <n v="73"/>
    <n v="0.5"/>
    <s v="Desktop"/>
    <n v="0"/>
    <n v="1"/>
    <n v="0"/>
    <n v="4.99"/>
    <n v="0"/>
  </r>
  <r>
    <n v="7459"/>
    <s v="Male"/>
    <n v="35"/>
    <x v="2"/>
    <x v="3"/>
    <n v="285"/>
    <n v="83"/>
    <n v="0.39"/>
    <s v="Desktop"/>
    <n v="0"/>
    <n v="1"/>
    <n v="1"/>
    <n v="4.99"/>
    <n v="4.99"/>
  </r>
  <r>
    <n v="7460"/>
    <s v="Female"/>
    <n v="31"/>
    <x v="5"/>
    <x v="0"/>
    <n v="123"/>
    <n v="60"/>
    <n v="0.17"/>
    <s v="Web"/>
    <n v="17"/>
    <n v="0"/>
    <n v="0"/>
    <n v="0"/>
    <n v="0"/>
  </r>
  <r>
    <n v="7461"/>
    <s v="Female"/>
    <n v="42"/>
    <x v="3"/>
    <x v="0"/>
    <n v="140"/>
    <n v="20"/>
    <n v="0.37"/>
    <s v="Desktop"/>
    <n v="35"/>
    <n v="0"/>
    <n v="0"/>
    <n v="0"/>
    <n v="0"/>
  </r>
  <r>
    <n v="7462"/>
    <s v="Female"/>
    <n v="35"/>
    <x v="7"/>
    <x v="0"/>
    <n v="178"/>
    <n v="31"/>
    <n v="0.59"/>
    <s v="Web"/>
    <n v="36"/>
    <n v="0"/>
    <n v="0"/>
    <n v="0"/>
    <n v="0"/>
  </r>
  <r>
    <n v="7463"/>
    <s v="Other"/>
    <n v="35"/>
    <x v="6"/>
    <x v="1"/>
    <n v="27"/>
    <n v="68"/>
    <n v="0.25"/>
    <s v="Mobile"/>
    <n v="0"/>
    <n v="1"/>
    <n v="0"/>
    <n v="14.99"/>
    <n v="0"/>
  </r>
  <r>
    <n v="7464"/>
    <s v="Other"/>
    <n v="57"/>
    <x v="6"/>
    <x v="1"/>
    <n v="120"/>
    <n v="83"/>
    <n v="0.39"/>
    <s v="Mobile"/>
    <n v="0"/>
    <n v="1"/>
    <n v="0"/>
    <n v="14.99"/>
    <n v="0"/>
  </r>
  <r>
    <n v="7465"/>
    <s v="Male"/>
    <n v="32"/>
    <x v="1"/>
    <x v="0"/>
    <n v="20"/>
    <n v="67"/>
    <n v="0.12"/>
    <s v="Web"/>
    <n v="16"/>
    <n v="0"/>
    <n v="1"/>
    <n v="0"/>
    <n v="0"/>
  </r>
  <r>
    <n v="7466"/>
    <s v="Other"/>
    <n v="59"/>
    <x v="7"/>
    <x v="3"/>
    <n v="127"/>
    <n v="54"/>
    <n v="0.52"/>
    <s v="Web"/>
    <n v="0"/>
    <n v="1"/>
    <n v="0"/>
    <n v="4.99"/>
    <n v="0"/>
  </r>
  <r>
    <n v="7467"/>
    <s v="Other"/>
    <n v="34"/>
    <x v="2"/>
    <x v="3"/>
    <n v="190"/>
    <n v="19"/>
    <n v="0.45"/>
    <s v="Mobile"/>
    <n v="0"/>
    <n v="1"/>
    <n v="0"/>
    <n v="4.99"/>
    <n v="0"/>
  </r>
  <r>
    <n v="7468"/>
    <s v="Male"/>
    <n v="49"/>
    <x v="1"/>
    <x v="1"/>
    <n v="162"/>
    <n v="13"/>
    <n v="0.49"/>
    <s v="Web"/>
    <n v="0"/>
    <n v="1"/>
    <n v="1"/>
    <n v="14.99"/>
    <n v="14.99"/>
  </r>
  <r>
    <n v="7469"/>
    <s v="Other"/>
    <n v="38"/>
    <x v="2"/>
    <x v="1"/>
    <n v="142"/>
    <n v="68"/>
    <n v="0.23"/>
    <s v="Web"/>
    <n v="0"/>
    <n v="1"/>
    <n v="0"/>
    <n v="14.99"/>
    <n v="0"/>
  </r>
  <r>
    <n v="7470"/>
    <s v="Other"/>
    <n v="30"/>
    <x v="0"/>
    <x v="0"/>
    <n v="152"/>
    <n v="54"/>
    <n v="0.19"/>
    <s v="Desktop"/>
    <n v="20"/>
    <n v="0"/>
    <n v="0"/>
    <n v="0"/>
    <n v="0"/>
  </r>
  <r>
    <n v="7471"/>
    <s v="Male"/>
    <n v="55"/>
    <x v="5"/>
    <x v="0"/>
    <n v="203"/>
    <n v="4"/>
    <n v="0.31"/>
    <s v="Mobile"/>
    <n v="10"/>
    <n v="0"/>
    <n v="0"/>
    <n v="0"/>
    <n v="0"/>
  </r>
  <r>
    <n v="7472"/>
    <s v="Male"/>
    <n v="34"/>
    <x v="7"/>
    <x v="1"/>
    <n v="64"/>
    <n v="22"/>
    <n v="0.38"/>
    <s v="Mobile"/>
    <n v="0"/>
    <n v="1"/>
    <n v="0"/>
    <n v="14.99"/>
    <n v="0"/>
  </r>
  <r>
    <n v="7473"/>
    <s v="Female"/>
    <n v="52"/>
    <x v="2"/>
    <x v="1"/>
    <n v="36"/>
    <n v="95"/>
    <n v="0.04"/>
    <s v="Desktop"/>
    <n v="0"/>
    <n v="1"/>
    <n v="0"/>
    <n v="14.99"/>
    <n v="0"/>
  </r>
  <r>
    <n v="7474"/>
    <s v="Male"/>
    <n v="50"/>
    <x v="7"/>
    <x v="0"/>
    <n v="62"/>
    <n v="78"/>
    <n v="0.52"/>
    <s v="Desktop"/>
    <n v="41"/>
    <n v="0"/>
    <n v="0"/>
    <n v="0"/>
    <n v="0"/>
  </r>
  <r>
    <n v="7475"/>
    <s v="Female"/>
    <n v="25"/>
    <x v="5"/>
    <x v="2"/>
    <n v="112"/>
    <n v="18"/>
    <n v="0.42"/>
    <s v="Desktop"/>
    <n v="0"/>
    <n v="1"/>
    <n v="0"/>
    <n v="9.99"/>
    <n v="0"/>
  </r>
  <r>
    <n v="7476"/>
    <s v="Other"/>
    <n v="43"/>
    <x v="7"/>
    <x v="2"/>
    <n v="165"/>
    <n v="76"/>
    <n v="0.48"/>
    <s v="Web"/>
    <n v="0"/>
    <n v="1"/>
    <n v="0"/>
    <n v="9.99"/>
    <n v="0"/>
  </r>
  <r>
    <n v="7477"/>
    <s v="Male"/>
    <n v="46"/>
    <x v="6"/>
    <x v="3"/>
    <n v="188"/>
    <n v="83"/>
    <n v="0.15"/>
    <s v="Mobile"/>
    <n v="0"/>
    <n v="1"/>
    <n v="0"/>
    <n v="4.99"/>
    <n v="0"/>
  </r>
  <r>
    <n v="7478"/>
    <s v="Female"/>
    <n v="46"/>
    <x v="7"/>
    <x v="1"/>
    <n v="224"/>
    <n v="16"/>
    <n v="0.52"/>
    <s v="Desktop"/>
    <n v="0"/>
    <n v="1"/>
    <n v="1"/>
    <n v="14.99"/>
    <n v="14.99"/>
  </r>
  <r>
    <n v="7479"/>
    <s v="Male"/>
    <n v="54"/>
    <x v="0"/>
    <x v="2"/>
    <n v="275"/>
    <n v="47"/>
    <n v="0.11"/>
    <s v="Desktop"/>
    <n v="0"/>
    <n v="1"/>
    <n v="0"/>
    <n v="9.99"/>
    <n v="0"/>
  </r>
  <r>
    <n v="7480"/>
    <s v="Female"/>
    <n v="47"/>
    <x v="7"/>
    <x v="0"/>
    <n v="150"/>
    <n v="66"/>
    <n v="0.1"/>
    <s v="Mobile"/>
    <n v="14"/>
    <n v="0"/>
    <n v="0"/>
    <n v="0"/>
    <n v="0"/>
  </r>
  <r>
    <n v="7481"/>
    <s v="Male"/>
    <n v="51"/>
    <x v="0"/>
    <x v="0"/>
    <n v="78"/>
    <n v="93"/>
    <n v="0.27"/>
    <s v="Desktop"/>
    <n v="37"/>
    <n v="0"/>
    <n v="1"/>
    <n v="0"/>
    <n v="0"/>
  </r>
  <r>
    <n v="7482"/>
    <s v="Male"/>
    <n v="42"/>
    <x v="5"/>
    <x v="0"/>
    <n v="89"/>
    <n v="99"/>
    <n v="0.21"/>
    <s v="Web"/>
    <n v="15"/>
    <n v="0"/>
    <n v="0"/>
    <n v="0"/>
    <n v="0"/>
  </r>
  <r>
    <n v="7483"/>
    <s v="Male"/>
    <n v="30"/>
    <x v="4"/>
    <x v="2"/>
    <n v="75"/>
    <n v="5"/>
    <n v="0.02"/>
    <s v="Web"/>
    <n v="0"/>
    <n v="1"/>
    <n v="1"/>
    <n v="9.99"/>
    <n v="9.99"/>
  </r>
  <r>
    <n v="7484"/>
    <s v="Female"/>
    <n v="42"/>
    <x v="2"/>
    <x v="0"/>
    <n v="54"/>
    <n v="24"/>
    <n v="0.31"/>
    <s v="Mobile"/>
    <n v="33"/>
    <n v="0"/>
    <n v="0"/>
    <n v="0"/>
    <n v="0"/>
  </r>
  <r>
    <n v="7485"/>
    <s v="Male"/>
    <n v="53"/>
    <x v="3"/>
    <x v="0"/>
    <n v="27"/>
    <n v="14"/>
    <n v="0.2"/>
    <s v="Mobile"/>
    <n v="21"/>
    <n v="0"/>
    <n v="0"/>
    <n v="0"/>
    <n v="0"/>
  </r>
  <r>
    <n v="7486"/>
    <s v="Female"/>
    <n v="50"/>
    <x v="1"/>
    <x v="1"/>
    <n v="260"/>
    <n v="54"/>
    <n v="0.55000000000000004"/>
    <s v="Web"/>
    <n v="0"/>
    <n v="1"/>
    <n v="0"/>
    <n v="14.99"/>
    <n v="0"/>
  </r>
  <r>
    <n v="7487"/>
    <s v="Male"/>
    <n v="48"/>
    <x v="7"/>
    <x v="3"/>
    <n v="123"/>
    <n v="70"/>
    <n v="0.41"/>
    <s v="Mobile"/>
    <n v="0"/>
    <n v="1"/>
    <n v="1"/>
    <n v="4.99"/>
    <n v="4.99"/>
  </r>
  <r>
    <n v="7488"/>
    <s v="Female"/>
    <n v="21"/>
    <x v="2"/>
    <x v="2"/>
    <n v="86"/>
    <n v="48"/>
    <n v="0.43"/>
    <s v="Desktop"/>
    <n v="0"/>
    <n v="1"/>
    <n v="0"/>
    <n v="9.99"/>
    <n v="0"/>
  </r>
  <r>
    <n v="7489"/>
    <s v="Female"/>
    <n v="23"/>
    <x v="7"/>
    <x v="1"/>
    <n v="286"/>
    <n v="57"/>
    <n v="0.56999999999999995"/>
    <s v="Web"/>
    <n v="0"/>
    <n v="1"/>
    <n v="0"/>
    <n v="14.99"/>
    <n v="0"/>
  </r>
  <r>
    <n v="7490"/>
    <s v="Male"/>
    <n v="40"/>
    <x v="5"/>
    <x v="0"/>
    <n v="38"/>
    <n v="54"/>
    <n v="0.24"/>
    <s v="Web"/>
    <n v="26"/>
    <n v="0"/>
    <n v="0"/>
    <n v="0"/>
    <n v="0"/>
  </r>
  <r>
    <n v="7491"/>
    <s v="Other"/>
    <n v="35"/>
    <x v="6"/>
    <x v="0"/>
    <n v="15"/>
    <n v="65"/>
    <n v="0.18"/>
    <s v="Desktop"/>
    <n v="45"/>
    <n v="0"/>
    <n v="0"/>
    <n v="0"/>
    <n v="0"/>
  </r>
  <r>
    <n v="7492"/>
    <s v="Other"/>
    <n v="32"/>
    <x v="6"/>
    <x v="2"/>
    <n v="139"/>
    <n v="69"/>
    <n v="0.56000000000000005"/>
    <s v="Desktop"/>
    <n v="0"/>
    <n v="1"/>
    <n v="0"/>
    <n v="9.99"/>
    <n v="0"/>
  </r>
  <r>
    <n v="7493"/>
    <s v="Male"/>
    <n v="29"/>
    <x v="4"/>
    <x v="1"/>
    <n v="186"/>
    <n v="57"/>
    <n v="0.38"/>
    <s v="Mobile"/>
    <n v="0"/>
    <n v="1"/>
    <n v="1"/>
    <n v="14.99"/>
    <n v="14.99"/>
  </r>
  <r>
    <n v="7494"/>
    <s v="Female"/>
    <n v="25"/>
    <x v="6"/>
    <x v="0"/>
    <n v="26"/>
    <n v="63"/>
    <n v="0.21"/>
    <s v="Web"/>
    <n v="14"/>
    <n v="0"/>
    <n v="0"/>
    <n v="0"/>
    <n v="0"/>
  </r>
  <r>
    <n v="7495"/>
    <s v="Male"/>
    <n v="48"/>
    <x v="7"/>
    <x v="2"/>
    <n v="89"/>
    <n v="49"/>
    <n v="0.05"/>
    <s v="Mobile"/>
    <n v="0"/>
    <n v="1"/>
    <n v="0"/>
    <n v="9.99"/>
    <n v="0"/>
  </r>
  <r>
    <n v="7496"/>
    <s v="Male"/>
    <n v="46"/>
    <x v="2"/>
    <x v="2"/>
    <n v="250"/>
    <n v="47"/>
    <n v="0.31"/>
    <s v="Desktop"/>
    <n v="0"/>
    <n v="1"/>
    <n v="1"/>
    <n v="9.99"/>
    <n v="9.99"/>
  </r>
  <r>
    <n v="7497"/>
    <s v="Female"/>
    <n v="52"/>
    <x v="5"/>
    <x v="2"/>
    <n v="152"/>
    <n v="13"/>
    <n v="0.01"/>
    <s v="Mobile"/>
    <n v="0"/>
    <n v="1"/>
    <n v="0"/>
    <n v="9.99"/>
    <n v="0"/>
  </r>
  <r>
    <n v="7498"/>
    <s v="Female"/>
    <n v="18"/>
    <x v="2"/>
    <x v="3"/>
    <n v="221"/>
    <n v="21"/>
    <n v="0.28999999999999998"/>
    <s v="Mobile"/>
    <n v="0"/>
    <n v="1"/>
    <n v="1"/>
    <n v="4.99"/>
    <n v="4.99"/>
  </r>
  <r>
    <n v="7499"/>
    <s v="Male"/>
    <n v="35"/>
    <x v="1"/>
    <x v="1"/>
    <n v="120"/>
    <n v="6"/>
    <n v="0.19"/>
    <s v="Desktop"/>
    <n v="0"/>
    <n v="1"/>
    <n v="0"/>
    <n v="14.99"/>
    <n v="0"/>
  </r>
  <r>
    <n v="7500"/>
    <s v="Other"/>
    <n v="45"/>
    <x v="2"/>
    <x v="2"/>
    <n v="216"/>
    <n v="4"/>
    <n v="0.02"/>
    <s v="Web"/>
    <n v="0"/>
    <n v="1"/>
    <n v="0"/>
    <n v="9.99"/>
    <n v="0"/>
  </r>
  <r>
    <n v="7501"/>
    <s v="Male"/>
    <n v="29"/>
    <x v="5"/>
    <x v="1"/>
    <n v="292"/>
    <n v="21"/>
    <n v="0.43"/>
    <s v="Mobile"/>
    <n v="0"/>
    <n v="1"/>
    <n v="0"/>
    <n v="14.99"/>
    <n v="0"/>
  </r>
  <r>
    <n v="7502"/>
    <s v="Female"/>
    <n v="27"/>
    <x v="7"/>
    <x v="0"/>
    <n v="99"/>
    <n v="79"/>
    <n v="0.37"/>
    <s v="Desktop"/>
    <n v="7"/>
    <n v="0"/>
    <n v="0"/>
    <n v="0"/>
    <n v="0"/>
  </r>
  <r>
    <n v="7503"/>
    <s v="Female"/>
    <n v="27"/>
    <x v="3"/>
    <x v="3"/>
    <n v="52"/>
    <n v="35"/>
    <n v="0.11"/>
    <s v="Mobile"/>
    <n v="0"/>
    <n v="1"/>
    <n v="0"/>
    <n v="4.99"/>
    <n v="0"/>
  </r>
  <r>
    <n v="7504"/>
    <s v="Other"/>
    <n v="49"/>
    <x v="1"/>
    <x v="3"/>
    <n v="233"/>
    <n v="78"/>
    <n v="0.31"/>
    <s v="Mobile"/>
    <n v="0"/>
    <n v="1"/>
    <n v="1"/>
    <n v="4.99"/>
    <n v="4.99"/>
  </r>
  <r>
    <n v="7505"/>
    <s v="Female"/>
    <n v="18"/>
    <x v="2"/>
    <x v="0"/>
    <n v="91"/>
    <n v="91"/>
    <n v="0.22"/>
    <s v="Mobile"/>
    <n v="23"/>
    <n v="0"/>
    <n v="0"/>
    <n v="0"/>
    <n v="0"/>
  </r>
  <r>
    <n v="7506"/>
    <s v="Male"/>
    <n v="40"/>
    <x v="5"/>
    <x v="0"/>
    <n v="64"/>
    <n v="4"/>
    <n v="0.1"/>
    <s v="Desktop"/>
    <n v="32"/>
    <n v="0"/>
    <n v="0"/>
    <n v="0"/>
    <n v="0"/>
  </r>
  <r>
    <n v="7507"/>
    <s v="Other"/>
    <n v="44"/>
    <x v="1"/>
    <x v="0"/>
    <n v="224"/>
    <n v="6"/>
    <n v="0.21"/>
    <s v="Web"/>
    <n v="44"/>
    <n v="0"/>
    <n v="0"/>
    <n v="0"/>
    <n v="0"/>
  </r>
  <r>
    <n v="7508"/>
    <s v="Female"/>
    <n v="22"/>
    <x v="6"/>
    <x v="3"/>
    <n v="48"/>
    <n v="11"/>
    <n v="0.15"/>
    <s v="Mobile"/>
    <n v="0"/>
    <n v="1"/>
    <n v="0"/>
    <n v="4.99"/>
    <n v="0"/>
  </r>
  <r>
    <n v="7509"/>
    <s v="Other"/>
    <n v="54"/>
    <x v="2"/>
    <x v="2"/>
    <n v="253"/>
    <n v="34"/>
    <n v="0.41"/>
    <s v="Mobile"/>
    <n v="0"/>
    <n v="1"/>
    <n v="0"/>
    <n v="9.99"/>
    <n v="0"/>
  </r>
  <r>
    <n v="7510"/>
    <s v="Female"/>
    <n v="30"/>
    <x v="6"/>
    <x v="0"/>
    <n v="235"/>
    <n v="69"/>
    <n v="0.48"/>
    <s v="Desktop"/>
    <n v="30"/>
    <n v="0"/>
    <n v="1"/>
    <n v="0"/>
    <n v="0"/>
  </r>
  <r>
    <n v="7511"/>
    <s v="Other"/>
    <n v="20"/>
    <x v="6"/>
    <x v="0"/>
    <n v="258"/>
    <n v="60"/>
    <n v="0.12"/>
    <s v="Mobile"/>
    <n v="5"/>
    <n v="0"/>
    <n v="0"/>
    <n v="0"/>
    <n v="0"/>
  </r>
  <r>
    <n v="7512"/>
    <s v="Other"/>
    <n v="51"/>
    <x v="5"/>
    <x v="3"/>
    <n v="27"/>
    <n v="35"/>
    <n v="0.33"/>
    <s v="Mobile"/>
    <n v="0"/>
    <n v="1"/>
    <n v="0"/>
    <n v="4.99"/>
    <n v="0"/>
  </r>
  <r>
    <n v="7513"/>
    <s v="Other"/>
    <n v="40"/>
    <x v="5"/>
    <x v="2"/>
    <n v="174"/>
    <n v="95"/>
    <n v="0.19"/>
    <s v="Desktop"/>
    <n v="0"/>
    <n v="1"/>
    <n v="0"/>
    <n v="9.99"/>
    <n v="0"/>
  </r>
  <r>
    <n v="7514"/>
    <s v="Other"/>
    <n v="49"/>
    <x v="7"/>
    <x v="0"/>
    <n v="158"/>
    <n v="54"/>
    <n v="0.44"/>
    <s v="Desktop"/>
    <n v="5"/>
    <n v="0"/>
    <n v="0"/>
    <n v="0"/>
    <n v="0"/>
  </r>
  <r>
    <n v="7515"/>
    <s v="Female"/>
    <n v="40"/>
    <x v="5"/>
    <x v="0"/>
    <n v="227"/>
    <n v="3"/>
    <n v="0.57999999999999996"/>
    <s v="Desktop"/>
    <n v="31"/>
    <n v="0"/>
    <n v="0"/>
    <n v="0"/>
    <n v="0"/>
  </r>
  <r>
    <n v="7516"/>
    <s v="Male"/>
    <n v="36"/>
    <x v="3"/>
    <x v="3"/>
    <n v="40"/>
    <n v="61"/>
    <n v="0.17"/>
    <s v="Web"/>
    <n v="0"/>
    <n v="1"/>
    <n v="0"/>
    <n v="4.99"/>
    <n v="0"/>
  </r>
  <r>
    <n v="7517"/>
    <s v="Male"/>
    <n v="35"/>
    <x v="6"/>
    <x v="0"/>
    <n v="154"/>
    <n v="91"/>
    <n v="0.56999999999999995"/>
    <s v="Web"/>
    <n v="20"/>
    <n v="0"/>
    <n v="1"/>
    <n v="0"/>
    <n v="0"/>
  </r>
  <r>
    <n v="7518"/>
    <s v="Male"/>
    <n v="30"/>
    <x v="2"/>
    <x v="2"/>
    <n v="269"/>
    <n v="21"/>
    <n v="0.53"/>
    <s v="Desktop"/>
    <n v="0"/>
    <n v="1"/>
    <n v="0"/>
    <n v="9.99"/>
    <n v="0"/>
  </r>
  <r>
    <n v="7519"/>
    <s v="Female"/>
    <n v="27"/>
    <x v="4"/>
    <x v="3"/>
    <n v="69"/>
    <n v="52"/>
    <n v="0.19"/>
    <s v="Mobile"/>
    <n v="0"/>
    <n v="1"/>
    <n v="1"/>
    <n v="4.99"/>
    <n v="4.99"/>
  </r>
  <r>
    <n v="7520"/>
    <s v="Female"/>
    <n v="53"/>
    <x v="6"/>
    <x v="0"/>
    <n v="64"/>
    <n v="20"/>
    <n v="0.35"/>
    <s v="Web"/>
    <n v="44"/>
    <n v="0"/>
    <n v="0"/>
    <n v="0"/>
    <n v="0"/>
  </r>
  <r>
    <n v="7521"/>
    <s v="Male"/>
    <n v="42"/>
    <x v="5"/>
    <x v="3"/>
    <n v="74"/>
    <n v="51"/>
    <n v="0.27"/>
    <s v="Mobile"/>
    <n v="0"/>
    <n v="1"/>
    <n v="0"/>
    <n v="4.99"/>
    <n v="0"/>
  </r>
  <r>
    <n v="7522"/>
    <s v="Male"/>
    <n v="54"/>
    <x v="1"/>
    <x v="3"/>
    <n v="62"/>
    <n v="19"/>
    <n v="0.35"/>
    <s v="Mobile"/>
    <n v="0"/>
    <n v="1"/>
    <n v="1"/>
    <n v="4.99"/>
    <n v="4.99"/>
  </r>
  <r>
    <n v="7523"/>
    <s v="Other"/>
    <n v="24"/>
    <x v="1"/>
    <x v="3"/>
    <n v="246"/>
    <n v="96"/>
    <n v="0.24"/>
    <s v="Mobile"/>
    <n v="0"/>
    <n v="1"/>
    <n v="0"/>
    <n v="4.99"/>
    <n v="0"/>
  </r>
  <r>
    <n v="7524"/>
    <s v="Female"/>
    <n v="20"/>
    <x v="2"/>
    <x v="2"/>
    <n v="18"/>
    <n v="9"/>
    <n v="0.05"/>
    <s v="Desktop"/>
    <n v="0"/>
    <n v="1"/>
    <n v="1"/>
    <n v="9.99"/>
    <n v="9.99"/>
  </r>
  <r>
    <n v="7525"/>
    <s v="Female"/>
    <n v="24"/>
    <x v="0"/>
    <x v="2"/>
    <n v="60"/>
    <n v="12"/>
    <n v="0.1"/>
    <s v="Web"/>
    <n v="0"/>
    <n v="1"/>
    <n v="0"/>
    <n v="9.99"/>
    <n v="0"/>
  </r>
  <r>
    <n v="7526"/>
    <s v="Other"/>
    <n v="24"/>
    <x v="2"/>
    <x v="3"/>
    <n v="26"/>
    <n v="2"/>
    <n v="0.56999999999999995"/>
    <s v="Mobile"/>
    <n v="0"/>
    <n v="1"/>
    <n v="1"/>
    <n v="4.99"/>
    <n v="4.99"/>
  </r>
  <r>
    <n v="7527"/>
    <s v="Female"/>
    <n v="58"/>
    <x v="7"/>
    <x v="3"/>
    <n v="57"/>
    <n v="68"/>
    <n v="0.53"/>
    <s v="Desktop"/>
    <n v="0"/>
    <n v="1"/>
    <n v="0"/>
    <n v="4.99"/>
    <n v="0"/>
  </r>
  <r>
    <n v="7528"/>
    <s v="Other"/>
    <n v="56"/>
    <x v="3"/>
    <x v="3"/>
    <n v="93"/>
    <n v="83"/>
    <n v="0.02"/>
    <s v="Mobile"/>
    <n v="0"/>
    <n v="1"/>
    <n v="0"/>
    <n v="4.99"/>
    <n v="0"/>
  </r>
  <r>
    <n v="7529"/>
    <s v="Other"/>
    <n v="56"/>
    <x v="0"/>
    <x v="3"/>
    <n v="293"/>
    <n v="60"/>
    <n v="0.4"/>
    <s v="Mobile"/>
    <n v="0"/>
    <n v="1"/>
    <n v="0"/>
    <n v="4.99"/>
    <n v="0"/>
  </r>
  <r>
    <n v="7530"/>
    <s v="Male"/>
    <n v="40"/>
    <x v="0"/>
    <x v="3"/>
    <n v="176"/>
    <n v="95"/>
    <n v="0.03"/>
    <s v="Web"/>
    <n v="0"/>
    <n v="1"/>
    <n v="0"/>
    <n v="4.99"/>
    <n v="0"/>
  </r>
  <r>
    <n v="7531"/>
    <s v="Other"/>
    <n v="20"/>
    <x v="1"/>
    <x v="0"/>
    <n v="133"/>
    <n v="19"/>
    <n v="0.27"/>
    <s v="Desktop"/>
    <n v="35"/>
    <n v="0"/>
    <n v="0"/>
    <n v="0"/>
    <n v="0"/>
  </r>
  <r>
    <n v="7532"/>
    <s v="Male"/>
    <n v="47"/>
    <x v="1"/>
    <x v="3"/>
    <n v="292"/>
    <n v="27"/>
    <n v="0.57999999999999996"/>
    <s v="Desktop"/>
    <n v="0"/>
    <n v="1"/>
    <n v="0"/>
    <n v="4.99"/>
    <n v="0"/>
  </r>
  <r>
    <n v="7533"/>
    <s v="Other"/>
    <n v="35"/>
    <x v="0"/>
    <x v="2"/>
    <n v="202"/>
    <n v="39"/>
    <n v="0.09"/>
    <s v="Web"/>
    <n v="0"/>
    <n v="1"/>
    <n v="0"/>
    <n v="9.99"/>
    <n v="0"/>
  </r>
  <r>
    <n v="7534"/>
    <s v="Other"/>
    <n v="42"/>
    <x v="2"/>
    <x v="1"/>
    <n v="174"/>
    <n v="92"/>
    <n v="0.2"/>
    <s v="Mobile"/>
    <n v="0"/>
    <n v="1"/>
    <n v="0"/>
    <n v="14.99"/>
    <n v="0"/>
  </r>
  <r>
    <n v="7535"/>
    <s v="Other"/>
    <n v="20"/>
    <x v="5"/>
    <x v="2"/>
    <n v="184"/>
    <n v="10"/>
    <n v="0.14000000000000001"/>
    <s v="Desktop"/>
    <n v="0"/>
    <n v="1"/>
    <n v="1"/>
    <n v="9.99"/>
    <n v="9.99"/>
  </r>
  <r>
    <n v="7536"/>
    <s v="Male"/>
    <n v="26"/>
    <x v="5"/>
    <x v="1"/>
    <n v="273"/>
    <n v="38"/>
    <n v="0.39"/>
    <s v="Web"/>
    <n v="0"/>
    <n v="1"/>
    <n v="1"/>
    <n v="14.99"/>
    <n v="14.99"/>
  </r>
  <r>
    <n v="7537"/>
    <s v="Female"/>
    <n v="57"/>
    <x v="5"/>
    <x v="1"/>
    <n v="207"/>
    <n v="32"/>
    <n v="0.13"/>
    <s v="Desktop"/>
    <n v="0"/>
    <n v="1"/>
    <n v="1"/>
    <n v="14.99"/>
    <n v="14.99"/>
  </r>
  <r>
    <n v="7538"/>
    <s v="Male"/>
    <n v="47"/>
    <x v="3"/>
    <x v="0"/>
    <n v="120"/>
    <n v="35"/>
    <n v="0.46"/>
    <s v="Web"/>
    <n v="26"/>
    <n v="0"/>
    <n v="0"/>
    <n v="0"/>
    <n v="0"/>
  </r>
  <r>
    <n v="7539"/>
    <s v="Male"/>
    <n v="53"/>
    <x v="4"/>
    <x v="1"/>
    <n v="52"/>
    <n v="65"/>
    <n v="0.47"/>
    <s v="Desktop"/>
    <n v="0"/>
    <n v="1"/>
    <n v="0"/>
    <n v="14.99"/>
    <n v="0"/>
  </r>
  <r>
    <n v="7540"/>
    <s v="Male"/>
    <n v="20"/>
    <x v="3"/>
    <x v="2"/>
    <n v="31"/>
    <n v="36"/>
    <n v="0.38"/>
    <s v="Desktop"/>
    <n v="0"/>
    <n v="1"/>
    <n v="0"/>
    <n v="9.99"/>
    <n v="0"/>
  </r>
  <r>
    <n v="7541"/>
    <s v="Male"/>
    <n v="41"/>
    <x v="5"/>
    <x v="1"/>
    <n v="297"/>
    <n v="3"/>
    <n v="0.21"/>
    <s v="Mobile"/>
    <n v="0"/>
    <n v="1"/>
    <n v="0"/>
    <n v="14.99"/>
    <n v="0"/>
  </r>
  <r>
    <n v="7542"/>
    <s v="Male"/>
    <n v="22"/>
    <x v="4"/>
    <x v="1"/>
    <n v="64"/>
    <n v="78"/>
    <n v="0.56000000000000005"/>
    <s v="Mobile"/>
    <n v="0"/>
    <n v="1"/>
    <n v="0"/>
    <n v="14.99"/>
    <n v="0"/>
  </r>
  <r>
    <n v="7543"/>
    <s v="Other"/>
    <n v="37"/>
    <x v="6"/>
    <x v="0"/>
    <n v="256"/>
    <n v="79"/>
    <n v="0.22"/>
    <s v="Mobile"/>
    <n v="25"/>
    <n v="0"/>
    <n v="0"/>
    <n v="0"/>
    <n v="0"/>
  </r>
  <r>
    <n v="7544"/>
    <s v="Female"/>
    <n v="22"/>
    <x v="5"/>
    <x v="1"/>
    <n v="288"/>
    <n v="88"/>
    <n v="0.17"/>
    <s v="Web"/>
    <n v="0"/>
    <n v="1"/>
    <n v="1"/>
    <n v="14.99"/>
    <n v="14.99"/>
  </r>
  <r>
    <n v="7545"/>
    <s v="Female"/>
    <n v="42"/>
    <x v="7"/>
    <x v="3"/>
    <n v="23"/>
    <n v="33"/>
    <n v="0.41"/>
    <s v="Desktop"/>
    <n v="0"/>
    <n v="1"/>
    <n v="0"/>
    <n v="4.99"/>
    <n v="0"/>
  </r>
  <r>
    <n v="7546"/>
    <s v="Female"/>
    <n v="41"/>
    <x v="2"/>
    <x v="3"/>
    <n v="71"/>
    <n v="64"/>
    <n v="0.01"/>
    <s v="Web"/>
    <n v="0"/>
    <n v="1"/>
    <n v="1"/>
    <n v="4.99"/>
    <n v="4.99"/>
  </r>
  <r>
    <n v="7547"/>
    <s v="Female"/>
    <n v="28"/>
    <x v="5"/>
    <x v="1"/>
    <n v="286"/>
    <n v="97"/>
    <n v="0.24"/>
    <s v="Desktop"/>
    <n v="0"/>
    <n v="1"/>
    <n v="0"/>
    <n v="14.99"/>
    <n v="0"/>
  </r>
  <r>
    <n v="7548"/>
    <s v="Male"/>
    <n v="42"/>
    <x v="3"/>
    <x v="2"/>
    <n v="133"/>
    <n v="1"/>
    <n v="0.03"/>
    <s v="Mobile"/>
    <n v="0"/>
    <n v="1"/>
    <n v="0"/>
    <n v="9.99"/>
    <n v="0"/>
  </r>
  <r>
    <n v="7549"/>
    <s v="Male"/>
    <n v="41"/>
    <x v="1"/>
    <x v="3"/>
    <n v="268"/>
    <n v="1"/>
    <n v="0.41"/>
    <s v="Desktop"/>
    <n v="0"/>
    <n v="1"/>
    <n v="0"/>
    <n v="4.99"/>
    <n v="0"/>
  </r>
  <r>
    <n v="7550"/>
    <s v="Other"/>
    <n v="49"/>
    <x v="3"/>
    <x v="0"/>
    <n v="92"/>
    <n v="59"/>
    <n v="0.11"/>
    <s v="Web"/>
    <n v="23"/>
    <n v="0"/>
    <n v="0"/>
    <n v="0"/>
    <n v="0"/>
  </r>
  <r>
    <n v="7551"/>
    <s v="Other"/>
    <n v="44"/>
    <x v="0"/>
    <x v="1"/>
    <n v="124"/>
    <n v="41"/>
    <n v="0.59"/>
    <s v="Web"/>
    <n v="0"/>
    <n v="1"/>
    <n v="0"/>
    <n v="14.99"/>
    <n v="0"/>
  </r>
  <r>
    <n v="7552"/>
    <s v="Male"/>
    <n v="18"/>
    <x v="5"/>
    <x v="2"/>
    <n v="102"/>
    <n v="43"/>
    <n v="0.36"/>
    <s v="Web"/>
    <n v="0"/>
    <n v="1"/>
    <n v="0"/>
    <n v="9.99"/>
    <n v="0"/>
  </r>
  <r>
    <n v="7553"/>
    <s v="Other"/>
    <n v="35"/>
    <x v="2"/>
    <x v="1"/>
    <n v="172"/>
    <n v="22"/>
    <n v="0.23"/>
    <s v="Mobile"/>
    <n v="0"/>
    <n v="1"/>
    <n v="0"/>
    <n v="14.99"/>
    <n v="0"/>
  </r>
  <r>
    <n v="7554"/>
    <s v="Male"/>
    <n v="43"/>
    <x v="3"/>
    <x v="2"/>
    <n v="32"/>
    <n v="94"/>
    <n v="0.06"/>
    <s v="Web"/>
    <n v="0"/>
    <n v="1"/>
    <n v="0"/>
    <n v="9.99"/>
    <n v="0"/>
  </r>
  <r>
    <n v="7555"/>
    <s v="Other"/>
    <n v="48"/>
    <x v="5"/>
    <x v="1"/>
    <n v="279"/>
    <n v="49"/>
    <n v="0.15"/>
    <s v="Mobile"/>
    <n v="0"/>
    <n v="1"/>
    <n v="0"/>
    <n v="14.99"/>
    <n v="0"/>
  </r>
  <r>
    <n v="7556"/>
    <s v="Female"/>
    <n v="47"/>
    <x v="1"/>
    <x v="2"/>
    <n v="266"/>
    <n v="72"/>
    <n v="0.08"/>
    <s v="Web"/>
    <n v="0"/>
    <n v="1"/>
    <n v="0"/>
    <n v="9.99"/>
    <n v="0"/>
  </r>
  <r>
    <n v="7557"/>
    <s v="Other"/>
    <n v="34"/>
    <x v="2"/>
    <x v="0"/>
    <n v="254"/>
    <n v="69"/>
    <n v="0.32"/>
    <s v="Web"/>
    <n v="20"/>
    <n v="0"/>
    <n v="1"/>
    <n v="0"/>
    <n v="0"/>
  </r>
  <r>
    <n v="7558"/>
    <s v="Female"/>
    <n v="29"/>
    <x v="3"/>
    <x v="1"/>
    <n v="18"/>
    <n v="51"/>
    <n v="0.12"/>
    <s v="Mobile"/>
    <n v="0"/>
    <n v="1"/>
    <n v="0"/>
    <n v="14.99"/>
    <n v="0"/>
  </r>
  <r>
    <n v="7559"/>
    <s v="Other"/>
    <n v="18"/>
    <x v="3"/>
    <x v="3"/>
    <n v="70"/>
    <n v="90"/>
    <n v="0.21"/>
    <s v="Web"/>
    <n v="0"/>
    <n v="1"/>
    <n v="0"/>
    <n v="4.99"/>
    <n v="0"/>
  </r>
  <r>
    <n v="7560"/>
    <s v="Female"/>
    <n v="28"/>
    <x v="6"/>
    <x v="3"/>
    <n v="25"/>
    <n v="69"/>
    <n v="0.25"/>
    <s v="Web"/>
    <n v="0"/>
    <n v="1"/>
    <n v="0"/>
    <n v="4.99"/>
    <n v="0"/>
  </r>
  <r>
    <n v="7561"/>
    <s v="Male"/>
    <n v="50"/>
    <x v="5"/>
    <x v="3"/>
    <n v="209"/>
    <n v="10"/>
    <n v="7.0000000000000007E-2"/>
    <s v="Desktop"/>
    <n v="0"/>
    <n v="1"/>
    <n v="0"/>
    <n v="4.99"/>
    <n v="0"/>
  </r>
  <r>
    <n v="7562"/>
    <s v="Other"/>
    <n v="19"/>
    <x v="7"/>
    <x v="0"/>
    <n v="288"/>
    <n v="29"/>
    <n v="0.13"/>
    <s v="Web"/>
    <n v="41"/>
    <n v="0"/>
    <n v="0"/>
    <n v="0"/>
    <n v="0"/>
  </r>
  <r>
    <n v="7563"/>
    <s v="Other"/>
    <n v="52"/>
    <x v="0"/>
    <x v="0"/>
    <n v="197"/>
    <n v="62"/>
    <n v="0.03"/>
    <s v="Web"/>
    <n v="29"/>
    <n v="0"/>
    <n v="1"/>
    <n v="0"/>
    <n v="0"/>
  </r>
  <r>
    <n v="7564"/>
    <s v="Other"/>
    <n v="37"/>
    <x v="5"/>
    <x v="2"/>
    <n v="293"/>
    <n v="96"/>
    <n v="0.55000000000000004"/>
    <s v="Web"/>
    <n v="0"/>
    <n v="1"/>
    <n v="0"/>
    <n v="9.99"/>
    <n v="0"/>
  </r>
  <r>
    <n v="7565"/>
    <s v="Other"/>
    <n v="22"/>
    <x v="4"/>
    <x v="3"/>
    <n v="122"/>
    <n v="80"/>
    <n v="0.56000000000000005"/>
    <s v="Web"/>
    <n v="0"/>
    <n v="1"/>
    <n v="0"/>
    <n v="4.99"/>
    <n v="0"/>
  </r>
  <r>
    <n v="7566"/>
    <s v="Male"/>
    <n v="39"/>
    <x v="4"/>
    <x v="2"/>
    <n v="194"/>
    <n v="6"/>
    <n v="0.09"/>
    <s v="Mobile"/>
    <n v="0"/>
    <n v="1"/>
    <n v="1"/>
    <n v="9.99"/>
    <n v="9.99"/>
  </r>
  <r>
    <n v="7567"/>
    <s v="Male"/>
    <n v="59"/>
    <x v="7"/>
    <x v="1"/>
    <n v="235"/>
    <n v="39"/>
    <n v="0.28000000000000003"/>
    <s v="Web"/>
    <n v="0"/>
    <n v="1"/>
    <n v="0"/>
    <n v="14.99"/>
    <n v="0"/>
  </r>
  <r>
    <n v="7568"/>
    <s v="Male"/>
    <n v="22"/>
    <x v="6"/>
    <x v="0"/>
    <n v="27"/>
    <n v="8"/>
    <n v="0.48"/>
    <s v="Desktop"/>
    <n v="38"/>
    <n v="0"/>
    <n v="0"/>
    <n v="0"/>
    <n v="0"/>
  </r>
  <r>
    <n v="7569"/>
    <s v="Male"/>
    <n v="46"/>
    <x v="1"/>
    <x v="0"/>
    <n v="60"/>
    <n v="75"/>
    <n v="0.56999999999999995"/>
    <s v="Web"/>
    <n v="42"/>
    <n v="0"/>
    <n v="0"/>
    <n v="0"/>
    <n v="0"/>
  </r>
  <r>
    <n v="7570"/>
    <s v="Other"/>
    <n v="39"/>
    <x v="1"/>
    <x v="2"/>
    <n v="131"/>
    <n v="63"/>
    <n v="0.01"/>
    <s v="Desktop"/>
    <n v="0"/>
    <n v="1"/>
    <n v="0"/>
    <n v="9.99"/>
    <n v="0"/>
  </r>
  <r>
    <n v="7571"/>
    <s v="Male"/>
    <n v="49"/>
    <x v="3"/>
    <x v="2"/>
    <n v="146"/>
    <n v="77"/>
    <n v="0.4"/>
    <s v="Desktop"/>
    <n v="0"/>
    <n v="1"/>
    <n v="1"/>
    <n v="9.99"/>
    <n v="9.99"/>
  </r>
  <r>
    <n v="7572"/>
    <s v="Other"/>
    <n v="40"/>
    <x v="1"/>
    <x v="3"/>
    <n v="65"/>
    <n v="95"/>
    <n v="0.1"/>
    <s v="Desktop"/>
    <n v="0"/>
    <n v="1"/>
    <n v="0"/>
    <n v="4.99"/>
    <n v="0"/>
  </r>
  <r>
    <n v="7573"/>
    <s v="Male"/>
    <n v="42"/>
    <x v="2"/>
    <x v="3"/>
    <n v="125"/>
    <n v="27"/>
    <n v="0.1"/>
    <s v="Desktop"/>
    <n v="0"/>
    <n v="1"/>
    <n v="0"/>
    <n v="4.99"/>
    <n v="0"/>
  </r>
  <r>
    <n v="7574"/>
    <s v="Female"/>
    <n v="37"/>
    <x v="5"/>
    <x v="2"/>
    <n v="108"/>
    <n v="97"/>
    <n v="0.21"/>
    <s v="Mobile"/>
    <n v="0"/>
    <n v="1"/>
    <n v="0"/>
    <n v="9.99"/>
    <n v="0"/>
  </r>
  <r>
    <n v="7575"/>
    <s v="Female"/>
    <n v="51"/>
    <x v="1"/>
    <x v="0"/>
    <n v="212"/>
    <n v="64"/>
    <n v="0.48"/>
    <s v="Desktop"/>
    <n v="10"/>
    <n v="0"/>
    <n v="0"/>
    <n v="0"/>
    <n v="0"/>
  </r>
  <r>
    <n v="7576"/>
    <s v="Other"/>
    <n v="34"/>
    <x v="3"/>
    <x v="3"/>
    <n v="260"/>
    <n v="97"/>
    <n v="0.23"/>
    <s v="Desktop"/>
    <n v="0"/>
    <n v="1"/>
    <n v="0"/>
    <n v="4.99"/>
    <n v="0"/>
  </r>
  <r>
    <n v="7577"/>
    <s v="Male"/>
    <n v="46"/>
    <x v="7"/>
    <x v="2"/>
    <n v="185"/>
    <n v="93"/>
    <n v="0.46"/>
    <s v="Mobile"/>
    <n v="0"/>
    <n v="1"/>
    <n v="0"/>
    <n v="9.99"/>
    <n v="0"/>
  </r>
  <r>
    <n v="7578"/>
    <s v="Other"/>
    <n v="22"/>
    <x v="7"/>
    <x v="1"/>
    <n v="155"/>
    <n v="57"/>
    <n v="0.6"/>
    <s v="Mobile"/>
    <n v="0"/>
    <n v="1"/>
    <n v="0"/>
    <n v="14.99"/>
    <n v="0"/>
  </r>
  <r>
    <n v="7579"/>
    <s v="Male"/>
    <n v="35"/>
    <x v="7"/>
    <x v="2"/>
    <n v="241"/>
    <n v="33"/>
    <n v="0.04"/>
    <s v="Desktop"/>
    <n v="0"/>
    <n v="1"/>
    <n v="0"/>
    <n v="9.99"/>
    <n v="0"/>
  </r>
  <r>
    <n v="7580"/>
    <s v="Male"/>
    <n v="58"/>
    <x v="5"/>
    <x v="2"/>
    <n v="227"/>
    <n v="82"/>
    <n v="0.42"/>
    <s v="Desktop"/>
    <n v="0"/>
    <n v="1"/>
    <n v="1"/>
    <n v="9.99"/>
    <n v="9.99"/>
  </r>
  <r>
    <n v="7581"/>
    <s v="Other"/>
    <n v="32"/>
    <x v="7"/>
    <x v="0"/>
    <n v="182"/>
    <n v="30"/>
    <n v="0.47"/>
    <s v="Desktop"/>
    <n v="25"/>
    <n v="0"/>
    <n v="1"/>
    <n v="0"/>
    <n v="0"/>
  </r>
  <r>
    <n v="7582"/>
    <s v="Male"/>
    <n v="41"/>
    <x v="2"/>
    <x v="2"/>
    <n v="274"/>
    <n v="55"/>
    <n v="0.5"/>
    <s v="Web"/>
    <n v="0"/>
    <n v="1"/>
    <n v="0"/>
    <n v="9.99"/>
    <n v="0"/>
  </r>
  <r>
    <n v="7583"/>
    <s v="Male"/>
    <n v="30"/>
    <x v="1"/>
    <x v="2"/>
    <n v="107"/>
    <n v="95"/>
    <n v="0.27"/>
    <s v="Mobile"/>
    <n v="0"/>
    <n v="1"/>
    <n v="0"/>
    <n v="9.99"/>
    <n v="0"/>
  </r>
  <r>
    <n v="7584"/>
    <s v="Female"/>
    <n v="36"/>
    <x v="5"/>
    <x v="2"/>
    <n v="250"/>
    <n v="44"/>
    <n v="0.31"/>
    <s v="Mobile"/>
    <n v="0"/>
    <n v="1"/>
    <n v="0"/>
    <n v="9.99"/>
    <n v="0"/>
  </r>
  <r>
    <n v="7585"/>
    <s v="Other"/>
    <n v="25"/>
    <x v="0"/>
    <x v="2"/>
    <n v="237"/>
    <n v="28"/>
    <n v="0.03"/>
    <s v="Mobile"/>
    <n v="0"/>
    <n v="1"/>
    <n v="1"/>
    <n v="9.99"/>
    <n v="9.99"/>
  </r>
  <r>
    <n v="7586"/>
    <s v="Other"/>
    <n v="49"/>
    <x v="3"/>
    <x v="0"/>
    <n v="182"/>
    <n v="81"/>
    <n v="0.6"/>
    <s v="Web"/>
    <n v="32"/>
    <n v="0"/>
    <n v="0"/>
    <n v="0"/>
    <n v="0"/>
  </r>
  <r>
    <n v="7587"/>
    <s v="Other"/>
    <n v="38"/>
    <x v="5"/>
    <x v="0"/>
    <n v="134"/>
    <n v="93"/>
    <n v="0.12"/>
    <s v="Mobile"/>
    <n v="47"/>
    <n v="0"/>
    <n v="1"/>
    <n v="0"/>
    <n v="0"/>
  </r>
  <r>
    <n v="7588"/>
    <s v="Male"/>
    <n v="28"/>
    <x v="1"/>
    <x v="2"/>
    <n v="48"/>
    <n v="80"/>
    <n v="0.56999999999999995"/>
    <s v="Mobile"/>
    <n v="0"/>
    <n v="1"/>
    <n v="1"/>
    <n v="9.99"/>
    <n v="9.99"/>
  </r>
  <r>
    <n v="7589"/>
    <s v="Female"/>
    <n v="32"/>
    <x v="0"/>
    <x v="1"/>
    <n v="249"/>
    <n v="97"/>
    <n v="0.41"/>
    <s v="Desktop"/>
    <n v="0"/>
    <n v="1"/>
    <n v="0"/>
    <n v="14.99"/>
    <n v="0"/>
  </r>
  <r>
    <n v="7590"/>
    <s v="Other"/>
    <n v="52"/>
    <x v="2"/>
    <x v="0"/>
    <n v="184"/>
    <n v="10"/>
    <n v="0.27"/>
    <s v="Web"/>
    <n v="11"/>
    <n v="0"/>
    <n v="0"/>
    <n v="0"/>
    <n v="0"/>
  </r>
  <r>
    <n v="7591"/>
    <s v="Female"/>
    <n v="24"/>
    <x v="1"/>
    <x v="0"/>
    <n v="227"/>
    <n v="92"/>
    <n v="7.0000000000000007E-2"/>
    <s v="Mobile"/>
    <n v="43"/>
    <n v="0"/>
    <n v="1"/>
    <n v="0"/>
    <n v="0"/>
  </r>
  <r>
    <n v="7592"/>
    <s v="Male"/>
    <n v="42"/>
    <x v="7"/>
    <x v="0"/>
    <n v="240"/>
    <n v="34"/>
    <n v="0.5"/>
    <s v="Desktop"/>
    <n v="30"/>
    <n v="0"/>
    <n v="0"/>
    <n v="0"/>
    <n v="0"/>
  </r>
  <r>
    <n v="7593"/>
    <s v="Male"/>
    <n v="30"/>
    <x v="3"/>
    <x v="2"/>
    <n v="82"/>
    <n v="81"/>
    <n v="0.41"/>
    <s v="Web"/>
    <n v="0"/>
    <n v="1"/>
    <n v="0"/>
    <n v="9.99"/>
    <n v="0"/>
  </r>
  <r>
    <n v="7594"/>
    <s v="Male"/>
    <n v="54"/>
    <x v="0"/>
    <x v="2"/>
    <n v="179"/>
    <n v="10"/>
    <n v="0.14000000000000001"/>
    <s v="Desktop"/>
    <n v="0"/>
    <n v="1"/>
    <n v="0"/>
    <n v="9.99"/>
    <n v="0"/>
  </r>
  <r>
    <n v="7595"/>
    <s v="Female"/>
    <n v="17"/>
    <x v="7"/>
    <x v="0"/>
    <n v="234"/>
    <n v="98"/>
    <n v="0.4"/>
    <s v="Mobile"/>
    <n v="25"/>
    <n v="0"/>
    <n v="0"/>
    <n v="0"/>
    <n v="0"/>
  </r>
  <r>
    <n v="7596"/>
    <s v="Other"/>
    <n v="53"/>
    <x v="3"/>
    <x v="2"/>
    <n v="254"/>
    <n v="11"/>
    <n v="0.04"/>
    <s v="Web"/>
    <n v="0"/>
    <n v="1"/>
    <n v="0"/>
    <n v="9.99"/>
    <n v="0"/>
  </r>
  <r>
    <n v="7597"/>
    <s v="Male"/>
    <n v="48"/>
    <x v="6"/>
    <x v="1"/>
    <n v="59"/>
    <n v="96"/>
    <n v="0.41"/>
    <s v="Mobile"/>
    <n v="0"/>
    <n v="1"/>
    <n v="0"/>
    <n v="14.99"/>
    <n v="0"/>
  </r>
  <r>
    <n v="7598"/>
    <s v="Female"/>
    <n v="44"/>
    <x v="5"/>
    <x v="3"/>
    <n v="10"/>
    <n v="81"/>
    <n v="0.55000000000000004"/>
    <s v="Mobile"/>
    <n v="0"/>
    <n v="1"/>
    <n v="0"/>
    <n v="4.99"/>
    <n v="0"/>
  </r>
  <r>
    <n v="7599"/>
    <s v="Male"/>
    <n v="17"/>
    <x v="0"/>
    <x v="1"/>
    <n v="288"/>
    <n v="8"/>
    <n v="0.37"/>
    <s v="Desktop"/>
    <n v="0"/>
    <n v="1"/>
    <n v="0"/>
    <n v="14.99"/>
    <n v="0"/>
  </r>
  <r>
    <n v="7600"/>
    <s v="Other"/>
    <n v="48"/>
    <x v="0"/>
    <x v="1"/>
    <n v="148"/>
    <n v="90"/>
    <n v="0.1"/>
    <s v="Mobile"/>
    <n v="0"/>
    <n v="1"/>
    <n v="0"/>
    <n v="14.99"/>
    <n v="0"/>
  </r>
  <r>
    <n v="7601"/>
    <s v="Female"/>
    <n v="42"/>
    <x v="2"/>
    <x v="1"/>
    <n v="55"/>
    <n v="30"/>
    <n v="0.23"/>
    <s v="Desktop"/>
    <n v="0"/>
    <n v="1"/>
    <n v="1"/>
    <n v="14.99"/>
    <n v="14.99"/>
  </r>
  <r>
    <n v="7602"/>
    <s v="Female"/>
    <n v="37"/>
    <x v="0"/>
    <x v="3"/>
    <n v="287"/>
    <n v="15"/>
    <n v="0.34"/>
    <s v="Desktop"/>
    <n v="0"/>
    <n v="1"/>
    <n v="0"/>
    <n v="4.99"/>
    <n v="0"/>
  </r>
  <r>
    <n v="7603"/>
    <s v="Male"/>
    <n v="28"/>
    <x v="6"/>
    <x v="2"/>
    <n v="150"/>
    <n v="88"/>
    <n v="0.16"/>
    <s v="Desktop"/>
    <n v="0"/>
    <n v="1"/>
    <n v="0"/>
    <n v="9.99"/>
    <n v="0"/>
  </r>
  <r>
    <n v="7604"/>
    <s v="Female"/>
    <n v="17"/>
    <x v="3"/>
    <x v="1"/>
    <n v="136"/>
    <n v="58"/>
    <n v="0.51"/>
    <s v="Web"/>
    <n v="0"/>
    <n v="1"/>
    <n v="0"/>
    <n v="14.99"/>
    <n v="0"/>
  </r>
  <r>
    <n v="7605"/>
    <s v="Other"/>
    <n v="23"/>
    <x v="1"/>
    <x v="2"/>
    <n v="89"/>
    <n v="58"/>
    <n v="0.4"/>
    <s v="Desktop"/>
    <n v="0"/>
    <n v="1"/>
    <n v="0"/>
    <n v="9.99"/>
    <n v="0"/>
  </r>
  <r>
    <n v="7606"/>
    <s v="Female"/>
    <n v="45"/>
    <x v="3"/>
    <x v="3"/>
    <n v="11"/>
    <n v="16"/>
    <n v="0.57999999999999996"/>
    <s v="Mobile"/>
    <n v="0"/>
    <n v="1"/>
    <n v="0"/>
    <n v="4.99"/>
    <n v="0"/>
  </r>
  <r>
    <n v="7607"/>
    <s v="Male"/>
    <n v="49"/>
    <x v="6"/>
    <x v="1"/>
    <n v="163"/>
    <n v="54"/>
    <n v="0.56999999999999995"/>
    <s v="Desktop"/>
    <n v="0"/>
    <n v="1"/>
    <n v="0"/>
    <n v="14.99"/>
    <n v="0"/>
  </r>
  <r>
    <n v="7608"/>
    <s v="Other"/>
    <n v="53"/>
    <x v="1"/>
    <x v="3"/>
    <n v="129"/>
    <n v="54"/>
    <n v="0.12"/>
    <s v="Desktop"/>
    <n v="0"/>
    <n v="1"/>
    <n v="0"/>
    <n v="4.99"/>
    <n v="0"/>
  </r>
  <r>
    <n v="7609"/>
    <s v="Male"/>
    <n v="20"/>
    <x v="6"/>
    <x v="3"/>
    <n v="144"/>
    <n v="62"/>
    <n v="0.19"/>
    <s v="Desktop"/>
    <n v="0"/>
    <n v="1"/>
    <n v="1"/>
    <n v="4.99"/>
    <n v="4.99"/>
  </r>
  <r>
    <n v="7610"/>
    <s v="Female"/>
    <n v="20"/>
    <x v="3"/>
    <x v="0"/>
    <n v="119"/>
    <n v="69"/>
    <n v="0.21"/>
    <s v="Mobile"/>
    <n v="38"/>
    <n v="0"/>
    <n v="1"/>
    <n v="0"/>
    <n v="0"/>
  </r>
  <r>
    <n v="7611"/>
    <s v="Other"/>
    <n v="53"/>
    <x v="5"/>
    <x v="1"/>
    <n v="106"/>
    <n v="90"/>
    <n v="0.32"/>
    <s v="Mobile"/>
    <n v="0"/>
    <n v="1"/>
    <n v="0"/>
    <n v="14.99"/>
    <n v="0"/>
  </r>
  <r>
    <n v="7612"/>
    <s v="Female"/>
    <n v="51"/>
    <x v="4"/>
    <x v="2"/>
    <n v="46"/>
    <n v="23"/>
    <n v="0.09"/>
    <s v="Desktop"/>
    <n v="0"/>
    <n v="1"/>
    <n v="0"/>
    <n v="9.99"/>
    <n v="0"/>
  </r>
  <r>
    <n v="7613"/>
    <s v="Other"/>
    <n v="35"/>
    <x v="0"/>
    <x v="2"/>
    <n v="243"/>
    <n v="65"/>
    <n v="0.55000000000000004"/>
    <s v="Mobile"/>
    <n v="0"/>
    <n v="1"/>
    <n v="0"/>
    <n v="9.99"/>
    <n v="0"/>
  </r>
  <r>
    <n v="7614"/>
    <s v="Female"/>
    <n v="46"/>
    <x v="3"/>
    <x v="0"/>
    <n v="268"/>
    <n v="45"/>
    <n v="0.19"/>
    <s v="Mobile"/>
    <n v="6"/>
    <n v="0"/>
    <n v="0"/>
    <n v="0"/>
    <n v="0"/>
  </r>
  <r>
    <n v="7615"/>
    <s v="Other"/>
    <n v="56"/>
    <x v="7"/>
    <x v="2"/>
    <n v="210"/>
    <n v="2"/>
    <n v="0.52"/>
    <s v="Desktop"/>
    <n v="0"/>
    <n v="1"/>
    <n v="0"/>
    <n v="9.99"/>
    <n v="0"/>
  </r>
  <r>
    <n v="7616"/>
    <s v="Other"/>
    <n v="17"/>
    <x v="0"/>
    <x v="0"/>
    <n v="179"/>
    <n v="92"/>
    <n v="0.53"/>
    <s v="Web"/>
    <n v="6"/>
    <n v="0"/>
    <n v="0"/>
    <n v="0"/>
    <n v="0"/>
  </r>
  <r>
    <n v="7617"/>
    <s v="Other"/>
    <n v="28"/>
    <x v="7"/>
    <x v="3"/>
    <n v="173"/>
    <n v="31"/>
    <n v="0.43"/>
    <s v="Desktop"/>
    <n v="0"/>
    <n v="1"/>
    <n v="0"/>
    <n v="4.99"/>
    <n v="0"/>
  </r>
  <r>
    <n v="7618"/>
    <s v="Other"/>
    <n v="34"/>
    <x v="6"/>
    <x v="2"/>
    <n v="292"/>
    <n v="36"/>
    <n v="0.32"/>
    <s v="Desktop"/>
    <n v="0"/>
    <n v="1"/>
    <n v="0"/>
    <n v="9.99"/>
    <n v="0"/>
  </r>
  <r>
    <n v="7619"/>
    <s v="Female"/>
    <n v="57"/>
    <x v="7"/>
    <x v="2"/>
    <n v="147"/>
    <n v="74"/>
    <n v="0.56999999999999995"/>
    <s v="Web"/>
    <n v="0"/>
    <n v="1"/>
    <n v="1"/>
    <n v="9.99"/>
    <n v="9.99"/>
  </r>
  <r>
    <n v="7620"/>
    <s v="Male"/>
    <n v="29"/>
    <x v="3"/>
    <x v="2"/>
    <n v="194"/>
    <n v="38"/>
    <n v="0.47"/>
    <s v="Web"/>
    <n v="0"/>
    <n v="1"/>
    <n v="0"/>
    <n v="9.99"/>
    <n v="0"/>
  </r>
  <r>
    <n v="7621"/>
    <s v="Other"/>
    <n v="48"/>
    <x v="3"/>
    <x v="0"/>
    <n v="287"/>
    <n v="44"/>
    <n v="7.0000000000000007E-2"/>
    <s v="Web"/>
    <n v="10"/>
    <n v="0"/>
    <n v="0"/>
    <n v="0"/>
    <n v="0"/>
  </r>
  <r>
    <n v="7622"/>
    <s v="Female"/>
    <n v="39"/>
    <x v="2"/>
    <x v="3"/>
    <n v="112"/>
    <n v="25"/>
    <n v="0.36"/>
    <s v="Mobile"/>
    <n v="0"/>
    <n v="1"/>
    <n v="0"/>
    <n v="4.99"/>
    <n v="0"/>
  </r>
  <r>
    <n v="7623"/>
    <s v="Female"/>
    <n v="49"/>
    <x v="6"/>
    <x v="0"/>
    <n v="40"/>
    <n v="64"/>
    <n v="0.38"/>
    <s v="Desktop"/>
    <n v="12"/>
    <n v="0"/>
    <n v="1"/>
    <n v="0"/>
    <n v="0"/>
  </r>
  <r>
    <n v="7624"/>
    <s v="Female"/>
    <n v="50"/>
    <x v="3"/>
    <x v="2"/>
    <n v="199"/>
    <n v="26"/>
    <n v="0.28999999999999998"/>
    <s v="Desktop"/>
    <n v="0"/>
    <n v="1"/>
    <n v="0"/>
    <n v="9.99"/>
    <n v="0"/>
  </r>
  <r>
    <n v="7625"/>
    <s v="Other"/>
    <n v="18"/>
    <x v="3"/>
    <x v="1"/>
    <n v="198"/>
    <n v="31"/>
    <n v="0.44"/>
    <s v="Desktop"/>
    <n v="0"/>
    <n v="1"/>
    <n v="0"/>
    <n v="14.99"/>
    <n v="0"/>
  </r>
  <r>
    <n v="7626"/>
    <s v="Female"/>
    <n v="43"/>
    <x v="7"/>
    <x v="1"/>
    <n v="77"/>
    <n v="78"/>
    <n v="0.21"/>
    <s v="Mobile"/>
    <n v="0"/>
    <n v="1"/>
    <n v="1"/>
    <n v="14.99"/>
    <n v="14.99"/>
  </r>
  <r>
    <n v="7627"/>
    <s v="Female"/>
    <n v="57"/>
    <x v="6"/>
    <x v="1"/>
    <n v="133"/>
    <n v="77"/>
    <n v="0.17"/>
    <s v="Web"/>
    <n v="0"/>
    <n v="1"/>
    <n v="0"/>
    <n v="14.99"/>
    <n v="0"/>
  </r>
  <r>
    <n v="7628"/>
    <s v="Male"/>
    <n v="58"/>
    <x v="2"/>
    <x v="0"/>
    <n v="65"/>
    <n v="7"/>
    <n v="0.32"/>
    <s v="Desktop"/>
    <n v="9"/>
    <n v="0"/>
    <n v="0"/>
    <n v="0"/>
    <n v="0"/>
  </r>
  <r>
    <n v="7629"/>
    <s v="Female"/>
    <n v="52"/>
    <x v="1"/>
    <x v="3"/>
    <n v="115"/>
    <n v="70"/>
    <n v="0.25"/>
    <s v="Desktop"/>
    <n v="0"/>
    <n v="1"/>
    <n v="0"/>
    <n v="4.99"/>
    <n v="0"/>
  </r>
  <r>
    <n v="7630"/>
    <s v="Other"/>
    <n v="39"/>
    <x v="5"/>
    <x v="3"/>
    <n v="62"/>
    <n v="28"/>
    <n v="0.56000000000000005"/>
    <s v="Mobile"/>
    <n v="0"/>
    <n v="1"/>
    <n v="0"/>
    <n v="4.99"/>
    <n v="0"/>
  </r>
  <r>
    <n v="7631"/>
    <s v="Female"/>
    <n v="50"/>
    <x v="6"/>
    <x v="0"/>
    <n v="281"/>
    <n v="5"/>
    <n v="0.21"/>
    <s v="Mobile"/>
    <n v="24"/>
    <n v="0"/>
    <n v="0"/>
    <n v="0"/>
    <n v="0"/>
  </r>
  <r>
    <n v="7632"/>
    <s v="Other"/>
    <n v="39"/>
    <x v="2"/>
    <x v="3"/>
    <n v="65"/>
    <n v="3"/>
    <n v="0.28000000000000003"/>
    <s v="Mobile"/>
    <n v="0"/>
    <n v="1"/>
    <n v="0"/>
    <n v="4.99"/>
    <n v="0"/>
  </r>
  <r>
    <n v="7633"/>
    <s v="Male"/>
    <n v="29"/>
    <x v="7"/>
    <x v="0"/>
    <n v="281"/>
    <n v="22"/>
    <n v="0.24"/>
    <s v="Desktop"/>
    <n v="8"/>
    <n v="0"/>
    <n v="0"/>
    <n v="0"/>
    <n v="0"/>
  </r>
  <r>
    <n v="7634"/>
    <s v="Male"/>
    <n v="40"/>
    <x v="7"/>
    <x v="1"/>
    <n v="249"/>
    <n v="95"/>
    <n v="0.35"/>
    <s v="Web"/>
    <n v="0"/>
    <n v="1"/>
    <n v="1"/>
    <n v="14.99"/>
    <n v="14.99"/>
  </r>
  <r>
    <n v="7635"/>
    <s v="Other"/>
    <n v="16"/>
    <x v="2"/>
    <x v="2"/>
    <n v="117"/>
    <n v="62"/>
    <n v="0.05"/>
    <s v="Desktop"/>
    <n v="0"/>
    <n v="1"/>
    <n v="0"/>
    <n v="9.99"/>
    <n v="0"/>
  </r>
  <r>
    <n v="7636"/>
    <s v="Male"/>
    <n v="19"/>
    <x v="0"/>
    <x v="3"/>
    <n v="244"/>
    <n v="7"/>
    <n v="0.22"/>
    <s v="Mobile"/>
    <n v="0"/>
    <n v="1"/>
    <n v="1"/>
    <n v="4.99"/>
    <n v="4.99"/>
  </r>
  <r>
    <n v="7637"/>
    <s v="Female"/>
    <n v="32"/>
    <x v="4"/>
    <x v="2"/>
    <n v="119"/>
    <n v="3"/>
    <n v="0.42"/>
    <s v="Web"/>
    <n v="0"/>
    <n v="1"/>
    <n v="0"/>
    <n v="9.99"/>
    <n v="0"/>
  </r>
  <r>
    <n v="7638"/>
    <s v="Other"/>
    <n v="51"/>
    <x v="1"/>
    <x v="1"/>
    <n v="32"/>
    <n v="12"/>
    <n v="0.57999999999999996"/>
    <s v="Mobile"/>
    <n v="0"/>
    <n v="1"/>
    <n v="0"/>
    <n v="14.99"/>
    <n v="0"/>
  </r>
  <r>
    <n v="7639"/>
    <s v="Male"/>
    <n v="18"/>
    <x v="5"/>
    <x v="2"/>
    <n v="183"/>
    <n v="11"/>
    <n v="0.32"/>
    <s v="Desktop"/>
    <n v="0"/>
    <n v="1"/>
    <n v="0"/>
    <n v="9.99"/>
    <n v="0"/>
  </r>
  <r>
    <n v="7640"/>
    <s v="Male"/>
    <n v="17"/>
    <x v="6"/>
    <x v="0"/>
    <n v="57"/>
    <n v="78"/>
    <n v="0.56999999999999995"/>
    <s v="Mobile"/>
    <n v="21"/>
    <n v="0"/>
    <n v="0"/>
    <n v="0"/>
    <n v="0"/>
  </r>
  <r>
    <n v="7641"/>
    <s v="Male"/>
    <n v="55"/>
    <x v="0"/>
    <x v="3"/>
    <n v="268"/>
    <n v="67"/>
    <n v="0.22"/>
    <s v="Mobile"/>
    <n v="0"/>
    <n v="1"/>
    <n v="1"/>
    <n v="4.99"/>
    <n v="4.99"/>
  </r>
  <r>
    <n v="7642"/>
    <s v="Male"/>
    <n v="46"/>
    <x v="4"/>
    <x v="0"/>
    <n v="257"/>
    <n v="32"/>
    <n v="0.1"/>
    <s v="Desktop"/>
    <n v="44"/>
    <n v="0"/>
    <n v="0"/>
    <n v="0"/>
    <n v="0"/>
  </r>
  <r>
    <n v="7643"/>
    <s v="Male"/>
    <n v="21"/>
    <x v="1"/>
    <x v="0"/>
    <n v="146"/>
    <n v="46"/>
    <n v="0.25"/>
    <s v="Web"/>
    <n v="32"/>
    <n v="0"/>
    <n v="0"/>
    <n v="0"/>
    <n v="0"/>
  </r>
  <r>
    <n v="7644"/>
    <s v="Other"/>
    <n v="36"/>
    <x v="6"/>
    <x v="2"/>
    <n v="88"/>
    <n v="47"/>
    <n v="0.14000000000000001"/>
    <s v="Mobile"/>
    <n v="0"/>
    <n v="1"/>
    <n v="1"/>
    <n v="9.99"/>
    <n v="9.99"/>
  </r>
  <r>
    <n v="7645"/>
    <s v="Female"/>
    <n v="56"/>
    <x v="3"/>
    <x v="2"/>
    <n v="30"/>
    <n v="86"/>
    <n v="0.05"/>
    <s v="Web"/>
    <n v="0"/>
    <n v="1"/>
    <n v="1"/>
    <n v="9.99"/>
    <n v="9.99"/>
  </r>
  <r>
    <n v="7646"/>
    <s v="Other"/>
    <n v="41"/>
    <x v="1"/>
    <x v="3"/>
    <n v="99"/>
    <n v="58"/>
    <n v="0.59"/>
    <s v="Mobile"/>
    <n v="0"/>
    <n v="1"/>
    <n v="0"/>
    <n v="4.99"/>
    <n v="0"/>
  </r>
  <r>
    <n v="7647"/>
    <s v="Other"/>
    <n v="52"/>
    <x v="5"/>
    <x v="2"/>
    <n v="58"/>
    <n v="11"/>
    <n v="0.55000000000000004"/>
    <s v="Web"/>
    <n v="0"/>
    <n v="1"/>
    <n v="0"/>
    <n v="9.99"/>
    <n v="0"/>
  </r>
  <r>
    <n v="7648"/>
    <s v="Female"/>
    <n v="43"/>
    <x v="6"/>
    <x v="0"/>
    <n v="53"/>
    <n v="13"/>
    <n v="0.38"/>
    <s v="Mobile"/>
    <n v="30"/>
    <n v="0"/>
    <n v="0"/>
    <n v="0"/>
    <n v="0"/>
  </r>
  <r>
    <n v="7649"/>
    <s v="Male"/>
    <n v="33"/>
    <x v="7"/>
    <x v="1"/>
    <n v="204"/>
    <n v="77"/>
    <n v="0.08"/>
    <s v="Web"/>
    <n v="0"/>
    <n v="1"/>
    <n v="0"/>
    <n v="14.99"/>
    <n v="0"/>
  </r>
  <r>
    <n v="7650"/>
    <s v="Other"/>
    <n v="49"/>
    <x v="2"/>
    <x v="1"/>
    <n v="165"/>
    <n v="16"/>
    <n v="0.33"/>
    <s v="Mobile"/>
    <n v="0"/>
    <n v="1"/>
    <n v="1"/>
    <n v="14.99"/>
    <n v="14.99"/>
  </r>
  <r>
    <n v="7651"/>
    <s v="Female"/>
    <n v="41"/>
    <x v="4"/>
    <x v="0"/>
    <n v="149"/>
    <n v="66"/>
    <n v="0.52"/>
    <s v="Mobile"/>
    <n v="35"/>
    <n v="0"/>
    <n v="1"/>
    <n v="0"/>
    <n v="0"/>
  </r>
  <r>
    <n v="7652"/>
    <s v="Male"/>
    <n v="35"/>
    <x v="5"/>
    <x v="1"/>
    <n v="140"/>
    <n v="62"/>
    <n v="0.14000000000000001"/>
    <s v="Web"/>
    <n v="0"/>
    <n v="1"/>
    <n v="0"/>
    <n v="14.99"/>
    <n v="0"/>
  </r>
  <r>
    <n v="7653"/>
    <s v="Female"/>
    <n v="20"/>
    <x v="7"/>
    <x v="0"/>
    <n v="224"/>
    <n v="34"/>
    <n v="0.08"/>
    <s v="Mobile"/>
    <n v="19"/>
    <n v="0"/>
    <n v="1"/>
    <n v="0"/>
    <n v="0"/>
  </r>
  <r>
    <n v="7654"/>
    <s v="Male"/>
    <n v="46"/>
    <x v="2"/>
    <x v="3"/>
    <n v="255"/>
    <n v="21"/>
    <n v="0.5"/>
    <s v="Mobile"/>
    <n v="0"/>
    <n v="1"/>
    <n v="0"/>
    <n v="4.99"/>
    <n v="0"/>
  </r>
  <r>
    <n v="7655"/>
    <s v="Male"/>
    <n v="49"/>
    <x v="2"/>
    <x v="3"/>
    <n v="195"/>
    <n v="85"/>
    <n v="0.16"/>
    <s v="Web"/>
    <n v="0"/>
    <n v="1"/>
    <n v="0"/>
    <n v="4.99"/>
    <n v="0"/>
  </r>
  <r>
    <n v="7656"/>
    <s v="Other"/>
    <n v="59"/>
    <x v="4"/>
    <x v="1"/>
    <n v="63"/>
    <n v="41"/>
    <n v="0.25"/>
    <s v="Web"/>
    <n v="0"/>
    <n v="1"/>
    <n v="1"/>
    <n v="14.99"/>
    <n v="14.99"/>
  </r>
  <r>
    <n v="7657"/>
    <s v="Male"/>
    <n v="26"/>
    <x v="3"/>
    <x v="3"/>
    <n v="193"/>
    <n v="53"/>
    <n v="0.38"/>
    <s v="Web"/>
    <n v="0"/>
    <n v="1"/>
    <n v="0"/>
    <n v="4.99"/>
    <n v="0"/>
  </r>
  <r>
    <n v="7658"/>
    <s v="Male"/>
    <n v="35"/>
    <x v="6"/>
    <x v="2"/>
    <n v="234"/>
    <n v="13"/>
    <n v="0.04"/>
    <s v="Web"/>
    <n v="0"/>
    <n v="1"/>
    <n v="1"/>
    <n v="9.99"/>
    <n v="9.99"/>
  </r>
  <r>
    <n v="7659"/>
    <s v="Female"/>
    <n v="52"/>
    <x v="4"/>
    <x v="3"/>
    <n v="49"/>
    <n v="15"/>
    <n v="0.23"/>
    <s v="Web"/>
    <n v="0"/>
    <n v="1"/>
    <n v="1"/>
    <n v="4.99"/>
    <n v="4.99"/>
  </r>
  <r>
    <n v="7660"/>
    <s v="Female"/>
    <n v="41"/>
    <x v="0"/>
    <x v="3"/>
    <n v="125"/>
    <n v="24"/>
    <n v="0.6"/>
    <s v="Desktop"/>
    <n v="0"/>
    <n v="1"/>
    <n v="0"/>
    <n v="4.99"/>
    <n v="0"/>
  </r>
  <r>
    <n v="7661"/>
    <s v="Female"/>
    <n v="41"/>
    <x v="0"/>
    <x v="2"/>
    <n v="15"/>
    <n v="95"/>
    <n v="0.52"/>
    <s v="Mobile"/>
    <n v="0"/>
    <n v="1"/>
    <n v="0"/>
    <n v="9.99"/>
    <n v="0"/>
  </r>
  <r>
    <n v="7662"/>
    <s v="Male"/>
    <n v="51"/>
    <x v="5"/>
    <x v="1"/>
    <n v="92"/>
    <n v="54"/>
    <n v="0.08"/>
    <s v="Web"/>
    <n v="0"/>
    <n v="1"/>
    <n v="1"/>
    <n v="14.99"/>
    <n v="14.99"/>
  </r>
  <r>
    <n v="7663"/>
    <s v="Female"/>
    <n v="58"/>
    <x v="5"/>
    <x v="3"/>
    <n v="143"/>
    <n v="30"/>
    <n v="0.41"/>
    <s v="Desktop"/>
    <n v="0"/>
    <n v="1"/>
    <n v="0"/>
    <n v="4.99"/>
    <n v="0"/>
  </r>
  <r>
    <n v="7664"/>
    <s v="Male"/>
    <n v="51"/>
    <x v="6"/>
    <x v="3"/>
    <n v="127"/>
    <n v="52"/>
    <n v="0.3"/>
    <s v="Desktop"/>
    <n v="0"/>
    <n v="1"/>
    <n v="0"/>
    <n v="4.99"/>
    <n v="0"/>
  </r>
  <r>
    <n v="7665"/>
    <s v="Other"/>
    <n v="55"/>
    <x v="3"/>
    <x v="2"/>
    <n v="295"/>
    <n v="55"/>
    <n v="0.54"/>
    <s v="Mobile"/>
    <n v="0"/>
    <n v="1"/>
    <n v="0"/>
    <n v="9.99"/>
    <n v="0"/>
  </r>
  <r>
    <n v="7666"/>
    <s v="Female"/>
    <n v="59"/>
    <x v="0"/>
    <x v="2"/>
    <n v="19"/>
    <n v="97"/>
    <n v="0.3"/>
    <s v="Desktop"/>
    <n v="0"/>
    <n v="1"/>
    <n v="1"/>
    <n v="9.99"/>
    <n v="9.99"/>
  </r>
  <r>
    <n v="7667"/>
    <s v="Female"/>
    <n v="23"/>
    <x v="4"/>
    <x v="3"/>
    <n v="204"/>
    <n v="3"/>
    <n v="0.15"/>
    <s v="Web"/>
    <n v="0"/>
    <n v="1"/>
    <n v="0"/>
    <n v="4.99"/>
    <n v="0"/>
  </r>
  <r>
    <n v="7668"/>
    <s v="Other"/>
    <n v="20"/>
    <x v="6"/>
    <x v="1"/>
    <n v="231"/>
    <n v="84"/>
    <n v="0.46"/>
    <s v="Desktop"/>
    <n v="0"/>
    <n v="1"/>
    <n v="0"/>
    <n v="14.99"/>
    <n v="0"/>
  </r>
  <r>
    <n v="7669"/>
    <s v="Male"/>
    <n v="53"/>
    <x v="2"/>
    <x v="3"/>
    <n v="28"/>
    <n v="87"/>
    <n v="0.24"/>
    <s v="Mobile"/>
    <n v="0"/>
    <n v="1"/>
    <n v="0"/>
    <n v="4.99"/>
    <n v="0"/>
  </r>
  <r>
    <n v="7670"/>
    <s v="Female"/>
    <n v="54"/>
    <x v="2"/>
    <x v="3"/>
    <n v="79"/>
    <n v="76"/>
    <n v="0.42"/>
    <s v="Web"/>
    <n v="0"/>
    <n v="1"/>
    <n v="0"/>
    <n v="4.99"/>
    <n v="0"/>
  </r>
  <r>
    <n v="7671"/>
    <s v="Female"/>
    <n v="59"/>
    <x v="5"/>
    <x v="0"/>
    <n v="57"/>
    <n v="33"/>
    <n v="0.48"/>
    <s v="Web"/>
    <n v="12"/>
    <n v="0"/>
    <n v="0"/>
    <n v="0"/>
    <n v="0"/>
  </r>
  <r>
    <n v="7672"/>
    <s v="Female"/>
    <n v="56"/>
    <x v="0"/>
    <x v="2"/>
    <n v="292"/>
    <n v="57"/>
    <n v="0.28999999999999998"/>
    <s v="Desktop"/>
    <n v="0"/>
    <n v="1"/>
    <n v="0"/>
    <n v="9.99"/>
    <n v="0"/>
  </r>
  <r>
    <n v="7673"/>
    <s v="Other"/>
    <n v="41"/>
    <x v="0"/>
    <x v="2"/>
    <n v="241"/>
    <n v="13"/>
    <n v="0.13"/>
    <s v="Web"/>
    <n v="0"/>
    <n v="1"/>
    <n v="1"/>
    <n v="9.99"/>
    <n v="9.99"/>
  </r>
  <r>
    <n v="7674"/>
    <s v="Female"/>
    <n v="43"/>
    <x v="5"/>
    <x v="1"/>
    <n v="195"/>
    <n v="69"/>
    <n v="0.55000000000000004"/>
    <s v="Web"/>
    <n v="0"/>
    <n v="1"/>
    <n v="1"/>
    <n v="14.99"/>
    <n v="14.99"/>
  </r>
  <r>
    <n v="7675"/>
    <s v="Female"/>
    <n v="55"/>
    <x v="2"/>
    <x v="0"/>
    <n v="127"/>
    <n v="14"/>
    <n v="0.08"/>
    <s v="Web"/>
    <n v="16"/>
    <n v="0"/>
    <n v="0"/>
    <n v="0"/>
    <n v="0"/>
  </r>
  <r>
    <n v="7676"/>
    <s v="Male"/>
    <n v="18"/>
    <x v="6"/>
    <x v="2"/>
    <n v="182"/>
    <n v="35"/>
    <n v="0.35"/>
    <s v="Mobile"/>
    <n v="0"/>
    <n v="1"/>
    <n v="0"/>
    <n v="9.99"/>
    <n v="0"/>
  </r>
  <r>
    <n v="7677"/>
    <s v="Male"/>
    <n v="53"/>
    <x v="4"/>
    <x v="3"/>
    <n v="129"/>
    <n v="40"/>
    <n v="0.27"/>
    <s v="Desktop"/>
    <n v="0"/>
    <n v="1"/>
    <n v="0"/>
    <n v="4.99"/>
    <n v="0"/>
  </r>
  <r>
    <n v="7678"/>
    <s v="Male"/>
    <n v="20"/>
    <x v="5"/>
    <x v="1"/>
    <n v="29"/>
    <n v="6"/>
    <n v="0.31"/>
    <s v="Web"/>
    <n v="0"/>
    <n v="1"/>
    <n v="0"/>
    <n v="14.99"/>
    <n v="0"/>
  </r>
  <r>
    <n v="7679"/>
    <s v="Other"/>
    <n v="53"/>
    <x v="7"/>
    <x v="3"/>
    <n v="52"/>
    <n v="18"/>
    <n v="0.53"/>
    <s v="Mobile"/>
    <n v="0"/>
    <n v="1"/>
    <n v="0"/>
    <n v="4.99"/>
    <n v="0"/>
  </r>
  <r>
    <n v="7680"/>
    <s v="Male"/>
    <n v="32"/>
    <x v="5"/>
    <x v="3"/>
    <n v="93"/>
    <n v="3"/>
    <n v="0.22"/>
    <s v="Web"/>
    <n v="0"/>
    <n v="1"/>
    <n v="0"/>
    <n v="4.99"/>
    <n v="0"/>
  </r>
  <r>
    <n v="7681"/>
    <s v="Male"/>
    <n v="49"/>
    <x v="1"/>
    <x v="3"/>
    <n v="71"/>
    <n v="76"/>
    <n v="0.6"/>
    <s v="Desktop"/>
    <n v="0"/>
    <n v="1"/>
    <n v="1"/>
    <n v="4.99"/>
    <n v="4.99"/>
  </r>
  <r>
    <n v="7682"/>
    <s v="Female"/>
    <n v="29"/>
    <x v="0"/>
    <x v="3"/>
    <n v="155"/>
    <n v="22"/>
    <n v="0.49"/>
    <s v="Mobile"/>
    <n v="0"/>
    <n v="1"/>
    <n v="0"/>
    <n v="4.99"/>
    <n v="0"/>
  </r>
  <r>
    <n v="7683"/>
    <s v="Female"/>
    <n v="58"/>
    <x v="5"/>
    <x v="2"/>
    <n v="264"/>
    <n v="80"/>
    <n v="0.28000000000000003"/>
    <s v="Desktop"/>
    <n v="0"/>
    <n v="1"/>
    <n v="0"/>
    <n v="9.99"/>
    <n v="0"/>
  </r>
  <r>
    <n v="7684"/>
    <s v="Male"/>
    <n v="36"/>
    <x v="6"/>
    <x v="1"/>
    <n v="189"/>
    <n v="73"/>
    <n v="0.14000000000000001"/>
    <s v="Desktop"/>
    <n v="0"/>
    <n v="1"/>
    <n v="0"/>
    <n v="14.99"/>
    <n v="0"/>
  </r>
  <r>
    <n v="7685"/>
    <s v="Female"/>
    <n v="48"/>
    <x v="4"/>
    <x v="3"/>
    <n v="105"/>
    <n v="17"/>
    <n v="0.32"/>
    <s v="Desktop"/>
    <n v="0"/>
    <n v="1"/>
    <n v="0"/>
    <n v="4.99"/>
    <n v="0"/>
  </r>
  <r>
    <n v="7686"/>
    <s v="Female"/>
    <n v="26"/>
    <x v="6"/>
    <x v="1"/>
    <n v="106"/>
    <n v="44"/>
    <n v="0.17"/>
    <s v="Mobile"/>
    <n v="0"/>
    <n v="1"/>
    <n v="0"/>
    <n v="14.99"/>
    <n v="0"/>
  </r>
  <r>
    <n v="7687"/>
    <s v="Other"/>
    <n v="55"/>
    <x v="3"/>
    <x v="0"/>
    <n v="47"/>
    <n v="71"/>
    <n v="0.23"/>
    <s v="Desktop"/>
    <n v="25"/>
    <n v="0"/>
    <n v="1"/>
    <n v="0"/>
    <n v="0"/>
  </r>
  <r>
    <n v="7688"/>
    <s v="Male"/>
    <n v="28"/>
    <x v="2"/>
    <x v="1"/>
    <n v="193"/>
    <n v="70"/>
    <n v="0.22"/>
    <s v="Mobile"/>
    <n v="0"/>
    <n v="1"/>
    <n v="0"/>
    <n v="14.99"/>
    <n v="0"/>
  </r>
  <r>
    <n v="7689"/>
    <s v="Male"/>
    <n v="48"/>
    <x v="7"/>
    <x v="1"/>
    <n v="249"/>
    <n v="78"/>
    <n v="0.05"/>
    <s v="Web"/>
    <n v="0"/>
    <n v="1"/>
    <n v="0"/>
    <n v="14.99"/>
    <n v="0"/>
  </r>
  <r>
    <n v="7690"/>
    <s v="Other"/>
    <n v="41"/>
    <x v="4"/>
    <x v="2"/>
    <n v="23"/>
    <n v="77"/>
    <n v="0.02"/>
    <s v="Desktop"/>
    <n v="0"/>
    <n v="1"/>
    <n v="0"/>
    <n v="9.99"/>
    <n v="0"/>
  </r>
  <r>
    <n v="7691"/>
    <s v="Female"/>
    <n v="28"/>
    <x v="6"/>
    <x v="0"/>
    <n v="56"/>
    <n v="58"/>
    <n v="0.31"/>
    <s v="Mobile"/>
    <n v="20"/>
    <n v="0"/>
    <n v="1"/>
    <n v="0"/>
    <n v="0"/>
  </r>
  <r>
    <n v="7692"/>
    <s v="Female"/>
    <n v="30"/>
    <x v="5"/>
    <x v="3"/>
    <n v="135"/>
    <n v="35"/>
    <n v="0.47"/>
    <s v="Desktop"/>
    <n v="0"/>
    <n v="1"/>
    <n v="0"/>
    <n v="4.99"/>
    <n v="0"/>
  </r>
  <r>
    <n v="7693"/>
    <s v="Male"/>
    <n v="37"/>
    <x v="4"/>
    <x v="0"/>
    <n v="51"/>
    <n v="33"/>
    <n v="0.17"/>
    <s v="Web"/>
    <n v="35"/>
    <n v="0"/>
    <n v="1"/>
    <n v="0"/>
    <n v="0"/>
  </r>
  <r>
    <n v="7694"/>
    <s v="Female"/>
    <n v="35"/>
    <x v="3"/>
    <x v="2"/>
    <n v="117"/>
    <n v="57"/>
    <n v="0.22"/>
    <s v="Mobile"/>
    <n v="0"/>
    <n v="1"/>
    <n v="1"/>
    <n v="9.99"/>
    <n v="9.99"/>
  </r>
  <r>
    <n v="7695"/>
    <s v="Other"/>
    <n v="56"/>
    <x v="7"/>
    <x v="2"/>
    <n v="187"/>
    <n v="2"/>
    <n v="0.11"/>
    <s v="Mobile"/>
    <n v="0"/>
    <n v="1"/>
    <n v="0"/>
    <n v="9.99"/>
    <n v="0"/>
  </r>
  <r>
    <n v="7696"/>
    <s v="Male"/>
    <n v="32"/>
    <x v="5"/>
    <x v="2"/>
    <n v="296"/>
    <n v="60"/>
    <n v="0.23"/>
    <s v="Web"/>
    <n v="0"/>
    <n v="1"/>
    <n v="0"/>
    <n v="9.99"/>
    <n v="0"/>
  </r>
  <r>
    <n v="7697"/>
    <s v="Male"/>
    <n v="42"/>
    <x v="7"/>
    <x v="2"/>
    <n v="171"/>
    <n v="12"/>
    <n v="0.28000000000000003"/>
    <s v="Desktop"/>
    <n v="0"/>
    <n v="1"/>
    <n v="0"/>
    <n v="9.99"/>
    <n v="0"/>
  </r>
  <r>
    <n v="7698"/>
    <s v="Other"/>
    <n v="18"/>
    <x v="5"/>
    <x v="1"/>
    <n v="180"/>
    <n v="84"/>
    <n v="0.05"/>
    <s v="Desktop"/>
    <n v="0"/>
    <n v="1"/>
    <n v="0"/>
    <n v="14.99"/>
    <n v="0"/>
  </r>
  <r>
    <n v="7699"/>
    <s v="Female"/>
    <n v="37"/>
    <x v="0"/>
    <x v="0"/>
    <n v="268"/>
    <n v="51"/>
    <n v="0.04"/>
    <s v="Web"/>
    <n v="13"/>
    <n v="0"/>
    <n v="0"/>
    <n v="0"/>
    <n v="0"/>
  </r>
  <r>
    <n v="7700"/>
    <s v="Male"/>
    <n v="33"/>
    <x v="0"/>
    <x v="3"/>
    <n v="57"/>
    <n v="50"/>
    <n v="0.28999999999999998"/>
    <s v="Desktop"/>
    <n v="0"/>
    <n v="1"/>
    <n v="0"/>
    <n v="4.99"/>
    <n v="0"/>
  </r>
  <r>
    <n v="7701"/>
    <s v="Female"/>
    <n v="19"/>
    <x v="4"/>
    <x v="1"/>
    <n v="73"/>
    <n v="18"/>
    <n v="0.54"/>
    <s v="Mobile"/>
    <n v="0"/>
    <n v="1"/>
    <n v="1"/>
    <n v="14.99"/>
    <n v="14.99"/>
  </r>
  <r>
    <n v="7702"/>
    <s v="Other"/>
    <n v="32"/>
    <x v="7"/>
    <x v="2"/>
    <n v="278"/>
    <n v="38"/>
    <n v="0.22"/>
    <s v="Mobile"/>
    <n v="0"/>
    <n v="1"/>
    <n v="0"/>
    <n v="9.99"/>
    <n v="0"/>
  </r>
  <r>
    <n v="7703"/>
    <s v="Other"/>
    <n v="33"/>
    <x v="5"/>
    <x v="0"/>
    <n v="150"/>
    <n v="5"/>
    <n v="0.42"/>
    <s v="Mobile"/>
    <n v="22"/>
    <n v="0"/>
    <n v="0"/>
    <n v="0"/>
    <n v="0"/>
  </r>
  <r>
    <n v="7704"/>
    <s v="Male"/>
    <n v="52"/>
    <x v="4"/>
    <x v="0"/>
    <n v="204"/>
    <n v="23"/>
    <n v="0.35"/>
    <s v="Desktop"/>
    <n v="10"/>
    <n v="0"/>
    <n v="0"/>
    <n v="0"/>
    <n v="0"/>
  </r>
  <r>
    <n v="7705"/>
    <s v="Male"/>
    <n v="32"/>
    <x v="1"/>
    <x v="1"/>
    <n v="63"/>
    <n v="44"/>
    <n v="0.14000000000000001"/>
    <s v="Desktop"/>
    <n v="0"/>
    <n v="1"/>
    <n v="0"/>
    <n v="14.99"/>
    <n v="0"/>
  </r>
  <r>
    <n v="7706"/>
    <s v="Other"/>
    <n v="58"/>
    <x v="4"/>
    <x v="2"/>
    <n v="154"/>
    <n v="33"/>
    <n v="0.45"/>
    <s v="Web"/>
    <n v="0"/>
    <n v="1"/>
    <n v="0"/>
    <n v="9.99"/>
    <n v="0"/>
  </r>
  <r>
    <n v="7707"/>
    <s v="Male"/>
    <n v="54"/>
    <x v="1"/>
    <x v="3"/>
    <n v="293"/>
    <n v="37"/>
    <n v="0.31"/>
    <s v="Desktop"/>
    <n v="0"/>
    <n v="1"/>
    <n v="0"/>
    <n v="4.99"/>
    <n v="0"/>
  </r>
  <r>
    <n v="7708"/>
    <s v="Other"/>
    <n v="35"/>
    <x v="7"/>
    <x v="3"/>
    <n v="144"/>
    <n v="12"/>
    <n v="0.27"/>
    <s v="Web"/>
    <n v="0"/>
    <n v="1"/>
    <n v="0"/>
    <n v="4.99"/>
    <n v="0"/>
  </r>
  <r>
    <n v="7709"/>
    <s v="Male"/>
    <n v="30"/>
    <x v="1"/>
    <x v="2"/>
    <n v="210"/>
    <n v="65"/>
    <n v="0.02"/>
    <s v="Web"/>
    <n v="0"/>
    <n v="1"/>
    <n v="0"/>
    <n v="9.99"/>
    <n v="0"/>
  </r>
  <r>
    <n v="7710"/>
    <s v="Female"/>
    <n v="42"/>
    <x v="6"/>
    <x v="1"/>
    <n v="295"/>
    <n v="4"/>
    <n v="0.04"/>
    <s v="Web"/>
    <n v="0"/>
    <n v="1"/>
    <n v="0"/>
    <n v="14.99"/>
    <n v="0"/>
  </r>
  <r>
    <n v="7711"/>
    <s v="Female"/>
    <n v="55"/>
    <x v="4"/>
    <x v="3"/>
    <n v="172"/>
    <n v="18"/>
    <n v="0.34"/>
    <s v="Desktop"/>
    <n v="0"/>
    <n v="1"/>
    <n v="0"/>
    <n v="4.99"/>
    <n v="0"/>
  </r>
  <r>
    <n v="7712"/>
    <s v="Male"/>
    <n v="25"/>
    <x v="6"/>
    <x v="3"/>
    <n v="230"/>
    <n v="20"/>
    <n v="0.31"/>
    <s v="Mobile"/>
    <n v="0"/>
    <n v="1"/>
    <n v="0"/>
    <n v="4.99"/>
    <n v="0"/>
  </r>
  <r>
    <n v="7713"/>
    <s v="Male"/>
    <n v="42"/>
    <x v="3"/>
    <x v="0"/>
    <n v="159"/>
    <n v="44"/>
    <n v="0.47"/>
    <s v="Web"/>
    <n v="20"/>
    <n v="0"/>
    <n v="0"/>
    <n v="0"/>
    <n v="0"/>
  </r>
  <r>
    <n v="7714"/>
    <s v="Male"/>
    <n v="48"/>
    <x v="5"/>
    <x v="1"/>
    <n v="76"/>
    <n v="26"/>
    <n v="0.02"/>
    <s v="Desktop"/>
    <n v="0"/>
    <n v="1"/>
    <n v="1"/>
    <n v="14.99"/>
    <n v="14.99"/>
  </r>
  <r>
    <n v="7715"/>
    <s v="Other"/>
    <n v="39"/>
    <x v="0"/>
    <x v="2"/>
    <n v="183"/>
    <n v="28"/>
    <n v="0.34"/>
    <s v="Desktop"/>
    <n v="0"/>
    <n v="1"/>
    <n v="0"/>
    <n v="9.99"/>
    <n v="0"/>
  </r>
  <r>
    <n v="7716"/>
    <s v="Other"/>
    <n v="26"/>
    <x v="4"/>
    <x v="2"/>
    <n v="198"/>
    <n v="59"/>
    <n v="0.05"/>
    <s v="Web"/>
    <n v="0"/>
    <n v="1"/>
    <n v="1"/>
    <n v="9.99"/>
    <n v="9.99"/>
  </r>
  <r>
    <n v="7717"/>
    <s v="Male"/>
    <n v="17"/>
    <x v="1"/>
    <x v="3"/>
    <n v="128"/>
    <n v="34"/>
    <n v="0.06"/>
    <s v="Mobile"/>
    <n v="0"/>
    <n v="1"/>
    <n v="1"/>
    <n v="4.99"/>
    <n v="4.99"/>
  </r>
  <r>
    <n v="7718"/>
    <s v="Female"/>
    <n v="41"/>
    <x v="4"/>
    <x v="0"/>
    <n v="55"/>
    <n v="12"/>
    <n v="0.2"/>
    <s v="Desktop"/>
    <n v="17"/>
    <n v="0"/>
    <n v="0"/>
    <n v="0"/>
    <n v="0"/>
  </r>
  <r>
    <n v="7719"/>
    <s v="Male"/>
    <n v="19"/>
    <x v="3"/>
    <x v="0"/>
    <n v="147"/>
    <n v="58"/>
    <n v="0.21"/>
    <s v="Web"/>
    <n v="22"/>
    <n v="0"/>
    <n v="0"/>
    <n v="0"/>
    <n v="0"/>
  </r>
  <r>
    <n v="7720"/>
    <s v="Female"/>
    <n v="26"/>
    <x v="3"/>
    <x v="3"/>
    <n v="11"/>
    <n v="57"/>
    <n v="0.57999999999999996"/>
    <s v="Mobile"/>
    <n v="0"/>
    <n v="1"/>
    <n v="0"/>
    <n v="4.99"/>
    <n v="0"/>
  </r>
  <r>
    <n v="7721"/>
    <s v="Female"/>
    <n v="26"/>
    <x v="6"/>
    <x v="2"/>
    <n v="17"/>
    <n v="26"/>
    <n v="0.25"/>
    <s v="Mobile"/>
    <n v="0"/>
    <n v="1"/>
    <n v="0"/>
    <n v="9.99"/>
    <n v="0"/>
  </r>
  <r>
    <n v="7722"/>
    <s v="Female"/>
    <n v="45"/>
    <x v="0"/>
    <x v="2"/>
    <n v="26"/>
    <n v="28"/>
    <n v="0.41"/>
    <s v="Mobile"/>
    <n v="0"/>
    <n v="1"/>
    <n v="0"/>
    <n v="9.99"/>
    <n v="0"/>
  </r>
  <r>
    <n v="7723"/>
    <s v="Male"/>
    <n v="46"/>
    <x v="5"/>
    <x v="1"/>
    <n v="202"/>
    <n v="13"/>
    <n v="0.45"/>
    <s v="Desktop"/>
    <n v="0"/>
    <n v="1"/>
    <n v="0"/>
    <n v="14.99"/>
    <n v="0"/>
  </r>
  <r>
    <n v="7724"/>
    <s v="Other"/>
    <n v="29"/>
    <x v="6"/>
    <x v="1"/>
    <n v="196"/>
    <n v="81"/>
    <n v="0.16"/>
    <s v="Mobile"/>
    <n v="0"/>
    <n v="1"/>
    <n v="0"/>
    <n v="14.99"/>
    <n v="0"/>
  </r>
  <r>
    <n v="7725"/>
    <s v="Male"/>
    <n v="59"/>
    <x v="4"/>
    <x v="0"/>
    <n v="142"/>
    <n v="29"/>
    <n v="0.05"/>
    <s v="Desktop"/>
    <n v="11"/>
    <n v="0"/>
    <n v="0"/>
    <n v="0"/>
    <n v="0"/>
  </r>
  <r>
    <n v="7726"/>
    <s v="Male"/>
    <n v="50"/>
    <x v="3"/>
    <x v="2"/>
    <n v="226"/>
    <n v="38"/>
    <n v="0.28000000000000003"/>
    <s v="Mobile"/>
    <n v="0"/>
    <n v="1"/>
    <n v="0"/>
    <n v="9.99"/>
    <n v="0"/>
  </r>
  <r>
    <n v="7727"/>
    <s v="Female"/>
    <n v="19"/>
    <x v="1"/>
    <x v="3"/>
    <n v="255"/>
    <n v="98"/>
    <n v="0.5"/>
    <s v="Mobile"/>
    <n v="0"/>
    <n v="1"/>
    <n v="0"/>
    <n v="4.99"/>
    <n v="0"/>
  </r>
  <r>
    <n v="7728"/>
    <s v="Other"/>
    <n v="36"/>
    <x v="2"/>
    <x v="0"/>
    <n v="228"/>
    <n v="44"/>
    <n v="0.02"/>
    <s v="Mobile"/>
    <n v="31"/>
    <n v="0"/>
    <n v="0"/>
    <n v="0"/>
    <n v="0"/>
  </r>
  <r>
    <n v="7729"/>
    <s v="Male"/>
    <n v="22"/>
    <x v="6"/>
    <x v="0"/>
    <n v="100"/>
    <n v="84"/>
    <n v="0.02"/>
    <s v="Mobile"/>
    <n v="26"/>
    <n v="0"/>
    <n v="0"/>
    <n v="0"/>
    <n v="0"/>
  </r>
  <r>
    <n v="7730"/>
    <s v="Other"/>
    <n v="55"/>
    <x v="5"/>
    <x v="3"/>
    <n v="298"/>
    <n v="50"/>
    <n v="0.11"/>
    <s v="Desktop"/>
    <n v="0"/>
    <n v="1"/>
    <n v="0"/>
    <n v="4.99"/>
    <n v="0"/>
  </r>
  <r>
    <n v="7731"/>
    <s v="Other"/>
    <n v="26"/>
    <x v="7"/>
    <x v="1"/>
    <n v="167"/>
    <n v="82"/>
    <n v="0.14000000000000001"/>
    <s v="Web"/>
    <n v="0"/>
    <n v="1"/>
    <n v="0"/>
    <n v="14.99"/>
    <n v="0"/>
  </r>
  <r>
    <n v="7732"/>
    <s v="Female"/>
    <n v="19"/>
    <x v="3"/>
    <x v="1"/>
    <n v="51"/>
    <n v="24"/>
    <n v="0.08"/>
    <s v="Web"/>
    <n v="0"/>
    <n v="1"/>
    <n v="0"/>
    <n v="14.99"/>
    <n v="0"/>
  </r>
  <r>
    <n v="7733"/>
    <s v="Female"/>
    <n v="20"/>
    <x v="5"/>
    <x v="0"/>
    <n v="265"/>
    <n v="40"/>
    <n v="0.56000000000000005"/>
    <s v="Mobile"/>
    <n v="11"/>
    <n v="0"/>
    <n v="0"/>
    <n v="0"/>
    <n v="0"/>
  </r>
  <r>
    <n v="7734"/>
    <s v="Other"/>
    <n v="55"/>
    <x v="7"/>
    <x v="3"/>
    <n v="127"/>
    <n v="65"/>
    <n v="0.06"/>
    <s v="Desktop"/>
    <n v="0"/>
    <n v="1"/>
    <n v="1"/>
    <n v="4.99"/>
    <n v="4.99"/>
  </r>
  <r>
    <n v="7735"/>
    <s v="Male"/>
    <n v="37"/>
    <x v="6"/>
    <x v="1"/>
    <n v="211"/>
    <n v="73"/>
    <n v="0.45"/>
    <s v="Desktop"/>
    <n v="0"/>
    <n v="1"/>
    <n v="0"/>
    <n v="14.99"/>
    <n v="0"/>
  </r>
  <r>
    <n v="7736"/>
    <s v="Female"/>
    <n v="52"/>
    <x v="0"/>
    <x v="3"/>
    <n v="46"/>
    <n v="65"/>
    <n v="0.33"/>
    <s v="Mobile"/>
    <n v="0"/>
    <n v="1"/>
    <n v="1"/>
    <n v="4.99"/>
    <n v="4.99"/>
  </r>
  <r>
    <n v="7737"/>
    <s v="Other"/>
    <n v="20"/>
    <x v="4"/>
    <x v="1"/>
    <n v="99"/>
    <n v="9"/>
    <n v="0.35"/>
    <s v="Web"/>
    <n v="0"/>
    <n v="1"/>
    <n v="0"/>
    <n v="14.99"/>
    <n v="0"/>
  </r>
  <r>
    <n v="7738"/>
    <s v="Male"/>
    <n v="51"/>
    <x v="6"/>
    <x v="1"/>
    <n v="181"/>
    <n v="42"/>
    <n v="0.57999999999999996"/>
    <s v="Web"/>
    <n v="0"/>
    <n v="1"/>
    <n v="0"/>
    <n v="14.99"/>
    <n v="0"/>
  </r>
  <r>
    <n v="7739"/>
    <s v="Female"/>
    <n v="22"/>
    <x v="7"/>
    <x v="2"/>
    <n v="170"/>
    <n v="12"/>
    <n v="0.52"/>
    <s v="Mobile"/>
    <n v="0"/>
    <n v="1"/>
    <n v="0"/>
    <n v="9.99"/>
    <n v="0"/>
  </r>
  <r>
    <n v="7740"/>
    <s v="Other"/>
    <n v="57"/>
    <x v="3"/>
    <x v="3"/>
    <n v="221"/>
    <n v="22"/>
    <n v="0.56999999999999995"/>
    <s v="Mobile"/>
    <n v="0"/>
    <n v="1"/>
    <n v="0"/>
    <n v="4.99"/>
    <n v="0"/>
  </r>
  <r>
    <n v="7741"/>
    <s v="Other"/>
    <n v="52"/>
    <x v="0"/>
    <x v="1"/>
    <n v="49"/>
    <n v="62"/>
    <n v="0.37"/>
    <s v="Mobile"/>
    <n v="0"/>
    <n v="1"/>
    <n v="0"/>
    <n v="14.99"/>
    <n v="0"/>
  </r>
  <r>
    <n v="7742"/>
    <s v="Other"/>
    <n v="51"/>
    <x v="3"/>
    <x v="3"/>
    <n v="217"/>
    <n v="92"/>
    <n v="0.34"/>
    <s v="Web"/>
    <n v="0"/>
    <n v="1"/>
    <n v="0"/>
    <n v="4.99"/>
    <n v="0"/>
  </r>
  <r>
    <n v="7743"/>
    <s v="Other"/>
    <n v="16"/>
    <x v="7"/>
    <x v="2"/>
    <n v="138"/>
    <n v="99"/>
    <n v="0.46"/>
    <s v="Mobile"/>
    <n v="0"/>
    <n v="1"/>
    <n v="0"/>
    <n v="9.99"/>
    <n v="0"/>
  </r>
  <r>
    <n v="7744"/>
    <s v="Male"/>
    <n v="41"/>
    <x v="7"/>
    <x v="0"/>
    <n v="267"/>
    <n v="75"/>
    <n v="0.43"/>
    <s v="Desktop"/>
    <n v="15"/>
    <n v="0"/>
    <n v="0"/>
    <n v="0"/>
    <n v="0"/>
  </r>
  <r>
    <n v="7745"/>
    <s v="Other"/>
    <n v="58"/>
    <x v="6"/>
    <x v="0"/>
    <n v="83"/>
    <n v="50"/>
    <n v="0.12"/>
    <s v="Web"/>
    <n v="8"/>
    <n v="0"/>
    <n v="0"/>
    <n v="0"/>
    <n v="0"/>
  </r>
  <r>
    <n v="7746"/>
    <s v="Female"/>
    <n v="38"/>
    <x v="1"/>
    <x v="3"/>
    <n v="142"/>
    <n v="80"/>
    <n v="0.35"/>
    <s v="Desktop"/>
    <n v="0"/>
    <n v="1"/>
    <n v="0"/>
    <n v="4.99"/>
    <n v="0"/>
  </r>
  <r>
    <n v="7747"/>
    <s v="Other"/>
    <n v="25"/>
    <x v="2"/>
    <x v="2"/>
    <n v="50"/>
    <n v="63"/>
    <n v="0.28000000000000003"/>
    <s v="Web"/>
    <n v="0"/>
    <n v="1"/>
    <n v="1"/>
    <n v="9.99"/>
    <n v="9.99"/>
  </r>
  <r>
    <n v="7748"/>
    <s v="Female"/>
    <n v="34"/>
    <x v="4"/>
    <x v="0"/>
    <n v="12"/>
    <n v="1"/>
    <n v="0.42"/>
    <s v="Desktop"/>
    <n v="29"/>
    <n v="0"/>
    <n v="1"/>
    <n v="0"/>
    <n v="0"/>
  </r>
  <r>
    <n v="7749"/>
    <s v="Other"/>
    <n v="30"/>
    <x v="5"/>
    <x v="0"/>
    <n v="118"/>
    <n v="21"/>
    <n v="0.33"/>
    <s v="Mobile"/>
    <n v="49"/>
    <n v="0"/>
    <n v="1"/>
    <n v="0"/>
    <n v="0"/>
  </r>
  <r>
    <n v="7750"/>
    <s v="Male"/>
    <n v="44"/>
    <x v="4"/>
    <x v="2"/>
    <n v="74"/>
    <n v="4"/>
    <n v="0.05"/>
    <s v="Mobile"/>
    <n v="0"/>
    <n v="1"/>
    <n v="0"/>
    <n v="9.99"/>
    <n v="0"/>
  </r>
  <r>
    <n v="7751"/>
    <s v="Other"/>
    <n v="33"/>
    <x v="1"/>
    <x v="1"/>
    <n v="176"/>
    <n v="66"/>
    <n v="0.38"/>
    <s v="Mobile"/>
    <n v="0"/>
    <n v="1"/>
    <n v="0"/>
    <n v="14.99"/>
    <n v="0"/>
  </r>
  <r>
    <n v="7752"/>
    <s v="Male"/>
    <n v="27"/>
    <x v="7"/>
    <x v="3"/>
    <n v="156"/>
    <n v="61"/>
    <n v="0.23"/>
    <s v="Web"/>
    <n v="0"/>
    <n v="1"/>
    <n v="1"/>
    <n v="4.99"/>
    <n v="4.99"/>
  </r>
  <r>
    <n v="7753"/>
    <s v="Male"/>
    <n v="17"/>
    <x v="5"/>
    <x v="1"/>
    <n v="61"/>
    <n v="91"/>
    <n v="0.6"/>
    <s v="Desktop"/>
    <n v="0"/>
    <n v="1"/>
    <n v="0"/>
    <n v="14.99"/>
    <n v="0"/>
  </r>
  <r>
    <n v="7754"/>
    <s v="Female"/>
    <n v="32"/>
    <x v="0"/>
    <x v="2"/>
    <n v="90"/>
    <n v="86"/>
    <n v="0.42"/>
    <s v="Web"/>
    <n v="0"/>
    <n v="1"/>
    <n v="0"/>
    <n v="9.99"/>
    <n v="0"/>
  </r>
  <r>
    <n v="7755"/>
    <s v="Male"/>
    <n v="38"/>
    <x v="5"/>
    <x v="0"/>
    <n v="61"/>
    <n v="8"/>
    <n v="0.16"/>
    <s v="Desktop"/>
    <n v="26"/>
    <n v="0"/>
    <n v="0"/>
    <n v="0"/>
    <n v="0"/>
  </r>
  <r>
    <n v="7756"/>
    <s v="Other"/>
    <n v="55"/>
    <x v="5"/>
    <x v="0"/>
    <n v="251"/>
    <n v="96"/>
    <n v="0.11"/>
    <s v="Web"/>
    <n v="48"/>
    <n v="0"/>
    <n v="0"/>
    <n v="0"/>
    <n v="0"/>
  </r>
  <r>
    <n v="7757"/>
    <s v="Other"/>
    <n v="28"/>
    <x v="0"/>
    <x v="0"/>
    <n v="277"/>
    <n v="85"/>
    <n v="0.15"/>
    <s v="Web"/>
    <n v="9"/>
    <n v="0"/>
    <n v="0"/>
    <n v="0"/>
    <n v="0"/>
  </r>
  <r>
    <n v="7758"/>
    <s v="Female"/>
    <n v="41"/>
    <x v="2"/>
    <x v="3"/>
    <n v="216"/>
    <n v="99"/>
    <n v="0.1"/>
    <s v="Web"/>
    <n v="0"/>
    <n v="1"/>
    <n v="0"/>
    <n v="4.99"/>
    <n v="0"/>
  </r>
  <r>
    <n v="7759"/>
    <s v="Male"/>
    <n v="32"/>
    <x v="3"/>
    <x v="2"/>
    <n v="116"/>
    <n v="43"/>
    <n v="0.21"/>
    <s v="Desktop"/>
    <n v="0"/>
    <n v="1"/>
    <n v="1"/>
    <n v="9.99"/>
    <n v="9.99"/>
  </r>
  <r>
    <n v="7760"/>
    <s v="Female"/>
    <n v="43"/>
    <x v="7"/>
    <x v="3"/>
    <n v="272"/>
    <n v="95"/>
    <n v="0.38"/>
    <s v="Mobile"/>
    <n v="0"/>
    <n v="1"/>
    <n v="0"/>
    <n v="4.99"/>
    <n v="0"/>
  </r>
  <r>
    <n v="7761"/>
    <s v="Other"/>
    <n v="53"/>
    <x v="1"/>
    <x v="1"/>
    <n v="245"/>
    <n v="29"/>
    <n v="0.48"/>
    <s v="Web"/>
    <n v="0"/>
    <n v="1"/>
    <n v="0"/>
    <n v="14.99"/>
    <n v="0"/>
  </r>
  <r>
    <n v="7762"/>
    <s v="Male"/>
    <n v="39"/>
    <x v="5"/>
    <x v="2"/>
    <n v="116"/>
    <n v="7"/>
    <n v="0.04"/>
    <s v="Desktop"/>
    <n v="0"/>
    <n v="1"/>
    <n v="1"/>
    <n v="9.99"/>
    <n v="9.99"/>
  </r>
  <r>
    <n v="7763"/>
    <s v="Female"/>
    <n v="48"/>
    <x v="4"/>
    <x v="2"/>
    <n v="151"/>
    <n v="93"/>
    <n v="0.31"/>
    <s v="Desktop"/>
    <n v="0"/>
    <n v="1"/>
    <n v="0"/>
    <n v="9.99"/>
    <n v="0"/>
  </r>
  <r>
    <n v="7764"/>
    <s v="Other"/>
    <n v="36"/>
    <x v="3"/>
    <x v="3"/>
    <n v="12"/>
    <n v="98"/>
    <n v="0.28999999999999998"/>
    <s v="Web"/>
    <n v="0"/>
    <n v="1"/>
    <n v="0"/>
    <n v="4.99"/>
    <n v="0"/>
  </r>
  <r>
    <n v="7765"/>
    <s v="Male"/>
    <n v="40"/>
    <x v="6"/>
    <x v="1"/>
    <n v="67"/>
    <n v="91"/>
    <n v="0.14000000000000001"/>
    <s v="Mobile"/>
    <n v="0"/>
    <n v="1"/>
    <n v="0"/>
    <n v="14.99"/>
    <n v="0"/>
  </r>
  <r>
    <n v="7766"/>
    <s v="Female"/>
    <n v="25"/>
    <x v="4"/>
    <x v="0"/>
    <n v="120"/>
    <n v="43"/>
    <n v="0.15"/>
    <s v="Web"/>
    <n v="11"/>
    <n v="0"/>
    <n v="0"/>
    <n v="0"/>
    <n v="0"/>
  </r>
  <r>
    <n v="7767"/>
    <s v="Other"/>
    <n v="35"/>
    <x v="3"/>
    <x v="2"/>
    <n v="135"/>
    <n v="88"/>
    <n v="0.2"/>
    <s v="Desktop"/>
    <n v="0"/>
    <n v="1"/>
    <n v="0"/>
    <n v="9.99"/>
    <n v="0"/>
  </r>
  <r>
    <n v="7768"/>
    <s v="Male"/>
    <n v="16"/>
    <x v="4"/>
    <x v="0"/>
    <n v="113"/>
    <n v="7"/>
    <n v="0.22"/>
    <s v="Desktop"/>
    <n v="15"/>
    <n v="0"/>
    <n v="0"/>
    <n v="0"/>
    <n v="0"/>
  </r>
  <r>
    <n v="7769"/>
    <s v="Other"/>
    <n v="26"/>
    <x v="3"/>
    <x v="0"/>
    <n v="119"/>
    <n v="39"/>
    <n v="0.52"/>
    <s v="Mobile"/>
    <n v="6"/>
    <n v="0"/>
    <n v="0"/>
    <n v="0"/>
    <n v="0"/>
  </r>
  <r>
    <n v="7770"/>
    <s v="Female"/>
    <n v="18"/>
    <x v="0"/>
    <x v="2"/>
    <n v="218"/>
    <n v="13"/>
    <n v="0.23"/>
    <s v="Desktop"/>
    <n v="0"/>
    <n v="1"/>
    <n v="0"/>
    <n v="9.99"/>
    <n v="0"/>
  </r>
  <r>
    <n v="7771"/>
    <s v="Other"/>
    <n v="28"/>
    <x v="1"/>
    <x v="0"/>
    <n v="207"/>
    <n v="56"/>
    <n v="0.2"/>
    <s v="Mobile"/>
    <n v="6"/>
    <n v="0"/>
    <n v="1"/>
    <n v="0"/>
    <n v="0"/>
  </r>
  <r>
    <n v="7772"/>
    <s v="Other"/>
    <n v="58"/>
    <x v="3"/>
    <x v="0"/>
    <n v="260"/>
    <n v="50"/>
    <n v="0.1"/>
    <s v="Mobile"/>
    <n v="47"/>
    <n v="0"/>
    <n v="0"/>
    <n v="0"/>
    <n v="0"/>
  </r>
  <r>
    <n v="7773"/>
    <s v="Male"/>
    <n v="58"/>
    <x v="3"/>
    <x v="2"/>
    <n v="254"/>
    <n v="21"/>
    <n v="0.3"/>
    <s v="Desktop"/>
    <n v="0"/>
    <n v="1"/>
    <n v="0"/>
    <n v="9.99"/>
    <n v="0"/>
  </r>
  <r>
    <n v="7774"/>
    <s v="Female"/>
    <n v="51"/>
    <x v="1"/>
    <x v="1"/>
    <n v="15"/>
    <n v="6"/>
    <n v="0.06"/>
    <s v="Desktop"/>
    <n v="0"/>
    <n v="1"/>
    <n v="0"/>
    <n v="14.99"/>
    <n v="0"/>
  </r>
  <r>
    <n v="7775"/>
    <s v="Other"/>
    <n v="46"/>
    <x v="6"/>
    <x v="1"/>
    <n v="15"/>
    <n v="60"/>
    <n v="0.55000000000000004"/>
    <s v="Web"/>
    <n v="0"/>
    <n v="1"/>
    <n v="0"/>
    <n v="14.99"/>
    <n v="0"/>
  </r>
  <r>
    <n v="7776"/>
    <s v="Male"/>
    <n v="39"/>
    <x v="4"/>
    <x v="0"/>
    <n v="114"/>
    <n v="90"/>
    <n v="0.37"/>
    <s v="Mobile"/>
    <n v="30"/>
    <n v="0"/>
    <n v="0"/>
    <n v="0"/>
    <n v="0"/>
  </r>
  <r>
    <n v="7777"/>
    <s v="Female"/>
    <n v="17"/>
    <x v="0"/>
    <x v="0"/>
    <n v="241"/>
    <n v="91"/>
    <n v="0.53"/>
    <s v="Web"/>
    <n v="10"/>
    <n v="0"/>
    <n v="0"/>
    <n v="0"/>
    <n v="0"/>
  </r>
  <r>
    <n v="7778"/>
    <s v="Male"/>
    <n v="27"/>
    <x v="0"/>
    <x v="2"/>
    <n v="250"/>
    <n v="39"/>
    <n v="0.51"/>
    <s v="Web"/>
    <n v="0"/>
    <n v="1"/>
    <n v="0"/>
    <n v="9.99"/>
    <n v="0"/>
  </r>
  <r>
    <n v="7779"/>
    <s v="Other"/>
    <n v="39"/>
    <x v="4"/>
    <x v="0"/>
    <n v="177"/>
    <n v="89"/>
    <n v="0.35"/>
    <s v="Mobile"/>
    <n v="22"/>
    <n v="0"/>
    <n v="0"/>
    <n v="0"/>
    <n v="0"/>
  </r>
  <r>
    <n v="7780"/>
    <s v="Other"/>
    <n v="53"/>
    <x v="7"/>
    <x v="3"/>
    <n v="293"/>
    <n v="18"/>
    <n v="0.23"/>
    <s v="Mobile"/>
    <n v="0"/>
    <n v="1"/>
    <n v="0"/>
    <n v="4.99"/>
    <n v="0"/>
  </r>
  <r>
    <n v="7781"/>
    <s v="Male"/>
    <n v="44"/>
    <x v="0"/>
    <x v="1"/>
    <n v="106"/>
    <n v="59"/>
    <n v="0.48"/>
    <s v="Web"/>
    <n v="0"/>
    <n v="1"/>
    <n v="0"/>
    <n v="14.99"/>
    <n v="0"/>
  </r>
  <r>
    <n v="7782"/>
    <s v="Other"/>
    <n v="41"/>
    <x v="6"/>
    <x v="1"/>
    <n v="150"/>
    <n v="51"/>
    <n v="0.55000000000000004"/>
    <s v="Mobile"/>
    <n v="0"/>
    <n v="1"/>
    <n v="1"/>
    <n v="14.99"/>
    <n v="14.99"/>
  </r>
  <r>
    <n v="7783"/>
    <s v="Male"/>
    <n v="45"/>
    <x v="2"/>
    <x v="0"/>
    <n v="94"/>
    <n v="13"/>
    <n v="0.57999999999999996"/>
    <s v="Web"/>
    <n v="45"/>
    <n v="0"/>
    <n v="1"/>
    <n v="0"/>
    <n v="0"/>
  </r>
  <r>
    <n v="7784"/>
    <s v="Male"/>
    <n v="49"/>
    <x v="2"/>
    <x v="2"/>
    <n v="264"/>
    <n v="16"/>
    <n v="0.52"/>
    <s v="Web"/>
    <n v="0"/>
    <n v="1"/>
    <n v="0"/>
    <n v="9.99"/>
    <n v="0"/>
  </r>
  <r>
    <n v="7785"/>
    <s v="Other"/>
    <n v="26"/>
    <x v="0"/>
    <x v="3"/>
    <n v="253"/>
    <n v="92"/>
    <n v="0.28999999999999998"/>
    <s v="Web"/>
    <n v="0"/>
    <n v="1"/>
    <n v="0"/>
    <n v="4.99"/>
    <n v="0"/>
  </r>
  <r>
    <n v="7786"/>
    <s v="Other"/>
    <n v="47"/>
    <x v="5"/>
    <x v="3"/>
    <n v="44"/>
    <n v="14"/>
    <n v="0.2"/>
    <s v="Desktop"/>
    <n v="0"/>
    <n v="1"/>
    <n v="1"/>
    <n v="4.99"/>
    <n v="4.99"/>
  </r>
  <r>
    <n v="7787"/>
    <s v="Male"/>
    <n v="24"/>
    <x v="5"/>
    <x v="0"/>
    <n v="298"/>
    <n v="67"/>
    <n v="0.42"/>
    <s v="Mobile"/>
    <n v="11"/>
    <n v="0"/>
    <n v="0"/>
    <n v="0"/>
    <n v="0"/>
  </r>
  <r>
    <n v="7788"/>
    <s v="Female"/>
    <n v="38"/>
    <x v="1"/>
    <x v="0"/>
    <n v="139"/>
    <n v="81"/>
    <n v="0.09"/>
    <s v="Mobile"/>
    <n v="30"/>
    <n v="0"/>
    <n v="0"/>
    <n v="0"/>
    <n v="0"/>
  </r>
  <r>
    <n v="7789"/>
    <s v="Female"/>
    <n v="28"/>
    <x v="7"/>
    <x v="0"/>
    <n v="169"/>
    <n v="32"/>
    <n v="0.52"/>
    <s v="Web"/>
    <n v="28"/>
    <n v="0"/>
    <n v="0"/>
    <n v="0"/>
    <n v="0"/>
  </r>
  <r>
    <n v="7790"/>
    <s v="Other"/>
    <n v="43"/>
    <x v="4"/>
    <x v="2"/>
    <n v="210"/>
    <n v="34"/>
    <n v="0.27"/>
    <s v="Mobile"/>
    <n v="0"/>
    <n v="1"/>
    <n v="0"/>
    <n v="9.99"/>
    <n v="0"/>
  </r>
  <r>
    <n v="7791"/>
    <s v="Female"/>
    <n v="20"/>
    <x v="7"/>
    <x v="2"/>
    <n v="161"/>
    <n v="93"/>
    <n v="0.01"/>
    <s v="Web"/>
    <n v="0"/>
    <n v="1"/>
    <n v="0"/>
    <n v="9.99"/>
    <n v="0"/>
  </r>
  <r>
    <n v="7792"/>
    <s v="Female"/>
    <n v="30"/>
    <x v="4"/>
    <x v="2"/>
    <n v="147"/>
    <n v="31"/>
    <n v="7.0000000000000007E-2"/>
    <s v="Mobile"/>
    <n v="0"/>
    <n v="1"/>
    <n v="0"/>
    <n v="9.99"/>
    <n v="0"/>
  </r>
  <r>
    <n v="7793"/>
    <s v="Female"/>
    <n v="27"/>
    <x v="2"/>
    <x v="3"/>
    <n v="254"/>
    <n v="79"/>
    <n v="0.09"/>
    <s v="Mobile"/>
    <n v="0"/>
    <n v="1"/>
    <n v="1"/>
    <n v="4.99"/>
    <n v="4.99"/>
  </r>
  <r>
    <n v="7794"/>
    <s v="Female"/>
    <n v="55"/>
    <x v="5"/>
    <x v="2"/>
    <n v="141"/>
    <n v="55"/>
    <n v="0.46"/>
    <s v="Mobile"/>
    <n v="0"/>
    <n v="1"/>
    <n v="1"/>
    <n v="9.99"/>
    <n v="9.99"/>
  </r>
  <r>
    <n v="7795"/>
    <s v="Female"/>
    <n v="17"/>
    <x v="5"/>
    <x v="2"/>
    <n v="281"/>
    <n v="4"/>
    <n v="0.38"/>
    <s v="Web"/>
    <n v="0"/>
    <n v="1"/>
    <n v="0"/>
    <n v="9.99"/>
    <n v="0"/>
  </r>
  <r>
    <n v="7796"/>
    <s v="Other"/>
    <n v="32"/>
    <x v="3"/>
    <x v="2"/>
    <n v="209"/>
    <n v="12"/>
    <n v="0.51"/>
    <s v="Web"/>
    <n v="0"/>
    <n v="1"/>
    <n v="1"/>
    <n v="9.99"/>
    <n v="9.99"/>
  </r>
  <r>
    <n v="7797"/>
    <s v="Other"/>
    <n v="58"/>
    <x v="7"/>
    <x v="3"/>
    <n v="141"/>
    <n v="15"/>
    <n v="0.56000000000000005"/>
    <s v="Mobile"/>
    <n v="0"/>
    <n v="1"/>
    <n v="1"/>
    <n v="4.99"/>
    <n v="4.99"/>
  </r>
  <r>
    <n v="7798"/>
    <s v="Other"/>
    <n v="35"/>
    <x v="3"/>
    <x v="0"/>
    <n v="200"/>
    <n v="82"/>
    <n v="0.03"/>
    <s v="Mobile"/>
    <n v="37"/>
    <n v="0"/>
    <n v="0"/>
    <n v="0"/>
    <n v="0"/>
  </r>
  <r>
    <n v="7799"/>
    <s v="Female"/>
    <n v="33"/>
    <x v="7"/>
    <x v="3"/>
    <n v="31"/>
    <n v="91"/>
    <n v="0.46"/>
    <s v="Mobile"/>
    <n v="0"/>
    <n v="1"/>
    <n v="0"/>
    <n v="4.99"/>
    <n v="0"/>
  </r>
  <r>
    <n v="7800"/>
    <s v="Male"/>
    <n v="23"/>
    <x v="5"/>
    <x v="3"/>
    <n v="201"/>
    <n v="23"/>
    <n v="0.32"/>
    <s v="Web"/>
    <n v="0"/>
    <n v="1"/>
    <n v="0"/>
    <n v="4.99"/>
    <n v="0"/>
  </r>
  <r>
    <n v="7801"/>
    <s v="Other"/>
    <n v="38"/>
    <x v="3"/>
    <x v="2"/>
    <n v="101"/>
    <n v="65"/>
    <n v="0.54"/>
    <s v="Desktop"/>
    <n v="0"/>
    <n v="1"/>
    <n v="1"/>
    <n v="9.99"/>
    <n v="9.99"/>
  </r>
  <r>
    <n v="7802"/>
    <s v="Female"/>
    <n v="46"/>
    <x v="6"/>
    <x v="2"/>
    <n v="212"/>
    <n v="45"/>
    <n v="0.34"/>
    <s v="Desktop"/>
    <n v="0"/>
    <n v="1"/>
    <n v="0"/>
    <n v="9.99"/>
    <n v="0"/>
  </r>
  <r>
    <n v="7803"/>
    <s v="Other"/>
    <n v="21"/>
    <x v="1"/>
    <x v="3"/>
    <n v="249"/>
    <n v="75"/>
    <n v="0.31"/>
    <s v="Mobile"/>
    <n v="0"/>
    <n v="1"/>
    <n v="1"/>
    <n v="4.99"/>
    <n v="4.99"/>
  </r>
  <r>
    <n v="7804"/>
    <s v="Male"/>
    <n v="58"/>
    <x v="0"/>
    <x v="3"/>
    <n v="28"/>
    <n v="98"/>
    <n v="0.33"/>
    <s v="Mobile"/>
    <n v="0"/>
    <n v="1"/>
    <n v="0"/>
    <n v="4.99"/>
    <n v="0"/>
  </r>
  <r>
    <n v="7805"/>
    <s v="Female"/>
    <n v="21"/>
    <x v="1"/>
    <x v="1"/>
    <n v="235"/>
    <n v="49"/>
    <n v="0.28999999999999998"/>
    <s v="Desktop"/>
    <n v="0"/>
    <n v="1"/>
    <n v="1"/>
    <n v="14.99"/>
    <n v="14.99"/>
  </r>
  <r>
    <n v="7806"/>
    <s v="Other"/>
    <n v="23"/>
    <x v="2"/>
    <x v="3"/>
    <n v="213"/>
    <n v="84"/>
    <n v="0"/>
    <s v="Web"/>
    <n v="0"/>
    <n v="1"/>
    <n v="0"/>
    <n v="4.99"/>
    <n v="0"/>
  </r>
  <r>
    <n v="7807"/>
    <s v="Male"/>
    <n v="55"/>
    <x v="3"/>
    <x v="2"/>
    <n v="129"/>
    <n v="24"/>
    <n v="0.19"/>
    <s v="Mobile"/>
    <n v="0"/>
    <n v="1"/>
    <n v="1"/>
    <n v="9.99"/>
    <n v="9.99"/>
  </r>
  <r>
    <n v="7808"/>
    <s v="Female"/>
    <n v="59"/>
    <x v="5"/>
    <x v="3"/>
    <n v="157"/>
    <n v="68"/>
    <n v="0.01"/>
    <s v="Desktop"/>
    <n v="0"/>
    <n v="1"/>
    <n v="0"/>
    <n v="4.99"/>
    <n v="0"/>
  </r>
  <r>
    <n v="7809"/>
    <s v="Male"/>
    <n v="16"/>
    <x v="7"/>
    <x v="2"/>
    <n v="161"/>
    <n v="27"/>
    <n v="0.57999999999999996"/>
    <s v="Web"/>
    <n v="0"/>
    <n v="1"/>
    <n v="0"/>
    <n v="9.99"/>
    <n v="0"/>
  </r>
  <r>
    <n v="7810"/>
    <s v="Female"/>
    <n v="21"/>
    <x v="6"/>
    <x v="1"/>
    <n v="84"/>
    <n v="31"/>
    <n v="0.5"/>
    <s v="Desktop"/>
    <n v="0"/>
    <n v="1"/>
    <n v="1"/>
    <n v="14.99"/>
    <n v="14.99"/>
  </r>
  <r>
    <n v="7811"/>
    <s v="Other"/>
    <n v="44"/>
    <x v="0"/>
    <x v="0"/>
    <n v="95"/>
    <n v="74"/>
    <n v="0.24"/>
    <s v="Web"/>
    <n v="23"/>
    <n v="0"/>
    <n v="0"/>
    <n v="0"/>
    <n v="0"/>
  </r>
  <r>
    <n v="7812"/>
    <s v="Male"/>
    <n v="58"/>
    <x v="1"/>
    <x v="0"/>
    <n v="110"/>
    <n v="11"/>
    <n v="0.43"/>
    <s v="Desktop"/>
    <n v="6"/>
    <n v="0"/>
    <n v="0"/>
    <n v="0"/>
    <n v="0"/>
  </r>
  <r>
    <n v="7813"/>
    <s v="Female"/>
    <n v="44"/>
    <x v="7"/>
    <x v="0"/>
    <n v="285"/>
    <n v="95"/>
    <n v="0.12"/>
    <s v="Desktop"/>
    <n v="9"/>
    <n v="0"/>
    <n v="1"/>
    <n v="0"/>
    <n v="0"/>
  </r>
  <r>
    <n v="7814"/>
    <s v="Other"/>
    <n v="30"/>
    <x v="4"/>
    <x v="0"/>
    <n v="77"/>
    <n v="92"/>
    <n v="0.52"/>
    <s v="Desktop"/>
    <n v="19"/>
    <n v="0"/>
    <n v="1"/>
    <n v="0"/>
    <n v="0"/>
  </r>
  <r>
    <n v="7815"/>
    <s v="Female"/>
    <n v="39"/>
    <x v="1"/>
    <x v="1"/>
    <n v="298"/>
    <n v="65"/>
    <n v="0.38"/>
    <s v="Mobile"/>
    <n v="0"/>
    <n v="1"/>
    <n v="0"/>
    <n v="14.99"/>
    <n v="0"/>
  </r>
  <r>
    <n v="7816"/>
    <s v="Female"/>
    <n v="59"/>
    <x v="6"/>
    <x v="2"/>
    <n v="109"/>
    <n v="70"/>
    <n v="0.27"/>
    <s v="Web"/>
    <n v="0"/>
    <n v="1"/>
    <n v="0"/>
    <n v="9.99"/>
    <n v="0"/>
  </r>
  <r>
    <n v="7817"/>
    <s v="Other"/>
    <n v="43"/>
    <x v="3"/>
    <x v="1"/>
    <n v="264"/>
    <n v="45"/>
    <n v="0.38"/>
    <s v="Desktop"/>
    <n v="0"/>
    <n v="1"/>
    <n v="0"/>
    <n v="14.99"/>
    <n v="0"/>
  </r>
  <r>
    <n v="7818"/>
    <s v="Other"/>
    <n v="26"/>
    <x v="6"/>
    <x v="2"/>
    <n v="42"/>
    <n v="73"/>
    <n v="0.55000000000000004"/>
    <s v="Web"/>
    <n v="0"/>
    <n v="1"/>
    <n v="0"/>
    <n v="9.99"/>
    <n v="0"/>
  </r>
  <r>
    <n v="7819"/>
    <s v="Female"/>
    <n v="36"/>
    <x v="6"/>
    <x v="3"/>
    <n v="110"/>
    <n v="4"/>
    <n v="0.37"/>
    <s v="Mobile"/>
    <n v="0"/>
    <n v="1"/>
    <n v="0"/>
    <n v="4.99"/>
    <n v="0"/>
  </r>
  <r>
    <n v="7820"/>
    <s v="Other"/>
    <n v="47"/>
    <x v="6"/>
    <x v="1"/>
    <n v="44"/>
    <n v="83"/>
    <n v="0.05"/>
    <s v="Desktop"/>
    <n v="0"/>
    <n v="1"/>
    <n v="1"/>
    <n v="14.99"/>
    <n v="14.99"/>
  </r>
  <r>
    <n v="7821"/>
    <s v="Other"/>
    <n v="42"/>
    <x v="5"/>
    <x v="0"/>
    <n v="96"/>
    <n v="5"/>
    <n v="0.08"/>
    <s v="Mobile"/>
    <n v="21"/>
    <n v="0"/>
    <n v="0"/>
    <n v="0"/>
    <n v="0"/>
  </r>
  <r>
    <n v="7822"/>
    <s v="Other"/>
    <n v="58"/>
    <x v="3"/>
    <x v="1"/>
    <n v="214"/>
    <n v="45"/>
    <n v="0.33"/>
    <s v="Desktop"/>
    <n v="0"/>
    <n v="1"/>
    <n v="0"/>
    <n v="14.99"/>
    <n v="0"/>
  </r>
  <r>
    <n v="7823"/>
    <s v="Male"/>
    <n v="54"/>
    <x v="2"/>
    <x v="2"/>
    <n v="23"/>
    <n v="60"/>
    <n v="0.36"/>
    <s v="Desktop"/>
    <n v="0"/>
    <n v="1"/>
    <n v="1"/>
    <n v="9.99"/>
    <n v="9.99"/>
  </r>
  <r>
    <n v="7824"/>
    <s v="Female"/>
    <n v="52"/>
    <x v="5"/>
    <x v="3"/>
    <n v="116"/>
    <n v="99"/>
    <n v="0.4"/>
    <s v="Web"/>
    <n v="0"/>
    <n v="1"/>
    <n v="0"/>
    <n v="4.99"/>
    <n v="0"/>
  </r>
  <r>
    <n v="7825"/>
    <s v="Female"/>
    <n v="42"/>
    <x v="0"/>
    <x v="3"/>
    <n v="111"/>
    <n v="64"/>
    <n v="0.38"/>
    <s v="Web"/>
    <n v="0"/>
    <n v="1"/>
    <n v="1"/>
    <n v="4.99"/>
    <n v="4.99"/>
  </r>
  <r>
    <n v="7826"/>
    <s v="Other"/>
    <n v="44"/>
    <x v="1"/>
    <x v="0"/>
    <n v="17"/>
    <n v="73"/>
    <n v="0.04"/>
    <s v="Web"/>
    <n v="34"/>
    <n v="0"/>
    <n v="0"/>
    <n v="0"/>
    <n v="0"/>
  </r>
  <r>
    <n v="7827"/>
    <s v="Other"/>
    <n v="53"/>
    <x v="4"/>
    <x v="1"/>
    <n v="266"/>
    <n v="34"/>
    <n v="0.1"/>
    <s v="Web"/>
    <n v="0"/>
    <n v="1"/>
    <n v="0"/>
    <n v="14.99"/>
    <n v="0"/>
  </r>
  <r>
    <n v="7828"/>
    <s v="Other"/>
    <n v="38"/>
    <x v="1"/>
    <x v="3"/>
    <n v="24"/>
    <n v="88"/>
    <n v="0.54"/>
    <s v="Web"/>
    <n v="0"/>
    <n v="1"/>
    <n v="1"/>
    <n v="4.99"/>
    <n v="4.99"/>
  </r>
  <r>
    <n v="7829"/>
    <s v="Other"/>
    <n v="34"/>
    <x v="7"/>
    <x v="0"/>
    <n v="209"/>
    <n v="59"/>
    <n v="0.06"/>
    <s v="Desktop"/>
    <n v="28"/>
    <n v="0"/>
    <n v="0"/>
    <n v="0"/>
    <n v="0"/>
  </r>
  <r>
    <n v="7830"/>
    <s v="Female"/>
    <n v="30"/>
    <x v="4"/>
    <x v="3"/>
    <n v="109"/>
    <n v="62"/>
    <n v="0.43"/>
    <s v="Web"/>
    <n v="0"/>
    <n v="1"/>
    <n v="1"/>
    <n v="4.99"/>
    <n v="4.99"/>
  </r>
  <r>
    <n v="7831"/>
    <s v="Male"/>
    <n v="29"/>
    <x v="5"/>
    <x v="2"/>
    <n v="279"/>
    <n v="45"/>
    <n v="0.15"/>
    <s v="Desktop"/>
    <n v="0"/>
    <n v="1"/>
    <n v="1"/>
    <n v="9.99"/>
    <n v="9.99"/>
  </r>
  <r>
    <n v="7832"/>
    <s v="Female"/>
    <n v="19"/>
    <x v="5"/>
    <x v="0"/>
    <n v="222"/>
    <n v="1"/>
    <n v="0.57999999999999996"/>
    <s v="Web"/>
    <n v="45"/>
    <n v="0"/>
    <n v="0"/>
    <n v="0"/>
    <n v="0"/>
  </r>
  <r>
    <n v="7833"/>
    <s v="Female"/>
    <n v="59"/>
    <x v="5"/>
    <x v="0"/>
    <n v="147"/>
    <n v="2"/>
    <n v="0.23"/>
    <s v="Desktop"/>
    <n v="47"/>
    <n v="0"/>
    <n v="0"/>
    <n v="0"/>
    <n v="0"/>
  </r>
  <r>
    <n v="7834"/>
    <s v="Female"/>
    <n v="23"/>
    <x v="6"/>
    <x v="0"/>
    <n v="246"/>
    <n v="2"/>
    <n v="0.4"/>
    <s v="Mobile"/>
    <n v="14"/>
    <n v="0"/>
    <n v="1"/>
    <n v="0"/>
    <n v="0"/>
  </r>
  <r>
    <n v="7835"/>
    <s v="Female"/>
    <n v="37"/>
    <x v="5"/>
    <x v="2"/>
    <n v="61"/>
    <n v="62"/>
    <n v="0.56999999999999995"/>
    <s v="Desktop"/>
    <n v="0"/>
    <n v="1"/>
    <n v="0"/>
    <n v="9.99"/>
    <n v="0"/>
  </r>
  <r>
    <n v="7836"/>
    <s v="Female"/>
    <n v="18"/>
    <x v="6"/>
    <x v="0"/>
    <n v="117"/>
    <n v="2"/>
    <n v="0.08"/>
    <s v="Desktop"/>
    <n v="29"/>
    <n v="0"/>
    <n v="0"/>
    <n v="0"/>
    <n v="0"/>
  </r>
  <r>
    <n v="7837"/>
    <s v="Female"/>
    <n v="49"/>
    <x v="3"/>
    <x v="3"/>
    <n v="245"/>
    <n v="79"/>
    <n v="0.08"/>
    <s v="Mobile"/>
    <n v="0"/>
    <n v="1"/>
    <n v="0"/>
    <n v="4.99"/>
    <n v="0"/>
  </r>
  <r>
    <n v="7838"/>
    <s v="Other"/>
    <n v="39"/>
    <x v="4"/>
    <x v="1"/>
    <n v="124"/>
    <n v="15"/>
    <n v="0.27"/>
    <s v="Desktop"/>
    <n v="0"/>
    <n v="1"/>
    <n v="0"/>
    <n v="14.99"/>
    <n v="0"/>
  </r>
  <r>
    <n v="7839"/>
    <s v="Other"/>
    <n v="32"/>
    <x v="5"/>
    <x v="3"/>
    <n v="106"/>
    <n v="50"/>
    <n v="0.33"/>
    <s v="Web"/>
    <n v="0"/>
    <n v="1"/>
    <n v="0"/>
    <n v="4.99"/>
    <n v="0"/>
  </r>
  <r>
    <n v="7840"/>
    <s v="Other"/>
    <n v="16"/>
    <x v="0"/>
    <x v="1"/>
    <n v="73"/>
    <n v="71"/>
    <n v="0.04"/>
    <s v="Desktop"/>
    <n v="0"/>
    <n v="1"/>
    <n v="0"/>
    <n v="14.99"/>
    <n v="0"/>
  </r>
  <r>
    <n v="7841"/>
    <s v="Male"/>
    <n v="23"/>
    <x v="3"/>
    <x v="3"/>
    <n v="42"/>
    <n v="72"/>
    <n v="0.24"/>
    <s v="Mobile"/>
    <n v="0"/>
    <n v="1"/>
    <n v="0"/>
    <n v="4.99"/>
    <n v="0"/>
  </r>
  <r>
    <n v="7842"/>
    <s v="Other"/>
    <n v="55"/>
    <x v="6"/>
    <x v="1"/>
    <n v="274"/>
    <n v="64"/>
    <n v="0.43"/>
    <s v="Web"/>
    <n v="0"/>
    <n v="1"/>
    <n v="0"/>
    <n v="14.99"/>
    <n v="0"/>
  </r>
  <r>
    <n v="7843"/>
    <s v="Female"/>
    <n v="31"/>
    <x v="5"/>
    <x v="2"/>
    <n v="62"/>
    <n v="11"/>
    <n v="0.31"/>
    <s v="Desktop"/>
    <n v="0"/>
    <n v="1"/>
    <n v="0"/>
    <n v="9.99"/>
    <n v="0"/>
  </r>
  <r>
    <n v="7844"/>
    <s v="Female"/>
    <n v="52"/>
    <x v="3"/>
    <x v="3"/>
    <n v="220"/>
    <n v="31"/>
    <n v="0.54"/>
    <s v="Desktop"/>
    <n v="0"/>
    <n v="1"/>
    <n v="0"/>
    <n v="4.99"/>
    <n v="0"/>
  </r>
  <r>
    <n v="7845"/>
    <s v="Female"/>
    <n v="59"/>
    <x v="4"/>
    <x v="2"/>
    <n v="275"/>
    <n v="1"/>
    <n v="0.28999999999999998"/>
    <s v="Web"/>
    <n v="0"/>
    <n v="1"/>
    <n v="0"/>
    <n v="9.99"/>
    <n v="0"/>
  </r>
  <r>
    <n v="7846"/>
    <s v="Male"/>
    <n v="28"/>
    <x v="7"/>
    <x v="0"/>
    <n v="70"/>
    <n v="25"/>
    <n v="0.12"/>
    <s v="Desktop"/>
    <n v="38"/>
    <n v="0"/>
    <n v="1"/>
    <n v="0"/>
    <n v="0"/>
  </r>
  <r>
    <n v="7847"/>
    <s v="Female"/>
    <n v="36"/>
    <x v="4"/>
    <x v="0"/>
    <n v="48"/>
    <n v="74"/>
    <n v="0.48"/>
    <s v="Mobile"/>
    <n v="10"/>
    <n v="0"/>
    <n v="0"/>
    <n v="0"/>
    <n v="0"/>
  </r>
  <r>
    <n v="7848"/>
    <s v="Female"/>
    <n v="25"/>
    <x v="3"/>
    <x v="1"/>
    <n v="106"/>
    <n v="32"/>
    <n v="0.37"/>
    <s v="Desktop"/>
    <n v="0"/>
    <n v="1"/>
    <n v="0"/>
    <n v="14.99"/>
    <n v="0"/>
  </r>
  <r>
    <n v="7849"/>
    <s v="Other"/>
    <n v="46"/>
    <x v="1"/>
    <x v="1"/>
    <n v="14"/>
    <n v="24"/>
    <n v="0.35"/>
    <s v="Web"/>
    <n v="0"/>
    <n v="1"/>
    <n v="1"/>
    <n v="14.99"/>
    <n v="14.99"/>
  </r>
  <r>
    <n v="7850"/>
    <s v="Female"/>
    <n v="22"/>
    <x v="7"/>
    <x v="1"/>
    <n v="150"/>
    <n v="24"/>
    <n v="0.04"/>
    <s v="Mobile"/>
    <n v="0"/>
    <n v="1"/>
    <n v="1"/>
    <n v="14.99"/>
    <n v="14.99"/>
  </r>
  <r>
    <n v="7851"/>
    <s v="Male"/>
    <n v="22"/>
    <x v="7"/>
    <x v="0"/>
    <n v="59"/>
    <n v="78"/>
    <n v="0.57999999999999996"/>
    <s v="Mobile"/>
    <n v="45"/>
    <n v="0"/>
    <n v="0"/>
    <n v="0"/>
    <n v="0"/>
  </r>
  <r>
    <n v="7852"/>
    <s v="Female"/>
    <n v="27"/>
    <x v="5"/>
    <x v="0"/>
    <n v="194"/>
    <n v="27"/>
    <n v="0.52"/>
    <s v="Mobile"/>
    <n v="43"/>
    <n v="0"/>
    <n v="1"/>
    <n v="0"/>
    <n v="0"/>
  </r>
  <r>
    <n v="7853"/>
    <s v="Other"/>
    <n v="36"/>
    <x v="5"/>
    <x v="2"/>
    <n v="242"/>
    <n v="47"/>
    <n v="0.12"/>
    <s v="Mobile"/>
    <n v="0"/>
    <n v="1"/>
    <n v="0"/>
    <n v="9.99"/>
    <n v="0"/>
  </r>
  <r>
    <n v="7854"/>
    <s v="Female"/>
    <n v="42"/>
    <x v="1"/>
    <x v="0"/>
    <n v="223"/>
    <n v="88"/>
    <n v="0.59"/>
    <s v="Desktop"/>
    <n v="21"/>
    <n v="0"/>
    <n v="0"/>
    <n v="0"/>
    <n v="0"/>
  </r>
  <r>
    <n v="7855"/>
    <s v="Other"/>
    <n v="31"/>
    <x v="1"/>
    <x v="2"/>
    <n v="99"/>
    <n v="20"/>
    <n v="0.22"/>
    <s v="Web"/>
    <n v="0"/>
    <n v="1"/>
    <n v="0"/>
    <n v="9.99"/>
    <n v="0"/>
  </r>
  <r>
    <n v="7856"/>
    <s v="Female"/>
    <n v="47"/>
    <x v="5"/>
    <x v="0"/>
    <n v="104"/>
    <n v="29"/>
    <n v="0.55000000000000004"/>
    <s v="Mobile"/>
    <n v="32"/>
    <n v="0"/>
    <n v="1"/>
    <n v="0"/>
    <n v="0"/>
  </r>
  <r>
    <n v="7857"/>
    <s v="Female"/>
    <n v="41"/>
    <x v="0"/>
    <x v="0"/>
    <n v="41"/>
    <n v="77"/>
    <n v="0.04"/>
    <s v="Desktop"/>
    <n v="24"/>
    <n v="0"/>
    <n v="1"/>
    <n v="0"/>
    <n v="0"/>
  </r>
  <r>
    <n v="7858"/>
    <s v="Male"/>
    <n v="31"/>
    <x v="5"/>
    <x v="2"/>
    <n v="14"/>
    <n v="67"/>
    <n v="0.39"/>
    <s v="Mobile"/>
    <n v="0"/>
    <n v="1"/>
    <n v="0"/>
    <n v="9.99"/>
    <n v="0"/>
  </r>
  <r>
    <n v="7859"/>
    <s v="Female"/>
    <n v="36"/>
    <x v="6"/>
    <x v="2"/>
    <n v="199"/>
    <n v="46"/>
    <n v="0.21"/>
    <s v="Web"/>
    <n v="0"/>
    <n v="1"/>
    <n v="0"/>
    <n v="9.99"/>
    <n v="0"/>
  </r>
  <r>
    <n v="7860"/>
    <s v="Male"/>
    <n v="28"/>
    <x v="7"/>
    <x v="3"/>
    <n v="263"/>
    <n v="40"/>
    <n v="0.27"/>
    <s v="Web"/>
    <n v="0"/>
    <n v="1"/>
    <n v="0"/>
    <n v="4.99"/>
    <n v="0"/>
  </r>
  <r>
    <n v="7861"/>
    <s v="Male"/>
    <n v="28"/>
    <x v="3"/>
    <x v="2"/>
    <n v="180"/>
    <n v="88"/>
    <n v="0.28000000000000003"/>
    <s v="Mobile"/>
    <n v="0"/>
    <n v="1"/>
    <n v="1"/>
    <n v="9.99"/>
    <n v="9.99"/>
  </r>
  <r>
    <n v="7862"/>
    <s v="Male"/>
    <n v="21"/>
    <x v="6"/>
    <x v="3"/>
    <n v="54"/>
    <n v="61"/>
    <n v="0.5"/>
    <s v="Mobile"/>
    <n v="0"/>
    <n v="1"/>
    <n v="1"/>
    <n v="4.99"/>
    <n v="4.99"/>
  </r>
  <r>
    <n v="7863"/>
    <s v="Other"/>
    <n v="42"/>
    <x v="5"/>
    <x v="0"/>
    <n v="211"/>
    <n v="36"/>
    <n v="0.4"/>
    <s v="Desktop"/>
    <n v="34"/>
    <n v="0"/>
    <n v="0"/>
    <n v="0"/>
    <n v="0"/>
  </r>
  <r>
    <n v="7864"/>
    <s v="Female"/>
    <n v="37"/>
    <x v="0"/>
    <x v="1"/>
    <n v="192"/>
    <n v="23"/>
    <n v="0.06"/>
    <s v="Mobile"/>
    <n v="0"/>
    <n v="1"/>
    <n v="0"/>
    <n v="14.99"/>
    <n v="0"/>
  </r>
  <r>
    <n v="7865"/>
    <s v="Other"/>
    <n v="16"/>
    <x v="5"/>
    <x v="3"/>
    <n v="52"/>
    <n v="97"/>
    <n v="0.11"/>
    <s v="Mobile"/>
    <n v="0"/>
    <n v="1"/>
    <n v="0"/>
    <n v="4.99"/>
    <n v="0"/>
  </r>
  <r>
    <n v="7866"/>
    <s v="Other"/>
    <n v="39"/>
    <x v="3"/>
    <x v="2"/>
    <n v="151"/>
    <n v="35"/>
    <n v="0.32"/>
    <s v="Desktop"/>
    <n v="0"/>
    <n v="1"/>
    <n v="0"/>
    <n v="9.99"/>
    <n v="0"/>
  </r>
  <r>
    <n v="7867"/>
    <s v="Male"/>
    <n v="28"/>
    <x v="6"/>
    <x v="1"/>
    <n v="248"/>
    <n v="46"/>
    <n v="0.27"/>
    <s v="Web"/>
    <n v="0"/>
    <n v="1"/>
    <n v="0"/>
    <n v="14.99"/>
    <n v="0"/>
  </r>
  <r>
    <n v="7868"/>
    <s v="Male"/>
    <n v="46"/>
    <x v="7"/>
    <x v="1"/>
    <n v="133"/>
    <n v="74"/>
    <n v="0.5"/>
    <s v="Web"/>
    <n v="0"/>
    <n v="1"/>
    <n v="0"/>
    <n v="14.99"/>
    <n v="0"/>
  </r>
  <r>
    <n v="7869"/>
    <s v="Other"/>
    <n v="48"/>
    <x v="4"/>
    <x v="2"/>
    <n v="164"/>
    <n v="40"/>
    <n v="0.54"/>
    <s v="Mobile"/>
    <n v="0"/>
    <n v="1"/>
    <n v="0"/>
    <n v="9.99"/>
    <n v="0"/>
  </r>
  <r>
    <n v="7870"/>
    <s v="Male"/>
    <n v="59"/>
    <x v="1"/>
    <x v="0"/>
    <n v="269"/>
    <n v="43"/>
    <n v="0.09"/>
    <s v="Mobile"/>
    <n v="37"/>
    <n v="0"/>
    <n v="0"/>
    <n v="0"/>
    <n v="0"/>
  </r>
  <r>
    <n v="7871"/>
    <s v="Other"/>
    <n v="36"/>
    <x v="1"/>
    <x v="0"/>
    <n v="135"/>
    <n v="79"/>
    <n v="0.53"/>
    <s v="Mobile"/>
    <n v="25"/>
    <n v="0"/>
    <n v="0"/>
    <n v="0"/>
    <n v="0"/>
  </r>
  <r>
    <n v="7872"/>
    <s v="Female"/>
    <n v="18"/>
    <x v="3"/>
    <x v="3"/>
    <n v="200"/>
    <n v="14"/>
    <n v="0.51"/>
    <s v="Desktop"/>
    <n v="0"/>
    <n v="1"/>
    <n v="0"/>
    <n v="4.99"/>
    <n v="0"/>
  </r>
  <r>
    <n v="7873"/>
    <s v="Other"/>
    <n v="23"/>
    <x v="3"/>
    <x v="3"/>
    <n v="75"/>
    <n v="95"/>
    <n v="0.31"/>
    <s v="Web"/>
    <n v="0"/>
    <n v="1"/>
    <n v="0"/>
    <n v="4.99"/>
    <n v="0"/>
  </r>
  <r>
    <n v="7874"/>
    <s v="Male"/>
    <n v="20"/>
    <x v="6"/>
    <x v="3"/>
    <n v="132"/>
    <n v="71"/>
    <n v="0.43"/>
    <s v="Web"/>
    <n v="0"/>
    <n v="1"/>
    <n v="0"/>
    <n v="4.99"/>
    <n v="0"/>
  </r>
  <r>
    <n v="7875"/>
    <s v="Other"/>
    <n v="46"/>
    <x v="4"/>
    <x v="2"/>
    <n v="296"/>
    <n v="95"/>
    <n v="0.56000000000000005"/>
    <s v="Mobile"/>
    <n v="0"/>
    <n v="1"/>
    <n v="0"/>
    <n v="9.99"/>
    <n v="0"/>
  </r>
  <r>
    <n v="7876"/>
    <s v="Other"/>
    <n v="19"/>
    <x v="4"/>
    <x v="3"/>
    <n v="96"/>
    <n v="22"/>
    <n v="0.28000000000000003"/>
    <s v="Desktop"/>
    <n v="0"/>
    <n v="1"/>
    <n v="0"/>
    <n v="4.99"/>
    <n v="0"/>
  </r>
  <r>
    <n v="7877"/>
    <s v="Female"/>
    <n v="43"/>
    <x v="4"/>
    <x v="2"/>
    <n v="117"/>
    <n v="68"/>
    <n v="0.3"/>
    <s v="Mobile"/>
    <n v="0"/>
    <n v="1"/>
    <n v="0"/>
    <n v="9.99"/>
    <n v="0"/>
  </r>
  <r>
    <n v="7878"/>
    <s v="Male"/>
    <n v="36"/>
    <x v="1"/>
    <x v="2"/>
    <n v="193"/>
    <n v="45"/>
    <n v="0.52"/>
    <s v="Web"/>
    <n v="0"/>
    <n v="1"/>
    <n v="1"/>
    <n v="9.99"/>
    <n v="9.99"/>
  </r>
  <r>
    <n v="7879"/>
    <s v="Female"/>
    <n v="47"/>
    <x v="7"/>
    <x v="2"/>
    <n v="264"/>
    <n v="65"/>
    <n v="0.28999999999999998"/>
    <s v="Mobile"/>
    <n v="0"/>
    <n v="1"/>
    <n v="1"/>
    <n v="9.99"/>
    <n v="9.99"/>
  </r>
  <r>
    <n v="7880"/>
    <s v="Other"/>
    <n v="31"/>
    <x v="3"/>
    <x v="1"/>
    <n v="87"/>
    <n v="13"/>
    <n v="0.11"/>
    <s v="Desktop"/>
    <n v="0"/>
    <n v="1"/>
    <n v="1"/>
    <n v="14.99"/>
    <n v="14.99"/>
  </r>
  <r>
    <n v="7881"/>
    <s v="Male"/>
    <n v="25"/>
    <x v="5"/>
    <x v="2"/>
    <n v="235"/>
    <n v="13"/>
    <n v="0.57999999999999996"/>
    <s v="Desktop"/>
    <n v="0"/>
    <n v="1"/>
    <n v="1"/>
    <n v="9.99"/>
    <n v="9.99"/>
  </r>
  <r>
    <n v="7882"/>
    <s v="Other"/>
    <n v="50"/>
    <x v="6"/>
    <x v="0"/>
    <n v="216"/>
    <n v="6"/>
    <n v="0.39"/>
    <s v="Web"/>
    <n v="8"/>
    <n v="0"/>
    <n v="0"/>
    <n v="0"/>
    <n v="0"/>
  </r>
  <r>
    <n v="7883"/>
    <s v="Other"/>
    <n v="22"/>
    <x v="6"/>
    <x v="3"/>
    <n v="287"/>
    <n v="47"/>
    <n v="0.37"/>
    <s v="Web"/>
    <n v="0"/>
    <n v="1"/>
    <n v="0"/>
    <n v="4.99"/>
    <n v="0"/>
  </r>
  <r>
    <n v="7884"/>
    <s v="Female"/>
    <n v="45"/>
    <x v="6"/>
    <x v="3"/>
    <n v="215"/>
    <n v="5"/>
    <n v="0.25"/>
    <s v="Desktop"/>
    <n v="0"/>
    <n v="1"/>
    <n v="0"/>
    <n v="4.99"/>
    <n v="0"/>
  </r>
  <r>
    <n v="7885"/>
    <s v="Male"/>
    <n v="31"/>
    <x v="7"/>
    <x v="3"/>
    <n v="180"/>
    <n v="6"/>
    <n v="0.28000000000000003"/>
    <s v="Desktop"/>
    <n v="0"/>
    <n v="1"/>
    <n v="0"/>
    <n v="4.99"/>
    <n v="0"/>
  </r>
  <r>
    <n v="7886"/>
    <s v="Other"/>
    <n v="28"/>
    <x v="1"/>
    <x v="2"/>
    <n v="44"/>
    <n v="26"/>
    <n v="0.08"/>
    <s v="Web"/>
    <n v="0"/>
    <n v="1"/>
    <n v="0"/>
    <n v="9.99"/>
    <n v="0"/>
  </r>
  <r>
    <n v="7887"/>
    <s v="Male"/>
    <n v="37"/>
    <x v="7"/>
    <x v="0"/>
    <n v="220"/>
    <n v="91"/>
    <n v="0.56000000000000005"/>
    <s v="Mobile"/>
    <n v="47"/>
    <n v="0"/>
    <n v="1"/>
    <n v="0"/>
    <n v="0"/>
  </r>
  <r>
    <n v="7888"/>
    <s v="Male"/>
    <n v="55"/>
    <x v="2"/>
    <x v="1"/>
    <n v="134"/>
    <n v="25"/>
    <n v="0.21"/>
    <s v="Mobile"/>
    <n v="0"/>
    <n v="1"/>
    <n v="0"/>
    <n v="14.99"/>
    <n v="0"/>
  </r>
  <r>
    <n v="7889"/>
    <s v="Female"/>
    <n v="46"/>
    <x v="2"/>
    <x v="0"/>
    <n v="105"/>
    <n v="21"/>
    <n v="0.32"/>
    <s v="Desktop"/>
    <n v="11"/>
    <n v="0"/>
    <n v="0"/>
    <n v="0"/>
    <n v="0"/>
  </r>
  <r>
    <n v="7890"/>
    <s v="Female"/>
    <n v="34"/>
    <x v="7"/>
    <x v="3"/>
    <n v="28"/>
    <n v="60"/>
    <n v="0.57999999999999996"/>
    <s v="Mobile"/>
    <n v="0"/>
    <n v="1"/>
    <n v="0"/>
    <n v="4.99"/>
    <n v="0"/>
  </r>
  <r>
    <n v="7891"/>
    <s v="Other"/>
    <n v="59"/>
    <x v="6"/>
    <x v="0"/>
    <n v="22"/>
    <n v="48"/>
    <n v="0.05"/>
    <s v="Mobile"/>
    <n v="17"/>
    <n v="0"/>
    <n v="0"/>
    <n v="0"/>
    <n v="0"/>
  </r>
  <r>
    <n v="7892"/>
    <s v="Other"/>
    <n v="32"/>
    <x v="0"/>
    <x v="3"/>
    <n v="174"/>
    <n v="46"/>
    <n v="0.11"/>
    <s v="Mobile"/>
    <n v="0"/>
    <n v="1"/>
    <n v="1"/>
    <n v="4.99"/>
    <n v="4.99"/>
  </r>
  <r>
    <n v="7893"/>
    <s v="Female"/>
    <n v="41"/>
    <x v="5"/>
    <x v="0"/>
    <n v="277"/>
    <n v="79"/>
    <n v="0.25"/>
    <s v="Mobile"/>
    <n v="14"/>
    <n v="0"/>
    <n v="0"/>
    <n v="0"/>
    <n v="0"/>
  </r>
  <r>
    <n v="7894"/>
    <s v="Female"/>
    <n v="58"/>
    <x v="1"/>
    <x v="3"/>
    <n v="292"/>
    <n v="51"/>
    <n v="0.17"/>
    <s v="Mobile"/>
    <n v="0"/>
    <n v="1"/>
    <n v="0"/>
    <n v="4.99"/>
    <n v="0"/>
  </r>
  <r>
    <n v="7895"/>
    <s v="Female"/>
    <n v="34"/>
    <x v="2"/>
    <x v="0"/>
    <n v="56"/>
    <n v="51"/>
    <n v="0.21"/>
    <s v="Web"/>
    <n v="37"/>
    <n v="0"/>
    <n v="0"/>
    <n v="0"/>
    <n v="0"/>
  </r>
  <r>
    <n v="7896"/>
    <s v="Male"/>
    <n v="58"/>
    <x v="2"/>
    <x v="0"/>
    <n v="229"/>
    <n v="28"/>
    <n v="0.57999999999999996"/>
    <s v="Mobile"/>
    <n v="11"/>
    <n v="0"/>
    <n v="0"/>
    <n v="0"/>
    <n v="0"/>
  </r>
  <r>
    <n v="7897"/>
    <s v="Female"/>
    <n v="32"/>
    <x v="7"/>
    <x v="3"/>
    <n v="115"/>
    <n v="76"/>
    <n v="0.16"/>
    <s v="Mobile"/>
    <n v="0"/>
    <n v="1"/>
    <n v="1"/>
    <n v="4.99"/>
    <n v="4.99"/>
  </r>
  <r>
    <n v="7898"/>
    <s v="Other"/>
    <n v="38"/>
    <x v="1"/>
    <x v="2"/>
    <n v="248"/>
    <n v="57"/>
    <n v="0.06"/>
    <s v="Web"/>
    <n v="0"/>
    <n v="1"/>
    <n v="0"/>
    <n v="9.99"/>
    <n v="0"/>
  </r>
  <r>
    <n v="7899"/>
    <s v="Other"/>
    <n v="28"/>
    <x v="3"/>
    <x v="3"/>
    <n v="84"/>
    <n v="52"/>
    <n v="0.03"/>
    <s v="Desktop"/>
    <n v="0"/>
    <n v="1"/>
    <n v="1"/>
    <n v="4.99"/>
    <n v="4.99"/>
  </r>
  <r>
    <n v="7900"/>
    <s v="Other"/>
    <n v="31"/>
    <x v="1"/>
    <x v="1"/>
    <n v="53"/>
    <n v="97"/>
    <n v="7.0000000000000007E-2"/>
    <s v="Web"/>
    <n v="0"/>
    <n v="1"/>
    <n v="0"/>
    <n v="14.99"/>
    <n v="0"/>
  </r>
  <r>
    <n v="7901"/>
    <s v="Female"/>
    <n v="21"/>
    <x v="6"/>
    <x v="2"/>
    <n v="52"/>
    <n v="60"/>
    <n v="0.11"/>
    <s v="Desktop"/>
    <n v="0"/>
    <n v="1"/>
    <n v="1"/>
    <n v="9.99"/>
    <n v="9.99"/>
  </r>
  <r>
    <n v="7902"/>
    <s v="Female"/>
    <n v="24"/>
    <x v="6"/>
    <x v="0"/>
    <n v="86"/>
    <n v="23"/>
    <n v="0.28000000000000003"/>
    <s v="Desktop"/>
    <n v="28"/>
    <n v="0"/>
    <n v="1"/>
    <n v="0"/>
    <n v="0"/>
  </r>
  <r>
    <n v="7903"/>
    <s v="Female"/>
    <n v="16"/>
    <x v="3"/>
    <x v="3"/>
    <n v="67"/>
    <n v="52"/>
    <n v="0.28999999999999998"/>
    <s v="Mobile"/>
    <n v="0"/>
    <n v="1"/>
    <n v="0"/>
    <n v="4.99"/>
    <n v="0"/>
  </r>
  <r>
    <n v="7904"/>
    <s v="Female"/>
    <n v="43"/>
    <x v="0"/>
    <x v="1"/>
    <n v="199"/>
    <n v="5"/>
    <n v="0.08"/>
    <s v="Desktop"/>
    <n v="0"/>
    <n v="1"/>
    <n v="0"/>
    <n v="14.99"/>
    <n v="0"/>
  </r>
  <r>
    <n v="7905"/>
    <s v="Male"/>
    <n v="27"/>
    <x v="4"/>
    <x v="2"/>
    <n v="248"/>
    <n v="93"/>
    <n v="0.32"/>
    <s v="Desktop"/>
    <n v="0"/>
    <n v="1"/>
    <n v="0"/>
    <n v="9.99"/>
    <n v="0"/>
  </r>
  <r>
    <n v="7906"/>
    <s v="Other"/>
    <n v="27"/>
    <x v="1"/>
    <x v="3"/>
    <n v="198"/>
    <n v="50"/>
    <n v="0.56999999999999995"/>
    <s v="Desktop"/>
    <n v="0"/>
    <n v="1"/>
    <n v="0"/>
    <n v="4.99"/>
    <n v="0"/>
  </r>
  <r>
    <n v="7907"/>
    <s v="Male"/>
    <n v="27"/>
    <x v="1"/>
    <x v="3"/>
    <n v="154"/>
    <n v="89"/>
    <n v="0.22"/>
    <s v="Desktop"/>
    <n v="0"/>
    <n v="1"/>
    <n v="0"/>
    <n v="4.99"/>
    <n v="0"/>
  </r>
  <r>
    <n v="7908"/>
    <s v="Male"/>
    <n v="30"/>
    <x v="7"/>
    <x v="0"/>
    <n v="228"/>
    <n v="94"/>
    <n v="0.35"/>
    <s v="Desktop"/>
    <n v="12"/>
    <n v="0"/>
    <n v="0"/>
    <n v="0"/>
    <n v="0"/>
  </r>
  <r>
    <n v="7909"/>
    <s v="Female"/>
    <n v="36"/>
    <x v="4"/>
    <x v="0"/>
    <n v="288"/>
    <n v="60"/>
    <n v="0.38"/>
    <s v="Web"/>
    <n v="17"/>
    <n v="0"/>
    <n v="0"/>
    <n v="0"/>
    <n v="0"/>
  </r>
  <r>
    <n v="7910"/>
    <s v="Other"/>
    <n v="35"/>
    <x v="1"/>
    <x v="3"/>
    <n v="100"/>
    <n v="8"/>
    <n v="0.59"/>
    <s v="Desktop"/>
    <n v="0"/>
    <n v="1"/>
    <n v="0"/>
    <n v="4.99"/>
    <n v="0"/>
  </r>
  <r>
    <n v="7911"/>
    <s v="Other"/>
    <n v="26"/>
    <x v="7"/>
    <x v="1"/>
    <n v="60"/>
    <n v="35"/>
    <n v="0.26"/>
    <s v="Web"/>
    <n v="0"/>
    <n v="1"/>
    <n v="0"/>
    <n v="14.99"/>
    <n v="0"/>
  </r>
  <r>
    <n v="7912"/>
    <s v="Female"/>
    <n v="57"/>
    <x v="2"/>
    <x v="2"/>
    <n v="159"/>
    <n v="75"/>
    <n v="0.42"/>
    <s v="Desktop"/>
    <n v="0"/>
    <n v="1"/>
    <n v="0"/>
    <n v="9.99"/>
    <n v="0"/>
  </r>
  <r>
    <n v="7913"/>
    <s v="Male"/>
    <n v="21"/>
    <x v="7"/>
    <x v="2"/>
    <n v="152"/>
    <n v="3"/>
    <n v="0.22"/>
    <s v="Desktop"/>
    <n v="0"/>
    <n v="1"/>
    <n v="0"/>
    <n v="9.99"/>
    <n v="0"/>
  </r>
  <r>
    <n v="7914"/>
    <s v="Female"/>
    <n v="51"/>
    <x v="4"/>
    <x v="1"/>
    <n v="30"/>
    <n v="85"/>
    <n v="0.59"/>
    <s v="Mobile"/>
    <n v="0"/>
    <n v="1"/>
    <n v="0"/>
    <n v="14.99"/>
    <n v="0"/>
  </r>
  <r>
    <n v="7915"/>
    <s v="Female"/>
    <n v="16"/>
    <x v="2"/>
    <x v="2"/>
    <n v="108"/>
    <n v="82"/>
    <n v="0.43"/>
    <s v="Mobile"/>
    <n v="0"/>
    <n v="1"/>
    <n v="1"/>
    <n v="9.99"/>
    <n v="9.99"/>
  </r>
  <r>
    <n v="7916"/>
    <s v="Other"/>
    <n v="45"/>
    <x v="1"/>
    <x v="2"/>
    <n v="26"/>
    <n v="45"/>
    <n v="0.56000000000000005"/>
    <s v="Web"/>
    <n v="0"/>
    <n v="1"/>
    <n v="0"/>
    <n v="9.99"/>
    <n v="0"/>
  </r>
  <r>
    <n v="7917"/>
    <s v="Other"/>
    <n v="21"/>
    <x v="6"/>
    <x v="2"/>
    <n v="109"/>
    <n v="17"/>
    <n v="0.2"/>
    <s v="Web"/>
    <n v="0"/>
    <n v="1"/>
    <n v="1"/>
    <n v="9.99"/>
    <n v="9.99"/>
  </r>
  <r>
    <n v="7918"/>
    <s v="Female"/>
    <n v="56"/>
    <x v="0"/>
    <x v="3"/>
    <n v="178"/>
    <n v="23"/>
    <n v="0.39"/>
    <s v="Mobile"/>
    <n v="0"/>
    <n v="1"/>
    <n v="0"/>
    <n v="4.99"/>
    <n v="0"/>
  </r>
  <r>
    <n v="7919"/>
    <s v="Other"/>
    <n v="46"/>
    <x v="4"/>
    <x v="3"/>
    <n v="137"/>
    <n v="11"/>
    <n v="0.3"/>
    <s v="Mobile"/>
    <n v="0"/>
    <n v="1"/>
    <n v="0"/>
    <n v="4.99"/>
    <n v="0"/>
  </r>
  <r>
    <n v="7920"/>
    <s v="Other"/>
    <n v="51"/>
    <x v="7"/>
    <x v="1"/>
    <n v="298"/>
    <n v="65"/>
    <n v="0.2"/>
    <s v="Mobile"/>
    <n v="0"/>
    <n v="1"/>
    <n v="0"/>
    <n v="14.99"/>
    <n v="0"/>
  </r>
  <r>
    <n v="7921"/>
    <s v="Male"/>
    <n v="46"/>
    <x v="3"/>
    <x v="3"/>
    <n v="281"/>
    <n v="30"/>
    <n v="0.31"/>
    <s v="Web"/>
    <n v="0"/>
    <n v="1"/>
    <n v="0"/>
    <n v="4.99"/>
    <n v="0"/>
  </r>
  <r>
    <n v="7922"/>
    <s v="Female"/>
    <n v="17"/>
    <x v="0"/>
    <x v="1"/>
    <n v="62"/>
    <n v="90"/>
    <n v="0.34"/>
    <s v="Web"/>
    <n v="0"/>
    <n v="1"/>
    <n v="0"/>
    <n v="14.99"/>
    <n v="0"/>
  </r>
  <r>
    <n v="7923"/>
    <s v="Female"/>
    <n v="49"/>
    <x v="6"/>
    <x v="2"/>
    <n v="150"/>
    <n v="6"/>
    <n v="0.25"/>
    <s v="Web"/>
    <n v="0"/>
    <n v="1"/>
    <n v="0"/>
    <n v="9.99"/>
    <n v="0"/>
  </r>
  <r>
    <n v="7924"/>
    <s v="Male"/>
    <n v="50"/>
    <x v="1"/>
    <x v="0"/>
    <n v="29"/>
    <n v="25"/>
    <n v="0.3"/>
    <s v="Desktop"/>
    <n v="38"/>
    <n v="0"/>
    <n v="0"/>
    <n v="0"/>
    <n v="0"/>
  </r>
  <r>
    <n v="7925"/>
    <s v="Male"/>
    <n v="31"/>
    <x v="6"/>
    <x v="3"/>
    <n v="209"/>
    <n v="5"/>
    <n v="0.16"/>
    <s v="Desktop"/>
    <n v="0"/>
    <n v="1"/>
    <n v="0"/>
    <n v="4.99"/>
    <n v="0"/>
  </r>
  <r>
    <n v="7926"/>
    <s v="Female"/>
    <n v="59"/>
    <x v="7"/>
    <x v="1"/>
    <n v="96"/>
    <n v="19"/>
    <n v="0.37"/>
    <s v="Mobile"/>
    <n v="0"/>
    <n v="1"/>
    <n v="0"/>
    <n v="14.99"/>
    <n v="0"/>
  </r>
  <r>
    <n v="7927"/>
    <s v="Male"/>
    <n v="57"/>
    <x v="7"/>
    <x v="0"/>
    <n v="85"/>
    <n v="44"/>
    <n v="0.31"/>
    <s v="Mobile"/>
    <n v="38"/>
    <n v="0"/>
    <n v="0"/>
    <n v="0"/>
    <n v="0"/>
  </r>
  <r>
    <n v="7928"/>
    <s v="Female"/>
    <n v="57"/>
    <x v="2"/>
    <x v="1"/>
    <n v="189"/>
    <n v="67"/>
    <n v="0.45"/>
    <s v="Mobile"/>
    <n v="0"/>
    <n v="1"/>
    <n v="0"/>
    <n v="14.99"/>
    <n v="0"/>
  </r>
  <r>
    <n v="7929"/>
    <s v="Male"/>
    <n v="33"/>
    <x v="5"/>
    <x v="3"/>
    <n v="266"/>
    <n v="48"/>
    <n v="0.16"/>
    <s v="Mobile"/>
    <n v="0"/>
    <n v="1"/>
    <n v="0"/>
    <n v="4.99"/>
    <n v="0"/>
  </r>
  <r>
    <n v="7930"/>
    <s v="Female"/>
    <n v="26"/>
    <x v="0"/>
    <x v="3"/>
    <n v="262"/>
    <n v="83"/>
    <n v="0.32"/>
    <s v="Web"/>
    <n v="0"/>
    <n v="1"/>
    <n v="1"/>
    <n v="4.99"/>
    <n v="4.99"/>
  </r>
  <r>
    <n v="7931"/>
    <s v="Female"/>
    <n v="30"/>
    <x v="3"/>
    <x v="1"/>
    <n v="106"/>
    <n v="32"/>
    <n v="0.33"/>
    <s v="Desktop"/>
    <n v="0"/>
    <n v="1"/>
    <n v="0"/>
    <n v="14.99"/>
    <n v="0"/>
  </r>
  <r>
    <n v="7932"/>
    <s v="Other"/>
    <n v="26"/>
    <x v="1"/>
    <x v="2"/>
    <n v="31"/>
    <n v="4"/>
    <n v="0.28000000000000003"/>
    <s v="Mobile"/>
    <n v="0"/>
    <n v="1"/>
    <n v="0"/>
    <n v="9.99"/>
    <n v="0"/>
  </r>
  <r>
    <n v="7933"/>
    <s v="Male"/>
    <n v="35"/>
    <x v="2"/>
    <x v="2"/>
    <n v="117"/>
    <n v="41"/>
    <n v="0.18"/>
    <s v="Mobile"/>
    <n v="0"/>
    <n v="1"/>
    <n v="0"/>
    <n v="9.99"/>
    <n v="0"/>
  </r>
  <r>
    <n v="7934"/>
    <s v="Male"/>
    <n v="43"/>
    <x v="1"/>
    <x v="2"/>
    <n v="37"/>
    <n v="50"/>
    <n v="0.16"/>
    <s v="Mobile"/>
    <n v="0"/>
    <n v="1"/>
    <n v="0"/>
    <n v="9.99"/>
    <n v="0"/>
  </r>
  <r>
    <n v="7935"/>
    <s v="Female"/>
    <n v="21"/>
    <x v="2"/>
    <x v="1"/>
    <n v="178"/>
    <n v="66"/>
    <n v="0.18"/>
    <s v="Mobile"/>
    <n v="0"/>
    <n v="1"/>
    <n v="0"/>
    <n v="14.99"/>
    <n v="0"/>
  </r>
  <r>
    <n v="7936"/>
    <s v="Male"/>
    <n v="51"/>
    <x v="0"/>
    <x v="1"/>
    <n v="106"/>
    <n v="95"/>
    <n v="0.4"/>
    <s v="Web"/>
    <n v="0"/>
    <n v="1"/>
    <n v="0"/>
    <n v="14.99"/>
    <n v="0"/>
  </r>
  <r>
    <n v="7937"/>
    <s v="Other"/>
    <n v="34"/>
    <x v="7"/>
    <x v="0"/>
    <n v="18"/>
    <n v="69"/>
    <n v="0.11"/>
    <s v="Mobile"/>
    <n v="26"/>
    <n v="0"/>
    <n v="1"/>
    <n v="0"/>
    <n v="0"/>
  </r>
  <r>
    <n v="7938"/>
    <s v="Female"/>
    <n v="43"/>
    <x v="5"/>
    <x v="3"/>
    <n v="180"/>
    <n v="16"/>
    <n v="0.3"/>
    <s v="Desktop"/>
    <n v="0"/>
    <n v="1"/>
    <n v="0"/>
    <n v="4.99"/>
    <n v="0"/>
  </r>
  <r>
    <n v="7939"/>
    <s v="Male"/>
    <n v="47"/>
    <x v="5"/>
    <x v="0"/>
    <n v="257"/>
    <n v="11"/>
    <n v="0.47"/>
    <s v="Desktop"/>
    <n v="10"/>
    <n v="0"/>
    <n v="1"/>
    <n v="0"/>
    <n v="0"/>
  </r>
  <r>
    <n v="7940"/>
    <s v="Male"/>
    <n v="21"/>
    <x v="1"/>
    <x v="2"/>
    <n v="97"/>
    <n v="33"/>
    <n v="0.24"/>
    <s v="Desktop"/>
    <n v="0"/>
    <n v="1"/>
    <n v="0"/>
    <n v="9.99"/>
    <n v="0"/>
  </r>
  <r>
    <n v="7941"/>
    <s v="Female"/>
    <n v="31"/>
    <x v="2"/>
    <x v="2"/>
    <n v="237"/>
    <n v="57"/>
    <n v="0.59"/>
    <s v="Mobile"/>
    <n v="0"/>
    <n v="1"/>
    <n v="0"/>
    <n v="9.99"/>
    <n v="0"/>
  </r>
  <r>
    <n v="7942"/>
    <s v="Male"/>
    <n v="39"/>
    <x v="6"/>
    <x v="3"/>
    <n v="106"/>
    <n v="87"/>
    <n v="0.47"/>
    <s v="Web"/>
    <n v="0"/>
    <n v="1"/>
    <n v="0"/>
    <n v="4.99"/>
    <n v="0"/>
  </r>
  <r>
    <n v="7943"/>
    <s v="Other"/>
    <n v="20"/>
    <x v="6"/>
    <x v="2"/>
    <n v="117"/>
    <n v="56"/>
    <n v="0.57999999999999996"/>
    <s v="Mobile"/>
    <n v="0"/>
    <n v="1"/>
    <n v="0"/>
    <n v="9.99"/>
    <n v="0"/>
  </r>
  <r>
    <n v="7944"/>
    <s v="Male"/>
    <n v="33"/>
    <x v="0"/>
    <x v="3"/>
    <n v="279"/>
    <n v="66"/>
    <n v="0.13"/>
    <s v="Web"/>
    <n v="0"/>
    <n v="1"/>
    <n v="0"/>
    <n v="4.99"/>
    <n v="0"/>
  </r>
  <r>
    <n v="7945"/>
    <s v="Other"/>
    <n v="17"/>
    <x v="7"/>
    <x v="3"/>
    <n v="17"/>
    <n v="64"/>
    <n v="0.32"/>
    <s v="Web"/>
    <n v="0"/>
    <n v="1"/>
    <n v="1"/>
    <n v="4.99"/>
    <n v="4.99"/>
  </r>
  <r>
    <n v="7946"/>
    <s v="Female"/>
    <n v="47"/>
    <x v="4"/>
    <x v="2"/>
    <n v="153"/>
    <n v="1"/>
    <n v="0.23"/>
    <s v="Mobile"/>
    <n v="0"/>
    <n v="1"/>
    <n v="0"/>
    <n v="9.99"/>
    <n v="0"/>
  </r>
  <r>
    <n v="7947"/>
    <s v="Female"/>
    <n v="58"/>
    <x v="2"/>
    <x v="3"/>
    <n v="258"/>
    <n v="7"/>
    <n v="0.16"/>
    <s v="Web"/>
    <n v="0"/>
    <n v="1"/>
    <n v="0"/>
    <n v="4.99"/>
    <n v="0"/>
  </r>
  <r>
    <n v="7948"/>
    <s v="Male"/>
    <n v="41"/>
    <x v="5"/>
    <x v="2"/>
    <n v="174"/>
    <n v="20"/>
    <n v="0.5"/>
    <s v="Desktop"/>
    <n v="0"/>
    <n v="1"/>
    <n v="0"/>
    <n v="9.99"/>
    <n v="0"/>
  </r>
  <r>
    <n v="7949"/>
    <s v="Male"/>
    <n v="52"/>
    <x v="3"/>
    <x v="2"/>
    <n v="180"/>
    <n v="21"/>
    <n v="0.36"/>
    <s v="Desktop"/>
    <n v="0"/>
    <n v="1"/>
    <n v="0"/>
    <n v="9.99"/>
    <n v="0"/>
  </r>
  <r>
    <n v="7950"/>
    <s v="Male"/>
    <n v="42"/>
    <x v="2"/>
    <x v="2"/>
    <n v="98"/>
    <n v="84"/>
    <n v="0.22"/>
    <s v="Desktop"/>
    <n v="0"/>
    <n v="1"/>
    <n v="0"/>
    <n v="9.99"/>
    <n v="0"/>
  </r>
  <r>
    <n v="7951"/>
    <s v="Other"/>
    <n v="41"/>
    <x v="0"/>
    <x v="1"/>
    <n v="187"/>
    <n v="73"/>
    <n v="0.21"/>
    <s v="Web"/>
    <n v="0"/>
    <n v="1"/>
    <n v="0"/>
    <n v="14.99"/>
    <n v="0"/>
  </r>
  <r>
    <n v="7952"/>
    <s v="Female"/>
    <n v="43"/>
    <x v="5"/>
    <x v="2"/>
    <n v="72"/>
    <n v="25"/>
    <n v="0.28999999999999998"/>
    <s v="Mobile"/>
    <n v="0"/>
    <n v="1"/>
    <n v="0"/>
    <n v="9.99"/>
    <n v="0"/>
  </r>
  <r>
    <n v="7953"/>
    <s v="Male"/>
    <n v="42"/>
    <x v="5"/>
    <x v="1"/>
    <n v="86"/>
    <n v="16"/>
    <n v="0.41"/>
    <s v="Web"/>
    <n v="0"/>
    <n v="1"/>
    <n v="0"/>
    <n v="14.99"/>
    <n v="0"/>
  </r>
  <r>
    <n v="7954"/>
    <s v="Female"/>
    <n v="49"/>
    <x v="7"/>
    <x v="1"/>
    <n v="151"/>
    <n v="37"/>
    <n v="0.43"/>
    <s v="Mobile"/>
    <n v="0"/>
    <n v="1"/>
    <n v="0"/>
    <n v="14.99"/>
    <n v="0"/>
  </r>
  <r>
    <n v="7955"/>
    <s v="Female"/>
    <n v="46"/>
    <x v="0"/>
    <x v="2"/>
    <n v="159"/>
    <n v="25"/>
    <n v="0.28000000000000003"/>
    <s v="Desktop"/>
    <n v="0"/>
    <n v="1"/>
    <n v="1"/>
    <n v="9.99"/>
    <n v="9.99"/>
  </r>
  <r>
    <n v="7956"/>
    <s v="Other"/>
    <n v="21"/>
    <x v="1"/>
    <x v="3"/>
    <n v="106"/>
    <n v="46"/>
    <n v="0.49"/>
    <s v="Web"/>
    <n v="0"/>
    <n v="1"/>
    <n v="0"/>
    <n v="4.99"/>
    <n v="0"/>
  </r>
  <r>
    <n v="7957"/>
    <s v="Male"/>
    <n v="56"/>
    <x v="3"/>
    <x v="3"/>
    <n v="101"/>
    <n v="68"/>
    <n v="0.11"/>
    <s v="Web"/>
    <n v="0"/>
    <n v="1"/>
    <n v="0"/>
    <n v="4.99"/>
    <n v="0"/>
  </r>
  <r>
    <n v="7958"/>
    <s v="Female"/>
    <n v="52"/>
    <x v="2"/>
    <x v="2"/>
    <n v="219"/>
    <n v="23"/>
    <n v="0.14000000000000001"/>
    <s v="Mobile"/>
    <n v="0"/>
    <n v="1"/>
    <n v="0"/>
    <n v="9.99"/>
    <n v="0"/>
  </r>
  <r>
    <n v="7959"/>
    <s v="Female"/>
    <n v="38"/>
    <x v="4"/>
    <x v="1"/>
    <n v="174"/>
    <n v="80"/>
    <n v="0.33"/>
    <s v="Web"/>
    <n v="0"/>
    <n v="1"/>
    <n v="0"/>
    <n v="14.99"/>
    <n v="0"/>
  </r>
  <r>
    <n v="7960"/>
    <s v="Other"/>
    <n v="53"/>
    <x v="4"/>
    <x v="0"/>
    <n v="197"/>
    <n v="21"/>
    <n v="0.09"/>
    <s v="Mobile"/>
    <n v="45"/>
    <n v="0"/>
    <n v="0"/>
    <n v="0"/>
    <n v="0"/>
  </r>
  <r>
    <n v="7961"/>
    <s v="Female"/>
    <n v="45"/>
    <x v="2"/>
    <x v="3"/>
    <n v="145"/>
    <n v="95"/>
    <n v="0.41"/>
    <s v="Web"/>
    <n v="0"/>
    <n v="1"/>
    <n v="0"/>
    <n v="4.99"/>
    <n v="0"/>
  </r>
  <r>
    <n v="7962"/>
    <s v="Male"/>
    <n v="33"/>
    <x v="4"/>
    <x v="3"/>
    <n v="59"/>
    <n v="76"/>
    <n v="0.05"/>
    <s v="Mobile"/>
    <n v="0"/>
    <n v="1"/>
    <n v="0"/>
    <n v="4.99"/>
    <n v="0"/>
  </r>
  <r>
    <n v="7963"/>
    <s v="Female"/>
    <n v="52"/>
    <x v="7"/>
    <x v="2"/>
    <n v="152"/>
    <n v="1"/>
    <n v="0.28999999999999998"/>
    <s v="Web"/>
    <n v="0"/>
    <n v="1"/>
    <n v="0"/>
    <n v="9.99"/>
    <n v="0"/>
  </r>
  <r>
    <n v="7964"/>
    <s v="Male"/>
    <n v="28"/>
    <x v="4"/>
    <x v="2"/>
    <n v="151"/>
    <n v="70"/>
    <n v="0.1"/>
    <s v="Web"/>
    <n v="0"/>
    <n v="1"/>
    <n v="0"/>
    <n v="9.99"/>
    <n v="0"/>
  </r>
  <r>
    <n v="7965"/>
    <s v="Other"/>
    <n v="51"/>
    <x v="5"/>
    <x v="2"/>
    <n v="145"/>
    <n v="85"/>
    <n v="0.3"/>
    <s v="Desktop"/>
    <n v="0"/>
    <n v="1"/>
    <n v="0"/>
    <n v="9.99"/>
    <n v="0"/>
  </r>
  <r>
    <n v="7966"/>
    <s v="Female"/>
    <n v="48"/>
    <x v="1"/>
    <x v="1"/>
    <n v="215"/>
    <n v="56"/>
    <n v="0.4"/>
    <s v="Mobile"/>
    <n v="0"/>
    <n v="1"/>
    <n v="0"/>
    <n v="14.99"/>
    <n v="0"/>
  </r>
  <r>
    <n v="7967"/>
    <s v="Male"/>
    <n v="24"/>
    <x v="0"/>
    <x v="2"/>
    <n v="221"/>
    <n v="93"/>
    <n v="0.22"/>
    <s v="Desktop"/>
    <n v="0"/>
    <n v="1"/>
    <n v="0"/>
    <n v="9.99"/>
    <n v="0"/>
  </r>
  <r>
    <n v="7968"/>
    <s v="Female"/>
    <n v="31"/>
    <x v="3"/>
    <x v="2"/>
    <n v="266"/>
    <n v="38"/>
    <n v="0.31"/>
    <s v="Desktop"/>
    <n v="0"/>
    <n v="1"/>
    <n v="0"/>
    <n v="9.99"/>
    <n v="0"/>
  </r>
  <r>
    <n v="7969"/>
    <s v="Female"/>
    <n v="19"/>
    <x v="3"/>
    <x v="1"/>
    <n v="170"/>
    <n v="16"/>
    <n v="0.51"/>
    <s v="Web"/>
    <n v="0"/>
    <n v="1"/>
    <n v="0"/>
    <n v="14.99"/>
    <n v="0"/>
  </r>
  <r>
    <n v="7970"/>
    <s v="Female"/>
    <n v="54"/>
    <x v="5"/>
    <x v="0"/>
    <n v="297"/>
    <n v="79"/>
    <n v="0.14000000000000001"/>
    <s v="Mobile"/>
    <n v="46"/>
    <n v="0"/>
    <n v="0"/>
    <n v="0"/>
    <n v="0"/>
  </r>
  <r>
    <n v="7971"/>
    <s v="Female"/>
    <n v="37"/>
    <x v="3"/>
    <x v="1"/>
    <n v="277"/>
    <n v="80"/>
    <n v="0.37"/>
    <s v="Web"/>
    <n v="0"/>
    <n v="1"/>
    <n v="0"/>
    <n v="14.99"/>
    <n v="0"/>
  </r>
  <r>
    <n v="7972"/>
    <s v="Male"/>
    <n v="18"/>
    <x v="5"/>
    <x v="2"/>
    <n v="238"/>
    <n v="3"/>
    <n v="7.0000000000000007E-2"/>
    <s v="Web"/>
    <n v="0"/>
    <n v="1"/>
    <n v="0"/>
    <n v="9.99"/>
    <n v="0"/>
  </r>
  <r>
    <n v="7973"/>
    <s v="Female"/>
    <n v="21"/>
    <x v="7"/>
    <x v="3"/>
    <n v="161"/>
    <n v="79"/>
    <n v="0.46"/>
    <s v="Mobile"/>
    <n v="0"/>
    <n v="1"/>
    <n v="0"/>
    <n v="4.99"/>
    <n v="0"/>
  </r>
  <r>
    <n v="7974"/>
    <s v="Other"/>
    <n v="20"/>
    <x v="1"/>
    <x v="2"/>
    <n v="120"/>
    <n v="11"/>
    <n v="0.2"/>
    <s v="Mobile"/>
    <n v="0"/>
    <n v="1"/>
    <n v="0"/>
    <n v="9.99"/>
    <n v="0"/>
  </r>
  <r>
    <n v="7975"/>
    <s v="Other"/>
    <n v="55"/>
    <x v="6"/>
    <x v="2"/>
    <n v="179"/>
    <n v="1"/>
    <n v="0.21"/>
    <s v="Web"/>
    <n v="0"/>
    <n v="1"/>
    <n v="0"/>
    <n v="9.99"/>
    <n v="0"/>
  </r>
  <r>
    <n v="7976"/>
    <s v="Female"/>
    <n v="39"/>
    <x v="7"/>
    <x v="0"/>
    <n v="177"/>
    <n v="61"/>
    <n v="0.28000000000000003"/>
    <s v="Mobile"/>
    <n v="5"/>
    <n v="0"/>
    <n v="1"/>
    <n v="0"/>
    <n v="0"/>
  </r>
  <r>
    <n v="7977"/>
    <s v="Female"/>
    <n v="58"/>
    <x v="5"/>
    <x v="1"/>
    <n v="280"/>
    <n v="21"/>
    <n v="0.06"/>
    <s v="Web"/>
    <n v="0"/>
    <n v="1"/>
    <n v="0"/>
    <n v="14.99"/>
    <n v="0"/>
  </r>
  <r>
    <n v="7978"/>
    <s v="Female"/>
    <n v="40"/>
    <x v="5"/>
    <x v="0"/>
    <n v="179"/>
    <n v="33"/>
    <n v="0.35"/>
    <s v="Desktop"/>
    <n v="8"/>
    <n v="0"/>
    <n v="0"/>
    <n v="0"/>
    <n v="0"/>
  </r>
  <r>
    <n v="7979"/>
    <s v="Female"/>
    <n v="52"/>
    <x v="6"/>
    <x v="1"/>
    <n v="14"/>
    <n v="30"/>
    <n v="0.03"/>
    <s v="Web"/>
    <n v="0"/>
    <n v="1"/>
    <n v="0"/>
    <n v="14.99"/>
    <n v="0"/>
  </r>
  <r>
    <n v="7980"/>
    <s v="Male"/>
    <n v="54"/>
    <x v="1"/>
    <x v="0"/>
    <n v="250"/>
    <n v="49"/>
    <n v="0.2"/>
    <s v="Mobile"/>
    <n v="44"/>
    <n v="0"/>
    <n v="1"/>
    <n v="0"/>
    <n v="0"/>
  </r>
  <r>
    <n v="7981"/>
    <s v="Female"/>
    <n v="23"/>
    <x v="4"/>
    <x v="3"/>
    <n v="79"/>
    <n v="21"/>
    <n v="0.12"/>
    <s v="Mobile"/>
    <n v="0"/>
    <n v="1"/>
    <n v="1"/>
    <n v="4.99"/>
    <n v="4.99"/>
  </r>
  <r>
    <n v="7982"/>
    <s v="Female"/>
    <n v="44"/>
    <x v="6"/>
    <x v="1"/>
    <n v="253"/>
    <n v="41"/>
    <n v="0.33"/>
    <s v="Desktop"/>
    <n v="0"/>
    <n v="1"/>
    <n v="1"/>
    <n v="14.99"/>
    <n v="14.99"/>
  </r>
  <r>
    <n v="7983"/>
    <s v="Male"/>
    <n v="57"/>
    <x v="2"/>
    <x v="2"/>
    <n v="176"/>
    <n v="77"/>
    <n v="0.43"/>
    <s v="Web"/>
    <n v="0"/>
    <n v="1"/>
    <n v="1"/>
    <n v="9.99"/>
    <n v="9.99"/>
  </r>
  <r>
    <n v="7984"/>
    <s v="Female"/>
    <n v="27"/>
    <x v="1"/>
    <x v="2"/>
    <n v="140"/>
    <n v="28"/>
    <n v="0.43"/>
    <s v="Web"/>
    <n v="0"/>
    <n v="1"/>
    <n v="0"/>
    <n v="9.99"/>
    <n v="0"/>
  </r>
  <r>
    <n v="7985"/>
    <s v="Other"/>
    <n v="16"/>
    <x v="7"/>
    <x v="2"/>
    <n v="277"/>
    <n v="76"/>
    <n v="0.02"/>
    <s v="Desktop"/>
    <n v="0"/>
    <n v="1"/>
    <n v="1"/>
    <n v="9.99"/>
    <n v="9.99"/>
  </r>
  <r>
    <n v="7986"/>
    <s v="Male"/>
    <n v="36"/>
    <x v="1"/>
    <x v="2"/>
    <n v="64"/>
    <n v="92"/>
    <n v="0.12"/>
    <s v="Desktop"/>
    <n v="0"/>
    <n v="1"/>
    <n v="0"/>
    <n v="9.99"/>
    <n v="0"/>
  </r>
  <r>
    <n v="7987"/>
    <s v="Other"/>
    <n v="27"/>
    <x v="0"/>
    <x v="3"/>
    <n v="211"/>
    <n v="58"/>
    <n v="0.04"/>
    <s v="Desktop"/>
    <n v="0"/>
    <n v="1"/>
    <n v="0"/>
    <n v="4.99"/>
    <n v="0"/>
  </r>
  <r>
    <n v="7988"/>
    <s v="Female"/>
    <n v="21"/>
    <x v="3"/>
    <x v="3"/>
    <n v="23"/>
    <n v="77"/>
    <n v="0.5"/>
    <s v="Mobile"/>
    <n v="0"/>
    <n v="1"/>
    <n v="0"/>
    <n v="4.99"/>
    <n v="0"/>
  </r>
  <r>
    <n v="7989"/>
    <s v="Male"/>
    <n v="41"/>
    <x v="5"/>
    <x v="3"/>
    <n v="137"/>
    <n v="74"/>
    <n v="0.53"/>
    <s v="Desktop"/>
    <n v="0"/>
    <n v="1"/>
    <n v="1"/>
    <n v="4.99"/>
    <n v="4.99"/>
  </r>
  <r>
    <n v="7990"/>
    <s v="Female"/>
    <n v="41"/>
    <x v="1"/>
    <x v="0"/>
    <n v="94"/>
    <n v="59"/>
    <n v="0.04"/>
    <s v="Desktop"/>
    <n v="29"/>
    <n v="0"/>
    <n v="0"/>
    <n v="0"/>
    <n v="0"/>
  </r>
  <r>
    <n v="7991"/>
    <s v="Male"/>
    <n v="50"/>
    <x v="1"/>
    <x v="2"/>
    <n v="71"/>
    <n v="21"/>
    <n v="0.04"/>
    <s v="Desktop"/>
    <n v="0"/>
    <n v="1"/>
    <n v="0"/>
    <n v="9.99"/>
    <n v="0"/>
  </r>
  <r>
    <n v="7992"/>
    <s v="Other"/>
    <n v="16"/>
    <x v="1"/>
    <x v="1"/>
    <n v="131"/>
    <n v="71"/>
    <n v="0.6"/>
    <s v="Mobile"/>
    <n v="0"/>
    <n v="1"/>
    <n v="0"/>
    <n v="14.99"/>
    <n v="0"/>
  </r>
  <r>
    <n v="7993"/>
    <s v="Female"/>
    <n v="32"/>
    <x v="0"/>
    <x v="0"/>
    <n v="114"/>
    <n v="69"/>
    <n v="0.28999999999999998"/>
    <s v="Desktop"/>
    <n v="49"/>
    <n v="0"/>
    <n v="0"/>
    <n v="0"/>
    <n v="0"/>
  </r>
  <r>
    <n v="7994"/>
    <s v="Other"/>
    <n v="29"/>
    <x v="0"/>
    <x v="0"/>
    <n v="206"/>
    <n v="19"/>
    <n v="0.45"/>
    <s v="Web"/>
    <n v="40"/>
    <n v="0"/>
    <n v="0"/>
    <n v="0"/>
    <n v="0"/>
  </r>
  <r>
    <n v="7995"/>
    <s v="Male"/>
    <n v="34"/>
    <x v="7"/>
    <x v="1"/>
    <n v="21"/>
    <n v="77"/>
    <n v="0.56000000000000005"/>
    <s v="Desktop"/>
    <n v="0"/>
    <n v="1"/>
    <n v="0"/>
    <n v="14.99"/>
    <n v="0"/>
  </r>
  <r>
    <n v="7996"/>
    <s v="Other"/>
    <n v="44"/>
    <x v="1"/>
    <x v="3"/>
    <n v="237"/>
    <n v="36"/>
    <n v="0.3"/>
    <s v="Mobile"/>
    <n v="0"/>
    <n v="1"/>
    <n v="1"/>
    <n v="4.99"/>
    <n v="4.99"/>
  </r>
  <r>
    <n v="7997"/>
    <s v="Male"/>
    <n v="34"/>
    <x v="2"/>
    <x v="2"/>
    <n v="61"/>
    <n v="64"/>
    <n v="0.59"/>
    <s v="Mobile"/>
    <n v="0"/>
    <n v="1"/>
    <n v="0"/>
    <n v="9.99"/>
    <n v="0"/>
  </r>
  <r>
    <n v="7998"/>
    <s v="Female"/>
    <n v="17"/>
    <x v="3"/>
    <x v="0"/>
    <n v="81"/>
    <n v="62"/>
    <n v="0.33"/>
    <s v="Desktop"/>
    <n v="5"/>
    <n v="0"/>
    <n v="0"/>
    <n v="0"/>
    <n v="0"/>
  </r>
  <r>
    <n v="7999"/>
    <s v="Female"/>
    <n v="34"/>
    <x v="5"/>
    <x v="3"/>
    <n v="245"/>
    <n v="94"/>
    <n v="0.27"/>
    <s v="Desktop"/>
    <n v="0"/>
    <n v="1"/>
    <n v="0"/>
    <n v="4.99"/>
    <n v="0"/>
  </r>
  <r>
    <n v="8000"/>
    <s v="Other"/>
    <n v="45"/>
    <x v="2"/>
    <x v="0"/>
    <n v="210"/>
    <n v="68"/>
    <n v="0.46"/>
    <s v="Desktop"/>
    <n v="6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8">
  <r>
    <x v="0"/>
    <s v="Female"/>
    <n v="54"/>
    <s v="CA"/>
    <s v="Free"/>
    <n v="26"/>
    <n v="23"/>
    <n v="0.2"/>
    <s v="Desktop"/>
    <n v="31"/>
    <n v="0"/>
    <n v="1"/>
    <n v="0"/>
    <n v="0"/>
    <x v="0"/>
  </r>
  <r>
    <x v="1"/>
    <s v="Female"/>
    <n v="17"/>
    <s v="AU"/>
    <s v="Free"/>
    <n v="219"/>
    <n v="35"/>
    <n v="0.46"/>
    <s v="Desktop"/>
    <n v="13"/>
    <n v="0"/>
    <n v="0"/>
    <n v="0"/>
    <n v="0"/>
    <x v="1"/>
  </r>
  <r>
    <x v="2"/>
    <s v="Female"/>
    <n v="41"/>
    <s v="UK"/>
    <s v="Free"/>
    <n v="210"/>
    <n v="68"/>
    <n v="0.11"/>
    <s v="Mobile"/>
    <n v="5"/>
    <n v="0"/>
    <n v="0"/>
    <n v="0"/>
    <n v="0"/>
    <x v="2"/>
  </r>
  <r>
    <x v="3"/>
    <s v="Male"/>
    <n v="44"/>
    <s v="DE"/>
    <s v="Free"/>
    <n v="278"/>
    <n v="94"/>
    <n v="0.38"/>
    <s v="Mobile"/>
    <n v="44"/>
    <n v="0"/>
    <n v="0"/>
    <n v="0"/>
    <n v="0"/>
    <x v="3"/>
  </r>
  <r>
    <x v="4"/>
    <s v="Other"/>
    <n v="33"/>
    <s v="DE"/>
    <s v="Free"/>
    <n v="86"/>
    <n v="44"/>
    <n v="0.11"/>
    <s v="Web"/>
    <n v="37"/>
    <n v="0"/>
    <n v="0"/>
    <n v="0"/>
    <n v="0"/>
    <x v="0"/>
  </r>
  <r>
    <x v="5"/>
    <s v="Other"/>
    <n v="24"/>
    <s v="CA"/>
    <s v="Free"/>
    <n v="113"/>
    <n v="24"/>
    <n v="0.56000000000000005"/>
    <s v="Desktop"/>
    <n v="39"/>
    <n v="0"/>
    <n v="1"/>
    <n v="0"/>
    <n v="0"/>
    <x v="0"/>
  </r>
  <r>
    <x v="6"/>
    <s v="Male"/>
    <n v="28"/>
    <s v="IN"/>
    <s v="Free"/>
    <n v="293"/>
    <n v="67"/>
    <n v="0.33"/>
    <s v="Mobile"/>
    <n v="23"/>
    <n v="0"/>
    <n v="1"/>
    <n v="0"/>
    <n v="0"/>
    <x v="4"/>
  </r>
  <r>
    <x v="7"/>
    <s v="Other"/>
    <n v="58"/>
    <s v="FR"/>
    <s v="Free"/>
    <n v="15"/>
    <n v="55"/>
    <n v="0.3"/>
    <s v="Mobile"/>
    <n v="35"/>
    <n v="0"/>
    <n v="0"/>
    <n v="0"/>
    <n v="0"/>
    <x v="0"/>
  </r>
  <r>
    <x v="8"/>
    <s v="Male"/>
    <n v="33"/>
    <s v="FR"/>
    <s v="Free"/>
    <n v="123"/>
    <n v="13"/>
    <n v="0.22"/>
    <s v="Desktop"/>
    <n v="7"/>
    <n v="0"/>
    <n v="0"/>
    <n v="0"/>
    <n v="0"/>
    <x v="2"/>
  </r>
  <r>
    <x v="9"/>
    <s v="Other"/>
    <n v="24"/>
    <s v="DE"/>
    <s v="Free"/>
    <n v="59"/>
    <n v="53"/>
    <n v="0.18"/>
    <s v="Web"/>
    <n v="28"/>
    <n v="0"/>
    <n v="1"/>
    <n v="0"/>
    <n v="0"/>
    <x v="4"/>
  </r>
  <r>
    <x v="10"/>
    <s v="Male"/>
    <n v="50"/>
    <s v="PK"/>
    <s v="Free"/>
    <n v="241"/>
    <n v="7"/>
    <n v="0.56000000000000005"/>
    <s v="Desktop"/>
    <n v="22"/>
    <n v="0"/>
    <n v="1"/>
    <n v="0"/>
    <n v="0"/>
    <x v="4"/>
  </r>
  <r>
    <x v="11"/>
    <s v="Female"/>
    <n v="38"/>
    <s v="AU"/>
    <s v="Free"/>
    <n v="41"/>
    <n v="3"/>
    <n v="0"/>
    <s v="Desktop"/>
    <n v="43"/>
    <n v="0"/>
    <n v="1"/>
    <n v="0"/>
    <n v="0"/>
    <x v="3"/>
  </r>
  <r>
    <x v="12"/>
    <s v="Male"/>
    <n v="57"/>
    <s v="DE"/>
    <s v="Free"/>
    <n v="222"/>
    <n v="96"/>
    <n v="0.26"/>
    <s v="Web"/>
    <n v="15"/>
    <n v="0"/>
    <n v="0"/>
    <n v="0"/>
    <n v="0"/>
    <x v="1"/>
  </r>
  <r>
    <x v="13"/>
    <s v="Other"/>
    <n v="19"/>
    <s v="IN"/>
    <s v="Free"/>
    <n v="107"/>
    <n v="82"/>
    <n v="0.11"/>
    <s v="Desktop"/>
    <n v="12"/>
    <n v="0"/>
    <n v="1"/>
    <n v="0"/>
    <n v="0"/>
    <x v="1"/>
  </r>
  <r>
    <x v="14"/>
    <s v="Other"/>
    <n v="22"/>
    <s v="DE"/>
    <s v="Free"/>
    <n v="59"/>
    <n v="51"/>
    <n v="0.42"/>
    <s v="Desktop"/>
    <n v="19"/>
    <n v="0"/>
    <n v="0"/>
    <n v="0"/>
    <n v="0"/>
    <x v="1"/>
  </r>
  <r>
    <x v="15"/>
    <s v="Other"/>
    <n v="59"/>
    <s v="IN"/>
    <s v="Free"/>
    <n v="25"/>
    <n v="32"/>
    <n v="0.2"/>
    <s v="Mobile"/>
    <n v="38"/>
    <n v="0"/>
    <n v="0"/>
    <n v="0"/>
    <n v="0"/>
    <x v="0"/>
  </r>
  <r>
    <x v="16"/>
    <s v="Male"/>
    <n v="45"/>
    <s v="DE"/>
    <s v="Free"/>
    <n v="152"/>
    <n v="32"/>
    <n v="0.49"/>
    <s v="Mobile"/>
    <n v="14"/>
    <n v="0"/>
    <n v="1"/>
    <n v="0"/>
    <n v="0"/>
    <x v="1"/>
  </r>
  <r>
    <x v="17"/>
    <s v="Female"/>
    <n v="45"/>
    <s v="UK"/>
    <s v="Free"/>
    <n v="156"/>
    <n v="51"/>
    <n v="0.14000000000000001"/>
    <s v="Desktop"/>
    <n v="18"/>
    <n v="0"/>
    <n v="0"/>
    <n v="0"/>
    <n v="0"/>
    <x v="1"/>
  </r>
  <r>
    <x v="18"/>
    <s v="Female"/>
    <n v="56"/>
    <s v="US"/>
    <s v="Free"/>
    <n v="181"/>
    <n v="40"/>
    <n v="0.21"/>
    <s v="Mobile"/>
    <n v="10"/>
    <n v="0"/>
    <n v="0"/>
    <n v="0"/>
    <n v="0"/>
    <x v="1"/>
  </r>
  <r>
    <x v="19"/>
    <s v="Male"/>
    <n v="23"/>
    <s v="US"/>
    <s v="Free"/>
    <n v="13"/>
    <n v="30"/>
    <n v="0.24"/>
    <s v="Mobile"/>
    <n v="32"/>
    <n v="0"/>
    <n v="0"/>
    <n v="0"/>
    <n v="0"/>
    <x v="0"/>
  </r>
  <r>
    <x v="20"/>
    <s v="Other"/>
    <n v="32"/>
    <s v="PK"/>
    <s v="Free"/>
    <n v="167"/>
    <n v="4"/>
    <n v="0.56000000000000005"/>
    <s v="Mobile"/>
    <n v="35"/>
    <n v="0"/>
    <n v="0"/>
    <n v="0"/>
    <n v="0"/>
    <x v="0"/>
  </r>
  <r>
    <x v="21"/>
    <s v="Other"/>
    <n v="51"/>
    <s v="CA"/>
    <s v="Free"/>
    <n v="105"/>
    <n v="11"/>
    <n v="0.03"/>
    <s v="Web"/>
    <n v="29"/>
    <n v="0"/>
    <n v="0"/>
    <n v="0"/>
    <n v="0"/>
    <x v="4"/>
  </r>
  <r>
    <x v="22"/>
    <s v="Female"/>
    <n v="44"/>
    <s v="UK"/>
    <s v="Free"/>
    <n v="237"/>
    <n v="36"/>
    <n v="0.37"/>
    <s v="Web"/>
    <n v="20"/>
    <n v="0"/>
    <n v="0"/>
    <n v="0"/>
    <n v="0"/>
    <x v="4"/>
  </r>
  <r>
    <x v="23"/>
    <s v="Male"/>
    <n v="43"/>
    <s v="UK"/>
    <s v="Free"/>
    <n v="195"/>
    <n v="80"/>
    <n v="0.17"/>
    <s v="Web"/>
    <n v="28"/>
    <n v="0"/>
    <n v="0"/>
    <n v="0"/>
    <n v="0"/>
    <x v="4"/>
  </r>
  <r>
    <x v="24"/>
    <s v="Other"/>
    <n v="50"/>
    <s v="UK"/>
    <s v="Free"/>
    <n v="85"/>
    <n v="7"/>
    <n v="0.45"/>
    <s v="Desktop"/>
    <n v="44"/>
    <n v="0"/>
    <n v="0"/>
    <n v="0"/>
    <n v="0"/>
    <x v="3"/>
  </r>
  <r>
    <x v="25"/>
    <s v="Female"/>
    <n v="27"/>
    <s v="FR"/>
    <s v="Free"/>
    <n v="40"/>
    <n v="15"/>
    <n v="0.5"/>
    <s v="Web"/>
    <n v="16"/>
    <n v="0"/>
    <n v="0"/>
    <n v="0"/>
    <n v="0"/>
    <x v="1"/>
  </r>
  <r>
    <x v="26"/>
    <s v="Male"/>
    <n v="46"/>
    <s v="CA"/>
    <s v="Free"/>
    <n v="114"/>
    <n v="11"/>
    <n v="0.24"/>
    <s v="Web"/>
    <n v="19"/>
    <n v="0"/>
    <n v="0"/>
    <n v="0"/>
    <n v="0"/>
    <x v="1"/>
  </r>
  <r>
    <x v="27"/>
    <s v="Female"/>
    <n v="17"/>
    <s v="CA"/>
    <s v="Free"/>
    <n v="198"/>
    <n v="31"/>
    <n v="7.0000000000000007E-2"/>
    <s v="Web"/>
    <n v="6"/>
    <n v="0"/>
    <n v="0"/>
    <n v="0"/>
    <n v="0"/>
    <x v="2"/>
  </r>
  <r>
    <x v="28"/>
    <s v="Male"/>
    <n v="21"/>
    <s v="US"/>
    <s v="Free"/>
    <n v="32"/>
    <n v="34"/>
    <n v="0.52"/>
    <s v="Web"/>
    <n v="14"/>
    <n v="0"/>
    <n v="1"/>
    <n v="0"/>
    <n v="0"/>
    <x v="1"/>
  </r>
  <r>
    <x v="29"/>
    <s v="Female"/>
    <n v="28"/>
    <s v="DE"/>
    <s v="Free"/>
    <n v="55"/>
    <n v="67"/>
    <n v="0.53"/>
    <s v="Desktop"/>
    <n v="7"/>
    <n v="0"/>
    <n v="0"/>
    <n v="0"/>
    <n v="0"/>
    <x v="2"/>
  </r>
  <r>
    <x v="30"/>
    <s v="Female"/>
    <n v="46"/>
    <s v="IN"/>
    <s v="Free"/>
    <n v="11"/>
    <n v="67"/>
    <n v="0.4"/>
    <s v="Desktop"/>
    <n v="36"/>
    <n v="0"/>
    <n v="1"/>
    <n v="0"/>
    <n v="0"/>
    <x v="0"/>
  </r>
  <r>
    <x v="31"/>
    <s v="Other"/>
    <n v="24"/>
    <s v="DE"/>
    <s v="Free"/>
    <n v="217"/>
    <n v="52"/>
    <n v="0.45"/>
    <s v="Web"/>
    <n v="23"/>
    <n v="0"/>
    <n v="0"/>
    <n v="0"/>
    <n v="0"/>
    <x v="4"/>
  </r>
  <r>
    <x v="32"/>
    <s v="Male"/>
    <n v="48"/>
    <s v="UK"/>
    <s v="Free"/>
    <n v="72"/>
    <n v="35"/>
    <n v="0.53"/>
    <s v="Desktop"/>
    <n v="22"/>
    <n v="0"/>
    <n v="0"/>
    <n v="0"/>
    <n v="0"/>
    <x v="4"/>
  </r>
  <r>
    <x v="33"/>
    <s v="Other"/>
    <n v="55"/>
    <s v="US"/>
    <s v="Free"/>
    <n v="201"/>
    <n v="82"/>
    <n v="0.5"/>
    <s v="Desktop"/>
    <n v="27"/>
    <n v="0"/>
    <n v="1"/>
    <n v="0"/>
    <n v="0"/>
    <x v="4"/>
  </r>
  <r>
    <x v="34"/>
    <s v="Female"/>
    <n v="56"/>
    <s v="US"/>
    <s v="Free"/>
    <n v="40"/>
    <n v="84"/>
    <n v="0.56000000000000005"/>
    <s v="Web"/>
    <n v="49"/>
    <n v="0"/>
    <n v="0"/>
    <n v="0"/>
    <n v="0"/>
    <x v="3"/>
  </r>
  <r>
    <x v="35"/>
    <s v="Other"/>
    <n v="27"/>
    <s v="PK"/>
    <s v="Free"/>
    <n v="237"/>
    <n v="27"/>
    <n v="0.16"/>
    <s v="Web"/>
    <n v="40"/>
    <n v="0"/>
    <n v="0"/>
    <n v="0"/>
    <n v="0"/>
    <x v="3"/>
  </r>
  <r>
    <x v="36"/>
    <s v="Other"/>
    <n v="48"/>
    <s v="DE"/>
    <s v="Free"/>
    <n v="224"/>
    <n v="53"/>
    <n v="7.0000000000000007E-2"/>
    <s v="Mobile"/>
    <n v="43"/>
    <n v="0"/>
    <n v="0"/>
    <n v="0"/>
    <n v="0"/>
    <x v="3"/>
  </r>
  <r>
    <x v="37"/>
    <s v="Other"/>
    <n v="28"/>
    <s v="DE"/>
    <s v="Free"/>
    <n v="209"/>
    <n v="84"/>
    <n v="0.53"/>
    <s v="Web"/>
    <n v="28"/>
    <n v="0"/>
    <n v="0"/>
    <n v="0"/>
    <n v="0"/>
    <x v="4"/>
  </r>
  <r>
    <x v="38"/>
    <s v="Female"/>
    <n v="17"/>
    <s v="FR"/>
    <s v="Free"/>
    <n v="36"/>
    <n v="30"/>
    <n v="0.19"/>
    <s v="Mobile"/>
    <n v="43"/>
    <n v="0"/>
    <n v="1"/>
    <n v="0"/>
    <n v="0"/>
    <x v="3"/>
  </r>
  <r>
    <x v="39"/>
    <s v="Other"/>
    <n v="50"/>
    <s v="PK"/>
    <s v="Free"/>
    <n v="95"/>
    <n v="50"/>
    <n v="0.49"/>
    <s v="Desktop"/>
    <n v="31"/>
    <n v="0"/>
    <n v="1"/>
    <n v="0"/>
    <n v="0"/>
    <x v="0"/>
  </r>
  <r>
    <x v="40"/>
    <s v="Female"/>
    <n v="50"/>
    <s v="PK"/>
    <s v="Free"/>
    <n v="205"/>
    <n v="43"/>
    <n v="0.48"/>
    <s v="Desktop"/>
    <n v="47"/>
    <n v="0"/>
    <n v="0"/>
    <n v="0"/>
    <n v="0"/>
    <x v="3"/>
  </r>
  <r>
    <x v="41"/>
    <s v="Other"/>
    <n v="20"/>
    <s v="UK"/>
    <s v="Free"/>
    <n v="289"/>
    <n v="17"/>
    <n v="0.28000000000000003"/>
    <s v="Desktop"/>
    <n v="35"/>
    <n v="0"/>
    <n v="0"/>
    <n v="0"/>
    <n v="0"/>
    <x v="0"/>
  </r>
  <r>
    <x v="42"/>
    <s v="Female"/>
    <n v="18"/>
    <s v="PK"/>
    <s v="Free"/>
    <n v="211"/>
    <n v="48"/>
    <n v="0.48"/>
    <s v="Mobile"/>
    <n v="23"/>
    <n v="0"/>
    <n v="1"/>
    <n v="0"/>
    <n v="0"/>
    <x v="4"/>
  </r>
  <r>
    <x v="43"/>
    <s v="Male"/>
    <n v="39"/>
    <s v="DE"/>
    <s v="Free"/>
    <n v="124"/>
    <n v="83"/>
    <n v="0.52"/>
    <s v="Mobile"/>
    <n v="35"/>
    <n v="0"/>
    <n v="0"/>
    <n v="0"/>
    <n v="0"/>
    <x v="0"/>
  </r>
  <r>
    <x v="44"/>
    <s v="Male"/>
    <n v="20"/>
    <s v="DE"/>
    <s v="Free"/>
    <n v="64"/>
    <n v="20"/>
    <n v="0.16"/>
    <s v="Mobile"/>
    <n v="20"/>
    <n v="0"/>
    <n v="1"/>
    <n v="0"/>
    <n v="0"/>
    <x v="4"/>
  </r>
  <r>
    <x v="45"/>
    <s v="Other"/>
    <n v="16"/>
    <s v="AU"/>
    <s v="Free"/>
    <n v="184"/>
    <n v="12"/>
    <n v="0.2"/>
    <s v="Desktop"/>
    <n v="15"/>
    <n v="0"/>
    <n v="0"/>
    <n v="0"/>
    <n v="0"/>
    <x v="1"/>
  </r>
  <r>
    <x v="46"/>
    <s v="Male"/>
    <n v="16"/>
    <s v="DE"/>
    <s v="Free"/>
    <n v="184"/>
    <n v="40"/>
    <n v="0.01"/>
    <s v="Mobile"/>
    <n v="9"/>
    <n v="0"/>
    <n v="0"/>
    <n v="0"/>
    <n v="0"/>
    <x v="2"/>
  </r>
  <r>
    <x v="47"/>
    <s v="Male"/>
    <n v="23"/>
    <s v="DE"/>
    <s v="Free"/>
    <n v="55"/>
    <n v="46"/>
    <n v="0.41"/>
    <s v="Desktop"/>
    <n v="7"/>
    <n v="0"/>
    <n v="0"/>
    <n v="0"/>
    <n v="0"/>
    <x v="2"/>
  </r>
  <r>
    <x v="48"/>
    <s v="Other"/>
    <n v="26"/>
    <s v="IN"/>
    <s v="Free"/>
    <n v="265"/>
    <n v="31"/>
    <n v="0.41"/>
    <s v="Web"/>
    <n v="38"/>
    <n v="0"/>
    <n v="0"/>
    <n v="0"/>
    <n v="0"/>
    <x v="0"/>
  </r>
  <r>
    <x v="49"/>
    <s v="Other"/>
    <n v="49"/>
    <s v="AU"/>
    <s v="Free"/>
    <n v="198"/>
    <n v="4"/>
    <n v="0.1"/>
    <s v="Desktop"/>
    <n v="36"/>
    <n v="0"/>
    <n v="0"/>
    <n v="0"/>
    <n v="0"/>
    <x v="0"/>
  </r>
  <r>
    <x v="50"/>
    <s v="Other"/>
    <n v="48"/>
    <s v="CA"/>
    <s v="Free"/>
    <n v="126"/>
    <n v="22"/>
    <n v="0.57999999999999996"/>
    <s v="Mobile"/>
    <n v="45"/>
    <n v="0"/>
    <n v="0"/>
    <n v="0"/>
    <n v="0"/>
    <x v="3"/>
  </r>
  <r>
    <x v="51"/>
    <s v="Female"/>
    <n v="49"/>
    <s v="AU"/>
    <s v="Free"/>
    <n v="226"/>
    <n v="31"/>
    <n v="0.24"/>
    <s v="Desktop"/>
    <n v="32"/>
    <n v="0"/>
    <n v="0"/>
    <n v="0"/>
    <n v="0"/>
    <x v="0"/>
  </r>
  <r>
    <x v="52"/>
    <s v="Other"/>
    <n v="59"/>
    <s v="PK"/>
    <s v="Free"/>
    <n v="62"/>
    <n v="99"/>
    <n v="0.55000000000000004"/>
    <s v="Mobile"/>
    <n v="5"/>
    <n v="0"/>
    <n v="0"/>
    <n v="0"/>
    <n v="0"/>
    <x v="2"/>
  </r>
  <r>
    <x v="53"/>
    <s v="Female"/>
    <n v="58"/>
    <s v="AU"/>
    <s v="Free"/>
    <n v="202"/>
    <n v="22"/>
    <n v="0.45"/>
    <s v="Mobile"/>
    <n v="36"/>
    <n v="0"/>
    <n v="0"/>
    <n v="0"/>
    <n v="0"/>
    <x v="0"/>
  </r>
  <r>
    <x v="54"/>
    <s v="Other"/>
    <n v="49"/>
    <s v="PK"/>
    <s v="Free"/>
    <n v="207"/>
    <n v="33"/>
    <n v="0.09"/>
    <s v="Web"/>
    <n v="9"/>
    <n v="0"/>
    <n v="1"/>
    <n v="0"/>
    <n v="0"/>
    <x v="2"/>
  </r>
  <r>
    <x v="55"/>
    <s v="Other"/>
    <n v="24"/>
    <s v="AU"/>
    <s v="Free"/>
    <n v="113"/>
    <n v="42"/>
    <n v="0.56000000000000005"/>
    <s v="Desktop"/>
    <n v="32"/>
    <n v="0"/>
    <n v="1"/>
    <n v="0"/>
    <n v="0"/>
    <x v="0"/>
  </r>
  <r>
    <x v="56"/>
    <s v="Male"/>
    <n v="33"/>
    <s v="IN"/>
    <s v="Free"/>
    <n v="168"/>
    <n v="42"/>
    <n v="0.12"/>
    <s v="Desktop"/>
    <n v="49"/>
    <n v="0"/>
    <n v="0"/>
    <n v="0"/>
    <n v="0"/>
    <x v="3"/>
  </r>
  <r>
    <x v="57"/>
    <s v="Other"/>
    <n v="42"/>
    <s v="IN"/>
    <s v="Free"/>
    <n v="222"/>
    <n v="95"/>
    <n v="0.04"/>
    <s v="Desktop"/>
    <n v="29"/>
    <n v="0"/>
    <n v="0"/>
    <n v="0"/>
    <n v="0"/>
    <x v="4"/>
  </r>
  <r>
    <x v="58"/>
    <s v="Female"/>
    <n v="16"/>
    <s v="DE"/>
    <s v="Free"/>
    <n v="74"/>
    <n v="33"/>
    <n v="0.12"/>
    <s v="Mobile"/>
    <n v="13"/>
    <n v="0"/>
    <n v="0"/>
    <n v="0"/>
    <n v="0"/>
    <x v="1"/>
  </r>
  <r>
    <x v="59"/>
    <s v="Female"/>
    <n v="26"/>
    <s v="FR"/>
    <s v="Free"/>
    <n v="160"/>
    <n v="23"/>
    <n v="0.06"/>
    <s v="Web"/>
    <n v="45"/>
    <n v="0"/>
    <n v="0"/>
    <n v="0"/>
    <n v="0"/>
    <x v="3"/>
  </r>
  <r>
    <x v="60"/>
    <s v="Other"/>
    <n v="32"/>
    <s v="FR"/>
    <s v="Free"/>
    <n v="204"/>
    <n v="87"/>
    <n v="0.42"/>
    <s v="Desktop"/>
    <n v="14"/>
    <n v="0"/>
    <n v="0"/>
    <n v="0"/>
    <n v="0"/>
    <x v="1"/>
  </r>
  <r>
    <x v="61"/>
    <s v="Female"/>
    <n v="19"/>
    <s v="IN"/>
    <s v="Free"/>
    <n v="245"/>
    <n v="9"/>
    <n v="7.0000000000000007E-2"/>
    <s v="Mobile"/>
    <n v="42"/>
    <n v="0"/>
    <n v="0"/>
    <n v="0"/>
    <n v="0"/>
    <x v="3"/>
  </r>
  <r>
    <x v="62"/>
    <s v="Female"/>
    <n v="40"/>
    <s v="FR"/>
    <s v="Free"/>
    <n v="66"/>
    <n v="80"/>
    <n v="0.02"/>
    <s v="Mobile"/>
    <n v="48"/>
    <n v="0"/>
    <n v="1"/>
    <n v="0"/>
    <n v="0"/>
    <x v="3"/>
  </r>
  <r>
    <x v="63"/>
    <s v="Male"/>
    <n v="27"/>
    <s v="UK"/>
    <s v="Free"/>
    <n v="174"/>
    <n v="6"/>
    <n v="0.54"/>
    <s v="Mobile"/>
    <n v="7"/>
    <n v="0"/>
    <n v="0"/>
    <n v="0"/>
    <n v="0"/>
    <x v="2"/>
  </r>
  <r>
    <x v="64"/>
    <s v="Male"/>
    <n v="41"/>
    <s v="UK"/>
    <s v="Free"/>
    <n v="222"/>
    <n v="4"/>
    <n v="0.06"/>
    <s v="Mobile"/>
    <n v="26"/>
    <n v="0"/>
    <n v="1"/>
    <n v="0"/>
    <n v="0"/>
    <x v="4"/>
  </r>
  <r>
    <x v="65"/>
    <s v="Female"/>
    <n v="37"/>
    <s v="CA"/>
    <s v="Free"/>
    <n v="113"/>
    <n v="85"/>
    <n v="0.23"/>
    <s v="Mobile"/>
    <n v="27"/>
    <n v="0"/>
    <n v="1"/>
    <n v="0"/>
    <n v="0"/>
    <x v="4"/>
  </r>
  <r>
    <x v="66"/>
    <s v="Female"/>
    <n v="43"/>
    <s v="UK"/>
    <s v="Free"/>
    <n v="218"/>
    <n v="6"/>
    <n v="0.01"/>
    <s v="Mobile"/>
    <n v="15"/>
    <n v="0"/>
    <n v="1"/>
    <n v="0"/>
    <n v="0"/>
    <x v="1"/>
  </r>
  <r>
    <x v="67"/>
    <s v="Male"/>
    <n v="29"/>
    <s v="UK"/>
    <s v="Free"/>
    <n v="144"/>
    <n v="94"/>
    <n v="0.33"/>
    <s v="Desktop"/>
    <n v="19"/>
    <n v="0"/>
    <n v="0"/>
    <n v="0"/>
    <n v="0"/>
    <x v="1"/>
  </r>
  <r>
    <x v="68"/>
    <s v="Female"/>
    <n v="59"/>
    <s v="US"/>
    <s v="Free"/>
    <n v="98"/>
    <n v="24"/>
    <n v="0.32"/>
    <s v="Mobile"/>
    <n v="8"/>
    <n v="0"/>
    <n v="0"/>
    <n v="0"/>
    <n v="0"/>
    <x v="2"/>
  </r>
  <r>
    <x v="69"/>
    <s v="Other"/>
    <n v="20"/>
    <s v="CA"/>
    <s v="Free"/>
    <n v="279"/>
    <n v="84"/>
    <n v="0.43"/>
    <s v="Desktop"/>
    <n v="24"/>
    <n v="0"/>
    <n v="0"/>
    <n v="0"/>
    <n v="0"/>
    <x v="4"/>
  </r>
  <r>
    <x v="70"/>
    <s v="Female"/>
    <n v="35"/>
    <s v="DE"/>
    <s v="Free"/>
    <n v="53"/>
    <n v="97"/>
    <n v="0.45"/>
    <s v="Desktop"/>
    <n v="29"/>
    <n v="0"/>
    <n v="0"/>
    <n v="0"/>
    <n v="0"/>
    <x v="4"/>
  </r>
  <r>
    <x v="71"/>
    <s v="Other"/>
    <n v="53"/>
    <s v="PK"/>
    <s v="Free"/>
    <n v="112"/>
    <n v="33"/>
    <n v="0.34"/>
    <s v="Mobile"/>
    <n v="30"/>
    <n v="0"/>
    <n v="0"/>
    <n v="0"/>
    <n v="0"/>
    <x v="0"/>
  </r>
  <r>
    <x v="72"/>
    <s v="Female"/>
    <n v="43"/>
    <s v="PK"/>
    <s v="Free"/>
    <n v="92"/>
    <n v="18"/>
    <n v="0.19"/>
    <s v="Mobile"/>
    <n v="25"/>
    <n v="0"/>
    <n v="0"/>
    <n v="0"/>
    <n v="0"/>
    <x v="4"/>
  </r>
  <r>
    <x v="73"/>
    <s v="Other"/>
    <n v="37"/>
    <s v="AU"/>
    <s v="Free"/>
    <n v="140"/>
    <n v="14"/>
    <n v="0.02"/>
    <s v="Mobile"/>
    <n v="31"/>
    <n v="0"/>
    <n v="0"/>
    <n v="0"/>
    <n v="0"/>
    <x v="0"/>
  </r>
  <r>
    <x v="74"/>
    <s v="Male"/>
    <n v="53"/>
    <s v="AU"/>
    <s v="Free"/>
    <n v="265"/>
    <n v="49"/>
    <n v="0.2"/>
    <s v="Desktop"/>
    <n v="41"/>
    <n v="0"/>
    <n v="1"/>
    <n v="0"/>
    <n v="0"/>
    <x v="3"/>
  </r>
  <r>
    <x v="75"/>
    <s v="Female"/>
    <n v="59"/>
    <s v="AU"/>
    <s v="Free"/>
    <n v="255"/>
    <n v="75"/>
    <n v="0.56000000000000005"/>
    <s v="Web"/>
    <n v="38"/>
    <n v="0"/>
    <n v="0"/>
    <n v="0"/>
    <n v="0"/>
    <x v="0"/>
  </r>
  <r>
    <x v="76"/>
    <s v="Other"/>
    <n v="47"/>
    <s v="US"/>
    <s v="Free"/>
    <n v="30"/>
    <n v="10"/>
    <n v="0.38"/>
    <s v="Web"/>
    <n v="37"/>
    <n v="0"/>
    <n v="0"/>
    <n v="0"/>
    <n v="0"/>
    <x v="0"/>
  </r>
  <r>
    <x v="77"/>
    <s v="Other"/>
    <n v="37"/>
    <s v="FR"/>
    <s v="Free"/>
    <n v="267"/>
    <n v="72"/>
    <n v="0.12"/>
    <s v="Desktop"/>
    <n v="38"/>
    <n v="0"/>
    <n v="0"/>
    <n v="0"/>
    <n v="0"/>
    <x v="0"/>
  </r>
  <r>
    <x v="78"/>
    <s v="Female"/>
    <n v="53"/>
    <s v="IN"/>
    <s v="Free"/>
    <n v="58"/>
    <n v="63"/>
    <n v="0.45"/>
    <s v="Mobile"/>
    <n v="45"/>
    <n v="0"/>
    <n v="0"/>
    <n v="0"/>
    <n v="0"/>
    <x v="3"/>
  </r>
  <r>
    <x v="79"/>
    <s v="Female"/>
    <n v="35"/>
    <s v="PK"/>
    <s v="Free"/>
    <n v="258"/>
    <n v="36"/>
    <n v="0.2"/>
    <s v="Desktop"/>
    <n v="24"/>
    <n v="0"/>
    <n v="1"/>
    <n v="0"/>
    <n v="0"/>
    <x v="4"/>
  </r>
  <r>
    <x v="80"/>
    <s v="Female"/>
    <n v="33"/>
    <s v="IN"/>
    <s v="Free"/>
    <n v="291"/>
    <n v="31"/>
    <n v="0.28999999999999998"/>
    <s v="Desktop"/>
    <n v="39"/>
    <n v="0"/>
    <n v="0"/>
    <n v="0"/>
    <n v="0"/>
    <x v="0"/>
  </r>
  <r>
    <x v="81"/>
    <s v="Other"/>
    <n v="44"/>
    <s v="DE"/>
    <s v="Free"/>
    <n v="27"/>
    <n v="96"/>
    <n v="0.04"/>
    <s v="Desktop"/>
    <n v="27"/>
    <n v="0"/>
    <n v="1"/>
    <n v="0"/>
    <n v="0"/>
    <x v="4"/>
  </r>
  <r>
    <x v="82"/>
    <s v="Female"/>
    <n v="55"/>
    <s v="PK"/>
    <s v="Free"/>
    <n v="210"/>
    <n v="32"/>
    <n v="0.15"/>
    <s v="Web"/>
    <n v="29"/>
    <n v="0"/>
    <n v="1"/>
    <n v="0"/>
    <n v="0"/>
    <x v="4"/>
  </r>
  <r>
    <x v="83"/>
    <s v="Female"/>
    <n v="32"/>
    <s v="US"/>
    <s v="Free"/>
    <n v="134"/>
    <n v="71"/>
    <n v="0.43"/>
    <s v="Mobile"/>
    <n v="14"/>
    <n v="0"/>
    <n v="0"/>
    <n v="0"/>
    <n v="0"/>
    <x v="1"/>
  </r>
  <r>
    <x v="84"/>
    <s v="Male"/>
    <n v="34"/>
    <s v="FR"/>
    <s v="Free"/>
    <n v="36"/>
    <n v="12"/>
    <n v="0.22"/>
    <s v="Mobile"/>
    <n v="44"/>
    <n v="0"/>
    <n v="0"/>
    <n v="0"/>
    <n v="0"/>
    <x v="3"/>
  </r>
  <r>
    <x v="85"/>
    <s v="Male"/>
    <n v="17"/>
    <s v="UK"/>
    <s v="Free"/>
    <n v="49"/>
    <n v="26"/>
    <n v="0.54"/>
    <s v="Desktop"/>
    <n v="12"/>
    <n v="0"/>
    <n v="0"/>
    <n v="0"/>
    <n v="0"/>
    <x v="1"/>
  </r>
  <r>
    <x v="86"/>
    <s v="Other"/>
    <n v="39"/>
    <s v="DE"/>
    <s v="Free"/>
    <n v="295"/>
    <n v="20"/>
    <n v="0.09"/>
    <s v="Mobile"/>
    <n v="21"/>
    <n v="0"/>
    <n v="1"/>
    <n v="0"/>
    <n v="0"/>
    <x v="4"/>
  </r>
  <r>
    <x v="87"/>
    <s v="Other"/>
    <n v="34"/>
    <s v="UK"/>
    <s v="Free"/>
    <n v="203"/>
    <n v="10"/>
    <n v="0.1"/>
    <s v="Desktop"/>
    <n v="42"/>
    <n v="0"/>
    <n v="0"/>
    <n v="0"/>
    <n v="0"/>
    <x v="3"/>
  </r>
  <r>
    <x v="88"/>
    <s v="Female"/>
    <n v="38"/>
    <s v="CA"/>
    <s v="Free"/>
    <n v="89"/>
    <n v="59"/>
    <n v="0.15"/>
    <s v="Mobile"/>
    <n v="21"/>
    <n v="0"/>
    <n v="0"/>
    <n v="0"/>
    <n v="0"/>
    <x v="4"/>
  </r>
  <r>
    <x v="89"/>
    <s v="Other"/>
    <n v="44"/>
    <s v="AU"/>
    <s v="Free"/>
    <n v="49"/>
    <n v="43"/>
    <n v="0.25"/>
    <s v="Desktop"/>
    <n v="5"/>
    <n v="0"/>
    <n v="0"/>
    <n v="0"/>
    <n v="0"/>
    <x v="2"/>
  </r>
  <r>
    <x v="90"/>
    <s v="Female"/>
    <n v="55"/>
    <s v="PK"/>
    <s v="Free"/>
    <n v="62"/>
    <n v="57"/>
    <n v="0.57999999999999996"/>
    <s v="Web"/>
    <n v="7"/>
    <n v="0"/>
    <n v="0"/>
    <n v="0"/>
    <n v="0"/>
    <x v="2"/>
  </r>
  <r>
    <x v="91"/>
    <s v="Male"/>
    <n v="50"/>
    <s v="CA"/>
    <s v="Free"/>
    <n v="107"/>
    <n v="7"/>
    <n v="0.42"/>
    <s v="Desktop"/>
    <n v="27"/>
    <n v="0"/>
    <n v="1"/>
    <n v="0"/>
    <n v="0"/>
    <x v="4"/>
  </r>
  <r>
    <x v="92"/>
    <s v="Other"/>
    <n v="32"/>
    <s v="FR"/>
    <s v="Free"/>
    <n v="202"/>
    <n v="29"/>
    <n v="0.14000000000000001"/>
    <s v="Web"/>
    <n v="41"/>
    <n v="0"/>
    <n v="0"/>
    <n v="0"/>
    <n v="0"/>
    <x v="3"/>
  </r>
  <r>
    <x v="93"/>
    <s v="Female"/>
    <n v="26"/>
    <s v="FR"/>
    <s v="Free"/>
    <n v="73"/>
    <n v="27"/>
    <n v="0.19"/>
    <s v="Web"/>
    <n v="26"/>
    <n v="0"/>
    <n v="1"/>
    <n v="0"/>
    <n v="0"/>
    <x v="4"/>
  </r>
  <r>
    <x v="94"/>
    <s v="Other"/>
    <n v="19"/>
    <s v="UK"/>
    <s v="Free"/>
    <n v="164"/>
    <n v="21"/>
    <n v="0.53"/>
    <s v="Desktop"/>
    <n v="8"/>
    <n v="0"/>
    <n v="0"/>
    <n v="0"/>
    <n v="0"/>
    <x v="2"/>
  </r>
  <r>
    <x v="95"/>
    <s v="Male"/>
    <n v="56"/>
    <s v="IN"/>
    <s v="Free"/>
    <n v="164"/>
    <n v="66"/>
    <n v="0.3"/>
    <s v="Desktop"/>
    <n v="34"/>
    <n v="0"/>
    <n v="0"/>
    <n v="0"/>
    <n v="0"/>
    <x v="0"/>
  </r>
  <r>
    <x v="96"/>
    <s v="Other"/>
    <n v="39"/>
    <s v="PK"/>
    <s v="Free"/>
    <n v="232"/>
    <n v="2"/>
    <n v="0.14000000000000001"/>
    <s v="Mobile"/>
    <n v="27"/>
    <n v="0"/>
    <n v="0"/>
    <n v="0"/>
    <n v="0"/>
    <x v="4"/>
  </r>
  <r>
    <x v="97"/>
    <s v="Male"/>
    <n v="43"/>
    <s v="CA"/>
    <s v="Free"/>
    <n v="265"/>
    <n v="89"/>
    <n v="0.56000000000000005"/>
    <s v="Desktop"/>
    <n v="28"/>
    <n v="0"/>
    <n v="0"/>
    <n v="0"/>
    <n v="0"/>
    <x v="4"/>
  </r>
  <r>
    <x v="98"/>
    <s v="Other"/>
    <n v="16"/>
    <s v="IN"/>
    <s v="Free"/>
    <n v="269"/>
    <n v="13"/>
    <n v="0.54"/>
    <s v="Desktop"/>
    <n v="40"/>
    <n v="0"/>
    <n v="0"/>
    <n v="0"/>
    <n v="0"/>
    <x v="3"/>
  </r>
  <r>
    <x v="99"/>
    <s v="Female"/>
    <n v="42"/>
    <s v="PK"/>
    <s v="Free"/>
    <n v="51"/>
    <n v="60"/>
    <n v="0.22"/>
    <s v="Desktop"/>
    <n v="17"/>
    <n v="0"/>
    <n v="0"/>
    <n v="0"/>
    <n v="0"/>
    <x v="1"/>
  </r>
  <r>
    <x v="100"/>
    <s v="Other"/>
    <n v="54"/>
    <s v="IN"/>
    <s v="Free"/>
    <n v="102"/>
    <n v="35"/>
    <n v="0.06"/>
    <s v="Mobile"/>
    <n v="40"/>
    <n v="0"/>
    <n v="0"/>
    <n v="0"/>
    <n v="0"/>
    <x v="3"/>
  </r>
  <r>
    <x v="101"/>
    <s v="Male"/>
    <n v="44"/>
    <s v="PK"/>
    <s v="Free"/>
    <n v="84"/>
    <n v="64"/>
    <n v="0.56999999999999995"/>
    <s v="Web"/>
    <n v="23"/>
    <n v="0"/>
    <n v="1"/>
    <n v="0"/>
    <n v="0"/>
    <x v="4"/>
  </r>
  <r>
    <x v="102"/>
    <s v="Female"/>
    <n v="21"/>
    <s v="FR"/>
    <s v="Free"/>
    <n v="289"/>
    <n v="92"/>
    <n v="0.2"/>
    <s v="Mobile"/>
    <n v="27"/>
    <n v="0"/>
    <n v="1"/>
    <n v="0"/>
    <n v="0"/>
    <x v="4"/>
  </r>
  <r>
    <x v="103"/>
    <s v="Other"/>
    <n v="39"/>
    <s v="US"/>
    <s v="Free"/>
    <n v="163"/>
    <n v="2"/>
    <n v="0.03"/>
    <s v="Web"/>
    <n v="38"/>
    <n v="0"/>
    <n v="1"/>
    <n v="0"/>
    <n v="0"/>
    <x v="0"/>
  </r>
  <r>
    <x v="104"/>
    <s v="Male"/>
    <n v="32"/>
    <s v="FR"/>
    <s v="Free"/>
    <n v="51"/>
    <n v="70"/>
    <n v="0.38"/>
    <s v="Web"/>
    <n v="19"/>
    <n v="0"/>
    <n v="0"/>
    <n v="0"/>
    <n v="0"/>
    <x v="1"/>
  </r>
  <r>
    <x v="105"/>
    <s v="Other"/>
    <n v="26"/>
    <s v="FR"/>
    <s v="Free"/>
    <n v="146"/>
    <n v="4"/>
    <n v="0.59"/>
    <s v="Mobile"/>
    <n v="16"/>
    <n v="0"/>
    <n v="0"/>
    <n v="0"/>
    <n v="0"/>
    <x v="1"/>
  </r>
  <r>
    <x v="106"/>
    <s v="Female"/>
    <n v="48"/>
    <s v="UK"/>
    <s v="Free"/>
    <n v="210"/>
    <n v="60"/>
    <n v="0.05"/>
    <s v="Desktop"/>
    <n v="42"/>
    <n v="0"/>
    <n v="1"/>
    <n v="0"/>
    <n v="0"/>
    <x v="3"/>
  </r>
  <r>
    <x v="107"/>
    <s v="Female"/>
    <n v="53"/>
    <s v="PK"/>
    <s v="Free"/>
    <n v="49"/>
    <n v="74"/>
    <n v="0.47"/>
    <s v="Mobile"/>
    <n v="19"/>
    <n v="0"/>
    <n v="0"/>
    <n v="0"/>
    <n v="0"/>
    <x v="1"/>
  </r>
  <r>
    <x v="108"/>
    <s v="Other"/>
    <n v="24"/>
    <s v="US"/>
    <s v="Free"/>
    <n v="203"/>
    <n v="75"/>
    <n v="0.26"/>
    <s v="Desktop"/>
    <n v="27"/>
    <n v="0"/>
    <n v="0"/>
    <n v="0"/>
    <n v="0"/>
    <x v="4"/>
  </r>
  <r>
    <x v="109"/>
    <s v="Female"/>
    <n v="37"/>
    <s v="CA"/>
    <s v="Free"/>
    <n v="152"/>
    <n v="87"/>
    <n v="0.56999999999999995"/>
    <s v="Desktop"/>
    <n v="23"/>
    <n v="0"/>
    <n v="0"/>
    <n v="0"/>
    <n v="0"/>
    <x v="4"/>
  </r>
  <r>
    <x v="110"/>
    <s v="Male"/>
    <n v="23"/>
    <s v="AU"/>
    <s v="Free"/>
    <n v="256"/>
    <n v="83"/>
    <n v="0.17"/>
    <s v="Mobile"/>
    <n v="29"/>
    <n v="0"/>
    <n v="0"/>
    <n v="0"/>
    <n v="0"/>
    <x v="4"/>
  </r>
  <r>
    <x v="111"/>
    <s v="Female"/>
    <n v="30"/>
    <s v="CA"/>
    <s v="Free"/>
    <n v="84"/>
    <n v="22"/>
    <n v="0.25"/>
    <s v="Mobile"/>
    <n v="5"/>
    <n v="0"/>
    <n v="0"/>
    <n v="0"/>
    <n v="0"/>
    <x v="2"/>
  </r>
  <r>
    <x v="112"/>
    <s v="Female"/>
    <n v="29"/>
    <s v="AU"/>
    <s v="Free"/>
    <n v="107"/>
    <n v="23"/>
    <n v="0.52"/>
    <s v="Web"/>
    <n v="17"/>
    <n v="0"/>
    <n v="1"/>
    <n v="0"/>
    <n v="0"/>
    <x v="1"/>
  </r>
  <r>
    <x v="113"/>
    <s v="Other"/>
    <n v="19"/>
    <s v="US"/>
    <s v="Free"/>
    <n v="289"/>
    <n v="61"/>
    <n v="0.31"/>
    <s v="Desktop"/>
    <n v="18"/>
    <n v="0"/>
    <n v="0"/>
    <n v="0"/>
    <n v="0"/>
    <x v="1"/>
  </r>
  <r>
    <x v="114"/>
    <s v="Other"/>
    <n v="16"/>
    <s v="UK"/>
    <s v="Free"/>
    <n v="97"/>
    <n v="86"/>
    <n v="0.15"/>
    <s v="Desktop"/>
    <n v="26"/>
    <n v="0"/>
    <n v="0"/>
    <n v="0"/>
    <n v="0"/>
    <x v="4"/>
  </r>
  <r>
    <x v="115"/>
    <s v="Male"/>
    <n v="30"/>
    <s v="AU"/>
    <s v="Free"/>
    <n v="251"/>
    <n v="59"/>
    <n v="0.11"/>
    <s v="Desktop"/>
    <n v="28"/>
    <n v="0"/>
    <n v="0"/>
    <n v="0"/>
    <n v="0"/>
    <x v="4"/>
  </r>
  <r>
    <x v="116"/>
    <s v="Female"/>
    <n v="58"/>
    <s v="FR"/>
    <s v="Free"/>
    <n v="93"/>
    <n v="50"/>
    <n v="0.18"/>
    <s v="Mobile"/>
    <n v="39"/>
    <n v="0"/>
    <n v="0"/>
    <n v="0"/>
    <n v="0"/>
    <x v="0"/>
  </r>
  <r>
    <x v="117"/>
    <s v="Other"/>
    <n v="25"/>
    <s v="CA"/>
    <s v="Free"/>
    <n v="274"/>
    <n v="57"/>
    <n v="0.05"/>
    <s v="Web"/>
    <n v="38"/>
    <n v="0"/>
    <n v="0"/>
    <n v="0"/>
    <n v="0"/>
    <x v="0"/>
  </r>
  <r>
    <x v="118"/>
    <s v="Male"/>
    <n v="41"/>
    <s v="US"/>
    <s v="Free"/>
    <n v="88"/>
    <n v="34"/>
    <n v="0.3"/>
    <s v="Web"/>
    <n v="48"/>
    <n v="0"/>
    <n v="0"/>
    <n v="0"/>
    <n v="0"/>
    <x v="3"/>
  </r>
  <r>
    <x v="119"/>
    <s v="Male"/>
    <n v="57"/>
    <s v="IN"/>
    <s v="Free"/>
    <n v="214"/>
    <n v="85"/>
    <n v="0.57999999999999996"/>
    <s v="Desktop"/>
    <n v="17"/>
    <n v="0"/>
    <n v="0"/>
    <n v="0"/>
    <n v="0"/>
    <x v="1"/>
  </r>
  <r>
    <x v="120"/>
    <s v="Other"/>
    <n v="35"/>
    <s v="DE"/>
    <s v="Free"/>
    <n v="172"/>
    <n v="5"/>
    <n v="0.05"/>
    <s v="Desktop"/>
    <n v="27"/>
    <n v="0"/>
    <n v="0"/>
    <n v="0"/>
    <n v="0"/>
    <x v="4"/>
  </r>
  <r>
    <x v="121"/>
    <s v="Male"/>
    <n v="48"/>
    <s v="US"/>
    <s v="Free"/>
    <n v="251"/>
    <n v="28"/>
    <n v="0.49"/>
    <s v="Web"/>
    <n v="46"/>
    <n v="0"/>
    <n v="0"/>
    <n v="0"/>
    <n v="0"/>
    <x v="3"/>
  </r>
  <r>
    <x v="122"/>
    <s v="Other"/>
    <n v="49"/>
    <s v="UK"/>
    <s v="Free"/>
    <n v="191"/>
    <n v="92"/>
    <n v="0.49"/>
    <s v="Web"/>
    <n v="29"/>
    <n v="0"/>
    <n v="0"/>
    <n v="0"/>
    <n v="0"/>
    <x v="4"/>
  </r>
  <r>
    <x v="123"/>
    <s v="Other"/>
    <n v="37"/>
    <s v="FR"/>
    <s v="Free"/>
    <n v="25"/>
    <n v="62"/>
    <n v="0.47"/>
    <s v="Mobile"/>
    <n v="14"/>
    <n v="0"/>
    <n v="0"/>
    <n v="0"/>
    <n v="0"/>
    <x v="1"/>
  </r>
  <r>
    <x v="124"/>
    <s v="Male"/>
    <n v="53"/>
    <s v="CA"/>
    <s v="Free"/>
    <n v="65"/>
    <n v="55"/>
    <n v="0.56000000000000005"/>
    <s v="Desktop"/>
    <n v="33"/>
    <n v="0"/>
    <n v="0"/>
    <n v="0"/>
    <n v="0"/>
    <x v="0"/>
  </r>
  <r>
    <x v="125"/>
    <s v="Male"/>
    <n v="37"/>
    <s v="AU"/>
    <s v="Free"/>
    <n v="260"/>
    <n v="30"/>
    <n v="0.51"/>
    <s v="Web"/>
    <n v="37"/>
    <n v="0"/>
    <n v="0"/>
    <n v="0"/>
    <n v="0"/>
    <x v="0"/>
  </r>
  <r>
    <x v="126"/>
    <s v="Male"/>
    <n v="39"/>
    <s v="DE"/>
    <s v="Free"/>
    <n v="110"/>
    <n v="17"/>
    <n v="0.57999999999999996"/>
    <s v="Desktop"/>
    <n v="24"/>
    <n v="0"/>
    <n v="0"/>
    <n v="0"/>
    <n v="0"/>
    <x v="4"/>
  </r>
  <r>
    <x v="127"/>
    <s v="Female"/>
    <n v="53"/>
    <s v="PK"/>
    <s v="Free"/>
    <n v="224"/>
    <n v="11"/>
    <n v="0.11"/>
    <s v="Mobile"/>
    <n v="12"/>
    <n v="0"/>
    <n v="0"/>
    <n v="0"/>
    <n v="0"/>
    <x v="1"/>
  </r>
  <r>
    <x v="128"/>
    <s v="Other"/>
    <n v="52"/>
    <s v="DE"/>
    <s v="Free"/>
    <n v="211"/>
    <n v="48"/>
    <n v="0.47"/>
    <s v="Desktop"/>
    <n v="27"/>
    <n v="0"/>
    <n v="0"/>
    <n v="0"/>
    <n v="0"/>
    <x v="4"/>
  </r>
  <r>
    <x v="129"/>
    <s v="Female"/>
    <n v="35"/>
    <s v="DE"/>
    <s v="Free"/>
    <n v="34"/>
    <n v="1"/>
    <n v="0.45"/>
    <s v="Desktop"/>
    <n v="30"/>
    <n v="0"/>
    <n v="1"/>
    <n v="0"/>
    <n v="0"/>
    <x v="0"/>
  </r>
  <r>
    <x v="130"/>
    <s v="Other"/>
    <n v="54"/>
    <s v="FR"/>
    <s v="Free"/>
    <n v="225"/>
    <n v="60"/>
    <n v="0.19"/>
    <s v="Mobile"/>
    <n v="17"/>
    <n v="0"/>
    <n v="1"/>
    <n v="0"/>
    <n v="0"/>
    <x v="1"/>
  </r>
  <r>
    <x v="131"/>
    <s v="Female"/>
    <n v="49"/>
    <s v="UK"/>
    <s v="Free"/>
    <n v="266"/>
    <n v="2"/>
    <n v="0.46"/>
    <s v="Desktop"/>
    <n v="16"/>
    <n v="0"/>
    <n v="1"/>
    <n v="0"/>
    <n v="0"/>
    <x v="1"/>
  </r>
  <r>
    <x v="132"/>
    <s v="Other"/>
    <n v="51"/>
    <s v="UK"/>
    <s v="Free"/>
    <n v="294"/>
    <n v="73"/>
    <n v="0.28000000000000003"/>
    <s v="Mobile"/>
    <n v="15"/>
    <n v="0"/>
    <n v="0"/>
    <n v="0"/>
    <n v="0"/>
    <x v="1"/>
  </r>
  <r>
    <x v="133"/>
    <s v="Other"/>
    <n v="38"/>
    <s v="IN"/>
    <s v="Free"/>
    <n v="283"/>
    <n v="69"/>
    <n v="0.01"/>
    <s v="Desktop"/>
    <n v="35"/>
    <n v="0"/>
    <n v="0"/>
    <n v="0"/>
    <n v="0"/>
    <x v="0"/>
  </r>
  <r>
    <x v="134"/>
    <s v="Other"/>
    <n v="49"/>
    <s v="US"/>
    <s v="Free"/>
    <n v="270"/>
    <n v="92"/>
    <n v="0.38"/>
    <s v="Web"/>
    <n v="26"/>
    <n v="0"/>
    <n v="0"/>
    <n v="0"/>
    <n v="0"/>
    <x v="4"/>
  </r>
  <r>
    <x v="135"/>
    <s v="Other"/>
    <n v="38"/>
    <s v="UK"/>
    <s v="Free"/>
    <n v="208"/>
    <n v="18"/>
    <n v="0.38"/>
    <s v="Desktop"/>
    <n v="46"/>
    <n v="0"/>
    <n v="0"/>
    <n v="0"/>
    <n v="0"/>
    <x v="3"/>
  </r>
  <r>
    <x v="136"/>
    <s v="Female"/>
    <n v="57"/>
    <s v="AU"/>
    <s v="Free"/>
    <n v="54"/>
    <n v="65"/>
    <n v="0.01"/>
    <s v="Mobile"/>
    <n v="35"/>
    <n v="0"/>
    <n v="1"/>
    <n v="0"/>
    <n v="0"/>
    <x v="0"/>
  </r>
  <r>
    <x v="137"/>
    <s v="Female"/>
    <n v="53"/>
    <s v="FR"/>
    <s v="Free"/>
    <n v="226"/>
    <n v="99"/>
    <n v="0.05"/>
    <s v="Desktop"/>
    <n v="49"/>
    <n v="0"/>
    <n v="0"/>
    <n v="0"/>
    <n v="0"/>
    <x v="3"/>
  </r>
  <r>
    <x v="138"/>
    <s v="Female"/>
    <n v="20"/>
    <s v="CA"/>
    <s v="Free"/>
    <n v="115"/>
    <n v="28"/>
    <n v="0.09"/>
    <s v="Desktop"/>
    <n v="29"/>
    <n v="0"/>
    <n v="0"/>
    <n v="0"/>
    <n v="0"/>
    <x v="4"/>
  </r>
  <r>
    <x v="139"/>
    <s v="Female"/>
    <n v="43"/>
    <s v="PK"/>
    <s v="Free"/>
    <n v="55"/>
    <n v="64"/>
    <n v="7.0000000000000007E-2"/>
    <s v="Web"/>
    <n v="46"/>
    <n v="0"/>
    <n v="1"/>
    <n v="0"/>
    <n v="0"/>
    <x v="3"/>
  </r>
  <r>
    <x v="140"/>
    <s v="Other"/>
    <n v="56"/>
    <s v="US"/>
    <s v="Free"/>
    <n v="110"/>
    <n v="42"/>
    <n v="0.4"/>
    <s v="Desktop"/>
    <n v="16"/>
    <n v="0"/>
    <n v="1"/>
    <n v="0"/>
    <n v="0"/>
    <x v="1"/>
  </r>
  <r>
    <x v="141"/>
    <s v="Female"/>
    <n v="24"/>
    <s v="US"/>
    <s v="Free"/>
    <n v="250"/>
    <n v="81"/>
    <n v="0.27"/>
    <s v="Desktop"/>
    <n v="16"/>
    <n v="0"/>
    <n v="0"/>
    <n v="0"/>
    <n v="0"/>
    <x v="1"/>
  </r>
  <r>
    <x v="142"/>
    <s v="Male"/>
    <n v="35"/>
    <s v="PK"/>
    <s v="Free"/>
    <n v="270"/>
    <n v="39"/>
    <n v="0.28999999999999998"/>
    <s v="Web"/>
    <n v="30"/>
    <n v="0"/>
    <n v="0"/>
    <n v="0"/>
    <n v="0"/>
    <x v="0"/>
  </r>
  <r>
    <x v="143"/>
    <s v="Other"/>
    <n v="35"/>
    <s v="DE"/>
    <s v="Free"/>
    <n v="111"/>
    <n v="62"/>
    <n v="0.47"/>
    <s v="Web"/>
    <n v="13"/>
    <n v="0"/>
    <n v="1"/>
    <n v="0"/>
    <n v="0"/>
    <x v="1"/>
  </r>
  <r>
    <x v="144"/>
    <s v="Male"/>
    <n v="39"/>
    <s v="PK"/>
    <s v="Free"/>
    <n v="87"/>
    <n v="62"/>
    <n v="0.12"/>
    <s v="Web"/>
    <n v="46"/>
    <n v="0"/>
    <n v="0"/>
    <n v="0"/>
    <n v="0"/>
    <x v="3"/>
  </r>
  <r>
    <x v="145"/>
    <s v="Other"/>
    <n v="40"/>
    <s v="IN"/>
    <s v="Free"/>
    <n v="286"/>
    <n v="44"/>
    <n v="0.57999999999999996"/>
    <s v="Mobile"/>
    <n v="46"/>
    <n v="0"/>
    <n v="0"/>
    <n v="0"/>
    <n v="0"/>
    <x v="3"/>
  </r>
  <r>
    <x v="146"/>
    <s v="Other"/>
    <n v="46"/>
    <s v="IN"/>
    <s v="Free"/>
    <n v="261"/>
    <n v="12"/>
    <n v="0.6"/>
    <s v="Web"/>
    <n v="47"/>
    <n v="0"/>
    <n v="0"/>
    <n v="0"/>
    <n v="0"/>
    <x v="3"/>
  </r>
  <r>
    <x v="147"/>
    <s v="Other"/>
    <n v="45"/>
    <s v="PK"/>
    <s v="Free"/>
    <n v="124"/>
    <n v="49"/>
    <n v="0.05"/>
    <s v="Web"/>
    <n v="22"/>
    <n v="0"/>
    <n v="1"/>
    <n v="0"/>
    <n v="0"/>
    <x v="4"/>
  </r>
  <r>
    <x v="148"/>
    <s v="Other"/>
    <n v="38"/>
    <s v="US"/>
    <s v="Free"/>
    <n v="205"/>
    <n v="25"/>
    <n v="0.02"/>
    <s v="Desktop"/>
    <n v="33"/>
    <n v="0"/>
    <n v="0"/>
    <n v="0"/>
    <n v="0"/>
    <x v="0"/>
  </r>
  <r>
    <x v="149"/>
    <s v="Female"/>
    <n v="50"/>
    <s v="FR"/>
    <s v="Free"/>
    <n v="285"/>
    <n v="46"/>
    <n v="0.4"/>
    <s v="Web"/>
    <n v="46"/>
    <n v="0"/>
    <n v="0"/>
    <n v="0"/>
    <n v="0"/>
    <x v="3"/>
  </r>
  <r>
    <x v="150"/>
    <s v="Other"/>
    <n v="35"/>
    <s v="US"/>
    <s v="Free"/>
    <n v="205"/>
    <n v="71"/>
    <n v="0.28000000000000003"/>
    <s v="Mobile"/>
    <n v="16"/>
    <n v="0"/>
    <n v="0"/>
    <n v="0"/>
    <n v="0"/>
    <x v="1"/>
  </r>
  <r>
    <x v="151"/>
    <s v="Male"/>
    <n v="18"/>
    <s v="FR"/>
    <s v="Free"/>
    <n v="101"/>
    <n v="95"/>
    <n v="0.17"/>
    <s v="Web"/>
    <n v="22"/>
    <n v="0"/>
    <n v="0"/>
    <n v="0"/>
    <n v="0"/>
    <x v="4"/>
  </r>
  <r>
    <x v="152"/>
    <s v="Female"/>
    <n v="21"/>
    <s v="IN"/>
    <s v="Free"/>
    <n v="134"/>
    <n v="80"/>
    <n v="0.23"/>
    <s v="Mobile"/>
    <n v="41"/>
    <n v="0"/>
    <n v="0"/>
    <n v="0"/>
    <n v="0"/>
    <x v="3"/>
  </r>
  <r>
    <x v="153"/>
    <s v="Male"/>
    <n v="18"/>
    <s v="PK"/>
    <s v="Free"/>
    <n v="78"/>
    <n v="92"/>
    <n v="0.26"/>
    <s v="Web"/>
    <n v="32"/>
    <n v="0"/>
    <n v="0"/>
    <n v="0"/>
    <n v="0"/>
    <x v="0"/>
  </r>
  <r>
    <x v="154"/>
    <s v="Female"/>
    <n v="51"/>
    <s v="IN"/>
    <s v="Free"/>
    <n v="143"/>
    <n v="35"/>
    <n v="0.08"/>
    <s v="Mobile"/>
    <n v="23"/>
    <n v="0"/>
    <n v="0"/>
    <n v="0"/>
    <n v="0"/>
    <x v="4"/>
  </r>
  <r>
    <x v="155"/>
    <s v="Male"/>
    <n v="41"/>
    <s v="UK"/>
    <s v="Free"/>
    <n v="196"/>
    <n v="51"/>
    <n v="0.35"/>
    <s v="Web"/>
    <n v="14"/>
    <n v="0"/>
    <n v="0"/>
    <n v="0"/>
    <n v="0"/>
    <x v="1"/>
  </r>
  <r>
    <x v="156"/>
    <s v="Female"/>
    <n v="28"/>
    <s v="UK"/>
    <s v="Free"/>
    <n v="125"/>
    <n v="94"/>
    <n v="0.33"/>
    <s v="Mobile"/>
    <n v="28"/>
    <n v="0"/>
    <n v="0"/>
    <n v="0"/>
    <n v="0"/>
    <x v="4"/>
  </r>
  <r>
    <x v="157"/>
    <s v="Male"/>
    <n v="37"/>
    <s v="UK"/>
    <s v="Free"/>
    <n v="138"/>
    <n v="87"/>
    <n v="0.28999999999999998"/>
    <s v="Mobile"/>
    <n v="31"/>
    <n v="0"/>
    <n v="1"/>
    <n v="0"/>
    <n v="0"/>
    <x v="0"/>
  </r>
  <r>
    <x v="158"/>
    <s v="Female"/>
    <n v="31"/>
    <s v="UK"/>
    <s v="Free"/>
    <n v="205"/>
    <n v="64"/>
    <n v="0.24"/>
    <s v="Desktop"/>
    <n v="42"/>
    <n v="0"/>
    <n v="0"/>
    <n v="0"/>
    <n v="0"/>
    <x v="3"/>
  </r>
  <r>
    <x v="159"/>
    <s v="Male"/>
    <n v="57"/>
    <s v="CA"/>
    <s v="Free"/>
    <n v="11"/>
    <n v="52"/>
    <n v="0.49"/>
    <s v="Mobile"/>
    <n v="37"/>
    <n v="0"/>
    <n v="1"/>
    <n v="0"/>
    <n v="0"/>
    <x v="0"/>
  </r>
  <r>
    <x v="160"/>
    <s v="Other"/>
    <n v="58"/>
    <s v="US"/>
    <s v="Free"/>
    <n v="112"/>
    <n v="1"/>
    <n v="0.17"/>
    <s v="Mobile"/>
    <n v="12"/>
    <n v="0"/>
    <n v="0"/>
    <n v="0"/>
    <n v="0"/>
    <x v="1"/>
  </r>
  <r>
    <x v="161"/>
    <s v="Male"/>
    <n v="16"/>
    <s v="DE"/>
    <s v="Free"/>
    <n v="85"/>
    <n v="98"/>
    <n v="0.51"/>
    <s v="Mobile"/>
    <n v="21"/>
    <n v="0"/>
    <n v="0"/>
    <n v="0"/>
    <n v="0"/>
    <x v="4"/>
  </r>
  <r>
    <x v="162"/>
    <s v="Female"/>
    <n v="32"/>
    <s v="UK"/>
    <s v="Free"/>
    <n v="113"/>
    <n v="88"/>
    <n v="0.01"/>
    <s v="Desktop"/>
    <n v="45"/>
    <n v="0"/>
    <n v="0"/>
    <n v="0"/>
    <n v="0"/>
    <x v="3"/>
  </r>
  <r>
    <x v="163"/>
    <s v="Other"/>
    <n v="56"/>
    <s v="IN"/>
    <s v="Free"/>
    <n v="290"/>
    <n v="84"/>
    <n v="0.05"/>
    <s v="Desktop"/>
    <n v="30"/>
    <n v="0"/>
    <n v="0"/>
    <n v="0"/>
    <n v="0"/>
    <x v="0"/>
  </r>
  <r>
    <x v="164"/>
    <s v="Other"/>
    <n v="20"/>
    <s v="AU"/>
    <s v="Free"/>
    <n v="106"/>
    <n v="10"/>
    <n v="0.19"/>
    <s v="Mobile"/>
    <n v="10"/>
    <n v="0"/>
    <n v="0"/>
    <n v="0"/>
    <n v="0"/>
    <x v="1"/>
  </r>
  <r>
    <x v="165"/>
    <s v="Male"/>
    <n v="22"/>
    <s v="AU"/>
    <s v="Free"/>
    <n v="287"/>
    <n v="17"/>
    <n v="0.42"/>
    <s v="Mobile"/>
    <n v="40"/>
    <n v="0"/>
    <n v="0"/>
    <n v="0"/>
    <n v="0"/>
    <x v="3"/>
  </r>
  <r>
    <x v="166"/>
    <s v="Male"/>
    <n v="54"/>
    <s v="UK"/>
    <s v="Free"/>
    <n v="89"/>
    <n v="95"/>
    <n v="0.36"/>
    <s v="Desktop"/>
    <n v="38"/>
    <n v="0"/>
    <n v="0"/>
    <n v="0"/>
    <n v="0"/>
    <x v="0"/>
  </r>
  <r>
    <x v="167"/>
    <s v="Male"/>
    <n v="50"/>
    <s v="PK"/>
    <s v="Free"/>
    <n v="200"/>
    <n v="14"/>
    <n v="0.28000000000000003"/>
    <s v="Desktop"/>
    <n v="46"/>
    <n v="0"/>
    <n v="0"/>
    <n v="0"/>
    <n v="0"/>
    <x v="3"/>
  </r>
  <r>
    <x v="168"/>
    <s v="Other"/>
    <n v="49"/>
    <s v="UK"/>
    <s v="Free"/>
    <n v="295"/>
    <n v="17"/>
    <n v="0.4"/>
    <s v="Web"/>
    <n v="31"/>
    <n v="0"/>
    <n v="0"/>
    <n v="0"/>
    <n v="0"/>
    <x v="0"/>
  </r>
  <r>
    <x v="169"/>
    <s v="Female"/>
    <n v="39"/>
    <s v="UK"/>
    <s v="Free"/>
    <n v="220"/>
    <n v="18"/>
    <n v="0.05"/>
    <s v="Mobile"/>
    <n v="18"/>
    <n v="0"/>
    <n v="0"/>
    <n v="0"/>
    <n v="0"/>
    <x v="1"/>
  </r>
  <r>
    <x v="170"/>
    <s v="Female"/>
    <n v="38"/>
    <s v="UK"/>
    <s v="Free"/>
    <n v="245"/>
    <n v="12"/>
    <n v="0.52"/>
    <s v="Desktop"/>
    <n v="48"/>
    <n v="0"/>
    <n v="1"/>
    <n v="0"/>
    <n v="0"/>
    <x v="3"/>
  </r>
  <r>
    <x v="171"/>
    <s v="Male"/>
    <n v="31"/>
    <s v="CA"/>
    <s v="Free"/>
    <n v="30"/>
    <n v="42"/>
    <n v="0.06"/>
    <s v="Mobile"/>
    <n v="44"/>
    <n v="0"/>
    <n v="0"/>
    <n v="0"/>
    <n v="0"/>
    <x v="3"/>
  </r>
  <r>
    <x v="172"/>
    <s v="Female"/>
    <n v="44"/>
    <s v="PK"/>
    <s v="Free"/>
    <n v="133"/>
    <n v="18"/>
    <n v="0.4"/>
    <s v="Mobile"/>
    <n v="11"/>
    <n v="0"/>
    <n v="0"/>
    <n v="0"/>
    <n v="0"/>
    <x v="1"/>
  </r>
  <r>
    <x v="173"/>
    <s v="Female"/>
    <n v="47"/>
    <s v="DE"/>
    <s v="Free"/>
    <n v="272"/>
    <n v="8"/>
    <n v="0.32"/>
    <s v="Mobile"/>
    <n v="44"/>
    <n v="0"/>
    <n v="0"/>
    <n v="0"/>
    <n v="0"/>
    <x v="3"/>
  </r>
  <r>
    <x v="174"/>
    <s v="Female"/>
    <n v="55"/>
    <s v="AU"/>
    <s v="Free"/>
    <n v="281"/>
    <n v="21"/>
    <n v="0.12"/>
    <s v="Mobile"/>
    <n v="42"/>
    <n v="0"/>
    <n v="0"/>
    <n v="0"/>
    <n v="0"/>
    <x v="3"/>
  </r>
  <r>
    <x v="175"/>
    <s v="Female"/>
    <n v="40"/>
    <s v="PK"/>
    <s v="Free"/>
    <n v="210"/>
    <n v="64"/>
    <n v="0.56000000000000005"/>
    <s v="Web"/>
    <n v="13"/>
    <n v="0"/>
    <n v="0"/>
    <n v="0"/>
    <n v="0"/>
    <x v="1"/>
  </r>
  <r>
    <x v="176"/>
    <s v="Male"/>
    <n v="52"/>
    <s v="UK"/>
    <s v="Free"/>
    <n v="252"/>
    <n v="44"/>
    <n v="0.34"/>
    <s v="Mobile"/>
    <n v="24"/>
    <n v="0"/>
    <n v="0"/>
    <n v="0"/>
    <n v="0"/>
    <x v="4"/>
  </r>
  <r>
    <x v="177"/>
    <s v="Male"/>
    <n v="56"/>
    <s v="UK"/>
    <s v="Free"/>
    <n v="30"/>
    <n v="66"/>
    <n v="0.35"/>
    <s v="Mobile"/>
    <n v="31"/>
    <n v="0"/>
    <n v="0"/>
    <n v="0"/>
    <n v="0"/>
    <x v="0"/>
  </r>
  <r>
    <x v="178"/>
    <s v="Female"/>
    <n v="37"/>
    <s v="FR"/>
    <s v="Free"/>
    <n v="252"/>
    <n v="58"/>
    <n v="0.41"/>
    <s v="Web"/>
    <n v="28"/>
    <n v="0"/>
    <n v="0"/>
    <n v="0"/>
    <n v="0"/>
    <x v="4"/>
  </r>
  <r>
    <x v="179"/>
    <s v="Male"/>
    <n v="39"/>
    <s v="US"/>
    <s v="Free"/>
    <n v="79"/>
    <n v="5"/>
    <n v="0.37"/>
    <s v="Mobile"/>
    <n v="7"/>
    <n v="0"/>
    <n v="0"/>
    <n v="0"/>
    <n v="0"/>
    <x v="2"/>
  </r>
  <r>
    <x v="180"/>
    <s v="Other"/>
    <n v="51"/>
    <s v="PK"/>
    <s v="Free"/>
    <n v="250"/>
    <n v="72"/>
    <n v="0.12"/>
    <s v="Web"/>
    <n v="40"/>
    <n v="0"/>
    <n v="1"/>
    <n v="0"/>
    <n v="0"/>
    <x v="3"/>
  </r>
  <r>
    <x v="181"/>
    <s v="Female"/>
    <n v="18"/>
    <s v="PK"/>
    <s v="Free"/>
    <n v="157"/>
    <n v="48"/>
    <n v="0.44"/>
    <s v="Mobile"/>
    <n v="18"/>
    <n v="0"/>
    <n v="1"/>
    <n v="0"/>
    <n v="0"/>
    <x v="1"/>
  </r>
  <r>
    <x v="182"/>
    <s v="Other"/>
    <n v="38"/>
    <s v="IN"/>
    <s v="Free"/>
    <n v="186"/>
    <n v="46"/>
    <n v="7.0000000000000007E-2"/>
    <s v="Mobile"/>
    <n v="30"/>
    <n v="0"/>
    <n v="0"/>
    <n v="0"/>
    <n v="0"/>
    <x v="0"/>
  </r>
  <r>
    <x v="183"/>
    <s v="Male"/>
    <n v="36"/>
    <s v="CA"/>
    <s v="Free"/>
    <n v="77"/>
    <n v="85"/>
    <n v="0"/>
    <s v="Web"/>
    <n v="46"/>
    <n v="0"/>
    <n v="0"/>
    <n v="0"/>
    <n v="0"/>
    <x v="3"/>
  </r>
  <r>
    <x v="184"/>
    <s v="Other"/>
    <n v="22"/>
    <s v="AU"/>
    <s v="Free"/>
    <n v="276"/>
    <n v="11"/>
    <n v="0.13"/>
    <s v="Desktop"/>
    <n v="9"/>
    <n v="0"/>
    <n v="0"/>
    <n v="0"/>
    <n v="0"/>
    <x v="2"/>
  </r>
  <r>
    <x v="185"/>
    <s v="Male"/>
    <n v="33"/>
    <s v="CA"/>
    <s v="Free"/>
    <n v="100"/>
    <n v="8"/>
    <n v="0.02"/>
    <s v="Mobile"/>
    <n v="45"/>
    <n v="0"/>
    <n v="0"/>
    <n v="0"/>
    <n v="0"/>
    <x v="3"/>
  </r>
  <r>
    <x v="186"/>
    <s v="Other"/>
    <n v="17"/>
    <s v="UK"/>
    <s v="Free"/>
    <n v="206"/>
    <n v="27"/>
    <n v="0.42"/>
    <s v="Desktop"/>
    <n v="49"/>
    <n v="0"/>
    <n v="0"/>
    <n v="0"/>
    <n v="0"/>
    <x v="3"/>
  </r>
  <r>
    <x v="187"/>
    <s v="Other"/>
    <n v="17"/>
    <s v="DE"/>
    <s v="Free"/>
    <n v="125"/>
    <n v="77"/>
    <n v="0.26"/>
    <s v="Desktop"/>
    <n v="18"/>
    <n v="0"/>
    <n v="0"/>
    <n v="0"/>
    <n v="0"/>
    <x v="1"/>
  </r>
  <r>
    <x v="188"/>
    <s v="Female"/>
    <n v="18"/>
    <s v="DE"/>
    <s v="Free"/>
    <n v="213"/>
    <n v="1"/>
    <n v="0.35"/>
    <s v="Desktop"/>
    <n v="5"/>
    <n v="0"/>
    <n v="1"/>
    <n v="0"/>
    <n v="0"/>
    <x v="2"/>
  </r>
  <r>
    <x v="189"/>
    <s v="Male"/>
    <n v="46"/>
    <s v="FR"/>
    <s v="Free"/>
    <n v="193"/>
    <n v="94"/>
    <n v="0.18"/>
    <s v="Mobile"/>
    <n v="17"/>
    <n v="0"/>
    <n v="0"/>
    <n v="0"/>
    <n v="0"/>
    <x v="1"/>
  </r>
  <r>
    <x v="190"/>
    <s v="Other"/>
    <n v="19"/>
    <s v="AU"/>
    <s v="Free"/>
    <n v="26"/>
    <n v="2"/>
    <n v="0.57999999999999996"/>
    <s v="Web"/>
    <n v="35"/>
    <n v="0"/>
    <n v="1"/>
    <n v="0"/>
    <n v="0"/>
    <x v="0"/>
  </r>
  <r>
    <x v="191"/>
    <s v="Other"/>
    <n v="19"/>
    <s v="FR"/>
    <s v="Free"/>
    <n v="197"/>
    <n v="33"/>
    <n v="0.17"/>
    <s v="Web"/>
    <n v="41"/>
    <n v="0"/>
    <n v="0"/>
    <n v="0"/>
    <n v="0"/>
    <x v="3"/>
  </r>
  <r>
    <x v="192"/>
    <s v="Female"/>
    <n v="22"/>
    <s v="UK"/>
    <s v="Free"/>
    <n v="87"/>
    <n v="60"/>
    <n v="0.34"/>
    <s v="Desktop"/>
    <n v="41"/>
    <n v="0"/>
    <n v="0"/>
    <n v="0"/>
    <n v="0"/>
    <x v="3"/>
  </r>
  <r>
    <x v="193"/>
    <s v="Female"/>
    <n v="20"/>
    <s v="FR"/>
    <s v="Free"/>
    <n v="181"/>
    <n v="81"/>
    <n v="0.12"/>
    <s v="Mobile"/>
    <n v="43"/>
    <n v="0"/>
    <n v="0"/>
    <n v="0"/>
    <n v="0"/>
    <x v="3"/>
  </r>
  <r>
    <x v="194"/>
    <s v="Male"/>
    <n v="17"/>
    <s v="US"/>
    <s v="Free"/>
    <n v="250"/>
    <n v="80"/>
    <n v="0.27"/>
    <s v="Web"/>
    <n v="12"/>
    <n v="0"/>
    <n v="0"/>
    <n v="0"/>
    <n v="0"/>
    <x v="1"/>
  </r>
  <r>
    <x v="195"/>
    <s v="Female"/>
    <n v="25"/>
    <s v="PK"/>
    <s v="Free"/>
    <n v="118"/>
    <n v="77"/>
    <n v="0.56999999999999995"/>
    <s v="Web"/>
    <n v="43"/>
    <n v="0"/>
    <n v="0"/>
    <n v="0"/>
    <n v="0"/>
    <x v="3"/>
  </r>
  <r>
    <x v="196"/>
    <s v="Female"/>
    <n v="39"/>
    <s v="CA"/>
    <s v="Free"/>
    <n v="162"/>
    <n v="4"/>
    <n v="0.49"/>
    <s v="Web"/>
    <n v="5"/>
    <n v="0"/>
    <n v="0"/>
    <n v="0"/>
    <n v="0"/>
    <x v="2"/>
  </r>
  <r>
    <x v="197"/>
    <s v="Male"/>
    <n v="54"/>
    <s v="IN"/>
    <s v="Free"/>
    <n v="48"/>
    <n v="26"/>
    <n v="0.56000000000000005"/>
    <s v="Mobile"/>
    <n v="5"/>
    <n v="0"/>
    <n v="0"/>
    <n v="0"/>
    <n v="0"/>
    <x v="2"/>
  </r>
  <r>
    <x v="198"/>
    <s v="Female"/>
    <n v="40"/>
    <s v="CA"/>
    <s v="Free"/>
    <n v="89"/>
    <n v="5"/>
    <n v="0.39"/>
    <s v="Web"/>
    <n v="30"/>
    <n v="0"/>
    <n v="0"/>
    <n v="0"/>
    <n v="0"/>
    <x v="0"/>
  </r>
  <r>
    <x v="199"/>
    <s v="Male"/>
    <n v="44"/>
    <s v="UK"/>
    <s v="Free"/>
    <n v="58"/>
    <n v="61"/>
    <n v="0.26"/>
    <s v="Desktop"/>
    <n v="14"/>
    <n v="0"/>
    <n v="0"/>
    <n v="0"/>
    <n v="0"/>
    <x v="1"/>
  </r>
  <r>
    <x v="200"/>
    <s v="Male"/>
    <n v="33"/>
    <s v="DE"/>
    <s v="Free"/>
    <n v="239"/>
    <n v="17"/>
    <n v="0.25"/>
    <s v="Web"/>
    <n v="28"/>
    <n v="0"/>
    <n v="1"/>
    <n v="0"/>
    <n v="0"/>
    <x v="4"/>
  </r>
  <r>
    <x v="201"/>
    <s v="Female"/>
    <n v="27"/>
    <s v="CA"/>
    <s v="Free"/>
    <n v="230"/>
    <n v="13"/>
    <n v="0.24"/>
    <s v="Mobile"/>
    <n v="46"/>
    <n v="0"/>
    <n v="1"/>
    <n v="0"/>
    <n v="0"/>
    <x v="3"/>
  </r>
  <r>
    <x v="202"/>
    <s v="Male"/>
    <n v="24"/>
    <s v="FR"/>
    <s v="Free"/>
    <n v="119"/>
    <n v="67"/>
    <n v="0.08"/>
    <s v="Mobile"/>
    <n v="11"/>
    <n v="0"/>
    <n v="0"/>
    <n v="0"/>
    <n v="0"/>
    <x v="1"/>
  </r>
  <r>
    <x v="203"/>
    <s v="Other"/>
    <n v="49"/>
    <s v="US"/>
    <s v="Free"/>
    <n v="132"/>
    <n v="31"/>
    <n v="0.22"/>
    <s v="Desktop"/>
    <n v="6"/>
    <n v="0"/>
    <n v="0"/>
    <n v="0"/>
    <n v="0"/>
    <x v="2"/>
  </r>
  <r>
    <x v="204"/>
    <s v="Male"/>
    <n v="52"/>
    <s v="CA"/>
    <s v="Free"/>
    <n v="251"/>
    <n v="30"/>
    <n v="0.28999999999999998"/>
    <s v="Desktop"/>
    <n v="37"/>
    <n v="0"/>
    <n v="0"/>
    <n v="0"/>
    <n v="0"/>
    <x v="0"/>
  </r>
  <r>
    <x v="205"/>
    <s v="Female"/>
    <n v="45"/>
    <s v="PK"/>
    <s v="Free"/>
    <n v="221"/>
    <n v="6"/>
    <n v="0.48"/>
    <s v="Mobile"/>
    <n v="21"/>
    <n v="0"/>
    <n v="1"/>
    <n v="0"/>
    <n v="0"/>
    <x v="4"/>
  </r>
  <r>
    <x v="206"/>
    <s v="Male"/>
    <n v="59"/>
    <s v="AU"/>
    <s v="Free"/>
    <n v="51"/>
    <n v="99"/>
    <n v="0.55000000000000004"/>
    <s v="Web"/>
    <n v="8"/>
    <n v="0"/>
    <n v="1"/>
    <n v="0"/>
    <n v="0"/>
    <x v="2"/>
  </r>
  <r>
    <x v="207"/>
    <s v="Female"/>
    <n v="48"/>
    <s v="FR"/>
    <s v="Free"/>
    <n v="246"/>
    <n v="27"/>
    <n v="0.41"/>
    <s v="Web"/>
    <n v="24"/>
    <n v="0"/>
    <n v="0"/>
    <n v="0"/>
    <n v="0"/>
    <x v="4"/>
  </r>
  <r>
    <x v="208"/>
    <s v="Other"/>
    <n v="28"/>
    <s v="FR"/>
    <s v="Free"/>
    <n v="26"/>
    <n v="59"/>
    <n v="0.25"/>
    <s v="Desktop"/>
    <n v="5"/>
    <n v="0"/>
    <n v="0"/>
    <n v="0"/>
    <n v="0"/>
    <x v="2"/>
  </r>
  <r>
    <x v="209"/>
    <s v="Female"/>
    <n v="48"/>
    <s v="IN"/>
    <s v="Free"/>
    <n v="134"/>
    <n v="79"/>
    <n v="0.16"/>
    <s v="Mobile"/>
    <n v="31"/>
    <n v="0"/>
    <n v="0"/>
    <n v="0"/>
    <n v="0"/>
    <x v="0"/>
  </r>
  <r>
    <x v="210"/>
    <s v="Female"/>
    <n v="33"/>
    <s v="UK"/>
    <s v="Free"/>
    <n v="288"/>
    <n v="13"/>
    <n v="0.59"/>
    <s v="Desktop"/>
    <n v="39"/>
    <n v="0"/>
    <n v="1"/>
    <n v="0"/>
    <n v="0"/>
    <x v="0"/>
  </r>
  <r>
    <x v="211"/>
    <s v="Female"/>
    <n v="57"/>
    <s v="FR"/>
    <s v="Free"/>
    <n v="206"/>
    <n v="97"/>
    <n v="0.39"/>
    <s v="Desktop"/>
    <n v="38"/>
    <n v="0"/>
    <n v="1"/>
    <n v="0"/>
    <n v="0"/>
    <x v="0"/>
  </r>
  <r>
    <x v="212"/>
    <s v="Male"/>
    <n v="16"/>
    <s v="CA"/>
    <s v="Free"/>
    <n v="183"/>
    <n v="71"/>
    <n v="0.1"/>
    <s v="Mobile"/>
    <n v="22"/>
    <n v="0"/>
    <n v="0"/>
    <n v="0"/>
    <n v="0"/>
    <x v="4"/>
  </r>
  <r>
    <x v="213"/>
    <s v="Male"/>
    <n v="57"/>
    <s v="IN"/>
    <s v="Free"/>
    <n v="212"/>
    <n v="90"/>
    <n v="0.22"/>
    <s v="Mobile"/>
    <n v="14"/>
    <n v="0"/>
    <n v="0"/>
    <n v="0"/>
    <n v="0"/>
    <x v="1"/>
  </r>
  <r>
    <x v="214"/>
    <s v="Female"/>
    <n v="50"/>
    <s v="US"/>
    <s v="Free"/>
    <n v="210"/>
    <n v="48"/>
    <n v="0.25"/>
    <s v="Desktop"/>
    <n v="21"/>
    <n v="0"/>
    <n v="0"/>
    <n v="0"/>
    <n v="0"/>
    <x v="4"/>
  </r>
  <r>
    <x v="215"/>
    <s v="Male"/>
    <n v="29"/>
    <s v="PK"/>
    <s v="Free"/>
    <n v="128"/>
    <n v="5"/>
    <n v="0.25"/>
    <s v="Web"/>
    <n v="7"/>
    <n v="0"/>
    <n v="0"/>
    <n v="0"/>
    <n v="0"/>
    <x v="2"/>
  </r>
  <r>
    <x v="216"/>
    <s v="Male"/>
    <n v="45"/>
    <s v="PK"/>
    <s v="Free"/>
    <n v="254"/>
    <n v="75"/>
    <n v="0.56000000000000005"/>
    <s v="Web"/>
    <n v="31"/>
    <n v="0"/>
    <n v="0"/>
    <n v="0"/>
    <n v="0"/>
    <x v="0"/>
  </r>
  <r>
    <x v="217"/>
    <s v="Other"/>
    <n v="20"/>
    <s v="AU"/>
    <s v="Free"/>
    <n v="170"/>
    <n v="8"/>
    <n v="0.28999999999999998"/>
    <s v="Desktop"/>
    <n v="46"/>
    <n v="0"/>
    <n v="0"/>
    <n v="0"/>
    <n v="0"/>
    <x v="3"/>
  </r>
  <r>
    <x v="218"/>
    <s v="Female"/>
    <n v="47"/>
    <s v="AU"/>
    <s v="Free"/>
    <n v="208"/>
    <n v="49"/>
    <n v="0.3"/>
    <s v="Mobile"/>
    <n v="45"/>
    <n v="0"/>
    <n v="0"/>
    <n v="0"/>
    <n v="0"/>
    <x v="3"/>
  </r>
  <r>
    <x v="219"/>
    <s v="Male"/>
    <n v="48"/>
    <s v="US"/>
    <s v="Free"/>
    <n v="243"/>
    <n v="48"/>
    <n v="0.6"/>
    <s v="Desktop"/>
    <n v="33"/>
    <n v="0"/>
    <n v="1"/>
    <n v="0"/>
    <n v="0"/>
    <x v="0"/>
  </r>
  <r>
    <x v="220"/>
    <s v="Other"/>
    <n v="47"/>
    <s v="DE"/>
    <s v="Free"/>
    <n v="271"/>
    <n v="94"/>
    <n v="0.52"/>
    <s v="Desktop"/>
    <n v="31"/>
    <n v="0"/>
    <n v="1"/>
    <n v="0"/>
    <n v="0"/>
    <x v="0"/>
  </r>
  <r>
    <x v="221"/>
    <s v="Other"/>
    <n v="48"/>
    <s v="UK"/>
    <s v="Free"/>
    <n v="287"/>
    <n v="79"/>
    <n v="0.13"/>
    <s v="Desktop"/>
    <n v="24"/>
    <n v="0"/>
    <n v="1"/>
    <n v="0"/>
    <n v="0"/>
    <x v="4"/>
  </r>
  <r>
    <x v="222"/>
    <s v="Other"/>
    <n v="28"/>
    <s v="US"/>
    <s v="Free"/>
    <n v="67"/>
    <n v="67"/>
    <n v="0.13"/>
    <s v="Web"/>
    <n v="44"/>
    <n v="0"/>
    <n v="0"/>
    <n v="0"/>
    <n v="0"/>
    <x v="3"/>
  </r>
  <r>
    <x v="223"/>
    <s v="Male"/>
    <n v="36"/>
    <s v="FR"/>
    <s v="Free"/>
    <n v="102"/>
    <n v="71"/>
    <n v="0.34"/>
    <s v="Web"/>
    <n v="20"/>
    <n v="0"/>
    <n v="0"/>
    <n v="0"/>
    <n v="0"/>
    <x v="4"/>
  </r>
  <r>
    <x v="224"/>
    <s v="Female"/>
    <n v="53"/>
    <s v="CA"/>
    <s v="Free"/>
    <n v="266"/>
    <n v="33"/>
    <n v="0.23"/>
    <s v="Desktop"/>
    <n v="32"/>
    <n v="0"/>
    <n v="1"/>
    <n v="0"/>
    <n v="0"/>
    <x v="0"/>
  </r>
  <r>
    <x v="225"/>
    <s v="Male"/>
    <n v="55"/>
    <s v="DE"/>
    <s v="Free"/>
    <n v="236"/>
    <n v="34"/>
    <n v="0.38"/>
    <s v="Mobile"/>
    <n v="47"/>
    <n v="0"/>
    <n v="0"/>
    <n v="0"/>
    <n v="0"/>
    <x v="3"/>
  </r>
  <r>
    <x v="226"/>
    <s v="Male"/>
    <n v="18"/>
    <s v="FR"/>
    <s v="Free"/>
    <n v="30"/>
    <n v="29"/>
    <n v="0.03"/>
    <s v="Mobile"/>
    <n v="46"/>
    <n v="0"/>
    <n v="0"/>
    <n v="0"/>
    <n v="0"/>
    <x v="3"/>
  </r>
  <r>
    <x v="227"/>
    <s v="Other"/>
    <n v="42"/>
    <s v="AU"/>
    <s v="Free"/>
    <n v="121"/>
    <n v="14"/>
    <n v="0.41"/>
    <s v="Desktop"/>
    <n v="37"/>
    <n v="0"/>
    <n v="0"/>
    <n v="0"/>
    <n v="0"/>
    <x v="0"/>
  </r>
  <r>
    <x v="228"/>
    <s v="Male"/>
    <n v="51"/>
    <s v="FR"/>
    <s v="Free"/>
    <n v="272"/>
    <n v="20"/>
    <n v="0.17"/>
    <s v="Desktop"/>
    <n v="11"/>
    <n v="0"/>
    <n v="0"/>
    <n v="0"/>
    <n v="0"/>
    <x v="1"/>
  </r>
  <r>
    <x v="229"/>
    <s v="Other"/>
    <n v="17"/>
    <s v="US"/>
    <s v="Free"/>
    <n v="125"/>
    <n v="30"/>
    <n v="0.25"/>
    <s v="Desktop"/>
    <n v="25"/>
    <n v="0"/>
    <n v="0"/>
    <n v="0"/>
    <n v="0"/>
    <x v="4"/>
  </r>
  <r>
    <x v="230"/>
    <s v="Male"/>
    <n v="37"/>
    <s v="PK"/>
    <s v="Free"/>
    <n v="287"/>
    <n v="94"/>
    <n v="0.5"/>
    <s v="Mobile"/>
    <n v="28"/>
    <n v="0"/>
    <n v="0"/>
    <n v="0"/>
    <n v="0"/>
    <x v="4"/>
  </r>
  <r>
    <x v="231"/>
    <s v="Male"/>
    <n v="43"/>
    <s v="US"/>
    <s v="Free"/>
    <n v="58"/>
    <n v="3"/>
    <n v="0.22"/>
    <s v="Desktop"/>
    <n v="20"/>
    <n v="0"/>
    <n v="1"/>
    <n v="0"/>
    <n v="0"/>
    <x v="4"/>
  </r>
  <r>
    <x v="232"/>
    <s v="Female"/>
    <n v="37"/>
    <s v="US"/>
    <s v="Free"/>
    <n v="195"/>
    <n v="27"/>
    <n v="0.11"/>
    <s v="Desktop"/>
    <n v="31"/>
    <n v="0"/>
    <n v="0"/>
    <n v="0"/>
    <n v="0"/>
    <x v="0"/>
  </r>
  <r>
    <x v="233"/>
    <s v="Male"/>
    <n v="41"/>
    <s v="AU"/>
    <s v="Free"/>
    <n v="248"/>
    <n v="79"/>
    <n v="0.37"/>
    <s v="Mobile"/>
    <n v="16"/>
    <n v="0"/>
    <n v="0"/>
    <n v="0"/>
    <n v="0"/>
    <x v="1"/>
  </r>
  <r>
    <x v="234"/>
    <s v="Female"/>
    <n v="47"/>
    <s v="FR"/>
    <s v="Free"/>
    <n v="212"/>
    <n v="50"/>
    <n v="0.44"/>
    <s v="Desktop"/>
    <n v="39"/>
    <n v="0"/>
    <n v="1"/>
    <n v="0"/>
    <n v="0"/>
    <x v="0"/>
  </r>
  <r>
    <x v="235"/>
    <s v="Female"/>
    <n v="43"/>
    <s v="UK"/>
    <s v="Free"/>
    <n v="197"/>
    <n v="77"/>
    <n v="0.43"/>
    <s v="Mobile"/>
    <n v="27"/>
    <n v="0"/>
    <n v="1"/>
    <n v="0"/>
    <n v="0"/>
    <x v="4"/>
  </r>
  <r>
    <x v="236"/>
    <s v="Male"/>
    <n v="56"/>
    <s v="CA"/>
    <s v="Free"/>
    <n v="252"/>
    <n v="98"/>
    <n v="0.48"/>
    <s v="Web"/>
    <n v="19"/>
    <n v="0"/>
    <n v="0"/>
    <n v="0"/>
    <n v="0"/>
    <x v="1"/>
  </r>
  <r>
    <x v="237"/>
    <s v="Other"/>
    <n v="39"/>
    <s v="DE"/>
    <s v="Free"/>
    <n v="142"/>
    <n v="46"/>
    <n v="0.45"/>
    <s v="Web"/>
    <n v="40"/>
    <n v="0"/>
    <n v="0"/>
    <n v="0"/>
    <n v="0"/>
    <x v="3"/>
  </r>
  <r>
    <x v="238"/>
    <s v="Female"/>
    <n v="25"/>
    <s v="CA"/>
    <s v="Free"/>
    <n v="31"/>
    <n v="15"/>
    <n v="0.01"/>
    <s v="Mobile"/>
    <n v="38"/>
    <n v="0"/>
    <n v="0"/>
    <n v="0"/>
    <n v="0"/>
    <x v="0"/>
  </r>
  <r>
    <x v="239"/>
    <s v="Female"/>
    <n v="38"/>
    <s v="FR"/>
    <s v="Free"/>
    <n v="125"/>
    <n v="63"/>
    <n v="0.59"/>
    <s v="Web"/>
    <n v="12"/>
    <n v="0"/>
    <n v="0"/>
    <n v="0"/>
    <n v="0"/>
    <x v="1"/>
  </r>
  <r>
    <x v="240"/>
    <s v="Other"/>
    <n v="22"/>
    <s v="US"/>
    <s v="Free"/>
    <n v="29"/>
    <n v="35"/>
    <n v="0.46"/>
    <s v="Web"/>
    <n v="9"/>
    <n v="0"/>
    <n v="0"/>
    <n v="0"/>
    <n v="0"/>
    <x v="2"/>
  </r>
  <r>
    <x v="241"/>
    <s v="Female"/>
    <n v="22"/>
    <s v="US"/>
    <s v="Free"/>
    <n v="224"/>
    <n v="4"/>
    <n v="0.04"/>
    <s v="Web"/>
    <n v="13"/>
    <n v="0"/>
    <n v="0"/>
    <n v="0"/>
    <n v="0"/>
    <x v="1"/>
  </r>
  <r>
    <x v="242"/>
    <s v="Other"/>
    <n v="33"/>
    <s v="PK"/>
    <s v="Free"/>
    <n v="140"/>
    <n v="40"/>
    <n v="0.27"/>
    <s v="Web"/>
    <n v="32"/>
    <n v="0"/>
    <n v="0"/>
    <n v="0"/>
    <n v="0"/>
    <x v="0"/>
  </r>
  <r>
    <x v="243"/>
    <s v="Male"/>
    <n v="56"/>
    <s v="DE"/>
    <s v="Free"/>
    <n v="211"/>
    <n v="86"/>
    <n v="0.48"/>
    <s v="Web"/>
    <n v="7"/>
    <n v="0"/>
    <n v="0"/>
    <n v="0"/>
    <n v="0"/>
    <x v="2"/>
  </r>
  <r>
    <x v="244"/>
    <s v="Male"/>
    <n v="30"/>
    <s v="UK"/>
    <s v="Free"/>
    <n v="10"/>
    <n v="57"/>
    <n v="0.05"/>
    <s v="Web"/>
    <n v="5"/>
    <n v="0"/>
    <n v="0"/>
    <n v="0"/>
    <n v="0"/>
    <x v="2"/>
  </r>
  <r>
    <x v="245"/>
    <s v="Other"/>
    <n v="53"/>
    <s v="DE"/>
    <s v="Free"/>
    <n v="291"/>
    <n v="45"/>
    <n v="0.35"/>
    <s v="Web"/>
    <n v="10"/>
    <n v="0"/>
    <n v="0"/>
    <n v="0"/>
    <n v="0"/>
    <x v="1"/>
  </r>
  <r>
    <x v="246"/>
    <s v="Male"/>
    <n v="34"/>
    <s v="UK"/>
    <s v="Free"/>
    <n v="254"/>
    <n v="74"/>
    <n v="0.6"/>
    <s v="Mobile"/>
    <n v="34"/>
    <n v="0"/>
    <n v="0"/>
    <n v="0"/>
    <n v="0"/>
    <x v="0"/>
  </r>
  <r>
    <x v="247"/>
    <s v="Male"/>
    <n v="32"/>
    <s v="IN"/>
    <s v="Free"/>
    <n v="78"/>
    <n v="95"/>
    <n v="0.43"/>
    <s v="Desktop"/>
    <n v="26"/>
    <n v="0"/>
    <n v="0"/>
    <n v="0"/>
    <n v="0"/>
    <x v="4"/>
  </r>
  <r>
    <x v="248"/>
    <s v="Male"/>
    <n v="25"/>
    <s v="AU"/>
    <s v="Free"/>
    <n v="154"/>
    <n v="4"/>
    <n v="0.39"/>
    <s v="Mobile"/>
    <n v="14"/>
    <n v="0"/>
    <n v="1"/>
    <n v="0"/>
    <n v="0"/>
    <x v="1"/>
  </r>
  <r>
    <x v="249"/>
    <s v="Male"/>
    <n v="58"/>
    <s v="FR"/>
    <s v="Free"/>
    <n v="59"/>
    <n v="26"/>
    <n v="0.37"/>
    <s v="Mobile"/>
    <n v="8"/>
    <n v="0"/>
    <n v="0"/>
    <n v="0"/>
    <n v="0"/>
    <x v="2"/>
  </r>
  <r>
    <x v="250"/>
    <s v="Other"/>
    <n v="16"/>
    <s v="AU"/>
    <s v="Free"/>
    <n v="280"/>
    <n v="56"/>
    <n v="0.01"/>
    <s v="Mobile"/>
    <n v="35"/>
    <n v="0"/>
    <n v="0"/>
    <n v="0"/>
    <n v="0"/>
    <x v="0"/>
  </r>
  <r>
    <x v="251"/>
    <s v="Female"/>
    <n v="55"/>
    <s v="US"/>
    <s v="Free"/>
    <n v="185"/>
    <n v="14"/>
    <n v="0.43"/>
    <s v="Mobile"/>
    <n v="30"/>
    <n v="0"/>
    <n v="0"/>
    <n v="0"/>
    <n v="0"/>
    <x v="0"/>
  </r>
  <r>
    <x v="252"/>
    <s v="Male"/>
    <n v="40"/>
    <s v="CA"/>
    <s v="Free"/>
    <n v="37"/>
    <n v="71"/>
    <n v="0.51"/>
    <s v="Mobile"/>
    <n v="41"/>
    <n v="0"/>
    <n v="1"/>
    <n v="0"/>
    <n v="0"/>
    <x v="3"/>
  </r>
  <r>
    <x v="253"/>
    <s v="Other"/>
    <n v="56"/>
    <s v="AU"/>
    <s v="Free"/>
    <n v="169"/>
    <n v="90"/>
    <n v="0.59"/>
    <s v="Desktop"/>
    <n v="33"/>
    <n v="0"/>
    <n v="0"/>
    <n v="0"/>
    <n v="0"/>
    <x v="0"/>
  </r>
  <r>
    <x v="254"/>
    <s v="Male"/>
    <n v="54"/>
    <s v="US"/>
    <s v="Free"/>
    <n v="79"/>
    <n v="14"/>
    <n v="0.34"/>
    <s v="Desktop"/>
    <n v="40"/>
    <n v="0"/>
    <n v="0"/>
    <n v="0"/>
    <n v="0"/>
    <x v="3"/>
  </r>
  <r>
    <x v="255"/>
    <s v="Male"/>
    <n v="26"/>
    <s v="IN"/>
    <s v="Free"/>
    <n v="95"/>
    <n v="50"/>
    <n v="0.26"/>
    <s v="Mobile"/>
    <n v="39"/>
    <n v="0"/>
    <n v="0"/>
    <n v="0"/>
    <n v="0"/>
    <x v="0"/>
  </r>
  <r>
    <x v="256"/>
    <s v="Male"/>
    <n v="31"/>
    <s v="UK"/>
    <s v="Free"/>
    <n v="282"/>
    <n v="58"/>
    <n v="0.06"/>
    <s v="Desktop"/>
    <n v="15"/>
    <n v="0"/>
    <n v="1"/>
    <n v="0"/>
    <n v="0"/>
    <x v="1"/>
  </r>
  <r>
    <x v="257"/>
    <s v="Male"/>
    <n v="30"/>
    <s v="IN"/>
    <s v="Free"/>
    <n v="246"/>
    <n v="13"/>
    <n v="0.03"/>
    <s v="Web"/>
    <n v="13"/>
    <n v="0"/>
    <n v="1"/>
    <n v="0"/>
    <n v="0"/>
    <x v="1"/>
  </r>
  <r>
    <x v="258"/>
    <s v="Male"/>
    <n v="50"/>
    <s v="US"/>
    <s v="Free"/>
    <n v="50"/>
    <n v="39"/>
    <n v="0.31"/>
    <s v="Web"/>
    <n v="13"/>
    <n v="0"/>
    <n v="0"/>
    <n v="0"/>
    <n v="0"/>
    <x v="1"/>
  </r>
  <r>
    <x v="259"/>
    <s v="Other"/>
    <n v="42"/>
    <s v="DE"/>
    <s v="Free"/>
    <n v="17"/>
    <n v="55"/>
    <n v="0.57999999999999996"/>
    <s v="Mobile"/>
    <n v="49"/>
    <n v="0"/>
    <n v="1"/>
    <n v="0"/>
    <n v="0"/>
    <x v="3"/>
  </r>
  <r>
    <x v="260"/>
    <s v="Female"/>
    <n v="54"/>
    <s v="IN"/>
    <s v="Free"/>
    <n v="70"/>
    <n v="56"/>
    <n v="0.37"/>
    <s v="Desktop"/>
    <n v="14"/>
    <n v="0"/>
    <n v="0"/>
    <n v="0"/>
    <n v="0"/>
    <x v="1"/>
  </r>
  <r>
    <x v="261"/>
    <s v="Male"/>
    <n v="59"/>
    <s v="AU"/>
    <s v="Free"/>
    <n v="232"/>
    <n v="80"/>
    <n v="0.25"/>
    <s v="Web"/>
    <n v="45"/>
    <n v="0"/>
    <n v="0"/>
    <n v="0"/>
    <n v="0"/>
    <x v="3"/>
  </r>
  <r>
    <x v="262"/>
    <s v="Female"/>
    <n v="32"/>
    <s v="IN"/>
    <s v="Free"/>
    <n v="175"/>
    <n v="12"/>
    <n v="0.54"/>
    <s v="Desktop"/>
    <n v="30"/>
    <n v="0"/>
    <n v="0"/>
    <n v="0"/>
    <n v="0"/>
    <x v="0"/>
  </r>
  <r>
    <x v="263"/>
    <s v="Female"/>
    <n v="41"/>
    <s v="FR"/>
    <s v="Free"/>
    <n v="298"/>
    <n v="30"/>
    <n v="0.42"/>
    <s v="Web"/>
    <n v="33"/>
    <n v="0"/>
    <n v="0"/>
    <n v="0"/>
    <n v="0"/>
    <x v="0"/>
  </r>
  <r>
    <x v="264"/>
    <s v="Male"/>
    <n v="26"/>
    <s v="DE"/>
    <s v="Free"/>
    <n v="288"/>
    <n v="40"/>
    <n v="0.16"/>
    <s v="Web"/>
    <n v="44"/>
    <n v="0"/>
    <n v="1"/>
    <n v="0"/>
    <n v="0"/>
    <x v="3"/>
  </r>
  <r>
    <x v="265"/>
    <s v="Male"/>
    <n v="42"/>
    <s v="PK"/>
    <s v="Free"/>
    <n v="262"/>
    <n v="41"/>
    <n v="0.17"/>
    <s v="Mobile"/>
    <n v="37"/>
    <n v="0"/>
    <n v="0"/>
    <n v="0"/>
    <n v="0"/>
    <x v="0"/>
  </r>
  <r>
    <x v="266"/>
    <s v="Other"/>
    <n v="55"/>
    <s v="IN"/>
    <s v="Free"/>
    <n v="180"/>
    <n v="93"/>
    <n v="0.6"/>
    <s v="Desktop"/>
    <n v="14"/>
    <n v="0"/>
    <n v="0"/>
    <n v="0"/>
    <n v="0"/>
    <x v="1"/>
  </r>
  <r>
    <x v="267"/>
    <s v="Male"/>
    <n v="26"/>
    <s v="IN"/>
    <s v="Free"/>
    <n v="284"/>
    <n v="14"/>
    <n v="0.5"/>
    <s v="Desktop"/>
    <n v="10"/>
    <n v="0"/>
    <n v="0"/>
    <n v="0"/>
    <n v="0"/>
    <x v="1"/>
  </r>
  <r>
    <x v="268"/>
    <s v="Other"/>
    <n v="17"/>
    <s v="DE"/>
    <s v="Free"/>
    <n v="146"/>
    <n v="68"/>
    <n v="0.16"/>
    <s v="Web"/>
    <n v="12"/>
    <n v="0"/>
    <n v="1"/>
    <n v="0"/>
    <n v="0"/>
    <x v="1"/>
  </r>
  <r>
    <x v="269"/>
    <s v="Male"/>
    <n v="21"/>
    <s v="AU"/>
    <s v="Free"/>
    <n v="129"/>
    <n v="5"/>
    <n v="0.02"/>
    <s v="Desktop"/>
    <n v="25"/>
    <n v="0"/>
    <n v="0"/>
    <n v="0"/>
    <n v="0"/>
    <x v="4"/>
  </r>
  <r>
    <x v="270"/>
    <s v="Female"/>
    <n v="27"/>
    <s v="IN"/>
    <s v="Free"/>
    <n v="144"/>
    <n v="75"/>
    <n v="0.2"/>
    <s v="Web"/>
    <n v="26"/>
    <n v="0"/>
    <n v="0"/>
    <n v="0"/>
    <n v="0"/>
    <x v="4"/>
  </r>
  <r>
    <x v="271"/>
    <s v="Other"/>
    <n v="27"/>
    <s v="US"/>
    <s v="Free"/>
    <n v="284"/>
    <n v="57"/>
    <n v="0.14000000000000001"/>
    <s v="Desktop"/>
    <n v="41"/>
    <n v="0"/>
    <n v="1"/>
    <n v="0"/>
    <n v="0"/>
    <x v="3"/>
  </r>
  <r>
    <x v="272"/>
    <s v="Female"/>
    <n v="31"/>
    <s v="AU"/>
    <s v="Free"/>
    <n v="200"/>
    <n v="50"/>
    <n v="0.33"/>
    <s v="Desktop"/>
    <n v="40"/>
    <n v="0"/>
    <n v="0"/>
    <n v="0"/>
    <n v="0"/>
    <x v="3"/>
  </r>
  <r>
    <x v="273"/>
    <s v="Female"/>
    <n v="49"/>
    <s v="US"/>
    <s v="Free"/>
    <n v="13"/>
    <n v="96"/>
    <n v="0.05"/>
    <s v="Mobile"/>
    <n v="30"/>
    <n v="0"/>
    <n v="0"/>
    <n v="0"/>
    <n v="0"/>
    <x v="0"/>
  </r>
  <r>
    <x v="274"/>
    <s v="Male"/>
    <n v="49"/>
    <s v="DE"/>
    <s v="Free"/>
    <n v="156"/>
    <n v="32"/>
    <n v="0.28999999999999998"/>
    <s v="Desktop"/>
    <n v="33"/>
    <n v="0"/>
    <n v="0"/>
    <n v="0"/>
    <n v="0"/>
    <x v="0"/>
  </r>
  <r>
    <x v="275"/>
    <s v="Other"/>
    <n v="56"/>
    <s v="AU"/>
    <s v="Free"/>
    <n v="243"/>
    <n v="43"/>
    <n v="0.13"/>
    <s v="Desktop"/>
    <n v="10"/>
    <n v="0"/>
    <n v="0"/>
    <n v="0"/>
    <n v="0"/>
    <x v="1"/>
  </r>
  <r>
    <x v="276"/>
    <s v="Male"/>
    <n v="38"/>
    <s v="US"/>
    <s v="Free"/>
    <n v="65"/>
    <n v="74"/>
    <n v="0.1"/>
    <s v="Web"/>
    <n v="28"/>
    <n v="0"/>
    <n v="0"/>
    <n v="0"/>
    <n v="0"/>
    <x v="4"/>
  </r>
  <r>
    <x v="277"/>
    <s v="Female"/>
    <n v="24"/>
    <s v="IN"/>
    <s v="Free"/>
    <n v="12"/>
    <n v="99"/>
    <n v="0.17"/>
    <s v="Desktop"/>
    <n v="33"/>
    <n v="0"/>
    <n v="0"/>
    <n v="0"/>
    <n v="0"/>
    <x v="0"/>
  </r>
  <r>
    <x v="278"/>
    <s v="Other"/>
    <n v="25"/>
    <s v="CA"/>
    <s v="Free"/>
    <n v="205"/>
    <n v="47"/>
    <n v="0.54"/>
    <s v="Web"/>
    <n v="15"/>
    <n v="0"/>
    <n v="0"/>
    <n v="0"/>
    <n v="0"/>
    <x v="1"/>
  </r>
  <r>
    <x v="279"/>
    <s v="Male"/>
    <n v="41"/>
    <s v="DE"/>
    <s v="Free"/>
    <n v="272"/>
    <n v="59"/>
    <n v="0.53"/>
    <s v="Web"/>
    <n v="21"/>
    <n v="0"/>
    <n v="0"/>
    <n v="0"/>
    <n v="0"/>
    <x v="4"/>
  </r>
  <r>
    <x v="280"/>
    <s v="Female"/>
    <n v="47"/>
    <s v="DE"/>
    <s v="Free"/>
    <n v="166"/>
    <n v="19"/>
    <n v="0.34"/>
    <s v="Desktop"/>
    <n v="36"/>
    <n v="0"/>
    <n v="0"/>
    <n v="0"/>
    <n v="0"/>
    <x v="0"/>
  </r>
  <r>
    <x v="281"/>
    <s v="Other"/>
    <n v="37"/>
    <s v="PK"/>
    <s v="Free"/>
    <n v="194"/>
    <n v="56"/>
    <n v="0.16"/>
    <s v="Web"/>
    <n v="13"/>
    <n v="0"/>
    <n v="0"/>
    <n v="0"/>
    <n v="0"/>
    <x v="1"/>
  </r>
  <r>
    <x v="282"/>
    <s v="Female"/>
    <n v="58"/>
    <s v="PK"/>
    <s v="Free"/>
    <n v="59"/>
    <n v="46"/>
    <n v="0.42"/>
    <s v="Mobile"/>
    <n v="5"/>
    <n v="0"/>
    <n v="0"/>
    <n v="0"/>
    <n v="0"/>
    <x v="2"/>
  </r>
  <r>
    <x v="283"/>
    <s v="Male"/>
    <n v="34"/>
    <s v="CA"/>
    <s v="Free"/>
    <n v="41"/>
    <n v="79"/>
    <n v="0.05"/>
    <s v="Mobile"/>
    <n v="39"/>
    <n v="0"/>
    <n v="1"/>
    <n v="0"/>
    <n v="0"/>
    <x v="0"/>
  </r>
  <r>
    <x v="284"/>
    <s v="Female"/>
    <n v="35"/>
    <s v="CA"/>
    <s v="Free"/>
    <n v="251"/>
    <n v="27"/>
    <n v="0.52"/>
    <s v="Web"/>
    <n v="42"/>
    <n v="0"/>
    <n v="1"/>
    <n v="0"/>
    <n v="0"/>
    <x v="3"/>
  </r>
  <r>
    <x v="285"/>
    <s v="Male"/>
    <n v="19"/>
    <s v="US"/>
    <s v="Free"/>
    <n v="32"/>
    <n v="62"/>
    <n v="0.19"/>
    <s v="Desktop"/>
    <n v="40"/>
    <n v="0"/>
    <n v="1"/>
    <n v="0"/>
    <n v="0"/>
    <x v="3"/>
  </r>
  <r>
    <x v="286"/>
    <s v="Female"/>
    <n v="35"/>
    <s v="DE"/>
    <s v="Free"/>
    <n v="227"/>
    <n v="4"/>
    <n v="0.02"/>
    <s v="Web"/>
    <n v="32"/>
    <n v="0"/>
    <n v="0"/>
    <n v="0"/>
    <n v="0"/>
    <x v="0"/>
  </r>
  <r>
    <x v="287"/>
    <s v="Other"/>
    <n v="38"/>
    <s v="IN"/>
    <s v="Free"/>
    <n v="131"/>
    <n v="72"/>
    <n v="0.56999999999999995"/>
    <s v="Mobile"/>
    <n v="37"/>
    <n v="0"/>
    <n v="0"/>
    <n v="0"/>
    <n v="0"/>
    <x v="0"/>
  </r>
  <r>
    <x v="288"/>
    <s v="Female"/>
    <n v="19"/>
    <s v="DE"/>
    <s v="Free"/>
    <n v="96"/>
    <n v="67"/>
    <n v="0.27"/>
    <s v="Desktop"/>
    <n v="38"/>
    <n v="0"/>
    <n v="0"/>
    <n v="0"/>
    <n v="0"/>
    <x v="0"/>
  </r>
  <r>
    <x v="289"/>
    <s v="Female"/>
    <n v="51"/>
    <s v="UK"/>
    <s v="Free"/>
    <n v="45"/>
    <n v="61"/>
    <n v="0.37"/>
    <s v="Desktop"/>
    <n v="36"/>
    <n v="0"/>
    <n v="0"/>
    <n v="0"/>
    <n v="0"/>
    <x v="0"/>
  </r>
  <r>
    <x v="290"/>
    <s v="Female"/>
    <n v="47"/>
    <s v="FR"/>
    <s v="Free"/>
    <n v="289"/>
    <n v="49"/>
    <n v="0.06"/>
    <s v="Web"/>
    <n v="47"/>
    <n v="0"/>
    <n v="0"/>
    <n v="0"/>
    <n v="0"/>
    <x v="3"/>
  </r>
  <r>
    <x v="291"/>
    <s v="Female"/>
    <n v="53"/>
    <s v="AU"/>
    <s v="Free"/>
    <n v="280"/>
    <n v="74"/>
    <n v="0.39"/>
    <s v="Mobile"/>
    <n v="6"/>
    <n v="0"/>
    <n v="1"/>
    <n v="0"/>
    <n v="0"/>
    <x v="2"/>
  </r>
  <r>
    <x v="292"/>
    <s v="Other"/>
    <n v="41"/>
    <s v="CA"/>
    <s v="Free"/>
    <n v="218"/>
    <n v="6"/>
    <n v="0.13"/>
    <s v="Web"/>
    <n v="38"/>
    <n v="0"/>
    <n v="0"/>
    <n v="0"/>
    <n v="0"/>
    <x v="0"/>
  </r>
  <r>
    <x v="293"/>
    <s v="Male"/>
    <n v="49"/>
    <s v="IN"/>
    <s v="Free"/>
    <n v="269"/>
    <n v="82"/>
    <n v="0.42"/>
    <s v="Desktop"/>
    <n v="5"/>
    <n v="0"/>
    <n v="1"/>
    <n v="0"/>
    <n v="0"/>
    <x v="2"/>
  </r>
  <r>
    <x v="294"/>
    <s v="Other"/>
    <n v="32"/>
    <s v="FR"/>
    <s v="Free"/>
    <n v="272"/>
    <n v="38"/>
    <n v="0.34"/>
    <s v="Mobile"/>
    <n v="20"/>
    <n v="0"/>
    <n v="0"/>
    <n v="0"/>
    <n v="0"/>
    <x v="4"/>
  </r>
  <r>
    <x v="295"/>
    <s v="Male"/>
    <n v="40"/>
    <s v="FR"/>
    <s v="Free"/>
    <n v="59"/>
    <n v="30"/>
    <n v="0.1"/>
    <s v="Web"/>
    <n v="44"/>
    <n v="0"/>
    <n v="0"/>
    <n v="0"/>
    <n v="0"/>
    <x v="3"/>
  </r>
  <r>
    <x v="296"/>
    <s v="Male"/>
    <n v="20"/>
    <s v="AU"/>
    <s v="Free"/>
    <n v="158"/>
    <n v="95"/>
    <n v="0.13"/>
    <s v="Desktop"/>
    <n v="10"/>
    <n v="0"/>
    <n v="0"/>
    <n v="0"/>
    <n v="0"/>
    <x v="1"/>
  </r>
  <r>
    <x v="297"/>
    <s v="Other"/>
    <n v="59"/>
    <s v="CA"/>
    <s v="Free"/>
    <n v="233"/>
    <n v="80"/>
    <n v="0.16"/>
    <s v="Desktop"/>
    <n v="36"/>
    <n v="0"/>
    <n v="0"/>
    <n v="0"/>
    <n v="0"/>
    <x v="0"/>
  </r>
  <r>
    <x v="298"/>
    <s v="Other"/>
    <n v="34"/>
    <s v="IN"/>
    <s v="Free"/>
    <n v="177"/>
    <n v="27"/>
    <n v="0.3"/>
    <s v="Web"/>
    <n v="22"/>
    <n v="0"/>
    <n v="1"/>
    <n v="0"/>
    <n v="0"/>
    <x v="4"/>
  </r>
  <r>
    <x v="299"/>
    <s v="Other"/>
    <n v="42"/>
    <s v="DE"/>
    <s v="Free"/>
    <n v="193"/>
    <n v="28"/>
    <n v="0.55000000000000004"/>
    <s v="Web"/>
    <n v="19"/>
    <n v="0"/>
    <n v="0"/>
    <n v="0"/>
    <n v="0"/>
    <x v="1"/>
  </r>
  <r>
    <x v="300"/>
    <s v="Female"/>
    <n v="52"/>
    <s v="US"/>
    <s v="Free"/>
    <n v="281"/>
    <n v="1"/>
    <n v="0.1"/>
    <s v="Web"/>
    <n v="47"/>
    <n v="0"/>
    <n v="0"/>
    <n v="0"/>
    <n v="0"/>
    <x v="3"/>
  </r>
  <r>
    <x v="301"/>
    <s v="Male"/>
    <n v="55"/>
    <s v="PK"/>
    <s v="Free"/>
    <n v="222"/>
    <n v="74"/>
    <n v="0.49"/>
    <s v="Web"/>
    <n v="34"/>
    <n v="0"/>
    <n v="0"/>
    <n v="0"/>
    <n v="0"/>
    <x v="0"/>
  </r>
  <r>
    <x v="302"/>
    <s v="Male"/>
    <n v="55"/>
    <s v="DE"/>
    <s v="Free"/>
    <n v="166"/>
    <n v="55"/>
    <n v="0.28000000000000003"/>
    <s v="Web"/>
    <n v="32"/>
    <n v="0"/>
    <n v="0"/>
    <n v="0"/>
    <n v="0"/>
    <x v="0"/>
  </r>
  <r>
    <x v="303"/>
    <s v="Other"/>
    <n v="32"/>
    <s v="CA"/>
    <s v="Free"/>
    <n v="180"/>
    <n v="91"/>
    <n v="0.37"/>
    <s v="Web"/>
    <n v="7"/>
    <n v="0"/>
    <n v="0"/>
    <n v="0"/>
    <n v="0"/>
    <x v="2"/>
  </r>
  <r>
    <x v="304"/>
    <s v="Other"/>
    <n v="17"/>
    <s v="CA"/>
    <s v="Free"/>
    <n v="298"/>
    <n v="88"/>
    <n v="0.14000000000000001"/>
    <s v="Mobile"/>
    <n v="37"/>
    <n v="0"/>
    <n v="0"/>
    <n v="0"/>
    <n v="0"/>
    <x v="0"/>
  </r>
  <r>
    <x v="305"/>
    <s v="Male"/>
    <n v="38"/>
    <s v="DE"/>
    <s v="Free"/>
    <n v="71"/>
    <n v="85"/>
    <n v="0.4"/>
    <s v="Web"/>
    <n v="40"/>
    <n v="0"/>
    <n v="1"/>
    <n v="0"/>
    <n v="0"/>
    <x v="3"/>
  </r>
  <r>
    <x v="306"/>
    <s v="Female"/>
    <n v="46"/>
    <s v="AU"/>
    <s v="Free"/>
    <n v="242"/>
    <n v="37"/>
    <n v="0.2"/>
    <s v="Web"/>
    <n v="34"/>
    <n v="0"/>
    <n v="0"/>
    <n v="0"/>
    <n v="0"/>
    <x v="0"/>
  </r>
  <r>
    <x v="307"/>
    <s v="Other"/>
    <n v="35"/>
    <s v="DE"/>
    <s v="Free"/>
    <n v="246"/>
    <n v="46"/>
    <n v="0.13"/>
    <s v="Mobile"/>
    <n v="18"/>
    <n v="0"/>
    <n v="0"/>
    <n v="0"/>
    <n v="0"/>
    <x v="1"/>
  </r>
  <r>
    <x v="308"/>
    <s v="Other"/>
    <n v="16"/>
    <s v="PK"/>
    <s v="Free"/>
    <n v="48"/>
    <n v="31"/>
    <n v="0.48"/>
    <s v="Desktop"/>
    <n v="44"/>
    <n v="0"/>
    <n v="0"/>
    <n v="0"/>
    <n v="0"/>
    <x v="3"/>
  </r>
  <r>
    <x v="309"/>
    <s v="Female"/>
    <n v="31"/>
    <s v="UK"/>
    <s v="Free"/>
    <n v="180"/>
    <n v="7"/>
    <n v="0.44"/>
    <s v="Desktop"/>
    <n v="44"/>
    <n v="0"/>
    <n v="0"/>
    <n v="0"/>
    <n v="0"/>
    <x v="3"/>
  </r>
  <r>
    <x v="310"/>
    <s v="Female"/>
    <n v="37"/>
    <s v="AU"/>
    <s v="Free"/>
    <n v="84"/>
    <n v="83"/>
    <n v="0.2"/>
    <s v="Web"/>
    <n v="7"/>
    <n v="0"/>
    <n v="0"/>
    <n v="0"/>
    <n v="0"/>
    <x v="2"/>
  </r>
  <r>
    <x v="311"/>
    <s v="Female"/>
    <n v="43"/>
    <s v="FR"/>
    <s v="Free"/>
    <n v="63"/>
    <n v="90"/>
    <n v="0.32"/>
    <s v="Web"/>
    <n v="49"/>
    <n v="0"/>
    <n v="1"/>
    <n v="0"/>
    <n v="0"/>
    <x v="3"/>
  </r>
  <r>
    <x v="312"/>
    <s v="Female"/>
    <n v="40"/>
    <s v="PK"/>
    <s v="Free"/>
    <n v="219"/>
    <n v="71"/>
    <n v="0.2"/>
    <s v="Desktop"/>
    <n v="26"/>
    <n v="0"/>
    <n v="0"/>
    <n v="0"/>
    <n v="0"/>
    <x v="4"/>
  </r>
  <r>
    <x v="313"/>
    <s v="Male"/>
    <n v="36"/>
    <s v="UK"/>
    <s v="Free"/>
    <n v="243"/>
    <n v="36"/>
    <n v="0.28999999999999998"/>
    <s v="Desktop"/>
    <n v="32"/>
    <n v="0"/>
    <n v="1"/>
    <n v="0"/>
    <n v="0"/>
    <x v="0"/>
  </r>
  <r>
    <x v="314"/>
    <s v="Male"/>
    <n v="35"/>
    <s v="CA"/>
    <s v="Free"/>
    <n v="168"/>
    <n v="85"/>
    <n v="0.43"/>
    <s v="Mobile"/>
    <n v="39"/>
    <n v="0"/>
    <n v="0"/>
    <n v="0"/>
    <n v="0"/>
    <x v="0"/>
  </r>
  <r>
    <x v="315"/>
    <s v="Male"/>
    <n v="44"/>
    <s v="CA"/>
    <s v="Free"/>
    <n v="296"/>
    <n v="90"/>
    <n v="0.15"/>
    <s v="Web"/>
    <n v="26"/>
    <n v="0"/>
    <n v="1"/>
    <n v="0"/>
    <n v="0"/>
    <x v="4"/>
  </r>
  <r>
    <x v="316"/>
    <s v="Other"/>
    <n v="29"/>
    <s v="PK"/>
    <s v="Free"/>
    <n v="268"/>
    <n v="41"/>
    <n v="0.2"/>
    <s v="Web"/>
    <n v="38"/>
    <n v="0"/>
    <n v="1"/>
    <n v="0"/>
    <n v="0"/>
    <x v="0"/>
  </r>
  <r>
    <x v="317"/>
    <s v="Other"/>
    <n v="47"/>
    <s v="IN"/>
    <s v="Free"/>
    <n v="80"/>
    <n v="39"/>
    <n v="0.31"/>
    <s v="Desktop"/>
    <n v="43"/>
    <n v="0"/>
    <n v="1"/>
    <n v="0"/>
    <n v="0"/>
    <x v="3"/>
  </r>
  <r>
    <x v="318"/>
    <s v="Male"/>
    <n v="44"/>
    <s v="AU"/>
    <s v="Free"/>
    <n v="199"/>
    <n v="59"/>
    <n v="0.06"/>
    <s v="Desktop"/>
    <n v="32"/>
    <n v="0"/>
    <n v="0"/>
    <n v="0"/>
    <n v="0"/>
    <x v="0"/>
  </r>
  <r>
    <x v="319"/>
    <s v="Male"/>
    <n v="44"/>
    <s v="AU"/>
    <s v="Free"/>
    <n v="34"/>
    <n v="50"/>
    <n v="0.15"/>
    <s v="Mobile"/>
    <n v="27"/>
    <n v="0"/>
    <n v="0"/>
    <n v="0"/>
    <n v="0"/>
    <x v="4"/>
  </r>
  <r>
    <x v="320"/>
    <s v="Male"/>
    <n v="27"/>
    <s v="PK"/>
    <s v="Free"/>
    <n v="20"/>
    <n v="68"/>
    <n v="0"/>
    <s v="Mobile"/>
    <n v="45"/>
    <n v="0"/>
    <n v="0"/>
    <n v="0"/>
    <n v="0"/>
    <x v="3"/>
  </r>
  <r>
    <x v="321"/>
    <s v="Other"/>
    <n v="21"/>
    <s v="CA"/>
    <s v="Free"/>
    <n v="198"/>
    <n v="46"/>
    <n v="0.49"/>
    <s v="Mobile"/>
    <n v="42"/>
    <n v="0"/>
    <n v="0"/>
    <n v="0"/>
    <n v="0"/>
    <x v="3"/>
  </r>
  <r>
    <x v="322"/>
    <s v="Male"/>
    <n v="25"/>
    <s v="PK"/>
    <s v="Free"/>
    <n v="265"/>
    <n v="26"/>
    <n v="0.5"/>
    <s v="Desktop"/>
    <n v="14"/>
    <n v="0"/>
    <n v="0"/>
    <n v="0"/>
    <n v="0"/>
    <x v="1"/>
  </r>
  <r>
    <x v="323"/>
    <s v="Other"/>
    <n v="41"/>
    <s v="US"/>
    <s v="Free"/>
    <n v="99"/>
    <n v="43"/>
    <n v="0.04"/>
    <s v="Web"/>
    <n v="19"/>
    <n v="0"/>
    <n v="0"/>
    <n v="0"/>
    <n v="0"/>
    <x v="1"/>
  </r>
  <r>
    <x v="324"/>
    <s v="Male"/>
    <n v="57"/>
    <s v="US"/>
    <s v="Free"/>
    <n v="89"/>
    <n v="4"/>
    <n v="0.24"/>
    <s v="Web"/>
    <n v="27"/>
    <n v="0"/>
    <n v="1"/>
    <n v="0"/>
    <n v="0"/>
    <x v="4"/>
  </r>
  <r>
    <x v="325"/>
    <s v="Female"/>
    <n v="26"/>
    <s v="FR"/>
    <s v="Free"/>
    <n v="199"/>
    <n v="95"/>
    <n v="0.47"/>
    <s v="Web"/>
    <n v="49"/>
    <n v="0"/>
    <n v="0"/>
    <n v="0"/>
    <n v="0"/>
    <x v="3"/>
  </r>
  <r>
    <x v="326"/>
    <s v="Male"/>
    <n v="25"/>
    <s v="AU"/>
    <s v="Free"/>
    <n v="238"/>
    <n v="34"/>
    <n v="0.18"/>
    <s v="Desktop"/>
    <n v="32"/>
    <n v="0"/>
    <n v="0"/>
    <n v="0"/>
    <n v="0"/>
    <x v="0"/>
  </r>
  <r>
    <x v="327"/>
    <s v="Male"/>
    <n v="58"/>
    <s v="FR"/>
    <s v="Free"/>
    <n v="90"/>
    <n v="57"/>
    <n v="0.01"/>
    <s v="Web"/>
    <n v="6"/>
    <n v="0"/>
    <n v="1"/>
    <n v="0"/>
    <n v="0"/>
    <x v="2"/>
  </r>
  <r>
    <x v="328"/>
    <s v="Male"/>
    <n v="33"/>
    <s v="UK"/>
    <s v="Free"/>
    <n v="262"/>
    <n v="56"/>
    <n v="0.16"/>
    <s v="Desktop"/>
    <n v="41"/>
    <n v="0"/>
    <n v="0"/>
    <n v="0"/>
    <n v="0"/>
    <x v="3"/>
  </r>
  <r>
    <x v="329"/>
    <s v="Other"/>
    <n v="19"/>
    <s v="IN"/>
    <s v="Free"/>
    <n v="177"/>
    <n v="59"/>
    <n v="0.32"/>
    <s v="Web"/>
    <n v="48"/>
    <n v="0"/>
    <n v="0"/>
    <n v="0"/>
    <n v="0"/>
    <x v="3"/>
  </r>
  <r>
    <x v="330"/>
    <s v="Female"/>
    <n v="51"/>
    <s v="AU"/>
    <s v="Free"/>
    <n v="79"/>
    <n v="61"/>
    <n v="0.11"/>
    <s v="Web"/>
    <n v="27"/>
    <n v="0"/>
    <n v="1"/>
    <n v="0"/>
    <n v="0"/>
    <x v="4"/>
  </r>
  <r>
    <x v="331"/>
    <s v="Other"/>
    <n v="33"/>
    <s v="IN"/>
    <s v="Free"/>
    <n v="182"/>
    <n v="67"/>
    <n v="0.49"/>
    <s v="Web"/>
    <n v="31"/>
    <n v="0"/>
    <n v="0"/>
    <n v="0"/>
    <n v="0"/>
    <x v="0"/>
  </r>
  <r>
    <x v="332"/>
    <s v="Female"/>
    <n v="32"/>
    <s v="CA"/>
    <s v="Free"/>
    <n v="114"/>
    <n v="34"/>
    <n v="0.16"/>
    <s v="Web"/>
    <n v="16"/>
    <n v="0"/>
    <n v="0"/>
    <n v="0"/>
    <n v="0"/>
    <x v="1"/>
  </r>
  <r>
    <x v="333"/>
    <s v="Other"/>
    <n v="56"/>
    <s v="UK"/>
    <s v="Free"/>
    <n v="265"/>
    <n v="50"/>
    <n v="0.05"/>
    <s v="Web"/>
    <n v="19"/>
    <n v="0"/>
    <n v="0"/>
    <n v="0"/>
    <n v="0"/>
    <x v="1"/>
  </r>
  <r>
    <x v="334"/>
    <s v="Other"/>
    <n v="19"/>
    <s v="FR"/>
    <s v="Free"/>
    <n v="16"/>
    <n v="48"/>
    <n v="0.06"/>
    <s v="Web"/>
    <n v="47"/>
    <n v="0"/>
    <n v="0"/>
    <n v="0"/>
    <n v="0"/>
    <x v="3"/>
  </r>
  <r>
    <x v="335"/>
    <s v="Female"/>
    <n v="48"/>
    <s v="FR"/>
    <s v="Free"/>
    <n v="62"/>
    <n v="14"/>
    <n v="0.57999999999999996"/>
    <s v="Desktop"/>
    <n v="10"/>
    <n v="0"/>
    <n v="0"/>
    <n v="0"/>
    <n v="0"/>
    <x v="1"/>
  </r>
  <r>
    <x v="336"/>
    <s v="Male"/>
    <n v="49"/>
    <s v="AU"/>
    <s v="Free"/>
    <n v="121"/>
    <n v="99"/>
    <n v="0.28000000000000003"/>
    <s v="Mobile"/>
    <n v="47"/>
    <n v="0"/>
    <n v="0"/>
    <n v="0"/>
    <n v="0"/>
    <x v="3"/>
  </r>
  <r>
    <x v="337"/>
    <s v="Other"/>
    <n v="32"/>
    <s v="UK"/>
    <s v="Free"/>
    <n v="113"/>
    <n v="95"/>
    <n v="0.06"/>
    <s v="Web"/>
    <n v="22"/>
    <n v="0"/>
    <n v="1"/>
    <n v="0"/>
    <n v="0"/>
    <x v="4"/>
  </r>
  <r>
    <x v="338"/>
    <s v="Other"/>
    <n v="50"/>
    <s v="US"/>
    <s v="Free"/>
    <n v="205"/>
    <n v="25"/>
    <n v="0.13"/>
    <s v="Web"/>
    <n v="13"/>
    <n v="0"/>
    <n v="0"/>
    <n v="0"/>
    <n v="0"/>
    <x v="1"/>
  </r>
  <r>
    <x v="339"/>
    <s v="Other"/>
    <n v="43"/>
    <s v="US"/>
    <s v="Free"/>
    <n v="273"/>
    <n v="96"/>
    <n v="0.37"/>
    <s v="Mobile"/>
    <n v="41"/>
    <n v="0"/>
    <n v="0"/>
    <n v="0"/>
    <n v="0"/>
    <x v="3"/>
  </r>
  <r>
    <x v="340"/>
    <s v="Female"/>
    <n v="48"/>
    <s v="IN"/>
    <s v="Free"/>
    <n v="114"/>
    <n v="72"/>
    <n v="0.48"/>
    <s v="Web"/>
    <n v="44"/>
    <n v="0"/>
    <n v="1"/>
    <n v="0"/>
    <n v="0"/>
    <x v="3"/>
  </r>
  <r>
    <x v="341"/>
    <s v="Other"/>
    <n v="56"/>
    <s v="IN"/>
    <s v="Free"/>
    <n v="245"/>
    <n v="92"/>
    <n v="0.28000000000000003"/>
    <s v="Mobile"/>
    <n v="38"/>
    <n v="0"/>
    <n v="0"/>
    <n v="0"/>
    <n v="0"/>
    <x v="0"/>
  </r>
  <r>
    <x v="342"/>
    <s v="Female"/>
    <n v="47"/>
    <s v="US"/>
    <s v="Free"/>
    <n v="116"/>
    <n v="21"/>
    <n v="0.24"/>
    <s v="Web"/>
    <n v="46"/>
    <n v="0"/>
    <n v="0"/>
    <n v="0"/>
    <n v="0"/>
    <x v="3"/>
  </r>
  <r>
    <x v="343"/>
    <s v="Other"/>
    <n v="31"/>
    <s v="US"/>
    <s v="Free"/>
    <n v="126"/>
    <n v="22"/>
    <n v="0.15"/>
    <s v="Web"/>
    <n v="42"/>
    <n v="0"/>
    <n v="0"/>
    <n v="0"/>
    <n v="0"/>
    <x v="3"/>
  </r>
  <r>
    <x v="344"/>
    <s v="Male"/>
    <n v="45"/>
    <s v="IN"/>
    <s v="Free"/>
    <n v="31"/>
    <n v="47"/>
    <n v="0.22"/>
    <s v="Mobile"/>
    <n v="13"/>
    <n v="0"/>
    <n v="0"/>
    <n v="0"/>
    <n v="0"/>
    <x v="1"/>
  </r>
  <r>
    <x v="345"/>
    <s v="Male"/>
    <n v="53"/>
    <s v="IN"/>
    <s v="Free"/>
    <n v="57"/>
    <n v="90"/>
    <n v="0.5"/>
    <s v="Desktop"/>
    <n v="15"/>
    <n v="0"/>
    <n v="0"/>
    <n v="0"/>
    <n v="0"/>
    <x v="1"/>
  </r>
  <r>
    <x v="346"/>
    <s v="Other"/>
    <n v="34"/>
    <s v="UK"/>
    <s v="Free"/>
    <n v="272"/>
    <n v="30"/>
    <n v="0.46"/>
    <s v="Mobile"/>
    <n v="12"/>
    <n v="0"/>
    <n v="0"/>
    <n v="0"/>
    <n v="0"/>
    <x v="1"/>
  </r>
  <r>
    <x v="347"/>
    <s v="Male"/>
    <n v="33"/>
    <s v="US"/>
    <s v="Free"/>
    <n v="74"/>
    <n v="67"/>
    <n v="0.15"/>
    <s v="Desktop"/>
    <n v="14"/>
    <n v="0"/>
    <n v="0"/>
    <n v="0"/>
    <n v="0"/>
    <x v="1"/>
  </r>
  <r>
    <x v="348"/>
    <s v="Female"/>
    <n v="43"/>
    <s v="UK"/>
    <s v="Free"/>
    <n v="21"/>
    <n v="16"/>
    <n v="0.34"/>
    <s v="Desktop"/>
    <n v="38"/>
    <n v="0"/>
    <n v="0"/>
    <n v="0"/>
    <n v="0"/>
    <x v="0"/>
  </r>
  <r>
    <x v="349"/>
    <s v="Male"/>
    <n v="20"/>
    <s v="PK"/>
    <s v="Free"/>
    <n v="58"/>
    <n v="75"/>
    <n v="0.08"/>
    <s v="Web"/>
    <n v="47"/>
    <n v="0"/>
    <n v="0"/>
    <n v="0"/>
    <n v="0"/>
    <x v="3"/>
  </r>
  <r>
    <x v="350"/>
    <s v="Other"/>
    <n v="50"/>
    <s v="AU"/>
    <s v="Free"/>
    <n v="192"/>
    <n v="94"/>
    <n v="0.5"/>
    <s v="Mobile"/>
    <n v="44"/>
    <n v="0"/>
    <n v="0"/>
    <n v="0"/>
    <n v="0"/>
    <x v="3"/>
  </r>
  <r>
    <x v="351"/>
    <s v="Other"/>
    <n v="26"/>
    <s v="AU"/>
    <s v="Free"/>
    <n v="228"/>
    <n v="74"/>
    <n v="0.3"/>
    <s v="Web"/>
    <n v="40"/>
    <n v="0"/>
    <n v="0"/>
    <n v="0"/>
    <n v="0"/>
    <x v="3"/>
  </r>
  <r>
    <x v="352"/>
    <s v="Female"/>
    <n v="20"/>
    <s v="US"/>
    <s v="Free"/>
    <n v="23"/>
    <n v="15"/>
    <n v="0.12"/>
    <s v="Web"/>
    <n v="5"/>
    <n v="0"/>
    <n v="0"/>
    <n v="0"/>
    <n v="0"/>
    <x v="2"/>
  </r>
  <r>
    <x v="353"/>
    <s v="Other"/>
    <n v="43"/>
    <s v="PK"/>
    <s v="Free"/>
    <n v="48"/>
    <n v="78"/>
    <n v="0.36"/>
    <s v="Mobile"/>
    <n v="19"/>
    <n v="0"/>
    <n v="0"/>
    <n v="0"/>
    <n v="0"/>
    <x v="1"/>
  </r>
  <r>
    <x v="354"/>
    <s v="Female"/>
    <n v="16"/>
    <s v="CA"/>
    <s v="Free"/>
    <n v="147"/>
    <n v="4"/>
    <n v="0.57999999999999996"/>
    <s v="Web"/>
    <n v="47"/>
    <n v="0"/>
    <n v="0"/>
    <n v="0"/>
    <n v="0"/>
    <x v="3"/>
  </r>
  <r>
    <x v="355"/>
    <s v="Male"/>
    <n v="17"/>
    <s v="DE"/>
    <s v="Free"/>
    <n v="117"/>
    <n v="83"/>
    <n v="0.26"/>
    <s v="Mobile"/>
    <n v="9"/>
    <n v="0"/>
    <n v="0"/>
    <n v="0"/>
    <n v="0"/>
    <x v="2"/>
  </r>
  <r>
    <x v="356"/>
    <s v="Male"/>
    <n v="36"/>
    <s v="IN"/>
    <s v="Free"/>
    <n v="97"/>
    <n v="12"/>
    <n v="0.44"/>
    <s v="Desktop"/>
    <n v="32"/>
    <n v="0"/>
    <n v="0"/>
    <n v="0"/>
    <n v="0"/>
    <x v="0"/>
  </r>
  <r>
    <x v="357"/>
    <s v="Male"/>
    <n v="53"/>
    <s v="US"/>
    <s v="Free"/>
    <n v="15"/>
    <n v="26"/>
    <n v="0.02"/>
    <s v="Mobile"/>
    <n v="29"/>
    <n v="0"/>
    <n v="1"/>
    <n v="0"/>
    <n v="0"/>
    <x v="4"/>
  </r>
  <r>
    <x v="358"/>
    <s v="Other"/>
    <n v="19"/>
    <s v="UK"/>
    <s v="Free"/>
    <n v="75"/>
    <n v="21"/>
    <n v="0.24"/>
    <s v="Desktop"/>
    <n v="10"/>
    <n v="0"/>
    <n v="0"/>
    <n v="0"/>
    <n v="0"/>
    <x v="1"/>
  </r>
  <r>
    <x v="359"/>
    <s v="Other"/>
    <n v="38"/>
    <s v="PK"/>
    <s v="Free"/>
    <n v="52"/>
    <n v="14"/>
    <n v="0.49"/>
    <s v="Mobile"/>
    <n v="8"/>
    <n v="0"/>
    <n v="0"/>
    <n v="0"/>
    <n v="0"/>
    <x v="2"/>
  </r>
  <r>
    <x v="360"/>
    <s v="Other"/>
    <n v="25"/>
    <s v="PK"/>
    <s v="Free"/>
    <n v="138"/>
    <n v="7"/>
    <n v="0.37"/>
    <s v="Mobile"/>
    <n v="9"/>
    <n v="0"/>
    <n v="0"/>
    <n v="0"/>
    <n v="0"/>
    <x v="2"/>
  </r>
  <r>
    <x v="361"/>
    <s v="Other"/>
    <n v="47"/>
    <s v="CA"/>
    <s v="Free"/>
    <n v="168"/>
    <n v="25"/>
    <n v="0.35"/>
    <s v="Web"/>
    <n v="6"/>
    <n v="0"/>
    <n v="1"/>
    <n v="0"/>
    <n v="0"/>
    <x v="2"/>
  </r>
  <r>
    <x v="362"/>
    <s v="Female"/>
    <n v="46"/>
    <s v="UK"/>
    <s v="Free"/>
    <n v="22"/>
    <n v="63"/>
    <n v="0.36"/>
    <s v="Desktop"/>
    <n v="37"/>
    <n v="0"/>
    <n v="0"/>
    <n v="0"/>
    <n v="0"/>
    <x v="0"/>
  </r>
  <r>
    <x v="363"/>
    <s v="Male"/>
    <n v="55"/>
    <s v="AU"/>
    <s v="Free"/>
    <n v="62"/>
    <n v="20"/>
    <n v="0.56999999999999995"/>
    <s v="Desktop"/>
    <n v="28"/>
    <n v="0"/>
    <n v="0"/>
    <n v="0"/>
    <n v="0"/>
    <x v="4"/>
  </r>
  <r>
    <x v="364"/>
    <s v="Female"/>
    <n v="30"/>
    <s v="AU"/>
    <s v="Free"/>
    <n v="278"/>
    <n v="11"/>
    <n v="0.27"/>
    <s v="Mobile"/>
    <n v="15"/>
    <n v="0"/>
    <n v="0"/>
    <n v="0"/>
    <n v="0"/>
    <x v="1"/>
  </r>
  <r>
    <x v="365"/>
    <s v="Female"/>
    <n v="34"/>
    <s v="UK"/>
    <s v="Free"/>
    <n v="175"/>
    <n v="14"/>
    <n v="7.0000000000000007E-2"/>
    <s v="Desktop"/>
    <n v="48"/>
    <n v="0"/>
    <n v="0"/>
    <n v="0"/>
    <n v="0"/>
    <x v="3"/>
  </r>
  <r>
    <x v="366"/>
    <s v="Other"/>
    <n v="45"/>
    <s v="UK"/>
    <s v="Free"/>
    <n v="178"/>
    <n v="92"/>
    <n v="0.08"/>
    <s v="Web"/>
    <n v="16"/>
    <n v="0"/>
    <n v="1"/>
    <n v="0"/>
    <n v="0"/>
    <x v="1"/>
  </r>
  <r>
    <x v="367"/>
    <s v="Female"/>
    <n v="39"/>
    <s v="US"/>
    <s v="Free"/>
    <n v="174"/>
    <n v="82"/>
    <n v="0.24"/>
    <s v="Web"/>
    <n v="17"/>
    <n v="0"/>
    <n v="0"/>
    <n v="0"/>
    <n v="0"/>
    <x v="1"/>
  </r>
  <r>
    <x v="368"/>
    <s v="Other"/>
    <n v="55"/>
    <s v="IN"/>
    <s v="Free"/>
    <n v="39"/>
    <n v="91"/>
    <n v="0.28999999999999998"/>
    <s v="Mobile"/>
    <n v="32"/>
    <n v="0"/>
    <n v="1"/>
    <n v="0"/>
    <n v="0"/>
    <x v="0"/>
  </r>
  <r>
    <x v="369"/>
    <s v="Female"/>
    <n v="32"/>
    <s v="UK"/>
    <s v="Free"/>
    <n v="114"/>
    <n v="25"/>
    <n v="0.28000000000000003"/>
    <s v="Web"/>
    <n v="21"/>
    <n v="0"/>
    <n v="0"/>
    <n v="0"/>
    <n v="0"/>
    <x v="4"/>
  </r>
  <r>
    <x v="370"/>
    <s v="Male"/>
    <n v="28"/>
    <s v="IN"/>
    <s v="Free"/>
    <n v="25"/>
    <n v="58"/>
    <n v="0.04"/>
    <s v="Web"/>
    <n v="32"/>
    <n v="0"/>
    <n v="0"/>
    <n v="0"/>
    <n v="0"/>
    <x v="0"/>
  </r>
  <r>
    <x v="371"/>
    <s v="Male"/>
    <n v="58"/>
    <s v="UK"/>
    <s v="Free"/>
    <n v="49"/>
    <n v="1"/>
    <n v="0.23"/>
    <s v="Web"/>
    <n v="45"/>
    <n v="0"/>
    <n v="0"/>
    <n v="0"/>
    <n v="0"/>
    <x v="3"/>
  </r>
  <r>
    <x v="372"/>
    <s v="Other"/>
    <n v="27"/>
    <s v="FR"/>
    <s v="Free"/>
    <n v="145"/>
    <n v="57"/>
    <n v="0.36"/>
    <s v="Mobile"/>
    <n v="19"/>
    <n v="0"/>
    <n v="0"/>
    <n v="0"/>
    <n v="0"/>
    <x v="1"/>
  </r>
  <r>
    <x v="373"/>
    <s v="Male"/>
    <n v="58"/>
    <s v="UK"/>
    <s v="Free"/>
    <n v="85"/>
    <n v="58"/>
    <n v="0.04"/>
    <s v="Web"/>
    <n v="30"/>
    <n v="0"/>
    <n v="1"/>
    <n v="0"/>
    <n v="0"/>
    <x v="0"/>
  </r>
  <r>
    <x v="374"/>
    <s v="Male"/>
    <n v="40"/>
    <s v="US"/>
    <s v="Free"/>
    <n v="124"/>
    <n v="76"/>
    <n v="0.34"/>
    <s v="Web"/>
    <n v="42"/>
    <n v="0"/>
    <n v="0"/>
    <n v="0"/>
    <n v="0"/>
    <x v="3"/>
  </r>
  <r>
    <x v="375"/>
    <s v="Other"/>
    <n v="25"/>
    <s v="PK"/>
    <s v="Free"/>
    <n v="122"/>
    <n v="82"/>
    <n v="0.27"/>
    <s v="Web"/>
    <n v="47"/>
    <n v="0"/>
    <n v="0"/>
    <n v="0"/>
    <n v="0"/>
    <x v="3"/>
  </r>
  <r>
    <x v="376"/>
    <s v="Male"/>
    <n v="59"/>
    <s v="UK"/>
    <s v="Free"/>
    <n v="135"/>
    <n v="63"/>
    <n v="0.08"/>
    <s v="Web"/>
    <n v="30"/>
    <n v="0"/>
    <n v="0"/>
    <n v="0"/>
    <n v="0"/>
    <x v="0"/>
  </r>
  <r>
    <x v="377"/>
    <s v="Male"/>
    <n v="25"/>
    <s v="CA"/>
    <s v="Free"/>
    <n v="24"/>
    <n v="29"/>
    <n v="0.28999999999999998"/>
    <s v="Desktop"/>
    <n v="9"/>
    <n v="0"/>
    <n v="0"/>
    <n v="0"/>
    <n v="0"/>
    <x v="2"/>
  </r>
  <r>
    <x v="378"/>
    <s v="Male"/>
    <n v="40"/>
    <s v="PK"/>
    <s v="Free"/>
    <n v="84"/>
    <n v="6"/>
    <n v="0.32"/>
    <s v="Web"/>
    <n v="18"/>
    <n v="0"/>
    <n v="0"/>
    <n v="0"/>
    <n v="0"/>
    <x v="1"/>
  </r>
  <r>
    <x v="379"/>
    <s v="Female"/>
    <n v="44"/>
    <s v="DE"/>
    <s v="Free"/>
    <n v="222"/>
    <n v="51"/>
    <n v="0.4"/>
    <s v="Web"/>
    <n v="17"/>
    <n v="0"/>
    <n v="0"/>
    <n v="0"/>
    <n v="0"/>
    <x v="1"/>
  </r>
  <r>
    <x v="380"/>
    <s v="Male"/>
    <n v="20"/>
    <s v="UK"/>
    <s v="Free"/>
    <n v="61"/>
    <n v="1"/>
    <n v="0.27"/>
    <s v="Desktop"/>
    <n v="43"/>
    <n v="0"/>
    <n v="1"/>
    <n v="0"/>
    <n v="0"/>
    <x v="3"/>
  </r>
  <r>
    <x v="381"/>
    <s v="Other"/>
    <n v="20"/>
    <s v="AU"/>
    <s v="Free"/>
    <n v="120"/>
    <n v="46"/>
    <n v="0"/>
    <s v="Web"/>
    <n v="16"/>
    <n v="0"/>
    <n v="1"/>
    <n v="0"/>
    <n v="0"/>
    <x v="1"/>
  </r>
  <r>
    <x v="382"/>
    <s v="Other"/>
    <n v="46"/>
    <s v="AU"/>
    <s v="Free"/>
    <n v="154"/>
    <n v="95"/>
    <n v="0.21"/>
    <s v="Mobile"/>
    <n v="37"/>
    <n v="0"/>
    <n v="0"/>
    <n v="0"/>
    <n v="0"/>
    <x v="0"/>
  </r>
  <r>
    <x v="383"/>
    <s v="Male"/>
    <n v="16"/>
    <s v="DE"/>
    <s v="Free"/>
    <n v="76"/>
    <n v="30"/>
    <n v="0.57999999999999996"/>
    <s v="Web"/>
    <n v="6"/>
    <n v="0"/>
    <n v="1"/>
    <n v="0"/>
    <n v="0"/>
    <x v="2"/>
  </r>
  <r>
    <x v="384"/>
    <s v="Female"/>
    <n v="51"/>
    <s v="DE"/>
    <s v="Free"/>
    <n v="43"/>
    <n v="4"/>
    <n v="0.08"/>
    <s v="Web"/>
    <n v="41"/>
    <n v="0"/>
    <n v="0"/>
    <n v="0"/>
    <n v="0"/>
    <x v="3"/>
  </r>
  <r>
    <x v="385"/>
    <s v="Female"/>
    <n v="50"/>
    <s v="AU"/>
    <s v="Free"/>
    <n v="162"/>
    <n v="40"/>
    <n v="0.24"/>
    <s v="Web"/>
    <n v="11"/>
    <n v="0"/>
    <n v="0"/>
    <n v="0"/>
    <n v="0"/>
    <x v="1"/>
  </r>
  <r>
    <x v="386"/>
    <s v="Male"/>
    <n v="23"/>
    <s v="FR"/>
    <s v="Free"/>
    <n v="127"/>
    <n v="95"/>
    <n v="0.27"/>
    <s v="Mobile"/>
    <n v="16"/>
    <n v="0"/>
    <n v="0"/>
    <n v="0"/>
    <n v="0"/>
    <x v="1"/>
  </r>
  <r>
    <x v="387"/>
    <s v="Male"/>
    <n v="59"/>
    <s v="FR"/>
    <s v="Free"/>
    <n v="295"/>
    <n v="8"/>
    <n v="0.41"/>
    <s v="Web"/>
    <n v="47"/>
    <n v="0"/>
    <n v="1"/>
    <n v="0"/>
    <n v="0"/>
    <x v="3"/>
  </r>
  <r>
    <x v="388"/>
    <s v="Female"/>
    <n v="20"/>
    <s v="PK"/>
    <s v="Free"/>
    <n v="48"/>
    <n v="76"/>
    <n v="0.17"/>
    <s v="Mobile"/>
    <n v="13"/>
    <n v="0"/>
    <n v="0"/>
    <n v="0"/>
    <n v="0"/>
    <x v="1"/>
  </r>
  <r>
    <x v="389"/>
    <s v="Female"/>
    <n v="30"/>
    <s v="UK"/>
    <s v="Free"/>
    <n v="193"/>
    <n v="66"/>
    <n v="0.56999999999999995"/>
    <s v="Desktop"/>
    <n v="43"/>
    <n v="0"/>
    <n v="1"/>
    <n v="0"/>
    <n v="0"/>
    <x v="3"/>
  </r>
  <r>
    <x v="390"/>
    <s v="Female"/>
    <n v="36"/>
    <s v="DE"/>
    <s v="Free"/>
    <n v="68"/>
    <n v="20"/>
    <n v="0.47"/>
    <s v="Web"/>
    <n v="17"/>
    <n v="0"/>
    <n v="0"/>
    <n v="0"/>
    <n v="0"/>
    <x v="1"/>
  </r>
  <r>
    <x v="391"/>
    <s v="Male"/>
    <n v="47"/>
    <s v="PK"/>
    <s v="Free"/>
    <n v="237"/>
    <n v="74"/>
    <n v="0.5"/>
    <s v="Mobile"/>
    <n v="48"/>
    <n v="0"/>
    <n v="1"/>
    <n v="0"/>
    <n v="0"/>
    <x v="3"/>
  </r>
  <r>
    <x v="392"/>
    <s v="Female"/>
    <n v="41"/>
    <s v="UK"/>
    <s v="Free"/>
    <n v="156"/>
    <n v="9"/>
    <n v="0.31"/>
    <s v="Mobile"/>
    <n v="25"/>
    <n v="0"/>
    <n v="0"/>
    <n v="0"/>
    <n v="0"/>
    <x v="4"/>
  </r>
  <r>
    <x v="393"/>
    <s v="Male"/>
    <n v="36"/>
    <s v="FR"/>
    <s v="Free"/>
    <n v="205"/>
    <n v="33"/>
    <n v="0.25"/>
    <s v="Web"/>
    <n v="46"/>
    <n v="0"/>
    <n v="1"/>
    <n v="0"/>
    <n v="0"/>
    <x v="3"/>
  </r>
  <r>
    <x v="394"/>
    <s v="Other"/>
    <n v="27"/>
    <s v="PK"/>
    <s v="Free"/>
    <n v="216"/>
    <n v="49"/>
    <n v="0.05"/>
    <s v="Mobile"/>
    <n v="31"/>
    <n v="0"/>
    <n v="0"/>
    <n v="0"/>
    <n v="0"/>
    <x v="0"/>
  </r>
  <r>
    <x v="395"/>
    <s v="Male"/>
    <n v="21"/>
    <s v="US"/>
    <s v="Free"/>
    <n v="215"/>
    <n v="30"/>
    <n v="0.55000000000000004"/>
    <s v="Mobile"/>
    <n v="10"/>
    <n v="0"/>
    <n v="0"/>
    <n v="0"/>
    <n v="0"/>
    <x v="1"/>
  </r>
  <r>
    <x v="396"/>
    <s v="Female"/>
    <n v="59"/>
    <s v="AU"/>
    <s v="Free"/>
    <n v="88"/>
    <n v="32"/>
    <n v="0.1"/>
    <s v="Mobile"/>
    <n v="22"/>
    <n v="0"/>
    <n v="0"/>
    <n v="0"/>
    <n v="0"/>
    <x v="4"/>
  </r>
  <r>
    <x v="397"/>
    <s v="Female"/>
    <n v="17"/>
    <s v="US"/>
    <s v="Free"/>
    <n v="18"/>
    <n v="82"/>
    <n v="0.02"/>
    <s v="Mobile"/>
    <n v="38"/>
    <n v="0"/>
    <n v="1"/>
    <n v="0"/>
    <n v="0"/>
    <x v="0"/>
  </r>
  <r>
    <x v="398"/>
    <s v="Female"/>
    <n v="28"/>
    <s v="US"/>
    <s v="Free"/>
    <n v="110"/>
    <n v="26"/>
    <n v="0.31"/>
    <s v="Mobile"/>
    <n v="40"/>
    <n v="0"/>
    <n v="1"/>
    <n v="0"/>
    <n v="0"/>
    <x v="3"/>
  </r>
  <r>
    <x v="399"/>
    <s v="Male"/>
    <n v="39"/>
    <s v="FR"/>
    <s v="Free"/>
    <n v="299"/>
    <n v="56"/>
    <n v="0.24"/>
    <s v="Web"/>
    <n v="15"/>
    <n v="0"/>
    <n v="0"/>
    <n v="0"/>
    <n v="0"/>
    <x v="1"/>
  </r>
  <r>
    <x v="400"/>
    <s v="Other"/>
    <n v="59"/>
    <s v="PK"/>
    <s v="Free"/>
    <n v="68"/>
    <n v="17"/>
    <n v="0.5"/>
    <s v="Desktop"/>
    <n v="38"/>
    <n v="0"/>
    <n v="0"/>
    <n v="0"/>
    <n v="0"/>
    <x v="0"/>
  </r>
  <r>
    <x v="401"/>
    <s v="Male"/>
    <n v="51"/>
    <s v="IN"/>
    <s v="Free"/>
    <n v="176"/>
    <n v="9"/>
    <n v="0.09"/>
    <s v="Web"/>
    <n v="39"/>
    <n v="0"/>
    <n v="0"/>
    <n v="0"/>
    <n v="0"/>
    <x v="0"/>
  </r>
  <r>
    <x v="402"/>
    <s v="Female"/>
    <n v="43"/>
    <s v="AU"/>
    <s v="Free"/>
    <n v="218"/>
    <n v="77"/>
    <n v="0.14000000000000001"/>
    <s v="Desktop"/>
    <n v="35"/>
    <n v="0"/>
    <n v="1"/>
    <n v="0"/>
    <n v="0"/>
    <x v="0"/>
  </r>
  <r>
    <x v="403"/>
    <s v="Male"/>
    <n v="38"/>
    <s v="US"/>
    <s v="Free"/>
    <n v="16"/>
    <n v="50"/>
    <n v="0.48"/>
    <s v="Mobile"/>
    <n v="20"/>
    <n v="0"/>
    <n v="1"/>
    <n v="0"/>
    <n v="0"/>
    <x v="4"/>
  </r>
  <r>
    <x v="404"/>
    <s v="Other"/>
    <n v="27"/>
    <s v="AU"/>
    <s v="Free"/>
    <n v="204"/>
    <n v="23"/>
    <n v="0.49"/>
    <s v="Mobile"/>
    <n v="8"/>
    <n v="0"/>
    <n v="1"/>
    <n v="0"/>
    <n v="0"/>
    <x v="2"/>
  </r>
  <r>
    <x v="405"/>
    <s v="Other"/>
    <n v="21"/>
    <s v="PK"/>
    <s v="Free"/>
    <n v="141"/>
    <n v="26"/>
    <n v="0.43"/>
    <s v="Mobile"/>
    <n v="36"/>
    <n v="0"/>
    <n v="1"/>
    <n v="0"/>
    <n v="0"/>
    <x v="0"/>
  </r>
  <r>
    <x v="406"/>
    <s v="Female"/>
    <n v="28"/>
    <s v="CA"/>
    <s v="Free"/>
    <n v="215"/>
    <n v="35"/>
    <n v="0.06"/>
    <s v="Mobile"/>
    <n v="19"/>
    <n v="0"/>
    <n v="0"/>
    <n v="0"/>
    <n v="0"/>
    <x v="1"/>
  </r>
  <r>
    <x v="407"/>
    <s v="Male"/>
    <n v="31"/>
    <s v="PK"/>
    <s v="Free"/>
    <n v="56"/>
    <n v="56"/>
    <n v="0.14000000000000001"/>
    <s v="Mobile"/>
    <n v="20"/>
    <n v="0"/>
    <n v="0"/>
    <n v="0"/>
    <n v="0"/>
    <x v="4"/>
  </r>
  <r>
    <x v="408"/>
    <s v="Female"/>
    <n v="48"/>
    <s v="AU"/>
    <s v="Free"/>
    <n v="292"/>
    <n v="23"/>
    <n v="0.45"/>
    <s v="Web"/>
    <n v="39"/>
    <n v="0"/>
    <n v="0"/>
    <n v="0"/>
    <n v="0"/>
    <x v="0"/>
  </r>
  <r>
    <x v="409"/>
    <s v="Other"/>
    <n v="35"/>
    <s v="CA"/>
    <s v="Free"/>
    <n v="262"/>
    <n v="54"/>
    <n v="0.32"/>
    <s v="Web"/>
    <n v="19"/>
    <n v="0"/>
    <n v="0"/>
    <n v="0"/>
    <n v="0"/>
    <x v="1"/>
  </r>
  <r>
    <x v="410"/>
    <s v="Male"/>
    <n v="57"/>
    <s v="FR"/>
    <s v="Free"/>
    <n v="158"/>
    <n v="51"/>
    <n v="0.2"/>
    <s v="Desktop"/>
    <n v="42"/>
    <n v="0"/>
    <n v="1"/>
    <n v="0"/>
    <n v="0"/>
    <x v="3"/>
  </r>
  <r>
    <x v="411"/>
    <s v="Male"/>
    <n v="47"/>
    <s v="CA"/>
    <s v="Free"/>
    <n v="99"/>
    <n v="63"/>
    <n v="0.08"/>
    <s v="Web"/>
    <n v="31"/>
    <n v="0"/>
    <n v="0"/>
    <n v="0"/>
    <n v="0"/>
    <x v="0"/>
  </r>
  <r>
    <x v="412"/>
    <s v="Female"/>
    <n v="37"/>
    <s v="UK"/>
    <s v="Free"/>
    <n v="138"/>
    <n v="98"/>
    <n v="0.54"/>
    <s v="Web"/>
    <n v="17"/>
    <n v="0"/>
    <n v="1"/>
    <n v="0"/>
    <n v="0"/>
    <x v="1"/>
  </r>
  <r>
    <x v="413"/>
    <s v="Other"/>
    <n v="54"/>
    <s v="CA"/>
    <s v="Free"/>
    <n v="218"/>
    <n v="76"/>
    <n v="0.41"/>
    <s v="Mobile"/>
    <n v="49"/>
    <n v="0"/>
    <n v="0"/>
    <n v="0"/>
    <n v="0"/>
    <x v="3"/>
  </r>
  <r>
    <x v="414"/>
    <s v="Other"/>
    <n v="33"/>
    <s v="AU"/>
    <s v="Free"/>
    <n v="236"/>
    <n v="56"/>
    <n v="0.17"/>
    <s v="Web"/>
    <n v="19"/>
    <n v="0"/>
    <n v="0"/>
    <n v="0"/>
    <n v="0"/>
    <x v="1"/>
  </r>
  <r>
    <x v="415"/>
    <s v="Female"/>
    <n v="55"/>
    <s v="IN"/>
    <s v="Free"/>
    <n v="242"/>
    <n v="14"/>
    <n v="0.04"/>
    <s v="Desktop"/>
    <n v="17"/>
    <n v="0"/>
    <n v="0"/>
    <n v="0"/>
    <n v="0"/>
    <x v="1"/>
  </r>
  <r>
    <x v="416"/>
    <s v="Female"/>
    <n v="48"/>
    <s v="IN"/>
    <s v="Free"/>
    <n v="272"/>
    <n v="96"/>
    <n v="0.34"/>
    <s v="Desktop"/>
    <n v="46"/>
    <n v="0"/>
    <n v="0"/>
    <n v="0"/>
    <n v="0"/>
    <x v="3"/>
  </r>
  <r>
    <x v="417"/>
    <s v="Female"/>
    <n v="36"/>
    <s v="US"/>
    <s v="Free"/>
    <n v="189"/>
    <n v="30"/>
    <n v="0.53"/>
    <s v="Desktop"/>
    <n v="20"/>
    <n v="0"/>
    <n v="0"/>
    <n v="0"/>
    <n v="0"/>
    <x v="4"/>
  </r>
  <r>
    <x v="418"/>
    <s v="Female"/>
    <n v="58"/>
    <s v="UK"/>
    <s v="Free"/>
    <n v="237"/>
    <n v="52"/>
    <n v="0.19"/>
    <s v="Web"/>
    <n v="19"/>
    <n v="0"/>
    <n v="0"/>
    <n v="0"/>
    <n v="0"/>
    <x v="1"/>
  </r>
  <r>
    <x v="419"/>
    <s v="Female"/>
    <n v="24"/>
    <s v="DE"/>
    <s v="Free"/>
    <n v="246"/>
    <n v="51"/>
    <n v="0.37"/>
    <s v="Mobile"/>
    <n v="30"/>
    <n v="0"/>
    <n v="0"/>
    <n v="0"/>
    <n v="0"/>
    <x v="0"/>
  </r>
  <r>
    <x v="420"/>
    <s v="Female"/>
    <n v="46"/>
    <s v="IN"/>
    <s v="Free"/>
    <n v="213"/>
    <n v="44"/>
    <n v="0.35"/>
    <s v="Mobile"/>
    <n v="32"/>
    <n v="0"/>
    <n v="0"/>
    <n v="0"/>
    <n v="0"/>
    <x v="0"/>
  </r>
  <r>
    <x v="421"/>
    <s v="Other"/>
    <n v="35"/>
    <s v="UK"/>
    <s v="Free"/>
    <n v="182"/>
    <n v="38"/>
    <n v="0.53"/>
    <s v="Web"/>
    <n v="40"/>
    <n v="0"/>
    <n v="0"/>
    <n v="0"/>
    <n v="0"/>
    <x v="3"/>
  </r>
  <r>
    <x v="422"/>
    <s v="Female"/>
    <n v="34"/>
    <s v="DE"/>
    <s v="Free"/>
    <n v="16"/>
    <n v="46"/>
    <n v="0.01"/>
    <s v="Web"/>
    <n v="47"/>
    <n v="0"/>
    <n v="0"/>
    <n v="0"/>
    <n v="0"/>
    <x v="3"/>
  </r>
  <r>
    <x v="423"/>
    <s v="Female"/>
    <n v="39"/>
    <s v="US"/>
    <s v="Free"/>
    <n v="140"/>
    <n v="54"/>
    <n v="0.16"/>
    <s v="Desktop"/>
    <n v="33"/>
    <n v="0"/>
    <n v="1"/>
    <n v="0"/>
    <n v="0"/>
    <x v="0"/>
  </r>
  <r>
    <x v="424"/>
    <s v="Female"/>
    <n v="33"/>
    <s v="FR"/>
    <s v="Free"/>
    <n v="110"/>
    <n v="11"/>
    <n v="0.52"/>
    <s v="Desktop"/>
    <n v="19"/>
    <n v="0"/>
    <n v="0"/>
    <n v="0"/>
    <n v="0"/>
    <x v="1"/>
  </r>
  <r>
    <x v="425"/>
    <s v="Female"/>
    <n v="29"/>
    <s v="UK"/>
    <s v="Free"/>
    <n v="93"/>
    <n v="99"/>
    <n v="0.25"/>
    <s v="Mobile"/>
    <n v="47"/>
    <n v="0"/>
    <n v="1"/>
    <n v="0"/>
    <n v="0"/>
    <x v="3"/>
  </r>
  <r>
    <x v="426"/>
    <s v="Female"/>
    <n v="17"/>
    <s v="AU"/>
    <s v="Free"/>
    <n v="66"/>
    <n v="25"/>
    <n v="0.52"/>
    <s v="Desktop"/>
    <n v="18"/>
    <n v="0"/>
    <n v="0"/>
    <n v="0"/>
    <n v="0"/>
    <x v="1"/>
  </r>
  <r>
    <x v="427"/>
    <s v="Female"/>
    <n v="25"/>
    <s v="FR"/>
    <s v="Free"/>
    <n v="220"/>
    <n v="89"/>
    <n v="0.56000000000000005"/>
    <s v="Web"/>
    <n v="33"/>
    <n v="0"/>
    <n v="1"/>
    <n v="0"/>
    <n v="0"/>
    <x v="0"/>
  </r>
  <r>
    <x v="428"/>
    <s v="Male"/>
    <n v="21"/>
    <s v="CA"/>
    <s v="Free"/>
    <n v="41"/>
    <n v="43"/>
    <n v="0.17"/>
    <s v="Mobile"/>
    <n v="22"/>
    <n v="0"/>
    <n v="0"/>
    <n v="0"/>
    <n v="0"/>
    <x v="4"/>
  </r>
  <r>
    <x v="429"/>
    <s v="Other"/>
    <n v="59"/>
    <s v="DE"/>
    <s v="Free"/>
    <n v="66"/>
    <n v="35"/>
    <n v="0"/>
    <s v="Web"/>
    <n v="49"/>
    <n v="0"/>
    <n v="0"/>
    <n v="0"/>
    <n v="0"/>
    <x v="3"/>
  </r>
  <r>
    <x v="430"/>
    <s v="Female"/>
    <n v="50"/>
    <s v="DE"/>
    <s v="Free"/>
    <n v="62"/>
    <n v="78"/>
    <n v="0.47"/>
    <s v="Web"/>
    <n v="26"/>
    <n v="0"/>
    <n v="0"/>
    <n v="0"/>
    <n v="0"/>
    <x v="4"/>
  </r>
  <r>
    <x v="431"/>
    <s v="Male"/>
    <n v="29"/>
    <s v="IN"/>
    <s v="Free"/>
    <n v="57"/>
    <n v="78"/>
    <n v="0.45"/>
    <s v="Web"/>
    <n v="37"/>
    <n v="0"/>
    <n v="0"/>
    <n v="0"/>
    <n v="0"/>
    <x v="0"/>
  </r>
  <r>
    <x v="432"/>
    <s v="Other"/>
    <n v="34"/>
    <s v="CA"/>
    <s v="Free"/>
    <n v="95"/>
    <n v="71"/>
    <n v="0.52"/>
    <s v="Web"/>
    <n v="34"/>
    <n v="0"/>
    <n v="1"/>
    <n v="0"/>
    <n v="0"/>
    <x v="0"/>
  </r>
  <r>
    <x v="433"/>
    <s v="Male"/>
    <n v="16"/>
    <s v="IN"/>
    <s v="Free"/>
    <n v="281"/>
    <n v="79"/>
    <n v="0.19"/>
    <s v="Web"/>
    <n v="15"/>
    <n v="0"/>
    <n v="0"/>
    <n v="0"/>
    <n v="0"/>
    <x v="1"/>
  </r>
  <r>
    <x v="434"/>
    <s v="Female"/>
    <n v="32"/>
    <s v="US"/>
    <s v="Free"/>
    <n v="59"/>
    <n v="26"/>
    <n v="0.33"/>
    <s v="Web"/>
    <n v="23"/>
    <n v="0"/>
    <n v="0"/>
    <n v="0"/>
    <n v="0"/>
    <x v="4"/>
  </r>
  <r>
    <x v="435"/>
    <s v="Female"/>
    <n v="40"/>
    <s v="DE"/>
    <s v="Free"/>
    <n v="180"/>
    <n v="37"/>
    <n v="0.19"/>
    <s v="Desktop"/>
    <n v="45"/>
    <n v="0"/>
    <n v="0"/>
    <n v="0"/>
    <n v="0"/>
    <x v="3"/>
  </r>
  <r>
    <x v="436"/>
    <s v="Female"/>
    <n v="59"/>
    <s v="IN"/>
    <s v="Free"/>
    <n v="188"/>
    <n v="36"/>
    <n v="0.4"/>
    <s v="Mobile"/>
    <n v="16"/>
    <n v="0"/>
    <n v="1"/>
    <n v="0"/>
    <n v="0"/>
    <x v="1"/>
  </r>
  <r>
    <x v="437"/>
    <s v="Female"/>
    <n v="45"/>
    <s v="PK"/>
    <s v="Free"/>
    <n v="99"/>
    <n v="77"/>
    <n v="0.55000000000000004"/>
    <s v="Mobile"/>
    <n v="6"/>
    <n v="0"/>
    <n v="0"/>
    <n v="0"/>
    <n v="0"/>
    <x v="2"/>
  </r>
  <r>
    <x v="438"/>
    <s v="Other"/>
    <n v="39"/>
    <s v="PK"/>
    <s v="Free"/>
    <n v="89"/>
    <n v="20"/>
    <n v="0.09"/>
    <s v="Web"/>
    <n v="34"/>
    <n v="0"/>
    <n v="0"/>
    <n v="0"/>
    <n v="0"/>
    <x v="0"/>
  </r>
  <r>
    <x v="439"/>
    <s v="Female"/>
    <n v="32"/>
    <s v="FR"/>
    <s v="Free"/>
    <n v="111"/>
    <n v="70"/>
    <n v="0.18"/>
    <s v="Web"/>
    <n v="13"/>
    <n v="0"/>
    <n v="0"/>
    <n v="0"/>
    <n v="0"/>
    <x v="1"/>
  </r>
  <r>
    <x v="440"/>
    <s v="Male"/>
    <n v="26"/>
    <s v="DE"/>
    <s v="Free"/>
    <n v="163"/>
    <n v="76"/>
    <n v="0.57999999999999996"/>
    <s v="Mobile"/>
    <n v="36"/>
    <n v="0"/>
    <n v="1"/>
    <n v="0"/>
    <n v="0"/>
    <x v="0"/>
  </r>
  <r>
    <x v="441"/>
    <s v="Other"/>
    <n v="26"/>
    <s v="UK"/>
    <s v="Free"/>
    <n v="137"/>
    <n v="58"/>
    <n v="0"/>
    <s v="Web"/>
    <n v="28"/>
    <n v="0"/>
    <n v="0"/>
    <n v="0"/>
    <n v="0"/>
    <x v="4"/>
  </r>
  <r>
    <x v="442"/>
    <s v="Male"/>
    <n v="34"/>
    <s v="IN"/>
    <s v="Free"/>
    <n v="137"/>
    <n v="18"/>
    <n v="0.28000000000000003"/>
    <s v="Mobile"/>
    <n v="38"/>
    <n v="0"/>
    <n v="0"/>
    <n v="0"/>
    <n v="0"/>
    <x v="0"/>
  </r>
  <r>
    <x v="443"/>
    <s v="Other"/>
    <n v="36"/>
    <s v="AU"/>
    <s v="Free"/>
    <n v="72"/>
    <n v="3"/>
    <n v="0.15"/>
    <s v="Mobile"/>
    <n v="48"/>
    <n v="0"/>
    <n v="0"/>
    <n v="0"/>
    <n v="0"/>
    <x v="3"/>
  </r>
  <r>
    <x v="444"/>
    <s v="Other"/>
    <n v="54"/>
    <s v="DE"/>
    <s v="Free"/>
    <n v="290"/>
    <n v="91"/>
    <n v="0.42"/>
    <s v="Desktop"/>
    <n v="41"/>
    <n v="0"/>
    <n v="1"/>
    <n v="0"/>
    <n v="0"/>
    <x v="3"/>
  </r>
  <r>
    <x v="445"/>
    <s v="Male"/>
    <n v="50"/>
    <s v="DE"/>
    <s v="Free"/>
    <n v="50"/>
    <n v="96"/>
    <n v="0.05"/>
    <s v="Mobile"/>
    <n v="33"/>
    <n v="0"/>
    <n v="0"/>
    <n v="0"/>
    <n v="0"/>
    <x v="0"/>
  </r>
  <r>
    <x v="446"/>
    <s v="Male"/>
    <n v="22"/>
    <s v="US"/>
    <s v="Free"/>
    <n v="156"/>
    <n v="53"/>
    <n v="0.06"/>
    <s v="Web"/>
    <n v="45"/>
    <n v="0"/>
    <n v="0"/>
    <n v="0"/>
    <n v="0"/>
    <x v="3"/>
  </r>
  <r>
    <x v="447"/>
    <s v="Other"/>
    <n v="37"/>
    <s v="AU"/>
    <s v="Free"/>
    <n v="276"/>
    <n v="21"/>
    <n v="7.0000000000000007E-2"/>
    <s v="Mobile"/>
    <n v="20"/>
    <n v="0"/>
    <n v="0"/>
    <n v="0"/>
    <n v="0"/>
    <x v="4"/>
  </r>
  <r>
    <x v="448"/>
    <s v="Female"/>
    <n v="21"/>
    <s v="US"/>
    <s v="Free"/>
    <n v="150"/>
    <n v="46"/>
    <n v="0.41"/>
    <s v="Desktop"/>
    <n v="18"/>
    <n v="0"/>
    <n v="0"/>
    <n v="0"/>
    <n v="0"/>
    <x v="1"/>
  </r>
  <r>
    <x v="449"/>
    <s v="Male"/>
    <n v="25"/>
    <s v="CA"/>
    <s v="Free"/>
    <n v="52"/>
    <n v="72"/>
    <n v="0.18"/>
    <s v="Desktop"/>
    <n v="26"/>
    <n v="0"/>
    <n v="0"/>
    <n v="0"/>
    <n v="0"/>
    <x v="4"/>
  </r>
  <r>
    <x v="450"/>
    <s v="Other"/>
    <n v="57"/>
    <s v="FR"/>
    <s v="Free"/>
    <n v="32"/>
    <n v="10"/>
    <n v="0.01"/>
    <s v="Web"/>
    <n v="35"/>
    <n v="0"/>
    <n v="0"/>
    <n v="0"/>
    <n v="0"/>
    <x v="0"/>
  </r>
  <r>
    <x v="451"/>
    <s v="Male"/>
    <n v="46"/>
    <s v="AU"/>
    <s v="Free"/>
    <n v="16"/>
    <n v="44"/>
    <n v="0.31"/>
    <s v="Desktop"/>
    <n v="26"/>
    <n v="0"/>
    <n v="0"/>
    <n v="0"/>
    <n v="0"/>
    <x v="4"/>
  </r>
  <r>
    <x v="452"/>
    <s v="Male"/>
    <n v="47"/>
    <s v="PK"/>
    <s v="Free"/>
    <n v="268"/>
    <n v="86"/>
    <n v="0.01"/>
    <s v="Mobile"/>
    <n v="9"/>
    <n v="0"/>
    <n v="0"/>
    <n v="0"/>
    <n v="0"/>
    <x v="2"/>
  </r>
  <r>
    <x v="453"/>
    <s v="Other"/>
    <n v="36"/>
    <s v="IN"/>
    <s v="Free"/>
    <n v="278"/>
    <n v="55"/>
    <n v="0.11"/>
    <s v="Desktop"/>
    <n v="27"/>
    <n v="0"/>
    <n v="1"/>
    <n v="0"/>
    <n v="0"/>
    <x v="4"/>
  </r>
  <r>
    <x v="454"/>
    <s v="Other"/>
    <n v="45"/>
    <s v="DE"/>
    <s v="Free"/>
    <n v="162"/>
    <n v="85"/>
    <n v="0.04"/>
    <s v="Web"/>
    <n v="43"/>
    <n v="0"/>
    <n v="0"/>
    <n v="0"/>
    <n v="0"/>
    <x v="3"/>
  </r>
  <r>
    <x v="455"/>
    <s v="Male"/>
    <n v="41"/>
    <s v="PK"/>
    <s v="Free"/>
    <n v="34"/>
    <n v="66"/>
    <n v="0.27"/>
    <s v="Mobile"/>
    <n v="10"/>
    <n v="0"/>
    <n v="1"/>
    <n v="0"/>
    <n v="0"/>
    <x v="1"/>
  </r>
  <r>
    <x v="456"/>
    <s v="Other"/>
    <n v="42"/>
    <s v="DE"/>
    <s v="Free"/>
    <n v="131"/>
    <n v="87"/>
    <n v="0.09"/>
    <s v="Mobile"/>
    <n v="12"/>
    <n v="0"/>
    <n v="0"/>
    <n v="0"/>
    <n v="0"/>
    <x v="1"/>
  </r>
  <r>
    <x v="457"/>
    <s v="Other"/>
    <n v="53"/>
    <s v="AU"/>
    <s v="Free"/>
    <n v="141"/>
    <n v="87"/>
    <n v="0.5"/>
    <s v="Web"/>
    <n v="47"/>
    <n v="0"/>
    <n v="0"/>
    <n v="0"/>
    <n v="0"/>
    <x v="3"/>
  </r>
  <r>
    <x v="458"/>
    <s v="Other"/>
    <n v="19"/>
    <s v="FR"/>
    <s v="Free"/>
    <n v="102"/>
    <n v="26"/>
    <n v="0.46"/>
    <s v="Mobile"/>
    <n v="44"/>
    <n v="0"/>
    <n v="0"/>
    <n v="0"/>
    <n v="0"/>
    <x v="3"/>
  </r>
  <r>
    <x v="459"/>
    <s v="Male"/>
    <n v="51"/>
    <s v="AU"/>
    <s v="Free"/>
    <n v="140"/>
    <n v="53"/>
    <n v="0.37"/>
    <s v="Web"/>
    <n v="20"/>
    <n v="0"/>
    <n v="1"/>
    <n v="0"/>
    <n v="0"/>
    <x v="4"/>
  </r>
  <r>
    <x v="460"/>
    <s v="Other"/>
    <n v="51"/>
    <s v="PK"/>
    <s v="Free"/>
    <n v="263"/>
    <n v="44"/>
    <n v="0.45"/>
    <s v="Web"/>
    <n v="19"/>
    <n v="0"/>
    <n v="0"/>
    <n v="0"/>
    <n v="0"/>
    <x v="1"/>
  </r>
  <r>
    <x v="461"/>
    <s v="Male"/>
    <n v="33"/>
    <s v="AU"/>
    <s v="Free"/>
    <n v="181"/>
    <n v="81"/>
    <n v="0.28000000000000003"/>
    <s v="Desktop"/>
    <n v="14"/>
    <n v="0"/>
    <n v="0"/>
    <n v="0"/>
    <n v="0"/>
    <x v="1"/>
  </r>
  <r>
    <x v="462"/>
    <s v="Other"/>
    <n v="22"/>
    <s v="US"/>
    <s v="Free"/>
    <n v="93"/>
    <n v="10"/>
    <n v="0.03"/>
    <s v="Mobile"/>
    <n v="12"/>
    <n v="0"/>
    <n v="0"/>
    <n v="0"/>
    <n v="0"/>
    <x v="1"/>
  </r>
  <r>
    <x v="463"/>
    <s v="Other"/>
    <n v="39"/>
    <s v="DE"/>
    <s v="Free"/>
    <n v="62"/>
    <n v="15"/>
    <n v="0.42"/>
    <s v="Mobile"/>
    <n v="49"/>
    <n v="0"/>
    <n v="0"/>
    <n v="0"/>
    <n v="0"/>
    <x v="3"/>
  </r>
  <r>
    <x v="464"/>
    <s v="Male"/>
    <n v="42"/>
    <s v="UK"/>
    <s v="Free"/>
    <n v="297"/>
    <n v="12"/>
    <n v="0.54"/>
    <s v="Desktop"/>
    <n v="15"/>
    <n v="0"/>
    <n v="0"/>
    <n v="0"/>
    <n v="0"/>
    <x v="1"/>
  </r>
  <r>
    <x v="465"/>
    <s v="Male"/>
    <n v="18"/>
    <s v="CA"/>
    <s v="Free"/>
    <n v="264"/>
    <n v="52"/>
    <n v="0.33"/>
    <s v="Desktop"/>
    <n v="19"/>
    <n v="0"/>
    <n v="0"/>
    <n v="0"/>
    <n v="0"/>
    <x v="1"/>
  </r>
  <r>
    <x v="466"/>
    <s v="Female"/>
    <n v="17"/>
    <s v="DE"/>
    <s v="Free"/>
    <n v="285"/>
    <n v="6"/>
    <n v="0.19"/>
    <s v="Web"/>
    <n v="18"/>
    <n v="0"/>
    <n v="0"/>
    <n v="0"/>
    <n v="0"/>
    <x v="1"/>
  </r>
  <r>
    <x v="467"/>
    <s v="Female"/>
    <n v="20"/>
    <s v="CA"/>
    <s v="Free"/>
    <n v="80"/>
    <n v="74"/>
    <n v="0.55000000000000004"/>
    <s v="Desktop"/>
    <n v="49"/>
    <n v="0"/>
    <n v="1"/>
    <n v="0"/>
    <n v="0"/>
    <x v="3"/>
  </r>
  <r>
    <x v="468"/>
    <s v="Other"/>
    <n v="24"/>
    <s v="PK"/>
    <s v="Free"/>
    <n v="297"/>
    <n v="12"/>
    <n v="0.39"/>
    <s v="Desktop"/>
    <n v="6"/>
    <n v="0"/>
    <n v="0"/>
    <n v="0"/>
    <n v="0"/>
    <x v="2"/>
  </r>
  <r>
    <x v="469"/>
    <s v="Other"/>
    <n v="34"/>
    <s v="CA"/>
    <s v="Free"/>
    <n v="84"/>
    <n v="43"/>
    <n v="0.31"/>
    <s v="Mobile"/>
    <n v="39"/>
    <n v="0"/>
    <n v="0"/>
    <n v="0"/>
    <n v="0"/>
    <x v="0"/>
  </r>
  <r>
    <x v="470"/>
    <s v="Other"/>
    <n v="36"/>
    <s v="CA"/>
    <s v="Free"/>
    <n v="287"/>
    <n v="44"/>
    <n v="7.0000000000000007E-2"/>
    <s v="Mobile"/>
    <n v="32"/>
    <n v="0"/>
    <n v="0"/>
    <n v="0"/>
    <n v="0"/>
    <x v="0"/>
  </r>
  <r>
    <x v="471"/>
    <s v="Other"/>
    <n v="21"/>
    <s v="FR"/>
    <s v="Free"/>
    <n v="116"/>
    <n v="84"/>
    <n v="0.59"/>
    <s v="Desktop"/>
    <n v="18"/>
    <n v="0"/>
    <n v="1"/>
    <n v="0"/>
    <n v="0"/>
    <x v="1"/>
  </r>
  <r>
    <x v="472"/>
    <s v="Male"/>
    <n v="37"/>
    <s v="US"/>
    <s v="Free"/>
    <n v="21"/>
    <n v="40"/>
    <n v="0.35"/>
    <s v="Web"/>
    <n v="36"/>
    <n v="0"/>
    <n v="0"/>
    <n v="0"/>
    <n v="0"/>
    <x v="0"/>
  </r>
  <r>
    <x v="473"/>
    <s v="Female"/>
    <n v="23"/>
    <s v="UK"/>
    <s v="Free"/>
    <n v="19"/>
    <n v="46"/>
    <n v="0.34"/>
    <s v="Web"/>
    <n v="13"/>
    <n v="0"/>
    <n v="0"/>
    <n v="0"/>
    <n v="0"/>
    <x v="1"/>
  </r>
  <r>
    <x v="474"/>
    <s v="Male"/>
    <n v="18"/>
    <s v="US"/>
    <s v="Free"/>
    <n v="165"/>
    <n v="21"/>
    <n v="0.05"/>
    <s v="Web"/>
    <n v="43"/>
    <n v="0"/>
    <n v="0"/>
    <n v="0"/>
    <n v="0"/>
    <x v="3"/>
  </r>
  <r>
    <x v="475"/>
    <s v="Other"/>
    <n v="55"/>
    <s v="DE"/>
    <s v="Free"/>
    <n v="252"/>
    <n v="52"/>
    <n v="0.25"/>
    <s v="Desktop"/>
    <n v="49"/>
    <n v="0"/>
    <n v="1"/>
    <n v="0"/>
    <n v="0"/>
    <x v="3"/>
  </r>
  <r>
    <x v="476"/>
    <s v="Male"/>
    <n v="22"/>
    <s v="US"/>
    <s v="Free"/>
    <n v="200"/>
    <n v="64"/>
    <n v="0.32"/>
    <s v="Web"/>
    <n v="42"/>
    <n v="0"/>
    <n v="0"/>
    <n v="0"/>
    <n v="0"/>
    <x v="3"/>
  </r>
  <r>
    <x v="477"/>
    <s v="Other"/>
    <n v="42"/>
    <s v="PK"/>
    <s v="Free"/>
    <n v="136"/>
    <n v="25"/>
    <n v="0.05"/>
    <s v="Mobile"/>
    <n v="9"/>
    <n v="0"/>
    <n v="0"/>
    <n v="0"/>
    <n v="0"/>
    <x v="2"/>
  </r>
  <r>
    <x v="478"/>
    <s v="Other"/>
    <n v="58"/>
    <s v="AU"/>
    <s v="Free"/>
    <n v="164"/>
    <n v="54"/>
    <n v="0.57999999999999996"/>
    <s v="Web"/>
    <n v="24"/>
    <n v="0"/>
    <n v="0"/>
    <n v="0"/>
    <n v="0"/>
    <x v="4"/>
  </r>
  <r>
    <x v="479"/>
    <s v="Male"/>
    <n v="38"/>
    <s v="DE"/>
    <s v="Free"/>
    <n v="105"/>
    <n v="25"/>
    <n v="0.21"/>
    <s v="Mobile"/>
    <n v="27"/>
    <n v="0"/>
    <n v="1"/>
    <n v="0"/>
    <n v="0"/>
    <x v="4"/>
  </r>
  <r>
    <x v="480"/>
    <s v="Other"/>
    <n v="19"/>
    <s v="IN"/>
    <s v="Free"/>
    <n v="118"/>
    <n v="25"/>
    <n v="0.57999999999999996"/>
    <s v="Desktop"/>
    <n v="48"/>
    <n v="0"/>
    <n v="0"/>
    <n v="0"/>
    <n v="0"/>
    <x v="3"/>
  </r>
  <r>
    <x v="481"/>
    <s v="Female"/>
    <n v="22"/>
    <s v="IN"/>
    <s v="Free"/>
    <n v="251"/>
    <n v="18"/>
    <n v="0.36"/>
    <s v="Desktop"/>
    <n v="15"/>
    <n v="0"/>
    <n v="0"/>
    <n v="0"/>
    <n v="0"/>
    <x v="1"/>
  </r>
  <r>
    <x v="482"/>
    <s v="Female"/>
    <n v="31"/>
    <s v="IN"/>
    <s v="Free"/>
    <n v="13"/>
    <n v="8"/>
    <n v="0.33"/>
    <s v="Mobile"/>
    <n v="26"/>
    <n v="0"/>
    <n v="0"/>
    <n v="0"/>
    <n v="0"/>
    <x v="4"/>
  </r>
  <r>
    <x v="483"/>
    <s v="Other"/>
    <n v="29"/>
    <s v="PK"/>
    <s v="Free"/>
    <n v="227"/>
    <n v="31"/>
    <n v="0.57999999999999996"/>
    <s v="Mobile"/>
    <n v="6"/>
    <n v="0"/>
    <n v="0"/>
    <n v="0"/>
    <n v="0"/>
    <x v="2"/>
  </r>
  <r>
    <x v="484"/>
    <s v="Other"/>
    <n v="59"/>
    <s v="DE"/>
    <s v="Free"/>
    <n v="286"/>
    <n v="55"/>
    <n v="0"/>
    <s v="Mobile"/>
    <n v="29"/>
    <n v="0"/>
    <n v="0"/>
    <n v="0"/>
    <n v="0"/>
    <x v="4"/>
  </r>
  <r>
    <x v="485"/>
    <s v="Other"/>
    <n v="27"/>
    <s v="US"/>
    <s v="Free"/>
    <n v="93"/>
    <n v="68"/>
    <n v="0.39"/>
    <s v="Desktop"/>
    <n v="36"/>
    <n v="0"/>
    <n v="0"/>
    <n v="0"/>
    <n v="0"/>
    <x v="0"/>
  </r>
  <r>
    <x v="486"/>
    <s v="Male"/>
    <n v="50"/>
    <s v="UK"/>
    <s v="Free"/>
    <n v="133"/>
    <n v="12"/>
    <n v="0.27"/>
    <s v="Web"/>
    <n v="15"/>
    <n v="0"/>
    <n v="0"/>
    <n v="0"/>
    <n v="0"/>
    <x v="1"/>
  </r>
  <r>
    <x v="487"/>
    <s v="Other"/>
    <n v="29"/>
    <s v="DE"/>
    <s v="Free"/>
    <n v="175"/>
    <n v="13"/>
    <n v="0.42"/>
    <s v="Mobile"/>
    <n v="9"/>
    <n v="0"/>
    <n v="1"/>
    <n v="0"/>
    <n v="0"/>
    <x v="2"/>
  </r>
  <r>
    <x v="488"/>
    <s v="Other"/>
    <n v="34"/>
    <s v="PK"/>
    <s v="Free"/>
    <n v="248"/>
    <n v="15"/>
    <n v="0.01"/>
    <s v="Desktop"/>
    <n v="19"/>
    <n v="0"/>
    <n v="0"/>
    <n v="0"/>
    <n v="0"/>
    <x v="1"/>
  </r>
  <r>
    <x v="489"/>
    <s v="Female"/>
    <n v="18"/>
    <s v="US"/>
    <s v="Free"/>
    <n v="151"/>
    <n v="33"/>
    <n v="0.45"/>
    <s v="Web"/>
    <n v="14"/>
    <n v="0"/>
    <n v="1"/>
    <n v="0"/>
    <n v="0"/>
    <x v="1"/>
  </r>
  <r>
    <x v="490"/>
    <s v="Male"/>
    <n v="26"/>
    <s v="PK"/>
    <s v="Free"/>
    <n v="151"/>
    <n v="33"/>
    <n v="0.09"/>
    <s v="Web"/>
    <n v="41"/>
    <n v="0"/>
    <n v="0"/>
    <n v="0"/>
    <n v="0"/>
    <x v="3"/>
  </r>
  <r>
    <x v="491"/>
    <s v="Female"/>
    <n v="54"/>
    <s v="FR"/>
    <s v="Free"/>
    <n v="101"/>
    <n v="91"/>
    <n v="0.17"/>
    <s v="Mobile"/>
    <n v="11"/>
    <n v="0"/>
    <n v="0"/>
    <n v="0"/>
    <n v="0"/>
    <x v="1"/>
  </r>
  <r>
    <x v="492"/>
    <s v="Male"/>
    <n v="59"/>
    <s v="CA"/>
    <s v="Free"/>
    <n v="97"/>
    <n v="2"/>
    <n v="0.56000000000000005"/>
    <s v="Desktop"/>
    <n v="9"/>
    <n v="0"/>
    <n v="0"/>
    <n v="0"/>
    <n v="0"/>
    <x v="2"/>
  </r>
  <r>
    <x v="493"/>
    <s v="Female"/>
    <n v="26"/>
    <s v="US"/>
    <s v="Free"/>
    <n v="252"/>
    <n v="81"/>
    <n v="0.39"/>
    <s v="Web"/>
    <n v="6"/>
    <n v="0"/>
    <n v="1"/>
    <n v="0"/>
    <n v="0"/>
    <x v="2"/>
  </r>
  <r>
    <x v="494"/>
    <s v="Female"/>
    <n v="29"/>
    <s v="CA"/>
    <s v="Free"/>
    <n v="223"/>
    <n v="89"/>
    <n v="0.24"/>
    <s v="Desktop"/>
    <n v="16"/>
    <n v="0"/>
    <n v="0"/>
    <n v="0"/>
    <n v="0"/>
    <x v="1"/>
  </r>
  <r>
    <x v="495"/>
    <s v="Female"/>
    <n v="21"/>
    <s v="IN"/>
    <s v="Free"/>
    <n v="286"/>
    <n v="35"/>
    <n v="0.55000000000000004"/>
    <s v="Desktop"/>
    <n v="13"/>
    <n v="0"/>
    <n v="0"/>
    <n v="0"/>
    <n v="0"/>
    <x v="1"/>
  </r>
  <r>
    <x v="496"/>
    <s v="Male"/>
    <n v="47"/>
    <s v="UK"/>
    <s v="Free"/>
    <n v="243"/>
    <n v="87"/>
    <n v="0.27"/>
    <s v="Desktop"/>
    <n v="37"/>
    <n v="0"/>
    <n v="0"/>
    <n v="0"/>
    <n v="0"/>
    <x v="0"/>
  </r>
  <r>
    <x v="497"/>
    <s v="Female"/>
    <n v="43"/>
    <s v="US"/>
    <s v="Free"/>
    <n v="294"/>
    <n v="20"/>
    <n v="0.46"/>
    <s v="Desktop"/>
    <n v="46"/>
    <n v="0"/>
    <n v="0"/>
    <n v="0"/>
    <n v="0"/>
    <x v="3"/>
  </r>
  <r>
    <x v="498"/>
    <s v="Female"/>
    <n v="30"/>
    <s v="UK"/>
    <s v="Free"/>
    <n v="217"/>
    <n v="12"/>
    <n v="7.0000000000000007E-2"/>
    <s v="Mobile"/>
    <n v="36"/>
    <n v="0"/>
    <n v="0"/>
    <n v="0"/>
    <n v="0"/>
    <x v="0"/>
  </r>
  <r>
    <x v="499"/>
    <s v="Male"/>
    <n v="45"/>
    <s v="CA"/>
    <s v="Free"/>
    <n v="241"/>
    <n v="12"/>
    <n v="0.14000000000000001"/>
    <s v="Web"/>
    <n v="5"/>
    <n v="0"/>
    <n v="0"/>
    <n v="0"/>
    <n v="0"/>
    <x v="2"/>
  </r>
  <r>
    <x v="500"/>
    <s v="Other"/>
    <n v="37"/>
    <s v="CA"/>
    <s v="Free"/>
    <n v="189"/>
    <n v="77"/>
    <n v="0.05"/>
    <s v="Desktop"/>
    <n v="39"/>
    <n v="0"/>
    <n v="0"/>
    <n v="0"/>
    <n v="0"/>
    <x v="0"/>
  </r>
  <r>
    <x v="501"/>
    <s v="Female"/>
    <n v="50"/>
    <s v="AU"/>
    <s v="Free"/>
    <n v="236"/>
    <n v="43"/>
    <n v="0.3"/>
    <s v="Web"/>
    <n v="31"/>
    <n v="0"/>
    <n v="0"/>
    <n v="0"/>
    <n v="0"/>
    <x v="0"/>
  </r>
  <r>
    <x v="502"/>
    <s v="Male"/>
    <n v="26"/>
    <s v="FR"/>
    <s v="Free"/>
    <n v="181"/>
    <n v="52"/>
    <n v="0.48"/>
    <s v="Mobile"/>
    <n v="36"/>
    <n v="0"/>
    <n v="0"/>
    <n v="0"/>
    <n v="0"/>
    <x v="0"/>
  </r>
  <r>
    <x v="503"/>
    <s v="Other"/>
    <n v="56"/>
    <s v="FR"/>
    <s v="Free"/>
    <n v="258"/>
    <n v="53"/>
    <n v="0.48"/>
    <s v="Desktop"/>
    <n v="24"/>
    <n v="0"/>
    <n v="1"/>
    <n v="0"/>
    <n v="0"/>
    <x v="4"/>
  </r>
  <r>
    <x v="504"/>
    <s v="Female"/>
    <n v="39"/>
    <s v="CA"/>
    <s v="Free"/>
    <n v="51"/>
    <n v="11"/>
    <n v="0.56000000000000005"/>
    <s v="Mobile"/>
    <n v="23"/>
    <n v="0"/>
    <n v="1"/>
    <n v="0"/>
    <n v="0"/>
    <x v="4"/>
  </r>
  <r>
    <x v="505"/>
    <s v="Male"/>
    <n v="20"/>
    <s v="CA"/>
    <s v="Free"/>
    <n v="107"/>
    <n v="12"/>
    <n v="0.44"/>
    <s v="Web"/>
    <n v="30"/>
    <n v="0"/>
    <n v="0"/>
    <n v="0"/>
    <n v="0"/>
    <x v="0"/>
  </r>
  <r>
    <x v="506"/>
    <s v="Female"/>
    <n v="28"/>
    <s v="CA"/>
    <s v="Free"/>
    <n v="133"/>
    <n v="23"/>
    <n v="0.42"/>
    <s v="Desktop"/>
    <n v="21"/>
    <n v="0"/>
    <n v="0"/>
    <n v="0"/>
    <n v="0"/>
    <x v="4"/>
  </r>
  <r>
    <x v="507"/>
    <s v="Female"/>
    <n v="20"/>
    <s v="IN"/>
    <s v="Free"/>
    <n v="171"/>
    <n v="1"/>
    <n v="0.6"/>
    <s v="Mobile"/>
    <n v="20"/>
    <n v="0"/>
    <n v="1"/>
    <n v="0"/>
    <n v="0"/>
    <x v="4"/>
  </r>
  <r>
    <x v="508"/>
    <s v="Female"/>
    <n v="58"/>
    <s v="PK"/>
    <s v="Free"/>
    <n v="146"/>
    <n v="92"/>
    <n v="0.2"/>
    <s v="Mobile"/>
    <n v="16"/>
    <n v="0"/>
    <n v="0"/>
    <n v="0"/>
    <n v="0"/>
    <x v="1"/>
  </r>
  <r>
    <x v="509"/>
    <s v="Female"/>
    <n v="26"/>
    <s v="FR"/>
    <s v="Free"/>
    <n v="183"/>
    <n v="98"/>
    <n v="0.49"/>
    <s v="Web"/>
    <n v="30"/>
    <n v="0"/>
    <n v="0"/>
    <n v="0"/>
    <n v="0"/>
    <x v="0"/>
  </r>
  <r>
    <x v="510"/>
    <s v="Other"/>
    <n v="23"/>
    <s v="DE"/>
    <s v="Free"/>
    <n v="223"/>
    <n v="18"/>
    <n v="0.48"/>
    <s v="Desktop"/>
    <n v="9"/>
    <n v="0"/>
    <n v="0"/>
    <n v="0"/>
    <n v="0"/>
    <x v="2"/>
  </r>
  <r>
    <x v="511"/>
    <s v="Female"/>
    <n v="45"/>
    <s v="IN"/>
    <s v="Free"/>
    <n v="43"/>
    <n v="97"/>
    <n v="0.53"/>
    <s v="Desktop"/>
    <n v="28"/>
    <n v="0"/>
    <n v="0"/>
    <n v="0"/>
    <n v="0"/>
    <x v="4"/>
  </r>
  <r>
    <x v="512"/>
    <s v="Female"/>
    <n v="25"/>
    <s v="PK"/>
    <s v="Free"/>
    <n v="49"/>
    <n v="9"/>
    <n v="0.45"/>
    <s v="Mobile"/>
    <n v="6"/>
    <n v="0"/>
    <n v="0"/>
    <n v="0"/>
    <n v="0"/>
    <x v="2"/>
  </r>
  <r>
    <x v="513"/>
    <s v="Other"/>
    <n v="17"/>
    <s v="AU"/>
    <s v="Free"/>
    <n v="99"/>
    <n v="19"/>
    <n v="0.28000000000000003"/>
    <s v="Desktop"/>
    <n v="6"/>
    <n v="0"/>
    <n v="0"/>
    <n v="0"/>
    <n v="0"/>
    <x v="2"/>
  </r>
  <r>
    <x v="514"/>
    <s v="Female"/>
    <n v="55"/>
    <s v="CA"/>
    <s v="Free"/>
    <n v="65"/>
    <n v="13"/>
    <n v="0.54"/>
    <s v="Web"/>
    <n v="44"/>
    <n v="0"/>
    <n v="0"/>
    <n v="0"/>
    <n v="0"/>
    <x v="3"/>
  </r>
  <r>
    <x v="515"/>
    <s v="Other"/>
    <n v="49"/>
    <s v="DE"/>
    <s v="Free"/>
    <n v="199"/>
    <n v="10"/>
    <n v="0.11"/>
    <s v="Desktop"/>
    <n v="22"/>
    <n v="0"/>
    <n v="1"/>
    <n v="0"/>
    <n v="0"/>
    <x v="4"/>
  </r>
  <r>
    <x v="516"/>
    <s v="Other"/>
    <n v="28"/>
    <s v="PK"/>
    <s v="Free"/>
    <n v="125"/>
    <n v="56"/>
    <n v="0.5"/>
    <s v="Desktop"/>
    <n v="23"/>
    <n v="0"/>
    <n v="1"/>
    <n v="0"/>
    <n v="0"/>
    <x v="4"/>
  </r>
  <r>
    <x v="517"/>
    <s v="Other"/>
    <n v="57"/>
    <s v="CA"/>
    <s v="Free"/>
    <n v="187"/>
    <n v="90"/>
    <n v="0.18"/>
    <s v="Mobile"/>
    <n v="16"/>
    <n v="0"/>
    <n v="0"/>
    <n v="0"/>
    <n v="0"/>
    <x v="1"/>
  </r>
  <r>
    <x v="518"/>
    <s v="Female"/>
    <n v="43"/>
    <s v="CA"/>
    <s v="Free"/>
    <n v="290"/>
    <n v="70"/>
    <n v="0.33"/>
    <s v="Desktop"/>
    <n v="48"/>
    <n v="0"/>
    <n v="0"/>
    <n v="0"/>
    <n v="0"/>
    <x v="3"/>
  </r>
  <r>
    <x v="519"/>
    <s v="Female"/>
    <n v="35"/>
    <s v="IN"/>
    <s v="Free"/>
    <n v="234"/>
    <n v="29"/>
    <n v="0.15"/>
    <s v="Mobile"/>
    <n v="25"/>
    <n v="0"/>
    <n v="0"/>
    <n v="0"/>
    <n v="0"/>
    <x v="4"/>
  </r>
  <r>
    <x v="520"/>
    <s v="Other"/>
    <n v="53"/>
    <s v="AU"/>
    <s v="Free"/>
    <n v="144"/>
    <n v="76"/>
    <n v="0.02"/>
    <s v="Desktop"/>
    <n v="38"/>
    <n v="0"/>
    <n v="0"/>
    <n v="0"/>
    <n v="0"/>
    <x v="0"/>
  </r>
  <r>
    <x v="521"/>
    <s v="Male"/>
    <n v="29"/>
    <s v="PK"/>
    <s v="Free"/>
    <n v="79"/>
    <n v="40"/>
    <n v="0.12"/>
    <s v="Desktop"/>
    <n v="8"/>
    <n v="0"/>
    <n v="1"/>
    <n v="0"/>
    <n v="0"/>
    <x v="2"/>
  </r>
  <r>
    <x v="522"/>
    <s v="Female"/>
    <n v="36"/>
    <s v="FR"/>
    <s v="Free"/>
    <n v="231"/>
    <n v="63"/>
    <n v="0.28000000000000003"/>
    <s v="Mobile"/>
    <n v="14"/>
    <n v="0"/>
    <n v="1"/>
    <n v="0"/>
    <n v="0"/>
    <x v="1"/>
  </r>
  <r>
    <x v="523"/>
    <s v="Other"/>
    <n v="53"/>
    <s v="DE"/>
    <s v="Free"/>
    <n v="232"/>
    <n v="10"/>
    <n v="0.15"/>
    <s v="Desktop"/>
    <n v="38"/>
    <n v="0"/>
    <n v="0"/>
    <n v="0"/>
    <n v="0"/>
    <x v="0"/>
  </r>
  <r>
    <x v="524"/>
    <s v="Other"/>
    <n v="54"/>
    <s v="US"/>
    <s v="Free"/>
    <n v="73"/>
    <n v="86"/>
    <n v="7.0000000000000007E-2"/>
    <s v="Mobile"/>
    <n v="41"/>
    <n v="0"/>
    <n v="0"/>
    <n v="0"/>
    <n v="0"/>
    <x v="3"/>
  </r>
  <r>
    <x v="525"/>
    <s v="Female"/>
    <n v="53"/>
    <s v="CA"/>
    <s v="Free"/>
    <n v="52"/>
    <n v="20"/>
    <n v="0.37"/>
    <s v="Mobile"/>
    <n v="42"/>
    <n v="0"/>
    <n v="0"/>
    <n v="0"/>
    <n v="0"/>
    <x v="3"/>
  </r>
  <r>
    <x v="526"/>
    <s v="Female"/>
    <n v="31"/>
    <s v="US"/>
    <s v="Free"/>
    <n v="89"/>
    <n v="43"/>
    <n v="0.11"/>
    <s v="Web"/>
    <n v="40"/>
    <n v="0"/>
    <n v="0"/>
    <n v="0"/>
    <n v="0"/>
    <x v="3"/>
  </r>
  <r>
    <x v="527"/>
    <s v="Other"/>
    <n v="48"/>
    <s v="US"/>
    <s v="Free"/>
    <n v="179"/>
    <n v="57"/>
    <n v="0.19"/>
    <s v="Web"/>
    <n v="17"/>
    <n v="0"/>
    <n v="0"/>
    <n v="0"/>
    <n v="0"/>
    <x v="1"/>
  </r>
  <r>
    <x v="528"/>
    <s v="Female"/>
    <n v="33"/>
    <s v="DE"/>
    <s v="Free"/>
    <n v="267"/>
    <n v="91"/>
    <n v="0.3"/>
    <s v="Web"/>
    <n v="43"/>
    <n v="0"/>
    <n v="1"/>
    <n v="0"/>
    <n v="0"/>
    <x v="3"/>
  </r>
  <r>
    <x v="529"/>
    <s v="Female"/>
    <n v="27"/>
    <s v="AU"/>
    <s v="Free"/>
    <n v="219"/>
    <n v="50"/>
    <n v="0.42"/>
    <s v="Mobile"/>
    <n v="16"/>
    <n v="0"/>
    <n v="0"/>
    <n v="0"/>
    <n v="0"/>
    <x v="1"/>
  </r>
  <r>
    <x v="530"/>
    <s v="Female"/>
    <n v="22"/>
    <s v="UK"/>
    <s v="Free"/>
    <n v="67"/>
    <n v="43"/>
    <n v="0.56999999999999995"/>
    <s v="Mobile"/>
    <n v="13"/>
    <n v="0"/>
    <n v="0"/>
    <n v="0"/>
    <n v="0"/>
    <x v="1"/>
  </r>
  <r>
    <x v="531"/>
    <s v="Female"/>
    <n v="50"/>
    <s v="PK"/>
    <s v="Free"/>
    <n v="68"/>
    <n v="70"/>
    <n v="0.01"/>
    <s v="Web"/>
    <n v="44"/>
    <n v="0"/>
    <n v="0"/>
    <n v="0"/>
    <n v="0"/>
    <x v="3"/>
  </r>
  <r>
    <x v="532"/>
    <s v="Male"/>
    <n v="23"/>
    <s v="IN"/>
    <s v="Free"/>
    <n v="137"/>
    <n v="24"/>
    <n v="0.21"/>
    <s v="Mobile"/>
    <n v="26"/>
    <n v="0"/>
    <n v="0"/>
    <n v="0"/>
    <n v="0"/>
    <x v="4"/>
  </r>
  <r>
    <x v="533"/>
    <s v="Male"/>
    <n v="33"/>
    <s v="AU"/>
    <s v="Free"/>
    <n v="197"/>
    <n v="43"/>
    <n v="0.26"/>
    <s v="Web"/>
    <n v="47"/>
    <n v="0"/>
    <n v="0"/>
    <n v="0"/>
    <n v="0"/>
    <x v="3"/>
  </r>
  <r>
    <x v="534"/>
    <s v="Other"/>
    <n v="24"/>
    <s v="FR"/>
    <s v="Free"/>
    <n v="86"/>
    <n v="13"/>
    <n v="0.33"/>
    <s v="Web"/>
    <n v="28"/>
    <n v="0"/>
    <n v="0"/>
    <n v="0"/>
    <n v="0"/>
    <x v="4"/>
  </r>
  <r>
    <x v="535"/>
    <s v="Male"/>
    <n v="38"/>
    <s v="US"/>
    <s v="Free"/>
    <n v="157"/>
    <n v="57"/>
    <n v="0.4"/>
    <s v="Desktop"/>
    <n v="40"/>
    <n v="0"/>
    <n v="1"/>
    <n v="0"/>
    <n v="0"/>
    <x v="3"/>
  </r>
  <r>
    <x v="536"/>
    <s v="Male"/>
    <n v="16"/>
    <s v="PK"/>
    <s v="Free"/>
    <n v="52"/>
    <n v="33"/>
    <n v="0.5"/>
    <s v="Web"/>
    <n v="25"/>
    <n v="0"/>
    <n v="0"/>
    <n v="0"/>
    <n v="0"/>
    <x v="4"/>
  </r>
  <r>
    <x v="537"/>
    <s v="Male"/>
    <n v="19"/>
    <s v="UK"/>
    <s v="Free"/>
    <n v="215"/>
    <n v="33"/>
    <n v="0"/>
    <s v="Web"/>
    <n v="20"/>
    <n v="0"/>
    <n v="0"/>
    <n v="0"/>
    <n v="0"/>
    <x v="4"/>
  </r>
  <r>
    <x v="538"/>
    <s v="Male"/>
    <n v="22"/>
    <s v="CA"/>
    <s v="Free"/>
    <n v="30"/>
    <n v="31"/>
    <n v="0.4"/>
    <s v="Desktop"/>
    <n v="12"/>
    <n v="0"/>
    <n v="1"/>
    <n v="0"/>
    <n v="0"/>
    <x v="1"/>
  </r>
  <r>
    <x v="539"/>
    <s v="Male"/>
    <n v="19"/>
    <s v="US"/>
    <s v="Free"/>
    <n v="292"/>
    <n v="75"/>
    <n v="0.23"/>
    <s v="Web"/>
    <n v="11"/>
    <n v="0"/>
    <n v="0"/>
    <n v="0"/>
    <n v="0"/>
    <x v="1"/>
  </r>
  <r>
    <x v="540"/>
    <s v="Female"/>
    <n v="19"/>
    <s v="FR"/>
    <s v="Free"/>
    <n v="157"/>
    <n v="25"/>
    <n v="0.49"/>
    <s v="Mobile"/>
    <n v="25"/>
    <n v="0"/>
    <n v="1"/>
    <n v="0"/>
    <n v="0"/>
    <x v="4"/>
  </r>
  <r>
    <x v="541"/>
    <s v="Male"/>
    <n v="47"/>
    <s v="FR"/>
    <s v="Free"/>
    <n v="189"/>
    <n v="77"/>
    <n v="0.3"/>
    <s v="Desktop"/>
    <n v="39"/>
    <n v="0"/>
    <n v="0"/>
    <n v="0"/>
    <n v="0"/>
    <x v="0"/>
  </r>
  <r>
    <x v="542"/>
    <s v="Female"/>
    <n v="54"/>
    <s v="US"/>
    <s v="Free"/>
    <n v="99"/>
    <n v="95"/>
    <n v="0.22"/>
    <s v="Desktop"/>
    <n v="27"/>
    <n v="0"/>
    <n v="0"/>
    <n v="0"/>
    <n v="0"/>
    <x v="4"/>
  </r>
  <r>
    <x v="543"/>
    <s v="Female"/>
    <n v="49"/>
    <s v="DE"/>
    <s v="Free"/>
    <n v="256"/>
    <n v="7"/>
    <n v="0.11"/>
    <s v="Web"/>
    <n v="5"/>
    <n v="0"/>
    <n v="0"/>
    <n v="0"/>
    <n v="0"/>
    <x v="2"/>
  </r>
  <r>
    <x v="544"/>
    <s v="Male"/>
    <n v="48"/>
    <s v="FR"/>
    <s v="Free"/>
    <n v="30"/>
    <n v="82"/>
    <n v="0.11"/>
    <s v="Desktop"/>
    <n v="16"/>
    <n v="0"/>
    <n v="1"/>
    <n v="0"/>
    <n v="0"/>
    <x v="1"/>
  </r>
  <r>
    <x v="545"/>
    <s v="Male"/>
    <n v="28"/>
    <s v="PK"/>
    <s v="Free"/>
    <n v="125"/>
    <n v="82"/>
    <n v="0.37"/>
    <s v="Mobile"/>
    <n v="39"/>
    <n v="0"/>
    <n v="1"/>
    <n v="0"/>
    <n v="0"/>
    <x v="0"/>
  </r>
  <r>
    <x v="546"/>
    <s v="Female"/>
    <n v="41"/>
    <s v="PK"/>
    <s v="Free"/>
    <n v="107"/>
    <n v="57"/>
    <n v="0.27"/>
    <s v="Web"/>
    <n v="41"/>
    <n v="0"/>
    <n v="1"/>
    <n v="0"/>
    <n v="0"/>
    <x v="3"/>
  </r>
  <r>
    <x v="547"/>
    <s v="Other"/>
    <n v="48"/>
    <s v="US"/>
    <s v="Free"/>
    <n v="167"/>
    <n v="54"/>
    <n v="0.48"/>
    <s v="Desktop"/>
    <n v="7"/>
    <n v="0"/>
    <n v="1"/>
    <n v="0"/>
    <n v="0"/>
    <x v="2"/>
  </r>
  <r>
    <x v="548"/>
    <s v="Female"/>
    <n v="44"/>
    <s v="US"/>
    <s v="Free"/>
    <n v="185"/>
    <n v="64"/>
    <n v="0.45"/>
    <s v="Mobile"/>
    <n v="15"/>
    <n v="0"/>
    <n v="0"/>
    <n v="0"/>
    <n v="0"/>
    <x v="1"/>
  </r>
  <r>
    <x v="549"/>
    <s v="Other"/>
    <n v="17"/>
    <s v="DE"/>
    <s v="Free"/>
    <n v="240"/>
    <n v="65"/>
    <n v="0.54"/>
    <s v="Web"/>
    <n v="7"/>
    <n v="0"/>
    <n v="0"/>
    <n v="0"/>
    <n v="0"/>
    <x v="2"/>
  </r>
  <r>
    <x v="550"/>
    <s v="Female"/>
    <n v="20"/>
    <s v="UK"/>
    <s v="Free"/>
    <n v="181"/>
    <n v="33"/>
    <n v="7.0000000000000007E-2"/>
    <s v="Web"/>
    <n v="38"/>
    <n v="0"/>
    <n v="0"/>
    <n v="0"/>
    <n v="0"/>
    <x v="0"/>
  </r>
  <r>
    <x v="551"/>
    <s v="Male"/>
    <n v="36"/>
    <s v="PK"/>
    <s v="Free"/>
    <n v="145"/>
    <n v="73"/>
    <n v="0.38"/>
    <s v="Web"/>
    <n v="47"/>
    <n v="0"/>
    <n v="1"/>
    <n v="0"/>
    <n v="0"/>
    <x v="3"/>
  </r>
  <r>
    <x v="552"/>
    <s v="Male"/>
    <n v="58"/>
    <s v="FR"/>
    <s v="Free"/>
    <n v="133"/>
    <n v="77"/>
    <n v="0.03"/>
    <s v="Desktop"/>
    <n v="8"/>
    <n v="0"/>
    <n v="1"/>
    <n v="0"/>
    <n v="0"/>
    <x v="2"/>
  </r>
  <r>
    <x v="553"/>
    <s v="Other"/>
    <n v="24"/>
    <s v="CA"/>
    <s v="Free"/>
    <n v="41"/>
    <n v="48"/>
    <n v="0.18"/>
    <s v="Desktop"/>
    <n v="33"/>
    <n v="0"/>
    <n v="0"/>
    <n v="0"/>
    <n v="0"/>
    <x v="0"/>
  </r>
  <r>
    <x v="554"/>
    <s v="Other"/>
    <n v="53"/>
    <s v="UK"/>
    <s v="Free"/>
    <n v="240"/>
    <n v="47"/>
    <n v="0.56000000000000005"/>
    <s v="Web"/>
    <n v="8"/>
    <n v="0"/>
    <n v="1"/>
    <n v="0"/>
    <n v="0"/>
    <x v="2"/>
  </r>
  <r>
    <x v="555"/>
    <s v="Male"/>
    <n v="59"/>
    <s v="PK"/>
    <s v="Free"/>
    <n v="106"/>
    <n v="8"/>
    <n v="0.21"/>
    <s v="Desktop"/>
    <n v="9"/>
    <n v="0"/>
    <n v="0"/>
    <n v="0"/>
    <n v="0"/>
    <x v="2"/>
  </r>
  <r>
    <x v="556"/>
    <s v="Other"/>
    <n v="27"/>
    <s v="FR"/>
    <s v="Free"/>
    <n v="88"/>
    <n v="7"/>
    <n v="0.2"/>
    <s v="Web"/>
    <n v="45"/>
    <n v="0"/>
    <n v="0"/>
    <n v="0"/>
    <n v="0"/>
    <x v="3"/>
  </r>
  <r>
    <x v="557"/>
    <s v="Male"/>
    <n v="53"/>
    <s v="DE"/>
    <s v="Free"/>
    <n v="174"/>
    <n v="78"/>
    <n v="0.56000000000000005"/>
    <s v="Web"/>
    <n v="44"/>
    <n v="0"/>
    <n v="0"/>
    <n v="0"/>
    <n v="0"/>
    <x v="3"/>
  </r>
  <r>
    <x v="558"/>
    <s v="Male"/>
    <n v="21"/>
    <s v="AU"/>
    <s v="Free"/>
    <n v="113"/>
    <n v="78"/>
    <n v="0.25"/>
    <s v="Desktop"/>
    <n v="19"/>
    <n v="0"/>
    <n v="1"/>
    <n v="0"/>
    <n v="0"/>
    <x v="1"/>
  </r>
  <r>
    <x v="559"/>
    <s v="Male"/>
    <n v="49"/>
    <s v="CA"/>
    <s v="Free"/>
    <n v="162"/>
    <n v="34"/>
    <n v="0.35"/>
    <s v="Mobile"/>
    <n v="42"/>
    <n v="0"/>
    <n v="0"/>
    <n v="0"/>
    <n v="0"/>
    <x v="3"/>
  </r>
  <r>
    <x v="560"/>
    <s v="Other"/>
    <n v="45"/>
    <s v="CA"/>
    <s v="Free"/>
    <n v="91"/>
    <n v="28"/>
    <n v="0.43"/>
    <s v="Web"/>
    <n v="26"/>
    <n v="0"/>
    <n v="0"/>
    <n v="0"/>
    <n v="0"/>
    <x v="4"/>
  </r>
  <r>
    <x v="561"/>
    <s v="Male"/>
    <n v="45"/>
    <s v="FR"/>
    <s v="Free"/>
    <n v="136"/>
    <n v="37"/>
    <n v="0.4"/>
    <s v="Desktop"/>
    <n v="5"/>
    <n v="0"/>
    <n v="0"/>
    <n v="0"/>
    <n v="0"/>
    <x v="2"/>
  </r>
  <r>
    <x v="562"/>
    <s v="Female"/>
    <n v="58"/>
    <s v="PK"/>
    <s v="Free"/>
    <n v="260"/>
    <n v="49"/>
    <n v="0.11"/>
    <s v="Mobile"/>
    <n v="34"/>
    <n v="0"/>
    <n v="0"/>
    <n v="0"/>
    <n v="0"/>
    <x v="0"/>
  </r>
  <r>
    <x v="563"/>
    <s v="Other"/>
    <n v="47"/>
    <s v="AU"/>
    <s v="Free"/>
    <n v="58"/>
    <n v="17"/>
    <n v="0.42"/>
    <s v="Desktop"/>
    <n v="46"/>
    <n v="0"/>
    <n v="0"/>
    <n v="0"/>
    <n v="0"/>
    <x v="3"/>
  </r>
  <r>
    <x v="564"/>
    <s v="Female"/>
    <n v="23"/>
    <s v="DE"/>
    <s v="Free"/>
    <n v="168"/>
    <n v="18"/>
    <n v="0.46"/>
    <s v="Web"/>
    <n v="6"/>
    <n v="0"/>
    <n v="0"/>
    <n v="0"/>
    <n v="0"/>
    <x v="2"/>
  </r>
  <r>
    <x v="565"/>
    <s v="Other"/>
    <n v="57"/>
    <s v="IN"/>
    <s v="Free"/>
    <n v="22"/>
    <n v="80"/>
    <n v="0.6"/>
    <s v="Mobile"/>
    <n v="22"/>
    <n v="0"/>
    <n v="0"/>
    <n v="0"/>
    <n v="0"/>
    <x v="4"/>
  </r>
  <r>
    <x v="566"/>
    <s v="Female"/>
    <n v="22"/>
    <s v="UK"/>
    <s v="Free"/>
    <n v="175"/>
    <n v="78"/>
    <n v="0.38"/>
    <s v="Mobile"/>
    <n v="31"/>
    <n v="0"/>
    <n v="0"/>
    <n v="0"/>
    <n v="0"/>
    <x v="0"/>
  </r>
  <r>
    <x v="567"/>
    <s v="Other"/>
    <n v="16"/>
    <s v="FR"/>
    <s v="Free"/>
    <n v="94"/>
    <n v="39"/>
    <n v="0.08"/>
    <s v="Desktop"/>
    <n v="35"/>
    <n v="0"/>
    <n v="0"/>
    <n v="0"/>
    <n v="0"/>
    <x v="0"/>
  </r>
  <r>
    <x v="568"/>
    <s v="Other"/>
    <n v="37"/>
    <s v="CA"/>
    <s v="Free"/>
    <n v="94"/>
    <n v="91"/>
    <n v="0.02"/>
    <s v="Desktop"/>
    <n v="10"/>
    <n v="0"/>
    <n v="0"/>
    <n v="0"/>
    <n v="0"/>
    <x v="1"/>
  </r>
  <r>
    <x v="569"/>
    <s v="Female"/>
    <n v="25"/>
    <s v="IN"/>
    <s v="Free"/>
    <n v="19"/>
    <n v="52"/>
    <n v="0.35"/>
    <s v="Desktop"/>
    <n v="17"/>
    <n v="0"/>
    <n v="0"/>
    <n v="0"/>
    <n v="0"/>
    <x v="1"/>
  </r>
  <r>
    <x v="570"/>
    <s v="Female"/>
    <n v="28"/>
    <s v="PK"/>
    <s v="Free"/>
    <n v="294"/>
    <n v="60"/>
    <n v="0.39"/>
    <s v="Web"/>
    <n v="18"/>
    <n v="0"/>
    <n v="0"/>
    <n v="0"/>
    <n v="0"/>
    <x v="1"/>
  </r>
  <r>
    <x v="571"/>
    <s v="Other"/>
    <n v="23"/>
    <s v="US"/>
    <s v="Free"/>
    <n v="137"/>
    <n v="5"/>
    <n v="0.38"/>
    <s v="Desktop"/>
    <n v="16"/>
    <n v="0"/>
    <n v="0"/>
    <n v="0"/>
    <n v="0"/>
    <x v="1"/>
  </r>
  <r>
    <x v="572"/>
    <s v="Other"/>
    <n v="54"/>
    <s v="DE"/>
    <s v="Free"/>
    <n v="161"/>
    <n v="31"/>
    <n v="0.39"/>
    <s v="Desktop"/>
    <n v="46"/>
    <n v="0"/>
    <n v="0"/>
    <n v="0"/>
    <n v="0"/>
    <x v="3"/>
  </r>
  <r>
    <x v="573"/>
    <s v="Male"/>
    <n v="58"/>
    <s v="IN"/>
    <s v="Free"/>
    <n v="163"/>
    <n v="86"/>
    <n v="0.05"/>
    <s v="Mobile"/>
    <n v="45"/>
    <n v="0"/>
    <n v="1"/>
    <n v="0"/>
    <n v="0"/>
    <x v="3"/>
  </r>
  <r>
    <x v="574"/>
    <s v="Male"/>
    <n v="27"/>
    <s v="IN"/>
    <s v="Free"/>
    <n v="155"/>
    <n v="25"/>
    <n v="0.38"/>
    <s v="Web"/>
    <n v="16"/>
    <n v="0"/>
    <n v="0"/>
    <n v="0"/>
    <n v="0"/>
    <x v="1"/>
  </r>
  <r>
    <x v="575"/>
    <s v="Other"/>
    <n v="48"/>
    <s v="PK"/>
    <s v="Free"/>
    <n v="141"/>
    <n v="34"/>
    <n v="0.1"/>
    <s v="Web"/>
    <n v="45"/>
    <n v="0"/>
    <n v="0"/>
    <n v="0"/>
    <n v="0"/>
    <x v="3"/>
  </r>
  <r>
    <x v="576"/>
    <s v="Female"/>
    <n v="46"/>
    <s v="FR"/>
    <s v="Free"/>
    <n v="279"/>
    <n v="7"/>
    <n v="0.05"/>
    <s v="Desktop"/>
    <n v="30"/>
    <n v="0"/>
    <n v="0"/>
    <n v="0"/>
    <n v="0"/>
    <x v="0"/>
  </r>
  <r>
    <x v="577"/>
    <s v="Male"/>
    <n v="59"/>
    <s v="CA"/>
    <s v="Free"/>
    <n v="235"/>
    <n v="71"/>
    <n v="0.45"/>
    <s v="Desktop"/>
    <n v="42"/>
    <n v="0"/>
    <n v="0"/>
    <n v="0"/>
    <n v="0"/>
    <x v="3"/>
  </r>
  <r>
    <x v="578"/>
    <s v="Female"/>
    <n v="46"/>
    <s v="FR"/>
    <s v="Free"/>
    <n v="91"/>
    <n v="1"/>
    <n v="0.49"/>
    <s v="Web"/>
    <n v="42"/>
    <n v="0"/>
    <n v="0"/>
    <n v="0"/>
    <n v="0"/>
    <x v="3"/>
  </r>
  <r>
    <x v="579"/>
    <s v="Other"/>
    <n v="30"/>
    <s v="PK"/>
    <s v="Free"/>
    <n v="86"/>
    <n v="50"/>
    <n v="0.16"/>
    <s v="Web"/>
    <n v="42"/>
    <n v="0"/>
    <n v="1"/>
    <n v="0"/>
    <n v="0"/>
    <x v="3"/>
  </r>
  <r>
    <x v="580"/>
    <s v="Other"/>
    <n v="32"/>
    <s v="DE"/>
    <s v="Free"/>
    <n v="77"/>
    <n v="43"/>
    <n v="0.1"/>
    <s v="Web"/>
    <n v="37"/>
    <n v="0"/>
    <n v="1"/>
    <n v="0"/>
    <n v="0"/>
    <x v="0"/>
  </r>
  <r>
    <x v="581"/>
    <s v="Female"/>
    <n v="36"/>
    <s v="US"/>
    <s v="Free"/>
    <n v="71"/>
    <n v="8"/>
    <n v="0.18"/>
    <s v="Desktop"/>
    <n v="7"/>
    <n v="0"/>
    <n v="1"/>
    <n v="0"/>
    <n v="0"/>
    <x v="2"/>
  </r>
  <r>
    <x v="582"/>
    <s v="Other"/>
    <n v="51"/>
    <s v="FR"/>
    <s v="Free"/>
    <n v="46"/>
    <n v="70"/>
    <n v="0.3"/>
    <s v="Desktop"/>
    <n v="46"/>
    <n v="0"/>
    <n v="0"/>
    <n v="0"/>
    <n v="0"/>
    <x v="3"/>
  </r>
  <r>
    <x v="583"/>
    <s v="Female"/>
    <n v="21"/>
    <s v="AU"/>
    <s v="Free"/>
    <n v="121"/>
    <n v="92"/>
    <n v="0.31"/>
    <s v="Mobile"/>
    <n v="18"/>
    <n v="0"/>
    <n v="0"/>
    <n v="0"/>
    <n v="0"/>
    <x v="1"/>
  </r>
  <r>
    <x v="584"/>
    <s v="Female"/>
    <n v="46"/>
    <s v="DE"/>
    <s v="Free"/>
    <n v="119"/>
    <n v="87"/>
    <n v="0.55000000000000004"/>
    <s v="Web"/>
    <n v="26"/>
    <n v="0"/>
    <n v="1"/>
    <n v="0"/>
    <n v="0"/>
    <x v="4"/>
  </r>
  <r>
    <x v="585"/>
    <s v="Female"/>
    <n v="40"/>
    <s v="CA"/>
    <s v="Free"/>
    <n v="45"/>
    <n v="36"/>
    <n v="0.21"/>
    <s v="Mobile"/>
    <n v="33"/>
    <n v="0"/>
    <n v="0"/>
    <n v="0"/>
    <n v="0"/>
    <x v="0"/>
  </r>
  <r>
    <x v="586"/>
    <s v="Other"/>
    <n v="42"/>
    <s v="AU"/>
    <s v="Free"/>
    <n v="47"/>
    <n v="35"/>
    <n v="0.25"/>
    <s v="Desktop"/>
    <n v="14"/>
    <n v="0"/>
    <n v="0"/>
    <n v="0"/>
    <n v="0"/>
    <x v="1"/>
  </r>
  <r>
    <x v="587"/>
    <s v="Other"/>
    <n v="22"/>
    <s v="US"/>
    <s v="Free"/>
    <n v="158"/>
    <n v="50"/>
    <n v="0.08"/>
    <s v="Mobile"/>
    <n v="14"/>
    <n v="0"/>
    <n v="1"/>
    <n v="0"/>
    <n v="0"/>
    <x v="1"/>
  </r>
  <r>
    <x v="588"/>
    <s v="Female"/>
    <n v="43"/>
    <s v="UK"/>
    <s v="Free"/>
    <n v="288"/>
    <n v="22"/>
    <n v="0.53"/>
    <s v="Web"/>
    <n v="49"/>
    <n v="0"/>
    <n v="1"/>
    <n v="0"/>
    <n v="0"/>
    <x v="3"/>
  </r>
  <r>
    <x v="589"/>
    <s v="Other"/>
    <n v="30"/>
    <s v="AU"/>
    <s v="Free"/>
    <n v="273"/>
    <n v="28"/>
    <n v="0.28999999999999998"/>
    <s v="Web"/>
    <n v="35"/>
    <n v="0"/>
    <n v="0"/>
    <n v="0"/>
    <n v="0"/>
    <x v="0"/>
  </r>
  <r>
    <x v="590"/>
    <s v="Other"/>
    <n v="33"/>
    <s v="US"/>
    <s v="Free"/>
    <n v="28"/>
    <n v="3"/>
    <n v="0.37"/>
    <s v="Web"/>
    <n v="46"/>
    <n v="0"/>
    <n v="0"/>
    <n v="0"/>
    <n v="0"/>
    <x v="3"/>
  </r>
  <r>
    <x v="591"/>
    <s v="Male"/>
    <n v="39"/>
    <s v="PK"/>
    <s v="Free"/>
    <n v="53"/>
    <n v="1"/>
    <n v="0.34"/>
    <s v="Web"/>
    <n v="5"/>
    <n v="0"/>
    <n v="0"/>
    <n v="0"/>
    <n v="0"/>
    <x v="2"/>
  </r>
  <r>
    <x v="592"/>
    <s v="Other"/>
    <n v="32"/>
    <s v="FR"/>
    <s v="Free"/>
    <n v="72"/>
    <n v="70"/>
    <n v="0.47"/>
    <s v="Web"/>
    <n v="46"/>
    <n v="0"/>
    <n v="0"/>
    <n v="0"/>
    <n v="0"/>
    <x v="3"/>
  </r>
  <r>
    <x v="593"/>
    <s v="Male"/>
    <n v="32"/>
    <s v="FR"/>
    <s v="Free"/>
    <n v="128"/>
    <n v="14"/>
    <n v="0.35"/>
    <s v="Web"/>
    <n v="7"/>
    <n v="0"/>
    <n v="0"/>
    <n v="0"/>
    <n v="0"/>
    <x v="2"/>
  </r>
  <r>
    <x v="594"/>
    <s v="Female"/>
    <n v="27"/>
    <s v="DE"/>
    <s v="Free"/>
    <n v="252"/>
    <n v="11"/>
    <n v="0.35"/>
    <s v="Web"/>
    <n v="28"/>
    <n v="0"/>
    <n v="0"/>
    <n v="0"/>
    <n v="0"/>
    <x v="4"/>
  </r>
  <r>
    <x v="595"/>
    <s v="Male"/>
    <n v="18"/>
    <s v="US"/>
    <s v="Free"/>
    <n v="124"/>
    <n v="35"/>
    <n v="0.45"/>
    <s v="Web"/>
    <n v="28"/>
    <n v="0"/>
    <n v="1"/>
    <n v="0"/>
    <n v="0"/>
    <x v="4"/>
  </r>
  <r>
    <x v="596"/>
    <s v="Female"/>
    <n v="20"/>
    <s v="IN"/>
    <s v="Free"/>
    <n v="275"/>
    <n v="40"/>
    <n v="0.15"/>
    <s v="Desktop"/>
    <n v="47"/>
    <n v="0"/>
    <n v="0"/>
    <n v="0"/>
    <n v="0"/>
    <x v="3"/>
  </r>
  <r>
    <x v="597"/>
    <s v="Female"/>
    <n v="42"/>
    <s v="AU"/>
    <s v="Free"/>
    <n v="109"/>
    <n v="70"/>
    <n v="0.22"/>
    <s v="Web"/>
    <n v="37"/>
    <n v="0"/>
    <n v="0"/>
    <n v="0"/>
    <n v="0"/>
    <x v="0"/>
  </r>
  <r>
    <x v="598"/>
    <s v="Male"/>
    <n v="31"/>
    <s v="CA"/>
    <s v="Free"/>
    <n v="88"/>
    <n v="11"/>
    <n v="0.54"/>
    <s v="Mobile"/>
    <n v="47"/>
    <n v="0"/>
    <n v="1"/>
    <n v="0"/>
    <n v="0"/>
    <x v="3"/>
  </r>
  <r>
    <x v="599"/>
    <s v="Male"/>
    <n v="47"/>
    <s v="IN"/>
    <s v="Free"/>
    <n v="156"/>
    <n v="18"/>
    <n v="0.18"/>
    <s v="Desktop"/>
    <n v="17"/>
    <n v="0"/>
    <n v="0"/>
    <n v="0"/>
    <n v="0"/>
    <x v="1"/>
  </r>
  <r>
    <x v="600"/>
    <s v="Female"/>
    <n v="32"/>
    <s v="PK"/>
    <s v="Free"/>
    <n v="32"/>
    <n v="98"/>
    <n v="0.25"/>
    <s v="Mobile"/>
    <n v="18"/>
    <n v="0"/>
    <n v="0"/>
    <n v="0"/>
    <n v="0"/>
    <x v="1"/>
  </r>
  <r>
    <x v="601"/>
    <s v="Male"/>
    <n v="35"/>
    <s v="IN"/>
    <s v="Free"/>
    <n v="162"/>
    <n v="96"/>
    <n v="0.56999999999999995"/>
    <s v="Mobile"/>
    <n v="24"/>
    <n v="0"/>
    <n v="0"/>
    <n v="0"/>
    <n v="0"/>
    <x v="4"/>
  </r>
  <r>
    <x v="602"/>
    <s v="Male"/>
    <n v="35"/>
    <s v="CA"/>
    <s v="Free"/>
    <n v="204"/>
    <n v="22"/>
    <n v="0.5"/>
    <s v="Desktop"/>
    <n v="31"/>
    <n v="0"/>
    <n v="0"/>
    <n v="0"/>
    <n v="0"/>
    <x v="0"/>
  </r>
  <r>
    <x v="603"/>
    <s v="Female"/>
    <n v="47"/>
    <s v="FR"/>
    <s v="Free"/>
    <n v="219"/>
    <n v="8"/>
    <n v="0.45"/>
    <s v="Web"/>
    <n v="39"/>
    <n v="0"/>
    <n v="0"/>
    <n v="0"/>
    <n v="0"/>
    <x v="0"/>
  </r>
  <r>
    <x v="604"/>
    <s v="Other"/>
    <n v="43"/>
    <s v="AU"/>
    <s v="Free"/>
    <n v="135"/>
    <n v="13"/>
    <n v="0.47"/>
    <s v="Web"/>
    <n v="10"/>
    <n v="0"/>
    <n v="0"/>
    <n v="0"/>
    <n v="0"/>
    <x v="1"/>
  </r>
  <r>
    <x v="605"/>
    <s v="Male"/>
    <n v="34"/>
    <s v="PK"/>
    <s v="Free"/>
    <n v="296"/>
    <n v="67"/>
    <n v="0.17"/>
    <s v="Mobile"/>
    <n v="31"/>
    <n v="0"/>
    <n v="0"/>
    <n v="0"/>
    <n v="0"/>
    <x v="0"/>
  </r>
  <r>
    <x v="606"/>
    <s v="Male"/>
    <n v="37"/>
    <s v="UK"/>
    <s v="Free"/>
    <n v="284"/>
    <n v="92"/>
    <n v="0.03"/>
    <s v="Web"/>
    <n v="35"/>
    <n v="0"/>
    <n v="0"/>
    <n v="0"/>
    <n v="0"/>
    <x v="0"/>
  </r>
  <r>
    <x v="607"/>
    <s v="Male"/>
    <n v="59"/>
    <s v="IN"/>
    <s v="Free"/>
    <n v="185"/>
    <n v="18"/>
    <n v="0.48"/>
    <s v="Desktop"/>
    <n v="49"/>
    <n v="0"/>
    <n v="1"/>
    <n v="0"/>
    <n v="0"/>
    <x v="3"/>
  </r>
  <r>
    <x v="608"/>
    <s v="Male"/>
    <n v="55"/>
    <s v="IN"/>
    <s v="Free"/>
    <n v="266"/>
    <n v="8"/>
    <n v="0.08"/>
    <s v="Web"/>
    <n v="23"/>
    <n v="0"/>
    <n v="0"/>
    <n v="0"/>
    <n v="0"/>
    <x v="4"/>
  </r>
  <r>
    <x v="609"/>
    <s v="Female"/>
    <n v="26"/>
    <s v="AU"/>
    <s v="Free"/>
    <n v="166"/>
    <n v="22"/>
    <n v="0.44"/>
    <s v="Web"/>
    <n v="5"/>
    <n v="0"/>
    <n v="0"/>
    <n v="0"/>
    <n v="0"/>
    <x v="2"/>
  </r>
  <r>
    <x v="610"/>
    <s v="Other"/>
    <n v="57"/>
    <s v="PK"/>
    <s v="Free"/>
    <n v="31"/>
    <n v="86"/>
    <n v="0.39"/>
    <s v="Mobile"/>
    <n v="43"/>
    <n v="0"/>
    <n v="1"/>
    <n v="0"/>
    <n v="0"/>
    <x v="3"/>
  </r>
  <r>
    <x v="611"/>
    <s v="Other"/>
    <n v="50"/>
    <s v="US"/>
    <s v="Free"/>
    <n v="281"/>
    <n v="42"/>
    <n v="0.36"/>
    <s v="Web"/>
    <n v="40"/>
    <n v="0"/>
    <n v="0"/>
    <n v="0"/>
    <n v="0"/>
    <x v="3"/>
  </r>
  <r>
    <x v="612"/>
    <s v="Male"/>
    <n v="21"/>
    <s v="FR"/>
    <s v="Free"/>
    <n v="231"/>
    <n v="86"/>
    <n v="0.14000000000000001"/>
    <s v="Web"/>
    <n v="11"/>
    <n v="0"/>
    <n v="1"/>
    <n v="0"/>
    <n v="0"/>
    <x v="1"/>
  </r>
  <r>
    <x v="613"/>
    <s v="Other"/>
    <n v="25"/>
    <s v="FR"/>
    <s v="Free"/>
    <n v="95"/>
    <n v="87"/>
    <n v="0.2"/>
    <s v="Desktop"/>
    <n v="42"/>
    <n v="0"/>
    <n v="1"/>
    <n v="0"/>
    <n v="0"/>
    <x v="3"/>
  </r>
  <r>
    <x v="614"/>
    <s v="Female"/>
    <n v="52"/>
    <s v="US"/>
    <s v="Free"/>
    <n v="151"/>
    <n v="77"/>
    <n v="0.03"/>
    <s v="Desktop"/>
    <n v="46"/>
    <n v="0"/>
    <n v="0"/>
    <n v="0"/>
    <n v="0"/>
    <x v="3"/>
  </r>
  <r>
    <x v="615"/>
    <s v="Female"/>
    <n v="39"/>
    <s v="CA"/>
    <s v="Free"/>
    <n v="158"/>
    <n v="69"/>
    <n v="0.27"/>
    <s v="Web"/>
    <n v="5"/>
    <n v="0"/>
    <n v="0"/>
    <n v="0"/>
    <n v="0"/>
    <x v="2"/>
  </r>
  <r>
    <x v="616"/>
    <s v="Male"/>
    <n v="24"/>
    <s v="IN"/>
    <s v="Free"/>
    <n v="95"/>
    <n v="63"/>
    <n v="0.16"/>
    <s v="Desktop"/>
    <n v="43"/>
    <n v="0"/>
    <n v="0"/>
    <n v="0"/>
    <n v="0"/>
    <x v="3"/>
  </r>
  <r>
    <x v="617"/>
    <s v="Male"/>
    <n v="48"/>
    <s v="UK"/>
    <s v="Free"/>
    <n v="224"/>
    <n v="41"/>
    <n v="0.45"/>
    <s v="Mobile"/>
    <n v="11"/>
    <n v="0"/>
    <n v="0"/>
    <n v="0"/>
    <n v="0"/>
    <x v="1"/>
  </r>
  <r>
    <x v="618"/>
    <s v="Male"/>
    <n v="44"/>
    <s v="CA"/>
    <s v="Free"/>
    <n v="42"/>
    <n v="38"/>
    <n v="0.55000000000000004"/>
    <s v="Desktop"/>
    <n v="36"/>
    <n v="0"/>
    <n v="1"/>
    <n v="0"/>
    <n v="0"/>
    <x v="0"/>
  </r>
  <r>
    <x v="619"/>
    <s v="Female"/>
    <n v="32"/>
    <s v="PK"/>
    <s v="Free"/>
    <n v="264"/>
    <n v="56"/>
    <n v="0.23"/>
    <s v="Mobile"/>
    <n v="47"/>
    <n v="0"/>
    <n v="0"/>
    <n v="0"/>
    <n v="0"/>
    <x v="3"/>
  </r>
  <r>
    <x v="620"/>
    <s v="Male"/>
    <n v="31"/>
    <s v="DE"/>
    <s v="Free"/>
    <n v="226"/>
    <n v="2"/>
    <n v="0.47"/>
    <s v="Desktop"/>
    <n v="13"/>
    <n v="0"/>
    <n v="0"/>
    <n v="0"/>
    <n v="0"/>
    <x v="1"/>
  </r>
  <r>
    <x v="621"/>
    <s v="Male"/>
    <n v="22"/>
    <s v="AU"/>
    <s v="Free"/>
    <n v="257"/>
    <n v="11"/>
    <n v="0.47"/>
    <s v="Mobile"/>
    <n v="41"/>
    <n v="0"/>
    <n v="0"/>
    <n v="0"/>
    <n v="0"/>
    <x v="3"/>
  </r>
  <r>
    <x v="622"/>
    <s v="Female"/>
    <n v="54"/>
    <s v="FR"/>
    <s v="Free"/>
    <n v="283"/>
    <n v="27"/>
    <n v="0.54"/>
    <s v="Mobile"/>
    <n v="11"/>
    <n v="0"/>
    <n v="1"/>
    <n v="0"/>
    <n v="0"/>
    <x v="1"/>
  </r>
  <r>
    <x v="623"/>
    <s v="Female"/>
    <n v="20"/>
    <s v="FR"/>
    <s v="Free"/>
    <n v="218"/>
    <n v="33"/>
    <n v="0.26"/>
    <s v="Mobile"/>
    <n v="30"/>
    <n v="0"/>
    <n v="0"/>
    <n v="0"/>
    <n v="0"/>
    <x v="0"/>
  </r>
  <r>
    <x v="624"/>
    <s v="Other"/>
    <n v="41"/>
    <s v="CA"/>
    <s v="Free"/>
    <n v="69"/>
    <n v="51"/>
    <n v="0.06"/>
    <s v="Mobile"/>
    <n v="16"/>
    <n v="0"/>
    <n v="0"/>
    <n v="0"/>
    <n v="0"/>
    <x v="1"/>
  </r>
  <r>
    <x v="625"/>
    <s v="Other"/>
    <n v="37"/>
    <s v="DE"/>
    <s v="Free"/>
    <n v="252"/>
    <n v="68"/>
    <n v="0.42"/>
    <s v="Desktop"/>
    <n v="24"/>
    <n v="0"/>
    <n v="0"/>
    <n v="0"/>
    <n v="0"/>
    <x v="4"/>
  </r>
  <r>
    <x v="626"/>
    <s v="Other"/>
    <n v="53"/>
    <s v="UK"/>
    <s v="Free"/>
    <n v="290"/>
    <n v="74"/>
    <n v="0.53"/>
    <s v="Mobile"/>
    <n v="36"/>
    <n v="0"/>
    <n v="0"/>
    <n v="0"/>
    <n v="0"/>
    <x v="0"/>
  </r>
  <r>
    <x v="627"/>
    <s v="Other"/>
    <n v="30"/>
    <s v="PK"/>
    <s v="Free"/>
    <n v="50"/>
    <n v="71"/>
    <n v="0.03"/>
    <s v="Web"/>
    <n v="21"/>
    <n v="0"/>
    <n v="0"/>
    <n v="0"/>
    <n v="0"/>
    <x v="4"/>
  </r>
  <r>
    <x v="628"/>
    <s v="Male"/>
    <n v="29"/>
    <s v="UK"/>
    <s v="Free"/>
    <n v="77"/>
    <n v="89"/>
    <n v="0.12"/>
    <s v="Web"/>
    <n v="12"/>
    <n v="0"/>
    <n v="0"/>
    <n v="0"/>
    <n v="0"/>
    <x v="1"/>
  </r>
  <r>
    <x v="629"/>
    <s v="Female"/>
    <n v="51"/>
    <s v="US"/>
    <s v="Free"/>
    <n v="28"/>
    <n v="4"/>
    <n v="0.36"/>
    <s v="Desktop"/>
    <n v="34"/>
    <n v="0"/>
    <n v="0"/>
    <n v="0"/>
    <n v="0"/>
    <x v="0"/>
  </r>
  <r>
    <x v="630"/>
    <s v="Female"/>
    <n v="30"/>
    <s v="DE"/>
    <s v="Free"/>
    <n v="146"/>
    <n v="77"/>
    <n v="0.33"/>
    <s v="Mobile"/>
    <n v="42"/>
    <n v="0"/>
    <n v="0"/>
    <n v="0"/>
    <n v="0"/>
    <x v="3"/>
  </r>
  <r>
    <x v="631"/>
    <s v="Other"/>
    <n v="47"/>
    <s v="FR"/>
    <s v="Free"/>
    <n v="48"/>
    <n v="86"/>
    <n v="0.55000000000000004"/>
    <s v="Mobile"/>
    <n v="28"/>
    <n v="0"/>
    <n v="0"/>
    <n v="0"/>
    <n v="0"/>
    <x v="4"/>
  </r>
  <r>
    <x v="632"/>
    <s v="Other"/>
    <n v="17"/>
    <s v="FR"/>
    <s v="Free"/>
    <n v="285"/>
    <n v="59"/>
    <n v="0.22"/>
    <s v="Mobile"/>
    <n v="31"/>
    <n v="0"/>
    <n v="0"/>
    <n v="0"/>
    <n v="0"/>
    <x v="0"/>
  </r>
  <r>
    <x v="633"/>
    <s v="Other"/>
    <n v="41"/>
    <s v="CA"/>
    <s v="Free"/>
    <n v="87"/>
    <n v="65"/>
    <n v="0.56999999999999995"/>
    <s v="Web"/>
    <n v="36"/>
    <n v="0"/>
    <n v="0"/>
    <n v="0"/>
    <n v="0"/>
    <x v="0"/>
  </r>
  <r>
    <x v="634"/>
    <s v="Other"/>
    <n v="56"/>
    <s v="US"/>
    <s v="Free"/>
    <n v="289"/>
    <n v="3"/>
    <n v="0.05"/>
    <s v="Web"/>
    <n v="37"/>
    <n v="0"/>
    <n v="1"/>
    <n v="0"/>
    <n v="0"/>
    <x v="0"/>
  </r>
  <r>
    <x v="635"/>
    <s v="Other"/>
    <n v="31"/>
    <s v="DE"/>
    <s v="Free"/>
    <n v="262"/>
    <n v="59"/>
    <n v="0.28000000000000003"/>
    <s v="Mobile"/>
    <n v="38"/>
    <n v="0"/>
    <n v="0"/>
    <n v="0"/>
    <n v="0"/>
    <x v="0"/>
  </r>
  <r>
    <x v="636"/>
    <s v="Other"/>
    <n v="59"/>
    <s v="AU"/>
    <s v="Free"/>
    <n v="188"/>
    <n v="86"/>
    <n v="0.11"/>
    <s v="Mobile"/>
    <n v="46"/>
    <n v="0"/>
    <n v="0"/>
    <n v="0"/>
    <n v="0"/>
    <x v="3"/>
  </r>
  <r>
    <x v="637"/>
    <s v="Female"/>
    <n v="46"/>
    <s v="AU"/>
    <s v="Free"/>
    <n v="11"/>
    <n v="86"/>
    <n v="0.3"/>
    <s v="Web"/>
    <n v="41"/>
    <n v="0"/>
    <n v="0"/>
    <n v="0"/>
    <n v="0"/>
    <x v="3"/>
  </r>
  <r>
    <x v="638"/>
    <s v="Female"/>
    <n v="39"/>
    <s v="US"/>
    <s v="Free"/>
    <n v="296"/>
    <n v="9"/>
    <n v="0"/>
    <s v="Mobile"/>
    <n v="18"/>
    <n v="0"/>
    <n v="1"/>
    <n v="0"/>
    <n v="0"/>
    <x v="1"/>
  </r>
  <r>
    <x v="639"/>
    <s v="Other"/>
    <n v="28"/>
    <s v="CA"/>
    <s v="Free"/>
    <n v="21"/>
    <n v="19"/>
    <n v="0.52"/>
    <s v="Mobile"/>
    <n v="32"/>
    <n v="0"/>
    <n v="0"/>
    <n v="0"/>
    <n v="0"/>
    <x v="0"/>
  </r>
  <r>
    <x v="640"/>
    <s v="Other"/>
    <n v="29"/>
    <s v="US"/>
    <s v="Free"/>
    <n v="251"/>
    <n v="15"/>
    <n v="0.12"/>
    <s v="Web"/>
    <n v="48"/>
    <n v="0"/>
    <n v="0"/>
    <n v="0"/>
    <n v="0"/>
    <x v="3"/>
  </r>
  <r>
    <x v="641"/>
    <s v="Female"/>
    <n v="26"/>
    <s v="US"/>
    <s v="Free"/>
    <n v="285"/>
    <n v="44"/>
    <n v="0.48"/>
    <s v="Web"/>
    <n v="21"/>
    <n v="0"/>
    <n v="0"/>
    <n v="0"/>
    <n v="0"/>
    <x v="4"/>
  </r>
  <r>
    <x v="642"/>
    <s v="Female"/>
    <n v="23"/>
    <s v="IN"/>
    <s v="Free"/>
    <n v="152"/>
    <n v="11"/>
    <n v="0.23"/>
    <s v="Web"/>
    <n v="16"/>
    <n v="0"/>
    <n v="0"/>
    <n v="0"/>
    <n v="0"/>
    <x v="1"/>
  </r>
  <r>
    <x v="643"/>
    <s v="Female"/>
    <n v="33"/>
    <s v="DE"/>
    <s v="Free"/>
    <n v="56"/>
    <n v="57"/>
    <n v="0.57999999999999996"/>
    <s v="Mobile"/>
    <n v="16"/>
    <n v="0"/>
    <n v="1"/>
    <n v="0"/>
    <n v="0"/>
    <x v="1"/>
  </r>
  <r>
    <x v="644"/>
    <s v="Female"/>
    <n v="50"/>
    <s v="UK"/>
    <s v="Free"/>
    <n v="118"/>
    <n v="72"/>
    <n v="0.06"/>
    <s v="Mobile"/>
    <n v="8"/>
    <n v="0"/>
    <n v="0"/>
    <n v="0"/>
    <n v="0"/>
    <x v="2"/>
  </r>
  <r>
    <x v="645"/>
    <s v="Female"/>
    <n v="17"/>
    <s v="FR"/>
    <s v="Free"/>
    <n v="98"/>
    <n v="82"/>
    <n v="0.44"/>
    <s v="Web"/>
    <n v="24"/>
    <n v="0"/>
    <n v="0"/>
    <n v="0"/>
    <n v="0"/>
    <x v="4"/>
  </r>
  <r>
    <x v="646"/>
    <s v="Other"/>
    <n v="52"/>
    <s v="AU"/>
    <s v="Free"/>
    <n v="19"/>
    <n v="37"/>
    <n v="0.49"/>
    <s v="Mobile"/>
    <n v="30"/>
    <n v="0"/>
    <n v="1"/>
    <n v="0"/>
    <n v="0"/>
    <x v="0"/>
  </r>
  <r>
    <x v="647"/>
    <s v="Male"/>
    <n v="29"/>
    <s v="IN"/>
    <s v="Free"/>
    <n v="110"/>
    <n v="46"/>
    <n v="0.17"/>
    <s v="Mobile"/>
    <n v="22"/>
    <n v="0"/>
    <n v="0"/>
    <n v="0"/>
    <n v="0"/>
    <x v="4"/>
  </r>
  <r>
    <x v="648"/>
    <s v="Female"/>
    <n v="33"/>
    <s v="CA"/>
    <s v="Free"/>
    <n v="154"/>
    <n v="69"/>
    <n v="0.48"/>
    <s v="Web"/>
    <n v="10"/>
    <n v="0"/>
    <n v="0"/>
    <n v="0"/>
    <n v="0"/>
    <x v="1"/>
  </r>
  <r>
    <x v="649"/>
    <s v="Other"/>
    <n v="48"/>
    <s v="FR"/>
    <s v="Free"/>
    <n v="212"/>
    <n v="85"/>
    <n v="0.28000000000000003"/>
    <s v="Web"/>
    <n v="19"/>
    <n v="0"/>
    <n v="0"/>
    <n v="0"/>
    <n v="0"/>
    <x v="1"/>
  </r>
  <r>
    <x v="650"/>
    <s v="Other"/>
    <n v="41"/>
    <s v="IN"/>
    <s v="Free"/>
    <n v="21"/>
    <n v="57"/>
    <n v="0.22"/>
    <s v="Desktop"/>
    <n v="30"/>
    <n v="0"/>
    <n v="0"/>
    <n v="0"/>
    <n v="0"/>
    <x v="0"/>
  </r>
  <r>
    <x v="651"/>
    <s v="Male"/>
    <n v="38"/>
    <s v="US"/>
    <s v="Free"/>
    <n v="83"/>
    <n v="60"/>
    <n v="0.31"/>
    <s v="Web"/>
    <n v="8"/>
    <n v="0"/>
    <n v="0"/>
    <n v="0"/>
    <n v="0"/>
    <x v="2"/>
  </r>
  <r>
    <x v="652"/>
    <s v="Male"/>
    <n v="16"/>
    <s v="DE"/>
    <s v="Free"/>
    <n v="180"/>
    <n v="8"/>
    <n v="0.06"/>
    <s v="Mobile"/>
    <n v="43"/>
    <n v="0"/>
    <n v="0"/>
    <n v="0"/>
    <n v="0"/>
    <x v="3"/>
  </r>
  <r>
    <x v="653"/>
    <s v="Other"/>
    <n v="19"/>
    <s v="PK"/>
    <s v="Free"/>
    <n v="285"/>
    <n v="92"/>
    <n v="0.48"/>
    <s v="Desktop"/>
    <n v="17"/>
    <n v="0"/>
    <n v="0"/>
    <n v="0"/>
    <n v="0"/>
    <x v="1"/>
  </r>
  <r>
    <x v="654"/>
    <s v="Female"/>
    <n v="34"/>
    <s v="UK"/>
    <s v="Free"/>
    <n v="197"/>
    <n v="81"/>
    <n v="0.01"/>
    <s v="Desktop"/>
    <n v="17"/>
    <n v="0"/>
    <n v="0"/>
    <n v="0"/>
    <n v="0"/>
    <x v="1"/>
  </r>
  <r>
    <x v="655"/>
    <s v="Other"/>
    <n v="38"/>
    <s v="IN"/>
    <s v="Free"/>
    <n v="149"/>
    <n v="21"/>
    <n v="0.4"/>
    <s v="Mobile"/>
    <n v="33"/>
    <n v="0"/>
    <n v="0"/>
    <n v="0"/>
    <n v="0"/>
    <x v="0"/>
  </r>
  <r>
    <x v="656"/>
    <s v="Female"/>
    <n v="40"/>
    <s v="CA"/>
    <s v="Free"/>
    <n v="151"/>
    <n v="85"/>
    <n v="0.56999999999999995"/>
    <s v="Mobile"/>
    <n v="20"/>
    <n v="0"/>
    <n v="0"/>
    <n v="0"/>
    <n v="0"/>
    <x v="4"/>
  </r>
  <r>
    <x v="657"/>
    <s v="Other"/>
    <n v="45"/>
    <s v="UK"/>
    <s v="Free"/>
    <n v="164"/>
    <n v="97"/>
    <n v="0.1"/>
    <s v="Web"/>
    <n v="26"/>
    <n v="0"/>
    <n v="0"/>
    <n v="0"/>
    <n v="0"/>
    <x v="4"/>
  </r>
  <r>
    <x v="658"/>
    <s v="Other"/>
    <n v="57"/>
    <s v="CA"/>
    <s v="Free"/>
    <n v="220"/>
    <n v="48"/>
    <n v="0.45"/>
    <s v="Web"/>
    <n v="18"/>
    <n v="0"/>
    <n v="0"/>
    <n v="0"/>
    <n v="0"/>
    <x v="1"/>
  </r>
  <r>
    <x v="659"/>
    <s v="Female"/>
    <n v="33"/>
    <s v="PK"/>
    <s v="Free"/>
    <n v="33"/>
    <n v="20"/>
    <n v="0.24"/>
    <s v="Mobile"/>
    <n v="23"/>
    <n v="0"/>
    <n v="1"/>
    <n v="0"/>
    <n v="0"/>
    <x v="4"/>
  </r>
  <r>
    <x v="660"/>
    <s v="Other"/>
    <n v="44"/>
    <s v="CA"/>
    <s v="Free"/>
    <n v="10"/>
    <n v="57"/>
    <n v="0.06"/>
    <s v="Desktop"/>
    <n v="39"/>
    <n v="0"/>
    <n v="0"/>
    <n v="0"/>
    <n v="0"/>
    <x v="0"/>
  </r>
  <r>
    <x v="661"/>
    <s v="Other"/>
    <n v="34"/>
    <s v="DE"/>
    <s v="Free"/>
    <n v="147"/>
    <n v="27"/>
    <n v="0.18"/>
    <s v="Mobile"/>
    <n v="39"/>
    <n v="0"/>
    <n v="0"/>
    <n v="0"/>
    <n v="0"/>
    <x v="0"/>
  </r>
  <r>
    <x v="662"/>
    <s v="Female"/>
    <n v="30"/>
    <s v="US"/>
    <s v="Free"/>
    <n v="39"/>
    <n v="9"/>
    <n v="0.6"/>
    <s v="Desktop"/>
    <n v="40"/>
    <n v="0"/>
    <n v="0"/>
    <n v="0"/>
    <n v="0"/>
    <x v="3"/>
  </r>
  <r>
    <x v="663"/>
    <s v="Other"/>
    <n v="23"/>
    <s v="AU"/>
    <s v="Free"/>
    <n v="64"/>
    <n v="7"/>
    <n v="7.0000000000000007E-2"/>
    <s v="Mobile"/>
    <n v="40"/>
    <n v="0"/>
    <n v="0"/>
    <n v="0"/>
    <n v="0"/>
    <x v="3"/>
  </r>
  <r>
    <x v="664"/>
    <s v="Female"/>
    <n v="44"/>
    <s v="IN"/>
    <s v="Free"/>
    <n v="256"/>
    <n v="43"/>
    <n v="0.51"/>
    <s v="Mobile"/>
    <n v="11"/>
    <n v="0"/>
    <n v="1"/>
    <n v="0"/>
    <n v="0"/>
    <x v="1"/>
  </r>
  <r>
    <x v="665"/>
    <s v="Female"/>
    <n v="18"/>
    <s v="CA"/>
    <s v="Free"/>
    <n v="183"/>
    <n v="30"/>
    <n v="0.36"/>
    <s v="Desktop"/>
    <n v="24"/>
    <n v="0"/>
    <n v="1"/>
    <n v="0"/>
    <n v="0"/>
    <x v="4"/>
  </r>
  <r>
    <x v="666"/>
    <s v="Other"/>
    <n v="52"/>
    <s v="AU"/>
    <s v="Free"/>
    <n v="61"/>
    <n v="29"/>
    <n v="0.25"/>
    <s v="Desktop"/>
    <n v="34"/>
    <n v="0"/>
    <n v="0"/>
    <n v="0"/>
    <n v="0"/>
    <x v="0"/>
  </r>
  <r>
    <x v="667"/>
    <s v="Other"/>
    <n v="38"/>
    <s v="FR"/>
    <s v="Free"/>
    <n v="246"/>
    <n v="91"/>
    <n v="0.17"/>
    <s v="Web"/>
    <n v="49"/>
    <n v="0"/>
    <n v="0"/>
    <n v="0"/>
    <n v="0"/>
    <x v="3"/>
  </r>
  <r>
    <x v="668"/>
    <s v="Other"/>
    <n v="57"/>
    <s v="IN"/>
    <s v="Free"/>
    <n v="209"/>
    <n v="68"/>
    <n v="0.24"/>
    <s v="Mobile"/>
    <n v="34"/>
    <n v="0"/>
    <n v="0"/>
    <n v="0"/>
    <n v="0"/>
    <x v="0"/>
  </r>
  <r>
    <x v="669"/>
    <s v="Other"/>
    <n v="20"/>
    <s v="IN"/>
    <s v="Free"/>
    <n v="167"/>
    <n v="84"/>
    <n v="0.5"/>
    <s v="Mobile"/>
    <n v="16"/>
    <n v="0"/>
    <n v="1"/>
    <n v="0"/>
    <n v="0"/>
    <x v="1"/>
  </r>
  <r>
    <x v="670"/>
    <s v="Female"/>
    <n v="28"/>
    <s v="FR"/>
    <s v="Free"/>
    <n v="209"/>
    <n v="59"/>
    <n v="0.31"/>
    <s v="Mobile"/>
    <n v="44"/>
    <n v="0"/>
    <n v="0"/>
    <n v="0"/>
    <n v="0"/>
    <x v="3"/>
  </r>
  <r>
    <x v="671"/>
    <s v="Male"/>
    <n v="58"/>
    <s v="AU"/>
    <s v="Free"/>
    <n v="117"/>
    <n v="14"/>
    <n v="0.4"/>
    <s v="Desktop"/>
    <n v="39"/>
    <n v="0"/>
    <n v="0"/>
    <n v="0"/>
    <n v="0"/>
    <x v="0"/>
  </r>
  <r>
    <x v="672"/>
    <s v="Male"/>
    <n v="44"/>
    <s v="AU"/>
    <s v="Free"/>
    <n v="277"/>
    <n v="54"/>
    <n v="0.3"/>
    <s v="Desktop"/>
    <n v="29"/>
    <n v="0"/>
    <n v="0"/>
    <n v="0"/>
    <n v="0"/>
    <x v="4"/>
  </r>
  <r>
    <x v="673"/>
    <s v="Other"/>
    <n v="28"/>
    <s v="CA"/>
    <s v="Free"/>
    <n v="174"/>
    <n v="16"/>
    <n v="0.44"/>
    <s v="Mobile"/>
    <n v="46"/>
    <n v="0"/>
    <n v="0"/>
    <n v="0"/>
    <n v="0"/>
    <x v="3"/>
  </r>
  <r>
    <x v="674"/>
    <s v="Female"/>
    <n v="17"/>
    <s v="PK"/>
    <s v="Free"/>
    <n v="253"/>
    <n v="98"/>
    <n v="0.33"/>
    <s v="Mobile"/>
    <n v="38"/>
    <n v="0"/>
    <n v="0"/>
    <n v="0"/>
    <n v="0"/>
    <x v="0"/>
  </r>
  <r>
    <x v="675"/>
    <s v="Other"/>
    <n v="28"/>
    <s v="CA"/>
    <s v="Free"/>
    <n v="12"/>
    <n v="48"/>
    <n v="0.51"/>
    <s v="Desktop"/>
    <n v="26"/>
    <n v="0"/>
    <n v="0"/>
    <n v="0"/>
    <n v="0"/>
    <x v="4"/>
  </r>
  <r>
    <x v="676"/>
    <s v="Male"/>
    <n v="59"/>
    <s v="DE"/>
    <s v="Free"/>
    <n v="275"/>
    <n v="43"/>
    <n v="0.57999999999999996"/>
    <s v="Mobile"/>
    <n v="38"/>
    <n v="0"/>
    <n v="0"/>
    <n v="0"/>
    <n v="0"/>
    <x v="0"/>
  </r>
  <r>
    <x v="677"/>
    <s v="Other"/>
    <n v="41"/>
    <s v="AU"/>
    <s v="Free"/>
    <n v="134"/>
    <n v="78"/>
    <n v="0.28999999999999998"/>
    <s v="Mobile"/>
    <n v="36"/>
    <n v="0"/>
    <n v="0"/>
    <n v="0"/>
    <n v="0"/>
    <x v="0"/>
  </r>
  <r>
    <x v="678"/>
    <s v="Female"/>
    <n v="23"/>
    <s v="UK"/>
    <s v="Free"/>
    <n v="288"/>
    <n v="31"/>
    <n v="0.17"/>
    <s v="Web"/>
    <n v="42"/>
    <n v="0"/>
    <n v="0"/>
    <n v="0"/>
    <n v="0"/>
    <x v="3"/>
  </r>
  <r>
    <x v="679"/>
    <s v="Male"/>
    <n v="27"/>
    <s v="AU"/>
    <s v="Free"/>
    <n v="254"/>
    <n v="33"/>
    <n v="0.06"/>
    <s v="Desktop"/>
    <n v="28"/>
    <n v="0"/>
    <n v="0"/>
    <n v="0"/>
    <n v="0"/>
    <x v="4"/>
  </r>
  <r>
    <x v="680"/>
    <s v="Male"/>
    <n v="22"/>
    <s v="CA"/>
    <s v="Free"/>
    <n v="74"/>
    <n v="23"/>
    <n v="0.27"/>
    <s v="Mobile"/>
    <n v="47"/>
    <n v="0"/>
    <n v="0"/>
    <n v="0"/>
    <n v="0"/>
    <x v="3"/>
  </r>
  <r>
    <x v="681"/>
    <s v="Other"/>
    <n v="22"/>
    <s v="DE"/>
    <s v="Free"/>
    <n v="274"/>
    <n v="3"/>
    <n v="0.22"/>
    <s v="Mobile"/>
    <n v="18"/>
    <n v="0"/>
    <n v="0"/>
    <n v="0"/>
    <n v="0"/>
    <x v="1"/>
  </r>
  <r>
    <x v="682"/>
    <s v="Female"/>
    <n v="41"/>
    <s v="PK"/>
    <s v="Free"/>
    <n v="16"/>
    <n v="72"/>
    <n v="0.05"/>
    <s v="Mobile"/>
    <n v="11"/>
    <n v="0"/>
    <n v="1"/>
    <n v="0"/>
    <n v="0"/>
    <x v="1"/>
  </r>
  <r>
    <x v="683"/>
    <s v="Other"/>
    <n v="39"/>
    <s v="UK"/>
    <s v="Free"/>
    <n v="180"/>
    <n v="29"/>
    <n v="0.16"/>
    <s v="Web"/>
    <n v="44"/>
    <n v="0"/>
    <n v="1"/>
    <n v="0"/>
    <n v="0"/>
    <x v="3"/>
  </r>
  <r>
    <x v="684"/>
    <s v="Female"/>
    <n v="56"/>
    <s v="US"/>
    <s v="Free"/>
    <n v="143"/>
    <n v="19"/>
    <n v="0.11"/>
    <s v="Desktop"/>
    <n v="25"/>
    <n v="0"/>
    <n v="0"/>
    <n v="0"/>
    <n v="0"/>
    <x v="4"/>
  </r>
  <r>
    <x v="685"/>
    <s v="Other"/>
    <n v="57"/>
    <s v="PK"/>
    <s v="Free"/>
    <n v="220"/>
    <n v="22"/>
    <n v="0.36"/>
    <s v="Desktop"/>
    <n v="15"/>
    <n v="0"/>
    <n v="0"/>
    <n v="0"/>
    <n v="0"/>
    <x v="1"/>
  </r>
  <r>
    <x v="686"/>
    <s v="Male"/>
    <n v="43"/>
    <s v="FR"/>
    <s v="Free"/>
    <n v="260"/>
    <n v="29"/>
    <n v="0.03"/>
    <s v="Web"/>
    <n v="6"/>
    <n v="0"/>
    <n v="0"/>
    <n v="0"/>
    <n v="0"/>
    <x v="2"/>
  </r>
  <r>
    <x v="687"/>
    <s v="Other"/>
    <n v="34"/>
    <s v="PK"/>
    <s v="Free"/>
    <n v="266"/>
    <n v="81"/>
    <n v="0.45"/>
    <s v="Desktop"/>
    <n v="31"/>
    <n v="0"/>
    <n v="0"/>
    <n v="0"/>
    <n v="0"/>
    <x v="0"/>
  </r>
  <r>
    <x v="688"/>
    <s v="Female"/>
    <n v="28"/>
    <s v="AU"/>
    <s v="Free"/>
    <n v="72"/>
    <n v="22"/>
    <n v="0.57999999999999996"/>
    <s v="Web"/>
    <n v="12"/>
    <n v="0"/>
    <n v="1"/>
    <n v="0"/>
    <n v="0"/>
    <x v="1"/>
  </r>
  <r>
    <x v="689"/>
    <s v="Other"/>
    <n v="51"/>
    <s v="UK"/>
    <s v="Free"/>
    <n v="92"/>
    <n v="49"/>
    <n v="0.4"/>
    <s v="Mobile"/>
    <n v="5"/>
    <n v="0"/>
    <n v="0"/>
    <n v="0"/>
    <n v="0"/>
    <x v="2"/>
  </r>
  <r>
    <x v="690"/>
    <s v="Other"/>
    <n v="56"/>
    <s v="FR"/>
    <s v="Free"/>
    <n v="264"/>
    <n v="95"/>
    <n v="0.52"/>
    <s v="Desktop"/>
    <n v="35"/>
    <n v="0"/>
    <n v="0"/>
    <n v="0"/>
    <n v="0"/>
    <x v="0"/>
  </r>
  <r>
    <x v="691"/>
    <s v="Male"/>
    <n v="22"/>
    <s v="DE"/>
    <s v="Free"/>
    <n v="217"/>
    <n v="50"/>
    <n v="0.44"/>
    <s v="Desktop"/>
    <n v="28"/>
    <n v="0"/>
    <n v="1"/>
    <n v="0"/>
    <n v="0"/>
    <x v="4"/>
  </r>
  <r>
    <x v="692"/>
    <s v="Male"/>
    <n v="24"/>
    <s v="AU"/>
    <s v="Free"/>
    <n v="52"/>
    <n v="17"/>
    <n v="0.09"/>
    <s v="Mobile"/>
    <n v="15"/>
    <n v="0"/>
    <n v="1"/>
    <n v="0"/>
    <n v="0"/>
    <x v="1"/>
  </r>
  <r>
    <x v="693"/>
    <s v="Male"/>
    <n v="37"/>
    <s v="FR"/>
    <s v="Free"/>
    <n v="51"/>
    <n v="17"/>
    <n v="0.51"/>
    <s v="Web"/>
    <n v="49"/>
    <n v="0"/>
    <n v="1"/>
    <n v="0"/>
    <n v="0"/>
    <x v="3"/>
  </r>
  <r>
    <x v="694"/>
    <s v="Other"/>
    <n v="53"/>
    <s v="CA"/>
    <s v="Free"/>
    <n v="249"/>
    <n v="61"/>
    <n v="0.28000000000000003"/>
    <s v="Desktop"/>
    <n v="39"/>
    <n v="0"/>
    <n v="0"/>
    <n v="0"/>
    <n v="0"/>
    <x v="0"/>
  </r>
  <r>
    <x v="695"/>
    <s v="Female"/>
    <n v="54"/>
    <s v="FR"/>
    <s v="Free"/>
    <n v="123"/>
    <n v="55"/>
    <n v="0.59"/>
    <s v="Web"/>
    <n v="39"/>
    <n v="0"/>
    <n v="0"/>
    <n v="0"/>
    <n v="0"/>
    <x v="0"/>
  </r>
  <r>
    <x v="696"/>
    <s v="Female"/>
    <n v="40"/>
    <s v="AU"/>
    <s v="Free"/>
    <n v="29"/>
    <n v="87"/>
    <n v="0.28999999999999998"/>
    <s v="Mobile"/>
    <n v="25"/>
    <n v="0"/>
    <n v="0"/>
    <n v="0"/>
    <n v="0"/>
    <x v="4"/>
  </r>
  <r>
    <x v="697"/>
    <s v="Male"/>
    <n v="29"/>
    <s v="UK"/>
    <s v="Free"/>
    <n v="182"/>
    <n v="52"/>
    <n v="0.3"/>
    <s v="Web"/>
    <n v="18"/>
    <n v="0"/>
    <n v="0"/>
    <n v="0"/>
    <n v="0"/>
    <x v="1"/>
  </r>
  <r>
    <x v="698"/>
    <s v="Female"/>
    <n v="35"/>
    <s v="DE"/>
    <s v="Free"/>
    <n v="232"/>
    <n v="18"/>
    <n v="0.49"/>
    <s v="Desktop"/>
    <n v="25"/>
    <n v="0"/>
    <n v="0"/>
    <n v="0"/>
    <n v="0"/>
    <x v="4"/>
  </r>
  <r>
    <x v="699"/>
    <s v="Female"/>
    <n v="27"/>
    <s v="IN"/>
    <s v="Free"/>
    <n v="32"/>
    <n v="65"/>
    <n v="0.19"/>
    <s v="Mobile"/>
    <n v="34"/>
    <n v="0"/>
    <n v="0"/>
    <n v="0"/>
    <n v="0"/>
    <x v="0"/>
  </r>
  <r>
    <x v="700"/>
    <s v="Male"/>
    <n v="16"/>
    <s v="AU"/>
    <s v="Free"/>
    <n v="111"/>
    <n v="47"/>
    <n v="0.33"/>
    <s v="Mobile"/>
    <n v="25"/>
    <n v="0"/>
    <n v="0"/>
    <n v="0"/>
    <n v="0"/>
    <x v="4"/>
  </r>
  <r>
    <x v="701"/>
    <s v="Other"/>
    <n v="34"/>
    <s v="IN"/>
    <s v="Free"/>
    <n v="125"/>
    <n v="94"/>
    <n v="0.02"/>
    <s v="Web"/>
    <n v="15"/>
    <n v="0"/>
    <n v="0"/>
    <n v="0"/>
    <n v="0"/>
    <x v="1"/>
  </r>
  <r>
    <x v="702"/>
    <s v="Male"/>
    <n v="53"/>
    <s v="UK"/>
    <s v="Free"/>
    <n v="203"/>
    <n v="71"/>
    <n v="0.45"/>
    <s v="Web"/>
    <n v="36"/>
    <n v="0"/>
    <n v="1"/>
    <n v="0"/>
    <n v="0"/>
    <x v="0"/>
  </r>
  <r>
    <x v="703"/>
    <s v="Other"/>
    <n v="18"/>
    <s v="IN"/>
    <s v="Free"/>
    <n v="132"/>
    <n v="18"/>
    <n v="0.34"/>
    <s v="Mobile"/>
    <n v="13"/>
    <n v="0"/>
    <n v="0"/>
    <n v="0"/>
    <n v="0"/>
    <x v="1"/>
  </r>
  <r>
    <x v="704"/>
    <s v="Male"/>
    <n v="16"/>
    <s v="IN"/>
    <s v="Free"/>
    <n v="246"/>
    <n v="62"/>
    <n v="0.56999999999999995"/>
    <s v="Desktop"/>
    <n v="15"/>
    <n v="0"/>
    <n v="0"/>
    <n v="0"/>
    <n v="0"/>
    <x v="1"/>
  </r>
  <r>
    <x v="705"/>
    <s v="Female"/>
    <n v="29"/>
    <s v="IN"/>
    <s v="Free"/>
    <n v="26"/>
    <n v="18"/>
    <n v="0.56000000000000005"/>
    <s v="Mobile"/>
    <n v="37"/>
    <n v="0"/>
    <n v="1"/>
    <n v="0"/>
    <n v="0"/>
    <x v="0"/>
  </r>
  <r>
    <x v="706"/>
    <s v="Male"/>
    <n v="30"/>
    <s v="PK"/>
    <s v="Free"/>
    <n v="225"/>
    <n v="46"/>
    <n v="0.21"/>
    <s v="Desktop"/>
    <n v="8"/>
    <n v="0"/>
    <n v="0"/>
    <n v="0"/>
    <n v="0"/>
    <x v="2"/>
  </r>
  <r>
    <x v="707"/>
    <s v="Male"/>
    <n v="45"/>
    <s v="FR"/>
    <s v="Free"/>
    <n v="44"/>
    <n v="10"/>
    <n v="0.19"/>
    <s v="Desktop"/>
    <n v="48"/>
    <n v="0"/>
    <n v="1"/>
    <n v="0"/>
    <n v="0"/>
    <x v="3"/>
  </r>
  <r>
    <x v="708"/>
    <s v="Female"/>
    <n v="44"/>
    <s v="PK"/>
    <s v="Free"/>
    <n v="46"/>
    <n v="66"/>
    <n v="0.2"/>
    <s v="Web"/>
    <n v="11"/>
    <n v="0"/>
    <n v="0"/>
    <n v="0"/>
    <n v="0"/>
    <x v="1"/>
  </r>
  <r>
    <x v="709"/>
    <s v="Male"/>
    <n v="54"/>
    <s v="DE"/>
    <s v="Free"/>
    <n v="161"/>
    <n v="50"/>
    <n v="0.11"/>
    <s v="Web"/>
    <n v="30"/>
    <n v="0"/>
    <n v="0"/>
    <n v="0"/>
    <n v="0"/>
    <x v="0"/>
  </r>
  <r>
    <x v="710"/>
    <s v="Other"/>
    <n v="56"/>
    <s v="CA"/>
    <s v="Free"/>
    <n v="266"/>
    <n v="72"/>
    <n v="0.24"/>
    <s v="Desktop"/>
    <n v="12"/>
    <n v="0"/>
    <n v="0"/>
    <n v="0"/>
    <n v="0"/>
    <x v="1"/>
  </r>
  <r>
    <x v="711"/>
    <s v="Other"/>
    <n v="30"/>
    <s v="CA"/>
    <s v="Free"/>
    <n v="271"/>
    <n v="68"/>
    <n v="0.43"/>
    <s v="Desktop"/>
    <n v="44"/>
    <n v="0"/>
    <n v="0"/>
    <n v="0"/>
    <n v="0"/>
    <x v="3"/>
  </r>
  <r>
    <x v="712"/>
    <s v="Female"/>
    <n v="25"/>
    <s v="CA"/>
    <s v="Free"/>
    <n v="264"/>
    <n v="27"/>
    <n v="0.05"/>
    <s v="Web"/>
    <n v="24"/>
    <n v="0"/>
    <n v="0"/>
    <n v="0"/>
    <n v="0"/>
    <x v="4"/>
  </r>
  <r>
    <x v="713"/>
    <s v="Male"/>
    <n v="35"/>
    <s v="FR"/>
    <s v="Free"/>
    <n v="236"/>
    <n v="59"/>
    <n v="0.27"/>
    <s v="Desktop"/>
    <n v="46"/>
    <n v="0"/>
    <n v="0"/>
    <n v="0"/>
    <n v="0"/>
    <x v="3"/>
  </r>
  <r>
    <x v="714"/>
    <s v="Male"/>
    <n v="55"/>
    <s v="US"/>
    <s v="Free"/>
    <n v="12"/>
    <n v="8"/>
    <n v="0.03"/>
    <s v="Mobile"/>
    <n v="34"/>
    <n v="0"/>
    <n v="0"/>
    <n v="0"/>
    <n v="0"/>
    <x v="0"/>
  </r>
  <r>
    <x v="715"/>
    <s v="Other"/>
    <n v="52"/>
    <s v="UK"/>
    <s v="Free"/>
    <n v="196"/>
    <n v="6"/>
    <n v="7.0000000000000007E-2"/>
    <s v="Desktop"/>
    <n v="37"/>
    <n v="0"/>
    <n v="1"/>
    <n v="0"/>
    <n v="0"/>
    <x v="0"/>
  </r>
  <r>
    <x v="716"/>
    <s v="Female"/>
    <n v="30"/>
    <s v="PK"/>
    <s v="Free"/>
    <n v="150"/>
    <n v="47"/>
    <n v="0.51"/>
    <s v="Mobile"/>
    <n v="43"/>
    <n v="0"/>
    <n v="0"/>
    <n v="0"/>
    <n v="0"/>
    <x v="3"/>
  </r>
  <r>
    <x v="717"/>
    <s v="Male"/>
    <n v="34"/>
    <s v="US"/>
    <s v="Free"/>
    <n v="187"/>
    <n v="63"/>
    <n v="0.35"/>
    <s v="Mobile"/>
    <n v="29"/>
    <n v="0"/>
    <n v="1"/>
    <n v="0"/>
    <n v="0"/>
    <x v="4"/>
  </r>
  <r>
    <x v="718"/>
    <s v="Male"/>
    <n v="40"/>
    <s v="PK"/>
    <s v="Free"/>
    <n v="213"/>
    <n v="40"/>
    <n v="0.22"/>
    <s v="Mobile"/>
    <n v="17"/>
    <n v="0"/>
    <n v="1"/>
    <n v="0"/>
    <n v="0"/>
    <x v="1"/>
  </r>
  <r>
    <x v="719"/>
    <s v="Female"/>
    <n v="18"/>
    <s v="IN"/>
    <s v="Free"/>
    <n v="202"/>
    <n v="90"/>
    <n v="0.16"/>
    <s v="Mobile"/>
    <n v="16"/>
    <n v="0"/>
    <n v="0"/>
    <n v="0"/>
    <n v="0"/>
    <x v="1"/>
  </r>
  <r>
    <x v="720"/>
    <s v="Other"/>
    <n v="17"/>
    <s v="AU"/>
    <s v="Free"/>
    <n v="171"/>
    <n v="19"/>
    <n v="0.44"/>
    <s v="Web"/>
    <n v="11"/>
    <n v="0"/>
    <n v="1"/>
    <n v="0"/>
    <n v="0"/>
    <x v="1"/>
  </r>
  <r>
    <x v="721"/>
    <s v="Male"/>
    <n v="22"/>
    <s v="UK"/>
    <s v="Free"/>
    <n v="246"/>
    <n v="16"/>
    <n v="0.36"/>
    <s v="Web"/>
    <n v="42"/>
    <n v="0"/>
    <n v="0"/>
    <n v="0"/>
    <n v="0"/>
    <x v="3"/>
  </r>
  <r>
    <x v="722"/>
    <s v="Male"/>
    <n v="39"/>
    <s v="PK"/>
    <s v="Free"/>
    <n v="219"/>
    <n v="93"/>
    <n v="0.22"/>
    <s v="Desktop"/>
    <n v="10"/>
    <n v="0"/>
    <n v="0"/>
    <n v="0"/>
    <n v="0"/>
    <x v="1"/>
  </r>
  <r>
    <x v="723"/>
    <s v="Other"/>
    <n v="44"/>
    <s v="DE"/>
    <s v="Free"/>
    <n v="251"/>
    <n v="62"/>
    <n v="0.38"/>
    <s v="Web"/>
    <n v="5"/>
    <n v="0"/>
    <n v="0"/>
    <n v="0"/>
    <n v="0"/>
    <x v="2"/>
  </r>
  <r>
    <x v="724"/>
    <s v="Female"/>
    <n v="18"/>
    <s v="UK"/>
    <s v="Free"/>
    <n v="190"/>
    <n v="41"/>
    <n v="0.3"/>
    <s v="Web"/>
    <n v="21"/>
    <n v="0"/>
    <n v="0"/>
    <n v="0"/>
    <n v="0"/>
    <x v="4"/>
  </r>
  <r>
    <x v="725"/>
    <s v="Female"/>
    <n v="40"/>
    <s v="US"/>
    <s v="Free"/>
    <n v="96"/>
    <n v="7"/>
    <n v="0.21"/>
    <s v="Mobile"/>
    <n v="35"/>
    <n v="0"/>
    <n v="0"/>
    <n v="0"/>
    <n v="0"/>
    <x v="0"/>
  </r>
  <r>
    <x v="726"/>
    <s v="Female"/>
    <n v="39"/>
    <s v="UK"/>
    <s v="Free"/>
    <n v="45"/>
    <n v="19"/>
    <n v="0.51"/>
    <s v="Desktop"/>
    <n v="13"/>
    <n v="0"/>
    <n v="0"/>
    <n v="0"/>
    <n v="0"/>
    <x v="1"/>
  </r>
  <r>
    <x v="727"/>
    <s v="Other"/>
    <n v="52"/>
    <s v="UK"/>
    <s v="Free"/>
    <n v="50"/>
    <n v="13"/>
    <n v="0.21"/>
    <s v="Desktop"/>
    <n v="23"/>
    <n v="0"/>
    <n v="0"/>
    <n v="0"/>
    <n v="0"/>
    <x v="4"/>
  </r>
  <r>
    <x v="728"/>
    <s v="Other"/>
    <n v="26"/>
    <s v="DE"/>
    <s v="Free"/>
    <n v="183"/>
    <n v="48"/>
    <n v="0.43"/>
    <s v="Mobile"/>
    <n v="41"/>
    <n v="0"/>
    <n v="0"/>
    <n v="0"/>
    <n v="0"/>
    <x v="3"/>
  </r>
  <r>
    <x v="729"/>
    <s v="Male"/>
    <n v="57"/>
    <s v="IN"/>
    <s v="Free"/>
    <n v="59"/>
    <n v="87"/>
    <n v="0.24"/>
    <s v="Web"/>
    <n v="16"/>
    <n v="0"/>
    <n v="0"/>
    <n v="0"/>
    <n v="0"/>
    <x v="1"/>
  </r>
  <r>
    <x v="730"/>
    <s v="Male"/>
    <n v="53"/>
    <s v="US"/>
    <s v="Free"/>
    <n v="167"/>
    <n v="18"/>
    <n v="0.14000000000000001"/>
    <s v="Desktop"/>
    <n v="9"/>
    <n v="0"/>
    <n v="0"/>
    <n v="0"/>
    <n v="0"/>
    <x v="2"/>
  </r>
  <r>
    <x v="731"/>
    <s v="Other"/>
    <n v="21"/>
    <s v="FR"/>
    <s v="Free"/>
    <n v="266"/>
    <n v="15"/>
    <n v="0.41"/>
    <s v="Mobile"/>
    <n v="8"/>
    <n v="0"/>
    <n v="0"/>
    <n v="0"/>
    <n v="0"/>
    <x v="2"/>
  </r>
  <r>
    <x v="732"/>
    <s v="Male"/>
    <n v="22"/>
    <s v="CA"/>
    <s v="Free"/>
    <n v="259"/>
    <n v="43"/>
    <n v="0.32"/>
    <s v="Mobile"/>
    <n v="34"/>
    <n v="0"/>
    <n v="0"/>
    <n v="0"/>
    <n v="0"/>
    <x v="0"/>
  </r>
  <r>
    <x v="733"/>
    <s v="Female"/>
    <n v="43"/>
    <s v="AU"/>
    <s v="Free"/>
    <n v="204"/>
    <n v="67"/>
    <n v="0.01"/>
    <s v="Desktop"/>
    <n v="20"/>
    <n v="0"/>
    <n v="0"/>
    <n v="0"/>
    <n v="0"/>
    <x v="4"/>
  </r>
  <r>
    <x v="734"/>
    <s v="Other"/>
    <n v="46"/>
    <s v="DE"/>
    <s v="Free"/>
    <n v="296"/>
    <n v="95"/>
    <n v="0.19"/>
    <s v="Desktop"/>
    <n v="12"/>
    <n v="0"/>
    <n v="0"/>
    <n v="0"/>
    <n v="0"/>
    <x v="1"/>
  </r>
  <r>
    <x v="735"/>
    <s v="Female"/>
    <n v="47"/>
    <s v="AU"/>
    <s v="Free"/>
    <n v="257"/>
    <n v="98"/>
    <n v="0"/>
    <s v="Mobile"/>
    <n v="45"/>
    <n v="0"/>
    <n v="0"/>
    <n v="0"/>
    <n v="0"/>
    <x v="3"/>
  </r>
  <r>
    <x v="736"/>
    <s v="Male"/>
    <n v="55"/>
    <s v="US"/>
    <s v="Free"/>
    <n v="134"/>
    <n v="40"/>
    <n v="0.09"/>
    <s v="Web"/>
    <n v="10"/>
    <n v="0"/>
    <n v="0"/>
    <n v="0"/>
    <n v="0"/>
    <x v="1"/>
  </r>
  <r>
    <x v="737"/>
    <s v="Female"/>
    <n v="29"/>
    <s v="IN"/>
    <s v="Free"/>
    <n v="212"/>
    <n v="94"/>
    <n v="0.47"/>
    <s v="Desktop"/>
    <n v="5"/>
    <n v="0"/>
    <n v="1"/>
    <n v="0"/>
    <n v="0"/>
    <x v="2"/>
  </r>
  <r>
    <x v="738"/>
    <s v="Female"/>
    <n v="24"/>
    <s v="UK"/>
    <s v="Free"/>
    <n v="15"/>
    <n v="86"/>
    <n v="0.54"/>
    <s v="Web"/>
    <n v="38"/>
    <n v="0"/>
    <n v="0"/>
    <n v="0"/>
    <n v="0"/>
    <x v="0"/>
  </r>
  <r>
    <x v="739"/>
    <s v="Female"/>
    <n v="39"/>
    <s v="PK"/>
    <s v="Free"/>
    <n v="247"/>
    <n v="41"/>
    <n v="0.17"/>
    <s v="Desktop"/>
    <n v="23"/>
    <n v="0"/>
    <n v="0"/>
    <n v="0"/>
    <n v="0"/>
    <x v="4"/>
  </r>
  <r>
    <x v="740"/>
    <s v="Female"/>
    <n v="22"/>
    <s v="FR"/>
    <s v="Free"/>
    <n v="245"/>
    <n v="50"/>
    <n v="0.01"/>
    <s v="Web"/>
    <n v="47"/>
    <n v="0"/>
    <n v="0"/>
    <n v="0"/>
    <n v="0"/>
    <x v="3"/>
  </r>
  <r>
    <x v="741"/>
    <s v="Other"/>
    <n v="28"/>
    <s v="PK"/>
    <s v="Free"/>
    <n v="78"/>
    <n v="55"/>
    <n v="0.56999999999999995"/>
    <s v="Desktop"/>
    <n v="9"/>
    <n v="0"/>
    <n v="1"/>
    <n v="0"/>
    <n v="0"/>
    <x v="2"/>
  </r>
  <r>
    <x v="742"/>
    <s v="Other"/>
    <n v="25"/>
    <s v="IN"/>
    <s v="Free"/>
    <n v="177"/>
    <n v="10"/>
    <n v="0.06"/>
    <s v="Web"/>
    <n v="35"/>
    <n v="0"/>
    <n v="0"/>
    <n v="0"/>
    <n v="0"/>
    <x v="0"/>
  </r>
  <r>
    <x v="743"/>
    <s v="Other"/>
    <n v="26"/>
    <s v="US"/>
    <s v="Free"/>
    <n v="174"/>
    <n v="54"/>
    <n v="0.18"/>
    <s v="Mobile"/>
    <n v="8"/>
    <n v="0"/>
    <n v="0"/>
    <n v="0"/>
    <n v="0"/>
    <x v="2"/>
  </r>
  <r>
    <x v="744"/>
    <s v="Other"/>
    <n v="16"/>
    <s v="UK"/>
    <s v="Free"/>
    <n v="184"/>
    <n v="56"/>
    <n v="0.52"/>
    <s v="Mobile"/>
    <n v="12"/>
    <n v="0"/>
    <n v="1"/>
    <n v="0"/>
    <n v="0"/>
    <x v="1"/>
  </r>
  <r>
    <x v="745"/>
    <s v="Female"/>
    <n v="25"/>
    <s v="AU"/>
    <s v="Free"/>
    <n v="198"/>
    <n v="5"/>
    <n v="0.1"/>
    <s v="Desktop"/>
    <n v="14"/>
    <n v="0"/>
    <n v="0"/>
    <n v="0"/>
    <n v="0"/>
    <x v="1"/>
  </r>
  <r>
    <x v="746"/>
    <s v="Other"/>
    <n v="24"/>
    <s v="DE"/>
    <s v="Free"/>
    <n v="163"/>
    <n v="9"/>
    <n v="0.22"/>
    <s v="Web"/>
    <n v="25"/>
    <n v="0"/>
    <n v="0"/>
    <n v="0"/>
    <n v="0"/>
    <x v="4"/>
  </r>
  <r>
    <x v="747"/>
    <s v="Male"/>
    <n v="31"/>
    <s v="FR"/>
    <s v="Free"/>
    <n v="41"/>
    <n v="59"/>
    <n v="0.22"/>
    <s v="Desktop"/>
    <n v="28"/>
    <n v="0"/>
    <n v="0"/>
    <n v="0"/>
    <n v="0"/>
    <x v="4"/>
  </r>
  <r>
    <x v="748"/>
    <s v="Female"/>
    <n v="59"/>
    <s v="UK"/>
    <s v="Free"/>
    <n v="198"/>
    <n v="94"/>
    <n v="0.21"/>
    <s v="Web"/>
    <n v="28"/>
    <n v="0"/>
    <n v="0"/>
    <n v="0"/>
    <n v="0"/>
    <x v="4"/>
  </r>
  <r>
    <x v="749"/>
    <s v="Male"/>
    <n v="35"/>
    <s v="UK"/>
    <s v="Free"/>
    <n v="252"/>
    <n v="14"/>
    <n v="0.59"/>
    <s v="Web"/>
    <n v="27"/>
    <n v="0"/>
    <n v="0"/>
    <n v="0"/>
    <n v="0"/>
    <x v="4"/>
  </r>
  <r>
    <x v="750"/>
    <s v="Other"/>
    <n v="38"/>
    <s v="UK"/>
    <s v="Free"/>
    <n v="272"/>
    <n v="39"/>
    <n v="0.31"/>
    <s v="Web"/>
    <n v="44"/>
    <n v="0"/>
    <n v="0"/>
    <n v="0"/>
    <n v="0"/>
    <x v="3"/>
  </r>
  <r>
    <x v="751"/>
    <s v="Female"/>
    <n v="34"/>
    <s v="PK"/>
    <s v="Free"/>
    <n v="129"/>
    <n v="42"/>
    <n v="0.27"/>
    <s v="Web"/>
    <n v="31"/>
    <n v="0"/>
    <n v="0"/>
    <n v="0"/>
    <n v="0"/>
    <x v="0"/>
  </r>
  <r>
    <x v="752"/>
    <s v="Male"/>
    <n v="23"/>
    <s v="CA"/>
    <s v="Free"/>
    <n v="76"/>
    <n v="53"/>
    <n v="0.56999999999999995"/>
    <s v="Web"/>
    <n v="15"/>
    <n v="0"/>
    <n v="0"/>
    <n v="0"/>
    <n v="0"/>
    <x v="1"/>
  </r>
  <r>
    <x v="753"/>
    <s v="Male"/>
    <n v="36"/>
    <s v="AU"/>
    <s v="Free"/>
    <n v="243"/>
    <n v="24"/>
    <n v="0.22"/>
    <s v="Desktop"/>
    <n v="22"/>
    <n v="0"/>
    <n v="0"/>
    <n v="0"/>
    <n v="0"/>
    <x v="4"/>
  </r>
  <r>
    <x v="754"/>
    <s v="Female"/>
    <n v="22"/>
    <s v="IN"/>
    <s v="Free"/>
    <n v="181"/>
    <n v="7"/>
    <n v="0.48"/>
    <s v="Web"/>
    <n v="18"/>
    <n v="0"/>
    <n v="1"/>
    <n v="0"/>
    <n v="0"/>
    <x v="1"/>
  </r>
  <r>
    <x v="755"/>
    <s v="Male"/>
    <n v="45"/>
    <s v="PK"/>
    <s v="Free"/>
    <n v="86"/>
    <n v="54"/>
    <n v="0.38"/>
    <s v="Desktop"/>
    <n v="41"/>
    <n v="0"/>
    <n v="0"/>
    <n v="0"/>
    <n v="0"/>
    <x v="3"/>
  </r>
  <r>
    <x v="756"/>
    <s v="Male"/>
    <n v="18"/>
    <s v="AU"/>
    <s v="Free"/>
    <n v="234"/>
    <n v="69"/>
    <n v="0.26"/>
    <s v="Web"/>
    <n v="44"/>
    <n v="0"/>
    <n v="1"/>
    <n v="0"/>
    <n v="0"/>
    <x v="3"/>
  </r>
  <r>
    <x v="757"/>
    <s v="Male"/>
    <n v="51"/>
    <s v="PK"/>
    <s v="Free"/>
    <n v="228"/>
    <n v="36"/>
    <n v="0.23"/>
    <s v="Web"/>
    <n v="21"/>
    <n v="0"/>
    <n v="1"/>
    <n v="0"/>
    <n v="0"/>
    <x v="4"/>
  </r>
  <r>
    <x v="758"/>
    <s v="Male"/>
    <n v="28"/>
    <s v="UK"/>
    <s v="Free"/>
    <n v="156"/>
    <n v="14"/>
    <n v="0.15"/>
    <s v="Mobile"/>
    <n v="38"/>
    <n v="0"/>
    <n v="0"/>
    <n v="0"/>
    <n v="0"/>
    <x v="0"/>
  </r>
  <r>
    <x v="759"/>
    <s v="Other"/>
    <n v="56"/>
    <s v="IN"/>
    <s v="Free"/>
    <n v="136"/>
    <n v="16"/>
    <n v="0.11"/>
    <s v="Web"/>
    <n v="30"/>
    <n v="0"/>
    <n v="0"/>
    <n v="0"/>
    <n v="0"/>
    <x v="0"/>
  </r>
  <r>
    <x v="760"/>
    <s v="Other"/>
    <n v="18"/>
    <s v="US"/>
    <s v="Free"/>
    <n v="271"/>
    <n v="42"/>
    <n v="0.31"/>
    <s v="Desktop"/>
    <n v="16"/>
    <n v="0"/>
    <n v="0"/>
    <n v="0"/>
    <n v="0"/>
    <x v="1"/>
  </r>
  <r>
    <x v="761"/>
    <s v="Male"/>
    <n v="25"/>
    <s v="AU"/>
    <s v="Free"/>
    <n v="276"/>
    <n v="15"/>
    <n v="0.18"/>
    <s v="Desktop"/>
    <n v="47"/>
    <n v="0"/>
    <n v="0"/>
    <n v="0"/>
    <n v="0"/>
    <x v="3"/>
  </r>
  <r>
    <x v="762"/>
    <s v="Female"/>
    <n v="22"/>
    <s v="PK"/>
    <s v="Free"/>
    <n v="60"/>
    <n v="46"/>
    <n v="0.02"/>
    <s v="Desktop"/>
    <n v="31"/>
    <n v="0"/>
    <n v="0"/>
    <n v="0"/>
    <n v="0"/>
    <x v="0"/>
  </r>
  <r>
    <x v="763"/>
    <s v="Other"/>
    <n v="54"/>
    <s v="PK"/>
    <s v="Free"/>
    <n v="115"/>
    <n v="84"/>
    <n v="0.28000000000000003"/>
    <s v="Desktop"/>
    <n v="6"/>
    <n v="0"/>
    <n v="0"/>
    <n v="0"/>
    <n v="0"/>
    <x v="2"/>
  </r>
  <r>
    <x v="764"/>
    <s v="Female"/>
    <n v="54"/>
    <s v="FR"/>
    <s v="Free"/>
    <n v="109"/>
    <n v="89"/>
    <n v="0.21"/>
    <s v="Mobile"/>
    <n v="30"/>
    <n v="0"/>
    <n v="0"/>
    <n v="0"/>
    <n v="0"/>
    <x v="0"/>
  </r>
  <r>
    <x v="765"/>
    <s v="Other"/>
    <n v="35"/>
    <s v="FR"/>
    <s v="Free"/>
    <n v="265"/>
    <n v="25"/>
    <n v="0.22"/>
    <s v="Web"/>
    <n v="48"/>
    <n v="0"/>
    <n v="0"/>
    <n v="0"/>
    <n v="0"/>
    <x v="3"/>
  </r>
  <r>
    <x v="766"/>
    <s v="Female"/>
    <n v="19"/>
    <s v="DE"/>
    <s v="Free"/>
    <n v="87"/>
    <n v="61"/>
    <n v="0.45"/>
    <s v="Web"/>
    <n v="16"/>
    <n v="0"/>
    <n v="0"/>
    <n v="0"/>
    <n v="0"/>
    <x v="1"/>
  </r>
  <r>
    <x v="767"/>
    <s v="Female"/>
    <n v="43"/>
    <s v="AU"/>
    <s v="Free"/>
    <n v="215"/>
    <n v="71"/>
    <n v="0.55000000000000004"/>
    <s v="Web"/>
    <n v="42"/>
    <n v="0"/>
    <n v="0"/>
    <n v="0"/>
    <n v="0"/>
    <x v="3"/>
  </r>
  <r>
    <x v="768"/>
    <s v="Female"/>
    <n v="34"/>
    <s v="PK"/>
    <s v="Free"/>
    <n v="76"/>
    <n v="23"/>
    <n v="0.03"/>
    <s v="Web"/>
    <n v="48"/>
    <n v="0"/>
    <n v="0"/>
    <n v="0"/>
    <n v="0"/>
    <x v="3"/>
  </r>
  <r>
    <x v="769"/>
    <s v="Male"/>
    <n v="21"/>
    <s v="CA"/>
    <s v="Free"/>
    <n v="200"/>
    <n v="34"/>
    <n v="0.48"/>
    <s v="Web"/>
    <n v="28"/>
    <n v="0"/>
    <n v="0"/>
    <n v="0"/>
    <n v="0"/>
    <x v="4"/>
  </r>
  <r>
    <x v="770"/>
    <s v="Other"/>
    <n v="18"/>
    <s v="CA"/>
    <s v="Free"/>
    <n v="150"/>
    <n v="51"/>
    <n v="0.44"/>
    <s v="Web"/>
    <n v="14"/>
    <n v="0"/>
    <n v="0"/>
    <n v="0"/>
    <n v="0"/>
    <x v="1"/>
  </r>
  <r>
    <x v="771"/>
    <s v="Male"/>
    <n v="51"/>
    <s v="PK"/>
    <s v="Free"/>
    <n v="251"/>
    <n v="10"/>
    <n v="0.23"/>
    <s v="Mobile"/>
    <n v="28"/>
    <n v="0"/>
    <n v="0"/>
    <n v="0"/>
    <n v="0"/>
    <x v="4"/>
  </r>
  <r>
    <x v="772"/>
    <s v="Other"/>
    <n v="42"/>
    <s v="CA"/>
    <s v="Free"/>
    <n v="211"/>
    <n v="15"/>
    <n v="0.23"/>
    <s v="Web"/>
    <n v="40"/>
    <n v="0"/>
    <n v="0"/>
    <n v="0"/>
    <n v="0"/>
    <x v="3"/>
  </r>
  <r>
    <x v="773"/>
    <s v="Female"/>
    <n v="37"/>
    <s v="DE"/>
    <s v="Free"/>
    <n v="285"/>
    <n v="17"/>
    <n v="0.24"/>
    <s v="Desktop"/>
    <n v="11"/>
    <n v="0"/>
    <n v="0"/>
    <n v="0"/>
    <n v="0"/>
    <x v="1"/>
  </r>
  <r>
    <x v="774"/>
    <s v="Male"/>
    <n v="20"/>
    <s v="IN"/>
    <s v="Free"/>
    <n v="190"/>
    <n v="9"/>
    <n v="0.21"/>
    <s v="Web"/>
    <n v="15"/>
    <n v="0"/>
    <n v="1"/>
    <n v="0"/>
    <n v="0"/>
    <x v="1"/>
  </r>
  <r>
    <x v="775"/>
    <s v="Female"/>
    <n v="51"/>
    <s v="IN"/>
    <s v="Free"/>
    <n v="206"/>
    <n v="49"/>
    <n v="0.55000000000000004"/>
    <s v="Web"/>
    <n v="43"/>
    <n v="0"/>
    <n v="0"/>
    <n v="0"/>
    <n v="0"/>
    <x v="3"/>
  </r>
  <r>
    <x v="776"/>
    <s v="Male"/>
    <n v="47"/>
    <s v="DE"/>
    <s v="Free"/>
    <n v="274"/>
    <n v="8"/>
    <n v="0.26"/>
    <s v="Mobile"/>
    <n v="8"/>
    <n v="0"/>
    <n v="0"/>
    <n v="0"/>
    <n v="0"/>
    <x v="2"/>
  </r>
  <r>
    <x v="777"/>
    <s v="Other"/>
    <n v="41"/>
    <s v="AU"/>
    <s v="Free"/>
    <n v="64"/>
    <n v="70"/>
    <n v="0.49"/>
    <s v="Desktop"/>
    <n v="18"/>
    <n v="0"/>
    <n v="0"/>
    <n v="0"/>
    <n v="0"/>
    <x v="1"/>
  </r>
  <r>
    <x v="778"/>
    <s v="Female"/>
    <n v="43"/>
    <s v="IN"/>
    <s v="Free"/>
    <n v="36"/>
    <n v="41"/>
    <n v="7.0000000000000007E-2"/>
    <s v="Web"/>
    <n v="7"/>
    <n v="0"/>
    <n v="1"/>
    <n v="0"/>
    <n v="0"/>
    <x v="2"/>
  </r>
  <r>
    <x v="779"/>
    <s v="Female"/>
    <n v="53"/>
    <s v="AU"/>
    <s v="Free"/>
    <n v="14"/>
    <n v="28"/>
    <n v="0.34"/>
    <s v="Mobile"/>
    <n v="39"/>
    <n v="0"/>
    <n v="1"/>
    <n v="0"/>
    <n v="0"/>
    <x v="0"/>
  </r>
  <r>
    <x v="780"/>
    <s v="Other"/>
    <n v="24"/>
    <s v="IN"/>
    <s v="Free"/>
    <n v="59"/>
    <n v="96"/>
    <n v="0.39"/>
    <s v="Mobile"/>
    <n v="30"/>
    <n v="0"/>
    <n v="0"/>
    <n v="0"/>
    <n v="0"/>
    <x v="0"/>
  </r>
  <r>
    <x v="781"/>
    <s v="Female"/>
    <n v="18"/>
    <s v="PK"/>
    <s v="Free"/>
    <n v="104"/>
    <n v="78"/>
    <n v="0.55000000000000004"/>
    <s v="Mobile"/>
    <n v="47"/>
    <n v="0"/>
    <n v="0"/>
    <n v="0"/>
    <n v="0"/>
    <x v="3"/>
  </r>
  <r>
    <x v="782"/>
    <s v="Male"/>
    <n v="34"/>
    <s v="FR"/>
    <s v="Free"/>
    <n v="256"/>
    <n v="34"/>
    <n v="0.28000000000000003"/>
    <s v="Mobile"/>
    <n v="36"/>
    <n v="0"/>
    <n v="0"/>
    <n v="0"/>
    <n v="0"/>
    <x v="0"/>
  </r>
  <r>
    <x v="783"/>
    <s v="Female"/>
    <n v="56"/>
    <s v="DE"/>
    <s v="Free"/>
    <n v="246"/>
    <n v="17"/>
    <n v="0.52"/>
    <s v="Web"/>
    <n v="37"/>
    <n v="0"/>
    <n v="0"/>
    <n v="0"/>
    <n v="0"/>
    <x v="0"/>
  </r>
  <r>
    <x v="784"/>
    <s v="Female"/>
    <n v="50"/>
    <s v="IN"/>
    <s v="Free"/>
    <n v="40"/>
    <n v="88"/>
    <n v="0.2"/>
    <s v="Desktop"/>
    <n v="35"/>
    <n v="0"/>
    <n v="1"/>
    <n v="0"/>
    <n v="0"/>
    <x v="0"/>
  </r>
  <r>
    <x v="785"/>
    <s v="Female"/>
    <n v="36"/>
    <s v="CA"/>
    <s v="Free"/>
    <n v="293"/>
    <n v="77"/>
    <n v="0.54"/>
    <s v="Desktop"/>
    <n v="22"/>
    <n v="0"/>
    <n v="0"/>
    <n v="0"/>
    <n v="0"/>
    <x v="4"/>
  </r>
  <r>
    <x v="786"/>
    <s v="Male"/>
    <n v="24"/>
    <s v="FR"/>
    <s v="Free"/>
    <n v="191"/>
    <n v="85"/>
    <n v="0.5"/>
    <s v="Desktop"/>
    <n v="44"/>
    <n v="0"/>
    <n v="0"/>
    <n v="0"/>
    <n v="0"/>
    <x v="3"/>
  </r>
  <r>
    <x v="787"/>
    <s v="Female"/>
    <n v="22"/>
    <s v="IN"/>
    <s v="Free"/>
    <n v="129"/>
    <n v="76"/>
    <n v="0.17"/>
    <s v="Mobile"/>
    <n v="17"/>
    <n v="0"/>
    <n v="0"/>
    <n v="0"/>
    <n v="0"/>
    <x v="1"/>
  </r>
  <r>
    <x v="788"/>
    <s v="Other"/>
    <n v="30"/>
    <s v="PK"/>
    <s v="Free"/>
    <n v="42"/>
    <n v="99"/>
    <n v="0.05"/>
    <s v="Web"/>
    <n v="35"/>
    <n v="0"/>
    <n v="0"/>
    <n v="0"/>
    <n v="0"/>
    <x v="0"/>
  </r>
  <r>
    <x v="789"/>
    <s v="Other"/>
    <n v="36"/>
    <s v="AU"/>
    <s v="Free"/>
    <n v="118"/>
    <n v="26"/>
    <n v="0.53"/>
    <s v="Desktop"/>
    <n v="41"/>
    <n v="0"/>
    <n v="0"/>
    <n v="0"/>
    <n v="0"/>
    <x v="3"/>
  </r>
  <r>
    <x v="790"/>
    <s v="Male"/>
    <n v="39"/>
    <s v="CA"/>
    <s v="Free"/>
    <n v="244"/>
    <n v="87"/>
    <n v="0.15"/>
    <s v="Desktop"/>
    <n v="33"/>
    <n v="0"/>
    <n v="0"/>
    <n v="0"/>
    <n v="0"/>
    <x v="0"/>
  </r>
  <r>
    <x v="791"/>
    <s v="Other"/>
    <n v="50"/>
    <s v="CA"/>
    <s v="Free"/>
    <n v="209"/>
    <n v="21"/>
    <n v="0.35"/>
    <s v="Mobile"/>
    <n v="21"/>
    <n v="0"/>
    <n v="0"/>
    <n v="0"/>
    <n v="0"/>
    <x v="4"/>
  </r>
  <r>
    <x v="792"/>
    <s v="Other"/>
    <n v="32"/>
    <s v="US"/>
    <s v="Free"/>
    <n v="82"/>
    <n v="10"/>
    <n v="0.28999999999999998"/>
    <s v="Mobile"/>
    <n v="22"/>
    <n v="0"/>
    <n v="0"/>
    <n v="0"/>
    <n v="0"/>
    <x v="4"/>
  </r>
  <r>
    <x v="793"/>
    <s v="Male"/>
    <n v="38"/>
    <s v="FR"/>
    <s v="Free"/>
    <n v="205"/>
    <n v="71"/>
    <n v="0.23"/>
    <s v="Web"/>
    <n v="11"/>
    <n v="0"/>
    <n v="0"/>
    <n v="0"/>
    <n v="0"/>
    <x v="1"/>
  </r>
  <r>
    <x v="794"/>
    <s v="Female"/>
    <n v="40"/>
    <s v="CA"/>
    <s v="Free"/>
    <n v="141"/>
    <n v="79"/>
    <n v="0.46"/>
    <s v="Web"/>
    <n v="41"/>
    <n v="0"/>
    <n v="1"/>
    <n v="0"/>
    <n v="0"/>
    <x v="3"/>
  </r>
  <r>
    <x v="795"/>
    <s v="Other"/>
    <n v="28"/>
    <s v="IN"/>
    <s v="Free"/>
    <n v="110"/>
    <n v="49"/>
    <n v="0.43"/>
    <s v="Mobile"/>
    <n v="13"/>
    <n v="0"/>
    <n v="1"/>
    <n v="0"/>
    <n v="0"/>
    <x v="1"/>
  </r>
  <r>
    <x v="796"/>
    <s v="Other"/>
    <n v="46"/>
    <s v="PK"/>
    <s v="Free"/>
    <n v="190"/>
    <n v="88"/>
    <n v="0.41"/>
    <s v="Mobile"/>
    <n v="26"/>
    <n v="0"/>
    <n v="0"/>
    <n v="0"/>
    <n v="0"/>
    <x v="4"/>
  </r>
  <r>
    <x v="797"/>
    <s v="Other"/>
    <n v="21"/>
    <s v="UK"/>
    <s v="Free"/>
    <n v="203"/>
    <n v="70"/>
    <n v="0.56000000000000005"/>
    <s v="Desktop"/>
    <n v="20"/>
    <n v="0"/>
    <n v="1"/>
    <n v="0"/>
    <n v="0"/>
    <x v="4"/>
  </r>
  <r>
    <x v="798"/>
    <s v="Other"/>
    <n v="55"/>
    <s v="UK"/>
    <s v="Free"/>
    <n v="251"/>
    <n v="88"/>
    <n v="0.49"/>
    <s v="Mobile"/>
    <n v="37"/>
    <n v="0"/>
    <n v="0"/>
    <n v="0"/>
    <n v="0"/>
    <x v="0"/>
  </r>
  <r>
    <x v="799"/>
    <s v="Male"/>
    <n v="35"/>
    <s v="AU"/>
    <s v="Free"/>
    <n v="129"/>
    <n v="59"/>
    <n v="0.02"/>
    <s v="Mobile"/>
    <n v="32"/>
    <n v="0"/>
    <n v="0"/>
    <n v="0"/>
    <n v="0"/>
    <x v="0"/>
  </r>
  <r>
    <x v="800"/>
    <s v="Other"/>
    <n v="53"/>
    <s v="US"/>
    <s v="Free"/>
    <n v="100"/>
    <n v="42"/>
    <n v="0.01"/>
    <s v="Mobile"/>
    <n v="21"/>
    <n v="0"/>
    <n v="1"/>
    <n v="0"/>
    <n v="0"/>
    <x v="4"/>
  </r>
  <r>
    <x v="801"/>
    <s v="Other"/>
    <n v="25"/>
    <s v="PK"/>
    <s v="Free"/>
    <n v="100"/>
    <n v="63"/>
    <n v="0.46"/>
    <s v="Desktop"/>
    <n v="37"/>
    <n v="0"/>
    <n v="0"/>
    <n v="0"/>
    <n v="0"/>
    <x v="0"/>
  </r>
  <r>
    <x v="802"/>
    <s v="Female"/>
    <n v="18"/>
    <s v="UK"/>
    <s v="Free"/>
    <n v="243"/>
    <n v="37"/>
    <n v="0.53"/>
    <s v="Mobile"/>
    <n v="21"/>
    <n v="0"/>
    <n v="0"/>
    <n v="0"/>
    <n v="0"/>
    <x v="4"/>
  </r>
  <r>
    <x v="803"/>
    <s v="Female"/>
    <n v="16"/>
    <s v="CA"/>
    <s v="Free"/>
    <n v="24"/>
    <n v="19"/>
    <n v="0.5"/>
    <s v="Mobile"/>
    <n v="46"/>
    <n v="0"/>
    <n v="0"/>
    <n v="0"/>
    <n v="0"/>
    <x v="3"/>
  </r>
  <r>
    <x v="804"/>
    <s v="Male"/>
    <n v="38"/>
    <s v="CA"/>
    <s v="Free"/>
    <n v="85"/>
    <n v="67"/>
    <n v="0.4"/>
    <s v="Mobile"/>
    <n v="13"/>
    <n v="0"/>
    <n v="0"/>
    <n v="0"/>
    <n v="0"/>
    <x v="1"/>
  </r>
  <r>
    <x v="805"/>
    <s v="Other"/>
    <n v="22"/>
    <s v="AU"/>
    <s v="Free"/>
    <n v="256"/>
    <n v="18"/>
    <n v="0.02"/>
    <s v="Desktop"/>
    <n v="48"/>
    <n v="0"/>
    <n v="0"/>
    <n v="0"/>
    <n v="0"/>
    <x v="3"/>
  </r>
  <r>
    <x v="806"/>
    <s v="Female"/>
    <n v="37"/>
    <s v="UK"/>
    <s v="Free"/>
    <n v="38"/>
    <n v="5"/>
    <n v="0.48"/>
    <s v="Desktop"/>
    <n v="40"/>
    <n v="0"/>
    <n v="0"/>
    <n v="0"/>
    <n v="0"/>
    <x v="3"/>
  </r>
  <r>
    <x v="807"/>
    <s v="Female"/>
    <n v="25"/>
    <s v="CA"/>
    <s v="Free"/>
    <n v="263"/>
    <n v="36"/>
    <n v="0.19"/>
    <s v="Web"/>
    <n v="11"/>
    <n v="0"/>
    <n v="0"/>
    <n v="0"/>
    <n v="0"/>
    <x v="1"/>
  </r>
  <r>
    <x v="808"/>
    <s v="Male"/>
    <n v="34"/>
    <s v="FR"/>
    <s v="Free"/>
    <n v="64"/>
    <n v="34"/>
    <n v="0.5"/>
    <s v="Mobile"/>
    <n v="16"/>
    <n v="0"/>
    <n v="0"/>
    <n v="0"/>
    <n v="0"/>
    <x v="1"/>
  </r>
  <r>
    <x v="809"/>
    <s v="Female"/>
    <n v="48"/>
    <s v="CA"/>
    <s v="Free"/>
    <n v="291"/>
    <n v="55"/>
    <n v="0.1"/>
    <s v="Desktop"/>
    <n v="31"/>
    <n v="0"/>
    <n v="1"/>
    <n v="0"/>
    <n v="0"/>
    <x v="0"/>
  </r>
  <r>
    <x v="810"/>
    <s v="Male"/>
    <n v="59"/>
    <s v="US"/>
    <s v="Free"/>
    <n v="260"/>
    <n v="58"/>
    <n v="0.41"/>
    <s v="Desktop"/>
    <n v="5"/>
    <n v="0"/>
    <n v="1"/>
    <n v="0"/>
    <n v="0"/>
    <x v="2"/>
  </r>
  <r>
    <x v="811"/>
    <s v="Other"/>
    <n v="37"/>
    <s v="FR"/>
    <s v="Free"/>
    <n v="46"/>
    <n v="26"/>
    <n v="0.44"/>
    <s v="Mobile"/>
    <n v="40"/>
    <n v="0"/>
    <n v="0"/>
    <n v="0"/>
    <n v="0"/>
    <x v="3"/>
  </r>
  <r>
    <x v="812"/>
    <s v="Female"/>
    <n v="27"/>
    <s v="US"/>
    <s v="Free"/>
    <n v="226"/>
    <n v="20"/>
    <n v="0.53"/>
    <s v="Mobile"/>
    <n v="13"/>
    <n v="0"/>
    <n v="1"/>
    <n v="0"/>
    <n v="0"/>
    <x v="1"/>
  </r>
  <r>
    <x v="813"/>
    <s v="Other"/>
    <n v="44"/>
    <s v="PK"/>
    <s v="Free"/>
    <n v="270"/>
    <n v="37"/>
    <n v="7.0000000000000007E-2"/>
    <s v="Mobile"/>
    <n v="31"/>
    <n v="0"/>
    <n v="1"/>
    <n v="0"/>
    <n v="0"/>
    <x v="0"/>
  </r>
  <r>
    <x v="814"/>
    <s v="Other"/>
    <n v="23"/>
    <s v="US"/>
    <s v="Free"/>
    <n v="230"/>
    <n v="92"/>
    <n v="0.22"/>
    <s v="Web"/>
    <n v="18"/>
    <n v="0"/>
    <n v="1"/>
    <n v="0"/>
    <n v="0"/>
    <x v="1"/>
  </r>
  <r>
    <x v="815"/>
    <s v="Female"/>
    <n v="20"/>
    <s v="IN"/>
    <s v="Free"/>
    <n v="289"/>
    <n v="82"/>
    <n v="0.31"/>
    <s v="Desktop"/>
    <n v="18"/>
    <n v="0"/>
    <n v="0"/>
    <n v="0"/>
    <n v="0"/>
    <x v="1"/>
  </r>
  <r>
    <x v="816"/>
    <s v="Male"/>
    <n v="38"/>
    <s v="IN"/>
    <s v="Free"/>
    <n v="262"/>
    <n v="82"/>
    <n v="0.45"/>
    <s v="Desktop"/>
    <n v="46"/>
    <n v="0"/>
    <n v="0"/>
    <n v="0"/>
    <n v="0"/>
    <x v="3"/>
  </r>
  <r>
    <x v="817"/>
    <s v="Female"/>
    <n v="51"/>
    <s v="DE"/>
    <s v="Free"/>
    <n v="12"/>
    <n v="53"/>
    <n v="0.05"/>
    <s v="Mobile"/>
    <n v="14"/>
    <n v="0"/>
    <n v="1"/>
    <n v="0"/>
    <n v="0"/>
    <x v="1"/>
  </r>
  <r>
    <x v="818"/>
    <s v="Female"/>
    <n v="41"/>
    <s v="UK"/>
    <s v="Free"/>
    <n v="296"/>
    <n v="42"/>
    <n v="0.15"/>
    <s v="Mobile"/>
    <n v="37"/>
    <n v="0"/>
    <n v="0"/>
    <n v="0"/>
    <n v="0"/>
    <x v="0"/>
  </r>
  <r>
    <x v="819"/>
    <s v="Other"/>
    <n v="32"/>
    <s v="DE"/>
    <s v="Free"/>
    <n v="27"/>
    <n v="70"/>
    <n v="0.3"/>
    <s v="Web"/>
    <n v="34"/>
    <n v="0"/>
    <n v="0"/>
    <n v="0"/>
    <n v="0"/>
    <x v="0"/>
  </r>
  <r>
    <x v="820"/>
    <s v="Male"/>
    <n v="35"/>
    <s v="AU"/>
    <s v="Free"/>
    <n v="263"/>
    <n v="16"/>
    <n v="0.39"/>
    <s v="Mobile"/>
    <n v="21"/>
    <n v="0"/>
    <n v="0"/>
    <n v="0"/>
    <n v="0"/>
    <x v="4"/>
  </r>
  <r>
    <x v="821"/>
    <s v="Other"/>
    <n v="17"/>
    <s v="DE"/>
    <s v="Free"/>
    <n v="227"/>
    <n v="66"/>
    <n v="0.34"/>
    <s v="Web"/>
    <n v="44"/>
    <n v="0"/>
    <n v="1"/>
    <n v="0"/>
    <n v="0"/>
    <x v="3"/>
  </r>
  <r>
    <x v="822"/>
    <s v="Other"/>
    <n v="25"/>
    <s v="UK"/>
    <s v="Free"/>
    <n v="276"/>
    <n v="9"/>
    <n v="0.59"/>
    <s v="Web"/>
    <n v="37"/>
    <n v="0"/>
    <n v="0"/>
    <n v="0"/>
    <n v="0"/>
    <x v="0"/>
  </r>
  <r>
    <x v="823"/>
    <s v="Female"/>
    <n v="30"/>
    <s v="IN"/>
    <s v="Free"/>
    <n v="41"/>
    <n v="11"/>
    <n v="0.59"/>
    <s v="Mobile"/>
    <n v="5"/>
    <n v="0"/>
    <n v="1"/>
    <n v="0"/>
    <n v="0"/>
    <x v="2"/>
  </r>
  <r>
    <x v="824"/>
    <s v="Male"/>
    <n v="28"/>
    <s v="US"/>
    <s v="Free"/>
    <n v="170"/>
    <n v="25"/>
    <n v="0.16"/>
    <s v="Web"/>
    <n v="32"/>
    <n v="0"/>
    <n v="0"/>
    <n v="0"/>
    <n v="0"/>
    <x v="0"/>
  </r>
  <r>
    <x v="825"/>
    <s v="Female"/>
    <n v="49"/>
    <s v="DE"/>
    <s v="Free"/>
    <n v="74"/>
    <n v="12"/>
    <n v="0.49"/>
    <s v="Web"/>
    <n v="6"/>
    <n v="0"/>
    <n v="0"/>
    <n v="0"/>
    <n v="0"/>
    <x v="2"/>
  </r>
  <r>
    <x v="826"/>
    <s v="Male"/>
    <n v="40"/>
    <s v="US"/>
    <s v="Free"/>
    <n v="14"/>
    <n v="55"/>
    <n v="0.11"/>
    <s v="Desktop"/>
    <n v="24"/>
    <n v="0"/>
    <n v="0"/>
    <n v="0"/>
    <n v="0"/>
    <x v="4"/>
  </r>
  <r>
    <x v="827"/>
    <s v="Female"/>
    <n v="16"/>
    <s v="FR"/>
    <s v="Free"/>
    <n v="212"/>
    <n v="67"/>
    <n v="0.38"/>
    <s v="Desktop"/>
    <n v="18"/>
    <n v="0"/>
    <n v="0"/>
    <n v="0"/>
    <n v="0"/>
    <x v="1"/>
  </r>
  <r>
    <x v="828"/>
    <s v="Male"/>
    <n v="42"/>
    <s v="UK"/>
    <s v="Free"/>
    <n v="86"/>
    <n v="4"/>
    <n v="0.2"/>
    <s v="Desktop"/>
    <n v="29"/>
    <n v="0"/>
    <n v="0"/>
    <n v="0"/>
    <n v="0"/>
    <x v="4"/>
  </r>
  <r>
    <x v="829"/>
    <s v="Female"/>
    <n v="39"/>
    <s v="FR"/>
    <s v="Free"/>
    <n v="232"/>
    <n v="45"/>
    <n v="0.22"/>
    <s v="Web"/>
    <n v="12"/>
    <n v="0"/>
    <n v="1"/>
    <n v="0"/>
    <n v="0"/>
    <x v="1"/>
  </r>
  <r>
    <x v="830"/>
    <s v="Male"/>
    <n v="44"/>
    <s v="PK"/>
    <s v="Free"/>
    <n v="274"/>
    <n v="29"/>
    <n v="0.14000000000000001"/>
    <s v="Desktop"/>
    <n v="17"/>
    <n v="0"/>
    <n v="0"/>
    <n v="0"/>
    <n v="0"/>
    <x v="1"/>
  </r>
  <r>
    <x v="831"/>
    <s v="Female"/>
    <n v="54"/>
    <s v="IN"/>
    <s v="Free"/>
    <n v="20"/>
    <n v="50"/>
    <n v="0.31"/>
    <s v="Mobile"/>
    <n v="15"/>
    <n v="0"/>
    <n v="1"/>
    <n v="0"/>
    <n v="0"/>
    <x v="1"/>
  </r>
  <r>
    <x v="832"/>
    <s v="Female"/>
    <n v="44"/>
    <s v="AU"/>
    <s v="Free"/>
    <n v="77"/>
    <n v="39"/>
    <n v="0.53"/>
    <s v="Web"/>
    <n v="18"/>
    <n v="0"/>
    <n v="1"/>
    <n v="0"/>
    <n v="0"/>
    <x v="1"/>
  </r>
  <r>
    <x v="833"/>
    <s v="Other"/>
    <n v="58"/>
    <s v="IN"/>
    <s v="Free"/>
    <n v="113"/>
    <n v="62"/>
    <n v="0.48"/>
    <s v="Web"/>
    <n v="31"/>
    <n v="0"/>
    <n v="0"/>
    <n v="0"/>
    <n v="0"/>
    <x v="0"/>
  </r>
  <r>
    <x v="834"/>
    <s v="Male"/>
    <n v="33"/>
    <s v="UK"/>
    <s v="Free"/>
    <n v="45"/>
    <n v="64"/>
    <n v="0.12"/>
    <s v="Desktop"/>
    <n v="39"/>
    <n v="0"/>
    <n v="0"/>
    <n v="0"/>
    <n v="0"/>
    <x v="0"/>
  </r>
  <r>
    <x v="835"/>
    <s v="Other"/>
    <n v="24"/>
    <s v="CA"/>
    <s v="Free"/>
    <n v="150"/>
    <n v="53"/>
    <n v="0.21"/>
    <s v="Web"/>
    <n v="44"/>
    <n v="0"/>
    <n v="0"/>
    <n v="0"/>
    <n v="0"/>
    <x v="3"/>
  </r>
  <r>
    <x v="836"/>
    <s v="Other"/>
    <n v="22"/>
    <s v="PK"/>
    <s v="Free"/>
    <n v="217"/>
    <n v="74"/>
    <n v="0.55000000000000004"/>
    <s v="Mobile"/>
    <n v="13"/>
    <n v="0"/>
    <n v="0"/>
    <n v="0"/>
    <n v="0"/>
    <x v="1"/>
  </r>
  <r>
    <x v="837"/>
    <s v="Female"/>
    <n v="57"/>
    <s v="FR"/>
    <s v="Free"/>
    <n v="75"/>
    <n v="62"/>
    <n v="0.49"/>
    <s v="Mobile"/>
    <n v="44"/>
    <n v="0"/>
    <n v="0"/>
    <n v="0"/>
    <n v="0"/>
    <x v="3"/>
  </r>
  <r>
    <x v="838"/>
    <s v="Male"/>
    <n v="42"/>
    <s v="US"/>
    <s v="Free"/>
    <n v="204"/>
    <n v="32"/>
    <n v="0.05"/>
    <s v="Web"/>
    <n v="36"/>
    <n v="0"/>
    <n v="1"/>
    <n v="0"/>
    <n v="0"/>
    <x v="0"/>
  </r>
  <r>
    <x v="839"/>
    <s v="Male"/>
    <n v="21"/>
    <s v="UK"/>
    <s v="Free"/>
    <n v="183"/>
    <n v="51"/>
    <n v="0.55000000000000004"/>
    <s v="Desktop"/>
    <n v="21"/>
    <n v="0"/>
    <n v="0"/>
    <n v="0"/>
    <n v="0"/>
    <x v="4"/>
  </r>
  <r>
    <x v="840"/>
    <s v="Male"/>
    <n v="56"/>
    <s v="UK"/>
    <s v="Free"/>
    <n v="287"/>
    <n v="21"/>
    <n v="0.28999999999999998"/>
    <s v="Web"/>
    <n v="34"/>
    <n v="0"/>
    <n v="1"/>
    <n v="0"/>
    <n v="0"/>
    <x v="0"/>
  </r>
  <r>
    <x v="841"/>
    <s v="Other"/>
    <n v="33"/>
    <s v="CA"/>
    <s v="Free"/>
    <n v="298"/>
    <n v="86"/>
    <n v="0.26"/>
    <s v="Mobile"/>
    <n v="24"/>
    <n v="0"/>
    <n v="0"/>
    <n v="0"/>
    <n v="0"/>
    <x v="4"/>
  </r>
  <r>
    <x v="842"/>
    <s v="Other"/>
    <n v="52"/>
    <s v="AU"/>
    <s v="Free"/>
    <n v="226"/>
    <n v="6"/>
    <n v="0.3"/>
    <s v="Web"/>
    <n v="18"/>
    <n v="0"/>
    <n v="1"/>
    <n v="0"/>
    <n v="0"/>
    <x v="1"/>
  </r>
  <r>
    <x v="843"/>
    <s v="Other"/>
    <n v="59"/>
    <s v="DE"/>
    <s v="Free"/>
    <n v="206"/>
    <n v="23"/>
    <n v="0.28999999999999998"/>
    <s v="Web"/>
    <n v="9"/>
    <n v="0"/>
    <n v="0"/>
    <n v="0"/>
    <n v="0"/>
    <x v="2"/>
  </r>
  <r>
    <x v="844"/>
    <s v="Male"/>
    <n v="45"/>
    <s v="IN"/>
    <s v="Free"/>
    <n v="43"/>
    <n v="80"/>
    <n v="0.49"/>
    <s v="Mobile"/>
    <n v="13"/>
    <n v="0"/>
    <n v="1"/>
    <n v="0"/>
    <n v="0"/>
    <x v="1"/>
  </r>
  <r>
    <x v="845"/>
    <s v="Other"/>
    <n v="35"/>
    <s v="CA"/>
    <s v="Free"/>
    <n v="211"/>
    <n v="50"/>
    <n v="0.28999999999999998"/>
    <s v="Desktop"/>
    <n v="12"/>
    <n v="0"/>
    <n v="0"/>
    <n v="0"/>
    <n v="0"/>
    <x v="1"/>
  </r>
  <r>
    <x v="846"/>
    <s v="Other"/>
    <n v="52"/>
    <s v="CA"/>
    <s v="Free"/>
    <n v="169"/>
    <n v="35"/>
    <n v="0.33"/>
    <s v="Web"/>
    <n v="34"/>
    <n v="0"/>
    <n v="0"/>
    <n v="0"/>
    <n v="0"/>
    <x v="0"/>
  </r>
  <r>
    <x v="847"/>
    <s v="Male"/>
    <n v="49"/>
    <s v="CA"/>
    <s v="Free"/>
    <n v="142"/>
    <n v="22"/>
    <n v="0.42"/>
    <s v="Web"/>
    <n v="12"/>
    <n v="0"/>
    <n v="1"/>
    <n v="0"/>
    <n v="0"/>
    <x v="1"/>
  </r>
  <r>
    <x v="848"/>
    <s v="Male"/>
    <n v="17"/>
    <s v="US"/>
    <s v="Free"/>
    <n v="66"/>
    <n v="19"/>
    <n v="0.06"/>
    <s v="Desktop"/>
    <n v="49"/>
    <n v="0"/>
    <n v="0"/>
    <n v="0"/>
    <n v="0"/>
    <x v="3"/>
  </r>
  <r>
    <x v="849"/>
    <s v="Male"/>
    <n v="35"/>
    <s v="UK"/>
    <s v="Free"/>
    <n v="170"/>
    <n v="78"/>
    <n v="0.28000000000000003"/>
    <s v="Desktop"/>
    <n v="39"/>
    <n v="0"/>
    <n v="0"/>
    <n v="0"/>
    <n v="0"/>
    <x v="0"/>
  </r>
  <r>
    <x v="850"/>
    <s v="Female"/>
    <n v="40"/>
    <s v="US"/>
    <s v="Free"/>
    <n v="204"/>
    <n v="12"/>
    <n v="0.54"/>
    <s v="Desktop"/>
    <n v="31"/>
    <n v="0"/>
    <n v="1"/>
    <n v="0"/>
    <n v="0"/>
    <x v="0"/>
  </r>
  <r>
    <x v="851"/>
    <s v="Female"/>
    <n v="36"/>
    <s v="IN"/>
    <s v="Free"/>
    <n v="221"/>
    <n v="32"/>
    <n v="0.02"/>
    <s v="Mobile"/>
    <n v="36"/>
    <n v="0"/>
    <n v="0"/>
    <n v="0"/>
    <n v="0"/>
    <x v="0"/>
  </r>
  <r>
    <x v="852"/>
    <s v="Male"/>
    <n v="49"/>
    <s v="AU"/>
    <s v="Free"/>
    <n v="73"/>
    <n v="93"/>
    <n v="0.45"/>
    <s v="Desktop"/>
    <n v="20"/>
    <n v="0"/>
    <n v="1"/>
    <n v="0"/>
    <n v="0"/>
    <x v="4"/>
  </r>
  <r>
    <x v="853"/>
    <s v="Female"/>
    <n v="33"/>
    <s v="PK"/>
    <s v="Free"/>
    <n v="83"/>
    <n v="71"/>
    <n v="0.21"/>
    <s v="Desktop"/>
    <n v="46"/>
    <n v="0"/>
    <n v="1"/>
    <n v="0"/>
    <n v="0"/>
    <x v="3"/>
  </r>
  <r>
    <x v="854"/>
    <s v="Other"/>
    <n v="33"/>
    <s v="UK"/>
    <s v="Free"/>
    <n v="39"/>
    <n v="69"/>
    <n v="0.39"/>
    <s v="Mobile"/>
    <n v="22"/>
    <n v="0"/>
    <n v="0"/>
    <n v="0"/>
    <n v="0"/>
    <x v="4"/>
  </r>
  <r>
    <x v="855"/>
    <s v="Female"/>
    <n v="16"/>
    <s v="AU"/>
    <s v="Free"/>
    <n v="232"/>
    <n v="26"/>
    <n v="0.09"/>
    <s v="Web"/>
    <n v="26"/>
    <n v="0"/>
    <n v="1"/>
    <n v="0"/>
    <n v="0"/>
    <x v="4"/>
  </r>
  <r>
    <x v="856"/>
    <s v="Female"/>
    <n v="18"/>
    <s v="UK"/>
    <s v="Free"/>
    <n v="201"/>
    <n v="68"/>
    <n v="0.52"/>
    <s v="Desktop"/>
    <n v="12"/>
    <n v="0"/>
    <n v="0"/>
    <n v="0"/>
    <n v="0"/>
    <x v="1"/>
  </r>
  <r>
    <x v="857"/>
    <s v="Male"/>
    <n v="48"/>
    <s v="FR"/>
    <s v="Free"/>
    <n v="100"/>
    <n v="52"/>
    <n v="0.31"/>
    <s v="Web"/>
    <n v="13"/>
    <n v="0"/>
    <n v="0"/>
    <n v="0"/>
    <n v="0"/>
    <x v="1"/>
  </r>
  <r>
    <x v="858"/>
    <s v="Other"/>
    <n v="51"/>
    <s v="UK"/>
    <s v="Free"/>
    <n v="211"/>
    <n v="2"/>
    <n v="0.1"/>
    <s v="Web"/>
    <n v="6"/>
    <n v="0"/>
    <n v="0"/>
    <n v="0"/>
    <n v="0"/>
    <x v="2"/>
  </r>
  <r>
    <x v="859"/>
    <s v="Male"/>
    <n v="27"/>
    <s v="AU"/>
    <s v="Free"/>
    <n v="140"/>
    <n v="15"/>
    <n v="0.56999999999999995"/>
    <s v="Desktop"/>
    <n v="40"/>
    <n v="0"/>
    <n v="0"/>
    <n v="0"/>
    <n v="0"/>
    <x v="3"/>
  </r>
  <r>
    <x v="860"/>
    <s v="Other"/>
    <n v="54"/>
    <s v="UK"/>
    <s v="Free"/>
    <n v="197"/>
    <n v="39"/>
    <n v="0.34"/>
    <s v="Mobile"/>
    <n v="29"/>
    <n v="0"/>
    <n v="0"/>
    <n v="0"/>
    <n v="0"/>
    <x v="4"/>
  </r>
  <r>
    <x v="861"/>
    <s v="Female"/>
    <n v="52"/>
    <s v="US"/>
    <s v="Free"/>
    <n v="145"/>
    <n v="55"/>
    <n v="0.22"/>
    <s v="Desktop"/>
    <n v="16"/>
    <n v="0"/>
    <n v="0"/>
    <n v="0"/>
    <n v="0"/>
    <x v="1"/>
  </r>
  <r>
    <x v="862"/>
    <s v="Female"/>
    <n v="29"/>
    <s v="US"/>
    <s v="Free"/>
    <n v="189"/>
    <n v="54"/>
    <n v="0.26"/>
    <s v="Desktop"/>
    <n v="34"/>
    <n v="0"/>
    <n v="0"/>
    <n v="0"/>
    <n v="0"/>
    <x v="0"/>
  </r>
  <r>
    <x v="863"/>
    <s v="Other"/>
    <n v="19"/>
    <s v="PK"/>
    <s v="Free"/>
    <n v="129"/>
    <n v="27"/>
    <n v="0.51"/>
    <s v="Web"/>
    <n v="33"/>
    <n v="0"/>
    <n v="0"/>
    <n v="0"/>
    <n v="0"/>
    <x v="0"/>
  </r>
  <r>
    <x v="864"/>
    <s v="Male"/>
    <n v="56"/>
    <s v="IN"/>
    <s v="Free"/>
    <n v="43"/>
    <n v="21"/>
    <n v="0.13"/>
    <s v="Desktop"/>
    <n v="45"/>
    <n v="0"/>
    <n v="0"/>
    <n v="0"/>
    <n v="0"/>
    <x v="3"/>
  </r>
  <r>
    <x v="865"/>
    <s v="Male"/>
    <n v="19"/>
    <s v="DE"/>
    <s v="Free"/>
    <n v="19"/>
    <n v="88"/>
    <n v="0"/>
    <s v="Web"/>
    <n v="41"/>
    <n v="0"/>
    <n v="0"/>
    <n v="0"/>
    <n v="0"/>
    <x v="3"/>
  </r>
  <r>
    <x v="866"/>
    <s v="Other"/>
    <n v="30"/>
    <s v="IN"/>
    <s v="Free"/>
    <n v="272"/>
    <n v="80"/>
    <n v="0.04"/>
    <s v="Desktop"/>
    <n v="18"/>
    <n v="0"/>
    <n v="0"/>
    <n v="0"/>
    <n v="0"/>
    <x v="1"/>
  </r>
  <r>
    <x v="867"/>
    <s v="Female"/>
    <n v="42"/>
    <s v="DE"/>
    <s v="Free"/>
    <n v="259"/>
    <n v="5"/>
    <n v="0.32"/>
    <s v="Mobile"/>
    <n v="17"/>
    <n v="0"/>
    <n v="1"/>
    <n v="0"/>
    <n v="0"/>
    <x v="1"/>
  </r>
  <r>
    <x v="868"/>
    <s v="Male"/>
    <n v="54"/>
    <s v="IN"/>
    <s v="Free"/>
    <n v="19"/>
    <n v="80"/>
    <n v="0.38"/>
    <s v="Desktop"/>
    <n v="44"/>
    <n v="0"/>
    <n v="0"/>
    <n v="0"/>
    <n v="0"/>
    <x v="3"/>
  </r>
  <r>
    <x v="869"/>
    <s v="Other"/>
    <n v="58"/>
    <s v="DE"/>
    <s v="Free"/>
    <n v="155"/>
    <n v="39"/>
    <n v="0.14000000000000001"/>
    <s v="Desktop"/>
    <n v="24"/>
    <n v="0"/>
    <n v="0"/>
    <n v="0"/>
    <n v="0"/>
    <x v="4"/>
  </r>
  <r>
    <x v="870"/>
    <s v="Female"/>
    <n v="22"/>
    <s v="UK"/>
    <s v="Free"/>
    <n v="98"/>
    <n v="83"/>
    <n v="0.5"/>
    <s v="Mobile"/>
    <n v="13"/>
    <n v="0"/>
    <n v="0"/>
    <n v="0"/>
    <n v="0"/>
    <x v="1"/>
  </r>
  <r>
    <x v="871"/>
    <s v="Other"/>
    <n v="39"/>
    <s v="DE"/>
    <s v="Free"/>
    <n v="113"/>
    <n v="79"/>
    <n v="0.27"/>
    <s v="Web"/>
    <n v="20"/>
    <n v="0"/>
    <n v="0"/>
    <n v="0"/>
    <n v="0"/>
    <x v="4"/>
  </r>
  <r>
    <x v="872"/>
    <s v="Male"/>
    <n v="55"/>
    <s v="IN"/>
    <s v="Free"/>
    <n v="141"/>
    <n v="69"/>
    <n v="0.19"/>
    <s v="Web"/>
    <n v="17"/>
    <n v="0"/>
    <n v="0"/>
    <n v="0"/>
    <n v="0"/>
    <x v="1"/>
  </r>
  <r>
    <x v="873"/>
    <s v="Male"/>
    <n v="41"/>
    <s v="US"/>
    <s v="Free"/>
    <n v="75"/>
    <n v="7"/>
    <n v="0.38"/>
    <s v="Desktop"/>
    <n v="35"/>
    <n v="0"/>
    <n v="1"/>
    <n v="0"/>
    <n v="0"/>
    <x v="0"/>
  </r>
  <r>
    <x v="874"/>
    <s v="Female"/>
    <n v="52"/>
    <s v="CA"/>
    <s v="Free"/>
    <n v="191"/>
    <n v="6"/>
    <n v="0.42"/>
    <s v="Web"/>
    <n v="45"/>
    <n v="0"/>
    <n v="1"/>
    <n v="0"/>
    <n v="0"/>
    <x v="3"/>
  </r>
  <r>
    <x v="875"/>
    <s v="Other"/>
    <n v="16"/>
    <s v="PK"/>
    <s v="Free"/>
    <n v="195"/>
    <n v="96"/>
    <n v="0.14000000000000001"/>
    <s v="Desktop"/>
    <n v="37"/>
    <n v="0"/>
    <n v="0"/>
    <n v="0"/>
    <n v="0"/>
    <x v="0"/>
  </r>
  <r>
    <x v="876"/>
    <s v="Female"/>
    <n v="46"/>
    <s v="AU"/>
    <s v="Free"/>
    <n v="37"/>
    <n v="69"/>
    <n v="0.46"/>
    <s v="Mobile"/>
    <n v="32"/>
    <n v="0"/>
    <n v="0"/>
    <n v="0"/>
    <n v="0"/>
    <x v="0"/>
  </r>
  <r>
    <x v="877"/>
    <s v="Female"/>
    <n v="43"/>
    <s v="IN"/>
    <s v="Free"/>
    <n v="100"/>
    <n v="72"/>
    <n v="0.17"/>
    <s v="Desktop"/>
    <n v="14"/>
    <n v="0"/>
    <n v="0"/>
    <n v="0"/>
    <n v="0"/>
    <x v="1"/>
  </r>
  <r>
    <x v="878"/>
    <s v="Other"/>
    <n v="48"/>
    <s v="AU"/>
    <s v="Free"/>
    <n v="104"/>
    <n v="33"/>
    <n v="0.56000000000000005"/>
    <s v="Web"/>
    <n v="22"/>
    <n v="0"/>
    <n v="0"/>
    <n v="0"/>
    <n v="0"/>
    <x v="4"/>
  </r>
  <r>
    <x v="879"/>
    <s v="Female"/>
    <n v="42"/>
    <s v="CA"/>
    <s v="Free"/>
    <n v="232"/>
    <n v="1"/>
    <n v="0.56999999999999995"/>
    <s v="Desktop"/>
    <n v="49"/>
    <n v="0"/>
    <n v="0"/>
    <n v="0"/>
    <n v="0"/>
    <x v="3"/>
  </r>
  <r>
    <x v="880"/>
    <s v="Female"/>
    <n v="59"/>
    <s v="DE"/>
    <s v="Free"/>
    <n v="16"/>
    <n v="20"/>
    <n v="0.53"/>
    <s v="Desktop"/>
    <n v="13"/>
    <n v="0"/>
    <n v="1"/>
    <n v="0"/>
    <n v="0"/>
    <x v="1"/>
  </r>
  <r>
    <x v="881"/>
    <s v="Other"/>
    <n v="36"/>
    <s v="FR"/>
    <s v="Free"/>
    <n v="198"/>
    <n v="20"/>
    <n v="0.46"/>
    <s v="Web"/>
    <n v="7"/>
    <n v="0"/>
    <n v="1"/>
    <n v="0"/>
    <n v="0"/>
    <x v="2"/>
  </r>
  <r>
    <x v="882"/>
    <s v="Male"/>
    <n v="49"/>
    <s v="UK"/>
    <s v="Free"/>
    <n v="233"/>
    <n v="62"/>
    <n v="0.26"/>
    <s v="Web"/>
    <n v="32"/>
    <n v="0"/>
    <n v="0"/>
    <n v="0"/>
    <n v="0"/>
    <x v="0"/>
  </r>
  <r>
    <x v="883"/>
    <s v="Male"/>
    <n v="36"/>
    <s v="US"/>
    <s v="Free"/>
    <n v="231"/>
    <n v="96"/>
    <n v="0.57999999999999996"/>
    <s v="Mobile"/>
    <n v="25"/>
    <n v="0"/>
    <n v="1"/>
    <n v="0"/>
    <n v="0"/>
    <x v="4"/>
  </r>
  <r>
    <x v="884"/>
    <s v="Other"/>
    <n v="29"/>
    <s v="AU"/>
    <s v="Free"/>
    <n v="169"/>
    <n v="32"/>
    <n v="0.26"/>
    <s v="Web"/>
    <n v="27"/>
    <n v="0"/>
    <n v="0"/>
    <n v="0"/>
    <n v="0"/>
    <x v="4"/>
  </r>
  <r>
    <x v="885"/>
    <s v="Male"/>
    <n v="50"/>
    <s v="UK"/>
    <s v="Free"/>
    <n v="204"/>
    <n v="92"/>
    <n v="0.15"/>
    <s v="Web"/>
    <n v="26"/>
    <n v="0"/>
    <n v="1"/>
    <n v="0"/>
    <n v="0"/>
    <x v="4"/>
  </r>
  <r>
    <x v="886"/>
    <s v="Male"/>
    <n v="55"/>
    <s v="UK"/>
    <s v="Free"/>
    <n v="266"/>
    <n v="74"/>
    <n v="0.01"/>
    <s v="Mobile"/>
    <n v="7"/>
    <n v="0"/>
    <n v="0"/>
    <n v="0"/>
    <n v="0"/>
    <x v="2"/>
  </r>
  <r>
    <x v="887"/>
    <s v="Male"/>
    <n v="24"/>
    <s v="CA"/>
    <s v="Free"/>
    <n v="291"/>
    <n v="43"/>
    <n v="0.05"/>
    <s v="Desktop"/>
    <n v="25"/>
    <n v="0"/>
    <n v="1"/>
    <n v="0"/>
    <n v="0"/>
    <x v="4"/>
  </r>
  <r>
    <x v="888"/>
    <s v="Male"/>
    <n v="42"/>
    <s v="DE"/>
    <s v="Free"/>
    <n v="37"/>
    <n v="98"/>
    <n v="0.26"/>
    <s v="Desktop"/>
    <n v="30"/>
    <n v="0"/>
    <n v="0"/>
    <n v="0"/>
    <n v="0"/>
    <x v="0"/>
  </r>
  <r>
    <x v="889"/>
    <s v="Female"/>
    <n v="16"/>
    <s v="PK"/>
    <s v="Free"/>
    <n v="145"/>
    <n v="48"/>
    <n v="0.52"/>
    <s v="Desktop"/>
    <n v="44"/>
    <n v="0"/>
    <n v="0"/>
    <n v="0"/>
    <n v="0"/>
    <x v="3"/>
  </r>
  <r>
    <x v="890"/>
    <s v="Other"/>
    <n v="29"/>
    <s v="PK"/>
    <s v="Free"/>
    <n v="298"/>
    <n v="35"/>
    <n v="0.24"/>
    <s v="Mobile"/>
    <n v="10"/>
    <n v="0"/>
    <n v="0"/>
    <n v="0"/>
    <n v="0"/>
    <x v="1"/>
  </r>
  <r>
    <x v="891"/>
    <s v="Male"/>
    <n v="37"/>
    <s v="DE"/>
    <s v="Free"/>
    <n v="278"/>
    <n v="70"/>
    <n v="0.18"/>
    <s v="Mobile"/>
    <n v="21"/>
    <n v="0"/>
    <n v="0"/>
    <n v="0"/>
    <n v="0"/>
    <x v="4"/>
  </r>
  <r>
    <x v="892"/>
    <s v="Male"/>
    <n v="43"/>
    <s v="UK"/>
    <s v="Free"/>
    <n v="78"/>
    <n v="3"/>
    <n v="0.32"/>
    <s v="Desktop"/>
    <n v="33"/>
    <n v="0"/>
    <n v="0"/>
    <n v="0"/>
    <n v="0"/>
    <x v="0"/>
  </r>
  <r>
    <x v="893"/>
    <s v="Female"/>
    <n v="26"/>
    <s v="CA"/>
    <s v="Free"/>
    <n v="122"/>
    <n v="2"/>
    <n v="0.36"/>
    <s v="Web"/>
    <n v="31"/>
    <n v="0"/>
    <n v="0"/>
    <n v="0"/>
    <n v="0"/>
    <x v="0"/>
  </r>
  <r>
    <x v="894"/>
    <s v="Male"/>
    <n v="38"/>
    <s v="FR"/>
    <s v="Free"/>
    <n v="74"/>
    <n v="47"/>
    <n v="0.19"/>
    <s v="Web"/>
    <n v="23"/>
    <n v="0"/>
    <n v="0"/>
    <n v="0"/>
    <n v="0"/>
    <x v="4"/>
  </r>
  <r>
    <x v="895"/>
    <s v="Male"/>
    <n v="18"/>
    <s v="CA"/>
    <s v="Free"/>
    <n v="116"/>
    <n v="85"/>
    <n v="0.19"/>
    <s v="Web"/>
    <n v="29"/>
    <n v="0"/>
    <n v="1"/>
    <n v="0"/>
    <n v="0"/>
    <x v="4"/>
  </r>
  <r>
    <x v="896"/>
    <s v="Other"/>
    <n v="49"/>
    <s v="AU"/>
    <s v="Free"/>
    <n v="231"/>
    <n v="82"/>
    <n v="0.11"/>
    <s v="Desktop"/>
    <n v="36"/>
    <n v="0"/>
    <n v="0"/>
    <n v="0"/>
    <n v="0"/>
    <x v="0"/>
  </r>
  <r>
    <x v="897"/>
    <s v="Other"/>
    <n v="22"/>
    <s v="DE"/>
    <s v="Free"/>
    <n v="278"/>
    <n v="40"/>
    <n v="0.25"/>
    <s v="Mobile"/>
    <n v="33"/>
    <n v="0"/>
    <n v="0"/>
    <n v="0"/>
    <n v="0"/>
    <x v="0"/>
  </r>
  <r>
    <x v="898"/>
    <s v="Male"/>
    <n v="44"/>
    <s v="AU"/>
    <s v="Free"/>
    <n v="34"/>
    <n v="74"/>
    <n v="0.19"/>
    <s v="Mobile"/>
    <n v="27"/>
    <n v="0"/>
    <n v="0"/>
    <n v="0"/>
    <n v="0"/>
    <x v="4"/>
  </r>
  <r>
    <x v="899"/>
    <s v="Other"/>
    <n v="57"/>
    <s v="AU"/>
    <s v="Free"/>
    <n v="69"/>
    <n v="21"/>
    <n v="0.41"/>
    <s v="Mobile"/>
    <n v="27"/>
    <n v="0"/>
    <n v="0"/>
    <n v="0"/>
    <n v="0"/>
    <x v="4"/>
  </r>
  <r>
    <x v="900"/>
    <s v="Female"/>
    <n v="26"/>
    <s v="CA"/>
    <s v="Free"/>
    <n v="115"/>
    <n v="12"/>
    <n v="0.11"/>
    <s v="Mobile"/>
    <n v="30"/>
    <n v="0"/>
    <n v="0"/>
    <n v="0"/>
    <n v="0"/>
    <x v="0"/>
  </r>
  <r>
    <x v="901"/>
    <s v="Male"/>
    <n v="33"/>
    <s v="PK"/>
    <s v="Free"/>
    <n v="104"/>
    <n v="18"/>
    <n v="0.4"/>
    <s v="Desktop"/>
    <n v="17"/>
    <n v="0"/>
    <n v="0"/>
    <n v="0"/>
    <n v="0"/>
    <x v="1"/>
  </r>
  <r>
    <x v="902"/>
    <s v="Female"/>
    <n v="44"/>
    <s v="PK"/>
    <s v="Free"/>
    <n v="279"/>
    <n v="6"/>
    <n v="0.57999999999999996"/>
    <s v="Web"/>
    <n v="43"/>
    <n v="0"/>
    <n v="0"/>
    <n v="0"/>
    <n v="0"/>
    <x v="3"/>
  </r>
  <r>
    <x v="903"/>
    <s v="Female"/>
    <n v="44"/>
    <s v="PK"/>
    <s v="Free"/>
    <n v="68"/>
    <n v="32"/>
    <n v="0.18"/>
    <s v="Web"/>
    <n v="35"/>
    <n v="0"/>
    <n v="1"/>
    <n v="0"/>
    <n v="0"/>
    <x v="0"/>
  </r>
  <r>
    <x v="904"/>
    <s v="Other"/>
    <n v="59"/>
    <s v="UK"/>
    <s v="Free"/>
    <n v="44"/>
    <n v="36"/>
    <n v="0.28999999999999998"/>
    <s v="Web"/>
    <n v="36"/>
    <n v="0"/>
    <n v="0"/>
    <n v="0"/>
    <n v="0"/>
    <x v="0"/>
  </r>
  <r>
    <x v="905"/>
    <s v="Female"/>
    <n v="49"/>
    <s v="US"/>
    <s v="Free"/>
    <n v="211"/>
    <n v="91"/>
    <n v="0.34"/>
    <s v="Mobile"/>
    <n v="26"/>
    <n v="0"/>
    <n v="0"/>
    <n v="0"/>
    <n v="0"/>
    <x v="4"/>
  </r>
  <r>
    <x v="906"/>
    <s v="Other"/>
    <n v="43"/>
    <s v="PK"/>
    <s v="Free"/>
    <n v="218"/>
    <n v="53"/>
    <n v="0.02"/>
    <s v="Web"/>
    <n v="40"/>
    <n v="0"/>
    <n v="0"/>
    <n v="0"/>
    <n v="0"/>
    <x v="3"/>
  </r>
  <r>
    <x v="907"/>
    <s v="Other"/>
    <n v="35"/>
    <s v="CA"/>
    <s v="Free"/>
    <n v="218"/>
    <n v="97"/>
    <n v="0.53"/>
    <s v="Web"/>
    <n v="13"/>
    <n v="0"/>
    <n v="0"/>
    <n v="0"/>
    <n v="0"/>
    <x v="1"/>
  </r>
  <r>
    <x v="908"/>
    <s v="Male"/>
    <n v="41"/>
    <s v="AU"/>
    <s v="Free"/>
    <n v="276"/>
    <n v="35"/>
    <n v="0.59"/>
    <s v="Web"/>
    <n v="43"/>
    <n v="0"/>
    <n v="1"/>
    <n v="0"/>
    <n v="0"/>
    <x v="3"/>
  </r>
  <r>
    <x v="909"/>
    <s v="Female"/>
    <n v="58"/>
    <s v="FR"/>
    <s v="Free"/>
    <n v="103"/>
    <n v="86"/>
    <n v="0.19"/>
    <s v="Web"/>
    <n v="20"/>
    <n v="0"/>
    <n v="0"/>
    <n v="0"/>
    <n v="0"/>
    <x v="4"/>
  </r>
  <r>
    <x v="910"/>
    <s v="Female"/>
    <n v="41"/>
    <s v="IN"/>
    <s v="Free"/>
    <n v="196"/>
    <n v="98"/>
    <n v="0.24"/>
    <s v="Mobile"/>
    <n v="13"/>
    <n v="0"/>
    <n v="0"/>
    <n v="0"/>
    <n v="0"/>
    <x v="1"/>
  </r>
  <r>
    <x v="911"/>
    <s v="Male"/>
    <n v="23"/>
    <s v="CA"/>
    <s v="Free"/>
    <n v="201"/>
    <n v="16"/>
    <n v="0.1"/>
    <s v="Mobile"/>
    <n v="45"/>
    <n v="0"/>
    <n v="0"/>
    <n v="0"/>
    <n v="0"/>
    <x v="3"/>
  </r>
  <r>
    <x v="912"/>
    <s v="Other"/>
    <n v="34"/>
    <s v="CA"/>
    <s v="Free"/>
    <n v="265"/>
    <n v="96"/>
    <n v="0.3"/>
    <s v="Web"/>
    <n v="20"/>
    <n v="0"/>
    <n v="0"/>
    <n v="0"/>
    <n v="0"/>
    <x v="4"/>
  </r>
  <r>
    <x v="913"/>
    <s v="Female"/>
    <n v="35"/>
    <s v="US"/>
    <s v="Free"/>
    <n v="166"/>
    <n v="7"/>
    <n v="0.24"/>
    <s v="Web"/>
    <n v="11"/>
    <n v="0"/>
    <n v="0"/>
    <n v="0"/>
    <n v="0"/>
    <x v="1"/>
  </r>
  <r>
    <x v="914"/>
    <s v="Male"/>
    <n v="30"/>
    <s v="US"/>
    <s v="Free"/>
    <n v="154"/>
    <n v="33"/>
    <n v="0.27"/>
    <s v="Desktop"/>
    <n v="19"/>
    <n v="0"/>
    <n v="1"/>
    <n v="0"/>
    <n v="0"/>
    <x v="1"/>
  </r>
  <r>
    <x v="915"/>
    <s v="Other"/>
    <n v="39"/>
    <s v="UK"/>
    <s v="Free"/>
    <n v="215"/>
    <n v="11"/>
    <n v="0.52"/>
    <s v="Mobile"/>
    <n v="23"/>
    <n v="0"/>
    <n v="1"/>
    <n v="0"/>
    <n v="0"/>
    <x v="4"/>
  </r>
  <r>
    <x v="916"/>
    <s v="Other"/>
    <n v="29"/>
    <s v="CA"/>
    <s v="Free"/>
    <n v="280"/>
    <n v="84"/>
    <n v="0.51"/>
    <s v="Mobile"/>
    <n v="46"/>
    <n v="0"/>
    <n v="0"/>
    <n v="0"/>
    <n v="0"/>
    <x v="3"/>
  </r>
  <r>
    <x v="917"/>
    <s v="Other"/>
    <n v="21"/>
    <s v="US"/>
    <s v="Free"/>
    <n v="289"/>
    <n v="63"/>
    <n v="0.2"/>
    <s v="Web"/>
    <n v="35"/>
    <n v="0"/>
    <n v="0"/>
    <n v="0"/>
    <n v="0"/>
    <x v="0"/>
  </r>
  <r>
    <x v="918"/>
    <s v="Male"/>
    <n v="24"/>
    <s v="US"/>
    <s v="Free"/>
    <n v="42"/>
    <n v="60"/>
    <n v="0.28999999999999998"/>
    <s v="Mobile"/>
    <n v="22"/>
    <n v="0"/>
    <n v="0"/>
    <n v="0"/>
    <n v="0"/>
    <x v="4"/>
  </r>
  <r>
    <x v="919"/>
    <s v="Male"/>
    <n v="16"/>
    <s v="US"/>
    <s v="Free"/>
    <n v="173"/>
    <n v="65"/>
    <n v="0.5"/>
    <s v="Web"/>
    <n v="34"/>
    <n v="0"/>
    <n v="0"/>
    <n v="0"/>
    <n v="0"/>
    <x v="0"/>
  </r>
  <r>
    <x v="920"/>
    <s v="Male"/>
    <n v="38"/>
    <s v="US"/>
    <s v="Free"/>
    <n v="209"/>
    <n v="81"/>
    <n v="0.39"/>
    <s v="Web"/>
    <n v="39"/>
    <n v="0"/>
    <n v="0"/>
    <n v="0"/>
    <n v="0"/>
    <x v="0"/>
  </r>
  <r>
    <x v="921"/>
    <s v="Male"/>
    <n v="49"/>
    <s v="PK"/>
    <s v="Free"/>
    <n v="96"/>
    <n v="2"/>
    <n v="0.28999999999999998"/>
    <s v="Mobile"/>
    <n v="15"/>
    <n v="0"/>
    <n v="0"/>
    <n v="0"/>
    <n v="0"/>
    <x v="1"/>
  </r>
  <r>
    <x v="922"/>
    <s v="Male"/>
    <n v="24"/>
    <s v="PK"/>
    <s v="Free"/>
    <n v="226"/>
    <n v="29"/>
    <n v="0.31"/>
    <s v="Mobile"/>
    <n v="35"/>
    <n v="0"/>
    <n v="0"/>
    <n v="0"/>
    <n v="0"/>
    <x v="0"/>
  </r>
  <r>
    <x v="923"/>
    <s v="Male"/>
    <n v="36"/>
    <s v="CA"/>
    <s v="Free"/>
    <n v="27"/>
    <n v="30"/>
    <n v="0.12"/>
    <s v="Mobile"/>
    <n v="20"/>
    <n v="0"/>
    <n v="0"/>
    <n v="0"/>
    <n v="0"/>
    <x v="4"/>
  </r>
  <r>
    <x v="924"/>
    <s v="Male"/>
    <n v="49"/>
    <s v="AU"/>
    <s v="Free"/>
    <n v="199"/>
    <n v="19"/>
    <n v="0.26"/>
    <s v="Desktop"/>
    <n v="41"/>
    <n v="0"/>
    <n v="1"/>
    <n v="0"/>
    <n v="0"/>
    <x v="3"/>
  </r>
  <r>
    <x v="925"/>
    <s v="Other"/>
    <n v="47"/>
    <s v="US"/>
    <s v="Free"/>
    <n v="262"/>
    <n v="98"/>
    <n v="0.05"/>
    <s v="Desktop"/>
    <n v="33"/>
    <n v="0"/>
    <n v="0"/>
    <n v="0"/>
    <n v="0"/>
    <x v="0"/>
  </r>
  <r>
    <x v="926"/>
    <s v="Female"/>
    <n v="41"/>
    <s v="CA"/>
    <s v="Free"/>
    <n v="234"/>
    <n v="7"/>
    <n v="0.22"/>
    <s v="Web"/>
    <n v="22"/>
    <n v="0"/>
    <n v="1"/>
    <n v="0"/>
    <n v="0"/>
    <x v="4"/>
  </r>
  <r>
    <x v="927"/>
    <s v="Male"/>
    <n v="27"/>
    <s v="PK"/>
    <s v="Free"/>
    <n v="191"/>
    <n v="54"/>
    <n v="0.51"/>
    <s v="Mobile"/>
    <n v="36"/>
    <n v="0"/>
    <n v="0"/>
    <n v="0"/>
    <n v="0"/>
    <x v="0"/>
  </r>
  <r>
    <x v="928"/>
    <s v="Female"/>
    <n v="39"/>
    <s v="PK"/>
    <s v="Free"/>
    <n v="110"/>
    <n v="19"/>
    <n v="0.38"/>
    <s v="Mobile"/>
    <n v="11"/>
    <n v="0"/>
    <n v="0"/>
    <n v="0"/>
    <n v="0"/>
    <x v="1"/>
  </r>
  <r>
    <x v="929"/>
    <s v="Female"/>
    <n v="19"/>
    <s v="PK"/>
    <s v="Free"/>
    <n v="16"/>
    <n v="29"/>
    <n v="0.1"/>
    <s v="Mobile"/>
    <n v="26"/>
    <n v="0"/>
    <n v="0"/>
    <n v="0"/>
    <n v="0"/>
    <x v="4"/>
  </r>
  <r>
    <x v="930"/>
    <s v="Male"/>
    <n v="33"/>
    <s v="DE"/>
    <s v="Free"/>
    <n v="274"/>
    <n v="68"/>
    <n v="0.24"/>
    <s v="Web"/>
    <n v="24"/>
    <n v="0"/>
    <n v="0"/>
    <n v="0"/>
    <n v="0"/>
    <x v="4"/>
  </r>
  <r>
    <x v="931"/>
    <s v="Other"/>
    <n v="58"/>
    <s v="IN"/>
    <s v="Free"/>
    <n v="36"/>
    <n v="53"/>
    <n v="0.44"/>
    <s v="Desktop"/>
    <n v="28"/>
    <n v="0"/>
    <n v="0"/>
    <n v="0"/>
    <n v="0"/>
    <x v="4"/>
  </r>
  <r>
    <x v="932"/>
    <s v="Male"/>
    <n v="36"/>
    <s v="FR"/>
    <s v="Free"/>
    <n v="210"/>
    <n v="25"/>
    <n v="0.17"/>
    <s v="Desktop"/>
    <n v="46"/>
    <n v="0"/>
    <n v="1"/>
    <n v="0"/>
    <n v="0"/>
    <x v="3"/>
  </r>
  <r>
    <x v="933"/>
    <s v="Female"/>
    <n v="48"/>
    <s v="DE"/>
    <s v="Free"/>
    <n v="267"/>
    <n v="50"/>
    <n v="0.59"/>
    <s v="Desktop"/>
    <n v="14"/>
    <n v="0"/>
    <n v="0"/>
    <n v="0"/>
    <n v="0"/>
    <x v="1"/>
  </r>
  <r>
    <x v="934"/>
    <s v="Female"/>
    <n v="43"/>
    <s v="PK"/>
    <s v="Free"/>
    <n v="277"/>
    <n v="9"/>
    <n v="0.48"/>
    <s v="Web"/>
    <n v="14"/>
    <n v="0"/>
    <n v="0"/>
    <n v="0"/>
    <n v="0"/>
    <x v="1"/>
  </r>
  <r>
    <x v="935"/>
    <s v="Other"/>
    <n v="29"/>
    <s v="CA"/>
    <s v="Free"/>
    <n v="28"/>
    <n v="60"/>
    <n v="0.26"/>
    <s v="Mobile"/>
    <n v="47"/>
    <n v="0"/>
    <n v="0"/>
    <n v="0"/>
    <n v="0"/>
    <x v="3"/>
  </r>
  <r>
    <x v="936"/>
    <s v="Male"/>
    <n v="50"/>
    <s v="PK"/>
    <s v="Free"/>
    <n v="102"/>
    <n v="3"/>
    <n v="0.41"/>
    <s v="Mobile"/>
    <n v="13"/>
    <n v="0"/>
    <n v="0"/>
    <n v="0"/>
    <n v="0"/>
    <x v="1"/>
  </r>
  <r>
    <x v="937"/>
    <s v="Male"/>
    <n v="21"/>
    <s v="US"/>
    <s v="Free"/>
    <n v="264"/>
    <n v="95"/>
    <n v="0.24"/>
    <s v="Web"/>
    <n v="47"/>
    <n v="0"/>
    <n v="1"/>
    <n v="0"/>
    <n v="0"/>
    <x v="3"/>
  </r>
  <r>
    <x v="938"/>
    <s v="Other"/>
    <n v="46"/>
    <s v="CA"/>
    <s v="Free"/>
    <n v="183"/>
    <n v="64"/>
    <n v="0.4"/>
    <s v="Web"/>
    <n v="15"/>
    <n v="0"/>
    <n v="0"/>
    <n v="0"/>
    <n v="0"/>
    <x v="1"/>
  </r>
  <r>
    <x v="939"/>
    <s v="Male"/>
    <n v="25"/>
    <s v="DE"/>
    <s v="Free"/>
    <n v="91"/>
    <n v="34"/>
    <n v="0.01"/>
    <s v="Web"/>
    <n v="24"/>
    <n v="0"/>
    <n v="0"/>
    <n v="0"/>
    <n v="0"/>
    <x v="4"/>
  </r>
  <r>
    <x v="940"/>
    <s v="Female"/>
    <n v="57"/>
    <s v="AU"/>
    <s v="Free"/>
    <n v="31"/>
    <n v="60"/>
    <n v="0.11"/>
    <s v="Desktop"/>
    <n v="36"/>
    <n v="0"/>
    <n v="0"/>
    <n v="0"/>
    <n v="0"/>
    <x v="0"/>
  </r>
  <r>
    <x v="941"/>
    <s v="Female"/>
    <n v="22"/>
    <s v="IN"/>
    <s v="Free"/>
    <n v="284"/>
    <n v="23"/>
    <n v="7.0000000000000007E-2"/>
    <s v="Mobile"/>
    <n v="31"/>
    <n v="0"/>
    <n v="0"/>
    <n v="0"/>
    <n v="0"/>
    <x v="0"/>
  </r>
  <r>
    <x v="942"/>
    <s v="Other"/>
    <n v="35"/>
    <s v="CA"/>
    <s v="Free"/>
    <n v="138"/>
    <n v="68"/>
    <n v="0.38"/>
    <s v="Mobile"/>
    <n v="12"/>
    <n v="0"/>
    <n v="1"/>
    <n v="0"/>
    <n v="0"/>
    <x v="1"/>
  </r>
  <r>
    <x v="943"/>
    <s v="Female"/>
    <n v="36"/>
    <s v="UK"/>
    <s v="Free"/>
    <n v="33"/>
    <n v="9"/>
    <n v="0.37"/>
    <s v="Desktop"/>
    <n v="22"/>
    <n v="0"/>
    <n v="0"/>
    <n v="0"/>
    <n v="0"/>
    <x v="4"/>
  </r>
  <r>
    <x v="944"/>
    <s v="Other"/>
    <n v="50"/>
    <s v="US"/>
    <s v="Free"/>
    <n v="183"/>
    <n v="37"/>
    <n v="0.55000000000000004"/>
    <s v="Desktop"/>
    <n v="11"/>
    <n v="0"/>
    <n v="0"/>
    <n v="0"/>
    <n v="0"/>
    <x v="1"/>
  </r>
  <r>
    <x v="945"/>
    <s v="Male"/>
    <n v="48"/>
    <s v="FR"/>
    <s v="Free"/>
    <n v="234"/>
    <n v="11"/>
    <n v="0.15"/>
    <s v="Desktop"/>
    <n v="31"/>
    <n v="0"/>
    <n v="0"/>
    <n v="0"/>
    <n v="0"/>
    <x v="0"/>
  </r>
  <r>
    <x v="946"/>
    <s v="Other"/>
    <n v="25"/>
    <s v="FR"/>
    <s v="Free"/>
    <n v="132"/>
    <n v="69"/>
    <n v="0.54"/>
    <s v="Desktop"/>
    <n v="22"/>
    <n v="0"/>
    <n v="0"/>
    <n v="0"/>
    <n v="0"/>
    <x v="4"/>
  </r>
  <r>
    <x v="947"/>
    <s v="Other"/>
    <n v="46"/>
    <s v="DE"/>
    <s v="Free"/>
    <n v="201"/>
    <n v="13"/>
    <n v="0.24"/>
    <s v="Desktop"/>
    <n v="39"/>
    <n v="0"/>
    <n v="1"/>
    <n v="0"/>
    <n v="0"/>
    <x v="0"/>
  </r>
  <r>
    <x v="948"/>
    <s v="Female"/>
    <n v="37"/>
    <s v="US"/>
    <s v="Free"/>
    <n v="281"/>
    <n v="44"/>
    <n v="0.2"/>
    <s v="Mobile"/>
    <n v="16"/>
    <n v="0"/>
    <n v="1"/>
    <n v="0"/>
    <n v="0"/>
    <x v="1"/>
  </r>
  <r>
    <x v="949"/>
    <s v="Female"/>
    <n v="58"/>
    <s v="AU"/>
    <s v="Free"/>
    <n v="85"/>
    <n v="24"/>
    <n v="0.33"/>
    <s v="Desktop"/>
    <n v="26"/>
    <n v="0"/>
    <n v="1"/>
    <n v="0"/>
    <n v="0"/>
    <x v="4"/>
  </r>
  <r>
    <x v="950"/>
    <s v="Male"/>
    <n v="59"/>
    <s v="DE"/>
    <s v="Free"/>
    <n v="170"/>
    <n v="73"/>
    <n v="0.21"/>
    <s v="Desktop"/>
    <n v="31"/>
    <n v="0"/>
    <n v="0"/>
    <n v="0"/>
    <n v="0"/>
    <x v="0"/>
  </r>
  <r>
    <x v="951"/>
    <s v="Female"/>
    <n v="24"/>
    <s v="IN"/>
    <s v="Free"/>
    <n v="81"/>
    <n v="70"/>
    <n v="0.27"/>
    <s v="Mobile"/>
    <n v="28"/>
    <n v="0"/>
    <n v="0"/>
    <n v="0"/>
    <n v="0"/>
    <x v="4"/>
  </r>
  <r>
    <x v="952"/>
    <s v="Female"/>
    <n v="57"/>
    <s v="DE"/>
    <s v="Free"/>
    <n v="164"/>
    <n v="9"/>
    <n v="0.55000000000000004"/>
    <s v="Web"/>
    <n v="5"/>
    <n v="0"/>
    <n v="0"/>
    <n v="0"/>
    <n v="0"/>
    <x v="2"/>
  </r>
  <r>
    <x v="953"/>
    <s v="Female"/>
    <n v="19"/>
    <s v="FR"/>
    <s v="Free"/>
    <n v="197"/>
    <n v="86"/>
    <n v="0"/>
    <s v="Desktop"/>
    <n v="32"/>
    <n v="0"/>
    <n v="1"/>
    <n v="0"/>
    <n v="0"/>
    <x v="0"/>
  </r>
  <r>
    <x v="954"/>
    <s v="Other"/>
    <n v="30"/>
    <s v="CA"/>
    <s v="Free"/>
    <n v="112"/>
    <n v="29"/>
    <n v="0.3"/>
    <s v="Mobile"/>
    <n v="43"/>
    <n v="0"/>
    <n v="0"/>
    <n v="0"/>
    <n v="0"/>
    <x v="3"/>
  </r>
  <r>
    <x v="955"/>
    <s v="Other"/>
    <n v="51"/>
    <s v="IN"/>
    <s v="Free"/>
    <n v="227"/>
    <n v="5"/>
    <n v="0.53"/>
    <s v="Web"/>
    <n v="45"/>
    <n v="0"/>
    <n v="1"/>
    <n v="0"/>
    <n v="0"/>
    <x v="3"/>
  </r>
  <r>
    <x v="956"/>
    <s v="Other"/>
    <n v="46"/>
    <s v="PK"/>
    <s v="Free"/>
    <n v="61"/>
    <n v="85"/>
    <n v="0.56999999999999995"/>
    <s v="Web"/>
    <n v="31"/>
    <n v="0"/>
    <n v="1"/>
    <n v="0"/>
    <n v="0"/>
    <x v="0"/>
  </r>
  <r>
    <x v="957"/>
    <s v="Female"/>
    <n v="21"/>
    <s v="UK"/>
    <s v="Free"/>
    <n v="50"/>
    <n v="47"/>
    <n v="0.37"/>
    <s v="Desktop"/>
    <n v="24"/>
    <n v="0"/>
    <n v="0"/>
    <n v="0"/>
    <n v="0"/>
    <x v="4"/>
  </r>
  <r>
    <x v="958"/>
    <s v="Male"/>
    <n v="37"/>
    <s v="IN"/>
    <s v="Free"/>
    <n v="256"/>
    <n v="30"/>
    <n v="0.14000000000000001"/>
    <s v="Web"/>
    <n v="12"/>
    <n v="0"/>
    <n v="0"/>
    <n v="0"/>
    <n v="0"/>
    <x v="1"/>
  </r>
  <r>
    <x v="959"/>
    <s v="Other"/>
    <n v="31"/>
    <s v="FR"/>
    <s v="Free"/>
    <n v="240"/>
    <n v="84"/>
    <n v="0.57999999999999996"/>
    <s v="Mobile"/>
    <n v="39"/>
    <n v="0"/>
    <n v="0"/>
    <n v="0"/>
    <n v="0"/>
    <x v="0"/>
  </r>
  <r>
    <x v="960"/>
    <s v="Female"/>
    <n v="57"/>
    <s v="DE"/>
    <s v="Free"/>
    <n v="214"/>
    <n v="51"/>
    <n v="0.15"/>
    <s v="Web"/>
    <n v="33"/>
    <n v="0"/>
    <n v="1"/>
    <n v="0"/>
    <n v="0"/>
    <x v="0"/>
  </r>
  <r>
    <x v="961"/>
    <s v="Female"/>
    <n v="19"/>
    <s v="PK"/>
    <s v="Free"/>
    <n v="48"/>
    <n v="83"/>
    <n v="0.44"/>
    <s v="Web"/>
    <n v="40"/>
    <n v="0"/>
    <n v="1"/>
    <n v="0"/>
    <n v="0"/>
    <x v="3"/>
  </r>
  <r>
    <x v="962"/>
    <s v="Male"/>
    <n v="53"/>
    <s v="IN"/>
    <s v="Free"/>
    <n v="99"/>
    <n v="1"/>
    <n v="0.24"/>
    <s v="Desktop"/>
    <n v="25"/>
    <n v="0"/>
    <n v="0"/>
    <n v="0"/>
    <n v="0"/>
    <x v="4"/>
  </r>
  <r>
    <x v="963"/>
    <s v="Other"/>
    <n v="59"/>
    <s v="UK"/>
    <s v="Free"/>
    <n v="166"/>
    <n v="68"/>
    <n v="0.23"/>
    <s v="Web"/>
    <n v="19"/>
    <n v="0"/>
    <n v="0"/>
    <n v="0"/>
    <n v="0"/>
    <x v="1"/>
  </r>
  <r>
    <x v="964"/>
    <s v="Female"/>
    <n v="30"/>
    <s v="UK"/>
    <s v="Free"/>
    <n v="68"/>
    <n v="50"/>
    <n v="0.53"/>
    <s v="Web"/>
    <n v="36"/>
    <n v="0"/>
    <n v="0"/>
    <n v="0"/>
    <n v="0"/>
    <x v="0"/>
  </r>
  <r>
    <x v="965"/>
    <s v="Female"/>
    <n v="44"/>
    <s v="CA"/>
    <s v="Free"/>
    <n v="55"/>
    <n v="48"/>
    <n v="0.56999999999999995"/>
    <s v="Desktop"/>
    <n v="22"/>
    <n v="0"/>
    <n v="0"/>
    <n v="0"/>
    <n v="0"/>
    <x v="4"/>
  </r>
  <r>
    <x v="966"/>
    <s v="Other"/>
    <n v="53"/>
    <s v="FR"/>
    <s v="Free"/>
    <n v="79"/>
    <n v="73"/>
    <n v="0.53"/>
    <s v="Mobile"/>
    <n v="16"/>
    <n v="0"/>
    <n v="0"/>
    <n v="0"/>
    <n v="0"/>
    <x v="1"/>
  </r>
  <r>
    <x v="967"/>
    <s v="Other"/>
    <n v="37"/>
    <s v="FR"/>
    <s v="Free"/>
    <n v="115"/>
    <n v="23"/>
    <n v="0.54"/>
    <s v="Desktop"/>
    <n v="46"/>
    <n v="0"/>
    <n v="0"/>
    <n v="0"/>
    <n v="0"/>
    <x v="3"/>
  </r>
  <r>
    <x v="968"/>
    <s v="Other"/>
    <n v="18"/>
    <s v="DE"/>
    <s v="Free"/>
    <n v="20"/>
    <n v="67"/>
    <n v="0.38"/>
    <s v="Mobile"/>
    <n v="39"/>
    <n v="0"/>
    <n v="0"/>
    <n v="0"/>
    <n v="0"/>
    <x v="0"/>
  </r>
  <r>
    <x v="969"/>
    <s v="Male"/>
    <n v="26"/>
    <s v="IN"/>
    <s v="Free"/>
    <n v="132"/>
    <n v="51"/>
    <n v="0.08"/>
    <s v="Desktop"/>
    <n v="46"/>
    <n v="0"/>
    <n v="1"/>
    <n v="0"/>
    <n v="0"/>
    <x v="3"/>
  </r>
  <r>
    <x v="970"/>
    <s v="Male"/>
    <n v="52"/>
    <s v="PK"/>
    <s v="Free"/>
    <n v="88"/>
    <n v="49"/>
    <n v="0.36"/>
    <s v="Mobile"/>
    <n v="23"/>
    <n v="0"/>
    <n v="0"/>
    <n v="0"/>
    <n v="0"/>
    <x v="4"/>
  </r>
  <r>
    <x v="971"/>
    <s v="Other"/>
    <n v="25"/>
    <s v="AU"/>
    <s v="Free"/>
    <n v="22"/>
    <n v="96"/>
    <n v="0.22"/>
    <s v="Mobile"/>
    <n v="14"/>
    <n v="0"/>
    <n v="1"/>
    <n v="0"/>
    <n v="0"/>
    <x v="1"/>
  </r>
  <r>
    <x v="972"/>
    <s v="Other"/>
    <n v="56"/>
    <s v="AU"/>
    <s v="Free"/>
    <n v="179"/>
    <n v="73"/>
    <n v="0.57999999999999996"/>
    <s v="Desktop"/>
    <n v="41"/>
    <n v="0"/>
    <n v="0"/>
    <n v="0"/>
    <n v="0"/>
    <x v="3"/>
  </r>
  <r>
    <x v="973"/>
    <s v="Male"/>
    <n v="31"/>
    <s v="UK"/>
    <s v="Free"/>
    <n v="46"/>
    <n v="28"/>
    <n v="0.49"/>
    <s v="Web"/>
    <n v="9"/>
    <n v="0"/>
    <n v="0"/>
    <n v="0"/>
    <n v="0"/>
    <x v="2"/>
  </r>
  <r>
    <x v="974"/>
    <s v="Other"/>
    <n v="33"/>
    <s v="AU"/>
    <s v="Free"/>
    <n v="171"/>
    <n v="39"/>
    <n v="0.14000000000000001"/>
    <s v="Mobile"/>
    <n v="30"/>
    <n v="0"/>
    <n v="0"/>
    <n v="0"/>
    <n v="0"/>
    <x v="0"/>
  </r>
  <r>
    <x v="975"/>
    <s v="Male"/>
    <n v="37"/>
    <s v="FR"/>
    <s v="Free"/>
    <n v="245"/>
    <n v="13"/>
    <n v="0.17"/>
    <s v="Desktop"/>
    <n v="19"/>
    <n v="0"/>
    <n v="0"/>
    <n v="0"/>
    <n v="0"/>
    <x v="1"/>
  </r>
  <r>
    <x v="976"/>
    <s v="Female"/>
    <n v="19"/>
    <s v="FR"/>
    <s v="Free"/>
    <n v="99"/>
    <n v="28"/>
    <n v="0.18"/>
    <s v="Mobile"/>
    <n v="12"/>
    <n v="0"/>
    <n v="0"/>
    <n v="0"/>
    <n v="0"/>
    <x v="1"/>
  </r>
  <r>
    <x v="977"/>
    <s v="Female"/>
    <n v="29"/>
    <s v="UK"/>
    <s v="Free"/>
    <n v="46"/>
    <n v="11"/>
    <n v="0.56999999999999995"/>
    <s v="Web"/>
    <n v="46"/>
    <n v="0"/>
    <n v="0"/>
    <n v="0"/>
    <n v="0"/>
    <x v="3"/>
  </r>
  <r>
    <x v="978"/>
    <s v="Male"/>
    <n v="35"/>
    <s v="PK"/>
    <s v="Free"/>
    <n v="52"/>
    <n v="41"/>
    <n v="0.35"/>
    <s v="Web"/>
    <n v="7"/>
    <n v="0"/>
    <n v="0"/>
    <n v="0"/>
    <n v="0"/>
    <x v="2"/>
  </r>
  <r>
    <x v="979"/>
    <s v="Other"/>
    <n v="20"/>
    <s v="US"/>
    <s v="Free"/>
    <n v="112"/>
    <n v="41"/>
    <n v="0.17"/>
    <s v="Web"/>
    <n v="49"/>
    <n v="0"/>
    <n v="1"/>
    <n v="0"/>
    <n v="0"/>
    <x v="3"/>
  </r>
  <r>
    <x v="980"/>
    <s v="Female"/>
    <n v="54"/>
    <s v="CA"/>
    <s v="Free"/>
    <n v="227"/>
    <n v="22"/>
    <n v="0.49"/>
    <s v="Desktop"/>
    <n v="38"/>
    <n v="0"/>
    <n v="0"/>
    <n v="0"/>
    <n v="0"/>
    <x v="0"/>
  </r>
  <r>
    <x v="981"/>
    <s v="Other"/>
    <n v="59"/>
    <s v="AU"/>
    <s v="Free"/>
    <n v="291"/>
    <n v="31"/>
    <n v="0.13"/>
    <s v="Desktop"/>
    <n v="11"/>
    <n v="0"/>
    <n v="1"/>
    <n v="0"/>
    <n v="0"/>
    <x v="1"/>
  </r>
  <r>
    <x v="982"/>
    <s v="Male"/>
    <n v="36"/>
    <s v="PK"/>
    <s v="Free"/>
    <n v="273"/>
    <n v="34"/>
    <n v="0.38"/>
    <s v="Desktop"/>
    <n v="13"/>
    <n v="0"/>
    <n v="0"/>
    <n v="0"/>
    <n v="0"/>
    <x v="1"/>
  </r>
  <r>
    <x v="983"/>
    <s v="Other"/>
    <n v="22"/>
    <s v="IN"/>
    <s v="Free"/>
    <n v="289"/>
    <n v="97"/>
    <n v="0.53"/>
    <s v="Web"/>
    <n v="33"/>
    <n v="0"/>
    <n v="0"/>
    <n v="0"/>
    <n v="0"/>
    <x v="0"/>
  </r>
  <r>
    <x v="984"/>
    <s v="Other"/>
    <n v="20"/>
    <s v="AU"/>
    <s v="Free"/>
    <n v="179"/>
    <n v="7"/>
    <n v="0.41"/>
    <s v="Web"/>
    <n v="14"/>
    <n v="0"/>
    <n v="0"/>
    <n v="0"/>
    <n v="0"/>
    <x v="1"/>
  </r>
  <r>
    <x v="985"/>
    <s v="Female"/>
    <n v="41"/>
    <s v="FR"/>
    <s v="Free"/>
    <n v="67"/>
    <n v="18"/>
    <n v="0.54"/>
    <s v="Web"/>
    <n v="40"/>
    <n v="0"/>
    <n v="0"/>
    <n v="0"/>
    <n v="0"/>
    <x v="3"/>
  </r>
  <r>
    <x v="986"/>
    <s v="Male"/>
    <n v="36"/>
    <s v="PK"/>
    <s v="Free"/>
    <n v="100"/>
    <n v="34"/>
    <n v="0.08"/>
    <s v="Desktop"/>
    <n v="35"/>
    <n v="0"/>
    <n v="1"/>
    <n v="0"/>
    <n v="0"/>
    <x v="0"/>
  </r>
  <r>
    <x v="987"/>
    <s v="Male"/>
    <n v="26"/>
    <s v="US"/>
    <s v="Free"/>
    <n v="282"/>
    <n v="24"/>
    <n v="0.54"/>
    <s v="Mobile"/>
    <n v="22"/>
    <n v="0"/>
    <n v="1"/>
    <n v="0"/>
    <n v="0"/>
    <x v="4"/>
  </r>
  <r>
    <x v="988"/>
    <s v="Female"/>
    <n v="17"/>
    <s v="UK"/>
    <s v="Free"/>
    <n v="99"/>
    <n v="74"/>
    <n v="0.2"/>
    <s v="Mobile"/>
    <n v="17"/>
    <n v="0"/>
    <n v="1"/>
    <n v="0"/>
    <n v="0"/>
    <x v="1"/>
  </r>
  <r>
    <x v="989"/>
    <s v="Female"/>
    <n v="46"/>
    <s v="PK"/>
    <s v="Free"/>
    <n v="218"/>
    <n v="88"/>
    <n v="0.34"/>
    <s v="Mobile"/>
    <n v="23"/>
    <n v="0"/>
    <n v="0"/>
    <n v="0"/>
    <n v="0"/>
    <x v="4"/>
  </r>
  <r>
    <x v="990"/>
    <s v="Female"/>
    <n v="51"/>
    <s v="AU"/>
    <s v="Free"/>
    <n v="214"/>
    <n v="49"/>
    <n v="0.03"/>
    <s v="Web"/>
    <n v="10"/>
    <n v="0"/>
    <n v="0"/>
    <n v="0"/>
    <n v="0"/>
    <x v="1"/>
  </r>
  <r>
    <x v="991"/>
    <s v="Other"/>
    <n v="28"/>
    <s v="CA"/>
    <s v="Free"/>
    <n v="65"/>
    <n v="82"/>
    <n v="0.36"/>
    <s v="Mobile"/>
    <n v="40"/>
    <n v="0"/>
    <n v="1"/>
    <n v="0"/>
    <n v="0"/>
    <x v="3"/>
  </r>
  <r>
    <x v="992"/>
    <s v="Female"/>
    <n v="39"/>
    <s v="UK"/>
    <s v="Free"/>
    <n v="104"/>
    <n v="22"/>
    <n v="0.32"/>
    <s v="Desktop"/>
    <n v="12"/>
    <n v="0"/>
    <n v="1"/>
    <n v="0"/>
    <n v="0"/>
    <x v="1"/>
  </r>
  <r>
    <x v="993"/>
    <s v="Other"/>
    <n v="23"/>
    <s v="UK"/>
    <s v="Free"/>
    <n v="99"/>
    <n v="39"/>
    <n v="0.4"/>
    <s v="Web"/>
    <n v="46"/>
    <n v="0"/>
    <n v="0"/>
    <n v="0"/>
    <n v="0"/>
    <x v="3"/>
  </r>
  <r>
    <x v="994"/>
    <s v="Other"/>
    <n v="36"/>
    <s v="US"/>
    <s v="Free"/>
    <n v="121"/>
    <n v="2"/>
    <n v="0.36"/>
    <s v="Mobile"/>
    <n v="36"/>
    <n v="0"/>
    <n v="1"/>
    <n v="0"/>
    <n v="0"/>
    <x v="0"/>
  </r>
  <r>
    <x v="995"/>
    <s v="Male"/>
    <n v="26"/>
    <s v="UK"/>
    <s v="Free"/>
    <n v="224"/>
    <n v="20"/>
    <n v="0.18"/>
    <s v="Web"/>
    <n v="47"/>
    <n v="0"/>
    <n v="0"/>
    <n v="0"/>
    <n v="0"/>
    <x v="3"/>
  </r>
  <r>
    <x v="996"/>
    <s v="Female"/>
    <n v="51"/>
    <s v="PK"/>
    <s v="Free"/>
    <n v="175"/>
    <n v="34"/>
    <n v="0.59"/>
    <s v="Desktop"/>
    <n v="31"/>
    <n v="0"/>
    <n v="1"/>
    <n v="0"/>
    <n v="0"/>
    <x v="0"/>
  </r>
  <r>
    <x v="997"/>
    <s v="Female"/>
    <n v="36"/>
    <s v="CA"/>
    <s v="Free"/>
    <n v="130"/>
    <n v="25"/>
    <n v="0.05"/>
    <s v="Web"/>
    <n v="32"/>
    <n v="0"/>
    <n v="1"/>
    <n v="0"/>
    <n v="0"/>
    <x v="0"/>
  </r>
  <r>
    <x v="998"/>
    <s v="Female"/>
    <n v="54"/>
    <s v="UK"/>
    <s v="Free"/>
    <n v="120"/>
    <n v="71"/>
    <n v="0.35"/>
    <s v="Mobile"/>
    <n v="46"/>
    <n v="0"/>
    <n v="0"/>
    <n v="0"/>
    <n v="0"/>
    <x v="3"/>
  </r>
  <r>
    <x v="999"/>
    <s v="Male"/>
    <n v="32"/>
    <s v="UK"/>
    <s v="Free"/>
    <n v="133"/>
    <n v="75"/>
    <n v="0.22"/>
    <s v="Mobile"/>
    <n v="28"/>
    <n v="0"/>
    <n v="0"/>
    <n v="0"/>
    <n v="0"/>
    <x v="4"/>
  </r>
  <r>
    <x v="1000"/>
    <s v="Other"/>
    <n v="25"/>
    <s v="CA"/>
    <s v="Free"/>
    <n v="159"/>
    <n v="16"/>
    <n v="0.56999999999999995"/>
    <s v="Mobile"/>
    <n v="17"/>
    <n v="0"/>
    <n v="0"/>
    <n v="0"/>
    <n v="0"/>
    <x v="1"/>
  </r>
  <r>
    <x v="1001"/>
    <s v="Other"/>
    <n v="57"/>
    <s v="PK"/>
    <s v="Free"/>
    <n v="104"/>
    <n v="78"/>
    <n v="0.42"/>
    <s v="Web"/>
    <n v="43"/>
    <n v="0"/>
    <n v="0"/>
    <n v="0"/>
    <n v="0"/>
    <x v="3"/>
  </r>
  <r>
    <x v="1002"/>
    <s v="Other"/>
    <n v="49"/>
    <s v="US"/>
    <s v="Free"/>
    <n v="120"/>
    <n v="3"/>
    <n v="0.11"/>
    <s v="Desktop"/>
    <n v="24"/>
    <n v="0"/>
    <n v="0"/>
    <n v="0"/>
    <n v="0"/>
    <x v="4"/>
  </r>
  <r>
    <x v="1003"/>
    <s v="Other"/>
    <n v="29"/>
    <s v="FR"/>
    <s v="Free"/>
    <n v="229"/>
    <n v="56"/>
    <n v="0.23"/>
    <s v="Mobile"/>
    <n v="37"/>
    <n v="0"/>
    <n v="0"/>
    <n v="0"/>
    <n v="0"/>
    <x v="0"/>
  </r>
  <r>
    <x v="1004"/>
    <s v="Other"/>
    <n v="44"/>
    <s v="IN"/>
    <s v="Free"/>
    <n v="148"/>
    <n v="62"/>
    <n v="0"/>
    <s v="Desktop"/>
    <n v="37"/>
    <n v="0"/>
    <n v="0"/>
    <n v="0"/>
    <n v="0"/>
    <x v="0"/>
  </r>
  <r>
    <x v="1005"/>
    <s v="Other"/>
    <n v="25"/>
    <s v="AU"/>
    <s v="Free"/>
    <n v="239"/>
    <n v="16"/>
    <n v="0.57999999999999996"/>
    <s v="Desktop"/>
    <n v="35"/>
    <n v="0"/>
    <n v="1"/>
    <n v="0"/>
    <n v="0"/>
    <x v="0"/>
  </r>
  <r>
    <x v="1006"/>
    <s v="Other"/>
    <n v="22"/>
    <s v="PK"/>
    <s v="Free"/>
    <n v="278"/>
    <n v="40"/>
    <n v="0.25"/>
    <s v="Desktop"/>
    <n v="35"/>
    <n v="0"/>
    <n v="0"/>
    <n v="0"/>
    <n v="0"/>
    <x v="0"/>
  </r>
  <r>
    <x v="1007"/>
    <s v="Female"/>
    <n v="37"/>
    <s v="IN"/>
    <s v="Free"/>
    <n v="283"/>
    <n v="60"/>
    <n v="0.3"/>
    <s v="Desktop"/>
    <n v="42"/>
    <n v="0"/>
    <n v="1"/>
    <n v="0"/>
    <n v="0"/>
    <x v="3"/>
  </r>
  <r>
    <x v="1008"/>
    <s v="Other"/>
    <n v="43"/>
    <s v="FR"/>
    <s v="Free"/>
    <n v="17"/>
    <n v="54"/>
    <n v="0.47"/>
    <s v="Mobile"/>
    <n v="41"/>
    <n v="0"/>
    <n v="0"/>
    <n v="0"/>
    <n v="0"/>
    <x v="3"/>
  </r>
  <r>
    <x v="1009"/>
    <s v="Female"/>
    <n v="30"/>
    <s v="US"/>
    <s v="Free"/>
    <n v="12"/>
    <n v="71"/>
    <n v="0"/>
    <s v="Desktop"/>
    <n v="10"/>
    <n v="0"/>
    <n v="0"/>
    <n v="0"/>
    <n v="0"/>
    <x v="1"/>
  </r>
  <r>
    <x v="1010"/>
    <s v="Other"/>
    <n v="45"/>
    <s v="PK"/>
    <s v="Free"/>
    <n v="139"/>
    <n v="79"/>
    <n v="0.08"/>
    <s v="Desktop"/>
    <n v="44"/>
    <n v="0"/>
    <n v="0"/>
    <n v="0"/>
    <n v="0"/>
    <x v="3"/>
  </r>
  <r>
    <x v="1011"/>
    <s v="Male"/>
    <n v="42"/>
    <s v="CA"/>
    <s v="Free"/>
    <n v="102"/>
    <n v="58"/>
    <n v="0.03"/>
    <s v="Web"/>
    <n v="14"/>
    <n v="0"/>
    <n v="1"/>
    <n v="0"/>
    <n v="0"/>
    <x v="1"/>
  </r>
  <r>
    <x v="1012"/>
    <s v="Other"/>
    <n v="37"/>
    <s v="US"/>
    <s v="Free"/>
    <n v="151"/>
    <n v="63"/>
    <n v="0.16"/>
    <s v="Mobile"/>
    <n v="29"/>
    <n v="0"/>
    <n v="0"/>
    <n v="0"/>
    <n v="0"/>
    <x v="4"/>
  </r>
  <r>
    <x v="1013"/>
    <s v="Female"/>
    <n v="44"/>
    <s v="PK"/>
    <s v="Free"/>
    <n v="140"/>
    <n v="92"/>
    <n v="0.12"/>
    <s v="Desktop"/>
    <n v="39"/>
    <n v="0"/>
    <n v="0"/>
    <n v="0"/>
    <n v="0"/>
    <x v="0"/>
  </r>
  <r>
    <x v="1014"/>
    <s v="Female"/>
    <n v="41"/>
    <s v="FR"/>
    <s v="Free"/>
    <n v="139"/>
    <n v="18"/>
    <n v="0.25"/>
    <s v="Web"/>
    <n v="17"/>
    <n v="0"/>
    <n v="0"/>
    <n v="0"/>
    <n v="0"/>
    <x v="1"/>
  </r>
  <r>
    <x v="1015"/>
    <s v="Male"/>
    <n v="18"/>
    <s v="UK"/>
    <s v="Free"/>
    <n v="78"/>
    <n v="64"/>
    <n v="0"/>
    <s v="Desktop"/>
    <n v="23"/>
    <n v="0"/>
    <n v="1"/>
    <n v="0"/>
    <n v="0"/>
    <x v="4"/>
  </r>
  <r>
    <x v="1016"/>
    <s v="Other"/>
    <n v="35"/>
    <s v="US"/>
    <s v="Free"/>
    <n v="294"/>
    <n v="97"/>
    <n v="0.57999999999999996"/>
    <s v="Web"/>
    <n v="25"/>
    <n v="0"/>
    <n v="0"/>
    <n v="0"/>
    <n v="0"/>
    <x v="4"/>
  </r>
  <r>
    <x v="1017"/>
    <s v="Other"/>
    <n v="46"/>
    <s v="DE"/>
    <s v="Free"/>
    <n v="274"/>
    <n v="48"/>
    <n v="0.15"/>
    <s v="Mobile"/>
    <n v="29"/>
    <n v="0"/>
    <n v="0"/>
    <n v="0"/>
    <n v="0"/>
    <x v="4"/>
  </r>
  <r>
    <x v="1018"/>
    <s v="Female"/>
    <n v="47"/>
    <s v="AU"/>
    <s v="Free"/>
    <n v="101"/>
    <n v="25"/>
    <n v="0.51"/>
    <s v="Desktop"/>
    <n v="19"/>
    <n v="0"/>
    <n v="0"/>
    <n v="0"/>
    <n v="0"/>
    <x v="1"/>
  </r>
  <r>
    <x v="1019"/>
    <s v="Female"/>
    <n v="38"/>
    <s v="DE"/>
    <s v="Free"/>
    <n v="46"/>
    <n v="49"/>
    <n v="0.4"/>
    <s v="Desktop"/>
    <n v="26"/>
    <n v="0"/>
    <n v="1"/>
    <n v="0"/>
    <n v="0"/>
    <x v="4"/>
  </r>
  <r>
    <x v="1020"/>
    <s v="Female"/>
    <n v="50"/>
    <s v="UK"/>
    <s v="Free"/>
    <n v="229"/>
    <n v="71"/>
    <n v="0.54"/>
    <s v="Desktop"/>
    <n v="32"/>
    <n v="0"/>
    <n v="1"/>
    <n v="0"/>
    <n v="0"/>
    <x v="0"/>
  </r>
  <r>
    <x v="1021"/>
    <s v="Male"/>
    <n v="26"/>
    <s v="CA"/>
    <s v="Free"/>
    <n v="176"/>
    <n v="20"/>
    <n v="0.48"/>
    <s v="Desktop"/>
    <n v="47"/>
    <n v="0"/>
    <n v="1"/>
    <n v="0"/>
    <n v="0"/>
    <x v="3"/>
  </r>
  <r>
    <x v="1022"/>
    <s v="Male"/>
    <n v="53"/>
    <s v="UK"/>
    <s v="Free"/>
    <n v="31"/>
    <n v="72"/>
    <n v="0.46"/>
    <s v="Web"/>
    <n v="5"/>
    <n v="0"/>
    <n v="0"/>
    <n v="0"/>
    <n v="0"/>
    <x v="2"/>
  </r>
  <r>
    <x v="1023"/>
    <s v="Other"/>
    <n v="22"/>
    <s v="US"/>
    <s v="Free"/>
    <n v="250"/>
    <n v="26"/>
    <n v="0.21"/>
    <s v="Mobile"/>
    <n v="28"/>
    <n v="0"/>
    <n v="0"/>
    <n v="0"/>
    <n v="0"/>
    <x v="4"/>
  </r>
  <r>
    <x v="1024"/>
    <s v="Male"/>
    <n v="24"/>
    <s v="PK"/>
    <s v="Free"/>
    <n v="73"/>
    <n v="18"/>
    <n v="0.55000000000000004"/>
    <s v="Desktop"/>
    <n v="33"/>
    <n v="0"/>
    <n v="0"/>
    <n v="0"/>
    <n v="0"/>
    <x v="0"/>
  </r>
  <r>
    <x v="1025"/>
    <s v="Other"/>
    <n v="28"/>
    <s v="PK"/>
    <s v="Free"/>
    <n v="64"/>
    <n v="97"/>
    <n v="0.13"/>
    <s v="Desktop"/>
    <n v="45"/>
    <n v="0"/>
    <n v="0"/>
    <n v="0"/>
    <n v="0"/>
    <x v="3"/>
  </r>
  <r>
    <x v="1026"/>
    <s v="Other"/>
    <n v="17"/>
    <s v="FR"/>
    <s v="Free"/>
    <n v="113"/>
    <n v="76"/>
    <n v="0.13"/>
    <s v="Mobile"/>
    <n v="39"/>
    <n v="0"/>
    <n v="1"/>
    <n v="0"/>
    <n v="0"/>
    <x v="0"/>
  </r>
  <r>
    <x v="1027"/>
    <s v="Male"/>
    <n v="36"/>
    <s v="DE"/>
    <s v="Free"/>
    <n v="173"/>
    <n v="29"/>
    <n v="0.1"/>
    <s v="Desktop"/>
    <n v="39"/>
    <n v="0"/>
    <n v="0"/>
    <n v="0"/>
    <n v="0"/>
    <x v="0"/>
  </r>
  <r>
    <x v="1028"/>
    <s v="Female"/>
    <n v="26"/>
    <s v="CA"/>
    <s v="Free"/>
    <n v="41"/>
    <n v="49"/>
    <n v="0.46"/>
    <s v="Desktop"/>
    <n v="24"/>
    <n v="0"/>
    <n v="0"/>
    <n v="0"/>
    <n v="0"/>
    <x v="4"/>
  </r>
  <r>
    <x v="1029"/>
    <s v="Female"/>
    <n v="20"/>
    <s v="UK"/>
    <s v="Free"/>
    <n v="233"/>
    <n v="90"/>
    <n v="0.4"/>
    <s v="Desktop"/>
    <n v="47"/>
    <n v="0"/>
    <n v="0"/>
    <n v="0"/>
    <n v="0"/>
    <x v="3"/>
  </r>
  <r>
    <x v="1030"/>
    <s v="Other"/>
    <n v="32"/>
    <s v="AU"/>
    <s v="Free"/>
    <n v="233"/>
    <n v="46"/>
    <n v="0.22"/>
    <s v="Web"/>
    <n v="32"/>
    <n v="0"/>
    <n v="0"/>
    <n v="0"/>
    <n v="0"/>
    <x v="0"/>
  </r>
  <r>
    <x v="1031"/>
    <s v="Male"/>
    <n v="40"/>
    <s v="AU"/>
    <s v="Free"/>
    <n v="121"/>
    <n v="2"/>
    <n v="0.53"/>
    <s v="Desktop"/>
    <n v="38"/>
    <n v="0"/>
    <n v="0"/>
    <n v="0"/>
    <n v="0"/>
    <x v="0"/>
  </r>
  <r>
    <x v="1032"/>
    <s v="Male"/>
    <n v="19"/>
    <s v="IN"/>
    <s v="Free"/>
    <n v="87"/>
    <n v="66"/>
    <n v="0.43"/>
    <s v="Web"/>
    <n v="34"/>
    <n v="0"/>
    <n v="0"/>
    <n v="0"/>
    <n v="0"/>
    <x v="0"/>
  </r>
  <r>
    <x v="1033"/>
    <s v="Female"/>
    <n v="25"/>
    <s v="PK"/>
    <s v="Free"/>
    <n v="262"/>
    <n v="9"/>
    <n v="0.02"/>
    <s v="Mobile"/>
    <n v="35"/>
    <n v="0"/>
    <n v="0"/>
    <n v="0"/>
    <n v="0"/>
    <x v="0"/>
  </r>
  <r>
    <x v="1034"/>
    <s v="Other"/>
    <n v="17"/>
    <s v="CA"/>
    <s v="Free"/>
    <n v="270"/>
    <n v="27"/>
    <n v="0.43"/>
    <s v="Mobile"/>
    <n v="44"/>
    <n v="0"/>
    <n v="0"/>
    <n v="0"/>
    <n v="0"/>
    <x v="3"/>
  </r>
  <r>
    <x v="1035"/>
    <s v="Other"/>
    <n v="16"/>
    <s v="US"/>
    <s v="Free"/>
    <n v="248"/>
    <n v="60"/>
    <n v="0.09"/>
    <s v="Desktop"/>
    <n v="32"/>
    <n v="0"/>
    <n v="0"/>
    <n v="0"/>
    <n v="0"/>
    <x v="0"/>
  </r>
  <r>
    <x v="1036"/>
    <s v="Female"/>
    <n v="59"/>
    <s v="FR"/>
    <s v="Free"/>
    <n v="225"/>
    <n v="77"/>
    <n v="0.55000000000000004"/>
    <s v="Mobile"/>
    <n v="27"/>
    <n v="0"/>
    <n v="0"/>
    <n v="0"/>
    <n v="0"/>
    <x v="4"/>
  </r>
  <r>
    <x v="1037"/>
    <s v="Female"/>
    <n v="52"/>
    <s v="PK"/>
    <s v="Free"/>
    <n v="250"/>
    <n v="70"/>
    <n v="0.48"/>
    <s v="Web"/>
    <n v="43"/>
    <n v="0"/>
    <n v="1"/>
    <n v="0"/>
    <n v="0"/>
    <x v="3"/>
  </r>
  <r>
    <x v="1038"/>
    <s v="Male"/>
    <n v="55"/>
    <s v="AU"/>
    <s v="Free"/>
    <n v="79"/>
    <n v="55"/>
    <n v="0.1"/>
    <s v="Mobile"/>
    <n v="47"/>
    <n v="0"/>
    <n v="0"/>
    <n v="0"/>
    <n v="0"/>
    <x v="3"/>
  </r>
  <r>
    <x v="1039"/>
    <s v="Male"/>
    <n v="42"/>
    <s v="DE"/>
    <s v="Free"/>
    <n v="234"/>
    <n v="16"/>
    <n v="0.13"/>
    <s v="Mobile"/>
    <n v="16"/>
    <n v="0"/>
    <n v="0"/>
    <n v="0"/>
    <n v="0"/>
    <x v="1"/>
  </r>
  <r>
    <x v="1040"/>
    <s v="Male"/>
    <n v="39"/>
    <s v="AU"/>
    <s v="Free"/>
    <n v="195"/>
    <n v="82"/>
    <n v="0.56999999999999995"/>
    <s v="Mobile"/>
    <n v="44"/>
    <n v="0"/>
    <n v="0"/>
    <n v="0"/>
    <n v="0"/>
    <x v="3"/>
  </r>
  <r>
    <x v="1041"/>
    <s v="Other"/>
    <n v="30"/>
    <s v="UK"/>
    <s v="Free"/>
    <n v="243"/>
    <n v="14"/>
    <n v="0"/>
    <s v="Web"/>
    <n v="25"/>
    <n v="0"/>
    <n v="0"/>
    <n v="0"/>
    <n v="0"/>
    <x v="4"/>
  </r>
  <r>
    <x v="1042"/>
    <s v="Female"/>
    <n v="24"/>
    <s v="AU"/>
    <s v="Free"/>
    <n v="279"/>
    <n v="37"/>
    <n v="0.16"/>
    <s v="Desktop"/>
    <n v="36"/>
    <n v="0"/>
    <n v="0"/>
    <n v="0"/>
    <n v="0"/>
    <x v="0"/>
  </r>
  <r>
    <x v="1043"/>
    <s v="Male"/>
    <n v="34"/>
    <s v="IN"/>
    <s v="Free"/>
    <n v="114"/>
    <n v="41"/>
    <n v="0.05"/>
    <s v="Desktop"/>
    <n v="36"/>
    <n v="0"/>
    <n v="0"/>
    <n v="0"/>
    <n v="0"/>
    <x v="0"/>
  </r>
  <r>
    <x v="1044"/>
    <s v="Male"/>
    <n v="32"/>
    <s v="IN"/>
    <s v="Free"/>
    <n v="270"/>
    <n v="34"/>
    <n v="0.51"/>
    <s v="Desktop"/>
    <n v="30"/>
    <n v="0"/>
    <n v="0"/>
    <n v="0"/>
    <n v="0"/>
    <x v="0"/>
  </r>
  <r>
    <x v="1045"/>
    <s v="Female"/>
    <n v="48"/>
    <s v="PK"/>
    <s v="Free"/>
    <n v="118"/>
    <n v="41"/>
    <n v="0.44"/>
    <s v="Mobile"/>
    <n v="7"/>
    <n v="0"/>
    <n v="0"/>
    <n v="0"/>
    <n v="0"/>
    <x v="2"/>
  </r>
  <r>
    <x v="1046"/>
    <s v="Female"/>
    <n v="48"/>
    <s v="PK"/>
    <s v="Free"/>
    <n v="140"/>
    <n v="66"/>
    <n v="0.59"/>
    <s v="Web"/>
    <n v="25"/>
    <n v="0"/>
    <n v="0"/>
    <n v="0"/>
    <n v="0"/>
    <x v="4"/>
  </r>
  <r>
    <x v="1047"/>
    <s v="Female"/>
    <n v="49"/>
    <s v="US"/>
    <s v="Free"/>
    <n v="272"/>
    <n v="75"/>
    <n v="0.53"/>
    <s v="Mobile"/>
    <n v="48"/>
    <n v="0"/>
    <n v="0"/>
    <n v="0"/>
    <n v="0"/>
    <x v="3"/>
  </r>
  <r>
    <x v="1048"/>
    <s v="Other"/>
    <n v="18"/>
    <s v="CA"/>
    <s v="Free"/>
    <n v="195"/>
    <n v="37"/>
    <n v="0.26"/>
    <s v="Mobile"/>
    <n v="47"/>
    <n v="0"/>
    <n v="0"/>
    <n v="0"/>
    <n v="0"/>
    <x v="3"/>
  </r>
  <r>
    <x v="1049"/>
    <s v="Female"/>
    <n v="36"/>
    <s v="AU"/>
    <s v="Free"/>
    <n v="243"/>
    <n v="73"/>
    <n v="0.2"/>
    <s v="Web"/>
    <n v="31"/>
    <n v="0"/>
    <n v="0"/>
    <n v="0"/>
    <n v="0"/>
    <x v="0"/>
  </r>
  <r>
    <x v="1050"/>
    <s v="Female"/>
    <n v="54"/>
    <s v="AU"/>
    <s v="Free"/>
    <n v="112"/>
    <n v="77"/>
    <n v="0.32"/>
    <s v="Desktop"/>
    <n v="15"/>
    <n v="0"/>
    <n v="0"/>
    <n v="0"/>
    <n v="0"/>
    <x v="1"/>
  </r>
  <r>
    <x v="1051"/>
    <s v="Female"/>
    <n v="42"/>
    <s v="US"/>
    <s v="Free"/>
    <n v="66"/>
    <n v="53"/>
    <n v="0.5"/>
    <s v="Web"/>
    <n v="25"/>
    <n v="0"/>
    <n v="0"/>
    <n v="0"/>
    <n v="0"/>
    <x v="4"/>
  </r>
  <r>
    <x v="1052"/>
    <s v="Female"/>
    <n v="38"/>
    <s v="DE"/>
    <s v="Free"/>
    <n v="296"/>
    <n v="65"/>
    <n v="0.37"/>
    <s v="Web"/>
    <n v="14"/>
    <n v="0"/>
    <n v="0"/>
    <n v="0"/>
    <n v="0"/>
    <x v="1"/>
  </r>
  <r>
    <x v="1053"/>
    <s v="Other"/>
    <n v="58"/>
    <s v="PK"/>
    <s v="Free"/>
    <n v="228"/>
    <n v="14"/>
    <n v="0.03"/>
    <s v="Mobile"/>
    <n v="41"/>
    <n v="0"/>
    <n v="0"/>
    <n v="0"/>
    <n v="0"/>
    <x v="3"/>
  </r>
  <r>
    <x v="1054"/>
    <s v="Female"/>
    <n v="48"/>
    <s v="DE"/>
    <s v="Free"/>
    <n v="209"/>
    <n v="66"/>
    <n v="0.37"/>
    <s v="Web"/>
    <n v="29"/>
    <n v="0"/>
    <n v="1"/>
    <n v="0"/>
    <n v="0"/>
    <x v="4"/>
  </r>
  <r>
    <x v="1055"/>
    <s v="Male"/>
    <n v="32"/>
    <s v="AU"/>
    <s v="Free"/>
    <n v="31"/>
    <n v="30"/>
    <n v="0.5"/>
    <s v="Desktop"/>
    <n v="41"/>
    <n v="0"/>
    <n v="0"/>
    <n v="0"/>
    <n v="0"/>
    <x v="3"/>
  </r>
  <r>
    <x v="1056"/>
    <s v="Male"/>
    <n v="24"/>
    <s v="PK"/>
    <s v="Free"/>
    <n v="260"/>
    <n v="46"/>
    <n v="0.42"/>
    <s v="Mobile"/>
    <n v="10"/>
    <n v="0"/>
    <n v="0"/>
    <n v="0"/>
    <n v="0"/>
    <x v="1"/>
  </r>
  <r>
    <x v="1057"/>
    <s v="Other"/>
    <n v="54"/>
    <s v="AU"/>
    <s v="Free"/>
    <n v="168"/>
    <n v="71"/>
    <n v="0.57999999999999996"/>
    <s v="Mobile"/>
    <n v="31"/>
    <n v="0"/>
    <n v="0"/>
    <n v="0"/>
    <n v="0"/>
    <x v="0"/>
  </r>
  <r>
    <x v="1058"/>
    <s v="Other"/>
    <n v="26"/>
    <s v="AU"/>
    <s v="Free"/>
    <n v="229"/>
    <n v="16"/>
    <n v="0.4"/>
    <s v="Mobile"/>
    <n v="45"/>
    <n v="0"/>
    <n v="0"/>
    <n v="0"/>
    <n v="0"/>
    <x v="3"/>
  </r>
  <r>
    <x v="1059"/>
    <s v="Other"/>
    <n v="22"/>
    <s v="FR"/>
    <s v="Free"/>
    <n v="239"/>
    <n v="73"/>
    <n v="0.46"/>
    <s v="Web"/>
    <n v="45"/>
    <n v="0"/>
    <n v="1"/>
    <n v="0"/>
    <n v="0"/>
    <x v="3"/>
  </r>
  <r>
    <x v="1060"/>
    <s v="Other"/>
    <n v="39"/>
    <s v="IN"/>
    <s v="Free"/>
    <n v="77"/>
    <n v="64"/>
    <n v="0.34"/>
    <s v="Web"/>
    <n v="37"/>
    <n v="0"/>
    <n v="1"/>
    <n v="0"/>
    <n v="0"/>
    <x v="0"/>
  </r>
  <r>
    <x v="1061"/>
    <s v="Female"/>
    <n v="36"/>
    <s v="FR"/>
    <s v="Free"/>
    <n v="72"/>
    <n v="65"/>
    <n v="0.43"/>
    <s v="Mobile"/>
    <n v="24"/>
    <n v="0"/>
    <n v="0"/>
    <n v="0"/>
    <n v="0"/>
    <x v="4"/>
  </r>
  <r>
    <x v="1062"/>
    <s v="Female"/>
    <n v="56"/>
    <s v="UK"/>
    <s v="Free"/>
    <n v="198"/>
    <n v="28"/>
    <n v="0"/>
    <s v="Web"/>
    <n v="24"/>
    <n v="0"/>
    <n v="0"/>
    <n v="0"/>
    <n v="0"/>
    <x v="4"/>
  </r>
  <r>
    <x v="1063"/>
    <s v="Female"/>
    <n v="37"/>
    <s v="UK"/>
    <s v="Free"/>
    <n v="16"/>
    <n v="43"/>
    <n v="0.39"/>
    <s v="Mobile"/>
    <n v="43"/>
    <n v="0"/>
    <n v="0"/>
    <n v="0"/>
    <n v="0"/>
    <x v="3"/>
  </r>
  <r>
    <x v="1064"/>
    <s v="Other"/>
    <n v="56"/>
    <s v="UK"/>
    <s v="Free"/>
    <n v="125"/>
    <n v="81"/>
    <n v="0.08"/>
    <s v="Web"/>
    <n v="17"/>
    <n v="0"/>
    <n v="0"/>
    <n v="0"/>
    <n v="0"/>
    <x v="1"/>
  </r>
  <r>
    <x v="1065"/>
    <s v="Female"/>
    <n v="25"/>
    <s v="AU"/>
    <s v="Free"/>
    <n v="108"/>
    <n v="53"/>
    <n v="0.14000000000000001"/>
    <s v="Web"/>
    <n v="30"/>
    <n v="0"/>
    <n v="0"/>
    <n v="0"/>
    <n v="0"/>
    <x v="0"/>
  </r>
  <r>
    <x v="1066"/>
    <s v="Male"/>
    <n v="20"/>
    <s v="PK"/>
    <s v="Free"/>
    <n v="102"/>
    <n v="85"/>
    <n v="0.09"/>
    <s v="Mobile"/>
    <n v="39"/>
    <n v="0"/>
    <n v="0"/>
    <n v="0"/>
    <n v="0"/>
    <x v="0"/>
  </r>
  <r>
    <x v="1067"/>
    <s v="Other"/>
    <n v="24"/>
    <s v="CA"/>
    <s v="Free"/>
    <n v="171"/>
    <n v="38"/>
    <n v="0.28000000000000003"/>
    <s v="Web"/>
    <n v="43"/>
    <n v="0"/>
    <n v="0"/>
    <n v="0"/>
    <n v="0"/>
    <x v="3"/>
  </r>
  <r>
    <x v="1068"/>
    <s v="Female"/>
    <n v="44"/>
    <s v="DE"/>
    <s v="Free"/>
    <n v="197"/>
    <n v="85"/>
    <n v="0.39"/>
    <s v="Web"/>
    <n v="18"/>
    <n v="0"/>
    <n v="0"/>
    <n v="0"/>
    <n v="0"/>
    <x v="1"/>
  </r>
  <r>
    <x v="1069"/>
    <s v="Other"/>
    <n v="30"/>
    <s v="FR"/>
    <s v="Free"/>
    <n v="106"/>
    <n v="25"/>
    <n v="0.56999999999999995"/>
    <s v="Web"/>
    <n v="11"/>
    <n v="0"/>
    <n v="1"/>
    <n v="0"/>
    <n v="0"/>
    <x v="1"/>
  </r>
  <r>
    <x v="1070"/>
    <s v="Other"/>
    <n v="42"/>
    <s v="AU"/>
    <s v="Free"/>
    <n v="225"/>
    <n v="8"/>
    <n v="0.32"/>
    <s v="Web"/>
    <n v="8"/>
    <n v="0"/>
    <n v="0"/>
    <n v="0"/>
    <n v="0"/>
    <x v="2"/>
  </r>
  <r>
    <x v="1071"/>
    <s v="Other"/>
    <n v="50"/>
    <s v="AU"/>
    <s v="Free"/>
    <n v="57"/>
    <n v="91"/>
    <n v="0.21"/>
    <s v="Desktop"/>
    <n v="13"/>
    <n v="0"/>
    <n v="0"/>
    <n v="0"/>
    <n v="0"/>
    <x v="1"/>
  </r>
  <r>
    <x v="1072"/>
    <s v="Other"/>
    <n v="26"/>
    <s v="IN"/>
    <s v="Free"/>
    <n v="88"/>
    <n v="91"/>
    <n v="0.25"/>
    <s v="Mobile"/>
    <n v="33"/>
    <n v="0"/>
    <n v="1"/>
    <n v="0"/>
    <n v="0"/>
    <x v="0"/>
  </r>
  <r>
    <x v="1073"/>
    <s v="Male"/>
    <n v="23"/>
    <s v="FR"/>
    <s v="Free"/>
    <n v="115"/>
    <n v="85"/>
    <n v="0.16"/>
    <s v="Web"/>
    <n v="23"/>
    <n v="0"/>
    <n v="1"/>
    <n v="0"/>
    <n v="0"/>
    <x v="4"/>
  </r>
  <r>
    <x v="1074"/>
    <s v="Other"/>
    <n v="34"/>
    <s v="AU"/>
    <s v="Free"/>
    <n v="101"/>
    <n v="26"/>
    <n v="0.19"/>
    <s v="Mobile"/>
    <n v="46"/>
    <n v="0"/>
    <n v="0"/>
    <n v="0"/>
    <n v="0"/>
    <x v="3"/>
  </r>
  <r>
    <x v="1075"/>
    <s v="Male"/>
    <n v="52"/>
    <s v="US"/>
    <s v="Free"/>
    <n v="260"/>
    <n v="11"/>
    <n v="0.12"/>
    <s v="Web"/>
    <n v="11"/>
    <n v="0"/>
    <n v="0"/>
    <n v="0"/>
    <n v="0"/>
    <x v="1"/>
  </r>
  <r>
    <x v="1076"/>
    <s v="Other"/>
    <n v="21"/>
    <s v="FR"/>
    <s v="Free"/>
    <n v="269"/>
    <n v="86"/>
    <n v="0.16"/>
    <s v="Mobile"/>
    <n v="43"/>
    <n v="0"/>
    <n v="1"/>
    <n v="0"/>
    <n v="0"/>
    <x v="3"/>
  </r>
  <r>
    <x v="1077"/>
    <s v="Female"/>
    <n v="30"/>
    <s v="PK"/>
    <s v="Free"/>
    <n v="141"/>
    <n v="1"/>
    <n v="0.49"/>
    <s v="Web"/>
    <n v="13"/>
    <n v="0"/>
    <n v="0"/>
    <n v="0"/>
    <n v="0"/>
    <x v="1"/>
  </r>
  <r>
    <x v="1078"/>
    <s v="Male"/>
    <n v="45"/>
    <s v="AU"/>
    <s v="Free"/>
    <n v="202"/>
    <n v="21"/>
    <n v="0.14000000000000001"/>
    <s v="Mobile"/>
    <n v="41"/>
    <n v="0"/>
    <n v="1"/>
    <n v="0"/>
    <n v="0"/>
    <x v="3"/>
  </r>
  <r>
    <x v="1079"/>
    <s v="Other"/>
    <n v="31"/>
    <s v="PK"/>
    <s v="Free"/>
    <n v="82"/>
    <n v="54"/>
    <n v="0.47"/>
    <s v="Web"/>
    <n v="6"/>
    <n v="0"/>
    <n v="0"/>
    <n v="0"/>
    <n v="0"/>
    <x v="2"/>
  </r>
  <r>
    <x v="1080"/>
    <s v="Female"/>
    <n v="20"/>
    <s v="AU"/>
    <s v="Free"/>
    <n v="286"/>
    <n v="53"/>
    <n v="0.45"/>
    <s v="Desktop"/>
    <n v="46"/>
    <n v="0"/>
    <n v="1"/>
    <n v="0"/>
    <n v="0"/>
    <x v="3"/>
  </r>
  <r>
    <x v="1081"/>
    <s v="Other"/>
    <n v="18"/>
    <s v="CA"/>
    <s v="Free"/>
    <n v="235"/>
    <n v="36"/>
    <n v="0.19"/>
    <s v="Desktop"/>
    <n v="25"/>
    <n v="0"/>
    <n v="0"/>
    <n v="0"/>
    <n v="0"/>
    <x v="4"/>
  </r>
  <r>
    <x v="1082"/>
    <s v="Other"/>
    <n v="45"/>
    <s v="FR"/>
    <s v="Free"/>
    <n v="102"/>
    <n v="77"/>
    <n v="0.1"/>
    <s v="Mobile"/>
    <n v="22"/>
    <n v="0"/>
    <n v="0"/>
    <n v="0"/>
    <n v="0"/>
    <x v="4"/>
  </r>
  <r>
    <x v="1083"/>
    <s v="Female"/>
    <n v="50"/>
    <s v="CA"/>
    <s v="Free"/>
    <n v="272"/>
    <n v="60"/>
    <n v="0.32"/>
    <s v="Desktop"/>
    <n v="5"/>
    <n v="0"/>
    <n v="0"/>
    <n v="0"/>
    <n v="0"/>
    <x v="2"/>
  </r>
  <r>
    <x v="1084"/>
    <s v="Female"/>
    <n v="22"/>
    <s v="DE"/>
    <s v="Free"/>
    <n v="247"/>
    <n v="57"/>
    <n v="0.42"/>
    <s v="Desktop"/>
    <n v="31"/>
    <n v="0"/>
    <n v="1"/>
    <n v="0"/>
    <n v="0"/>
    <x v="0"/>
  </r>
  <r>
    <x v="1085"/>
    <s v="Other"/>
    <n v="19"/>
    <s v="AU"/>
    <s v="Free"/>
    <n v="46"/>
    <n v="22"/>
    <n v="0.11"/>
    <s v="Mobile"/>
    <n v="48"/>
    <n v="0"/>
    <n v="0"/>
    <n v="0"/>
    <n v="0"/>
    <x v="3"/>
  </r>
  <r>
    <x v="1086"/>
    <s v="Male"/>
    <n v="22"/>
    <s v="DE"/>
    <s v="Free"/>
    <n v="282"/>
    <n v="31"/>
    <n v="0.6"/>
    <s v="Desktop"/>
    <n v="6"/>
    <n v="0"/>
    <n v="0"/>
    <n v="0"/>
    <n v="0"/>
    <x v="2"/>
  </r>
  <r>
    <x v="1087"/>
    <s v="Male"/>
    <n v="30"/>
    <s v="US"/>
    <s v="Free"/>
    <n v="103"/>
    <n v="11"/>
    <n v="0.25"/>
    <s v="Desktop"/>
    <n v="24"/>
    <n v="0"/>
    <n v="0"/>
    <n v="0"/>
    <n v="0"/>
    <x v="4"/>
  </r>
  <r>
    <x v="1088"/>
    <s v="Other"/>
    <n v="53"/>
    <s v="FR"/>
    <s v="Free"/>
    <n v="167"/>
    <n v="2"/>
    <n v="0.1"/>
    <s v="Mobile"/>
    <n v="34"/>
    <n v="0"/>
    <n v="0"/>
    <n v="0"/>
    <n v="0"/>
    <x v="0"/>
  </r>
  <r>
    <x v="1089"/>
    <s v="Other"/>
    <n v="45"/>
    <s v="DE"/>
    <s v="Free"/>
    <n v="219"/>
    <n v="68"/>
    <n v="0.6"/>
    <s v="Desktop"/>
    <n v="45"/>
    <n v="0"/>
    <n v="0"/>
    <n v="0"/>
    <n v="0"/>
    <x v="3"/>
  </r>
  <r>
    <x v="1090"/>
    <s v="Male"/>
    <n v="33"/>
    <s v="AU"/>
    <s v="Free"/>
    <n v="160"/>
    <n v="40"/>
    <n v="0.03"/>
    <s v="Web"/>
    <n v="18"/>
    <n v="0"/>
    <n v="0"/>
    <n v="0"/>
    <n v="0"/>
    <x v="1"/>
  </r>
  <r>
    <x v="1091"/>
    <s v="Female"/>
    <n v="20"/>
    <s v="US"/>
    <s v="Free"/>
    <n v="133"/>
    <n v="65"/>
    <n v="0.04"/>
    <s v="Desktop"/>
    <n v="29"/>
    <n v="0"/>
    <n v="0"/>
    <n v="0"/>
    <n v="0"/>
    <x v="4"/>
  </r>
  <r>
    <x v="1092"/>
    <s v="Male"/>
    <n v="39"/>
    <s v="FR"/>
    <s v="Free"/>
    <n v="132"/>
    <n v="69"/>
    <n v="0.57999999999999996"/>
    <s v="Web"/>
    <n v="31"/>
    <n v="0"/>
    <n v="0"/>
    <n v="0"/>
    <n v="0"/>
    <x v="0"/>
  </r>
  <r>
    <x v="1093"/>
    <s v="Male"/>
    <n v="51"/>
    <s v="CA"/>
    <s v="Free"/>
    <n v="165"/>
    <n v="81"/>
    <n v="0.54"/>
    <s v="Mobile"/>
    <n v="20"/>
    <n v="0"/>
    <n v="0"/>
    <n v="0"/>
    <n v="0"/>
    <x v="4"/>
  </r>
  <r>
    <x v="1094"/>
    <s v="Other"/>
    <n v="45"/>
    <s v="PK"/>
    <s v="Free"/>
    <n v="90"/>
    <n v="29"/>
    <n v="0.06"/>
    <s v="Desktop"/>
    <n v="14"/>
    <n v="0"/>
    <n v="1"/>
    <n v="0"/>
    <n v="0"/>
    <x v="1"/>
  </r>
  <r>
    <x v="1095"/>
    <s v="Female"/>
    <n v="25"/>
    <s v="PK"/>
    <s v="Free"/>
    <n v="251"/>
    <n v="68"/>
    <n v="0.28000000000000003"/>
    <s v="Web"/>
    <n v="14"/>
    <n v="0"/>
    <n v="0"/>
    <n v="0"/>
    <n v="0"/>
    <x v="1"/>
  </r>
  <r>
    <x v="1096"/>
    <s v="Female"/>
    <n v="55"/>
    <s v="PK"/>
    <s v="Free"/>
    <n v="133"/>
    <n v="75"/>
    <n v="0.39"/>
    <s v="Desktop"/>
    <n v="10"/>
    <n v="0"/>
    <n v="0"/>
    <n v="0"/>
    <n v="0"/>
    <x v="1"/>
  </r>
  <r>
    <x v="1097"/>
    <s v="Female"/>
    <n v="51"/>
    <s v="IN"/>
    <s v="Free"/>
    <n v="17"/>
    <n v="2"/>
    <n v="0.39"/>
    <s v="Desktop"/>
    <n v="18"/>
    <n v="0"/>
    <n v="0"/>
    <n v="0"/>
    <n v="0"/>
    <x v="1"/>
  </r>
  <r>
    <x v="1098"/>
    <s v="Male"/>
    <n v="45"/>
    <s v="PK"/>
    <s v="Free"/>
    <n v="93"/>
    <n v="83"/>
    <n v="0.04"/>
    <s v="Web"/>
    <n v="32"/>
    <n v="0"/>
    <n v="0"/>
    <n v="0"/>
    <n v="0"/>
    <x v="0"/>
  </r>
  <r>
    <x v="1099"/>
    <s v="Female"/>
    <n v="47"/>
    <s v="CA"/>
    <s v="Free"/>
    <n v="105"/>
    <n v="30"/>
    <n v="0.51"/>
    <s v="Mobile"/>
    <n v="5"/>
    <n v="0"/>
    <n v="0"/>
    <n v="0"/>
    <n v="0"/>
    <x v="2"/>
  </r>
  <r>
    <x v="1100"/>
    <s v="Male"/>
    <n v="16"/>
    <s v="FR"/>
    <s v="Free"/>
    <n v="259"/>
    <n v="88"/>
    <n v="0.19"/>
    <s v="Desktop"/>
    <n v="12"/>
    <n v="0"/>
    <n v="0"/>
    <n v="0"/>
    <n v="0"/>
    <x v="1"/>
  </r>
  <r>
    <x v="1101"/>
    <s v="Male"/>
    <n v="46"/>
    <s v="PK"/>
    <s v="Free"/>
    <n v="204"/>
    <n v="80"/>
    <n v="0.25"/>
    <s v="Desktop"/>
    <n v="47"/>
    <n v="0"/>
    <n v="0"/>
    <n v="0"/>
    <n v="0"/>
    <x v="3"/>
  </r>
  <r>
    <x v="1102"/>
    <s v="Female"/>
    <n v="49"/>
    <s v="US"/>
    <s v="Free"/>
    <n v="158"/>
    <n v="44"/>
    <n v="0.09"/>
    <s v="Desktop"/>
    <n v="34"/>
    <n v="0"/>
    <n v="1"/>
    <n v="0"/>
    <n v="0"/>
    <x v="0"/>
  </r>
  <r>
    <x v="1103"/>
    <s v="Female"/>
    <n v="21"/>
    <s v="FR"/>
    <s v="Free"/>
    <n v="174"/>
    <n v="8"/>
    <n v="0.08"/>
    <s v="Mobile"/>
    <n v="14"/>
    <n v="0"/>
    <n v="1"/>
    <n v="0"/>
    <n v="0"/>
    <x v="1"/>
  </r>
  <r>
    <x v="1104"/>
    <s v="Male"/>
    <n v="21"/>
    <s v="FR"/>
    <s v="Free"/>
    <n v="292"/>
    <n v="83"/>
    <n v="0.3"/>
    <s v="Desktop"/>
    <n v="44"/>
    <n v="0"/>
    <n v="1"/>
    <n v="0"/>
    <n v="0"/>
    <x v="3"/>
  </r>
  <r>
    <x v="1105"/>
    <s v="Other"/>
    <n v="27"/>
    <s v="DE"/>
    <s v="Free"/>
    <n v="261"/>
    <n v="9"/>
    <n v="0.12"/>
    <s v="Web"/>
    <n v="48"/>
    <n v="0"/>
    <n v="0"/>
    <n v="0"/>
    <n v="0"/>
    <x v="3"/>
  </r>
  <r>
    <x v="1106"/>
    <s v="Other"/>
    <n v="48"/>
    <s v="AU"/>
    <s v="Free"/>
    <n v="92"/>
    <n v="61"/>
    <n v="0.27"/>
    <s v="Mobile"/>
    <n v="46"/>
    <n v="0"/>
    <n v="0"/>
    <n v="0"/>
    <n v="0"/>
    <x v="3"/>
  </r>
  <r>
    <x v="1107"/>
    <s v="Female"/>
    <n v="32"/>
    <s v="PK"/>
    <s v="Free"/>
    <n v="137"/>
    <n v="88"/>
    <n v="0.21"/>
    <s v="Mobile"/>
    <n v="35"/>
    <n v="0"/>
    <n v="0"/>
    <n v="0"/>
    <n v="0"/>
    <x v="0"/>
  </r>
  <r>
    <x v="1108"/>
    <s v="Male"/>
    <n v="41"/>
    <s v="IN"/>
    <s v="Free"/>
    <n v="61"/>
    <n v="1"/>
    <n v="0.39"/>
    <s v="Mobile"/>
    <n v="16"/>
    <n v="0"/>
    <n v="1"/>
    <n v="0"/>
    <n v="0"/>
    <x v="1"/>
  </r>
  <r>
    <x v="1109"/>
    <s v="Male"/>
    <n v="45"/>
    <s v="CA"/>
    <s v="Free"/>
    <n v="243"/>
    <n v="39"/>
    <n v="0.31"/>
    <s v="Desktop"/>
    <n v="47"/>
    <n v="0"/>
    <n v="0"/>
    <n v="0"/>
    <n v="0"/>
    <x v="3"/>
  </r>
  <r>
    <x v="1110"/>
    <s v="Male"/>
    <n v="45"/>
    <s v="CA"/>
    <s v="Free"/>
    <n v="201"/>
    <n v="39"/>
    <n v="0.51"/>
    <s v="Mobile"/>
    <n v="13"/>
    <n v="0"/>
    <n v="0"/>
    <n v="0"/>
    <n v="0"/>
    <x v="1"/>
  </r>
  <r>
    <x v="1111"/>
    <s v="Other"/>
    <n v="45"/>
    <s v="FR"/>
    <s v="Free"/>
    <n v="290"/>
    <n v="27"/>
    <n v="0.47"/>
    <s v="Mobile"/>
    <n v="29"/>
    <n v="0"/>
    <n v="1"/>
    <n v="0"/>
    <n v="0"/>
    <x v="4"/>
  </r>
  <r>
    <x v="1112"/>
    <s v="Female"/>
    <n v="27"/>
    <s v="IN"/>
    <s v="Free"/>
    <n v="250"/>
    <n v="24"/>
    <n v="0.38"/>
    <s v="Mobile"/>
    <n v="6"/>
    <n v="0"/>
    <n v="0"/>
    <n v="0"/>
    <n v="0"/>
    <x v="2"/>
  </r>
  <r>
    <x v="1113"/>
    <s v="Female"/>
    <n v="21"/>
    <s v="DE"/>
    <s v="Free"/>
    <n v="195"/>
    <n v="55"/>
    <n v="7.0000000000000007E-2"/>
    <s v="Desktop"/>
    <n v="43"/>
    <n v="0"/>
    <n v="1"/>
    <n v="0"/>
    <n v="0"/>
    <x v="3"/>
  </r>
  <r>
    <x v="1114"/>
    <s v="Female"/>
    <n v="23"/>
    <s v="CA"/>
    <s v="Free"/>
    <n v="234"/>
    <n v="87"/>
    <n v="0.27"/>
    <s v="Desktop"/>
    <n v="25"/>
    <n v="0"/>
    <n v="0"/>
    <n v="0"/>
    <n v="0"/>
    <x v="4"/>
  </r>
  <r>
    <x v="1115"/>
    <s v="Male"/>
    <n v="53"/>
    <s v="IN"/>
    <s v="Free"/>
    <n v="289"/>
    <n v="55"/>
    <n v="0.25"/>
    <s v="Desktop"/>
    <n v="46"/>
    <n v="0"/>
    <n v="0"/>
    <n v="0"/>
    <n v="0"/>
    <x v="3"/>
  </r>
  <r>
    <x v="1116"/>
    <s v="Male"/>
    <n v="22"/>
    <s v="IN"/>
    <s v="Free"/>
    <n v="291"/>
    <n v="43"/>
    <n v="0.14000000000000001"/>
    <s v="Desktop"/>
    <n v="7"/>
    <n v="0"/>
    <n v="1"/>
    <n v="0"/>
    <n v="0"/>
    <x v="2"/>
  </r>
  <r>
    <x v="1117"/>
    <s v="Male"/>
    <n v="52"/>
    <s v="CA"/>
    <s v="Free"/>
    <n v="153"/>
    <n v="97"/>
    <n v="0.39"/>
    <s v="Desktop"/>
    <n v="48"/>
    <n v="0"/>
    <n v="0"/>
    <n v="0"/>
    <n v="0"/>
    <x v="3"/>
  </r>
  <r>
    <x v="1118"/>
    <s v="Male"/>
    <n v="34"/>
    <s v="IN"/>
    <s v="Free"/>
    <n v="203"/>
    <n v="56"/>
    <n v="0.04"/>
    <s v="Web"/>
    <n v="19"/>
    <n v="0"/>
    <n v="0"/>
    <n v="0"/>
    <n v="0"/>
    <x v="1"/>
  </r>
  <r>
    <x v="1119"/>
    <s v="Other"/>
    <n v="57"/>
    <s v="US"/>
    <s v="Free"/>
    <n v="106"/>
    <n v="47"/>
    <n v="0.4"/>
    <s v="Web"/>
    <n v="20"/>
    <n v="0"/>
    <n v="1"/>
    <n v="0"/>
    <n v="0"/>
    <x v="4"/>
  </r>
  <r>
    <x v="1120"/>
    <s v="Female"/>
    <n v="19"/>
    <s v="CA"/>
    <s v="Free"/>
    <n v="150"/>
    <n v="20"/>
    <n v="0.34"/>
    <s v="Mobile"/>
    <n v="39"/>
    <n v="0"/>
    <n v="0"/>
    <n v="0"/>
    <n v="0"/>
    <x v="0"/>
  </r>
  <r>
    <x v="1121"/>
    <s v="Male"/>
    <n v="16"/>
    <s v="AU"/>
    <s v="Free"/>
    <n v="60"/>
    <n v="9"/>
    <n v="0.6"/>
    <s v="Desktop"/>
    <n v="39"/>
    <n v="0"/>
    <n v="0"/>
    <n v="0"/>
    <n v="0"/>
    <x v="0"/>
  </r>
  <r>
    <x v="1122"/>
    <s v="Female"/>
    <n v="55"/>
    <s v="PK"/>
    <s v="Free"/>
    <n v="179"/>
    <n v="44"/>
    <n v="0.3"/>
    <s v="Web"/>
    <n v="20"/>
    <n v="0"/>
    <n v="0"/>
    <n v="0"/>
    <n v="0"/>
    <x v="4"/>
  </r>
  <r>
    <x v="1123"/>
    <s v="Female"/>
    <n v="55"/>
    <s v="CA"/>
    <s v="Free"/>
    <n v="285"/>
    <n v="30"/>
    <n v="0.33"/>
    <s v="Mobile"/>
    <n v="27"/>
    <n v="0"/>
    <n v="0"/>
    <n v="0"/>
    <n v="0"/>
    <x v="4"/>
  </r>
  <r>
    <x v="1124"/>
    <s v="Other"/>
    <n v="16"/>
    <s v="IN"/>
    <s v="Free"/>
    <n v="296"/>
    <n v="77"/>
    <n v="0.1"/>
    <s v="Web"/>
    <n v="22"/>
    <n v="0"/>
    <n v="0"/>
    <n v="0"/>
    <n v="0"/>
    <x v="4"/>
  </r>
  <r>
    <x v="1125"/>
    <s v="Other"/>
    <n v="47"/>
    <s v="US"/>
    <s v="Free"/>
    <n v="283"/>
    <n v="24"/>
    <n v="0.15"/>
    <s v="Web"/>
    <n v="28"/>
    <n v="0"/>
    <n v="0"/>
    <n v="0"/>
    <n v="0"/>
    <x v="4"/>
  </r>
  <r>
    <x v="1126"/>
    <s v="Female"/>
    <n v="30"/>
    <s v="IN"/>
    <s v="Free"/>
    <n v="159"/>
    <n v="57"/>
    <n v="0.46"/>
    <s v="Desktop"/>
    <n v="15"/>
    <n v="0"/>
    <n v="0"/>
    <n v="0"/>
    <n v="0"/>
    <x v="1"/>
  </r>
  <r>
    <x v="1127"/>
    <s v="Male"/>
    <n v="29"/>
    <s v="PK"/>
    <s v="Free"/>
    <n v="92"/>
    <n v="96"/>
    <n v="0.08"/>
    <s v="Web"/>
    <n v="43"/>
    <n v="0"/>
    <n v="0"/>
    <n v="0"/>
    <n v="0"/>
    <x v="3"/>
  </r>
  <r>
    <x v="1128"/>
    <s v="Male"/>
    <n v="26"/>
    <s v="FR"/>
    <s v="Free"/>
    <n v="86"/>
    <n v="65"/>
    <n v="0"/>
    <s v="Desktop"/>
    <n v="32"/>
    <n v="0"/>
    <n v="0"/>
    <n v="0"/>
    <n v="0"/>
    <x v="0"/>
  </r>
  <r>
    <x v="1129"/>
    <s v="Other"/>
    <n v="45"/>
    <s v="AU"/>
    <s v="Free"/>
    <n v="209"/>
    <n v="81"/>
    <n v="0.26"/>
    <s v="Mobile"/>
    <n v="26"/>
    <n v="0"/>
    <n v="1"/>
    <n v="0"/>
    <n v="0"/>
    <x v="4"/>
  </r>
  <r>
    <x v="1130"/>
    <s v="Other"/>
    <n v="47"/>
    <s v="FR"/>
    <s v="Free"/>
    <n v="135"/>
    <n v="28"/>
    <n v="0.32"/>
    <s v="Desktop"/>
    <n v="34"/>
    <n v="0"/>
    <n v="0"/>
    <n v="0"/>
    <n v="0"/>
    <x v="0"/>
  </r>
  <r>
    <x v="1131"/>
    <s v="Female"/>
    <n v="44"/>
    <s v="CA"/>
    <s v="Free"/>
    <n v="209"/>
    <n v="34"/>
    <n v="0.44"/>
    <s v="Mobile"/>
    <n v="19"/>
    <n v="0"/>
    <n v="0"/>
    <n v="0"/>
    <n v="0"/>
    <x v="1"/>
  </r>
  <r>
    <x v="1132"/>
    <s v="Male"/>
    <n v="30"/>
    <s v="IN"/>
    <s v="Free"/>
    <n v="204"/>
    <n v="97"/>
    <n v="0.31"/>
    <s v="Web"/>
    <n v="9"/>
    <n v="0"/>
    <n v="0"/>
    <n v="0"/>
    <n v="0"/>
    <x v="2"/>
  </r>
  <r>
    <x v="1133"/>
    <s v="Other"/>
    <n v="43"/>
    <s v="CA"/>
    <s v="Free"/>
    <n v="201"/>
    <n v="37"/>
    <n v="0.19"/>
    <s v="Web"/>
    <n v="49"/>
    <n v="0"/>
    <n v="0"/>
    <n v="0"/>
    <n v="0"/>
    <x v="3"/>
  </r>
  <r>
    <x v="1134"/>
    <s v="Female"/>
    <n v="36"/>
    <s v="UK"/>
    <s v="Free"/>
    <n v="276"/>
    <n v="29"/>
    <n v="0.56000000000000005"/>
    <s v="Web"/>
    <n v="47"/>
    <n v="0"/>
    <n v="0"/>
    <n v="0"/>
    <n v="0"/>
    <x v="3"/>
  </r>
  <r>
    <x v="1135"/>
    <s v="Male"/>
    <n v="30"/>
    <s v="AU"/>
    <s v="Free"/>
    <n v="150"/>
    <n v="9"/>
    <n v="0.05"/>
    <s v="Web"/>
    <n v="40"/>
    <n v="0"/>
    <n v="0"/>
    <n v="0"/>
    <n v="0"/>
    <x v="3"/>
  </r>
  <r>
    <x v="1136"/>
    <s v="Male"/>
    <n v="41"/>
    <s v="PK"/>
    <s v="Free"/>
    <n v="20"/>
    <n v="84"/>
    <n v="0.52"/>
    <s v="Mobile"/>
    <n v="17"/>
    <n v="0"/>
    <n v="1"/>
    <n v="0"/>
    <n v="0"/>
    <x v="1"/>
  </r>
  <r>
    <x v="1137"/>
    <s v="Male"/>
    <n v="27"/>
    <s v="DE"/>
    <s v="Free"/>
    <n v="297"/>
    <n v="18"/>
    <n v="0.15"/>
    <s v="Desktop"/>
    <n v="41"/>
    <n v="0"/>
    <n v="0"/>
    <n v="0"/>
    <n v="0"/>
    <x v="3"/>
  </r>
  <r>
    <x v="1138"/>
    <s v="Female"/>
    <n v="46"/>
    <s v="PK"/>
    <s v="Free"/>
    <n v="296"/>
    <n v="52"/>
    <n v="0.33"/>
    <s v="Mobile"/>
    <n v="31"/>
    <n v="0"/>
    <n v="0"/>
    <n v="0"/>
    <n v="0"/>
    <x v="0"/>
  </r>
  <r>
    <x v="1139"/>
    <s v="Female"/>
    <n v="46"/>
    <s v="PK"/>
    <s v="Free"/>
    <n v="225"/>
    <n v="18"/>
    <n v="0"/>
    <s v="Web"/>
    <n v="48"/>
    <n v="0"/>
    <n v="0"/>
    <n v="0"/>
    <n v="0"/>
    <x v="3"/>
  </r>
  <r>
    <x v="1140"/>
    <s v="Male"/>
    <n v="36"/>
    <s v="AU"/>
    <s v="Free"/>
    <n v="34"/>
    <n v="24"/>
    <n v="0.35"/>
    <s v="Desktop"/>
    <n v="23"/>
    <n v="0"/>
    <n v="0"/>
    <n v="0"/>
    <n v="0"/>
    <x v="4"/>
  </r>
  <r>
    <x v="1141"/>
    <s v="Other"/>
    <n v="51"/>
    <s v="UK"/>
    <s v="Free"/>
    <n v="97"/>
    <n v="36"/>
    <n v="0.25"/>
    <s v="Desktop"/>
    <n v="10"/>
    <n v="0"/>
    <n v="0"/>
    <n v="0"/>
    <n v="0"/>
    <x v="1"/>
  </r>
  <r>
    <x v="1142"/>
    <s v="Other"/>
    <n v="29"/>
    <s v="IN"/>
    <s v="Free"/>
    <n v="254"/>
    <n v="81"/>
    <n v="0.59"/>
    <s v="Mobile"/>
    <n v="27"/>
    <n v="0"/>
    <n v="0"/>
    <n v="0"/>
    <n v="0"/>
    <x v="4"/>
  </r>
  <r>
    <x v="1143"/>
    <s v="Other"/>
    <n v="23"/>
    <s v="IN"/>
    <s v="Free"/>
    <n v="27"/>
    <n v="95"/>
    <n v="0.4"/>
    <s v="Mobile"/>
    <n v="47"/>
    <n v="0"/>
    <n v="0"/>
    <n v="0"/>
    <n v="0"/>
    <x v="3"/>
  </r>
  <r>
    <x v="1144"/>
    <s v="Other"/>
    <n v="24"/>
    <s v="FR"/>
    <s v="Free"/>
    <n v="271"/>
    <n v="7"/>
    <n v="0.12"/>
    <s v="Desktop"/>
    <n v="48"/>
    <n v="0"/>
    <n v="0"/>
    <n v="0"/>
    <n v="0"/>
    <x v="3"/>
  </r>
  <r>
    <x v="1145"/>
    <s v="Female"/>
    <n v="58"/>
    <s v="US"/>
    <s v="Free"/>
    <n v="257"/>
    <n v="56"/>
    <n v="0.25"/>
    <s v="Mobile"/>
    <n v="24"/>
    <n v="0"/>
    <n v="0"/>
    <n v="0"/>
    <n v="0"/>
    <x v="4"/>
  </r>
  <r>
    <x v="1146"/>
    <s v="Other"/>
    <n v="52"/>
    <s v="IN"/>
    <s v="Free"/>
    <n v="63"/>
    <n v="99"/>
    <n v="0.41"/>
    <s v="Desktop"/>
    <n v="15"/>
    <n v="0"/>
    <n v="0"/>
    <n v="0"/>
    <n v="0"/>
    <x v="1"/>
  </r>
  <r>
    <x v="1147"/>
    <s v="Other"/>
    <n v="58"/>
    <s v="DE"/>
    <s v="Free"/>
    <n v="22"/>
    <n v="74"/>
    <n v="0.25"/>
    <s v="Mobile"/>
    <n v="20"/>
    <n v="0"/>
    <n v="1"/>
    <n v="0"/>
    <n v="0"/>
    <x v="4"/>
  </r>
  <r>
    <x v="1148"/>
    <s v="Male"/>
    <n v="57"/>
    <s v="PK"/>
    <s v="Free"/>
    <n v="230"/>
    <n v="65"/>
    <n v="0.49"/>
    <s v="Desktop"/>
    <n v="15"/>
    <n v="0"/>
    <n v="1"/>
    <n v="0"/>
    <n v="0"/>
    <x v="1"/>
  </r>
  <r>
    <x v="1149"/>
    <s v="Male"/>
    <n v="40"/>
    <s v="CA"/>
    <s v="Free"/>
    <n v="86"/>
    <n v="18"/>
    <n v="0.31"/>
    <s v="Mobile"/>
    <n v="48"/>
    <n v="0"/>
    <n v="0"/>
    <n v="0"/>
    <n v="0"/>
    <x v="3"/>
  </r>
  <r>
    <x v="1150"/>
    <s v="Female"/>
    <n v="28"/>
    <s v="DE"/>
    <s v="Free"/>
    <n v="255"/>
    <n v="68"/>
    <n v="0.1"/>
    <s v="Mobile"/>
    <n v="45"/>
    <n v="0"/>
    <n v="1"/>
    <n v="0"/>
    <n v="0"/>
    <x v="3"/>
  </r>
  <r>
    <x v="1151"/>
    <s v="Female"/>
    <n v="40"/>
    <s v="AU"/>
    <s v="Free"/>
    <n v="35"/>
    <n v="43"/>
    <n v="0.12"/>
    <s v="Mobile"/>
    <n v="38"/>
    <n v="0"/>
    <n v="0"/>
    <n v="0"/>
    <n v="0"/>
    <x v="0"/>
  </r>
  <r>
    <x v="1152"/>
    <s v="Male"/>
    <n v="33"/>
    <s v="DE"/>
    <s v="Free"/>
    <n v="219"/>
    <n v="55"/>
    <n v="0.52"/>
    <s v="Web"/>
    <n v="7"/>
    <n v="0"/>
    <n v="0"/>
    <n v="0"/>
    <n v="0"/>
    <x v="2"/>
  </r>
  <r>
    <x v="1153"/>
    <s v="Female"/>
    <n v="17"/>
    <s v="UK"/>
    <s v="Free"/>
    <n v="204"/>
    <n v="6"/>
    <n v="0.49"/>
    <s v="Web"/>
    <n v="44"/>
    <n v="0"/>
    <n v="0"/>
    <n v="0"/>
    <n v="0"/>
    <x v="3"/>
  </r>
  <r>
    <x v="1154"/>
    <s v="Female"/>
    <n v="38"/>
    <s v="FR"/>
    <s v="Free"/>
    <n v="42"/>
    <n v="31"/>
    <n v="0.51"/>
    <s v="Mobile"/>
    <n v="15"/>
    <n v="0"/>
    <n v="0"/>
    <n v="0"/>
    <n v="0"/>
    <x v="1"/>
  </r>
  <r>
    <x v="1155"/>
    <s v="Male"/>
    <n v="26"/>
    <s v="UK"/>
    <s v="Free"/>
    <n v="233"/>
    <n v="69"/>
    <n v="0.42"/>
    <s v="Desktop"/>
    <n v="16"/>
    <n v="0"/>
    <n v="0"/>
    <n v="0"/>
    <n v="0"/>
    <x v="1"/>
  </r>
  <r>
    <x v="1156"/>
    <s v="Other"/>
    <n v="24"/>
    <s v="CA"/>
    <s v="Free"/>
    <n v="88"/>
    <n v="72"/>
    <n v="0.3"/>
    <s v="Web"/>
    <n v="41"/>
    <n v="0"/>
    <n v="0"/>
    <n v="0"/>
    <n v="0"/>
    <x v="3"/>
  </r>
  <r>
    <x v="1157"/>
    <s v="Male"/>
    <n v="36"/>
    <s v="UK"/>
    <s v="Free"/>
    <n v="192"/>
    <n v="45"/>
    <n v="0.35"/>
    <s v="Web"/>
    <n v="37"/>
    <n v="0"/>
    <n v="1"/>
    <n v="0"/>
    <n v="0"/>
    <x v="0"/>
  </r>
  <r>
    <x v="1158"/>
    <s v="Other"/>
    <n v="44"/>
    <s v="FR"/>
    <s v="Free"/>
    <n v="241"/>
    <n v="42"/>
    <n v="0.19"/>
    <s v="Mobile"/>
    <n v="33"/>
    <n v="0"/>
    <n v="1"/>
    <n v="0"/>
    <n v="0"/>
    <x v="0"/>
  </r>
  <r>
    <x v="1159"/>
    <s v="Female"/>
    <n v="39"/>
    <s v="CA"/>
    <s v="Free"/>
    <n v="68"/>
    <n v="43"/>
    <n v="0.1"/>
    <s v="Mobile"/>
    <n v="5"/>
    <n v="0"/>
    <n v="1"/>
    <n v="0"/>
    <n v="0"/>
    <x v="2"/>
  </r>
  <r>
    <x v="1160"/>
    <s v="Female"/>
    <n v="35"/>
    <s v="UK"/>
    <s v="Free"/>
    <n v="227"/>
    <n v="82"/>
    <n v="0.59"/>
    <s v="Desktop"/>
    <n v="7"/>
    <n v="0"/>
    <n v="1"/>
    <n v="0"/>
    <n v="0"/>
    <x v="2"/>
  </r>
  <r>
    <x v="1161"/>
    <s v="Other"/>
    <n v="45"/>
    <s v="US"/>
    <s v="Free"/>
    <n v="181"/>
    <n v="87"/>
    <n v="0.56999999999999995"/>
    <s v="Mobile"/>
    <n v="40"/>
    <n v="0"/>
    <n v="0"/>
    <n v="0"/>
    <n v="0"/>
    <x v="3"/>
  </r>
  <r>
    <x v="1162"/>
    <s v="Female"/>
    <n v="48"/>
    <s v="AU"/>
    <s v="Free"/>
    <n v="29"/>
    <n v="99"/>
    <n v="0.4"/>
    <s v="Desktop"/>
    <n v="20"/>
    <n v="0"/>
    <n v="0"/>
    <n v="0"/>
    <n v="0"/>
    <x v="4"/>
  </r>
  <r>
    <x v="1163"/>
    <s v="Other"/>
    <n v="48"/>
    <s v="US"/>
    <s v="Free"/>
    <n v="107"/>
    <n v="6"/>
    <n v="0.06"/>
    <s v="Web"/>
    <n v="45"/>
    <n v="0"/>
    <n v="0"/>
    <n v="0"/>
    <n v="0"/>
    <x v="3"/>
  </r>
  <r>
    <x v="1164"/>
    <s v="Male"/>
    <n v="23"/>
    <s v="UK"/>
    <s v="Free"/>
    <n v="20"/>
    <n v="90"/>
    <n v="0.01"/>
    <s v="Web"/>
    <n v="44"/>
    <n v="0"/>
    <n v="1"/>
    <n v="0"/>
    <n v="0"/>
    <x v="3"/>
  </r>
  <r>
    <x v="1165"/>
    <s v="Other"/>
    <n v="28"/>
    <s v="PK"/>
    <s v="Free"/>
    <n v="108"/>
    <n v="68"/>
    <n v="0"/>
    <s v="Desktop"/>
    <n v="21"/>
    <n v="0"/>
    <n v="1"/>
    <n v="0"/>
    <n v="0"/>
    <x v="4"/>
  </r>
  <r>
    <x v="1166"/>
    <s v="Other"/>
    <n v="46"/>
    <s v="FR"/>
    <s v="Free"/>
    <n v="10"/>
    <n v="41"/>
    <n v="0.52"/>
    <s v="Desktop"/>
    <n v="20"/>
    <n v="0"/>
    <n v="1"/>
    <n v="0"/>
    <n v="0"/>
    <x v="4"/>
  </r>
  <r>
    <x v="1167"/>
    <s v="Other"/>
    <n v="23"/>
    <s v="DE"/>
    <s v="Free"/>
    <n v="155"/>
    <n v="88"/>
    <n v="0.34"/>
    <s v="Web"/>
    <n v="9"/>
    <n v="0"/>
    <n v="0"/>
    <n v="0"/>
    <n v="0"/>
    <x v="2"/>
  </r>
  <r>
    <x v="1168"/>
    <s v="Female"/>
    <n v="54"/>
    <s v="UK"/>
    <s v="Free"/>
    <n v="33"/>
    <n v="61"/>
    <n v="0.59"/>
    <s v="Mobile"/>
    <n v="29"/>
    <n v="0"/>
    <n v="1"/>
    <n v="0"/>
    <n v="0"/>
    <x v="4"/>
  </r>
  <r>
    <x v="1169"/>
    <s v="Female"/>
    <n v="49"/>
    <s v="CA"/>
    <s v="Free"/>
    <n v="121"/>
    <n v="19"/>
    <n v="0.24"/>
    <s v="Web"/>
    <n v="46"/>
    <n v="0"/>
    <n v="0"/>
    <n v="0"/>
    <n v="0"/>
    <x v="3"/>
  </r>
  <r>
    <x v="1170"/>
    <s v="Female"/>
    <n v="29"/>
    <s v="FR"/>
    <s v="Free"/>
    <n v="114"/>
    <n v="32"/>
    <n v="0.1"/>
    <s v="Web"/>
    <n v="12"/>
    <n v="0"/>
    <n v="0"/>
    <n v="0"/>
    <n v="0"/>
    <x v="1"/>
  </r>
  <r>
    <x v="1171"/>
    <s v="Other"/>
    <n v="36"/>
    <s v="CA"/>
    <s v="Free"/>
    <n v="106"/>
    <n v="30"/>
    <n v="0.47"/>
    <s v="Desktop"/>
    <n v="35"/>
    <n v="0"/>
    <n v="0"/>
    <n v="0"/>
    <n v="0"/>
    <x v="0"/>
  </r>
  <r>
    <x v="1172"/>
    <s v="Male"/>
    <n v="27"/>
    <s v="CA"/>
    <s v="Free"/>
    <n v="61"/>
    <n v="63"/>
    <n v="0.11"/>
    <s v="Web"/>
    <n v="13"/>
    <n v="0"/>
    <n v="0"/>
    <n v="0"/>
    <n v="0"/>
    <x v="1"/>
  </r>
  <r>
    <x v="1173"/>
    <s v="Male"/>
    <n v="47"/>
    <s v="IN"/>
    <s v="Free"/>
    <n v="287"/>
    <n v="80"/>
    <n v="0.43"/>
    <s v="Web"/>
    <n v="24"/>
    <n v="0"/>
    <n v="1"/>
    <n v="0"/>
    <n v="0"/>
    <x v="4"/>
  </r>
  <r>
    <x v="1174"/>
    <s v="Male"/>
    <n v="21"/>
    <s v="IN"/>
    <s v="Free"/>
    <n v="121"/>
    <n v="15"/>
    <n v="0.01"/>
    <s v="Web"/>
    <n v="17"/>
    <n v="0"/>
    <n v="0"/>
    <n v="0"/>
    <n v="0"/>
    <x v="1"/>
  </r>
  <r>
    <x v="1175"/>
    <s v="Male"/>
    <n v="52"/>
    <s v="UK"/>
    <s v="Free"/>
    <n v="253"/>
    <n v="43"/>
    <n v="0.41"/>
    <s v="Desktop"/>
    <n v="43"/>
    <n v="0"/>
    <n v="0"/>
    <n v="0"/>
    <n v="0"/>
    <x v="3"/>
  </r>
  <r>
    <x v="1176"/>
    <s v="Female"/>
    <n v="31"/>
    <s v="AU"/>
    <s v="Free"/>
    <n v="159"/>
    <n v="52"/>
    <n v="0"/>
    <s v="Mobile"/>
    <n v="41"/>
    <n v="0"/>
    <n v="1"/>
    <n v="0"/>
    <n v="0"/>
    <x v="3"/>
  </r>
  <r>
    <x v="1177"/>
    <s v="Other"/>
    <n v="28"/>
    <s v="AU"/>
    <s v="Free"/>
    <n v="26"/>
    <n v="36"/>
    <n v="0.47"/>
    <s v="Desktop"/>
    <n v="35"/>
    <n v="0"/>
    <n v="0"/>
    <n v="0"/>
    <n v="0"/>
    <x v="0"/>
  </r>
  <r>
    <x v="1178"/>
    <s v="Other"/>
    <n v="46"/>
    <s v="IN"/>
    <s v="Free"/>
    <n v="238"/>
    <n v="29"/>
    <n v="0.45"/>
    <s v="Mobile"/>
    <n v="26"/>
    <n v="0"/>
    <n v="0"/>
    <n v="0"/>
    <n v="0"/>
    <x v="4"/>
  </r>
  <r>
    <x v="1179"/>
    <s v="Male"/>
    <n v="50"/>
    <s v="FR"/>
    <s v="Free"/>
    <n v="184"/>
    <n v="30"/>
    <n v="0.01"/>
    <s v="Web"/>
    <n v="39"/>
    <n v="0"/>
    <n v="0"/>
    <n v="0"/>
    <n v="0"/>
    <x v="0"/>
  </r>
  <r>
    <x v="1180"/>
    <s v="Other"/>
    <n v="49"/>
    <s v="UK"/>
    <s v="Free"/>
    <n v="78"/>
    <n v="22"/>
    <n v="0.48"/>
    <s v="Mobile"/>
    <n v="48"/>
    <n v="0"/>
    <n v="1"/>
    <n v="0"/>
    <n v="0"/>
    <x v="3"/>
  </r>
  <r>
    <x v="1181"/>
    <s v="Other"/>
    <n v="16"/>
    <s v="US"/>
    <s v="Free"/>
    <n v="278"/>
    <n v="77"/>
    <n v="0.47"/>
    <s v="Desktop"/>
    <n v="32"/>
    <n v="0"/>
    <n v="0"/>
    <n v="0"/>
    <n v="0"/>
    <x v="0"/>
  </r>
  <r>
    <x v="1182"/>
    <s v="Other"/>
    <n v="31"/>
    <s v="FR"/>
    <s v="Free"/>
    <n v="170"/>
    <n v="16"/>
    <n v="0.16"/>
    <s v="Mobile"/>
    <n v="45"/>
    <n v="0"/>
    <n v="1"/>
    <n v="0"/>
    <n v="0"/>
    <x v="3"/>
  </r>
  <r>
    <x v="1183"/>
    <s v="Male"/>
    <n v="42"/>
    <s v="IN"/>
    <s v="Free"/>
    <n v="268"/>
    <n v="64"/>
    <n v="0.22"/>
    <s v="Mobile"/>
    <n v="44"/>
    <n v="0"/>
    <n v="0"/>
    <n v="0"/>
    <n v="0"/>
    <x v="3"/>
  </r>
  <r>
    <x v="1184"/>
    <s v="Male"/>
    <n v="37"/>
    <s v="DE"/>
    <s v="Free"/>
    <n v="218"/>
    <n v="76"/>
    <n v="0.44"/>
    <s v="Desktop"/>
    <n v="46"/>
    <n v="0"/>
    <n v="1"/>
    <n v="0"/>
    <n v="0"/>
    <x v="3"/>
  </r>
  <r>
    <x v="1185"/>
    <s v="Other"/>
    <n v="44"/>
    <s v="FR"/>
    <s v="Free"/>
    <n v="11"/>
    <n v="82"/>
    <n v="0.37"/>
    <s v="Mobile"/>
    <n v="36"/>
    <n v="0"/>
    <n v="1"/>
    <n v="0"/>
    <n v="0"/>
    <x v="0"/>
  </r>
  <r>
    <x v="1186"/>
    <s v="Female"/>
    <n v="56"/>
    <s v="US"/>
    <s v="Free"/>
    <n v="225"/>
    <n v="53"/>
    <n v="0.27"/>
    <s v="Desktop"/>
    <n v="47"/>
    <n v="0"/>
    <n v="0"/>
    <n v="0"/>
    <n v="0"/>
    <x v="3"/>
  </r>
  <r>
    <x v="1187"/>
    <s v="Female"/>
    <n v="28"/>
    <s v="FR"/>
    <s v="Free"/>
    <n v="240"/>
    <n v="28"/>
    <n v="0.22"/>
    <s v="Web"/>
    <n v="16"/>
    <n v="0"/>
    <n v="0"/>
    <n v="0"/>
    <n v="0"/>
    <x v="1"/>
  </r>
  <r>
    <x v="1188"/>
    <s v="Male"/>
    <n v="20"/>
    <s v="IN"/>
    <s v="Free"/>
    <n v="266"/>
    <n v="36"/>
    <n v="0.46"/>
    <s v="Desktop"/>
    <n v="34"/>
    <n v="0"/>
    <n v="0"/>
    <n v="0"/>
    <n v="0"/>
    <x v="0"/>
  </r>
  <r>
    <x v="1189"/>
    <s v="Female"/>
    <n v="39"/>
    <s v="PK"/>
    <s v="Free"/>
    <n v="172"/>
    <n v="58"/>
    <n v="0.45"/>
    <s v="Desktop"/>
    <n v="12"/>
    <n v="0"/>
    <n v="0"/>
    <n v="0"/>
    <n v="0"/>
    <x v="1"/>
  </r>
  <r>
    <x v="1190"/>
    <s v="Other"/>
    <n v="32"/>
    <s v="FR"/>
    <s v="Free"/>
    <n v="110"/>
    <n v="50"/>
    <n v="0.01"/>
    <s v="Mobile"/>
    <n v="13"/>
    <n v="0"/>
    <n v="0"/>
    <n v="0"/>
    <n v="0"/>
    <x v="1"/>
  </r>
  <r>
    <x v="1191"/>
    <s v="Male"/>
    <n v="49"/>
    <s v="DE"/>
    <s v="Free"/>
    <n v="191"/>
    <n v="48"/>
    <n v="0.03"/>
    <s v="Mobile"/>
    <n v="36"/>
    <n v="0"/>
    <n v="1"/>
    <n v="0"/>
    <n v="0"/>
    <x v="0"/>
  </r>
  <r>
    <x v="1192"/>
    <s v="Female"/>
    <n v="27"/>
    <s v="UK"/>
    <s v="Free"/>
    <n v="138"/>
    <n v="40"/>
    <n v="0.28000000000000003"/>
    <s v="Web"/>
    <n v="27"/>
    <n v="0"/>
    <n v="0"/>
    <n v="0"/>
    <n v="0"/>
    <x v="4"/>
  </r>
  <r>
    <x v="1193"/>
    <s v="Other"/>
    <n v="49"/>
    <s v="IN"/>
    <s v="Free"/>
    <n v="23"/>
    <n v="7"/>
    <n v="0.43"/>
    <s v="Mobile"/>
    <n v="40"/>
    <n v="0"/>
    <n v="0"/>
    <n v="0"/>
    <n v="0"/>
    <x v="3"/>
  </r>
  <r>
    <x v="1194"/>
    <s v="Female"/>
    <n v="32"/>
    <s v="UK"/>
    <s v="Free"/>
    <n v="161"/>
    <n v="20"/>
    <n v="0.01"/>
    <s v="Desktop"/>
    <n v="16"/>
    <n v="0"/>
    <n v="1"/>
    <n v="0"/>
    <n v="0"/>
    <x v="1"/>
  </r>
  <r>
    <x v="1195"/>
    <s v="Female"/>
    <n v="39"/>
    <s v="FR"/>
    <s v="Free"/>
    <n v="251"/>
    <n v="3"/>
    <n v="0.27"/>
    <s v="Desktop"/>
    <n v="9"/>
    <n v="0"/>
    <n v="1"/>
    <n v="0"/>
    <n v="0"/>
    <x v="2"/>
  </r>
  <r>
    <x v="1196"/>
    <s v="Female"/>
    <n v="29"/>
    <s v="DE"/>
    <s v="Free"/>
    <n v="254"/>
    <n v="30"/>
    <n v="0.4"/>
    <s v="Mobile"/>
    <n v="7"/>
    <n v="0"/>
    <n v="0"/>
    <n v="0"/>
    <n v="0"/>
    <x v="2"/>
  </r>
  <r>
    <x v="1197"/>
    <s v="Other"/>
    <n v="48"/>
    <s v="FR"/>
    <s v="Free"/>
    <n v="171"/>
    <n v="56"/>
    <n v="0.41"/>
    <s v="Web"/>
    <n v="20"/>
    <n v="0"/>
    <n v="0"/>
    <n v="0"/>
    <n v="0"/>
    <x v="4"/>
  </r>
  <r>
    <x v="1198"/>
    <s v="Male"/>
    <n v="21"/>
    <s v="FR"/>
    <s v="Free"/>
    <n v="37"/>
    <n v="55"/>
    <n v="0.28999999999999998"/>
    <s v="Web"/>
    <n v="36"/>
    <n v="0"/>
    <n v="0"/>
    <n v="0"/>
    <n v="0"/>
    <x v="0"/>
  </r>
  <r>
    <x v="1199"/>
    <s v="Female"/>
    <n v="21"/>
    <s v="DE"/>
    <s v="Free"/>
    <n v="167"/>
    <n v="48"/>
    <n v="0.21"/>
    <s v="Web"/>
    <n v="32"/>
    <n v="0"/>
    <n v="0"/>
    <n v="0"/>
    <n v="0"/>
    <x v="0"/>
  </r>
  <r>
    <x v="1200"/>
    <s v="Male"/>
    <n v="56"/>
    <s v="FR"/>
    <s v="Free"/>
    <n v="242"/>
    <n v="85"/>
    <n v="0.1"/>
    <s v="Mobile"/>
    <n v="21"/>
    <n v="0"/>
    <n v="0"/>
    <n v="0"/>
    <n v="0"/>
    <x v="4"/>
  </r>
  <r>
    <x v="1201"/>
    <s v="Female"/>
    <n v="48"/>
    <s v="AU"/>
    <s v="Free"/>
    <n v="31"/>
    <n v="46"/>
    <n v="0.08"/>
    <s v="Web"/>
    <n v="47"/>
    <n v="0"/>
    <n v="1"/>
    <n v="0"/>
    <n v="0"/>
    <x v="3"/>
  </r>
  <r>
    <x v="1202"/>
    <s v="Female"/>
    <n v="22"/>
    <s v="UK"/>
    <s v="Free"/>
    <n v="97"/>
    <n v="62"/>
    <n v="0.33"/>
    <s v="Web"/>
    <n v="45"/>
    <n v="0"/>
    <n v="1"/>
    <n v="0"/>
    <n v="0"/>
    <x v="3"/>
  </r>
  <r>
    <x v="1203"/>
    <s v="Male"/>
    <n v="47"/>
    <s v="CA"/>
    <s v="Free"/>
    <n v="52"/>
    <n v="43"/>
    <n v="0.04"/>
    <s v="Desktop"/>
    <n v="48"/>
    <n v="0"/>
    <n v="0"/>
    <n v="0"/>
    <n v="0"/>
    <x v="3"/>
  </r>
  <r>
    <x v="1204"/>
    <s v="Female"/>
    <n v="37"/>
    <s v="PK"/>
    <s v="Free"/>
    <n v="242"/>
    <n v="23"/>
    <n v="0.56000000000000005"/>
    <s v="Web"/>
    <n v="21"/>
    <n v="0"/>
    <n v="0"/>
    <n v="0"/>
    <n v="0"/>
    <x v="4"/>
  </r>
  <r>
    <x v="1205"/>
    <s v="Female"/>
    <n v="48"/>
    <s v="DE"/>
    <s v="Free"/>
    <n v="44"/>
    <n v="56"/>
    <n v="0.5"/>
    <s v="Desktop"/>
    <n v="26"/>
    <n v="0"/>
    <n v="0"/>
    <n v="0"/>
    <n v="0"/>
    <x v="4"/>
  </r>
  <r>
    <x v="1206"/>
    <s v="Male"/>
    <n v="22"/>
    <s v="AU"/>
    <s v="Free"/>
    <n v="180"/>
    <n v="23"/>
    <n v="0"/>
    <s v="Mobile"/>
    <n v="9"/>
    <n v="0"/>
    <n v="0"/>
    <n v="0"/>
    <n v="0"/>
    <x v="2"/>
  </r>
  <r>
    <x v="1207"/>
    <s v="Female"/>
    <n v="58"/>
    <s v="CA"/>
    <s v="Free"/>
    <n v="255"/>
    <n v="90"/>
    <n v="0"/>
    <s v="Mobile"/>
    <n v="8"/>
    <n v="0"/>
    <n v="0"/>
    <n v="0"/>
    <n v="0"/>
    <x v="2"/>
  </r>
  <r>
    <x v="1208"/>
    <s v="Male"/>
    <n v="46"/>
    <s v="IN"/>
    <s v="Free"/>
    <n v="116"/>
    <n v="10"/>
    <n v="0.54"/>
    <s v="Mobile"/>
    <n v="20"/>
    <n v="0"/>
    <n v="1"/>
    <n v="0"/>
    <n v="0"/>
    <x v="4"/>
  </r>
  <r>
    <x v="1209"/>
    <s v="Other"/>
    <n v="47"/>
    <s v="DE"/>
    <s v="Free"/>
    <n v="104"/>
    <n v="39"/>
    <n v="0.21"/>
    <s v="Desktop"/>
    <n v="13"/>
    <n v="0"/>
    <n v="0"/>
    <n v="0"/>
    <n v="0"/>
    <x v="1"/>
  </r>
  <r>
    <x v="1210"/>
    <s v="Female"/>
    <n v="50"/>
    <s v="CA"/>
    <s v="Free"/>
    <n v="74"/>
    <n v="80"/>
    <n v="0.59"/>
    <s v="Desktop"/>
    <n v="25"/>
    <n v="0"/>
    <n v="0"/>
    <n v="0"/>
    <n v="0"/>
    <x v="4"/>
  </r>
  <r>
    <x v="1211"/>
    <s v="Other"/>
    <n v="59"/>
    <s v="IN"/>
    <s v="Free"/>
    <n v="224"/>
    <n v="92"/>
    <n v="0.36"/>
    <s v="Web"/>
    <n v="10"/>
    <n v="0"/>
    <n v="0"/>
    <n v="0"/>
    <n v="0"/>
    <x v="1"/>
  </r>
  <r>
    <x v="1212"/>
    <s v="Male"/>
    <n v="34"/>
    <s v="AU"/>
    <s v="Free"/>
    <n v="17"/>
    <n v="82"/>
    <n v="0.48"/>
    <s v="Desktop"/>
    <n v="19"/>
    <n v="0"/>
    <n v="0"/>
    <n v="0"/>
    <n v="0"/>
    <x v="1"/>
  </r>
  <r>
    <x v="1213"/>
    <s v="Male"/>
    <n v="22"/>
    <s v="FR"/>
    <s v="Free"/>
    <n v="162"/>
    <n v="44"/>
    <n v="0.01"/>
    <s v="Mobile"/>
    <n v="15"/>
    <n v="0"/>
    <n v="0"/>
    <n v="0"/>
    <n v="0"/>
    <x v="1"/>
  </r>
  <r>
    <x v="1214"/>
    <s v="Other"/>
    <n v="52"/>
    <s v="DE"/>
    <s v="Free"/>
    <n v="147"/>
    <n v="9"/>
    <n v="0.11"/>
    <s v="Web"/>
    <n v="21"/>
    <n v="0"/>
    <n v="0"/>
    <n v="0"/>
    <n v="0"/>
    <x v="4"/>
  </r>
  <r>
    <x v="1215"/>
    <s v="Male"/>
    <n v="27"/>
    <s v="US"/>
    <s v="Free"/>
    <n v="88"/>
    <n v="52"/>
    <n v="0.1"/>
    <s v="Web"/>
    <n v="10"/>
    <n v="0"/>
    <n v="0"/>
    <n v="0"/>
    <n v="0"/>
    <x v="1"/>
  </r>
  <r>
    <x v="1216"/>
    <s v="Female"/>
    <n v="44"/>
    <s v="FR"/>
    <s v="Free"/>
    <n v="46"/>
    <n v="20"/>
    <n v="0.23"/>
    <s v="Desktop"/>
    <n v="32"/>
    <n v="0"/>
    <n v="0"/>
    <n v="0"/>
    <n v="0"/>
    <x v="0"/>
  </r>
  <r>
    <x v="1217"/>
    <s v="Other"/>
    <n v="40"/>
    <s v="UK"/>
    <s v="Free"/>
    <n v="253"/>
    <n v="55"/>
    <n v="0.09"/>
    <s v="Web"/>
    <n v="25"/>
    <n v="0"/>
    <n v="0"/>
    <n v="0"/>
    <n v="0"/>
    <x v="4"/>
  </r>
  <r>
    <x v="1218"/>
    <s v="Female"/>
    <n v="33"/>
    <s v="CA"/>
    <s v="Free"/>
    <n v="27"/>
    <n v="66"/>
    <n v="0.4"/>
    <s v="Desktop"/>
    <n v="28"/>
    <n v="0"/>
    <n v="1"/>
    <n v="0"/>
    <n v="0"/>
    <x v="4"/>
  </r>
  <r>
    <x v="1219"/>
    <s v="Male"/>
    <n v="26"/>
    <s v="US"/>
    <s v="Free"/>
    <n v="102"/>
    <n v="2"/>
    <n v="0.04"/>
    <s v="Desktop"/>
    <n v="19"/>
    <n v="0"/>
    <n v="0"/>
    <n v="0"/>
    <n v="0"/>
    <x v="1"/>
  </r>
  <r>
    <x v="1220"/>
    <s v="Female"/>
    <n v="26"/>
    <s v="PK"/>
    <s v="Free"/>
    <n v="70"/>
    <n v="7"/>
    <n v="0.5"/>
    <s v="Desktop"/>
    <n v="30"/>
    <n v="0"/>
    <n v="0"/>
    <n v="0"/>
    <n v="0"/>
    <x v="0"/>
  </r>
  <r>
    <x v="1221"/>
    <s v="Male"/>
    <n v="45"/>
    <s v="AU"/>
    <s v="Free"/>
    <n v="247"/>
    <n v="79"/>
    <n v="0.06"/>
    <s v="Web"/>
    <n v="13"/>
    <n v="0"/>
    <n v="0"/>
    <n v="0"/>
    <n v="0"/>
    <x v="1"/>
  </r>
  <r>
    <x v="1222"/>
    <s v="Female"/>
    <n v="58"/>
    <s v="CA"/>
    <s v="Free"/>
    <n v="290"/>
    <n v="49"/>
    <n v="0.14000000000000001"/>
    <s v="Mobile"/>
    <n v="44"/>
    <n v="0"/>
    <n v="1"/>
    <n v="0"/>
    <n v="0"/>
    <x v="3"/>
  </r>
  <r>
    <x v="1223"/>
    <s v="Other"/>
    <n v="29"/>
    <s v="CA"/>
    <s v="Free"/>
    <n v="262"/>
    <n v="28"/>
    <n v="0.4"/>
    <s v="Desktop"/>
    <n v="9"/>
    <n v="0"/>
    <n v="0"/>
    <n v="0"/>
    <n v="0"/>
    <x v="2"/>
  </r>
  <r>
    <x v="1224"/>
    <s v="Other"/>
    <n v="21"/>
    <s v="CA"/>
    <s v="Free"/>
    <n v="281"/>
    <n v="84"/>
    <n v="0.34"/>
    <s v="Mobile"/>
    <n v="5"/>
    <n v="0"/>
    <n v="0"/>
    <n v="0"/>
    <n v="0"/>
    <x v="2"/>
  </r>
  <r>
    <x v="1225"/>
    <s v="Male"/>
    <n v="50"/>
    <s v="IN"/>
    <s v="Free"/>
    <n v="53"/>
    <n v="5"/>
    <n v="0.36"/>
    <s v="Mobile"/>
    <n v="11"/>
    <n v="0"/>
    <n v="1"/>
    <n v="0"/>
    <n v="0"/>
    <x v="1"/>
  </r>
  <r>
    <x v="1226"/>
    <s v="Male"/>
    <n v="21"/>
    <s v="US"/>
    <s v="Free"/>
    <n v="113"/>
    <n v="70"/>
    <n v="7.0000000000000007E-2"/>
    <s v="Web"/>
    <n v="9"/>
    <n v="0"/>
    <n v="0"/>
    <n v="0"/>
    <n v="0"/>
    <x v="2"/>
  </r>
  <r>
    <x v="1227"/>
    <s v="Male"/>
    <n v="33"/>
    <s v="CA"/>
    <s v="Free"/>
    <n v="253"/>
    <n v="67"/>
    <n v="0.54"/>
    <s v="Mobile"/>
    <n v="34"/>
    <n v="0"/>
    <n v="0"/>
    <n v="0"/>
    <n v="0"/>
    <x v="0"/>
  </r>
  <r>
    <x v="1228"/>
    <s v="Male"/>
    <n v="24"/>
    <s v="AU"/>
    <s v="Free"/>
    <n v="239"/>
    <n v="37"/>
    <n v="0.27"/>
    <s v="Desktop"/>
    <n v="36"/>
    <n v="0"/>
    <n v="1"/>
    <n v="0"/>
    <n v="0"/>
    <x v="0"/>
  </r>
  <r>
    <x v="1229"/>
    <s v="Other"/>
    <n v="26"/>
    <s v="AU"/>
    <s v="Free"/>
    <n v="229"/>
    <n v="61"/>
    <n v="0.28999999999999998"/>
    <s v="Desktop"/>
    <n v="15"/>
    <n v="0"/>
    <n v="0"/>
    <n v="0"/>
    <n v="0"/>
    <x v="1"/>
  </r>
  <r>
    <x v="1230"/>
    <s v="Other"/>
    <n v="23"/>
    <s v="IN"/>
    <s v="Free"/>
    <n v="256"/>
    <n v="3"/>
    <n v="0.38"/>
    <s v="Mobile"/>
    <n v="11"/>
    <n v="0"/>
    <n v="0"/>
    <n v="0"/>
    <n v="0"/>
    <x v="1"/>
  </r>
  <r>
    <x v="1231"/>
    <s v="Male"/>
    <n v="47"/>
    <s v="UK"/>
    <s v="Free"/>
    <n v="75"/>
    <n v="72"/>
    <n v="0"/>
    <s v="Desktop"/>
    <n v="38"/>
    <n v="0"/>
    <n v="0"/>
    <n v="0"/>
    <n v="0"/>
    <x v="0"/>
  </r>
  <r>
    <x v="1232"/>
    <s v="Male"/>
    <n v="24"/>
    <s v="US"/>
    <s v="Free"/>
    <n v="114"/>
    <n v="88"/>
    <n v="0.35"/>
    <s v="Mobile"/>
    <n v="33"/>
    <n v="0"/>
    <n v="0"/>
    <n v="0"/>
    <n v="0"/>
    <x v="0"/>
  </r>
  <r>
    <x v="1233"/>
    <s v="Male"/>
    <n v="21"/>
    <s v="UK"/>
    <s v="Free"/>
    <n v="41"/>
    <n v="32"/>
    <n v="0.46"/>
    <s v="Desktop"/>
    <n v="44"/>
    <n v="0"/>
    <n v="0"/>
    <n v="0"/>
    <n v="0"/>
    <x v="3"/>
  </r>
  <r>
    <x v="1234"/>
    <s v="Other"/>
    <n v="52"/>
    <s v="PK"/>
    <s v="Free"/>
    <n v="149"/>
    <n v="6"/>
    <n v="0.39"/>
    <s v="Web"/>
    <n v="47"/>
    <n v="0"/>
    <n v="0"/>
    <n v="0"/>
    <n v="0"/>
    <x v="3"/>
  </r>
  <r>
    <x v="1235"/>
    <s v="Female"/>
    <n v="29"/>
    <s v="US"/>
    <s v="Free"/>
    <n v="49"/>
    <n v="30"/>
    <n v="0.34"/>
    <s v="Desktop"/>
    <n v="10"/>
    <n v="0"/>
    <n v="0"/>
    <n v="0"/>
    <n v="0"/>
    <x v="1"/>
  </r>
  <r>
    <x v="1236"/>
    <s v="Male"/>
    <n v="22"/>
    <s v="DE"/>
    <s v="Free"/>
    <n v="170"/>
    <n v="10"/>
    <n v="0.19"/>
    <s v="Web"/>
    <n v="16"/>
    <n v="0"/>
    <n v="0"/>
    <n v="0"/>
    <n v="0"/>
    <x v="1"/>
  </r>
  <r>
    <x v="1237"/>
    <s v="Male"/>
    <n v="29"/>
    <s v="PK"/>
    <s v="Free"/>
    <n v="81"/>
    <n v="90"/>
    <n v="0.28999999999999998"/>
    <s v="Desktop"/>
    <n v="8"/>
    <n v="0"/>
    <n v="0"/>
    <n v="0"/>
    <n v="0"/>
    <x v="2"/>
  </r>
  <r>
    <x v="1238"/>
    <s v="Female"/>
    <n v="32"/>
    <s v="DE"/>
    <s v="Free"/>
    <n v="223"/>
    <n v="31"/>
    <n v="0.01"/>
    <s v="Desktop"/>
    <n v="40"/>
    <n v="0"/>
    <n v="0"/>
    <n v="0"/>
    <n v="0"/>
    <x v="3"/>
  </r>
  <r>
    <x v="1239"/>
    <s v="Female"/>
    <n v="50"/>
    <s v="FR"/>
    <s v="Free"/>
    <n v="239"/>
    <n v="76"/>
    <n v="0.3"/>
    <s v="Web"/>
    <n v="11"/>
    <n v="0"/>
    <n v="0"/>
    <n v="0"/>
    <n v="0"/>
    <x v="1"/>
  </r>
  <r>
    <x v="1240"/>
    <s v="Male"/>
    <n v="51"/>
    <s v="AU"/>
    <s v="Free"/>
    <n v="37"/>
    <n v="87"/>
    <n v="0.44"/>
    <s v="Web"/>
    <n v="48"/>
    <n v="0"/>
    <n v="0"/>
    <n v="0"/>
    <n v="0"/>
    <x v="3"/>
  </r>
  <r>
    <x v="1241"/>
    <s v="Other"/>
    <n v="57"/>
    <s v="FR"/>
    <s v="Free"/>
    <n v="186"/>
    <n v="30"/>
    <n v="0.03"/>
    <s v="Web"/>
    <n v="49"/>
    <n v="0"/>
    <n v="1"/>
    <n v="0"/>
    <n v="0"/>
    <x v="3"/>
  </r>
  <r>
    <x v="1242"/>
    <s v="Other"/>
    <n v="41"/>
    <s v="CA"/>
    <s v="Free"/>
    <n v="246"/>
    <n v="25"/>
    <n v="0.28999999999999998"/>
    <s v="Mobile"/>
    <n v="21"/>
    <n v="0"/>
    <n v="0"/>
    <n v="0"/>
    <n v="0"/>
    <x v="4"/>
  </r>
  <r>
    <x v="1243"/>
    <s v="Male"/>
    <n v="19"/>
    <s v="IN"/>
    <s v="Free"/>
    <n v="67"/>
    <n v="9"/>
    <n v="0.43"/>
    <s v="Mobile"/>
    <n v="10"/>
    <n v="0"/>
    <n v="1"/>
    <n v="0"/>
    <n v="0"/>
    <x v="1"/>
  </r>
  <r>
    <x v="1244"/>
    <s v="Male"/>
    <n v="21"/>
    <s v="UK"/>
    <s v="Free"/>
    <n v="235"/>
    <n v="9"/>
    <n v="0.3"/>
    <s v="Desktop"/>
    <n v="15"/>
    <n v="0"/>
    <n v="1"/>
    <n v="0"/>
    <n v="0"/>
    <x v="1"/>
  </r>
  <r>
    <x v="1245"/>
    <s v="Female"/>
    <n v="20"/>
    <s v="PK"/>
    <s v="Free"/>
    <n v="95"/>
    <n v="67"/>
    <n v="0.25"/>
    <s v="Mobile"/>
    <n v="17"/>
    <n v="0"/>
    <n v="0"/>
    <n v="0"/>
    <n v="0"/>
    <x v="1"/>
  </r>
  <r>
    <x v="1246"/>
    <s v="Male"/>
    <n v="40"/>
    <s v="US"/>
    <s v="Free"/>
    <n v="30"/>
    <n v="4"/>
    <n v="0.16"/>
    <s v="Desktop"/>
    <n v="16"/>
    <n v="0"/>
    <n v="0"/>
    <n v="0"/>
    <n v="0"/>
    <x v="1"/>
  </r>
  <r>
    <x v="1247"/>
    <s v="Female"/>
    <n v="47"/>
    <s v="US"/>
    <s v="Free"/>
    <n v="139"/>
    <n v="31"/>
    <n v="0.05"/>
    <s v="Mobile"/>
    <n v="44"/>
    <n v="0"/>
    <n v="1"/>
    <n v="0"/>
    <n v="0"/>
    <x v="3"/>
  </r>
  <r>
    <x v="1248"/>
    <s v="Other"/>
    <n v="55"/>
    <s v="FR"/>
    <s v="Free"/>
    <n v="41"/>
    <n v="5"/>
    <n v="0.48"/>
    <s v="Desktop"/>
    <n v="25"/>
    <n v="0"/>
    <n v="0"/>
    <n v="0"/>
    <n v="0"/>
    <x v="4"/>
  </r>
  <r>
    <x v="1249"/>
    <s v="Female"/>
    <n v="35"/>
    <s v="US"/>
    <s v="Free"/>
    <n v="47"/>
    <n v="94"/>
    <n v="0"/>
    <s v="Web"/>
    <n v="27"/>
    <n v="0"/>
    <n v="0"/>
    <n v="0"/>
    <n v="0"/>
    <x v="4"/>
  </r>
  <r>
    <x v="1250"/>
    <s v="Male"/>
    <n v="53"/>
    <s v="DE"/>
    <s v="Free"/>
    <n v="39"/>
    <n v="37"/>
    <n v="0.17"/>
    <s v="Web"/>
    <n v="29"/>
    <n v="0"/>
    <n v="1"/>
    <n v="0"/>
    <n v="0"/>
    <x v="4"/>
  </r>
  <r>
    <x v="1251"/>
    <s v="Other"/>
    <n v="32"/>
    <s v="DE"/>
    <s v="Free"/>
    <n v="172"/>
    <n v="50"/>
    <n v="0.57999999999999996"/>
    <s v="Mobile"/>
    <n v="10"/>
    <n v="0"/>
    <n v="0"/>
    <n v="0"/>
    <n v="0"/>
    <x v="1"/>
  </r>
  <r>
    <x v="1252"/>
    <s v="Other"/>
    <n v="31"/>
    <s v="US"/>
    <s v="Free"/>
    <n v="145"/>
    <n v="62"/>
    <n v="0.04"/>
    <s v="Desktop"/>
    <n v="30"/>
    <n v="0"/>
    <n v="1"/>
    <n v="0"/>
    <n v="0"/>
    <x v="0"/>
  </r>
  <r>
    <x v="1253"/>
    <s v="Female"/>
    <n v="41"/>
    <s v="FR"/>
    <s v="Free"/>
    <n v="92"/>
    <n v="55"/>
    <n v="0.56000000000000005"/>
    <s v="Mobile"/>
    <n v="8"/>
    <n v="0"/>
    <n v="1"/>
    <n v="0"/>
    <n v="0"/>
    <x v="2"/>
  </r>
  <r>
    <x v="1254"/>
    <s v="Other"/>
    <n v="18"/>
    <s v="AU"/>
    <s v="Free"/>
    <n v="194"/>
    <n v="68"/>
    <n v="0.56999999999999995"/>
    <s v="Web"/>
    <n v="38"/>
    <n v="0"/>
    <n v="0"/>
    <n v="0"/>
    <n v="0"/>
    <x v="0"/>
  </r>
  <r>
    <x v="1255"/>
    <s v="Female"/>
    <n v="54"/>
    <s v="US"/>
    <s v="Free"/>
    <n v="142"/>
    <n v="46"/>
    <n v="0.35"/>
    <s v="Web"/>
    <n v="28"/>
    <n v="0"/>
    <n v="0"/>
    <n v="0"/>
    <n v="0"/>
    <x v="4"/>
  </r>
  <r>
    <x v="1256"/>
    <s v="Other"/>
    <n v="23"/>
    <s v="UK"/>
    <s v="Free"/>
    <n v="43"/>
    <n v="75"/>
    <n v="0.57999999999999996"/>
    <s v="Desktop"/>
    <n v="16"/>
    <n v="0"/>
    <n v="0"/>
    <n v="0"/>
    <n v="0"/>
    <x v="1"/>
  </r>
  <r>
    <x v="1257"/>
    <s v="Male"/>
    <n v="17"/>
    <s v="UK"/>
    <s v="Free"/>
    <n v="78"/>
    <n v="2"/>
    <n v="0.32"/>
    <s v="Web"/>
    <n v="9"/>
    <n v="0"/>
    <n v="0"/>
    <n v="0"/>
    <n v="0"/>
    <x v="2"/>
  </r>
  <r>
    <x v="1258"/>
    <s v="Male"/>
    <n v="37"/>
    <s v="FR"/>
    <s v="Free"/>
    <n v="231"/>
    <n v="33"/>
    <n v="0.2"/>
    <s v="Desktop"/>
    <n v="17"/>
    <n v="0"/>
    <n v="0"/>
    <n v="0"/>
    <n v="0"/>
    <x v="1"/>
  </r>
  <r>
    <x v="1259"/>
    <s v="Male"/>
    <n v="25"/>
    <s v="PK"/>
    <s v="Free"/>
    <n v="54"/>
    <n v="73"/>
    <n v="0.51"/>
    <s v="Desktop"/>
    <n v="45"/>
    <n v="0"/>
    <n v="1"/>
    <n v="0"/>
    <n v="0"/>
    <x v="3"/>
  </r>
  <r>
    <x v="1260"/>
    <s v="Other"/>
    <n v="57"/>
    <s v="AU"/>
    <s v="Free"/>
    <n v="276"/>
    <n v="11"/>
    <n v="0.25"/>
    <s v="Desktop"/>
    <n v="34"/>
    <n v="0"/>
    <n v="1"/>
    <n v="0"/>
    <n v="0"/>
    <x v="0"/>
  </r>
  <r>
    <x v="1261"/>
    <s v="Other"/>
    <n v="43"/>
    <s v="IN"/>
    <s v="Free"/>
    <n v="252"/>
    <n v="94"/>
    <n v="7.0000000000000007E-2"/>
    <s v="Mobile"/>
    <n v="26"/>
    <n v="0"/>
    <n v="1"/>
    <n v="0"/>
    <n v="0"/>
    <x v="4"/>
  </r>
  <r>
    <x v="1262"/>
    <s v="Male"/>
    <n v="43"/>
    <s v="DE"/>
    <s v="Free"/>
    <n v="118"/>
    <n v="93"/>
    <n v="0.12"/>
    <s v="Mobile"/>
    <n v="46"/>
    <n v="0"/>
    <n v="0"/>
    <n v="0"/>
    <n v="0"/>
    <x v="3"/>
  </r>
  <r>
    <x v="1263"/>
    <s v="Male"/>
    <n v="20"/>
    <s v="FR"/>
    <s v="Free"/>
    <n v="105"/>
    <n v="82"/>
    <n v="0.5"/>
    <s v="Desktop"/>
    <n v="13"/>
    <n v="0"/>
    <n v="1"/>
    <n v="0"/>
    <n v="0"/>
    <x v="1"/>
  </r>
  <r>
    <x v="1264"/>
    <s v="Female"/>
    <n v="23"/>
    <s v="US"/>
    <s v="Free"/>
    <n v="13"/>
    <n v="56"/>
    <n v="0.24"/>
    <s v="Mobile"/>
    <n v="29"/>
    <n v="0"/>
    <n v="0"/>
    <n v="0"/>
    <n v="0"/>
    <x v="4"/>
  </r>
  <r>
    <x v="1265"/>
    <s v="Male"/>
    <n v="38"/>
    <s v="CA"/>
    <s v="Free"/>
    <n v="55"/>
    <n v="26"/>
    <n v="0.23"/>
    <s v="Desktop"/>
    <n v="45"/>
    <n v="0"/>
    <n v="1"/>
    <n v="0"/>
    <n v="0"/>
    <x v="3"/>
  </r>
  <r>
    <x v="1266"/>
    <s v="Male"/>
    <n v="19"/>
    <s v="AU"/>
    <s v="Free"/>
    <n v="267"/>
    <n v="99"/>
    <n v="0.51"/>
    <s v="Web"/>
    <n v="35"/>
    <n v="0"/>
    <n v="0"/>
    <n v="0"/>
    <n v="0"/>
    <x v="0"/>
  </r>
  <r>
    <x v="1267"/>
    <s v="Other"/>
    <n v="33"/>
    <s v="IN"/>
    <s v="Free"/>
    <n v="90"/>
    <n v="7"/>
    <n v="0.22"/>
    <s v="Desktop"/>
    <n v="39"/>
    <n v="0"/>
    <n v="1"/>
    <n v="0"/>
    <n v="0"/>
    <x v="0"/>
  </r>
  <r>
    <x v="1268"/>
    <s v="Male"/>
    <n v="24"/>
    <s v="US"/>
    <s v="Free"/>
    <n v="133"/>
    <n v="58"/>
    <n v="0.54"/>
    <s v="Mobile"/>
    <n v="36"/>
    <n v="0"/>
    <n v="1"/>
    <n v="0"/>
    <n v="0"/>
    <x v="0"/>
  </r>
  <r>
    <x v="1269"/>
    <s v="Female"/>
    <n v="18"/>
    <s v="FR"/>
    <s v="Free"/>
    <n v="14"/>
    <n v="82"/>
    <n v="0.04"/>
    <s v="Web"/>
    <n v="31"/>
    <n v="0"/>
    <n v="0"/>
    <n v="0"/>
    <n v="0"/>
    <x v="0"/>
  </r>
  <r>
    <x v="1270"/>
    <s v="Male"/>
    <n v="43"/>
    <s v="AU"/>
    <s v="Free"/>
    <n v="297"/>
    <n v="38"/>
    <n v="0.41"/>
    <s v="Web"/>
    <n v="18"/>
    <n v="0"/>
    <n v="0"/>
    <n v="0"/>
    <n v="0"/>
    <x v="1"/>
  </r>
  <r>
    <x v="1271"/>
    <s v="Other"/>
    <n v="16"/>
    <s v="US"/>
    <s v="Free"/>
    <n v="263"/>
    <n v="10"/>
    <n v="0.55000000000000004"/>
    <s v="Web"/>
    <n v="11"/>
    <n v="0"/>
    <n v="1"/>
    <n v="0"/>
    <n v="0"/>
    <x v="1"/>
  </r>
  <r>
    <x v="1272"/>
    <s v="Female"/>
    <n v="22"/>
    <s v="DE"/>
    <s v="Free"/>
    <n v="22"/>
    <n v="99"/>
    <n v="0.21"/>
    <s v="Mobile"/>
    <n v="10"/>
    <n v="0"/>
    <n v="0"/>
    <n v="0"/>
    <n v="0"/>
    <x v="1"/>
  </r>
  <r>
    <x v="1273"/>
    <s v="Other"/>
    <n v="21"/>
    <s v="US"/>
    <s v="Free"/>
    <n v="205"/>
    <n v="25"/>
    <n v="0.41"/>
    <s v="Web"/>
    <n v="45"/>
    <n v="0"/>
    <n v="0"/>
    <n v="0"/>
    <n v="0"/>
    <x v="3"/>
  </r>
  <r>
    <x v="1274"/>
    <s v="Female"/>
    <n v="37"/>
    <s v="CA"/>
    <s v="Free"/>
    <n v="100"/>
    <n v="93"/>
    <n v="0.33"/>
    <s v="Desktop"/>
    <n v="27"/>
    <n v="0"/>
    <n v="0"/>
    <n v="0"/>
    <n v="0"/>
    <x v="4"/>
  </r>
  <r>
    <x v="1275"/>
    <s v="Female"/>
    <n v="17"/>
    <s v="DE"/>
    <s v="Free"/>
    <n v="125"/>
    <n v="18"/>
    <n v="0.35"/>
    <s v="Web"/>
    <n v="45"/>
    <n v="0"/>
    <n v="0"/>
    <n v="0"/>
    <n v="0"/>
    <x v="3"/>
  </r>
  <r>
    <x v="1276"/>
    <s v="Other"/>
    <n v="18"/>
    <s v="PK"/>
    <s v="Free"/>
    <n v="188"/>
    <n v="79"/>
    <n v="0.22"/>
    <s v="Mobile"/>
    <n v="19"/>
    <n v="0"/>
    <n v="0"/>
    <n v="0"/>
    <n v="0"/>
    <x v="1"/>
  </r>
  <r>
    <x v="1277"/>
    <s v="Other"/>
    <n v="37"/>
    <s v="IN"/>
    <s v="Free"/>
    <n v="291"/>
    <n v="24"/>
    <n v="0.36"/>
    <s v="Desktop"/>
    <n v="30"/>
    <n v="0"/>
    <n v="0"/>
    <n v="0"/>
    <n v="0"/>
    <x v="0"/>
  </r>
  <r>
    <x v="1278"/>
    <s v="Female"/>
    <n v="17"/>
    <s v="DE"/>
    <s v="Free"/>
    <n v="203"/>
    <n v="57"/>
    <n v="0"/>
    <s v="Desktop"/>
    <n v="41"/>
    <n v="0"/>
    <n v="1"/>
    <n v="0"/>
    <n v="0"/>
    <x v="3"/>
  </r>
  <r>
    <x v="1279"/>
    <s v="Other"/>
    <n v="20"/>
    <s v="DE"/>
    <s v="Free"/>
    <n v="224"/>
    <n v="68"/>
    <n v="0.44"/>
    <s v="Web"/>
    <n v="5"/>
    <n v="0"/>
    <n v="0"/>
    <n v="0"/>
    <n v="0"/>
    <x v="2"/>
  </r>
  <r>
    <x v="1280"/>
    <s v="Other"/>
    <n v="47"/>
    <s v="UK"/>
    <s v="Free"/>
    <n v="216"/>
    <n v="75"/>
    <n v="0.19"/>
    <s v="Web"/>
    <n v="19"/>
    <n v="0"/>
    <n v="0"/>
    <n v="0"/>
    <n v="0"/>
    <x v="1"/>
  </r>
  <r>
    <x v="1281"/>
    <s v="Other"/>
    <n v="20"/>
    <s v="PK"/>
    <s v="Free"/>
    <n v="13"/>
    <n v="48"/>
    <n v="0.52"/>
    <s v="Desktop"/>
    <n v="40"/>
    <n v="0"/>
    <n v="0"/>
    <n v="0"/>
    <n v="0"/>
    <x v="3"/>
  </r>
  <r>
    <x v="1282"/>
    <s v="Female"/>
    <n v="36"/>
    <s v="AU"/>
    <s v="Free"/>
    <n v="231"/>
    <n v="91"/>
    <n v="0.22"/>
    <s v="Web"/>
    <n v="29"/>
    <n v="0"/>
    <n v="0"/>
    <n v="0"/>
    <n v="0"/>
    <x v="4"/>
  </r>
  <r>
    <x v="1283"/>
    <s v="Female"/>
    <n v="54"/>
    <s v="US"/>
    <s v="Free"/>
    <n v="73"/>
    <n v="48"/>
    <n v="7.0000000000000007E-2"/>
    <s v="Mobile"/>
    <n v="40"/>
    <n v="0"/>
    <n v="1"/>
    <n v="0"/>
    <n v="0"/>
    <x v="3"/>
  </r>
  <r>
    <x v="1284"/>
    <s v="Other"/>
    <n v="21"/>
    <s v="UK"/>
    <s v="Free"/>
    <n v="21"/>
    <n v="20"/>
    <n v="0.18"/>
    <s v="Web"/>
    <n v="22"/>
    <n v="0"/>
    <n v="0"/>
    <n v="0"/>
    <n v="0"/>
    <x v="4"/>
  </r>
  <r>
    <x v="1285"/>
    <s v="Female"/>
    <n v="46"/>
    <s v="US"/>
    <s v="Free"/>
    <n v="252"/>
    <n v="85"/>
    <n v="0.53"/>
    <s v="Mobile"/>
    <n v="47"/>
    <n v="0"/>
    <n v="0"/>
    <n v="0"/>
    <n v="0"/>
    <x v="3"/>
  </r>
  <r>
    <x v="1286"/>
    <s v="Other"/>
    <n v="51"/>
    <s v="PK"/>
    <s v="Free"/>
    <n v="41"/>
    <n v="85"/>
    <n v="0.48"/>
    <s v="Mobile"/>
    <n v="30"/>
    <n v="0"/>
    <n v="0"/>
    <n v="0"/>
    <n v="0"/>
    <x v="0"/>
  </r>
  <r>
    <x v="1287"/>
    <s v="Female"/>
    <n v="59"/>
    <s v="IN"/>
    <s v="Free"/>
    <n v="136"/>
    <n v="62"/>
    <n v="0.39"/>
    <s v="Mobile"/>
    <n v="23"/>
    <n v="0"/>
    <n v="1"/>
    <n v="0"/>
    <n v="0"/>
    <x v="4"/>
  </r>
  <r>
    <x v="1288"/>
    <s v="Male"/>
    <n v="50"/>
    <s v="FR"/>
    <s v="Free"/>
    <n v="47"/>
    <n v="62"/>
    <n v="0.41"/>
    <s v="Mobile"/>
    <n v="39"/>
    <n v="0"/>
    <n v="0"/>
    <n v="0"/>
    <n v="0"/>
    <x v="0"/>
  </r>
  <r>
    <x v="1289"/>
    <s v="Female"/>
    <n v="22"/>
    <s v="AU"/>
    <s v="Free"/>
    <n v="215"/>
    <n v="32"/>
    <n v="0.44"/>
    <s v="Web"/>
    <n v="22"/>
    <n v="0"/>
    <n v="0"/>
    <n v="0"/>
    <n v="0"/>
    <x v="4"/>
  </r>
  <r>
    <x v="1290"/>
    <s v="Female"/>
    <n v="40"/>
    <s v="FR"/>
    <s v="Free"/>
    <n v="152"/>
    <n v="7"/>
    <n v="0.44"/>
    <s v="Mobile"/>
    <n v="34"/>
    <n v="0"/>
    <n v="0"/>
    <n v="0"/>
    <n v="0"/>
    <x v="0"/>
  </r>
  <r>
    <x v="1291"/>
    <s v="Other"/>
    <n v="51"/>
    <s v="FR"/>
    <s v="Free"/>
    <n v="295"/>
    <n v="27"/>
    <n v="0.04"/>
    <s v="Web"/>
    <n v="34"/>
    <n v="0"/>
    <n v="1"/>
    <n v="0"/>
    <n v="0"/>
    <x v="0"/>
  </r>
  <r>
    <x v="1292"/>
    <s v="Male"/>
    <n v="16"/>
    <s v="AU"/>
    <s v="Free"/>
    <n v="157"/>
    <n v="46"/>
    <n v="0.14000000000000001"/>
    <s v="Mobile"/>
    <n v="32"/>
    <n v="0"/>
    <n v="0"/>
    <n v="0"/>
    <n v="0"/>
    <x v="0"/>
  </r>
  <r>
    <x v="1293"/>
    <s v="Female"/>
    <n v="49"/>
    <s v="IN"/>
    <s v="Free"/>
    <n v="201"/>
    <n v="48"/>
    <n v="0.22"/>
    <s v="Mobile"/>
    <n v="11"/>
    <n v="0"/>
    <n v="0"/>
    <n v="0"/>
    <n v="0"/>
    <x v="1"/>
  </r>
  <r>
    <x v="1294"/>
    <s v="Female"/>
    <n v="24"/>
    <s v="US"/>
    <s v="Free"/>
    <n v="183"/>
    <n v="76"/>
    <n v="0.04"/>
    <s v="Web"/>
    <n v="29"/>
    <n v="0"/>
    <n v="0"/>
    <n v="0"/>
    <n v="0"/>
    <x v="4"/>
  </r>
  <r>
    <x v="1295"/>
    <s v="Female"/>
    <n v="16"/>
    <s v="UK"/>
    <s v="Free"/>
    <n v="150"/>
    <n v="71"/>
    <n v="0.1"/>
    <s v="Mobile"/>
    <n v="48"/>
    <n v="0"/>
    <n v="1"/>
    <n v="0"/>
    <n v="0"/>
    <x v="3"/>
  </r>
  <r>
    <x v="1296"/>
    <s v="Male"/>
    <n v="28"/>
    <s v="US"/>
    <s v="Free"/>
    <n v="61"/>
    <n v="92"/>
    <n v="0.55000000000000004"/>
    <s v="Web"/>
    <n v="25"/>
    <n v="0"/>
    <n v="0"/>
    <n v="0"/>
    <n v="0"/>
    <x v="4"/>
  </r>
  <r>
    <x v="1297"/>
    <s v="Female"/>
    <n v="35"/>
    <s v="AU"/>
    <s v="Free"/>
    <n v="248"/>
    <n v="92"/>
    <n v="0.18"/>
    <s v="Web"/>
    <n v="35"/>
    <n v="0"/>
    <n v="1"/>
    <n v="0"/>
    <n v="0"/>
    <x v="0"/>
  </r>
  <r>
    <x v="1298"/>
    <s v="Other"/>
    <n v="42"/>
    <s v="DE"/>
    <s v="Free"/>
    <n v="235"/>
    <n v="61"/>
    <n v="0.48"/>
    <s v="Desktop"/>
    <n v="37"/>
    <n v="0"/>
    <n v="0"/>
    <n v="0"/>
    <n v="0"/>
    <x v="0"/>
  </r>
  <r>
    <x v="1299"/>
    <s v="Male"/>
    <n v="27"/>
    <s v="AU"/>
    <s v="Free"/>
    <n v="255"/>
    <n v="22"/>
    <n v="0.01"/>
    <s v="Desktop"/>
    <n v="25"/>
    <n v="0"/>
    <n v="0"/>
    <n v="0"/>
    <n v="0"/>
    <x v="4"/>
  </r>
  <r>
    <x v="1300"/>
    <s v="Male"/>
    <n v="19"/>
    <s v="FR"/>
    <s v="Free"/>
    <n v="254"/>
    <n v="52"/>
    <n v="0.1"/>
    <s v="Mobile"/>
    <n v="24"/>
    <n v="0"/>
    <n v="0"/>
    <n v="0"/>
    <n v="0"/>
    <x v="4"/>
  </r>
  <r>
    <x v="1301"/>
    <s v="Female"/>
    <n v="38"/>
    <s v="IN"/>
    <s v="Free"/>
    <n v="182"/>
    <n v="49"/>
    <n v="0.05"/>
    <s v="Desktop"/>
    <n v="49"/>
    <n v="0"/>
    <n v="0"/>
    <n v="0"/>
    <n v="0"/>
    <x v="3"/>
  </r>
  <r>
    <x v="1302"/>
    <s v="Other"/>
    <n v="18"/>
    <s v="PK"/>
    <s v="Free"/>
    <n v="73"/>
    <n v="38"/>
    <n v="0.6"/>
    <s v="Mobile"/>
    <n v="15"/>
    <n v="0"/>
    <n v="1"/>
    <n v="0"/>
    <n v="0"/>
    <x v="1"/>
  </r>
  <r>
    <x v="1303"/>
    <s v="Male"/>
    <n v="32"/>
    <s v="UK"/>
    <s v="Free"/>
    <n v="152"/>
    <n v="51"/>
    <n v="0.28999999999999998"/>
    <s v="Web"/>
    <n v="27"/>
    <n v="0"/>
    <n v="0"/>
    <n v="0"/>
    <n v="0"/>
    <x v="4"/>
  </r>
  <r>
    <x v="1304"/>
    <s v="Male"/>
    <n v="35"/>
    <s v="CA"/>
    <s v="Free"/>
    <n v="37"/>
    <n v="48"/>
    <n v="0"/>
    <s v="Mobile"/>
    <n v="10"/>
    <n v="0"/>
    <n v="0"/>
    <n v="0"/>
    <n v="0"/>
    <x v="1"/>
  </r>
  <r>
    <x v="1305"/>
    <s v="Male"/>
    <n v="45"/>
    <s v="IN"/>
    <s v="Free"/>
    <n v="62"/>
    <n v="31"/>
    <n v="0.36"/>
    <s v="Desktop"/>
    <n v="20"/>
    <n v="0"/>
    <n v="0"/>
    <n v="0"/>
    <n v="0"/>
    <x v="4"/>
  </r>
  <r>
    <x v="1306"/>
    <s v="Male"/>
    <n v="31"/>
    <s v="PK"/>
    <s v="Free"/>
    <n v="263"/>
    <n v="43"/>
    <n v="0.06"/>
    <s v="Web"/>
    <n v="23"/>
    <n v="0"/>
    <n v="1"/>
    <n v="0"/>
    <n v="0"/>
    <x v="4"/>
  </r>
  <r>
    <x v="1307"/>
    <s v="Male"/>
    <n v="17"/>
    <s v="DE"/>
    <s v="Free"/>
    <n v="289"/>
    <n v="85"/>
    <n v="0.56999999999999995"/>
    <s v="Desktop"/>
    <n v="10"/>
    <n v="0"/>
    <n v="0"/>
    <n v="0"/>
    <n v="0"/>
    <x v="1"/>
  </r>
  <r>
    <x v="1308"/>
    <s v="Other"/>
    <n v="28"/>
    <s v="IN"/>
    <s v="Free"/>
    <n v="255"/>
    <n v="24"/>
    <n v="0.15"/>
    <s v="Desktop"/>
    <n v="6"/>
    <n v="0"/>
    <n v="0"/>
    <n v="0"/>
    <n v="0"/>
    <x v="2"/>
  </r>
  <r>
    <x v="1309"/>
    <s v="Other"/>
    <n v="40"/>
    <s v="DE"/>
    <s v="Free"/>
    <n v="277"/>
    <n v="21"/>
    <n v="0.41"/>
    <s v="Desktop"/>
    <n v="12"/>
    <n v="0"/>
    <n v="0"/>
    <n v="0"/>
    <n v="0"/>
    <x v="1"/>
  </r>
  <r>
    <x v="1310"/>
    <s v="Female"/>
    <n v="19"/>
    <s v="DE"/>
    <s v="Free"/>
    <n v="256"/>
    <n v="46"/>
    <n v="0.42"/>
    <s v="Desktop"/>
    <n v="37"/>
    <n v="0"/>
    <n v="1"/>
    <n v="0"/>
    <n v="0"/>
    <x v="0"/>
  </r>
  <r>
    <x v="1311"/>
    <s v="Male"/>
    <n v="54"/>
    <s v="PK"/>
    <s v="Free"/>
    <n v="144"/>
    <n v="77"/>
    <n v="0.05"/>
    <s v="Mobile"/>
    <n v="37"/>
    <n v="0"/>
    <n v="0"/>
    <n v="0"/>
    <n v="0"/>
    <x v="0"/>
  </r>
  <r>
    <x v="1312"/>
    <s v="Male"/>
    <n v="43"/>
    <s v="FR"/>
    <s v="Free"/>
    <n v="142"/>
    <n v="83"/>
    <n v="0.55000000000000004"/>
    <s v="Desktop"/>
    <n v="25"/>
    <n v="0"/>
    <n v="0"/>
    <n v="0"/>
    <n v="0"/>
    <x v="4"/>
  </r>
  <r>
    <x v="1313"/>
    <s v="Male"/>
    <n v="17"/>
    <s v="CA"/>
    <s v="Free"/>
    <n v="259"/>
    <n v="90"/>
    <n v="0.39"/>
    <s v="Mobile"/>
    <n v="41"/>
    <n v="0"/>
    <n v="0"/>
    <n v="0"/>
    <n v="0"/>
    <x v="3"/>
  </r>
  <r>
    <x v="1314"/>
    <s v="Female"/>
    <n v="48"/>
    <s v="UK"/>
    <s v="Free"/>
    <n v="282"/>
    <n v="11"/>
    <n v="0.2"/>
    <s v="Mobile"/>
    <n v="29"/>
    <n v="0"/>
    <n v="1"/>
    <n v="0"/>
    <n v="0"/>
    <x v="4"/>
  </r>
  <r>
    <x v="1315"/>
    <s v="Male"/>
    <n v="27"/>
    <s v="DE"/>
    <s v="Free"/>
    <n v="11"/>
    <n v="50"/>
    <n v="0.32"/>
    <s v="Mobile"/>
    <n v="33"/>
    <n v="0"/>
    <n v="0"/>
    <n v="0"/>
    <n v="0"/>
    <x v="0"/>
  </r>
  <r>
    <x v="1316"/>
    <s v="Other"/>
    <n v="21"/>
    <s v="CA"/>
    <s v="Free"/>
    <n v="207"/>
    <n v="62"/>
    <n v="0.2"/>
    <s v="Mobile"/>
    <n v="33"/>
    <n v="0"/>
    <n v="0"/>
    <n v="0"/>
    <n v="0"/>
    <x v="0"/>
  </r>
  <r>
    <x v="1317"/>
    <s v="Male"/>
    <n v="21"/>
    <s v="UK"/>
    <s v="Free"/>
    <n v="101"/>
    <n v="30"/>
    <n v="0.52"/>
    <s v="Desktop"/>
    <n v="45"/>
    <n v="0"/>
    <n v="1"/>
    <n v="0"/>
    <n v="0"/>
    <x v="3"/>
  </r>
  <r>
    <x v="1318"/>
    <s v="Male"/>
    <n v="57"/>
    <s v="US"/>
    <s v="Free"/>
    <n v="120"/>
    <n v="14"/>
    <n v="0.03"/>
    <s v="Desktop"/>
    <n v="44"/>
    <n v="0"/>
    <n v="0"/>
    <n v="0"/>
    <n v="0"/>
    <x v="3"/>
  </r>
  <r>
    <x v="1319"/>
    <s v="Male"/>
    <n v="49"/>
    <s v="US"/>
    <s v="Free"/>
    <n v="128"/>
    <n v="4"/>
    <n v="0.49"/>
    <s v="Mobile"/>
    <n v="10"/>
    <n v="0"/>
    <n v="0"/>
    <n v="0"/>
    <n v="0"/>
    <x v="1"/>
  </r>
  <r>
    <x v="1320"/>
    <s v="Male"/>
    <n v="25"/>
    <s v="CA"/>
    <s v="Free"/>
    <n v="13"/>
    <n v="86"/>
    <n v="0.47"/>
    <s v="Mobile"/>
    <n v="34"/>
    <n v="0"/>
    <n v="0"/>
    <n v="0"/>
    <n v="0"/>
    <x v="0"/>
  </r>
  <r>
    <x v="1321"/>
    <s v="Female"/>
    <n v="58"/>
    <s v="PK"/>
    <s v="Free"/>
    <n v="118"/>
    <n v="52"/>
    <n v="0.3"/>
    <s v="Web"/>
    <n v="26"/>
    <n v="0"/>
    <n v="0"/>
    <n v="0"/>
    <n v="0"/>
    <x v="4"/>
  </r>
  <r>
    <x v="1322"/>
    <s v="Female"/>
    <n v="46"/>
    <s v="PK"/>
    <s v="Free"/>
    <n v="28"/>
    <n v="19"/>
    <n v="0.25"/>
    <s v="Desktop"/>
    <n v="19"/>
    <n v="0"/>
    <n v="1"/>
    <n v="0"/>
    <n v="0"/>
    <x v="1"/>
  </r>
  <r>
    <x v="1323"/>
    <s v="Female"/>
    <n v="18"/>
    <s v="AU"/>
    <s v="Free"/>
    <n v="226"/>
    <n v="64"/>
    <n v="0.46"/>
    <s v="Mobile"/>
    <n v="28"/>
    <n v="0"/>
    <n v="0"/>
    <n v="0"/>
    <n v="0"/>
    <x v="4"/>
  </r>
  <r>
    <x v="1324"/>
    <s v="Other"/>
    <n v="55"/>
    <s v="CA"/>
    <s v="Free"/>
    <n v="97"/>
    <n v="5"/>
    <n v="0.28000000000000003"/>
    <s v="Mobile"/>
    <n v="8"/>
    <n v="0"/>
    <n v="0"/>
    <n v="0"/>
    <n v="0"/>
    <x v="2"/>
  </r>
  <r>
    <x v="1325"/>
    <s v="Other"/>
    <n v="54"/>
    <s v="UK"/>
    <s v="Free"/>
    <n v="152"/>
    <n v="88"/>
    <n v="0.21"/>
    <s v="Web"/>
    <n v="15"/>
    <n v="0"/>
    <n v="0"/>
    <n v="0"/>
    <n v="0"/>
    <x v="1"/>
  </r>
  <r>
    <x v="1326"/>
    <s v="Male"/>
    <n v="45"/>
    <s v="FR"/>
    <s v="Free"/>
    <n v="27"/>
    <n v="63"/>
    <n v="0.1"/>
    <s v="Desktop"/>
    <n v="34"/>
    <n v="0"/>
    <n v="0"/>
    <n v="0"/>
    <n v="0"/>
    <x v="0"/>
  </r>
  <r>
    <x v="1327"/>
    <s v="Female"/>
    <n v="30"/>
    <s v="AU"/>
    <s v="Free"/>
    <n v="27"/>
    <n v="92"/>
    <n v="0.08"/>
    <s v="Mobile"/>
    <n v="6"/>
    <n v="0"/>
    <n v="1"/>
    <n v="0"/>
    <n v="0"/>
    <x v="2"/>
  </r>
  <r>
    <x v="1328"/>
    <s v="Other"/>
    <n v="16"/>
    <s v="IN"/>
    <s v="Free"/>
    <n v="56"/>
    <n v="20"/>
    <n v="0.01"/>
    <s v="Web"/>
    <n v="16"/>
    <n v="0"/>
    <n v="0"/>
    <n v="0"/>
    <n v="0"/>
    <x v="1"/>
  </r>
  <r>
    <x v="1329"/>
    <s v="Other"/>
    <n v="30"/>
    <s v="DE"/>
    <s v="Free"/>
    <n v="108"/>
    <n v="89"/>
    <n v="0.09"/>
    <s v="Mobile"/>
    <n v="49"/>
    <n v="0"/>
    <n v="0"/>
    <n v="0"/>
    <n v="0"/>
    <x v="3"/>
  </r>
  <r>
    <x v="1330"/>
    <s v="Other"/>
    <n v="50"/>
    <s v="UK"/>
    <s v="Free"/>
    <n v="125"/>
    <n v="7"/>
    <n v="0.14000000000000001"/>
    <s v="Mobile"/>
    <n v="49"/>
    <n v="0"/>
    <n v="0"/>
    <n v="0"/>
    <n v="0"/>
    <x v="3"/>
  </r>
  <r>
    <x v="1331"/>
    <s v="Female"/>
    <n v="31"/>
    <s v="DE"/>
    <s v="Free"/>
    <n v="75"/>
    <n v="15"/>
    <n v="0.23"/>
    <s v="Desktop"/>
    <n v="41"/>
    <n v="0"/>
    <n v="0"/>
    <n v="0"/>
    <n v="0"/>
    <x v="3"/>
  </r>
  <r>
    <x v="1332"/>
    <s v="Female"/>
    <n v="42"/>
    <s v="DE"/>
    <s v="Free"/>
    <n v="98"/>
    <n v="29"/>
    <n v="0.34"/>
    <s v="Web"/>
    <n v="39"/>
    <n v="0"/>
    <n v="0"/>
    <n v="0"/>
    <n v="0"/>
    <x v="0"/>
  </r>
  <r>
    <x v="1333"/>
    <s v="Female"/>
    <n v="51"/>
    <s v="UK"/>
    <s v="Free"/>
    <n v="140"/>
    <n v="21"/>
    <n v="0.4"/>
    <s v="Desktop"/>
    <n v="33"/>
    <n v="0"/>
    <n v="0"/>
    <n v="0"/>
    <n v="0"/>
    <x v="0"/>
  </r>
  <r>
    <x v="1334"/>
    <s v="Female"/>
    <n v="27"/>
    <s v="IN"/>
    <s v="Free"/>
    <n v="26"/>
    <n v="95"/>
    <n v="0.17"/>
    <s v="Web"/>
    <n v="47"/>
    <n v="0"/>
    <n v="1"/>
    <n v="0"/>
    <n v="0"/>
    <x v="3"/>
  </r>
  <r>
    <x v="1335"/>
    <s v="Female"/>
    <n v="16"/>
    <s v="US"/>
    <s v="Free"/>
    <n v="268"/>
    <n v="98"/>
    <n v="0.59"/>
    <s v="Mobile"/>
    <n v="8"/>
    <n v="0"/>
    <n v="1"/>
    <n v="0"/>
    <n v="0"/>
    <x v="2"/>
  </r>
  <r>
    <x v="1336"/>
    <s v="Other"/>
    <n v="52"/>
    <s v="FR"/>
    <s v="Free"/>
    <n v="36"/>
    <n v="77"/>
    <n v="0.52"/>
    <s v="Web"/>
    <n v="13"/>
    <n v="0"/>
    <n v="0"/>
    <n v="0"/>
    <n v="0"/>
    <x v="1"/>
  </r>
  <r>
    <x v="1337"/>
    <s v="Female"/>
    <n v="50"/>
    <s v="US"/>
    <s v="Free"/>
    <n v="245"/>
    <n v="50"/>
    <n v="7.0000000000000007E-2"/>
    <s v="Mobile"/>
    <n v="7"/>
    <n v="0"/>
    <n v="0"/>
    <n v="0"/>
    <n v="0"/>
    <x v="2"/>
  </r>
  <r>
    <x v="1338"/>
    <s v="Male"/>
    <n v="33"/>
    <s v="CA"/>
    <s v="Free"/>
    <n v="29"/>
    <n v="54"/>
    <n v="0.04"/>
    <s v="Web"/>
    <n v="5"/>
    <n v="0"/>
    <n v="1"/>
    <n v="0"/>
    <n v="0"/>
    <x v="2"/>
  </r>
  <r>
    <x v="1339"/>
    <s v="Other"/>
    <n v="37"/>
    <s v="UK"/>
    <s v="Free"/>
    <n v="171"/>
    <n v="42"/>
    <n v="0.15"/>
    <s v="Desktop"/>
    <n v="32"/>
    <n v="0"/>
    <n v="0"/>
    <n v="0"/>
    <n v="0"/>
    <x v="0"/>
  </r>
  <r>
    <x v="1340"/>
    <s v="Other"/>
    <n v="42"/>
    <s v="US"/>
    <s v="Free"/>
    <n v="65"/>
    <n v="87"/>
    <n v="0.24"/>
    <s v="Desktop"/>
    <n v="23"/>
    <n v="0"/>
    <n v="0"/>
    <n v="0"/>
    <n v="0"/>
    <x v="4"/>
  </r>
  <r>
    <x v="1341"/>
    <s v="Female"/>
    <n v="22"/>
    <s v="CA"/>
    <s v="Free"/>
    <n v="232"/>
    <n v="70"/>
    <n v="0.55000000000000004"/>
    <s v="Web"/>
    <n v="12"/>
    <n v="0"/>
    <n v="1"/>
    <n v="0"/>
    <n v="0"/>
    <x v="1"/>
  </r>
  <r>
    <x v="1342"/>
    <s v="Female"/>
    <n v="25"/>
    <s v="FR"/>
    <s v="Free"/>
    <n v="107"/>
    <n v="83"/>
    <n v="0.13"/>
    <s v="Mobile"/>
    <n v="17"/>
    <n v="0"/>
    <n v="0"/>
    <n v="0"/>
    <n v="0"/>
    <x v="1"/>
  </r>
  <r>
    <x v="1343"/>
    <s v="Male"/>
    <n v="37"/>
    <s v="PK"/>
    <s v="Free"/>
    <n v="12"/>
    <n v="87"/>
    <n v="0.42"/>
    <s v="Desktop"/>
    <n v="30"/>
    <n v="0"/>
    <n v="0"/>
    <n v="0"/>
    <n v="0"/>
    <x v="0"/>
  </r>
  <r>
    <x v="1344"/>
    <s v="Male"/>
    <n v="57"/>
    <s v="PK"/>
    <s v="Free"/>
    <n v="266"/>
    <n v="19"/>
    <n v="0.36"/>
    <s v="Web"/>
    <n v="35"/>
    <n v="0"/>
    <n v="0"/>
    <n v="0"/>
    <n v="0"/>
    <x v="0"/>
  </r>
  <r>
    <x v="1345"/>
    <s v="Female"/>
    <n v="42"/>
    <s v="DE"/>
    <s v="Free"/>
    <n v="74"/>
    <n v="96"/>
    <n v="0.42"/>
    <s v="Web"/>
    <n v="49"/>
    <n v="0"/>
    <n v="0"/>
    <n v="0"/>
    <n v="0"/>
    <x v="3"/>
  </r>
  <r>
    <x v="1346"/>
    <s v="Male"/>
    <n v="25"/>
    <s v="US"/>
    <s v="Free"/>
    <n v="171"/>
    <n v="52"/>
    <n v="0.36"/>
    <s v="Web"/>
    <n v="11"/>
    <n v="0"/>
    <n v="0"/>
    <n v="0"/>
    <n v="0"/>
    <x v="1"/>
  </r>
  <r>
    <x v="1347"/>
    <s v="Other"/>
    <n v="36"/>
    <s v="AU"/>
    <s v="Free"/>
    <n v="164"/>
    <n v="66"/>
    <n v="0.1"/>
    <s v="Web"/>
    <n v="48"/>
    <n v="0"/>
    <n v="0"/>
    <n v="0"/>
    <n v="0"/>
    <x v="3"/>
  </r>
  <r>
    <x v="1348"/>
    <s v="Male"/>
    <n v="25"/>
    <s v="CA"/>
    <s v="Free"/>
    <n v="26"/>
    <n v="24"/>
    <n v="0.01"/>
    <s v="Mobile"/>
    <n v="42"/>
    <n v="0"/>
    <n v="0"/>
    <n v="0"/>
    <n v="0"/>
    <x v="3"/>
  </r>
  <r>
    <x v="1349"/>
    <s v="Female"/>
    <n v="46"/>
    <s v="UK"/>
    <s v="Free"/>
    <n v="298"/>
    <n v="18"/>
    <n v="0.27"/>
    <s v="Web"/>
    <n v="35"/>
    <n v="0"/>
    <n v="0"/>
    <n v="0"/>
    <n v="0"/>
    <x v="0"/>
  </r>
  <r>
    <x v="1350"/>
    <s v="Female"/>
    <n v="48"/>
    <s v="DE"/>
    <s v="Free"/>
    <n v="179"/>
    <n v="36"/>
    <n v="0.34"/>
    <s v="Web"/>
    <n v="32"/>
    <n v="0"/>
    <n v="0"/>
    <n v="0"/>
    <n v="0"/>
    <x v="0"/>
  </r>
  <r>
    <x v="1351"/>
    <s v="Male"/>
    <n v="49"/>
    <s v="IN"/>
    <s v="Free"/>
    <n v="170"/>
    <n v="2"/>
    <n v="0.17"/>
    <s v="Web"/>
    <n v="43"/>
    <n v="0"/>
    <n v="1"/>
    <n v="0"/>
    <n v="0"/>
    <x v="3"/>
  </r>
  <r>
    <x v="1352"/>
    <s v="Male"/>
    <n v="17"/>
    <s v="CA"/>
    <s v="Free"/>
    <n v="233"/>
    <n v="93"/>
    <n v="0.3"/>
    <s v="Mobile"/>
    <n v="12"/>
    <n v="0"/>
    <n v="1"/>
    <n v="0"/>
    <n v="0"/>
    <x v="1"/>
  </r>
  <r>
    <x v="1353"/>
    <s v="Female"/>
    <n v="20"/>
    <s v="DE"/>
    <s v="Free"/>
    <n v="166"/>
    <n v="37"/>
    <n v="0.44"/>
    <s v="Web"/>
    <n v="20"/>
    <n v="0"/>
    <n v="0"/>
    <n v="0"/>
    <n v="0"/>
    <x v="4"/>
  </r>
  <r>
    <x v="1354"/>
    <s v="Female"/>
    <n v="51"/>
    <s v="UK"/>
    <s v="Free"/>
    <n v="230"/>
    <n v="72"/>
    <n v="0.05"/>
    <s v="Desktop"/>
    <n v="32"/>
    <n v="0"/>
    <n v="0"/>
    <n v="0"/>
    <n v="0"/>
    <x v="0"/>
  </r>
  <r>
    <x v="1355"/>
    <s v="Other"/>
    <n v="46"/>
    <s v="PK"/>
    <s v="Free"/>
    <n v="239"/>
    <n v="64"/>
    <n v="0.56999999999999995"/>
    <s v="Web"/>
    <n v="40"/>
    <n v="0"/>
    <n v="0"/>
    <n v="0"/>
    <n v="0"/>
    <x v="3"/>
  </r>
  <r>
    <x v="1356"/>
    <s v="Other"/>
    <n v="35"/>
    <s v="PK"/>
    <s v="Free"/>
    <n v="287"/>
    <n v="72"/>
    <n v="0.37"/>
    <s v="Mobile"/>
    <n v="26"/>
    <n v="0"/>
    <n v="0"/>
    <n v="0"/>
    <n v="0"/>
    <x v="4"/>
  </r>
  <r>
    <x v="1357"/>
    <s v="Female"/>
    <n v="39"/>
    <s v="US"/>
    <s v="Free"/>
    <n v="184"/>
    <n v="77"/>
    <n v="0.21"/>
    <s v="Mobile"/>
    <n v="7"/>
    <n v="0"/>
    <n v="0"/>
    <n v="0"/>
    <n v="0"/>
    <x v="2"/>
  </r>
  <r>
    <x v="1358"/>
    <s v="Other"/>
    <n v="45"/>
    <s v="UK"/>
    <s v="Free"/>
    <n v="131"/>
    <n v="78"/>
    <n v="0.13"/>
    <s v="Desktop"/>
    <n v="39"/>
    <n v="0"/>
    <n v="1"/>
    <n v="0"/>
    <n v="0"/>
    <x v="0"/>
  </r>
  <r>
    <x v="1359"/>
    <s v="Other"/>
    <n v="55"/>
    <s v="IN"/>
    <s v="Free"/>
    <n v="190"/>
    <n v="68"/>
    <n v="0.13"/>
    <s v="Mobile"/>
    <n v="31"/>
    <n v="0"/>
    <n v="1"/>
    <n v="0"/>
    <n v="0"/>
    <x v="0"/>
  </r>
  <r>
    <x v="1360"/>
    <s v="Male"/>
    <n v="55"/>
    <s v="AU"/>
    <s v="Free"/>
    <n v="248"/>
    <n v="54"/>
    <n v="0.48"/>
    <s v="Desktop"/>
    <n v="7"/>
    <n v="0"/>
    <n v="0"/>
    <n v="0"/>
    <n v="0"/>
    <x v="2"/>
  </r>
  <r>
    <x v="1361"/>
    <s v="Male"/>
    <n v="32"/>
    <s v="DE"/>
    <s v="Free"/>
    <n v="72"/>
    <n v="57"/>
    <n v="0.52"/>
    <s v="Web"/>
    <n v="25"/>
    <n v="0"/>
    <n v="0"/>
    <n v="0"/>
    <n v="0"/>
    <x v="4"/>
  </r>
  <r>
    <x v="1362"/>
    <s v="Female"/>
    <n v="37"/>
    <s v="AU"/>
    <s v="Free"/>
    <n v="216"/>
    <n v="57"/>
    <n v="0.12"/>
    <s v="Mobile"/>
    <n v="44"/>
    <n v="0"/>
    <n v="1"/>
    <n v="0"/>
    <n v="0"/>
    <x v="3"/>
  </r>
  <r>
    <x v="1363"/>
    <s v="Other"/>
    <n v="37"/>
    <s v="AU"/>
    <s v="Free"/>
    <n v="100"/>
    <n v="99"/>
    <n v="0.15"/>
    <s v="Mobile"/>
    <n v="26"/>
    <n v="0"/>
    <n v="0"/>
    <n v="0"/>
    <n v="0"/>
    <x v="4"/>
  </r>
  <r>
    <x v="1364"/>
    <s v="Female"/>
    <n v="44"/>
    <s v="DE"/>
    <s v="Free"/>
    <n v="94"/>
    <n v="13"/>
    <n v="0.23"/>
    <s v="Web"/>
    <n v="47"/>
    <n v="0"/>
    <n v="0"/>
    <n v="0"/>
    <n v="0"/>
    <x v="3"/>
  </r>
  <r>
    <x v="1365"/>
    <s v="Male"/>
    <n v="18"/>
    <s v="PK"/>
    <s v="Free"/>
    <n v="299"/>
    <n v="3"/>
    <n v="0.23"/>
    <s v="Web"/>
    <n v="48"/>
    <n v="0"/>
    <n v="0"/>
    <n v="0"/>
    <n v="0"/>
    <x v="3"/>
  </r>
  <r>
    <x v="1366"/>
    <s v="Male"/>
    <n v="57"/>
    <s v="IN"/>
    <s v="Free"/>
    <n v="191"/>
    <n v="28"/>
    <n v="0.12"/>
    <s v="Mobile"/>
    <n v="11"/>
    <n v="0"/>
    <n v="0"/>
    <n v="0"/>
    <n v="0"/>
    <x v="1"/>
  </r>
  <r>
    <x v="1367"/>
    <s v="Female"/>
    <n v="16"/>
    <s v="FR"/>
    <s v="Free"/>
    <n v="172"/>
    <n v="66"/>
    <n v="0.54"/>
    <s v="Mobile"/>
    <n v="5"/>
    <n v="0"/>
    <n v="0"/>
    <n v="0"/>
    <n v="0"/>
    <x v="2"/>
  </r>
  <r>
    <x v="1368"/>
    <s v="Male"/>
    <n v="26"/>
    <s v="US"/>
    <s v="Free"/>
    <n v="14"/>
    <n v="16"/>
    <n v="0.34"/>
    <s v="Desktop"/>
    <n v="18"/>
    <n v="0"/>
    <n v="0"/>
    <n v="0"/>
    <n v="0"/>
    <x v="1"/>
  </r>
  <r>
    <x v="1369"/>
    <s v="Male"/>
    <n v="16"/>
    <s v="PK"/>
    <s v="Free"/>
    <n v="93"/>
    <n v="58"/>
    <n v="0.45"/>
    <s v="Mobile"/>
    <n v="26"/>
    <n v="0"/>
    <n v="0"/>
    <n v="0"/>
    <n v="0"/>
    <x v="4"/>
  </r>
  <r>
    <x v="1370"/>
    <s v="Other"/>
    <n v="57"/>
    <s v="FR"/>
    <s v="Free"/>
    <n v="272"/>
    <n v="65"/>
    <n v="0.17"/>
    <s v="Desktop"/>
    <n v="42"/>
    <n v="0"/>
    <n v="0"/>
    <n v="0"/>
    <n v="0"/>
    <x v="3"/>
  </r>
  <r>
    <x v="1371"/>
    <s v="Male"/>
    <n v="23"/>
    <s v="AU"/>
    <s v="Free"/>
    <n v="40"/>
    <n v="24"/>
    <n v="0.28000000000000003"/>
    <s v="Web"/>
    <n v="23"/>
    <n v="0"/>
    <n v="0"/>
    <n v="0"/>
    <n v="0"/>
    <x v="4"/>
  </r>
  <r>
    <x v="1372"/>
    <s v="Male"/>
    <n v="37"/>
    <s v="IN"/>
    <s v="Free"/>
    <n v="273"/>
    <n v="15"/>
    <n v="0.45"/>
    <s v="Mobile"/>
    <n v="12"/>
    <n v="0"/>
    <n v="0"/>
    <n v="0"/>
    <n v="0"/>
    <x v="1"/>
  </r>
  <r>
    <x v="1373"/>
    <s v="Female"/>
    <n v="16"/>
    <s v="DE"/>
    <s v="Free"/>
    <n v="30"/>
    <n v="40"/>
    <n v="0.32"/>
    <s v="Mobile"/>
    <n v="37"/>
    <n v="0"/>
    <n v="0"/>
    <n v="0"/>
    <n v="0"/>
    <x v="0"/>
  </r>
  <r>
    <x v="1374"/>
    <s v="Male"/>
    <n v="25"/>
    <s v="UK"/>
    <s v="Free"/>
    <n v="231"/>
    <n v="2"/>
    <n v="0.59"/>
    <s v="Desktop"/>
    <n v="49"/>
    <n v="0"/>
    <n v="0"/>
    <n v="0"/>
    <n v="0"/>
    <x v="3"/>
  </r>
  <r>
    <x v="1375"/>
    <s v="Male"/>
    <n v="22"/>
    <s v="FR"/>
    <s v="Free"/>
    <n v="55"/>
    <n v="45"/>
    <n v="0.1"/>
    <s v="Desktop"/>
    <n v="38"/>
    <n v="0"/>
    <n v="0"/>
    <n v="0"/>
    <n v="0"/>
    <x v="0"/>
  </r>
  <r>
    <x v="1376"/>
    <s v="Female"/>
    <n v="17"/>
    <s v="FR"/>
    <s v="Free"/>
    <n v="256"/>
    <n v="61"/>
    <n v="0.39"/>
    <s v="Web"/>
    <n v="19"/>
    <n v="0"/>
    <n v="0"/>
    <n v="0"/>
    <n v="0"/>
    <x v="1"/>
  </r>
  <r>
    <x v="1377"/>
    <s v="Other"/>
    <n v="50"/>
    <s v="AU"/>
    <s v="Free"/>
    <n v="33"/>
    <n v="88"/>
    <n v="0.11"/>
    <s v="Desktop"/>
    <n v="24"/>
    <n v="0"/>
    <n v="0"/>
    <n v="0"/>
    <n v="0"/>
    <x v="4"/>
  </r>
  <r>
    <x v="1378"/>
    <s v="Other"/>
    <n v="49"/>
    <s v="US"/>
    <s v="Free"/>
    <n v="57"/>
    <n v="82"/>
    <n v="0.18"/>
    <s v="Desktop"/>
    <n v="30"/>
    <n v="0"/>
    <n v="0"/>
    <n v="0"/>
    <n v="0"/>
    <x v="0"/>
  </r>
  <r>
    <x v="1379"/>
    <s v="Male"/>
    <n v="48"/>
    <s v="IN"/>
    <s v="Free"/>
    <n v="58"/>
    <n v="14"/>
    <n v="0.32"/>
    <s v="Desktop"/>
    <n v="20"/>
    <n v="0"/>
    <n v="0"/>
    <n v="0"/>
    <n v="0"/>
    <x v="4"/>
  </r>
  <r>
    <x v="1380"/>
    <s v="Other"/>
    <n v="55"/>
    <s v="IN"/>
    <s v="Free"/>
    <n v="79"/>
    <n v="26"/>
    <n v="0.08"/>
    <s v="Web"/>
    <n v="9"/>
    <n v="0"/>
    <n v="1"/>
    <n v="0"/>
    <n v="0"/>
    <x v="2"/>
  </r>
  <r>
    <x v="1381"/>
    <s v="Other"/>
    <n v="42"/>
    <s v="IN"/>
    <s v="Free"/>
    <n v="166"/>
    <n v="8"/>
    <n v="0.44"/>
    <s v="Web"/>
    <n v="34"/>
    <n v="0"/>
    <n v="0"/>
    <n v="0"/>
    <n v="0"/>
    <x v="0"/>
  </r>
  <r>
    <x v="1382"/>
    <s v="Male"/>
    <n v="33"/>
    <s v="UK"/>
    <s v="Free"/>
    <n v="51"/>
    <n v="67"/>
    <n v="0.41"/>
    <s v="Web"/>
    <n v="36"/>
    <n v="0"/>
    <n v="0"/>
    <n v="0"/>
    <n v="0"/>
    <x v="0"/>
  </r>
  <r>
    <x v="1383"/>
    <s v="Other"/>
    <n v="28"/>
    <s v="FR"/>
    <s v="Free"/>
    <n v="179"/>
    <n v="62"/>
    <n v="0.37"/>
    <s v="Web"/>
    <n v="46"/>
    <n v="0"/>
    <n v="0"/>
    <n v="0"/>
    <n v="0"/>
    <x v="3"/>
  </r>
  <r>
    <x v="1384"/>
    <s v="Other"/>
    <n v="22"/>
    <s v="AU"/>
    <s v="Free"/>
    <n v="111"/>
    <n v="80"/>
    <n v="0.14000000000000001"/>
    <s v="Mobile"/>
    <n v="16"/>
    <n v="0"/>
    <n v="0"/>
    <n v="0"/>
    <n v="0"/>
    <x v="1"/>
  </r>
  <r>
    <x v="1385"/>
    <s v="Female"/>
    <n v="26"/>
    <s v="UK"/>
    <s v="Free"/>
    <n v="60"/>
    <n v="12"/>
    <n v="0.5"/>
    <s v="Desktop"/>
    <n v="22"/>
    <n v="0"/>
    <n v="0"/>
    <n v="0"/>
    <n v="0"/>
    <x v="4"/>
  </r>
  <r>
    <x v="1386"/>
    <s v="Male"/>
    <n v="55"/>
    <s v="AU"/>
    <s v="Free"/>
    <n v="197"/>
    <n v="12"/>
    <n v="0.37"/>
    <s v="Web"/>
    <n v="19"/>
    <n v="0"/>
    <n v="0"/>
    <n v="0"/>
    <n v="0"/>
    <x v="1"/>
  </r>
  <r>
    <x v="1387"/>
    <s v="Male"/>
    <n v="51"/>
    <s v="IN"/>
    <s v="Free"/>
    <n v="159"/>
    <n v="73"/>
    <n v="0.47"/>
    <s v="Desktop"/>
    <n v="6"/>
    <n v="0"/>
    <n v="0"/>
    <n v="0"/>
    <n v="0"/>
    <x v="2"/>
  </r>
  <r>
    <x v="1388"/>
    <s v="Other"/>
    <n v="52"/>
    <s v="US"/>
    <s v="Free"/>
    <n v="29"/>
    <n v="23"/>
    <n v="0.11"/>
    <s v="Web"/>
    <n v="30"/>
    <n v="0"/>
    <n v="0"/>
    <n v="0"/>
    <n v="0"/>
    <x v="0"/>
  </r>
  <r>
    <x v="1389"/>
    <s v="Other"/>
    <n v="41"/>
    <s v="UK"/>
    <s v="Free"/>
    <n v="86"/>
    <n v="19"/>
    <n v="0.26"/>
    <s v="Mobile"/>
    <n v="9"/>
    <n v="0"/>
    <n v="0"/>
    <n v="0"/>
    <n v="0"/>
    <x v="2"/>
  </r>
  <r>
    <x v="1390"/>
    <s v="Male"/>
    <n v="48"/>
    <s v="IN"/>
    <s v="Free"/>
    <n v="89"/>
    <n v="90"/>
    <n v="0.34"/>
    <s v="Desktop"/>
    <n v="22"/>
    <n v="0"/>
    <n v="1"/>
    <n v="0"/>
    <n v="0"/>
    <x v="4"/>
  </r>
  <r>
    <x v="1391"/>
    <s v="Female"/>
    <n v="30"/>
    <s v="US"/>
    <s v="Free"/>
    <n v="251"/>
    <n v="54"/>
    <n v="0.2"/>
    <s v="Desktop"/>
    <n v="37"/>
    <n v="0"/>
    <n v="0"/>
    <n v="0"/>
    <n v="0"/>
    <x v="0"/>
  </r>
  <r>
    <x v="1392"/>
    <s v="Male"/>
    <n v="56"/>
    <s v="PK"/>
    <s v="Free"/>
    <n v="263"/>
    <n v="52"/>
    <n v="0.3"/>
    <s v="Web"/>
    <n v="41"/>
    <n v="0"/>
    <n v="0"/>
    <n v="0"/>
    <n v="0"/>
    <x v="3"/>
  </r>
  <r>
    <x v="1393"/>
    <s v="Other"/>
    <n v="44"/>
    <s v="PK"/>
    <s v="Free"/>
    <n v="198"/>
    <n v="41"/>
    <n v="0.53"/>
    <s v="Web"/>
    <n v="43"/>
    <n v="0"/>
    <n v="0"/>
    <n v="0"/>
    <n v="0"/>
    <x v="3"/>
  </r>
  <r>
    <x v="1394"/>
    <s v="Other"/>
    <n v="39"/>
    <s v="IN"/>
    <s v="Free"/>
    <n v="91"/>
    <n v="44"/>
    <n v="0.08"/>
    <s v="Web"/>
    <n v="43"/>
    <n v="0"/>
    <n v="0"/>
    <n v="0"/>
    <n v="0"/>
    <x v="3"/>
  </r>
  <r>
    <x v="1395"/>
    <s v="Other"/>
    <n v="44"/>
    <s v="US"/>
    <s v="Free"/>
    <n v="57"/>
    <n v="63"/>
    <n v="0.52"/>
    <s v="Web"/>
    <n v="27"/>
    <n v="0"/>
    <n v="0"/>
    <n v="0"/>
    <n v="0"/>
    <x v="4"/>
  </r>
  <r>
    <x v="1396"/>
    <s v="Female"/>
    <n v="38"/>
    <s v="IN"/>
    <s v="Free"/>
    <n v="262"/>
    <n v="39"/>
    <n v="0.34"/>
    <s v="Web"/>
    <n v="43"/>
    <n v="0"/>
    <n v="0"/>
    <n v="0"/>
    <n v="0"/>
    <x v="3"/>
  </r>
  <r>
    <x v="1397"/>
    <s v="Other"/>
    <n v="57"/>
    <s v="DE"/>
    <s v="Free"/>
    <n v="58"/>
    <n v="41"/>
    <n v="0"/>
    <s v="Mobile"/>
    <n v="27"/>
    <n v="0"/>
    <n v="0"/>
    <n v="0"/>
    <n v="0"/>
    <x v="4"/>
  </r>
  <r>
    <x v="1398"/>
    <s v="Other"/>
    <n v="28"/>
    <s v="IN"/>
    <s v="Free"/>
    <n v="119"/>
    <n v="9"/>
    <n v="0.5"/>
    <s v="Mobile"/>
    <n v="25"/>
    <n v="0"/>
    <n v="1"/>
    <n v="0"/>
    <n v="0"/>
    <x v="4"/>
  </r>
  <r>
    <x v="1399"/>
    <s v="Female"/>
    <n v="36"/>
    <s v="CA"/>
    <s v="Free"/>
    <n v="236"/>
    <n v="41"/>
    <n v="0.46"/>
    <s v="Desktop"/>
    <n v="32"/>
    <n v="0"/>
    <n v="1"/>
    <n v="0"/>
    <n v="0"/>
    <x v="0"/>
  </r>
  <r>
    <x v="1400"/>
    <s v="Other"/>
    <n v="28"/>
    <s v="AU"/>
    <s v="Free"/>
    <n v="62"/>
    <n v="61"/>
    <n v="0.5"/>
    <s v="Mobile"/>
    <n v="45"/>
    <n v="0"/>
    <n v="0"/>
    <n v="0"/>
    <n v="0"/>
    <x v="3"/>
  </r>
  <r>
    <x v="1401"/>
    <s v="Other"/>
    <n v="50"/>
    <s v="US"/>
    <s v="Free"/>
    <n v="231"/>
    <n v="86"/>
    <n v="0.57999999999999996"/>
    <s v="Mobile"/>
    <n v="35"/>
    <n v="0"/>
    <n v="0"/>
    <n v="0"/>
    <n v="0"/>
    <x v="0"/>
  </r>
  <r>
    <x v="1402"/>
    <s v="Female"/>
    <n v="52"/>
    <s v="AU"/>
    <s v="Free"/>
    <n v="79"/>
    <n v="24"/>
    <n v="0.13"/>
    <s v="Web"/>
    <n v="32"/>
    <n v="0"/>
    <n v="0"/>
    <n v="0"/>
    <n v="0"/>
    <x v="0"/>
  </r>
  <r>
    <x v="1403"/>
    <s v="Male"/>
    <n v="18"/>
    <s v="AU"/>
    <s v="Free"/>
    <n v="109"/>
    <n v="20"/>
    <n v="0.04"/>
    <s v="Web"/>
    <n v="26"/>
    <n v="0"/>
    <n v="1"/>
    <n v="0"/>
    <n v="0"/>
    <x v="4"/>
  </r>
  <r>
    <x v="1404"/>
    <s v="Female"/>
    <n v="53"/>
    <s v="US"/>
    <s v="Free"/>
    <n v="77"/>
    <n v="47"/>
    <n v="0.31"/>
    <s v="Web"/>
    <n v="38"/>
    <n v="0"/>
    <n v="0"/>
    <n v="0"/>
    <n v="0"/>
    <x v="0"/>
  </r>
  <r>
    <x v="1405"/>
    <s v="Male"/>
    <n v="27"/>
    <s v="US"/>
    <s v="Free"/>
    <n v="207"/>
    <n v="78"/>
    <n v="0.37"/>
    <s v="Web"/>
    <n v="7"/>
    <n v="0"/>
    <n v="0"/>
    <n v="0"/>
    <n v="0"/>
    <x v="2"/>
  </r>
  <r>
    <x v="1406"/>
    <s v="Female"/>
    <n v="51"/>
    <s v="US"/>
    <s v="Free"/>
    <n v="179"/>
    <n v="35"/>
    <n v="0.02"/>
    <s v="Mobile"/>
    <n v="39"/>
    <n v="0"/>
    <n v="0"/>
    <n v="0"/>
    <n v="0"/>
    <x v="0"/>
  </r>
  <r>
    <x v="1407"/>
    <s v="Male"/>
    <n v="51"/>
    <s v="IN"/>
    <s v="Free"/>
    <n v="230"/>
    <n v="84"/>
    <n v="0.43"/>
    <s v="Desktop"/>
    <n v="43"/>
    <n v="0"/>
    <n v="1"/>
    <n v="0"/>
    <n v="0"/>
    <x v="3"/>
  </r>
  <r>
    <x v="1408"/>
    <s v="Other"/>
    <n v="45"/>
    <s v="UK"/>
    <s v="Free"/>
    <n v="137"/>
    <n v="5"/>
    <n v="0.41"/>
    <s v="Web"/>
    <n v="26"/>
    <n v="0"/>
    <n v="0"/>
    <n v="0"/>
    <n v="0"/>
    <x v="4"/>
  </r>
  <r>
    <x v="1409"/>
    <s v="Female"/>
    <n v="28"/>
    <s v="FR"/>
    <s v="Free"/>
    <n v="157"/>
    <n v="91"/>
    <n v="0.59"/>
    <s v="Desktop"/>
    <n v="38"/>
    <n v="0"/>
    <n v="1"/>
    <n v="0"/>
    <n v="0"/>
    <x v="0"/>
  </r>
  <r>
    <x v="1410"/>
    <s v="Male"/>
    <n v="31"/>
    <s v="FR"/>
    <s v="Free"/>
    <n v="56"/>
    <n v="96"/>
    <n v="0.47"/>
    <s v="Web"/>
    <n v="46"/>
    <n v="0"/>
    <n v="1"/>
    <n v="0"/>
    <n v="0"/>
    <x v="3"/>
  </r>
  <r>
    <x v="1411"/>
    <s v="Female"/>
    <n v="44"/>
    <s v="DE"/>
    <s v="Free"/>
    <n v="191"/>
    <n v="25"/>
    <n v="0.26"/>
    <s v="Mobile"/>
    <n v="11"/>
    <n v="0"/>
    <n v="0"/>
    <n v="0"/>
    <n v="0"/>
    <x v="1"/>
  </r>
  <r>
    <x v="1412"/>
    <s v="Female"/>
    <n v="39"/>
    <s v="DE"/>
    <s v="Free"/>
    <n v="31"/>
    <n v="85"/>
    <n v="0.13"/>
    <s v="Web"/>
    <n v="25"/>
    <n v="0"/>
    <n v="0"/>
    <n v="0"/>
    <n v="0"/>
    <x v="4"/>
  </r>
  <r>
    <x v="1413"/>
    <s v="Female"/>
    <n v="34"/>
    <s v="PK"/>
    <s v="Free"/>
    <n v="55"/>
    <n v="3"/>
    <n v="0.34"/>
    <s v="Mobile"/>
    <n v="34"/>
    <n v="0"/>
    <n v="0"/>
    <n v="0"/>
    <n v="0"/>
    <x v="0"/>
  </r>
  <r>
    <x v="1414"/>
    <s v="Other"/>
    <n v="56"/>
    <s v="UK"/>
    <s v="Free"/>
    <n v="50"/>
    <n v="99"/>
    <n v="0.32"/>
    <s v="Web"/>
    <n v="34"/>
    <n v="0"/>
    <n v="1"/>
    <n v="0"/>
    <n v="0"/>
    <x v="0"/>
  </r>
  <r>
    <x v="1415"/>
    <s v="Other"/>
    <n v="42"/>
    <s v="US"/>
    <s v="Free"/>
    <n v="181"/>
    <n v="65"/>
    <n v="0.14000000000000001"/>
    <s v="Web"/>
    <n v="36"/>
    <n v="0"/>
    <n v="1"/>
    <n v="0"/>
    <n v="0"/>
    <x v="0"/>
  </r>
  <r>
    <x v="1416"/>
    <s v="Male"/>
    <n v="19"/>
    <s v="CA"/>
    <s v="Free"/>
    <n v="71"/>
    <n v="1"/>
    <n v="0.19"/>
    <s v="Desktop"/>
    <n v="24"/>
    <n v="0"/>
    <n v="0"/>
    <n v="0"/>
    <n v="0"/>
    <x v="4"/>
  </r>
  <r>
    <x v="1417"/>
    <s v="Female"/>
    <n v="32"/>
    <s v="US"/>
    <s v="Free"/>
    <n v="276"/>
    <n v="23"/>
    <n v="0.38"/>
    <s v="Web"/>
    <n v="9"/>
    <n v="0"/>
    <n v="0"/>
    <n v="0"/>
    <n v="0"/>
    <x v="2"/>
  </r>
  <r>
    <x v="1418"/>
    <s v="Female"/>
    <n v="40"/>
    <s v="PK"/>
    <s v="Free"/>
    <n v="53"/>
    <n v="42"/>
    <n v="0.25"/>
    <s v="Mobile"/>
    <n v="12"/>
    <n v="0"/>
    <n v="0"/>
    <n v="0"/>
    <n v="0"/>
    <x v="1"/>
  </r>
  <r>
    <x v="1419"/>
    <s v="Female"/>
    <n v="57"/>
    <s v="PK"/>
    <s v="Free"/>
    <n v="113"/>
    <n v="60"/>
    <n v="0.21"/>
    <s v="Desktop"/>
    <n v="39"/>
    <n v="0"/>
    <n v="0"/>
    <n v="0"/>
    <n v="0"/>
    <x v="0"/>
  </r>
  <r>
    <x v="1420"/>
    <s v="Male"/>
    <n v="56"/>
    <s v="FR"/>
    <s v="Free"/>
    <n v="261"/>
    <n v="83"/>
    <n v="0.14000000000000001"/>
    <s v="Web"/>
    <n v="23"/>
    <n v="0"/>
    <n v="1"/>
    <n v="0"/>
    <n v="0"/>
    <x v="4"/>
  </r>
  <r>
    <x v="1421"/>
    <s v="Other"/>
    <n v="42"/>
    <s v="PK"/>
    <s v="Free"/>
    <n v="150"/>
    <n v="59"/>
    <n v="0.53"/>
    <s v="Mobile"/>
    <n v="34"/>
    <n v="0"/>
    <n v="0"/>
    <n v="0"/>
    <n v="0"/>
    <x v="0"/>
  </r>
  <r>
    <x v="1422"/>
    <s v="Female"/>
    <n v="35"/>
    <s v="DE"/>
    <s v="Free"/>
    <n v="125"/>
    <n v="91"/>
    <n v="0.4"/>
    <s v="Web"/>
    <n v="34"/>
    <n v="0"/>
    <n v="1"/>
    <n v="0"/>
    <n v="0"/>
    <x v="0"/>
  </r>
  <r>
    <x v="1423"/>
    <s v="Female"/>
    <n v="40"/>
    <s v="PK"/>
    <s v="Free"/>
    <n v="298"/>
    <n v="19"/>
    <n v="0.06"/>
    <s v="Mobile"/>
    <n v="11"/>
    <n v="0"/>
    <n v="1"/>
    <n v="0"/>
    <n v="0"/>
    <x v="1"/>
  </r>
  <r>
    <x v="1424"/>
    <s v="Other"/>
    <n v="42"/>
    <s v="DE"/>
    <s v="Free"/>
    <n v="283"/>
    <n v="63"/>
    <n v="0.51"/>
    <s v="Web"/>
    <n v="35"/>
    <n v="0"/>
    <n v="0"/>
    <n v="0"/>
    <n v="0"/>
    <x v="0"/>
  </r>
  <r>
    <x v="1425"/>
    <s v="Other"/>
    <n v="55"/>
    <s v="FR"/>
    <s v="Free"/>
    <n v="40"/>
    <n v="62"/>
    <n v="0.23"/>
    <s v="Desktop"/>
    <n v="18"/>
    <n v="0"/>
    <n v="0"/>
    <n v="0"/>
    <n v="0"/>
    <x v="1"/>
  </r>
  <r>
    <x v="1426"/>
    <s v="Other"/>
    <n v="21"/>
    <s v="DE"/>
    <s v="Free"/>
    <n v="227"/>
    <n v="80"/>
    <n v="0.03"/>
    <s v="Web"/>
    <n v="38"/>
    <n v="0"/>
    <n v="0"/>
    <n v="0"/>
    <n v="0"/>
    <x v="0"/>
  </r>
  <r>
    <x v="1427"/>
    <s v="Other"/>
    <n v="51"/>
    <s v="US"/>
    <s v="Free"/>
    <n v="57"/>
    <n v="59"/>
    <n v="0.43"/>
    <s v="Web"/>
    <n v="24"/>
    <n v="0"/>
    <n v="0"/>
    <n v="0"/>
    <n v="0"/>
    <x v="4"/>
  </r>
  <r>
    <x v="1428"/>
    <s v="Male"/>
    <n v="46"/>
    <s v="IN"/>
    <s v="Free"/>
    <n v="169"/>
    <n v="57"/>
    <n v="0.46"/>
    <s v="Desktop"/>
    <n v="40"/>
    <n v="0"/>
    <n v="1"/>
    <n v="0"/>
    <n v="0"/>
    <x v="3"/>
  </r>
  <r>
    <x v="1429"/>
    <s v="Other"/>
    <n v="56"/>
    <s v="AU"/>
    <s v="Free"/>
    <n v="74"/>
    <n v="1"/>
    <n v="0.02"/>
    <s v="Web"/>
    <n v="12"/>
    <n v="0"/>
    <n v="0"/>
    <n v="0"/>
    <n v="0"/>
    <x v="1"/>
  </r>
  <r>
    <x v="1430"/>
    <s v="Female"/>
    <n v="53"/>
    <s v="DE"/>
    <s v="Free"/>
    <n v="115"/>
    <n v="70"/>
    <n v="0.05"/>
    <s v="Web"/>
    <n v="22"/>
    <n v="0"/>
    <n v="1"/>
    <n v="0"/>
    <n v="0"/>
    <x v="4"/>
  </r>
  <r>
    <x v="1431"/>
    <s v="Other"/>
    <n v="50"/>
    <s v="UK"/>
    <s v="Free"/>
    <n v="160"/>
    <n v="94"/>
    <n v="0.5"/>
    <s v="Mobile"/>
    <n v="16"/>
    <n v="0"/>
    <n v="0"/>
    <n v="0"/>
    <n v="0"/>
    <x v="1"/>
  </r>
  <r>
    <x v="1432"/>
    <s v="Male"/>
    <n v="50"/>
    <s v="IN"/>
    <s v="Free"/>
    <n v="85"/>
    <n v="89"/>
    <n v="0.47"/>
    <s v="Mobile"/>
    <n v="16"/>
    <n v="0"/>
    <n v="1"/>
    <n v="0"/>
    <n v="0"/>
    <x v="1"/>
  </r>
  <r>
    <x v="1433"/>
    <s v="Other"/>
    <n v="21"/>
    <s v="PK"/>
    <s v="Free"/>
    <n v="236"/>
    <n v="85"/>
    <n v="0.16"/>
    <s v="Mobile"/>
    <n v="18"/>
    <n v="0"/>
    <n v="0"/>
    <n v="0"/>
    <n v="0"/>
    <x v="1"/>
  </r>
  <r>
    <x v="1434"/>
    <s v="Other"/>
    <n v="46"/>
    <s v="US"/>
    <s v="Free"/>
    <n v="268"/>
    <n v="68"/>
    <n v="0.59"/>
    <s v="Mobile"/>
    <n v="22"/>
    <n v="0"/>
    <n v="0"/>
    <n v="0"/>
    <n v="0"/>
    <x v="4"/>
  </r>
  <r>
    <x v="1435"/>
    <s v="Other"/>
    <n v="21"/>
    <s v="CA"/>
    <s v="Free"/>
    <n v="65"/>
    <n v="63"/>
    <n v="0.34"/>
    <s v="Desktop"/>
    <n v="6"/>
    <n v="0"/>
    <n v="0"/>
    <n v="0"/>
    <n v="0"/>
    <x v="2"/>
  </r>
  <r>
    <x v="1436"/>
    <s v="Male"/>
    <n v="33"/>
    <s v="AU"/>
    <s v="Free"/>
    <n v="36"/>
    <n v="47"/>
    <n v="0.31"/>
    <s v="Web"/>
    <n v="18"/>
    <n v="0"/>
    <n v="0"/>
    <n v="0"/>
    <n v="0"/>
    <x v="1"/>
  </r>
  <r>
    <x v="1437"/>
    <s v="Other"/>
    <n v="52"/>
    <s v="DE"/>
    <s v="Free"/>
    <n v="168"/>
    <n v="87"/>
    <n v="0.22"/>
    <s v="Desktop"/>
    <n v="34"/>
    <n v="0"/>
    <n v="0"/>
    <n v="0"/>
    <n v="0"/>
    <x v="0"/>
  </r>
  <r>
    <x v="1438"/>
    <s v="Female"/>
    <n v="49"/>
    <s v="AU"/>
    <s v="Free"/>
    <n v="12"/>
    <n v="41"/>
    <n v="0.41"/>
    <s v="Mobile"/>
    <n v="38"/>
    <n v="0"/>
    <n v="0"/>
    <n v="0"/>
    <n v="0"/>
    <x v="0"/>
  </r>
  <r>
    <x v="1439"/>
    <s v="Male"/>
    <n v="38"/>
    <s v="PK"/>
    <s v="Free"/>
    <n v="93"/>
    <n v="91"/>
    <n v="0.28999999999999998"/>
    <s v="Mobile"/>
    <n v="29"/>
    <n v="0"/>
    <n v="0"/>
    <n v="0"/>
    <n v="0"/>
    <x v="4"/>
  </r>
  <r>
    <x v="1440"/>
    <s v="Male"/>
    <n v="58"/>
    <s v="UK"/>
    <s v="Free"/>
    <n v="191"/>
    <n v="5"/>
    <n v="0.4"/>
    <s v="Desktop"/>
    <n v="25"/>
    <n v="0"/>
    <n v="0"/>
    <n v="0"/>
    <n v="0"/>
    <x v="4"/>
  </r>
  <r>
    <x v="1441"/>
    <s v="Male"/>
    <n v="53"/>
    <s v="FR"/>
    <s v="Free"/>
    <n v="258"/>
    <n v="48"/>
    <n v="0.15"/>
    <s v="Mobile"/>
    <n v="42"/>
    <n v="0"/>
    <n v="1"/>
    <n v="0"/>
    <n v="0"/>
    <x v="3"/>
  </r>
  <r>
    <x v="1442"/>
    <s v="Male"/>
    <n v="21"/>
    <s v="CA"/>
    <s v="Free"/>
    <n v="145"/>
    <n v="29"/>
    <n v="0.55000000000000004"/>
    <s v="Web"/>
    <n v="36"/>
    <n v="0"/>
    <n v="0"/>
    <n v="0"/>
    <n v="0"/>
    <x v="0"/>
  </r>
  <r>
    <x v="1443"/>
    <s v="Female"/>
    <n v="21"/>
    <s v="AU"/>
    <s v="Free"/>
    <n v="91"/>
    <n v="27"/>
    <n v="0.38"/>
    <s v="Desktop"/>
    <n v="8"/>
    <n v="0"/>
    <n v="0"/>
    <n v="0"/>
    <n v="0"/>
    <x v="2"/>
  </r>
  <r>
    <x v="1444"/>
    <s v="Female"/>
    <n v="54"/>
    <s v="UK"/>
    <s v="Free"/>
    <n v="285"/>
    <n v="5"/>
    <n v="0.36"/>
    <s v="Web"/>
    <n v="36"/>
    <n v="0"/>
    <n v="0"/>
    <n v="0"/>
    <n v="0"/>
    <x v="0"/>
  </r>
  <r>
    <x v="1445"/>
    <s v="Other"/>
    <n v="34"/>
    <s v="FR"/>
    <s v="Free"/>
    <n v="280"/>
    <n v="88"/>
    <n v="0.31"/>
    <s v="Web"/>
    <n v="14"/>
    <n v="0"/>
    <n v="1"/>
    <n v="0"/>
    <n v="0"/>
    <x v="1"/>
  </r>
  <r>
    <x v="1446"/>
    <s v="Female"/>
    <n v="16"/>
    <s v="CA"/>
    <s v="Free"/>
    <n v="65"/>
    <n v="95"/>
    <n v="0.59"/>
    <s v="Desktop"/>
    <n v="11"/>
    <n v="0"/>
    <n v="0"/>
    <n v="0"/>
    <n v="0"/>
    <x v="1"/>
  </r>
  <r>
    <x v="1447"/>
    <s v="Male"/>
    <n v="16"/>
    <s v="UK"/>
    <s v="Free"/>
    <n v="270"/>
    <n v="77"/>
    <n v="0.19"/>
    <s v="Mobile"/>
    <n v="48"/>
    <n v="0"/>
    <n v="0"/>
    <n v="0"/>
    <n v="0"/>
    <x v="3"/>
  </r>
  <r>
    <x v="1448"/>
    <s v="Male"/>
    <n v="25"/>
    <s v="US"/>
    <s v="Free"/>
    <n v="68"/>
    <n v="13"/>
    <n v="0.51"/>
    <s v="Desktop"/>
    <n v="27"/>
    <n v="0"/>
    <n v="1"/>
    <n v="0"/>
    <n v="0"/>
    <x v="4"/>
  </r>
  <r>
    <x v="1449"/>
    <s v="Female"/>
    <n v="52"/>
    <s v="UK"/>
    <s v="Free"/>
    <n v="137"/>
    <n v="65"/>
    <n v="0.33"/>
    <s v="Desktop"/>
    <n v="46"/>
    <n v="0"/>
    <n v="1"/>
    <n v="0"/>
    <n v="0"/>
    <x v="3"/>
  </r>
  <r>
    <x v="1450"/>
    <s v="Female"/>
    <n v="52"/>
    <s v="CA"/>
    <s v="Free"/>
    <n v="281"/>
    <n v="80"/>
    <n v="0.56999999999999995"/>
    <s v="Desktop"/>
    <n v="17"/>
    <n v="0"/>
    <n v="0"/>
    <n v="0"/>
    <n v="0"/>
    <x v="1"/>
  </r>
  <r>
    <x v="1451"/>
    <s v="Other"/>
    <n v="49"/>
    <s v="DE"/>
    <s v="Free"/>
    <n v="290"/>
    <n v="2"/>
    <n v="0.43"/>
    <s v="Desktop"/>
    <n v="35"/>
    <n v="0"/>
    <n v="0"/>
    <n v="0"/>
    <n v="0"/>
    <x v="0"/>
  </r>
  <r>
    <x v="1452"/>
    <s v="Female"/>
    <n v="45"/>
    <s v="UK"/>
    <s v="Free"/>
    <n v="76"/>
    <n v="54"/>
    <n v="0.5"/>
    <s v="Mobile"/>
    <n v="41"/>
    <n v="0"/>
    <n v="0"/>
    <n v="0"/>
    <n v="0"/>
    <x v="3"/>
  </r>
  <r>
    <x v="1453"/>
    <s v="Other"/>
    <n v="20"/>
    <s v="IN"/>
    <s v="Free"/>
    <n v="82"/>
    <n v="12"/>
    <n v="0.56000000000000005"/>
    <s v="Web"/>
    <n v="37"/>
    <n v="0"/>
    <n v="0"/>
    <n v="0"/>
    <n v="0"/>
    <x v="0"/>
  </r>
  <r>
    <x v="1454"/>
    <s v="Male"/>
    <n v="50"/>
    <s v="FR"/>
    <s v="Free"/>
    <n v="170"/>
    <n v="88"/>
    <n v="0.36"/>
    <s v="Desktop"/>
    <n v="10"/>
    <n v="0"/>
    <n v="0"/>
    <n v="0"/>
    <n v="0"/>
    <x v="1"/>
  </r>
  <r>
    <x v="1455"/>
    <s v="Male"/>
    <n v="22"/>
    <s v="US"/>
    <s v="Free"/>
    <n v="295"/>
    <n v="21"/>
    <n v="0.27"/>
    <s v="Web"/>
    <n v="17"/>
    <n v="0"/>
    <n v="1"/>
    <n v="0"/>
    <n v="0"/>
    <x v="1"/>
  </r>
  <r>
    <x v="1456"/>
    <s v="Female"/>
    <n v="29"/>
    <s v="AU"/>
    <s v="Free"/>
    <n v="113"/>
    <n v="10"/>
    <n v="0.56000000000000005"/>
    <s v="Desktop"/>
    <n v="44"/>
    <n v="0"/>
    <n v="0"/>
    <n v="0"/>
    <n v="0"/>
    <x v="3"/>
  </r>
  <r>
    <x v="1457"/>
    <s v="Other"/>
    <n v="41"/>
    <s v="CA"/>
    <s v="Free"/>
    <n v="125"/>
    <n v="17"/>
    <n v="0.34"/>
    <s v="Mobile"/>
    <n v="33"/>
    <n v="0"/>
    <n v="1"/>
    <n v="0"/>
    <n v="0"/>
    <x v="0"/>
  </r>
  <r>
    <x v="1458"/>
    <s v="Male"/>
    <n v="31"/>
    <s v="IN"/>
    <s v="Free"/>
    <n v="110"/>
    <n v="70"/>
    <n v="0.33"/>
    <s v="Web"/>
    <n v="19"/>
    <n v="0"/>
    <n v="0"/>
    <n v="0"/>
    <n v="0"/>
    <x v="1"/>
  </r>
  <r>
    <x v="1459"/>
    <s v="Female"/>
    <n v="52"/>
    <s v="AU"/>
    <s v="Free"/>
    <n v="189"/>
    <n v="85"/>
    <n v="0.37"/>
    <s v="Web"/>
    <n v="13"/>
    <n v="0"/>
    <n v="0"/>
    <n v="0"/>
    <n v="0"/>
    <x v="1"/>
  </r>
  <r>
    <x v="1460"/>
    <s v="Other"/>
    <n v="57"/>
    <s v="US"/>
    <s v="Free"/>
    <n v="221"/>
    <n v="22"/>
    <n v="0.44"/>
    <s v="Desktop"/>
    <n v="32"/>
    <n v="0"/>
    <n v="1"/>
    <n v="0"/>
    <n v="0"/>
    <x v="0"/>
  </r>
  <r>
    <x v="1461"/>
    <s v="Female"/>
    <n v="22"/>
    <s v="AU"/>
    <s v="Free"/>
    <n v="52"/>
    <n v="17"/>
    <n v="0.2"/>
    <s v="Mobile"/>
    <n v="32"/>
    <n v="0"/>
    <n v="0"/>
    <n v="0"/>
    <n v="0"/>
    <x v="0"/>
  </r>
  <r>
    <x v="1462"/>
    <s v="Female"/>
    <n v="54"/>
    <s v="IN"/>
    <s v="Free"/>
    <n v="37"/>
    <n v="55"/>
    <n v="0.48"/>
    <s v="Web"/>
    <n v="35"/>
    <n v="0"/>
    <n v="0"/>
    <n v="0"/>
    <n v="0"/>
    <x v="0"/>
  </r>
  <r>
    <x v="1463"/>
    <s v="Male"/>
    <n v="37"/>
    <s v="UK"/>
    <s v="Free"/>
    <n v="65"/>
    <n v="56"/>
    <n v="0.31"/>
    <s v="Desktop"/>
    <n v="44"/>
    <n v="0"/>
    <n v="0"/>
    <n v="0"/>
    <n v="0"/>
    <x v="3"/>
  </r>
  <r>
    <x v="1464"/>
    <s v="Other"/>
    <n v="48"/>
    <s v="PK"/>
    <s v="Free"/>
    <n v="23"/>
    <n v="76"/>
    <n v="0.01"/>
    <s v="Web"/>
    <n v="17"/>
    <n v="0"/>
    <n v="0"/>
    <n v="0"/>
    <n v="0"/>
    <x v="1"/>
  </r>
  <r>
    <x v="1465"/>
    <s v="Female"/>
    <n v="50"/>
    <s v="US"/>
    <s v="Free"/>
    <n v="224"/>
    <n v="39"/>
    <n v="0.25"/>
    <s v="Desktop"/>
    <n v="8"/>
    <n v="0"/>
    <n v="0"/>
    <n v="0"/>
    <n v="0"/>
    <x v="2"/>
  </r>
  <r>
    <x v="1466"/>
    <s v="Other"/>
    <n v="34"/>
    <s v="CA"/>
    <s v="Free"/>
    <n v="135"/>
    <n v="31"/>
    <n v="0.2"/>
    <s v="Mobile"/>
    <n v="46"/>
    <n v="0"/>
    <n v="0"/>
    <n v="0"/>
    <n v="0"/>
    <x v="3"/>
  </r>
  <r>
    <x v="1467"/>
    <s v="Other"/>
    <n v="29"/>
    <s v="AU"/>
    <s v="Free"/>
    <n v="177"/>
    <n v="96"/>
    <n v="0.18"/>
    <s v="Web"/>
    <n v="17"/>
    <n v="0"/>
    <n v="1"/>
    <n v="0"/>
    <n v="0"/>
    <x v="1"/>
  </r>
  <r>
    <x v="1468"/>
    <s v="Male"/>
    <n v="24"/>
    <s v="PK"/>
    <s v="Free"/>
    <n v="136"/>
    <n v="50"/>
    <n v="0.4"/>
    <s v="Desktop"/>
    <n v="6"/>
    <n v="0"/>
    <n v="0"/>
    <n v="0"/>
    <n v="0"/>
    <x v="2"/>
  </r>
  <r>
    <x v="1469"/>
    <s v="Other"/>
    <n v="56"/>
    <s v="PK"/>
    <s v="Free"/>
    <n v="232"/>
    <n v="63"/>
    <n v="0.01"/>
    <s v="Mobile"/>
    <n v="35"/>
    <n v="0"/>
    <n v="0"/>
    <n v="0"/>
    <n v="0"/>
    <x v="0"/>
  </r>
  <r>
    <x v="1470"/>
    <s v="Female"/>
    <n v="50"/>
    <s v="CA"/>
    <s v="Free"/>
    <n v="297"/>
    <n v="44"/>
    <n v="0.34"/>
    <s v="Desktop"/>
    <n v="26"/>
    <n v="0"/>
    <n v="1"/>
    <n v="0"/>
    <n v="0"/>
    <x v="4"/>
  </r>
  <r>
    <x v="1471"/>
    <s v="Female"/>
    <n v="56"/>
    <s v="FR"/>
    <s v="Free"/>
    <n v="264"/>
    <n v="28"/>
    <n v="0.3"/>
    <s v="Mobile"/>
    <n v="8"/>
    <n v="0"/>
    <n v="0"/>
    <n v="0"/>
    <n v="0"/>
    <x v="2"/>
  </r>
  <r>
    <x v="1472"/>
    <s v="Female"/>
    <n v="25"/>
    <s v="AU"/>
    <s v="Free"/>
    <n v="104"/>
    <n v="51"/>
    <n v="0.2"/>
    <s v="Desktop"/>
    <n v="28"/>
    <n v="0"/>
    <n v="0"/>
    <n v="0"/>
    <n v="0"/>
    <x v="4"/>
  </r>
  <r>
    <x v="1473"/>
    <s v="Male"/>
    <n v="40"/>
    <s v="IN"/>
    <s v="Free"/>
    <n v="103"/>
    <n v="85"/>
    <n v="0.38"/>
    <s v="Mobile"/>
    <n v="33"/>
    <n v="0"/>
    <n v="1"/>
    <n v="0"/>
    <n v="0"/>
    <x v="0"/>
  </r>
  <r>
    <x v="1474"/>
    <s v="Other"/>
    <n v="24"/>
    <s v="UK"/>
    <s v="Free"/>
    <n v="226"/>
    <n v="98"/>
    <n v="0.1"/>
    <s v="Web"/>
    <n v="20"/>
    <n v="0"/>
    <n v="0"/>
    <n v="0"/>
    <n v="0"/>
    <x v="4"/>
  </r>
  <r>
    <x v="1475"/>
    <s v="Other"/>
    <n v="25"/>
    <s v="UK"/>
    <s v="Free"/>
    <n v="36"/>
    <n v="16"/>
    <n v="0.5"/>
    <s v="Mobile"/>
    <n v="11"/>
    <n v="0"/>
    <n v="0"/>
    <n v="0"/>
    <n v="0"/>
    <x v="1"/>
  </r>
  <r>
    <x v="1476"/>
    <s v="Other"/>
    <n v="34"/>
    <s v="AU"/>
    <s v="Free"/>
    <n v="262"/>
    <n v="17"/>
    <n v="0.18"/>
    <s v="Desktop"/>
    <n v="27"/>
    <n v="0"/>
    <n v="0"/>
    <n v="0"/>
    <n v="0"/>
    <x v="4"/>
  </r>
  <r>
    <x v="1477"/>
    <s v="Male"/>
    <n v="36"/>
    <s v="UK"/>
    <s v="Free"/>
    <n v="54"/>
    <n v="37"/>
    <n v="0.52"/>
    <s v="Mobile"/>
    <n v="27"/>
    <n v="0"/>
    <n v="0"/>
    <n v="0"/>
    <n v="0"/>
    <x v="4"/>
  </r>
  <r>
    <x v="1478"/>
    <s v="Female"/>
    <n v="31"/>
    <s v="FR"/>
    <s v="Free"/>
    <n v="145"/>
    <n v="7"/>
    <n v="0.01"/>
    <s v="Web"/>
    <n v="41"/>
    <n v="0"/>
    <n v="0"/>
    <n v="0"/>
    <n v="0"/>
    <x v="3"/>
  </r>
  <r>
    <x v="1479"/>
    <s v="Male"/>
    <n v="31"/>
    <s v="DE"/>
    <s v="Free"/>
    <n v="151"/>
    <n v="46"/>
    <n v="0.6"/>
    <s v="Desktop"/>
    <n v="18"/>
    <n v="0"/>
    <n v="0"/>
    <n v="0"/>
    <n v="0"/>
    <x v="1"/>
  </r>
  <r>
    <x v="1480"/>
    <s v="Male"/>
    <n v="51"/>
    <s v="IN"/>
    <s v="Free"/>
    <n v="263"/>
    <n v="83"/>
    <n v="0.03"/>
    <s v="Desktop"/>
    <n v="42"/>
    <n v="0"/>
    <n v="1"/>
    <n v="0"/>
    <n v="0"/>
    <x v="3"/>
  </r>
  <r>
    <x v="1481"/>
    <s v="Other"/>
    <n v="23"/>
    <s v="US"/>
    <s v="Free"/>
    <n v="103"/>
    <n v="10"/>
    <n v="0.57999999999999996"/>
    <s v="Mobile"/>
    <n v="38"/>
    <n v="0"/>
    <n v="0"/>
    <n v="0"/>
    <n v="0"/>
    <x v="0"/>
  </r>
  <r>
    <x v="1482"/>
    <s v="Female"/>
    <n v="38"/>
    <s v="CA"/>
    <s v="Free"/>
    <n v="55"/>
    <n v="33"/>
    <n v="0.18"/>
    <s v="Mobile"/>
    <n v="49"/>
    <n v="0"/>
    <n v="0"/>
    <n v="0"/>
    <n v="0"/>
    <x v="3"/>
  </r>
  <r>
    <x v="1483"/>
    <s v="Female"/>
    <n v="44"/>
    <s v="FR"/>
    <s v="Free"/>
    <n v="113"/>
    <n v="14"/>
    <n v="0.56999999999999995"/>
    <s v="Desktop"/>
    <n v="26"/>
    <n v="0"/>
    <n v="0"/>
    <n v="0"/>
    <n v="0"/>
    <x v="4"/>
  </r>
  <r>
    <x v="1484"/>
    <s v="Other"/>
    <n v="59"/>
    <s v="PK"/>
    <s v="Free"/>
    <n v="32"/>
    <n v="88"/>
    <n v="0.12"/>
    <s v="Web"/>
    <n v="17"/>
    <n v="0"/>
    <n v="0"/>
    <n v="0"/>
    <n v="0"/>
    <x v="1"/>
  </r>
  <r>
    <x v="1485"/>
    <s v="Male"/>
    <n v="57"/>
    <s v="DE"/>
    <s v="Free"/>
    <n v="79"/>
    <n v="12"/>
    <n v="0.08"/>
    <s v="Web"/>
    <n v="47"/>
    <n v="0"/>
    <n v="0"/>
    <n v="0"/>
    <n v="0"/>
    <x v="3"/>
  </r>
  <r>
    <x v="1486"/>
    <s v="Female"/>
    <n v="25"/>
    <s v="FR"/>
    <s v="Free"/>
    <n v="16"/>
    <n v="83"/>
    <n v="0.35"/>
    <s v="Mobile"/>
    <n v="24"/>
    <n v="0"/>
    <n v="0"/>
    <n v="0"/>
    <n v="0"/>
    <x v="4"/>
  </r>
  <r>
    <x v="1487"/>
    <s v="Male"/>
    <n v="21"/>
    <s v="AU"/>
    <s v="Free"/>
    <n v="236"/>
    <n v="88"/>
    <n v="0.27"/>
    <s v="Mobile"/>
    <n v="27"/>
    <n v="0"/>
    <n v="0"/>
    <n v="0"/>
    <n v="0"/>
    <x v="4"/>
  </r>
  <r>
    <x v="1488"/>
    <s v="Other"/>
    <n v="24"/>
    <s v="US"/>
    <s v="Free"/>
    <n v="60"/>
    <n v="93"/>
    <n v="0.47"/>
    <s v="Desktop"/>
    <n v="35"/>
    <n v="0"/>
    <n v="0"/>
    <n v="0"/>
    <n v="0"/>
    <x v="0"/>
  </r>
  <r>
    <x v="1489"/>
    <s v="Female"/>
    <n v="50"/>
    <s v="DE"/>
    <s v="Free"/>
    <n v="128"/>
    <n v="9"/>
    <n v="0.26"/>
    <s v="Desktop"/>
    <n v="35"/>
    <n v="0"/>
    <n v="0"/>
    <n v="0"/>
    <n v="0"/>
    <x v="0"/>
  </r>
  <r>
    <x v="1490"/>
    <s v="Other"/>
    <n v="26"/>
    <s v="PK"/>
    <s v="Free"/>
    <n v="171"/>
    <n v="49"/>
    <n v="0.21"/>
    <s v="Mobile"/>
    <n v="40"/>
    <n v="0"/>
    <n v="0"/>
    <n v="0"/>
    <n v="0"/>
    <x v="3"/>
  </r>
  <r>
    <x v="1491"/>
    <s v="Male"/>
    <n v="45"/>
    <s v="FR"/>
    <s v="Free"/>
    <n v="227"/>
    <n v="14"/>
    <n v="0.28000000000000003"/>
    <s v="Desktop"/>
    <n v="17"/>
    <n v="0"/>
    <n v="1"/>
    <n v="0"/>
    <n v="0"/>
    <x v="1"/>
  </r>
  <r>
    <x v="1492"/>
    <s v="Other"/>
    <n v="53"/>
    <s v="IN"/>
    <s v="Free"/>
    <n v="221"/>
    <n v="50"/>
    <n v="0.36"/>
    <s v="Mobile"/>
    <n v="5"/>
    <n v="0"/>
    <n v="0"/>
    <n v="0"/>
    <n v="0"/>
    <x v="2"/>
  </r>
  <r>
    <x v="1493"/>
    <s v="Female"/>
    <n v="50"/>
    <s v="DE"/>
    <s v="Free"/>
    <n v="94"/>
    <n v="64"/>
    <n v="0.49"/>
    <s v="Desktop"/>
    <n v="47"/>
    <n v="0"/>
    <n v="1"/>
    <n v="0"/>
    <n v="0"/>
    <x v="3"/>
  </r>
  <r>
    <x v="1494"/>
    <s v="Other"/>
    <n v="40"/>
    <s v="UK"/>
    <s v="Free"/>
    <n v="239"/>
    <n v="57"/>
    <n v="0.53"/>
    <s v="Mobile"/>
    <n v="29"/>
    <n v="0"/>
    <n v="0"/>
    <n v="0"/>
    <n v="0"/>
    <x v="4"/>
  </r>
  <r>
    <x v="1495"/>
    <s v="Male"/>
    <n v="36"/>
    <s v="CA"/>
    <s v="Free"/>
    <n v="233"/>
    <n v="76"/>
    <n v="0.55000000000000004"/>
    <s v="Desktop"/>
    <n v="33"/>
    <n v="0"/>
    <n v="1"/>
    <n v="0"/>
    <n v="0"/>
    <x v="0"/>
  </r>
  <r>
    <x v="1496"/>
    <s v="Male"/>
    <n v="45"/>
    <s v="DE"/>
    <s v="Free"/>
    <n v="53"/>
    <n v="18"/>
    <n v="0.38"/>
    <s v="Mobile"/>
    <n v="22"/>
    <n v="0"/>
    <n v="1"/>
    <n v="0"/>
    <n v="0"/>
    <x v="4"/>
  </r>
  <r>
    <x v="1497"/>
    <s v="Female"/>
    <n v="20"/>
    <s v="FR"/>
    <s v="Free"/>
    <n v="74"/>
    <n v="10"/>
    <n v="0.27"/>
    <s v="Mobile"/>
    <n v="25"/>
    <n v="0"/>
    <n v="0"/>
    <n v="0"/>
    <n v="0"/>
    <x v="4"/>
  </r>
  <r>
    <x v="1498"/>
    <s v="Male"/>
    <n v="30"/>
    <s v="AU"/>
    <s v="Free"/>
    <n v="51"/>
    <n v="93"/>
    <n v="0.2"/>
    <s v="Mobile"/>
    <n v="45"/>
    <n v="0"/>
    <n v="0"/>
    <n v="0"/>
    <n v="0"/>
    <x v="3"/>
  </r>
  <r>
    <x v="1499"/>
    <s v="Other"/>
    <n v="37"/>
    <s v="AU"/>
    <s v="Free"/>
    <n v="180"/>
    <n v="11"/>
    <n v="0.32"/>
    <s v="Web"/>
    <n v="9"/>
    <n v="0"/>
    <n v="0"/>
    <n v="0"/>
    <n v="0"/>
    <x v="2"/>
  </r>
  <r>
    <x v="1500"/>
    <s v="Other"/>
    <n v="58"/>
    <s v="US"/>
    <s v="Free"/>
    <n v="214"/>
    <n v="80"/>
    <n v="0.21"/>
    <s v="Desktop"/>
    <n v="47"/>
    <n v="0"/>
    <n v="1"/>
    <n v="0"/>
    <n v="0"/>
    <x v="3"/>
  </r>
  <r>
    <x v="1501"/>
    <s v="Male"/>
    <n v="22"/>
    <s v="US"/>
    <s v="Free"/>
    <n v="145"/>
    <n v="21"/>
    <n v="0.44"/>
    <s v="Desktop"/>
    <n v="26"/>
    <n v="0"/>
    <n v="0"/>
    <n v="0"/>
    <n v="0"/>
    <x v="4"/>
  </r>
  <r>
    <x v="1502"/>
    <s v="Female"/>
    <n v="52"/>
    <s v="DE"/>
    <s v="Free"/>
    <n v="248"/>
    <n v="66"/>
    <n v="0.02"/>
    <s v="Desktop"/>
    <n v="5"/>
    <n v="0"/>
    <n v="1"/>
    <n v="0"/>
    <n v="0"/>
    <x v="2"/>
  </r>
  <r>
    <x v="1503"/>
    <s v="Other"/>
    <n v="43"/>
    <s v="PK"/>
    <s v="Free"/>
    <n v="241"/>
    <n v="38"/>
    <n v="0.24"/>
    <s v="Desktop"/>
    <n v="15"/>
    <n v="0"/>
    <n v="0"/>
    <n v="0"/>
    <n v="0"/>
    <x v="1"/>
  </r>
  <r>
    <x v="1504"/>
    <s v="Female"/>
    <n v="25"/>
    <s v="FR"/>
    <s v="Free"/>
    <n v="287"/>
    <n v="23"/>
    <n v="0.51"/>
    <s v="Web"/>
    <n v="43"/>
    <n v="0"/>
    <n v="0"/>
    <n v="0"/>
    <n v="0"/>
    <x v="3"/>
  </r>
  <r>
    <x v="1505"/>
    <s v="Female"/>
    <n v="49"/>
    <s v="DE"/>
    <s v="Free"/>
    <n v="287"/>
    <n v="52"/>
    <n v="0.27"/>
    <s v="Mobile"/>
    <n v="34"/>
    <n v="0"/>
    <n v="0"/>
    <n v="0"/>
    <n v="0"/>
    <x v="0"/>
  </r>
  <r>
    <x v="1506"/>
    <s v="Male"/>
    <n v="24"/>
    <s v="IN"/>
    <s v="Free"/>
    <n v="255"/>
    <n v="45"/>
    <n v="0.05"/>
    <s v="Mobile"/>
    <n v="40"/>
    <n v="0"/>
    <n v="0"/>
    <n v="0"/>
    <n v="0"/>
    <x v="3"/>
  </r>
  <r>
    <x v="1507"/>
    <s v="Female"/>
    <n v="37"/>
    <s v="PK"/>
    <s v="Free"/>
    <n v="239"/>
    <n v="39"/>
    <n v="0.22"/>
    <s v="Mobile"/>
    <n v="46"/>
    <n v="0"/>
    <n v="1"/>
    <n v="0"/>
    <n v="0"/>
    <x v="3"/>
  </r>
  <r>
    <x v="1508"/>
    <s v="Other"/>
    <n v="38"/>
    <s v="IN"/>
    <s v="Free"/>
    <n v="86"/>
    <n v="59"/>
    <n v="0.52"/>
    <s v="Desktop"/>
    <n v="8"/>
    <n v="0"/>
    <n v="0"/>
    <n v="0"/>
    <n v="0"/>
    <x v="2"/>
  </r>
  <r>
    <x v="1509"/>
    <s v="Male"/>
    <n v="21"/>
    <s v="IN"/>
    <s v="Free"/>
    <n v="226"/>
    <n v="80"/>
    <n v="0.43"/>
    <s v="Web"/>
    <n v="37"/>
    <n v="0"/>
    <n v="0"/>
    <n v="0"/>
    <n v="0"/>
    <x v="0"/>
  </r>
  <r>
    <x v="1510"/>
    <s v="Female"/>
    <n v="49"/>
    <s v="AU"/>
    <s v="Free"/>
    <n v="210"/>
    <n v="11"/>
    <n v="7.0000000000000007E-2"/>
    <s v="Mobile"/>
    <n v="8"/>
    <n v="0"/>
    <n v="0"/>
    <n v="0"/>
    <n v="0"/>
    <x v="2"/>
  </r>
  <r>
    <x v="1511"/>
    <s v="Other"/>
    <n v="23"/>
    <s v="IN"/>
    <s v="Free"/>
    <n v="77"/>
    <n v="12"/>
    <n v="7.0000000000000007E-2"/>
    <s v="Desktop"/>
    <n v="8"/>
    <n v="0"/>
    <n v="1"/>
    <n v="0"/>
    <n v="0"/>
    <x v="2"/>
  </r>
  <r>
    <x v="1512"/>
    <s v="Male"/>
    <n v="25"/>
    <s v="DE"/>
    <s v="Free"/>
    <n v="249"/>
    <n v="33"/>
    <n v="7.0000000000000007E-2"/>
    <s v="Web"/>
    <n v="18"/>
    <n v="0"/>
    <n v="0"/>
    <n v="0"/>
    <n v="0"/>
    <x v="1"/>
  </r>
  <r>
    <x v="1513"/>
    <s v="Female"/>
    <n v="56"/>
    <s v="AU"/>
    <s v="Free"/>
    <n v="184"/>
    <n v="19"/>
    <n v="0.1"/>
    <s v="Desktop"/>
    <n v="27"/>
    <n v="0"/>
    <n v="0"/>
    <n v="0"/>
    <n v="0"/>
    <x v="4"/>
  </r>
  <r>
    <x v="1514"/>
    <s v="Female"/>
    <n v="17"/>
    <s v="DE"/>
    <s v="Free"/>
    <n v="209"/>
    <n v="49"/>
    <n v="0.51"/>
    <s v="Web"/>
    <n v="15"/>
    <n v="0"/>
    <n v="0"/>
    <n v="0"/>
    <n v="0"/>
    <x v="1"/>
  </r>
  <r>
    <x v="1515"/>
    <s v="Male"/>
    <n v="57"/>
    <s v="UK"/>
    <s v="Free"/>
    <n v="213"/>
    <n v="85"/>
    <n v="0.05"/>
    <s v="Desktop"/>
    <n v="15"/>
    <n v="0"/>
    <n v="0"/>
    <n v="0"/>
    <n v="0"/>
    <x v="1"/>
  </r>
  <r>
    <x v="1516"/>
    <s v="Other"/>
    <n v="28"/>
    <s v="US"/>
    <s v="Free"/>
    <n v="45"/>
    <n v="62"/>
    <n v="0.54"/>
    <s v="Web"/>
    <n v="24"/>
    <n v="0"/>
    <n v="1"/>
    <n v="0"/>
    <n v="0"/>
    <x v="4"/>
  </r>
  <r>
    <x v="1517"/>
    <s v="Female"/>
    <n v="53"/>
    <s v="AU"/>
    <s v="Free"/>
    <n v="96"/>
    <n v="10"/>
    <n v="0.59"/>
    <s v="Mobile"/>
    <n v="15"/>
    <n v="0"/>
    <n v="1"/>
    <n v="0"/>
    <n v="0"/>
    <x v="1"/>
  </r>
  <r>
    <x v="1518"/>
    <s v="Male"/>
    <n v="28"/>
    <s v="UK"/>
    <s v="Free"/>
    <n v="61"/>
    <n v="31"/>
    <n v="0.56999999999999995"/>
    <s v="Mobile"/>
    <n v="48"/>
    <n v="0"/>
    <n v="1"/>
    <n v="0"/>
    <n v="0"/>
    <x v="3"/>
  </r>
  <r>
    <x v="1519"/>
    <s v="Female"/>
    <n v="41"/>
    <s v="CA"/>
    <s v="Free"/>
    <n v="151"/>
    <n v="3"/>
    <n v="0.32"/>
    <s v="Mobile"/>
    <n v="10"/>
    <n v="0"/>
    <n v="0"/>
    <n v="0"/>
    <n v="0"/>
    <x v="1"/>
  </r>
  <r>
    <x v="1520"/>
    <s v="Other"/>
    <n v="34"/>
    <s v="DE"/>
    <s v="Free"/>
    <n v="221"/>
    <n v="71"/>
    <n v="0.16"/>
    <s v="Mobile"/>
    <n v="13"/>
    <n v="0"/>
    <n v="1"/>
    <n v="0"/>
    <n v="0"/>
    <x v="1"/>
  </r>
  <r>
    <x v="1521"/>
    <s v="Other"/>
    <n v="44"/>
    <s v="FR"/>
    <s v="Free"/>
    <n v="157"/>
    <n v="15"/>
    <n v="0.01"/>
    <s v="Web"/>
    <n v="18"/>
    <n v="0"/>
    <n v="0"/>
    <n v="0"/>
    <n v="0"/>
    <x v="1"/>
  </r>
  <r>
    <x v="1522"/>
    <s v="Other"/>
    <n v="18"/>
    <s v="US"/>
    <s v="Free"/>
    <n v="224"/>
    <n v="19"/>
    <n v="0.57999999999999996"/>
    <s v="Desktop"/>
    <n v="40"/>
    <n v="0"/>
    <n v="1"/>
    <n v="0"/>
    <n v="0"/>
    <x v="3"/>
  </r>
  <r>
    <x v="1523"/>
    <s v="Other"/>
    <n v="53"/>
    <s v="DE"/>
    <s v="Free"/>
    <n v="219"/>
    <n v="92"/>
    <n v="0.13"/>
    <s v="Web"/>
    <n v="6"/>
    <n v="0"/>
    <n v="0"/>
    <n v="0"/>
    <n v="0"/>
    <x v="2"/>
  </r>
  <r>
    <x v="1524"/>
    <s v="Other"/>
    <n v="56"/>
    <s v="DE"/>
    <s v="Free"/>
    <n v="260"/>
    <n v="21"/>
    <n v="0.06"/>
    <s v="Desktop"/>
    <n v="45"/>
    <n v="0"/>
    <n v="1"/>
    <n v="0"/>
    <n v="0"/>
    <x v="3"/>
  </r>
  <r>
    <x v="1525"/>
    <s v="Male"/>
    <n v="58"/>
    <s v="CA"/>
    <s v="Free"/>
    <n v="83"/>
    <n v="80"/>
    <n v="0.05"/>
    <s v="Mobile"/>
    <n v="16"/>
    <n v="0"/>
    <n v="0"/>
    <n v="0"/>
    <n v="0"/>
    <x v="1"/>
  </r>
  <r>
    <x v="1526"/>
    <s v="Other"/>
    <n v="16"/>
    <s v="IN"/>
    <s v="Free"/>
    <n v="124"/>
    <n v="51"/>
    <n v="0.13"/>
    <s v="Web"/>
    <n v="16"/>
    <n v="0"/>
    <n v="0"/>
    <n v="0"/>
    <n v="0"/>
    <x v="1"/>
  </r>
  <r>
    <x v="1527"/>
    <s v="Male"/>
    <n v="54"/>
    <s v="US"/>
    <s v="Free"/>
    <n v="133"/>
    <n v="47"/>
    <n v="0.08"/>
    <s v="Desktop"/>
    <n v="41"/>
    <n v="0"/>
    <n v="0"/>
    <n v="0"/>
    <n v="0"/>
    <x v="3"/>
  </r>
  <r>
    <x v="1528"/>
    <s v="Male"/>
    <n v="20"/>
    <s v="IN"/>
    <s v="Free"/>
    <n v="114"/>
    <n v="44"/>
    <n v="0.47"/>
    <s v="Mobile"/>
    <n v="16"/>
    <n v="0"/>
    <n v="0"/>
    <n v="0"/>
    <n v="0"/>
    <x v="1"/>
  </r>
  <r>
    <x v="1529"/>
    <s v="Male"/>
    <n v="16"/>
    <s v="US"/>
    <s v="Free"/>
    <n v="131"/>
    <n v="40"/>
    <n v="0.34"/>
    <s v="Web"/>
    <n v="47"/>
    <n v="0"/>
    <n v="0"/>
    <n v="0"/>
    <n v="0"/>
    <x v="3"/>
  </r>
  <r>
    <x v="1530"/>
    <s v="Other"/>
    <n v="59"/>
    <s v="PK"/>
    <s v="Free"/>
    <n v="203"/>
    <n v="11"/>
    <n v="0.21"/>
    <s v="Mobile"/>
    <n v="45"/>
    <n v="0"/>
    <n v="1"/>
    <n v="0"/>
    <n v="0"/>
    <x v="3"/>
  </r>
  <r>
    <x v="1531"/>
    <s v="Male"/>
    <n v="31"/>
    <s v="UK"/>
    <s v="Free"/>
    <n v="237"/>
    <n v="50"/>
    <n v="0.54"/>
    <s v="Mobile"/>
    <n v="11"/>
    <n v="0"/>
    <n v="0"/>
    <n v="0"/>
    <n v="0"/>
    <x v="1"/>
  </r>
  <r>
    <x v="1532"/>
    <s v="Male"/>
    <n v="56"/>
    <s v="US"/>
    <s v="Free"/>
    <n v="205"/>
    <n v="64"/>
    <n v="0.47"/>
    <s v="Web"/>
    <n v="9"/>
    <n v="0"/>
    <n v="0"/>
    <n v="0"/>
    <n v="0"/>
    <x v="2"/>
  </r>
  <r>
    <x v="1533"/>
    <s v="Male"/>
    <n v="58"/>
    <s v="UK"/>
    <s v="Free"/>
    <n v="67"/>
    <n v="78"/>
    <n v="0.15"/>
    <s v="Mobile"/>
    <n v="44"/>
    <n v="0"/>
    <n v="0"/>
    <n v="0"/>
    <n v="0"/>
    <x v="3"/>
  </r>
  <r>
    <x v="1534"/>
    <s v="Female"/>
    <n v="35"/>
    <s v="FR"/>
    <s v="Free"/>
    <n v="80"/>
    <n v="77"/>
    <n v="0.52"/>
    <s v="Desktop"/>
    <n v="26"/>
    <n v="0"/>
    <n v="0"/>
    <n v="0"/>
    <n v="0"/>
    <x v="4"/>
  </r>
  <r>
    <x v="1535"/>
    <s v="Other"/>
    <n v="47"/>
    <s v="DE"/>
    <s v="Free"/>
    <n v="26"/>
    <n v="42"/>
    <n v="0.35"/>
    <s v="Mobile"/>
    <n v="30"/>
    <n v="0"/>
    <n v="1"/>
    <n v="0"/>
    <n v="0"/>
    <x v="0"/>
  </r>
  <r>
    <x v="1536"/>
    <s v="Male"/>
    <n v="18"/>
    <s v="CA"/>
    <s v="Free"/>
    <n v="17"/>
    <n v="94"/>
    <n v="0.52"/>
    <s v="Desktop"/>
    <n v="45"/>
    <n v="0"/>
    <n v="0"/>
    <n v="0"/>
    <n v="0"/>
    <x v="3"/>
  </r>
  <r>
    <x v="1537"/>
    <s v="Male"/>
    <n v="26"/>
    <s v="CA"/>
    <s v="Free"/>
    <n v="244"/>
    <n v="73"/>
    <n v="0.32"/>
    <s v="Mobile"/>
    <n v="45"/>
    <n v="0"/>
    <n v="1"/>
    <n v="0"/>
    <n v="0"/>
    <x v="3"/>
  </r>
  <r>
    <x v="1538"/>
    <s v="Other"/>
    <n v="50"/>
    <s v="DE"/>
    <s v="Free"/>
    <n v="85"/>
    <n v="7"/>
    <n v="0.47"/>
    <s v="Mobile"/>
    <n v="49"/>
    <n v="0"/>
    <n v="1"/>
    <n v="0"/>
    <n v="0"/>
    <x v="3"/>
  </r>
  <r>
    <x v="1539"/>
    <s v="Other"/>
    <n v="40"/>
    <s v="UK"/>
    <s v="Free"/>
    <n v="58"/>
    <n v="78"/>
    <n v="0.21"/>
    <s v="Desktop"/>
    <n v="42"/>
    <n v="0"/>
    <n v="0"/>
    <n v="0"/>
    <n v="0"/>
    <x v="3"/>
  </r>
  <r>
    <x v="1540"/>
    <s v="Male"/>
    <n v="48"/>
    <s v="FR"/>
    <s v="Free"/>
    <n v="128"/>
    <n v="5"/>
    <n v="0.28999999999999998"/>
    <s v="Mobile"/>
    <n v="47"/>
    <n v="0"/>
    <n v="1"/>
    <n v="0"/>
    <n v="0"/>
    <x v="3"/>
  </r>
  <r>
    <x v="1541"/>
    <s v="Other"/>
    <n v="37"/>
    <s v="AU"/>
    <s v="Free"/>
    <n v="75"/>
    <n v="13"/>
    <n v="0.18"/>
    <s v="Desktop"/>
    <n v="36"/>
    <n v="0"/>
    <n v="0"/>
    <n v="0"/>
    <n v="0"/>
    <x v="0"/>
  </r>
  <r>
    <x v="1542"/>
    <s v="Female"/>
    <n v="31"/>
    <s v="IN"/>
    <s v="Free"/>
    <n v="88"/>
    <n v="91"/>
    <n v="0.48"/>
    <s v="Web"/>
    <n v="9"/>
    <n v="0"/>
    <n v="0"/>
    <n v="0"/>
    <n v="0"/>
    <x v="2"/>
  </r>
  <r>
    <x v="1543"/>
    <s v="Other"/>
    <n v="59"/>
    <s v="US"/>
    <s v="Free"/>
    <n v="15"/>
    <n v="42"/>
    <n v="0.49"/>
    <s v="Desktop"/>
    <n v="6"/>
    <n v="0"/>
    <n v="1"/>
    <n v="0"/>
    <n v="0"/>
    <x v="2"/>
  </r>
  <r>
    <x v="1544"/>
    <s v="Male"/>
    <n v="42"/>
    <s v="US"/>
    <s v="Free"/>
    <n v="199"/>
    <n v="44"/>
    <n v="0.19"/>
    <s v="Mobile"/>
    <n v="44"/>
    <n v="0"/>
    <n v="0"/>
    <n v="0"/>
    <n v="0"/>
    <x v="3"/>
  </r>
  <r>
    <x v="1545"/>
    <s v="Other"/>
    <n v="31"/>
    <s v="FR"/>
    <s v="Free"/>
    <n v="290"/>
    <n v="51"/>
    <n v="0.38"/>
    <s v="Mobile"/>
    <n v="33"/>
    <n v="0"/>
    <n v="1"/>
    <n v="0"/>
    <n v="0"/>
    <x v="0"/>
  </r>
  <r>
    <x v="1546"/>
    <s v="Male"/>
    <n v="49"/>
    <s v="US"/>
    <s v="Free"/>
    <n v="211"/>
    <n v="56"/>
    <n v="0.03"/>
    <s v="Web"/>
    <n v="34"/>
    <n v="0"/>
    <n v="1"/>
    <n v="0"/>
    <n v="0"/>
    <x v="0"/>
  </r>
  <r>
    <x v="1547"/>
    <s v="Other"/>
    <n v="22"/>
    <s v="AU"/>
    <s v="Free"/>
    <n v="139"/>
    <n v="65"/>
    <n v="0.56999999999999995"/>
    <s v="Desktop"/>
    <n v="11"/>
    <n v="0"/>
    <n v="1"/>
    <n v="0"/>
    <n v="0"/>
    <x v="1"/>
  </r>
  <r>
    <x v="1548"/>
    <s v="Other"/>
    <n v="33"/>
    <s v="DE"/>
    <s v="Free"/>
    <n v="42"/>
    <n v="63"/>
    <n v="0.53"/>
    <s v="Mobile"/>
    <n v="48"/>
    <n v="0"/>
    <n v="0"/>
    <n v="0"/>
    <n v="0"/>
    <x v="3"/>
  </r>
  <r>
    <x v="1549"/>
    <s v="Female"/>
    <n v="38"/>
    <s v="CA"/>
    <s v="Free"/>
    <n v="105"/>
    <n v="28"/>
    <n v="0.45"/>
    <s v="Desktop"/>
    <n v="40"/>
    <n v="0"/>
    <n v="0"/>
    <n v="0"/>
    <n v="0"/>
    <x v="3"/>
  </r>
  <r>
    <x v="1550"/>
    <s v="Other"/>
    <n v="16"/>
    <s v="US"/>
    <s v="Free"/>
    <n v="239"/>
    <n v="36"/>
    <n v="0.17"/>
    <s v="Web"/>
    <n v="13"/>
    <n v="0"/>
    <n v="0"/>
    <n v="0"/>
    <n v="0"/>
    <x v="1"/>
  </r>
  <r>
    <x v="1551"/>
    <s v="Other"/>
    <n v="28"/>
    <s v="CA"/>
    <s v="Free"/>
    <n v="123"/>
    <n v="71"/>
    <n v="0.43"/>
    <s v="Web"/>
    <n v="31"/>
    <n v="0"/>
    <n v="0"/>
    <n v="0"/>
    <n v="0"/>
    <x v="0"/>
  </r>
  <r>
    <x v="1552"/>
    <s v="Male"/>
    <n v="30"/>
    <s v="PK"/>
    <s v="Free"/>
    <n v="287"/>
    <n v="60"/>
    <n v="0.15"/>
    <s v="Web"/>
    <n v="36"/>
    <n v="0"/>
    <n v="1"/>
    <n v="0"/>
    <n v="0"/>
    <x v="0"/>
  </r>
  <r>
    <x v="1553"/>
    <s v="Other"/>
    <n v="56"/>
    <s v="DE"/>
    <s v="Free"/>
    <n v="40"/>
    <n v="29"/>
    <n v="0.37"/>
    <s v="Desktop"/>
    <n v="44"/>
    <n v="0"/>
    <n v="1"/>
    <n v="0"/>
    <n v="0"/>
    <x v="3"/>
  </r>
  <r>
    <x v="1554"/>
    <s v="Male"/>
    <n v="19"/>
    <s v="PK"/>
    <s v="Free"/>
    <n v="251"/>
    <n v="96"/>
    <n v="0.11"/>
    <s v="Desktop"/>
    <n v="40"/>
    <n v="0"/>
    <n v="1"/>
    <n v="0"/>
    <n v="0"/>
    <x v="3"/>
  </r>
  <r>
    <x v="1555"/>
    <s v="Female"/>
    <n v="22"/>
    <s v="FR"/>
    <s v="Free"/>
    <n v="283"/>
    <n v="33"/>
    <n v="0.51"/>
    <s v="Desktop"/>
    <n v="18"/>
    <n v="0"/>
    <n v="1"/>
    <n v="0"/>
    <n v="0"/>
    <x v="1"/>
  </r>
  <r>
    <x v="1556"/>
    <s v="Female"/>
    <n v="32"/>
    <s v="CA"/>
    <s v="Free"/>
    <n v="111"/>
    <n v="94"/>
    <n v="0.28999999999999998"/>
    <s v="Desktop"/>
    <n v="20"/>
    <n v="0"/>
    <n v="0"/>
    <n v="0"/>
    <n v="0"/>
    <x v="4"/>
  </r>
  <r>
    <x v="1557"/>
    <s v="Male"/>
    <n v="49"/>
    <s v="US"/>
    <s v="Free"/>
    <n v="230"/>
    <n v="78"/>
    <n v="0.06"/>
    <s v="Desktop"/>
    <n v="39"/>
    <n v="0"/>
    <n v="0"/>
    <n v="0"/>
    <n v="0"/>
    <x v="0"/>
  </r>
  <r>
    <x v="1558"/>
    <s v="Female"/>
    <n v="41"/>
    <s v="AU"/>
    <s v="Free"/>
    <n v="201"/>
    <n v="47"/>
    <n v="0.04"/>
    <s v="Web"/>
    <n v="49"/>
    <n v="0"/>
    <n v="0"/>
    <n v="0"/>
    <n v="0"/>
    <x v="3"/>
  </r>
  <r>
    <x v="1559"/>
    <s v="Other"/>
    <n v="52"/>
    <s v="IN"/>
    <s v="Free"/>
    <n v="273"/>
    <n v="15"/>
    <n v="0.09"/>
    <s v="Web"/>
    <n v="20"/>
    <n v="0"/>
    <n v="0"/>
    <n v="0"/>
    <n v="0"/>
    <x v="4"/>
  </r>
  <r>
    <x v="1560"/>
    <s v="Male"/>
    <n v="17"/>
    <s v="AU"/>
    <s v="Free"/>
    <n v="48"/>
    <n v="10"/>
    <n v="0.24"/>
    <s v="Desktop"/>
    <n v="22"/>
    <n v="0"/>
    <n v="0"/>
    <n v="0"/>
    <n v="0"/>
    <x v="4"/>
  </r>
  <r>
    <x v="1561"/>
    <s v="Male"/>
    <n v="52"/>
    <s v="CA"/>
    <s v="Free"/>
    <n v="112"/>
    <n v="84"/>
    <n v="0.48"/>
    <s v="Mobile"/>
    <n v="23"/>
    <n v="0"/>
    <n v="1"/>
    <n v="0"/>
    <n v="0"/>
    <x v="4"/>
  </r>
  <r>
    <x v="1562"/>
    <s v="Male"/>
    <n v="53"/>
    <s v="CA"/>
    <s v="Free"/>
    <n v="127"/>
    <n v="86"/>
    <n v="0.44"/>
    <s v="Desktop"/>
    <n v="20"/>
    <n v="0"/>
    <n v="0"/>
    <n v="0"/>
    <n v="0"/>
    <x v="4"/>
  </r>
  <r>
    <x v="1563"/>
    <s v="Other"/>
    <n v="52"/>
    <s v="DE"/>
    <s v="Free"/>
    <n v="262"/>
    <n v="84"/>
    <n v="0.36"/>
    <s v="Web"/>
    <n v="40"/>
    <n v="0"/>
    <n v="1"/>
    <n v="0"/>
    <n v="0"/>
    <x v="3"/>
  </r>
  <r>
    <x v="1564"/>
    <s v="Male"/>
    <n v="54"/>
    <s v="DE"/>
    <s v="Free"/>
    <n v="192"/>
    <n v="77"/>
    <n v="0.45"/>
    <s v="Web"/>
    <n v="38"/>
    <n v="0"/>
    <n v="0"/>
    <n v="0"/>
    <n v="0"/>
    <x v="0"/>
  </r>
  <r>
    <x v="1565"/>
    <s v="Male"/>
    <n v="43"/>
    <s v="US"/>
    <s v="Free"/>
    <n v="255"/>
    <n v="61"/>
    <n v="0.09"/>
    <s v="Desktop"/>
    <n v="49"/>
    <n v="0"/>
    <n v="0"/>
    <n v="0"/>
    <n v="0"/>
    <x v="3"/>
  </r>
  <r>
    <x v="1566"/>
    <s v="Other"/>
    <n v="40"/>
    <s v="CA"/>
    <s v="Free"/>
    <n v="219"/>
    <n v="98"/>
    <n v="0.34"/>
    <s v="Mobile"/>
    <n v="27"/>
    <n v="0"/>
    <n v="0"/>
    <n v="0"/>
    <n v="0"/>
    <x v="4"/>
  </r>
  <r>
    <x v="1567"/>
    <s v="Other"/>
    <n v="33"/>
    <s v="FR"/>
    <s v="Free"/>
    <n v="127"/>
    <n v="33"/>
    <n v="0.09"/>
    <s v="Web"/>
    <n v="48"/>
    <n v="0"/>
    <n v="0"/>
    <n v="0"/>
    <n v="0"/>
    <x v="3"/>
  </r>
  <r>
    <x v="1568"/>
    <s v="Other"/>
    <n v="31"/>
    <s v="AU"/>
    <s v="Free"/>
    <n v="135"/>
    <n v="83"/>
    <n v="0.04"/>
    <s v="Mobile"/>
    <n v="33"/>
    <n v="0"/>
    <n v="0"/>
    <n v="0"/>
    <n v="0"/>
    <x v="0"/>
  </r>
  <r>
    <x v="1569"/>
    <s v="Other"/>
    <n v="25"/>
    <s v="US"/>
    <s v="Free"/>
    <n v="296"/>
    <n v="69"/>
    <n v="0.52"/>
    <s v="Mobile"/>
    <n v="12"/>
    <n v="0"/>
    <n v="1"/>
    <n v="0"/>
    <n v="0"/>
    <x v="1"/>
  </r>
  <r>
    <x v="1570"/>
    <s v="Female"/>
    <n v="17"/>
    <s v="DE"/>
    <s v="Free"/>
    <n v="115"/>
    <n v="8"/>
    <n v="0.2"/>
    <s v="Mobile"/>
    <n v="42"/>
    <n v="0"/>
    <n v="0"/>
    <n v="0"/>
    <n v="0"/>
    <x v="3"/>
  </r>
  <r>
    <x v="1571"/>
    <s v="Male"/>
    <n v="50"/>
    <s v="FR"/>
    <s v="Free"/>
    <n v="269"/>
    <n v="52"/>
    <n v="0.17"/>
    <s v="Web"/>
    <n v="8"/>
    <n v="0"/>
    <n v="0"/>
    <n v="0"/>
    <n v="0"/>
    <x v="2"/>
  </r>
  <r>
    <x v="1572"/>
    <s v="Female"/>
    <n v="24"/>
    <s v="AU"/>
    <s v="Free"/>
    <n v="165"/>
    <n v="71"/>
    <n v="0.22"/>
    <s v="Web"/>
    <n v="33"/>
    <n v="0"/>
    <n v="0"/>
    <n v="0"/>
    <n v="0"/>
    <x v="0"/>
  </r>
  <r>
    <x v="1573"/>
    <s v="Male"/>
    <n v="44"/>
    <s v="PK"/>
    <s v="Free"/>
    <n v="155"/>
    <n v="97"/>
    <n v="0.2"/>
    <s v="Mobile"/>
    <n v="34"/>
    <n v="0"/>
    <n v="0"/>
    <n v="0"/>
    <n v="0"/>
    <x v="0"/>
  </r>
  <r>
    <x v="1574"/>
    <s v="Other"/>
    <n v="30"/>
    <s v="UK"/>
    <s v="Free"/>
    <n v="15"/>
    <n v="24"/>
    <n v="0"/>
    <s v="Mobile"/>
    <n v="38"/>
    <n v="0"/>
    <n v="0"/>
    <n v="0"/>
    <n v="0"/>
    <x v="0"/>
  </r>
  <r>
    <x v="1575"/>
    <s v="Other"/>
    <n v="19"/>
    <s v="DE"/>
    <s v="Free"/>
    <n v="288"/>
    <n v="1"/>
    <n v="0.19"/>
    <s v="Desktop"/>
    <n v="47"/>
    <n v="0"/>
    <n v="0"/>
    <n v="0"/>
    <n v="0"/>
    <x v="3"/>
  </r>
  <r>
    <x v="1576"/>
    <s v="Female"/>
    <n v="53"/>
    <s v="UK"/>
    <s v="Free"/>
    <n v="101"/>
    <n v="64"/>
    <n v="0.35"/>
    <s v="Mobile"/>
    <n v="20"/>
    <n v="0"/>
    <n v="0"/>
    <n v="0"/>
    <n v="0"/>
    <x v="4"/>
  </r>
  <r>
    <x v="1577"/>
    <s v="Other"/>
    <n v="50"/>
    <s v="CA"/>
    <s v="Free"/>
    <n v="97"/>
    <n v="74"/>
    <n v="0.32"/>
    <s v="Web"/>
    <n v="29"/>
    <n v="0"/>
    <n v="0"/>
    <n v="0"/>
    <n v="0"/>
    <x v="4"/>
  </r>
  <r>
    <x v="1578"/>
    <s v="Male"/>
    <n v="31"/>
    <s v="US"/>
    <s v="Free"/>
    <n v="17"/>
    <n v="97"/>
    <n v="7.0000000000000007E-2"/>
    <s v="Web"/>
    <n v="30"/>
    <n v="0"/>
    <n v="0"/>
    <n v="0"/>
    <n v="0"/>
    <x v="0"/>
  </r>
  <r>
    <x v="1579"/>
    <s v="Female"/>
    <n v="45"/>
    <s v="US"/>
    <s v="Free"/>
    <n v="246"/>
    <n v="6"/>
    <n v="0.22"/>
    <s v="Web"/>
    <n v="45"/>
    <n v="0"/>
    <n v="1"/>
    <n v="0"/>
    <n v="0"/>
    <x v="3"/>
  </r>
  <r>
    <x v="1580"/>
    <s v="Male"/>
    <n v="38"/>
    <s v="PK"/>
    <s v="Free"/>
    <n v="30"/>
    <n v="64"/>
    <n v="0.04"/>
    <s v="Mobile"/>
    <n v="42"/>
    <n v="0"/>
    <n v="0"/>
    <n v="0"/>
    <n v="0"/>
    <x v="3"/>
  </r>
  <r>
    <x v="1581"/>
    <s v="Other"/>
    <n v="51"/>
    <s v="CA"/>
    <s v="Free"/>
    <n v="42"/>
    <n v="22"/>
    <n v="0.43"/>
    <s v="Desktop"/>
    <n v="39"/>
    <n v="0"/>
    <n v="0"/>
    <n v="0"/>
    <n v="0"/>
    <x v="0"/>
  </r>
  <r>
    <x v="1582"/>
    <s v="Male"/>
    <n v="21"/>
    <s v="CA"/>
    <s v="Free"/>
    <n v="93"/>
    <n v="99"/>
    <n v="0.1"/>
    <s v="Desktop"/>
    <n v="22"/>
    <n v="0"/>
    <n v="0"/>
    <n v="0"/>
    <n v="0"/>
    <x v="4"/>
  </r>
  <r>
    <x v="1583"/>
    <s v="Female"/>
    <n v="41"/>
    <s v="PK"/>
    <s v="Free"/>
    <n v="201"/>
    <n v="54"/>
    <n v="0.55000000000000004"/>
    <s v="Mobile"/>
    <n v="35"/>
    <n v="0"/>
    <n v="1"/>
    <n v="0"/>
    <n v="0"/>
    <x v="0"/>
  </r>
  <r>
    <x v="1584"/>
    <s v="Other"/>
    <n v="38"/>
    <s v="PK"/>
    <s v="Free"/>
    <n v="45"/>
    <n v="97"/>
    <n v="0.56000000000000005"/>
    <s v="Mobile"/>
    <n v="13"/>
    <n v="0"/>
    <n v="0"/>
    <n v="0"/>
    <n v="0"/>
    <x v="1"/>
  </r>
  <r>
    <x v="1585"/>
    <s v="Female"/>
    <n v="22"/>
    <s v="UK"/>
    <s v="Free"/>
    <n v="273"/>
    <n v="35"/>
    <n v="0.16"/>
    <s v="Web"/>
    <n v="36"/>
    <n v="0"/>
    <n v="0"/>
    <n v="0"/>
    <n v="0"/>
    <x v="0"/>
  </r>
  <r>
    <x v="1586"/>
    <s v="Female"/>
    <n v="20"/>
    <s v="DE"/>
    <s v="Free"/>
    <n v="88"/>
    <n v="83"/>
    <n v="0.55000000000000004"/>
    <s v="Mobile"/>
    <n v="32"/>
    <n v="0"/>
    <n v="1"/>
    <n v="0"/>
    <n v="0"/>
    <x v="0"/>
  </r>
  <r>
    <x v="1587"/>
    <s v="Other"/>
    <n v="27"/>
    <s v="FR"/>
    <s v="Free"/>
    <n v="139"/>
    <n v="80"/>
    <n v="0.23"/>
    <s v="Web"/>
    <n v="39"/>
    <n v="0"/>
    <n v="0"/>
    <n v="0"/>
    <n v="0"/>
    <x v="0"/>
  </r>
  <r>
    <x v="1588"/>
    <s v="Other"/>
    <n v="18"/>
    <s v="PK"/>
    <s v="Free"/>
    <n v="123"/>
    <n v="81"/>
    <n v="0.34"/>
    <s v="Web"/>
    <n v="28"/>
    <n v="0"/>
    <n v="0"/>
    <n v="0"/>
    <n v="0"/>
    <x v="4"/>
  </r>
  <r>
    <x v="1589"/>
    <s v="Female"/>
    <n v="42"/>
    <s v="CA"/>
    <s v="Free"/>
    <n v="195"/>
    <n v="29"/>
    <n v="0.43"/>
    <s v="Mobile"/>
    <n v="40"/>
    <n v="0"/>
    <n v="0"/>
    <n v="0"/>
    <n v="0"/>
    <x v="3"/>
  </r>
  <r>
    <x v="1590"/>
    <s v="Female"/>
    <n v="50"/>
    <s v="US"/>
    <s v="Free"/>
    <n v="170"/>
    <n v="64"/>
    <n v="0.01"/>
    <s v="Mobile"/>
    <n v="25"/>
    <n v="0"/>
    <n v="0"/>
    <n v="0"/>
    <n v="0"/>
    <x v="4"/>
  </r>
  <r>
    <x v="1591"/>
    <s v="Female"/>
    <n v="30"/>
    <s v="DE"/>
    <s v="Free"/>
    <n v="103"/>
    <n v="35"/>
    <n v="0.38"/>
    <s v="Web"/>
    <n v="33"/>
    <n v="0"/>
    <n v="1"/>
    <n v="0"/>
    <n v="0"/>
    <x v="0"/>
  </r>
  <r>
    <x v="1592"/>
    <s v="Female"/>
    <n v="38"/>
    <s v="UK"/>
    <s v="Free"/>
    <n v="87"/>
    <n v="14"/>
    <n v="0.38"/>
    <s v="Mobile"/>
    <n v="18"/>
    <n v="0"/>
    <n v="0"/>
    <n v="0"/>
    <n v="0"/>
    <x v="1"/>
  </r>
  <r>
    <x v="1593"/>
    <s v="Male"/>
    <n v="18"/>
    <s v="PK"/>
    <s v="Free"/>
    <n v="245"/>
    <n v="95"/>
    <n v="0.54"/>
    <s v="Mobile"/>
    <n v="17"/>
    <n v="0"/>
    <n v="0"/>
    <n v="0"/>
    <n v="0"/>
    <x v="1"/>
  </r>
  <r>
    <x v="1594"/>
    <s v="Other"/>
    <n v="45"/>
    <s v="FR"/>
    <s v="Free"/>
    <n v="154"/>
    <n v="88"/>
    <n v="0.23"/>
    <s v="Mobile"/>
    <n v="44"/>
    <n v="0"/>
    <n v="0"/>
    <n v="0"/>
    <n v="0"/>
    <x v="3"/>
  </r>
  <r>
    <x v="1595"/>
    <s v="Other"/>
    <n v="37"/>
    <s v="CA"/>
    <s v="Free"/>
    <n v="145"/>
    <n v="82"/>
    <n v="0.13"/>
    <s v="Web"/>
    <n v="42"/>
    <n v="0"/>
    <n v="0"/>
    <n v="0"/>
    <n v="0"/>
    <x v="3"/>
  </r>
  <r>
    <x v="1596"/>
    <s v="Male"/>
    <n v="53"/>
    <s v="IN"/>
    <s v="Free"/>
    <n v="256"/>
    <n v="60"/>
    <n v="0.06"/>
    <s v="Desktop"/>
    <n v="35"/>
    <n v="0"/>
    <n v="1"/>
    <n v="0"/>
    <n v="0"/>
    <x v="0"/>
  </r>
  <r>
    <x v="1597"/>
    <s v="Female"/>
    <n v="45"/>
    <s v="IN"/>
    <s v="Free"/>
    <n v="294"/>
    <n v="43"/>
    <n v="0.51"/>
    <s v="Web"/>
    <n v="27"/>
    <n v="0"/>
    <n v="0"/>
    <n v="0"/>
    <n v="0"/>
    <x v="4"/>
  </r>
  <r>
    <x v="1598"/>
    <s v="Male"/>
    <n v="18"/>
    <s v="US"/>
    <s v="Free"/>
    <n v="230"/>
    <n v="42"/>
    <n v="0.26"/>
    <s v="Mobile"/>
    <n v="28"/>
    <n v="0"/>
    <n v="0"/>
    <n v="0"/>
    <n v="0"/>
    <x v="4"/>
  </r>
  <r>
    <x v="1599"/>
    <s v="Female"/>
    <n v="50"/>
    <s v="IN"/>
    <s v="Free"/>
    <n v="181"/>
    <n v="2"/>
    <n v="0.12"/>
    <s v="Web"/>
    <n v="20"/>
    <n v="0"/>
    <n v="0"/>
    <n v="0"/>
    <n v="0"/>
    <x v="4"/>
  </r>
  <r>
    <x v="1600"/>
    <s v="Male"/>
    <n v="55"/>
    <s v="DE"/>
    <s v="Free"/>
    <n v="65"/>
    <n v="69"/>
    <n v="0.47"/>
    <s v="Desktop"/>
    <n v="49"/>
    <n v="0"/>
    <n v="1"/>
    <n v="0"/>
    <n v="0"/>
    <x v="3"/>
  </r>
  <r>
    <x v="1601"/>
    <s v="Female"/>
    <n v="17"/>
    <s v="DE"/>
    <s v="Free"/>
    <n v="214"/>
    <n v="78"/>
    <n v="0.57999999999999996"/>
    <s v="Desktop"/>
    <n v="43"/>
    <n v="0"/>
    <n v="0"/>
    <n v="0"/>
    <n v="0"/>
    <x v="3"/>
  </r>
  <r>
    <x v="1602"/>
    <s v="Male"/>
    <n v="57"/>
    <s v="CA"/>
    <s v="Free"/>
    <n v="269"/>
    <n v="97"/>
    <n v="0.08"/>
    <s v="Desktop"/>
    <n v="15"/>
    <n v="0"/>
    <n v="0"/>
    <n v="0"/>
    <n v="0"/>
    <x v="1"/>
  </r>
  <r>
    <x v="1603"/>
    <s v="Female"/>
    <n v="20"/>
    <s v="DE"/>
    <s v="Free"/>
    <n v="219"/>
    <n v="76"/>
    <n v="0.32"/>
    <s v="Mobile"/>
    <n v="44"/>
    <n v="0"/>
    <n v="0"/>
    <n v="0"/>
    <n v="0"/>
    <x v="3"/>
  </r>
  <r>
    <x v="1604"/>
    <s v="Female"/>
    <n v="57"/>
    <s v="CA"/>
    <s v="Free"/>
    <n v="103"/>
    <n v="83"/>
    <n v="0.17"/>
    <s v="Mobile"/>
    <n v="21"/>
    <n v="0"/>
    <n v="1"/>
    <n v="0"/>
    <n v="0"/>
    <x v="4"/>
  </r>
  <r>
    <x v="1605"/>
    <s v="Other"/>
    <n v="54"/>
    <s v="DE"/>
    <s v="Free"/>
    <n v="19"/>
    <n v="62"/>
    <n v="0.34"/>
    <s v="Desktop"/>
    <n v="39"/>
    <n v="0"/>
    <n v="0"/>
    <n v="0"/>
    <n v="0"/>
    <x v="0"/>
  </r>
  <r>
    <x v="1606"/>
    <s v="Female"/>
    <n v="38"/>
    <s v="FR"/>
    <s v="Free"/>
    <n v="294"/>
    <n v="63"/>
    <n v="0.21"/>
    <s v="Mobile"/>
    <n v="35"/>
    <n v="0"/>
    <n v="0"/>
    <n v="0"/>
    <n v="0"/>
    <x v="0"/>
  </r>
  <r>
    <x v="1607"/>
    <s v="Other"/>
    <n v="37"/>
    <s v="IN"/>
    <s v="Free"/>
    <n v="106"/>
    <n v="38"/>
    <n v="0.57999999999999996"/>
    <s v="Web"/>
    <n v="7"/>
    <n v="0"/>
    <n v="0"/>
    <n v="0"/>
    <n v="0"/>
    <x v="2"/>
  </r>
  <r>
    <x v="1608"/>
    <s v="Female"/>
    <n v="18"/>
    <s v="IN"/>
    <s v="Free"/>
    <n v="95"/>
    <n v="37"/>
    <n v="0.24"/>
    <s v="Mobile"/>
    <n v="7"/>
    <n v="0"/>
    <n v="1"/>
    <n v="0"/>
    <n v="0"/>
    <x v="2"/>
  </r>
  <r>
    <x v="1609"/>
    <s v="Female"/>
    <n v="56"/>
    <s v="US"/>
    <s v="Free"/>
    <n v="33"/>
    <n v="24"/>
    <n v="0.44"/>
    <s v="Mobile"/>
    <n v="33"/>
    <n v="0"/>
    <n v="1"/>
    <n v="0"/>
    <n v="0"/>
    <x v="0"/>
  </r>
  <r>
    <x v="1610"/>
    <s v="Male"/>
    <n v="47"/>
    <s v="US"/>
    <s v="Free"/>
    <n v="281"/>
    <n v="5"/>
    <n v="0.5"/>
    <s v="Desktop"/>
    <n v="39"/>
    <n v="0"/>
    <n v="1"/>
    <n v="0"/>
    <n v="0"/>
    <x v="0"/>
  </r>
  <r>
    <x v="1611"/>
    <s v="Other"/>
    <n v="39"/>
    <s v="US"/>
    <s v="Free"/>
    <n v="229"/>
    <n v="41"/>
    <n v="0.13"/>
    <s v="Web"/>
    <n v="34"/>
    <n v="0"/>
    <n v="0"/>
    <n v="0"/>
    <n v="0"/>
    <x v="0"/>
  </r>
  <r>
    <x v="1612"/>
    <s v="Male"/>
    <n v="18"/>
    <s v="PK"/>
    <s v="Free"/>
    <n v="195"/>
    <n v="95"/>
    <n v="0.06"/>
    <s v="Desktop"/>
    <n v="6"/>
    <n v="0"/>
    <n v="0"/>
    <n v="0"/>
    <n v="0"/>
    <x v="2"/>
  </r>
  <r>
    <x v="1613"/>
    <s v="Other"/>
    <n v="28"/>
    <s v="CA"/>
    <s v="Free"/>
    <n v="159"/>
    <n v="71"/>
    <n v="0.44"/>
    <s v="Mobile"/>
    <n v="25"/>
    <n v="0"/>
    <n v="1"/>
    <n v="0"/>
    <n v="0"/>
    <x v="4"/>
  </r>
  <r>
    <x v="1614"/>
    <s v="Male"/>
    <n v="59"/>
    <s v="AU"/>
    <s v="Free"/>
    <n v="20"/>
    <n v="98"/>
    <n v="0.37"/>
    <s v="Mobile"/>
    <n v="42"/>
    <n v="0"/>
    <n v="0"/>
    <n v="0"/>
    <n v="0"/>
    <x v="3"/>
  </r>
  <r>
    <x v="1615"/>
    <s v="Female"/>
    <n v="38"/>
    <s v="IN"/>
    <s v="Free"/>
    <n v="101"/>
    <n v="47"/>
    <n v="0.06"/>
    <s v="Mobile"/>
    <n v="39"/>
    <n v="0"/>
    <n v="1"/>
    <n v="0"/>
    <n v="0"/>
    <x v="0"/>
  </r>
  <r>
    <x v="1616"/>
    <s v="Male"/>
    <n v="53"/>
    <s v="FR"/>
    <s v="Free"/>
    <n v="96"/>
    <n v="60"/>
    <n v="0.5"/>
    <s v="Web"/>
    <n v="25"/>
    <n v="0"/>
    <n v="0"/>
    <n v="0"/>
    <n v="0"/>
    <x v="4"/>
  </r>
  <r>
    <x v="1617"/>
    <s v="Other"/>
    <n v="31"/>
    <s v="CA"/>
    <s v="Free"/>
    <n v="110"/>
    <n v="34"/>
    <n v="0.06"/>
    <s v="Desktop"/>
    <n v="49"/>
    <n v="0"/>
    <n v="0"/>
    <n v="0"/>
    <n v="0"/>
    <x v="3"/>
  </r>
  <r>
    <x v="1618"/>
    <s v="Female"/>
    <n v="26"/>
    <s v="FR"/>
    <s v="Free"/>
    <n v="80"/>
    <n v="73"/>
    <n v="0.4"/>
    <s v="Mobile"/>
    <n v="5"/>
    <n v="0"/>
    <n v="0"/>
    <n v="0"/>
    <n v="0"/>
    <x v="2"/>
  </r>
  <r>
    <x v="1619"/>
    <s v="Other"/>
    <n v="18"/>
    <s v="CA"/>
    <s v="Free"/>
    <n v="255"/>
    <n v="33"/>
    <n v="0.55000000000000004"/>
    <s v="Web"/>
    <n v="45"/>
    <n v="0"/>
    <n v="0"/>
    <n v="0"/>
    <n v="0"/>
    <x v="3"/>
  </r>
  <r>
    <x v="1620"/>
    <s v="Female"/>
    <n v="47"/>
    <s v="CA"/>
    <s v="Free"/>
    <n v="88"/>
    <n v="87"/>
    <n v="0.56000000000000005"/>
    <s v="Web"/>
    <n v="24"/>
    <n v="0"/>
    <n v="0"/>
    <n v="0"/>
    <n v="0"/>
    <x v="4"/>
  </r>
  <r>
    <x v="1621"/>
    <s v="Female"/>
    <n v="42"/>
    <s v="PK"/>
    <s v="Free"/>
    <n v="284"/>
    <n v="70"/>
    <n v="0.52"/>
    <s v="Web"/>
    <n v="33"/>
    <n v="0"/>
    <n v="0"/>
    <n v="0"/>
    <n v="0"/>
    <x v="0"/>
  </r>
  <r>
    <x v="1622"/>
    <s v="Male"/>
    <n v="48"/>
    <s v="DE"/>
    <s v="Free"/>
    <n v="278"/>
    <n v="34"/>
    <n v="0.09"/>
    <s v="Mobile"/>
    <n v="13"/>
    <n v="0"/>
    <n v="1"/>
    <n v="0"/>
    <n v="0"/>
    <x v="1"/>
  </r>
  <r>
    <x v="1623"/>
    <s v="Male"/>
    <n v="47"/>
    <s v="UK"/>
    <s v="Free"/>
    <n v="119"/>
    <n v="24"/>
    <n v="0.47"/>
    <s v="Desktop"/>
    <n v="14"/>
    <n v="0"/>
    <n v="0"/>
    <n v="0"/>
    <n v="0"/>
    <x v="1"/>
  </r>
  <r>
    <x v="1624"/>
    <s v="Other"/>
    <n v="34"/>
    <s v="FR"/>
    <s v="Free"/>
    <n v="152"/>
    <n v="22"/>
    <n v="0.04"/>
    <s v="Web"/>
    <n v="14"/>
    <n v="0"/>
    <n v="0"/>
    <n v="0"/>
    <n v="0"/>
    <x v="1"/>
  </r>
  <r>
    <x v="1625"/>
    <s v="Male"/>
    <n v="30"/>
    <s v="AU"/>
    <s v="Free"/>
    <n v="26"/>
    <n v="15"/>
    <n v="0.59"/>
    <s v="Mobile"/>
    <n v="27"/>
    <n v="0"/>
    <n v="0"/>
    <n v="0"/>
    <n v="0"/>
    <x v="4"/>
  </r>
  <r>
    <x v="1626"/>
    <s v="Female"/>
    <n v="26"/>
    <s v="UK"/>
    <s v="Free"/>
    <n v="94"/>
    <n v="34"/>
    <n v="0.12"/>
    <s v="Web"/>
    <n v="15"/>
    <n v="0"/>
    <n v="1"/>
    <n v="0"/>
    <n v="0"/>
    <x v="1"/>
  </r>
  <r>
    <x v="1627"/>
    <s v="Male"/>
    <n v="32"/>
    <s v="US"/>
    <s v="Free"/>
    <n v="28"/>
    <n v="11"/>
    <n v="0.19"/>
    <s v="Mobile"/>
    <n v="41"/>
    <n v="0"/>
    <n v="0"/>
    <n v="0"/>
    <n v="0"/>
    <x v="3"/>
  </r>
  <r>
    <x v="1628"/>
    <s v="Male"/>
    <n v="54"/>
    <s v="UK"/>
    <s v="Free"/>
    <n v="185"/>
    <n v="20"/>
    <n v="0.02"/>
    <s v="Web"/>
    <n v="24"/>
    <n v="0"/>
    <n v="0"/>
    <n v="0"/>
    <n v="0"/>
    <x v="4"/>
  </r>
  <r>
    <x v="1629"/>
    <s v="Other"/>
    <n v="46"/>
    <s v="UK"/>
    <s v="Free"/>
    <n v="126"/>
    <n v="98"/>
    <n v="0.03"/>
    <s v="Web"/>
    <n v="9"/>
    <n v="0"/>
    <n v="0"/>
    <n v="0"/>
    <n v="0"/>
    <x v="2"/>
  </r>
  <r>
    <x v="1630"/>
    <s v="Female"/>
    <n v="23"/>
    <s v="US"/>
    <s v="Free"/>
    <n v="203"/>
    <n v="32"/>
    <n v="0.35"/>
    <s v="Desktop"/>
    <n v="48"/>
    <n v="0"/>
    <n v="0"/>
    <n v="0"/>
    <n v="0"/>
    <x v="3"/>
  </r>
  <r>
    <x v="1631"/>
    <s v="Female"/>
    <n v="47"/>
    <s v="PK"/>
    <s v="Free"/>
    <n v="114"/>
    <n v="86"/>
    <n v="0.16"/>
    <s v="Mobile"/>
    <n v="20"/>
    <n v="0"/>
    <n v="0"/>
    <n v="0"/>
    <n v="0"/>
    <x v="4"/>
  </r>
  <r>
    <x v="1632"/>
    <s v="Other"/>
    <n v="38"/>
    <s v="CA"/>
    <s v="Free"/>
    <n v="279"/>
    <n v="83"/>
    <n v="0.55000000000000004"/>
    <s v="Mobile"/>
    <n v="18"/>
    <n v="0"/>
    <n v="0"/>
    <n v="0"/>
    <n v="0"/>
    <x v="1"/>
  </r>
  <r>
    <x v="1633"/>
    <s v="Male"/>
    <n v="43"/>
    <s v="IN"/>
    <s v="Free"/>
    <n v="205"/>
    <n v="12"/>
    <n v="0.08"/>
    <s v="Web"/>
    <n v="26"/>
    <n v="0"/>
    <n v="1"/>
    <n v="0"/>
    <n v="0"/>
    <x v="4"/>
  </r>
  <r>
    <x v="1634"/>
    <s v="Female"/>
    <n v="57"/>
    <s v="CA"/>
    <s v="Free"/>
    <n v="247"/>
    <n v="32"/>
    <n v="0.32"/>
    <s v="Desktop"/>
    <n v="36"/>
    <n v="0"/>
    <n v="1"/>
    <n v="0"/>
    <n v="0"/>
    <x v="0"/>
  </r>
  <r>
    <x v="1635"/>
    <s v="Other"/>
    <n v="17"/>
    <s v="US"/>
    <s v="Free"/>
    <n v="23"/>
    <n v="75"/>
    <n v="0.16"/>
    <s v="Mobile"/>
    <n v="46"/>
    <n v="0"/>
    <n v="0"/>
    <n v="0"/>
    <n v="0"/>
    <x v="3"/>
  </r>
  <r>
    <x v="1636"/>
    <s v="Other"/>
    <n v="46"/>
    <s v="AU"/>
    <s v="Free"/>
    <n v="68"/>
    <n v="92"/>
    <n v="0.43"/>
    <s v="Desktop"/>
    <n v="34"/>
    <n v="0"/>
    <n v="1"/>
    <n v="0"/>
    <n v="0"/>
    <x v="0"/>
  </r>
  <r>
    <x v="1637"/>
    <s v="Male"/>
    <n v="51"/>
    <s v="US"/>
    <s v="Free"/>
    <n v="30"/>
    <n v="46"/>
    <n v="0.34"/>
    <s v="Web"/>
    <n v="28"/>
    <n v="0"/>
    <n v="0"/>
    <n v="0"/>
    <n v="0"/>
    <x v="4"/>
  </r>
  <r>
    <x v="1638"/>
    <s v="Male"/>
    <n v="32"/>
    <s v="DE"/>
    <s v="Free"/>
    <n v="62"/>
    <n v="43"/>
    <n v="0.01"/>
    <s v="Desktop"/>
    <n v="47"/>
    <n v="0"/>
    <n v="0"/>
    <n v="0"/>
    <n v="0"/>
    <x v="3"/>
  </r>
  <r>
    <x v="1639"/>
    <s v="Female"/>
    <n v="39"/>
    <s v="CA"/>
    <s v="Free"/>
    <n v="112"/>
    <n v="35"/>
    <n v="0.56000000000000005"/>
    <s v="Mobile"/>
    <n v="16"/>
    <n v="0"/>
    <n v="0"/>
    <n v="0"/>
    <n v="0"/>
    <x v="1"/>
  </r>
  <r>
    <x v="1640"/>
    <s v="Other"/>
    <n v="29"/>
    <s v="US"/>
    <s v="Free"/>
    <n v="216"/>
    <n v="86"/>
    <n v="0.53"/>
    <s v="Web"/>
    <n v="28"/>
    <n v="0"/>
    <n v="1"/>
    <n v="0"/>
    <n v="0"/>
    <x v="4"/>
  </r>
  <r>
    <x v="1641"/>
    <s v="Male"/>
    <n v="38"/>
    <s v="AU"/>
    <s v="Free"/>
    <n v="196"/>
    <n v="83"/>
    <n v="0.03"/>
    <s v="Desktop"/>
    <n v="31"/>
    <n v="0"/>
    <n v="0"/>
    <n v="0"/>
    <n v="0"/>
    <x v="0"/>
  </r>
  <r>
    <x v="1642"/>
    <s v="Other"/>
    <n v="54"/>
    <s v="IN"/>
    <s v="Free"/>
    <n v="60"/>
    <n v="46"/>
    <n v="0.52"/>
    <s v="Desktop"/>
    <n v="25"/>
    <n v="0"/>
    <n v="1"/>
    <n v="0"/>
    <n v="0"/>
    <x v="4"/>
  </r>
  <r>
    <x v="1643"/>
    <s v="Other"/>
    <n v="46"/>
    <s v="UK"/>
    <s v="Free"/>
    <n v="154"/>
    <n v="38"/>
    <n v="0.25"/>
    <s v="Web"/>
    <n v="6"/>
    <n v="0"/>
    <n v="0"/>
    <n v="0"/>
    <n v="0"/>
    <x v="2"/>
  </r>
  <r>
    <x v="1644"/>
    <s v="Male"/>
    <n v="16"/>
    <s v="UK"/>
    <s v="Free"/>
    <n v="104"/>
    <n v="99"/>
    <n v="0.11"/>
    <s v="Mobile"/>
    <n v="11"/>
    <n v="0"/>
    <n v="0"/>
    <n v="0"/>
    <n v="0"/>
    <x v="1"/>
  </r>
  <r>
    <x v="1645"/>
    <s v="Female"/>
    <n v="33"/>
    <s v="IN"/>
    <s v="Free"/>
    <n v="244"/>
    <n v="57"/>
    <n v="0.42"/>
    <s v="Desktop"/>
    <n v="28"/>
    <n v="0"/>
    <n v="1"/>
    <n v="0"/>
    <n v="0"/>
    <x v="4"/>
  </r>
  <r>
    <x v="1646"/>
    <s v="Female"/>
    <n v="49"/>
    <s v="FR"/>
    <s v="Free"/>
    <n v="164"/>
    <n v="84"/>
    <n v="0.05"/>
    <s v="Mobile"/>
    <n v="7"/>
    <n v="0"/>
    <n v="0"/>
    <n v="0"/>
    <n v="0"/>
    <x v="2"/>
  </r>
  <r>
    <x v="1647"/>
    <s v="Other"/>
    <n v="55"/>
    <s v="DE"/>
    <s v="Free"/>
    <n v="220"/>
    <n v="13"/>
    <n v="0.26"/>
    <s v="Mobile"/>
    <n v="21"/>
    <n v="0"/>
    <n v="1"/>
    <n v="0"/>
    <n v="0"/>
    <x v="4"/>
  </r>
  <r>
    <x v="1648"/>
    <s v="Male"/>
    <n v="48"/>
    <s v="FR"/>
    <s v="Free"/>
    <n v="46"/>
    <n v="58"/>
    <n v="0.56999999999999995"/>
    <s v="Web"/>
    <n v="21"/>
    <n v="0"/>
    <n v="1"/>
    <n v="0"/>
    <n v="0"/>
    <x v="4"/>
  </r>
  <r>
    <x v="1649"/>
    <s v="Male"/>
    <n v="47"/>
    <s v="DE"/>
    <s v="Free"/>
    <n v="151"/>
    <n v="88"/>
    <n v="0.44"/>
    <s v="Web"/>
    <n v="31"/>
    <n v="0"/>
    <n v="0"/>
    <n v="0"/>
    <n v="0"/>
    <x v="0"/>
  </r>
  <r>
    <x v="1650"/>
    <s v="Female"/>
    <n v="42"/>
    <s v="FR"/>
    <s v="Free"/>
    <n v="122"/>
    <n v="17"/>
    <n v="0.4"/>
    <s v="Web"/>
    <n v="24"/>
    <n v="0"/>
    <n v="0"/>
    <n v="0"/>
    <n v="0"/>
    <x v="4"/>
  </r>
  <r>
    <x v="1651"/>
    <s v="Female"/>
    <n v="28"/>
    <s v="CA"/>
    <s v="Free"/>
    <n v="29"/>
    <n v="72"/>
    <n v="0.34"/>
    <s v="Desktop"/>
    <n v="41"/>
    <n v="0"/>
    <n v="0"/>
    <n v="0"/>
    <n v="0"/>
    <x v="3"/>
  </r>
  <r>
    <x v="1652"/>
    <s v="Female"/>
    <n v="47"/>
    <s v="DE"/>
    <s v="Free"/>
    <n v="34"/>
    <n v="14"/>
    <n v="0.44"/>
    <s v="Desktop"/>
    <n v="34"/>
    <n v="0"/>
    <n v="0"/>
    <n v="0"/>
    <n v="0"/>
    <x v="0"/>
  </r>
  <r>
    <x v="1653"/>
    <s v="Male"/>
    <n v="47"/>
    <s v="UK"/>
    <s v="Free"/>
    <n v="18"/>
    <n v="22"/>
    <n v="0.59"/>
    <s v="Mobile"/>
    <n v="43"/>
    <n v="0"/>
    <n v="0"/>
    <n v="0"/>
    <n v="0"/>
    <x v="3"/>
  </r>
  <r>
    <x v="1654"/>
    <s v="Female"/>
    <n v="44"/>
    <s v="PK"/>
    <s v="Free"/>
    <n v="75"/>
    <n v="21"/>
    <n v="0.17"/>
    <s v="Mobile"/>
    <n v="19"/>
    <n v="0"/>
    <n v="0"/>
    <n v="0"/>
    <n v="0"/>
    <x v="1"/>
  </r>
  <r>
    <x v="1655"/>
    <s v="Female"/>
    <n v="48"/>
    <s v="AU"/>
    <s v="Free"/>
    <n v="168"/>
    <n v="25"/>
    <n v="0.19"/>
    <s v="Web"/>
    <n v="38"/>
    <n v="0"/>
    <n v="0"/>
    <n v="0"/>
    <n v="0"/>
    <x v="0"/>
  </r>
  <r>
    <x v="1656"/>
    <s v="Male"/>
    <n v="40"/>
    <s v="AU"/>
    <s v="Free"/>
    <n v="296"/>
    <n v="41"/>
    <n v="0.23"/>
    <s v="Desktop"/>
    <n v="13"/>
    <n v="0"/>
    <n v="0"/>
    <n v="0"/>
    <n v="0"/>
    <x v="1"/>
  </r>
  <r>
    <x v="1657"/>
    <s v="Female"/>
    <n v="53"/>
    <s v="IN"/>
    <s v="Free"/>
    <n v="12"/>
    <n v="90"/>
    <n v="0.09"/>
    <s v="Mobile"/>
    <n v="39"/>
    <n v="0"/>
    <n v="0"/>
    <n v="0"/>
    <n v="0"/>
    <x v="0"/>
  </r>
  <r>
    <x v="1658"/>
    <s v="Other"/>
    <n v="20"/>
    <s v="US"/>
    <s v="Free"/>
    <n v="290"/>
    <n v="44"/>
    <n v="0.05"/>
    <s v="Web"/>
    <n v="20"/>
    <n v="0"/>
    <n v="0"/>
    <n v="0"/>
    <n v="0"/>
    <x v="4"/>
  </r>
  <r>
    <x v="1659"/>
    <s v="Other"/>
    <n v="20"/>
    <s v="US"/>
    <s v="Free"/>
    <n v="123"/>
    <n v="80"/>
    <n v="0.33"/>
    <s v="Web"/>
    <n v="22"/>
    <n v="0"/>
    <n v="0"/>
    <n v="0"/>
    <n v="0"/>
    <x v="4"/>
  </r>
  <r>
    <x v="1660"/>
    <s v="Female"/>
    <n v="40"/>
    <s v="FR"/>
    <s v="Free"/>
    <n v="174"/>
    <n v="12"/>
    <n v="0.2"/>
    <s v="Desktop"/>
    <n v="15"/>
    <n v="0"/>
    <n v="1"/>
    <n v="0"/>
    <n v="0"/>
    <x v="1"/>
  </r>
  <r>
    <x v="1661"/>
    <s v="Female"/>
    <n v="18"/>
    <s v="PK"/>
    <s v="Free"/>
    <n v="146"/>
    <n v="85"/>
    <n v="0.51"/>
    <s v="Desktop"/>
    <n v="19"/>
    <n v="0"/>
    <n v="0"/>
    <n v="0"/>
    <n v="0"/>
    <x v="1"/>
  </r>
  <r>
    <x v="1662"/>
    <s v="Other"/>
    <n v="43"/>
    <s v="IN"/>
    <s v="Free"/>
    <n v="105"/>
    <n v="66"/>
    <n v="0.48"/>
    <s v="Desktop"/>
    <n v="36"/>
    <n v="0"/>
    <n v="0"/>
    <n v="0"/>
    <n v="0"/>
    <x v="0"/>
  </r>
  <r>
    <x v="1663"/>
    <s v="Female"/>
    <n v="18"/>
    <s v="CA"/>
    <s v="Free"/>
    <n v="54"/>
    <n v="38"/>
    <n v="0.56000000000000005"/>
    <s v="Mobile"/>
    <n v="30"/>
    <n v="0"/>
    <n v="0"/>
    <n v="0"/>
    <n v="0"/>
    <x v="0"/>
  </r>
  <r>
    <x v="1664"/>
    <s v="Other"/>
    <n v="26"/>
    <s v="CA"/>
    <s v="Free"/>
    <n v="23"/>
    <n v="87"/>
    <n v="0.11"/>
    <s v="Mobile"/>
    <n v="27"/>
    <n v="0"/>
    <n v="0"/>
    <n v="0"/>
    <n v="0"/>
    <x v="4"/>
  </r>
  <r>
    <x v="1665"/>
    <s v="Male"/>
    <n v="24"/>
    <s v="DE"/>
    <s v="Free"/>
    <n v="52"/>
    <n v="21"/>
    <n v="0.52"/>
    <s v="Mobile"/>
    <n v="5"/>
    <n v="0"/>
    <n v="0"/>
    <n v="0"/>
    <n v="0"/>
    <x v="2"/>
  </r>
  <r>
    <x v="1666"/>
    <s v="Female"/>
    <n v="53"/>
    <s v="IN"/>
    <s v="Free"/>
    <n v="95"/>
    <n v="88"/>
    <n v="0.31"/>
    <s v="Mobile"/>
    <n v="13"/>
    <n v="0"/>
    <n v="0"/>
    <n v="0"/>
    <n v="0"/>
    <x v="1"/>
  </r>
  <r>
    <x v="1667"/>
    <s v="Other"/>
    <n v="31"/>
    <s v="UK"/>
    <s v="Free"/>
    <n v="160"/>
    <n v="35"/>
    <n v="0.52"/>
    <s v="Desktop"/>
    <n v="8"/>
    <n v="0"/>
    <n v="0"/>
    <n v="0"/>
    <n v="0"/>
    <x v="2"/>
  </r>
  <r>
    <x v="1668"/>
    <s v="Other"/>
    <n v="53"/>
    <s v="PK"/>
    <s v="Free"/>
    <n v="49"/>
    <n v="70"/>
    <n v="0.11"/>
    <s v="Desktop"/>
    <n v="24"/>
    <n v="0"/>
    <n v="0"/>
    <n v="0"/>
    <n v="0"/>
    <x v="4"/>
  </r>
  <r>
    <x v="1669"/>
    <s v="Male"/>
    <n v="30"/>
    <s v="US"/>
    <s v="Free"/>
    <n v="81"/>
    <n v="30"/>
    <n v="0.35"/>
    <s v="Web"/>
    <n v="42"/>
    <n v="0"/>
    <n v="0"/>
    <n v="0"/>
    <n v="0"/>
    <x v="3"/>
  </r>
  <r>
    <x v="1670"/>
    <s v="Male"/>
    <n v="25"/>
    <s v="UK"/>
    <s v="Free"/>
    <n v="164"/>
    <n v="32"/>
    <n v="0.2"/>
    <s v="Mobile"/>
    <n v="25"/>
    <n v="0"/>
    <n v="0"/>
    <n v="0"/>
    <n v="0"/>
    <x v="4"/>
  </r>
  <r>
    <x v="1671"/>
    <s v="Other"/>
    <n v="46"/>
    <s v="DE"/>
    <s v="Free"/>
    <n v="273"/>
    <n v="61"/>
    <n v="0.15"/>
    <s v="Mobile"/>
    <n v="9"/>
    <n v="0"/>
    <n v="0"/>
    <n v="0"/>
    <n v="0"/>
    <x v="2"/>
  </r>
  <r>
    <x v="1672"/>
    <s v="Male"/>
    <n v="55"/>
    <s v="DE"/>
    <s v="Free"/>
    <n v="236"/>
    <n v="48"/>
    <n v="0.25"/>
    <s v="Web"/>
    <n v="8"/>
    <n v="0"/>
    <n v="0"/>
    <n v="0"/>
    <n v="0"/>
    <x v="2"/>
  </r>
  <r>
    <x v="1673"/>
    <s v="Male"/>
    <n v="16"/>
    <s v="CA"/>
    <s v="Free"/>
    <n v="97"/>
    <n v="5"/>
    <n v="0.6"/>
    <s v="Mobile"/>
    <n v="32"/>
    <n v="0"/>
    <n v="0"/>
    <n v="0"/>
    <n v="0"/>
    <x v="0"/>
  </r>
  <r>
    <x v="1674"/>
    <s v="Female"/>
    <n v="36"/>
    <s v="US"/>
    <s v="Free"/>
    <n v="133"/>
    <n v="88"/>
    <n v="0.5"/>
    <s v="Desktop"/>
    <n v="49"/>
    <n v="0"/>
    <n v="0"/>
    <n v="0"/>
    <n v="0"/>
    <x v="3"/>
  </r>
  <r>
    <x v="1675"/>
    <s v="Male"/>
    <n v="19"/>
    <s v="UK"/>
    <s v="Free"/>
    <n v="24"/>
    <n v="60"/>
    <n v="0.1"/>
    <s v="Mobile"/>
    <n v="26"/>
    <n v="0"/>
    <n v="0"/>
    <n v="0"/>
    <n v="0"/>
    <x v="4"/>
  </r>
  <r>
    <x v="1676"/>
    <s v="Male"/>
    <n v="19"/>
    <s v="UK"/>
    <s v="Free"/>
    <n v="241"/>
    <n v="20"/>
    <n v="0.56999999999999995"/>
    <s v="Mobile"/>
    <n v="26"/>
    <n v="0"/>
    <n v="0"/>
    <n v="0"/>
    <n v="0"/>
    <x v="4"/>
  </r>
  <r>
    <x v="1677"/>
    <s v="Female"/>
    <n v="30"/>
    <s v="CA"/>
    <s v="Free"/>
    <n v="146"/>
    <n v="93"/>
    <n v="0.33"/>
    <s v="Web"/>
    <n v="28"/>
    <n v="0"/>
    <n v="0"/>
    <n v="0"/>
    <n v="0"/>
    <x v="4"/>
  </r>
  <r>
    <x v="1678"/>
    <s v="Male"/>
    <n v="58"/>
    <s v="DE"/>
    <s v="Free"/>
    <n v="206"/>
    <n v="11"/>
    <n v="0.56000000000000005"/>
    <s v="Desktop"/>
    <n v="8"/>
    <n v="0"/>
    <n v="0"/>
    <n v="0"/>
    <n v="0"/>
    <x v="2"/>
  </r>
  <r>
    <x v="1679"/>
    <s v="Female"/>
    <n v="55"/>
    <s v="PK"/>
    <s v="Free"/>
    <n v="127"/>
    <n v="81"/>
    <n v="0"/>
    <s v="Mobile"/>
    <n v="47"/>
    <n v="0"/>
    <n v="0"/>
    <n v="0"/>
    <n v="0"/>
    <x v="3"/>
  </r>
  <r>
    <x v="1680"/>
    <s v="Male"/>
    <n v="26"/>
    <s v="AU"/>
    <s v="Free"/>
    <n v="210"/>
    <n v="81"/>
    <n v="0.53"/>
    <s v="Web"/>
    <n v="14"/>
    <n v="0"/>
    <n v="0"/>
    <n v="0"/>
    <n v="0"/>
    <x v="1"/>
  </r>
  <r>
    <x v="1681"/>
    <s v="Other"/>
    <n v="28"/>
    <s v="IN"/>
    <s v="Free"/>
    <n v="268"/>
    <n v="48"/>
    <n v="7.0000000000000007E-2"/>
    <s v="Desktop"/>
    <n v="43"/>
    <n v="0"/>
    <n v="0"/>
    <n v="0"/>
    <n v="0"/>
    <x v="3"/>
  </r>
  <r>
    <x v="1682"/>
    <s v="Female"/>
    <n v="32"/>
    <s v="DE"/>
    <s v="Free"/>
    <n v="100"/>
    <n v="37"/>
    <n v="0.04"/>
    <s v="Desktop"/>
    <n v="21"/>
    <n v="0"/>
    <n v="1"/>
    <n v="0"/>
    <n v="0"/>
    <x v="4"/>
  </r>
  <r>
    <x v="1683"/>
    <s v="Female"/>
    <n v="58"/>
    <s v="UK"/>
    <s v="Free"/>
    <n v="25"/>
    <n v="94"/>
    <n v="0.08"/>
    <s v="Desktop"/>
    <n v="42"/>
    <n v="0"/>
    <n v="0"/>
    <n v="0"/>
    <n v="0"/>
    <x v="3"/>
  </r>
  <r>
    <x v="1684"/>
    <s v="Other"/>
    <n v="37"/>
    <s v="DE"/>
    <s v="Free"/>
    <n v="296"/>
    <n v="34"/>
    <n v="0.01"/>
    <s v="Desktop"/>
    <n v="46"/>
    <n v="0"/>
    <n v="1"/>
    <n v="0"/>
    <n v="0"/>
    <x v="3"/>
  </r>
  <r>
    <x v="1685"/>
    <s v="Male"/>
    <n v="43"/>
    <s v="US"/>
    <s v="Free"/>
    <n v="208"/>
    <n v="29"/>
    <n v="0.4"/>
    <s v="Desktop"/>
    <n v="9"/>
    <n v="0"/>
    <n v="0"/>
    <n v="0"/>
    <n v="0"/>
    <x v="2"/>
  </r>
  <r>
    <x v="1686"/>
    <s v="Female"/>
    <n v="20"/>
    <s v="IN"/>
    <s v="Free"/>
    <n v="278"/>
    <n v="16"/>
    <n v="0.01"/>
    <s v="Mobile"/>
    <n v="28"/>
    <n v="0"/>
    <n v="0"/>
    <n v="0"/>
    <n v="0"/>
    <x v="4"/>
  </r>
  <r>
    <x v="1687"/>
    <s v="Male"/>
    <n v="53"/>
    <s v="DE"/>
    <s v="Free"/>
    <n v="15"/>
    <n v="27"/>
    <n v="0.46"/>
    <s v="Mobile"/>
    <n v="43"/>
    <n v="0"/>
    <n v="1"/>
    <n v="0"/>
    <n v="0"/>
    <x v="3"/>
  </r>
  <r>
    <x v="1688"/>
    <s v="Female"/>
    <n v="18"/>
    <s v="UK"/>
    <s v="Free"/>
    <n v="144"/>
    <n v="88"/>
    <n v="0.55000000000000004"/>
    <s v="Mobile"/>
    <n v="23"/>
    <n v="0"/>
    <n v="0"/>
    <n v="0"/>
    <n v="0"/>
    <x v="4"/>
  </r>
  <r>
    <x v="1689"/>
    <s v="Male"/>
    <n v="59"/>
    <s v="FR"/>
    <s v="Free"/>
    <n v="14"/>
    <n v="98"/>
    <n v="0.42"/>
    <s v="Desktop"/>
    <n v="16"/>
    <n v="0"/>
    <n v="1"/>
    <n v="0"/>
    <n v="0"/>
    <x v="1"/>
  </r>
  <r>
    <x v="1690"/>
    <s v="Male"/>
    <n v="44"/>
    <s v="AU"/>
    <s v="Free"/>
    <n v="270"/>
    <n v="55"/>
    <n v="0.51"/>
    <s v="Web"/>
    <n v="43"/>
    <n v="0"/>
    <n v="0"/>
    <n v="0"/>
    <n v="0"/>
    <x v="3"/>
  </r>
  <r>
    <x v="1691"/>
    <s v="Female"/>
    <n v="25"/>
    <s v="UK"/>
    <s v="Free"/>
    <n v="69"/>
    <n v="94"/>
    <n v="0.16"/>
    <s v="Desktop"/>
    <n v="18"/>
    <n v="0"/>
    <n v="0"/>
    <n v="0"/>
    <n v="0"/>
    <x v="1"/>
  </r>
  <r>
    <x v="1692"/>
    <s v="Male"/>
    <n v="39"/>
    <s v="IN"/>
    <s v="Free"/>
    <n v="67"/>
    <n v="38"/>
    <n v="0.53"/>
    <s v="Web"/>
    <n v="36"/>
    <n v="0"/>
    <n v="0"/>
    <n v="0"/>
    <n v="0"/>
    <x v="0"/>
  </r>
  <r>
    <x v="1693"/>
    <s v="Other"/>
    <n v="56"/>
    <s v="FR"/>
    <s v="Free"/>
    <n v="63"/>
    <n v="64"/>
    <n v="0.56000000000000005"/>
    <s v="Desktop"/>
    <n v="46"/>
    <n v="0"/>
    <n v="0"/>
    <n v="0"/>
    <n v="0"/>
    <x v="3"/>
  </r>
  <r>
    <x v="1694"/>
    <s v="Other"/>
    <n v="42"/>
    <s v="UK"/>
    <s v="Free"/>
    <n v="169"/>
    <n v="69"/>
    <n v="0.49"/>
    <s v="Web"/>
    <n v="48"/>
    <n v="0"/>
    <n v="0"/>
    <n v="0"/>
    <n v="0"/>
    <x v="3"/>
  </r>
  <r>
    <x v="1695"/>
    <s v="Male"/>
    <n v="30"/>
    <s v="DE"/>
    <s v="Free"/>
    <n v="206"/>
    <n v="88"/>
    <n v="0.22"/>
    <s v="Web"/>
    <n v="39"/>
    <n v="0"/>
    <n v="0"/>
    <n v="0"/>
    <n v="0"/>
    <x v="0"/>
  </r>
  <r>
    <x v="1696"/>
    <s v="Other"/>
    <n v="16"/>
    <s v="IN"/>
    <s v="Free"/>
    <n v="93"/>
    <n v="71"/>
    <n v="0.43"/>
    <s v="Web"/>
    <n v="21"/>
    <n v="0"/>
    <n v="0"/>
    <n v="0"/>
    <n v="0"/>
    <x v="4"/>
  </r>
  <r>
    <x v="1697"/>
    <s v="Other"/>
    <n v="55"/>
    <s v="UK"/>
    <s v="Free"/>
    <n v="92"/>
    <n v="66"/>
    <n v="0.49"/>
    <s v="Desktop"/>
    <n v="30"/>
    <n v="0"/>
    <n v="0"/>
    <n v="0"/>
    <n v="0"/>
    <x v="0"/>
  </r>
  <r>
    <x v="1698"/>
    <s v="Other"/>
    <n v="51"/>
    <s v="CA"/>
    <s v="Free"/>
    <n v="25"/>
    <n v="88"/>
    <n v="0.36"/>
    <s v="Mobile"/>
    <n v="37"/>
    <n v="0"/>
    <n v="0"/>
    <n v="0"/>
    <n v="0"/>
    <x v="0"/>
  </r>
  <r>
    <x v="1699"/>
    <s v="Female"/>
    <n v="52"/>
    <s v="CA"/>
    <s v="Free"/>
    <n v="37"/>
    <n v="18"/>
    <n v="0.42"/>
    <s v="Web"/>
    <n v="10"/>
    <n v="0"/>
    <n v="0"/>
    <n v="0"/>
    <n v="0"/>
    <x v="1"/>
  </r>
  <r>
    <x v="1700"/>
    <s v="Female"/>
    <n v="18"/>
    <s v="DE"/>
    <s v="Free"/>
    <n v="298"/>
    <n v="12"/>
    <n v="0.18"/>
    <s v="Desktop"/>
    <n v="47"/>
    <n v="0"/>
    <n v="1"/>
    <n v="0"/>
    <n v="0"/>
    <x v="3"/>
  </r>
  <r>
    <x v="1701"/>
    <s v="Other"/>
    <n v="44"/>
    <s v="FR"/>
    <s v="Free"/>
    <n v="80"/>
    <n v="82"/>
    <n v="0.43"/>
    <s v="Mobile"/>
    <n v="27"/>
    <n v="0"/>
    <n v="0"/>
    <n v="0"/>
    <n v="0"/>
    <x v="4"/>
  </r>
  <r>
    <x v="1702"/>
    <s v="Other"/>
    <n v="38"/>
    <s v="AU"/>
    <s v="Free"/>
    <n v="186"/>
    <n v="43"/>
    <n v="0.54"/>
    <s v="Desktop"/>
    <n v="8"/>
    <n v="0"/>
    <n v="0"/>
    <n v="0"/>
    <n v="0"/>
    <x v="2"/>
  </r>
  <r>
    <x v="1703"/>
    <s v="Female"/>
    <n v="38"/>
    <s v="PK"/>
    <s v="Free"/>
    <n v="28"/>
    <n v="74"/>
    <n v="0.03"/>
    <s v="Web"/>
    <n v="20"/>
    <n v="0"/>
    <n v="0"/>
    <n v="0"/>
    <n v="0"/>
    <x v="4"/>
  </r>
  <r>
    <x v="1704"/>
    <s v="Female"/>
    <n v="19"/>
    <s v="FR"/>
    <s v="Free"/>
    <n v="119"/>
    <n v="99"/>
    <n v="0.38"/>
    <s v="Mobile"/>
    <n v="36"/>
    <n v="0"/>
    <n v="0"/>
    <n v="0"/>
    <n v="0"/>
    <x v="0"/>
  </r>
  <r>
    <x v="1705"/>
    <s v="Male"/>
    <n v="49"/>
    <s v="US"/>
    <s v="Free"/>
    <n v="28"/>
    <n v="18"/>
    <n v="0.01"/>
    <s v="Desktop"/>
    <n v="22"/>
    <n v="0"/>
    <n v="1"/>
    <n v="0"/>
    <n v="0"/>
    <x v="4"/>
  </r>
  <r>
    <x v="1706"/>
    <s v="Female"/>
    <n v="19"/>
    <s v="IN"/>
    <s v="Free"/>
    <n v="229"/>
    <n v="7"/>
    <n v="0.6"/>
    <s v="Web"/>
    <n v="37"/>
    <n v="0"/>
    <n v="0"/>
    <n v="0"/>
    <n v="0"/>
    <x v="0"/>
  </r>
  <r>
    <x v="1707"/>
    <s v="Other"/>
    <n v="57"/>
    <s v="FR"/>
    <s v="Free"/>
    <n v="270"/>
    <n v="75"/>
    <n v="0.13"/>
    <s v="Mobile"/>
    <n v="18"/>
    <n v="0"/>
    <n v="0"/>
    <n v="0"/>
    <n v="0"/>
    <x v="1"/>
  </r>
  <r>
    <x v="1708"/>
    <s v="Female"/>
    <n v="52"/>
    <s v="IN"/>
    <s v="Free"/>
    <n v="252"/>
    <n v="63"/>
    <n v="0.34"/>
    <s v="Web"/>
    <n v="29"/>
    <n v="0"/>
    <n v="0"/>
    <n v="0"/>
    <n v="0"/>
    <x v="4"/>
  </r>
  <r>
    <x v="1709"/>
    <s v="Other"/>
    <n v="54"/>
    <s v="AU"/>
    <s v="Free"/>
    <n v="296"/>
    <n v="74"/>
    <n v="0.22"/>
    <s v="Desktop"/>
    <n v="10"/>
    <n v="0"/>
    <n v="0"/>
    <n v="0"/>
    <n v="0"/>
    <x v="1"/>
  </r>
  <r>
    <x v="1710"/>
    <s v="Male"/>
    <n v="35"/>
    <s v="US"/>
    <s v="Free"/>
    <n v="223"/>
    <n v="97"/>
    <n v="0.08"/>
    <s v="Mobile"/>
    <n v="27"/>
    <n v="0"/>
    <n v="0"/>
    <n v="0"/>
    <n v="0"/>
    <x v="4"/>
  </r>
  <r>
    <x v="1711"/>
    <s v="Female"/>
    <n v="28"/>
    <s v="FR"/>
    <s v="Free"/>
    <n v="250"/>
    <n v="58"/>
    <n v="0.44"/>
    <s v="Web"/>
    <n v="6"/>
    <n v="0"/>
    <n v="0"/>
    <n v="0"/>
    <n v="0"/>
    <x v="2"/>
  </r>
  <r>
    <x v="1712"/>
    <s v="Female"/>
    <n v="57"/>
    <s v="FR"/>
    <s v="Free"/>
    <n v="256"/>
    <n v="62"/>
    <n v="0.56000000000000005"/>
    <s v="Mobile"/>
    <n v="49"/>
    <n v="0"/>
    <n v="0"/>
    <n v="0"/>
    <n v="0"/>
    <x v="3"/>
  </r>
  <r>
    <x v="1713"/>
    <s v="Other"/>
    <n v="30"/>
    <s v="DE"/>
    <s v="Free"/>
    <n v="171"/>
    <n v="50"/>
    <n v="0.33"/>
    <s v="Web"/>
    <n v="24"/>
    <n v="0"/>
    <n v="0"/>
    <n v="0"/>
    <n v="0"/>
    <x v="4"/>
  </r>
  <r>
    <x v="1714"/>
    <s v="Male"/>
    <n v="43"/>
    <s v="IN"/>
    <s v="Free"/>
    <n v="164"/>
    <n v="42"/>
    <n v="0.49"/>
    <s v="Desktop"/>
    <n v="6"/>
    <n v="0"/>
    <n v="1"/>
    <n v="0"/>
    <n v="0"/>
    <x v="2"/>
  </r>
  <r>
    <x v="1715"/>
    <s v="Female"/>
    <n v="56"/>
    <s v="US"/>
    <s v="Free"/>
    <n v="294"/>
    <n v="20"/>
    <n v="0.1"/>
    <s v="Web"/>
    <n v="7"/>
    <n v="0"/>
    <n v="1"/>
    <n v="0"/>
    <n v="0"/>
    <x v="2"/>
  </r>
  <r>
    <x v="1716"/>
    <s v="Other"/>
    <n v="36"/>
    <s v="DE"/>
    <s v="Free"/>
    <n v="190"/>
    <n v="45"/>
    <n v="0.36"/>
    <s v="Mobile"/>
    <n v="24"/>
    <n v="0"/>
    <n v="0"/>
    <n v="0"/>
    <n v="0"/>
    <x v="4"/>
  </r>
  <r>
    <x v="1717"/>
    <s v="Male"/>
    <n v="25"/>
    <s v="AU"/>
    <s v="Free"/>
    <n v="93"/>
    <n v="6"/>
    <n v="0.47"/>
    <s v="Desktop"/>
    <n v="39"/>
    <n v="0"/>
    <n v="0"/>
    <n v="0"/>
    <n v="0"/>
    <x v="0"/>
  </r>
  <r>
    <x v="1718"/>
    <s v="Female"/>
    <n v="52"/>
    <s v="PK"/>
    <s v="Free"/>
    <n v="188"/>
    <n v="86"/>
    <n v="0.54"/>
    <s v="Desktop"/>
    <n v="29"/>
    <n v="0"/>
    <n v="0"/>
    <n v="0"/>
    <n v="0"/>
    <x v="4"/>
  </r>
  <r>
    <x v="1719"/>
    <s v="Other"/>
    <n v="16"/>
    <s v="IN"/>
    <s v="Free"/>
    <n v="72"/>
    <n v="95"/>
    <n v="0.17"/>
    <s v="Web"/>
    <n v="43"/>
    <n v="0"/>
    <n v="0"/>
    <n v="0"/>
    <n v="0"/>
    <x v="3"/>
  </r>
  <r>
    <x v="1720"/>
    <s v="Male"/>
    <n v="53"/>
    <s v="US"/>
    <s v="Free"/>
    <n v="167"/>
    <n v="80"/>
    <n v="0.13"/>
    <s v="Mobile"/>
    <n v="40"/>
    <n v="0"/>
    <n v="0"/>
    <n v="0"/>
    <n v="0"/>
    <x v="3"/>
  </r>
  <r>
    <x v="1721"/>
    <s v="Other"/>
    <n v="34"/>
    <s v="AU"/>
    <s v="Free"/>
    <n v="167"/>
    <n v="31"/>
    <n v="0.32"/>
    <s v="Mobile"/>
    <n v="41"/>
    <n v="0"/>
    <n v="0"/>
    <n v="0"/>
    <n v="0"/>
    <x v="3"/>
  </r>
  <r>
    <x v="1722"/>
    <s v="Male"/>
    <n v="25"/>
    <s v="CA"/>
    <s v="Free"/>
    <n v="163"/>
    <n v="92"/>
    <n v="0.21"/>
    <s v="Desktop"/>
    <n v="8"/>
    <n v="0"/>
    <n v="0"/>
    <n v="0"/>
    <n v="0"/>
    <x v="2"/>
  </r>
  <r>
    <x v="1723"/>
    <s v="Female"/>
    <n v="18"/>
    <s v="US"/>
    <s v="Free"/>
    <n v="240"/>
    <n v="74"/>
    <n v="0.18"/>
    <s v="Desktop"/>
    <n v="46"/>
    <n v="0"/>
    <n v="0"/>
    <n v="0"/>
    <n v="0"/>
    <x v="3"/>
  </r>
  <r>
    <x v="1724"/>
    <s v="Male"/>
    <n v="31"/>
    <s v="FR"/>
    <s v="Free"/>
    <n v="166"/>
    <n v="72"/>
    <n v="0.45"/>
    <s v="Mobile"/>
    <n v="20"/>
    <n v="0"/>
    <n v="0"/>
    <n v="0"/>
    <n v="0"/>
    <x v="4"/>
  </r>
  <r>
    <x v="1725"/>
    <s v="Other"/>
    <n v="30"/>
    <s v="IN"/>
    <s v="Free"/>
    <n v="183"/>
    <n v="61"/>
    <n v="0.32"/>
    <s v="Desktop"/>
    <n v="36"/>
    <n v="0"/>
    <n v="0"/>
    <n v="0"/>
    <n v="0"/>
    <x v="0"/>
  </r>
  <r>
    <x v="1726"/>
    <s v="Other"/>
    <n v="35"/>
    <s v="AU"/>
    <s v="Free"/>
    <n v="55"/>
    <n v="51"/>
    <n v="0.16"/>
    <s v="Mobile"/>
    <n v="12"/>
    <n v="0"/>
    <n v="0"/>
    <n v="0"/>
    <n v="0"/>
    <x v="1"/>
  </r>
  <r>
    <x v="1727"/>
    <s v="Male"/>
    <n v="26"/>
    <s v="FR"/>
    <s v="Free"/>
    <n v="35"/>
    <n v="18"/>
    <n v="0.23"/>
    <s v="Web"/>
    <n v="41"/>
    <n v="0"/>
    <n v="0"/>
    <n v="0"/>
    <n v="0"/>
    <x v="3"/>
  </r>
  <r>
    <x v="1728"/>
    <s v="Other"/>
    <n v="56"/>
    <s v="FR"/>
    <s v="Free"/>
    <n v="298"/>
    <n v="74"/>
    <n v="0.41"/>
    <s v="Web"/>
    <n v="12"/>
    <n v="0"/>
    <n v="0"/>
    <n v="0"/>
    <n v="0"/>
    <x v="1"/>
  </r>
  <r>
    <x v="1729"/>
    <s v="Male"/>
    <n v="31"/>
    <s v="CA"/>
    <s v="Free"/>
    <n v="139"/>
    <n v="65"/>
    <n v="0.56000000000000005"/>
    <s v="Mobile"/>
    <n v="9"/>
    <n v="0"/>
    <n v="0"/>
    <n v="0"/>
    <n v="0"/>
    <x v="2"/>
  </r>
  <r>
    <x v="1730"/>
    <s v="Other"/>
    <n v="31"/>
    <s v="US"/>
    <s v="Free"/>
    <n v="19"/>
    <n v="27"/>
    <n v="0.53"/>
    <s v="Mobile"/>
    <n v="16"/>
    <n v="0"/>
    <n v="0"/>
    <n v="0"/>
    <n v="0"/>
    <x v="1"/>
  </r>
  <r>
    <x v="1731"/>
    <s v="Male"/>
    <n v="17"/>
    <s v="AU"/>
    <s v="Free"/>
    <n v="89"/>
    <n v="15"/>
    <n v="0.19"/>
    <s v="Mobile"/>
    <n v="40"/>
    <n v="0"/>
    <n v="1"/>
    <n v="0"/>
    <n v="0"/>
    <x v="3"/>
  </r>
  <r>
    <x v="1732"/>
    <s v="Male"/>
    <n v="44"/>
    <s v="AU"/>
    <s v="Free"/>
    <n v="24"/>
    <n v="95"/>
    <n v="0.15"/>
    <s v="Mobile"/>
    <n v="7"/>
    <n v="0"/>
    <n v="0"/>
    <n v="0"/>
    <n v="0"/>
    <x v="2"/>
  </r>
  <r>
    <x v="1733"/>
    <s v="Other"/>
    <n v="19"/>
    <s v="UK"/>
    <s v="Free"/>
    <n v="102"/>
    <n v="34"/>
    <n v="0.36"/>
    <s v="Desktop"/>
    <n v="43"/>
    <n v="0"/>
    <n v="0"/>
    <n v="0"/>
    <n v="0"/>
    <x v="3"/>
  </r>
  <r>
    <x v="1734"/>
    <s v="Female"/>
    <n v="34"/>
    <s v="US"/>
    <s v="Free"/>
    <n v="171"/>
    <n v="94"/>
    <n v="0.03"/>
    <s v="Web"/>
    <n v="24"/>
    <n v="0"/>
    <n v="0"/>
    <n v="0"/>
    <n v="0"/>
    <x v="4"/>
  </r>
  <r>
    <x v="1735"/>
    <s v="Female"/>
    <n v="24"/>
    <s v="FR"/>
    <s v="Free"/>
    <n v="161"/>
    <n v="62"/>
    <n v="0.2"/>
    <s v="Desktop"/>
    <n v="26"/>
    <n v="0"/>
    <n v="0"/>
    <n v="0"/>
    <n v="0"/>
    <x v="4"/>
  </r>
  <r>
    <x v="1736"/>
    <s v="Male"/>
    <n v="47"/>
    <s v="PK"/>
    <s v="Free"/>
    <n v="32"/>
    <n v="52"/>
    <n v="0.33"/>
    <s v="Desktop"/>
    <n v="48"/>
    <n v="0"/>
    <n v="0"/>
    <n v="0"/>
    <n v="0"/>
    <x v="3"/>
  </r>
  <r>
    <x v="1737"/>
    <s v="Female"/>
    <n v="24"/>
    <s v="IN"/>
    <s v="Free"/>
    <n v="170"/>
    <n v="23"/>
    <n v="0.37"/>
    <s v="Desktop"/>
    <n v="23"/>
    <n v="0"/>
    <n v="0"/>
    <n v="0"/>
    <n v="0"/>
    <x v="4"/>
  </r>
  <r>
    <x v="1738"/>
    <s v="Other"/>
    <n v="48"/>
    <s v="AU"/>
    <s v="Free"/>
    <n v="172"/>
    <n v="63"/>
    <n v="0.41"/>
    <s v="Mobile"/>
    <n v="33"/>
    <n v="0"/>
    <n v="0"/>
    <n v="0"/>
    <n v="0"/>
    <x v="0"/>
  </r>
  <r>
    <x v="1739"/>
    <s v="Male"/>
    <n v="47"/>
    <s v="FR"/>
    <s v="Free"/>
    <n v="192"/>
    <n v="11"/>
    <n v="0.42"/>
    <s v="Mobile"/>
    <n v="44"/>
    <n v="0"/>
    <n v="0"/>
    <n v="0"/>
    <n v="0"/>
    <x v="3"/>
  </r>
  <r>
    <x v="1740"/>
    <s v="Other"/>
    <n v="35"/>
    <s v="US"/>
    <s v="Free"/>
    <n v="234"/>
    <n v="79"/>
    <n v="0.44"/>
    <s v="Desktop"/>
    <n v="9"/>
    <n v="0"/>
    <n v="0"/>
    <n v="0"/>
    <n v="0"/>
    <x v="2"/>
  </r>
  <r>
    <x v="1741"/>
    <s v="Other"/>
    <n v="17"/>
    <s v="US"/>
    <s v="Free"/>
    <n v="222"/>
    <n v="92"/>
    <n v="0.56999999999999995"/>
    <s v="Web"/>
    <n v="16"/>
    <n v="0"/>
    <n v="1"/>
    <n v="0"/>
    <n v="0"/>
    <x v="1"/>
  </r>
  <r>
    <x v="1742"/>
    <s v="Female"/>
    <n v="41"/>
    <s v="FR"/>
    <s v="Free"/>
    <n v="40"/>
    <n v="44"/>
    <n v="0.39"/>
    <s v="Web"/>
    <n v="43"/>
    <n v="0"/>
    <n v="0"/>
    <n v="0"/>
    <n v="0"/>
    <x v="3"/>
  </r>
  <r>
    <x v="1743"/>
    <s v="Male"/>
    <n v="26"/>
    <s v="PK"/>
    <s v="Free"/>
    <n v="14"/>
    <n v="45"/>
    <n v="0.31"/>
    <s v="Desktop"/>
    <n v="29"/>
    <n v="0"/>
    <n v="1"/>
    <n v="0"/>
    <n v="0"/>
    <x v="4"/>
  </r>
  <r>
    <x v="1744"/>
    <s v="Male"/>
    <n v="53"/>
    <s v="PK"/>
    <s v="Free"/>
    <n v="213"/>
    <n v="87"/>
    <n v="0.6"/>
    <s v="Web"/>
    <n v="20"/>
    <n v="0"/>
    <n v="0"/>
    <n v="0"/>
    <n v="0"/>
    <x v="4"/>
  </r>
  <r>
    <x v="1745"/>
    <s v="Other"/>
    <n v="21"/>
    <s v="US"/>
    <s v="Free"/>
    <n v="141"/>
    <n v="4"/>
    <n v="0.27"/>
    <s v="Desktop"/>
    <n v="37"/>
    <n v="0"/>
    <n v="1"/>
    <n v="0"/>
    <n v="0"/>
    <x v="0"/>
  </r>
  <r>
    <x v="1746"/>
    <s v="Female"/>
    <n v="56"/>
    <s v="US"/>
    <s v="Free"/>
    <n v="227"/>
    <n v="83"/>
    <n v="0.44"/>
    <s v="Web"/>
    <n v="7"/>
    <n v="0"/>
    <n v="0"/>
    <n v="0"/>
    <n v="0"/>
    <x v="2"/>
  </r>
  <r>
    <x v="1747"/>
    <s v="Other"/>
    <n v="54"/>
    <s v="DE"/>
    <s v="Free"/>
    <n v="271"/>
    <n v="33"/>
    <n v="0.57999999999999996"/>
    <s v="Desktop"/>
    <n v="8"/>
    <n v="0"/>
    <n v="0"/>
    <n v="0"/>
    <n v="0"/>
    <x v="2"/>
  </r>
  <r>
    <x v="1748"/>
    <s v="Male"/>
    <n v="48"/>
    <s v="UK"/>
    <s v="Free"/>
    <n v="94"/>
    <n v="10"/>
    <n v="0.18"/>
    <s v="Mobile"/>
    <n v="9"/>
    <n v="0"/>
    <n v="0"/>
    <n v="0"/>
    <n v="0"/>
    <x v="2"/>
  </r>
  <r>
    <x v="1749"/>
    <s v="Female"/>
    <n v="48"/>
    <s v="CA"/>
    <s v="Free"/>
    <n v="120"/>
    <n v="78"/>
    <n v="0.54"/>
    <s v="Mobile"/>
    <n v="41"/>
    <n v="0"/>
    <n v="1"/>
    <n v="0"/>
    <n v="0"/>
    <x v="3"/>
  </r>
  <r>
    <x v="1750"/>
    <s v="Male"/>
    <n v="44"/>
    <s v="PK"/>
    <s v="Free"/>
    <n v="67"/>
    <n v="80"/>
    <n v="7.0000000000000007E-2"/>
    <s v="Desktop"/>
    <n v="35"/>
    <n v="0"/>
    <n v="0"/>
    <n v="0"/>
    <n v="0"/>
    <x v="0"/>
  </r>
  <r>
    <x v="1751"/>
    <s v="Female"/>
    <n v="18"/>
    <s v="FR"/>
    <s v="Free"/>
    <n v="39"/>
    <n v="38"/>
    <n v="0.25"/>
    <s v="Desktop"/>
    <n v="41"/>
    <n v="0"/>
    <n v="1"/>
    <n v="0"/>
    <n v="0"/>
    <x v="3"/>
  </r>
  <r>
    <x v="1752"/>
    <s v="Female"/>
    <n v="51"/>
    <s v="US"/>
    <s v="Free"/>
    <n v="214"/>
    <n v="26"/>
    <n v="0.24"/>
    <s v="Web"/>
    <n v="47"/>
    <n v="0"/>
    <n v="0"/>
    <n v="0"/>
    <n v="0"/>
    <x v="3"/>
  </r>
  <r>
    <x v="1753"/>
    <s v="Other"/>
    <n v="34"/>
    <s v="CA"/>
    <s v="Free"/>
    <n v="138"/>
    <n v="36"/>
    <n v="0.32"/>
    <s v="Desktop"/>
    <n v="9"/>
    <n v="0"/>
    <n v="0"/>
    <n v="0"/>
    <n v="0"/>
    <x v="2"/>
  </r>
  <r>
    <x v="1754"/>
    <s v="Male"/>
    <n v="21"/>
    <s v="FR"/>
    <s v="Free"/>
    <n v="126"/>
    <n v="31"/>
    <n v="0.46"/>
    <s v="Desktop"/>
    <n v="15"/>
    <n v="0"/>
    <n v="1"/>
    <n v="0"/>
    <n v="0"/>
    <x v="1"/>
  </r>
  <r>
    <x v="1755"/>
    <s v="Male"/>
    <n v="52"/>
    <s v="IN"/>
    <s v="Free"/>
    <n v="191"/>
    <n v="39"/>
    <n v="0.19"/>
    <s v="Web"/>
    <n v="7"/>
    <n v="0"/>
    <n v="0"/>
    <n v="0"/>
    <n v="0"/>
    <x v="2"/>
  </r>
  <r>
    <x v="1756"/>
    <s v="Male"/>
    <n v="40"/>
    <s v="IN"/>
    <s v="Free"/>
    <n v="151"/>
    <n v="96"/>
    <n v="0.42"/>
    <s v="Web"/>
    <n v="18"/>
    <n v="0"/>
    <n v="0"/>
    <n v="0"/>
    <n v="0"/>
    <x v="1"/>
  </r>
  <r>
    <x v="1757"/>
    <s v="Female"/>
    <n v="52"/>
    <s v="US"/>
    <s v="Free"/>
    <n v="239"/>
    <n v="59"/>
    <n v="0.05"/>
    <s v="Web"/>
    <n v="8"/>
    <n v="0"/>
    <n v="0"/>
    <n v="0"/>
    <n v="0"/>
    <x v="2"/>
  </r>
  <r>
    <x v="1758"/>
    <s v="Male"/>
    <n v="58"/>
    <s v="FR"/>
    <s v="Free"/>
    <n v="44"/>
    <n v="30"/>
    <n v="0.59"/>
    <s v="Desktop"/>
    <n v="18"/>
    <n v="0"/>
    <n v="0"/>
    <n v="0"/>
    <n v="0"/>
    <x v="1"/>
  </r>
  <r>
    <x v="1759"/>
    <s v="Male"/>
    <n v="40"/>
    <s v="CA"/>
    <s v="Free"/>
    <n v="26"/>
    <n v="81"/>
    <n v="0.45"/>
    <s v="Desktop"/>
    <n v="7"/>
    <n v="0"/>
    <n v="1"/>
    <n v="0"/>
    <n v="0"/>
    <x v="2"/>
  </r>
  <r>
    <x v="1760"/>
    <s v="Female"/>
    <n v="25"/>
    <s v="IN"/>
    <s v="Free"/>
    <n v="139"/>
    <n v="49"/>
    <n v="0.5"/>
    <s v="Desktop"/>
    <n v="14"/>
    <n v="0"/>
    <n v="0"/>
    <n v="0"/>
    <n v="0"/>
    <x v="1"/>
  </r>
  <r>
    <x v="1761"/>
    <s v="Female"/>
    <n v="56"/>
    <s v="FR"/>
    <s v="Free"/>
    <n v="149"/>
    <n v="6"/>
    <n v="0.48"/>
    <s v="Web"/>
    <n v="39"/>
    <n v="0"/>
    <n v="0"/>
    <n v="0"/>
    <n v="0"/>
    <x v="0"/>
  </r>
  <r>
    <x v="1762"/>
    <s v="Male"/>
    <n v="20"/>
    <s v="DE"/>
    <s v="Free"/>
    <n v="142"/>
    <n v="95"/>
    <n v="0.6"/>
    <s v="Web"/>
    <n v="29"/>
    <n v="0"/>
    <n v="1"/>
    <n v="0"/>
    <n v="0"/>
    <x v="4"/>
  </r>
  <r>
    <x v="1763"/>
    <s v="Female"/>
    <n v="41"/>
    <s v="IN"/>
    <s v="Free"/>
    <n v="119"/>
    <n v="91"/>
    <n v="0.14000000000000001"/>
    <s v="Mobile"/>
    <n v="41"/>
    <n v="0"/>
    <n v="1"/>
    <n v="0"/>
    <n v="0"/>
    <x v="3"/>
  </r>
  <r>
    <x v="1764"/>
    <s v="Male"/>
    <n v="34"/>
    <s v="CA"/>
    <s v="Free"/>
    <n v="140"/>
    <n v="43"/>
    <n v="0.35"/>
    <s v="Web"/>
    <n v="18"/>
    <n v="0"/>
    <n v="1"/>
    <n v="0"/>
    <n v="0"/>
    <x v="1"/>
  </r>
  <r>
    <x v="1765"/>
    <s v="Other"/>
    <n v="57"/>
    <s v="CA"/>
    <s v="Free"/>
    <n v="118"/>
    <n v="65"/>
    <n v="0.52"/>
    <s v="Desktop"/>
    <n v="22"/>
    <n v="0"/>
    <n v="0"/>
    <n v="0"/>
    <n v="0"/>
    <x v="4"/>
  </r>
  <r>
    <x v="1766"/>
    <s v="Female"/>
    <n v="30"/>
    <s v="UK"/>
    <s v="Free"/>
    <n v="28"/>
    <n v="86"/>
    <n v="0.26"/>
    <s v="Desktop"/>
    <n v="42"/>
    <n v="0"/>
    <n v="1"/>
    <n v="0"/>
    <n v="0"/>
    <x v="3"/>
  </r>
  <r>
    <x v="1767"/>
    <s v="Other"/>
    <n v="19"/>
    <s v="US"/>
    <s v="Free"/>
    <n v="270"/>
    <n v="35"/>
    <n v="0.2"/>
    <s v="Mobile"/>
    <n v="22"/>
    <n v="0"/>
    <n v="0"/>
    <n v="0"/>
    <n v="0"/>
    <x v="4"/>
  </r>
  <r>
    <x v="1768"/>
    <s v="Female"/>
    <n v="57"/>
    <s v="UK"/>
    <s v="Free"/>
    <n v="234"/>
    <n v="32"/>
    <n v="0.14000000000000001"/>
    <s v="Web"/>
    <n v="44"/>
    <n v="0"/>
    <n v="0"/>
    <n v="0"/>
    <n v="0"/>
    <x v="3"/>
  </r>
  <r>
    <x v="1769"/>
    <s v="Other"/>
    <n v="39"/>
    <s v="PK"/>
    <s v="Free"/>
    <n v="36"/>
    <n v="9"/>
    <n v="0.57999999999999996"/>
    <s v="Desktop"/>
    <n v="25"/>
    <n v="0"/>
    <n v="0"/>
    <n v="0"/>
    <n v="0"/>
    <x v="4"/>
  </r>
  <r>
    <x v="1770"/>
    <s v="Male"/>
    <n v="59"/>
    <s v="CA"/>
    <s v="Free"/>
    <n v="254"/>
    <n v="60"/>
    <n v="0.25"/>
    <s v="Mobile"/>
    <n v="41"/>
    <n v="0"/>
    <n v="0"/>
    <n v="0"/>
    <n v="0"/>
    <x v="3"/>
  </r>
  <r>
    <x v="1771"/>
    <s v="Other"/>
    <n v="25"/>
    <s v="DE"/>
    <s v="Free"/>
    <n v="292"/>
    <n v="87"/>
    <n v="0.04"/>
    <s v="Web"/>
    <n v="44"/>
    <n v="0"/>
    <n v="0"/>
    <n v="0"/>
    <n v="0"/>
    <x v="3"/>
  </r>
  <r>
    <x v="1772"/>
    <s v="Female"/>
    <n v="36"/>
    <s v="IN"/>
    <s v="Free"/>
    <n v="278"/>
    <n v="67"/>
    <n v="0.46"/>
    <s v="Desktop"/>
    <n v="22"/>
    <n v="0"/>
    <n v="0"/>
    <n v="0"/>
    <n v="0"/>
    <x v="4"/>
  </r>
  <r>
    <x v="1773"/>
    <s v="Other"/>
    <n v="25"/>
    <s v="US"/>
    <s v="Free"/>
    <n v="79"/>
    <n v="16"/>
    <n v="0.55000000000000004"/>
    <s v="Desktop"/>
    <n v="32"/>
    <n v="0"/>
    <n v="0"/>
    <n v="0"/>
    <n v="0"/>
    <x v="0"/>
  </r>
  <r>
    <x v="1774"/>
    <s v="Male"/>
    <n v="35"/>
    <s v="FR"/>
    <s v="Free"/>
    <n v="61"/>
    <n v="86"/>
    <n v="0.52"/>
    <s v="Web"/>
    <n v="19"/>
    <n v="0"/>
    <n v="0"/>
    <n v="0"/>
    <n v="0"/>
    <x v="1"/>
  </r>
  <r>
    <x v="1775"/>
    <s v="Female"/>
    <n v="28"/>
    <s v="AU"/>
    <s v="Free"/>
    <n v="269"/>
    <n v="4"/>
    <n v="0.39"/>
    <s v="Web"/>
    <n v="29"/>
    <n v="0"/>
    <n v="0"/>
    <n v="0"/>
    <n v="0"/>
    <x v="4"/>
  </r>
  <r>
    <x v="1776"/>
    <s v="Other"/>
    <n v="36"/>
    <s v="PK"/>
    <s v="Free"/>
    <n v="298"/>
    <n v="51"/>
    <n v="0.56999999999999995"/>
    <s v="Web"/>
    <n v="39"/>
    <n v="0"/>
    <n v="1"/>
    <n v="0"/>
    <n v="0"/>
    <x v="0"/>
  </r>
  <r>
    <x v="1777"/>
    <s v="Male"/>
    <n v="37"/>
    <s v="PK"/>
    <s v="Free"/>
    <n v="255"/>
    <n v="39"/>
    <n v="0.23"/>
    <s v="Mobile"/>
    <n v="49"/>
    <n v="0"/>
    <n v="0"/>
    <n v="0"/>
    <n v="0"/>
    <x v="3"/>
  </r>
  <r>
    <x v="1778"/>
    <s v="Male"/>
    <n v="50"/>
    <s v="CA"/>
    <s v="Free"/>
    <n v="80"/>
    <n v="76"/>
    <n v="0.39"/>
    <s v="Mobile"/>
    <n v="47"/>
    <n v="0"/>
    <n v="1"/>
    <n v="0"/>
    <n v="0"/>
    <x v="3"/>
  </r>
  <r>
    <x v="1779"/>
    <s v="Other"/>
    <n v="51"/>
    <s v="AU"/>
    <s v="Free"/>
    <n v="220"/>
    <n v="70"/>
    <n v="0.34"/>
    <s v="Web"/>
    <n v="44"/>
    <n v="0"/>
    <n v="0"/>
    <n v="0"/>
    <n v="0"/>
    <x v="3"/>
  </r>
  <r>
    <x v="1780"/>
    <s v="Male"/>
    <n v="37"/>
    <s v="UK"/>
    <s v="Free"/>
    <n v="100"/>
    <n v="89"/>
    <n v="0.11"/>
    <s v="Web"/>
    <n v="13"/>
    <n v="0"/>
    <n v="0"/>
    <n v="0"/>
    <n v="0"/>
    <x v="1"/>
  </r>
  <r>
    <x v="1781"/>
    <s v="Other"/>
    <n v="31"/>
    <s v="IN"/>
    <s v="Free"/>
    <n v="148"/>
    <n v="93"/>
    <n v="0.55000000000000004"/>
    <s v="Desktop"/>
    <n v="8"/>
    <n v="0"/>
    <n v="0"/>
    <n v="0"/>
    <n v="0"/>
    <x v="2"/>
  </r>
  <r>
    <x v="1782"/>
    <s v="Female"/>
    <n v="22"/>
    <s v="PK"/>
    <s v="Free"/>
    <n v="110"/>
    <n v="61"/>
    <n v="0.51"/>
    <s v="Mobile"/>
    <n v="38"/>
    <n v="0"/>
    <n v="1"/>
    <n v="0"/>
    <n v="0"/>
    <x v="0"/>
  </r>
  <r>
    <x v="1783"/>
    <s v="Female"/>
    <n v="31"/>
    <s v="IN"/>
    <s v="Free"/>
    <n v="252"/>
    <n v="13"/>
    <n v="0.01"/>
    <s v="Web"/>
    <n v="17"/>
    <n v="0"/>
    <n v="0"/>
    <n v="0"/>
    <n v="0"/>
    <x v="1"/>
  </r>
  <r>
    <x v="1784"/>
    <s v="Female"/>
    <n v="26"/>
    <s v="DE"/>
    <s v="Free"/>
    <n v="169"/>
    <n v="6"/>
    <n v="0.32"/>
    <s v="Web"/>
    <n v="26"/>
    <n v="0"/>
    <n v="0"/>
    <n v="0"/>
    <n v="0"/>
    <x v="4"/>
  </r>
  <r>
    <x v="1785"/>
    <s v="Other"/>
    <n v="22"/>
    <s v="FR"/>
    <s v="Free"/>
    <n v="154"/>
    <n v="21"/>
    <n v="0.1"/>
    <s v="Mobile"/>
    <n v="41"/>
    <n v="0"/>
    <n v="1"/>
    <n v="0"/>
    <n v="0"/>
    <x v="3"/>
  </r>
  <r>
    <x v="1786"/>
    <s v="Other"/>
    <n v="47"/>
    <s v="DE"/>
    <s v="Free"/>
    <n v="72"/>
    <n v="69"/>
    <n v="0.49"/>
    <s v="Mobile"/>
    <n v="27"/>
    <n v="0"/>
    <n v="0"/>
    <n v="0"/>
    <n v="0"/>
    <x v="4"/>
  </r>
  <r>
    <x v="1787"/>
    <s v="Female"/>
    <n v="45"/>
    <s v="UK"/>
    <s v="Free"/>
    <n v="127"/>
    <n v="90"/>
    <n v="0.19"/>
    <s v="Web"/>
    <n v="42"/>
    <n v="0"/>
    <n v="0"/>
    <n v="0"/>
    <n v="0"/>
    <x v="3"/>
  </r>
  <r>
    <x v="1788"/>
    <s v="Female"/>
    <n v="50"/>
    <s v="CA"/>
    <s v="Free"/>
    <n v="248"/>
    <n v="13"/>
    <n v="0.23"/>
    <s v="Mobile"/>
    <n v="44"/>
    <n v="0"/>
    <n v="0"/>
    <n v="0"/>
    <n v="0"/>
    <x v="3"/>
  </r>
  <r>
    <x v="1789"/>
    <s v="Female"/>
    <n v="29"/>
    <s v="DE"/>
    <s v="Free"/>
    <n v="234"/>
    <n v="3"/>
    <n v="0.53"/>
    <s v="Mobile"/>
    <n v="31"/>
    <n v="0"/>
    <n v="0"/>
    <n v="0"/>
    <n v="0"/>
    <x v="0"/>
  </r>
  <r>
    <x v="1790"/>
    <s v="Male"/>
    <n v="37"/>
    <s v="CA"/>
    <s v="Free"/>
    <n v="287"/>
    <n v="82"/>
    <n v="0.32"/>
    <s v="Web"/>
    <n v="35"/>
    <n v="0"/>
    <n v="0"/>
    <n v="0"/>
    <n v="0"/>
    <x v="0"/>
  </r>
  <r>
    <x v="1791"/>
    <s v="Male"/>
    <n v="36"/>
    <s v="UK"/>
    <s v="Free"/>
    <n v="44"/>
    <n v="12"/>
    <n v="0.36"/>
    <s v="Web"/>
    <n v="35"/>
    <n v="0"/>
    <n v="0"/>
    <n v="0"/>
    <n v="0"/>
    <x v="0"/>
  </r>
  <r>
    <x v="1792"/>
    <s v="Female"/>
    <n v="51"/>
    <s v="PK"/>
    <s v="Free"/>
    <n v="273"/>
    <n v="69"/>
    <n v="0.24"/>
    <s v="Desktop"/>
    <n v="16"/>
    <n v="0"/>
    <n v="0"/>
    <n v="0"/>
    <n v="0"/>
    <x v="1"/>
  </r>
  <r>
    <x v="1793"/>
    <s v="Male"/>
    <n v="25"/>
    <s v="AU"/>
    <s v="Free"/>
    <n v="69"/>
    <n v="95"/>
    <n v="0.26"/>
    <s v="Web"/>
    <n v="41"/>
    <n v="0"/>
    <n v="1"/>
    <n v="0"/>
    <n v="0"/>
    <x v="3"/>
  </r>
  <r>
    <x v="1794"/>
    <s v="Other"/>
    <n v="47"/>
    <s v="US"/>
    <s v="Free"/>
    <n v="100"/>
    <n v="20"/>
    <n v="0.46"/>
    <s v="Web"/>
    <n v="6"/>
    <n v="0"/>
    <n v="1"/>
    <n v="0"/>
    <n v="0"/>
    <x v="2"/>
  </r>
  <r>
    <x v="1795"/>
    <s v="Other"/>
    <n v="43"/>
    <s v="DE"/>
    <s v="Free"/>
    <n v="62"/>
    <n v="81"/>
    <n v="0.22"/>
    <s v="Desktop"/>
    <n v="18"/>
    <n v="0"/>
    <n v="0"/>
    <n v="0"/>
    <n v="0"/>
    <x v="1"/>
  </r>
  <r>
    <x v="1796"/>
    <s v="Male"/>
    <n v="22"/>
    <s v="AU"/>
    <s v="Free"/>
    <n v="202"/>
    <n v="34"/>
    <n v="0.19"/>
    <s v="Web"/>
    <n v="37"/>
    <n v="0"/>
    <n v="0"/>
    <n v="0"/>
    <n v="0"/>
    <x v="0"/>
  </r>
  <r>
    <x v="1797"/>
    <s v="Female"/>
    <n v="45"/>
    <s v="CA"/>
    <s v="Free"/>
    <n v="186"/>
    <n v="7"/>
    <n v="0.41"/>
    <s v="Desktop"/>
    <n v="27"/>
    <n v="0"/>
    <n v="0"/>
    <n v="0"/>
    <n v="0"/>
    <x v="4"/>
  </r>
  <r>
    <x v="1798"/>
    <s v="Male"/>
    <n v="21"/>
    <s v="FR"/>
    <s v="Free"/>
    <n v="193"/>
    <n v="99"/>
    <n v="0.54"/>
    <s v="Web"/>
    <n v="48"/>
    <n v="0"/>
    <n v="0"/>
    <n v="0"/>
    <n v="0"/>
    <x v="3"/>
  </r>
  <r>
    <x v="1799"/>
    <s v="Female"/>
    <n v="33"/>
    <s v="UK"/>
    <s v="Free"/>
    <n v="232"/>
    <n v="98"/>
    <n v="0.13"/>
    <s v="Desktop"/>
    <n v="30"/>
    <n v="0"/>
    <n v="1"/>
    <n v="0"/>
    <n v="0"/>
    <x v="0"/>
  </r>
  <r>
    <x v="1800"/>
    <s v="Male"/>
    <n v="42"/>
    <s v="UK"/>
    <s v="Free"/>
    <n v="19"/>
    <n v="8"/>
    <n v="0.08"/>
    <s v="Web"/>
    <n v="22"/>
    <n v="0"/>
    <n v="0"/>
    <n v="0"/>
    <n v="0"/>
    <x v="4"/>
  </r>
  <r>
    <x v="1801"/>
    <s v="Female"/>
    <n v="23"/>
    <s v="PK"/>
    <s v="Free"/>
    <n v="224"/>
    <n v="71"/>
    <n v="0.16"/>
    <s v="Web"/>
    <n v="33"/>
    <n v="0"/>
    <n v="1"/>
    <n v="0"/>
    <n v="0"/>
    <x v="0"/>
  </r>
  <r>
    <x v="1802"/>
    <s v="Other"/>
    <n v="31"/>
    <s v="IN"/>
    <s v="Free"/>
    <n v="73"/>
    <n v="85"/>
    <n v="0.22"/>
    <s v="Desktop"/>
    <n v="27"/>
    <n v="0"/>
    <n v="1"/>
    <n v="0"/>
    <n v="0"/>
    <x v="4"/>
  </r>
  <r>
    <x v="1803"/>
    <s v="Male"/>
    <n v="27"/>
    <s v="DE"/>
    <s v="Free"/>
    <n v="217"/>
    <n v="83"/>
    <n v="0.5"/>
    <s v="Desktop"/>
    <n v="49"/>
    <n v="0"/>
    <n v="0"/>
    <n v="0"/>
    <n v="0"/>
    <x v="3"/>
  </r>
  <r>
    <x v="1804"/>
    <s v="Female"/>
    <n v="52"/>
    <s v="US"/>
    <s v="Free"/>
    <n v="114"/>
    <n v="92"/>
    <n v="0.03"/>
    <s v="Web"/>
    <n v="19"/>
    <n v="0"/>
    <n v="0"/>
    <n v="0"/>
    <n v="0"/>
    <x v="1"/>
  </r>
  <r>
    <x v="1805"/>
    <s v="Other"/>
    <n v="18"/>
    <s v="PK"/>
    <s v="Free"/>
    <n v="238"/>
    <n v="88"/>
    <n v="0.22"/>
    <s v="Mobile"/>
    <n v="42"/>
    <n v="0"/>
    <n v="0"/>
    <n v="0"/>
    <n v="0"/>
    <x v="3"/>
  </r>
  <r>
    <x v="1806"/>
    <s v="Male"/>
    <n v="29"/>
    <s v="PK"/>
    <s v="Free"/>
    <n v="90"/>
    <n v="75"/>
    <n v="0.52"/>
    <s v="Web"/>
    <n v="16"/>
    <n v="0"/>
    <n v="0"/>
    <n v="0"/>
    <n v="0"/>
    <x v="1"/>
  </r>
  <r>
    <x v="1807"/>
    <s v="Other"/>
    <n v="37"/>
    <s v="UK"/>
    <s v="Free"/>
    <n v="275"/>
    <n v="95"/>
    <n v="0.31"/>
    <s v="Web"/>
    <n v="47"/>
    <n v="0"/>
    <n v="0"/>
    <n v="0"/>
    <n v="0"/>
    <x v="3"/>
  </r>
  <r>
    <x v="1808"/>
    <s v="Male"/>
    <n v="23"/>
    <s v="IN"/>
    <s v="Free"/>
    <n v="204"/>
    <n v="36"/>
    <n v="7.0000000000000007E-2"/>
    <s v="Web"/>
    <n v="35"/>
    <n v="0"/>
    <n v="0"/>
    <n v="0"/>
    <n v="0"/>
    <x v="0"/>
  </r>
  <r>
    <x v="1809"/>
    <s v="Other"/>
    <n v="24"/>
    <s v="DE"/>
    <s v="Free"/>
    <n v="42"/>
    <n v="28"/>
    <n v="0.6"/>
    <s v="Web"/>
    <n v="5"/>
    <n v="0"/>
    <n v="0"/>
    <n v="0"/>
    <n v="0"/>
    <x v="2"/>
  </r>
  <r>
    <x v="1810"/>
    <s v="Other"/>
    <n v="40"/>
    <s v="FR"/>
    <s v="Free"/>
    <n v="294"/>
    <n v="35"/>
    <n v="0.22"/>
    <s v="Web"/>
    <n v="17"/>
    <n v="0"/>
    <n v="0"/>
    <n v="0"/>
    <n v="0"/>
    <x v="1"/>
  </r>
  <r>
    <x v="1811"/>
    <s v="Male"/>
    <n v="54"/>
    <s v="AU"/>
    <s v="Free"/>
    <n v="184"/>
    <n v="45"/>
    <n v="0.38"/>
    <s v="Mobile"/>
    <n v="39"/>
    <n v="0"/>
    <n v="0"/>
    <n v="0"/>
    <n v="0"/>
    <x v="0"/>
  </r>
  <r>
    <x v="1812"/>
    <s v="Male"/>
    <n v="31"/>
    <s v="IN"/>
    <s v="Free"/>
    <n v="79"/>
    <n v="40"/>
    <n v="0.18"/>
    <s v="Web"/>
    <n v="23"/>
    <n v="0"/>
    <n v="1"/>
    <n v="0"/>
    <n v="0"/>
    <x v="4"/>
  </r>
  <r>
    <x v="1813"/>
    <s v="Other"/>
    <n v="40"/>
    <s v="PK"/>
    <s v="Free"/>
    <n v="20"/>
    <n v="40"/>
    <n v="0.1"/>
    <s v="Desktop"/>
    <n v="45"/>
    <n v="0"/>
    <n v="0"/>
    <n v="0"/>
    <n v="0"/>
    <x v="3"/>
  </r>
  <r>
    <x v="1814"/>
    <s v="Female"/>
    <n v="43"/>
    <s v="PK"/>
    <s v="Free"/>
    <n v="54"/>
    <n v="64"/>
    <n v="0.01"/>
    <s v="Mobile"/>
    <n v="37"/>
    <n v="0"/>
    <n v="0"/>
    <n v="0"/>
    <n v="0"/>
    <x v="0"/>
  </r>
  <r>
    <x v="1815"/>
    <s v="Female"/>
    <n v="46"/>
    <s v="AU"/>
    <s v="Free"/>
    <n v="222"/>
    <n v="48"/>
    <n v="0.57999999999999996"/>
    <s v="Mobile"/>
    <n v="42"/>
    <n v="0"/>
    <n v="0"/>
    <n v="0"/>
    <n v="0"/>
    <x v="3"/>
  </r>
  <r>
    <x v="1816"/>
    <s v="Male"/>
    <n v="40"/>
    <s v="IN"/>
    <s v="Free"/>
    <n v="284"/>
    <n v="99"/>
    <n v="0"/>
    <s v="Desktop"/>
    <n v="7"/>
    <n v="0"/>
    <n v="0"/>
    <n v="0"/>
    <n v="0"/>
    <x v="2"/>
  </r>
  <r>
    <x v="1817"/>
    <s v="Male"/>
    <n v="34"/>
    <s v="PK"/>
    <s v="Free"/>
    <n v="30"/>
    <n v="54"/>
    <n v="0.38"/>
    <s v="Mobile"/>
    <n v="41"/>
    <n v="0"/>
    <n v="0"/>
    <n v="0"/>
    <n v="0"/>
    <x v="3"/>
  </r>
  <r>
    <x v="1818"/>
    <s v="Other"/>
    <n v="16"/>
    <s v="PK"/>
    <s v="Free"/>
    <n v="212"/>
    <n v="3"/>
    <n v="0.23"/>
    <s v="Desktop"/>
    <n v="16"/>
    <n v="0"/>
    <n v="0"/>
    <n v="0"/>
    <n v="0"/>
    <x v="1"/>
  </r>
  <r>
    <x v="1819"/>
    <s v="Male"/>
    <n v="51"/>
    <s v="IN"/>
    <s v="Free"/>
    <n v="24"/>
    <n v="37"/>
    <n v="0.11"/>
    <s v="Web"/>
    <n v="12"/>
    <n v="0"/>
    <n v="0"/>
    <n v="0"/>
    <n v="0"/>
    <x v="1"/>
  </r>
  <r>
    <x v="1820"/>
    <s v="Male"/>
    <n v="56"/>
    <s v="UK"/>
    <s v="Free"/>
    <n v="28"/>
    <n v="15"/>
    <n v="0.17"/>
    <s v="Web"/>
    <n v="18"/>
    <n v="0"/>
    <n v="0"/>
    <n v="0"/>
    <n v="0"/>
    <x v="1"/>
  </r>
  <r>
    <x v="1821"/>
    <s v="Female"/>
    <n v="33"/>
    <s v="US"/>
    <s v="Free"/>
    <n v="277"/>
    <n v="49"/>
    <n v="0.39"/>
    <s v="Mobile"/>
    <n v="29"/>
    <n v="0"/>
    <n v="0"/>
    <n v="0"/>
    <n v="0"/>
    <x v="4"/>
  </r>
  <r>
    <x v="1822"/>
    <s v="Other"/>
    <n v="20"/>
    <s v="PK"/>
    <s v="Free"/>
    <n v="96"/>
    <n v="56"/>
    <n v="0.08"/>
    <s v="Mobile"/>
    <n v="45"/>
    <n v="0"/>
    <n v="1"/>
    <n v="0"/>
    <n v="0"/>
    <x v="3"/>
  </r>
  <r>
    <x v="1823"/>
    <s v="Other"/>
    <n v="23"/>
    <s v="UK"/>
    <s v="Free"/>
    <n v="105"/>
    <n v="84"/>
    <n v="0.36"/>
    <s v="Desktop"/>
    <n v="30"/>
    <n v="0"/>
    <n v="0"/>
    <n v="0"/>
    <n v="0"/>
    <x v="0"/>
  </r>
  <r>
    <x v="1824"/>
    <s v="Female"/>
    <n v="52"/>
    <s v="PK"/>
    <s v="Free"/>
    <n v="167"/>
    <n v="59"/>
    <n v="0.31"/>
    <s v="Web"/>
    <n v="12"/>
    <n v="0"/>
    <n v="1"/>
    <n v="0"/>
    <n v="0"/>
    <x v="1"/>
  </r>
  <r>
    <x v="1825"/>
    <s v="Male"/>
    <n v="37"/>
    <s v="US"/>
    <s v="Free"/>
    <n v="255"/>
    <n v="9"/>
    <n v="0.56000000000000005"/>
    <s v="Mobile"/>
    <n v="12"/>
    <n v="0"/>
    <n v="1"/>
    <n v="0"/>
    <n v="0"/>
    <x v="1"/>
  </r>
  <r>
    <x v="1826"/>
    <s v="Other"/>
    <n v="54"/>
    <s v="AU"/>
    <s v="Free"/>
    <n v="133"/>
    <n v="99"/>
    <n v="0.17"/>
    <s v="Desktop"/>
    <n v="24"/>
    <n v="0"/>
    <n v="0"/>
    <n v="0"/>
    <n v="0"/>
    <x v="4"/>
  </r>
  <r>
    <x v="1827"/>
    <s v="Male"/>
    <n v="16"/>
    <s v="FR"/>
    <s v="Free"/>
    <n v="111"/>
    <n v="78"/>
    <n v="0.24"/>
    <s v="Mobile"/>
    <n v="12"/>
    <n v="0"/>
    <n v="0"/>
    <n v="0"/>
    <n v="0"/>
    <x v="1"/>
  </r>
  <r>
    <x v="1828"/>
    <s v="Female"/>
    <n v="44"/>
    <s v="FR"/>
    <s v="Free"/>
    <n v="273"/>
    <n v="46"/>
    <n v="0.31"/>
    <s v="Web"/>
    <n v="38"/>
    <n v="0"/>
    <n v="0"/>
    <n v="0"/>
    <n v="0"/>
    <x v="0"/>
  </r>
  <r>
    <x v="1829"/>
    <s v="Other"/>
    <n v="37"/>
    <s v="AU"/>
    <s v="Free"/>
    <n v="254"/>
    <n v="10"/>
    <n v="0.37"/>
    <s v="Mobile"/>
    <n v="31"/>
    <n v="0"/>
    <n v="0"/>
    <n v="0"/>
    <n v="0"/>
    <x v="0"/>
  </r>
  <r>
    <x v="1830"/>
    <s v="Female"/>
    <n v="37"/>
    <s v="AU"/>
    <s v="Free"/>
    <n v="59"/>
    <n v="44"/>
    <n v="0.33"/>
    <s v="Mobile"/>
    <n v="33"/>
    <n v="0"/>
    <n v="1"/>
    <n v="0"/>
    <n v="0"/>
    <x v="0"/>
  </r>
  <r>
    <x v="1831"/>
    <s v="Other"/>
    <n v="45"/>
    <s v="CA"/>
    <s v="Free"/>
    <n v="106"/>
    <n v="62"/>
    <n v="0.52"/>
    <s v="Web"/>
    <n v="41"/>
    <n v="0"/>
    <n v="1"/>
    <n v="0"/>
    <n v="0"/>
    <x v="3"/>
  </r>
  <r>
    <x v="1832"/>
    <s v="Other"/>
    <n v="54"/>
    <s v="DE"/>
    <s v="Free"/>
    <n v="163"/>
    <n v="68"/>
    <n v="0.24"/>
    <s v="Desktop"/>
    <n v="47"/>
    <n v="0"/>
    <n v="1"/>
    <n v="0"/>
    <n v="0"/>
    <x v="3"/>
  </r>
  <r>
    <x v="1833"/>
    <s v="Male"/>
    <n v="50"/>
    <s v="DE"/>
    <s v="Free"/>
    <n v="95"/>
    <n v="6"/>
    <n v="0.34"/>
    <s v="Web"/>
    <n v="14"/>
    <n v="0"/>
    <n v="0"/>
    <n v="0"/>
    <n v="0"/>
    <x v="1"/>
  </r>
  <r>
    <x v="1834"/>
    <s v="Other"/>
    <n v="27"/>
    <s v="UK"/>
    <s v="Free"/>
    <n v="20"/>
    <n v="87"/>
    <n v="0.59"/>
    <s v="Web"/>
    <n v="25"/>
    <n v="0"/>
    <n v="0"/>
    <n v="0"/>
    <n v="0"/>
    <x v="4"/>
  </r>
  <r>
    <x v="1835"/>
    <s v="Male"/>
    <n v="55"/>
    <s v="US"/>
    <s v="Free"/>
    <n v="23"/>
    <n v="64"/>
    <n v="0.01"/>
    <s v="Web"/>
    <n v="26"/>
    <n v="0"/>
    <n v="0"/>
    <n v="0"/>
    <n v="0"/>
    <x v="4"/>
  </r>
  <r>
    <x v="1836"/>
    <s v="Male"/>
    <n v="46"/>
    <s v="IN"/>
    <s v="Free"/>
    <n v="21"/>
    <n v="24"/>
    <n v="0.17"/>
    <s v="Desktop"/>
    <n v="35"/>
    <n v="0"/>
    <n v="0"/>
    <n v="0"/>
    <n v="0"/>
    <x v="0"/>
  </r>
  <r>
    <x v="1837"/>
    <s v="Male"/>
    <n v="56"/>
    <s v="PK"/>
    <s v="Free"/>
    <n v="226"/>
    <n v="8"/>
    <n v="0.2"/>
    <s v="Desktop"/>
    <n v="15"/>
    <n v="0"/>
    <n v="0"/>
    <n v="0"/>
    <n v="0"/>
    <x v="1"/>
  </r>
  <r>
    <x v="1838"/>
    <s v="Other"/>
    <n v="54"/>
    <s v="UK"/>
    <s v="Free"/>
    <n v="90"/>
    <n v="19"/>
    <n v="0.19"/>
    <s v="Mobile"/>
    <n v="45"/>
    <n v="0"/>
    <n v="1"/>
    <n v="0"/>
    <n v="0"/>
    <x v="3"/>
  </r>
  <r>
    <x v="1839"/>
    <s v="Female"/>
    <n v="19"/>
    <s v="UK"/>
    <s v="Free"/>
    <n v="55"/>
    <n v="24"/>
    <n v="0.41"/>
    <s v="Web"/>
    <n v="39"/>
    <n v="0"/>
    <n v="0"/>
    <n v="0"/>
    <n v="0"/>
    <x v="0"/>
  </r>
  <r>
    <x v="1840"/>
    <s v="Male"/>
    <n v="47"/>
    <s v="CA"/>
    <s v="Free"/>
    <n v="136"/>
    <n v="37"/>
    <n v="0.31"/>
    <s v="Web"/>
    <n v="42"/>
    <n v="0"/>
    <n v="0"/>
    <n v="0"/>
    <n v="0"/>
    <x v="3"/>
  </r>
  <r>
    <x v="1841"/>
    <s v="Other"/>
    <n v="34"/>
    <s v="AU"/>
    <s v="Free"/>
    <n v="173"/>
    <n v="96"/>
    <n v="0.32"/>
    <s v="Desktop"/>
    <n v="28"/>
    <n v="0"/>
    <n v="0"/>
    <n v="0"/>
    <n v="0"/>
    <x v="4"/>
  </r>
  <r>
    <x v="1842"/>
    <s v="Female"/>
    <n v="53"/>
    <s v="UK"/>
    <s v="Free"/>
    <n v="182"/>
    <n v="70"/>
    <n v="0.26"/>
    <s v="Mobile"/>
    <n v="21"/>
    <n v="0"/>
    <n v="0"/>
    <n v="0"/>
    <n v="0"/>
    <x v="4"/>
  </r>
  <r>
    <x v="1843"/>
    <s v="Female"/>
    <n v="51"/>
    <s v="FR"/>
    <s v="Free"/>
    <n v="251"/>
    <n v="60"/>
    <n v="0.1"/>
    <s v="Mobile"/>
    <n v="8"/>
    <n v="0"/>
    <n v="0"/>
    <n v="0"/>
    <n v="0"/>
    <x v="2"/>
  </r>
  <r>
    <x v="1844"/>
    <s v="Female"/>
    <n v="22"/>
    <s v="PK"/>
    <s v="Free"/>
    <n v="63"/>
    <n v="26"/>
    <n v="0.17"/>
    <s v="Mobile"/>
    <n v="9"/>
    <n v="0"/>
    <n v="0"/>
    <n v="0"/>
    <n v="0"/>
    <x v="2"/>
  </r>
  <r>
    <x v="1845"/>
    <s v="Female"/>
    <n v="29"/>
    <s v="AU"/>
    <s v="Free"/>
    <n v="127"/>
    <n v="70"/>
    <n v="0.51"/>
    <s v="Mobile"/>
    <n v="12"/>
    <n v="0"/>
    <n v="0"/>
    <n v="0"/>
    <n v="0"/>
    <x v="1"/>
  </r>
  <r>
    <x v="1846"/>
    <s v="Other"/>
    <n v="51"/>
    <s v="DE"/>
    <s v="Free"/>
    <n v="13"/>
    <n v="42"/>
    <n v="0.23"/>
    <s v="Mobile"/>
    <n v="42"/>
    <n v="0"/>
    <n v="0"/>
    <n v="0"/>
    <n v="0"/>
    <x v="3"/>
  </r>
  <r>
    <x v="1847"/>
    <s v="Other"/>
    <n v="26"/>
    <s v="FR"/>
    <s v="Free"/>
    <n v="48"/>
    <n v="52"/>
    <n v="0.45"/>
    <s v="Mobile"/>
    <n v="14"/>
    <n v="0"/>
    <n v="0"/>
    <n v="0"/>
    <n v="0"/>
    <x v="1"/>
  </r>
  <r>
    <x v="1848"/>
    <s v="Female"/>
    <n v="43"/>
    <s v="DE"/>
    <s v="Free"/>
    <n v="212"/>
    <n v="73"/>
    <n v="0.56999999999999995"/>
    <s v="Web"/>
    <n v="19"/>
    <n v="0"/>
    <n v="1"/>
    <n v="0"/>
    <n v="0"/>
    <x v="1"/>
  </r>
  <r>
    <x v="1849"/>
    <s v="Female"/>
    <n v="35"/>
    <s v="DE"/>
    <s v="Free"/>
    <n v="259"/>
    <n v="15"/>
    <n v="0.28999999999999998"/>
    <s v="Web"/>
    <n v="9"/>
    <n v="0"/>
    <n v="0"/>
    <n v="0"/>
    <n v="0"/>
    <x v="2"/>
  </r>
  <r>
    <x v="1850"/>
    <s v="Male"/>
    <n v="51"/>
    <s v="PK"/>
    <s v="Free"/>
    <n v="272"/>
    <n v="53"/>
    <n v="0.26"/>
    <s v="Web"/>
    <n v="32"/>
    <n v="0"/>
    <n v="1"/>
    <n v="0"/>
    <n v="0"/>
    <x v="0"/>
  </r>
  <r>
    <x v="1851"/>
    <s v="Male"/>
    <n v="52"/>
    <s v="IN"/>
    <s v="Free"/>
    <n v="126"/>
    <n v="23"/>
    <n v="0.42"/>
    <s v="Desktop"/>
    <n v="43"/>
    <n v="0"/>
    <n v="0"/>
    <n v="0"/>
    <n v="0"/>
    <x v="3"/>
  </r>
  <r>
    <x v="1852"/>
    <s v="Male"/>
    <n v="29"/>
    <s v="PK"/>
    <s v="Free"/>
    <n v="184"/>
    <n v="38"/>
    <n v="0.55000000000000004"/>
    <s v="Web"/>
    <n v="10"/>
    <n v="0"/>
    <n v="0"/>
    <n v="0"/>
    <n v="0"/>
    <x v="1"/>
  </r>
  <r>
    <x v="1853"/>
    <s v="Female"/>
    <n v="39"/>
    <s v="IN"/>
    <s v="Free"/>
    <n v="225"/>
    <n v="30"/>
    <n v="0.24"/>
    <s v="Desktop"/>
    <n v="47"/>
    <n v="0"/>
    <n v="0"/>
    <n v="0"/>
    <n v="0"/>
    <x v="3"/>
  </r>
  <r>
    <x v="1854"/>
    <s v="Female"/>
    <n v="51"/>
    <s v="PK"/>
    <s v="Free"/>
    <n v="120"/>
    <n v="21"/>
    <n v="0.56999999999999995"/>
    <s v="Mobile"/>
    <n v="9"/>
    <n v="0"/>
    <n v="0"/>
    <n v="0"/>
    <n v="0"/>
    <x v="2"/>
  </r>
  <r>
    <x v="1855"/>
    <s v="Male"/>
    <n v="21"/>
    <s v="US"/>
    <s v="Free"/>
    <n v="135"/>
    <n v="80"/>
    <n v="0.03"/>
    <s v="Desktop"/>
    <n v="38"/>
    <n v="0"/>
    <n v="0"/>
    <n v="0"/>
    <n v="0"/>
    <x v="0"/>
  </r>
  <r>
    <x v="1856"/>
    <s v="Male"/>
    <n v="30"/>
    <s v="AU"/>
    <s v="Free"/>
    <n v="266"/>
    <n v="81"/>
    <n v="0.45"/>
    <s v="Desktop"/>
    <n v="34"/>
    <n v="0"/>
    <n v="0"/>
    <n v="0"/>
    <n v="0"/>
    <x v="0"/>
  </r>
  <r>
    <x v="1857"/>
    <s v="Male"/>
    <n v="19"/>
    <s v="UK"/>
    <s v="Free"/>
    <n v="244"/>
    <n v="84"/>
    <n v="0.24"/>
    <s v="Web"/>
    <n v="9"/>
    <n v="0"/>
    <n v="0"/>
    <n v="0"/>
    <n v="0"/>
    <x v="2"/>
  </r>
  <r>
    <x v="1858"/>
    <s v="Female"/>
    <n v="30"/>
    <s v="IN"/>
    <s v="Free"/>
    <n v="211"/>
    <n v="89"/>
    <n v="0.23"/>
    <s v="Mobile"/>
    <n v="12"/>
    <n v="0"/>
    <n v="1"/>
    <n v="0"/>
    <n v="0"/>
    <x v="1"/>
  </r>
  <r>
    <x v="1859"/>
    <s v="Male"/>
    <n v="16"/>
    <s v="FR"/>
    <s v="Free"/>
    <n v="71"/>
    <n v="91"/>
    <n v="0.05"/>
    <s v="Desktop"/>
    <n v="35"/>
    <n v="0"/>
    <n v="0"/>
    <n v="0"/>
    <n v="0"/>
    <x v="0"/>
  </r>
  <r>
    <x v="1860"/>
    <s v="Other"/>
    <n v="55"/>
    <s v="IN"/>
    <s v="Free"/>
    <n v="106"/>
    <n v="91"/>
    <n v="0.49"/>
    <s v="Mobile"/>
    <n v="12"/>
    <n v="0"/>
    <n v="0"/>
    <n v="0"/>
    <n v="0"/>
    <x v="1"/>
  </r>
  <r>
    <x v="1861"/>
    <s v="Male"/>
    <n v="48"/>
    <s v="FR"/>
    <s v="Free"/>
    <n v="259"/>
    <n v="21"/>
    <n v="0.19"/>
    <s v="Mobile"/>
    <n v="43"/>
    <n v="0"/>
    <n v="0"/>
    <n v="0"/>
    <n v="0"/>
    <x v="3"/>
  </r>
  <r>
    <x v="1862"/>
    <s v="Female"/>
    <n v="52"/>
    <s v="AU"/>
    <s v="Free"/>
    <n v="274"/>
    <n v="94"/>
    <n v="0.26"/>
    <s v="Desktop"/>
    <n v="36"/>
    <n v="0"/>
    <n v="0"/>
    <n v="0"/>
    <n v="0"/>
    <x v="0"/>
  </r>
  <r>
    <x v="1863"/>
    <s v="Female"/>
    <n v="53"/>
    <s v="UK"/>
    <s v="Free"/>
    <n v="244"/>
    <n v="51"/>
    <n v="7.0000000000000007E-2"/>
    <s v="Web"/>
    <n v="18"/>
    <n v="0"/>
    <n v="0"/>
    <n v="0"/>
    <n v="0"/>
    <x v="1"/>
  </r>
  <r>
    <x v="1864"/>
    <s v="Other"/>
    <n v="55"/>
    <s v="IN"/>
    <s v="Free"/>
    <n v="156"/>
    <n v="2"/>
    <n v="0.33"/>
    <s v="Mobile"/>
    <n v="41"/>
    <n v="0"/>
    <n v="0"/>
    <n v="0"/>
    <n v="0"/>
    <x v="3"/>
  </r>
  <r>
    <x v="1865"/>
    <s v="Female"/>
    <n v="20"/>
    <s v="CA"/>
    <s v="Free"/>
    <n v="142"/>
    <n v="96"/>
    <n v="0.02"/>
    <s v="Web"/>
    <n v="41"/>
    <n v="0"/>
    <n v="0"/>
    <n v="0"/>
    <n v="0"/>
    <x v="3"/>
  </r>
  <r>
    <x v="1866"/>
    <s v="Male"/>
    <n v="32"/>
    <s v="CA"/>
    <s v="Free"/>
    <n v="32"/>
    <n v="65"/>
    <n v="0.28000000000000003"/>
    <s v="Desktop"/>
    <n v="5"/>
    <n v="0"/>
    <n v="0"/>
    <n v="0"/>
    <n v="0"/>
    <x v="2"/>
  </r>
  <r>
    <x v="1867"/>
    <s v="Female"/>
    <n v="16"/>
    <s v="AU"/>
    <s v="Free"/>
    <n v="218"/>
    <n v="31"/>
    <n v="0.41"/>
    <s v="Desktop"/>
    <n v="40"/>
    <n v="0"/>
    <n v="0"/>
    <n v="0"/>
    <n v="0"/>
    <x v="3"/>
  </r>
  <r>
    <x v="1868"/>
    <s v="Male"/>
    <n v="27"/>
    <s v="IN"/>
    <s v="Free"/>
    <n v="202"/>
    <n v="68"/>
    <n v="0.43"/>
    <s v="Web"/>
    <n v="30"/>
    <n v="0"/>
    <n v="1"/>
    <n v="0"/>
    <n v="0"/>
    <x v="0"/>
  </r>
  <r>
    <x v="1869"/>
    <s v="Other"/>
    <n v="17"/>
    <s v="UK"/>
    <s v="Free"/>
    <n v="48"/>
    <n v="34"/>
    <n v="0.48"/>
    <s v="Mobile"/>
    <n v="44"/>
    <n v="0"/>
    <n v="0"/>
    <n v="0"/>
    <n v="0"/>
    <x v="3"/>
  </r>
  <r>
    <x v="1870"/>
    <s v="Male"/>
    <n v="42"/>
    <s v="US"/>
    <s v="Free"/>
    <n v="212"/>
    <n v="17"/>
    <n v="0.35"/>
    <s v="Mobile"/>
    <n v="45"/>
    <n v="0"/>
    <n v="1"/>
    <n v="0"/>
    <n v="0"/>
    <x v="3"/>
  </r>
  <r>
    <x v="1871"/>
    <s v="Male"/>
    <n v="36"/>
    <s v="FR"/>
    <s v="Free"/>
    <n v="55"/>
    <n v="42"/>
    <n v="0.27"/>
    <s v="Web"/>
    <n v="42"/>
    <n v="0"/>
    <n v="0"/>
    <n v="0"/>
    <n v="0"/>
    <x v="3"/>
  </r>
  <r>
    <x v="1872"/>
    <s v="Female"/>
    <n v="58"/>
    <s v="PK"/>
    <s v="Free"/>
    <n v="97"/>
    <n v="30"/>
    <n v="0.02"/>
    <s v="Desktop"/>
    <n v="36"/>
    <n v="0"/>
    <n v="1"/>
    <n v="0"/>
    <n v="0"/>
    <x v="0"/>
  </r>
  <r>
    <x v="1873"/>
    <s v="Other"/>
    <n v="17"/>
    <s v="CA"/>
    <s v="Free"/>
    <n v="22"/>
    <n v="97"/>
    <n v="0.49"/>
    <s v="Mobile"/>
    <n v="18"/>
    <n v="0"/>
    <n v="1"/>
    <n v="0"/>
    <n v="0"/>
    <x v="1"/>
  </r>
  <r>
    <x v="1874"/>
    <s v="Male"/>
    <n v="24"/>
    <s v="DE"/>
    <s v="Free"/>
    <n v="64"/>
    <n v="96"/>
    <n v="0.08"/>
    <s v="Desktop"/>
    <n v="8"/>
    <n v="0"/>
    <n v="0"/>
    <n v="0"/>
    <n v="0"/>
    <x v="2"/>
  </r>
  <r>
    <x v="1875"/>
    <s v="Female"/>
    <n v="22"/>
    <s v="IN"/>
    <s v="Free"/>
    <n v="237"/>
    <n v="40"/>
    <n v="0.46"/>
    <s v="Web"/>
    <n v="13"/>
    <n v="0"/>
    <n v="0"/>
    <n v="0"/>
    <n v="0"/>
    <x v="1"/>
  </r>
  <r>
    <x v="1876"/>
    <s v="Female"/>
    <n v="26"/>
    <s v="CA"/>
    <s v="Free"/>
    <n v="209"/>
    <n v="41"/>
    <n v="0.59"/>
    <s v="Web"/>
    <n v="45"/>
    <n v="0"/>
    <n v="1"/>
    <n v="0"/>
    <n v="0"/>
    <x v="3"/>
  </r>
  <r>
    <x v="1877"/>
    <s v="Male"/>
    <n v="16"/>
    <s v="CA"/>
    <s v="Free"/>
    <n v="164"/>
    <n v="82"/>
    <n v="0.56999999999999995"/>
    <s v="Desktop"/>
    <n v="21"/>
    <n v="0"/>
    <n v="0"/>
    <n v="0"/>
    <n v="0"/>
    <x v="4"/>
  </r>
  <r>
    <x v="1878"/>
    <s v="Male"/>
    <n v="48"/>
    <s v="FR"/>
    <s v="Free"/>
    <n v="162"/>
    <n v="68"/>
    <n v="0.39"/>
    <s v="Desktop"/>
    <n v="44"/>
    <n v="0"/>
    <n v="0"/>
    <n v="0"/>
    <n v="0"/>
    <x v="3"/>
  </r>
  <r>
    <x v="1879"/>
    <s v="Other"/>
    <n v="26"/>
    <s v="IN"/>
    <s v="Free"/>
    <n v="32"/>
    <n v="58"/>
    <n v="0.01"/>
    <s v="Web"/>
    <n v="42"/>
    <n v="0"/>
    <n v="0"/>
    <n v="0"/>
    <n v="0"/>
    <x v="3"/>
  </r>
  <r>
    <x v="1880"/>
    <s v="Other"/>
    <n v="31"/>
    <s v="AU"/>
    <s v="Free"/>
    <n v="112"/>
    <n v="17"/>
    <n v="0.37"/>
    <s v="Web"/>
    <n v="42"/>
    <n v="0"/>
    <n v="0"/>
    <n v="0"/>
    <n v="0"/>
    <x v="3"/>
  </r>
  <r>
    <x v="1881"/>
    <s v="Female"/>
    <n v="44"/>
    <s v="UK"/>
    <s v="Free"/>
    <n v="115"/>
    <n v="54"/>
    <n v="0.49"/>
    <s v="Web"/>
    <n v="8"/>
    <n v="0"/>
    <n v="1"/>
    <n v="0"/>
    <n v="0"/>
    <x v="2"/>
  </r>
  <r>
    <x v="1882"/>
    <s v="Female"/>
    <n v="31"/>
    <s v="IN"/>
    <s v="Free"/>
    <n v="123"/>
    <n v="60"/>
    <n v="0.17"/>
    <s v="Web"/>
    <n v="17"/>
    <n v="0"/>
    <n v="0"/>
    <n v="0"/>
    <n v="0"/>
    <x v="1"/>
  </r>
  <r>
    <x v="1883"/>
    <s v="Female"/>
    <n v="42"/>
    <s v="US"/>
    <s v="Free"/>
    <n v="140"/>
    <n v="20"/>
    <n v="0.37"/>
    <s v="Desktop"/>
    <n v="35"/>
    <n v="0"/>
    <n v="0"/>
    <n v="0"/>
    <n v="0"/>
    <x v="0"/>
  </r>
  <r>
    <x v="1884"/>
    <s v="Female"/>
    <n v="35"/>
    <s v="PK"/>
    <s v="Free"/>
    <n v="178"/>
    <n v="31"/>
    <n v="0.59"/>
    <s v="Web"/>
    <n v="36"/>
    <n v="0"/>
    <n v="0"/>
    <n v="0"/>
    <n v="0"/>
    <x v="0"/>
  </r>
  <r>
    <x v="1885"/>
    <s v="Male"/>
    <n v="32"/>
    <s v="DE"/>
    <s v="Free"/>
    <n v="20"/>
    <n v="67"/>
    <n v="0.12"/>
    <s v="Web"/>
    <n v="16"/>
    <n v="0"/>
    <n v="1"/>
    <n v="0"/>
    <n v="0"/>
    <x v="1"/>
  </r>
  <r>
    <x v="1886"/>
    <s v="Other"/>
    <n v="30"/>
    <s v="CA"/>
    <s v="Free"/>
    <n v="152"/>
    <n v="54"/>
    <n v="0.19"/>
    <s v="Desktop"/>
    <n v="20"/>
    <n v="0"/>
    <n v="0"/>
    <n v="0"/>
    <n v="0"/>
    <x v="4"/>
  </r>
  <r>
    <x v="1887"/>
    <s v="Male"/>
    <n v="55"/>
    <s v="IN"/>
    <s v="Free"/>
    <n v="203"/>
    <n v="4"/>
    <n v="0.31"/>
    <s v="Mobile"/>
    <n v="10"/>
    <n v="0"/>
    <n v="0"/>
    <n v="0"/>
    <n v="0"/>
    <x v="1"/>
  </r>
  <r>
    <x v="1888"/>
    <s v="Male"/>
    <n v="50"/>
    <s v="PK"/>
    <s v="Free"/>
    <n v="62"/>
    <n v="78"/>
    <n v="0.52"/>
    <s v="Desktop"/>
    <n v="41"/>
    <n v="0"/>
    <n v="0"/>
    <n v="0"/>
    <n v="0"/>
    <x v="3"/>
  </r>
  <r>
    <x v="1889"/>
    <s v="Female"/>
    <n v="47"/>
    <s v="PK"/>
    <s v="Free"/>
    <n v="150"/>
    <n v="66"/>
    <n v="0.1"/>
    <s v="Mobile"/>
    <n v="14"/>
    <n v="0"/>
    <n v="0"/>
    <n v="0"/>
    <n v="0"/>
    <x v="1"/>
  </r>
  <r>
    <x v="1890"/>
    <s v="Male"/>
    <n v="51"/>
    <s v="CA"/>
    <s v="Free"/>
    <n v="78"/>
    <n v="93"/>
    <n v="0.27"/>
    <s v="Desktop"/>
    <n v="37"/>
    <n v="0"/>
    <n v="1"/>
    <n v="0"/>
    <n v="0"/>
    <x v="0"/>
  </r>
  <r>
    <x v="1891"/>
    <s v="Male"/>
    <n v="42"/>
    <s v="IN"/>
    <s v="Free"/>
    <n v="89"/>
    <n v="99"/>
    <n v="0.21"/>
    <s v="Web"/>
    <n v="15"/>
    <n v="0"/>
    <n v="0"/>
    <n v="0"/>
    <n v="0"/>
    <x v="1"/>
  </r>
  <r>
    <x v="1892"/>
    <s v="Female"/>
    <n v="42"/>
    <s v="AU"/>
    <s v="Free"/>
    <n v="54"/>
    <n v="24"/>
    <n v="0.31"/>
    <s v="Mobile"/>
    <n v="33"/>
    <n v="0"/>
    <n v="0"/>
    <n v="0"/>
    <n v="0"/>
    <x v="0"/>
  </r>
  <r>
    <x v="1893"/>
    <s v="Male"/>
    <n v="53"/>
    <s v="US"/>
    <s v="Free"/>
    <n v="27"/>
    <n v="14"/>
    <n v="0.2"/>
    <s v="Mobile"/>
    <n v="21"/>
    <n v="0"/>
    <n v="0"/>
    <n v="0"/>
    <n v="0"/>
    <x v="4"/>
  </r>
  <r>
    <x v="1894"/>
    <s v="Male"/>
    <n v="40"/>
    <s v="IN"/>
    <s v="Free"/>
    <n v="38"/>
    <n v="54"/>
    <n v="0.24"/>
    <s v="Web"/>
    <n v="26"/>
    <n v="0"/>
    <n v="0"/>
    <n v="0"/>
    <n v="0"/>
    <x v="4"/>
  </r>
  <r>
    <x v="1895"/>
    <s v="Other"/>
    <n v="35"/>
    <s v="FR"/>
    <s v="Free"/>
    <n v="15"/>
    <n v="65"/>
    <n v="0.18"/>
    <s v="Desktop"/>
    <n v="45"/>
    <n v="0"/>
    <n v="0"/>
    <n v="0"/>
    <n v="0"/>
    <x v="3"/>
  </r>
  <r>
    <x v="1896"/>
    <s v="Female"/>
    <n v="25"/>
    <s v="FR"/>
    <s v="Free"/>
    <n v="26"/>
    <n v="63"/>
    <n v="0.21"/>
    <s v="Web"/>
    <n v="14"/>
    <n v="0"/>
    <n v="0"/>
    <n v="0"/>
    <n v="0"/>
    <x v="1"/>
  </r>
  <r>
    <x v="1897"/>
    <s v="Female"/>
    <n v="27"/>
    <s v="PK"/>
    <s v="Free"/>
    <n v="99"/>
    <n v="79"/>
    <n v="0.37"/>
    <s v="Desktop"/>
    <n v="7"/>
    <n v="0"/>
    <n v="0"/>
    <n v="0"/>
    <n v="0"/>
    <x v="2"/>
  </r>
  <r>
    <x v="1898"/>
    <s v="Female"/>
    <n v="18"/>
    <s v="AU"/>
    <s v="Free"/>
    <n v="91"/>
    <n v="91"/>
    <n v="0.22"/>
    <s v="Mobile"/>
    <n v="23"/>
    <n v="0"/>
    <n v="0"/>
    <n v="0"/>
    <n v="0"/>
    <x v="4"/>
  </r>
  <r>
    <x v="1899"/>
    <s v="Male"/>
    <n v="40"/>
    <s v="IN"/>
    <s v="Free"/>
    <n v="64"/>
    <n v="4"/>
    <n v="0.1"/>
    <s v="Desktop"/>
    <n v="32"/>
    <n v="0"/>
    <n v="0"/>
    <n v="0"/>
    <n v="0"/>
    <x v="0"/>
  </r>
  <r>
    <x v="1900"/>
    <s v="Other"/>
    <n v="44"/>
    <s v="DE"/>
    <s v="Free"/>
    <n v="224"/>
    <n v="6"/>
    <n v="0.21"/>
    <s v="Web"/>
    <n v="44"/>
    <n v="0"/>
    <n v="0"/>
    <n v="0"/>
    <n v="0"/>
    <x v="3"/>
  </r>
  <r>
    <x v="1901"/>
    <s v="Female"/>
    <n v="30"/>
    <s v="FR"/>
    <s v="Free"/>
    <n v="235"/>
    <n v="69"/>
    <n v="0.48"/>
    <s v="Desktop"/>
    <n v="30"/>
    <n v="0"/>
    <n v="1"/>
    <n v="0"/>
    <n v="0"/>
    <x v="0"/>
  </r>
  <r>
    <x v="1902"/>
    <s v="Other"/>
    <n v="20"/>
    <s v="FR"/>
    <s v="Free"/>
    <n v="258"/>
    <n v="60"/>
    <n v="0.12"/>
    <s v="Mobile"/>
    <n v="5"/>
    <n v="0"/>
    <n v="0"/>
    <n v="0"/>
    <n v="0"/>
    <x v="2"/>
  </r>
  <r>
    <x v="1903"/>
    <s v="Other"/>
    <n v="49"/>
    <s v="PK"/>
    <s v="Free"/>
    <n v="158"/>
    <n v="54"/>
    <n v="0.44"/>
    <s v="Desktop"/>
    <n v="5"/>
    <n v="0"/>
    <n v="0"/>
    <n v="0"/>
    <n v="0"/>
    <x v="2"/>
  </r>
  <r>
    <x v="1904"/>
    <s v="Female"/>
    <n v="40"/>
    <s v="IN"/>
    <s v="Free"/>
    <n v="227"/>
    <n v="3"/>
    <n v="0.57999999999999996"/>
    <s v="Desktop"/>
    <n v="31"/>
    <n v="0"/>
    <n v="0"/>
    <n v="0"/>
    <n v="0"/>
    <x v="0"/>
  </r>
  <r>
    <x v="1905"/>
    <s v="Male"/>
    <n v="35"/>
    <s v="FR"/>
    <s v="Free"/>
    <n v="154"/>
    <n v="91"/>
    <n v="0.56999999999999995"/>
    <s v="Web"/>
    <n v="20"/>
    <n v="0"/>
    <n v="1"/>
    <n v="0"/>
    <n v="0"/>
    <x v="4"/>
  </r>
  <r>
    <x v="1906"/>
    <s v="Female"/>
    <n v="53"/>
    <s v="FR"/>
    <s v="Free"/>
    <n v="64"/>
    <n v="20"/>
    <n v="0.35"/>
    <s v="Web"/>
    <n v="44"/>
    <n v="0"/>
    <n v="0"/>
    <n v="0"/>
    <n v="0"/>
    <x v="3"/>
  </r>
  <r>
    <x v="1907"/>
    <s v="Other"/>
    <n v="20"/>
    <s v="DE"/>
    <s v="Free"/>
    <n v="133"/>
    <n v="19"/>
    <n v="0.27"/>
    <s v="Desktop"/>
    <n v="35"/>
    <n v="0"/>
    <n v="0"/>
    <n v="0"/>
    <n v="0"/>
    <x v="0"/>
  </r>
  <r>
    <x v="1908"/>
    <s v="Male"/>
    <n v="47"/>
    <s v="US"/>
    <s v="Free"/>
    <n v="120"/>
    <n v="35"/>
    <n v="0.46"/>
    <s v="Web"/>
    <n v="26"/>
    <n v="0"/>
    <n v="0"/>
    <n v="0"/>
    <n v="0"/>
    <x v="4"/>
  </r>
  <r>
    <x v="1909"/>
    <s v="Other"/>
    <n v="37"/>
    <s v="FR"/>
    <s v="Free"/>
    <n v="256"/>
    <n v="79"/>
    <n v="0.22"/>
    <s v="Mobile"/>
    <n v="25"/>
    <n v="0"/>
    <n v="0"/>
    <n v="0"/>
    <n v="0"/>
    <x v="4"/>
  </r>
  <r>
    <x v="1910"/>
    <s v="Other"/>
    <n v="49"/>
    <s v="US"/>
    <s v="Free"/>
    <n v="92"/>
    <n v="59"/>
    <n v="0.11"/>
    <s v="Web"/>
    <n v="23"/>
    <n v="0"/>
    <n v="0"/>
    <n v="0"/>
    <n v="0"/>
    <x v="4"/>
  </r>
  <r>
    <x v="1911"/>
    <s v="Other"/>
    <n v="34"/>
    <s v="AU"/>
    <s v="Free"/>
    <n v="254"/>
    <n v="69"/>
    <n v="0.32"/>
    <s v="Web"/>
    <n v="20"/>
    <n v="0"/>
    <n v="1"/>
    <n v="0"/>
    <n v="0"/>
    <x v="4"/>
  </r>
  <r>
    <x v="1912"/>
    <s v="Other"/>
    <n v="19"/>
    <s v="PK"/>
    <s v="Free"/>
    <n v="288"/>
    <n v="29"/>
    <n v="0.13"/>
    <s v="Web"/>
    <n v="41"/>
    <n v="0"/>
    <n v="0"/>
    <n v="0"/>
    <n v="0"/>
    <x v="3"/>
  </r>
  <r>
    <x v="1913"/>
    <s v="Other"/>
    <n v="52"/>
    <s v="CA"/>
    <s v="Free"/>
    <n v="197"/>
    <n v="62"/>
    <n v="0.03"/>
    <s v="Web"/>
    <n v="29"/>
    <n v="0"/>
    <n v="1"/>
    <n v="0"/>
    <n v="0"/>
    <x v="4"/>
  </r>
  <r>
    <x v="1914"/>
    <s v="Male"/>
    <n v="22"/>
    <s v="FR"/>
    <s v="Free"/>
    <n v="27"/>
    <n v="8"/>
    <n v="0.48"/>
    <s v="Desktop"/>
    <n v="38"/>
    <n v="0"/>
    <n v="0"/>
    <n v="0"/>
    <n v="0"/>
    <x v="0"/>
  </r>
  <r>
    <x v="1915"/>
    <s v="Male"/>
    <n v="46"/>
    <s v="DE"/>
    <s v="Free"/>
    <n v="60"/>
    <n v="75"/>
    <n v="0.56999999999999995"/>
    <s v="Web"/>
    <n v="42"/>
    <n v="0"/>
    <n v="0"/>
    <n v="0"/>
    <n v="0"/>
    <x v="3"/>
  </r>
  <r>
    <x v="1916"/>
    <s v="Female"/>
    <n v="51"/>
    <s v="DE"/>
    <s v="Free"/>
    <n v="212"/>
    <n v="64"/>
    <n v="0.48"/>
    <s v="Desktop"/>
    <n v="10"/>
    <n v="0"/>
    <n v="0"/>
    <n v="0"/>
    <n v="0"/>
    <x v="1"/>
  </r>
  <r>
    <x v="1917"/>
    <s v="Other"/>
    <n v="32"/>
    <s v="PK"/>
    <s v="Free"/>
    <n v="182"/>
    <n v="30"/>
    <n v="0.47"/>
    <s v="Desktop"/>
    <n v="25"/>
    <n v="0"/>
    <n v="1"/>
    <n v="0"/>
    <n v="0"/>
    <x v="4"/>
  </r>
  <r>
    <x v="1918"/>
    <s v="Other"/>
    <n v="49"/>
    <s v="US"/>
    <s v="Free"/>
    <n v="182"/>
    <n v="81"/>
    <n v="0.6"/>
    <s v="Web"/>
    <n v="32"/>
    <n v="0"/>
    <n v="0"/>
    <n v="0"/>
    <n v="0"/>
    <x v="0"/>
  </r>
  <r>
    <x v="1919"/>
    <s v="Other"/>
    <n v="38"/>
    <s v="IN"/>
    <s v="Free"/>
    <n v="134"/>
    <n v="93"/>
    <n v="0.12"/>
    <s v="Mobile"/>
    <n v="47"/>
    <n v="0"/>
    <n v="1"/>
    <n v="0"/>
    <n v="0"/>
    <x v="3"/>
  </r>
  <r>
    <x v="1920"/>
    <s v="Other"/>
    <n v="52"/>
    <s v="AU"/>
    <s v="Free"/>
    <n v="184"/>
    <n v="10"/>
    <n v="0.27"/>
    <s v="Web"/>
    <n v="11"/>
    <n v="0"/>
    <n v="0"/>
    <n v="0"/>
    <n v="0"/>
    <x v="1"/>
  </r>
  <r>
    <x v="1921"/>
    <s v="Female"/>
    <n v="24"/>
    <s v="DE"/>
    <s v="Free"/>
    <n v="227"/>
    <n v="92"/>
    <n v="7.0000000000000007E-2"/>
    <s v="Mobile"/>
    <n v="43"/>
    <n v="0"/>
    <n v="1"/>
    <n v="0"/>
    <n v="0"/>
    <x v="3"/>
  </r>
  <r>
    <x v="1922"/>
    <s v="Male"/>
    <n v="42"/>
    <s v="PK"/>
    <s v="Free"/>
    <n v="240"/>
    <n v="34"/>
    <n v="0.5"/>
    <s v="Desktop"/>
    <n v="30"/>
    <n v="0"/>
    <n v="0"/>
    <n v="0"/>
    <n v="0"/>
    <x v="0"/>
  </r>
  <r>
    <x v="1923"/>
    <s v="Female"/>
    <n v="17"/>
    <s v="PK"/>
    <s v="Free"/>
    <n v="234"/>
    <n v="98"/>
    <n v="0.4"/>
    <s v="Mobile"/>
    <n v="25"/>
    <n v="0"/>
    <n v="0"/>
    <n v="0"/>
    <n v="0"/>
    <x v="4"/>
  </r>
  <r>
    <x v="1924"/>
    <s v="Female"/>
    <n v="20"/>
    <s v="US"/>
    <s v="Free"/>
    <n v="119"/>
    <n v="69"/>
    <n v="0.21"/>
    <s v="Mobile"/>
    <n v="38"/>
    <n v="0"/>
    <n v="1"/>
    <n v="0"/>
    <n v="0"/>
    <x v="0"/>
  </r>
  <r>
    <x v="1925"/>
    <s v="Female"/>
    <n v="46"/>
    <s v="US"/>
    <s v="Free"/>
    <n v="268"/>
    <n v="45"/>
    <n v="0.19"/>
    <s v="Mobile"/>
    <n v="6"/>
    <n v="0"/>
    <n v="0"/>
    <n v="0"/>
    <n v="0"/>
    <x v="2"/>
  </r>
  <r>
    <x v="1926"/>
    <s v="Other"/>
    <n v="17"/>
    <s v="CA"/>
    <s v="Free"/>
    <n v="179"/>
    <n v="92"/>
    <n v="0.53"/>
    <s v="Web"/>
    <n v="6"/>
    <n v="0"/>
    <n v="0"/>
    <n v="0"/>
    <n v="0"/>
    <x v="2"/>
  </r>
  <r>
    <x v="1927"/>
    <s v="Other"/>
    <n v="48"/>
    <s v="US"/>
    <s v="Free"/>
    <n v="287"/>
    <n v="44"/>
    <n v="7.0000000000000007E-2"/>
    <s v="Web"/>
    <n v="10"/>
    <n v="0"/>
    <n v="0"/>
    <n v="0"/>
    <n v="0"/>
    <x v="1"/>
  </r>
  <r>
    <x v="1928"/>
    <s v="Female"/>
    <n v="49"/>
    <s v="FR"/>
    <s v="Free"/>
    <n v="40"/>
    <n v="64"/>
    <n v="0.38"/>
    <s v="Desktop"/>
    <n v="12"/>
    <n v="0"/>
    <n v="1"/>
    <n v="0"/>
    <n v="0"/>
    <x v="1"/>
  </r>
  <r>
    <x v="1929"/>
    <s v="Male"/>
    <n v="58"/>
    <s v="AU"/>
    <s v="Free"/>
    <n v="65"/>
    <n v="7"/>
    <n v="0.32"/>
    <s v="Desktop"/>
    <n v="9"/>
    <n v="0"/>
    <n v="0"/>
    <n v="0"/>
    <n v="0"/>
    <x v="2"/>
  </r>
  <r>
    <x v="1930"/>
    <s v="Female"/>
    <n v="50"/>
    <s v="FR"/>
    <s v="Free"/>
    <n v="281"/>
    <n v="5"/>
    <n v="0.21"/>
    <s v="Mobile"/>
    <n v="24"/>
    <n v="0"/>
    <n v="0"/>
    <n v="0"/>
    <n v="0"/>
    <x v="4"/>
  </r>
  <r>
    <x v="1931"/>
    <s v="Male"/>
    <n v="29"/>
    <s v="PK"/>
    <s v="Free"/>
    <n v="281"/>
    <n v="22"/>
    <n v="0.24"/>
    <s v="Desktop"/>
    <n v="8"/>
    <n v="0"/>
    <n v="0"/>
    <n v="0"/>
    <n v="0"/>
    <x v="2"/>
  </r>
  <r>
    <x v="1932"/>
    <s v="Male"/>
    <n v="17"/>
    <s v="FR"/>
    <s v="Free"/>
    <n v="57"/>
    <n v="78"/>
    <n v="0.56999999999999995"/>
    <s v="Mobile"/>
    <n v="21"/>
    <n v="0"/>
    <n v="0"/>
    <n v="0"/>
    <n v="0"/>
    <x v="4"/>
  </r>
  <r>
    <x v="1933"/>
    <s v="Male"/>
    <n v="46"/>
    <s v="UK"/>
    <s v="Free"/>
    <n v="257"/>
    <n v="32"/>
    <n v="0.1"/>
    <s v="Desktop"/>
    <n v="44"/>
    <n v="0"/>
    <n v="0"/>
    <n v="0"/>
    <n v="0"/>
    <x v="3"/>
  </r>
  <r>
    <x v="1934"/>
    <s v="Male"/>
    <n v="21"/>
    <s v="DE"/>
    <s v="Free"/>
    <n v="146"/>
    <n v="46"/>
    <n v="0.25"/>
    <s v="Web"/>
    <n v="32"/>
    <n v="0"/>
    <n v="0"/>
    <n v="0"/>
    <n v="0"/>
    <x v="0"/>
  </r>
  <r>
    <x v="1935"/>
    <s v="Female"/>
    <n v="43"/>
    <s v="FR"/>
    <s v="Free"/>
    <n v="53"/>
    <n v="13"/>
    <n v="0.38"/>
    <s v="Mobile"/>
    <n v="30"/>
    <n v="0"/>
    <n v="0"/>
    <n v="0"/>
    <n v="0"/>
    <x v="0"/>
  </r>
  <r>
    <x v="1936"/>
    <s v="Female"/>
    <n v="41"/>
    <s v="UK"/>
    <s v="Free"/>
    <n v="149"/>
    <n v="66"/>
    <n v="0.52"/>
    <s v="Mobile"/>
    <n v="35"/>
    <n v="0"/>
    <n v="1"/>
    <n v="0"/>
    <n v="0"/>
    <x v="0"/>
  </r>
  <r>
    <x v="1937"/>
    <s v="Female"/>
    <n v="20"/>
    <s v="PK"/>
    <s v="Free"/>
    <n v="224"/>
    <n v="34"/>
    <n v="0.08"/>
    <s v="Mobile"/>
    <n v="19"/>
    <n v="0"/>
    <n v="1"/>
    <n v="0"/>
    <n v="0"/>
    <x v="1"/>
  </r>
  <r>
    <x v="1938"/>
    <s v="Female"/>
    <n v="59"/>
    <s v="IN"/>
    <s v="Free"/>
    <n v="57"/>
    <n v="33"/>
    <n v="0.48"/>
    <s v="Web"/>
    <n v="12"/>
    <n v="0"/>
    <n v="0"/>
    <n v="0"/>
    <n v="0"/>
    <x v="1"/>
  </r>
  <r>
    <x v="1939"/>
    <s v="Female"/>
    <n v="55"/>
    <s v="AU"/>
    <s v="Free"/>
    <n v="127"/>
    <n v="14"/>
    <n v="0.08"/>
    <s v="Web"/>
    <n v="16"/>
    <n v="0"/>
    <n v="0"/>
    <n v="0"/>
    <n v="0"/>
    <x v="1"/>
  </r>
  <r>
    <x v="1940"/>
    <s v="Other"/>
    <n v="55"/>
    <s v="US"/>
    <s v="Free"/>
    <n v="47"/>
    <n v="71"/>
    <n v="0.23"/>
    <s v="Desktop"/>
    <n v="25"/>
    <n v="0"/>
    <n v="1"/>
    <n v="0"/>
    <n v="0"/>
    <x v="4"/>
  </r>
  <r>
    <x v="1941"/>
    <s v="Female"/>
    <n v="28"/>
    <s v="FR"/>
    <s v="Free"/>
    <n v="56"/>
    <n v="58"/>
    <n v="0.31"/>
    <s v="Mobile"/>
    <n v="20"/>
    <n v="0"/>
    <n v="1"/>
    <n v="0"/>
    <n v="0"/>
    <x v="4"/>
  </r>
  <r>
    <x v="1942"/>
    <s v="Male"/>
    <n v="37"/>
    <s v="UK"/>
    <s v="Free"/>
    <n v="51"/>
    <n v="33"/>
    <n v="0.17"/>
    <s v="Web"/>
    <n v="35"/>
    <n v="0"/>
    <n v="1"/>
    <n v="0"/>
    <n v="0"/>
    <x v="0"/>
  </r>
  <r>
    <x v="1943"/>
    <s v="Female"/>
    <n v="37"/>
    <s v="CA"/>
    <s v="Free"/>
    <n v="268"/>
    <n v="51"/>
    <n v="0.04"/>
    <s v="Web"/>
    <n v="13"/>
    <n v="0"/>
    <n v="0"/>
    <n v="0"/>
    <n v="0"/>
    <x v="1"/>
  </r>
  <r>
    <x v="1944"/>
    <s v="Other"/>
    <n v="33"/>
    <s v="IN"/>
    <s v="Free"/>
    <n v="150"/>
    <n v="5"/>
    <n v="0.42"/>
    <s v="Mobile"/>
    <n v="22"/>
    <n v="0"/>
    <n v="0"/>
    <n v="0"/>
    <n v="0"/>
    <x v="4"/>
  </r>
  <r>
    <x v="1945"/>
    <s v="Male"/>
    <n v="52"/>
    <s v="UK"/>
    <s v="Free"/>
    <n v="204"/>
    <n v="23"/>
    <n v="0.35"/>
    <s v="Desktop"/>
    <n v="10"/>
    <n v="0"/>
    <n v="0"/>
    <n v="0"/>
    <n v="0"/>
    <x v="1"/>
  </r>
  <r>
    <x v="1946"/>
    <s v="Male"/>
    <n v="42"/>
    <s v="US"/>
    <s v="Free"/>
    <n v="159"/>
    <n v="44"/>
    <n v="0.47"/>
    <s v="Web"/>
    <n v="20"/>
    <n v="0"/>
    <n v="0"/>
    <n v="0"/>
    <n v="0"/>
    <x v="4"/>
  </r>
  <r>
    <x v="1947"/>
    <s v="Female"/>
    <n v="41"/>
    <s v="UK"/>
    <s v="Free"/>
    <n v="55"/>
    <n v="12"/>
    <n v="0.2"/>
    <s v="Desktop"/>
    <n v="17"/>
    <n v="0"/>
    <n v="0"/>
    <n v="0"/>
    <n v="0"/>
    <x v="1"/>
  </r>
  <r>
    <x v="1948"/>
    <s v="Male"/>
    <n v="19"/>
    <s v="US"/>
    <s v="Free"/>
    <n v="147"/>
    <n v="58"/>
    <n v="0.21"/>
    <s v="Web"/>
    <n v="22"/>
    <n v="0"/>
    <n v="0"/>
    <n v="0"/>
    <n v="0"/>
    <x v="4"/>
  </r>
  <r>
    <x v="1949"/>
    <s v="Male"/>
    <n v="59"/>
    <s v="UK"/>
    <s v="Free"/>
    <n v="142"/>
    <n v="29"/>
    <n v="0.05"/>
    <s v="Desktop"/>
    <n v="11"/>
    <n v="0"/>
    <n v="0"/>
    <n v="0"/>
    <n v="0"/>
    <x v="1"/>
  </r>
  <r>
    <x v="1950"/>
    <s v="Other"/>
    <n v="36"/>
    <s v="AU"/>
    <s v="Free"/>
    <n v="228"/>
    <n v="44"/>
    <n v="0.02"/>
    <s v="Mobile"/>
    <n v="31"/>
    <n v="0"/>
    <n v="0"/>
    <n v="0"/>
    <n v="0"/>
    <x v="0"/>
  </r>
  <r>
    <x v="1951"/>
    <s v="Male"/>
    <n v="22"/>
    <s v="FR"/>
    <s v="Free"/>
    <n v="100"/>
    <n v="84"/>
    <n v="0.02"/>
    <s v="Mobile"/>
    <n v="26"/>
    <n v="0"/>
    <n v="0"/>
    <n v="0"/>
    <n v="0"/>
    <x v="4"/>
  </r>
  <r>
    <x v="1952"/>
    <s v="Female"/>
    <n v="20"/>
    <s v="IN"/>
    <s v="Free"/>
    <n v="265"/>
    <n v="40"/>
    <n v="0.56000000000000005"/>
    <s v="Mobile"/>
    <n v="11"/>
    <n v="0"/>
    <n v="0"/>
    <n v="0"/>
    <n v="0"/>
    <x v="1"/>
  </r>
  <r>
    <x v="1953"/>
    <s v="Male"/>
    <n v="41"/>
    <s v="PK"/>
    <s v="Free"/>
    <n v="267"/>
    <n v="75"/>
    <n v="0.43"/>
    <s v="Desktop"/>
    <n v="15"/>
    <n v="0"/>
    <n v="0"/>
    <n v="0"/>
    <n v="0"/>
    <x v="1"/>
  </r>
  <r>
    <x v="1954"/>
    <s v="Other"/>
    <n v="58"/>
    <s v="FR"/>
    <s v="Free"/>
    <n v="83"/>
    <n v="50"/>
    <n v="0.12"/>
    <s v="Web"/>
    <n v="8"/>
    <n v="0"/>
    <n v="0"/>
    <n v="0"/>
    <n v="0"/>
    <x v="2"/>
  </r>
  <r>
    <x v="1955"/>
    <s v="Female"/>
    <n v="34"/>
    <s v="UK"/>
    <s v="Free"/>
    <n v="12"/>
    <n v="1"/>
    <n v="0.42"/>
    <s v="Desktop"/>
    <n v="29"/>
    <n v="0"/>
    <n v="1"/>
    <n v="0"/>
    <n v="0"/>
    <x v="4"/>
  </r>
  <r>
    <x v="1956"/>
    <s v="Other"/>
    <n v="30"/>
    <s v="IN"/>
    <s v="Free"/>
    <n v="118"/>
    <n v="21"/>
    <n v="0.33"/>
    <s v="Mobile"/>
    <n v="49"/>
    <n v="0"/>
    <n v="1"/>
    <n v="0"/>
    <n v="0"/>
    <x v="3"/>
  </r>
  <r>
    <x v="1957"/>
    <s v="Male"/>
    <n v="38"/>
    <s v="IN"/>
    <s v="Free"/>
    <n v="61"/>
    <n v="8"/>
    <n v="0.16"/>
    <s v="Desktop"/>
    <n v="26"/>
    <n v="0"/>
    <n v="0"/>
    <n v="0"/>
    <n v="0"/>
    <x v="4"/>
  </r>
  <r>
    <x v="1958"/>
    <s v="Other"/>
    <n v="55"/>
    <s v="IN"/>
    <s v="Free"/>
    <n v="251"/>
    <n v="96"/>
    <n v="0.11"/>
    <s v="Web"/>
    <n v="48"/>
    <n v="0"/>
    <n v="0"/>
    <n v="0"/>
    <n v="0"/>
    <x v="3"/>
  </r>
  <r>
    <x v="1959"/>
    <s v="Other"/>
    <n v="28"/>
    <s v="CA"/>
    <s v="Free"/>
    <n v="277"/>
    <n v="85"/>
    <n v="0.15"/>
    <s v="Web"/>
    <n v="9"/>
    <n v="0"/>
    <n v="0"/>
    <n v="0"/>
    <n v="0"/>
    <x v="2"/>
  </r>
  <r>
    <x v="1960"/>
    <s v="Female"/>
    <n v="25"/>
    <s v="UK"/>
    <s v="Free"/>
    <n v="120"/>
    <n v="43"/>
    <n v="0.15"/>
    <s v="Web"/>
    <n v="11"/>
    <n v="0"/>
    <n v="0"/>
    <n v="0"/>
    <n v="0"/>
    <x v="1"/>
  </r>
  <r>
    <x v="1961"/>
    <s v="Male"/>
    <n v="16"/>
    <s v="UK"/>
    <s v="Free"/>
    <n v="113"/>
    <n v="7"/>
    <n v="0.22"/>
    <s v="Desktop"/>
    <n v="15"/>
    <n v="0"/>
    <n v="0"/>
    <n v="0"/>
    <n v="0"/>
    <x v="1"/>
  </r>
  <r>
    <x v="1962"/>
    <s v="Other"/>
    <n v="26"/>
    <s v="US"/>
    <s v="Free"/>
    <n v="119"/>
    <n v="39"/>
    <n v="0.52"/>
    <s v="Mobile"/>
    <n v="6"/>
    <n v="0"/>
    <n v="0"/>
    <n v="0"/>
    <n v="0"/>
    <x v="2"/>
  </r>
  <r>
    <x v="1963"/>
    <s v="Other"/>
    <n v="28"/>
    <s v="DE"/>
    <s v="Free"/>
    <n v="207"/>
    <n v="56"/>
    <n v="0.2"/>
    <s v="Mobile"/>
    <n v="6"/>
    <n v="0"/>
    <n v="1"/>
    <n v="0"/>
    <n v="0"/>
    <x v="2"/>
  </r>
  <r>
    <x v="1964"/>
    <s v="Other"/>
    <n v="58"/>
    <s v="US"/>
    <s v="Free"/>
    <n v="260"/>
    <n v="50"/>
    <n v="0.1"/>
    <s v="Mobile"/>
    <n v="47"/>
    <n v="0"/>
    <n v="0"/>
    <n v="0"/>
    <n v="0"/>
    <x v="3"/>
  </r>
  <r>
    <x v="1965"/>
    <s v="Male"/>
    <n v="39"/>
    <s v="UK"/>
    <s v="Free"/>
    <n v="114"/>
    <n v="90"/>
    <n v="0.37"/>
    <s v="Mobile"/>
    <n v="30"/>
    <n v="0"/>
    <n v="0"/>
    <n v="0"/>
    <n v="0"/>
    <x v="0"/>
  </r>
  <r>
    <x v="1966"/>
    <s v="Female"/>
    <n v="17"/>
    <s v="CA"/>
    <s v="Free"/>
    <n v="241"/>
    <n v="91"/>
    <n v="0.53"/>
    <s v="Web"/>
    <n v="10"/>
    <n v="0"/>
    <n v="0"/>
    <n v="0"/>
    <n v="0"/>
    <x v="1"/>
  </r>
  <r>
    <x v="1967"/>
    <s v="Other"/>
    <n v="39"/>
    <s v="UK"/>
    <s v="Free"/>
    <n v="177"/>
    <n v="89"/>
    <n v="0.35"/>
    <s v="Mobile"/>
    <n v="22"/>
    <n v="0"/>
    <n v="0"/>
    <n v="0"/>
    <n v="0"/>
    <x v="4"/>
  </r>
  <r>
    <x v="1968"/>
    <s v="Male"/>
    <n v="45"/>
    <s v="AU"/>
    <s v="Free"/>
    <n v="94"/>
    <n v="13"/>
    <n v="0.57999999999999996"/>
    <s v="Web"/>
    <n v="45"/>
    <n v="0"/>
    <n v="1"/>
    <n v="0"/>
    <n v="0"/>
    <x v="3"/>
  </r>
  <r>
    <x v="1969"/>
    <s v="Male"/>
    <n v="24"/>
    <s v="IN"/>
    <s v="Free"/>
    <n v="298"/>
    <n v="67"/>
    <n v="0.42"/>
    <s v="Mobile"/>
    <n v="11"/>
    <n v="0"/>
    <n v="0"/>
    <n v="0"/>
    <n v="0"/>
    <x v="1"/>
  </r>
  <r>
    <x v="1970"/>
    <s v="Female"/>
    <n v="38"/>
    <s v="DE"/>
    <s v="Free"/>
    <n v="139"/>
    <n v="81"/>
    <n v="0.09"/>
    <s v="Mobile"/>
    <n v="30"/>
    <n v="0"/>
    <n v="0"/>
    <n v="0"/>
    <n v="0"/>
    <x v="0"/>
  </r>
  <r>
    <x v="1971"/>
    <s v="Female"/>
    <n v="28"/>
    <s v="PK"/>
    <s v="Free"/>
    <n v="169"/>
    <n v="32"/>
    <n v="0.52"/>
    <s v="Web"/>
    <n v="28"/>
    <n v="0"/>
    <n v="0"/>
    <n v="0"/>
    <n v="0"/>
    <x v="4"/>
  </r>
  <r>
    <x v="1972"/>
    <s v="Other"/>
    <n v="35"/>
    <s v="US"/>
    <s v="Free"/>
    <n v="200"/>
    <n v="82"/>
    <n v="0.03"/>
    <s v="Mobile"/>
    <n v="37"/>
    <n v="0"/>
    <n v="0"/>
    <n v="0"/>
    <n v="0"/>
    <x v="0"/>
  </r>
  <r>
    <x v="1973"/>
    <s v="Other"/>
    <n v="44"/>
    <s v="CA"/>
    <s v="Free"/>
    <n v="95"/>
    <n v="74"/>
    <n v="0.24"/>
    <s v="Web"/>
    <n v="23"/>
    <n v="0"/>
    <n v="0"/>
    <n v="0"/>
    <n v="0"/>
    <x v="4"/>
  </r>
  <r>
    <x v="1974"/>
    <s v="Male"/>
    <n v="58"/>
    <s v="DE"/>
    <s v="Free"/>
    <n v="110"/>
    <n v="11"/>
    <n v="0.43"/>
    <s v="Desktop"/>
    <n v="6"/>
    <n v="0"/>
    <n v="0"/>
    <n v="0"/>
    <n v="0"/>
    <x v="2"/>
  </r>
  <r>
    <x v="1975"/>
    <s v="Female"/>
    <n v="44"/>
    <s v="PK"/>
    <s v="Free"/>
    <n v="285"/>
    <n v="95"/>
    <n v="0.12"/>
    <s v="Desktop"/>
    <n v="9"/>
    <n v="0"/>
    <n v="1"/>
    <n v="0"/>
    <n v="0"/>
    <x v="2"/>
  </r>
  <r>
    <x v="1976"/>
    <s v="Other"/>
    <n v="30"/>
    <s v="UK"/>
    <s v="Free"/>
    <n v="77"/>
    <n v="92"/>
    <n v="0.52"/>
    <s v="Desktop"/>
    <n v="19"/>
    <n v="0"/>
    <n v="1"/>
    <n v="0"/>
    <n v="0"/>
    <x v="1"/>
  </r>
  <r>
    <x v="1977"/>
    <s v="Other"/>
    <n v="42"/>
    <s v="IN"/>
    <s v="Free"/>
    <n v="96"/>
    <n v="5"/>
    <n v="0.08"/>
    <s v="Mobile"/>
    <n v="21"/>
    <n v="0"/>
    <n v="0"/>
    <n v="0"/>
    <n v="0"/>
    <x v="4"/>
  </r>
  <r>
    <x v="1978"/>
    <s v="Other"/>
    <n v="44"/>
    <s v="DE"/>
    <s v="Free"/>
    <n v="17"/>
    <n v="73"/>
    <n v="0.04"/>
    <s v="Web"/>
    <n v="34"/>
    <n v="0"/>
    <n v="0"/>
    <n v="0"/>
    <n v="0"/>
    <x v="0"/>
  </r>
  <r>
    <x v="1979"/>
    <s v="Other"/>
    <n v="34"/>
    <s v="PK"/>
    <s v="Free"/>
    <n v="209"/>
    <n v="59"/>
    <n v="0.06"/>
    <s v="Desktop"/>
    <n v="28"/>
    <n v="0"/>
    <n v="0"/>
    <n v="0"/>
    <n v="0"/>
    <x v="4"/>
  </r>
  <r>
    <x v="1980"/>
    <s v="Female"/>
    <n v="19"/>
    <s v="IN"/>
    <s v="Free"/>
    <n v="222"/>
    <n v="1"/>
    <n v="0.57999999999999996"/>
    <s v="Web"/>
    <n v="45"/>
    <n v="0"/>
    <n v="0"/>
    <n v="0"/>
    <n v="0"/>
    <x v="3"/>
  </r>
  <r>
    <x v="1981"/>
    <s v="Female"/>
    <n v="59"/>
    <s v="IN"/>
    <s v="Free"/>
    <n v="147"/>
    <n v="2"/>
    <n v="0.23"/>
    <s v="Desktop"/>
    <n v="47"/>
    <n v="0"/>
    <n v="0"/>
    <n v="0"/>
    <n v="0"/>
    <x v="3"/>
  </r>
  <r>
    <x v="1982"/>
    <s v="Female"/>
    <n v="23"/>
    <s v="FR"/>
    <s v="Free"/>
    <n v="246"/>
    <n v="2"/>
    <n v="0.4"/>
    <s v="Mobile"/>
    <n v="14"/>
    <n v="0"/>
    <n v="1"/>
    <n v="0"/>
    <n v="0"/>
    <x v="1"/>
  </r>
  <r>
    <x v="1983"/>
    <s v="Female"/>
    <n v="18"/>
    <s v="FR"/>
    <s v="Free"/>
    <n v="117"/>
    <n v="2"/>
    <n v="0.08"/>
    <s v="Desktop"/>
    <n v="29"/>
    <n v="0"/>
    <n v="0"/>
    <n v="0"/>
    <n v="0"/>
    <x v="4"/>
  </r>
  <r>
    <x v="1984"/>
    <s v="Male"/>
    <n v="28"/>
    <s v="PK"/>
    <s v="Free"/>
    <n v="70"/>
    <n v="25"/>
    <n v="0.12"/>
    <s v="Desktop"/>
    <n v="38"/>
    <n v="0"/>
    <n v="1"/>
    <n v="0"/>
    <n v="0"/>
    <x v="0"/>
  </r>
  <r>
    <x v="1985"/>
    <s v="Female"/>
    <n v="36"/>
    <s v="UK"/>
    <s v="Free"/>
    <n v="48"/>
    <n v="74"/>
    <n v="0.48"/>
    <s v="Mobile"/>
    <n v="10"/>
    <n v="0"/>
    <n v="0"/>
    <n v="0"/>
    <n v="0"/>
    <x v="1"/>
  </r>
  <r>
    <x v="1986"/>
    <s v="Male"/>
    <n v="22"/>
    <s v="PK"/>
    <s v="Free"/>
    <n v="59"/>
    <n v="78"/>
    <n v="0.57999999999999996"/>
    <s v="Mobile"/>
    <n v="45"/>
    <n v="0"/>
    <n v="0"/>
    <n v="0"/>
    <n v="0"/>
    <x v="3"/>
  </r>
  <r>
    <x v="1987"/>
    <s v="Female"/>
    <n v="27"/>
    <s v="IN"/>
    <s v="Free"/>
    <n v="194"/>
    <n v="27"/>
    <n v="0.52"/>
    <s v="Mobile"/>
    <n v="43"/>
    <n v="0"/>
    <n v="1"/>
    <n v="0"/>
    <n v="0"/>
    <x v="3"/>
  </r>
  <r>
    <x v="1988"/>
    <s v="Female"/>
    <n v="42"/>
    <s v="DE"/>
    <s v="Free"/>
    <n v="223"/>
    <n v="88"/>
    <n v="0.59"/>
    <s v="Desktop"/>
    <n v="21"/>
    <n v="0"/>
    <n v="0"/>
    <n v="0"/>
    <n v="0"/>
    <x v="4"/>
  </r>
  <r>
    <x v="1989"/>
    <s v="Female"/>
    <n v="47"/>
    <s v="IN"/>
    <s v="Free"/>
    <n v="104"/>
    <n v="29"/>
    <n v="0.55000000000000004"/>
    <s v="Mobile"/>
    <n v="32"/>
    <n v="0"/>
    <n v="1"/>
    <n v="0"/>
    <n v="0"/>
    <x v="0"/>
  </r>
  <r>
    <x v="1990"/>
    <s v="Female"/>
    <n v="41"/>
    <s v="CA"/>
    <s v="Free"/>
    <n v="41"/>
    <n v="77"/>
    <n v="0.04"/>
    <s v="Desktop"/>
    <n v="24"/>
    <n v="0"/>
    <n v="1"/>
    <n v="0"/>
    <n v="0"/>
    <x v="4"/>
  </r>
  <r>
    <x v="1991"/>
    <s v="Other"/>
    <n v="42"/>
    <s v="IN"/>
    <s v="Free"/>
    <n v="211"/>
    <n v="36"/>
    <n v="0.4"/>
    <s v="Desktop"/>
    <n v="34"/>
    <n v="0"/>
    <n v="0"/>
    <n v="0"/>
    <n v="0"/>
    <x v="0"/>
  </r>
  <r>
    <x v="1992"/>
    <s v="Male"/>
    <n v="59"/>
    <s v="DE"/>
    <s v="Free"/>
    <n v="269"/>
    <n v="43"/>
    <n v="0.09"/>
    <s v="Mobile"/>
    <n v="37"/>
    <n v="0"/>
    <n v="0"/>
    <n v="0"/>
    <n v="0"/>
    <x v="0"/>
  </r>
  <r>
    <x v="1993"/>
    <s v="Other"/>
    <n v="36"/>
    <s v="DE"/>
    <s v="Free"/>
    <n v="135"/>
    <n v="79"/>
    <n v="0.53"/>
    <s v="Mobile"/>
    <n v="25"/>
    <n v="0"/>
    <n v="0"/>
    <n v="0"/>
    <n v="0"/>
    <x v="4"/>
  </r>
  <r>
    <x v="1994"/>
    <s v="Other"/>
    <n v="50"/>
    <s v="FR"/>
    <s v="Free"/>
    <n v="216"/>
    <n v="6"/>
    <n v="0.39"/>
    <s v="Web"/>
    <n v="8"/>
    <n v="0"/>
    <n v="0"/>
    <n v="0"/>
    <n v="0"/>
    <x v="2"/>
  </r>
  <r>
    <x v="1995"/>
    <s v="Male"/>
    <n v="37"/>
    <s v="PK"/>
    <s v="Free"/>
    <n v="220"/>
    <n v="91"/>
    <n v="0.56000000000000005"/>
    <s v="Mobile"/>
    <n v="47"/>
    <n v="0"/>
    <n v="1"/>
    <n v="0"/>
    <n v="0"/>
    <x v="3"/>
  </r>
  <r>
    <x v="1996"/>
    <s v="Female"/>
    <n v="46"/>
    <s v="AU"/>
    <s v="Free"/>
    <n v="105"/>
    <n v="21"/>
    <n v="0.32"/>
    <s v="Desktop"/>
    <n v="11"/>
    <n v="0"/>
    <n v="0"/>
    <n v="0"/>
    <n v="0"/>
    <x v="1"/>
  </r>
  <r>
    <x v="1997"/>
    <s v="Other"/>
    <n v="59"/>
    <s v="FR"/>
    <s v="Free"/>
    <n v="22"/>
    <n v="48"/>
    <n v="0.05"/>
    <s v="Mobile"/>
    <n v="17"/>
    <n v="0"/>
    <n v="0"/>
    <n v="0"/>
    <n v="0"/>
    <x v="1"/>
  </r>
  <r>
    <x v="1998"/>
    <s v="Female"/>
    <n v="41"/>
    <s v="IN"/>
    <s v="Free"/>
    <n v="277"/>
    <n v="79"/>
    <n v="0.25"/>
    <s v="Mobile"/>
    <n v="14"/>
    <n v="0"/>
    <n v="0"/>
    <n v="0"/>
    <n v="0"/>
    <x v="1"/>
  </r>
  <r>
    <x v="1999"/>
    <s v="Female"/>
    <n v="34"/>
    <s v="AU"/>
    <s v="Free"/>
    <n v="56"/>
    <n v="51"/>
    <n v="0.21"/>
    <s v="Web"/>
    <n v="37"/>
    <n v="0"/>
    <n v="0"/>
    <n v="0"/>
    <n v="0"/>
    <x v="0"/>
  </r>
  <r>
    <x v="2000"/>
    <s v="Male"/>
    <n v="58"/>
    <s v="AU"/>
    <s v="Free"/>
    <n v="229"/>
    <n v="28"/>
    <n v="0.57999999999999996"/>
    <s v="Mobile"/>
    <n v="11"/>
    <n v="0"/>
    <n v="0"/>
    <n v="0"/>
    <n v="0"/>
    <x v="1"/>
  </r>
  <r>
    <x v="2001"/>
    <s v="Female"/>
    <n v="24"/>
    <s v="FR"/>
    <s v="Free"/>
    <n v="86"/>
    <n v="23"/>
    <n v="0.28000000000000003"/>
    <s v="Desktop"/>
    <n v="28"/>
    <n v="0"/>
    <n v="1"/>
    <n v="0"/>
    <n v="0"/>
    <x v="4"/>
  </r>
  <r>
    <x v="2002"/>
    <s v="Male"/>
    <n v="30"/>
    <s v="PK"/>
    <s v="Free"/>
    <n v="228"/>
    <n v="94"/>
    <n v="0.35"/>
    <s v="Desktop"/>
    <n v="12"/>
    <n v="0"/>
    <n v="0"/>
    <n v="0"/>
    <n v="0"/>
    <x v="1"/>
  </r>
  <r>
    <x v="2003"/>
    <s v="Female"/>
    <n v="36"/>
    <s v="UK"/>
    <s v="Free"/>
    <n v="288"/>
    <n v="60"/>
    <n v="0.38"/>
    <s v="Web"/>
    <n v="17"/>
    <n v="0"/>
    <n v="0"/>
    <n v="0"/>
    <n v="0"/>
    <x v="1"/>
  </r>
  <r>
    <x v="2004"/>
    <s v="Male"/>
    <n v="50"/>
    <s v="DE"/>
    <s v="Free"/>
    <n v="29"/>
    <n v="25"/>
    <n v="0.3"/>
    <s v="Desktop"/>
    <n v="38"/>
    <n v="0"/>
    <n v="0"/>
    <n v="0"/>
    <n v="0"/>
    <x v="0"/>
  </r>
  <r>
    <x v="2005"/>
    <s v="Male"/>
    <n v="57"/>
    <s v="PK"/>
    <s v="Free"/>
    <n v="85"/>
    <n v="44"/>
    <n v="0.31"/>
    <s v="Mobile"/>
    <n v="38"/>
    <n v="0"/>
    <n v="0"/>
    <n v="0"/>
    <n v="0"/>
    <x v="0"/>
  </r>
  <r>
    <x v="2006"/>
    <s v="Other"/>
    <n v="34"/>
    <s v="PK"/>
    <s v="Free"/>
    <n v="18"/>
    <n v="69"/>
    <n v="0.11"/>
    <s v="Mobile"/>
    <n v="26"/>
    <n v="0"/>
    <n v="1"/>
    <n v="0"/>
    <n v="0"/>
    <x v="4"/>
  </r>
  <r>
    <x v="2007"/>
    <s v="Male"/>
    <n v="47"/>
    <s v="IN"/>
    <s v="Free"/>
    <n v="257"/>
    <n v="11"/>
    <n v="0.47"/>
    <s v="Desktop"/>
    <n v="10"/>
    <n v="0"/>
    <n v="1"/>
    <n v="0"/>
    <n v="0"/>
    <x v="1"/>
  </r>
  <r>
    <x v="2008"/>
    <s v="Other"/>
    <n v="53"/>
    <s v="UK"/>
    <s v="Free"/>
    <n v="197"/>
    <n v="21"/>
    <n v="0.09"/>
    <s v="Mobile"/>
    <n v="45"/>
    <n v="0"/>
    <n v="0"/>
    <n v="0"/>
    <n v="0"/>
    <x v="3"/>
  </r>
  <r>
    <x v="2009"/>
    <s v="Female"/>
    <n v="54"/>
    <s v="IN"/>
    <s v="Free"/>
    <n v="297"/>
    <n v="79"/>
    <n v="0.14000000000000001"/>
    <s v="Mobile"/>
    <n v="46"/>
    <n v="0"/>
    <n v="0"/>
    <n v="0"/>
    <n v="0"/>
    <x v="3"/>
  </r>
  <r>
    <x v="2010"/>
    <s v="Female"/>
    <n v="39"/>
    <s v="PK"/>
    <s v="Free"/>
    <n v="177"/>
    <n v="61"/>
    <n v="0.28000000000000003"/>
    <s v="Mobile"/>
    <n v="5"/>
    <n v="0"/>
    <n v="1"/>
    <n v="0"/>
    <n v="0"/>
    <x v="2"/>
  </r>
  <r>
    <x v="2011"/>
    <s v="Female"/>
    <n v="40"/>
    <s v="IN"/>
    <s v="Free"/>
    <n v="179"/>
    <n v="33"/>
    <n v="0.35"/>
    <s v="Desktop"/>
    <n v="8"/>
    <n v="0"/>
    <n v="0"/>
    <n v="0"/>
    <n v="0"/>
    <x v="2"/>
  </r>
  <r>
    <x v="2012"/>
    <s v="Male"/>
    <n v="54"/>
    <s v="DE"/>
    <s v="Free"/>
    <n v="250"/>
    <n v="49"/>
    <n v="0.2"/>
    <s v="Mobile"/>
    <n v="44"/>
    <n v="0"/>
    <n v="1"/>
    <n v="0"/>
    <n v="0"/>
    <x v="3"/>
  </r>
  <r>
    <x v="2013"/>
    <s v="Female"/>
    <n v="41"/>
    <s v="DE"/>
    <s v="Free"/>
    <n v="94"/>
    <n v="59"/>
    <n v="0.04"/>
    <s v="Desktop"/>
    <n v="29"/>
    <n v="0"/>
    <n v="0"/>
    <n v="0"/>
    <n v="0"/>
    <x v="4"/>
  </r>
  <r>
    <x v="2014"/>
    <s v="Female"/>
    <n v="32"/>
    <s v="CA"/>
    <s v="Free"/>
    <n v="114"/>
    <n v="69"/>
    <n v="0.28999999999999998"/>
    <s v="Desktop"/>
    <n v="49"/>
    <n v="0"/>
    <n v="0"/>
    <n v="0"/>
    <n v="0"/>
    <x v="3"/>
  </r>
  <r>
    <x v="2015"/>
    <s v="Other"/>
    <n v="29"/>
    <s v="CA"/>
    <s v="Free"/>
    <n v="206"/>
    <n v="19"/>
    <n v="0.45"/>
    <s v="Web"/>
    <n v="40"/>
    <n v="0"/>
    <n v="0"/>
    <n v="0"/>
    <n v="0"/>
    <x v="3"/>
  </r>
  <r>
    <x v="2016"/>
    <s v="Female"/>
    <n v="17"/>
    <s v="US"/>
    <s v="Free"/>
    <n v="81"/>
    <n v="62"/>
    <n v="0.33"/>
    <s v="Desktop"/>
    <n v="5"/>
    <n v="0"/>
    <n v="0"/>
    <n v="0"/>
    <n v="0"/>
    <x v="2"/>
  </r>
  <r>
    <x v="2017"/>
    <s v="Other"/>
    <n v="45"/>
    <s v="AU"/>
    <s v="Free"/>
    <n v="210"/>
    <n v="68"/>
    <n v="0.46"/>
    <s v="Desktop"/>
    <n v="6"/>
    <n v="0"/>
    <n v="0"/>
    <n v="0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D11B8-471C-4BFE-84D5-611781D80374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9" firstHeaderRow="0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2"/>
        <item x="1"/>
        <item x="4"/>
        <item x="0"/>
        <item x="3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is_churned" fld="11" subtotal="average" baseField="14" baseItem="0" numFmtId="10"/>
    <dataField name="Count of user_id" fld="0" subtotal="count" baseField="14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CAF36-4B65-474C-BEB6-1946A0A2A9E3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14">
    <pivotField showAll="0"/>
    <pivotField showAll="0"/>
    <pivotField showAll="0"/>
    <pivotField axis="axisRow" showAll="0">
      <items count="9">
        <item x="2"/>
        <item x="0"/>
        <item x="1"/>
        <item x="6"/>
        <item x="5"/>
        <item x="7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Lost Revenue" fld="13" baseField="3" baseItem="0"/>
    <dataField name="Total potential Revenue" fld="12" baseField="3" baseItem="0"/>
  </dataFields>
  <formats count="2">
    <format dxfId="21">
      <pivotArea collapsedLevelsAreSubtotals="1" fieldPosition="0">
        <references count="1">
          <reference field="3" count="1">
            <x v="5"/>
          </reference>
        </references>
      </pivotArea>
    </format>
    <format dxfId="20">
      <pivotArea dataOnly="0" labelOnly="1" fieldPosition="0">
        <references count="1">
          <reference field="3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E792D-2313-4FC5-B1B2-9A4008E5D40D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C23" firstHeaderRow="0" firstDataRow="1" firstDataCol="1"/>
  <pivotFields count="14"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st Revenue" fld="13" baseField="0" baseItem="0"/>
    <dataField name="Sum of Monthly Price" fld="12" baseField="0" baseItem="0"/>
  </dataFields>
  <formats count="2">
    <format dxfId="23">
      <pivotArea collapsedLevelsAreSubtotals="1" fieldPosition="0">
        <references count="1">
          <reference field="4" count="1">
            <x v="0"/>
          </reference>
        </references>
      </pivotArea>
    </format>
    <format dxfId="22">
      <pivotArea dataOnly="0" labelOnly="1" fieldPosition="0">
        <references count="1"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B521D-10D0-4009-A858-9FC9301FDC0E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 colHeaderCaption="Subs Type">
  <location ref="A3:F13" firstHeaderRow="1" firstDataRow="2" firstDataCol="1"/>
  <pivotFields count="14">
    <pivotField showAll="0"/>
    <pivotField showAll="0"/>
    <pivotField showAll="0"/>
    <pivotField axis="axisRow" showAll="0" sortType="descending">
      <items count="9">
        <item x="2"/>
        <item x="0"/>
        <item x="1"/>
        <item x="6"/>
        <item x="5"/>
        <item x="7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9">
    <i>
      <x v="5"/>
    </i>
    <i>
      <x v="2"/>
    </i>
    <i>
      <x v="3"/>
    </i>
    <i>
      <x/>
    </i>
    <i>
      <x v="7"/>
    </i>
    <i>
      <x v="1"/>
    </i>
    <i>
      <x v="6"/>
    </i>
    <i>
      <x v="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is_churned" fld="11" subtotal="average" baseField="3" baseItem="2" numFmtId="164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140AB-8FDE-4884-BFC8-031836E0A1DE}" name="Table1" displayName="Table1" ref="A1:N8001" totalsRowShown="0">
  <autoFilter ref="A1:N8001" xr:uid="{64D140AB-8FDE-4884-BFC8-031836E0A1DE}"/>
  <tableColumns count="14">
    <tableColumn id="1" xr3:uid="{E6AC77A7-9162-4280-996D-A84CBD550272}" name="user_id"/>
    <tableColumn id="2" xr3:uid="{12CFF563-9BD2-4EA1-BB7F-77CC74A666D6}" name="gender"/>
    <tableColumn id="3" xr3:uid="{A4514365-C547-4AFA-8E02-4059110340B2}" name="age"/>
    <tableColumn id="4" xr3:uid="{3FFAF0EA-B9C4-4D16-BB65-EAD6EEBADEFF}" name="country"/>
    <tableColumn id="5" xr3:uid="{3C12A696-AB43-4707-BF60-2F929AE604A4}" name="subscription_type"/>
    <tableColumn id="6" xr3:uid="{92C06189-32F2-47EC-A489-2CC406248BC3}" name="listening_time"/>
    <tableColumn id="7" xr3:uid="{678A5960-AAA3-41C7-9EB1-4739E4FA4852}" name="songs_played_per_day"/>
    <tableColumn id="8" xr3:uid="{2BD53108-D8E5-4364-93A2-7D6B5551AAB7}" name="skip_rate"/>
    <tableColumn id="9" xr3:uid="{9D42C256-8B1D-4EF2-B91B-D475B611A50C}" name="device_type"/>
    <tableColumn id="10" xr3:uid="{8AE68BA7-007B-494C-8804-260F028ECE21}" name="ads_listened_per_week"/>
    <tableColumn id="11" xr3:uid="{5C640983-0243-4BD4-9C4E-4F799AEEA5AD}" name="offline_listening"/>
    <tableColumn id="12" xr3:uid="{80772129-B8B0-4AF7-A2EE-EB1D0C7A026D}" name="is_churned"/>
    <tableColumn id="13" xr3:uid="{68237143-BA51-43B4-BA88-55FE67A88487}" name="Monthly Price" dataDxfId="25">
      <calculatedColumnFormula>VLOOKUP(Table1[[#This Row],[subscription_type]],Plans!$A$1:$B$5,2,FALSE)</calculatedColumnFormula>
    </tableColumn>
    <tableColumn id="14" xr3:uid="{B883C14A-7F07-4630-9759-610851741CA6}" name="Lost Revenue" dataDxfId="24">
      <calculatedColumnFormula>IF(L2=1, M2,0)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93FC10-51ED-4C88-B426-2052CCB5E15F}" name="Table2" displayName="Table2" ref="A1:O2019" totalsRowShown="0" headerRowDxfId="1" dataDxfId="2" headerRowBorderDxfId="18" tableBorderDxfId="19" totalsRowBorderDxfId="17">
  <autoFilter ref="A1:O2019" xr:uid="{4793FC10-51ED-4C88-B426-2052CCB5E15F}"/>
  <tableColumns count="15">
    <tableColumn id="1" xr3:uid="{7BB17FC9-2A91-4A4D-AD12-FE79D53BCB12}" name="user_id" dataDxfId="16"/>
    <tableColumn id="2" xr3:uid="{7CFE9268-B5A8-4687-89AB-DD0E355DE8F7}" name="gender" dataDxfId="15"/>
    <tableColumn id="3" xr3:uid="{E41AB97E-87B5-4338-9178-A6FB6A4F9EC8}" name="age" dataDxfId="14"/>
    <tableColumn id="4" xr3:uid="{DF71171F-77CB-4083-879F-B0382E15B2CA}" name="country" dataDxfId="13"/>
    <tableColumn id="5" xr3:uid="{C8F7380B-B78D-4113-8DAF-AF34B033D307}" name="subscription_type" dataDxfId="12"/>
    <tableColumn id="6" xr3:uid="{7FB6DFFE-2569-492B-AFC6-B018A22817F7}" name="listening_time" dataDxfId="11"/>
    <tableColumn id="7" xr3:uid="{965A3C16-A59D-462D-AD34-6CC519FBBDD4}" name="songs_played_per_day" dataDxfId="10"/>
    <tableColumn id="8" xr3:uid="{A25FFF76-B67D-4352-9041-560AB000CB02}" name="skip_rate" dataDxfId="9"/>
    <tableColumn id="9" xr3:uid="{B504DEFA-3F50-48D5-B474-D53FF936C19B}" name="device_type" dataDxfId="8"/>
    <tableColumn id="10" xr3:uid="{92873149-E675-46E7-BB4F-ABDAF5953CFD}" name="ads_listened_per_week" dataDxfId="7"/>
    <tableColumn id="11" xr3:uid="{8F854DDC-2CC6-4D8F-8DD5-3657BC697EC7}" name="offline_listening" dataDxfId="6"/>
    <tableColumn id="12" xr3:uid="{684F8F83-19A6-4000-A8FE-BB2E5D3E7BAA}" name="is_churned" dataDxfId="5"/>
    <tableColumn id="13" xr3:uid="{77F05AF3-DBDF-4D2A-B567-59EF9087D9E9}" name="Monthly Price" dataDxfId="4"/>
    <tableColumn id="14" xr3:uid="{EE77D5DD-E06C-4E00-BAC2-EF81092DB6EC}" name="Lost Revenue" dataDxfId="3"/>
    <tableColumn id="15" xr3:uid="{B9AA4440-B2D3-4185-9F15-F674E81C41A2}" name="Ad_bucket" dataDxfId="0">
      <calculatedColumnFormula>_xlfn.FLOOR.MATH(J2, 10) &amp; " - " &amp; (_xlfn.FLOOR.MATH(J2, 10) + 9)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2AAE-3E65-465C-8734-F678239750F6}">
  <dimension ref="A1:N8001"/>
  <sheetViews>
    <sheetView topLeftCell="A2" workbookViewId="0">
      <selection activeCell="E10" sqref="E10"/>
    </sheetView>
  </sheetViews>
  <sheetFormatPr defaultRowHeight="14.5" x14ac:dyDescent="0.35"/>
  <cols>
    <col min="1" max="1" width="8.90625" customWidth="1"/>
    <col min="4" max="4" width="9.1796875" customWidth="1"/>
    <col min="5" max="5" width="17.81640625" customWidth="1"/>
    <col min="6" max="6" width="14.7265625" customWidth="1"/>
    <col min="7" max="7" width="21.453125" customWidth="1"/>
    <col min="8" max="8" width="10.453125" customWidth="1"/>
    <col min="9" max="9" width="12.81640625" customWidth="1"/>
    <col min="10" max="10" width="22.1796875" customWidth="1"/>
    <col min="11" max="11" width="16.36328125" customWidth="1"/>
    <col min="12" max="12" width="12.08984375" customWidth="1"/>
    <col min="13" max="13" width="17.453125" customWidth="1"/>
    <col min="14" max="14" width="16.7265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</v>
      </c>
      <c r="N1" t="s">
        <v>33</v>
      </c>
    </row>
    <row r="2" spans="1:14" x14ac:dyDescent="0.35">
      <c r="A2">
        <v>1</v>
      </c>
      <c r="B2" t="s">
        <v>12</v>
      </c>
      <c r="C2">
        <v>54</v>
      </c>
      <c r="D2" t="s">
        <v>13</v>
      </c>
      <c r="E2" t="s">
        <v>14</v>
      </c>
      <c r="F2">
        <v>26</v>
      </c>
      <c r="G2">
        <v>23</v>
      </c>
      <c r="H2">
        <v>0.2</v>
      </c>
      <c r="I2" t="s">
        <v>15</v>
      </c>
      <c r="J2">
        <v>31</v>
      </c>
      <c r="K2">
        <v>0</v>
      </c>
      <c r="L2">
        <v>1</v>
      </c>
      <c r="M2">
        <f>VLOOKUP(Table1[[#This Row],[subscription_type]],Plans!$A$1:$B$5,2,FALSE)</f>
        <v>0</v>
      </c>
      <c r="N2">
        <f t="shared" ref="N2:N65" si="0">IF(L2=1, M2,0)</f>
        <v>0</v>
      </c>
    </row>
    <row r="3" spans="1:14" x14ac:dyDescent="0.35">
      <c r="A3">
        <v>2</v>
      </c>
      <c r="B3" t="s">
        <v>16</v>
      </c>
      <c r="C3">
        <v>33</v>
      </c>
      <c r="D3" t="s">
        <v>17</v>
      </c>
      <c r="E3" t="s">
        <v>18</v>
      </c>
      <c r="F3">
        <v>141</v>
      </c>
      <c r="G3">
        <v>62</v>
      </c>
      <c r="H3">
        <v>0.34</v>
      </c>
      <c r="I3" t="s">
        <v>19</v>
      </c>
      <c r="J3">
        <v>0</v>
      </c>
      <c r="K3">
        <v>1</v>
      </c>
      <c r="L3">
        <v>0</v>
      </c>
      <c r="M3">
        <f>VLOOKUP(Table1[[#This Row],[subscription_type]],Plans!$A$1:$B$5,2,FALSE)</f>
        <v>14.99</v>
      </c>
      <c r="N3">
        <f t="shared" si="0"/>
        <v>0</v>
      </c>
    </row>
    <row r="4" spans="1:14" x14ac:dyDescent="0.35">
      <c r="A4">
        <v>3</v>
      </c>
      <c r="B4" t="s">
        <v>20</v>
      </c>
      <c r="C4">
        <v>38</v>
      </c>
      <c r="D4" t="s">
        <v>21</v>
      </c>
      <c r="E4" t="s">
        <v>22</v>
      </c>
      <c r="F4">
        <v>199</v>
      </c>
      <c r="G4">
        <v>38</v>
      </c>
      <c r="H4">
        <v>0.04</v>
      </c>
      <c r="I4" t="s">
        <v>23</v>
      </c>
      <c r="J4">
        <v>0</v>
      </c>
      <c r="K4">
        <v>1</v>
      </c>
      <c r="L4">
        <v>1</v>
      </c>
      <c r="M4">
        <f>VLOOKUP(Table1[[#This Row],[subscription_type]],Plans!$A$1:$B$5,2,FALSE)</f>
        <v>9.99</v>
      </c>
      <c r="N4">
        <f t="shared" si="0"/>
        <v>9.99</v>
      </c>
    </row>
    <row r="5" spans="1:14" x14ac:dyDescent="0.35">
      <c r="A5">
        <v>4</v>
      </c>
      <c r="B5" t="s">
        <v>12</v>
      </c>
      <c r="C5">
        <v>22</v>
      </c>
      <c r="D5" t="s">
        <v>13</v>
      </c>
      <c r="E5" t="s">
        <v>24</v>
      </c>
      <c r="F5">
        <v>36</v>
      </c>
      <c r="G5">
        <v>2</v>
      </c>
      <c r="H5">
        <v>0.31</v>
      </c>
      <c r="I5" t="s">
        <v>23</v>
      </c>
      <c r="J5">
        <v>0</v>
      </c>
      <c r="K5">
        <v>1</v>
      </c>
      <c r="L5">
        <v>0</v>
      </c>
      <c r="M5">
        <f>VLOOKUP(Table1[[#This Row],[subscription_type]],Plans!$A$1:$B$5,2,FALSE)</f>
        <v>4.99</v>
      </c>
      <c r="N5">
        <f t="shared" si="0"/>
        <v>0</v>
      </c>
    </row>
    <row r="6" spans="1:14" x14ac:dyDescent="0.35">
      <c r="A6">
        <v>5</v>
      </c>
      <c r="B6" t="s">
        <v>16</v>
      </c>
      <c r="C6">
        <v>29</v>
      </c>
      <c r="D6" t="s">
        <v>25</v>
      </c>
      <c r="E6" t="s">
        <v>18</v>
      </c>
      <c r="F6">
        <v>250</v>
      </c>
      <c r="G6">
        <v>57</v>
      </c>
      <c r="H6">
        <v>0.36</v>
      </c>
      <c r="I6" t="s">
        <v>23</v>
      </c>
      <c r="J6">
        <v>0</v>
      </c>
      <c r="K6">
        <v>1</v>
      </c>
      <c r="L6">
        <v>1</v>
      </c>
      <c r="M6">
        <f>VLOOKUP(Table1[[#This Row],[subscription_type]],Plans!$A$1:$B$5,2,FALSE)</f>
        <v>14.99</v>
      </c>
      <c r="N6">
        <f t="shared" si="0"/>
        <v>14.99</v>
      </c>
    </row>
    <row r="7" spans="1:14" x14ac:dyDescent="0.35">
      <c r="A7">
        <v>6</v>
      </c>
      <c r="B7" t="s">
        <v>12</v>
      </c>
      <c r="C7">
        <v>17</v>
      </c>
      <c r="D7" t="s">
        <v>21</v>
      </c>
      <c r="E7" t="s">
        <v>14</v>
      </c>
      <c r="F7">
        <v>219</v>
      </c>
      <c r="G7">
        <v>35</v>
      </c>
      <c r="H7">
        <v>0.46</v>
      </c>
      <c r="I7" t="s">
        <v>15</v>
      </c>
      <c r="J7">
        <v>13</v>
      </c>
      <c r="K7">
        <v>0</v>
      </c>
      <c r="L7">
        <v>0</v>
      </c>
      <c r="M7">
        <f>VLOOKUP(Table1[[#This Row],[subscription_type]],Plans!$A$1:$B$5,2,FALSE)</f>
        <v>0</v>
      </c>
      <c r="N7">
        <f t="shared" si="0"/>
        <v>0</v>
      </c>
    </row>
    <row r="8" spans="1:14" x14ac:dyDescent="0.35">
      <c r="A8">
        <v>7</v>
      </c>
      <c r="B8" t="s">
        <v>12</v>
      </c>
      <c r="C8">
        <v>39</v>
      </c>
      <c r="D8" t="s">
        <v>26</v>
      </c>
      <c r="E8" t="s">
        <v>22</v>
      </c>
      <c r="F8">
        <v>289</v>
      </c>
      <c r="G8">
        <v>44</v>
      </c>
      <c r="H8">
        <v>0.38</v>
      </c>
      <c r="I8" t="s">
        <v>15</v>
      </c>
      <c r="J8">
        <v>0</v>
      </c>
      <c r="K8">
        <v>1</v>
      </c>
      <c r="L8">
        <v>0</v>
      </c>
      <c r="M8">
        <f>VLOOKUP(Table1[[#This Row],[subscription_type]],Plans!$A$1:$B$5,2,FALSE)</f>
        <v>9.99</v>
      </c>
      <c r="N8">
        <f t="shared" si="0"/>
        <v>0</v>
      </c>
    </row>
    <row r="9" spans="1:14" x14ac:dyDescent="0.35">
      <c r="A9">
        <v>8</v>
      </c>
      <c r="B9" t="s">
        <v>12</v>
      </c>
      <c r="C9">
        <v>41</v>
      </c>
      <c r="D9" t="s">
        <v>26</v>
      </c>
      <c r="E9" t="s">
        <v>14</v>
      </c>
      <c r="F9">
        <v>210</v>
      </c>
      <c r="G9">
        <v>68</v>
      </c>
      <c r="H9">
        <v>0.11</v>
      </c>
      <c r="I9" t="s">
        <v>23</v>
      </c>
      <c r="J9">
        <v>5</v>
      </c>
      <c r="K9">
        <v>0</v>
      </c>
      <c r="L9">
        <v>0</v>
      </c>
      <c r="M9">
        <f>VLOOKUP(Table1[[#This Row],[subscription_type]],Plans!$A$1:$B$5,2,FALSE)</f>
        <v>0</v>
      </c>
      <c r="N9">
        <f t="shared" si="0"/>
        <v>0</v>
      </c>
    </row>
    <row r="10" spans="1:14" x14ac:dyDescent="0.35">
      <c r="A10">
        <v>9</v>
      </c>
      <c r="B10" t="s">
        <v>16</v>
      </c>
      <c r="C10">
        <v>55</v>
      </c>
      <c r="D10" t="s">
        <v>17</v>
      </c>
      <c r="E10" t="s">
        <v>24</v>
      </c>
      <c r="F10">
        <v>50</v>
      </c>
      <c r="G10">
        <v>66</v>
      </c>
      <c r="H10">
        <v>0.28999999999999998</v>
      </c>
      <c r="I10" t="s">
        <v>19</v>
      </c>
      <c r="J10">
        <v>0</v>
      </c>
      <c r="K10">
        <v>1</v>
      </c>
      <c r="L10">
        <v>0</v>
      </c>
      <c r="M10">
        <f>VLOOKUP(Table1[[#This Row],[subscription_type]],Plans!$A$1:$B$5,2,FALSE)</f>
        <v>4.99</v>
      </c>
      <c r="N10">
        <f t="shared" si="0"/>
        <v>0</v>
      </c>
    </row>
    <row r="11" spans="1:14" x14ac:dyDescent="0.35">
      <c r="A11">
        <v>10</v>
      </c>
      <c r="B11" t="s">
        <v>20</v>
      </c>
      <c r="C11">
        <v>44</v>
      </c>
      <c r="D11" t="s">
        <v>17</v>
      </c>
      <c r="E11" t="s">
        <v>14</v>
      </c>
      <c r="F11">
        <v>278</v>
      </c>
      <c r="G11">
        <v>94</v>
      </c>
      <c r="H11">
        <v>0.38</v>
      </c>
      <c r="I11" t="s">
        <v>23</v>
      </c>
      <c r="J11">
        <v>44</v>
      </c>
      <c r="K11">
        <v>0</v>
      </c>
      <c r="L11">
        <v>0</v>
      </c>
      <c r="M11">
        <f>VLOOKUP(Table1[[#This Row],[subscription_type]],Plans!$A$1:$B$5,2,FALSE)</f>
        <v>0</v>
      </c>
      <c r="N11">
        <f t="shared" si="0"/>
        <v>0</v>
      </c>
    </row>
    <row r="12" spans="1:14" x14ac:dyDescent="0.35">
      <c r="A12">
        <v>11</v>
      </c>
      <c r="B12" t="s">
        <v>16</v>
      </c>
      <c r="C12">
        <v>33</v>
      </c>
      <c r="D12" t="s">
        <v>17</v>
      </c>
      <c r="E12" t="s">
        <v>14</v>
      </c>
      <c r="F12">
        <v>86</v>
      </c>
      <c r="G12">
        <v>44</v>
      </c>
      <c r="H12">
        <v>0.11</v>
      </c>
      <c r="I12" t="s">
        <v>19</v>
      </c>
      <c r="J12">
        <v>37</v>
      </c>
      <c r="K12">
        <v>0</v>
      </c>
      <c r="L12">
        <v>0</v>
      </c>
      <c r="M12">
        <f>VLOOKUP(Table1[[#This Row],[subscription_type]],Plans!$A$1:$B$5,2,FALSE)</f>
        <v>0</v>
      </c>
      <c r="N12">
        <f t="shared" si="0"/>
        <v>0</v>
      </c>
    </row>
    <row r="13" spans="1:14" x14ac:dyDescent="0.35">
      <c r="A13">
        <v>12</v>
      </c>
      <c r="B13" t="s">
        <v>16</v>
      </c>
      <c r="C13">
        <v>24</v>
      </c>
      <c r="D13" t="s">
        <v>13</v>
      </c>
      <c r="E13" t="s">
        <v>14</v>
      </c>
      <c r="F13">
        <v>113</v>
      </c>
      <c r="G13">
        <v>24</v>
      </c>
      <c r="H13">
        <v>0.56000000000000005</v>
      </c>
      <c r="I13" t="s">
        <v>15</v>
      </c>
      <c r="J13">
        <v>39</v>
      </c>
      <c r="K13">
        <v>0</v>
      </c>
      <c r="L13">
        <v>1</v>
      </c>
      <c r="M13">
        <f>VLOOKUP(Table1[[#This Row],[subscription_type]],Plans!$A$1:$B$5,2,FALSE)</f>
        <v>0</v>
      </c>
      <c r="N13">
        <f t="shared" si="0"/>
        <v>0</v>
      </c>
    </row>
    <row r="14" spans="1:14" x14ac:dyDescent="0.35">
      <c r="A14">
        <v>13</v>
      </c>
      <c r="B14" t="s">
        <v>12</v>
      </c>
      <c r="C14">
        <v>37</v>
      </c>
      <c r="D14" t="s">
        <v>27</v>
      </c>
      <c r="E14" t="s">
        <v>18</v>
      </c>
      <c r="F14">
        <v>24</v>
      </c>
      <c r="G14">
        <v>86</v>
      </c>
      <c r="H14">
        <v>0.11</v>
      </c>
      <c r="I14" t="s">
        <v>15</v>
      </c>
      <c r="J14">
        <v>0</v>
      </c>
      <c r="K14">
        <v>1</v>
      </c>
      <c r="L14">
        <v>0</v>
      </c>
      <c r="M14">
        <f>VLOOKUP(Table1[[#This Row],[subscription_type]],Plans!$A$1:$B$5,2,FALSE)</f>
        <v>14.99</v>
      </c>
      <c r="N14">
        <f t="shared" si="0"/>
        <v>0</v>
      </c>
    </row>
    <row r="15" spans="1:14" x14ac:dyDescent="0.35">
      <c r="A15">
        <v>14</v>
      </c>
      <c r="B15" t="s">
        <v>12</v>
      </c>
      <c r="C15">
        <v>53</v>
      </c>
      <c r="D15" t="s">
        <v>25</v>
      </c>
      <c r="E15" t="s">
        <v>22</v>
      </c>
      <c r="F15">
        <v>45</v>
      </c>
      <c r="G15">
        <v>47</v>
      </c>
      <c r="H15">
        <v>0.6</v>
      </c>
      <c r="I15" t="s">
        <v>19</v>
      </c>
      <c r="J15">
        <v>0</v>
      </c>
      <c r="K15">
        <v>1</v>
      </c>
      <c r="L15">
        <v>0</v>
      </c>
      <c r="M15">
        <f>VLOOKUP(Table1[[#This Row],[subscription_type]],Plans!$A$1:$B$5,2,FALSE)</f>
        <v>9.99</v>
      </c>
      <c r="N15">
        <f t="shared" si="0"/>
        <v>0</v>
      </c>
    </row>
    <row r="16" spans="1:14" x14ac:dyDescent="0.35">
      <c r="A16">
        <v>15</v>
      </c>
      <c r="B16" t="s">
        <v>16</v>
      </c>
      <c r="C16">
        <v>37</v>
      </c>
      <c r="D16" t="s">
        <v>27</v>
      </c>
      <c r="E16" t="s">
        <v>18</v>
      </c>
      <c r="F16">
        <v>114</v>
      </c>
      <c r="G16">
        <v>13</v>
      </c>
      <c r="H16">
        <v>0.44</v>
      </c>
      <c r="I16" t="s">
        <v>19</v>
      </c>
      <c r="J16">
        <v>0</v>
      </c>
      <c r="K16">
        <v>1</v>
      </c>
      <c r="L16">
        <v>1</v>
      </c>
      <c r="M16">
        <f>VLOOKUP(Table1[[#This Row],[subscription_type]],Plans!$A$1:$B$5,2,FALSE)</f>
        <v>14.99</v>
      </c>
      <c r="N16">
        <f t="shared" si="0"/>
        <v>14.99</v>
      </c>
    </row>
    <row r="17" spans="1:14" x14ac:dyDescent="0.35">
      <c r="A17">
        <v>16</v>
      </c>
      <c r="B17" t="s">
        <v>20</v>
      </c>
      <c r="C17">
        <v>25</v>
      </c>
      <c r="D17" t="s">
        <v>28</v>
      </c>
      <c r="E17" t="s">
        <v>24</v>
      </c>
      <c r="F17">
        <v>230</v>
      </c>
      <c r="G17">
        <v>25</v>
      </c>
      <c r="H17">
        <v>0.26</v>
      </c>
      <c r="I17" t="s">
        <v>15</v>
      </c>
      <c r="J17">
        <v>0</v>
      </c>
      <c r="K17">
        <v>1</v>
      </c>
      <c r="L17">
        <v>0</v>
      </c>
      <c r="M17">
        <f>VLOOKUP(Table1[[#This Row],[subscription_type]],Plans!$A$1:$B$5,2,FALSE)</f>
        <v>4.99</v>
      </c>
      <c r="N17">
        <f t="shared" si="0"/>
        <v>0</v>
      </c>
    </row>
    <row r="18" spans="1:14" x14ac:dyDescent="0.35">
      <c r="A18">
        <v>17</v>
      </c>
      <c r="B18" t="s">
        <v>12</v>
      </c>
      <c r="C18">
        <v>36</v>
      </c>
      <c r="D18" t="s">
        <v>17</v>
      </c>
      <c r="E18" t="s">
        <v>24</v>
      </c>
      <c r="F18">
        <v>181</v>
      </c>
      <c r="G18">
        <v>93</v>
      </c>
      <c r="H18">
        <v>0.23</v>
      </c>
      <c r="I18" t="s">
        <v>23</v>
      </c>
      <c r="J18">
        <v>0</v>
      </c>
      <c r="K18">
        <v>1</v>
      </c>
      <c r="L18">
        <v>0</v>
      </c>
      <c r="M18">
        <f>VLOOKUP(Table1[[#This Row],[subscription_type]],Plans!$A$1:$B$5,2,FALSE)</f>
        <v>4.99</v>
      </c>
      <c r="N18">
        <f t="shared" si="0"/>
        <v>0</v>
      </c>
    </row>
    <row r="19" spans="1:14" x14ac:dyDescent="0.35">
      <c r="A19">
        <v>18</v>
      </c>
      <c r="B19" t="s">
        <v>20</v>
      </c>
      <c r="C19">
        <v>58</v>
      </c>
      <c r="D19" t="s">
        <v>25</v>
      </c>
      <c r="E19" t="s">
        <v>18</v>
      </c>
      <c r="F19">
        <v>120</v>
      </c>
      <c r="G19">
        <v>8</v>
      </c>
      <c r="H19">
        <v>0.41</v>
      </c>
      <c r="I19" t="s">
        <v>15</v>
      </c>
      <c r="J19">
        <v>0</v>
      </c>
      <c r="K19">
        <v>1</v>
      </c>
      <c r="L19">
        <v>0</v>
      </c>
      <c r="M19">
        <f>VLOOKUP(Table1[[#This Row],[subscription_type]],Plans!$A$1:$B$5,2,FALSE)</f>
        <v>14.99</v>
      </c>
      <c r="N19">
        <f t="shared" si="0"/>
        <v>0</v>
      </c>
    </row>
    <row r="20" spans="1:14" x14ac:dyDescent="0.35">
      <c r="A20">
        <v>19</v>
      </c>
      <c r="B20" t="s">
        <v>12</v>
      </c>
      <c r="C20">
        <v>34</v>
      </c>
      <c r="D20" t="s">
        <v>17</v>
      </c>
      <c r="E20" t="s">
        <v>18</v>
      </c>
      <c r="F20">
        <v>160</v>
      </c>
      <c r="G20">
        <v>32</v>
      </c>
      <c r="H20">
        <v>0.35</v>
      </c>
      <c r="I20" t="s">
        <v>23</v>
      </c>
      <c r="J20">
        <v>0</v>
      </c>
      <c r="K20">
        <v>1</v>
      </c>
      <c r="L20">
        <v>0</v>
      </c>
      <c r="M20">
        <f>VLOOKUP(Table1[[#This Row],[subscription_type]],Plans!$A$1:$B$5,2,FALSE)</f>
        <v>14.99</v>
      </c>
      <c r="N20">
        <f t="shared" si="0"/>
        <v>0</v>
      </c>
    </row>
    <row r="21" spans="1:14" x14ac:dyDescent="0.35">
      <c r="A21">
        <v>20</v>
      </c>
      <c r="B21" t="s">
        <v>20</v>
      </c>
      <c r="C21">
        <v>35</v>
      </c>
      <c r="D21" t="s">
        <v>26</v>
      </c>
      <c r="E21" t="s">
        <v>24</v>
      </c>
      <c r="F21">
        <v>281</v>
      </c>
      <c r="G21">
        <v>51</v>
      </c>
      <c r="H21">
        <v>0.35</v>
      </c>
      <c r="I21" t="s">
        <v>15</v>
      </c>
      <c r="J21">
        <v>0</v>
      </c>
      <c r="K21">
        <v>1</v>
      </c>
      <c r="L21">
        <v>0</v>
      </c>
      <c r="M21">
        <f>VLOOKUP(Table1[[#This Row],[subscription_type]],Plans!$A$1:$B$5,2,FALSE)</f>
        <v>4.99</v>
      </c>
      <c r="N21">
        <f t="shared" si="0"/>
        <v>0</v>
      </c>
    </row>
    <row r="22" spans="1:14" x14ac:dyDescent="0.35">
      <c r="A22">
        <v>21</v>
      </c>
      <c r="B22" t="s">
        <v>12</v>
      </c>
      <c r="C22">
        <v>33</v>
      </c>
      <c r="D22" t="s">
        <v>21</v>
      </c>
      <c r="E22" t="s">
        <v>24</v>
      </c>
      <c r="F22">
        <v>138</v>
      </c>
      <c r="G22">
        <v>60</v>
      </c>
      <c r="H22">
        <v>0.6</v>
      </c>
      <c r="I22" t="s">
        <v>19</v>
      </c>
      <c r="J22">
        <v>0</v>
      </c>
      <c r="K22">
        <v>1</v>
      </c>
      <c r="L22">
        <v>0</v>
      </c>
      <c r="M22">
        <f>VLOOKUP(Table1[[#This Row],[subscription_type]],Plans!$A$1:$B$5,2,FALSE)</f>
        <v>4.99</v>
      </c>
      <c r="N22">
        <f t="shared" si="0"/>
        <v>0</v>
      </c>
    </row>
    <row r="23" spans="1:14" x14ac:dyDescent="0.35">
      <c r="A23">
        <v>22</v>
      </c>
      <c r="B23" t="s">
        <v>20</v>
      </c>
      <c r="C23">
        <v>49</v>
      </c>
      <c r="D23" t="s">
        <v>21</v>
      </c>
      <c r="E23" t="s">
        <v>22</v>
      </c>
      <c r="F23">
        <v>20</v>
      </c>
      <c r="G23">
        <v>7</v>
      </c>
      <c r="H23">
        <v>0.45</v>
      </c>
      <c r="I23" t="s">
        <v>15</v>
      </c>
      <c r="J23">
        <v>0</v>
      </c>
      <c r="K23">
        <v>1</v>
      </c>
      <c r="L23">
        <v>0</v>
      </c>
      <c r="M23">
        <f>VLOOKUP(Table1[[#This Row],[subscription_type]],Plans!$A$1:$B$5,2,FALSE)</f>
        <v>9.99</v>
      </c>
      <c r="N23">
        <f t="shared" si="0"/>
        <v>0</v>
      </c>
    </row>
    <row r="24" spans="1:14" x14ac:dyDescent="0.35">
      <c r="A24">
        <v>23</v>
      </c>
      <c r="B24" t="s">
        <v>12</v>
      </c>
      <c r="C24">
        <v>45</v>
      </c>
      <c r="D24" t="s">
        <v>29</v>
      </c>
      <c r="E24" t="s">
        <v>18</v>
      </c>
      <c r="F24">
        <v>138</v>
      </c>
      <c r="G24">
        <v>95</v>
      </c>
      <c r="H24">
        <v>0.1</v>
      </c>
      <c r="I24" t="s">
        <v>15</v>
      </c>
      <c r="J24">
        <v>0</v>
      </c>
      <c r="K24">
        <v>1</v>
      </c>
      <c r="L24">
        <v>0</v>
      </c>
      <c r="M24">
        <f>VLOOKUP(Table1[[#This Row],[subscription_type]],Plans!$A$1:$B$5,2,FALSE)</f>
        <v>14.99</v>
      </c>
      <c r="N24">
        <f t="shared" si="0"/>
        <v>0</v>
      </c>
    </row>
    <row r="25" spans="1:14" x14ac:dyDescent="0.35">
      <c r="A25">
        <v>24</v>
      </c>
      <c r="B25" t="s">
        <v>20</v>
      </c>
      <c r="C25">
        <v>44</v>
      </c>
      <c r="D25" t="s">
        <v>13</v>
      </c>
      <c r="E25" t="s">
        <v>18</v>
      </c>
      <c r="F25">
        <v>134</v>
      </c>
      <c r="G25">
        <v>97</v>
      </c>
      <c r="H25">
        <v>0.42</v>
      </c>
      <c r="I25" t="s">
        <v>19</v>
      </c>
      <c r="J25">
        <v>0</v>
      </c>
      <c r="K25">
        <v>1</v>
      </c>
      <c r="L25">
        <v>0</v>
      </c>
      <c r="M25">
        <f>VLOOKUP(Table1[[#This Row],[subscription_type]],Plans!$A$1:$B$5,2,FALSE)</f>
        <v>14.99</v>
      </c>
      <c r="N25">
        <f t="shared" si="0"/>
        <v>0</v>
      </c>
    </row>
    <row r="26" spans="1:14" x14ac:dyDescent="0.35">
      <c r="A26">
        <v>25</v>
      </c>
      <c r="B26" t="s">
        <v>16</v>
      </c>
      <c r="C26">
        <v>32</v>
      </c>
      <c r="D26" t="s">
        <v>13</v>
      </c>
      <c r="E26" t="s">
        <v>22</v>
      </c>
      <c r="F26">
        <v>133</v>
      </c>
      <c r="G26">
        <v>22</v>
      </c>
      <c r="H26">
        <v>0.59</v>
      </c>
      <c r="I26" t="s">
        <v>15</v>
      </c>
      <c r="J26">
        <v>0</v>
      </c>
      <c r="K26">
        <v>1</v>
      </c>
      <c r="L26">
        <v>0</v>
      </c>
      <c r="M26">
        <f>VLOOKUP(Table1[[#This Row],[subscription_type]],Plans!$A$1:$B$5,2,FALSE)</f>
        <v>9.99</v>
      </c>
      <c r="N26">
        <f t="shared" si="0"/>
        <v>0</v>
      </c>
    </row>
    <row r="27" spans="1:14" x14ac:dyDescent="0.35">
      <c r="A27">
        <v>26</v>
      </c>
      <c r="B27" t="s">
        <v>12</v>
      </c>
      <c r="C27">
        <v>19</v>
      </c>
      <c r="D27" t="s">
        <v>25</v>
      </c>
      <c r="E27" t="s">
        <v>24</v>
      </c>
      <c r="F27">
        <v>39</v>
      </c>
      <c r="G27">
        <v>29</v>
      </c>
      <c r="H27">
        <v>0.53</v>
      </c>
      <c r="I27" t="s">
        <v>15</v>
      </c>
      <c r="J27">
        <v>0</v>
      </c>
      <c r="K27">
        <v>1</v>
      </c>
      <c r="L27">
        <v>0</v>
      </c>
      <c r="M27">
        <f>VLOOKUP(Table1[[#This Row],[subscription_type]],Plans!$A$1:$B$5,2,FALSE)</f>
        <v>4.99</v>
      </c>
      <c r="N27">
        <f t="shared" si="0"/>
        <v>0</v>
      </c>
    </row>
    <row r="28" spans="1:14" x14ac:dyDescent="0.35">
      <c r="A28">
        <v>27</v>
      </c>
      <c r="B28" t="s">
        <v>20</v>
      </c>
      <c r="C28">
        <v>28</v>
      </c>
      <c r="D28" t="s">
        <v>27</v>
      </c>
      <c r="E28" t="s">
        <v>14</v>
      </c>
      <c r="F28">
        <v>293</v>
      </c>
      <c r="G28">
        <v>67</v>
      </c>
      <c r="H28">
        <v>0.33</v>
      </c>
      <c r="I28" t="s">
        <v>23</v>
      </c>
      <c r="J28">
        <v>23</v>
      </c>
      <c r="K28">
        <v>0</v>
      </c>
      <c r="L28">
        <v>1</v>
      </c>
      <c r="M28">
        <f>VLOOKUP(Table1[[#This Row],[subscription_type]],Plans!$A$1:$B$5,2,FALSE)</f>
        <v>0</v>
      </c>
      <c r="N28">
        <f t="shared" si="0"/>
        <v>0</v>
      </c>
    </row>
    <row r="29" spans="1:14" x14ac:dyDescent="0.35">
      <c r="A29">
        <v>28</v>
      </c>
      <c r="B29" t="s">
        <v>16</v>
      </c>
      <c r="C29">
        <v>58</v>
      </c>
      <c r="D29" t="s">
        <v>28</v>
      </c>
      <c r="E29" t="s">
        <v>14</v>
      </c>
      <c r="F29">
        <v>15</v>
      </c>
      <c r="G29">
        <v>55</v>
      </c>
      <c r="H29">
        <v>0.3</v>
      </c>
      <c r="I29" t="s">
        <v>23</v>
      </c>
      <c r="J29">
        <v>35</v>
      </c>
      <c r="K29">
        <v>0</v>
      </c>
      <c r="L29">
        <v>0</v>
      </c>
      <c r="M29">
        <f>VLOOKUP(Table1[[#This Row],[subscription_type]],Plans!$A$1:$B$5,2,FALSE)</f>
        <v>0</v>
      </c>
      <c r="N29">
        <f t="shared" si="0"/>
        <v>0</v>
      </c>
    </row>
    <row r="30" spans="1:14" x14ac:dyDescent="0.35">
      <c r="A30">
        <v>29</v>
      </c>
      <c r="B30" t="s">
        <v>20</v>
      </c>
      <c r="C30">
        <v>33</v>
      </c>
      <c r="D30" t="s">
        <v>28</v>
      </c>
      <c r="E30" t="s">
        <v>14</v>
      </c>
      <c r="F30">
        <v>123</v>
      </c>
      <c r="G30">
        <v>13</v>
      </c>
      <c r="H30">
        <v>0.22</v>
      </c>
      <c r="I30" t="s">
        <v>15</v>
      </c>
      <c r="J30">
        <v>7</v>
      </c>
      <c r="K30">
        <v>0</v>
      </c>
      <c r="L30">
        <v>0</v>
      </c>
      <c r="M30">
        <f>VLOOKUP(Table1[[#This Row],[subscription_type]],Plans!$A$1:$B$5,2,FALSE)</f>
        <v>0</v>
      </c>
      <c r="N30">
        <f t="shared" si="0"/>
        <v>0</v>
      </c>
    </row>
    <row r="31" spans="1:14" x14ac:dyDescent="0.35">
      <c r="A31">
        <v>30</v>
      </c>
      <c r="B31" t="s">
        <v>12</v>
      </c>
      <c r="C31">
        <v>22</v>
      </c>
      <c r="D31" t="s">
        <v>28</v>
      </c>
      <c r="E31" t="s">
        <v>22</v>
      </c>
      <c r="F31">
        <v>18</v>
      </c>
      <c r="G31">
        <v>12</v>
      </c>
      <c r="H31">
        <v>0.39</v>
      </c>
      <c r="I31" t="s">
        <v>23</v>
      </c>
      <c r="J31">
        <v>0</v>
      </c>
      <c r="K31">
        <v>1</v>
      </c>
      <c r="L31">
        <v>0</v>
      </c>
      <c r="M31">
        <f>VLOOKUP(Table1[[#This Row],[subscription_type]],Plans!$A$1:$B$5,2,FALSE)</f>
        <v>9.99</v>
      </c>
      <c r="N31">
        <f t="shared" si="0"/>
        <v>0</v>
      </c>
    </row>
    <row r="32" spans="1:14" x14ac:dyDescent="0.35">
      <c r="A32">
        <v>31</v>
      </c>
      <c r="B32" t="s">
        <v>16</v>
      </c>
      <c r="C32">
        <v>44</v>
      </c>
      <c r="D32" t="s">
        <v>26</v>
      </c>
      <c r="E32" t="s">
        <v>22</v>
      </c>
      <c r="F32">
        <v>149</v>
      </c>
      <c r="G32">
        <v>45</v>
      </c>
      <c r="H32">
        <v>0.22</v>
      </c>
      <c r="I32" t="s">
        <v>19</v>
      </c>
      <c r="J32">
        <v>0</v>
      </c>
      <c r="K32">
        <v>1</v>
      </c>
      <c r="L32">
        <v>0</v>
      </c>
      <c r="M32">
        <f>VLOOKUP(Table1[[#This Row],[subscription_type]],Plans!$A$1:$B$5,2,FALSE)</f>
        <v>9.99</v>
      </c>
      <c r="N32">
        <f t="shared" si="0"/>
        <v>0</v>
      </c>
    </row>
    <row r="33" spans="1:14" x14ac:dyDescent="0.35">
      <c r="A33">
        <v>32</v>
      </c>
      <c r="B33" t="s">
        <v>20</v>
      </c>
      <c r="C33">
        <v>53</v>
      </c>
      <c r="D33" t="s">
        <v>25</v>
      </c>
      <c r="E33" t="s">
        <v>24</v>
      </c>
      <c r="F33">
        <v>72</v>
      </c>
      <c r="G33">
        <v>12</v>
      </c>
      <c r="H33">
        <v>0.17</v>
      </c>
      <c r="I33" t="s">
        <v>19</v>
      </c>
      <c r="J33">
        <v>0</v>
      </c>
      <c r="K33">
        <v>1</v>
      </c>
      <c r="L33">
        <v>0</v>
      </c>
      <c r="M33">
        <f>VLOOKUP(Table1[[#This Row],[subscription_type]],Plans!$A$1:$B$5,2,FALSE)</f>
        <v>4.99</v>
      </c>
      <c r="N33">
        <f t="shared" si="0"/>
        <v>0</v>
      </c>
    </row>
    <row r="34" spans="1:14" x14ac:dyDescent="0.35">
      <c r="A34">
        <v>33</v>
      </c>
      <c r="B34" t="s">
        <v>12</v>
      </c>
      <c r="C34">
        <v>49</v>
      </c>
      <c r="D34" t="s">
        <v>27</v>
      </c>
      <c r="E34" t="s">
        <v>22</v>
      </c>
      <c r="F34">
        <v>291</v>
      </c>
      <c r="G34">
        <v>74</v>
      </c>
      <c r="H34">
        <v>0.11</v>
      </c>
      <c r="I34" t="s">
        <v>23</v>
      </c>
      <c r="J34">
        <v>0</v>
      </c>
      <c r="K34">
        <v>1</v>
      </c>
      <c r="L34">
        <v>0</v>
      </c>
      <c r="M34">
        <f>VLOOKUP(Table1[[#This Row],[subscription_type]],Plans!$A$1:$B$5,2,FALSE)</f>
        <v>9.99</v>
      </c>
      <c r="N34">
        <f t="shared" si="0"/>
        <v>0</v>
      </c>
    </row>
    <row r="35" spans="1:14" x14ac:dyDescent="0.35">
      <c r="A35">
        <v>34</v>
      </c>
      <c r="B35" t="s">
        <v>20</v>
      </c>
      <c r="C35">
        <v>49</v>
      </c>
      <c r="D35" t="s">
        <v>25</v>
      </c>
      <c r="E35" t="s">
        <v>18</v>
      </c>
      <c r="F35">
        <v>147</v>
      </c>
      <c r="G35">
        <v>52</v>
      </c>
      <c r="H35">
        <v>0.43</v>
      </c>
      <c r="I35" t="s">
        <v>19</v>
      </c>
      <c r="J35">
        <v>0</v>
      </c>
      <c r="K35">
        <v>1</v>
      </c>
      <c r="L35">
        <v>0</v>
      </c>
      <c r="M35">
        <f>VLOOKUP(Table1[[#This Row],[subscription_type]],Plans!$A$1:$B$5,2,FALSE)</f>
        <v>14.99</v>
      </c>
      <c r="N35">
        <f t="shared" si="0"/>
        <v>0</v>
      </c>
    </row>
    <row r="36" spans="1:14" x14ac:dyDescent="0.35">
      <c r="A36">
        <v>35</v>
      </c>
      <c r="B36" t="s">
        <v>12</v>
      </c>
      <c r="C36">
        <v>55</v>
      </c>
      <c r="D36" t="s">
        <v>28</v>
      </c>
      <c r="E36" t="s">
        <v>22</v>
      </c>
      <c r="F36">
        <v>18</v>
      </c>
      <c r="G36">
        <v>2</v>
      </c>
      <c r="H36">
        <v>0.04</v>
      </c>
      <c r="I36" t="s">
        <v>23</v>
      </c>
      <c r="J36">
        <v>0</v>
      </c>
      <c r="K36">
        <v>1</v>
      </c>
      <c r="L36">
        <v>0</v>
      </c>
      <c r="M36">
        <f>VLOOKUP(Table1[[#This Row],[subscription_type]],Plans!$A$1:$B$5,2,FALSE)</f>
        <v>9.99</v>
      </c>
      <c r="N36">
        <f t="shared" si="0"/>
        <v>0</v>
      </c>
    </row>
    <row r="37" spans="1:14" x14ac:dyDescent="0.35">
      <c r="A37">
        <v>36</v>
      </c>
      <c r="B37" t="s">
        <v>16</v>
      </c>
      <c r="C37">
        <v>24</v>
      </c>
      <c r="D37" t="s">
        <v>17</v>
      </c>
      <c r="E37" t="s">
        <v>14</v>
      </c>
      <c r="F37">
        <v>59</v>
      </c>
      <c r="G37">
        <v>53</v>
      </c>
      <c r="H37">
        <v>0.18</v>
      </c>
      <c r="I37" t="s">
        <v>19</v>
      </c>
      <c r="J37">
        <v>28</v>
      </c>
      <c r="K37">
        <v>0</v>
      </c>
      <c r="L37">
        <v>1</v>
      </c>
      <c r="M37">
        <f>VLOOKUP(Table1[[#This Row],[subscription_type]],Plans!$A$1:$B$5,2,FALSE)</f>
        <v>0</v>
      </c>
      <c r="N37">
        <f t="shared" si="0"/>
        <v>0</v>
      </c>
    </row>
    <row r="38" spans="1:14" x14ac:dyDescent="0.35">
      <c r="A38">
        <v>37</v>
      </c>
      <c r="B38" t="s">
        <v>20</v>
      </c>
      <c r="C38">
        <v>22</v>
      </c>
      <c r="D38" t="s">
        <v>17</v>
      </c>
      <c r="E38" t="s">
        <v>24</v>
      </c>
      <c r="F38">
        <v>280</v>
      </c>
      <c r="G38">
        <v>99</v>
      </c>
      <c r="H38">
        <v>0.28999999999999998</v>
      </c>
      <c r="I38" t="s">
        <v>15</v>
      </c>
      <c r="J38">
        <v>0</v>
      </c>
      <c r="K38">
        <v>1</v>
      </c>
      <c r="L38">
        <v>0</v>
      </c>
      <c r="M38">
        <f>VLOOKUP(Table1[[#This Row],[subscription_type]],Plans!$A$1:$B$5,2,FALSE)</f>
        <v>4.99</v>
      </c>
      <c r="N38">
        <f t="shared" si="0"/>
        <v>0</v>
      </c>
    </row>
    <row r="39" spans="1:14" x14ac:dyDescent="0.35">
      <c r="A39">
        <v>38</v>
      </c>
      <c r="B39" t="s">
        <v>12</v>
      </c>
      <c r="C39">
        <v>50</v>
      </c>
      <c r="D39" t="s">
        <v>25</v>
      </c>
      <c r="E39" t="s">
        <v>18</v>
      </c>
      <c r="F39">
        <v>117</v>
      </c>
      <c r="G39">
        <v>98</v>
      </c>
      <c r="H39">
        <v>0.04</v>
      </c>
      <c r="I39" t="s">
        <v>23</v>
      </c>
      <c r="J39">
        <v>0</v>
      </c>
      <c r="K39">
        <v>1</v>
      </c>
      <c r="L39">
        <v>0</v>
      </c>
      <c r="M39">
        <f>VLOOKUP(Table1[[#This Row],[subscription_type]],Plans!$A$1:$B$5,2,FALSE)</f>
        <v>14.99</v>
      </c>
      <c r="N39">
        <f t="shared" si="0"/>
        <v>0</v>
      </c>
    </row>
    <row r="40" spans="1:14" x14ac:dyDescent="0.35">
      <c r="A40">
        <v>39</v>
      </c>
      <c r="B40" t="s">
        <v>12</v>
      </c>
      <c r="C40">
        <v>42</v>
      </c>
      <c r="D40" t="s">
        <v>17</v>
      </c>
      <c r="E40" t="s">
        <v>18</v>
      </c>
      <c r="F40">
        <v>47</v>
      </c>
      <c r="G40">
        <v>59</v>
      </c>
      <c r="H40">
        <v>0.06</v>
      </c>
      <c r="I40" t="s">
        <v>15</v>
      </c>
      <c r="J40">
        <v>0</v>
      </c>
      <c r="K40">
        <v>1</v>
      </c>
      <c r="L40">
        <v>0</v>
      </c>
      <c r="M40">
        <f>VLOOKUP(Table1[[#This Row],[subscription_type]],Plans!$A$1:$B$5,2,FALSE)</f>
        <v>14.99</v>
      </c>
      <c r="N40">
        <f t="shared" si="0"/>
        <v>0</v>
      </c>
    </row>
    <row r="41" spans="1:14" x14ac:dyDescent="0.35">
      <c r="A41">
        <v>40</v>
      </c>
      <c r="B41" t="s">
        <v>20</v>
      </c>
      <c r="C41">
        <v>17</v>
      </c>
      <c r="D41" t="s">
        <v>17</v>
      </c>
      <c r="E41" t="s">
        <v>18</v>
      </c>
      <c r="F41">
        <v>260</v>
      </c>
      <c r="G41">
        <v>44</v>
      </c>
      <c r="H41">
        <v>0.5</v>
      </c>
      <c r="I41" t="s">
        <v>15</v>
      </c>
      <c r="J41">
        <v>0</v>
      </c>
      <c r="K41">
        <v>1</v>
      </c>
      <c r="L41">
        <v>1</v>
      </c>
      <c r="M41">
        <f>VLOOKUP(Table1[[#This Row],[subscription_type]],Plans!$A$1:$B$5,2,FALSE)</f>
        <v>14.99</v>
      </c>
      <c r="N41">
        <f t="shared" si="0"/>
        <v>14.99</v>
      </c>
    </row>
    <row r="42" spans="1:14" x14ac:dyDescent="0.35">
      <c r="A42">
        <v>41</v>
      </c>
      <c r="B42" t="s">
        <v>12</v>
      </c>
      <c r="C42">
        <v>51</v>
      </c>
      <c r="D42" t="s">
        <v>26</v>
      </c>
      <c r="E42" t="s">
        <v>22</v>
      </c>
      <c r="F42">
        <v>122</v>
      </c>
      <c r="G42">
        <v>16</v>
      </c>
      <c r="H42">
        <v>0.54</v>
      </c>
      <c r="I42" t="s">
        <v>15</v>
      </c>
      <c r="J42">
        <v>0</v>
      </c>
      <c r="K42">
        <v>1</v>
      </c>
      <c r="L42">
        <v>0</v>
      </c>
      <c r="M42">
        <f>VLOOKUP(Table1[[#This Row],[subscription_type]],Plans!$A$1:$B$5,2,FALSE)</f>
        <v>9.99</v>
      </c>
      <c r="N42">
        <f t="shared" si="0"/>
        <v>0</v>
      </c>
    </row>
    <row r="43" spans="1:14" x14ac:dyDescent="0.35">
      <c r="A43">
        <v>42</v>
      </c>
      <c r="B43" t="s">
        <v>12</v>
      </c>
      <c r="C43">
        <v>46</v>
      </c>
      <c r="D43" t="s">
        <v>25</v>
      </c>
      <c r="E43" t="s">
        <v>24</v>
      </c>
      <c r="F43">
        <v>255</v>
      </c>
      <c r="G43">
        <v>14</v>
      </c>
      <c r="H43">
        <v>0.39</v>
      </c>
      <c r="I43" t="s">
        <v>15</v>
      </c>
      <c r="J43">
        <v>0</v>
      </c>
      <c r="K43">
        <v>1</v>
      </c>
      <c r="L43">
        <v>0</v>
      </c>
      <c r="M43">
        <f>VLOOKUP(Table1[[#This Row],[subscription_type]],Plans!$A$1:$B$5,2,FALSE)</f>
        <v>4.99</v>
      </c>
      <c r="N43">
        <f t="shared" si="0"/>
        <v>0</v>
      </c>
    </row>
    <row r="44" spans="1:14" x14ac:dyDescent="0.35">
      <c r="A44">
        <v>43</v>
      </c>
      <c r="B44" t="s">
        <v>20</v>
      </c>
      <c r="C44">
        <v>22</v>
      </c>
      <c r="D44" t="s">
        <v>17</v>
      </c>
      <c r="E44" t="s">
        <v>18</v>
      </c>
      <c r="F44">
        <v>49</v>
      </c>
      <c r="G44">
        <v>39</v>
      </c>
      <c r="H44">
        <v>0.51</v>
      </c>
      <c r="I44" t="s">
        <v>23</v>
      </c>
      <c r="J44">
        <v>0</v>
      </c>
      <c r="K44">
        <v>1</v>
      </c>
      <c r="L44">
        <v>0</v>
      </c>
      <c r="M44">
        <f>VLOOKUP(Table1[[#This Row],[subscription_type]],Plans!$A$1:$B$5,2,FALSE)</f>
        <v>14.99</v>
      </c>
      <c r="N44">
        <f t="shared" si="0"/>
        <v>0</v>
      </c>
    </row>
    <row r="45" spans="1:14" x14ac:dyDescent="0.35">
      <c r="A45">
        <v>44</v>
      </c>
      <c r="B45" t="s">
        <v>20</v>
      </c>
      <c r="C45">
        <v>37</v>
      </c>
      <c r="D45" t="s">
        <v>17</v>
      </c>
      <c r="E45" t="s">
        <v>18</v>
      </c>
      <c r="F45">
        <v>90</v>
      </c>
      <c r="G45">
        <v>89</v>
      </c>
      <c r="H45">
        <v>0.4</v>
      </c>
      <c r="I45" t="s">
        <v>23</v>
      </c>
      <c r="J45">
        <v>0</v>
      </c>
      <c r="K45">
        <v>1</v>
      </c>
      <c r="L45">
        <v>0</v>
      </c>
      <c r="M45">
        <f>VLOOKUP(Table1[[#This Row],[subscription_type]],Plans!$A$1:$B$5,2,FALSE)</f>
        <v>14.99</v>
      </c>
      <c r="N45">
        <f t="shared" si="0"/>
        <v>0</v>
      </c>
    </row>
    <row r="46" spans="1:14" x14ac:dyDescent="0.35">
      <c r="A46">
        <v>45</v>
      </c>
      <c r="B46" t="s">
        <v>20</v>
      </c>
      <c r="C46">
        <v>39</v>
      </c>
      <c r="D46" t="s">
        <v>29</v>
      </c>
      <c r="E46" t="s">
        <v>18</v>
      </c>
      <c r="F46">
        <v>288</v>
      </c>
      <c r="G46">
        <v>69</v>
      </c>
      <c r="H46">
        <v>0.48</v>
      </c>
      <c r="I46" t="s">
        <v>19</v>
      </c>
      <c r="J46">
        <v>0</v>
      </c>
      <c r="K46">
        <v>1</v>
      </c>
      <c r="L46">
        <v>0</v>
      </c>
      <c r="M46">
        <f>VLOOKUP(Table1[[#This Row],[subscription_type]],Plans!$A$1:$B$5,2,FALSE)</f>
        <v>14.99</v>
      </c>
      <c r="N46">
        <f t="shared" si="0"/>
        <v>0</v>
      </c>
    </row>
    <row r="47" spans="1:14" x14ac:dyDescent="0.35">
      <c r="A47">
        <v>46</v>
      </c>
      <c r="B47" t="s">
        <v>12</v>
      </c>
      <c r="C47">
        <v>18</v>
      </c>
      <c r="D47" t="s">
        <v>29</v>
      </c>
      <c r="E47" t="s">
        <v>22</v>
      </c>
      <c r="F47">
        <v>255</v>
      </c>
      <c r="G47">
        <v>3</v>
      </c>
      <c r="H47">
        <v>0.39</v>
      </c>
      <c r="I47" t="s">
        <v>19</v>
      </c>
      <c r="J47">
        <v>0</v>
      </c>
      <c r="K47">
        <v>1</v>
      </c>
      <c r="L47">
        <v>0</v>
      </c>
      <c r="M47">
        <f>VLOOKUP(Table1[[#This Row],[subscription_type]],Plans!$A$1:$B$5,2,FALSE)</f>
        <v>9.99</v>
      </c>
      <c r="N47">
        <f t="shared" si="0"/>
        <v>0</v>
      </c>
    </row>
    <row r="48" spans="1:14" x14ac:dyDescent="0.35">
      <c r="A48">
        <v>47</v>
      </c>
      <c r="B48" t="s">
        <v>12</v>
      </c>
      <c r="C48">
        <v>56</v>
      </c>
      <c r="D48" t="s">
        <v>13</v>
      </c>
      <c r="E48" t="s">
        <v>24</v>
      </c>
      <c r="F48">
        <v>255</v>
      </c>
      <c r="G48">
        <v>75</v>
      </c>
      <c r="H48">
        <v>0.57999999999999996</v>
      </c>
      <c r="I48" t="s">
        <v>15</v>
      </c>
      <c r="J48">
        <v>0</v>
      </c>
      <c r="K48">
        <v>1</v>
      </c>
      <c r="L48">
        <v>0</v>
      </c>
      <c r="M48">
        <f>VLOOKUP(Table1[[#This Row],[subscription_type]],Plans!$A$1:$B$5,2,FALSE)</f>
        <v>4.99</v>
      </c>
      <c r="N48">
        <f t="shared" si="0"/>
        <v>0</v>
      </c>
    </row>
    <row r="49" spans="1:14" x14ac:dyDescent="0.35">
      <c r="A49">
        <v>48</v>
      </c>
      <c r="B49" t="s">
        <v>20</v>
      </c>
      <c r="C49">
        <v>58</v>
      </c>
      <c r="D49" t="s">
        <v>25</v>
      </c>
      <c r="E49" t="s">
        <v>18</v>
      </c>
      <c r="F49">
        <v>26</v>
      </c>
      <c r="G49">
        <v>23</v>
      </c>
      <c r="H49">
        <v>0.08</v>
      </c>
      <c r="I49" t="s">
        <v>23</v>
      </c>
      <c r="J49">
        <v>0</v>
      </c>
      <c r="K49">
        <v>1</v>
      </c>
      <c r="L49">
        <v>0</v>
      </c>
      <c r="M49">
        <f>VLOOKUP(Table1[[#This Row],[subscription_type]],Plans!$A$1:$B$5,2,FALSE)</f>
        <v>14.99</v>
      </c>
      <c r="N49">
        <f t="shared" si="0"/>
        <v>0</v>
      </c>
    </row>
    <row r="50" spans="1:14" x14ac:dyDescent="0.35">
      <c r="A50">
        <v>49</v>
      </c>
      <c r="B50" t="s">
        <v>16</v>
      </c>
      <c r="C50">
        <v>59</v>
      </c>
      <c r="D50" t="s">
        <v>25</v>
      </c>
      <c r="E50" t="s">
        <v>18</v>
      </c>
      <c r="F50">
        <v>238</v>
      </c>
      <c r="G50">
        <v>60</v>
      </c>
      <c r="H50">
        <v>0.28999999999999998</v>
      </c>
      <c r="I50" t="s">
        <v>15</v>
      </c>
      <c r="J50">
        <v>0</v>
      </c>
      <c r="K50">
        <v>1</v>
      </c>
      <c r="L50">
        <v>0</v>
      </c>
      <c r="M50">
        <f>VLOOKUP(Table1[[#This Row],[subscription_type]],Plans!$A$1:$B$5,2,FALSE)</f>
        <v>14.99</v>
      </c>
      <c r="N50">
        <f t="shared" si="0"/>
        <v>0</v>
      </c>
    </row>
    <row r="51" spans="1:14" x14ac:dyDescent="0.35">
      <c r="A51">
        <v>50</v>
      </c>
      <c r="B51" t="s">
        <v>20</v>
      </c>
      <c r="C51">
        <v>50</v>
      </c>
      <c r="D51" t="s">
        <v>29</v>
      </c>
      <c r="E51" t="s">
        <v>14</v>
      </c>
      <c r="F51">
        <v>241</v>
      </c>
      <c r="G51">
        <v>7</v>
      </c>
      <c r="H51">
        <v>0.56000000000000005</v>
      </c>
      <c r="I51" t="s">
        <v>15</v>
      </c>
      <c r="J51">
        <v>22</v>
      </c>
      <c r="K51">
        <v>0</v>
      </c>
      <c r="L51">
        <v>1</v>
      </c>
      <c r="M51">
        <f>VLOOKUP(Table1[[#This Row],[subscription_type]],Plans!$A$1:$B$5,2,FALSE)</f>
        <v>0</v>
      </c>
      <c r="N51">
        <f t="shared" si="0"/>
        <v>0</v>
      </c>
    </row>
    <row r="52" spans="1:14" x14ac:dyDescent="0.35">
      <c r="A52">
        <v>51</v>
      </c>
      <c r="B52" t="s">
        <v>12</v>
      </c>
      <c r="C52">
        <v>45</v>
      </c>
      <c r="D52" t="s">
        <v>13</v>
      </c>
      <c r="E52" t="s">
        <v>22</v>
      </c>
      <c r="F52">
        <v>124</v>
      </c>
      <c r="G52">
        <v>98</v>
      </c>
      <c r="H52">
        <v>0.36</v>
      </c>
      <c r="I52" t="s">
        <v>15</v>
      </c>
      <c r="J52">
        <v>0</v>
      </c>
      <c r="K52">
        <v>1</v>
      </c>
      <c r="L52">
        <v>0</v>
      </c>
      <c r="M52">
        <f>VLOOKUP(Table1[[#This Row],[subscription_type]],Plans!$A$1:$B$5,2,FALSE)</f>
        <v>9.99</v>
      </c>
      <c r="N52">
        <f t="shared" si="0"/>
        <v>0</v>
      </c>
    </row>
    <row r="53" spans="1:14" x14ac:dyDescent="0.35">
      <c r="A53">
        <v>52</v>
      </c>
      <c r="B53" t="s">
        <v>16</v>
      </c>
      <c r="C53">
        <v>56</v>
      </c>
      <c r="D53" t="s">
        <v>28</v>
      </c>
      <c r="E53" t="s">
        <v>22</v>
      </c>
      <c r="F53">
        <v>175</v>
      </c>
      <c r="G53">
        <v>67</v>
      </c>
      <c r="H53">
        <v>0.38</v>
      </c>
      <c r="I53" t="s">
        <v>19</v>
      </c>
      <c r="J53">
        <v>0</v>
      </c>
      <c r="K53">
        <v>1</v>
      </c>
      <c r="L53">
        <v>0</v>
      </c>
      <c r="M53">
        <f>VLOOKUP(Table1[[#This Row],[subscription_type]],Plans!$A$1:$B$5,2,FALSE)</f>
        <v>9.99</v>
      </c>
      <c r="N53">
        <f t="shared" si="0"/>
        <v>0</v>
      </c>
    </row>
    <row r="54" spans="1:14" x14ac:dyDescent="0.35">
      <c r="A54">
        <v>53</v>
      </c>
      <c r="B54" t="s">
        <v>12</v>
      </c>
      <c r="C54">
        <v>38</v>
      </c>
      <c r="D54" t="s">
        <v>21</v>
      </c>
      <c r="E54" t="s">
        <v>14</v>
      </c>
      <c r="F54">
        <v>41</v>
      </c>
      <c r="G54">
        <v>3</v>
      </c>
      <c r="H54">
        <v>0</v>
      </c>
      <c r="I54" t="s">
        <v>15</v>
      </c>
      <c r="J54">
        <v>43</v>
      </c>
      <c r="K54">
        <v>0</v>
      </c>
      <c r="L54">
        <v>1</v>
      </c>
      <c r="M54">
        <f>VLOOKUP(Table1[[#This Row],[subscription_type]],Plans!$A$1:$B$5,2,FALSE)</f>
        <v>0</v>
      </c>
      <c r="N54">
        <f t="shared" si="0"/>
        <v>0</v>
      </c>
    </row>
    <row r="55" spans="1:14" x14ac:dyDescent="0.35">
      <c r="A55">
        <v>54</v>
      </c>
      <c r="B55" t="s">
        <v>20</v>
      </c>
      <c r="C55">
        <v>57</v>
      </c>
      <c r="D55" t="s">
        <v>17</v>
      </c>
      <c r="E55" t="s">
        <v>14</v>
      </c>
      <c r="F55">
        <v>222</v>
      </c>
      <c r="G55">
        <v>96</v>
      </c>
      <c r="H55">
        <v>0.26</v>
      </c>
      <c r="I55" t="s">
        <v>19</v>
      </c>
      <c r="J55">
        <v>15</v>
      </c>
      <c r="K55">
        <v>0</v>
      </c>
      <c r="L55">
        <v>0</v>
      </c>
      <c r="M55">
        <f>VLOOKUP(Table1[[#This Row],[subscription_type]],Plans!$A$1:$B$5,2,FALSE)</f>
        <v>0</v>
      </c>
      <c r="N55">
        <f t="shared" si="0"/>
        <v>0</v>
      </c>
    </row>
    <row r="56" spans="1:14" x14ac:dyDescent="0.35">
      <c r="A56">
        <v>55</v>
      </c>
      <c r="B56" t="s">
        <v>12</v>
      </c>
      <c r="C56">
        <v>46</v>
      </c>
      <c r="D56" t="s">
        <v>26</v>
      </c>
      <c r="E56" t="s">
        <v>18</v>
      </c>
      <c r="F56">
        <v>121</v>
      </c>
      <c r="G56">
        <v>71</v>
      </c>
      <c r="H56">
        <v>0.32</v>
      </c>
      <c r="I56" t="s">
        <v>15</v>
      </c>
      <c r="J56">
        <v>0</v>
      </c>
      <c r="K56">
        <v>1</v>
      </c>
      <c r="L56">
        <v>0</v>
      </c>
      <c r="M56">
        <f>VLOOKUP(Table1[[#This Row],[subscription_type]],Plans!$A$1:$B$5,2,FALSE)</f>
        <v>14.99</v>
      </c>
      <c r="N56">
        <f t="shared" si="0"/>
        <v>0</v>
      </c>
    </row>
    <row r="57" spans="1:14" x14ac:dyDescent="0.35">
      <c r="A57">
        <v>56</v>
      </c>
      <c r="B57" t="s">
        <v>12</v>
      </c>
      <c r="C57">
        <v>41</v>
      </c>
      <c r="D57" t="s">
        <v>27</v>
      </c>
      <c r="E57" t="s">
        <v>18</v>
      </c>
      <c r="F57">
        <v>277</v>
      </c>
      <c r="G57">
        <v>2</v>
      </c>
      <c r="H57">
        <v>0.59</v>
      </c>
      <c r="I57" t="s">
        <v>19</v>
      </c>
      <c r="J57">
        <v>0</v>
      </c>
      <c r="K57">
        <v>1</v>
      </c>
      <c r="L57">
        <v>0</v>
      </c>
      <c r="M57">
        <f>VLOOKUP(Table1[[#This Row],[subscription_type]],Plans!$A$1:$B$5,2,FALSE)</f>
        <v>14.99</v>
      </c>
      <c r="N57">
        <f t="shared" si="0"/>
        <v>0</v>
      </c>
    </row>
    <row r="58" spans="1:14" x14ac:dyDescent="0.35">
      <c r="A58">
        <v>57</v>
      </c>
      <c r="B58" t="s">
        <v>16</v>
      </c>
      <c r="C58">
        <v>19</v>
      </c>
      <c r="D58" t="s">
        <v>27</v>
      </c>
      <c r="E58" t="s">
        <v>14</v>
      </c>
      <c r="F58">
        <v>107</v>
      </c>
      <c r="G58">
        <v>82</v>
      </c>
      <c r="H58">
        <v>0.11</v>
      </c>
      <c r="I58" t="s">
        <v>15</v>
      </c>
      <c r="J58">
        <v>12</v>
      </c>
      <c r="K58">
        <v>0</v>
      </c>
      <c r="L58">
        <v>1</v>
      </c>
      <c r="M58">
        <f>VLOOKUP(Table1[[#This Row],[subscription_type]],Plans!$A$1:$B$5,2,FALSE)</f>
        <v>0</v>
      </c>
      <c r="N58">
        <f t="shared" si="0"/>
        <v>0</v>
      </c>
    </row>
    <row r="59" spans="1:14" x14ac:dyDescent="0.35">
      <c r="A59">
        <v>58</v>
      </c>
      <c r="B59" t="s">
        <v>20</v>
      </c>
      <c r="C59">
        <v>48</v>
      </c>
      <c r="D59" t="s">
        <v>28</v>
      </c>
      <c r="E59" t="s">
        <v>24</v>
      </c>
      <c r="F59">
        <v>198</v>
      </c>
      <c r="G59">
        <v>63</v>
      </c>
      <c r="H59">
        <v>0.23</v>
      </c>
      <c r="I59" t="s">
        <v>15</v>
      </c>
      <c r="J59">
        <v>0</v>
      </c>
      <c r="K59">
        <v>1</v>
      </c>
      <c r="L59">
        <v>0</v>
      </c>
      <c r="M59">
        <f>VLOOKUP(Table1[[#This Row],[subscription_type]],Plans!$A$1:$B$5,2,FALSE)</f>
        <v>4.99</v>
      </c>
      <c r="N59">
        <f t="shared" si="0"/>
        <v>0</v>
      </c>
    </row>
    <row r="60" spans="1:14" x14ac:dyDescent="0.35">
      <c r="A60">
        <v>59</v>
      </c>
      <c r="B60" t="s">
        <v>16</v>
      </c>
      <c r="C60">
        <v>22</v>
      </c>
      <c r="D60" t="s">
        <v>17</v>
      </c>
      <c r="E60" t="s">
        <v>14</v>
      </c>
      <c r="F60">
        <v>59</v>
      </c>
      <c r="G60">
        <v>51</v>
      </c>
      <c r="H60">
        <v>0.42</v>
      </c>
      <c r="I60" t="s">
        <v>15</v>
      </c>
      <c r="J60">
        <v>19</v>
      </c>
      <c r="K60">
        <v>0</v>
      </c>
      <c r="L60">
        <v>0</v>
      </c>
      <c r="M60">
        <f>VLOOKUP(Table1[[#This Row],[subscription_type]],Plans!$A$1:$B$5,2,FALSE)</f>
        <v>0</v>
      </c>
      <c r="N60">
        <f t="shared" si="0"/>
        <v>0</v>
      </c>
    </row>
    <row r="61" spans="1:14" x14ac:dyDescent="0.35">
      <c r="A61">
        <v>60</v>
      </c>
      <c r="B61" t="s">
        <v>16</v>
      </c>
      <c r="C61">
        <v>17</v>
      </c>
      <c r="D61" t="s">
        <v>27</v>
      </c>
      <c r="E61" t="s">
        <v>24</v>
      </c>
      <c r="F61">
        <v>95</v>
      </c>
      <c r="G61">
        <v>79</v>
      </c>
      <c r="H61">
        <v>0.53</v>
      </c>
      <c r="I61" t="s">
        <v>19</v>
      </c>
      <c r="J61">
        <v>0</v>
      </c>
      <c r="K61">
        <v>1</v>
      </c>
      <c r="L61">
        <v>1</v>
      </c>
      <c r="M61">
        <f>VLOOKUP(Table1[[#This Row],[subscription_type]],Plans!$A$1:$B$5,2,FALSE)</f>
        <v>4.99</v>
      </c>
      <c r="N61">
        <f t="shared" si="0"/>
        <v>4.99</v>
      </c>
    </row>
    <row r="62" spans="1:14" x14ac:dyDescent="0.35">
      <c r="A62">
        <v>61</v>
      </c>
      <c r="B62" t="s">
        <v>12</v>
      </c>
      <c r="C62">
        <v>25</v>
      </c>
      <c r="D62" t="s">
        <v>26</v>
      </c>
      <c r="E62" t="s">
        <v>22</v>
      </c>
      <c r="F62">
        <v>262</v>
      </c>
      <c r="G62">
        <v>23</v>
      </c>
      <c r="H62">
        <v>0.17</v>
      </c>
      <c r="I62" t="s">
        <v>19</v>
      </c>
      <c r="J62">
        <v>0</v>
      </c>
      <c r="K62">
        <v>1</v>
      </c>
      <c r="L62">
        <v>0</v>
      </c>
      <c r="M62">
        <f>VLOOKUP(Table1[[#This Row],[subscription_type]],Plans!$A$1:$B$5,2,FALSE)</f>
        <v>9.99</v>
      </c>
      <c r="N62">
        <f t="shared" si="0"/>
        <v>0</v>
      </c>
    </row>
    <row r="63" spans="1:14" x14ac:dyDescent="0.35">
      <c r="A63">
        <v>62</v>
      </c>
      <c r="B63" t="s">
        <v>16</v>
      </c>
      <c r="C63">
        <v>49</v>
      </c>
      <c r="D63" t="s">
        <v>29</v>
      </c>
      <c r="E63" t="s">
        <v>24</v>
      </c>
      <c r="F63">
        <v>169</v>
      </c>
      <c r="G63">
        <v>26</v>
      </c>
      <c r="H63">
        <v>0.56000000000000005</v>
      </c>
      <c r="I63" t="s">
        <v>23</v>
      </c>
      <c r="J63">
        <v>0</v>
      </c>
      <c r="K63">
        <v>1</v>
      </c>
      <c r="L63">
        <v>0</v>
      </c>
      <c r="M63">
        <f>VLOOKUP(Table1[[#This Row],[subscription_type]],Plans!$A$1:$B$5,2,FALSE)</f>
        <v>4.99</v>
      </c>
      <c r="N63">
        <f t="shared" si="0"/>
        <v>0</v>
      </c>
    </row>
    <row r="64" spans="1:14" x14ac:dyDescent="0.35">
      <c r="A64">
        <v>63</v>
      </c>
      <c r="B64" t="s">
        <v>16</v>
      </c>
      <c r="C64">
        <v>59</v>
      </c>
      <c r="D64" t="s">
        <v>27</v>
      </c>
      <c r="E64" t="s">
        <v>14</v>
      </c>
      <c r="F64">
        <v>25</v>
      </c>
      <c r="G64">
        <v>32</v>
      </c>
      <c r="H64">
        <v>0.2</v>
      </c>
      <c r="I64" t="s">
        <v>23</v>
      </c>
      <c r="J64">
        <v>38</v>
      </c>
      <c r="K64">
        <v>0</v>
      </c>
      <c r="L64">
        <v>0</v>
      </c>
      <c r="M64">
        <f>VLOOKUP(Table1[[#This Row],[subscription_type]],Plans!$A$1:$B$5,2,FALSE)</f>
        <v>0</v>
      </c>
      <c r="N64">
        <f t="shared" si="0"/>
        <v>0</v>
      </c>
    </row>
    <row r="65" spans="1:14" x14ac:dyDescent="0.35">
      <c r="A65">
        <v>64</v>
      </c>
      <c r="B65" t="s">
        <v>12</v>
      </c>
      <c r="C65">
        <v>45</v>
      </c>
      <c r="D65" t="s">
        <v>13</v>
      </c>
      <c r="E65" t="s">
        <v>18</v>
      </c>
      <c r="F65">
        <v>55</v>
      </c>
      <c r="G65">
        <v>67</v>
      </c>
      <c r="H65">
        <v>0.51</v>
      </c>
      <c r="I65" t="s">
        <v>23</v>
      </c>
      <c r="J65">
        <v>0</v>
      </c>
      <c r="K65">
        <v>1</v>
      </c>
      <c r="L65">
        <v>1</v>
      </c>
      <c r="M65">
        <f>VLOOKUP(Table1[[#This Row],[subscription_type]],Plans!$A$1:$B$5,2,FALSE)</f>
        <v>14.99</v>
      </c>
      <c r="N65">
        <f t="shared" si="0"/>
        <v>14.99</v>
      </c>
    </row>
    <row r="66" spans="1:14" x14ac:dyDescent="0.35">
      <c r="A66">
        <v>65</v>
      </c>
      <c r="B66" t="s">
        <v>20</v>
      </c>
      <c r="C66">
        <v>45</v>
      </c>
      <c r="D66" t="s">
        <v>27</v>
      </c>
      <c r="E66" t="s">
        <v>24</v>
      </c>
      <c r="F66">
        <v>161</v>
      </c>
      <c r="G66">
        <v>42</v>
      </c>
      <c r="H66">
        <v>0.4</v>
      </c>
      <c r="I66" t="s">
        <v>15</v>
      </c>
      <c r="J66">
        <v>0</v>
      </c>
      <c r="K66">
        <v>1</v>
      </c>
      <c r="L66">
        <v>1</v>
      </c>
      <c r="M66">
        <f>VLOOKUP(Table1[[#This Row],[subscription_type]],Plans!$A$1:$B$5,2,FALSE)</f>
        <v>4.99</v>
      </c>
      <c r="N66">
        <f t="shared" ref="N66:N129" si="1">IF(L66=1, M66,0)</f>
        <v>4.99</v>
      </c>
    </row>
    <row r="67" spans="1:14" x14ac:dyDescent="0.35">
      <c r="A67">
        <v>66</v>
      </c>
      <c r="B67" t="s">
        <v>16</v>
      </c>
      <c r="C67">
        <v>21</v>
      </c>
      <c r="D67" t="s">
        <v>28</v>
      </c>
      <c r="E67" t="s">
        <v>18</v>
      </c>
      <c r="F67">
        <v>77</v>
      </c>
      <c r="G67">
        <v>42</v>
      </c>
      <c r="H67">
        <v>0.56000000000000005</v>
      </c>
      <c r="I67" t="s">
        <v>19</v>
      </c>
      <c r="J67">
        <v>0</v>
      </c>
      <c r="K67">
        <v>1</v>
      </c>
      <c r="L67">
        <v>0</v>
      </c>
      <c r="M67">
        <f>VLOOKUP(Table1[[#This Row],[subscription_type]],Plans!$A$1:$B$5,2,FALSE)</f>
        <v>14.99</v>
      </c>
      <c r="N67">
        <f t="shared" si="1"/>
        <v>0</v>
      </c>
    </row>
    <row r="68" spans="1:14" x14ac:dyDescent="0.35">
      <c r="A68">
        <v>67</v>
      </c>
      <c r="B68" t="s">
        <v>20</v>
      </c>
      <c r="C68">
        <v>45</v>
      </c>
      <c r="D68" t="s">
        <v>17</v>
      </c>
      <c r="E68" t="s">
        <v>14</v>
      </c>
      <c r="F68">
        <v>152</v>
      </c>
      <c r="G68">
        <v>32</v>
      </c>
      <c r="H68">
        <v>0.49</v>
      </c>
      <c r="I68" t="s">
        <v>23</v>
      </c>
      <c r="J68">
        <v>14</v>
      </c>
      <c r="K68">
        <v>0</v>
      </c>
      <c r="L68">
        <v>1</v>
      </c>
      <c r="M68">
        <f>VLOOKUP(Table1[[#This Row],[subscription_type]],Plans!$A$1:$B$5,2,FALSE)</f>
        <v>0</v>
      </c>
      <c r="N68">
        <f t="shared" si="1"/>
        <v>0</v>
      </c>
    </row>
    <row r="69" spans="1:14" x14ac:dyDescent="0.35">
      <c r="A69">
        <v>68</v>
      </c>
      <c r="B69" t="s">
        <v>12</v>
      </c>
      <c r="C69">
        <v>45</v>
      </c>
      <c r="D69" t="s">
        <v>26</v>
      </c>
      <c r="E69" t="s">
        <v>14</v>
      </c>
      <c r="F69">
        <v>156</v>
      </c>
      <c r="G69">
        <v>51</v>
      </c>
      <c r="H69">
        <v>0.14000000000000001</v>
      </c>
      <c r="I69" t="s">
        <v>15</v>
      </c>
      <c r="J69">
        <v>18</v>
      </c>
      <c r="K69">
        <v>0</v>
      </c>
      <c r="L69">
        <v>0</v>
      </c>
      <c r="M69">
        <f>VLOOKUP(Table1[[#This Row],[subscription_type]],Plans!$A$1:$B$5,2,FALSE)</f>
        <v>0</v>
      </c>
      <c r="N69">
        <f t="shared" si="1"/>
        <v>0</v>
      </c>
    </row>
    <row r="70" spans="1:14" x14ac:dyDescent="0.35">
      <c r="A70">
        <v>69</v>
      </c>
      <c r="B70" t="s">
        <v>16</v>
      </c>
      <c r="C70">
        <v>22</v>
      </c>
      <c r="D70" t="s">
        <v>21</v>
      </c>
      <c r="E70" t="s">
        <v>24</v>
      </c>
      <c r="F70">
        <v>99</v>
      </c>
      <c r="G70">
        <v>43</v>
      </c>
      <c r="H70">
        <v>0.17</v>
      </c>
      <c r="I70" t="s">
        <v>15</v>
      </c>
      <c r="J70">
        <v>0</v>
      </c>
      <c r="K70">
        <v>1</v>
      </c>
      <c r="L70">
        <v>0</v>
      </c>
      <c r="M70">
        <f>VLOOKUP(Table1[[#This Row],[subscription_type]],Plans!$A$1:$B$5,2,FALSE)</f>
        <v>4.99</v>
      </c>
      <c r="N70">
        <f t="shared" si="1"/>
        <v>0</v>
      </c>
    </row>
    <row r="71" spans="1:14" x14ac:dyDescent="0.35">
      <c r="A71">
        <v>70</v>
      </c>
      <c r="B71" t="s">
        <v>12</v>
      </c>
      <c r="C71">
        <v>56</v>
      </c>
      <c r="D71" t="s">
        <v>25</v>
      </c>
      <c r="E71" t="s">
        <v>14</v>
      </c>
      <c r="F71">
        <v>181</v>
      </c>
      <c r="G71">
        <v>40</v>
      </c>
      <c r="H71">
        <v>0.21</v>
      </c>
      <c r="I71" t="s">
        <v>23</v>
      </c>
      <c r="J71">
        <v>10</v>
      </c>
      <c r="K71">
        <v>0</v>
      </c>
      <c r="L71">
        <v>0</v>
      </c>
      <c r="M71">
        <f>VLOOKUP(Table1[[#This Row],[subscription_type]],Plans!$A$1:$B$5,2,FALSE)</f>
        <v>0</v>
      </c>
      <c r="N71">
        <f t="shared" si="1"/>
        <v>0</v>
      </c>
    </row>
    <row r="72" spans="1:14" x14ac:dyDescent="0.35">
      <c r="A72">
        <v>71</v>
      </c>
      <c r="B72" t="s">
        <v>16</v>
      </c>
      <c r="C72">
        <v>51</v>
      </c>
      <c r="D72" t="s">
        <v>21</v>
      </c>
      <c r="E72" t="s">
        <v>24</v>
      </c>
      <c r="F72">
        <v>265</v>
      </c>
      <c r="G72">
        <v>81</v>
      </c>
      <c r="H72">
        <v>0.36</v>
      </c>
      <c r="I72" t="s">
        <v>19</v>
      </c>
      <c r="J72">
        <v>0</v>
      </c>
      <c r="K72">
        <v>1</v>
      </c>
      <c r="L72">
        <v>0</v>
      </c>
      <c r="M72">
        <f>VLOOKUP(Table1[[#This Row],[subscription_type]],Plans!$A$1:$B$5,2,FALSE)</f>
        <v>4.99</v>
      </c>
      <c r="N72">
        <f t="shared" si="1"/>
        <v>0</v>
      </c>
    </row>
    <row r="73" spans="1:14" x14ac:dyDescent="0.35">
      <c r="A73">
        <v>72</v>
      </c>
      <c r="B73" t="s">
        <v>12</v>
      </c>
      <c r="C73">
        <v>22</v>
      </c>
      <c r="D73" t="s">
        <v>21</v>
      </c>
      <c r="E73" t="s">
        <v>18</v>
      </c>
      <c r="F73">
        <v>131</v>
      </c>
      <c r="G73">
        <v>70</v>
      </c>
      <c r="H73">
        <v>0.35</v>
      </c>
      <c r="I73" t="s">
        <v>19</v>
      </c>
      <c r="J73">
        <v>0</v>
      </c>
      <c r="K73">
        <v>1</v>
      </c>
      <c r="L73">
        <v>0</v>
      </c>
      <c r="M73">
        <f>VLOOKUP(Table1[[#This Row],[subscription_type]],Plans!$A$1:$B$5,2,FALSE)</f>
        <v>14.99</v>
      </c>
      <c r="N73">
        <f t="shared" si="1"/>
        <v>0</v>
      </c>
    </row>
    <row r="74" spans="1:14" x14ac:dyDescent="0.35">
      <c r="A74">
        <v>73</v>
      </c>
      <c r="B74" t="s">
        <v>16</v>
      </c>
      <c r="C74">
        <v>33</v>
      </c>
      <c r="D74" t="s">
        <v>13</v>
      </c>
      <c r="E74" t="s">
        <v>24</v>
      </c>
      <c r="F74">
        <v>19</v>
      </c>
      <c r="G74">
        <v>68</v>
      </c>
      <c r="H74">
        <v>0.32</v>
      </c>
      <c r="I74" t="s">
        <v>15</v>
      </c>
      <c r="J74">
        <v>0</v>
      </c>
      <c r="K74">
        <v>1</v>
      </c>
      <c r="L74">
        <v>1</v>
      </c>
      <c r="M74">
        <f>VLOOKUP(Table1[[#This Row],[subscription_type]],Plans!$A$1:$B$5,2,FALSE)</f>
        <v>4.99</v>
      </c>
      <c r="N74">
        <f t="shared" si="1"/>
        <v>4.99</v>
      </c>
    </row>
    <row r="75" spans="1:14" x14ac:dyDescent="0.35">
      <c r="A75">
        <v>74</v>
      </c>
      <c r="B75" t="s">
        <v>16</v>
      </c>
      <c r="C75">
        <v>59</v>
      </c>
      <c r="D75" t="s">
        <v>21</v>
      </c>
      <c r="E75" t="s">
        <v>18</v>
      </c>
      <c r="F75">
        <v>201</v>
      </c>
      <c r="G75">
        <v>15</v>
      </c>
      <c r="H75">
        <v>0.05</v>
      </c>
      <c r="I75" t="s">
        <v>23</v>
      </c>
      <c r="J75">
        <v>0</v>
      </c>
      <c r="K75">
        <v>1</v>
      </c>
      <c r="L75">
        <v>0</v>
      </c>
      <c r="M75">
        <f>VLOOKUP(Table1[[#This Row],[subscription_type]],Plans!$A$1:$B$5,2,FALSE)</f>
        <v>14.99</v>
      </c>
      <c r="N75">
        <f t="shared" si="1"/>
        <v>0</v>
      </c>
    </row>
    <row r="76" spans="1:14" x14ac:dyDescent="0.35">
      <c r="A76">
        <v>75</v>
      </c>
      <c r="B76" t="s">
        <v>20</v>
      </c>
      <c r="C76">
        <v>41</v>
      </c>
      <c r="D76" t="s">
        <v>17</v>
      </c>
      <c r="E76" t="s">
        <v>18</v>
      </c>
      <c r="F76">
        <v>223</v>
      </c>
      <c r="G76">
        <v>53</v>
      </c>
      <c r="H76">
        <v>0.33</v>
      </c>
      <c r="I76" t="s">
        <v>19</v>
      </c>
      <c r="J76">
        <v>0</v>
      </c>
      <c r="K76">
        <v>1</v>
      </c>
      <c r="L76">
        <v>0</v>
      </c>
      <c r="M76">
        <f>VLOOKUP(Table1[[#This Row],[subscription_type]],Plans!$A$1:$B$5,2,FALSE)</f>
        <v>14.99</v>
      </c>
      <c r="N76">
        <f t="shared" si="1"/>
        <v>0</v>
      </c>
    </row>
    <row r="77" spans="1:14" x14ac:dyDescent="0.35">
      <c r="A77">
        <v>76</v>
      </c>
      <c r="B77" t="s">
        <v>20</v>
      </c>
      <c r="C77">
        <v>25</v>
      </c>
      <c r="D77" t="s">
        <v>26</v>
      </c>
      <c r="E77" t="s">
        <v>22</v>
      </c>
      <c r="F77">
        <v>111</v>
      </c>
      <c r="G77">
        <v>83</v>
      </c>
      <c r="H77">
        <v>0.19</v>
      </c>
      <c r="I77" t="s">
        <v>15</v>
      </c>
      <c r="J77">
        <v>0</v>
      </c>
      <c r="K77">
        <v>1</v>
      </c>
      <c r="L77">
        <v>0</v>
      </c>
      <c r="M77">
        <f>VLOOKUP(Table1[[#This Row],[subscription_type]],Plans!$A$1:$B$5,2,FALSE)</f>
        <v>9.99</v>
      </c>
      <c r="N77">
        <f t="shared" si="1"/>
        <v>0</v>
      </c>
    </row>
    <row r="78" spans="1:14" x14ac:dyDescent="0.35">
      <c r="A78">
        <v>77</v>
      </c>
      <c r="B78" t="s">
        <v>20</v>
      </c>
      <c r="C78">
        <v>41</v>
      </c>
      <c r="D78" t="s">
        <v>28</v>
      </c>
      <c r="E78" t="s">
        <v>18</v>
      </c>
      <c r="F78">
        <v>81</v>
      </c>
      <c r="G78">
        <v>6</v>
      </c>
      <c r="H78">
        <v>0.47</v>
      </c>
      <c r="I78" t="s">
        <v>23</v>
      </c>
      <c r="J78">
        <v>0</v>
      </c>
      <c r="K78">
        <v>1</v>
      </c>
      <c r="L78">
        <v>0</v>
      </c>
      <c r="M78">
        <f>VLOOKUP(Table1[[#This Row],[subscription_type]],Plans!$A$1:$B$5,2,FALSE)</f>
        <v>14.99</v>
      </c>
      <c r="N78">
        <f t="shared" si="1"/>
        <v>0</v>
      </c>
    </row>
    <row r="79" spans="1:14" x14ac:dyDescent="0.35">
      <c r="A79">
        <v>78</v>
      </c>
      <c r="B79" t="s">
        <v>16</v>
      </c>
      <c r="C79">
        <v>30</v>
      </c>
      <c r="D79" t="s">
        <v>28</v>
      </c>
      <c r="E79" t="s">
        <v>18</v>
      </c>
      <c r="F79">
        <v>124</v>
      </c>
      <c r="G79">
        <v>73</v>
      </c>
      <c r="H79">
        <v>0.43</v>
      </c>
      <c r="I79" t="s">
        <v>23</v>
      </c>
      <c r="J79">
        <v>0</v>
      </c>
      <c r="K79">
        <v>1</v>
      </c>
      <c r="L79">
        <v>0</v>
      </c>
      <c r="M79">
        <f>VLOOKUP(Table1[[#This Row],[subscription_type]],Plans!$A$1:$B$5,2,FALSE)</f>
        <v>14.99</v>
      </c>
      <c r="N79">
        <f t="shared" si="1"/>
        <v>0</v>
      </c>
    </row>
    <row r="80" spans="1:14" x14ac:dyDescent="0.35">
      <c r="A80">
        <v>79</v>
      </c>
      <c r="B80" t="s">
        <v>20</v>
      </c>
      <c r="C80">
        <v>23</v>
      </c>
      <c r="D80" t="s">
        <v>25</v>
      </c>
      <c r="E80" t="s">
        <v>14</v>
      </c>
      <c r="F80">
        <v>13</v>
      </c>
      <c r="G80">
        <v>30</v>
      </c>
      <c r="H80">
        <v>0.24</v>
      </c>
      <c r="I80" t="s">
        <v>23</v>
      </c>
      <c r="J80">
        <v>32</v>
      </c>
      <c r="K80">
        <v>0</v>
      </c>
      <c r="L80">
        <v>0</v>
      </c>
      <c r="M80">
        <f>VLOOKUP(Table1[[#This Row],[subscription_type]],Plans!$A$1:$B$5,2,FALSE)</f>
        <v>0</v>
      </c>
      <c r="N80">
        <f t="shared" si="1"/>
        <v>0</v>
      </c>
    </row>
    <row r="81" spans="1:14" x14ac:dyDescent="0.35">
      <c r="A81">
        <v>80</v>
      </c>
      <c r="B81" t="s">
        <v>12</v>
      </c>
      <c r="C81">
        <v>47</v>
      </c>
      <c r="D81" t="s">
        <v>29</v>
      </c>
      <c r="E81" t="s">
        <v>22</v>
      </c>
      <c r="F81">
        <v>31</v>
      </c>
      <c r="G81">
        <v>72</v>
      </c>
      <c r="H81">
        <v>0.53</v>
      </c>
      <c r="I81" t="s">
        <v>15</v>
      </c>
      <c r="J81">
        <v>0</v>
      </c>
      <c r="K81">
        <v>1</v>
      </c>
      <c r="L81">
        <v>1</v>
      </c>
      <c r="M81">
        <f>VLOOKUP(Table1[[#This Row],[subscription_type]],Plans!$A$1:$B$5,2,FALSE)</f>
        <v>9.99</v>
      </c>
      <c r="N81">
        <f t="shared" si="1"/>
        <v>9.99</v>
      </c>
    </row>
    <row r="82" spans="1:14" x14ac:dyDescent="0.35">
      <c r="A82">
        <v>81</v>
      </c>
      <c r="B82" t="s">
        <v>20</v>
      </c>
      <c r="C82">
        <v>34</v>
      </c>
      <c r="D82" t="s">
        <v>21</v>
      </c>
      <c r="E82" t="s">
        <v>22</v>
      </c>
      <c r="F82">
        <v>277</v>
      </c>
      <c r="G82">
        <v>87</v>
      </c>
      <c r="H82">
        <v>0.3</v>
      </c>
      <c r="I82" t="s">
        <v>19</v>
      </c>
      <c r="J82">
        <v>0</v>
      </c>
      <c r="K82">
        <v>1</v>
      </c>
      <c r="L82">
        <v>0</v>
      </c>
      <c r="M82">
        <f>VLOOKUP(Table1[[#This Row],[subscription_type]],Plans!$A$1:$B$5,2,FALSE)</f>
        <v>9.99</v>
      </c>
      <c r="N82">
        <f t="shared" si="1"/>
        <v>0</v>
      </c>
    </row>
    <row r="83" spans="1:14" x14ac:dyDescent="0.35">
      <c r="A83">
        <v>82</v>
      </c>
      <c r="B83" t="s">
        <v>16</v>
      </c>
      <c r="C83">
        <v>45</v>
      </c>
      <c r="D83" t="s">
        <v>28</v>
      </c>
      <c r="E83" t="s">
        <v>24</v>
      </c>
      <c r="F83">
        <v>181</v>
      </c>
      <c r="G83">
        <v>69</v>
      </c>
      <c r="H83">
        <v>0.59</v>
      </c>
      <c r="I83" t="s">
        <v>19</v>
      </c>
      <c r="J83">
        <v>0</v>
      </c>
      <c r="K83">
        <v>1</v>
      </c>
      <c r="L83">
        <v>0</v>
      </c>
      <c r="M83">
        <f>VLOOKUP(Table1[[#This Row],[subscription_type]],Plans!$A$1:$B$5,2,FALSE)</f>
        <v>4.99</v>
      </c>
      <c r="N83">
        <f t="shared" si="1"/>
        <v>0</v>
      </c>
    </row>
    <row r="84" spans="1:14" x14ac:dyDescent="0.35">
      <c r="A84">
        <v>83</v>
      </c>
      <c r="B84" t="s">
        <v>16</v>
      </c>
      <c r="C84">
        <v>32</v>
      </c>
      <c r="D84" t="s">
        <v>29</v>
      </c>
      <c r="E84" t="s">
        <v>14</v>
      </c>
      <c r="F84">
        <v>167</v>
      </c>
      <c r="G84">
        <v>4</v>
      </c>
      <c r="H84">
        <v>0.56000000000000005</v>
      </c>
      <c r="I84" t="s">
        <v>23</v>
      </c>
      <c r="J84">
        <v>35</v>
      </c>
      <c r="K84">
        <v>0</v>
      </c>
      <c r="L84">
        <v>0</v>
      </c>
      <c r="M84">
        <f>VLOOKUP(Table1[[#This Row],[subscription_type]],Plans!$A$1:$B$5,2,FALSE)</f>
        <v>0</v>
      </c>
      <c r="N84">
        <f t="shared" si="1"/>
        <v>0</v>
      </c>
    </row>
    <row r="85" spans="1:14" x14ac:dyDescent="0.35">
      <c r="A85">
        <v>84</v>
      </c>
      <c r="B85" t="s">
        <v>16</v>
      </c>
      <c r="C85">
        <v>51</v>
      </c>
      <c r="D85" t="s">
        <v>13</v>
      </c>
      <c r="E85" t="s">
        <v>14</v>
      </c>
      <c r="F85">
        <v>105</v>
      </c>
      <c r="G85">
        <v>11</v>
      </c>
      <c r="H85">
        <v>0.03</v>
      </c>
      <c r="I85" t="s">
        <v>19</v>
      </c>
      <c r="J85">
        <v>29</v>
      </c>
      <c r="K85">
        <v>0</v>
      </c>
      <c r="L85">
        <v>0</v>
      </c>
      <c r="M85">
        <f>VLOOKUP(Table1[[#This Row],[subscription_type]],Plans!$A$1:$B$5,2,FALSE)</f>
        <v>0</v>
      </c>
      <c r="N85">
        <f t="shared" si="1"/>
        <v>0</v>
      </c>
    </row>
    <row r="86" spans="1:14" x14ac:dyDescent="0.35">
      <c r="A86">
        <v>85</v>
      </c>
      <c r="B86" t="s">
        <v>16</v>
      </c>
      <c r="C86">
        <v>21</v>
      </c>
      <c r="D86" t="s">
        <v>28</v>
      </c>
      <c r="E86" t="s">
        <v>24</v>
      </c>
      <c r="F86">
        <v>202</v>
      </c>
      <c r="G86">
        <v>79</v>
      </c>
      <c r="H86">
        <v>0.45</v>
      </c>
      <c r="I86" t="s">
        <v>15</v>
      </c>
      <c r="J86">
        <v>0</v>
      </c>
      <c r="K86">
        <v>1</v>
      </c>
      <c r="L86">
        <v>0</v>
      </c>
      <c r="M86">
        <f>VLOOKUP(Table1[[#This Row],[subscription_type]],Plans!$A$1:$B$5,2,FALSE)</f>
        <v>4.99</v>
      </c>
      <c r="N86">
        <f t="shared" si="1"/>
        <v>0</v>
      </c>
    </row>
    <row r="87" spans="1:14" x14ac:dyDescent="0.35">
      <c r="A87">
        <v>86</v>
      </c>
      <c r="B87" t="s">
        <v>12</v>
      </c>
      <c r="C87">
        <v>20</v>
      </c>
      <c r="D87" t="s">
        <v>27</v>
      </c>
      <c r="E87" t="s">
        <v>18</v>
      </c>
      <c r="F87">
        <v>284</v>
      </c>
      <c r="G87">
        <v>38</v>
      </c>
      <c r="H87">
        <v>0.23</v>
      </c>
      <c r="I87" t="s">
        <v>19</v>
      </c>
      <c r="J87">
        <v>0</v>
      </c>
      <c r="K87">
        <v>1</v>
      </c>
      <c r="L87">
        <v>0</v>
      </c>
      <c r="M87">
        <f>VLOOKUP(Table1[[#This Row],[subscription_type]],Plans!$A$1:$B$5,2,FALSE)</f>
        <v>14.99</v>
      </c>
      <c r="N87">
        <f t="shared" si="1"/>
        <v>0</v>
      </c>
    </row>
    <row r="88" spans="1:14" x14ac:dyDescent="0.35">
      <c r="A88">
        <v>87</v>
      </c>
      <c r="B88" t="s">
        <v>20</v>
      </c>
      <c r="C88">
        <v>21</v>
      </c>
      <c r="D88" t="s">
        <v>25</v>
      </c>
      <c r="E88" t="s">
        <v>22</v>
      </c>
      <c r="F88">
        <v>125</v>
      </c>
      <c r="G88">
        <v>82</v>
      </c>
      <c r="H88">
        <v>0.43</v>
      </c>
      <c r="I88" t="s">
        <v>19</v>
      </c>
      <c r="J88">
        <v>0</v>
      </c>
      <c r="K88">
        <v>1</v>
      </c>
      <c r="L88">
        <v>0</v>
      </c>
      <c r="M88">
        <f>VLOOKUP(Table1[[#This Row],[subscription_type]],Plans!$A$1:$B$5,2,FALSE)</f>
        <v>9.99</v>
      </c>
      <c r="N88">
        <f t="shared" si="1"/>
        <v>0</v>
      </c>
    </row>
    <row r="89" spans="1:14" x14ac:dyDescent="0.35">
      <c r="A89">
        <v>88</v>
      </c>
      <c r="B89" t="s">
        <v>12</v>
      </c>
      <c r="C89">
        <v>44</v>
      </c>
      <c r="D89" t="s">
        <v>26</v>
      </c>
      <c r="E89" t="s">
        <v>14</v>
      </c>
      <c r="F89">
        <v>237</v>
      </c>
      <c r="G89">
        <v>36</v>
      </c>
      <c r="H89">
        <v>0.37</v>
      </c>
      <c r="I89" t="s">
        <v>19</v>
      </c>
      <c r="J89">
        <v>20</v>
      </c>
      <c r="K89">
        <v>0</v>
      </c>
      <c r="L89">
        <v>0</v>
      </c>
      <c r="M89">
        <f>VLOOKUP(Table1[[#This Row],[subscription_type]],Plans!$A$1:$B$5,2,FALSE)</f>
        <v>0</v>
      </c>
      <c r="N89">
        <f t="shared" si="1"/>
        <v>0</v>
      </c>
    </row>
    <row r="90" spans="1:14" x14ac:dyDescent="0.35">
      <c r="A90">
        <v>89</v>
      </c>
      <c r="B90" t="s">
        <v>16</v>
      </c>
      <c r="C90">
        <v>50</v>
      </c>
      <c r="D90" t="s">
        <v>29</v>
      </c>
      <c r="E90" t="s">
        <v>18</v>
      </c>
      <c r="F90">
        <v>99</v>
      </c>
      <c r="G90">
        <v>15</v>
      </c>
      <c r="H90">
        <v>0.15</v>
      </c>
      <c r="I90" t="s">
        <v>23</v>
      </c>
      <c r="J90">
        <v>0</v>
      </c>
      <c r="K90">
        <v>1</v>
      </c>
      <c r="L90">
        <v>0</v>
      </c>
      <c r="M90">
        <f>VLOOKUP(Table1[[#This Row],[subscription_type]],Plans!$A$1:$B$5,2,FALSE)</f>
        <v>14.99</v>
      </c>
      <c r="N90">
        <f t="shared" si="1"/>
        <v>0</v>
      </c>
    </row>
    <row r="91" spans="1:14" x14ac:dyDescent="0.35">
      <c r="A91">
        <v>90</v>
      </c>
      <c r="B91" t="s">
        <v>16</v>
      </c>
      <c r="C91">
        <v>52</v>
      </c>
      <c r="D91" t="s">
        <v>17</v>
      </c>
      <c r="E91" t="s">
        <v>24</v>
      </c>
      <c r="F91">
        <v>224</v>
      </c>
      <c r="G91">
        <v>49</v>
      </c>
      <c r="H91">
        <v>0.38</v>
      </c>
      <c r="I91" t="s">
        <v>15</v>
      </c>
      <c r="J91">
        <v>0</v>
      </c>
      <c r="K91">
        <v>1</v>
      </c>
      <c r="L91">
        <v>0</v>
      </c>
      <c r="M91">
        <f>VLOOKUP(Table1[[#This Row],[subscription_type]],Plans!$A$1:$B$5,2,FALSE)</f>
        <v>4.99</v>
      </c>
      <c r="N91">
        <f t="shared" si="1"/>
        <v>0</v>
      </c>
    </row>
    <row r="92" spans="1:14" x14ac:dyDescent="0.35">
      <c r="A92">
        <v>91</v>
      </c>
      <c r="B92" t="s">
        <v>20</v>
      </c>
      <c r="C92">
        <v>43</v>
      </c>
      <c r="D92" t="s">
        <v>26</v>
      </c>
      <c r="E92" t="s">
        <v>14</v>
      </c>
      <c r="F92">
        <v>195</v>
      </c>
      <c r="G92">
        <v>80</v>
      </c>
      <c r="H92">
        <v>0.17</v>
      </c>
      <c r="I92" t="s">
        <v>19</v>
      </c>
      <c r="J92">
        <v>28</v>
      </c>
      <c r="K92">
        <v>0</v>
      </c>
      <c r="L92">
        <v>0</v>
      </c>
      <c r="M92">
        <f>VLOOKUP(Table1[[#This Row],[subscription_type]],Plans!$A$1:$B$5,2,FALSE)</f>
        <v>0</v>
      </c>
      <c r="N92">
        <f t="shared" si="1"/>
        <v>0</v>
      </c>
    </row>
    <row r="93" spans="1:14" x14ac:dyDescent="0.35">
      <c r="A93">
        <v>92</v>
      </c>
      <c r="B93" t="s">
        <v>12</v>
      </c>
      <c r="C93">
        <v>41</v>
      </c>
      <c r="D93" t="s">
        <v>29</v>
      </c>
      <c r="E93" t="s">
        <v>22</v>
      </c>
      <c r="F93">
        <v>173</v>
      </c>
      <c r="G93">
        <v>85</v>
      </c>
      <c r="H93">
        <v>0.22</v>
      </c>
      <c r="I93" t="s">
        <v>19</v>
      </c>
      <c r="J93">
        <v>0</v>
      </c>
      <c r="K93">
        <v>1</v>
      </c>
      <c r="L93">
        <v>0</v>
      </c>
      <c r="M93">
        <f>VLOOKUP(Table1[[#This Row],[subscription_type]],Plans!$A$1:$B$5,2,FALSE)</f>
        <v>9.99</v>
      </c>
      <c r="N93">
        <f t="shared" si="1"/>
        <v>0</v>
      </c>
    </row>
    <row r="94" spans="1:14" x14ac:dyDescent="0.35">
      <c r="A94">
        <v>93</v>
      </c>
      <c r="B94" t="s">
        <v>12</v>
      </c>
      <c r="C94">
        <v>57</v>
      </c>
      <c r="D94" t="s">
        <v>27</v>
      </c>
      <c r="E94" t="s">
        <v>18</v>
      </c>
      <c r="F94">
        <v>210</v>
      </c>
      <c r="G94">
        <v>7</v>
      </c>
      <c r="H94">
        <v>0.25</v>
      </c>
      <c r="I94" t="s">
        <v>19</v>
      </c>
      <c r="J94">
        <v>0</v>
      </c>
      <c r="K94">
        <v>1</v>
      </c>
      <c r="L94">
        <v>0</v>
      </c>
      <c r="M94">
        <f>VLOOKUP(Table1[[#This Row],[subscription_type]],Plans!$A$1:$B$5,2,FALSE)</f>
        <v>14.99</v>
      </c>
      <c r="N94">
        <f t="shared" si="1"/>
        <v>0</v>
      </c>
    </row>
    <row r="95" spans="1:14" x14ac:dyDescent="0.35">
      <c r="A95">
        <v>94</v>
      </c>
      <c r="B95" t="s">
        <v>16</v>
      </c>
      <c r="C95">
        <v>50</v>
      </c>
      <c r="D95" t="s">
        <v>26</v>
      </c>
      <c r="E95" t="s">
        <v>14</v>
      </c>
      <c r="F95">
        <v>85</v>
      </c>
      <c r="G95">
        <v>7</v>
      </c>
      <c r="H95">
        <v>0.45</v>
      </c>
      <c r="I95" t="s">
        <v>15</v>
      </c>
      <c r="J95">
        <v>44</v>
      </c>
      <c r="K95">
        <v>0</v>
      </c>
      <c r="L95">
        <v>0</v>
      </c>
      <c r="M95">
        <f>VLOOKUP(Table1[[#This Row],[subscription_type]],Plans!$A$1:$B$5,2,FALSE)</f>
        <v>0</v>
      </c>
      <c r="N95">
        <f t="shared" si="1"/>
        <v>0</v>
      </c>
    </row>
    <row r="96" spans="1:14" x14ac:dyDescent="0.35">
      <c r="A96">
        <v>95</v>
      </c>
      <c r="B96" t="s">
        <v>12</v>
      </c>
      <c r="C96">
        <v>35</v>
      </c>
      <c r="D96" t="s">
        <v>28</v>
      </c>
      <c r="E96" t="s">
        <v>18</v>
      </c>
      <c r="F96">
        <v>93</v>
      </c>
      <c r="G96">
        <v>1</v>
      </c>
      <c r="H96">
        <v>0.4</v>
      </c>
      <c r="I96" t="s">
        <v>23</v>
      </c>
      <c r="J96">
        <v>0</v>
      </c>
      <c r="K96">
        <v>1</v>
      </c>
      <c r="L96">
        <v>0</v>
      </c>
      <c r="M96">
        <f>VLOOKUP(Table1[[#This Row],[subscription_type]],Plans!$A$1:$B$5,2,FALSE)</f>
        <v>14.99</v>
      </c>
      <c r="N96">
        <f t="shared" si="1"/>
        <v>0</v>
      </c>
    </row>
    <row r="97" spans="1:14" x14ac:dyDescent="0.35">
      <c r="A97">
        <v>96</v>
      </c>
      <c r="B97" t="s">
        <v>16</v>
      </c>
      <c r="C97">
        <v>51</v>
      </c>
      <c r="D97" t="s">
        <v>27</v>
      </c>
      <c r="E97" t="s">
        <v>24</v>
      </c>
      <c r="F97">
        <v>222</v>
      </c>
      <c r="G97">
        <v>97</v>
      </c>
      <c r="H97">
        <v>0.03</v>
      </c>
      <c r="I97" t="s">
        <v>15</v>
      </c>
      <c r="J97">
        <v>0</v>
      </c>
      <c r="K97">
        <v>1</v>
      </c>
      <c r="L97">
        <v>1</v>
      </c>
      <c r="M97">
        <f>VLOOKUP(Table1[[#This Row],[subscription_type]],Plans!$A$1:$B$5,2,FALSE)</f>
        <v>4.99</v>
      </c>
      <c r="N97">
        <f t="shared" si="1"/>
        <v>4.99</v>
      </c>
    </row>
    <row r="98" spans="1:14" x14ac:dyDescent="0.35">
      <c r="A98">
        <v>97</v>
      </c>
      <c r="B98" t="s">
        <v>20</v>
      </c>
      <c r="C98">
        <v>34</v>
      </c>
      <c r="D98" t="s">
        <v>13</v>
      </c>
      <c r="E98" t="s">
        <v>22</v>
      </c>
      <c r="F98">
        <v>196</v>
      </c>
      <c r="G98">
        <v>69</v>
      </c>
      <c r="H98">
        <v>7.0000000000000007E-2</v>
      </c>
      <c r="I98" t="s">
        <v>19</v>
      </c>
      <c r="J98">
        <v>0</v>
      </c>
      <c r="K98">
        <v>1</v>
      </c>
      <c r="L98">
        <v>0</v>
      </c>
      <c r="M98">
        <f>VLOOKUP(Table1[[#This Row],[subscription_type]],Plans!$A$1:$B$5,2,FALSE)</f>
        <v>9.99</v>
      </c>
      <c r="N98">
        <f t="shared" si="1"/>
        <v>0</v>
      </c>
    </row>
    <row r="99" spans="1:14" x14ac:dyDescent="0.35">
      <c r="A99">
        <v>98</v>
      </c>
      <c r="B99" t="s">
        <v>12</v>
      </c>
      <c r="C99">
        <v>47</v>
      </c>
      <c r="D99" t="s">
        <v>25</v>
      </c>
      <c r="E99" t="s">
        <v>18</v>
      </c>
      <c r="F99">
        <v>215</v>
      </c>
      <c r="G99">
        <v>13</v>
      </c>
      <c r="H99">
        <v>0.02</v>
      </c>
      <c r="I99" t="s">
        <v>23</v>
      </c>
      <c r="J99">
        <v>0</v>
      </c>
      <c r="K99">
        <v>1</v>
      </c>
      <c r="L99">
        <v>1</v>
      </c>
      <c r="M99">
        <f>VLOOKUP(Table1[[#This Row],[subscription_type]],Plans!$A$1:$B$5,2,FALSE)</f>
        <v>14.99</v>
      </c>
      <c r="N99">
        <f t="shared" si="1"/>
        <v>14.99</v>
      </c>
    </row>
    <row r="100" spans="1:14" x14ac:dyDescent="0.35">
      <c r="A100">
        <v>99</v>
      </c>
      <c r="B100" t="s">
        <v>20</v>
      </c>
      <c r="C100">
        <v>19</v>
      </c>
      <c r="D100" t="s">
        <v>29</v>
      </c>
      <c r="E100" t="s">
        <v>18</v>
      </c>
      <c r="F100">
        <v>22</v>
      </c>
      <c r="G100">
        <v>45</v>
      </c>
      <c r="H100">
        <v>0.28999999999999998</v>
      </c>
      <c r="I100" t="s">
        <v>19</v>
      </c>
      <c r="J100">
        <v>0</v>
      </c>
      <c r="K100">
        <v>1</v>
      </c>
      <c r="L100">
        <v>1</v>
      </c>
      <c r="M100">
        <f>VLOOKUP(Table1[[#This Row],[subscription_type]],Plans!$A$1:$B$5,2,FALSE)</f>
        <v>14.99</v>
      </c>
      <c r="N100">
        <f t="shared" si="1"/>
        <v>14.99</v>
      </c>
    </row>
    <row r="101" spans="1:14" x14ac:dyDescent="0.35">
      <c r="A101">
        <v>100</v>
      </c>
      <c r="B101" t="s">
        <v>12</v>
      </c>
      <c r="C101">
        <v>30</v>
      </c>
      <c r="D101" t="s">
        <v>26</v>
      </c>
      <c r="E101" t="s">
        <v>24</v>
      </c>
      <c r="F101">
        <v>283</v>
      </c>
      <c r="G101">
        <v>13</v>
      </c>
      <c r="H101">
        <v>0.02</v>
      </c>
      <c r="I101" t="s">
        <v>15</v>
      </c>
      <c r="J101">
        <v>0</v>
      </c>
      <c r="K101">
        <v>1</v>
      </c>
      <c r="L101">
        <v>0</v>
      </c>
      <c r="M101">
        <f>VLOOKUP(Table1[[#This Row],[subscription_type]],Plans!$A$1:$B$5,2,FALSE)</f>
        <v>4.99</v>
      </c>
      <c r="N101">
        <f t="shared" si="1"/>
        <v>0</v>
      </c>
    </row>
    <row r="102" spans="1:14" x14ac:dyDescent="0.35">
      <c r="A102">
        <v>101</v>
      </c>
      <c r="B102" t="s">
        <v>12</v>
      </c>
      <c r="C102">
        <v>27</v>
      </c>
      <c r="D102" t="s">
        <v>28</v>
      </c>
      <c r="E102" t="s">
        <v>14</v>
      </c>
      <c r="F102">
        <v>40</v>
      </c>
      <c r="G102">
        <v>15</v>
      </c>
      <c r="H102">
        <v>0.5</v>
      </c>
      <c r="I102" t="s">
        <v>19</v>
      </c>
      <c r="J102">
        <v>16</v>
      </c>
      <c r="K102">
        <v>0</v>
      </c>
      <c r="L102">
        <v>0</v>
      </c>
      <c r="M102">
        <f>VLOOKUP(Table1[[#This Row],[subscription_type]],Plans!$A$1:$B$5,2,FALSE)</f>
        <v>0</v>
      </c>
      <c r="N102">
        <f t="shared" si="1"/>
        <v>0</v>
      </c>
    </row>
    <row r="103" spans="1:14" x14ac:dyDescent="0.35">
      <c r="A103">
        <v>102</v>
      </c>
      <c r="B103" t="s">
        <v>20</v>
      </c>
      <c r="C103">
        <v>25</v>
      </c>
      <c r="D103" t="s">
        <v>17</v>
      </c>
      <c r="E103" t="s">
        <v>24</v>
      </c>
      <c r="F103">
        <v>251</v>
      </c>
      <c r="G103">
        <v>91</v>
      </c>
      <c r="H103">
        <v>0.12</v>
      </c>
      <c r="I103" t="s">
        <v>15</v>
      </c>
      <c r="J103">
        <v>0</v>
      </c>
      <c r="K103">
        <v>1</v>
      </c>
      <c r="L103">
        <v>0</v>
      </c>
      <c r="M103">
        <f>VLOOKUP(Table1[[#This Row],[subscription_type]],Plans!$A$1:$B$5,2,FALSE)</f>
        <v>4.99</v>
      </c>
      <c r="N103">
        <f t="shared" si="1"/>
        <v>0</v>
      </c>
    </row>
    <row r="104" spans="1:14" x14ac:dyDescent="0.35">
      <c r="A104">
        <v>103</v>
      </c>
      <c r="B104" t="s">
        <v>12</v>
      </c>
      <c r="C104">
        <v>47</v>
      </c>
      <c r="D104" t="s">
        <v>21</v>
      </c>
      <c r="E104" t="s">
        <v>18</v>
      </c>
      <c r="F104">
        <v>240</v>
      </c>
      <c r="G104">
        <v>61</v>
      </c>
      <c r="H104">
        <v>0.56000000000000005</v>
      </c>
      <c r="I104" t="s">
        <v>23</v>
      </c>
      <c r="J104">
        <v>0</v>
      </c>
      <c r="K104">
        <v>1</v>
      </c>
      <c r="L104">
        <v>0</v>
      </c>
      <c r="M104">
        <f>VLOOKUP(Table1[[#This Row],[subscription_type]],Plans!$A$1:$B$5,2,FALSE)</f>
        <v>14.99</v>
      </c>
      <c r="N104">
        <f t="shared" si="1"/>
        <v>0</v>
      </c>
    </row>
    <row r="105" spans="1:14" x14ac:dyDescent="0.35">
      <c r="A105">
        <v>104</v>
      </c>
      <c r="B105" t="s">
        <v>20</v>
      </c>
      <c r="C105">
        <v>33</v>
      </c>
      <c r="D105" t="s">
        <v>25</v>
      </c>
      <c r="E105" t="s">
        <v>18</v>
      </c>
      <c r="F105">
        <v>160</v>
      </c>
      <c r="G105">
        <v>76</v>
      </c>
      <c r="H105">
        <v>0.06</v>
      </c>
      <c r="I105" t="s">
        <v>19</v>
      </c>
      <c r="J105">
        <v>0</v>
      </c>
      <c r="K105">
        <v>1</v>
      </c>
      <c r="L105">
        <v>0</v>
      </c>
      <c r="M105">
        <f>VLOOKUP(Table1[[#This Row],[subscription_type]],Plans!$A$1:$B$5,2,FALSE)</f>
        <v>14.99</v>
      </c>
      <c r="N105">
        <f t="shared" si="1"/>
        <v>0</v>
      </c>
    </row>
    <row r="106" spans="1:14" x14ac:dyDescent="0.35">
      <c r="A106">
        <v>105</v>
      </c>
      <c r="B106" t="s">
        <v>20</v>
      </c>
      <c r="C106">
        <v>46</v>
      </c>
      <c r="D106" t="s">
        <v>13</v>
      </c>
      <c r="E106" t="s">
        <v>14</v>
      </c>
      <c r="F106">
        <v>114</v>
      </c>
      <c r="G106">
        <v>11</v>
      </c>
      <c r="H106">
        <v>0.24</v>
      </c>
      <c r="I106" t="s">
        <v>19</v>
      </c>
      <c r="J106">
        <v>19</v>
      </c>
      <c r="K106">
        <v>0</v>
      </c>
      <c r="L106">
        <v>0</v>
      </c>
      <c r="M106">
        <f>VLOOKUP(Table1[[#This Row],[subscription_type]],Plans!$A$1:$B$5,2,FALSE)</f>
        <v>0</v>
      </c>
      <c r="N106">
        <f t="shared" si="1"/>
        <v>0</v>
      </c>
    </row>
    <row r="107" spans="1:14" x14ac:dyDescent="0.35">
      <c r="A107">
        <v>106</v>
      </c>
      <c r="B107" t="s">
        <v>16</v>
      </c>
      <c r="C107">
        <v>50</v>
      </c>
      <c r="D107" t="s">
        <v>21</v>
      </c>
      <c r="E107" t="s">
        <v>24</v>
      </c>
      <c r="F107">
        <v>251</v>
      </c>
      <c r="G107">
        <v>9</v>
      </c>
      <c r="H107">
        <v>0.39</v>
      </c>
      <c r="I107" t="s">
        <v>19</v>
      </c>
      <c r="J107">
        <v>0</v>
      </c>
      <c r="K107">
        <v>1</v>
      </c>
      <c r="L107">
        <v>0</v>
      </c>
      <c r="M107">
        <f>VLOOKUP(Table1[[#This Row],[subscription_type]],Plans!$A$1:$B$5,2,FALSE)</f>
        <v>4.99</v>
      </c>
      <c r="N107">
        <f t="shared" si="1"/>
        <v>0</v>
      </c>
    </row>
    <row r="108" spans="1:14" x14ac:dyDescent="0.35">
      <c r="A108">
        <v>107</v>
      </c>
      <c r="B108" t="s">
        <v>20</v>
      </c>
      <c r="C108">
        <v>31</v>
      </c>
      <c r="D108" t="s">
        <v>28</v>
      </c>
      <c r="E108" t="s">
        <v>24</v>
      </c>
      <c r="F108">
        <v>181</v>
      </c>
      <c r="G108">
        <v>89</v>
      </c>
      <c r="H108">
        <v>0.11</v>
      </c>
      <c r="I108" t="s">
        <v>15</v>
      </c>
      <c r="J108">
        <v>0</v>
      </c>
      <c r="K108">
        <v>1</v>
      </c>
      <c r="L108">
        <v>1</v>
      </c>
      <c r="M108">
        <f>VLOOKUP(Table1[[#This Row],[subscription_type]],Plans!$A$1:$B$5,2,FALSE)</f>
        <v>4.99</v>
      </c>
      <c r="N108">
        <f t="shared" si="1"/>
        <v>4.99</v>
      </c>
    </row>
    <row r="109" spans="1:14" x14ac:dyDescent="0.35">
      <c r="A109">
        <v>108</v>
      </c>
      <c r="B109" t="s">
        <v>12</v>
      </c>
      <c r="C109">
        <v>45</v>
      </c>
      <c r="D109" t="s">
        <v>28</v>
      </c>
      <c r="E109" t="s">
        <v>22</v>
      </c>
      <c r="F109">
        <v>215</v>
      </c>
      <c r="G109">
        <v>16</v>
      </c>
      <c r="H109">
        <v>0.26</v>
      </c>
      <c r="I109" t="s">
        <v>19</v>
      </c>
      <c r="J109">
        <v>0</v>
      </c>
      <c r="K109">
        <v>1</v>
      </c>
      <c r="L109">
        <v>0</v>
      </c>
      <c r="M109">
        <f>VLOOKUP(Table1[[#This Row],[subscription_type]],Plans!$A$1:$B$5,2,FALSE)</f>
        <v>9.99</v>
      </c>
      <c r="N109">
        <f t="shared" si="1"/>
        <v>0</v>
      </c>
    </row>
    <row r="110" spans="1:14" x14ac:dyDescent="0.35">
      <c r="A110">
        <v>109</v>
      </c>
      <c r="B110" t="s">
        <v>20</v>
      </c>
      <c r="C110">
        <v>51</v>
      </c>
      <c r="D110" t="s">
        <v>28</v>
      </c>
      <c r="E110" t="s">
        <v>24</v>
      </c>
      <c r="F110">
        <v>119</v>
      </c>
      <c r="G110">
        <v>11</v>
      </c>
      <c r="H110">
        <v>0.05</v>
      </c>
      <c r="I110" t="s">
        <v>15</v>
      </c>
      <c r="J110">
        <v>0</v>
      </c>
      <c r="K110">
        <v>1</v>
      </c>
      <c r="L110">
        <v>0</v>
      </c>
      <c r="M110">
        <f>VLOOKUP(Table1[[#This Row],[subscription_type]],Plans!$A$1:$B$5,2,FALSE)</f>
        <v>4.99</v>
      </c>
      <c r="N110">
        <f t="shared" si="1"/>
        <v>0</v>
      </c>
    </row>
    <row r="111" spans="1:14" x14ac:dyDescent="0.35">
      <c r="A111">
        <v>110</v>
      </c>
      <c r="B111" t="s">
        <v>16</v>
      </c>
      <c r="C111">
        <v>33</v>
      </c>
      <c r="D111" t="s">
        <v>13</v>
      </c>
      <c r="E111" t="s">
        <v>22</v>
      </c>
      <c r="F111">
        <v>224</v>
      </c>
      <c r="G111">
        <v>34</v>
      </c>
      <c r="H111">
        <v>0.11</v>
      </c>
      <c r="I111" t="s">
        <v>23</v>
      </c>
      <c r="J111">
        <v>0</v>
      </c>
      <c r="K111">
        <v>1</v>
      </c>
      <c r="L111">
        <v>0</v>
      </c>
      <c r="M111">
        <f>VLOOKUP(Table1[[#This Row],[subscription_type]],Plans!$A$1:$B$5,2,FALSE)</f>
        <v>9.99</v>
      </c>
      <c r="N111">
        <f t="shared" si="1"/>
        <v>0</v>
      </c>
    </row>
    <row r="112" spans="1:14" x14ac:dyDescent="0.35">
      <c r="A112">
        <v>111</v>
      </c>
      <c r="B112" t="s">
        <v>20</v>
      </c>
      <c r="C112">
        <v>42</v>
      </c>
      <c r="D112" t="s">
        <v>17</v>
      </c>
      <c r="E112" t="s">
        <v>22</v>
      </c>
      <c r="F112">
        <v>31</v>
      </c>
      <c r="G112">
        <v>61</v>
      </c>
      <c r="H112">
        <v>0.28999999999999998</v>
      </c>
      <c r="I112" t="s">
        <v>23</v>
      </c>
      <c r="J112">
        <v>0</v>
      </c>
      <c r="K112">
        <v>1</v>
      </c>
      <c r="L112">
        <v>0</v>
      </c>
      <c r="M112">
        <f>VLOOKUP(Table1[[#This Row],[subscription_type]],Plans!$A$1:$B$5,2,FALSE)</f>
        <v>9.99</v>
      </c>
      <c r="N112">
        <f t="shared" si="1"/>
        <v>0</v>
      </c>
    </row>
    <row r="113" spans="1:14" x14ac:dyDescent="0.35">
      <c r="A113">
        <v>112</v>
      </c>
      <c r="B113" t="s">
        <v>20</v>
      </c>
      <c r="C113">
        <v>16</v>
      </c>
      <c r="D113" t="s">
        <v>13</v>
      </c>
      <c r="E113" t="s">
        <v>18</v>
      </c>
      <c r="F113">
        <v>17</v>
      </c>
      <c r="G113">
        <v>10</v>
      </c>
      <c r="H113">
        <v>0.27</v>
      </c>
      <c r="I113" t="s">
        <v>15</v>
      </c>
      <c r="J113">
        <v>0</v>
      </c>
      <c r="K113">
        <v>1</v>
      </c>
      <c r="L113">
        <v>0</v>
      </c>
      <c r="M113">
        <f>VLOOKUP(Table1[[#This Row],[subscription_type]],Plans!$A$1:$B$5,2,FALSE)</f>
        <v>14.99</v>
      </c>
      <c r="N113">
        <f t="shared" si="1"/>
        <v>0</v>
      </c>
    </row>
    <row r="114" spans="1:14" x14ac:dyDescent="0.35">
      <c r="A114">
        <v>113</v>
      </c>
      <c r="B114" t="s">
        <v>16</v>
      </c>
      <c r="C114">
        <v>31</v>
      </c>
      <c r="D114" t="s">
        <v>28</v>
      </c>
      <c r="E114" t="s">
        <v>24</v>
      </c>
      <c r="F114">
        <v>174</v>
      </c>
      <c r="G114">
        <v>29</v>
      </c>
      <c r="H114">
        <v>0.13</v>
      </c>
      <c r="I114" t="s">
        <v>15</v>
      </c>
      <c r="J114">
        <v>0</v>
      </c>
      <c r="K114">
        <v>1</v>
      </c>
      <c r="L114">
        <v>1</v>
      </c>
      <c r="M114">
        <f>VLOOKUP(Table1[[#This Row],[subscription_type]],Plans!$A$1:$B$5,2,FALSE)</f>
        <v>4.99</v>
      </c>
      <c r="N114">
        <f t="shared" si="1"/>
        <v>4.99</v>
      </c>
    </row>
    <row r="115" spans="1:14" x14ac:dyDescent="0.35">
      <c r="A115">
        <v>114</v>
      </c>
      <c r="B115" t="s">
        <v>20</v>
      </c>
      <c r="C115">
        <v>40</v>
      </c>
      <c r="D115" t="s">
        <v>21</v>
      </c>
      <c r="E115" t="s">
        <v>18</v>
      </c>
      <c r="F115">
        <v>31</v>
      </c>
      <c r="G115">
        <v>48</v>
      </c>
      <c r="H115">
        <v>0.33</v>
      </c>
      <c r="I115" t="s">
        <v>19</v>
      </c>
      <c r="J115">
        <v>0</v>
      </c>
      <c r="K115">
        <v>1</v>
      </c>
      <c r="L115">
        <v>0</v>
      </c>
      <c r="M115">
        <f>VLOOKUP(Table1[[#This Row],[subscription_type]],Plans!$A$1:$B$5,2,FALSE)</f>
        <v>14.99</v>
      </c>
      <c r="N115">
        <f t="shared" si="1"/>
        <v>0</v>
      </c>
    </row>
    <row r="116" spans="1:14" x14ac:dyDescent="0.35">
      <c r="A116">
        <v>115</v>
      </c>
      <c r="B116" t="s">
        <v>20</v>
      </c>
      <c r="C116">
        <v>57</v>
      </c>
      <c r="D116" t="s">
        <v>28</v>
      </c>
      <c r="E116" t="s">
        <v>24</v>
      </c>
      <c r="F116">
        <v>84</v>
      </c>
      <c r="G116">
        <v>40</v>
      </c>
      <c r="H116">
        <v>0.57999999999999996</v>
      </c>
      <c r="I116" t="s">
        <v>15</v>
      </c>
      <c r="J116">
        <v>0</v>
      </c>
      <c r="K116">
        <v>1</v>
      </c>
      <c r="L116">
        <v>0</v>
      </c>
      <c r="M116">
        <f>VLOOKUP(Table1[[#This Row],[subscription_type]],Plans!$A$1:$B$5,2,FALSE)</f>
        <v>4.99</v>
      </c>
      <c r="N116">
        <f t="shared" si="1"/>
        <v>0</v>
      </c>
    </row>
    <row r="117" spans="1:14" x14ac:dyDescent="0.35">
      <c r="A117">
        <v>116</v>
      </c>
      <c r="B117" t="s">
        <v>12</v>
      </c>
      <c r="C117">
        <v>17</v>
      </c>
      <c r="D117" t="s">
        <v>13</v>
      </c>
      <c r="E117" t="s">
        <v>14</v>
      </c>
      <c r="F117">
        <v>198</v>
      </c>
      <c r="G117">
        <v>31</v>
      </c>
      <c r="H117">
        <v>7.0000000000000007E-2</v>
      </c>
      <c r="I117" t="s">
        <v>19</v>
      </c>
      <c r="J117">
        <v>6</v>
      </c>
      <c r="K117">
        <v>0</v>
      </c>
      <c r="L117">
        <v>0</v>
      </c>
      <c r="M117">
        <f>VLOOKUP(Table1[[#This Row],[subscription_type]],Plans!$A$1:$B$5,2,FALSE)</f>
        <v>0</v>
      </c>
      <c r="N117">
        <f t="shared" si="1"/>
        <v>0</v>
      </c>
    </row>
    <row r="118" spans="1:14" x14ac:dyDescent="0.35">
      <c r="A118">
        <v>117</v>
      </c>
      <c r="B118" t="s">
        <v>20</v>
      </c>
      <c r="C118">
        <v>31</v>
      </c>
      <c r="D118" t="s">
        <v>13</v>
      </c>
      <c r="E118" t="s">
        <v>24</v>
      </c>
      <c r="F118">
        <v>272</v>
      </c>
      <c r="G118">
        <v>40</v>
      </c>
      <c r="H118">
        <v>0.12</v>
      </c>
      <c r="I118" t="s">
        <v>15</v>
      </c>
      <c r="J118">
        <v>0</v>
      </c>
      <c r="K118">
        <v>1</v>
      </c>
      <c r="L118">
        <v>1</v>
      </c>
      <c r="M118">
        <f>VLOOKUP(Table1[[#This Row],[subscription_type]],Plans!$A$1:$B$5,2,FALSE)</f>
        <v>4.99</v>
      </c>
      <c r="N118">
        <f t="shared" si="1"/>
        <v>4.99</v>
      </c>
    </row>
    <row r="119" spans="1:14" x14ac:dyDescent="0.35">
      <c r="A119">
        <v>118</v>
      </c>
      <c r="B119" t="s">
        <v>16</v>
      </c>
      <c r="C119">
        <v>45</v>
      </c>
      <c r="D119" t="s">
        <v>26</v>
      </c>
      <c r="E119" t="s">
        <v>18</v>
      </c>
      <c r="F119">
        <v>21</v>
      </c>
      <c r="G119">
        <v>73</v>
      </c>
      <c r="H119">
        <v>0.16</v>
      </c>
      <c r="I119" t="s">
        <v>19</v>
      </c>
      <c r="J119">
        <v>0</v>
      </c>
      <c r="K119">
        <v>1</v>
      </c>
      <c r="L119">
        <v>0</v>
      </c>
      <c r="M119">
        <f>VLOOKUP(Table1[[#This Row],[subscription_type]],Plans!$A$1:$B$5,2,FALSE)</f>
        <v>14.99</v>
      </c>
      <c r="N119">
        <f t="shared" si="1"/>
        <v>0</v>
      </c>
    </row>
    <row r="120" spans="1:14" x14ac:dyDescent="0.35">
      <c r="A120">
        <v>119</v>
      </c>
      <c r="B120" t="s">
        <v>20</v>
      </c>
      <c r="C120">
        <v>59</v>
      </c>
      <c r="D120" t="s">
        <v>29</v>
      </c>
      <c r="E120" t="s">
        <v>18</v>
      </c>
      <c r="F120">
        <v>251</v>
      </c>
      <c r="G120">
        <v>47</v>
      </c>
      <c r="H120">
        <v>0.14000000000000001</v>
      </c>
      <c r="I120" t="s">
        <v>23</v>
      </c>
      <c r="J120">
        <v>0</v>
      </c>
      <c r="K120">
        <v>1</v>
      </c>
      <c r="L120">
        <v>0</v>
      </c>
      <c r="M120">
        <f>VLOOKUP(Table1[[#This Row],[subscription_type]],Plans!$A$1:$B$5,2,FALSE)</f>
        <v>14.99</v>
      </c>
      <c r="N120">
        <f t="shared" si="1"/>
        <v>0</v>
      </c>
    </row>
    <row r="121" spans="1:14" x14ac:dyDescent="0.35">
      <c r="A121">
        <v>120</v>
      </c>
      <c r="B121" t="s">
        <v>16</v>
      </c>
      <c r="C121">
        <v>49</v>
      </c>
      <c r="D121" t="s">
        <v>29</v>
      </c>
      <c r="E121" t="s">
        <v>18</v>
      </c>
      <c r="F121">
        <v>95</v>
      </c>
      <c r="G121">
        <v>81</v>
      </c>
      <c r="H121">
        <v>0.36</v>
      </c>
      <c r="I121" t="s">
        <v>23</v>
      </c>
      <c r="J121">
        <v>0</v>
      </c>
      <c r="K121">
        <v>1</v>
      </c>
      <c r="L121">
        <v>0</v>
      </c>
      <c r="M121">
        <f>VLOOKUP(Table1[[#This Row],[subscription_type]],Plans!$A$1:$B$5,2,FALSE)</f>
        <v>14.99</v>
      </c>
      <c r="N121">
        <f t="shared" si="1"/>
        <v>0</v>
      </c>
    </row>
    <row r="122" spans="1:14" x14ac:dyDescent="0.35">
      <c r="A122">
        <v>121</v>
      </c>
      <c r="B122" t="s">
        <v>20</v>
      </c>
      <c r="C122">
        <v>59</v>
      </c>
      <c r="D122" t="s">
        <v>27</v>
      </c>
      <c r="E122" t="s">
        <v>24</v>
      </c>
      <c r="F122">
        <v>169</v>
      </c>
      <c r="G122">
        <v>20</v>
      </c>
      <c r="H122">
        <v>0.18</v>
      </c>
      <c r="I122" t="s">
        <v>15</v>
      </c>
      <c r="J122">
        <v>0</v>
      </c>
      <c r="K122">
        <v>1</v>
      </c>
      <c r="L122">
        <v>1</v>
      </c>
      <c r="M122">
        <f>VLOOKUP(Table1[[#This Row],[subscription_type]],Plans!$A$1:$B$5,2,FALSE)</f>
        <v>4.99</v>
      </c>
      <c r="N122">
        <f t="shared" si="1"/>
        <v>4.99</v>
      </c>
    </row>
    <row r="123" spans="1:14" x14ac:dyDescent="0.35">
      <c r="A123">
        <v>122</v>
      </c>
      <c r="B123" t="s">
        <v>20</v>
      </c>
      <c r="C123">
        <v>47</v>
      </c>
      <c r="D123" t="s">
        <v>17</v>
      </c>
      <c r="E123" t="s">
        <v>22</v>
      </c>
      <c r="F123">
        <v>35</v>
      </c>
      <c r="G123">
        <v>20</v>
      </c>
      <c r="H123">
        <v>0.32</v>
      </c>
      <c r="I123" t="s">
        <v>15</v>
      </c>
      <c r="J123">
        <v>0</v>
      </c>
      <c r="K123">
        <v>1</v>
      </c>
      <c r="L123">
        <v>1</v>
      </c>
      <c r="M123">
        <f>VLOOKUP(Table1[[#This Row],[subscription_type]],Plans!$A$1:$B$5,2,FALSE)</f>
        <v>9.99</v>
      </c>
      <c r="N123">
        <f t="shared" si="1"/>
        <v>9.99</v>
      </c>
    </row>
    <row r="124" spans="1:14" x14ac:dyDescent="0.35">
      <c r="A124">
        <v>123</v>
      </c>
      <c r="B124" t="s">
        <v>20</v>
      </c>
      <c r="C124">
        <v>21</v>
      </c>
      <c r="D124" t="s">
        <v>25</v>
      </c>
      <c r="E124" t="s">
        <v>14</v>
      </c>
      <c r="F124">
        <v>32</v>
      </c>
      <c r="G124">
        <v>34</v>
      </c>
      <c r="H124">
        <v>0.52</v>
      </c>
      <c r="I124" t="s">
        <v>19</v>
      </c>
      <c r="J124">
        <v>14</v>
      </c>
      <c r="K124">
        <v>0</v>
      </c>
      <c r="L124">
        <v>1</v>
      </c>
      <c r="M124">
        <f>VLOOKUP(Table1[[#This Row],[subscription_type]],Plans!$A$1:$B$5,2,FALSE)</f>
        <v>0</v>
      </c>
      <c r="N124">
        <f t="shared" si="1"/>
        <v>0</v>
      </c>
    </row>
    <row r="125" spans="1:14" x14ac:dyDescent="0.35">
      <c r="A125">
        <v>124</v>
      </c>
      <c r="B125" t="s">
        <v>12</v>
      </c>
      <c r="C125">
        <v>28</v>
      </c>
      <c r="D125" t="s">
        <v>17</v>
      </c>
      <c r="E125" t="s">
        <v>14</v>
      </c>
      <c r="F125">
        <v>55</v>
      </c>
      <c r="G125">
        <v>67</v>
      </c>
      <c r="H125">
        <v>0.53</v>
      </c>
      <c r="I125" t="s">
        <v>15</v>
      </c>
      <c r="J125">
        <v>7</v>
      </c>
      <c r="K125">
        <v>0</v>
      </c>
      <c r="L125">
        <v>0</v>
      </c>
      <c r="M125">
        <f>VLOOKUP(Table1[[#This Row],[subscription_type]],Plans!$A$1:$B$5,2,FALSE)</f>
        <v>0</v>
      </c>
      <c r="N125">
        <f t="shared" si="1"/>
        <v>0</v>
      </c>
    </row>
    <row r="126" spans="1:14" x14ac:dyDescent="0.35">
      <c r="A126">
        <v>125</v>
      </c>
      <c r="B126" t="s">
        <v>12</v>
      </c>
      <c r="C126">
        <v>47</v>
      </c>
      <c r="D126" t="s">
        <v>25</v>
      </c>
      <c r="E126" t="s">
        <v>18</v>
      </c>
      <c r="F126">
        <v>120</v>
      </c>
      <c r="G126">
        <v>26</v>
      </c>
      <c r="H126">
        <v>0.48</v>
      </c>
      <c r="I126" t="s">
        <v>15</v>
      </c>
      <c r="J126">
        <v>0</v>
      </c>
      <c r="K126">
        <v>1</v>
      </c>
      <c r="L126">
        <v>0</v>
      </c>
      <c r="M126">
        <f>VLOOKUP(Table1[[#This Row],[subscription_type]],Plans!$A$1:$B$5,2,FALSE)</f>
        <v>14.99</v>
      </c>
      <c r="N126">
        <f t="shared" si="1"/>
        <v>0</v>
      </c>
    </row>
    <row r="127" spans="1:14" x14ac:dyDescent="0.35">
      <c r="A127">
        <v>126</v>
      </c>
      <c r="B127" t="s">
        <v>12</v>
      </c>
      <c r="C127">
        <v>46</v>
      </c>
      <c r="D127" t="s">
        <v>27</v>
      </c>
      <c r="E127" t="s">
        <v>14</v>
      </c>
      <c r="F127">
        <v>11</v>
      </c>
      <c r="G127">
        <v>67</v>
      </c>
      <c r="H127">
        <v>0.4</v>
      </c>
      <c r="I127" t="s">
        <v>15</v>
      </c>
      <c r="J127">
        <v>36</v>
      </c>
      <c r="K127">
        <v>0</v>
      </c>
      <c r="L127">
        <v>1</v>
      </c>
      <c r="M127">
        <f>VLOOKUP(Table1[[#This Row],[subscription_type]],Plans!$A$1:$B$5,2,FALSE)</f>
        <v>0</v>
      </c>
      <c r="N127">
        <f t="shared" si="1"/>
        <v>0</v>
      </c>
    </row>
    <row r="128" spans="1:14" x14ac:dyDescent="0.35">
      <c r="A128">
        <v>127</v>
      </c>
      <c r="B128" t="s">
        <v>12</v>
      </c>
      <c r="C128">
        <v>20</v>
      </c>
      <c r="D128" t="s">
        <v>25</v>
      </c>
      <c r="E128" t="s">
        <v>22</v>
      </c>
      <c r="F128">
        <v>194</v>
      </c>
      <c r="G128">
        <v>52</v>
      </c>
      <c r="H128">
        <v>0.2</v>
      </c>
      <c r="I128" t="s">
        <v>23</v>
      </c>
      <c r="J128">
        <v>0</v>
      </c>
      <c r="K128">
        <v>1</v>
      </c>
      <c r="L128">
        <v>0</v>
      </c>
      <c r="M128">
        <f>VLOOKUP(Table1[[#This Row],[subscription_type]],Plans!$A$1:$B$5,2,FALSE)</f>
        <v>9.99</v>
      </c>
      <c r="N128">
        <f t="shared" si="1"/>
        <v>0</v>
      </c>
    </row>
    <row r="129" spans="1:14" x14ac:dyDescent="0.35">
      <c r="A129">
        <v>128</v>
      </c>
      <c r="B129" t="s">
        <v>12</v>
      </c>
      <c r="C129">
        <v>34</v>
      </c>
      <c r="D129" t="s">
        <v>29</v>
      </c>
      <c r="E129" t="s">
        <v>22</v>
      </c>
      <c r="F129">
        <v>81</v>
      </c>
      <c r="G129">
        <v>85</v>
      </c>
      <c r="H129">
        <v>0.28999999999999998</v>
      </c>
      <c r="I129" t="s">
        <v>19</v>
      </c>
      <c r="J129">
        <v>0</v>
      </c>
      <c r="K129">
        <v>1</v>
      </c>
      <c r="L129">
        <v>0</v>
      </c>
      <c r="M129">
        <f>VLOOKUP(Table1[[#This Row],[subscription_type]],Plans!$A$1:$B$5,2,FALSE)</f>
        <v>9.99</v>
      </c>
      <c r="N129">
        <f t="shared" si="1"/>
        <v>0</v>
      </c>
    </row>
    <row r="130" spans="1:14" x14ac:dyDescent="0.35">
      <c r="A130">
        <v>129</v>
      </c>
      <c r="B130" t="s">
        <v>16</v>
      </c>
      <c r="C130">
        <v>24</v>
      </c>
      <c r="D130" t="s">
        <v>17</v>
      </c>
      <c r="E130" t="s">
        <v>14</v>
      </c>
      <c r="F130">
        <v>217</v>
      </c>
      <c r="G130">
        <v>52</v>
      </c>
      <c r="H130">
        <v>0.45</v>
      </c>
      <c r="I130" t="s">
        <v>19</v>
      </c>
      <c r="J130">
        <v>23</v>
      </c>
      <c r="K130">
        <v>0</v>
      </c>
      <c r="L130">
        <v>0</v>
      </c>
      <c r="M130">
        <f>VLOOKUP(Table1[[#This Row],[subscription_type]],Plans!$A$1:$B$5,2,FALSE)</f>
        <v>0</v>
      </c>
      <c r="N130">
        <f t="shared" ref="N130:N193" si="2">IF(L130=1, M130,0)</f>
        <v>0</v>
      </c>
    </row>
    <row r="131" spans="1:14" x14ac:dyDescent="0.35">
      <c r="A131">
        <v>130</v>
      </c>
      <c r="B131" t="s">
        <v>20</v>
      </c>
      <c r="C131">
        <v>40</v>
      </c>
      <c r="D131" t="s">
        <v>25</v>
      </c>
      <c r="E131" t="s">
        <v>22</v>
      </c>
      <c r="F131">
        <v>11</v>
      </c>
      <c r="G131">
        <v>11</v>
      </c>
      <c r="H131">
        <v>0.42</v>
      </c>
      <c r="I131" t="s">
        <v>19</v>
      </c>
      <c r="J131">
        <v>0</v>
      </c>
      <c r="K131">
        <v>1</v>
      </c>
      <c r="L131">
        <v>1</v>
      </c>
      <c r="M131">
        <f>VLOOKUP(Table1[[#This Row],[subscription_type]],Plans!$A$1:$B$5,2,FALSE)</f>
        <v>9.99</v>
      </c>
      <c r="N131">
        <f t="shared" si="2"/>
        <v>9.99</v>
      </c>
    </row>
    <row r="132" spans="1:14" x14ac:dyDescent="0.35">
      <c r="A132">
        <v>131</v>
      </c>
      <c r="B132" t="s">
        <v>20</v>
      </c>
      <c r="C132">
        <v>48</v>
      </c>
      <c r="D132" t="s">
        <v>26</v>
      </c>
      <c r="E132" t="s">
        <v>14</v>
      </c>
      <c r="F132">
        <v>72</v>
      </c>
      <c r="G132">
        <v>35</v>
      </c>
      <c r="H132">
        <v>0.53</v>
      </c>
      <c r="I132" t="s">
        <v>15</v>
      </c>
      <c r="J132">
        <v>22</v>
      </c>
      <c r="K132">
        <v>0</v>
      </c>
      <c r="L132">
        <v>0</v>
      </c>
      <c r="M132">
        <f>VLOOKUP(Table1[[#This Row],[subscription_type]],Plans!$A$1:$B$5,2,FALSE)</f>
        <v>0</v>
      </c>
      <c r="N132">
        <f t="shared" si="2"/>
        <v>0</v>
      </c>
    </row>
    <row r="133" spans="1:14" x14ac:dyDescent="0.35">
      <c r="A133">
        <v>132</v>
      </c>
      <c r="B133" t="s">
        <v>16</v>
      </c>
      <c r="C133">
        <v>47</v>
      </c>
      <c r="D133" t="s">
        <v>29</v>
      </c>
      <c r="E133" t="s">
        <v>22</v>
      </c>
      <c r="F133">
        <v>162</v>
      </c>
      <c r="G133">
        <v>94</v>
      </c>
      <c r="H133">
        <v>0.28999999999999998</v>
      </c>
      <c r="I133" t="s">
        <v>15</v>
      </c>
      <c r="J133">
        <v>0</v>
      </c>
      <c r="K133">
        <v>1</v>
      </c>
      <c r="L133">
        <v>0</v>
      </c>
      <c r="M133">
        <f>VLOOKUP(Table1[[#This Row],[subscription_type]],Plans!$A$1:$B$5,2,FALSE)</f>
        <v>9.99</v>
      </c>
      <c r="N133">
        <f t="shared" si="2"/>
        <v>0</v>
      </c>
    </row>
    <row r="134" spans="1:14" x14ac:dyDescent="0.35">
      <c r="A134">
        <v>133</v>
      </c>
      <c r="B134" t="s">
        <v>12</v>
      </c>
      <c r="C134">
        <v>33</v>
      </c>
      <c r="D134" t="s">
        <v>27</v>
      </c>
      <c r="E134" t="s">
        <v>18</v>
      </c>
      <c r="F134">
        <v>271</v>
      </c>
      <c r="G134">
        <v>57</v>
      </c>
      <c r="H134">
        <v>0.36</v>
      </c>
      <c r="I134" t="s">
        <v>23</v>
      </c>
      <c r="J134">
        <v>0</v>
      </c>
      <c r="K134">
        <v>1</v>
      </c>
      <c r="L134">
        <v>1</v>
      </c>
      <c r="M134">
        <f>VLOOKUP(Table1[[#This Row],[subscription_type]],Plans!$A$1:$B$5,2,FALSE)</f>
        <v>14.99</v>
      </c>
      <c r="N134">
        <f t="shared" si="2"/>
        <v>14.99</v>
      </c>
    </row>
    <row r="135" spans="1:14" x14ac:dyDescent="0.35">
      <c r="A135">
        <v>134</v>
      </c>
      <c r="B135" t="s">
        <v>20</v>
      </c>
      <c r="C135">
        <v>20</v>
      </c>
      <c r="D135" t="s">
        <v>25</v>
      </c>
      <c r="E135" t="s">
        <v>22</v>
      </c>
      <c r="F135">
        <v>218</v>
      </c>
      <c r="G135">
        <v>6</v>
      </c>
      <c r="H135">
        <v>0.02</v>
      </c>
      <c r="I135" t="s">
        <v>15</v>
      </c>
      <c r="J135">
        <v>0</v>
      </c>
      <c r="K135">
        <v>1</v>
      </c>
      <c r="L135">
        <v>1</v>
      </c>
      <c r="M135">
        <f>VLOOKUP(Table1[[#This Row],[subscription_type]],Plans!$A$1:$B$5,2,FALSE)</f>
        <v>9.99</v>
      </c>
      <c r="N135">
        <f t="shared" si="2"/>
        <v>9.99</v>
      </c>
    </row>
    <row r="136" spans="1:14" x14ac:dyDescent="0.35">
      <c r="A136">
        <v>135</v>
      </c>
      <c r="B136" t="s">
        <v>16</v>
      </c>
      <c r="C136">
        <v>55</v>
      </c>
      <c r="D136" t="s">
        <v>17</v>
      </c>
      <c r="E136" t="s">
        <v>18</v>
      </c>
      <c r="F136">
        <v>94</v>
      </c>
      <c r="G136">
        <v>24</v>
      </c>
      <c r="H136">
        <v>0.3</v>
      </c>
      <c r="I136" t="s">
        <v>19</v>
      </c>
      <c r="J136">
        <v>0</v>
      </c>
      <c r="K136">
        <v>1</v>
      </c>
      <c r="L136">
        <v>0</v>
      </c>
      <c r="M136">
        <f>VLOOKUP(Table1[[#This Row],[subscription_type]],Plans!$A$1:$B$5,2,FALSE)</f>
        <v>14.99</v>
      </c>
      <c r="N136">
        <f t="shared" si="2"/>
        <v>0</v>
      </c>
    </row>
    <row r="137" spans="1:14" x14ac:dyDescent="0.35">
      <c r="A137">
        <v>136</v>
      </c>
      <c r="B137" t="s">
        <v>20</v>
      </c>
      <c r="C137">
        <v>58</v>
      </c>
      <c r="D137" t="s">
        <v>13</v>
      </c>
      <c r="E137" t="s">
        <v>24</v>
      </c>
      <c r="F137">
        <v>295</v>
      </c>
      <c r="G137">
        <v>72</v>
      </c>
      <c r="H137">
        <v>0.43</v>
      </c>
      <c r="I137" t="s">
        <v>15</v>
      </c>
      <c r="J137">
        <v>0</v>
      </c>
      <c r="K137">
        <v>1</v>
      </c>
      <c r="L137">
        <v>0</v>
      </c>
      <c r="M137">
        <f>VLOOKUP(Table1[[#This Row],[subscription_type]],Plans!$A$1:$B$5,2,FALSE)</f>
        <v>4.99</v>
      </c>
      <c r="N137">
        <f t="shared" si="2"/>
        <v>0</v>
      </c>
    </row>
    <row r="138" spans="1:14" x14ac:dyDescent="0.35">
      <c r="A138">
        <v>137</v>
      </c>
      <c r="B138" t="s">
        <v>16</v>
      </c>
      <c r="C138">
        <v>41</v>
      </c>
      <c r="D138" t="s">
        <v>25</v>
      </c>
      <c r="E138" t="s">
        <v>22</v>
      </c>
      <c r="F138">
        <v>286</v>
      </c>
      <c r="G138">
        <v>35</v>
      </c>
      <c r="H138">
        <v>0.42</v>
      </c>
      <c r="I138" t="s">
        <v>15</v>
      </c>
      <c r="J138">
        <v>0</v>
      </c>
      <c r="K138">
        <v>1</v>
      </c>
      <c r="L138">
        <v>0</v>
      </c>
      <c r="M138">
        <f>VLOOKUP(Table1[[#This Row],[subscription_type]],Plans!$A$1:$B$5,2,FALSE)</f>
        <v>9.99</v>
      </c>
      <c r="N138">
        <f t="shared" si="2"/>
        <v>0</v>
      </c>
    </row>
    <row r="139" spans="1:14" x14ac:dyDescent="0.35">
      <c r="A139">
        <v>138</v>
      </c>
      <c r="B139" t="s">
        <v>16</v>
      </c>
      <c r="C139">
        <v>53</v>
      </c>
      <c r="D139" t="s">
        <v>25</v>
      </c>
      <c r="E139" t="s">
        <v>24</v>
      </c>
      <c r="F139">
        <v>298</v>
      </c>
      <c r="G139">
        <v>37</v>
      </c>
      <c r="H139">
        <v>0.5</v>
      </c>
      <c r="I139" t="s">
        <v>23</v>
      </c>
      <c r="J139">
        <v>0</v>
      </c>
      <c r="K139">
        <v>1</v>
      </c>
      <c r="L139">
        <v>0</v>
      </c>
      <c r="M139">
        <f>VLOOKUP(Table1[[#This Row],[subscription_type]],Plans!$A$1:$B$5,2,FALSE)</f>
        <v>4.99</v>
      </c>
      <c r="N139">
        <f t="shared" si="2"/>
        <v>0</v>
      </c>
    </row>
    <row r="140" spans="1:14" x14ac:dyDescent="0.35">
      <c r="A140">
        <v>139</v>
      </c>
      <c r="B140" t="s">
        <v>12</v>
      </c>
      <c r="C140">
        <v>50</v>
      </c>
      <c r="D140" t="s">
        <v>13</v>
      </c>
      <c r="E140" t="s">
        <v>18</v>
      </c>
      <c r="F140">
        <v>261</v>
      </c>
      <c r="G140">
        <v>20</v>
      </c>
      <c r="H140">
        <v>0.39</v>
      </c>
      <c r="I140" t="s">
        <v>15</v>
      </c>
      <c r="J140">
        <v>0</v>
      </c>
      <c r="K140">
        <v>1</v>
      </c>
      <c r="L140">
        <v>1</v>
      </c>
      <c r="M140">
        <f>VLOOKUP(Table1[[#This Row],[subscription_type]],Plans!$A$1:$B$5,2,FALSE)</f>
        <v>14.99</v>
      </c>
      <c r="N140">
        <f t="shared" si="2"/>
        <v>14.99</v>
      </c>
    </row>
    <row r="141" spans="1:14" x14ac:dyDescent="0.35">
      <c r="A141">
        <v>140</v>
      </c>
      <c r="B141" t="s">
        <v>16</v>
      </c>
      <c r="C141">
        <v>55</v>
      </c>
      <c r="D141" t="s">
        <v>25</v>
      </c>
      <c r="E141" t="s">
        <v>14</v>
      </c>
      <c r="F141">
        <v>201</v>
      </c>
      <c r="G141">
        <v>82</v>
      </c>
      <c r="H141">
        <v>0.5</v>
      </c>
      <c r="I141" t="s">
        <v>15</v>
      </c>
      <c r="J141">
        <v>27</v>
      </c>
      <c r="K141">
        <v>0</v>
      </c>
      <c r="L141">
        <v>1</v>
      </c>
      <c r="M141">
        <f>VLOOKUP(Table1[[#This Row],[subscription_type]],Plans!$A$1:$B$5,2,FALSE)</f>
        <v>0</v>
      </c>
      <c r="N141">
        <f t="shared" si="2"/>
        <v>0</v>
      </c>
    </row>
    <row r="142" spans="1:14" x14ac:dyDescent="0.35">
      <c r="A142">
        <v>141</v>
      </c>
      <c r="B142" t="s">
        <v>12</v>
      </c>
      <c r="C142">
        <v>56</v>
      </c>
      <c r="D142" t="s">
        <v>25</v>
      </c>
      <c r="E142" t="s">
        <v>14</v>
      </c>
      <c r="F142">
        <v>40</v>
      </c>
      <c r="G142">
        <v>84</v>
      </c>
      <c r="H142">
        <v>0.56000000000000005</v>
      </c>
      <c r="I142" t="s">
        <v>19</v>
      </c>
      <c r="J142">
        <v>49</v>
      </c>
      <c r="K142">
        <v>0</v>
      </c>
      <c r="L142">
        <v>0</v>
      </c>
      <c r="M142">
        <f>VLOOKUP(Table1[[#This Row],[subscription_type]],Plans!$A$1:$B$5,2,FALSE)</f>
        <v>0</v>
      </c>
      <c r="N142">
        <f t="shared" si="2"/>
        <v>0</v>
      </c>
    </row>
    <row r="143" spans="1:14" x14ac:dyDescent="0.35">
      <c r="A143">
        <v>142</v>
      </c>
      <c r="B143" t="s">
        <v>16</v>
      </c>
      <c r="C143">
        <v>18</v>
      </c>
      <c r="D143" t="s">
        <v>21</v>
      </c>
      <c r="E143" t="s">
        <v>22</v>
      </c>
      <c r="F143">
        <v>30</v>
      </c>
      <c r="G143">
        <v>78</v>
      </c>
      <c r="H143">
        <v>0.42</v>
      </c>
      <c r="I143" t="s">
        <v>23</v>
      </c>
      <c r="J143">
        <v>0</v>
      </c>
      <c r="K143">
        <v>1</v>
      </c>
      <c r="L143">
        <v>0</v>
      </c>
      <c r="M143">
        <f>VLOOKUP(Table1[[#This Row],[subscription_type]],Plans!$A$1:$B$5,2,FALSE)</f>
        <v>9.99</v>
      </c>
      <c r="N143">
        <f t="shared" si="2"/>
        <v>0</v>
      </c>
    </row>
    <row r="144" spans="1:14" x14ac:dyDescent="0.35">
      <c r="A144">
        <v>143</v>
      </c>
      <c r="B144" t="s">
        <v>20</v>
      </c>
      <c r="C144">
        <v>29</v>
      </c>
      <c r="D144" t="s">
        <v>13</v>
      </c>
      <c r="E144" t="s">
        <v>24</v>
      </c>
      <c r="F144">
        <v>109</v>
      </c>
      <c r="G144">
        <v>88</v>
      </c>
      <c r="H144">
        <v>0.45</v>
      </c>
      <c r="I144" t="s">
        <v>19</v>
      </c>
      <c r="J144">
        <v>0</v>
      </c>
      <c r="K144">
        <v>1</v>
      </c>
      <c r="L144">
        <v>1</v>
      </c>
      <c r="M144">
        <f>VLOOKUP(Table1[[#This Row],[subscription_type]],Plans!$A$1:$B$5,2,FALSE)</f>
        <v>4.99</v>
      </c>
      <c r="N144">
        <f t="shared" si="2"/>
        <v>4.99</v>
      </c>
    </row>
    <row r="145" spans="1:14" x14ac:dyDescent="0.35">
      <c r="A145">
        <v>144</v>
      </c>
      <c r="B145" t="s">
        <v>12</v>
      </c>
      <c r="C145">
        <v>28</v>
      </c>
      <c r="D145" t="s">
        <v>26</v>
      </c>
      <c r="E145" t="s">
        <v>22</v>
      </c>
      <c r="F145">
        <v>171</v>
      </c>
      <c r="G145">
        <v>19</v>
      </c>
      <c r="H145">
        <v>0.48</v>
      </c>
      <c r="I145" t="s">
        <v>23</v>
      </c>
      <c r="J145">
        <v>0</v>
      </c>
      <c r="K145">
        <v>1</v>
      </c>
      <c r="L145">
        <v>1</v>
      </c>
      <c r="M145">
        <f>VLOOKUP(Table1[[#This Row],[subscription_type]],Plans!$A$1:$B$5,2,FALSE)</f>
        <v>9.99</v>
      </c>
      <c r="N145">
        <f t="shared" si="2"/>
        <v>9.99</v>
      </c>
    </row>
    <row r="146" spans="1:14" x14ac:dyDescent="0.35">
      <c r="A146">
        <v>145</v>
      </c>
      <c r="B146" t="s">
        <v>20</v>
      </c>
      <c r="C146">
        <v>24</v>
      </c>
      <c r="D146" t="s">
        <v>29</v>
      </c>
      <c r="E146" t="s">
        <v>18</v>
      </c>
      <c r="F146">
        <v>223</v>
      </c>
      <c r="G146">
        <v>31</v>
      </c>
      <c r="H146">
        <v>0.09</v>
      </c>
      <c r="I146" t="s">
        <v>23</v>
      </c>
      <c r="J146">
        <v>0</v>
      </c>
      <c r="K146">
        <v>1</v>
      </c>
      <c r="L146">
        <v>0</v>
      </c>
      <c r="M146">
        <f>VLOOKUP(Table1[[#This Row],[subscription_type]],Plans!$A$1:$B$5,2,FALSE)</f>
        <v>14.99</v>
      </c>
      <c r="N146">
        <f t="shared" si="2"/>
        <v>0</v>
      </c>
    </row>
    <row r="147" spans="1:14" x14ac:dyDescent="0.35">
      <c r="A147">
        <v>146</v>
      </c>
      <c r="B147" t="s">
        <v>16</v>
      </c>
      <c r="C147">
        <v>44</v>
      </c>
      <c r="D147" t="s">
        <v>21</v>
      </c>
      <c r="E147" t="s">
        <v>18</v>
      </c>
      <c r="F147">
        <v>52</v>
      </c>
      <c r="G147">
        <v>17</v>
      </c>
      <c r="H147">
        <v>0.2</v>
      </c>
      <c r="I147" t="s">
        <v>15</v>
      </c>
      <c r="J147">
        <v>0</v>
      </c>
      <c r="K147">
        <v>1</v>
      </c>
      <c r="L147">
        <v>0</v>
      </c>
      <c r="M147">
        <f>VLOOKUP(Table1[[#This Row],[subscription_type]],Plans!$A$1:$B$5,2,FALSE)</f>
        <v>14.99</v>
      </c>
      <c r="N147">
        <f t="shared" si="2"/>
        <v>0</v>
      </c>
    </row>
    <row r="148" spans="1:14" x14ac:dyDescent="0.35">
      <c r="A148">
        <v>147</v>
      </c>
      <c r="B148" t="s">
        <v>16</v>
      </c>
      <c r="C148">
        <v>18</v>
      </c>
      <c r="D148" t="s">
        <v>27</v>
      </c>
      <c r="E148" t="s">
        <v>18</v>
      </c>
      <c r="F148">
        <v>195</v>
      </c>
      <c r="G148">
        <v>94</v>
      </c>
      <c r="H148">
        <v>0.49</v>
      </c>
      <c r="I148" t="s">
        <v>15</v>
      </c>
      <c r="J148">
        <v>0</v>
      </c>
      <c r="K148">
        <v>1</v>
      </c>
      <c r="L148">
        <v>0</v>
      </c>
      <c r="M148">
        <f>VLOOKUP(Table1[[#This Row],[subscription_type]],Plans!$A$1:$B$5,2,FALSE)</f>
        <v>14.99</v>
      </c>
      <c r="N148">
        <f t="shared" si="2"/>
        <v>0</v>
      </c>
    </row>
    <row r="149" spans="1:14" x14ac:dyDescent="0.35">
      <c r="A149">
        <v>148</v>
      </c>
      <c r="B149" t="s">
        <v>16</v>
      </c>
      <c r="C149">
        <v>40</v>
      </c>
      <c r="D149" t="s">
        <v>29</v>
      </c>
      <c r="E149" t="s">
        <v>22</v>
      </c>
      <c r="F149">
        <v>198</v>
      </c>
      <c r="G149">
        <v>78</v>
      </c>
      <c r="H149">
        <v>0</v>
      </c>
      <c r="I149" t="s">
        <v>15</v>
      </c>
      <c r="J149">
        <v>0</v>
      </c>
      <c r="K149">
        <v>1</v>
      </c>
      <c r="L149">
        <v>0</v>
      </c>
      <c r="M149">
        <f>VLOOKUP(Table1[[#This Row],[subscription_type]],Plans!$A$1:$B$5,2,FALSE)</f>
        <v>9.99</v>
      </c>
      <c r="N149">
        <f t="shared" si="2"/>
        <v>0</v>
      </c>
    </row>
    <row r="150" spans="1:14" x14ac:dyDescent="0.35">
      <c r="A150">
        <v>149</v>
      </c>
      <c r="B150" t="s">
        <v>16</v>
      </c>
      <c r="C150">
        <v>22</v>
      </c>
      <c r="D150" t="s">
        <v>17</v>
      </c>
      <c r="E150" t="s">
        <v>24</v>
      </c>
      <c r="F150">
        <v>285</v>
      </c>
      <c r="G150">
        <v>2</v>
      </c>
      <c r="H150">
        <v>0.3</v>
      </c>
      <c r="I150" t="s">
        <v>15</v>
      </c>
      <c r="J150">
        <v>0</v>
      </c>
      <c r="K150">
        <v>1</v>
      </c>
      <c r="L150">
        <v>0</v>
      </c>
      <c r="M150">
        <f>VLOOKUP(Table1[[#This Row],[subscription_type]],Plans!$A$1:$B$5,2,FALSE)</f>
        <v>4.99</v>
      </c>
      <c r="N150">
        <f t="shared" si="2"/>
        <v>0</v>
      </c>
    </row>
    <row r="151" spans="1:14" x14ac:dyDescent="0.35">
      <c r="A151">
        <v>150</v>
      </c>
      <c r="B151" t="s">
        <v>20</v>
      </c>
      <c r="C151">
        <v>34</v>
      </c>
      <c r="D151" t="s">
        <v>28</v>
      </c>
      <c r="E151" t="s">
        <v>22</v>
      </c>
      <c r="F151">
        <v>278</v>
      </c>
      <c r="G151">
        <v>83</v>
      </c>
      <c r="H151">
        <v>0.24</v>
      </c>
      <c r="I151" t="s">
        <v>15</v>
      </c>
      <c r="J151">
        <v>0</v>
      </c>
      <c r="K151">
        <v>1</v>
      </c>
      <c r="L151">
        <v>0</v>
      </c>
      <c r="M151">
        <f>VLOOKUP(Table1[[#This Row],[subscription_type]],Plans!$A$1:$B$5,2,FALSE)</f>
        <v>9.99</v>
      </c>
      <c r="N151">
        <f t="shared" si="2"/>
        <v>0</v>
      </c>
    </row>
    <row r="152" spans="1:14" x14ac:dyDescent="0.35">
      <c r="A152">
        <v>151</v>
      </c>
      <c r="B152" t="s">
        <v>20</v>
      </c>
      <c r="C152">
        <v>44</v>
      </c>
      <c r="D152" t="s">
        <v>21</v>
      </c>
      <c r="E152" t="s">
        <v>22</v>
      </c>
      <c r="F152">
        <v>251</v>
      </c>
      <c r="G152">
        <v>57</v>
      </c>
      <c r="H152">
        <v>0.37</v>
      </c>
      <c r="I152" t="s">
        <v>15</v>
      </c>
      <c r="J152">
        <v>0</v>
      </c>
      <c r="K152">
        <v>1</v>
      </c>
      <c r="L152">
        <v>0</v>
      </c>
      <c r="M152">
        <f>VLOOKUP(Table1[[#This Row],[subscription_type]],Plans!$A$1:$B$5,2,FALSE)</f>
        <v>9.99</v>
      </c>
      <c r="N152">
        <f t="shared" si="2"/>
        <v>0</v>
      </c>
    </row>
    <row r="153" spans="1:14" x14ac:dyDescent="0.35">
      <c r="A153">
        <v>152</v>
      </c>
      <c r="B153" t="s">
        <v>20</v>
      </c>
      <c r="C153">
        <v>58</v>
      </c>
      <c r="D153" t="s">
        <v>25</v>
      </c>
      <c r="E153" t="s">
        <v>24</v>
      </c>
      <c r="F153">
        <v>158</v>
      </c>
      <c r="G153">
        <v>52</v>
      </c>
      <c r="H153">
        <v>0.27</v>
      </c>
      <c r="I153" t="s">
        <v>23</v>
      </c>
      <c r="J153">
        <v>0</v>
      </c>
      <c r="K153">
        <v>1</v>
      </c>
      <c r="L153">
        <v>0</v>
      </c>
      <c r="M153">
        <f>VLOOKUP(Table1[[#This Row],[subscription_type]],Plans!$A$1:$B$5,2,FALSE)</f>
        <v>4.99</v>
      </c>
      <c r="N153">
        <f t="shared" si="2"/>
        <v>0</v>
      </c>
    </row>
    <row r="154" spans="1:14" x14ac:dyDescent="0.35">
      <c r="A154">
        <v>153</v>
      </c>
      <c r="B154" t="s">
        <v>12</v>
      </c>
      <c r="C154">
        <v>41</v>
      </c>
      <c r="D154" t="s">
        <v>29</v>
      </c>
      <c r="E154" t="s">
        <v>18</v>
      </c>
      <c r="F154">
        <v>14</v>
      </c>
      <c r="G154">
        <v>41</v>
      </c>
      <c r="H154">
        <v>0.59</v>
      </c>
      <c r="I154" t="s">
        <v>19</v>
      </c>
      <c r="J154">
        <v>0</v>
      </c>
      <c r="K154">
        <v>1</v>
      </c>
      <c r="L154">
        <v>0</v>
      </c>
      <c r="M154">
        <f>VLOOKUP(Table1[[#This Row],[subscription_type]],Plans!$A$1:$B$5,2,FALSE)</f>
        <v>14.99</v>
      </c>
      <c r="N154">
        <f t="shared" si="2"/>
        <v>0</v>
      </c>
    </row>
    <row r="155" spans="1:14" x14ac:dyDescent="0.35">
      <c r="A155">
        <v>154</v>
      </c>
      <c r="B155" t="s">
        <v>12</v>
      </c>
      <c r="C155">
        <v>52</v>
      </c>
      <c r="D155" t="s">
        <v>26</v>
      </c>
      <c r="E155" t="s">
        <v>22</v>
      </c>
      <c r="F155">
        <v>280</v>
      </c>
      <c r="G155">
        <v>81</v>
      </c>
      <c r="H155">
        <v>0.27</v>
      </c>
      <c r="I155" t="s">
        <v>15</v>
      </c>
      <c r="J155">
        <v>0</v>
      </c>
      <c r="K155">
        <v>1</v>
      </c>
      <c r="L155">
        <v>1</v>
      </c>
      <c r="M155">
        <f>VLOOKUP(Table1[[#This Row],[subscription_type]],Plans!$A$1:$B$5,2,FALSE)</f>
        <v>9.99</v>
      </c>
      <c r="N155">
        <f t="shared" si="2"/>
        <v>9.99</v>
      </c>
    </row>
    <row r="156" spans="1:14" x14ac:dyDescent="0.35">
      <c r="A156">
        <v>155</v>
      </c>
      <c r="B156" t="s">
        <v>20</v>
      </c>
      <c r="C156">
        <v>26</v>
      </c>
      <c r="D156" t="s">
        <v>27</v>
      </c>
      <c r="E156" t="s">
        <v>24</v>
      </c>
      <c r="F156">
        <v>257</v>
      </c>
      <c r="G156">
        <v>14</v>
      </c>
      <c r="H156">
        <v>0.13</v>
      </c>
      <c r="I156" t="s">
        <v>19</v>
      </c>
      <c r="J156">
        <v>0</v>
      </c>
      <c r="K156">
        <v>1</v>
      </c>
      <c r="L156">
        <v>0</v>
      </c>
      <c r="M156">
        <f>VLOOKUP(Table1[[#This Row],[subscription_type]],Plans!$A$1:$B$5,2,FALSE)</f>
        <v>4.99</v>
      </c>
      <c r="N156">
        <f t="shared" si="2"/>
        <v>0</v>
      </c>
    </row>
    <row r="157" spans="1:14" x14ac:dyDescent="0.35">
      <c r="A157">
        <v>156</v>
      </c>
      <c r="B157" t="s">
        <v>16</v>
      </c>
      <c r="C157">
        <v>42</v>
      </c>
      <c r="D157" t="s">
        <v>13</v>
      </c>
      <c r="E157" t="s">
        <v>18</v>
      </c>
      <c r="F157">
        <v>21</v>
      </c>
      <c r="G157">
        <v>76</v>
      </c>
      <c r="H157">
        <v>0.56000000000000005</v>
      </c>
      <c r="I157" t="s">
        <v>19</v>
      </c>
      <c r="J157">
        <v>0</v>
      </c>
      <c r="K157">
        <v>1</v>
      </c>
      <c r="L157">
        <v>1</v>
      </c>
      <c r="M157">
        <f>VLOOKUP(Table1[[#This Row],[subscription_type]],Plans!$A$1:$B$5,2,FALSE)</f>
        <v>14.99</v>
      </c>
      <c r="N157">
        <f t="shared" si="2"/>
        <v>14.99</v>
      </c>
    </row>
    <row r="158" spans="1:14" x14ac:dyDescent="0.35">
      <c r="A158">
        <v>157</v>
      </c>
      <c r="B158" t="s">
        <v>16</v>
      </c>
      <c r="C158">
        <v>27</v>
      </c>
      <c r="D158" t="s">
        <v>29</v>
      </c>
      <c r="E158" t="s">
        <v>14</v>
      </c>
      <c r="F158">
        <v>237</v>
      </c>
      <c r="G158">
        <v>27</v>
      </c>
      <c r="H158">
        <v>0.16</v>
      </c>
      <c r="I158" t="s">
        <v>19</v>
      </c>
      <c r="J158">
        <v>40</v>
      </c>
      <c r="K158">
        <v>0</v>
      </c>
      <c r="L158">
        <v>0</v>
      </c>
      <c r="M158">
        <f>VLOOKUP(Table1[[#This Row],[subscription_type]],Plans!$A$1:$B$5,2,FALSE)</f>
        <v>0</v>
      </c>
      <c r="N158">
        <f t="shared" si="2"/>
        <v>0</v>
      </c>
    </row>
    <row r="159" spans="1:14" x14ac:dyDescent="0.35">
      <c r="A159">
        <v>158</v>
      </c>
      <c r="B159" t="s">
        <v>16</v>
      </c>
      <c r="C159">
        <v>48</v>
      </c>
      <c r="D159" t="s">
        <v>17</v>
      </c>
      <c r="E159" t="s">
        <v>14</v>
      </c>
      <c r="F159">
        <v>224</v>
      </c>
      <c r="G159">
        <v>53</v>
      </c>
      <c r="H159">
        <v>7.0000000000000007E-2</v>
      </c>
      <c r="I159" t="s">
        <v>23</v>
      </c>
      <c r="J159">
        <v>43</v>
      </c>
      <c r="K159">
        <v>0</v>
      </c>
      <c r="L159">
        <v>0</v>
      </c>
      <c r="M159">
        <f>VLOOKUP(Table1[[#This Row],[subscription_type]],Plans!$A$1:$B$5,2,FALSE)</f>
        <v>0</v>
      </c>
      <c r="N159">
        <f t="shared" si="2"/>
        <v>0</v>
      </c>
    </row>
    <row r="160" spans="1:14" x14ac:dyDescent="0.35">
      <c r="A160">
        <v>159</v>
      </c>
      <c r="B160" t="s">
        <v>16</v>
      </c>
      <c r="C160">
        <v>24</v>
      </c>
      <c r="D160" t="s">
        <v>21</v>
      </c>
      <c r="E160" t="s">
        <v>18</v>
      </c>
      <c r="F160">
        <v>216</v>
      </c>
      <c r="G160">
        <v>76</v>
      </c>
      <c r="H160">
        <v>0.28000000000000003</v>
      </c>
      <c r="I160" t="s">
        <v>23</v>
      </c>
      <c r="J160">
        <v>0</v>
      </c>
      <c r="K160">
        <v>1</v>
      </c>
      <c r="L160">
        <v>0</v>
      </c>
      <c r="M160">
        <f>VLOOKUP(Table1[[#This Row],[subscription_type]],Plans!$A$1:$B$5,2,FALSE)</f>
        <v>14.99</v>
      </c>
      <c r="N160">
        <f t="shared" si="2"/>
        <v>0</v>
      </c>
    </row>
    <row r="161" spans="1:14" x14ac:dyDescent="0.35">
      <c r="A161">
        <v>160</v>
      </c>
      <c r="B161" t="s">
        <v>16</v>
      </c>
      <c r="C161">
        <v>34</v>
      </c>
      <c r="D161" t="s">
        <v>13</v>
      </c>
      <c r="E161" t="s">
        <v>22</v>
      </c>
      <c r="F161">
        <v>137</v>
      </c>
      <c r="G161">
        <v>97</v>
      </c>
      <c r="H161">
        <v>0.32</v>
      </c>
      <c r="I161" t="s">
        <v>19</v>
      </c>
      <c r="J161">
        <v>0</v>
      </c>
      <c r="K161">
        <v>1</v>
      </c>
      <c r="L161">
        <v>0</v>
      </c>
      <c r="M161">
        <f>VLOOKUP(Table1[[#This Row],[subscription_type]],Plans!$A$1:$B$5,2,FALSE)</f>
        <v>9.99</v>
      </c>
      <c r="N161">
        <f t="shared" si="2"/>
        <v>0</v>
      </c>
    </row>
    <row r="162" spans="1:14" x14ac:dyDescent="0.35">
      <c r="A162">
        <v>161</v>
      </c>
      <c r="B162" t="s">
        <v>16</v>
      </c>
      <c r="C162">
        <v>28</v>
      </c>
      <c r="D162" t="s">
        <v>17</v>
      </c>
      <c r="E162" t="s">
        <v>14</v>
      </c>
      <c r="F162">
        <v>209</v>
      </c>
      <c r="G162">
        <v>84</v>
      </c>
      <c r="H162">
        <v>0.53</v>
      </c>
      <c r="I162" t="s">
        <v>19</v>
      </c>
      <c r="J162">
        <v>28</v>
      </c>
      <c r="K162">
        <v>0</v>
      </c>
      <c r="L162">
        <v>0</v>
      </c>
      <c r="M162">
        <f>VLOOKUP(Table1[[#This Row],[subscription_type]],Plans!$A$1:$B$5,2,FALSE)</f>
        <v>0</v>
      </c>
      <c r="N162">
        <f t="shared" si="2"/>
        <v>0</v>
      </c>
    </row>
    <row r="163" spans="1:14" x14ac:dyDescent="0.35">
      <c r="A163">
        <v>162</v>
      </c>
      <c r="B163" t="s">
        <v>12</v>
      </c>
      <c r="C163">
        <v>17</v>
      </c>
      <c r="D163" t="s">
        <v>28</v>
      </c>
      <c r="E163" t="s">
        <v>14</v>
      </c>
      <c r="F163">
        <v>36</v>
      </c>
      <c r="G163">
        <v>30</v>
      </c>
      <c r="H163">
        <v>0.19</v>
      </c>
      <c r="I163" t="s">
        <v>23</v>
      </c>
      <c r="J163">
        <v>43</v>
      </c>
      <c r="K163">
        <v>0</v>
      </c>
      <c r="L163">
        <v>1</v>
      </c>
      <c r="M163">
        <f>VLOOKUP(Table1[[#This Row],[subscription_type]],Plans!$A$1:$B$5,2,FALSE)</f>
        <v>0</v>
      </c>
      <c r="N163">
        <f t="shared" si="2"/>
        <v>0</v>
      </c>
    </row>
    <row r="164" spans="1:14" x14ac:dyDescent="0.35">
      <c r="A164">
        <v>163</v>
      </c>
      <c r="B164" t="s">
        <v>16</v>
      </c>
      <c r="C164">
        <v>50</v>
      </c>
      <c r="D164" t="s">
        <v>29</v>
      </c>
      <c r="E164" t="s">
        <v>14</v>
      </c>
      <c r="F164">
        <v>95</v>
      </c>
      <c r="G164">
        <v>50</v>
      </c>
      <c r="H164">
        <v>0.49</v>
      </c>
      <c r="I164" t="s">
        <v>15</v>
      </c>
      <c r="J164">
        <v>31</v>
      </c>
      <c r="K164">
        <v>0</v>
      </c>
      <c r="L164">
        <v>1</v>
      </c>
      <c r="M164">
        <f>VLOOKUP(Table1[[#This Row],[subscription_type]],Plans!$A$1:$B$5,2,FALSE)</f>
        <v>0</v>
      </c>
      <c r="N164">
        <f t="shared" si="2"/>
        <v>0</v>
      </c>
    </row>
    <row r="165" spans="1:14" x14ac:dyDescent="0.35">
      <c r="A165">
        <v>164</v>
      </c>
      <c r="B165" t="s">
        <v>12</v>
      </c>
      <c r="C165">
        <v>35</v>
      </c>
      <c r="D165" t="s">
        <v>21</v>
      </c>
      <c r="E165" t="s">
        <v>22</v>
      </c>
      <c r="F165">
        <v>298</v>
      </c>
      <c r="G165">
        <v>25</v>
      </c>
      <c r="H165">
        <v>0.11</v>
      </c>
      <c r="I165" t="s">
        <v>23</v>
      </c>
      <c r="J165">
        <v>0</v>
      </c>
      <c r="K165">
        <v>1</v>
      </c>
      <c r="L165">
        <v>1</v>
      </c>
      <c r="M165">
        <f>VLOOKUP(Table1[[#This Row],[subscription_type]],Plans!$A$1:$B$5,2,FALSE)</f>
        <v>9.99</v>
      </c>
      <c r="N165">
        <f t="shared" si="2"/>
        <v>9.99</v>
      </c>
    </row>
    <row r="166" spans="1:14" x14ac:dyDescent="0.35">
      <c r="A166">
        <v>165</v>
      </c>
      <c r="B166" t="s">
        <v>20</v>
      </c>
      <c r="C166">
        <v>20</v>
      </c>
      <c r="D166" t="s">
        <v>17</v>
      </c>
      <c r="E166" t="s">
        <v>18</v>
      </c>
      <c r="F166">
        <v>224</v>
      </c>
      <c r="G166">
        <v>51</v>
      </c>
      <c r="H166">
        <v>0.23</v>
      </c>
      <c r="I166" t="s">
        <v>15</v>
      </c>
      <c r="J166">
        <v>0</v>
      </c>
      <c r="K166">
        <v>1</v>
      </c>
      <c r="L166">
        <v>1</v>
      </c>
      <c r="M166">
        <f>VLOOKUP(Table1[[#This Row],[subscription_type]],Plans!$A$1:$B$5,2,FALSE)</f>
        <v>14.99</v>
      </c>
      <c r="N166">
        <f t="shared" si="2"/>
        <v>14.99</v>
      </c>
    </row>
    <row r="167" spans="1:14" x14ac:dyDescent="0.35">
      <c r="A167">
        <v>166</v>
      </c>
      <c r="B167" t="s">
        <v>12</v>
      </c>
      <c r="C167">
        <v>50</v>
      </c>
      <c r="D167" t="s">
        <v>29</v>
      </c>
      <c r="E167" t="s">
        <v>14</v>
      </c>
      <c r="F167">
        <v>205</v>
      </c>
      <c r="G167">
        <v>43</v>
      </c>
      <c r="H167">
        <v>0.48</v>
      </c>
      <c r="I167" t="s">
        <v>15</v>
      </c>
      <c r="J167">
        <v>47</v>
      </c>
      <c r="K167">
        <v>0</v>
      </c>
      <c r="L167">
        <v>0</v>
      </c>
      <c r="M167">
        <f>VLOOKUP(Table1[[#This Row],[subscription_type]],Plans!$A$1:$B$5,2,FALSE)</f>
        <v>0</v>
      </c>
      <c r="N167">
        <f t="shared" si="2"/>
        <v>0</v>
      </c>
    </row>
    <row r="168" spans="1:14" x14ac:dyDescent="0.35">
      <c r="A168">
        <v>167</v>
      </c>
      <c r="B168" t="s">
        <v>20</v>
      </c>
      <c r="C168">
        <v>23</v>
      </c>
      <c r="D168" t="s">
        <v>28</v>
      </c>
      <c r="E168" t="s">
        <v>24</v>
      </c>
      <c r="F168">
        <v>95</v>
      </c>
      <c r="G168">
        <v>31</v>
      </c>
      <c r="H168">
        <v>0.37</v>
      </c>
      <c r="I168" t="s">
        <v>19</v>
      </c>
      <c r="J168">
        <v>0</v>
      </c>
      <c r="K168">
        <v>1</v>
      </c>
      <c r="L168">
        <v>0</v>
      </c>
      <c r="M168">
        <f>VLOOKUP(Table1[[#This Row],[subscription_type]],Plans!$A$1:$B$5,2,FALSE)</f>
        <v>4.99</v>
      </c>
      <c r="N168">
        <f t="shared" si="2"/>
        <v>0</v>
      </c>
    </row>
    <row r="169" spans="1:14" x14ac:dyDescent="0.35">
      <c r="A169">
        <v>168</v>
      </c>
      <c r="B169" t="s">
        <v>16</v>
      </c>
      <c r="C169">
        <v>20</v>
      </c>
      <c r="D169" t="s">
        <v>26</v>
      </c>
      <c r="E169" t="s">
        <v>14</v>
      </c>
      <c r="F169">
        <v>289</v>
      </c>
      <c r="G169">
        <v>17</v>
      </c>
      <c r="H169">
        <v>0.28000000000000003</v>
      </c>
      <c r="I169" t="s">
        <v>15</v>
      </c>
      <c r="J169">
        <v>35</v>
      </c>
      <c r="K169">
        <v>0</v>
      </c>
      <c r="L169">
        <v>0</v>
      </c>
      <c r="M169">
        <f>VLOOKUP(Table1[[#This Row],[subscription_type]],Plans!$A$1:$B$5,2,FALSE)</f>
        <v>0</v>
      </c>
      <c r="N169">
        <f t="shared" si="2"/>
        <v>0</v>
      </c>
    </row>
    <row r="170" spans="1:14" x14ac:dyDescent="0.35">
      <c r="A170">
        <v>169</v>
      </c>
      <c r="B170" t="s">
        <v>20</v>
      </c>
      <c r="C170">
        <v>51</v>
      </c>
      <c r="D170" t="s">
        <v>13</v>
      </c>
      <c r="E170" t="s">
        <v>22</v>
      </c>
      <c r="F170">
        <v>168</v>
      </c>
      <c r="G170">
        <v>28</v>
      </c>
      <c r="H170">
        <v>0.54</v>
      </c>
      <c r="I170" t="s">
        <v>19</v>
      </c>
      <c r="J170">
        <v>0</v>
      </c>
      <c r="K170">
        <v>1</v>
      </c>
      <c r="L170">
        <v>0</v>
      </c>
      <c r="M170">
        <f>VLOOKUP(Table1[[#This Row],[subscription_type]],Plans!$A$1:$B$5,2,FALSE)</f>
        <v>9.99</v>
      </c>
      <c r="N170">
        <f t="shared" si="2"/>
        <v>0</v>
      </c>
    </row>
    <row r="171" spans="1:14" x14ac:dyDescent="0.35">
      <c r="A171">
        <v>170</v>
      </c>
      <c r="B171" t="s">
        <v>12</v>
      </c>
      <c r="C171">
        <v>18</v>
      </c>
      <c r="D171" t="s">
        <v>29</v>
      </c>
      <c r="E171" t="s">
        <v>14</v>
      </c>
      <c r="F171">
        <v>211</v>
      </c>
      <c r="G171">
        <v>48</v>
      </c>
      <c r="H171">
        <v>0.48</v>
      </c>
      <c r="I171" t="s">
        <v>23</v>
      </c>
      <c r="J171">
        <v>23</v>
      </c>
      <c r="K171">
        <v>0</v>
      </c>
      <c r="L171">
        <v>1</v>
      </c>
      <c r="M171">
        <f>VLOOKUP(Table1[[#This Row],[subscription_type]],Plans!$A$1:$B$5,2,FALSE)</f>
        <v>0</v>
      </c>
      <c r="N171">
        <f t="shared" si="2"/>
        <v>0</v>
      </c>
    </row>
    <row r="172" spans="1:14" x14ac:dyDescent="0.35">
      <c r="A172">
        <v>171</v>
      </c>
      <c r="B172" t="s">
        <v>20</v>
      </c>
      <c r="C172">
        <v>29</v>
      </c>
      <c r="D172" t="s">
        <v>17</v>
      </c>
      <c r="E172" t="s">
        <v>22</v>
      </c>
      <c r="F172">
        <v>63</v>
      </c>
      <c r="G172">
        <v>99</v>
      </c>
      <c r="H172">
        <v>0.38</v>
      </c>
      <c r="I172" t="s">
        <v>23</v>
      </c>
      <c r="J172">
        <v>0</v>
      </c>
      <c r="K172">
        <v>1</v>
      </c>
      <c r="L172">
        <v>0</v>
      </c>
      <c r="M172">
        <f>VLOOKUP(Table1[[#This Row],[subscription_type]],Plans!$A$1:$B$5,2,FALSE)</f>
        <v>9.99</v>
      </c>
      <c r="N172">
        <f t="shared" si="2"/>
        <v>0</v>
      </c>
    </row>
    <row r="173" spans="1:14" x14ac:dyDescent="0.35">
      <c r="A173">
        <v>172</v>
      </c>
      <c r="B173" t="s">
        <v>20</v>
      </c>
      <c r="C173">
        <v>39</v>
      </c>
      <c r="D173" t="s">
        <v>17</v>
      </c>
      <c r="E173" t="s">
        <v>14</v>
      </c>
      <c r="F173">
        <v>124</v>
      </c>
      <c r="G173">
        <v>83</v>
      </c>
      <c r="H173">
        <v>0.52</v>
      </c>
      <c r="I173" t="s">
        <v>23</v>
      </c>
      <c r="J173">
        <v>35</v>
      </c>
      <c r="K173">
        <v>0</v>
      </c>
      <c r="L173">
        <v>0</v>
      </c>
      <c r="M173">
        <f>VLOOKUP(Table1[[#This Row],[subscription_type]],Plans!$A$1:$B$5,2,FALSE)</f>
        <v>0</v>
      </c>
      <c r="N173">
        <f t="shared" si="2"/>
        <v>0</v>
      </c>
    </row>
    <row r="174" spans="1:14" x14ac:dyDescent="0.35">
      <c r="A174">
        <v>173</v>
      </c>
      <c r="B174" t="s">
        <v>16</v>
      </c>
      <c r="C174">
        <v>51</v>
      </c>
      <c r="D174" t="s">
        <v>13</v>
      </c>
      <c r="E174" t="s">
        <v>18</v>
      </c>
      <c r="F174">
        <v>275</v>
      </c>
      <c r="G174">
        <v>56</v>
      </c>
      <c r="H174">
        <v>0.05</v>
      </c>
      <c r="I174" t="s">
        <v>19</v>
      </c>
      <c r="J174">
        <v>0</v>
      </c>
      <c r="K174">
        <v>1</v>
      </c>
      <c r="L174">
        <v>0</v>
      </c>
      <c r="M174">
        <f>VLOOKUP(Table1[[#This Row],[subscription_type]],Plans!$A$1:$B$5,2,FALSE)</f>
        <v>14.99</v>
      </c>
      <c r="N174">
        <f t="shared" si="2"/>
        <v>0</v>
      </c>
    </row>
    <row r="175" spans="1:14" x14ac:dyDescent="0.35">
      <c r="A175">
        <v>174</v>
      </c>
      <c r="B175" t="s">
        <v>20</v>
      </c>
      <c r="C175">
        <v>24</v>
      </c>
      <c r="D175" t="s">
        <v>29</v>
      </c>
      <c r="E175" t="s">
        <v>24</v>
      </c>
      <c r="F175">
        <v>120</v>
      </c>
      <c r="G175">
        <v>38</v>
      </c>
      <c r="H175">
        <v>0.11</v>
      </c>
      <c r="I175" t="s">
        <v>23</v>
      </c>
      <c r="J175">
        <v>0</v>
      </c>
      <c r="K175">
        <v>1</v>
      </c>
      <c r="L175">
        <v>0</v>
      </c>
      <c r="M175">
        <f>VLOOKUP(Table1[[#This Row],[subscription_type]],Plans!$A$1:$B$5,2,FALSE)</f>
        <v>4.99</v>
      </c>
      <c r="N175">
        <f t="shared" si="2"/>
        <v>0</v>
      </c>
    </row>
    <row r="176" spans="1:14" x14ac:dyDescent="0.35">
      <c r="A176">
        <v>175</v>
      </c>
      <c r="B176" t="s">
        <v>20</v>
      </c>
      <c r="C176">
        <v>20</v>
      </c>
      <c r="D176" t="s">
        <v>17</v>
      </c>
      <c r="E176" t="s">
        <v>14</v>
      </c>
      <c r="F176">
        <v>64</v>
      </c>
      <c r="G176">
        <v>20</v>
      </c>
      <c r="H176">
        <v>0.16</v>
      </c>
      <c r="I176" t="s">
        <v>23</v>
      </c>
      <c r="J176">
        <v>20</v>
      </c>
      <c r="K176">
        <v>0</v>
      </c>
      <c r="L176">
        <v>1</v>
      </c>
      <c r="M176">
        <f>VLOOKUP(Table1[[#This Row],[subscription_type]],Plans!$A$1:$B$5,2,FALSE)</f>
        <v>0</v>
      </c>
      <c r="N176">
        <f t="shared" si="2"/>
        <v>0</v>
      </c>
    </row>
    <row r="177" spans="1:14" x14ac:dyDescent="0.35">
      <c r="A177">
        <v>176</v>
      </c>
      <c r="B177" t="s">
        <v>12</v>
      </c>
      <c r="C177">
        <v>57</v>
      </c>
      <c r="D177" t="s">
        <v>26</v>
      </c>
      <c r="E177" t="s">
        <v>22</v>
      </c>
      <c r="F177">
        <v>121</v>
      </c>
      <c r="G177">
        <v>86</v>
      </c>
      <c r="H177">
        <v>0.08</v>
      </c>
      <c r="I177" t="s">
        <v>19</v>
      </c>
      <c r="J177">
        <v>0</v>
      </c>
      <c r="K177">
        <v>1</v>
      </c>
      <c r="L177">
        <v>1</v>
      </c>
      <c r="M177">
        <f>VLOOKUP(Table1[[#This Row],[subscription_type]],Plans!$A$1:$B$5,2,FALSE)</f>
        <v>9.99</v>
      </c>
      <c r="N177">
        <f t="shared" si="2"/>
        <v>9.99</v>
      </c>
    </row>
    <row r="178" spans="1:14" x14ac:dyDescent="0.35">
      <c r="A178">
        <v>177</v>
      </c>
      <c r="B178" t="s">
        <v>16</v>
      </c>
      <c r="C178">
        <v>16</v>
      </c>
      <c r="D178" t="s">
        <v>21</v>
      </c>
      <c r="E178" t="s">
        <v>14</v>
      </c>
      <c r="F178">
        <v>184</v>
      </c>
      <c r="G178">
        <v>12</v>
      </c>
      <c r="H178">
        <v>0.2</v>
      </c>
      <c r="I178" t="s">
        <v>15</v>
      </c>
      <c r="J178">
        <v>15</v>
      </c>
      <c r="K178">
        <v>0</v>
      </c>
      <c r="L178">
        <v>0</v>
      </c>
      <c r="M178">
        <f>VLOOKUP(Table1[[#This Row],[subscription_type]],Plans!$A$1:$B$5,2,FALSE)</f>
        <v>0</v>
      </c>
      <c r="N178">
        <f t="shared" si="2"/>
        <v>0</v>
      </c>
    </row>
    <row r="179" spans="1:14" x14ac:dyDescent="0.35">
      <c r="A179">
        <v>178</v>
      </c>
      <c r="B179" t="s">
        <v>20</v>
      </c>
      <c r="C179">
        <v>18</v>
      </c>
      <c r="D179" t="s">
        <v>29</v>
      </c>
      <c r="E179" t="s">
        <v>18</v>
      </c>
      <c r="F179">
        <v>219</v>
      </c>
      <c r="G179">
        <v>54</v>
      </c>
      <c r="H179">
        <v>0.06</v>
      </c>
      <c r="I179" t="s">
        <v>19</v>
      </c>
      <c r="J179">
        <v>0</v>
      </c>
      <c r="K179">
        <v>1</v>
      </c>
      <c r="L179">
        <v>0</v>
      </c>
      <c r="M179">
        <f>VLOOKUP(Table1[[#This Row],[subscription_type]],Plans!$A$1:$B$5,2,FALSE)</f>
        <v>14.99</v>
      </c>
      <c r="N179">
        <f t="shared" si="2"/>
        <v>0</v>
      </c>
    </row>
    <row r="180" spans="1:14" x14ac:dyDescent="0.35">
      <c r="A180">
        <v>179</v>
      </c>
      <c r="B180" t="s">
        <v>20</v>
      </c>
      <c r="C180">
        <v>16</v>
      </c>
      <c r="D180" t="s">
        <v>17</v>
      </c>
      <c r="E180" t="s">
        <v>14</v>
      </c>
      <c r="F180">
        <v>184</v>
      </c>
      <c r="G180">
        <v>40</v>
      </c>
      <c r="H180">
        <v>0.01</v>
      </c>
      <c r="I180" t="s">
        <v>23</v>
      </c>
      <c r="J180">
        <v>9</v>
      </c>
      <c r="K180">
        <v>0</v>
      </c>
      <c r="L180">
        <v>0</v>
      </c>
      <c r="M180">
        <f>VLOOKUP(Table1[[#This Row],[subscription_type]],Plans!$A$1:$B$5,2,FALSE)</f>
        <v>0</v>
      </c>
      <c r="N180">
        <f t="shared" si="2"/>
        <v>0</v>
      </c>
    </row>
    <row r="181" spans="1:14" x14ac:dyDescent="0.35">
      <c r="A181">
        <v>180</v>
      </c>
      <c r="B181" t="s">
        <v>12</v>
      </c>
      <c r="C181">
        <v>50</v>
      </c>
      <c r="D181" t="s">
        <v>26</v>
      </c>
      <c r="E181" t="s">
        <v>18</v>
      </c>
      <c r="F181">
        <v>30</v>
      </c>
      <c r="G181">
        <v>37</v>
      </c>
      <c r="H181">
        <v>0.25</v>
      </c>
      <c r="I181" t="s">
        <v>15</v>
      </c>
      <c r="J181">
        <v>0</v>
      </c>
      <c r="K181">
        <v>1</v>
      </c>
      <c r="L181">
        <v>1</v>
      </c>
      <c r="M181">
        <f>VLOOKUP(Table1[[#This Row],[subscription_type]],Plans!$A$1:$B$5,2,FALSE)</f>
        <v>14.99</v>
      </c>
      <c r="N181">
        <f t="shared" si="2"/>
        <v>14.99</v>
      </c>
    </row>
    <row r="182" spans="1:14" x14ac:dyDescent="0.35">
      <c r="A182">
        <v>181</v>
      </c>
      <c r="B182" t="s">
        <v>20</v>
      </c>
      <c r="C182">
        <v>23</v>
      </c>
      <c r="D182" t="s">
        <v>17</v>
      </c>
      <c r="E182" t="s">
        <v>14</v>
      </c>
      <c r="F182">
        <v>55</v>
      </c>
      <c r="G182">
        <v>46</v>
      </c>
      <c r="H182">
        <v>0.41</v>
      </c>
      <c r="I182" t="s">
        <v>15</v>
      </c>
      <c r="J182">
        <v>7</v>
      </c>
      <c r="K182">
        <v>0</v>
      </c>
      <c r="L182">
        <v>0</v>
      </c>
      <c r="M182">
        <f>VLOOKUP(Table1[[#This Row],[subscription_type]],Plans!$A$1:$B$5,2,FALSE)</f>
        <v>0</v>
      </c>
      <c r="N182">
        <f t="shared" si="2"/>
        <v>0</v>
      </c>
    </row>
    <row r="183" spans="1:14" x14ac:dyDescent="0.35">
      <c r="A183">
        <v>182</v>
      </c>
      <c r="B183" t="s">
        <v>12</v>
      </c>
      <c r="C183">
        <v>53</v>
      </c>
      <c r="D183" t="s">
        <v>21</v>
      </c>
      <c r="E183" t="s">
        <v>22</v>
      </c>
      <c r="F183">
        <v>38</v>
      </c>
      <c r="G183">
        <v>4</v>
      </c>
      <c r="H183">
        <v>0.09</v>
      </c>
      <c r="I183" t="s">
        <v>23</v>
      </c>
      <c r="J183">
        <v>0</v>
      </c>
      <c r="K183">
        <v>1</v>
      </c>
      <c r="L183">
        <v>0</v>
      </c>
      <c r="M183">
        <f>VLOOKUP(Table1[[#This Row],[subscription_type]],Plans!$A$1:$B$5,2,FALSE)</f>
        <v>9.99</v>
      </c>
      <c r="N183">
        <f t="shared" si="2"/>
        <v>0</v>
      </c>
    </row>
    <row r="184" spans="1:14" x14ac:dyDescent="0.35">
      <c r="A184">
        <v>183</v>
      </c>
      <c r="B184" t="s">
        <v>20</v>
      </c>
      <c r="C184">
        <v>58</v>
      </c>
      <c r="D184" t="s">
        <v>13</v>
      </c>
      <c r="E184" t="s">
        <v>22</v>
      </c>
      <c r="F184">
        <v>281</v>
      </c>
      <c r="G184">
        <v>58</v>
      </c>
      <c r="H184">
        <v>0.16</v>
      </c>
      <c r="I184" t="s">
        <v>15</v>
      </c>
      <c r="J184">
        <v>0</v>
      </c>
      <c r="K184">
        <v>1</v>
      </c>
      <c r="L184">
        <v>0</v>
      </c>
      <c r="M184">
        <f>VLOOKUP(Table1[[#This Row],[subscription_type]],Plans!$A$1:$B$5,2,FALSE)</f>
        <v>9.99</v>
      </c>
      <c r="N184">
        <f t="shared" si="2"/>
        <v>0</v>
      </c>
    </row>
    <row r="185" spans="1:14" x14ac:dyDescent="0.35">
      <c r="A185">
        <v>184</v>
      </c>
      <c r="B185" t="s">
        <v>12</v>
      </c>
      <c r="C185">
        <v>31</v>
      </c>
      <c r="D185" t="s">
        <v>17</v>
      </c>
      <c r="E185" t="s">
        <v>22</v>
      </c>
      <c r="F185">
        <v>140</v>
      </c>
      <c r="G185">
        <v>57</v>
      </c>
      <c r="H185">
        <v>0.35</v>
      </c>
      <c r="I185" t="s">
        <v>23</v>
      </c>
      <c r="J185">
        <v>0</v>
      </c>
      <c r="K185">
        <v>1</v>
      </c>
      <c r="L185">
        <v>1</v>
      </c>
      <c r="M185">
        <f>VLOOKUP(Table1[[#This Row],[subscription_type]],Plans!$A$1:$B$5,2,FALSE)</f>
        <v>9.99</v>
      </c>
      <c r="N185">
        <f t="shared" si="2"/>
        <v>9.99</v>
      </c>
    </row>
    <row r="186" spans="1:14" x14ac:dyDescent="0.35">
      <c r="A186">
        <v>185</v>
      </c>
      <c r="B186" t="s">
        <v>12</v>
      </c>
      <c r="C186">
        <v>19</v>
      </c>
      <c r="D186" t="s">
        <v>25</v>
      </c>
      <c r="E186" t="s">
        <v>24</v>
      </c>
      <c r="F186">
        <v>130</v>
      </c>
      <c r="G186">
        <v>17</v>
      </c>
      <c r="H186">
        <v>0.35</v>
      </c>
      <c r="I186" t="s">
        <v>15</v>
      </c>
      <c r="J186">
        <v>0</v>
      </c>
      <c r="K186">
        <v>1</v>
      </c>
      <c r="L186">
        <v>0</v>
      </c>
      <c r="M186">
        <f>VLOOKUP(Table1[[#This Row],[subscription_type]],Plans!$A$1:$B$5,2,FALSE)</f>
        <v>4.99</v>
      </c>
      <c r="N186">
        <f t="shared" si="2"/>
        <v>0</v>
      </c>
    </row>
    <row r="187" spans="1:14" x14ac:dyDescent="0.35">
      <c r="A187">
        <v>186</v>
      </c>
      <c r="B187" t="s">
        <v>12</v>
      </c>
      <c r="C187">
        <v>36</v>
      </c>
      <c r="D187" t="s">
        <v>25</v>
      </c>
      <c r="E187" t="s">
        <v>24</v>
      </c>
      <c r="F187">
        <v>238</v>
      </c>
      <c r="G187">
        <v>82</v>
      </c>
      <c r="H187">
        <v>0.35</v>
      </c>
      <c r="I187" t="s">
        <v>19</v>
      </c>
      <c r="J187">
        <v>0</v>
      </c>
      <c r="K187">
        <v>1</v>
      </c>
      <c r="L187">
        <v>1</v>
      </c>
      <c r="M187">
        <f>VLOOKUP(Table1[[#This Row],[subscription_type]],Plans!$A$1:$B$5,2,FALSE)</f>
        <v>4.99</v>
      </c>
      <c r="N187">
        <f t="shared" si="2"/>
        <v>4.99</v>
      </c>
    </row>
    <row r="188" spans="1:14" x14ac:dyDescent="0.35">
      <c r="A188">
        <v>187</v>
      </c>
      <c r="B188" t="s">
        <v>16</v>
      </c>
      <c r="C188">
        <v>19</v>
      </c>
      <c r="D188" t="s">
        <v>29</v>
      </c>
      <c r="E188" t="s">
        <v>22</v>
      </c>
      <c r="F188">
        <v>295</v>
      </c>
      <c r="G188">
        <v>53</v>
      </c>
      <c r="H188">
        <v>0.55000000000000004</v>
      </c>
      <c r="I188" t="s">
        <v>19</v>
      </c>
      <c r="J188">
        <v>0</v>
      </c>
      <c r="K188">
        <v>1</v>
      </c>
      <c r="L188">
        <v>1</v>
      </c>
      <c r="M188">
        <f>VLOOKUP(Table1[[#This Row],[subscription_type]],Plans!$A$1:$B$5,2,FALSE)</f>
        <v>9.99</v>
      </c>
      <c r="N188">
        <f t="shared" si="2"/>
        <v>9.99</v>
      </c>
    </row>
    <row r="189" spans="1:14" x14ac:dyDescent="0.35">
      <c r="A189">
        <v>188</v>
      </c>
      <c r="B189" t="s">
        <v>16</v>
      </c>
      <c r="C189">
        <v>26</v>
      </c>
      <c r="D189" t="s">
        <v>27</v>
      </c>
      <c r="E189" t="s">
        <v>14</v>
      </c>
      <c r="F189">
        <v>265</v>
      </c>
      <c r="G189">
        <v>31</v>
      </c>
      <c r="H189">
        <v>0.41</v>
      </c>
      <c r="I189" t="s">
        <v>19</v>
      </c>
      <c r="J189">
        <v>38</v>
      </c>
      <c r="K189">
        <v>0</v>
      </c>
      <c r="L189">
        <v>0</v>
      </c>
      <c r="M189">
        <f>VLOOKUP(Table1[[#This Row],[subscription_type]],Plans!$A$1:$B$5,2,FALSE)</f>
        <v>0</v>
      </c>
      <c r="N189">
        <f t="shared" si="2"/>
        <v>0</v>
      </c>
    </row>
    <row r="190" spans="1:14" x14ac:dyDescent="0.35">
      <c r="A190">
        <v>189</v>
      </c>
      <c r="B190" t="s">
        <v>16</v>
      </c>
      <c r="C190">
        <v>16</v>
      </c>
      <c r="D190" t="s">
        <v>25</v>
      </c>
      <c r="E190" t="s">
        <v>24</v>
      </c>
      <c r="F190">
        <v>179</v>
      </c>
      <c r="G190">
        <v>80</v>
      </c>
      <c r="H190">
        <v>0.6</v>
      </c>
      <c r="I190" t="s">
        <v>15</v>
      </c>
      <c r="J190">
        <v>0</v>
      </c>
      <c r="K190">
        <v>1</v>
      </c>
      <c r="L190">
        <v>0</v>
      </c>
      <c r="M190">
        <f>VLOOKUP(Table1[[#This Row],[subscription_type]],Plans!$A$1:$B$5,2,FALSE)</f>
        <v>4.99</v>
      </c>
      <c r="N190">
        <f t="shared" si="2"/>
        <v>0</v>
      </c>
    </row>
    <row r="191" spans="1:14" x14ac:dyDescent="0.35">
      <c r="A191">
        <v>190</v>
      </c>
      <c r="B191" t="s">
        <v>16</v>
      </c>
      <c r="C191">
        <v>49</v>
      </c>
      <c r="D191" t="s">
        <v>21</v>
      </c>
      <c r="E191" t="s">
        <v>14</v>
      </c>
      <c r="F191">
        <v>198</v>
      </c>
      <c r="G191">
        <v>4</v>
      </c>
      <c r="H191">
        <v>0.1</v>
      </c>
      <c r="I191" t="s">
        <v>15</v>
      </c>
      <c r="J191">
        <v>36</v>
      </c>
      <c r="K191">
        <v>0</v>
      </c>
      <c r="L191">
        <v>0</v>
      </c>
      <c r="M191">
        <f>VLOOKUP(Table1[[#This Row],[subscription_type]],Plans!$A$1:$B$5,2,FALSE)</f>
        <v>0</v>
      </c>
      <c r="N191">
        <f t="shared" si="2"/>
        <v>0</v>
      </c>
    </row>
    <row r="192" spans="1:14" x14ac:dyDescent="0.35">
      <c r="A192">
        <v>191</v>
      </c>
      <c r="B192" t="s">
        <v>12</v>
      </c>
      <c r="C192">
        <v>55</v>
      </c>
      <c r="D192" t="s">
        <v>26</v>
      </c>
      <c r="E192" t="s">
        <v>22</v>
      </c>
      <c r="F192">
        <v>180</v>
      </c>
      <c r="G192">
        <v>17</v>
      </c>
      <c r="H192">
        <v>0.08</v>
      </c>
      <c r="I192" t="s">
        <v>19</v>
      </c>
      <c r="J192">
        <v>0</v>
      </c>
      <c r="K192">
        <v>1</v>
      </c>
      <c r="L192">
        <v>0</v>
      </c>
      <c r="M192">
        <f>VLOOKUP(Table1[[#This Row],[subscription_type]],Plans!$A$1:$B$5,2,FALSE)</f>
        <v>9.99</v>
      </c>
      <c r="N192">
        <f t="shared" si="2"/>
        <v>0</v>
      </c>
    </row>
    <row r="193" spans="1:14" x14ac:dyDescent="0.35">
      <c r="A193">
        <v>192</v>
      </c>
      <c r="B193" t="s">
        <v>16</v>
      </c>
      <c r="C193">
        <v>21</v>
      </c>
      <c r="D193" t="s">
        <v>17</v>
      </c>
      <c r="E193" t="s">
        <v>24</v>
      </c>
      <c r="F193">
        <v>267</v>
      </c>
      <c r="G193">
        <v>89</v>
      </c>
      <c r="H193">
        <v>0.52</v>
      </c>
      <c r="I193" t="s">
        <v>19</v>
      </c>
      <c r="J193">
        <v>0</v>
      </c>
      <c r="K193">
        <v>1</v>
      </c>
      <c r="L193">
        <v>0</v>
      </c>
      <c r="M193">
        <f>VLOOKUP(Table1[[#This Row],[subscription_type]],Plans!$A$1:$B$5,2,FALSE)</f>
        <v>4.99</v>
      </c>
      <c r="N193">
        <f t="shared" si="2"/>
        <v>0</v>
      </c>
    </row>
    <row r="194" spans="1:14" x14ac:dyDescent="0.35">
      <c r="A194">
        <v>193</v>
      </c>
      <c r="B194" t="s">
        <v>16</v>
      </c>
      <c r="C194">
        <v>48</v>
      </c>
      <c r="D194" t="s">
        <v>13</v>
      </c>
      <c r="E194" t="s">
        <v>14</v>
      </c>
      <c r="F194">
        <v>126</v>
      </c>
      <c r="G194">
        <v>22</v>
      </c>
      <c r="H194">
        <v>0.57999999999999996</v>
      </c>
      <c r="I194" t="s">
        <v>23</v>
      </c>
      <c r="J194">
        <v>45</v>
      </c>
      <c r="K194">
        <v>0</v>
      </c>
      <c r="L194">
        <v>0</v>
      </c>
      <c r="M194">
        <f>VLOOKUP(Table1[[#This Row],[subscription_type]],Plans!$A$1:$B$5,2,FALSE)</f>
        <v>0</v>
      </c>
      <c r="N194">
        <f t="shared" ref="N194:N257" si="3">IF(L194=1, M194,0)</f>
        <v>0</v>
      </c>
    </row>
    <row r="195" spans="1:14" x14ac:dyDescent="0.35">
      <c r="A195">
        <v>194</v>
      </c>
      <c r="B195" t="s">
        <v>12</v>
      </c>
      <c r="C195">
        <v>38</v>
      </c>
      <c r="D195" t="s">
        <v>27</v>
      </c>
      <c r="E195" t="s">
        <v>18</v>
      </c>
      <c r="F195">
        <v>233</v>
      </c>
      <c r="G195">
        <v>94</v>
      </c>
      <c r="H195">
        <v>0.28999999999999998</v>
      </c>
      <c r="I195" t="s">
        <v>19</v>
      </c>
      <c r="J195">
        <v>0</v>
      </c>
      <c r="K195">
        <v>1</v>
      </c>
      <c r="L195">
        <v>1</v>
      </c>
      <c r="M195">
        <f>VLOOKUP(Table1[[#This Row],[subscription_type]],Plans!$A$1:$B$5,2,FALSE)</f>
        <v>14.99</v>
      </c>
      <c r="N195">
        <f t="shared" si="3"/>
        <v>14.99</v>
      </c>
    </row>
    <row r="196" spans="1:14" x14ac:dyDescent="0.35">
      <c r="A196">
        <v>195</v>
      </c>
      <c r="B196" t="s">
        <v>20</v>
      </c>
      <c r="C196">
        <v>59</v>
      </c>
      <c r="D196" t="s">
        <v>29</v>
      </c>
      <c r="E196" t="s">
        <v>24</v>
      </c>
      <c r="F196">
        <v>161</v>
      </c>
      <c r="G196">
        <v>95</v>
      </c>
      <c r="H196">
        <v>0.59</v>
      </c>
      <c r="I196" t="s">
        <v>15</v>
      </c>
      <c r="J196">
        <v>0</v>
      </c>
      <c r="K196">
        <v>1</v>
      </c>
      <c r="L196">
        <v>1</v>
      </c>
      <c r="M196">
        <f>VLOOKUP(Table1[[#This Row],[subscription_type]],Plans!$A$1:$B$5,2,FALSE)</f>
        <v>4.99</v>
      </c>
      <c r="N196">
        <f t="shared" si="3"/>
        <v>4.99</v>
      </c>
    </row>
    <row r="197" spans="1:14" x14ac:dyDescent="0.35">
      <c r="A197">
        <v>196</v>
      </c>
      <c r="B197" t="s">
        <v>12</v>
      </c>
      <c r="C197">
        <v>31</v>
      </c>
      <c r="D197" t="s">
        <v>13</v>
      </c>
      <c r="E197" t="s">
        <v>24</v>
      </c>
      <c r="F197">
        <v>100</v>
      </c>
      <c r="G197">
        <v>70</v>
      </c>
      <c r="H197">
        <v>0.43</v>
      </c>
      <c r="I197" t="s">
        <v>23</v>
      </c>
      <c r="J197">
        <v>0</v>
      </c>
      <c r="K197">
        <v>1</v>
      </c>
      <c r="L197">
        <v>0</v>
      </c>
      <c r="M197">
        <f>VLOOKUP(Table1[[#This Row],[subscription_type]],Plans!$A$1:$B$5,2,FALSE)</f>
        <v>4.99</v>
      </c>
      <c r="N197">
        <f t="shared" si="3"/>
        <v>0</v>
      </c>
    </row>
    <row r="198" spans="1:14" x14ac:dyDescent="0.35">
      <c r="A198">
        <v>197</v>
      </c>
      <c r="B198" t="s">
        <v>12</v>
      </c>
      <c r="C198">
        <v>24</v>
      </c>
      <c r="D198" t="s">
        <v>25</v>
      </c>
      <c r="E198" t="s">
        <v>24</v>
      </c>
      <c r="F198">
        <v>240</v>
      </c>
      <c r="G198">
        <v>45</v>
      </c>
      <c r="H198">
        <v>0.53</v>
      </c>
      <c r="I198" t="s">
        <v>19</v>
      </c>
      <c r="J198">
        <v>0</v>
      </c>
      <c r="K198">
        <v>1</v>
      </c>
      <c r="L198">
        <v>1</v>
      </c>
      <c r="M198">
        <f>VLOOKUP(Table1[[#This Row],[subscription_type]],Plans!$A$1:$B$5,2,FALSE)</f>
        <v>4.99</v>
      </c>
      <c r="N198">
        <f t="shared" si="3"/>
        <v>4.99</v>
      </c>
    </row>
    <row r="199" spans="1:14" x14ac:dyDescent="0.35">
      <c r="A199">
        <v>198</v>
      </c>
      <c r="B199" t="s">
        <v>20</v>
      </c>
      <c r="C199">
        <v>55</v>
      </c>
      <c r="D199" t="s">
        <v>26</v>
      </c>
      <c r="E199" t="s">
        <v>24</v>
      </c>
      <c r="F199">
        <v>170</v>
      </c>
      <c r="G199">
        <v>95</v>
      </c>
      <c r="H199">
        <v>0.45</v>
      </c>
      <c r="I199" t="s">
        <v>23</v>
      </c>
      <c r="J199">
        <v>0</v>
      </c>
      <c r="K199">
        <v>1</v>
      </c>
      <c r="L199">
        <v>0</v>
      </c>
      <c r="M199">
        <f>VLOOKUP(Table1[[#This Row],[subscription_type]],Plans!$A$1:$B$5,2,FALSE)</f>
        <v>4.99</v>
      </c>
      <c r="N199">
        <f t="shared" si="3"/>
        <v>0</v>
      </c>
    </row>
    <row r="200" spans="1:14" x14ac:dyDescent="0.35">
      <c r="A200">
        <v>199</v>
      </c>
      <c r="B200" t="s">
        <v>20</v>
      </c>
      <c r="C200">
        <v>53</v>
      </c>
      <c r="D200" t="s">
        <v>26</v>
      </c>
      <c r="E200" t="s">
        <v>18</v>
      </c>
      <c r="F200">
        <v>150</v>
      </c>
      <c r="G200">
        <v>29</v>
      </c>
      <c r="H200">
        <v>0.18</v>
      </c>
      <c r="I200" t="s">
        <v>15</v>
      </c>
      <c r="J200">
        <v>0</v>
      </c>
      <c r="K200">
        <v>1</v>
      </c>
      <c r="L200">
        <v>0</v>
      </c>
      <c r="M200">
        <f>VLOOKUP(Table1[[#This Row],[subscription_type]],Plans!$A$1:$B$5,2,FALSE)</f>
        <v>14.99</v>
      </c>
      <c r="N200">
        <f t="shared" si="3"/>
        <v>0</v>
      </c>
    </row>
    <row r="201" spans="1:14" x14ac:dyDescent="0.35">
      <c r="A201">
        <v>200</v>
      </c>
      <c r="B201" t="s">
        <v>16</v>
      </c>
      <c r="C201">
        <v>31</v>
      </c>
      <c r="D201" t="s">
        <v>25</v>
      </c>
      <c r="E201" t="s">
        <v>18</v>
      </c>
      <c r="F201">
        <v>203</v>
      </c>
      <c r="G201">
        <v>79</v>
      </c>
      <c r="H201">
        <v>0.15</v>
      </c>
      <c r="I201" t="s">
        <v>19</v>
      </c>
      <c r="J201">
        <v>0</v>
      </c>
      <c r="K201">
        <v>1</v>
      </c>
      <c r="L201">
        <v>0</v>
      </c>
      <c r="M201">
        <f>VLOOKUP(Table1[[#This Row],[subscription_type]],Plans!$A$1:$B$5,2,FALSE)</f>
        <v>14.99</v>
      </c>
      <c r="N201">
        <f t="shared" si="3"/>
        <v>0</v>
      </c>
    </row>
    <row r="202" spans="1:14" x14ac:dyDescent="0.35">
      <c r="A202">
        <v>201</v>
      </c>
      <c r="B202" t="s">
        <v>12</v>
      </c>
      <c r="C202">
        <v>49</v>
      </c>
      <c r="D202" t="s">
        <v>21</v>
      </c>
      <c r="E202" t="s">
        <v>14</v>
      </c>
      <c r="F202">
        <v>226</v>
      </c>
      <c r="G202">
        <v>31</v>
      </c>
      <c r="H202">
        <v>0.24</v>
      </c>
      <c r="I202" t="s">
        <v>15</v>
      </c>
      <c r="J202">
        <v>32</v>
      </c>
      <c r="K202">
        <v>0</v>
      </c>
      <c r="L202">
        <v>0</v>
      </c>
      <c r="M202">
        <f>VLOOKUP(Table1[[#This Row],[subscription_type]],Plans!$A$1:$B$5,2,FALSE)</f>
        <v>0</v>
      </c>
      <c r="N202">
        <f t="shared" si="3"/>
        <v>0</v>
      </c>
    </row>
    <row r="203" spans="1:14" x14ac:dyDescent="0.35">
      <c r="A203">
        <v>202</v>
      </c>
      <c r="B203" t="s">
        <v>16</v>
      </c>
      <c r="C203">
        <v>49</v>
      </c>
      <c r="D203" t="s">
        <v>26</v>
      </c>
      <c r="E203" t="s">
        <v>22</v>
      </c>
      <c r="F203">
        <v>31</v>
      </c>
      <c r="G203">
        <v>93</v>
      </c>
      <c r="H203">
        <v>0.03</v>
      </c>
      <c r="I203" t="s">
        <v>15</v>
      </c>
      <c r="J203">
        <v>0</v>
      </c>
      <c r="K203">
        <v>1</v>
      </c>
      <c r="L203">
        <v>0</v>
      </c>
      <c r="M203">
        <f>VLOOKUP(Table1[[#This Row],[subscription_type]],Plans!$A$1:$B$5,2,FALSE)</f>
        <v>9.99</v>
      </c>
      <c r="N203">
        <f t="shared" si="3"/>
        <v>0</v>
      </c>
    </row>
    <row r="204" spans="1:14" x14ac:dyDescent="0.35">
      <c r="A204">
        <v>203</v>
      </c>
      <c r="B204" t="s">
        <v>12</v>
      </c>
      <c r="C204">
        <v>33</v>
      </c>
      <c r="D204" t="s">
        <v>17</v>
      </c>
      <c r="E204" t="s">
        <v>22</v>
      </c>
      <c r="F204">
        <v>81</v>
      </c>
      <c r="G204">
        <v>34</v>
      </c>
      <c r="H204">
        <v>0.09</v>
      </c>
      <c r="I204" t="s">
        <v>23</v>
      </c>
      <c r="J204">
        <v>0</v>
      </c>
      <c r="K204">
        <v>1</v>
      </c>
      <c r="L204">
        <v>0</v>
      </c>
      <c r="M204">
        <f>VLOOKUP(Table1[[#This Row],[subscription_type]],Plans!$A$1:$B$5,2,FALSE)</f>
        <v>9.99</v>
      </c>
      <c r="N204">
        <f t="shared" si="3"/>
        <v>0</v>
      </c>
    </row>
    <row r="205" spans="1:14" x14ac:dyDescent="0.35">
      <c r="A205">
        <v>204</v>
      </c>
      <c r="B205" t="s">
        <v>16</v>
      </c>
      <c r="C205">
        <v>59</v>
      </c>
      <c r="D205" t="s">
        <v>29</v>
      </c>
      <c r="E205" t="s">
        <v>14</v>
      </c>
      <c r="F205">
        <v>62</v>
      </c>
      <c r="G205">
        <v>99</v>
      </c>
      <c r="H205">
        <v>0.55000000000000004</v>
      </c>
      <c r="I205" t="s">
        <v>23</v>
      </c>
      <c r="J205">
        <v>5</v>
      </c>
      <c r="K205">
        <v>0</v>
      </c>
      <c r="L205">
        <v>0</v>
      </c>
      <c r="M205">
        <f>VLOOKUP(Table1[[#This Row],[subscription_type]],Plans!$A$1:$B$5,2,FALSE)</f>
        <v>0</v>
      </c>
      <c r="N205">
        <f t="shared" si="3"/>
        <v>0</v>
      </c>
    </row>
    <row r="206" spans="1:14" x14ac:dyDescent="0.35">
      <c r="A206">
        <v>205</v>
      </c>
      <c r="B206" t="s">
        <v>12</v>
      </c>
      <c r="C206">
        <v>58</v>
      </c>
      <c r="D206" t="s">
        <v>21</v>
      </c>
      <c r="E206" t="s">
        <v>14</v>
      </c>
      <c r="F206">
        <v>202</v>
      </c>
      <c r="G206">
        <v>22</v>
      </c>
      <c r="H206">
        <v>0.45</v>
      </c>
      <c r="I206" t="s">
        <v>23</v>
      </c>
      <c r="J206">
        <v>36</v>
      </c>
      <c r="K206">
        <v>0</v>
      </c>
      <c r="L206">
        <v>0</v>
      </c>
      <c r="M206">
        <f>VLOOKUP(Table1[[#This Row],[subscription_type]],Plans!$A$1:$B$5,2,FALSE)</f>
        <v>0</v>
      </c>
      <c r="N206">
        <f t="shared" si="3"/>
        <v>0</v>
      </c>
    </row>
    <row r="207" spans="1:14" x14ac:dyDescent="0.35">
      <c r="A207">
        <v>206</v>
      </c>
      <c r="B207" t="s">
        <v>16</v>
      </c>
      <c r="C207">
        <v>49</v>
      </c>
      <c r="D207" t="s">
        <v>29</v>
      </c>
      <c r="E207" t="s">
        <v>14</v>
      </c>
      <c r="F207">
        <v>207</v>
      </c>
      <c r="G207">
        <v>33</v>
      </c>
      <c r="H207">
        <v>0.09</v>
      </c>
      <c r="I207" t="s">
        <v>19</v>
      </c>
      <c r="J207">
        <v>9</v>
      </c>
      <c r="K207">
        <v>0</v>
      </c>
      <c r="L207">
        <v>1</v>
      </c>
      <c r="M207">
        <f>VLOOKUP(Table1[[#This Row],[subscription_type]],Plans!$A$1:$B$5,2,FALSE)</f>
        <v>0</v>
      </c>
      <c r="N207">
        <f t="shared" si="3"/>
        <v>0</v>
      </c>
    </row>
    <row r="208" spans="1:14" x14ac:dyDescent="0.35">
      <c r="A208">
        <v>207</v>
      </c>
      <c r="B208" t="s">
        <v>20</v>
      </c>
      <c r="C208">
        <v>42</v>
      </c>
      <c r="D208" t="s">
        <v>17</v>
      </c>
      <c r="E208" t="s">
        <v>24</v>
      </c>
      <c r="F208">
        <v>20</v>
      </c>
      <c r="G208">
        <v>38</v>
      </c>
      <c r="H208">
        <v>0.6</v>
      </c>
      <c r="I208" t="s">
        <v>19</v>
      </c>
      <c r="J208">
        <v>0</v>
      </c>
      <c r="K208">
        <v>1</v>
      </c>
      <c r="L208">
        <v>0</v>
      </c>
      <c r="M208">
        <f>VLOOKUP(Table1[[#This Row],[subscription_type]],Plans!$A$1:$B$5,2,FALSE)</f>
        <v>4.99</v>
      </c>
      <c r="N208">
        <f t="shared" si="3"/>
        <v>0</v>
      </c>
    </row>
    <row r="209" spans="1:14" x14ac:dyDescent="0.35">
      <c r="A209">
        <v>208</v>
      </c>
      <c r="B209" t="s">
        <v>16</v>
      </c>
      <c r="C209">
        <v>24</v>
      </c>
      <c r="D209" t="s">
        <v>21</v>
      </c>
      <c r="E209" t="s">
        <v>14</v>
      </c>
      <c r="F209">
        <v>113</v>
      </c>
      <c r="G209">
        <v>42</v>
      </c>
      <c r="H209">
        <v>0.56000000000000005</v>
      </c>
      <c r="I209" t="s">
        <v>15</v>
      </c>
      <c r="J209">
        <v>32</v>
      </c>
      <c r="K209">
        <v>0</v>
      </c>
      <c r="L209">
        <v>1</v>
      </c>
      <c r="M209">
        <f>VLOOKUP(Table1[[#This Row],[subscription_type]],Plans!$A$1:$B$5,2,FALSE)</f>
        <v>0</v>
      </c>
      <c r="N209">
        <f t="shared" si="3"/>
        <v>0</v>
      </c>
    </row>
    <row r="210" spans="1:14" x14ac:dyDescent="0.35">
      <c r="A210">
        <v>209</v>
      </c>
      <c r="B210" t="s">
        <v>20</v>
      </c>
      <c r="C210">
        <v>33</v>
      </c>
      <c r="D210" t="s">
        <v>27</v>
      </c>
      <c r="E210" t="s">
        <v>14</v>
      </c>
      <c r="F210">
        <v>168</v>
      </c>
      <c r="G210">
        <v>42</v>
      </c>
      <c r="H210">
        <v>0.12</v>
      </c>
      <c r="I210" t="s">
        <v>15</v>
      </c>
      <c r="J210">
        <v>49</v>
      </c>
      <c r="K210">
        <v>0</v>
      </c>
      <c r="L210">
        <v>0</v>
      </c>
      <c r="M210">
        <f>VLOOKUP(Table1[[#This Row],[subscription_type]],Plans!$A$1:$B$5,2,FALSE)</f>
        <v>0</v>
      </c>
      <c r="N210">
        <f t="shared" si="3"/>
        <v>0</v>
      </c>
    </row>
    <row r="211" spans="1:14" x14ac:dyDescent="0.35">
      <c r="A211">
        <v>210</v>
      </c>
      <c r="B211" t="s">
        <v>16</v>
      </c>
      <c r="C211">
        <v>20</v>
      </c>
      <c r="D211" t="s">
        <v>27</v>
      </c>
      <c r="E211" t="s">
        <v>24</v>
      </c>
      <c r="F211">
        <v>251</v>
      </c>
      <c r="G211">
        <v>79</v>
      </c>
      <c r="H211">
        <v>0.37</v>
      </c>
      <c r="I211" t="s">
        <v>19</v>
      </c>
      <c r="J211">
        <v>0</v>
      </c>
      <c r="K211">
        <v>1</v>
      </c>
      <c r="L211">
        <v>0</v>
      </c>
      <c r="M211">
        <f>VLOOKUP(Table1[[#This Row],[subscription_type]],Plans!$A$1:$B$5,2,FALSE)</f>
        <v>4.99</v>
      </c>
      <c r="N211">
        <f t="shared" si="3"/>
        <v>0</v>
      </c>
    </row>
    <row r="212" spans="1:14" x14ac:dyDescent="0.35">
      <c r="A212">
        <v>211</v>
      </c>
      <c r="B212" t="s">
        <v>16</v>
      </c>
      <c r="C212">
        <v>42</v>
      </c>
      <c r="D212" t="s">
        <v>27</v>
      </c>
      <c r="E212" t="s">
        <v>14</v>
      </c>
      <c r="F212">
        <v>222</v>
      </c>
      <c r="G212">
        <v>95</v>
      </c>
      <c r="H212">
        <v>0.04</v>
      </c>
      <c r="I212" t="s">
        <v>15</v>
      </c>
      <c r="J212">
        <v>29</v>
      </c>
      <c r="K212">
        <v>0</v>
      </c>
      <c r="L212">
        <v>0</v>
      </c>
      <c r="M212">
        <f>VLOOKUP(Table1[[#This Row],[subscription_type]],Plans!$A$1:$B$5,2,FALSE)</f>
        <v>0</v>
      </c>
      <c r="N212">
        <f t="shared" si="3"/>
        <v>0</v>
      </c>
    </row>
    <row r="213" spans="1:14" x14ac:dyDescent="0.35">
      <c r="A213">
        <v>212</v>
      </c>
      <c r="B213" t="s">
        <v>12</v>
      </c>
      <c r="C213">
        <v>16</v>
      </c>
      <c r="D213" t="s">
        <v>17</v>
      </c>
      <c r="E213" t="s">
        <v>14</v>
      </c>
      <c r="F213">
        <v>74</v>
      </c>
      <c r="G213">
        <v>33</v>
      </c>
      <c r="H213">
        <v>0.12</v>
      </c>
      <c r="I213" t="s">
        <v>23</v>
      </c>
      <c r="J213">
        <v>13</v>
      </c>
      <c r="K213">
        <v>0</v>
      </c>
      <c r="L213">
        <v>0</v>
      </c>
      <c r="M213">
        <f>VLOOKUP(Table1[[#This Row],[subscription_type]],Plans!$A$1:$B$5,2,FALSE)</f>
        <v>0</v>
      </c>
      <c r="N213">
        <f t="shared" si="3"/>
        <v>0</v>
      </c>
    </row>
    <row r="214" spans="1:14" x14ac:dyDescent="0.35">
      <c r="A214">
        <v>213</v>
      </c>
      <c r="B214" t="s">
        <v>20</v>
      </c>
      <c r="C214">
        <v>37</v>
      </c>
      <c r="D214" t="s">
        <v>13</v>
      </c>
      <c r="E214" t="s">
        <v>22</v>
      </c>
      <c r="F214">
        <v>139</v>
      </c>
      <c r="G214">
        <v>71</v>
      </c>
      <c r="H214">
        <v>0.16</v>
      </c>
      <c r="I214" t="s">
        <v>15</v>
      </c>
      <c r="J214">
        <v>0</v>
      </c>
      <c r="K214">
        <v>1</v>
      </c>
      <c r="L214">
        <v>0</v>
      </c>
      <c r="M214">
        <f>VLOOKUP(Table1[[#This Row],[subscription_type]],Plans!$A$1:$B$5,2,FALSE)</f>
        <v>9.99</v>
      </c>
      <c r="N214">
        <f t="shared" si="3"/>
        <v>0</v>
      </c>
    </row>
    <row r="215" spans="1:14" x14ac:dyDescent="0.35">
      <c r="A215">
        <v>214</v>
      </c>
      <c r="B215" t="s">
        <v>12</v>
      </c>
      <c r="C215">
        <v>26</v>
      </c>
      <c r="D215" t="s">
        <v>28</v>
      </c>
      <c r="E215" t="s">
        <v>14</v>
      </c>
      <c r="F215">
        <v>160</v>
      </c>
      <c r="G215">
        <v>23</v>
      </c>
      <c r="H215">
        <v>0.06</v>
      </c>
      <c r="I215" t="s">
        <v>19</v>
      </c>
      <c r="J215">
        <v>45</v>
      </c>
      <c r="K215">
        <v>0</v>
      </c>
      <c r="L215">
        <v>0</v>
      </c>
      <c r="M215">
        <f>VLOOKUP(Table1[[#This Row],[subscription_type]],Plans!$A$1:$B$5,2,FALSE)</f>
        <v>0</v>
      </c>
      <c r="N215">
        <f t="shared" si="3"/>
        <v>0</v>
      </c>
    </row>
    <row r="216" spans="1:14" x14ac:dyDescent="0.35">
      <c r="A216">
        <v>215</v>
      </c>
      <c r="B216" t="s">
        <v>16</v>
      </c>
      <c r="C216">
        <v>46</v>
      </c>
      <c r="D216" t="s">
        <v>25</v>
      </c>
      <c r="E216" t="s">
        <v>22</v>
      </c>
      <c r="F216">
        <v>37</v>
      </c>
      <c r="G216">
        <v>94</v>
      </c>
      <c r="H216">
        <v>0.37</v>
      </c>
      <c r="I216" t="s">
        <v>19</v>
      </c>
      <c r="J216">
        <v>0</v>
      </c>
      <c r="K216">
        <v>1</v>
      </c>
      <c r="L216">
        <v>0</v>
      </c>
      <c r="M216">
        <f>VLOOKUP(Table1[[#This Row],[subscription_type]],Plans!$A$1:$B$5,2,FALSE)</f>
        <v>9.99</v>
      </c>
      <c r="N216">
        <f t="shared" si="3"/>
        <v>0</v>
      </c>
    </row>
    <row r="217" spans="1:14" x14ac:dyDescent="0.35">
      <c r="A217">
        <v>216</v>
      </c>
      <c r="B217" t="s">
        <v>20</v>
      </c>
      <c r="C217">
        <v>36</v>
      </c>
      <c r="D217" t="s">
        <v>25</v>
      </c>
      <c r="E217" t="s">
        <v>18</v>
      </c>
      <c r="F217">
        <v>199</v>
      </c>
      <c r="G217">
        <v>4</v>
      </c>
      <c r="H217">
        <v>0.12</v>
      </c>
      <c r="I217" t="s">
        <v>15</v>
      </c>
      <c r="J217">
        <v>0</v>
      </c>
      <c r="K217">
        <v>1</v>
      </c>
      <c r="L217">
        <v>0</v>
      </c>
      <c r="M217">
        <f>VLOOKUP(Table1[[#This Row],[subscription_type]],Plans!$A$1:$B$5,2,FALSE)</f>
        <v>14.99</v>
      </c>
      <c r="N217">
        <f t="shared" si="3"/>
        <v>0</v>
      </c>
    </row>
    <row r="218" spans="1:14" x14ac:dyDescent="0.35">
      <c r="A218">
        <v>217</v>
      </c>
      <c r="B218" t="s">
        <v>16</v>
      </c>
      <c r="C218">
        <v>32</v>
      </c>
      <c r="D218" t="s">
        <v>28</v>
      </c>
      <c r="E218" t="s">
        <v>14</v>
      </c>
      <c r="F218">
        <v>204</v>
      </c>
      <c r="G218">
        <v>87</v>
      </c>
      <c r="H218">
        <v>0.42</v>
      </c>
      <c r="I218" t="s">
        <v>15</v>
      </c>
      <c r="J218">
        <v>14</v>
      </c>
      <c r="K218">
        <v>0</v>
      </c>
      <c r="L218">
        <v>0</v>
      </c>
      <c r="M218">
        <f>VLOOKUP(Table1[[#This Row],[subscription_type]],Plans!$A$1:$B$5,2,FALSE)</f>
        <v>0</v>
      </c>
      <c r="N218">
        <f t="shared" si="3"/>
        <v>0</v>
      </c>
    </row>
    <row r="219" spans="1:14" x14ac:dyDescent="0.35">
      <c r="A219">
        <v>218</v>
      </c>
      <c r="B219" t="s">
        <v>16</v>
      </c>
      <c r="C219">
        <v>18</v>
      </c>
      <c r="D219" t="s">
        <v>27</v>
      </c>
      <c r="E219" t="s">
        <v>18</v>
      </c>
      <c r="F219">
        <v>181</v>
      </c>
      <c r="G219">
        <v>67</v>
      </c>
      <c r="H219">
        <v>0.56000000000000005</v>
      </c>
      <c r="I219" t="s">
        <v>15</v>
      </c>
      <c r="J219">
        <v>0</v>
      </c>
      <c r="K219">
        <v>1</v>
      </c>
      <c r="L219">
        <v>1</v>
      </c>
      <c r="M219">
        <f>VLOOKUP(Table1[[#This Row],[subscription_type]],Plans!$A$1:$B$5,2,FALSE)</f>
        <v>14.99</v>
      </c>
      <c r="N219">
        <f t="shared" si="3"/>
        <v>14.99</v>
      </c>
    </row>
    <row r="220" spans="1:14" x14ac:dyDescent="0.35">
      <c r="A220">
        <v>219</v>
      </c>
      <c r="B220" t="s">
        <v>16</v>
      </c>
      <c r="C220">
        <v>20</v>
      </c>
      <c r="D220" t="s">
        <v>17</v>
      </c>
      <c r="E220" t="s">
        <v>22</v>
      </c>
      <c r="F220">
        <v>269</v>
      </c>
      <c r="G220">
        <v>4</v>
      </c>
      <c r="H220">
        <v>0.31</v>
      </c>
      <c r="I220" t="s">
        <v>19</v>
      </c>
      <c r="J220">
        <v>0</v>
      </c>
      <c r="K220">
        <v>1</v>
      </c>
      <c r="L220">
        <v>0</v>
      </c>
      <c r="M220">
        <f>VLOOKUP(Table1[[#This Row],[subscription_type]],Plans!$A$1:$B$5,2,FALSE)</f>
        <v>9.99</v>
      </c>
      <c r="N220">
        <f t="shared" si="3"/>
        <v>0</v>
      </c>
    </row>
    <row r="221" spans="1:14" x14ac:dyDescent="0.35">
      <c r="A221">
        <v>220</v>
      </c>
      <c r="B221" t="s">
        <v>12</v>
      </c>
      <c r="C221">
        <v>19</v>
      </c>
      <c r="D221" t="s">
        <v>27</v>
      </c>
      <c r="E221" t="s">
        <v>14</v>
      </c>
      <c r="F221">
        <v>245</v>
      </c>
      <c r="G221">
        <v>9</v>
      </c>
      <c r="H221">
        <v>7.0000000000000007E-2</v>
      </c>
      <c r="I221" t="s">
        <v>23</v>
      </c>
      <c r="J221">
        <v>42</v>
      </c>
      <c r="K221">
        <v>0</v>
      </c>
      <c r="L221">
        <v>0</v>
      </c>
      <c r="M221">
        <f>VLOOKUP(Table1[[#This Row],[subscription_type]],Plans!$A$1:$B$5,2,FALSE)</f>
        <v>0</v>
      </c>
      <c r="N221">
        <f t="shared" si="3"/>
        <v>0</v>
      </c>
    </row>
    <row r="222" spans="1:14" x14ac:dyDescent="0.35">
      <c r="A222">
        <v>221</v>
      </c>
      <c r="B222" t="s">
        <v>16</v>
      </c>
      <c r="C222">
        <v>34</v>
      </c>
      <c r="D222" t="s">
        <v>13</v>
      </c>
      <c r="E222" t="s">
        <v>24</v>
      </c>
      <c r="F222">
        <v>50</v>
      </c>
      <c r="G222">
        <v>54</v>
      </c>
      <c r="H222">
        <v>0.59</v>
      </c>
      <c r="I222" t="s">
        <v>19</v>
      </c>
      <c r="J222">
        <v>0</v>
      </c>
      <c r="K222">
        <v>1</v>
      </c>
      <c r="L222">
        <v>0</v>
      </c>
      <c r="M222">
        <f>VLOOKUP(Table1[[#This Row],[subscription_type]],Plans!$A$1:$B$5,2,FALSE)</f>
        <v>4.99</v>
      </c>
      <c r="N222">
        <f t="shared" si="3"/>
        <v>0</v>
      </c>
    </row>
    <row r="223" spans="1:14" x14ac:dyDescent="0.35">
      <c r="A223">
        <v>222</v>
      </c>
      <c r="B223" t="s">
        <v>16</v>
      </c>
      <c r="C223">
        <v>50</v>
      </c>
      <c r="D223" t="s">
        <v>17</v>
      </c>
      <c r="E223" t="s">
        <v>24</v>
      </c>
      <c r="F223">
        <v>272</v>
      </c>
      <c r="G223">
        <v>46</v>
      </c>
      <c r="H223">
        <v>0.12</v>
      </c>
      <c r="I223" t="s">
        <v>19</v>
      </c>
      <c r="J223">
        <v>0</v>
      </c>
      <c r="K223">
        <v>1</v>
      </c>
      <c r="L223">
        <v>0</v>
      </c>
      <c r="M223">
        <f>VLOOKUP(Table1[[#This Row],[subscription_type]],Plans!$A$1:$B$5,2,FALSE)</f>
        <v>4.99</v>
      </c>
      <c r="N223">
        <f t="shared" si="3"/>
        <v>0</v>
      </c>
    </row>
    <row r="224" spans="1:14" x14ac:dyDescent="0.35">
      <c r="A224">
        <v>223</v>
      </c>
      <c r="B224" t="s">
        <v>16</v>
      </c>
      <c r="C224">
        <v>36</v>
      </c>
      <c r="D224" t="s">
        <v>28</v>
      </c>
      <c r="E224" t="s">
        <v>18</v>
      </c>
      <c r="F224">
        <v>271</v>
      </c>
      <c r="G224">
        <v>26</v>
      </c>
      <c r="H224">
        <v>0.5</v>
      </c>
      <c r="I224" t="s">
        <v>19</v>
      </c>
      <c r="J224">
        <v>0</v>
      </c>
      <c r="K224">
        <v>1</v>
      </c>
      <c r="L224">
        <v>0</v>
      </c>
      <c r="M224">
        <f>VLOOKUP(Table1[[#This Row],[subscription_type]],Plans!$A$1:$B$5,2,FALSE)</f>
        <v>14.99</v>
      </c>
      <c r="N224">
        <f t="shared" si="3"/>
        <v>0</v>
      </c>
    </row>
    <row r="225" spans="1:14" x14ac:dyDescent="0.35">
      <c r="A225">
        <v>224</v>
      </c>
      <c r="B225" t="s">
        <v>16</v>
      </c>
      <c r="C225">
        <v>53</v>
      </c>
      <c r="D225" t="s">
        <v>17</v>
      </c>
      <c r="E225" t="s">
        <v>24</v>
      </c>
      <c r="F225">
        <v>252</v>
      </c>
      <c r="G225">
        <v>68</v>
      </c>
      <c r="H225">
        <v>0.04</v>
      </c>
      <c r="I225" t="s">
        <v>19</v>
      </c>
      <c r="J225">
        <v>0</v>
      </c>
      <c r="K225">
        <v>1</v>
      </c>
      <c r="L225">
        <v>1</v>
      </c>
      <c r="M225">
        <f>VLOOKUP(Table1[[#This Row],[subscription_type]],Plans!$A$1:$B$5,2,FALSE)</f>
        <v>4.99</v>
      </c>
      <c r="N225">
        <f t="shared" si="3"/>
        <v>4.99</v>
      </c>
    </row>
    <row r="226" spans="1:14" x14ac:dyDescent="0.35">
      <c r="A226">
        <v>225</v>
      </c>
      <c r="B226" t="s">
        <v>12</v>
      </c>
      <c r="C226">
        <v>31</v>
      </c>
      <c r="D226" t="s">
        <v>29</v>
      </c>
      <c r="E226" t="s">
        <v>24</v>
      </c>
      <c r="F226">
        <v>155</v>
      </c>
      <c r="G226">
        <v>2</v>
      </c>
      <c r="H226">
        <v>0.36</v>
      </c>
      <c r="I226" t="s">
        <v>15</v>
      </c>
      <c r="J226">
        <v>0</v>
      </c>
      <c r="K226">
        <v>1</v>
      </c>
      <c r="L226">
        <v>1</v>
      </c>
      <c r="M226">
        <f>VLOOKUP(Table1[[#This Row],[subscription_type]],Plans!$A$1:$B$5,2,FALSE)</f>
        <v>4.99</v>
      </c>
      <c r="N226">
        <f t="shared" si="3"/>
        <v>4.99</v>
      </c>
    </row>
    <row r="227" spans="1:14" x14ac:dyDescent="0.35">
      <c r="A227">
        <v>226</v>
      </c>
      <c r="B227" t="s">
        <v>12</v>
      </c>
      <c r="C227">
        <v>40</v>
      </c>
      <c r="D227" t="s">
        <v>28</v>
      </c>
      <c r="E227" t="s">
        <v>14</v>
      </c>
      <c r="F227">
        <v>66</v>
      </c>
      <c r="G227">
        <v>80</v>
      </c>
      <c r="H227">
        <v>0.02</v>
      </c>
      <c r="I227" t="s">
        <v>23</v>
      </c>
      <c r="J227">
        <v>48</v>
      </c>
      <c r="K227">
        <v>0</v>
      </c>
      <c r="L227">
        <v>1</v>
      </c>
      <c r="M227">
        <f>VLOOKUP(Table1[[#This Row],[subscription_type]],Plans!$A$1:$B$5,2,FALSE)</f>
        <v>0</v>
      </c>
      <c r="N227">
        <f t="shared" si="3"/>
        <v>0</v>
      </c>
    </row>
    <row r="228" spans="1:14" x14ac:dyDescent="0.35">
      <c r="A228">
        <v>227</v>
      </c>
      <c r="B228" t="s">
        <v>12</v>
      </c>
      <c r="C228">
        <v>41</v>
      </c>
      <c r="D228" t="s">
        <v>13</v>
      </c>
      <c r="E228" t="s">
        <v>24</v>
      </c>
      <c r="F228">
        <v>51</v>
      </c>
      <c r="G228">
        <v>26</v>
      </c>
      <c r="H228">
        <v>0.19</v>
      </c>
      <c r="I228" t="s">
        <v>19</v>
      </c>
      <c r="J228">
        <v>0</v>
      </c>
      <c r="K228">
        <v>1</v>
      </c>
      <c r="L228">
        <v>0</v>
      </c>
      <c r="M228">
        <f>VLOOKUP(Table1[[#This Row],[subscription_type]],Plans!$A$1:$B$5,2,FALSE)</f>
        <v>4.99</v>
      </c>
      <c r="N228">
        <f t="shared" si="3"/>
        <v>0</v>
      </c>
    </row>
    <row r="229" spans="1:14" x14ac:dyDescent="0.35">
      <c r="A229">
        <v>228</v>
      </c>
      <c r="B229" t="s">
        <v>20</v>
      </c>
      <c r="C229">
        <v>27</v>
      </c>
      <c r="D229" t="s">
        <v>26</v>
      </c>
      <c r="E229" t="s">
        <v>14</v>
      </c>
      <c r="F229">
        <v>174</v>
      </c>
      <c r="G229">
        <v>6</v>
      </c>
      <c r="H229">
        <v>0.54</v>
      </c>
      <c r="I229" t="s">
        <v>23</v>
      </c>
      <c r="J229">
        <v>7</v>
      </c>
      <c r="K229">
        <v>0</v>
      </c>
      <c r="L229">
        <v>0</v>
      </c>
      <c r="M229">
        <f>VLOOKUP(Table1[[#This Row],[subscription_type]],Plans!$A$1:$B$5,2,FALSE)</f>
        <v>0</v>
      </c>
      <c r="N229">
        <f t="shared" si="3"/>
        <v>0</v>
      </c>
    </row>
    <row r="230" spans="1:14" x14ac:dyDescent="0.35">
      <c r="A230">
        <v>229</v>
      </c>
      <c r="B230" t="s">
        <v>16</v>
      </c>
      <c r="C230">
        <v>52</v>
      </c>
      <c r="D230" t="s">
        <v>17</v>
      </c>
      <c r="E230" t="s">
        <v>24</v>
      </c>
      <c r="F230">
        <v>165</v>
      </c>
      <c r="G230">
        <v>20</v>
      </c>
      <c r="H230">
        <v>0.01</v>
      </c>
      <c r="I230" t="s">
        <v>15</v>
      </c>
      <c r="J230">
        <v>0</v>
      </c>
      <c r="K230">
        <v>1</v>
      </c>
      <c r="L230">
        <v>1</v>
      </c>
      <c r="M230">
        <f>VLOOKUP(Table1[[#This Row],[subscription_type]],Plans!$A$1:$B$5,2,FALSE)</f>
        <v>4.99</v>
      </c>
      <c r="N230">
        <f t="shared" si="3"/>
        <v>4.99</v>
      </c>
    </row>
    <row r="231" spans="1:14" x14ac:dyDescent="0.35">
      <c r="A231">
        <v>230</v>
      </c>
      <c r="B231" t="s">
        <v>16</v>
      </c>
      <c r="C231">
        <v>49</v>
      </c>
      <c r="D231" t="s">
        <v>21</v>
      </c>
      <c r="E231" t="s">
        <v>22</v>
      </c>
      <c r="F231">
        <v>73</v>
      </c>
      <c r="G231">
        <v>39</v>
      </c>
      <c r="H231">
        <v>0.11</v>
      </c>
      <c r="I231" t="s">
        <v>23</v>
      </c>
      <c r="J231">
        <v>0</v>
      </c>
      <c r="K231">
        <v>1</v>
      </c>
      <c r="L231">
        <v>0</v>
      </c>
      <c r="M231">
        <f>VLOOKUP(Table1[[#This Row],[subscription_type]],Plans!$A$1:$B$5,2,FALSE)</f>
        <v>9.99</v>
      </c>
      <c r="N231">
        <f t="shared" si="3"/>
        <v>0</v>
      </c>
    </row>
    <row r="232" spans="1:14" x14ac:dyDescent="0.35">
      <c r="A232">
        <v>231</v>
      </c>
      <c r="B232" t="s">
        <v>20</v>
      </c>
      <c r="C232">
        <v>51</v>
      </c>
      <c r="D232" t="s">
        <v>17</v>
      </c>
      <c r="E232" t="s">
        <v>24</v>
      </c>
      <c r="F232">
        <v>10</v>
      </c>
      <c r="G232">
        <v>11</v>
      </c>
      <c r="H232">
        <v>0.09</v>
      </c>
      <c r="I232" t="s">
        <v>19</v>
      </c>
      <c r="J232">
        <v>0</v>
      </c>
      <c r="K232">
        <v>1</v>
      </c>
      <c r="L232">
        <v>0</v>
      </c>
      <c r="M232">
        <f>VLOOKUP(Table1[[#This Row],[subscription_type]],Plans!$A$1:$B$5,2,FALSE)</f>
        <v>4.99</v>
      </c>
      <c r="N232">
        <f t="shared" si="3"/>
        <v>0</v>
      </c>
    </row>
    <row r="233" spans="1:14" x14ac:dyDescent="0.35">
      <c r="A233">
        <v>232</v>
      </c>
      <c r="B233" t="s">
        <v>12</v>
      </c>
      <c r="C233">
        <v>19</v>
      </c>
      <c r="D233" t="s">
        <v>28</v>
      </c>
      <c r="E233" t="s">
        <v>22</v>
      </c>
      <c r="F233">
        <v>279</v>
      </c>
      <c r="G233">
        <v>26</v>
      </c>
      <c r="H233">
        <v>0.03</v>
      </c>
      <c r="I233" t="s">
        <v>19</v>
      </c>
      <c r="J233">
        <v>0</v>
      </c>
      <c r="K233">
        <v>1</v>
      </c>
      <c r="L233">
        <v>0</v>
      </c>
      <c r="M233">
        <f>VLOOKUP(Table1[[#This Row],[subscription_type]],Plans!$A$1:$B$5,2,FALSE)</f>
        <v>9.99</v>
      </c>
      <c r="N233">
        <f t="shared" si="3"/>
        <v>0</v>
      </c>
    </row>
    <row r="234" spans="1:14" x14ac:dyDescent="0.35">
      <c r="A234">
        <v>233</v>
      </c>
      <c r="B234" t="s">
        <v>20</v>
      </c>
      <c r="C234">
        <v>41</v>
      </c>
      <c r="D234" t="s">
        <v>26</v>
      </c>
      <c r="E234" t="s">
        <v>14</v>
      </c>
      <c r="F234">
        <v>222</v>
      </c>
      <c r="G234">
        <v>4</v>
      </c>
      <c r="H234">
        <v>0.06</v>
      </c>
      <c r="I234" t="s">
        <v>23</v>
      </c>
      <c r="J234">
        <v>26</v>
      </c>
      <c r="K234">
        <v>0</v>
      </c>
      <c r="L234">
        <v>1</v>
      </c>
      <c r="M234">
        <f>VLOOKUP(Table1[[#This Row],[subscription_type]],Plans!$A$1:$B$5,2,FALSE)</f>
        <v>0</v>
      </c>
      <c r="N234">
        <f t="shared" si="3"/>
        <v>0</v>
      </c>
    </row>
    <row r="235" spans="1:14" x14ac:dyDescent="0.35">
      <c r="A235">
        <v>234</v>
      </c>
      <c r="B235" t="s">
        <v>20</v>
      </c>
      <c r="C235">
        <v>49</v>
      </c>
      <c r="D235" t="s">
        <v>17</v>
      </c>
      <c r="E235" t="s">
        <v>22</v>
      </c>
      <c r="F235">
        <v>39</v>
      </c>
      <c r="G235">
        <v>6</v>
      </c>
      <c r="H235">
        <v>0.54</v>
      </c>
      <c r="I235" t="s">
        <v>19</v>
      </c>
      <c r="J235">
        <v>0</v>
      </c>
      <c r="K235">
        <v>1</v>
      </c>
      <c r="L235">
        <v>0</v>
      </c>
      <c r="M235">
        <f>VLOOKUP(Table1[[#This Row],[subscription_type]],Plans!$A$1:$B$5,2,FALSE)</f>
        <v>9.99</v>
      </c>
      <c r="N235">
        <f t="shared" si="3"/>
        <v>0</v>
      </c>
    </row>
    <row r="236" spans="1:14" x14ac:dyDescent="0.35">
      <c r="A236">
        <v>235</v>
      </c>
      <c r="B236" t="s">
        <v>20</v>
      </c>
      <c r="C236">
        <v>17</v>
      </c>
      <c r="D236" t="s">
        <v>28</v>
      </c>
      <c r="E236" t="s">
        <v>22</v>
      </c>
      <c r="F236">
        <v>40</v>
      </c>
      <c r="G236">
        <v>97</v>
      </c>
      <c r="H236">
        <v>0.08</v>
      </c>
      <c r="I236" t="s">
        <v>23</v>
      </c>
      <c r="J236">
        <v>0</v>
      </c>
      <c r="K236">
        <v>1</v>
      </c>
      <c r="L236">
        <v>1</v>
      </c>
      <c r="M236">
        <f>VLOOKUP(Table1[[#This Row],[subscription_type]],Plans!$A$1:$B$5,2,FALSE)</f>
        <v>9.99</v>
      </c>
      <c r="N236">
        <f t="shared" si="3"/>
        <v>9.99</v>
      </c>
    </row>
    <row r="237" spans="1:14" x14ac:dyDescent="0.35">
      <c r="A237">
        <v>236</v>
      </c>
      <c r="B237" t="s">
        <v>12</v>
      </c>
      <c r="C237">
        <v>22</v>
      </c>
      <c r="D237" t="s">
        <v>26</v>
      </c>
      <c r="E237" t="s">
        <v>22</v>
      </c>
      <c r="F237">
        <v>254</v>
      </c>
      <c r="G237">
        <v>86</v>
      </c>
      <c r="H237">
        <v>0.45</v>
      </c>
      <c r="I237" t="s">
        <v>15</v>
      </c>
      <c r="J237">
        <v>0</v>
      </c>
      <c r="K237">
        <v>1</v>
      </c>
      <c r="L237">
        <v>1</v>
      </c>
      <c r="M237">
        <f>VLOOKUP(Table1[[#This Row],[subscription_type]],Plans!$A$1:$B$5,2,FALSE)</f>
        <v>9.99</v>
      </c>
      <c r="N237">
        <f t="shared" si="3"/>
        <v>9.99</v>
      </c>
    </row>
    <row r="238" spans="1:14" x14ac:dyDescent="0.35">
      <c r="A238">
        <v>237</v>
      </c>
      <c r="B238" t="s">
        <v>20</v>
      </c>
      <c r="C238">
        <v>31</v>
      </c>
      <c r="D238" t="s">
        <v>26</v>
      </c>
      <c r="E238" t="s">
        <v>18</v>
      </c>
      <c r="F238">
        <v>227</v>
      </c>
      <c r="G238">
        <v>23</v>
      </c>
      <c r="H238">
        <v>0.55000000000000004</v>
      </c>
      <c r="I238" t="s">
        <v>23</v>
      </c>
      <c r="J238">
        <v>0</v>
      </c>
      <c r="K238">
        <v>1</v>
      </c>
      <c r="L238">
        <v>1</v>
      </c>
      <c r="M238">
        <f>VLOOKUP(Table1[[#This Row],[subscription_type]],Plans!$A$1:$B$5,2,FALSE)</f>
        <v>14.99</v>
      </c>
      <c r="N238">
        <f t="shared" si="3"/>
        <v>14.99</v>
      </c>
    </row>
    <row r="239" spans="1:14" x14ac:dyDescent="0.35">
      <c r="A239">
        <v>238</v>
      </c>
      <c r="B239" t="s">
        <v>12</v>
      </c>
      <c r="C239">
        <v>19</v>
      </c>
      <c r="D239" t="s">
        <v>28</v>
      </c>
      <c r="E239" t="s">
        <v>22</v>
      </c>
      <c r="F239">
        <v>244</v>
      </c>
      <c r="G239">
        <v>5</v>
      </c>
      <c r="H239">
        <v>0.34</v>
      </c>
      <c r="I239" t="s">
        <v>19</v>
      </c>
      <c r="J239">
        <v>0</v>
      </c>
      <c r="K239">
        <v>1</v>
      </c>
      <c r="L239">
        <v>0</v>
      </c>
      <c r="M239">
        <f>VLOOKUP(Table1[[#This Row],[subscription_type]],Plans!$A$1:$B$5,2,FALSE)</f>
        <v>9.99</v>
      </c>
      <c r="N239">
        <f t="shared" si="3"/>
        <v>0</v>
      </c>
    </row>
    <row r="240" spans="1:14" x14ac:dyDescent="0.35">
      <c r="A240">
        <v>239</v>
      </c>
      <c r="B240" t="s">
        <v>12</v>
      </c>
      <c r="C240">
        <v>37</v>
      </c>
      <c r="D240" t="s">
        <v>13</v>
      </c>
      <c r="E240" t="s">
        <v>14</v>
      </c>
      <c r="F240">
        <v>113</v>
      </c>
      <c r="G240">
        <v>85</v>
      </c>
      <c r="H240">
        <v>0.23</v>
      </c>
      <c r="I240" t="s">
        <v>23</v>
      </c>
      <c r="J240">
        <v>27</v>
      </c>
      <c r="K240">
        <v>0</v>
      </c>
      <c r="L240">
        <v>1</v>
      </c>
      <c r="M240">
        <f>VLOOKUP(Table1[[#This Row],[subscription_type]],Plans!$A$1:$B$5,2,FALSE)</f>
        <v>0</v>
      </c>
      <c r="N240">
        <f t="shared" si="3"/>
        <v>0</v>
      </c>
    </row>
    <row r="241" spans="1:14" x14ac:dyDescent="0.35">
      <c r="A241">
        <v>240</v>
      </c>
      <c r="B241" t="s">
        <v>12</v>
      </c>
      <c r="C241">
        <v>43</v>
      </c>
      <c r="D241" t="s">
        <v>26</v>
      </c>
      <c r="E241" t="s">
        <v>14</v>
      </c>
      <c r="F241">
        <v>218</v>
      </c>
      <c r="G241">
        <v>6</v>
      </c>
      <c r="H241">
        <v>0.01</v>
      </c>
      <c r="I241" t="s">
        <v>23</v>
      </c>
      <c r="J241">
        <v>15</v>
      </c>
      <c r="K241">
        <v>0</v>
      </c>
      <c r="L241">
        <v>1</v>
      </c>
      <c r="M241">
        <f>VLOOKUP(Table1[[#This Row],[subscription_type]],Plans!$A$1:$B$5,2,FALSE)</f>
        <v>0</v>
      </c>
      <c r="N241">
        <f t="shared" si="3"/>
        <v>0</v>
      </c>
    </row>
    <row r="242" spans="1:14" x14ac:dyDescent="0.35">
      <c r="A242">
        <v>241</v>
      </c>
      <c r="B242" t="s">
        <v>20</v>
      </c>
      <c r="C242">
        <v>29</v>
      </c>
      <c r="D242" t="s">
        <v>26</v>
      </c>
      <c r="E242" t="s">
        <v>14</v>
      </c>
      <c r="F242">
        <v>144</v>
      </c>
      <c r="G242">
        <v>94</v>
      </c>
      <c r="H242">
        <v>0.33</v>
      </c>
      <c r="I242" t="s">
        <v>15</v>
      </c>
      <c r="J242">
        <v>19</v>
      </c>
      <c r="K242">
        <v>0</v>
      </c>
      <c r="L242">
        <v>0</v>
      </c>
      <c r="M242">
        <f>VLOOKUP(Table1[[#This Row],[subscription_type]],Plans!$A$1:$B$5,2,FALSE)</f>
        <v>0</v>
      </c>
      <c r="N242">
        <f t="shared" si="3"/>
        <v>0</v>
      </c>
    </row>
    <row r="243" spans="1:14" x14ac:dyDescent="0.35">
      <c r="A243">
        <v>242</v>
      </c>
      <c r="B243" t="s">
        <v>12</v>
      </c>
      <c r="C243">
        <v>51</v>
      </c>
      <c r="D243" t="s">
        <v>13</v>
      </c>
      <c r="E243" t="s">
        <v>22</v>
      </c>
      <c r="F243">
        <v>143</v>
      </c>
      <c r="G243">
        <v>48</v>
      </c>
      <c r="H243">
        <v>0.09</v>
      </c>
      <c r="I243" t="s">
        <v>19</v>
      </c>
      <c r="J243">
        <v>0</v>
      </c>
      <c r="K243">
        <v>1</v>
      </c>
      <c r="L243">
        <v>0</v>
      </c>
      <c r="M243">
        <f>VLOOKUP(Table1[[#This Row],[subscription_type]],Plans!$A$1:$B$5,2,FALSE)</f>
        <v>9.99</v>
      </c>
      <c r="N243">
        <f t="shared" si="3"/>
        <v>0</v>
      </c>
    </row>
    <row r="244" spans="1:14" x14ac:dyDescent="0.35">
      <c r="A244">
        <v>243</v>
      </c>
      <c r="B244" t="s">
        <v>20</v>
      </c>
      <c r="C244">
        <v>41</v>
      </c>
      <c r="D244" t="s">
        <v>13</v>
      </c>
      <c r="E244" t="s">
        <v>22</v>
      </c>
      <c r="F244">
        <v>110</v>
      </c>
      <c r="G244">
        <v>61</v>
      </c>
      <c r="H244">
        <v>0.44</v>
      </c>
      <c r="I244" t="s">
        <v>23</v>
      </c>
      <c r="J244">
        <v>0</v>
      </c>
      <c r="K244">
        <v>1</v>
      </c>
      <c r="L244">
        <v>0</v>
      </c>
      <c r="M244">
        <f>VLOOKUP(Table1[[#This Row],[subscription_type]],Plans!$A$1:$B$5,2,FALSE)</f>
        <v>9.99</v>
      </c>
      <c r="N244">
        <f t="shared" si="3"/>
        <v>0</v>
      </c>
    </row>
    <row r="245" spans="1:14" x14ac:dyDescent="0.35">
      <c r="A245">
        <v>244</v>
      </c>
      <c r="B245" t="s">
        <v>16</v>
      </c>
      <c r="C245">
        <v>24</v>
      </c>
      <c r="D245" t="s">
        <v>28</v>
      </c>
      <c r="E245" t="s">
        <v>18</v>
      </c>
      <c r="F245">
        <v>283</v>
      </c>
      <c r="G245">
        <v>90</v>
      </c>
      <c r="H245">
        <v>0.53</v>
      </c>
      <c r="I245" t="s">
        <v>19</v>
      </c>
      <c r="J245">
        <v>0</v>
      </c>
      <c r="K245">
        <v>1</v>
      </c>
      <c r="L245">
        <v>0</v>
      </c>
      <c r="M245">
        <f>VLOOKUP(Table1[[#This Row],[subscription_type]],Plans!$A$1:$B$5,2,FALSE)</f>
        <v>14.99</v>
      </c>
      <c r="N245">
        <f t="shared" si="3"/>
        <v>0</v>
      </c>
    </row>
    <row r="246" spans="1:14" x14ac:dyDescent="0.35">
      <c r="A246">
        <v>245</v>
      </c>
      <c r="B246" t="s">
        <v>16</v>
      </c>
      <c r="C246">
        <v>19</v>
      </c>
      <c r="D246" t="s">
        <v>29</v>
      </c>
      <c r="E246" t="s">
        <v>22</v>
      </c>
      <c r="F246">
        <v>276</v>
      </c>
      <c r="G246">
        <v>15</v>
      </c>
      <c r="H246">
        <v>0.28000000000000003</v>
      </c>
      <c r="I246" t="s">
        <v>23</v>
      </c>
      <c r="J246">
        <v>0</v>
      </c>
      <c r="K246">
        <v>1</v>
      </c>
      <c r="L246">
        <v>0</v>
      </c>
      <c r="M246">
        <f>VLOOKUP(Table1[[#This Row],[subscription_type]],Plans!$A$1:$B$5,2,FALSE)</f>
        <v>9.99</v>
      </c>
      <c r="N246">
        <f t="shared" si="3"/>
        <v>0</v>
      </c>
    </row>
    <row r="247" spans="1:14" x14ac:dyDescent="0.35">
      <c r="A247">
        <v>246</v>
      </c>
      <c r="B247" t="s">
        <v>20</v>
      </c>
      <c r="C247">
        <v>48</v>
      </c>
      <c r="D247" t="s">
        <v>27</v>
      </c>
      <c r="E247" t="s">
        <v>22</v>
      </c>
      <c r="F247">
        <v>178</v>
      </c>
      <c r="G247">
        <v>70</v>
      </c>
      <c r="H247">
        <v>0.28999999999999998</v>
      </c>
      <c r="I247" t="s">
        <v>15</v>
      </c>
      <c r="J247">
        <v>0</v>
      </c>
      <c r="K247">
        <v>1</v>
      </c>
      <c r="L247">
        <v>0</v>
      </c>
      <c r="M247">
        <f>VLOOKUP(Table1[[#This Row],[subscription_type]],Plans!$A$1:$B$5,2,FALSE)</f>
        <v>9.99</v>
      </c>
      <c r="N247">
        <f t="shared" si="3"/>
        <v>0</v>
      </c>
    </row>
    <row r="248" spans="1:14" x14ac:dyDescent="0.35">
      <c r="A248">
        <v>247</v>
      </c>
      <c r="B248" t="s">
        <v>16</v>
      </c>
      <c r="C248">
        <v>37</v>
      </c>
      <c r="D248" t="s">
        <v>25</v>
      </c>
      <c r="E248" t="s">
        <v>22</v>
      </c>
      <c r="F248">
        <v>114</v>
      </c>
      <c r="G248">
        <v>13</v>
      </c>
      <c r="H248">
        <v>0.49</v>
      </c>
      <c r="I248" t="s">
        <v>15</v>
      </c>
      <c r="J248">
        <v>0</v>
      </c>
      <c r="K248">
        <v>1</v>
      </c>
      <c r="L248">
        <v>0</v>
      </c>
      <c r="M248">
        <f>VLOOKUP(Table1[[#This Row],[subscription_type]],Plans!$A$1:$B$5,2,FALSE)</f>
        <v>9.99</v>
      </c>
      <c r="N248">
        <f t="shared" si="3"/>
        <v>0</v>
      </c>
    </row>
    <row r="249" spans="1:14" x14ac:dyDescent="0.35">
      <c r="A249">
        <v>248</v>
      </c>
      <c r="B249" t="s">
        <v>12</v>
      </c>
      <c r="C249">
        <v>59</v>
      </c>
      <c r="D249" t="s">
        <v>25</v>
      </c>
      <c r="E249" t="s">
        <v>14</v>
      </c>
      <c r="F249">
        <v>98</v>
      </c>
      <c r="G249">
        <v>24</v>
      </c>
      <c r="H249">
        <v>0.32</v>
      </c>
      <c r="I249" t="s">
        <v>23</v>
      </c>
      <c r="J249">
        <v>8</v>
      </c>
      <c r="K249">
        <v>0</v>
      </c>
      <c r="L249">
        <v>0</v>
      </c>
      <c r="M249">
        <f>VLOOKUP(Table1[[#This Row],[subscription_type]],Plans!$A$1:$B$5,2,FALSE)</f>
        <v>0</v>
      </c>
      <c r="N249">
        <f t="shared" si="3"/>
        <v>0</v>
      </c>
    </row>
    <row r="250" spans="1:14" x14ac:dyDescent="0.35">
      <c r="A250">
        <v>249</v>
      </c>
      <c r="B250" t="s">
        <v>12</v>
      </c>
      <c r="C250">
        <v>54</v>
      </c>
      <c r="D250" t="s">
        <v>27</v>
      </c>
      <c r="E250" t="s">
        <v>18</v>
      </c>
      <c r="F250">
        <v>49</v>
      </c>
      <c r="G250">
        <v>27</v>
      </c>
      <c r="H250">
        <v>0.28999999999999998</v>
      </c>
      <c r="I250" t="s">
        <v>23</v>
      </c>
      <c r="J250">
        <v>0</v>
      </c>
      <c r="K250">
        <v>1</v>
      </c>
      <c r="L250">
        <v>0</v>
      </c>
      <c r="M250">
        <f>VLOOKUP(Table1[[#This Row],[subscription_type]],Plans!$A$1:$B$5,2,FALSE)</f>
        <v>14.99</v>
      </c>
      <c r="N250">
        <f t="shared" si="3"/>
        <v>0</v>
      </c>
    </row>
    <row r="251" spans="1:14" x14ac:dyDescent="0.35">
      <c r="A251">
        <v>250</v>
      </c>
      <c r="B251" t="s">
        <v>12</v>
      </c>
      <c r="C251">
        <v>36</v>
      </c>
      <c r="D251" t="s">
        <v>21</v>
      </c>
      <c r="E251" t="s">
        <v>22</v>
      </c>
      <c r="F251">
        <v>28</v>
      </c>
      <c r="G251">
        <v>39</v>
      </c>
      <c r="H251">
        <v>0.27</v>
      </c>
      <c r="I251" t="s">
        <v>19</v>
      </c>
      <c r="J251">
        <v>0</v>
      </c>
      <c r="K251">
        <v>1</v>
      </c>
      <c r="L251">
        <v>0</v>
      </c>
      <c r="M251">
        <f>VLOOKUP(Table1[[#This Row],[subscription_type]],Plans!$A$1:$B$5,2,FALSE)</f>
        <v>9.99</v>
      </c>
      <c r="N251">
        <f t="shared" si="3"/>
        <v>0</v>
      </c>
    </row>
    <row r="252" spans="1:14" x14ac:dyDescent="0.35">
      <c r="A252">
        <v>251</v>
      </c>
      <c r="B252" t="s">
        <v>16</v>
      </c>
      <c r="C252">
        <v>58</v>
      </c>
      <c r="D252" t="s">
        <v>28</v>
      </c>
      <c r="E252" t="s">
        <v>22</v>
      </c>
      <c r="F252">
        <v>259</v>
      </c>
      <c r="G252">
        <v>67</v>
      </c>
      <c r="H252">
        <v>0.17</v>
      </c>
      <c r="I252" t="s">
        <v>23</v>
      </c>
      <c r="J252">
        <v>0</v>
      </c>
      <c r="K252">
        <v>1</v>
      </c>
      <c r="L252">
        <v>0</v>
      </c>
      <c r="M252">
        <f>VLOOKUP(Table1[[#This Row],[subscription_type]],Plans!$A$1:$B$5,2,FALSE)</f>
        <v>9.99</v>
      </c>
      <c r="N252">
        <f t="shared" si="3"/>
        <v>0</v>
      </c>
    </row>
    <row r="253" spans="1:14" x14ac:dyDescent="0.35">
      <c r="A253">
        <v>252</v>
      </c>
      <c r="B253" t="s">
        <v>16</v>
      </c>
      <c r="C253">
        <v>20</v>
      </c>
      <c r="D253" t="s">
        <v>13</v>
      </c>
      <c r="E253" t="s">
        <v>14</v>
      </c>
      <c r="F253">
        <v>279</v>
      </c>
      <c r="G253">
        <v>84</v>
      </c>
      <c r="H253">
        <v>0.43</v>
      </c>
      <c r="I253" t="s">
        <v>15</v>
      </c>
      <c r="J253">
        <v>24</v>
      </c>
      <c r="K253">
        <v>0</v>
      </c>
      <c r="L253">
        <v>0</v>
      </c>
      <c r="M253">
        <f>VLOOKUP(Table1[[#This Row],[subscription_type]],Plans!$A$1:$B$5,2,FALSE)</f>
        <v>0</v>
      </c>
      <c r="N253">
        <f t="shared" si="3"/>
        <v>0</v>
      </c>
    </row>
    <row r="254" spans="1:14" x14ac:dyDescent="0.35">
      <c r="A254">
        <v>253</v>
      </c>
      <c r="B254" t="s">
        <v>16</v>
      </c>
      <c r="C254">
        <v>18</v>
      </c>
      <c r="D254" t="s">
        <v>21</v>
      </c>
      <c r="E254" t="s">
        <v>22</v>
      </c>
      <c r="F254">
        <v>139</v>
      </c>
      <c r="G254">
        <v>58</v>
      </c>
      <c r="H254">
        <v>0.09</v>
      </c>
      <c r="I254" t="s">
        <v>19</v>
      </c>
      <c r="J254">
        <v>0</v>
      </c>
      <c r="K254">
        <v>1</v>
      </c>
      <c r="L254">
        <v>1</v>
      </c>
      <c r="M254">
        <f>VLOOKUP(Table1[[#This Row],[subscription_type]],Plans!$A$1:$B$5,2,FALSE)</f>
        <v>9.99</v>
      </c>
      <c r="N254">
        <f t="shared" si="3"/>
        <v>9.99</v>
      </c>
    </row>
    <row r="255" spans="1:14" x14ac:dyDescent="0.35">
      <c r="A255">
        <v>254</v>
      </c>
      <c r="B255" t="s">
        <v>12</v>
      </c>
      <c r="C255">
        <v>35</v>
      </c>
      <c r="D255" t="s">
        <v>17</v>
      </c>
      <c r="E255" t="s">
        <v>14</v>
      </c>
      <c r="F255">
        <v>53</v>
      </c>
      <c r="G255">
        <v>97</v>
      </c>
      <c r="H255">
        <v>0.45</v>
      </c>
      <c r="I255" t="s">
        <v>15</v>
      </c>
      <c r="J255">
        <v>29</v>
      </c>
      <c r="K255">
        <v>0</v>
      </c>
      <c r="L255">
        <v>0</v>
      </c>
      <c r="M255">
        <f>VLOOKUP(Table1[[#This Row],[subscription_type]],Plans!$A$1:$B$5,2,FALSE)</f>
        <v>0</v>
      </c>
      <c r="N255">
        <f t="shared" si="3"/>
        <v>0</v>
      </c>
    </row>
    <row r="256" spans="1:14" x14ac:dyDescent="0.35">
      <c r="A256">
        <v>255</v>
      </c>
      <c r="B256" t="s">
        <v>20</v>
      </c>
      <c r="C256">
        <v>57</v>
      </c>
      <c r="D256" t="s">
        <v>26</v>
      </c>
      <c r="E256" t="s">
        <v>18</v>
      </c>
      <c r="F256">
        <v>255</v>
      </c>
      <c r="G256">
        <v>82</v>
      </c>
      <c r="H256">
        <v>0.19</v>
      </c>
      <c r="I256" t="s">
        <v>23</v>
      </c>
      <c r="J256">
        <v>0</v>
      </c>
      <c r="K256">
        <v>1</v>
      </c>
      <c r="L256">
        <v>0</v>
      </c>
      <c r="M256">
        <f>VLOOKUP(Table1[[#This Row],[subscription_type]],Plans!$A$1:$B$5,2,FALSE)</f>
        <v>14.99</v>
      </c>
      <c r="N256">
        <f t="shared" si="3"/>
        <v>0</v>
      </c>
    </row>
    <row r="257" spans="1:14" x14ac:dyDescent="0.35">
      <c r="A257">
        <v>256</v>
      </c>
      <c r="B257" t="s">
        <v>16</v>
      </c>
      <c r="C257">
        <v>55</v>
      </c>
      <c r="D257" t="s">
        <v>13</v>
      </c>
      <c r="E257" t="s">
        <v>22</v>
      </c>
      <c r="F257">
        <v>259</v>
      </c>
      <c r="G257">
        <v>20</v>
      </c>
      <c r="H257">
        <v>0.01</v>
      </c>
      <c r="I257" t="s">
        <v>23</v>
      </c>
      <c r="J257">
        <v>0</v>
      </c>
      <c r="K257">
        <v>1</v>
      </c>
      <c r="L257">
        <v>0</v>
      </c>
      <c r="M257">
        <f>VLOOKUP(Table1[[#This Row],[subscription_type]],Plans!$A$1:$B$5,2,FALSE)</f>
        <v>9.99</v>
      </c>
      <c r="N257">
        <f t="shared" si="3"/>
        <v>0</v>
      </c>
    </row>
    <row r="258" spans="1:14" x14ac:dyDescent="0.35">
      <c r="A258">
        <v>257</v>
      </c>
      <c r="B258" t="s">
        <v>16</v>
      </c>
      <c r="C258">
        <v>53</v>
      </c>
      <c r="D258" t="s">
        <v>29</v>
      </c>
      <c r="E258" t="s">
        <v>14</v>
      </c>
      <c r="F258">
        <v>112</v>
      </c>
      <c r="G258">
        <v>33</v>
      </c>
      <c r="H258">
        <v>0.34</v>
      </c>
      <c r="I258" t="s">
        <v>23</v>
      </c>
      <c r="J258">
        <v>30</v>
      </c>
      <c r="K258">
        <v>0</v>
      </c>
      <c r="L258">
        <v>0</v>
      </c>
      <c r="M258">
        <f>VLOOKUP(Table1[[#This Row],[subscription_type]],Plans!$A$1:$B$5,2,FALSE)</f>
        <v>0</v>
      </c>
      <c r="N258">
        <f t="shared" ref="N258:N321" si="4">IF(L258=1, M258,0)</f>
        <v>0</v>
      </c>
    </row>
    <row r="259" spans="1:14" x14ac:dyDescent="0.35">
      <c r="A259">
        <v>258</v>
      </c>
      <c r="B259" t="s">
        <v>16</v>
      </c>
      <c r="C259">
        <v>22</v>
      </c>
      <c r="D259" t="s">
        <v>25</v>
      </c>
      <c r="E259" t="s">
        <v>22</v>
      </c>
      <c r="F259">
        <v>260</v>
      </c>
      <c r="G259">
        <v>75</v>
      </c>
      <c r="H259">
        <v>0.36</v>
      </c>
      <c r="I259" t="s">
        <v>19</v>
      </c>
      <c r="J259">
        <v>0</v>
      </c>
      <c r="K259">
        <v>1</v>
      </c>
      <c r="L259">
        <v>0</v>
      </c>
      <c r="M259">
        <f>VLOOKUP(Table1[[#This Row],[subscription_type]],Plans!$A$1:$B$5,2,FALSE)</f>
        <v>9.99</v>
      </c>
      <c r="N259">
        <f t="shared" si="4"/>
        <v>0</v>
      </c>
    </row>
    <row r="260" spans="1:14" x14ac:dyDescent="0.35">
      <c r="A260">
        <v>259</v>
      </c>
      <c r="B260" t="s">
        <v>16</v>
      </c>
      <c r="C260">
        <v>51</v>
      </c>
      <c r="D260" t="s">
        <v>27</v>
      </c>
      <c r="E260" t="s">
        <v>22</v>
      </c>
      <c r="F260">
        <v>91</v>
      </c>
      <c r="G260">
        <v>3</v>
      </c>
      <c r="H260">
        <v>0.49</v>
      </c>
      <c r="I260" t="s">
        <v>15</v>
      </c>
      <c r="J260">
        <v>0</v>
      </c>
      <c r="K260">
        <v>1</v>
      </c>
      <c r="L260">
        <v>0</v>
      </c>
      <c r="M260">
        <f>VLOOKUP(Table1[[#This Row],[subscription_type]],Plans!$A$1:$B$5,2,FALSE)</f>
        <v>9.99</v>
      </c>
      <c r="N260">
        <f t="shared" si="4"/>
        <v>0</v>
      </c>
    </row>
    <row r="261" spans="1:14" x14ac:dyDescent="0.35">
      <c r="A261">
        <v>260</v>
      </c>
      <c r="B261" t="s">
        <v>12</v>
      </c>
      <c r="C261">
        <v>43</v>
      </c>
      <c r="D261" t="s">
        <v>29</v>
      </c>
      <c r="E261" t="s">
        <v>14</v>
      </c>
      <c r="F261">
        <v>92</v>
      </c>
      <c r="G261">
        <v>18</v>
      </c>
      <c r="H261">
        <v>0.19</v>
      </c>
      <c r="I261" t="s">
        <v>23</v>
      </c>
      <c r="J261">
        <v>25</v>
      </c>
      <c r="K261">
        <v>0</v>
      </c>
      <c r="L261">
        <v>0</v>
      </c>
      <c r="M261">
        <f>VLOOKUP(Table1[[#This Row],[subscription_type]],Plans!$A$1:$B$5,2,FALSE)</f>
        <v>0</v>
      </c>
      <c r="N261">
        <f t="shared" si="4"/>
        <v>0</v>
      </c>
    </row>
    <row r="262" spans="1:14" x14ac:dyDescent="0.35">
      <c r="A262">
        <v>261</v>
      </c>
      <c r="B262" t="s">
        <v>16</v>
      </c>
      <c r="C262">
        <v>37</v>
      </c>
      <c r="D262" t="s">
        <v>21</v>
      </c>
      <c r="E262" t="s">
        <v>14</v>
      </c>
      <c r="F262">
        <v>140</v>
      </c>
      <c r="G262">
        <v>14</v>
      </c>
      <c r="H262">
        <v>0.02</v>
      </c>
      <c r="I262" t="s">
        <v>23</v>
      </c>
      <c r="J262">
        <v>31</v>
      </c>
      <c r="K262">
        <v>0</v>
      </c>
      <c r="L262">
        <v>0</v>
      </c>
      <c r="M262">
        <f>VLOOKUP(Table1[[#This Row],[subscription_type]],Plans!$A$1:$B$5,2,FALSE)</f>
        <v>0</v>
      </c>
      <c r="N262">
        <f t="shared" si="4"/>
        <v>0</v>
      </c>
    </row>
    <row r="263" spans="1:14" x14ac:dyDescent="0.35">
      <c r="A263">
        <v>262</v>
      </c>
      <c r="B263" t="s">
        <v>20</v>
      </c>
      <c r="C263">
        <v>29</v>
      </c>
      <c r="D263" t="s">
        <v>25</v>
      </c>
      <c r="E263" t="s">
        <v>22</v>
      </c>
      <c r="F263">
        <v>259</v>
      </c>
      <c r="G263">
        <v>28</v>
      </c>
      <c r="H263">
        <v>0.19</v>
      </c>
      <c r="I263" t="s">
        <v>15</v>
      </c>
      <c r="J263">
        <v>0</v>
      </c>
      <c r="K263">
        <v>1</v>
      </c>
      <c r="L263">
        <v>1</v>
      </c>
      <c r="M263">
        <f>VLOOKUP(Table1[[#This Row],[subscription_type]],Plans!$A$1:$B$5,2,FALSE)</f>
        <v>9.99</v>
      </c>
      <c r="N263">
        <f t="shared" si="4"/>
        <v>9.99</v>
      </c>
    </row>
    <row r="264" spans="1:14" x14ac:dyDescent="0.35">
      <c r="A264">
        <v>263</v>
      </c>
      <c r="B264" t="s">
        <v>20</v>
      </c>
      <c r="C264">
        <v>17</v>
      </c>
      <c r="D264" t="s">
        <v>26</v>
      </c>
      <c r="E264" t="s">
        <v>24</v>
      </c>
      <c r="F264">
        <v>119</v>
      </c>
      <c r="G264">
        <v>73</v>
      </c>
      <c r="H264">
        <v>0.22</v>
      </c>
      <c r="I264" t="s">
        <v>15</v>
      </c>
      <c r="J264">
        <v>0</v>
      </c>
      <c r="K264">
        <v>1</v>
      </c>
      <c r="L264">
        <v>0</v>
      </c>
      <c r="M264">
        <f>VLOOKUP(Table1[[#This Row],[subscription_type]],Plans!$A$1:$B$5,2,FALSE)</f>
        <v>4.99</v>
      </c>
      <c r="N264">
        <f t="shared" si="4"/>
        <v>0</v>
      </c>
    </row>
    <row r="265" spans="1:14" x14ac:dyDescent="0.35">
      <c r="A265">
        <v>264</v>
      </c>
      <c r="B265" t="s">
        <v>20</v>
      </c>
      <c r="C265">
        <v>36</v>
      </c>
      <c r="D265" t="s">
        <v>27</v>
      </c>
      <c r="E265" t="s">
        <v>24</v>
      </c>
      <c r="F265">
        <v>99</v>
      </c>
      <c r="G265">
        <v>92</v>
      </c>
      <c r="H265">
        <v>0.54</v>
      </c>
      <c r="I265" t="s">
        <v>19</v>
      </c>
      <c r="J265">
        <v>0</v>
      </c>
      <c r="K265">
        <v>1</v>
      </c>
      <c r="L265">
        <v>1</v>
      </c>
      <c r="M265">
        <f>VLOOKUP(Table1[[#This Row],[subscription_type]],Plans!$A$1:$B$5,2,FALSE)</f>
        <v>4.99</v>
      </c>
      <c r="N265">
        <f t="shared" si="4"/>
        <v>4.99</v>
      </c>
    </row>
    <row r="266" spans="1:14" x14ac:dyDescent="0.35">
      <c r="A266">
        <v>265</v>
      </c>
      <c r="B266" t="s">
        <v>20</v>
      </c>
      <c r="C266">
        <v>53</v>
      </c>
      <c r="D266" t="s">
        <v>21</v>
      </c>
      <c r="E266" t="s">
        <v>14</v>
      </c>
      <c r="F266">
        <v>265</v>
      </c>
      <c r="G266">
        <v>49</v>
      </c>
      <c r="H266">
        <v>0.2</v>
      </c>
      <c r="I266" t="s">
        <v>15</v>
      </c>
      <c r="J266">
        <v>41</v>
      </c>
      <c r="K266">
        <v>0</v>
      </c>
      <c r="L266">
        <v>1</v>
      </c>
      <c r="M266">
        <f>VLOOKUP(Table1[[#This Row],[subscription_type]],Plans!$A$1:$B$5,2,FALSE)</f>
        <v>0</v>
      </c>
      <c r="N266">
        <f t="shared" si="4"/>
        <v>0</v>
      </c>
    </row>
    <row r="267" spans="1:14" x14ac:dyDescent="0.35">
      <c r="A267">
        <v>266</v>
      </c>
      <c r="B267" t="s">
        <v>12</v>
      </c>
      <c r="C267">
        <v>54</v>
      </c>
      <c r="D267" t="s">
        <v>27</v>
      </c>
      <c r="E267" t="s">
        <v>22</v>
      </c>
      <c r="F267">
        <v>299</v>
      </c>
      <c r="G267">
        <v>93</v>
      </c>
      <c r="H267">
        <v>0.27</v>
      </c>
      <c r="I267" t="s">
        <v>23</v>
      </c>
      <c r="J267">
        <v>0</v>
      </c>
      <c r="K267">
        <v>1</v>
      </c>
      <c r="L267">
        <v>1</v>
      </c>
      <c r="M267">
        <f>VLOOKUP(Table1[[#This Row],[subscription_type]],Plans!$A$1:$B$5,2,FALSE)</f>
        <v>9.99</v>
      </c>
      <c r="N267">
        <f t="shared" si="4"/>
        <v>9.99</v>
      </c>
    </row>
    <row r="268" spans="1:14" x14ac:dyDescent="0.35">
      <c r="A268">
        <v>267</v>
      </c>
      <c r="B268" t="s">
        <v>12</v>
      </c>
      <c r="C268">
        <v>59</v>
      </c>
      <c r="D268" t="s">
        <v>21</v>
      </c>
      <c r="E268" t="s">
        <v>14</v>
      </c>
      <c r="F268">
        <v>255</v>
      </c>
      <c r="G268">
        <v>75</v>
      </c>
      <c r="H268">
        <v>0.56000000000000005</v>
      </c>
      <c r="I268" t="s">
        <v>19</v>
      </c>
      <c r="J268">
        <v>38</v>
      </c>
      <c r="K268">
        <v>0</v>
      </c>
      <c r="L268">
        <v>0</v>
      </c>
      <c r="M268">
        <f>VLOOKUP(Table1[[#This Row],[subscription_type]],Plans!$A$1:$B$5,2,FALSE)</f>
        <v>0</v>
      </c>
      <c r="N268">
        <f t="shared" si="4"/>
        <v>0</v>
      </c>
    </row>
    <row r="269" spans="1:14" x14ac:dyDescent="0.35">
      <c r="A269">
        <v>268</v>
      </c>
      <c r="B269" t="s">
        <v>16</v>
      </c>
      <c r="C269">
        <v>42</v>
      </c>
      <c r="D269" t="s">
        <v>17</v>
      </c>
      <c r="E269" t="s">
        <v>18</v>
      </c>
      <c r="F269">
        <v>157</v>
      </c>
      <c r="G269">
        <v>96</v>
      </c>
      <c r="H269">
        <v>0.48</v>
      </c>
      <c r="I269" t="s">
        <v>19</v>
      </c>
      <c r="J269">
        <v>0</v>
      </c>
      <c r="K269">
        <v>1</v>
      </c>
      <c r="L269">
        <v>1</v>
      </c>
      <c r="M269">
        <f>VLOOKUP(Table1[[#This Row],[subscription_type]],Plans!$A$1:$B$5,2,FALSE)</f>
        <v>14.99</v>
      </c>
      <c r="N269">
        <f t="shared" si="4"/>
        <v>14.99</v>
      </c>
    </row>
    <row r="270" spans="1:14" x14ac:dyDescent="0.35">
      <c r="A270">
        <v>269</v>
      </c>
      <c r="B270" t="s">
        <v>16</v>
      </c>
      <c r="C270">
        <v>36</v>
      </c>
      <c r="D270" t="s">
        <v>21</v>
      </c>
      <c r="E270" t="s">
        <v>18</v>
      </c>
      <c r="F270">
        <v>176</v>
      </c>
      <c r="G270">
        <v>15</v>
      </c>
      <c r="H270">
        <v>0.11</v>
      </c>
      <c r="I270" t="s">
        <v>23</v>
      </c>
      <c r="J270">
        <v>0</v>
      </c>
      <c r="K270">
        <v>1</v>
      </c>
      <c r="L270">
        <v>0</v>
      </c>
      <c r="M270">
        <f>VLOOKUP(Table1[[#This Row],[subscription_type]],Plans!$A$1:$B$5,2,FALSE)</f>
        <v>14.99</v>
      </c>
      <c r="N270">
        <f t="shared" si="4"/>
        <v>0</v>
      </c>
    </row>
    <row r="271" spans="1:14" x14ac:dyDescent="0.35">
      <c r="A271">
        <v>270</v>
      </c>
      <c r="B271" t="s">
        <v>12</v>
      </c>
      <c r="C271">
        <v>22</v>
      </c>
      <c r="D271" t="s">
        <v>21</v>
      </c>
      <c r="E271" t="s">
        <v>24</v>
      </c>
      <c r="F271">
        <v>146</v>
      </c>
      <c r="G271">
        <v>45</v>
      </c>
      <c r="H271">
        <v>0.44</v>
      </c>
      <c r="I271" t="s">
        <v>23</v>
      </c>
      <c r="J271">
        <v>0</v>
      </c>
      <c r="K271">
        <v>1</v>
      </c>
      <c r="L271">
        <v>0</v>
      </c>
      <c r="M271">
        <f>VLOOKUP(Table1[[#This Row],[subscription_type]],Plans!$A$1:$B$5,2,FALSE)</f>
        <v>4.99</v>
      </c>
      <c r="N271">
        <f t="shared" si="4"/>
        <v>0</v>
      </c>
    </row>
    <row r="272" spans="1:14" x14ac:dyDescent="0.35">
      <c r="A272">
        <v>271</v>
      </c>
      <c r="B272" t="s">
        <v>20</v>
      </c>
      <c r="C272">
        <v>19</v>
      </c>
      <c r="D272" t="s">
        <v>17</v>
      </c>
      <c r="E272" t="s">
        <v>18</v>
      </c>
      <c r="F272">
        <v>211</v>
      </c>
      <c r="G272">
        <v>64</v>
      </c>
      <c r="H272">
        <v>0.15</v>
      </c>
      <c r="I272" t="s">
        <v>23</v>
      </c>
      <c r="J272">
        <v>0</v>
      </c>
      <c r="K272">
        <v>1</v>
      </c>
      <c r="L272">
        <v>0</v>
      </c>
      <c r="M272">
        <f>VLOOKUP(Table1[[#This Row],[subscription_type]],Plans!$A$1:$B$5,2,FALSE)</f>
        <v>14.99</v>
      </c>
      <c r="N272">
        <f t="shared" si="4"/>
        <v>0</v>
      </c>
    </row>
    <row r="273" spans="1:14" x14ac:dyDescent="0.35">
      <c r="A273">
        <v>272</v>
      </c>
      <c r="B273" t="s">
        <v>20</v>
      </c>
      <c r="C273">
        <v>47</v>
      </c>
      <c r="D273" t="s">
        <v>27</v>
      </c>
      <c r="E273" t="s">
        <v>22</v>
      </c>
      <c r="F273">
        <v>191</v>
      </c>
      <c r="G273">
        <v>42</v>
      </c>
      <c r="H273">
        <v>0.52</v>
      </c>
      <c r="I273" t="s">
        <v>23</v>
      </c>
      <c r="J273">
        <v>0</v>
      </c>
      <c r="K273">
        <v>1</v>
      </c>
      <c r="L273">
        <v>1</v>
      </c>
      <c r="M273">
        <f>VLOOKUP(Table1[[#This Row],[subscription_type]],Plans!$A$1:$B$5,2,FALSE)</f>
        <v>9.99</v>
      </c>
      <c r="N273">
        <f t="shared" si="4"/>
        <v>9.99</v>
      </c>
    </row>
    <row r="274" spans="1:14" x14ac:dyDescent="0.35">
      <c r="A274">
        <v>273</v>
      </c>
      <c r="B274" t="s">
        <v>20</v>
      </c>
      <c r="C274">
        <v>29</v>
      </c>
      <c r="D274" t="s">
        <v>13</v>
      </c>
      <c r="E274" t="s">
        <v>22</v>
      </c>
      <c r="F274">
        <v>218</v>
      </c>
      <c r="G274">
        <v>72</v>
      </c>
      <c r="H274">
        <v>0.28999999999999998</v>
      </c>
      <c r="I274" t="s">
        <v>23</v>
      </c>
      <c r="J274">
        <v>0</v>
      </c>
      <c r="K274">
        <v>1</v>
      </c>
      <c r="L274">
        <v>0</v>
      </c>
      <c r="M274">
        <f>VLOOKUP(Table1[[#This Row],[subscription_type]],Plans!$A$1:$B$5,2,FALSE)</f>
        <v>9.99</v>
      </c>
      <c r="N274">
        <f t="shared" si="4"/>
        <v>0</v>
      </c>
    </row>
    <row r="275" spans="1:14" x14ac:dyDescent="0.35">
      <c r="A275">
        <v>274</v>
      </c>
      <c r="B275" t="s">
        <v>16</v>
      </c>
      <c r="C275">
        <v>32</v>
      </c>
      <c r="D275" t="s">
        <v>13</v>
      </c>
      <c r="E275" t="s">
        <v>18</v>
      </c>
      <c r="F275">
        <v>128</v>
      </c>
      <c r="G275">
        <v>94</v>
      </c>
      <c r="H275">
        <v>0.48</v>
      </c>
      <c r="I275" t="s">
        <v>19</v>
      </c>
      <c r="J275">
        <v>0</v>
      </c>
      <c r="K275">
        <v>1</v>
      </c>
      <c r="L275">
        <v>0</v>
      </c>
      <c r="M275">
        <f>VLOOKUP(Table1[[#This Row],[subscription_type]],Plans!$A$1:$B$5,2,FALSE)</f>
        <v>14.99</v>
      </c>
      <c r="N275">
        <f t="shared" si="4"/>
        <v>0</v>
      </c>
    </row>
    <row r="276" spans="1:14" x14ac:dyDescent="0.35">
      <c r="A276">
        <v>275</v>
      </c>
      <c r="B276" t="s">
        <v>16</v>
      </c>
      <c r="C276">
        <v>47</v>
      </c>
      <c r="D276" t="s">
        <v>25</v>
      </c>
      <c r="E276" t="s">
        <v>14</v>
      </c>
      <c r="F276">
        <v>30</v>
      </c>
      <c r="G276">
        <v>10</v>
      </c>
      <c r="H276">
        <v>0.38</v>
      </c>
      <c r="I276" t="s">
        <v>19</v>
      </c>
      <c r="J276">
        <v>37</v>
      </c>
      <c r="K276">
        <v>0</v>
      </c>
      <c r="L276">
        <v>0</v>
      </c>
      <c r="M276">
        <f>VLOOKUP(Table1[[#This Row],[subscription_type]],Plans!$A$1:$B$5,2,FALSE)</f>
        <v>0</v>
      </c>
      <c r="N276">
        <f t="shared" si="4"/>
        <v>0</v>
      </c>
    </row>
    <row r="277" spans="1:14" x14ac:dyDescent="0.35">
      <c r="A277">
        <v>276</v>
      </c>
      <c r="B277" t="s">
        <v>20</v>
      </c>
      <c r="C277">
        <v>30</v>
      </c>
      <c r="D277" t="s">
        <v>17</v>
      </c>
      <c r="E277" t="s">
        <v>18</v>
      </c>
      <c r="F277">
        <v>176</v>
      </c>
      <c r="G277">
        <v>17</v>
      </c>
      <c r="H277">
        <v>0.35</v>
      </c>
      <c r="I277" t="s">
        <v>23</v>
      </c>
      <c r="J277">
        <v>0</v>
      </c>
      <c r="K277">
        <v>1</v>
      </c>
      <c r="L277">
        <v>0</v>
      </c>
      <c r="M277">
        <f>VLOOKUP(Table1[[#This Row],[subscription_type]],Plans!$A$1:$B$5,2,FALSE)</f>
        <v>14.99</v>
      </c>
      <c r="N277">
        <f t="shared" si="4"/>
        <v>0</v>
      </c>
    </row>
    <row r="278" spans="1:14" x14ac:dyDescent="0.35">
      <c r="A278">
        <v>277</v>
      </c>
      <c r="B278" t="s">
        <v>20</v>
      </c>
      <c r="C278">
        <v>23</v>
      </c>
      <c r="D278" t="s">
        <v>26</v>
      </c>
      <c r="E278" t="s">
        <v>22</v>
      </c>
      <c r="F278">
        <v>50</v>
      </c>
      <c r="G278">
        <v>45</v>
      </c>
      <c r="H278">
        <v>0.08</v>
      </c>
      <c r="I278" t="s">
        <v>23</v>
      </c>
      <c r="J278">
        <v>0</v>
      </c>
      <c r="K278">
        <v>1</v>
      </c>
      <c r="L278">
        <v>0</v>
      </c>
      <c r="M278">
        <f>VLOOKUP(Table1[[#This Row],[subscription_type]],Plans!$A$1:$B$5,2,FALSE)</f>
        <v>9.99</v>
      </c>
      <c r="N278">
        <f t="shared" si="4"/>
        <v>0</v>
      </c>
    </row>
    <row r="279" spans="1:14" x14ac:dyDescent="0.35">
      <c r="A279">
        <v>278</v>
      </c>
      <c r="B279" t="s">
        <v>16</v>
      </c>
      <c r="C279">
        <v>37</v>
      </c>
      <c r="D279" t="s">
        <v>28</v>
      </c>
      <c r="E279" t="s">
        <v>14</v>
      </c>
      <c r="F279">
        <v>267</v>
      </c>
      <c r="G279">
        <v>72</v>
      </c>
      <c r="H279">
        <v>0.12</v>
      </c>
      <c r="I279" t="s">
        <v>15</v>
      </c>
      <c r="J279">
        <v>38</v>
      </c>
      <c r="K279">
        <v>0</v>
      </c>
      <c r="L279">
        <v>0</v>
      </c>
      <c r="M279">
        <f>VLOOKUP(Table1[[#This Row],[subscription_type]],Plans!$A$1:$B$5,2,FALSE)</f>
        <v>0</v>
      </c>
      <c r="N279">
        <f t="shared" si="4"/>
        <v>0</v>
      </c>
    </row>
    <row r="280" spans="1:14" x14ac:dyDescent="0.35">
      <c r="A280">
        <v>279</v>
      </c>
      <c r="B280" t="s">
        <v>16</v>
      </c>
      <c r="C280">
        <v>17</v>
      </c>
      <c r="D280" t="s">
        <v>29</v>
      </c>
      <c r="E280" t="s">
        <v>24</v>
      </c>
      <c r="F280">
        <v>20</v>
      </c>
      <c r="G280">
        <v>84</v>
      </c>
      <c r="H280">
        <v>0.45</v>
      </c>
      <c r="I280" t="s">
        <v>19</v>
      </c>
      <c r="J280">
        <v>0</v>
      </c>
      <c r="K280">
        <v>1</v>
      </c>
      <c r="L280">
        <v>0</v>
      </c>
      <c r="M280">
        <f>VLOOKUP(Table1[[#This Row],[subscription_type]],Plans!$A$1:$B$5,2,FALSE)</f>
        <v>4.99</v>
      </c>
      <c r="N280">
        <f t="shared" si="4"/>
        <v>0</v>
      </c>
    </row>
    <row r="281" spans="1:14" x14ac:dyDescent="0.35">
      <c r="A281">
        <v>280</v>
      </c>
      <c r="B281" t="s">
        <v>12</v>
      </c>
      <c r="C281">
        <v>45</v>
      </c>
      <c r="D281" t="s">
        <v>25</v>
      </c>
      <c r="E281" t="s">
        <v>18</v>
      </c>
      <c r="F281">
        <v>134</v>
      </c>
      <c r="G281">
        <v>92</v>
      </c>
      <c r="H281">
        <v>0.31</v>
      </c>
      <c r="I281" t="s">
        <v>23</v>
      </c>
      <c r="J281">
        <v>0</v>
      </c>
      <c r="K281">
        <v>1</v>
      </c>
      <c r="L281">
        <v>0</v>
      </c>
      <c r="M281">
        <f>VLOOKUP(Table1[[#This Row],[subscription_type]],Plans!$A$1:$B$5,2,FALSE)</f>
        <v>14.99</v>
      </c>
      <c r="N281">
        <f t="shared" si="4"/>
        <v>0</v>
      </c>
    </row>
    <row r="282" spans="1:14" x14ac:dyDescent="0.35">
      <c r="A282">
        <v>281</v>
      </c>
      <c r="B282" t="s">
        <v>12</v>
      </c>
      <c r="C282">
        <v>42</v>
      </c>
      <c r="D282" t="s">
        <v>21</v>
      </c>
      <c r="E282" t="s">
        <v>24</v>
      </c>
      <c r="F282">
        <v>282</v>
      </c>
      <c r="G282">
        <v>57</v>
      </c>
      <c r="H282">
        <v>0.31</v>
      </c>
      <c r="I282" t="s">
        <v>23</v>
      </c>
      <c r="J282">
        <v>0</v>
      </c>
      <c r="K282">
        <v>1</v>
      </c>
      <c r="L282">
        <v>0</v>
      </c>
      <c r="M282">
        <f>VLOOKUP(Table1[[#This Row],[subscription_type]],Plans!$A$1:$B$5,2,FALSE)</f>
        <v>4.99</v>
      </c>
      <c r="N282">
        <f t="shared" si="4"/>
        <v>0</v>
      </c>
    </row>
    <row r="283" spans="1:14" x14ac:dyDescent="0.35">
      <c r="A283">
        <v>282</v>
      </c>
      <c r="B283" t="s">
        <v>20</v>
      </c>
      <c r="C283">
        <v>42</v>
      </c>
      <c r="D283" t="s">
        <v>25</v>
      </c>
      <c r="E283" t="s">
        <v>22</v>
      </c>
      <c r="F283">
        <v>52</v>
      </c>
      <c r="G283">
        <v>55</v>
      </c>
      <c r="H283">
        <v>0.05</v>
      </c>
      <c r="I283" t="s">
        <v>19</v>
      </c>
      <c r="J283">
        <v>0</v>
      </c>
      <c r="K283">
        <v>1</v>
      </c>
      <c r="L283">
        <v>1</v>
      </c>
      <c r="M283">
        <f>VLOOKUP(Table1[[#This Row],[subscription_type]],Plans!$A$1:$B$5,2,FALSE)</f>
        <v>9.99</v>
      </c>
      <c r="N283">
        <f t="shared" si="4"/>
        <v>9.99</v>
      </c>
    </row>
    <row r="284" spans="1:14" x14ac:dyDescent="0.35">
      <c r="A284">
        <v>283</v>
      </c>
      <c r="B284" t="s">
        <v>16</v>
      </c>
      <c r="C284">
        <v>31</v>
      </c>
      <c r="D284" t="s">
        <v>21</v>
      </c>
      <c r="E284" t="s">
        <v>22</v>
      </c>
      <c r="F284">
        <v>97</v>
      </c>
      <c r="G284">
        <v>37</v>
      </c>
      <c r="H284">
        <v>0.59</v>
      </c>
      <c r="I284" t="s">
        <v>19</v>
      </c>
      <c r="J284">
        <v>0</v>
      </c>
      <c r="K284">
        <v>1</v>
      </c>
      <c r="L284">
        <v>0</v>
      </c>
      <c r="M284">
        <f>VLOOKUP(Table1[[#This Row],[subscription_type]],Plans!$A$1:$B$5,2,FALSE)</f>
        <v>9.99</v>
      </c>
      <c r="N284">
        <f t="shared" si="4"/>
        <v>0</v>
      </c>
    </row>
    <row r="285" spans="1:14" x14ac:dyDescent="0.35">
      <c r="A285">
        <v>284</v>
      </c>
      <c r="B285" t="s">
        <v>12</v>
      </c>
      <c r="C285">
        <v>53</v>
      </c>
      <c r="D285" t="s">
        <v>27</v>
      </c>
      <c r="E285" t="s">
        <v>14</v>
      </c>
      <c r="F285">
        <v>58</v>
      </c>
      <c r="G285">
        <v>63</v>
      </c>
      <c r="H285">
        <v>0.45</v>
      </c>
      <c r="I285" t="s">
        <v>23</v>
      </c>
      <c r="J285">
        <v>45</v>
      </c>
      <c r="K285">
        <v>0</v>
      </c>
      <c r="L285">
        <v>0</v>
      </c>
      <c r="M285">
        <f>VLOOKUP(Table1[[#This Row],[subscription_type]],Plans!$A$1:$B$5,2,FALSE)</f>
        <v>0</v>
      </c>
      <c r="N285">
        <f t="shared" si="4"/>
        <v>0</v>
      </c>
    </row>
    <row r="286" spans="1:14" x14ac:dyDescent="0.35">
      <c r="A286">
        <v>285</v>
      </c>
      <c r="B286" t="s">
        <v>16</v>
      </c>
      <c r="C286">
        <v>47</v>
      </c>
      <c r="D286" t="s">
        <v>21</v>
      </c>
      <c r="E286" t="s">
        <v>22</v>
      </c>
      <c r="F286">
        <v>126</v>
      </c>
      <c r="G286">
        <v>71</v>
      </c>
      <c r="H286">
        <v>0.28999999999999998</v>
      </c>
      <c r="I286" t="s">
        <v>15</v>
      </c>
      <c r="J286">
        <v>0</v>
      </c>
      <c r="K286">
        <v>1</v>
      </c>
      <c r="L286">
        <v>1</v>
      </c>
      <c r="M286">
        <f>VLOOKUP(Table1[[#This Row],[subscription_type]],Plans!$A$1:$B$5,2,FALSE)</f>
        <v>9.99</v>
      </c>
      <c r="N286">
        <f t="shared" si="4"/>
        <v>9.99</v>
      </c>
    </row>
    <row r="287" spans="1:14" x14ac:dyDescent="0.35">
      <c r="A287">
        <v>286</v>
      </c>
      <c r="B287" t="s">
        <v>12</v>
      </c>
      <c r="C287">
        <v>40</v>
      </c>
      <c r="D287" t="s">
        <v>28</v>
      </c>
      <c r="E287" t="s">
        <v>22</v>
      </c>
      <c r="F287">
        <v>172</v>
      </c>
      <c r="G287">
        <v>48</v>
      </c>
      <c r="H287">
        <v>0.54</v>
      </c>
      <c r="I287" t="s">
        <v>19</v>
      </c>
      <c r="J287">
        <v>0</v>
      </c>
      <c r="K287">
        <v>1</v>
      </c>
      <c r="L287">
        <v>0</v>
      </c>
      <c r="M287">
        <f>VLOOKUP(Table1[[#This Row],[subscription_type]],Plans!$A$1:$B$5,2,FALSE)</f>
        <v>9.99</v>
      </c>
      <c r="N287">
        <f t="shared" si="4"/>
        <v>0</v>
      </c>
    </row>
    <row r="288" spans="1:14" x14ac:dyDescent="0.35">
      <c r="A288">
        <v>287</v>
      </c>
      <c r="B288" t="s">
        <v>12</v>
      </c>
      <c r="C288">
        <v>35</v>
      </c>
      <c r="D288" t="s">
        <v>29</v>
      </c>
      <c r="E288" t="s">
        <v>14</v>
      </c>
      <c r="F288">
        <v>258</v>
      </c>
      <c r="G288">
        <v>36</v>
      </c>
      <c r="H288">
        <v>0.2</v>
      </c>
      <c r="I288" t="s">
        <v>15</v>
      </c>
      <c r="J288">
        <v>24</v>
      </c>
      <c r="K288">
        <v>0</v>
      </c>
      <c r="L288">
        <v>1</v>
      </c>
      <c r="M288">
        <f>VLOOKUP(Table1[[#This Row],[subscription_type]],Plans!$A$1:$B$5,2,FALSE)</f>
        <v>0</v>
      </c>
      <c r="N288">
        <f t="shared" si="4"/>
        <v>0</v>
      </c>
    </row>
    <row r="289" spans="1:14" x14ac:dyDescent="0.35">
      <c r="A289">
        <v>288</v>
      </c>
      <c r="B289" t="s">
        <v>12</v>
      </c>
      <c r="C289">
        <v>33</v>
      </c>
      <c r="D289" t="s">
        <v>27</v>
      </c>
      <c r="E289" t="s">
        <v>14</v>
      </c>
      <c r="F289">
        <v>291</v>
      </c>
      <c r="G289">
        <v>31</v>
      </c>
      <c r="H289">
        <v>0.28999999999999998</v>
      </c>
      <c r="I289" t="s">
        <v>15</v>
      </c>
      <c r="J289">
        <v>39</v>
      </c>
      <c r="K289">
        <v>0</v>
      </c>
      <c r="L289">
        <v>0</v>
      </c>
      <c r="M289">
        <f>VLOOKUP(Table1[[#This Row],[subscription_type]],Plans!$A$1:$B$5,2,FALSE)</f>
        <v>0</v>
      </c>
      <c r="N289">
        <f t="shared" si="4"/>
        <v>0</v>
      </c>
    </row>
    <row r="290" spans="1:14" x14ac:dyDescent="0.35">
      <c r="A290">
        <v>289</v>
      </c>
      <c r="B290" t="s">
        <v>16</v>
      </c>
      <c r="C290">
        <v>44</v>
      </c>
      <c r="D290" t="s">
        <v>17</v>
      </c>
      <c r="E290" t="s">
        <v>14</v>
      </c>
      <c r="F290">
        <v>27</v>
      </c>
      <c r="G290">
        <v>96</v>
      </c>
      <c r="H290">
        <v>0.04</v>
      </c>
      <c r="I290" t="s">
        <v>15</v>
      </c>
      <c r="J290">
        <v>27</v>
      </c>
      <c r="K290">
        <v>0</v>
      </c>
      <c r="L290">
        <v>1</v>
      </c>
      <c r="M290">
        <f>VLOOKUP(Table1[[#This Row],[subscription_type]],Plans!$A$1:$B$5,2,FALSE)</f>
        <v>0</v>
      </c>
      <c r="N290">
        <f t="shared" si="4"/>
        <v>0</v>
      </c>
    </row>
    <row r="291" spans="1:14" x14ac:dyDescent="0.35">
      <c r="A291">
        <v>290</v>
      </c>
      <c r="B291" t="s">
        <v>16</v>
      </c>
      <c r="C291">
        <v>41</v>
      </c>
      <c r="D291" t="s">
        <v>26</v>
      </c>
      <c r="E291" t="s">
        <v>18</v>
      </c>
      <c r="F291">
        <v>262</v>
      </c>
      <c r="G291">
        <v>32</v>
      </c>
      <c r="H291">
        <v>0.47</v>
      </c>
      <c r="I291" t="s">
        <v>15</v>
      </c>
      <c r="J291">
        <v>0</v>
      </c>
      <c r="K291">
        <v>1</v>
      </c>
      <c r="L291">
        <v>0</v>
      </c>
      <c r="M291">
        <f>VLOOKUP(Table1[[#This Row],[subscription_type]],Plans!$A$1:$B$5,2,FALSE)</f>
        <v>14.99</v>
      </c>
      <c r="N291">
        <f t="shared" si="4"/>
        <v>0</v>
      </c>
    </row>
    <row r="292" spans="1:14" x14ac:dyDescent="0.35">
      <c r="A292">
        <v>291</v>
      </c>
      <c r="B292" t="s">
        <v>20</v>
      </c>
      <c r="C292">
        <v>32</v>
      </c>
      <c r="D292" t="s">
        <v>17</v>
      </c>
      <c r="E292" t="s">
        <v>22</v>
      </c>
      <c r="F292">
        <v>52</v>
      </c>
      <c r="G292">
        <v>52</v>
      </c>
      <c r="H292">
        <v>0.47</v>
      </c>
      <c r="I292" t="s">
        <v>15</v>
      </c>
      <c r="J292">
        <v>0</v>
      </c>
      <c r="K292">
        <v>1</v>
      </c>
      <c r="L292">
        <v>1</v>
      </c>
      <c r="M292">
        <f>VLOOKUP(Table1[[#This Row],[subscription_type]],Plans!$A$1:$B$5,2,FALSE)</f>
        <v>9.99</v>
      </c>
      <c r="N292">
        <f t="shared" si="4"/>
        <v>9.99</v>
      </c>
    </row>
    <row r="293" spans="1:14" x14ac:dyDescent="0.35">
      <c r="A293">
        <v>292</v>
      </c>
      <c r="B293" t="s">
        <v>16</v>
      </c>
      <c r="C293">
        <v>20</v>
      </c>
      <c r="D293" t="s">
        <v>13</v>
      </c>
      <c r="E293" t="s">
        <v>24</v>
      </c>
      <c r="F293">
        <v>108</v>
      </c>
      <c r="G293">
        <v>26</v>
      </c>
      <c r="H293">
        <v>0.17</v>
      </c>
      <c r="I293" t="s">
        <v>19</v>
      </c>
      <c r="J293">
        <v>0</v>
      </c>
      <c r="K293">
        <v>1</v>
      </c>
      <c r="L293">
        <v>0</v>
      </c>
      <c r="M293">
        <f>VLOOKUP(Table1[[#This Row],[subscription_type]],Plans!$A$1:$B$5,2,FALSE)</f>
        <v>4.99</v>
      </c>
      <c r="N293">
        <f t="shared" si="4"/>
        <v>0</v>
      </c>
    </row>
    <row r="294" spans="1:14" x14ac:dyDescent="0.35">
      <c r="A294">
        <v>293</v>
      </c>
      <c r="B294" t="s">
        <v>20</v>
      </c>
      <c r="C294">
        <v>51</v>
      </c>
      <c r="D294" t="s">
        <v>25</v>
      </c>
      <c r="E294" t="s">
        <v>22</v>
      </c>
      <c r="F294">
        <v>235</v>
      </c>
      <c r="G294">
        <v>5</v>
      </c>
      <c r="H294">
        <v>0.28000000000000003</v>
      </c>
      <c r="I294" t="s">
        <v>15</v>
      </c>
      <c r="J294">
        <v>0</v>
      </c>
      <c r="K294">
        <v>1</v>
      </c>
      <c r="L294">
        <v>0</v>
      </c>
      <c r="M294">
        <f>VLOOKUP(Table1[[#This Row],[subscription_type]],Plans!$A$1:$B$5,2,FALSE)</f>
        <v>9.99</v>
      </c>
      <c r="N294">
        <f t="shared" si="4"/>
        <v>0</v>
      </c>
    </row>
    <row r="295" spans="1:14" x14ac:dyDescent="0.35">
      <c r="A295">
        <v>294</v>
      </c>
      <c r="B295" t="s">
        <v>12</v>
      </c>
      <c r="C295">
        <v>25</v>
      </c>
      <c r="D295" t="s">
        <v>25</v>
      </c>
      <c r="E295" t="s">
        <v>24</v>
      </c>
      <c r="F295">
        <v>213</v>
      </c>
      <c r="G295">
        <v>36</v>
      </c>
      <c r="H295">
        <v>0.28000000000000003</v>
      </c>
      <c r="I295" t="s">
        <v>19</v>
      </c>
      <c r="J295">
        <v>0</v>
      </c>
      <c r="K295">
        <v>1</v>
      </c>
      <c r="L295">
        <v>0</v>
      </c>
      <c r="M295">
        <f>VLOOKUP(Table1[[#This Row],[subscription_type]],Plans!$A$1:$B$5,2,FALSE)</f>
        <v>4.99</v>
      </c>
      <c r="N295">
        <f t="shared" si="4"/>
        <v>0</v>
      </c>
    </row>
    <row r="296" spans="1:14" x14ac:dyDescent="0.35">
      <c r="A296">
        <v>295</v>
      </c>
      <c r="B296" t="s">
        <v>16</v>
      </c>
      <c r="C296">
        <v>32</v>
      </c>
      <c r="D296" t="s">
        <v>29</v>
      </c>
      <c r="E296" t="s">
        <v>22</v>
      </c>
      <c r="F296">
        <v>169</v>
      </c>
      <c r="G296">
        <v>6</v>
      </c>
      <c r="H296">
        <v>0.13</v>
      </c>
      <c r="I296" t="s">
        <v>19</v>
      </c>
      <c r="J296">
        <v>0</v>
      </c>
      <c r="K296">
        <v>1</v>
      </c>
      <c r="L296">
        <v>1</v>
      </c>
      <c r="M296">
        <f>VLOOKUP(Table1[[#This Row],[subscription_type]],Plans!$A$1:$B$5,2,FALSE)</f>
        <v>9.99</v>
      </c>
      <c r="N296">
        <f t="shared" si="4"/>
        <v>9.99</v>
      </c>
    </row>
    <row r="297" spans="1:14" x14ac:dyDescent="0.35">
      <c r="A297">
        <v>296</v>
      </c>
      <c r="B297" t="s">
        <v>12</v>
      </c>
      <c r="C297">
        <v>34</v>
      </c>
      <c r="D297" t="s">
        <v>17</v>
      </c>
      <c r="E297" t="s">
        <v>24</v>
      </c>
      <c r="F297">
        <v>158</v>
      </c>
      <c r="G297">
        <v>84</v>
      </c>
      <c r="H297">
        <v>0.1</v>
      </c>
      <c r="I297" t="s">
        <v>23</v>
      </c>
      <c r="J297">
        <v>0</v>
      </c>
      <c r="K297">
        <v>1</v>
      </c>
      <c r="L297">
        <v>1</v>
      </c>
      <c r="M297">
        <f>VLOOKUP(Table1[[#This Row],[subscription_type]],Plans!$A$1:$B$5,2,FALSE)</f>
        <v>4.99</v>
      </c>
      <c r="N297">
        <f t="shared" si="4"/>
        <v>4.99</v>
      </c>
    </row>
    <row r="298" spans="1:14" x14ac:dyDescent="0.35">
      <c r="A298">
        <v>297</v>
      </c>
      <c r="B298" t="s">
        <v>20</v>
      </c>
      <c r="C298">
        <v>34</v>
      </c>
      <c r="D298" t="s">
        <v>17</v>
      </c>
      <c r="E298" t="s">
        <v>22</v>
      </c>
      <c r="F298">
        <v>293</v>
      </c>
      <c r="G298">
        <v>30</v>
      </c>
      <c r="H298">
        <v>0.16</v>
      </c>
      <c r="I298" t="s">
        <v>15</v>
      </c>
      <c r="J298">
        <v>0</v>
      </c>
      <c r="K298">
        <v>1</v>
      </c>
      <c r="L298">
        <v>0</v>
      </c>
      <c r="M298">
        <f>VLOOKUP(Table1[[#This Row],[subscription_type]],Plans!$A$1:$B$5,2,FALSE)</f>
        <v>9.99</v>
      </c>
      <c r="N298">
        <f t="shared" si="4"/>
        <v>0</v>
      </c>
    </row>
    <row r="299" spans="1:14" x14ac:dyDescent="0.35">
      <c r="A299">
        <v>298</v>
      </c>
      <c r="B299" t="s">
        <v>20</v>
      </c>
      <c r="C299">
        <v>45</v>
      </c>
      <c r="D299" t="s">
        <v>17</v>
      </c>
      <c r="E299" t="s">
        <v>22</v>
      </c>
      <c r="F299">
        <v>99</v>
      </c>
      <c r="G299">
        <v>84</v>
      </c>
      <c r="H299">
        <v>0.57999999999999996</v>
      </c>
      <c r="I299" t="s">
        <v>19</v>
      </c>
      <c r="J299">
        <v>0</v>
      </c>
      <c r="K299">
        <v>1</v>
      </c>
      <c r="L299">
        <v>1</v>
      </c>
      <c r="M299">
        <f>VLOOKUP(Table1[[#This Row],[subscription_type]],Plans!$A$1:$B$5,2,FALSE)</f>
        <v>9.99</v>
      </c>
      <c r="N299">
        <f t="shared" si="4"/>
        <v>9.99</v>
      </c>
    </row>
    <row r="300" spans="1:14" x14ac:dyDescent="0.35">
      <c r="A300">
        <v>299</v>
      </c>
      <c r="B300" t="s">
        <v>12</v>
      </c>
      <c r="C300">
        <v>45</v>
      </c>
      <c r="D300" t="s">
        <v>25</v>
      </c>
      <c r="E300" t="s">
        <v>24</v>
      </c>
      <c r="F300">
        <v>194</v>
      </c>
      <c r="G300">
        <v>40</v>
      </c>
      <c r="H300">
        <v>0.59</v>
      </c>
      <c r="I300" t="s">
        <v>15</v>
      </c>
      <c r="J300">
        <v>0</v>
      </c>
      <c r="K300">
        <v>1</v>
      </c>
      <c r="L300">
        <v>0</v>
      </c>
      <c r="M300">
        <f>VLOOKUP(Table1[[#This Row],[subscription_type]],Plans!$A$1:$B$5,2,FALSE)</f>
        <v>4.99</v>
      </c>
      <c r="N300">
        <f t="shared" si="4"/>
        <v>0</v>
      </c>
    </row>
    <row r="301" spans="1:14" x14ac:dyDescent="0.35">
      <c r="A301">
        <v>300</v>
      </c>
      <c r="B301" t="s">
        <v>16</v>
      </c>
      <c r="C301">
        <v>50</v>
      </c>
      <c r="D301" t="s">
        <v>25</v>
      </c>
      <c r="E301" t="s">
        <v>22</v>
      </c>
      <c r="F301">
        <v>126</v>
      </c>
      <c r="G301">
        <v>86</v>
      </c>
      <c r="H301">
        <v>0.52</v>
      </c>
      <c r="I301" t="s">
        <v>23</v>
      </c>
      <c r="J301">
        <v>0</v>
      </c>
      <c r="K301">
        <v>1</v>
      </c>
      <c r="L301">
        <v>0</v>
      </c>
      <c r="M301">
        <f>VLOOKUP(Table1[[#This Row],[subscription_type]],Plans!$A$1:$B$5,2,FALSE)</f>
        <v>9.99</v>
      </c>
      <c r="N301">
        <f t="shared" si="4"/>
        <v>0</v>
      </c>
    </row>
    <row r="302" spans="1:14" x14ac:dyDescent="0.35">
      <c r="A302">
        <v>301</v>
      </c>
      <c r="B302" t="s">
        <v>12</v>
      </c>
      <c r="C302">
        <v>45</v>
      </c>
      <c r="D302" t="s">
        <v>26</v>
      </c>
      <c r="E302" t="s">
        <v>18</v>
      </c>
      <c r="F302">
        <v>102</v>
      </c>
      <c r="G302">
        <v>18</v>
      </c>
      <c r="H302">
        <v>0.08</v>
      </c>
      <c r="I302" t="s">
        <v>23</v>
      </c>
      <c r="J302">
        <v>0</v>
      </c>
      <c r="K302">
        <v>1</v>
      </c>
      <c r="L302">
        <v>0</v>
      </c>
      <c r="M302">
        <f>VLOOKUP(Table1[[#This Row],[subscription_type]],Plans!$A$1:$B$5,2,FALSE)</f>
        <v>14.99</v>
      </c>
      <c r="N302">
        <f t="shared" si="4"/>
        <v>0</v>
      </c>
    </row>
    <row r="303" spans="1:14" x14ac:dyDescent="0.35">
      <c r="A303">
        <v>302</v>
      </c>
      <c r="B303" t="s">
        <v>12</v>
      </c>
      <c r="C303">
        <v>55</v>
      </c>
      <c r="D303" t="s">
        <v>29</v>
      </c>
      <c r="E303" t="s">
        <v>14</v>
      </c>
      <c r="F303">
        <v>210</v>
      </c>
      <c r="G303">
        <v>32</v>
      </c>
      <c r="H303">
        <v>0.15</v>
      </c>
      <c r="I303" t="s">
        <v>19</v>
      </c>
      <c r="J303">
        <v>29</v>
      </c>
      <c r="K303">
        <v>0</v>
      </c>
      <c r="L303">
        <v>1</v>
      </c>
      <c r="M303">
        <f>VLOOKUP(Table1[[#This Row],[subscription_type]],Plans!$A$1:$B$5,2,FALSE)</f>
        <v>0</v>
      </c>
      <c r="N303">
        <f t="shared" si="4"/>
        <v>0</v>
      </c>
    </row>
    <row r="304" spans="1:14" x14ac:dyDescent="0.35">
      <c r="A304">
        <v>303</v>
      </c>
      <c r="B304" t="s">
        <v>12</v>
      </c>
      <c r="C304">
        <v>32</v>
      </c>
      <c r="D304" t="s">
        <v>25</v>
      </c>
      <c r="E304" t="s">
        <v>14</v>
      </c>
      <c r="F304">
        <v>134</v>
      </c>
      <c r="G304">
        <v>71</v>
      </c>
      <c r="H304">
        <v>0.43</v>
      </c>
      <c r="I304" t="s">
        <v>23</v>
      </c>
      <c r="J304">
        <v>14</v>
      </c>
      <c r="K304">
        <v>0</v>
      </c>
      <c r="L304">
        <v>0</v>
      </c>
      <c r="M304">
        <f>VLOOKUP(Table1[[#This Row],[subscription_type]],Plans!$A$1:$B$5,2,FALSE)</f>
        <v>0</v>
      </c>
      <c r="N304">
        <f t="shared" si="4"/>
        <v>0</v>
      </c>
    </row>
    <row r="305" spans="1:14" x14ac:dyDescent="0.35">
      <c r="A305">
        <v>304</v>
      </c>
      <c r="B305" t="s">
        <v>20</v>
      </c>
      <c r="C305">
        <v>48</v>
      </c>
      <c r="D305" t="s">
        <v>26</v>
      </c>
      <c r="E305" t="s">
        <v>22</v>
      </c>
      <c r="F305">
        <v>62</v>
      </c>
      <c r="G305">
        <v>25</v>
      </c>
      <c r="H305">
        <v>0.53</v>
      </c>
      <c r="I305" t="s">
        <v>19</v>
      </c>
      <c r="J305">
        <v>0</v>
      </c>
      <c r="K305">
        <v>1</v>
      </c>
      <c r="L305">
        <v>0</v>
      </c>
      <c r="M305">
        <f>VLOOKUP(Table1[[#This Row],[subscription_type]],Plans!$A$1:$B$5,2,FALSE)</f>
        <v>9.99</v>
      </c>
      <c r="N305">
        <f t="shared" si="4"/>
        <v>0</v>
      </c>
    </row>
    <row r="306" spans="1:14" x14ac:dyDescent="0.35">
      <c r="A306">
        <v>305</v>
      </c>
      <c r="B306" t="s">
        <v>16</v>
      </c>
      <c r="C306">
        <v>36</v>
      </c>
      <c r="D306" t="s">
        <v>25</v>
      </c>
      <c r="E306" t="s">
        <v>22</v>
      </c>
      <c r="F306">
        <v>183</v>
      </c>
      <c r="G306">
        <v>29</v>
      </c>
      <c r="H306">
        <v>0.53</v>
      </c>
      <c r="I306" t="s">
        <v>19</v>
      </c>
      <c r="J306">
        <v>0</v>
      </c>
      <c r="K306">
        <v>1</v>
      </c>
      <c r="L306">
        <v>0</v>
      </c>
      <c r="M306">
        <f>VLOOKUP(Table1[[#This Row],[subscription_type]],Plans!$A$1:$B$5,2,FALSE)</f>
        <v>9.99</v>
      </c>
      <c r="N306">
        <f t="shared" si="4"/>
        <v>0</v>
      </c>
    </row>
    <row r="307" spans="1:14" x14ac:dyDescent="0.35">
      <c r="A307">
        <v>306</v>
      </c>
      <c r="B307" t="s">
        <v>16</v>
      </c>
      <c r="C307">
        <v>39</v>
      </c>
      <c r="D307" t="s">
        <v>17</v>
      </c>
      <c r="E307" t="s">
        <v>22</v>
      </c>
      <c r="F307">
        <v>279</v>
      </c>
      <c r="G307">
        <v>97</v>
      </c>
      <c r="H307">
        <v>0.36</v>
      </c>
      <c r="I307" t="s">
        <v>23</v>
      </c>
      <c r="J307">
        <v>0</v>
      </c>
      <c r="K307">
        <v>1</v>
      </c>
      <c r="L307">
        <v>0</v>
      </c>
      <c r="M307">
        <f>VLOOKUP(Table1[[#This Row],[subscription_type]],Plans!$A$1:$B$5,2,FALSE)</f>
        <v>9.99</v>
      </c>
      <c r="N307">
        <f t="shared" si="4"/>
        <v>0</v>
      </c>
    </row>
    <row r="308" spans="1:14" x14ac:dyDescent="0.35">
      <c r="A308">
        <v>307</v>
      </c>
      <c r="B308" t="s">
        <v>16</v>
      </c>
      <c r="C308">
        <v>59</v>
      </c>
      <c r="D308" t="s">
        <v>13</v>
      </c>
      <c r="E308" t="s">
        <v>22</v>
      </c>
      <c r="F308">
        <v>159</v>
      </c>
      <c r="G308">
        <v>48</v>
      </c>
      <c r="H308">
        <v>0.21</v>
      </c>
      <c r="I308" t="s">
        <v>23</v>
      </c>
      <c r="J308">
        <v>0</v>
      </c>
      <c r="K308">
        <v>1</v>
      </c>
      <c r="L308">
        <v>1</v>
      </c>
      <c r="M308">
        <f>VLOOKUP(Table1[[#This Row],[subscription_type]],Plans!$A$1:$B$5,2,FALSE)</f>
        <v>9.99</v>
      </c>
      <c r="N308">
        <f t="shared" si="4"/>
        <v>9.99</v>
      </c>
    </row>
    <row r="309" spans="1:14" x14ac:dyDescent="0.35">
      <c r="A309">
        <v>308</v>
      </c>
      <c r="B309" t="s">
        <v>20</v>
      </c>
      <c r="C309">
        <v>23</v>
      </c>
      <c r="D309" t="s">
        <v>25</v>
      </c>
      <c r="E309" t="s">
        <v>22</v>
      </c>
      <c r="F309">
        <v>187</v>
      </c>
      <c r="G309">
        <v>22</v>
      </c>
      <c r="H309">
        <v>0.14000000000000001</v>
      </c>
      <c r="I309" t="s">
        <v>15</v>
      </c>
      <c r="J309">
        <v>0</v>
      </c>
      <c r="K309">
        <v>1</v>
      </c>
      <c r="L309">
        <v>1</v>
      </c>
      <c r="M309">
        <f>VLOOKUP(Table1[[#This Row],[subscription_type]],Plans!$A$1:$B$5,2,FALSE)</f>
        <v>9.99</v>
      </c>
      <c r="N309">
        <f t="shared" si="4"/>
        <v>9.99</v>
      </c>
    </row>
    <row r="310" spans="1:14" x14ac:dyDescent="0.35">
      <c r="A310">
        <v>309</v>
      </c>
      <c r="B310" t="s">
        <v>16</v>
      </c>
      <c r="C310">
        <v>41</v>
      </c>
      <c r="D310" t="s">
        <v>26</v>
      </c>
      <c r="E310" t="s">
        <v>18</v>
      </c>
      <c r="F310">
        <v>57</v>
      </c>
      <c r="G310">
        <v>3</v>
      </c>
      <c r="H310">
        <v>0.41</v>
      </c>
      <c r="I310" t="s">
        <v>23</v>
      </c>
      <c r="J310">
        <v>0</v>
      </c>
      <c r="K310">
        <v>1</v>
      </c>
      <c r="L310">
        <v>0</v>
      </c>
      <c r="M310">
        <f>VLOOKUP(Table1[[#This Row],[subscription_type]],Plans!$A$1:$B$5,2,FALSE)</f>
        <v>14.99</v>
      </c>
      <c r="N310">
        <f t="shared" si="4"/>
        <v>0</v>
      </c>
    </row>
    <row r="311" spans="1:14" x14ac:dyDescent="0.35">
      <c r="A311">
        <v>310</v>
      </c>
      <c r="B311" t="s">
        <v>12</v>
      </c>
      <c r="C311">
        <v>31</v>
      </c>
      <c r="D311" t="s">
        <v>28</v>
      </c>
      <c r="E311" t="s">
        <v>18</v>
      </c>
      <c r="F311">
        <v>133</v>
      </c>
      <c r="G311">
        <v>88</v>
      </c>
      <c r="H311">
        <v>7.0000000000000007E-2</v>
      </c>
      <c r="I311" t="s">
        <v>15</v>
      </c>
      <c r="J311">
        <v>0</v>
      </c>
      <c r="K311">
        <v>1</v>
      </c>
      <c r="L311">
        <v>0</v>
      </c>
      <c r="M311">
        <f>VLOOKUP(Table1[[#This Row],[subscription_type]],Plans!$A$1:$B$5,2,FALSE)</f>
        <v>14.99</v>
      </c>
      <c r="N311">
        <f t="shared" si="4"/>
        <v>0</v>
      </c>
    </row>
    <row r="312" spans="1:14" x14ac:dyDescent="0.35">
      <c r="A312">
        <v>311</v>
      </c>
      <c r="B312" t="s">
        <v>20</v>
      </c>
      <c r="C312">
        <v>48</v>
      </c>
      <c r="D312" t="s">
        <v>27</v>
      </c>
      <c r="E312" t="s">
        <v>24</v>
      </c>
      <c r="F312">
        <v>168</v>
      </c>
      <c r="G312">
        <v>78</v>
      </c>
      <c r="H312">
        <v>0.41</v>
      </c>
      <c r="I312" t="s">
        <v>15</v>
      </c>
      <c r="J312">
        <v>0</v>
      </c>
      <c r="K312">
        <v>1</v>
      </c>
      <c r="L312">
        <v>0</v>
      </c>
      <c r="M312">
        <f>VLOOKUP(Table1[[#This Row],[subscription_type]],Plans!$A$1:$B$5,2,FALSE)</f>
        <v>4.99</v>
      </c>
      <c r="N312">
        <f t="shared" si="4"/>
        <v>0</v>
      </c>
    </row>
    <row r="313" spans="1:14" x14ac:dyDescent="0.35">
      <c r="A313">
        <v>312</v>
      </c>
      <c r="B313" t="s">
        <v>12</v>
      </c>
      <c r="C313">
        <v>21</v>
      </c>
      <c r="D313" t="s">
        <v>21</v>
      </c>
      <c r="E313" t="s">
        <v>18</v>
      </c>
      <c r="F313">
        <v>251</v>
      </c>
      <c r="G313">
        <v>47</v>
      </c>
      <c r="H313">
        <v>0.55000000000000004</v>
      </c>
      <c r="I313" t="s">
        <v>23</v>
      </c>
      <c r="J313">
        <v>0</v>
      </c>
      <c r="K313">
        <v>1</v>
      </c>
      <c r="L313">
        <v>0</v>
      </c>
      <c r="M313">
        <f>VLOOKUP(Table1[[#This Row],[subscription_type]],Plans!$A$1:$B$5,2,FALSE)</f>
        <v>14.99</v>
      </c>
      <c r="N313">
        <f t="shared" si="4"/>
        <v>0</v>
      </c>
    </row>
    <row r="314" spans="1:14" x14ac:dyDescent="0.35">
      <c r="A314">
        <v>313</v>
      </c>
      <c r="B314" t="s">
        <v>16</v>
      </c>
      <c r="C314">
        <v>18</v>
      </c>
      <c r="D314" t="s">
        <v>21</v>
      </c>
      <c r="E314" t="s">
        <v>18</v>
      </c>
      <c r="F314">
        <v>71</v>
      </c>
      <c r="G314">
        <v>18</v>
      </c>
      <c r="H314">
        <v>0</v>
      </c>
      <c r="I314" t="s">
        <v>19</v>
      </c>
      <c r="J314">
        <v>0</v>
      </c>
      <c r="K314">
        <v>1</v>
      </c>
      <c r="L314">
        <v>0</v>
      </c>
      <c r="M314">
        <f>VLOOKUP(Table1[[#This Row],[subscription_type]],Plans!$A$1:$B$5,2,FALSE)</f>
        <v>14.99</v>
      </c>
      <c r="N314">
        <f t="shared" si="4"/>
        <v>0</v>
      </c>
    </row>
    <row r="315" spans="1:14" x14ac:dyDescent="0.35">
      <c r="A315">
        <v>314</v>
      </c>
      <c r="B315" t="s">
        <v>12</v>
      </c>
      <c r="C315">
        <v>25</v>
      </c>
      <c r="D315" t="s">
        <v>28</v>
      </c>
      <c r="E315" t="s">
        <v>24</v>
      </c>
      <c r="F315">
        <v>178</v>
      </c>
      <c r="G315">
        <v>84</v>
      </c>
      <c r="H315">
        <v>0.32</v>
      </c>
      <c r="I315" t="s">
        <v>15</v>
      </c>
      <c r="J315">
        <v>0</v>
      </c>
      <c r="K315">
        <v>1</v>
      </c>
      <c r="L315">
        <v>0</v>
      </c>
      <c r="M315">
        <f>VLOOKUP(Table1[[#This Row],[subscription_type]],Plans!$A$1:$B$5,2,FALSE)</f>
        <v>4.99</v>
      </c>
      <c r="N315">
        <f t="shared" si="4"/>
        <v>0</v>
      </c>
    </row>
    <row r="316" spans="1:14" x14ac:dyDescent="0.35">
      <c r="A316">
        <v>315</v>
      </c>
      <c r="B316" t="s">
        <v>20</v>
      </c>
      <c r="C316">
        <v>56</v>
      </c>
      <c r="D316" t="s">
        <v>27</v>
      </c>
      <c r="E316" t="s">
        <v>24</v>
      </c>
      <c r="F316">
        <v>206</v>
      </c>
      <c r="G316">
        <v>64</v>
      </c>
      <c r="H316">
        <v>0.1</v>
      </c>
      <c r="I316" t="s">
        <v>23</v>
      </c>
      <c r="J316">
        <v>0</v>
      </c>
      <c r="K316">
        <v>1</v>
      </c>
      <c r="L316">
        <v>1</v>
      </c>
      <c r="M316">
        <f>VLOOKUP(Table1[[#This Row],[subscription_type]],Plans!$A$1:$B$5,2,FALSE)</f>
        <v>4.99</v>
      </c>
      <c r="N316">
        <f t="shared" si="4"/>
        <v>4.99</v>
      </c>
    </row>
    <row r="317" spans="1:14" x14ac:dyDescent="0.35">
      <c r="A317">
        <v>316</v>
      </c>
      <c r="B317" t="s">
        <v>20</v>
      </c>
      <c r="C317">
        <v>34</v>
      </c>
      <c r="D317" t="s">
        <v>28</v>
      </c>
      <c r="E317" t="s">
        <v>14</v>
      </c>
      <c r="F317">
        <v>36</v>
      </c>
      <c r="G317">
        <v>12</v>
      </c>
      <c r="H317">
        <v>0.22</v>
      </c>
      <c r="I317" t="s">
        <v>23</v>
      </c>
      <c r="J317">
        <v>44</v>
      </c>
      <c r="K317">
        <v>0</v>
      </c>
      <c r="L317">
        <v>0</v>
      </c>
      <c r="M317">
        <f>VLOOKUP(Table1[[#This Row],[subscription_type]],Plans!$A$1:$B$5,2,FALSE)</f>
        <v>0</v>
      </c>
      <c r="N317">
        <f t="shared" si="4"/>
        <v>0</v>
      </c>
    </row>
    <row r="318" spans="1:14" x14ac:dyDescent="0.35">
      <c r="A318">
        <v>317</v>
      </c>
      <c r="B318" t="s">
        <v>16</v>
      </c>
      <c r="C318">
        <v>25</v>
      </c>
      <c r="D318" t="s">
        <v>13</v>
      </c>
      <c r="E318" t="s">
        <v>18</v>
      </c>
      <c r="F318">
        <v>122</v>
      </c>
      <c r="G318">
        <v>69</v>
      </c>
      <c r="H318">
        <v>0.09</v>
      </c>
      <c r="I318" t="s">
        <v>19</v>
      </c>
      <c r="J318">
        <v>0</v>
      </c>
      <c r="K318">
        <v>1</v>
      </c>
      <c r="L318">
        <v>0</v>
      </c>
      <c r="M318">
        <f>VLOOKUP(Table1[[#This Row],[subscription_type]],Plans!$A$1:$B$5,2,FALSE)</f>
        <v>14.99</v>
      </c>
      <c r="N318">
        <f t="shared" si="4"/>
        <v>0</v>
      </c>
    </row>
    <row r="319" spans="1:14" x14ac:dyDescent="0.35">
      <c r="A319">
        <v>318</v>
      </c>
      <c r="B319" t="s">
        <v>20</v>
      </c>
      <c r="C319">
        <v>24</v>
      </c>
      <c r="D319" t="s">
        <v>29</v>
      </c>
      <c r="E319" t="s">
        <v>22</v>
      </c>
      <c r="F319">
        <v>158</v>
      </c>
      <c r="G319">
        <v>51</v>
      </c>
      <c r="H319">
        <v>0.26</v>
      </c>
      <c r="I319" t="s">
        <v>19</v>
      </c>
      <c r="J319">
        <v>0</v>
      </c>
      <c r="K319">
        <v>1</v>
      </c>
      <c r="L319">
        <v>0</v>
      </c>
      <c r="M319">
        <f>VLOOKUP(Table1[[#This Row],[subscription_type]],Plans!$A$1:$B$5,2,FALSE)</f>
        <v>9.99</v>
      </c>
      <c r="N319">
        <f t="shared" si="4"/>
        <v>0</v>
      </c>
    </row>
    <row r="320" spans="1:14" x14ac:dyDescent="0.35">
      <c r="A320">
        <v>319</v>
      </c>
      <c r="B320" t="s">
        <v>16</v>
      </c>
      <c r="C320">
        <v>41</v>
      </c>
      <c r="D320" t="s">
        <v>28</v>
      </c>
      <c r="E320" t="s">
        <v>24</v>
      </c>
      <c r="F320">
        <v>223</v>
      </c>
      <c r="G320">
        <v>79</v>
      </c>
      <c r="H320">
        <v>0.05</v>
      </c>
      <c r="I320" t="s">
        <v>23</v>
      </c>
      <c r="J320">
        <v>0</v>
      </c>
      <c r="K320">
        <v>1</v>
      </c>
      <c r="L320">
        <v>0</v>
      </c>
      <c r="M320">
        <f>VLOOKUP(Table1[[#This Row],[subscription_type]],Plans!$A$1:$B$5,2,FALSE)</f>
        <v>4.99</v>
      </c>
      <c r="N320">
        <f t="shared" si="4"/>
        <v>0</v>
      </c>
    </row>
    <row r="321" spans="1:14" x14ac:dyDescent="0.35">
      <c r="A321">
        <v>320</v>
      </c>
      <c r="B321" t="s">
        <v>20</v>
      </c>
      <c r="C321">
        <v>38</v>
      </c>
      <c r="D321" t="s">
        <v>27</v>
      </c>
      <c r="E321" t="s">
        <v>24</v>
      </c>
      <c r="F321">
        <v>251</v>
      </c>
      <c r="G321">
        <v>65</v>
      </c>
      <c r="H321">
        <v>0.44</v>
      </c>
      <c r="I321" t="s">
        <v>15</v>
      </c>
      <c r="J321">
        <v>0</v>
      </c>
      <c r="K321">
        <v>1</v>
      </c>
      <c r="L321">
        <v>0</v>
      </c>
      <c r="M321">
        <f>VLOOKUP(Table1[[#This Row],[subscription_type]],Plans!$A$1:$B$5,2,FALSE)</f>
        <v>4.99</v>
      </c>
      <c r="N321">
        <f t="shared" si="4"/>
        <v>0</v>
      </c>
    </row>
    <row r="322" spans="1:14" x14ac:dyDescent="0.35">
      <c r="A322">
        <v>321</v>
      </c>
      <c r="B322" t="s">
        <v>16</v>
      </c>
      <c r="C322">
        <v>19</v>
      </c>
      <c r="D322" t="s">
        <v>25</v>
      </c>
      <c r="E322" t="s">
        <v>18</v>
      </c>
      <c r="F322">
        <v>294</v>
      </c>
      <c r="G322">
        <v>5</v>
      </c>
      <c r="H322">
        <v>0.44</v>
      </c>
      <c r="I322" t="s">
        <v>19</v>
      </c>
      <c r="J322">
        <v>0</v>
      </c>
      <c r="K322">
        <v>1</v>
      </c>
      <c r="L322">
        <v>0</v>
      </c>
      <c r="M322">
        <f>VLOOKUP(Table1[[#This Row],[subscription_type]],Plans!$A$1:$B$5,2,FALSE)</f>
        <v>14.99</v>
      </c>
      <c r="N322">
        <f t="shared" ref="N322:N385" si="5">IF(L322=1, M322,0)</f>
        <v>0</v>
      </c>
    </row>
    <row r="323" spans="1:14" x14ac:dyDescent="0.35">
      <c r="A323">
        <v>322</v>
      </c>
      <c r="B323" t="s">
        <v>16</v>
      </c>
      <c r="C323">
        <v>25</v>
      </c>
      <c r="D323" t="s">
        <v>27</v>
      </c>
      <c r="E323" t="s">
        <v>24</v>
      </c>
      <c r="F323">
        <v>12</v>
      </c>
      <c r="G323">
        <v>2</v>
      </c>
      <c r="H323">
        <v>0.34</v>
      </c>
      <c r="I323" t="s">
        <v>19</v>
      </c>
      <c r="J323">
        <v>0</v>
      </c>
      <c r="K323">
        <v>1</v>
      </c>
      <c r="L323">
        <v>1</v>
      </c>
      <c r="M323">
        <f>VLOOKUP(Table1[[#This Row],[subscription_type]],Plans!$A$1:$B$5,2,FALSE)</f>
        <v>4.99</v>
      </c>
      <c r="N323">
        <f t="shared" si="5"/>
        <v>4.99</v>
      </c>
    </row>
    <row r="324" spans="1:14" x14ac:dyDescent="0.35">
      <c r="A324">
        <v>323</v>
      </c>
      <c r="B324" t="s">
        <v>20</v>
      </c>
      <c r="C324">
        <v>55</v>
      </c>
      <c r="D324" t="s">
        <v>27</v>
      </c>
      <c r="E324" t="s">
        <v>18</v>
      </c>
      <c r="F324">
        <v>218</v>
      </c>
      <c r="G324">
        <v>58</v>
      </c>
      <c r="H324">
        <v>0.36</v>
      </c>
      <c r="I324" t="s">
        <v>15</v>
      </c>
      <c r="J324">
        <v>0</v>
      </c>
      <c r="K324">
        <v>1</v>
      </c>
      <c r="L324">
        <v>0</v>
      </c>
      <c r="M324">
        <f>VLOOKUP(Table1[[#This Row],[subscription_type]],Plans!$A$1:$B$5,2,FALSE)</f>
        <v>14.99</v>
      </c>
      <c r="N324">
        <f t="shared" si="5"/>
        <v>0</v>
      </c>
    </row>
    <row r="325" spans="1:14" x14ac:dyDescent="0.35">
      <c r="A325">
        <v>324</v>
      </c>
      <c r="B325" t="s">
        <v>20</v>
      </c>
      <c r="C325">
        <v>17</v>
      </c>
      <c r="D325" t="s">
        <v>26</v>
      </c>
      <c r="E325" t="s">
        <v>14</v>
      </c>
      <c r="F325">
        <v>49</v>
      </c>
      <c r="G325">
        <v>26</v>
      </c>
      <c r="H325">
        <v>0.54</v>
      </c>
      <c r="I325" t="s">
        <v>15</v>
      </c>
      <c r="J325">
        <v>12</v>
      </c>
      <c r="K325">
        <v>0</v>
      </c>
      <c r="L325">
        <v>0</v>
      </c>
      <c r="M325">
        <f>VLOOKUP(Table1[[#This Row],[subscription_type]],Plans!$A$1:$B$5,2,FALSE)</f>
        <v>0</v>
      </c>
      <c r="N325">
        <f t="shared" si="5"/>
        <v>0</v>
      </c>
    </row>
    <row r="326" spans="1:14" x14ac:dyDescent="0.35">
      <c r="A326">
        <v>325</v>
      </c>
      <c r="B326" t="s">
        <v>12</v>
      </c>
      <c r="C326">
        <v>50</v>
      </c>
      <c r="D326" t="s">
        <v>28</v>
      </c>
      <c r="E326" t="s">
        <v>24</v>
      </c>
      <c r="F326">
        <v>66</v>
      </c>
      <c r="G326">
        <v>13</v>
      </c>
      <c r="H326">
        <v>0.57999999999999996</v>
      </c>
      <c r="I326" t="s">
        <v>23</v>
      </c>
      <c r="J326">
        <v>0</v>
      </c>
      <c r="K326">
        <v>1</v>
      </c>
      <c r="L326">
        <v>1</v>
      </c>
      <c r="M326">
        <f>VLOOKUP(Table1[[#This Row],[subscription_type]],Plans!$A$1:$B$5,2,FALSE)</f>
        <v>4.99</v>
      </c>
      <c r="N326">
        <f t="shared" si="5"/>
        <v>4.99</v>
      </c>
    </row>
    <row r="327" spans="1:14" x14ac:dyDescent="0.35">
      <c r="A327">
        <v>326</v>
      </c>
      <c r="B327" t="s">
        <v>16</v>
      </c>
      <c r="C327">
        <v>39</v>
      </c>
      <c r="D327" t="s">
        <v>17</v>
      </c>
      <c r="E327" t="s">
        <v>14</v>
      </c>
      <c r="F327">
        <v>295</v>
      </c>
      <c r="G327">
        <v>20</v>
      </c>
      <c r="H327">
        <v>0.09</v>
      </c>
      <c r="I327" t="s">
        <v>23</v>
      </c>
      <c r="J327">
        <v>21</v>
      </c>
      <c r="K327">
        <v>0</v>
      </c>
      <c r="L327">
        <v>1</v>
      </c>
      <c r="M327">
        <f>VLOOKUP(Table1[[#This Row],[subscription_type]],Plans!$A$1:$B$5,2,FALSE)</f>
        <v>0</v>
      </c>
      <c r="N327">
        <f t="shared" si="5"/>
        <v>0</v>
      </c>
    </row>
    <row r="328" spans="1:14" x14ac:dyDescent="0.35">
      <c r="A328">
        <v>327</v>
      </c>
      <c r="B328" t="s">
        <v>20</v>
      </c>
      <c r="C328">
        <v>26</v>
      </c>
      <c r="D328" t="s">
        <v>21</v>
      </c>
      <c r="E328" t="s">
        <v>24</v>
      </c>
      <c r="F328">
        <v>131</v>
      </c>
      <c r="G328">
        <v>98</v>
      </c>
      <c r="H328">
        <v>0.24</v>
      </c>
      <c r="I328" t="s">
        <v>15</v>
      </c>
      <c r="J328">
        <v>0</v>
      </c>
      <c r="K328">
        <v>1</v>
      </c>
      <c r="L328">
        <v>0</v>
      </c>
      <c r="M328">
        <f>VLOOKUP(Table1[[#This Row],[subscription_type]],Plans!$A$1:$B$5,2,FALSE)</f>
        <v>4.99</v>
      </c>
      <c r="N328">
        <f t="shared" si="5"/>
        <v>0</v>
      </c>
    </row>
    <row r="329" spans="1:14" x14ac:dyDescent="0.35">
      <c r="A329">
        <v>328</v>
      </c>
      <c r="B329" t="s">
        <v>16</v>
      </c>
      <c r="C329">
        <v>34</v>
      </c>
      <c r="D329" t="s">
        <v>26</v>
      </c>
      <c r="E329" t="s">
        <v>14</v>
      </c>
      <c r="F329">
        <v>203</v>
      </c>
      <c r="G329">
        <v>10</v>
      </c>
      <c r="H329">
        <v>0.1</v>
      </c>
      <c r="I329" t="s">
        <v>15</v>
      </c>
      <c r="J329">
        <v>42</v>
      </c>
      <c r="K329">
        <v>0</v>
      </c>
      <c r="L329">
        <v>0</v>
      </c>
      <c r="M329">
        <f>VLOOKUP(Table1[[#This Row],[subscription_type]],Plans!$A$1:$B$5,2,FALSE)</f>
        <v>0</v>
      </c>
      <c r="N329">
        <f t="shared" si="5"/>
        <v>0</v>
      </c>
    </row>
    <row r="330" spans="1:14" x14ac:dyDescent="0.35">
      <c r="A330">
        <v>329</v>
      </c>
      <c r="B330" t="s">
        <v>12</v>
      </c>
      <c r="C330">
        <v>32</v>
      </c>
      <c r="D330" t="s">
        <v>13</v>
      </c>
      <c r="E330" t="s">
        <v>22</v>
      </c>
      <c r="F330">
        <v>201</v>
      </c>
      <c r="G330">
        <v>38</v>
      </c>
      <c r="H330">
        <v>0.44</v>
      </c>
      <c r="I330" t="s">
        <v>19</v>
      </c>
      <c r="J330">
        <v>0</v>
      </c>
      <c r="K330">
        <v>1</v>
      </c>
      <c r="L330">
        <v>0</v>
      </c>
      <c r="M330">
        <f>VLOOKUP(Table1[[#This Row],[subscription_type]],Plans!$A$1:$B$5,2,FALSE)</f>
        <v>9.99</v>
      </c>
      <c r="N330">
        <f t="shared" si="5"/>
        <v>0</v>
      </c>
    </row>
    <row r="331" spans="1:14" x14ac:dyDescent="0.35">
      <c r="A331">
        <v>330</v>
      </c>
      <c r="B331" t="s">
        <v>12</v>
      </c>
      <c r="C331">
        <v>40</v>
      </c>
      <c r="D331" t="s">
        <v>13</v>
      </c>
      <c r="E331" t="s">
        <v>24</v>
      </c>
      <c r="F331">
        <v>59</v>
      </c>
      <c r="G331">
        <v>35</v>
      </c>
      <c r="H331">
        <v>0.37</v>
      </c>
      <c r="I331" t="s">
        <v>15</v>
      </c>
      <c r="J331">
        <v>0</v>
      </c>
      <c r="K331">
        <v>1</v>
      </c>
      <c r="L331">
        <v>0</v>
      </c>
      <c r="M331">
        <f>VLOOKUP(Table1[[#This Row],[subscription_type]],Plans!$A$1:$B$5,2,FALSE)</f>
        <v>4.99</v>
      </c>
      <c r="N331">
        <f t="shared" si="5"/>
        <v>0</v>
      </c>
    </row>
    <row r="332" spans="1:14" x14ac:dyDescent="0.35">
      <c r="A332">
        <v>331</v>
      </c>
      <c r="B332" t="s">
        <v>20</v>
      </c>
      <c r="C332">
        <v>32</v>
      </c>
      <c r="D332" t="s">
        <v>25</v>
      </c>
      <c r="E332" t="s">
        <v>18</v>
      </c>
      <c r="F332">
        <v>119</v>
      </c>
      <c r="G332">
        <v>39</v>
      </c>
      <c r="H332">
        <v>0.45</v>
      </c>
      <c r="I332" t="s">
        <v>19</v>
      </c>
      <c r="J332">
        <v>0</v>
      </c>
      <c r="K332">
        <v>1</v>
      </c>
      <c r="L332">
        <v>0</v>
      </c>
      <c r="M332">
        <f>VLOOKUP(Table1[[#This Row],[subscription_type]],Plans!$A$1:$B$5,2,FALSE)</f>
        <v>14.99</v>
      </c>
      <c r="N332">
        <f t="shared" si="5"/>
        <v>0</v>
      </c>
    </row>
    <row r="333" spans="1:14" x14ac:dyDescent="0.35">
      <c r="A333">
        <v>332</v>
      </c>
      <c r="B333" t="s">
        <v>12</v>
      </c>
      <c r="C333">
        <v>51</v>
      </c>
      <c r="D333" t="s">
        <v>13</v>
      </c>
      <c r="E333" t="s">
        <v>22</v>
      </c>
      <c r="F333">
        <v>219</v>
      </c>
      <c r="G333">
        <v>96</v>
      </c>
      <c r="H333">
        <v>0.51</v>
      </c>
      <c r="I333" t="s">
        <v>19</v>
      </c>
      <c r="J333">
        <v>0</v>
      </c>
      <c r="K333">
        <v>1</v>
      </c>
      <c r="L333">
        <v>1</v>
      </c>
      <c r="M333">
        <f>VLOOKUP(Table1[[#This Row],[subscription_type]],Plans!$A$1:$B$5,2,FALSE)</f>
        <v>9.99</v>
      </c>
      <c r="N333">
        <f t="shared" si="5"/>
        <v>9.99</v>
      </c>
    </row>
    <row r="334" spans="1:14" x14ac:dyDescent="0.35">
      <c r="A334">
        <v>333</v>
      </c>
      <c r="B334" t="s">
        <v>20</v>
      </c>
      <c r="C334">
        <v>46</v>
      </c>
      <c r="D334" t="s">
        <v>13</v>
      </c>
      <c r="E334" t="s">
        <v>18</v>
      </c>
      <c r="F334">
        <v>152</v>
      </c>
      <c r="G334">
        <v>83</v>
      </c>
      <c r="H334">
        <v>0.57999999999999996</v>
      </c>
      <c r="I334" t="s">
        <v>23</v>
      </c>
      <c r="J334">
        <v>0</v>
      </c>
      <c r="K334">
        <v>1</v>
      </c>
      <c r="L334">
        <v>0</v>
      </c>
      <c r="M334">
        <f>VLOOKUP(Table1[[#This Row],[subscription_type]],Plans!$A$1:$B$5,2,FALSE)</f>
        <v>14.99</v>
      </c>
      <c r="N334">
        <f t="shared" si="5"/>
        <v>0</v>
      </c>
    </row>
    <row r="335" spans="1:14" x14ac:dyDescent="0.35">
      <c r="A335">
        <v>334</v>
      </c>
      <c r="B335" t="s">
        <v>12</v>
      </c>
      <c r="C335">
        <v>51</v>
      </c>
      <c r="D335" t="s">
        <v>13</v>
      </c>
      <c r="E335" t="s">
        <v>22</v>
      </c>
      <c r="F335">
        <v>157</v>
      </c>
      <c r="G335">
        <v>9</v>
      </c>
      <c r="H335">
        <v>0.56999999999999995</v>
      </c>
      <c r="I335" t="s">
        <v>19</v>
      </c>
      <c r="J335">
        <v>0</v>
      </c>
      <c r="K335">
        <v>1</v>
      </c>
      <c r="L335">
        <v>0</v>
      </c>
      <c r="M335">
        <f>VLOOKUP(Table1[[#This Row],[subscription_type]],Plans!$A$1:$B$5,2,FALSE)</f>
        <v>9.99</v>
      </c>
      <c r="N335">
        <f t="shared" si="5"/>
        <v>0</v>
      </c>
    </row>
    <row r="336" spans="1:14" x14ac:dyDescent="0.35">
      <c r="A336">
        <v>335</v>
      </c>
      <c r="B336" t="s">
        <v>12</v>
      </c>
      <c r="C336">
        <v>38</v>
      </c>
      <c r="D336" t="s">
        <v>13</v>
      </c>
      <c r="E336" t="s">
        <v>14</v>
      </c>
      <c r="F336">
        <v>89</v>
      </c>
      <c r="G336">
        <v>59</v>
      </c>
      <c r="H336">
        <v>0.15</v>
      </c>
      <c r="I336" t="s">
        <v>23</v>
      </c>
      <c r="J336">
        <v>21</v>
      </c>
      <c r="K336">
        <v>0</v>
      </c>
      <c r="L336">
        <v>0</v>
      </c>
      <c r="M336">
        <f>VLOOKUP(Table1[[#This Row],[subscription_type]],Plans!$A$1:$B$5,2,FALSE)</f>
        <v>0</v>
      </c>
      <c r="N336">
        <f t="shared" si="5"/>
        <v>0</v>
      </c>
    </row>
    <row r="337" spans="1:14" x14ac:dyDescent="0.35">
      <c r="A337">
        <v>336</v>
      </c>
      <c r="B337" t="s">
        <v>12</v>
      </c>
      <c r="C337">
        <v>54</v>
      </c>
      <c r="D337" t="s">
        <v>28</v>
      </c>
      <c r="E337" t="s">
        <v>18</v>
      </c>
      <c r="F337">
        <v>63</v>
      </c>
      <c r="G337">
        <v>68</v>
      </c>
      <c r="H337">
        <v>0.21</v>
      </c>
      <c r="I337" t="s">
        <v>23</v>
      </c>
      <c r="J337">
        <v>0</v>
      </c>
      <c r="K337">
        <v>1</v>
      </c>
      <c r="L337">
        <v>0</v>
      </c>
      <c r="M337">
        <f>VLOOKUP(Table1[[#This Row],[subscription_type]],Plans!$A$1:$B$5,2,FALSE)</f>
        <v>14.99</v>
      </c>
      <c r="N337">
        <f t="shared" si="5"/>
        <v>0</v>
      </c>
    </row>
    <row r="338" spans="1:14" x14ac:dyDescent="0.35">
      <c r="A338">
        <v>337</v>
      </c>
      <c r="B338" t="s">
        <v>20</v>
      </c>
      <c r="C338">
        <v>59</v>
      </c>
      <c r="D338" t="s">
        <v>26</v>
      </c>
      <c r="E338" t="s">
        <v>22</v>
      </c>
      <c r="F338">
        <v>93</v>
      </c>
      <c r="G338">
        <v>36</v>
      </c>
      <c r="H338">
        <v>0.39</v>
      </c>
      <c r="I338" t="s">
        <v>15</v>
      </c>
      <c r="J338">
        <v>0</v>
      </c>
      <c r="K338">
        <v>1</v>
      </c>
      <c r="L338">
        <v>0</v>
      </c>
      <c r="M338">
        <f>VLOOKUP(Table1[[#This Row],[subscription_type]],Plans!$A$1:$B$5,2,FALSE)</f>
        <v>9.99</v>
      </c>
      <c r="N338">
        <f t="shared" si="5"/>
        <v>0</v>
      </c>
    </row>
    <row r="339" spans="1:14" x14ac:dyDescent="0.35">
      <c r="A339">
        <v>338</v>
      </c>
      <c r="B339" t="s">
        <v>16</v>
      </c>
      <c r="C339">
        <v>41</v>
      </c>
      <c r="D339" t="s">
        <v>21</v>
      </c>
      <c r="E339" t="s">
        <v>24</v>
      </c>
      <c r="F339">
        <v>97</v>
      </c>
      <c r="G339">
        <v>78</v>
      </c>
      <c r="H339">
        <v>0.02</v>
      </c>
      <c r="I339" t="s">
        <v>19</v>
      </c>
      <c r="J339">
        <v>0</v>
      </c>
      <c r="K339">
        <v>1</v>
      </c>
      <c r="L339">
        <v>0</v>
      </c>
      <c r="M339">
        <f>VLOOKUP(Table1[[#This Row],[subscription_type]],Plans!$A$1:$B$5,2,FALSE)</f>
        <v>4.99</v>
      </c>
      <c r="N339">
        <f t="shared" si="5"/>
        <v>0</v>
      </c>
    </row>
    <row r="340" spans="1:14" x14ac:dyDescent="0.35">
      <c r="A340">
        <v>339</v>
      </c>
      <c r="B340" t="s">
        <v>16</v>
      </c>
      <c r="C340">
        <v>34</v>
      </c>
      <c r="D340" t="s">
        <v>27</v>
      </c>
      <c r="E340" t="s">
        <v>22</v>
      </c>
      <c r="F340">
        <v>289</v>
      </c>
      <c r="G340">
        <v>79</v>
      </c>
      <c r="H340">
        <v>0.09</v>
      </c>
      <c r="I340" t="s">
        <v>15</v>
      </c>
      <c r="J340">
        <v>0</v>
      </c>
      <c r="K340">
        <v>1</v>
      </c>
      <c r="L340">
        <v>0</v>
      </c>
      <c r="M340">
        <f>VLOOKUP(Table1[[#This Row],[subscription_type]],Plans!$A$1:$B$5,2,FALSE)</f>
        <v>9.99</v>
      </c>
      <c r="N340">
        <f t="shared" si="5"/>
        <v>0</v>
      </c>
    </row>
    <row r="341" spans="1:14" x14ac:dyDescent="0.35">
      <c r="A341">
        <v>340</v>
      </c>
      <c r="B341" t="s">
        <v>12</v>
      </c>
      <c r="C341">
        <v>55</v>
      </c>
      <c r="D341" t="s">
        <v>27</v>
      </c>
      <c r="E341" t="s">
        <v>18</v>
      </c>
      <c r="F341">
        <v>291</v>
      </c>
      <c r="G341">
        <v>39</v>
      </c>
      <c r="H341">
        <v>0.3</v>
      </c>
      <c r="I341" t="s">
        <v>23</v>
      </c>
      <c r="J341">
        <v>0</v>
      </c>
      <c r="K341">
        <v>1</v>
      </c>
      <c r="L341">
        <v>1</v>
      </c>
      <c r="M341">
        <f>VLOOKUP(Table1[[#This Row],[subscription_type]],Plans!$A$1:$B$5,2,FALSE)</f>
        <v>14.99</v>
      </c>
      <c r="N341">
        <f t="shared" si="5"/>
        <v>14.99</v>
      </c>
    </row>
    <row r="342" spans="1:14" x14ac:dyDescent="0.35">
      <c r="A342">
        <v>341</v>
      </c>
      <c r="B342" t="s">
        <v>12</v>
      </c>
      <c r="C342">
        <v>34</v>
      </c>
      <c r="D342" t="s">
        <v>26</v>
      </c>
      <c r="E342" t="s">
        <v>18</v>
      </c>
      <c r="F342">
        <v>291</v>
      </c>
      <c r="G342">
        <v>70</v>
      </c>
      <c r="H342">
        <v>0.22</v>
      </c>
      <c r="I342" t="s">
        <v>15</v>
      </c>
      <c r="J342">
        <v>0</v>
      </c>
      <c r="K342">
        <v>1</v>
      </c>
      <c r="L342">
        <v>0</v>
      </c>
      <c r="M342">
        <f>VLOOKUP(Table1[[#This Row],[subscription_type]],Plans!$A$1:$B$5,2,FALSE)</f>
        <v>14.99</v>
      </c>
      <c r="N342">
        <f t="shared" si="5"/>
        <v>0</v>
      </c>
    </row>
    <row r="343" spans="1:14" x14ac:dyDescent="0.35">
      <c r="A343">
        <v>342</v>
      </c>
      <c r="B343" t="s">
        <v>12</v>
      </c>
      <c r="C343">
        <v>20</v>
      </c>
      <c r="D343" t="s">
        <v>26</v>
      </c>
      <c r="E343" t="s">
        <v>24</v>
      </c>
      <c r="F343">
        <v>218</v>
      </c>
      <c r="G343">
        <v>76</v>
      </c>
      <c r="H343">
        <v>0.57999999999999996</v>
      </c>
      <c r="I343" t="s">
        <v>19</v>
      </c>
      <c r="J343">
        <v>0</v>
      </c>
      <c r="K343">
        <v>1</v>
      </c>
      <c r="L343">
        <v>1</v>
      </c>
      <c r="M343">
        <f>VLOOKUP(Table1[[#This Row],[subscription_type]],Plans!$A$1:$B$5,2,FALSE)</f>
        <v>4.99</v>
      </c>
      <c r="N343">
        <f t="shared" si="5"/>
        <v>4.99</v>
      </c>
    </row>
    <row r="344" spans="1:14" x14ac:dyDescent="0.35">
      <c r="A344">
        <v>343</v>
      </c>
      <c r="B344" t="s">
        <v>12</v>
      </c>
      <c r="C344">
        <v>20</v>
      </c>
      <c r="D344" t="s">
        <v>13</v>
      </c>
      <c r="E344" t="s">
        <v>22</v>
      </c>
      <c r="F344">
        <v>56</v>
      </c>
      <c r="G344">
        <v>55</v>
      </c>
      <c r="H344">
        <v>0.18</v>
      </c>
      <c r="I344" t="s">
        <v>19</v>
      </c>
      <c r="J344">
        <v>0</v>
      </c>
      <c r="K344">
        <v>1</v>
      </c>
      <c r="L344">
        <v>0</v>
      </c>
      <c r="M344">
        <f>VLOOKUP(Table1[[#This Row],[subscription_type]],Plans!$A$1:$B$5,2,FALSE)</f>
        <v>9.99</v>
      </c>
      <c r="N344">
        <f t="shared" si="5"/>
        <v>0</v>
      </c>
    </row>
    <row r="345" spans="1:14" x14ac:dyDescent="0.35">
      <c r="A345">
        <v>344</v>
      </c>
      <c r="B345" t="s">
        <v>20</v>
      </c>
      <c r="C345">
        <v>32</v>
      </c>
      <c r="D345" t="s">
        <v>27</v>
      </c>
      <c r="E345" t="s">
        <v>24</v>
      </c>
      <c r="F345">
        <v>157</v>
      </c>
      <c r="G345">
        <v>12</v>
      </c>
      <c r="H345">
        <v>0.48</v>
      </c>
      <c r="I345" t="s">
        <v>19</v>
      </c>
      <c r="J345">
        <v>0</v>
      </c>
      <c r="K345">
        <v>1</v>
      </c>
      <c r="L345">
        <v>1</v>
      </c>
      <c r="M345">
        <f>VLOOKUP(Table1[[#This Row],[subscription_type]],Plans!$A$1:$B$5,2,FALSE)</f>
        <v>4.99</v>
      </c>
      <c r="N345">
        <f t="shared" si="5"/>
        <v>4.99</v>
      </c>
    </row>
    <row r="346" spans="1:14" x14ac:dyDescent="0.35">
      <c r="A346">
        <v>345</v>
      </c>
      <c r="B346" t="s">
        <v>12</v>
      </c>
      <c r="C346">
        <v>37</v>
      </c>
      <c r="D346" t="s">
        <v>17</v>
      </c>
      <c r="E346" t="s">
        <v>24</v>
      </c>
      <c r="F346">
        <v>171</v>
      </c>
      <c r="G346">
        <v>65</v>
      </c>
      <c r="H346">
        <v>0.52</v>
      </c>
      <c r="I346" t="s">
        <v>19</v>
      </c>
      <c r="J346">
        <v>0</v>
      </c>
      <c r="K346">
        <v>1</v>
      </c>
      <c r="L346">
        <v>1</v>
      </c>
      <c r="M346">
        <f>VLOOKUP(Table1[[#This Row],[subscription_type]],Plans!$A$1:$B$5,2,FALSE)</f>
        <v>4.99</v>
      </c>
      <c r="N346">
        <f t="shared" si="5"/>
        <v>4.99</v>
      </c>
    </row>
    <row r="347" spans="1:14" x14ac:dyDescent="0.35">
      <c r="A347">
        <v>346</v>
      </c>
      <c r="B347" t="s">
        <v>16</v>
      </c>
      <c r="C347">
        <v>50</v>
      </c>
      <c r="D347" t="s">
        <v>13</v>
      </c>
      <c r="E347" t="s">
        <v>18</v>
      </c>
      <c r="F347">
        <v>16</v>
      </c>
      <c r="G347">
        <v>64</v>
      </c>
      <c r="H347">
        <v>0.05</v>
      </c>
      <c r="I347" t="s">
        <v>19</v>
      </c>
      <c r="J347">
        <v>0</v>
      </c>
      <c r="K347">
        <v>1</v>
      </c>
      <c r="L347">
        <v>0</v>
      </c>
      <c r="M347">
        <f>VLOOKUP(Table1[[#This Row],[subscription_type]],Plans!$A$1:$B$5,2,FALSE)</f>
        <v>14.99</v>
      </c>
      <c r="N347">
        <f t="shared" si="5"/>
        <v>0</v>
      </c>
    </row>
    <row r="348" spans="1:14" x14ac:dyDescent="0.35">
      <c r="A348">
        <v>347</v>
      </c>
      <c r="B348" t="s">
        <v>12</v>
      </c>
      <c r="C348">
        <v>21</v>
      </c>
      <c r="D348" t="s">
        <v>17</v>
      </c>
      <c r="E348" t="s">
        <v>18</v>
      </c>
      <c r="F348">
        <v>207</v>
      </c>
      <c r="G348">
        <v>21</v>
      </c>
      <c r="H348">
        <v>0.18</v>
      </c>
      <c r="I348" t="s">
        <v>19</v>
      </c>
      <c r="J348">
        <v>0</v>
      </c>
      <c r="K348">
        <v>1</v>
      </c>
      <c r="L348">
        <v>1</v>
      </c>
      <c r="M348">
        <f>VLOOKUP(Table1[[#This Row],[subscription_type]],Plans!$A$1:$B$5,2,FALSE)</f>
        <v>14.99</v>
      </c>
      <c r="N348">
        <f t="shared" si="5"/>
        <v>14.99</v>
      </c>
    </row>
    <row r="349" spans="1:14" x14ac:dyDescent="0.35">
      <c r="A349">
        <v>348</v>
      </c>
      <c r="B349" t="s">
        <v>20</v>
      </c>
      <c r="C349">
        <v>48</v>
      </c>
      <c r="D349" t="s">
        <v>25</v>
      </c>
      <c r="E349" t="s">
        <v>22</v>
      </c>
      <c r="F349">
        <v>123</v>
      </c>
      <c r="G349">
        <v>37</v>
      </c>
      <c r="H349">
        <v>0.27</v>
      </c>
      <c r="I349" t="s">
        <v>19</v>
      </c>
      <c r="J349">
        <v>0</v>
      </c>
      <c r="K349">
        <v>1</v>
      </c>
      <c r="L349">
        <v>0</v>
      </c>
      <c r="M349">
        <f>VLOOKUP(Table1[[#This Row],[subscription_type]],Plans!$A$1:$B$5,2,FALSE)</f>
        <v>9.99</v>
      </c>
      <c r="N349">
        <f t="shared" si="5"/>
        <v>0</v>
      </c>
    </row>
    <row r="350" spans="1:14" x14ac:dyDescent="0.35">
      <c r="A350">
        <v>349</v>
      </c>
      <c r="B350" t="s">
        <v>20</v>
      </c>
      <c r="C350">
        <v>46</v>
      </c>
      <c r="D350" t="s">
        <v>27</v>
      </c>
      <c r="E350" t="s">
        <v>22</v>
      </c>
      <c r="F350">
        <v>55</v>
      </c>
      <c r="G350">
        <v>48</v>
      </c>
      <c r="H350">
        <v>0.47</v>
      </c>
      <c r="I350" t="s">
        <v>19</v>
      </c>
      <c r="J350">
        <v>0</v>
      </c>
      <c r="K350">
        <v>1</v>
      </c>
      <c r="L350">
        <v>1</v>
      </c>
      <c r="M350">
        <f>VLOOKUP(Table1[[#This Row],[subscription_type]],Plans!$A$1:$B$5,2,FALSE)</f>
        <v>9.99</v>
      </c>
      <c r="N350">
        <f t="shared" si="5"/>
        <v>9.99</v>
      </c>
    </row>
    <row r="351" spans="1:14" x14ac:dyDescent="0.35">
      <c r="A351">
        <v>350</v>
      </c>
      <c r="B351" t="s">
        <v>16</v>
      </c>
      <c r="C351">
        <v>44</v>
      </c>
      <c r="D351" t="s">
        <v>21</v>
      </c>
      <c r="E351" t="s">
        <v>14</v>
      </c>
      <c r="F351">
        <v>49</v>
      </c>
      <c r="G351">
        <v>43</v>
      </c>
      <c r="H351">
        <v>0.25</v>
      </c>
      <c r="I351" t="s">
        <v>15</v>
      </c>
      <c r="J351">
        <v>5</v>
      </c>
      <c r="K351">
        <v>0</v>
      </c>
      <c r="L351">
        <v>0</v>
      </c>
      <c r="M351">
        <f>VLOOKUP(Table1[[#This Row],[subscription_type]],Plans!$A$1:$B$5,2,FALSE)</f>
        <v>0</v>
      </c>
      <c r="N351">
        <f t="shared" si="5"/>
        <v>0</v>
      </c>
    </row>
    <row r="352" spans="1:14" x14ac:dyDescent="0.35">
      <c r="A352">
        <v>351</v>
      </c>
      <c r="B352" t="s">
        <v>12</v>
      </c>
      <c r="C352">
        <v>55</v>
      </c>
      <c r="D352" t="s">
        <v>29</v>
      </c>
      <c r="E352" t="s">
        <v>14</v>
      </c>
      <c r="F352">
        <v>62</v>
      </c>
      <c r="G352">
        <v>57</v>
      </c>
      <c r="H352">
        <v>0.57999999999999996</v>
      </c>
      <c r="I352" t="s">
        <v>19</v>
      </c>
      <c r="J352">
        <v>7</v>
      </c>
      <c r="K352">
        <v>0</v>
      </c>
      <c r="L352">
        <v>0</v>
      </c>
      <c r="M352">
        <f>VLOOKUP(Table1[[#This Row],[subscription_type]],Plans!$A$1:$B$5,2,FALSE)</f>
        <v>0</v>
      </c>
      <c r="N352">
        <f t="shared" si="5"/>
        <v>0</v>
      </c>
    </row>
    <row r="353" spans="1:14" x14ac:dyDescent="0.35">
      <c r="A353">
        <v>352</v>
      </c>
      <c r="B353" t="s">
        <v>12</v>
      </c>
      <c r="C353">
        <v>57</v>
      </c>
      <c r="D353" t="s">
        <v>21</v>
      </c>
      <c r="E353" t="s">
        <v>24</v>
      </c>
      <c r="F353">
        <v>85</v>
      </c>
      <c r="G353">
        <v>32</v>
      </c>
      <c r="H353">
        <v>0</v>
      </c>
      <c r="I353" t="s">
        <v>15</v>
      </c>
      <c r="J353">
        <v>0</v>
      </c>
      <c r="K353">
        <v>1</v>
      </c>
      <c r="L353">
        <v>0</v>
      </c>
      <c r="M353">
        <f>VLOOKUP(Table1[[#This Row],[subscription_type]],Plans!$A$1:$B$5,2,FALSE)</f>
        <v>4.99</v>
      </c>
      <c r="N353">
        <f t="shared" si="5"/>
        <v>0</v>
      </c>
    </row>
    <row r="354" spans="1:14" x14ac:dyDescent="0.35">
      <c r="A354">
        <v>353</v>
      </c>
      <c r="B354" t="s">
        <v>16</v>
      </c>
      <c r="C354">
        <v>41</v>
      </c>
      <c r="D354" t="s">
        <v>13</v>
      </c>
      <c r="E354" t="s">
        <v>18</v>
      </c>
      <c r="F354">
        <v>78</v>
      </c>
      <c r="G354">
        <v>33</v>
      </c>
      <c r="H354">
        <v>0.04</v>
      </c>
      <c r="I354" t="s">
        <v>15</v>
      </c>
      <c r="J354">
        <v>0</v>
      </c>
      <c r="K354">
        <v>1</v>
      </c>
      <c r="L354">
        <v>0</v>
      </c>
      <c r="M354">
        <f>VLOOKUP(Table1[[#This Row],[subscription_type]],Plans!$A$1:$B$5,2,FALSE)</f>
        <v>14.99</v>
      </c>
      <c r="N354">
        <f t="shared" si="5"/>
        <v>0</v>
      </c>
    </row>
    <row r="355" spans="1:14" x14ac:dyDescent="0.35">
      <c r="A355">
        <v>354</v>
      </c>
      <c r="B355" t="s">
        <v>20</v>
      </c>
      <c r="C355">
        <v>50</v>
      </c>
      <c r="D355" t="s">
        <v>13</v>
      </c>
      <c r="E355" t="s">
        <v>14</v>
      </c>
      <c r="F355">
        <v>107</v>
      </c>
      <c r="G355">
        <v>7</v>
      </c>
      <c r="H355">
        <v>0.42</v>
      </c>
      <c r="I355" t="s">
        <v>15</v>
      </c>
      <c r="J355">
        <v>27</v>
      </c>
      <c r="K355">
        <v>0</v>
      </c>
      <c r="L355">
        <v>1</v>
      </c>
      <c r="M355">
        <f>VLOOKUP(Table1[[#This Row],[subscription_type]],Plans!$A$1:$B$5,2,FALSE)</f>
        <v>0</v>
      </c>
      <c r="N355">
        <f t="shared" si="5"/>
        <v>0</v>
      </c>
    </row>
    <row r="356" spans="1:14" x14ac:dyDescent="0.35">
      <c r="A356">
        <v>355</v>
      </c>
      <c r="B356" t="s">
        <v>16</v>
      </c>
      <c r="C356">
        <v>32</v>
      </c>
      <c r="D356" t="s">
        <v>28</v>
      </c>
      <c r="E356" t="s">
        <v>14</v>
      </c>
      <c r="F356">
        <v>202</v>
      </c>
      <c r="G356">
        <v>29</v>
      </c>
      <c r="H356">
        <v>0.14000000000000001</v>
      </c>
      <c r="I356" t="s">
        <v>19</v>
      </c>
      <c r="J356">
        <v>41</v>
      </c>
      <c r="K356">
        <v>0</v>
      </c>
      <c r="L356">
        <v>0</v>
      </c>
      <c r="M356">
        <f>VLOOKUP(Table1[[#This Row],[subscription_type]],Plans!$A$1:$B$5,2,FALSE)</f>
        <v>0</v>
      </c>
      <c r="N356">
        <f t="shared" si="5"/>
        <v>0</v>
      </c>
    </row>
    <row r="357" spans="1:14" x14ac:dyDescent="0.35">
      <c r="A357">
        <v>356</v>
      </c>
      <c r="B357" t="s">
        <v>20</v>
      </c>
      <c r="C357">
        <v>51</v>
      </c>
      <c r="D357" t="s">
        <v>29</v>
      </c>
      <c r="E357" t="s">
        <v>18</v>
      </c>
      <c r="F357">
        <v>211</v>
      </c>
      <c r="G357">
        <v>25</v>
      </c>
      <c r="H357">
        <v>0.51</v>
      </c>
      <c r="I357" t="s">
        <v>23</v>
      </c>
      <c r="J357">
        <v>0</v>
      </c>
      <c r="K357">
        <v>1</v>
      </c>
      <c r="L357">
        <v>0</v>
      </c>
      <c r="M357">
        <f>VLOOKUP(Table1[[#This Row],[subscription_type]],Plans!$A$1:$B$5,2,FALSE)</f>
        <v>14.99</v>
      </c>
      <c r="N357">
        <f t="shared" si="5"/>
        <v>0</v>
      </c>
    </row>
    <row r="358" spans="1:14" x14ac:dyDescent="0.35">
      <c r="A358">
        <v>357</v>
      </c>
      <c r="B358" t="s">
        <v>12</v>
      </c>
      <c r="C358">
        <v>26</v>
      </c>
      <c r="D358" t="s">
        <v>28</v>
      </c>
      <c r="E358" t="s">
        <v>14</v>
      </c>
      <c r="F358">
        <v>73</v>
      </c>
      <c r="G358">
        <v>27</v>
      </c>
      <c r="H358">
        <v>0.19</v>
      </c>
      <c r="I358" t="s">
        <v>19</v>
      </c>
      <c r="J358">
        <v>26</v>
      </c>
      <c r="K358">
        <v>0</v>
      </c>
      <c r="L358">
        <v>1</v>
      </c>
      <c r="M358">
        <f>VLOOKUP(Table1[[#This Row],[subscription_type]],Plans!$A$1:$B$5,2,FALSE)</f>
        <v>0</v>
      </c>
      <c r="N358">
        <f t="shared" si="5"/>
        <v>0</v>
      </c>
    </row>
    <row r="359" spans="1:14" x14ac:dyDescent="0.35">
      <c r="A359">
        <v>358</v>
      </c>
      <c r="B359" t="s">
        <v>20</v>
      </c>
      <c r="C359">
        <v>22</v>
      </c>
      <c r="D359" t="s">
        <v>29</v>
      </c>
      <c r="E359" t="s">
        <v>22</v>
      </c>
      <c r="F359">
        <v>229</v>
      </c>
      <c r="G359">
        <v>70</v>
      </c>
      <c r="H359">
        <v>0.02</v>
      </c>
      <c r="I359" t="s">
        <v>15</v>
      </c>
      <c r="J359">
        <v>0</v>
      </c>
      <c r="K359">
        <v>1</v>
      </c>
      <c r="L359">
        <v>0</v>
      </c>
      <c r="M359">
        <f>VLOOKUP(Table1[[#This Row],[subscription_type]],Plans!$A$1:$B$5,2,FALSE)</f>
        <v>9.99</v>
      </c>
      <c r="N359">
        <f t="shared" si="5"/>
        <v>0</v>
      </c>
    </row>
    <row r="360" spans="1:14" x14ac:dyDescent="0.35">
      <c r="A360">
        <v>359</v>
      </c>
      <c r="B360" t="s">
        <v>16</v>
      </c>
      <c r="C360">
        <v>19</v>
      </c>
      <c r="D360" t="s">
        <v>26</v>
      </c>
      <c r="E360" t="s">
        <v>14</v>
      </c>
      <c r="F360">
        <v>164</v>
      </c>
      <c r="G360">
        <v>21</v>
      </c>
      <c r="H360">
        <v>0.53</v>
      </c>
      <c r="I360" t="s">
        <v>15</v>
      </c>
      <c r="J360">
        <v>8</v>
      </c>
      <c r="K360">
        <v>0</v>
      </c>
      <c r="L360">
        <v>0</v>
      </c>
      <c r="M360">
        <f>VLOOKUP(Table1[[#This Row],[subscription_type]],Plans!$A$1:$B$5,2,FALSE)</f>
        <v>0</v>
      </c>
      <c r="N360">
        <f t="shared" si="5"/>
        <v>0</v>
      </c>
    </row>
    <row r="361" spans="1:14" x14ac:dyDescent="0.35">
      <c r="A361">
        <v>360</v>
      </c>
      <c r="B361" t="s">
        <v>12</v>
      </c>
      <c r="C361">
        <v>49</v>
      </c>
      <c r="D361" t="s">
        <v>17</v>
      </c>
      <c r="E361" t="s">
        <v>18</v>
      </c>
      <c r="F361">
        <v>61</v>
      </c>
      <c r="G361">
        <v>33</v>
      </c>
      <c r="H361">
        <v>0.48</v>
      </c>
      <c r="I361" t="s">
        <v>15</v>
      </c>
      <c r="J361">
        <v>0</v>
      </c>
      <c r="K361">
        <v>1</v>
      </c>
      <c r="L361">
        <v>1</v>
      </c>
      <c r="M361">
        <f>VLOOKUP(Table1[[#This Row],[subscription_type]],Plans!$A$1:$B$5,2,FALSE)</f>
        <v>14.99</v>
      </c>
      <c r="N361">
        <f t="shared" si="5"/>
        <v>14.99</v>
      </c>
    </row>
    <row r="362" spans="1:14" x14ac:dyDescent="0.35">
      <c r="A362">
        <v>361</v>
      </c>
      <c r="B362" t="s">
        <v>20</v>
      </c>
      <c r="C362">
        <v>56</v>
      </c>
      <c r="D362" t="s">
        <v>27</v>
      </c>
      <c r="E362" t="s">
        <v>14</v>
      </c>
      <c r="F362">
        <v>164</v>
      </c>
      <c r="G362">
        <v>66</v>
      </c>
      <c r="H362">
        <v>0.3</v>
      </c>
      <c r="I362" t="s">
        <v>15</v>
      </c>
      <c r="J362">
        <v>34</v>
      </c>
      <c r="K362">
        <v>0</v>
      </c>
      <c r="L362">
        <v>0</v>
      </c>
      <c r="M362">
        <f>VLOOKUP(Table1[[#This Row],[subscription_type]],Plans!$A$1:$B$5,2,FALSE)</f>
        <v>0</v>
      </c>
      <c r="N362">
        <f t="shared" si="5"/>
        <v>0</v>
      </c>
    </row>
    <row r="363" spans="1:14" x14ac:dyDescent="0.35">
      <c r="A363">
        <v>362</v>
      </c>
      <c r="B363" t="s">
        <v>16</v>
      </c>
      <c r="C363">
        <v>39</v>
      </c>
      <c r="D363" t="s">
        <v>29</v>
      </c>
      <c r="E363" t="s">
        <v>14</v>
      </c>
      <c r="F363">
        <v>232</v>
      </c>
      <c r="G363">
        <v>2</v>
      </c>
      <c r="H363">
        <v>0.14000000000000001</v>
      </c>
      <c r="I363" t="s">
        <v>23</v>
      </c>
      <c r="J363">
        <v>27</v>
      </c>
      <c r="K363">
        <v>0</v>
      </c>
      <c r="L363">
        <v>0</v>
      </c>
      <c r="M363">
        <f>VLOOKUP(Table1[[#This Row],[subscription_type]],Plans!$A$1:$B$5,2,FALSE)</f>
        <v>0</v>
      </c>
      <c r="N363">
        <f t="shared" si="5"/>
        <v>0</v>
      </c>
    </row>
    <row r="364" spans="1:14" x14ac:dyDescent="0.35">
      <c r="A364">
        <v>363</v>
      </c>
      <c r="B364" t="s">
        <v>16</v>
      </c>
      <c r="C364">
        <v>57</v>
      </c>
      <c r="D364" t="s">
        <v>29</v>
      </c>
      <c r="E364" t="s">
        <v>24</v>
      </c>
      <c r="F364">
        <v>146</v>
      </c>
      <c r="G364">
        <v>98</v>
      </c>
      <c r="H364">
        <v>0.06</v>
      </c>
      <c r="I364" t="s">
        <v>23</v>
      </c>
      <c r="J364">
        <v>0</v>
      </c>
      <c r="K364">
        <v>1</v>
      </c>
      <c r="L364">
        <v>1</v>
      </c>
      <c r="M364">
        <f>VLOOKUP(Table1[[#This Row],[subscription_type]],Plans!$A$1:$B$5,2,FALSE)</f>
        <v>4.99</v>
      </c>
      <c r="N364">
        <f t="shared" si="5"/>
        <v>4.99</v>
      </c>
    </row>
    <row r="365" spans="1:14" x14ac:dyDescent="0.35">
      <c r="A365">
        <v>364</v>
      </c>
      <c r="B365" t="s">
        <v>16</v>
      </c>
      <c r="C365">
        <v>18</v>
      </c>
      <c r="D365" t="s">
        <v>21</v>
      </c>
      <c r="E365" t="s">
        <v>22</v>
      </c>
      <c r="F365">
        <v>42</v>
      </c>
      <c r="G365">
        <v>27</v>
      </c>
      <c r="H365">
        <v>0.22</v>
      </c>
      <c r="I365" t="s">
        <v>19</v>
      </c>
      <c r="J365">
        <v>0</v>
      </c>
      <c r="K365">
        <v>1</v>
      </c>
      <c r="L365">
        <v>1</v>
      </c>
      <c r="M365">
        <f>VLOOKUP(Table1[[#This Row],[subscription_type]],Plans!$A$1:$B$5,2,FALSE)</f>
        <v>9.99</v>
      </c>
      <c r="N365">
        <f t="shared" si="5"/>
        <v>9.99</v>
      </c>
    </row>
    <row r="366" spans="1:14" x14ac:dyDescent="0.35">
      <c r="A366">
        <v>365</v>
      </c>
      <c r="B366" t="s">
        <v>20</v>
      </c>
      <c r="C366">
        <v>43</v>
      </c>
      <c r="D366" t="s">
        <v>13</v>
      </c>
      <c r="E366" t="s">
        <v>14</v>
      </c>
      <c r="F366">
        <v>265</v>
      </c>
      <c r="G366">
        <v>89</v>
      </c>
      <c r="H366">
        <v>0.56000000000000005</v>
      </c>
      <c r="I366" t="s">
        <v>15</v>
      </c>
      <c r="J366">
        <v>28</v>
      </c>
      <c r="K366">
        <v>0</v>
      </c>
      <c r="L366">
        <v>0</v>
      </c>
      <c r="M366">
        <f>VLOOKUP(Table1[[#This Row],[subscription_type]],Plans!$A$1:$B$5,2,FALSE)</f>
        <v>0</v>
      </c>
      <c r="N366">
        <f t="shared" si="5"/>
        <v>0</v>
      </c>
    </row>
    <row r="367" spans="1:14" x14ac:dyDescent="0.35">
      <c r="A367">
        <v>366</v>
      </c>
      <c r="B367" t="s">
        <v>12</v>
      </c>
      <c r="C367">
        <v>32</v>
      </c>
      <c r="D367" t="s">
        <v>25</v>
      </c>
      <c r="E367" t="s">
        <v>18</v>
      </c>
      <c r="F367">
        <v>275</v>
      </c>
      <c r="G367">
        <v>47</v>
      </c>
      <c r="H367">
        <v>0.59</v>
      </c>
      <c r="I367" t="s">
        <v>23</v>
      </c>
      <c r="J367">
        <v>0</v>
      </c>
      <c r="K367">
        <v>1</v>
      </c>
      <c r="L367">
        <v>1</v>
      </c>
      <c r="M367">
        <f>VLOOKUP(Table1[[#This Row],[subscription_type]],Plans!$A$1:$B$5,2,FALSE)</f>
        <v>14.99</v>
      </c>
      <c r="N367">
        <f t="shared" si="5"/>
        <v>14.99</v>
      </c>
    </row>
    <row r="368" spans="1:14" x14ac:dyDescent="0.35">
      <c r="A368">
        <v>367</v>
      </c>
      <c r="B368" t="s">
        <v>16</v>
      </c>
      <c r="C368">
        <v>33</v>
      </c>
      <c r="D368" t="s">
        <v>25</v>
      </c>
      <c r="E368" t="s">
        <v>24</v>
      </c>
      <c r="F368">
        <v>295</v>
      </c>
      <c r="G368">
        <v>1</v>
      </c>
      <c r="H368">
        <v>0.03</v>
      </c>
      <c r="I368" t="s">
        <v>15</v>
      </c>
      <c r="J368">
        <v>0</v>
      </c>
      <c r="K368">
        <v>1</v>
      </c>
      <c r="L368">
        <v>1</v>
      </c>
      <c r="M368">
        <f>VLOOKUP(Table1[[#This Row],[subscription_type]],Plans!$A$1:$B$5,2,FALSE)</f>
        <v>4.99</v>
      </c>
      <c r="N368">
        <f t="shared" si="5"/>
        <v>4.99</v>
      </c>
    </row>
    <row r="369" spans="1:14" x14ac:dyDescent="0.35">
      <c r="A369">
        <v>368</v>
      </c>
      <c r="B369" t="s">
        <v>16</v>
      </c>
      <c r="C369">
        <v>16</v>
      </c>
      <c r="D369" t="s">
        <v>27</v>
      </c>
      <c r="E369" t="s">
        <v>14</v>
      </c>
      <c r="F369">
        <v>269</v>
      </c>
      <c r="G369">
        <v>13</v>
      </c>
      <c r="H369">
        <v>0.54</v>
      </c>
      <c r="I369" t="s">
        <v>15</v>
      </c>
      <c r="J369">
        <v>40</v>
      </c>
      <c r="K369">
        <v>0</v>
      </c>
      <c r="L369">
        <v>0</v>
      </c>
      <c r="M369">
        <f>VLOOKUP(Table1[[#This Row],[subscription_type]],Plans!$A$1:$B$5,2,FALSE)</f>
        <v>0</v>
      </c>
      <c r="N369">
        <f t="shared" si="5"/>
        <v>0</v>
      </c>
    </row>
    <row r="370" spans="1:14" x14ac:dyDescent="0.35">
      <c r="A370">
        <v>369</v>
      </c>
      <c r="B370" t="s">
        <v>16</v>
      </c>
      <c r="C370">
        <v>50</v>
      </c>
      <c r="D370" t="s">
        <v>28</v>
      </c>
      <c r="E370" t="s">
        <v>18</v>
      </c>
      <c r="F370">
        <v>224</v>
      </c>
      <c r="G370">
        <v>18</v>
      </c>
      <c r="H370">
        <v>0.09</v>
      </c>
      <c r="I370" t="s">
        <v>15</v>
      </c>
      <c r="J370">
        <v>0</v>
      </c>
      <c r="K370">
        <v>1</v>
      </c>
      <c r="L370">
        <v>0</v>
      </c>
      <c r="M370">
        <f>VLOOKUP(Table1[[#This Row],[subscription_type]],Plans!$A$1:$B$5,2,FALSE)</f>
        <v>14.99</v>
      </c>
      <c r="N370">
        <f t="shared" si="5"/>
        <v>0</v>
      </c>
    </row>
    <row r="371" spans="1:14" x14ac:dyDescent="0.35">
      <c r="A371">
        <v>370</v>
      </c>
      <c r="B371" t="s">
        <v>12</v>
      </c>
      <c r="C371">
        <v>42</v>
      </c>
      <c r="D371" t="s">
        <v>29</v>
      </c>
      <c r="E371" t="s">
        <v>14</v>
      </c>
      <c r="F371">
        <v>51</v>
      </c>
      <c r="G371">
        <v>60</v>
      </c>
      <c r="H371">
        <v>0.22</v>
      </c>
      <c r="I371" t="s">
        <v>15</v>
      </c>
      <c r="J371">
        <v>17</v>
      </c>
      <c r="K371">
        <v>0</v>
      </c>
      <c r="L371">
        <v>0</v>
      </c>
      <c r="M371">
        <f>VLOOKUP(Table1[[#This Row],[subscription_type]],Plans!$A$1:$B$5,2,FALSE)</f>
        <v>0</v>
      </c>
      <c r="N371">
        <f t="shared" si="5"/>
        <v>0</v>
      </c>
    </row>
    <row r="372" spans="1:14" x14ac:dyDescent="0.35">
      <c r="A372">
        <v>371</v>
      </c>
      <c r="B372" t="s">
        <v>16</v>
      </c>
      <c r="C372">
        <v>49</v>
      </c>
      <c r="D372" t="s">
        <v>26</v>
      </c>
      <c r="E372" t="s">
        <v>18</v>
      </c>
      <c r="F372">
        <v>100</v>
      </c>
      <c r="G372">
        <v>49</v>
      </c>
      <c r="H372">
        <v>0.37</v>
      </c>
      <c r="I372" t="s">
        <v>15</v>
      </c>
      <c r="J372">
        <v>0</v>
      </c>
      <c r="K372">
        <v>1</v>
      </c>
      <c r="L372">
        <v>1</v>
      </c>
      <c r="M372">
        <f>VLOOKUP(Table1[[#This Row],[subscription_type]],Plans!$A$1:$B$5,2,FALSE)</f>
        <v>14.99</v>
      </c>
      <c r="N372">
        <f t="shared" si="5"/>
        <v>14.99</v>
      </c>
    </row>
    <row r="373" spans="1:14" x14ac:dyDescent="0.35">
      <c r="A373">
        <v>372</v>
      </c>
      <c r="B373" t="s">
        <v>12</v>
      </c>
      <c r="C373">
        <v>35</v>
      </c>
      <c r="D373" t="s">
        <v>28</v>
      </c>
      <c r="E373" t="s">
        <v>22</v>
      </c>
      <c r="F373">
        <v>267</v>
      </c>
      <c r="G373">
        <v>63</v>
      </c>
      <c r="H373">
        <v>0.6</v>
      </c>
      <c r="I373" t="s">
        <v>19</v>
      </c>
      <c r="J373">
        <v>0</v>
      </c>
      <c r="K373">
        <v>1</v>
      </c>
      <c r="L373">
        <v>0</v>
      </c>
      <c r="M373">
        <f>VLOOKUP(Table1[[#This Row],[subscription_type]],Plans!$A$1:$B$5,2,FALSE)</f>
        <v>9.99</v>
      </c>
      <c r="N373">
        <f t="shared" si="5"/>
        <v>0</v>
      </c>
    </row>
    <row r="374" spans="1:14" x14ac:dyDescent="0.35">
      <c r="A374">
        <v>373</v>
      </c>
      <c r="B374" t="s">
        <v>16</v>
      </c>
      <c r="C374">
        <v>54</v>
      </c>
      <c r="D374" t="s">
        <v>27</v>
      </c>
      <c r="E374" t="s">
        <v>14</v>
      </c>
      <c r="F374">
        <v>102</v>
      </c>
      <c r="G374">
        <v>35</v>
      </c>
      <c r="H374">
        <v>0.06</v>
      </c>
      <c r="I374" t="s">
        <v>23</v>
      </c>
      <c r="J374">
        <v>40</v>
      </c>
      <c r="K374">
        <v>0</v>
      </c>
      <c r="L374">
        <v>0</v>
      </c>
      <c r="M374">
        <f>VLOOKUP(Table1[[#This Row],[subscription_type]],Plans!$A$1:$B$5,2,FALSE)</f>
        <v>0</v>
      </c>
      <c r="N374">
        <f t="shared" si="5"/>
        <v>0</v>
      </c>
    </row>
    <row r="375" spans="1:14" x14ac:dyDescent="0.35">
      <c r="A375">
        <v>374</v>
      </c>
      <c r="B375" t="s">
        <v>20</v>
      </c>
      <c r="C375">
        <v>44</v>
      </c>
      <c r="D375" t="s">
        <v>29</v>
      </c>
      <c r="E375" t="s">
        <v>14</v>
      </c>
      <c r="F375">
        <v>84</v>
      </c>
      <c r="G375">
        <v>64</v>
      </c>
      <c r="H375">
        <v>0.56999999999999995</v>
      </c>
      <c r="I375" t="s">
        <v>19</v>
      </c>
      <c r="J375">
        <v>23</v>
      </c>
      <c r="K375">
        <v>0</v>
      </c>
      <c r="L375">
        <v>1</v>
      </c>
      <c r="M375">
        <f>VLOOKUP(Table1[[#This Row],[subscription_type]],Plans!$A$1:$B$5,2,FALSE)</f>
        <v>0</v>
      </c>
      <c r="N375">
        <f t="shared" si="5"/>
        <v>0</v>
      </c>
    </row>
    <row r="376" spans="1:14" x14ac:dyDescent="0.35">
      <c r="A376">
        <v>375</v>
      </c>
      <c r="B376" t="s">
        <v>12</v>
      </c>
      <c r="C376">
        <v>21</v>
      </c>
      <c r="D376" t="s">
        <v>28</v>
      </c>
      <c r="E376" t="s">
        <v>14</v>
      </c>
      <c r="F376">
        <v>289</v>
      </c>
      <c r="G376">
        <v>92</v>
      </c>
      <c r="H376">
        <v>0.2</v>
      </c>
      <c r="I376" t="s">
        <v>23</v>
      </c>
      <c r="J376">
        <v>27</v>
      </c>
      <c r="K376">
        <v>0</v>
      </c>
      <c r="L376">
        <v>1</v>
      </c>
      <c r="M376">
        <f>VLOOKUP(Table1[[#This Row],[subscription_type]],Plans!$A$1:$B$5,2,FALSE)</f>
        <v>0</v>
      </c>
      <c r="N376">
        <f t="shared" si="5"/>
        <v>0</v>
      </c>
    </row>
    <row r="377" spans="1:14" x14ac:dyDescent="0.35">
      <c r="A377">
        <v>376</v>
      </c>
      <c r="B377" t="s">
        <v>20</v>
      </c>
      <c r="C377">
        <v>44</v>
      </c>
      <c r="D377" t="s">
        <v>28</v>
      </c>
      <c r="E377" t="s">
        <v>18</v>
      </c>
      <c r="F377">
        <v>173</v>
      </c>
      <c r="G377">
        <v>30</v>
      </c>
      <c r="H377">
        <v>0.38</v>
      </c>
      <c r="I377" t="s">
        <v>15</v>
      </c>
      <c r="J377">
        <v>0</v>
      </c>
      <c r="K377">
        <v>1</v>
      </c>
      <c r="L377">
        <v>0</v>
      </c>
      <c r="M377">
        <f>VLOOKUP(Table1[[#This Row],[subscription_type]],Plans!$A$1:$B$5,2,FALSE)</f>
        <v>14.99</v>
      </c>
      <c r="N377">
        <f t="shared" si="5"/>
        <v>0</v>
      </c>
    </row>
    <row r="378" spans="1:14" x14ac:dyDescent="0.35">
      <c r="A378">
        <v>377</v>
      </c>
      <c r="B378" t="s">
        <v>20</v>
      </c>
      <c r="C378">
        <v>46</v>
      </c>
      <c r="D378" t="s">
        <v>21</v>
      </c>
      <c r="E378" t="s">
        <v>18</v>
      </c>
      <c r="F378">
        <v>42</v>
      </c>
      <c r="G378">
        <v>77</v>
      </c>
      <c r="H378">
        <v>0.34</v>
      </c>
      <c r="I378" t="s">
        <v>19</v>
      </c>
      <c r="J378">
        <v>0</v>
      </c>
      <c r="K378">
        <v>1</v>
      </c>
      <c r="L378">
        <v>0</v>
      </c>
      <c r="M378">
        <f>VLOOKUP(Table1[[#This Row],[subscription_type]],Plans!$A$1:$B$5,2,FALSE)</f>
        <v>14.99</v>
      </c>
      <c r="N378">
        <f t="shared" si="5"/>
        <v>0</v>
      </c>
    </row>
    <row r="379" spans="1:14" x14ac:dyDescent="0.35">
      <c r="A379">
        <v>378</v>
      </c>
      <c r="B379" t="s">
        <v>16</v>
      </c>
      <c r="C379">
        <v>53</v>
      </c>
      <c r="D379" t="s">
        <v>21</v>
      </c>
      <c r="E379" t="s">
        <v>18</v>
      </c>
      <c r="F379">
        <v>261</v>
      </c>
      <c r="G379">
        <v>76</v>
      </c>
      <c r="H379">
        <v>0.41</v>
      </c>
      <c r="I379" t="s">
        <v>15</v>
      </c>
      <c r="J379">
        <v>0</v>
      </c>
      <c r="K379">
        <v>1</v>
      </c>
      <c r="L379">
        <v>0</v>
      </c>
      <c r="M379">
        <f>VLOOKUP(Table1[[#This Row],[subscription_type]],Plans!$A$1:$B$5,2,FALSE)</f>
        <v>14.99</v>
      </c>
      <c r="N379">
        <f t="shared" si="5"/>
        <v>0</v>
      </c>
    </row>
    <row r="380" spans="1:14" x14ac:dyDescent="0.35">
      <c r="A380">
        <v>379</v>
      </c>
      <c r="B380" t="s">
        <v>16</v>
      </c>
      <c r="C380">
        <v>39</v>
      </c>
      <c r="D380" t="s">
        <v>25</v>
      </c>
      <c r="E380" t="s">
        <v>14</v>
      </c>
      <c r="F380">
        <v>163</v>
      </c>
      <c r="G380">
        <v>2</v>
      </c>
      <c r="H380">
        <v>0.03</v>
      </c>
      <c r="I380" t="s">
        <v>19</v>
      </c>
      <c r="J380">
        <v>38</v>
      </c>
      <c r="K380">
        <v>0</v>
      </c>
      <c r="L380">
        <v>1</v>
      </c>
      <c r="M380">
        <f>VLOOKUP(Table1[[#This Row],[subscription_type]],Plans!$A$1:$B$5,2,FALSE)</f>
        <v>0</v>
      </c>
      <c r="N380">
        <f t="shared" si="5"/>
        <v>0</v>
      </c>
    </row>
    <row r="381" spans="1:14" x14ac:dyDescent="0.35">
      <c r="A381">
        <v>380</v>
      </c>
      <c r="B381" t="s">
        <v>16</v>
      </c>
      <c r="C381">
        <v>26</v>
      </c>
      <c r="D381" t="s">
        <v>21</v>
      </c>
      <c r="E381" t="s">
        <v>24</v>
      </c>
      <c r="F381">
        <v>175</v>
      </c>
      <c r="G381">
        <v>9</v>
      </c>
      <c r="H381">
        <v>0.37</v>
      </c>
      <c r="I381" t="s">
        <v>19</v>
      </c>
      <c r="J381">
        <v>0</v>
      </c>
      <c r="K381">
        <v>1</v>
      </c>
      <c r="L381">
        <v>0</v>
      </c>
      <c r="M381">
        <f>VLOOKUP(Table1[[#This Row],[subscription_type]],Plans!$A$1:$B$5,2,FALSE)</f>
        <v>4.99</v>
      </c>
      <c r="N381">
        <f t="shared" si="5"/>
        <v>0</v>
      </c>
    </row>
    <row r="382" spans="1:14" x14ac:dyDescent="0.35">
      <c r="A382">
        <v>381</v>
      </c>
      <c r="B382" t="s">
        <v>12</v>
      </c>
      <c r="C382">
        <v>35</v>
      </c>
      <c r="D382" t="s">
        <v>17</v>
      </c>
      <c r="E382" t="s">
        <v>24</v>
      </c>
      <c r="F382">
        <v>259</v>
      </c>
      <c r="G382">
        <v>96</v>
      </c>
      <c r="H382">
        <v>0.48</v>
      </c>
      <c r="I382" t="s">
        <v>23</v>
      </c>
      <c r="J382">
        <v>0</v>
      </c>
      <c r="K382">
        <v>1</v>
      </c>
      <c r="L382">
        <v>1</v>
      </c>
      <c r="M382">
        <f>VLOOKUP(Table1[[#This Row],[subscription_type]],Plans!$A$1:$B$5,2,FALSE)</f>
        <v>4.99</v>
      </c>
      <c r="N382">
        <f t="shared" si="5"/>
        <v>4.99</v>
      </c>
    </row>
    <row r="383" spans="1:14" x14ac:dyDescent="0.35">
      <c r="A383">
        <v>382</v>
      </c>
      <c r="B383" t="s">
        <v>16</v>
      </c>
      <c r="C383">
        <v>51</v>
      </c>
      <c r="D383" t="s">
        <v>29</v>
      </c>
      <c r="E383" t="s">
        <v>22</v>
      </c>
      <c r="F383">
        <v>103</v>
      </c>
      <c r="G383">
        <v>58</v>
      </c>
      <c r="H383">
        <v>0.06</v>
      </c>
      <c r="I383" t="s">
        <v>23</v>
      </c>
      <c r="J383">
        <v>0</v>
      </c>
      <c r="K383">
        <v>1</v>
      </c>
      <c r="L383">
        <v>0</v>
      </c>
      <c r="M383">
        <f>VLOOKUP(Table1[[#This Row],[subscription_type]],Plans!$A$1:$B$5,2,FALSE)</f>
        <v>9.99</v>
      </c>
      <c r="N383">
        <f t="shared" si="5"/>
        <v>0</v>
      </c>
    </row>
    <row r="384" spans="1:14" x14ac:dyDescent="0.35">
      <c r="A384">
        <v>383</v>
      </c>
      <c r="B384" t="s">
        <v>16</v>
      </c>
      <c r="C384">
        <v>55</v>
      </c>
      <c r="D384" t="s">
        <v>17</v>
      </c>
      <c r="E384" t="s">
        <v>18</v>
      </c>
      <c r="F384">
        <v>148</v>
      </c>
      <c r="G384">
        <v>52</v>
      </c>
      <c r="H384">
        <v>0.43</v>
      </c>
      <c r="I384" t="s">
        <v>15</v>
      </c>
      <c r="J384">
        <v>0</v>
      </c>
      <c r="K384">
        <v>1</v>
      </c>
      <c r="L384">
        <v>0</v>
      </c>
      <c r="M384">
        <f>VLOOKUP(Table1[[#This Row],[subscription_type]],Plans!$A$1:$B$5,2,FALSE)</f>
        <v>14.99</v>
      </c>
      <c r="N384">
        <f t="shared" si="5"/>
        <v>0</v>
      </c>
    </row>
    <row r="385" spans="1:14" x14ac:dyDescent="0.35">
      <c r="A385">
        <v>384</v>
      </c>
      <c r="B385" t="s">
        <v>12</v>
      </c>
      <c r="C385">
        <v>45</v>
      </c>
      <c r="D385" t="s">
        <v>29</v>
      </c>
      <c r="E385" t="s">
        <v>22</v>
      </c>
      <c r="F385">
        <v>50</v>
      </c>
      <c r="G385">
        <v>19</v>
      </c>
      <c r="H385">
        <v>0.02</v>
      </c>
      <c r="I385" t="s">
        <v>23</v>
      </c>
      <c r="J385">
        <v>0</v>
      </c>
      <c r="K385">
        <v>1</v>
      </c>
      <c r="L385">
        <v>0</v>
      </c>
      <c r="M385">
        <f>VLOOKUP(Table1[[#This Row],[subscription_type]],Plans!$A$1:$B$5,2,FALSE)</f>
        <v>9.99</v>
      </c>
      <c r="N385">
        <f t="shared" si="5"/>
        <v>0</v>
      </c>
    </row>
    <row r="386" spans="1:14" x14ac:dyDescent="0.35">
      <c r="A386">
        <v>385</v>
      </c>
      <c r="B386" t="s">
        <v>12</v>
      </c>
      <c r="C386">
        <v>53</v>
      </c>
      <c r="D386" t="s">
        <v>29</v>
      </c>
      <c r="E386" t="s">
        <v>18</v>
      </c>
      <c r="F386">
        <v>187</v>
      </c>
      <c r="G386">
        <v>27</v>
      </c>
      <c r="H386">
        <v>0.11</v>
      </c>
      <c r="I386" t="s">
        <v>15</v>
      </c>
      <c r="J386">
        <v>0</v>
      </c>
      <c r="K386">
        <v>1</v>
      </c>
      <c r="L386">
        <v>1</v>
      </c>
      <c r="M386">
        <f>VLOOKUP(Table1[[#This Row],[subscription_type]],Plans!$A$1:$B$5,2,FALSE)</f>
        <v>14.99</v>
      </c>
      <c r="N386">
        <f t="shared" ref="N386:N449" si="6">IF(L386=1, M386,0)</f>
        <v>14.99</v>
      </c>
    </row>
    <row r="387" spans="1:14" x14ac:dyDescent="0.35">
      <c r="A387">
        <v>386</v>
      </c>
      <c r="B387" t="s">
        <v>12</v>
      </c>
      <c r="C387">
        <v>16</v>
      </c>
      <c r="D387" t="s">
        <v>17</v>
      </c>
      <c r="E387" t="s">
        <v>24</v>
      </c>
      <c r="F387">
        <v>57</v>
      </c>
      <c r="G387">
        <v>48</v>
      </c>
      <c r="H387">
        <v>0.52</v>
      </c>
      <c r="I387" t="s">
        <v>19</v>
      </c>
      <c r="J387">
        <v>0</v>
      </c>
      <c r="K387">
        <v>1</v>
      </c>
      <c r="L387">
        <v>0</v>
      </c>
      <c r="M387">
        <f>VLOOKUP(Table1[[#This Row],[subscription_type]],Plans!$A$1:$B$5,2,FALSE)</f>
        <v>4.99</v>
      </c>
      <c r="N387">
        <f t="shared" si="6"/>
        <v>0</v>
      </c>
    </row>
    <row r="388" spans="1:14" x14ac:dyDescent="0.35">
      <c r="A388">
        <v>387</v>
      </c>
      <c r="B388" t="s">
        <v>20</v>
      </c>
      <c r="C388">
        <v>32</v>
      </c>
      <c r="D388" t="s">
        <v>28</v>
      </c>
      <c r="E388" t="s">
        <v>14</v>
      </c>
      <c r="F388">
        <v>51</v>
      </c>
      <c r="G388">
        <v>70</v>
      </c>
      <c r="H388">
        <v>0.38</v>
      </c>
      <c r="I388" t="s">
        <v>19</v>
      </c>
      <c r="J388">
        <v>19</v>
      </c>
      <c r="K388">
        <v>0</v>
      </c>
      <c r="L388">
        <v>0</v>
      </c>
      <c r="M388">
        <f>VLOOKUP(Table1[[#This Row],[subscription_type]],Plans!$A$1:$B$5,2,FALSE)</f>
        <v>0</v>
      </c>
      <c r="N388">
        <f t="shared" si="6"/>
        <v>0</v>
      </c>
    </row>
    <row r="389" spans="1:14" x14ac:dyDescent="0.35">
      <c r="A389">
        <v>388</v>
      </c>
      <c r="B389" t="s">
        <v>16</v>
      </c>
      <c r="C389">
        <v>26</v>
      </c>
      <c r="D389" t="s">
        <v>28</v>
      </c>
      <c r="E389" t="s">
        <v>14</v>
      </c>
      <c r="F389">
        <v>146</v>
      </c>
      <c r="G389">
        <v>4</v>
      </c>
      <c r="H389">
        <v>0.59</v>
      </c>
      <c r="I389" t="s">
        <v>23</v>
      </c>
      <c r="J389">
        <v>16</v>
      </c>
      <c r="K389">
        <v>0</v>
      </c>
      <c r="L389">
        <v>0</v>
      </c>
      <c r="M389">
        <f>VLOOKUP(Table1[[#This Row],[subscription_type]],Plans!$A$1:$B$5,2,FALSE)</f>
        <v>0</v>
      </c>
      <c r="N389">
        <f t="shared" si="6"/>
        <v>0</v>
      </c>
    </row>
    <row r="390" spans="1:14" x14ac:dyDescent="0.35">
      <c r="A390">
        <v>389</v>
      </c>
      <c r="B390" t="s">
        <v>12</v>
      </c>
      <c r="C390">
        <v>48</v>
      </c>
      <c r="D390" t="s">
        <v>26</v>
      </c>
      <c r="E390" t="s">
        <v>14</v>
      </c>
      <c r="F390">
        <v>210</v>
      </c>
      <c r="G390">
        <v>60</v>
      </c>
      <c r="H390">
        <v>0.05</v>
      </c>
      <c r="I390" t="s">
        <v>15</v>
      </c>
      <c r="J390">
        <v>42</v>
      </c>
      <c r="K390">
        <v>0</v>
      </c>
      <c r="L390">
        <v>1</v>
      </c>
      <c r="M390">
        <f>VLOOKUP(Table1[[#This Row],[subscription_type]],Plans!$A$1:$B$5,2,FALSE)</f>
        <v>0</v>
      </c>
      <c r="N390">
        <f t="shared" si="6"/>
        <v>0</v>
      </c>
    </row>
    <row r="391" spans="1:14" x14ac:dyDescent="0.35">
      <c r="A391">
        <v>390</v>
      </c>
      <c r="B391" t="s">
        <v>16</v>
      </c>
      <c r="C391">
        <v>59</v>
      </c>
      <c r="D391" t="s">
        <v>26</v>
      </c>
      <c r="E391" t="s">
        <v>18</v>
      </c>
      <c r="F391">
        <v>58</v>
      </c>
      <c r="G391">
        <v>55</v>
      </c>
      <c r="H391">
        <v>0.25</v>
      </c>
      <c r="I391" t="s">
        <v>19</v>
      </c>
      <c r="J391">
        <v>0</v>
      </c>
      <c r="K391">
        <v>1</v>
      </c>
      <c r="L391">
        <v>0</v>
      </c>
      <c r="M391">
        <f>VLOOKUP(Table1[[#This Row],[subscription_type]],Plans!$A$1:$B$5,2,FALSE)</f>
        <v>14.99</v>
      </c>
      <c r="N391">
        <f t="shared" si="6"/>
        <v>0</v>
      </c>
    </row>
    <row r="392" spans="1:14" x14ac:dyDescent="0.35">
      <c r="A392">
        <v>391</v>
      </c>
      <c r="B392" t="s">
        <v>12</v>
      </c>
      <c r="C392">
        <v>42</v>
      </c>
      <c r="D392" t="s">
        <v>27</v>
      </c>
      <c r="E392" t="s">
        <v>18</v>
      </c>
      <c r="F392">
        <v>124</v>
      </c>
      <c r="G392">
        <v>11</v>
      </c>
      <c r="H392">
        <v>0.16</v>
      </c>
      <c r="I392" t="s">
        <v>23</v>
      </c>
      <c r="J392">
        <v>0</v>
      </c>
      <c r="K392">
        <v>1</v>
      </c>
      <c r="L392">
        <v>0</v>
      </c>
      <c r="M392">
        <f>VLOOKUP(Table1[[#This Row],[subscription_type]],Plans!$A$1:$B$5,2,FALSE)</f>
        <v>14.99</v>
      </c>
      <c r="N392">
        <f t="shared" si="6"/>
        <v>0</v>
      </c>
    </row>
    <row r="393" spans="1:14" x14ac:dyDescent="0.35">
      <c r="A393">
        <v>392</v>
      </c>
      <c r="B393" t="s">
        <v>12</v>
      </c>
      <c r="C393">
        <v>40</v>
      </c>
      <c r="D393" t="s">
        <v>27</v>
      </c>
      <c r="E393" t="s">
        <v>24</v>
      </c>
      <c r="F393">
        <v>273</v>
      </c>
      <c r="G393">
        <v>80</v>
      </c>
      <c r="H393">
        <v>0.26</v>
      </c>
      <c r="I393" t="s">
        <v>23</v>
      </c>
      <c r="J393">
        <v>0</v>
      </c>
      <c r="K393">
        <v>1</v>
      </c>
      <c r="L393">
        <v>1</v>
      </c>
      <c r="M393">
        <f>VLOOKUP(Table1[[#This Row],[subscription_type]],Plans!$A$1:$B$5,2,FALSE)</f>
        <v>4.99</v>
      </c>
      <c r="N393">
        <f t="shared" si="6"/>
        <v>4.99</v>
      </c>
    </row>
    <row r="394" spans="1:14" x14ac:dyDescent="0.35">
      <c r="A394">
        <v>393</v>
      </c>
      <c r="B394" t="s">
        <v>12</v>
      </c>
      <c r="C394">
        <v>53</v>
      </c>
      <c r="D394" t="s">
        <v>29</v>
      </c>
      <c r="E394" t="s">
        <v>14</v>
      </c>
      <c r="F394">
        <v>49</v>
      </c>
      <c r="G394">
        <v>74</v>
      </c>
      <c r="H394">
        <v>0.47</v>
      </c>
      <c r="I394" t="s">
        <v>23</v>
      </c>
      <c r="J394">
        <v>19</v>
      </c>
      <c r="K394">
        <v>0</v>
      </c>
      <c r="L394">
        <v>0</v>
      </c>
      <c r="M394">
        <f>VLOOKUP(Table1[[#This Row],[subscription_type]],Plans!$A$1:$B$5,2,FALSE)</f>
        <v>0</v>
      </c>
      <c r="N394">
        <f t="shared" si="6"/>
        <v>0</v>
      </c>
    </row>
    <row r="395" spans="1:14" x14ac:dyDescent="0.35">
      <c r="A395">
        <v>394</v>
      </c>
      <c r="B395" t="s">
        <v>12</v>
      </c>
      <c r="C395">
        <v>38</v>
      </c>
      <c r="D395" t="s">
        <v>25</v>
      </c>
      <c r="E395" t="s">
        <v>24</v>
      </c>
      <c r="F395">
        <v>119</v>
      </c>
      <c r="G395">
        <v>73</v>
      </c>
      <c r="H395">
        <v>0.11</v>
      </c>
      <c r="I395" t="s">
        <v>19</v>
      </c>
      <c r="J395">
        <v>0</v>
      </c>
      <c r="K395">
        <v>1</v>
      </c>
      <c r="L395">
        <v>0</v>
      </c>
      <c r="M395">
        <f>VLOOKUP(Table1[[#This Row],[subscription_type]],Plans!$A$1:$B$5,2,FALSE)</f>
        <v>4.99</v>
      </c>
      <c r="N395">
        <f t="shared" si="6"/>
        <v>0</v>
      </c>
    </row>
    <row r="396" spans="1:14" x14ac:dyDescent="0.35">
      <c r="A396">
        <v>395</v>
      </c>
      <c r="B396" t="s">
        <v>12</v>
      </c>
      <c r="C396">
        <v>58</v>
      </c>
      <c r="D396" t="s">
        <v>13</v>
      </c>
      <c r="E396" t="s">
        <v>24</v>
      </c>
      <c r="F396">
        <v>225</v>
      </c>
      <c r="G396">
        <v>10</v>
      </c>
      <c r="H396">
        <v>0.08</v>
      </c>
      <c r="I396" t="s">
        <v>19</v>
      </c>
      <c r="J396">
        <v>0</v>
      </c>
      <c r="K396">
        <v>1</v>
      </c>
      <c r="L396">
        <v>0</v>
      </c>
      <c r="M396">
        <f>VLOOKUP(Table1[[#This Row],[subscription_type]],Plans!$A$1:$B$5,2,FALSE)</f>
        <v>4.99</v>
      </c>
      <c r="N396">
        <f t="shared" si="6"/>
        <v>0</v>
      </c>
    </row>
    <row r="397" spans="1:14" x14ac:dyDescent="0.35">
      <c r="A397">
        <v>396</v>
      </c>
      <c r="B397" t="s">
        <v>16</v>
      </c>
      <c r="C397">
        <v>24</v>
      </c>
      <c r="D397" t="s">
        <v>25</v>
      </c>
      <c r="E397" t="s">
        <v>14</v>
      </c>
      <c r="F397">
        <v>203</v>
      </c>
      <c r="G397">
        <v>75</v>
      </c>
      <c r="H397">
        <v>0.26</v>
      </c>
      <c r="I397" t="s">
        <v>15</v>
      </c>
      <c r="J397">
        <v>27</v>
      </c>
      <c r="K397">
        <v>0</v>
      </c>
      <c r="L397">
        <v>0</v>
      </c>
      <c r="M397">
        <f>VLOOKUP(Table1[[#This Row],[subscription_type]],Plans!$A$1:$B$5,2,FALSE)</f>
        <v>0</v>
      </c>
      <c r="N397">
        <f t="shared" si="6"/>
        <v>0</v>
      </c>
    </row>
    <row r="398" spans="1:14" x14ac:dyDescent="0.35">
      <c r="A398">
        <v>397</v>
      </c>
      <c r="B398" t="s">
        <v>16</v>
      </c>
      <c r="C398">
        <v>36</v>
      </c>
      <c r="D398" t="s">
        <v>17</v>
      </c>
      <c r="E398" t="s">
        <v>18</v>
      </c>
      <c r="F398">
        <v>21</v>
      </c>
      <c r="G398">
        <v>11</v>
      </c>
      <c r="H398">
        <v>0.28000000000000003</v>
      </c>
      <c r="I398" t="s">
        <v>19</v>
      </c>
      <c r="J398">
        <v>0</v>
      </c>
      <c r="K398">
        <v>1</v>
      </c>
      <c r="L398">
        <v>0</v>
      </c>
      <c r="M398">
        <f>VLOOKUP(Table1[[#This Row],[subscription_type]],Plans!$A$1:$B$5,2,FALSE)</f>
        <v>14.99</v>
      </c>
      <c r="N398">
        <f t="shared" si="6"/>
        <v>0</v>
      </c>
    </row>
    <row r="399" spans="1:14" x14ac:dyDescent="0.35">
      <c r="A399">
        <v>398</v>
      </c>
      <c r="B399" t="s">
        <v>12</v>
      </c>
      <c r="C399">
        <v>53</v>
      </c>
      <c r="D399" t="s">
        <v>26</v>
      </c>
      <c r="E399" t="s">
        <v>24</v>
      </c>
      <c r="F399">
        <v>120</v>
      </c>
      <c r="G399">
        <v>66</v>
      </c>
      <c r="H399">
        <v>0.25</v>
      </c>
      <c r="I399" t="s">
        <v>23</v>
      </c>
      <c r="J399">
        <v>0</v>
      </c>
      <c r="K399">
        <v>1</v>
      </c>
      <c r="L399">
        <v>1</v>
      </c>
      <c r="M399">
        <f>VLOOKUP(Table1[[#This Row],[subscription_type]],Plans!$A$1:$B$5,2,FALSE)</f>
        <v>4.99</v>
      </c>
      <c r="N399">
        <f t="shared" si="6"/>
        <v>4.99</v>
      </c>
    </row>
    <row r="400" spans="1:14" x14ac:dyDescent="0.35">
      <c r="A400">
        <v>399</v>
      </c>
      <c r="B400" t="s">
        <v>20</v>
      </c>
      <c r="C400">
        <v>21</v>
      </c>
      <c r="D400" t="s">
        <v>21</v>
      </c>
      <c r="E400" t="s">
        <v>24</v>
      </c>
      <c r="F400">
        <v>59</v>
      </c>
      <c r="G400">
        <v>34</v>
      </c>
      <c r="H400">
        <v>0.11</v>
      </c>
      <c r="I400" t="s">
        <v>19</v>
      </c>
      <c r="J400">
        <v>0</v>
      </c>
      <c r="K400">
        <v>1</v>
      </c>
      <c r="L400">
        <v>0</v>
      </c>
      <c r="M400">
        <f>VLOOKUP(Table1[[#This Row],[subscription_type]],Plans!$A$1:$B$5,2,FALSE)</f>
        <v>4.99</v>
      </c>
      <c r="N400">
        <f t="shared" si="6"/>
        <v>0</v>
      </c>
    </row>
    <row r="401" spans="1:14" x14ac:dyDescent="0.35">
      <c r="A401">
        <v>400</v>
      </c>
      <c r="B401" t="s">
        <v>20</v>
      </c>
      <c r="C401">
        <v>43</v>
      </c>
      <c r="D401" t="s">
        <v>28</v>
      </c>
      <c r="E401" t="s">
        <v>18</v>
      </c>
      <c r="F401">
        <v>272</v>
      </c>
      <c r="G401">
        <v>5</v>
      </c>
      <c r="H401">
        <v>0.24</v>
      </c>
      <c r="I401" t="s">
        <v>15</v>
      </c>
      <c r="J401">
        <v>0</v>
      </c>
      <c r="K401">
        <v>1</v>
      </c>
      <c r="L401">
        <v>0</v>
      </c>
      <c r="M401">
        <f>VLOOKUP(Table1[[#This Row],[subscription_type]],Plans!$A$1:$B$5,2,FALSE)</f>
        <v>14.99</v>
      </c>
      <c r="N401">
        <f t="shared" si="6"/>
        <v>0</v>
      </c>
    </row>
    <row r="402" spans="1:14" x14ac:dyDescent="0.35">
      <c r="A402">
        <v>401</v>
      </c>
      <c r="B402" t="s">
        <v>12</v>
      </c>
      <c r="C402">
        <v>26</v>
      </c>
      <c r="D402" t="s">
        <v>25</v>
      </c>
      <c r="E402" t="s">
        <v>22</v>
      </c>
      <c r="F402">
        <v>228</v>
      </c>
      <c r="G402">
        <v>24</v>
      </c>
      <c r="H402">
        <v>0.12</v>
      </c>
      <c r="I402" t="s">
        <v>23</v>
      </c>
      <c r="J402">
        <v>0</v>
      </c>
      <c r="K402">
        <v>1</v>
      </c>
      <c r="L402">
        <v>0</v>
      </c>
      <c r="M402">
        <f>VLOOKUP(Table1[[#This Row],[subscription_type]],Plans!$A$1:$B$5,2,FALSE)</f>
        <v>9.99</v>
      </c>
      <c r="N402">
        <f t="shared" si="6"/>
        <v>0</v>
      </c>
    </row>
    <row r="403" spans="1:14" x14ac:dyDescent="0.35">
      <c r="A403">
        <v>402</v>
      </c>
      <c r="B403" t="s">
        <v>20</v>
      </c>
      <c r="C403">
        <v>23</v>
      </c>
      <c r="D403" t="s">
        <v>17</v>
      </c>
      <c r="E403" t="s">
        <v>24</v>
      </c>
      <c r="F403">
        <v>131</v>
      </c>
      <c r="G403">
        <v>23</v>
      </c>
      <c r="H403">
        <v>0.32</v>
      </c>
      <c r="I403" t="s">
        <v>15</v>
      </c>
      <c r="J403">
        <v>0</v>
      </c>
      <c r="K403">
        <v>1</v>
      </c>
      <c r="L403">
        <v>0</v>
      </c>
      <c r="M403">
        <f>VLOOKUP(Table1[[#This Row],[subscription_type]],Plans!$A$1:$B$5,2,FALSE)</f>
        <v>4.99</v>
      </c>
      <c r="N403">
        <f t="shared" si="6"/>
        <v>0</v>
      </c>
    </row>
    <row r="404" spans="1:14" x14ac:dyDescent="0.35">
      <c r="A404">
        <v>403</v>
      </c>
      <c r="B404" t="s">
        <v>12</v>
      </c>
      <c r="C404">
        <v>40</v>
      </c>
      <c r="D404" t="s">
        <v>29</v>
      </c>
      <c r="E404" t="s">
        <v>24</v>
      </c>
      <c r="F404">
        <v>103</v>
      </c>
      <c r="G404">
        <v>39</v>
      </c>
      <c r="H404">
        <v>0.08</v>
      </c>
      <c r="I404" t="s">
        <v>19</v>
      </c>
      <c r="J404">
        <v>0</v>
      </c>
      <c r="K404">
        <v>1</v>
      </c>
      <c r="L404">
        <v>1</v>
      </c>
      <c r="M404">
        <f>VLOOKUP(Table1[[#This Row],[subscription_type]],Plans!$A$1:$B$5,2,FALSE)</f>
        <v>4.99</v>
      </c>
      <c r="N404">
        <f t="shared" si="6"/>
        <v>4.99</v>
      </c>
    </row>
    <row r="405" spans="1:14" x14ac:dyDescent="0.35">
      <c r="A405">
        <v>404</v>
      </c>
      <c r="B405" t="s">
        <v>12</v>
      </c>
      <c r="C405">
        <v>37</v>
      </c>
      <c r="D405" t="s">
        <v>13</v>
      </c>
      <c r="E405" t="s">
        <v>14</v>
      </c>
      <c r="F405">
        <v>152</v>
      </c>
      <c r="G405">
        <v>87</v>
      </c>
      <c r="H405">
        <v>0.56999999999999995</v>
      </c>
      <c r="I405" t="s">
        <v>15</v>
      </c>
      <c r="J405">
        <v>23</v>
      </c>
      <c r="K405">
        <v>0</v>
      </c>
      <c r="L405">
        <v>0</v>
      </c>
      <c r="M405">
        <f>VLOOKUP(Table1[[#This Row],[subscription_type]],Plans!$A$1:$B$5,2,FALSE)</f>
        <v>0</v>
      </c>
      <c r="N405">
        <f t="shared" si="6"/>
        <v>0</v>
      </c>
    </row>
    <row r="406" spans="1:14" x14ac:dyDescent="0.35">
      <c r="A406">
        <v>405</v>
      </c>
      <c r="B406" t="s">
        <v>20</v>
      </c>
      <c r="C406">
        <v>33</v>
      </c>
      <c r="D406" t="s">
        <v>29</v>
      </c>
      <c r="E406" t="s">
        <v>18</v>
      </c>
      <c r="F406">
        <v>261</v>
      </c>
      <c r="G406">
        <v>18</v>
      </c>
      <c r="H406">
        <v>0.28000000000000003</v>
      </c>
      <c r="I406" t="s">
        <v>15</v>
      </c>
      <c r="J406">
        <v>0</v>
      </c>
      <c r="K406">
        <v>1</v>
      </c>
      <c r="L406">
        <v>1</v>
      </c>
      <c r="M406">
        <f>VLOOKUP(Table1[[#This Row],[subscription_type]],Plans!$A$1:$B$5,2,FALSE)</f>
        <v>14.99</v>
      </c>
      <c r="N406">
        <f t="shared" si="6"/>
        <v>14.99</v>
      </c>
    </row>
    <row r="407" spans="1:14" x14ac:dyDescent="0.35">
      <c r="A407">
        <v>406</v>
      </c>
      <c r="B407" t="s">
        <v>16</v>
      </c>
      <c r="C407">
        <v>26</v>
      </c>
      <c r="D407" t="s">
        <v>25</v>
      </c>
      <c r="E407" t="s">
        <v>18</v>
      </c>
      <c r="F407">
        <v>276</v>
      </c>
      <c r="G407">
        <v>46</v>
      </c>
      <c r="H407">
        <v>0.2</v>
      </c>
      <c r="I407" t="s">
        <v>23</v>
      </c>
      <c r="J407">
        <v>0</v>
      </c>
      <c r="K407">
        <v>1</v>
      </c>
      <c r="L407">
        <v>1</v>
      </c>
      <c r="M407">
        <f>VLOOKUP(Table1[[#This Row],[subscription_type]],Plans!$A$1:$B$5,2,FALSE)</f>
        <v>14.99</v>
      </c>
      <c r="N407">
        <f t="shared" si="6"/>
        <v>14.99</v>
      </c>
    </row>
    <row r="408" spans="1:14" x14ac:dyDescent="0.35">
      <c r="A408">
        <v>407</v>
      </c>
      <c r="B408" t="s">
        <v>16</v>
      </c>
      <c r="C408">
        <v>43</v>
      </c>
      <c r="D408" t="s">
        <v>21</v>
      </c>
      <c r="E408" t="s">
        <v>18</v>
      </c>
      <c r="F408">
        <v>58</v>
      </c>
      <c r="G408">
        <v>22</v>
      </c>
      <c r="H408">
        <v>0.37</v>
      </c>
      <c r="I408" t="s">
        <v>15</v>
      </c>
      <c r="J408">
        <v>0</v>
      </c>
      <c r="K408">
        <v>1</v>
      </c>
      <c r="L408">
        <v>0</v>
      </c>
      <c r="M408">
        <f>VLOOKUP(Table1[[#This Row],[subscription_type]],Plans!$A$1:$B$5,2,FALSE)</f>
        <v>14.99</v>
      </c>
      <c r="N408">
        <f t="shared" si="6"/>
        <v>0</v>
      </c>
    </row>
    <row r="409" spans="1:14" x14ac:dyDescent="0.35">
      <c r="A409">
        <v>408</v>
      </c>
      <c r="B409" t="s">
        <v>16</v>
      </c>
      <c r="C409">
        <v>46</v>
      </c>
      <c r="D409" t="s">
        <v>13</v>
      </c>
      <c r="E409" t="s">
        <v>22</v>
      </c>
      <c r="F409">
        <v>118</v>
      </c>
      <c r="G409">
        <v>98</v>
      </c>
      <c r="H409">
        <v>0.53</v>
      </c>
      <c r="I409" t="s">
        <v>19</v>
      </c>
      <c r="J409">
        <v>0</v>
      </c>
      <c r="K409">
        <v>1</v>
      </c>
      <c r="L409">
        <v>0</v>
      </c>
      <c r="M409">
        <f>VLOOKUP(Table1[[#This Row],[subscription_type]],Plans!$A$1:$B$5,2,FALSE)</f>
        <v>9.99</v>
      </c>
      <c r="N409">
        <f t="shared" si="6"/>
        <v>0</v>
      </c>
    </row>
    <row r="410" spans="1:14" x14ac:dyDescent="0.35">
      <c r="A410">
        <v>409</v>
      </c>
      <c r="B410" t="s">
        <v>20</v>
      </c>
      <c r="C410">
        <v>23</v>
      </c>
      <c r="D410" t="s">
        <v>21</v>
      </c>
      <c r="E410" t="s">
        <v>14</v>
      </c>
      <c r="F410">
        <v>256</v>
      </c>
      <c r="G410">
        <v>83</v>
      </c>
      <c r="H410">
        <v>0.17</v>
      </c>
      <c r="I410" t="s">
        <v>23</v>
      </c>
      <c r="J410">
        <v>29</v>
      </c>
      <c r="K410">
        <v>0</v>
      </c>
      <c r="L410">
        <v>0</v>
      </c>
      <c r="M410">
        <f>VLOOKUP(Table1[[#This Row],[subscription_type]],Plans!$A$1:$B$5,2,FALSE)</f>
        <v>0</v>
      </c>
      <c r="N410">
        <f t="shared" si="6"/>
        <v>0</v>
      </c>
    </row>
    <row r="411" spans="1:14" x14ac:dyDescent="0.35">
      <c r="A411">
        <v>410</v>
      </c>
      <c r="B411" t="s">
        <v>12</v>
      </c>
      <c r="C411">
        <v>30</v>
      </c>
      <c r="D411" t="s">
        <v>13</v>
      </c>
      <c r="E411" t="s">
        <v>14</v>
      </c>
      <c r="F411">
        <v>84</v>
      </c>
      <c r="G411">
        <v>22</v>
      </c>
      <c r="H411">
        <v>0.25</v>
      </c>
      <c r="I411" t="s">
        <v>23</v>
      </c>
      <c r="J411">
        <v>5</v>
      </c>
      <c r="K411">
        <v>0</v>
      </c>
      <c r="L411">
        <v>0</v>
      </c>
      <c r="M411">
        <f>VLOOKUP(Table1[[#This Row],[subscription_type]],Plans!$A$1:$B$5,2,FALSE)</f>
        <v>0</v>
      </c>
      <c r="N411">
        <f t="shared" si="6"/>
        <v>0</v>
      </c>
    </row>
    <row r="412" spans="1:14" x14ac:dyDescent="0.35">
      <c r="A412">
        <v>411</v>
      </c>
      <c r="B412" t="s">
        <v>12</v>
      </c>
      <c r="C412">
        <v>32</v>
      </c>
      <c r="D412" t="s">
        <v>21</v>
      </c>
      <c r="E412" t="s">
        <v>22</v>
      </c>
      <c r="F412">
        <v>51</v>
      </c>
      <c r="G412">
        <v>8</v>
      </c>
      <c r="H412">
        <v>0.28999999999999998</v>
      </c>
      <c r="I412" t="s">
        <v>15</v>
      </c>
      <c r="J412">
        <v>0</v>
      </c>
      <c r="K412">
        <v>1</v>
      </c>
      <c r="L412">
        <v>0</v>
      </c>
      <c r="M412">
        <f>VLOOKUP(Table1[[#This Row],[subscription_type]],Plans!$A$1:$B$5,2,FALSE)</f>
        <v>9.99</v>
      </c>
      <c r="N412">
        <f t="shared" si="6"/>
        <v>0</v>
      </c>
    </row>
    <row r="413" spans="1:14" x14ac:dyDescent="0.35">
      <c r="A413">
        <v>412</v>
      </c>
      <c r="B413" t="s">
        <v>12</v>
      </c>
      <c r="C413">
        <v>29</v>
      </c>
      <c r="D413" t="s">
        <v>21</v>
      </c>
      <c r="E413" t="s">
        <v>14</v>
      </c>
      <c r="F413">
        <v>107</v>
      </c>
      <c r="G413">
        <v>23</v>
      </c>
      <c r="H413">
        <v>0.52</v>
      </c>
      <c r="I413" t="s">
        <v>19</v>
      </c>
      <c r="J413">
        <v>17</v>
      </c>
      <c r="K413">
        <v>0</v>
      </c>
      <c r="L413">
        <v>1</v>
      </c>
      <c r="M413">
        <f>VLOOKUP(Table1[[#This Row],[subscription_type]],Plans!$A$1:$B$5,2,FALSE)</f>
        <v>0</v>
      </c>
      <c r="N413">
        <f t="shared" si="6"/>
        <v>0</v>
      </c>
    </row>
    <row r="414" spans="1:14" x14ac:dyDescent="0.35">
      <c r="A414">
        <v>413</v>
      </c>
      <c r="B414" t="s">
        <v>16</v>
      </c>
      <c r="C414">
        <v>19</v>
      </c>
      <c r="D414" t="s">
        <v>25</v>
      </c>
      <c r="E414" t="s">
        <v>14</v>
      </c>
      <c r="F414">
        <v>289</v>
      </c>
      <c r="G414">
        <v>61</v>
      </c>
      <c r="H414">
        <v>0.31</v>
      </c>
      <c r="I414" t="s">
        <v>15</v>
      </c>
      <c r="J414">
        <v>18</v>
      </c>
      <c r="K414">
        <v>0</v>
      </c>
      <c r="L414">
        <v>0</v>
      </c>
      <c r="M414">
        <f>VLOOKUP(Table1[[#This Row],[subscription_type]],Plans!$A$1:$B$5,2,FALSE)</f>
        <v>0</v>
      </c>
      <c r="N414">
        <f t="shared" si="6"/>
        <v>0</v>
      </c>
    </row>
    <row r="415" spans="1:14" x14ac:dyDescent="0.35">
      <c r="A415">
        <v>414</v>
      </c>
      <c r="B415" t="s">
        <v>20</v>
      </c>
      <c r="C415">
        <v>19</v>
      </c>
      <c r="D415" t="s">
        <v>21</v>
      </c>
      <c r="E415" t="s">
        <v>22</v>
      </c>
      <c r="F415">
        <v>264</v>
      </c>
      <c r="G415">
        <v>89</v>
      </c>
      <c r="H415">
        <v>0.35</v>
      </c>
      <c r="I415" t="s">
        <v>19</v>
      </c>
      <c r="J415">
        <v>0</v>
      </c>
      <c r="K415">
        <v>1</v>
      </c>
      <c r="L415">
        <v>0</v>
      </c>
      <c r="M415">
        <f>VLOOKUP(Table1[[#This Row],[subscription_type]],Plans!$A$1:$B$5,2,FALSE)</f>
        <v>9.99</v>
      </c>
      <c r="N415">
        <f t="shared" si="6"/>
        <v>0</v>
      </c>
    </row>
    <row r="416" spans="1:14" x14ac:dyDescent="0.35">
      <c r="A416">
        <v>415</v>
      </c>
      <c r="B416" t="s">
        <v>20</v>
      </c>
      <c r="C416">
        <v>24</v>
      </c>
      <c r="D416" t="s">
        <v>28</v>
      </c>
      <c r="E416" t="s">
        <v>22</v>
      </c>
      <c r="F416">
        <v>227</v>
      </c>
      <c r="G416">
        <v>97</v>
      </c>
      <c r="H416">
        <v>0.03</v>
      </c>
      <c r="I416" t="s">
        <v>19</v>
      </c>
      <c r="J416">
        <v>0</v>
      </c>
      <c r="K416">
        <v>1</v>
      </c>
      <c r="L416">
        <v>0</v>
      </c>
      <c r="M416">
        <f>VLOOKUP(Table1[[#This Row],[subscription_type]],Plans!$A$1:$B$5,2,FALSE)</f>
        <v>9.99</v>
      </c>
      <c r="N416">
        <f t="shared" si="6"/>
        <v>0</v>
      </c>
    </row>
    <row r="417" spans="1:14" x14ac:dyDescent="0.35">
      <c r="A417">
        <v>416</v>
      </c>
      <c r="B417" t="s">
        <v>16</v>
      </c>
      <c r="C417">
        <v>16</v>
      </c>
      <c r="D417" t="s">
        <v>26</v>
      </c>
      <c r="E417" t="s">
        <v>14</v>
      </c>
      <c r="F417">
        <v>97</v>
      </c>
      <c r="G417">
        <v>86</v>
      </c>
      <c r="H417">
        <v>0.15</v>
      </c>
      <c r="I417" t="s">
        <v>15</v>
      </c>
      <c r="J417">
        <v>26</v>
      </c>
      <c r="K417">
        <v>0</v>
      </c>
      <c r="L417">
        <v>0</v>
      </c>
      <c r="M417">
        <f>VLOOKUP(Table1[[#This Row],[subscription_type]],Plans!$A$1:$B$5,2,FALSE)</f>
        <v>0</v>
      </c>
      <c r="N417">
        <f t="shared" si="6"/>
        <v>0</v>
      </c>
    </row>
    <row r="418" spans="1:14" x14ac:dyDescent="0.35">
      <c r="A418">
        <v>417</v>
      </c>
      <c r="B418" t="s">
        <v>20</v>
      </c>
      <c r="C418">
        <v>44</v>
      </c>
      <c r="D418" t="s">
        <v>13</v>
      </c>
      <c r="E418" t="s">
        <v>22</v>
      </c>
      <c r="F418">
        <v>168</v>
      </c>
      <c r="G418">
        <v>40</v>
      </c>
      <c r="H418">
        <v>0.56000000000000005</v>
      </c>
      <c r="I418" t="s">
        <v>23</v>
      </c>
      <c r="J418">
        <v>0</v>
      </c>
      <c r="K418">
        <v>1</v>
      </c>
      <c r="L418">
        <v>1</v>
      </c>
      <c r="M418">
        <f>VLOOKUP(Table1[[#This Row],[subscription_type]],Plans!$A$1:$B$5,2,FALSE)</f>
        <v>9.99</v>
      </c>
      <c r="N418">
        <f t="shared" si="6"/>
        <v>9.99</v>
      </c>
    </row>
    <row r="419" spans="1:14" x14ac:dyDescent="0.35">
      <c r="A419">
        <v>418</v>
      </c>
      <c r="B419" t="s">
        <v>20</v>
      </c>
      <c r="C419">
        <v>42</v>
      </c>
      <c r="D419" t="s">
        <v>26</v>
      </c>
      <c r="E419" t="s">
        <v>22</v>
      </c>
      <c r="F419">
        <v>23</v>
      </c>
      <c r="G419">
        <v>66</v>
      </c>
      <c r="H419">
        <v>0.49</v>
      </c>
      <c r="I419" t="s">
        <v>15</v>
      </c>
      <c r="J419">
        <v>0</v>
      </c>
      <c r="K419">
        <v>1</v>
      </c>
      <c r="L419">
        <v>0</v>
      </c>
      <c r="M419">
        <f>VLOOKUP(Table1[[#This Row],[subscription_type]],Plans!$A$1:$B$5,2,FALSE)</f>
        <v>9.99</v>
      </c>
      <c r="N419">
        <f t="shared" si="6"/>
        <v>0</v>
      </c>
    </row>
    <row r="420" spans="1:14" x14ac:dyDescent="0.35">
      <c r="A420">
        <v>419</v>
      </c>
      <c r="B420" t="s">
        <v>12</v>
      </c>
      <c r="C420">
        <v>55</v>
      </c>
      <c r="D420" t="s">
        <v>28</v>
      </c>
      <c r="E420" t="s">
        <v>22</v>
      </c>
      <c r="F420">
        <v>271</v>
      </c>
      <c r="G420">
        <v>98</v>
      </c>
      <c r="H420">
        <v>0.5</v>
      </c>
      <c r="I420" t="s">
        <v>15</v>
      </c>
      <c r="J420">
        <v>0</v>
      </c>
      <c r="K420">
        <v>1</v>
      </c>
      <c r="L420">
        <v>1</v>
      </c>
      <c r="M420">
        <f>VLOOKUP(Table1[[#This Row],[subscription_type]],Plans!$A$1:$B$5,2,FALSE)</f>
        <v>9.99</v>
      </c>
      <c r="N420">
        <f t="shared" si="6"/>
        <v>9.99</v>
      </c>
    </row>
    <row r="421" spans="1:14" x14ac:dyDescent="0.35">
      <c r="A421">
        <v>420</v>
      </c>
      <c r="B421" t="s">
        <v>16</v>
      </c>
      <c r="C421">
        <v>38</v>
      </c>
      <c r="D421" t="s">
        <v>26</v>
      </c>
      <c r="E421" t="s">
        <v>22</v>
      </c>
      <c r="F421">
        <v>104</v>
      </c>
      <c r="G421">
        <v>59</v>
      </c>
      <c r="H421">
        <v>0.01</v>
      </c>
      <c r="I421" t="s">
        <v>19</v>
      </c>
      <c r="J421">
        <v>0</v>
      </c>
      <c r="K421">
        <v>1</v>
      </c>
      <c r="L421">
        <v>1</v>
      </c>
      <c r="M421">
        <f>VLOOKUP(Table1[[#This Row],[subscription_type]],Plans!$A$1:$B$5,2,FALSE)</f>
        <v>9.99</v>
      </c>
      <c r="N421">
        <f t="shared" si="6"/>
        <v>9.99</v>
      </c>
    </row>
    <row r="422" spans="1:14" x14ac:dyDescent="0.35">
      <c r="A422">
        <v>421</v>
      </c>
      <c r="B422" t="s">
        <v>20</v>
      </c>
      <c r="C422">
        <v>30</v>
      </c>
      <c r="D422" t="s">
        <v>21</v>
      </c>
      <c r="E422" t="s">
        <v>14</v>
      </c>
      <c r="F422">
        <v>251</v>
      </c>
      <c r="G422">
        <v>59</v>
      </c>
      <c r="H422">
        <v>0.11</v>
      </c>
      <c r="I422" t="s">
        <v>15</v>
      </c>
      <c r="J422">
        <v>28</v>
      </c>
      <c r="K422">
        <v>0</v>
      </c>
      <c r="L422">
        <v>0</v>
      </c>
      <c r="M422">
        <f>VLOOKUP(Table1[[#This Row],[subscription_type]],Plans!$A$1:$B$5,2,FALSE)</f>
        <v>0</v>
      </c>
      <c r="N422">
        <f t="shared" si="6"/>
        <v>0</v>
      </c>
    </row>
    <row r="423" spans="1:14" x14ac:dyDescent="0.35">
      <c r="A423">
        <v>422</v>
      </c>
      <c r="B423" t="s">
        <v>12</v>
      </c>
      <c r="C423">
        <v>20</v>
      </c>
      <c r="D423" t="s">
        <v>13</v>
      </c>
      <c r="E423" t="s">
        <v>24</v>
      </c>
      <c r="F423">
        <v>105</v>
      </c>
      <c r="G423">
        <v>75</v>
      </c>
      <c r="H423">
        <v>0.25</v>
      </c>
      <c r="I423" t="s">
        <v>15</v>
      </c>
      <c r="J423">
        <v>0</v>
      </c>
      <c r="K423">
        <v>1</v>
      </c>
      <c r="L423">
        <v>0</v>
      </c>
      <c r="M423">
        <f>VLOOKUP(Table1[[#This Row],[subscription_type]],Plans!$A$1:$B$5,2,FALSE)</f>
        <v>4.99</v>
      </c>
      <c r="N423">
        <f t="shared" si="6"/>
        <v>0</v>
      </c>
    </row>
    <row r="424" spans="1:14" x14ac:dyDescent="0.35">
      <c r="A424">
        <v>423</v>
      </c>
      <c r="B424" t="s">
        <v>12</v>
      </c>
      <c r="C424">
        <v>40</v>
      </c>
      <c r="D424" t="s">
        <v>21</v>
      </c>
      <c r="E424" t="s">
        <v>24</v>
      </c>
      <c r="F424">
        <v>281</v>
      </c>
      <c r="G424">
        <v>77</v>
      </c>
      <c r="H424">
        <v>0.38</v>
      </c>
      <c r="I424" t="s">
        <v>19</v>
      </c>
      <c r="J424">
        <v>0</v>
      </c>
      <c r="K424">
        <v>1</v>
      </c>
      <c r="L424">
        <v>0</v>
      </c>
      <c r="M424">
        <f>VLOOKUP(Table1[[#This Row],[subscription_type]],Plans!$A$1:$B$5,2,FALSE)</f>
        <v>4.99</v>
      </c>
      <c r="N424">
        <f t="shared" si="6"/>
        <v>0</v>
      </c>
    </row>
    <row r="425" spans="1:14" x14ac:dyDescent="0.35">
      <c r="A425">
        <v>424</v>
      </c>
      <c r="B425" t="s">
        <v>12</v>
      </c>
      <c r="C425">
        <v>58</v>
      </c>
      <c r="D425" t="s">
        <v>28</v>
      </c>
      <c r="E425" t="s">
        <v>14</v>
      </c>
      <c r="F425">
        <v>93</v>
      </c>
      <c r="G425">
        <v>50</v>
      </c>
      <c r="H425">
        <v>0.18</v>
      </c>
      <c r="I425" t="s">
        <v>23</v>
      </c>
      <c r="J425">
        <v>39</v>
      </c>
      <c r="K425">
        <v>0</v>
      </c>
      <c r="L425">
        <v>0</v>
      </c>
      <c r="M425">
        <f>VLOOKUP(Table1[[#This Row],[subscription_type]],Plans!$A$1:$B$5,2,FALSE)</f>
        <v>0</v>
      </c>
      <c r="N425">
        <f t="shared" si="6"/>
        <v>0</v>
      </c>
    </row>
    <row r="426" spans="1:14" x14ac:dyDescent="0.35">
      <c r="A426">
        <v>425</v>
      </c>
      <c r="B426" t="s">
        <v>16</v>
      </c>
      <c r="C426">
        <v>20</v>
      </c>
      <c r="D426" t="s">
        <v>21</v>
      </c>
      <c r="E426" t="s">
        <v>18</v>
      </c>
      <c r="F426">
        <v>146</v>
      </c>
      <c r="G426">
        <v>74</v>
      </c>
      <c r="H426">
        <v>0.33</v>
      </c>
      <c r="I426" t="s">
        <v>19</v>
      </c>
      <c r="J426">
        <v>0</v>
      </c>
      <c r="K426">
        <v>1</v>
      </c>
      <c r="L426">
        <v>0</v>
      </c>
      <c r="M426">
        <f>VLOOKUP(Table1[[#This Row],[subscription_type]],Plans!$A$1:$B$5,2,FALSE)</f>
        <v>14.99</v>
      </c>
      <c r="N426">
        <f t="shared" si="6"/>
        <v>0</v>
      </c>
    </row>
    <row r="427" spans="1:14" x14ac:dyDescent="0.35">
      <c r="A427">
        <v>426</v>
      </c>
      <c r="B427" t="s">
        <v>20</v>
      </c>
      <c r="C427">
        <v>43</v>
      </c>
      <c r="D427" t="s">
        <v>17</v>
      </c>
      <c r="E427" t="s">
        <v>22</v>
      </c>
      <c r="F427">
        <v>170</v>
      </c>
      <c r="G427">
        <v>73</v>
      </c>
      <c r="H427">
        <v>0.48</v>
      </c>
      <c r="I427" t="s">
        <v>15</v>
      </c>
      <c r="J427">
        <v>0</v>
      </c>
      <c r="K427">
        <v>1</v>
      </c>
      <c r="L427">
        <v>0</v>
      </c>
      <c r="M427">
        <f>VLOOKUP(Table1[[#This Row],[subscription_type]],Plans!$A$1:$B$5,2,FALSE)</f>
        <v>9.99</v>
      </c>
      <c r="N427">
        <f t="shared" si="6"/>
        <v>0</v>
      </c>
    </row>
    <row r="428" spans="1:14" x14ac:dyDescent="0.35">
      <c r="A428">
        <v>427</v>
      </c>
      <c r="B428" t="s">
        <v>16</v>
      </c>
      <c r="C428">
        <v>37</v>
      </c>
      <c r="D428" t="s">
        <v>25</v>
      </c>
      <c r="E428" t="s">
        <v>22</v>
      </c>
      <c r="F428">
        <v>40</v>
      </c>
      <c r="G428">
        <v>91</v>
      </c>
      <c r="H428">
        <v>0.56999999999999995</v>
      </c>
      <c r="I428" t="s">
        <v>23</v>
      </c>
      <c r="J428">
        <v>0</v>
      </c>
      <c r="K428">
        <v>1</v>
      </c>
      <c r="L428">
        <v>0</v>
      </c>
      <c r="M428">
        <f>VLOOKUP(Table1[[#This Row],[subscription_type]],Plans!$A$1:$B$5,2,FALSE)</f>
        <v>9.99</v>
      </c>
      <c r="N428">
        <f t="shared" si="6"/>
        <v>0</v>
      </c>
    </row>
    <row r="429" spans="1:14" x14ac:dyDescent="0.35">
      <c r="A429">
        <v>428</v>
      </c>
      <c r="B429" t="s">
        <v>16</v>
      </c>
      <c r="C429">
        <v>48</v>
      </c>
      <c r="D429" t="s">
        <v>27</v>
      </c>
      <c r="E429" t="s">
        <v>24</v>
      </c>
      <c r="F429">
        <v>171</v>
      </c>
      <c r="G429">
        <v>31</v>
      </c>
      <c r="H429">
        <v>0.4</v>
      </c>
      <c r="I429" t="s">
        <v>15</v>
      </c>
      <c r="J429">
        <v>0</v>
      </c>
      <c r="K429">
        <v>1</v>
      </c>
      <c r="L429">
        <v>0</v>
      </c>
      <c r="M429">
        <f>VLOOKUP(Table1[[#This Row],[subscription_type]],Plans!$A$1:$B$5,2,FALSE)</f>
        <v>4.99</v>
      </c>
      <c r="N429">
        <f t="shared" si="6"/>
        <v>0</v>
      </c>
    </row>
    <row r="430" spans="1:14" x14ac:dyDescent="0.35">
      <c r="A430">
        <v>429</v>
      </c>
      <c r="B430" t="s">
        <v>16</v>
      </c>
      <c r="C430">
        <v>53</v>
      </c>
      <c r="D430" t="s">
        <v>29</v>
      </c>
      <c r="E430" t="s">
        <v>18</v>
      </c>
      <c r="F430">
        <v>36</v>
      </c>
      <c r="G430">
        <v>67</v>
      </c>
      <c r="H430">
        <v>0.21</v>
      </c>
      <c r="I430" t="s">
        <v>23</v>
      </c>
      <c r="J430">
        <v>0</v>
      </c>
      <c r="K430">
        <v>1</v>
      </c>
      <c r="L430">
        <v>0</v>
      </c>
      <c r="M430">
        <f>VLOOKUP(Table1[[#This Row],[subscription_type]],Plans!$A$1:$B$5,2,FALSE)</f>
        <v>14.99</v>
      </c>
      <c r="N430">
        <f t="shared" si="6"/>
        <v>0</v>
      </c>
    </row>
    <row r="431" spans="1:14" x14ac:dyDescent="0.35">
      <c r="A431">
        <v>430</v>
      </c>
      <c r="B431" t="s">
        <v>16</v>
      </c>
      <c r="C431">
        <v>25</v>
      </c>
      <c r="D431" t="s">
        <v>13</v>
      </c>
      <c r="E431" t="s">
        <v>14</v>
      </c>
      <c r="F431">
        <v>274</v>
      </c>
      <c r="G431">
        <v>57</v>
      </c>
      <c r="H431">
        <v>0.05</v>
      </c>
      <c r="I431" t="s">
        <v>19</v>
      </c>
      <c r="J431">
        <v>38</v>
      </c>
      <c r="K431">
        <v>0</v>
      </c>
      <c r="L431">
        <v>0</v>
      </c>
      <c r="M431">
        <f>VLOOKUP(Table1[[#This Row],[subscription_type]],Plans!$A$1:$B$5,2,FALSE)</f>
        <v>0</v>
      </c>
      <c r="N431">
        <f t="shared" si="6"/>
        <v>0</v>
      </c>
    </row>
    <row r="432" spans="1:14" x14ac:dyDescent="0.35">
      <c r="A432">
        <v>431</v>
      </c>
      <c r="B432" t="s">
        <v>12</v>
      </c>
      <c r="C432">
        <v>51</v>
      </c>
      <c r="D432" t="s">
        <v>13</v>
      </c>
      <c r="E432" t="s">
        <v>18</v>
      </c>
      <c r="F432">
        <v>79</v>
      </c>
      <c r="G432">
        <v>71</v>
      </c>
      <c r="H432">
        <v>0.11</v>
      </c>
      <c r="I432" t="s">
        <v>15</v>
      </c>
      <c r="J432">
        <v>0</v>
      </c>
      <c r="K432">
        <v>1</v>
      </c>
      <c r="L432">
        <v>0</v>
      </c>
      <c r="M432">
        <f>VLOOKUP(Table1[[#This Row],[subscription_type]],Plans!$A$1:$B$5,2,FALSE)</f>
        <v>14.99</v>
      </c>
      <c r="N432">
        <f t="shared" si="6"/>
        <v>0</v>
      </c>
    </row>
    <row r="433" spans="1:14" x14ac:dyDescent="0.35">
      <c r="A433">
        <v>432</v>
      </c>
      <c r="B433" t="s">
        <v>16</v>
      </c>
      <c r="C433">
        <v>42</v>
      </c>
      <c r="D433" t="s">
        <v>26</v>
      </c>
      <c r="E433" t="s">
        <v>18</v>
      </c>
      <c r="F433">
        <v>91</v>
      </c>
      <c r="G433">
        <v>81</v>
      </c>
      <c r="H433">
        <v>0.52</v>
      </c>
      <c r="I433" t="s">
        <v>23</v>
      </c>
      <c r="J433">
        <v>0</v>
      </c>
      <c r="K433">
        <v>1</v>
      </c>
      <c r="L433">
        <v>0</v>
      </c>
      <c r="M433">
        <f>VLOOKUP(Table1[[#This Row],[subscription_type]],Plans!$A$1:$B$5,2,FALSE)</f>
        <v>14.99</v>
      </c>
      <c r="N433">
        <f t="shared" si="6"/>
        <v>0</v>
      </c>
    </row>
    <row r="434" spans="1:14" x14ac:dyDescent="0.35">
      <c r="A434">
        <v>433</v>
      </c>
      <c r="B434" t="s">
        <v>16</v>
      </c>
      <c r="C434">
        <v>50</v>
      </c>
      <c r="D434" t="s">
        <v>29</v>
      </c>
      <c r="E434" t="s">
        <v>22</v>
      </c>
      <c r="F434">
        <v>69</v>
      </c>
      <c r="G434">
        <v>20</v>
      </c>
      <c r="H434">
        <v>0.13</v>
      </c>
      <c r="I434" t="s">
        <v>23</v>
      </c>
      <c r="J434">
        <v>0</v>
      </c>
      <c r="K434">
        <v>1</v>
      </c>
      <c r="L434">
        <v>1</v>
      </c>
      <c r="M434">
        <f>VLOOKUP(Table1[[#This Row],[subscription_type]],Plans!$A$1:$B$5,2,FALSE)</f>
        <v>9.99</v>
      </c>
      <c r="N434">
        <f t="shared" si="6"/>
        <v>9.99</v>
      </c>
    </row>
    <row r="435" spans="1:14" x14ac:dyDescent="0.35">
      <c r="A435">
        <v>434</v>
      </c>
      <c r="B435" t="s">
        <v>16</v>
      </c>
      <c r="C435">
        <v>56</v>
      </c>
      <c r="D435" t="s">
        <v>28</v>
      </c>
      <c r="E435" t="s">
        <v>18</v>
      </c>
      <c r="F435">
        <v>14</v>
      </c>
      <c r="G435">
        <v>93</v>
      </c>
      <c r="H435">
        <v>7.0000000000000007E-2</v>
      </c>
      <c r="I435" t="s">
        <v>15</v>
      </c>
      <c r="J435">
        <v>0</v>
      </c>
      <c r="K435">
        <v>1</v>
      </c>
      <c r="L435">
        <v>1</v>
      </c>
      <c r="M435">
        <f>VLOOKUP(Table1[[#This Row],[subscription_type]],Plans!$A$1:$B$5,2,FALSE)</f>
        <v>14.99</v>
      </c>
      <c r="N435">
        <f t="shared" si="6"/>
        <v>14.99</v>
      </c>
    </row>
    <row r="436" spans="1:14" x14ac:dyDescent="0.35">
      <c r="A436">
        <v>435</v>
      </c>
      <c r="B436" t="s">
        <v>12</v>
      </c>
      <c r="C436">
        <v>47</v>
      </c>
      <c r="D436" t="s">
        <v>25</v>
      </c>
      <c r="E436" t="s">
        <v>22</v>
      </c>
      <c r="F436">
        <v>55</v>
      </c>
      <c r="G436">
        <v>7</v>
      </c>
      <c r="H436">
        <v>0.54</v>
      </c>
      <c r="I436" t="s">
        <v>19</v>
      </c>
      <c r="J436">
        <v>0</v>
      </c>
      <c r="K436">
        <v>1</v>
      </c>
      <c r="L436">
        <v>0</v>
      </c>
      <c r="M436">
        <f>VLOOKUP(Table1[[#This Row],[subscription_type]],Plans!$A$1:$B$5,2,FALSE)</f>
        <v>9.99</v>
      </c>
      <c r="N436">
        <f t="shared" si="6"/>
        <v>0</v>
      </c>
    </row>
    <row r="437" spans="1:14" x14ac:dyDescent="0.35">
      <c r="A437">
        <v>436</v>
      </c>
      <c r="B437" t="s">
        <v>20</v>
      </c>
      <c r="C437">
        <v>41</v>
      </c>
      <c r="D437" t="s">
        <v>25</v>
      </c>
      <c r="E437" t="s">
        <v>14</v>
      </c>
      <c r="F437">
        <v>88</v>
      </c>
      <c r="G437">
        <v>34</v>
      </c>
      <c r="H437">
        <v>0.3</v>
      </c>
      <c r="I437" t="s">
        <v>19</v>
      </c>
      <c r="J437">
        <v>48</v>
      </c>
      <c r="K437">
        <v>0</v>
      </c>
      <c r="L437">
        <v>0</v>
      </c>
      <c r="M437">
        <f>VLOOKUP(Table1[[#This Row],[subscription_type]],Plans!$A$1:$B$5,2,FALSE)</f>
        <v>0</v>
      </c>
      <c r="N437">
        <f t="shared" si="6"/>
        <v>0</v>
      </c>
    </row>
    <row r="438" spans="1:14" x14ac:dyDescent="0.35">
      <c r="A438">
        <v>437</v>
      </c>
      <c r="B438" t="s">
        <v>20</v>
      </c>
      <c r="C438">
        <v>20</v>
      </c>
      <c r="D438" t="s">
        <v>27</v>
      </c>
      <c r="E438" t="s">
        <v>22</v>
      </c>
      <c r="F438">
        <v>236</v>
      </c>
      <c r="G438">
        <v>78</v>
      </c>
      <c r="H438">
        <v>0.35</v>
      </c>
      <c r="I438" t="s">
        <v>23</v>
      </c>
      <c r="J438">
        <v>0</v>
      </c>
      <c r="K438">
        <v>1</v>
      </c>
      <c r="L438">
        <v>0</v>
      </c>
      <c r="M438">
        <f>VLOOKUP(Table1[[#This Row],[subscription_type]],Plans!$A$1:$B$5,2,FALSE)</f>
        <v>9.99</v>
      </c>
      <c r="N438">
        <f t="shared" si="6"/>
        <v>0</v>
      </c>
    </row>
    <row r="439" spans="1:14" x14ac:dyDescent="0.35">
      <c r="A439">
        <v>438</v>
      </c>
      <c r="B439" t="s">
        <v>20</v>
      </c>
      <c r="C439">
        <v>57</v>
      </c>
      <c r="D439" t="s">
        <v>27</v>
      </c>
      <c r="E439" t="s">
        <v>14</v>
      </c>
      <c r="F439">
        <v>214</v>
      </c>
      <c r="G439">
        <v>85</v>
      </c>
      <c r="H439">
        <v>0.57999999999999996</v>
      </c>
      <c r="I439" t="s">
        <v>15</v>
      </c>
      <c r="J439">
        <v>17</v>
      </c>
      <c r="K439">
        <v>0</v>
      </c>
      <c r="L439">
        <v>0</v>
      </c>
      <c r="M439">
        <f>VLOOKUP(Table1[[#This Row],[subscription_type]],Plans!$A$1:$B$5,2,FALSE)</f>
        <v>0</v>
      </c>
      <c r="N439">
        <f t="shared" si="6"/>
        <v>0</v>
      </c>
    </row>
    <row r="440" spans="1:14" x14ac:dyDescent="0.35">
      <c r="A440">
        <v>439</v>
      </c>
      <c r="B440" t="s">
        <v>16</v>
      </c>
      <c r="C440">
        <v>35</v>
      </c>
      <c r="D440" t="s">
        <v>17</v>
      </c>
      <c r="E440" t="s">
        <v>14</v>
      </c>
      <c r="F440">
        <v>172</v>
      </c>
      <c r="G440">
        <v>5</v>
      </c>
      <c r="H440">
        <v>0.05</v>
      </c>
      <c r="I440" t="s">
        <v>15</v>
      </c>
      <c r="J440">
        <v>27</v>
      </c>
      <c r="K440">
        <v>0</v>
      </c>
      <c r="L440">
        <v>0</v>
      </c>
      <c r="M440">
        <f>VLOOKUP(Table1[[#This Row],[subscription_type]],Plans!$A$1:$B$5,2,FALSE)</f>
        <v>0</v>
      </c>
      <c r="N440">
        <f t="shared" si="6"/>
        <v>0</v>
      </c>
    </row>
    <row r="441" spans="1:14" x14ac:dyDescent="0.35">
      <c r="A441">
        <v>440</v>
      </c>
      <c r="B441" t="s">
        <v>20</v>
      </c>
      <c r="C441">
        <v>40</v>
      </c>
      <c r="D441" t="s">
        <v>29</v>
      </c>
      <c r="E441" t="s">
        <v>18</v>
      </c>
      <c r="F441">
        <v>163</v>
      </c>
      <c r="G441">
        <v>11</v>
      </c>
      <c r="H441">
        <v>0.3</v>
      </c>
      <c r="I441" t="s">
        <v>23</v>
      </c>
      <c r="J441">
        <v>0</v>
      </c>
      <c r="K441">
        <v>1</v>
      </c>
      <c r="L441">
        <v>0</v>
      </c>
      <c r="M441">
        <f>VLOOKUP(Table1[[#This Row],[subscription_type]],Plans!$A$1:$B$5,2,FALSE)</f>
        <v>14.99</v>
      </c>
      <c r="N441">
        <f t="shared" si="6"/>
        <v>0</v>
      </c>
    </row>
    <row r="442" spans="1:14" x14ac:dyDescent="0.35">
      <c r="A442">
        <v>441</v>
      </c>
      <c r="B442" t="s">
        <v>12</v>
      </c>
      <c r="C442">
        <v>46</v>
      </c>
      <c r="D442" t="s">
        <v>27</v>
      </c>
      <c r="E442" t="s">
        <v>22</v>
      </c>
      <c r="F442">
        <v>123</v>
      </c>
      <c r="G442">
        <v>9</v>
      </c>
      <c r="H442">
        <v>0.27</v>
      </c>
      <c r="I442" t="s">
        <v>15</v>
      </c>
      <c r="J442">
        <v>0</v>
      </c>
      <c r="K442">
        <v>1</v>
      </c>
      <c r="L442">
        <v>0</v>
      </c>
      <c r="M442">
        <f>VLOOKUP(Table1[[#This Row],[subscription_type]],Plans!$A$1:$B$5,2,FALSE)</f>
        <v>9.99</v>
      </c>
      <c r="N442">
        <f t="shared" si="6"/>
        <v>0</v>
      </c>
    </row>
    <row r="443" spans="1:14" x14ac:dyDescent="0.35">
      <c r="A443">
        <v>442</v>
      </c>
      <c r="B443" t="s">
        <v>20</v>
      </c>
      <c r="C443">
        <v>48</v>
      </c>
      <c r="D443" t="s">
        <v>25</v>
      </c>
      <c r="E443" t="s">
        <v>14</v>
      </c>
      <c r="F443">
        <v>251</v>
      </c>
      <c r="G443">
        <v>28</v>
      </c>
      <c r="H443">
        <v>0.49</v>
      </c>
      <c r="I443" t="s">
        <v>19</v>
      </c>
      <c r="J443">
        <v>46</v>
      </c>
      <c r="K443">
        <v>0</v>
      </c>
      <c r="L443">
        <v>0</v>
      </c>
      <c r="M443">
        <f>VLOOKUP(Table1[[#This Row],[subscription_type]],Plans!$A$1:$B$5,2,FALSE)</f>
        <v>0</v>
      </c>
      <c r="N443">
        <f t="shared" si="6"/>
        <v>0</v>
      </c>
    </row>
    <row r="444" spans="1:14" x14ac:dyDescent="0.35">
      <c r="A444">
        <v>443</v>
      </c>
      <c r="B444" t="s">
        <v>16</v>
      </c>
      <c r="C444">
        <v>49</v>
      </c>
      <c r="D444" t="s">
        <v>26</v>
      </c>
      <c r="E444" t="s">
        <v>14</v>
      </c>
      <c r="F444">
        <v>191</v>
      </c>
      <c r="G444">
        <v>92</v>
      </c>
      <c r="H444">
        <v>0.49</v>
      </c>
      <c r="I444" t="s">
        <v>19</v>
      </c>
      <c r="J444">
        <v>29</v>
      </c>
      <c r="K444">
        <v>0</v>
      </c>
      <c r="L444">
        <v>0</v>
      </c>
      <c r="M444">
        <f>VLOOKUP(Table1[[#This Row],[subscription_type]],Plans!$A$1:$B$5,2,FALSE)</f>
        <v>0</v>
      </c>
      <c r="N444">
        <f t="shared" si="6"/>
        <v>0</v>
      </c>
    </row>
    <row r="445" spans="1:14" x14ac:dyDescent="0.35">
      <c r="A445">
        <v>444</v>
      </c>
      <c r="B445" t="s">
        <v>20</v>
      </c>
      <c r="C445">
        <v>44</v>
      </c>
      <c r="D445" t="s">
        <v>21</v>
      </c>
      <c r="E445" t="s">
        <v>18</v>
      </c>
      <c r="F445">
        <v>35</v>
      </c>
      <c r="G445">
        <v>14</v>
      </c>
      <c r="H445">
        <v>0.44</v>
      </c>
      <c r="I445" t="s">
        <v>19</v>
      </c>
      <c r="J445">
        <v>0</v>
      </c>
      <c r="K445">
        <v>1</v>
      </c>
      <c r="L445">
        <v>0</v>
      </c>
      <c r="M445">
        <f>VLOOKUP(Table1[[#This Row],[subscription_type]],Plans!$A$1:$B$5,2,FALSE)</f>
        <v>14.99</v>
      </c>
      <c r="N445">
        <f t="shared" si="6"/>
        <v>0</v>
      </c>
    </row>
    <row r="446" spans="1:14" x14ac:dyDescent="0.35">
      <c r="A446">
        <v>445</v>
      </c>
      <c r="B446" t="s">
        <v>16</v>
      </c>
      <c r="C446">
        <v>47</v>
      </c>
      <c r="D446" t="s">
        <v>21</v>
      </c>
      <c r="E446" t="s">
        <v>24</v>
      </c>
      <c r="F446">
        <v>250</v>
      </c>
      <c r="G446">
        <v>86</v>
      </c>
      <c r="H446">
        <v>0</v>
      </c>
      <c r="I446" t="s">
        <v>23</v>
      </c>
      <c r="J446">
        <v>0</v>
      </c>
      <c r="K446">
        <v>1</v>
      </c>
      <c r="L446">
        <v>1</v>
      </c>
      <c r="M446">
        <f>VLOOKUP(Table1[[#This Row],[subscription_type]],Plans!$A$1:$B$5,2,FALSE)</f>
        <v>4.99</v>
      </c>
      <c r="N446">
        <f t="shared" si="6"/>
        <v>4.99</v>
      </c>
    </row>
    <row r="447" spans="1:14" x14ac:dyDescent="0.35">
      <c r="A447">
        <v>446</v>
      </c>
      <c r="B447" t="s">
        <v>16</v>
      </c>
      <c r="C447">
        <v>46</v>
      </c>
      <c r="D447" t="s">
        <v>29</v>
      </c>
      <c r="E447" t="s">
        <v>24</v>
      </c>
      <c r="F447">
        <v>247</v>
      </c>
      <c r="G447">
        <v>67</v>
      </c>
      <c r="H447">
        <v>0.32</v>
      </c>
      <c r="I447" t="s">
        <v>15</v>
      </c>
      <c r="J447">
        <v>0</v>
      </c>
      <c r="K447">
        <v>1</v>
      </c>
      <c r="L447">
        <v>1</v>
      </c>
      <c r="M447">
        <f>VLOOKUP(Table1[[#This Row],[subscription_type]],Plans!$A$1:$B$5,2,FALSE)</f>
        <v>4.99</v>
      </c>
      <c r="N447">
        <f t="shared" si="6"/>
        <v>4.99</v>
      </c>
    </row>
    <row r="448" spans="1:14" x14ac:dyDescent="0.35">
      <c r="A448">
        <v>447</v>
      </c>
      <c r="B448" t="s">
        <v>16</v>
      </c>
      <c r="C448">
        <v>44</v>
      </c>
      <c r="D448" t="s">
        <v>28</v>
      </c>
      <c r="E448" t="s">
        <v>22</v>
      </c>
      <c r="F448">
        <v>18</v>
      </c>
      <c r="G448">
        <v>51</v>
      </c>
      <c r="H448">
        <v>0.38</v>
      </c>
      <c r="I448" t="s">
        <v>19</v>
      </c>
      <c r="J448">
        <v>0</v>
      </c>
      <c r="K448">
        <v>1</v>
      </c>
      <c r="L448">
        <v>1</v>
      </c>
      <c r="M448">
        <f>VLOOKUP(Table1[[#This Row],[subscription_type]],Plans!$A$1:$B$5,2,FALSE)</f>
        <v>9.99</v>
      </c>
      <c r="N448">
        <f t="shared" si="6"/>
        <v>9.99</v>
      </c>
    </row>
    <row r="449" spans="1:14" x14ac:dyDescent="0.35">
      <c r="A449">
        <v>448</v>
      </c>
      <c r="B449" t="s">
        <v>20</v>
      </c>
      <c r="C449">
        <v>52</v>
      </c>
      <c r="D449" t="s">
        <v>27</v>
      </c>
      <c r="E449" t="s">
        <v>24</v>
      </c>
      <c r="F449">
        <v>296</v>
      </c>
      <c r="G449">
        <v>35</v>
      </c>
      <c r="H449">
        <v>0.22</v>
      </c>
      <c r="I449" t="s">
        <v>19</v>
      </c>
      <c r="J449">
        <v>0</v>
      </c>
      <c r="K449">
        <v>1</v>
      </c>
      <c r="L449">
        <v>0</v>
      </c>
      <c r="M449">
        <f>VLOOKUP(Table1[[#This Row],[subscription_type]],Plans!$A$1:$B$5,2,FALSE)</f>
        <v>4.99</v>
      </c>
      <c r="N449">
        <f t="shared" si="6"/>
        <v>0</v>
      </c>
    </row>
    <row r="450" spans="1:14" x14ac:dyDescent="0.35">
      <c r="A450">
        <v>449</v>
      </c>
      <c r="B450" t="s">
        <v>16</v>
      </c>
      <c r="C450">
        <v>37</v>
      </c>
      <c r="D450" t="s">
        <v>28</v>
      </c>
      <c r="E450" t="s">
        <v>14</v>
      </c>
      <c r="F450">
        <v>25</v>
      </c>
      <c r="G450">
        <v>62</v>
      </c>
      <c r="H450">
        <v>0.47</v>
      </c>
      <c r="I450" t="s">
        <v>23</v>
      </c>
      <c r="J450">
        <v>14</v>
      </c>
      <c r="K450">
        <v>0</v>
      </c>
      <c r="L450">
        <v>0</v>
      </c>
      <c r="M450">
        <f>VLOOKUP(Table1[[#This Row],[subscription_type]],Plans!$A$1:$B$5,2,FALSE)</f>
        <v>0</v>
      </c>
      <c r="N450">
        <f t="shared" ref="N450:N513" si="7">IF(L450=1, M450,0)</f>
        <v>0</v>
      </c>
    </row>
    <row r="451" spans="1:14" x14ac:dyDescent="0.35">
      <c r="A451">
        <v>450</v>
      </c>
      <c r="B451" t="s">
        <v>20</v>
      </c>
      <c r="C451">
        <v>41</v>
      </c>
      <c r="D451" t="s">
        <v>25</v>
      </c>
      <c r="E451" t="s">
        <v>22</v>
      </c>
      <c r="F451">
        <v>166</v>
      </c>
      <c r="G451">
        <v>86</v>
      </c>
      <c r="H451">
        <v>0.03</v>
      </c>
      <c r="I451" t="s">
        <v>15</v>
      </c>
      <c r="J451">
        <v>0</v>
      </c>
      <c r="K451">
        <v>1</v>
      </c>
      <c r="L451">
        <v>0</v>
      </c>
      <c r="M451">
        <f>VLOOKUP(Table1[[#This Row],[subscription_type]],Plans!$A$1:$B$5,2,FALSE)</f>
        <v>9.99</v>
      </c>
      <c r="N451">
        <f t="shared" si="7"/>
        <v>0</v>
      </c>
    </row>
    <row r="452" spans="1:14" x14ac:dyDescent="0.35">
      <c r="A452">
        <v>451</v>
      </c>
      <c r="B452" t="s">
        <v>12</v>
      </c>
      <c r="C452">
        <v>55</v>
      </c>
      <c r="D452" t="s">
        <v>17</v>
      </c>
      <c r="E452" t="s">
        <v>24</v>
      </c>
      <c r="F452">
        <v>98</v>
      </c>
      <c r="G452">
        <v>17</v>
      </c>
      <c r="H452">
        <v>0.17</v>
      </c>
      <c r="I452" t="s">
        <v>15</v>
      </c>
      <c r="J452">
        <v>0</v>
      </c>
      <c r="K452">
        <v>1</v>
      </c>
      <c r="L452">
        <v>1</v>
      </c>
      <c r="M452">
        <f>VLOOKUP(Table1[[#This Row],[subscription_type]],Plans!$A$1:$B$5,2,FALSE)</f>
        <v>4.99</v>
      </c>
      <c r="N452">
        <f t="shared" si="7"/>
        <v>4.99</v>
      </c>
    </row>
    <row r="453" spans="1:14" x14ac:dyDescent="0.35">
      <c r="A453">
        <v>452</v>
      </c>
      <c r="B453" t="s">
        <v>12</v>
      </c>
      <c r="C453">
        <v>28</v>
      </c>
      <c r="D453" t="s">
        <v>17</v>
      </c>
      <c r="E453" t="s">
        <v>24</v>
      </c>
      <c r="F453">
        <v>288</v>
      </c>
      <c r="G453">
        <v>86</v>
      </c>
      <c r="H453">
        <v>0.16</v>
      </c>
      <c r="I453" t="s">
        <v>23</v>
      </c>
      <c r="J453">
        <v>0</v>
      </c>
      <c r="K453">
        <v>1</v>
      </c>
      <c r="L453">
        <v>1</v>
      </c>
      <c r="M453">
        <f>VLOOKUP(Table1[[#This Row],[subscription_type]],Plans!$A$1:$B$5,2,FALSE)</f>
        <v>4.99</v>
      </c>
      <c r="N453">
        <f t="shared" si="7"/>
        <v>4.99</v>
      </c>
    </row>
    <row r="454" spans="1:14" x14ac:dyDescent="0.35">
      <c r="A454">
        <v>453</v>
      </c>
      <c r="B454" t="s">
        <v>20</v>
      </c>
      <c r="C454">
        <v>40</v>
      </c>
      <c r="D454" t="s">
        <v>25</v>
      </c>
      <c r="E454" t="s">
        <v>22</v>
      </c>
      <c r="F454">
        <v>10</v>
      </c>
      <c r="G454">
        <v>54</v>
      </c>
      <c r="H454">
        <v>0.5</v>
      </c>
      <c r="I454" t="s">
        <v>19</v>
      </c>
      <c r="J454">
        <v>0</v>
      </c>
      <c r="K454">
        <v>1</v>
      </c>
      <c r="L454">
        <v>0</v>
      </c>
      <c r="M454">
        <f>VLOOKUP(Table1[[#This Row],[subscription_type]],Plans!$A$1:$B$5,2,FALSE)</f>
        <v>9.99</v>
      </c>
      <c r="N454">
        <f t="shared" si="7"/>
        <v>0</v>
      </c>
    </row>
    <row r="455" spans="1:14" x14ac:dyDescent="0.35">
      <c r="A455">
        <v>454</v>
      </c>
      <c r="B455" t="s">
        <v>20</v>
      </c>
      <c r="C455">
        <v>19</v>
      </c>
      <c r="D455" t="s">
        <v>27</v>
      </c>
      <c r="E455" t="s">
        <v>22</v>
      </c>
      <c r="F455">
        <v>188</v>
      </c>
      <c r="G455">
        <v>15</v>
      </c>
      <c r="H455">
        <v>0.27</v>
      </c>
      <c r="I455" t="s">
        <v>15</v>
      </c>
      <c r="J455">
        <v>0</v>
      </c>
      <c r="K455">
        <v>1</v>
      </c>
      <c r="L455">
        <v>0</v>
      </c>
      <c r="M455">
        <f>VLOOKUP(Table1[[#This Row],[subscription_type]],Plans!$A$1:$B$5,2,FALSE)</f>
        <v>9.99</v>
      </c>
      <c r="N455">
        <f t="shared" si="7"/>
        <v>0</v>
      </c>
    </row>
    <row r="456" spans="1:14" x14ac:dyDescent="0.35">
      <c r="A456">
        <v>455</v>
      </c>
      <c r="B456" t="s">
        <v>20</v>
      </c>
      <c r="C456">
        <v>53</v>
      </c>
      <c r="D456" t="s">
        <v>13</v>
      </c>
      <c r="E456" t="s">
        <v>14</v>
      </c>
      <c r="F456">
        <v>65</v>
      </c>
      <c r="G456">
        <v>55</v>
      </c>
      <c r="H456">
        <v>0.56000000000000005</v>
      </c>
      <c r="I456" t="s">
        <v>15</v>
      </c>
      <c r="J456">
        <v>33</v>
      </c>
      <c r="K456">
        <v>0</v>
      </c>
      <c r="L456">
        <v>0</v>
      </c>
      <c r="M456">
        <f>VLOOKUP(Table1[[#This Row],[subscription_type]],Plans!$A$1:$B$5,2,FALSE)</f>
        <v>0</v>
      </c>
      <c r="N456">
        <f t="shared" si="7"/>
        <v>0</v>
      </c>
    </row>
    <row r="457" spans="1:14" x14ac:dyDescent="0.35">
      <c r="A457">
        <v>456</v>
      </c>
      <c r="B457" t="s">
        <v>16</v>
      </c>
      <c r="C457">
        <v>20</v>
      </c>
      <c r="D457" t="s">
        <v>28</v>
      </c>
      <c r="E457" t="s">
        <v>18</v>
      </c>
      <c r="F457">
        <v>210</v>
      </c>
      <c r="G457">
        <v>82</v>
      </c>
      <c r="H457">
        <v>0.51</v>
      </c>
      <c r="I457" t="s">
        <v>19</v>
      </c>
      <c r="J457">
        <v>0</v>
      </c>
      <c r="K457">
        <v>1</v>
      </c>
      <c r="L457">
        <v>0</v>
      </c>
      <c r="M457">
        <f>VLOOKUP(Table1[[#This Row],[subscription_type]],Plans!$A$1:$B$5,2,FALSE)</f>
        <v>14.99</v>
      </c>
      <c r="N457">
        <f t="shared" si="7"/>
        <v>0</v>
      </c>
    </row>
    <row r="458" spans="1:14" x14ac:dyDescent="0.35">
      <c r="A458">
        <v>457</v>
      </c>
      <c r="B458" t="s">
        <v>12</v>
      </c>
      <c r="C458">
        <v>18</v>
      </c>
      <c r="D458" t="s">
        <v>26</v>
      </c>
      <c r="E458" t="s">
        <v>24</v>
      </c>
      <c r="F458">
        <v>128</v>
      </c>
      <c r="G458">
        <v>28</v>
      </c>
      <c r="H458">
        <v>0.33</v>
      </c>
      <c r="I458" t="s">
        <v>23</v>
      </c>
      <c r="J458">
        <v>0</v>
      </c>
      <c r="K458">
        <v>1</v>
      </c>
      <c r="L458">
        <v>1</v>
      </c>
      <c r="M458">
        <f>VLOOKUP(Table1[[#This Row],[subscription_type]],Plans!$A$1:$B$5,2,FALSE)</f>
        <v>4.99</v>
      </c>
      <c r="N458">
        <f t="shared" si="7"/>
        <v>4.99</v>
      </c>
    </row>
    <row r="459" spans="1:14" x14ac:dyDescent="0.35">
      <c r="A459">
        <v>458</v>
      </c>
      <c r="B459" t="s">
        <v>12</v>
      </c>
      <c r="C459">
        <v>25</v>
      </c>
      <c r="D459" t="s">
        <v>25</v>
      </c>
      <c r="E459" t="s">
        <v>18</v>
      </c>
      <c r="F459">
        <v>72</v>
      </c>
      <c r="G459">
        <v>32</v>
      </c>
      <c r="H459">
        <v>0.32</v>
      </c>
      <c r="I459" t="s">
        <v>15</v>
      </c>
      <c r="J459">
        <v>0</v>
      </c>
      <c r="K459">
        <v>1</v>
      </c>
      <c r="L459">
        <v>1</v>
      </c>
      <c r="M459">
        <f>VLOOKUP(Table1[[#This Row],[subscription_type]],Plans!$A$1:$B$5,2,FALSE)</f>
        <v>14.99</v>
      </c>
      <c r="N459">
        <f t="shared" si="7"/>
        <v>14.99</v>
      </c>
    </row>
    <row r="460" spans="1:14" x14ac:dyDescent="0.35">
      <c r="A460">
        <v>459</v>
      </c>
      <c r="B460" t="s">
        <v>20</v>
      </c>
      <c r="C460">
        <v>26</v>
      </c>
      <c r="D460" t="s">
        <v>26</v>
      </c>
      <c r="E460" t="s">
        <v>24</v>
      </c>
      <c r="F460">
        <v>150</v>
      </c>
      <c r="G460">
        <v>40</v>
      </c>
      <c r="H460">
        <v>0.06</v>
      </c>
      <c r="I460" t="s">
        <v>15</v>
      </c>
      <c r="J460">
        <v>0</v>
      </c>
      <c r="K460">
        <v>1</v>
      </c>
      <c r="L460">
        <v>0</v>
      </c>
      <c r="M460">
        <f>VLOOKUP(Table1[[#This Row],[subscription_type]],Plans!$A$1:$B$5,2,FALSE)</f>
        <v>4.99</v>
      </c>
      <c r="N460">
        <f t="shared" si="7"/>
        <v>0</v>
      </c>
    </row>
    <row r="461" spans="1:14" x14ac:dyDescent="0.35">
      <c r="A461">
        <v>460</v>
      </c>
      <c r="B461" t="s">
        <v>20</v>
      </c>
      <c r="C461">
        <v>24</v>
      </c>
      <c r="D461" t="s">
        <v>29</v>
      </c>
      <c r="E461" t="s">
        <v>24</v>
      </c>
      <c r="F461">
        <v>57</v>
      </c>
      <c r="G461">
        <v>35</v>
      </c>
      <c r="H461">
        <v>0.48</v>
      </c>
      <c r="I461" t="s">
        <v>19</v>
      </c>
      <c r="J461">
        <v>0</v>
      </c>
      <c r="K461">
        <v>1</v>
      </c>
      <c r="L461">
        <v>0</v>
      </c>
      <c r="M461">
        <f>VLOOKUP(Table1[[#This Row],[subscription_type]],Plans!$A$1:$B$5,2,FALSE)</f>
        <v>4.99</v>
      </c>
      <c r="N461">
        <f t="shared" si="7"/>
        <v>0</v>
      </c>
    </row>
    <row r="462" spans="1:14" x14ac:dyDescent="0.35">
      <c r="A462">
        <v>461</v>
      </c>
      <c r="B462" t="s">
        <v>12</v>
      </c>
      <c r="C462">
        <v>41</v>
      </c>
      <c r="D462" t="s">
        <v>29</v>
      </c>
      <c r="E462" t="s">
        <v>24</v>
      </c>
      <c r="F462">
        <v>199</v>
      </c>
      <c r="G462">
        <v>12</v>
      </c>
      <c r="H462">
        <v>0.4</v>
      </c>
      <c r="I462" t="s">
        <v>19</v>
      </c>
      <c r="J462">
        <v>0</v>
      </c>
      <c r="K462">
        <v>1</v>
      </c>
      <c r="L462">
        <v>1</v>
      </c>
      <c r="M462">
        <f>VLOOKUP(Table1[[#This Row],[subscription_type]],Plans!$A$1:$B$5,2,FALSE)</f>
        <v>4.99</v>
      </c>
      <c r="N462">
        <f t="shared" si="7"/>
        <v>4.99</v>
      </c>
    </row>
    <row r="463" spans="1:14" x14ac:dyDescent="0.35">
      <c r="A463">
        <v>462</v>
      </c>
      <c r="B463" t="s">
        <v>20</v>
      </c>
      <c r="C463">
        <v>21</v>
      </c>
      <c r="D463" t="s">
        <v>13</v>
      </c>
      <c r="E463" t="s">
        <v>24</v>
      </c>
      <c r="F463">
        <v>211</v>
      </c>
      <c r="G463">
        <v>96</v>
      </c>
      <c r="H463">
        <v>0.56999999999999995</v>
      </c>
      <c r="I463" t="s">
        <v>15</v>
      </c>
      <c r="J463">
        <v>0</v>
      </c>
      <c r="K463">
        <v>1</v>
      </c>
      <c r="L463">
        <v>0</v>
      </c>
      <c r="M463">
        <f>VLOOKUP(Table1[[#This Row],[subscription_type]],Plans!$A$1:$B$5,2,FALSE)</f>
        <v>4.99</v>
      </c>
      <c r="N463">
        <f t="shared" si="7"/>
        <v>0</v>
      </c>
    </row>
    <row r="464" spans="1:14" x14ac:dyDescent="0.35">
      <c r="A464">
        <v>463</v>
      </c>
      <c r="B464" t="s">
        <v>12</v>
      </c>
      <c r="C464">
        <v>30</v>
      </c>
      <c r="D464" t="s">
        <v>13</v>
      </c>
      <c r="E464" t="s">
        <v>18</v>
      </c>
      <c r="F464">
        <v>115</v>
      </c>
      <c r="G464">
        <v>68</v>
      </c>
      <c r="H464">
        <v>0.49</v>
      </c>
      <c r="I464" t="s">
        <v>15</v>
      </c>
      <c r="J464">
        <v>0</v>
      </c>
      <c r="K464">
        <v>1</v>
      </c>
      <c r="L464">
        <v>0</v>
      </c>
      <c r="M464">
        <f>VLOOKUP(Table1[[#This Row],[subscription_type]],Plans!$A$1:$B$5,2,FALSE)</f>
        <v>14.99</v>
      </c>
      <c r="N464">
        <f t="shared" si="7"/>
        <v>0</v>
      </c>
    </row>
    <row r="465" spans="1:14" x14ac:dyDescent="0.35">
      <c r="A465">
        <v>464</v>
      </c>
      <c r="B465" t="s">
        <v>20</v>
      </c>
      <c r="C465">
        <v>37</v>
      </c>
      <c r="D465" t="s">
        <v>21</v>
      </c>
      <c r="E465" t="s">
        <v>14</v>
      </c>
      <c r="F465">
        <v>260</v>
      </c>
      <c r="G465">
        <v>30</v>
      </c>
      <c r="H465">
        <v>0.51</v>
      </c>
      <c r="I465" t="s">
        <v>19</v>
      </c>
      <c r="J465">
        <v>37</v>
      </c>
      <c r="K465">
        <v>0</v>
      </c>
      <c r="L465">
        <v>0</v>
      </c>
      <c r="M465">
        <f>VLOOKUP(Table1[[#This Row],[subscription_type]],Plans!$A$1:$B$5,2,FALSE)</f>
        <v>0</v>
      </c>
      <c r="N465">
        <f t="shared" si="7"/>
        <v>0</v>
      </c>
    </row>
    <row r="466" spans="1:14" x14ac:dyDescent="0.35">
      <c r="A466">
        <v>465</v>
      </c>
      <c r="B466" t="s">
        <v>20</v>
      </c>
      <c r="C466">
        <v>39</v>
      </c>
      <c r="D466" t="s">
        <v>17</v>
      </c>
      <c r="E466" t="s">
        <v>14</v>
      </c>
      <c r="F466">
        <v>110</v>
      </c>
      <c r="G466">
        <v>17</v>
      </c>
      <c r="H466">
        <v>0.57999999999999996</v>
      </c>
      <c r="I466" t="s">
        <v>15</v>
      </c>
      <c r="J466">
        <v>24</v>
      </c>
      <c r="K466">
        <v>0</v>
      </c>
      <c r="L466">
        <v>0</v>
      </c>
      <c r="M466">
        <f>VLOOKUP(Table1[[#This Row],[subscription_type]],Plans!$A$1:$B$5,2,FALSE)</f>
        <v>0</v>
      </c>
      <c r="N466">
        <f t="shared" si="7"/>
        <v>0</v>
      </c>
    </row>
    <row r="467" spans="1:14" x14ac:dyDescent="0.35">
      <c r="A467">
        <v>466</v>
      </c>
      <c r="B467" t="s">
        <v>12</v>
      </c>
      <c r="C467">
        <v>53</v>
      </c>
      <c r="D467" t="s">
        <v>29</v>
      </c>
      <c r="E467" t="s">
        <v>14</v>
      </c>
      <c r="F467">
        <v>224</v>
      </c>
      <c r="G467">
        <v>11</v>
      </c>
      <c r="H467">
        <v>0.11</v>
      </c>
      <c r="I467" t="s">
        <v>23</v>
      </c>
      <c r="J467">
        <v>12</v>
      </c>
      <c r="K467">
        <v>0</v>
      </c>
      <c r="L467">
        <v>0</v>
      </c>
      <c r="M467">
        <f>VLOOKUP(Table1[[#This Row],[subscription_type]],Plans!$A$1:$B$5,2,FALSE)</f>
        <v>0</v>
      </c>
      <c r="N467">
        <f t="shared" si="7"/>
        <v>0</v>
      </c>
    </row>
    <row r="468" spans="1:14" x14ac:dyDescent="0.35">
      <c r="A468">
        <v>467</v>
      </c>
      <c r="B468" t="s">
        <v>12</v>
      </c>
      <c r="C468">
        <v>39</v>
      </c>
      <c r="D468" t="s">
        <v>27</v>
      </c>
      <c r="E468" t="s">
        <v>18</v>
      </c>
      <c r="F468">
        <v>63</v>
      </c>
      <c r="G468">
        <v>96</v>
      </c>
      <c r="H468">
        <v>0.32</v>
      </c>
      <c r="I468" t="s">
        <v>23</v>
      </c>
      <c r="J468">
        <v>0</v>
      </c>
      <c r="K468">
        <v>1</v>
      </c>
      <c r="L468">
        <v>0</v>
      </c>
      <c r="M468">
        <f>VLOOKUP(Table1[[#This Row],[subscription_type]],Plans!$A$1:$B$5,2,FALSE)</f>
        <v>14.99</v>
      </c>
      <c r="N468">
        <f t="shared" si="7"/>
        <v>0</v>
      </c>
    </row>
    <row r="469" spans="1:14" x14ac:dyDescent="0.35">
      <c r="A469">
        <v>468</v>
      </c>
      <c r="B469" t="s">
        <v>20</v>
      </c>
      <c r="C469">
        <v>48</v>
      </c>
      <c r="D469" t="s">
        <v>28</v>
      </c>
      <c r="E469" t="s">
        <v>18</v>
      </c>
      <c r="F469">
        <v>40</v>
      </c>
      <c r="G469">
        <v>62</v>
      </c>
      <c r="H469">
        <v>0.01</v>
      </c>
      <c r="I469" t="s">
        <v>23</v>
      </c>
      <c r="J469">
        <v>0</v>
      </c>
      <c r="K469">
        <v>1</v>
      </c>
      <c r="L469">
        <v>0</v>
      </c>
      <c r="M469">
        <f>VLOOKUP(Table1[[#This Row],[subscription_type]],Plans!$A$1:$B$5,2,FALSE)</f>
        <v>14.99</v>
      </c>
      <c r="N469">
        <f t="shared" si="7"/>
        <v>0</v>
      </c>
    </row>
    <row r="470" spans="1:14" x14ac:dyDescent="0.35">
      <c r="A470">
        <v>469</v>
      </c>
      <c r="B470" t="s">
        <v>16</v>
      </c>
      <c r="C470">
        <v>41</v>
      </c>
      <c r="D470" t="s">
        <v>13</v>
      </c>
      <c r="E470" t="s">
        <v>24</v>
      </c>
      <c r="F470">
        <v>163</v>
      </c>
      <c r="G470">
        <v>45</v>
      </c>
      <c r="H470">
        <v>0.47</v>
      </c>
      <c r="I470" t="s">
        <v>19</v>
      </c>
      <c r="J470">
        <v>0</v>
      </c>
      <c r="K470">
        <v>1</v>
      </c>
      <c r="L470">
        <v>1</v>
      </c>
      <c r="M470">
        <f>VLOOKUP(Table1[[#This Row],[subscription_type]],Plans!$A$1:$B$5,2,FALSE)</f>
        <v>4.99</v>
      </c>
      <c r="N470">
        <f t="shared" si="7"/>
        <v>4.99</v>
      </c>
    </row>
    <row r="471" spans="1:14" x14ac:dyDescent="0.35">
      <c r="A471">
        <v>470</v>
      </c>
      <c r="B471" t="s">
        <v>16</v>
      </c>
      <c r="C471">
        <v>52</v>
      </c>
      <c r="D471" t="s">
        <v>17</v>
      </c>
      <c r="E471" t="s">
        <v>14</v>
      </c>
      <c r="F471">
        <v>211</v>
      </c>
      <c r="G471">
        <v>48</v>
      </c>
      <c r="H471">
        <v>0.47</v>
      </c>
      <c r="I471" t="s">
        <v>15</v>
      </c>
      <c r="J471">
        <v>27</v>
      </c>
      <c r="K471">
        <v>0</v>
      </c>
      <c r="L471">
        <v>0</v>
      </c>
      <c r="M471">
        <f>VLOOKUP(Table1[[#This Row],[subscription_type]],Plans!$A$1:$B$5,2,FALSE)</f>
        <v>0</v>
      </c>
      <c r="N471">
        <f t="shared" si="7"/>
        <v>0</v>
      </c>
    </row>
    <row r="472" spans="1:14" x14ac:dyDescent="0.35">
      <c r="A472">
        <v>471</v>
      </c>
      <c r="B472" t="s">
        <v>20</v>
      </c>
      <c r="C472">
        <v>51</v>
      </c>
      <c r="D472" t="s">
        <v>13</v>
      </c>
      <c r="E472" t="s">
        <v>22</v>
      </c>
      <c r="F472">
        <v>72</v>
      </c>
      <c r="G472">
        <v>82</v>
      </c>
      <c r="H472">
        <v>0.44</v>
      </c>
      <c r="I472" t="s">
        <v>19</v>
      </c>
      <c r="J472">
        <v>0</v>
      </c>
      <c r="K472">
        <v>1</v>
      </c>
      <c r="L472">
        <v>0</v>
      </c>
      <c r="M472">
        <f>VLOOKUP(Table1[[#This Row],[subscription_type]],Plans!$A$1:$B$5,2,FALSE)</f>
        <v>9.99</v>
      </c>
      <c r="N472">
        <f t="shared" si="7"/>
        <v>0</v>
      </c>
    </row>
    <row r="473" spans="1:14" x14ac:dyDescent="0.35">
      <c r="A473">
        <v>472</v>
      </c>
      <c r="B473" t="s">
        <v>20</v>
      </c>
      <c r="C473">
        <v>20</v>
      </c>
      <c r="D473" t="s">
        <v>25</v>
      </c>
      <c r="E473" t="s">
        <v>22</v>
      </c>
      <c r="F473">
        <v>16</v>
      </c>
      <c r="G473">
        <v>82</v>
      </c>
      <c r="H473">
        <v>0.09</v>
      </c>
      <c r="I473" t="s">
        <v>19</v>
      </c>
      <c r="J473">
        <v>0</v>
      </c>
      <c r="K473">
        <v>1</v>
      </c>
      <c r="L473">
        <v>0</v>
      </c>
      <c r="M473">
        <f>VLOOKUP(Table1[[#This Row],[subscription_type]],Plans!$A$1:$B$5,2,FALSE)</f>
        <v>9.99</v>
      </c>
      <c r="N473">
        <f t="shared" si="7"/>
        <v>0</v>
      </c>
    </row>
    <row r="474" spans="1:14" x14ac:dyDescent="0.35">
      <c r="A474">
        <v>473</v>
      </c>
      <c r="B474" t="s">
        <v>16</v>
      </c>
      <c r="C474">
        <v>58</v>
      </c>
      <c r="D474" t="s">
        <v>17</v>
      </c>
      <c r="E474" t="s">
        <v>22</v>
      </c>
      <c r="F474">
        <v>205</v>
      </c>
      <c r="G474">
        <v>11</v>
      </c>
      <c r="H474">
        <v>0.47</v>
      </c>
      <c r="I474" t="s">
        <v>23</v>
      </c>
      <c r="J474">
        <v>0</v>
      </c>
      <c r="K474">
        <v>1</v>
      </c>
      <c r="L474">
        <v>0</v>
      </c>
      <c r="M474">
        <f>VLOOKUP(Table1[[#This Row],[subscription_type]],Plans!$A$1:$B$5,2,FALSE)</f>
        <v>9.99</v>
      </c>
      <c r="N474">
        <f t="shared" si="7"/>
        <v>0</v>
      </c>
    </row>
    <row r="475" spans="1:14" x14ac:dyDescent="0.35">
      <c r="A475">
        <v>474</v>
      </c>
      <c r="B475" t="s">
        <v>16</v>
      </c>
      <c r="C475">
        <v>22</v>
      </c>
      <c r="D475" t="s">
        <v>26</v>
      </c>
      <c r="E475" t="s">
        <v>22</v>
      </c>
      <c r="F475">
        <v>290</v>
      </c>
      <c r="G475">
        <v>17</v>
      </c>
      <c r="H475">
        <v>0.43</v>
      </c>
      <c r="I475" t="s">
        <v>23</v>
      </c>
      <c r="J475">
        <v>0</v>
      </c>
      <c r="K475">
        <v>1</v>
      </c>
      <c r="L475">
        <v>0</v>
      </c>
      <c r="M475">
        <f>VLOOKUP(Table1[[#This Row],[subscription_type]],Plans!$A$1:$B$5,2,FALSE)</f>
        <v>9.99</v>
      </c>
      <c r="N475">
        <f t="shared" si="7"/>
        <v>0</v>
      </c>
    </row>
    <row r="476" spans="1:14" x14ac:dyDescent="0.35">
      <c r="A476">
        <v>475</v>
      </c>
      <c r="B476" t="s">
        <v>16</v>
      </c>
      <c r="C476">
        <v>33</v>
      </c>
      <c r="D476" t="s">
        <v>27</v>
      </c>
      <c r="E476" t="s">
        <v>24</v>
      </c>
      <c r="F476">
        <v>86</v>
      </c>
      <c r="G476">
        <v>30</v>
      </c>
      <c r="H476">
        <v>0.55000000000000004</v>
      </c>
      <c r="I476" t="s">
        <v>19</v>
      </c>
      <c r="J476">
        <v>0</v>
      </c>
      <c r="K476">
        <v>1</v>
      </c>
      <c r="L476">
        <v>0</v>
      </c>
      <c r="M476">
        <f>VLOOKUP(Table1[[#This Row],[subscription_type]],Plans!$A$1:$B$5,2,FALSE)</f>
        <v>4.99</v>
      </c>
      <c r="N476">
        <f t="shared" si="7"/>
        <v>0</v>
      </c>
    </row>
    <row r="477" spans="1:14" x14ac:dyDescent="0.35">
      <c r="A477">
        <v>476</v>
      </c>
      <c r="B477" t="s">
        <v>12</v>
      </c>
      <c r="C477">
        <v>35</v>
      </c>
      <c r="D477" t="s">
        <v>17</v>
      </c>
      <c r="E477" t="s">
        <v>14</v>
      </c>
      <c r="F477">
        <v>34</v>
      </c>
      <c r="G477">
        <v>1</v>
      </c>
      <c r="H477">
        <v>0.45</v>
      </c>
      <c r="I477" t="s">
        <v>15</v>
      </c>
      <c r="J477">
        <v>30</v>
      </c>
      <c r="K477">
        <v>0</v>
      </c>
      <c r="L477">
        <v>1</v>
      </c>
      <c r="M477">
        <f>VLOOKUP(Table1[[#This Row],[subscription_type]],Plans!$A$1:$B$5,2,FALSE)</f>
        <v>0</v>
      </c>
      <c r="N477">
        <f t="shared" si="7"/>
        <v>0</v>
      </c>
    </row>
    <row r="478" spans="1:14" x14ac:dyDescent="0.35">
      <c r="A478">
        <v>477</v>
      </c>
      <c r="B478" t="s">
        <v>12</v>
      </c>
      <c r="C478">
        <v>21</v>
      </c>
      <c r="D478" t="s">
        <v>27</v>
      </c>
      <c r="E478" t="s">
        <v>22</v>
      </c>
      <c r="F478">
        <v>192</v>
      </c>
      <c r="G478">
        <v>95</v>
      </c>
      <c r="H478">
        <v>0.3</v>
      </c>
      <c r="I478" t="s">
        <v>15</v>
      </c>
      <c r="J478">
        <v>0</v>
      </c>
      <c r="K478">
        <v>1</v>
      </c>
      <c r="L478">
        <v>0</v>
      </c>
      <c r="M478">
        <f>VLOOKUP(Table1[[#This Row],[subscription_type]],Plans!$A$1:$B$5,2,FALSE)</f>
        <v>9.99</v>
      </c>
      <c r="N478">
        <f t="shared" si="7"/>
        <v>0</v>
      </c>
    </row>
    <row r="479" spans="1:14" x14ac:dyDescent="0.35">
      <c r="A479">
        <v>478</v>
      </c>
      <c r="B479" t="s">
        <v>20</v>
      </c>
      <c r="C479">
        <v>31</v>
      </c>
      <c r="D479" t="s">
        <v>29</v>
      </c>
      <c r="E479" t="s">
        <v>22</v>
      </c>
      <c r="F479">
        <v>65</v>
      </c>
      <c r="G479">
        <v>7</v>
      </c>
      <c r="H479">
        <v>0.04</v>
      </c>
      <c r="I479" t="s">
        <v>15</v>
      </c>
      <c r="J479">
        <v>0</v>
      </c>
      <c r="K479">
        <v>1</v>
      </c>
      <c r="L479">
        <v>0</v>
      </c>
      <c r="M479">
        <f>VLOOKUP(Table1[[#This Row],[subscription_type]],Plans!$A$1:$B$5,2,FALSE)</f>
        <v>9.99</v>
      </c>
      <c r="N479">
        <f t="shared" si="7"/>
        <v>0</v>
      </c>
    </row>
    <row r="480" spans="1:14" x14ac:dyDescent="0.35">
      <c r="A480">
        <v>479</v>
      </c>
      <c r="B480" t="s">
        <v>16</v>
      </c>
      <c r="C480">
        <v>54</v>
      </c>
      <c r="D480" t="s">
        <v>28</v>
      </c>
      <c r="E480" t="s">
        <v>14</v>
      </c>
      <c r="F480">
        <v>225</v>
      </c>
      <c r="G480">
        <v>60</v>
      </c>
      <c r="H480">
        <v>0.19</v>
      </c>
      <c r="I480" t="s">
        <v>23</v>
      </c>
      <c r="J480">
        <v>17</v>
      </c>
      <c r="K480">
        <v>0</v>
      </c>
      <c r="L480">
        <v>1</v>
      </c>
      <c r="M480">
        <f>VLOOKUP(Table1[[#This Row],[subscription_type]],Plans!$A$1:$B$5,2,FALSE)</f>
        <v>0</v>
      </c>
      <c r="N480">
        <f t="shared" si="7"/>
        <v>0</v>
      </c>
    </row>
    <row r="481" spans="1:14" x14ac:dyDescent="0.35">
      <c r="A481">
        <v>480</v>
      </c>
      <c r="B481" t="s">
        <v>12</v>
      </c>
      <c r="C481">
        <v>49</v>
      </c>
      <c r="D481" t="s">
        <v>26</v>
      </c>
      <c r="E481" t="s">
        <v>14</v>
      </c>
      <c r="F481">
        <v>266</v>
      </c>
      <c r="G481">
        <v>2</v>
      </c>
      <c r="H481">
        <v>0.46</v>
      </c>
      <c r="I481" t="s">
        <v>15</v>
      </c>
      <c r="J481">
        <v>16</v>
      </c>
      <c r="K481">
        <v>0</v>
      </c>
      <c r="L481">
        <v>1</v>
      </c>
      <c r="M481">
        <f>VLOOKUP(Table1[[#This Row],[subscription_type]],Plans!$A$1:$B$5,2,FALSE)</f>
        <v>0</v>
      </c>
      <c r="N481">
        <f t="shared" si="7"/>
        <v>0</v>
      </c>
    </row>
    <row r="482" spans="1:14" x14ac:dyDescent="0.35">
      <c r="A482">
        <v>481</v>
      </c>
      <c r="B482" t="s">
        <v>16</v>
      </c>
      <c r="C482">
        <v>44</v>
      </c>
      <c r="D482" t="s">
        <v>17</v>
      </c>
      <c r="E482" t="s">
        <v>22</v>
      </c>
      <c r="F482">
        <v>196</v>
      </c>
      <c r="G482">
        <v>36</v>
      </c>
      <c r="H482">
        <v>0.42</v>
      </c>
      <c r="I482" t="s">
        <v>19</v>
      </c>
      <c r="J482">
        <v>0</v>
      </c>
      <c r="K482">
        <v>1</v>
      </c>
      <c r="L482">
        <v>0</v>
      </c>
      <c r="M482">
        <f>VLOOKUP(Table1[[#This Row],[subscription_type]],Plans!$A$1:$B$5,2,FALSE)</f>
        <v>9.99</v>
      </c>
      <c r="N482">
        <f t="shared" si="7"/>
        <v>0</v>
      </c>
    </row>
    <row r="483" spans="1:14" x14ac:dyDescent="0.35">
      <c r="A483">
        <v>482</v>
      </c>
      <c r="B483" t="s">
        <v>16</v>
      </c>
      <c r="C483">
        <v>51</v>
      </c>
      <c r="D483" t="s">
        <v>26</v>
      </c>
      <c r="E483" t="s">
        <v>14</v>
      </c>
      <c r="F483">
        <v>294</v>
      </c>
      <c r="G483">
        <v>73</v>
      </c>
      <c r="H483">
        <v>0.28000000000000003</v>
      </c>
      <c r="I483" t="s">
        <v>23</v>
      </c>
      <c r="J483">
        <v>15</v>
      </c>
      <c r="K483">
        <v>0</v>
      </c>
      <c r="L483">
        <v>0</v>
      </c>
      <c r="M483">
        <f>VLOOKUP(Table1[[#This Row],[subscription_type]],Plans!$A$1:$B$5,2,FALSE)</f>
        <v>0</v>
      </c>
      <c r="N483">
        <f t="shared" si="7"/>
        <v>0</v>
      </c>
    </row>
    <row r="484" spans="1:14" x14ac:dyDescent="0.35">
      <c r="A484">
        <v>483</v>
      </c>
      <c r="B484" t="s">
        <v>12</v>
      </c>
      <c r="C484">
        <v>56</v>
      </c>
      <c r="D484" t="s">
        <v>17</v>
      </c>
      <c r="E484" t="s">
        <v>18</v>
      </c>
      <c r="F484">
        <v>38</v>
      </c>
      <c r="G484">
        <v>82</v>
      </c>
      <c r="H484">
        <v>0.31</v>
      </c>
      <c r="I484" t="s">
        <v>15</v>
      </c>
      <c r="J484">
        <v>0</v>
      </c>
      <c r="K484">
        <v>1</v>
      </c>
      <c r="L484">
        <v>1</v>
      </c>
      <c r="M484">
        <f>VLOOKUP(Table1[[#This Row],[subscription_type]],Plans!$A$1:$B$5,2,FALSE)</f>
        <v>14.99</v>
      </c>
      <c r="N484">
        <f t="shared" si="7"/>
        <v>14.99</v>
      </c>
    </row>
    <row r="485" spans="1:14" x14ac:dyDescent="0.35">
      <c r="A485">
        <v>484</v>
      </c>
      <c r="B485" t="s">
        <v>12</v>
      </c>
      <c r="C485">
        <v>33</v>
      </c>
      <c r="D485" t="s">
        <v>13</v>
      </c>
      <c r="E485" t="s">
        <v>24</v>
      </c>
      <c r="F485">
        <v>123</v>
      </c>
      <c r="G485">
        <v>23</v>
      </c>
      <c r="H485">
        <v>0.31</v>
      </c>
      <c r="I485" t="s">
        <v>15</v>
      </c>
      <c r="J485">
        <v>0</v>
      </c>
      <c r="K485">
        <v>1</v>
      </c>
      <c r="L485">
        <v>0</v>
      </c>
      <c r="M485">
        <f>VLOOKUP(Table1[[#This Row],[subscription_type]],Plans!$A$1:$B$5,2,FALSE)</f>
        <v>4.99</v>
      </c>
      <c r="N485">
        <f t="shared" si="7"/>
        <v>0</v>
      </c>
    </row>
    <row r="486" spans="1:14" x14ac:dyDescent="0.35">
      <c r="A486">
        <v>485</v>
      </c>
      <c r="B486" t="s">
        <v>20</v>
      </c>
      <c r="C486">
        <v>42</v>
      </c>
      <c r="D486" t="s">
        <v>25</v>
      </c>
      <c r="E486" t="s">
        <v>22</v>
      </c>
      <c r="F486">
        <v>102</v>
      </c>
      <c r="G486">
        <v>95</v>
      </c>
      <c r="H486">
        <v>0.14000000000000001</v>
      </c>
      <c r="I486" t="s">
        <v>19</v>
      </c>
      <c r="J486">
        <v>0</v>
      </c>
      <c r="K486">
        <v>1</v>
      </c>
      <c r="L486">
        <v>0</v>
      </c>
      <c r="M486">
        <f>VLOOKUP(Table1[[#This Row],[subscription_type]],Plans!$A$1:$B$5,2,FALSE)</f>
        <v>9.99</v>
      </c>
      <c r="N486">
        <f t="shared" si="7"/>
        <v>0</v>
      </c>
    </row>
    <row r="487" spans="1:14" x14ac:dyDescent="0.35">
      <c r="A487">
        <v>486</v>
      </c>
      <c r="B487" t="s">
        <v>12</v>
      </c>
      <c r="C487">
        <v>19</v>
      </c>
      <c r="D487" t="s">
        <v>26</v>
      </c>
      <c r="E487" t="s">
        <v>22</v>
      </c>
      <c r="F487">
        <v>43</v>
      </c>
      <c r="G487">
        <v>30</v>
      </c>
      <c r="H487">
        <v>0.32</v>
      </c>
      <c r="I487" t="s">
        <v>15</v>
      </c>
      <c r="J487">
        <v>0</v>
      </c>
      <c r="K487">
        <v>1</v>
      </c>
      <c r="L487">
        <v>0</v>
      </c>
      <c r="M487">
        <f>VLOOKUP(Table1[[#This Row],[subscription_type]],Plans!$A$1:$B$5,2,FALSE)</f>
        <v>9.99</v>
      </c>
      <c r="N487">
        <f t="shared" si="7"/>
        <v>0</v>
      </c>
    </row>
    <row r="488" spans="1:14" x14ac:dyDescent="0.35">
      <c r="A488">
        <v>487</v>
      </c>
      <c r="B488" t="s">
        <v>20</v>
      </c>
      <c r="C488">
        <v>16</v>
      </c>
      <c r="D488" t="s">
        <v>17</v>
      </c>
      <c r="E488" t="s">
        <v>24</v>
      </c>
      <c r="F488">
        <v>112</v>
      </c>
      <c r="G488">
        <v>81</v>
      </c>
      <c r="H488">
        <v>7.0000000000000007E-2</v>
      </c>
      <c r="I488" t="s">
        <v>23</v>
      </c>
      <c r="J488">
        <v>0</v>
      </c>
      <c r="K488">
        <v>1</v>
      </c>
      <c r="L488">
        <v>1</v>
      </c>
      <c r="M488">
        <f>VLOOKUP(Table1[[#This Row],[subscription_type]],Plans!$A$1:$B$5,2,FALSE)</f>
        <v>4.99</v>
      </c>
      <c r="N488">
        <f t="shared" si="7"/>
        <v>4.99</v>
      </c>
    </row>
    <row r="489" spans="1:14" x14ac:dyDescent="0.35">
      <c r="A489">
        <v>488</v>
      </c>
      <c r="B489" t="s">
        <v>20</v>
      </c>
      <c r="C489">
        <v>29</v>
      </c>
      <c r="D489" t="s">
        <v>21</v>
      </c>
      <c r="E489" t="s">
        <v>24</v>
      </c>
      <c r="F489">
        <v>150</v>
      </c>
      <c r="G489">
        <v>27</v>
      </c>
      <c r="H489">
        <v>0.1</v>
      </c>
      <c r="I489" t="s">
        <v>15</v>
      </c>
      <c r="J489">
        <v>0</v>
      </c>
      <c r="K489">
        <v>1</v>
      </c>
      <c r="L489">
        <v>0</v>
      </c>
      <c r="M489">
        <f>VLOOKUP(Table1[[#This Row],[subscription_type]],Plans!$A$1:$B$5,2,FALSE)</f>
        <v>4.99</v>
      </c>
      <c r="N489">
        <f t="shared" si="7"/>
        <v>0</v>
      </c>
    </row>
    <row r="490" spans="1:14" x14ac:dyDescent="0.35">
      <c r="A490">
        <v>489</v>
      </c>
      <c r="B490" t="s">
        <v>20</v>
      </c>
      <c r="C490">
        <v>43</v>
      </c>
      <c r="D490" t="s">
        <v>21</v>
      </c>
      <c r="E490" t="s">
        <v>22</v>
      </c>
      <c r="F490">
        <v>28</v>
      </c>
      <c r="G490">
        <v>41</v>
      </c>
      <c r="H490">
        <v>0.17</v>
      </c>
      <c r="I490" t="s">
        <v>19</v>
      </c>
      <c r="J490">
        <v>0</v>
      </c>
      <c r="K490">
        <v>1</v>
      </c>
      <c r="L490">
        <v>0</v>
      </c>
      <c r="M490">
        <f>VLOOKUP(Table1[[#This Row],[subscription_type]],Plans!$A$1:$B$5,2,FALSE)</f>
        <v>9.99</v>
      </c>
      <c r="N490">
        <f t="shared" si="7"/>
        <v>0</v>
      </c>
    </row>
    <row r="491" spans="1:14" x14ac:dyDescent="0.35">
      <c r="A491">
        <v>490</v>
      </c>
      <c r="B491" t="s">
        <v>16</v>
      </c>
      <c r="C491">
        <v>42</v>
      </c>
      <c r="D491" t="s">
        <v>17</v>
      </c>
      <c r="E491" t="s">
        <v>24</v>
      </c>
      <c r="F491">
        <v>256</v>
      </c>
      <c r="G491">
        <v>12</v>
      </c>
      <c r="H491">
        <v>0.51</v>
      </c>
      <c r="I491" t="s">
        <v>23</v>
      </c>
      <c r="J491">
        <v>0</v>
      </c>
      <c r="K491">
        <v>1</v>
      </c>
      <c r="L491">
        <v>1</v>
      </c>
      <c r="M491">
        <f>VLOOKUP(Table1[[#This Row],[subscription_type]],Plans!$A$1:$B$5,2,FALSE)</f>
        <v>4.99</v>
      </c>
      <c r="N491">
        <f t="shared" si="7"/>
        <v>4.99</v>
      </c>
    </row>
    <row r="492" spans="1:14" x14ac:dyDescent="0.35">
      <c r="A492">
        <v>491</v>
      </c>
      <c r="B492" t="s">
        <v>16</v>
      </c>
      <c r="C492">
        <v>38</v>
      </c>
      <c r="D492" t="s">
        <v>25</v>
      </c>
      <c r="E492" t="s">
        <v>22</v>
      </c>
      <c r="F492">
        <v>205</v>
      </c>
      <c r="G492">
        <v>38</v>
      </c>
      <c r="H492">
        <v>0.38</v>
      </c>
      <c r="I492" t="s">
        <v>19</v>
      </c>
      <c r="J492">
        <v>0</v>
      </c>
      <c r="K492">
        <v>1</v>
      </c>
      <c r="L492">
        <v>0</v>
      </c>
      <c r="M492">
        <f>VLOOKUP(Table1[[#This Row],[subscription_type]],Plans!$A$1:$B$5,2,FALSE)</f>
        <v>9.99</v>
      </c>
      <c r="N492">
        <f t="shared" si="7"/>
        <v>0</v>
      </c>
    </row>
    <row r="493" spans="1:14" x14ac:dyDescent="0.35">
      <c r="A493">
        <v>492</v>
      </c>
      <c r="B493" t="s">
        <v>20</v>
      </c>
      <c r="C493">
        <v>20</v>
      </c>
      <c r="D493" t="s">
        <v>25</v>
      </c>
      <c r="E493" t="s">
        <v>24</v>
      </c>
      <c r="F493">
        <v>174</v>
      </c>
      <c r="G493">
        <v>85</v>
      </c>
      <c r="H493">
        <v>0.5</v>
      </c>
      <c r="I493" t="s">
        <v>19</v>
      </c>
      <c r="J493">
        <v>0</v>
      </c>
      <c r="K493">
        <v>1</v>
      </c>
      <c r="L493">
        <v>0</v>
      </c>
      <c r="M493">
        <f>VLOOKUP(Table1[[#This Row],[subscription_type]],Plans!$A$1:$B$5,2,FALSE)</f>
        <v>4.99</v>
      </c>
      <c r="N493">
        <f t="shared" si="7"/>
        <v>0</v>
      </c>
    </row>
    <row r="494" spans="1:14" x14ac:dyDescent="0.35">
      <c r="A494">
        <v>493</v>
      </c>
      <c r="B494" t="s">
        <v>20</v>
      </c>
      <c r="C494">
        <v>23</v>
      </c>
      <c r="D494" t="s">
        <v>21</v>
      </c>
      <c r="E494" t="s">
        <v>24</v>
      </c>
      <c r="F494">
        <v>181</v>
      </c>
      <c r="G494">
        <v>89</v>
      </c>
      <c r="H494">
        <v>0.28999999999999998</v>
      </c>
      <c r="I494" t="s">
        <v>23</v>
      </c>
      <c r="J494">
        <v>0</v>
      </c>
      <c r="K494">
        <v>1</v>
      </c>
      <c r="L494">
        <v>1</v>
      </c>
      <c r="M494">
        <f>VLOOKUP(Table1[[#This Row],[subscription_type]],Plans!$A$1:$B$5,2,FALSE)</f>
        <v>4.99</v>
      </c>
      <c r="N494">
        <f t="shared" si="7"/>
        <v>4.99</v>
      </c>
    </row>
    <row r="495" spans="1:14" x14ac:dyDescent="0.35">
      <c r="A495">
        <v>494</v>
      </c>
      <c r="B495" t="s">
        <v>12</v>
      </c>
      <c r="C495">
        <v>51</v>
      </c>
      <c r="D495" t="s">
        <v>28</v>
      </c>
      <c r="E495" t="s">
        <v>24</v>
      </c>
      <c r="F495">
        <v>299</v>
      </c>
      <c r="G495">
        <v>71</v>
      </c>
      <c r="H495">
        <v>0.57999999999999996</v>
      </c>
      <c r="I495" t="s">
        <v>15</v>
      </c>
      <c r="J495">
        <v>0</v>
      </c>
      <c r="K495">
        <v>1</v>
      </c>
      <c r="L495">
        <v>1</v>
      </c>
      <c r="M495">
        <f>VLOOKUP(Table1[[#This Row],[subscription_type]],Plans!$A$1:$B$5,2,FALSE)</f>
        <v>4.99</v>
      </c>
      <c r="N495">
        <f t="shared" si="7"/>
        <v>4.99</v>
      </c>
    </row>
    <row r="496" spans="1:14" x14ac:dyDescent="0.35">
      <c r="A496">
        <v>495</v>
      </c>
      <c r="B496" t="s">
        <v>20</v>
      </c>
      <c r="C496">
        <v>17</v>
      </c>
      <c r="D496" t="s">
        <v>17</v>
      </c>
      <c r="E496" t="s">
        <v>24</v>
      </c>
      <c r="F496">
        <v>292</v>
      </c>
      <c r="G496">
        <v>27</v>
      </c>
      <c r="H496">
        <v>0.17</v>
      </c>
      <c r="I496" t="s">
        <v>23</v>
      </c>
      <c r="J496">
        <v>0</v>
      </c>
      <c r="K496">
        <v>1</v>
      </c>
      <c r="L496">
        <v>0</v>
      </c>
      <c r="M496">
        <f>VLOOKUP(Table1[[#This Row],[subscription_type]],Plans!$A$1:$B$5,2,FALSE)</f>
        <v>4.99</v>
      </c>
      <c r="N496">
        <f t="shared" si="7"/>
        <v>0</v>
      </c>
    </row>
    <row r="497" spans="1:14" x14ac:dyDescent="0.35">
      <c r="A497">
        <v>496</v>
      </c>
      <c r="B497" t="s">
        <v>16</v>
      </c>
      <c r="C497">
        <v>17</v>
      </c>
      <c r="D497" t="s">
        <v>29</v>
      </c>
      <c r="E497" t="s">
        <v>22</v>
      </c>
      <c r="F497">
        <v>141</v>
      </c>
      <c r="G497">
        <v>15</v>
      </c>
      <c r="H497">
        <v>0.45</v>
      </c>
      <c r="I497" t="s">
        <v>19</v>
      </c>
      <c r="J497">
        <v>0</v>
      </c>
      <c r="K497">
        <v>1</v>
      </c>
      <c r="L497">
        <v>0</v>
      </c>
      <c r="M497">
        <f>VLOOKUP(Table1[[#This Row],[subscription_type]],Plans!$A$1:$B$5,2,FALSE)</f>
        <v>9.99</v>
      </c>
      <c r="N497">
        <f t="shared" si="7"/>
        <v>0</v>
      </c>
    </row>
    <row r="498" spans="1:14" x14ac:dyDescent="0.35">
      <c r="A498">
        <v>497</v>
      </c>
      <c r="B498" t="s">
        <v>12</v>
      </c>
      <c r="C498">
        <v>37</v>
      </c>
      <c r="D498" t="s">
        <v>27</v>
      </c>
      <c r="E498" t="s">
        <v>18</v>
      </c>
      <c r="F498">
        <v>184</v>
      </c>
      <c r="G498">
        <v>14</v>
      </c>
      <c r="H498">
        <v>0.59</v>
      </c>
      <c r="I498" t="s">
        <v>23</v>
      </c>
      <c r="J498">
        <v>0</v>
      </c>
      <c r="K498">
        <v>1</v>
      </c>
      <c r="L498">
        <v>0</v>
      </c>
      <c r="M498">
        <f>VLOOKUP(Table1[[#This Row],[subscription_type]],Plans!$A$1:$B$5,2,FALSE)</f>
        <v>14.99</v>
      </c>
      <c r="N498">
        <f t="shared" si="7"/>
        <v>0</v>
      </c>
    </row>
    <row r="499" spans="1:14" x14ac:dyDescent="0.35">
      <c r="A499">
        <v>498</v>
      </c>
      <c r="B499" t="s">
        <v>20</v>
      </c>
      <c r="C499">
        <v>55</v>
      </c>
      <c r="D499" t="s">
        <v>13</v>
      </c>
      <c r="E499" t="s">
        <v>24</v>
      </c>
      <c r="F499">
        <v>118</v>
      </c>
      <c r="G499">
        <v>13</v>
      </c>
      <c r="H499">
        <v>0.42</v>
      </c>
      <c r="I499" t="s">
        <v>15</v>
      </c>
      <c r="J499">
        <v>0</v>
      </c>
      <c r="K499">
        <v>1</v>
      </c>
      <c r="L499">
        <v>0</v>
      </c>
      <c r="M499">
        <f>VLOOKUP(Table1[[#This Row],[subscription_type]],Plans!$A$1:$B$5,2,FALSE)</f>
        <v>4.99</v>
      </c>
      <c r="N499">
        <f t="shared" si="7"/>
        <v>0</v>
      </c>
    </row>
    <row r="500" spans="1:14" x14ac:dyDescent="0.35">
      <c r="A500">
        <v>499</v>
      </c>
      <c r="B500" t="s">
        <v>12</v>
      </c>
      <c r="C500">
        <v>48</v>
      </c>
      <c r="D500" t="s">
        <v>28</v>
      </c>
      <c r="E500" t="s">
        <v>22</v>
      </c>
      <c r="F500">
        <v>164</v>
      </c>
      <c r="G500">
        <v>70</v>
      </c>
      <c r="H500">
        <v>0.15</v>
      </c>
      <c r="I500" t="s">
        <v>23</v>
      </c>
      <c r="J500">
        <v>0</v>
      </c>
      <c r="K500">
        <v>1</v>
      </c>
      <c r="L500">
        <v>0</v>
      </c>
      <c r="M500">
        <f>VLOOKUP(Table1[[#This Row],[subscription_type]],Plans!$A$1:$B$5,2,FALSE)</f>
        <v>9.99</v>
      </c>
      <c r="N500">
        <f t="shared" si="7"/>
        <v>0</v>
      </c>
    </row>
    <row r="501" spans="1:14" x14ac:dyDescent="0.35">
      <c r="A501">
        <v>500</v>
      </c>
      <c r="B501" t="s">
        <v>16</v>
      </c>
      <c r="C501">
        <v>38</v>
      </c>
      <c r="D501" t="s">
        <v>27</v>
      </c>
      <c r="E501" t="s">
        <v>14</v>
      </c>
      <c r="F501">
        <v>283</v>
      </c>
      <c r="G501">
        <v>69</v>
      </c>
      <c r="H501">
        <v>0.01</v>
      </c>
      <c r="I501" t="s">
        <v>15</v>
      </c>
      <c r="J501">
        <v>35</v>
      </c>
      <c r="K501">
        <v>0</v>
      </c>
      <c r="L501">
        <v>0</v>
      </c>
      <c r="M501">
        <f>VLOOKUP(Table1[[#This Row],[subscription_type]],Plans!$A$1:$B$5,2,FALSE)</f>
        <v>0</v>
      </c>
      <c r="N501">
        <f t="shared" si="7"/>
        <v>0</v>
      </c>
    </row>
    <row r="502" spans="1:14" x14ac:dyDescent="0.35">
      <c r="A502">
        <v>501</v>
      </c>
      <c r="B502" t="s">
        <v>16</v>
      </c>
      <c r="C502">
        <v>55</v>
      </c>
      <c r="D502" t="s">
        <v>27</v>
      </c>
      <c r="E502" t="s">
        <v>24</v>
      </c>
      <c r="F502">
        <v>47</v>
      </c>
      <c r="G502">
        <v>24</v>
      </c>
      <c r="H502">
        <v>0.59</v>
      </c>
      <c r="I502" t="s">
        <v>23</v>
      </c>
      <c r="J502">
        <v>0</v>
      </c>
      <c r="K502">
        <v>1</v>
      </c>
      <c r="L502">
        <v>0</v>
      </c>
      <c r="M502">
        <f>VLOOKUP(Table1[[#This Row],[subscription_type]],Plans!$A$1:$B$5,2,FALSE)</f>
        <v>4.99</v>
      </c>
      <c r="N502">
        <f t="shared" si="7"/>
        <v>0</v>
      </c>
    </row>
    <row r="503" spans="1:14" x14ac:dyDescent="0.35">
      <c r="A503">
        <v>502</v>
      </c>
      <c r="B503" t="s">
        <v>12</v>
      </c>
      <c r="C503">
        <v>23</v>
      </c>
      <c r="D503" t="s">
        <v>21</v>
      </c>
      <c r="E503" t="s">
        <v>24</v>
      </c>
      <c r="F503">
        <v>101</v>
      </c>
      <c r="G503">
        <v>88</v>
      </c>
      <c r="H503">
        <v>0.45</v>
      </c>
      <c r="I503" t="s">
        <v>19</v>
      </c>
      <c r="J503">
        <v>0</v>
      </c>
      <c r="K503">
        <v>1</v>
      </c>
      <c r="L503">
        <v>1</v>
      </c>
      <c r="M503">
        <f>VLOOKUP(Table1[[#This Row],[subscription_type]],Plans!$A$1:$B$5,2,FALSE)</f>
        <v>4.99</v>
      </c>
      <c r="N503">
        <f t="shared" si="7"/>
        <v>4.99</v>
      </c>
    </row>
    <row r="504" spans="1:14" x14ac:dyDescent="0.35">
      <c r="A504">
        <v>503</v>
      </c>
      <c r="B504" t="s">
        <v>16</v>
      </c>
      <c r="C504">
        <v>49</v>
      </c>
      <c r="D504" t="s">
        <v>25</v>
      </c>
      <c r="E504" t="s">
        <v>14</v>
      </c>
      <c r="F504">
        <v>270</v>
      </c>
      <c r="G504">
        <v>92</v>
      </c>
      <c r="H504">
        <v>0.38</v>
      </c>
      <c r="I504" t="s">
        <v>19</v>
      </c>
      <c r="J504">
        <v>26</v>
      </c>
      <c r="K504">
        <v>0</v>
      </c>
      <c r="L504">
        <v>0</v>
      </c>
      <c r="M504">
        <f>VLOOKUP(Table1[[#This Row],[subscription_type]],Plans!$A$1:$B$5,2,FALSE)</f>
        <v>0</v>
      </c>
      <c r="N504">
        <f t="shared" si="7"/>
        <v>0</v>
      </c>
    </row>
    <row r="505" spans="1:14" x14ac:dyDescent="0.35">
      <c r="A505">
        <v>504</v>
      </c>
      <c r="B505" t="s">
        <v>16</v>
      </c>
      <c r="C505">
        <v>38</v>
      </c>
      <c r="D505" t="s">
        <v>26</v>
      </c>
      <c r="E505" t="s">
        <v>14</v>
      </c>
      <c r="F505">
        <v>208</v>
      </c>
      <c r="G505">
        <v>18</v>
      </c>
      <c r="H505">
        <v>0.38</v>
      </c>
      <c r="I505" t="s">
        <v>15</v>
      </c>
      <c r="J505">
        <v>46</v>
      </c>
      <c r="K505">
        <v>0</v>
      </c>
      <c r="L505">
        <v>0</v>
      </c>
      <c r="M505">
        <f>VLOOKUP(Table1[[#This Row],[subscription_type]],Plans!$A$1:$B$5,2,FALSE)</f>
        <v>0</v>
      </c>
      <c r="N505">
        <f t="shared" si="7"/>
        <v>0</v>
      </c>
    </row>
    <row r="506" spans="1:14" x14ac:dyDescent="0.35">
      <c r="A506">
        <v>505</v>
      </c>
      <c r="B506" t="s">
        <v>16</v>
      </c>
      <c r="C506">
        <v>40</v>
      </c>
      <c r="D506" t="s">
        <v>13</v>
      </c>
      <c r="E506" t="s">
        <v>24</v>
      </c>
      <c r="F506">
        <v>172</v>
      </c>
      <c r="G506">
        <v>21</v>
      </c>
      <c r="H506">
        <v>0.36</v>
      </c>
      <c r="I506" t="s">
        <v>15</v>
      </c>
      <c r="J506">
        <v>0</v>
      </c>
      <c r="K506">
        <v>1</v>
      </c>
      <c r="L506">
        <v>0</v>
      </c>
      <c r="M506">
        <f>VLOOKUP(Table1[[#This Row],[subscription_type]],Plans!$A$1:$B$5,2,FALSE)</f>
        <v>4.99</v>
      </c>
      <c r="N506">
        <f t="shared" si="7"/>
        <v>0</v>
      </c>
    </row>
    <row r="507" spans="1:14" x14ac:dyDescent="0.35">
      <c r="A507">
        <v>506</v>
      </c>
      <c r="B507" t="s">
        <v>20</v>
      </c>
      <c r="C507">
        <v>31</v>
      </c>
      <c r="D507" t="s">
        <v>28</v>
      </c>
      <c r="E507" t="s">
        <v>22</v>
      </c>
      <c r="F507">
        <v>236</v>
      </c>
      <c r="G507">
        <v>11</v>
      </c>
      <c r="H507">
        <v>0.13</v>
      </c>
      <c r="I507" t="s">
        <v>19</v>
      </c>
      <c r="J507">
        <v>0</v>
      </c>
      <c r="K507">
        <v>1</v>
      </c>
      <c r="L507">
        <v>0</v>
      </c>
      <c r="M507">
        <f>VLOOKUP(Table1[[#This Row],[subscription_type]],Plans!$A$1:$B$5,2,FALSE)</f>
        <v>9.99</v>
      </c>
      <c r="N507">
        <f t="shared" si="7"/>
        <v>0</v>
      </c>
    </row>
    <row r="508" spans="1:14" x14ac:dyDescent="0.35">
      <c r="A508">
        <v>507</v>
      </c>
      <c r="B508" t="s">
        <v>20</v>
      </c>
      <c r="C508">
        <v>36</v>
      </c>
      <c r="D508" t="s">
        <v>17</v>
      </c>
      <c r="E508" t="s">
        <v>22</v>
      </c>
      <c r="F508">
        <v>265</v>
      </c>
      <c r="G508">
        <v>25</v>
      </c>
      <c r="H508">
        <v>0.19</v>
      </c>
      <c r="I508" t="s">
        <v>19</v>
      </c>
      <c r="J508">
        <v>0</v>
      </c>
      <c r="K508">
        <v>1</v>
      </c>
      <c r="L508">
        <v>0</v>
      </c>
      <c r="M508">
        <f>VLOOKUP(Table1[[#This Row],[subscription_type]],Plans!$A$1:$B$5,2,FALSE)</f>
        <v>9.99</v>
      </c>
      <c r="N508">
        <f t="shared" si="7"/>
        <v>0</v>
      </c>
    </row>
    <row r="509" spans="1:14" x14ac:dyDescent="0.35">
      <c r="A509">
        <v>508</v>
      </c>
      <c r="B509" t="s">
        <v>12</v>
      </c>
      <c r="C509">
        <v>57</v>
      </c>
      <c r="D509" t="s">
        <v>21</v>
      </c>
      <c r="E509" t="s">
        <v>14</v>
      </c>
      <c r="F509">
        <v>54</v>
      </c>
      <c r="G509">
        <v>65</v>
      </c>
      <c r="H509">
        <v>0.01</v>
      </c>
      <c r="I509" t="s">
        <v>23</v>
      </c>
      <c r="J509">
        <v>35</v>
      </c>
      <c r="K509">
        <v>0</v>
      </c>
      <c r="L509">
        <v>1</v>
      </c>
      <c r="M509">
        <f>VLOOKUP(Table1[[#This Row],[subscription_type]],Plans!$A$1:$B$5,2,FALSE)</f>
        <v>0</v>
      </c>
      <c r="N509">
        <f t="shared" si="7"/>
        <v>0</v>
      </c>
    </row>
    <row r="510" spans="1:14" x14ac:dyDescent="0.35">
      <c r="A510">
        <v>509</v>
      </c>
      <c r="B510" t="s">
        <v>16</v>
      </c>
      <c r="C510">
        <v>48</v>
      </c>
      <c r="D510" t="s">
        <v>28</v>
      </c>
      <c r="E510" t="s">
        <v>18</v>
      </c>
      <c r="F510">
        <v>191</v>
      </c>
      <c r="G510">
        <v>78</v>
      </c>
      <c r="H510">
        <v>0.32</v>
      </c>
      <c r="I510" t="s">
        <v>23</v>
      </c>
      <c r="J510">
        <v>0</v>
      </c>
      <c r="K510">
        <v>1</v>
      </c>
      <c r="L510">
        <v>0</v>
      </c>
      <c r="M510">
        <f>VLOOKUP(Table1[[#This Row],[subscription_type]],Plans!$A$1:$B$5,2,FALSE)</f>
        <v>14.99</v>
      </c>
      <c r="N510">
        <f t="shared" si="7"/>
        <v>0</v>
      </c>
    </row>
    <row r="511" spans="1:14" x14ac:dyDescent="0.35">
      <c r="A511">
        <v>510</v>
      </c>
      <c r="B511" t="s">
        <v>20</v>
      </c>
      <c r="C511">
        <v>21</v>
      </c>
      <c r="D511" t="s">
        <v>25</v>
      </c>
      <c r="E511" t="s">
        <v>18</v>
      </c>
      <c r="F511">
        <v>251</v>
      </c>
      <c r="G511">
        <v>94</v>
      </c>
      <c r="H511">
        <v>0.12</v>
      </c>
      <c r="I511" t="s">
        <v>15</v>
      </c>
      <c r="J511">
        <v>0</v>
      </c>
      <c r="K511">
        <v>1</v>
      </c>
      <c r="L511">
        <v>0</v>
      </c>
      <c r="M511">
        <f>VLOOKUP(Table1[[#This Row],[subscription_type]],Plans!$A$1:$B$5,2,FALSE)</f>
        <v>14.99</v>
      </c>
      <c r="N511">
        <f t="shared" si="7"/>
        <v>0</v>
      </c>
    </row>
    <row r="512" spans="1:14" x14ac:dyDescent="0.35">
      <c r="A512">
        <v>511</v>
      </c>
      <c r="B512" t="s">
        <v>16</v>
      </c>
      <c r="C512">
        <v>21</v>
      </c>
      <c r="D512" t="s">
        <v>17</v>
      </c>
      <c r="E512" t="s">
        <v>22</v>
      </c>
      <c r="F512">
        <v>260</v>
      </c>
      <c r="G512">
        <v>97</v>
      </c>
      <c r="H512">
        <v>0.25</v>
      </c>
      <c r="I512" t="s">
        <v>15</v>
      </c>
      <c r="J512">
        <v>0</v>
      </c>
      <c r="K512">
        <v>1</v>
      </c>
      <c r="L512">
        <v>0</v>
      </c>
      <c r="M512">
        <f>VLOOKUP(Table1[[#This Row],[subscription_type]],Plans!$A$1:$B$5,2,FALSE)</f>
        <v>9.99</v>
      </c>
      <c r="N512">
        <f t="shared" si="7"/>
        <v>0</v>
      </c>
    </row>
    <row r="513" spans="1:14" x14ac:dyDescent="0.35">
      <c r="A513">
        <v>512</v>
      </c>
      <c r="B513" t="s">
        <v>12</v>
      </c>
      <c r="C513">
        <v>23</v>
      </c>
      <c r="D513" t="s">
        <v>28</v>
      </c>
      <c r="E513" t="s">
        <v>22</v>
      </c>
      <c r="F513">
        <v>213</v>
      </c>
      <c r="G513">
        <v>64</v>
      </c>
      <c r="H513">
        <v>0.34</v>
      </c>
      <c r="I513" t="s">
        <v>19</v>
      </c>
      <c r="J513">
        <v>0</v>
      </c>
      <c r="K513">
        <v>1</v>
      </c>
      <c r="L513">
        <v>1</v>
      </c>
      <c r="M513">
        <f>VLOOKUP(Table1[[#This Row],[subscription_type]],Plans!$A$1:$B$5,2,FALSE)</f>
        <v>9.99</v>
      </c>
      <c r="N513">
        <f t="shared" si="7"/>
        <v>9.99</v>
      </c>
    </row>
    <row r="514" spans="1:14" x14ac:dyDescent="0.35">
      <c r="A514">
        <v>513</v>
      </c>
      <c r="B514" t="s">
        <v>16</v>
      </c>
      <c r="C514">
        <v>28</v>
      </c>
      <c r="D514" t="s">
        <v>17</v>
      </c>
      <c r="E514" t="s">
        <v>18</v>
      </c>
      <c r="F514">
        <v>152</v>
      </c>
      <c r="G514">
        <v>11</v>
      </c>
      <c r="H514">
        <v>0.15</v>
      </c>
      <c r="I514" t="s">
        <v>19</v>
      </c>
      <c r="J514">
        <v>0</v>
      </c>
      <c r="K514">
        <v>1</v>
      </c>
      <c r="L514">
        <v>0</v>
      </c>
      <c r="M514">
        <f>VLOOKUP(Table1[[#This Row],[subscription_type]],Plans!$A$1:$B$5,2,FALSE)</f>
        <v>14.99</v>
      </c>
      <c r="N514">
        <f t="shared" ref="N514:N577" si="8">IF(L514=1, M514,0)</f>
        <v>0</v>
      </c>
    </row>
    <row r="515" spans="1:14" x14ac:dyDescent="0.35">
      <c r="A515">
        <v>514</v>
      </c>
      <c r="B515" t="s">
        <v>12</v>
      </c>
      <c r="C515">
        <v>53</v>
      </c>
      <c r="D515" t="s">
        <v>28</v>
      </c>
      <c r="E515" t="s">
        <v>14</v>
      </c>
      <c r="F515">
        <v>226</v>
      </c>
      <c r="G515">
        <v>99</v>
      </c>
      <c r="H515">
        <v>0.05</v>
      </c>
      <c r="I515" t="s">
        <v>15</v>
      </c>
      <c r="J515">
        <v>49</v>
      </c>
      <c r="K515">
        <v>0</v>
      </c>
      <c r="L515">
        <v>0</v>
      </c>
      <c r="M515">
        <f>VLOOKUP(Table1[[#This Row],[subscription_type]],Plans!$A$1:$B$5,2,FALSE)</f>
        <v>0</v>
      </c>
      <c r="N515">
        <f t="shared" si="8"/>
        <v>0</v>
      </c>
    </row>
    <row r="516" spans="1:14" x14ac:dyDescent="0.35">
      <c r="A516">
        <v>515</v>
      </c>
      <c r="B516" t="s">
        <v>12</v>
      </c>
      <c r="C516">
        <v>20</v>
      </c>
      <c r="D516" t="s">
        <v>13</v>
      </c>
      <c r="E516" t="s">
        <v>14</v>
      </c>
      <c r="F516">
        <v>115</v>
      </c>
      <c r="G516">
        <v>28</v>
      </c>
      <c r="H516">
        <v>0.09</v>
      </c>
      <c r="I516" t="s">
        <v>15</v>
      </c>
      <c r="J516">
        <v>29</v>
      </c>
      <c r="K516">
        <v>0</v>
      </c>
      <c r="L516">
        <v>0</v>
      </c>
      <c r="M516">
        <f>VLOOKUP(Table1[[#This Row],[subscription_type]],Plans!$A$1:$B$5,2,FALSE)</f>
        <v>0</v>
      </c>
      <c r="N516">
        <f t="shared" si="8"/>
        <v>0</v>
      </c>
    </row>
    <row r="517" spans="1:14" x14ac:dyDescent="0.35">
      <c r="A517">
        <v>516</v>
      </c>
      <c r="B517" t="s">
        <v>12</v>
      </c>
      <c r="C517">
        <v>43</v>
      </c>
      <c r="D517" t="s">
        <v>29</v>
      </c>
      <c r="E517" t="s">
        <v>14</v>
      </c>
      <c r="F517">
        <v>55</v>
      </c>
      <c r="G517">
        <v>64</v>
      </c>
      <c r="H517">
        <v>7.0000000000000007E-2</v>
      </c>
      <c r="I517" t="s">
        <v>19</v>
      </c>
      <c r="J517">
        <v>46</v>
      </c>
      <c r="K517">
        <v>0</v>
      </c>
      <c r="L517">
        <v>1</v>
      </c>
      <c r="M517">
        <f>VLOOKUP(Table1[[#This Row],[subscription_type]],Plans!$A$1:$B$5,2,FALSE)</f>
        <v>0</v>
      </c>
      <c r="N517">
        <f t="shared" si="8"/>
        <v>0</v>
      </c>
    </row>
    <row r="518" spans="1:14" x14ac:dyDescent="0.35">
      <c r="A518">
        <v>517</v>
      </c>
      <c r="B518" t="s">
        <v>16</v>
      </c>
      <c r="C518">
        <v>25</v>
      </c>
      <c r="D518" t="s">
        <v>25</v>
      </c>
      <c r="E518" t="s">
        <v>18</v>
      </c>
      <c r="F518">
        <v>123</v>
      </c>
      <c r="G518">
        <v>18</v>
      </c>
      <c r="H518">
        <v>0.56000000000000005</v>
      </c>
      <c r="I518" t="s">
        <v>23</v>
      </c>
      <c r="J518">
        <v>0</v>
      </c>
      <c r="K518">
        <v>1</v>
      </c>
      <c r="L518">
        <v>0</v>
      </c>
      <c r="M518">
        <f>VLOOKUP(Table1[[#This Row],[subscription_type]],Plans!$A$1:$B$5,2,FALSE)</f>
        <v>14.99</v>
      </c>
      <c r="N518">
        <f t="shared" si="8"/>
        <v>0</v>
      </c>
    </row>
    <row r="519" spans="1:14" x14ac:dyDescent="0.35">
      <c r="A519">
        <v>518</v>
      </c>
      <c r="B519" t="s">
        <v>16</v>
      </c>
      <c r="C519">
        <v>56</v>
      </c>
      <c r="D519" t="s">
        <v>25</v>
      </c>
      <c r="E519" t="s">
        <v>14</v>
      </c>
      <c r="F519">
        <v>110</v>
      </c>
      <c r="G519">
        <v>42</v>
      </c>
      <c r="H519">
        <v>0.4</v>
      </c>
      <c r="I519" t="s">
        <v>15</v>
      </c>
      <c r="J519">
        <v>16</v>
      </c>
      <c r="K519">
        <v>0</v>
      </c>
      <c r="L519">
        <v>1</v>
      </c>
      <c r="M519">
        <f>VLOOKUP(Table1[[#This Row],[subscription_type]],Plans!$A$1:$B$5,2,FALSE)</f>
        <v>0</v>
      </c>
      <c r="N519">
        <f t="shared" si="8"/>
        <v>0</v>
      </c>
    </row>
    <row r="520" spans="1:14" x14ac:dyDescent="0.35">
      <c r="A520">
        <v>519</v>
      </c>
      <c r="B520" t="s">
        <v>20</v>
      </c>
      <c r="C520">
        <v>21</v>
      </c>
      <c r="D520" t="s">
        <v>21</v>
      </c>
      <c r="E520" t="s">
        <v>22</v>
      </c>
      <c r="F520">
        <v>164</v>
      </c>
      <c r="G520">
        <v>90</v>
      </c>
      <c r="H520">
        <v>0.55000000000000004</v>
      </c>
      <c r="I520" t="s">
        <v>15</v>
      </c>
      <c r="J520">
        <v>0</v>
      </c>
      <c r="K520">
        <v>1</v>
      </c>
      <c r="L520">
        <v>0</v>
      </c>
      <c r="M520">
        <f>VLOOKUP(Table1[[#This Row],[subscription_type]],Plans!$A$1:$B$5,2,FALSE)</f>
        <v>9.99</v>
      </c>
      <c r="N520">
        <f t="shared" si="8"/>
        <v>0</v>
      </c>
    </row>
    <row r="521" spans="1:14" x14ac:dyDescent="0.35">
      <c r="A521">
        <v>520</v>
      </c>
      <c r="B521" t="s">
        <v>16</v>
      </c>
      <c r="C521">
        <v>24</v>
      </c>
      <c r="D521" t="s">
        <v>17</v>
      </c>
      <c r="E521" t="s">
        <v>22</v>
      </c>
      <c r="F521">
        <v>185</v>
      </c>
      <c r="G521">
        <v>77</v>
      </c>
      <c r="H521">
        <v>0.54</v>
      </c>
      <c r="I521" t="s">
        <v>15</v>
      </c>
      <c r="J521">
        <v>0</v>
      </c>
      <c r="K521">
        <v>1</v>
      </c>
      <c r="L521">
        <v>0</v>
      </c>
      <c r="M521">
        <f>VLOOKUP(Table1[[#This Row],[subscription_type]],Plans!$A$1:$B$5,2,FALSE)</f>
        <v>9.99</v>
      </c>
      <c r="N521">
        <f t="shared" si="8"/>
        <v>0</v>
      </c>
    </row>
    <row r="522" spans="1:14" x14ac:dyDescent="0.35">
      <c r="A522">
        <v>521</v>
      </c>
      <c r="B522" t="s">
        <v>20</v>
      </c>
      <c r="C522">
        <v>38</v>
      </c>
      <c r="D522" t="s">
        <v>17</v>
      </c>
      <c r="E522" t="s">
        <v>22</v>
      </c>
      <c r="F522">
        <v>262</v>
      </c>
      <c r="G522">
        <v>5</v>
      </c>
      <c r="H522">
        <v>0.31</v>
      </c>
      <c r="I522" t="s">
        <v>23</v>
      </c>
      <c r="J522">
        <v>0</v>
      </c>
      <c r="K522">
        <v>1</v>
      </c>
      <c r="L522">
        <v>0</v>
      </c>
      <c r="M522">
        <f>VLOOKUP(Table1[[#This Row],[subscription_type]],Plans!$A$1:$B$5,2,FALSE)</f>
        <v>9.99</v>
      </c>
      <c r="N522">
        <f t="shared" si="8"/>
        <v>0</v>
      </c>
    </row>
    <row r="523" spans="1:14" x14ac:dyDescent="0.35">
      <c r="A523">
        <v>522</v>
      </c>
      <c r="B523" t="s">
        <v>16</v>
      </c>
      <c r="C523">
        <v>20</v>
      </c>
      <c r="D523" t="s">
        <v>13</v>
      </c>
      <c r="E523" t="s">
        <v>22</v>
      </c>
      <c r="F523">
        <v>230</v>
      </c>
      <c r="G523">
        <v>32</v>
      </c>
      <c r="H523">
        <v>0.04</v>
      </c>
      <c r="I523" t="s">
        <v>15</v>
      </c>
      <c r="J523">
        <v>0</v>
      </c>
      <c r="K523">
        <v>1</v>
      </c>
      <c r="L523">
        <v>0</v>
      </c>
      <c r="M523">
        <f>VLOOKUP(Table1[[#This Row],[subscription_type]],Plans!$A$1:$B$5,2,FALSE)</f>
        <v>9.99</v>
      </c>
      <c r="N523">
        <f t="shared" si="8"/>
        <v>0</v>
      </c>
    </row>
    <row r="524" spans="1:14" x14ac:dyDescent="0.35">
      <c r="A524">
        <v>523</v>
      </c>
      <c r="B524" t="s">
        <v>20</v>
      </c>
      <c r="C524">
        <v>28</v>
      </c>
      <c r="D524" t="s">
        <v>27</v>
      </c>
      <c r="E524" t="s">
        <v>24</v>
      </c>
      <c r="F524">
        <v>17</v>
      </c>
      <c r="G524">
        <v>64</v>
      </c>
      <c r="H524">
        <v>0.42</v>
      </c>
      <c r="I524" t="s">
        <v>19</v>
      </c>
      <c r="J524">
        <v>0</v>
      </c>
      <c r="K524">
        <v>1</v>
      </c>
      <c r="L524">
        <v>1</v>
      </c>
      <c r="M524">
        <f>VLOOKUP(Table1[[#This Row],[subscription_type]],Plans!$A$1:$B$5,2,FALSE)</f>
        <v>4.99</v>
      </c>
      <c r="N524">
        <f t="shared" si="8"/>
        <v>4.99</v>
      </c>
    </row>
    <row r="525" spans="1:14" x14ac:dyDescent="0.35">
      <c r="A525">
        <v>524</v>
      </c>
      <c r="B525" t="s">
        <v>20</v>
      </c>
      <c r="C525">
        <v>58</v>
      </c>
      <c r="D525" t="s">
        <v>17</v>
      </c>
      <c r="E525" t="s">
        <v>24</v>
      </c>
      <c r="F525">
        <v>274</v>
      </c>
      <c r="G525">
        <v>18</v>
      </c>
      <c r="H525">
        <v>0.03</v>
      </c>
      <c r="I525" t="s">
        <v>15</v>
      </c>
      <c r="J525">
        <v>0</v>
      </c>
      <c r="K525">
        <v>1</v>
      </c>
      <c r="L525">
        <v>0</v>
      </c>
      <c r="M525">
        <f>VLOOKUP(Table1[[#This Row],[subscription_type]],Plans!$A$1:$B$5,2,FALSE)</f>
        <v>4.99</v>
      </c>
      <c r="N525">
        <f t="shared" si="8"/>
        <v>0</v>
      </c>
    </row>
    <row r="526" spans="1:14" x14ac:dyDescent="0.35">
      <c r="A526">
        <v>525</v>
      </c>
      <c r="B526" t="s">
        <v>20</v>
      </c>
      <c r="C526">
        <v>47</v>
      </c>
      <c r="D526" t="s">
        <v>13</v>
      </c>
      <c r="E526" t="s">
        <v>18</v>
      </c>
      <c r="F526">
        <v>75</v>
      </c>
      <c r="G526">
        <v>19</v>
      </c>
      <c r="H526">
        <v>0.28000000000000003</v>
      </c>
      <c r="I526" t="s">
        <v>23</v>
      </c>
      <c r="J526">
        <v>0</v>
      </c>
      <c r="K526">
        <v>1</v>
      </c>
      <c r="L526">
        <v>0</v>
      </c>
      <c r="M526">
        <f>VLOOKUP(Table1[[#This Row],[subscription_type]],Plans!$A$1:$B$5,2,FALSE)</f>
        <v>14.99</v>
      </c>
      <c r="N526">
        <f t="shared" si="8"/>
        <v>0</v>
      </c>
    </row>
    <row r="527" spans="1:14" x14ac:dyDescent="0.35">
      <c r="A527">
        <v>526</v>
      </c>
      <c r="B527" t="s">
        <v>12</v>
      </c>
      <c r="C527">
        <v>24</v>
      </c>
      <c r="D527" t="s">
        <v>25</v>
      </c>
      <c r="E527" t="s">
        <v>14</v>
      </c>
      <c r="F527">
        <v>250</v>
      </c>
      <c r="G527">
        <v>81</v>
      </c>
      <c r="H527">
        <v>0.27</v>
      </c>
      <c r="I527" t="s">
        <v>15</v>
      </c>
      <c r="J527">
        <v>16</v>
      </c>
      <c r="K527">
        <v>0</v>
      </c>
      <c r="L527">
        <v>0</v>
      </c>
      <c r="M527">
        <f>VLOOKUP(Table1[[#This Row],[subscription_type]],Plans!$A$1:$B$5,2,FALSE)</f>
        <v>0</v>
      </c>
      <c r="N527">
        <f t="shared" si="8"/>
        <v>0</v>
      </c>
    </row>
    <row r="528" spans="1:14" x14ac:dyDescent="0.35">
      <c r="A528">
        <v>527</v>
      </c>
      <c r="B528" t="s">
        <v>16</v>
      </c>
      <c r="C528">
        <v>20</v>
      </c>
      <c r="D528" t="s">
        <v>25</v>
      </c>
      <c r="E528" t="s">
        <v>22</v>
      </c>
      <c r="F528">
        <v>35</v>
      </c>
      <c r="G528">
        <v>61</v>
      </c>
      <c r="H528">
        <v>0.33</v>
      </c>
      <c r="I528" t="s">
        <v>19</v>
      </c>
      <c r="J528">
        <v>0</v>
      </c>
      <c r="K528">
        <v>1</v>
      </c>
      <c r="L528">
        <v>0</v>
      </c>
      <c r="M528">
        <f>VLOOKUP(Table1[[#This Row],[subscription_type]],Plans!$A$1:$B$5,2,FALSE)</f>
        <v>9.99</v>
      </c>
      <c r="N528">
        <f t="shared" si="8"/>
        <v>0</v>
      </c>
    </row>
    <row r="529" spans="1:14" x14ac:dyDescent="0.35">
      <c r="A529">
        <v>528</v>
      </c>
      <c r="B529" t="s">
        <v>16</v>
      </c>
      <c r="C529">
        <v>41</v>
      </c>
      <c r="D529" t="s">
        <v>17</v>
      </c>
      <c r="E529" t="s">
        <v>22</v>
      </c>
      <c r="F529">
        <v>33</v>
      </c>
      <c r="G529">
        <v>1</v>
      </c>
      <c r="H529">
        <v>0.08</v>
      </c>
      <c r="I529" t="s">
        <v>19</v>
      </c>
      <c r="J529">
        <v>0</v>
      </c>
      <c r="K529">
        <v>1</v>
      </c>
      <c r="L529">
        <v>1</v>
      </c>
      <c r="M529">
        <f>VLOOKUP(Table1[[#This Row],[subscription_type]],Plans!$A$1:$B$5,2,FALSE)</f>
        <v>9.99</v>
      </c>
      <c r="N529">
        <f t="shared" si="8"/>
        <v>9.99</v>
      </c>
    </row>
    <row r="530" spans="1:14" x14ac:dyDescent="0.35">
      <c r="A530">
        <v>529</v>
      </c>
      <c r="B530" t="s">
        <v>20</v>
      </c>
      <c r="C530">
        <v>35</v>
      </c>
      <c r="D530" t="s">
        <v>29</v>
      </c>
      <c r="E530" t="s">
        <v>14</v>
      </c>
      <c r="F530">
        <v>270</v>
      </c>
      <c r="G530">
        <v>39</v>
      </c>
      <c r="H530">
        <v>0.28999999999999998</v>
      </c>
      <c r="I530" t="s">
        <v>19</v>
      </c>
      <c r="J530">
        <v>30</v>
      </c>
      <c r="K530">
        <v>0</v>
      </c>
      <c r="L530">
        <v>0</v>
      </c>
      <c r="M530">
        <f>VLOOKUP(Table1[[#This Row],[subscription_type]],Plans!$A$1:$B$5,2,FALSE)</f>
        <v>0</v>
      </c>
      <c r="N530">
        <f t="shared" si="8"/>
        <v>0</v>
      </c>
    </row>
    <row r="531" spans="1:14" x14ac:dyDescent="0.35">
      <c r="A531">
        <v>530</v>
      </c>
      <c r="B531" t="s">
        <v>12</v>
      </c>
      <c r="C531">
        <v>21</v>
      </c>
      <c r="D531" t="s">
        <v>29</v>
      </c>
      <c r="E531" t="s">
        <v>24</v>
      </c>
      <c r="F531">
        <v>192</v>
      </c>
      <c r="G531">
        <v>52</v>
      </c>
      <c r="H531">
        <v>0.46</v>
      </c>
      <c r="I531" t="s">
        <v>19</v>
      </c>
      <c r="J531">
        <v>0</v>
      </c>
      <c r="K531">
        <v>1</v>
      </c>
      <c r="L531">
        <v>1</v>
      </c>
      <c r="M531">
        <f>VLOOKUP(Table1[[#This Row],[subscription_type]],Plans!$A$1:$B$5,2,FALSE)</f>
        <v>4.99</v>
      </c>
      <c r="N531">
        <f t="shared" si="8"/>
        <v>4.99</v>
      </c>
    </row>
    <row r="532" spans="1:14" x14ac:dyDescent="0.35">
      <c r="A532">
        <v>531</v>
      </c>
      <c r="B532" t="s">
        <v>16</v>
      </c>
      <c r="C532">
        <v>17</v>
      </c>
      <c r="D532" t="s">
        <v>21</v>
      </c>
      <c r="E532" t="s">
        <v>18</v>
      </c>
      <c r="F532">
        <v>195</v>
      </c>
      <c r="G532">
        <v>60</v>
      </c>
      <c r="H532">
        <v>0.26</v>
      </c>
      <c r="I532" t="s">
        <v>15</v>
      </c>
      <c r="J532">
        <v>0</v>
      </c>
      <c r="K532">
        <v>1</v>
      </c>
      <c r="L532">
        <v>0</v>
      </c>
      <c r="M532">
        <f>VLOOKUP(Table1[[#This Row],[subscription_type]],Plans!$A$1:$B$5,2,FALSE)</f>
        <v>14.99</v>
      </c>
      <c r="N532">
        <f t="shared" si="8"/>
        <v>0</v>
      </c>
    </row>
    <row r="533" spans="1:14" x14ac:dyDescent="0.35">
      <c r="A533">
        <v>532</v>
      </c>
      <c r="B533" t="s">
        <v>16</v>
      </c>
      <c r="C533">
        <v>49</v>
      </c>
      <c r="D533" t="s">
        <v>28</v>
      </c>
      <c r="E533" t="s">
        <v>18</v>
      </c>
      <c r="F533">
        <v>288</v>
      </c>
      <c r="G533">
        <v>46</v>
      </c>
      <c r="H533">
        <v>0.05</v>
      </c>
      <c r="I533" t="s">
        <v>19</v>
      </c>
      <c r="J533">
        <v>0</v>
      </c>
      <c r="K533">
        <v>1</v>
      </c>
      <c r="L533">
        <v>0</v>
      </c>
      <c r="M533">
        <f>VLOOKUP(Table1[[#This Row],[subscription_type]],Plans!$A$1:$B$5,2,FALSE)</f>
        <v>14.99</v>
      </c>
      <c r="N533">
        <f t="shared" si="8"/>
        <v>0</v>
      </c>
    </row>
    <row r="534" spans="1:14" x14ac:dyDescent="0.35">
      <c r="A534">
        <v>533</v>
      </c>
      <c r="B534" t="s">
        <v>20</v>
      </c>
      <c r="C534">
        <v>35</v>
      </c>
      <c r="D534" t="s">
        <v>25</v>
      </c>
      <c r="E534" t="s">
        <v>24</v>
      </c>
      <c r="F534">
        <v>155</v>
      </c>
      <c r="G534">
        <v>84</v>
      </c>
      <c r="H534">
        <v>0.21</v>
      </c>
      <c r="I534" t="s">
        <v>19</v>
      </c>
      <c r="J534">
        <v>0</v>
      </c>
      <c r="K534">
        <v>1</v>
      </c>
      <c r="L534">
        <v>1</v>
      </c>
      <c r="M534">
        <f>VLOOKUP(Table1[[#This Row],[subscription_type]],Plans!$A$1:$B$5,2,FALSE)</f>
        <v>4.99</v>
      </c>
      <c r="N534">
        <f t="shared" si="8"/>
        <v>4.99</v>
      </c>
    </row>
    <row r="535" spans="1:14" x14ac:dyDescent="0.35">
      <c r="A535">
        <v>534</v>
      </c>
      <c r="B535" t="s">
        <v>16</v>
      </c>
      <c r="C535">
        <v>34</v>
      </c>
      <c r="D535" t="s">
        <v>21</v>
      </c>
      <c r="E535" t="s">
        <v>18</v>
      </c>
      <c r="F535">
        <v>136</v>
      </c>
      <c r="G535">
        <v>3</v>
      </c>
      <c r="H535">
        <v>0.04</v>
      </c>
      <c r="I535" t="s">
        <v>23</v>
      </c>
      <c r="J535">
        <v>0</v>
      </c>
      <c r="K535">
        <v>1</v>
      </c>
      <c r="L535">
        <v>1</v>
      </c>
      <c r="M535">
        <f>VLOOKUP(Table1[[#This Row],[subscription_type]],Plans!$A$1:$B$5,2,FALSE)</f>
        <v>14.99</v>
      </c>
      <c r="N535">
        <f t="shared" si="8"/>
        <v>14.99</v>
      </c>
    </row>
    <row r="536" spans="1:14" x14ac:dyDescent="0.35">
      <c r="A536">
        <v>535</v>
      </c>
      <c r="B536" t="s">
        <v>20</v>
      </c>
      <c r="C536">
        <v>38</v>
      </c>
      <c r="D536" t="s">
        <v>26</v>
      </c>
      <c r="E536" t="s">
        <v>22</v>
      </c>
      <c r="F536">
        <v>137</v>
      </c>
      <c r="G536">
        <v>38</v>
      </c>
      <c r="H536">
        <v>0.02</v>
      </c>
      <c r="I536" t="s">
        <v>15</v>
      </c>
      <c r="J536">
        <v>0</v>
      </c>
      <c r="K536">
        <v>1</v>
      </c>
      <c r="L536">
        <v>0</v>
      </c>
      <c r="M536">
        <f>VLOOKUP(Table1[[#This Row],[subscription_type]],Plans!$A$1:$B$5,2,FALSE)</f>
        <v>9.99</v>
      </c>
      <c r="N536">
        <f t="shared" si="8"/>
        <v>0</v>
      </c>
    </row>
    <row r="537" spans="1:14" x14ac:dyDescent="0.35">
      <c r="A537">
        <v>536</v>
      </c>
      <c r="B537" t="s">
        <v>16</v>
      </c>
      <c r="C537">
        <v>35</v>
      </c>
      <c r="D537" t="s">
        <v>17</v>
      </c>
      <c r="E537" t="s">
        <v>14</v>
      </c>
      <c r="F537">
        <v>111</v>
      </c>
      <c r="G537">
        <v>62</v>
      </c>
      <c r="H537">
        <v>0.47</v>
      </c>
      <c r="I537" t="s">
        <v>19</v>
      </c>
      <c r="J537">
        <v>13</v>
      </c>
      <c r="K537">
        <v>0</v>
      </c>
      <c r="L537">
        <v>1</v>
      </c>
      <c r="M537">
        <f>VLOOKUP(Table1[[#This Row],[subscription_type]],Plans!$A$1:$B$5,2,FALSE)</f>
        <v>0</v>
      </c>
      <c r="N537">
        <f t="shared" si="8"/>
        <v>0</v>
      </c>
    </row>
    <row r="538" spans="1:14" x14ac:dyDescent="0.35">
      <c r="A538">
        <v>537</v>
      </c>
      <c r="B538" t="s">
        <v>16</v>
      </c>
      <c r="C538">
        <v>38</v>
      </c>
      <c r="D538" t="s">
        <v>29</v>
      </c>
      <c r="E538" t="s">
        <v>18</v>
      </c>
      <c r="F538">
        <v>211</v>
      </c>
      <c r="G538">
        <v>72</v>
      </c>
      <c r="H538">
        <v>0.35</v>
      </c>
      <c r="I538" t="s">
        <v>15</v>
      </c>
      <c r="J538">
        <v>0</v>
      </c>
      <c r="K538">
        <v>1</v>
      </c>
      <c r="L538">
        <v>0</v>
      </c>
      <c r="M538">
        <f>VLOOKUP(Table1[[#This Row],[subscription_type]],Plans!$A$1:$B$5,2,FALSE)</f>
        <v>14.99</v>
      </c>
      <c r="N538">
        <f t="shared" si="8"/>
        <v>0</v>
      </c>
    </row>
    <row r="539" spans="1:14" x14ac:dyDescent="0.35">
      <c r="A539">
        <v>538</v>
      </c>
      <c r="B539" t="s">
        <v>12</v>
      </c>
      <c r="C539">
        <v>39</v>
      </c>
      <c r="D539" t="s">
        <v>17</v>
      </c>
      <c r="E539" t="s">
        <v>22</v>
      </c>
      <c r="F539">
        <v>168</v>
      </c>
      <c r="G539">
        <v>69</v>
      </c>
      <c r="H539">
        <v>0.54</v>
      </c>
      <c r="I539" t="s">
        <v>15</v>
      </c>
      <c r="J539">
        <v>0</v>
      </c>
      <c r="K539">
        <v>1</v>
      </c>
      <c r="L539">
        <v>1</v>
      </c>
      <c r="M539">
        <f>VLOOKUP(Table1[[#This Row],[subscription_type]],Plans!$A$1:$B$5,2,FALSE)</f>
        <v>9.99</v>
      </c>
      <c r="N539">
        <f t="shared" si="8"/>
        <v>9.99</v>
      </c>
    </row>
    <row r="540" spans="1:14" x14ac:dyDescent="0.35">
      <c r="A540">
        <v>539</v>
      </c>
      <c r="B540" t="s">
        <v>12</v>
      </c>
      <c r="C540">
        <v>53</v>
      </c>
      <c r="D540" t="s">
        <v>21</v>
      </c>
      <c r="E540" t="s">
        <v>24</v>
      </c>
      <c r="F540">
        <v>86</v>
      </c>
      <c r="G540">
        <v>27</v>
      </c>
      <c r="H540">
        <v>0.15</v>
      </c>
      <c r="I540" t="s">
        <v>23</v>
      </c>
      <c r="J540">
        <v>0</v>
      </c>
      <c r="K540">
        <v>1</v>
      </c>
      <c r="L540">
        <v>0</v>
      </c>
      <c r="M540">
        <f>VLOOKUP(Table1[[#This Row],[subscription_type]],Plans!$A$1:$B$5,2,FALSE)</f>
        <v>4.99</v>
      </c>
      <c r="N540">
        <f t="shared" si="8"/>
        <v>0</v>
      </c>
    </row>
    <row r="541" spans="1:14" x14ac:dyDescent="0.35">
      <c r="A541">
        <v>540</v>
      </c>
      <c r="B541" t="s">
        <v>16</v>
      </c>
      <c r="C541">
        <v>42</v>
      </c>
      <c r="D541" t="s">
        <v>27</v>
      </c>
      <c r="E541" t="s">
        <v>22</v>
      </c>
      <c r="F541">
        <v>219</v>
      </c>
      <c r="G541">
        <v>2</v>
      </c>
      <c r="H541">
        <v>0.04</v>
      </c>
      <c r="I541" t="s">
        <v>23</v>
      </c>
      <c r="J541">
        <v>0</v>
      </c>
      <c r="K541">
        <v>1</v>
      </c>
      <c r="L541">
        <v>0</v>
      </c>
      <c r="M541">
        <f>VLOOKUP(Table1[[#This Row],[subscription_type]],Plans!$A$1:$B$5,2,FALSE)</f>
        <v>9.99</v>
      </c>
      <c r="N541">
        <f t="shared" si="8"/>
        <v>0</v>
      </c>
    </row>
    <row r="542" spans="1:14" x14ac:dyDescent="0.35">
      <c r="A542">
        <v>541</v>
      </c>
      <c r="B542" t="s">
        <v>12</v>
      </c>
      <c r="C542">
        <v>40</v>
      </c>
      <c r="D542" t="s">
        <v>17</v>
      </c>
      <c r="E542" t="s">
        <v>18</v>
      </c>
      <c r="F542">
        <v>66</v>
      </c>
      <c r="G542">
        <v>51</v>
      </c>
      <c r="H542">
        <v>0.3</v>
      </c>
      <c r="I542" t="s">
        <v>23</v>
      </c>
      <c r="J542">
        <v>0</v>
      </c>
      <c r="K542">
        <v>1</v>
      </c>
      <c r="L542">
        <v>0</v>
      </c>
      <c r="M542">
        <f>VLOOKUP(Table1[[#This Row],[subscription_type]],Plans!$A$1:$B$5,2,FALSE)</f>
        <v>14.99</v>
      </c>
      <c r="N542">
        <f t="shared" si="8"/>
        <v>0</v>
      </c>
    </row>
    <row r="543" spans="1:14" x14ac:dyDescent="0.35">
      <c r="A543">
        <v>542</v>
      </c>
      <c r="B543" t="s">
        <v>20</v>
      </c>
      <c r="C543">
        <v>48</v>
      </c>
      <c r="D543" t="s">
        <v>28</v>
      </c>
      <c r="E543" t="s">
        <v>22</v>
      </c>
      <c r="F543">
        <v>73</v>
      </c>
      <c r="G543">
        <v>97</v>
      </c>
      <c r="H543">
        <v>0.41</v>
      </c>
      <c r="I543" t="s">
        <v>23</v>
      </c>
      <c r="J543">
        <v>0</v>
      </c>
      <c r="K543">
        <v>1</v>
      </c>
      <c r="L543">
        <v>1</v>
      </c>
      <c r="M543">
        <f>VLOOKUP(Table1[[#This Row],[subscription_type]],Plans!$A$1:$B$5,2,FALSE)</f>
        <v>9.99</v>
      </c>
      <c r="N543">
        <f t="shared" si="8"/>
        <v>9.99</v>
      </c>
    </row>
    <row r="544" spans="1:14" x14ac:dyDescent="0.35">
      <c r="A544">
        <v>543</v>
      </c>
      <c r="B544" t="s">
        <v>16</v>
      </c>
      <c r="C544">
        <v>52</v>
      </c>
      <c r="D544" t="s">
        <v>26</v>
      </c>
      <c r="E544" t="s">
        <v>22</v>
      </c>
      <c r="F544">
        <v>274</v>
      </c>
      <c r="G544">
        <v>56</v>
      </c>
      <c r="H544">
        <v>0.09</v>
      </c>
      <c r="I544" t="s">
        <v>15</v>
      </c>
      <c r="J544">
        <v>0</v>
      </c>
      <c r="K544">
        <v>1</v>
      </c>
      <c r="L544">
        <v>0</v>
      </c>
      <c r="M544">
        <f>VLOOKUP(Table1[[#This Row],[subscription_type]],Plans!$A$1:$B$5,2,FALSE)</f>
        <v>9.99</v>
      </c>
      <c r="N544">
        <f t="shared" si="8"/>
        <v>0</v>
      </c>
    </row>
    <row r="545" spans="1:14" x14ac:dyDescent="0.35">
      <c r="A545">
        <v>544</v>
      </c>
      <c r="B545" t="s">
        <v>12</v>
      </c>
      <c r="C545">
        <v>44</v>
      </c>
      <c r="D545" t="s">
        <v>21</v>
      </c>
      <c r="E545" t="s">
        <v>18</v>
      </c>
      <c r="F545">
        <v>169</v>
      </c>
      <c r="G545">
        <v>69</v>
      </c>
      <c r="H545">
        <v>0.06</v>
      </c>
      <c r="I545" t="s">
        <v>19</v>
      </c>
      <c r="J545">
        <v>0</v>
      </c>
      <c r="K545">
        <v>1</v>
      </c>
      <c r="L545">
        <v>0</v>
      </c>
      <c r="M545">
        <f>VLOOKUP(Table1[[#This Row],[subscription_type]],Plans!$A$1:$B$5,2,FALSE)</f>
        <v>14.99</v>
      </c>
      <c r="N545">
        <f t="shared" si="8"/>
        <v>0</v>
      </c>
    </row>
    <row r="546" spans="1:14" x14ac:dyDescent="0.35">
      <c r="A546">
        <v>545</v>
      </c>
      <c r="B546" t="s">
        <v>20</v>
      </c>
      <c r="C546">
        <v>30</v>
      </c>
      <c r="D546" t="s">
        <v>17</v>
      </c>
      <c r="E546" t="s">
        <v>18</v>
      </c>
      <c r="F546">
        <v>88</v>
      </c>
      <c r="G546">
        <v>58</v>
      </c>
      <c r="H546">
        <v>0.33</v>
      </c>
      <c r="I546" t="s">
        <v>19</v>
      </c>
      <c r="J546">
        <v>0</v>
      </c>
      <c r="K546">
        <v>1</v>
      </c>
      <c r="L546">
        <v>0</v>
      </c>
      <c r="M546">
        <f>VLOOKUP(Table1[[#This Row],[subscription_type]],Plans!$A$1:$B$5,2,FALSE)</f>
        <v>14.99</v>
      </c>
      <c r="N546">
        <f t="shared" si="8"/>
        <v>0</v>
      </c>
    </row>
    <row r="547" spans="1:14" x14ac:dyDescent="0.35">
      <c r="A547">
        <v>546</v>
      </c>
      <c r="B547" t="s">
        <v>12</v>
      </c>
      <c r="C547">
        <v>57</v>
      </c>
      <c r="D547" t="s">
        <v>28</v>
      </c>
      <c r="E547" t="s">
        <v>18</v>
      </c>
      <c r="F547">
        <v>286</v>
      </c>
      <c r="G547">
        <v>87</v>
      </c>
      <c r="H547">
        <v>0.53</v>
      </c>
      <c r="I547" t="s">
        <v>15</v>
      </c>
      <c r="J547">
        <v>0</v>
      </c>
      <c r="K547">
        <v>1</v>
      </c>
      <c r="L547">
        <v>0</v>
      </c>
      <c r="M547">
        <f>VLOOKUP(Table1[[#This Row],[subscription_type]],Plans!$A$1:$B$5,2,FALSE)</f>
        <v>14.99</v>
      </c>
      <c r="N547">
        <f t="shared" si="8"/>
        <v>0</v>
      </c>
    </row>
    <row r="548" spans="1:14" x14ac:dyDescent="0.35">
      <c r="A548">
        <v>547</v>
      </c>
      <c r="B548" t="s">
        <v>20</v>
      </c>
      <c r="C548">
        <v>29</v>
      </c>
      <c r="D548" t="s">
        <v>21</v>
      </c>
      <c r="E548" t="s">
        <v>22</v>
      </c>
      <c r="F548">
        <v>23</v>
      </c>
      <c r="G548">
        <v>98</v>
      </c>
      <c r="H548">
        <v>0.36</v>
      </c>
      <c r="I548" t="s">
        <v>19</v>
      </c>
      <c r="J548">
        <v>0</v>
      </c>
      <c r="K548">
        <v>1</v>
      </c>
      <c r="L548">
        <v>0</v>
      </c>
      <c r="M548">
        <f>VLOOKUP(Table1[[#This Row],[subscription_type]],Plans!$A$1:$B$5,2,FALSE)</f>
        <v>9.99</v>
      </c>
      <c r="N548">
        <f t="shared" si="8"/>
        <v>0</v>
      </c>
    </row>
    <row r="549" spans="1:14" x14ac:dyDescent="0.35">
      <c r="A549">
        <v>548</v>
      </c>
      <c r="B549" t="s">
        <v>20</v>
      </c>
      <c r="C549">
        <v>49</v>
      </c>
      <c r="D549" t="s">
        <v>17</v>
      </c>
      <c r="E549" t="s">
        <v>22</v>
      </c>
      <c r="F549">
        <v>296</v>
      </c>
      <c r="G549">
        <v>69</v>
      </c>
      <c r="H549">
        <v>0.35</v>
      </c>
      <c r="I549" t="s">
        <v>19</v>
      </c>
      <c r="J549">
        <v>0</v>
      </c>
      <c r="K549">
        <v>1</v>
      </c>
      <c r="L549">
        <v>0</v>
      </c>
      <c r="M549">
        <f>VLOOKUP(Table1[[#This Row],[subscription_type]],Plans!$A$1:$B$5,2,FALSE)</f>
        <v>9.99</v>
      </c>
      <c r="N549">
        <f t="shared" si="8"/>
        <v>0</v>
      </c>
    </row>
    <row r="550" spans="1:14" x14ac:dyDescent="0.35">
      <c r="A550">
        <v>549</v>
      </c>
      <c r="B550" t="s">
        <v>20</v>
      </c>
      <c r="C550">
        <v>25</v>
      </c>
      <c r="D550" t="s">
        <v>25</v>
      </c>
      <c r="E550" t="s">
        <v>24</v>
      </c>
      <c r="F550">
        <v>264</v>
      </c>
      <c r="G550">
        <v>51</v>
      </c>
      <c r="H550">
        <v>0.09</v>
      </c>
      <c r="I550" t="s">
        <v>23</v>
      </c>
      <c r="J550">
        <v>0</v>
      </c>
      <c r="K550">
        <v>1</v>
      </c>
      <c r="L550">
        <v>0</v>
      </c>
      <c r="M550">
        <f>VLOOKUP(Table1[[#This Row],[subscription_type]],Plans!$A$1:$B$5,2,FALSE)</f>
        <v>4.99</v>
      </c>
      <c r="N550">
        <f t="shared" si="8"/>
        <v>0</v>
      </c>
    </row>
    <row r="551" spans="1:14" x14ac:dyDescent="0.35">
      <c r="A551">
        <v>550</v>
      </c>
      <c r="B551" t="s">
        <v>16</v>
      </c>
      <c r="C551">
        <v>32</v>
      </c>
      <c r="D551" t="s">
        <v>27</v>
      </c>
      <c r="E551" t="s">
        <v>18</v>
      </c>
      <c r="F551">
        <v>167</v>
      </c>
      <c r="G551">
        <v>56</v>
      </c>
      <c r="H551">
        <v>0.19</v>
      </c>
      <c r="I551" t="s">
        <v>19</v>
      </c>
      <c r="J551">
        <v>0</v>
      </c>
      <c r="K551">
        <v>1</v>
      </c>
      <c r="L551">
        <v>0</v>
      </c>
      <c r="M551">
        <f>VLOOKUP(Table1[[#This Row],[subscription_type]],Plans!$A$1:$B$5,2,FALSE)</f>
        <v>14.99</v>
      </c>
      <c r="N551">
        <f t="shared" si="8"/>
        <v>0</v>
      </c>
    </row>
    <row r="552" spans="1:14" x14ac:dyDescent="0.35">
      <c r="A552">
        <v>551</v>
      </c>
      <c r="B552" t="s">
        <v>20</v>
      </c>
      <c r="C552">
        <v>39</v>
      </c>
      <c r="D552" t="s">
        <v>29</v>
      </c>
      <c r="E552" t="s">
        <v>14</v>
      </c>
      <c r="F552">
        <v>87</v>
      </c>
      <c r="G552">
        <v>62</v>
      </c>
      <c r="H552">
        <v>0.12</v>
      </c>
      <c r="I552" t="s">
        <v>19</v>
      </c>
      <c r="J552">
        <v>46</v>
      </c>
      <c r="K552">
        <v>0</v>
      </c>
      <c r="L552">
        <v>0</v>
      </c>
      <c r="M552">
        <f>VLOOKUP(Table1[[#This Row],[subscription_type]],Plans!$A$1:$B$5,2,FALSE)</f>
        <v>0</v>
      </c>
      <c r="N552">
        <f t="shared" si="8"/>
        <v>0</v>
      </c>
    </row>
    <row r="553" spans="1:14" x14ac:dyDescent="0.35">
      <c r="A553">
        <v>552</v>
      </c>
      <c r="B553" t="s">
        <v>20</v>
      </c>
      <c r="C553">
        <v>22</v>
      </c>
      <c r="D553" t="s">
        <v>28</v>
      </c>
      <c r="E553" t="s">
        <v>24</v>
      </c>
      <c r="F553">
        <v>92</v>
      </c>
      <c r="G553">
        <v>70</v>
      </c>
      <c r="H553">
        <v>0.51</v>
      </c>
      <c r="I553" t="s">
        <v>19</v>
      </c>
      <c r="J553">
        <v>0</v>
      </c>
      <c r="K553">
        <v>1</v>
      </c>
      <c r="L553">
        <v>0</v>
      </c>
      <c r="M553">
        <f>VLOOKUP(Table1[[#This Row],[subscription_type]],Plans!$A$1:$B$5,2,FALSE)</f>
        <v>4.99</v>
      </c>
      <c r="N553">
        <f t="shared" si="8"/>
        <v>0</v>
      </c>
    </row>
    <row r="554" spans="1:14" x14ac:dyDescent="0.35">
      <c r="A554">
        <v>553</v>
      </c>
      <c r="B554" t="s">
        <v>16</v>
      </c>
      <c r="C554">
        <v>23</v>
      </c>
      <c r="D554" t="s">
        <v>29</v>
      </c>
      <c r="E554" t="s">
        <v>24</v>
      </c>
      <c r="F554">
        <v>101</v>
      </c>
      <c r="G554">
        <v>96</v>
      </c>
      <c r="H554">
        <v>0.41</v>
      </c>
      <c r="I554" t="s">
        <v>23</v>
      </c>
      <c r="J554">
        <v>0</v>
      </c>
      <c r="K554">
        <v>1</v>
      </c>
      <c r="L554">
        <v>1</v>
      </c>
      <c r="M554">
        <f>VLOOKUP(Table1[[#This Row],[subscription_type]],Plans!$A$1:$B$5,2,FALSE)</f>
        <v>4.99</v>
      </c>
      <c r="N554">
        <f t="shared" si="8"/>
        <v>4.99</v>
      </c>
    </row>
    <row r="555" spans="1:14" x14ac:dyDescent="0.35">
      <c r="A555">
        <v>554</v>
      </c>
      <c r="B555" t="s">
        <v>12</v>
      </c>
      <c r="C555">
        <v>53</v>
      </c>
      <c r="D555" t="s">
        <v>28</v>
      </c>
      <c r="E555" t="s">
        <v>24</v>
      </c>
      <c r="F555">
        <v>139</v>
      </c>
      <c r="G555">
        <v>1</v>
      </c>
      <c r="H555">
        <v>0.54</v>
      </c>
      <c r="I555" t="s">
        <v>23</v>
      </c>
      <c r="J555">
        <v>0</v>
      </c>
      <c r="K555">
        <v>1</v>
      </c>
      <c r="L555">
        <v>0</v>
      </c>
      <c r="M555">
        <f>VLOOKUP(Table1[[#This Row],[subscription_type]],Plans!$A$1:$B$5,2,FALSE)</f>
        <v>4.99</v>
      </c>
      <c r="N555">
        <f t="shared" si="8"/>
        <v>0</v>
      </c>
    </row>
    <row r="556" spans="1:14" x14ac:dyDescent="0.35">
      <c r="A556">
        <v>555</v>
      </c>
      <c r="B556" t="s">
        <v>20</v>
      </c>
      <c r="C556">
        <v>46</v>
      </c>
      <c r="D556" t="s">
        <v>17</v>
      </c>
      <c r="E556" t="s">
        <v>18</v>
      </c>
      <c r="F556">
        <v>159</v>
      </c>
      <c r="G556">
        <v>93</v>
      </c>
      <c r="H556">
        <v>0.47</v>
      </c>
      <c r="I556" t="s">
        <v>15</v>
      </c>
      <c r="J556">
        <v>0</v>
      </c>
      <c r="K556">
        <v>1</v>
      </c>
      <c r="L556">
        <v>1</v>
      </c>
      <c r="M556">
        <f>VLOOKUP(Table1[[#This Row],[subscription_type]],Plans!$A$1:$B$5,2,FALSE)</f>
        <v>14.99</v>
      </c>
      <c r="N556">
        <f t="shared" si="8"/>
        <v>14.99</v>
      </c>
    </row>
    <row r="557" spans="1:14" x14ac:dyDescent="0.35">
      <c r="A557">
        <v>556</v>
      </c>
      <c r="B557" t="s">
        <v>20</v>
      </c>
      <c r="C557">
        <v>41</v>
      </c>
      <c r="D557" t="s">
        <v>17</v>
      </c>
      <c r="E557" t="s">
        <v>22</v>
      </c>
      <c r="F557">
        <v>229</v>
      </c>
      <c r="G557">
        <v>15</v>
      </c>
      <c r="H557">
        <v>0.56000000000000005</v>
      </c>
      <c r="I557" t="s">
        <v>23</v>
      </c>
      <c r="J557">
        <v>0</v>
      </c>
      <c r="K557">
        <v>1</v>
      </c>
      <c r="L557">
        <v>0</v>
      </c>
      <c r="M557">
        <f>VLOOKUP(Table1[[#This Row],[subscription_type]],Plans!$A$1:$B$5,2,FALSE)</f>
        <v>9.99</v>
      </c>
      <c r="N557">
        <f t="shared" si="8"/>
        <v>0</v>
      </c>
    </row>
    <row r="558" spans="1:14" x14ac:dyDescent="0.35">
      <c r="A558">
        <v>557</v>
      </c>
      <c r="B558" t="s">
        <v>12</v>
      </c>
      <c r="C558">
        <v>30</v>
      </c>
      <c r="D558" t="s">
        <v>25</v>
      </c>
      <c r="E558" t="s">
        <v>22</v>
      </c>
      <c r="F558">
        <v>281</v>
      </c>
      <c r="G558">
        <v>63</v>
      </c>
      <c r="H558">
        <v>0.02</v>
      </c>
      <c r="I558" t="s">
        <v>15</v>
      </c>
      <c r="J558">
        <v>0</v>
      </c>
      <c r="K558">
        <v>1</v>
      </c>
      <c r="L558">
        <v>0</v>
      </c>
      <c r="M558">
        <f>VLOOKUP(Table1[[#This Row],[subscription_type]],Plans!$A$1:$B$5,2,FALSE)</f>
        <v>9.99</v>
      </c>
      <c r="N558">
        <f t="shared" si="8"/>
        <v>0</v>
      </c>
    </row>
    <row r="559" spans="1:14" x14ac:dyDescent="0.35">
      <c r="A559">
        <v>558</v>
      </c>
      <c r="B559" t="s">
        <v>16</v>
      </c>
      <c r="C559">
        <v>40</v>
      </c>
      <c r="D559" t="s">
        <v>27</v>
      </c>
      <c r="E559" t="s">
        <v>14</v>
      </c>
      <c r="F559">
        <v>286</v>
      </c>
      <c r="G559">
        <v>44</v>
      </c>
      <c r="H559">
        <v>0.57999999999999996</v>
      </c>
      <c r="I559" t="s">
        <v>23</v>
      </c>
      <c r="J559">
        <v>46</v>
      </c>
      <c r="K559">
        <v>0</v>
      </c>
      <c r="L559">
        <v>0</v>
      </c>
      <c r="M559">
        <f>VLOOKUP(Table1[[#This Row],[subscription_type]],Plans!$A$1:$B$5,2,FALSE)</f>
        <v>0</v>
      </c>
      <c r="N559">
        <f t="shared" si="8"/>
        <v>0</v>
      </c>
    </row>
    <row r="560" spans="1:14" x14ac:dyDescent="0.35">
      <c r="A560">
        <v>559</v>
      </c>
      <c r="B560" t="s">
        <v>16</v>
      </c>
      <c r="C560">
        <v>46</v>
      </c>
      <c r="D560" t="s">
        <v>27</v>
      </c>
      <c r="E560" t="s">
        <v>14</v>
      </c>
      <c r="F560">
        <v>261</v>
      </c>
      <c r="G560">
        <v>12</v>
      </c>
      <c r="H560">
        <v>0.6</v>
      </c>
      <c r="I560" t="s">
        <v>19</v>
      </c>
      <c r="J560">
        <v>47</v>
      </c>
      <c r="K560">
        <v>0</v>
      </c>
      <c r="L560">
        <v>0</v>
      </c>
      <c r="M560">
        <f>VLOOKUP(Table1[[#This Row],[subscription_type]],Plans!$A$1:$B$5,2,FALSE)</f>
        <v>0</v>
      </c>
      <c r="N560">
        <f t="shared" si="8"/>
        <v>0</v>
      </c>
    </row>
    <row r="561" spans="1:14" x14ac:dyDescent="0.35">
      <c r="A561">
        <v>560</v>
      </c>
      <c r="B561" t="s">
        <v>12</v>
      </c>
      <c r="C561">
        <v>25</v>
      </c>
      <c r="D561" t="s">
        <v>29</v>
      </c>
      <c r="E561" t="s">
        <v>22</v>
      </c>
      <c r="F561">
        <v>295</v>
      </c>
      <c r="G561">
        <v>56</v>
      </c>
      <c r="H561">
        <v>0.17</v>
      </c>
      <c r="I561" t="s">
        <v>19</v>
      </c>
      <c r="J561">
        <v>0</v>
      </c>
      <c r="K561">
        <v>1</v>
      </c>
      <c r="L561">
        <v>0</v>
      </c>
      <c r="M561">
        <f>VLOOKUP(Table1[[#This Row],[subscription_type]],Plans!$A$1:$B$5,2,FALSE)</f>
        <v>9.99</v>
      </c>
      <c r="N561">
        <f t="shared" si="8"/>
        <v>0</v>
      </c>
    </row>
    <row r="562" spans="1:14" x14ac:dyDescent="0.35">
      <c r="A562">
        <v>561</v>
      </c>
      <c r="B562" t="s">
        <v>12</v>
      </c>
      <c r="C562">
        <v>41</v>
      </c>
      <c r="D562" t="s">
        <v>21</v>
      </c>
      <c r="E562" t="s">
        <v>24</v>
      </c>
      <c r="F562">
        <v>256</v>
      </c>
      <c r="G562">
        <v>51</v>
      </c>
      <c r="H562">
        <v>0.56999999999999995</v>
      </c>
      <c r="I562" t="s">
        <v>15</v>
      </c>
      <c r="J562">
        <v>0</v>
      </c>
      <c r="K562">
        <v>1</v>
      </c>
      <c r="L562">
        <v>0</v>
      </c>
      <c r="M562">
        <f>VLOOKUP(Table1[[#This Row],[subscription_type]],Plans!$A$1:$B$5,2,FALSE)</f>
        <v>4.99</v>
      </c>
      <c r="N562">
        <f t="shared" si="8"/>
        <v>0</v>
      </c>
    </row>
    <row r="563" spans="1:14" x14ac:dyDescent="0.35">
      <c r="A563">
        <v>562</v>
      </c>
      <c r="B563" t="s">
        <v>16</v>
      </c>
      <c r="C563">
        <v>27</v>
      </c>
      <c r="D563" t="s">
        <v>17</v>
      </c>
      <c r="E563" t="s">
        <v>24</v>
      </c>
      <c r="F563">
        <v>173</v>
      </c>
      <c r="G563">
        <v>27</v>
      </c>
      <c r="H563">
        <v>0.52</v>
      </c>
      <c r="I563" t="s">
        <v>15</v>
      </c>
      <c r="J563">
        <v>0</v>
      </c>
      <c r="K563">
        <v>1</v>
      </c>
      <c r="L563">
        <v>0</v>
      </c>
      <c r="M563">
        <f>VLOOKUP(Table1[[#This Row],[subscription_type]],Plans!$A$1:$B$5,2,FALSE)</f>
        <v>4.99</v>
      </c>
      <c r="N563">
        <f t="shared" si="8"/>
        <v>0</v>
      </c>
    </row>
    <row r="564" spans="1:14" x14ac:dyDescent="0.35">
      <c r="A564">
        <v>563</v>
      </c>
      <c r="B564" t="s">
        <v>16</v>
      </c>
      <c r="C564">
        <v>45</v>
      </c>
      <c r="D564" t="s">
        <v>29</v>
      </c>
      <c r="E564" t="s">
        <v>14</v>
      </c>
      <c r="F564">
        <v>124</v>
      </c>
      <c r="G564">
        <v>49</v>
      </c>
      <c r="H564">
        <v>0.05</v>
      </c>
      <c r="I564" t="s">
        <v>19</v>
      </c>
      <c r="J564">
        <v>22</v>
      </c>
      <c r="K564">
        <v>0</v>
      </c>
      <c r="L564">
        <v>1</v>
      </c>
      <c r="M564">
        <f>VLOOKUP(Table1[[#This Row],[subscription_type]],Plans!$A$1:$B$5,2,FALSE)</f>
        <v>0</v>
      </c>
      <c r="N564">
        <f t="shared" si="8"/>
        <v>0</v>
      </c>
    </row>
    <row r="565" spans="1:14" x14ac:dyDescent="0.35">
      <c r="A565">
        <v>564</v>
      </c>
      <c r="B565" t="s">
        <v>12</v>
      </c>
      <c r="C565">
        <v>52</v>
      </c>
      <c r="D565" t="s">
        <v>26</v>
      </c>
      <c r="E565" t="s">
        <v>22</v>
      </c>
      <c r="F565">
        <v>230</v>
      </c>
      <c r="G565">
        <v>12</v>
      </c>
      <c r="H565">
        <v>0.11</v>
      </c>
      <c r="I565" t="s">
        <v>23</v>
      </c>
      <c r="J565">
        <v>0</v>
      </c>
      <c r="K565">
        <v>1</v>
      </c>
      <c r="L565">
        <v>0</v>
      </c>
      <c r="M565">
        <f>VLOOKUP(Table1[[#This Row],[subscription_type]],Plans!$A$1:$B$5,2,FALSE)</f>
        <v>9.99</v>
      </c>
      <c r="N565">
        <f t="shared" si="8"/>
        <v>0</v>
      </c>
    </row>
    <row r="566" spans="1:14" x14ac:dyDescent="0.35">
      <c r="A566">
        <v>565</v>
      </c>
      <c r="B566" t="s">
        <v>12</v>
      </c>
      <c r="C566">
        <v>48</v>
      </c>
      <c r="D566" t="s">
        <v>27</v>
      </c>
      <c r="E566" t="s">
        <v>22</v>
      </c>
      <c r="F566">
        <v>292</v>
      </c>
      <c r="G566">
        <v>21</v>
      </c>
      <c r="H566">
        <v>0.26</v>
      </c>
      <c r="I566" t="s">
        <v>23</v>
      </c>
      <c r="J566">
        <v>0</v>
      </c>
      <c r="K566">
        <v>1</v>
      </c>
      <c r="L566">
        <v>0</v>
      </c>
      <c r="M566">
        <f>VLOOKUP(Table1[[#This Row],[subscription_type]],Plans!$A$1:$B$5,2,FALSE)</f>
        <v>9.99</v>
      </c>
      <c r="N566">
        <f t="shared" si="8"/>
        <v>0</v>
      </c>
    </row>
    <row r="567" spans="1:14" x14ac:dyDescent="0.35">
      <c r="A567">
        <v>566</v>
      </c>
      <c r="B567" t="s">
        <v>16</v>
      </c>
      <c r="C567">
        <v>38</v>
      </c>
      <c r="D567" t="s">
        <v>25</v>
      </c>
      <c r="E567" t="s">
        <v>14</v>
      </c>
      <c r="F567">
        <v>205</v>
      </c>
      <c r="G567">
        <v>25</v>
      </c>
      <c r="H567">
        <v>0.02</v>
      </c>
      <c r="I567" t="s">
        <v>15</v>
      </c>
      <c r="J567">
        <v>33</v>
      </c>
      <c r="K567">
        <v>0</v>
      </c>
      <c r="L567">
        <v>0</v>
      </c>
      <c r="M567">
        <f>VLOOKUP(Table1[[#This Row],[subscription_type]],Plans!$A$1:$B$5,2,FALSE)</f>
        <v>0</v>
      </c>
      <c r="N567">
        <f t="shared" si="8"/>
        <v>0</v>
      </c>
    </row>
    <row r="568" spans="1:14" x14ac:dyDescent="0.35">
      <c r="A568">
        <v>567</v>
      </c>
      <c r="B568" t="s">
        <v>16</v>
      </c>
      <c r="C568">
        <v>44</v>
      </c>
      <c r="D568" t="s">
        <v>27</v>
      </c>
      <c r="E568" t="s">
        <v>24</v>
      </c>
      <c r="F568">
        <v>48</v>
      </c>
      <c r="G568">
        <v>61</v>
      </c>
      <c r="H568">
        <v>0.26</v>
      </c>
      <c r="I568" t="s">
        <v>23</v>
      </c>
      <c r="J568">
        <v>0</v>
      </c>
      <c r="K568">
        <v>1</v>
      </c>
      <c r="L568">
        <v>0</v>
      </c>
      <c r="M568">
        <f>VLOOKUP(Table1[[#This Row],[subscription_type]],Plans!$A$1:$B$5,2,FALSE)</f>
        <v>4.99</v>
      </c>
      <c r="N568">
        <f t="shared" si="8"/>
        <v>0</v>
      </c>
    </row>
    <row r="569" spans="1:14" x14ac:dyDescent="0.35">
      <c r="A569">
        <v>568</v>
      </c>
      <c r="B569" t="s">
        <v>20</v>
      </c>
      <c r="C569">
        <v>45</v>
      </c>
      <c r="D569" t="s">
        <v>21</v>
      </c>
      <c r="E569" t="s">
        <v>18</v>
      </c>
      <c r="F569">
        <v>271</v>
      </c>
      <c r="G569">
        <v>6</v>
      </c>
      <c r="H569">
        <v>0.09</v>
      </c>
      <c r="I569" t="s">
        <v>15</v>
      </c>
      <c r="J569">
        <v>0</v>
      </c>
      <c r="K569">
        <v>1</v>
      </c>
      <c r="L569">
        <v>0</v>
      </c>
      <c r="M569">
        <f>VLOOKUP(Table1[[#This Row],[subscription_type]],Plans!$A$1:$B$5,2,FALSE)</f>
        <v>14.99</v>
      </c>
      <c r="N569">
        <f t="shared" si="8"/>
        <v>0</v>
      </c>
    </row>
    <row r="570" spans="1:14" x14ac:dyDescent="0.35">
      <c r="A570">
        <v>569</v>
      </c>
      <c r="B570" t="s">
        <v>16</v>
      </c>
      <c r="C570">
        <v>25</v>
      </c>
      <c r="D570" t="s">
        <v>26</v>
      </c>
      <c r="E570" t="s">
        <v>22</v>
      </c>
      <c r="F570">
        <v>166</v>
      </c>
      <c r="G570">
        <v>5</v>
      </c>
      <c r="H570">
        <v>0.4</v>
      </c>
      <c r="I570" t="s">
        <v>19</v>
      </c>
      <c r="J570">
        <v>0</v>
      </c>
      <c r="K570">
        <v>1</v>
      </c>
      <c r="L570">
        <v>0</v>
      </c>
      <c r="M570">
        <f>VLOOKUP(Table1[[#This Row],[subscription_type]],Plans!$A$1:$B$5,2,FALSE)</f>
        <v>9.99</v>
      </c>
      <c r="N570">
        <f t="shared" si="8"/>
        <v>0</v>
      </c>
    </row>
    <row r="571" spans="1:14" x14ac:dyDescent="0.35">
      <c r="A571">
        <v>570</v>
      </c>
      <c r="B571" t="s">
        <v>12</v>
      </c>
      <c r="C571">
        <v>50</v>
      </c>
      <c r="D571" t="s">
        <v>28</v>
      </c>
      <c r="E571" t="s">
        <v>14</v>
      </c>
      <c r="F571">
        <v>285</v>
      </c>
      <c r="G571">
        <v>46</v>
      </c>
      <c r="H571">
        <v>0.4</v>
      </c>
      <c r="I571" t="s">
        <v>19</v>
      </c>
      <c r="J571">
        <v>46</v>
      </c>
      <c r="K571">
        <v>0</v>
      </c>
      <c r="L571">
        <v>0</v>
      </c>
      <c r="M571">
        <f>VLOOKUP(Table1[[#This Row],[subscription_type]],Plans!$A$1:$B$5,2,FALSE)</f>
        <v>0</v>
      </c>
      <c r="N571">
        <f t="shared" si="8"/>
        <v>0</v>
      </c>
    </row>
    <row r="572" spans="1:14" x14ac:dyDescent="0.35">
      <c r="A572">
        <v>571</v>
      </c>
      <c r="B572" t="s">
        <v>20</v>
      </c>
      <c r="C572">
        <v>58</v>
      </c>
      <c r="D572" t="s">
        <v>17</v>
      </c>
      <c r="E572" t="s">
        <v>22</v>
      </c>
      <c r="F572">
        <v>175</v>
      </c>
      <c r="G572">
        <v>33</v>
      </c>
      <c r="H572">
        <v>0.37</v>
      </c>
      <c r="I572" t="s">
        <v>19</v>
      </c>
      <c r="J572">
        <v>0</v>
      </c>
      <c r="K572">
        <v>1</v>
      </c>
      <c r="L572">
        <v>1</v>
      </c>
      <c r="M572">
        <f>VLOOKUP(Table1[[#This Row],[subscription_type]],Plans!$A$1:$B$5,2,FALSE)</f>
        <v>9.99</v>
      </c>
      <c r="N572">
        <f t="shared" si="8"/>
        <v>9.99</v>
      </c>
    </row>
    <row r="573" spans="1:14" x14ac:dyDescent="0.35">
      <c r="A573">
        <v>572</v>
      </c>
      <c r="B573" t="s">
        <v>16</v>
      </c>
      <c r="C573">
        <v>35</v>
      </c>
      <c r="D573" t="s">
        <v>25</v>
      </c>
      <c r="E573" t="s">
        <v>14</v>
      </c>
      <c r="F573">
        <v>205</v>
      </c>
      <c r="G573">
        <v>71</v>
      </c>
      <c r="H573">
        <v>0.28000000000000003</v>
      </c>
      <c r="I573" t="s">
        <v>23</v>
      </c>
      <c r="J573">
        <v>16</v>
      </c>
      <c r="K573">
        <v>0</v>
      </c>
      <c r="L573">
        <v>0</v>
      </c>
      <c r="M573">
        <f>VLOOKUP(Table1[[#This Row],[subscription_type]],Plans!$A$1:$B$5,2,FALSE)</f>
        <v>0</v>
      </c>
      <c r="N573">
        <f t="shared" si="8"/>
        <v>0</v>
      </c>
    </row>
    <row r="574" spans="1:14" x14ac:dyDescent="0.35">
      <c r="A574">
        <v>573</v>
      </c>
      <c r="B574" t="s">
        <v>20</v>
      </c>
      <c r="C574">
        <v>18</v>
      </c>
      <c r="D574" t="s">
        <v>28</v>
      </c>
      <c r="E574" t="s">
        <v>14</v>
      </c>
      <c r="F574">
        <v>101</v>
      </c>
      <c r="G574">
        <v>95</v>
      </c>
      <c r="H574">
        <v>0.17</v>
      </c>
      <c r="I574" t="s">
        <v>19</v>
      </c>
      <c r="J574">
        <v>22</v>
      </c>
      <c r="K574">
        <v>0</v>
      </c>
      <c r="L574">
        <v>0</v>
      </c>
      <c r="M574">
        <f>VLOOKUP(Table1[[#This Row],[subscription_type]],Plans!$A$1:$B$5,2,FALSE)</f>
        <v>0</v>
      </c>
      <c r="N574">
        <f t="shared" si="8"/>
        <v>0</v>
      </c>
    </row>
    <row r="575" spans="1:14" x14ac:dyDescent="0.35">
      <c r="A575">
        <v>574</v>
      </c>
      <c r="B575" t="s">
        <v>12</v>
      </c>
      <c r="C575">
        <v>21</v>
      </c>
      <c r="D575" t="s">
        <v>27</v>
      </c>
      <c r="E575" t="s">
        <v>14</v>
      </c>
      <c r="F575">
        <v>134</v>
      </c>
      <c r="G575">
        <v>80</v>
      </c>
      <c r="H575">
        <v>0.23</v>
      </c>
      <c r="I575" t="s">
        <v>23</v>
      </c>
      <c r="J575">
        <v>41</v>
      </c>
      <c r="K575">
        <v>0</v>
      </c>
      <c r="L575">
        <v>0</v>
      </c>
      <c r="M575">
        <f>VLOOKUP(Table1[[#This Row],[subscription_type]],Plans!$A$1:$B$5,2,FALSE)</f>
        <v>0</v>
      </c>
      <c r="N575">
        <f t="shared" si="8"/>
        <v>0</v>
      </c>
    </row>
    <row r="576" spans="1:14" x14ac:dyDescent="0.35">
      <c r="A576">
        <v>575</v>
      </c>
      <c r="B576" t="s">
        <v>16</v>
      </c>
      <c r="C576">
        <v>32</v>
      </c>
      <c r="D576" t="s">
        <v>27</v>
      </c>
      <c r="E576" t="s">
        <v>22</v>
      </c>
      <c r="F576">
        <v>12</v>
      </c>
      <c r="G576">
        <v>38</v>
      </c>
      <c r="H576">
        <v>0.24</v>
      </c>
      <c r="I576" t="s">
        <v>23</v>
      </c>
      <c r="J576">
        <v>0</v>
      </c>
      <c r="K576">
        <v>1</v>
      </c>
      <c r="L576">
        <v>0</v>
      </c>
      <c r="M576">
        <f>VLOOKUP(Table1[[#This Row],[subscription_type]],Plans!$A$1:$B$5,2,FALSE)</f>
        <v>9.99</v>
      </c>
      <c r="N576">
        <f t="shared" si="8"/>
        <v>0</v>
      </c>
    </row>
    <row r="577" spans="1:14" x14ac:dyDescent="0.35">
      <c r="A577">
        <v>576</v>
      </c>
      <c r="B577" t="s">
        <v>20</v>
      </c>
      <c r="C577">
        <v>33</v>
      </c>
      <c r="D577" t="s">
        <v>17</v>
      </c>
      <c r="E577" t="s">
        <v>18</v>
      </c>
      <c r="F577">
        <v>147</v>
      </c>
      <c r="G577">
        <v>82</v>
      </c>
      <c r="H577">
        <v>0.5</v>
      </c>
      <c r="I577" t="s">
        <v>19</v>
      </c>
      <c r="J577">
        <v>0</v>
      </c>
      <c r="K577">
        <v>1</v>
      </c>
      <c r="L577">
        <v>0</v>
      </c>
      <c r="M577">
        <f>VLOOKUP(Table1[[#This Row],[subscription_type]],Plans!$A$1:$B$5,2,FALSE)</f>
        <v>14.99</v>
      </c>
      <c r="N577">
        <f t="shared" si="8"/>
        <v>0</v>
      </c>
    </row>
    <row r="578" spans="1:14" x14ac:dyDescent="0.35">
      <c r="A578">
        <v>577</v>
      </c>
      <c r="B578" t="s">
        <v>20</v>
      </c>
      <c r="C578">
        <v>41</v>
      </c>
      <c r="D578" t="s">
        <v>21</v>
      </c>
      <c r="E578" t="s">
        <v>22</v>
      </c>
      <c r="F578">
        <v>174</v>
      </c>
      <c r="G578">
        <v>8</v>
      </c>
      <c r="H578">
        <v>0.17</v>
      </c>
      <c r="I578" t="s">
        <v>19</v>
      </c>
      <c r="J578">
        <v>0</v>
      </c>
      <c r="K578">
        <v>1</v>
      </c>
      <c r="L578">
        <v>1</v>
      </c>
      <c r="M578">
        <f>VLOOKUP(Table1[[#This Row],[subscription_type]],Plans!$A$1:$B$5,2,FALSE)</f>
        <v>9.99</v>
      </c>
      <c r="N578">
        <f t="shared" ref="N578:N641" si="9">IF(L578=1, M578,0)</f>
        <v>9.99</v>
      </c>
    </row>
    <row r="579" spans="1:14" x14ac:dyDescent="0.35">
      <c r="A579">
        <v>578</v>
      </c>
      <c r="B579" t="s">
        <v>12</v>
      </c>
      <c r="C579">
        <v>33</v>
      </c>
      <c r="D579" t="s">
        <v>28</v>
      </c>
      <c r="E579" t="s">
        <v>22</v>
      </c>
      <c r="F579">
        <v>86</v>
      </c>
      <c r="G579">
        <v>57</v>
      </c>
      <c r="H579">
        <v>0.26</v>
      </c>
      <c r="I579" t="s">
        <v>23</v>
      </c>
      <c r="J579">
        <v>0</v>
      </c>
      <c r="K579">
        <v>1</v>
      </c>
      <c r="L579">
        <v>0</v>
      </c>
      <c r="M579">
        <f>VLOOKUP(Table1[[#This Row],[subscription_type]],Plans!$A$1:$B$5,2,FALSE)</f>
        <v>9.99</v>
      </c>
      <c r="N579">
        <f t="shared" si="9"/>
        <v>0</v>
      </c>
    </row>
    <row r="580" spans="1:14" x14ac:dyDescent="0.35">
      <c r="A580">
        <v>579</v>
      </c>
      <c r="B580" t="s">
        <v>20</v>
      </c>
      <c r="C580">
        <v>35</v>
      </c>
      <c r="D580" t="s">
        <v>21</v>
      </c>
      <c r="E580" t="s">
        <v>24</v>
      </c>
      <c r="F580">
        <v>99</v>
      </c>
      <c r="G580">
        <v>19</v>
      </c>
      <c r="H580">
        <v>0.01</v>
      </c>
      <c r="I580" t="s">
        <v>23</v>
      </c>
      <c r="J580">
        <v>0</v>
      </c>
      <c r="K580">
        <v>1</v>
      </c>
      <c r="L580">
        <v>1</v>
      </c>
      <c r="M580">
        <f>VLOOKUP(Table1[[#This Row],[subscription_type]],Plans!$A$1:$B$5,2,FALSE)</f>
        <v>4.99</v>
      </c>
      <c r="N580">
        <f t="shared" si="9"/>
        <v>4.99</v>
      </c>
    </row>
    <row r="581" spans="1:14" x14ac:dyDescent="0.35">
      <c r="A581">
        <v>580</v>
      </c>
      <c r="B581" t="s">
        <v>20</v>
      </c>
      <c r="C581">
        <v>18</v>
      </c>
      <c r="D581" t="s">
        <v>29</v>
      </c>
      <c r="E581" t="s">
        <v>14</v>
      </c>
      <c r="F581">
        <v>78</v>
      </c>
      <c r="G581">
        <v>92</v>
      </c>
      <c r="H581">
        <v>0.26</v>
      </c>
      <c r="I581" t="s">
        <v>19</v>
      </c>
      <c r="J581">
        <v>32</v>
      </c>
      <c r="K581">
        <v>0</v>
      </c>
      <c r="L581">
        <v>0</v>
      </c>
      <c r="M581">
        <f>VLOOKUP(Table1[[#This Row],[subscription_type]],Plans!$A$1:$B$5,2,FALSE)</f>
        <v>0</v>
      </c>
      <c r="N581">
        <f t="shared" si="9"/>
        <v>0</v>
      </c>
    </row>
    <row r="582" spans="1:14" x14ac:dyDescent="0.35">
      <c r="A582">
        <v>581</v>
      </c>
      <c r="B582" t="s">
        <v>12</v>
      </c>
      <c r="C582">
        <v>58</v>
      </c>
      <c r="D582" t="s">
        <v>28</v>
      </c>
      <c r="E582" t="s">
        <v>22</v>
      </c>
      <c r="F582">
        <v>274</v>
      </c>
      <c r="G582">
        <v>60</v>
      </c>
      <c r="H582">
        <v>0.45</v>
      </c>
      <c r="I582" t="s">
        <v>19</v>
      </c>
      <c r="J582">
        <v>0</v>
      </c>
      <c r="K582">
        <v>1</v>
      </c>
      <c r="L582">
        <v>0</v>
      </c>
      <c r="M582">
        <f>VLOOKUP(Table1[[#This Row],[subscription_type]],Plans!$A$1:$B$5,2,FALSE)</f>
        <v>9.99</v>
      </c>
      <c r="N582">
        <f t="shared" si="9"/>
        <v>0</v>
      </c>
    </row>
    <row r="583" spans="1:14" x14ac:dyDescent="0.35">
      <c r="A583">
        <v>582</v>
      </c>
      <c r="B583" t="s">
        <v>12</v>
      </c>
      <c r="C583">
        <v>46</v>
      </c>
      <c r="D583" t="s">
        <v>17</v>
      </c>
      <c r="E583" t="s">
        <v>22</v>
      </c>
      <c r="F583">
        <v>28</v>
      </c>
      <c r="G583">
        <v>53</v>
      </c>
      <c r="H583">
        <v>0.02</v>
      </c>
      <c r="I583" t="s">
        <v>15</v>
      </c>
      <c r="J583">
        <v>0</v>
      </c>
      <c r="K583">
        <v>1</v>
      </c>
      <c r="L583">
        <v>0</v>
      </c>
      <c r="M583">
        <f>VLOOKUP(Table1[[#This Row],[subscription_type]],Plans!$A$1:$B$5,2,FALSE)</f>
        <v>9.99</v>
      </c>
      <c r="N583">
        <f t="shared" si="9"/>
        <v>0</v>
      </c>
    </row>
    <row r="584" spans="1:14" x14ac:dyDescent="0.35">
      <c r="A584">
        <v>583</v>
      </c>
      <c r="B584" t="s">
        <v>12</v>
      </c>
      <c r="C584">
        <v>21</v>
      </c>
      <c r="D584" t="s">
        <v>21</v>
      </c>
      <c r="E584" t="s">
        <v>22</v>
      </c>
      <c r="F584">
        <v>211</v>
      </c>
      <c r="G584">
        <v>86</v>
      </c>
      <c r="H584">
        <v>0.09</v>
      </c>
      <c r="I584" t="s">
        <v>15</v>
      </c>
      <c r="J584">
        <v>0</v>
      </c>
      <c r="K584">
        <v>1</v>
      </c>
      <c r="L584">
        <v>0</v>
      </c>
      <c r="M584">
        <f>VLOOKUP(Table1[[#This Row],[subscription_type]],Plans!$A$1:$B$5,2,FALSE)</f>
        <v>9.99</v>
      </c>
      <c r="N584">
        <f t="shared" si="9"/>
        <v>0</v>
      </c>
    </row>
    <row r="585" spans="1:14" x14ac:dyDescent="0.35">
      <c r="A585">
        <v>584</v>
      </c>
      <c r="B585" t="s">
        <v>12</v>
      </c>
      <c r="C585">
        <v>33</v>
      </c>
      <c r="D585" t="s">
        <v>13</v>
      </c>
      <c r="E585" t="s">
        <v>24</v>
      </c>
      <c r="F585">
        <v>121</v>
      </c>
      <c r="G585">
        <v>41</v>
      </c>
      <c r="H585">
        <v>0.08</v>
      </c>
      <c r="I585" t="s">
        <v>15</v>
      </c>
      <c r="J585">
        <v>0</v>
      </c>
      <c r="K585">
        <v>1</v>
      </c>
      <c r="L585">
        <v>0</v>
      </c>
      <c r="M585">
        <f>VLOOKUP(Table1[[#This Row],[subscription_type]],Plans!$A$1:$B$5,2,FALSE)</f>
        <v>4.99</v>
      </c>
      <c r="N585">
        <f t="shared" si="9"/>
        <v>0</v>
      </c>
    </row>
    <row r="586" spans="1:14" x14ac:dyDescent="0.35">
      <c r="A586">
        <v>585</v>
      </c>
      <c r="B586" t="s">
        <v>16</v>
      </c>
      <c r="C586">
        <v>39</v>
      </c>
      <c r="D586" t="s">
        <v>26</v>
      </c>
      <c r="E586" t="s">
        <v>24</v>
      </c>
      <c r="F586">
        <v>32</v>
      </c>
      <c r="G586">
        <v>34</v>
      </c>
      <c r="H586">
        <v>0.48</v>
      </c>
      <c r="I586" t="s">
        <v>19</v>
      </c>
      <c r="J586">
        <v>0</v>
      </c>
      <c r="K586">
        <v>1</v>
      </c>
      <c r="L586">
        <v>0</v>
      </c>
      <c r="M586">
        <f>VLOOKUP(Table1[[#This Row],[subscription_type]],Plans!$A$1:$B$5,2,FALSE)</f>
        <v>4.99</v>
      </c>
      <c r="N586">
        <f t="shared" si="9"/>
        <v>0</v>
      </c>
    </row>
    <row r="587" spans="1:14" x14ac:dyDescent="0.35">
      <c r="A587">
        <v>586</v>
      </c>
      <c r="B587" t="s">
        <v>12</v>
      </c>
      <c r="C587">
        <v>27</v>
      </c>
      <c r="D587" t="s">
        <v>29</v>
      </c>
      <c r="E587" t="s">
        <v>24</v>
      </c>
      <c r="F587">
        <v>246</v>
      </c>
      <c r="G587">
        <v>65</v>
      </c>
      <c r="H587">
        <v>0.6</v>
      </c>
      <c r="I587" t="s">
        <v>19</v>
      </c>
      <c r="J587">
        <v>0</v>
      </c>
      <c r="K587">
        <v>1</v>
      </c>
      <c r="L587">
        <v>1</v>
      </c>
      <c r="M587">
        <f>VLOOKUP(Table1[[#This Row],[subscription_type]],Plans!$A$1:$B$5,2,FALSE)</f>
        <v>4.99</v>
      </c>
      <c r="N587">
        <f t="shared" si="9"/>
        <v>4.99</v>
      </c>
    </row>
    <row r="588" spans="1:14" x14ac:dyDescent="0.35">
      <c r="A588">
        <v>587</v>
      </c>
      <c r="B588" t="s">
        <v>16</v>
      </c>
      <c r="C588">
        <v>26</v>
      </c>
      <c r="D588" t="s">
        <v>29</v>
      </c>
      <c r="E588" t="s">
        <v>24</v>
      </c>
      <c r="F588">
        <v>15</v>
      </c>
      <c r="G588">
        <v>15</v>
      </c>
      <c r="H588">
        <v>0.46</v>
      </c>
      <c r="I588" t="s">
        <v>23</v>
      </c>
      <c r="J588">
        <v>0</v>
      </c>
      <c r="K588">
        <v>1</v>
      </c>
      <c r="L588">
        <v>0</v>
      </c>
      <c r="M588">
        <f>VLOOKUP(Table1[[#This Row],[subscription_type]],Plans!$A$1:$B$5,2,FALSE)</f>
        <v>4.99</v>
      </c>
      <c r="N588">
        <f t="shared" si="9"/>
        <v>0</v>
      </c>
    </row>
    <row r="589" spans="1:14" x14ac:dyDescent="0.35">
      <c r="A589">
        <v>588</v>
      </c>
      <c r="B589" t="s">
        <v>12</v>
      </c>
      <c r="C589">
        <v>23</v>
      </c>
      <c r="D589" t="s">
        <v>25</v>
      </c>
      <c r="E589" t="s">
        <v>18</v>
      </c>
      <c r="F589">
        <v>55</v>
      </c>
      <c r="G589">
        <v>10</v>
      </c>
      <c r="H589">
        <v>0.19</v>
      </c>
      <c r="I589" t="s">
        <v>23</v>
      </c>
      <c r="J589">
        <v>0</v>
      </c>
      <c r="K589">
        <v>1</v>
      </c>
      <c r="L589">
        <v>0</v>
      </c>
      <c r="M589">
        <f>VLOOKUP(Table1[[#This Row],[subscription_type]],Plans!$A$1:$B$5,2,FALSE)</f>
        <v>14.99</v>
      </c>
      <c r="N589">
        <f t="shared" si="9"/>
        <v>0</v>
      </c>
    </row>
    <row r="590" spans="1:14" x14ac:dyDescent="0.35">
      <c r="A590">
        <v>589</v>
      </c>
      <c r="B590" t="s">
        <v>12</v>
      </c>
      <c r="C590">
        <v>58</v>
      </c>
      <c r="D590" t="s">
        <v>21</v>
      </c>
      <c r="E590" t="s">
        <v>22</v>
      </c>
      <c r="F590">
        <v>40</v>
      </c>
      <c r="G590">
        <v>72</v>
      </c>
      <c r="H590">
        <v>0.42</v>
      </c>
      <c r="I590" t="s">
        <v>19</v>
      </c>
      <c r="J590">
        <v>0</v>
      </c>
      <c r="K590">
        <v>1</v>
      </c>
      <c r="L590">
        <v>0</v>
      </c>
      <c r="M590">
        <f>VLOOKUP(Table1[[#This Row],[subscription_type]],Plans!$A$1:$B$5,2,FALSE)</f>
        <v>9.99</v>
      </c>
      <c r="N590">
        <f t="shared" si="9"/>
        <v>0</v>
      </c>
    </row>
    <row r="591" spans="1:14" x14ac:dyDescent="0.35">
      <c r="A591">
        <v>590</v>
      </c>
      <c r="B591" t="s">
        <v>12</v>
      </c>
      <c r="C591">
        <v>51</v>
      </c>
      <c r="D591" t="s">
        <v>27</v>
      </c>
      <c r="E591" t="s">
        <v>14</v>
      </c>
      <c r="F591">
        <v>143</v>
      </c>
      <c r="G591">
        <v>35</v>
      </c>
      <c r="H591">
        <v>0.08</v>
      </c>
      <c r="I591" t="s">
        <v>23</v>
      </c>
      <c r="J591">
        <v>23</v>
      </c>
      <c r="K591">
        <v>0</v>
      </c>
      <c r="L591">
        <v>0</v>
      </c>
      <c r="M591">
        <f>VLOOKUP(Table1[[#This Row],[subscription_type]],Plans!$A$1:$B$5,2,FALSE)</f>
        <v>0</v>
      </c>
      <c r="N591">
        <f t="shared" si="9"/>
        <v>0</v>
      </c>
    </row>
    <row r="592" spans="1:14" x14ac:dyDescent="0.35">
      <c r="A592">
        <v>591</v>
      </c>
      <c r="B592" t="s">
        <v>16</v>
      </c>
      <c r="C592">
        <v>22</v>
      </c>
      <c r="D592" t="s">
        <v>21</v>
      </c>
      <c r="E592" t="s">
        <v>22</v>
      </c>
      <c r="F592">
        <v>263</v>
      </c>
      <c r="G592">
        <v>74</v>
      </c>
      <c r="H592">
        <v>0.18</v>
      </c>
      <c r="I592" t="s">
        <v>23</v>
      </c>
      <c r="J592">
        <v>0</v>
      </c>
      <c r="K592">
        <v>1</v>
      </c>
      <c r="L592">
        <v>0</v>
      </c>
      <c r="M592">
        <f>VLOOKUP(Table1[[#This Row],[subscription_type]],Plans!$A$1:$B$5,2,FALSE)</f>
        <v>9.99</v>
      </c>
      <c r="N592">
        <f t="shared" si="9"/>
        <v>0</v>
      </c>
    </row>
    <row r="593" spans="1:14" x14ac:dyDescent="0.35">
      <c r="A593">
        <v>592</v>
      </c>
      <c r="B593" t="s">
        <v>20</v>
      </c>
      <c r="C593">
        <v>58</v>
      </c>
      <c r="D593" t="s">
        <v>26</v>
      </c>
      <c r="E593" t="s">
        <v>22</v>
      </c>
      <c r="F593">
        <v>178</v>
      </c>
      <c r="G593">
        <v>98</v>
      </c>
      <c r="H593">
        <v>0.43</v>
      </c>
      <c r="I593" t="s">
        <v>15</v>
      </c>
      <c r="J593">
        <v>0</v>
      </c>
      <c r="K593">
        <v>1</v>
      </c>
      <c r="L593">
        <v>0</v>
      </c>
      <c r="M593">
        <f>VLOOKUP(Table1[[#This Row],[subscription_type]],Plans!$A$1:$B$5,2,FALSE)</f>
        <v>9.99</v>
      </c>
      <c r="N593">
        <f t="shared" si="9"/>
        <v>0</v>
      </c>
    </row>
    <row r="594" spans="1:14" x14ac:dyDescent="0.35">
      <c r="A594">
        <v>593</v>
      </c>
      <c r="B594" t="s">
        <v>20</v>
      </c>
      <c r="C594">
        <v>37</v>
      </c>
      <c r="D594" t="s">
        <v>21</v>
      </c>
      <c r="E594" t="s">
        <v>22</v>
      </c>
      <c r="F594">
        <v>30</v>
      </c>
      <c r="G594">
        <v>38</v>
      </c>
      <c r="H594">
        <v>0.16</v>
      </c>
      <c r="I594" t="s">
        <v>23</v>
      </c>
      <c r="J594">
        <v>0</v>
      </c>
      <c r="K594">
        <v>1</v>
      </c>
      <c r="L594">
        <v>0</v>
      </c>
      <c r="M594">
        <f>VLOOKUP(Table1[[#This Row],[subscription_type]],Plans!$A$1:$B$5,2,FALSE)</f>
        <v>9.99</v>
      </c>
      <c r="N594">
        <f t="shared" si="9"/>
        <v>0</v>
      </c>
    </row>
    <row r="595" spans="1:14" x14ac:dyDescent="0.35">
      <c r="A595">
        <v>594</v>
      </c>
      <c r="B595" t="s">
        <v>20</v>
      </c>
      <c r="C595">
        <v>34</v>
      </c>
      <c r="D595" t="s">
        <v>27</v>
      </c>
      <c r="E595" t="s">
        <v>22</v>
      </c>
      <c r="F595">
        <v>278</v>
      </c>
      <c r="G595">
        <v>29</v>
      </c>
      <c r="H595">
        <v>0.42</v>
      </c>
      <c r="I595" t="s">
        <v>19</v>
      </c>
      <c r="J595">
        <v>0</v>
      </c>
      <c r="K595">
        <v>1</v>
      </c>
      <c r="L595">
        <v>0</v>
      </c>
      <c r="M595">
        <f>VLOOKUP(Table1[[#This Row],[subscription_type]],Plans!$A$1:$B$5,2,FALSE)</f>
        <v>9.99</v>
      </c>
      <c r="N595">
        <f t="shared" si="9"/>
        <v>0</v>
      </c>
    </row>
    <row r="596" spans="1:14" x14ac:dyDescent="0.35">
      <c r="A596">
        <v>595</v>
      </c>
      <c r="B596" t="s">
        <v>16</v>
      </c>
      <c r="C596">
        <v>23</v>
      </c>
      <c r="D596" t="s">
        <v>25</v>
      </c>
      <c r="E596" t="s">
        <v>22</v>
      </c>
      <c r="F596">
        <v>230</v>
      </c>
      <c r="G596">
        <v>75</v>
      </c>
      <c r="H596">
        <v>0.28999999999999998</v>
      </c>
      <c r="I596" t="s">
        <v>23</v>
      </c>
      <c r="J596">
        <v>0</v>
      </c>
      <c r="K596">
        <v>1</v>
      </c>
      <c r="L596">
        <v>1</v>
      </c>
      <c r="M596">
        <f>VLOOKUP(Table1[[#This Row],[subscription_type]],Plans!$A$1:$B$5,2,FALSE)</f>
        <v>9.99</v>
      </c>
      <c r="N596">
        <f t="shared" si="9"/>
        <v>9.99</v>
      </c>
    </row>
    <row r="597" spans="1:14" x14ac:dyDescent="0.35">
      <c r="A597">
        <v>596</v>
      </c>
      <c r="B597" t="s">
        <v>12</v>
      </c>
      <c r="C597">
        <v>32</v>
      </c>
      <c r="D597" t="s">
        <v>28</v>
      </c>
      <c r="E597" t="s">
        <v>24</v>
      </c>
      <c r="F597">
        <v>215</v>
      </c>
      <c r="G597">
        <v>39</v>
      </c>
      <c r="H597">
        <v>0.4</v>
      </c>
      <c r="I597" t="s">
        <v>15</v>
      </c>
      <c r="J597">
        <v>0</v>
      </c>
      <c r="K597">
        <v>1</v>
      </c>
      <c r="L597">
        <v>0</v>
      </c>
      <c r="M597">
        <f>VLOOKUP(Table1[[#This Row],[subscription_type]],Plans!$A$1:$B$5,2,FALSE)</f>
        <v>4.99</v>
      </c>
      <c r="N597">
        <f t="shared" si="9"/>
        <v>0</v>
      </c>
    </row>
    <row r="598" spans="1:14" x14ac:dyDescent="0.35">
      <c r="A598">
        <v>597</v>
      </c>
      <c r="B598" t="s">
        <v>20</v>
      </c>
      <c r="C598">
        <v>41</v>
      </c>
      <c r="D598" t="s">
        <v>26</v>
      </c>
      <c r="E598" t="s">
        <v>14</v>
      </c>
      <c r="F598">
        <v>196</v>
      </c>
      <c r="G598">
        <v>51</v>
      </c>
      <c r="H598">
        <v>0.35</v>
      </c>
      <c r="I598" t="s">
        <v>19</v>
      </c>
      <c r="J598">
        <v>14</v>
      </c>
      <c r="K598">
        <v>0</v>
      </c>
      <c r="L598">
        <v>0</v>
      </c>
      <c r="M598">
        <f>VLOOKUP(Table1[[#This Row],[subscription_type]],Plans!$A$1:$B$5,2,FALSE)</f>
        <v>0</v>
      </c>
      <c r="N598">
        <f t="shared" si="9"/>
        <v>0</v>
      </c>
    </row>
    <row r="599" spans="1:14" x14ac:dyDescent="0.35">
      <c r="A599">
        <v>598</v>
      </c>
      <c r="B599" t="s">
        <v>12</v>
      </c>
      <c r="C599">
        <v>28</v>
      </c>
      <c r="D599" t="s">
        <v>26</v>
      </c>
      <c r="E599" t="s">
        <v>14</v>
      </c>
      <c r="F599">
        <v>125</v>
      </c>
      <c r="G599">
        <v>94</v>
      </c>
      <c r="H599">
        <v>0.33</v>
      </c>
      <c r="I599" t="s">
        <v>23</v>
      </c>
      <c r="J599">
        <v>28</v>
      </c>
      <c r="K599">
        <v>0</v>
      </c>
      <c r="L599">
        <v>0</v>
      </c>
      <c r="M599">
        <f>VLOOKUP(Table1[[#This Row],[subscription_type]],Plans!$A$1:$B$5,2,FALSE)</f>
        <v>0</v>
      </c>
      <c r="N599">
        <f t="shared" si="9"/>
        <v>0</v>
      </c>
    </row>
    <row r="600" spans="1:14" x14ac:dyDescent="0.35">
      <c r="A600">
        <v>599</v>
      </c>
      <c r="B600" t="s">
        <v>20</v>
      </c>
      <c r="C600">
        <v>19</v>
      </c>
      <c r="D600" t="s">
        <v>17</v>
      </c>
      <c r="E600" t="s">
        <v>22</v>
      </c>
      <c r="F600">
        <v>222</v>
      </c>
      <c r="G600">
        <v>80</v>
      </c>
      <c r="H600">
        <v>0.46</v>
      </c>
      <c r="I600" t="s">
        <v>23</v>
      </c>
      <c r="J600">
        <v>0</v>
      </c>
      <c r="K600">
        <v>1</v>
      </c>
      <c r="L600">
        <v>0</v>
      </c>
      <c r="M600">
        <f>VLOOKUP(Table1[[#This Row],[subscription_type]],Plans!$A$1:$B$5,2,FALSE)</f>
        <v>9.99</v>
      </c>
      <c r="N600">
        <f t="shared" si="9"/>
        <v>0</v>
      </c>
    </row>
    <row r="601" spans="1:14" x14ac:dyDescent="0.35">
      <c r="A601">
        <v>600</v>
      </c>
      <c r="B601" t="s">
        <v>16</v>
      </c>
      <c r="C601">
        <v>35</v>
      </c>
      <c r="D601" t="s">
        <v>28</v>
      </c>
      <c r="E601" t="s">
        <v>22</v>
      </c>
      <c r="F601">
        <v>233</v>
      </c>
      <c r="G601">
        <v>41</v>
      </c>
      <c r="H601">
        <v>0.14000000000000001</v>
      </c>
      <c r="I601" t="s">
        <v>23</v>
      </c>
      <c r="J601">
        <v>0</v>
      </c>
      <c r="K601">
        <v>1</v>
      </c>
      <c r="L601">
        <v>0</v>
      </c>
      <c r="M601">
        <f>VLOOKUP(Table1[[#This Row],[subscription_type]],Plans!$A$1:$B$5,2,FALSE)</f>
        <v>9.99</v>
      </c>
      <c r="N601">
        <f t="shared" si="9"/>
        <v>0</v>
      </c>
    </row>
    <row r="602" spans="1:14" x14ac:dyDescent="0.35">
      <c r="A602">
        <v>601</v>
      </c>
      <c r="B602" t="s">
        <v>20</v>
      </c>
      <c r="C602">
        <v>25</v>
      </c>
      <c r="D602" t="s">
        <v>27</v>
      </c>
      <c r="E602" t="s">
        <v>18</v>
      </c>
      <c r="F602">
        <v>177</v>
      </c>
      <c r="G602">
        <v>24</v>
      </c>
      <c r="H602">
        <v>0.01</v>
      </c>
      <c r="I602" t="s">
        <v>19</v>
      </c>
      <c r="J602">
        <v>0</v>
      </c>
      <c r="K602">
        <v>1</v>
      </c>
      <c r="L602">
        <v>0</v>
      </c>
      <c r="M602">
        <f>VLOOKUP(Table1[[#This Row],[subscription_type]],Plans!$A$1:$B$5,2,FALSE)</f>
        <v>14.99</v>
      </c>
      <c r="N602">
        <f t="shared" si="9"/>
        <v>0</v>
      </c>
    </row>
    <row r="603" spans="1:14" x14ac:dyDescent="0.35">
      <c r="A603">
        <v>602</v>
      </c>
      <c r="B603" t="s">
        <v>16</v>
      </c>
      <c r="C603">
        <v>44</v>
      </c>
      <c r="D603" t="s">
        <v>21</v>
      </c>
      <c r="E603" t="s">
        <v>24</v>
      </c>
      <c r="F603">
        <v>99</v>
      </c>
      <c r="G603">
        <v>9</v>
      </c>
      <c r="H603">
        <v>0.53</v>
      </c>
      <c r="I603" t="s">
        <v>19</v>
      </c>
      <c r="J603">
        <v>0</v>
      </c>
      <c r="K603">
        <v>1</v>
      </c>
      <c r="L603">
        <v>0</v>
      </c>
      <c r="M603">
        <f>VLOOKUP(Table1[[#This Row],[subscription_type]],Plans!$A$1:$B$5,2,FALSE)</f>
        <v>4.99</v>
      </c>
      <c r="N603">
        <f t="shared" si="9"/>
        <v>0</v>
      </c>
    </row>
    <row r="604" spans="1:14" x14ac:dyDescent="0.35">
      <c r="A604">
        <v>603</v>
      </c>
      <c r="B604" t="s">
        <v>12</v>
      </c>
      <c r="C604">
        <v>58</v>
      </c>
      <c r="D604" t="s">
        <v>17</v>
      </c>
      <c r="E604" t="s">
        <v>24</v>
      </c>
      <c r="F604">
        <v>34</v>
      </c>
      <c r="G604">
        <v>58</v>
      </c>
      <c r="H604">
        <v>0.16</v>
      </c>
      <c r="I604" t="s">
        <v>23</v>
      </c>
      <c r="J604">
        <v>0</v>
      </c>
      <c r="K604">
        <v>1</v>
      </c>
      <c r="L604">
        <v>0</v>
      </c>
      <c r="M604">
        <f>VLOOKUP(Table1[[#This Row],[subscription_type]],Plans!$A$1:$B$5,2,FALSE)</f>
        <v>4.99</v>
      </c>
      <c r="N604">
        <f t="shared" si="9"/>
        <v>0</v>
      </c>
    </row>
    <row r="605" spans="1:14" x14ac:dyDescent="0.35">
      <c r="A605">
        <v>604</v>
      </c>
      <c r="B605" t="s">
        <v>20</v>
      </c>
      <c r="C605">
        <v>37</v>
      </c>
      <c r="D605" t="s">
        <v>26</v>
      </c>
      <c r="E605" t="s">
        <v>14</v>
      </c>
      <c r="F605">
        <v>138</v>
      </c>
      <c r="G605">
        <v>87</v>
      </c>
      <c r="H605">
        <v>0.28999999999999998</v>
      </c>
      <c r="I605" t="s">
        <v>23</v>
      </c>
      <c r="J605">
        <v>31</v>
      </c>
      <c r="K605">
        <v>0</v>
      </c>
      <c r="L605">
        <v>1</v>
      </c>
      <c r="M605">
        <f>VLOOKUP(Table1[[#This Row],[subscription_type]],Plans!$A$1:$B$5,2,FALSE)</f>
        <v>0</v>
      </c>
      <c r="N605">
        <f t="shared" si="9"/>
        <v>0</v>
      </c>
    </row>
    <row r="606" spans="1:14" x14ac:dyDescent="0.35">
      <c r="A606">
        <v>605</v>
      </c>
      <c r="B606" t="s">
        <v>12</v>
      </c>
      <c r="C606">
        <v>21</v>
      </c>
      <c r="D606" t="s">
        <v>13</v>
      </c>
      <c r="E606" t="s">
        <v>24</v>
      </c>
      <c r="F606">
        <v>254</v>
      </c>
      <c r="G606">
        <v>22</v>
      </c>
      <c r="H606">
        <v>0.22</v>
      </c>
      <c r="I606" t="s">
        <v>15</v>
      </c>
      <c r="J606">
        <v>0</v>
      </c>
      <c r="K606">
        <v>1</v>
      </c>
      <c r="L606">
        <v>1</v>
      </c>
      <c r="M606">
        <f>VLOOKUP(Table1[[#This Row],[subscription_type]],Plans!$A$1:$B$5,2,FALSE)</f>
        <v>4.99</v>
      </c>
      <c r="N606">
        <f t="shared" si="9"/>
        <v>4.99</v>
      </c>
    </row>
    <row r="607" spans="1:14" x14ac:dyDescent="0.35">
      <c r="A607">
        <v>606</v>
      </c>
      <c r="B607" t="s">
        <v>12</v>
      </c>
      <c r="C607">
        <v>28</v>
      </c>
      <c r="D607" t="s">
        <v>26</v>
      </c>
      <c r="E607" t="s">
        <v>18</v>
      </c>
      <c r="F607">
        <v>233</v>
      </c>
      <c r="G607">
        <v>63</v>
      </c>
      <c r="H607">
        <v>0.03</v>
      </c>
      <c r="I607" t="s">
        <v>15</v>
      </c>
      <c r="J607">
        <v>0</v>
      </c>
      <c r="K607">
        <v>1</v>
      </c>
      <c r="L607">
        <v>1</v>
      </c>
      <c r="M607">
        <f>VLOOKUP(Table1[[#This Row],[subscription_type]],Plans!$A$1:$B$5,2,FALSE)</f>
        <v>14.99</v>
      </c>
      <c r="N607">
        <f t="shared" si="9"/>
        <v>14.99</v>
      </c>
    </row>
    <row r="608" spans="1:14" x14ac:dyDescent="0.35">
      <c r="A608">
        <v>607</v>
      </c>
      <c r="B608" t="s">
        <v>12</v>
      </c>
      <c r="C608">
        <v>19</v>
      </c>
      <c r="D608" t="s">
        <v>17</v>
      </c>
      <c r="E608" t="s">
        <v>24</v>
      </c>
      <c r="F608">
        <v>219</v>
      </c>
      <c r="G608">
        <v>39</v>
      </c>
      <c r="H608">
        <v>0.28000000000000003</v>
      </c>
      <c r="I608" t="s">
        <v>19</v>
      </c>
      <c r="J608">
        <v>0</v>
      </c>
      <c r="K608">
        <v>1</v>
      </c>
      <c r="L608">
        <v>0</v>
      </c>
      <c r="M608">
        <f>VLOOKUP(Table1[[#This Row],[subscription_type]],Plans!$A$1:$B$5,2,FALSE)</f>
        <v>4.99</v>
      </c>
      <c r="N608">
        <f t="shared" si="9"/>
        <v>0</v>
      </c>
    </row>
    <row r="609" spans="1:14" x14ac:dyDescent="0.35">
      <c r="A609">
        <v>608</v>
      </c>
      <c r="B609" t="s">
        <v>16</v>
      </c>
      <c r="C609">
        <v>21</v>
      </c>
      <c r="D609" t="s">
        <v>27</v>
      </c>
      <c r="E609" t="s">
        <v>18</v>
      </c>
      <c r="F609">
        <v>91</v>
      </c>
      <c r="G609">
        <v>20</v>
      </c>
      <c r="H609">
        <v>0.56000000000000005</v>
      </c>
      <c r="I609" t="s">
        <v>19</v>
      </c>
      <c r="J609">
        <v>0</v>
      </c>
      <c r="K609">
        <v>1</v>
      </c>
      <c r="L609">
        <v>0</v>
      </c>
      <c r="M609">
        <f>VLOOKUP(Table1[[#This Row],[subscription_type]],Plans!$A$1:$B$5,2,FALSE)</f>
        <v>14.99</v>
      </c>
      <c r="N609">
        <f t="shared" si="9"/>
        <v>0</v>
      </c>
    </row>
    <row r="610" spans="1:14" x14ac:dyDescent="0.35">
      <c r="A610">
        <v>609</v>
      </c>
      <c r="B610" t="s">
        <v>12</v>
      </c>
      <c r="C610">
        <v>41</v>
      </c>
      <c r="D610" t="s">
        <v>17</v>
      </c>
      <c r="E610" t="s">
        <v>22</v>
      </c>
      <c r="F610">
        <v>31</v>
      </c>
      <c r="G610">
        <v>21</v>
      </c>
      <c r="H610">
        <v>0.09</v>
      </c>
      <c r="I610" t="s">
        <v>19</v>
      </c>
      <c r="J610">
        <v>0</v>
      </c>
      <c r="K610">
        <v>1</v>
      </c>
      <c r="L610">
        <v>0</v>
      </c>
      <c r="M610">
        <f>VLOOKUP(Table1[[#This Row],[subscription_type]],Plans!$A$1:$B$5,2,FALSE)</f>
        <v>9.99</v>
      </c>
      <c r="N610">
        <f t="shared" si="9"/>
        <v>0</v>
      </c>
    </row>
    <row r="611" spans="1:14" x14ac:dyDescent="0.35">
      <c r="A611">
        <v>610</v>
      </c>
      <c r="B611" t="s">
        <v>12</v>
      </c>
      <c r="C611">
        <v>31</v>
      </c>
      <c r="D611" t="s">
        <v>26</v>
      </c>
      <c r="E611" t="s">
        <v>14</v>
      </c>
      <c r="F611">
        <v>205</v>
      </c>
      <c r="G611">
        <v>64</v>
      </c>
      <c r="H611">
        <v>0.24</v>
      </c>
      <c r="I611" t="s">
        <v>15</v>
      </c>
      <c r="J611">
        <v>42</v>
      </c>
      <c r="K611">
        <v>0</v>
      </c>
      <c r="L611">
        <v>0</v>
      </c>
      <c r="M611">
        <f>VLOOKUP(Table1[[#This Row],[subscription_type]],Plans!$A$1:$B$5,2,FALSE)</f>
        <v>0</v>
      </c>
      <c r="N611">
        <f t="shared" si="9"/>
        <v>0</v>
      </c>
    </row>
    <row r="612" spans="1:14" x14ac:dyDescent="0.35">
      <c r="A612">
        <v>611</v>
      </c>
      <c r="B612" t="s">
        <v>12</v>
      </c>
      <c r="C612">
        <v>40</v>
      </c>
      <c r="D612" t="s">
        <v>28</v>
      </c>
      <c r="E612" t="s">
        <v>22</v>
      </c>
      <c r="F612">
        <v>21</v>
      </c>
      <c r="G612">
        <v>91</v>
      </c>
      <c r="H612">
        <v>0.14000000000000001</v>
      </c>
      <c r="I612" t="s">
        <v>15</v>
      </c>
      <c r="J612">
        <v>0</v>
      </c>
      <c r="K612">
        <v>1</v>
      </c>
      <c r="L612">
        <v>0</v>
      </c>
      <c r="M612">
        <f>VLOOKUP(Table1[[#This Row],[subscription_type]],Plans!$A$1:$B$5,2,FALSE)</f>
        <v>9.99</v>
      </c>
      <c r="N612">
        <f t="shared" si="9"/>
        <v>0</v>
      </c>
    </row>
    <row r="613" spans="1:14" x14ac:dyDescent="0.35">
      <c r="A613">
        <v>612</v>
      </c>
      <c r="B613" t="s">
        <v>20</v>
      </c>
      <c r="C613">
        <v>57</v>
      </c>
      <c r="D613" t="s">
        <v>13</v>
      </c>
      <c r="E613" t="s">
        <v>14</v>
      </c>
      <c r="F613">
        <v>11</v>
      </c>
      <c r="G613">
        <v>52</v>
      </c>
      <c r="H613">
        <v>0.49</v>
      </c>
      <c r="I613" t="s">
        <v>23</v>
      </c>
      <c r="J613">
        <v>37</v>
      </c>
      <c r="K613">
        <v>0</v>
      </c>
      <c r="L613">
        <v>1</v>
      </c>
      <c r="M613">
        <f>VLOOKUP(Table1[[#This Row],[subscription_type]],Plans!$A$1:$B$5,2,FALSE)</f>
        <v>0</v>
      </c>
      <c r="N613">
        <f t="shared" si="9"/>
        <v>0</v>
      </c>
    </row>
    <row r="614" spans="1:14" x14ac:dyDescent="0.35">
      <c r="A614">
        <v>613</v>
      </c>
      <c r="B614" t="s">
        <v>12</v>
      </c>
      <c r="C614">
        <v>22</v>
      </c>
      <c r="D614" t="s">
        <v>28</v>
      </c>
      <c r="E614" t="s">
        <v>22</v>
      </c>
      <c r="F614">
        <v>222</v>
      </c>
      <c r="G614">
        <v>93</v>
      </c>
      <c r="H614">
        <v>0.33</v>
      </c>
      <c r="I614" t="s">
        <v>23</v>
      </c>
      <c r="J614">
        <v>0</v>
      </c>
      <c r="K614">
        <v>1</v>
      </c>
      <c r="L614">
        <v>0</v>
      </c>
      <c r="M614">
        <f>VLOOKUP(Table1[[#This Row],[subscription_type]],Plans!$A$1:$B$5,2,FALSE)</f>
        <v>9.99</v>
      </c>
      <c r="N614">
        <f t="shared" si="9"/>
        <v>0</v>
      </c>
    </row>
    <row r="615" spans="1:14" x14ac:dyDescent="0.35">
      <c r="A615">
        <v>614</v>
      </c>
      <c r="B615" t="s">
        <v>12</v>
      </c>
      <c r="C615">
        <v>54</v>
      </c>
      <c r="D615" t="s">
        <v>27</v>
      </c>
      <c r="E615" t="s">
        <v>18</v>
      </c>
      <c r="F615">
        <v>123</v>
      </c>
      <c r="G615">
        <v>27</v>
      </c>
      <c r="H615">
        <v>0.26</v>
      </c>
      <c r="I615" t="s">
        <v>23</v>
      </c>
      <c r="J615">
        <v>0</v>
      </c>
      <c r="K615">
        <v>1</v>
      </c>
      <c r="L615">
        <v>0</v>
      </c>
      <c r="M615">
        <f>VLOOKUP(Table1[[#This Row],[subscription_type]],Plans!$A$1:$B$5,2,FALSE)</f>
        <v>14.99</v>
      </c>
      <c r="N615">
        <f t="shared" si="9"/>
        <v>0</v>
      </c>
    </row>
    <row r="616" spans="1:14" x14ac:dyDescent="0.35">
      <c r="A616">
        <v>615</v>
      </c>
      <c r="B616" t="s">
        <v>12</v>
      </c>
      <c r="C616">
        <v>42</v>
      </c>
      <c r="D616" t="s">
        <v>26</v>
      </c>
      <c r="E616" t="s">
        <v>24</v>
      </c>
      <c r="F616">
        <v>287</v>
      </c>
      <c r="G616">
        <v>96</v>
      </c>
      <c r="H616">
        <v>0.08</v>
      </c>
      <c r="I616" t="s">
        <v>23</v>
      </c>
      <c r="J616">
        <v>0</v>
      </c>
      <c r="K616">
        <v>1</v>
      </c>
      <c r="L616">
        <v>1</v>
      </c>
      <c r="M616">
        <f>VLOOKUP(Table1[[#This Row],[subscription_type]],Plans!$A$1:$B$5,2,FALSE)</f>
        <v>4.99</v>
      </c>
      <c r="N616">
        <f t="shared" si="9"/>
        <v>4.99</v>
      </c>
    </row>
    <row r="617" spans="1:14" x14ac:dyDescent="0.35">
      <c r="A617">
        <v>616</v>
      </c>
      <c r="B617" t="s">
        <v>12</v>
      </c>
      <c r="C617">
        <v>37</v>
      </c>
      <c r="D617" t="s">
        <v>13</v>
      </c>
      <c r="E617" t="s">
        <v>18</v>
      </c>
      <c r="F617">
        <v>197</v>
      </c>
      <c r="G617">
        <v>19</v>
      </c>
      <c r="H617">
        <v>0.22</v>
      </c>
      <c r="I617" t="s">
        <v>23</v>
      </c>
      <c r="J617">
        <v>0</v>
      </c>
      <c r="K617">
        <v>1</v>
      </c>
      <c r="L617">
        <v>0</v>
      </c>
      <c r="M617">
        <f>VLOOKUP(Table1[[#This Row],[subscription_type]],Plans!$A$1:$B$5,2,FALSE)</f>
        <v>14.99</v>
      </c>
      <c r="N617">
        <f t="shared" si="9"/>
        <v>0</v>
      </c>
    </row>
    <row r="618" spans="1:14" x14ac:dyDescent="0.35">
      <c r="A618">
        <v>617</v>
      </c>
      <c r="B618" t="s">
        <v>16</v>
      </c>
      <c r="C618">
        <v>51</v>
      </c>
      <c r="D618" t="s">
        <v>26</v>
      </c>
      <c r="E618" t="s">
        <v>22</v>
      </c>
      <c r="F618">
        <v>267</v>
      </c>
      <c r="G618">
        <v>12</v>
      </c>
      <c r="H618">
        <v>0.48</v>
      </c>
      <c r="I618" t="s">
        <v>19</v>
      </c>
      <c r="J618">
        <v>0</v>
      </c>
      <c r="K618">
        <v>1</v>
      </c>
      <c r="L618">
        <v>1</v>
      </c>
      <c r="M618">
        <f>VLOOKUP(Table1[[#This Row],[subscription_type]],Plans!$A$1:$B$5,2,FALSE)</f>
        <v>9.99</v>
      </c>
      <c r="N618">
        <f t="shared" si="9"/>
        <v>9.99</v>
      </c>
    </row>
    <row r="619" spans="1:14" x14ac:dyDescent="0.35">
      <c r="A619">
        <v>618</v>
      </c>
      <c r="B619" t="s">
        <v>16</v>
      </c>
      <c r="C619">
        <v>26</v>
      </c>
      <c r="D619" t="s">
        <v>26</v>
      </c>
      <c r="E619" t="s">
        <v>24</v>
      </c>
      <c r="F619">
        <v>12</v>
      </c>
      <c r="G619">
        <v>62</v>
      </c>
      <c r="H619">
        <v>0.44</v>
      </c>
      <c r="I619" t="s">
        <v>23</v>
      </c>
      <c r="J619">
        <v>0</v>
      </c>
      <c r="K619">
        <v>1</v>
      </c>
      <c r="L619">
        <v>0</v>
      </c>
      <c r="M619">
        <f>VLOOKUP(Table1[[#This Row],[subscription_type]],Plans!$A$1:$B$5,2,FALSE)</f>
        <v>4.99</v>
      </c>
      <c r="N619">
        <f t="shared" si="9"/>
        <v>0</v>
      </c>
    </row>
    <row r="620" spans="1:14" x14ac:dyDescent="0.35">
      <c r="A620">
        <v>619</v>
      </c>
      <c r="B620" t="s">
        <v>20</v>
      </c>
      <c r="C620">
        <v>44</v>
      </c>
      <c r="D620" t="s">
        <v>21</v>
      </c>
      <c r="E620" t="s">
        <v>22</v>
      </c>
      <c r="F620">
        <v>243</v>
      </c>
      <c r="G620">
        <v>17</v>
      </c>
      <c r="H620">
        <v>0.42</v>
      </c>
      <c r="I620" t="s">
        <v>19</v>
      </c>
      <c r="J620">
        <v>0</v>
      </c>
      <c r="K620">
        <v>1</v>
      </c>
      <c r="L620">
        <v>0</v>
      </c>
      <c r="M620">
        <f>VLOOKUP(Table1[[#This Row],[subscription_type]],Plans!$A$1:$B$5,2,FALSE)</f>
        <v>9.99</v>
      </c>
      <c r="N620">
        <f t="shared" si="9"/>
        <v>0</v>
      </c>
    </row>
    <row r="621" spans="1:14" x14ac:dyDescent="0.35">
      <c r="A621">
        <v>620</v>
      </c>
      <c r="B621" t="s">
        <v>16</v>
      </c>
      <c r="C621">
        <v>53</v>
      </c>
      <c r="D621" t="s">
        <v>28</v>
      </c>
      <c r="E621" t="s">
        <v>22</v>
      </c>
      <c r="F621">
        <v>140</v>
      </c>
      <c r="G621">
        <v>28</v>
      </c>
      <c r="H621">
        <v>0.4</v>
      </c>
      <c r="I621" t="s">
        <v>23</v>
      </c>
      <c r="J621">
        <v>0</v>
      </c>
      <c r="K621">
        <v>1</v>
      </c>
      <c r="L621">
        <v>0</v>
      </c>
      <c r="M621">
        <f>VLOOKUP(Table1[[#This Row],[subscription_type]],Plans!$A$1:$B$5,2,FALSE)</f>
        <v>9.99</v>
      </c>
      <c r="N621">
        <f t="shared" si="9"/>
        <v>0</v>
      </c>
    </row>
    <row r="622" spans="1:14" x14ac:dyDescent="0.35">
      <c r="A622">
        <v>621</v>
      </c>
      <c r="B622" t="s">
        <v>16</v>
      </c>
      <c r="C622">
        <v>54</v>
      </c>
      <c r="D622" t="s">
        <v>17</v>
      </c>
      <c r="E622" t="s">
        <v>22</v>
      </c>
      <c r="F622">
        <v>111</v>
      </c>
      <c r="G622">
        <v>87</v>
      </c>
      <c r="H622">
        <v>0.36</v>
      </c>
      <c r="I622" t="s">
        <v>23</v>
      </c>
      <c r="J622">
        <v>0</v>
      </c>
      <c r="K622">
        <v>1</v>
      </c>
      <c r="L622">
        <v>0</v>
      </c>
      <c r="M622">
        <f>VLOOKUP(Table1[[#This Row],[subscription_type]],Plans!$A$1:$B$5,2,FALSE)</f>
        <v>9.99</v>
      </c>
      <c r="N622">
        <f t="shared" si="9"/>
        <v>0</v>
      </c>
    </row>
    <row r="623" spans="1:14" x14ac:dyDescent="0.35">
      <c r="A623">
        <v>622</v>
      </c>
      <c r="B623" t="s">
        <v>12</v>
      </c>
      <c r="C623">
        <v>27</v>
      </c>
      <c r="D623" t="s">
        <v>17</v>
      </c>
      <c r="E623" t="s">
        <v>22</v>
      </c>
      <c r="F623">
        <v>238</v>
      </c>
      <c r="G623">
        <v>54</v>
      </c>
      <c r="H623">
        <v>0.3</v>
      </c>
      <c r="I623" t="s">
        <v>15</v>
      </c>
      <c r="J623">
        <v>0</v>
      </c>
      <c r="K623">
        <v>1</v>
      </c>
      <c r="L623">
        <v>1</v>
      </c>
      <c r="M623">
        <f>VLOOKUP(Table1[[#This Row],[subscription_type]],Plans!$A$1:$B$5,2,FALSE)</f>
        <v>9.99</v>
      </c>
      <c r="N623">
        <f t="shared" si="9"/>
        <v>9.99</v>
      </c>
    </row>
    <row r="624" spans="1:14" x14ac:dyDescent="0.35">
      <c r="A624">
        <v>623</v>
      </c>
      <c r="B624" t="s">
        <v>12</v>
      </c>
      <c r="C624">
        <v>29</v>
      </c>
      <c r="D624" t="s">
        <v>27</v>
      </c>
      <c r="E624" t="s">
        <v>22</v>
      </c>
      <c r="F624">
        <v>225</v>
      </c>
      <c r="G624">
        <v>40</v>
      </c>
      <c r="H624">
        <v>0.53</v>
      </c>
      <c r="I624" t="s">
        <v>19</v>
      </c>
      <c r="J624">
        <v>0</v>
      </c>
      <c r="K624">
        <v>1</v>
      </c>
      <c r="L624">
        <v>0</v>
      </c>
      <c r="M624">
        <f>VLOOKUP(Table1[[#This Row],[subscription_type]],Plans!$A$1:$B$5,2,FALSE)</f>
        <v>9.99</v>
      </c>
      <c r="N624">
        <f t="shared" si="9"/>
        <v>0</v>
      </c>
    </row>
    <row r="625" spans="1:14" x14ac:dyDescent="0.35">
      <c r="A625">
        <v>624</v>
      </c>
      <c r="B625" t="s">
        <v>16</v>
      </c>
      <c r="C625">
        <v>24</v>
      </c>
      <c r="D625" t="s">
        <v>21</v>
      </c>
      <c r="E625" t="s">
        <v>22</v>
      </c>
      <c r="F625">
        <v>214</v>
      </c>
      <c r="G625">
        <v>4</v>
      </c>
      <c r="H625">
        <v>0.25</v>
      </c>
      <c r="I625" t="s">
        <v>19</v>
      </c>
      <c r="J625">
        <v>0</v>
      </c>
      <c r="K625">
        <v>1</v>
      </c>
      <c r="L625">
        <v>0</v>
      </c>
      <c r="M625">
        <f>VLOOKUP(Table1[[#This Row],[subscription_type]],Plans!$A$1:$B$5,2,FALSE)</f>
        <v>9.99</v>
      </c>
      <c r="N625">
        <f t="shared" si="9"/>
        <v>0</v>
      </c>
    </row>
    <row r="626" spans="1:14" x14ac:dyDescent="0.35">
      <c r="A626">
        <v>625</v>
      </c>
      <c r="B626" t="s">
        <v>16</v>
      </c>
      <c r="C626">
        <v>58</v>
      </c>
      <c r="D626" t="s">
        <v>25</v>
      </c>
      <c r="E626" t="s">
        <v>14</v>
      </c>
      <c r="F626">
        <v>112</v>
      </c>
      <c r="G626">
        <v>1</v>
      </c>
      <c r="H626">
        <v>0.17</v>
      </c>
      <c r="I626" t="s">
        <v>23</v>
      </c>
      <c r="J626">
        <v>12</v>
      </c>
      <c r="K626">
        <v>0</v>
      </c>
      <c r="L626">
        <v>0</v>
      </c>
      <c r="M626">
        <f>VLOOKUP(Table1[[#This Row],[subscription_type]],Plans!$A$1:$B$5,2,FALSE)</f>
        <v>0</v>
      </c>
      <c r="N626">
        <f t="shared" si="9"/>
        <v>0</v>
      </c>
    </row>
    <row r="627" spans="1:14" x14ac:dyDescent="0.35">
      <c r="A627">
        <v>626</v>
      </c>
      <c r="B627" t="s">
        <v>20</v>
      </c>
      <c r="C627">
        <v>16</v>
      </c>
      <c r="D627" t="s">
        <v>17</v>
      </c>
      <c r="E627" t="s">
        <v>14</v>
      </c>
      <c r="F627">
        <v>85</v>
      </c>
      <c r="G627">
        <v>98</v>
      </c>
      <c r="H627">
        <v>0.51</v>
      </c>
      <c r="I627" t="s">
        <v>23</v>
      </c>
      <c r="J627">
        <v>21</v>
      </c>
      <c r="K627">
        <v>0</v>
      </c>
      <c r="L627">
        <v>0</v>
      </c>
      <c r="M627">
        <f>VLOOKUP(Table1[[#This Row],[subscription_type]],Plans!$A$1:$B$5,2,FALSE)</f>
        <v>0</v>
      </c>
      <c r="N627">
        <f t="shared" si="9"/>
        <v>0</v>
      </c>
    </row>
    <row r="628" spans="1:14" x14ac:dyDescent="0.35">
      <c r="A628">
        <v>627</v>
      </c>
      <c r="B628" t="s">
        <v>12</v>
      </c>
      <c r="C628">
        <v>37</v>
      </c>
      <c r="D628" t="s">
        <v>21</v>
      </c>
      <c r="E628" t="s">
        <v>18</v>
      </c>
      <c r="F628">
        <v>192</v>
      </c>
      <c r="G628">
        <v>7</v>
      </c>
      <c r="H628">
        <v>0.39</v>
      </c>
      <c r="I628" t="s">
        <v>15</v>
      </c>
      <c r="J628">
        <v>0</v>
      </c>
      <c r="K628">
        <v>1</v>
      </c>
      <c r="L628">
        <v>0</v>
      </c>
      <c r="M628">
        <f>VLOOKUP(Table1[[#This Row],[subscription_type]],Plans!$A$1:$B$5,2,FALSE)</f>
        <v>14.99</v>
      </c>
      <c r="N628">
        <f t="shared" si="9"/>
        <v>0</v>
      </c>
    </row>
    <row r="629" spans="1:14" x14ac:dyDescent="0.35">
      <c r="A629">
        <v>628</v>
      </c>
      <c r="B629" t="s">
        <v>16</v>
      </c>
      <c r="C629">
        <v>16</v>
      </c>
      <c r="D629" t="s">
        <v>25</v>
      </c>
      <c r="E629" t="s">
        <v>24</v>
      </c>
      <c r="F629">
        <v>216</v>
      </c>
      <c r="G629">
        <v>27</v>
      </c>
      <c r="H629">
        <v>0.31</v>
      </c>
      <c r="I629" t="s">
        <v>23</v>
      </c>
      <c r="J629">
        <v>0</v>
      </c>
      <c r="K629">
        <v>1</v>
      </c>
      <c r="L629">
        <v>0</v>
      </c>
      <c r="M629">
        <f>VLOOKUP(Table1[[#This Row],[subscription_type]],Plans!$A$1:$B$5,2,FALSE)</f>
        <v>4.99</v>
      </c>
      <c r="N629">
        <f t="shared" si="9"/>
        <v>0</v>
      </c>
    </row>
    <row r="630" spans="1:14" x14ac:dyDescent="0.35">
      <c r="A630">
        <v>629</v>
      </c>
      <c r="B630" t="s">
        <v>16</v>
      </c>
      <c r="C630">
        <v>24</v>
      </c>
      <c r="D630" t="s">
        <v>25</v>
      </c>
      <c r="E630" t="s">
        <v>24</v>
      </c>
      <c r="F630">
        <v>283</v>
      </c>
      <c r="G630">
        <v>88</v>
      </c>
      <c r="H630">
        <v>0.3</v>
      </c>
      <c r="I630" t="s">
        <v>23</v>
      </c>
      <c r="J630">
        <v>0</v>
      </c>
      <c r="K630">
        <v>1</v>
      </c>
      <c r="L630">
        <v>0</v>
      </c>
      <c r="M630">
        <f>VLOOKUP(Table1[[#This Row],[subscription_type]],Plans!$A$1:$B$5,2,FALSE)</f>
        <v>4.99</v>
      </c>
      <c r="N630">
        <f t="shared" si="9"/>
        <v>0</v>
      </c>
    </row>
    <row r="631" spans="1:14" x14ac:dyDescent="0.35">
      <c r="A631">
        <v>630</v>
      </c>
      <c r="B631" t="s">
        <v>12</v>
      </c>
      <c r="C631">
        <v>32</v>
      </c>
      <c r="D631" t="s">
        <v>26</v>
      </c>
      <c r="E631" t="s">
        <v>14</v>
      </c>
      <c r="F631">
        <v>113</v>
      </c>
      <c r="G631">
        <v>88</v>
      </c>
      <c r="H631">
        <v>0.01</v>
      </c>
      <c r="I631" t="s">
        <v>15</v>
      </c>
      <c r="J631">
        <v>45</v>
      </c>
      <c r="K631">
        <v>0</v>
      </c>
      <c r="L631">
        <v>0</v>
      </c>
      <c r="M631">
        <f>VLOOKUP(Table1[[#This Row],[subscription_type]],Plans!$A$1:$B$5,2,FALSE)</f>
        <v>0</v>
      </c>
      <c r="N631">
        <f t="shared" si="9"/>
        <v>0</v>
      </c>
    </row>
    <row r="632" spans="1:14" x14ac:dyDescent="0.35">
      <c r="A632">
        <v>631</v>
      </c>
      <c r="B632" t="s">
        <v>20</v>
      </c>
      <c r="C632">
        <v>29</v>
      </c>
      <c r="D632" t="s">
        <v>25</v>
      </c>
      <c r="E632" t="s">
        <v>18</v>
      </c>
      <c r="F632">
        <v>60</v>
      </c>
      <c r="G632">
        <v>15</v>
      </c>
      <c r="H632">
        <v>0.17</v>
      </c>
      <c r="I632" t="s">
        <v>15</v>
      </c>
      <c r="J632">
        <v>0</v>
      </c>
      <c r="K632">
        <v>1</v>
      </c>
      <c r="L632">
        <v>0</v>
      </c>
      <c r="M632">
        <f>VLOOKUP(Table1[[#This Row],[subscription_type]],Plans!$A$1:$B$5,2,FALSE)</f>
        <v>14.99</v>
      </c>
      <c r="N632">
        <f t="shared" si="9"/>
        <v>0</v>
      </c>
    </row>
    <row r="633" spans="1:14" x14ac:dyDescent="0.35">
      <c r="A633">
        <v>632</v>
      </c>
      <c r="B633" t="s">
        <v>12</v>
      </c>
      <c r="C633">
        <v>31</v>
      </c>
      <c r="D633" t="s">
        <v>21</v>
      </c>
      <c r="E633" t="s">
        <v>24</v>
      </c>
      <c r="F633">
        <v>115</v>
      </c>
      <c r="G633">
        <v>84</v>
      </c>
      <c r="H633">
        <v>0.1</v>
      </c>
      <c r="I633" t="s">
        <v>19</v>
      </c>
      <c r="J633">
        <v>0</v>
      </c>
      <c r="K633">
        <v>1</v>
      </c>
      <c r="L633">
        <v>1</v>
      </c>
      <c r="M633">
        <f>VLOOKUP(Table1[[#This Row],[subscription_type]],Plans!$A$1:$B$5,2,FALSE)</f>
        <v>4.99</v>
      </c>
      <c r="N633">
        <f t="shared" si="9"/>
        <v>4.99</v>
      </c>
    </row>
    <row r="634" spans="1:14" x14ac:dyDescent="0.35">
      <c r="A634">
        <v>633</v>
      </c>
      <c r="B634" t="s">
        <v>12</v>
      </c>
      <c r="C634">
        <v>59</v>
      </c>
      <c r="D634" t="s">
        <v>21</v>
      </c>
      <c r="E634" t="s">
        <v>22</v>
      </c>
      <c r="F634">
        <v>180</v>
      </c>
      <c r="G634">
        <v>84</v>
      </c>
      <c r="H634">
        <v>0.35</v>
      </c>
      <c r="I634" t="s">
        <v>15</v>
      </c>
      <c r="J634">
        <v>0</v>
      </c>
      <c r="K634">
        <v>1</v>
      </c>
      <c r="L634">
        <v>1</v>
      </c>
      <c r="M634">
        <f>VLOOKUP(Table1[[#This Row],[subscription_type]],Plans!$A$1:$B$5,2,FALSE)</f>
        <v>9.99</v>
      </c>
      <c r="N634">
        <f t="shared" si="9"/>
        <v>9.99</v>
      </c>
    </row>
    <row r="635" spans="1:14" x14ac:dyDescent="0.35">
      <c r="A635">
        <v>634</v>
      </c>
      <c r="B635" t="s">
        <v>16</v>
      </c>
      <c r="C635">
        <v>56</v>
      </c>
      <c r="D635" t="s">
        <v>27</v>
      </c>
      <c r="E635" t="s">
        <v>14</v>
      </c>
      <c r="F635">
        <v>290</v>
      </c>
      <c r="G635">
        <v>84</v>
      </c>
      <c r="H635">
        <v>0.05</v>
      </c>
      <c r="I635" t="s">
        <v>15</v>
      </c>
      <c r="J635">
        <v>30</v>
      </c>
      <c r="K635">
        <v>0</v>
      </c>
      <c r="L635">
        <v>0</v>
      </c>
      <c r="M635">
        <f>VLOOKUP(Table1[[#This Row],[subscription_type]],Plans!$A$1:$B$5,2,FALSE)</f>
        <v>0</v>
      </c>
      <c r="N635">
        <f t="shared" si="9"/>
        <v>0</v>
      </c>
    </row>
    <row r="636" spans="1:14" x14ac:dyDescent="0.35">
      <c r="A636">
        <v>635</v>
      </c>
      <c r="B636" t="s">
        <v>16</v>
      </c>
      <c r="C636">
        <v>20</v>
      </c>
      <c r="D636" t="s">
        <v>21</v>
      </c>
      <c r="E636" t="s">
        <v>14</v>
      </c>
      <c r="F636">
        <v>106</v>
      </c>
      <c r="G636">
        <v>10</v>
      </c>
      <c r="H636">
        <v>0.19</v>
      </c>
      <c r="I636" t="s">
        <v>23</v>
      </c>
      <c r="J636">
        <v>10</v>
      </c>
      <c r="K636">
        <v>0</v>
      </c>
      <c r="L636">
        <v>0</v>
      </c>
      <c r="M636">
        <f>VLOOKUP(Table1[[#This Row],[subscription_type]],Plans!$A$1:$B$5,2,FALSE)</f>
        <v>0</v>
      </c>
      <c r="N636">
        <f t="shared" si="9"/>
        <v>0</v>
      </c>
    </row>
    <row r="637" spans="1:14" x14ac:dyDescent="0.35">
      <c r="A637">
        <v>636</v>
      </c>
      <c r="B637" t="s">
        <v>16</v>
      </c>
      <c r="C637">
        <v>27</v>
      </c>
      <c r="D637" t="s">
        <v>27</v>
      </c>
      <c r="E637" t="s">
        <v>22</v>
      </c>
      <c r="F637">
        <v>296</v>
      </c>
      <c r="G637">
        <v>79</v>
      </c>
      <c r="H637">
        <v>0.27</v>
      </c>
      <c r="I637" t="s">
        <v>15</v>
      </c>
      <c r="J637">
        <v>0</v>
      </c>
      <c r="K637">
        <v>1</v>
      </c>
      <c r="L637">
        <v>0</v>
      </c>
      <c r="M637">
        <f>VLOOKUP(Table1[[#This Row],[subscription_type]],Plans!$A$1:$B$5,2,FALSE)</f>
        <v>9.99</v>
      </c>
      <c r="N637">
        <f t="shared" si="9"/>
        <v>0</v>
      </c>
    </row>
    <row r="638" spans="1:14" x14ac:dyDescent="0.35">
      <c r="A638">
        <v>637</v>
      </c>
      <c r="B638" t="s">
        <v>16</v>
      </c>
      <c r="C638">
        <v>41</v>
      </c>
      <c r="D638" t="s">
        <v>25</v>
      </c>
      <c r="E638" t="s">
        <v>18</v>
      </c>
      <c r="F638">
        <v>68</v>
      </c>
      <c r="G638">
        <v>8</v>
      </c>
      <c r="H638">
        <v>0.34</v>
      </c>
      <c r="I638" t="s">
        <v>23</v>
      </c>
      <c r="J638">
        <v>0</v>
      </c>
      <c r="K638">
        <v>1</v>
      </c>
      <c r="L638">
        <v>0</v>
      </c>
      <c r="M638">
        <f>VLOOKUP(Table1[[#This Row],[subscription_type]],Plans!$A$1:$B$5,2,FALSE)</f>
        <v>14.99</v>
      </c>
      <c r="N638">
        <f t="shared" si="9"/>
        <v>0</v>
      </c>
    </row>
    <row r="639" spans="1:14" x14ac:dyDescent="0.35">
      <c r="A639">
        <v>638</v>
      </c>
      <c r="B639" t="s">
        <v>16</v>
      </c>
      <c r="C639">
        <v>16</v>
      </c>
      <c r="D639" t="s">
        <v>27</v>
      </c>
      <c r="E639" t="s">
        <v>24</v>
      </c>
      <c r="F639">
        <v>177</v>
      </c>
      <c r="G639">
        <v>34</v>
      </c>
      <c r="H639">
        <v>0.15</v>
      </c>
      <c r="I639" t="s">
        <v>15</v>
      </c>
      <c r="J639">
        <v>0</v>
      </c>
      <c r="K639">
        <v>1</v>
      </c>
      <c r="L639">
        <v>0</v>
      </c>
      <c r="M639">
        <f>VLOOKUP(Table1[[#This Row],[subscription_type]],Plans!$A$1:$B$5,2,FALSE)</f>
        <v>4.99</v>
      </c>
      <c r="N639">
        <f t="shared" si="9"/>
        <v>0</v>
      </c>
    </row>
    <row r="640" spans="1:14" x14ac:dyDescent="0.35">
      <c r="A640">
        <v>639</v>
      </c>
      <c r="B640" t="s">
        <v>20</v>
      </c>
      <c r="C640">
        <v>34</v>
      </c>
      <c r="D640" t="s">
        <v>21</v>
      </c>
      <c r="E640" t="s">
        <v>24</v>
      </c>
      <c r="F640">
        <v>198</v>
      </c>
      <c r="G640">
        <v>17</v>
      </c>
      <c r="H640">
        <v>0.54</v>
      </c>
      <c r="I640" t="s">
        <v>15</v>
      </c>
      <c r="J640">
        <v>0</v>
      </c>
      <c r="K640">
        <v>1</v>
      </c>
      <c r="L640">
        <v>0</v>
      </c>
      <c r="M640">
        <f>VLOOKUP(Table1[[#This Row],[subscription_type]],Plans!$A$1:$B$5,2,FALSE)</f>
        <v>4.99</v>
      </c>
      <c r="N640">
        <f t="shared" si="9"/>
        <v>0</v>
      </c>
    </row>
    <row r="641" spans="1:14" x14ac:dyDescent="0.35">
      <c r="A641">
        <v>640</v>
      </c>
      <c r="B641" t="s">
        <v>12</v>
      </c>
      <c r="C641">
        <v>23</v>
      </c>
      <c r="D641" t="s">
        <v>29</v>
      </c>
      <c r="E641" t="s">
        <v>24</v>
      </c>
      <c r="F641">
        <v>78</v>
      </c>
      <c r="G641">
        <v>68</v>
      </c>
      <c r="H641">
        <v>0.37</v>
      </c>
      <c r="I641" t="s">
        <v>19</v>
      </c>
      <c r="J641">
        <v>0</v>
      </c>
      <c r="K641">
        <v>1</v>
      </c>
      <c r="L641">
        <v>1</v>
      </c>
      <c r="M641">
        <f>VLOOKUP(Table1[[#This Row],[subscription_type]],Plans!$A$1:$B$5,2,FALSE)</f>
        <v>4.99</v>
      </c>
      <c r="N641">
        <f t="shared" si="9"/>
        <v>4.99</v>
      </c>
    </row>
    <row r="642" spans="1:14" x14ac:dyDescent="0.35">
      <c r="A642">
        <v>641</v>
      </c>
      <c r="B642" t="s">
        <v>12</v>
      </c>
      <c r="C642">
        <v>25</v>
      </c>
      <c r="D642" t="s">
        <v>25</v>
      </c>
      <c r="E642" t="s">
        <v>24</v>
      </c>
      <c r="F642">
        <v>290</v>
      </c>
      <c r="G642">
        <v>76</v>
      </c>
      <c r="H642">
        <v>0.4</v>
      </c>
      <c r="I642" t="s">
        <v>19</v>
      </c>
      <c r="J642">
        <v>0</v>
      </c>
      <c r="K642">
        <v>1</v>
      </c>
      <c r="L642">
        <v>0</v>
      </c>
      <c r="M642">
        <f>VLOOKUP(Table1[[#This Row],[subscription_type]],Plans!$A$1:$B$5,2,FALSE)</f>
        <v>4.99</v>
      </c>
      <c r="N642">
        <f t="shared" ref="N642:N705" si="10">IF(L642=1, M642,0)</f>
        <v>0</v>
      </c>
    </row>
    <row r="643" spans="1:14" x14ac:dyDescent="0.35">
      <c r="A643">
        <v>642</v>
      </c>
      <c r="B643" t="s">
        <v>20</v>
      </c>
      <c r="C643">
        <v>58</v>
      </c>
      <c r="D643" t="s">
        <v>21</v>
      </c>
      <c r="E643" t="s">
        <v>18</v>
      </c>
      <c r="F643">
        <v>36</v>
      </c>
      <c r="G643">
        <v>57</v>
      </c>
      <c r="H643">
        <v>0.02</v>
      </c>
      <c r="I643" t="s">
        <v>19</v>
      </c>
      <c r="J643">
        <v>0</v>
      </c>
      <c r="K643">
        <v>1</v>
      </c>
      <c r="L643">
        <v>0</v>
      </c>
      <c r="M643">
        <f>VLOOKUP(Table1[[#This Row],[subscription_type]],Plans!$A$1:$B$5,2,FALSE)</f>
        <v>14.99</v>
      </c>
      <c r="N643">
        <f t="shared" si="10"/>
        <v>0</v>
      </c>
    </row>
    <row r="644" spans="1:14" x14ac:dyDescent="0.35">
      <c r="A644">
        <v>643</v>
      </c>
      <c r="B644" t="s">
        <v>16</v>
      </c>
      <c r="C644">
        <v>51</v>
      </c>
      <c r="D644" t="s">
        <v>17</v>
      </c>
      <c r="E644" t="s">
        <v>24</v>
      </c>
      <c r="F644">
        <v>108</v>
      </c>
      <c r="G644">
        <v>14</v>
      </c>
      <c r="H644">
        <v>0.5</v>
      </c>
      <c r="I644" t="s">
        <v>15</v>
      </c>
      <c r="J644">
        <v>0</v>
      </c>
      <c r="K644">
        <v>1</v>
      </c>
      <c r="L644">
        <v>0</v>
      </c>
      <c r="M644">
        <f>VLOOKUP(Table1[[#This Row],[subscription_type]],Plans!$A$1:$B$5,2,FALSE)</f>
        <v>4.99</v>
      </c>
      <c r="N644">
        <f t="shared" si="10"/>
        <v>0</v>
      </c>
    </row>
    <row r="645" spans="1:14" x14ac:dyDescent="0.35">
      <c r="A645">
        <v>644</v>
      </c>
      <c r="B645" t="s">
        <v>12</v>
      </c>
      <c r="C645">
        <v>48</v>
      </c>
      <c r="D645" t="s">
        <v>27</v>
      </c>
      <c r="E645" t="s">
        <v>22</v>
      </c>
      <c r="F645">
        <v>98</v>
      </c>
      <c r="G645">
        <v>88</v>
      </c>
      <c r="H645">
        <v>0.18</v>
      </c>
      <c r="I645" t="s">
        <v>15</v>
      </c>
      <c r="J645">
        <v>0</v>
      </c>
      <c r="K645">
        <v>1</v>
      </c>
      <c r="L645">
        <v>0</v>
      </c>
      <c r="M645">
        <f>VLOOKUP(Table1[[#This Row],[subscription_type]],Plans!$A$1:$B$5,2,FALSE)</f>
        <v>9.99</v>
      </c>
      <c r="N645">
        <f t="shared" si="10"/>
        <v>0</v>
      </c>
    </row>
    <row r="646" spans="1:14" x14ac:dyDescent="0.35">
      <c r="A646">
        <v>645</v>
      </c>
      <c r="B646" t="s">
        <v>20</v>
      </c>
      <c r="C646">
        <v>22</v>
      </c>
      <c r="D646" t="s">
        <v>21</v>
      </c>
      <c r="E646" t="s">
        <v>14</v>
      </c>
      <c r="F646">
        <v>287</v>
      </c>
      <c r="G646">
        <v>17</v>
      </c>
      <c r="H646">
        <v>0.42</v>
      </c>
      <c r="I646" t="s">
        <v>23</v>
      </c>
      <c r="J646">
        <v>40</v>
      </c>
      <c r="K646">
        <v>0</v>
      </c>
      <c r="L646">
        <v>0</v>
      </c>
      <c r="M646">
        <f>VLOOKUP(Table1[[#This Row],[subscription_type]],Plans!$A$1:$B$5,2,FALSE)</f>
        <v>0</v>
      </c>
      <c r="N646">
        <f t="shared" si="10"/>
        <v>0</v>
      </c>
    </row>
    <row r="647" spans="1:14" x14ac:dyDescent="0.35">
      <c r="A647">
        <v>646</v>
      </c>
      <c r="B647" t="s">
        <v>16</v>
      </c>
      <c r="C647">
        <v>33</v>
      </c>
      <c r="D647" t="s">
        <v>17</v>
      </c>
      <c r="E647" t="s">
        <v>24</v>
      </c>
      <c r="F647">
        <v>172</v>
      </c>
      <c r="G647">
        <v>51</v>
      </c>
      <c r="H647">
        <v>0.51</v>
      </c>
      <c r="I647" t="s">
        <v>19</v>
      </c>
      <c r="J647">
        <v>0</v>
      </c>
      <c r="K647">
        <v>1</v>
      </c>
      <c r="L647">
        <v>0</v>
      </c>
      <c r="M647">
        <f>VLOOKUP(Table1[[#This Row],[subscription_type]],Plans!$A$1:$B$5,2,FALSE)</f>
        <v>4.99</v>
      </c>
      <c r="N647">
        <f t="shared" si="10"/>
        <v>0</v>
      </c>
    </row>
    <row r="648" spans="1:14" x14ac:dyDescent="0.35">
      <c r="A648">
        <v>647</v>
      </c>
      <c r="B648" t="s">
        <v>20</v>
      </c>
      <c r="C648">
        <v>54</v>
      </c>
      <c r="D648" t="s">
        <v>26</v>
      </c>
      <c r="E648" t="s">
        <v>14</v>
      </c>
      <c r="F648">
        <v>89</v>
      </c>
      <c r="G648">
        <v>95</v>
      </c>
      <c r="H648">
        <v>0.36</v>
      </c>
      <c r="I648" t="s">
        <v>15</v>
      </c>
      <c r="J648">
        <v>38</v>
      </c>
      <c r="K648">
        <v>0</v>
      </c>
      <c r="L648">
        <v>0</v>
      </c>
      <c r="M648">
        <f>VLOOKUP(Table1[[#This Row],[subscription_type]],Plans!$A$1:$B$5,2,FALSE)</f>
        <v>0</v>
      </c>
      <c r="N648">
        <f t="shared" si="10"/>
        <v>0</v>
      </c>
    </row>
    <row r="649" spans="1:14" x14ac:dyDescent="0.35">
      <c r="A649">
        <v>648</v>
      </c>
      <c r="B649" t="s">
        <v>20</v>
      </c>
      <c r="C649">
        <v>50</v>
      </c>
      <c r="D649" t="s">
        <v>29</v>
      </c>
      <c r="E649" t="s">
        <v>14</v>
      </c>
      <c r="F649">
        <v>200</v>
      </c>
      <c r="G649">
        <v>14</v>
      </c>
      <c r="H649">
        <v>0.28000000000000003</v>
      </c>
      <c r="I649" t="s">
        <v>15</v>
      </c>
      <c r="J649">
        <v>46</v>
      </c>
      <c r="K649">
        <v>0</v>
      </c>
      <c r="L649">
        <v>0</v>
      </c>
      <c r="M649">
        <f>VLOOKUP(Table1[[#This Row],[subscription_type]],Plans!$A$1:$B$5,2,FALSE)</f>
        <v>0</v>
      </c>
      <c r="N649">
        <f t="shared" si="10"/>
        <v>0</v>
      </c>
    </row>
    <row r="650" spans="1:14" x14ac:dyDescent="0.35">
      <c r="A650">
        <v>649</v>
      </c>
      <c r="B650" t="s">
        <v>16</v>
      </c>
      <c r="C650">
        <v>28</v>
      </c>
      <c r="D650" t="s">
        <v>17</v>
      </c>
      <c r="E650" t="s">
        <v>24</v>
      </c>
      <c r="F650">
        <v>289</v>
      </c>
      <c r="G650">
        <v>11</v>
      </c>
      <c r="H650">
        <v>0.55000000000000004</v>
      </c>
      <c r="I650" t="s">
        <v>23</v>
      </c>
      <c r="J650">
        <v>0</v>
      </c>
      <c r="K650">
        <v>1</v>
      </c>
      <c r="L650">
        <v>1</v>
      </c>
      <c r="M650">
        <f>VLOOKUP(Table1[[#This Row],[subscription_type]],Plans!$A$1:$B$5,2,FALSE)</f>
        <v>4.99</v>
      </c>
      <c r="N650">
        <f t="shared" si="10"/>
        <v>4.99</v>
      </c>
    </row>
    <row r="651" spans="1:14" x14ac:dyDescent="0.35">
      <c r="A651">
        <v>650</v>
      </c>
      <c r="B651" t="s">
        <v>12</v>
      </c>
      <c r="C651">
        <v>48</v>
      </c>
      <c r="D651" t="s">
        <v>28</v>
      </c>
      <c r="E651" t="s">
        <v>18</v>
      </c>
      <c r="F651">
        <v>23</v>
      </c>
      <c r="G651">
        <v>76</v>
      </c>
      <c r="H651">
        <v>0.57999999999999996</v>
      </c>
      <c r="I651" t="s">
        <v>15</v>
      </c>
      <c r="J651">
        <v>0</v>
      </c>
      <c r="K651">
        <v>1</v>
      </c>
      <c r="L651">
        <v>1</v>
      </c>
      <c r="M651">
        <f>VLOOKUP(Table1[[#This Row],[subscription_type]],Plans!$A$1:$B$5,2,FALSE)</f>
        <v>14.99</v>
      </c>
      <c r="N651">
        <f t="shared" si="10"/>
        <v>14.99</v>
      </c>
    </row>
    <row r="652" spans="1:14" x14ac:dyDescent="0.35">
      <c r="A652">
        <v>651</v>
      </c>
      <c r="B652" t="s">
        <v>16</v>
      </c>
      <c r="C652">
        <v>21</v>
      </c>
      <c r="D652" t="s">
        <v>27</v>
      </c>
      <c r="E652" t="s">
        <v>24</v>
      </c>
      <c r="F652">
        <v>170</v>
      </c>
      <c r="G652">
        <v>51</v>
      </c>
      <c r="H652">
        <v>0.53</v>
      </c>
      <c r="I652" t="s">
        <v>23</v>
      </c>
      <c r="J652">
        <v>0</v>
      </c>
      <c r="K652">
        <v>1</v>
      </c>
      <c r="L652">
        <v>1</v>
      </c>
      <c r="M652">
        <f>VLOOKUP(Table1[[#This Row],[subscription_type]],Plans!$A$1:$B$5,2,FALSE)</f>
        <v>4.99</v>
      </c>
      <c r="N652">
        <f t="shared" si="10"/>
        <v>4.99</v>
      </c>
    </row>
    <row r="653" spans="1:14" x14ac:dyDescent="0.35">
      <c r="A653">
        <v>652</v>
      </c>
      <c r="B653" t="s">
        <v>16</v>
      </c>
      <c r="C653">
        <v>19</v>
      </c>
      <c r="D653" t="s">
        <v>13</v>
      </c>
      <c r="E653" t="s">
        <v>22</v>
      </c>
      <c r="F653">
        <v>227</v>
      </c>
      <c r="G653">
        <v>48</v>
      </c>
      <c r="H653">
        <v>0.56000000000000005</v>
      </c>
      <c r="I653" t="s">
        <v>15</v>
      </c>
      <c r="J653">
        <v>0</v>
      </c>
      <c r="K653">
        <v>1</v>
      </c>
      <c r="L653">
        <v>0</v>
      </c>
      <c r="M653">
        <f>VLOOKUP(Table1[[#This Row],[subscription_type]],Plans!$A$1:$B$5,2,FALSE)</f>
        <v>9.99</v>
      </c>
      <c r="N653">
        <f t="shared" si="10"/>
        <v>0</v>
      </c>
    </row>
    <row r="654" spans="1:14" x14ac:dyDescent="0.35">
      <c r="A654">
        <v>653</v>
      </c>
      <c r="B654" t="s">
        <v>16</v>
      </c>
      <c r="C654">
        <v>26</v>
      </c>
      <c r="D654" t="s">
        <v>25</v>
      </c>
      <c r="E654" t="s">
        <v>18</v>
      </c>
      <c r="F654">
        <v>290</v>
      </c>
      <c r="G654">
        <v>66</v>
      </c>
      <c r="H654">
        <v>0.36</v>
      </c>
      <c r="I654" t="s">
        <v>23</v>
      </c>
      <c r="J654">
        <v>0</v>
      </c>
      <c r="K654">
        <v>1</v>
      </c>
      <c r="L654">
        <v>0</v>
      </c>
      <c r="M654">
        <f>VLOOKUP(Table1[[#This Row],[subscription_type]],Plans!$A$1:$B$5,2,FALSE)</f>
        <v>14.99</v>
      </c>
      <c r="N654">
        <f t="shared" si="10"/>
        <v>0</v>
      </c>
    </row>
    <row r="655" spans="1:14" x14ac:dyDescent="0.35">
      <c r="A655">
        <v>654</v>
      </c>
      <c r="B655" t="s">
        <v>12</v>
      </c>
      <c r="C655">
        <v>55</v>
      </c>
      <c r="D655" t="s">
        <v>13</v>
      </c>
      <c r="E655" t="s">
        <v>22</v>
      </c>
      <c r="F655">
        <v>200</v>
      </c>
      <c r="G655">
        <v>50</v>
      </c>
      <c r="H655">
        <v>0.04</v>
      </c>
      <c r="I655" t="s">
        <v>19</v>
      </c>
      <c r="J655">
        <v>0</v>
      </c>
      <c r="K655">
        <v>1</v>
      </c>
      <c r="L655">
        <v>0</v>
      </c>
      <c r="M655">
        <f>VLOOKUP(Table1[[#This Row],[subscription_type]],Plans!$A$1:$B$5,2,FALSE)</f>
        <v>9.99</v>
      </c>
      <c r="N655">
        <f t="shared" si="10"/>
        <v>0</v>
      </c>
    </row>
    <row r="656" spans="1:14" x14ac:dyDescent="0.35">
      <c r="A656">
        <v>655</v>
      </c>
      <c r="B656" t="s">
        <v>12</v>
      </c>
      <c r="C656">
        <v>59</v>
      </c>
      <c r="D656" t="s">
        <v>27</v>
      </c>
      <c r="E656" t="s">
        <v>24</v>
      </c>
      <c r="F656">
        <v>34</v>
      </c>
      <c r="G656">
        <v>63</v>
      </c>
      <c r="H656">
        <v>0.39</v>
      </c>
      <c r="I656" t="s">
        <v>15</v>
      </c>
      <c r="J656">
        <v>0</v>
      </c>
      <c r="K656">
        <v>1</v>
      </c>
      <c r="L656">
        <v>1</v>
      </c>
      <c r="M656">
        <f>VLOOKUP(Table1[[#This Row],[subscription_type]],Plans!$A$1:$B$5,2,FALSE)</f>
        <v>4.99</v>
      </c>
      <c r="N656">
        <f t="shared" si="10"/>
        <v>4.99</v>
      </c>
    </row>
    <row r="657" spans="1:14" x14ac:dyDescent="0.35">
      <c r="A657">
        <v>656</v>
      </c>
      <c r="B657" t="s">
        <v>12</v>
      </c>
      <c r="C657">
        <v>24</v>
      </c>
      <c r="D657" t="s">
        <v>27</v>
      </c>
      <c r="E657" t="s">
        <v>18</v>
      </c>
      <c r="F657">
        <v>105</v>
      </c>
      <c r="G657">
        <v>3</v>
      </c>
      <c r="H657">
        <v>0.01</v>
      </c>
      <c r="I657" t="s">
        <v>23</v>
      </c>
      <c r="J657">
        <v>0</v>
      </c>
      <c r="K657">
        <v>1</v>
      </c>
      <c r="L657">
        <v>0</v>
      </c>
      <c r="M657">
        <f>VLOOKUP(Table1[[#This Row],[subscription_type]],Plans!$A$1:$B$5,2,FALSE)</f>
        <v>14.99</v>
      </c>
      <c r="N657">
        <f t="shared" si="10"/>
        <v>0</v>
      </c>
    </row>
    <row r="658" spans="1:14" x14ac:dyDescent="0.35">
      <c r="A658">
        <v>657</v>
      </c>
      <c r="B658" t="s">
        <v>12</v>
      </c>
      <c r="C658">
        <v>58</v>
      </c>
      <c r="D658" t="s">
        <v>21</v>
      </c>
      <c r="E658" t="s">
        <v>22</v>
      </c>
      <c r="F658">
        <v>216</v>
      </c>
      <c r="G658">
        <v>31</v>
      </c>
      <c r="H658">
        <v>0.33</v>
      </c>
      <c r="I658" t="s">
        <v>15</v>
      </c>
      <c r="J658">
        <v>0</v>
      </c>
      <c r="K658">
        <v>1</v>
      </c>
      <c r="L658">
        <v>1</v>
      </c>
      <c r="M658">
        <f>VLOOKUP(Table1[[#This Row],[subscription_type]],Plans!$A$1:$B$5,2,FALSE)</f>
        <v>9.99</v>
      </c>
      <c r="N658">
        <f t="shared" si="10"/>
        <v>9.99</v>
      </c>
    </row>
    <row r="659" spans="1:14" x14ac:dyDescent="0.35">
      <c r="A659">
        <v>658</v>
      </c>
      <c r="B659" t="s">
        <v>20</v>
      </c>
      <c r="C659">
        <v>23</v>
      </c>
      <c r="D659" t="s">
        <v>28</v>
      </c>
      <c r="E659" t="s">
        <v>18</v>
      </c>
      <c r="F659">
        <v>105</v>
      </c>
      <c r="G659">
        <v>55</v>
      </c>
      <c r="H659">
        <v>0.55000000000000004</v>
      </c>
      <c r="I659" t="s">
        <v>15</v>
      </c>
      <c r="J659">
        <v>0</v>
      </c>
      <c r="K659">
        <v>1</v>
      </c>
      <c r="L659">
        <v>0</v>
      </c>
      <c r="M659">
        <f>VLOOKUP(Table1[[#This Row],[subscription_type]],Plans!$A$1:$B$5,2,FALSE)</f>
        <v>14.99</v>
      </c>
      <c r="N659">
        <f t="shared" si="10"/>
        <v>0</v>
      </c>
    </row>
    <row r="660" spans="1:14" x14ac:dyDescent="0.35">
      <c r="A660">
        <v>659</v>
      </c>
      <c r="B660" t="s">
        <v>20</v>
      </c>
      <c r="C660">
        <v>53</v>
      </c>
      <c r="D660" t="s">
        <v>28</v>
      </c>
      <c r="E660" t="s">
        <v>18</v>
      </c>
      <c r="F660">
        <v>244</v>
      </c>
      <c r="G660">
        <v>64</v>
      </c>
      <c r="H660">
        <v>0.24</v>
      </c>
      <c r="I660" t="s">
        <v>23</v>
      </c>
      <c r="J660">
        <v>0</v>
      </c>
      <c r="K660">
        <v>1</v>
      </c>
      <c r="L660">
        <v>0</v>
      </c>
      <c r="M660">
        <f>VLOOKUP(Table1[[#This Row],[subscription_type]],Plans!$A$1:$B$5,2,FALSE)</f>
        <v>14.99</v>
      </c>
      <c r="N660">
        <f t="shared" si="10"/>
        <v>0</v>
      </c>
    </row>
    <row r="661" spans="1:14" x14ac:dyDescent="0.35">
      <c r="A661">
        <v>660</v>
      </c>
      <c r="B661" t="s">
        <v>16</v>
      </c>
      <c r="C661">
        <v>29</v>
      </c>
      <c r="D661" t="s">
        <v>28</v>
      </c>
      <c r="E661" t="s">
        <v>18</v>
      </c>
      <c r="F661">
        <v>30</v>
      </c>
      <c r="G661">
        <v>41</v>
      </c>
      <c r="H661">
        <v>0.39</v>
      </c>
      <c r="I661" t="s">
        <v>23</v>
      </c>
      <c r="J661">
        <v>0</v>
      </c>
      <c r="K661">
        <v>1</v>
      </c>
      <c r="L661">
        <v>0</v>
      </c>
      <c r="M661">
        <f>VLOOKUP(Table1[[#This Row],[subscription_type]],Plans!$A$1:$B$5,2,FALSE)</f>
        <v>14.99</v>
      </c>
      <c r="N661">
        <f t="shared" si="10"/>
        <v>0</v>
      </c>
    </row>
    <row r="662" spans="1:14" x14ac:dyDescent="0.35">
      <c r="A662">
        <v>661</v>
      </c>
      <c r="B662" t="s">
        <v>12</v>
      </c>
      <c r="C662">
        <v>23</v>
      </c>
      <c r="D662" t="s">
        <v>17</v>
      </c>
      <c r="E662" t="s">
        <v>24</v>
      </c>
      <c r="F662">
        <v>126</v>
      </c>
      <c r="G662">
        <v>34</v>
      </c>
      <c r="H662">
        <v>0.56999999999999995</v>
      </c>
      <c r="I662" t="s">
        <v>19</v>
      </c>
      <c r="J662">
        <v>0</v>
      </c>
      <c r="K662">
        <v>1</v>
      </c>
      <c r="L662">
        <v>1</v>
      </c>
      <c r="M662">
        <f>VLOOKUP(Table1[[#This Row],[subscription_type]],Plans!$A$1:$B$5,2,FALSE)</f>
        <v>4.99</v>
      </c>
      <c r="N662">
        <f t="shared" si="10"/>
        <v>4.99</v>
      </c>
    </row>
    <row r="663" spans="1:14" x14ac:dyDescent="0.35">
      <c r="A663">
        <v>662</v>
      </c>
      <c r="B663" t="s">
        <v>12</v>
      </c>
      <c r="C663">
        <v>29</v>
      </c>
      <c r="D663" t="s">
        <v>21</v>
      </c>
      <c r="E663" t="s">
        <v>24</v>
      </c>
      <c r="F663">
        <v>106</v>
      </c>
      <c r="G663">
        <v>55</v>
      </c>
      <c r="H663">
        <v>0.35</v>
      </c>
      <c r="I663" t="s">
        <v>15</v>
      </c>
      <c r="J663">
        <v>0</v>
      </c>
      <c r="K663">
        <v>1</v>
      </c>
      <c r="L663">
        <v>0</v>
      </c>
      <c r="M663">
        <f>VLOOKUP(Table1[[#This Row],[subscription_type]],Plans!$A$1:$B$5,2,FALSE)</f>
        <v>4.99</v>
      </c>
      <c r="N663">
        <f t="shared" si="10"/>
        <v>0</v>
      </c>
    </row>
    <row r="664" spans="1:14" x14ac:dyDescent="0.35">
      <c r="A664">
        <v>663</v>
      </c>
      <c r="B664" t="s">
        <v>16</v>
      </c>
      <c r="C664">
        <v>49</v>
      </c>
      <c r="D664" t="s">
        <v>26</v>
      </c>
      <c r="E664" t="s">
        <v>14</v>
      </c>
      <c r="F664">
        <v>295</v>
      </c>
      <c r="G664">
        <v>17</v>
      </c>
      <c r="H664">
        <v>0.4</v>
      </c>
      <c r="I664" t="s">
        <v>19</v>
      </c>
      <c r="J664">
        <v>31</v>
      </c>
      <c r="K664">
        <v>0</v>
      </c>
      <c r="L664">
        <v>0</v>
      </c>
      <c r="M664">
        <f>VLOOKUP(Table1[[#This Row],[subscription_type]],Plans!$A$1:$B$5,2,FALSE)</f>
        <v>0</v>
      </c>
      <c r="N664">
        <f t="shared" si="10"/>
        <v>0</v>
      </c>
    </row>
    <row r="665" spans="1:14" x14ac:dyDescent="0.35">
      <c r="A665">
        <v>664</v>
      </c>
      <c r="B665" t="s">
        <v>12</v>
      </c>
      <c r="C665">
        <v>23</v>
      </c>
      <c r="D665" t="s">
        <v>17</v>
      </c>
      <c r="E665" t="s">
        <v>22</v>
      </c>
      <c r="F665">
        <v>230</v>
      </c>
      <c r="G665">
        <v>52</v>
      </c>
      <c r="H665">
        <v>0.43</v>
      </c>
      <c r="I665" t="s">
        <v>23</v>
      </c>
      <c r="J665">
        <v>0</v>
      </c>
      <c r="K665">
        <v>1</v>
      </c>
      <c r="L665">
        <v>0</v>
      </c>
      <c r="M665">
        <f>VLOOKUP(Table1[[#This Row],[subscription_type]],Plans!$A$1:$B$5,2,FALSE)</f>
        <v>9.99</v>
      </c>
      <c r="N665">
        <f t="shared" si="10"/>
        <v>0</v>
      </c>
    </row>
    <row r="666" spans="1:14" x14ac:dyDescent="0.35">
      <c r="A666">
        <v>665</v>
      </c>
      <c r="B666" t="s">
        <v>12</v>
      </c>
      <c r="C666">
        <v>29</v>
      </c>
      <c r="D666" t="s">
        <v>17</v>
      </c>
      <c r="E666" t="s">
        <v>18</v>
      </c>
      <c r="F666">
        <v>102</v>
      </c>
      <c r="G666">
        <v>74</v>
      </c>
      <c r="H666">
        <v>0.32</v>
      </c>
      <c r="I666" t="s">
        <v>23</v>
      </c>
      <c r="J666">
        <v>0</v>
      </c>
      <c r="K666">
        <v>1</v>
      </c>
      <c r="L666">
        <v>0</v>
      </c>
      <c r="M666">
        <f>VLOOKUP(Table1[[#This Row],[subscription_type]],Plans!$A$1:$B$5,2,FALSE)</f>
        <v>14.99</v>
      </c>
      <c r="N666">
        <f t="shared" si="10"/>
        <v>0</v>
      </c>
    </row>
    <row r="667" spans="1:14" x14ac:dyDescent="0.35">
      <c r="A667">
        <v>666</v>
      </c>
      <c r="B667" t="s">
        <v>16</v>
      </c>
      <c r="C667">
        <v>43</v>
      </c>
      <c r="D667" t="s">
        <v>27</v>
      </c>
      <c r="E667" t="s">
        <v>18</v>
      </c>
      <c r="F667">
        <v>152</v>
      </c>
      <c r="G667">
        <v>55</v>
      </c>
      <c r="H667">
        <v>0.3</v>
      </c>
      <c r="I667" t="s">
        <v>15</v>
      </c>
      <c r="J667">
        <v>0</v>
      </c>
      <c r="K667">
        <v>1</v>
      </c>
      <c r="L667">
        <v>0</v>
      </c>
      <c r="M667">
        <f>VLOOKUP(Table1[[#This Row],[subscription_type]],Plans!$A$1:$B$5,2,FALSE)</f>
        <v>14.99</v>
      </c>
      <c r="N667">
        <f t="shared" si="10"/>
        <v>0</v>
      </c>
    </row>
    <row r="668" spans="1:14" x14ac:dyDescent="0.35">
      <c r="A668">
        <v>667</v>
      </c>
      <c r="B668" t="s">
        <v>20</v>
      </c>
      <c r="C668">
        <v>31</v>
      </c>
      <c r="D668" t="s">
        <v>13</v>
      </c>
      <c r="E668" t="s">
        <v>24</v>
      </c>
      <c r="F668">
        <v>77</v>
      </c>
      <c r="G668">
        <v>80</v>
      </c>
      <c r="H668">
        <v>0.35</v>
      </c>
      <c r="I668" t="s">
        <v>23</v>
      </c>
      <c r="J668">
        <v>0</v>
      </c>
      <c r="K668">
        <v>1</v>
      </c>
      <c r="L668">
        <v>0</v>
      </c>
      <c r="M668">
        <f>VLOOKUP(Table1[[#This Row],[subscription_type]],Plans!$A$1:$B$5,2,FALSE)</f>
        <v>4.99</v>
      </c>
      <c r="N668">
        <f t="shared" si="10"/>
        <v>0</v>
      </c>
    </row>
    <row r="669" spans="1:14" x14ac:dyDescent="0.35">
      <c r="A669">
        <v>668</v>
      </c>
      <c r="B669" t="s">
        <v>16</v>
      </c>
      <c r="C669">
        <v>43</v>
      </c>
      <c r="D669" t="s">
        <v>25</v>
      </c>
      <c r="E669" t="s">
        <v>22</v>
      </c>
      <c r="F669">
        <v>78</v>
      </c>
      <c r="G669">
        <v>48</v>
      </c>
      <c r="H669">
        <v>0.21</v>
      </c>
      <c r="I669" t="s">
        <v>23</v>
      </c>
      <c r="J669">
        <v>0</v>
      </c>
      <c r="K669">
        <v>1</v>
      </c>
      <c r="L669">
        <v>0</v>
      </c>
      <c r="M669">
        <f>VLOOKUP(Table1[[#This Row],[subscription_type]],Plans!$A$1:$B$5,2,FALSE)</f>
        <v>9.99</v>
      </c>
      <c r="N669">
        <f t="shared" si="10"/>
        <v>0</v>
      </c>
    </row>
    <row r="670" spans="1:14" x14ac:dyDescent="0.35">
      <c r="A670">
        <v>669</v>
      </c>
      <c r="B670" t="s">
        <v>12</v>
      </c>
      <c r="C670">
        <v>39</v>
      </c>
      <c r="D670" t="s">
        <v>26</v>
      </c>
      <c r="E670" t="s">
        <v>14</v>
      </c>
      <c r="F670">
        <v>220</v>
      </c>
      <c r="G670">
        <v>18</v>
      </c>
      <c r="H670">
        <v>0.05</v>
      </c>
      <c r="I670" t="s">
        <v>23</v>
      </c>
      <c r="J670">
        <v>18</v>
      </c>
      <c r="K670">
        <v>0</v>
      </c>
      <c r="L670">
        <v>0</v>
      </c>
      <c r="M670">
        <f>VLOOKUP(Table1[[#This Row],[subscription_type]],Plans!$A$1:$B$5,2,FALSE)</f>
        <v>0</v>
      </c>
      <c r="N670">
        <f t="shared" si="10"/>
        <v>0</v>
      </c>
    </row>
    <row r="671" spans="1:14" x14ac:dyDescent="0.35">
      <c r="A671">
        <v>670</v>
      </c>
      <c r="B671" t="s">
        <v>12</v>
      </c>
      <c r="C671">
        <v>38</v>
      </c>
      <c r="D671" t="s">
        <v>26</v>
      </c>
      <c r="E671" t="s">
        <v>14</v>
      </c>
      <c r="F671">
        <v>245</v>
      </c>
      <c r="G671">
        <v>12</v>
      </c>
      <c r="H671">
        <v>0.52</v>
      </c>
      <c r="I671" t="s">
        <v>15</v>
      </c>
      <c r="J671">
        <v>48</v>
      </c>
      <c r="K671">
        <v>0</v>
      </c>
      <c r="L671">
        <v>1</v>
      </c>
      <c r="M671">
        <f>VLOOKUP(Table1[[#This Row],[subscription_type]],Plans!$A$1:$B$5,2,FALSE)</f>
        <v>0</v>
      </c>
      <c r="N671">
        <f t="shared" si="10"/>
        <v>0</v>
      </c>
    </row>
    <row r="672" spans="1:14" x14ac:dyDescent="0.35">
      <c r="A672">
        <v>671</v>
      </c>
      <c r="B672" t="s">
        <v>20</v>
      </c>
      <c r="C672">
        <v>31</v>
      </c>
      <c r="D672" t="s">
        <v>13</v>
      </c>
      <c r="E672" t="s">
        <v>14</v>
      </c>
      <c r="F672">
        <v>30</v>
      </c>
      <c r="G672">
        <v>42</v>
      </c>
      <c r="H672">
        <v>0.06</v>
      </c>
      <c r="I672" t="s">
        <v>23</v>
      </c>
      <c r="J672">
        <v>44</v>
      </c>
      <c r="K672">
        <v>0</v>
      </c>
      <c r="L672">
        <v>0</v>
      </c>
      <c r="M672">
        <f>VLOOKUP(Table1[[#This Row],[subscription_type]],Plans!$A$1:$B$5,2,FALSE)</f>
        <v>0</v>
      </c>
      <c r="N672">
        <f t="shared" si="10"/>
        <v>0</v>
      </c>
    </row>
    <row r="673" spans="1:14" x14ac:dyDescent="0.35">
      <c r="A673">
        <v>672</v>
      </c>
      <c r="B673" t="s">
        <v>12</v>
      </c>
      <c r="C673">
        <v>35</v>
      </c>
      <c r="D673" t="s">
        <v>26</v>
      </c>
      <c r="E673" t="s">
        <v>24</v>
      </c>
      <c r="F673">
        <v>226</v>
      </c>
      <c r="G673">
        <v>55</v>
      </c>
      <c r="H673">
        <v>0.25</v>
      </c>
      <c r="I673" t="s">
        <v>15</v>
      </c>
      <c r="J673">
        <v>0</v>
      </c>
      <c r="K673">
        <v>1</v>
      </c>
      <c r="L673">
        <v>1</v>
      </c>
      <c r="M673">
        <f>VLOOKUP(Table1[[#This Row],[subscription_type]],Plans!$A$1:$B$5,2,FALSE)</f>
        <v>4.99</v>
      </c>
      <c r="N673">
        <f t="shared" si="10"/>
        <v>4.99</v>
      </c>
    </row>
    <row r="674" spans="1:14" x14ac:dyDescent="0.35">
      <c r="A674">
        <v>673</v>
      </c>
      <c r="B674" t="s">
        <v>12</v>
      </c>
      <c r="C674">
        <v>44</v>
      </c>
      <c r="D674" t="s">
        <v>29</v>
      </c>
      <c r="E674" t="s">
        <v>14</v>
      </c>
      <c r="F674">
        <v>133</v>
      </c>
      <c r="G674">
        <v>18</v>
      </c>
      <c r="H674">
        <v>0.4</v>
      </c>
      <c r="I674" t="s">
        <v>23</v>
      </c>
      <c r="J674">
        <v>11</v>
      </c>
      <c r="K674">
        <v>0</v>
      </c>
      <c r="L674">
        <v>0</v>
      </c>
      <c r="M674">
        <f>VLOOKUP(Table1[[#This Row],[subscription_type]],Plans!$A$1:$B$5,2,FALSE)</f>
        <v>0</v>
      </c>
      <c r="N674">
        <f t="shared" si="10"/>
        <v>0</v>
      </c>
    </row>
    <row r="675" spans="1:14" x14ac:dyDescent="0.35">
      <c r="A675">
        <v>674</v>
      </c>
      <c r="B675" t="s">
        <v>12</v>
      </c>
      <c r="C675">
        <v>33</v>
      </c>
      <c r="D675" t="s">
        <v>21</v>
      </c>
      <c r="E675" t="s">
        <v>18</v>
      </c>
      <c r="F675">
        <v>118</v>
      </c>
      <c r="G675">
        <v>36</v>
      </c>
      <c r="H675">
        <v>0.57999999999999996</v>
      </c>
      <c r="I675" t="s">
        <v>15</v>
      </c>
      <c r="J675">
        <v>0</v>
      </c>
      <c r="K675">
        <v>1</v>
      </c>
      <c r="L675">
        <v>0</v>
      </c>
      <c r="M675">
        <f>VLOOKUP(Table1[[#This Row],[subscription_type]],Plans!$A$1:$B$5,2,FALSE)</f>
        <v>14.99</v>
      </c>
      <c r="N675">
        <f t="shared" si="10"/>
        <v>0</v>
      </c>
    </row>
    <row r="676" spans="1:14" x14ac:dyDescent="0.35">
      <c r="A676">
        <v>675</v>
      </c>
      <c r="B676" t="s">
        <v>12</v>
      </c>
      <c r="C676">
        <v>27</v>
      </c>
      <c r="D676" t="s">
        <v>13</v>
      </c>
      <c r="E676" t="s">
        <v>22</v>
      </c>
      <c r="F676">
        <v>115</v>
      </c>
      <c r="G676">
        <v>61</v>
      </c>
      <c r="H676">
        <v>0.31</v>
      </c>
      <c r="I676" t="s">
        <v>15</v>
      </c>
      <c r="J676">
        <v>0</v>
      </c>
      <c r="K676">
        <v>1</v>
      </c>
      <c r="L676">
        <v>0</v>
      </c>
      <c r="M676">
        <f>VLOOKUP(Table1[[#This Row],[subscription_type]],Plans!$A$1:$B$5,2,FALSE)</f>
        <v>9.99</v>
      </c>
      <c r="N676">
        <f t="shared" si="10"/>
        <v>0</v>
      </c>
    </row>
    <row r="677" spans="1:14" x14ac:dyDescent="0.35">
      <c r="A677">
        <v>676</v>
      </c>
      <c r="B677" t="s">
        <v>16</v>
      </c>
      <c r="C677">
        <v>38</v>
      </c>
      <c r="D677" t="s">
        <v>13</v>
      </c>
      <c r="E677" t="s">
        <v>22</v>
      </c>
      <c r="F677">
        <v>155</v>
      </c>
      <c r="G677">
        <v>80</v>
      </c>
      <c r="H677">
        <v>7.0000000000000007E-2</v>
      </c>
      <c r="I677" t="s">
        <v>23</v>
      </c>
      <c r="J677">
        <v>0</v>
      </c>
      <c r="K677">
        <v>1</v>
      </c>
      <c r="L677">
        <v>0</v>
      </c>
      <c r="M677">
        <f>VLOOKUP(Table1[[#This Row],[subscription_type]],Plans!$A$1:$B$5,2,FALSE)</f>
        <v>9.99</v>
      </c>
      <c r="N677">
        <f t="shared" si="10"/>
        <v>0</v>
      </c>
    </row>
    <row r="678" spans="1:14" x14ac:dyDescent="0.35">
      <c r="A678">
        <v>677</v>
      </c>
      <c r="B678" t="s">
        <v>20</v>
      </c>
      <c r="C678">
        <v>30</v>
      </c>
      <c r="D678" t="s">
        <v>27</v>
      </c>
      <c r="E678" t="s">
        <v>22</v>
      </c>
      <c r="F678">
        <v>125</v>
      </c>
      <c r="G678">
        <v>65</v>
      </c>
      <c r="H678">
        <v>0.37</v>
      </c>
      <c r="I678" t="s">
        <v>19</v>
      </c>
      <c r="J678">
        <v>0</v>
      </c>
      <c r="K678">
        <v>1</v>
      </c>
      <c r="L678">
        <v>0</v>
      </c>
      <c r="M678">
        <f>VLOOKUP(Table1[[#This Row],[subscription_type]],Plans!$A$1:$B$5,2,FALSE)</f>
        <v>9.99</v>
      </c>
      <c r="N678">
        <f t="shared" si="10"/>
        <v>0</v>
      </c>
    </row>
    <row r="679" spans="1:14" x14ac:dyDescent="0.35">
      <c r="A679">
        <v>678</v>
      </c>
      <c r="B679" t="s">
        <v>16</v>
      </c>
      <c r="C679">
        <v>55</v>
      </c>
      <c r="D679" t="s">
        <v>17</v>
      </c>
      <c r="E679" t="s">
        <v>18</v>
      </c>
      <c r="F679">
        <v>190</v>
      </c>
      <c r="G679">
        <v>5</v>
      </c>
      <c r="H679">
        <v>0.57999999999999996</v>
      </c>
      <c r="I679" t="s">
        <v>15</v>
      </c>
      <c r="J679">
        <v>0</v>
      </c>
      <c r="K679">
        <v>1</v>
      </c>
      <c r="L679">
        <v>0</v>
      </c>
      <c r="M679">
        <f>VLOOKUP(Table1[[#This Row],[subscription_type]],Plans!$A$1:$B$5,2,FALSE)</f>
        <v>14.99</v>
      </c>
      <c r="N679">
        <f t="shared" si="10"/>
        <v>0</v>
      </c>
    </row>
    <row r="680" spans="1:14" x14ac:dyDescent="0.35">
      <c r="A680">
        <v>679</v>
      </c>
      <c r="B680" t="s">
        <v>12</v>
      </c>
      <c r="C680">
        <v>20</v>
      </c>
      <c r="D680" t="s">
        <v>26</v>
      </c>
      <c r="E680" t="s">
        <v>22</v>
      </c>
      <c r="F680">
        <v>164</v>
      </c>
      <c r="G680">
        <v>33</v>
      </c>
      <c r="H680">
        <v>0.34</v>
      </c>
      <c r="I680" t="s">
        <v>15</v>
      </c>
      <c r="J680">
        <v>0</v>
      </c>
      <c r="K680">
        <v>1</v>
      </c>
      <c r="L680">
        <v>1</v>
      </c>
      <c r="M680">
        <f>VLOOKUP(Table1[[#This Row],[subscription_type]],Plans!$A$1:$B$5,2,FALSE)</f>
        <v>9.99</v>
      </c>
      <c r="N680">
        <f t="shared" si="10"/>
        <v>9.99</v>
      </c>
    </row>
    <row r="681" spans="1:14" x14ac:dyDescent="0.35">
      <c r="A681">
        <v>680</v>
      </c>
      <c r="B681" t="s">
        <v>20</v>
      </c>
      <c r="C681">
        <v>33</v>
      </c>
      <c r="D681" t="s">
        <v>13</v>
      </c>
      <c r="E681" t="s">
        <v>18</v>
      </c>
      <c r="F681">
        <v>126</v>
      </c>
      <c r="G681">
        <v>49</v>
      </c>
      <c r="H681">
        <v>0.45</v>
      </c>
      <c r="I681" t="s">
        <v>15</v>
      </c>
      <c r="J681">
        <v>0</v>
      </c>
      <c r="K681">
        <v>1</v>
      </c>
      <c r="L681">
        <v>0</v>
      </c>
      <c r="M681">
        <f>VLOOKUP(Table1[[#This Row],[subscription_type]],Plans!$A$1:$B$5,2,FALSE)</f>
        <v>14.99</v>
      </c>
      <c r="N681">
        <f t="shared" si="10"/>
        <v>0</v>
      </c>
    </row>
    <row r="682" spans="1:14" x14ac:dyDescent="0.35">
      <c r="A682">
        <v>681</v>
      </c>
      <c r="B682" t="s">
        <v>12</v>
      </c>
      <c r="C682">
        <v>47</v>
      </c>
      <c r="D682" t="s">
        <v>17</v>
      </c>
      <c r="E682" t="s">
        <v>14</v>
      </c>
      <c r="F682">
        <v>272</v>
      </c>
      <c r="G682">
        <v>8</v>
      </c>
      <c r="H682">
        <v>0.32</v>
      </c>
      <c r="I682" t="s">
        <v>23</v>
      </c>
      <c r="J682">
        <v>44</v>
      </c>
      <c r="K682">
        <v>0</v>
      </c>
      <c r="L682">
        <v>0</v>
      </c>
      <c r="M682">
        <f>VLOOKUP(Table1[[#This Row],[subscription_type]],Plans!$A$1:$B$5,2,FALSE)</f>
        <v>0</v>
      </c>
      <c r="N682">
        <f t="shared" si="10"/>
        <v>0</v>
      </c>
    </row>
    <row r="683" spans="1:14" x14ac:dyDescent="0.35">
      <c r="A683">
        <v>682</v>
      </c>
      <c r="B683" t="s">
        <v>12</v>
      </c>
      <c r="C683">
        <v>47</v>
      </c>
      <c r="D683" t="s">
        <v>29</v>
      </c>
      <c r="E683" t="s">
        <v>18</v>
      </c>
      <c r="F683">
        <v>263</v>
      </c>
      <c r="G683">
        <v>79</v>
      </c>
      <c r="H683">
        <v>0.57999999999999996</v>
      </c>
      <c r="I683" t="s">
        <v>19</v>
      </c>
      <c r="J683">
        <v>0</v>
      </c>
      <c r="K683">
        <v>1</v>
      </c>
      <c r="L683">
        <v>1</v>
      </c>
      <c r="M683">
        <f>VLOOKUP(Table1[[#This Row],[subscription_type]],Plans!$A$1:$B$5,2,FALSE)</f>
        <v>14.99</v>
      </c>
      <c r="N683">
        <f t="shared" si="10"/>
        <v>14.99</v>
      </c>
    </row>
    <row r="684" spans="1:14" x14ac:dyDescent="0.35">
      <c r="A684">
        <v>683</v>
      </c>
      <c r="B684" t="s">
        <v>16</v>
      </c>
      <c r="C684">
        <v>38</v>
      </c>
      <c r="D684" t="s">
        <v>17</v>
      </c>
      <c r="E684" t="s">
        <v>24</v>
      </c>
      <c r="F684">
        <v>127</v>
      </c>
      <c r="G684">
        <v>4</v>
      </c>
      <c r="H684">
        <v>0</v>
      </c>
      <c r="I684" t="s">
        <v>19</v>
      </c>
      <c r="J684">
        <v>0</v>
      </c>
      <c r="K684">
        <v>1</v>
      </c>
      <c r="L684">
        <v>0</v>
      </c>
      <c r="M684">
        <f>VLOOKUP(Table1[[#This Row],[subscription_type]],Plans!$A$1:$B$5,2,FALSE)</f>
        <v>4.99</v>
      </c>
      <c r="N684">
        <f t="shared" si="10"/>
        <v>0</v>
      </c>
    </row>
    <row r="685" spans="1:14" x14ac:dyDescent="0.35">
      <c r="A685">
        <v>684</v>
      </c>
      <c r="B685" t="s">
        <v>12</v>
      </c>
      <c r="C685">
        <v>55</v>
      </c>
      <c r="D685" t="s">
        <v>21</v>
      </c>
      <c r="E685" t="s">
        <v>14</v>
      </c>
      <c r="F685">
        <v>281</v>
      </c>
      <c r="G685">
        <v>21</v>
      </c>
      <c r="H685">
        <v>0.12</v>
      </c>
      <c r="I685" t="s">
        <v>23</v>
      </c>
      <c r="J685">
        <v>42</v>
      </c>
      <c r="K685">
        <v>0</v>
      </c>
      <c r="L685">
        <v>0</v>
      </c>
      <c r="M685">
        <f>VLOOKUP(Table1[[#This Row],[subscription_type]],Plans!$A$1:$B$5,2,FALSE)</f>
        <v>0</v>
      </c>
      <c r="N685">
        <f t="shared" si="10"/>
        <v>0</v>
      </c>
    </row>
    <row r="686" spans="1:14" x14ac:dyDescent="0.35">
      <c r="A686">
        <v>685</v>
      </c>
      <c r="B686" t="s">
        <v>12</v>
      </c>
      <c r="C686">
        <v>40</v>
      </c>
      <c r="D686" t="s">
        <v>29</v>
      </c>
      <c r="E686" t="s">
        <v>14</v>
      </c>
      <c r="F686">
        <v>210</v>
      </c>
      <c r="G686">
        <v>64</v>
      </c>
      <c r="H686">
        <v>0.56000000000000005</v>
      </c>
      <c r="I686" t="s">
        <v>19</v>
      </c>
      <c r="J686">
        <v>13</v>
      </c>
      <c r="K686">
        <v>0</v>
      </c>
      <c r="L686">
        <v>0</v>
      </c>
      <c r="M686">
        <f>VLOOKUP(Table1[[#This Row],[subscription_type]],Plans!$A$1:$B$5,2,FALSE)</f>
        <v>0</v>
      </c>
      <c r="N686">
        <f t="shared" si="10"/>
        <v>0</v>
      </c>
    </row>
    <row r="687" spans="1:14" x14ac:dyDescent="0.35">
      <c r="A687">
        <v>686</v>
      </c>
      <c r="B687" t="s">
        <v>12</v>
      </c>
      <c r="C687">
        <v>49</v>
      </c>
      <c r="D687" t="s">
        <v>13</v>
      </c>
      <c r="E687" t="s">
        <v>22</v>
      </c>
      <c r="F687">
        <v>206</v>
      </c>
      <c r="G687">
        <v>27</v>
      </c>
      <c r="H687">
        <v>0.41</v>
      </c>
      <c r="I687" t="s">
        <v>19</v>
      </c>
      <c r="J687">
        <v>0</v>
      </c>
      <c r="K687">
        <v>1</v>
      </c>
      <c r="L687">
        <v>0</v>
      </c>
      <c r="M687">
        <f>VLOOKUP(Table1[[#This Row],[subscription_type]],Plans!$A$1:$B$5,2,FALSE)</f>
        <v>9.99</v>
      </c>
      <c r="N687">
        <f t="shared" si="10"/>
        <v>0</v>
      </c>
    </row>
    <row r="688" spans="1:14" x14ac:dyDescent="0.35">
      <c r="A688">
        <v>687</v>
      </c>
      <c r="B688" t="s">
        <v>12</v>
      </c>
      <c r="C688">
        <v>52</v>
      </c>
      <c r="D688" t="s">
        <v>13</v>
      </c>
      <c r="E688" t="s">
        <v>18</v>
      </c>
      <c r="F688">
        <v>285</v>
      </c>
      <c r="G688">
        <v>82</v>
      </c>
      <c r="H688">
        <v>0.56999999999999995</v>
      </c>
      <c r="I688" t="s">
        <v>23</v>
      </c>
      <c r="J688">
        <v>0</v>
      </c>
      <c r="K688">
        <v>1</v>
      </c>
      <c r="L688">
        <v>0</v>
      </c>
      <c r="M688">
        <f>VLOOKUP(Table1[[#This Row],[subscription_type]],Plans!$A$1:$B$5,2,FALSE)</f>
        <v>14.99</v>
      </c>
      <c r="N688">
        <f t="shared" si="10"/>
        <v>0</v>
      </c>
    </row>
    <row r="689" spans="1:14" x14ac:dyDescent="0.35">
      <c r="A689">
        <v>688</v>
      </c>
      <c r="B689" t="s">
        <v>16</v>
      </c>
      <c r="C689">
        <v>35</v>
      </c>
      <c r="D689" t="s">
        <v>29</v>
      </c>
      <c r="E689" t="s">
        <v>22</v>
      </c>
      <c r="F689">
        <v>29</v>
      </c>
      <c r="G689">
        <v>18</v>
      </c>
      <c r="H689">
        <v>0.42</v>
      </c>
      <c r="I689" t="s">
        <v>19</v>
      </c>
      <c r="J689">
        <v>0</v>
      </c>
      <c r="K689">
        <v>1</v>
      </c>
      <c r="L689">
        <v>1</v>
      </c>
      <c r="M689">
        <f>VLOOKUP(Table1[[#This Row],[subscription_type]],Plans!$A$1:$B$5,2,FALSE)</f>
        <v>9.99</v>
      </c>
      <c r="N689">
        <f t="shared" si="10"/>
        <v>9.99</v>
      </c>
    </row>
    <row r="690" spans="1:14" x14ac:dyDescent="0.35">
      <c r="A690">
        <v>689</v>
      </c>
      <c r="B690" t="s">
        <v>16</v>
      </c>
      <c r="C690">
        <v>53</v>
      </c>
      <c r="D690" t="s">
        <v>27</v>
      </c>
      <c r="E690" t="s">
        <v>24</v>
      </c>
      <c r="F690">
        <v>67</v>
      </c>
      <c r="G690">
        <v>87</v>
      </c>
      <c r="H690">
        <v>0.28000000000000003</v>
      </c>
      <c r="I690" t="s">
        <v>15</v>
      </c>
      <c r="J690">
        <v>0</v>
      </c>
      <c r="K690">
        <v>1</v>
      </c>
      <c r="L690">
        <v>0</v>
      </c>
      <c r="M690">
        <f>VLOOKUP(Table1[[#This Row],[subscription_type]],Plans!$A$1:$B$5,2,FALSE)</f>
        <v>4.99</v>
      </c>
      <c r="N690">
        <f t="shared" si="10"/>
        <v>0</v>
      </c>
    </row>
    <row r="691" spans="1:14" x14ac:dyDescent="0.35">
      <c r="A691">
        <v>690</v>
      </c>
      <c r="B691" t="s">
        <v>20</v>
      </c>
      <c r="C691">
        <v>52</v>
      </c>
      <c r="D691" t="s">
        <v>26</v>
      </c>
      <c r="E691" t="s">
        <v>14</v>
      </c>
      <c r="F691">
        <v>252</v>
      </c>
      <c r="G691">
        <v>44</v>
      </c>
      <c r="H691">
        <v>0.34</v>
      </c>
      <c r="I691" t="s">
        <v>23</v>
      </c>
      <c r="J691">
        <v>24</v>
      </c>
      <c r="K691">
        <v>0</v>
      </c>
      <c r="L691">
        <v>0</v>
      </c>
      <c r="M691">
        <f>VLOOKUP(Table1[[#This Row],[subscription_type]],Plans!$A$1:$B$5,2,FALSE)</f>
        <v>0</v>
      </c>
      <c r="N691">
        <f t="shared" si="10"/>
        <v>0</v>
      </c>
    </row>
    <row r="692" spans="1:14" x14ac:dyDescent="0.35">
      <c r="A692">
        <v>691</v>
      </c>
      <c r="B692" t="s">
        <v>16</v>
      </c>
      <c r="C692">
        <v>22</v>
      </c>
      <c r="D692" t="s">
        <v>26</v>
      </c>
      <c r="E692" t="s">
        <v>24</v>
      </c>
      <c r="F692">
        <v>291</v>
      </c>
      <c r="G692">
        <v>97</v>
      </c>
      <c r="H692">
        <v>0.24</v>
      </c>
      <c r="I692" t="s">
        <v>23</v>
      </c>
      <c r="J692">
        <v>0</v>
      </c>
      <c r="K692">
        <v>1</v>
      </c>
      <c r="L692">
        <v>0</v>
      </c>
      <c r="M692">
        <f>VLOOKUP(Table1[[#This Row],[subscription_type]],Plans!$A$1:$B$5,2,FALSE)</f>
        <v>4.99</v>
      </c>
      <c r="N692">
        <f t="shared" si="10"/>
        <v>0</v>
      </c>
    </row>
    <row r="693" spans="1:14" x14ac:dyDescent="0.35">
      <c r="A693">
        <v>692</v>
      </c>
      <c r="B693" t="s">
        <v>16</v>
      </c>
      <c r="C693">
        <v>58</v>
      </c>
      <c r="D693" t="s">
        <v>17</v>
      </c>
      <c r="E693" t="s">
        <v>24</v>
      </c>
      <c r="F693">
        <v>136</v>
      </c>
      <c r="G693">
        <v>57</v>
      </c>
      <c r="H693">
        <v>0.47</v>
      </c>
      <c r="I693" t="s">
        <v>23</v>
      </c>
      <c r="J693">
        <v>0</v>
      </c>
      <c r="K693">
        <v>1</v>
      </c>
      <c r="L693">
        <v>0</v>
      </c>
      <c r="M693">
        <f>VLOOKUP(Table1[[#This Row],[subscription_type]],Plans!$A$1:$B$5,2,FALSE)</f>
        <v>4.99</v>
      </c>
      <c r="N693">
        <f t="shared" si="10"/>
        <v>0</v>
      </c>
    </row>
    <row r="694" spans="1:14" x14ac:dyDescent="0.35">
      <c r="A694">
        <v>693</v>
      </c>
      <c r="B694" t="s">
        <v>20</v>
      </c>
      <c r="C694">
        <v>33</v>
      </c>
      <c r="D694" t="s">
        <v>27</v>
      </c>
      <c r="E694" t="s">
        <v>22</v>
      </c>
      <c r="F694">
        <v>154</v>
      </c>
      <c r="G694">
        <v>52</v>
      </c>
      <c r="H694">
        <v>0.32</v>
      </c>
      <c r="I694" t="s">
        <v>19</v>
      </c>
      <c r="J694">
        <v>0</v>
      </c>
      <c r="K694">
        <v>1</v>
      </c>
      <c r="L694">
        <v>0</v>
      </c>
      <c r="M694">
        <f>VLOOKUP(Table1[[#This Row],[subscription_type]],Plans!$A$1:$B$5,2,FALSE)</f>
        <v>9.99</v>
      </c>
      <c r="N694">
        <f t="shared" si="10"/>
        <v>0</v>
      </c>
    </row>
    <row r="695" spans="1:14" x14ac:dyDescent="0.35">
      <c r="A695">
        <v>694</v>
      </c>
      <c r="B695" t="s">
        <v>12</v>
      </c>
      <c r="C695">
        <v>20</v>
      </c>
      <c r="D695" t="s">
        <v>26</v>
      </c>
      <c r="E695" t="s">
        <v>18</v>
      </c>
      <c r="F695">
        <v>279</v>
      </c>
      <c r="G695">
        <v>67</v>
      </c>
      <c r="H695">
        <v>0.4</v>
      </c>
      <c r="I695" t="s">
        <v>15</v>
      </c>
      <c r="J695">
        <v>0</v>
      </c>
      <c r="K695">
        <v>1</v>
      </c>
      <c r="L695">
        <v>0</v>
      </c>
      <c r="M695">
        <f>VLOOKUP(Table1[[#This Row],[subscription_type]],Plans!$A$1:$B$5,2,FALSE)</f>
        <v>14.99</v>
      </c>
      <c r="N695">
        <f t="shared" si="10"/>
        <v>0</v>
      </c>
    </row>
    <row r="696" spans="1:14" x14ac:dyDescent="0.35">
      <c r="A696">
        <v>695</v>
      </c>
      <c r="B696" t="s">
        <v>20</v>
      </c>
      <c r="C696">
        <v>21</v>
      </c>
      <c r="D696" t="s">
        <v>13</v>
      </c>
      <c r="E696" t="s">
        <v>22</v>
      </c>
      <c r="F696">
        <v>199</v>
      </c>
      <c r="G696">
        <v>85</v>
      </c>
      <c r="H696">
        <v>0.19</v>
      </c>
      <c r="I696" t="s">
        <v>15</v>
      </c>
      <c r="J696">
        <v>0</v>
      </c>
      <c r="K696">
        <v>1</v>
      </c>
      <c r="L696">
        <v>0</v>
      </c>
      <c r="M696">
        <f>VLOOKUP(Table1[[#This Row],[subscription_type]],Plans!$A$1:$B$5,2,FALSE)</f>
        <v>9.99</v>
      </c>
      <c r="N696">
        <f t="shared" si="10"/>
        <v>0</v>
      </c>
    </row>
    <row r="697" spans="1:14" x14ac:dyDescent="0.35">
      <c r="A697">
        <v>696</v>
      </c>
      <c r="B697" t="s">
        <v>20</v>
      </c>
      <c r="C697">
        <v>56</v>
      </c>
      <c r="D697" t="s">
        <v>26</v>
      </c>
      <c r="E697" t="s">
        <v>14</v>
      </c>
      <c r="F697">
        <v>30</v>
      </c>
      <c r="G697">
        <v>66</v>
      </c>
      <c r="H697">
        <v>0.35</v>
      </c>
      <c r="I697" t="s">
        <v>23</v>
      </c>
      <c r="J697">
        <v>31</v>
      </c>
      <c r="K697">
        <v>0</v>
      </c>
      <c r="L697">
        <v>0</v>
      </c>
      <c r="M697">
        <f>VLOOKUP(Table1[[#This Row],[subscription_type]],Plans!$A$1:$B$5,2,FALSE)</f>
        <v>0</v>
      </c>
      <c r="N697">
        <f t="shared" si="10"/>
        <v>0</v>
      </c>
    </row>
    <row r="698" spans="1:14" x14ac:dyDescent="0.35">
      <c r="A698">
        <v>697</v>
      </c>
      <c r="B698" t="s">
        <v>12</v>
      </c>
      <c r="C698">
        <v>54</v>
      </c>
      <c r="D698" t="s">
        <v>29</v>
      </c>
      <c r="E698" t="s">
        <v>18</v>
      </c>
      <c r="F698">
        <v>158</v>
      </c>
      <c r="G698">
        <v>2</v>
      </c>
      <c r="H698">
        <v>0.34</v>
      </c>
      <c r="I698" t="s">
        <v>15</v>
      </c>
      <c r="J698">
        <v>0</v>
      </c>
      <c r="K698">
        <v>1</v>
      </c>
      <c r="L698">
        <v>0</v>
      </c>
      <c r="M698">
        <f>VLOOKUP(Table1[[#This Row],[subscription_type]],Plans!$A$1:$B$5,2,FALSE)</f>
        <v>14.99</v>
      </c>
      <c r="N698">
        <f t="shared" si="10"/>
        <v>0</v>
      </c>
    </row>
    <row r="699" spans="1:14" x14ac:dyDescent="0.35">
      <c r="A699">
        <v>698</v>
      </c>
      <c r="B699" t="s">
        <v>20</v>
      </c>
      <c r="C699">
        <v>51</v>
      </c>
      <c r="D699" t="s">
        <v>26</v>
      </c>
      <c r="E699" t="s">
        <v>24</v>
      </c>
      <c r="F699">
        <v>83</v>
      </c>
      <c r="G699">
        <v>10</v>
      </c>
      <c r="H699">
        <v>0.33</v>
      </c>
      <c r="I699" t="s">
        <v>23</v>
      </c>
      <c r="J699">
        <v>0</v>
      </c>
      <c r="K699">
        <v>1</v>
      </c>
      <c r="L699">
        <v>0</v>
      </c>
      <c r="M699">
        <f>VLOOKUP(Table1[[#This Row],[subscription_type]],Plans!$A$1:$B$5,2,FALSE)</f>
        <v>4.99</v>
      </c>
      <c r="N699">
        <f t="shared" si="10"/>
        <v>0</v>
      </c>
    </row>
    <row r="700" spans="1:14" x14ac:dyDescent="0.35">
      <c r="A700">
        <v>699</v>
      </c>
      <c r="B700" t="s">
        <v>20</v>
      </c>
      <c r="C700">
        <v>24</v>
      </c>
      <c r="D700" t="s">
        <v>27</v>
      </c>
      <c r="E700" t="s">
        <v>22</v>
      </c>
      <c r="F700">
        <v>161</v>
      </c>
      <c r="G700">
        <v>23</v>
      </c>
      <c r="H700">
        <v>0.45</v>
      </c>
      <c r="I700" t="s">
        <v>19</v>
      </c>
      <c r="J700">
        <v>0</v>
      </c>
      <c r="K700">
        <v>1</v>
      </c>
      <c r="L700">
        <v>1</v>
      </c>
      <c r="M700">
        <f>VLOOKUP(Table1[[#This Row],[subscription_type]],Plans!$A$1:$B$5,2,FALSE)</f>
        <v>9.99</v>
      </c>
      <c r="N700">
        <f t="shared" si="10"/>
        <v>9.99</v>
      </c>
    </row>
    <row r="701" spans="1:14" x14ac:dyDescent="0.35">
      <c r="A701">
        <v>700</v>
      </c>
      <c r="B701" t="s">
        <v>12</v>
      </c>
      <c r="C701">
        <v>21</v>
      </c>
      <c r="D701" t="s">
        <v>29</v>
      </c>
      <c r="E701" t="s">
        <v>22</v>
      </c>
      <c r="F701">
        <v>183</v>
      </c>
      <c r="G701">
        <v>20</v>
      </c>
      <c r="H701">
        <v>0.21</v>
      </c>
      <c r="I701" t="s">
        <v>23</v>
      </c>
      <c r="J701">
        <v>0</v>
      </c>
      <c r="K701">
        <v>1</v>
      </c>
      <c r="L701">
        <v>0</v>
      </c>
      <c r="M701">
        <f>VLOOKUP(Table1[[#This Row],[subscription_type]],Plans!$A$1:$B$5,2,FALSE)</f>
        <v>9.99</v>
      </c>
      <c r="N701">
        <f t="shared" si="10"/>
        <v>0</v>
      </c>
    </row>
    <row r="702" spans="1:14" x14ac:dyDescent="0.35">
      <c r="A702">
        <v>701</v>
      </c>
      <c r="B702" t="s">
        <v>20</v>
      </c>
      <c r="C702">
        <v>58</v>
      </c>
      <c r="D702" t="s">
        <v>29</v>
      </c>
      <c r="E702" t="s">
        <v>24</v>
      </c>
      <c r="F702">
        <v>131</v>
      </c>
      <c r="G702">
        <v>47</v>
      </c>
      <c r="H702">
        <v>0.06</v>
      </c>
      <c r="I702" t="s">
        <v>23</v>
      </c>
      <c r="J702">
        <v>0</v>
      </c>
      <c r="K702">
        <v>1</v>
      </c>
      <c r="L702">
        <v>0</v>
      </c>
      <c r="M702">
        <f>VLOOKUP(Table1[[#This Row],[subscription_type]],Plans!$A$1:$B$5,2,FALSE)</f>
        <v>4.99</v>
      </c>
      <c r="N702">
        <f t="shared" si="10"/>
        <v>0</v>
      </c>
    </row>
    <row r="703" spans="1:14" x14ac:dyDescent="0.35">
      <c r="A703">
        <v>702</v>
      </c>
      <c r="B703" t="s">
        <v>12</v>
      </c>
      <c r="C703">
        <v>26</v>
      </c>
      <c r="D703" t="s">
        <v>25</v>
      </c>
      <c r="E703" t="s">
        <v>22</v>
      </c>
      <c r="F703">
        <v>126</v>
      </c>
      <c r="G703">
        <v>52</v>
      </c>
      <c r="H703">
        <v>0.22</v>
      </c>
      <c r="I703" t="s">
        <v>19</v>
      </c>
      <c r="J703">
        <v>0</v>
      </c>
      <c r="K703">
        <v>1</v>
      </c>
      <c r="L703">
        <v>1</v>
      </c>
      <c r="M703">
        <f>VLOOKUP(Table1[[#This Row],[subscription_type]],Plans!$A$1:$B$5,2,FALSE)</f>
        <v>9.99</v>
      </c>
      <c r="N703">
        <f t="shared" si="10"/>
        <v>9.99</v>
      </c>
    </row>
    <row r="704" spans="1:14" x14ac:dyDescent="0.35">
      <c r="A704">
        <v>703</v>
      </c>
      <c r="B704" t="s">
        <v>20</v>
      </c>
      <c r="C704">
        <v>32</v>
      </c>
      <c r="D704" t="s">
        <v>28</v>
      </c>
      <c r="E704" t="s">
        <v>18</v>
      </c>
      <c r="F704">
        <v>282</v>
      </c>
      <c r="G704">
        <v>22</v>
      </c>
      <c r="H704">
        <v>0.19</v>
      </c>
      <c r="I704" t="s">
        <v>23</v>
      </c>
      <c r="J704">
        <v>0</v>
      </c>
      <c r="K704">
        <v>1</v>
      </c>
      <c r="L704">
        <v>1</v>
      </c>
      <c r="M704">
        <f>VLOOKUP(Table1[[#This Row],[subscription_type]],Plans!$A$1:$B$5,2,FALSE)</f>
        <v>14.99</v>
      </c>
      <c r="N704">
        <f t="shared" si="10"/>
        <v>14.99</v>
      </c>
    </row>
    <row r="705" spans="1:14" x14ac:dyDescent="0.35">
      <c r="A705">
        <v>704</v>
      </c>
      <c r="B705" t="s">
        <v>20</v>
      </c>
      <c r="C705">
        <v>44</v>
      </c>
      <c r="D705" t="s">
        <v>17</v>
      </c>
      <c r="E705" t="s">
        <v>22</v>
      </c>
      <c r="F705">
        <v>240</v>
      </c>
      <c r="G705">
        <v>46</v>
      </c>
      <c r="H705">
        <v>0.11</v>
      </c>
      <c r="I705" t="s">
        <v>23</v>
      </c>
      <c r="J705">
        <v>0</v>
      </c>
      <c r="K705">
        <v>1</v>
      </c>
      <c r="L705">
        <v>1</v>
      </c>
      <c r="M705">
        <f>VLOOKUP(Table1[[#This Row],[subscription_type]],Plans!$A$1:$B$5,2,FALSE)</f>
        <v>9.99</v>
      </c>
      <c r="N705">
        <f t="shared" si="10"/>
        <v>9.99</v>
      </c>
    </row>
    <row r="706" spans="1:14" x14ac:dyDescent="0.35">
      <c r="A706">
        <v>705</v>
      </c>
      <c r="B706" t="s">
        <v>20</v>
      </c>
      <c r="C706">
        <v>22</v>
      </c>
      <c r="D706" t="s">
        <v>21</v>
      </c>
      <c r="E706" t="s">
        <v>24</v>
      </c>
      <c r="F706">
        <v>169</v>
      </c>
      <c r="G706">
        <v>52</v>
      </c>
      <c r="H706">
        <v>0.1</v>
      </c>
      <c r="I706" t="s">
        <v>23</v>
      </c>
      <c r="J706">
        <v>0</v>
      </c>
      <c r="K706">
        <v>1</v>
      </c>
      <c r="L706">
        <v>1</v>
      </c>
      <c r="M706">
        <f>VLOOKUP(Table1[[#This Row],[subscription_type]],Plans!$A$1:$B$5,2,FALSE)</f>
        <v>4.99</v>
      </c>
      <c r="N706">
        <f t="shared" ref="N706:N769" si="11">IF(L706=1, M706,0)</f>
        <v>4.99</v>
      </c>
    </row>
    <row r="707" spans="1:14" x14ac:dyDescent="0.35">
      <c r="A707">
        <v>706</v>
      </c>
      <c r="B707" t="s">
        <v>12</v>
      </c>
      <c r="C707">
        <v>29</v>
      </c>
      <c r="D707" t="s">
        <v>25</v>
      </c>
      <c r="E707" t="s">
        <v>24</v>
      </c>
      <c r="F707">
        <v>238</v>
      </c>
      <c r="G707">
        <v>61</v>
      </c>
      <c r="H707">
        <v>0.09</v>
      </c>
      <c r="I707" t="s">
        <v>19</v>
      </c>
      <c r="J707">
        <v>0</v>
      </c>
      <c r="K707">
        <v>1</v>
      </c>
      <c r="L707">
        <v>0</v>
      </c>
      <c r="M707">
        <f>VLOOKUP(Table1[[#This Row],[subscription_type]],Plans!$A$1:$B$5,2,FALSE)</f>
        <v>4.99</v>
      </c>
      <c r="N707">
        <f t="shared" si="11"/>
        <v>0</v>
      </c>
    </row>
    <row r="708" spans="1:14" x14ac:dyDescent="0.35">
      <c r="A708">
        <v>707</v>
      </c>
      <c r="B708" t="s">
        <v>20</v>
      </c>
      <c r="C708">
        <v>37</v>
      </c>
      <c r="D708" t="s">
        <v>26</v>
      </c>
      <c r="E708" t="s">
        <v>18</v>
      </c>
      <c r="F708">
        <v>276</v>
      </c>
      <c r="G708">
        <v>17</v>
      </c>
      <c r="H708">
        <v>0.4</v>
      </c>
      <c r="I708" t="s">
        <v>23</v>
      </c>
      <c r="J708">
        <v>0</v>
      </c>
      <c r="K708">
        <v>1</v>
      </c>
      <c r="L708">
        <v>0</v>
      </c>
      <c r="M708">
        <f>VLOOKUP(Table1[[#This Row],[subscription_type]],Plans!$A$1:$B$5,2,FALSE)</f>
        <v>14.99</v>
      </c>
      <c r="N708">
        <f t="shared" si="11"/>
        <v>0</v>
      </c>
    </row>
    <row r="709" spans="1:14" x14ac:dyDescent="0.35">
      <c r="A709">
        <v>708</v>
      </c>
      <c r="B709" t="s">
        <v>12</v>
      </c>
      <c r="C709">
        <v>18</v>
      </c>
      <c r="D709" t="s">
        <v>29</v>
      </c>
      <c r="E709" t="s">
        <v>24</v>
      </c>
      <c r="F709">
        <v>101</v>
      </c>
      <c r="G709">
        <v>8</v>
      </c>
      <c r="H709">
        <v>0.43</v>
      </c>
      <c r="I709" t="s">
        <v>19</v>
      </c>
      <c r="J709">
        <v>0</v>
      </c>
      <c r="K709">
        <v>1</v>
      </c>
      <c r="L709">
        <v>0</v>
      </c>
      <c r="M709">
        <f>VLOOKUP(Table1[[#This Row],[subscription_type]],Plans!$A$1:$B$5,2,FALSE)</f>
        <v>4.99</v>
      </c>
      <c r="N709">
        <f t="shared" si="11"/>
        <v>0</v>
      </c>
    </row>
    <row r="710" spans="1:14" x14ac:dyDescent="0.35">
      <c r="A710">
        <v>709</v>
      </c>
      <c r="B710" t="s">
        <v>12</v>
      </c>
      <c r="C710">
        <v>27</v>
      </c>
      <c r="D710" t="s">
        <v>21</v>
      </c>
      <c r="E710" t="s">
        <v>18</v>
      </c>
      <c r="F710">
        <v>176</v>
      </c>
      <c r="G710">
        <v>20</v>
      </c>
      <c r="H710">
        <v>0.05</v>
      </c>
      <c r="I710" t="s">
        <v>19</v>
      </c>
      <c r="J710">
        <v>0</v>
      </c>
      <c r="K710">
        <v>1</v>
      </c>
      <c r="L710">
        <v>1</v>
      </c>
      <c r="M710">
        <f>VLOOKUP(Table1[[#This Row],[subscription_type]],Plans!$A$1:$B$5,2,FALSE)</f>
        <v>14.99</v>
      </c>
      <c r="N710">
        <f t="shared" si="11"/>
        <v>14.99</v>
      </c>
    </row>
    <row r="711" spans="1:14" x14ac:dyDescent="0.35">
      <c r="A711">
        <v>710</v>
      </c>
      <c r="B711" t="s">
        <v>20</v>
      </c>
      <c r="C711">
        <v>43</v>
      </c>
      <c r="D711" t="s">
        <v>17</v>
      </c>
      <c r="E711" t="s">
        <v>22</v>
      </c>
      <c r="F711">
        <v>161</v>
      </c>
      <c r="G711">
        <v>84</v>
      </c>
      <c r="H711">
        <v>0.08</v>
      </c>
      <c r="I711" t="s">
        <v>23</v>
      </c>
      <c r="J711">
        <v>0</v>
      </c>
      <c r="K711">
        <v>1</v>
      </c>
      <c r="L711">
        <v>0</v>
      </c>
      <c r="M711">
        <f>VLOOKUP(Table1[[#This Row],[subscription_type]],Plans!$A$1:$B$5,2,FALSE)</f>
        <v>9.99</v>
      </c>
      <c r="N711">
        <f t="shared" si="11"/>
        <v>0</v>
      </c>
    </row>
    <row r="712" spans="1:14" x14ac:dyDescent="0.35">
      <c r="A712">
        <v>711</v>
      </c>
      <c r="B712" t="s">
        <v>20</v>
      </c>
      <c r="C712">
        <v>58</v>
      </c>
      <c r="D712" t="s">
        <v>28</v>
      </c>
      <c r="E712" t="s">
        <v>24</v>
      </c>
      <c r="F712">
        <v>153</v>
      </c>
      <c r="G712">
        <v>24</v>
      </c>
      <c r="H712">
        <v>0.28999999999999998</v>
      </c>
      <c r="I712" t="s">
        <v>15</v>
      </c>
      <c r="J712">
        <v>0</v>
      </c>
      <c r="K712">
        <v>1</v>
      </c>
      <c r="L712">
        <v>0</v>
      </c>
      <c r="M712">
        <f>VLOOKUP(Table1[[#This Row],[subscription_type]],Plans!$A$1:$B$5,2,FALSE)</f>
        <v>4.99</v>
      </c>
      <c r="N712">
        <f t="shared" si="11"/>
        <v>0</v>
      </c>
    </row>
    <row r="713" spans="1:14" x14ac:dyDescent="0.35">
      <c r="A713">
        <v>712</v>
      </c>
      <c r="B713" t="s">
        <v>16</v>
      </c>
      <c r="C713">
        <v>20</v>
      </c>
      <c r="D713" t="s">
        <v>27</v>
      </c>
      <c r="E713" t="s">
        <v>18</v>
      </c>
      <c r="F713">
        <v>199</v>
      </c>
      <c r="G713">
        <v>52</v>
      </c>
      <c r="H713">
        <v>0.22</v>
      </c>
      <c r="I713" t="s">
        <v>19</v>
      </c>
      <c r="J713">
        <v>0</v>
      </c>
      <c r="K713">
        <v>1</v>
      </c>
      <c r="L713">
        <v>0</v>
      </c>
      <c r="M713">
        <f>VLOOKUP(Table1[[#This Row],[subscription_type]],Plans!$A$1:$B$5,2,FALSE)</f>
        <v>14.99</v>
      </c>
      <c r="N713">
        <f t="shared" si="11"/>
        <v>0</v>
      </c>
    </row>
    <row r="714" spans="1:14" x14ac:dyDescent="0.35">
      <c r="A714">
        <v>713</v>
      </c>
      <c r="B714" t="s">
        <v>12</v>
      </c>
      <c r="C714">
        <v>37</v>
      </c>
      <c r="D714" t="s">
        <v>28</v>
      </c>
      <c r="E714" t="s">
        <v>14</v>
      </c>
      <c r="F714">
        <v>252</v>
      </c>
      <c r="G714">
        <v>58</v>
      </c>
      <c r="H714">
        <v>0.41</v>
      </c>
      <c r="I714" t="s">
        <v>19</v>
      </c>
      <c r="J714">
        <v>28</v>
      </c>
      <c r="K714">
        <v>0</v>
      </c>
      <c r="L714">
        <v>0</v>
      </c>
      <c r="M714">
        <f>VLOOKUP(Table1[[#This Row],[subscription_type]],Plans!$A$1:$B$5,2,FALSE)</f>
        <v>0</v>
      </c>
      <c r="N714">
        <f t="shared" si="11"/>
        <v>0</v>
      </c>
    </row>
    <row r="715" spans="1:14" x14ac:dyDescent="0.35">
      <c r="A715">
        <v>714</v>
      </c>
      <c r="B715" t="s">
        <v>20</v>
      </c>
      <c r="C715">
        <v>39</v>
      </c>
      <c r="D715" t="s">
        <v>25</v>
      </c>
      <c r="E715" t="s">
        <v>14</v>
      </c>
      <c r="F715">
        <v>79</v>
      </c>
      <c r="G715">
        <v>5</v>
      </c>
      <c r="H715">
        <v>0.37</v>
      </c>
      <c r="I715" t="s">
        <v>23</v>
      </c>
      <c r="J715">
        <v>7</v>
      </c>
      <c r="K715">
        <v>0</v>
      </c>
      <c r="L715">
        <v>0</v>
      </c>
      <c r="M715">
        <f>VLOOKUP(Table1[[#This Row],[subscription_type]],Plans!$A$1:$B$5,2,FALSE)</f>
        <v>0</v>
      </c>
      <c r="N715">
        <f t="shared" si="11"/>
        <v>0</v>
      </c>
    </row>
    <row r="716" spans="1:14" x14ac:dyDescent="0.35">
      <c r="A716">
        <v>715</v>
      </c>
      <c r="B716" t="s">
        <v>20</v>
      </c>
      <c r="C716">
        <v>36</v>
      </c>
      <c r="D716" t="s">
        <v>29</v>
      </c>
      <c r="E716" t="s">
        <v>22</v>
      </c>
      <c r="F716">
        <v>15</v>
      </c>
      <c r="G716">
        <v>11</v>
      </c>
      <c r="H716">
        <v>0.49</v>
      </c>
      <c r="I716" t="s">
        <v>15</v>
      </c>
      <c r="J716">
        <v>0</v>
      </c>
      <c r="K716">
        <v>1</v>
      </c>
      <c r="L716">
        <v>0</v>
      </c>
      <c r="M716">
        <f>VLOOKUP(Table1[[#This Row],[subscription_type]],Plans!$A$1:$B$5,2,FALSE)</f>
        <v>9.99</v>
      </c>
      <c r="N716">
        <f t="shared" si="11"/>
        <v>0</v>
      </c>
    </row>
    <row r="717" spans="1:14" x14ac:dyDescent="0.35">
      <c r="A717">
        <v>716</v>
      </c>
      <c r="B717" t="s">
        <v>12</v>
      </c>
      <c r="C717">
        <v>51</v>
      </c>
      <c r="D717" t="s">
        <v>25</v>
      </c>
      <c r="E717" t="s">
        <v>24</v>
      </c>
      <c r="F717">
        <v>73</v>
      </c>
      <c r="G717">
        <v>81</v>
      </c>
      <c r="H717">
        <v>0.1</v>
      </c>
      <c r="I717" t="s">
        <v>23</v>
      </c>
      <c r="J717">
        <v>0</v>
      </c>
      <c r="K717">
        <v>1</v>
      </c>
      <c r="L717">
        <v>0</v>
      </c>
      <c r="M717">
        <f>VLOOKUP(Table1[[#This Row],[subscription_type]],Plans!$A$1:$B$5,2,FALSE)</f>
        <v>4.99</v>
      </c>
      <c r="N717">
        <f t="shared" si="11"/>
        <v>0</v>
      </c>
    </row>
    <row r="718" spans="1:14" x14ac:dyDescent="0.35">
      <c r="A718">
        <v>717</v>
      </c>
      <c r="B718" t="s">
        <v>20</v>
      </c>
      <c r="C718">
        <v>28</v>
      </c>
      <c r="D718" t="s">
        <v>28</v>
      </c>
      <c r="E718" t="s">
        <v>18</v>
      </c>
      <c r="F718">
        <v>20</v>
      </c>
      <c r="G718">
        <v>16</v>
      </c>
      <c r="H718">
        <v>0.1</v>
      </c>
      <c r="I718" t="s">
        <v>23</v>
      </c>
      <c r="J718">
        <v>0</v>
      </c>
      <c r="K718">
        <v>1</v>
      </c>
      <c r="L718">
        <v>0</v>
      </c>
      <c r="M718">
        <f>VLOOKUP(Table1[[#This Row],[subscription_type]],Plans!$A$1:$B$5,2,FALSE)</f>
        <v>14.99</v>
      </c>
      <c r="N718">
        <f t="shared" si="11"/>
        <v>0</v>
      </c>
    </row>
    <row r="719" spans="1:14" x14ac:dyDescent="0.35">
      <c r="A719">
        <v>718</v>
      </c>
      <c r="B719" t="s">
        <v>16</v>
      </c>
      <c r="C719">
        <v>39</v>
      </c>
      <c r="D719" t="s">
        <v>26</v>
      </c>
      <c r="E719" t="s">
        <v>24</v>
      </c>
      <c r="F719">
        <v>141</v>
      </c>
      <c r="G719">
        <v>49</v>
      </c>
      <c r="H719">
        <v>0.54</v>
      </c>
      <c r="I719" t="s">
        <v>19</v>
      </c>
      <c r="J719">
        <v>0</v>
      </c>
      <c r="K719">
        <v>1</v>
      </c>
      <c r="L719">
        <v>0</v>
      </c>
      <c r="M719">
        <f>VLOOKUP(Table1[[#This Row],[subscription_type]],Plans!$A$1:$B$5,2,FALSE)</f>
        <v>4.99</v>
      </c>
      <c r="N719">
        <f t="shared" si="11"/>
        <v>0</v>
      </c>
    </row>
    <row r="720" spans="1:14" x14ac:dyDescent="0.35">
      <c r="A720">
        <v>719</v>
      </c>
      <c r="B720" t="s">
        <v>16</v>
      </c>
      <c r="C720">
        <v>51</v>
      </c>
      <c r="D720" t="s">
        <v>29</v>
      </c>
      <c r="E720" t="s">
        <v>14</v>
      </c>
      <c r="F720">
        <v>250</v>
      </c>
      <c r="G720">
        <v>72</v>
      </c>
      <c r="H720">
        <v>0.12</v>
      </c>
      <c r="I720" t="s">
        <v>19</v>
      </c>
      <c r="J720">
        <v>40</v>
      </c>
      <c r="K720">
        <v>0</v>
      </c>
      <c r="L720">
        <v>1</v>
      </c>
      <c r="M720">
        <f>VLOOKUP(Table1[[#This Row],[subscription_type]],Plans!$A$1:$B$5,2,FALSE)</f>
        <v>0</v>
      </c>
      <c r="N720">
        <f t="shared" si="11"/>
        <v>0</v>
      </c>
    </row>
    <row r="721" spans="1:14" x14ac:dyDescent="0.35">
      <c r="A721">
        <v>720</v>
      </c>
      <c r="B721" t="s">
        <v>12</v>
      </c>
      <c r="C721">
        <v>46</v>
      </c>
      <c r="D721" t="s">
        <v>21</v>
      </c>
      <c r="E721" t="s">
        <v>22</v>
      </c>
      <c r="F721">
        <v>191</v>
      </c>
      <c r="G721">
        <v>45</v>
      </c>
      <c r="H721">
        <v>0.01</v>
      </c>
      <c r="I721" t="s">
        <v>23</v>
      </c>
      <c r="J721">
        <v>0</v>
      </c>
      <c r="K721">
        <v>1</v>
      </c>
      <c r="L721">
        <v>0</v>
      </c>
      <c r="M721">
        <f>VLOOKUP(Table1[[#This Row],[subscription_type]],Plans!$A$1:$B$5,2,FALSE)</f>
        <v>9.99</v>
      </c>
      <c r="N721">
        <f t="shared" si="11"/>
        <v>0</v>
      </c>
    </row>
    <row r="722" spans="1:14" x14ac:dyDescent="0.35">
      <c r="A722">
        <v>721</v>
      </c>
      <c r="B722" t="s">
        <v>12</v>
      </c>
      <c r="C722">
        <v>18</v>
      </c>
      <c r="D722" t="s">
        <v>29</v>
      </c>
      <c r="E722" t="s">
        <v>14</v>
      </c>
      <c r="F722">
        <v>157</v>
      </c>
      <c r="G722">
        <v>48</v>
      </c>
      <c r="H722">
        <v>0.44</v>
      </c>
      <c r="I722" t="s">
        <v>23</v>
      </c>
      <c r="J722">
        <v>18</v>
      </c>
      <c r="K722">
        <v>0</v>
      </c>
      <c r="L722">
        <v>1</v>
      </c>
      <c r="M722">
        <f>VLOOKUP(Table1[[#This Row],[subscription_type]],Plans!$A$1:$B$5,2,FALSE)</f>
        <v>0</v>
      </c>
      <c r="N722">
        <f t="shared" si="11"/>
        <v>0</v>
      </c>
    </row>
    <row r="723" spans="1:14" x14ac:dyDescent="0.35">
      <c r="A723">
        <v>722</v>
      </c>
      <c r="B723" t="s">
        <v>12</v>
      </c>
      <c r="C723">
        <v>46</v>
      </c>
      <c r="D723" t="s">
        <v>28</v>
      </c>
      <c r="E723" t="s">
        <v>24</v>
      </c>
      <c r="F723">
        <v>53</v>
      </c>
      <c r="G723">
        <v>28</v>
      </c>
      <c r="H723">
        <v>0.08</v>
      </c>
      <c r="I723" t="s">
        <v>19</v>
      </c>
      <c r="J723">
        <v>0</v>
      </c>
      <c r="K723">
        <v>1</v>
      </c>
      <c r="L723">
        <v>0</v>
      </c>
      <c r="M723">
        <f>VLOOKUP(Table1[[#This Row],[subscription_type]],Plans!$A$1:$B$5,2,FALSE)</f>
        <v>4.99</v>
      </c>
      <c r="N723">
        <f t="shared" si="11"/>
        <v>0</v>
      </c>
    </row>
    <row r="724" spans="1:14" x14ac:dyDescent="0.35">
      <c r="A724">
        <v>723</v>
      </c>
      <c r="B724" t="s">
        <v>12</v>
      </c>
      <c r="C724">
        <v>42</v>
      </c>
      <c r="D724" t="s">
        <v>28</v>
      </c>
      <c r="E724" t="s">
        <v>24</v>
      </c>
      <c r="F724">
        <v>64</v>
      </c>
      <c r="G724">
        <v>70</v>
      </c>
      <c r="H724">
        <v>0.05</v>
      </c>
      <c r="I724" t="s">
        <v>19</v>
      </c>
      <c r="J724">
        <v>0</v>
      </c>
      <c r="K724">
        <v>1</v>
      </c>
      <c r="L724">
        <v>1</v>
      </c>
      <c r="M724">
        <f>VLOOKUP(Table1[[#This Row],[subscription_type]],Plans!$A$1:$B$5,2,FALSE)</f>
        <v>4.99</v>
      </c>
      <c r="N724">
        <f t="shared" si="11"/>
        <v>4.99</v>
      </c>
    </row>
    <row r="725" spans="1:14" x14ac:dyDescent="0.35">
      <c r="A725">
        <v>724</v>
      </c>
      <c r="B725" t="s">
        <v>16</v>
      </c>
      <c r="C725">
        <v>46</v>
      </c>
      <c r="D725" t="s">
        <v>26</v>
      </c>
      <c r="E725" t="s">
        <v>18</v>
      </c>
      <c r="F725">
        <v>160</v>
      </c>
      <c r="G725">
        <v>17</v>
      </c>
      <c r="H725">
        <v>0.5</v>
      </c>
      <c r="I725" t="s">
        <v>15</v>
      </c>
      <c r="J725">
        <v>0</v>
      </c>
      <c r="K725">
        <v>1</v>
      </c>
      <c r="L725">
        <v>0</v>
      </c>
      <c r="M725">
        <f>VLOOKUP(Table1[[#This Row],[subscription_type]],Plans!$A$1:$B$5,2,FALSE)</f>
        <v>14.99</v>
      </c>
      <c r="N725">
        <f t="shared" si="11"/>
        <v>0</v>
      </c>
    </row>
    <row r="726" spans="1:14" x14ac:dyDescent="0.35">
      <c r="A726">
        <v>725</v>
      </c>
      <c r="B726" t="s">
        <v>16</v>
      </c>
      <c r="C726">
        <v>35</v>
      </c>
      <c r="D726" t="s">
        <v>27</v>
      </c>
      <c r="E726" t="s">
        <v>24</v>
      </c>
      <c r="F726">
        <v>227</v>
      </c>
      <c r="G726">
        <v>39</v>
      </c>
      <c r="H726">
        <v>0.44</v>
      </c>
      <c r="I726" t="s">
        <v>19</v>
      </c>
      <c r="J726">
        <v>0</v>
      </c>
      <c r="K726">
        <v>1</v>
      </c>
      <c r="L726">
        <v>0</v>
      </c>
      <c r="M726">
        <f>VLOOKUP(Table1[[#This Row],[subscription_type]],Plans!$A$1:$B$5,2,FALSE)</f>
        <v>4.99</v>
      </c>
      <c r="N726">
        <f t="shared" si="11"/>
        <v>0</v>
      </c>
    </row>
    <row r="727" spans="1:14" x14ac:dyDescent="0.35">
      <c r="A727">
        <v>726</v>
      </c>
      <c r="B727" t="s">
        <v>12</v>
      </c>
      <c r="C727">
        <v>57</v>
      </c>
      <c r="D727" t="s">
        <v>29</v>
      </c>
      <c r="E727" t="s">
        <v>22</v>
      </c>
      <c r="F727">
        <v>183</v>
      </c>
      <c r="G727">
        <v>58</v>
      </c>
      <c r="H727">
        <v>0</v>
      </c>
      <c r="I727" t="s">
        <v>15</v>
      </c>
      <c r="J727">
        <v>0</v>
      </c>
      <c r="K727">
        <v>1</v>
      </c>
      <c r="L727">
        <v>0</v>
      </c>
      <c r="M727">
        <f>VLOOKUP(Table1[[#This Row],[subscription_type]],Plans!$A$1:$B$5,2,FALSE)</f>
        <v>9.99</v>
      </c>
      <c r="N727">
        <f t="shared" si="11"/>
        <v>0</v>
      </c>
    </row>
    <row r="728" spans="1:14" x14ac:dyDescent="0.35">
      <c r="A728">
        <v>727</v>
      </c>
      <c r="B728" t="s">
        <v>16</v>
      </c>
      <c r="C728">
        <v>38</v>
      </c>
      <c r="D728" t="s">
        <v>27</v>
      </c>
      <c r="E728" t="s">
        <v>14</v>
      </c>
      <c r="F728">
        <v>186</v>
      </c>
      <c r="G728">
        <v>46</v>
      </c>
      <c r="H728">
        <v>7.0000000000000007E-2</v>
      </c>
      <c r="I728" t="s">
        <v>23</v>
      </c>
      <c r="J728">
        <v>30</v>
      </c>
      <c r="K728">
        <v>0</v>
      </c>
      <c r="L728">
        <v>0</v>
      </c>
      <c r="M728">
        <f>VLOOKUP(Table1[[#This Row],[subscription_type]],Plans!$A$1:$B$5,2,FALSE)</f>
        <v>0</v>
      </c>
      <c r="N728">
        <f t="shared" si="11"/>
        <v>0</v>
      </c>
    </row>
    <row r="729" spans="1:14" x14ac:dyDescent="0.35">
      <c r="A729">
        <v>728</v>
      </c>
      <c r="B729" t="s">
        <v>16</v>
      </c>
      <c r="C729">
        <v>31</v>
      </c>
      <c r="D729" t="s">
        <v>17</v>
      </c>
      <c r="E729" t="s">
        <v>22</v>
      </c>
      <c r="F729">
        <v>176</v>
      </c>
      <c r="G729">
        <v>37</v>
      </c>
      <c r="H729">
        <v>0.28999999999999998</v>
      </c>
      <c r="I729" t="s">
        <v>19</v>
      </c>
      <c r="J729">
        <v>0</v>
      </c>
      <c r="K729">
        <v>1</v>
      </c>
      <c r="L729">
        <v>1</v>
      </c>
      <c r="M729">
        <f>VLOOKUP(Table1[[#This Row],[subscription_type]],Plans!$A$1:$B$5,2,FALSE)</f>
        <v>9.99</v>
      </c>
      <c r="N729">
        <f t="shared" si="11"/>
        <v>9.99</v>
      </c>
    </row>
    <row r="730" spans="1:14" x14ac:dyDescent="0.35">
      <c r="A730">
        <v>729</v>
      </c>
      <c r="B730" t="s">
        <v>16</v>
      </c>
      <c r="C730">
        <v>20</v>
      </c>
      <c r="D730" t="s">
        <v>27</v>
      </c>
      <c r="E730" t="s">
        <v>22</v>
      </c>
      <c r="F730">
        <v>274</v>
      </c>
      <c r="G730">
        <v>54</v>
      </c>
      <c r="H730">
        <v>0.6</v>
      </c>
      <c r="I730" t="s">
        <v>15</v>
      </c>
      <c r="J730">
        <v>0</v>
      </c>
      <c r="K730">
        <v>1</v>
      </c>
      <c r="L730">
        <v>0</v>
      </c>
      <c r="M730">
        <f>VLOOKUP(Table1[[#This Row],[subscription_type]],Plans!$A$1:$B$5,2,FALSE)</f>
        <v>9.99</v>
      </c>
      <c r="N730">
        <f t="shared" si="11"/>
        <v>0</v>
      </c>
    </row>
    <row r="731" spans="1:14" x14ac:dyDescent="0.35">
      <c r="A731">
        <v>730</v>
      </c>
      <c r="B731" t="s">
        <v>16</v>
      </c>
      <c r="C731">
        <v>26</v>
      </c>
      <c r="D731" t="s">
        <v>27</v>
      </c>
      <c r="E731" t="s">
        <v>24</v>
      </c>
      <c r="F731">
        <v>183</v>
      </c>
      <c r="G731">
        <v>65</v>
      </c>
      <c r="H731">
        <v>0.52</v>
      </c>
      <c r="I731" t="s">
        <v>15</v>
      </c>
      <c r="J731">
        <v>0</v>
      </c>
      <c r="K731">
        <v>1</v>
      </c>
      <c r="L731">
        <v>0</v>
      </c>
      <c r="M731">
        <f>VLOOKUP(Table1[[#This Row],[subscription_type]],Plans!$A$1:$B$5,2,FALSE)</f>
        <v>4.99</v>
      </c>
      <c r="N731">
        <f t="shared" si="11"/>
        <v>0</v>
      </c>
    </row>
    <row r="732" spans="1:14" x14ac:dyDescent="0.35">
      <c r="A732">
        <v>731</v>
      </c>
      <c r="B732" t="s">
        <v>12</v>
      </c>
      <c r="C732">
        <v>58</v>
      </c>
      <c r="D732" t="s">
        <v>17</v>
      </c>
      <c r="E732" t="s">
        <v>18</v>
      </c>
      <c r="F732">
        <v>293</v>
      </c>
      <c r="G732">
        <v>47</v>
      </c>
      <c r="H732">
        <v>0.06</v>
      </c>
      <c r="I732" t="s">
        <v>15</v>
      </c>
      <c r="J732">
        <v>0</v>
      </c>
      <c r="K732">
        <v>1</v>
      </c>
      <c r="L732">
        <v>0</v>
      </c>
      <c r="M732">
        <f>VLOOKUP(Table1[[#This Row],[subscription_type]],Plans!$A$1:$B$5,2,FALSE)</f>
        <v>14.99</v>
      </c>
      <c r="N732">
        <f t="shared" si="11"/>
        <v>0</v>
      </c>
    </row>
    <row r="733" spans="1:14" x14ac:dyDescent="0.35">
      <c r="A733">
        <v>732</v>
      </c>
      <c r="B733" t="s">
        <v>16</v>
      </c>
      <c r="C733">
        <v>51</v>
      </c>
      <c r="D733" t="s">
        <v>26</v>
      </c>
      <c r="E733" t="s">
        <v>18</v>
      </c>
      <c r="F733">
        <v>70</v>
      </c>
      <c r="G733">
        <v>51</v>
      </c>
      <c r="H733">
        <v>0.45</v>
      </c>
      <c r="I733" t="s">
        <v>23</v>
      </c>
      <c r="J733">
        <v>0</v>
      </c>
      <c r="K733">
        <v>1</v>
      </c>
      <c r="L733">
        <v>0</v>
      </c>
      <c r="M733">
        <f>VLOOKUP(Table1[[#This Row],[subscription_type]],Plans!$A$1:$B$5,2,FALSE)</f>
        <v>14.99</v>
      </c>
      <c r="N733">
        <f t="shared" si="11"/>
        <v>0</v>
      </c>
    </row>
    <row r="734" spans="1:14" x14ac:dyDescent="0.35">
      <c r="A734">
        <v>733</v>
      </c>
      <c r="B734" t="s">
        <v>20</v>
      </c>
      <c r="C734">
        <v>23</v>
      </c>
      <c r="D734" t="s">
        <v>13</v>
      </c>
      <c r="E734" t="s">
        <v>22</v>
      </c>
      <c r="F734">
        <v>64</v>
      </c>
      <c r="G734">
        <v>85</v>
      </c>
      <c r="H734">
        <v>0.16</v>
      </c>
      <c r="I734" t="s">
        <v>19</v>
      </c>
      <c r="J734">
        <v>0</v>
      </c>
      <c r="K734">
        <v>1</v>
      </c>
      <c r="L734">
        <v>0</v>
      </c>
      <c r="M734">
        <f>VLOOKUP(Table1[[#This Row],[subscription_type]],Plans!$A$1:$B$5,2,FALSE)</f>
        <v>9.99</v>
      </c>
      <c r="N734">
        <f t="shared" si="11"/>
        <v>0</v>
      </c>
    </row>
    <row r="735" spans="1:14" x14ac:dyDescent="0.35">
      <c r="A735">
        <v>734</v>
      </c>
      <c r="B735" t="s">
        <v>20</v>
      </c>
      <c r="C735">
        <v>38</v>
      </c>
      <c r="D735" t="s">
        <v>17</v>
      </c>
      <c r="E735" t="s">
        <v>24</v>
      </c>
      <c r="F735">
        <v>291</v>
      </c>
      <c r="G735">
        <v>75</v>
      </c>
      <c r="H735">
        <v>0.33</v>
      </c>
      <c r="I735" t="s">
        <v>15</v>
      </c>
      <c r="J735">
        <v>0</v>
      </c>
      <c r="K735">
        <v>1</v>
      </c>
      <c r="L735">
        <v>0</v>
      </c>
      <c r="M735">
        <f>VLOOKUP(Table1[[#This Row],[subscription_type]],Plans!$A$1:$B$5,2,FALSE)</f>
        <v>4.99</v>
      </c>
      <c r="N735">
        <f t="shared" si="11"/>
        <v>0</v>
      </c>
    </row>
    <row r="736" spans="1:14" x14ac:dyDescent="0.35">
      <c r="A736">
        <v>735</v>
      </c>
      <c r="B736" t="s">
        <v>12</v>
      </c>
      <c r="C736">
        <v>31</v>
      </c>
      <c r="D736" t="s">
        <v>25</v>
      </c>
      <c r="E736" t="s">
        <v>22</v>
      </c>
      <c r="F736">
        <v>218</v>
      </c>
      <c r="G736">
        <v>60</v>
      </c>
      <c r="H736">
        <v>0.06</v>
      </c>
      <c r="I736" t="s">
        <v>15</v>
      </c>
      <c r="J736">
        <v>0</v>
      </c>
      <c r="K736">
        <v>1</v>
      </c>
      <c r="L736">
        <v>0</v>
      </c>
      <c r="M736">
        <f>VLOOKUP(Table1[[#This Row],[subscription_type]],Plans!$A$1:$B$5,2,FALSE)</f>
        <v>9.99</v>
      </c>
      <c r="N736">
        <f t="shared" si="11"/>
        <v>0</v>
      </c>
    </row>
    <row r="737" spans="1:14" x14ac:dyDescent="0.35">
      <c r="A737">
        <v>736</v>
      </c>
      <c r="B737" t="s">
        <v>16</v>
      </c>
      <c r="C737">
        <v>24</v>
      </c>
      <c r="D737" t="s">
        <v>27</v>
      </c>
      <c r="E737" t="s">
        <v>24</v>
      </c>
      <c r="F737">
        <v>211</v>
      </c>
      <c r="G737">
        <v>76</v>
      </c>
      <c r="H737">
        <v>0.52</v>
      </c>
      <c r="I737" t="s">
        <v>23</v>
      </c>
      <c r="J737">
        <v>0</v>
      </c>
      <c r="K737">
        <v>1</v>
      </c>
      <c r="L737">
        <v>0</v>
      </c>
      <c r="M737">
        <f>VLOOKUP(Table1[[#This Row],[subscription_type]],Plans!$A$1:$B$5,2,FALSE)</f>
        <v>4.99</v>
      </c>
      <c r="N737">
        <f t="shared" si="11"/>
        <v>0</v>
      </c>
    </row>
    <row r="738" spans="1:14" x14ac:dyDescent="0.35">
      <c r="A738">
        <v>737</v>
      </c>
      <c r="B738" t="s">
        <v>20</v>
      </c>
      <c r="C738">
        <v>42</v>
      </c>
      <c r="D738" t="s">
        <v>17</v>
      </c>
      <c r="E738" t="s">
        <v>18</v>
      </c>
      <c r="F738">
        <v>126</v>
      </c>
      <c r="G738">
        <v>90</v>
      </c>
      <c r="H738">
        <v>0.03</v>
      </c>
      <c r="I738" t="s">
        <v>19</v>
      </c>
      <c r="J738">
        <v>0</v>
      </c>
      <c r="K738">
        <v>1</v>
      </c>
      <c r="L738">
        <v>0</v>
      </c>
      <c r="M738">
        <f>VLOOKUP(Table1[[#This Row],[subscription_type]],Plans!$A$1:$B$5,2,FALSE)</f>
        <v>14.99</v>
      </c>
      <c r="N738">
        <f t="shared" si="11"/>
        <v>0</v>
      </c>
    </row>
    <row r="739" spans="1:14" x14ac:dyDescent="0.35">
      <c r="A739">
        <v>738</v>
      </c>
      <c r="B739" t="s">
        <v>16</v>
      </c>
      <c r="C739">
        <v>27</v>
      </c>
      <c r="D739" t="s">
        <v>29</v>
      </c>
      <c r="E739" t="s">
        <v>22</v>
      </c>
      <c r="F739">
        <v>231</v>
      </c>
      <c r="G739">
        <v>59</v>
      </c>
      <c r="H739">
        <v>0.12</v>
      </c>
      <c r="I739" t="s">
        <v>19</v>
      </c>
      <c r="J739">
        <v>0</v>
      </c>
      <c r="K739">
        <v>1</v>
      </c>
      <c r="L739">
        <v>0</v>
      </c>
      <c r="M739">
        <f>VLOOKUP(Table1[[#This Row],[subscription_type]],Plans!$A$1:$B$5,2,FALSE)</f>
        <v>9.99</v>
      </c>
      <c r="N739">
        <f t="shared" si="11"/>
        <v>0</v>
      </c>
    </row>
    <row r="740" spans="1:14" x14ac:dyDescent="0.35">
      <c r="A740">
        <v>739</v>
      </c>
      <c r="B740" t="s">
        <v>16</v>
      </c>
      <c r="C740">
        <v>57</v>
      </c>
      <c r="D740" t="s">
        <v>27</v>
      </c>
      <c r="E740" t="s">
        <v>18</v>
      </c>
      <c r="F740">
        <v>290</v>
      </c>
      <c r="G740">
        <v>16</v>
      </c>
      <c r="H740">
        <v>0.17</v>
      </c>
      <c r="I740" t="s">
        <v>23</v>
      </c>
      <c r="J740">
        <v>0</v>
      </c>
      <c r="K740">
        <v>1</v>
      </c>
      <c r="L740">
        <v>0</v>
      </c>
      <c r="M740">
        <f>VLOOKUP(Table1[[#This Row],[subscription_type]],Plans!$A$1:$B$5,2,FALSE)</f>
        <v>14.99</v>
      </c>
      <c r="N740">
        <f t="shared" si="11"/>
        <v>0</v>
      </c>
    </row>
    <row r="741" spans="1:14" x14ac:dyDescent="0.35">
      <c r="A741">
        <v>740</v>
      </c>
      <c r="B741" t="s">
        <v>20</v>
      </c>
      <c r="C741">
        <v>36</v>
      </c>
      <c r="D741" t="s">
        <v>13</v>
      </c>
      <c r="E741" t="s">
        <v>14</v>
      </c>
      <c r="F741">
        <v>77</v>
      </c>
      <c r="G741">
        <v>85</v>
      </c>
      <c r="H741">
        <v>0</v>
      </c>
      <c r="I741" t="s">
        <v>19</v>
      </c>
      <c r="J741">
        <v>46</v>
      </c>
      <c r="K741">
        <v>0</v>
      </c>
      <c r="L741">
        <v>0</v>
      </c>
      <c r="M741">
        <f>VLOOKUP(Table1[[#This Row],[subscription_type]],Plans!$A$1:$B$5,2,FALSE)</f>
        <v>0</v>
      </c>
      <c r="N741">
        <f t="shared" si="11"/>
        <v>0</v>
      </c>
    </row>
    <row r="742" spans="1:14" x14ac:dyDescent="0.35">
      <c r="A742">
        <v>741</v>
      </c>
      <c r="B742" t="s">
        <v>20</v>
      </c>
      <c r="C742">
        <v>16</v>
      </c>
      <c r="D742" t="s">
        <v>29</v>
      </c>
      <c r="E742" t="s">
        <v>22</v>
      </c>
      <c r="F742">
        <v>154</v>
      </c>
      <c r="G742">
        <v>29</v>
      </c>
      <c r="H742">
        <v>0.34</v>
      </c>
      <c r="I742" t="s">
        <v>23</v>
      </c>
      <c r="J742">
        <v>0</v>
      </c>
      <c r="K742">
        <v>1</v>
      </c>
      <c r="L742">
        <v>0</v>
      </c>
      <c r="M742">
        <f>VLOOKUP(Table1[[#This Row],[subscription_type]],Plans!$A$1:$B$5,2,FALSE)</f>
        <v>9.99</v>
      </c>
      <c r="N742">
        <f t="shared" si="11"/>
        <v>0</v>
      </c>
    </row>
    <row r="743" spans="1:14" x14ac:dyDescent="0.35">
      <c r="A743">
        <v>742</v>
      </c>
      <c r="B743" t="s">
        <v>12</v>
      </c>
      <c r="C743">
        <v>24</v>
      </c>
      <c r="D743" t="s">
        <v>28</v>
      </c>
      <c r="E743" t="s">
        <v>24</v>
      </c>
      <c r="F743">
        <v>105</v>
      </c>
      <c r="G743">
        <v>48</v>
      </c>
      <c r="H743">
        <v>0.38</v>
      </c>
      <c r="I743" t="s">
        <v>23</v>
      </c>
      <c r="J743">
        <v>0</v>
      </c>
      <c r="K743">
        <v>1</v>
      </c>
      <c r="L743">
        <v>1</v>
      </c>
      <c r="M743">
        <f>VLOOKUP(Table1[[#This Row],[subscription_type]],Plans!$A$1:$B$5,2,FALSE)</f>
        <v>4.99</v>
      </c>
      <c r="N743">
        <f t="shared" si="11"/>
        <v>4.99</v>
      </c>
    </row>
    <row r="744" spans="1:14" x14ac:dyDescent="0.35">
      <c r="A744">
        <v>743</v>
      </c>
      <c r="B744" t="s">
        <v>20</v>
      </c>
      <c r="C744">
        <v>53</v>
      </c>
      <c r="D744" t="s">
        <v>17</v>
      </c>
      <c r="E744" t="s">
        <v>24</v>
      </c>
      <c r="F744">
        <v>113</v>
      </c>
      <c r="G744">
        <v>65</v>
      </c>
      <c r="H744">
        <v>0.38</v>
      </c>
      <c r="I744" t="s">
        <v>23</v>
      </c>
      <c r="J744">
        <v>0</v>
      </c>
      <c r="K744">
        <v>1</v>
      </c>
      <c r="L744">
        <v>0</v>
      </c>
      <c r="M744">
        <f>VLOOKUP(Table1[[#This Row],[subscription_type]],Plans!$A$1:$B$5,2,FALSE)</f>
        <v>4.99</v>
      </c>
      <c r="N744">
        <f t="shared" si="11"/>
        <v>0</v>
      </c>
    </row>
    <row r="745" spans="1:14" x14ac:dyDescent="0.35">
      <c r="A745">
        <v>744</v>
      </c>
      <c r="B745" t="s">
        <v>16</v>
      </c>
      <c r="C745">
        <v>36</v>
      </c>
      <c r="D745" t="s">
        <v>21</v>
      </c>
      <c r="E745" t="s">
        <v>22</v>
      </c>
      <c r="F745">
        <v>174</v>
      </c>
      <c r="G745">
        <v>11</v>
      </c>
      <c r="H745">
        <v>0.28999999999999998</v>
      </c>
      <c r="I745" t="s">
        <v>23</v>
      </c>
      <c r="J745">
        <v>0</v>
      </c>
      <c r="K745">
        <v>1</v>
      </c>
      <c r="L745">
        <v>0</v>
      </c>
      <c r="M745">
        <f>VLOOKUP(Table1[[#This Row],[subscription_type]],Plans!$A$1:$B$5,2,FALSE)</f>
        <v>9.99</v>
      </c>
      <c r="N745">
        <f t="shared" si="11"/>
        <v>0</v>
      </c>
    </row>
    <row r="746" spans="1:14" x14ac:dyDescent="0.35">
      <c r="A746">
        <v>745</v>
      </c>
      <c r="B746" t="s">
        <v>16</v>
      </c>
      <c r="C746">
        <v>51</v>
      </c>
      <c r="D746" t="s">
        <v>17</v>
      </c>
      <c r="E746" t="s">
        <v>22</v>
      </c>
      <c r="F746">
        <v>32</v>
      </c>
      <c r="G746">
        <v>59</v>
      </c>
      <c r="H746">
        <v>0.02</v>
      </c>
      <c r="I746" t="s">
        <v>23</v>
      </c>
      <c r="J746">
        <v>0</v>
      </c>
      <c r="K746">
        <v>1</v>
      </c>
      <c r="L746">
        <v>0</v>
      </c>
      <c r="M746">
        <f>VLOOKUP(Table1[[#This Row],[subscription_type]],Plans!$A$1:$B$5,2,FALSE)</f>
        <v>9.99</v>
      </c>
      <c r="N746">
        <f t="shared" si="11"/>
        <v>0</v>
      </c>
    </row>
    <row r="747" spans="1:14" x14ac:dyDescent="0.35">
      <c r="A747">
        <v>746</v>
      </c>
      <c r="B747" t="s">
        <v>16</v>
      </c>
      <c r="C747">
        <v>42</v>
      </c>
      <c r="D747" t="s">
        <v>13</v>
      </c>
      <c r="E747" t="s">
        <v>22</v>
      </c>
      <c r="F747">
        <v>271</v>
      </c>
      <c r="G747">
        <v>99</v>
      </c>
      <c r="H747">
        <v>0.34</v>
      </c>
      <c r="I747" t="s">
        <v>19</v>
      </c>
      <c r="J747">
        <v>0</v>
      </c>
      <c r="K747">
        <v>1</v>
      </c>
      <c r="L747">
        <v>0</v>
      </c>
      <c r="M747">
        <f>VLOOKUP(Table1[[#This Row],[subscription_type]],Plans!$A$1:$B$5,2,FALSE)</f>
        <v>9.99</v>
      </c>
      <c r="N747">
        <f t="shared" si="11"/>
        <v>0</v>
      </c>
    </row>
    <row r="748" spans="1:14" x14ac:dyDescent="0.35">
      <c r="A748">
        <v>747</v>
      </c>
      <c r="B748" t="s">
        <v>16</v>
      </c>
      <c r="C748">
        <v>29</v>
      </c>
      <c r="D748" t="s">
        <v>28</v>
      </c>
      <c r="E748" t="s">
        <v>22</v>
      </c>
      <c r="F748">
        <v>97</v>
      </c>
      <c r="G748">
        <v>26</v>
      </c>
      <c r="H748">
        <v>0.44</v>
      </c>
      <c r="I748" t="s">
        <v>15</v>
      </c>
      <c r="J748">
        <v>0</v>
      </c>
      <c r="K748">
        <v>1</v>
      </c>
      <c r="L748">
        <v>0</v>
      </c>
      <c r="M748">
        <f>VLOOKUP(Table1[[#This Row],[subscription_type]],Plans!$A$1:$B$5,2,FALSE)</f>
        <v>9.99</v>
      </c>
      <c r="N748">
        <f t="shared" si="11"/>
        <v>0</v>
      </c>
    </row>
    <row r="749" spans="1:14" x14ac:dyDescent="0.35">
      <c r="A749">
        <v>748</v>
      </c>
      <c r="B749" t="s">
        <v>20</v>
      </c>
      <c r="C749">
        <v>59</v>
      </c>
      <c r="D749" t="s">
        <v>13</v>
      </c>
      <c r="E749" t="s">
        <v>24</v>
      </c>
      <c r="F749">
        <v>266</v>
      </c>
      <c r="G749">
        <v>90</v>
      </c>
      <c r="H749">
        <v>0.06</v>
      </c>
      <c r="I749" t="s">
        <v>15</v>
      </c>
      <c r="J749">
        <v>0</v>
      </c>
      <c r="K749">
        <v>1</v>
      </c>
      <c r="L749">
        <v>0</v>
      </c>
      <c r="M749">
        <f>VLOOKUP(Table1[[#This Row],[subscription_type]],Plans!$A$1:$B$5,2,FALSE)</f>
        <v>4.99</v>
      </c>
      <c r="N749">
        <f t="shared" si="11"/>
        <v>0</v>
      </c>
    </row>
    <row r="750" spans="1:14" x14ac:dyDescent="0.35">
      <c r="A750">
        <v>749</v>
      </c>
      <c r="B750" t="s">
        <v>16</v>
      </c>
      <c r="C750">
        <v>22</v>
      </c>
      <c r="D750" t="s">
        <v>21</v>
      </c>
      <c r="E750" t="s">
        <v>14</v>
      </c>
      <c r="F750">
        <v>276</v>
      </c>
      <c r="G750">
        <v>11</v>
      </c>
      <c r="H750">
        <v>0.13</v>
      </c>
      <c r="I750" t="s">
        <v>15</v>
      </c>
      <c r="J750">
        <v>9</v>
      </c>
      <c r="K750">
        <v>0</v>
      </c>
      <c r="L750">
        <v>0</v>
      </c>
      <c r="M750">
        <f>VLOOKUP(Table1[[#This Row],[subscription_type]],Plans!$A$1:$B$5,2,FALSE)</f>
        <v>0</v>
      </c>
      <c r="N750">
        <f t="shared" si="11"/>
        <v>0</v>
      </c>
    </row>
    <row r="751" spans="1:14" x14ac:dyDescent="0.35">
      <c r="A751">
        <v>750</v>
      </c>
      <c r="B751" t="s">
        <v>12</v>
      </c>
      <c r="C751">
        <v>52</v>
      </c>
      <c r="D751" t="s">
        <v>26</v>
      </c>
      <c r="E751" t="s">
        <v>18</v>
      </c>
      <c r="F751">
        <v>81</v>
      </c>
      <c r="G751">
        <v>16</v>
      </c>
      <c r="H751">
        <v>0.37</v>
      </c>
      <c r="I751" t="s">
        <v>15</v>
      </c>
      <c r="J751">
        <v>0</v>
      </c>
      <c r="K751">
        <v>1</v>
      </c>
      <c r="L751">
        <v>0</v>
      </c>
      <c r="M751">
        <f>VLOOKUP(Table1[[#This Row],[subscription_type]],Plans!$A$1:$B$5,2,FALSE)</f>
        <v>14.99</v>
      </c>
      <c r="N751">
        <f t="shared" si="11"/>
        <v>0</v>
      </c>
    </row>
    <row r="752" spans="1:14" x14ac:dyDescent="0.35">
      <c r="A752">
        <v>751</v>
      </c>
      <c r="B752" t="s">
        <v>20</v>
      </c>
      <c r="C752">
        <v>27</v>
      </c>
      <c r="D752" t="s">
        <v>13</v>
      </c>
      <c r="E752" t="s">
        <v>18</v>
      </c>
      <c r="F752">
        <v>116</v>
      </c>
      <c r="G752">
        <v>39</v>
      </c>
      <c r="H752">
        <v>0.44</v>
      </c>
      <c r="I752" t="s">
        <v>15</v>
      </c>
      <c r="J752">
        <v>0</v>
      </c>
      <c r="K752">
        <v>1</v>
      </c>
      <c r="L752">
        <v>1</v>
      </c>
      <c r="M752">
        <f>VLOOKUP(Table1[[#This Row],[subscription_type]],Plans!$A$1:$B$5,2,FALSE)</f>
        <v>14.99</v>
      </c>
      <c r="N752">
        <f t="shared" si="11"/>
        <v>14.99</v>
      </c>
    </row>
    <row r="753" spans="1:14" x14ac:dyDescent="0.35">
      <c r="A753">
        <v>752</v>
      </c>
      <c r="B753" t="s">
        <v>20</v>
      </c>
      <c r="C753">
        <v>46</v>
      </c>
      <c r="D753" t="s">
        <v>21</v>
      </c>
      <c r="E753" t="s">
        <v>18</v>
      </c>
      <c r="F753">
        <v>251</v>
      </c>
      <c r="G753">
        <v>63</v>
      </c>
      <c r="H753">
        <v>0.34</v>
      </c>
      <c r="I753" t="s">
        <v>19</v>
      </c>
      <c r="J753">
        <v>0</v>
      </c>
      <c r="K753">
        <v>1</v>
      </c>
      <c r="L753">
        <v>0</v>
      </c>
      <c r="M753">
        <f>VLOOKUP(Table1[[#This Row],[subscription_type]],Plans!$A$1:$B$5,2,FALSE)</f>
        <v>14.99</v>
      </c>
      <c r="N753">
        <f t="shared" si="11"/>
        <v>0</v>
      </c>
    </row>
    <row r="754" spans="1:14" x14ac:dyDescent="0.35">
      <c r="A754">
        <v>753</v>
      </c>
      <c r="B754" t="s">
        <v>20</v>
      </c>
      <c r="C754">
        <v>52</v>
      </c>
      <c r="D754" t="s">
        <v>25</v>
      </c>
      <c r="E754" t="s">
        <v>24</v>
      </c>
      <c r="F754">
        <v>270</v>
      </c>
      <c r="G754">
        <v>67</v>
      </c>
      <c r="H754">
        <v>0.22</v>
      </c>
      <c r="I754" t="s">
        <v>19</v>
      </c>
      <c r="J754">
        <v>0</v>
      </c>
      <c r="K754">
        <v>1</v>
      </c>
      <c r="L754">
        <v>0</v>
      </c>
      <c r="M754">
        <f>VLOOKUP(Table1[[#This Row],[subscription_type]],Plans!$A$1:$B$5,2,FALSE)</f>
        <v>4.99</v>
      </c>
      <c r="N754">
        <f t="shared" si="11"/>
        <v>0</v>
      </c>
    </row>
    <row r="755" spans="1:14" x14ac:dyDescent="0.35">
      <c r="A755">
        <v>754</v>
      </c>
      <c r="B755" t="s">
        <v>16</v>
      </c>
      <c r="C755">
        <v>39</v>
      </c>
      <c r="D755" t="s">
        <v>17</v>
      </c>
      <c r="E755" t="s">
        <v>22</v>
      </c>
      <c r="F755">
        <v>246</v>
      </c>
      <c r="G755">
        <v>37</v>
      </c>
      <c r="H755">
        <v>0.17</v>
      </c>
      <c r="I755" t="s">
        <v>23</v>
      </c>
      <c r="J755">
        <v>0</v>
      </c>
      <c r="K755">
        <v>1</v>
      </c>
      <c r="L755">
        <v>1</v>
      </c>
      <c r="M755">
        <f>VLOOKUP(Table1[[#This Row],[subscription_type]],Plans!$A$1:$B$5,2,FALSE)</f>
        <v>9.99</v>
      </c>
      <c r="N755">
        <f t="shared" si="11"/>
        <v>9.99</v>
      </c>
    </row>
    <row r="756" spans="1:14" x14ac:dyDescent="0.35">
      <c r="A756">
        <v>755</v>
      </c>
      <c r="B756" t="s">
        <v>20</v>
      </c>
      <c r="C756">
        <v>33</v>
      </c>
      <c r="D756" t="s">
        <v>13</v>
      </c>
      <c r="E756" t="s">
        <v>14</v>
      </c>
      <c r="F756">
        <v>100</v>
      </c>
      <c r="G756">
        <v>8</v>
      </c>
      <c r="H756">
        <v>0.02</v>
      </c>
      <c r="I756" t="s">
        <v>23</v>
      </c>
      <c r="J756">
        <v>45</v>
      </c>
      <c r="K756">
        <v>0</v>
      </c>
      <c r="L756">
        <v>0</v>
      </c>
      <c r="M756">
        <f>VLOOKUP(Table1[[#This Row],[subscription_type]],Plans!$A$1:$B$5,2,FALSE)</f>
        <v>0</v>
      </c>
      <c r="N756">
        <f t="shared" si="11"/>
        <v>0</v>
      </c>
    </row>
    <row r="757" spans="1:14" x14ac:dyDescent="0.35">
      <c r="A757">
        <v>756</v>
      </c>
      <c r="B757" t="s">
        <v>16</v>
      </c>
      <c r="C757">
        <v>17</v>
      </c>
      <c r="D757" t="s">
        <v>26</v>
      </c>
      <c r="E757" t="s">
        <v>14</v>
      </c>
      <c r="F757">
        <v>206</v>
      </c>
      <c r="G757">
        <v>27</v>
      </c>
      <c r="H757">
        <v>0.42</v>
      </c>
      <c r="I757" t="s">
        <v>15</v>
      </c>
      <c r="J757">
        <v>49</v>
      </c>
      <c r="K757">
        <v>0</v>
      </c>
      <c r="L757">
        <v>0</v>
      </c>
      <c r="M757">
        <f>VLOOKUP(Table1[[#This Row],[subscription_type]],Plans!$A$1:$B$5,2,FALSE)</f>
        <v>0</v>
      </c>
      <c r="N757">
        <f t="shared" si="11"/>
        <v>0</v>
      </c>
    </row>
    <row r="758" spans="1:14" x14ac:dyDescent="0.35">
      <c r="A758">
        <v>757</v>
      </c>
      <c r="B758" t="s">
        <v>12</v>
      </c>
      <c r="C758">
        <v>35</v>
      </c>
      <c r="D758" t="s">
        <v>21</v>
      </c>
      <c r="E758" t="s">
        <v>18</v>
      </c>
      <c r="F758">
        <v>81</v>
      </c>
      <c r="G758">
        <v>90</v>
      </c>
      <c r="H758">
        <v>0.19</v>
      </c>
      <c r="I758" t="s">
        <v>15</v>
      </c>
      <c r="J758">
        <v>0</v>
      </c>
      <c r="K758">
        <v>1</v>
      </c>
      <c r="L758">
        <v>0</v>
      </c>
      <c r="M758">
        <f>VLOOKUP(Table1[[#This Row],[subscription_type]],Plans!$A$1:$B$5,2,FALSE)</f>
        <v>14.99</v>
      </c>
      <c r="N758">
        <f t="shared" si="11"/>
        <v>0</v>
      </c>
    </row>
    <row r="759" spans="1:14" x14ac:dyDescent="0.35">
      <c r="A759">
        <v>758</v>
      </c>
      <c r="B759" t="s">
        <v>20</v>
      </c>
      <c r="C759">
        <v>41</v>
      </c>
      <c r="D759" t="s">
        <v>28</v>
      </c>
      <c r="E759" t="s">
        <v>18</v>
      </c>
      <c r="F759">
        <v>26</v>
      </c>
      <c r="G759">
        <v>42</v>
      </c>
      <c r="H759">
        <v>0.19</v>
      </c>
      <c r="I759" t="s">
        <v>23</v>
      </c>
      <c r="J759">
        <v>0</v>
      </c>
      <c r="K759">
        <v>1</v>
      </c>
      <c r="L759">
        <v>0</v>
      </c>
      <c r="M759">
        <f>VLOOKUP(Table1[[#This Row],[subscription_type]],Plans!$A$1:$B$5,2,FALSE)</f>
        <v>14.99</v>
      </c>
      <c r="N759">
        <f t="shared" si="11"/>
        <v>0</v>
      </c>
    </row>
    <row r="760" spans="1:14" x14ac:dyDescent="0.35">
      <c r="A760">
        <v>759</v>
      </c>
      <c r="B760" t="s">
        <v>12</v>
      </c>
      <c r="C760">
        <v>42</v>
      </c>
      <c r="D760" t="s">
        <v>17</v>
      </c>
      <c r="E760" t="s">
        <v>24</v>
      </c>
      <c r="F760">
        <v>208</v>
      </c>
      <c r="G760">
        <v>67</v>
      </c>
      <c r="H760">
        <v>0.06</v>
      </c>
      <c r="I760" t="s">
        <v>15</v>
      </c>
      <c r="J760">
        <v>0</v>
      </c>
      <c r="K760">
        <v>1</v>
      </c>
      <c r="L760">
        <v>0</v>
      </c>
      <c r="M760">
        <f>VLOOKUP(Table1[[#This Row],[subscription_type]],Plans!$A$1:$B$5,2,FALSE)</f>
        <v>4.99</v>
      </c>
      <c r="N760">
        <f t="shared" si="11"/>
        <v>0</v>
      </c>
    </row>
    <row r="761" spans="1:14" x14ac:dyDescent="0.35">
      <c r="A761">
        <v>760</v>
      </c>
      <c r="B761" t="s">
        <v>12</v>
      </c>
      <c r="C761">
        <v>49</v>
      </c>
      <c r="D761" t="s">
        <v>21</v>
      </c>
      <c r="E761" t="s">
        <v>24</v>
      </c>
      <c r="F761">
        <v>295</v>
      </c>
      <c r="G761">
        <v>93</v>
      </c>
      <c r="H761">
        <v>0.13</v>
      </c>
      <c r="I761" t="s">
        <v>23</v>
      </c>
      <c r="J761">
        <v>0</v>
      </c>
      <c r="K761">
        <v>1</v>
      </c>
      <c r="L761">
        <v>1</v>
      </c>
      <c r="M761">
        <f>VLOOKUP(Table1[[#This Row],[subscription_type]],Plans!$A$1:$B$5,2,FALSE)</f>
        <v>4.99</v>
      </c>
      <c r="N761">
        <f t="shared" si="11"/>
        <v>4.99</v>
      </c>
    </row>
    <row r="762" spans="1:14" x14ac:dyDescent="0.35">
      <c r="A762">
        <v>761</v>
      </c>
      <c r="B762" t="s">
        <v>20</v>
      </c>
      <c r="C762">
        <v>57</v>
      </c>
      <c r="D762" t="s">
        <v>21</v>
      </c>
      <c r="E762" t="s">
        <v>18</v>
      </c>
      <c r="F762">
        <v>13</v>
      </c>
      <c r="G762">
        <v>89</v>
      </c>
      <c r="H762">
        <v>0.16</v>
      </c>
      <c r="I762" t="s">
        <v>15</v>
      </c>
      <c r="J762">
        <v>0</v>
      </c>
      <c r="K762">
        <v>1</v>
      </c>
      <c r="L762">
        <v>0</v>
      </c>
      <c r="M762">
        <f>VLOOKUP(Table1[[#This Row],[subscription_type]],Plans!$A$1:$B$5,2,FALSE)</f>
        <v>14.99</v>
      </c>
      <c r="N762">
        <f t="shared" si="11"/>
        <v>0</v>
      </c>
    </row>
    <row r="763" spans="1:14" x14ac:dyDescent="0.35">
      <c r="A763">
        <v>762</v>
      </c>
      <c r="B763" t="s">
        <v>20</v>
      </c>
      <c r="C763">
        <v>26</v>
      </c>
      <c r="D763" t="s">
        <v>27</v>
      </c>
      <c r="E763" t="s">
        <v>22</v>
      </c>
      <c r="F763">
        <v>120</v>
      </c>
      <c r="G763">
        <v>68</v>
      </c>
      <c r="H763">
        <v>0.34</v>
      </c>
      <c r="I763" t="s">
        <v>15</v>
      </c>
      <c r="J763">
        <v>0</v>
      </c>
      <c r="K763">
        <v>1</v>
      </c>
      <c r="L763">
        <v>0</v>
      </c>
      <c r="M763">
        <f>VLOOKUP(Table1[[#This Row],[subscription_type]],Plans!$A$1:$B$5,2,FALSE)</f>
        <v>9.99</v>
      </c>
      <c r="N763">
        <f t="shared" si="11"/>
        <v>0</v>
      </c>
    </row>
    <row r="764" spans="1:14" x14ac:dyDescent="0.35">
      <c r="A764">
        <v>763</v>
      </c>
      <c r="B764" t="s">
        <v>16</v>
      </c>
      <c r="C764">
        <v>17</v>
      </c>
      <c r="D764" t="s">
        <v>17</v>
      </c>
      <c r="E764" t="s">
        <v>14</v>
      </c>
      <c r="F764">
        <v>125</v>
      </c>
      <c r="G764">
        <v>77</v>
      </c>
      <c r="H764">
        <v>0.26</v>
      </c>
      <c r="I764" t="s">
        <v>15</v>
      </c>
      <c r="J764">
        <v>18</v>
      </c>
      <c r="K764">
        <v>0</v>
      </c>
      <c r="L764">
        <v>0</v>
      </c>
      <c r="M764">
        <f>VLOOKUP(Table1[[#This Row],[subscription_type]],Plans!$A$1:$B$5,2,FALSE)</f>
        <v>0</v>
      </c>
      <c r="N764">
        <f t="shared" si="11"/>
        <v>0</v>
      </c>
    </row>
    <row r="765" spans="1:14" x14ac:dyDescent="0.35">
      <c r="A765">
        <v>764</v>
      </c>
      <c r="B765" t="s">
        <v>12</v>
      </c>
      <c r="C765">
        <v>49</v>
      </c>
      <c r="D765" t="s">
        <v>25</v>
      </c>
      <c r="E765" t="s">
        <v>22</v>
      </c>
      <c r="F765">
        <v>104</v>
      </c>
      <c r="G765">
        <v>74</v>
      </c>
      <c r="H765">
        <v>0.56999999999999995</v>
      </c>
      <c r="I765" t="s">
        <v>23</v>
      </c>
      <c r="J765">
        <v>0</v>
      </c>
      <c r="K765">
        <v>1</v>
      </c>
      <c r="L765">
        <v>1</v>
      </c>
      <c r="M765">
        <f>VLOOKUP(Table1[[#This Row],[subscription_type]],Plans!$A$1:$B$5,2,FALSE)</f>
        <v>9.99</v>
      </c>
      <c r="N765">
        <f t="shared" si="11"/>
        <v>9.99</v>
      </c>
    </row>
    <row r="766" spans="1:14" x14ac:dyDescent="0.35">
      <c r="A766">
        <v>765</v>
      </c>
      <c r="B766" t="s">
        <v>16</v>
      </c>
      <c r="C766">
        <v>52</v>
      </c>
      <c r="D766" t="s">
        <v>17</v>
      </c>
      <c r="E766" t="s">
        <v>22</v>
      </c>
      <c r="F766">
        <v>225</v>
      </c>
      <c r="G766">
        <v>94</v>
      </c>
      <c r="H766">
        <v>0.01</v>
      </c>
      <c r="I766" t="s">
        <v>15</v>
      </c>
      <c r="J766">
        <v>0</v>
      </c>
      <c r="K766">
        <v>1</v>
      </c>
      <c r="L766">
        <v>1</v>
      </c>
      <c r="M766">
        <f>VLOOKUP(Table1[[#This Row],[subscription_type]],Plans!$A$1:$B$5,2,FALSE)</f>
        <v>9.99</v>
      </c>
      <c r="N766">
        <f t="shared" si="11"/>
        <v>9.99</v>
      </c>
    </row>
    <row r="767" spans="1:14" x14ac:dyDescent="0.35">
      <c r="A767">
        <v>766</v>
      </c>
      <c r="B767" t="s">
        <v>16</v>
      </c>
      <c r="C767">
        <v>49</v>
      </c>
      <c r="D767" t="s">
        <v>21</v>
      </c>
      <c r="E767" t="s">
        <v>18</v>
      </c>
      <c r="F767">
        <v>261</v>
      </c>
      <c r="G767">
        <v>15</v>
      </c>
      <c r="H767">
        <v>0.17</v>
      </c>
      <c r="I767" t="s">
        <v>23</v>
      </c>
      <c r="J767">
        <v>0</v>
      </c>
      <c r="K767">
        <v>1</v>
      </c>
      <c r="L767">
        <v>0</v>
      </c>
      <c r="M767">
        <f>VLOOKUP(Table1[[#This Row],[subscription_type]],Plans!$A$1:$B$5,2,FALSE)</f>
        <v>14.99</v>
      </c>
      <c r="N767">
        <f t="shared" si="11"/>
        <v>0</v>
      </c>
    </row>
    <row r="768" spans="1:14" x14ac:dyDescent="0.35">
      <c r="A768">
        <v>767</v>
      </c>
      <c r="B768" t="s">
        <v>16</v>
      </c>
      <c r="C768">
        <v>57</v>
      </c>
      <c r="D768" t="s">
        <v>26</v>
      </c>
      <c r="E768" t="s">
        <v>22</v>
      </c>
      <c r="F768">
        <v>79</v>
      </c>
      <c r="G768">
        <v>2</v>
      </c>
      <c r="H768">
        <v>0.22</v>
      </c>
      <c r="I768" t="s">
        <v>15</v>
      </c>
      <c r="J768">
        <v>0</v>
      </c>
      <c r="K768">
        <v>1</v>
      </c>
      <c r="L768">
        <v>0</v>
      </c>
      <c r="M768">
        <f>VLOOKUP(Table1[[#This Row],[subscription_type]],Plans!$A$1:$B$5,2,FALSE)</f>
        <v>9.99</v>
      </c>
      <c r="N768">
        <f t="shared" si="11"/>
        <v>0</v>
      </c>
    </row>
    <row r="769" spans="1:14" x14ac:dyDescent="0.35">
      <c r="A769">
        <v>768</v>
      </c>
      <c r="B769" t="s">
        <v>12</v>
      </c>
      <c r="C769">
        <v>24</v>
      </c>
      <c r="D769" t="s">
        <v>28</v>
      </c>
      <c r="E769" t="s">
        <v>22</v>
      </c>
      <c r="F769">
        <v>240</v>
      </c>
      <c r="G769">
        <v>39</v>
      </c>
      <c r="H769">
        <v>0.23</v>
      </c>
      <c r="I769" t="s">
        <v>19</v>
      </c>
      <c r="J769">
        <v>0</v>
      </c>
      <c r="K769">
        <v>1</v>
      </c>
      <c r="L769">
        <v>0</v>
      </c>
      <c r="M769">
        <f>VLOOKUP(Table1[[#This Row],[subscription_type]],Plans!$A$1:$B$5,2,FALSE)</f>
        <v>9.99</v>
      </c>
      <c r="N769">
        <f t="shared" si="11"/>
        <v>0</v>
      </c>
    </row>
    <row r="770" spans="1:14" x14ac:dyDescent="0.35">
      <c r="A770">
        <v>769</v>
      </c>
      <c r="B770" t="s">
        <v>16</v>
      </c>
      <c r="C770">
        <v>24</v>
      </c>
      <c r="D770" t="s">
        <v>17</v>
      </c>
      <c r="E770" t="s">
        <v>18</v>
      </c>
      <c r="F770">
        <v>28</v>
      </c>
      <c r="G770">
        <v>62</v>
      </c>
      <c r="H770">
        <v>0.04</v>
      </c>
      <c r="I770" t="s">
        <v>19</v>
      </c>
      <c r="J770">
        <v>0</v>
      </c>
      <c r="K770">
        <v>1</v>
      </c>
      <c r="L770">
        <v>0</v>
      </c>
      <c r="M770">
        <f>VLOOKUP(Table1[[#This Row],[subscription_type]],Plans!$A$1:$B$5,2,FALSE)</f>
        <v>14.99</v>
      </c>
      <c r="N770">
        <f t="shared" ref="N770:N833" si="12">IF(L770=1, M770,0)</f>
        <v>0</v>
      </c>
    </row>
    <row r="771" spans="1:14" x14ac:dyDescent="0.35">
      <c r="A771">
        <v>770</v>
      </c>
      <c r="B771" t="s">
        <v>12</v>
      </c>
      <c r="C771">
        <v>48</v>
      </c>
      <c r="D771" t="s">
        <v>21</v>
      </c>
      <c r="E771" t="s">
        <v>22</v>
      </c>
      <c r="F771">
        <v>91</v>
      </c>
      <c r="G771">
        <v>37</v>
      </c>
      <c r="H771">
        <v>0.34</v>
      </c>
      <c r="I771" t="s">
        <v>15</v>
      </c>
      <c r="J771">
        <v>0</v>
      </c>
      <c r="K771">
        <v>1</v>
      </c>
      <c r="L771">
        <v>0</v>
      </c>
      <c r="M771">
        <f>VLOOKUP(Table1[[#This Row],[subscription_type]],Plans!$A$1:$B$5,2,FALSE)</f>
        <v>9.99</v>
      </c>
      <c r="N771">
        <f t="shared" si="12"/>
        <v>0</v>
      </c>
    </row>
    <row r="772" spans="1:14" x14ac:dyDescent="0.35">
      <c r="A772">
        <v>771</v>
      </c>
      <c r="B772" t="s">
        <v>16</v>
      </c>
      <c r="C772">
        <v>40</v>
      </c>
      <c r="D772" t="s">
        <v>27</v>
      </c>
      <c r="E772" t="s">
        <v>22</v>
      </c>
      <c r="F772">
        <v>212</v>
      </c>
      <c r="G772">
        <v>66</v>
      </c>
      <c r="H772">
        <v>0.27</v>
      </c>
      <c r="I772" t="s">
        <v>23</v>
      </c>
      <c r="J772">
        <v>0</v>
      </c>
      <c r="K772">
        <v>1</v>
      </c>
      <c r="L772">
        <v>1</v>
      </c>
      <c r="M772">
        <f>VLOOKUP(Table1[[#This Row],[subscription_type]],Plans!$A$1:$B$5,2,FALSE)</f>
        <v>9.99</v>
      </c>
      <c r="N772">
        <f t="shared" si="12"/>
        <v>9.99</v>
      </c>
    </row>
    <row r="773" spans="1:14" x14ac:dyDescent="0.35">
      <c r="A773">
        <v>772</v>
      </c>
      <c r="B773" t="s">
        <v>16</v>
      </c>
      <c r="C773">
        <v>59</v>
      </c>
      <c r="D773" t="s">
        <v>27</v>
      </c>
      <c r="E773" t="s">
        <v>22</v>
      </c>
      <c r="F773">
        <v>172</v>
      </c>
      <c r="G773">
        <v>69</v>
      </c>
      <c r="H773">
        <v>0.41</v>
      </c>
      <c r="I773" t="s">
        <v>15</v>
      </c>
      <c r="J773">
        <v>0</v>
      </c>
      <c r="K773">
        <v>1</v>
      </c>
      <c r="L773">
        <v>0</v>
      </c>
      <c r="M773">
        <f>VLOOKUP(Table1[[#This Row],[subscription_type]],Plans!$A$1:$B$5,2,FALSE)</f>
        <v>9.99</v>
      </c>
      <c r="N773">
        <f t="shared" si="12"/>
        <v>0</v>
      </c>
    </row>
    <row r="774" spans="1:14" x14ac:dyDescent="0.35">
      <c r="A774">
        <v>773</v>
      </c>
      <c r="B774" t="s">
        <v>12</v>
      </c>
      <c r="C774">
        <v>39</v>
      </c>
      <c r="D774" t="s">
        <v>27</v>
      </c>
      <c r="E774" t="s">
        <v>18</v>
      </c>
      <c r="F774">
        <v>55</v>
      </c>
      <c r="G774">
        <v>37</v>
      </c>
      <c r="H774">
        <v>0.5</v>
      </c>
      <c r="I774" t="s">
        <v>15</v>
      </c>
      <c r="J774">
        <v>0</v>
      </c>
      <c r="K774">
        <v>1</v>
      </c>
      <c r="L774">
        <v>0</v>
      </c>
      <c r="M774">
        <f>VLOOKUP(Table1[[#This Row],[subscription_type]],Plans!$A$1:$B$5,2,FALSE)</f>
        <v>14.99</v>
      </c>
      <c r="N774">
        <f t="shared" si="12"/>
        <v>0</v>
      </c>
    </row>
    <row r="775" spans="1:14" x14ac:dyDescent="0.35">
      <c r="A775">
        <v>774</v>
      </c>
      <c r="B775" t="s">
        <v>12</v>
      </c>
      <c r="C775">
        <v>54</v>
      </c>
      <c r="D775" t="s">
        <v>28</v>
      </c>
      <c r="E775" t="s">
        <v>24</v>
      </c>
      <c r="F775">
        <v>130</v>
      </c>
      <c r="G775">
        <v>46</v>
      </c>
      <c r="H775">
        <v>0.26</v>
      </c>
      <c r="I775" t="s">
        <v>15</v>
      </c>
      <c r="J775">
        <v>0</v>
      </c>
      <c r="K775">
        <v>1</v>
      </c>
      <c r="L775">
        <v>0</v>
      </c>
      <c r="M775">
        <f>VLOOKUP(Table1[[#This Row],[subscription_type]],Plans!$A$1:$B$5,2,FALSE)</f>
        <v>4.99</v>
      </c>
      <c r="N775">
        <f t="shared" si="12"/>
        <v>0</v>
      </c>
    </row>
    <row r="776" spans="1:14" x14ac:dyDescent="0.35">
      <c r="A776">
        <v>775</v>
      </c>
      <c r="B776" t="s">
        <v>20</v>
      </c>
      <c r="C776">
        <v>40</v>
      </c>
      <c r="D776" t="s">
        <v>27</v>
      </c>
      <c r="E776" t="s">
        <v>18</v>
      </c>
      <c r="F776">
        <v>97</v>
      </c>
      <c r="G776">
        <v>57</v>
      </c>
      <c r="H776">
        <v>0.43</v>
      </c>
      <c r="I776" t="s">
        <v>23</v>
      </c>
      <c r="J776">
        <v>0</v>
      </c>
      <c r="K776">
        <v>1</v>
      </c>
      <c r="L776">
        <v>0</v>
      </c>
      <c r="M776">
        <f>VLOOKUP(Table1[[#This Row],[subscription_type]],Plans!$A$1:$B$5,2,FALSE)</f>
        <v>14.99</v>
      </c>
      <c r="N776">
        <f t="shared" si="12"/>
        <v>0</v>
      </c>
    </row>
    <row r="777" spans="1:14" x14ac:dyDescent="0.35">
      <c r="A777">
        <v>776</v>
      </c>
      <c r="B777" t="s">
        <v>12</v>
      </c>
      <c r="C777">
        <v>51</v>
      </c>
      <c r="D777" t="s">
        <v>17</v>
      </c>
      <c r="E777" t="s">
        <v>18</v>
      </c>
      <c r="F777">
        <v>71</v>
      </c>
      <c r="G777">
        <v>15</v>
      </c>
      <c r="H777">
        <v>0.57999999999999996</v>
      </c>
      <c r="I777" t="s">
        <v>23</v>
      </c>
      <c r="J777">
        <v>0</v>
      </c>
      <c r="K777">
        <v>1</v>
      </c>
      <c r="L777">
        <v>1</v>
      </c>
      <c r="M777">
        <f>VLOOKUP(Table1[[#This Row],[subscription_type]],Plans!$A$1:$B$5,2,FALSE)</f>
        <v>14.99</v>
      </c>
      <c r="N777">
        <f t="shared" si="12"/>
        <v>14.99</v>
      </c>
    </row>
    <row r="778" spans="1:14" x14ac:dyDescent="0.35">
      <c r="A778">
        <v>777</v>
      </c>
      <c r="B778" t="s">
        <v>16</v>
      </c>
      <c r="C778">
        <v>31</v>
      </c>
      <c r="D778" t="s">
        <v>25</v>
      </c>
      <c r="E778" t="s">
        <v>18</v>
      </c>
      <c r="F778">
        <v>18</v>
      </c>
      <c r="G778">
        <v>3</v>
      </c>
      <c r="H778">
        <v>0.36</v>
      </c>
      <c r="I778" t="s">
        <v>19</v>
      </c>
      <c r="J778">
        <v>0</v>
      </c>
      <c r="K778">
        <v>1</v>
      </c>
      <c r="L778">
        <v>0</v>
      </c>
      <c r="M778">
        <f>VLOOKUP(Table1[[#This Row],[subscription_type]],Plans!$A$1:$B$5,2,FALSE)</f>
        <v>14.99</v>
      </c>
      <c r="N778">
        <f t="shared" si="12"/>
        <v>0</v>
      </c>
    </row>
    <row r="779" spans="1:14" x14ac:dyDescent="0.35">
      <c r="A779">
        <v>778</v>
      </c>
      <c r="B779" t="s">
        <v>20</v>
      </c>
      <c r="C779">
        <v>24</v>
      </c>
      <c r="D779" t="s">
        <v>27</v>
      </c>
      <c r="E779" t="s">
        <v>18</v>
      </c>
      <c r="F779">
        <v>212</v>
      </c>
      <c r="G779">
        <v>7</v>
      </c>
      <c r="H779">
        <v>0.57999999999999996</v>
      </c>
      <c r="I779" t="s">
        <v>23</v>
      </c>
      <c r="J779">
        <v>0</v>
      </c>
      <c r="K779">
        <v>1</v>
      </c>
      <c r="L779">
        <v>0</v>
      </c>
      <c r="M779">
        <f>VLOOKUP(Table1[[#This Row],[subscription_type]],Plans!$A$1:$B$5,2,FALSE)</f>
        <v>14.99</v>
      </c>
      <c r="N779">
        <f t="shared" si="12"/>
        <v>0</v>
      </c>
    </row>
    <row r="780" spans="1:14" x14ac:dyDescent="0.35">
      <c r="A780">
        <v>779</v>
      </c>
      <c r="B780" t="s">
        <v>12</v>
      </c>
      <c r="C780">
        <v>18</v>
      </c>
      <c r="D780" t="s">
        <v>26</v>
      </c>
      <c r="E780" t="s">
        <v>18</v>
      </c>
      <c r="F780">
        <v>14</v>
      </c>
      <c r="G780">
        <v>49</v>
      </c>
      <c r="H780">
        <v>0.5</v>
      </c>
      <c r="I780" t="s">
        <v>15</v>
      </c>
      <c r="J780">
        <v>0</v>
      </c>
      <c r="K780">
        <v>1</v>
      </c>
      <c r="L780">
        <v>0</v>
      </c>
      <c r="M780">
        <f>VLOOKUP(Table1[[#This Row],[subscription_type]],Plans!$A$1:$B$5,2,FALSE)</f>
        <v>14.99</v>
      </c>
      <c r="N780">
        <f t="shared" si="12"/>
        <v>0</v>
      </c>
    </row>
    <row r="781" spans="1:14" x14ac:dyDescent="0.35">
      <c r="A781">
        <v>780</v>
      </c>
      <c r="B781" t="s">
        <v>12</v>
      </c>
      <c r="C781">
        <v>18</v>
      </c>
      <c r="D781" t="s">
        <v>17</v>
      </c>
      <c r="E781" t="s">
        <v>14</v>
      </c>
      <c r="F781">
        <v>213</v>
      </c>
      <c r="G781">
        <v>1</v>
      </c>
      <c r="H781">
        <v>0.35</v>
      </c>
      <c r="I781" t="s">
        <v>15</v>
      </c>
      <c r="J781">
        <v>5</v>
      </c>
      <c r="K781">
        <v>0</v>
      </c>
      <c r="L781">
        <v>1</v>
      </c>
      <c r="M781">
        <f>VLOOKUP(Table1[[#This Row],[subscription_type]],Plans!$A$1:$B$5,2,FALSE)</f>
        <v>0</v>
      </c>
      <c r="N781">
        <f t="shared" si="12"/>
        <v>0</v>
      </c>
    </row>
    <row r="782" spans="1:14" x14ac:dyDescent="0.35">
      <c r="A782">
        <v>781</v>
      </c>
      <c r="B782" t="s">
        <v>12</v>
      </c>
      <c r="C782">
        <v>44</v>
      </c>
      <c r="D782" t="s">
        <v>26</v>
      </c>
      <c r="E782" t="s">
        <v>24</v>
      </c>
      <c r="F782">
        <v>207</v>
      </c>
      <c r="G782">
        <v>62</v>
      </c>
      <c r="H782">
        <v>0.23</v>
      </c>
      <c r="I782" t="s">
        <v>15</v>
      </c>
      <c r="J782">
        <v>0</v>
      </c>
      <c r="K782">
        <v>1</v>
      </c>
      <c r="L782">
        <v>0</v>
      </c>
      <c r="M782">
        <f>VLOOKUP(Table1[[#This Row],[subscription_type]],Plans!$A$1:$B$5,2,FALSE)</f>
        <v>4.99</v>
      </c>
      <c r="N782">
        <f t="shared" si="12"/>
        <v>0</v>
      </c>
    </row>
    <row r="783" spans="1:14" x14ac:dyDescent="0.35">
      <c r="A783">
        <v>782</v>
      </c>
      <c r="B783" t="s">
        <v>20</v>
      </c>
      <c r="C783">
        <v>32</v>
      </c>
      <c r="D783" t="s">
        <v>25</v>
      </c>
      <c r="E783" t="s">
        <v>22</v>
      </c>
      <c r="F783">
        <v>71</v>
      </c>
      <c r="G783">
        <v>53</v>
      </c>
      <c r="H783">
        <v>0.54</v>
      </c>
      <c r="I783" t="s">
        <v>19</v>
      </c>
      <c r="J783">
        <v>0</v>
      </c>
      <c r="K783">
        <v>1</v>
      </c>
      <c r="L783">
        <v>0</v>
      </c>
      <c r="M783">
        <f>VLOOKUP(Table1[[#This Row],[subscription_type]],Plans!$A$1:$B$5,2,FALSE)</f>
        <v>9.99</v>
      </c>
      <c r="N783">
        <f t="shared" si="12"/>
        <v>0</v>
      </c>
    </row>
    <row r="784" spans="1:14" x14ac:dyDescent="0.35">
      <c r="A784">
        <v>783</v>
      </c>
      <c r="B784" t="s">
        <v>20</v>
      </c>
      <c r="C784">
        <v>32</v>
      </c>
      <c r="D784" t="s">
        <v>21</v>
      </c>
      <c r="E784" t="s">
        <v>22</v>
      </c>
      <c r="F784">
        <v>36</v>
      </c>
      <c r="G784">
        <v>2</v>
      </c>
      <c r="H784">
        <v>0.52</v>
      </c>
      <c r="I784" t="s">
        <v>19</v>
      </c>
      <c r="J784">
        <v>0</v>
      </c>
      <c r="K784">
        <v>1</v>
      </c>
      <c r="L784">
        <v>0</v>
      </c>
      <c r="M784">
        <f>VLOOKUP(Table1[[#This Row],[subscription_type]],Plans!$A$1:$B$5,2,FALSE)</f>
        <v>9.99</v>
      </c>
      <c r="N784">
        <f t="shared" si="12"/>
        <v>0</v>
      </c>
    </row>
    <row r="785" spans="1:14" x14ac:dyDescent="0.35">
      <c r="A785">
        <v>784</v>
      </c>
      <c r="B785" t="s">
        <v>16</v>
      </c>
      <c r="C785">
        <v>52</v>
      </c>
      <c r="D785" t="s">
        <v>25</v>
      </c>
      <c r="E785" t="s">
        <v>22</v>
      </c>
      <c r="F785">
        <v>120</v>
      </c>
      <c r="G785">
        <v>84</v>
      </c>
      <c r="H785">
        <v>0.5</v>
      </c>
      <c r="I785" t="s">
        <v>19</v>
      </c>
      <c r="J785">
        <v>0</v>
      </c>
      <c r="K785">
        <v>1</v>
      </c>
      <c r="L785">
        <v>0</v>
      </c>
      <c r="M785">
        <f>VLOOKUP(Table1[[#This Row],[subscription_type]],Plans!$A$1:$B$5,2,FALSE)</f>
        <v>9.99</v>
      </c>
      <c r="N785">
        <f t="shared" si="12"/>
        <v>0</v>
      </c>
    </row>
    <row r="786" spans="1:14" x14ac:dyDescent="0.35">
      <c r="A786">
        <v>785</v>
      </c>
      <c r="B786" t="s">
        <v>12</v>
      </c>
      <c r="C786">
        <v>31</v>
      </c>
      <c r="D786" t="s">
        <v>28</v>
      </c>
      <c r="E786" t="s">
        <v>22</v>
      </c>
      <c r="F786">
        <v>272</v>
      </c>
      <c r="G786">
        <v>71</v>
      </c>
      <c r="H786">
        <v>0.15</v>
      </c>
      <c r="I786" t="s">
        <v>23</v>
      </c>
      <c r="J786">
        <v>0</v>
      </c>
      <c r="K786">
        <v>1</v>
      </c>
      <c r="L786">
        <v>1</v>
      </c>
      <c r="M786">
        <f>VLOOKUP(Table1[[#This Row],[subscription_type]],Plans!$A$1:$B$5,2,FALSE)</f>
        <v>9.99</v>
      </c>
      <c r="N786">
        <f t="shared" si="12"/>
        <v>9.99</v>
      </c>
    </row>
    <row r="787" spans="1:14" x14ac:dyDescent="0.35">
      <c r="A787">
        <v>786</v>
      </c>
      <c r="B787" t="s">
        <v>20</v>
      </c>
      <c r="C787">
        <v>33</v>
      </c>
      <c r="D787" t="s">
        <v>13</v>
      </c>
      <c r="E787" t="s">
        <v>22</v>
      </c>
      <c r="F787">
        <v>212</v>
      </c>
      <c r="G787">
        <v>43</v>
      </c>
      <c r="H787">
        <v>0.05</v>
      </c>
      <c r="I787" t="s">
        <v>19</v>
      </c>
      <c r="J787">
        <v>0</v>
      </c>
      <c r="K787">
        <v>1</v>
      </c>
      <c r="L787">
        <v>0</v>
      </c>
      <c r="M787">
        <f>VLOOKUP(Table1[[#This Row],[subscription_type]],Plans!$A$1:$B$5,2,FALSE)</f>
        <v>9.99</v>
      </c>
      <c r="N787">
        <f t="shared" si="12"/>
        <v>0</v>
      </c>
    </row>
    <row r="788" spans="1:14" x14ac:dyDescent="0.35">
      <c r="A788">
        <v>787</v>
      </c>
      <c r="B788" t="s">
        <v>20</v>
      </c>
      <c r="C788">
        <v>46</v>
      </c>
      <c r="D788" t="s">
        <v>28</v>
      </c>
      <c r="E788" t="s">
        <v>14</v>
      </c>
      <c r="F788">
        <v>193</v>
      </c>
      <c r="G788">
        <v>94</v>
      </c>
      <c r="H788">
        <v>0.18</v>
      </c>
      <c r="I788" t="s">
        <v>23</v>
      </c>
      <c r="J788">
        <v>17</v>
      </c>
      <c r="K788">
        <v>0</v>
      </c>
      <c r="L788">
        <v>0</v>
      </c>
      <c r="M788">
        <f>VLOOKUP(Table1[[#This Row],[subscription_type]],Plans!$A$1:$B$5,2,FALSE)</f>
        <v>0</v>
      </c>
      <c r="N788">
        <f t="shared" si="12"/>
        <v>0</v>
      </c>
    </row>
    <row r="789" spans="1:14" x14ac:dyDescent="0.35">
      <c r="A789">
        <v>788</v>
      </c>
      <c r="B789" t="s">
        <v>12</v>
      </c>
      <c r="C789">
        <v>16</v>
      </c>
      <c r="D789" t="s">
        <v>13</v>
      </c>
      <c r="E789" t="s">
        <v>22</v>
      </c>
      <c r="F789">
        <v>150</v>
      </c>
      <c r="G789">
        <v>74</v>
      </c>
      <c r="H789">
        <v>0.01</v>
      </c>
      <c r="I789" t="s">
        <v>15</v>
      </c>
      <c r="J789">
        <v>0</v>
      </c>
      <c r="K789">
        <v>1</v>
      </c>
      <c r="L789">
        <v>1</v>
      </c>
      <c r="M789">
        <f>VLOOKUP(Table1[[#This Row],[subscription_type]],Plans!$A$1:$B$5,2,FALSE)</f>
        <v>9.99</v>
      </c>
      <c r="N789">
        <f t="shared" si="12"/>
        <v>9.99</v>
      </c>
    </row>
    <row r="790" spans="1:14" x14ac:dyDescent="0.35">
      <c r="A790">
        <v>789</v>
      </c>
      <c r="B790" t="s">
        <v>12</v>
      </c>
      <c r="C790">
        <v>23</v>
      </c>
      <c r="D790" t="s">
        <v>21</v>
      </c>
      <c r="E790" t="s">
        <v>24</v>
      </c>
      <c r="F790">
        <v>213</v>
      </c>
      <c r="G790">
        <v>20</v>
      </c>
      <c r="H790">
        <v>0.5</v>
      </c>
      <c r="I790" t="s">
        <v>19</v>
      </c>
      <c r="J790">
        <v>0</v>
      </c>
      <c r="K790">
        <v>1</v>
      </c>
      <c r="L790">
        <v>0</v>
      </c>
      <c r="M790">
        <f>VLOOKUP(Table1[[#This Row],[subscription_type]],Plans!$A$1:$B$5,2,FALSE)</f>
        <v>4.99</v>
      </c>
      <c r="N790">
        <f t="shared" si="12"/>
        <v>0</v>
      </c>
    </row>
    <row r="791" spans="1:14" x14ac:dyDescent="0.35">
      <c r="A791">
        <v>790</v>
      </c>
      <c r="B791" t="s">
        <v>20</v>
      </c>
      <c r="C791">
        <v>26</v>
      </c>
      <c r="D791" t="s">
        <v>28</v>
      </c>
      <c r="E791" t="s">
        <v>24</v>
      </c>
      <c r="F791">
        <v>293</v>
      </c>
      <c r="G791">
        <v>15</v>
      </c>
      <c r="H791">
        <v>0.39</v>
      </c>
      <c r="I791" t="s">
        <v>19</v>
      </c>
      <c r="J791">
        <v>0</v>
      </c>
      <c r="K791">
        <v>1</v>
      </c>
      <c r="L791">
        <v>1</v>
      </c>
      <c r="M791">
        <f>VLOOKUP(Table1[[#This Row],[subscription_type]],Plans!$A$1:$B$5,2,FALSE)</f>
        <v>4.99</v>
      </c>
      <c r="N791">
        <f t="shared" si="12"/>
        <v>4.99</v>
      </c>
    </row>
    <row r="792" spans="1:14" x14ac:dyDescent="0.35">
      <c r="A792">
        <v>791</v>
      </c>
      <c r="B792" t="s">
        <v>12</v>
      </c>
      <c r="C792">
        <v>52</v>
      </c>
      <c r="D792" t="s">
        <v>21</v>
      </c>
      <c r="E792" t="s">
        <v>18</v>
      </c>
      <c r="F792">
        <v>80</v>
      </c>
      <c r="G792">
        <v>13</v>
      </c>
      <c r="H792">
        <v>0.56000000000000005</v>
      </c>
      <c r="I792" t="s">
        <v>19</v>
      </c>
      <c r="J792">
        <v>0</v>
      </c>
      <c r="K792">
        <v>1</v>
      </c>
      <c r="L792">
        <v>0</v>
      </c>
      <c r="M792">
        <f>VLOOKUP(Table1[[#This Row],[subscription_type]],Plans!$A$1:$B$5,2,FALSE)</f>
        <v>14.99</v>
      </c>
      <c r="N792">
        <f t="shared" si="12"/>
        <v>0</v>
      </c>
    </row>
    <row r="793" spans="1:14" x14ac:dyDescent="0.35">
      <c r="A793">
        <v>792</v>
      </c>
      <c r="B793" t="s">
        <v>12</v>
      </c>
      <c r="C793">
        <v>27</v>
      </c>
      <c r="D793" t="s">
        <v>25</v>
      </c>
      <c r="E793" t="s">
        <v>24</v>
      </c>
      <c r="F793">
        <v>222</v>
      </c>
      <c r="G793">
        <v>73</v>
      </c>
      <c r="H793">
        <v>0.17</v>
      </c>
      <c r="I793" t="s">
        <v>23</v>
      </c>
      <c r="J793">
        <v>0</v>
      </c>
      <c r="K793">
        <v>1</v>
      </c>
      <c r="L793">
        <v>1</v>
      </c>
      <c r="M793">
        <f>VLOOKUP(Table1[[#This Row],[subscription_type]],Plans!$A$1:$B$5,2,FALSE)</f>
        <v>4.99</v>
      </c>
      <c r="N793">
        <f t="shared" si="12"/>
        <v>4.99</v>
      </c>
    </row>
    <row r="794" spans="1:14" x14ac:dyDescent="0.35">
      <c r="A794">
        <v>793</v>
      </c>
      <c r="B794" t="s">
        <v>16</v>
      </c>
      <c r="C794">
        <v>32</v>
      </c>
      <c r="D794" t="s">
        <v>17</v>
      </c>
      <c r="E794" t="s">
        <v>18</v>
      </c>
      <c r="F794">
        <v>100</v>
      </c>
      <c r="G794">
        <v>16</v>
      </c>
      <c r="H794">
        <v>0.3</v>
      </c>
      <c r="I794" t="s">
        <v>15</v>
      </c>
      <c r="J794">
        <v>0</v>
      </c>
      <c r="K794">
        <v>1</v>
      </c>
      <c r="L794">
        <v>1</v>
      </c>
      <c r="M794">
        <f>VLOOKUP(Table1[[#This Row],[subscription_type]],Plans!$A$1:$B$5,2,FALSE)</f>
        <v>14.99</v>
      </c>
      <c r="N794">
        <f t="shared" si="12"/>
        <v>14.99</v>
      </c>
    </row>
    <row r="795" spans="1:14" x14ac:dyDescent="0.35">
      <c r="A795">
        <v>794</v>
      </c>
      <c r="B795" t="s">
        <v>20</v>
      </c>
      <c r="C795">
        <v>20</v>
      </c>
      <c r="D795" t="s">
        <v>29</v>
      </c>
      <c r="E795" t="s">
        <v>18</v>
      </c>
      <c r="F795">
        <v>185</v>
      </c>
      <c r="G795">
        <v>79</v>
      </c>
      <c r="H795">
        <v>0.37</v>
      </c>
      <c r="I795" t="s">
        <v>19</v>
      </c>
      <c r="J795">
        <v>0</v>
      </c>
      <c r="K795">
        <v>1</v>
      </c>
      <c r="L795">
        <v>0</v>
      </c>
      <c r="M795">
        <f>VLOOKUP(Table1[[#This Row],[subscription_type]],Plans!$A$1:$B$5,2,FALSE)</f>
        <v>14.99</v>
      </c>
      <c r="N795">
        <f t="shared" si="12"/>
        <v>0</v>
      </c>
    </row>
    <row r="796" spans="1:14" x14ac:dyDescent="0.35">
      <c r="A796">
        <v>795</v>
      </c>
      <c r="B796" t="s">
        <v>16</v>
      </c>
      <c r="C796">
        <v>47</v>
      </c>
      <c r="D796" t="s">
        <v>17</v>
      </c>
      <c r="E796" t="s">
        <v>24</v>
      </c>
      <c r="F796">
        <v>94</v>
      </c>
      <c r="G796">
        <v>57</v>
      </c>
      <c r="H796">
        <v>0.18</v>
      </c>
      <c r="I796" t="s">
        <v>23</v>
      </c>
      <c r="J796">
        <v>0</v>
      </c>
      <c r="K796">
        <v>1</v>
      </c>
      <c r="L796">
        <v>0</v>
      </c>
      <c r="M796">
        <f>VLOOKUP(Table1[[#This Row],[subscription_type]],Plans!$A$1:$B$5,2,FALSE)</f>
        <v>4.99</v>
      </c>
      <c r="N796">
        <f t="shared" si="12"/>
        <v>0</v>
      </c>
    </row>
    <row r="797" spans="1:14" x14ac:dyDescent="0.35">
      <c r="A797">
        <v>796</v>
      </c>
      <c r="B797" t="s">
        <v>12</v>
      </c>
      <c r="C797">
        <v>31</v>
      </c>
      <c r="D797" t="s">
        <v>27</v>
      </c>
      <c r="E797" t="s">
        <v>18</v>
      </c>
      <c r="F797">
        <v>47</v>
      </c>
      <c r="G797">
        <v>19</v>
      </c>
      <c r="H797">
        <v>0.05</v>
      </c>
      <c r="I797" t="s">
        <v>15</v>
      </c>
      <c r="J797">
        <v>0</v>
      </c>
      <c r="K797">
        <v>1</v>
      </c>
      <c r="L797">
        <v>0</v>
      </c>
      <c r="M797">
        <f>VLOOKUP(Table1[[#This Row],[subscription_type]],Plans!$A$1:$B$5,2,FALSE)</f>
        <v>14.99</v>
      </c>
      <c r="N797">
        <f t="shared" si="12"/>
        <v>0</v>
      </c>
    </row>
    <row r="798" spans="1:14" x14ac:dyDescent="0.35">
      <c r="A798">
        <v>797</v>
      </c>
      <c r="B798" t="s">
        <v>12</v>
      </c>
      <c r="C798">
        <v>30</v>
      </c>
      <c r="D798" t="s">
        <v>21</v>
      </c>
      <c r="E798" t="s">
        <v>22</v>
      </c>
      <c r="F798">
        <v>173</v>
      </c>
      <c r="G798">
        <v>95</v>
      </c>
      <c r="H798">
        <v>0.44</v>
      </c>
      <c r="I798" t="s">
        <v>19</v>
      </c>
      <c r="J798">
        <v>0</v>
      </c>
      <c r="K798">
        <v>1</v>
      </c>
      <c r="L798">
        <v>0</v>
      </c>
      <c r="M798">
        <f>VLOOKUP(Table1[[#This Row],[subscription_type]],Plans!$A$1:$B$5,2,FALSE)</f>
        <v>9.99</v>
      </c>
      <c r="N798">
        <f t="shared" si="12"/>
        <v>0</v>
      </c>
    </row>
    <row r="799" spans="1:14" x14ac:dyDescent="0.35">
      <c r="A799">
        <v>798</v>
      </c>
      <c r="B799" t="s">
        <v>12</v>
      </c>
      <c r="C799">
        <v>27</v>
      </c>
      <c r="D799" t="s">
        <v>28</v>
      </c>
      <c r="E799" t="s">
        <v>22</v>
      </c>
      <c r="F799">
        <v>185</v>
      </c>
      <c r="G799">
        <v>6</v>
      </c>
      <c r="H799">
        <v>0.18</v>
      </c>
      <c r="I799" t="s">
        <v>15</v>
      </c>
      <c r="J799">
        <v>0</v>
      </c>
      <c r="K799">
        <v>1</v>
      </c>
      <c r="L799">
        <v>0</v>
      </c>
      <c r="M799">
        <f>VLOOKUP(Table1[[#This Row],[subscription_type]],Plans!$A$1:$B$5,2,FALSE)</f>
        <v>9.99</v>
      </c>
      <c r="N799">
        <f t="shared" si="12"/>
        <v>0</v>
      </c>
    </row>
    <row r="800" spans="1:14" x14ac:dyDescent="0.35">
      <c r="A800">
        <v>799</v>
      </c>
      <c r="B800" t="s">
        <v>16</v>
      </c>
      <c r="C800">
        <v>30</v>
      </c>
      <c r="D800" t="s">
        <v>21</v>
      </c>
      <c r="E800" t="s">
        <v>24</v>
      </c>
      <c r="F800">
        <v>175</v>
      </c>
      <c r="G800">
        <v>17</v>
      </c>
      <c r="H800">
        <v>0.33</v>
      </c>
      <c r="I800" t="s">
        <v>19</v>
      </c>
      <c r="J800">
        <v>0</v>
      </c>
      <c r="K800">
        <v>1</v>
      </c>
      <c r="L800">
        <v>0</v>
      </c>
      <c r="M800">
        <f>VLOOKUP(Table1[[#This Row],[subscription_type]],Plans!$A$1:$B$5,2,FALSE)</f>
        <v>4.99</v>
      </c>
      <c r="N800">
        <f t="shared" si="12"/>
        <v>0</v>
      </c>
    </row>
    <row r="801" spans="1:14" x14ac:dyDescent="0.35">
      <c r="A801">
        <v>800</v>
      </c>
      <c r="B801" t="s">
        <v>12</v>
      </c>
      <c r="C801">
        <v>17</v>
      </c>
      <c r="D801" t="s">
        <v>27</v>
      </c>
      <c r="E801" t="s">
        <v>24</v>
      </c>
      <c r="F801">
        <v>134</v>
      </c>
      <c r="G801">
        <v>6</v>
      </c>
      <c r="H801">
        <v>0.51</v>
      </c>
      <c r="I801" t="s">
        <v>15</v>
      </c>
      <c r="J801">
        <v>0</v>
      </c>
      <c r="K801">
        <v>1</v>
      </c>
      <c r="L801">
        <v>0</v>
      </c>
      <c r="M801">
        <f>VLOOKUP(Table1[[#This Row],[subscription_type]],Plans!$A$1:$B$5,2,FALSE)</f>
        <v>4.99</v>
      </c>
      <c r="N801">
        <f t="shared" si="12"/>
        <v>0</v>
      </c>
    </row>
    <row r="802" spans="1:14" x14ac:dyDescent="0.35">
      <c r="A802">
        <v>801</v>
      </c>
      <c r="B802" t="s">
        <v>20</v>
      </c>
      <c r="C802">
        <v>56</v>
      </c>
      <c r="D802" t="s">
        <v>27</v>
      </c>
      <c r="E802" t="s">
        <v>22</v>
      </c>
      <c r="F802">
        <v>253</v>
      </c>
      <c r="G802">
        <v>15</v>
      </c>
      <c r="H802">
        <v>0.54</v>
      </c>
      <c r="I802" t="s">
        <v>15</v>
      </c>
      <c r="J802">
        <v>0</v>
      </c>
      <c r="K802">
        <v>1</v>
      </c>
      <c r="L802">
        <v>1</v>
      </c>
      <c r="M802">
        <f>VLOOKUP(Table1[[#This Row],[subscription_type]],Plans!$A$1:$B$5,2,FALSE)</f>
        <v>9.99</v>
      </c>
      <c r="N802">
        <f t="shared" si="12"/>
        <v>9.99</v>
      </c>
    </row>
    <row r="803" spans="1:14" x14ac:dyDescent="0.35">
      <c r="A803">
        <v>802</v>
      </c>
      <c r="B803" t="s">
        <v>16</v>
      </c>
      <c r="C803">
        <v>57</v>
      </c>
      <c r="D803" t="s">
        <v>28</v>
      </c>
      <c r="E803" t="s">
        <v>22</v>
      </c>
      <c r="F803">
        <v>161</v>
      </c>
      <c r="G803">
        <v>56</v>
      </c>
      <c r="H803">
        <v>0.6</v>
      </c>
      <c r="I803" t="s">
        <v>15</v>
      </c>
      <c r="J803">
        <v>0</v>
      </c>
      <c r="K803">
        <v>1</v>
      </c>
      <c r="L803">
        <v>0</v>
      </c>
      <c r="M803">
        <f>VLOOKUP(Table1[[#This Row],[subscription_type]],Plans!$A$1:$B$5,2,FALSE)</f>
        <v>9.99</v>
      </c>
      <c r="N803">
        <f t="shared" si="12"/>
        <v>0</v>
      </c>
    </row>
    <row r="804" spans="1:14" x14ac:dyDescent="0.35">
      <c r="A804">
        <v>803</v>
      </c>
      <c r="B804" t="s">
        <v>16</v>
      </c>
      <c r="C804">
        <v>57</v>
      </c>
      <c r="D804" t="s">
        <v>21</v>
      </c>
      <c r="E804" t="s">
        <v>18</v>
      </c>
      <c r="F804">
        <v>47</v>
      </c>
      <c r="G804">
        <v>59</v>
      </c>
      <c r="H804">
        <v>0.09</v>
      </c>
      <c r="I804" t="s">
        <v>19</v>
      </c>
      <c r="J804">
        <v>0</v>
      </c>
      <c r="K804">
        <v>1</v>
      </c>
      <c r="L804">
        <v>1</v>
      </c>
      <c r="M804">
        <f>VLOOKUP(Table1[[#This Row],[subscription_type]],Plans!$A$1:$B$5,2,FALSE)</f>
        <v>14.99</v>
      </c>
      <c r="N804">
        <f t="shared" si="12"/>
        <v>14.99</v>
      </c>
    </row>
    <row r="805" spans="1:14" x14ac:dyDescent="0.35">
      <c r="A805">
        <v>804</v>
      </c>
      <c r="B805" t="s">
        <v>20</v>
      </c>
      <c r="C805">
        <v>41</v>
      </c>
      <c r="D805" t="s">
        <v>17</v>
      </c>
      <c r="E805" t="s">
        <v>22</v>
      </c>
      <c r="F805">
        <v>286</v>
      </c>
      <c r="G805">
        <v>72</v>
      </c>
      <c r="H805">
        <v>0.14000000000000001</v>
      </c>
      <c r="I805" t="s">
        <v>19</v>
      </c>
      <c r="J805">
        <v>0</v>
      </c>
      <c r="K805">
        <v>1</v>
      </c>
      <c r="L805">
        <v>0</v>
      </c>
      <c r="M805">
        <f>VLOOKUP(Table1[[#This Row],[subscription_type]],Plans!$A$1:$B$5,2,FALSE)</f>
        <v>9.99</v>
      </c>
      <c r="N805">
        <f t="shared" si="12"/>
        <v>0</v>
      </c>
    </row>
    <row r="806" spans="1:14" x14ac:dyDescent="0.35">
      <c r="A806">
        <v>805</v>
      </c>
      <c r="B806" t="s">
        <v>12</v>
      </c>
      <c r="C806">
        <v>36</v>
      </c>
      <c r="D806" t="s">
        <v>17</v>
      </c>
      <c r="E806" t="s">
        <v>24</v>
      </c>
      <c r="F806">
        <v>194</v>
      </c>
      <c r="G806">
        <v>12</v>
      </c>
      <c r="H806">
        <v>0.02</v>
      </c>
      <c r="I806" t="s">
        <v>15</v>
      </c>
      <c r="J806">
        <v>0</v>
      </c>
      <c r="K806">
        <v>1</v>
      </c>
      <c r="L806">
        <v>0</v>
      </c>
      <c r="M806">
        <f>VLOOKUP(Table1[[#This Row],[subscription_type]],Plans!$A$1:$B$5,2,FALSE)</f>
        <v>4.99</v>
      </c>
      <c r="N806">
        <f t="shared" si="12"/>
        <v>0</v>
      </c>
    </row>
    <row r="807" spans="1:14" x14ac:dyDescent="0.35">
      <c r="A807">
        <v>806</v>
      </c>
      <c r="B807" t="s">
        <v>16</v>
      </c>
      <c r="C807">
        <v>22</v>
      </c>
      <c r="D807" t="s">
        <v>21</v>
      </c>
      <c r="E807" t="s">
        <v>24</v>
      </c>
      <c r="F807">
        <v>87</v>
      </c>
      <c r="G807">
        <v>39</v>
      </c>
      <c r="H807">
        <v>0.5</v>
      </c>
      <c r="I807" t="s">
        <v>19</v>
      </c>
      <c r="J807">
        <v>0</v>
      </c>
      <c r="K807">
        <v>1</v>
      </c>
      <c r="L807">
        <v>0</v>
      </c>
      <c r="M807">
        <f>VLOOKUP(Table1[[#This Row],[subscription_type]],Plans!$A$1:$B$5,2,FALSE)</f>
        <v>4.99</v>
      </c>
      <c r="N807">
        <f t="shared" si="12"/>
        <v>0</v>
      </c>
    </row>
    <row r="808" spans="1:14" x14ac:dyDescent="0.35">
      <c r="A808">
        <v>807</v>
      </c>
      <c r="B808" t="s">
        <v>12</v>
      </c>
      <c r="C808">
        <v>40</v>
      </c>
      <c r="D808" t="s">
        <v>25</v>
      </c>
      <c r="E808" t="s">
        <v>18</v>
      </c>
      <c r="F808">
        <v>92</v>
      </c>
      <c r="G808">
        <v>65</v>
      </c>
      <c r="H808">
        <v>0.04</v>
      </c>
      <c r="I808" t="s">
        <v>23</v>
      </c>
      <c r="J808">
        <v>0</v>
      </c>
      <c r="K808">
        <v>1</v>
      </c>
      <c r="L808">
        <v>0</v>
      </c>
      <c r="M808">
        <f>VLOOKUP(Table1[[#This Row],[subscription_type]],Plans!$A$1:$B$5,2,FALSE)</f>
        <v>14.99</v>
      </c>
      <c r="N808">
        <f t="shared" si="12"/>
        <v>0</v>
      </c>
    </row>
    <row r="809" spans="1:14" x14ac:dyDescent="0.35">
      <c r="A809">
        <v>808</v>
      </c>
      <c r="B809" t="s">
        <v>20</v>
      </c>
      <c r="C809">
        <v>36</v>
      </c>
      <c r="D809" t="s">
        <v>26</v>
      </c>
      <c r="E809" t="s">
        <v>22</v>
      </c>
      <c r="F809">
        <v>242</v>
      </c>
      <c r="G809">
        <v>7</v>
      </c>
      <c r="H809">
        <v>0.04</v>
      </c>
      <c r="I809" t="s">
        <v>19</v>
      </c>
      <c r="J809">
        <v>0</v>
      </c>
      <c r="K809">
        <v>1</v>
      </c>
      <c r="L809">
        <v>0</v>
      </c>
      <c r="M809">
        <f>VLOOKUP(Table1[[#This Row],[subscription_type]],Plans!$A$1:$B$5,2,FALSE)</f>
        <v>9.99</v>
      </c>
      <c r="N809">
        <f t="shared" si="12"/>
        <v>0</v>
      </c>
    </row>
    <row r="810" spans="1:14" x14ac:dyDescent="0.35">
      <c r="A810">
        <v>809</v>
      </c>
      <c r="B810" t="s">
        <v>16</v>
      </c>
      <c r="C810">
        <v>19</v>
      </c>
      <c r="D810" t="s">
        <v>21</v>
      </c>
      <c r="E810" t="s">
        <v>14</v>
      </c>
      <c r="F810">
        <v>26</v>
      </c>
      <c r="G810">
        <v>2</v>
      </c>
      <c r="H810">
        <v>0.57999999999999996</v>
      </c>
      <c r="I810" t="s">
        <v>19</v>
      </c>
      <c r="J810">
        <v>35</v>
      </c>
      <c r="K810">
        <v>0</v>
      </c>
      <c r="L810">
        <v>1</v>
      </c>
      <c r="M810">
        <f>VLOOKUP(Table1[[#This Row],[subscription_type]],Plans!$A$1:$B$5,2,FALSE)</f>
        <v>0</v>
      </c>
      <c r="N810">
        <f t="shared" si="12"/>
        <v>0</v>
      </c>
    </row>
    <row r="811" spans="1:14" x14ac:dyDescent="0.35">
      <c r="A811">
        <v>810</v>
      </c>
      <c r="B811" t="s">
        <v>16</v>
      </c>
      <c r="C811">
        <v>44</v>
      </c>
      <c r="D811" t="s">
        <v>29</v>
      </c>
      <c r="E811" t="s">
        <v>18</v>
      </c>
      <c r="F811">
        <v>255</v>
      </c>
      <c r="G811">
        <v>36</v>
      </c>
      <c r="H811">
        <v>0.09</v>
      </c>
      <c r="I811" t="s">
        <v>15</v>
      </c>
      <c r="J811">
        <v>0</v>
      </c>
      <c r="K811">
        <v>1</v>
      </c>
      <c r="L811">
        <v>0</v>
      </c>
      <c r="M811">
        <f>VLOOKUP(Table1[[#This Row],[subscription_type]],Plans!$A$1:$B$5,2,FALSE)</f>
        <v>14.99</v>
      </c>
      <c r="N811">
        <f t="shared" si="12"/>
        <v>0</v>
      </c>
    </row>
    <row r="812" spans="1:14" x14ac:dyDescent="0.35">
      <c r="A812">
        <v>811</v>
      </c>
      <c r="B812" t="s">
        <v>20</v>
      </c>
      <c r="C812">
        <v>57</v>
      </c>
      <c r="D812" t="s">
        <v>26</v>
      </c>
      <c r="E812" t="s">
        <v>18</v>
      </c>
      <c r="F812">
        <v>204</v>
      </c>
      <c r="G812">
        <v>21</v>
      </c>
      <c r="H812">
        <v>0.3</v>
      </c>
      <c r="I812" t="s">
        <v>23</v>
      </c>
      <c r="J812">
        <v>0</v>
      </c>
      <c r="K812">
        <v>1</v>
      </c>
      <c r="L812">
        <v>0</v>
      </c>
      <c r="M812">
        <f>VLOOKUP(Table1[[#This Row],[subscription_type]],Plans!$A$1:$B$5,2,FALSE)</f>
        <v>14.99</v>
      </c>
      <c r="N812">
        <f t="shared" si="12"/>
        <v>0</v>
      </c>
    </row>
    <row r="813" spans="1:14" x14ac:dyDescent="0.35">
      <c r="A813">
        <v>812</v>
      </c>
      <c r="B813" t="s">
        <v>16</v>
      </c>
      <c r="C813">
        <v>17</v>
      </c>
      <c r="D813" t="s">
        <v>26</v>
      </c>
      <c r="E813" t="s">
        <v>22</v>
      </c>
      <c r="F813">
        <v>62</v>
      </c>
      <c r="G813">
        <v>25</v>
      </c>
      <c r="H813">
        <v>0.25</v>
      </c>
      <c r="I813" t="s">
        <v>23</v>
      </c>
      <c r="J813">
        <v>0</v>
      </c>
      <c r="K813">
        <v>1</v>
      </c>
      <c r="L813">
        <v>1</v>
      </c>
      <c r="M813">
        <f>VLOOKUP(Table1[[#This Row],[subscription_type]],Plans!$A$1:$B$5,2,FALSE)</f>
        <v>9.99</v>
      </c>
      <c r="N813">
        <f t="shared" si="12"/>
        <v>9.99</v>
      </c>
    </row>
    <row r="814" spans="1:14" x14ac:dyDescent="0.35">
      <c r="A814">
        <v>813</v>
      </c>
      <c r="B814" t="s">
        <v>20</v>
      </c>
      <c r="C814">
        <v>26</v>
      </c>
      <c r="D814" t="s">
        <v>27</v>
      </c>
      <c r="E814" t="s">
        <v>24</v>
      </c>
      <c r="F814">
        <v>19</v>
      </c>
      <c r="G814">
        <v>68</v>
      </c>
      <c r="H814">
        <v>0.1</v>
      </c>
      <c r="I814" t="s">
        <v>15</v>
      </c>
      <c r="J814">
        <v>0</v>
      </c>
      <c r="K814">
        <v>1</v>
      </c>
      <c r="L814">
        <v>0</v>
      </c>
      <c r="M814">
        <f>VLOOKUP(Table1[[#This Row],[subscription_type]],Plans!$A$1:$B$5,2,FALSE)</f>
        <v>4.99</v>
      </c>
      <c r="N814">
        <f t="shared" si="12"/>
        <v>0</v>
      </c>
    </row>
    <row r="815" spans="1:14" x14ac:dyDescent="0.35">
      <c r="A815">
        <v>814</v>
      </c>
      <c r="B815" t="s">
        <v>16</v>
      </c>
      <c r="C815">
        <v>19</v>
      </c>
      <c r="D815" t="s">
        <v>28</v>
      </c>
      <c r="E815" t="s">
        <v>14</v>
      </c>
      <c r="F815">
        <v>197</v>
      </c>
      <c r="G815">
        <v>33</v>
      </c>
      <c r="H815">
        <v>0.17</v>
      </c>
      <c r="I815" t="s">
        <v>19</v>
      </c>
      <c r="J815">
        <v>41</v>
      </c>
      <c r="K815">
        <v>0</v>
      </c>
      <c r="L815">
        <v>0</v>
      </c>
      <c r="M815">
        <f>VLOOKUP(Table1[[#This Row],[subscription_type]],Plans!$A$1:$B$5,2,FALSE)</f>
        <v>0</v>
      </c>
      <c r="N815">
        <f t="shared" si="12"/>
        <v>0</v>
      </c>
    </row>
    <row r="816" spans="1:14" x14ac:dyDescent="0.35">
      <c r="A816">
        <v>815</v>
      </c>
      <c r="B816" t="s">
        <v>16</v>
      </c>
      <c r="C816">
        <v>24</v>
      </c>
      <c r="D816" t="s">
        <v>26</v>
      </c>
      <c r="E816" t="s">
        <v>18</v>
      </c>
      <c r="F816">
        <v>49</v>
      </c>
      <c r="G816">
        <v>21</v>
      </c>
      <c r="H816">
        <v>0.22</v>
      </c>
      <c r="I816" t="s">
        <v>15</v>
      </c>
      <c r="J816">
        <v>0</v>
      </c>
      <c r="K816">
        <v>1</v>
      </c>
      <c r="L816">
        <v>0</v>
      </c>
      <c r="M816">
        <f>VLOOKUP(Table1[[#This Row],[subscription_type]],Plans!$A$1:$B$5,2,FALSE)</f>
        <v>14.99</v>
      </c>
      <c r="N816">
        <f t="shared" si="12"/>
        <v>0</v>
      </c>
    </row>
    <row r="817" spans="1:14" x14ac:dyDescent="0.35">
      <c r="A817">
        <v>816</v>
      </c>
      <c r="B817" t="s">
        <v>12</v>
      </c>
      <c r="C817">
        <v>22</v>
      </c>
      <c r="D817" t="s">
        <v>26</v>
      </c>
      <c r="E817" t="s">
        <v>14</v>
      </c>
      <c r="F817">
        <v>87</v>
      </c>
      <c r="G817">
        <v>60</v>
      </c>
      <c r="H817">
        <v>0.34</v>
      </c>
      <c r="I817" t="s">
        <v>15</v>
      </c>
      <c r="J817">
        <v>41</v>
      </c>
      <c r="K817">
        <v>0</v>
      </c>
      <c r="L817">
        <v>0</v>
      </c>
      <c r="M817">
        <f>VLOOKUP(Table1[[#This Row],[subscription_type]],Plans!$A$1:$B$5,2,FALSE)</f>
        <v>0</v>
      </c>
      <c r="N817">
        <f t="shared" si="12"/>
        <v>0</v>
      </c>
    </row>
    <row r="818" spans="1:14" x14ac:dyDescent="0.35">
      <c r="A818">
        <v>817</v>
      </c>
      <c r="B818" t="s">
        <v>16</v>
      </c>
      <c r="C818">
        <v>57</v>
      </c>
      <c r="D818" t="s">
        <v>28</v>
      </c>
      <c r="E818" t="s">
        <v>18</v>
      </c>
      <c r="F818">
        <v>39</v>
      </c>
      <c r="G818">
        <v>24</v>
      </c>
      <c r="H818">
        <v>0.16</v>
      </c>
      <c r="I818" t="s">
        <v>19</v>
      </c>
      <c r="J818">
        <v>0</v>
      </c>
      <c r="K818">
        <v>1</v>
      </c>
      <c r="L818">
        <v>1</v>
      </c>
      <c r="M818">
        <f>VLOOKUP(Table1[[#This Row],[subscription_type]],Plans!$A$1:$B$5,2,FALSE)</f>
        <v>14.99</v>
      </c>
      <c r="N818">
        <f t="shared" si="12"/>
        <v>14.99</v>
      </c>
    </row>
    <row r="819" spans="1:14" x14ac:dyDescent="0.35">
      <c r="A819">
        <v>818</v>
      </c>
      <c r="B819" t="s">
        <v>20</v>
      </c>
      <c r="C819">
        <v>51</v>
      </c>
      <c r="D819" t="s">
        <v>17</v>
      </c>
      <c r="E819" t="s">
        <v>22</v>
      </c>
      <c r="F819">
        <v>24</v>
      </c>
      <c r="G819">
        <v>73</v>
      </c>
      <c r="H819">
        <v>7.0000000000000007E-2</v>
      </c>
      <c r="I819" t="s">
        <v>15</v>
      </c>
      <c r="J819">
        <v>0</v>
      </c>
      <c r="K819">
        <v>1</v>
      </c>
      <c r="L819">
        <v>0</v>
      </c>
      <c r="M819">
        <f>VLOOKUP(Table1[[#This Row],[subscription_type]],Plans!$A$1:$B$5,2,FALSE)</f>
        <v>9.99</v>
      </c>
      <c r="N819">
        <f t="shared" si="12"/>
        <v>0</v>
      </c>
    </row>
    <row r="820" spans="1:14" x14ac:dyDescent="0.35">
      <c r="A820">
        <v>819</v>
      </c>
      <c r="B820" t="s">
        <v>16</v>
      </c>
      <c r="C820">
        <v>44</v>
      </c>
      <c r="D820" t="s">
        <v>21</v>
      </c>
      <c r="E820" t="s">
        <v>22</v>
      </c>
      <c r="F820">
        <v>162</v>
      </c>
      <c r="G820">
        <v>52</v>
      </c>
      <c r="H820">
        <v>0.25</v>
      </c>
      <c r="I820" t="s">
        <v>19</v>
      </c>
      <c r="J820">
        <v>0</v>
      </c>
      <c r="K820">
        <v>1</v>
      </c>
      <c r="L820">
        <v>1</v>
      </c>
      <c r="M820">
        <f>VLOOKUP(Table1[[#This Row],[subscription_type]],Plans!$A$1:$B$5,2,FALSE)</f>
        <v>9.99</v>
      </c>
      <c r="N820">
        <f t="shared" si="12"/>
        <v>9.99</v>
      </c>
    </row>
    <row r="821" spans="1:14" x14ac:dyDescent="0.35">
      <c r="A821">
        <v>820</v>
      </c>
      <c r="B821" t="s">
        <v>16</v>
      </c>
      <c r="C821">
        <v>43</v>
      </c>
      <c r="D821" t="s">
        <v>27</v>
      </c>
      <c r="E821" t="s">
        <v>18</v>
      </c>
      <c r="F821">
        <v>61</v>
      </c>
      <c r="G821">
        <v>20</v>
      </c>
      <c r="H821">
        <v>0.05</v>
      </c>
      <c r="I821" t="s">
        <v>23</v>
      </c>
      <c r="J821">
        <v>0</v>
      </c>
      <c r="K821">
        <v>1</v>
      </c>
      <c r="L821">
        <v>0</v>
      </c>
      <c r="M821">
        <f>VLOOKUP(Table1[[#This Row],[subscription_type]],Plans!$A$1:$B$5,2,FALSE)</f>
        <v>14.99</v>
      </c>
      <c r="N821">
        <f t="shared" si="12"/>
        <v>0</v>
      </c>
    </row>
    <row r="822" spans="1:14" x14ac:dyDescent="0.35">
      <c r="A822">
        <v>821</v>
      </c>
      <c r="B822" t="s">
        <v>12</v>
      </c>
      <c r="C822">
        <v>32</v>
      </c>
      <c r="D822" t="s">
        <v>26</v>
      </c>
      <c r="E822" t="s">
        <v>24</v>
      </c>
      <c r="F822">
        <v>138</v>
      </c>
      <c r="G822">
        <v>67</v>
      </c>
      <c r="H822">
        <v>0.3</v>
      </c>
      <c r="I822" t="s">
        <v>19</v>
      </c>
      <c r="J822">
        <v>0</v>
      </c>
      <c r="K822">
        <v>1</v>
      </c>
      <c r="L822">
        <v>1</v>
      </c>
      <c r="M822">
        <f>VLOOKUP(Table1[[#This Row],[subscription_type]],Plans!$A$1:$B$5,2,FALSE)</f>
        <v>4.99</v>
      </c>
      <c r="N822">
        <f t="shared" si="12"/>
        <v>4.99</v>
      </c>
    </row>
    <row r="823" spans="1:14" x14ac:dyDescent="0.35">
      <c r="A823">
        <v>822</v>
      </c>
      <c r="B823" t="s">
        <v>12</v>
      </c>
      <c r="C823">
        <v>20</v>
      </c>
      <c r="D823" t="s">
        <v>28</v>
      </c>
      <c r="E823" t="s">
        <v>14</v>
      </c>
      <c r="F823">
        <v>181</v>
      </c>
      <c r="G823">
        <v>81</v>
      </c>
      <c r="H823">
        <v>0.12</v>
      </c>
      <c r="I823" t="s">
        <v>23</v>
      </c>
      <c r="J823">
        <v>43</v>
      </c>
      <c r="K823">
        <v>0</v>
      </c>
      <c r="L823">
        <v>0</v>
      </c>
      <c r="M823">
        <f>VLOOKUP(Table1[[#This Row],[subscription_type]],Plans!$A$1:$B$5,2,FALSE)</f>
        <v>0</v>
      </c>
      <c r="N823">
        <f t="shared" si="12"/>
        <v>0</v>
      </c>
    </row>
    <row r="824" spans="1:14" x14ac:dyDescent="0.35">
      <c r="A824">
        <v>823</v>
      </c>
      <c r="B824" t="s">
        <v>12</v>
      </c>
      <c r="C824">
        <v>56</v>
      </c>
      <c r="D824" t="s">
        <v>25</v>
      </c>
      <c r="E824" t="s">
        <v>24</v>
      </c>
      <c r="F824">
        <v>37</v>
      </c>
      <c r="G824">
        <v>33</v>
      </c>
      <c r="H824">
        <v>0.11</v>
      </c>
      <c r="I824" t="s">
        <v>23</v>
      </c>
      <c r="J824">
        <v>0</v>
      </c>
      <c r="K824">
        <v>1</v>
      </c>
      <c r="L824">
        <v>0</v>
      </c>
      <c r="M824">
        <f>VLOOKUP(Table1[[#This Row],[subscription_type]],Plans!$A$1:$B$5,2,FALSE)</f>
        <v>4.99</v>
      </c>
      <c r="N824">
        <f t="shared" si="12"/>
        <v>0</v>
      </c>
    </row>
    <row r="825" spans="1:14" x14ac:dyDescent="0.35">
      <c r="A825">
        <v>824</v>
      </c>
      <c r="B825" t="s">
        <v>20</v>
      </c>
      <c r="C825">
        <v>32</v>
      </c>
      <c r="D825" t="s">
        <v>13</v>
      </c>
      <c r="E825" t="s">
        <v>22</v>
      </c>
      <c r="F825">
        <v>146</v>
      </c>
      <c r="G825">
        <v>57</v>
      </c>
      <c r="H825">
        <v>0.36</v>
      </c>
      <c r="I825" t="s">
        <v>15</v>
      </c>
      <c r="J825">
        <v>0</v>
      </c>
      <c r="K825">
        <v>1</v>
      </c>
      <c r="L825">
        <v>1</v>
      </c>
      <c r="M825">
        <f>VLOOKUP(Table1[[#This Row],[subscription_type]],Plans!$A$1:$B$5,2,FALSE)</f>
        <v>9.99</v>
      </c>
      <c r="N825">
        <f t="shared" si="12"/>
        <v>9.99</v>
      </c>
    </row>
    <row r="826" spans="1:14" x14ac:dyDescent="0.35">
      <c r="A826">
        <v>825</v>
      </c>
      <c r="B826" t="s">
        <v>12</v>
      </c>
      <c r="C826">
        <v>31</v>
      </c>
      <c r="D826" t="s">
        <v>29</v>
      </c>
      <c r="E826" t="s">
        <v>18</v>
      </c>
      <c r="F826">
        <v>82</v>
      </c>
      <c r="G826">
        <v>95</v>
      </c>
      <c r="H826">
        <v>0.46</v>
      </c>
      <c r="I826" t="s">
        <v>15</v>
      </c>
      <c r="J826">
        <v>0</v>
      </c>
      <c r="K826">
        <v>1</v>
      </c>
      <c r="L826">
        <v>0</v>
      </c>
      <c r="M826">
        <f>VLOOKUP(Table1[[#This Row],[subscription_type]],Plans!$A$1:$B$5,2,FALSE)</f>
        <v>14.99</v>
      </c>
      <c r="N826">
        <f t="shared" si="12"/>
        <v>0</v>
      </c>
    </row>
    <row r="827" spans="1:14" x14ac:dyDescent="0.35">
      <c r="A827">
        <v>826</v>
      </c>
      <c r="B827" t="s">
        <v>20</v>
      </c>
      <c r="C827">
        <v>26</v>
      </c>
      <c r="D827" t="s">
        <v>25</v>
      </c>
      <c r="E827" t="s">
        <v>18</v>
      </c>
      <c r="F827">
        <v>82</v>
      </c>
      <c r="G827">
        <v>93</v>
      </c>
      <c r="H827">
        <v>0.05</v>
      </c>
      <c r="I827" t="s">
        <v>23</v>
      </c>
      <c r="J827">
        <v>0</v>
      </c>
      <c r="K827">
        <v>1</v>
      </c>
      <c r="L827">
        <v>0</v>
      </c>
      <c r="M827">
        <f>VLOOKUP(Table1[[#This Row],[subscription_type]],Plans!$A$1:$B$5,2,FALSE)</f>
        <v>14.99</v>
      </c>
      <c r="N827">
        <f t="shared" si="12"/>
        <v>0</v>
      </c>
    </row>
    <row r="828" spans="1:14" x14ac:dyDescent="0.35">
      <c r="A828">
        <v>827</v>
      </c>
      <c r="B828" t="s">
        <v>16</v>
      </c>
      <c r="C828">
        <v>54</v>
      </c>
      <c r="D828" t="s">
        <v>26</v>
      </c>
      <c r="E828" t="s">
        <v>18</v>
      </c>
      <c r="F828">
        <v>194</v>
      </c>
      <c r="G828">
        <v>66</v>
      </c>
      <c r="H828">
        <v>0.43</v>
      </c>
      <c r="I828" t="s">
        <v>23</v>
      </c>
      <c r="J828">
        <v>0</v>
      </c>
      <c r="K828">
        <v>1</v>
      </c>
      <c r="L828">
        <v>1</v>
      </c>
      <c r="M828">
        <f>VLOOKUP(Table1[[#This Row],[subscription_type]],Plans!$A$1:$B$5,2,FALSE)</f>
        <v>14.99</v>
      </c>
      <c r="N828">
        <f t="shared" si="12"/>
        <v>14.99</v>
      </c>
    </row>
    <row r="829" spans="1:14" x14ac:dyDescent="0.35">
      <c r="A829">
        <v>828</v>
      </c>
      <c r="B829" t="s">
        <v>20</v>
      </c>
      <c r="C829">
        <v>17</v>
      </c>
      <c r="D829" t="s">
        <v>28</v>
      </c>
      <c r="E829" t="s">
        <v>24</v>
      </c>
      <c r="F829">
        <v>61</v>
      </c>
      <c r="G829">
        <v>15</v>
      </c>
      <c r="H829">
        <v>0.56000000000000005</v>
      </c>
      <c r="I829" t="s">
        <v>19</v>
      </c>
      <c r="J829">
        <v>0</v>
      </c>
      <c r="K829">
        <v>1</v>
      </c>
      <c r="L829">
        <v>0</v>
      </c>
      <c r="M829">
        <f>VLOOKUP(Table1[[#This Row],[subscription_type]],Plans!$A$1:$B$5,2,FALSE)</f>
        <v>4.99</v>
      </c>
      <c r="N829">
        <f t="shared" si="12"/>
        <v>0</v>
      </c>
    </row>
    <row r="830" spans="1:14" x14ac:dyDescent="0.35">
      <c r="A830">
        <v>829</v>
      </c>
      <c r="B830" t="s">
        <v>20</v>
      </c>
      <c r="C830">
        <v>47</v>
      </c>
      <c r="D830" t="s">
        <v>28</v>
      </c>
      <c r="E830" t="s">
        <v>22</v>
      </c>
      <c r="F830">
        <v>191</v>
      </c>
      <c r="G830">
        <v>10</v>
      </c>
      <c r="H830">
        <v>0.21</v>
      </c>
      <c r="I830" t="s">
        <v>15</v>
      </c>
      <c r="J830">
        <v>0</v>
      </c>
      <c r="K830">
        <v>1</v>
      </c>
      <c r="L830">
        <v>1</v>
      </c>
      <c r="M830">
        <f>VLOOKUP(Table1[[#This Row],[subscription_type]],Plans!$A$1:$B$5,2,FALSE)</f>
        <v>9.99</v>
      </c>
      <c r="N830">
        <f t="shared" si="12"/>
        <v>9.99</v>
      </c>
    </row>
    <row r="831" spans="1:14" x14ac:dyDescent="0.35">
      <c r="A831">
        <v>830</v>
      </c>
      <c r="B831" t="s">
        <v>16</v>
      </c>
      <c r="C831">
        <v>22</v>
      </c>
      <c r="D831" t="s">
        <v>17</v>
      </c>
      <c r="E831" t="s">
        <v>18</v>
      </c>
      <c r="F831">
        <v>107</v>
      </c>
      <c r="G831">
        <v>13</v>
      </c>
      <c r="H831">
        <v>0.55000000000000004</v>
      </c>
      <c r="I831" t="s">
        <v>19</v>
      </c>
      <c r="J831">
        <v>0</v>
      </c>
      <c r="K831">
        <v>1</v>
      </c>
      <c r="L831">
        <v>0</v>
      </c>
      <c r="M831">
        <f>VLOOKUP(Table1[[#This Row],[subscription_type]],Plans!$A$1:$B$5,2,FALSE)</f>
        <v>14.99</v>
      </c>
      <c r="N831">
        <f t="shared" si="12"/>
        <v>0</v>
      </c>
    </row>
    <row r="832" spans="1:14" x14ac:dyDescent="0.35">
      <c r="A832">
        <v>831</v>
      </c>
      <c r="B832" t="s">
        <v>12</v>
      </c>
      <c r="C832">
        <v>31</v>
      </c>
      <c r="D832" t="s">
        <v>13</v>
      </c>
      <c r="E832" t="s">
        <v>24</v>
      </c>
      <c r="F832">
        <v>293</v>
      </c>
      <c r="G832">
        <v>55</v>
      </c>
      <c r="H832">
        <v>0.52</v>
      </c>
      <c r="I832" t="s">
        <v>15</v>
      </c>
      <c r="J832">
        <v>0</v>
      </c>
      <c r="K832">
        <v>1</v>
      </c>
      <c r="L832">
        <v>0</v>
      </c>
      <c r="M832">
        <f>VLOOKUP(Table1[[#This Row],[subscription_type]],Plans!$A$1:$B$5,2,FALSE)</f>
        <v>4.99</v>
      </c>
      <c r="N832">
        <f t="shared" si="12"/>
        <v>0</v>
      </c>
    </row>
    <row r="833" spans="1:14" x14ac:dyDescent="0.35">
      <c r="A833">
        <v>832</v>
      </c>
      <c r="B833" t="s">
        <v>16</v>
      </c>
      <c r="C833">
        <v>31</v>
      </c>
      <c r="D833" t="s">
        <v>29</v>
      </c>
      <c r="E833" t="s">
        <v>22</v>
      </c>
      <c r="F833">
        <v>64</v>
      </c>
      <c r="G833">
        <v>83</v>
      </c>
      <c r="H833">
        <v>0.18</v>
      </c>
      <c r="I833" t="s">
        <v>15</v>
      </c>
      <c r="J833">
        <v>0</v>
      </c>
      <c r="K833">
        <v>1</v>
      </c>
      <c r="L833">
        <v>1</v>
      </c>
      <c r="M833">
        <f>VLOOKUP(Table1[[#This Row],[subscription_type]],Plans!$A$1:$B$5,2,FALSE)</f>
        <v>9.99</v>
      </c>
      <c r="N833">
        <f t="shared" si="12"/>
        <v>9.99</v>
      </c>
    </row>
    <row r="834" spans="1:14" x14ac:dyDescent="0.35">
      <c r="A834">
        <v>833</v>
      </c>
      <c r="B834" t="s">
        <v>16</v>
      </c>
      <c r="C834">
        <v>32</v>
      </c>
      <c r="D834" t="s">
        <v>21</v>
      </c>
      <c r="E834" t="s">
        <v>18</v>
      </c>
      <c r="F834">
        <v>262</v>
      </c>
      <c r="G834">
        <v>20</v>
      </c>
      <c r="H834">
        <v>0.37</v>
      </c>
      <c r="I834" t="s">
        <v>15</v>
      </c>
      <c r="J834">
        <v>0</v>
      </c>
      <c r="K834">
        <v>1</v>
      </c>
      <c r="L834">
        <v>0</v>
      </c>
      <c r="M834">
        <f>VLOOKUP(Table1[[#This Row],[subscription_type]],Plans!$A$1:$B$5,2,FALSE)</f>
        <v>14.99</v>
      </c>
      <c r="N834">
        <f t="shared" ref="N834:N897" si="13">IF(L834=1, M834,0)</f>
        <v>0</v>
      </c>
    </row>
    <row r="835" spans="1:14" x14ac:dyDescent="0.35">
      <c r="A835">
        <v>834</v>
      </c>
      <c r="B835" t="s">
        <v>20</v>
      </c>
      <c r="C835">
        <v>26</v>
      </c>
      <c r="D835" t="s">
        <v>29</v>
      </c>
      <c r="E835" t="s">
        <v>18</v>
      </c>
      <c r="F835">
        <v>172</v>
      </c>
      <c r="G835">
        <v>8</v>
      </c>
      <c r="H835">
        <v>0.4</v>
      </c>
      <c r="I835" t="s">
        <v>23</v>
      </c>
      <c r="J835">
        <v>0</v>
      </c>
      <c r="K835">
        <v>1</v>
      </c>
      <c r="L835">
        <v>0</v>
      </c>
      <c r="M835">
        <f>VLOOKUP(Table1[[#This Row],[subscription_type]],Plans!$A$1:$B$5,2,FALSE)</f>
        <v>14.99</v>
      </c>
      <c r="N835">
        <f t="shared" si="13"/>
        <v>0</v>
      </c>
    </row>
    <row r="836" spans="1:14" x14ac:dyDescent="0.35">
      <c r="A836">
        <v>835</v>
      </c>
      <c r="B836" t="s">
        <v>20</v>
      </c>
      <c r="C836">
        <v>26</v>
      </c>
      <c r="D836" t="s">
        <v>13</v>
      </c>
      <c r="E836" t="s">
        <v>18</v>
      </c>
      <c r="F836">
        <v>206</v>
      </c>
      <c r="G836">
        <v>5</v>
      </c>
      <c r="H836">
        <v>0.1</v>
      </c>
      <c r="I836" t="s">
        <v>15</v>
      </c>
      <c r="J836">
        <v>0</v>
      </c>
      <c r="K836">
        <v>1</v>
      </c>
      <c r="L836">
        <v>0</v>
      </c>
      <c r="M836">
        <f>VLOOKUP(Table1[[#This Row],[subscription_type]],Plans!$A$1:$B$5,2,FALSE)</f>
        <v>14.99</v>
      </c>
      <c r="N836">
        <f t="shared" si="13"/>
        <v>0</v>
      </c>
    </row>
    <row r="837" spans="1:14" x14ac:dyDescent="0.35">
      <c r="A837">
        <v>836</v>
      </c>
      <c r="B837" t="s">
        <v>20</v>
      </c>
      <c r="C837">
        <v>17</v>
      </c>
      <c r="D837" t="s">
        <v>25</v>
      </c>
      <c r="E837" t="s">
        <v>14</v>
      </c>
      <c r="F837">
        <v>250</v>
      </c>
      <c r="G837">
        <v>80</v>
      </c>
      <c r="H837">
        <v>0.27</v>
      </c>
      <c r="I837" t="s">
        <v>19</v>
      </c>
      <c r="J837">
        <v>12</v>
      </c>
      <c r="K837">
        <v>0</v>
      </c>
      <c r="L837">
        <v>0</v>
      </c>
      <c r="M837">
        <f>VLOOKUP(Table1[[#This Row],[subscription_type]],Plans!$A$1:$B$5,2,FALSE)</f>
        <v>0</v>
      </c>
      <c r="N837">
        <f t="shared" si="13"/>
        <v>0</v>
      </c>
    </row>
    <row r="838" spans="1:14" x14ac:dyDescent="0.35">
      <c r="A838">
        <v>837</v>
      </c>
      <c r="B838" t="s">
        <v>12</v>
      </c>
      <c r="C838">
        <v>25</v>
      </c>
      <c r="D838" t="s">
        <v>29</v>
      </c>
      <c r="E838" t="s">
        <v>14</v>
      </c>
      <c r="F838">
        <v>118</v>
      </c>
      <c r="G838">
        <v>77</v>
      </c>
      <c r="H838">
        <v>0.56999999999999995</v>
      </c>
      <c r="I838" t="s">
        <v>19</v>
      </c>
      <c r="J838">
        <v>43</v>
      </c>
      <c r="K838">
        <v>0</v>
      </c>
      <c r="L838">
        <v>0</v>
      </c>
      <c r="M838">
        <f>VLOOKUP(Table1[[#This Row],[subscription_type]],Plans!$A$1:$B$5,2,FALSE)</f>
        <v>0</v>
      </c>
      <c r="N838">
        <f t="shared" si="13"/>
        <v>0</v>
      </c>
    </row>
    <row r="839" spans="1:14" x14ac:dyDescent="0.35">
      <c r="A839">
        <v>838</v>
      </c>
      <c r="B839" t="s">
        <v>20</v>
      </c>
      <c r="C839">
        <v>31</v>
      </c>
      <c r="D839" t="s">
        <v>26</v>
      </c>
      <c r="E839" t="s">
        <v>24</v>
      </c>
      <c r="F839">
        <v>173</v>
      </c>
      <c r="G839">
        <v>28</v>
      </c>
      <c r="H839">
        <v>0.42</v>
      </c>
      <c r="I839" t="s">
        <v>15</v>
      </c>
      <c r="J839">
        <v>0</v>
      </c>
      <c r="K839">
        <v>1</v>
      </c>
      <c r="L839">
        <v>0</v>
      </c>
      <c r="M839">
        <f>VLOOKUP(Table1[[#This Row],[subscription_type]],Plans!$A$1:$B$5,2,FALSE)</f>
        <v>4.99</v>
      </c>
      <c r="N839">
        <f t="shared" si="13"/>
        <v>0</v>
      </c>
    </row>
    <row r="840" spans="1:14" x14ac:dyDescent="0.35">
      <c r="A840">
        <v>839</v>
      </c>
      <c r="B840" t="s">
        <v>16</v>
      </c>
      <c r="C840">
        <v>55</v>
      </c>
      <c r="D840" t="s">
        <v>13</v>
      </c>
      <c r="E840" t="s">
        <v>22</v>
      </c>
      <c r="F840">
        <v>85</v>
      </c>
      <c r="G840">
        <v>53</v>
      </c>
      <c r="H840">
        <v>0.06</v>
      </c>
      <c r="I840" t="s">
        <v>23</v>
      </c>
      <c r="J840">
        <v>0</v>
      </c>
      <c r="K840">
        <v>1</v>
      </c>
      <c r="L840">
        <v>0</v>
      </c>
      <c r="M840">
        <f>VLOOKUP(Table1[[#This Row],[subscription_type]],Plans!$A$1:$B$5,2,FALSE)</f>
        <v>9.99</v>
      </c>
      <c r="N840">
        <f t="shared" si="13"/>
        <v>0</v>
      </c>
    </row>
    <row r="841" spans="1:14" x14ac:dyDescent="0.35">
      <c r="A841">
        <v>840</v>
      </c>
      <c r="B841" t="s">
        <v>16</v>
      </c>
      <c r="C841">
        <v>36</v>
      </c>
      <c r="D841" t="s">
        <v>25</v>
      </c>
      <c r="E841" t="s">
        <v>22</v>
      </c>
      <c r="F841">
        <v>130</v>
      </c>
      <c r="G841">
        <v>78</v>
      </c>
      <c r="H841">
        <v>0.47</v>
      </c>
      <c r="I841" t="s">
        <v>23</v>
      </c>
      <c r="J841">
        <v>0</v>
      </c>
      <c r="K841">
        <v>1</v>
      </c>
      <c r="L841">
        <v>1</v>
      </c>
      <c r="M841">
        <f>VLOOKUP(Table1[[#This Row],[subscription_type]],Plans!$A$1:$B$5,2,FALSE)</f>
        <v>9.99</v>
      </c>
      <c r="N841">
        <f t="shared" si="13"/>
        <v>9.99</v>
      </c>
    </row>
    <row r="842" spans="1:14" x14ac:dyDescent="0.35">
      <c r="A842">
        <v>841</v>
      </c>
      <c r="B842" t="s">
        <v>12</v>
      </c>
      <c r="C842">
        <v>39</v>
      </c>
      <c r="D842" t="s">
        <v>13</v>
      </c>
      <c r="E842" t="s">
        <v>14</v>
      </c>
      <c r="F842">
        <v>162</v>
      </c>
      <c r="G842">
        <v>4</v>
      </c>
      <c r="H842">
        <v>0.49</v>
      </c>
      <c r="I842" t="s">
        <v>19</v>
      </c>
      <c r="J842">
        <v>5</v>
      </c>
      <c r="K842">
        <v>0</v>
      </c>
      <c r="L842">
        <v>0</v>
      </c>
      <c r="M842">
        <f>VLOOKUP(Table1[[#This Row],[subscription_type]],Plans!$A$1:$B$5,2,FALSE)</f>
        <v>0</v>
      </c>
      <c r="N842">
        <f t="shared" si="13"/>
        <v>0</v>
      </c>
    </row>
    <row r="843" spans="1:14" x14ac:dyDescent="0.35">
      <c r="A843">
        <v>842</v>
      </c>
      <c r="B843" t="s">
        <v>20</v>
      </c>
      <c r="C843">
        <v>35</v>
      </c>
      <c r="D843" t="s">
        <v>26</v>
      </c>
      <c r="E843" t="s">
        <v>24</v>
      </c>
      <c r="F843">
        <v>192</v>
      </c>
      <c r="G843">
        <v>90</v>
      </c>
      <c r="H843">
        <v>0.56000000000000005</v>
      </c>
      <c r="I843" t="s">
        <v>19</v>
      </c>
      <c r="J843">
        <v>0</v>
      </c>
      <c r="K843">
        <v>1</v>
      </c>
      <c r="L843">
        <v>1</v>
      </c>
      <c r="M843">
        <f>VLOOKUP(Table1[[#This Row],[subscription_type]],Plans!$A$1:$B$5,2,FALSE)</f>
        <v>4.99</v>
      </c>
      <c r="N843">
        <f t="shared" si="13"/>
        <v>4.99</v>
      </c>
    </row>
    <row r="844" spans="1:14" x14ac:dyDescent="0.35">
      <c r="A844">
        <v>843</v>
      </c>
      <c r="B844" t="s">
        <v>20</v>
      </c>
      <c r="C844">
        <v>22</v>
      </c>
      <c r="D844" t="s">
        <v>25</v>
      </c>
      <c r="E844" t="s">
        <v>22</v>
      </c>
      <c r="F844">
        <v>80</v>
      </c>
      <c r="G844">
        <v>58</v>
      </c>
      <c r="H844">
        <v>0.18</v>
      </c>
      <c r="I844" t="s">
        <v>15</v>
      </c>
      <c r="J844">
        <v>0</v>
      </c>
      <c r="K844">
        <v>1</v>
      </c>
      <c r="L844">
        <v>0</v>
      </c>
      <c r="M844">
        <f>VLOOKUP(Table1[[#This Row],[subscription_type]],Plans!$A$1:$B$5,2,FALSE)</f>
        <v>9.99</v>
      </c>
      <c r="N844">
        <f t="shared" si="13"/>
        <v>0</v>
      </c>
    </row>
    <row r="845" spans="1:14" x14ac:dyDescent="0.35">
      <c r="A845">
        <v>844</v>
      </c>
      <c r="B845" t="s">
        <v>16</v>
      </c>
      <c r="C845">
        <v>45</v>
      </c>
      <c r="D845" t="s">
        <v>27</v>
      </c>
      <c r="E845" t="s">
        <v>18</v>
      </c>
      <c r="F845">
        <v>13</v>
      </c>
      <c r="G845">
        <v>44</v>
      </c>
      <c r="H845">
        <v>0.12</v>
      </c>
      <c r="I845" t="s">
        <v>23</v>
      </c>
      <c r="J845">
        <v>0</v>
      </c>
      <c r="K845">
        <v>1</v>
      </c>
      <c r="L845">
        <v>0</v>
      </c>
      <c r="M845">
        <f>VLOOKUP(Table1[[#This Row],[subscription_type]],Plans!$A$1:$B$5,2,FALSE)</f>
        <v>14.99</v>
      </c>
      <c r="N845">
        <f t="shared" si="13"/>
        <v>0</v>
      </c>
    </row>
    <row r="846" spans="1:14" x14ac:dyDescent="0.35">
      <c r="A846">
        <v>845</v>
      </c>
      <c r="B846" t="s">
        <v>16</v>
      </c>
      <c r="C846">
        <v>30</v>
      </c>
      <c r="D846" t="s">
        <v>27</v>
      </c>
      <c r="E846" t="s">
        <v>22</v>
      </c>
      <c r="F846">
        <v>45</v>
      </c>
      <c r="G846">
        <v>61</v>
      </c>
      <c r="H846">
        <v>0.34</v>
      </c>
      <c r="I846" t="s">
        <v>19</v>
      </c>
      <c r="J846">
        <v>0</v>
      </c>
      <c r="K846">
        <v>1</v>
      </c>
      <c r="L846">
        <v>1</v>
      </c>
      <c r="M846">
        <f>VLOOKUP(Table1[[#This Row],[subscription_type]],Plans!$A$1:$B$5,2,FALSE)</f>
        <v>9.99</v>
      </c>
      <c r="N846">
        <f t="shared" si="13"/>
        <v>9.99</v>
      </c>
    </row>
    <row r="847" spans="1:14" x14ac:dyDescent="0.35">
      <c r="A847">
        <v>846</v>
      </c>
      <c r="B847" t="s">
        <v>12</v>
      </c>
      <c r="C847">
        <v>51</v>
      </c>
      <c r="D847" t="s">
        <v>21</v>
      </c>
      <c r="E847" t="s">
        <v>18</v>
      </c>
      <c r="F847">
        <v>71</v>
      </c>
      <c r="G847">
        <v>95</v>
      </c>
      <c r="H847">
        <v>0.18</v>
      </c>
      <c r="I847" t="s">
        <v>23</v>
      </c>
      <c r="J847">
        <v>0</v>
      </c>
      <c r="K847">
        <v>1</v>
      </c>
      <c r="L847">
        <v>0</v>
      </c>
      <c r="M847">
        <f>VLOOKUP(Table1[[#This Row],[subscription_type]],Plans!$A$1:$B$5,2,FALSE)</f>
        <v>14.99</v>
      </c>
      <c r="N847">
        <f t="shared" si="13"/>
        <v>0</v>
      </c>
    </row>
    <row r="848" spans="1:14" x14ac:dyDescent="0.35">
      <c r="A848">
        <v>847</v>
      </c>
      <c r="B848" t="s">
        <v>16</v>
      </c>
      <c r="C848">
        <v>44</v>
      </c>
      <c r="D848" t="s">
        <v>27</v>
      </c>
      <c r="E848" t="s">
        <v>18</v>
      </c>
      <c r="F848">
        <v>84</v>
      </c>
      <c r="G848">
        <v>83</v>
      </c>
      <c r="H848">
        <v>0.04</v>
      </c>
      <c r="I848" t="s">
        <v>19</v>
      </c>
      <c r="J848">
        <v>0</v>
      </c>
      <c r="K848">
        <v>1</v>
      </c>
      <c r="L848">
        <v>0</v>
      </c>
      <c r="M848">
        <f>VLOOKUP(Table1[[#This Row],[subscription_type]],Plans!$A$1:$B$5,2,FALSE)</f>
        <v>14.99</v>
      </c>
      <c r="N848">
        <f t="shared" si="13"/>
        <v>0</v>
      </c>
    </row>
    <row r="849" spans="1:14" x14ac:dyDescent="0.35">
      <c r="A849">
        <v>848</v>
      </c>
      <c r="B849" t="s">
        <v>20</v>
      </c>
      <c r="C849">
        <v>39</v>
      </c>
      <c r="D849" t="s">
        <v>27</v>
      </c>
      <c r="E849" t="s">
        <v>24</v>
      </c>
      <c r="F849">
        <v>226</v>
      </c>
      <c r="G849">
        <v>92</v>
      </c>
      <c r="H849">
        <v>0.04</v>
      </c>
      <c r="I849" t="s">
        <v>23</v>
      </c>
      <c r="J849">
        <v>0</v>
      </c>
      <c r="K849">
        <v>1</v>
      </c>
      <c r="L849">
        <v>0</v>
      </c>
      <c r="M849">
        <f>VLOOKUP(Table1[[#This Row],[subscription_type]],Plans!$A$1:$B$5,2,FALSE)</f>
        <v>4.99</v>
      </c>
      <c r="N849">
        <f t="shared" si="13"/>
        <v>0</v>
      </c>
    </row>
    <row r="850" spans="1:14" x14ac:dyDescent="0.35">
      <c r="A850">
        <v>849</v>
      </c>
      <c r="B850" t="s">
        <v>16</v>
      </c>
      <c r="C850">
        <v>46</v>
      </c>
      <c r="D850" t="s">
        <v>26</v>
      </c>
      <c r="E850" t="s">
        <v>22</v>
      </c>
      <c r="F850">
        <v>74</v>
      </c>
      <c r="G850">
        <v>66</v>
      </c>
      <c r="H850">
        <v>0.02</v>
      </c>
      <c r="I850" t="s">
        <v>15</v>
      </c>
      <c r="J850">
        <v>0</v>
      </c>
      <c r="K850">
        <v>1</v>
      </c>
      <c r="L850">
        <v>0</v>
      </c>
      <c r="M850">
        <f>VLOOKUP(Table1[[#This Row],[subscription_type]],Plans!$A$1:$B$5,2,FALSE)</f>
        <v>9.99</v>
      </c>
      <c r="N850">
        <f t="shared" si="13"/>
        <v>0</v>
      </c>
    </row>
    <row r="851" spans="1:14" x14ac:dyDescent="0.35">
      <c r="A851">
        <v>850</v>
      </c>
      <c r="B851" t="s">
        <v>16</v>
      </c>
      <c r="C851">
        <v>20</v>
      </c>
      <c r="D851" t="s">
        <v>26</v>
      </c>
      <c r="E851" t="s">
        <v>18</v>
      </c>
      <c r="F851">
        <v>22</v>
      </c>
      <c r="G851">
        <v>58</v>
      </c>
      <c r="H851">
        <v>0.03</v>
      </c>
      <c r="I851" t="s">
        <v>23</v>
      </c>
      <c r="J851">
        <v>0</v>
      </c>
      <c r="K851">
        <v>1</v>
      </c>
      <c r="L851">
        <v>1</v>
      </c>
      <c r="M851">
        <f>VLOOKUP(Table1[[#This Row],[subscription_type]],Plans!$A$1:$B$5,2,FALSE)</f>
        <v>14.99</v>
      </c>
      <c r="N851">
        <f t="shared" si="13"/>
        <v>14.99</v>
      </c>
    </row>
    <row r="852" spans="1:14" x14ac:dyDescent="0.35">
      <c r="A852">
        <v>851</v>
      </c>
      <c r="B852" t="s">
        <v>16</v>
      </c>
      <c r="C852">
        <v>32</v>
      </c>
      <c r="D852" t="s">
        <v>26</v>
      </c>
      <c r="E852" t="s">
        <v>24</v>
      </c>
      <c r="F852">
        <v>106</v>
      </c>
      <c r="G852">
        <v>8</v>
      </c>
      <c r="H852">
        <v>0.52</v>
      </c>
      <c r="I852" t="s">
        <v>23</v>
      </c>
      <c r="J852">
        <v>0</v>
      </c>
      <c r="K852">
        <v>1</v>
      </c>
      <c r="L852">
        <v>0</v>
      </c>
      <c r="M852">
        <f>VLOOKUP(Table1[[#This Row],[subscription_type]],Plans!$A$1:$B$5,2,FALSE)</f>
        <v>4.99</v>
      </c>
      <c r="N852">
        <f t="shared" si="13"/>
        <v>0</v>
      </c>
    </row>
    <row r="853" spans="1:14" x14ac:dyDescent="0.35">
      <c r="A853">
        <v>852</v>
      </c>
      <c r="B853" t="s">
        <v>16</v>
      </c>
      <c r="C853">
        <v>18</v>
      </c>
      <c r="D853" t="s">
        <v>26</v>
      </c>
      <c r="E853" t="s">
        <v>18</v>
      </c>
      <c r="F853">
        <v>174</v>
      </c>
      <c r="G853">
        <v>49</v>
      </c>
      <c r="H853">
        <v>0.56999999999999995</v>
      </c>
      <c r="I853" t="s">
        <v>23</v>
      </c>
      <c r="J853">
        <v>0</v>
      </c>
      <c r="K853">
        <v>1</v>
      </c>
      <c r="L853">
        <v>0</v>
      </c>
      <c r="M853">
        <f>VLOOKUP(Table1[[#This Row],[subscription_type]],Plans!$A$1:$B$5,2,FALSE)</f>
        <v>14.99</v>
      </c>
      <c r="N853">
        <f t="shared" si="13"/>
        <v>0</v>
      </c>
    </row>
    <row r="854" spans="1:14" x14ac:dyDescent="0.35">
      <c r="A854">
        <v>853</v>
      </c>
      <c r="B854" t="s">
        <v>20</v>
      </c>
      <c r="C854">
        <v>24</v>
      </c>
      <c r="D854" t="s">
        <v>29</v>
      </c>
      <c r="E854" t="s">
        <v>18</v>
      </c>
      <c r="F854">
        <v>297</v>
      </c>
      <c r="G854">
        <v>18</v>
      </c>
      <c r="H854">
        <v>0.22</v>
      </c>
      <c r="I854" t="s">
        <v>19</v>
      </c>
      <c r="J854">
        <v>0</v>
      </c>
      <c r="K854">
        <v>1</v>
      </c>
      <c r="L854">
        <v>0</v>
      </c>
      <c r="M854">
        <f>VLOOKUP(Table1[[#This Row],[subscription_type]],Plans!$A$1:$B$5,2,FALSE)</f>
        <v>14.99</v>
      </c>
      <c r="N854">
        <f t="shared" si="13"/>
        <v>0</v>
      </c>
    </row>
    <row r="855" spans="1:14" x14ac:dyDescent="0.35">
      <c r="A855">
        <v>854</v>
      </c>
      <c r="B855" t="s">
        <v>20</v>
      </c>
      <c r="C855">
        <v>54</v>
      </c>
      <c r="D855" t="s">
        <v>27</v>
      </c>
      <c r="E855" t="s">
        <v>14</v>
      </c>
      <c r="F855">
        <v>48</v>
      </c>
      <c r="G855">
        <v>26</v>
      </c>
      <c r="H855">
        <v>0.56000000000000005</v>
      </c>
      <c r="I855" t="s">
        <v>23</v>
      </c>
      <c r="J855">
        <v>5</v>
      </c>
      <c r="K855">
        <v>0</v>
      </c>
      <c r="L855">
        <v>0</v>
      </c>
      <c r="M855">
        <f>VLOOKUP(Table1[[#This Row],[subscription_type]],Plans!$A$1:$B$5,2,FALSE)</f>
        <v>0</v>
      </c>
      <c r="N855">
        <f t="shared" si="13"/>
        <v>0</v>
      </c>
    </row>
    <row r="856" spans="1:14" x14ac:dyDescent="0.35">
      <c r="A856">
        <v>855</v>
      </c>
      <c r="B856" t="s">
        <v>12</v>
      </c>
      <c r="C856">
        <v>40</v>
      </c>
      <c r="D856" t="s">
        <v>13</v>
      </c>
      <c r="E856" t="s">
        <v>14</v>
      </c>
      <c r="F856">
        <v>89</v>
      </c>
      <c r="G856">
        <v>5</v>
      </c>
      <c r="H856">
        <v>0.39</v>
      </c>
      <c r="I856" t="s">
        <v>19</v>
      </c>
      <c r="J856">
        <v>30</v>
      </c>
      <c r="K856">
        <v>0</v>
      </c>
      <c r="L856">
        <v>0</v>
      </c>
      <c r="M856">
        <f>VLOOKUP(Table1[[#This Row],[subscription_type]],Plans!$A$1:$B$5,2,FALSE)</f>
        <v>0</v>
      </c>
      <c r="N856">
        <f t="shared" si="13"/>
        <v>0</v>
      </c>
    </row>
    <row r="857" spans="1:14" x14ac:dyDescent="0.35">
      <c r="A857">
        <v>856</v>
      </c>
      <c r="B857" t="s">
        <v>12</v>
      </c>
      <c r="C857">
        <v>59</v>
      </c>
      <c r="D857" t="s">
        <v>25</v>
      </c>
      <c r="E857" t="s">
        <v>22</v>
      </c>
      <c r="F857">
        <v>204</v>
      </c>
      <c r="G857">
        <v>47</v>
      </c>
      <c r="H857">
        <v>0.11</v>
      </c>
      <c r="I857" t="s">
        <v>15</v>
      </c>
      <c r="J857">
        <v>0</v>
      </c>
      <c r="K857">
        <v>1</v>
      </c>
      <c r="L857">
        <v>0</v>
      </c>
      <c r="M857">
        <f>VLOOKUP(Table1[[#This Row],[subscription_type]],Plans!$A$1:$B$5,2,FALSE)</f>
        <v>9.99</v>
      </c>
      <c r="N857">
        <f t="shared" si="13"/>
        <v>0</v>
      </c>
    </row>
    <row r="858" spans="1:14" x14ac:dyDescent="0.35">
      <c r="A858">
        <v>857</v>
      </c>
      <c r="B858" t="s">
        <v>20</v>
      </c>
      <c r="C858">
        <v>41</v>
      </c>
      <c r="D858" t="s">
        <v>25</v>
      </c>
      <c r="E858" t="s">
        <v>22</v>
      </c>
      <c r="F858">
        <v>286</v>
      </c>
      <c r="G858">
        <v>61</v>
      </c>
      <c r="H858">
        <v>0.02</v>
      </c>
      <c r="I858" t="s">
        <v>15</v>
      </c>
      <c r="J858">
        <v>0</v>
      </c>
      <c r="K858">
        <v>1</v>
      </c>
      <c r="L858">
        <v>1</v>
      </c>
      <c r="M858">
        <f>VLOOKUP(Table1[[#This Row],[subscription_type]],Plans!$A$1:$B$5,2,FALSE)</f>
        <v>9.99</v>
      </c>
      <c r="N858">
        <f t="shared" si="13"/>
        <v>9.99</v>
      </c>
    </row>
    <row r="859" spans="1:14" x14ac:dyDescent="0.35">
      <c r="A859">
        <v>858</v>
      </c>
      <c r="B859" t="s">
        <v>16</v>
      </c>
      <c r="C859">
        <v>38</v>
      </c>
      <c r="D859" t="s">
        <v>25</v>
      </c>
      <c r="E859" t="s">
        <v>22</v>
      </c>
      <c r="F859">
        <v>163</v>
      </c>
      <c r="G859">
        <v>54</v>
      </c>
      <c r="H859">
        <v>0.42</v>
      </c>
      <c r="I859" t="s">
        <v>15</v>
      </c>
      <c r="J859">
        <v>0</v>
      </c>
      <c r="K859">
        <v>1</v>
      </c>
      <c r="L859">
        <v>0</v>
      </c>
      <c r="M859">
        <f>VLOOKUP(Table1[[#This Row],[subscription_type]],Plans!$A$1:$B$5,2,FALSE)</f>
        <v>9.99</v>
      </c>
      <c r="N859">
        <f t="shared" si="13"/>
        <v>0</v>
      </c>
    </row>
    <row r="860" spans="1:14" x14ac:dyDescent="0.35">
      <c r="A860">
        <v>859</v>
      </c>
      <c r="B860" t="s">
        <v>20</v>
      </c>
      <c r="C860">
        <v>41</v>
      </c>
      <c r="D860" t="s">
        <v>29</v>
      </c>
      <c r="E860" t="s">
        <v>22</v>
      </c>
      <c r="F860">
        <v>95</v>
      </c>
      <c r="G860">
        <v>13</v>
      </c>
      <c r="H860">
        <v>0.23</v>
      </c>
      <c r="I860" t="s">
        <v>23</v>
      </c>
      <c r="J860">
        <v>0</v>
      </c>
      <c r="K860">
        <v>1</v>
      </c>
      <c r="L860">
        <v>1</v>
      </c>
      <c r="M860">
        <f>VLOOKUP(Table1[[#This Row],[subscription_type]],Plans!$A$1:$B$5,2,FALSE)</f>
        <v>9.99</v>
      </c>
      <c r="N860">
        <f t="shared" si="13"/>
        <v>9.99</v>
      </c>
    </row>
    <row r="861" spans="1:14" x14ac:dyDescent="0.35">
      <c r="A861">
        <v>860</v>
      </c>
      <c r="B861" t="s">
        <v>20</v>
      </c>
      <c r="C861">
        <v>30</v>
      </c>
      <c r="D861" t="s">
        <v>26</v>
      </c>
      <c r="E861" t="s">
        <v>22</v>
      </c>
      <c r="F861">
        <v>14</v>
      </c>
      <c r="G861">
        <v>88</v>
      </c>
      <c r="H861">
        <v>0.03</v>
      </c>
      <c r="I861" t="s">
        <v>15</v>
      </c>
      <c r="J861">
        <v>0</v>
      </c>
      <c r="K861">
        <v>1</v>
      </c>
      <c r="L861">
        <v>0</v>
      </c>
      <c r="M861">
        <f>VLOOKUP(Table1[[#This Row],[subscription_type]],Plans!$A$1:$B$5,2,FALSE)</f>
        <v>9.99</v>
      </c>
      <c r="N861">
        <f t="shared" si="13"/>
        <v>0</v>
      </c>
    </row>
    <row r="862" spans="1:14" x14ac:dyDescent="0.35">
      <c r="A862">
        <v>861</v>
      </c>
      <c r="B862" t="s">
        <v>20</v>
      </c>
      <c r="C862">
        <v>46</v>
      </c>
      <c r="D862" t="s">
        <v>21</v>
      </c>
      <c r="E862" t="s">
        <v>24</v>
      </c>
      <c r="F862">
        <v>252</v>
      </c>
      <c r="G862">
        <v>60</v>
      </c>
      <c r="H862">
        <v>0.31</v>
      </c>
      <c r="I862" t="s">
        <v>19</v>
      </c>
      <c r="J862">
        <v>0</v>
      </c>
      <c r="K862">
        <v>1</v>
      </c>
      <c r="L862">
        <v>0</v>
      </c>
      <c r="M862">
        <f>VLOOKUP(Table1[[#This Row],[subscription_type]],Plans!$A$1:$B$5,2,FALSE)</f>
        <v>4.99</v>
      </c>
      <c r="N862">
        <f t="shared" si="13"/>
        <v>0</v>
      </c>
    </row>
    <row r="863" spans="1:14" x14ac:dyDescent="0.35">
      <c r="A863">
        <v>862</v>
      </c>
      <c r="B863" t="s">
        <v>12</v>
      </c>
      <c r="C863">
        <v>44</v>
      </c>
      <c r="D863" t="s">
        <v>29</v>
      </c>
      <c r="E863" t="s">
        <v>24</v>
      </c>
      <c r="F863">
        <v>196</v>
      </c>
      <c r="G863">
        <v>6</v>
      </c>
      <c r="H863">
        <v>0.28999999999999998</v>
      </c>
      <c r="I863" t="s">
        <v>15</v>
      </c>
      <c r="J863">
        <v>0</v>
      </c>
      <c r="K863">
        <v>1</v>
      </c>
      <c r="L863">
        <v>0</v>
      </c>
      <c r="M863">
        <f>VLOOKUP(Table1[[#This Row],[subscription_type]],Plans!$A$1:$B$5,2,FALSE)</f>
        <v>4.99</v>
      </c>
      <c r="N863">
        <f t="shared" si="13"/>
        <v>0</v>
      </c>
    </row>
    <row r="864" spans="1:14" x14ac:dyDescent="0.35">
      <c r="A864">
        <v>863</v>
      </c>
      <c r="B864" t="s">
        <v>20</v>
      </c>
      <c r="C864">
        <v>59</v>
      </c>
      <c r="D864" t="s">
        <v>17</v>
      </c>
      <c r="E864" t="s">
        <v>24</v>
      </c>
      <c r="F864">
        <v>250</v>
      </c>
      <c r="G864">
        <v>12</v>
      </c>
      <c r="H864">
        <v>0.56000000000000005</v>
      </c>
      <c r="I864" t="s">
        <v>19</v>
      </c>
      <c r="J864">
        <v>0</v>
      </c>
      <c r="K864">
        <v>1</v>
      </c>
      <c r="L864">
        <v>0</v>
      </c>
      <c r="M864">
        <f>VLOOKUP(Table1[[#This Row],[subscription_type]],Plans!$A$1:$B$5,2,FALSE)</f>
        <v>4.99</v>
      </c>
      <c r="N864">
        <f t="shared" si="13"/>
        <v>0</v>
      </c>
    </row>
    <row r="865" spans="1:14" x14ac:dyDescent="0.35">
      <c r="A865">
        <v>864</v>
      </c>
      <c r="B865" t="s">
        <v>12</v>
      </c>
      <c r="C865">
        <v>53</v>
      </c>
      <c r="D865" t="s">
        <v>17</v>
      </c>
      <c r="E865" t="s">
        <v>18</v>
      </c>
      <c r="F865">
        <v>299</v>
      </c>
      <c r="G865">
        <v>67</v>
      </c>
      <c r="H865">
        <v>0.38</v>
      </c>
      <c r="I865" t="s">
        <v>19</v>
      </c>
      <c r="J865">
        <v>0</v>
      </c>
      <c r="K865">
        <v>1</v>
      </c>
      <c r="L865">
        <v>0</v>
      </c>
      <c r="M865">
        <f>VLOOKUP(Table1[[#This Row],[subscription_type]],Plans!$A$1:$B$5,2,FALSE)</f>
        <v>14.99</v>
      </c>
      <c r="N865">
        <f t="shared" si="13"/>
        <v>0</v>
      </c>
    </row>
    <row r="866" spans="1:14" x14ac:dyDescent="0.35">
      <c r="A866">
        <v>865</v>
      </c>
      <c r="B866" t="s">
        <v>20</v>
      </c>
      <c r="C866">
        <v>26</v>
      </c>
      <c r="D866" t="s">
        <v>21</v>
      </c>
      <c r="E866" t="s">
        <v>24</v>
      </c>
      <c r="F866">
        <v>18</v>
      </c>
      <c r="G866">
        <v>12</v>
      </c>
      <c r="H866">
        <v>0.38</v>
      </c>
      <c r="I866" t="s">
        <v>23</v>
      </c>
      <c r="J866">
        <v>0</v>
      </c>
      <c r="K866">
        <v>1</v>
      </c>
      <c r="L866">
        <v>0</v>
      </c>
      <c r="M866">
        <f>VLOOKUP(Table1[[#This Row],[subscription_type]],Plans!$A$1:$B$5,2,FALSE)</f>
        <v>4.99</v>
      </c>
      <c r="N866">
        <f t="shared" si="13"/>
        <v>0</v>
      </c>
    </row>
    <row r="867" spans="1:14" x14ac:dyDescent="0.35">
      <c r="A867">
        <v>866</v>
      </c>
      <c r="B867" t="s">
        <v>20</v>
      </c>
      <c r="C867">
        <v>44</v>
      </c>
      <c r="D867" t="s">
        <v>26</v>
      </c>
      <c r="E867" t="s">
        <v>14</v>
      </c>
      <c r="F867">
        <v>58</v>
      </c>
      <c r="G867">
        <v>61</v>
      </c>
      <c r="H867">
        <v>0.26</v>
      </c>
      <c r="I867" t="s">
        <v>15</v>
      </c>
      <c r="J867">
        <v>14</v>
      </c>
      <c r="K867">
        <v>0</v>
      </c>
      <c r="L867">
        <v>0</v>
      </c>
      <c r="M867">
        <f>VLOOKUP(Table1[[#This Row],[subscription_type]],Plans!$A$1:$B$5,2,FALSE)</f>
        <v>0</v>
      </c>
      <c r="N867">
        <f t="shared" si="13"/>
        <v>0</v>
      </c>
    </row>
    <row r="868" spans="1:14" x14ac:dyDescent="0.35">
      <c r="A868">
        <v>867</v>
      </c>
      <c r="B868" t="s">
        <v>20</v>
      </c>
      <c r="C868">
        <v>35</v>
      </c>
      <c r="D868" t="s">
        <v>28</v>
      </c>
      <c r="E868" t="s">
        <v>18</v>
      </c>
      <c r="F868">
        <v>73</v>
      </c>
      <c r="G868">
        <v>7</v>
      </c>
      <c r="H868">
        <v>0.12</v>
      </c>
      <c r="I868" t="s">
        <v>15</v>
      </c>
      <c r="J868">
        <v>0</v>
      </c>
      <c r="K868">
        <v>1</v>
      </c>
      <c r="L868">
        <v>1</v>
      </c>
      <c r="M868">
        <f>VLOOKUP(Table1[[#This Row],[subscription_type]],Plans!$A$1:$B$5,2,FALSE)</f>
        <v>14.99</v>
      </c>
      <c r="N868">
        <f t="shared" si="13"/>
        <v>14.99</v>
      </c>
    </row>
    <row r="869" spans="1:14" x14ac:dyDescent="0.35">
      <c r="A869">
        <v>868</v>
      </c>
      <c r="B869" t="s">
        <v>20</v>
      </c>
      <c r="C869">
        <v>33</v>
      </c>
      <c r="D869" t="s">
        <v>17</v>
      </c>
      <c r="E869" t="s">
        <v>14</v>
      </c>
      <c r="F869">
        <v>239</v>
      </c>
      <c r="G869">
        <v>17</v>
      </c>
      <c r="H869">
        <v>0.25</v>
      </c>
      <c r="I869" t="s">
        <v>19</v>
      </c>
      <c r="J869">
        <v>28</v>
      </c>
      <c r="K869">
        <v>0</v>
      </c>
      <c r="L869">
        <v>1</v>
      </c>
      <c r="M869">
        <f>VLOOKUP(Table1[[#This Row],[subscription_type]],Plans!$A$1:$B$5,2,FALSE)</f>
        <v>0</v>
      </c>
      <c r="N869">
        <f t="shared" si="13"/>
        <v>0</v>
      </c>
    </row>
    <row r="870" spans="1:14" x14ac:dyDescent="0.35">
      <c r="A870">
        <v>869</v>
      </c>
      <c r="B870" t="s">
        <v>12</v>
      </c>
      <c r="C870">
        <v>53</v>
      </c>
      <c r="D870" t="s">
        <v>13</v>
      </c>
      <c r="E870" t="s">
        <v>24</v>
      </c>
      <c r="F870">
        <v>107</v>
      </c>
      <c r="G870">
        <v>38</v>
      </c>
      <c r="H870">
        <v>0.36</v>
      </c>
      <c r="I870" t="s">
        <v>23</v>
      </c>
      <c r="J870">
        <v>0</v>
      </c>
      <c r="K870">
        <v>1</v>
      </c>
      <c r="L870">
        <v>0</v>
      </c>
      <c r="M870">
        <f>VLOOKUP(Table1[[#This Row],[subscription_type]],Plans!$A$1:$B$5,2,FALSE)</f>
        <v>4.99</v>
      </c>
      <c r="N870">
        <f t="shared" si="13"/>
        <v>0</v>
      </c>
    </row>
    <row r="871" spans="1:14" x14ac:dyDescent="0.35">
      <c r="A871">
        <v>870</v>
      </c>
      <c r="B871" t="s">
        <v>12</v>
      </c>
      <c r="C871">
        <v>27</v>
      </c>
      <c r="D871" t="s">
        <v>13</v>
      </c>
      <c r="E871" t="s">
        <v>14</v>
      </c>
      <c r="F871">
        <v>230</v>
      </c>
      <c r="G871">
        <v>13</v>
      </c>
      <c r="H871">
        <v>0.24</v>
      </c>
      <c r="I871" t="s">
        <v>23</v>
      </c>
      <c r="J871">
        <v>46</v>
      </c>
      <c r="K871">
        <v>0</v>
      </c>
      <c r="L871">
        <v>1</v>
      </c>
      <c r="M871">
        <f>VLOOKUP(Table1[[#This Row],[subscription_type]],Plans!$A$1:$B$5,2,FALSE)</f>
        <v>0</v>
      </c>
      <c r="N871">
        <f t="shared" si="13"/>
        <v>0</v>
      </c>
    </row>
    <row r="872" spans="1:14" x14ac:dyDescent="0.35">
      <c r="A872">
        <v>871</v>
      </c>
      <c r="B872" t="s">
        <v>20</v>
      </c>
      <c r="C872">
        <v>24</v>
      </c>
      <c r="D872" t="s">
        <v>28</v>
      </c>
      <c r="E872" t="s">
        <v>14</v>
      </c>
      <c r="F872">
        <v>119</v>
      </c>
      <c r="G872">
        <v>67</v>
      </c>
      <c r="H872">
        <v>0.08</v>
      </c>
      <c r="I872" t="s">
        <v>23</v>
      </c>
      <c r="J872">
        <v>11</v>
      </c>
      <c r="K872">
        <v>0</v>
      </c>
      <c r="L872">
        <v>0</v>
      </c>
      <c r="M872">
        <f>VLOOKUP(Table1[[#This Row],[subscription_type]],Plans!$A$1:$B$5,2,FALSE)</f>
        <v>0</v>
      </c>
      <c r="N872">
        <f t="shared" si="13"/>
        <v>0</v>
      </c>
    </row>
    <row r="873" spans="1:14" x14ac:dyDescent="0.35">
      <c r="A873">
        <v>872</v>
      </c>
      <c r="B873" t="s">
        <v>20</v>
      </c>
      <c r="C873">
        <v>29</v>
      </c>
      <c r="D873" t="s">
        <v>25</v>
      </c>
      <c r="E873" t="s">
        <v>24</v>
      </c>
      <c r="F873">
        <v>296</v>
      </c>
      <c r="G873">
        <v>56</v>
      </c>
      <c r="H873">
        <v>0.12</v>
      </c>
      <c r="I873" t="s">
        <v>23</v>
      </c>
      <c r="J873">
        <v>0</v>
      </c>
      <c r="K873">
        <v>1</v>
      </c>
      <c r="L873">
        <v>1</v>
      </c>
      <c r="M873">
        <f>VLOOKUP(Table1[[#This Row],[subscription_type]],Plans!$A$1:$B$5,2,FALSE)</f>
        <v>4.99</v>
      </c>
      <c r="N873">
        <f t="shared" si="13"/>
        <v>4.99</v>
      </c>
    </row>
    <row r="874" spans="1:14" x14ac:dyDescent="0.35">
      <c r="A874">
        <v>873</v>
      </c>
      <c r="B874" t="s">
        <v>16</v>
      </c>
      <c r="C874">
        <v>49</v>
      </c>
      <c r="D874" t="s">
        <v>25</v>
      </c>
      <c r="E874" t="s">
        <v>14</v>
      </c>
      <c r="F874">
        <v>132</v>
      </c>
      <c r="G874">
        <v>31</v>
      </c>
      <c r="H874">
        <v>0.22</v>
      </c>
      <c r="I874" t="s">
        <v>15</v>
      </c>
      <c r="J874">
        <v>6</v>
      </c>
      <c r="K874">
        <v>0</v>
      </c>
      <c r="L874">
        <v>0</v>
      </c>
      <c r="M874">
        <f>VLOOKUP(Table1[[#This Row],[subscription_type]],Plans!$A$1:$B$5,2,FALSE)</f>
        <v>0</v>
      </c>
      <c r="N874">
        <f t="shared" si="13"/>
        <v>0</v>
      </c>
    </row>
    <row r="875" spans="1:14" x14ac:dyDescent="0.35">
      <c r="A875">
        <v>874</v>
      </c>
      <c r="B875" t="s">
        <v>20</v>
      </c>
      <c r="C875">
        <v>52</v>
      </c>
      <c r="D875" t="s">
        <v>13</v>
      </c>
      <c r="E875" t="s">
        <v>14</v>
      </c>
      <c r="F875">
        <v>251</v>
      </c>
      <c r="G875">
        <v>30</v>
      </c>
      <c r="H875">
        <v>0.28999999999999998</v>
      </c>
      <c r="I875" t="s">
        <v>15</v>
      </c>
      <c r="J875">
        <v>37</v>
      </c>
      <c r="K875">
        <v>0</v>
      </c>
      <c r="L875">
        <v>0</v>
      </c>
      <c r="M875">
        <f>VLOOKUP(Table1[[#This Row],[subscription_type]],Plans!$A$1:$B$5,2,FALSE)</f>
        <v>0</v>
      </c>
      <c r="N875">
        <f t="shared" si="13"/>
        <v>0</v>
      </c>
    </row>
    <row r="876" spans="1:14" x14ac:dyDescent="0.35">
      <c r="A876">
        <v>875</v>
      </c>
      <c r="B876" t="s">
        <v>20</v>
      </c>
      <c r="C876">
        <v>38</v>
      </c>
      <c r="D876" t="s">
        <v>17</v>
      </c>
      <c r="E876" t="s">
        <v>22</v>
      </c>
      <c r="F876">
        <v>276</v>
      </c>
      <c r="G876">
        <v>32</v>
      </c>
      <c r="H876">
        <v>0.35</v>
      </c>
      <c r="I876" t="s">
        <v>23</v>
      </c>
      <c r="J876">
        <v>0</v>
      </c>
      <c r="K876">
        <v>1</v>
      </c>
      <c r="L876">
        <v>0</v>
      </c>
      <c r="M876">
        <f>VLOOKUP(Table1[[#This Row],[subscription_type]],Plans!$A$1:$B$5,2,FALSE)</f>
        <v>9.99</v>
      </c>
      <c r="N876">
        <f t="shared" si="13"/>
        <v>0</v>
      </c>
    </row>
    <row r="877" spans="1:14" x14ac:dyDescent="0.35">
      <c r="A877">
        <v>876</v>
      </c>
      <c r="B877" t="s">
        <v>12</v>
      </c>
      <c r="C877">
        <v>37</v>
      </c>
      <c r="D877" t="s">
        <v>27</v>
      </c>
      <c r="E877" t="s">
        <v>22</v>
      </c>
      <c r="F877">
        <v>180</v>
      </c>
      <c r="G877">
        <v>40</v>
      </c>
      <c r="H877">
        <v>0.28000000000000003</v>
      </c>
      <c r="I877" t="s">
        <v>19</v>
      </c>
      <c r="J877">
        <v>0</v>
      </c>
      <c r="K877">
        <v>1</v>
      </c>
      <c r="L877">
        <v>0</v>
      </c>
      <c r="M877">
        <f>VLOOKUP(Table1[[#This Row],[subscription_type]],Plans!$A$1:$B$5,2,FALSE)</f>
        <v>9.99</v>
      </c>
      <c r="N877">
        <f t="shared" si="13"/>
        <v>0</v>
      </c>
    </row>
    <row r="878" spans="1:14" x14ac:dyDescent="0.35">
      <c r="A878">
        <v>877</v>
      </c>
      <c r="B878" t="s">
        <v>12</v>
      </c>
      <c r="C878">
        <v>25</v>
      </c>
      <c r="D878" t="s">
        <v>21</v>
      </c>
      <c r="E878" t="s">
        <v>22</v>
      </c>
      <c r="F878">
        <v>63</v>
      </c>
      <c r="G878">
        <v>37</v>
      </c>
      <c r="H878">
        <v>0.15</v>
      </c>
      <c r="I878" t="s">
        <v>15</v>
      </c>
      <c r="J878">
        <v>0</v>
      </c>
      <c r="K878">
        <v>1</v>
      </c>
      <c r="L878">
        <v>1</v>
      </c>
      <c r="M878">
        <f>VLOOKUP(Table1[[#This Row],[subscription_type]],Plans!$A$1:$B$5,2,FALSE)</f>
        <v>9.99</v>
      </c>
      <c r="N878">
        <f t="shared" si="13"/>
        <v>9.99</v>
      </c>
    </row>
    <row r="879" spans="1:14" x14ac:dyDescent="0.35">
      <c r="A879">
        <v>878</v>
      </c>
      <c r="B879" t="s">
        <v>12</v>
      </c>
      <c r="C879">
        <v>45</v>
      </c>
      <c r="D879" t="s">
        <v>29</v>
      </c>
      <c r="E879" t="s">
        <v>14</v>
      </c>
      <c r="F879">
        <v>221</v>
      </c>
      <c r="G879">
        <v>6</v>
      </c>
      <c r="H879">
        <v>0.48</v>
      </c>
      <c r="I879" t="s">
        <v>23</v>
      </c>
      <c r="J879">
        <v>21</v>
      </c>
      <c r="K879">
        <v>0</v>
      </c>
      <c r="L879">
        <v>1</v>
      </c>
      <c r="M879">
        <f>VLOOKUP(Table1[[#This Row],[subscription_type]],Plans!$A$1:$B$5,2,FALSE)</f>
        <v>0</v>
      </c>
      <c r="N879">
        <f t="shared" si="13"/>
        <v>0</v>
      </c>
    </row>
    <row r="880" spans="1:14" x14ac:dyDescent="0.35">
      <c r="A880">
        <v>879</v>
      </c>
      <c r="B880" t="s">
        <v>16</v>
      </c>
      <c r="C880">
        <v>27</v>
      </c>
      <c r="D880" t="s">
        <v>29</v>
      </c>
      <c r="E880" t="s">
        <v>24</v>
      </c>
      <c r="F880">
        <v>235</v>
      </c>
      <c r="G880">
        <v>78</v>
      </c>
      <c r="H880">
        <v>0.6</v>
      </c>
      <c r="I880" t="s">
        <v>19</v>
      </c>
      <c r="J880">
        <v>0</v>
      </c>
      <c r="K880">
        <v>1</v>
      </c>
      <c r="L880">
        <v>1</v>
      </c>
      <c r="M880">
        <f>VLOOKUP(Table1[[#This Row],[subscription_type]],Plans!$A$1:$B$5,2,FALSE)</f>
        <v>4.99</v>
      </c>
      <c r="N880">
        <f t="shared" si="13"/>
        <v>4.99</v>
      </c>
    </row>
    <row r="881" spans="1:14" x14ac:dyDescent="0.35">
      <c r="A881">
        <v>880</v>
      </c>
      <c r="B881" t="s">
        <v>12</v>
      </c>
      <c r="C881">
        <v>50</v>
      </c>
      <c r="D881" t="s">
        <v>28</v>
      </c>
      <c r="E881" t="s">
        <v>22</v>
      </c>
      <c r="F881">
        <v>207</v>
      </c>
      <c r="G881">
        <v>5</v>
      </c>
      <c r="H881">
        <v>0.3</v>
      </c>
      <c r="I881" t="s">
        <v>15</v>
      </c>
      <c r="J881">
        <v>0</v>
      </c>
      <c r="K881">
        <v>1</v>
      </c>
      <c r="L881">
        <v>0</v>
      </c>
      <c r="M881">
        <f>VLOOKUP(Table1[[#This Row],[subscription_type]],Plans!$A$1:$B$5,2,FALSE)</f>
        <v>9.99</v>
      </c>
      <c r="N881">
        <f t="shared" si="13"/>
        <v>0</v>
      </c>
    </row>
    <row r="882" spans="1:14" x14ac:dyDescent="0.35">
      <c r="A882">
        <v>881</v>
      </c>
      <c r="B882" t="s">
        <v>16</v>
      </c>
      <c r="C882">
        <v>58</v>
      </c>
      <c r="D882" t="s">
        <v>26</v>
      </c>
      <c r="E882" t="s">
        <v>24</v>
      </c>
      <c r="F882">
        <v>171</v>
      </c>
      <c r="G882">
        <v>78</v>
      </c>
      <c r="H882">
        <v>0.19</v>
      </c>
      <c r="I882" t="s">
        <v>23</v>
      </c>
      <c r="J882">
        <v>0</v>
      </c>
      <c r="K882">
        <v>1</v>
      </c>
      <c r="L882">
        <v>0</v>
      </c>
      <c r="M882">
        <f>VLOOKUP(Table1[[#This Row],[subscription_type]],Plans!$A$1:$B$5,2,FALSE)</f>
        <v>4.99</v>
      </c>
      <c r="N882">
        <f t="shared" si="13"/>
        <v>0</v>
      </c>
    </row>
    <row r="883" spans="1:14" x14ac:dyDescent="0.35">
      <c r="A883">
        <v>882</v>
      </c>
      <c r="B883" t="s">
        <v>20</v>
      </c>
      <c r="C883">
        <v>32</v>
      </c>
      <c r="D883" t="s">
        <v>28</v>
      </c>
      <c r="E883" t="s">
        <v>18</v>
      </c>
      <c r="F883">
        <v>108</v>
      </c>
      <c r="G883">
        <v>52</v>
      </c>
      <c r="H883">
        <v>0.11</v>
      </c>
      <c r="I883" t="s">
        <v>23</v>
      </c>
      <c r="J883">
        <v>0</v>
      </c>
      <c r="K883">
        <v>1</v>
      </c>
      <c r="L883">
        <v>1</v>
      </c>
      <c r="M883">
        <f>VLOOKUP(Table1[[#This Row],[subscription_type]],Plans!$A$1:$B$5,2,FALSE)</f>
        <v>14.99</v>
      </c>
      <c r="N883">
        <f t="shared" si="13"/>
        <v>14.99</v>
      </c>
    </row>
    <row r="884" spans="1:14" x14ac:dyDescent="0.35">
      <c r="A884">
        <v>883</v>
      </c>
      <c r="B884" t="s">
        <v>12</v>
      </c>
      <c r="C884">
        <v>44</v>
      </c>
      <c r="D884" t="s">
        <v>28</v>
      </c>
      <c r="E884" t="s">
        <v>24</v>
      </c>
      <c r="F884">
        <v>119</v>
      </c>
      <c r="G884">
        <v>51</v>
      </c>
      <c r="H884">
        <v>0.1</v>
      </c>
      <c r="I884" t="s">
        <v>19</v>
      </c>
      <c r="J884">
        <v>0</v>
      </c>
      <c r="K884">
        <v>1</v>
      </c>
      <c r="L884">
        <v>0</v>
      </c>
      <c r="M884">
        <f>VLOOKUP(Table1[[#This Row],[subscription_type]],Plans!$A$1:$B$5,2,FALSE)</f>
        <v>4.99</v>
      </c>
      <c r="N884">
        <f t="shared" si="13"/>
        <v>0</v>
      </c>
    </row>
    <row r="885" spans="1:14" x14ac:dyDescent="0.35">
      <c r="A885">
        <v>884</v>
      </c>
      <c r="B885" t="s">
        <v>20</v>
      </c>
      <c r="C885">
        <v>41</v>
      </c>
      <c r="D885" t="s">
        <v>26</v>
      </c>
      <c r="E885" t="s">
        <v>22</v>
      </c>
      <c r="F885">
        <v>187</v>
      </c>
      <c r="G885">
        <v>13</v>
      </c>
      <c r="H885">
        <v>0.42</v>
      </c>
      <c r="I885" t="s">
        <v>23</v>
      </c>
      <c r="J885">
        <v>0</v>
      </c>
      <c r="K885">
        <v>1</v>
      </c>
      <c r="L885">
        <v>0</v>
      </c>
      <c r="M885">
        <f>VLOOKUP(Table1[[#This Row],[subscription_type]],Plans!$A$1:$B$5,2,FALSE)</f>
        <v>9.99</v>
      </c>
      <c r="N885">
        <f t="shared" si="13"/>
        <v>0</v>
      </c>
    </row>
    <row r="886" spans="1:14" x14ac:dyDescent="0.35">
      <c r="A886">
        <v>885</v>
      </c>
      <c r="B886" t="s">
        <v>20</v>
      </c>
      <c r="C886">
        <v>22</v>
      </c>
      <c r="D886" t="s">
        <v>27</v>
      </c>
      <c r="E886" t="s">
        <v>18</v>
      </c>
      <c r="F886">
        <v>140</v>
      </c>
      <c r="G886">
        <v>52</v>
      </c>
      <c r="H886">
        <v>0.36</v>
      </c>
      <c r="I886" t="s">
        <v>15</v>
      </c>
      <c r="J886">
        <v>0</v>
      </c>
      <c r="K886">
        <v>1</v>
      </c>
      <c r="L886">
        <v>0</v>
      </c>
      <c r="M886">
        <f>VLOOKUP(Table1[[#This Row],[subscription_type]],Plans!$A$1:$B$5,2,FALSE)</f>
        <v>14.99</v>
      </c>
      <c r="N886">
        <f t="shared" si="13"/>
        <v>0</v>
      </c>
    </row>
    <row r="887" spans="1:14" x14ac:dyDescent="0.35">
      <c r="A887">
        <v>886</v>
      </c>
      <c r="B887" t="s">
        <v>20</v>
      </c>
      <c r="C887">
        <v>59</v>
      </c>
      <c r="D887" t="s">
        <v>21</v>
      </c>
      <c r="E887" t="s">
        <v>14</v>
      </c>
      <c r="F887">
        <v>51</v>
      </c>
      <c r="G887">
        <v>99</v>
      </c>
      <c r="H887">
        <v>0.55000000000000004</v>
      </c>
      <c r="I887" t="s">
        <v>19</v>
      </c>
      <c r="J887">
        <v>8</v>
      </c>
      <c r="K887">
        <v>0</v>
      </c>
      <c r="L887">
        <v>1</v>
      </c>
      <c r="M887">
        <f>VLOOKUP(Table1[[#This Row],[subscription_type]],Plans!$A$1:$B$5,2,FALSE)</f>
        <v>0</v>
      </c>
      <c r="N887">
        <f t="shared" si="13"/>
        <v>0</v>
      </c>
    </row>
    <row r="888" spans="1:14" x14ac:dyDescent="0.35">
      <c r="A888">
        <v>887</v>
      </c>
      <c r="B888" t="s">
        <v>20</v>
      </c>
      <c r="C888">
        <v>38</v>
      </c>
      <c r="D888" t="s">
        <v>26</v>
      </c>
      <c r="E888" t="s">
        <v>22</v>
      </c>
      <c r="F888">
        <v>224</v>
      </c>
      <c r="G888">
        <v>78</v>
      </c>
      <c r="H888">
        <v>0.23</v>
      </c>
      <c r="I888" t="s">
        <v>15</v>
      </c>
      <c r="J888">
        <v>0</v>
      </c>
      <c r="K888">
        <v>1</v>
      </c>
      <c r="L888">
        <v>1</v>
      </c>
      <c r="M888">
        <f>VLOOKUP(Table1[[#This Row],[subscription_type]],Plans!$A$1:$B$5,2,FALSE)</f>
        <v>9.99</v>
      </c>
      <c r="N888">
        <f t="shared" si="13"/>
        <v>9.99</v>
      </c>
    </row>
    <row r="889" spans="1:14" x14ac:dyDescent="0.35">
      <c r="A889">
        <v>888</v>
      </c>
      <c r="B889" t="s">
        <v>16</v>
      </c>
      <c r="C889">
        <v>38</v>
      </c>
      <c r="D889" t="s">
        <v>13</v>
      </c>
      <c r="E889" t="s">
        <v>22</v>
      </c>
      <c r="F889">
        <v>111</v>
      </c>
      <c r="G889">
        <v>49</v>
      </c>
      <c r="H889">
        <v>0.12</v>
      </c>
      <c r="I889" t="s">
        <v>15</v>
      </c>
      <c r="J889">
        <v>0</v>
      </c>
      <c r="K889">
        <v>1</v>
      </c>
      <c r="L889">
        <v>0</v>
      </c>
      <c r="M889">
        <f>VLOOKUP(Table1[[#This Row],[subscription_type]],Plans!$A$1:$B$5,2,FALSE)</f>
        <v>9.99</v>
      </c>
      <c r="N889">
        <f t="shared" si="13"/>
        <v>0</v>
      </c>
    </row>
    <row r="890" spans="1:14" x14ac:dyDescent="0.35">
      <c r="A890">
        <v>889</v>
      </c>
      <c r="B890" t="s">
        <v>16</v>
      </c>
      <c r="C890">
        <v>59</v>
      </c>
      <c r="D890" t="s">
        <v>21</v>
      </c>
      <c r="E890" t="s">
        <v>22</v>
      </c>
      <c r="F890">
        <v>253</v>
      </c>
      <c r="G890">
        <v>19</v>
      </c>
      <c r="H890">
        <v>0.18</v>
      </c>
      <c r="I890" t="s">
        <v>15</v>
      </c>
      <c r="J890">
        <v>0</v>
      </c>
      <c r="K890">
        <v>1</v>
      </c>
      <c r="L890">
        <v>0</v>
      </c>
      <c r="M890">
        <f>VLOOKUP(Table1[[#This Row],[subscription_type]],Plans!$A$1:$B$5,2,FALSE)</f>
        <v>9.99</v>
      </c>
      <c r="N890">
        <f t="shared" si="13"/>
        <v>0</v>
      </c>
    </row>
    <row r="891" spans="1:14" x14ac:dyDescent="0.35">
      <c r="A891">
        <v>890</v>
      </c>
      <c r="B891" t="s">
        <v>12</v>
      </c>
      <c r="C891">
        <v>48</v>
      </c>
      <c r="D891" t="s">
        <v>28</v>
      </c>
      <c r="E891" t="s">
        <v>14</v>
      </c>
      <c r="F891">
        <v>246</v>
      </c>
      <c r="G891">
        <v>27</v>
      </c>
      <c r="H891">
        <v>0.41</v>
      </c>
      <c r="I891" t="s">
        <v>19</v>
      </c>
      <c r="J891">
        <v>24</v>
      </c>
      <c r="K891">
        <v>0</v>
      </c>
      <c r="L891">
        <v>0</v>
      </c>
      <c r="M891">
        <f>VLOOKUP(Table1[[#This Row],[subscription_type]],Plans!$A$1:$B$5,2,FALSE)</f>
        <v>0</v>
      </c>
      <c r="N891">
        <f t="shared" si="13"/>
        <v>0</v>
      </c>
    </row>
    <row r="892" spans="1:14" x14ac:dyDescent="0.35">
      <c r="A892">
        <v>891</v>
      </c>
      <c r="B892" t="s">
        <v>16</v>
      </c>
      <c r="C892">
        <v>28</v>
      </c>
      <c r="D892" t="s">
        <v>28</v>
      </c>
      <c r="E892" t="s">
        <v>14</v>
      </c>
      <c r="F892">
        <v>26</v>
      </c>
      <c r="G892">
        <v>59</v>
      </c>
      <c r="H892">
        <v>0.25</v>
      </c>
      <c r="I892" t="s">
        <v>15</v>
      </c>
      <c r="J892">
        <v>5</v>
      </c>
      <c r="K892">
        <v>0</v>
      </c>
      <c r="L892">
        <v>0</v>
      </c>
      <c r="M892">
        <f>VLOOKUP(Table1[[#This Row],[subscription_type]],Plans!$A$1:$B$5,2,FALSE)</f>
        <v>0</v>
      </c>
      <c r="N892">
        <f t="shared" si="13"/>
        <v>0</v>
      </c>
    </row>
    <row r="893" spans="1:14" x14ac:dyDescent="0.35">
      <c r="A893">
        <v>892</v>
      </c>
      <c r="B893" t="s">
        <v>12</v>
      </c>
      <c r="C893">
        <v>48</v>
      </c>
      <c r="D893" t="s">
        <v>27</v>
      </c>
      <c r="E893" t="s">
        <v>14</v>
      </c>
      <c r="F893">
        <v>134</v>
      </c>
      <c r="G893">
        <v>79</v>
      </c>
      <c r="H893">
        <v>0.16</v>
      </c>
      <c r="I893" t="s">
        <v>23</v>
      </c>
      <c r="J893">
        <v>31</v>
      </c>
      <c r="K893">
        <v>0</v>
      </c>
      <c r="L893">
        <v>0</v>
      </c>
      <c r="M893">
        <f>VLOOKUP(Table1[[#This Row],[subscription_type]],Plans!$A$1:$B$5,2,FALSE)</f>
        <v>0</v>
      </c>
      <c r="N893">
        <f t="shared" si="13"/>
        <v>0</v>
      </c>
    </row>
    <row r="894" spans="1:14" x14ac:dyDescent="0.35">
      <c r="A894">
        <v>893</v>
      </c>
      <c r="B894" t="s">
        <v>20</v>
      </c>
      <c r="C894">
        <v>37</v>
      </c>
      <c r="D894" t="s">
        <v>17</v>
      </c>
      <c r="E894" t="s">
        <v>24</v>
      </c>
      <c r="F894">
        <v>113</v>
      </c>
      <c r="G894">
        <v>50</v>
      </c>
      <c r="H894">
        <v>0.51</v>
      </c>
      <c r="I894" t="s">
        <v>19</v>
      </c>
      <c r="J894">
        <v>0</v>
      </c>
      <c r="K894">
        <v>1</v>
      </c>
      <c r="L894">
        <v>0</v>
      </c>
      <c r="M894">
        <f>VLOOKUP(Table1[[#This Row],[subscription_type]],Plans!$A$1:$B$5,2,FALSE)</f>
        <v>4.99</v>
      </c>
      <c r="N894">
        <f t="shared" si="13"/>
        <v>0</v>
      </c>
    </row>
    <row r="895" spans="1:14" x14ac:dyDescent="0.35">
      <c r="A895">
        <v>894</v>
      </c>
      <c r="B895" t="s">
        <v>12</v>
      </c>
      <c r="C895">
        <v>33</v>
      </c>
      <c r="D895" t="s">
        <v>26</v>
      </c>
      <c r="E895" t="s">
        <v>14</v>
      </c>
      <c r="F895">
        <v>288</v>
      </c>
      <c r="G895">
        <v>13</v>
      </c>
      <c r="H895">
        <v>0.59</v>
      </c>
      <c r="I895" t="s">
        <v>15</v>
      </c>
      <c r="J895">
        <v>39</v>
      </c>
      <c r="K895">
        <v>0</v>
      </c>
      <c r="L895">
        <v>1</v>
      </c>
      <c r="M895">
        <f>VLOOKUP(Table1[[#This Row],[subscription_type]],Plans!$A$1:$B$5,2,FALSE)</f>
        <v>0</v>
      </c>
      <c r="N895">
        <f t="shared" si="13"/>
        <v>0</v>
      </c>
    </row>
    <row r="896" spans="1:14" x14ac:dyDescent="0.35">
      <c r="A896">
        <v>895</v>
      </c>
      <c r="B896" t="s">
        <v>12</v>
      </c>
      <c r="C896">
        <v>40</v>
      </c>
      <c r="D896" t="s">
        <v>13</v>
      </c>
      <c r="E896" t="s">
        <v>18</v>
      </c>
      <c r="F896">
        <v>266</v>
      </c>
      <c r="G896">
        <v>71</v>
      </c>
      <c r="H896">
        <v>0.31</v>
      </c>
      <c r="I896" t="s">
        <v>19</v>
      </c>
      <c r="J896">
        <v>0</v>
      </c>
      <c r="K896">
        <v>1</v>
      </c>
      <c r="L896">
        <v>0</v>
      </c>
      <c r="M896">
        <f>VLOOKUP(Table1[[#This Row],[subscription_type]],Plans!$A$1:$B$5,2,FALSE)</f>
        <v>14.99</v>
      </c>
      <c r="N896">
        <f t="shared" si="13"/>
        <v>0</v>
      </c>
    </row>
    <row r="897" spans="1:14" x14ac:dyDescent="0.35">
      <c r="A897">
        <v>896</v>
      </c>
      <c r="B897" t="s">
        <v>16</v>
      </c>
      <c r="C897">
        <v>42</v>
      </c>
      <c r="D897" t="s">
        <v>21</v>
      </c>
      <c r="E897" t="s">
        <v>22</v>
      </c>
      <c r="F897">
        <v>214</v>
      </c>
      <c r="G897">
        <v>25</v>
      </c>
      <c r="H897">
        <v>0.3</v>
      </c>
      <c r="I897" t="s">
        <v>15</v>
      </c>
      <c r="J897">
        <v>0</v>
      </c>
      <c r="K897">
        <v>1</v>
      </c>
      <c r="L897">
        <v>0</v>
      </c>
      <c r="M897">
        <f>VLOOKUP(Table1[[#This Row],[subscription_type]],Plans!$A$1:$B$5,2,FALSE)</f>
        <v>9.99</v>
      </c>
      <c r="N897">
        <f t="shared" si="13"/>
        <v>0</v>
      </c>
    </row>
    <row r="898" spans="1:14" x14ac:dyDescent="0.35">
      <c r="A898">
        <v>897</v>
      </c>
      <c r="B898" t="s">
        <v>20</v>
      </c>
      <c r="C898">
        <v>20</v>
      </c>
      <c r="D898" t="s">
        <v>27</v>
      </c>
      <c r="E898" t="s">
        <v>24</v>
      </c>
      <c r="F898">
        <v>247</v>
      </c>
      <c r="G898">
        <v>87</v>
      </c>
      <c r="H898">
        <v>0.14000000000000001</v>
      </c>
      <c r="I898" t="s">
        <v>19</v>
      </c>
      <c r="J898">
        <v>0</v>
      </c>
      <c r="K898">
        <v>1</v>
      </c>
      <c r="L898">
        <v>0</v>
      </c>
      <c r="M898">
        <f>VLOOKUP(Table1[[#This Row],[subscription_type]],Plans!$A$1:$B$5,2,FALSE)</f>
        <v>4.99</v>
      </c>
      <c r="N898">
        <f t="shared" ref="N898:N961" si="14">IF(L898=1, M898,0)</f>
        <v>0</v>
      </c>
    </row>
    <row r="899" spans="1:14" x14ac:dyDescent="0.35">
      <c r="A899">
        <v>898</v>
      </c>
      <c r="B899" t="s">
        <v>16</v>
      </c>
      <c r="C899">
        <v>49</v>
      </c>
      <c r="D899" t="s">
        <v>29</v>
      </c>
      <c r="E899" t="s">
        <v>24</v>
      </c>
      <c r="F899">
        <v>236</v>
      </c>
      <c r="G899">
        <v>9</v>
      </c>
      <c r="H899">
        <v>0.6</v>
      </c>
      <c r="I899" t="s">
        <v>19</v>
      </c>
      <c r="J899">
        <v>0</v>
      </c>
      <c r="K899">
        <v>1</v>
      </c>
      <c r="L899">
        <v>1</v>
      </c>
      <c r="M899">
        <f>VLOOKUP(Table1[[#This Row],[subscription_type]],Plans!$A$1:$B$5,2,FALSE)</f>
        <v>4.99</v>
      </c>
      <c r="N899">
        <f t="shared" si="14"/>
        <v>4.99</v>
      </c>
    </row>
    <row r="900" spans="1:14" x14ac:dyDescent="0.35">
      <c r="A900">
        <v>899</v>
      </c>
      <c r="B900" t="s">
        <v>12</v>
      </c>
      <c r="C900">
        <v>46</v>
      </c>
      <c r="D900" t="s">
        <v>28</v>
      </c>
      <c r="E900" t="s">
        <v>18</v>
      </c>
      <c r="F900">
        <v>217</v>
      </c>
      <c r="G900">
        <v>42</v>
      </c>
      <c r="H900">
        <v>0.13</v>
      </c>
      <c r="I900" t="s">
        <v>23</v>
      </c>
      <c r="J900">
        <v>0</v>
      </c>
      <c r="K900">
        <v>1</v>
      </c>
      <c r="L900">
        <v>0</v>
      </c>
      <c r="M900">
        <f>VLOOKUP(Table1[[#This Row],[subscription_type]],Plans!$A$1:$B$5,2,FALSE)</f>
        <v>14.99</v>
      </c>
      <c r="N900">
        <f t="shared" si="14"/>
        <v>0</v>
      </c>
    </row>
    <row r="901" spans="1:14" x14ac:dyDescent="0.35">
      <c r="A901">
        <v>900</v>
      </c>
      <c r="B901" t="s">
        <v>16</v>
      </c>
      <c r="C901">
        <v>28</v>
      </c>
      <c r="D901" t="s">
        <v>21</v>
      </c>
      <c r="E901" t="s">
        <v>24</v>
      </c>
      <c r="F901">
        <v>33</v>
      </c>
      <c r="G901">
        <v>67</v>
      </c>
      <c r="H901">
        <v>0.12</v>
      </c>
      <c r="I901" t="s">
        <v>15</v>
      </c>
      <c r="J901">
        <v>0</v>
      </c>
      <c r="K901">
        <v>1</v>
      </c>
      <c r="L901">
        <v>1</v>
      </c>
      <c r="M901">
        <f>VLOOKUP(Table1[[#This Row],[subscription_type]],Plans!$A$1:$B$5,2,FALSE)</f>
        <v>4.99</v>
      </c>
      <c r="N901">
        <f t="shared" si="14"/>
        <v>4.99</v>
      </c>
    </row>
    <row r="902" spans="1:14" x14ac:dyDescent="0.35">
      <c r="A902">
        <v>901</v>
      </c>
      <c r="B902" t="s">
        <v>12</v>
      </c>
      <c r="C902">
        <v>59</v>
      </c>
      <c r="D902" t="s">
        <v>26</v>
      </c>
      <c r="E902" t="s">
        <v>22</v>
      </c>
      <c r="F902">
        <v>118</v>
      </c>
      <c r="G902">
        <v>50</v>
      </c>
      <c r="H902">
        <v>0.26</v>
      </c>
      <c r="I902" t="s">
        <v>15</v>
      </c>
      <c r="J902">
        <v>0</v>
      </c>
      <c r="K902">
        <v>1</v>
      </c>
      <c r="L902">
        <v>0</v>
      </c>
      <c r="M902">
        <f>VLOOKUP(Table1[[#This Row],[subscription_type]],Plans!$A$1:$B$5,2,FALSE)</f>
        <v>9.99</v>
      </c>
      <c r="N902">
        <f t="shared" si="14"/>
        <v>0</v>
      </c>
    </row>
    <row r="903" spans="1:14" x14ac:dyDescent="0.35">
      <c r="A903">
        <v>902</v>
      </c>
      <c r="B903" t="s">
        <v>12</v>
      </c>
      <c r="C903">
        <v>46</v>
      </c>
      <c r="D903" t="s">
        <v>25</v>
      </c>
      <c r="E903" t="s">
        <v>22</v>
      </c>
      <c r="F903">
        <v>50</v>
      </c>
      <c r="G903">
        <v>82</v>
      </c>
      <c r="H903">
        <v>0.14000000000000001</v>
      </c>
      <c r="I903" t="s">
        <v>19</v>
      </c>
      <c r="J903">
        <v>0</v>
      </c>
      <c r="K903">
        <v>1</v>
      </c>
      <c r="L903">
        <v>0</v>
      </c>
      <c r="M903">
        <f>VLOOKUP(Table1[[#This Row],[subscription_type]],Plans!$A$1:$B$5,2,FALSE)</f>
        <v>9.99</v>
      </c>
      <c r="N903">
        <f t="shared" si="14"/>
        <v>0</v>
      </c>
    </row>
    <row r="904" spans="1:14" x14ac:dyDescent="0.35">
      <c r="A904">
        <v>903</v>
      </c>
      <c r="B904" t="s">
        <v>12</v>
      </c>
      <c r="C904">
        <v>57</v>
      </c>
      <c r="D904" t="s">
        <v>28</v>
      </c>
      <c r="E904" t="s">
        <v>14</v>
      </c>
      <c r="F904">
        <v>206</v>
      </c>
      <c r="G904">
        <v>97</v>
      </c>
      <c r="H904">
        <v>0.39</v>
      </c>
      <c r="I904" t="s">
        <v>15</v>
      </c>
      <c r="J904">
        <v>38</v>
      </c>
      <c r="K904">
        <v>0</v>
      </c>
      <c r="L904">
        <v>1</v>
      </c>
      <c r="M904">
        <f>VLOOKUP(Table1[[#This Row],[subscription_type]],Plans!$A$1:$B$5,2,FALSE)</f>
        <v>0</v>
      </c>
      <c r="N904">
        <f t="shared" si="14"/>
        <v>0</v>
      </c>
    </row>
    <row r="905" spans="1:14" x14ac:dyDescent="0.35">
      <c r="A905">
        <v>904</v>
      </c>
      <c r="B905" t="s">
        <v>12</v>
      </c>
      <c r="C905">
        <v>35</v>
      </c>
      <c r="D905" t="s">
        <v>21</v>
      </c>
      <c r="E905" t="s">
        <v>18</v>
      </c>
      <c r="F905">
        <v>149</v>
      </c>
      <c r="G905">
        <v>17</v>
      </c>
      <c r="H905">
        <v>0.12</v>
      </c>
      <c r="I905" t="s">
        <v>23</v>
      </c>
      <c r="J905">
        <v>0</v>
      </c>
      <c r="K905">
        <v>1</v>
      </c>
      <c r="L905">
        <v>0</v>
      </c>
      <c r="M905">
        <f>VLOOKUP(Table1[[#This Row],[subscription_type]],Plans!$A$1:$B$5,2,FALSE)</f>
        <v>14.99</v>
      </c>
      <c r="N905">
        <f t="shared" si="14"/>
        <v>0</v>
      </c>
    </row>
    <row r="906" spans="1:14" x14ac:dyDescent="0.35">
      <c r="A906">
        <v>905</v>
      </c>
      <c r="B906" t="s">
        <v>12</v>
      </c>
      <c r="C906">
        <v>43</v>
      </c>
      <c r="D906" t="s">
        <v>27</v>
      </c>
      <c r="E906" t="s">
        <v>24</v>
      </c>
      <c r="F906">
        <v>273</v>
      </c>
      <c r="G906">
        <v>12</v>
      </c>
      <c r="H906">
        <v>0.31</v>
      </c>
      <c r="I906" t="s">
        <v>23</v>
      </c>
      <c r="J906">
        <v>0</v>
      </c>
      <c r="K906">
        <v>1</v>
      </c>
      <c r="L906">
        <v>1</v>
      </c>
      <c r="M906">
        <f>VLOOKUP(Table1[[#This Row],[subscription_type]],Plans!$A$1:$B$5,2,FALSE)</f>
        <v>4.99</v>
      </c>
      <c r="N906">
        <f t="shared" si="14"/>
        <v>4.99</v>
      </c>
    </row>
    <row r="907" spans="1:14" x14ac:dyDescent="0.35">
      <c r="A907">
        <v>906</v>
      </c>
      <c r="B907" t="s">
        <v>20</v>
      </c>
      <c r="C907">
        <v>16</v>
      </c>
      <c r="D907" t="s">
        <v>13</v>
      </c>
      <c r="E907" t="s">
        <v>14</v>
      </c>
      <c r="F907">
        <v>183</v>
      </c>
      <c r="G907">
        <v>71</v>
      </c>
      <c r="H907">
        <v>0.1</v>
      </c>
      <c r="I907" t="s">
        <v>23</v>
      </c>
      <c r="J907">
        <v>22</v>
      </c>
      <c r="K907">
        <v>0</v>
      </c>
      <c r="L907">
        <v>0</v>
      </c>
      <c r="M907">
        <f>VLOOKUP(Table1[[#This Row],[subscription_type]],Plans!$A$1:$B$5,2,FALSE)</f>
        <v>0</v>
      </c>
      <c r="N907">
        <f t="shared" si="14"/>
        <v>0</v>
      </c>
    </row>
    <row r="908" spans="1:14" x14ac:dyDescent="0.35">
      <c r="A908">
        <v>907</v>
      </c>
      <c r="B908" t="s">
        <v>20</v>
      </c>
      <c r="C908">
        <v>57</v>
      </c>
      <c r="D908" t="s">
        <v>27</v>
      </c>
      <c r="E908" t="s">
        <v>14</v>
      </c>
      <c r="F908">
        <v>212</v>
      </c>
      <c r="G908">
        <v>90</v>
      </c>
      <c r="H908">
        <v>0.22</v>
      </c>
      <c r="I908" t="s">
        <v>23</v>
      </c>
      <c r="J908">
        <v>14</v>
      </c>
      <c r="K908">
        <v>0</v>
      </c>
      <c r="L908">
        <v>0</v>
      </c>
      <c r="M908">
        <f>VLOOKUP(Table1[[#This Row],[subscription_type]],Plans!$A$1:$B$5,2,FALSE)</f>
        <v>0</v>
      </c>
      <c r="N908">
        <f t="shared" si="14"/>
        <v>0</v>
      </c>
    </row>
    <row r="909" spans="1:14" x14ac:dyDescent="0.35">
      <c r="A909">
        <v>908</v>
      </c>
      <c r="B909" t="s">
        <v>12</v>
      </c>
      <c r="C909">
        <v>55</v>
      </c>
      <c r="D909" t="s">
        <v>13</v>
      </c>
      <c r="E909" t="s">
        <v>22</v>
      </c>
      <c r="F909">
        <v>63</v>
      </c>
      <c r="G909">
        <v>75</v>
      </c>
      <c r="H909">
        <v>0.46</v>
      </c>
      <c r="I909" t="s">
        <v>23</v>
      </c>
      <c r="J909">
        <v>0</v>
      </c>
      <c r="K909">
        <v>1</v>
      </c>
      <c r="L909">
        <v>1</v>
      </c>
      <c r="M909">
        <f>VLOOKUP(Table1[[#This Row],[subscription_type]],Plans!$A$1:$B$5,2,FALSE)</f>
        <v>9.99</v>
      </c>
      <c r="N909">
        <f t="shared" si="14"/>
        <v>9.99</v>
      </c>
    </row>
    <row r="910" spans="1:14" x14ac:dyDescent="0.35">
      <c r="A910">
        <v>909</v>
      </c>
      <c r="B910" t="s">
        <v>12</v>
      </c>
      <c r="C910">
        <v>50</v>
      </c>
      <c r="D910" t="s">
        <v>25</v>
      </c>
      <c r="E910" t="s">
        <v>14</v>
      </c>
      <c r="F910">
        <v>210</v>
      </c>
      <c r="G910">
        <v>48</v>
      </c>
      <c r="H910">
        <v>0.25</v>
      </c>
      <c r="I910" t="s">
        <v>15</v>
      </c>
      <c r="J910">
        <v>21</v>
      </c>
      <c r="K910">
        <v>0</v>
      </c>
      <c r="L910">
        <v>0</v>
      </c>
      <c r="M910">
        <f>VLOOKUP(Table1[[#This Row],[subscription_type]],Plans!$A$1:$B$5,2,FALSE)</f>
        <v>0</v>
      </c>
      <c r="N910">
        <f t="shared" si="14"/>
        <v>0</v>
      </c>
    </row>
    <row r="911" spans="1:14" x14ac:dyDescent="0.35">
      <c r="A911">
        <v>910</v>
      </c>
      <c r="B911" t="s">
        <v>20</v>
      </c>
      <c r="C911">
        <v>29</v>
      </c>
      <c r="D911" t="s">
        <v>29</v>
      </c>
      <c r="E911" t="s">
        <v>14</v>
      </c>
      <c r="F911">
        <v>128</v>
      </c>
      <c r="G911">
        <v>5</v>
      </c>
      <c r="H911">
        <v>0.25</v>
      </c>
      <c r="I911" t="s">
        <v>19</v>
      </c>
      <c r="J911">
        <v>7</v>
      </c>
      <c r="K911">
        <v>0</v>
      </c>
      <c r="L911">
        <v>0</v>
      </c>
      <c r="M911">
        <f>VLOOKUP(Table1[[#This Row],[subscription_type]],Plans!$A$1:$B$5,2,FALSE)</f>
        <v>0</v>
      </c>
      <c r="N911">
        <f t="shared" si="14"/>
        <v>0</v>
      </c>
    </row>
    <row r="912" spans="1:14" x14ac:dyDescent="0.35">
      <c r="A912">
        <v>911</v>
      </c>
      <c r="B912" t="s">
        <v>16</v>
      </c>
      <c r="C912">
        <v>16</v>
      </c>
      <c r="D912" t="s">
        <v>29</v>
      </c>
      <c r="E912" t="s">
        <v>22</v>
      </c>
      <c r="F912">
        <v>114</v>
      </c>
      <c r="G912">
        <v>27</v>
      </c>
      <c r="H912">
        <v>0.44</v>
      </c>
      <c r="I912" t="s">
        <v>15</v>
      </c>
      <c r="J912">
        <v>0</v>
      </c>
      <c r="K912">
        <v>1</v>
      </c>
      <c r="L912">
        <v>0</v>
      </c>
      <c r="M912">
        <f>VLOOKUP(Table1[[#This Row],[subscription_type]],Plans!$A$1:$B$5,2,FALSE)</f>
        <v>9.99</v>
      </c>
      <c r="N912">
        <f t="shared" si="14"/>
        <v>0</v>
      </c>
    </row>
    <row r="913" spans="1:14" x14ac:dyDescent="0.35">
      <c r="A913">
        <v>912</v>
      </c>
      <c r="B913" t="s">
        <v>16</v>
      </c>
      <c r="C913">
        <v>56</v>
      </c>
      <c r="D913" t="s">
        <v>29</v>
      </c>
      <c r="E913" t="s">
        <v>18</v>
      </c>
      <c r="F913">
        <v>138</v>
      </c>
      <c r="G913">
        <v>47</v>
      </c>
      <c r="H913">
        <v>0.56000000000000005</v>
      </c>
      <c r="I913" t="s">
        <v>15</v>
      </c>
      <c r="J913">
        <v>0</v>
      </c>
      <c r="K913">
        <v>1</v>
      </c>
      <c r="L913">
        <v>1</v>
      </c>
      <c r="M913">
        <f>VLOOKUP(Table1[[#This Row],[subscription_type]],Plans!$A$1:$B$5,2,FALSE)</f>
        <v>14.99</v>
      </c>
      <c r="N913">
        <f t="shared" si="14"/>
        <v>14.99</v>
      </c>
    </row>
    <row r="914" spans="1:14" x14ac:dyDescent="0.35">
      <c r="A914">
        <v>913</v>
      </c>
      <c r="B914" t="s">
        <v>12</v>
      </c>
      <c r="C914">
        <v>59</v>
      </c>
      <c r="D914" t="s">
        <v>17</v>
      </c>
      <c r="E914" t="s">
        <v>24</v>
      </c>
      <c r="F914">
        <v>233</v>
      </c>
      <c r="G914">
        <v>57</v>
      </c>
      <c r="H914">
        <v>0.59</v>
      </c>
      <c r="I914" t="s">
        <v>19</v>
      </c>
      <c r="J914">
        <v>0</v>
      </c>
      <c r="K914">
        <v>1</v>
      </c>
      <c r="L914">
        <v>0</v>
      </c>
      <c r="M914">
        <f>VLOOKUP(Table1[[#This Row],[subscription_type]],Plans!$A$1:$B$5,2,FALSE)</f>
        <v>4.99</v>
      </c>
      <c r="N914">
        <f t="shared" si="14"/>
        <v>0</v>
      </c>
    </row>
    <row r="915" spans="1:14" x14ac:dyDescent="0.35">
      <c r="A915">
        <v>914</v>
      </c>
      <c r="B915" t="s">
        <v>20</v>
      </c>
      <c r="C915">
        <v>45</v>
      </c>
      <c r="D915" t="s">
        <v>29</v>
      </c>
      <c r="E915" t="s">
        <v>14</v>
      </c>
      <c r="F915">
        <v>254</v>
      </c>
      <c r="G915">
        <v>75</v>
      </c>
      <c r="H915">
        <v>0.56000000000000005</v>
      </c>
      <c r="I915" t="s">
        <v>19</v>
      </c>
      <c r="J915">
        <v>31</v>
      </c>
      <c r="K915">
        <v>0</v>
      </c>
      <c r="L915">
        <v>0</v>
      </c>
      <c r="M915">
        <f>VLOOKUP(Table1[[#This Row],[subscription_type]],Plans!$A$1:$B$5,2,FALSE)</f>
        <v>0</v>
      </c>
      <c r="N915">
        <f t="shared" si="14"/>
        <v>0</v>
      </c>
    </row>
    <row r="916" spans="1:14" x14ac:dyDescent="0.35">
      <c r="A916">
        <v>915</v>
      </c>
      <c r="B916" t="s">
        <v>12</v>
      </c>
      <c r="C916">
        <v>53</v>
      </c>
      <c r="D916" t="s">
        <v>26</v>
      </c>
      <c r="E916" t="s">
        <v>24</v>
      </c>
      <c r="F916">
        <v>270</v>
      </c>
      <c r="G916">
        <v>29</v>
      </c>
      <c r="H916">
        <v>0.13</v>
      </c>
      <c r="I916" t="s">
        <v>19</v>
      </c>
      <c r="J916">
        <v>0</v>
      </c>
      <c r="K916">
        <v>1</v>
      </c>
      <c r="L916">
        <v>0</v>
      </c>
      <c r="M916">
        <f>VLOOKUP(Table1[[#This Row],[subscription_type]],Plans!$A$1:$B$5,2,FALSE)</f>
        <v>4.99</v>
      </c>
      <c r="N916">
        <f t="shared" si="14"/>
        <v>0</v>
      </c>
    </row>
    <row r="917" spans="1:14" x14ac:dyDescent="0.35">
      <c r="A917">
        <v>916</v>
      </c>
      <c r="B917" t="s">
        <v>12</v>
      </c>
      <c r="C917">
        <v>34</v>
      </c>
      <c r="D917" t="s">
        <v>21</v>
      </c>
      <c r="E917" t="s">
        <v>22</v>
      </c>
      <c r="F917">
        <v>267</v>
      </c>
      <c r="G917">
        <v>26</v>
      </c>
      <c r="H917">
        <v>0.21</v>
      </c>
      <c r="I917" t="s">
        <v>23</v>
      </c>
      <c r="J917">
        <v>0</v>
      </c>
      <c r="K917">
        <v>1</v>
      </c>
      <c r="L917">
        <v>1</v>
      </c>
      <c r="M917">
        <f>VLOOKUP(Table1[[#This Row],[subscription_type]],Plans!$A$1:$B$5,2,FALSE)</f>
        <v>9.99</v>
      </c>
      <c r="N917">
        <f t="shared" si="14"/>
        <v>9.99</v>
      </c>
    </row>
    <row r="918" spans="1:14" x14ac:dyDescent="0.35">
      <c r="A918">
        <v>917</v>
      </c>
      <c r="B918" t="s">
        <v>16</v>
      </c>
      <c r="C918">
        <v>20</v>
      </c>
      <c r="D918" t="s">
        <v>21</v>
      </c>
      <c r="E918" t="s">
        <v>18</v>
      </c>
      <c r="F918">
        <v>160</v>
      </c>
      <c r="G918">
        <v>16</v>
      </c>
      <c r="H918">
        <v>0.5</v>
      </c>
      <c r="I918" t="s">
        <v>23</v>
      </c>
      <c r="J918">
        <v>0</v>
      </c>
      <c r="K918">
        <v>1</v>
      </c>
      <c r="L918">
        <v>1</v>
      </c>
      <c r="M918">
        <f>VLOOKUP(Table1[[#This Row],[subscription_type]],Plans!$A$1:$B$5,2,FALSE)</f>
        <v>14.99</v>
      </c>
      <c r="N918">
        <f t="shared" si="14"/>
        <v>14.99</v>
      </c>
    </row>
    <row r="919" spans="1:14" x14ac:dyDescent="0.35">
      <c r="A919">
        <v>918</v>
      </c>
      <c r="B919" t="s">
        <v>20</v>
      </c>
      <c r="C919">
        <v>32</v>
      </c>
      <c r="D919" t="s">
        <v>17</v>
      </c>
      <c r="E919" t="s">
        <v>22</v>
      </c>
      <c r="F919">
        <v>271</v>
      </c>
      <c r="G919">
        <v>34</v>
      </c>
      <c r="H919">
        <v>0.28000000000000003</v>
      </c>
      <c r="I919" t="s">
        <v>19</v>
      </c>
      <c r="J919">
        <v>0</v>
      </c>
      <c r="K919">
        <v>1</v>
      </c>
      <c r="L919">
        <v>1</v>
      </c>
      <c r="M919">
        <f>VLOOKUP(Table1[[#This Row],[subscription_type]],Plans!$A$1:$B$5,2,FALSE)</f>
        <v>9.99</v>
      </c>
      <c r="N919">
        <f t="shared" si="14"/>
        <v>9.99</v>
      </c>
    </row>
    <row r="920" spans="1:14" x14ac:dyDescent="0.35">
      <c r="A920">
        <v>919</v>
      </c>
      <c r="B920" t="s">
        <v>16</v>
      </c>
      <c r="C920">
        <v>20</v>
      </c>
      <c r="D920" t="s">
        <v>21</v>
      </c>
      <c r="E920" t="s">
        <v>14</v>
      </c>
      <c r="F920">
        <v>170</v>
      </c>
      <c r="G920">
        <v>8</v>
      </c>
      <c r="H920">
        <v>0.28999999999999998</v>
      </c>
      <c r="I920" t="s">
        <v>15</v>
      </c>
      <c r="J920">
        <v>46</v>
      </c>
      <c r="K920">
        <v>0</v>
      </c>
      <c r="L920">
        <v>0</v>
      </c>
      <c r="M920">
        <f>VLOOKUP(Table1[[#This Row],[subscription_type]],Plans!$A$1:$B$5,2,FALSE)</f>
        <v>0</v>
      </c>
      <c r="N920">
        <f t="shared" si="14"/>
        <v>0</v>
      </c>
    </row>
    <row r="921" spans="1:14" x14ac:dyDescent="0.35">
      <c r="A921">
        <v>920</v>
      </c>
      <c r="B921" t="s">
        <v>12</v>
      </c>
      <c r="C921">
        <v>47</v>
      </c>
      <c r="D921" t="s">
        <v>21</v>
      </c>
      <c r="E921" t="s">
        <v>14</v>
      </c>
      <c r="F921">
        <v>208</v>
      </c>
      <c r="G921">
        <v>49</v>
      </c>
      <c r="H921">
        <v>0.3</v>
      </c>
      <c r="I921" t="s">
        <v>23</v>
      </c>
      <c r="J921">
        <v>45</v>
      </c>
      <c r="K921">
        <v>0</v>
      </c>
      <c r="L921">
        <v>0</v>
      </c>
      <c r="M921">
        <f>VLOOKUP(Table1[[#This Row],[subscription_type]],Plans!$A$1:$B$5,2,FALSE)</f>
        <v>0</v>
      </c>
      <c r="N921">
        <f t="shared" si="14"/>
        <v>0</v>
      </c>
    </row>
    <row r="922" spans="1:14" x14ac:dyDescent="0.35">
      <c r="A922">
        <v>921</v>
      </c>
      <c r="B922" t="s">
        <v>16</v>
      </c>
      <c r="C922">
        <v>22</v>
      </c>
      <c r="D922" t="s">
        <v>13</v>
      </c>
      <c r="E922" t="s">
        <v>22</v>
      </c>
      <c r="F922">
        <v>224</v>
      </c>
      <c r="G922">
        <v>99</v>
      </c>
      <c r="H922">
        <v>0.3</v>
      </c>
      <c r="I922" t="s">
        <v>19</v>
      </c>
      <c r="J922">
        <v>0</v>
      </c>
      <c r="K922">
        <v>1</v>
      </c>
      <c r="L922">
        <v>1</v>
      </c>
      <c r="M922">
        <f>VLOOKUP(Table1[[#This Row],[subscription_type]],Plans!$A$1:$B$5,2,FALSE)</f>
        <v>9.99</v>
      </c>
      <c r="N922">
        <f t="shared" si="14"/>
        <v>9.99</v>
      </c>
    </row>
    <row r="923" spans="1:14" x14ac:dyDescent="0.35">
      <c r="A923">
        <v>922</v>
      </c>
      <c r="B923" t="s">
        <v>20</v>
      </c>
      <c r="C923">
        <v>27</v>
      </c>
      <c r="D923" t="s">
        <v>17</v>
      </c>
      <c r="E923" t="s">
        <v>24</v>
      </c>
      <c r="F923">
        <v>275</v>
      </c>
      <c r="G923">
        <v>34</v>
      </c>
      <c r="H923">
        <v>0.13</v>
      </c>
      <c r="I923" t="s">
        <v>23</v>
      </c>
      <c r="J923">
        <v>0</v>
      </c>
      <c r="K923">
        <v>1</v>
      </c>
      <c r="L923">
        <v>0</v>
      </c>
      <c r="M923">
        <f>VLOOKUP(Table1[[#This Row],[subscription_type]],Plans!$A$1:$B$5,2,FALSE)</f>
        <v>4.99</v>
      </c>
      <c r="N923">
        <f t="shared" si="14"/>
        <v>0</v>
      </c>
    </row>
    <row r="924" spans="1:14" x14ac:dyDescent="0.35">
      <c r="A924">
        <v>923</v>
      </c>
      <c r="B924" t="s">
        <v>20</v>
      </c>
      <c r="C924">
        <v>48</v>
      </c>
      <c r="D924" t="s">
        <v>25</v>
      </c>
      <c r="E924" t="s">
        <v>14</v>
      </c>
      <c r="F924">
        <v>243</v>
      </c>
      <c r="G924">
        <v>48</v>
      </c>
      <c r="H924">
        <v>0.6</v>
      </c>
      <c r="I924" t="s">
        <v>15</v>
      </c>
      <c r="J924">
        <v>33</v>
      </c>
      <c r="K924">
        <v>0</v>
      </c>
      <c r="L924">
        <v>1</v>
      </c>
      <c r="M924">
        <f>VLOOKUP(Table1[[#This Row],[subscription_type]],Plans!$A$1:$B$5,2,FALSE)</f>
        <v>0</v>
      </c>
      <c r="N924">
        <f t="shared" si="14"/>
        <v>0</v>
      </c>
    </row>
    <row r="925" spans="1:14" x14ac:dyDescent="0.35">
      <c r="A925">
        <v>924</v>
      </c>
      <c r="B925" t="s">
        <v>20</v>
      </c>
      <c r="C925">
        <v>34</v>
      </c>
      <c r="D925" t="s">
        <v>26</v>
      </c>
      <c r="E925" t="s">
        <v>18</v>
      </c>
      <c r="F925">
        <v>221</v>
      </c>
      <c r="G925">
        <v>45</v>
      </c>
      <c r="H925">
        <v>0.49</v>
      </c>
      <c r="I925" t="s">
        <v>15</v>
      </c>
      <c r="J925">
        <v>0</v>
      </c>
      <c r="K925">
        <v>1</v>
      </c>
      <c r="L925">
        <v>0</v>
      </c>
      <c r="M925">
        <f>VLOOKUP(Table1[[#This Row],[subscription_type]],Plans!$A$1:$B$5,2,FALSE)</f>
        <v>14.99</v>
      </c>
      <c r="N925">
        <f t="shared" si="14"/>
        <v>0</v>
      </c>
    </row>
    <row r="926" spans="1:14" x14ac:dyDescent="0.35">
      <c r="A926">
        <v>925</v>
      </c>
      <c r="B926" t="s">
        <v>16</v>
      </c>
      <c r="C926">
        <v>47</v>
      </c>
      <c r="D926" t="s">
        <v>17</v>
      </c>
      <c r="E926" t="s">
        <v>14</v>
      </c>
      <c r="F926">
        <v>271</v>
      </c>
      <c r="G926">
        <v>94</v>
      </c>
      <c r="H926">
        <v>0.52</v>
      </c>
      <c r="I926" t="s">
        <v>15</v>
      </c>
      <c r="J926">
        <v>31</v>
      </c>
      <c r="K926">
        <v>0</v>
      </c>
      <c r="L926">
        <v>1</v>
      </c>
      <c r="M926">
        <f>VLOOKUP(Table1[[#This Row],[subscription_type]],Plans!$A$1:$B$5,2,FALSE)</f>
        <v>0</v>
      </c>
      <c r="N926">
        <f t="shared" si="14"/>
        <v>0</v>
      </c>
    </row>
    <row r="927" spans="1:14" x14ac:dyDescent="0.35">
      <c r="A927">
        <v>926</v>
      </c>
      <c r="B927" t="s">
        <v>12</v>
      </c>
      <c r="C927">
        <v>24</v>
      </c>
      <c r="D927" t="s">
        <v>13</v>
      </c>
      <c r="E927" t="s">
        <v>22</v>
      </c>
      <c r="F927">
        <v>275</v>
      </c>
      <c r="G927">
        <v>23</v>
      </c>
      <c r="H927">
        <v>0.25</v>
      </c>
      <c r="I927" t="s">
        <v>19</v>
      </c>
      <c r="J927">
        <v>0</v>
      </c>
      <c r="K927">
        <v>1</v>
      </c>
      <c r="L927">
        <v>0</v>
      </c>
      <c r="M927">
        <f>VLOOKUP(Table1[[#This Row],[subscription_type]],Plans!$A$1:$B$5,2,FALSE)</f>
        <v>9.99</v>
      </c>
      <c r="N927">
        <f t="shared" si="14"/>
        <v>0</v>
      </c>
    </row>
    <row r="928" spans="1:14" x14ac:dyDescent="0.35">
      <c r="A928">
        <v>927</v>
      </c>
      <c r="B928" t="s">
        <v>20</v>
      </c>
      <c r="C928">
        <v>53</v>
      </c>
      <c r="D928" t="s">
        <v>13</v>
      </c>
      <c r="E928" t="s">
        <v>22</v>
      </c>
      <c r="F928">
        <v>269</v>
      </c>
      <c r="G928">
        <v>43</v>
      </c>
      <c r="H928">
        <v>0.19</v>
      </c>
      <c r="I928" t="s">
        <v>19</v>
      </c>
      <c r="J928">
        <v>0</v>
      </c>
      <c r="K928">
        <v>1</v>
      </c>
      <c r="L928">
        <v>0</v>
      </c>
      <c r="M928">
        <f>VLOOKUP(Table1[[#This Row],[subscription_type]],Plans!$A$1:$B$5,2,FALSE)</f>
        <v>9.99</v>
      </c>
      <c r="N928">
        <f t="shared" si="14"/>
        <v>0</v>
      </c>
    </row>
    <row r="929" spans="1:14" x14ac:dyDescent="0.35">
      <c r="A929">
        <v>928</v>
      </c>
      <c r="B929" t="s">
        <v>20</v>
      </c>
      <c r="C929">
        <v>36</v>
      </c>
      <c r="D929" t="s">
        <v>28</v>
      </c>
      <c r="E929" t="s">
        <v>24</v>
      </c>
      <c r="F929">
        <v>236</v>
      </c>
      <c r="G929">
        <v>70</v>
      </c>
      <c r="H929">
        <v>0.02</v>
      </c>
      <c r="I929" t="s">
        <v>19</v>
      </c>
      <c r="J929">
        <v>0</v>
      </c>
      <c r="K929">
        <v>1</v>
      </c>
      <c r="L929">
        <v>1</v>
      </c>
      <c r="M929">
        <f>VLOOKUP(Table1[[#This Row],[subscription_type]],Plans!$A$1:$B$5,2,FALSE)</f>
        <v>4.99</v>
      </c>
      <c r="N929">
        <f t="shared" si="14"/>
        <v>4.99</v>
      </c>
    </row>
    <row r="930" spans="1:14" x14ac:dyDescent="0.35">
      <c r="A930">
        <v>929</v>
      </c>
      <c r="B930" t="s">
        <v>12</v>
      </c>
      <c r="C930">
        <v>45</v>
      </c>
      <c r="D930" t="s">
        <v>28</v>
      </c>
      <c r="E930" t="s">
        <v>22</v>
      </c>
      <c r="F930">
        <v>246</v>
      </c>
      <c r="G930">
        <v>52</v>
      </c>
      <c r="H930">
        <v>0.35</v>
      </c>
      <c r="I930" t="s">
        <v>15</v>
      </c>
      <c r="J930">
        <v>0</v>
      </c>
      <c r="K930">
        <v>1</v>
      </c>
      <c r="L930">
        <v>0</v>
      </c>
      <c r="M930">
        <f>VLOOKUP(Table1[[#This Row],[subscription_type]],Plans!$A$1:$B$5,2,FALSE)</f>
        <v>9.99</v>
      </c>
      <c r="N930">
        <f t="shared" si="14"/>
        <v>0</v>
      </c>
    </row>
    <row r="931" spans="1:14" x14ac:dyDescent="0.35">
      <c r="A931">
        <v>930</v>
      </c>
      <c r="B931" t="s">
        <v>12</v>
      </c>
      <c r="C931">
        <v>30</v>
      </c>
      <c r="D931" t="s">
        <v>27</v>
      </c>
      <c r="E931" t="s">
        <v>18</v>
      </c>
      <c r="F931">
        <v>222</v>
      </c>
      <c r="G931">
        <v>13</v>
      </c>
      <c r="H931">
        <v>0.31</v>
      </c>
      <c r="I931" t="s">
        <v>19</v>
      </c>
      <c r="J931">
        <v>0</v>
      </c>
      <c r="K931">
        <v>1</v>
      </c>
      <c r="L931">
        <v>0</v>
      </c>
      <c r="M931">
        <f>VLOOKUP(Table1[[#This Row],[subscription_type]],Plans!$A$1:$B$5,2,FALSE)</f>
        <v>14.99</v>
      </c>
      <c r="N931">
        <f t="shared" si="14"/>
        <v>0</v>
      </c>
    </row>
    <row r="932" spans="1:14" x14ac:dyDescent="0.35">
      <c r="A932">
        <v>931</v>
      </c>
      <c r="B932" t="s">
        <v>12</v>
      </c>
      <c r="C932">
        <v>53</v>
      </c>
      <c r="D932" t="s">
        <v>21</v>
      </c>
      <c r="E932" t="s">
        <v>18</v>
      </c>
      <c r="F932">
        <v>112</v>
      </c>
      <c r="G932">
        <v>24</v>
      </c>
      <c r="H932">
        <v>0.48</v>
      </c>
      <c r="I932" t="s">
        <v>19</v>
      </c>
      <c r="J932">
        <v>0</v>
      </c>
      <c r="K932">
        <v>1</v>
      </c>
      <c r="L932">
        <v>1</v>
      </c>
      <c r="M932">
        <f>VLOOKUP(Table1[[#This Row],[subscription_type]],Plans!$A$1:$B$5,2,FALSE)</f>
        <v>14.99</v>
      </c>
      <c r="N932">
        <f t="shared" si="14"/>
        <v>14.99</v>
      </c>
    </row>
    <row r="933" spans="1:14" x14ac:dyDescent="0.35">
      <c r="A933">
        <v>932</v>
      </c>
      <c r="B933" t="s">
        <v>16</v>
      </c>
      <c r="C933">
        <v>33</v>
      </c>
      <c r="D933" t="s">
        <v>25</v>
      </c>
      <c r="E933" t="s">
        <v>22</v>
      </c>
      <c r="F933">
        <v>18</v>
      </c>
      <c r="G933">
        <v>73</v>
      </c>
      <c r="H933">
        <v>0.22</v>
      </c>
      <c r="I933" t="s">
        <v>23</v>
      </c>
      <c r="J933">
        <v>0</v>
      </c>
      <c r="K933">
        <v>1</v>
      </c>
      <c r="L933">
        <v>0</v>
      </c>
      <c r="M933">
        <f>VLOOKUP(Table1[[#This Row],[subscription_type]],Plans!$A$1:$B$5,2,FALSE)</f>
        <v>9.99</v>
      </c>
      <c r="N933">
        <f t="shared" si="14"/>
        <v>0</v>
      </c>
    </row>
    <row r="934" spans="1:14" x14ac:dyDescent="0.35">
      <c r="A934">
        <v>933</v>
      </c>
      <c r="B934" t="s">
        <v>12</v>
      </c>
      <c r="C934">
        <v>52</v>
      </c>
      <c r="D934" t="s">
        <v>25</v>
      </c>
      <c r="E934" t="s">
        <v>22</v>
      </c>
      <c r="F934">
        <v>109</v>
      </c>
      <c r="G934">
        <v>11</v>
      </c>
      <c r="H934">
        <v>0.2</v>
      </c>
      <c r="I934" t="s">
        <v>19</v>
      </c>
      <c r="J934">
        <v>0</v>
      </c>
      <c r="K934">
        <v>1</v>
      </c>
      <c r="L934">
        <v>0</v>
      </c>
      <c r="M934">
        <f>VLOOKUP(Table1[[#This Row],[subscription_type]],Plans!$A$1:$B$5,2,FALSE)</f>
        <v>9.99</v>
      </c>
      <c r="N934">
        <f t="shared" si="14"/>
        <v>0</v>
      </c>
    </row>
    <row r="935" spans="1:14" x14ac:dyDescent="0.35">
      <c r="A935">
        <v>934</v>
      </c>
      <c r="B935" t="s">
        <v>12</v>
      </c>
      <c r="C935">
        <v>29</v>
      </c>
      <c r="D935" t="s">
        <v>25</v>
      </c>
      <c r="E935" t="s">
        <v>24</v>
      </c>
      <c r="F935">
        <v>246</v>
      </c>
      <c r="G935">
        <v>2</v>
      </c>
      <c r="H935">
        <v>0.23</v>
      </c>
      <c r="I935" t="s">
        <v>19</v>
      </c>
      <c r="J935">
        <v>0</v>
      </c>
      <c r="K935">
        <v>1</v>
      </c>
      <c r="L935">
        <v>0</v>
      </c>
      <c r="M935">
        <f>VLOOKUP(Table1[[#This Row],[subscription_type]],Plans!$A$1:$B$5,2,FALSE)</f>
        <v>4.99</v>
      </c>
      <c r="N935">
        <f t="shared" si="14"/>
        <v>0</v>
      </c>
    </row>
    <row r="936" spans="1:14" x14ac:dyDescent="0.35">
      <c r="A936">
        <v>935</v>
      </c>
      <c r="B936" t="s">
        <v>20</v>
      </c>
      <c r="C936">
        <v>51</v>
      </c>
      <c r="D936" t="s">
        <v>26</v>
      </c>
      <c r="E936" t="s">
        <v>22</v>
      </c>
      <c r="F936">
        <v>102</v>
      </c>
      <c r="G936">
        <v>50</v>
      </c>
      <c r="H936">
        <v>0.48</v>
      </c>
      <c r="I936" t="s">
        <v>15</v>
      </c>
      <c r="J936">
        <v>0</v>
      </c>
      <c r="K936">
        <v>1</v>
      </c>
      <c r="L936">
        <v>0</v>
      </c>
      <c r="M936">
        <f>VLOOKUP(Table1[[#This Row],[subscription_type]],Plans!$A$1:$B$5,2,FALSE)</f>
        <v>9.99</v>
      </c>
      <c r="N936">
        <f t="shared" si="14"/>
        <v>0</v>
      </c>
    </row>
    <row r="937" spans="1:14" x14ac:dyDescent="0.35">
      <c r="A937">
        <v>936</v>
      </c>
      <c r="B937" t="s">
        <v>12</v>
      </c>
      <c r="C937">
        <v>42</v>
      </c>
      <c r="D937" t="s">
        <v>17</v>
      </c>
      <c r="E937" t="s">
        <v>24</v>
      </c>
      <c r="F937">
        <v>180</v>
      </c>
      <c r="G937">
        <v>63</v>
      </c>
      <c r="H937">
        <v>0.56999999999999995</v>
      </c>
      <c r="I937" t="s">
        <v>19</v>
      </c>
      <c r="J937">
        <v>0</v>
      </c>
      <c r="K937">
        <v>1</v>
      </c>
      <c r="L937">
        <v>0</v>
      </c>
      <c r="M937">
        <f>VLOOKUP(Table1[[#This Row],[subscription_type]],Plans!$A$1:$B$5,2,FALSE)</f>
        <v>4.99</v>
      </c>
      <c r="N937">
        <f t="shared" si="14"/>
        <v>0</v>
      </c>
    </row>
    <row r="938" spans="1:14" x14ac:dyDescent="0.35">
      <c r="A938">
        <v>937</v>
      </c>
      <c r="B938" t="s">
        <v>12</v>
      </c>
      <c r="C938">
        <v>30</v>
      </c>
      <c r="D938" t="s">
        <v>29</v>
      </c>
      <c r="E938" t="s">
        <v>18</v>
      </c>
      <c r="F938">
        <v>16</v>
      </c>
      <c r="G938">
        <v>51</v>
      </c>
      <c r="H938">
        <v>0.41</v>
      </c>
      <c r="I938" t="s">
        <v>15</v>
      </c>
      <c r="J938">
        <v>0</v>
      </c>
      <c r="K938">
        <v>1</v>
      </c>
      <c r="L938">
        <v>0</v>
      </c>
      <c r="M938">
        <f>VLOOKUP(Table1[[#This Row],[subscription_type]],Plans!$A$1:$B$5,2,FALSE)</f>
        <v>14.99</v>
      </c>
      <c r="N938">
        <f t="shared" si="14"/>
        <v>0</v>
      </c>
    </row>
    <row r="939" spans="1:14" x14ac:dyDescent="0.35">
      <c r="A939">
        <v>938</v>
      </c>
      <c r="B939" t="s">
        <v>16</v>
      </c>
      <c r="C939">
        <v>25</v>
      </c>
      <c r="D939" t="s">
        <v>25</v>
      </c>
      <c r="E939" t="s">
        <v>18</v>
      </c>
      <c r="F939">
        <v>155</v>
      </c>
      <c r="G939">
        <v>98</v>
      </c>
      <c r="H939">
        <v>0.48</v>
      </c>
      <c r="I939" t="s">
        <v>23</v>
      </c>
      <c r="J939">
        <v>0</v>
      </c>
      <c r="K939">
        <v>1</v>
      </c>
      <c r="L939">
        <v>1</v>
      </c>
      <c r="M939">
        <f>VLOOKUP(Table1[[#This Row],[subscription_type]],Plans!$A$1:$B$5,2,FALSE)</f>
        <v>14.99</v>
      </c>
      <c r="N939">
        <f t="shared" si="14"/>
        <v>14.99</v>
      </c>
    </row>
    <row r="940" spans="1:14" x14ac:dyDescent="0.35">
      <c r="A940">
        <v>939</v>
      </c>
      <c r="B940" t="s">
        <v>16</v>
      </c>
      <c r="C940">
        <v>48</v>
      </c>
      <c r="D940" t="s">
        <v>26</v>
      </c>
      <c r="E940" t="s">
        <v>14</v>
      </c>
      <c r="F940">
        <v>287</v>
      </c>
      <c r="G940">
        <v>79</v>
      </c>
      <c r="H940">
        <v>0.13</v>
      </c>
      <c r="I940" t="s">
        <v>15</v>
      </c>
      <c r="J940">
        <v>24</v>
      </c>
      <c r="K940">
        <v>0</v>
      </c>
      <c r="L940">
        <v>1</v>
      </c>
      <c r="M940">
        <f>VLOOKUP(Table1[[#This Row],[subscription_type]],Plans!$A$1:$B$5,2,FALSE)</f>
        <v>0</v>
      </c>
      <c r="N940">
        <f t="shared" si="14"/>
        <v>0</v>
      </c>
    </row>
    <row r="941" spans="1:14" x14ac:dyDescent="0.35">
      <c r="A941">
        <v>940</v>
      </c>
      <c r="B941" t="s">
        <v>16</v>
      </c>
      <c r="C941">
        <v>28</v>
      </c>
      <c r="D941" t="s">
        <v>25</v>
      </c>
      <c r="E941" t="s">
        <v>14</v>
      </c>
      <c r="F941">
        <v>67</v>
      </c>
      <c r="G941">
        <v>67</v>
      </c>
      <c r="H941">
        <v>0.13</v>
      </c>
      <c r="I941" t="s">
        <v>19</v>
      </c>
      <c r="J941">
        <v>44</v>
      </c>
      <c r="K941">
        <v>0</v>
      </c>
      <c r="L941">
        <v>0</v>
      </c>
      <c r="M941">
        <f>VLOOKUP(Table1[[#This Row],[subscription_type]],Plans!$A$1:$B$5,2,FALSE)</f>
        <v>0</v>
      </c>
      <c r="N941">
        <f t="shared" si="14"/>
        <v>0</v>
      </c>
    </row>
    <row r="942" spans="1:14" x14ac:dyDescent="0.35">
      <c r="A942">
        <v>941</v>
      </c>
      <c r="B942" t="s">
        <v>20</v>
      </c>
      <c r="C942">
        <v>46</v>
      </c>
      <c r="D942" t="s">
        <v>17</v>
      </c>
      <c r="E942" t="s">
        <v>24</v>
      </c>
      <c r="F942">
        <v>241</v>
      </c>
      <c r="G942">
        <v>7</v>
      </c>
      <c r="H942">
        <v>0.14000000000000001</v>
      </c>
      <c r="I942" t="s">
        <v>19</v>
      </c>
      <c r="J942">
        <v>0</v>
      </c>
      <c r="K942">
        <v>1</v>
      </c>
      <c r="L942">
        <v>0</v>
      </c>
      <c r="M942">
        <f>VLOOKUP(Table1[[#This Row],[subscription_type]],Plans!$A$1:$B$5,2,FALSE)</f>
        <v>4.99</v>
      </c>
      <c r="N942">
        <f t="shared" si="14"/>
        <v>0</v>
      </c>
    </row>
    <row r="943" spans="1:14" x14ac:dyDescent="0.35">
      <c r="A943">
        <v>942</v>
      </c>
      <c r="B943" t="s">
        <v>12</v>
      </c>
      <c r="C943">
        <v>48</v>
      </c>
      <c r="D943" t="s">
        <v>25</v>
      </c>
      <c r="E943" t="s">
        <v>22</v>
      </c>
      <c r="F943">
        <v>105</v>
      </c>
      <c r="G943">
        <v>13</v>
      </c>
      <c r="H943">
        <v>0.28999999999999998</v>
      </c>
      <c r="I943" t="s">
        <v>15</v>
      </c>
      <c r="J943">
        <v>0</v>
      </c>
      <c r="K943">
        <v>1</v>
      </c>
      <c r="L943">
        <v>0</v>
      </c>
      <c r="M943">
        <f>VLOOKUP(Table1[[#This Row],[subscription_type]],Plans!$A$1:$B$5,2,FALSE)</f>
        <v>9.99</v>
      </c>
      <c r="N943">
        <f t="shared" si="14"/>
        <v>0</v>
      </c>
    </row>
    <row r="944" spans="1:14" x14ac:dyDescent="0.35">
      <c r="A944">
        <v>943</v>
      </c>
      <c r="B944" t="s">
        <v>16</v>
      </c>
      <c r="C944">
        <v>35</v>
      </c>
      <c r="D944" t="s">
        <v>17</v>
      </c>
      <c r="E944" t="s">
        <v>18</v>
      </c>
      <c r="F944">
        <v>65</v>
      </c>
      <c r="G944">
        <v>83</v>
      </c>
      <c r="H944">
        <v>0.08</v>
      </c>
      <c r="I944" t="s">
        <v>19</v>
      </c>
      <c r="J944">
        <v>0</v>
      </c>
      <c r="K944">
        <v>1</v>
      </c>
      <c r="L944">
        <v>0</v>
      </c>
      <c r="M944">
        <f>VLOOKUP(Table1[[#This Row],[subscription_type]],Plans!$A$1:$B$5,2,FALSE)</f>
        <v>14.99</v>
      </c>
      <c r="N944">
        <f t="shared" si="14"/>
        <v>0</v>
      </c>
    </row>
    <row r="945" spans="1:14" x14ac:dyDescent="0.35">
      <c r="A945">
        <v>944</v>
      </c>
      <c r="B945" t="s">
        <v>16</v>
      </c>
      <c r="C945">
        <v>55</v>
      </c>
      <c r="D945" t="s">
        <v>26</v>
      </c>
      <c r="E945" t="s">
        <v>22</v>
      </c>
      <c r="F945">
        <v>102</v>
      </c>
      <c r="G945">
        <v>60</v>
      </c>
      <c r="H945">
        <v>0.59</v>
      </c>
      <c r="I945" t="s">
        <v>19</v>
      </c>
      <c r="J945">
        <v>0</v>
      </c>
      <c r="K945">
        <v>1</v>
      </c>
      <c r="L945">
        <v>1</v>
      </c>
      <c r="M945">
        <f>VLOOKUP(Table1[[#This Row],[subscription_type]],Plans!$A$1:$B$5,2,FALSE)</f>
        <v>9.99</v>
      </c>
      <c r="N945">
        <f t="shared" si="14"/>
        <v>9.99</v>
      </c>
    </row>
    <row r="946" spans="1:14" x14ac:dyDescent="0.35">
      <c r="A946">
        <v>945</v>
      </c>
      <c r="B946" t="s">
        <v>20</v>
      </c>
      <c r="C946">
        <v>50</v>
      </c>
      <c r="D946" t="s">
        <v>25</v>
      </c>
      <c r="E946" t="s">
        <v>24</v>
      </c>
      <c r="F946">
        <v>198</v>
      </c>
      <c r="G946">
        <v>81</v>
      </c>
      <c r="H946">
        <v>0.49</v>
      </c>
      <c r="I946" t="s">
        <v>15</v>
      </c>
      <c r="J946">
        <v>0</v>
      </c>
      <c r="K946">
        <v>1</v>
      </c>
      <c r="L946">
        <v>0</v>
      </c>
      <c r="M946">
        <f>VLOOKUP(Table1[[#This Row],[subscription_type]],Plans!$A$1:$B$5,2,FALSE)</f>
        <v>4.99</v>
      </c>
      <c r="N946">
        <f t="shared" si="14"/>
        <v>0</v>
      </c>
    </row>
    <row r="947" spans="1:14" x14ac:dyDescent="0.35">
      <c r="A947">
        <v>946</v>
      </c>
      <c r="B947" t="s">
        <v>12</v>
      </c>
      <c r="C947">
        <v>16</v>
      </c>
      <c r="D947" t="s">
        <v>13</v>
      </c>
      <c r="E947" t="s">
        <v>24</v>
      </c>
      <c r="F947">
        <v>156</v>
      </c>
      <c r="G947">
        <v>16</v>
      </c>
      <c r="H947">
        <v>0.14000000000000001</v>
      </c>
      <c r="I947" t="s">
        <v>23</v>
      </c>
      <c r="J947">
        <v>0</v>
      </c>
      <c r="K947">
        <v>1</v>
      </c>
      <c r="L947">
        <v>0</v>
      </c>
      <c r="M947">
        <f>VLOOKUP(Table1[[#This Row],[subscription_type]],Plans!$A$1:$B$5,2,FALSE)</f>
        <v>4.99</v>
      </c>
      <c r="N947">
        <f t="shared" si="14"/>
        <v>0</v>
      </c>
    </row>
    <row r="948" spans="1:14" x14ac:dyDescent="0.35">
      <c r="A948">
        <v>947</v>
      </c>
      <c r="B948" t="s">
        <v>20</v>
      </c>
      <c r="C948">
        <v>28</v>
      </c>
      <c r="D948" t="s">
        <v>28</v>
      </c>
      <c r="E948" t="s">
        <v>22</v>
      </c>
      <c r="F948">
        <v>266</v>
      </c>
      <c r="G948">
        <v>51</v>
      </c>
      <c r="H948">
        <v>0.32</v>
      </c>
      <c r="I948" t="s">
        <v>23</v>
      </c>
      <c r="J948">
        <v>0</v>
      </c>
      <c r="K948">
        <v>1</v>
      </c>
      <c r="L948">
        <v>1</v>
      </c>
      <c r="M948">
        <f>VLOOKUP(Table1[[#This Row],[subscription_type]],Plans!$A$1:$B$5,2,FALSE)</f>
        <v>9.99</v>
      </c>
      <c r="N948">
        <f t="shared" si="14"/>
        <v>9.99</v>
      </c>
    </row>
    <row r="949" spans="1:14" x14ac:dyDescent="0.35">
      <c r="A949">
        <v>948</v>
      </c>
      <c r="B949" t="s">
        <v>20</v>
      </c>
      <c r="C949">
        <v>31</v>
      </c>
      <c r="D949" t="s">
        <v>21</v>
      </c>
      <c r="E949" t="s">
        <v>24</v>
      </c>
      <c r="F949">
        <v>33</v>
      </c>
      <c r="G949">
        <v>21</v>
      </c>
      <c r="H949">
        <v>0.16</v>
      </c>
      <c r="I949" t="s">
        <v>19</v>
      </c>
      <c r="J949">
        <v>0</v>
      </c>
      <c r="K949">
        <v>1</v>
      </c>
      <c r="L949">
        <v>1</v>
      </c>
      <c r="M949">
        <f>VLOOKUP(Table1[[#This Row],[subscription_type]],Plans!$A$1:$B$5,2,FALSE)</f>
        <v>4.99</v>
      </c>
      <c r="N949">
        <f t="shared" si="14"/>
        <v>4.99</v>
      </c>
    </row>
    <row r="950" spans="1:14" x14ac:dyDescent="0.35">
      <c r="A950">
        <v>949</v>
      </c>
      <c r="B950" t="s">
        <v>20</v>
      </c>
      <c r="C950">
        <v>36</v>
      </c>
      <c r="D950" t="s">
        <v>17</v>
      </c>
      <c r="E950" t="s">
        <v>22</v>
      </c>
      <c r="F950">
        <v>42</v>
      </c>
      <c r="G950">
        <v>79</v>
      </c>
      <c r="H950">
        <v>0.51</v>
      </c>
      <c r="I950" t="s">
        <v>23</v>
      </c>
      <c r="J950">
        <v>0</v>
      </c>
      <c r="K950">
        <v>1</v>
      </c>
      <c r="L950">
        <v>0</v>
      </c>
      <c r="M950">
        <f>VLOOKUP(Table1[[#This Row],[subscription_type]],Plans!$A$1:$B$5,2,FALSE)</f>
        <v>9.99</v>
      </c>
      <c r="N950">
        <f t="shared" si="14"/>
        <v>0</v>
      </c>
    </row>
    <row r="951" spans="1:14" x14ac:dyDescent="0.35">
      <c r="A951">
        <v>950</v>
      </c>
      <c r="B951" t="s">
        <v>12</v>
      </c>
      <c r="C951">
        <v>19</v>
      </c>
      <c r="D951" t="s">
        <v>29</v>
      </c>
      <c r="E951" t="s">
        <v>18</v>
      </c>
      <c r="F951">
        <v>34</v>
      </c>
      <c r="G951">
        <v>18</v>
      </c>
      <c r="H951">
        <v>0.06</v>
      </c>
      <c r="I951" t="s">
        <v>23</v>
      </c>
      <c r="J951">
        <v>0</v>
      </c>
      <c r="K951">
        <v>1</v>
      </c>
      <c r="L951">
        <v>0</v>
      </c>
      <c r="M951">
        <f>VLOOKUP(Table1[[#This Row],[subscription_type]],Plans!$A$1:$B$5,2,FALSE)</f>
        <v>14.99</v>
      </c>
      <c r="N951">
        <f t="shared" si="14"/>
        <v>0</v>
      </c>
    </row>
    <row r="952" spans="1:14" x14ac:dyDescent="0.35">
      <c r="A952">
        <v>951</v>
      </c>
      <c r="B952" t="s">
        <v>20</v>
      </c>
      <c r="C952">
        <v>50</v>
      </c>
      <c r="D952" t="s">
        <v>25</v>
      </c>
      <c r="E952" t="s">
        <v>24</v>
      </c>
      <c r="F952">
        <v>234</v>
      </c>
      <c r="G952">
        <v>90</v>
      </c>
      <c r="H952">
        <v>0.13</v>
      </c>
      <c r="I952" t="s">
        <v>23</v>
      </c>
      <c r="J952">
        <v>0</v>
      </c>
      <c r="K952">
        <v>1</v>
      </c>
      <c r="L952">
        <v>1</v>
      </c>
      <c r="M952">
        <f>VLOOKUP(Table1[[#This Row],[subscription_type]],Plans!$A$1:$B$5,2,FALSE)</f>
        <v>4.99</v>
      </c>
      <c r="N952">
        <f t="shared" si="14"/>
        <v>4.99</v>
      </c>
    </row>
    <row r="953" spans="1:14" x14ac:dyDescent="0.35">
      <c r="A953">
        <v>952</v>
      </c>
      <c r="B953" t="s">
        <v>20</v>
      </c>
      <c r="C953">
        <v>33</v>
      </c>
      <c r="D953" t="s">
        <v>13</v>
      </c>
      <c r="E953" t="s">
        <v>18</v>
      </c>
      <c r="F953">
        <v>44</v>
      </c>
      <c r="G953">
        <v>40</v>
      </c>
      <c r="H953">
        <v>0.01</v>
      </c>
      <c r="I953" t="s">
        <v>15</v>
      </c>
      <c r="J953">
        <v>0</v>
      </c>
      <c r="K953">
        <v>1</v>
      </c>
      <c r="L953">
        <v>0</v>
      </c>
      <c r="M953">
        <f>VLOOKUP(Table1[[#This Row],[subscription_type]],Plans!$A$1:$B$5,2,FALSE)</f>
        <v>14.99</v>
      </c>
      <c r="N953">
        <f t="shared" si="14"/>
        <v>0</v>
      </c>
    </row>
    <row r="954" spans="1:14" x14ac:dyDescent="0.35">
      <c r="A954">
        <v>953</v>
      </c>
      <c r="B954" t="s">
        <v>16</v>
      </c>
      <c r="C954">
        <v>35</v>
      </c>
      <c r="D954" t="s">
        <v>17</v>
      </c>
      <c r="E954" t="s">
        <v>18</v>
      </c>
      <c r="F954">
        <v>273</v>
      </c>
      <c r="G954">
        <v>50</v>
      </c>
      <c r="H954">
        <v>0.36</v>
      </c>
      <c r="I954" t="s">
        <v>15</v>
      </c>
      <c r="J954">
        <v>0</v>
      </c>
      <c r="K954">
        <v>1</v>
      </c>
      <c r="L954">
        <v>0</v>
      </c>
      <c r="M954">
        <f>VLOOKUP(Table1[[#This Row],[subscription_type]],Plans!$A$1:$B$5,2,FALSE)</f>
        <v>14.99</v>
      </c>
      <c r="N954">
        <f t="shared" si="14"/>
        <v>0</v>
      </c>
    </row>
    <row r="955" spans="1:14" x14ac:dyDescent="0.35">
      <c r="A955">
        <v>954</v>
      </c>
      <c r="B955" t="s">
        <v>16</v>
      </c>
      <c r="C955">
        <v>21</v>
      </c>
      <c r="D955" t="s">
        <v>29</v>
      </c>
      <c r="E955" t="s">
        <v>18</v>
      </c>
      <c r="F955">
        <v>28</v>
      </c>
      <c r="G955">
        <v>82</v>
      </c>
      <c r="H955">
        <v>0.06</v>
      </c>
      <c r="I955" t="s">
        <v>15</v>
      </c>
      <c r="J955">
        <v>0</v>
      </c>
      <c r="K955">
        <v>1</v>
      </c>
      <c r="L955">
        <v>0</v>
      </c>
      <c r="M955">
        <f>VLOOKUP(Table1[[#This Row],[subscription_type]],Plans!$A$1:$B$5,2,FALSE)</f>
        <v>14.99</v>
      </c>
      <c r="N955">
        <f t="shared" si="14"/>
        <v>0</v>
      </c>
    </row>
    <row r="956" spans="1:14" x14ac:dyDescent="0.35">
      <c r="A956">
        <v>955</v>
      </c>
      <c r="B956" t="s">
        <v>16</v>
      </c>
      <c r="C956">
        <v>17</v>
      </c>
      <c r="D956" t="s">
        <v>28</v>
      </c>
      <c r="E956" t="s">
        <v>24</v>
      </c>
      <c r="F956">
        <v>46</v>
      </c>
      <c r="G956">
        <v>17</v>
      </c>
      <c r="H956">
        <v>0.17</v>
      </c>
      <c r="I956" t="s">
        <v>23</v>
      </c>
      <c r="J956">
        <v>0</v>
      </c>
      <c r="K956">
        <v>1</v>
      </c>
      <c r="L956">
        <v>0</v>
      </c>
      <c r="M956">
        <f>VLOOKUP(Table1[[#This Row],[subscription_type]],Plans!$A$1:$B$5,2,FALSE)</f>
        <v>4.99</v>
      </c>
      <c r="N956">
        <f t="shared" si="14"/>
        <v>0</v>
      </c>
    </row>
    <row r="957" spans="1:14" x14ac:dyDescent="0.35">
      <c r="A957">
        <v>956</v>
      </c>
      <c r="B957" t="s">
        <v>20</v>
      </c>
      <c r="C957">
        <v>19</v>
      </c>
      <c r="D957" t="s">
        <v>29</v>
      </c>
      <c r="E957" t="s">
        <v>18</v>
      </c>
      <c r="F957">
        <v>291</v>
      </c>
      <c r="G957">
        <v>5</v>
      </c>
      <c r="H957">
        <v>0.1</v>
      </c>
      <c r="I957" t="s">
        <v>23</v>
      </c>
      <c r="J957">
        <v>0</v>
      </c>
      <c r="K957">
        <v>1</v>
      </c>
      <c r="L957">
        <v>1</v>
      </c>
      <c r="M957">
        <f>VLOOKUP(Table1[[#This Row],[subscription_type]],Plans!$A$1:$B$5,2,FALSE)</f>
        <v>14.99</v>
      </c>
      <c r="N957">
        <f t="shared" si="14"/>
        <v>14.99</v>
      </c>
    </row>
    <row r="958" spans="1:14" x14ac:dyDescent="0.35">
      <c r="A958">
        <v>957</v>
      </c>
      <c r="B958" t="s">
        <v>16</v>
      </c>
      <c r="C958">
        <v>33</v>
      </c>
      <c r="D958" t="s">
        <v>21</v>
      </c>
      <c r="E958" t="s">
        <v>18</v>
      </c>
      <c r="F958">
        <v>174</v>
      </c>
      <c r="G958">
        <v>74</v>
      </c>
      <c r="H958">
        <v>0.16</v>
      </c>
      <c r="I958" t="s">
        <v>19</v>
      </c>
      <c r="J958">
        <v>0</v>
      </c>
      <c r="K958">
        <v>1</v>
      </c>
      <c r="L958">
        <v>1</v>
      </c>
      <c r="M958">
        <f>VLOOKUP(Table1[[#This Row],[subscription_type]],Plans!$A$1:$B$5,2,FALSE)</f>
        <v>14.99</v>
      </c>
      <c r="N958">
        <f t="shared" si="14"/>
        <v>14.99</v>
      </c>
    </row>
    <row r="959" spans="1:14" x14ac:dyDescent="0.35">
      <c r="A959">
        <v>958</v>
      </c>
      <c r="B959" t="s">
        <v>20</v>
      </c>
      <c r="C959">
        <v>36</v>
      </c>
      <c r="D959" t="s">
        <v>21</v>
      </c>
      <c r="E959" t="s">
        <v>18</v>
      </c>
      <c r="F959">
        <v>255</v>
      </c>
      <c r="G959">
        <v>92</v>
      </c>
      <c r="H959">
        <v>0.44</v>
      </c>
      <c r="I959" t="s">
        <v>15</v>
      </c>
      <c r="J959">
        <v>0</v>
      </c>
      <c r="K959">
        <v>1</v>
      </c>
      <c r="L959">
        <v>0</v>
      </c>
      <c r="M959">
        <f>VLOOKUP(Table1[[#This Row],[subscription_type]],Plans!$A$1:$B$5,2,FALSE)</f>
        <v>14.99</v>
      </c>
      <c r="N959">
        <f t="shared" si="14"/>
        <v>0</v>
      </c>
    </row>
    <row r="960" spans="1:14" x14ac:dyDescent="0.35">
      <c r="A960">
        <v>959</v>
      </c>
      <c r="B960" t="s">
        <v>16</v>
      </c>
      <c r="C960">
        <v>50</v>
      </c>
      <c r="D960" t="s">
        <v>21</v>
      </c>
      <c r="E960" t="s">
        <v>22</v>
      </c>
      <c r="F960">
        <v>157</v>
      </c>
      <c r="G960">
        <v>32</v>
      </c>
      <c r="H960">
        <v>0.42</v>
      </c>
      <c r="I960" t="s">
        <v>15</v>
      </c>
      <c r="J960">
        <v>0</v>
      </c>
      <c r="K960">
        <v>1</v>
      </c>
      <c r="L960">
        <v>0</v>
      </c>
      <c r="M960">
        <f>VLOOKUP(Table1[[#This Row],[subscription_type]],Plans!$A$1:$B$5,2,FALSE)</f>
        <v>9.99</v>
      </c>
      <c r="N960">
        <f t="shared" si="14"/>
        <v>0</v>
      </c>
    </row>
    <row r="961" spans="1:14" x14ac:dyDescent="0.35">
      <c r="A961">
        <v>960</v>
      </c>
      <c r="B961" t="s">
        <v>20</v>
      </c>
      <c r="C961">
        <v>54</v>
      </c>
      <c r="D961" t="s">
        <v>17</v>
      </c>
      <c r="E961" t="s">
        <v>18</v>
      </c>
      <c r="F961">
        <v>281</v>
      </c>
      <c r="G961">
        <v>16</v>
      </c>
      <c r="H961">
        <v>0.36</v>
      </c>
      <c r="I961" t="s">
        <v>19</v>
      </c>
      <c r="J961">
        <v>0</v>
      </c>
      <c r="K961">
        <v>1</v>
      </c>
      <c r="L961">
        <v>0</v>
      </c>
      <c r="M961">
        <f>VLOOKUP(Table1[[#This Row],[subscription_type]],Plans!$A$1:$B$5,2,FALSE)</f>
        <v>14.99</v>
      </c>
      <c r="N961">
        <f t="shared" si="14"/>
        <v>0</v>
      </c>
    </row>
    <row r="962" spans="1:14" x14ac:dyDescent="0.35">
      <c r="A962">
        <v>961</v>
      </c>
      <c r="B962" t="s">
        <v>20</v>
      </c>
      <c r="C962">
        <v>36</v>
      </c>
      <c r="D962" t="s">
        <v>28</v>
      </c>
      <c r="E962" t="s">
        <v>14</v>
      </c>
      <c r="F962">
        <v>102</v>
      </c>
      <c r="G962">
        <v>71</v>
      </c>
      <c r="H962">
        <v>0.34</v>
      </c>
      <c r="I962" t="s">
        <v>19</v>
      </c>
      <c r="J962">
        <v>20</v>
      </c>
      <c r="K962">
        <v>0</v>
      </c>
      <c r="L962">
        <v>0</v>
      </c>
      <c r="M962">
        <f>VLOOKUP(Table1[[#This Row],[subscription_type]],Plans!$A$1:$B$5,2,FALSE)</f>
        <v>0</v>
      </c>
      <c r="N962">
        <f t="shared" ref="N962:N1025" si="15">IF(L962=1, M962,0)</f>
        <v>0</v>
      </c>
    </row>
    <row r="963" spans="1:14" x14ac:dyDescent="0.35">
      <c r="A963">
        <v>962</v>
      </c>
      <c r="B963" t="s">
        <v>12</v>
      </c>
      <c r="C963">
        <v>49</v>
      </c>
      <c r="D963" t="s">
        <v>28</v>
      </c>
      <c r="E963" t="s">
        <v>22</v>
      </c>
      <c r="F963">
        <v>184</v>
      </c>
      <c r="G963">
        <v>33</v>
      </c>
      <c r="H963">
        <v>0.35</v>
      </c>
      <c r="I963" t="s">
        <v>15</v>
      </c>
      <c r="J963">
        <v>0</v>
      </c>
      <c r="K963">
        <v>1</v>
      </c>
      <c r="L963">
        <v>0</v>
      </c>
      <c r="M963">
        <f>VLOOKUP(Table1[[#This Row],[subscription_type]],Plans!$A$1:$B$5,2,FALSE)</f>
        <v>9.99</v>
      </c>
      <c r="N963">
        <f t="shared" si="15"/>
        <v>0</v>
      </c>
    </row>
    <row r="964" spans="1:14" x14ac:dyDescent="0.35">
      <c r="A964">
        <v>963</v>
      </c>
      <c r="B964" t="s">
        <v>12</v>
      </c>
      <c r="C964">
        <v>35</v>
      </c>
      <c r="D964" t="s">
        <v>13</v>
      </c>
      <c r="E964" t="s">
        <v>22</v>
      </c>
      <c r="F964">
        <v>173</v>
      </c>
      <c r="G964">
        <v>48</v>
      </c>
      <c r="H964">
        <v>0.56999999999999995</v>
      </c>
      <c r="I964" t="s">
        <v>19</v>
      </c>
      <c r="J964">
        <v>0</v>
      </c>
      <c r="K964">
        <v>1</v>
      </c>
      <c r="L964">
        <v>0</v>
      </c>
      <c r="M964">
        <f>VLOOKUP(Table1[[#This Row],[subscription_type]],Plans!$A$1:$B$5,2,FALSE)</f>
        <v>9.99</v>
      </c>
      <c r="N964">
        <f t="shared" si="15"/>
        <v>0</v>
      </c>
    </row>
    <row r="965" spans="1:14" x14ac:dyDescent="0.35">
      <c r="A965">
        <v>964</v>
      </c>
      <c r="B965" t="s">
        <v>12</v>
      </c>
      <c r="C965">
        <v>53</v>
      </c>
      <c r="D965" t="s">
        <v>13</v>
      </c>
      <c r="E965" t="s">
        <v>14</v>
      </c>
      <c r="F965">
        <v>266</v>
      </c>
      <c r="G965">
        <v>33</v>
      </c>
      <c r="H965">
        <v>0.23</v>
      </c>
      <c r="I965" t="s">
        <v>15</v>
      </c>
      <c r="J965">
        <v>32</v>
      </c>
      <c r="K965">
        <v>0</v>
      </c>
      <c r="L965">
        <v>1</v>
      </c>
      <c r="M965">
        <f>VLOOKUP(Table1[[#This Row],[subscription_type]],Plans!$A$1:$B$5,2,FALSE)</f>
        <v>0</v>
      </c>
      <c r="N965">
        <f t="shared" si="15"/>
        <v>0</v>
      </c>
    </row>
    <row r="966" spans="1:14" x14ac:dyDescent="0.35">
      <c r="A966">
        <v>965</v>
      </c>
      <c r="B966" t="s">
        <v>20</v>
      </c>
      <c r="C966">
        <v>55</v>
      </c>
      <c r="D966" t="s">
        <v>17</v>
      </c>
      <c r="E966" t="s">
        <v>14</v>
      </c>
      <c r="F966">
        <v>236</v>
      </c>
      <c r="G966">
        <v>34</v>
      </c>
      <c r="H966">
        <v>0.38</v>
      </c>
      <c r="I966" t="s">
        <v>23</v>
      </c>
      <c r="J966">
        <v>47</v>
      </c>
      <c r="K966">
        <v>0</v>
      </c>
      <c r="L966">
        <v>0</v>
      </c>
      <c r="M966">
        <f>VLOOKUP(Table1[[#This Row],[subscription_type]],Plans!$A$1:$B$5,2,FALSE)</f>
        <v>0</v>
      </c>
      <c r="N966">
        <f t="shared" si="15"/>
        <v>0</v>
      </c>
    </row>
    <row r="967" spans="1:14" x14ac:dyDescent="0.35">
      <c r="A967">
        <v>966</v>
      </c>
      <c r="B967" t="s">
        <v>12</v>
      </c>
      <c r="C967">
        <v>36</v>
      </c>
      <c r="D967" t="s">
        <v>26</v>
      </c>
      <c r="E967" t="s">
        <v>24</v>
      </c>
      <c r="F967">
        <v>35</v>
      </c>
      <c r="G967">
        <v>82</v>
      </c>
      <c r="H967">
        <v>0.2</v>
      </c>
      <c r="I967" t="s">
        <v>19</v>
      </c>
      <c r="J967">
        <v>0</v>
      </c>
      <c r="K967">
        <v>1</v>
      </c>
      <c r="L967">
        <v>0</v>
      </c>
      <c r="M967">
        <f>VLOOKUP(Table1[[#This Row],[subscription_type]],Plans!$A$1:$B$5,2,FALSE)</f>
        <v>4.99</v>
      </c>
      <c r="N967">
        <f t="shared" si="15"/>
        <v>0</v>
      </c>
    </row>
    <row r="968" spans="1:14" x14ac:dyDescent="0.35">
      <c r="A968">
        <v>967</v>
      </c>
      <c r="B968" t="s">
        <v>12</v>
      </c>
      <c r="C968">
        <v>47</v>
      </c>
      <c r="D968" t="s">
        <v>29</v>
      </c>
      <c r="E968" t="s">
        <v>18</v>
      </c>
      <c r="F968">
        <v>192</v>
      </c>
      <c r="G968">
        <v>18</v>
      </c>
      <c r="H968">
        <v>0.54</v>
      </c>
      <c r="I968" t="s">
        <v>19</v>
      </c>
      <c r="J968">
        <v>0</v>
      </c>
      <c r="K968">
        <v>1</v>
      </c>
      <c r="L968">
        <v>1</v>
      </c>
      <c r="M968">
        <f>VLOOKUP(Table1[[#This Row],[subscription_type]],Plans!$A$1:$B$5,2,FALSE)</f>
        <v>14.99</v>
      </c>
      <c r="N968">
        <f t="shared" si="15"/>
        <v>14.99</v>
      </c>
    </row>
    <row r="969" spans="1:14" x14ac:dyDescent="0.35">
      <c r="A969">
        <v>968</v>
      </c>
      <c r="B969" t="s">
        <v>12</v>
      </c>
      <c r="C969">
        <v>22</v>
      </c>
      <c r="D969" t="s">
        <v>21</v>
      </c>
      <c r="E969" t="s">
        <v>18</v>
      </c>
      <c r="F969">
        <v>99</v>
      </c>
      <c r="G969">
        <v>63</v>
      </c>
      <c r="H969">
        <v>0.56000000000000005</v>
      </c>
      <c r="I969" t="s">
        <v>15</v>
      </c>
      <c r="J969">
        <v>0</v>
      </c>
      <c r="K969">
        <v>1</v>
      </c>
      <c r="L969">
        <v>0</v>
      </c>
      <c r="M969">
        <f>VLOOKUP(Table1[[#This Row],[subscription_type]],Plans!$A$1:$B$5,2,FALSE)</f>
        <v>14.99</v>
      </c>
      <c r="N969">
        <f t="shared" si="15"/>
        <v>0</v>
      </c>
    </row>
    <row r="970" spans="1:14" x14ac:dyDescent="0.35">
      <c r="A970">
        <v>969</v>
      </c>
      <c r="B970" t="s">
        <v>16</v>
      </c>
      <c r="C970">
        <v>55</v>
      </c>
      <c r="D970" t="s">
        <v>21</v>
      </c>
      <c r="E970" t="s">
        <v>22</v>
      </c>
      <c r="F970">
        <v>100</v>
      </c>
      <c r="G970">
        <v>31</v>
      </c>
      <c r="H970">
        <v>7.0000000000000007E-2</v>
      </c>
      <c r="I970" t="s">
        <v>23</v>
      </c>
      <c r="J970">
        <v>0</v>
      </c>
      <c r="K970">
        <v>1</v>
      </c>
      <c r="L970">
        <v>0</v>
      </c>
      <c r="M970">
        <f>VLOOKUP(Table1[[#This Row],[subscription_type]],Plans!$A$1:$B$5,2,FALSE)</f>
        <v>9.99</v>
      </c>
      <c r="N970">
        <f t="shared" si="15"/>
        <v>0</v>
      </c>
    </row>
    <row r="971" spans="1:14" x14ac:dyDescent="0.35">
      <c r="A971">
        <v>970</v>
      </c>
      <c r="B971" t="s">
        <v>20</v>
      </c>
      <c r="C971">
        <v>47</v>
      </c>
      <c r="D971" t="s">
        <v>17</v>
      </c>
      <c r="E971" t="s">
        <v>22</v>
      </c>
      <c r="F971">
        <v>164</v>
      </c>
      <c r="G971">
        <v>42</v>
      </c>
      <c r="H971">
        <v>0.38</v>
      </c>
      <c r="I971" t="s">
        <v>23</v>
      </c>
      <c r="J971">
        <v>0</v>
      </c>
      <c r="K971">
        <v>1</v>
      </c>
      <c r="L971">
        <v>0</v>
      </c>
      <c r="M971">
        <f>VLOOKUP(Table1[[#This Row],[subscription_type]],Plans!$A$1:$B$5,2,FALSE)</f>
        <v>9.99</v>
      </c>
      <c r="N971">
        <f t="shared" si="15"/>
        <v>0</v>
      </c>
    </row>
    <row r="972" spans="1:14" x14ac:dyDescent="0.35">
      <c r="A972">
        <v>971</v>
      </c>
      <c r="B972" t="s">
        <v>20</v>
      </c>
      <c r="C972">
        <v>18</v>
      </c>
      <c r="D972" t="s">
        <v>28</v>
      </c>
      <c r="E972" t="s">
        <v>14</v>
      </c>
      <c r="F972">
        <v>30</v>
      </c>
      <c r="G972">
        <v>29</v>
      </c>
      <c r="H972">
        <v>0.03</v>
      </c>
      <c r="I972" t="s">
        <v>23</v>
      </c>
      <c r="J972">
        <v>46</v>
      </c>
      <c r="K972">
        <v>0</v>
      </c>
      <c r="L972">
        <v>0</v>
      </c>
      <c r="M972">
        <f>VLOOKUP(Table1[[#This Row],[subscription_type]],Plans!$A$1:$B$5,2,FALSE)</f>
        <v>0</v>
      </c>
      <c r="N972">
        <f t="shared" si="15"/>
        <v>0</v>
      </c>
    </row>
    <row r="973" spans="1:14" x14ac:dyDescent="0.35">
      <c r="A973">
        <v>972</v>
      </c>
      <c r="B973" t="s">
        <v>16</v>
      </c>
      <c r="C973">
        <v>42</v>
      </c>
      <c r="D973" t="s">
        <v>21</v>
      </c>
      <c r="E973" t="s">
        <v>14</v>
      </c>
      <c r="F973">
        <v>121</v>
      </c>
      <c r="G973">
        <v>14</v>
      </c>
      <c r="H973">
        <v>0.41</v>
      </c>
      <c r="I973" t="s">
        <v>15</v>
      </c>
      <c r="J973">
        <v>37</v>
      </c>
      <c r="K973">
        <v>0</v>
      </c>
      <c r="L973">
        <v>0</v>
      </c>
      <c r="M973">
        <f>VLOOKUP(Table1[[#This Row],[subscription_type]],Plans!$A$1:$B$5,2,FALSE)</f>
        <v>0</v>
      </c>
      <c r="N973">
        <f t="shared" si="15"/>
        <v>0</v>
      </c>
    </row>
    <row r="974" spans="1:14" x14ac:dyDescent="0.35">
      <c r="A974">
        <v>973</v>
      </c>
      <c r="B974" t="s">
        <v>20</v>
      </c>
      <c r="C974">
        <v>42</v>
      </c>
      <c r="D974" t="s">
        <v>28</v>
      </c>
      <c r="E974" t="s">
        <v>18</v>
      </c>
      <c r="F974">
        <v>166</v>
      </c>
      <c r="G974">
        <v>80</v>
      </c>
      <c r="H974">
        <v>0.28999999999999998</v>
      </c>
      <c r="I974" t="s">
        <v>19</v>
      </c>
      <c r="J974">
        <v>0</v>
      </c>
      <c r="K974">
        <v>1</v>
      </c>
      <c r="L974">
        <v>1</v>
      </c>
      <c r="M974">
        <f>VLOOKUP(Table1[[#This Row],[subscription_type]],Plans!$A$1:$B$5,2,FALSE)</f>
        <v>14.99</v>
      </c>
      <c r="N974">
        <f t="shared" si="15"/>
        <v>14.99</v>
      </c>
    </row>
    <row r="975" spans="1:14" x14ac:dyDescent="0.35">
      <c r="A975">
        <v>974</v>
      </c>
      <c r="B975" t="s">
        <v>20</v>
      </c>
      <c r="C975">
        <v>51</v>
      </c>
      <c r="D975" t="s">
        <v>28</v>
      </c>
      <c r="E975" t="s">
        <v>14</v>
      </c>
      <c r="F975">
        <v>272</v>
      </c>
      <c r="G975">
        <v>20</v>
      </c>
      <c r="H975">
        <v>0.17</v>
      </c>
      <c r="I975" t="s">
        <v>15</v>
      </c>
      <c r="J975">
        <v>11</v>
      </c>
      <c r="K975">
        <v>0</v>
      </c>
      <c r="L975">
        <v>0</v>
      </c>
      <c r="M975">
        <f>VLOOKUP(Table1[[#This Row],[subscription_type]],Plans!$A$1:$B$5,2,FALSE)</f>
        <v>0</v>
      </c>
      <c r="N975">
        <f t="shared" si="15"/>
        <v>0</v>
      </c>
    </row>
    <row r="976" spans="1:14" x14ac:dyDescent="0.35">
      <c r="A976">
        <v>975</v>
      </c>
      <c r="B976" t="s">
        <v>20</v>
      </c>
      <c r="C976">
        <v>24</v>
      </c>
      <c r="D976" t="s">
        <v>29</v>
      </c>
      <c r="E976" t="s">
        <v>24</v>
      </c>
      <c r="F976">
        <v>160</v>
      </c>
      <c r="G976">
        <v>56</v>
      </c>
      <c r="H976">
        <v>0.11</v>
      </c>
      <c r="I976" t="s">
        <v>15</v>
      </c>
      <c r="J976">
        <v>0</v>
      </c>
      <c r="K976">
        <v>1</v>
      </c>
      <c r="L976">
        <v>0</v>
      </c>
      <c r="M976">
        <f>VLOOKUP(Table1[[#This Row],[subscription_type]],Plans!$A$1:$B$5,2,FALSE)</f>
        <v>4.99</v>
      </c>
      <c r="N976">
        <f t="shared" si="15"/>
        <v>0</v>
      </c>
    </row>
    <row r="977" spans="1:14" x14ac:dyDescent="0.35">
      <c r="A977">
        <v>976</v>
      </c>
      <c r="B977" t="s">
        <v>20</v>
      </c>
      <c r="C977">
        <v>28</v>
      </c>
      <c r="D977" t="s">
        <v>29</v>
      </c>
      <c r="E977" t="s">
        <v>22</v>
      </c>
      <c r="F977">
        <v>96</v>
      </c>
      <c r="G977">
        <v>53</v>
      </c>
      <c r="H977">
        <v>0.44</v>
      </c>
      <c r="I977" t="s">
        <v>19</v>
      </c>
      <c r="J977">
        <v>0</v>
      </c>
      <c r="K977">
        <v>1</v>
      </c>
      <c r="L977">
        <v>0</v>
      </c>
      <c r="M977">
        <f>VLOOKUP(Table1[[#This Row],[subscription_type]],Plans!$A$1:$B$5,2,FALSE)</f>
        <v>9.99</v>
      </c>
      <c r="N977">
        <f t="shared" si="15"/>
        <v>0</v>
      </c>
    </row>
    <row r="978" spans="1:14" x14ac:dyDescent="0.35">
      <c r="A978">
        <v>977</v>
      </c>
      <c r="B978" t="s">
        <v>16</v>
      </c>
      <c r="C978">
        <v>17</v>
      </c>
      <c r="D978" t="s">
        <v>25</v>
      </c>
      <c r="E978" t="s">
        <v>14</v>
      </c>
      <c r="F978">
        <v>125</v>
      </c>
      <c r="G978">
        <v>30</v>
      </c>
      <c r="H978">
        <v>0.25</v>
      </c>
      <c r="I978" t="s">
        <v>15</v>
      </c>
      <c r="J978">
        <v>25</v>
      </c>
      <c r="K978">
        <v>0</v>
      </c>
      <c r="L978">
        <v>0</v>
      </c>
      <c r="M978">
        <f>VLOOKUP(Table1[[#This Row],[subscription_type]],Plans!$A$1:$B$5,2,FALSE)</f>
        <v>0</v>
      </c>
      <c r="N978">
        <f t="shared" si="15"/>
        <v>0</v>
      </c>
    </row>
    <row r="979" spans="1:14" x14ac:dyDescent="0.35">
      <c r="A979">
        <v>978</v>
      </c>
      <c r="B979" t="s">
        <v>16</v>
      </c>
      <c r="C979">
        <v>41</v>
      </c>
      <c r="D979" t="s">
        <v>25</v>
      </c>
      <c r="E979" t="s">
        <v>22</v>
      </c>
      <c r="F979">
        <v>219</v>
      </c>
      <c r="G979">
        <v>54</v>
      </c>
      <c r="H979">
        <v>0.21</v>
      </c>
      <c r="I979" t="s">
        <v>19</v>
      </c>
      <c r="J979">
        <v>0</v>
      </c>
      <c r="K979">
        <v>1</v>
      </c>
      <c r="L979">
        <v>1</v>
      </c>
      <c r="M979">
        <f>VLOOKUP(Table1[[#This Row],[subscription_type]],Plans!$A$1:$B$5,2,FALSE)</f>
        <v>9.99</v>
      </c>
      <c r="N979">
        <f t="shared" si="15"/>
        <v>9.99</v>
      </c>
    </row>
    <row r="980" spans="1:14" x14ac:dyDescent="0.35">
      <c r="A980">
        <v>979</v>
      </c>
      <c r="B980" t="s">
        <v>12</v>
      </c>
      <c r="C980">
        <v>48</v>
      </c>
      <c r="D980" t="s">
        <v>17</v>
      </c>
      <c r="E980" t="s">
        <v>22</v>
      </c>
      <c r="F980">
        <v>115</v>
      </c>
      <c r="G980">
        <v>19</v>
      </c>
      <c r="H980">
        <v>0.25</v>
      </c>
      <c r="I980" t="s">
        <v>19</v>
      </c>
      <c r="J980">
        <v>0</v>
      </c>
      <c r="K980">
        <v>1</v>
      </c>
      <c r="L980">
        <v>1</v>
      </c>
      <c r="M980">
        <f>VLOOKUP(Table1[[#This Row],[subscription_type]],Plans!$A$1:$B$5,2,FALSE)</f>
        <v>9.99</v>
      </c>
      <c r="N980">
        <f t="shared" si="15"/>
        <v>9.99</v>
      </c>
    </row>
    <row r="981" spans="1:14" x14ac:dyDescent="0.35">
      <c r="A981">
        <v>980</v>
      </c>
      <c r="B981" t="s">
        <v>20</v>
      </c>
      <c r="C981">
        <v>50</v>
      </c>
      <c r="D981" t="s">
        <v>27</v>
      </c>
      <c r="E981" t="s">
        <v>18</v>
      </c>
      <c r="F981">
        <v>128</v>
      </c>
      <c r="G981">
        <v>60</v>
      </c>
      <c r="H981">
        <v>0.1</v>
      </c>
      <c r="I981" t="s">
        <v>23</v>
      </c>
      <c r="J981">
        <v>0</v>
      </c>
      <c r="K981">
        <v>1</v>
      </c>
      <c r="L981">
        <v>0</v>
      </c>
      <c r="M981">
        <f>VLOOKUP(Table1[[#This Row],[subscription_type]],Plans!$A$1:$B$5,2,FALSE)</f>
        <v>14.99</v>
      </c>
      <c r="N981">
        <f t="shared" si="15"/>
        <v>0</v>
      </c>
    </row>
    <row r="982" spans="1:14" x14ac:dyDescent="0.35">
      <c r="A982">
        <v>981</v>
      </c>
      <c r="B982" t="s">
        <v>16</v>
      </c>
      <c r="C982">
        <v>42</v>
      </c>
      <c r="D982" t="s">
        <v>28</v>
      </c>
      <c r="E982" t="s">
        <v>22</v>
      </c>
      <c r="F982">
        <v>257</v>
      </c>
      <c r="G982">
        <v>34</v>
      </c>
      <c r="H982">
        <v>0</v>
      </c>
      <c r="I982" t="s">
        <v>23</v>
      </c>
      <c r="J982">
        <v>0</v>
      </c>
      <c r="K982">
        <v>1</v>
      </c>
      <c r="L982">
        <v>0</v>
      </c>
      <c r="M982">
        <f>VLOOKUP(Table1[[#This Row],[subscription_type]],Plans!$A$1:$B$5,2,FALSE)</f>
        <v>9.99</v>
      </c>
      <c r="N982">
        <f t="shared" si="15"/>
        <v>0</v>
      </c>
    </row>
    <row r="983" spans="1:14" x14ac:dyDescent="0.35">
      <c r="A983">
        <v>982</v>
      </c>
      <c r="B983" t="s">
        <v>12</v>
      </c>
      <c r="C983">
        <v>35</v>
      </c>
      <c r="D983" t="s">
        <v>29</v>
      </c>
      <c r="E983" t="s">
        <v>24</v>
      </c>
      <c r="F983">
        <v>48</v>
      </c>
      <c r="G983">
        <v>5</v>
      </c>
      <c r="H983">
        <v>0.44</v>
      </c>
      <c r="I983" t="s">
        <v>19</v>
      </c>
      <c r="J983">
        <v>0</v>
      </c>
      <c r="K983">
        <v>1</v>
      </c>
      <c r="L983">
        <v>0</v>
      </c>
      <c r="M983">
        <f>VLOOKUP(Table1[[#This Row],[subscription_type]],Plans!$A$1:$B$5,2,FALSE)</f>
        <v>4.99</v>
      </c>
      <c r="N983">
        <f t="shared" si="15"/>
        <v>0</v>
      </c>
    </row>
    <row r="984" spans="1:14" x14ac:dyDescent="0.35">
      <c r="A984">
        <v>983</v>
      </c>
      <c r="B984" t="s">
        <v>20</v>
      </c>
      <c r="C984">
        <v>19</v>
      </c>
      <c r="D984" t="s">
        <v>26</v>
      </c>
      <c r="E984" t="s">
        <v>18</v>
      </c>
      <c r="F984">
        <v>274</v>
      </c>
      <c r="G984">
        <v>96</v>
      </c>
      <c r="H984">
        <v>0.56999999999999995</v>
      </c>
      <c r="I984" t="s">
        <v>23</v>
      </c>
      <c r="J984">
        <v>0</v>
      </c>
      <c r="K984">
        <v>1</v>
      </c>
      <c r="L984">
        <v>0</v>
      </c>
      <c r="M984">
        <f>VLOOKUP(Table1[[#This Row],[subscription_type]],Plans!$A$1:$B$5,2,FALSE)</f>
        <v>14.99</v>
      </c>
      <c r="N984">
        <f t="shared" si="15"/>
        <v>0</v>
      </c>
    </row>
    <row r="985" spans="1:14" x14ac:dyDescent="0.35">
      <c r="A985">
        <v>984</v>
      </c>
      <c r="B985" t="s">
        <v>20</v>
      </c>
      <c r="C985">
        <v>31</v>
      </c>
      <c r="D985" t="s">
        <v>25</v>
      </c>
      <c r="E985" t="s">
        <v>22</v>
      </c>
      <c r="F985">
        <v>75</v>
      </c>
      <c r="G985">
        <v>4</v>
      </c>
      <c r="H985">
        <v>0.04</v>
      </c>
      <c r="I985" t="s">
        <v>19</v>
      </c>
      <c r="J985">
        <v>0</v>
      </c>
      <c r="K985">
        <v>1</v>
      </c>
      <c r="L985">
        <v>0</v>
      </c>
      <c r="M985">
        <f>VLOOKUP(Table1[[#This Row],[subscription_type]],Plans!$A$1:$B$5,2,FALSE)</f>
        <v>9.99</v>
      </c>
      <c r="N985">
        <f t="shared" si="15"/>
        <v>0</v>
      </c>
    </row>
    <row r="986" spans="1:14" x14ac:dyDescent="0.35">
      <c r="A986">
        <v>985</v>
      </c>
      <c r="B986" t="s">
        <v>20</v>
      </c>
      <c r="C986">
        <v>37</v>
      </c>
      <c r="D986" t="s">
        <v>29</v>
      </c>
      <c r="E986" t="s">
        <v>14</v>
      </c>
      <c r="F986">
        <v>287</v>
      </c>
      <c r="G986">
        <v>94</v>
      </c>
      <c r="H986">
        <v>0.5</v>
      </c>
      <c r="I986" t="s">
        <v>23</v>
      </c>
      <c r="J986">
        <v>28</v>
      </c>
      <c r="K986">
        <v>0</v>
      </c>
      <c r="L986">
        <v>0</v>
      </c>
      <c r="M986">
        <f>VLOOKUP(Table1[[#This Row],[subscription_type]],Plans!$A$1:$B$5,2,FALSE)</f>
        <v>0</v>
      </c>
      <c r="N986">
        <f t="shared" si="15"/>
        <v>0</v>
      </c>
    </row>
    <row r="987" spans="1:14" x14ac:dyDescent="0.35">
      <c r="A987">
        <v>986</v>
      </c>
      <c r="B987" t="s">
        <v>20</v>
      </c>
      <c r="C987">
        <v>43</v>
      </c>
      <c r="D987" t="s">
        <v>25</v>
      </c>
      <c r="E987" t="s">
        <v>14</v>
      </c>
      <c r="F987">
        <v>58</v>
      </c>
      <c r="G987">
        <v>3</v>
      </c>
      <c r="H987">
        <v>0.22</v>
      </c>
      <c r="I987" t="s">
        <v>15</v>
      </c>
      <c r="J987">
        <v>20</v>
      </c>
      <c r="K987">
        <v>0</v>
      </c>
      <c r="L987">
        <v>1</v>
      </c>
      <c r="M987">
        <f>VLOOKUP(Table1[[#This Row],[subscription_type]],Plans!$A$1:$B$5,2,FALSE)</f>
        <v>0</v>
      </c>
      <c r="N987">
        <f t="shared" si="15"/>
        <v>0</v>
      </c>
    </row>
    <row r="988" spans="1:14" x14ac:dyDescent="0.35">
      <c r="A988">
        <v>987</v>
      </c>
      <c r="B988" t="s">
        <v>12</v>
      </c>
      <c r="C988">
        <v>37</v>
      </c>
      <c r="D988" t="s">
        <v>25</v>
      </c>
      <c r="E988" t="s">
        <v>14</v>
      </c>
      <c r="F988">
        <v>195</v>
      </c>
      <c r="G988">
        <v>27</v>
      </c>
      <c r="H988">
        <v>0.11</v>
      </c>
      <c r="I988" t="s">
        <v>15</v>
      </c>
      <c r="J988">
        <v>31</v>
      </c>
      <c r="K988">
        <v>0</v>
      </c>
      <c r="L988">
        <v>0</v>
      </c>
      <c r="M988">
        <f>VLOOKUP(Table1[[#This Row],[subscription_type]],Plans!$A$1:$B$5,2,FALSE)</f>
        <v>0</v>
      </c>
      <c r="N988">
        <f t="shared" si="15"/>
        <v>0</v>
      </c>
    </row>
    <row r="989" spans="1:14" x14ac:dyDescent="0.35">
      <c r="A989">
        <v>988</v>
      </c>
      <c r="B989" t="s">
        <v>12</v>
      </c>
      <c r="C989">
        <v>35</v>
      </c>
      <c r="D989" t="s">
        <v>13</v>
      </c>
      <c r="E989" t="s">
        <v>22</v>
      </c>
      <c r="F989">
        <v>119</v>
      </c>
      <c r="G989">
        <v>98</v>
      </c>
      <c r="H989">
        <v>0.51</v>
      </c>
      <c r="I989" t="s">
        <v>15</v>
      </c>
      <c r="J989">
        <v>0</v>
      </c>
      <c r="K989">
        <v>1</v>
      </c>
      <c r="L989">
        <v>0</v>
      </c>
      <c r="M989">
        <f>VLOOKUP(Table1[[#This Row],[subscription_type]],Plans!$A$1:$B$5,2,FALSE)</f>
        <v>9.99</v>
      </c>
      <c r="N989">
        <f t="shared" si="15"/>
        <v>0</v>
      </c>
    </row>
    <row r="990" spans="1:14" x14ac:dyDescent="0.35">
      <c r="A990">
        <v>989</v>
      </c>
      <c r="B990" t="s">
        <v>20</v>
      </c>
      <c r="C990">
        <v>41</v>
      </c>
      <c r="D990" t="s">
        <v>21</v>
      </c>
      <c r="E990" t="s">
        <v>14</v>
      </c>
      <c r="F990">
        <v>248</v>
      </c>
      <c r="G990">
        <v>79</v>
      </c>
      <c r="H990">
        <v>0.37</v>
      </c>
      <c r="I990" t="s">
        <v>23</v>
      </c>
      <c r="J990">
        <v>16</v>
      </c>
      <c r="K990">
        <v>0</v>
      </c>
      <c r="L990">
        <v>0</v>
      </c>
      <c r="M990">
        <f>VLOOKUP(Table1[[#This Row],[subscription_type]],Plans!$A$1:$B$5,2,FALSE)</f>
        <v>0</v>
      </c>
      <c r="N990">
        <f t="shared" si="15"/>
        <v>0</v>
      </c>
    </row>
    <row r="991" spans="1:14" x14ac:dyDescent="0.35">
      <c r="A991">
        <v>990</v>
      </c>
      <c r="B991" t="s">
        <v>12</v>
      </c>
      <c r="C991">
        <v>47</v>
      </c>
      <c r="D991" t="s">
        <v>28</v>
      </c>
      <c r="E991" t="s">
        <v>14</v>
      </c>
      <c r="F991">
        <v>212</v>
      </c>
      <c r="G991">
        <v>50</v>
      </c>
      <c r="H991">
        <v>0.44</v>
      </c>
      <c r="I991" t="s">
        <v>15</v>
      </c>
      <c r="J991">
        <v>39</v>
      </c>
      <c r="K991">
        <v>0</v>
      </c>
      <c r="L991">
        <v>1</v>
      </c>
      <c r="M991">
        <f>VLOOKUP(Table1[[#This Row],[subscription_type]],Plans!$A$1:$B$5,2,FALSE)</f>
        <v>0</v>
      </c>
      <c r="N991">
        <f t="shared" si="15"/>
        <v>0</v>
      </c>
    </row>
    <row r="992" spans="1:14" x14ac:dyDescent="0.35">
      <c r="A992">
        <v>991</v>
      </c>
      <c r="B992" t="s">
        <v>20</v>
      </c>
      <c r="C992">
        <v>51</v>
      </c>
      <c r="D992" t="s">
        <v>26</v>
      </c>
      <c r="E992" t="s">
        <v>22</v>
      </c>
      <c r="F992">
        <v>296</v>
      </c>
      <c r="G992">
        <v>10</v>
      </c>
      <c r="H992">
        <v>0.21</v>
      </c>
      <c r="I992" t="s">
        <v>15</v>
      </c>
      <c r="J992">
        <v>0</v>
      </c>
      <c r="K992">
        <v>1</v>
      </c>
      <c r="L992">
        <v>0</v>
      </c>
      <c r="M992">
        <f>VLOOKUP(Table1[[#This Row],[subscription_type]],Plans!$A$1:$B$5,2,FALSE)</f>
        <v>9.99</v>
      </c>
      <c r="N992">
        <f t="shared" si="15"/>
        <v>0</v>
      </c>
    </row>
    <row r="993" spans="1:14" x14ac:dyDescent="0.35">
      <c r="A993">
        <v>992</v>
      </c>
      <c r="B993" t="s">
        <v>12</v>
      </c>
      <c r="C993">
        <v>43</v>
      </c>
      <c r="D993" t="s">
        <v>26</v>
      </c>
      <c r="E993" t="s">
        <v>14</v>
      </c>
      <c r="F993">
        <v>197</v>
      </c>
      <c r="G993">
        <v>77</v>
      </c>
      <c r="H993">
        <v>0.43</v>
      </c>
      <c r="I993" t="s">
        <v>23</v>
      </c>
      <c r="J993">
        <v>27</v>
      </c>
      <c r="K993">
        <v>0</v>
      </c>
      <c r="L993">
        <v>1</v>
      </c>
      <c r="M993">
        <f>VLOOKUP(Table1[[#This Row],[subscription_type]],Plans!$A$1:$B$5,2,FALSE)</f>
        <v>0</v>
      </c>
      <c r="N993">
        <f t="shared" si="15"/>
        <v>0</v>
      </c>
    </row>
    <row r="994" spans="1:14" x14ac:dyDescent="0.35">
      <c r="A994">
        <v>993</v>
      </c>
      <c r="B994" t="s">
        <v>20</v>
      </c>
      <c r="C994">
        <v>56</v>
      </c>
      <c r="D994" t="s">
        <v>25</v>
      </c>
      <c r="E994" t="s">
        <v>22</v>
      </c>
      <c r="F994">
        <v>245</v>
      </c>
      <c r="G994">
        <v>60</v>
      </c>
      <c r="H994">
        <v>0.35</v>
      </c>
      <c r="I994" t="s">
        <v>15</v>
      </c>
      <c r="J994">
        <v>0</v>
      </c>
      <c r="K994">
        <v>1</v>
      </c>
      <c r="L994">
        <v>0</v>
      </c>
      <c r="M994">
        <f>VLOOKUP(Table1[[#This Row],[subscription_type]],Plans!$A$1:$B$5,2,FALSE)</f>
        <v>9.99</v>
      </c>
      <c r="N994">
        <f t="shared" si="15"/>
        <v>0</v>
      </c>
    </row>
    <row r="995" spans="1:14" x14ac:dyDescent="0.35">
      <c r="A995">
        <v>994</v>
      </c>
      <c r="B995" t="s">
        <v>20</v>
      </c>
      <c r="C995">
        <v>46</v>
      </c>
      <c r="D995" t="s">
        <v>25</v>
      </c>
      <c r="E995" t="s">
        <v>22</v>
      </c>
      <c r="F995">
        <v>159</v>
      </c>
      <c r="G995">
        <v>52</v>
      </c>
      <c r="H995">
        <v>0.09</v>
      </c>
      <c r="I995" t="s">
        <v>19</v>
      </c>
      <c r="J995">
        <v>0</v>
      </c>
      <c r="K995">
        <v>1</v>
      </c>
      <c r="L995">
        <v>0</v>
      </c>
      <c r="M995">
        <f>VLOOKUP(Table1[[#This Row],[subscription_type]],Plans!$A$1:$B$5,2,FALSE)</f>
        <v>9.99</v>
      </c>
      <c r="N995">
        <f t="shared" si="15"/>
        <v>0</v>
      </c>
    </row>
    <row r="996" spans="1:14" x14ac:dyDescent="0.35">
      <c r="A996">
        <v>995</v>
      </c>
      <c r="B996" t="s">
        <v>20</v>
      </c>
      <c r="C996">
        <v>56</v>
      </c>
      <c r="D996" t="s">
        <v>13</v>
      </c>
      <c r="E996" t="s">
        <v>14</v>
      </c>
      <c r="F996">
        <v>252</v>
      </c>
      <c r="G996">
        <v>98</v>
      </c>
      <c r="H996">
        <v>0.48</v>
      </c>
      <c r="I996" t="s">
        <v>19</v>
      </c>
      <c r="J996">
        <v>19</v>
      </c>
      <c r="K996">
        <v>0</v>
      </c>
      <c r="L996">
        <v>0</v>
      </c>
      <c r="M996">
        <f>VLOOKUP(Table1[[#This Row],[subscription_type]],Plans!$A$1:$B$5,2,FALSE)</f>
        <v>0</v>
      </c>
      <c r="N996">
        <f t="shared" si="15"/>
        <v>0</v>
      </c>
    </row>
    <row r="997" spans="1:14" x14ac:dyDescent="0.35">
      <c r="A997">
        <v>996</v>
      </c>
      <c r="B997" t="s">
        <v>16</v>
      </c>
      <c r="C997">
        <v>39</v>
      </c>
      <c r="D997" t="s">
        <v>17</v>
      </c>
      <c r="E997" t="s">
        <v>14</v>
      </c>
      <c r="F997">
        <v>142</v>
      </c>
      <c r="G997">
        <v>46</v>
      </c>
      <c r="H997">
        <v>0.45</v>
      </c>
      <c r="I997" t="s">
        <v>19</v>
      </c>
      <c r="J997">
        <v>40</v>
      </c>
      <c r="K997">
        <v>0</v>
      </c>
      <c r="L997">
        <v>0</v>
      </c>
      <c r="M997">
        <f>VLOOKUP(Table1[[#This Row],[subscription_type]],Plans!$A$1:$B$5,2,FALSE)</f>
        <v>0</v>
      </c>
      <c r="N997">
        <f t="shared" si="15"/>
        <v>0</v>
      </c>
    </row>
    <row r="998" spans="1:14" x14ac:dyDescent="0.35">
      <c r="A998">
        <v>997</v>
      </c>
      <c r="B998" t="s">
        <v>16</v>
      </c>
      <c r="C998">
        <v>50</v>
      </c>
      <c r="D998" t="s">
        <v>25</v>
      </c>
      <c r="E998" t="s">
        <v>18</v>
      </c>
      <c r="F998">
        <v>43</v>
      </c>
      <c r="G998">
        <v>11</v>
      </c>
      <c r="H998">
        <v>0.36</v>
      </c>
      <c r="I998" t="s">
        <v>23</v>
      </c>
      <c r="J998">
        <v>0</v>
      </c>
      <c r="K998">
        <v>1</v>
      </c>
      <c r="L998">
        <v>1</v>
      </c>
      <c r="M998">
        <f>VLOOKUP(Table1[[#This Row],[subscription_type]],Plans!$A$1:$B$5,2,FALSE)</f>
        <v>14.99</v>
      </c>
      <c r="N998">
        <f t="shared" si="15"/>
        <v>14.99</v>
      </c>
    </row>
    <row r="999" spans="1:14" x14ac:dyDescent="0.35">
      <c r="A999">
        <v>998</v>
      </c>
      <c r="B999" t="s">
        <v>16</v>
      </c>
      <c r="C999">
        <v>45</v>
      </c>
      <c r="D999" t="s">
        <v>27</v>
      </c>
      <c r="E999" t="s">
        <v>22</v>
      </c>
      <c r="F999">
        <v>56</v>
      </c>
      <c r="G999">
        <v>14</v>
      </c>
      <c r="H999">
        <v>0.44</v>
      </c>
      <c r="I999" t="s">
        <v>15</v>
      </c>
      <c r="J999">
        <v>0</v>
      </c>
      <c r="K999">
        <v>1</v>
      </c>
      <c r="L999">
        <v>1</v>
      </c>
      <c r="M999">
        <f>VLOOKUP(Table1[[#This Row],[subscription_type]],Plans!$A$1:$B$5,2,FALSE)</f>
        <v>9.99</v>
      </c>
      <c r="N999">
        <f t="shared" si="15"/>
        <v>9.99</v>
      </c>
    </row>
    <row r="1000" spans="1:14" x14ac:dyDescent="0.35">
      <c r="A1000">
        <v>999</v>
      </c>
      <c r="B1000" t="s">
        <v>20</v>
      </c>
      <c r="C1000">
        <v>56</v>
      </c>
      <c r="D1000" t="s">
        <v>27</v>
      </c>
      <c r="E1000" t="s">
        <v>24</v>
      </c>
      <c r="F1000">
        <v>56</v>
      </c>
      <c r="G1000">
        <v>54</v>
      </c>
      <c r="H1000">
        <v>0.54</v>
      </c>
      <c r="I1000" t="s">
        <v>19</v>
      </c>
      <c r="J1000">
        <v>0</v>
      </c>
      <c r="K1000">
        <v>1</v>
      </c>
      <c r="L1000">
        <v>1</v>
      </c>
      <c r="M1000">
        <f>VLOOKUP(Table1[[#This Row],[subscription_type]],Plans!$A$1:$B$5,2,FALSE)</f>
        <v>4.99</v>
      </c>
      <c r="N1000">
        <f t="shared" si="15"/>
        <v>4.99</v>
      </c>
    </row>
    <row r="1001" spans="1:14" x14ac:dyDescent="0.35">
      <c r="A1001">
        <v>1000</v>
      </c>
      <c r="B1001" t="s">
        <v>20</v>
      </c>
      <c r="C1001">
        <v>18</v>
      </c>
      <c r="D1001" t="s">
        <v>25</v>
      </c>
      <c r="E1001" t="s">
        <v>24</v>
      </c>
      <c r="F1001">
        <v>174</v>
      </c>
      <c r="G1001">
        <v>41</v>
      </c>
      <c r="H1001">
        <v>0.46</v>
      </c>
      <c r="I1001" t="s">
        <v>15</v>
      </c>
      <c r="J1001">
        <v>0</v>
      </c>
      <c r="K1001">
        <v>1</v>
      </c>
      <c r="L1001">
        <v>0</v>
      </c>
      <c r="M1001">
        <f>VLOOKUP(Table1[[#This Row],[subscription_type]],Plans!$A$1:$B$5,2,FALSE)</f>
        <v>4.99</v>
      </c>
      <c r="N1001">
        <f t="shared" si="15"/>
        <v>0</v>
      </c>
    </row>
    <row r="1002" spans="1:14" x14ac:dyDescent="0.35">
      <c r="A1002">
        <v>1001</v>
      </c>
      <c r="B1002" t="s">
        <v>12</v>
      </c>
      <c r="C1002">
        <v>31</v>
      </c>
      <c r="D1002" t="s">
        <v>27</v>
      </c>
      <c r="E1002" t="s">
        <v>22</v>
      </c>
      <c r="F1002">
        <v>292</v>
      </c>
      <c r="G1002">
        <v>54</v>
      </c>
      <c r="H1002">
        <v>0.26</v>
      </c>
      <c r="I1002" t="s">
        <v>23</v>
      </c>
      <c r="J1002">
        <v>0</v>
      </c>
      <c r="K1002">
        <v>1</v>
      </c>
      <c r="L1002">
        <v>0</v>
      </c>
      <c r="M1002">
        <f>VLOOKUP(Table1[[#This Row],[subscription_type]],Plans!$A$1:$B$5,2,FALSE)</f>
        <v>9.99</v>
      </c>
      <c r="N1002">
        <f t="shared" si="15"/>
        <v>0</v>
      </c>
    </row>
    <row r="1003" spans="1:14" x14ac:dyDescent="0.35">
      <c r="A1003">
        <v>1002</v>
      </c>
      <c r="B1003" t="s">
        <v>16</v>
      </c>
      <c r="C1003">
        <v>46</v>
      </c>
      <c r="D1003" t="s">
        <v>27</v>
      </c>
      <c r="E1003" t="s">
        <v>24</v>
      </c>
      <c r="F1003">
        <v>216</v>
      </c>
      <c r="G1003">
        <v>74</v>
      </c>
      <c r="H1003">
        <v>0.25</v>
      </c>
      <c r="I1003" t="s">
        <v>23</v>
      </c>
      <c r="J1003">
        <v>0</v>
      </c>
      <c r="K1003">
        <v>1</v>
      </c>
      <c r="L1003">
        <v>0</v>
      </c>
      <c r="M1003">
        <f>VLOOKUP(Table1[[#This Row],[subscription_type]],Plans!$A$1:$B$5,2,FALSE)</f>
        <v>4.99</v>
      </c>
      <c r="N1003">
        <f t="shared" si="15"/>
        <v>0</v>
      </c>
    </row>
    <row r="1004" spans="1:14" x14ac:dyDescent="0.35">
      <c r="A1004">
        <v>1003</v>
      </c>
      <c r="B1004" t="s">
        <v>20</v>
      </c>
      <c r="C1004">
        <v>18</v>
      </c>
      <c r="D1004" t="s">
        <v>29</v>
      </c>
      <c r="E1004" t="s">
        <v>24</v>
      </c>
      <c r="F1004">
        <v>272</v>
      </c>
      <c r="G1004">
        <v>21</v>
      </c>
      <c r="H1004">
        <v>0.56999999999999995</v>
      </c>
      <c r="I1004" t="s">
        <v>19</v>
      </c>
      <c r="J1004">
        <v>0</v>
      </c>
      <c r="K1004">
        <v>1</v>
      </c>
      <c r="L1004">
        <v>0</v>
      </c>
      <c r="M1004">
        <f>VLOOKUP(Table1[[#This Row],[subscription_type]],Plans!$A$1:$B$5,2,FALSE)</f>
        <v>4.99</v>
      </c>
      <c r="N1004">
        <f t="shared" si="15"/>
        <v>0</v>
      </c>
    </row>
    <row r="1005" spans="1:14" x14ac:dyDescent="0.35">
      <c r="A1005">
        <v>1004</v>
      </c>
      <c r="B1005" t="s">
        <v>12</v>
      </c>
      <c r="C1005">
        <v>25</v>
      </c>
      <c r="D1005" t="s">
        <v>13</v>
      </c>
      <c r="E1005" t="s">
        <v>14</v>
      </c>
      <c r="F1005">
        <v>31</v>
      </c>
      <c r="G1005">
        <v>15</v>
      </c>
      <c r="H1005">
        <v>0.01</v>
      </c>
      <c r="I1005" t="s">
        <v>23</v>
      </c>
      <c r="J1005">
        <v>38</v>
      </c>
      <c r="K1005">
        <v>0</v>
      </c>
      <c r="L1005">
        <v>0</v>
      </c>
      <c r="M1005">
        <f>VLOOKUP(Table1[[#This Row],[subscription_type]],Plans!$A$1:$B$5,2,FALSE)</f>
        <v>0</v>
      </c>
      <c r="N1005">
        <f t="shared" si="15"/>
        <v>0</v>
      </c>
    </row>
    <row r="1006" spans="1:14" x14ac:dyDescent="0.35">
      <c r="A1006">
        <v>1005</v>
      </c>
      <c r="B1006" t="s">
        <v>12</v>
      </c>
      <c r="C1006">
        <v>22</v>
      </c>
      <c r="D1006" t="s">
        <v>27</v>
      </c>
      <c r="E1006" t="s">
        <v>24</v>
      </c>
      <c r="F1006">
        <v>16</v>
      </c>
      <c r="G1006">
        <v>24</v>
      </c>
      <c r="H1006">
        <v>0.36</v>
      </c>
      <c r="I1006" t="s">
        <v>23</v>
      </c>
      <c r="J1006">
        <v>0</v>
      </c>
      <c r="K1006">
        <v>1</v>
      </c>
      <c r="L1006">
        <v>1</v>
      </c>
      <c r="M1006">
        <f>VLOOKUP(Table1[[#This Row],[subscription_type]],Plans!$A$1:$B$5,2,FALSE)</f>
        <v>4.99</v>
      </c>
      <c r="N1006">
        <f t="shared" si="15"/>
        <v>4.99</v>
      </c>
    </row>
    <row r="1007" spans="1:14" x14ac:dyDescent="0.35">
      <c r="A1007">
        <v>1006</v>
      </c>
      <c r="B1007" t="s">
        <v>16</v>
      </c>
      <c r="C1007">
        <v>19</v>
      </c>
      <c r="D1007" t="s">
        <v>26</v>
      </c>
      <c r="E1007" t="s">
        <v>18</v>
      </c>
      <c r="F1007">
        <v>68</v>
      </c>
      <c r="G1007">
        <v>90</v>
      </c>
      <c r="H1007">
        <v>0</v>
      </c>
      <c r="I1007" t="s">
        <v>23</v>
      </c>
      <c r="J1007">
        <v>0</v>
      </c>
      <c r="K1007">
        <v>1</v>
      </c>
      <c r="L1007">
        <v>0</v>
      </c>
      <c r="M1007">
        <f>VLOOKUP(Table1[[#This Row],[subscription_type]],Plans!$A$1:$B$5,2,FALSE)</f>
        <v>14.99</v>
      </c>
      <c r="N1007">
        <f t="shared" si="15"/>
        <v>0</v>
      </c>
    </row>
    <row r="1008" spans="1:14" x14ac:dyDescent="0.35">
      <c r="A1008">
        <v>1007</v>
      </c>
      <c r="B1008" t="s">
        <v>12</v>
      </c>
      <c r="C1008">
        <v>18</v>
      </c>
      <c r="D1008" t="s">
        <v>26</v>
      </c>
      <c r="E1008" t="s">
        <v>24</v>
      </c>
      <c r="F1008">
        <v>255</v>
      </c>
      <c r="G1008">
        <v>68</v>
      </c>
      <c r="H1008">
        <v>0.19</v>
      </c>
      <c r="I1008" t="s">
        <v>19</v>
      </c>
      <c r="J1008">
        <v>0</v>
      </c>
      <c r="K1008">
        <v>1</v>
      </c>
      <c r="L1008">
        <v>0</v>
      </c>
      <c r="M1008">
        <f>VLOOKUP(Table1[[#This Row],[subscription_type]],Plans!$A$1:$B$5,2,FALSE)</f>
        <v>4.99</v>
      </c>
      <c r="N1008">
        <f t="shared" si="15"/>
        <v>0</v>
      </c>
    </row>
    <row r="1009" spans="1:14" x14ac:dyDescent="0.35">
      <c r="A1009">
        <v>1008</v>
      </c>
      <c r="B1009" t="s">
        <v>16</v>
      </c>
      <c r="C1009">
        <v>49</v>
      </c>
      <c r="D1009" t="s">
        <v>26</v>
      </c>
      <c r="E1009" t="s">
        <v>22</v>
      </c>
      <c r="F1009">
        <v>137</v>
      </c>
      <c r="G1009">
        <v>43</v>
      </c>
      <c r="H1009">
        <v>0.31</v>
      </c>
      <c r="I1009" t="s">
        <v>15</v>
      </c>
      <c r="J1009">
        <v>0</v>
      </c>
      <c r="K1009">
        <v>1</v>
      </c>
      <c r="L1009">
        <v>0</v>
      </c>
      <c r="M1009">
        <f>VLOOKUP(Table1[[#This Row],[subscription_type]],Plans!$A$1:$B$5,2,FALSE)</f>
        <v>9.99</v>
      </c>
      <c r="N1009">
        <f t="shared" si="15"/>
        <v>0</v>
      </c>
    </row>
    <row r="1010" spans="1:14" x14ac:dyDescent="0.35">
      <c r="A1010">
        <v>1009</v>
      </c>
      <c r="B1010" t="s">
        <v>12</v>
      </c>
      <c r="C1010">
        <v>59</v>
      </c>
      <c r="D1010" t="s">
        <v>29</v>
      </c>
      <c r="E1010" t="s">
        <v>18</v>
      </c>
      <c r="F1010">
        <v>86</v>
      </c>
      <c r="G1010">
        <v>17</v>
      </c>
      <c r="H1010">
        <v>0.12</v>
      </c>
      <c r="I1010" t="s">
        <v>23</v>
      </c>
      <c r="J1010">
        <v>0</v>
      </c>
      <c r="K1010">
        <v>1</v>
      </c>
      <c r="L1010">
        <v>1</v>
      </c>
      <c r="M1010">
        <f>VLOOKUP(Table1[[#This Row],[subscription_type]],Plans!$A$1:$B$5,2,FALSE)</f>
        <v>14.99</v>
      </c>
      <c r="N1010">
        <f t="shared" si="15"/>
        <v>14.99</v>
      </c>
    </row>
    <row r="1011" spans="1:14" x14ac:dyDescent="0.35">
      <c r="A1011">
        <v>1010</v>
      </c>
      <c r="B1011" t="s">
        <v>16</v>
      </c>
      <c r="C1011">
        <v>59</v>
      </c>
      <c r="D1011" t="s">
        <v>28</v>
      </c>
      <c r="E1011" t="s">
        <v>24</v>
      </c>
      <c r="F1011">
        <v>275</v>
      </c>
      <c r="G1011">
        <v>25</v>
      </c>
      <c r="H1011">
        <v>0.6</v>
      </c>
      <c r="I1011" t="s">
        <v>19</v>
      </c>
      <c r="J1011">
        <v>0</v>
      </c>
      <c r="K1011">
        <v>1</v>
      </c>
      <c r="L1011">
        <v>1</v>
      </c>
      <c r="M1011">
        <f>VLOOKUP(Table1[[#This Row],[subscription_type]],Plans!$A$1:$B$5,2,FALSE)</f>
        <v>4.99</v>
      </c>
      <c r="N1011">
        <f t="shared" si="15"/>
        <v>4.99</v>
      </c>
    </row>
    <row r="1012" spans="1:14" x14ac:dyDescent="0.35">
      <c r="A1012">
        <v>1011</v>
      </c>
      <c r="B1012" t="s">
        <v>12</v>
      </c>
      <c r="C1012">
        <v>38</v>
      </c>
      <c r="D1012" t="s">
        <v>28</v>
      </c>
      <c r="E1012" t="s">
        <v>14</v>
      </c>
      <c r="F1012">
        <v>125</v>
      </c>
      <c r="G1012">
        <v>63</v>
      </c>
      <c r="H1012">
        <v>0.59</v>
      </c>
      <c r="I1012" t="s">
        <v>19</v>
      </c>
      <c r="J1012">
        <v>12</v>
      </c>
      <c r="K1012">
        <v>0</v>
      </c>
      <c r="L1012">
        <v>0</v>
      </c>
      <c r="M1012">
        <f>VLOOKUP(Table1[[#This Row],[subscription_type]],Plans!$A$1:$B$5,2,FALSE)</f>
        <v>0</v>
      </c>
      <c r="N1012">
        <f t="shared" si="15"/>
        <v>0</v>
      </c>
    </row>
    <row r="1013" spans="1:14" x14ac:dyDescent="0.35">
      <c r="A1013">
        <v>1012</v>
      </c>
      <c r="B1013" t="s">
        <v>16</v>
      </c>
      <c r="C1013">
        <v>43</v>
      </c>
      <c r="D1013" t="s">
        <v>21</v>
      </c>
      <c r="E1013" t="s">
        <v>18</v>
      </c>
      <c r="F1013">
        <v>26</v>
      </c>
      <c r="G1013">
        <v>68</v>
      </c>
      <c r="H1013">
        <v>0.34</v>
      </c>
      <c r="I1013" t="s">
        <v>23</v>
      </c>
      <c r="J1013">
        <v>0</v>
      </c>
      <c r="K1013">
        <v>1</v>
      </c>
      <c r="L1013">
        <v>0</v>
      </c>
      <c r="M1013">
        <f>VLOOKUP(Table1[[#This Row],[subscription_type]],Plans!$A$1:$B$5,2,FALSE)</f>
        <v>14.99</v>
      </c>
      <c r="N1013">
        <f t="shared" si="15"/>
        <v>0</v>
      </c>
    </row>
    <row r="1014" spans="1:14" x14ac:dyDescent="0.35">
      <c r="A1014">
        <v>1013</v>
      </c>
      <c r="B1014" t="s">
        <v>12</v>
      </c>
      <c r="C1014">
        <v>31</v>
      </c>
      <c r="D1014" t="s">
        <v>13</v>
      </c>
      <c r="E1014" t="s">
        <v>18</v>
      </c>
      <c r="F1014">
        <v>237</v>
      </c>
      <c r="G1014">
        <v>38</v>
      </c>
      <c r="H1014">
        <v>7.0000000000000007E-2</v>
      </c>
      <c r="I1014" t="s">
        <v>15</v>
      </c>
      <c r="J1014">
        <v>0</v>
      </c>
      <c r="K1014">
        <v>1</v>
      </c>
      <c r="L1014">
        <v>1</v>
      </c>
      <c r="M1014">
        <f>VLOOKUP(Table1[[#This Row],[subscription_type]],Plans!$A$1:$B$5,2,FALSE)</f>
        <v>14.99</v>
      </c>
      <c r="N1014">
        <f t="shared" si="15"/>
        <v>14.99</v>
      </c>
    </row>
    <row r="1015" spans="1:14" x14ac:dyDescent="0.35">
      <c r="A1015">
        <v>1014</v>
      </c>
      <c r="B1015" t="s">
        <v>16</v>
      </c>
      <c r="C1015">
        <v>28</v>
      </c>
      <c r="D1015" t="s">
        <v>17</v>
      </c>
      <c r="E1015" t="s">
        <v>18</v>
      </c>
      <c r="F1015">
        <v>258</v>
      </c>
      <c r="G1015">
        <v>20</v>
      </c>
      <c r="H1015">
        <v>0.51</v>
      </c>
      <c r="I1015" t="s">
        <v>23</v>
      </c>
      <c r="J1015">
        <v>0</v>
      </c>
      <c r="K1015">
        <v>1</v>
      </c>
      <c r="L1015">
        <v>1</v>
      </c>
      <c r="M1015">
        <f>VLOOKUP(Table1[[#This Row],[subscription_type]],Plans!$A$1:$B$5,2,FALSE)</f>
        <v>14.99</v>
      </c>
      <c r="N1015">
        <f t="shared" si="15"/>
        <v>14.99</v>
      </c>
    </row>
    <row r="1016" spans="1:14" x14ac:dyDescent="0.35">
      <c r="A1016">
        <v>1015</v>
      </c>
      <c r="B1016" t="s">
        <v>20</v>
      </c>
      <c r="C1016">
        <v>20</v>
      </c>
      <c r="D1016" t="s">
        <v>29</v>
      </c>
      <c r="E1016" t="s">
        <v>24</v>
      </c>
      <c r="F1016">
        <v>290</v>
      </c>
      <c r="G1016">
        <v>42</v>
      </c>
      <c r="H1016">
        <v>0.18</v>
      </c>
      <c r="I1016" t="s">
        <v>23</v>
      </c>
      <c r="J1016">
        <v>0</v>
      </c>
      <c r="K1016">
        <v>1</v>
      </c>
      <c r="L1016">
        <v>0</v>
      </c>
      <c r="M1016">
        <f>VLOOKUP(Table1[[#This Row],[subscription_type]],Plans!$A$1:$B$5,2,FALSE)</f>
        <v>4.99</v>
      </c>
      <c r="N1016">
        <f t="shared" si="15"/>
        <v>0</v>
      </c>
    </row>
    <row r="1017" spans="1:14" x14ac:dyDescent="0.35">
      <c r="A1017">
        <v>1016</v>
      </c>
      <c r="B1017" t="s">
        <v>16</v>
      </c>
      <c r="C1017">
        <v>22</v>
      </c>
      <c r="D1017" t="s">
        <v>25</v>
      </c>
      <c r="E1017" t="s">
        <v>14</v>
      </c>
      <c r="F1017">
        <v>29</v>
      </c>
      <c r="G1017">
        <v>35</v>
      </c>
      <c r="H1017">
        <v>0.46</v>
      </c>
      <c r="I1017" t="s">
        <v>19</v>
      </c>
      <c r="J1017">
        <v>9</v>
      </c>
      <c r="K1017">
        <v>0</v>
      </c>
      <c r="L1017">
        <v>0</v>
      </c>
      <c r="M1017">
        <f>VLOOKUP(Table1[[#This Row],[subscription_type]],Plans!$A$1:$B$5,2,FALSE)</f>
        <v>0</v>
      </c>
      <c r="N1017">
        <f t="shared" si="15"/>
        <v>0</v>
      </c>
    </row>
    <row r="1018" spans="1:14" x14ac:dyDescent="0.35">
      <c r="A1018">
        <v>1017</v>
      </c>
      <c r="B1018" t="s">
        <v>12</v>
      </c>
      <c r="C1018">
        <v>22</v>
      </c>
      <c r="D1018" t="s">
        <v>25</v>
      </c>
      <c r="E1018" t="s">
        <v>14</v>
      </c>
      <c r="F1018">
        <v>224</v>
      </c>
      <c r="G1018">
        <v>4</v>
      </c>
      <c r="H1018">
        <v>0.04</v>
      </c>
      <c r="I1018" t="s">
        <v>19</v>
      </c>
      <c r="J1018">
        <v>13</v>
      </c>
      <c r="K1018">
        <v>0</v>
      </c>
      <c r="L1018">
        <v>0</v>
      </c>
      <c r="M1018">
        <f>VLOOKUP(Table1[[#This Row],[subscription_type]],Plans!$A$1:$B$5,2,FALSE)</f>
        <v>0</v>
      </c>
      <c r="N1018">
        <f t="shared" si="15"/>
        <v>0</v>
      </c>
    </row>
    <row r="1019" spans="1:14" x14ac:dyDescent="0.35">
      <c r="A1019">
        <v>1018</v>
      </c>
      <c r="B1019" t="s">
        <v>16</v>
      </c>
      <c r="C1019">
        <v>51</v>
      </c>
      <c r="D1019" t="s">
        <v>17</v>
      </c>
      <c r="E1019" t="s">
        <v>18</v>
      </c>
      <c r="F1019">
        <v>199</v>
      </c>
      <c r="G1019">
        <v>35</v>
      </c>
      <c r="H1019">
        <v>0.51</v>
      </c>
      <c r="I1019" t="s">
        <v>23</v>
      </c>
      <c r="J1019">
        <v>0</v>
      </c>
      <c r="K1019">
        <v>1</v>
      </c>
      <c r="L1019">
        <v>0</v>
      </c>
      <c r="M1019">
        <f>VLOOKUP(Table1[[#This Row],[subscription_type]],Plans!$A$1:$B$5,2,FALSE)</f>
        <v>14.99</v>
      </c>
      <c r="N1019">
        <f t="shared" si="15"/>
        <v>0</v>
      </c>
    </row>
    <row r="1020" spans="1:14" x14ac:dyDescent="0.35">
      <c r="A1020">
        <v>1019</v>
      </c>
      <c r="B1020" t="s">
        <v>12</v>
      </c>
      <c r="C1020">
        <v>35</v>
      </c>
      <c r="D1020" t="s">
        <v>21</v>
      </c>
      <c r="E1020" t="s">
        <v>22</v>
      </c>
      <c r="F1020">
        <v>34</v>
      </c>
      <c r="G1020">
        <v>42</v>
      </c>
      <c r="H1020">
        <v>0.15</v>
      </c>
      <c r="I1020" t="s">
        <v>19</v>
      </c>
      <c r="J1020">
        <v>0</v>
      </c>
      <c r="K1020">
        <v>1</v>
      </c>
      <c r="L1020">
        <v>0</v>
      </c>
      <c r="M1020">
        <f>VLOOKUP(Table1[[#This Row],[subscription_type]],Plans!$A$1:$B$5,2,FALSE)</f>
        <v>9.99</v>
      </c>
      <c r="N1020">
        <f t="shared" si="15"/>
        <v>0</v>
      </c>
    </row>
    <row r="1021" spans="1:14" x14ac:dyDescent="0.35">
      <c r="A1021">
        <v>1020</v>
      </c>
      <c r="B1021" t="s">
        <v>16</v>
      </c>
      <c r="C1021">
        <v>34</v>
      </c>
      <c r="D1021" t="s">
        <v>28</v>
      </c>
      <c r="E1021" t="s">
        <v>24</v>
      </c>
      <c r="F1021">
        <v>73</v>
      </c>
      <c r="G1021">
        <v>58</v>
      </c>
      <c r="H1021">
        <v>0.49</v>
      </c>
      <c r="I1021" t="s">
        <v>23</v>
      </c>
      <c r="J1021">
        <v>0</v>
      </c>
      <c r="K1021">
        <v>1</v>
      </c>
      <c r="L1021">
        <v>1</v>
      </c>
      <c r="M1021">
        <f>VLOOKUP(Table1[[#This Row],[subscription_type]],Plans!$A$1:$B$5,2,FALSE)</f>
        <v>4.99</v>
      </c>
      <c r="N1021">
        <f t="shared" si="15"/>
        <v>4.99</v>
      </c>
    </row>
    <row r="1022" spans="1:14" x14ac:dyDescent="0.35">
      <c r="A1022">
        <v>1021</v>
      </c>
      <c r="B1022" t="s">
        <v>16</v>
      </c>
      <c r="C1022">
        <v>33</v>
      </c>
      <c r="D1022" t="s">
        <v>29</v>
      </c>
      <c r="E1022" t="s">
        <v>14</v>
      </c>
      <c r="F1022">
        <v>140</v>
      </c>
      <c r="G1022">
        <v>40</v>
      </c>
      <c r="H1022">
        <v>0.27</v>
      </c>
      <c r="I1022" t="s">
        <v>19</v>
      </c>
      <c r="J1022">
        <v>32</v>
      </c>
      <c r="K1022">
        <v>0</v>
      </c>
      <c r="L1022">
        <v>0</v>
      </c>
      <c r="M1022">
        <f>VLOOKUP(Table1[[#This Row],[subscription_type]],Plans!$A$1:$B$5,2,FALSE)</f>
        <v>0</v>
      </c>
      <c r="N1022">
        <f t="shared" si="15"/>
        <v>0</v>
      </c>
    </row>
    <row r="1023" spans="1:14" x14ac:dyDescent="0.35">
      <c r="A1023">
        <v>1022</v>
      </c>
      <c r="B1023" t="s">
        <v>20</v>
      </c>
      <c r="C1023">
        <v>42</v>
      </c>
      <c r="D1023" t="s">
        <v>28</v>
      </c>
      <c r="E1023" t="s">
        <v>24</v>
      </c>
      <c r="F1023">
        <v>263</v>
      </c>
      <c r="G1023">
        <v>60</v>
      </c>
      <c r="H1023">
        <v>0.02</v>
      </c>
      <c r="I1023" t="s">
        <v>19</v>
      </c>
      <c r="J1023">
        <v>0</v>
      </c>
      <c r="K1023">
        <v>1</v>
      </c>
      <c r="L1023">
        <v>1</v>
      </c>
      <c r="M1023">
        <f>VLOOKUP(Table1[[#This Row],[subscription_type]],Plans!$A$1:$B$5,2,FALSE)</f>
        <v>4.99</v>
      </c>
      <c r="N1023">
        <f t="shared" si="15"/>
        <v>4.99</v>
      </c>
    </row>
    <row r="1024" spans="1:14" x14ac:dyDescent="0.35">
      <c r="A1024">
        <v>1023</v>
      </c>
      <c r="B1024" t="s">
        <v>12</v>
      </c>
      <c r="C1024">
        <v>16</v>
      </c>
      <c r="D1024" t="s">
        <v>21</v>
      </c>
      <c r="E1024" t="s">
        <v>22</v>
      </c>
      <c r="F1024">
        <v>193</v>
      </c>
      <c r="G1024">
        <v>53</v>
      </c>
      <c r="H1024">
        <v>0.12</v>
      </c>
      <c r="I1024" t="s">
        <v>23</v>
      </c>
      <c r="J1024">
        <v>0</v>
      </c>
      <c r="K1024">
        <v>1</v>
      </c>
      <c r="L1024">
        <v>0</v>
      </c>
      <c r="M1024">
        <f>VLOOKUP(Table1[[#This Row],[subscription_type]],Plans!$A$1:$B$5,2,FALSE)</f>
        <v>9.99</v>
      </c>
      <c r="N1024">
        <f t="shared" si="15"/>
        <v>0</v>
      </c>
    </row>
    <row r="1025" spans="1:14" x14ac:dyDescent="0.35">
      <c r="A1025">
        <v>1024</v>
      </c>
      <c r="B1025" t="s">
        <v>20</v>
      </c>
      <c r="C1025">
        <v>51</v>
      </c>
      <c r="D1025" t="s">
        <v>27</v>
      </c>
      <c r="E1025" t="s">
        <v>22</v>
      </c>
      <c r="F1025">
        <v>289</v>
      </c>
      <c r="G1025">
        <v>82</v>
      </c>
      <c r="H1025">
        <v>0.35</v>
      </c>
      <c r="I1025" t="s">
        <v>23</v>
      </c>
      <c r="J1025">
        <v>0</v>
      </c>
      <c r="K1025">
        <v>1</v>
      </c>
      <c r="L1025">
        <v>0</v>
      </c>
      <c r="M1025">
        <f>VLOOKUP(Table1[[#This Row],[subscription_type]],Plans!$A$1:$B$5,2,FALSE)</f>
        <v>9.99</v>
      </c>
      <c r="N1025">
        <f t="shared" si="15"/>
        <v>0</v>
      </c>
    </row>
    <row r="1026" spans="1:14" x14ac:dyDescent="0.35">
      <c r="A1026">
        <v>1025</v>
      </c>
      <c r="B1026" t="s">
        <v>20</v>
      </c>
      <c r="C1026">
        <v>56</v>
      </c>
      <c r="D1026" t="s">
        <v>17</v>
      </c>
      <c r="E1026" t="s">
        <v>14</v>
      </c>
      <c r="F1026">
        <v>211</v>
      </c>
      <c r="G1026">
        <v>86</v>
      </c>
      <c r="H1026">
        <v>0.48</v>
      </c>
      <c r="I1026" t="s">
        <v>19</v>
      </c>
      <c r="J1026">
        <v>7</v>
      </c>
      <c r="K1026">
        <v>0</v>
      </c>
      <c r="L1026">
        <v>0</v>
      </c>
      <c r="M1026">
        <f>VLOOKUP(Table1[[#This Row],[subscription_type]],Plans!$A$1:$B$5,2,FALSE)</f>
        <v>0</v>
      </c>
      <c r="N1026">
        <f t="shared" ref="N1026:N1089" si="16">IF(L1026=1, M1026,0)</f>
        <v>0</v>
      </c>
    </row>
    <row r="1027" spans="1:14" x14ac:dyDescent="0.35">
      <c r="A1027">
        <v>1026</v>
      </c>
      <c r="B1027" t="s">
        <v>16</v>
      </c>
      <c r="C1027">
        <v>57</v>
      </c>
      <c r="D1027" t="s">
        <v>28</v>
      </c>
      <c r="E1027" t="s">
        <v>18</v>
      </c>
      <c r="F1027">
        <v>110</v>
      </c>
      <c r="G1027">
        <v>58</v>
      </c>
      <c r="H1027">
        <v>0.12</v>
      </c>
      <c r="I1027" t="s">
        <v>15</v>
      </c>
      <c r="J1027">
        <v>0</v>
      </c>
      <c r="K1027">
        <v>1</v>
      </c>
      <c r="L1027">
        <v>0</v>
      </c>
      <c r="M1027">
        <f>VLOOKUP(Table1[[#This Row],[subscription_type]],Plans!$A$1:$B$5,2,FALSE)</f>
        <v>14.99</v>
      </c>
      <c r="N1027">
        <f t="shared" si="16"/>
        <v>0</v>
      </c>
    </row>
    <row r="1028" spans="1:14" x14ac:dyDescent="0.35">
      <c r="A1028">
        <v>1027</v>
      </c>
      <c r="B1028" t="s">
        <v>16</v>
      </c>
      <c r="C1028">
        <v>21</v>
      </c>
      <c r="D1028" t="s">
        <v>28</v>
      </c>
      <c r="E1028" t="s">
        <v>18</v>
      </c>
      <c r="F1028">
        <v>52</v>
      </c>
      <c r="G1028">
        <v>32</v>
      </c>
      <c r="H1028">
        <v>0.21</v>
      </c>
      <c r="I1028" t="s">
        <v>23</v>
      </c>
      <c r="J1028">
        <v>0</v>
      </c>
      <c r="K1028">
        <v>1</v>
      </c>
      <c r="L1028">
        <v>1</v>
      </c>
      <c r="M1028">
        <f>VLOOKUP(Table1[[#This Row],[subscription_type]],Plans!$A$1:$B$5,2,FALSE)</f>
        <v>14.99</v>
      </c>
      <c r="N1028">
        <f t="shared" si="16"/>
        <v>14.99</v>
      </c>
    </row>
    <row r="1029" spans="1:14" x14ac:dyDescent="0.35">
      <c r="A1029">
        <v>1028</v>
      </c>
      <c r="B1029" t="s">
        <v>16</v>
      </c>
      <c r="C1029">
        <v>20</v>
      </c>
      <c r="D1029" t="s">
        <v>25</v>
      </c>
      <c r="E1029" t="s">
        <v>22</v>
      </c>
      <c r="F1029">
        <v>81</v>
      </c>
      <c r="G1029">
        <v>23</v>
      </c>
      <c r="H1029">
        <v>0.1</v>
      </c>
      <c r="I1029" t="s">
        <v>23</v>
      </c>
      <c r="J1029">
        <v>0</v>
      </c>
      <c r="K1029">
        <v>1</v>
      </c>
      <c r="L1029">
        <v>0</v>
      </c>
      <c r="M1029">
        <f>VLOOKUP(Table1[[#This Row],[subscription_type]],Plans!$A$1:$B$5,2,FALSE)</f>
        <v>9.99</v>
      </c>
      <c r="N1029">
        <f t="shared" si="16"/>
        <v>0</v>
      </c>
    </row>
    <row r="1030" spans="1:14" x14ac:dyDescent="0.35">
      <c r="A1030">
        <v>1029</v>
      </c>
      <c r="B1030" t="s">
        <v>12</v>
      </c>
      <c r="C1030">
        <v>53</v>
      </c>
      <c r="D1030" t="s">
        <v>13</v>
      </c>
      <c r="E1030" t="s">
        <v>22</v>
      </c>
      <c r="F1030">
        <v>237</v>
      </c>
      <c r="G1030">
        <v>18</v>
      </c>
      <c r="H1030">
        <v>0.18</v>
      </c>
      <c r="I1030" t="s">
        <v>19</v>
      </c>
      <c r="J1030">
        <v>0</v>
      </c>
      <c r="K1030">
        <v>1</v>
      </c>
      <c r="L1030">
        <v>0</v>
      </c>
      <c r="M1030">
        <f>VLOOKUP(Table1[[#This Row],[subscription_type]],Plans!$A$1:$B$5,2,FALSE)</f>
        <v>9.99</v>
      </c>
      <c r="N1030">
        <f t="shared" si="16"/>
        <v>0</v>
      </c>
    </row>
    <row r="1031" spans="1:14" x14ac:dyDescent="0.35">
      <c r="A1031">
        <v>1030</v>
      </c>
      <c r="B1031" t="s">
        <v>16</v>
      </c>
      <c r="C1031">
        <v>40</v>
      </c>
      <c r="D1031" t="s">
        <v>25</v>
      </c>
      <c r="E1031" t="s">
        <v>18</v>
      </c>
      <c r="F1031">
        <v>88</v>
      </c>
      <c r="G1031">
        <v>88</v>
      </c>
      <c r="H1031">
        <v>0.06</v>
      </c>
      <c r="I1031" t="s">
        <v>15</v>
      </c>
      <c r="J1031">
        <v>0</v>
      </c>
      <c r="K1031">
        <v>1</v>
      </c>
      <c r="L1031">
        <v>0</v>
      </c>
      <c r="M1031">
        <f>VLOOKUP(Table1[[#This Row],[subscription_type]],Plans!$A$1:$B$5,2,FALSE)</f>
        <v>14.99</v>
      </c>
      <c r="N1031">
        <f t="shared" si="16"/>
        <v>0</v>
      </c>
    </row>
    <row r="1032" spans="1:14" x14ac:dyDescent="0.35">
      <c r="A1032">
        <v>1031</v>
      </c>
      <c r="B1032" t="s">
        <v>20</v>
      </c>
      <c r="C1032">
        <v>30</v>
      </c>
      <c r="D1032" t="s">
        <v>26</v>
      </c>
      <c r="E1032" t="s">
        <v>14</v>
      </c>
      <c r="F1032">
        <v>10</v>
      </c>
      <c r="G1032">
        <v>57</v>
      </c>
      <c r="H1032">
        <v>0.05</v>
      </c>
      <c r="I1032" t="s">
        <v>19</v>
      </c>
      <c r="J1032">
        <v>5</v>
      </c>
      <c r="K1032">
        <v>0</v>
      </c>
      <c r="L1032">
        <v>0</v>
      </c>
      <c r="M1032">
        <f>VLOOKUP(Table1[[#This Row],[subscription_type]],Plans!$A$1:$B$5,2,FALSE)</f>
        <v>0</v>
      </c>
      <c r="N1032">
        <f t="shared" si="16"/>
        <v>0</v>
      </c>
    </row>
    <row r="1033" spans="1:14" x14ac:dyDescent="0.35">
      <c r="A1033">
        <v>1032</v>
      </c>
      <c r="B1033" t="s">
        <v>16</v>
      </c>
      <c r="C1033">
        <v>43</v>
      </c>
      <c r="D1033" t="s">
        <v>28</v>
      </c>
      <c r="E1033" t="s">
        <v>18</v>
      </c>
      <c r="F1033">
        <v>255</v>
      </c>
      <c r="G1033">
        <v>3</v>
      </c>
      <c r="H1033">
        <v>0.13</v>
      </c>
      <c r="I1033" t="s">
        <v>15</v>
      </c>
      <c r="J1033">
        <v>0</v>
      </c>
      <c r="K1033">
        <v>1</v>
      </c>
      <c r="L1033">
        <v>0</v>
      </c>
      <c r="M1033">
        <f>VLOOKUP(Table1[[#This Row],[subscription_type]],Plans!$A$1:$B$5,2,FALSE)</f>
        <v>14.99</v>
      </c>
      <c r="N1033">
        <f t="shared" si="16"/>
        <v>0</v>
      </c>
    </row>
    <row r="1034" spans="1:14" x14ac:dyDescent="0.35">
      <c r="A1034">
        <v>1033</v>
      </c>
      <c r="B1034" t="s">
        <v>16</v>
      </c>
      <c r="C1034">
        <v>53</v>
      </c>
      <c r="D1034" t="s">
        <v>13</v>
      </c>
      <c r="E1034" t="s">
        <v>18</v>
      </c>
      <c r="F1034">
        <v>276</v>
      </c>
      <c r="G1034">
        <v>4</v>
      </c>
      <c r="H1034">
        <v>0.49</v>
      </c>
      <c r="I1034" t="s">
        <v>19</v>
      </c>
      <c r="J1034">
        <v>0</v>
      </c>
      <c r="K1034">
        <v>1</v>
      </c>
      <c r="L1034">
        <v>0</v>
      </c>
      <c r="M1034">
        <f>VLOOKUP(Table1[[#This Row],[subscription_type]],Plans!$A$1:$B$5,2,FALSE)</f>
        <v>14.99</v>
      </c>
      <c r="N1034">
        <f t="shared" si="16"/>
        <v>0</v>
      </c>
    </row>
    <row r="1035" spans="1:14" x14ac:dyDescent="0.35">
      <c r="A1035">
        <v>1034</v>
      </c>
      <c r="B1035" t="s">
        <v>16</v>
      </c>
      <c r="C1035">
        <v>53</v>
      </c>
      <c r="D1035" t="s">
        <v>17</v>
      </c>
      <c r="E1035" t="s">
        <v>14</v>
      </c>
      <c r="F1035">
        <v>291</v>
      </c>
      <c r="G1035">
        <v>45</v>
      </c>
      <c r="H1035">
        <v>0.35</v>
      </c>
      <c r="I1035" t="s">
        <v>19</v>
      </c>
      <c r="J1035">
        <v>10</v>
      </c>
      <c r="K1035">
        <v>0</v>
      </c>
      <c r="L1035">
        <v>0</v>
      </c>
      <c r="M1035">
        <f>VLOOKUP(Table1[[#This Row],[subscription_type]],Plans!$A$1:$B$5,2,FALSE)</f>
        <v>0</v>
      </c>
      <c r="N1035">
        <f t="shared" si="16"/>
        <v>0</v>
      </c>
    </row>
    <row r="1036" spans="1:14" x14ac:dyDescent="0.35">
      <c r="A1036">
        <v>1035</v>
      </c>
      <c r="B1036" t="s">
        <v>16</v>
      </c>
      <c r="C1036">
        <v>52</v>
      </c>
      <c r="D1036" t="s">
        <v>21</v>
      </c>
      <c r="E1036" t="s">
        <v>22</v>
      </c>
      <c r="F1036">
        <v>272</v>
      </c>
      <c r="G1036">
        <v>53</v>
      </c>
      <c r="H1036">
        <v>0.45</v>
      </c>
      <c r="I1036" t="s">
        <v>19</v>
      </c>
      <c r="J1036">
        <v>0</v>
      </c>
      <c r="K1036">
        <v>1</v>
      </c>
      <c r="L1036">
        <v>0</v>
      </c>
      <c r="M1036">
        <f>VLOOKUP(Table1[[#This Row],[subscription_type]],Plans!$A$1:$B$5,2,FALSE)</f>
        <v>9.99</v>
      </c>
      <c r="N1036">
        <f t="shared" si="16"/>
        <v>0</v>
      </c>
    </row>
    <row r="1037" spans="1:14" x14ac:dyDescent="0.35">
      <c r="A1037">
        <v>1036</v>
      </c>
      <c r="B1037" t="s">
        <v>20</v>
      </c>
      <c r="C1037">
        <v>34</v>
      </c>
      <c r="D1037" t="s">
        <v>26</v>
      </c>
      <c r="E1037" t="s">
        <v>14</v>
      </c>
      <c r="F1037">
        <v>254</v>
      </c>
      <c r="G1037">
        <v>74</v>
      </c>
      <c r="H1037">
        <v>0.6</v>
      </c>
      <c r="I1037" t="s">
        <v>23</v>
      </c>
      <c r="J1037">
        <v>34</v>
      </c>
      <c r="K1037">
        <v>0</v>
      </c>
      <c r="L1037">
        <v>0</v>
      </c>
      <c r="M1037">
        <f>VLOOKUP(Table1[[#This Row],[subscription_type]],Plans!$A$1:$B$5,2,FALSE)</f>
        <v>0</v>
      </c>
      <c r="N1037">
        <f t="shared" si="16"/>
        <v>0</v>
      </c>
    </row>
    <row r="1038" spans="1:14" x14ac:dyDescent="0.35">
      <c r="A1038">
        <v>1037</v>
      </c>
      <c r="B1038" t="s">
        <v>20</v>
      </c>
      <c r="C1038">
        <v>32</v>
      </c>
      <c r="D1038" t="s">
        <v>27</v>
      </c>
      <c r="E1038" t="s">
        <v>14</v>
      </c>
      <c r="F1038">
        <v>78</v>
      </c>
      <c r="G1038">
        <v>95</v>
      </c>
      <c r="H1038">
        <v>0.43</v>
      </c>
      <c r="I1038" t="s">
        <v>15</v>
      </c>
      <c r="J1038">
        <v>26</v>
      </c>
      <c r="K1038">
        <v>0</v>
      </c>
      <c r="L1038">
        <v>0</v>
      </c>
      <c r="M1038">
        <f>VLOOKUP(Table1[[#This Row],[subscription_type]],Plans!$A$1:$B$5,2,FALSE)</f>
        <v>0</v>
      </c>
      <c r="N1038">
        <f t="shared" si="16"/>
        <v>0</v>
      </c>
    </row>
    <row r="1039" spans="1:14" x14ac:dyDescent="0.35">
      <c r="A1039">
        <v>1038</v>
      </c>
      <c r="B1039" t="s">
        <v>16</v>
      </c>
      <c r="C1039">
        <v>22</v>
      </c>
      <c r="D1039" t="s">
        <v>13</v>
      </c>
      <c r="E1039" t="s">
        <v>24</v>
      </c>
      <c r="F1039">
        <v>78</v>
      </c>
      <c r="G1039">
        <v>9</v>
      </c>
      <c r="H1039">
        <v>0.21</v>
      </c>
      <c r="I1039" t="s">
        <v>15</v>
      </c>
      <c r="J1039">
        <v>0</v>
      </c>
      <c r="K1039">
        <v>1</v>
      </c>
      <c r="L1039">
        <v>0</v>
      </c>
      <c r="M1039">
        <f>VLOOKUP(Table1[[#This Row],[subscription_type]],Plans!$A$1:$B$5,2,FALSE)</f>
        <v>4.99</v>
      </c>
      <c r="N1039">
        <f t="shared" si="16"/>
        <v>0</v>
      </c>
    </row>
    <row r="1040" spans="1:14" x14ac:dyDescent="0.35">
      <c r="A1040">
        <v>1039</v>
      </c>
      <c r="B1040" t="s">
        <v>20</v>
      </c>
      <c r="C1040">
        <v>29</v>
      </c>
      <c r="D1040" t="s">
        <v>25</v>
      </c>
      <c r="E1040" t="s">
        <v>24</v>
      </c>
      <c r="F1040">
        <v>228</v>
      </c>
      <c r="G1040">
        <v>27</v>
      </c>
      <c r="H1040">
        <v>0.42</v>
      </c>
      <c r="I1040" t="s">
        <v>15</v>
      </c>
      <c r="J1040">
        <v>0</v>
      </c>
      <c r="K1040">
        <v>1</v>
      </c>
      <c r="L1040">
        <v>0</v>
      </c>
      <c r="M1040">
        <f>VLOOKUP(Table1[[#This Row],[subscription_type]],Plans!$A$1:$B$5,2,FALSE)</f>
        <v>4.99</v>
      </c>
      <c r="N1040">
        <f t="shared" si="16"/>
        <v>0</v>
      </c>
    </row>
    <row r="1041" spans="1:14" x14ac:dyDescent="0.35">
      <c r="A1041">
        <v>1040</v>
      </c>
      <c r="B1041" t="s">
        <v>12</v>
      </c>
      <c r="C1041">
        <v>52</v>
      </c>
      <c r="D1041" t="s">
        <v>13</v>
      </c>
      <c r="E1041" t="s">
        <v>22</v>
      </c>
      <c r="F1041">
        <v>38</v>
      </c>
      <c r="G1041">
        <v>92</v>
      </c>
      <c r="H1041">
        <v>0.28000000000000003</v>
      </c>
      <c r="I1041" t="s">
        <v>23</v>
      </c>
      <c r="J1041">
        <v>0</v>
      </c>
      <c r="K1041">
        <v>1</v>
      </c>
      <c r="L1041">
        <v>0</v>
      </c>
      <c r="M1041">
        <f>VLOOKUP(Table1[[#This Row],[subscription_type]],Plans!$A$1:$B$5,2,FALSE)</f>
        <v>9.99</v>
      </c>
      <c r="N1041">
        <f t="shared" si="16"/>
        <v>0</v>
      </c>
    </row>
    <row r="1042" spans="1:14" x14ac:dyDescent="0.35">
      <c r="A1042">
        <v>1041</v>
      </c>
      <c r="B1042" t="s">
        <v>12</v>
      </c>
      <c r="C1042">
        <v>32</v>
      </c>
      <c r="D1042" t="s">
        <v>25</v>
      </c>
      <c r="E1042" t="s">
        <v>18</v>
      </c>
      <c r="F1042">
        <v>131</v>
      </c>
      <c r="G1042">
        <v>41</v>
      </c>
      <c r="H1042">
        <v>0.36</v>
      </c>
      <c r="I1042" t="s">
        <v>19</v>
      </c>
      <c r="J1042">
        <v>0</v>
      </c>
      <c r="K1042">
        <v>1</v>
      </c>
      <c r="L1042">
        <v>0</v>
      </c>
      <c r="M1042">
        <f>VLOOKUP(Table1[[#This Row],[subscription_type]],Plans!$A$1:$B$5,2,FALSE)</f>
        <v>14.99</v>
      </c>
      <c r="N1042">
        <f t="shared" si="16"/>
        <v>0</v>
      </c>
    </row>
    <row r="1043" spans="1:14" x14ac:dyDescent="0.35">
      <c r="A1043">
        <v>1042</v>
      </c>
      <c r="B1043" t="s">
        <v>20</v>
      </c>
      <c r="C1043">
        <v>56</v>
      </c>
      <c r="D1043" t="s">
        <v>26</v>
      </c>
      <c r="E1043" t="s">
        <v>22</v>
      </c>
      <c r="F1043">
        <v>273</v>
      </c>
      <c r="G1043">
        <v>21</v>
      </c>
      <c r="H1043">
        <v>0.31</v>
      </c>
      <c r="I1043" t="s">
        <v>23</v>
      </c>
      <c r="J1043">
        <v>0</v>
      </c>
      <c r="K1043">
        <v>1</v>
      </c>
      <c r="L1043">
        <v>0</v>
      </c>
      <c r="M1043">
        <f>VLOOKUP(Table1[[#This Row],[subscription_type]],Plans!$A$1:$B$5,2,FALSE)</f>
        <v>9.99</v>
      </c>
      <c r="N1043">
        <f t="shared" si="16"/>
        <v>0</v>
      </c>
    </row>
    <row r="1044" spans="1:14" x14ac:dyDescent="0.35">
      <c r="A1044">
        <v>1043</v>
      </c>
      <c r="B1044" t="s">
        <v>20</v>
      </c>
      <c r="C1044">
        <v>55</v>
      </c>
      <c r="D1044" t="s">
        <v>17</v>
      </c>
      <c r="E1044" t="s">
        <v>22</v>
      </c>
      <c r="F1044">
        <v>161</v>
      </c>
      <c r="G1044">
        <v>4</v>
      </c>
      <c r="H1044">
        <v>0.03</v>
      </c>
      <c r="I1044" t="s">
        <v>15</v>
      </c>
      <c r="J1044">
        <v>0</v>
      </c>
      <c r="K1044">
        <v>1</v>
      </c>
      <c r="L1044">
        <v>0</v>
      </c>
      <c r="M1044">
        <f>VLOOKUP(Table1[[#This Row],[subscription_type]],Plans!$A$1:$B$5,2,FALSE)</f>
        <v>9.99</v>
      </c>
      <c r="N1044">
        <f t="shared" si="16"/>
        <v>0</v>
      </c>
    </row>
    <row r="1045" spans="1:14" x14ac:dyDescent="0.35">
      <c r="A1045">
        <v>1044</v>
      </c>
      <c r="B1045" t="s">
        <v>20</v>
      </c>
      <c r="C1045">
        <v>25</v>
      </c>
      <c r="D1045" t="s">
        <v>21</v>
      </c>
      <c r="E1045" t="s">
        <v>14</v>
      </c>
      <c r="F1045">
        <v>154</v>
      </c>
      <c r="G1045">
        <v>4</v>
      </c>
      <c r="H1045">
        <v>0.39</v>
      </c>
      <c r="I1045" t="s">
        <v>23</v>
      </c>
      <c r="J1045">
        <v>14</v>
      </c>
      <c r="K1045">
        <v>0</v>
      </c>
      <c r="L1045">
        <v>1</v>
      </c>
      <c r="M1045">
        <f>VLOOKUP(Table1[[#This Row],[subscription_type]],Plans!$A$1:$B$5,2,FALSE)</f>
        <v>0</v>
      </c>
      <c r="N1045">
        <f t="shared" si="16"/>
        <v>0</v>
      </c>
    </row>
    <row r="1046" spans="1:14" x14ac:dyDescent="0.35">
      <c r="A1046">
        <v>1045</v>
      </c>
      <c r="B1046" t="s">
        <v>20</v>
      </c>
      <c r="C1046">
        <v>36</v>
      </c>
      <c r="D1046" t="s">
        <v>26</v>
      </c>
      <c r="E1046" t="s">
        <v>22</v>
      </c>
      <c r="F1046">
        <v>49</v>
      </c>
      <c r="G1046">
        <v>12</v>
      </c>
      <c r="H1046">
        <v>0.5</v>
      </c>
      <c r="I1046" t="s">
        <v>15</v>
      </c>
      <c r="J1046">
        <v>0</v>
      </c>
      <c r="K1046">
        <v>1</v>
      </c>
      <c r="L1046">
        <v>0</v>
      </c>
      <c r="M1046">
        <f>VLOOKUP(Table1[[#This Row],[subscription_type]],Plans!$A$1:$B$5,2,FALSE)</f>
        <v>9.99</v>
      </c>
      <c r="N1046">
        <f t="shared" si="16"/>
        <v>0</v>
      </c>
    </row>
    <row r="1047" spans="1:14" x14ac:dyDescent="0.35">
      <c r="A1047">
        <v>1046</v>
      </c>
      <c r="B1047" t="s">
        <v>12</v>
      </c>
      <c r="C1047">
        <v>46</v>
      </c>
      <c r="D1047" t="s">
        <v>25</v>
      </c>
      <c r="E1047" t="s">
        <v>22</v>
      </c>
      <c r="F1047">
        <v>32</v>
      </c>
      <c r="G1047">
        <v>84</v>
      </c>
      <c r="H1047">
        <v>0.24</v>
      </c>
      <c r="I1047" t="s">
        <v>23</v>
      </c>
      <c r="J1047">
        <v>0</v>
      </c>
      <c r="K1047">
        <v>1</v>
      </c>
      <c r="L1047">
        <v>0</v>
      </c>
      <c r="M1047">
        <f>VLOOKUP(Table1[[#This Row],[subscription_type]],Plans!$A$1:$B$5,2,FALSE)</f>
        <v>9.99</v>
      </c>
      <c r="N1047">
        <f t="shared" si="16"/>
        <v>0</v>
      </c>
    </row>
    <row r="1048" spans="1:14" x14ac:dyDescent="0.35">
      <c r="A1048">
        <v>1047</v>
      </c>
      <c r="B1048" t="s">
        <v>20</v>
      </c>
      <c r="C1048">
        <v>25</v>
      </c>
      <c r="D1048" t="s">
        <v>17</v>
      </c>
      <c r="E1048" t="s">
        <v>24</v>
      </c>
      <c r="F1048">
        <v>83</v>
      </c>
      <c r="G1048">
        <v>34</v>
      </c>
      <c r="H1048">
        <v>0.55000000000000004</v>
      </c>
      <c r="I1048" t="s">
        <v>15</v>
      </c>
      <c r="J1048">
        <v>0</v>
      </c>
      <c r="K1048">
        <v>1</v>
      </c>
      <c r="L1048">
        <v>0</v>
      </c>
      <c r="M1048">
        <f>VLOOKUP(Table1[[#This Row],[subscription_type]],Plans!$A$1:$B$5,2,FALSE)</f>
        <v>4.99</v>
      </c>
      <c r="N1048">
        <f t="shared" si="16"/>
        <v>0</v>
      </c>
    </row>
    <row r="1049" spans="1:14" x14ac:dyDescent="0.35">
      <c r="A1049">
        <v>1048</v>
      </c>
      <c r="B1049" t="s">
        <v>20</v>
      </c>
      <c r="C1049">
        <v>58</v>
      </c>
      <c r="D1049" t="s">
        <v>28</v>
      </c>
      <c r="E1049" t="s">
        <v>14</v>
      </c>
      <c r="F1049">
        <v>59</v>
      </c>
      <c r="G1049">
        <v>26</v>
      </c>
      <c r="H1049">
        <v>0.37</v>
      </c>
      <c r="I1049" t="s">
        <v>23</v>
      </c>
      <c r="J1049">
        <v>8</v>
      </c>
      <c r="K1049">
        <v>0</v>
      </c>
      <c r="L1049">
        <v>0</v>
      </c>
      <c r="M1049">
        <f>VLOOKUP(Table1[[#This Row],[subscription_type]],Plans!$A$1:$B$5,2,FALSE)</f>
        <v>0</v>
      </c>
      <c r="N1049">
        <f t="shared" si="16"/>
        <v>0</v>
      </c>
    </row>
    <row r="1050" spans="1:14" x14ac:dyDescent="0.35">
      <c r="A1050">
        <v>1049</v>
      </c>
      <c r="B1050" t="s">
        <v>16</v>
      </c>
      <c r="C1050">
        <v>55</v>
      </c>
      <c r="D1050" t="s">
        <v>13</v>
      </c>
      <c r="E1050" t="s">
        <v>22</v>
      </c>
      <c r="F1050">
        <v>67</v>
      </c>
      <c r="G1050">
        <v>83</v>
      </c>
      <c r="H1050">
        <v>0.16</v>
      </c>
      <c r="I1050" t="s">
        <v>15</v>
      </c>
      <c r="J1050">
        <v>0</v>
      </c>
      <c r="K1050">
        <v>1</v>
      </c>
      <c r="L1050">
        <v>0</v>
      </c>
      <c r="M1050">
        <f>VLOOKUP(Table1[[#This Row],[subscription_type]],Plans!$A$1:$B$5,2,FALSE)</f>
        <v>9.99</v>
      </c>
      <c r="N1050">
        <f t="shared" si="16"/>
        <v>0</v>
      </c>
    </row>
    <row r="1051" spans="1:14" x14ac:dyDescent="0.35">
      <c r="A1051">
        <v>1050</v>
      </c>
      <c r="B1051" t="s">
        <v>16</v>
      </c>
      <c r="C1051">
        <v>16</v>
      </c>
      <c r="D1051" t="s">
        <v>21</v>
      </c>
      <c r="E1051" t="s">
        <v>14</v>
      </c>
      <c r="F1051">
        <v>280</v>
      </c>
      <c r="G1051">
        <v>56</v>
      </c>
      <c r="H1051">
        <v>0.01</v>
      </c>
      <c r="I1051" t="s">
        <v>23</v>
      </c>
      <c r="J1051">
        <v>35</v>
      </c>
      <c r="K1051">
        <v>0</v>
      </c>
      <c r="L1051">
        <v>0</v>
      </c>
      <c r="M1051">
        <f>VLOOKUP(Table1[[#This Row],[subscription_type]],Plans!$A$1:$B$5,2,FALSE)</f>
        <v>0</v>
      </c>
      <c r="N1051">
        <f t="shared" si="16"/>
        <v>0</v>
      </c>
    </row>
    <row r="1052" spans="1:14" x14ac:dyDescent="0.35">
      <c r="A1052">
        <v>1051</v>
      </c>
      <c r="B1052" t="s">
        <v>20</v>
      </c>
      <c r="C1052">
        <v>20</v>
      </c>
      <c r="D1052" t="s">
        <v>17</v>
      </c>
      <c r="E1052" t="s">
        <v>24</v>
      </c>
      <c r="F1052">
        <v>85</v>
      </c>
      <c r="G1052">
        <v>41</v>
      </c>
      <c r="H1052">
        <v>0.34</v>
      </c>
      <c r="I1052" t="s">
        <v>19</v>
      </c>
      <c r="J1052">
        <v>0</v>
      </c>
      <c r="K1052">
        <v>1</v>
      </c>
      <c r="L1052">
        <v>0</v>
      </c>
      <c r="M1052">
        <f>VLOOKUP(Table1[[#This Row],[subscription_type]],Plans!$A$1:$B$5,2,FALSE)</f>
        <v>4.99</v>
      </c>
      <c r="N1052">
        <f t="shared" si="16"/>
        <v>0</v>
      </c>
    </row>
    <row r="1053" spans="1:14" x14ac:dyDescent="0.35">
      <c r="A1053">
        <v>1052</v>
      </c>
      <c r="B1053" t="s">
        <v>12</v>
      </c>
      <c r="C1053">
        <v>33</v>
      </c>
      <c r="D1053" t="s">
        <v>21</v>
      </c>
      <c r="E1053" t="s">
        <v>18</v>
      </c>
      <c r="F1053">
        <v>169</v>
      </c>
      <c r="G1053">
        <v>6</v>
      </c>
      <c r="H1053">
        <v>0.32</v>
      </c>
      <c r="I1053" t="s">
        <v>23</v>
      </c>
      <c r="J1053">
        <v>0</v>
      </c>
      <c r="K1053">
        <v>1</v>
      </c>
      <c r="L1053">
        <v>0</v>
      </c>
      <c r="M1053">
        <f>VLOOKUP(Table1[[#This Row],[subscription_type]],Plans!$A$1:$B$5,2,FALSE)</f>
        <v>14.99</v>
      </c>
      <c r="N1053">
        <f t="shared" si="16"/>
        <v>0</v>
      </c>
    </row>
    <row r="1054" spans="1:14" x14ac:dyDescent="0.35">
      <c r="A1054">
        <v>1053</v>
      </c>
      <c r="B1054" t="s">
        <v>12</v>
      </c>
      <c r="C1054">
        <v>55</v>
      </c>
      <c r="D1054" t="s">
        <v>25</v>
      </c>
      <c r="E1054" t="s">
        <v>14</v>
      </c>
      <c r="F1054">
        <v>185</v>
      </c>
      <c r="G1054">
        <v>14</v>
      </c>
      <c r="H1054">
        <v>0.43</v>
      </c>
      <c r="I1054" t="s">
        <v>23</v>
      </c>
      <c r="J1054">
        <v>30</v>
      </c>
      <c r="K1054">
        <v>0</v>
      </c>
      <c r="L1054">
        <v>0</v>
      </c>
      <c r="M1054">
        <f>VLOOKUP(Table1[[#This Row],[subscription_type]],Plans!$A$1:$B$5,2,FALSE)</f>
        <v>0</v>
      </c>
      <c r="N1054">
        <f t="shared" si="16"/>
        <v>0</v>
      </c>
    </row>
    <row r="1055" spans="1:14" x14ac:dyDescent="0.35">
      <c r="A1055">
        <v>1054</v>
      </c>
      <c r="B1055" t="s">
        <v>20</v>
      </c>
      <c r="C1055">
        <v>40</v>
      </c>
      <c r="D1055" t="s">
        <v>13</v>
      </c>
      <c r="E1055" t="s">
        <v>14</v>
      </c>
      <c r="F1055">
        <v>37</v>
      </c>
      <c r="G1055">
        <v>71</v>
      </c>
      <c r="H1055">
        <v>0.51</v>
      </c>
      <c r="I1055" t="s">
        <v>23</v>
      </c>
      <c r="J1055">
        <v>41</v>
      </c>
      <c r="K1055">
        <v>0</v>
      </c>
      <c r="L1055">
        <v>1</v>
      </c>
      <c r="M1055">
        <f>VLOOKUP(Table1[[#This Row],[subscription_type]],Plans!$A$1:$B$5,2,FALSE)</f>
        <v>0</v>
      </c>
      <c r="N1055">
        <f t="shared" si="16"/>
        <v>0</v>
      </c>
    </row>
    <row r="1056" spans="1:14" x14ac:dyDescent="0.35">
      <c r="A1056">
        <v>1055</v>
      </c>
      <c r="B1056" t="s">
        <v>16</v>
      </c>
      <c r="C1056">
        <v>49</v>
      </c>
      <c r="D1056" t="s">
        <v>21</v>
      </c>
      <c r="E1056" t="s">
        <v>24</v>
      </c>
      <c r="F1056">
        <v>153</v>
      </c>
      <c r="G1056">
        <v>88</v>
      </c>
      <c r="H1056">
        <v>0.49</v>
      </c>
      <c r="I1056" t="s">
        <v>19</v>
      </c>
      <c r="J1056">
        <v>0</v>
      </c>
      <c r="K1056">
        <v>1</v>
      </c>
      <c r="L1056">
        <v>1</v>
      </c>
      <c r="M1056">
        <f>VLOOKUP(Table1[[#This Row],[subscription_type]],Plans!$A$1:$B$5,2,FALSE)</f>
        <v>4.99</v>
      </c>
      <c r="N1056">
        <f t="shared" si="16"/>
        <v>4.99</v>
      </c>
    </row>
    <row r="1057" spans="1:14" x14ac:dyDescent="0.35">
      <c r="A1057">
        <v>1056</v>
      </c>
      <c r="B1057" t="s">
        <v>12</v>
      </c>
      <c r="C1057">
        <v>32</v>
      </c>
      <c r="D1057" t="s">
        <v>17</v>
      </c>
      <c r="E1057" t="s">
        <v>18</v>
      </c>
      <c r="F1057">
        <v>221</v>
      </c>
      <c r="G1057">
        <v>96</v>
      </c>
      <c r="H1057">
        <v>0.37</v>
      </c>
      <c r="I1057" t="s">
        <v>23</v>
      </c>
      <c r="J1057">
        <v>0</v>
      </c>
      <c r="K1057">
        <v>1</v>
      </c>
      <c r="L1057">
        <v>0</v>
      </c>
      <c r="M1057">
        <f>VLOOKUP(Table1[[#This Row],[subscription_type]],Plans!$A$1:$B$5,2,FALSE)</f>
        <v>14.99</v>
      </c>
      <c r="N1057">
        <f t="shared" si="16"/>
        <v>0</v>
      </c>
    </row>
    <row r="1058" spans="1:14" x14ac:dyDescent="0.35">
      <c r="A1058">
        <v>1057</v>
      </c>
      <c r="B1058" t="s">
        <v>16</v>
      </c>
      <c r="C1058">
        <v>56</v>
      </c>
      <c r="D1058" t="s">
        <v>21</v>
      </c>
      <c r="E1058" t="s">
        <v>14</v>
      </c>
      <c r="F1058">
        <v>169</v>
      </c>
      <c r="G1058">
        <v>90</v>
      </c>
      <c r="H1058">
        <v>0.59</v>
      </c>
      <c r="I1058" t="s">
        <v>15</v>
      </c>
      <c r="J1058">
        <v>33</v>
      </c>
      <c r="K1058">
        <v>0</v>
      </c>
      <c r="L1058">
        <v>0</v>
      </c>
      <c r="M1058">
        <f>VLOOKUP(Table1[[#This Row],[subscription_type]],Plans!$A$1:$B$5,2,FALSE)</f>
        <v>0</v>
      </c>
      <c r="N1058">
        <f t="shared" si="16"/>
        <v>0</v>
      </c>
    </row>
    <row r="1059" spans="1:14" x14ac:dyDescent="0.35">
      <c r="A1059">
        <v>1058</v>
      </c>
      <c r="B1059" t="s">
        <v>20</v>
      </c>
      <c r="C1059">
        <v>54</v>
      </c>
      <c r="D1059" t="s">
        <v>25</v>
      </c>
      <c r="E1059" t="s">
        <v>14</v>
      </c>
      <c r="F1059">
        <v>79</v>
      </c>
      <c r="G1059">
        <v>14</v>
      </c>
      <c r="H1059">
        <v>0.34</v>
      </c>
      <c r="I1059" t="s">
        <v>15</v>
      </c>
      <c r="J1059">
        <v>40</v>
      </c>
      <c r="K1059">
        <v>0</v>
      </c>
      <c r="L1059">
        <v>0</v>
      </c>
      <c r="M1059">
        <f>VLOOKUP(Table1[[#This Row],[subscription_type]],Plans!$A$1:$B$5,2,FALSE)</f>
        <v>0</v>
      </c>
      <c r="N1059">
        <f t="shared" si="16"/>
        <v>0</v>
      </c>
    </row>
    <row r="1060" spans="1:14" x14ac:dyDescent="0.35">
      <c r="A1060">
        <v>1059</v>
      </c>
      <c r="B1060" t="s">
        <v>20</v>
      </c>
      <c r="C1060">
        <v>21</v>
      </c>
      <c r="D1060" t="s">
        <v>26</v>
      </c>
      <c r="E1060" t="s">
        <v>24</v>
      </c>
      <c r="F1060">
        <v>44</v>
      </c>
      <c r="G1060">
        <v>41</v>
      </c>
      <c r="H1060">
        <v>0.31</v>
      </c>
      <c r="I1060" t="s">
        <v>23</v>
      </c>
      <c r="J1060">
        <v>0</v>
      </c>
      <c r="K1060">
        <v>1</v>
      </c>
      <c r="L1060">
        <v>1</v>
      </c>
      <c r="M1060">
        <f>VLOOKUP(Table1[[#This Row],[subscription_type]],Plans!$A$1:$B$5,2,FALSE)</f>
        <v>4.99</v>
      </c>
      <c r="N1060">
        <f t="shared" si="16"/>
        <v>4.99</v>
      </c>
    </row>
    <row r="1061" spans="1:14" x14ac:dyDescent="0.35">
      <c r="A1061">
        <v>1060</v>
      </c>
      <c r="B1061" t="s">
        <v>12</v>
      </c>
      <c r="C1061">
        <v>22</v>
      </c>
      <c r="D1061" t="s">
        <v>27</v>
      </c>
      <c r="E1061" t="s">
        <v>18</v>
      </c>
      <c r="F1061">
        <v>204</v>
      </c>
      <c r="G1061">
        <v>19</v>
      </c>
      <c r="H1061">
        <v>0.42</v>
      </c>
      <c r="I1061" t="s">
        <v>19</v>
      </c>
      <c r="J1061">
        <v>0</v>
      </c>
      <c r="K1061">
        <v>1</v>
      </c>
      <c r="L1061">
        <v>0</v>
      </c>
      <c r="M1061">
        <f>VLOOKUP(Table1[[#This Row],[subscription_type]],Plans!$A$1:$B$5,2,FALSE)</f>
        <v>14.99</v>
      </c>
      <c r="N1061">
        <f t="shared" si="16"/>
        <v>0</v>
      </c>
    </row>
    <row r="1062" spans="1:14" x14ac:dyDescent="0.35">
      <c r="A1062">
        <v>1061</v>
      </c>
      <c r="B1062" t="s">
        <v>20</v>
      </c>
      <c r="C1062">
        <v>24</v>
      </c>
      <c r="D1062" t="s">
        <v>21</v>
      </c>
      <c r="E1062" t="s">
        <v>18</v>
      </c>
      <c r="F1062">
        <v>181</v>
      </c>
      <c r="G1062">
        <v>75</v>
      </c>
      <c r="H1062">
        <v>0.57999999999999996</v>
      </c>
      <c r="I1062" t="s">
        <v>23</v>
      </c>
      <c r="J1062">
        <v>0</v>
      </c>
      <c r="K1062">
        <v>1</v>
      </c>
      <c r="L1062">
        <v>0</v>
      </c>
      <c r="M1062">
        <f>VLOOKUP(Table1[[#This Row],[subscription_type]],Plans!$A$1:$B$5,2,FALSE)</f>
        <v>14.99</v>
      </c>
      <c r="N1062">
        <f t="shared" si="16"/>
        <v>0</v>
      </c>
    </row>
    <row r="1063" spans="1:14" x14ac:dyDescent="0.35">
      <c r="A1063">
        <v>1062</v>
      </c>
      <c r="B1063" t="s">
        <v>12</v>
      </c>
      <c r="C1063">
        <v>28</v>
      </c>
      <c r="D1063" t="s">
        <v>25</v>
      </c>
      <c r="E1063" t="s">
        <v>24</v>
      </c>
      <c r="F1063">
        <v>57</v>
      </c>
      <c r="G1063">
        <v>12</v>
      </c>
      <c r="H1063">
        <v>0.14000000000000001</v>
      </c>
      <c r="I1063" t="s">
        <v>23</v>
      </c>
      <c r="J1063">
        <v>0</v>
      </c>
      <c r="K1063">
        <v>1</v>
      </c>
      <c r="L1063">
        <v>0</v>
      </c>
      <c r="M1063">
        <f>VLOOKUP(Table1[[#This Row],[subscription_type]],Plans!$A$1:$B$5,2,FALSE)</f>
        <v>4.99</v>
      </c>
      <c r="N1063">
        <f t="shared" si="16"/>
        <v>0</v>
      </c>
    </row>
    <row r="1064" spans="1:14" x14ac:dyDescent="0.35">
      <c r="A1064">
        <v>1063</v>
      </c>
      <c r="B1064" t="s">
        <v>12</v>
      </c>
      <c r="C1064">
        <v>54</v>
      </c>
      <c r="D1064" t="s">
        <v>28</v>
      </c>
      <c r="E1064" t="s">
        <v>24</v>
      </c>
      <c r="F1064">
        <v>53</v>
      </c>
      <c r="G1064">
        <v>23</v>
      </c>
      <c r="H1064">
        <v>0.44</v>
      </c>
      <c r="I1064" t="s">
        <v>23</v>
      </c>
      <c r="J1064">
        <v>0</v>
      </c>
      <c r="K1064">
        <v>1</v>
      </c>
      <c r="L1064">
        <v>0</v>
      </c>
      <c r="M1064">
        <f>VLOOKUP(Table1[[#This Row],[subscription_type]],Plans!$A$1:$B$5,2,FALSE)</f>
        <v>4.99</v>
      </c>
      <c r="N1064">
        <f t="shared" si="16"/>
        <v>0</v>
      </c>
    </row>
    <row r="1065" spans="1:14" x14ac:dyDescent="0.35">
      <c r="A1065">
        <v>1064</v>
      </c>
      <c r="B1065" t="s">
        <v>12</v>
      </c>
      <c r="C1065">
        <v>28</v>
      </c>
      <c r="D1065" t="s">
        <v>25</v>
      </c>
      <c r="E1065" t="s">
        <v>22</v>
      </c>
      <c r="F1065">
        <v>201</v>
      </c>
      <c r="G1065">
        <v>54</v>
      </c>
      <c r="H1065">
        <v>0.41</v>
      </c>
      <c r="I1065" t="s">
        <v>23</v>
      </c>
      <c r="J1065">
        <v>0</v>
      </c>
      <c r="K1065">
        <v>1</v>
      </c>
      <c r="L1065">
        <v>1</v>
      </c>
      <c r="M1065">
        <f>VLOOKUP(Table1[[#This Row],[subscription_type]],Plans!$A$1:$B$5,2,FALSE)</f>
        <v>9.99</v>
      </c>
      <c r="N1065">
        <f t="shared" si="16"/>
        <v>9.99</v>
      </c>
    </row>
    <row r="1066" spans="1:14" x14ac:dyDescent="0.35">
      <c r="A1066">
        <v>1065</v>
      </c>
      <c r="B1066" t="s">
        <v>20</v>
      </c>
      <c r="C1066">
        <v>49</v>
      </c>
      <c r="D1066" t="s">
        <v>25</v>
      </c>
      <c r="E1066" t="s">
        <v>22</v>
      </c>
      <c r="F1066">
        <v>74</v>
      </c>
      <c r="G1066">
        <v>27</v>
      </c>
      <c r="H1066">
        <v>0.22</v>
      </c>
      <c r="I1066" t="s">
        <v>23</v>
      </c>
      <c r="J1066">
        <v>0</v>
      </c>
      <c r="K1066">
        <v>1</v>
      </c>
      <c r="L1066">
        <v>0</v>
      </c>
      <c r="M1066">
        <f>VLOOKUP(Table1[[#This Row],[subscription_type]],Plans!$A$1:$B$5,2,FALSE)</f>
        <v>9.99</v>
      </c>
      <c r="N1066">
        <f t="shared" si="16"/>
        <v>0</v>
      </c>
    </row>
    <row r="1067" spans="1:14" x14ac:dyDescent="0.35">
      <c r="A1067">
        <v>1066</v>
      </c>
      <c r="B1067" t="s">
        <v>20</v>
      </c>
      <c r="C1067">
        <v>26</v>
      </c>
      <c r="D1067" t="s">
        <v>27</v>
      </c>
      <c r="E1067" t="s">
        <v>14</v>
      </c>
      <c r="F1067">
        <v>95</v>
      </c>
      <c r="G1067">
        <v>50</v>
      </c>
      <c r="H1067">
        <v>0.26</v>
      </c>
      <c r="I1067" t="s">
        <v>23</v>
      </c>
      <c r="J1067">
        <v>39</v>
      </c>
      <c r="K1067">
        <v>0</v>
      </c>
      <c r="L1067">
        <v>0</v>
      </c>
      <c r="M1067">
        <f>VLOOKUP(Table1[[#This Row],[subscription_type]],Plans!$A$1:$B$5,2,FALSE)</f>
        <v>0</v>
      </c>
      <c r="N1067">
        <f t="shared" si="16"/>
        <v>0</v>
      </c>
    </row>
    <row r="1068" spans="1:14" x14ac:dyDescent="0.35">
      <c r="A1068">
        <v>1067</v>
      </c>
      <c r="B1068" t="s">
        <v>20</v>
      </c>
      <c r="C1068">
        <v>31</v>
      </c>
      <c r="D1068" t="s">
        <v>26</v>
      </c>
      <c r="E1068" t="s">
        <v>14</v>
      </c>
      <c r="F1068">
        <v>282</v>
      </c>
      <c r="G1068">
        <v>58</v>
      </c>
      <c r="H1068">
        <v>0.06</v>
      </c>
      <c r="I1068" t="s">
        <v>15</v>
      </c>
      <c r="J1068">
        <v>15</v>
      </c>
      <c r="K1068">
        <v>0</v>
      </c>
      <c r="L1068">
        <v>1</v>
      </c>
      <c r="M1068">
        <f>VLOOKUP(Table1[[#This Row],[subscription_type]],Plans!$A$1:$B$5,2,FALSE)</f>
        <v>0</v>
      </c>
      <c r="N1068">
        <f t="shared" si="16"/>
        <v>0</v>
      </c>
    </row>
    <row r="1069" spans="1:14" x14ac:dyDescent="0.35">
      <c r="A1069">
        <v>1068</v>
      </c>
      <c r="B1069" t="s">
        <v>12</v>
      </c>
      <c r="C1069">
        <v>46</v>
      </c>
      <c r="D1069" t="s">
        <v>13</v>
      </c>
      <c r="E1069" t="s">
        <v>18</v>
      </c>
      <c r="F1069">
        <v>54</v>
      </c>
      <c r="G1069">
        <v>79</v>
      </c>
      <c r="H1069">
        <v>0.23</v>
      </c>
      <c r="I1069" t="s">
        <v>15</v>
      </c>
      <c r="J1069">
        <v>0</v>
      </c>
      <c r="K1069">
        <v>1</v>
      </c>
      <c r="L1069">
        <v>0</v>
      </c>
      <c r="M1069">
        <f>VLOOKUP(Table1[[#This Row],[subscription_type]],Plans!$A$1:$B$5,2,FALSE)</f>
        <v>14.99</v>
      </c>
      <c r="N1069">
        <f t="shared" si="16"/>
        <v>0</v>
      </c>
    </row>
    <row r="1070" spans="1:14" x14ac:dyDescent="0.35">
      <c r="A1070">
        <v>1069</v>
      </c>
      <c r="B1070" t="s">
        <v>20</v>
      </c>
      <c r="C1070">
        <v>21</v>
      </c>
      <c r="D1070" t="s">
        <v>27</v>
      </c>
      <c r="E1070" t="s">
        <v>24</v>
      </c>
      <c r="F1070">
        <v>58</v>
      </c>
      <c r="G1070">
        <v>24</v>
      </c>
      <c r="H1070">
        <v>0.47</v>
      </c>
      <c r="I1070" t="s">
        <v>19</v>
      </c>
      <c r="J1070">
        <v>0</v>
      </c>
      <c r="K1070">
        <v>1</v>
      </c>
      <c r="L1070">
        <v>0</v>
      </c>
      <c r="M1070">
        <f>VLOOKUP(Table1[[#This Row],[subscription_type]],Plans!$A$1:$B$5,2,FALSE)</f>
        <v>4.99</v>
      </c>
      <c r="N1070">
        <f t="shared" si="16"/>
        <v>0</v>
      </c>
    </row>
    <row r="1071" spans="1:14" x14ac:dyDescent="0.35">
      <c r="A1071">
        <v>1070</v>
      </c>
      <c r="B1071" t="s">
        <v>16</v>
      </c>
      <c r="C1071">
        <v>32</v>
      </c>
      <c r="D1071" t="s">
        <v>27</v>
      </c>
      <c r="E1071" t="s">
        <v>18</v>
      </c>
      <c r="F1071">
        <v>219</v>
      </c>
      <c r="G1071">
        <v>25</v>
      </c>
      <c r="H1071">
        <v>0.06</v>
      </c>
      <c r="I1071" t="s">
        <v>15</v>
      </c>
      <c r="J1071">
        <v>0</v>
      </c>
      <c r="K1071">
        <v>1</v>
      </c>
      <c r="L1071">
        <v>1</v>
      </c>
      <c r="M1071">
        <f>VLOOKUP(Table1[[#This Row],[subscription_type]],Plans!$A$1:$B$5,2,FALSE)</f>
        <v>14.99</v>
      </c>
      <c r="N1071">
        <f t="shared" si="16"/>
        <v>14.99</v>
      </c>
    </row>
    <row r="1072" spans="1:14" x14ac:dyDescent="0.35">
      <c r="A1072">
        <v>1071</v>
      </c>
      <c r="B1072" t="s">
        <v>16</v>
      </c>
      <c r="C1072">
        <v>28</v>
      </c>
      <c r="D1072" t="s">
        <v>17</v>
      </c>
      <c r="E1072" t="s">
        <v>22</v>
      </c>
      <c r="F1072">
        <v>178</v>
      </c>
      <c r="G1072">
        <v>14</v>
      </c>
      <c r="H1072">
        <v>0.35</v>
      </c>
      <c r="I1072" t="s">
        <v>19</v>
      </c>
      <c r="J1072">
        <v>0</v>
      </c>
      <c r="K1072">
        <v>1</v>
      </c>
      <c r="L1072">
        <v>0</v>
      </c>
      <c r="M1072">
        <f>VLOOKUP(Table1[[#This Row],[subscription_type]],Plans!$A$1:$B$5,2,FALSE)</f>
        <v>9.99</v>
      </c>
      <c r="N1072">
        <f t="shared" si="16"/>
        <v>0</v>
      </c>
    </row>
    <row r="1073" spans="1:14" x14ac:dyDescent="0.35">
      <c r="A1073">
        <v>1072</v>
      </c>
      <c r="B1073" t="s">
        <v>20</v>
      </c>
      <c r="C1073">
        <v>51</v>
      </c>
      <c r="D1073" t="s">
        <v>21</v>
      </c>
      <c r="E1073" t="s">
        <v>24</v>
      </c>
      <c r="F1073">
        <v>282</v>
      </c>
      <c r="G1073">
        <v>15</v>
      </c>
      <c r="H1073">
        <v>0.22</v>
      </c>
      <c r="I1073" t="s">
        <v>23</v>
      </c>
      <c r="J1073">
        <v>0</v>
      </c>
      <c r="K1073">
        <v>1</v>
      </c>
      <c r="L1073">
        <v>0</v>
      </c>
      <c r="M1073">
        <f>VLOOKUP(Table1[[#This Row],[subscription_type]],Plans!$A$1:$B$5,2,FALSE)</f>
        <v>4.99</v>
      </c>
      <c r="N1073">
        <f t="shared" si="16"/>
        <v>0</v>
      </c>
    </row>
    <row r="1074" spans="1:14" x14ac:dyDescent="0.35">
      <c r="A1074">
        <v>1073</v>
      </c>
      <c r="B1074" t="s">
        <v>16</v>
      </c>
      <c r="C1074">
        <v>45</v>
      </c>
      <c r="D1074" t="s">
        <v>17</v>
      </c>
      <c r="E1074" t="s">
        <v>24</v>
      </c>
      <c r="F1074">
        <v>243</v>
      </c>
      <c r="G1074">
        <v>9</v>
      </c>
      <c r="H1074">
        <v>0.02</v>
      </c>
      <c r="I1074" t="s">
        <v>19</v>
      </c>
      <c r="J1074">
        <v>0</v>
      </c>
      <c r="K1074">
        <v>1</v>
      </c>
      <c r="L1074">
        <v>0</v>
      </c>
      <c r="M1074">
        <f>VLOOKUP(Table1[[#This Row],[subscription_type]],Plans!$A$1:$B$5,2,FALSE)</f>
        <v>4.99</v>
      </c>
      <c r="N1074">
        <f t="shared" si="16"/>
        <v>0</v>
      </c>
    </row>
    <row r="1075" spans="1:14" x14ac:dyDescent="0.35">
      <c r="A1075">
        <v>1074</v>
      </c>
      <c r="B1075" t="s">
        <v>16</v>
      </c>
      <c r="C1075">
        <v>40</v>
      </c>
      <c r="D1075" t="s">
        <v>25</v>
      </c>
      <c r="E1075" t="s">
        <v>18</v>
      </c>
      <c r="F1075">
        <v>175</v>
      </c>
      <c r="G1075">
        <v>20</v>
      </c>
      <c r="H1075">
        <v>0.41</v>
      </c>
      <c r="I1075" t="s">
        <v>23</v>
      </c>
      <c r="J1075">
        <v>0</v>
      </c>
      <c r="K1075">
        <v>1</v>
      </c>
      <c r="L1075">
        <v>0</v>
      </c>
      <c r="M1075">
        <f>VLOOKUP(Table1[[#This Row],[subscription_type]],Plans!$A$1:$B$5,2,FALSE)</f>
        <v>14.99</v>
      </c>
      <c r="N1075">
        <f t="shared" si="16"/>
        <v>0</v>
      </c>
    </row>
    <row r="1076" spans="1:14" x14ac:dyDescent="0.35">
      <c r="A1076">
        <v>1075</v>
      </c>
      <c r="B1076" t="s">
        <v>20</v>
      </c>
      <c r="C1076">
        <v>30</v>
      </c>
      <c r="D1076" t="s">
        <v>27</v>
      </c>
      <c r="E1076" t="s">
        <v>14</v>
      </c>
      <c r="F1076">
        <v>246</v>
      </c>
      <c r="G1076">
        <v>13</v>
      </c>
      <c r="H1076">
        <v>0.03</v>
      </c>
      <c r="I1076" t="s">
        <v>19</v>
      </c>
      <c r="J1076">
        <v>13</v>
      </c>
      <c r="K1076">
        <v>0</v>
      </c>
      <c r="L1076">
        <v>1</v>
      </c>
      <c r="M1076">
        <f>VLOOKUP(Table1[[#This Row],[subscription_type]],Plans!$A$1:$B$5,2,FALSE)</f>
        <v>0</v>
      </c>
      <c r="N1076">
        <f t="shared" si="16"/>
        <v>0</v>
      </c>
    </row>
    <row r="1077" spans="1:14" x14ac:dyDescent="0.35">
      <c r="A1077">
        <v>1076</v>
      </c>
      <c r="B1077" t="s">
        <v>16</v>
      </c>
      <c r="C1077">
        <v>43</v>
      </c>
      <c r="D1077" t="s">
        <v>26</v>
      </c>
      <c r="E1077" t="s">
        <v>22</v>
      </c>
      <c r="F1077">
        <v>277</v>
      </c>
      <c r="G1077">
        <v>45</v>
      </c>
      <c r="H1077">
        <v>0.28999999999999998</v>
      </c>
      <c r="I1077" t="s">
        <v>19</v>
      </c>
      <c r="J1077">
        <v>0</v>
      </c>
      <c r="K1077">
        <v>1</v>
      </c>
      <c r="L1077">
        <v>0</v>
      </c>
      <c r="M1077">
        <f>VLOOKUP(Table1[[#This Row],[subscription_type]],Plans!$A$1:$B$5,2,FALSE)</f>
        <v>9.99</v>
      </c>
      <c r="N1077">
        <f t="shared" si="16"/>
        <v>0</v>
      </c>
    </row>
    <row r="1078" spans="1:14" x14ac:dyDescent="0.35">
      <c r="A1078">
        <v>1077</v>
      </c>
      <c r="B1078" t="s">
        <v>12</v>
      </c>
      <c r="C1078">
        <v>32</v>
      </c>
      <c r="D1078" t="s">
        <v>29</v>
      </c>
      <c r="E1078" t="s">
        <v>18</v>
      </c>
      <c r="F1078">
        <v>69</v>
      </c>
      <c r="G1078">
        <v>8</v>
      </c>
      <c r="H1078">
        <v>0.56999999999999995</v>
      </c>
      <c r="I1078" t="s">
        <v>23</v>
      </c>
      <c r="J1078">
        <v>0</v>
      </c>
      <c r="K1078">
        <v>1</v>
      </c>
      <c r="L1078">
        <v>1</v>
      </c>
      <c r="M1078">
        <f>VLOOKUP(Table1[[#This Row],[subscription_type]],Plans!$A$1:$B$5,2,FALSE)</f>
        <v>14.99</v>
      </c>
      <c r="N1078">
        <f t="shared" si="16"/>
        <v>14.99</v>
      </c>
    </row>
    <row r="1079" spans="1:14" x14ac:dyDescent="0.35">
      <c r="A1079">
        <v>1078</v>
      </c>
      <c r="B1079" t="s">
        <v>20</v>
      </c>
      <c r="C1079">
        <v>54</v>
      </c>
      <c r="D1079" t="s">
        <v>29</v>
      </c>
      <c r="E1079" t="s">
        <v>18</v>
      </c>
      <c r="F1079">
        <v>182</v>
      </c>
      <c r="G1079">
        <v>69</v>
      </c>
      <c r="H1079">
        <v>0.17</v>
      </c>
      <c r="I1079" t="s">
        <v>23</v>
      </c>
      <c r="J1079">
        <v>0</v>
      </c>
      <c r="K1079">
        <v>1</v>
      </c>
      <c r="L1079">
        <v>0</v>
      </c>
      <c r="M1079">
        <f>VLOOKUP(Table1[[#This Row],[subscription_type]],Plans!$A$1:$B$5,2,FALSE)</f>
        <v>14.99</v>
      </c>
      <c r="N1079">
        <f t="shared" si="16"/>
        <v>0</v>
      </c>
    </row>
    <row r="1080" spans="1:14" x14ac:dyDescent="0.35">
      <c r="A1080">
        <v>1079</v>
      </c>
      <c r="B1080" t="s">
        <v>12</v>
      </c>
      <c r="C1080">
        <v>23</v>
      </c>
      <c r="D1080" t="s">
        <v>26</v>
      </c>
      <c r="E1080" t="s">
        <v>24</v>
      </c>
      <c r="F1080">
        <v>176</v>
      </c>
      <c r="G1080">
        <v>57</v>
      </c>
      <c r="H1080">
        <v>0.11</v>
      </c>
      <c r="I1080" t="s">
        <v>23</v>
      </c>
      <c r="J1080">
        <v>0</v>
      </c>
      <c r="K1080">
        <v>1</v>
      </c>
      <c r="L1080">
        <v>0</v>
      </c>
      <c r="M1080">
        <f>VLOOKUP(Table1[[#This Row],[subscription_type]],Plans!$A$1:$B$5,2,FALSE)</f>
        <v>4.99</v>
      </c>
      <c r="N1080">
        <f t="shared" si="16"/>
        <v>0</v>
      </c>
    </row>
    <row r="1081" spans="1:14" x14ac:dyDescent="0.35">
      <c r="A1081">
        <v>1080</v>
      </c>
      <c r="B1081" t="s">
        <v>16</v>
      </c>
      <c r="C1081">
        <v>21</v>
      </c>
      <c r="D1081" t="s">
        <v>21</v>
      </c>
      <c r="E1081" t="s">
        <v>18</v>
      </c>
      <c r="F1081">
        <v>47</v>
      </c>
      <c r="G1081">
        <v>86</v>
      </c>
      <c r="H1081">
        <v>0.15</v>
      </c>
      <c r="I1081" t="s">
        <v>23</v>
      </c>
      <c r="J1081">
        <v>0</v>
      </c>
      <c r="K1081">
        <v>1</v>
      </c>
      <c r="L1081">
        <v>0</v>
      </c>
      <c r="M1081">
        <f>VLOOKUP(Table1[[#This Row],[subscription_type]],Plans!$A$1:$B$5,2,FALSE)</f>
        <v>14.99</v>
      </c>
      <c r="N1081">
        <f t="shared" si="16"/>
        <v>0</v>
      </c>
    </row>
    <row r="1082" spans="1:14" x14ac:dyDescent="0.35">
      <c r="A1082">
        <v>1081</v>
      </c>
      <c r="B1082" t="s">
        <v>20</v>
      </c>
      <c r="C1082">
        <v>41</v>
      </c>
      <c r="D1082" t="s">
        <v>27</v>
      </c>
      <c r="E1082" t="s">
        <v>18</v>
      </c>
      <c r="F1082">
        <v>256</v>
      </c>
      <c r="G1082">
        <v>20</v>
      </c>
      <c r="H1082">
        <v>0.46</v>
      </c>
      <c r="I1082" t="s">
        <v>15</v>
      </c>
      <c r="J1082">
        <v>0</v>
      </c>
      <c r="K1082">
        <v>1</v>
      </c>
      <c r="L1082">
        <v>0</v>
      </c>
      <c r="M1082">
        <f>VLOOKUP(Table1[[#This Row],[subscription_type]],Plans!$A$1:$B$5,2,FALSE)</f>
        <v>14.99</v>
      </c>
      <c r="N1082">
        <f t="shared" si="16"/>
        <v>0</v>
      </c>
    </row>
    <row r="1083" spans="1:14" x14ac:dyDescent="0.35">
      <c r="A1083">
        <v>1082</v>
      </c>
      <c r="B1083" t="s">
        <v>20</v>
      </c>
      <c r="C1083">
        <v>17</v>
      </c>
      <c r="D1083" t="s">
        <v>28</v>
      </c>
      <c r="E1083" t="s">
        <v>24</v>
      </c>
      <c r="F1083">
        <v>74</v>
      </c>
      <c r="G1083">
        <v>86</v>
      </c>
      <c r="H1083">
        <v>0.54</v>
      </c>
      <c r="I1083" t="s">
        <v>15</v>
      </c>
      <c r="J1083">
        <v>0</v>
      </c>
      <c r="K1083">
        <v>1</v>
      </c>
      <c r="L1083">
        <v>0</v>
      </c>
      <c r="M1083">
        <f>VLOOKUP(Table1[[#This Row],[subscription_type]],Plans!$A$1:$B$5,2,FALSE)</f>
        <v>4.99</v>
      </c>
      <c r="N1083">
        <f t="shared" si="16"/>
        <v>0</v>
      </c>
    </row>
    <row r="1084" spans="1:14" x14ac:dyDescent="0.35">
      <c r="A1084">
        <v>1083</v>
      </c>
      <c r="B1084" t="s">
        <v>20</v>
      </c>
      <c r="C1084">
        <v>46</v>
      </c>
      <c r="D1084" t="s">
        <v>29</v>
      </c>
      <c r="E1084" t="s">
        <v>24</v>
      </c>
      <c r="F1084">
        <v>111</v>
      </c>
      <c r="G1084">
        <v>19</v>
      </c>
      <c r="H1084">
        <v>0.06</v>
      </c>
      <c r="I1084" t="s">
        <v>15</v>
      </c>
      <c r="J1084">
        <v>0</v>
      </c>
      <c r="K1084">
        <v>1</v>
      </c>
      <c r="L1084">
        <v>0</v>
      </c>
      <c r="M1084">
        <f>VLOOKUP(Table1[[#This Row],[subscription_type]],Plans!$A$1:$B$5,2,FALSE)</f>
        <v>4.99</v>
      </c>
      <c r="N1084">
        <f t="shared" si="16"/>
        <v>0</v>
      </c>
    </row>
    <row r="1085" spans="1:14" x14ac:dyDescent="0.35">
      <c r="A1085">
        <v>1084</v>
      </c>
      <c r="B1085" t="s">
        <v>20</v>
      </c>
      <c r="C1085">
        <v>50</v>
      </c>
      <c r="D1085" t="s">
        <v>25</v>
      </c>
      <c r="E1085" t="s">
        <v>14</v>
      </c>
      <c r="F1085">
        <v>50</v>
      </c>
      <c r="G1085">
        <v>39</v>
      </c>
      <c r="H1085">
        <v>0.31</v>
      </c>
      <c r="I1085" t="s">
        <v>19</v>
      </c>
      <c r="J1085">
        <v>13</v>
      </c>
      <c r="K1085">
        <v>0</v>
      </c>
      <c r="L1085">
        <v>0</v>
      </c>
      <c r="M1085">
        <f>VLOOKUP(Table1[[#This Row],[subscription_type]],Plans!$A$1:$B$5,2,FALSE)</f>
        <v>0</v>
      </c>
      <c r="N1085">
        <f t="shared" si="16"/>
        <v>0</v>
      </c>
    </row>
    <row r="1086" spans="1:14" x14ac:dyDescent="0.35">
      <c r="A1086">
        <v>1085</v>
      </c>
      <c r="B1086" t="s">
        <v>16</v>
      </c>
      <c r="C1086">
        <v>42</v>
      </c>
      <c r="D1086" t="s">
        <v>17</v>
      </c>
      <c r="E1086" t="s">
        <v>14</v>
      </c>
      <c r="F1086">
        <v>17</v>
      </c>
      <c r="G1086">
        <v>55</v>
      </c>
      <c r="H1086">
        <v>0.57999999999999996</v>
      </c>
      <c r="I1086" t="s">
        <v>23</v>
      </c>
      <c r="J1086">
        <v>49</v>
      </c>
      <c r="K1086">
        <v>0</v>
      </c>
      <c r="L1086">
        <v>1</v>
      </c>
      <c r="M1086">
        <f>VLOOKUP(Table1[[#This Row],[subscription_type]],Plans!$A$1:$B$5,2,FALSE)</f>
        <v>0</v>
      </c>
      <c r="N1086">
        <f t="shared" si="16"/>
        <v>0</v>
      </c>
    </row>
    <row r="1087" spans="1:14" x14ac:dyDescent="0.35">
      <c r="A1087">
        <v>1086</v>
      </c>
      <c r="B1087" t="s">
        <v>12</v>
      </c>
      <c r="C1087">
        <v>46</v>
      </c>
      <c r="D1087" t="s">
        <v>26</v>
      </c>
      <c r="E1087" t="s">
        <v>24</v>
      </c>
      <c r="F1087">
        <v>85</v>
      </c>
      <c r="G1087">
        <v>75</v>
      </c>
      <c r="H1087">
        <v>0.15</v>
      </c>
      <c r="I1087" t="s">
        <v>23</v>
      </c>
      <c r="J1087">
        <v>0</v>
      </c>
      <c r="K1087">
        <v>1</v>
      </c>
      <c r="L1087">
        <v>0</v>
      </c>
      <c r="M1087">
        <f>VLOOKUP(Table1[[#This Row],[subscription_type]],Plans!$A$1:$B$5,2,FALSE)</f>
        <v>4.99</v>
      </c>
      <c r="N1087">
        <f t="shared" si="16"/>
        <v>0</v>
      </c>
    </row>
    <row r="1088" spans="1:14" x14ac:dyDescent="0.35">
      <c r="A1088">
        <v>1087</v>
      </c>
      <c r="B1088" t="s">
        <v>16</v>
      </c>
      <c r="C1088">
        <v>17</v>
      </c>
      <c r="D1088" t="s">
        <v>25</v>
      </c>
      <c r="E1088" t="s">
        <v>18</v>
      </c>
      <c r="F1088">
        <v>177</v>
      </c>
      <c r="G1088">
        <v>79</v>
      </c>
      <c r="H1088">
        <v>0.38</v>
      </c>
      <c r="I1088" t="s">
        <v>15</v>
      </c>
      <c r="J1088">
        <v>0</v>
      </c>
      <c r="K1088">
        <v>1</v>
      </c>
      <c r="L1088">
        <v>1</v>
      </c>
      <c r="M1088">
        <f>VLOOKUP(Table1[[#This Row],[subscription_type]],Plans!$A$1:$B$5,2,FALSE)</f>
        <v>14.99</v>
      </c>
      <c r="N1088">
        <f t="shared" si="16"/>
        <v>14.99</v>
      </c>
    </row>
    <row r="1089" spans="1:14" x14ac:dyDescent="0.35">
      <c r="A1089">
        <v>1088</v>
      </c>
      <c r="B1089" t="s">
        <v>12</v>
      </c>
      <c r="C1089">
        <v>39</v>
      </c>
      <c r="D1089" t="s">
        <v>29</v>
      </c>
      <c r="E1089" t="s">
        <v>24</v>
      </c>
      <c r="F1089">
        <v>288</v>
      </c>
      <c r="G1089">
        <v>64</v>
      </c>
      <c r="H1089">
        <v>0</v>
      </c>
      <c r="I1089" t="s">
        <v>19</v>
      </c>
      <c r="J1089">
        <v>0</v>
      </c>
      <c r="K1089">
        <v>1</v>
      </c>
      <c r="L1089">
        <v>1</v>
      </c>
      <c r="M1089">
        <f>VLOOKUP(Table1[[#This Row],[subscription_type]],Plans!$A$1:$B$5,2,FALSE)</f>
        <v>4.99</v>
      </c>
      <c r="N1089">
        <f t="shared" si="16"/>
        <v>4.99</v>
      </c>
    </row>
    <row r="1090" spans="1:14" x14ac:dyDescent="0.35">
      <c r="A1090">
        <v>1089</v>
      </c>
      <c r="B1090" t="s">
        <v>20</v>
      </c>
      <c r="C1090">
        <v>51</v>
      </c>
      <c r="D1090" t="s">
        <v>29</v>
      </c>
      <c r="E1090" t="s">
        <v>22</v>
      </c>
      <c r="F1090">
        <v>299</v>
      </c>
      <c r="G1090">
        <v>93</v>
      </c>
      <c r="H1090">
        <v>0.57999999999999996</v>
      </c>
      <c r="I1090" t="s">
        <v>19</v>
      </c>
      <c r="J1090">
        <v>0</v>
      </c>
      <c r="K1090">
        <v>1</v>
      </c>
      <c r="L1090">
        <v>0</v>
      </c>
      <c r="M1090">
        <f>VLOOKUP(Table1[[#This Row],[subscription_type]],Plans!$A$1:$B$5,2,FALSE)</f>
        <v>9.99</v>
      </c>
      <c r="N1090">
        <f t="shared" ref="N1090:N1153" si="17">IF(L1090=1, M1090,0)</f>
        <v>0</v>
      </c>
    </row>
    <row r="1091" spans="1:14" x14ac:dyDescent="0.35">
      <c r="A1091">
        <v>1090</v>
      </c>
      <c r="B1091" t="s">
        <v>16</v>
      </c>
      <c r="C1091">
        <v>25</v>
      </c>
      <c r="D1091" t="s">
        <v>17</v>
      </c>
      <c r="E1091" t="s">
        <v>18</v>
      </c>
      <c r="F1091">
        <v>242</v>
      </c>
      <c r="G1091">
        <v>19</v>
      </c>
      <c r="H1091">
        <v>0.4</v>
      </c>
      <c r="I1091" t="s">
        <v>15</v>
      </c>
      <c r="J1091">
        <v>0</v>
      </c>
      <c r="K1091">
        <v>1</v>
      </c>
      <c r="L1091">
        <v>0</v>
      </c>
      <c r="M1091">
        <f>VLOOKUP(Table1[[#This Row],[subscription_type]],Plans!$A$1:$B$5,2,FALSE)</f>
        <v>14.99</v>
      </c>
      <c r="N1091">
        <f t="shared" si="17"/>
        <v>0</v>
      </c>
    </row>
    <row r="1092" spans="1:14" x14ac:dyDescent="0.35">
      <c r="A1092">
        <v>1091</v>
      </c>
      <c r="B1092" t="s">
        <v>20</v>
      </c>
      <c r="C1092">
        <v>51</v>
      </c>
      <c r="D1092" t="s">
        <v>21</v>
      </c>
      <c r="E1092" t="s">
        <v>18</v>
      </c>
      <c r="F1092">
        <v>113</v>
      </c>
      <c r="G1092">
        <v>33</v>
      </c>
      <c r="H1092">
        <v>0.04</v>
      </c>
      <c r="I1092" t="s">
        <v>15</v>
      </c>
      <c r="J1092">
        <v>0</v>
      </c>
      <c r="K1092">
        <v>1</v>
      </c>
      <c r="L1092">
        <v>1</v>
      </c>
      <c r="M1092">
        <f>VLOOKUP(Table1[[#This Row],[subscription_type]],Plans!$A$1:$B$5,2,FALSE)</f>
        <v>14.99</v>
      </c>
      <c r="N1092">
        <f t="shared" si="17"/>
        <v>14.99</v>
      </c>
    </row>
    <row r="1093" spans="1:14" x14ac:dyDescent="0.35">
      <c r="A1093">
        <v>1092</v>
      </c>
      <c r="B1093" t="s">
        <v>20</v>
      </c>
      <c r="C1093">
        <v>25</v>
      </c>
      <c r="D1093" t="s">
        <v>29</v>
      </c>
      <c r="E1093" t="s">
        <v>24</v>
      </c>
      <c r="F1093">
        <v>24</v>
      </c>
      <c r="G1093">
        <v>60</v>
      </c>
      <c r="H1093">
        <v>0.56999999999999995</v>
      </c>
      <c r="I1093" t="s">
        <v>23</v>
      </c>
      <c r="J1093">
        <v>0</v>
      </c>
      <c r="K1093">
        <v>1</v>
      </c>
      <c r="L1093">
        <v>0</v>
      </c>
      <c r="M1093">
        <f>VLOOKUP(Table1[[#This Row],[subscription_type]],Plans!$A$1:$B$5,2,FALSE)</f>
        <v>4.99</v>
      </c>
      <c r="N1093">
        <f t="shared" si="17"/>
        <v>0</v>
      </c>
    </row>
    <row r="1094" spans="1:14" x14ac:dyDescent="0.35">
      <c r="A1094">
        <v>1093</v>
      </c>
      <c r="B1094" t="s">
        <v>12</v>
      </c>
      <c r="C1094">
        <v>54</v>
      </c>
      <c r="D1094" t="s">
        <v>27</v>
      </c>
      <c r="E1094" t="s">
        <v>14</v>
      </c>
      <c r="F1094">
        <v>70</v>
      </c>
      <c r="G1094">
        <v>56</v>
      </c>
      <c r="H1094">
        <v>0.37</v>
      </c>
      <c r="I1094" t="s">
        <v>15</v>
      </c>
      <c r="J1094">
        <v>14</v>
      </c>
      <c r="K1094">
        <v>0</v>
      </c>
      <c r="L1094">
        <v>0</v>
      </c>
      <c r="M1094">
        <f>VLOOKUP(Table1[[#This Row],[subscription_type]],Plans!$A$1:$B$5,2,FALSE)</f>
        <v>0</v>
      </c>
      <c r="N1094">
        <f t="shared" si="17"/>
        <v>0</v>
      </c>
    </row>
    <row r="1095" spans="1:14" x14ac:dyDescent="0.35">
      <c r="A1095">
        <v>1094</v>
      </c>
      <c r="B1095" t="s">
        <v>16</v>
      </c>
      <c r="C1095">
        <v>37</v>
      </c>
      <c r="D1095" t="s">
        <v>26</v>
      </c>
      <c r="E1095" t="s">
        <v>24</v>
      </c>
      <c r="F1095">
        <v>194</v>
      </c>
      <c r="G1095">
        <v>62</v>
      </c>
      <c r="H1095">
        <v>0.04</v>
      </c>
      <c r="I1095" t="s">
        <v>23</v>
      </c>
      <c r="J1095">
        <v>0</v>
      </c>
      <c r="K1095">
        <v>1</v>
      </c>
      <c r="L1095">
        <v>1</v>
      </c>
      <c r="M1095">
        <f>VLOOKUP(Table1[[#This Row],[subscription_type]],Plans!$A$1:$B$5,2,FALSE)</f>
        <v>4.99</v>
      </c>
      <c r="N1095">
        <f t="shared" si="17"/>
        <v>4.99</v>
      </c>
    </row>
    <row r="1096" spans="1:14" x14ac:dyDescent="0.35">
      <c r="A1096">
        <v>1095</v>
      </c>
      <c r="B1096" t="s">
        <v>20</v>
      </c>
      <c r="C1096">
        <v>59</v>
      </c>
      <c r="D1096" t="s">
        <v>21</v>
      </c>
      <c r="E1096" t="s">
        <v>14</v>
      </c>
      <c r="F1096">
        <v>232</v>
      </c>
      <c r="G1096">
        <v>80</v>
      </c>
      <c r="H1096">
        <v>0.25</v>
      </c>
      <c r="I1096" t="s">
        <v>19</v>
      </c>
      <c r="J1096">
        <v>45</v>
      </c>
      <c r="K1096">
        <v>0</v>
      </c>
      <c r="L1096">
        <v>0</v>
      </c>
      <c r="M1096">
        <f>VLOOKUP(Table1[[#This Row],[subscription_type]],Plans!$A$1:$B$5,2,FALSE)</f>
        <v>0</v>
      </c>
      <c r="N1096">
        <f t="shared" si="17"/>
        <v>0</v>
      </c>
    </row>
    <row r="1097" spans="1:14" x14ac:dyDescent="0.35">
      <c r="A1097">
        <v>1096</v>
      </c>
      <c r="B1097" t="s">
        <v>12</v>
      </c>
      <c r="C1097">
        <v>47</v>
      </c>
      <c r="D1097" t="s">
        <v>28</v>
      </c>
      <c r="E1097" t="s">
        <v>18</v>
      </c>
      <c r="F1097">
        <v>52</v>
      </c>
      <c r="G1097">
        <v>7</v>
      </c>
      <c r="H1097">
        <v>0.45</v>
      </c>
      <c r="I1097" t="s">
        <v>19</v>
      </c>
      <c r="J1097">
        <v>0</v>
      </c>
      <c r="K1097">
        <v>1</v>
      </c>
      <c r="L1097">
        <v>0</v>
      </c>
      <c r="M1097">
        <f>VLOOKUP(Table1[[#This Row],[subscription_type]],Plans!$A$1:$B$5,2,FALSE)</f>
        <v>14.99</v>
      </c>
      <c r="N1097">
        <f t="shared" si="17"/>
        <v>0</v>
      </c>
    </row>
    <row r="1098" spans="1:14" x14ac:dyDescent="0.35">
      <c r="A1098">
        <v>1097</v>
      </c>
      <c r="B1098" t="s">
        <v>12</v>
      </c>
      <c r="C1098">
        <v>56</v>
      </c>
      <c r="D1098" t="s">
        <v>28</v>
      </c>
      <c r="E1098" t="s">
        <v>22</v>
      </c>
      <c r="F1098">
        <v>186</v>
      </c>
      <c r="G1098">
        <v>2</v>
      </c>
      <c r="H1098">
        <v>0.36</v>
      </c>
      <c r="I1098" t="s">
        <v>23</v>
      </c>
      <c r="J1098">
        <v>0</v>
      </c>
      <c r="K1098">
        <v>1</v>
      </c>
      <c r="L1098">
        <v>0</v>
      </c>
      <c r="M1098">
        <f>VLOOKUP(Table1[[#This Row],[subscription_type]],Plans!$A$1:$B$5,2,FALSE)</f>
        <v>9.99</v>
      </c>
      <c r="N1098">
        <f t="shared" si="17"/>
        <v>0</v>
      </c>
    </row>
    <row r="1099" spans="1:14" x14ac:dyDescent="0.35">
      <c r="A1099">
        <v>1098</v>
      </c>
      <c r="B1099" t="s">
        <v>12</v>
      </c>
      <c r="C1099">
        <v>47</v>
      </c>
      <c r="D1099" t="s">
        <v>29</v>
      </c>
      <c r="E1099" t="s">
        <v>24</v>
      </c>
      <c r="F1099">
        <v>235</v>
      </c>
      <c r="G1099">
        <v>99</v>
      </c>
      <c r="H1099">
        <v>0.42</v>
      </c>
      <c r="I1099" t="s">
        <v>23</v>
      </c>
      <c r="J1099">
        <v>0</v>
      </c>
      <c r="K1099">
        <v>1</v>
      </c>
      <c r="L1099">
        <v>0</v>
      </c>
      <c r="M1099">
        <f>VLOOKUP(Table1[[#This Row],[subscription_type]],Plans!$A$1:$B$5,2,FALSE)</f>
        <v>4.99</v>
      </c>
      <c r="N1099">
        <f t="shared" si="17"/>
        <v>0</v>
      </c>
    </row>
    <row r="1100" spans="1:14" x14ac:dyDescent="0.35">
      <c r="A1100">
        <v>1099</v>
      </c>
      <c r="B1100" t="s">
        <v>12</v>
      </c>
      <c r="C1100">
        <v>32</v>
      </c>
      <c r="D1100" t="s">
        <v>27</v>
      </c>
      <c r="E1100" t="s">
        <v>14</v>
      </c>
      <c r="F1100">
        <v>175</v>
      </c>
      <c r="G1100">
        <v>12</v>
      </c>
      <c r="H1100">
        <v>0.54</v>
      </c>
      <c r="I1100" t="s">
        <v>15</v>
      </c>
      <c r="J1100">
        <v>30</v>
      </c>
      <c r="K1100">
        <v>0</v>
      </c>
      <c r="L1100">
        <v>0</v>
      </c>
      <c r="M1100">
        <f>VLOOKUP(Table1[[#This Row],[subscription_type]],Plans!$A$1:$B$5,2,FALSE)</f>
        <v>0</v>
      </c>
      <c r="N1100">
        <f t="shared" si="17"/>
        <v>0</v>
      </c>
    </row>
    <row r="1101" spans="1:14" x14ac:dyDescent="0.35">
      <c r="A1101">
        <v>1100</v>
      </c>
      <c r="B1101" t="s">
        <v>16</v>
      </c>
      <c r="C1101">
        <v>47</v>
      </c>
      <c r="D1101" t="s">
        <v>27</v>
      </c>
      <c r="E1101" t="s">
        <v>24</v>
      </c>
      <c r="F1101">
        <v>182</v>
      </c>
      <c r="G1101">
        <v>62</v>
      </c>
      <c r="H1101">
        <v>0.13</v>
      </c>
      <c r="I1101" t="s">
        <v>15</v>
      </c>
      <c r="J1101">
        <v>0</v>
      </c>
      <c r="K1101">
        <v>1</v>
      </c>
      <c r="L1101">
        <v>1</v>
      </c>
      <c r="M1101">
        <f>VLOOKUP(Table1[[#This Row],[subscription_type]],Plans!$A$1:$B$5,2,FALSE)</f>
        <v>4.99</v>
      </c>
      <c r="N1101">
        <f t="shared" si="17"/>
        <v>4.99</v>
      </c>
    </row>
    <row r="1102" spans="1:14" x14ac:dyDescent="0.35">
      <c r="A1102">
        <v>1101</v>
      </c>
      <c r="B1102" t="s">
        <v>16</v>
      </c>
      <c r="C1102">
        <v>46</v>
      </c>
      <c r="D1102" t="s">
        <v>27</v>
      </c>
      <c r="E1102" t="s">
        <v>22</v>
      </c>
      <c r="F1102">
        <v>244</v>
      </c>
      <c r="G1102">
        <v>14</v>
      </c>
      <c r="H1102">
        <v>0.2</v>
      </c>
      <c r="I1102" t="s">
        <v>19</v>
      </c>
      <c r="J1102">
        <v>0</v>
      </c>
      <c r="K1102">
        <v>1</v>
      </c>
      <c r="L1102">
        <v>0</v>
      </c>
      <c r="M1102">
        <f>VLOOKUP(Table1[[#This Row],[subscription_type]],Plans!$A$1:$B$5,2,FALSE)</f>
        <v>9.99</v>
      </c>
      <c r="N1102">
        <f t="shared" si="17"/>
        <v>0</v>
      </c>
    </row>
    <row r="1103" spans="1:14" x14ac:dyDescent="0.35">
      <c r="A1103">
        <v>1102</v>
      </c>
      <c r="B1103" t="s">
        <v>20</v>
      </c>
      <c r="C1103">
        <v>47</v>
      </c>
      <c r="D1103" t="s">
        <v>28</v>
      </c>
      <c r="E1103" t="s">
        <v>18</v>
      </c>
      <c r="F1103">
        <v>240</v>
      </c>
      <c r="G1103">
        <v>47</v>
      </c>
      <c r="H1103">
        <v>0.16</v>
      </c>
      <c r="I1103" t="s">
        <v>15</v>
      </c>
      <c r="J1103">
        <v>0</v>
      </c>
      <c r="K1103">
        <v>1</v>
      </c>
      <c r="L1103">
        <v>0</v>
      </c>
      <c r="M1103">
        <f>VLOOKUP(Table1[[#This Row],[subscription_type]],Plans!$A$1:$B$5,2,FALSE)</f>
        <v>14.99</v>
      </c>
      <c r="N1103">
        <f t="shared" si="17"/>
        <v>0</v>
      </c>
    </row>
    <row r="1104" spans="1:14" x14ac:dyDescent="0.35">
      <c r="A1104">
        <v>1103</v>
      </c>
      <c r="B1104" t="s">
        <v>16</v>
      </c>
      <c r="C1104">
        <v>49</v>
      </c>
      <c r="D1104" t="s">
        <v>27</v>
      </c>
      <c r="E1104" t="s">
        <v>24</v>
      </c>
      <c r="F1104">
        <v>217</v>
      </c>
      <c r="G1104">
        <v>27</v>
      </c>
      <c r="H1104">
        <v>0.38</v>
      </c>
      <c r="I1104" t="s">
        <v>15</v>
      </c>
      <c r="J1104">
        <v>0</v>
      </c>
      <c r="K1104">
        <v>1</v>
      </c>
      <c r="L1104">
        <v>0</v>
      </c>
      <c r="M1104">
        <f>VLOOKUP(Table1[[#This Row],[subscription_type]],Plans!$A$1:$B$5,2,FALSE)</f>
        <v>4.99</v>
      </c>
      <c r="N1104">
        <f t="shared" si="17"/>
        <v>0</v>
      </c>
    </row>
    <row r="1105" spans="1:14" x14ac:dyDescent="0.35">
      <c r="A1105">
        <v>1104</v>
      </c>
      <c r="B1105" t="s">
        <v>16</v>
      </c>
      <c r="C1105">
        <v>32</v>
      </c>
      <c r="D1105" t="s">
        <v>28</v>
      </c>
      <c r="E1105" t="s">
        <v>18</v>
      </c>
      <c r="F1105">
        <v>106</v>
      </c>
      <c r="G1105">
        <v>5</v>
      </c>
      <c r="H1105">
        <v>0.28000000000000003</v>
      </c>
      <c r="I1105" t="s">
        <v>15</v>
      </c>
      <c r="J1105">
        <v>0</v>
      </c>
      <c r="K1105">
        <v>1</v>
      </c>
      <c r="L1105">
        <v>1</v>
      </c>
      <c r="M1105">
        <f>VLOOKUP(Table1[[#This Row],[subscription_type]],Plans!$A$1:$B$5,2,FALSE)</f>
        <v>14.99</v>
      </c>
      <c r="N1105">
        <f t="shared" si="17"/>
        <v>14.99</v>
      </c>
    </row>
    <row r="1106" spans="1:14" x14ac:dyDescent="0.35">
      <c r="A1106">
        <v>1105</v>
      </c>
      <c r="B1106" t="s">
        <v>16</v>
      </c>
      <c r="C1106">
        <v>21</v>
      </c>
      <c r="D1106" t="s">
        <v>28</v>
      </c>
      <c r="E1106" t="s">
        <v>24</v>
      </c>
      <c r="F1106">
        <v>125</v>
      </c>
      <c r="G1106">
        <v>11</v>
      </c>
      <c r="H1106">
        <v>0.56999999999999995</v>
      </c>
      <c r="I1106" t="s">
        <v>15</v>
      </c>
      <c r="J1106">
        <v>0</v>
      </c>
      <c r="K1106">
        <v>1</v>
      </c>
      <c r="L1106">
        <v>1</v>
      </c>
      <c r="M1106">
        <f>VLOOKUP(Table1[[#This Row],[subscription_type]],Plans!$A$1:$B$5,2,FALSE)</f>
        <v>4.99</v>
      </c>
      <c r="N1106">
        <f t="shared" si="17"/>
        <v>4.99</v>
      </c>
    </row>
    <row r="1107" spans="1:14" x14ac:dyDescent="0.35">
      <c r="A1107">
        <v>1106</v>
      </c>
      <c r="B1107" t="s">
        <v>12</v>
      </c>
      <c r="C1107">
        <v>41</v>
      </c>
      <c r="D1107" t="s">
        <v>28</v>
      </c>
      <c r="E1107" t="s">
        <v>14</v>
      </c>
      <c r="F1107">
        <v>298</v>
      </c>
      <c r="G1107">
        <v>30</v>
      </c>
      <c r="H1107">
        <v>0.42</v>
      </c>
      <c r="I1107" t="s">
        <v>19</v>
      </c>
      <c r="J1107">
        <v>33</v>
      </c>
      <c r="K1107">
        <v>0</v>
      </c>
      <c r="L1107">
        <v>0</v>
      </c>
      <c r="M1107">
        <f>VLOOKUP(Table1[[#This Row],[subscription_type]],Plans!$A$1:$B$5,2,FALSE)</f>
        <v>0</v>
      </c>
      <c r="N1107">
        <f t="shared" si="17"/>
        <v>0</v>
      </c>
    </row>
    <row r="1108" spans="1:14" x14ac:dyDescent="0.35">
      <c r="A1108">
        <v>1107</v>
      </c>
      <c r="B1108" t="s">
        <v>16</v>
      </c>
      <c r="C1108">
        <v>25</v>
      </c>
      <c r="D1108" t="s">
        <v>29</v>
      </c>
      <c r="E1108" t="s">
        <v>18</v>
      </c>
      <c r="F1108">
        <v>254</v>
      </c>
      <c r="G1108">
        <v>64</v>
      </c>
      <c r="H1108">
        <v>0.39</v>
      </c>
      <c r="I1108" t="s">
        <v>19</v>
      </c>
      <c r="J1108">
        <v>0</v>
      </c>
      <c r="K1108">
        <v>1</v>
      </c>
      <c r="L1108">
        <v>0</v>
      </c>
      <c r="M1108">
        <f>VLOOKUP(Table1[[#This Row],[subscription_type]],Plans!$A$1:$B$5,2,FALSE)</f>
        <v>14.99</v>
      </c>
      <c r="N1108">
        <f t="shared" si="17"/>
        <v>0</v>
      </c>
    </row>
    <row r="1109" spans="1:14" x14ac:dyDescent="0.35">
      <c r="A1109">
        <v>1108</v>
      </c>
      <c r="B1109" t="s">
        <v>16</v>
      </c>
      <c r="C1109">
        <v>25</v>
      </c>
      <c r="D1109" t="s">
        <v>27</v>
      </c>
      <c r="E1109" t="s">
        <v>22</v>
      </c>
      <c r="F1109">
        <v>195</v>
      </c>
      <c r="G1109">
        <v>39</v>
      </c>
      <c r="H1109">
        <v>0.36</v>
      </c>
      <c r="I1109" t="s">
        <v>15</v>
      </c>
      <c r="J1109">
        <v>0</v>
      </c>
      <c r="K1109">
        <v>1</v>
      </c>
      <c r="L1109">
        <v>0</v>
      </c>
      <c r="M1109">
        <f>VLOOKUP(Table1[[#This Row],[subscription_type]],Plans!$A$1:$B$5,2,FALSE)</f>
        <v>9.99</v>
      </c>
      <c r="N1109">
        <f t="shared" si="17"/>
        <v>0</v>
      </c>
    </row>
    <row r="1110" spans="1:14" x14ac:dyDescent="0.35">
      <c r="A1110">
        <v>1109</v>
      </c>
      <c r="B1110" t="s">
        <v>12</v>
      </c>
      <c r="C1110">
        <v>45</v>
      </c>
      <c r="D1110" t="s">
        <v>25</v>
      </c>
      <c r="E1110" t="s">
        <v>18</v>
      </c>
      <c r="F1110">
        <v>101</v>
      </c>
      <c r="G1110">
        <v>64</v>
      </c>
      <c r="H1110">
        <v>0.41</v>
      </c>
      <c r="I1110" t="s">
        <v>19</v>
      </c>
      <c r="J1110">
        <v>0</v>
      </c>
      <c r="K1110">
        <v>1</v>
      </c>
      <c r="L1110">
        <v>0</v>
      </c>
      <c r="M1110">
        <f>VLOOKUP(Table1[[#This Row],[subscription_type]],Plans!$A$1:$B$5,2,FALSE)</f>
        <v>14.99</v>
      </c>
      <c r="N1110">
        <f t="shared" si="17"/>
        <v>0</v>
      </c>
    </row>
    <row r="1111" spans="1:14" x14ac:dyDescent="0.35">
      <c r="A1111">
        <v>1110</v>
      </c>
      <c r="B1111" t="s">
        <v>12</v>
      </c>
      <c r="C1111">
        <v>30</v>
      </c>
      <c r="D1111" t="s">
        <v>17</v>
      </c>
      <c r="E1111" t="s">
        <v>18</v>
      </c>
      <c r="F1111">
        <v>32</v>
      </c>
      <c r="G1111">
        <v>42</v>
      </c>
      <c r="H1111">
        <v>0.52</v>
      </c>
      <c r="I1111" t="s">
        <v>15</v>
      </c>
      <c r="J1111">
        <v>0</v>
      </c>
      <c r="K1111">
        <v>1</v>
      </c>
      <c r="L1111">
        <v>1</v>
      </c>
      <c r="M1111">
        <f>VLOOKUP(Table1[[#This Row],[subscription_type]],Plans!$A$1:$B$5,2,FALSE)</f>
        <v>14.99</v>
      </c>
      <c r="N1111">
        <f t="shared" si="17"/>
        <v>14.99</v>
      </c>
    </row>
    <row r="1112" spans="1:14" x14ac:dyDescent="0.35">
      <c r="A1112">
        <v>1111</v>
      </c>
      <c r="B1112" t="s">
        <v>20</v>
      </c>
      <c r="C1112">
        <v>26</v>
      </c>
      <c r="D1112" t="s">
        <v>17</v>
      </c>
      <c r="E1112" t="s">
        <v>14</v>
      </c>
      <c r="F1112">
        <v>288</v>
      </c>
      <c r="G1112">
        <v>40</v>
      </c>
      <c r="H1112">
        <v>0.16</v>
      </c>
      <c r="I1112" t="s">
        <v>19</v>
      </c>
      <c r="J1112">
        <v>44</v>
      </c>
      <c r="K1112">
        <v>0</v>
      </c>
      <c r="L1112">
        <v>1</v>
      </c>
      <c r="M1112">
        <f>VLOOKUP(Table1[[#This Row],[subscription_type]],Plans!$A$1:$B$5,2,FALSE)</f>
        <v>0</v>
      </c>
      <c r="N1112">
        <f t="shared" si="17"/>
        <v>0</v>
      </c>
    </row>
    <row r="1113" spans="1:14" x14ac:dyDescent="0.35">
      <c r="A1113">
        <v>1112</v>
      </c>
      <c r="B1113" t="s">
        <v>20</v>
      </c>
      <c r="C1113">
        <v>42</v>
      </c>
      <c r="D1113" t="s">
        <v>29</v>
      </c>
      <c r="E1113" t="s">
        <v>14</v>
      </c>
      <c r="F1113">
        <v>262</v>
      </c>
      <c r="G1113">
        <v>41</v>
      </c>
      <c r="H1113">
        <v>0.17</v>
      </c>
      <c r="I1113" t="s">
        <v>23</v>
      </c>
      <c r="J1113">
        <v>37</v>
      </c>
      <c r="K1113">
        <v>0</v>
      </c>
      <c r="L1113">
        <v>0</v>
      </c>
      <c r="M1113">
        <f>VLOOKUP(Table1[[#This Row],[subscription_type]],Plans!$A$1:$B$5,2,FALSE)</f>
        <v>0</v>
      </c>
      <c r="N1113">
        <f t="shared" si="17"/>
        <v>0</v>
      </c>
    </row>
    <row r="1114" spans="1:14" x14ac:dyDescent="0.35">
      <c r="A1114">
        <v>1113</v>
      </c>
      <c r="B1114" t="s">
        <v>20</v>
      </c>
      <c r="C1114">
        <v>53</v>
      </c>
      <c r="D1114" t="s">
        <v>26</v>
      </c>
      <c r="E1114" t="s">
        <v>24</v>
      </c>
      <c r="F1114">
        <v>83</v>
      </c>
      <c r="G1114">
        <v>6</v>
      </c>
      <c r="H1114">
        <v>0.03</v>
      </c>
      <c r="I1114" t="s">
        <v>23</v>
      </c>
      <c r="J1114">
        <v>0</v>
      </c>
      <c r="K1114">
        <v>1</v>
      </c>
      <c r="L1114">
        <v>0</v>
      </c>
      <c r="M1114">
        <f>VLOOKUP(Table1[[#This Row],[subscription_type]],Plans!$A$1:$B$5,2,FALSE)</f>
        <v>4.99</v>
      </c>
      <c r="N1114">
        <f t="shared" si="17"/>
        <v>0</v>
      </c>
    </row>
    <row r="1115" spans="1:14" x14ac:dyDescent="0.35">
      <c r="A1115">
        <v>1114</v>
      </c>
      <c r="B1115" t="s">
        <v>16</v>
      </c>
      <c r="C1115">
        <v>35</v>
      </c>
      <c r="D1115" t="s">
        <v>26</v>
      </c>
      <c r="E1115" t="s">
        <v>24</v>
      </c>
      <c r="F1115">
        <v>255</v>
      </c>
      <c r="G1115">
        <v>34</v>
      </c>
      <c r="H1115">
        <v>0.02</v>
      </c>
      <c r="I1115" t="s">
        <v>15</v>
      </c>
      <c r="J1115">
        <v>0</v>
      </c>
      <c r="K1115">
        <v>1</v>
      </c>
      <c r="L1115">
        <v>1</v>
      </c>
      <c r="M1115">
        <f>VLOOKUP(Table1[[#This Row],[subscription_type]],Plans!$A$1:$B$5,2,FALSE)</f>
        <v>4.99</v>
      </c>
      <c r="N1115">
        <f t="shared" si="17"/>
        <v>4.99</v>
      </c>
    </row>
    <row r="1116" spans="1:14" x14ac:dyDescent="0.35">
      <c r="A1116">
        <v>1115</v>
      </c>
      <c r="B1116" t="s">
        <v>16</v>
      </c>
      <c r="C1116">
        <v>23</v>
      </c>
      <c r="D1116" t="s">
        <v>28</v>
      </c>
      <c r="E1116" t="s">
        <v>18</v>
      </c>
      <c r="F1116">
        <v>47</v>
      </c>
      <c r="G1116">
        <v>85</v>
      </c>
      <c r="H1116">
        <v>0.42</v>
      </c>
      <c r="I1116" t="s">
        <v>19</v>
      </c>
      <c r="J1116">
        <v>0</v>
      </c>
      <c r="K1116">
        <v>1</v>
      </c>
      <c r="L1116">
        <v>0</v>
      </c>
      <c r="M1116">
        <f>VLOOKUP(Table1[[#This Row],[subscription_type]],Plans!$A$1:$B$5,2,FALSE)</f>
        <v>14.99</v>
      </c>
      <c r="N1116">
        <f t="shared" si="17"/>
        <v>0</v>
      </c>
    </row>
    <row r="1117" spans="1:14" x14ac:dyDescent="0.35">
      <c r="A1117">
        <v>1116</v>
      </c>
      <c r="B1117" t="s">
        <v>16</v>
      </c>
      <c r="C1117">
        <v>55</v>
      </c>
      <c r="D1117" t="s">
        <v>27</v>
      </c>
      <c r="E1117" t="s">
        <v>14</v>
      </c>
      <c r="F1117">
        <v>180</v>
      </c>
      <c r="G1117">
        <v>93</v>
      </c>
      <c r="H1117">
        <v>0.6</v>
      </c>
      <c r="I1117" t="s">
        <v>15</v>
      </c>
      <c r="J1117">
        <v>14</v>
      </c>
      <c r="K1117">
        <v>0</v>
      </c>
      <c r="L1117">
        <v>0</v>
      </c>
      <c r="M1117">
        <f>VLOOKUP(Table1[[#This Row],[subscription_type]],Plans!$A$1:$B$5,2,FALSE)</f>
        <v>0</v>
      </c>
      <c r="N1117">
        <f t="shared" si="17"/>
        <v>0</v>
      </c>
    </row>
    <row r="1118" spans="1:14" x14ac:dyDescent="0.35">
      <c r="A1118">
        <v>1117</v>
      </c>
      <c r="B1118" t="s">
        <v>12</v>
      </c>
      <c r="C1118">
        <v>24</v>
      </c>
      <c r="D1118" t="s">
        <v>25</v>
      </c>
      <c r="E1118" t="s">
        <v>24</v>
      </c>
      <c r="F1118">
        <v>232</v>
      </c>
      <c r="G1118">
        <v>71</v>
      </c>
      <c r="H1118">
        <v>0.23</v>
      </c>
      <c r="I1118" t="s">
        <v>23</v>
      </c>
      <c r="J1118">
        <v>0</v>
      </c>
      <c r="K1118">
        <v>1</v>
      </c>
      <c r="L1118">
        <v>0</v>
      </c>
      <c r="M1118">
        <f>VLOOKUP(Table1[[#This Row],[subscription_type]],Plans!$A$1:$B$5,2,FALSE)</f>
        <v>4.99</v>
      </c>
      <c r="N1118">
        <f t="shared" si="17"/>
        <v>0</v>
      </c>
    </row>
    <row r="1119" spans="1:14" x14ac:dyDescent="0.35">
      <c r="A1119">
        <v>1118</v>
      </c>
      <c r="B1119" t="s">
        <v>16</v>
      </c>
      <c r="C1119">
        <v>50</v>
      </c>
      <c r="D1119" t="s">
        <v>28</v>
      </c>
      <c r="E1119" t="s">
        <v>24</v>
      </c>
      <c r="F1119">
        <v>246</v>
      </c>
      <c r="G1119">
        <v>47</v>
      </c>
      <c r="H1119">
        <v>0.28000000000000003</v>
      </c>
      <c r="I1119" t="s">
        <v>19</v>
      </c>
      <c r="J1119">
        <v>0</v>
      </c>
      <c r="K1119">
        <v>1</v>
      </c>
      <c r="L1119">
        <v>1</v>
      </c>
      <c r="M1119">
        <f>VLOOKUP(Table1[[#This Row],[subscription_type]],Plans!$A$1:$B$5,2,FALSE)</f>
        <v>4.99</v>
      </c>
      <c r="N1119">
        <f t="shared" si="17"/>
        <v>4.99</v>
      </c>
    </row>
    <row r="1120" spans="1:14" x14ac:dyDescent="0.35">
      <c r="A1120">
        <v>1119</v>
      </c>
      <c r="B1120" t="s">
        <v>20</v>
      </c>
      <c r="C1120">
        <v>44</v>
      </c>
      <c r="D1120" t="s">
        <v>27</v>
      </c>
      <c r="E1120" t="s">
        <v>24</v>
      </c>
      <c r="F1120">
        <v>11</v>
      </c>
      <c r="G1120">
        <v>74</v>
      </c>
      <c r="H1120">
        <v>0.47</v>
      </c>
      <c r="I1120" t="s">
        <v>23</v>
      </c>
      <c r="J1120">
        <v>0</v>
      </c>
      <c r="K1120">
        <v>1</v>
      </c>
      <c r="L1120">
        <v>0</v>
      </c>
      <c r="M1120">
        <f>VLOOKUP(Table1[[#This Row],[subscription_type]],Plans!$A$1:$B$5,2,FALSE)</f>
        <v>4.99</v>
      </c>
      <c r="N1120">
        <f t="shared" si="17"/>
        <v>0</v>
      </c>
    </row>
    <row r="1121" spans="1:14" x14ac:dyDescent="0.35">
      <c r="A1121">
        <v>1120</v>
      </c>
      <c r="B1121" t="s">
        <v>20</v>
      </c>
      <c r="C1121">
        <v>24</v>
      </c>
      <c r="D1121" t="s">
        <v>21</v>
      </c>
      <c r="E1121" t="s">
        <v>18</v>
      </c>
      <c r="F1121">
        <v>164</v>
      </c>
      <c r="G1121">
        <v>84</v>
      </c>
      <c r="H1121">
        <v>0.02</v>
      </c>
      <c r="I1121" t="s">
        <v>15</v>
      </c>
      <c r="J1121">
        <v>0</v>
      </c>
      <c r="K1121">
        <v>1</v>
      </c>
      <c r="L1121">
        <v>1</v>
      </c>
      <c r="M1121">
        <f>VLOOKUP(Table1[[#This Row],[subscription_type]],Plans!$A$1:$B$5,2,FALSE)</f>
        <v>14.99</v>
      </c>
      <c r="N1121">
        <f t="shared" si="17"/>
        <v>14.99</v>
      </c>
    </row>
    <row r="1122" spans="1:14" x14ac:dyDescent="0.35">
      <c r="A1122">
        <v>1121</v>
      </c>
      <c r="B1122" t="s">
        <v>20</v>
      </c>
      <c r="C1122">
        <v>26</v>
      </c>
      <c r="D1122" t="s">
        <v>27</v>
      </c>
      <c r="E1122" t="s">
        <v>14</v>
      </c>
      <c r="F1122">
        <v>284</v>
      </c>
      <c r="G1122">
        <v>14</v>
      </c>
      <c r="H1122">
        <v>0.5</v>
      </c>
      <c r="I1122" t="s">
        <v>15</v>
      </c>
      <c r="J1122">
        <v>10</v>
      </c>
      <c r="K1122">
        <v>0</v>
      </c>
      <c r="L1122">
        <v>0</v>
      </c>
      <c r="M1122">
        <f>VLOOKUP(Table1[[#This Row],[subscription_type]],Plans!$A$1:$B$5,2,FALSE)</f>
        <v>0</v>
      </c>
      <c r="N1122">
        <f t="shared" si="17"/>
        <v>0</v>
      </c>
    </row>
    <row r="1123" spans="1:14" x14ac:dyDescent="0.35">
      <c r="A1123">
        <v>1122</v>
      </c>
      <c r="B1123" t="s">
        <v>16</v>
      </c>
      <c r="C1123">
        <v>29</v>
      </c>
      <c r="D1123" t="s">
        <v>25</v>
      </c>
      <c r="E1123" t="s">
        <v>22</v>
      </c>
      <c r="F1123">
        <v>259</v>
      </c>
      <c r="G1123">
        <v>39</v>
      </c>
      <c r="H1123">
        <v>0.39</v>
      </c>
      <c r="I1123" t="s">
        <v>23</v>
      </c>
      <c r="J1123">
        <v>0</v>
      </c>
      <c r="K1123">
        <v>1</v>
      </c>
      <c r="L1123">
        <v>1</v>
      </c>
      <c r="M1123">
        <f>VLOOKUP(Table1[[#This Row],[subscription_type]],Plans!$A$1:$B$5,2,FALSE)</f>
        <v>9.99</v>
      </c>
      <c r="N1123">
        <f t="shared" si="17"/>
        <v>9.99</v>
      </c>
    </row>
    <row r="1124" spans="1:14" x14ac:dyDescent="0.35">
      <c r="A1124">
        <v>1123</v>
      </c>
      <c r="B1124" t="s">
        <v>20</v>
      </c>
      <c r="C1124">
        <v>20</v>
      </c>
      <c r="D1124" t="s">
        <v>17</v>
      </c>
      <c r="E1124" t="s">
        <v>24</v>
      </c>
      <c r="F1124">
        <v>226</v>
      </c>
      <c r="G1124">
        <v>82</v>
      </c>
      <c r="H1124">
        <v>0.53</v>
      </c>
      <c r="I1124" t="s">
        <v>15</v>
      </c>
      <c r="J1124">
        <v>0</v>
      </c>
      <c r="K1124">
        <v>1</v>
      </c>
      <c r="L1124">
        <v>0</v>
      </c>
      <c r="M1124">
        <f>VLOOKUP(Table1[[#This Row],[subscription_type]],Plans!$A$1:$B$5,2,FALSE)</f>
        <v>4.99</v>
      </c>
      <c r="N1124">
        <f t="shared" si="17"/>
        <v>0</v>
      </c>
    </row>
    <row r="1125" spans="1:14" x14ac:dyDescent="0.35">
      <c r="A1125">
        <v>1124</v>
      </c>
      <c r="B1125" t="s">
        <v>16</v>
      </c>
      <c r="C1125">
        <v>18</v>
      </c>
      <c r="D1125" t="s">
        <v>21</v>
      </c>
      <c r="E1125" t="s">
        <v>22</v>
      </c>
      <c r="F1125">
        <v>111</v>
      </c>
      <c r="G1125">
        <v>42</v>
      </c>
      <c r="H1125">
        <v>0.54</v>
      </c>
      <c r="I1125" t="s">
        <v>19</v>
      </c>
      <c r="J1125">
        <v>0</v>
      </c>
      <c r="K1125">
        <v>1</v>
      </c>
      <c r="L1125">
        <v>0</v>
      </c>
      <c r="M1125">
        <f>VLOOKUP(Table1[[#This Row],[subscription_type]],Plans!$A$1:$B$5,2,FALSE)</f>
        <v>9.99</v>
      </c>
      <c r="N1125">
        <f t="shared" si="17"/>
        <v>0</v>
      </c>
    </row>
    <row r="1126" spans="1:14" x14ac:dyDescent="0.35">
      <c r="A1126">
        <v>1125</v>
      </c>
      <c r="B1126" t="s">
        <v>16</v>
      </c>
      <c r="C1126">
        <v>17</v>
      </c>
      <c r="D1126" t="s">
        <v>17</v>
      </c>
      <c r="E1126" t="s">
        <v>14</v>
      </c>
      <c r="F1126">
        <v>146</v>
      </c>
      <c r="G1126">
        <v>68</v>
      </c>
      <c r="H1126">
        <v>0.16</v>
      </c>
      <c r="I1126" t="s">
        <v>19</v>
      </c>
      <c r="J1126">
        <v>12</v>
      </c>
      <c r="K1126">
        <v>0</v>
      </c>
      <c r="L1126">
        <v>1</v>
      </c>
      <c r="M1126">
        <f>VLOOKUP(Table1[[#This Row],[subscription_type]],Plans!$A$1:$B$5,2,FALSE)</f>
        <v>0</v>
      </c>
      <c r="N1126">
        <f t="shared" si="17"/>
        <v>0</v>
      </c>
    </row>
    <row r="1127" spans="1:14" x14ac:dyDescent="0.35">
      <c r="A1127">
        <v>1126</v>
      </c>
      <c r="B1127" t="s">
        <v>20</v>
      </c>
      <c r="C1127">
        <v>21</v>
      </c>
      <c r="D1127" t="s">
        <v>21</v>
      </c>
      <c r="E1127" t="s">
        <v>14</v>
      </c>
      <c r="F1127">
        <v>129</v>
      </c>
      <c r="G1127">
        <v>5</v>
      </c>
      <c r="H1127">
        <v>0.02</v>
      </c>
      <c r="I1127" t="s">
        <v>15</v>
      </c>
      <c r="J1127">
        <v>25</v>
      </c>
      <c r="K1127">
        <v>0</v>
      </c>
      <c r="L1127">
        <v>0</v>
      </c>
      <c r="M1127">
        <f>VLOOKUP(Table1[[#This Row],[subscription_type]],Plans!$A$1:$B$5,2,FALSE)</f>
        <v>0</v>
      </c>
      <c r="N1127">
        <f t="shared" si="17"/>
        <v>0</v>
      </c>
    </row>
    <row r="1128" spans="1:14" x14ac:dyDescent="0.35">
      <c r="A1128">
        <v>1127</v>
      </c>
      <c r="B1128" t="s">
        <v>16</v>
      </c>
      <c r="C1128">
        <v>20</v>
      </c>
      <c r="D1128" t="s">
        <v>13</v>
      </c>
      <c r="E1128" t="s">
        <v>24</v>
      </c>
      <c r="F1128">
        <v>241</v>
      </c>
      <c r="G1128">
        <v>68</v>
      </c>
      <c r="H1128">
        <v>0.22</v>
      </c>
      <c r="I1128" t="s">
        <v>23</v>
      </c>
      <c r="J1128">
        <v>0</v>
      </c>
      <c r="K1128">
        <v>1</v>
      </c>
      <c r="L1128">
        <v>0</v>
      </c>
      <c r="M1128">
        <f>VLOOKUP(Table1[[#This Row],[subscription_type]],Plans!$A$1:$B$5,2,FALSE)</f>
        <v>4.99</v>
      </c>
      <c r="N1128">
        <f t="shared" si="17"/>
        <v>0</v>
      </c>
    </row>
    <row r="1129" spans="1:14" x14ac:dyDescent="0.35">
      <c r="A1129">
        <v>1128</v>
      </c>
      <c r="B1129" t="s">
        <v>12</v>
      </c>
      <c r="C1129">
        <v>27</v>
      </c>
      <c r="D1129" t="s">
        <v>27</v>
      </c>
      <c r="E1129" t="s">
        <v>14</v>
      </c>
      <c r="F1129">
        <v>144</v>
      </c>
      <c r="G1129">
        <v>75</v>
      </c>
      <c r="H1129">
        <v>0.2</v>
      </c>
      <c r="I1129" t="s">
        <v>19</v>
      </c>
      <c r="J1129">
        <v>26</v>
      </c>
      <c r="K1129">
        <v>0</v>
      </c>
      <c r="L1129">
        <v>0</v>
      </c>
      <c r="M1129">
        <f>VLOOKUP(Table1[[#This Row],[subscription_type]],Plans!$A$1:$B$5,2,FALSE)</f>
        <v>0</v>
      </c>
      <c r="N1129">
        <f t="shared" si="17"/>
        <v>0</v>
      </c>
    </row>
    <row r="1130" spans="1:14" x14ac:dyDescent="0.35">
      <c r="A1130">
        <v>1129</v>
      </c>
      <c r="B1130" t="s">
        <v>16</v>
      </c>
      <c r="C1130">
        <v>27</v>
      </c>
      <c r="D1130" t="s">
        <v>25</v>
      </c>
      <c r="E1130" t="s">
        <v>14</v>
      </c>
      <c r="F1130">
        <v>284</v>
      </c>
      <c r="G1130">
        <v>57</v>
      </c>
      <c r="H1130">
        <v>0.14000000000000001</v>
      </c>
      <c r="I1130" t="s">
        <v>15</v>
      </c>
      <c r="J1130">
        <v>41</v>
      </c>
      <c r="K1130">
        <v>0</v>
      </c>
      <c r="L1130">
        <v>1</v>
      </c>
      <c r="M1130">
        <f>VLOOKUP(Table1[[#This Row],[subscription_type]],Plans!$A$1:$B$5,2,FALSE)</f>
        <v>0</v>
      </c>
      <c r="N1130">
        <f t="shared" si="17"/>
        <v>0</v>
      </c>
    </row>
    <row r="1131" spans="1:14" x14ac:dyDescent="0.35">
      <c r="A1131">
        <v>1130</v>
      </c>
      <c r="B1131" t="s">
        <v>12</v>
      </c>
      <c r="C1131">
        <v>50</v>
      </c>
      <c r="D1131" t="s">
        <v>26</v>
      </c>
      <c r="E1131" t="s">
        <v>24</v>
      </c>
      <c r="F1131">
        <v>241</v>
      </c>
      <c r="G1131">
        <v>93</v>
      </c>
      <c r="H1131">
        <v>0.17</v>
      </c>
      <c r="I1131" t="s">
        <v>19</v>
      </c>
      <c r="J1131">
        <v>0</v>
      </c>
      <c r="K1131">
        <v>1</v>
      </c>
      <c r="L1131">
        <v>1</v>
      </c>
      <c r="M1131">
        <f>VLOOKUP(Table1[[#This Row],[subscription_type]],Plans!$A$1:$B$5,2,FALSE)</f>
        <v>4.99</v>
      </c>
      <c r="N1131">
        <f t="shared" si="17"/>
        <v>4.99</v>
      </c>
    </row>
    <row r="1132" spans="1:14" x14ac:dyDescent="0.35">
      <c r="A1132">
        <v>1131</v>
      </c>
      <c r="B1132" t="s">
        <v>20</v>
      </c>
      <c r="C1132">
        <v>26</v>
      </c>
      <c r="D1132" t="s">
        <v>28</v>
      </c>
      <c r="E1132" t="s">
        <v>22</v>
      </c>
      <c r="F1132">
        <v>290</v>
      </c>
      <c r="G1132">
        <v>14</v>
      </c>
      <c r="H1132">
        <v>0.33</v>
      </c>
      <c r="I1132" t="s">
        <v>23</v>
      </c>
      <c r="J1132">
        <v>0</v>
      </c>
      <c r="K1132">
        <v>1</v>
      </c>
      <c r="L1132">
        <v>0</v>
      </c>
      <c r="M1132">
        <f>VLOOKUP(Table1[[#This Row],[subscription_type]],Plans!$A$1:$B$5,2,FALSE)</f>
        <v>9.99</v>
      </c>
      <c r="N1132">
        <f t="shared" si="17"/>
        <v>0</v>
      </c>
    </row>
    <row r="1133" spans="1:14" x14ac:dyDescent="0.35">
      <c r="A1133">
        <v>1132</v>
      </c>
      <c r="B1133" t="s">
        <v>12</v>
      </c>
      <c r="C1133">
        <v>23</v>
      </c>
      <c r="D1133" t="s">
        <v>28</v>
      </c>
      <c r="E1133" t="s">
        <v>24</v>
      </c>
      <c r="F1133">
        <v>137</v>
      </c>
      <c r="G1133">
        <v>39</v>
      </c>
      <c r="H1133">
        <v>0.49</v>
      </c>
      <c r="I1133" t="s">
        <v>19</v>
      </c>
      <c r="J1133">
        <v>0</v>
      </c>
      <c r="K1133">
        <v>1</v>
      </c>
      <c r="L1133">
        <v>0</v>
      </c>
      <c r="M1133">
        <f>VLOOKUP(Table1[[#This Row],[subscription_type]],Plans!$A$1:$B$5,2,FALSE)</f>
        <v>4.99</v>
      </c>
      <c r="N1133">
        <f t="shared" si="17"/>
        <v>0</v>
      </c>
    </row>
    <row r="1134" spans="1:14" x14ac:dyDescent="0.35">
      <c r="A1134">
        <v>1133</v>
      </c>
      <c r="B1134" t="s">
        <v>20</v>
      </c>
      <c r="C1134">
        <v>56</v>
      </c>
      <c r="D1134" t="s">
        <v>28</v>
      </c>
      <c r="E1134" t="s">
        <v>22</v>
      </c>
      <c r="F1134">
        <v>187</v>
      </c>
      <c r="G1134">
        <v>60</v>
      </c>
      <c r="H1134">
        <v>0.14000000000000001</v>
      </c>
      <c r="I1134" t="s">
        <v>19</v>
      </c>
      <c r="J1134">
        <v>0</v>
      </c>
      <c r="K1134">
        <v>1</v>
      </c>
      <c r="L1134">
        <v>0</v>
      </c>
      <c r="M1134">
        <f>VLOOKUP(Table1[[#This Row],[subscription_type]],Plans!$A$1:$B$5,2,FALSE)</f>
        <v>9.99</v>
      </c>
      <c r="N1134">
        <f t="shared" si="17"/>
        <v>0</v>
      </c>
    </row>
    <row r="1135" spans="1:14" x14ac:dyDescent="0.35">
      <c r="A1135">
        <v>1134</v>
      </c>
      <c r="B1135" t="s">
        <v>12</v>
      </c>
      <c r="C1135">
        <v>35</v>
      </c>
      <c r="D1135" t="s">
        <v>28</v>
      </c>
      <c r="E1135" t="s">
        <v>18</v>
      </c>
      <c r="F1135">
        <v>36</v>
      </c>
      <c r="G1135">
        <v>14</v>
      </c>
      <c r="H1135">
        <v>0.6</v>
      </c>
      <c r="I1135" t="s">
        <v>19</v>
      </c>
      <c r="J1135">
        <v>0</v>
      </c>
      <c r="K1135">
        <v>1</v>
      </c>
      <c r="L1135">
        <v>0</v>
      </c>
      <c r="M1135">
        <f>VLOOKUP(Table1[[#This Row],[subscription_type]],Plans!$A$1:$B$5,2,FALSE)</f>
        <v>14.99</v>
      </c>
      <c r="N1135">
        <f t="shared" si="17"/>
        <v>0</v>
      </c>
    </row>
    <row r="1136" spans="1:14" x14ac:dyDescent="0.35">
      <c r="A1136">
        <v>1135</v>
      </c>
      <c r="B1136" t="s">
        <v>20</v>
      </c>
      <c r="C1136">
        <v>56</v>
      </c>
      <c r="D1136" t="s">
        <v>26</v>
      </c>
      <c r="E1136" t="s">
        <v>18</v>
      </c>
      <c r="F1136">
        <v>106</v>
      </c>
      <c r="G1136">
        <v>5</v>
      </c>
      <c r="H1136">
        <v>0.55000000000000004</v>
      </c>
      <c r="I1136" t="s">
        <v>19</v>
      </c>
      <c r="J1136">
        <v>0</v>
      </c>
      <c r="K1136">
        <v>1</v>
      </c>
      <c r="L1136">
        <v>1</v>
      </c>
      <c r="M1136">
        <f>VLOOKUP(Table1[[#This Row],[subscription_type]],Plans!$A$1:$B$5,2,FALSE)</f>
        <v>14.99</v>
      </c>
      <c r="N1136">
        <f t="shared" si="17"/>
        <v>14.99</v>
      </c>
    </row>
    <row r="1137" spans="1:14" x14ac:dyDescent="0.35">
      <c r="A1137">
        <v>1136</v>
      </c>
      <c r="B1137" t="s">
        <v>12</v>
      </c>
      <c r="C1137">
        <v>25</v>
      </c>
      <c r="D1137" t="s">
        <v>29</v>
      </c>
      <c r="E1137" t="s">
        <v>18</v>
      </c>
      <c r="F1137">
        <v>211</v>
      </c>
      <c r="G1137">
        <v>10</v>
      </c>
      <c r="H1137">
        <v>0.6</v>
      </c>
      <c r="I1137" t="s">
        <v>23</v>
      </c>
      <c r="J1137">
        <v>0</v>
      </c>
      <c r="K1137">
        <v>1</v>
      </c>
      <c r="L1137">
        <v>0</v>
      </c>
      <c r="M1137">
        <f>VLOOKUP(Table1[[#This Row],[subscription_type]],Plans!$A$1:$B$5,2,FALSE)</f>
        <v>14.99</v>
      </c>
      <c r="N1137">
        <f t="shared" si="17"/>
        <v>0</v>
      </c>
    </row>
    <row r="1138" spans="1:14" x14ac:dyDescent="0.35">
      <c r="A1138">
        <v>1137</v>
      </c>
      <c r="B1138" t="s">
        <v>12</v>
      </c>
      <c r="C1138">
        <v>44</v>
      </c>
      <c r="D1138" t="s">
        <v>21</v>
      </c>
      <c r="E1138" t="s">
        <v>18</v>
      </c>
      <c r="F1138">
        <v>64</v>
      </c>
      <c r="G1138">
        <v>88</v>
      </c>
      <c r="H1138">
        <v>0.24</v>
      </c>
      <c r="I1138" t="s">
        <v>19</v>
      </c>
      <c r="J1138">
        <v>0</v>
      </c>
      <c r="K1138">
        <v>1</v>
      </c>
      <c r="L1138">
        <v>0</v>
      </c>
      <c r="M1138">
        <f>VLOOKUP(Table1[[#This Row],[subscription_type]],Plans!$A$1:$B$5,2,FALSE)</f>
        <v>14.99</v>
      </c>
      <c r="N1138">
        <f t="shared" si="17"/>
        <v>0</v>
      </c>
    </row>
    <row r="1139" spans="1:14" x14ac:dyDescent="0.35">
      <c r="A1139">
        <v>1138</v>
      </c>
      <c r="B1139" t="s">
        <v>12</v>
      </c>
      <c r="C1139">
        <v>30</v>
      </c>
      <c r="D1139" t="s">
        <v>29</v>
      </c>
      <c r="E1139" t="s">
        <v>22</v>
      </c>
      <c r="F1139">
        <v>49</v>
      </c>
      <c r="G1139">
        <v>75</v>
      </c>
      <c r="H1139">
        <v>0.36</v>
      </c>
      <c r="I1139" t="s">
        <v>15</v>
      </c>
      <c r="J1139">
        <v>0</v>
      </c>
      <c r="K1139">
        <v>1</v>
      </c>
      <c r="L1139">
        <v>0</v>
      </c>
      <c r="M1139">
        <f>VLOOKUP(Table1[[#This Row],[subscription_type]],Plans!$A$1:$B$5,2,FALSE)</f>
        <v>9.99</v>
      </c>
      <c r="N1139">
        <f t="shared" si="17"/>
        <v>0</v>
      </c>
    </row>
    <row r="1140" spans="1:14" x14ac:dyDescent="0.35">
      <c r="A1140">
        <v>1139</v>
      </c>
      <c r="B1140" t="s">
        <v>20</v>
      </c>
      <c r="C1140">
        <v>53</v>
      </c>
      <c r="D1140" t="s">
        <v>13</v>
      </c>
      <c r="E1140" t="s">
        <v>24</v>
      </c>
      <c r="F1140">
        <v>68</v>
      </c>
      <c r="G1140">
        <v>82</v>
      </c>
      <c r="H1140">
        <v>0.56999999999999995</v>
      </c>
      <c r="I1140" t="s">
        <v>19</v>
      </c>
      <c r="J1140">
        <v>0</v>
      </c>
      <c r="K1140">
        <v>1</v>
      </c>
      <c r="L1140">
        <v>1</v>
      </c>
      <c r="M1140">
        <f>VLOOKUP(Table1[[#This Row],[subscription_type]],Plans!$A$1:$B$5,2,FALSE)</f>
        <v>4.99</v>
      </c>
      <c r="N1140">
        <f t="shared" si="17"/>
        <v>4.99</v>
      </c>
    </row>
    <row r="1141" spans="1:14" x14ac:dyDescent="0.35">
      <c r="A1141">
        <v>1140</v>
      </c>
      <c r="B1141" t="s">
        <v>20</v>
      </c>
      <c r="C1141">
        <v>31</v>
      </c>
      <c r="D1141" t="s">
        <v>25</v>
      </c>
      <c r="E1141" t="s">
        <v>24</v>
      </c>
      <c r="F1141">
        <v>268</v>
      </c>
      <c r="G1141">
        <v>58</v>
      </c>
      <c r="H1141">
        <v>0.59</v>
      </c>
      <c r="I1141" t="s">
        <v>19</v>
      </c>
      <c r="J1141">
        <v>0</v>
      </c>
      <c r="K1141">
        <v>1</v>
      </c>
      <c r="L1141">
        <v>0</v>
      </c>
      <c r="M1141">
        <f>VLOOKUP(Table1[[#This Row],[subscription_type]],Plans!$A$1:$B$5,2,FALSE)</f>
        <v>4.99</v>
      </c>
      <c r="N1141">
        <f t="shared" si="17"/>
        <v>0</v>
      </c>
    </row>
    <row r="1142" spans="1:14" x14ac:dyDescent="0.35">
      <c r="A1142">
        <v>1141</v>
      </c>
      <c r="B1142" t="s">
        <v>12</v>
      </c>
      <c r="C1142">
        <v>52</v>
      </c>
      <c r="D1142" t="s">
        <v>26</v>
      </c>
      <c r="E1142" t="s">
        <v>22</v>
      </c>
      <c r="F1142">
        <v>118</v>
      </c>
      <c r="G1142">
        <v>67</v>
      </c>
      <c r="H1142">
        <v>0.56999999999999995</v>
      </c>
      <c r="I1142" t="s">
        <v>23</v>
      </c>
      <c r="J1142">
        <v>0</v>
      </c>
      <c r="K1142">
        <v>1</v>
      </c>
      <c r="L1142">
        <v>0</v>
      </c>
      <c r="M1142">
        <f>VLOOKUP(Table1[[#This Row],[subscription_type]],Plans!$A$1:$B$5,2,FALSE)</f>
        <v>9.99</v>
      </c>
      <c r="N1142">
        <f t="shared" si="17"/>
        <v>0</v>
      </c>
    </row>
    <row r="1143" spans="1:14" x14ac:dyDescent="0.35">
      <c r="A1143">
        <v>1142</v>
      </c>
      <c r="B1143" t="s">
        <v>12</v>
      </c>
      <c r="C1143">
        <v>31</v>
      </c>
      <c r="D1143" t="s">
        <v>21</v>
      </c>
      <c r="E1143" t="s">
        <v>14</v>
      </c>
      <c r="F1143">
        <v>200</v>
      </c>
      <c r="G1143">
        <v>50</v>
      </c>
      <c r="H1143">
        <v>0.33</v>
      </c>
      <c r="I1143" t="s">
        <v>15</v>
      </c>
      <c r="J1143">
        <v>40</v>
      </c>
      <c r="K1143">
        <v>0</v>
      </c>
      <c r="L1143">
        <v>0</v>
      </c>
      <c r="M1143">
        <f>VLOOKUP(Table1[[#This Row],[subscription_type]],Plans!$A$1:$B$5,2,FALSE)</f>
        <v>0</v>
      </c>
      <c r="N1143">
        <f t="shared" si="17"/>
        <v>0</v>
      </c>
    </row>
    <row r="1144" spans="1:14" x14ac:dyDescent="0.35">
      <c r="A1144">
        <v>1143</v>
      </c>
      <c r="B1144" t="s">
        <v>12</v>
      </c>
      <c r="C1144">
        <v>49</v>
      </c>
      <c r="D1144" t="s">
        <v>25</v>
      </c>
      <c r="E1144" t="s">
        <v>14</v>
      </c>
      <c r="F1144">
        <v>13</v>
      </c>
      <c r="G1144">
        <v>96</v>
      </c>
      <c r="H1144">
        <v>0.05</v>
      </c>
      <c r="I1144" t="s">
        <v>23</v>
      </c>
      <c r="J1144">
        <v>30</v>
      </c>
      <c r="K1144">
        <v>0</v>
      </c>
      <c r="L1144">
        <v>0</v>
      </c>
      <c r="M1144">
        <f>VLOOKUP(Table1[[#This Row],[subscription_type]],Plans!$A$1:$B$5,2,FALSE)</f>
        <v>0</v>
      </c>
      <c r="N1144">
        <f t="shared" si="17"/>
        <v>0</v>
      </c>
    </row>
    <row r="1145" spans="1:14" x14ac:dyDescent="0.35">
      <c r="A1145">
        <v>1144</v>
      </c>
      <c r="B1145" t="s">
        <v>16</v>
      </c>
      <c r="C1145">
        <v>47</v>
      </c>
      <c r="D1145" t="s">
        <v>29</v>
      </c>
      <c r="E1145" t="s">
        <v>24</v>
      </c>
      <c r="F1145">
        <v>150</v>
      </c>
      <c r="G1145">
        <v>22</v>
      </c>
      <c r="H1145">
        <v>0.47</v>
      </c>
      <c r="I1145" t="s">
        <v>23</v>
      </c>
      <c r="J1145">
        <v>0</v>
      </c>
      <c r="K1145">
        <v>1</v>
      </c>
      <c r="L1145">
        <v>0</v>
      </c>
      <c r="M1145">
        <f>VLOOKUP(Table1[[#This Row],[subscription_type]],Plans!$A$1:$B$5,2,FALSE)</f>
        <v>4.99</v>
      </c>
      <c r="N1145">
        <f t="shared" si="17"/>
        <v>0</v>
      </c>
    </row>
    <row r="1146" spans="1:14" x14ac:dyDescent="0.35">
      <c r="A1146">
        <v>1145</v>
      </c>
      <c r="B1146" t="s">
        <v>16</v>
      </c>
      <c r="C1146">
        <v>30</v>
      </c>
      <c r="D1146" t="s">
        <v>27</v>
      </c>
      <c r="E1146" t="s">
        <v>18</v>
      </c>
      <c r="F1146">
        <v>43</v>
      </c>
      <c r="G1146">
        <v>7</v>
      </c>
      <c r="H1146">
        <v>0.04</v>
      </c>
      <c r="I1146" t="s">
        <v>23</v>
      </c>
      <c r="J1146">
        <v>0</v>
      </c>
      <c r="K1146">
        <v>1</v>
      </c>
      <c r="L1146">
        <v>0</v>
      </c>
      <c r="M1146">
        <f>VLOOKUP(Table1[[#This Row],[subscription_type]],Plans!$A$1:$B$5,2,FALSE)</f>
        <v>14.99</v>
      </c>
      <c r="N1146">
        <f t="shared" si="17"/>
        <v>0</v>
      </c>
    </row>
    <row r="1147" spans="1:14" x14ac:dyDescent="0.35">
      <c r="A1147">
        <v>1146</v>
      </c>
      <c r="B1147" t="s">
        <v>16</v>
      </c>
      <c r="C1147">
        <v>28</v>
      </c>
      <c r="D1147" t="s">
        <v>26</v>
      </c>
      <c r="E1147" t="s">
        <v>22</v>
      </c>
      <c r="F1147">
        <v>298</v>
      </c>
      <c r="G1147">
        <v>12</v>
      </c>
      <c r="H1147">
        <v>0.59</v>
      </c>
      <c r="I1147" t="s">
        <v>19</v>
      </c>
      <c r="J1147">
        <v>0</v>
      </c>
      <c r="K1147">
        <v>1</v>
      </c>
      <c r="L1147">
        <v>0</v>
      </c>
      <c r="M1147">
        <f>VLOOKUP(Table1[[#This Row],[subscription_type]],Plans!$A$1:$B$5,2,FALSE)</f>
        <v>9.99</v>
      </c>
      <c r="N1147">
        <f t="shared" si="17"/>
        <v>0</v>
      </c>
    </row>
    <row r="1148" spans="1:14" x14ac:dyDescent="0.35">
      <c r="A1148">
        <v>1147</v>
      </c>
      <c r="B1148" t="s">
        <v>20</v>
      </c>
      <c r="C1148">
        <v>49</v>
      </c>
      <c r="D1148" t="s">
        <v>17</v>
      </c>
      <c r="E1148" t="s">
        <v>14</v>
      </c>
      <c r="F1148">
        <v>156</v>
      </c>
      <c r="G1148">
        <v>32</v>
      </c>
      <c r="H1148">
        <v>0.28999999999999998</v>
      </c>
      <c r="I1148" t="s">
        <v>15</v>
      </c>
      <c r="J1148">
        <v>33</v>
      </c>
      <c r="K1148">
        <v>0</v>
      </c>
      <c r="L1148">
        <v>0</v>
      </c>
      <c r="M1148">
        <f>VLOOKUP(Table1[[#This Row],[subscription_type]],Plans!$A$1:$B$5,2,FALSE)</f>
        <v>0</v>
      </c>
      <c r="N1148">
        <f t="shared" si="17"/>
        <v>0</v>
      </c>
    </row>
    <row r="1149" spans="1:14" x14ac:dyDescent="0.35">
      <c r="A1149">
        <v>1148</v>
      </c>
      <c r="B1149" t="s">
        <v>12</v>
      </c>
      <c r="C1149">
        <v>23</v>
      </c>
      <c r="D1149" t="s">
        <v>21</v>
      </c>
      <c r="E1149" t="s">
        <v>18</v>
      </c>
      <c r="F1149">
        <v>27</v>
      </c>
      <c r="G1149">
        <v>72</v>
      </c>
      <c r="H1149">
        <v>0.01</v>
      </c>
      <c r="I1149" t="s">
        <v>15</v>
      </c>
      <c r="J1149">
        <v>0</v>
      </c>
      <c r="K1149">
        <v>1</v>
      </c>
      <c r="L1149">
        <v>0</v>
      </c>
      <c r="M1149">
        <f>VLOOKUP(Table1[[#This Row],[subscription_type]],Plans!$A$1:$B$5,2,FALSE)</f>
        <v>14.99</v>
      </c>
      <c r="N1149">
        <f t="shared" si="17"/>
        <v>0</v>
      </c>
    </row>
    <row r="1150" spans="1:14" x14ac:dyDescent="0.35">
      <c r="A1150">
        <v>1149</v>
      </c>
      <c r="B1150" t="s">
        <v>16</v>
      </c>
      <c r="C1150">
        <v>56</v>
      </c>
      <c r="D1150" t="s">
        <v>21</v>
      </c>
      <c r="E1150" t="s">
        <v>14</v>
      </c>
      <c r="F1150">
        <v>243</v>
      </c>
      <c r="G1150">
        <v>43</v>
      </c>
      <c r="H1150">
        <v>0.13</v>
      </c>
      <c r="I1150" t="s">
        <v>15</v>
      </c>
      <c r="J1150">
        <v>10</v>
      </c>
      <c r="K1150">
        <v>0</v>
      </c>
      <c r="L1150">
        <v>0</v>
      </c>
      <c r="M1150">
        <f>VLOOKUP(Table1[[#This Row],[subscription_type]],Plans!$A$1:$B$5,2,FALSE)</f>
        <v>0</v>
      </c>
      <c r="N1150">
        <f t="shared" si="17"/>
        <v>0</v>
      </c>
    </row>
    <row r="1151" spans="1:14" x14ac:dyDescent="0.35">
      <c r="A1151">
        <v>1150</v>
      </c>
      <c r="B1151" t="s">
        <v>12</v>
      </c>
      <c r="C1151">
        <v>38</v>
      </c>
      <c r="D1151" t="s">
        <v>28</v>
      </c>
      <c r="E1151" t="s">
        <v>18</v>
      </c>
      <c r="F1151">
        <v>282</v>
      </c>
      <c r="G1151">
        <v>48</v>
      </c>
      <c r="H1151">
        <v>0.56999999999999995</v>
      </c>
      <c r="I1151" t="s">
        <v>23</v>
      </c>
      <c r="J1151">
        <v>0</v>
      </c>
      <c r="K1151">
        <v>1</v>
      </c>
      <c r="L1151">
        <v>1</v>
      </c>
      <c r="M1151">
        <f>VLOOKUP(Table1[[#This Row],[subscription_type]],Plans!$A$1:$B$5,2,FALSE)</f>
        <v>14.99</v>
      </c>
      <c r="N1151">
        <f t="shared" si="17"/>
        <v>14.99</v>
      </c>
    </row>
    <row r="1152" spans="1:14" x14ac:dyDescent="0.35">
      <c r="A1152">
        <v>1151</v>
      </c>
      <c r="B1152" t="s">
        <v>16</v>
      </c>
      <c r="C1152">
        <v>59</v>
      </c>
      <c r="D1152" t="s">
        <v>17</v>
      </c>
      <c r="E1152" t="s">
        <v>18</v>
      </c>
      <c r="F1152">
        <v>274</v>
      </c>
      <c r="G1152">
        <v>97</v>
      </c>
      <c r="H1152">
        <v>0.22</v>
      </c>
      <c r="I1152" t="s">
        <v>19</v>
      </c>
      <c r="J1152">
        <v>0</v>
      </c>
      <c r="K1152">
        <v>1</v>
      </c>
      <c r="L1152">
        <v>0</v>
      </c>
      <c r="M1152">
        <f>VLOOKUP(Table1[[#This Row],[subscription_type]],Plans!$A$1:$B$5,2,FALSE)</f>
        <v>14.99</v>
      </c>
      <c r="N1152">
        <f t="shared" si="17"/>
        <v>0</v>
      </c>
    </row>
    <row r="1153" spans="1:14" x14ac:dyDescent="0.35">
      <c r="A1153">
        <v>1152</v>
      </c>
      <c r="B1153" t="s">
        <v>12</v>
      </c>
      <c r="C1153">
        <v>52</v>
      </c>
      <c r="D1153" t="s">
        <v>26</v>
      </c>
      <c r="E1153" t="s">
        <v>18</v>
      </c>
      <c r="F1153">
        <v>253</v>
      </c>
      <c r="G1153">
        <v>50</v>
      </c>
      <c r="H1153">
        <v>0.25</v>
      </c>
      <c r="I1153" t="s">
        <v>19</v>
      </c>
      <c r="J1153">
        <v>0</v>
      </c>
      <c r="K1153">
        <v>1</v>
      </c>
      <c r="L1153">
        <v>0</v>
      </c>
      <c r="M1153">
        <f>VLOOKUP(Table1[[#This Row],[subscription_type]],Plans!$A$1:$B$5,2,FALSE)</f>
        <v>14.99</v>
      </c>
      <c r="N1153">
        <f t="shared" si="17"/>
        <v>0</v>
      </c>
    </row>
    <row r="1154" spans="1:14" x14ac:dyDescent="0.35">
      <c r="A1154">
        <v>1153</v>
      </c>
      <c r="B1154" t="s">
        <v>20</v>
      </c>
      <c r="C1154">
        <v>20</v>
      </c>
      <c r="D1154" t="s">
        <v>17</v>
      </c>
      <c r="E1154" t="s">
        <v>24</v>
      </c>
      <c r="F1154">
        <v>276</v>
      </c>
      <c r="G1154">
        <v>18</v>
      </c>
      <c r="H1154">
        <v>0.15</v>
      </c>
      <c r="I1154" t="s">
        <v>19</v>
      </c>
      <c r="J1154">
        <v>0</v>
      </c>
      <c r="K1154">
        <v>1</v>
      </c>
      <c r="L1154">
        <v>1</v>
      </c>
      <c r="M1154">
        <f>VLOOKUP(Table1[[#This Row],[subscription_type]],Plans!$A$1:$B$5,2,FALSE)</f>
        <v>4.99</v>
      </c>
      <c r="N1154">
        <f t="shared" ref="N1154:N1217" si="18">IF(L1154=1, M1154,0)</f>
        <v>4.99</v>
      </c>
    </row>
    <row r="1155" spans="1:14" x14ac:dyDescent="0.35">
      <c r="A1155">
        <v>1154</v>
      </c>
      <c r="B1155" t="s">
        <v>20</v>
      </c>
      <c r="C1155">
        <v>38</v>
      </c>
      <c r="D1155" t="s">
        <v>25</v>
      </c>
      <c r="E1155" t="s">
        <v>14</v>
      </c>
      <c r="F1155">
        <v>65</v>
      </c>
      <c r="G1155">
        <v>74</v>
      </c>
      <c r="H1155">
        <v>0.1</v>
      </c>
      <c r="I1155" t="s">
        <v>19</v>
      </c>
      <c r="J1155">
        <v>28</v>
      </c>
      <c r="K1155">
        <v>0</v>
      </c>
      <c r="L1155">
        <v>0</v>
      </c>
      <c r="M1155">
        <f>VLOOKUP(Table1[[#This Row],[subscription_type]],Plans!$A$1:$B$5,2,FALSE)</f>
        <v>0</v>
      </c>
      <c r="N1155">
        <f t="shared" si="18"/>
        <v>0</v>
      </c>
    </row>
    <row r="1156" spans="1:14" x14ac:dyDescent="0.35">
      <c r="A1156">
        <v>1155</v>
      </c>
      <c r="B1156" t="s">
        <v>12</v>
      </c>
      <c r="C1156">
        <v>24</v>
      </c>
      <c r="D1156" t="s">
        <v>27</v>
      </c>
      <c r="E1156" t="s">
        <v>14</v>
      </c>
      <c r="F1156">
        <v>12</v>
      </c>
      <c r="G1156">
        <v>99</v>
      </c>
      <c r="H1156">
        <v>0.17</v>
      </c>
      <c r="I1156" t="s">
        <v>15</v>
      </c>
      <c r="J1156">
        <v>33</v>
      </c>
      <c r="K1156">
        <v>0</v>
      </c>
      <c r="L1156">
        <v>0</v>
      </c>
      <c r="M1156">
        <f>VLOOKUP(Table1[[#This Row],[subscription_type]],Plans!$A$1:$B$5,2,FALSE)</f>
        <v>0</v>
      </c>
      <c r="N1156">
        <f t="shared" si="18"/>
        <v>0</v>
      </c>
    </row>
    <row r="1157" spans="1:14" x14ac:dyDescent="0.35">
      <c r="A1157">
        <v>1156</v>
      </c>
      <c r="B1157" t="s">
        <v>20</v>
      </c>
      <c r="C1157">
        <v>16</v>
      </c>
      <c r="D1157" t="s">
        <v>26</v>
      </c>
      <c r="E1157" t="s">
        <v>24</v>
      </c>
      <c r="F1157">
        <v>172</v>
      </c>
      <c r="G1157">
        <v>81</v>
      </c>
      <c r="H1157">
        <v>0.18</v>
      </c>
      <c r="I1157" t="s">
        <v>19</v>
      </c>
      <c r="J1157">
        <v>0</v>
      </c>
      <c r="K1157">
        <v>1</v>
      </c>
      <c r="L1157">
        <v>0</v>
      </c>
      <c r="M1157">
        <f>VLOOKUP(Table1[[#This Row],[subscription_type]],Plans!$A$1:$B$5,2,FALSE)</f>
        <v>4.99</v>
      </c>
      <c r="N1157">
        <f t="shared" si="18"/>
        <v>0</v>
      </c>
    </row>
    <row r="1158" spans="1:14" x14ac:dyDescent="0.35">
      <c r="A1158">
        <v>1157</v>
      </c>
      <c r="B1158" t="s">
        <v>12</v>
      </c>
      <c r="C1158">
        <v>17</v>
      </c>
      <c r="D1158" t="s">
        <v>28</v>
      </c>
      <c r="E1158" t="s">
        <v>18</v>
      </c>
      <c r="F1158">
        <v>183</v>
      </c>
      <c r="G1158">
        <v>1</v>
      </c>
      <c r="H1158">
        <v>0.17</v>
      </c>
      <c r="I1158" t="s">
        <v>23</v>
      </c>
      <c r="J1158">
        <v>0</v>
      </c>
      <c r="K1158">
        <v>1</v>
      </c>
      <c r="L1158">
        <v>1</v>
      </c>
      <c r="M1158">
        <f>VLOOKUP(Table1[[#This Row],[subscription_type]],Plans!$A$1:$B$5,2,FALSE)</f>
        <v>14.99</v>
      </c>
      <c r="N1158">
        <f t="shared" si="18"/>
        <v>14.99</v>
      </c>
    </row>
    <row r="1159" spans="1:14" x14ac:dyDescent="0.35">
      <c r="A1159">
        <v>1158</v>
      </c>
      <c r="B1159" t="s">
        <v>20</v>
      </c>
      <c r="C1159">
        <v>27</v>
      </c>
      <c r="D1159" t="s">
        <v>13</v>
      </c>
      <c r="E1159" t="s">
        <v>18</v>
      </c>
      <c r="F1159">
        <v>81</v>
      </c>
      <c r="G1159">
        <v>80</v>
      </c>
      <c r="H1159">
        <v>0.56999999999999995</v>
      </c>
      <c r="I1159" t="s">
        <v>23</v>
      </c>
      <c r="J1159">
        <v>0</v>
      </c>
      <c r="K1159">
        <v>1</v>
      </c>
      <c r="L1159">
        <v>0</v>
      </c>
      <c r="M1159">
        <f>VLOOKUP(Table1[[#This Row],[subscription_type]],Plans!$A$1:$B$5,2,FALSE)</f>
        <v>14.99</v>
      </c>
      <c r="N1159">
        <f t="shared" si="18"/>
        <v>0</v>
      </c>
    </row>
    <row r="1160" spans="1:14" x14ac:dyDescent="0.35">
      <c r="A1160">
        <v>1159</v>
      </c>
      <c r="B1160" t="s">
        <v>12</v>
      </c>
      <c r="C1160">
        <v>43</v>
      </c>
      <c r="D1160" t="s">
        <v>17</v>
      </c>
      <c r="E1160" t="s">
        <v>24</v>
      </c>
      <c r="F1160">
        <v>214</v>
      </c>
      <c r="G1160">
        <v>94</v>
      </c>
      <c r="H1160">
        <v>0.28000000000000003</v>
      </c>
      <c r="I1160" t="s">
        <v>23</v>
      </c>
      <c r="J1160">
        <v>0</v>
      </c>
      <c r="K1160">
        <v>1</v>
      </c>
      <c r="L1160">
        <v>0</v>
      </c>
      <c r="M1160">
        <f>VLOOKUP(Table1[[#This Row],[subscription_type]],Plans!$A$1:$B$5,2,FALSE)</f>
        <v>4.99</v>
      </c>
      <c r="N1160">
        <f t="shared" si="18"/>
        <v>0</v>
      </c>
    </row>
    <row r="1161" spans="1:14" x14ac:dyDescent="0.35">
      <c r="A1161">
        <v>1160</v>
      </c>
      <c r="B1161" t="s">
        <v>12</v>
      </c>
      <c r="C1161">
        <v>43</v>
      </c>
      <c r="D1161" t="s">
        <v>21</v>
      </c>
      <c r="E1161" t="s">
        <v>18</v>
      </c>
      <c r="F1161">
        <v>29</v>
      </c>
      <c r="G1161">
        <v>30</v>
      </c>
      <c r="H1161">
        <v>0.25</v>
      </c>
      <c r="I1161" t="s">
        <v>19</v>
      </c>
      <c r="J1161">
        <v>0</v>
      </c>
      <c r="K1161">
        <v>1</v>
      </c>
      <c r="L1161">
        <v>0</v>
      </c>
      <c r="M1161">
        <f>VLOOKUP(Table1[[#This Row],[subscription_type]],Plans!$A$1:$B$5,2,FALSE)</f>
        <v>14.99</v>
      </c>
      <c r="N1161">
        <f t="shared" si="18"/>
        <v>0</v>
      </c>
    </row>
    <row r="1162" spans="1:14" x14ac:dyDescent="0.35">
      <c r="A1162">
        <v>1161</v>
      </c>
      <c r="B1162" t="s">
        <v>12</v>
      </c>
      <c r="C1162">
        <v>38</v>
      </c>
      <c r="D1162" t="s">
        <v>28</v>
      </c>
      <c r="E1162" t="s">
        <v>22</v>
      </c>
      <c r="F1162">
        <v>284</v>
      </c>
      <c r="G1162">
        <v>96</v>
      </c>
      <c r="H1162">
        <v>0.53</v>
      </c>
      <c r="I1162" t="s">
        <v>19</v>
      </c>
      <c r="J1162">
        <v>0</v>
      </c>
      <c r="K1162">
        <v>1</v>
      </c>
      <c r="L1162">
        <v>0</v>
      </c>
      <c r="M1162">
        <f>VLOOKUP(Table1[[#This Row],[subscription_type]],Plans!$A$1:$B$5,2,FALSE)</f>
        <v>9.99</v>
      </c>
      <c r="N1162">
        <f t="shared" si="18"/>
        <v>0</v>
      </c>
    </row>
    <row r="1163" spans="1:14" x14ac:dyDescent="0.35">
      <c r="A1163">
        <v>1162</v>
      </c>
      <c r="B1163" t="s">
        <v>20</v>
      </c>
      <c r="C1163">
        <v>19</v>
      </c>
      <c r="D1163" t="s">
        <v>29</v>
      </c>
      <c r="E1163" t="s">
        <v>24</v>
      </c>
      <c r="F1163">
        <v>257</v>
      </c>
      <c r="G1163">
        <v>91</v>
      </c>
      <c r="H1163">
        <v>0.48</v>
      </c>
      <c r="I1163" t="s">
        <v>19</v>
      </c>
      <c r="J1163">
        <v>0</v>
      </c>
      <c r="K1163">
        <v>1</v>
      </c>
      <c r="L1163">
        <v>0</v>
      </c>
      <c r="M1163">
        <f>VLOOKUP(Table1[[#This Row],[subscription_type]],Plans!$A$1:$B$5,2,FALSE)</f>
        <v>4.99</v>
      </c>
      <c r="N1163">
        <f t="shared" si="18"/>
        <v>0</v>
      </c>
    </row>
    <row r="1164" spans="1:14" x14ac:dyDescent="0.35">
      <c r="A1164">
        <v>1163</v>
      </c>
      <c r="B1164" t="s">
        <v>16</v>
      </c>
      <c r="C1164">
        <v>58</v>
      </c>
      <c r="D1164" t="s">
        <v>29</v>
      </c>
      <c r="E1164" t="s">
        <v>24</v>
      </c>
      <c r="F1164">
        <v>61</v>
      </c>
      <c r="G1164">
        <v>92</v>
      </c>
      <c r="H1164">
        <v>0.56999999999999995</v>
      </c>
      <c r="I1164" t="s">
        <v>19</v>
      </c>
      <c r="J1164">
        <v>0</v>
      </c>
      <c r="K1164">
        <v>1</v>
      </c>
      <c r="L1164">
        <v>0</v>
      </c>
      <c r="M1164">
        <f>VLOOKUP(Table1[[#This Row],[subscription_type]],Plans!$A$1:$B$5,2,FALSE)</f>
        <v>4.99</v>
      </c>
      <c r="N1164">
        <f t="shared" si="18"/>
        <v>0</v>
      </c>
    </row>
    <row r="1165" spans="1:14" x14ac:dyDescent="0.35">
      <c r="A1165">
        <v>1164</v>
      </c>
      <c r="B1165" t="s">
        <v>12</v>
      </c>
      <c r="C1165">
        <v>35</v>
      </c>
      <c r="D1165" t="s">
        <v>28</v>
      </c>
      <c r="E1165" t="s">
        <v>24</v>
      </c>
      <c r="F1165">
        <v>53</v>
      </c>
      <c r="G1165">
        <v>25</v>
      </c>
      <c r="H1165">
        <v>0.06</v>
      </c>
      <c r="I1165" t="s">
        <v>19</v>
      </c>
      <c r="J1165">
        <v>0</v>
      </c>
      <c r="K1165">
        <v>1</v>
      </c>
      <c r="L1165">
        <v>1</v>
      </c>
      <c r="M1165">
        <f>VLOOKUP(Table1[[#This Row],[subscription_type]],Plans!$A$1:$B$5,2,FALSE)</f>
        <v>4.99</v>
      </c>
      <c r="N1165">
        <f t="shared" si="18"/>
        <v>4.99</v>
      </c>
    </row>
    <row r="1166" spans="1:14" x14ac:dyDescent="0.35">
      <c r="A1166">
        <v>1165</v>
      </c>
      <c r="B1166" t="s">
        <v>20</v>
      </c>
      <c r="C1166">
        <v>26</v>
      </c>
      <c r="D1166" t="s">
        <v>25</v>
      </c>
      <c r="E1166" t="s">
        <v>22</v>
      </c>
      <c r="F1166">
        <v>293</v>
      </c>
      <c r="G1166">
        <v>76</v>
      </c>
      <c r="H1166">
        <v>0.31</v>
      </c>
      <c r="I1166" t="s">
        <v>23</v>
      </c>
      <c r="J1166">
        <v>0</v>
      </c>
      <c r="K1166">
        <v>1</v>
      </c>
      <c r="L1166">
        <v>0</v>
      </c>
      <c r="M1166">
        <f>VLOOKUP(Table1[[#This Row],[subscription_type]],Plans!$A$1:$B$5,2,FALSE)</f>
        <v>9.99</v>
      </c>
      <c r="N1166">
        <f t="shared" si="18"/>
        <v>0</v>
      </c>
    </row>
    <row r="1167" spans="1:14" x14ac:dyDescent="0.35">
      <c r="A1167">
        <v>1166</v>
      </c>
      <c r="B1167" t="s">
        <v>16</v>
      </c>
      <c r="C1167">
        <v>25</v>
      </c>
      <c r="D1167" t="s">
        <v>13</v>
      </c>
      <c r="E1167" t="s">
        <v>14</v>
      </c>
      <c r="F1167">
        <v>205</v>
      </c>
      <c r="G1167">
        <v>47</v>
      </c>
      <c r="H1167">
        <v>0.54</v>
      </c>
      <c r="I1167" t="s">
        <v>19</v>
      </c>
      <c r="J1167">
        <v>15</v>
      </c>
      <c r="K1167">
        <v>0</v>
      </c>
      <c r="L1167">
        <v>0</v>
      </c>
      <c r="M1167">
        <f>VLOOKUP(Table1[[#This Row],[subscription_type]],Plans!$A$1:$B$5,2,FALSE)</f>
        <v>0</v>
      </c>
      <c r="N1167">
        <f t="shared" si="18"/>
        <v>0</v>
      </c>
    </row>
    <row r="1168" spans="1:14" x14ac:dyDescent="0.35">
      <c r="A1168">
        <v>1167</v>
      </c>
      <c r="B1168" t="s">
        <v>12</v>
      </c>
      <c r="C1168">
        <v>25</v>
      </c>
      <c r="D1168" t="s">
        <v>25</v>
      </c>
      <c r="E1168" t="s">
        <v>22</v>
      </c>
      <c r="F1168">
        <v>209</v>
      </c>
      <c r="G1168">
        <v>22</v>
      </c>
      <c r="H1168">
        <v>0.33</v>
      </c>
      <c r="I1168" t="s">
        <v>19</v>
      </c>
      <c r="J1168">
        <v>0</v>
      </c>
      <c r="K1168">
        <v>1</v>
      </c>
      <c r="L1168">
        <v>0</v>
      </c>
      <c r="M1168">
        <f>VLOOKUP(Table1[[#This Row],[subscription_type]],Plans!$A$1:$B$5,2,FALSE)</f>
        <v>9.99</v>
      </c>
      <c r="N1168">
        <f t="shared" si="18"/>
        <v>0</v>
      </c>
    </row>
    <row r="1169" spans="1:14" x14ac:dyDescent="0.35">
      <c r="A1169">
        <v>1168</v>
      </c>
      <c r="B1169" t="s">
        <v>20</v>
      </c>
      <c r="C1169">
        <v>34</v>
      </c>
      <c r="D1169" t="s">
        <v>21</v>
      </c>
      <c r="E1169" t="s">
        <v>24</v>
      </c>
      <c r="F1169">
        <v>242</v>
      </c>
      <c r="G1169">
        <v>28</v>
      </c>
      <c r="H1169">
        <v>0.43</v>
      </c>
      <c r="I1169" t="s">
        <v>23</v>
      </c>
      <c r="J1169">
        <v>0</v>
      </c>
      <c r="K1169">
        <v>1</v>
      </c>
      <c r="L1169">
        <v>0</v>
      </c>
      <c r="M1169">
        <f>VLOOKUP(Table1[[#This Row],[subscription_type]],Plans!$A$1:$B$5,2,FALSE)</f>
        <v>4.99</v>
      </c>
      <c r="N1169">
        <f t="shared" si="18"/>
        <v>0</v>
      </c>
    </row>
    <row r="1170" spans="1:14" x14ac:dyDescent="0.35">
      <c r="A1170">
        <v>1169</v>
      </c>
      <c r="B1170" t="s">
        <v>16</v>
      </c>
      <c r="C1170">
        <v>42</v>
      </c>
      <c r="D1170" t="s">
        <v>28</v>
      </c>
      <c r="E1170" t="s">
        <v>22</v>
      </c>
      <c r="F1170">
        <v>88</v>
      </c>
      <c r="G1170">
        <v>48</v>
      </c>
      <c r="H1170">
        <v>0.15</v>
      </c>
      <c r="I1170" t="s">
        <v>23</v>
      </c>
      <c r="J1170">
        <v>0</v>
      </c>
      <c r="K1170">
        <v>1</v>
      </c>
      <c r="L1170">
        <v>0</v>
      </c>
      <c r="M1170">
        <f>VLOOKUP(Table1[[#This Row],[subscription_type]],Plans!$A$1:$B$5,2,FALSE)</f>
        <v>9.99</v>
      </c>
      <c r="N1170">
        <f t="shared" si="18"/>
        <v>0</v>
      </c>
    </row>
    <row r="1171" spans="1:14" x14ac:dyDescent="0.35">
      <c r="A1171">
        <v>1170</v>
      </c>
      <c r="B1171" t="s">
        <v>12</v>
      </c>
      <c r="C1171">
        <v>42</v>
      </c>
      <c r="D1171" t="s">
        <v>27</v>
      </c>
      <c r="E1171" t="s">
        <v>22</v>
      </c>
      <c r="F1171">
        <v>99</v>
      </c>
      <c r="G1171">
        <v>67</v>
      </c>
      <c r="H1171">
        <v>0.26</v>
      </c>
      <c r="I1171" t="s">
        <v>15</v>
      </c>
      <c r="J1171">
        <v>0</v>
      </c>
      <c r="K1171">
        <v>1</v>
      </c>
      <c r="L1171">
        <v>0</v>
      </c>
      <c r="M1171">
        <f>VLOOKUP(Table1[[#This Row],[subscription_type]],Plans!$A$1:$B$5,2,FALSE)</f>
        <v>9.99</v>
      </c>
      <c r="N1171">
        <f t="shared" si="18"/>
        <v>0</v>
      </c>
    </row>
    <row r="1172" spans="1:14" x14ac:dyDescent="0.35">
      <c r="A1172">
        <v>1171</v>
      </c>
      <c r="B1172" t="s">
        <v>16</v>
      </c>
      <c r="C1172">
        <v>45</v>
      </c>
      <c r="D1172" t="s">
        <v>21</v>
      </c>
      <c r="E1172" t="s">
        <v>18</v>
      </c>
      <c r="F1172">
        <v>179</v>
      </c>
      <c r="G1172">
        <v>74</v>
      </c>
      <c r="H1172">
        <v>0.45</v>
      </c>
      <c r="I1172" t="s">
        <v>15</v>
      </c>
      <c r="J1172">
        <v>0</v>
      </c>
      <c r="K1172">
        <v>1</v>
      </c>
      <c r="L1172">
        <v>0</v>
      </c>
      <c r="M1172">
        <f>VLOOKUP(Table1[[#This Row],[subscription_type]],Plans!$A$1:$B$5,2,FALSE)</f>
        <v>14.99</v>
      </c>
      <c r="N1172">
        <f t="shared" si="18"/>
        <v>0</v>
      </c>
    </row>
    <row r="1173" spans="1:14" x14ac:dyDescent="0.35">
      <c r="A1173">
        <v>1172</v>
      </c>
      <c r="B1173" t="s">
        <v>12</v>
      </c>
      <c r="C1173">
        <v>35</v>
      </c>
      <c r="D1173" t="s">
        <v>26</v>
      </c>
      <c r="E1173" t="s">
        <v>18</v>
      </c>
      <c r="F1173">
        <v>174</v>
      </c>
      <c r="G1173">
        <v>66</v>
      </c>
      <c r="H1173">
        <v>0.56000000000000005</v>
      </c>
      <c r="I1173" t="s">
        <v>15</v>
      </c>
      <c r="J1173">
        <v>0</v>
      </c>
      <c r="K1173">
        <v>1</v>
      </c>
      <c r="L1173">
        <v>1</v>
      </c>
      <c r="M1173">
        <f>VLOOKUP(Table1[[#This Row],[subscription_type]],Plans!$A$1:$B$5,2,FALSE)</f>
        <v>14.99</v>
      </c>
      <c r="N1173">
        <f t="shared" si="18"/>
        <v>14.99</v>
      </c>
    </row>
    <row r="1174" spans="1:14" x14ac:dyDescent="0.35">
      <c r="A1174">
        <v>1173</v>
      </c>
      <c r="B1174" t="s">
        <v>16</v>
      </c>
      <c r="C1174">
        <v>37</v>
      </c>
      <c r="D1174" t="s">
        <v>28</v>
      </c>
      <c r="E1174" t="s">
        <v>24</v>
      </c>
      <c r="F1174">
        <v>84</v>
      </c>
      <c r="G1174">
        <v>96</v>
      </c>
      <c r="H1174">
        <v>0.4</v>
      </c>
      <c r="I1174" t="s">
        <v>23</v>
      </c>
      <c r="J1174">
        <v>0</v>
      </c>
      <c r="K1174">
        <v>1</v>
      </c>
      <c r="L1174">
        <v>0</v>
      </c>
      <c r="M1174">
        <f>VLOOKUP(Table1[[#This Row],[subscription_type]],Plans!$A$1:$B$5,2,FALSE)</f>
        <v>4.99</v>
      </c>
      <c r="N1174">
        <f t="shared" si="18"/>
        <v>0</v>
      </c>
    </row>
    <row r="1175" spans="1:14" x14ac:dyDescent="0.35">
      <c r="A1175">
        <v>1174</v>
      </c>
      <c r="B1175" t="s">
        <v>16</v>
      </c>
      <c r="C1175">
        <v>17</v>
      </c>
      <c r="D1175" t="s">
        <v>26</v>
      </c>
      <c r="E1175" t="s">
        <v>24</v>
      </c>
      <c r="F1175">
        <v>275</v>
      </c>
      <c r="G1175">
        <v>78</v>
      </c>
      <c r="H1175">
        <v>0.11</v>
      </c>
      <c r="I1175" t="s">
        <v>23</v>
      </c>
      <c r="J1175">
        <v>0</v>
      </c>
      <c r="K1175">
        <v>1</v>
      </c>
      <c r="L1175">
        <v>0</v>
      </c>
      <c r="M1175">
        <f>VLOOKUP(Table1[[#This Row],[subscription_type]],Plans!$A$1:$B$5,2,FALSE)</f>
        <v>4.99</v>
      </c>
      <c r="N1175">
        <f t="shared" si="18"/>
        <v>0</v>
      </c>
    </row>
    <row r="1176" spans="1:14" x14ac:dyDescent="0.35">
      <c r="A1176">
        <v>1175</v>
      </c>
      <c r="B1176" t="s">
        <v>20</v>
      </c>
      <c r="C1176">
        <v>41</v>
      </c>
      <c r="D1176" t="s">
        <v>17</v>
      </c>
      <c r="E1176" t="s">
        <v>14</v>
      </c>
      <c r="F1176">
        <v>272</v>
      </c>
      <c r="G1176">
        <v>59</v>
      </c>
      <c r="H1176">
        <v>0.53</v>
      </c>
      <c r="I1176" t="s">
        <v>19</v>
      </c>
      <c r="J1176">
        <v>21</v>
      </c>
      <c r="K1176">
        <v>0</v>
      </c>
      <c r="L1176">
        <v>0</v>
      </c>
      <c r="M1176">
        <f>VLOOKUP(Table1[[#This Row],[subscription_type]],Plans!$A$1:$B$5,2,FALSE)</f>
        <v>0</v>
      </c>
      <c r="N1176">
        <f t="shared" si="18"/>
        <v>0</v>
      </c>
    </row>
    <row r="1177" spans="1:14" x14ac:dyDescent="0.35">
      <c r="A1177">
        <v>1176</v>
      </c>
      <c r="B1177" t="s">
        <v>12</v>
      </c>
      <c r="C1177">
        <v>49</v>
      </c>
      <c r="D1177" t="s">
        <v>21</v>
      </c>
      <c r="E1177" t="s">
        <v>24</v>
      </c>
      <c r="F1177">
        <v>252</v>
      </c>
      <c r="G1177">
        <v>72</v>
      </c>
      <c r="H1177">
        <v>0.4</v>
      </c>
      <c r="I1177" t="s">
        <v>23</v>
      </c>
      <c r="J1177">
        <v>0</v>
      </c>
      <c r="K1177">
        <v>1</v>
      </c>
      <c r="L1177">
        <v>0</v>
      </c>
      <c r="M1177">
        <f>VLOOKUP(Table1[[#This Row],[subscription_type]],Plans!$A$1:$B$5,2,FALSE)</f>
        <v>4.99</v>
      </c>
      <c r="N1177">
        <f t="shared" si="18"/>
        <v>0</v>
      </c>
    </row>
    <row r="1178" spans="1:14" x14ac:dyDescent="0.35">
      <c r="A1178">
        <v>1177</v>
      </c>
      <c r="B1178" t="s">
        <v>16</v>
      </c>
      <c r="C1178">
        <v>17</v>
      </c>
      <c r="D1178" t="s">
        <v>28</v>
      </c>
      <c r="E1178" t="s">
        <v>24</v>
      </c>
      <c r="F1178">
        <v>273</v>
      </c>
      <c r="G1178">
        <v>81</v>
      </c>
      <c r="H1178">
        <v>0.6</v>
      </c>
      <c r="I1178" t="s">
        <v>23</v>
      </c>
      <c r="J1178">
        <v>0</v>
      </c>
      <c r="K1178">
        <v>1</v>
      </c>
      <c r="L1178">
        <v>0</v>
      </c>
      <c r="M1178">
        <f>VLOOKUP(Table1[[#This Row],[subscription_type]],Plans!$A$1:$B$5,2,FALSE)</f>
        <v>4.99</v>
      </c>
      <c r="N1178">
        <f t="shared" si="18"/>
        <v>0</v>
      </c>
    </row>
    <row r="1179" spans="1:14" x14ac:dyDescent="0.35">
      <c r="A1179">
        <v>1178</v>
      </c>
      <c r="B1179" t="s">
        <v>16</v>
      </c>
      <c r="C1179">
        <v>47</v>
      </c>
      <c r="D1179" t="s">
        <v>21</v>
      </c>
      <c r="E1179" t="s">
        <v>22</v>
      </c>
      <c r="F1179">
        <v>198</v>
      </c>
      <c r="G1179">
        <v>51</v>
      </c>
      <c r="H1179">
        <v>0.45</v>
      </c>
      <c r="I1179" t="s">
        <v>15</v>
      </c>
      <c r="J1179">
        <v>0</v>
      </c>
      <c r="K1179">
        <v>1</v>
      </c>
      <c r="L1179">
        <v>0</v>
      </c>
      <c r="M1179">
        <f>VLOOKUP(Table1[[#This Row],[subscription_type]],Plans!$A$1:$B$5,2,FALSE)</f>
        <v>9.99</v>
      </c>
      <c r="N1179">
        <f t="shared" si="18"/>
        <v>0</v>
      </c>
    </row>
    <row r="1180" spans="1:14" x14ac:dyDescent="0.35">
      <c r="A1180">
        <v>1179</v>
      </c>
      <c r="B1180" t="s">
        <v>20</v>
      </c>
      <c r="C1180">
        <v>17</v>
      </c>
      <c r="D1180" t="s">
        <v>25</v>
      </c>
      <c r="E1180" t="s">
        <v>22</v>
      </c>
      <c r="F1180">
        <v>172</v>
      </c>
      <c r="G1180">
        <v>49</v>
      </c>
      <c r="H1180">
        <v>0.56000000000000005</v>
      </c>
      <c r="I1180" t="s">
        <v>15</v>
      </c>
      <c r="J1180">
        <v>0</v>
      </c>
      <c r="K1180">
        <v>1</v>
      </c>
      <c r="L1180">
        <v>0</v>
      </c>
      <c r="M1180">
        <f>VLOOKUP(Table1[[#This Row],[subscription_type]],Plans!$A$1:$B$5,2,FALSE)</f>
        <v>9.99</v>
      </c>
      <c r="N1180">
        <f t="shared" si="18"/>
        <v>0</v>
      </c>
    </row>
    <row r="1181" spans="1:14" x14ac:dyDescent="0.35">
      <c r="A1181">
        <v>1180</v>
      </c>
      <c r="B1181" t="s">
        <v>16</v>
      </c>
      <c r="C1181">
        <v>57</v>
      </c>
      <c r="D1181" t="s">
        <v>28</v>
      </c>
      <c r="E1181" t="s">
        <v>24</v>
      </c>
      <c r="F1181">
        <v>33</v>
      </c>
      <c r="G1181">
        <v>87</v>
      </c>
      <c r="H1181">
        <v>0.54</v>
      </c>
      <c r="I1181" t="s">
        <v>19</v>
      </c>
      <c r="J1181">
        <v>0</v>
      </c>
      <c r="K1181">
        <v>1</v>
      </c>
      <c r="L1181">
        <v>1</v>
      </c>
      <c r="M1181">
        <f>VLOOKUP(Table1[[#This Row],[subscription_type]],Plans!$A$1:$B$5,2,FALSE)</f>
        <v>4.99</v>
      </c>
      <c r="N1181">
        <f t="shared" si="18"/>
        <v>4.99</v>
      </c>
    </row>
    <row r="1182" spans="1:14" x14ac:dyDescent="0.35">
      <c r="A1182">
        <v>1181</v>
      </c>
      <c r="B1182" t="s">
        <v>12</v>
      </c>
      <c r="C1182">
        <v>43</v>
      </c>
      <c r="D1182" t="s">
        <v>27</v>
      </c>
      <c r="E1182" t="s">
        <v>22</v>
      </c>
      <c r="F1182">
        <v>19</v>
      </c>
      <c r="G1182">
        <v>73</v>
      </c>
      <c r="H1182">
        <v>0.25</v>
      </c>
      <c r="I1182" t="s">
        <v>15</v>
      </c>
      <c r="J1182">
        <v>0</v>
      </c>
      <c r="K1182">
        <v>1</v>
      </c>
      <c r="L1182">
        <v>0</v>
      </c>
      <c r="M1182">
        <f>VLOOKUP(Table1[[#This Row],[subscription_type]],Plans!$A$1:$B$5,2,FALSE)</f>
        <v>9.99</v>
      </c>
      <c r="N1182">
        <f t="shared" si="18"/>
        <v>0</v>
      </c>
    </row>
    <row r="1183" spans="1:14" x14ac:dyDescent="0.35">
      <c r="A1183">
        <v>1182</v>
      </c>
      <c r="B1183" t="s">
        <v>12</v>
      </c>
      <c r="C1183">
        <v>59</v>
      </c>
      <c r="D1183" t="s">
        <v>27</v>
      </c>
      <c r="E1183" t="s">
        <v>24</v>
      </c>
      <c r="F1183">
        <v>254</v>
      </c>
      <c r="G1183">
        <v>46</v>
      </c>
      <c r="H1183">
        <v>0.45</v>
      </c>
      <c r="I1183" t="s">
        <v>19</v>
      </c>
      <c r="J1183">
        <v>0</v>
      </c>
      <c r="K1183">
        <v>1</v>
      </c>
      <c r="L1183">
        <v>0</v>
      </c>
      <c r="M1183">
        <f>VLOOKUP(Table1[[#This Row],[subscription_type]],Plans!$A$1:$B$5,2,FALSE)</f>
        <v>4.99</v>
      </c>
      <c r="N1183">
        <f t="shared" si="18"/>
        <v>0</v>
      </c>
    </row>
    <row r="1184" spans="1:14" x14ac:dyDescent="0.35">
      <c r="A1184">
        <v>1183</v>
      </c>
      <c r="B1184" t="s">
        <v>12</v>
      </c>
      <c r="C1184">
        <v>47</v>
      </c>
      <c r="D1184" t="s">
        <v>17</v>
      </c>
      <c r="E1184" t="s">
        <v>14</v>
      </c>
      <c r="F1184">
        <v>166</v>
      </c>
      <c r="G1184">
        <v>19</v>
      </c>
      <c r="H1184">
        <v>0.34</v>
      </c>
      <c r="I1184" t="s">
        <v>15</v>
      </c>
      <c r="J1184">
        <v>36</v>
      </c>
      <c r="K1184">
        <v>0</v>
      </c>
      <c r="L1184">
        <v>0</v>
      </c>
      <c r="M1184">
        <f>VLOOKUP(Table1[[#This Row],[subscription_type]],Plans!$A$1:$B$5,2,FALSE)</f>
        <v>0</v>
      </c>
      <c r="N1184">
        <f t="shared" si="18"/>
        <v>0</v>
      </c>
    </row>
    <row r="1185" spans="1:14" x14ac:dyDescent="0.35">
      <c r="A1185">
        <v>1184</v>
      </c>
      <c r="B1185" t="s">
        <v>16</v>
      </c>
      <c r="C1185">
        <v>39</v>
      </c>
      <c r="D1185" t="s">
        <v>13</v>
      </c>
      <c r="E1185" t="s">
        <v>24</v>
      </c>
      <c r="F1185">
        <v>215</v>
      </c>
      <c r="G1185">
        <v>89</v>
      </c>
      <c r="H1185">
        <v>0.45</v>
      </c>
      <c r="I1185" t="s">
        <v>15</v>
      </c>
      <c r="J1185">
        <v>0</v>
      </c>
      <c r="K1185">
        <v>1</v>
      </c>
      <c r="L1185">
        <v>0</v>
      </c>
      <c r="M1185">
        <f>VLOOKUP(Table1[[#This Row],[subscription_type]],Plans!$A$1:$B$5,2,FALSE)</f>
        <v>4.99</v>
      </c>
      <c r="N1185">
        <f t="shared" si="18"/>
        <v>0</v>
      </c>
    </row>
    <row r="1186" spans="1:14" x14ac:dyDescent="0.35">
      <c r="A1186">
        <v>1185</v>
      </c>
      <c r="B1186" t="s">
        <v>20</v>
      </c>
      <c r="C1186">
        <v>34</v>
      </c>
      <c r="D1186" t="s">
        <v>27</v>
      </c>
      <c r="E1186" t="s">
        <v>18</v>
      </c>
      <c r="F1186">
        <v>73</v>
      </c>
      <c r="G1186">
        <v>27</v>
      </c>
      <c r="H1186">
        <v>0.39</v>
      </c>
      <c r="I1186" t="s">
        <v>23</v>
      </c>
      <c r="J1186">
        <v>0</v>
      </c>
      <c r="K1186">
        <v>1</v>
      </c>
      <c r="L1186">
        <v>1</v>
      </c>
      <c r="M1186">
        <f>VLOOKUP(Table1[[#This Row],[subscription_type]],Plans!$A$1:$B$5,2,FALSE)</f>
        <v>14.99</v>
      </c>
      <c r="N1186">
        <f t="shared" si="18"/>
        <v>14.99</v>
      </c>
    </row>
    <row r="1187" spans="1:14" x14ac:dyDescent="0.35">
      <c r="A1187">
        <v>1186</v>
      </c>
      <c r="B1187" t="s">
        <v>20</v>
      </c>
      <c r="C1187">
        <v>21</v>
      </c>
      <c r="D1187" t="s">
        <v>27</v>
      </c>
      <c r="E1187" t="s">
        <v>18</v>
      </c>
      <c r="F1187">
        <v>247</v>
      </c>
      <c r="G1187">
        <v>30</v>
      </c>
      <c r="H1187">
        <v>0.42</v>
      </c>
      <c r="I1187" t="s">
        <v>15</v>
      </c>
      <c r="J1187">
        <v>0</v>
      </c>
      <c r="K1187">
        <v>1</v>
      </c>
      <c r="L1187">
        <v>1</v>
      </c>
      <c r="M1187">
        <f>VLOOKUP(Table1[[#This Row],[subscription_type]],Plans!$A$1:$B$5,2,FALSE)</f>
        <v>14.99</v>
      </c>
      <c r="N1187">
        <f t="shared" si="18"/>
        <v>14.99</v>
      </c>
    </row>
    <row r="1188" spans="1:14" x14ac:dyDescent="0.35">
      <c r="A1188">
        <v>1187</v>
      </c>
      <c r="B1188" t="s">
        <v>16</v>
      </c>
      <c r="C1188">
        <v>37</v>
      </c>
      <c r="D1188" t="s">
        <v>29</v>
      </c>
      <c r="E1188" t="s">
        <v>14</v>
      </c>
      <c r="F1188">
        <v>194</v>
      </c>
      <c r="G1188">
        <v>56</v>
      </c>
      <c r="H1188">
        <v>0.16</v>
      </c>
      <c r="I1188" t="s">
        <v>19</v>
      </c>
      <c r="J1188">
        <v>13</v>
      </c>
      <c r="K1188">
        <v>0</v>
      </c>
      <c r="L1188">
        <v>0</v>
      </c>
      <c r="M1188">
        <f>VLOOKUP(Table1[[#This Row],[subscription_type]],Plans!$A$1:$B$5,2,FALSE)</f>
        <v>0</v>
      </c>
      <c r="N1188">
        <f t="shared" si="18"/>
        <v>0</v>
      </c>
    </row>
    <row r="1189" spans="1:14" x14ac:dyDescent="0.35">
      <c r="A1189">
        <v>1188</v>
      </c>
      <c r="B1189" t="s">
        <v>16</v>
      </c>
      <c r="C1189">
        <v>47</v>
      </c>
      <c r="D1189" t="s">
        <v>27</v>
      </c>
      <c r="E1189" t="s">
        <v>24</v>
      </c>
      <c r="F1189">
        <v>193</v>
      </c>
      <c r="G1189">
        <v>55</v>
      </c>
      <c r="H1189">
        <v>0</v>
      </c>
      <c r="I1189" t="s">
        <v>23</v>
      </c>
      <c r="J1189">
        <v>0</v>
      </c>
      <c r="K1189">
        <v>1</v>
      </c>
      <c r="L1189">
        <v>1</v>
      </c>
      <c r="M1189">
        <f>VLOOKUP(Table1[[#This Row],[subscription_type]],Plans!$A$1:$B$5,2,FALSE)</f>
        <v>4.99</v>
      </c>
      <c r="N1189">
        <f t="shared" si="18"/>
        <v>4.99</v>
      </c>
    </row>
    <row r="1190" spans="1:14" x14ac:dyDescent="0.35">
      <c r="A1190">
        <v>1189</v>
      </c>
      <c r="B1190" t="s">
        <v>16</v>
      </c>
      <c r="C1190">
        <v>58</v>
      </c>
      <c r="D1190" t="s">
        <v>25</v>
      </c>
      <c r="E1190" t="s">
        <v>24</v>
      </c>
      <c r="F1190">
        <v>31</v>
      </c>
      <c r="G1190">
        <v>28</v>
      </c>
      <c r="H1190">
        <v>0.01</v>
      </c>
      <c r="I1190" t="s">
        <v>15</v>
      </c>
      <c r="J1190">
        <v>0</v>
      </c>
      <c r="K1190">
        <v>1</v>
      </c>
      <c r="L1190">
        <v>0</v>
      </c>
      <c r="M1190">
        <f>VLOOKUP(Table1[[#This Row],[subscription_type]],Plans!$A$1:$B$5,2,FALSE)</f>
        <v>4.99</v>
      </c>
      <c r="N1190">
        <f t="shared" si="18"/>
        <v>0</v>
      </c>
    </row>
    <row r="1191" spans="1:14" x14ac:dyDescent="0.35">
      <c r="A1191">
        <v>1190</v>
      </c>
      <c r="B1191" t="s">
        <v>12</v>
      </c>
      <c r="C1191">
        <v>51</v>
      </c>
      <c r="D1191" t="s">
        <v>26</v>
      </c>
      <c r="E1191" t="s">
        <v>18</v>
      </c>
      <c r="F1191">
        <v>135</v>
      </c>
      <c r="G1191">
        <v>49</v>
      </c>
      <c r="H1191">
        <v>0.35</v>
      </c>
      <c r="I1191" t="s">
        <v>15</v>
      </c>
      <c r="J1191">
        <v>0</v>
      </c>
      <c r="K1191">
        <v>1</v>
      </c>
      <c r="L1191">
        <v>1</v>
      </c>
      <c r="M1191">
        <f>VLOOKUP(Table1[[#This Row],[subscription_type]],Plans!$A$1:$B$5,2,FALSE)</f>
        <v>14.99</v>
      </c>
      <c r="N1191">
        <f t="shared" si="18"/>
        <v>14.99</v>
      </c>
    </row>
    <row r="1192" spans="1:14" x14ac:dyDescent="0.35">
      <c r="A1192">
        <v>1191</v>
      </c>
      <c r="B1192" t="s">
        <v>12</v>
      </c>
      <c r="C1192">
        <v>34</v>
      </c>
      <c r="D1192" t="s">
        <v>17</v>
      </c>
      <c r="E1192" t="s">
        <v>24</v>
      </c>
      <c r="F1192">
        <v>99</v>
      </c>
      <c r="G1192">
        <v>67</v>
      </c>
      <c r="H1192">
        <v>0.26</v>
      </c>
      <c r="I1192" t="s">
        <v>23</v>
      </c>
      <c r="J1192">
        <v>0</v>
      </c>
      <c r="K1192">
        <v>1</v>
      </c>
      <c r="L1192">
        <v>1</v>
      </c>
      <c r="M1192">
        <f>VLOOKUP(Table1[[#This Row],[subscription_type]],Plans!$A$1:$B$5,2,FALSE)</f>
        <v>4.99</v>
      </c>
      <c r="N1192">
        <f t="shared" si="18"/>
        <v>4.99</v>
      </c>
    </row>
    <row r="1193" spans="1:14" x14ac:dyDescent="0.35">
      <c r="A1193">
        <v>1192</v>
      </c>
      <c r="B1193" t="s">
        <v>12</v>
      </c>
      <c r="C1193">
        <v>38</v>
      </c>
      <c r="D1193" t="s">
        <v>27</v>
      </c>
      <c r="E1193" t="s">
        <v>18</v>
      </c>
      <c r="F1193">
        <v>260</v>
      </c>
      <c r="G1193">
        <v>42</v>
      </c>
      <c r="H1193">
        <v>0.43</v>
      </c>
      <c r="I1193" t="s">
        <v>19</v>
      </c>
      <c r="J1193">
        <v>0</v>
      </c>
      <c r="K1193">
        <v>1</v>
      </c>
      <c r="L1193">
        <v>0</v>
      </c>
      <c r="M1193">
        <f>VLOOKUP(Table1[[#This Row],[subscription_type]],Plans!$A$1:$B$5,2,FALSE)</f>
        <v>14.99</v>
      </c>
      <c r="N1193">
        <f t="shared" si="18"/>
        <v>0</v>
      </c>
    </row>
    <row r="1194" spans="1:14" x14ac:dyDescent="0.35">
      <c r="A1194">
        <v>1193</v>
      </c>
      <c r="B1194" t="s">
        <v>12</v>
      </c>
      <c r="C1194">
        <v>24</v>
      </c>
      <c r="D1194" t="s">
        <v>27</v>
      </c>
      <c r="E1194" t="s">
        <v>22</v>
      </c>
      <c r="F1194">
        <v>76</v>
      </c>
      <c r="G1194">
        <v>26</v>
      </c>
      <c r="H1194">
        <v>0.04</v>
      </c>
      <c r="I1194" t="s">
        <v>15</v>
      </c>
      <c r="J1194">
        <v>0</v>
      </c>
      <c r="K1194">
        <v>1</v>
      </c>
      <c r="L1194">
        <v>0</v>
      </c>
      <c r="M1194">
        <f>VLOOKUP(Table1[[#This Row],[subscription_type]],Plans!$A$1:$B$5,2,FALSE)</f>
        <v>9.99</v>
      </c>
      <c r="N1194">
        <f t="shared" si="18"/>
        <v>0</v>
      </c>
    </row>
    <row r="1195" spans="1:14" x14ac:dyDescent="0.35">
      <c r="A1195">
        <v>1194</v>
      </c>
      <c r="B1195" t="s">
        <v>20</v>
      </c>
      <c r="C1195">
        <v>57</v>
      </c>
      <c r="D1195" t="s">
        <v>17</v>
      </c>
      <c r="E1195" t="s">
        <v>24</v>
      </c>
      <c r="F1195">
        <v>221</v>
      </c>
      <c r="G1195">
        <v>41</v>
      </c>
      <c r="H1195">
        <v>0.35</v>
      </c>
      <c r="I1195" t="s">
        <v>23</v>
      </c>
      <c r="J1195">
        <v>0</v>
      </c>
      <c r="K1195">
        <v>1</v>
      </c>
      <c r="L1195">
        <v>0</v>
      </c>
      <c r="M1195">
        <f>VLOOKUP(Table1[[#This Row],[subscription_type]],Plans!$A$1:$B$5,2,FALSE)</f>
        <v>4.99</v>
      </c>
      <c r="N1195">
        <f t="shared" si="18"/>
        <v>0</v>
      </c>
    </row>
    <row r="1196" spans="1:14" x14ac:dyDescent="0.35">
      <c r="A1196">
        <v>1195</v>
      </c>
      <c r="B1196" t="s">
        <v>12</v>
      </c>
      <c r="C1196">
        <v>58</v>
      </c>
      <c r="D1196" t="s">
        <v>29</v>
      </c>
      <c r="E1196" t="s">
        <v>14</v>
      </c>
      <c r="F1196">
        <v>59</v>
      </c>
      <c r="G1196">
        <v>46</v>
      </c>
      <c r="H1196">
        <v>0.42</v>
      </c>
      <c r="I1196" t="s">
        <v>23</v>
      </c>
      <c r="J1196">
        <v>5</v>
      </c>
      <c r="K1196">
        <v>0</v>
      </c>
      <c r="L1196">
        <v>0</v>
      </c>
      <c r="M1196">
        <f>VLOOKUP(Table1[[#This Row],[subscription_type]],Plans!$A$1:$B$5,2,FALSE)</f>
        <v>0</v>
      </c>
      <c r="N1196">
        <f t="shared" si="18"/>
        <v>0</v>
      </c>
    </row>
    <row r="1197" spans="1:14" x14ac:dyDescent="0.35">
      <c r="A1197">
        <v>1196</v>
      </c>
      <c r="B1197" t="s">
        <v>20</v>
      </c>
      <c r="C1197">
        <v>58</v>
      </c>
      <c r="D1197" t="s">
        <v>21</v>
      </c>
      <c r="E1197" t="s">
        <v>18</v>
      </c>
      <c r="F1197">
        <v>80</v>
      </c>
      <c r="G1197">
        <v>50</v>
      </c>
      <c r="H1197">
        <v>0.32</v>
      </c>
      <c r="I1197" t="s">
        <v>15</v>
      </c>
      <c r="J1197">
        <v>0</v>
      </c>
      <c r="K1197">
        <v>1</v>
      </c>
      <c r="L1197">
        <v>0</v>
      </c>
      <c r="M1197">
        <f>VLOOKUP(Table1[[#This Row],[subscription_type]],Plans!$A$1:$B$5,2,FALSE)</f>
        <v>14.99</v>
      </c>
      <c r="N1197">
        <f t="shared" si="18"/>
        <v>0</v>
      </c>
    </row>
    <row r="1198" spans="1:14" x14ac:dyDescent="0.35">
      <c r="A1198">
        <v>1197</v>
      </c>
      <c r="B1198" t="s">
        <v>16</v>
      </c>
      <c r="C1198">
        <v>33</v>
      </c>
      <c r="D1198" t="s">
        <v>13</v>
      </c>
      <c r="E1198" t="s">
        <v>22</v>
      </c>
      <c r="F1198">
        <v>295</v>
      </c>
      <c r="G1198">
        <v>99</v>
      </c>
      <c r="H1198">
        <v>0.54</v>
      </c>
      <c r="I1198" t="s">
        <v>19</v>
      </c>
      <c r="J1198">
        <v>0</v>
      </c>
      <c r="K1198">
        <v>1</v>
      </c>
      <c r="L1198">
        <v>1</v>
      </c>
      <c r="M1198">
        <f>VLOOKUP(Table1[[#This Row],[subscription_type]],Plans!$A$1:$B$5,2,FALSE)</f>
        <v>9.99</v>
      </c>
      <c r="N1198">
        <f t="shared" si="18"/>
        <v>9.99</v>
      </c>
    </row>
    <row r="1199" spans="1:14" x14ac:dyDescent="0.35">
      <c r="A1199">
        <v>1198</v>
      </c>
      <c r="B1199" t="s">
        <v>16</v>
      </c>
      <c r="C1199">
        <v>43</v>
      </c>
      <c r="D1199" t="s">
        <v>28</v>
      </c>
      <c r="E1199" t="s">
        <v>18</v>
      </c>
      <c r="F1199">
        <v>292</v>
      </c>
      <c r="G1199">
        <v>71</v>
      </c>
      <c r="H1199">
        <v>0.42</v>
      </c>
      <c r="I1199" t="s">
        <v>19</v>
      </c>
      <c r="J1199">
        <v>0</v>
      </c>
      <c r="K1199">
        <v>1</v>
      </c>
      <c r="L1199">
        <v>0</v>
      </c>
      <c r="M1199">
        <f>VLOOKUP(Table1[[#This Row],[subscription_type]],Plans!$A$1:$B$5,2,FALSE)</f>
        <v>14.99</v>
      </c>
      <c r="N1199">
        <f t="shared" si="18"/>
        <v>0</v>
      </c>
    </row>
    <row r="1200" spans="1:14" x14ac:dyDescent="0.35">
      <c r="A1200">
        <v>1199</v>
      </c>
      <c r="B1200" t="s">
        <v>12</v>
      </c>
      <c r="C1200">
        <v>39</v>
      </c>
      <c r="D1200" t="s">
        <v>13</v>
      </c>
      <c r="E1200" t="s">
        <v>18</v>
      </c>
      <c r="F1200">
        <v>133</v>
      </c>
      <c r="G1200">
        <v>74</v>
      </c>
      <c r="H1200">
        <v>0.21</v>
      </c>
      <c r="I1200" t="s">
        <v>23</v>
      </c>
      <c r="J1200">
        <v>0</v>
      </c>
      <c r="K1200">
        <v>1</v>
      </c>
      <c r="L1200">
        <v>0</v>
      </c>
      <c r="M1200">
        <f>VLOOKUP(Table1[[#This Row],[subscription_type]],Plans!$A$1:$B$5,2,FALSE)</f>
        <v>14.99</v>
      </c>
      <c r="N1200">
        <f t="shared" si="18"/>
        <v>0</v>
      </c>
    </row>
    <row r="1201" spans="1:14" x14ac:dyDescent="0.35">
      <c r="A1201">
        <v>1200</v>
      </c>
      <c r="B1201" t="s">
        <v>20</v>
      </c>
      <c r="C1201">
        <v>40</v>
      </c>
      <c r="D1201" t="s">
        <v>27</v>
      </c>
      <c r="E1201" t="s">
        <v>22</v>
      </c>
      <c r="F1201">
        <v>191</v>
      </c>
      <c r="G1201">
        <v>88</v>
      </c>
      <c r="H1201">
        <v>0.52</v>
      </c>
      <c r="I1201" t="s">
        <v>23</v>
      </c>
      <c r="J1201">
        <v>0</v>
      </c>
      <c r="K1201">
        <v>1</v>
      </c>
      <c r="L1201">
        <v>0</v>
      </c>
      <c r="M1201">
        <f>VLOOKUP(Table1[[#This Row],[subscription_type]],Plans!$A$1:$B$5,2,FALSE)</f>
        <v>9.99</v>
      </c>
      <c r="N1201">
        <f t="shared" si="18"/>
        <v>0</v>
      </c>
    </row>
    <row r="1202" spans="1:14" x14ac:dyDescent="0.35">
      <c r="A1202">
        <v>1201</v>
      </c>
      <c r="B1202" t="s">
        <v>20</v>
      </c>
      <c r="C1202">
        <v>34</v>
      </c>
      <c r="D1202" t="s">
        <v>13</v>
      </c>
      <c r="E1202" t="s">
        <v>14</v>
      </c>
      <c r="F1202">
        <v>41</v>
      </c>
      <c r="G1202">
        <v>79</v>
      </c>
      <c r="H1202">
        <v>0.05</v>
      </c>
      <c r="I1202" t="s">
        <v>23</v>
      </c>
      <c r="J1202">
        <v>39</v>
      </c>
      <c r="K1202">
        <v>0</v>
      </c>
      <c r="L1202">
        <v>1</v>
      </c>
      <c r="M1202">
        <f>VLOOKUP(Table1[[#This Row],[subscription_type]],Plans!$A$1:$B$5,2,FALSE)</f>
        <v>0</v>
      </c>
      <c r="N1202">
        <f t="shared" si="18"/>
        <v>0</v>
      </c>
    </row>
    <row r="1203" spans="1:14" x14ac:dyDescent="0.35">
      <c r="A1203">
        <v>1202</v>
      </c>
      <c r="B1203" t="s">
        <v>20</v>
      </c>
      <c r="C1203">
        <v>20</v>
      </c>
      <c r="D1203" t="s">
        <v>21</v>
      </c>
      <c r="E1203" t="s">
        <v>22</v>
      </c>
      <c r="F1203">
        <v>57</v>
      </c>
      <c r="G1203">
        <v>8</v>
      </c>
      <c r="H1203">
        <v>0.56999999999999995</v>
      </c>
      <c r="I1203" t="s">
        <v>15</v>
      </c>
      <c r="J1203">
        <v>0</v>
      </c>
      <c r="K1203">
        <v>1</v>
      </c>
      <c r="L1203">
        <v>0</v>
      </c>
      <c r="M1203">
        <f>VLOOKUP(Table1[[#This Row],[subscription_type]],Plans!$A$1:$B$5,2,FALSE)</f>
        <v>9.99</v>
      </c>
      <c r="N1203">
        <f t="shared" si="18"/>
        <v>0</v>
      </c>
    </row>
    <row r="1204" spans="1:14" x14ac:dyDescent="0.35">
      <c r="A1204">
        <v>1203</v>
      </c>
      <c r="B1204" t="s">
        <v>12</v>
      </c>
      <c r="C1204">
        <v>35</v>
      </c>
      <c r="D1204" t="s">
        <v>13</v>
      </c>
      <c r="E1204" t="s">
        <v>14</v>
      </c>
      <c r="F1204">
        <v>251</v>
      </c>
      <c r="G1204">
        <v>27</v>
      </c>
      <c r="H1204">
        <v>0.52</v>
      </c>
      <c r="I1204" t="s">
        <v>19</v>
      </c>
      <c r="J1204">
        <v>42</v>
      </c>
      <c r="K1204">
        <v>0</v>
      </c>
      <c r="L1204">
        <v>1</v>
      </c>
      <c r="M1204">
        <f>VLOOKUP(Table1[[#This Row],[subscription_type]],Plans!$A$1:$B$5,2,FALSE)</f>
        <v>0</v>
      </c>
      <c r="N1204">
        <f t="shared" si="18"/>
        <v>0</v>
      </c>
    </row>
    <row r="1205" spans="1:14" x14ac:dyDescent="0.35">
      <c r="A1205">
        <v>1204</v>
      </c>
      <c r="B1205" t="s">
        <v>16</v>
      </c>
      <c r="C1205">
        <v>42</v>
      </c>
      <c r="D1205" t="s">
        <v>17</v>
      </c>
      <c r="E1205" t="s">
        <v>22</v>
      </c>
      <c r="F1205">
        <v>22</v>
      </c>
      <c r="G1205">
        <v>80</v>
      </c>
      <c r="H1205">
        <v>0.45</v>
      </c>
      <c r="I1205" t="s">
        <v>15</v>
      </c>
      <c r="J1205">
        <v>0</v>
      </c>
      <c r="K1205">
        <v>1</v>
      </c>
      <c r="L1205">
        <v>0</v>
      </c>
      <c r="M1205">
        <f>VLOOKUP(Table1[[#This Row],[subscription_type]],Plans!$A$1:$B$5,2,FALSE)</f>
        <v>9.99</v>
      </c>
      <c r="N1205">
        <f t="shared" si="18"/>
        <v>0</v>
      </c>
    </row>
    <row r="1206" spans="1:14" x14ac:dyDescent="0.35">
      <c r="A1206">
        <v>1205</v>
      </c>
      <c r="B1206" t="s">
        <v>20</v>
      </c>
      <c r="C1206">
        <v>19</v>
      </c>
      <c r="D1206" t="s">
        <v>25</v>
      </c>
      <c r="E1206" t="s">
        <v>14</v>
      </c>
      <c r="F1206">
        <v>32</v>
      </c>
      <c r="G1206">
        <v>62</v>
      </c>
      <c r="H1206">
        <v>0.19</v>
      </c>
      <c r="I1206" t="s">
        <v>15</v>
      </c>
      <c r="J1206">
        <v>40</v>
      </c>
      <c r="K1206">
        <v>0</v>
      </c>
      <c r="L1206">
        <v>1</v>
      </c>
      <c r="M1206">
        <f>VLOOKUP(Table1[[#This Row],[subscription_type]],Plans!$A$1:$B$5,2,FALSE)</f>
        <v>0</v>
      </c>
      <c r="N1206">
        <f t="shared" si="18"/>
        <v>0</v>
      </c>
    </row>
    <row r="1207" spans="1:14" x14ac:dyDescent="0.35">
      <c r="A1207">
        <v>1206</v>
      </c>
      <c r="B1207" t="s">
        <v>12</v>
      </c>
      <c r="C1207">
        <v>35</v>
      </c>
      <c r="D1207" t="s">
        <v>17</v>
      </c>
      <c r="E1207" t="s">
        <v>14</v>
      </c>
      <c r="F1207">
        <v>227</v>
      </c>
      <c r="G1207">
        <v>4</v>
      </c>
      <c r="H1207">
        <v>0.02</v>
      </c>
      <c r="I1207" t="s">
        <v>19</v>
      </c>
      <c r="J1207">
        <v>32</v>
      </c>
      <c r="K1207">
        <v>0</v>
      </c>
      <c r="L1207">
        <v>0</v>
      </c>
      <c r="M1207">
        <f>VLOOKUP(Table1[[#This Row],[subscription_type]],Plans!$A$1:$B$5,2,FALSE)</f>
        <v>0</v>
      </c>
      <c r="N1207">
        <f t="shared" si="18"/>
        <v>0</v>
      </c>
    </row>
    <row r="1208" spans="1:14" x14ac:dyDescent="0.35">
      <c r="A1208">
        <v>1207</v>
      </c>
      <c r="B1208" t="s">
        <v>16</v>
      </c>
      <c r="C1208">
        <v>48</v>
      </c>
      <c r="D1208" t="s">
        <v>26</v>
      </c>
      <c r="E1208" t="s">
        <v>18</v>
      </c>
      <c r="F1208">
        <v>228</v>
      </c>
      <c r="G1208">
        <v>20</v>
      </c>
      <c r="H1208">
        <v>0.32</v>
      </c>
      <c r="I1208" t="s">
        <v>23</v>
      </c>
      <c r="J1208">
        <v>0</v>
      </c>
      <c r="K1208">
        <v>1</v>
      </c>
      <c r="L1208">
        <v>1</v>
      </c>
      <c r="M1208">
        <f>VLOOKUP(Table1[[#This Row],[subscription_type]],Plans!$A$1:$B$5,2,FALSE)</f>
        <v>14.99</v>
      </c>
      <c r="N1208">
        <f t="shared" si="18"/>
        <v>14.99</v>
      </c>
    </row>
    <row r="1209" spans="1:14" x14ac:dyDescent="0.35">
      <c r="A1209">
        <v>1208</v>
      </c>
      <c r="B1209" t="s">
        <v>16</v>
      </c>
      <c r="C1209">
        <v>38</v>
      </c>
      <c r="D1209" t="s">
        <v>27</v>
      </c>
      <c r="E1209" t="s">
        <v>14</v>
      </c>
      <c r="F1209">
        <v>131</v>
      </c>
      <c r="G1209">
        <v>72</v>
      </c>
      <c r="H1209">
        <v>0.56999999999999995</v>
      </c>
      <c r="I1209" t="s">
        <v>23</v>
      </c>
      <c r="J1209">
        <v>37</v>
      </c>
      <c r="K1209">
        <v>0</v>
      </c>
      <c r="L1209">
        <v>0</v>
      </c>
      <c r="M1209">
        <f>VLOOKUP(Table1[[#This Row],[subscription_type]],Plans!$A$1:$B$5,2,FALSE)</f>
        <v>0</v>
      </c>
      <c r="N1209">
        <f t="shared" si="18"/>
        <v>0</v>
      </c>
    </row>
    <row r="1210" spans="1:14" x14ac:dyDescent="0.35">
      <c r="A1210">
        <v>1209</v>
      </c>
      <c r="B1210" t="s">
        <v>12</v>
      </c>
      <c r="C1210">
        <v>19</v>
      </c>
      <c r="D1210" t="s">
        <v>17</v>
      </c>
      <c r="E1210" t="s">
        <v>14</v>
      </c>
      <c r="F1210">
        <v>96</v>
      </c>
      <c r="G1210">
        <v>67</v>
      </c>
      <c r="H1210">
        <v>0.27</v>
      </c>
      <c r="I1210" t="s">
        <v>15</v>
      </c>
      <c r="J1210">
        <v>38</v>
      </c>
      <c r="K1210">
        <v>0</v>
      </c>
      <c r="L1210">
        <v>0</v>
      </c>
      <c r="M1210">
        <f>VLOOKUP(Table1[[#This Row],[subscription_type]],Plans!$A$1:$B$5,2,FALSE)</f>
        <v>0</v>
      </c>
      <c r="N1210">
        <f t="shared" si="18"/>
        <v>0</v>
      </c>
    </row>
    <row r="1211" spans="1:14" x14ac:dyDescent="0.35">
      <c r="A1211">
        <v>1210</v>
      </c>
      <c r="B1211" t="s">
        <v>16</v>
      </c>
      <c r="C1211">
        <v>34</v>
      </c>
      <c r="D1211" t="s">
        <v>13</v>
      </c>
      <c r="E1211" t="s">
        <v>18</v>
      </c>
      <c r="F1211">
        <v>10</v>
      </c>
      <c r="G1211">
        <v>97</v>
      </c>
      <c r="H1211">
        <v>0.16</v>
      </c>
      <c r="I1211" t="s">
        <v>15</v>
      </c>
      <c r="J1211">
        <v>0</v>
      </c>
      <c r="K1211">
        <v>1</v>
      </c>
      <c r="L1211">
        <v>0</v>
      </c>
      <c r="M1211">
        <f>VLOOKUP(Table1[[#This Row],[subscription_type]],Plans!$A$1:$B$5,2,FALSE)</f>
        <v>14.99</v>
      </c>
      <c r="N1211">
        <f t="shared" si="18"/>
        <v>0</v>
      </c>
    </row>
    <row r="1212" spans="1:14" x14ac:dyDescent="0.35">
      <c r="A1212">
        <v>1211</v>
      </c>
      <c r="B1212" t="s">
        <v>20</v>
      </c>
      <c r="C1212">
        <v>29</v>
      </c>
      <c r="D1212" t="s">
        <v>27</v>
      </c>
      <c r="E1212" t="s">
        <v>18</v>
      </c>
      <c r="F1212">
        <v>57</v>
      </c>
      <c r="G1212">
        <v>31</v>
      </c>
      <c r="H1212">
        <v>0.03</v>
      </c>
      <c r="I1212" t="s">
        <v>19</v>
      </c>
      <c r="J1212">
        <v>0</v>
      </c>
      <c r="K1212">
        <v>1</v>
      </c>
      <c r="L1212">
        <v>0</v>
      </c>
      <c r="M1212">
        <f>VLOOKUP(Table1[[#This Row],[subscription_type]],Plans!$A$1:$B$5,2,FALSE)</f>
        <v>14.99</v>
      </c>
      <c r="N1212">
        <f t="shared" si="18"/>
        <v>0</v>
      </c>
    </row>
    <row r="1213" spans="1:14" x14ac:dyDescent="0.35">
      <c r="A1213">
        <v>1212</v>
      </c>
      <c r="B1213" t="s">
        <v>20</v>
      </c>
      <c r="C1213">
        <v>59</v>
      </c>
      <c r="D1213" t="s">
        <v>17</v>
      </c>
      <c r="E1213" t="s">
        <v>22</v>
      </c>
      <c r="F1213">
        <v>51</v>
      </c>
      <c r="G1213">
        <v>30</v>
      </c>
      <c r="H1213">
        <v>0.03</v>
      </c>
      <c r="I1213" t="s">
        <v>15</v>
      </c>
      <c r="J1213">
        <v>0</v>
      </c>
      <c r="K1213">
        <v>1</v>
      </c>
      <c r="L1213">
        <v>1</v>
      </c>
      <c r="M1213">
        <f>VLOOKUP(Table1[[#This Row],[subscription_type]],Plans!$A$1:$B$5,2,FALSE)</f>
        <v>9.99</v>
      </c>
      <c r="N1213">
        <f t="shared" si="18"/>
        <v>9.99</v>
      </c>
    </row>
    <row r="1214" spans="1:14" x14ac:dyDescent="0.35">
      <c r="A1214">
        <v>1213</v>
      </c>
      <c r="B1214" t="s">
        <v>16</v>
      </c>
      <c r="C1214">
        <v>42</v>
      </c>
      <c r="D1214" t="s">
        <v>13</v>
      </c>
      <c r="E1214" t="s">
        <v>22</v>
      </c>
      <c r="F1214">
        <v>51</v>
      </c>
      <c r="G1214">
        <v>78</v>
      </c>
      <c r="H1214">
        <v>0.06</v>
      </c>
      <c r="I1214" t="s">
        <v>15</v>
      </c>
      <c r="J1214">
        <v>0</v>
      </c>
      <c r="K1214">
        <v>1</v>
      </c>
      <c r="L1214">
        <v>1</v>
      </c>
      <c r="M1214">
        <f>VLOOKUP(Table1[[#This Row],[subscription_type]],Plans!$A$1:$B$5,2,FALSE)</f>
        <v>9.99</v>
      </c>
      <c r="N1214">
        <f t="shared" si="18"/>
        <v>9.99</v>
      </c>
    </row>
    <row r="1215" spans="1:14" x14ac:dyDescent="0.35">
      <c r="A1215">
        <v>1214</v>
      </c>
      <c r="B1215" t="s">
        <v>16</v>
      </c>
      <c r="C1215">
        <v>44</v>
      </c>
      <c r="D1215" t="s">
        <v>21</v>
      </c>
      <c r="E1215" t="s">
        <v>24</v>
      </c>
      <c r="F1215">
        <v>47</v>
      </c>
      <c r="G1215">
        <v>80</v>
      </c>
      <c r="H1215">
        <v>0.44</v>
      </c>
      <c r="I1215" t="s">
        <v>23</v>
      </c>
      <c r="J1215">
        <v>0</v>
      </c>
      <c r="K1215">
        <v>1</v>
      </c>
      <c r="L1215">
        <v>0</v>
      </c>
      <c r="M1215">
        <f>VLOOKUP(Table1[[#This Row],[subscription_type]],Plans!$A$1:$B$5,2,FALSE)</f>
        <v>4.99</v>
      </c>
      <c r="N1215">
        <f t="shared" si="18"/>
        <v>0</v>
      </c>
    </row>
    <row r="1216" spans="1:14" x14ac:dyDescent="0.35">
      <c r="A1216">
        <v>1215</v>
      </c>
      <c r="B1216" t="s">
        <v>12</v>
      </c>
      <c r="C1216">
        <v>25</v>
      </c>
      <c r="D1216" t="s">
        <v>28</v>
      </c>
      <c r="E1216" t="s">
        <v>18</v>
      </c>
      <c r="F1216">
        <v>120</v>
      </c>
      <c r="G1216">
        <v>52</v>
      </c>
      <c r="H1216">
        <v>0.32</v>
      </c>
      <c r="I1216" t="s">
        <v>15</v>
      </c>
      <c r="J1216">
        <v>0</v>
      </c>
      <c r="K1216">
        <v>1</v>
      </c>
      <c r="L1216">
        <v>0</v>
      </c>
      <c r="M1216">
        <f>VLOOKUP(Table1[[#This Row],[subscription_type]],Plans!$A$1:$B$5,2,FALSE)</f>
        <v>14.99</v>
      </c>
      <c r="N1216">
        <f t="shared" si="18"/>
        <v>0</v>
      </c>
    </row>
    <row r="1217" spans="1:14" x14ac:dyDescent="0.35">
      <c r="A1217">
        <v>1216</v>
      </c>
      <c r="B1217" t="s">
        <v>16</v>
      </c>
      <c r="C1217">
        <v>57</v>
      </c>
      <c r="D1217" t="s">
        <v>25</v>
      </c>
      <c r="E1217" t="s">
        <v>18</v>
      </c>
      <c r="F1217">
        <v>101</v>
      </c>
      <c r="G1217">
        <v>32</v>
      </c>
      <c r="H1217">
        <v>0.17</v>
      </c>
      <c r="I1217" t="s">
        <v>15</v>
      </c>
      <c r="J1217">
        <v>0</v>
      </c>
      <c r="K1217">
        <v>1</v>
      </c>
      <c r="L1217">
        <v>0</v>
      </c>
      <c r="M1217">
        <f>VLOOKUP(Table1[[#This Row],[subscription_type]],Plans!$A$1:$B$5,2,FALSE)</f>
        <v>14.99</v>
      </c>
      <c r="N1217">
        <f t="shared" si="18"/>
        <v>0</v>
      </c>
    </row>
    <row r="1218" spans="1:14" x14ac:dyDescent="0.35">
      <c r="A1218">
        <v>1217</v>
      </c>
      <c r="B1218" t="s">
        <v>12</v>
      </c>
      <c r="C1218">
        <v>45</v>
      </c>
      <c r="D1218" t="s">
        <v>29</v>
      </c>
      <c r="E1218" t="s">
        <v>22</v>
      </c>
      <c r="F1218">
        <v>240</v>
      </c>
      <c r="G1218">
        <v>48</v>
      </c>
      <c r="H1218">
        <v>0.5</v>
      </c>
      <c r="I1218" t="s">
        <v>19</v>
      </c>
      <c r="J1218">
        <v>0</v>
      </c>
      <c r="K1218">
        <v>1</v>
      </c>
      <c r="L1218">
        <v>0</v>
      </c>
      <c r="M1218">
        <f>VLOOKUP(Table1[[#This Row],[subscription_type]],Plans!$A$1:$B$5,2,FALSE)</f>
        <v>9.99</v>
      </c>
      <c r="N1218">
        <f t="shared" ref="N1218:N1281" si="19">IF(L1218=1, M1218,0)</f>
        <v>0</v>
      </c>
    </row>
    <row r="1219" spans="1:14" x14ac:dyDescent="0.35">
      <c r="A1219">
        <v>1218</v>
      </c>
      <c r="B1219" t="s">
        <v>12</v>
      </c>
      <c r="C1219">
        <v>49</v>
      </c>
      <c r="D1219" t="s">
        <v>21</v>
      </c>
      <c r="E1219" t="s">
        <v>18</v>
      </c>
      <c r="F1219">
        <v>89</v>
      </c>
      <c r="G1219">
        <v>25</v>
      </c>
      <c r="H1219">
        <v>0.35</v>
      </c>
      <c r="I1219" t="s">
        <v>19</v>
      </c>
      <c r="J1219">
        <v>0</v>
      </c>
      <c r="K1219">
        <v>1</v>
      </c>
      <c r="L1219">
        <v>0</v>
      </c>
      <c r="M1219">
        <f>VLOOKUP(Table1[[#This Row],[subscription_type]],Plans!$A$1:$B$5,2,FALSE)</f>
        <v>14.99</v>
      </c>
      <c r="N1219">
        <f t="shared" si="19"/>
        <v>0</v>
      </c>
    </row>
    <row r="1220" spans="1:14" x14ac:dyDescent="0.35">
      <c r="A1220">
        <v>1219</v>
      </c>
      <c r="B1220" t="s">
        <v>12</v>
      </c>
      <c r="C1220">
        <v>51</v>
      </c>
      <c r="D1220" t="s">
        <v>26</v>
      </c>
      <c r="E1220" t="s">
        <v>14</v>
      </c>
      <c r="F1220">
        <v>45</v>
      </c>
      <c r="G1220">
        <v>61</v>
      </c>
      <c r="H1220">
        <v>0.37</v>
      </c>
      <c r="I1220" t="s">
        <v>15</v>
      </c>
      <c r="J1220">
        <v>36</v>
      </c>
      <c r="K1220">
        <v>0</v>
      </c>
      <c r="L1220">
        <v>0</v>
      </c>
      <c r="M1220">
        <f>VLOOKUP(Table1[[#This Row],[subscription_type]],Plans!$A$1:$B$5,2,FALSE)</f>
        <v>0</v>
      </c>
      <c r="N1220">
        <f t="shared" si="19"/>
        <v>0</v>
      </c>
    </row>
    <row r="1221" spans="1:14" x14ac:dyDescent="0.35">
      <c r="A1221">
        <v>1220</v>
      </c>
      <c r="B1221" t="s">
        <v>12</v>
      </c>
      <c r="C1221">
        <v>47</v>
      </c>
      <c r="D1221" t="s">
        <v>28</v>
      </c>
      <c r="E1221" t="s">
        <v>14</v>
      </c>
      <c r="F1221">
        <v>289</v>
      </c>
      <c r="G1221">
        <v>49</v>
      </c>
      <c r="H1221">
        <v>0.06</v>
      </c>
      <c r="I1221" t="s">
        <v>19</v>
      </c>
      <c r="J1221">
        <v>47</v>
      </c>
      <c r="K1221">
        <v>0</v>
      </c>
      <c r="L1221">
        <v>0</v>
      </c>
      <c r="M1221">
        <f>VLOOKUP(Table1[[#This Row],[subscription_type]],Plans!$A$1:$B$5,2,FALSE)</f>
        <v>0</v>
      </c>
      <c r="N1221">
        <f t="shared" si="19"/>
        <v>0</v>
      </c>
    </row>
    <row r="1222" spans="1:14" x14ac:dyDescent="0.35">
      <c r="A1222">
        <v>1221</v>
      </c>
      <c r="B1222" t="s">
        <v>12</v>
      </c>
      <c r="C1222">
        <v>53</v>
      </c>
      <c r="D1222" t="s">
        <v>21</v>
      </c>
      <c r="E1222" t="s">
        <v>14</v>
      </c>
      <c r="F1222">
        <v>280</v>
      </c>
      <c r="G1222">
        <v>74</v>
      </c>
      <c r="H1222">
        <v>0.39</v>
      </c>
      <c r="I1222" t="s">
        <v>23</v>
      </c>
      <c r="J1222">
        <v>6</v>
      </c>
      <c r="K1222">
        <v>0</v>
      </c>
      <c r="L1222">
        <v>1</v>
      </c>
      <c r="M1222">
        <f>VLOOKUP(Table1[[#This Row],[subscription_type]],Plans!$A$1:$B$5,2,FALSE)</f>
        <v>0</v>
      </c>
      <c r="N1222">
        <f t="shared" si="19"/>
        <v>0</v>
      </c>
    </row>
    <row r="1223" spans="1:14" x14ac:dyDescent="0.35">
      <c r="A1223">
        <v>1222</v>
      </c>
      <c r="B1223" t="s">
        <v>12</v>
      </c>
      <c r="C1223">
        <v>23</v>
      </c>
      <c r="D1223" t="s">
        <v>21</v>
      </c>
      <c r="E1223" t="s">
        <v>18</v>
      </c>
      <c r="F1223">
        <v>290</v>
      </c>
      <c r="G1223">
        <v>82</v>
      </c>
      <c r="H1223">
        <v>0.44</v>
      </c>
      <c r="I1223" t="s">
        <v>15</v>
      </c>
      <c r="J1223">
        <v>0</v>
      </c>
      <c r="K1223">
        <v>1</v>
      </c>
      <c r="L1223">
        <v>1</v>
      </c>
      <c r="M1223">
        <f>VLOOKUP(Table1[[#This Row],[subscription_type]],Plans!$A$1:$B$5,2,FALSE)</f>
        <v>14.99</v>
      </c>
      <c r="N1223">
        <f t="shared" si="19"/>
        <v>14.99</v>
      </c>
    </row>
    <row r="1224" spans="1:14" x14ac:dyDescent="0.35">
      <c r="A1224">
        <v>1223</v>
      </c>
      <c r="B1224" t="s">
        <v>16</v>
      </c>
      <c r="C1224">
        <v>47</v>
      </c>
      <c r="D1224" t="s">
        <v>27</v>
      </c>
      <c r="E1224" t="s">
        <v>18</v>
      </c>
      <c r="F1224">
        <v>100</v>
      </c>
      <c r="G1224">
        <v>26</v>
      </c>
      <c r="H1224">
        <v>0.06</v>
      </c>
      <c r="I1224" t="s">
        <v>23</v>
      </c>
      <c r="J1224">
        <v>0</v>
      </c>
      <c r="K1224">
        <v>1</v>
      </c>
      <c r="L1224">
        <v>1</v>
      </c>
      <c r="M1224">
        <f>VLOOKUP(Table1[[#This Row],[subscription_type]],Plans!$A$1:$B$5,2,FALSE)</f>
        <v>14.99</v>
      </c>
      <c r="N1224">
        <f t="shared" si="19"/>
        <v>14.99</v>
      </c>
    </row>
    <row r="1225" spans="1:14" x14ac:dyDescent="0.35">
      <c r="A1225">
        <v>1224</v>
      </c>
      <c r="B1225" t="s">
        <v>20</v>
      </c>
      <c r="C1225">
        <v>53</v>
      </c>
      <c r="D1225" t="s">
        <v>26</v>
      </c>
      <c r="E1225" t="s">
        <v>24</v>
      </c>
      <c r="F1225">
        <v>22</v>
      </c>
      <c r="G1225">
        <v>35</v>
      </c>
      <c r="H1225">
        <v>0.24</v>
      </c>
      <c r="I1225" t="s">
        <v>23</v>
      </c>
      <c r="J1225">
        <v>0</v>
      </c>
      <c r="K1225">
        <v>1</v>
      </c>
      <c r="L1225">
        <v>1</v>
      </c>
      <c r="M1225">
        <f>VLOOKUP(Table1[[#This Row],[subscription_type]],Plans!$A$1:$B$5,2,FALSE)</f>
        <v>4.99</v>
      </c>
      <c r="N1225">
        <f t="shared" si="19"/>
        <v>4.99</v>
      </c>
    </row>
    <row r="1226" spans="1:14" x14ac:dyDescent="0.35">
      <c r="A1226">
        <v>1225</v>
      </c>
      <c r="B1226" t="s">
        <v>12</v>
      </c>
      <c r="C1226">
        <v>39</v>
      </c>
      <c r="D1226" t="s">
        <v>25</v>
      </c>
      <c r="E1226" t="s">
        <v>18</v>
      </c>
      <c r="F1226">
        <v>13</v>
      </c>
      <c r="G1226">
        <v>15</v>
      </c>
      <c r="H1226">
        <v>0.05</v>
      </c>
      <c r="I1226" t="s">
        <v>19</v>
      </c>
      <c r="J1226">
        <v>0</v>
      </c>
      <c r="K1226">
        <v>1</v>
      </c>
      <c r="L1226">
        <v>0</v>
      </c>
      <c r="M1226">
        <f>VLOOKUP(Table1[[#This Row],[subscription_type]],Plans!$A$1:$B$5,2,FALSE)</f>
        <v>14.99</v>
      </c>
      <c r="N1226">
        <f t="shared" si="19"/>
        <v>0</v>
      </c>
    </row>
    <row r="1227" spans="1:14" x14ac:dyDescent="0.35">
      <c r="A1227">
        <v>1226</v>
      </c>
      <c r="B1227" t="s">
        <v>12</v>
      </c>
      <c r="C1227">
        <v>26</v>
      </c>
      <c r="D1227" t="s">
        <v>29</v>
      </c>
      <c r="E1227" t="s">
        <v>24</v>
      </c>
      <c r="F1227">
        <v>245</v>
      </c>
      <c r="G1227">
        <v>71</v>
      </c>
      <c r="H1227">
        <v>0.37</v>
      </c>
      <c r="I1227" t="s">
        <v>15</v>
      </c>
      <c r="J1227">
        <v>0</v>
      </c>
      <c r="K1227">
        <v>1</v>
      </c>
      <c r="L1227">
        <v>1</v>
      </c>
      <c r="M1227">
        <f>VLOOKUP(Table1[[#This Row],[subscription_type]],Plans!$A$1:$B$5,2,FALSE)</f>
        <v>4.99</v>
      </c>
      <c r="N1227">
        <f t="shared" si="19"/>
        <v>4.99</v>
      </c>
    </row>
    <row r="1228" spans="1:14" x14ac:dyDescent="0.35">
      <c r="A1228">
        <v>1227</v>
      </c>
      <c r="B1228" t="s">
        <v>20</v>
      </c>
      <c r="C1228">
        <v>44</v>
      </c>
      <c r="D1228" t="s">
        <v>17</v>
      </c>
      <c r="E1228" t="s">
        <v>18</v>
      </c>
      <c r="F1228">
        <v>162</v>
      </c>
      <c r="G1228">
        <v>4</v>
      </c>
      <c r="H1228">
        <v>0.24</v>
      </c>
      <c r="I1228" t="s">
        <v>19</v>
      </c>
      <c r="J1228">
        <v>0</v>
      </c>
      <c r="K1228">
        <v>1</v>
      </c>
      <c r="L1228">
        <v>0</v>
      </c>
      <c r="M1228">
        <f>VLOOKUP(Table1[[#This Row],[subscription_type]],Plans!$A$1:$B$5,2,FALSE)</f>
        <v>14.99</v>
      </c>
      <c r="N1228">
        <f t="shared" si="19"/>
        <v>0</v>
      </c>
    </row>
    <row r="1229" spans="1:14" x14ac:dyDescent="0.35">
      <c r="A1229">
        <v>1228</v>
      </c>
      <c r="B1229" t="s">
        <v>20</v>
      </c>
      <c r="C1229">
        <v>24</v>
      </c>
      <c r="D1229" t="s">
        <v>25</v>
      </c>
      <c r="E1229" t="s">
        <v>18</v>
      </c>
      <c r="F1229">
        <v>249</v>
      </c>
      <c r="G1229">
        <v>93</v>
      </c>
      <c r="H1229">
        <v>0.21</v>
      </c>
      <c r="I1229" t="s">
        <v>15</v>
      </c>
      <c r="J1229">
        <v>0</v>
      </c>
      <c r="K1229">
        <v>1</v>
      </c>
      <c r="L1229">
        <v>0</v>
      </c>
      <c r="M1229">
        <f>VLOOKUP(Table1[[#This Row],[subscription_type]],Plans!$A$1:$B$5,2,FALSE)</f>
        <v>14.99</v>
      </c>
      <c r="N1229">
        <f t="shared" si="19"/>
        <v>0</v>
      </c>
    </row>
    <row r="1230" spans="1:14" x14ac:dyDescent="0.35">
      <c r="A1230">
        <v>1229</v>
      </c>
      <c r="B1230" t="s">
        <v>16</v>
      </c>
      <c r="C1230">
        <v>41</v>
      </c>
      <c r="D1230" t="s">
        <v>13</v>
      </c>
      <c r="E1230" t="s">
        <v>14</v>
      </c>
      <c r="F1230">
        <v>218</v>
      </c>
      <c r="G1230">
        <v>6</v>
      </c>
      <c r="H1230">
        <v>0.13</v>
      </c>
      <c r="I1230" t="s">
        <v>19</v>
      </c>
      <c r="J1230">
        <v>38</v>
      </c>
      <c r="K1230">
        <v>0</v>
      </c>
      <c r="L1230">
        <v>0</v>
      </c>
      <c r="M1230">
        <f>VLOOKUP(Table1[[#This Row],[subscription_type]],Plans!$A$1:$B$5,2,FALSE)</f>
        <v>0</v>
      </c>
      <c r="N1230">
        <f t="shared" si="19"/>
        <v>0</v>
      </c>
    </row>
    <row r="1231" spans="1:14" x14ac:dyDescent="0.35">
      <c r="A1231">
        <v>1230</v>
      </c>
      <c r="B1231" t="s">
        <v>12</v>
      </c>
      <c r="C1231">
        <v>25</v>
      </c>
      <c r="D1231" t="s">
        <v>25</v>
      </c>
      <c r="E1231" t="s">
        <v>18</v>
      </c>
      <c r="F1231">
        <v>22</v>
      </c>
      <c r="G1231">
        <v>87</v>
      </c>
      <c r="H1231">
        <v>0.27</v>
      </c>
      <c r="I1231" t="s">
        <v>23</v>
      </c>
      <c r="J1231">
        <v>0</v>
      </c>
      <c r="K1231">
        <v>1</v>
      </c>
      <c r="L1231">
        <v>0</v>
      </c>
      <c r="M1231">
        <f>VLOOKUP(Table1[[#This Row],[subscription_type]],Plans!$A$1:$B$5,2,FALSE)</f>
        <v>14.99</v>
      </c>
      <c r="N1231">
        <f t="shared" si="19"/>
        <v>0</v>
      </c>
    </row>
    <row r="1232" spans="1:14" x14ac:dyDescent="0.35">
      <c r="A1232">
        <v>1231</v>
      </c>
      <c r="B1232" t="s">
        <v>20</v>
      </c>
      <c r="C1232">
        <v>49</v>
      </c>
      <c r="D1232" t="s">
        <v>27</v>
      </c>
      <c r="E1232" t="s">
        <v>14</v>
      </c>
      <c r="F1232">
        <v>269</v>
      </c>
      <c r="G1232">
        <v>82</v>
      </c>
      <c r="H1232">
        <v>0.42</v>
      </c>
      <c r="I1232" t="s">
        <v>15</v>
      </c>
      <c r="J1232">
        <v>5</v>
      </c>
      <c r="K1232">
        <v>0</v>
      </c>
      <c r="L1232">
        <v>1</v>
      </c>
      <c r="M1232">
        <f>VLOOKUP(Table1[[#This Row],[subscription_type]],Plans!$A$1:$B$5,2,FALSE)</f>
        <v>0</v>
      </c>
      <c r="N1232">
        <f t="shared" si="19"/>
        <v>0</v>
      </c>
    </row>
    <row r="1233" spans="1:14" x14ac:dyDescent="0.35">
      <c r="A1233">
        <v>1232</v>
      </c>
      <c r="B1233" t="s">
        <v>12</v>
      </c>
      <c r="C1233">
        <v>39</v>
      </c>
      <c r="D1233" t="s">
        <v>25</v>
      </c>
      <c r="E1233" t="s">
        <v>24</v>
      </c>
      <c r="F1233">
        <v>172</v>
      </c>
      <c r="G1233">
        <v>55</v>
      </c>
      <c r="H1233">
        <v>0.27</v>
      </c>
      <c r="I1233" t="s">
        <v>15</v>
      </c>
      <c r="J1233">
        <v>0</v>
      </c>
      <c r="K1233">
        <v>1</v>
      </c>
      <c r="L1233">
        <v>0</v>
      </c>
      <c r="M1233">
        <f>VLOOKUP(Table1[[#This Row],[subscription_type]],Plans!$A$1:$B$5,2,FALSE)</f>
        <v>4.99</v>
      </c>
      <c r="N1233">
        <f t="shared" si="19"/>
        <v>0</v>
      </c>
    </row>
    <row r="1234" spans="1:14" x14ac:dyDescent="0.35">
      <c r="A1234">
        <v>1233</v>
      </c>
      <c r="B1234" t="s">
        <v>16</v>
      </c>
      <c r="C1234">
        <v>39</v>
      </c>
      <c r="D1234" t="s">
        <v>17</v>
      </c>
      <c r="E1234" t="s">
        <v>18</v>
      </c>
      <c r="F1234">
        <v>10</v>
      </c>
      <c r="G1234">
        <v>36</v>
      </c>
      <c r="H1234">
        <v>0.04</v>
      </c>
      <c r="I1234" t="s">
        <v>15</v>
      </c>
      <c r="J1234">
        <v>0</v>
      </c>
      <c r="K1234">
        <v>1</v>
      </c>
      <c r="L1234">
        <v>0</v>
      </c>
      <c r="M1234">
        <f>VLOOKUP(Table1[[#This Row],[subscription_type]],Plans!$A$1:$B$5,2,FALSE)</f>
        <v>14.99</v>
      </c>
      <c r="N1234">
        <f t="shared" si="19"/>
        <v>0</v>
      </c>
    </row>
    <row r="1235" spans="1:14" x14ac:dyDescent="0.35">
      <c r="A1235">
        <v>1234</v>
      </c>
      <c r="B1235" t="s">
        <v>16</v>
      </c>
      <c r="C1235">
        <v>53</v>
      </c>
      <c r="D1235" t="s">
        <v>29</v>
      </c>
      <c r="E1235" t="s">
        <v>22</v>
      </c>
      <c r="F1235">
        <v>93</v>
      </c>
      <c r="G1235">
        <v>28</v>
      </c>
      <c r="H1235">
        <v>0.45</v>
      </c>
      <c r="I1235" t="s">
        <v>23</v>
      </c>
      <c r="J1235">
        <v>0</v>
      </c>
      <c r="K1235">
        <v>1</v>
      </c>
      <c r="L1235">
        <v>1</v>
      </c>
      <c r="M1235">
        <f>VLOOKUP(Table1[[#This Row],[subscription_type]],Plans!$A$1:$B$5,2,FALSE)</f>
        <v>9.99</v>
      </c>
      <c r="N1235">
        <f t="shared" si="19"/>
        <v>9.99</v>
      </c>
    </row>
    <row r="1236" spans="1:14" x14ac:dyDescent="0.35">
      <c r="A1236">
        <v>1235</v>
      </c>
      <c r="B1236" t="s">
        <v>16</v>
      </c>
      <c r="C1236">
        <v>32</v>
      </c>
      <c r="D1236" t="s">
        <v>28</v>
      </c>
      <c r="E1236" t="s">
        <v>14</v>
      </c>
      <c r="F1236">
        <v>272</v>
      </c>
      <c r="G1236">
        <v>38</v>
      </c>
      <c r="H1236">
        <v>0.34</v>
      </c>
      <c r="I1236" t="s">
        <v>23</v>
      </c>
      <c r="J1236">
        <v>20</v>
      </c>
      <c r="K1236">
        <v>0</v>
      </c>
      <c r="L1236">
        <v>0</v>
      </c>
      <c r="M1236">
        <f>VLOOKUP(Table1[[#This Row],[subscription_type]],Plans!$A$1:$B$5,2,FALSE)</f>
        <v>0</v>
      </c>
      <c r="N1236">
        <f t="shared" si="19"/>
        <v>0</v>
      </c>
    </row>
    <row r="1237" spans="1:14" x14ac:dyDescent="0.35">
      <c r="A1237">
        <v>1236</v>
      </c>
      <c r="B1237" t="s">
        <v>20</v>
      </c>
      <c r="C1237">
        <v>27</v>
      </c>
      <c r="D1237" t="s">
        <v>13</v>
      </c>
      <c r="E1237" t="s">
        <v>18</v>
      </c>
      <c r="F1237">
        <v>53</v>
      </c>
      <c r="G1237">
        <v>82</v>
      </c>
      <c r="H1237">
        <v>0.48</v>
      </c>
      <c r="I1237" t="s">
        <v>23</v>
      </c>
      <c r="J1237">
        <v>0</v>
      </c>
      <c r="K1237">
        <v>1</v>
      </c>
      <c r="L1237">
        <v>0</v>
      </c>
      <c r="M1237">
        <f>VLOOKUP(Table1[[#This Row],[subscription_type]],Plans!$A$1:$B$5,2,FALSE)</f>
        <v>14.99</v>
      </c>
      <c r="N1237">
        <f t="shared" si="19"/>
        <v>0</v>
      </c>
    </row>
    <row r="1238" spans="1:14" x14ac:dyDescent="0.35">
      <c r="A1238">
        <v>1237</v>
      </c>
      <c r="B1238" t="s">
        <v>20</v>
      </c>
      <c r="C1238">
        <v>40</v>
      </c>
      <c r="D1238" t="s">
        <v>28</v>
      </c>
      <c r="E1238" t="s">
        <v>14</v>
      </c>
      <c r="F1238">
        <v>59</v>
      </c>
      <c r="G1238">
        <v>30</v>
      </c>
      <c r="H1238">
        <v>0.1</v>
      </c>
      <c r="I1238" t="s">
        <v>19</v>
      </c>
      <c r="J1238">
        <v>44</v>
      </c>
      <c r="K1238">
        <v>0</v>
      </c>
      <c r="L1238">
        <v>0</v>
      </c>
      <c r="M1238">
        <f>VLOOKUP(Table1[[#This Row],[subscription_type]],Plans!$A$1:$B$5,2,FALSE)</f>
        <v>0</v>
      </c>
      <c r="N1238">
        <f t="shared" si="19"/>
        <v>0</v>
      </c>
    </row>
    <row r="1239" spans="1:14" x14ac:dyDescent="0.35">
      <c r="A1239">
        <v>1238</v>
      </c>
      <c r="B1239" t="s">
        <v>20</v>
      </c>
      <c r="C1239">
        <v>51</v>
      </c>
      <c r="D1239" t="s">
        <v>21</v>
      </c>
      <c r="E1239" t="s">
        <v>22</v>
      </c>
      <c r="F1239">
        <v>20</v>
      </c>
      <c r="G1239">
        <v>72</v>
      </c>
      <c r="H1239">
        <v>0.25</v>
      </c>
      <c r="I1239" t="s">
        <v>23</v>
      </c>
      <c r="J1239">
        <v>0</v>
      </c>
      <c r="K1239">
        <v>1</v>
      </c>
      <c r="L1239">
        <v>0</v>
      </c>
      <c r="M1239">
        <f>VLOOKUP(Table1[[#This Row],[subscription_type]],Plans!$A$1:$B$5,2,FALSE)</f>
        <v>9.99</v>
      </c>
      <c r="N1239">
        <f t="shared" si="19"/>
        <v>0</v>
      </c>
    </row>
    <row r="1240" spans="1:14" x14ac:dyDescent="0.35">
      <c r="A1240">
        <v>1239</v>
      </c>
      <c r="B1240" t="s">
        <v>12</v>
      </c>
      <c r="C1240">
        <v>52</v>
      </c>
      <c r="D1240" t="s">
        <v>26</v>
      </c>
      <c r="E1240" t="s">
        <v>22</v>
      </c>
      <c r="F1240">
        <v>247</v>
      </c>
      <c r="G1240">
        <v>41</v>
      </c>
      <c r="H1240">
        <v>0.33</v>
      </c>
      <c r="I1240" t="s">
        <v>15</v>
      </c>
      <c r="J1240">
        <v>0</v>
      </c>
      <c r="K1240">
        <v>1</v>
      </c>
      <c r="L1240">
        <v>0</v>
      </c>
      <c r="M1240">
        <f>VLOOKUP(Table1[[#This Row],[subscription_type]],Plans!$A$1:$B$5,2,FALSE)</f>
        <v>9.99</v>
      </c>
      <c r="N1240">
        <f t="shared" si="19"/>
        <v>0</v>
      </c>
    </row>
    <row r="1241" spans="1:14" x14ac:dyDescent="0.35">
      <c r="A1241">
        <v>1240</v>
      </c>
      <c r="B1241" t="s">
        <v>16</v>
      </c>
      <c r="C1241">
        <v>40</v>
      </c>
      <c r="D1241" t="s">
        <v>13</v>
      </c>
      <c r="E1241" t="s">
        <v>22</v>
      </c>
      <c r="F1241">
        <v>220</v>
      </c>
      <c r="G1241">
        <v>97</v>
      </c>
      <c r="H1241">
        <v>0.05</v>
      </c>
      <c r="I1241" t="s">
        <v>15</v>
      </c>
      <c r="J1241">
        <v>0</v>
      </c>
      <c r="K1241">
        <v>1</v>
      </c>
      <c r="L1241">
        <v>0</v>
      </c>
      <c r="M1241">
        <f>VLOOKUP(Table1[[#This Row],[subscription_type]],Plans!$A$1:$B$5,2,FALSE)</f>
        <v>9.99</v>
      </c>
      <c r="N1241">
        <f t="shared" si="19"/>
        <v>0</v>
      </c>
    </row>
    <row r="1242" spans="1:14" x14ac:dyDescent="0.35">
      <c r="A1242">
        <v>1241</v>
      </c>
      <c r="B1242" t="s">
        <v>16</v>
      </c>
      <c r="C1242">
        <v>23</v>
      </c>
      <c r="D1242" t="s">
        <v>17</v>
      </c>
      <c r="E1242" t="s">
        <v>22</v>
      </c>
      <c r="F1242">
        <v>70</v>
      </c>
      <c r="G1242">
        <v>85</v>
      </c>
      <c r="H1242">
        <v>0.46</v>
      </c>
      <c r="I1242" t="s">
        <v>23</v>
      </c>
      <c r="J1242">
        <v>0</v>
      </c>
      <c r="K1242">
        <v>1</v>
      </c>
      <c r="L1242">
        <v>0</v>
      </c>
      <c r="M1242">
        <f>VLOOKUP(Table1[[#This Row],[subscription_type]],Plans!$A$1:$B$5,2,FALSE)</f>
        <v>9.99</v>
      </c>
      <c r="N1242">
        <f t="shared" si="19"/>
        <v>0</v>
      </c>
    </row>
    <row r="1243" spans="1:14" x14ac:dyDescent="0.35">
      <c r="A1243">
        <v>1242</v>
      </c>
      <c r="B1243" t="s">
        <v>12</v>
      </c>
      <c r="C1243">
        <v>42</v>
      </c>
      <c r="D1243" t="s">
        <v>26</v>
      </c>
      <c r="E1243" t="s">
        <v>22</v>
      </c>
      <c r="F1243">
        <v>154</v>
      </c>
      <c r="G1243">
        <v>48</v>
      </c>
      <c r="H1243">
        <v>0.23</v>
      </c>
      <c r="I1243" t="s">
        <v>15</v>
      </c>
      <c r="J1243">
        <v>0</v>
      </c>
      <c r="K1243">
        <v>1</v>
      </c>
      <c r="L1243">
        <v>0</v>
      </c>
      <c r="M1243">
        <f>VLOOKUP(Table1[[#This Row],[subscription_type]],Plans!$A$1:$B$5,2,FALSE)</f>
        <v>9.99</v>
      </c>
      <c r="N1243">
        <f t="shared" si="19"/>
        <v>0</v>
      </c>
    </row>
    <row r="1244" spans="1:14" x14ac:dyDescent="0.35">
      <c r="A1244">
        <v>1243</v>
      </c>
      <c r="B1244" t="s">
        <v>20</v>
      </c>
      <c r="C1244">
        <v>18</v>
      </c>
      <c r="D1244" t="s">
        <v>26</v>
      </c>
      <c r="E1244" t="s">
        <v>22</v>
      </c>
      <c r="F1244">
        <v>234</v>
      </c>
      <c r="G1244">
        <v>6</v>
      </c>
      <c r="H1244">
        <v>0.52</v>
      </c>
      <c r="I1244" t="s">
        <v>15</v>
      </c>
      <c r="J1244">
        <v>0</v>
      </c>
      <c r="K1244">
        <v>1</v>
      </c>
      <c r="L1244">
        <v>1</v>
      </c>
      <c r="M1244">
        <f>VLOOKUP(Table1[[#This Row],[subscription_type]],Plans!$A$1:$B$5,2,FALSE)</f>
        <v>9.99</v>
      </c>
      <c r="N1244">
        <f t="shared" si="19"/>
        <v>9.99</v>
      </c>
    </row>
    <row r="1245" spans="1:14" x14ac:dyDescent="0.35">
      <c r="A1245">
        <v>1244</v>
      </c>
      <c r="B1245" t="s">
        <v>20</v>
      </c>
      <c r="C1245">
        <v>20</v>
      </c>
      <c r="D1245" t="s">
        <v>21</v>
      </c>
      <c r="E1245" t="s">
        <v>14</v>
      </c>
      <c r="F1245">
        <v>158</v>
      </c>
      <c r="G1245">
        <v>95</v>
      </c>
      <c r="H1245">
        <v>0.13</v>
      </c>
      <c r="I1245" t="s">
        <v>15</v>
      </c>
      <c r="J1245">
        <v>10</v>
      </c>
      <c r="K1245">
        <v>0</v>
      </c>
      <c r="L1245">
        <v>0</v>
      </c>
      <c r="M1245">
        <f>VLOOKUP(Table1[[#This Row],[subscription_type]],Plans!$A$1:$B$5,2,FALSE)</f>
        <v>0</v>
      </c>
      <c r="N1245">
        <f t="shared" si="19"/>
        <v>0</v>
      </c>
    </row>
    <row r="1246" spans="1:14" x14ac:dyDescent="0.35">
      <c r="A1246">
        <v>1245</v>
      </c>
      <c r="B1246" t="s">
        <v>16</v>
      </c>
      <c r="C1246">
        <v>34</v>
      </c>
      <c r="D1246" t="s">
        <v>21</v>
      </c>
      <c r="E1246" t="s">
        <v>18</v>
      </c>
      <c r="F1246">
        <v>35</v>
      </c>
      <c r="G1246">
        <v>3</v>
      </c>
      <c r="H1246">
        <v>0.09</v>
      </c>
      <c r="I1246" t="s">
        <v>15</v>
      </c>
      <c r="J1246">
        <v>0</v>
      </c>
      <c r="K1246">
        <v>1</v>
      </c>
      <c r="L1246">
        <v>1</v>
      </c>
      <c r="M1246">
        <f>VLOOKUP(Table1[[#This Row],[subscription_type]],Plans!$A$1:$B$5,2,FALSE)</f>
        <v>14.99</v>
      </c>
      <c r="N1246">
        <f t="shared" si="19"/>
        <v>14.99</v>
      </c>
    </row>
    <row r="1247" spans="1:14" x14ac:dyDescent="0.35">
      <c r="A1247">
        <v>1246</v>
      </c>
      <c r="B1247" t="s">
        <v>16</v>
      </c>
      <c r="C1247">
        <v>59</v>
      </c>
      <c r="D1247" t="s">
        <v>13</v>
      </c>
      <c r="E1247" t="s">
        <v>14</v>
      </c>
      <c r="F1247">
        <v>233</v>
      </c>
      <c r="G1247">
        <v>80</v>
      </c>
      <c r="H1247">
        <v>0.16</v>
      </c>
      <c r="I1247" t="s">
        <v>15</v>
      </c>
      <c r="J1247">
        <v>36</v>
      </c>
      <c r="K1247">
        <v>0</v>
      </c>
      <c r="L1247">
        <v>0</v>
      </c>
      <c r="M1247">
        <f>VLOOKUP(Table1[[#This Row],[subscription_type]],Plans!$A$1:$B$5,2,FALSE)</f>
        <v>0</v>
      </c>
      <c r="N1247">
        <f t="shared" si="19"/>
        <v>0</v>
      </c>
    </row>
    <row r="1248" spans="1:14" x14ac:dyDescent="0.35">
      <c r="A1248">
        <v>1247</v>
      </c>
      <c r="B1248" t="s">
        <v>16</v>
      </c>
      <c r="C1248">
        <v>34</v>
      </c>
      <c r="D1248" t="s">
        <v>27</v>
      </c>
      <c r="E1248" t="s">
        <v>14</v>
      </c>
      <c r="F1248">
        <v>177</v>
      </c>
      <c r="G1248">
        <v>27</v>
      </c>
      <c r="H1248">
        <v>0.3</v>
      </c>
      <c r="I1248" t="s">
        <v>19</v>
      </c>
      <c r="J1248">
        <v>22</v>
      </c>
      <c r="K1248">
        <v>0</v>
      </c>
      <c r="L1248">
        <v>1</v>
      </c>
      <c r="M1248">
        <f>VLOOKUP(Table1[[#This Row],[subscription_type]],Plans!$A$1:$B$5,2,FALSE)</f>
        <v>0</v>
      </c>
      <c r="N1248">
        <f t="shared" si="19"/>
        <v>0</v>
      </c>
    </row>
    <row r="1249" spans="1:14" x14ac:dyDescent="0.35">
      <c r="A1249">
        <v>1248</v>
      </c>
      <c r="B1249" t="s">
        <v>16</v>
      </c>
      <c r="C1249">
        <v>42</v>
      </c>
      <c r="D1249" t="s">
        <v>17</v>
      </c>
      <c r="E1249" t="s">
        <v>14</v>
      </c>
      <c r="F1249">
        <v>193</v>
      </c>
      <c r="G1249">
        <v>28</v>
      </c>
      <c r="H1249">
        <v>0.55000000000000004</v>
      </c>
      <c r="I1249" t="s">
        <v>19</v>
      </c>
      <c r="J1249">
        <v>19</v>
      </c>
      <c r="K1249">
        <v>0</v>
      </c>
      <c r="L1249">
        <v>0</v>
      </c>
      <c r="M1249">
        <f>VLOOKUP(Table1[[#This Row],[subscription_type]],Plans!$A$1:$B$5,2,FALSE)</f>
        <v>0</v>
      </c>
      <c r="N1249">
        <f t="shared" si="19"/>
        <v>0</v>
      </c>
    </row>
    <row r="1250" spans="1:14" x14ac:dyDescent="0.35">
      <c r="A1250">
        <v>1249</v>
      </c>
      <c r="B1250" t="s">
        <v>16</v>
      </c>
      <c r="C1250">
        <v>39</v>
      </c>
      <c r="D1250" t="s">
        <v>25</v>
      </c>
      <c r="E1250" t="s">
        <v>18</v>
      </c>
      <c r="F1250">
        <v>67</v>
      </c>
      <c r="G1250">
        <v>38</v>
      </c>
      <c r="H1250">
        <v>0.06</v>
      </c>
      <c r="I1250" t="s">
        <v>23</v>
      </c>
      <c r="J1250">
        <v>0</v>
      </c>
      <c r="K1250">
        <v>1</v>
      </c>
      <c r="L1250">
        <v>1</v>
      </c>
      <c r="M1250">
        <f>VLOOKUP(Table1[[#This Row],[subscription_type]],Plans!$A$1:$B$5,2,FALSE)</f>
        <v>14.99</v>
      </c>
      <c r="N1250">
        <f t="shared" si="19"/>
        <v>14.99</v>
      </c>
    </row>
    <row r="1251" spans="1:14" x14ac:dyDescent="0.35">
      <c r="A1251">
        <v>1250</v>
      </c>
      <c r="B1251" t="s">
        <v>12</v>
      </c>
      <c r="C1251">
        <v>58</v>
      </c>
      <c r="D1251" t="s">
        <v>28</v>
      </c>
      <c r="E1251" t="s">
        <v>22</v>
      </c>
      <c r="F1251">
        <v>244</v>
      </c>
      <c r="G1251">
        <v>4</v>
      </c>
      <c r="H1251">
        <v>0.37</v>
      </c>
      <c r="I1251" t="s">
        <v>23</v>
      </c>
      <c r="J1251">
        <v>0</v>
      </c>
      <c r="K1251">
        <v>1</v>
      </c>
      <c r="L1251">
        <v>0</v>
      </c>
      <c r="M1251">
        <f>VLOOKUP(Table1[[#This Row],[subscription_type]],Plans!$A$1:$B$5,2,FALSE)</f>
        <v>9.99</v>
      </c>
      <c r="N1251">
        <f t="shared" si="19"/>
        <v>0</v>
      </c>
    </row>
    <row r="1252" spans="1:14" x14ac:dyDescent="0.35">
      <c r="A1252">
        <v>1251</v>
      </c>
      <c r="B1252" t="s">
        <v>16</v>
      </c>
      <c r="C1252">
        <v>20</v>
      </c>
      <c r="D1252" t="s">
        <v>26</v>
      </c>
      <c r="E1252" t="s">
        <v>24</v>
      </c>
      <c r="F1252">
        <v>111</v>
      </c>
      <c r="G1252">
        <v>92</v>
      </c>
      <c r="H1252">
        <v>0.36</v>
      </c>
      <c r="I1252" t="s">
        <v>15</v>
      </c>
      <c r="J1252">
        <v>0</v>
      </c>
      <c r="K1252">
        <v>1</v>
      </c>
      <c r="L1252">
        <v>1</v>
      </c>
      <c r="M1252">
        <f>VLOOKUP(Table1[[#This Row],[subscription_type]],Plans!$A$1:$B$5,2,FALSE)</f>
        <v>4.99</v>
      </c>
      <c r="N1252">
        <f t="shared" si="19"/>
        <v>4.99</v>
      </c>
    </row>
    <row r="1253" spans="1:14" x14ac:dyDescent="0.35">
      <c r="A1253">
        <v>1252</v>
      </c>
      <c r="B1253" t="s">
        <v>12</v>
      </c>
      <c r="C1253">
        <v>52</v>
      </c>
      <c r="D1253" t="s">
        <v>25</v>
      </c>
      <c r="E1253" t="s">
        <v>14</v>
      </c>
      <c r="F1253">
        <v>281</v>
      </c>
      <c r="G1253">
        <v>1</v>
      </c>
      <c r="H1253">
        <v>0.1</v>
      </c>
      <c r="I1253" t="s">
        <v>19</v>
      </c>
      <c r="J1253">
        <v>47</v>
      </c>
      <c r="K1253">
        <v>0</v>
      </c>
      <c r="L1253">
        <v>0</v>
      </c>
      <c r="M1253">
        <f>VLOOKUP(Table1[[#This Row],[subscription_type]],Plans!$A$1:$B$5,2,FALSE)</f>
        <v>0</v>
      </c>
      <c r="N1253">
        <f t="shared" si="19"/>
        <v>0</v>
      </c>
    </row>
    <row r="1254" spans="1:14" x14ac:dyDescent="0.35">
      <c r="A1254">
        <v>1253</v>
      </c>
      <c r="B1254" t="s">
        <v>20</v>
      </c>
      <c r="C1254">
        <v>55</v>
      </c>
      <c r="D1254" t="s">
        <v>29</v>
      </c>
      <c r="E1254" t="s">
        <v>14</v>
      </c>
      <c r="F1254">
        <v>222</v>
      </c>
      <c r="G1254">
        <v>74</v>
      </c>
      <c r="H1254">
        <v>0.49</v>
      </c>
      <c r="I1254" t="s">
        <v>19</v>
      </c>
      <c r="J1254">
        <v>34</v>
      </c>
      <c r="K1254">
        <v>0</v>
      </c>
      <c r="L1254">
        <v>0</v>
      </c>
      <c r="M1254">
        <f>VLOOKUP(Table1[[#This Row],[subscription_type]],Plans!$A$1:$B$5,2,FALSE)</f>
        <v>0</v>
      </c>
      <c r="N1254">
        <f t="shared" si="19"/>
        <v>0</v>
      </c>
    </row>
    <row r="1255" spans="1:14" x14ac:dyDescent="0.35">
      <c r="A1255">
        <v>1254</v>
      </c>
      <c r="B1255" t="s">
        <v>20</v>
      </c>
      <c r="C1255">
        <v>31</v>
      </c>
      <c r="D1255" t="s">
        <v>27</v>
      </c>
      <c r="E1255" t="s">
        <v>18</v>
      </c>
      <c r="F1255">
        <v>142</v>
      </c>
      <c r="G1255">
        <v>98</v>
      </c>
      <c r="H1255">
        <v>0.28000000000000003</v>
      </c>
      <c r="I1255" t="s">
        <v>15</v>
      </c>
      <c r="J1255">
        <v>0</v>
      </c>
      <c r="K1255">
        <v>1</v>
      </c>
      <c r="L1255">
        <v>1</v>
      </c>
      <c r="M1255">
        <f>VLOOKUP(Table1[[#This Row],[subscription_type]],Plans!$A$1:$B$5,2,FALSE)</f>
        <v>14.99</v>
      </c>
      <c r="N1255">
        <f t="shared" si="19"/>
        <v>14.99</v>
      </c>
    </row>
    <row r="1256" spans="1:14" x14ac:dyDescent="0.35">
      <c r="A1256">
        <v>1255</v>
      </c>
      <c r="B1256" t="s">
        <v>12</v>
      </c>
      <c r="C1256">
        <v>20</v>
      </c>
      <c r="D1256" t="s">
        <v>17</v>
      </c>
      <c r="E1256" t="s">
        <v>18</v>
      </c>
      <c r="F1256">
        <v>188</v>
      </c>
      <c r="G1256">
        <v>10</v>
      </c>
      <c r="H1256">
        <v>0.33</v>
      </c>
      <c r="I1256" t="s">
        <v>15</v>
      </c>
      <c r="J1256">
        <v>0</v>
      </c>
      <c r="K1256">
        <v>1</v>
      </c>
      <c r="L1256">
        <v>0</v>
      </c>
      <c r="M1256">
        <f>VLOOKUP(Table1[[#This Row],[subscription_type]],Plans!$A$1:$B$5,2,FALSE)</f>
        <v>14.99</v>
      </c>
      <c r="N1256">
        <f t="shared" si="19"/>
        <v>0</v>
      </c>
    </row>
    <row r="1257" spans="1:14" x14ac:dyDescent="0.35">
      <c r="A1257">
        <v>1256</v>
      </c>
      <c r="B1257" t="s">
        <v>20</v>
      </c>
      <c r="C1257">
        <v>21</v>
      </c>
      <c r="D1257" t="s">
        <v>21</v>
      </c>
      <c r="E1257" t="s">
        <v>24</v>
      </c>
      <c r="F1257">
        <v>11</v>
      </c>
      <c r="G1257">
        <v>3</v>
      </c>
      <c r="H1257">
        <v>0.48</v>
      </c>
      <c r="I1257" t="s">
        <v>15</v>
      </c>
      <c r="J1257">
        <v>0</v>
      </c>
      <c r="K1257">
        <v>1</v>
      </c>
      <c r="L1257">
        <v>1</v>
      </c>
      <c r="M1257">
        <f>VLOOKUP(Table1[[#This Row],[subscription_type]],Plans!$A$1:$B$5,2,FALSE)</f>
        <v>4.99</v>
      </c>
      <c r="N1257">
        <f t="shared" si="19"/>
        <v>4.99</v>
      </c>
    </row>
    <row r="1258" spans="1:14" x14ac:dyDescent="0.35">
      <c r="A1258">
        <v>1257</v>
      </c>
      <c r="B1258" t="s">
        <v>16</v>
      </c>
      <c r="C1258">
        <v>27</v>
      </c>
      <c r="D1258" t="s">
        <v>26</v>
      </c>
      <c r="E1258" t="s">
        <v>22</v>
      </c>
      <c r="F1258">
        <v>221</v>
      </c>
      <c r="G1258">
        <v>53</v>
      </c>
      <c r="H1258">
        <v>0.01</v>
      </c>
      <c r="I1258" t="s">
        <v>23</v>
      </c>
      <c r="J1258">
        <v>0</v>
      </c>
      <c r="K1258">
        <v>1</v>
      </c>
      <c r="L1258">
        <v>1</v>
      </c>
      <c r="M1258">
        <f>VLOOKUP(Table1[[#This Row],[subscription_type]],Plans!$A$1:$B$5,2,FALSE)</f>
        <v>9.99</v>
      </c>
      <c r="N1258">
        <f t="shared" si="19"/>
        <v>9.99</v>
      </c>
    </row>
    <row r="1259" spans="1:14" x14ac:dyDescent="0.35">
      <c r="A1259">
        <v>1258</v>
      </c>
      <c r="B1259" t="s">
        <v>16</v>
      </c>
      <c r="C1259">
        <v>57</v>
      </c>
      <c r="D1259" t="s">
        <v>27</v>
      </c>
      <c r="E1259" t="s">
        <v>24</v>
      </c>
      <c r="F1259">
        <v>76</v>
      </c>
      <c r="G1259">
        <v>9</v>
      </c>
      <c r="H1259">
        <v>0.11</v>
      </c>
      <c r="I1259" t="s">
        <v>19</v>
      </c>
      <c r="J1259">
        <v>0</v>
      </c>
      <c r="K1259">
        <v>1</v>
      </c>
      <c r="L1259">
        <v>0</v>
      </c>
      <c r="M1259">
        <f>VLOOKUP(Table1[[#This Row],[subscription_type]],Plans!$A$1:$B$5,2,FALSE)</f>
        <v>4.99</v>
      </c>
      <c r="N1259">
        <f t="shared" si="19"/>
        <v>0</v>
      </c>
    </row>
    <row r="1260" spans="1:14" x14ac:dyDescent="0.35">
      <c r="A1260">
        <v>1259</v>
      </c>
      <c r="B1260" t="s">
        <v>20</v>
      </c>
      <c r="C1260">
        <v>55</v>
      </c>
      <c r="D1260" t="s">
        <v>17</v>
      </c>
      <c r="E1260" t="s">
        <v>14</v>
      </c>
      <c r="F1260">
        <v>166</v>
      </c>
      <c r="G1260">
        <v>55</v>
      </c>
      <c r="H1260">
        <v>0.28000000000000003</v>
      </c>
      <c r="I1260" t="s">
        <v>19</v>
      </c>
      <c r="J1260">
        <v>32</v>
      </c>
      <c r="K1260">
        <v>0</v>
      </c>
      <c r="L1260">
        <v>0</v>
      </c>
      <c r="M1260">
        <f>VLOOKUP(Table1[[#This Row],[subscription_type]],Plans!$A$1:$B$5,2,FALSE)</f>
        <v>0</v>
      </c>
      <c r="N1260">
        <f t="shared" si="19"/>
        <v>0</v>
      </c>
    </row>
    <row r="1261" spans="1:14" x14ac:dyDescent="0.35">
      <c r="A1261">
        <v>1260</v>
      </c>
      <c r="B1261" t="s">
        <v>16</v>
      </c>
      <c r="C1261">
        <v>32</v>
      </c>
      <c r="D1261" t="s">
        <v>13</v>
      </c>
      <c r="E1261" t="s">
        <v>14</v>
      </c>
      <c r="F1261">
        <v>180</v>
      </c>
      <c r="G1261">
        <v>91</v>
      </c>
      <c r="H1261">
        <v>0.37</v>
      </c>
      <c r="I1261" t="s">
        <v>19</v>
      </c>
      <c r="J1261">
        <v>7</v>
      </c>
      <c r="K1261">
        <v>0</v>
      </c>
      <c r="L1261">
        <v>0</v>
      </c>
      <c r="M1261">
        <f>VLOOKUP(Table1[[#This Row],[subscription_type]],Plans!$A$1:$B$5,2,FALSE)</f>
        <v>0</v>
      </c>
      <c r="N1261">
        <f t="shared" si="19"/>
        <v>0</v>
      </c>
    </row>
    <row r="1262" spans="1:14" x14ac:dyDescent="0.35">
      <c r="A1262">
        <v>1261</v>
      </c>
      <c r="B1262" t="s">
        <v>16</v>
      </c>
      <c r="C1262">
        <v>17</v>
      </c>
      <c r="D1262" t="s">
        <v>13</v>
      </c>
      <c r="E1262" t="s">
        <v>14</v>
      </c>
      <c r="F1262">
        <v>298</v>
      </c>
      <c r="G1262">
        <v>88</v>
      </c>
      <c r="H1262">
        <v>0.14000000000000001</v>
      </c>
      <c r="I1262" t="s">
        <v>23</v>
      </c>
      <c r="J1262">
        <v>37</v>
      </c>
      <c r="K1262">
        <v>0</v>
      </c>
      <c r="L1262">
        <v>0</v>
      </c>
      <c r="M1262">
        <f>VLOOKUP(Table1[[#This Row],[subscription_type]],Plans!$A$1:$B$5,2,FALSE)</f>
        <v>0</v>
      </c>
      <c r="N1262">
        <f t="shared" si="19"/>
        <v>0</v>
      </c>
    </row>
    <row r="1263" spans="1:14" x14ac:dyDescent="0.35">
      <c r="A1263">
        <v>1262</v>
      </c>
      <c r="B1263" t="s">
        <v>20</v>
      </c>
      <c r="C1263">
        <v>38</v>
      </c>
      <c r="D1263" t="s">
        <v>17</v>
      </c>
      <c r="E1263" t="s">
        <v>14</v>
      </c>
      <c r="F1263">
        <v>71</v>
      </c>
      <c r="G1263">
        <v>85</v>
      </c>
      <c r="H1263">
        <v>0.4</v>
      </c>
      <c r="I1263" t="s">
        <v>19</v>
      </c>
      <c r="J1263">
        <v>40</v>
      </c>
      <c r="K1263">
        <v>0</v>
      </c>
      <c r="L1263">
        <v>1</v>
      </c>
      <c r="M1263">
        <f>VLOOKUP(Table1[[#This Row],[subscription_type]],Plans!$A$1:$B$5,2,FALSE)</f>
        <v>0</v>
      </c>
      <c r="N1263">
        <f t="shared" si="19"/>
        <v>0</v>
      </c>
    </row>
    <row r="1264" spans="1:14" x14ac:dyDescent="0.35">
      <c r="A1264">
        <v>1263</v>
      </c>
      <c r="B1264" t="s">
        <v>12</v>
      </c>
      <c r="C1264">
        <v>58</v>
      </c>
      <c r="D1264" t="s">
        <v>26</v>
      </c>
      <c r="E1264" t="s">
        <v>24</v>
      </c>
      <c r="F1264">
        <v>115</v>
      </c>
      <c r="G1264">
        <v>23</v>
      </c>
      <c r="H1264">
        <v>0.34</v>
      </c>
      <c r="I1264" t="s">
        <v>15</v>
      </c>
      <c r="J1264">
        <v>0</v>
      </c>
      <c r="K1264">
        <v>1</v>
      </c>
      <c r="L1264">
        <v>0</v>
      </c>
      <c r="M1264">
        <f>VLOOKUP(Table1[[#This Row],[subscription_type]],Plans!$A$1:$B$5,2,FALSE)</f>
        <v>4.99</v>
      </c>
      <c r="N1264">
        <f t="shared" si="19"/>
        <v>0</v>
      </c>
    </row>
    <row r="1265" spans="1:14" x14ac:dyDescent="0.35">
      <c r="A1265">
        <v>1264</v>
      </c>
      <c r="B1265" t="s">
        <v>20</v>
      </c>
      <c r="C1265">
        <v>42</v>
      </c>
      <c r="D1265" t="s">
        <v>26</v>
      </c>
      <c r="E1265" t="s">
        <v>18</v>
      </c>
      <c r="F1265">
        <v>193</v>
      </c>
      <c r="G1265">
        <v>66</v>
      </c>
      <c r="H1265">
        <v>0.22</v>
      </c>
      <c r="I1265" t="s">
        <v>23</v>
      </c>
      <c r="J1265">
        <v>0</v>
      </c>
      <c r="K1265">
        <v>1</v>
      </c>
      <c r="L1265">
        <v>0</v>
      </c>
      <c r="M1265">
        <f>VLOOKUP(Table1[[#This Row],[subscription_type]],Plans!$A$1:$B$5,2,FALSE)</f>
        <v>14.99</v>
      </c>
      <c r="N1265">
        <f t="shared" si="19"/>
        <v>0</v>
      </c>
    </row>
    <row r="1266" spans="1:14" x14ac:dyDescent="0.35">
      <c r="A1266">
        <v>1265</v>
      </c>
      <c r="B1266" t="s">
        <v>12</v>
      </c>
      <c r="C1266">
        <v>46</v>
      </c>
      <c r="D1266" t="s">
        <v>21</v>
      </c>
      <c r="E1266" t="s">
        <v>14</v>
      </c>
      <c r="F1266">
        <v>242</v>
      </c>
      <c r="G1266">
        <v>37</v>
      </c>
      <c r="H1266">
        <v>0.2</v>
      </c>
      <c r="I1266" t="s">
        <v>19</v>
      </c>
      <c r="J1266">
        <v>34</v>
      </c>
      <c r="K1266">
        <v>0</v>
      </c>
      <c r="L1266">
        <v>0</v>
      </c>
      <c r="M1266">
        <f>VLOOKUP(Table1[[#This Row],[subscription_type]],Plans!$A$1:$B$5,2,FALSE)</f>
        <v>0</v>
      </c>
      <c r="N1266">
        <f t="shared" si="19"/>
        <v>0</v>
      </c>
    </row>
    <row r="1267" spans="1:14" x14ac:dyDescent="0.35">
      <c r="A1267">
        <v>1266</v>
      </c>
      <c r="B1267" t="s">
        <v>20</v>
      </c>
      <c r="C1267">
        <v>51</v>
      </c>
      <c r="D1267" t="s">
        <v>26</v>
      </c>
      <c r="E1267" t="s">
        <v>22</v>
      </c>
      <c r="F1267">
        <v>12</v>
      </c>
      <c r="G1267">
        <v>81</v>
      </c>
      <c r="H1267">
        <v>0.3</v>
      </c>
      <c r="I1267" t="s">
        <v>23</v>
      </c>
      <c r="J1267">
        <v>0</v>
      </c>
      <c r="K1267">
        <v>1</v>
      </c>
      <c r="L1267">
        <v>0</v>
      </c>
      <c r="M1267">
        <f>VLOOKUP(Table1[[#This Row],[subscription_type]],Plans!$A$1:$B$5,2,FALSE)</f>
        <v>9.99</v>
      </c>
      <c r="N1267">
        <f t="shared" si="19"/>
        <v>0</v>
      </c>
    </row>
    <row r="1268" spans="1:14" x14ac:dyDescent="0.35">
      <c r="A1268">
        <v>1267</v>
      </c>
      <c r="B1268" t="s">
        <v>12</v>
      </c>
      <c r="C1268">
        <v>17</v>
      </c>
      <c r="D1268" t="s">
        <v>29</v>
      </c>
      <c r="E1268" t="s">
        <v>24</v>
      </c>
      <c r="F1268">
        <v>116</v>
      </c>
      <c r="G1268">
        <v>40</v>
      </c>
      <c r="H1268">
        <v>0.01</v>
      </c>
      <c r="I1268" t="s">
        <v>15</v>
      </c>
      <c r="J1268">
        <v>0</v>
      </c>
      <c r="K1268">
        <v>1</v>
      </c>
      <c r="L1268">
        <v>0</v>
      </c>
      <c r="M1268">
        <f>VLOOKUP(Table1[[#This Row],[subscription_type]],Plans!$A$1:$B$5,2,FALSE)</f>
        <v>4.99</v>
      </c>
      <c r="N1268">
        <f t="shared" si="19"/>
        <v>0</v>
      </c>
    </row>
    <row r="1269" spans="1:14" x14ac:dyDescent="0.35">
      <c r="A1269">
        <v>1268</v>
      </c>
      <c r="B1269" t="s">
        <v>20</v>
      </c>
      <c r="C1269">
        <v>54</v>
      </c>
      <c r="D1269" t="s">
        <v>21</v>
      </c>
      <c r="E1269" t="s">
        <v>18</v>
      </c>
      <c r="F1269">
        <v>213</v>
      </c>
      <c r="G1269">
        <v>38</v>
      </c>
      <c r="H1269">
        <v>0.55000000000000004</v>
      </c>
      <c r="I1269" t="s">
        <v>15</v>
      </c>
      <c r="J1269">
        <v>0</v>
      </c>
      <c r="K1269">
        <v>1</v>
      </c>
      <c r="L1269">
        <v>1</v>
      </c>
      <c r="M1269">
        <f>VLOOKUP(Table1[[#This Row],[subscription_type]],Plans!$A$1:$B$5,2,FALSE)</f>
        <v>14.99</v>
      </c>
      <c r="N1269">
        <f t="shared" si="19"/>
        <v>14.99</v>
      </c>
    </row>
    <row r="1270" spans="1:14" x14ac:dyDescent="0.35">
      <c r="A1270">
        <v>1269</v>
      </c>
      <c r="B1270" t="s">
        <v>16</v>
      </c>
      <c r="C1270">
        <v>35</v>
      </c>
      <c r="D1270" t="s">
        <v>17</v>
      </c>
      <c r="E1270" t="s">
        <v>14</v>
      </c>
      <c r="F1270">
        <v>246</v>
      </c>
      <c r="G1270">
        <v>46</v>
      </c>
      <c r="H1270">
        <v>0.13</v>
      </c>
      <c r="I1270" t="s">
        <v>23</v>
      </c>
      <c r="J1270">
        <v>18</v>
      </c>
      <c r="K1270">
        <v>0</v>
      </c>
      <c r="L1270">
        <v>0</v>
      </c>
      <c r="M1270">
        <f>VLOOKUP(Table1[[#This Row],[subscription_type]],Plans!$A$1:$B$5,2,FALSE)</f>
        <v>0</v>
      </c>
      <c r="N1270">
        <f t="shared" si="19"/>
        <v>0</v>
      </c>
    </row>
    <row r="1271" spans="1:14" x14ac:dyDescent="0.35">
      <c r="A1271">
        <v>1270</v>
      </c>
      <c r="B1271" t="s">
        <v>16</v>
      </c>
      <c r="C1271">
        <v>16</v>
      </c>
      <c r="D1271" t="s">
        <v>29</v>
      </c>
      <c r="E1271" t="s">
        <v>14</v>
      </c>
      <c r="F1271">
        <v>48</v>
      </c>
      <c r="G1271">
        <v>31</v>
      </c>
      <c r="H1271">
        <v>0.48</v>
      </c>
      <c r="I1271" t="s">
        <v>15</v>
      </c>
      <c r="J1271">
        <v>44</v>
      </c>
      <c r="K1271">
        <v>0</v>
      </c>
      <c r="L1271">
        <v>0</v>
      </c>
      <c r="M1271">
        <f>VLOOKUP(Table1[[#This Row],[subscription_type]],Plans!$A$1:$B$5,2,FALSE)</f>
        <v>0</v>
      </c>
      <c r="N1271">
        <f t="shared" si="19"/>
        <v>0</v>
      </c>
    </row>
    <row r="1272" spans="1:14" x14ac:dyDescent="0.35">
      <c r="A1272">
        <v>1271</v>
      </c>
      <c r="B1272" t="s">
        <v>20</v>
      </c>
      <c r="C1272">
        <v>57</v>
      </c>
      <c r="D1272" t="s">
        <v>21</v>
      </c>
      <c r="E1272" t="s">
        <v>18</v>
      </c>
      <c r="F1272">
        <v>133</v>
      </c>
      <c r="G1272">
        <v>19</v>
      </c>
      <c r="H1272">
        <v>0.12</v>
      </c>
      <c r="I1272" t="s">
        <v>19</v>
      </c>
      <c r="J1272">
        <v>0</v>
      </c>
      <c r="K1272">
        <v>1</v>
      </c>
      <c r="L1272">
        <v>0</v>
      </c>
      <c r="M1272">
        <f>VLOOKUP(Table1[[#This Row],[subscription_type]],Plans!$A$1:$B$5,2,FALSE)</f>
        <v>14.99</v>
      </c>
      <c r="N1272">
        <f t="shared" si="19"/>
        <v>0</v>
      </c>
    </row>
    <row r="1273" spans="1:14" x14ac:dyDescent="0.35">
      <c r="A1273">
        <v>1272</v>
      </c>
      <c r="B1273" t="s">
        <v>12</v>
      </c>
      <c r="C1273">
        <v>42</v>
      </c>
      <c r="D1273" t="s">
        <v>27</v>
      </c>
      <c r="E1273" t="s">
        <v>24</v>
      </c>
      <c r="F1273">
        <v>207</v>
      </c>
      <c r="G1273">
        <v>75</v>
      </c>
      <c r="H1273">
        <v>0.04</v>
      </c>
      <c r="I1273" t="s">
        <v>19</v>
      </c>
      <c r="J1273">
        <v>0</v>
      </c>
      <c r="K1273">
        <v>1</v>
      </c>
      <c r="L1273">
        <v>0</v>
      </c>
      <c r="M1273">
        <f>VLOOKUP(Table1[[#This Row],[subscription_type]],Plans!$A$1:$B$5,2,FALSE)</f>
        <v>4.99</v>
      </c>
      <c r="N1273">
        <f t="shared" si="19"/>
        <v>0</v>
      </c>
    </row>
    <row r="1274" spans="1:14" x14ac:dyDescent="0.35">
      <c r="A1274">
        <v>1273</v>
      </c>
      <c r="B1274" t="s">
        <v>12</v>
      </c>
      <c r="C1274">
        <v>31</v>
      </c>
      <c r="D1274" t="s">
        <v>26</v>
      </c>
      <c r="E1274" t="s">
        <v>14</v>
      </c>
      <c r="F1274">
        <v>180</v>
      </c>
      <c r="G1274">
        <v>7</v>
      </c>
      <c r="H1274">
        <v>0.44</v>
      </c>
      <c r="I1274" t="s">
        <v>15</v>
      </c>
      <c r="J1274">
        <v>44</v>
      </c>
      <c r="K1274">
        <v>0</v>
      </c>
      <c r="L1274">
        <v>0</v>
      </c>
      <c r="M1274">
        <f>VLOOKUP(Table1[[#This Row],[subscription_type]],Plans!$A$1:$B$5,2,FALSE)</f>
        <v>0</v>
      </c>
      <c r="N1274">
        <f t="shared" si="19"/>
        <v>0</v>
      </c>
    </row>
    <row r="1275" spans="1:14" x14ac:dyDescent="0.35">
      <c r="A1275">
        <v>1274</v>
      </c>
      <c r="B1275" t="s">
        <v>20</v>
      </c>
      <c r="C1275">
        <v>53</v>
      </c>
      <c r="D1275" t="s">
        <v>13</v>
      </c>
      <c r="E1275" t="s">
        <v>22</v>
      </c>
      <c r="F1275">
        <v>79</v>
      </c>
      <c r="G1275">
        <v>74</v>
      </c>
      <c r="H1275">
        <v>0.05</v>
      </c>
      <c r="I1275" t="s">
        <v>15</v>
      </c>
      <c r="J1275">
        <v>0</v>
      </c>
      <c r="K1275">
        <v>1</v>
      </c>
      <c r="L1275">
        <v>0</v>
      </c>
      <c r="M1275">
        <f>VLOOKUP(Table1[[#This Row],[subscription_type]],Plans!$A$1:$B$5,2,FALSE)</f>
        <v>9.99</v>
      </c>
      <c r="N1275">
        <f t="shared" si="19"/>
        <v>0</v>
      </c>
    </row>
    <row r="1276" spans="1:14" x14ac:dyDescent="0.35">
      <c r="A1276">
        <v>1275</v>
      </c>
      <c r="B1276" t="s">
        <v>12</v>
      </c>
      <c r="C1276">
        <v>25</v>
      </c>
      <c r="D1276" t="s">
        <v>21</v>
      </c>
      <c r="E1276" t="s">
        <v>22</v>
      </c>
      <c r="F1276">
        <v>294</v>
      </c>
      <c r="G1276">
        <v>74</v>
      </c>
      <c r="H1276">
        <v>0.36</v>
      </c>
      <c r="I1276" t="s">
        <v>19</v>
      </c>
      <c r="J1276">
        <v>0</v>
      </c>
      <c r="K1276">
        <v>1</v>
      </c>
      <c r="L1276">
        <v>0</v>
      </c>
      <c r="M1276">
        <f>VLOOKUP(Table1[[#This Row],[subscription_type]],Plans!$A$1:$B$5,2,FALSE)</f>
        <v>9.99</v>
      </c>
      <c r="N1276">
        <f t="shared" si="19"/>
        <v>0</v>
      </c>
    </row>
    <row r="1277" spans="1:14" x14ac:dyDescent="0.35">
      <c r="A1277">
        <v>1276</v>
      </c>
      <c r="B1277" t="s">
        <v>20</v>
      </c>
      <c r="C1277">
        <v>59</v>
      </c>
      <c r="D1277" t="s">
        <v>29</v>
      </c>
      <c r="E1277" t="s">
        <v>22</v>
      </c>
      <c r="F1277">
        <v>118</v>
      </c>
      <c r="G1277">
        <v>39</v>
      </c>
      <c r="H1277">
        <v>0.01</v>
      </c>
      <c r="I1277" t="s">
        <v>19</v>
      </c>
      <c r="J1277">
        <v>0</v>
      </c>
      <c r="K1277">
        <v>1</v>
      </c>
      <c r="L1277">
        <v>0</v>
      </c>
      <c r="M1277">
        <f>VLOOKUP(Table1[[#This Row],[subscription_type]],Plans!$A$1:$B$5,2,FALSE)</f>
        <v>9.99</v>
      </c>
      <c r="N1277">
        <f t="shared" si="19"/>
        <v>0</v>
      </c>
    </row>
    <row r="1278" spans="1:14" x14ac:dyDescent="0.35">
      <c r="A1278">
        <v>1277</v>
      </c>
      <c r="B1278" t="s">
        <v>20</v>
      </c>
      <c r="C1278">
        <v>27</v>
      </c>
      <c r="D1278" t="s">
        <v>28</v>
      </c>
      <c r="E1278" t="s">
        <v>22</v>
      </c>
      <c r="F1278">
        <v>205</v>
      </c>
      <c r="G1278">
        <v>53</v>
      </c>
      <c r="H1278">
        <v>0.42</v>
      </c>
      <c r="I1278" t="s">
        <v>23</v>
      </c>
      <c r="J1278">
        <v>0</v>
      </c>
      <c r="K1278">
        <v>1</v>
      </c>
      <c r="L1278">
        <v>1</v>
      </c>
      <c r="M1278">
        <f>VLOOKUP(Table1[[#This Row],[subscription_type]],Plans!$A$1:$B$5,2,FALSE)</f>
        <v>9.99</v>
      </c>
      <c r="N1278">
        <f t="shared" si="19"/>
        <v>9.99</v>
      </c>
    </row>
    <row r="1279" spans="1:14" x14ac:dyDescent="0.35">
      <c r="A1279">
        <v>1278</v>
      </c>
      <c r="B1279" t="s">
        <v>12</v>
      </c>
      <c r="C1279">
        <v>37</v>
      </c>
      <c r="D1279" t="s">
        <v>21</v>
      </c>
      <c r="E1279" t="s">
        <v>14</v>
      </c>
      <c r="F1279">
        <v>84</v>
      </c>
      <c r="G1279">
        <v>83</v>
      </c>
      <c r="H1279">
        <v>0.2</v>
      </c>
      <c r="I1279" t="s">
        <v>19</v>
      </c>
      <c r="J1279">
        <v>7</v>
      </c>
      <c r="K1279">
        <v>0</v>
      </c>
      <c r="L1279">
        <v>0</v>
      </c>
      <c r="M1279">
        <f>VLOOKUP(Table1[[#This Row],[subscription_type]],Plans!$A$1:$B$5,2,FALSE)</f>
        <v>0</v>
      </c>
      <c r="N1279">
        <f t="shared" si="19"/>
        <v>0</v>
      </c>
    </row>
    <row r="1280" spans="1:14" x14ac:dyDescent="0.35">
      <c r="A1280">
        <v>1279</v>
      </c>
      <c r="B1280" t="s">
        <v>16</v>
      </c>
      <c r="C1280">
        <v>34</v>
      </c>
      <c r="D1280" t="s">
        <v>21</v>
      </c>
      <c r="E1280" t="s">
        <v>22</v>
      </c>
      <c r="F1280">
        <v>296</v>
      </c>
      <c r="G1280">
        <v>98</v>
      </c>
      <c r="H1280">
        <v>0.03</v>
      </c>
      <c r="I1280" t="s">
        <v>23</v>
      </c>
      <c r="J1280">
        <v>0</v>
      </c>
      <c r="K1280">
        <v>1</v>
      </c>
      <c r="L1280">
        <v>0</v>
      </c>
      <c r="M1280">
        <f>VLOOKUP(Table1[[#This Row],[subscription_type]],Plans!$A$1:$B$5,2,FALSE)</f>
        <v>9.99</v>
      </c>
      <c r="N1280">
        <f t="shared" si="19"/>
        <v>0</v>
      </c>
    </row>
    <row r="1281" spans="1:14" x14ac:dyDescent="0.35">
      <c r="A1281">
        <v>1280</v>
      </c>
      <c r="B1281" t="s">
        <v>20</v>
      </c>
      <c r="C1281">
        <v>36</v>
      </c>
      <c r="D1281" t="s">
        <v>29</v>
      </c>
      <c r="E1281" t="s">
        <v>24</v>
      </c>
      <c r="F1281">
        <v>281</v>
      </c>
      <c r="G1281">
        <v>27</v>
      </c>
      <c r="H1281">
        <v>0.08</v>
      </c>
      <c r="I1281" t="s">
        <v>15</v>
      </c>
      <c r="J1281">
        <v>0</v>
      </c>
      <c r="K1281">
        <v>1</v>
      </c>
      <c r="L1281">
        <v>1</v>
      </c>
      <c r="M1281">
        <f>VLOOKUP(Table1[[#This Row],[subscription_type]],Plans!$A$1:$B$5,2,FALSE)</f>
        <v>4.99</v>
      </c>
      <c r="N1281">
        <f t="shared" si="19"/>
        <v>4.99</v>
      </c>
    </row>
    <row r="1282" spans="1:14" x14ac:dyDescent="0.35">
      <c r="A1282">
        <v>1281</v>
      </c>
      <c r="B1282" t="s">
        <v>12</v>
      </c>
      <c r="C1282">
        <v>43</v>
      </c>
      <c r="D1282" t="s">
        <v>28</v>
      </c>
      <c r="E1282" t="s">
        <v>14</v>
      </c>
      <c r="F1282">
        <v>63</v>
      </c>
      <c r="G1282">
        <v>90</v>
      </c>
      <c r="H1282">
        <v>0.32</v>
      </c>
      <c r="I1282" t="s">
        <v>19</v>
      </c>
      <c r="J1282">
        <v>49</v>
      </c>
      <c r="K1282">
        <v>0</v>
      </c>
      <c r="L1282">
        <v>1</v>
      </c>
      <c r="M1282">
        <f>VLOOKUP(Table1[[#This Row],[subscription_type]],Plans!$A$1:$B$5,2,FALSE)</f>
        <v>0</v>
      </c>
      <c r="N1282">
        <f t="shared" ref="N1282:N1345" si="20">IF(L1282=1, M1282,0)</f>
        <v>0</v>
      </c>
    </row>
    <row r="1283" spans="1:14" x14ac:dyDescent="0.35">
      <c r="A1283">
        <v>1282</v>
      </c>
      <c r="B1283" t="s">
        <v>12</v>
      </c>
      <c r="C1283">
        <v>40</v>
      </c>
      <c r="D1283" t="s">
        <v>29</v>
      </c>
      <c r="E1283" t="s">
        <v>14</v>
      </c>
      <c r="F1283">
        <v>219</v>
      </c>
      <c r="G1283">
        <v>71</v>
      </c>
      <c r="H1283">
        <v>0.2</v>
      </c>
      <c r="I1283" t="s">
        <v>15</v>
      </c>
      <c r="J1283">
        <v>26</v>
      </c>
      <c r="K1283">
        <v>0</v>
      </c>
      <c r="L1283">
        <v>0</v>
      </c>
      <c r="M1283">
        <f>VLOOKUP(Table1[[#This Row],[subscription_type]],Plans!$A$1:$B$5,2,FALSE)</f>
        <v>0</v>
      </c>
      <c r="N1283">
        <f t="shared" si="20"/>
        <v>0</v>
      </c>
    </row>
    <row r="1284" spans="1:14" x14ac:dyDescent="0.35">
      <c r="A1284">
        <v>1283</v>
      </c>
      <c r="B1284" t="s">
        <v>16</v>
      </c>
      <c r="C1284">
        <v>57</v>
      </c>
      <c r="D1284" t="s">
        <v>21</v>
      </c>
      <c r="E1284" t="s">
        <v>22</v>
      </c>
      <c r="F1284">
        <v>63</v>
      </c>
      <c r="G1284">
        <v>73</v>
      </c>
      <c r="H1284">
        <v>0.1</v>
      </c>
      <c r="I1284" t="s">
        <v>19</v>
      </c>
      <c r="J1284">
        <v>0</v>
      </c>
      <c r="K1284">
        <v>1</v>
      </c>
      <c r="L1284">
        <v>0</v>
      </c>
      <c r="M1284">
        <f>VLOOKUP(Table1[[#This Row],[subscription_type]],Plans!$A$1:$B$5,2,FALSE)</f>
        <v>9.99</v>
      </c>
      <c r="N1284">
        <f t="shared" si="20"/>
        <v>0</v>
      </c>
    </row>
    <row r="1285" spans="1:14" x14ac:dyDescent="0.35">
      <c r="A1285">
        <v>1284</v>
      </c>
      <c r="B1285" t="s">
        <v>16</v>
      </c>
      <c r="C1285">
        <v>43</v>
      </c>
      <c r="D1285" t="s">
        <v>25</v>
      </c>
      <c r="E1285" t="s">
        <v>18</v>
      </c>
      <c r="F1285">
        <v>261</v>
      </c>
      <c r="G1285">
        <v>55</v>
      </c>
      <c r="H1285">
        <v>0.15</v>
      </c>
      <c r="I1285" t="s">
        <v>23</v>
      </c>
      <c r="J1285">
        <v>0</v>
      </c>
      <c r="K1285">
        <v>1</v>
      </c>
      <c r="L1285">
        <v>0</v>
      </c>
      <c r="M1285">
        <f>VLOOKUP(Table1[[#This Row],[subscription_type]],Plans!$A$1:$B$5,2,FALSE)</f>
        <v>14.99</v>
      </c>
      <c r="N1285">
        <f t="shared" si="20"/>
        <v>0</v>
      </c>
    </row>
    <row r="1286" spans="1:14" x14ac:dyDescent="0.35">
      <c r="A1286">
        <v>1285</v>
      </c>
      <c r="B1286" t="s">
        <v>20</v>
      </c>
      <c r="C1286">
        <v>36</v>
      </c>
      <c r="D1286" t="s">
        <v>26</v>
      </c>
      <c r="E1286" t="s">
        <v>14</v>
      </c>
      <c r="F1286">
        <v>243</v>
      </c>
      <c r="G1286">
        <v>36</v>
      </c>
      <c r="H1286">
        <v>0.28999999999999998</v>
      </c>
      <c r="I1286" t="s">
        <v>15</v>
      </c>
      <c r="J1286">
        <v>32</v>
      </c>
      <c r="K1286">
        <v>0</v>
      </c>
      <c r="L1286">
        <v>1</v>
      </c>
      <c r="M1286">
        <f>VLOOKUP(Table1[[#This Row],[subscription_type]],Plans!$A$1:$B$5,2,FALSE)</f>
        <v>0</v>
      </c>
      <c r="N1286">
        <f t="shared" si="20"/>
        <v>0</v>
      </c>
    </row>
    <row r="1287" spans="1:14" x14ac:dyDescent="0.35">
      <c r="A1287">
        <v>1286</v>
      </c>
      <c r="B1287" t="s">
        <v>12</v>
      </c>
      <c r="C1287">
        <v>33</v>
      </c>
      <c r="D1287" t="s">
        <v>29</v>
      </c>
      <c r="E1287" t="s">
        <v>22</v>
      </c>
      <c r="F1287">
        <v>110</v>
      </c>
      <c r="G1287">
        <v>78</v>
      </c>
      <c r="H1287">
        <v>0.42</v>
      </c>
      <c r="I1287" t="s">
        <v>19</v>
      </c>
      <c r="J1287">
        <v>0</v>
      </c>
      <c r="K1287">
        <v>1</v>
      </c>
      <c r="L1287">
        <v>0</v>
      </c>
      <c r="M1287">
        <f>VLOOKUP(Table1[[#This Row],[subscription_type]],Plans!$A$1:$B$5,2,FALSE)</f>
        <v>9.99</v>
      </c>
      <c r="N1287">
        <f t="shared" si="20"/>
        <v>0</v>
      </c>
    </row>
    <row r="1288" spans="1:14" x14ac:dyDescent="0.35">
      <c r="A1288">
        <v>1287</v>
      </c>
      <c r="B1288" t="s">
        <v>16</v>
      </c>
      <c r="C1288">
        <v>37</v>
      </c>
      <c r="D1288" t="s">
        <v>21</v>
      </c>
      <c r="E1288" t="s">
        <v>24</v>
      </c>
      <c r="F1288">
        <v>41</v>
      </c>
      <c r="G1288">
        <v>98</v>
      </c>
      <c r="H1288">
        <v>0.04</v>
      </c>
      <c r="I1288" t="s">
        <v>19</v>
      </c>
      <c r="J1288">
        <v>0</v>
      </c>
      <c r="K1288">
        <v>1</v>
      </c>
      <c r="L1288">
        <v>0</v>
      </c>
      <c r="M1288">
        <f>VLOOKUP(Table1[[#This Row],[subscription_type]],Plans!$A$1:$B$5,2,FALSE)</f>
        <v>4.99</v>
      </c>
      <c r="N1288">
        <f t="shared" si="20"/>
        <v>0</v>
      </c>
    </row>
    <row r="1289" spans="1:14" x14ac:dyDescent="0.35">
      <c r="A1289">
        <v>1288</v>
      </c>
      <c r="B1289" t="s">
        <v>16</v>
      </c>
      <c r="C1289">
        <v>56</v>
      </c>
      <c r="D1289" t="s">
        <v>25</v>
      </c>
      <c r="E1289" t="s">
        <v>22</v>
      </c>
      <c r="F1289">
        <v>140</v>
      </c>
      <c r="G1289">
        <v>79</v>
      </c>
      <c r="H1289">
        <v>0.13</v>
      </c>
      <c r="I1289" t="s">
        <v>19</v>
      </c>
      <c r="J1289">
        <v>0</v>
      </c>
      <c r="K1289">
        <v>1</v>
      </c>
      <c r="L1289">
        <v>0</v>
      </c>
      <c r="M1289">
        <f>VLOOKUP(Table1[[#This Row],[subscription_type]],Plans!$A$1:$B$5,2,FALSE)</f>
        <v>9.99</v>
      </c>
      <c r="N1289">
        <f t="shared" si="20"/>
        <v>0</v>
      </c>
    </row>
    <row r="1290" spans="1:14" x14ac:dyDescent="0.35">
      <c r="A1290">
        <v>1289</v>
      </c>
      <c r="B1290" t="s">
        <v>20</v>
      </c>
      <c r="C1290">
        <v>45</v>
      </c>
      <c r="D1290" t="s">
        <v>25</v>
      </c>
      <c r="E1290" t="s">
        <v>24</v>
      </c>
      <c r="F1290">
        <v>178</v>
      </c>
      <c r="G1290">
        <v>97</v>
      </c>
      <c r="H1290">
        <v>0.52</v>
      </c>
      <c r="I1290" t="s">
        <v>15</v>
      </c>
      <c r="J1290">
        <v>0</v>
      </c>
      <c r="K1290">
        <v>1</v>
      </c>
      <c r="L1290">
        <v>0</v>
      </c>
      <c r="M1290">
        <f>VLOOKUP(Table1[[#This Row],[subscription_type]],Plans!$A$1:$B$5,2,FALSE)</f>
        <v>4.99</v>
      </c>
      <c r="N1290">
        <f t="shared" si="20"/>
        <v>0</v>
      </c>
    </row>
    <row r="1291" spans="1:14" x14ac:dyDescent="0.35">
      <c r="A1291">
        <v>1290</v>
      </c>
      <c r="B1291" t="s">
        <v>20</v>
      </c>
      <c r="C1291">
        <v>29</v>
      </c>
      <c r="D1291" t="s">
        <v>17</v>
      </c>
      <c r="E1291" t="s">
        <v>24</v>
      </c>
      <c r="F1291">
        <v>179</v>
      </c>
      <c r="G1291">
        <v>13</v>
      </c>
      <c r="H1291">
        <v>0.43</v>
      </c>
      <c r="I1291" t="s">
        <v>23</v>
      </c>
      <c r="J1291">
        <v>0</v>
      </c>
      <c r="K1291">
        <v>1</v>
      </c>
      <c r="L1291">
        <v>0</v>
      </c>
      <c r="M1291">
        <f>VLOOKUP(Table1[[#This Row],[subscription_type]],Plans!$A$1:$B$5,2,FALSE)</f>
        <v>4.99</v>
      </c>
      <c r="N1291">
        <f t="shared" si="20"/>
        <v>0</v>
      </c>
    </row>
    <row r="1292" spans="1:14" x14ac:dyDescent="0.35">
      <c r="A1292">
        <v>1291</v>
      </c>
      <c r="B1292" t="s">
        <v>20</v>
      </c>
      <c r="C1292">
        <v>35</v>
      </c>
      <c r="D1292" t="s">
        <v>13</v>
      </c>
      <c r="E1292" t="s">
        <v>14</v>
      </c>
      <c r="F1292">
        <v>168</v>
      </c>
      <c r="G1292">
        <v>85</v>
      </c>
      <c r="H1292">
        <v>0.43</v>
      </c>
      <c r="I1292" t="s">
        <v>23</v>
      </c>
      <c r="J1292">
        <v>39</v>
      </c>
      <c r="K1292">
        <v>0</v>
      </c>
      <c r="L1292">
        <v>0</v>
      </c>
      <c r="M1292">
        <f>VLOOKUP(Table1[[#This Row],[subscription_type]],Plans!$A$1:$B$5,2,FALSE)</f>
        <v>0</v>
      </c>
      <c r="N1292">
        <f t="shared" si="20"/>
        <v>0</v>
      </c>
    </row>
    <row r="1293" spans="1:14" x14ac:dyDescent="0.35">
      <c r="A1293">
        <v>1292</v>
      </c>
      <c r="B1293" t="s">
        <v>12</v>
      </c>
      <c r="C1293">
        <v>24</v>
      </c>
      <c r="D1293" t="s">
        <v>28</v>
      </c>
      <c r="E1293" t="s">
        <v>22</v>
      </c>
      <c r="F1293">
        <v>90</v>
      </c>
      <c r="G1293">
        <v>7</v>
      </c>
      <c r="H1293">
        <v>0.56000000000000005</v>
      </c>
      <c r="I1293" t="s">
        <v>19</v>
      </c>
      <c r="J1293">
        <v>0</v>
      </c>
      <c r="K1293">
        <v>1</v>
      </c>
      <c r="L1293">
        <v>0</v>
      </c>
      <c r="M1293">
        <f>VLOOKUP(Table1[[#This Row],[subscription_type]],Plans!$A$1:$B$5,2,FALSE)</f>
        <v>9.99</v>
      </c>
      <c r="N1293">
        <f t="shared" si="20"/>
        <v>0</v>
      </c>
    </row>
    <row r="1294" spans="1:14" x14ac:dyDescent="0.35">
      <c r="A1294">
        <v>1293</v>
      </c>
      <c r="B1294" t="s">
        <v>20</v>
      </c>
      <c r="C1294">
        <v>44</v>
      </c>
      <c r="D1294" t="s">
        <v>13</v>
      </c>
      <c r="E1294" t="s">
        <v>14</v>
      </c>
      <c r="F1294">
        <v>296</v>
      </c>
      <c r="G1294">
        <v>90</v>
      </c>
      <c r="H1294">
        <v>0.15</v>
      </c>
      <c r="I1294" t="s">
        <v>19</v>
      </c>
      <c r="J1294">
        <v>26</v>
      </c>
      <c r="K1294">
        <v>0</v>
      </c>
      <c r="L1294">
        <v>1</v>
      </c>
      <c r="M1294">
        <f>VLOOKUP(Table1[[#This Row],[subscription_type]],Plans!$A$1:$B$5,2,FALSE)</f>
        <v>0</v>
      </c>
      <c r="N1294">
        <f t="shared" si="20"/>
        <v>0</v>
      </c>
    </row>
    <row r="1295" spans="1:14" x14ac:dyDescent="0.35">
      <c r="A1295">
        <v>1294</v>
      </c>
      <c r="B1295" t="s">
        <v>16</v>
      </c>
      <c r="C1295">
        <v>29</v>
      </c>
      <c r="D1295" t="s">
        <v>29</v>
      </c>
      <c r="E1295" t="s">
        <v>14</v>
      </c>
      <c r="F1295">
        <v>268</v>
      </c>
      <c r="G1295">
        <v>41</v>
      </c>
      <c r="H1295">
        <v>0.2</v>
      </c>
      <c r="I1295" t="s">
        <v>19</v>
      </c>
      <c r="J1295">
        <v>38</v>
      </c>
      <c r="K1295">
        <v>0</v>
      </c>
      <c r="L1295">
        <v>1</v>
      </c>
      <c r="M1295">
        <f>VLOOKUP(Table1[[#This Row],[subscription_type]],Plans!$A$1:$B$5,2,FALSE)</f>
        <v>0</v>
      </c>
      <c r="N1295">
        <f t="shared" si="20"/>
        <v>0</v>
      </c>
    </row>
    <row r="1296" spans="1:14" x14ac:dyDescent="0.35">
      <c r="A1296">
        <v>1295</v>
      </c>
      <c r="B1296" t="s">
        <v>16</v>
      </c>
      <c r="C1296">
        <v>47</v>
      </c>
      <c r="D1296" t="s">
        <v>27</v>
      </c>
      <c r="E1296" t="s">
        <v>14</v>
      </c>
      <c r="F1296">
        <v>80</v>
      </c>
      <c r="G1296">
        <v>39</v>
      </c>
      <c r="H1296">
        <v>0.31</v>
      </c>
      <c r="I1296" t="s">
        <v>15</v>
      </c>
      <c r="J1296">
        <v>43</v>
      </c>
      <c r="K1296">
        <v>0</v>
      </c>
      <c r="L1296">
        <v>1</v>
      </c>
      <c r="M1296">
        <f>VLOOKUP(Table1[[#This Row],[subscription_type]],Plans!$A$1:$B$5,2,FALSE)</f>
        <v>0</v>
      </c>
      <c r="N1296">
        <f t="shared" si="20"/>
        <v>0</v>
      </c>
    </row>
    <row r="1297" spans="1:14" x14ac:dyDescent="0.35">
      <c r="A1297">
        <v>1296</v>
      </c>
      <c r="B1297" t="s">
        <v>20</v>
      </c>
      <c r="C1297">
        <v>44</v>
      </c>
      <c r="D1297" t="s">
        <v>21</v>
      </c>
      <c r="E1297" t="s">
        <v>14</v>
      </c>
      <c r="F1297">
        <v>199</v>
      </c>
      <c r="G1297">
        <v>59</v>
      </c>
      <c r="H1297">
        <v>0.06</v>
      </c>
      <c r="I1297" t="s">
        <v>15</v>
      </c>
      <c r="J1297">
        <v>32</v>
      </c>
      <c r="K1297">
        <v>0</v>
      </c>
      <c r="L1297">
        <v>0</v>
      </c>
      <c r="M1297">
        <f>VLOOKUP(Table1[[#This Row],[subscription_type]],Plans!$A$1:$B$5,2,FALSE)</f>
        <v>0</v>
      </c>
      <c r="N1297">
        <f t="shared" si="20"/>
        <v>0</v>
      </c>
    </row>
    <row r="1298" spans="1:14" x14ac:dyDescent="0.35">
      <c r="A1298">
        <v>1297</v>
      </c>
      <c r="B1298" t="s">
        <v>20</v>
      </c>
      <c r="C1298">
        <v>53</v>
      </c>
      <c r="D1298" t="s">
        <v>17</v>
      </c>
      <c r="E1298" t="s">
        <v>24</v>
      </c>
      <c r="F1298">
        <v>116</v>
      </c>
      <c r="G1298">
        <v>37</v>
      </c>
      <c r="H1298">
        <v>0.44</v>
      </c>
      <c r="I1298" t="s">
        <v>23</v>
      </c>
      <c r="J1298">
        <v>0</v>
      </c>
      <c r="K1298">
        <v>1</v>
      </c>
      <c r="L1298">
        <v>0</v>
      </c>
      <c r="M1298">
        <f>VLOOKUP(Table1[[#This Row],[subscription_type]],Plans!$A$1:$B$5,2,FALSE)</f>
        <v>4.99</v>
      </c>
      <c r="N1298">
        <f t="shared" si="20"/>
        <v>0</v>
      </c>
    </row>
    <row r="1299" spans="1:14" x14ac:dyDescent="0.35">
      <c r="A1299">
        <v>1298</v>
      </c>
      <c r="B1299" t="s">
        <v>12</v>
      </c>
      <c r="C1299">
        <v>20</v>
      </c>
      <c r="D1299" t="s">
        <v>21</v>
      </c>
      <c r="E1299" t="s">
        <v>18</v>
      </c>
      <c r="F1299">
        <v>198</v>
      </c>
      <c r="G1299">
        <v>87</v>
      </c>
      <c r="H1299">
        <v>0.27</v>
      </c>
      <c r="I1299" t="s">
        <v>19</v>
      </c>
      <c r="J1299">
        <v>0</v>
      </c>
      <c r="K1299">
        <v>1</v>
      </c>
      <c r="L1299">
        <v>0</v>
      </c>
      <c r="M1299">
        <f>VLOOKUP(Table1[[#This Row],[subscription_type]],Plans!$A$1:$B$5,2,FALSE)</f>
        <v>14.99</v>
      </c>
      <c r="N1299">
        <f t="shared" si="20"/>
        <v>0</v>
      </c>
    </row>
    <row r="1300" spans="1:14" x14ac:dyDescent="0.35">
      <c r="A1300">
        <v>1299</v>
      </c>
      <c r="B1300" t="s">
        <v>12</v>
      </c>
      <c r="C1300">
        <v>25</v>
      </c>
      <c r="D1300" t="s">
        <v>26</v>
      </c>
      <c r="E1300" t="s">
        <v>18</v>
      </c>
      <c r="F1300">
        <v>201</v>
      </c>
      <c r="G1300">
        <v>31</v>
      </c>
      <c r="H1300">
        <v>0.17</v>
      </c>
      <c r="I1300" t="s">
        <v>19</v>
      </c>
      <c r="J1300">
        <v>0</v>
      </c>
      <c r="K1300">
        <v>1</v>
      </c>
      <c r="L1300">
        <v>1</v>
      </c>
      <c r="M1300">
        <f>VLOOKUP(Table1[[#This Row],[subscription_type]],Plans!$A$1:$B$5,2,FALSE)</f>
        <v>14.99</v>
      </c>
      <c r="N1300">
        <f t="shared" si="20"/>
        <v>14.99</v>
      </c>
    </row>
    <row r="1301" spans="1:14" x14ac:dyDescent="0.35">
      <c r="A1301">
        <v>1300</v>
      </c>
      <c r="B1301" t="s">
        <v>20</v>
      </c>
      <c r="C1301">
        <v>31</v>
      </c>
      <c r="D1301" t="s">
        <v>21</v>
      </c>
      <c r="E1301" t="s">
        <v>24</v>
      </c>
      <c r="F1301">
        <v>80</v>
      </c>
      <c r="G1301">
        <v>27</v>
      </c>
      <c r="H1301">
        <v>0.1</v>
      </c>
      <c r="I1301" t="s">
        <v>19</v>
      </c>
      <c r="J1301">
        <v>0</v>
      </c>
      <c r="K1301">
        <v>1</v>
      </c>
      <c r="L1301">
        <v>0</v>
      </c>
      <c r="M1301">
        <f>VLOOKUP(Table1[[#This Row],[subscription_type]],Plans!$A$1:$B$5,2,FALSE)</f>
        <v>4.99</v>
      </c>
      <c r="N1301">
        <f t="shared" si="20"/>
        <v>0</v>
      </c>
    </row>
    <row r="1302" spans="1:14" x14ac:dyDescent="0.35">
      <c r="A1302">
        <v>1301</v>
      </c>
      <c r="B1302" t="s">
        <v>16</v>
      </c>
      <c r="C1302">
        <v>41</v>
      </c>
      <c r="D1302" t="s">
        <v>21</v>
      </c>
      <c r="E1302" t="s">
        <v>24</v>
      </c>
      <c r="F1302">
        <v>222</v>
      </c>
      <c r="G1302">
        <v>90</v>
      </c>
      <c r="H1302">
        <v>0.57999999999999996</v>
      </c>
      <c r="I1302" t="s">
        <v>19</v>
      </c>
      <c r="J1302">
        <v>0</v>
      </c>
      <c r="K1302">
        <v>1</v>
      </c>
      <c r="L1302">
        <v>0</v>
      </c>
      <c r="M1302">
        <f>VLOOKUP(Table1[[#This Row],[subscription_type]],Plans!$A$1:$B$5,2,FALSE)</f>
        <v>4.99</v>
      </c>
      <c r="N1302">
        <f t="shared" si="20"/>
        <v>0</v>
      </c>
    </row>
    <row r="1303" spans="1:14" x14ac:dyDescent="0.35">
      <c r="A1303">
        <v>1302</v>
      </c>
      <c r="B1303" t="s">
        <v>12</v>
      </c>
      <c r="C1303">
        <v>43</v>
      </c>
      <c r="D1303" t="s">
        <v>29</v>
      </c>
      <c r="E1303" t="s">
        <v>24</v>
      </c>
      <c r="F1303">
        <v>36</v>
      </c>
      <c r="G1303">
        <v>47</v>
      </c>
      <c r="H1303">
        <v>0.4</v>
      </c>
      <c r="I1303" t="s">
        <v>19</v>
      </c>
      <c r="J1303">
        <v>0</v>
      </c>
      <c r="K1303">
        <v>1</v>
      </c>
      <c r="L1303">
        <v>1</v>
      </c>
      <c r="M1303">
        <f>VLOOKUP(Table1[[#This Row],[subscription_type]],Plans!$A$1:$B$5,2,FALSE)</f>
        <v>4.99</v>
      </c>
      <c r="N1303">
        <f t="shared" si="20"/>
        <v>4.99</v>
      </c>
    </row>
    <row r="1304" spans="1:14" x14ac:dyDescent="0.35">
      <c r="A1304">
        <v>1303</v>
      </c>
      <c r="B1304" t="s">
        <v>12</v>
      </c>
      <c r="C1304">
        <v>18</v>
      </c>
      <c r="D1304" t="s">
        <v>25</v>
      </c>
      <c r="E1304" t="s">
        <v>22</v>
      </c>
      <c r="F1304">
        <v>113</v>
      </c>
      <c r="G1304">
        <v>92</v>
      </c>
      <c r="H1304">
        <v>0.04</v>
      </c>
      <c r="I1304" t="s">
        <v>23</v>
      </c>
      <c r="J1304">
        <v>0</v>
      </c>
      <c r="K1304">
        <v>1</v>
      </c>
      <c r="L1304">
        <v>0</v>
      </c>
      <c r="M1304">
        <f>VLOOKUP(Table1[[#This Row],[subscription_type]],Plans!$A$1:$B$5,2,FALSE)</f>
        <v>9.99</v>
      </c>
      <c r="N1304">
        <f t="shared" si="20"/>
        <v>0</v>
      </c>
    </row>
    <row r="1305" spans="1:14" x14ac:dyDescent="0.35">
      <c r="A1305">
        <v>1304</v>
      </c>
      <c r="B1305" t="s">
        <v>16</v>
      </c>
      <c r="C1305">
        <v>31</v>
      </c>
      <c r="D1305" t="s">
        <v>13</v>
      </c>
      <c r="E1305" t="s">
        <v>18</v>
      </c>
      <c r="F1305">
        <v>149</v>
      </c>
      <c r="G1305">
        <v>96</v>
      </c>
      <c r="H1305">
        <v>0.28000000000000003</v>
      </c>
      <c r="I1305" t="s">
        <v>15</v>
      </c>
      <c r="J1305">
        <v>0</v>
      </c>
      <c r="K1305">
        <v>1</v>
      </c>
      <c r="L1305">
        <v>0</v>
      </c>
      <c r="M1305">
        <f>VLOOKUP(Table1[[#This Row],[subscription_type]],Plans!$A$1:$B$5,2,FALSE)</f>
        <v>14.99</v>
      </c>
      <c r="N1305">
        <f t="shared" si="20"/>
        <v>0</v>
      </c>
    </row>
    <row r="1306" spans="1:14" x14ac:dyDescent="0.35">
      <c r="A1306">
        <v>1305</v>
      </c>
      <c r="B1306" t="s">
        <v>20</v>
      </c>
      <c r="C1306">
        <v>44</v>
      </c>
      <c r="D1306" t="s">
        <v>21</v>
      </c>
      <c r="E1306" t="s">
        <v>14</v>
      </c>
      <c r="F1306">
        <v>34</v>
      </c>
      <c r="G1306">
        <v>50</v>
      </c>
      <c r="H1306">
        <v>0.15</v>
      </c>
      <c r="I1306" t="s">
        <v>23</v>
      </c>
      <c r="J1306">
        <v>27</v>
      </c>
      <c r="K1306">
        <v>0</v>
      </c>
      <c r="L1306">
        <v>0</v>
      </c>
      <c r="M1306">
        <f>VLOOKUP(Table1[[#This Row],[subscription_type]],Plans!$A$1:$B$5,2,FALSE)</f>
        <v>0</v>
      </c>
      <c r="N1306">
        <f t="shared" si="20"/>
        <v>0</v>
      </c>
    </row>
    <row r="1307" spans="1:14" x14ac:dyDescent="0.35">
      <c r="A1307">
        <v>1306</v>
      </c>
      <c r="B1307" t="s">
        <v>20</v>
      </c>
      <c r="C1307">
        <v>27</v>
      </c>
      <c r="D1307" t="s">
        <v>29</v>
      </c>
      <c r="E1307" t="s">
        <v>14</v>
      </c>
      <c r="F1307">
        <v>20</v>
      </c>
      <c r="G1307">
        <v>68</v>
      </c>
      <c r="H1307">
        <v>0</v>
      </c>
      <c r="I1307" t="s">
        <v>23</v>
      </c>
      <c r="J1307">
        <v>45</v>
      </c>
      <c r="K1307">
        <v>0</v>
      </c>
      <c r="L1307">
        <v>0</v>
      </c>
      <c r="M1307">
        <f>VLOOKUP(Table1[[#This Row],[subscription_type]],Plans!$A$1:$B$5,2,FALSE)</f>
        <v>0</v>
      </c>
      <c r="N1307">
        <f t="shared" si="20"/>
        <v>0</v>
      </c>
    </row>
    <row r="1308" spans="1:14" x14ac:dyDescent="0.35">
      <c r="A1308">
        <v>1307</v>
      </c>
      <c r="B1308" t="s">
        <v>16</v>
      </c>
      <c r="C1308">
        <v>21</v>
      </c>
      <c r="D1308" t="s">
        <v>13</v>
      </c>
      <c r="E1308" t="s">
        <v>14</v>
      </c>
      <c r="F1308">
        <v>198</v>
      </c>
      <c r="G1308">
        <v>46</v>
      </c>
      <c r="H1308">
        <v>0.49</v>
      </c>
      <c r="I1308" t="s">
        <v>23</v>
      </c>
      <c r="J1308">
        <v>42</v>
      </c>
      <c r="K1308">
        <v>0</v>
      </c>
      <c r="L1308">
        <v>0</v>
      </c>
      <c r="M1308">
        <f>VLOOKUP(Table1[[#This Row],[subscription_type]],Plans!$A$1:$B$5,2,FALSE)</f>
        <v>0</v>
      </c>
      <c r="N1308">
        <f t="shared" si="20"/>
        <v>0</v>
      </c>
    </row>
    <row r="1309" spans="1:14" x14ac:dyDescent="0.35">
      <c r="A1309">
        <v>1308</v>
      </c>
      <c r="B1309" t="s">
        <v>20</v>
      </c>
      <c r="C1309">
        <v>25</v>
      </c>
      <c r="D1309" t="s">
        <v>29</v>
      </c>
      <c r="E1309" t="s">
        <v>14</v>
      </c>
      <c r="F1309">
        <v>265</v>
      </c>
      <c r="G1309">
        <v>26</v>
      </c>
      <c r="H1309">
        <v>0.5</v>
      </c>
      <c r="I1309" t="s">
        <v>15</v>
      </c>
      <c r="J1309">
        <v>14</v>
      </c>
      <c r="K1309">
        <v>0</v>
      </c>
      <c r="L1309">
        <v>0</v>
      </c>
      <c r="M1309">
        <f>VLOOKUP(Table1[[#This Row],[subscription_type]],Plans!$A$1:$B$5,2,FALSE)</f>
        <v>0</v>
      </c>
      <c r="N1309">
        <f t="shared" si="20"/>
        <v>0</v>
      </c>
    </row>
    <row r="1310" spans="1:14" x14ac:dyDescent="0.35">
      <c r="A1310">
        <v>1309</v>
      </c>
      <c r="B1310" t="s">
        <v>20</v>
      </c>
      <c r="C1310">
        <v>43</v>
      </c>
      <c r="D1310" t="s">
        <v>27</v>
      </c>
      <c r="E1310" t="s">
        <v>22</v>
      </c>
      <c r="F1310">
        <v>149</v>
      </c>
      <c r="G1310">
        <v>38</v>
      </c>
      <c r="H1310">
        <v>0.04</v>
      </c>
      <c r="I1310" t="s">
        <v>15</v>
      </c>
      <c r="J1310">
        <v>0</v>
      </c>
      <c r="K1310">
        <v>1</v>
      </c>
      <c r="L1310">
        <v>0</v>
      </c>
      <c r="M1310">
        <f>VLOOKUP(Table1[[#This Row],[subscription_type]],Plans!$A$1:$B$5,2,FALSE)</f>
        <v>9.99</v>
      </c>
      <c r="N1310">
        <f t="shared" si="20"/>
        <v>0</v>
      </c>
    </row>
    <row r="1311" spans="1:14" x14ac:dyDescent="0.35">
      <c r="A1311">
        <v>1310</v>
      </c>
      <c r="B1311" t="s">
        <v>16</v>
      </c>
      <c r="C1311">
        <v>52</v>
      </c>
      <c r="D1311" t="s">
        <v>13</v>
      </c>
      <c r="E1311" t="s">
        <v>18</v>
      </c>
      <c r="F1311">
        <v>217</v>
      </c>
      <c r="G1311">
        <v>72</v>
      </c>
      <c r="H1311">
        <v>0.13</v>
      </c>
      <c r="I1311" t="s">
        <v>19</v>
      </c>
      <c r="J1311">
        <v>0</v>
      </c>
      <c r="K1311">
        <v>1</v>
      </c>
      <c r="L1311">
        <v>0</v>
      </c>
      <c r="M1311">
        <f>VLOOKUP(Table1[[#This Row],[subscription_type]],Plans!$A$1:$B$5,2,FALSE)</f>
        <v>14.99</v>
      </c>
      <c r="N1311">
        <f t="shared" si="20"/>
        <v>0</v>
      </c>
    </row>
    <row r="1312" spans="1:14" x14ac:dyDescent="0.35">
      <c r="A1312">
        <v>1311</v>
      </c>
      <c r="B1312" t="s">
        <v>16</v>
      </c>
      <c r="C1312">
        <v>36</v>
      </c>
      <c r="D1312" t="s">
        <v>13</v>
      </c>
      <c r="E1312" t="s">
        <v>22</v>
      </c>
      <c r="F1312">
        <v>54</v>
      </c>
      <c r="G1312">
        <v>24</v>
      </c>
      <c r="H1312">
        <v>0.56000000000000005</v>
      </c>
      <c r="I1312" t="s">
        <v>23</v>
      </c>
      <c r="J1312">
        <v>0</v>
      </c>
      <c r="K1312">
        <v>1</v>
      </c>
      <c r="L1312">
        <v>1</v>
      </c>
      <c r="M1312">
        <f>VLOOKUP(Table1[[#This Row],[subscription_type]],Plans!$A$1:$B$5,2,FALSE)</f>
        <v>9.99</v>
      </c>
      <c r="N1312">
        <f t="shared" si="20"/>
        <v>9.99</v>
      </c>
    </row>
    <row r="1313" spans="1:14" x14ac:dyDescent="0.35">
      <c r="A1313">
        <v>1312</v>
      </c>
      <c r="B1313" t="s">
        <v>12</v>
      </c>
      <c r="C1313">
        <v>31</v>
      </c>
      <c r="D1313" t="s">
        <v>28</v>
      </c>
      <c r="E1313" t="s">
        <v>24</v>
      </c>
      <c r="F1313">
        <v>278</v>
      </c>
      <c r="G1313">
        <v>12</v>
      </c>
      <c r="H1313">
        <v>0.18</v>
      </c>
      <c r="I1313" t="s">
        <v>19</v>
      </c>
      <c r="J1313">
        <v>0</v>
      </c>
      <c r="K1313">
        <v>1</v>
      </c>
      <c r="L1313">
        <v>1</v>
      </c>
      <c r="M1313">
        <f>VLOOKUP(Table1[[#This Row],[subscription_type]],Plans!$A$1:$B$5,2,FALSE)</f>
        <v>4.99</v>
      </c>
      <c r="N1313">
        <f t="shared" si="20"/>
        <v>4.99</v>
      </c>
    </row>
    <row r="1314" spans="1:14" x14ac:dyDescent="0.35">
      <c r="A1314">
        <v>1313</v>
      </c>
      <c r="B1314" t="s">
        <v>16</v>
      </c>
      <c r="C1314">
        <v>41</v>
      </c>
      <c r="D1314" t="s">
        <v>25</v>
      </c>
      <c r="E1314" t="s">
        <v>14</v>
      </c>
      <c r="F1314">
        <v>99</v>
      </c>
      <c r="G1314">
        <v>43</v>
      </c>
      <c r="H1314">
        <v>0.04</v>
      </c>
      <c r="I1314" t="s">
        <v>19</v>
      </c>
      <c r="J1314">
        <v>19</v>
      </c>
      <c r="K1314">
        <v>0</v>
      </c>
      <c r="L1314">
        <v>0</v>
      </c>
      <c r="M1314">
        <f>VLOOKUP(Table1[[#This Row],[subscription_type]],Plans!$A$1:$B$5,2,FALSE)</f>
        <v>0</v>
      </c>
      <c r="N1314">
        <f t="shared" si="20"/>
        <v>0</v>
      </c>
    </row>
    <row r="1315" spans="1:14" x14ac:dyDescent="0.35">
      <c r="A1315">
        <v>1314</v>
      </c>
      <c r="B1315" t="s">
        <v>20</v>
      </c>
      <c r="C1315">
        <v>57</v>
      </c>
      <c r="D1315" t="s">
        <v>25</v>
      </c>
      <c r="E1315" t="s">
        <v>14</v>
      </c>
      <c r="F1315">
        <v>89</v>
      </c>
      <c r="G1315">
        <v>4</v>
      </c>
      <c r="H1315">
        <v>0.24</v>
      </c>
      <c r="I1315" t="s">
        <v>19</v>
      </c>
      <c r="J1315">
        <v>27</v>
      </c>
      <c r="K1315">
        <v>0</v>
      </c>
      <c r="L1315">
        <v>1</v>
      </c>
      <c r="M1315">
        <f>VLOOKUP(Table1[[#This Row],[subscription_type]],Plans!$A$1:$B$5,2,FALSE)</f>
        <v>0</v>
      </c>
      <c r="N1315">
        <f t="shared" si="20"/>
        <v>0</v>
      </c>
    </row>
    <row r="1316" spans="1:14" x14ac:dyDescent="0.35">
      <c r="A1316">
        <v>1315</v>
      </c>
      <c r="B1316" t="s">
        <v>12</v>
      </c>
      <c r="C1316">
        <v>46</v>
      </c>
      <c r="D1316" t="s">
        <v>28</v>
      </c>
      <c r="E1316" t="s">
        <v>18</v>
      </c>
      <c r="F1316">
        <v>245</v>
      </c>
      <c r="G1316">
        <v>65</v>
      </c>
      <c r="H1316">
        <v>0.56999999999999995</v>
      </c>
      <c r="I1316" t="s">
        <v>23</v>
      </c>
      <c r="J1316">
        <v>0</v>
      </c>
      <c r="K1316">
        <v>1</v>
      </c>
      <c r="L1316">
        <v>0</v>
      </c>
      <c r="M1316">
        <f>VLOOKUP(Table1[[#This Row],[subscription_type]],Plans!$A$1:$B$5,2,FALSE)</f>
        <v>14.99</v>
      </c>
      <c r="N1316">
        <f t="shared" si="20"/>
        <v>0</v>
      </c>
    </row>
    <row r="1317" spans="1:14" x14ac:dyDescent="0.35">
      <c r="A1317">
        <v>1316</v>
      </c>
      <c r="B1317" t="s">
        <v>16</v>
      </c>
      <c r="C1317">
        <v>16</v>
      </c>
      <c r="D1317" t="s">
        <v>26</v>
      </c>
      <c r="E1317" t="s">
        <v>24</v>
      </c>
      <c r="F1317">
        <v>252</v>
      </c>
      <c r="G1317">
        <v>17</v>
      </c>
      <c r="H1317">
        <v>0.51</v>
      </c>
      <c r="I1317" t="s">
        <v>23</v>
      </c>
      <c r="J1317">
        <v>0</v>
      </c>
      <c r="K1317">
        <v>1</v>
      </c>
      <c r="L1317">
        <v>0</v>
      </c>
      <c r="M1317">
        <f>VLOOKUP(Table1[[#This Row],[subscription_type]],Plans!$A$1:$B$5,2,FALSE)</f>
        <v>4.99</v>
      </c>
      <c r="N1317">
        <f t="shared" si="20"/>
        <v>0</v>
      </c>
    </row>
    <row r="1318" spans="1:14" x14ac:dyDescent="0.35">
      <c r="A1318">
        <v>1317</v>
      </c>
      <c r="B1318" t="s">
        <v>20</v>
      </c>
      <c r="C1318">
        <v>20</v>
      </c>
      <c r="D1318" t="s">
        <v>29</v>
      </c>
      <c r="E1318" t="s">
        <v>22</v>
      </c>
      <c r="F1318">
        <v>11</v>
      </c>
      <c r="G1318">
        <v>59</v>
      </c>
      <c r="H1318">
        <v>0.42</v>
      </c>
      <c r="I1318" t="s">
        <v>19</v>
      </c>
      <c r="J1318">
        <v>0</v>
      </c>
      <c r="K1318">
        <v>1</v>
      </c>
      <c r="L1318">
        <v>1</v>
      </c>
      <c r="M1318">
        <f>VLOOKUP(Table1[[#This Row],[subscription_type]],Plans!$A$1:$B$5,2,FALSE)</f>
        <v>9.99</v>
      </c>
      <c r="N1318">
        <f t="shared" si="20"/>
        <v>9.99</v>
      </c>
    </row>
    <row r="1319" spans="1:14" x14ac:dyDescent="0.35">
      <c r="A1319">
        <v>1318</v>
      </c>
      <c r="B1319" t="s">
        <v>20</v>
      </c>
      <c r="C1319">
        <v>55</v>
      </c>
      <c r="D1319" t="s">
        <v>13</v>
      </c>
      <c r="E1319" t="s">
        <v>24</v>
      </c>
      <c r="F1319">
        <v>29</v>
      </c>
      <c r="G1319">
        <v>2</v>
      </c>
      <c r="H1319">
        <v>0.27</v>
      </c>
      <c r="I1319" t="s">
        <v>23</v>
      </c>
      <c r="J1319">
        <v>0</v>
      </c>
      <c r="K1319">
        <v>1</v>
      </c>
      <c r="L1319">
        <v>0</v>
      </c>
      <c r="M1319">
        <f>VLOOKUP(Table1[[#This Row],[subscription_type]],Plans!$A$1:$B$5,2,FALSE)</f>
        <v>4.99</v>
      </c>
      <c r="N1319">
        <f t="shared" si="20"/>
        <v>0</v>
      </c>
    </row>
    <row r="1320" spans="1:14" x14ac:dyDescent="0.35">
      <c r="A1320">
        <v>1319</v>
      </c>
      <c r="B1320" t="s">
        <v>16</v>
      </c>
      <c r="C1320">
        <v>32</v>
      </c>
      <c r="D1320" t="s">
        <v>21</v>
      </c>
      <c r="E1320" t="s">
        <v>18</v>
      </c>
      <c r="F1320">
        <v>78</v>
      </c>
      <c r="G1320">
        <v>95</v>
      </c>
      <c r="H1320">
        <v>0.15</v>
      </c>
      <c r="I1320" t="s">
        <v>19</v>
      </c>
      <c r="J1320">
        <v>0</v>
      </c>
      <c r="K1320">
        <v>1</v>
      </c>
      <c r="L1320">
        <v>1</v>
      </c>
      <c r="M1320">
        <f>VLOOKUP(Table1[[#This Row],[subscription_type]],Plans!$A$1:$B$5,2,FALSE)</f>
        <v>14.99</v>
      </c>
      <c r="N1320">
        <f t="shared" si="20"/>
        <v>14.99</v>
      </c>
    </row>
    <row r="1321" spans="1:14" x14ac:dyDescent="0.35">
      <c r="A1321">
        <v>1320</v>
      </c>
      <c r="B1321" t="s">
        <v>12</v>
      </c>
      <c r="C1321">
        <v>26</v>
      </c>
      <c r="D1321" t="s">
        <v>28</v>
      </c>
      <c r="E1321" t="s">
        <v>14</v>
      </c>
      <c r="F1321">
        <v>199</v>
      </c>
      <c r="G1321">
        <v>95</v>
      </c>
      <c r="H1321">
        <v>0.47</v>
      </c>
      <c r="I1321" t="s">
        <v>19</v>
      </c>
      <c r="J1321">
        <v>49</v>
      </c>
      <c r="K1321">
        <v>0</v>
      </c>
      <c r="L1321">
        <v>0</v>
      </c>
      <c r="M1321">
        <f>VLOOKUP(Table1[[#This Row],[subscription_type]],Plans!$A$1:$B$5,2,FALSE)</f>
        <v>0</v>
      </c>
      <c r="N1321">
        <f t="shared" si="20"/>
        <v>0</v>
      </c>
    </row>
    <row r="1322" spans="1:14" x14ac:dyDescent="0.35">
      <c r="A1322">
        <v>1321</v>
      </c>
      <c r="B1322" t="s">
        <v>20</v>
      </c>
      <c r="C1322">
        <v>25</v>
      </c>
      <c r="D1322" t="s">
        <v>21</v>
      </c>
      <c r="E1322" t="s">
        <v>14</v>
      </c>
      <c r="F1322">
        <v>238</v>
      </c>
      <c r="G1322">
        <v>34</v>
      </c>
      <c r="H1322">
        <v>0.18</v>
      </c>
      <c r="I1322" t="s">
        <v>15</v>
      </c>
      <c r="J1322">
        <v>32</v>
      </c>
      <c r="K1322">
        <v>0</v>
      </c>
      <c r="L1322">
        <v>0</v>
      </c>
      <c r="M1322">
        <f>VLOOKUP(Table1[[#This Row],[subscription_type]],Plans!$A$1:$B$5,2,FALSE)</f>
        <v>0</v>
      </c>
      <c r="N1322">
        <f t="shared" si="20"/>
        <v>0</v>
      </c>
    </row>
    <row r="1323" spans="1:14" x14ac:dyDescent="0.35">
      <c r="A1323">
        <v>1322</v>
      </c>
      <c r="B1323" t="s">
        <v>16</v>
      </c>
      <c r="C1323">
        <v>57</v>
      </c>
      <c r="D1323" t="s">
        <v>26</v>
      </c>
      <c r="E1323" t="s">
        <v>22</v>
      </c>
      <c r="F1323">
        <v>231</v>
      </c>
      <c r="G1323">
        <v>77</v>
      </c>
      <c r="H1323">
        <v>0.23</v>
      </c>
      <c r="I1323" t="s">
        <v>23</v>
      </c>
      <c r="J1323">
        <v>0</v>
      </c>
      <c r="K1323">
        <v>1</v>
      </c>
      <c r="L1323">
        <v>0</v>
      </c>
      <c r="M1323">
        <f>VLOOKUP(Table1[[#This Row],[subscription_type]],Plans!$A$1:$B$5,2,FALSE)</f>
        <v>9.99</v>
      </c>
      <c r="N1323">
        <f t="shared" si="20"/>
        <v>0</v>
      </c>
    </row>
    <row r="1324" spans="1:14" x14ac:dyDescent="0.35">
      <c r="A1324">
        <v>1323</v>
      </c>
      <c r="B1324" t="s">
        <v>12</v>
      </c>
      <c r="C1324">
        <v>28</v>
      </c>
      <c r="D1324" t="s">
        <v>21</v>
      </c>
      <c r="E1324" t="s">
        <v>24</v>
      </c>
      <c r="F1324">
        <v>283</v>
      </c>
      <c r="G1324">
        <v>17</v>
      </c>
      <c r="H1324">
        <v>0.04</v>
      </c>
      <c r="I1324" t="s">
        <v>23</v>
      </c>
      <c r="J1324">
        <v>0</v>
      </c>
      <c r="K1324">
        <v>1</v>
      </c>
      <c r="L1324">
        <v>1</v>
      </c>
      <c r="M1324">
        <f>VLOOKUP(Table1[[#This Row],[subscription_type]],Plans!$A$1:$B$5,2,FALSE)</f>
        <v>4.99</v>
      </c>
      <c r="N1324">
        <f t="shared" si="20"/>
        <v>4.99</v>
      </c>
    </row>
    <row r="1325" spans="1:14" x14ac:dyDescent="0.35">
      <c r="A1325">
        <v>1324</v>
      </c>
      <c r="B1325" t="s">
        <v>20</v>
      </c>
      <c r="C1325">
        <v>26</v>
      </c>
      <c r="D1325" t="s">
        <v>25</v>
      </c>
      <c r="E1325" t="s">
        <v>22</v>
      </c>
      <c r="F1325">
        <v>209</v>
      </c>
      <c r="G1325">
        <v>78</v>
      </c>
      <c r="H1325">
        <v>0.57999999999999996</v>
      </c>
      <c r="I1325" t="s">
        <v>15</v>
      </c>
      <c r="J1325">
        <v>0</v>
      </c>
      <c r="K1325">
        <v>1</v>
      </c>
      <c r="L1325">
        <v>0</v>
      </c>
      <c r="M1325">
        <f>VLOOKUP(Table1[[#This Row],[subscription_type]],Plans!$A$1:$B$5,2,FALSE)</f>
        <v>9.99</v>
      </c>
      <c r="N1325">
        <f t="shared" si="20"/>
        <v>0</v>
      </c>
    </row>
    <row r="1326" spans="1:14" x14ac:dyDescent="0.35">
      <c r="A1326">
        <v>1325</v>
      </c>
      <c r="B1326" t="s">
        <v>12</v>
      </c>
      <c r="C1326">
        <v>59</v>
      </c>
      <c r="D1326" t="s">
        <v>26</v>
      </c>
      <c r="E1326" t="s">
        <v>22</v>
      </c>
      <c r="F1326">
        <v>227</v>
      </c>
      <c r="G1326">
        <v>23</v>
      </c>
      <c r="H1326">
        <v>7.0000000000000007E-2</v>
      </c>
      <c r="I1326" t="s">
        <v>23</v>
      </c>
      <c r="J1326">
        <v>0</v>
      </c>
      <c r="K1326">
        <v>1</v>
      </c>
      <c r="L1326">
        <v>0</v>
      </c>
      <c r="M1326">
        <f>VLOOKUP(Table1[[#This Row],[subscription_type]],Plans!$A$1:$B$5,2,FALSE)</f>
        <v>9.99</v>
      </c>
      <c r="N1326">
        <f t="shared" si="20"/>
        <v>0</v>
      </c>
    </row>
    <row r="1327" spans="1:14" x14ac:dyDescent="0.35">
      <c r="A1327">
        <v>1326</v>
      </c>
      <c r="B1327" t="s">
        <v>12</v>
      </c>
      <c r="C1327">
        <v>20</v>
      </c>
      <c r="D1327" t="s">
        <v>13</v>
      </c>
      <c r="E1327" t="s">
        <v>22</v>
      </c>
      <c r="F1327">
        <v>36</v>
      </c>
      <c r="G1327">
        <v>23</v>
      </c>
      <c r="H1327">
        <v>0.18</v>
      </c>
      <c r="I1327" t="s">
        <v>15</v>
      </c>
      <c r="J1327">
        <v>0</v>
      </c>
      <c r="K1327">
        <v>1</v>
      </c>
      <c r="L1327">
        <v>0</v>
      </c>
      <c r="M1327">
        <f>VLOOKUP(Table1[[#This Row],[subscription_type]],Plans!$A$1:$B$5,2,FALSE)</f>
        <v>9.99</v>
      </c>
      <c r="N1327">
        <f t="shared" si="20"/>
        <v>0</v>
      </c>
    </row>
    <row r="1328" spans="1:14" x14ac:dyDescent="0.35">
      <c r="A1328">
        <v>1327</v>
      </c>
      <c r="B1328" t="s">
        <v>12</v>
      </c>
      <c r="C1328">
        <v>54</v>
      </c>
      <c r="D1328" t="s">
        <v>28</v>
      </c>
      <c r="E1328" t="s">
        <v>18</v>
      </c>
      <c r="F1328">
        <v>117</v>
      </c>
      <c r="G1328">
        <v>73</v>
      </c>
      <c r="H1328">
        <v>0.4</v>
      </c>
      <c r="I1328" t="s">
        <v>23</v>
      </c>
      <c r="J1328">
        <v>0</v>
      </c>
      <c r="K1328">
        <v>1</v>
      </c>
      <c r="L1328">
        <v>0</v>
      </c>
      <c r="M1328">
        <f>VLOOKUP(Table1[[#This Row],[subscription_type]],Plans!$A$1:$B$5,2,FALSE)</f>
        <v>14.99</v>
      </c>
      <c r="N1328">
        <f t="shared" si="20"/>
        <v>0</v>
      </c>
    </row>
    <row r="1329" spans="1:14" x14ac:dyDescent="0.35">
      <c r="A1329">
        <v>1328</v>
      </c>
      <c r="B1329" t="s">
        <v>20</v>
      </c>
      <c r="C1329">
        <v>57</v>
      </c>
      <c r="D1329" t="s">
        <v>27</v>
      </c>
      <c r="E1329" t="s">
        <v>18</v>
      </c>
      <c r="F1329">
        <v>131</v>
      </c>
      <c r="G1329">
        <v>6</v>
      </c>
      <c r="H1329">
        <v>0.27</v>
      </c>
      <c r="I1329" t="s">
        <v>19</v>
      </c>
      <c r="J1329">
        <v>0</v>
      </c>
      <c r="K1329">
        <v>1</v>
      </c>
      <c r="L1329">
        <v>1</v>
      </c>
      <c r="M1329">
        <f>VLOOKUP(Table1[[#This Row],[subscription_type]],Plans!$A$1:$B$5,2,FALSE)</f>
        <v>14.99</v>
      </c>
      <c r="N1329">
        <f t="shared" si="20"/>
        <v>14.99</v>
      </c>
    </row>
    <row r="1330" spans="1:14" x14ac:dyDescent="0.35">
      <c r="A1330">
        <v>1329</v>
      </c>
      <c r="B1330" t="s">
        <v>16</v>
      </c>
      <c r="C1330">
        <v>30</v>
      </c>
      <c r="D1330" t="s">
        <v>29</v>
      </c>
      <c r="E1330" t="s">
        <v>24</v>
      </c>
      <c r="F1330">
        <v>293</v>
      </c>
      <c r="G1330">
        <v>30</v>
      </c>
      <c r="H1330">
        <v>0.56000000000000005</v>
      </c>
      <c r="I1330" t="s">
        <v>23</v>
      </c>
      <c r="J1330">
        <v>0</v>
      </c>
      <c r="K1330">
        <v>1</v>
      </c>
      <c r="L1330">
        <v>0</v>
      </c>
      <c r="M1330">
        <f>VLOOKUP(Table1[[#This Row],[subscription_type]],Plans!$A$1:$B$5,2,FALSE)</f>
        <v>4.99</v>
      </c>
      <c r="N1330">
        <f t="shared" si="20"/>
        <v>0</v>
      </c>
    </row>
    <row r="1331" spans="1:14" x14ac:dyDescent="0.35">
      <c r="A1331">
        <v>1330</v>
      </c>
      <c r="B1331" t="s">
        <v>12</v>
      </c>
      <c r="C1331">
        <v>53</v>
      </c>
      <c r="D1331" t="s">
        <v>17</v>
      </c>
      <c r="E1331" t="s">
        <v>22</v>
      </c>
      <c r="F1331">
        <v>44</v>
      </c>
      <c r="G1331">
        <v>67</v>
      </c>
      <c r="H1331">
        <v>0.18</v>
      </c>
      <c r="I1331" t="s">
        <v>23</v>
      </c>
      <c r="J1331">
        <v>0</v>
      </c>
      <c r="K1331">
        <v>1</v>
      </c>
      <c r="L1331">
        <v>0</v>
      </c>
      <c r="M1331">
        <f>VLOOKUP(Table1[[#This Row],[subscription_type]],Plans!$A$1:$B$5,2,FALSE)</f>
        <v>9.99</v>
      </c>
      <c r="N1331">
        <f t="shared" si="20"/>
        <v>0</v>
      </c>
    </row>
    <row r="1332" spans="1:14" x14ac:dyDescent="0.35">
      <c r="A1332">
        <v>1331</v>
      </c>
      <c r="B1332" t="s">
        <v>20</v>
      </c>
      <c r="C1332">
        <v>40</v>
      </c>
      <c r="D1332" t="s">
        <v>25</v>
      </c>
      <c r="E1332" t="s">
        <v>18</v>
      </c>
      <c r="F1332">
        <v>268</v>
      </c>
      <c r="G1332">
        <v>98</v>
      </c>
      <c r="H1332">
        <v>0.33</v>
      </c>
      <c r="I1332" t="s">
        <v>15</v>
      </c>
      <c r="J1332">
        <v>0</v>
      </c>
      <c r="K1332">
        <v>1</v>
      </c>
      <c r="L1332">
        <v>0</v>
      </c>
      <c r="M1332">
        <f>VLOOKUP(Table1[[#This Row],[subscription_type]],Plans!$A$1:$B$5,2,FALSE)</f>
        <v>14.99</v>
      </c>
      <c r="N1332">
        <f t="shared" si="20"/>
        <v>0</v>
      </c>
    </row>
    <row r="1333" spans="1:14" x14ac:dyDescent="0.35">
      <c r="A1333">
        <v>1332</v>
      </c>
      <c r="B1333" t="s">
        <v>12</v>
      </c>
      <c r="C1333">
        <v>59</v>
      </c>
      <c r="D1333" t="s">
        <v>28</v>
      </c>
      <c r="E1333" t="s">
        <v>18</v>
      </c>
      <c r="F1333">
        <v>242</v>
      </c>
      <c r="G1333">
        <v>67</v>
      </c>
      <c r="H1333">
        <v>0.41</v>
      </c>
      <c r="I1333" t="s">
        <v>15</v>
      </c>
      <c r="J1333">
        <v>0</v>
      </c>
      <c r="K1333">
        <v>1</v>
      </c>
      <c r="L1333">
        <v>0</v>
      </c>
      <c r="M1333">
        <f>VLOOKUP(Table1[[#This Row],[subscription_type]],Plans!$A$1:$B$5,2,FALSE)</f>
        <v>14.99</v>
      </c>
      <c r="N1333">
        <f t="shared" si="20"/>
        <v>0</v>
      </c>
    </row>
    <row r="1334" spans="1:14" x14ac:dyDescent="0.35">
      <c r="A1334">
        <v>1333</v>
      </c>
      <c r="B1334" t="s">
        <v>20</v>
      </c>
      <c r="C1334">
        <v>21</v>
      </c>
      <c r="D1334" t="s">
        <v>21</v>
      </c>
      <c r="E1334" t="s">
        <v>18</v>
      </c>
      <c r="F1334">
        <v>141</v>
      </c>
      <c r="G1334">
        <v>94</v>
      </c>
      <c r="H1334">
        <v>0.54</v>
      </c>
      <c r="I1334" t="s">
        <v>23</v>
      </c>
      <c r="J1334">
        <v>0</v>
      </c>
      <c r="K1334">
        <v>1</v>
      </c>
      <c r="L1334">
        <v>1</v>
      </c>
      <c r="M1334">
        <f>VLOOKUP(Table1[[#This Row],[subscription_type]],Plans!$A$1:$B$5,2,FALSE)</f>
        <v>14.99</v>
      </c>
      <c r="N1334">
        <f t="shared" si="20"/>
        <v>14.99</v>
      </c>
    </row>
    <row r="1335" spans="1:14" x14ac:dyDescent="0.35">
      <c r="A1335">
        <v>1334</v>
      </c>
      <c r="B1335" t="s">
        <v>12</v>
      </c>
      <c r="C1335">
        <v>48</v>
      </c>
      <c r="D1335" t="s">
        <v>13</v>
      </c>
      <c r="E1335" t="s">
        <v>18</v>
      </c>
      <c r="F1335">
        <v>277</v>
      </c>
      <c r="G1335">
        <v>74</v>
      </c>
      <c r="H1335">
        <v>0.36</v>
      </c>
      <c r="I1335" t="s">
        <v>23</v>
      </c>
      <c r="J1335">
        <v>0</v>
      </c>
      <c r="K1335">
        <v>1</v>
      </c>
      <c r="L1335">
        <v>0</v>
      </c>
      <c r="M1335">
        <f>VLOOKUP(Table1[[#This Row],[subscription_type]],Plans!$A$1:$B$5,2,FALSE)</f>
        <v>14.99</v>
      </c>
      <c r="N1335">
        <f t="shared" si="20"/>
        <v>0</v>
      </c>
    </row>
    <row r="1336" spans="1:14" x14ac:dyDescent="0.35">
      <c r="A1336">
        <v>1335</v>
      </c>
      <c r="B1336" t="s">
        <v>12</v>
      </c>
      <c r="C1336">
        <v>42</v>
      </c>
      <c r="D1336" t="s">
        <v>29</v>
      </c>
      <c r="E1336" t="s">
        <v>18</v>
      </c>
      <c r="F1336">
        <v>106</v>
      </c>
      <c r="G1336">
        <v>98</v>
      </c>
      <c r="H1336">
        <v>0.59</v>
      </c>
      <c r="I1336" t="s">
        <v>15</v>
      </c>
      <c r="J1336">
        <v>0</v>
      </c>
      <c r="K1336">
        <v>1</v>
      </c>
      <c r="L1336">
        <v>0</v>
      </c>
      <c r="M1336">
        <f>VLOOKUP(Table1[[#This Row],[subscription_type]],Plans!$A$1:$B$5,2,FALSE)</f>
        <v>14.99</v>
      </c>
      <c r="N1336">
        <f t="shared" si="20"/>
        <v>0</v>
      </c>
    </row>
    <row r="1337" spans="1:14" x14ac:dyDescent="0.35">
      <c r="A1337">
        <v>1336</v>
      </c>
      <c r="B1337" t="s">
        <v>12</v>
      </c>
      <c r="C1337">
        <v>37</v>
      </c>
      <c r="D1337" t="s">
        <v>29</v>
      </c>
      <c r="E1337" t="s">
        <v>22</v>
      </c>
      <c r="F1337">
        <v>153</v>
      </c>
      <c r="G1337">
        <v>93</v>
      </c>
      <c r="H1337">
        <v>0.51</v>
      </c>
      <c r="I1337" t="s">
        <v>23</v>
      </c>
      <c r="J1337">
        <v>0</v>
      </c>
      <c r="K1337">
        <v>1</v>
      </c>
      <c r="L1337">
        <v>1</v>
      </c>
      <c r="M1337">
        <f>VLOOKUP(Table1[[#This Row],[subscription_type]],Plans!$A$1:$B$5,2,FALSE)</f>
        <v>9.99</v>
      </c>
      <c r="N1337">
        <f t="shared" si="20"/>
        <v>9.99</v>
      </c>
    </row>
    <row r="1338" spans="1:14" x14ac:dyDescent="0.35">
      <c r="A1338">
        <v>1337</v>
      </c>
      <c r="B1338" t="s">
        <v>16</v>
      </c>
      <c r="C1338">
        <v>57</v>
      </c>
      <c r="D1338" t="s">
        <v>26</v>
      </c>
      <c r="E1338" t="s">
        <v>24</v>
      </c>
      <c r="F1338">
        <v>91</v>
      </c>
      <c r="G1338">
        <v>33</v>
      </c>
      <c r="H1338">
        <v>0.06</v>
      </c>
      <c r="I1338" t="s">
        <v>23</v>
      </c>
      <c r="J1338">
        <v>0</v>
      </c>
      <c r="K1338">
        <v>1</v>
      </c>
      <c r="L1338">
        <v>0</v>
      </c>
      <c r="M1338">
        <f>VLOOKUP(Table1[[#This Row],[subscription_type]],Plans!$A$1:$B$5,2,FALSE)</f>
        <v>4.99</v>
      </c>
      <c r="N1338">
        <f t="shared" si="20"/>
        <v>0</v>
      </c>
    </row>
    <row r="1339" spans="1:14" x14ac:dyDescent="0.35">
      <c r="A1339">
        <v>1338</v>
      </c>
      <c r="B1339" t="s">
        <v>12</v>
      </c>
      <c r="C1339">
        <v>25</v>
      </c>
      <c r="D1339" t="s">
        <v>13</v>
      </c>
      <c r="E1339" t="s">
        <v>18</v>
      </c>
      <c r="F1339">
        <v>264</v>
      </c>
      <c r="G1339">
        <v>43</v>
      </c>
      <c r="H1339">
        <v>0.51</v>
      </c>
      <c r="I1339" t="s">
        <v>19</v>
      </c>
      <c r="J1339">
        <v>0</v>
      </c>
      <c r="K1339">
        <v>1</v>
      </c>
      <c r="L1339">
        <v>0</v>
      </c>
      <c r="M1339">
        <f>VLOOKUP(Table1[[#This Row],[subscription_type]],Plans!$A$1:$B$5,2,FALSE)</f>
        <v>14.99</v>
      </c>
      <c r="N1339">
        <f t="shared" si="20"/>
        <v>0</v>
      </c>
    </row>
    <row r="1340" spans="1:14" x14ac:dyDescent="0.35">
      <c r="A1340">
        <v>1339</v>
      </c>
      <c r="B1340" t="s">
        <v>20</v>
      </c>
      <c r="C1340">
        <v>22</v>
      </c>
      <c r="D1340" t="s">
        <v>25</v>
      </c>
      <c r="E1340" t="s">
        <v>18</v>
      </c>
      <c r="F1340">
        <v>163</v>
      </c>
      <c r="G1340">
        <v>55</v>
      </c>
      <c r="H1340">
        <v>0.01</v>
      </c>
      <c r="I1340" t="s">
        <v>15</v>
      </c>
      <c r="J1340">
        <v>0</v>
      </c>
      <c r="K1340">
        <v>1</v>
      </c>
      <c r="L1340">
        <v>1</v>
      </c>
      <c r="M1340">
        <f>VLOOKUP(Table1[[#This Row],[subscription_type]],Plans!$A$1:$B$5,2,FALSE)</f>
        <v>14.99</v>
      </c>
      <c r="N1340">
        <f t="shared" si="20"/>
        <v>14.99</v>
      </c>
    </row>
    <row r="1341" spans="1:14" x14ac:dyDescent="0.35">
      <c r="A1341">
        <v>1340</v>
      </c>
      <c r="B1341" t="s">
        <v>20</v>
      </c>
      <c r="C1341">
        <v>33</v>
      </c>
      <c r="D1341" t="s">
        <v>25</v>
      </c>
      <c r="E1341" t="s">
        <v>24</v>
      </c>
      <c r="F1341">
        <v>87</v>
      </c>
      <c r="G1341">
        <v>87</v>
      </c>
      <c r="H1341">
        <v>0.22</v>
      </c>
      <c r="I1341" t="s">
        <v>15</v>
      </c>
      <c r="J1341">
        <v>0</v>
      </c>
      <c r="K1341">
        <v>1</v>
      </c>
      <c r="L1341">
        <v>0</v>
      </c>
      <c r="M1341">
        <f>VLOOKUP(Table1[[#This Row],[subscription_type]],Plans!$A$1:$B$5,2,FALSE)</f>
        <v>4.99</v>
      </c>
      <c r="N1341">
        <f t="shared" si="20"/>
        <v>0</v>
      </c>
    </row>
    <row r="1342" spans="1:14" x14ac:dyDescent="0.35">
      <c r="A1342">
        <v>1341</v>
      </c>
      <c r="B1342" t="s">
        <v>12</v>
      </c>
      <c r="C1342">
        <v>18</v>
      </c>
      <c r="D1342" t="s">
        <v>26</v>
      </c>
      <c r="E1342" t="s">
        <v>22</v>
      </c>
      <c r="F1342">
        <v>155</v>
      </c>
      <c r="G1342">
        <v>45</v>
      </c>
      <c r="H1342">
        <v>0.42</v>
      </c>
      <c r="I1342" t="s">
        <v>19</v>
      </c>
      <c r="J1342">
        <v>0</v>
      </c>
      <c r="K1342">
        <v>1</v>
      </c>
      <c r="L1342">
        <v>1</v>
      </c>
      <c r="M1342">
        <f>VLOOKUP(Table1[[#This Row],[subscription_type]],Plans!$A$1:$B$5,2,FALSE)</f>
        <v>9.99</v>
      </c>
      <c r="N1342">
        <f t="shared" si="20"/>
        <v>9.99</v>
      </c>
    </row>
    <row r="1343" spans="1:14" x14ac:dyDescent="0.35">
      <c r="A1343">
        <v>1342</v>
      </c>
      <c r="B1343" t="s">
        <v>20</v>
      </c>
      <c r="C1343">
        <v>58</v>
      </c>
      <c r="D1343" t="s">
        <v>28</v>
      </c>
      <c r="E1343" t="s">
        <v>14</v>
      </c>
      <c r="F1343">
        <v>90</v>
      </c>
      <c r="G1343">
        <v>57</v>
      </c>
      <c r="H1343">
        <v>0.01</v>
      </c>
      <c r="I1343" t="s">
        <v>19</v>
      </c>
      <c r="J1343">
        <v>6</v>
      </c>
      <c r="K1343">
        <v>0</v>
      </c>
      <c r="L1343">
        <v>1</v>
      </c>
      <c r="M1343">
        <f>VLOOKUP(Table1[[#This Row],[subscription_type]],Plans!$A$1:$B$5,2,FALSE)</f>
        <v>0</v>
      </c>
      <c r="N1343">
        <f t="shared" si="20"/>
        <v>0</v>
      </c>
    </row>
    <row r="1344" spans="1:14" x14ac:dyDescent="0.35">
      <c r="A1344">
        <v>1343</v>
      </c>
      <c r="B1344" t="s">
        <v>16</v>
      </c>
      <c r="C1344">
        <v>43</v>
      </c>
      <c r="D1344" t="s">
        <v>29</v>
      </c>
      <c r="E1344" t="s">
        <v>24</v>
      </c>
      <c r="F1344">
        <v>20</v>
      </c>
      <c r="G1344">
        <v>56</v>
      </c>
      <c r="H1344">
        <v>0.09</v>
      </c>
      <c r="I1344" t="s">
        <v>19</v>
      </c>
      <c r="J1344">
        <v>0</v>
      </c>
      <c r="K1344">
        <v>1</v>
      </c>
      <c r="L1344">
        <v>0</v>
      </c>
      <c r="M1344">
        <f>VLOOKUP(Table1[[#This Row],[subscription_type]],Plans!$A$1:$B$5,2,FALSE)</f>
        <v>4.99</v>
      </c>
      <c r="N1344">
        <f t="shared" si="20"/>
        <v>0</v>
      </c>
    </row>
    <row r="1345" spans="1:14" x14ac:dyDescent="0.35">
      <c r="A1345">
        <v>1344</v>
      </c>
      <c r="B1345" t="s">
        <v>20</v>
      </c>
      <c r="C1345">
        <v>33</v>
      </c>
      <c r="D1345" t="s">
        <v>26</v>
      </c>
      <c r="E1345" t="s">
        <v>14</v>
      </c>
      <c r="F1345">
        <v>262</v>
      </c>
      <c r="G1345">
        <v>56</v>
      </c>
      <c r="H1345">
        <v>0.16</v>
      </c>
      <c r="I1345" t="s">
        <v>15</v>
      </c>
      <c r="J1345">
        <v>41</v>
      </c>
      <c r="K1345">
        <v>0</v>
      </c>
      <c r="L1345">
        <v>0</v>
      </c>
      <c r="M1345">
        <f>VLOOKUP(Table1[[#This Row],[subscription_type]],Plans!$A$1:$B$5,2,FALSE)</f>
        <v>0</v>
      </c>
      <c r="N1345">
        <f t="shared" si="20"/>
        <v>0</v>
      </c>
    </row>
    <row r="1346" spans="1:14" x14ac:dyDescent="0.35">
      <c r="A1346">
        <v>1345</v>
      </c>
      <c r="B1346" t="s">
        <v>16</v>
      </c>
      <c r="C1346">
        <v>19</v>
      </c>
      <c r="D1346" t="s">
        <v>27</v>
      </c>
      <c r="E1346" t="s">
        <v>14</v>
      </c>
      <c r="F1346">
        <v>177</v>
      </c>
      <c r="G1346">
        <v>59</v>
      </c>
      <c r="H1346">
        <v>0.32</v>
      </c>
      <c r="I1346" t="s">
        <v>19</v>
      </c>
      <c r="J1346">
        <v>48</v>
      </c>
      <c r="K1346">
        <v>0</v>
      </c>
      <c r="L1346">
        <v>0</v>
      </c>
      <c r="M1346">
        <f>VLOOKUP(Table1[[#This Row],[subscription_type]],Plans!$A$1:$B$5,2,FALSE)</f>
        <v>0</v>
      </c>
      <c r="N1346">
        <f t="shared" ref="N1346:N1409" si="21">IF(L1346=1, M1346,0)</f>
        <v>0</v>
      </c>
    </row>
    <row r="1347" spans="1:14" x14ac:dyDescent="0.35">
      <c r="A1347">
        <v>1346</v>
      </c>
      <c r="B1347" t="s">
        <v>16</v>
      </c>
      <c r="C1347">
        <v>57</v>
      </c>
      <c r="D1347" t="s">
        <v>26</v>
      </c>
      <c r="E1347" t="s">
        <v>24</v>
      </c>
      <c r="F1347">
        <v>232</v>
      </c>
      <c r="G1347">
        <v>43</v>
      </c>
      <c r="H1347">
        <v>0.59</v>
      </c>
      <c r="I1347" t="s">
        <v>19</v>
      </c>
      <c r="J1347">
        <v>0</v>
      </c>
      <c r="K1347">
        <v>1</v>
      </c>
      <c r="L1347">
        <v>1</v>
      </c>
      <c r="M1347">
        <f>VLOOKUP(Table1[[#This Row],[subscription_type]],Plans!$A$1:$B$5,2,FALSE)</f>
        <v>4.99</v>
      </c>
      <c r="N1347">
        <f t="shared" si="21"/>
        <v>4.99</v>
      </c>
    </row>
    <row r="1348" spans="1:14" x14ac:dyDescent="0.35">
      <c r="A1348">
        <v>1347</v>
      </c>
      <c r="B1348" t="s">
        <v>16</v>
      </c>
      <c r="C1348">
        <v>32</v>
      </c>
      <c r="D1348" t="s">
        <v>21</v>
      </c>
      <c r="E1348" t="s">
        <v>24</v>
      </c>
      <c r="F1348">
        <v>288</v>
      </c>
      <c r="G1348">
        <v>84</v>
      </c>
      <c r="H1348">
        <v>0.33</v>
      </c>
      <c r="I1348" t="s">
        <v>15</v>
      </c>
      <c r="J1348">
        <v>0</v>
      </c>
      <c r="K1348">
        <v>1</v>
      </c>
      <c r="L1348">
        <v>0</v>
      </c>
      <c r="M1348">
        <f>VLOOKUP(Table1[[#This Row],[subscription_type]],Plans!$A$1:$B$5,2,FALSE)</f>
        <v>4.99</v>
      </c>
      <c r="N1348">
        <f t="shared" si="21"/>
        <v>0</v>
      </c>
    </row>
    <row r="1349" spans="1:14" x14ac:dyDescent="0.35">
      <c r="A1349">
        <v>1348</v>
      </c>
      <c r="B1349" t="s">
        <v>16</v>
      </c>
      <c r="C1349">
        <v>51</v>
      </c>
      <c r="D1349" t="s">
        <v>13</v>
      </c>
      <c r="E1349" t="s">
        <v>18</v>
      </c>
      <c r="F1349">
        <v>122</v>
      </c>
      <c r="G1349">
        <v>20</v>
      </c>
      <c r="H1349">
        <v>0.41</v>
      </c>
      <c r="I1349" t="s">
        <v>19</v>
      </c>
      <c r="J1349">
        <v>0</v>
      </c>
      <c r="K1349">
        <v>1</v>
      </c>
      <c r="L1349">
        <v>1</v>
      </c>
      <c r="M1349">
        <f>VLOOKUP(Table1[[#This Row],[subscription_type]],Plans!$A$1:$B$5,2,FALSE)</f>
        <v>14.99</v>
      </c>
      <c r="N1349">
        <f t="shared" si="21"/>
        <v>14.99</v>
      </c>
    </row>
    <row r="1350" spans="1:14" x14ac:dyDescent="0.35">
      <c r="A1350">
        <v>1349</v>
      </c>
      <c r="B1350" t="s">
        <v>16</v>
      </c>
      <c r="C1350">
        <v>30</v>
      </c>
      <c r="D1350" t="s">
        <v>25</v>
      </c>
      <c r="E1350" t="s">
        <v>22</v>
      </c>
      <c r="F1350">
        <v>249</v>
      </c>
      <c r="G1350">
        <v>21</v>
      </c>
      <c r="H1350">
        <v>0.53</v>
      </c>
      <c r="I1350" t="s">
        <v>23</v>
      </c>
      <c r="J1350">
        <v>0</v>
      </c>
      <c r="K1350">
        <v>1</v>
      </c>
      <c r="L1350">
        <v>0</v>
      </c>
      <c r="M1350">
        <f>VLOOKUP(Table1[[#This Row],[subscription_type]],Plans!$A$1:$B$5,2,FALSE)</f>
        <v>9.99</v>
      </c>
      <c r="N1350">
        <f t="shared" si="21"/>
        <v>0</v>
      </c>
    </row>
    <row r="1351" spans="1:14" x14ac:dyDescent="0.35">
      <c r="A1351">
        <v>1350</v>
      </c>
      <c r="B1351" t="s">
        <v>20</v>
      </c>
      <c r="C1351">
        <v>34</v>
      </c>
      <c r="D1351" t="s">
        <v>25</v>
      </c>
      <c r="E1351" t="s">
        <v>24</v>
      </c>
      <c r="F1351">
        <v>177</v>
      </c>
      <c r="G1351">
        <v>22</v>
      </c>
      <c r="H1351">
        <v>0.18</v>
      </c>
      <c r="I1351" t="s">
        <v>19</v>
      </c>
      <c r="J1351">
        <v>0</v>
      </c>
      <c r="K1351">
        <v>1</v>
      </c>
      <c r="L1351">
        <v>0</v>
      </c>
      <c r="M1351">
        <f>VLOOKUP(Table1[[#This Row],[subscription_type]],Plans!$A$1:$B$5,2,FALSE)</f>
        <v>4.99</v>
      </c>
      <c r="N1351">
        <f t="shared" si="21"/>
        <v>0</v>
      </c>
    </row>
    <row r="1352" spans="1:14" x14ac:dyDescent="0.35">
      <c r="A1352">
        <v>1351</v>
      </c>
      <c r="B1352" t="s">
        <v>20</v>
      </c>
      <c r="C1352">
        <v>57</v>
      </c>
      <c r="D1352" t="s">
        <v>13</v>
      </c>
      <c r="E1352" t="s">
        <v>18</v>
      </c>
      <c r="F1352">
        <v>59</v>
      </c>
      <c r="G1352">
        <v>19</v>
      </c>
      <c r="H1352">
        <v>0.25</v>
      </c>
      <c r="I1352" t="s">
        <v>15</v>
      </c>
      <c r="J1352">
        <v>0</v>
      </c>
      <c r="K1352">
        <v>1</v>
      </c>
      <c r="L1352">
        <v>0</v>
      </c>
      <c r="M1352">
        <f>VLOOKUP(Table1[[#This Row],[subscription_type]],Plans!$A$1:$B$5,2,FALSE)</f>
        <v>14.99</v>
      </c>
      <c r="N1352">
        <f t="shared" si="21"/>
        <v>0</v>
      </c>
    </row>
    <row r="1353" spans="1:14" x14ac:dyDescent="0.35">
      <c r="A1353">
        <v>1352</v>
      </c>
      <c r="B1353" t="s">
        <v>12</v>
      </c>
      <c r="C1353">
        <v>51</v>
      </c>
      <c r="D1353" t="s">
        <v>21</v>
      </c>
      <c r="E1353" t="s">
        <v>14</v>
      </c>
      <c r="F1353">
        <v>79</v>
      </c>
      <c r="G1353">
        <v>61</v>
      </c>
      <c r="H1353">
        <v>0.11</v>
      </c>
      <c r="I1353" t="s">
        <v>19</v>
      </c>
      <c r="J1353">
        <v>27</v>
      </c>
      <c r="K1353">
        <v>0</v>
      </c>
      <c r="L1353">
        <v>1</v>
      </c>
      <c r="M1353">
        <f>VLOOKUP(Table1[[#This Row],[subscription_type]],Plans!$A$1:$B$5,2,FALSE)</f>
        <v>0</v>
      </c>
      <c r="N1353">
        <f t="shared" si="21"/>
        <v>0</v>
      </c>
    </row>
    <row r="1354" spans="1:14" x14ac:dyDescent="0.35">
      <c r="A1354">
        <v>1353</v>
      </c>
      <c r="B1354" t="s">
        <v>16</v>
      </c>
      <c r="C1354">
        <v>22</v>
      </c>
      <c r="D1354" t="s">
        <v>13</v>
      </c>
      <c r="E1354" t="s">
        <v>18</v>
      </c>
      <c r="F1354">
        <v>30</v>
      </c>
      <c r="G1354">
        <v>39</v>
      </c>
      <c r="H1354">
        <v>0.33</v>
      </c>
      <c r="I1354" t="s">
        <v>15</v>
      </c>
      <c r="J1354">
        <v>0</v>
      </c>
      <c r="K1354">
        <v>1</v>
      </c>
      <c r="L1354">
        <v>0</v>
      </c>
      <c r="M1354">
        <f>VLOOKUP(Table1[[#This Row],[subscription_type]],Plans!$A$1:$B$5,2,FALSE)</f>
        <v>14.99</v>
      </c>
      <c r="N1354">
        <f t="shared" si="21"/>
        <v>0</v>
      </c>
    </row>
    <row r="1355" spans="1:14" x14ac:dyDescent="0.35">
      <c r="A1355">
        <v>1354</v>
      </c>
      <c r="B1355" t="s">
        <v>12</v>
      </c>
      <c r="C1355">
        <v>29</v>
      </c>
      <c r="D1355" t="s">
        <v>26</v>
      </c>
      <c r="E1355" t="s">
        <v>22</v>
      </c>
      <c r="F1355">
        <v>26</v>
      </c>
      <c r="G1355">
        <v>35</v>
      </c>
      <c r="H1355">
        <v>0.28000000000000003</v>
      </c>
      <c r="I1355" t="s">
        <v>15</v>
      </c>
      <c r="J1355">
        <v>0</v>
      </c>
      <c r="K1355">
        <v>1</v>
      </c>
      <c r="L1355">
        <v>1</v>
      </c>
      <c r="M1355">
        <f>VLOOKUP(Table1[[#This Row],[subscription_type]],Plans!$A$1:$B$5,2,FALSE)</f>
        <v>9.99</v>
      </c>
      <c r="N1355">
        <f t="shared" si="21"/>
        <v>9.99</v>
      </c>
    </row>
    <row r="1356" spans="1:14" x14ac:dyDescent="0.35">
      <c r="A1356">
        <v>1355</v>
      </c>
      <c r="B1356" t="s">
        <v>16</v>
      </c>
      <c r="C1356">
        <v>33</v>
      </c>
      <c r="D1356" t="s">
        <v>27</v>
      </c>
      <c r="E1356" t="s">
        <v>14</v>
      </c>
      <c r="F1356">
        <v>182</v>
      </c>
      <c r="G1356">
        <v>67</v>
      </c>
      <c r="H1356">
        <v>0.49</v>
      </c>
      <c r="I1356" t="s">
        <v>19</v>
      </c>
      <c r="J1356">
        <v>31</v>
      </c>
      <c r="K1356">
        <v>0</v>
      </c>
      <c r="L1356">
        <v>0</v>
      </c>
      <c r="M1356">
        <f>VLOOKUP(Table1[[#This Row],[subscription_type]],Plans!$A$1:$B$5,2,FALSE)</f>
        <v>0</v>
      </c>
      <c r="N1356">
        <f t="shared" si="21"/>
        <v>0</v>
      </c>
    </row>
    <row r="1357" spans="1:14" x14ac:dyDescent="0.35">
      <c r="A1357">
        <v>1356</v>
      </c>
      <c r="B1357" t="s">
        <v>12</v>
      </c>
      <c r="C1357">
        <v>48</v>
      </c>
      <c r="D1357" t="s">
        <v>13</v>
      </c>
      <c r="E1357" t="s">
        <v>18</v>
      </c>
      <c r="F1357">
        <v>193</v>
      </c>
      <c r="G1357">
        <v>41</v>
      </c>
      <c r="H1357">
        <v>0.17</v>
      </c>
      <c r="I1357" t="s">
        <v>15</v>
      </c>
      <c r="J1357">
        <v>0</v>
      </c>
      <c r="K1357">
        <v>1</v>
      </c>
      <c r="L1357">
        <v>0</v>
      </c>
      <c r="M1357">
        <f>VLOOKUP(Table1[[#This Row],[subscription_type]],Plans!$A$1:$B$5,2,FALSE)</f>
        <v>14.99</v>
      </c>
      <c r="N1357">
        <f t="shared" si="21"/>
        <v>0</v>
      </c>
    </row>
    <row r="1358" spans="1:14" x14ac:dyDescent="0.35">
      <c r="A1358">
        <v>1357</v>
      </c>
      <c r="B1358" t="s">
        <v>20</v>
      </c>
      <c r="C1358">
        <v>35</v>
      </c>
      <c r="D1358" t="s">
        <v>27</v>
      </c>
      <c r="E1358" t="s">
        <v>24</v>
      </c>
      <c r="F1358">
        <v>82</v>
      </c>
      <c r="G1358">
        <v>26</v>
      </c>
      <c r="H1358">
        <v>0.31</v>
      </c>
      <c r="I1358" t="s">
        <v>23</v>
      </c>
      <c r="J1358">
        <v>0</v>
      </c>
      <c r="K1358">
        <v>1</v>
      </c>
      <c r="L1358">
        <v>1</v>
      </c>
      <c r="M1358">
        <f>VLOOKUP(Table1[[#This Row],[subscription_type]],Plans!$A$1:$B$5,2,FALSE)</f>
        <v>4.99</v>
      </c>
      <c r="N1358">
        <f t="shared" si="21"/>
        <v>4.99</v>
      </c>
    </row>
    <row r="1359" spans="1:14" x14ac:dyDescent="0.35">
      <c r="A1359">
        <v>1358</v>
      </c>
      <c r="B1359" t="s">
        <v>12</v>
      </c>
      <c r="C1359">
        <v>32</v>
      </c>
      <c r="D1359" t="s">
        <v>13</v>
      </c>
      <c r="E1359" t="s">
        <v>14</v>
      </c>
      <c r="F1359">
        <v>114</v>
      </c>
      <c r="G1359">
        <v>34</v>
      </c>
      <c r="H1359">
        <v>0.16</v>
      </c>
      <c r="I1359" t="s">
        <v>19</v>
      </c>
      <c r="J1359">
        <v>16</v>
      </c>
      <c r="K1359">
        <v>0</v>
      </c>
      <c r="L1359">
        <v>0</v>
      </c>
      <c r="M1359">
        <f>VLOOKUP(Table1[[#This Row],[subscription_type]],Plans!$A$1:$B$5,2,FALSE)</f>
        <v>0</v>
      </c>
      <c r="N1359">
        <f t="shared" si="21"/>
        <v>0</v>
      </c>
    </row>
    <row r="1360" spans="1:14" x14ac:dyDescent="0.35">
      <c r="A1360">
        <v>1359</v>
      </c>
      <c r="B1360" t="s">
        <v>12</v>
      </c>
      <c r="C1360">
        <v>17</v>
      </c>
      <c r="D1360" t="s">
        <v>29</v>
      </c>
      <c r="E1360" t="s">
        <v>22</v>
      </c>
      <c r="F1360">
        <v>92</v>
      </c>
      <c r="G1360">
        <v>65</v>
      </c>
      <c r="H1360">
        <v>0.16</v>
      </c>
      <c r="I1360" t="s">
        <v>19</v>
      </c>
      <c r="J1360">
        <v>0</v>
      </c>
      <c r="K1360">
        <v>1</v>
      </c>
      <c r="L1360">
        <v>0</v>
      </c>
      <c r="M1360">
        <f>VLOOKUP(Table1[[#This Row],[subscription_type]],Plans!$A$1:$B$5,2,FALSE)</f>
        <v>9.99</v>
      </c>
      <c r="N1360">
        <f t="shared" si="21"/>
        <v>0</v>
      </c>
    </row>
    <row r="1361" spans="1:14" x14ac:dyDescent="0.35">
      <c r="A1361">
        <v>1360</v>
      </c>
      <c r="B1361" t="s">
        <v>16</v>
      </c>
      <c r="C1361">
        <v>56</v>
      </c>
      <c r="D1361" t="s">
        <v>26</v>
      </c>
      <c r="E1361" t="s">
        <v>14</v>
      </c>
      <c r="F1361">
        <v>265</v>
      </c>
      <c r="G1361">
        <v>50</v>
      </c>
      <c r="H1361">
        <v>0.05</v>
      </c>
      <c r="I1361" t="s">
        <v>19</v>
      </c>
      <c r="J1361">
        <v>19</v>
      </c>
      <c r="K1361">
        <v>0</v>
      </c>
      <c r="L1361">
        <v>0</v>
      </c>
      <c r="M1361">
        <f>VLOOKUP(Table1[[#This Row],[subscription_type]],Plans!$A$1:$B$5,2,FALSE)</f>
        <v>0</v>
      </c>
      <c r="N1361">
        <f t="shared" si="21"/>
        <v>0</v>
      </c>
    </row>
    <row r="1362" spans="1:14" x14ac:dyDescent="0.35">
      <c r="A1362">
        <v>1361</v>
      </c>
      <c r="B1362" t="s">
        <v>20</v>
      </c>
      <c r="C1362">
        <v>53</v>
      </c>
      <c r="D1362" t="s">
        <v>27</v>
      </c>
      <c r="E1362" t="s">
        <v>18</v>
      </c>
      <c r="F1362">
        <v>45</v>
      </c>
      <c r="G1362">
        <v>77</v>
      </c>
      <c r="H1362">
        <v>0.55000000000000004</v>
      </c>
      <c r="I1362" t="s">
        <v>15</v>
      </c>
      <c r="J1362">
        <v>0</v>
      </c>
      <c r="K1362">
        <v>1</v>
      </c>
      <c r="L1362">
        <v>0</v>
      </c>
      <c r="M1362">
        <f>VLOOKUP(Table1[[#This Row],[subscription_type]],Plans!$A$1:$B$5,2,FALSE)</f>
        <v>14.99</v>
      </c>
      <c r="N1362">
        <f t="shared" si="21"/>
        <v>0</v>
      </c>
    </row>
    <row r="1363" spans="1:14" x14ac:dyDescent="0.35">
      <c r="A1363">
        <v>1362</v>
      </c>
      <c r="B1363" t="s">
        <v>16</v>
      </c>
      <c r="C1363">
        <v>42</v>
      </c>
      <c r="D1363" t="s">
        <v>26</v>
      </c>
      <c r="E1363" t="s">
        <v>18</v>
      </c>
      <c r="F1363">
        <v>177</v>
      </c>
      <c r="G1363">
        <v>60</v>
      </c>
      <c r="H1363">
        <v>0.04</v>
      </c>
      <c r="I1363" t="s">
        <v>15</v>
      </c>
      <c r="J1363">
        <v>0</v>
      </c>
      <c r="K1363">
        <v>1</v>
      </c>
      <c r="L1363">
        <v>0</v>
      </c>
      <c r="M1363">
        <f>VLOOKUP(Table1[[#This Row],[subscription_type]],Plans!$A$1:$B$5,2,FALSE)</f>
        <v>14.99</v>
      </c>
      <c r="N1363">
        <f t="shared" si="21"/>
        <v>0</v>
      </c>
    </row>
    <row r="1364" spans="1:14" x14ac:dyDescent="0.35">
      <c r="A1364">
        <v>1363</v>
      </c>
      <c r="B1364" t="s">
        <v>16</v>
      </c>
      <c r="C1364">
        <v>19</v>
      </c>
      <c r="D1364" t="s">
        <v>28</v>
      </c>
      <c r="E1364" t="s">
        <v>14</v>
      </c>
      <c r="F1364">
        <v>16</v>
      </c>
      <c r="G1364">
        <v>48</v>
      </c>
      <c r="H1364">
        <v>0.06</v>
      </c>
      <c r="I1364" t="s">
        <v>19</v>
      </c>
      <c r="J1364">
        <v>47</v>
      </c>
      <c r="K1364">
        <v>0</v>
      </c>
      <c r="L1364">
        <v>0</v>
      </c>
      <c r="M1364">
        <f>VLOOKUP(Table1[[#This Row],[subscription_type]],Plans!$A$1:$B$5,2,FALSE)</f>
        <v>0</v>
      </c>
      <c r="N1364">
        <f t="shared" si="21"/>
        <v>0</v>
      </c>
    </row>
    <row r="1365" spans="1:14" x14ac:dyDescent="0.35">
      <c r="A1365">
        <v>1364</v>
      </c>
      <c r="B1365" t="s">
        <v>20</v>
      </c>
      <c r="C1365">
        <v>18</v>
      </c>
      <c r="D1365" t="s">
        <v>28</v>
      </c>
      <c r="E1365" t="s">
        <v>24</v>
      </c>
      <c r="F1365">
        <v>238</v>
      </c>
      <c r="G1365">
        <v>42</v>
      </c>
      <c r="H1365">
        <v>0.51</v>
      </c>
      <c r="I1365" t="s">
        <v>15</v>
      </c>
      <c r="J1365">
        <v>0</v>
      </c>
      <c r="K1365">
        <v>1</v>
      </c>
      <c r="L1365">
        <v>0</v>
      </c>
      <c r="M1365">
        <f>VLOOKUP(Table1[[#This Row],[subscription_type]],Plans!$A$1:$B$5,2,FALSE)</f>
        <v>4.99</v>
      </c>
      <c r="N1365">
        <f t="shared" si="21"/>
        <v>0</v>
      </c>
    </row>
    <row r="1366" spans="1:14" x14ac:dyDescent="0.35">
      <c r="A1366">
        <v>1365</v>
      </c>
      <c r="B1366" t="s">
        <v>20</v>
      </c>
      <c r="C1366">
        <v>49</v>
      </c>
      <c r="D1366" t="s">
        <v>29</v>
      </c>
      <c r="E1366" t="s">
        <v>18</v>
      </c>
      <c r="F1366">
        <v>290</v>
      </c>
      <c r="G1366">
        <v>21</v>
      </c>
      <c r="H1366">
        <v>0.53</v>
      </c>
      <c r="I1366" t="s">
        <v>23</v>
      </c>
      <c r="J1366">
        <v>0</v>
      </c>
      <c r="K1366">
        <v>1</v>
      </c>
      <c r="L1366">
        <v>1</v>
      </c>
      <c r="M1366">
        <f>VLOOKUP(Table1[[#This Row],[subscription_type]],Plans!$A$1:$B$5,2,FALSE)</f>
        <v>14.99</v>
      </c>
      <c r="N1366">
        <f t="shared" si="21"/>
        <v>14.99</v>
      </c>
    </row>
    <row r="1367" spans="1:14" x14ac:dyDescent="0.35">
      <c r="A1367">
        <v>1366</v>
      </c>
      <c r="B1367" t="s">
        <v>16</v>
      </c>
      <c r="C1367">
        <v>24</v>
      </c>
      <c r="D1367" t="s">
        <v>17</v>
      </c>
      <c r="E1367" t="s">
        <v>22</v>
      </c>
      <c r="F1367">
        <v>88</v>
      </c>
      <c r="G1367">
        <v>7</v>
      </c>
      <c r="H1367">
        <v>0.33</v>
      </c>
      <c r="I1367" t="s">
        <v>23</v>
      </c>
      <c r="J1367">
        <v>0</v>
      </c>
      <c r="K1367">
        <v>1</v>
      </c>
      <c r="L1367">
        <v>0</v>
      </c>
      <c r="M1367">
        <f>VLOOKUP(Table1[[#This Row],[subscription_type]],Plans!$A$1:$B$5,2,FALSE)</f>
        <v>9.99</v>
      </c>
      <c r="N1367">
        <f t="shared" si="21"/>
        <v>0</v>
      </c>
    </row>
    <row r="1368" spans="1:14" x14ac:dyDescent="0.35">
      <c r="A1368">
        <v>1367</v>
      </c>
      <c r="B1368" t="s">
        <v>12</v>
      </c>
      <c r="C1368">
        <v>47</v>
      </c>
      <c r="D1368" t="s">
        <v>25</v>
      </c>
      <c r="E1368" t="s">
        <v>22</v>
      </c>
      <c r="F1368">
        <v>119</v>
      </c>
      <c r="G1368">
        <v>50</v>
      </c>
      <c r="H1368">
        <v>0.56999999999999995</v>
      </c>
      <c r="I1368" t="s">
        <v>23</v>
      </c>
      <c r="J1368">
        <v>0</v>
      </c>
      <c r="K1368">
        <v>1</v>
      </c>
      <c r="L1368">
        <v>1</v>
      </c>
      <c r="M1368">
        <f>VLOOKUP(Table1[[#This Row],[subscription_type]],Plans!$A$1:$B$5,2,FALSE)</f>
        <v>9.99</v>
      </c>
      <c r="N1368">
        <f t="shared" si="21"/>
        <v>9.99</v>
      </c>
    </row>
    <row r="1369" spans="1:14" x14ac:dyDescent="0.35">
      <c r="A1369">
        <v>1368</v>
      </c>
      <c r="B1369" t="s">
        <v>12</v>
      </c>
      <c r="C1369">
        <v>18</v>
      </c>
      <c r="D1369" t="s">
        <v>27</v>
      </c>
      <c r="E1369" t="s">
        <v>18</v>
      </c>
      <c r="F1369">
        <v>52</v>
      </c>
      <c r="G1369">
        <v>74</v>
      </c>
      <c r="H1369">
        <v>0</v>
      </c>
      <c r="I1369" t="s">
        <v>19</v>
      </c>
      <c r="J1369">
        <v>0</v>
      </c>
      <c r="K1369">
        <v>1</v>
      </c>
      <c r="L1369">
        <v>1</v>
      </c>
      <c r="M1369">
        <f>VLOOKUP(Table1[[#This Row],[subscription_type]],Plans!$A$1:$B$5,2,FALSE)</f>
        <v>14.99</v>
      </c>
      <c r="N1369">
        <f t="shared" si="21"/>
        <v>14.99</v>
      </c>
    </row>
    <row r="1370" spans="1:14" x14ac:dyDescent="0.35">
      <c r="A1370">
        <v>1369</v>
      </c>
      <c r="B1370" t="s">
        <v>12</v>
      </c>
      <c r="C1370">
        <v>58</v>
      </c>
      <c r="D1370" t="s">
        <v>29</v>
      </c>
      <c r="E1370" t="s">
        <v>24</v>
      </c>
      <c r="F1370">
        <v>223</v>
      </c>
      <c r="G1370">
        <v>2</v>
      </c>
      <c r="H1370">
        <v>0.01</v>
      </c>
      <c r="I1370" t="s">
        <v>15</v>
      </c>
      <c r="J1370">
        <v>0</v>
      </c>
      <c r="K1370">
        <v>1</v>
      </c>
      <c r="L1370">
        <v>0</v>
      </c>
      <c r="M1370">
        <f>VLOOKUP(Table1[[#This Row],[subscription_type]],Plans!$A$1:$B$5,2,FALSE)</f>
        <v>4.99</v>
      </c>
      <c r="N1370">
        <f t="shared" si="21"/>
        <v>0</v>
      </c>
    </row>
    <row r="1371" spans="1:14" x14ac:dyDescent="0.35">
      <c r="A1371">
        <v>1370</v>
      </c>
      <c r="B1371" t="s">
        <v>16</v>
      </c>
      <c r="C1371">
        <v>21</v>
      </c>
      <c r="D1371" t="s">
        <v>26</v>
      </c>
      <c r="E1371" t="s">
        <v>24</v>
      </c>
      <c r="F1371">
        <v>240</v>
      </c>
      <c r="G1371">
        <v>55</v>
      </c>
      <c r="H1371">
        <v>0.01</v>
      </c>
      <c r="I1371" t="s">
        <v>15</v>
      </c>
      <c r="J1371">
        <v>0</v>
      </c>
      <c r="K1371">
        <v>1</v>
      </c>
      <c r="L1371">
        <v>1</v>
      </c>
      <c r="M1371">
        <f>VLOOKUP(Table1[[#This Row],[subscription_type]],Plans!$A$1:$B$5,2,FALSE)</f>
        <v>4.99</v>
      </c>
      <c r="N1371">
        <f t="shared" si="21"/>
        <v>4.99</v>
      </c>
    </row>
    <row r="1372" spans="1:14" x14ac:dyDescent="0.35">
      <c r="A1372">
        <v>1371</v>
      </c>
      <c r="B1372" t="s">
        <v>12</v>
      </c>
      <c r="C1372">
        <v>48</v>
      </c>
      <c r="D1372" t="s">
        <v>28</v>
      </c>
      <c r="E1372" t="s">
        <v>14</v>
      </c>
      <c r="F1372">
        <v>62</v>
      </c>
      <c r="G1372">
        <v>14</v>
      </c>
      <c r="H1372">
        <v>0.57999999999999996</v>
      </c>
      <c r="I1372" t="s">
        <v>15</v>
      </c>
      <c r="J1372">
        <v>10</v>
      </c>
      <c r="K1372">
        <v>0</v>
      </c>
      <c r="L1372">
        <v>0</v>
      </c>
      <c r="M1372">
        <f>VLOOKUP(Table1[[#This Row],[subscription_type]],Plans!$A$1:$B$5,2,FALSE)</f>
        <v>0</v>
      </c>
      <c r="N1372">
        <f t="shared" si="21"/>
        <v>0</v>
      </c>
    </row>
    <row r="1373" spans="1:14" x14ac:dyDescent="0.35">
      <c r="A1373">
        <v>1372</v>
      </c>
      <c r="B1373" t="s">
        <v>20</v>
      </c>
      <c r="C1373">
        <v>49</v>
      </c>
      <c r="D1373" t="s">
        <v>21</v>
      </c>
      <c r="E1373" t="s">
        <v>14</v>
      </c>
      <c r="F1373">
        <v>121</v>
      </c>
      <c r="G1373">
        <v>99</v>
      </c>
      <c r="H1373">
        <v>0.28000000000000003</v>
      </c>
      <c r="I1373" t="s">
        <v>23</v>
      </c>
      <c r="J1373">
        <v>47</v>
      </c>
      <c r="K1373">
        <v>0</v>
      </c>
      <c r="L1373">
        <v>0</v>
      </c>
      <c r="M1373">
        <f>VLOOKUP(Table1[[#This Row],[subscription_type]],Plans!$A$1:$B$5,2,FALSE)</f>
        <v>0</v>
      </c>
      <c r="N1373">
        <f t="shared" si="21"/>
        <v>0</v>
      </c>
    </row>
    <row r="1374" spans="1:14" x14ac:dyDescent="0.35">
      <c r="A1374">
        <v>1373</v>
      </c>
      <c r="B1374" t="s">
        <v>20</v>
      </c>
      <c r="C1374">
        <v>52</v>
      </c>
      <c r="D1374" t="s">
        <v>26</v>
      </c>
      <c r="E1374" t="s">
        <v>24</v>
      </c>
      <c r="F1374">
        <v>173</v>
      </c>
      <c r="G1374">
        <v>45</v>
      </c>
      <c r="H1374">
        <v>0.41</v>
      </c>
      <c r="I1374" t="s">
        <v>19</v>
      </c>
      <c r="J1374">
        <v>0</v>
      </c>
      <c r="K1374">
        <v>1</v>
      </c>
      <c r="L1374">
        <v>0</v>
      </c>
      <c r="M1374">
        <f>VLOOKUP(Table1[[#This Row],[subscription_type]],Plans!$A$1:$B$5,2,FALSE)</f>
        <v>4.99</v>
      </c>
      <c r="N1374">
        <f t="shared" si="21"/>
        <v>0</v>
      </c>
    </row>
    <row r="1375" spans="1:14" x14ac:dyDescent="0.35">
      <c r="A1375">
        <v>1374</v>
      </c>
      <c r="B1375" t="s">
        <v>20</v>
      </c>
      <c r="C1375">
        <v>25</v>
      </c>
      <c r="D1375" t="s">
        <v>25</v>
      </c>
      <c r="E1375" t="s">
        <v>24</v>
      </c>
      <c r="F1375">
        <v>56</v>
      </c>
      <c r="G1375">
        <v>91</v>
      </c>
      <c r="H1375">
        <v>0.08</v>
      </c>
      <c r="I1375" t="s">
        <v>15</v>
      </c>
      <c r="J1375">
        <v>0</v>
      </c>
      <c r="K1375">
        <v>1</v>
      </c>
      <c r="L1375">
        <v>1</v>
      </c>
      <c r="M1375">
        <f>VLOOKUP(Table1[[#This Row],[subscription_type]],Plans!$A$1:$B$5,2,FALSE)</f>
        <v>4.99</v>
      </c>
      <c r="N1375">
        <f t="shared" si="21"/>
        <v>4.99</v>
      </c>
    </row>
    <row r="1376" spans="1:14" x14ac:dyDescent="0.35">
      <c r="A1376">
        <v>1375</v>
      </c>
      <c r="B1376" t="s">
        <v>16</v>
      </c>
      <c r="C1376">
        <v>32</v>
      </c>
      <c r="D1376" t="s">
        <v>26</v>
      </c>
      <c r="E1376" t="s">
        <v>14</v>
      </c>
      <c r="F1376">
        <v>113</v>
      </c>
      <c r="G1376">
        <v>95</v>
      </c>
      <c r="H1376">
        <v>0.06</v>
      </c>
      <c r="I1376" t="s">
        <v>19</v>
      </c>
      <c r="J1376">
        <v>22</v>
      </c>
      <c r="K1376">
        <v>0</v>
      </c>
      <c r="L1376">
        <v>1</v>
      </c>
      <c r="M1376">
        <f>VLOOKUP(Table1[[#This Row],[subscription_type]],Plans!$A$1:$B$5,2,FALSE)</f>
        <v>0</v>
      </c>
      <c r="N1376">
        <f t="shared" si="21"/>
        <v>0</v>
      </c>
    </row>
    <row r="1377" spans="1:14" x14ac:dyDescent="0.35">
      <c r="A1377">
        <v>1376</v>
      </c>
      <c r="B1377" t="s">
        <v>20</v>
      </c>
      <c r="C1377">
        <v>44</v>
      </c>
      <c r="D1377" t="s">
        <v>25</v>
      </c>
      <c r="E1377" t="s">
        <v>24</v>
      </c>
      <c r="F1377">
        <v>253</v>
      </c>
      <c r="G1377">
        <v>87</v>
      </c>
      <c r="H1377">
        <v>0.26</v>
      </c>
      <c r="I1377" t="s">
        <v>15</v>
      </c>
      <c r="J1377">
        <v>0</v>
      </c>
      <c r="K1377">
        <v>1</v>
      </c>
      <c r="L1377">
        <v>0</v>
      </c>
      <c r="M1377">
        <f>VLOOKUP(Table1[[#This Row],[subscription_type]],Plans!$A$1:$B$5,2,FALSE)</f>
        <v>4.99</v>
      </c>
      <c r="N1377">
        <f t="shared" si="21"/>
        <v>0</v>
      </c>
    </row>
    <row r="1378" spans="1:14" x14ac:dyDescent="0.35">
      <c r="A1378">
        <v>1377</v>
      </c>
      <c r="B1378" t="s">
        <v>16</v>
      </c>
      <c r="C1378">
        <v>50</v>
      </c>
      <c r="D1378" t="s">
        <v>25</v>
      </c>
      <c r="E1378" t="s">
        <v>14</v>
      </c>
      <c r="F1378">
        <v>205</v>
      </c>
      <c r="G1378">
        <v>25</v>
      </c>
      <c r="H1378">
        <v>0.13</v>
      </c>
      <c r="I1378" t="s">
        <v>19</v>
      </c>
      <c r="J1378">
        <v>13</v>
      </c>
      <c r="K1378">
        <v>0</v>
      </c>
      <c r="L1378">
        <v>0</v>
      </c>
      <c r="M1378">
        <f>VLOOKUP(Table1[[#This Row],[subscription_type]],Plans!$A$1:$B$5,2,FALSE)</f>
        <v>0</v>
      </c>
      <c r="N1378">
        <f t="shared" si="21"/>
        <v>0</v>
      </c>
    </row>
    <row r="1379" spans="1:14" x14ac:dyDescent="0.35">
      <c r="A1379">
        <v>1378</v>
      </c>
      <c r="B1379" t="s">
        <v>12</v>
      </c>
      <c r="C1379">
        <v>58</v>
      </c>
      <c r="D1379" t="s">
        <v>28</v>
      </c>
      <c r="E1379" t="s">
        <v>24</v>
      </c>
      <c r="F1379">
        <v>20</v>
      </c>
      <c r="G1379">
        <v>46</v>
      </c>
      <c r="H1379">
        <v>0.49</v>
      </c>
      <c r="I1379" t="s">
        <v>15</v>
      </c>
      <c r="J1379">
        <v>0</v>
      </c>
      <c r="K1379">
        <v>1</v>
      </c>
      <c r="L1379">
        <v>0</v>
      </c>
      <c r="M1379">
        <f>VLOOKUP(Table1[[#This Row],[subscription_type]],Plans!$A$1:$B$5,2,FALSE)</f>
        <v>4.99</v>
      </c>
      <c r="N1379">
        <f t="shared" si="21"/>
        <v>0</v>
      </c>
    </row>
    <row r="1380" spans="1:14" x14ac:dyDescent="0.35">
      <c r="A1380">
        <v>1379</v>
      </c>
      <c r="B1380" t="s">
        <v>20</v>
      </c>
      <c r="C1380">
        <v>16</v>
      </c>
      <c r="D1380" t="s">
        <v>21</v>
      </c>
      <c r="E1380" t="s">
        <v>18</v>
      </c>
      <c r="F1380">
        <v>240</v>
      </c>
      <c r="G1380">
        <v>31</v>
      </c>
      <c r="H1380">
        <v>0.5</v>
      </c>
      <c r="I1380" t="s">
        <v>19</v>
      </c>
      <c r="J1380">
        <v>0</v>
      </c>
      <c r="K1380">
        <v>1</v>
      </c>
      <c r="L1380">
        <v>0</v>
      </c>
      <c r="M1380">
        <f>VLOOKUP(Table1[[#This Row],[subscription_type]],Plans!$A$1:$B$5,2,FALSE)</f>
        <v>14.99</v>
      </c>
      <c r="N1380">
        <f t="shared" si="21"/>
        <v>0</v>
      </c>
    </row>
    <row r="1381" spans="1:14" x14ac:dyDescent="0.35">
      <c r="A1381">
        <v>1380</v>
      </c>
      <c r="B1381" t="s">
        <v>16</v>
      </c>
      <c r="C1381">
        <v>47</v>
      </c>
      <c r="D1381" t="s">
        <v>27</v>
      </c>
      <c r="E1381" t="s">
        <v>22</v>
      </c>
      <c r="F1381">
        <v>92</v>
      </c>
      <c r="G1381">
        <v>95</v>
      </c>
      <c r="H1381">
        <v>0.21</v>
      </c>
      <c r="I1381" t="s">
        <v>19</v>
      </c>
      <c r="J1381">
        <v>0</v>
      </c>
      <c r="K1381">
        <v>1</v>
      </c>
      <c r="L1381">
        <v>0</v>
      </c>
      <c r="M1381">
        <f>VLOOKUP(Table1[[#This Row],[subscription_type]],Plans!$A$1:$B$5,2,FALSE)</f>
        <v>9.99</v>
      </c>
      <c r="N1381">
        <f t="shared" si="21"/>
        <v>0</v>
      </c>
    </row>
    <row r="1382" spans="1:14" x14ac:dyDescent="0.35">
      <c r="A1382">
        <v>1381</v>
      </c>
      <c r="B1382" t="s">
        <v>16</v>
      </c>
      <c r="C1382">
        <v>23</v>
      </c>
      <c r="D1382" t="s">
        <v>26</v>
      </c>
      <c r="E1382" t="s">
        <v>22</v>
      </c>
      <c r="F1382">
        <v>288</v>
      </c>
      <c r="G1382">
        <v>82</v>
      </c>
      <c r="H1382">
        <v>0.39</v>
      </c>
      <c r="I1382" t="s">
        <v>15</v>
      </c>
      <c r="J1382">
        <v>0</v>
      </c>
      <c r="K1382">
        <v>1</v>
      </c>
      <c r="L1382">
        <v>0</v>
      </c>
      <c r="M1382">
        <f>VLOOKUP(Table1[[#This Row],[subscription_type]],Plans!$A$1:$B$5,2,FALSE)</f>
        <v>9.99</v>
      </c>
      <c r="N1382">
        <f t="shared" si="21"/>
        <v>0</v>
      </c>
    </row>
    <row r="1383" spans="1:14" x14ac:dyDescent="0.35">
      <c r="A1383">
        <v>1382</v>
      </c>
      <c r="B1383" t="s">
        <v>16</v>
      </c>
      <c r="C1383">
        <v>43</v>
      </c>
      <c r="D1383" t="s">
        <v>25</v>
      </c>
      <c r="E1383" t="s">
        <v>14</v>
      </c>
      <c r="F1383">
        <v>273</v>
      </c>
      <c r="G1383">
        <v>96</v>
      </c>
      <c r="H1383">
        <v>0.37</v>
      </c>
      <c r="I1383" t="s">
        <v>23</v>
      </c>
      <c r="J1383">
        <v>41</v>
      </c>
      <c r="K1383">
        <v>0</v>
      </c>
      <c r="L1383">
        <v>0</v>
      </c>
      <c r="M1383">
        <f>VLOOKUP(Table1[[#This Row],[subscription_type]],Plans!$A$1:$B$5,2,FALSE)</f>
        <v>0</v>
      </c>
      <c r="N1383">
        <f t="shared" si="21"/>
        <v>0</v>
      </c>
    </row>
    <row r="1384" spans="1:14" x14ac:dyDescent="0.35">
      <c r="A1384">
        <v>1383</v>
      </c>
      <c r="B1384" t="s">
        <v>20</v>
      </c>
      <c r="C1384">
        <v>45</v>
      </c>
      <c r="D1384" t="s">
        <v>27</v>
      </c>
      <c r="E1384" t="s">
        <v>24</v>
      </c>
      <c r="F1384">
        <v>19</v>
      </c>
      <c r="G1384">
        <v>4</v>
      </c>
      <c r="H1384">
        <v>0.02</v>
      </c>
      <c r="I1384" t="s">
        <v>19</v>
      </c>
      <c r="J1384">
        <v>0</v>
      </c>
      <c r="K1384">
        <v>1</v>
      </c>
      <c r="L1384">
        <v>1</v>
      </c>
      <c r="M1384">
        <f>VLOOKUP(Table1[[#This Row],[subscription_type]],Plans!$A$1:$B$5,2,FALSE)</f>
        <v>4.99</v>
      </c>
      <c r="N1384">
        <f t="shared" si="21"/>
        <v>4.99</v>
      </c>
    </row>
    <row r="1385" spans="1:14" x14ac:dyDescent="0.35">
      <c r="A1385">
        <v>1384</v>
      </c>
      <c r="B1385" t="s">
        <v>20</v>
      </c>
      <c r="C1385">
        <v>23</v>
      </c>
      <c r="D1385" t="s">
        <v>29</v>
      </c>
      <c r="E1385" t="s">
        <v>18</v>
      </c>
      <c r="F1385">
        <v>271</v>
      </c>
      <c r="G1385">
        <v>57</v>
      </c>
      <c r="H1385">
        <v>0.54</v>
      </c>
      <c r="I1385" t="s">
        <v>15</v>
      </c>
      <c r="J1385">
        <v>0</v>
      </c>
      <c r="K1385">
        <v>1</v>
      </c>
      <c r="L1385">
        <v>0</v>
      </c>
      <c r="M1385">
        <f>VLOOKUP(Table1[[#This Row],[subscription_type]],Plans!$A$1:$B$5,2,FALSE)</f>
        <v>14.99</v>
      </c>
      <c r="N1385">
        <f t="shared" si="21"/>
        <v>0</v>
      </c>
    </row>
    <row r="1386" spans="1:14" x14ac:dyDescent="0.35">
      <c r="A1386">
        <v>1385</v>
      </c>
      <c r="B1386" t="s">
        <v>16</v>
      </c>
      <c r="C1386">
        <v>38</v>
      </c>
      <c r="D1386" t="s">
        <v>26</v>
      </c>
      <c r="E1386" t="s">
        <v>24</v>
      </c>
      <c r="F1386">
        <v>72</v>
      </c>
      <c r="G1386">
        <v>61</v>
      </c>
      <c r="H1386">
        <v>0.2</v>
      </c>
      <c r="I1386" t="s">
        <v>19</v>
      </c>
      <c r="J1386">
        <v>0</v>
      </c>
      <c r="K1386">
        <v>1</v>
      </c>
      <c r="L1386">
        <v>0</v>
      </c>
      <c r="M1386">
        <f>VLOOKUP(Table1[[#This Row],[subscription_type]],Plans!$A$1:$B$5,2,FALSE)</f>
        <v>4.99</v>
      </c>
      <c r="N1386">
        <f t="shared" si="21"/>
        <v>0</v>
      </c>
    </row>
    <row r="1387" spans="1:14" x14ac:dyDescent="0.35">
      <c r="A1387">
        <v>1386</v>
      </c>
      <c r="B1387" t="s">
        <v>12</v>
      </c>
      <c r="C1387">
        <v>48</v>
      </c>
      <c r="D1387" t="s">
        <v>27</v>
      </c>
      <c r="E1387" t="s">
        <v>14</v>
      </c>
      <c r="F1387">
        <v>114</v>
      </c>
      <c r="G1387">
        <v>72</v>
      </c>
      <c r="H1387">
        <v>0.48</v>
      </c>
      <c r="I1387" t="s">
        <v>19</v>
      </c>
      <c r="J1387">
        <v>44</v>
      </c>
      <c r="K1387">
        <v>0</v>
      </c>
      <c r="L1387">
        <v>1</v>
      </c>
      <c r="M1387">
        <f>VLOOKUP(Table1[[#This Row],[subscription_type]],Plans!$A$1:$B$5,2,FALSE)</f>
        <v>0</v>
      </c>
      <c r="N1387">
        <f t="shared" si="21"/>
        <v>0</v>
      </c>
    </row>
    <row r="1388" spans="1:14" x14ac:dyDescent="0.35">
      <c r="A1388">
        <v>1387</v>
      </c>
      <c r="B1388" t="s">
        <v>20</v>
      </c>
      <c r="C1388">
        <v>31</v>
      </c>
      <c r="D1388" t="s">
        <v>26</v>
      </c>
      <c r="E1388" t="s">
        <v>22</v>
      </c>
      <c r="F1388">
        <v>283</v>
      </c>
      <c r="G1388">
        <v>73</v>
      </c>
      <c r="H1388">
        <v>0.17</v>
      </c>
      <c r="I1388" t="s">
        <v>23</v>
      </c>
      <c r="J1388">
        <v>0</v>
      </c>
      <c r="K1388">
        <v>1</v>
      </c>
      <c r="L1388">
        <v>0</v>
      </c>
      <c r="M1388">
        <f>VLOOKUP(Table1[[#This Row],[subscription_type]],Plans!$A$1:$B$5,2,FALSE)</f>
        <v>9.99</v>
      </c>
      <c r="N1388">
        <f t="shared" si="21"/>
        <v>0</v>
      </c>
    </row>
    <row r="1389" spans="1:14" x14ac:dyDescent="0.35">
      <c r="A1389">
        <v>1388</v>
      </c>
      <c r="B1389" t="s">
        <v>16</v>
      </c>
      <c r="C1389">
        <v>56</v>
      </c>
      <c r="D1389" t="s">
        <v>27</v>
      </c>
      <c r="E1389" t="s">
        <v>14</v>
      </c>
      <c r="F1389">
        <v>245</v>
      </c>
      <c r="G1389">
        <v>92</v>
      </c>
      <c r="H1389">
        <v>0.28000000000000003</v>
      </c>
      <c r="I1389" t="s">
        <v>23</v>
      </c>
      <c r="J1389">
        <v>38</v>
      </c>
      <c r="K1389">
        <v>0</v>
      </c>
      <c r="L1389">
        <v>0</v>
      </c>
      <c r="M1389">
        <f>VLOOKUP(Table1[[#This Row],[subscription_type]],Plans!$A$1:$B$5,2,FALSE)</f>
        <v>0</v>
      </c>
      <c r="N1389">
        <f t="shared" si="21"/>
        <v>0</v>
      </c>
    </row>
    <row r="1390" spans="1:14" x14ac:dyDescent="0.35">
      <c r="A1390">
        <v>1389</v>
      </c>
      <c r="B1390" t="s">
        <v>12</v>
      </c>
      <c r="C1390">
        <v>47</v>
      </c>
      <c r="D1390" t="s">
        <v>25</v>
      </c>
      <c r="E1390" t="s">
        <v>14</v>
      </c>
      <c r="F1390">
        <v>116</v>
      </c>
      <c r="G1390">
        <v>21</v>
      </c>
      <c r="H1390">
        <v>0.24</v>
      </c>
      <c r="I1390" t="s">
        <v>19</v>
      </c>
      <c r="J1390">
        <v>46</v>
      </c>
      <c r="K1390">
        <v>0</v>
      </c>
      <c r="L1390">
        <v>0</v>
      </c>
      <c r="M1390">
        <f>VLOOKUP(Table1[[#This Row],[subscription_type]],Plans!$A$1:$B$5,2,FALSE)</f>
        <v>0</v>
      </c>
      <c r="N1390">
        <f t="shared" si="21"/>
        <v>0</v>
      </c>
    </row>
    <row r="1391" spans="1:14" x14ac:dyDescent="0.35">
      <c r="A1391">
        <v>1390</v>
      </c>
      <c r="B1391" t="s">
        <v>16</v>
      </c>
      <c r="C1391">
        <v>31</v>
      </c>
      <c r="D1391" t="s">
        <v>25</v>
      </c>
      <c r="E1391" t="s">
        <v>14</v>
      </c>
      <c r="F1391">
        <v>126</v>
      </c>
      <c r="G1391">
        <v>22</v>
      </c>
      <c r="H1391">
        <v>0.15</v>
      </c>
      <c r="I1391" t="s">
        <v>19</v>
      </c>
      <c r="J1391">
        <v>42</v>
      </c>
      <c r="K1391">
        <v>0</v>
      </c>
      <c r="L1391">
        <v>0</v>
      </c>
      <c r="M1391">
        <f>VLOOKUP(Table1[[#This Row],[subscription_type]],Plans!$A$1:$B$5,2,FALSE)</f>
        <v>0</v>
      </c>
      <c r="N1391">
        <f t="shared" si="21"/>
        <v>0</v>
      </c>
    </row>
    <row r="1392" spans="1:14" x14ac:dyDescent="0.35">
      <c r="A1392">
        <v>1391</v>
      </c>
      <c r="B1392" t="s">
        <v>16</v>
      </c>
      <c r="C1392">
        <v>59</v>
      </c>
      <c r="D1392" t="s">
        <v>13</v>
      </c>
      <c r="E1392" t="s">
        <v>24</v>
      </c>
      <c r="F1392">
        <v>114</v>
      </c>
      <c r="G1392">
        <v>13</v>
      </c>
      <c r="H1392">
        <v>0.01</v>
      </c>
      <c r="I1392" t="s">
        <v>23</v>
      </c>
      <c r="J1392">
        <v>0</v>
      </c>
      <c r="K1392">
        <v>1</v>
      </c>
      <c r="L1392">
        <v>0</v>
      </c>
      <c r="M1392">
        <f>VLOOKUP(Table1[[#This Row],[subscription_type]],Plans!$A$1:$B$5,2,FALSE)</f>
        <v>4.99</v>
      </c>
      <c r="N1392">
        <f t="shared" si="21"/>
        <v>0</v>
      </c>
    </row>
    <row r="1393" spans="1:14" x14ac:dyDescent="0.35">
      <c r="A1393">
        <v>1392</v>
      </c>
      <c r="B1393" t="s">
        <v>20</v>
      </c>
      <c r="C1393">
        <v>45</v>
      </c>
      <c r="D1393" t="s">
        <v>27</v>
      </c>
      <c r="E1393" t="s">
        <v>14</v>
      </c>
      <c r="F1393">
        <v>31</v>
      </c>
      <c r="G1393">
        <v>47</v>
      </c>
      <c r="H1393">
        <v>0.22</v>
      </c>
      <c r="I1393" t="s">
        <v>23</v>
      </c>
      <c r="J1393">
        <v>13</v>
      </c>
      <c r="K1393">
        <v>0</v>
      </c>
      <c r="L1393">
        <v>0</v>
      </c>
      <c r="M1393">
        <f>VLOOKUP(Table1[[#This Row],[subscription_type]],Plans!$A$1:$B$5,2,FALSE)</f>
        <v>0</v>
      </c>
      <c r="N1393">
        <f t="shared" si="21"/>
        <v>0</v>
      </c>
    </row>
    <row r="1394" spans="1:14" x14ac:dyDescent="0.35">
      <c r="A1394">
        <v>1393</v>
      </c>
      <c r="B1394" t="s">
        <v>20</v>
      </c>
      <c r="C1394">
        <v>53</v>
      </c>
      <c r="D1394" t="s">
        <v>27</v>
      </c>
      <c r="E1394" t="s">
        <v>14</v>
      </c>
      <c r="F1394">
        <v>57</v>
      </c>
      <c r="G1394">
        <v>90</v>
      </c>
      <c r="H1394">
        <v>0.5</v>
      </c>
      <c r="I1394" t="s">
        <v>15</v>
      </c>
      <c r="J1394">
        <v>15</v>
      </c>
      <c r="K1394">
        <v>0</v>
      </c>
      <c r="L1394">
        <v>0</v>
      </c>
      <c r="M1394">
        <f>VLOOKUP(Table1[[#This Row],[subscription_type]],Plans!$A$1:$B$5,2,FALSE)</f>
        <v>0</v>
      </c>
      <c r="N1394">
        <f t="shared" si="21"/>
        <v>0</v>
      </c>
    </row>
    <row r="1395" spans="1:14" x14ac:dyDescent="0.35">
      <c r="A1395">
        <v>1394</v>
      </c>
      <c r="B1395" t="s">
        <v>16</v>
      </c>
      <c r="C1395">
        <v>34</v>
      </c>
      <c r="D1395" t="s">
        <v>26</v>
      </c>
      <c r="E1395" t="s">
        <v>14</v>
      </c>
      <c r="F1395">
        <v>272</v>
      </c>
      <c r="G1395">
        <v>30</v>
      </c>
      <c r="H1395">
        <v>0.46</v>
      </c>
      <c r="I1395" t="s">
        <v>23</v>
      </c>
      <c r="J1395">
        <v>12</v>
      </c>
      <c r="K1395">
        <v>0</v>
      </c>
      <c r="L1395">
        <v>0</v>
      </c>
      <c r="M1395">
        <f>VLOOKUP(Table1[[#This Row],[subscription_type]],Plans!$A$1:$B$5,2,FALSE)</f>
        <v>0</v>
      </c>
      <c r="N1395">
        <f t="shared" si="21"/>
        <v>0</v>
      </c>
    </row>
    <row r="1396" spans="1:14" x14ac:dyDescent="0.35">
      <c r="A1396">
        <v>1395</v>
      </c>
      <c r="B1396" t="s">
        <v>20</v>
      </c>
      <c r="C1396">
        <v>53</v>
      </c>
      <c r="D1396" t="s">
        <v>21</v>
      </c>
      <c r="E1396" t="s">
        <v>24</v>
      </c>
      <c r="F1396">
        <v>264</v>
      </c>
      <c r="G1396">
        <v>70</v>
      </c>
      <c r="H1396">
        <v>0.23</v>
      </c>
      <c r="I1396" t="s">
        <v>19</v>
      </c>
      <c r="J1396">
        <v>0</v>
      </c>
      <c r="K1396">
        <v>1</v>
      </c>
      <c r="L1396">
        <v>0</v>
      </c>
      <c r="M1396">
        <f>VLOOKUP(Table1[[#This Row],[subscription_type]],Plans!$A$1:$B$5,2,FALSE)</f>
        <v>4.99</v>
      </c>
      <c r="N1396">
        <f t="shared" si="21"/>
        <v>0</v>
      </c>
    </row>
    <row r="1397" spans="1:14" x14ac:dyDescent="0.35">
      <c r="A1397">
        <v>1396</v>
      </c>
      <c r="B1397" t="s">
        <v>16</v>
      </c>
      <c r="C1397">
        <v>53</v>
      </c>
      <c r="D1397" t="s">
        <v>13</v>
      </c>
      <c r="E1397" t="s">
        <v>22</v>
      </c>
      <c r="F1397">
        <v>191</v>
      </c>
      <c r="G1397">
        <v>9</v>
      </c>
      <c r="H1397">
        <v>0.24</v>
      </c>
      <c r="I1397" t="s">
        <v>23</v>
      </c>
      <c r="J1397">
        <v>0</v>
      </c>
      <c r="K1397">
        <v>1</v>
      </c>
      <c r="L1397">
        <v>1</v>
      </c>
      <c r="M1397">
        <f>VLOOKUP(Table1[[#This Row],[subscription_type]],Plans!$A$1:$B$5,2,FALSE)</f>
        <v>9.99</v>
      </c>
      <c r="N1397">
        <f t="shared" si="21"/>
        <v>9.99</v>
      </c>
    </row>
    <row r="1398" spans="1:14" x14ac:dyDescent="0.35">
      <c r="A1398">
        <v>1397</v>
      </c>
      <c r="B1398" t="s">
        <v>16</v>
      </c>
      <c r="C1398">
        <v>44</v>
      </c>
      <c r="D1398" t="s">
        <v>17</v>
      </c>
      <c r="E1398" t="s">
        <v>24</v>
      </c>
      <c r="F1398">
        <v>229</v>
      </c>
      <c r="G1398">
        <v>6</v>
      </c>
      <c r="H1398">
        <v>0.33</v>
      </c>
      <c r="I1398" t="s">
        <v>15</v>
      </c>
      <c r="J1398">
        <v>0</v>
      </c>
      <c r="K1398">
        <v>1</v>
      </c>
      <c r="L1398">
        <v>0</v>
      </c>
      <c r="M1398">
        <f>VLOOKUP(Table1[[#This Row],[subscription_type]],Plans!$A$1:$B$5,2,FALSE)</f>
        <v>4.99</v>
      </c>
      <c r="N1398">
        <f t="shared" si="21"/>
        <v>0</v>
      </c>
    </row>
    <row r="1399" spans="1:14" x14ac:dyDescent="0.35">
      <c r="A1399">
        <v>1398</v>
      </c>
      <c r="B1399" t="s">
        <v>20</v>
      </c>
      <c r="C1399">
        <v>33</v>
      </c>
      <c r="D1399" t="s">
        <v>25</v>
      </c>
      <c r="E1399" t="s">
        <v>14</v>
      </c>
      <c r="F1399">
        <v>74</v>
      </c>
      <c r="G1399">
        <v>67</v>
      </c>
      <c r="H1399">
        <v>0.15</v>
      </c>
      <c r="I1399" t="s">
        <v>15</v>
      </c>
      <c r="J1399">
        <v>14</v>
      </c>
      <c r="K1399">
        <v>0</v>
      </c>
      <c r="L1399">
        <v>0</v>
      </c>
      <c r="M1399">
        <f>VLOOKUP(Table1[[#This Row],[subscription_type]],Plans!$A$1:$B$5,2,FALSE)</f>
        <v>0</v>
      </c>
      <c r="N1399">
        <f t="shared" si="21"/>
        <v>0</v>
      </c>
    </row>
    <row r="1400" spans="1:14" x14ac:dyDescent="0.35">
      <c r="A1400">
        <v>1399</v>
      </c>
      <c r="B1400" t="s">
        <v>12</v>
      </c>
      <c r="C1400">
        <v>51</v>
      </c>
      <c r="D1400" t="s">
        <v>27</v>
      </c>
      <c r="E1400" t="s">
        <v>22</v>
      </c>
      <c r="F1400">
        <v>98</v>
      </c>
      <c r="G1400">
        <v>38</v>
      </c>
      <c r="H1400">
        <v>0.59</v>
      </c>
      <c r="I1400" t="s">
        <v>19</v>
      </c>
      <c r="J1400">
        <v>0</v>
      </c>
      <c r="K1400">
        <v>1</v>
      </c>
      <c r="L1400">
        <v>0</v>
      </c>
      <c r="M1400">
        <f>VLOOKUP(Table1[[#This Row],[subscription_type]],Plans!$A$1:$B$5,2,FALSE)</f>
        <v>9.99</v>
      </c>
      <c r="N1400">
        <f t="shared" si="21"/>
        <v>0</v>
      </c>
    </row>
    <row r="1401" spans="1:14" x14ac:dyDescent="0.35">
      <c r="A1401">
        <v>1400</v>
      </c>
      <c r="B1401" t="s">
        <v>16</v>
      </c>
      <c r="C1401">
        <v>17</v>
      </c>
      <c r="D1401" t="s">
        <v>17</v>
      </c>
      <c r="E1401" t="s">
        <v>18</v>
      </c>
      <c r="F1401">
        <v>29</v>
      </c>
      <c r="G1401">
        <v>33</v>
      </c>
      <c r="H1401">
        <v>0.55000000000000004</v>
      </c>
      <c r="I1401" t="s">
        <v>15</v>
      </c>
      <c r="J1401">
        <v>0</v>
      </c>
      <c r="K1401">
        <v>1</v>
      </c>
      <c r="L1401">
        <v>1</v>
      </c>
      <c r="M1401">
        <f>VLOOKUP(Table1[[#This Row],[subscription_type]],Plans!$A$1:$B$5,2,FALSE)</f>
        <v>14.99</v>
      </c>
      <c r="N1401">
        <f t="shared" si="21"/>
        <v>14.99</v>
      </c>
    </row>
    <row r="1402" spans="1:14" x14ac:dyDescent="0.35">
      <c r="A1402">
        <v>1401</v>
      </c>
      <c r="B1402" t="s">
        <v>12</v>
      </c>
      <c r="C1402">
        <v>43</v>
      </c>
      <c r="D1402" t="s">
        <v>26</v>
      </c>
      <c r="E1402" t="s">
        <v>14</v>
      </c>
      <c r="F1402">
        <v>21</v>
      </c>
      <c r="G1402">
        <v>16</v>
      </c>
      <c r="H1402">
        <v>0.34</v>
      </c>
      <c r="I1402" t="s">
        <v>15</v>
      </c>
      <c r="J1402">
        <v>38</v>
      </c>
      <c r="K1402">
        <v>0</v>
      </c>
      <c r="L1402">
        <v>0</v>
      </c>
      <c r="M1402">
        <f>VLOOKUP(Table1[[#This Row],[subscription_type]],Plans!$A$1:$B$5,2,FALSE)</f>
        <v>0</v>
      </c>
      <c r="N1402">
        <f t="shared" si="21"/>
        <v>0</v>
      </c>
    </row>
    <row r="1403" spans="1:14" x14ac:dyDescent="0.35">
      <c r="A1403">
        <v>1402</v>
      </c>
      <c r="B1403" t="s">
        <v>20</v>
      </c>
      <c r="C1403">
        <v>20</v>
      </c>
      <c r="D1403" t="s">
        <v>29</v>
      </c>
      <c r="E1403" t="s">
        <v>14</v>
      </c>
      <c r="F1403">
        <v>58</v>
      </c>
      <c r="G1403">
        <v>75</v>
      </c>
      <c r="H1403">
        <v>0.08</v>
      </c>
      <c r="I1403" t="s">
        <v>19</v>
      </c>
      <c r="J1403">
        <v>47</v>
      </c>
      <c r="K1403">
        <v>0</v>
      </c>
      <c r="L1403">
        <v>0</v>
      </c>
      <c r="M1403">
        <f>VLOOKUP(Table1[[#This Row],[subscription_type]],Plans!$A$1:$B$5,2,FALSE)</f>
        <v>0</v>
      </c>
      <c r="N1403">
        <f t="shared" si="21"/>
        <v>0</v>
      </c>
    </row>
    <row r="1404" spans="1:14" x14ac:dyDescent="0.35">
      <c r="A1404">
        <v>1403</v>
      </c>
      <c r="B1404" t="s">
        <v>20</v>
      </c>
      <c r="C1404">
        <v>42</v>
      </c>
      <c r="D1404" t="s">
        <v>17</v>
      </c>
      <c r="E1404" t="s">
        <v>18</v>
      </c>
      <c r="F1404">
        <v>292</v>
      </c>
      <c r="G1404">
        <v>64</v>
      </c>
      <c r="H1404">
        <v>0.09</v>
      </c>
      <c r="I1404" t="s">
        <v>19</v>
      </c>
      <c r="J1404">
        <v>0</v>
      </c>
      <c r="K1404">
        <v>1</v>
      </c>
      <c r="L1404">
        <v>0</v>
      </c>
      <c r="M1404">
        <f>VLOOKUP(Table1[[#This Row],[subscription_type]],Plans!$A$1:$B$5,2,FALSE)</f>
        <v>14.99</v>
      </c>
      <c r="N1404">
        <f t="shared" si="21"/>
        <v>0</v>
      </c>
    </row>
    <row r="1405" spans="1:14" x14ac:dyDescent="0.35">
      <c r="A1405">
        <v>1404</v>
      </c>
      <c r="B1405" t="s">
        <v>20</v>
      </c>
      <c r="C1405">
        <v>54</v>
      </c>
      <c r="D1405" t="s">
        <v>28</v>
      </c>
      <c r="E1405" t="s">
        <v>22</v>
      </c>
      <c r="F1405">
        <v>49</v>
      </c>
      <c r="G1405">
        <v>13</v>
      </c>
      <c r="H1405">
        <v>0.04</v>
      </c>
      <c r="I1405" t="s">
        <v>15</v>
      </c>
      <c r="J1405">
        <v>0</v>
      </c>
      <c r="K1405">
        <v>1</v>
      </c>
      <c r="L1405">
        <v>0</v>
      </c>
      <c r="M1405">
        <f>VLOOKUP(Table1[[#This Row],[subscription_type]],Plans!$A$1:$B$5,2,FALSE)</f>
        <v>9.99</v>
      </c>
      <c r="N1405">
        <f t="shared" si="21"/>
        <v>0</v>
      </c>
    </row>
    <row r="1406" spans="1:14" x14ac:dyDescent="0.35">
      <c r="A1406">
        <v>1405</v>
      </c>
      <c r="B1406" t="s">
        <v>20</v>
      </c>
      <c r="C1406">
        <v>41</v>
      </c>
      <c r="D1406" t="s">
        <v>17</v>
      </c>
      <c r="E1406" t="s">
        <v>22</v>
      </c>
      <c r="F1406">
        <v>126</v>
      </c>
      <c r="G1406">
        <v>86</v>
      </c>
      <c r="H1406">
        <v>0.33</v>
      </c>
      <c r="I1406" t="s">
        <v>19</v>
      </c>
      <c r="J1406">
        <v>0</v>
      </c>
      <c r="K1406">
        <v>1</v>
      </c>
      <c r="L1406">
        <v>1</v>
      </c>
      <c r="M1406">
        <f>VLOOKUP(Table1[[#This Row],[subscription_type]],Plans!$A$1:$B$5,2,FALSE)</f>
        <v>9.99</v>
      </c>
      <c r="N1406">
        <f t="shared" si="21"/>
        <v>9.99</v>
      </c>
    </row>
    <row r="1407" spans="1:14" x14ac:dyDescent="0.35">
      <c r="A1407">
        <v>1406</v>
      </c>
      <c r="B1407" t="s">
        <v>16</v>
      </c>
      <c r="C1407">
        <v>50</v>
      </c>
      <c r="D1407" t="s">
        <v>21</v>
      </c>
      <c r="E1407" t="s">
        <v>14</v>
      </c>
      <c r="F1407">
        <v>192</v>
      </c>
      <c r="G1407">
        <v>94</v>
      </c>
      <c r="H1407">
        <v>0.5</v>
      </c>
      <c r="I1407" t="s">
        <v>23</v>
      </c>
      <c r="J1407">
        <v>44</v>
      </c>
      <c r="K1407">
        <v>0</v>
      </c>
      <c r="L1407">
        <v>0</v>
      </c>
      <c r="M1407">
        <f>VLOOKUP(Table1[[#This Row],[subscription_type]],Plans!$A$1:$B$5,2,FALSE)</f>
        <v>0</v>
      </c>
      <c r="N1407">
        <f t="shared" si="21"/>
        <v>0</v>
      </c>
    </row>
    <row r="1408" spans="1:14" x14ac:dyDescent="0.35">
      <c r="A1408">
        <v>1407</v>
      </c>
      <c r="B1408" t="s">
        <v>20</v>
      </c>
      <c r="C1408">
        <v>28</v>
      </c>
      <c r="D1408" t="s">
        <v>29</v>
      </c>
      <c r="E1408" t="s">
        <v>18</v>
      </c>
      <c r="F1408">
        <v>294</v>
      </c>
      <c r="G1408">
        <v>41</v>
      </c>
      <c r="H1408">
        <v>0.15</v>
      </c>
      <c r="I1408" t="s">
        <v>15</v>
      </c>
      <c r="J1408">
        <v>0</v>
      </c>
      <c r="K1408">
        <v>1</v>
      </c>
      <c r="L1408">
        <v>0</v>
      </c>
      <c r="M1408">
        <f>VLOOKUP(Table1[[#This Row],[subscription_type]],Plans!$A$1:$B$5,2,FALSE)</f>
        <v>14.99</v>
      </c>
      <c r="N1408">
        <f t="shared" si="21"/>
        <v>0</v>
      </c>
    </row>
    <row r="1409" spans="1:14" x14ac:dyDescent="0.35">
      <c r="A1409">
        <v>1408</v>
      </c>
      <c r="B1409" t="s">
        <v>12</v>
      </c>
      <c r="C1409">
        <v>42</v>
      </c>
      <c r="D1409" t="s">
        <v>21</v>
      </c>
      <c r="E1409" t="s">
        <v>24</v>
      </c>
      <c r="F1409">
        <v>123</v>
      </c>
      <c r="G1409">
        <v>29</v>
      </c>
      <c r="H1409">
        <v>0.19</v>
      </c>
      <c r="I1409" t="s">
        <v>15</v>
      </c>
      <c r="J1409">
        <v>0</v>
      </c>
      <c r="K1409">
        <v>1</v>
      </c>
      <c r="L1409">
        <v>0</v>
      </c>
      <c r="M1409">
        <f>VLOOKUP(Table1[[#This Row],[subscription_type]],Plans!$A$1:$B$5,2,FALSE)</f>
        <v>4.99</v>
      </c>
      <c r="N1409">
        <f t="shared" si="21"/>
        <v>0</v>
      </c>
    </row>
    <row r="1410" spans="1:14" x14ac:dyDescent="0.35">
      <c r="A1410">
        <v>1409</v>
      </c>
      <c r="B1410" t="s">
        <v>16</v>
      </c>
      <c r="C1410">
        <v>31</v>
      </c>
      <c r="D1410" t="s">
        <v>28</v>
      </c>
      <c r="E1410" t="s">
        <v>22</v>
      </c>
      <c r="F1410">
        <v>139</v>
      </c>
      <c r="G1410">
        <v>16</v>
      </c>
      <c r="H1410">
        <v>0.13</v>
      </c>
      <c r="I1410" t="s">
        <v>15</v>
      </c>
      <c r="J1410">
        <v>0</v>
      </c>
      <c r="K1410">
        <v>1</v>
      </c>
      <c r="L1410">
        <v>0</v>
      </c>
      <c r="M1410">
        <f>VLOOKUP(Table1[[#This Row],[subscription_type]],Plans!$A$1:$B$5,2,FALSE)</f>
        <v>9.99</v>
      </c>
      <c r="N1410">
        <f t="shared" ref="N1410:N1473" si="22">IF(L1410=1, M1410,0)</f>
        <v>0</v>
      </c>
    </row>
    <row r="1411" spans="1:14" x14ac:dyDescent="0.35">
      <c r="A1411">
        <v>1410</v>
      </c>
      <c r="B1411" t="s">
        <v>20</v>
      </c>
      <c r="C1411">
        <v>34</v>
      </c>
      <c r="D1411" t="s">
        <v>21</v>
      </c>
      <c r="E1411" t="s">
        <v>22</v>
      </c>
      <c r="F1411">
        <v>55</v>
      </c>
      <c r="G1411">
        <v>17</v>
      </c>
      <c r="H1411">
        <v>0.39</v>
      </c>
      <c r="I1411" t="s">
        <v>19</v>
      </c>
      <c r="J1411">
        <v>0</v>
      </c>
      <c r="K1411">
        <v>1</v>
      </c>
      <c r="L1411">
        <v>0</v>
      </c>
      <c r="M1411">
        <f>VLOOKUP(Table1[[#This Row],[subscription_type]],Plans!$A$1:$B$5,2,FALSE)</f>
        <v>9.99</v>
      </c>
      <c r="N1411">
        <f t="shared" si="22"/>
        <v>0</v>
      </c>
    </row>
    <row r="1412" spans="1:14" x14ac:dyDescent="0.35">
      <c r="A1412">
        <v>1411</v>
      </c>
      <c r="B1412" t="s">
        <v>16</v>
      </c>
      <c r="C1412">
        <v>26</v>
      </c>
      <c r="D1412" t="s">
        <v>21</v>
      </c>
      <c r="E1412" t="s">
        <v>14</v>
      </c>
      <c r="F1412">
        <v>228</v>
      </c>
      <c r="G1412">
        <v>74</v>
      </c>
      <c r="H1412">
        <v>0.3</v>
      </c>
      <c r="I1412" t="s">
        <v>19</v>
      </c>
      <c r="J1412">
        <v>40</v>
      </c>
      <c r="K1412">
        <v>0</v>
      </c>
      <c r="L1412">
        <v>0</v>
      </c>
      <c r="M1412">
        <f>VLOOKUP(Table1[[#This Row],[subscription_type]],Plans!$A$1:$B$5,2,FALSE)</f>
        <v>0</v>
      </c>
      <c r="N1412">
        <f t="shared" si="22"/>
        <v>0</v>
      </c>
    </row>
    <row r="1413" spans="1:14" x14ac:dyDescent="0.35">
      <c r="A1413">
        <v>1412</v>
      </c>
      <c r="B1413" t="s">
        <v>12</v>
      </c>
      <c r="C1413">
        <v>45</v>
      </c>
      <c r="D1413" t="s">
        <v>17</v>
      </c>
      <c r="E1413" t="s">
        <v>24</v>
      </c>
      <c r="F1413">
        <v>204</v>
      </c>
      <c r="G1413">
        <v>93</v>
      </c>
      <c r="H1413">
        <v>0.33</v>
      </c>
      <c r="I1413" t="s">
        <v>15</v>
      </c>
      <c r="J1413">
        <v>0</v>
      </c>
      <c r="K1413">
        <v>1</v>
      </c>
      <c r="L1413">
        <v>0</v>
      </c>
      <c r="M1413">
        <f>VLOOKUP(Table1[[#This Row],[subscription_type]],Plans!$A$1:$B$5,2,FALSE)</f>
        <v>4.99</v>
      </c>
      <c r="N1413">
        <f t="shared" si="22"/>
        <v>0</v>
      </c>
    </row>
    <row r="1414" spans="1:14" x14ac:dyDescent="0.35">
      <c r="A1414">
        <v>1413</v>
      </c>
      <c r="B1414" t="s">
        <v>12</v>
      </c>
      <c r="C1414">
        <v>24</v>
      </c>
      <c r="D1414" t="s">
        <v>25</v>
      </c>
      <c r="E1414" t="s">
        <v>22</v>
      </c>
      <c r="F1414">
        <v>199</v>
      </c>
      <c r="G1414">
        <v>81</v>
      </c>
      <c r="H1414">
        <v>0.26</v>
      </c>
      <c r="I1414" t="s">
        <v>19</v>
      </c>
      <c r="J1414">
        <v>0</v>
      </c>
      <c r="K1414">
        <v>1</v>
      </c>
      <c r="L1414">
        <v>0</v>
      </c>
      <c r="M1414">
        <f>VLOOKUP(Table1[[#This Row],[subscription_type]],Plans!$A$1:$B$5,2,FALSE)</f>
        <v>9.99</v>
      </c>
      <c r="N1414">
        <f t="shared" si="22"/>
        <v>0</v>
      </c>
    </row>
    <row r="1415" spans="1:14" x14ac:dyDescent="0.35">
      <c r="A1415">
        <v>1414</v>
      </c>
      <c r="B1415" t="s">
        <v>16</v>
      </c>
      <c r="C1415">
        <v>56</v>
      </c>
      <c r="D1415" t="s">
        <v>29</v>
      </c>
      <c r="E1415" t="s">
        <v>18</v>
      </c>
      <c r="F1415">
        <v>71</v>
      </c>
      <c r="G1415">
        <v>48</v>
      </c>
      <c r="H1415">
        <v>0.28000000000000003</v>
      </c>
      <c r="I1415" t="s">
        <v>19</v>
      </c>
      <c r="J1415">
        <v>0</v>
      </c>
      <c r="K1415">
        <v>1</v>
      </c>
      <c r="L1415">
        <v>0</v>
      </c>
      <c r="M1415">
        <f>VLOOKUP(Table1[[#This Row],[subscription_type]],Plans!$A$1:$B$5,2,FALSE)</f>
        <v>14.99</v>
      </c>
      <c r="N1415">
        <f t="shared" si="22"/>
        <v>0</v>
      </c>
    </row>
    <row r="1416" spans="1:14" x14ac:dyDescent="0.35">
      <c r="A1416">
        <v>1415</v>
      </c>
      <c r="B1416" t="s">
        <v>12</v>
      </c>
      <c r="C1416">
        <v>39</v>
      </c>
      <c r="D1416" t="s">
        <v>28</v>
      </c>
      <c r="E1416" t="s">
        <v>18</v>
      </c>
      <c r="F1416">
        <v>251</v>
      </c>
      <c r="G1416">
        <v>25</v>
      </c>
      <c r="H1416">
        <v>0.22</v>
      </c>
      <c r="I1416" t="s">
        <v>23</v>
      </c>
      <c r="J1416">
        <v>0</v>
      </c>
      <c r="K1416">
        <v>1</v>
      </c>
      <c r="L1416">
        <v>1</v>
      </c>
      <c r="M1416">
        <f>VLOOKUP(Table1[[#This Row],[subscription_type]],Plans!$A$1:$B$5,2,FALSE)</f>
        <v>14.99</v>
      </c>
      <c r="N1416">
        <f t="shared" si="22"/>
        <v>14.99</v>
      </c>
    </row>
    <row r="1417" spans="1:14" x14ac:dyDescent="0.35">
      <c r="A1417">
        <v>1416</v>
      </c>
      <c r="B1417" t="s">
        <v>16</v>
      </c>
      <c r="C1417">
        <v>51</v>
      </c>
      <c r="D1417" t="s">
        <v>27</v>
      </c>
      <c r="E1417" t="s">
        <v>18</v>
      </c>
      <c r="F1417">
        <v>77</v>
      </c>
      <c r="G1417">
        <v>25</v>
      </c>
      <c r="H1417">
        <v>0.24</v>
      </c>
      <c r="I1417" t="s">
        <v>15</v>
      </c>
      <c r="J1417">
        <v>0</v>
      </c>
      <c r="K1417">
        <v>1</v>
      </c>
      <c r="L1417">
        <v>0</v>
      </c>
      <c r="M1417">
        <f>VLOOKUP(Table1[[#This Row],[subscription_type]],Plans!$A$1:$B$5,2,FALSE)</f>
        <v>14.99</v>
      </c>
      <c r="N1417">
        <f t="shared" si="22"/>
        <v>0</v>
      </c>
    </row>
    <row r="1418" spans="1:14" x14ac:dyDescent="0.35">
      <c r="A1418">
        <v>1417</v>
      </c>
      <c r="B1418" t="s">
        <v>12</v>
      </c>
      <c r="C1418">
        <v>20</v>
      </c>
      <c r="D1418" t="s">
        <v>25</v>
      </c>
      <c r="E1418" t="s">
        <v>14</v>
      </c>
      <c r="F1418">
        <v>23</v>
      </c>
      <c r="G1418">
        <v>15</v>
      </c>
      <c r="H1418">
        <v>0.12</v>
      </c>
      <c r="I1418" t="s">
        <v>19</v>
      </c>
      <c r="J1418">
        <v>5</v>
      </c>
      <c r="K1418">
        <v>0</v>
      </c>
      <c r="L1418">
        <v>0</v>
      </c>
      <c r="M1418">
        <f>VLOOKUP(Table1[[#This Row],[subscription_type]],Plans!$A$1:$B$5,2,FALSE)</f>
        <v>0</v>
      </c>
      <c r="N1418">
        <f t="shared" si="22"/>
        <v>0</v>
      </c>
    </row>
    <row r="1419" spans="1:14" x14ac:dyDescent="0.35">
      <c r="A1419">
        <v>1418</v>
      </c>
      <c r="B1419" t="s">
        <v>16</v>
      </c>
      <c r="C1419">
        <v>19</v>
      </c>
      <c r="D1419" t="s">
        <v>27</v>
      </c>
      <c r="E1419" t="s">
        <v>24</v>
      </c>
      <c r="F1419">
        <v>30</v>
      </c>
      <c r="G1419">
        <v>19</v>
      </c>
      <c r="H1419">
        <v>0.26</v>
      </c>
      <c r="I1419" t="s">
        <v>15</v>
      </c>
      <c r="J1419">
        <v>0</v>
      </c>
      <c r="K1419">
        <v>1</v>
      </c>
      <c r="L1419">
        <v>0</v>
      </c>
      <c r="M1419">
        <f>VLOOKUP(Table1[[#This Row],[subscription_type]],Plans!$A$1:$B$5,2,FALSE)</f>
        <v>4.99</v>
      </c>
      <c r="N1419">
        <f t="shared" si="22"/>
        <v>0</v>
      </c>
    </row>
    <row r="1420" spans="1:14" x14ac:dyDescent="0.35">
      <c r="A1420">
        <v>1419</v>
      </c>
      <c r="B1420" t="s">
        <v>16</v>
      </c>
      <c r="C1420">
        <v>30</v>
      </c>
      <c r="D1420" t="s">
        <v>29</v>
      </c>
      <c r="E1420" t="s">
        <v>18</v>
      </c>
      <c r="F1420">
        <v>114</v>
      </c>
      <c r="G1420">
        <v>49</v>
      </c>
      <c r="H1420">
        <v>0.3</v>
      </c>
      <c r="I1420" t="s">
        <v>19</v>
      </c>
      <c r="J1420">
        <v>0</v>
      </c>
      <c r="K1420">
        <v>1</v>
      </c>
      <c r="L1420">
        <v>0</v>
      </c>
      <c r="M1420">
        <f>VLOOKUP(Table1[[#This Row],[subscription_type]],Plans!$A$1:$B$5,2,FALSE)</f>
        <v>14.99</v>
      </c>
      <c r="N1420">
        <f t="shared" si="22"/>
        <v>0</v>
      </c>
    </row>
    <row r="1421" spans="1:14" x14ac:dyDescent="0.35">
      <c r="A1421">
        <v>1420</v>
      </c>
      <c r="B1421" t="s">
        <v>16</v>
      </c>
      <c r="C1421">
        <v>43</v>
      </c>
      <c r="D1421" t="s">
        <v>29</v>
      </c>
      <c r="E1421" t="s">
        <v>14</v>
      </c>
      <c r="F1421">
        <v>48</v>
      </c>
      <c r="G1421">
        <v>78</v>
      </c>
      <c r="H1421">
        <v>0.36</v>
      </c>
      <c r="I1421" t="s">
        <v>23</v>
      </c>
      <c r="J1421">
        <v>19</v>
      </c>
      <c r="K1421">
        <v>0</v>
      </c>
      <c r="L1421">
        <v>0</v>
      </c>
      <c r="M1421">
        <f>VLOOKUP(Table1[[#This Row],[subscription_type]],Plans!$A$1:$B$5,2,FALSE)</f>
        <v>0</v>
      </c>
      <c r="N1421">
        <f t="shared" si="22"/>
        <v>0</v>
      </c>
    </row>
    <row r="1422" spans="1:14" x14ac:dyDescent="0.35">
      <c r="A1422">
        <v>1421</v>
      </c>
      <c r="B1422" t="s">
        <v>16</v>
      </c>
      <c r="C1422">
        <v>44</v>
      </c>
      <c r="D1422" t="s">
        <v>21</v>
      </c>
      <c r="E1422" t="s">
        <v>24</v>
      </c>
      <c r="F1422">
        <v>33</v>
      </c>
      <c r="G1422">
        <v>12</v>
      </c>
      <c r="H1422">
        <v>0.41</v>
      </c>
      <c r="I1422" t="s">
        <v>19</v>
      </c>
      <c r="J1422">
        <v>0</v>
      </c>
      <c r="K1422">
        <v>1</v>
      </c>
      <c r="L1422">
        <v>0</v>
      </c>
      <c r="M1422">
        <f>VLOOKUP(Table1[[#This Row],[subscription_type]],Plans!$A$1:$B$5,2,FALSE)</f>
        <v>4.99</v>
      </c>
      <c r="N1422">
        <f t="shared" si="22"/>
        <v>0</v>
      </c>
    </row>
    <row r="1423" spans="1:14" x14ac:dyDescent="0.35">
      <c r="A1423">
        <v>1422</v>
      </c>
      <c r="B1423" t="s">
        <v>12</v>
      </c>
      <c r="C1423">
        <v>59</v>
      </c>
      <c r="D1423" t="s">
        <v>17</v>
      </c>
      <c r="E1423" t="s">
        <v>22</v>
      </c>
      <c r="F1423">
        <v>121</v>
      </c>
      <c r="G1423">
        <v>62</v>
      </c>
      <c r="H1423">
        <v>0.41</v>
      </c>
      <c r="I1423" t="s">
        <v>15</v>
      </c>
      <c r="J1423">
        <v>0</v>
      </c>
      <c r="K1423">
        <v>1</v>
      </c>
      <c r="L1423">
        <v>1</v>
      </c>
      <c r="M1423">
        <f>VLOOKUP(Table1[[#This Row],[subscription_type]],Plans!$A$1:$B$5,2,FALSE)</f>
        <v>9.99</v>
      </c>
      <c r="N1423">
        <f t="shared" si="22"/>
        <v>9.99</v>
      </c>
    </row>
    <row r="1424" spans="1:14" x14ac:dyDescent="0.35">
      <c r="A1424">
        <v>1423</v>
      </c>
      <c r="B1424" t="s">
        <v>12</v>
      </c>
      <c r="C1424">
        <v>16</v>
      </c>
      <c r="D1424" t="s">
        <v>13</v>
      </c>
      <c r="E1424" t="s">
        <v>14</v>
      </c>
      <c r="F1424">
        <v>147</v>
      </c>
      <c r="G1424">
        <v>4</v>
      </c>
      <c r="H1424">
        <v>0.57999999999999996</v>
      </c>
      <c r="I1424" t="s">
        <v>19</v>
      </c>
      <c r="J1424">
        <v>47</v>
      </c>
      <c r="K1424">
        <v>0</v>
      </c>
      <c r="L1424">
        <v>0</v>
      </c>
      <c r="M1424">
        <f>VLOOKUP(Table1[[#This Row],[subscription_type]],Plans!$A$1:$B$5,2,FALSE)</f>
        <v>0</v>
      </c>
      <c r="N1424">
        <f t="shared" si="22"/>
        <v>0</v>
      </c>
    </row>
    <row r="1425" spans="1:14" x14ac:dyDescent="0.35">
      <c r="A1425">
        <v>1424</v>
      </c>
      <c r="B1425" t="s">
        <v>12</v>
      </c>
      <c r="C1425">
        <v>48</v>
      </c>
      <c r="D1425" t="s">
        <v>29</v>
      </c>
      <c r="E1425" t="s">
        <v>24</v>
      </c>
      <c r="F1425">
        <v>103</v>
      </c>
      <c r="G1425">
        <v>88</v>
      </c>
      <c r="H1425">
        <v>0.54</v>
      </c>
      <c r="I1425" t="s">
        <v>15</v>
      </c>
      <c r="J1425">
        <v>0</v>
      </c>
      <c r="K1425">
        <v>1</v>
      </c>
      <c r="L1425">
        <v>0</v>
      </c>
      <c r="M1425">
        <f>VLOOKUP(Table1[[#This Row],[subscription_type]],Plans!$A$1:$B$5,2,FALSE)</f>
        <v>4.99</v>
      </c>
      <c r="N1425">
        <f t="shared" si="22"/>
        <v>0</v>
      </c>
    </row>
    <row r="1426" spans="1:14" x14ac:dyDescent="0.35">
      <c r="A1426">
        <v>1425</v>
      </c>
      <c r="B1426" t="s">
        <v>12</v>
      </c>
      <c r="C1426">
        <v>33</v>
      </c>
      <c r="D1426" t="s">
        <v>17</v>
      </c>
      <c r="E1426" t="s">
        <v>22</v>
      </c>
      <c r="F1426">
        <v>222</v>
      </c>
      <c r="G1426">
        <v>10</v>
      </c>
      <c r="H1426">
        <v>0.27</v>
      </c>
      <c r="I1426" t="s">
        <v>23</v>
      </c>
      <c r="J1426">
        <v>0</v>
      </c>
      <c r="K1426">
        <v>1</v>
      </c>
      <c r="L1426">
        <v>0</v>
      </c>
      <c r="M1426">
        <f>VLOOKUP(Table1[[#This Row],[subscription_type]],Plans!$A$1:$B$5,2,FALSE)</f>
        <v>9.99</v>
      </c>
      <c r="N1426">
        <f t="shared" si="22"/>
        <v>0</v>
      </c>
    </row>
    <row r="1427" spans="1:14" x14ac:dyDescent="0.35">
      <c r="A1427">
        <v>1426</v>
      </c>
      <c r="B1427" t="s">
        <v>20</v>
      </c>
      <c r="C1427">
        <v>45</v>
      </c>
      <c r="D1427" t="s">
        <v>29</v>
      </c>
      <c r="E1427" t="s">
        <v>18</v>
      </c>
      <c r="F1427">
        <v>58</v>
      </c>
      <c r="G1427">
        <v>41</v>
      </c>
      <c r="H1427">
        <v>0.17</v>
      </c>
      <c r="I1427" t="s">
        <v>23</v>
      </c>
      <c r="J1427">
        <v>0</v>
      </c>
      <c r="K1427">
        <v>1</v>
      </c>
      <c r="L1427">
        <v>0</v>
      </c>
      <c r="M1427">
        <f>VLOOKUP(Table1[[#This Row],[subscription_type]],Plans!$A$1:$B$5,2,FALSE)</f>
        <v>14.99</v>
      </c>
      <c r="N1427">
        <f t="shared" si="22"/>
        <v>0</v>
      </c>
    </row>
    <row r="1428" spans="1:14" x14ac:dyDescent="0.35">
      <c r="A1428">
        <v>1427</v>
      </c>
      <c r="B1428" t="s">
        <v>16</v>
      </c>
      <c r="C1428">
        <v>27</v>
      </c>
      <c r="D1428" t="s">
        <v>29</v>
      </c>
      <c r="E1428" t="s">
        <v>18</v>
      </c>
      <c r="F1428">
        <v>297</v>
      </c>
      <c r="G1428">
        <v>30</v>
      </c>
      <c r="H1428">
        <v>7.0000000000000007E-2</v>
      </c>
      <c r="I1428" t="s">
        <v>15</v>
      </c>
      <c r="J1428">
        <v>0</v>
      </c>
      <c r="K1428">
        <v>1</v>
      </c>
      <c r="L1428">
        <v>0</v>
      </c>
      <c r="M1428">
        <f>VLOOKUP(Table1[[#This Row],[subscription_type]],Plans!$A$1:$B$5,2,FALSE)</f>
        <v>14.99</v>
      </c>
      <c r="N1428">
        <f t="shared" si="22"/>
        <v>0</v>
      </c>
    </row>
    <row r="1429" spans="1:14" x14ac:dyDescent="0.35">
      <c r="A1429">
        <v>1428</v>
      </c>
      <c r="B1429" t="s">
        <v>20</v>
      </c>
      <c r="C1429">
        <v>17</v>
      </c>
      <c r="D1429" t="s">
        <v>17</v>
      </c>
      <c r="E1429" t="s">
        <v>14</v>
      </c>
      <c r="F1429">
        <v>117</v>
      </c>
      <c r="G1429">
        <v>83</v>
      </c>
      <c r="H1429">
        <v>0.26</v>
      </c>
      <c r="I1429" t="s">
        <v>23</v>
      </c>
      <c r="J1429">
        <v>9</v>
      </c>
      <c r="K1429">
        <v>0</v>
      </c>
      <c r="L1429">
        <v>0</v>
      </c>
      <c r="M1429">
        <f>VLOOKUP(Table1[[#This Row],[subscription_type]],Plans!$A$1:$B$5,2,FALSE)</f>
        <v>0</v>
      </c>
      <c r="N1429">
        <f t="shared" si="22"/>
        <v>0</v>
      </c>
    </row>
    <row r="1430" spans="1:14" x14ac:dyDescent="0.35">
      <c r="A1430">
        <v>1429</v>
      </c>
      <c r="B1430" t="s">
        <v>16</v>
      </c>
      <c r="C1430">
        <v>49</v>
      </c>
      <c r="D1430" t="s">
        <v>28</v>
      </c>
      <c r="E1430" t="s">
        <v>22</v>
      </c>
      <c r="F1430">
        <v>131</v>
      </c>
      <c r="G1430">
        <v>49</v>
      </c>
      <c r="H1430">
        <v>0.04</v>
      </c>
      <c r="I1430" t="s">
        <v>23</v>
      </c>
      <c r="J1430">
        <v>0</v>
      </c>
      <c r="K1430">
        <v>1</v>
      </c>
      <c r="L1430">
        <v>0</v>
      </c>
      <c r="M1430">
        <f>VLOOKUP(Table1[[#This Row],[subscription_type]],Plans!$A$1:$B$5,2,FALSE)</f>
        <v>9.99</v>
      </c>
      <c r="N1430">
        <f t="shared" si="22"/>
        <v>0</v>
      </c>
    </row>
    <row r="1431" spans="1:14" x14ac:dyDescent="0.35">
      <c r="A1431">
        <v>1430</v>
      </c>
      <c r="B1431" t="s">
        <v>20</v>
      </c>
      <c r="C1431">
        <v>36</v>
      </c>
      <c r="D1431" t="s">
        <v>27</v>
      </c>
      <c r="E1431" t="s">
        <v>14</v>
      </c>
      <c r="F1431">
        <v>97</v>
      </c>
      <c r="G1431">
        <v>12</v>
      </c>
      <c r="H1431">
        <v>0.44</v>
      </c>
      <c r="I1431" t="s">
        <v>15</v>
      </c>
      <c r="J1431">
        <v>32</v>
      </c>
      <c r="K1431">
        <v>0</v>
      </c>
      <c r="L1431">
        <v>0</v>
      </c>
      <c r="M1431">
        <f>VLOOKUP(Table1[[#This Row],[subscription_type]],Plans!$A$1:$B$5,2,FALSE)</f>
        <v>0</v>
      </c>
      <c r="N1431">
        <f t="shared" si="22"/>
        <v>0</v>
      </c>
    </row>
    <row r="1432" spans="1:14" x14ac:dyDescent="0.35">
      <c r="A1432">
        <v>1431</v>
      </c>
      <c r="B1432" t="s">
        <v>12</v>
      </c>
      <c r="C1432">
        <v>53</v>
      </c>
      <c r="D1432" t="s">
        <v>17</v>
      </c>
      <c r="E1432" t="s">
        <v>18</v>
      </c>
      <c r="F1432">
        <v>112</v>
      </c>
      <c r="G1432">
        <v>35</v>
      </c>
      <c r="H1432">
        <v>0.42</v>
      </c>
      <c r="I1432" t="s">
        <v>19</v>
      </c>
      <c r="J1432">
        <v>0</v>
      </c>
      <c r="K1432">
        <v>1</v>
      </c>
      <c r="L1432">
        <v>1</v>
      </c>
      <c r="M1432">
        <f>VLOOKUP(Table1[[#This Row],[subscription_type]],Plans!$A$1:$B$5,2,FALSE)</f>
        <v>14.99</v>
      </c>
      <c r="N1432">
        <f t="shared" si="22"/>
        <v>14.99</v>
      </c>
    </row>
    <row r="1433" spans="1:14" x14ac:dyDescent="0.35">
      <c r="A1433">
        <v>1432</v>
      </c>
      <c r="B1433" t="s">
        <v>20</v>
      </c>
      <c r="C1433">
        <v>34</v>
      </c>
      <c r="D1433" t="s">
        <v>13</v>
      </c>
      <c r="E1433" t="s">
        <v>18</v>
      </c>
      <c r="F1433">
        <v>185</v>
      </c>
      <c r="G1433">
        <v>10</v>
      </c>
      <c r="H1433">
        <v>0.41</v>
      </c>
      <c r="I1433" t="s">
        <v>23</v>
      </c>
      <c r="J1433">
        <v>0</v>
      </c>
      <c r="K1433">
        <v>1</v>
      </c>
      <c r="L1433">
        <v>1</v>
      </c>
      <c r="M1433">
        <f>VLOOKUP(Table1[[#This Row],[subscription_type]],Plans!$A$1:$B$5,2,FALSE)</f>
        <v>14.99</v>
      </c>
      <c r="N1433">
        <f t="shared" si="22"/>
        <v>14.99</v>
      </c>
    </row>
    <row r="1434" spans="1:14" x14ac:dyDescent="0.35">
      <c r="A1434">
        <v>1433</v>
      </c>
      <c r="B1434" t="s">
        <v>16</v>
      </c>
      <c r="C1434">
        <v>36</v>
      </c>
      <c r="D1434" t="s">
        <v>27</v>
      </c>
      <c r="E1434" t="s">
        <v>18</v>
      </c>
      <c r="F1434">
        <v>131</v>
      </c>
      <c r="G1434">
        <v>16</v>
      </c>
      <c r="H1434">
        <v>0.5</v>
      </c>
      <c r="I1434" t="s">
        <v>15</v>
      </c>
      <c r="J1434">
        <v>0</v>
      </c>
      <c r="K1434">
        <v>1</v>
      </c>
      <c r="L1434">
        <v>0</v>
      </c>
      <c r="M1434">
        <f>VLOOKUP(Table1[[#This Row],[subscription_type]],Plans!$A$1:$B$5,2,FALSE)</f>
        <v>14.99</v>
      </c>
      <c r="N1434">
        <f t="shared" si="22"/>
        <v>0</v>
      </c>
    </row>
    <row r="1435" spans="1:14" x14ac:dyDescent="0.35">
      <c r="A1435">
        <v>1434</v>
      </c>
      <c r="B1435" t="s">
        <v>16</v>
      </c>
      <c r="C1435">
        <v>25</v>
      </c>
      <c r="D1435" t="s">
        <v>26</v>
      </c>
      <c r="E1435" t="s">
        <v>22</v>
      </c>
      <c r="F1435">
        <v>56</v>
      </c>
      <c r="G1435">
        <v>53</v>
      </c>
      <c r="H1435">
        <v>0.12</v>
      </c>
      <c r="I1435" t="s">
        <v>15</v>
      </c>
      <c r="J1435">
        <v>0</v>
      </c>
      <c r="K1435">
        <v>1</v>
      </c>
      <c r="L1435">
        <v>1</v>
      </c>
      <c r="M1435">
        <f>VLOOKUP(Table1[[#This Row],[subscription_type]],Plans!$A$1:$B$5,2,FALSE)</f>
        <v>9.99</v>
      </c>
      <c r="N1435">
        <f t="shared" si="22"/>
        <v>9.99</v>
      </c>
    </row>
    <row r="1436" spans="1:14" x14ac:dyDescent="0.35">
      <c r="A1436">
        <v>1435</v>
      </c>
      <c r="B1436" t="s">
        <v>12</v>
      </c>
      <c r="C1436">
        <v>43</v>
      </c>
      <c r="D1436" t="s">
        <v>28</v>
      </c>
      <c r="E1436" t="s">
        <v>24</v>
      </c>
      <c r="F1436">
        <v>64</v>
      </c>
      <c r="G1436">
        <v>53</v>
      </c>
      <c r="H1436">
        <v>0.4</v>
      </c>
      <c r="I1436" t="s">
        <v>15</v>
      </c>
      <c r="J1436">
        <v>0</v>
      </c>
      <c r="K1436">
        <v>1</v>
      </c>
      <c r="L1436">
        <v>1</v>
      </c>
      <c r="M1436">
        <f>VLOOKUP(Table1[[#This Row],[subscription_type]],Plans!$A$1:$B$5,2,FALSE)</f>
        <v>4.99</v>
      </c>
      <c r="N1436">
        <f t="shared" si="22"/>
        <v>4.99</v>
      </c>
    </row>
    <row r="1437" spans="1:14" x14ac:dyDescent="0.35">
      <c r="A1437">
        <v>1436</v>
      </c>
      <c r="B1437" t="s">
        <v>20</v>
      </c>
      <c r="C1437">
        <v>42</v>
      </c>
      <c r="D1437" t="s">
        <v>21</v>
      </c>
      <c r="E1437" t="s">
        <v>18</v>
      </c>
      <c r="F1437">
        <v>160</v>
      </c>
      <c r="G1437">
        <v>91</v>
      </c>
      <c r="H1437">
        <v>0.27</v>
      </c>
      <c r="I1437" t="s">
        <v>23</v>
      </c>
      <c r="J1437">
        <v>0</v>
      </c>
      <c r="K1437">
        <v>1</v>
      </c>
      <c r="L1437">
        <v>0</v>
      </c>
      <c r="M1437">
        <f>VLOOKUP(Table1[[#This Row],[subscription_type]],Plans!$A$1:$B$5,2,FALSE)</f>
        <v>14.99</v>
      </c>
      <c r="N1437">
        <f t="shared" si="22"/>
        <v>0</v>
      </c>
    </row>
    <row r="1438" spans="1:14" x14ac:dyDescent="0.35">
      <c r="A1438">
        <v>1437</v>
      </c>
      <c r="B1438" t="s">
        <v>16</v>
      </c>
      <c r="C1438">
        <v>26</v>
      </c>
      <c r="D1438" t="s">
        <v>27</v>
      </c>
      <c r="E1438" t="s">
        <v>18</v>
      </c>
      <c r="F1438">
        <v>134</v>
      </c>
      <c r="G1438">
        <v>98</v>
      </c>
      <c r="H1438">
        <v>0.18</v>
      </c>
      <c r="I1438" t="s">
        <v>15</v>
      </c>
      <c r="J1438">
        <v>0</v>
      </c>
      <c r="K1438">
        <v>1</v>
      </c>
      <c r="L1438">
        <v>0</v>
      </c>
      <c r="M1438">
        <f>VLOOKUP(Table1[[#This Row],[subscription_type]],Plans!$A$1:$B$5,2,FALSE)</f>
        <v>14.99</v>
      </c>
      <c r="N1438">
        <f t="shared" si="22"/>
        <v>0</v>
      </c>
    </row>
    <row r="1439" spans="1:14" x14ac:dyDescent="0.35">
      <c r="A1439">
        <v>1438</v>
      </c>
      <c r="B1439" t="s">
        <v>20</v>
      </c>
      <c r="C1439">
        <v>16</v>
      </c>
      <c r="D1439" t="s">
        <v>26</v>
      </c>
      <c r="E1439" t="s">
        <v>22</v>
      </c>
      <c r="F1439">
        <v>160</v>
      </c>
      <c r="G1439">
        <v>15</v>
      </c>
      <c r="H1439">
        <v>0.03</v>
      </c>
      <c r="I1439" t="s">
        <v>15</v>
      </c>
      <c r="J1439">
        <v>0</v>
      </c>
      <c r="K1439">
        <v>1</v>
      </c>
      <c r="L1439">
        <v>0</v>
      </c>
      <c r="M1439">
        <f>VLOOKUP(Table1[[#This Row],[subscription_type]],Plans!$A$1:$B$5,2,FALSE)</f>
        <v>9.99</v>
      </c>
      <c r="N1439">
        <f t="shared" si="22"/>
        <v>0</v>
      </c>
    </row>
    <row r="1440" spans="1:14" x14ac:dyDescent="0.35">
      <c r="A1440">
        <v>1439</v>
      </c>
      <c r="B1440" t="s">
        <v>20</v>
      </c>
      <c r="C1440">
        <v>48</v>
      </c>
      <c r="D1440" t="s">
        <v>26</v>
      </c>
      <c r="E1440" t="s">
        <v>22</v>
      </c>
      <c r="F1440">
        <v>47</v>
      </c>
      <c r="G1440">
        <v>46</v>
      </c>
      <c r="H1440">
        <v>0.2</v>
      </c>
      <c r="I1440" t="s">
        <v>19</v>
      </c>
      <c r="J1440">
        <v>0</v>
      </c>
      <c r="K1440">
        <v>1</v>
      </c>
      <c r="L1440">
        <v>0</v>
      </c>
      <c r="M1440">
        <f>VLOOKUP(Table1[[#This Row],[subscription_type]],Plans!$A$1:$B$5,2,FALSE)</f>
        <v>9.99</v>
      </c>
      <c r="N1440">
        <f t="shared" si="22"/>
        <v>0</v>
      </c>
    </row>
    <row r="1441" spans="1:14" x14ac:dyDescent="0.35">
      <c r="A1441">
        <v>1440</v>
      </c>
      <c r="B1441" t="s">
        <v>20</v>
      </c>
      <c r="C1441">
        <v>53</v>
      </c>
      <c r="D1441" t="s">
        <v>25</v>
      </c>
      <c r="E1441" t="s">
        <v>14</v>
      </c>
      <c r="F1441">
        <v>15</v>
      </c>
      <c r="G1441">
        <v>26</v>
      </c>
      <c r="H1441">
        <v>0.02</v>
      </c>
      <c r="I1441" t="s">
        <v>23</v>
      </c>
      <c r="J1441">
        <v>29</v>
      </c>
      <c r="K1441">
        <v>0</v>
      </c>
      <c r="L1441">
        <v>1</v>
      </c>
      <c r="M1441">
        <f>VLOOKUP(Table1[[#This Row],[subscription_type]],Plans!$A$1:$B$5,2,FALSE)</f>
        <v>0</v>
      </c>
      <c r="N1441">
        <f t="shared" si="22"/>
        <v>0</v>
      </c>
    </row>
    <row r="1442" spans="1:14" x14ac:dyDescent="0.35">
      <c r="A1442">
        <v>1441</v>
      </c>
      <c r="B1442" t="s">
        <v>12</v>
      </c>
      <c r="C1442">
        <v>22</v>
      </c>
      <c r="D1442" t="s">
        <v>17</v>
      </c>
      <c r="E1442" t="s">
        <v>22</v>
      </c>
      <c r="F1442">
        <v>291</v>
      </c>
      <c r="G1442">
        <v>58</v>
      </c>
      <c r="H1442">
        <v>0.12</v>
      </c>
      <c r="I1442" t="s">
        <v>15</v>
      </c>
      <c r="J1442">
        <v>0</v>
      </c>
      <c r="K1442">
        <v>1</v>
      </c>
      <c r="L1442">
        <v>0</v>
      </c>
      <c r="M1442">
        <f>VLOOKUP(Table1[[#This Row],[subscription_type]],Plans!$A$1:$B$5,2,FALSE)</f>
        <v>9.99</v>
      </c>
      <c r="N1442">
        <f t="shared" si="22"/>
        <v>0</v>
      </c>
    </row>
    <row r="1443" spans="1:14" x14ac:dyDescent="0.35">
      <c r="A1443">
        <v>1442</v>
      </c>
      <c r="B1443" t="s">
        <v>16</v>
      </c>
      <c r="C1443">
        <v>19</v>
      </c>
      <c r="D1443" t="s">
        <v>26</v>
      </c>
      <c r="E1443" t="s">
        <v>14</v>
      </c>
      <c r="F1443">
        <v>75</v>
      </c>
      <c r="G1443">
        <v>21</v>
      </c>
      <c r="H1443">
        <v>0.24</v>
      </c>
      <c r="I1443" t="s">
        <v>15</v>
      </c>
      <c r="J1443">
        <v>10</v>
      </c>
      <c r="K1443">
        <v>0</v>
      </c>
      <c r="L1443">
        <v>0</v>
      </c>
      <c r="M1443">
        <f>VLOOKUP(Table1[[#This Row],[subscription_type]],Plans!$A$1:$B$5,2,FALSE)</f>
        <v>0</v>
      </c>
      <c r="N1443">
        <f t="shared" si="22"/>
        <v>0</v>
      </c>
    </row>
    <row r="1444" spans="1:14" x14ac:dyDescent="0.35">
      <c r="A1444">
        <v>1443</v>
      </c>
      <c r="B1444" t="s">
        <v>12</v>
      </c>
      <c r="C1444">
        <v>52</v>
      </c>
      <c r="D1444" t="s">
        <v>28</v>
      </c>
      <c r="E1444" t="s">
        <v>22</v>
      </c>
      <c r="F1444">
        <v>130</v>
      </c>
      <c r="G1444">
        <v>53</v>
      </c>
      <c r="H1444">
        <v>0.2</v>
      </c>
      <c r="I1444" t="s">
        <v>15</v>
      </c>
      <c r="J1444">
        <v>0</v>
      </c>
      <c r="K1444">
        <v>1</v>
      </c>
      <c r="L1444">
        <v>0</v>
      </c>
      <c r="M1444">
        <f>VLOOKUP(Table1[[#This Row],[subscription_type]],Plans!$A$1:$B$5,2,FALSE)</f>
        <v>9.99</v>
      </c>
      <c r="N1444">
        <f t="shared" si="22"/>
        <v>0</v>
      </c>
    </row>
    <row r="1445" spans="1:14" x14ac:dyDescent="0.35">
      <c r="A1445">
        <v>1444</v>
      </c>
      <c r="B1445" t="s">
        <v>16</v>
      </c>
      <c r="C1445">
        <v>20</v>
      </c>
      <c r="D1445" t="s">
        <v>28</v>
      </c>
      <c r="E1445" t="s">
        <v>22</v>
      </c>
      <c r="F1445">
        <v>96</v>
      </c>
      <c r="G1445">
        <v>50</v>
      </c>
      <c r="H1445">
        <v>0.49</v>
      </c>
      <c r="I1445" t="s">
        <v>15</v>
      </c>
      <c r="J1445">
        <v>0</v>
      </c>
      <c r="K1445">
        <v>1</v>
      </c>
      <c r="L1445">
        <v>1</v>
      </c>
      <c r="M1445">
        <f>VLOOKUP(Table1[[#This Row],[subscription_type]],Plans!$A$1:$B$5,2,FALSE)</f>
        <v>9.99</v>
      </c>
      <c r="N1445">
        <f t="shared" si="22"/>
        <v>9.99</v>
      </c>
    </row>
    <row r="1446" spans="1:14" x14ac:dyDescent="0.35">
      <c r="A1446">
        <v>1445</v>
      </c>
      <c r="B1446" t="s">
        <v>16</v>
      </c>
      <c r="C1446">
        <v>18</v>
      </c>
      <c r="D1446" t="s">
        <v>13</v>
      </c>
      <c r="E1446" t="s">
        <v>24</v>
      </c>
      <c r="F1446">
        <v>284</v>
      </c>
      <c r="G1446">
        <v>1</v>
      </c>
      <c r="H1446">
        <v>0.13</v>
      </c>
      <c r="I1446" t="s">
        <v>23</v>
      </c>
      <c r="J1446">
        <v>0</v>
      </c>
      <c r="K1446">
        <v>1</v>
      </c>
      <c r="L1446">
        <v>1</v>
      </c>
      <c r="M1446">
        <f>VLOOKUP(Table1[[#This Row],[subscription_type]],Plans!$A$1:$B$5,2,FALSE)</f>
        <v>4.99</v>
      </c>
      <c r="N1446">
        <f t="shared" si="22"/>
        <v>4.99</v>
      </c>
    </row>
    <row r="1447" spans="1:14" x14ac:dyDescent="0.35">
      <c r="A1447">
        <v>1446</v>
      </c>
      <c r="B1447" t="s">
        <v>16</v>
      </c>
      <c r="C1447">
        <v>40</v>
      </c>
      <c r="D1447" t="s">
        <v>28</v>
      </c>
      <c r="E1447" t="s">
        <v>24</v>
      </c>
      <c r="F1447">
        <v>173</v>
      </c>
      <c r="G1447">
        <v>56</v>
      </c>
      <c r="H1447">
        <v>0.39</v>
      </c>
      <c r="I1447" t="s">
        <v>19</v>
      </c>
      <c r="J1447">
        <v>0</v>
      </c>
      <c r="K1447">
        <v>1</v>
      </c>
      <c r="L1447">
        <v>0</v>
      </c>
      <c r="M1447">
        <f>VLOOKUP(Table1[[#This Row],[subscription_type]],Plans!$A$1:$B$5,2,FALSE)</f>
        <v>4.99</v>
      </c>
      <c r="N1447">
        <f t="shared" si="22"/>
        <v>0</v>
      </c>
    </row>
    <row r="1448" spans="1:14" x14ac:dyDescent="0.35">
      <c r="A1448">
        <v>1447</v>
      </c>
      <c r="B1448" t="s">
        <v>16</v>
      </c>
      <c r="C1448">
        <v>40</v>
      </c>
      <c r="D1448" t="s">
        <v>29</v>
      </c>
      <c r="E1448" t="s">
        <v>18</v>
      </c>
      <c r="F1448">
        <v>238</v>
      </c>
      <c r="G1448">
        <v>43</v>
      </c>
      <c r="H1448">
        <v>0.01</v>
      </c>
      <c r="I1448" t="s">
        <v>15</v>
      </c>
      <c r="J1448">
        <v>0</v>
      </c>
      <c r="K1448">
        <v>1</v>
      </c>
      <c r="L1448">
        <v>0</v>
      </c>
      <c r="M1448">
        <f>VLOOKUP(Table1[[#This Row],[subscription_type]],Plans!$A$1:$B$5,2,FALSE)</f>
        <v>14.99</v>
      </c>
      <c r="N1448">
        <f t="shared" si="22"/>
        <v>0</v>
      </c>
    </row>
    <row r="1449" spans="1:14" x14ac:dyDescent="0.35">
      <c r="A1449">
        <v>1448</v>
      </c>
      <c r="B1449" t="s">
        <v>16</v>
      </c>
      <c r="C1449">
        <v>38</v>
      </c>
      <c r="D1449" t="s">
        <v>29</v>
      </c>
      <c r="E1449" t="s">
        <v>14</v>
      </c>
      <c r="F1449">
        <v>52</v>
      </c>
      <c r="G1449">
        <v>14</v>
      </c>
      <c r="H1449">
        <v>0.49</v>
      </c>
      <c r="I1449" t="s">
        <v>23</v>
      </c>
      <c r="J1449">
        <v>8</v>
      </c>
      <c r="K1449">
        <v>0</v>
      </c>
      <c r="L1449">
        <v>0</v>
      </c>
      <c r="M1449">
        <f>VLOOKUP(Table1[[#This Row],[subscription_type]],Plans!$A$1:$B$5,2,FALSE)</f>
        <v>0</v>
      </c>
      <c r="N1449">
        <f t="shared" si="22"/>
        <v>0</v>
      </c>
    </row>
    <row r="1450" spans="1:14" x14ac:dyDescent="0.35">
      <c r="A1450">
        <v>1449</v>
      </c>
      <c r="B1450" t="s">
        <v>16</v>
      </c>
      <c r="C1450">
        <v>51</v>
      </c>
      <c r="D1450" t="s">
        <v>29</v>
      </c>
      <c r="E1450" t="s">
        <v>24</v>
      </c>
      <c r="F1450">
        <v>212</v>
      </c>
      <c r="G1450">
        <v>97</v>
      </c>
      <c r="H1450">
        <v>0.28999999999999998</v>
      </c>
      <c r="I1450" t="s">
        <v>19</v>
      </c>
      <c r="J1450">
        <v>0</v>
      </c>
      <c r="K1450">
        <v>1</v>
      </c>
      <c r="L1450">
        <v>0</v>
      </c>
      <c r="M1450">
        <f>VLOOKUP(Table1[[#This Row],[subscription_type]],Plans!$A$1:$B$5,2,FALSE)</f>
        <v>4.99</v>
      </c>
      <c r="N1450">
        <f t="shared" si="22"/>
        <v>0</v>
      </c>
    </row>
    <row r="1451" spans="1:14" x14ac:dyDescent="0.35">
      <c r="A1451">
        <v>1450</v>
      </c>
      <c r="B1451" t="s">
        <v>20</v>
      </c>
      <c r="C1451">
        <v>36</v>
      </c>
      <c r="D1451" t="s">
        <v>27</v>
      </c>
      <c r="E1451" t="s">
        <v>22</v>
      </c>
      <c r="F1451">
        <v>246</v>
      </c>
      <c r="G1451">
        <v>45</v>
      </c>
      <c r="H1451">
        <v>0.18</v>
      </c>
      <c r="I1451" t="s">
        <v>23</v>
      </c>
      <c r="J1451">
        <v>0</v>
      </c>
      <c r="K1451">
        <v>1</v>
      </c>
      <c r="L1451">
        <v>0</v>
      </c>
      <c r="M1451">
        <f>VLOOKUP(Table1[[#This Row],[subscription_type]],Plans!$A$1:$B$5,2,FALSE)</f>
        <v>9.99</v>
      </c>
      <c r="N1451">
        <f t="shared" si="22"/>
        <v>0</v>
      </c>
    </row>
    <row r="1452" spans="1:14" x14ac:dyDescent="0.35">
      <c r="A1452">
        <v>1451</v>
      </c>
      <c r="B1452" t="s">
        <v>20</v>
      </c>
      <c r="C1452">
        <v>51</v>
      </c>
      <c r="D1452" t="s">
        <v>13</v>
      </c>
      <c r="E1452" t="s">
        <v>18</v>
      </c>
      <c r="F1452">
        <v>59</v>
      </c>
      <c r="G1452">
        <v>88</v>
      </c>
      <c r="H1452">
        <v>0.14000000000000001</v>
      </c>
      <c r="I1452" t="s">
        <v>23</v>
      </c>
      <c r="J1452">
        <v>0</v>
      </c>
      <c r="K1452">
        <v>1</v>
      </c>
      <c r="L1452">
        <v>1</v>
      </c>
      <c r="M1452">
        <f>VLOOKUP(Table1[[#This Row],[subscription_type]],Plans!$A$1:$B$5,2,FALSE)</f>
        <v>14.99</v>
      </c>
      <c r="N1452">
        <f t="shared" si="22"/>
        <v>14.99</v>
      </c>
    </row>
    <row r="1453" spans="1:14" x14ac:dyDescent="0.35">
      <c r="A1453">
        <v>1452</v>
      </c>
      <c r="B1453" t="s">
        <v>20</v>
      </c>
      <c r="C1453">
        <v>40</v>
      </c>
      <c r="D1453" t="s">
        <v>13</v>
      </c>
      <c r="E1453" t="s">
        <v>24</v>
      </c>
      <c r="F1453">
        <v>250</v>
      </c>
      <c r="G1453">
        <v>81</v>
      </c>
      <c r="H1453">
        <v>0.34</v>
      </c>
      <c r="I1453" t="s">
        <v>19</v>
      </c>
      <c r="J1453">
        <v>0</v>
      </c>
      <c r="K1453">
        <v>1</v>
      </c>
      <c r="L1453">
        <v>0</v>
      </c>
      <c r="M1453">
        <f>VLOOKUP(Table1[[#This Row],[subscription_type]],Plans!$A$1:$B$5,2,FALSE)</f>
        <v>4.99</v>
      </c>
      <c r="N1453">
        <f t="shared" si="22"/>
        <v>0</v>
      </c>
    </row>
    <row r="1454" spans="1:14" x14ac:dyDescent="0.35">
      <c r="A1454">
        <v>1453</v>
      </c>
      <c r="B1454" t="s">
        <v>16</v>
      </c>
      <c r="C1454">
        <v>25</v>
      </c>
      <c r="D1454" t="s">
        <v>29</v>
      </c>
      <c r="E1454" t="s">
        <v>14</v>
      </c>
      <c r="F1454">
        <v>138</v>
      </c>
      <c r="G1454">
        <v>7</v>
      </c>
      <c r="H1454">
        <v>0.37</v>
      </c>
      <c r="I1454" t="s">
        <v>23</v>
      </c>
      <c r="J1454">
        <v>9</v>
      </c>
      <c r="K1454">
        <v>0</v>
      </c>
      <c r="L1454">
        <v>0</v>
      </c>
      <c r="M1454">
        <f>VLOOKUP(Table1[[#This Row],[subscription_type]],Plans!$A$1:$B$5,2,FALSE)</f>
        <v>0</v>
      </c>
      <c r="N1454">
        <f t="shared" si="22"/>
        <v>0</v>
      </c>
    </row>
    <row r="1455" spans="1:14" x14ac:dyDescent="0.35">
      <c r="A1455">
        <v>1454</v>
      </c>
      <c r="B1455" t="s">
        <v>16</v>
      </c>
      <c r="C1455">
        <v>45</v>
      </c>
      <c r="D1455" t="s">
        <v>28</v>
      </c>
      <c r="E1455" t="s">
        <v>22</v>
      </c>
      <c r="F1455">
        <v>75</v>
      </c>
      <c r="G1455">
        <v>4</v>
      </c>
      <c r="H1455">
        <v>0.17</v>
      </c>
      <c r="I1455" t="s">
        <v>19</v>
      </c>
      <c r="J1455">
        <v>0</v>
      </c>
      <c r="K1455">
        <v>1</v>
      </c>
      <c r="L1455">
        <v>1</v>
      </c>
      <c r="M1455">
        <f>VLOOKUP(Table1[[#This Row],[subscription_type]],Plans!$A$1:$B$5,2,FALSE)</f>
        <v>9.99</v>
      </c>
      <c r="N1455">
        <f t="shared" si="22"/>
        <v>9.99</v>
      </c>
    </row>
    <row r="1456" spans="1:14" x14ac:dyDescent="0.35">
      <c r="A1456">
        <v>1455</v>
      </c>
      <c r="B1456" t="s">
        <v>16</v>
      </c>
      <c r="C1456">
        <v>30</v>
      </c>
      <c r="D1456" t="s">
        <v>17</v>
      </c>
      <c r="E1456" t="s">
        <v>22</v>
      </c>
      <c r="F1456">
        <v>53</v>
      </c>
      <c r="G1456">
        <v>92</v>
      </c>
      <c r="H1456">
        <v>0.22</v>
      </c>
      <c r="I1456" t="s">
        <v>23</v>
      </c>
      <c r="J1456">
        <v>0</v>
      </c>
      <c r="K1456">
        <v>1</v>
      </c>
      <c r="L1456">
        <v>0</v>
      </c>
      <c r="M1456">
        <f>VLOOKUP(Table1[[#This Row],[subscription_type]],Plans!$A$1:$B$5,2,FALSE)</f>
        <v>9.99</v>
      </c>
      <c r="N1456">
        <f t="shared" si="22"/>
        <v>0</v>
      </c>
    </row>
    <row r="1457" spans="1:14" x14ac:dyDescent="0.35">
      <c r="A1457">
        <v>1456</v>
      </c>
      <c r="B1457" t="s">
        <v>16</v>
      </c>
      <c r="C1457">
        <v>47</v>
      </c>
      <c r="D1457" t="s">
        <v>13</v>
      </c>
      <c r="E1457" t="s">
        <v>14</v>
      </c>
      <c r="F1457">
        <v>168</v>
      </c>
      <c r="G1457">
        <v>25</v>
      </c>
      <c r="H1457">
        <v>0.35</v>
      </c>
      <c r="I1457" t="s">
        <v>19</v>
      </c>
      <c r="J1457">
        <v>6</v>
      </c>
      <c r="K1457">
        <v>0</v>
      </c>
      <c r="L1457">
        <v>1</v>
      </c>
      <c r="M1457">
        <f>VLOOKUP(Table1[[#This Row],[subscription_type]],Plans!$A$1:$B$5,2,FALSE)</f>
        <v>0</v>
      </c>
      <c r="N1457">
        <f t="shared" si="22"/>
        <v>0</v>
      </c>
    </row>
    <row r="1458" spans="1:14" x14ac:dyDescent="0.35">
      <c r="A1458">
        <v>1457</v>
      </c>
      <c r="B1458" t="s">
        <v>12</v>
      </c>
      <c r="C1458">
        <v>30</v>
      </c>
      <c r="D1458" t="s">
        <v>27</v>
      </c>
      <c r="E1458" t="s">
        <v>22</v>
      </c>
      <c r="F1458">
        <v>109</v>
      </c>
      <c r="G1458">
        <v>76</v>
      </c>
      <c r="H1458">
        <v>0.41</v>
      </c>
      <c r="I1458" t="s">
        <v>15</v>
      </c>
      <c r="J1458">
        <v>0</v>
      </c>
      <c r="K1458">
        <v>1</v>
      </c>
      <c r="L1458">
        <v>0</v>
      </c>
      <c r="M1458">
        <f>VLOOKUP(Table1[[#This Row],[subscription_type]],Plans!$A$1:$B$5,2,FALSE)</f>
        <v>9.99</v>
      </c>
      <c r="N1458">
        <f t="shared" si="22"/>
        <v>0</v>
      </c>
    </row>
    <row r="1459" spans="1:14" x14ac:dyDescent="0.35">
      <c r="A1459">
        <v>1458</v>
      </c>
      <c r="B1459" t="s">
        <v>12</v>
      </c>
      <c r="C1459">
        <v>46</v>
      </c>
      <c r="D1459" t="s">
        <v>26</v>
      </c>
      <c r="E1459" t="s">
        <v>14</v>
      </c>
      <c r="F1459">
        <v>22</v>
      </c>
      <c r="G1459">
        <v>63</v>
      </c>
      <c r="H1459">
        <v>0.36</v>
      </c>
      <c r="I1459" t="s">
        <v>15</v>
      </c>
      <c r="J1459">
        <v>37</v>
      </c>
      <c r="K1459">
        <v>0</v>
      </c>
      <c r="L1459">
        <v>0</v>
      </c>
      <c r="M1459">
        <f>VLOOKUP(Table1[[#This Row],[subscription_type]],Plans!$A$1:$B$5,2,FALSE)</f>
        <v>0</v>
      </c>
      <c r="N1459">
        <f t="shared" si="22"/>
        <v>0</v>
      </c>
    </row>
    <row r="1460" spans="1:14" x14ac:dyDescent="0.35">
      <c r="A1460">
        <v>1459</v>
      </c>
      <c r="B1460" t="s">
        <v>12</v>
      </c>
      <c r="C1460">
        <v>59</v>
      </c>
      <c r="D1460" t="s">
        <v>28</v>
      </c>
      <c r="E1460" t="s">
        <v>24</v>
      </c>
      <c r="F1460">
        <v>188</v>
      </c>
      <c r="G1460">
        <v>85</v>
      </c>
      <c r="H1460">
        <v>0.55000000000000004</v>
      </c>
      <c r="I1460" t="s">
        <v>15</v>
      </c>
      <c r="J1460">
        <v>0</v>
      </c>
      <c r="K1460">
        <v>1</v>
      </c>
      <c r="L1460">
        <v>1</v>
      </c>
      <c r="M1460">
        <f>VLOOKUP(Table1[[#This Row],[subscription_type]],Plans!$A$1:$B$5,2,FALSE)</f>
        <v>4.99</v>
      </c>
      <c r="N1460">
        <f t="shared" si="22"/>
        <v>4.99</v>
      </c>
    </row>
    <row r="1461" spans="1:14" x14ac:dyDescent="0.35">
      <c r="A1461">
        <v>1460</v>
      </c>
      <c r="B1461" t="s">
        <v>16</v>
      </c>
      <c r="C1461">
        <v>41</v>
      </c>
      <c r="D1461" t="s">
        <v>28</v>
      </c>
      <c r="E1461" t="s">
        <v>18</v>
      </c>
      <c r="F1461">
        <v>12</v>
      </c>
      <c r="G1461">
        <v>41</v>
      </c>
      <c r="H1461">
        <v>0.41</v>
      </c>
      <c r="I1461" t="s">
        <v>15</v>
      </c>
      <c r="J1461">
        <v>0</v>
      </c>
      <c r="K1461">
        <v>1</v>
      </c>
      <c r="L1461">
        <v>0</v>
      </c>
      <c r="M1461">
        <f>VLOOKUP(Table1[[#This Row],[subscription_type]],Plans!$A$1:$B$5,2,FALSE)</f>
        <v>14.99</v>
      </c>
      <c r="N1461">
        <f t="shared" si="22"/>
        <v>0</v>
      </c>
    </row>
    <row r="1462" spans="1:14" x14ac:dyDescent="0.35">
      <c r="A1462">
        <v>1461</v>
      </c>
      <c r="B1462" t="s">
        <v>20</v>
      </c>
      <c r="C1462">
        <v>55</v>
      </c>
      <c r="D1462" t="s">
        <v>21</v>
      </c>
      <c r="E1462" t="s">
        <v>14</v>
      </c>
      <c r="F1462">
        <v>62</v>
      </c>
      <c r="G1462">
        <v>20</v>
      </c>
      <c r="H1462">
        <v>0.56999999999999995</v>
      </c>
      <c r="I1462" t="s">
        <v>15</v>
      </c>
      <c r="J1462">
        <v>28</v>
      </c>
      <c r="K1462">
        <v>0</v>
      </c>
      <c r="L1462">
        <v>0</v>
      </c>
      <c r="M1462">
        <f>VLOOKUP(Table1[[#This Row],[subscription_type]],Plans!$A$1:$B$5,2,FALSE)</f>
        <v>0</v>
      </c>
      <c r="N1462">
        <f t="shared" si="22"/>
        <v>0</v>
      </c>
    </row>
    <row r="1463" spans="1:14" x14ac:dyDescent="0.35">
      <c r="A1463">
        <v>1462</v>
      </c>
      <c r="B1463" t="s">
        <v>12</v>
      </c>
      <c r="C1463">
        <v>30</v>
      </c>
      <c r="D1463" t="s">
        <v>21</v>
      </c>
      <c r="E1463" t="s">
        <v>14</v>
      </c>
      <c r="F1463">
        <v>278</v>
      </c>
      <c r="G1463">
        <v>11</v>
      </c>
      <c r="H1463">
        <v>0.27</v>
      </c>
      <c r="I1463" t="s">
        <v>23</v>
      </c>
      <c r="J1463">
        <v>15</v>
      </c>
      <c r="K1463">
        <v>0</v>
      </c>
      <c r="L1463">
        <v>0</v>
      </c>
      <c r="M1463">
        <f>VLOOKUP(Table1[[#This Row],[subscription_type]],Plans!$A$1:$B$5,2,FALSE)</f>
        <v>0</v>
      </c>
      <c r="N1463">
        <f t="shared" si="22"/>
        <v>0</v>
      </c>
    </row>
    <row r="1464" spans="1:14" x14ac:dyDescent="0.35">
      <c r="A1464">
        <v>1463</v>
      </c>
      <c r="B1464" t="s">
        <v>20</v>
      </c>
      <c r="C1464">
        <v>59</v>
      </c>
      <c r="D1464" t="s">
        <v>28</v>
      </c>
      <c r="E1464" t="s">
        <v>18</v>
      </c>
      <c r="F1464">
        <v>34</v>
      </c>
      <c r="G1464">
        <v>85</v>
      </c>
      <c r="H1464">
        <v>0.3</v>
      </c>
      <c r="I1464" t="s">
        <v>19</v>
      </c>
      <c r="J1464">
        <v>0</v>
      </c>
      <c r="K1464">
        <v>1</v>
      </c>
      <c r="L1464">
        <v>1</v>
      </c>
      <c r="M1464">
        <f>VLOOKUP(Table1[[#This Row],[subscription_type]],Plans!$A$1:$B$5,2,FALSE)</f>
        <v>14.99</v>
      </c>
      <c r="N1464">
        <f t="shared" si="22"/>
        <v>14.99</v>
      </c>
    </row>
    <row r="1465" spans="1:14" x14ac:dyDescent="0.35">
      <c r="A1465">
        <v>1464</v>
      </c>
      <c r="B1465" t="s">
        <v>16</v>
      </c>
      <c r="C1465">
        <v>26</v>
      </c>
      <c r="D1465" t="s">
        <v>25</v>
      </c>
      <c r="E1465" t="s">
        <v>18</v>
      </c>
      <c r="F1465">
        <v>28</v>
      </c>
      <c r="G1465">
        <v>28</v>
      </c>
      <c r="H1465">
        <v>0.31</v>
      </c>
      <c r="I1465" t="s">
        <v>15</v>
      </c>
      <c r="J1465">
        <v>0</v>
      </c>
      <c r="K1465">
        <v>1</v>
      </c>
      <c r="L1465">
        <v>1</v>
      </c>
      <c r="M1465">
        <f>VLOOKUP(Table1[[#This Row],[subscription_type]],Plans!$A$1:$B$5,2,FALSE)</f>
        <v>14.99</v>
      </c>
      <c r="N1465">
        <f t="shared" si="22"/>
        <v>14.99</v>
      </c>
    </row>
    <row r="1466" spans="1:14" x14ac:dyDescent="0.35">
      <c r="A1466">
        <v>1465</v>
      </c>
      <c r="B1466" t="s">
        <v>12</v>
      </c>
      <c r="C1466">
        <v>34</v>
      </c>
      <c r="D1466" t="s">
        <v>26</v>
      </c>
      <c r="E1466" t="s">
        <v>14</v>
      </c>
      <c r="F1466">
        <v>175</v>
      </c>
      <c r="G1466">
        <v>14</v>
      </c>
      <c r="H1466">
        <v>7.0000000000000007E-2</v>
      </c>
      <c r="I1466" t="s">
        <v>15</v>
      </c>
      <c r="J1466">
        <v>48</v>
      </c>
      <c r="K1466">
        <v>0</v>
      </c>
      <c r="L1466">
        <v>0</v>
      </c>
      <c r="M1466">
        <f>VLOOKUP(Table1[[#This Row],[subscription_type]],Plans!$A$1:$B$5,2,FALSE)</f>
        <v>0</v>
      </c>
      <c r="N1466">
        <f t="shared" si="22"/>
        <v>0</v>
      </c>
    </row>
    <row r="1467" spans="1:14" x14ac:dyDescent="0.35">
      <c r="A1467">
        <v>1466</v>
      </c>
      <c r="B1467" t="s">
        <v>20</v>
      </c>
      <c r="C1467">
        <v>44</v>
      </c>
      <c r="D1467" t="s">
        <v>28</v>
      </c>
      <c r="E1467" t="s">
        <v>18</v>
      </c>
      <c r="F1467">
        <v>217</v>
      </c>
      <c r="G1467">
        <v>31</v>
      </c>
      <c r="H1467">
        <v>0.01</v>
      </c>
      <c r="I1467" t="s">
        <v>19</v>
      </c>
      <c r="J1467">
        <v>0</v>
      </c>
      <c r="K1467">
        <v>1</v>
      </c>
      <c r="L1467">
        <v>0</v>
      </c>
      <c r="M1467">
        <f>VLOOKUP(Table1[[#This Row],[subscription_type]],Plans!$A$1:$B$5,2,FALSE)</f>
        <v>14.99</v>
      </c>
      <c r="N1467">
        <f t="shared" si="22"/>
        <v>0</v>
      </c>
    </row>
    <row r="1468" spans="1:14" x14ac:dyDescent="0.35">
      <c r="A1468">
        <v>1467</v>
      </c>
      <c r="B1468" t="s">
        <v>16</v>
      </c>
      <c r="C1468">
        <v>45</v>
      </c>
      <c r="D1468" t="s">
        <v>26</v>
      </c>
      <c r="E1468" t="s">
        <v>14</v>
      </c>
      <c r="F1468">
        <v>178</v>
      </c>
      <c r="G1468">
        <v>92</v>
      </c>
      <c r="H1468">
        <v>0.08</v>
      </c>
      <c r="I1468" t="s">
        <v>19</v>
      </c>
      <c r="J1468">
        <v>16</v>
      </c>
      <c r="K1468">
        <v>0</v>
      </c>
      <c r="L1468">
        <v>1</v>
      </c>
      <c r="M1468">
        <f>VLOOKUP(Table1[[#This Row],[subscription_type]],Plans!$A$1:$B$5,2,FALSE)</f>
        <v>0</v>
      </c>
      <c r="N1468">
        <f t="shared" si="22"/>
        <v>0</v>
      </c>
    </row>
    <row r="1469" spans="1:14" x14ac:dyDescent="0.35">
      <c r="A1469">
        <v>1468</v>
      </c>
      <c r="B1469" t="s">
        <v>16</v>
      </c>
      <c r="C1469">
        <v>37</v>
      </c>
      <c r="D1469" t="s">
        <v>25</v>
      </c>
      <c r="E1469" t="s">
        <v>18</v>
      </c>
      <c r="F1469">
        <v>135</v>
      </c>
      <c r="G1469">
        <v>47</v>
      </c>
      <c r="H1469">
        <v>0.42</v>
      </c>
      <c r="I1469" t="s">
        <v>23</v>
      </c>
      <c r="J1469">
        <v>0</v>
      </c>
      <c r="K1469">
        <v>1</v>
      </c>
      <c r="L1469">
        <v>0</v>
      </c>
      <c r="M1469">
        <f>VLOOKUP(Table1[[#This Row],[subscription_type]],Plans!$A$1:$B$5,2,FALSE)</f>
        <v>14.99</v>
      </c>
      <c r="N1469">
        <f t="shared" si="22"/>
        <v>0</v>
      </c>
    </row>
    <row r="1470" spans="1:14" x14ac:dyDescent="0.35">
      <c r="A1470">
        <v>1469</v>
      </c>
      <c r="B1470" t="s">
        <v>16</v>
      </c>
      <c r="C1470">
        <v>24</v>
      </c>
      <c r="D1470" t="s">
        <v>27</v>
      </c>
      <c r="E1470" t="s">
        <v>22</v>
      </c>
      <c r="F1470">
        <v>216</v>
      </c>
      <c r="G1470">
        <v>40</v>
      </c>
      <c r="H1470">
        <v>0.4</v>
      </c>
      <c r="I1470" t="s">
        <v>19</v>
      </c>
      <c r="J1470">
        <v>0</v>
      </c>
      <c r="K1470">
        <v>1</v>
      </c>
      <c r="L1470">
        <v>0</v>
      </c>
      <c r="M1470">
        <f>VLOOKUP(Table1[[#This Row],[subscription_type]],Plans!$A$1:$B$5,2,FALSE)</f>
        <v>9.99</v>
      </c>
      <c r="N1470">
        <f t="shared" si="22"/>
        <v>0</v>
      </c>
    </row>
    <row r="1471" spans="1:14" x14ac:dyDescent="0.35">
      <c r="A1471">
        <v>1470</v>
      </c>
      <c r="B1471" t="s">
        <v>16</v>
      </c>
      <c r="C1471">
        <v>29</v>
      </c>
      <c r="D1471" t="s">
        <v>25</v>
      </c>
      <c r="E1471" t="s">
        <v>18</v>
      </c>
      <c r="F1471">
        <v>203</v>
      </c>
      <c r="G1471">
        <v>93</v>
      </c>
      <c r="H1471">
        <v>0.26</v>
      </c>
      <c r="I1471" t="s">
        <v>19</v>
      </c>
      <c r="J1471">
        <v>0</v>
      </c>
      <c r="K1471">
        <v>1</v>
      </c>
      <c r="L1471">
        <v>1</v>
      </c>
      <c r="M1471">
        <f>VLOOKUP(Table1[[#This Row],[subscription_type]],Plans!$A$1:$B$5,2,FALSE)</f>
        <v>14.99</v>
      </c>
      <c r="N1471">
        <f t="shared" si="22"/>
        <v>14.99</v>
      </c>
    </row>
    <row r="1472" spans="1:14" x14ac:dyDescent="0.35">
      <c r="A1472">
        <v>1471</v>
      </c>
      <c r="B1472" t="s">
        <v>20</v>
      </c>
      <c r="C1472">
        <v>23</v>
      </c>
      <c r="D1472" t="s">
        <v>17</v>
      </c>
      <c r="E1472" t="s">
        <v>24</v>
      </c>
      <c r="F1472">
        <v>69</v>
      </c>
      <c r="G1472">
        <v>14</v>
      </c>
      <c r="H1472">
        <v>0.04</v>
      </c>
      <c r="I1472" t="s">
        <v>23</v>
      </c>
      <c r="J1472">
        <v>0</v>
      </c>
      <c r="K1472">
        <v>1</v>
      </c>
      <c r="L1472">
        <v>1</v>
      </c>
      <c r="M1472">
        <f>VLOOKUP(Table1[[#This Row],[subscription_type]],Plans!$A$1:$B$5,2,FALSE)</f>
        <v>4.99</v>
      </c>
      <c r="N1472">
        <f t="shared" si="22"/>
        <v>4.99</v>
      </c>
    </row>
    <row r="1473" spans="1:14" x14ac:dyDescent="0.35">
      <c r="A1473">
        <v>1472</v>
      </c>
      <c r="B1473" t="s">
        <v>20</v>
      </c>
      <c r="C1473">
        <v>28</v>
      </c>
      <c r="D1473" t="s">
        <v>28</v>
      </c>
      <c r="E1473" t="s">
        <v>22</v>
      </c>
      <c r="F1473">
        <v>280</v>
      </c>
      <c r="G1473">
        <v>9</v>
      </c>
      <c r="H1473">
        <v>0.33</v>
      </c>
      <c r="I1473" t="s">
        <v>23</v>
      </c>
      <c r="J1473">
        <v>0</v>
      </c>
      <c r="K1473">
        <v>1</v>
      </c>
      <c r="L1473">
        <v>0</v>
      </c>
      <c r="M1473">
        <f>VLOOKUP(Table1[[#This Row],[subscription_type]],Plans!$A$1:$B$5,2,FALSE)</f>
        <v>9.99</v>
      </c>
      <c r="N1473">
        <f t="shared" si="22"/>
        <v>0</v>
      </c>
    </row>
    <row r="1474" spans="1:14" x14ac:dyDescent="0.35">
      <c r="A1474">
        <v>1473</v>
      </c>
      <c r="B1474" t="s">
        <v>16</v>
      </c>
      <c r="C1474">
        <v>49</v>
      </c>
      <c r="D1474" t="s">
        <v>26</v>
      </c>
      <c r="E1474" t="s">
        <v>22</v>
      </c>
      <c r="F1474">
        <v>200</v>
      </c>
      <c r="G1474">
        <v>91</v>
      </c>
      <c r="H1474">
        <v>0.47</v>
      </c>
      <c r="I1474" t="s">
        <v>23</v>
      </c>
      <c r="J1474">
        <v>0</v>
      </c>
      <c r="K1474">
        <v>1</v>
      </c>
      <c r="L1474">
        <v>0</v>
      </c>
      <c r="M1474">
        <f>VLOOKUP(Table1[[#This Row],[subscription_type]],Plans!$A$1:$B$5,2,FALSE)</f>
        <v>9.99</v>
      </c>
      <c r="N1474">
        <f t="shared" ref="N1474:N1537" si="23">IF(L1474=1, M1474,0)</f>
        <v>0</v>
      </c>
    </row>
    <row r="1475" spans="1:14" x14ac:dyDescent="0.35">
      <c r="A1475">
        <v>1474</v>
      </c>
      <c r="B1475" t="s">
        <v>12</v>
      </c>
      <c r="C1475">
        <v>39</v>
      </c>
      <c r="D1475" t="s">
        <v>25</v>
      </c>
      <c r="E1475" t="s">
        <v>14</v>
      </c>
      <c r="F1475">
        <v>174</v>
      </c>
      <c r="G1475">
        <v>82</v>
      </c>
      <c r="H1475">
        <v>0.24</v>
      </c>
      <c r="I1475" t="s">
        <v>19</v>
      </c>
      <c r="J1475">
        <v>17</v>
      </c>
      <c r="K1475">
        <v>0</v>
      </c>
      <c r="L1475">
        <v>0</v>
      </c>
      <c r="M1475">
        <f>VLOOKUP(Table1[[#This Row],[subscription_type]],Plans!$A$1:$B$5,2,FALSE)</f>
        <v>0</v>
      </c>
      <c r="N1475">
        <f t="shared" si="23"/>
        <v>0</v>
      </c>
    </row>
    <row r="1476" spans="1:14" x14ac:dyDescent="0.35">
      <c r="A1476">
        <v>1475</v>
      </c>
      <c r="B1476" t="s">
        <v>16</v>
      </c>
      <c r="C1476">
        <v>19</v>
      </c>
      <c r="D1476" t="s">
        <v>25</v>
      </c>
      <c r="E1476" t="s">
        <v>24</v>
      </c>
      <c r="F1476">
        <v>192</v>
      </c>
      <c r="G1476">
        <v>1</v>
      </c>
      <c r="H1476">
        <v>0.17</v>
      </c>
      <c r="I1476" t="s">
        <v>15</v>
      </c>
      <c r="J1476">
        <v>0</v>
      </c>
      <c r="K1476">
        <v>1</v>
      </c>
      <c r="L1476">
        <v>1</v>
      </c>
      <c r="M1476">
        <f>VLOOKUP(Table1[[#This Row],[subscription_type]],Plans!$A$1:$B$5,2,FALSE)</f>
        <v>4.99</v>
      </c>
      <c r="N1476">
        <f t="shared" si="23"/>
        <v>4.99</v>
      </c>
    </row>
    <row r="1477" spans="1:14" x14ac:dyDescent="0.35">
      <c r="A1477">
        <v>1476</v>
      </c>
      <c r="B1477" t="s">
        <v>20</v>
      </c>
      <c r="C1477">
        <v>43</v>
      </c>
      <c r="D1477" t="s">
        <v>28</v>
      </c>
      <c r="E1477" t="s">
        <v>24</v>
      </c>
      <c r="F1477">
        <v>65</v>
      </c>
      <c r="G1477">
        <v>91</v>
      </c>
      <c r="H1477">
        <v>0.09</v>
      </c>
      <c r="I1477" t="s">
        <v>15</v>
      </c>
      <c r="J1477">
        <v>0</v>
      </c>
      <c r="K1477">
        <v>1</v>
      </c>
      <c r="L1477">
        <v>0</v>
      </c>
      <c r="M1477">
        <f>VLOOKUP(Table1[[#This Row],[subscription_type]],Plans!$A$1:$B$5,2,FALSE)</f>
        <v>4.99</v>
      </c>
      <c r="N1477">
        <f t="shared" si="23"/>
        <v>0</v>
      </c>
    </row>
    <row r="1478" spans="1:14" x14ac:dyDescent="0.35">
      <c r="A1478">
        <v>1477</v>
      </c>
      <c r="B1478" t="s">
        <v>16</v>
      </c>
      <c r="C1478">
        <v>55</v>
      </c>
      <c r="D1478" t="s">
        <v>27</v>
      </c>
      <c r="E1478" t="s">
        <v>14</v>
      </c>
      <c r="F1478">
        <v>39</v>
      </c>
      <c r="G1478">
        <v>91</v>
      </c>
      <c r="H1478">
        <v>0.28999999999999998</v>
      </c>
      <c r="I1478" t="s">
        <v>23</v>
      </c>
      <c r="J1478">
        <v>32</v>
      </c>
      <c r="K1478">
        <v>0</v>
      </c>
      <c r="L1478">
        <v>1</v>
      </c>
      <c r="M1478">
        <f>VLOOKUP(Table1[[#This Row],[subscription_type]],Plans!$A$1:$B$5,2,FALSE)</f>
        <v>0</v>
      </c>
      <c r="N1478">
        <f t="shared" si="23"/>
        <v>0</v>
      </c>
    </row>
    <row r="1479" spans="1:14" x14ac:dyDescent="0.35">
      <c r="A1479">
        <v>1478</v>
      </c>
      <c r="B1479" t="s">
        <v>20</v>
      </c>
      <c r="C1479">
        <v>20</v>
      </c>
      <c r="D1479" t="s">
        <v>27</v>
      </c>
      <c r="E1479" t="s">
        <v>18</v>
      </c>
      <c r="F1479">
        <v>108</v>
      </c>
      <c r="G1479">
        <v>90</v>
      </c>
      <c r="H1479">
        <v>0.56000000000000005</v>
      </c>
      <c r="I1479" t="s">
        <v>19</v>
      </c>
      <c r="J1479">
        <v>0</v>
      </c>
      <c r="K1479">
        <v>1</v>
      </c>
      <c r="L1479">
        <v>0</v>
      </c>
      <c r="M1479">
        <f>VLOOKUP(Table1[[#This Row],[subscription_type]],Plans!$A$1:$B$5,2,FALSE)</f>
        <v>14.99</v>
      </c>
      <c r="N1479">
        <f t="shared" si="23"/>
        <v>0</v>
      </c>
    </row>
    <row r="1480" spans="1:14" x14ac:dyDescent="0.35">
      <c r="A1480">
        <v>1479</v>
      </c>
      <c r="B1480" t="s">
        <v>12</v>
      </c>
      <c r="C1480">
        <v>32</v>
      </c>
      <c r="D1480" t="s">
        <v>26</v>
      </c>
      <c r="E1480" t="s">
        <v>14</v>
      </c>
      <c r="F1480">
        <v>114</v>
      </c>
      <c r="G1480">
        <v>25</v>
      </c>
      <c r="H1480">
        <v>0.28000000000000003</v>
      </c>
      <c r="I1480" t="s">
        <v>19</v>
      </c>
      <c r="J1480">
        <v>21</v>
      </c>
      <c r="K1480">
        <v>0</v>
      </c>
      <c r="L1480">
        <v>0</v>
      </c>
      <c r="M1480">
        <f>VLOOKUP(Table1[[#This Row],[subscription_type]],Plans!$A$1:$B$5,2,FALSE)</f>
        <v>0</v>
      </c>
      <c r="N1480">
        <f t="shared" si="23"/>
        <v>0</v>
      </c>
    </row>
    <row r="1481" spans="1:14" x14ac:dyDescent="0.35">
      <c r="A1481">
        <v>1480</v>
      </c>
      <c r="B1481" t="s">
        <v>16</v>
      </c>
      <c r="C1481">
        <v>48</v>
      </c>
      <c r="D1481" t="s">
        <v>21</v>
      </c>
      <c r="E1481" t="s">
        <v>22</v>
      </c>
      <c r="F1481">
        <v>142</v>
      </c>
      <c r="G1481">
        <v>29</v>
      </c>
      <c r="H1481">
        <v>0.3</v>
      </c>
      <c r="I1481" t="s">
        <v>23</v>
      </c>
      <c r="J1481">
        <v>0</v>
      </c>
      <c r="K1481">
        <v>1</v>
      </c>
      <c r="L1481">
        <v>0</v>
      </c>
      <c r="M1481">
        <f>VLOOKUP(Table1[[#This Row],[subscription_type]],Plans!$A$1:$B$5,2,FALSE)</f>
        <v>9.99</v>
      </c>
      <c r="N1481">
        <f t="shared" si="23"/>
        <v>0</v>
      </c>
    </row>
    <row r="1482" spans="1:14" x14ac:dyDescent="0.35">
      <c r="A1482">
        <v>1481</v>
      </c>
      <c r="B1482" t="s">
        <v>20</v>
      </c>
      <c r="C1482">
        <v>28</v>
      </c>
      <c r="D1482" t="s">
        <v>27</v>
      </c>
      <c r="E1482" t="s">
        <v>14</v>
      </c>
      <c r="F1482">
        <v>25</v>
      </c>
      <c r="G1482">
        <v>58</v>
      </c>
      <c r="H1482">
        <v>0.04</v>
      </c>
      <c r="I1482" t="s">
        <v>19</v>
      </c>
      <c r="J1482">
        <v>32</v>
      </c>
      <c r="K1482">
        <v>0</v>
      </c>
      <c r="L1482">
        <v>0</v>
      </c>
      <c r="M1482">
        <f>VLOOKUP(Table1[[#This Row],[subscription_type]],Plans!$A$1:$B$5,2,FALSE)</f>
        <v>0</v>
      </c>
      <c r="N1482">
        <f t="shared" si="23"/>
        <v>0</v>
      </c>
    </row>
    <row r="1483" spans="1:14" x14ac:dyDescent="0.35">
      <c r="A1483">
        <v>1482</v>
      </c>
      <c r="B1483" t="s">
        <v>16</v>
      </c>
      <c r="C1483">
        <v>50</v>
      </c>
      <c r="D1483" t="s">
        <v>26</v>
      </c>
      <c r="E1483" t="s">
        <v>18</v>
      </c>
      <c r="F1483">
        <v>28</v>
      </c>
      <c r="G1483">
        <v>81</v>
      </c>
      <c r="H1483">
        <v>0.37</v>
      </c>
      <c r="I1483" t="s">
        <v>23</v>
      </c>
      <c r="J1483">
        <v>0</v>
      </c>
      <c r="K1483">
        <v>1</v>
      </c>
      <c r="L1483">
        <v>1</v>
      </c>
      <c r="M1483">
        <f>VLOOKUP(Table1[[#This Row],[subscription_type]],Plans!$A$1:$B$5,2,FALSE)</f>
        <v>14.99</v>
      </c>
      <c r="N1483">
        <f t="shared" si="23"/>
        <v>14.99</v>
      </c>
    </row>
    <row r="1484" spans="1:14" x14ac:dyDescent="0.35">
      <c r="A1484">
        <v>1483</v>
      </c>
      <c r="B1484" t="s">
        <v>12</v>
      </c>
      <c r="C1484">
        <v>39</v>
      </c>
      <c r="D1484" t="s">
        <v>29</v>
      </c>
      <c r="E1484" t="s">
        <v>18</v>
      </c>
      <c r="F1484">
        <v>104</v>
      </c>
      <c r="G1484">
        <v>83</v>
      </c>
      <c r="H1484">
        <v>0.16</v>
      </c>
      <c r="I1484" t="s">
        <v>23</v>
      </c>
      <c r="J1484">
        <v>0</v>
      </c>
      <c r="K1484">
        <v>1</v>
      </c>
      <c r="L1484">
        <v>0</v>
      </c>
      <c r="M1484">
        <f>VLOOKUP(Table1[[#This Row],[subscription_type]],Plans!$A$1:$B$5,2,FALSE)</f>
        <v>14.99</v>
      </c>
      <c r="N1484">
        <f t="shared" si="23"/>
        <v>0</v>
      </c>
    </row>
    <row r="1485" spans="1:14" x14ac:dyDescent="0.35">
      <c r="A1485">
        <v>1484</v>
      </c>
      <c r="B1485" t="s">
        <v>20</v>
      </c>
      <c r="C1485">
        <v>58</v>
      </c>
      <c r="D1485" t="s">
        <v>26</v>
      </c>
      <c r="E1485" t="s">
        <v>14</v>
      </c>
      <c r="F1485">
        <v>49</v>
      </c>
      <c r="G1485">
        <v>1</v>
      </c>
      <c r="H1485">
        <v>0.23</v>
      </c>
      <c r="I1485" t="s">
        <v>19</v>
      </c>
      <c r="J1485">
        <v>45</v>
      </c>
      <c r="K1485">
        <v>0</v>
      </c>
      <c r="L1485">
        <v>0</v>
      </c>
      <c r="M1485">
        <f>VLOOKUP(Table1[[#This Row],[subscription_type]],Plans!$A$1:$B$5,2,FALSE)</f>
        <v>0</v>
      </c>
      <c r="N1485">
        <f t="shared" si="23"/>
        <v>0</v>
      </c>
    </row>
    <row r="1486" spans="1:14" x14ac:dyDescent="0.35">
      <c r="A1486">
        <v>1485</v>
      </c>
      <c r="B1486" t="s">
        <v>12</v>
      </c>
      <c r="C1486">
        <v>49</v>
      </c>
      <c r="D1486" t="s">
        <v>21</v>
      </c>
      <c r="E1486" t="s">
        <v>22</v>
      </c>
      <c r="F1486">
        <v>213</v>
      </c>
      <c r="G1486">
        <v>85</v>
      </c>
      <c r="H1486">
        <v>0.15</v>
      </c>
      <c r="I1486" t="s">
        <v>15</v>
      </c>
      <c r="J1486">
        <v>0</v>
      </c>
      <c r="K1486">
        <v>1</v>
      </c>
      <c r="L1486">
        <v>1</v>
      </c>
      <c r="M1486">
        <f>VLOOKUP(Table1[[#This Row],[subscription_type]],Plans!$A$1:$B$5,2,FALSE)</f>
        <v>9.99</v>
      </c>
      <c r="N1486">
        <f t="shared" si="23"/>
        <v>9.99</v>
      </c>
    </row>
    <row r="1487" spans="1:14" x14ac:dyDescent="0.35">
      <c r="A1487">
        <v>1486</v>
      </c>
      <c r="B1487" t="s">
        <v>12</v>
      </c>
      <c r="C1487">
        <v>21</v>
      </c>
      <c r="D1487" t="s">
        <v>17</v>
      </c>
      <c r="E1487" t="s">
        <v>22</v>
      </c>
      <c r="F1487">
        <v>262</v>
      </c>
      <c r="G1487">
        <v>39</v>
      </c>
      <c r="H1487">
        <v>0.23</v>
      </c>
      <c r="I1487" t="s">
        <v>19</v>
      </c>
      <c r="J1487">
        <v>0</v>
      </c>
      <c r="K1487">
        <v>1</v>
      </c>
      <c r="L1487">
        <v>0</v>
      </c>
      <c r="M1487">
        <f>VLOOKUP(Table1[[#This Row],[subscription_type]],Plans!$A$1:$B$5,2,FALSE)</f>
        <v>9.99</v>
      </c>
      <c r="N1487">
        <f t="shared" si="23"/>
        <v>0</v>
      </c>
    </row>
    <row r="1488" spans="1:14" x14ac:dyDescent="0.35">
      <c r="A1488">
        <v>1487</v>
      </c>
      <c r="B1488" t="s">
        <v>16</v>
      </c>
      <c r="C1488">
        <v>33</v>
      </c>
      <c r="D1488" t="s">
        <v>17</v>
      </c>
      <c r="E1488" t="s">
        <v>18</v>
      </c>
      <c r="F1488">
        <v>224</v>
      </c>
      <c r="G1488">
        <v>25</v>
      </c>
      <c r="H1488">
        <v>0.3</v>
      </c>
      <c r="I1488" t="s">
        <v>23</v>
      </c>
      <c r="J1488">
        <v>0</v>
      </c>
      <c r="K1488">
        <v>1</v>
      </c>
      <c r="L1488">
        <v>0</v>
      </c>
      <c r="M1488">
        <f>VLOOKUP(Table1[[#This Row],[subscription_type]],Plans!$A$1:$B$5,2,FALSE)</f>
        <v>14.99</v>
      </c>
      <c r="N1488">
        <f t="shared" si="23"/>
        <v>0</v>
      </c>
    </row>
    <row r="1489" spans="1:14" x14ac:dyDescent="0.35">
      <c r="A1489">
        <v>1488</v>
      </c>
      <c r="B1489" t="s">
        <v>12</v>
      </c>
      <c r="C1489">
        <v>35</v>
      </c>
      <c r="D1489" t="s">
        <v>28</v>
      </c>
      <c r="E1489" t="s">
        <v>18</v>
      </c>
      <c r="F1489">
        <v>238</v>
      </c>
      <c r="G1489">
        <v>80</v>
      </c>
      <c r="H1489">
        <v>0.1</v>
      </c>
      <c r="I1489" t="s">
        <v>19</v>
      </c>
      <c r="J1489">
        <v>0</v>
      </c>
      <c r="K1489">
        <v>1</v>
      </c>
      <c r="L1489">
        <v>0</v>
      </c>
      <c r="M1489">
        <f>VLOOKUP(Table1[[#This Row],[subscription_type]],Plans!$A$1:$B$5,2,FALSE)</f>
        <v>14.99</v>
      </c>
      <c r="N1489">
        <f t="shared" si="23"/>
        <v>0</v>
      </c>
    </row>
    <row r="1490" spans="1:14" x14ac:dyDescent="0.35">
      <c r="A1490">
        <v>1489</v>
      </c>
      <c r="B1490" t="s">
        <v>12</v>
      </c>
      <c r="C1490">
        <v>38</v>
      </c>
      <c r="D1490" t="s">
        <v>21</v>
      </c>
      <c r="E1490" t="s">
        <v>24</v>
      </c>
      <c r="F1490">
        <v>216</v>
      </c>
      <c r="G1490">
        <v>81</v>
      </c>
      <c r="H1490">
        <v>0.44</v>
      </c>
      <c r="I1490" t="s">
        <v>23</v>
      </c>
      <c r="J1490">
        <v>0</v>
      </c>
      <c r="K1490">
        <v>1</v>
      </c>
      <c r="L1490">
        <v>1</v>
      </c>
      <c r="M1490">
        <f>VLOOKUP(Table1[[#This Row],[subscription_type]],Plans!$A$1:$B$5,2,FALSE)</f>
        <v>4.99</v>
      </c>
      <c r="N1490">
        <f t="shared" si="23"/>
        <v>4.99</v>
      </c>
    </row>
    <row r="1491" spans="1:14" x14ac:dyDescent="0.35">
      <c r="A1491">
        <v>1490</v>
      </c>
      <c r="B1491" t="s">
        <v>20</v>
      </c>
      <c r="C1491">
        <v>32</v>
      </c>
      <c r="D1491" t="s">
        <v>26</v>
      </c>
      <c r="E1491" t="s">
        <v>24</v>
      </c>
      <c r="F1491">
        <v>75</v>
      </c>
      <c r="G1491">
        <v>71</v>
      </c>
      <c r="H1491">
        <v>0.5</v>
      </c>
      <c r="I1491" t="s">
        <v>15</v>
      </c>
      <c r="J1491">
        <v>0</v>
      </c>
      <c r="K1491">
        <v>1</v>
      </c>
      <c r="L1491">
        <v>1</v>
      </c>
      <c r="M1491">
        <f>VLOOKUP(Table1[[#This Row],[subscription_type]],Plans!$A$1:$B$5,2,FALSE)</f>
        <v>4.99</v>
      </c>
      <c r="N1491">
        <f t="shared" si="23"/>
        <v>4.99</v>
      </c>
    </row>
    <row r="1492" spans="1:14" x14ac:dyDescent="0.35">
      <c r="A1492">
        <v>1491</v>
      </c>
      <c r="B1492" t="s">
        <v>12</v>
      </c>
      <c r="C1492">
        <v>58</v>
      </c>
      <c r="D1492" t="s">
        <v>21</v>
      </c>
      <c r="E1492" t="s">
        <v>22</v>
      </c>
      <c r="F1492">
        <v>275</v>
      </c>
      <c r="G1492">
        <v>13</v>
      </c>
      <c r="H1492">
        <v>0.59</v>
      </c>
      <c r="I1492" t="s">
        <v>19</v>
      </c>
      <c r="J1492">
        <v>0</v>
      </c>
      <c r="K1492">
        <v>1</v>
      </c>
      <c r="L1492">
        <v>0</v>
      </c>
      <c r="M1492">
        <f>VLOOKUP(Table1[[#This Row],[subscription_type]],Plans!$A$1:$B$5,2,FALSE)</f>
        <v>9.99</v>
      </c>
      <c r="N1492">
        <f t="shared" si="23"/>
        <v>0</v>
      </c>
    </row>
    <row r="1493" spans="1:14" x14ac:dyDescent="0.35">
      <c r="A1493">
        <v>1492</v>
      </c>
      <c r="B1493" t="s">
        <v>12</v>
      </c>
      <c r="C1493">
        <v>24</v>
      </c>
      <c r="D1493" t="s">
        <v>13</v>
      </c>
      <c r="E1493" t="s">
        <v>24</v>
      </c>
      <c r="F1493">
        <v>13</v>
      </c>
      <c r="G1493">
        <v>27</v>
      </c>
      <c r="H1493">
        <v>0.5</v>
      </c>
      <c r="I1493" t="s">
        <v>19</v>
      </c>
      <c r="J1493">
        <v>0</v>
      </c>
      <c r="K1493">
        <v>1</v>
      </c>
      <c r="L1493">
        <v>0</v>
      </c>
      <c r="M1493">
        <f>VLOOKUP(Table1[[#This Row],[subscription_type]],Plans!$A$1:$B$5,2,FALSE)</f>
        <v>4.99</v>
      </c>
      <c r="N1493">
        <f t="shared" si="23"/>
        <v>0</v>
      </c>
    </row>
    <row r="1494" spans="1:14" x14ac:dyDescent="0.35">
      <c r="A1494">
        <v>1493</v>
      </c>
      <c r="B1494" t="s">
        <v>16</v>
      </c>
      <c r="C1494">
        <v>33</v>
      </c>
      <c r="D1494" t="s">
        <v>13</v>
      </c>
      <c r="E1494" t="s">
        <v>24</v>
      </c>
      <c r="F1494">
        <v>37</v>
      </c>
      <c r="G1494">
        <v>87</v>
      </c>
      <c r="H1494">
        <v>0.28999999999999998</v>
      </c>
      <c r="I1494" t="s">
        <v>15</v>
      </c>
      <c r="J1494">
        <v>0</v>
      </c>
      <c r="K1494">
        <v>1</v>
      </c>
      <c r="L1494">
        <v>0</v>
      </c>
      <c r="M1494">
        <f>VLOOKUP(Table1[[#This Row],[subscription_type]],Plans!$A$1:$B$5,2,FALSE)</f>
        <v>4.99</v>
      </c>
      <c r="N1494">
        <f t="shared" si="23"/>
        <v>0</v>
      </c>
    </row>
    <row r="1495" spans="1:14" x14ac:dyDescent="0.35">
      <c r="A1495">
        <v>1494</v>
      </c>
      <c r="B1495" t="s">
        <v>16</v>
      </c>
      <c r="C1495">
        <v>42</v>
      </c>
      <c r="D1495" t="s">
        <v>21</v>
      </c>
      <c r="E1495" t="s">
        <v>18</v>
      </c>
      <c r="F1495">
        <v>126</v>
      </c>
      <c r="G1495">
        <v>5</v>
      </c>
      <c r="H1495">
        <v>0.35</v>
      </c>
      <c r="I1495" t="s">
        <v>15</v>
      </c>
      <c r="J1495">
        <v>0</v>
      </c>
      <c r="K1495">
        <v>1</v>
      </c>
      <c r="L1495">
        <v>0</v>
      </c>
      <c r="M1495">
        <f>VLOOKUP(Table1[[#This Row],[subscription_type]],Plans!$A$1:$B$5,2,FALSE)</f>
        <v>14.99</v>
      </c>
      <c r="N1495">
        <f t="shared" si="23"/>
        <v>0</v>
      </c>
    </row>
    <row r="1496" spans="1:14" x14ac:dyDescent="0.35">
      <c r="A1496">
        <v>1495</v>
      </c>
      <c r="B1496" t="s">
        <v>16</v>
      </c>
      <c r="C1496">
        <v>23</v>
      </c>
      <c r="D1496" t="s">
        <v>26</v>
      </c>
      <c r="E1496" t="s">
        <v>24</v>
      </c>
      <c r="F1496">
        <v>50</v>
      </c>
      <c r="G1496">
        <v>61</v>
      </c>
      <c r="H1496">
        <v>0.42</v>
      </c>
      <c r="I1496" t="s">
        <v>19</v>
      </c>
      <c r="J1496">
        <v>0</v>
      </c>
      <c r="K1496">
        <v>1</v>
      </c>
      <c r="L1496">
        <v>1</v>
      </c>
      <c r="M1496">
        <f>VLOOKUP(Table1[[#This Row],[subscription_type]],Plans!$A$1:$B$5,2,FALSE)</f>
        <v>4.99</v>
      </c>
      <c r="N1496">
        <f t="shared" si="23"/>
        <v>4.99</v>
      </c>
    </row>
    <row r="1497" spans="1:14" x14ac:dyDescent="0.35">
      <c r="A1497">
        <v>1496</v>
      </c>
      <c r="B1497" t="s">
        <v>20</v>
      </c>
      <c r="C1497">
        <v>27</v>
      </c>
      <c r="D1497" t="s">
        <v>29</v>
      </c>
      <c r="E1497" t="s">
        <v>18</v>
      </c>
      <c r="F1497">
        <v>195</v>
      </c>
      <c r="G1497">
        <v>3</v>
      </c>
      <c r="H1497">
        <v>0.27</v>
      </c>
      <c r="I1497" t="s">
        <v>19</v>
      </c>
      <c r="J1497">
        <v>0</v>
      </c>
      <c r="K1497">
        <v>1</v>
      </c>
      <c r="L1497">
        <v>1</v>
      </c>
      <c r="M1497">
        <f>VLOOKUP(Table1[[#This Row],[subscription_type]],Plans!$A$1:$B$5,2,FALSE)</f>
        <v>14.99</v>
      </c>
      <c r="N1497">
        <f t="shared" si="23"/>
        <v>14.99</v>
      </c>
    </row>
    <row r="1498" spans="1:14" x14ac:dyDescent="0.35">
      <c r="A1498">
        <v>1497</v>
      </c>
      <c r="B1498" t="s">
        <v>16</v>
      </c>
      <c r="C1498">
        <v>27</v>
      </c>
      <c r="D1498" t="s">
        <v>28</v>
      </c>
      <c r="E1498" t="s">
        <v>14</v>
      </c>
      <c r="F1498">
        <v>145</v>
      </c>
      <c r="G1498">
        <v>57</v>
      </c>
      <c r="H1498">
        <v>0.36</v>
      </c>
      <c r="I1498" t="s">
        <v>23</v>
      </c>
      <c r="J1498">
        <v>19</v>
      </c>
      <c r="K1498">
        <v>0</v>
      </c>
      <c r="L1498">
        <v>0</v>
      </c>
      <c r="M1498">
        <f>VLOOKUP(Table1[[#This Row],[subscription_type]],Plans!$A$1:$B$5,2,FALSE)</f>
        <v>0</v>
      </c>
      <c r="N1498">
        <f t="shared" si="23"/>
        <v>0</v>
      </c>
    </row>
    <row r="1499" spans="1:14" x14ac:dyDescent="0.35">
      <c r="A1499">
        <v>1498</v>
      </c>
      <c r="B1499" t="s">
        <v>12</v>
      </c>
      <c r="C1499">
        <v>48</v>
      </c>
      <c r="D1499" t="s">
        <v>21</v>
      </c>
      <c r="E1499" t="s">
        <v>18</v>
      </c>
      <c r="F1499">
        <v>48</v>
      </c>
      <c r="G1499">
        <v>11</v>
      </c>
      <c r="H1499">
        <v>0.5</v>
      </c>
      <c r="I1499" t="s">
        <v>15</v>
      </c>
      <c r="J1499">
        <v>0</v>
      </c>
      <c r="K1499">
        <v>1</v>
      </c>
      <c r="L1499">
        <v>0</v>
      </c>
      <c r="M1499">
        <f>VLOOKUP(Table1[[#This Row],[subscription_type]],Plans!$A$1:$B$5,2,FALSE)</f>
        <v>14.99</v>
      </c>
      <c r="N1499">
        <f t="shared" si="23"/>
        <v>0</v>
      </c>
    </row>
    <row r="1500" spans="1:14" x14ac:dyDescent="0.35">
      <c r="A1500">
        <v>1499</v>
      </c>
      <c r="B1500" t="s">
        <v>20</v>
      </c>
      <c r="C1500">
        <v>46</v>
      </c>
      <c r="D1500" t="s">
        <v>13</v>
      </c>
      <c r="E1500" t="s">
        <v>18</v>
      </c>
      <c r="F1500">
        <v>290</v>
      </c>
      <c r="G1500">
        <v>60</v>
      </c>
      <c r="H1500">
        <v>0.42</v>
      </c>
      <c r="I1500" t="s">
        <v>23</v>
      </c>
      <c r="J1500">
        <v>0</v>
      </c>
      <c r="K1500">
        <v>1</v>
      </c>
      <c r="L1500">
        <v>0</v>
      </c>
      <c r="M1500">
        <f>VLOOKUP(Table1[[#This Row],[subscription_type]],Plans!$A$1:$B$5,2,FALSE)</f>
        <v>14.99</v>
      </c>
      <c r="N1500">
        <f t="shared" si="23"/>
        <v>0</v>
      </c>
    </row>
    <row r="1501" spans="1:14" x14ac:dyDescent="0.35">
      <c r="A1501">
        <v>1500</v>
      </c>
      <c r="B1501" t="s">
        <v>20</v>
      </c>
      <c r="C1501">
        <v>20</v>
      </c>
      <c r="D1501" t="s">
        <v>17</v>
      </c>
      <c r="E1501" t="s">
        <v>24</v>
      </c>
      <c r="F1501">
        <v>215</v>
      </c>
      <c r="G1501">
        <v>9</v>
      </c>
      <c r="H1501">
        <v>0</v>
      </c>
      <c r="I1501" t="s">
        <v>23</v>
      </c>
      <c r="J1501">
        <v>0</v>
      </c>
      <c r="K1501">
        <v>1</v>
      </c>
      <c r="L1501">
        <v>0</v>
      </c>
      <c r="M1501">
        <f>VLOOKUP(Table1[[#This Row],[subscription_type]],Plans!$A$1:$B$5,2,FALSE)</f>
        <v>4.99</v>
      </c>
      <c r="N1501">
        <f t="shared" si="23"/>
        <v>0</v>
      </c>
    </row>
    <row r="1502" spans="1:14" x14ac:dyDescent="0.35">
      <c r="A1502">
        <v>1501</v>
      </c>
      <c r="B1502" t="s">
        <v>12</v>
      </c>
      <c r="C1502">
        <v>57</v>
      </c>
      <c r="D1502" t="s">
        <v>26</v>
      </c>
      <c r="E1502" t="s">
        <v>18</v>
      </c>
      <c r="F1502">
        <v>267</v>
      </c>
      <c r="G1502">
        <v>95</v>
      </c>
      <c r="H1502">
        <v>0.32</v>
      </c>
      <c r="I1502" t="s">
        <v>15</v>
      </c>
      <c r="J1502">
        <v>0</v>
      </c>
      <c r="K1502">
        <v>1</v>
      </c>
      <c r="L1502">
        <v>1</v>
      </c>
      <c r="M1502">
        <f>VLOOKUP(Table1[[#This Row],[subscription_type]],Plans!$A$1:$B$5,2,FALSE)</f>
        <v>14.99</v>
      </c>
      <c r="N1502">
        <f t="shared" si="23"/>
        <v>14.99</v>
      </c>
    </row>
    <row r="1503" spans="1:14" x14ac:dyDescent="0.35">
      <c r="A1503">
        <v>1502</v>
      </c>
      <c r="B1503" t="s">
        <v>16</v>
      </c>
      <c r="C1503">
        <v>45</v>
      </c>
      <c r="D1503" t="s">
        <v>13</v>
      </c>
      <c r="E1503" t="s">
        <v>22</v>
      </c>
      <c r="F1503">
        <v>71</v>
      </c>
      <c r="G1503">
        <v>68</v>
      </c>
      <c r="H1503">
        <v>0.18</v>
      </c>
      <c r="I1503" t="s">
        <v>15</v>
      </c>
      <c r="J1503">
        <v>0</v>
      </c>
      <c r="K1503">
        <v>1</v>
      </c>
      <c r="L1503">
        <v>1</v>
      </c>
      <c r="M1503">
        <f>VLOOKUP(Table1[[#This Row],[subscription_type]],Plans!$A$1:$B$5,2,FALSE)</f>
        <v>9.99</v>
      </c>
      <c r="N1503">
        <f t="shared" si="23"/>
        <v>9.99</v>
      </c>
    </row>
    <row r="1504" spans="1:14" x14ac:dyDescent="0.35">
      <c r="A1504">
        <v>1503</v>
      </c>
      <c r="B1504" t="s">
        <v>16</v>
      </c>
      <c r="C1504">
        <v>17</v>
      </c>
      <c r="D1504" t="s">
        <v>26</v>
      </c>
      <c r="E1504" t="s">
        <v>18</v>
      </c>
      <c r="F1504">
        <v>147</v>
      </c>
      <c r="G1504">
        <v>86</v>
      </c>
      <c r="H1504">
        <v>0.44</v>
      </c>
      <c r="I1504" t="s">
        <v>15</v>
      </c>
      <c r="J1504">
        <v>0</v>
      </c>
      <c r="K1504">
        <v>1</v>
      </c>
      <c r="L1504">
        <v>0</v>
      </c>
      <c r="M1504">
        <f>VLOOKUP(Table1[[#This Row],[subscription_type]],Plans!$A$1:$B$5,2,FALSE)</f>
        <v>14.99</v>
      </c>
      <c r="N1504">
        <f t="shared" si="23"/>
        <v>0</v>
      </c>
    </row>
    <row r="1505" spans="1:14" x14ac:dyDescent="0.35">
      <c r="A1505">
        <v>1504</v>
      </c>
      <c r="B1505" t="s">
        <v>12</v>
      </c>
      <c r="C1505">
        <v>43</v>
      </c>
      <c r="D1505" t="s">
        <v>28</v>
      </c>
      <c r="E1505" t="s">
        <v>22</v>
      </c>
      <c r="F1505">
        <v>252</v>
      </c>
      <c r="G1505">
        <v>68</v>
      </c>
      <c r="H1505">
        <v>0.13</v>
      </c>
      <c r="I1505" t="s">
        <v>15</v>
      </c>
      <c r="J1505">
        <v>0</v>
      </c>
      <c r="K1505">
        <v>1</v>
      </c>
      <c r="L1505">
        <v>0</v>
      </c>
      <c r="M1505">
        <f>VLOOKUP(Table1[[#This Row],[subscription_type]],Plans!$A$1:$B$5,2,FALSE)</f>
        <v>9.99</v>
      </c>
      <c r="N1505">
        <f t="shared" si="23"/>
        <v>0</v>
      </c>
    </row>
    <row r="1506" spans="1:14" x14ac:dyDescent="0.35">
      <c r="A1506">
        <v>1505</v>
      </c>
      <c r="B1506" t="s">
        <v>12</v>
      </c>
      <c r="C1506">
        <v>54</v>
      </c>
      <c r="D1506" t="s">
        <v>29</v>
      </c>
      <c r="E1506" t="s">
        <v>24</v>
      </c>
      <c r="F1506">
        <v>253</v>
      </c>
      <c r="G1506">
        <v>68</v>
      </c>
      <c r="H1506">
        <v>0.46</v>
      </c>
      <c r="I1506" t="s">
        <v>23</v>
      </c>
      <c r="J1506">
        <v>0</v>
      </c>
      <c r="K1506">
        <v>1</v>
      </c>
      <c r="L1506">
        <v>0</v>
      </c>
      <c r="M1506">
        <f>VLOOKUP(Table1[[#This Row],[subscription_type]],Plans!$A$1:$B$5,2,FALSE)</f>
        <v>4.99</v>
      </c>
      <c r="N1506">
        <f t="shared" si="23"/>
        <v>0</v>
      </c>
    </row>
    <row r="1507" spans="1:14" x14ac:dyDescent="0.35">
      <c r="A1507">
        <v>1506</v>
      </c>
      <c r="B1507" t="s">
        <v>12</v>
      </c>
      <c r="C1507">
        <v>55</v>
      </c>
      <c r="D1507" t="s">
        <v>25</v>
      </c>
      <c r="E1507" t="s">
        <v>22</v>
      </c>
      <c r="F1507">
        <v>157</v>
      </c>
      <c r="G1507">
        <v>35</v>
      </c>
      <c r="H1507">
        <v>0.19</v>
      </c>
      <c r="I1507" t="s">
        <v>15</v>
      </c>
      <c r="J1507">
        <v>0</v>
      </c>
      <c r="K1507">
        <v>1</v>
      </c>
      <c r="L1507">
        <v>0</v>
      </c>
      <c r="M1507">
        <f>VLOOKUP(Table1[[#This Row],[subscription_type]],Plans!$A$1:$B$5,2,FALSE)</f>
        <v>9.99</v>
      </c>
      <c r="N1507">
        <f t="shared" si="23"/>
        <v>0</v>
      </c>
    </row>
    <row r="1508" spans="1:14" x14ac:dyDescent="0.35">
      <c r="A1508">
        <v>1507</v>
      </c>
      <c r="B1508" t="s">
        <v>20</v>
      </c>
      <c r="C1508">
        <v>18</v>
      </c>
      <c r="D1508" t="s">
        <v>25</v>
      </c>
      <c r="E1508" t="s">
        <v>18</v>
      </c>
      <c r="F1508">
        <v>123</v>
      </c>
      <c r="G1508">
        <v>41</v>
      </c>
      <c r="H1508">
        <v>0.42</v>
      </c>
      <c r="I1508" t="s">
        <v>19</v>
      </c>
      <c r="J1508">
        <v>0</v>
      </c>
      <c r="K1508">
        <v>1</v>
      </c>
      <c r="L1508">
        <v>0</v>
      </c>
      <c r="M1508">
        <f>VLOOKUP(Table1[[#This Row],[subscription_type]],Plans!$A$1:$B$5,2,FALSE)</f>
        <v>14.99</v>
      </c>
      <c r="N1508">
        <f t="shared" si="23"/>
        <v>0</v>
      </c>
    </row>
    <row r="1509" spans="1:14" x14ac:dyDescent="0.35">
      <c r="A1509">
        <v>1508</v>
      </c>
      <c r="B1509" t="s">
        <v>20</v>
      </c>
      <c r="C1509">
        <v>23</v>
      </c>
      <c r="D1509" t="s">
        <v>13</v>
      </c>
      <c r="E1509" t="s">
        <v>18</v>
      </c>
      <c r="F1509">
        <v>171</v>
      </c>
      <c r="G1509">
        <v>84</v>
      </c>
      <c r="H1509">
        <v>0.11</v>
      </c>
      <c r="I1509" t="s">
        <v>23</v>
      </c>
      <c r="J1509">
        <v>0</v>
      </c>
      <c r="K1509">
        <v>1</v>
      </c>
      <c r="L1509">
        <v>0</v>
      </c>
      <c r="M1509">
        <f>VLOOKUP(Table1[[#This Row],[subscription_type]],Plans!$A$1:$B$5,2,FALSE)</f>
        <v>14.99</v>
      </c>
      <c r="N1509">
        <f t="shared" si="23"/>
        <v>0</v>
      </c>
    </row>
    <row r="1510" spans="1:14" x14ac:dyDescent="0.35">
      <c r="A1510">
        <v>1509</v>
      </c>
      <c r="B1510" t="s">
        <v>12</v>
      </c>
      <c r="C1510">
        <v>43</v>
      </c>
      <c r="D1510" t="s">
        <v>13</v>
      </c>
      <c r="E1510" t="s">
        <v>24</v>
      </c>
      <c r="F1510">
        <v>112</v>
      </c>
      <c r="G1510">
        <v>31</v>
      </c>
      <c r="H1510">
        <v>0.6</v>
      </c>
      <c r="I1510" t="s">
        <v>15</v>
      </c>
      <c r="J1510">
        <v>0</v>
      </c>
      <c r="K1510">
        <v>1</v>
      </c>
      <c r="L1510">
        <v>0</v>
      </c>
      <c r="M1510">
        <f>VLOOKUP(Table1[[#This Row],[subscription_type]],Plans!$A$1:$B$5,2,FALSE)</f>
        <v>4.99</v>
      </c>
      <c r="N1510">
        <f t="shared" si="23"/>
        <v>0</v>
      </c>
    </row>
    <row r="1511" spans="1:14" x14ac:dyDescent="0.35">
      <c r="A1511">
        <v>1510</v>
      </c>
      <c r="B1511" t="s">
        <v>20</v>
      </c>
      <c r="C1511">
        <v>58</v>
      </c>
      <c r="D1511" t="s">
        <v>26</v>
      </c>
      <c r="E1511" t="s">
        <v>14</v>
      </c>
      <c r="F1511">
        <v>85</v>
      </c>
      <c r="G1511">
        <v>58</v>
      </c>
      <c r="H1511">
        <v>0.04</v>
      </c>
      <c r="I1511" t="s">
        <v>19</v>
      </c>
      <c r="J1511">
        <v>30</v>
      </c>
      <c r="K1511">
        <v>0</v>
      </c>
      <c r="L1511">
        <v>1</v>
      </c>
      <c r="M1511">
        <f>VLOOKUP(Table1[[#This Row],[subscription_type]],Plans!$A$1:$B$5,2,FALSE)</f>
        <v>0</v>
      </c>
      <c r="N1511">
        <f t="shared" si="23"/>
        <v>0</v>
      </c>
    </row>
    <row r="1512" spans="1:14" x14ac:dyDescent="0.35">
      <c r="A1512">
        <v>1511</v>
      </c>
      <c r="B1512" t="s">
        <v>16</v>
      </c>
      <c r="C1512">
        <v>33</v>
      </c>
      <c r="D1512" t="s">
        <v>17</v>
      </c>
      <c r="E1512" t="s">
        <v>18</v>
      </c>
      <c r="F1512">
        <v>153</v>
      </c>
      <c r="G1512">
        <v>85</v>
      </c>
      <c r="H1512">
        <v>0.04</v>
      </c>
      <c r="I1512" t="s">
        <v>19</v>
      </c>
      <c r="J1512">
        <v>0</v>
      </c>
      <c r="K1512">
        <v>1</v>
      </c>
      <c r="L1512">
        <v>0</v>
      </c>
      <c r="M1512">
        <f>VLOOKUP(Table1[[#This Row],[subscription_type]],Plans!$A$1:$B$5,2,FALSE)</f>
        <v>14.99</v>
      </c>
      <c r="N1512">
        <f t="shared" si="23"/>
        <v>0</v>
      </c>
    </row>
    <row r="1513" spans="1:14" x14ac:dyDescent="0.35">
      <c r="A1513">
        <v>1512</v>
      </c>
      <c r="B1513" t="s">
        <v>20</v>
      </c>
      <c r="C1513">
        <v>37</v>
      </c>
      <c r="D1513" t="s">
        <v>29</v>
      </c>
      <c r="E1513" t="s">
        <v>18</v>
      </c>
      <c r="F1513">
        <v>254</v>
      </c>
      <c r="G1513">
        <v>84</v>
      </c>
      <c r="H1513">
        <v>0.01</v>
      </c>
      <c r="I1513" t="s">
        <v>15</v>
      </c>
      <c r="J1513">
        <v>0</v>
      </c>
      <c r="K1513">
        <v>1</v>
      </c>
      <c r="L1513">
        <v>0</v>
      </c>
      <c r="M1513">
        <f>VLOOKUP(Table1[[#This Row],[subscription_type]],Plans!$A$1:$B$5,2,FALSE)</f>
        <v>14.99</v>
      </c>
      <c r="N1513">
        <f t="shared" si="23"/>
        <v>0</v>
      </c>
    </row>
    <row r="1514" spans="1:14" x14ac:dyDescent="0.35">
      <c r="A1514">
        <v>1513</v>
      </c>
      <c r="B1514" t="s">
        <v>12</v>
      </c>
      <c r="C1514">
        <v>53</v>
      </c>
      <c r="D1514" t="s">
        <v>26</v>
      </c>
      <c r="E1514" t="s">
        <v>24</v>
      </c>
      <c r="F1514">
        <v>211</v>
      </c>
      <c r="G1514">
        <v>47</v>
      </c>
      <c r="H1514">
        <v>0.06</v>
      </c>
      <c r="I1514" t="s">
        <v>19</v>
      </c>
      <c r="J1514">
        <v>0</v>
      </c>
      <c r="K1514">
        <v>1</v>
      </c>
      <c r="L1514">
        <v>1</v>
      </c>
      <c r="M1514">
        <f>VLOOKUP(Table1[[#This Row],[subscription_type]],Plans!$A$1:$B$5,2,FALSE)</f>
        <v>4.99</v>
      </c>
      <c r="N1514">
        <f t="shared" si="23"/>
        <v>4.99</v>
      </c>
    </row>
    <row r="1515" spans="1:14" x14ac:dyDescent="0.35">
      <c r="A1515">
        <v>1514</v>
      </c>
      <c r="B1515" t="s">
        <v>12</v>
      </c>
      <c r="C1515">
        <v>40</v>
      </c>
      <c r="D1515" t="s">
        <v>29</v>
      </c>
      <c r="E1515" t="s">
        <v>18</v>
      </c>
      <c r="F1515">
        <v>155</v>
      </c>
      <c r="G1515">
        <v>61</v>
      </c>
      <c r="H1515">
        <v>0.46</v>
      </c>
      <c r="I1515" t="s">
        <v>23</v>
      </c>
      <c r="J1515">
        <v>0</v>
      </c>
      <c r="K1515">
        <v>1</v>
      </c>
      <c r="L1515">
        <v>1</v>
      </c>
      <c r="M1515">
        <f>VLOOKUP(Table1[[#This Row],[subscription_type]],Plans!$A$1:$B$5,2,FALSE)</f>
        <v>14.99</v>
      </c>
      <c r="N1515">
        <f t="shared" si="23"/>
        <v>14.99</v>
      </c>
    </row>
    <row r="1516" spans="1:14" x14ac:dyDescent="0.35">
      <c r="A1516">
        <v>1515</v>
      </c>
      <c r="B1516" t="s">
        <v>20</v>
      </c>
      <c r="C1516">
        <v>40</v>
      </c>
      <c r="D1516" t="s">
        <v>25</v>
      </c>
      <c r="E1516" t="s">
        <v>14</v>
      </c>
      <c r="F1516">
        <v>124</v>
      </c>
      <c r="G1516">
        <v>76</v>
      </c>
      <c r="H1516">
        <v>0.34</v>
      </c>
      <c r="I1516" t="s">
        <v>19</v>
      </c>
      <c r="J1516">
        <v>42</v>
      </c>
      <c r="K1516">
        <v>0</v>
      </c>
      <c r="L1516">
        <v>0</v>
      </c>
      <c r="M1516">
        <f>VLOOKUP(Table1[[#This Row],[subscription_type]],Plans!$A$1:$B$5,2,FALSE)</f>
        <v>0</v>
      </c>
      <c r="N1516">
        <f t="shared" si="23"/>
        <v>0</v>
      </c>
    </row>
    <row r="1517" spans="1:14" x14ac:dyDescent="0.35">
      <c r="A1517">
        <v>1516</v>
      </c>
      <c r="B1517" t="s">
        <v>12</v>
      </c>
      <c r="C1517">
        <v>18</v>
      </c>
      <c r="D1517" t="s">
        <v>26</v>
      </c>
      <c r="E1517" t="s">
        <v>24</v>
      </c>
      <c r="F1517">
        <v>120</v>
      </c>
      <c r="G1517">
        <v>23</v>
      </c>
      <c r="H1517">
        <v>0.45</v>
      </c>
      <c r="I1517" t="s">
        <v>19</v>
      </c>
      <c r="J1517">
        <v>0</v>
      </c>
      <c r="K1517">
        <v>1</v>
      </c>
      <c r="L1517">
        <v>0</v>
      </c>
      <c r="M1517">
        <f>VLOOKUP(Table1[[#This Row],[subscription_type]],Plans!$A$1:$B$5,2,FALSE)</f>
        <v>4.99</v>
      </c>
      <c r="N1517">
        <f t="shared" si="23"/>
        <v>0</v>
      </c>
    </row>
    <row r="1518" spans="1:14" x14ac:dyDescent="0.35">
      <c r="A1518">
        <v>1517</v>
      </c>
      <c r="B1518" t="s">
        <v>16</v>
      </c>
      <c r="C1518">
        <v>25</v>
      </c>
      <c r="D1518" t="s">
        <v>29</v>
      </c>
      <c r="E1518" t="s">
        <v>14</v>
      </c>
      <c r="F1518">
        <v>122</v>
      </c>
      <c r="G1518">
        <v>82</v>
      </c>
      <c r="H1518">
        <v>0.27</v>
      </c>
      <c r="I1518" t="s">
        <v>19</v>
      </c>
      <c r="J1518">
        <v>47</v>
      </c>
      <c r="K1518">
        <v>0</v>
      </c>
      <c r="L1518">
        <v>0</v>
      </c>
      <c r="M1518">
        <f>VLOOKUP(Table1[[#This Row],[subscription_type]],Plans!$A$1:$B$5,2,FALSE)</f>
        <v>0</v>
      </c>
      <c r="N1518">
        <f t="shared" si="23"/>
        <v>0</v>
      </c>
    </row>
    <row r="1519" spans="1:14" x14ac:dyDescent="0.35">
      <c r="A1519">
        <v>1518</v>
      </c>
      <c r="B1519" t="s">
        <v>20</v>
      </c>
      <c r="C1519">
        <v>59</v>
      </c>
      <c r="D1519" t="s">
        <v>26</v>
      </c>
      <c r="E1519" t="s">
        <v>14</v>
      </c>
      <c r="F1519">
        <v>135</v>
      </c>
      <c r="G1519">
        <v>63</v>
      </c>
      <c r="H1519">
        <v>0.08</v>
      </c>
      <c r="I1519" t="s">
        <v>19</v>
      </c>
      <c r="J1519">
        <v>30</v>
      </c>
      <c r="K1519">
        <v>0</v>
      </c>
      <c r="L1519">
        <v>0</v>
      </c>
      <c r="M1519">
        <f>VLOOKUP(Table1[[#This Row],[subscription_type]],Plans!$A$1:$B$5,2,FALSE)</f>
        <v>0</v>
      </c>
      <c r="N1519">
        <f t="shared" si="23"/>
        <v>0</v>
      </c>
    </row>
    <row r="1520" spans="1:14" x14ac:dyDescent="0.35">
      <c r="A1520">
        <v>1519</v>
      </c>
      <c r="B1520" t="s">
        <v>20</v>
      </c>
      <c r="C1520">
        <v>25</v>
      </c>
      <c r="D1520" t="s">
        <v>13</v>
      </c>
      <c r="E1520" t="s">
        <v>14</v>
      </c>
      <c r="F1520">
        <v>24</v>
      </c>
      <c r="G1520">
        <v>29</v>
      </c>
      <c r="H1520">
        <v>0.28999999999999998</v>
      </c>
      <c r="I1520" t="s">
        <v>15</v>
      </c>
      <c r="J1520">
        <v>9</v>
      </c>
      <c r="K1520">
        <v>0</v>
      </c>
      <c r="L1520">
        <v>0</v>
      </c>
      <c r="M1520">
        <f>VLOOKUP(Table1[[#This Row],[subscription_type]],Plans!$A$1:$B$5,2,FALSE)</f>
        <v>0</v>
      </c>
      <c r="N1520">
        <f t="shared" si="23"/>
        <v>0</v>
      </c>
    </row>
    <row r="1521" spans="1:14" x14ac:dyDescent="0.35">
      <c r="A1521">
        <v>1520</v>
      </c>
      <c r="B1521" t="s">
        <v>20</v>
      </c>
      <c r="C1521">
        <v>40</v>
      </c>
      <c r="D1521" t="s">
        <v>29</v>
      </c>
      <c r="E1521" t="s">
        <v>14</v>
      </c>
      <c r="F1521">
        <v>84</v>
      </c>
      <c r="G1521">
        <v>6</v>
      </c>
      <c r="H1521">
        <v>0.32</v>
      </c>
      <c r="I1521" t="s">
        <v>19</v>
      </c>
      <c r="J1521">
        <v>18</v>
      </c>
      <c r="K1521">
        <v>0</v>
      </c>
      <c r="L1521">
        <v>0</v>
      </c>
      <c r="M1521">
        <f>VLOOKUP(Table1[[#This Row],[subscription_type]],Plans!$A$1:$B$5,2,FALSE)</f>
        <v>0</v>
      </c>
      <c r="N1521">
        <f t="shared" si="23"/>
        <v>0</v>
      </c>
    </row>
    <row r="1522" spans="1:14" x14ac:dyDescent="0.35">
      <c r="A1522">
        <v>1521</v>
      </c>
      <c r="B1522" t="s">
        <v>16</v>
      </c>
      <c r="C1522">
        <v>35</v>
      </c>
      <c r="D1522" t="s">
        <v>13</v>
      </c>
      <c r="E1522" t="s">
        <v>22</v>
      </c>
      <c r="F1522">
        <v>15</v>
      </c>
      <c r="G1522">
        <v>40</v>
      </c>
      <c r="H1522">
        <v>0.37</v>
      </c>
      <c r="I1522" t="s">
        <v>23</v>
      </c>
      <c r="J1522">
        <v>0</v>
      </c>
      <c r="K1522">
        <v>1</v>
      </c>
      <c r="L1522">
        <v>1</v>
      </c>
      <c r="M1522">
        <f>VLOOKUP(Table1[[#This Row],[subscription_type]],Plans!$A$1:$B$5,2,FALSE)</f>
        <v>9.99</v>
      </c>
      <c r="N1522">
        <f t="shared" si="23"/>
        <v>9.99</v>
      </c>
    </row>
    <row r="1523" spans="1:14" x14ac:dyDescent="0.35">
      <c r="A1523">
        <v>1522</v>
      </c>
      <c r="B1523" t="s">
        <v>16</v>
      </c>
      <c r="C1523">
        <v>37</v>
      </c>
      <c r="D1523" t="s">
        <v>29</v>
      </c>
      <c r="E1523" t="s">
        <v>18</v>
      </c>
      <c r="F1523">
        <v>219</v>
      </c>
      <c r="G1523">
        <v>9</v>
      </c>
      <c r="H1523">
        <v>0.02</v>
      </c>
      <c r="I1523" t="s">
        <v>15</v>
      </c>
      <c r="J1523">
        <v>0</v>
      </c>
      <c r="K1523">
        <v>1</v>
      </c>
      <c r="L1523">
        <v>0</v>
      </c>
      <c r="M1523">
        <f>VLOOKUP(Table1[[#This Row],[subscription_type]],Plans!$A$1:$B$5,2,FALSE)</f>
        <v>14.99</v>
      </c>
      <c r="N1523">
        <f t="shared" si="23"/>
        <v>0</v>
      </c>
    </row>
    <row r="1524" spans="1:14" x14ac:dyDescent="0.35">
      <c r="A1524">
        <v>1523</v>
      </c>
      <c r="B1524" t="s">
        <v>20</v>
      </c>
      <c r="C1524">
        <v>21</v>
      </c>
      <c r="D1524" t="s">
        <v>27</v>
      </c>
      <c r="E1524" t="s">
        <v>18</v>
      </c>
      <c r="F1524">
        <v>81</v>
      </c>
      <c r="G1524">
        <v>17</v>
      </c>
      <c r="H1524">
        <v>0.32</v>
      </c>
      <c r="I1524" t="s">
        <v>19</v>
      </c>
      <c r="J1524">
        <v>0</v>
      </c>
      <c r="K1524">
        <v>1</v>
      </c>
      <c r="L1524">
        <v>0</v>
      </c>
      <c r="M1524">
        <f>VLOOKUP(Table1[[#This Row],[subscription_type]],Plans!$A$1:$B$5,2,FALSE)</f>
        <v>14.99</v>
      </c>
      <c r="N1524">
        <f t="shared" si="23"/>
        <v>0</v>
      </c>
    </row>
    <row r="1525" spans="1:14" x14ac:dyDescent="0.35">
      <c r="A1525">
        <v>1524</v>
      </c>
      <c r="B1525" t="s">
        <v>12</v>
      </c>
      <c r="C1525">
        <v>44</v>
      </c>
      <c r="D1525" t="s">
        <v>17</v>
      </c>
      <c r="E1525" t="s">
        <v>14</v>
      </c>
      <c r="F1525">
        <v>222</v>
      </c>
      <c r="G1525">
        <v>51</v>
      </c>
      <c r="H1525">
        <v>0.4</v>
      </c>
      <c r="I1525" t="s">
        <v>19</v>
      </c>
      <c r="J1525">
        <v>17</v>
      </c>
      <c r="K1525">
        <v>0</v>
      </c>
      <c r="L1525">
        <v>0</v>
      </c>
      <c r="M1525">
        <f>VLOOKUP(Table1[[#This Row],[subscription_type]],Plans!$A$1:$B$5,2,FALSE)</f>
        <v>0</v>
      </c>
      <c r="N1525">
        <f t="shared" si="23"/>
        <v>0</v>
      </c>
    </row>
    <row r="1526" spans="1:14" x14ac:dyDescent="0.35">
      <c r="A1526">
        <v>1525</v>
      </c>
      <c r="B1526" t="s">
        <v>20</v>
      </c>
      <c r="C1526">
        <v>36</v>
      </c>
      <c r="D1526" t="s">
        <v>27</v>
      </c>
      <c r="E1526" t="s">
        <v>22</v>
      </c>
      <c r="F1526">
        <v>165</v>
      </c>
      <c r="G1526">
        <v>45</v>
      </c>
      <c r="H1526">
        <v>0.46</v>
      </c>
      <c r="I1526" t="s">
        <v>15</v>
      </c>
      <c r="J1526">
        <v>0</v>
      </c>
      <c r="K1526">
        <v>1</v>
      </c>
      <c r="L1526">
        <v>0</v>
      </c>
      <c r="M1526">
        <f>VLOOKUP(Table1[[#This Row],[subscription_type]],Plans!$A$1:$B$5,2,FALSE)</f>
        <v>9.99</v>
      </c>
      <c r="N1526">
        <f t="shared" si="23"/>
        <v>0</v>
      </c>
    </row>
    <row r="1527" spans="1:14" x14ac:dyDescent="0.35">
      <c r="A1527">
        <v>1526</v>
      </c>
      <c r="B1527" t="s">
        <v>20</v>
      </c>
      <c r="C1527">
        <v>57</v>
      </c>
      <c r="D1527" t="s">
        <v>13</v>
      </c>
      <c r="E1527" t="s">
        <v>24</v>
      </c>
      <c r="F1527">
        <v>130</v>
      </c>
      <c r="G1527">
        <v>7</v>
      </c>
      <c r="H1527">
        <v>0.08</v>
      </c>
      <c r="I1527" t="s">
        <v>23</v>
      </c>
      <c r="J1527">
        <v>0</v>
      </c>
      <c r="K1527">
        <v>1</v>
      </c>
      <c r="L1527">
        <v>1</v>
      </c>
      <c r="M1527">
        <f>VLOOKUP(Table1[[#This Row],[subscription_type]],Plans!$A$1:$B$5,2,FALSE)</f>
        <v>4.99</v>
      </c>
      <c r="N1527">
        <f t="shared" si="23"/>
        <v>4.99</v>
      </c>
    </row>
    <row r="1528" spans="1:14" x14ac:dyDescent="0.35">
      <c r="A1528">
        <v>1527</v>
      </c>
      <c r="B1528" t="s">
        <v>20</v>
      </c>
      <c r="C1528">
        <v>30</v>
      </c>
      <c r="D1528" t="s">
        <v>17</v>
      </c>
      <c r="E1528" t="s">
        <v>18</v>
      </c>
      <c r="F1528">
        <v>175</v>
      </c>
      <c r="G1528">
        <v>84</v>
      </c>
      <c r="H1528">
        <v>0.04</v>
      </c>
      <c r="I1528" t="s">
        <v>19</v>
      </c>
      <c r="J1528">
        <v>0</v>
      </c>
      <c r="K1528">
        <v>1</v>
      </c>
      <c r="L1528">
        <v>1</v>
      </c>
      <c r="M1528">
        <f>VLOOKUP(Table1[[#This Row],[subscription_type]],Plans!$A$1:$B$5,2,FALSE)</f>
        <v>14.99</v>
      </c>
      <c r="N1528">
        <f t="shared" si="23"/>
        <v>14.99</v>
      </c>
    </row>
    <row r="1529" spans="1:14" x14ac:dyDescent="0.35">
      <c r="A1529">
        <v>1528</v>
      </c>
      <c r="B1529" t="s">
        <v>12</v>
      </c>
      <c r="C1529">
        <v>30</v>
      </c>
      <c r="D1529" t="s">
        <v>26</v>
      </c>
      <c r="E1529" t="s">
        <v>24</v>
      </c>
      <c r="F1529">
        <v>299</v>
      </c>
      <c r="G1529">
        <v>61</v>
      </c>
      <c r="H1529">
        <v>0.53</v>
      </c>
      <c r="I1529" t="s">
        <v>19</v>
      </c>
      <c r="J1529">
        <v>0</v>
      </c>
      <c r="K1529">
        <v>1</v>
      </c>
      <c r="L1529">
        <v>0</v>
      </c>
      <c r="M1529">
        <f>VLOOKUP(Table1[[#This Row],[subscription_type]],Plans!$A$1:$B$5,2,FALSE)</f>
        <v>4.99</v>
      </c>
      <c r="N1529">
        <f t="shared" si="23"/>
        <v>0</v>
      </c>
    </row>
    <row r="1530" spans="1:14" x14ac:dyDescent="0.35">
      <c r="A1530">
        <v>1529</v>
      </c>
      <c r="B1530" t="s">
        <v>12</v>
      </c>
      <c r="C1530">
        <v>49</v>
      </c>
      <c r="D1530" t="s">
        <v>28</v>
      </c>
      <c r="E1530" t="s">
        <v>24</v>
      </c>
      <c r="F1530">
        <v>38</v>
      </c>
      <c r="G1530">
        <v>13</v>
      </c>
      <c r="H1530">
        <v>0.16</v>
      </c>
      <c r="I1530" t="s">
        <v>15</v>
      </c>
      <c r="J1530">
        <v>0</v>
      </c>
      <c r="K1530">
        <v>1</v>
      </c>
      <c r="L1530">
        <v>0</v>
      </c>
      <c r="M1530">
        <f>VLOOKUP(Table1[[#This Row],[subscription_type]],Plans!$A$1:$B$5,2,FALSE)</f>
        <v>4.99</v>
      </c>
      <c r="N1530">
        <f t="shared" si="23"/>
        <v>0</v>
      </c>
    </row>
    <row r="1531" spans="1:14" x14ac:dyDescent="0.35">
      <c r="A1531">
        <v>1530</v>
      </c>
      <c r="B1531" t="s">
        <v>16</v>
      </c>
      <c r="C1531">
        <v>19</v>
      </c>
      <c r="D1531" t="s">
        <v>29</v>
      </c>
      <c r="E1531" t="s">
        <v>18</v>
      </c>
      <c r="F1531">
        <v>12</v>
      </c>
      <c r="G1531">
        <v>83</v>
      </c>
      <c r="H1531">
        <v>0.2</v>
      </c>
      <c r="I1531" t="s">
        <v>15</v>
      </c>
      <c r="J1531">
        <v>0</v>
      </c>
      <c r="K1531">
        <v>1</v>
      </c>
      <c r="L1531">
        <v>0</v>
      </c>
      <c r="M1531">
        <f>VLOOKUP(Table1[[#This Row],[subscription_type]],Plans!$A$1:$B$5,2,FALSE)</f>
        <v>14.99</v>
      </c>
      <c r="N1531">
        <f t="shared" si="23"/>
        <v>0</v>
      </c>
    </row>
    <row r="1532" spans="1:14" x14ac:dyDescent="0.35">
      <c r="A1532">
        <v>1531</v>
      </c>
      <c r="B1532" t="s">
        <v>20</v>
      </c>
      <c r="C1532">
        <v>20</v>
      </c>
      <c r="D1532" t="s">
        <v>26</v>
      </c>
      <c r="E1532" t="s">
        <v>14</v>
      </c>
      <c r="F1532">
        <v>61</v>
      </c>
      <c r="G1532">
        <v>1</v>
      </c>
      <c r="H1532">
        <v>0.27</v>
      </c>
      <c r="I1532" t="s">
        <v>15</v>
      </c>
      <c r="J1532">
        <v>43</v>
      </c>
      <c r="K1532">
        <v>0</v>
      </c>
      <c r="L1532">
        <v>1</v>
      </c>
      <c r="M1532">
        <f>VLOOKUP(Table1[[#This Row],[subscription_type]],Plans!$A$1:$B$5,2,FALSE)</f>
        <v>0</v>
      </c>
      <c r="N1532">
        <f t="shared" si="23"/>
        <v>0</v>
      </c>
    </row>
    <row r="1533" spans="1:14" x14ac:dyDescent="0.35">
      <c r="A1533">
        <v>1532</v>
      </c>
      <c r="B1533" t="s">
        <v>16</v>
      </c>
      <c r="C1533">
        <v>19</v>
      </c>
      <c r="D1533" t="s">
        <v>21</v>
      </c>
      <c r="E1533" t="s">
        <v>18</v>
      </c>
      <c r="F1533">
        <v>219</v>
      </c>
      <c r="G1533">
        <v>58</v>
      </c>
      <c r="H1533">
        <v>0.22</v>
      </c>
      <c r="I1533" t="s">
        <v>15</v>
      </c>
      <c r="J1533">
        <v>0</v>
      </c>
      <c r="K1533">
        <v>1</v>
      </c>
      <c r="L1533">
        <v>0</v>
      </c>
      <c r="M1533">
        <f>VLOOKUP(Table1[[#This Row],[subscription_type]],Plans!$A$1:$B$5,2,FALSE)</f>
        <v>14.99</v>
      </c>
      <c r="N1533">
        <f t="shared" si="23"/>
        <v>0</v>
      </c>
    </row>
    <row r="1534" spans="1:14" x14ac:dyDescent="0.35">
      <c r="A1534">
        <v>1533</v>
      </c>
      <c r="B1534" t="s">
        <v>16</v>
      </c>
      <c r="C1534">
        <v>20</v>
      </c>
      <c r="D1534" t="s">
        <v>21</v>
      </c>
      <c r="E1534" t="s">
        <v>14</v>
      </c>
      <c r="F1534">
        <v>120</v>
      </c>
      <c r="G1534">
        <v>46</v>
      </c>
      <c r="H1534">
        <v>0</v>
      </c>
      <c r="I1534" t="s">
        <v>19</v>
      </c>
      <c r="J1534">
        <v>16</v>
      </c>
      <c r="K1534">
        <v>0</v>
      </c>
      <c r="L1534">
        <v>1</v>
      </c>
      <c r="M1534">
        <f>VLOOKUP(Table1[[#This Row],[subscription_type]],Plans!$A$1:$B$5,2,FALSE)</f>
        <v>0</v>
      </c>
      <c r="N1534">
        <f t="shared" si="23"/>
        <v>0</v>
      </c>
    </row>
    <row r="1535" spans="1:14" x14ac:dyDescent="0.35">
      <c r="A1535">
        <v>1534</v>
      </c>
      <c r="B1535" t="s">
        <v>12</v>
      </c>
      <c r="C1535">
        <v>59</v>
      </c>
      <c r="D1535" t="s">
        <v>17</v>
      </c>
      <c r="E1535" t="s">
        <v>22</v>
      </c>
      <c r="F1535">
        <v>92</v>
      </c>
      <c r="G1535">
        <v>86</v>
      </c>
      <c r="H1535">
        <v>0.44</v>
      </c>
      <c r="I1535" t="s">
        <v>15</v>
      </c>
      <c r="J1535">
        <v>0</v>
      </c>
      <c r="K1535">
        <v>1</v>
      </c>
      <c r="L1535">
        <v>0</v>
      </c>
      <c r="M1535">
        <f>VLOOKUP(Table1[[#This Row],[subscription_type]],Plans!$A$1:$B$5,2,FALSE)</f>
        <v>9.99</v>
      </c>
      <c r="N1535">
        <f t="shared" si="23"/>
        <v>0</v>
      </c>
    </row>
    <row r="1536" spans="1:14" x14ac:dyDescent="0.35">
      <c r="A1536">
        <v>1535</v>
      </c>
      <c r="B1536" t="s">
        <v>20</v>
      </c>
      <c r="C1536">
        <v>41</v>
      </c>
      <c r="D1536" t="s">
        <v>26</v>
      </c>
      <c r="E1536" t="s">
        <v>24</v>
      </c>
      <c r="F1536">
        <v>65</v>
      </c>
      <c r="G1536">
        <v>87</v>
      </c>
      <c r="H1536">
        <v>0.47</v>
      </c>
      <c r="I1536" t="s">
        <v>19</v>
      </c>
      <c r="J1536">
        <v>0</v>
      </c>
      <c r="K1536">
        <v>1</v>
      </c>
      <c r="L1536">
        <v>1</v>
      </c>
      <c r="M1536">
        <f>VLOOKUP(Table1[[#This Row],[subscription_type]],Plans!$A$1:$B$5,2,FALSE)</f>
        <v>4.99</v>
      </c>
      <c r="N1536">
        <f t="shared" si="23"/>
        <v>4.99</v>
      </c>
    </row>
    <row r="1537" spans="1:14" x14ac:dyDescent="0.35">
      <c r="A1537">
        <v>1536</v>
      </c>
      <c r="B1537" t="s">
        <v>16</v>
      </c>
      <c r="C1537">
        <v>46</v>
      </c>
      <c r="D1537" t="s">
        <v>28</v>
      </c>
      <c r="E1537" t="s">
        <v>24</v>
      </c>
      <c r="F1537">
        <v>271</v>
      </c>
      <c r="G1537">
        <v>13</v>
      </c>
      <c r="H1537">
        <v>0.48</v>
      </c>
      <c r="I1537" t="s">
        <v>19</v>
      </c>
      <c r="J1537">
        <v>0</v>
      </c>
      <c r="K1537">
        <v>1</v>
      </c>
      <c r="L1537">
        <v>0</v>
      </c>
      <c r="M1537">
        <f>VLOOKUP(Table1[[#This Row],[subscription_type]],Plans!$A$1:$B$5,2,FALSE)</f>
        <v>4.99</v>
      </c>
      <c r="N1537">
        <f t="shared" si="23"/>
        <v>0</v>
      </c>
    </row>
    <row r="1538" spans="1:14" x14ac:dyDescent="0.35">
      <c r="A1538">
        <v>1537</v>
      </c>
      <c r="B1538" t="s">
        <v>16</v>
      </c>
      <c r="C1538">
        <v>26</v>
      </c>
      <c r="D1538" t="s">
        <v>26</v>
      </c>
      <c r="E1538" t="s">
        <v>18</v>
      </c>
      <c r="F1538">
        <v>270</v>
      </c>
      <c r="G1538">
        <v>4</v>
      </c>
      <c r="H1538">
        <v>0.15</v>
      </c>
      <c r="I1538" t="s">
        <v>19</v>
      </c>
      <c r="J1538">
        <v>0</v>
      </c>
      <c r="K1538">
        <v>1</v>
      </c>
      <c r="L1538">
        <v>1</v>
      </c>
      <c r="M1538">
        <f>VLOOKUP(Table1[[#This Row],[subscription_type]],Plans!$A$1:$B$5,2,FALSE)</f>
        <v>14.99</v>
      </c>
      <c r="N1538">
        <f t="shared" ref="N1538:N1601" si="24">IF(L1538=1, M1538,0)</f>
        <v>14.99</v>
      </c>
    </row>
    <row r="1539" spans="1:14" x14ac:dyDescent="0.35">
      <c r="A1539">
        <v>1538</v>
      </c>
      <c r="B1539" t="s">
        <v>12</v>
      </c>
      <c r="C1539">
        <v>51</v>
      </c>
      <c r="D1539" t="s">
        <v>17</v>
      </c>
      <c r="E1539" t="s">
        <v>22</v>
      </c>
      <c r="F1539">
        <v>180</v>
      </c>
      <c r="G1539">
        <v>64</v>
      </c>
      <c r="H1539">
        <v>0.59</v>
      </c>
      <c r="I1539" t="s">
        <v>15</v>
      </c>
      <c r="J1539">
        <v>0</v>
      </c>
      <c r="K1539">
        <v>1</v>
      </c>
      <c r="L1539">
        <v>0</v>
      </c>
      <c r="M1539">
        <f>VLOOKUP(Table1[[#This Row],[subscription_type]],Plans!$A$1:$B$5,2,FALSE)</f>
        <v>9.99</v>
      </c>
      <c r="N1539">
        <f t="shared" si="24"/>
        <v>0</v>
      </c>
    </row>
    <row r="1540" spans="1:14" x14ac:dyDescent="0.35">
      <c r="A1540">
        <v>1539</v>
      </c>
      <c r="B1540" t="s">
        <v>16</v>
      </c>
      <c r="C1540">
        <v>46</v>
      </c>
      <c r="D1540" t="s">
        <v>21</v>
      </c>
      <c r="E1540" t="s">
        <v>14</v>
      </c>
      <c r="F1540">
        <v>154</v>
      </c>
      <c r="G1540">
        <v>95</v>
      </c>
      <c r="H1540">
        <v>0.21</v>
      </c>
      <c r="I1540" t="s">
        <v>23</v>
      </c>
      <c r="J1540">
        <v>37</v>
      </c>
      <c r="K1540">
        <v>0</v>
      </c>
      <c r="L1540">
        <v>0</v>
      </c>
      <c r="M1540">
        <f>VLOOKUP(Table1[[#This Row],[subscription_type]],Plans!$A$1:$B$5,2,FALSE)</f>
        <v>0</v>
      </c>
      <c r="N1540">
        <f t="shared" si="24"/>
        <v>0</v>
      </c>
    </row>
    <row r="1541" spans="1:14" x14ac:dyDescent="0.35">
      <c r="A1541">
        <v>1540</v>
      </c>
      <c r="B1541" t="s">
        <v>20</v>
      </c>
      <c r="C1541">
        <v>16</v>
      </c>
      <c r="D1541" t="s">
        <v>17</v>
      </c>
      <c r="E1541" t="s">
        <v>14</v>
      </c>
      <c r="F1541">
        <v>76</v>
      </c>
      <c r="G1541">
        <v>30</v>
      </c>
      <c r="H1541">
        <v>0.57999999999999996</v>
      </c>
      <c r="I1541" t="s">
        <v>19</v>
      </c>
      <c r="J1541">
        <v>6</v>
      </c>
      <c r="K1541">
        <v>0</v>
      </c>
      <c r="L1541">
        <v>1</v>
      </c>
      <c r="M1541">
        <f>VLOOKUP(Table1[[#This Row],[subscription_type]],Plans!$A$1:$B$5,2,FALSE)</f>
        <v>0</v>
      </c>
      <c r="N1541">
        <f t="shared" si="24"/>
        <v>0</v>
      </c>
    </row>
    <row r="1542" spans="1:14" x14ac:dyDescent="0.35">
      <c r="A1542">
        <v>1541</v>
      </c>
      <c r="B1542" t="s">
        <v>20</v>
      </c>
      <c r="C1542">
        <v>27</v>
      </c>
      <c r="D1542" t="s">
        <v>26</v>
      </c>
      <c r="E1542" t="s">
        <v>22</v>
      </c>
      <c r="F1542">
        <v>36</v>
      </c>
      <c r="G1542">
        <v>57</v>
      </c>
      <c r="H1542">
        <v>0.39</v>
      </c>
      <c r="I1542" t="s">
        <v>23</v>
      </c>
      <c r="J1542">
        <v>0</v>
      </c>
      <c r="K1542">
        <v>1</v>
      </c>
      <c r="L1542">
        <v>0</v>
      </c>
      <c r="M1542">
        <f>VLOOKUP(Table1[[#This Row],[subscription_type]],Plans!$A$1:$B$5,2,FALSE)</f>
        <v>9.99</v>
      </c>
      <c r="N1542">
        <f t="shared" si="24"/>
        <v>0</v>
      </c>
    </row>
    <row r="1543" spans="1:14" x14ac:dyDescent="0.35">
      <c r="A1543">
        <v>1542</v>
      </c>
      <c r="B1543" t="s">
        <v>16</v>
      </c>
      <c r="C1543">
        <v>59</v>
      </c>
      <c r="D1543" t="s">
        <v>25</v>
      </c>
      <c r="E1543" t="s">
        <v>22</v>
      </c>
      <c r="F1543">
        <v>79</v>
      </c>
      <c r="G1543">
        <v>24</v>
      </c>
      <c r="H1543">
        <v>0.28000000000000003</v>
      </c>
      <c r="I1543" t="s">
        <v>23</v>
      </c>
      <c r="J1543">
        <v>0</v>
      </c>
      <c r="K1543">
        <v>1</v>
      </c>
      <c r="L1543">
        <v>0</v>
      </c>
      <c r="M1543">
        <f>VLOOKUP(Table1[[#This Row],[subscription_type]],Plans!$A$1:$B$5,2,FALSE)</f>
        <v>9.99</v>
      </c>
      <c r="N1543">
        <f t="shared" si="24"/>
        <v>0</v>
      </c>
    </row>
    <row r="1544" spans="1:14" x14ac:dyDescent="0.35">
      <c r="A1544">
        <v>1543</v>
      </c>
      <c r="B1544" t="s">
        <v>16</v>
      </c>
      <c r="C1544">
        <v>58</v>
      </c>
      <c r="D1544" t="s">
        <v>28</v>
      </c>
      <c r="E1544" t="s">
        <v>18</v>
      </c>
      <c r="F1544">
        <v>238</v>
      </c>
      <c r="G1544">
        <v>74</v>
      </c>
      <c r="H1544">
        <v>0.2</v>
      </c>
      <c r="I1544" t="s">
        <v>15</v>
      </c>
      <c r="J1544">
        <v>0</v>
      </c>
      <c r="K1544">
        <v>1</v>
      </c>
      <c r="L1544">
        <v>1</v>
      </c>
      <c r="M1544">
        <f>VLOOKUP(Table1[[#This Row],[subscription_type]],Plans!$A$1:$B$5,2,FALSE)</f>
        <v>14.99</v>
      </c>
      <c r="N1544">
        <f t="shared" si="24"/>
        <v>14.99</v>
      </c>
    </row>
    <row r="1545" spans="1:14" x14ac:dyDescent="0.35">
      <c r="A1545">
        <v>1544</v>
      </c>
      <c r="B1545" t="s">
        <v>12</v>
      </c>
      <c r="C1545">
        <v>57</v>
      </c>
      <c r="D1545" t="s">
        <v>27</v>
      </c>
      <c r="E1545" t="s">
        <v>18</v>
      </c>
      <c r="F1545">
        <v>64</v>
      </c>
      <c r="G1545">
        <v>71</v>
      </c>
      <c r="H1545">
        <v>0.03</v>
      </c>
      <c r="I1545" t="s">
        <v>15</v>
      </c>
      <c r="J1545">
        <v>0</v>
      </c>
      <c r="K1545">
        <v>1</v>
      </c>
      <c r="L1545">
        <v>0</v>
      </c>
      <c r="M1545">
        <f>VLOOKUP(Table1[[#This Row],[subscription_type]],Plans!$A$1:$B$5,2,FALSE)</f>
        <v>14.99</v>
      </c>
      <c r="N1545">
        <f t="shared" si="24"/>
        <v>0</v>
      </c>
    </row>
    <row r="1546" spans="1:14" x14ac:dyDescent="0.35">
      <c r="A1546">
        <v>1545</v>
      </c>
      <c r="B1546" t="s">
        <v>12</v>
      </c>
      <c r="C1546">
        <v>30</v>
      </c>
      <c r="D1546" t="s">
        <v>29</v>
      </c>
      <c r="E1546" t="s">
        <v>22</v>
      </c>
      <c r="F1546">
        <v>258</v>
      </c>
      <c r="G1546">
        <v>50</v>
      </c>
      <c r="H1546">
        <v>0.11</v>
      </c>
      <c r="I1546" t="s">
        <v>23</v>
      </c>
      <c r="J1546">
        <v>0</v>
      </c>
      <c r="K1546">
        <v>1</v>
      </c>
      <c r="L1546">
        <v>1</v>
      </c>
      <c r="M1546">
        <f>VLOOKUP(Table1[[#This Row],[subscription_type]],Plans!$A$1:$B$5,2,FALSE)</f>
        <v>9.99</v>
      </c>
      <c r="N1546">
        <f t="shared" si="24"/>
        <v>9.99</v>
      </c>
    </row>
    <row r="1547" spans="1:14" x14ac:dyDescent="0.35">
      <c r="A1547">
        <v>1546</v>
      </c>
      <c r="B1547" t="s">
        <v>16</v>
      </c>
      <c r="C1547">
        <v>24</v>
      </c>
      <c r="D1547" t="s">
        <v>17</v>
      </c>
      <c r="E1547" t="s">
        <v>18</v>
      </c>
      <c r="F1547">
        <v>228</v>
      </c>
      <c r="G1547">
        <v>72</v>
      </c>
      <c r="H1547">
        <v>0.38</v>
      </c>
      <c r="I1547" t="s">
        <v>19</v>
      </c>
      <c r="J1547">
        <v>0</v>
      </c>
      <c r="K1547">
        <v>1</v>
      </c>
      <c r="L1547">
        <v>0</v>
      </c>
      <c r="M1547">
        <f>VLOOKUP(Table1[[#This Row],[subscription_type]],Plans!$A$1:$B$5,2,FALSE)</f>
        <v>14.99</v>
      </c>
      <c r="N1547">
        <f t="shared" si="24"/>
        <v>0</v>
      </c>
    </row>
    <row r="1548" spans="1:14" x14ac:dyDescent="0.35">
      <c r="A1548">
        <v>1547</v>
      </c>
      <c r="B1548" t="s">
        <v>12</v>
      </c>
      <c r="C1548">
        <v>51</v>
      </c>
      <c r="D1548" t="s">
        <v>17</v>
      </c>
      <c r="E1548" t="s">
        <v>14</v>
      </c>
      <c r="F1548">
        <v>43</v>
      </c>
      <c r="G1548">
        <v>4</v>
      </c>
      <c r="H1548">
        <v>0.08</v>
      </c>
      <c r="I1548" t="s">
        <v>19</v>
      </c>
      <c r="J1548">
        <v>41</v>
      </c>
      <c r="K1548">
        <v>0</v>
      </c>
      <c r="L1548">
        <v>0</v>
      </c>
      <c r="M1548">
        <f>VLOOKUP(Table1[[#This Row],[subscription_type]],Plans!$A$1:$B$5,2,FALSE)</f>
        <v>0</v>
      </c>
      <c r="N1548">
        <f t="shared" si="24"/>
        <v>0</v>
      </c>
    </row>
    <row r="1549" spans="1:14" x14ac:dyDescent="0.35">
      <c r="A1549">
        <v>1548</v>
      </c>
      <c r="B1549" t="s">
        <v>12</v>
      </c>
      <c r="C1549">
        <v>50</v>
      </c>
      <c r="D1549" t="s">
        <v>21</v>
      </c>
      <c r="E1549" t="s">
        <v>14</v>
      </c>
      <c r="F1549">
        <v>162</v>
      </c>
      <c r="G1549">
        <v>40</v>
      </c>
      <c r="H1549">
        <v>0.24</v>
      </c>
      <c r="I1549" t="s">
        <v>19</v>
      </c>
      <c r="J1549">
        <v>11</v>
      </c>
      <c r="K1549">
        <v>0</v>
      </c>
      <c r="L1549">
        <v>0</v>
      </c>
      <c r="M1549">
        <f>VLOOKUP(Table1[[#This Row],[subscription_type]],Plans!$A$1:$B$5,2,FALSE)</f>
        <v>0</v>
      </c>
      <c r="N1549">
        <f t="shared" si="24"/>
        <v>0</v>
      </c>
    </row>
    <row r="1550" spans="1:14" x14ac:dyDescent="0.35">
      <c r="A1550">
        <v>1549</v>
      </c>
      <c r="B1550" t="s">
        <v>16</v>
      </c>
      <c r="C1550">
        <v>33</v>
      </c>
      <c r="D1550" t="s">
        <v>27</v>
      </c>
      <c r="E1550" t="s">
        <v>18</v>
      </c>
      <c r="F1550">
        <v>144</v>
      </c>
      <c r="G1550">
        <v>66</v>
      </c>
      <c r="H1550">
        <v>0.05</v>
      </c>
      <c r="I1550" t="s">
        <v>15</v>
      </c>
      <c r="J1550">
        <v>0</v>
      </c>
      <c r="K1550">
        <v>1</v>
      </c>
      <c r="L1550">
        <v>0</v>
      </c>
      <c r="M1550">
        <f>VLOOKUP(Table1[[#This Row],[subscription_type]],Plans!$A$1:$B$5,2,FALSE)</f>
        <v>14.99</v>
      </c>
      <c r="N1550">
        <f t="shared" si="24"/>
        <v>0</v>
      </c>
    </row>
    <row r="1551" spans="1:14" x14ac:dyDescent="0.35">
      <c r="A1551">
        <v>1550</v>
      </c>
      <c r="B1551" t="s">
        <v>12</v>
      </c>
      <c r="C1551">
        <v>31</v>
      </c>
      <c r="D1551" t="s">
        <v>25</v>
      </c>
      <c r="E1551" t="s">
        <v>18</v>
      </c>
      <c r="F1551">
        <v>74</v>
      </c>
      <c r="G1551">
        <v>78</v>
      </c>
      <c r="H1551">
        <v>0.39</v>
      </c>
      <c r="I1551" t="s">
        <v>15</v>
      </c>
      <c r="J1551">
        <v>0</v>
      </c>
      <c r="K1551">
        <v>1</v>
      </c>
      <c r="L1551">
        <v>1</v>
      </c>
      <c r="M1551">
        <f>VLOOKUP(Table1[[#This Row],[subscription_type]],Plans!$A$1:$B$5,2,FALSE)</f>
        <v>14.99</v>
      </c>
      <c r="N1551">
        <f t="shared" si="24"/>
        <v>14.99</v>
      </c>
    </row>
    <row r="1552" spans="1:14" x14ac:dyDescent="0.35">
      <c r="A1552">
        <v>1551</v>
      </c>
      <c r="B1552" t="s">
        <v>20</v>
      </c>
      <c r="C1552">
        <v>28</v>
      </c>
      <c r="D1552" t="s">
        <v>17</v>
      </c>
      <c r="E1552" t="s">
        <v>24</v>
      </c>
      <c r="F1552">
        <v>213</v>
      </c>
      <c r="G1552">
        <v>48</v>
      </c>
      <c r="H1552">
        <v>0.22</v>
      </c>
      <c r="I1552" t="s">
        <v>15</v>
      </c>
      <c r="J1552">
        <v>0</v>
      </c>
      <c r="K1552">
        <v>1</v>
      </c>
      <c r="L1552">
        <v>1</v>
      </c>
      <c r="M1552">
        <f>VLOOKUP(Table1[[#This Row],[subscription_type]],Plans!$A$1:$B$5,2,FALSE)</f>
        <v>4.99</v>
      </c>
      <c r="N1552">
        <f t="shared" si="24"/>
        <v>4.99</v>
      </c>
    </row>
    <row r="1553" spans="1:14" x14ac:dyDescent="0.35">
      <c r="A1553">
        <v>1552</v>
      </c>
      <c r="B1553" t="s">
        <v>12</v>
      </c>
      <c r="C1553">
        <v>47</v>
      </c>
      <c r="D1553" t="s">
        <v>26</v>
      </c>
      <c r="E1553" t="s">
        <v>18</v>
      </c>
      <c r="F1553">
        <v>108</v>
      </c>
      <c r="G1553">
        <v>56</v>
      </c>
      <c r="H1553">
        <v>0.28000000000000003</v>
      </c>
      <c r="I1553" t="s">
        <v>19</v>
      </c>
      <c r="J1553">
        <v>0</v>
      </c>
      <c r="K1553">
        <v>1</v>
      </c>
      <c r="L1553">
        <v>0</v>
      </c>
      <c r="M1553">
        <f>VLOOKUP(Table1[[#This Row],[subscription_type]],Plans!$A$1:$B$5,2,FALSE)</f>
        <v>14.99</v>
      </c>
      <c r="N1553">
        <f t="shared" si="24"/>
        <v>0</v>
      </c>
    </row>
    <row r="1554" spans="1:14" x14ac:dyDescent="0.35">
      <c r="A1554">
        <v>1553</v>
      </c>
      <c r="B1554" t="s">
        <v>20</v>
      </c>
      <c r="C1554">
        <v>23</v>
      </c>
      <c r="D1554" t="s">
        <v>28</v>
      </c>
      <c r="E1554" t="s">
        <v>14</v>
      </c>
      <c r="F1554">
        <v>127</v>
      </c>
      <c r="G1554">
        <v>95</v>
      </c>
      <c r="H1554">
        <v>0.27</v>
      </c>
      <c r="I1554" t="s">
        <v>23</v>
      </c>
      <c r="J1554">
        <v>16</v>
      </c>
      <c r="K1554">
        <v>0</v>
      </c>
      <c r="L1554">
        <v>0</v>
      </c>
      <c r="M1554">
        <f>VLOOKUP(Table1[[#This Row],[subscription_type]],Plans!$A$1:$B$5,2,FALSE)</f>
        <v>0</v>
      </c>
      <c r="N1554">
        <f t="shared" si="24"/>
        <v>0</v>
      </c>
    </row>
    <row r="1555" spans="1:14" x14ac:dyDescent="0.35">
      <c r="A1555">
        <v>1554</v>
      </c>
      <c r="B1555" t="s">
        <v>20</v>
      </c>
      <c r="C1555">
        <v>59</v>
      </c>
      <c r="D1555" t="s">
        <v>28</v>
      </c>
      <c r="E1555" t="s">
        <v>14</v>
      </c>
      <c r="F1555">
        <v>295</v>
      </c>
      <c r="G1555">
        <v>8</v>
      </c>
      <c r="H1555">
        <v>0.41</v>
      </c>
      <c r="I1555" t="s">
        <v>19</v>
      </c>
      <c r="J1555">
        <v>47</v>
      </c>
      <c r="K1555">
        <v>0</v>
      </c>
      <c r="L1555">
        <v>1</v>
      </c>
      <c r="M1555">
        <f>VLOOKUP(Table1[[#This Row],[subscription_type]],Plans!$A$1:$B$5,2,FALSE)</f>
        <v>0</v>
      </c>
      <c r="N1555">
        <f t="shared" si="24"/>
        <v>0</v>
      </c>
    </row>
    <row r="1556" spans="1:14" x14ac:dyDescent="0.35">
      <c r="A1556">
        <v>1555</v>
      </c>
      <c r="B1556" t="s">
        <v>12</v>
      </c>
      <c r="C1556">
        <v>19</v>
      </c>
      <c r="D1556" t="s">
        <v>29</v>
      </c>
      <c r="E1556" t="s">
        <v>24</v>
      </c>
      <c r="F1556">
        <v>71</v>
      </c>
      <c r="G1556">
        <v>50</v>
      </c>
      <c r="H1556">
        <v>0.27</v>
      </c>
      <c r="I1556" t="s">
        <v>15</v>
      </c>
      <c r="J1556">
        <v>0</v>
      </c>
      <c r="K1556">
        <v>1</v>
      </c>
      <c r="L1556">
        <v>0</v>
      </c>
      <c r="M1556">
        <f>VLOOKUP(Table1[[#This Row],[subscription_type]],Plans!$A$1:$B$5,2,FALSE)</f>
        <v>4.99</v>
      </c>
      <c r="N1556">
        <f t="shared" si="24"/>
        <v>0</v>
      </c>
    </row>
    <row r="1557" spans="1:14" x14ac:dyDescent="0.35">
      <c r="A1557">
        <v>1556</v>
      </c>
      <c r="B1557" t="s">
        <v>20</v>
      </c>
      <c r="C1557">
        <v>35</v>
      </c>
      <c r="D1557" t="s">
        <v>26</v>
      </c>
      <c r="E1557" t="s">
        <v>22</v>
      </c>
      <c r="F1557">
        <v>156</v>
      </c>
      <c r="G1557">
        <v>44</v>
      </c>
      <c r="H1557">
        <v>0.56000000000000005</v>
      </c>
      <c r="I1557" t="s">
        <v>23</v>
      </c>
      <c r="J1557">
        <v>0</v>
      </c>
      <c r="K1557">
        <v>1</v>
      </c>
      <c r="L1557">
        <v>0</v>
      </c>
      <c r="M1557">
        <f>VLOOKUP(Table1[[#This Row],[subscription_type]],Plans!$A$1:$B$5,2,FALSE)</f>
        <v>9.99</v>
      </c>
      <c r="N1557">
        <f t="shared" si="24"/>
        <v>0</v>
      </c>
    </row>
    <row r="1558" spans="1:14" x14ac:dyDescent="0.35">
      <c r="A1558">
        <v>1557</v>
      </c>
      <c r="B1558" t="s">
        <v>12</v>
      </c>
      <c r="C1558">
        <v>44</v>
      </c>
      <c r="D1558" t="s">
        <v>27</v>
      </c>
      <c r="E1558" t="s">
        <v>24</v>
      </c>
      <c r="F1558">
        <v>35</v>
      </c>
      <c r="G1558">
        <v>64</v>
      </c>
      <c r="H1558">
        <v>0.39</v>
      </c>
      <c r="I1558" t="s">
        <v>23</v>
      </c>
      <c r="J1558">
        <v>0</v>
      </c>
      <c r="K1558">
        <v>1</v>
      </c>
      <c r="L1558">
        <v>0</v>
      </c>
      <c r="M1558">
        <f>VLOOKUP(Table1[[#This Row],[subscription_type]],Plans!$A$1:$B$5,2,FALSE)</f>
        <v>4.99</v>
      </c>
      <c r="N1558">
        <f t="shared" si="24"/>
        <v>0</v>
      </c>
    </row>
    <row r="1559" spans="1:14" x14ac:dyDescent="0.35">
      <c r="A1559">
        <v>1558</v>
      </c>
      <c r="B1559" t="s">
        <v>12</v>
      </c>
      <c r="C1559">
        <v>36</v>
      </c>
      <c r="D1559" t="s">
        <v>26</v>
      </c>
      <c r="E1559" t="s">
        <v>24</v>
      </c>
      <c r="F1559">
        <v>149</v>
      </c>
      <c r="G1559">
        <v>21</v>
      </c>
      <c r="H1559">
        <v>0.26</v>
      </c>
      <c r="I1559" t="s">
        <v>19</v>
      </c>
      <c r="J1559">
        <v>0</v>
      </c>
      <c r="K1559">
        <v>1</v>
      </c>
      <c r="L1559">
        <v>0</v>
      </c>
      <c r="M1559">
        <f>VLOOKUP(Table1[[#This Row],[subscription_type]],Plans!$A$1:$B$5,2,FALSE)</f>
        <v>4.99</v>
      </c>
      <c r="N1559">
        <f t="shared" si="24"/>
        <v>0</v>
      </c>
    </row>
    <row r="1560" spans="1:14" x14ac:dyDescent="0.35">
      <c r="A1560">
        <v>1559</v>
      </c>
      <c r="B1560" t="s">
        <v>12</v>
      </c>
      <c r="C1560">
        <v>52</v>
      </c>
      <c r="D1560" t="s">
        <v>29</v>
      </c>
      <c r="E1560" t="s">
        <v>24</v>
      </c>
      <c r="F1560">
        <v>160</v>
      </c>
      <c r="G1560">
        <v>46</v>
      </c>
      <c r="H1560">
        <v>0.3</v>
      </c>
      <c r="I1560" t="s">
        <v>23</v>
      </c>
      <c r="J1560">
        <v>0</v>
      </c>
      <c r="K1560">
        <v>1</v>
      </c>
      <c r="L1560">
        <v>0</v>
      </c>
      <c r="M1560">
        <f>VLOOKUP(Table1[[#This Row],[subscription_type]],Plans!$A$1:$B$5,2,FALSE)</f>
        <v>4.99</v>
      </c>
      <c r="N1560">
        <f t="shared" si="24"/>
        <v>0</v>
      </c>
    </row>
    <row r="1561" spans="1:14" x14ac:dyDescent="0.35">
      <c r="A1561">
        <v>1560</v>
      </c>
      <c r="B1561" t="s">
        <v>20</v>
      </c>
      <c r="C1561">
        <v>48</v>
      </c>
      <c r="D1561" t="s">
        <v>26</v>
      </c>
      <c r="E1561" t="s">
        <v>24</v>
      </c>
      <c r="F1561">
        <v>190</v>
      </c>
      <c r="G1561">
        <v>26</v>
      </c>
      <c r="H1561">
        <v>0.51</v>
      </c>
      <c r="I1561" t="s">
        <v>19</v>
      </c>
      <c r="J1561">
        <v>0</v>
      </c>
      <c r="K1561">
        <v>1</v>
      </c>
      <c r="L1561">
        <v>1</v>
      </c>
      <c r="M1561">
        <f>VLOOKUP(Table1[[#This Row],[subscription_type]],Plans!$A$1:$B$5,2,FALSE)</f>
        <v>4.99</v>
      </c>
      <c r="N1561">
        <f t="shared" si="24"/>
        <v>4.99</v>
      </c>
    </row>
    <row r="1562" spans="1:14" x14ac:dyDescent="0.35">
      <c r="A1562">
        <v>1561</v>
      </c>
      <c r="B1562" t="s">
        <v>16</v>
      </c>
      <c r="C1562">
        <v>56</v>
      </c>
      <c r="D1562" t="s">
        <v>13</v>
      </c>
      <c r="E1562" t="s">
        <v>22</v>
      </c>
      <c r="F1562">
        <v>37</v>
      </c>
      <c r="G1562">
        <v>9</v>
      </c>
      <c r="H1562">
        <v>0.28999999999999998</v>
      </c>
      <c r="I1562" t="s">
        <v>15</v>
      </c>
      <c r="J1562">
        <v>0</v>
      </c>
      <c r="K1562">
        <v>1</v>
      </c>
      <c r="L1562">
        <v>0</v>
      </c>
      <c r="M1562">
        <f>VLOOKUP(Table1[[#This Row],[subscription_type]],Plans!$A$1:$B$5,2,FALSE)</f>
        <v>9.99</v>
      </c>
      <c r="N1562">
        <f t="shared" si="24"/>
        <v>0</v>
      </c>
    </row>
    <row r="1563" spans="1:14" x14ac:dyDescent="0.35">
      <c r="A1563">
        <v>1562</v>
      </c>
      <c r="B1563" t="s">
        <v>12</v>
      </c>
      <c r="C1563">
        <v>20</v>
      </c>
      <c r="D1563" t="s">
        <v>29</v>
      </c>
      <c r="E1563" t="s">
        <v>14</v>
      </c>
      <c r="F1563">
        <v>48</v>
      </c>
      <c r="G1563">
        <v>76</v>
      </c>
      <c r="H1563">
        <v>0.17</v>
      </c>
      <c r="I1563" t="s">
        <v>23</v>
      </c>
      <c r="J1563">
        <v>13</v>
      </c>
      <c r="K1563">
        <v>0</v>
      </c>
      <c r="L1563">
        <v>0</v>
      </c>
      <c r="M1563">
        <f>VLOOKUP(Table1[[#This Row],[subscription_type]],Plans!$A$1:$B$5,2,FALSE)</f>
        <v>0</v>
      </c>
      <c r="N1563">
        <f t="shared" si="24"/>
        <v>0</v>
      </c>
    </row>
    <row r="1564" spans="1:14" x14ac:dyDescent="0.35">
      <c r="A1564">
        <v>1563</v>
      </c>
      <c r="B1564" t="s">
        <v>12</v>
      </c>
      <c r="C1564">
        <v>57</v>
      </c>
      <c r="D1564" t="s">
        <v>21</v>
      </c>
      <c r="E1564" t="s">
        <v>18</v>
      </c>
      <c r="F1564">
        <v>148</v>
      </c>
      <c r="G1564">
        <v>96</v>
      </c>
      <c r="H1564">
        <v>0.17</v>
      </c>
      <c r="I1564" t="s">
        <v>15</v>
      </c>
      <c r="J1564">
        <v>0</v>
      </c>
      <c r="K1564">
        <v>1</v>
      </c>
      <c r="L1564">
        <v>0</v>
      </c>
      <c r="M1564">
        <f>VLOOKUP(Table1[[#This Row],[subscription_type]],Plans!$A$1:$B$5,2,FALSE)</f>
        <v>14.99</v>
      </c>
      <c r="N1564">
        <f t="shared" si="24"/>
        <v>0</v>
      </c>
    </row>
    <row r="1565" spans="1:14" x14ac:dyDescent="0.35">
      <c r="A1565">
        <v>1564</v>
      </c>
      <c r="B1565" t="s">
        <v>12</v>
      </c>
      <c r="C1565">
        <v>17</v>
      </c>
      <c r="D1565" t="s">
        <v>17</v>
      </c>
      <c r="E1565" t="s">
        <v>22</v>
      </c>
      <c r="F1565">
        <v>156</v>
      </c>
      <c r="G1565">
        <v>23</v>
      </c>
      <c r="H1565">
        <v>0.03</v>
      </c>
      <c r="I1565" t="s">
        <v>15</v>
      </c>
      <c r="J1565">
        <v>0</v>
      </c>
      <c r="K1565">
        <v>1</v>
      </c>
      <c r="L1565">
        <v>0</v>
      </c>
      <c r="M1565">
        <f>VLOOKUP(Table1[[#This Row],[subscription_type]],Plans!$A$1:$B$5,2,FALSE)</f>
        <v>9.99</v>
      </c>
      <c r="N1565">
        <f t="shared" si="24"/>
        <v>0</v>
      </c>
    </row>
    <row r="1566" spans="1:14" x14ac:dyDescent="0.35">
      <c r="A1566">
        <v>1565</v>
      </c>
      <c r="B1566" t="s">
        <v>20</v>
      </c>
      <c r="C1566">
        <v>40</v>
      </c>
      <c r="D1566" t="s">
        <v>25</v>
      </c>
      <c r="E1566" t="s">
        <v>22</v>
      </c>
      <c r="F1566">
        <v>171</v>
      </c>
      <c r="G1566">
        <v>45</v>
      </c>
      <c r="H1566">
        <v>0.42</v>
      </c>
      <c r="I1566" t="s">
        <v>19</v>
      </c>
      <c r="J1566">
        <v>0</v>
      </c>
      <c r="K1566">
        <v>1</v>
      </c>
      <c r="L1566">
        <v>0</v>
      </c>
      <c r="M1566">
        <f>VLOOKUP(Table1[[#This Row],[subscription_type]],Plans!$A$1:$B$5,2,FALSE)</f>
        <v>9.99</v>
      </c>
      <c r="N1566">
        <f t="shared" si="24"/>
        <v>0</v>
      </c>
    </row>
    <row r="1567" spans="1:14" x14ac:dyDescent="0.35">
      <c r="A1567">
        <v>1566</v>
      </c>
      <c r="B1567" t="s">
        <v>20</v>
      </c>
      <c r="C1567">
        <v>54</v>
      </c>
      <c r="D1567" t="s">
        <v>29</v>
      </c>
      <c r="E1567" t="s">
        <v>18</v>
      </c>
      <c r="F1567">
        <v>276</v>
      </c>
      <c r="G1567">
        <v>39</v>
      </c>
      <c r="H1567">
        <v>0.16</v>
      </c>
      <c r="I1567" t="s">
        <v>19</v>
      </c>
      <c r="J1567">
        <v>0</v>
      </c>
      <c r="K1567">
        <v>1</v>
      </c>
      <c r="L1567">
        <v>1</v>
      </c>
      <c r="M1567">
        <f>VLOOKUP(Table1[[#This Row],[subscription_type]],Plans!$A$1:$B$5,2,FALSE)</f>
        <v>14.99</v>
      </c>
      <c r="N1567">
        <f t="shared" si="24"/>
        <v>14.99</v>
      </c>
    </row>
    <row r="1568" spans="1:14" x14ac:dyDescent="0.35">
      <c r="A1568">
        <v>1567</v>
      </c>
      <c r="B1568" t="s">
        <v>16</v>
      </c>
      <c r="C1568">
        <v>38</v>
      </c>
      <c r="D1568" t="s">
        <v>13</v>
      </c>
      <c r="E1568" t="s">
        <v>18</v>
      </c>
      <c r="F1568">
        <v>178</v>
      </c>
      <c r="G1568">
        <v>96</v>
      </c>
      <c r="H1568">
        <v>7.0000000000000007E-2</v>
      </c>
      <c r="I1568" t="s">
        <v>19</v>
      </c>
      <c r="J1568">
        <v>0</v>
      </c>
      <c r="K1568">
        <v>1</v>
      </c>
      <c r="L1568">
        <v>0</v>
      </c>
      <c r="M1568">
        <f>VLOOKUP(Table1[[#This Row],[subscription_type]],Plans!$A$1:$B$5,2,FALSE)</f>
        <v>14.99</v>
      </c>
      <c r="N1568">
        <f t="shared" si="24"/>
        <v>0</v>
      </c>
    </row>
    <row r="1569" spans="1:14" x14ac:dyDescent="0.35">
      <c r="A1569">
        <v>1568</v>
      </c>
      <c r="B1569" t="s">
        <v>12</v>
      </c>
      <c r="C1569">
        <v>30</v>
      </c>
      <c r="D1569" t="s">
        <v>26</v>
      </c>
      <c r="E1569" t="s">
        <v>14</v>
      </c>
      <c r="F1569">
        <v>193</v>
      </c>
      <c r="G1569">
        <v>66</v>
      </c>
      <c r="H1569">
        <v>0.56999999999999995</v>
      </c>
      <c r="I1569" t="s">
        <v>15</v>
      </c>
      <c r="J1569">
        <v>43</v>
      </c>
      <c r="K1569">
        <v>0</v>
      </c>
      <c r="L1569">
        <v>1</v>
      </c>
      <c r="M1569">
        <f>VLOOKUP(Table1[[#This Row],[subscription_type]],Plans!$A$1:$B$5,2,FALSE)</f>
        <v>0</v>
      </c>
      <c r="N1569">
        <f t="shared" si="24"/>
        <v>0</v>
      </c>
    </row>
    <row r="1570" spans="1:14" x14ac:dyDescent="0.35">
      <c r="A1570">
        <v>1569</v>
      </c>
      <c r="B1570" t="s">
        <v>12</v>
      </c>
      <c r="C1570">
        <v>36</v>
      </c>
      <c r="D1570" t="s">
        <v>17</v>
      </c>
      <c r="E1570" t="s">
        <v>14</v>
      </c>
      <c r="F1570">
        <v>68</v>
      </c>
      <c r="G1570">
        <v>20</v>
      </c>
      <c r="H1570">
        <v>0.47</v>
      </c>
      <c r="I1570" t="s">
        <v>19</v>
      </c>
      <c r="J1570">
        <v>17</v>
      </c>
      <c r="K1570">
        <v>0</v>
      </c>
      <c r="L1570">
        <v>0</v>
      </c>
      <c r="M1570">
        <f>VLOOKUP(Table1[[#This Row],[subscription_type]],Plans!$A$1:$B$5,2,FALSE)</f>
        <v>0</v>
      </c>
      <c r="N1570">
        <f t="shared" si="24"/>
        <v>0</v>
      </c>
    </row>
    <row r="1571" spans="1:14" x14ac:dyDescent="0.35">
      <c r="A1571">
        <v>1570</v>
      </c>
      <c r="B1571" t="s">
        <v>20</v>
      </c>
      <c r="C1571">
        <v>47</v>
      </c>
      <c r="D1571" t="s">
        <v>29</v>
      </c>
      <c r="E1571" t="s">
        <v>14</v>
      </c>
      <c r="F1571">
        <v>237</v>
      </c>
      <c r="G1571">
        <v>74</v>
      </c>
      <c r="H1571">
        <v>0.5</v>
      </c>
      <c r="I1571" t="s">
        <v>23</v>
      </c>
      <c r="J1571">
        <v>48</v>
      </c>
      <c r="K1571">
        <v>0</v>
      </c>
      <c r="L1571">
        <v>1</v>
      </c>
      <c r="M1571">
        <f>VLOOKUP(Table1[[#This Row],[subscription_type]],Plans!$A$1:$B$5,2,FALSE)</f>
        <v>0</v>
      </c>
      <c r="N1571">
        <f t="shared" si="24"/>
        <v>0</v>
      </c>
    </row>
    <row r="1572" spans="1:14" x14ac:dyDescent="0.35">
      <c r="A1572">
        <v>1571</v>
      </c>
      <c r="B1572" t="s">
        <v>12</v>
      </c>
      <c r="C1572">
        <v>39</v>
      </c>
      <c r="D1572" t="s">
        <v>17</v>
      </c>
      <c r="E1572" t="s">
        <v>24</v>
      </c>
      <c r="F1572">
        <v>54</v>
      </c>
      <c r="G1572">
        <v>20</v>
      </c>
      <c r="H1572">
        <v>0.19</v>
      </c>
      <c r="I1572" t="s">
        <v>15</v>
      </c>
      <c r="J1572">
        <v>0</v>
      </c>
      <c r="K1572">
        <v>1</v>
      </c>
      <c r="L1572">
        <v>0</v>
      </c>
      <c r="M1572">
        <f>VLOOKUP(Table1[[#This Row],[subscription_type]],Plans!$A$1:$B$5,2,FALSE)</f>
        <v>4.99</v>
      </c>
      <c r="N1572">
        <f t="shared" si="24"/>
        <v>0</v>
      </c>
    </row>
    <row r="1573" spans="1:14" x14ac:dyDescent="0.35">
      <c r="A1573">
        <v>1572</v>
      </c>
      <c r="B1573" t="s">
        <v>12</v>
      </c>
      <c r="C1573">
        <v>16</v>
      </c>
      <c r="D1573" t="s">
        <v>21</v>
      </c>
      <c r="E1573" t="s">
        <v>18</v>
      </c>
      <c r="F1573">
        <v>29</v>
      </c>
      <c r="G1573">
        <v>67</v>
      </c>
      <c r="H1573">
        <v>0.11</v>
      </c>
      <c r="I1573" t="s">
        <v>23</v>
      </c>
      <c r="J1573">
        <v>0</v>
      </c>
      <c r="K1573">
        <v>1</v>
      </c>
      <c r="L1573">
        <v>1</v>
      </c>
      <c r="M1573">
        <f>VLOOKUP(Table1[[#This Row],[subscription_type]],Plans!$A$1:$B$5,2,FALSE)</f>
        <v>14.99</v>
      </c>
      <c r="N1573">
        <f t="shared" si="24"/>
        <v>14.99</v>
      </c>
    </row>
    <row r="1574" spans="1:14" x14ac:dyDescent="0.35">
      <c r="A1574">
        <v>1573</v>
      </c>
      <c r="B1574" t="s">
        <v>16</v>
      </c>
      <c r="C1574">
        <v>48</v>
      </c>
      <c r="D1574" t="s">
        <v>29</v>
      </c>
      <c r="E1574" t="s">
        <v>22</v>
      </c>
      <c r="F1574">
        <v>265</v>
      </c>
      <c r="G1574">
        <v>61</v>
      </c>
      <c r="H1574">
        <v>0.05</v>
      </c>
      <c r="I1574" t="s">
        <v>23</v>
      </c>
      <c r="J1574">
        <v>0</v>
      </c>
      <c r="K1574">
        <v>1</v>
      </c>
      <c r="L1574">
        <v>0</v>
      </c>
      <c r="M1574">
        <f>VLOOKUP(Table1[[#This Row],[subscription_type]],Plans!$A$1:$B$5,2,FALSE)</f>
        <v>9.99</v>
      </c>
      <c r="N1574">
        <f t="shared" si="24"/>
        <v>0</v>
      </c>
    </row>
    <row r="1575" spans="1:14" x14ac:dyDescent="0.35">
      <c r="A1575">
        <v>1574</v>
      </c>
      <c r="B1575" t="s">
        <v>20</v>
      </c>
      <c r="C1575">
        <v>59</v>
      </c>
      <c r="D1575" t="s">
        <v>29</v>
      </c>
      <c r="E1575" t="s">
        <v>24</v>
      </c>
      <c r="F1575">
        <v>138</v>
      </c>
      <c r="G1575">
        <v>72</v>
      </c>
      <c r="H1575">
        <v>0.2</v>
      </c>
      <c r="I1575" t="s">
        <v>23</v>
      </c>
      <c r="J1575">
        <v>0</v>
      </c>
      <c r="K1575">
        <v>1</v>
      </c>
      <c r="L1575">
        <v>0</v>
      </c>
      <c r="M1575">
        <f>VLOOKUP(Table1[[#This Row],[subscription_type]],Plans!$A$1:$B$5,2,FALSE)</f>
        <v>4.99</v>
      </c>
      <c r="N1575">
        <f t="shared" si="24"/>
        <v>0</v>
      </c>
    </row>
    <row r="1576" spans="1:14" x14ac:dyDescent="0.35">
      <c r="A1576">
        <v>1575</v>
      </c>
      <c r="B1576" t="s">
        <v>12</v>
      </c>
      <c r="C1576">
        <v>58</v>
      </c>
      <c r="D1576" t="s">
        <v>26</v>
      </c>
      <c r="E1576" t="s">
        <v>22</v>
      </c>
      <c r="F1576">
        <v>165</v>
      </c>
      <c r="G1576">
        <v>21</v>
      </c>
      <c r="H1576">
        <v>0.02</v>
      </c>
      <c r="I1576" t="s">
        <v>23</v>
      </c>
      <c r="J1576">
        <v>0</v>
      </c>
      <c r="K1576">
        <v>1</v>
      </c>
      <c r="L1576">
        <v>0</v>
      </c>
      <c r="M1576">
        <f>VLOOKUP(Table1[[#This Row],[subscription_type]],Plans!$A$1:$B$5,2,FALSE)</f>
        <v>9.99</v>
      </c>
      <c r="N1576">
        <f t="shared" si="24"/>
        <v>0</v>
      </c>
    </row>
    <row r="1577" spans="1:14" x14ac:dyDescent="0.35">
      <c r="A1577">
        <v>1576</v>
      </c>
      <c r="B1577" t="s">
        <v>16</v>
      </c>
      <c r="C1577">
        <v>41</v>
      </c>
      <c r="D1577" t="s">
        <v>13</v>
      </c>
      <c r="E1577" t="s">
        <v>18</v>
      </c>
      <c r="F1577">
        <v>135</v>
      </c>
      <c r="G1577">
        <v>12</v>
      </c>
      <c r="H1577">
        <v>0.32</v>
      </c>
      <c r="I1577" t="s">
        <v>19</v>
      </c>
      <c r="J1577">
        <v>0</v>
      </c>
      <c r="K1577">
        <v>1</v>
      </c>
      <c r="L1577">
        <v>0</v>
      </c>
      <c r="M1577">
        <f>VLOOKUP(Table1[[#This Row],[subscription_type]],Plans!$A$1:$B$5,2,FALSE)</f>
        <v>14.99</v>
      </c>
      <c r="N1577">
        <f t="shared" si="24"/>
        <v>0</v>
      </c>
    </row>
    <row r="1578" spans="1:14" x14ac:dyDescent="0.35">
      <c r="A1578">
        <v>1577</v>
      </c>
      <c r="B1578" t="s">
        <v>12</v>
      </c>
      <c r="C1578">
        <v>41</v>
      </c>
      <c r="D1578" t="s">
        <v>26</v>
      </c>
      <c r="E1578" t="s">
        <v>14</v>
      </c>
      <c r="F1578">
        <v>156</v>
      </c>
      <c r="G1578">
        <v>9</v>
      </c>
      <c r="H1578">
        <v>0.31</v>
      </c>
      <c r="I1578" t="s">
        <v>23</v>
      </c>
      <c r="J1578">
        <v>25</v>
      </c>
      <c r="K1578">
        <v>0</v>
      </c>
      <c r="L1578">
        <v>0</v>
      </c>
      <c r="M1578">
        <f>VLOOKUP(Table1[[#This Row],[subscription_type]],Plans!$A$1:$B$5,2,FALSE)</f>
        <v>0</v>
      </c>
      <c r="N1578">
        <f t="shared" si="24"/>
        <v>0</v>
      </c>
    </row>
    <row r="1579" spans="1:14" x14ac:dyDescent="0.35">
      <c r="A1579">
        <v>1578</v>
      </c>
      <c r="B1579" t="s">
        <v>16</v>
      </c>
      <c r="C1579">
        <v>49</v>
      </c>
      <c r="D1579" t="s">
        <v>26</v>
      </c>
      <c r="E1579" t="s">
        <v>18</v>
      </c>
      <c r="F1579">
        <v>289</v>
      </c>
      <c r="G1579">
        <v>88</v>
      </c>
      <c r="H1579">
        <v>0.32</v>
      </c>
      <c r="I1579" t="s">
        <v>19</v>
      </c>
      <c r="J1579">
        <v>0</v>
      </c>
      <c r="K1579">
        <v>1</v>
      </c>
      <c r="L1579">
        <v>0</v>
      </c>
      <c r="M1579">
        <f>VLOOKUP(Table1[[#This Row],[subscription_type]],Plans!$A$1:$B$5,2,FALSE)</f>
        <v>14.99</v>
      </c>
      <c r="N1579">
        <f t="shared" si="24"/>
        <v>0</v>
      </c>
    </row>
    <row r="1580" spans="1:14" x14ac:dyDescent="0.35">
      <c r="A1580">
        <v>1579</v>
      </c>
      <c r="B1580" t="s">
        <v>20</v>
      </c>
      <c r="C1580">
        <v>36</v>
      </c>
      <c r="D1580" t="s">
        <v>28</v>
      </c>
      <c r="E1580" t="s">
        <v>14</v>
      </c>
      <c r="F1580">
        <v>205</v>
      </c>
      <c r="G1580">
        <v>33</v>
      </c>
      <c r="H1580">
        <v>0.25</v>
      </c>
      <c r="I1580" t="s">
        <v>19</v>
      </c>
      <c r="J1580">
        <v>46</v>
      </c>
      <c r="K1580">
        <v>0</v>
      </c>
      <c r="L1580">
        <v>1</v>
      </c>
      <c r="M1580">
        <f>VLOOKUP(Table1[[#This Row],[subscription_type]],Plans!$A$1:$B$5,2,FALSE)</f>
        <v>0</v>
      </c>
      <c r="N1580">
        <f t="shared" si="24"/>
        <v>0</v>
      </c>
    </row>
    <row r="1581" spans="1:14" x14ac:dyDescent="0.35">
      <c r="A1581">
        <v>1580</v>
      </c>
      <c r="B1581" t="s">
        <v>20</v>
      </c>
      <c r="C1581">
        <v>58</v>
      </c>
      <c r="D1581" t="s">
        <v>25</v>
      </c>
      <c r="E1581" t="s">
        <v>24</v>
      </c>
      <c r="F1581">
        <v>158</v>
      </c>
      <c r="G1581">
        <v>66</v>
      </c>
      <c r="H1581">
        <v>0.04</v>
      </c>
      <c r="I1581" t="s">
        <v>15</v>
      </c>
      <c r="J1581">
        <v>0</v>
      </c>
      <c r="K1581">
        <v>1</v>
      </c>
      <c r="L1581">
        <v>0</v>
      </c>
      <c r="M1581">
        <f>VLOOKUP(Table1[[#This Row],[subscription_type]],Plans!$A$1:$B$5,2,FALSE)</f>
        <v>4.99</v>
      </c>
      <c r="N1581">
        <f t="shared" si="24"/>
        <v>0</v>
      </c>
    </row>
    <row r="1582" spans="1:14" x14ac:dyDescent="0.35">
      <c r="A1582">
        <v>1581</v>
      </c>
      <c r="B1582" t="s">
        <v>20</v>
      </c>
      <c r="C1582">
        <v>47</v>
      </c>
      <c r="D1582" t="s">
        <v>28</v>
      </c>
      <c r="E1582" t="s">
        <v>24</v>
      </c>
      <c r="F1582">
        <v>150</v>
      </c>
      <c r="G1582">
        <v>52</v>
      </c>
      <c r="H1582">
        <v>0.03</v>
      </c>
      <c r="I1582" t="s">
        <v>19</v>
      </c>
      <c r="J1582">
        <v>0</v>
      </c>
      <c r="K1582">
        <v>1</v>
      </c>
      <c r="L1582">
        <v>0</v>
      </c>
      <c r="M1582">
        <f>VLOOKUP(Table1[[#This Row],[subscription_type]],Plans!$A$1:$B$5,2,FALSE)</f>
        <v>4.99</v>
      </c>
      <c r="N1582">
        <f t="shared" si="24"/>
        <v>0</v>
      </c>
    </row>
    <row r="1583" spans="1:14" x14ac:dyDescent="0.35">
      <c r="A1583">
        <v>1582</v>
      </c>
      <c r="B1583" t="s">
        <v>20</v>
      </c>
      <c r="C1583">
        <v>42</v>
      </c>
      <c r="D1583" t="s">
        <v>17</v>
      </c>
      <c r="E1583" t="s">
        <v>24</v>
      </c>
      <c r="F1583">
        <v>83</v>
      </c>
      <c r="G1583">
        <v>12</v>
      </c>
      <c r="H1583">
        <v>0.04</v>
      </c>
      <c r="I1583" t="s">
        <v>15</v>
      </c>
      <c r="J1583">
        <v>0</v>
      </c>
      <c r="K1583">
        <v>1</v>
      </c>
      <c r="L1583">
        <v>0</v>
      </c>
      <c r="M1583">
        <f>VLOOKUP(Table1[[#This Row],[subscription_type]],Plans!$A$1:$B$5,2,FALSE)</f>
        <v>4.99</v>
      </c>
      <c r="N1583">
        <f t="shared" si="24"/>
        <v>0</v>
      </c>
    </row>
    <row r="1584" spans="1:14" x14ac:dyDescent="0.35">
      <c r="A1584">
        <v>1583</v>
      </c>
      <c r="B1584" t="s">
        <v>16</v>
      </c>
      <c r="C1584">
        <v>27</v>
      </c>
      <c r="D1584" t="s">
        <v>29</v>
      </c>
      <c r="E1584" t="s">
        <v>14</v>
      </c>
      <c r="F1584">
        <v>216</v>
      </c>
      <c r="G1584">
        <v>49</v>
      </c>
      <c r="H1584">
        <v>0.05</v>
      </c>
      <c r="I1584" t="s">
        <v>23</v>
      </c>
      <c r="J1584">
        <v>31</v>
      </c>
      <c r="K1584">
        <v>0</v>
      </c>
      <c r="L1584">
        <v>0</v>
      </c>
      <c r="M1584">
        <f>VLOOKUP(Table1[[#This Row],[subscription_type]],Plans!$A$1:$B$5,2,FALSE)</f>
        <v>0</v>
      </c>
      <c r="N1584">
        <f t="shared" si="24"/>
        <v>0</v>
      </c>
    </row>
    <row r="1585" spans="1:14" x14ac:dyDescent="0.35">
      <c r="A1585">
        <v>1584</v>
      </c>
      <c r="B1585" t="s">
        <v>12</v>
      </c>
      <c r="C1585">
        <v>34</v>
      </c>
      <c r="D1585" t="s">
        <v>29</v>
      </c>
      <c r="E1585" t="s">
        <v>22</v>
      </c>
      <c r="F1585">
        <v>99</v>
      </c>
      <c r="G1585">
        <v>78</v>
      </c>
      <c r="H1585">
        <v>0.43</v>
      </c>
      <c r="I1585" t="s">
        <v>15</v>
      </c>
      <c r="J1585">
        <v>0</v>
      </c>
      <c r="K1585">
        <v>1</v>
      </c>
      <c r="L1585">
        <v>0</v>
      </c>
      <c r="M1585">
        <f>VLOOKUP(Table1[[#This Row],[subscription_type]],Plans!$A$1:$B$5,2,FALSE)</f>
        <v>9.99</v>
      </c>
      <c r="N1585">
        <f t="shared" si="24"/>
        <v>0</v>
      </c>
    </row>
    <row r="1586" spans="1:14" x14ac:dyDescent="0.35">
      <c r="A1586">
        <v>1585</v>
      </c>
      <c r="B1586" t="s">
        <v>20</v>
      </c>
      <c r="C1586">
        <v>36</v>
      </c>
      <c r="D1586" t="s">
        <v>21</v>
      </c>
      <c r="E1586" t="s">
        <v>18</v>
      </c>
      <c r="F1586">
        <v>171</v>
      </c>
      <c r="G1586">
        <v>55</v>
      </c>
      <c r="H1586">
        <v>0.15</v>
      </c>
      <c r="I1586" t="s">
        <v>23</v>
      </c>
      <c r="J1586">
        <v>0</v>
      </c>
      <c r="K1586">
        <v>1</v>
      </c>
      <c r="L1586">
        <v>1</v>
      </c>
      <c r="M1586">
        <f>VLOOKUP(Table1[[#This Row],[subscription_type]],Plans!$A$1:$B$5,2,FALSE)</f>
        <v>14.99</v>
      </c>
      <c r="N1586">
        <f t="shared" si="24"/>
        <v>14.99</v>
      </c>
    </row>
    <row r="1587" spans="1:14" x14ac:dyDescent="0.35">
      <c r="A1587">
        <v>1586</v>
      </c>
      <c r="B1587" t="s">
        <v>16</v>
      </c>
      <c r="C1587">
        <v>18</v>
      </c>
      <c r="D1587" t="s">
        <v>13</v>
      </c>
      <c r="E1587" t="s">
        <v>24</v>
      </c>
      <c r="F1587">
        <v>126</v>
      </c>
      <c r="G1587">
        <v>15</v>
      </c>
      <c r="H1587">
        <v>0.08</v>
      </c>
      <c r="I1587" t="s">
        <v>19</v>
      </c>
      <c r="J1587">
        <v>0</v>
      </c>
      <c r="K1587">
        <v>1</v>
      </c>
      <c r="L1587">
        <v>0</v>
      </c>
      <c r="M1587">
        <f>VLOOKUP(Table1[[#This Row],[subscription_type]],Plans!$A$1:$B$5,2,FALSE)</f>
        <v>4.99</v>
      </c>
      <c r="N1587">
        <f t="shared" si="24"/>
        <v>0</v>
      </c>
    </row>
    <row r="1588" spans="1:14" x14ac:dyDescent="0.35">
      <c r="A1588">
        <v>1587</v>
      </c>
      <c r="B1588" t="s">
        <v>12</v>
      </c>
      <c r="C1588">
        <v>39</v>
      </c>
      <c r="D1588" t="s">
        <v>17</v>
      </c>
      <c r="E1588" t="s">
        <v>22</v>
      </c>
      <c r="F1588">
        <v>133</v>
      </c>
      <c r="G1588">
        <v>52</v>
      </c>
      <c r="H1588">
        <v>0.56999999999999995</v>
      </c>
      <c r="I1588" t="s">
        <v>19</v>
      </c>
      <c r="J1588">
        <v>0</v>
      </c>
      <c r="K1588">
        <v>1</v>
      </c>
      <c r="L1588">
        <v>0</v>
      </c>
      <c r="M1588">
        <f>VLOOKUP(Table1[[#This Row],[subscription_type]],Plans!$A$1:$B$5,2,FALSE)</f>
        <v>9.99</v>
      </c>
      <c r="N1588">
        <f t="shared" si="24"/>
        <v>0</v>
      </c>
    </row>
    <row r="1589" spans="1:14" x14ac:dyDescent="0.35">
      <c r="A1589">
        <v>1588</v>
      </c>
      <c r="B1589" t="s">
        <v>12</v>
      </c>
      <c r="C1589">
        <v>56</v>
      </c>
      <c r="D1589" t="s">
        <v>21</v>
      </c>
      <c r="E1589" t="s">
        <v>24</v>
      </c>
      <c r="F1589">
        <v>289</v>
      </c>
      <c r="G1589">
        <v>29</v>
      </c>
      <c r="H1589">
        <v>0.13</v>
      </c>
      <c r="I1589" t="s">
        <v>15</v>
      </c>
      <c r="J1589">
        <v>0</v>
      </c>
      <c r="K1589">
        <v>1</v>
      </c>
      <c r="L1589">
        <v>0</v>
      </c>
      <c r="M1589">
        <f>VLOOKUP(Table1[[#This Row],[subscription_type]],Plans!$A$1:$B$5,2,FALSE)</f>
        <v>4.99</v>
      </c>
      <c r="N1589">
        <f t="shared" si="24"/>
        <v>0</v>
      </c>
    </row>
    <row r="1590" spans="1:14" x14ac:dyDescent="0.35">
      <c r="A1590">
        <v>1589</v>
      </c>
      <c r="B1590" t="s">
        <v>20</v>
      </c>
      <c r="C1590">
        <v>21</v>
      </c>
      <c r="D1590" t="s">
        <v>25</v>
      </c>
      <c r="E1590" t="s">
        <v>14</v>
      </c>
      <c r="F1590">
        <v>215</v>
      </c>
      <c r="G1590">
        <v>30</v>
      </c>
      <c r="H1590">
        <v>0.55000000000000004</v>
      </c>
      <c r="I1590" t="s">
        <v>23</v>
      </c>
      <c r="J1590">
        <v>10</v>
      </c>
      <c r="K1590">
        <v>0</v>
      </c>
      <c r="L1590">
        <v>0</v>
      </c>
      <c r="M1590">
        <f>VLOOKUP(Table1[[#This Row],[subscription_type]],Plans!$A$1:$B$5,2,FALSE)</f>
        <v>0</v>
      </c>
      <c r="N1590">
        <f t="shared" si="24"/>
        <v>0</v>
      </c>
    </row>
    <row r="1591" spans="1:14" x14ac:dyDescent="0.35">
      <c r="A1591">
        <v>1590</v>
      </c>
      <c r="B1591" t="s">
        <v>20</v>
      </c>
      <c r="C1591">
        <v>50</v>
      </c>
      <c r="D1591" t="s">
        <v>13</v>
      </c>
      <c r="E1591" t="s">
        <v>22</v>
      </c>
      <c r="F1591">
        <v>90</v>
      </c>
      <c r="G1591">
        <v>51</v>
      </c>
      <c r="H1591">
        <v>0.1</v>
      </c>
      <c r="I1591" t="s">
        <v>15</v>
      </c>
      <c r="J1591">
        <v>0</v>
      </c>
      <c r="K1591">
        <v>1</v>
      </c>
      <c r="L1591">
        <v>1</v>
      </c>
      <c r="M1591">
        <f>VLOOKUP(Table1[[#This Row],[subscription_type]],Plans!$A$1:$B$5,2,FALSE)</f>
        <v>9.99</v>
      </c>
      <c r="N1591">
        <f t="shared" si="24"/>
        <v>9.99</v>
      </c>
    </row>
    <row r="1592" spans="1:14" x14ac:dyDescent="0.35">
      <c r="A1592">
        <v>1591</v>
      </c>
      <c r="B1592" t="s">
        <v>12</v>
      </c>
      <c r="C1592">
        <v>51</v>
      </c>
      <c r="D1592" t="s">
        <v>17</v>
      </c>
      <c r="E1592" t="s">
        <v>24</v>
      </c>
      <c r="F1592">
        <v>208</v>
      </c>
      <c r="G1592">
        <v>89</v>
      </c>
      <c r="H1592">
        <v>0.11</v>
      </c>
      <c r="I1592" t="s">
        <v>23</v>
      </c>
      <c r="J1592">
        <v>0</v>
      </c>
      <c r="K1592">
        <v>1</v>
      </c>
      <c r="L1592">
        <v>1</v>
      </c>
      <c r="M1592">
        <f>VLOOKUP(Table1[[#This Row],[subscription_type]],Plans!$A$1:$B$5,2,FALSE)</f>
        <v>4.99</v>
      </c>
      <c r="N1592">
        <f t="shared" si="24"/>
        <v>4.99</v>
      </c>
    </row>
    <row r="1593" spans="1:14" x14ac:dyDescent="0.35">
      <c r="A1593">
        <v>1592</v>
      </c>
      <c r="B1593" t="s">
        <v>12</v>
      </c>
      <c r="C1593">
        <v>59</v>
      </c>
      <c r="D1593" t="s">
        <v>21</v>
      </c>
      <c r="E1593" t="s">
        <v>14</v>
      </c>
      <c r="F1593">
        <v>88</v>
      </c>
      <c r="G1593">
        <v>32</v>
      </c>
      <c r="H1593">
        <v>0.1</v>
      </c>
      <c r="I1593" t="s">
        <v>23</v>
      </c>
      <c r="J1593">
        <v>22</v>
      </c>
      <c r="K1593">
        <v>0</v>
      </c>
      <c r="L1593">
        <v>0</v>
      </c>
      <c r="M1593">
        <f>VLOOKUP(Table1[[#This Row],[subscription_type]],Plans!$A$1:$B$5,2,FALSE)</f>
        <v>0</v>
      </c>
      <c r="N1593">
        <f t="shared" si="24"/>
        <v>0</v>
      </c>
    </row>
    <row r="1594" spans="1:14" x14ac:dyDescent="0.35">
      <c r="A1594">
        <v>1593</v>
      </c>
      <c r="B1594" t="s">
        <v>12</v>
      </c>
      <c r="C1594">
        <v>17</v>
      </c>
      <c r="D1594" t="s">
        <v>25</v>
      </c>
      <c r="E1594" t="s">
        <v>14</v>
      </c>
      <c r="F1594">
        <v>18</v>
      </c>
      <c r="G1594">
        <v>82</v>
      </c>
      <c r="H1594">
        <v>0.02</v>
      </c>
      <c r="I1594" t="s">
        <v>23</v>
      </c>
      <c r="J1594">
        <v>38</v>
      </c>
      <c r="K1594">
        <v>0</v>
      </c>
      <c r="L1594">
        <v>1</v>
      </c>
      <c r="M1594">
        <f>VLOOKUP(Table1[[#This Row],[subscription_type]],Plans!$A$1:$B$5,2,FALSE)</f>
        <v>0</v>
      </c>
      <c r="N1594">
        <f t="shared" si="24"/>
        <v>0</v>
      </c>
    </row>
    <row r="1595" spans="1:14" x14ac:dyDescent="0.35">
      <c r="A1595">
        <v>1594</v>
      </c>
      <c r="B1595" t="s">
        <v>12</v>
      </c>
      <c r="C1595">
        <v>58</v>
      </c>
      <c r="D1595" t="s">
        <v>21</v>
      </c>
      <c r="E1595" t="s">
        <v>24</v>
      </c>
      <c r="F1595">
        <v>10</v>
      </c>
      <c r="G1595">
        <v>5</v>
      </c>
      <c r="H1595">
        <v>0.12</v>
      </c>
      <c r="I1595" t="s">
        <v>15</v>
      </c>
      <c r="J1595">
        <v>0</v>
      </c>
      <c r="K1595">
        <v>1</v>
      </c>
      <c r="L1595">
        <v>0</v>
      </c>
      <c r="M1595">
        <f>VLOOKUP(Table1[[#This Row],[subscription_type]],Plans!$A$1:$B$5,2,FALSE)</f>
        <v>4.99</v>
      </c>
      <c r="N1595">
        <f t="shared" si="24"/>
        <v>0</v>
      </c>
    </row>
    <row r="1596" spans="1:14" x14ac:dyDescent="0.35">
      <c r="A1596">
        <v>1595</v>
      </c>
      <c r="B1596" t="s">
        <v>16</v>
      </c>
      <c r="C1596">
        <v>40</v>
      </c>
      <c r="D1596" t="s">
        <v>28</v>
      </c>
      <c r="E1596" t="s">
        <v>24</v>
      </c>
      <c r="F1596">
        <v>232</v>
      </c>
      <c r="G1596">
        <v>43</v>
      </c>
      <c r="H1596">
        <v>0.54</v>
      </c>
      <c r="I1596" t="s">
        <v>19</v>
      </c>
      <c r="J1596">
        <v>0</v>
      </c>
      <c r="K1596">
        <v>1</v>
      </c>
      <c r="L1596">
        <v>1</v>
      </c>
      <c r="M1596">
        <f>VLOOKUP(Table1[[#This Row],[subscription_type]],Plans!$A$1:$B$5,2,FALSE)</f>
        <v>4.99</v>
      </c>
      <c r="N1596">
        <f t="shared" si="24"/>
        <v>4.99</v>
      </c>
    </row>
    <row r="1597" spans="1:14" x14ac:dyDescent="0.35">
      <c r="A1597">
        <v>1596</v>
      </c>
      <c r="B1597" t="s">
        <v>12</v>
      </c>
      <c r="C1597">
        <v>28</v>
      </c>
      <c r="D1597" t="s">
        <v>25</v>
      </c>
      <c r="E1597" t="s">
        <v>14</v>
      </c>
      <c r="F1597">
        <v>110</v>
      </c>
      <c r="G1597">
        <v>26</v>
      </c>
      <c r="H1597">
        <v>0.31</v>
      </c>
      <c r="I1597" t="s">
        <v>23</v>
      </c>
      <c r="J1597">
        <v>40</v>
      </c>
      <c r="K1597">
        <v>0</v>
      </c>
      <c r="L1597">
        <v>1</v>
      </c>
      <c r="M1597">
        <f>VLOOKUP(Table1[[#This Row],[subscription_type]],Plans!$A$1:$B$5,2,FALSE)</f>
        <v>0</v>
      </c>
      <c r="N1597">
        <f t="shared" si="24"/>
        <v>0</v>
      </c>
    </row>
    <row r="1598" spans="1:14" x14ac:dyDescent="0.35">
      <c r="A1598">
        <v>1597</v>
      </c>
      <c r="B1598" t="s">
        <v>12</v>
      </c>
      <c r="C1598">
        <v>55</v>
      </c>
      <c r="D1598" t="s">
        <v>25</v>
      </c>
      <c r="E1598" t="s">
        <v>22</v>
      </c>
      <c r="F1598">
        <v>147</v>
      </c>
      <c r="G1598">
        <v>98</v>
      </c>
      <c r="H1598">
        <v>0.08</v>
      </c>
      <c r="I1598" t="s">
        <v>15</v>
      </c>
      <c r="J1598">
        <v>0</v>
      </c>
      <c r="K1598">
        <v>1</v>
      </c>
      <c r="L1598">
        <v>1</v>
      </c>
      <c r="M1598">
        <f>VLOOKUP(Table1[[#This Row],[subscription_type]],Plans!$A$1:$B$5,2,FALSE)</f>
        <v>9.99</v>
      </c>
      <c r="N1598">
        <f t="shared" si="24"/>
        <v>9.99</v>
      </c>
    </row>
    <row r="1599" spans="1:14" x14ac:dyDescent="0.35">
      <c r="A1599">
        <v>1598</v>
      </c>
      <c r="B1599" t="s">
        <v>16</v>
      </c>
      <c r="C1599">
        <v>17</v>
      </c>
      <c r="D1599" t="s">
        <v>21</v>
      </c>
      <c r="E1599" t="s">
        <v>24</v>
      </c>
      <c r="F1599">
        <v>48</v>
      </c>
      <c r="G1599">
        <v>51</v>
      </c>
      <c r="H1599">
        <v>7.0000000000000007E-2</v>
      </c>
      <c r="I1599" t="s">
        <v>15</v>
      </c>
      <c r="J1599">
        <v>0</v>
      </c>
      <c r="K1599">
        <v>1</v>
      </c>
      <c r="L1599">
        <v>0</v>
      </c>
      <c r="M1599">
        <f>VLOOKUP(Table1[[#This Row],[subscription_type]],Plans!$A$1:$B$5,2,FALSE)</f>
        <v>4.99</v>
      </c>
      <c r="N1599">
        <f t="shared" si="24"/>
        <v>0</v>
      </c>
    </row>
    <row r="1600" spans="1:14" x14ac:dyDescent="0.35">
      <c r="A1600">
        <v>1599</v>
      </c>
      <c r="B1600" t="s">
        <v>16</v>
      </c>
      <c r="C1600">
        <v>23</v>
      </c>
      <c r="D1600" t="s">
        <v>29</v>
      </c>
      <c r="E1600" t="s">
        <v>22</v>
      </c>
      <c r="F1600">
        <v>254</v>
      </c>
      <c r="G1600">
        <v>46</v>
      </c>
      <c r="H1600">
        <v>0.49</v>
      </c>
      <c r="I1600" t="s">
        <v>19</v>
      </c>
      <c r="J1600">
        <v>0</v>
      </c>
      <c r="K1600">
        <v>1</v>
      </c>
      <c r="L1600">
        <v>0</v>
      </c>
      <c r="M1600">
        <f>VLOOKUP(Table1[[#This Row],[subscription_type]],Plans!$A$1:$B$5,2,FALSE)</f>
        <v>9.99</v>
      </c>
      <c r="N1600">
        <f t="shared" si="24"/>
        <v>0</v>
      </c>
    </row>
    <row r="1601" spans="1:14" x14ac:dyDescent="0.35">
      <c r="A1601">
        <v>1600</v>
      </c>
      <c r="B1601" t="s">
        <v>12</v>
      </c>
      <c r="C1601">
        <v>16</v>
      </c>
      <c r="D1601" t="s">
        <v>29</v>
      </c>
      <c r="E1601" t="s">
        <v>24</v>
      </c>
      <c r="F1601">
        <v>268</v>
      </c>
      <c r="G1601">
        <v>16</v>
      </c>
      <c r="H1601">
        <v>0.33</v>
      </c>
      <c r="I1601" t="s">
        <v>15</v>
      </c>
      <c r="J1601">
        <v>0</v>
      </c>
      <c r="K1601">
        <v>1</v>
      </c>
      <c r="L1601">
        <v>1</v>
      </c>
      <c r="M1601">
        <f>VLOOKUP(Table1[[#This Row],[subscription_type]],Plans!$A$1:$B$5,2,FALSE)</f>
        <v>4.99</v>
      </c>
      <c r="N1601">
        <f t="shared" si="24"/>
        <v>4.99</v>
      </c>
    </row>
    <row r="1602" spans="1:14" x14ac:dyDescent="0.35">
      <c r="A1602">
        <v>1601</v>
      </c>
      <c r="B1602" t="s">
        <v>20</v>
      </c>
      <c r="C1602">
        <v>55</v>
      </c>
      <c r="D1602" t="s">
        <v>26</v>
      </c>
      <c r="E1602" t="s">
        <v>18</v>
      </c>
      <c r="F1602">
        <v>220</v>
      </c>
      <c r="G1602">
        <v>54</v>
      </c>
      <c r="H1602">
        <v>0.31</v>
      </c>
      <c r="I1602" t="s">
        <v>19</v>
      </c>
      <c r="J1602">
        <v>0</v>
      </c>
      <c r="K1602">
        <v>1</v>
      </c>
      <c r="L1602">
        <v>1</v>
      </c>
      <c r="M1602">
        <f>VLOOKUP(Table1[[#This Row],[subscription_type]],Plans!$A$1:$B$5,2,FALSE)</f>
        <v>14.99</v>
      </c>
      <c r="N1602">
        <f t="shared" ref="N1602:N1665" si="25">IF(L1602=1, M1602,0)</f>
        <v>14.99</v>
      </c>
    </row>
    <row r="1603" spans="1:14" x14ac:dyDescent="0.35">
      <c r="A1603">
        <v>1602</v>
      </c>
      <c r="B1603" t="s">
        <v>20</v>
      </c>
      <c r="C1603">
        <v>39</v>
      </c>
      <c r="D1603" t="s">
        <v>28</v>
      </c>
      <c r="E1603" t="s">
        <v>14</v>
      </c>
      <c r="F1603">
        <v>299</v>
      </c>
      <c r="G1603">
        <v>56</v>
      </c>
      <c r="H1603">
        <v>0.24</v>
      </c>
      <c r="I1603" t="s">
        <v>19</v>
      </c>
      <c r="J1603">
        <v>15</v>
      </c>
      <c r="K1603">
        <v>0</v>
      </c>
      <c r="L1603">
        <v>0</v>
      </c>
      <c r="M1603">
        <f>VLOOKUP(Table1[[#This Row],[subscription_type]],Plans!$A$1:$B$5,2,FALSE)</f>
        <v>0</v>
      </c>
      <c r="N1603">
        <f t="shared" si="25"/>
        <v>0</v>
      </c>
    </row>
    <row r="1604" spans="1:14" x14ac:dyDescent="0.35">
      <c r="A1604">
        <v>1603</v>
      </c>
      <c r="B1604" t="s">
        <v>20</v>
      </c>
      <c r="C1604">
        <v>48</v>
      </c>
      <c r="D1604" t="s">
        <v>13</v>
      </c>
      <c r="E1604" t="s">
        <v>22</v>
      </c>
      <c r="F1604">
        <v>252</v>
      </c>
      <c r="G1604">
        <v>33</v>
      </c>
      <c r="H1604">
        <v>0.36</v>
      </c>
      <c r="I1604" t="s">
        <v>23</v>
      </c>
      <c r="J1604">
        <v>0</v>
      </c>
      <c r="K1604">
        <v>1</v>
      </c>
      <c r="L1604">
        <v>0</v>
      </c>
      <c r="M1604">
        <f>VLOOKUP(Table1[[#This Row],[subscription_type]],Plans!$A$1:$B$5,2,FALSE)</f>
        <v>9.99</v>
      </c>
      <c r="N1604">
        <f t="shared" si="25"/>
        <v>0</v>
      </c>
    </row>
    <row r="1605" spans="1:14" x14ac:dyDescent="0.35">
      <c r="A1605">
        <v>1604</v>
      </c>
      <c r="B1605" t="s">
        <v>20</v>
      </c>
      <c r="C1605">
        <v>35</v>
      </c>
      <c r="D1605" t="s">
        <v>27</v>
      </c>
      <c r="E1605" t="s">
        <v>18</v>
      </c>
      <c r="F1605">
        <v>75</v>
      </c>
      <c r="G1605">
        <v>92</v>
      </c>
      <c r="H1605">
        <v>0.38</v>
      </c>
      <c r="I1605" t="s">
        <v>15</v>
      </c>
      <c r="J1605">
        <v>0</v>
      </c>
      <c r="K1605">
        <v>1</v>
      </c>
      <c r="L1605">
        <v>1</v>
      </c>
      <c r="M1605">
        <f>VLOOKUP(Table1[[#This Row],[subscription_type]],Plans!$A$1:$B$5,2,FALSE)</f>
        <v>14.99</v>
      </c>
      <c r="N1605">
        <f t="shared" si="25"/>
        <v>14.99</v>
      </c>
    </row>
    <row r="1606" spans="1:14" x14ac:dyDescent="0.35">
      <c r="A1606">
        <v>1605</v>
      </c>
      <c r="B1606" t="s">
        <v>12</v>
      </c>
      <c r="C1606">
        <v>20</v>
      </c>
      <c r="D1606" t="s">
        <v>17</v>
      </c>
      <c r="E1606" t="s">
        <v>24</v>
      </c>
      <c r="F1606">
        <v>62</v>
      </c>
      <c r="G1606">
        <v>94</v>
      </c>
      <c r="H1606">
        <v>0.52</v>
      </c>
      <c r="I1606" t="s">
        <v>15</v>
      </c>
      <c r="J1606">
        <v>0</v>
      </c>
      <c r="K1606">
        <v>1</v>
      </c>
      <c r="L1606">
        <v>1</v>
      </c>
      <c r="M1606">
        <f>VLOOKUP(Table1[[#This Row],[subscription_type]],Plans!$A$1:$B$5,2,FALSE)</f>
        <v>4.99</v>
      </c>
      <c r="N1606">
        <f t="shared" si="25"/>
        <v>4.99</v>
      </c>
    </row>
    <row r="1607" spans="1:14" x14ac:dyDescent="0.35">
      <c r="A1607">
        <v>1606</v>
      </c>
      <c r="B1607" t="s">
        <v>20</v>
      </c>
      <c r="C1607">
        <v>44</v>
      </c>
      <c r="D1607" t="s">
        <v>13</v>
      </c>
      <c r="E1607" t="s">
        <v>22</v>
      </c>
      <c r="F1607">
        <v>86</v>
      </c>
      <c r="G1607">
        <v>4</v>
      </c>
      <c r="H1607">
        <v>0.43</v>
      </c>
      <c r="I1607" t="s">
        <v>15</v>
      </c>
      <c r="J1607">
        <v>0</v>
      </c>
      <c r="K1607">
        <v>1</v>
      </c>
      <c r="L1607">
        <v>0</v>
      </c>
      <c r="M1607">
        <f>VLOOKUP(Table1[[#This Row],[subscription_type]],Plans!$A$1:$B$5,2,FALSE)</f>
        <v>9.99</v>
      </c>
      <c r="N1607">
        <f t="shared" si="25"/>
        <v>0</v>
      </c>
    </row>
    <row r="1608" spans="1:14" x14ac:dyDescent="0.35">
      <c r="A1608">
        <v>1607</v>
      </c>
      <c r="B1608" t="s">
        <v>12</v>
      </c>
      <c r="C1608">
        <v>24</v>
      </c>
      <c r="D1608" t="s">
        <v>27</v>
      </c>
      <c r="E1608" t="s">
        <v>22</v>
      </c>
      <c r="F1608">
        <v>128</v>
      </c>
      <c r="G1608">
        <v>30</v>
      </c>
      <c r="H1608">
        <v>0.11</v>
      </c>
      <c r="I1608" t="s">
        <v>15</v>
      </c>
      <c r="J1608">
        <v>0</v>
      </c>
      <c r="K1608">
        <v>1</v>
      </c>
      <c r="L1608">
        <v>0</v>
      </c>
      <c r="M1608">
        <f>VLOOKUP(Table1[[#This Row],[subscription_type]],Plans!$A$1:$B$5,2,FALSE)</f>
        <v>9.99</v>
      </c>
      <c r="N1608">
        <f t="shared" si="25"/>
        <v>0</v>
      </c>
    </row>
    <row r="1609" spans="1:14" x14ac:dyDescent="0.35">
      <c r="A1609">
        <v>1608</v>
      </c>
      <c r="B1609" t="s">
        <v>16</v>
      </c>
      <c r="C1609">
        <v>59</v>
      </c>
      <c r="D1609" t="s">
        <v>29</v>
      </c>
      <c r="E1609" t="s">
        <v>14</v>
      </c>
      <c r="F1609">
        <v>68</v>
      </c>
      <c r="G1609">
        <v>17</v>
      </c>
      <c r="H1609">
        <v>0.5</v>
      </c>
      <c r="I1609" t="s">
        <v>15</v>
      </c>
      <c r="J1609">
        <v>38</v>
      </c>
      <c r="K1609">
        <v>0</v>
      </c>
      <c r="L1609">
        <v>0</v>
      </c>
      <c r="M1609">
        <f>VLOOKUP(Table1[[#This Row],[subscription_type]],Plans!$A$1:$B$5,2,FALSE)</f>
        <v>0</v>
      </c>
      <c r="N1609">
        <f t="shared" si="25"/>
        <v>0</v>
      </c>
    </row>
    <row r="1610" spans="1:14" x14ac:dyDescent="0.35">
      <c r="A1610">
        <v>1609</v>
      </c>
      <c r="B1610" t="s">
        <v>20</v>
      </c>
      <c r="C1610">
        <v>23</v>
      </c>
      <c r="D1610" t="s">
        <v>27</v>
      </c>
      <c r="E1610" t="s">
        <v>18</v>
      </c>
      <c r="F1610">
        <v>74</v>
      </c>
      <c r="G1610">
        <v>59</v>
      </c>
      <c r="H1610">
        <v>0.16</v>
      </c>
      <c r="I1610" t="s">
        <v>23</v>
      </c>
      <c r="J1610">
        <v>0</v>
      </c>
      <c r="K1610">
        <v>1</v>
      </c>
      <c r="L1610">
        <v>0</v>
      </c>
      <c r="M1610">
        <f>VLOOKUP(Table1[[#This Row],[subscription_type]],Plans!$A$1:$B$5,2,FALSE)</f>
        <v>14.99</v>
      </c>
      <c r="N1610">
        <f t="shared" si="25"/>
        <v>0</v>
      </c>
    </row>
    <row r="1611" spans="1:14" x14ac:dyDescent="0.35">
      <c r="A1611">
        <v>1610</v>
      </c>
      <c r="B1611" t="s">
        <v>12</v>
      </c>
      <c r="C1611">
        <v>49</v>
      </c>
      <c r="D1611" t="s">
        <v>13</v>
      </c>
      <c r="E1611" t="s">
        <v>18</v>
      </c>
      <c r="F1611">
        <v>170</v>
      </c>
      <c r="G1611">
        <v>45</v>
      </c>
      <c r="H1611">
        <v>0.21</v>
      </c>
      <c r="I1611" t="s">
        <v>15</v>
      </c>
      <c r="J1611">
        <v>0</v>
      </c>
      <c r="K1611">
        <v>1</v>
      </c>
      <c r="L1611">
        <v>0</v>
      </c>
      <c r="M1611">
        <f>VLOOKUP(Table1[[#This Row],[subscription_type]],Plans!$A$1:$B$5,2,FALSE)</f>
        <v>14.99</v>
      </c>
      <c r="N1611">
        <f t="shared" si="25"/>
        <v>0</v>
      </c>
    </row>
    <row r="1612" spans="1:14" x14ac:dyDescent="0.35">
      <c r="A1612">
        <v>1611</v>
      </c>
      <c r="B1612" t="s">
        <v>12</v>
      </c>
      <c r="C1612">
        <v>39</v>
      </c>
      <c r="D1612" t="s">
        <v>21</v>
      </c>
      <c r="E1612" t="s">
        <v>22</v>
      </c>
      <c r="F1612">
        <v>266</v>
      </c>
      <c r="G1612">
        <v>28</v>
      </c>
      <c r="H1612">
        <v>0.4</v>
      </c>
      <c r="I1612" t="s">
        <v>15</v>
      </c>
      <c r="J1612">
        <v>0</v>
      </c>
      <c r="K1612">
        <v>1</v>
      </c>
      <c r="L1612">
        <v>0</v>
      </c>
      <c r="M1612">
        <f>VLOOKUP(Table1[[#This Row],[subscription_type]],Plans!$A$1:$B$5,2,FALSE)</f>
        <v>9.99</v>
      </c>
      <c r="N1612">
        <f t="shared" si="25"/>
        <v>0</v>
      </c>
    </row>
    <row r="1613" spans="1:14" x14ac:dyDescent="0.35">
      <c r="A1613">
        <v>1612</v>
      </c>
      <c r="B1613" t="s">
        <v>16</v>
      </c>
      <c r="C1613">
        <v>58</v>
      </c>
      <c r="D1613" t="s">
        <v>27</v>
      </c>
      <c r="E1613" t="s">
        <v>22</v>
      </c>
      <c r="F1613">
        <v>69</v>
      </c>
      <c r="G1613">
        <v>27</v>
      </c>
      <c r="H1613">
        <v>0.23</v>
      </c>
      <c r="I1613" t="s">
        <v>23</v>
      </c>
      <c r="J1613">
        <v>0</v>
      </c>
      <c r="K1613">
        <v>1</v>
      </c>
      <c r="L1613">
        <v>0</v>
      </c>
      <c r="M1613">
        <f>VLOOKUP(Table1[[#This Row],[subscription_type]],Plans!$A$1:$B$5,2,FALSE)</f>
        <v>9.99</v>
      </c>
      <c r="N1613">
        <f t="shared" si="25"/>
        <v>0</v>
      </c>
    </row>
    <row r="1614" spans="1:14" x14ac:dyDescent="0.35">
      <c r="A1614">
        <v>1613</v>
      </c>
      <c r="B1614" t="s">
        <v>16</v>
      </c>
      <c r="C1614">
        <v>31</v>
      </c>
      <c r="D1614" t="s">
        <v>27</v>
      </c>
      <c r="E1614" t="s">
        <v>22</v>
      </c>
      <c r="F1614">
        <v>125</v>
      </c>
      <c r="G1614">
        <v>56</v>
      </c>
      <c r="H1614">
        <v>0.21</v>
      </c>
      <c r="I1614" t="s">
        <v>23</v>
      </c>
      <c r="J1614">
        <v>0</v>
      </c>
      <c r="K1614">
        <v>1</v>
      </c>
      <c r="L1614">
        <v>0</v>
      </c>
      <c r="M1614">
        <f>VLOOKUP(Table1[[#This Row],[subscription_type]],Plans!$A$1:$B$5,2,FALSE)</f>
        <v>9.99</v>
      </c>
      <c r="N1614">
        <f t="shared" si="25"/>
        <v>0</v>
      </c>
    </row>
    <row r="1615" spans="1:14" x14ac:dyDescent="0.35">
      <c r="A1615">
        <v>1614</v>
      </c>
      <c r="B1615" t="s">
        <v>12</v>
      </c>
      <c r="C1615">
        <v>25</v>
      </c>
      <c r="D1615" t="s">
        <v>29</v>
      </c>
      <c r="E1615" t="s">
        <v>24</v>
      </c>
      <c r="F1615">
        <v>60</v>
      </c>
      <c r="G1615">
        <v>31</v>
      </c>
      <c r="H1615">
        <v>0.28999999999999998</v>
      </c>
      <c r="I1615" t="s">
        <v>19</v>
      </c>
      <c r="J1615">
        <v>0</v>
      </c>
      <c r="K1615">
        <v>1</v>
      </c>
      <c r="L1615">
        <v>0</v>
      </c>
      <c r="M1615">
        <f>VLOOKUP(Table1[[#This Row],[subscription_type]],Plans!$A$1:$B$5,2,FALSE)</f>
        <v>4.99</v>
      </c>
      <c r="N1615">
        <f t="shared" si="25"/>
        <v>0</v>
      </c>
    </row>
    <row r="1616" spans="1:14" x14ac:dyDescent="0.35">
      <c r="A1616">
        <v>1615</v>
      </c>
      <c r="B1616" t="s">
        <v>12</v>
      </c>
      <c r="C1616">
        <v>56</v>
      </c>
      <c r="D1616" t="s">
        <v>29</v>
      </c>
      <c r="E1616" t="s">
        <v>22</v>
      </c>
      <c r="F1616">
        <v>202</v>
      </c>
      <c r="G1616">
        <v>82</v>
      </c>
      <c r="H1616">
        <v>0.41</v>
      </c>
      <c r="I1616" t="s">
        <v>15</v>
      </c>
      <c r="J1616">
        <v>0</v>
      </c>
      <c r="K1616">
        <v>1</v>
      </c>
      <c r="L1616">
        <v>0</v>
      </c>
      <c r="M1616">
        <f>VLOOKUP(Table1[[#This Row],[subscription_type]],Plans!$A$1:$B$5,2,FALSE)</f>
        <v>9.99</v>
      </c>
      <c r="N1616">
        <f t="shared" si="25"/>
        <v>0</v>
      </c>
    </row>
    <row r="1617" spans="1:14" x14ac:dyDescent="0.35">
      <c r="A1617">
        <v>1616</v>
      </c>
      <c r="B1617" t="s">
        <v>20</v>
      </c>
      <c r="C1617">
        <v>17</v>
      </c>
      <c r="D1617" t="s">
        <v>29</v>
      </c>
      <c r="E1617" t="s">
        <v>18</v>
      </c>
      <c r="F1617">
        <v>227</v>
      </c>
      <c r="G1617">
        <v>65</v>
      </c>
      <c r="H1617">
        <v>0.48</v>
      </c>
      <c r="I1617" t="s">
        <v>23</v>
      </c>
      <c r="J1617">
        <v>0</v>
      </c>
      <c r="K1617">
        <v>1</v>
      </c>
      <c r="L1617">
        <v>0</v>
      </c>
      <c r="M1617">
        <f>VLOOKUP(Table1[[#This Row],[subscription_type]],Plans!$A$1:$B$5,2,FALSE)</f>
        <v>14.99</v>
      </c>
      <c r="N1617">
        <f t="shared" si="25"/>
        <v>0</v>
      </c>
    </row>
    <row r="1618" spans="1:14" x14ac:dyDescent="0.35">
      <c r="A1618">
        <v>1617</v>
      </c>
      <c r="B1618" t="s">
        <v>20</v>
      </c>
      <c r="C1618">
        <v>34</v>
      </c>
      <c r="D1618" t="s">
        <v>28</v>
      </c>
      <c r="E1618" t="s">
        <v>18</v>
      </c>
      <c r="F1618">
        <v>80</v>
      </c>
      <c r="G1618">
        <v>62</v>
      </c>
      <c r="H1618">
        <v>0.08</v>
      </c>
      <c r="I1618" t="s">
        <v>23</v>
      </c>
      <c r="J1618">
        <v>0</v>
      </c>
      <c r="K1618">
        <v>1</v>
      </c>
      <c r="L1618">
        <v>1</v>
      </c>
      <c r="M1618">
        <f>VLOOKUP(Table1[[#This Row],[subscription_type]],Plans!$A$1:$B$5,2,FALSE)</f>
        <v>14.99</v>
      </c>
      <c r="N1618">
        <f t="shared" si="25"/>
        <v>14.99</v>
      </c>
    </row>
    <row r="1619" spans="1:14" x14ac:dyDescent="0.35">
      <c r="A1619">
        <v>1618</v>
      </c>
      <c r="B1619" t="s">
        <v>20</v>
      </c>
      <c r="C1619">
        <v>51</v>
      </c>
      <c r="D1619" t="s">
        <v>27</v>
      </c>
      <c r="E1619" t="s">
        <v>14</v>
      </c>
      <c r="F1619">
        <v>176</v>
      </c>
      <c r="G1619">
        <v>9</v>
      </c>
      <c r="H1619">
        <v>0.09</v>
      </c>
      <c r="I1619" t="s">
        <v>19</v>
      </c>
      <c r="J1619">
        <v>39</v>
      </c>
      <c r="K1619">
        <v>0</v>
      </c>
      <c r="L1619">
        <v>0</v>
      </c>
      <c r="M1619">
        <f>VLOOKUP(Table1[[#This Row],[subscription_type]],Plans!$A$1:$B$5,2,FALSE)</f>
        <v>0</v>
      </c>
      <c r="N1619">
        <f t="shared" si="25"/>
        <v>0</v>
      </c>
    </row>
    <row r="1620" spans="1:14" x14ac:dyDescent="0.35">
      <c r="A1620">
        <v>1619</v>
      </c>
      <c r="B1620" t="s">
        <v>12</v>
      </c>
      <c r="C1620">
        <v>43</v>
      </c>
      <c r="D1620" t="s">
        <v>21</v>
      </c>
      <c r="E1620" t="s">
        <v>14</v>
      </c>
      <c r="F1620">
        <v>218</v>
      </c>
      <c r="G1620">
        <v>77</v>
      </c>
      <c r="H1620">
        <v>0.14000000000000001</v>
      </c>
      <c r="I1620" t="s">
        <v>15</v>
      </c>
      <c r="J1620">
        <v>35</v>
      </c>
      <c r="K1620">
        <v>0</v>
      </c>
      <c r="L1620">
        <v>1</v>
      </c>
      <c r="M1620">
        <f>VLOOKUP(Table1[[#This Row],[subscription_type]],Plans!$A$1:$B$5,2,FALSE)</f>
        <v>0</v>
      </c>
      <c r="N1620">
        <f t="shared" si="25"/>
        <v>0</v>
      </c>
    </row>
    <row r="1621" spans="1:14" x14ac:dyDescent="0.35">
      <c r="A1621">
        <v>1620</v>
      </c>
      <c r="B1621" t="s">
        <v>12</v>
      </c>
      <c r="C1621">
        <v>28</v>
      </c>
      <c r="D1621" t="s">
        <v>21</v>
      </c>
      <c r="E1621" t="s">
        <v>22</v>
      </c>
      <c r="F1621">
        <v>241</v>
      </c>
      <c r="G1621">
        <v>47</v>
      </c>
      <c r="H1621">
        <v>0.28000000000000003</v>
      </c>
      <c r="I1621" t="s">
        <v>19</v>
      </c>
      <c r="J1621">
        <v>0</v>
      </c>
      <c r="K1621">
        <v>1</v>
      </c>
      <c r="L1621">
        <v>0</v>
      </c>
      <c r="M1621">
        <f>VLOOKUP(Table1[[#This Row],[subscription_type]],Plans!$A$1:$B$5,2,FALSE)</f>
        <v>9.99</v>
      </c>
      <c r="N1621">
        <f t="shared" si="25"/>
        <v>0</v>
      </c>
    </row>
    <row r="1622" spans="1:14" x14ac:dyDescent="0.35">
      <c r="A1622">
        <v>1621</v>
      </c>
      <c r="B1622" t="s">
        <v>20</v>
      </c>
      <c r="C1622">
        <v>38</v>
      </c>
      <c r="D1622" t="s">
        <v>25</v>
      </c>
      <c r="E1622" t="s">
        <v>14</v>
      </c>
      <c r="F1622">
        <v>16</v>
      </c>
      <c r="G1622">
        <v>50</v>
      </c>
      <c r="H1622">
        <v>0.48</v>
      </c>
      <c r="I1622" t="s">
        <v>23</v>
      </c>
      <c r="J1622">
        <v>20</v>
      </c>
      <c r="K1622">
        <v>0</v>
      </c>
      <c r="L1622">
        <v>1</v>
      </c>
      <c r="M1622">
        <f>VLOOKUP(Table1[[#This Row],[subscription_type]],Plans!$A$1:$B$5,2,FALSE)</f>
        <v>0</v>
      </c>
      <c r="N1622">
        <f t="shared" si="25"/>
        <v>0</v>
      </c>
    </row>
    <row r="1623" spans="1:14" x14ac:dyDescent="0.35">
      <c r="A1623">
        <v>1622</v>
      </c>
      <c r="B1623" t="s">
        <v>20</v>
      </c>
      <c r="C1623">
        <v>28</v>
      </c>
      <c r="D1623" t="s">
        <v>13</v>
      </c>
      <c r="E1623" t="s">
        <v>18</v>
      </c>
      <c r="F1623">
        <v>217</v>
      </c>
      <c r="G1623">
        <v>47</v>
      </c>
      <c r="H1623">
        <v>0.36</v>
      </c>
      <c r="I1623" t="s">
        <v>19</v>
      </c>
      <c r="J1623">
        <v>0</v>
      </c>
      <c r="K1623">
        <v>1</v>
      </c>
      <c r="L1623">
        <v>0</v>
      </c>
      <c r="M1623">
        <f>VLOOKUP(Table1[[#This Row],[subscription_type]],Plans!$A$1:$B$5,2,FALSE)</f>
        <v>14.99</v>
      </c>
      <c r="N1623">
        <f t="shared" si="25"/>
        <v>0</v>
      </c>
    </row>
    <row r="1624" spans="1:14" x14ac:dyDescent="0.35">
      <c r="A1624">
        <v>1623</v>
      </c>
      <c r="B1624" t="s">
        <v>16</v>
      </c>
      <c r="C1624">
        <v>44</v>
      </c>
      <c r="D1624" t="s">
        <v>25</v>
      </c>
      <c r="E1624" t="s">
        <v>22</v>
      </c>
      <c r="F1624">
        <v>293</v>
      </c>
      <c r="G1624">
        <v>39</v>
      </c>
      <c r="H1624">
        <v>0.48</v>
      </c>
      <c r="I1624" t="s">
        <v>15</v>
      </c>
      <c r="J1624">
        <v>0</v>
      </c>
      <c r="K1624">
        <v>1</v>
      </c>
      <c r="L1624">
        <v>0</v>
      </c>
      <c r="M1624">
        <f>VLOOKUP(Table1[[#This Row],[subscription_type]],Plans!$A$1:$B$5,2,FALSE)</f>
        <v>9.99</v>
      </c>
      <c r="N1624">
        <f t="shared" si="25"/>
        <v>0</v>
      </c>
    </row>
    <row r="1625" spans="1:14" x14ac:dyDescent="0.35">
      <c r="A1625">
        <v>1624</v>
      </c>
      <c r="B1625" t="s">
        <v>20</v>
      </c>
      <c r="C1625">
        <v>42</v>
      </c>
      <c r="D1625" t="s">
        <v>17</v>
      </c>
      <c r="E1625" t="s">
        <v>18</v>
      </c>
      <c r="F1625">
        <v>59</v>
      </c>
      <c r="G1625">
        <v>52</v>
      </c>
      <c r="H1625">
        <v>0.3</v>
      </c>
      <c r="I1625" t="s">
        <v>19</v>
      </c>
      <c r="J1625">
        <v>0</v>
      </c>
      <c r="K1625">
        <v>1</v>
      </c>
      <c r="L1625">
        <v>1</v>
      </c>
      <c r="M1625">
        <f>VLOOKUP(Table1[[#This Row],[subscription_type]],Plans!$A$1:$B$5,2,FALSE)</f>
        <v>14.99</v>
      </c>
      <c r="N1625">
        <f t="shared" si="25"/>
        <v>14.99</v>
      </c>
    </row>
    <row r="1626" spans="1:14" x14ac:dyDescent="0.35">
      <c r="A1626">
        <v>1625</v>
      </c>
      <c r="B1626" t="s">
        <v>12</v>
      </c>
      <c r="C1626">
        <v>49</v>
      </c>
      <c r="D1626" t="s">
        <v>29</v>
      </c>
      <c r="E1626" t="s">
        <v>24</v>
      </c>
      <c r="F1626">
        <v>99</v>
      </c>
      <c r="G1626">
        <v>11</v>
      </c>
      <c r="H1626">
        <v>0.12</v>
      </c>
      <c r="I1626" t="s">
        <v>19</v>
      </c>
      <c r="J1626">
        <v>0</v>
      </c>
      <c r="K1626">
        <v>1</v>
      </c>
      <c r="L1626">
        <v>0</v>
      </c>
      <c r="M1626">
        <f>VLOOKUP(Table1[[#This Row],[subscription_type]],Plans!$A$1:$B$5,2,FALSE)</f>
        <v>4.99</v>
      </c>
      <c r="N1626">
        <f t="shared" si="25"/>
        <v>0</v>
      </c>
    </row>
    <row r="1627" spans="1:14" x14ac:dyDescent="0.35">
      <c r="A1627">
        <v>1626</v>
      </c>
      <c r="B1627" t="s">
        <v>16</v>
      </c>
      <c r="C1627">
        <v>27</v>
      </c>
      <c r="D1627" t="s">
        <v>21</v>
      </c>
      <c r="E1627" t="s">
        <v>14</v>
      </c>
      <c r="F1627">
        <v>204</v>
      </c>
      <c r="G1627">
        <v>23</v>
      </c>
      <c r="H1627">
        <v>0.49</v>
      </c>
      <c r="I1627" t="s">
        <v>23</v>
      </c>
      <c r="J1627">
        <v>8</v>
      </c>
      <c r="K1627">
        <v>0</v>
      </c>
      <c r="L1627">
        <v>1</v>
      </c>
      <c r="M1627">
        <f>VLOOKUP(Table1[[#This Row],[subscription_type]],Plans!$A$1:$B$5,2,FALSE)</f>
        <v>0</v>
      </c>
      <c r="N1627">
        <f t="shared" si="25"/>
        <v>0</v>
      </c>
    </row>
    <row r="1628" spans="1:14" x14ac:dyDescent="0.35">
      <c r="A1628">
        <v>1627</v>
      </c>
      <c r="B1628" t="s">
        <v>20</v>
      </c>
      <c r="C1628">
        <v>54</v>
      </c>
      <c r="D1628" t="s">
        <v>26</v>
      </c>
      <c r="E1628" t="s">
        <v>22</v>
      </c>
      <c r="F1628">
        <v>203</v>
      </c>
      <c r="G1628">
        <v>97</v>
      </c>
      <c r="H1628">
        <v>0.08</v>
      </c>
      <c r="I1628" t="s">
        <v>15</v>
      </c>
      <c r="J1628">
        <v>0</v>
      </c>
      <c r="K1628">
        <v>1</v>
      </c>
      <c r="L1628">
        <v>0</v>
      </c>
      <c r="M1628">
        <f>VLOOKUP(Table1[[#This Row],[subscription_type]],Plans!$A$1:$B$5,2,FALSE)</f>
        <v>9.99</v>
      </c>
      <c r="N1628">
        <f t="shared" si="25"/>
        <v>0</v>
      </c>
    </row>
    <row r="1629" spans="1:14" x14ac:dyDescent="0.35">
      <c r="A1629">
        <v>1628</v>
      </c>
      <c r="B1629" t="s">
        <v>12</v>
      </c>
      <c r="C1629">
        <v>51</v>
      </c>
      <c r="D1629" t="s">
        <v>13</v>
      </c>
      <c r="E1629" t="s">
        <v>22</v>
      </c>
      <c r="F1629">
        <v>145</v>
      </c>
      <c r="G1629">
        <v>30</v>
      </c>
      <c r="H1629">
        <v>0.42</v>
      </c>
      <c r="I1629" t="s">
        <v>19</v>
      </c>
      <c r="J1629">
        <v>0</v>
      </c>
      <c r="K1629">
        <v>1</v>
      </c>
      <c r="L1629">
        <v>0</v>
      </c>
      <c r="M1629">
        <f>VLOOKUP(Table1[[#This Row],[subscription_type]],Plans!$A$1:$B$5,2,FALSE)</f>
        <v>9.99</v>
      </c>
      <c r="N1629">
        <f t="shared" si="25"/>
        <v>0</v>
      </c>
    </row>
    <row r="1630" spans="1:14" x14ac:dyDescent="0.35">
      <c r="A1630">
        <v>1629</v>
      </c>
      <c r="B1630" t="s">
        <v>16</v>
      </c>
      <c r="C1630">
        <v>45</v>
      </c>
      <c r="D1630" t="s">
        <v>17</v>
      </c>
      <c r="E1630" t="s">
        <v>18</v>
      </c>
      <c r="F1630">
        <v>272</v>
      </c>
      <c r="G1630">
        <v>14</v>
      </c>
      <c r="H1630">
        <v>0.31</v>
      </c>
      <c r="I1630" t="s">
        <v>23</v>
      </c>
      <c r="J1630">
        <v>0</v>
      </c>
      <c r="K1630">
        <v>1</v>
      </c>
      <c r="L1630">
        <v>1</v>
      </c>
      <c r="M1630">
        <f>VLOOKUP(Table1[[#This Row],[subscription_type]],Plans!$A$1:$B$5,2,FALSE)</f>
        <v>14.99</v>
      </c>
      <c r="N1630">
        <f t="shared" si="25"/>
        <v>14.99</v>
      </c>
    </row>
    <row r="1631" spans="1:14" x14ac:dyDescent="0.35">
      <c r="A1631">
        <v>1630</v>
      </c>
      <c r="B1631" t="s">
        <v>16</v>
      </c>
      <c r="C1631">
        <v>21</v>
      </c>
      <c r="D1631" t="s">
        <v>29</v>
      </c>
      <c r="E1631" t="s">
        <v>14</v>
      </c>
      <c r="F1631">
        <v>141</v>
      </c>
      <c r="G1631">
        <v>26</v>
      </c>
      <c r="H1631">
        <v>0.43</v>
      </c>
      <c r="I1631" t="s">
        <v>23</v>
      </c>
      <c r="J1631">
        <v>36</v>
      </c>
      <c r="K1631">
        <v>0</v>
      </c>
      <c r="L1631">
        <v>1</v>
      </c>
      <c r="M1631">
        <f>VLOOKUP(Table1[[#This Row],[subscription_type]],Plans!$A$1:$B$5,2,FALSE)</f>
        <v>0</v>
      </c>
      <c r="N1631">
        <f t="shared" si="25"/>
        <v>0</v>
      </c>
    </row>
    <row r="1632" spans="1:14" x14ac:dyDescent="0.35">
      <c r="A1632">
        <v>1631</v>
      </c>
      <c r="B1632" t="s">
        <v>12</v>
      </c>
      <c r="C1632">
        <v>37</v>
      </c>
      <c r="D1632" t="s">
        <v>26</v>
      </c>
      <c r="E1632" t="s">
        <v>18</v>
      </c>
      <c r="F1632">
        <v>222</v>
      </c>
      <c r="G1632">
        <v>15</v>
      </c>
      <c r="H1632">
        <v>0.02</v>
      </c>
      <c r="I1632" t="s">
        <v>15</v>
      </c>
      <c r="J1632">
        <v>0</v>
      </c>
      <c r="K1632">
        <v>1</v>
      </c>
      <c r="L1632">
        <v>0</v>
      </c>
      <c r="M1632">
        <f>VLOOKUP(Table1[[#This Row],[subscription_type]],Plans!$A$1:$B$5,2,FALSE)</f>
        <v>14.99</v>
      </c>
      <c r="N1632">
        <f t="shared" si="25"/>
        <v>0</v>
      </c>
    </row>
    <row r="1633" spans="1:14" x14ac:dyDescent="0.35">
      <c r="A1633">
        <v>1632</v>
      </c>
      <c r="B1633" t="s">
        <v>20</v>
      </c>
      <c r="C1633">
        <v>27</v>
      </c>
      <c r="D1633" t="s">
        <v>27</v>
      </c>
      <c r="E1633" t="s">
        <v>22</v>
      </c>
      <c r="F1633">
        <v>165</v>
      </c>
      <c r="G1633">
        <v>35</v>
      </c>
      <c r="H1633">
        <v>0.57999999999999996</v>
      </c>
      <c r="I1633" t="s">
        <v>19</v>
      </c>
      <c r="J1633">
        <v>0</v>
      </c>
      <c r="K1633">
        <v>1</v>
      </c>
      <c r="L1633">
        <v>0</v>
      </c>
      <c r="M1633">
        <f>VLOOKUP(Table1[[#This Row],[subscription_type]],Plans!$A$1:$B$5,2,FALSE)</f>
        <v>9.99</v>
      </c>
      <c r="N1633">
        <f t="shared" si="25"/>
        <v>0</v>
      </c>
    </row>
    <row r="1634" spans="1:14" x14ac:dyDescent="0.35">
      <c r="A1634">
        <v>1633</v>
      </c>
      <c r="B1634" t="s">
        <v>12</v>
      </c>
      <c r="C1634">
        <v>28</v>
      </c>
      <c r="D1634" t="s">
        <v>13</v>
      </c>
      <c r="E1634" t="s">
        <v>14</v>
      </c>
      <c r="F1634">
        <v>215</v>
      </c>
      <c r="G1634">
        <v>35</v>
      </c>
      <c r="H1634">
        <v>0.06</v>
      </c>
      <c r="I1634" t="s">
        <v>23</v>
      </c>
      <c r="J1634">
        <v>19</v>
      </c>
      <c r="K1634">
        <v>0</v>
      </c>
      <c r="L1634">
        <v>0</v>
      </c>
      <c r="M1634">
        <f>VLOOKUP(Table1[[#This Row],[subscription_type]],Plans!$A$1:$B$5,2,FALSE)</f>
        <v>0</v>
      </c>
      <c r="N1634">
        <f t="shared" si="25"/>
        <v>0</v>
      </c>
    </row>
    <row r="1635" spans="1:14" x14ac:dyDescent="0.35">
      <c r="A1635">
        <v>1634</v>
      </c>
      <c r="B1635" t="s">
        <v>20</v>
      </c>
      <c r="C1635">
        <v>22</v>
      </c>
      <c r="D1635" t="s">
        <v>29</v>
      </c>
      <c r="E1635" t="s">
        <v>24</v>
      </c>
      <c r="F1635">
        <v>111</v>
      </c>
      <c r="G1635">
        <v>48</v>
      </c>
      <c r="H1635">
        <v>0.01</v>
      </c>
      <c r="I1635" t="s">
        <v>19</v>
      </c>
      <c r="J1635">
        <v>0</v>
      </c>
      <c r="K1635">
        <v>1</v>
      </c>
      <c r="L1635">
        <v>0</v>
      </c>
      <c r="M1635">
        <f>VLOOKUP(Table1[[#This Row],[subscription_type]],Plans!$A$1:$B$5,2,FALSE)</f>
        <v>4.99</v>
      </c>
      <c r="N1635">
        <f t="shared" si="25"/>
        <v>0</v>
      </c>
    </row>
    <row r="1636" spans="1:14" x14ac:dyDescent="0.35">
      <c r="A1636">
        <v>1635</v>
      </c>
      <c r="B1636" t="s">
        <v>12</v>
      </c>
      <c r="C1636">
        <v>49</v>
      </c>
      <c r="D1636" t="s">
        <v>26</v>
      </c>
      <c r="E1636" t="s">
        <v>24</v>
      </c>
      <c r="F1636">
        <v>55</v>
      </c>
      <c r="G1636">
        <v>40</v>
      </c>
      <c r="H1636">
        <v>0.44</v>
      </c>
      <c r="I1636" t="s">
        <v>19</v>
      </c>
      <c r="J1636">
        <v>0</v>
      </c>
      <c r="K1636">
        <v>1</v>
      </c>
      <c r="L1636">
        <v>0</v>
      </c>
      <c r="M1636">
        <f>VLOOKUP(Table1[[#This Row],[subscription_type]],Plans!$A$1:$B$5,2,FALSE)</f>
        <v>4.99</v>
      </c>
      <c r="N1636">
        <f t="shared" si="25"/>
        <v>0</v>
      </c>
    </row>
    <row r="1637" spans="1:14" x14ac:dyDescent="0.35">
      <c r="A1637">
        <v>1636</v>
      </c>
      <c r="B1637" t="s">
        <v>12</v>
      </c>
      <c r="C1637">
        <v>16</v>
      </c>
      <c r="D1637" t="s">
        <v>17</v>
      </c>
      <c r="E1637" t="s">
        <v>24</v>
      </c>
      <c r="F1637">
        <v>184</v>
      </c>
      <c r="G1637">
        <v>83</v>
      </c>
      <c r="H1637">
        <v>0.14000000000000001</v>
      </c>
      <c r="I1637" t="s">
        <v>23</v>
      </c>
      <c r="J1637">
        <v>0</v>
      </c>
      <c r="K1637">
        <v>1</v>
      </c>
      <c r="L1637">
        <v>1</v>
      </c>
      <c r="M1637">
        <f>VLOOKUP(Table1[[#This Row],[subscription_type]],Plans!$A$1:$B$5,2,FALSE)</f>
        <v>4.99</v>
      </c>
      <c r="N1637">
        <f t="shared" si="25"/>
        <v>4.99</v>
      </c>
    </row>
    <row r="1638" spans="1:14" x14ac:dyDescent="0.35">
      <c r="A1638">
        <v>1637</v>
      </c>
      <c r="B1638" t="s">
        <v>20</v>
      </c>
      <c r="C1638">
        <v>31</v>
      </c>
      <c r="D1638" t="s">
        <v>29</v>
      </c>
      <c r="E1638" t="s">
        <v>14</v>
      </c>
      <c r="F1638">
        <v>56</v>
      </c>
      <c r="G1638">
        <v>56</v>
      </c>
      <c r="H1638">
        <v>0.14000000000000001</v>
      </c>
      <c r="I1638" t="s">
        <v>23</v>
      </c>
      <c r="J1638">
        <v>20</v>
      </c>
      <c r="K1638">
        <v>0</v>
      </c>
      <c r="L1638">
        <v>0</v>
      </c>
      <c r="M1638">
        <f>VLOOKUP(Table1[[#This Row],[subscription_type]],Plans!$A$1:$B$5,2,FALSE)</f>
        <v>0</v>
      </c>
      <c r="N1638">
        <f t="shared" si="25"/>
        <v>0</v>
      </c>
    </row>
    <row r="1639" spans="1:14" x14ac:dyDescent="0.35">
      <c r="A1639">
        <v>1638</v>
      </c>
      <c r="B1639" t="s">
        <v>20</v>
      </c>
      <c r="C1639">
        <v>28</v>
      </c>
      <c r="D1639" t="s">
        <v>17</v>
      </c>
      <c r="E1639" t="s">
        <v>18</v>
      </c>
      <c r="F1639">
        <v>52</v>
      </c>
      <c r="G1639">
        <v>21</v>
      </c>
      <c r="H1639">
        <v>0.09</v>
      </c>
      <c r="I1639" t="s">
        <v>19</v>
      </c>
      <c r="J1639">
        <v>0</v>
      </c>
      <c r="K1639">
        <v>1</v>
      </c>
      <c r="L1639">
        <v>1</v>
      </c>
      <c r="M1639">
        <f>VLOOKUP(Table1[[#This Row],[subscription_type]],Plans!$A$1:$B$5,2,FALSE)</f>
        <v>14.99</v>
      </c>
      <c r="N1639">
        <f t="shared" si="25"/>
        <v>14.99</v>
      </c>
    </row>
    <row r="1640" spans="1:14" x14ac:dyDescent="0.35">
      <c r="A1640">
        <v>1639</v>
      </c>
      <c r="B1640" t="s">
        <v>12</v>
      </c>
      <c r="C1640">
        <v>48</v>
      </c>
      <c r="D1640" t="s">
        <v>21</v>
      </c>
      <c r="E1640" t="s">
        <v>14</v>
      </c>
      <c r="F1640">
        <v>292</v>
      </c>
      <c r="G1640">
        <v>23</v>
      </c>
      <c r="H1640">
        <v>0.45</v>
      </c>
      <c r="I1640" t="s">
        <v>19</v>
      </c>
      <c r="J1640">
        <v>39</v>
      </c>
      <c r="K1640">
        <v>0</v>
      </c>
      <c r="L1640">
        <v>0</v>
      </c>
      <c r="M1640">
        <f>VLOOKUP(Table1[[#This Row],[subscription_type]],Plans!$A$1:$B$5,2,FALSE)</f>
        <v>0</v>
      </c>
      <c r="N1640">
        <f t="shared" si="25"/>
        <v>0</v>
      </c>
    </row>
    <row r="1641" spans="1:14" x14ac:dyDescent="0.35">
      <c r="A1641">
        <v>1640</v>
      </c>
      <c r="B1641" t="s">
        <v>16</v>
      </c>
      <c r="C1641">
        <v>45</v>
      </c>
      <c r="D1641" t="s">
        <v>29</v>
      </c>
      <c r="E1641" t="s">
        <v>22</v>
      </c>
      <c r="F1641">
        <v>155</v>
      </c>
      <c r="G1641">
        <v>7</v>
      </c>
      <c r="H1641">
        <v>0.27</v>
      </c>
      <c r="I1641" t="s">
        <v>19</v>
      </c>
      <c r="J1641">
        <v>0</v>
      </c>
      <c r="K1641">
        <v>1</v>
      </c>
      <c r="L1641">
        <v>0</v>
      </c>
      <c r="M1641">
        <f>VLOOKUP(Table1[[#This Row],[subscription_type]],Plans!$A$1:$B$5,2,FALSE)</f>
        <v>9.99</v>
      </c>
      <c r="N1641">
        <f t="shared" si="25"/>
        <v>0</v>
      </c>
    </row>
    <row r="1642" spans="1:14" x14ac:dyDescent="0.35">
      <c r="A1642">
        <v>1641</v>
      </c>
      <c r="B1642" t="s">
        <v>20</v>
      </c>
      <c r="C1642">
        <v>18</v>
      </c>
      <c r="D1642" t="s">
        <v>17</v>
      </c>
      <c r="E1642" t="s">
        <v>24</v>
      </c>
      <c r="F1642">
        <v>274</v>
      </c>
      <c r="G1642">
        <v>43</v>
      </c>
      <c r="H1642">
        <v>0.49</v>
      </c>
      <c r="I1642" t="s">
        <v>15</v>
      </c>
      <c r="J1642">
        <v>0</v>
      </c>
      <c r="K1642">
        <v>1</v>
      </c>
      <c r="L1642">
        <v>0</v>
      </c>
      <c r="M1642">
        <f>VLOOKUP(Table1[[#This Row],[subscription_type]],Plans!$A$1:$B$5,2,FALSE)</f>
        <v>4.99</v>
      </c>
      <c r="N1642">
        <f t="shared" si="25"/>
        <v>0</v>
      </c>
    </row>
    <row r="1643" spans="1:14" x14ac:dyDescent="0.35">
      <c r="A1643">
        <v>1642</v>
      </c>
      <c r="B1643" t="s">
        <v>16</v>
      </c>
      <c r="C1643">
        <v>54</v>
      </c>
      <c r="D1643" t="s">
        <v>29</v>
      </c>
      <c r="E1643" t="s">
        <v>22</v>
      </c>
      <c r="F1643">
        <v>299</v>
      </c>
      <c r="G1643">
        <v>64</v>
      </c>
      <c r="H1643">
        <v>0.19</v>
      </c>
      <c r="I1643" t="s">
        <v>15</v>
      </c>
      <c r="J1643">
        <v>0</v>
      </c>
      <c r="K1643">
        <v>1</v>
      </c>
      <c r="L1643">
        <v>0</v>
      </c>
      <c r="M1643">
        <f>VLOOKUP(Table1[[#This Row],[subscription_type]],Plans!$A$1:$B$5,2,FALSE)</f>
        <v>9.99</v>
      </c>
      <c r="N1643">
        <f t="shared" si="25"/>
        <v>0</v>
      </c>
    </row>
    <row r="1644" spans="1:14" x14ac:dyDescent="0.35">
      <c r="A1644">
        <v>1643</v>
      </c>
      <c r="B1644" t="s">
        <v>16</v>
      </c>
      <c r="C1644">
        <v>35</v>
      </c>
      <c r="D1644" t="s">
        <v>13</v>
      </c>
      <c r="E1644" t="s">
        <v>14</v>
      </c>
      <c r="F1644">
        <v>262</v>
      </c>
      <c r="G1644">
        <v>54</v>
      </c>
      <c r="H1644">
        <v>0.32</v>
      </c>
      <c r="I1644" t="s">
        <v>19</v>
      </c>
      <c r="J1644">
        <v>19</v>
      </c>
      <c r="K1644">
        <v>0</v>
      </c>
      <c r="L1644">
        <v>0</v>
      </c>
      <c r="M1644">
        <f>VLOOKUP(Table1[[#This Row],[subscription_type]],Plans!$A$1:$B$5,2,FALSE)</f>
        <v>0</v>
      </c>
      <c r="N1644">
        <f t="shared" si="25"/>
        <v>0</v>
      </c>
    </row>
    <row r="1645" spans="1:14" x14ac:dyDescent="0.35">
      <c r="A1645">
        <v>1644</v>
      </c>
      <c r="B1645" t="s">
        <v>20</v>
      </c>
      <c r="C1645">
        <v>46</v>
      </c>
      <c r="D1645" t="s">
        <v>26</v>
      </c>
      <c r="E1645" t="s">
        <v>22</v>
      </c>
      <c r="F1645">
        <v>224</v>
      </c>
      <c r="G1645">
        <v>27</v>
      </c>
      <c r="H1645">
        <v>0.16</v>
      </c>
      <c r="I1645" t="s">
        <v>23</v>
      </c>
      <c r="J1645">
        <v>0</v>
      </c>
      <c r="K1645">
        <v>1</v>
      </c>
      <c r="L1645">
        <v>0</v>
      </c>
      <c r="M1645">
        <f>VLOOKUP(Table1[[#This Row],[subscription_type]],Plans!$A$1:$B$5,2,FALSE)</f>
        <v>9.99</v>
      </c>
      <c r="N1645">
        <f t="shared" si="25"/>
        <v>0</v>
      </c>
    </row>
    <row r="1646" spans="1:14" x14ac:dyDescent="0.35">
      <c r="A1646">
        <v>1645</v>
      </c>
      <c r="B1646" t="s">
        <v>16</v>
      </c>
      <c r="C1646">
        <v>24</v>
      </c>
      <c r="D1646" t="s">
        <v>25</v>
      </c>
      <c r="E1646" t="s">
        <v>24</v>
      </c>
      <c r="F1646">
        <v>283</v>
      </c>
      <c r="G1646">
        <v>8</v>
      </c>
      <c r="H1646">
        <v>0.56000000000000005</v>
      </c>
      <c r="I1646" t="s">
        <v>15</v>
      </c>
      <c r="J1646">
        <v>0</v>
      </c>
      <c r="K1646">
        <v>1</v>
      </c>
      <c r="L1646">
        <v>0</v>
      </c>
      <c r="M1646">
        <f>VLOOKUP(Table1[[#This Row],[subscription_type]],Plans!$A$1:$B$5,2,FALSE)</f>
        <v>4.99</v>
      </c>
      <c r="N1646">
        <f t="shared" si="25"/>
        <v>0</v>
      </c>
    </row>
    <row r="1647" spans="1:14" x14ac:dyDescent="0.35">
      <c r="A1647">
        <v>1646</v>
      </c>
      <c r="B1647" t="s">
        <v>12</v>
      </c>
      <c r="C1647">
        <v>41</v>
      </c>
      <c r="D1647" t="s">
        <v>17</v>
      </c>
      <c r="E1647" t="s">
        <v>22</v>
      </c>
      <c r="F1647">
        <v>220</v>
      </c>
      <c r="G1647">
        <v>87</v>
      </c>
      <c r="H1647">
        <v>0.19</v>
      </c>
      <c r="I1647" t="s">
        <v>23</v>
      </c>
      <c r="J1647">
        <v>0</v>
      </c>
      <c r="K1647">
        <v>1</v>
      </c>
      <c r="L1647">
        <v>0</v>
      </c>
      <c r="M1647">
        <f>VLOOKUP(Table1[[#This Row],[subscription_type]],Plans!$A$1:$B$5,2,FALSE)</f>
        <v>9.99</v>
      </c>
      <c r="N1647">
        <f t="shared" si="25"/>
        <v>0</v>
      </c>
    </row>
    <row r="1648" spans="1:14" x14ac:dyDescent="0.35">
      <c r="A1648">
        <v>1647</v>
      </c>
      <c r="B1648" t="s">
        <v>12</v>
      </c>
      <c r="C1648">
        <v>39</v>
      </c>
      <c r="D1648" t="s">
        <v>26</v>
      </c>
      <c r="E1648" t="s">
        <v>24</v>
      </c>
      <c r="F1648">
        <v>95</v>
      </c>
      <c r="G1648">
        <v>91</v>
      </c>
      <c r="H1648">
        <v>0.16</v>
      </c>
      <c r="I1648" t="s">
        <v>15</v>
      </c>
      <c r="J1648">
        <v>0</v>
      </c>
      <c r="K1648">
        <v>1</v>
      </c>
      <c r="L1648">
        <v>0</v>
      </c>
      <c r="M1648">
        <f>VLOOKUP(Table1[[#This Row],[subscription_type]],Plans!$A$1:$B$5,2,FALSE)</f>
        <v>4.99</v>
      </c>
      <c r="N1648">
        <f t="shared" si="25"/>
        <v>0</v>
      </c>
    </row>
    <row r="1649" spans="1:14" x14ac:dyDescent="0.35">
      <c r="A1649">
        <v>1648</v>
      </c>
      <c r="B1649" t="s">
        <v>20</v>
      </c>
      <c r="C1649">
        <v>41</v>
      </c>
      <c r="D1649" t="s">
        <v>29</v>
      </c>
      <c r="E1649" t="s">
        <v>24</v>
      </c>
      <c r="F1649">
        <v>64</v>
      </c>
      <c r="G1649">
        <v>38</v>
      </c>
      <c r="H1649">
        <v>0.54</v>
      </c>
      <c r="I1649" t="s">
        <v>19</v>
      </c>
      <c r="J1649">
        <v>0</v>
      </c>
      <c r="K1649">
        <v>1</v>
      </c>
      <c r="L1649">
        <v>0</v>
      </c>
      <c r="M1649">
        <f>VLOOKUP(Table1[[#This Row],[subscription_type]],Plans!$A$1:$B$5,2,FALSE)</f>
        <v>4.99</v>
      </c>
      <c r="N1649">
        <f t="shared" si="25"/>
        <v>0</v>
      </c>
    </row>
    <row r="1650" spans="1:14" x14ac:dyDescent="0.35">
      <c r="A1650">
        <v>1649</v>
      </c>
      <c r="B1650" t="s">
        <v>20</v>
      </c>
      <c r="C1650">
        <v>40</v>
      </c>
      <c r="D1650" t="s">
        <v>29</v>
      </c>
      <c r="E1650" t="s">
        <v>18</v>
      </c>
      <c r="F1650">
        <v>145</v>
      </c>
      <c r="G1650">
        <v>99</v>
      </c>
      <c r="H1650">
        <v>0.1</v>
      </c>
      <c r="I1650" t="s">
        <v>15</v>
      </c>
      <c r="J1650">
        <v>0</v>
      </c>
      <c r="K1650">
        <v>1</v>
      </c>
      <c r="L1650">
        <v>0</v>
      </c>
      <c r="M1650">
        <f>VLOOKUP(Table1[[#This Row],[subscription_type]],Plans!$A$1:$B$5,2,FALSE)</f>
        <v>14.99</v>
      </c>
      <c r="N1650">
        <f t="shared" si="25"/>
        <v>0</v>
      </c>
    </row>
    <row r="1651" spans="1:14" x14ac:dyDescent="0.35">
      <c r="A1651">
        <v>1650</v>
      </c>
      <c r="B1651" t="s">
        <v>20</v>
      </c>
      <c r="C1651">
        <v>40</v>
      </c>
      <c r="D1651" t="s">
        <v>17</v>
      </c>
      <c r="E1651" t="s">
        <v>24</v>
      </c>
      <c r="F1651">
        <v>25</v>
      </c>
      <c r="G1651">
        <v>25</v>
      </c>
      <c r="H1651">
        <v>0.41</v>
      </c>
      <c r="I1651" t="s">
        <v>19</v>
      </c>
      <c r="J1651">
        <v>0</v>
      </c>
      <c r="K1651">
        <v>1</v>
      </c>
      <c r="L1651">
        <v>0</v>
      </c>
      <c r="M1651">
        <f>VLOOKUP(Table1[[#This Row],[subscription_type]],Plans!$A$1:$B$5,2,FALSE)</f>
        <v>4.99</v>
      </c>
      <c r="N1651">
        <f t="shared" si="25"/>
        <v>0</v>
      </c>
    </row>
    <row r="1652" spans="1:14" x14ac:dyDescent="0.35">
      <c r="A1652">
        <v>1651</v>
      </c>
      <c r="B1652" t="s">
        <v>16</v>
      </c>
      <c r="C1652">
        <v>30</v>
      </c>
      <c r="D1652" t="s">
        <v>29</v>
      </c>
      <c r="E1652" t="s">
        <v>24</v>
      </c>
      <c r="F1652">
        <v>25</v>
      </c>
      <c r="G1652">
        <v>62</v>
      </c>
      <c r="H1652">
        <v>0.23</v>
      </c>
      <c r="I1652" t="s">
        <v>19</v>
      </c>
      <c r="J1652">
        <v>0</v>
      </c>
      <c r="K1652">
        <v>1</v>
      </c>
      <c r="L1652">
        <v>0</v>
      </c>
      <c r="M1652">
        <f>VLOOKUP(Table1[[#This Row],[subscription_type]],Plans!$A$1:$B$5,2,FALSE)</f>
        <v>4.99</v>
      </c>
      <c r="N1652">
        <f t="shared" si="25"/>
        <v>0</v>
      </c>
    </row>
    <row r="1653" spans="1:14" x14ac:dyDescent="0.35">
      <c r="A1653">
        <v>1652</v>
      </c>
      <c r="B1653" t="s">
        <v>20</v>
      </c>
      <c r="C1653">
        <v>18</v>
      </c>
      <c r="D1653" t="s">
        <v>26</v>
      </c>
      <c r="E1653" t="s">
        <v>18</v>
      </c>
      <c r="F1653">
        <v>137</v>
      </c>
      <c r="G1653">
        <v>72</v>
      </c>
      <c r="H1653">
        <v>0.15</v>
      </c>
      <c r="I1653" t="s">
        <v>23</v>
      </c>
      <c r="J1653">
        <v>0</v>
      </c>
      <c r="K1653">
        <v>1</v>
      </c>
      <c r="L1653">
        <v>0</v>
      </c>
      <c r="M1653">
        <f>VLOOKUP(Table1[[#This Row],[subscription_type]],Plans!$A$1:$B$5,2,FALSE)</f>
        <v>14.99</v>
      </c>
      <c r="N1653">
        <f t="shared" si="25"/>
        <v>0</v>
      </c>
    </row>
    <row r="1654" spans="1:14" x14ac:dyDescent="0.35">
      <c r="A1654">
        <v>1653</v>
      </c>
      <c r="B1654" t="s">
        <v>20</v>
      </c>
      <c r="C1654">
        <v>52</v>
      </c>
      <c r="D1654" t="s">
        <v>13</v>
      </c>
      <c r="E1654" t="s">
        <v>18</v>
      </c>
      <c r="F1654">
        <v>59</v>
      </c>
      <c r="G1654">
        <v>79</v>
      </c>
      <c r="H1654">
        <v>0.48</v>
      </c>
      <c r="I1654" t="s">
        <v>23</v>
      </c>
      <c r="J1654">
        <v>0</v>
      </c>
      <c r="K1654">
        <v>1</v>
      </c>
      <c r="L1654">
        <v>1</v>
      </c>
      <c r="M1654">
        <f>VLOOKUP(Table1[[#This Row],[subscription_type]],Plans!$A$1:$B$5,2,FALSE)</f>
        <v>14.99</v>
      </c>
      <c r="N1654">
        <f t="shared" si="25"/>
        <v>14.99</v>
      </c>
    </row>
    <row r="1655" spans="1:14" x14ac:dyDescent="0.35">
      <c r="A1655">
        <v>1654</v>
      </c>
      <c r="B1655" t="s">
        <v>12</v>
      </c>
      <c r="C1655">
        <v>56</v>
      </c>
      <c r="D1655" t="s">
        <v>21</v>
      </c>
      <c r="E1655" t="s">
        <v>24</v>
      </c>
      <c r="F1655">
        <v>236</v>
      </c>
      <c r="G1655">
        <v>65</v>
      </c>
      <c r="H1655">
        <v>0.57999999999999996</v>
      </c>
      <c r="I1655" t="s">
        <v>15</v>
      </c>
      <c r="J1655">
        <v>0</v>
      </c>
      <c r="K1655">
        <v>1</v>
      </c>
      <c r="L1655">
        <v>0</v>
      </c>
      <c r="M1655">
        <f>VLOOKUP(Table1[[#This Row],[subscription_type]],Plans!$A$1:$B$5,2,FALSE)</f>
        <v>4.99</v>
      </c>
      <c r="N1655">
        <f t="shared" si="25"/>
        <v>0</v>
      </c>
    </row>
    <row r="1656" spans="1:14" x14ac:dyDescent="0.35">
      <c r="A1656">
        <v>1655</v>
      </c>
      <c r="B1656" t="s">
        <v>20</v>
      </c>
      <c r="C1656">
        <v>57</v>
      </c>
      <c r="D1656" t="s">
        <v>28</v>
      </c>
      <c r="E1656" t="s">
        <v>14</v>
      </c>
      <c r="F1656">
        <v>158</v>
      </c>
      <c r="G1656">
        <v>51</v>
      </c>
      <c r="H1656">
        <v>0.2</v>
      </c>
      <c r="I1656" t="s">
        <v>15</v>
      </c>
      <c r="J1656">
        <v>42</v>
      </c>
      <c r="K1656">
        <v>0</v>
      </c>
      <c r="L1656">
        <v>1</v>
      </c>
      <c r="M1656">
        <f>VLOOKUP(Table1[[#This Row],[subscription_type]],Plans!$A$1:$B$5,2,FALSE)</f>
        <v>0</v>
      </c>
      <c r="N1656">
        <f t="shared" si="25"/>
        <v>0</v>
      </c>
    </row>
    <row r="1657" spans="1:14" x14ac:dyDescent="0.35">
      <c r="A1657">
        <v>1656</v>
      </c>
      <c r="B1657" t="s">
        <v>16</v>
      </c>
      <c r="C1657">
        <v>36</v>
      </c>
      <c r="D1657" t="s">
        <v>26</v>
      </c>
      <c r="E1657" t="s">
        <v>18</v>
      </c>
      <c r="F1657">
        <v>135</v>
      </c>
      <c r="G1657">
        <v>1</v>
      </c>
      <c r="H1657">
        <v>0.04</v>
      </c>
      <c r="I1657" t="s">
        <v>23</v>
      </c>
      <c r="J1657">
        <v>0</v>
      </c>
      <c r="K1657">
        <v>1</v>
      </c>
      <c r="L1657">
        <v>0</v>
      </c>
      <c r="M1657">
        <f>VLOOKUP(Table1[[#This Row],[subscription_type]],Plans!$A$1:$B$5,2,FALSE)</f>
        <v>14.99</v>
      </c>
      <c r="N1657">
        <f t="shared" si="25"/>
        <v>0</v>
      </c>
    </row>
    <row r="1658" spans="1:14" x14ac:dyDescent="0.35">
      <c r="A1658">
        <v>1657</v>
      </c>
      <c r="B1658" t="s">
        <v>20</v>
      </c>
      <c r="C1658">
        <v>47</v>
      </c>
      <c r="D1658" t="s">
        <v>13</v>
      </c>
      <c r="E1658" t="s">
        <v>14</v>
      </c>
      <c r="F1658">
        <v>99</v>
      </c>
      <c r="G1658">
        <v>63</v>
      </c>
      <c r="H1658">
        <v>0.08</v>
      </c>
      <c r="I1658" t="s">
        <v>19</v>
      </c>
      <c r="J1658">
        <v>31</v>
      </c>
      <c r="K1658">
        <v>0</v>
      </c>
      <c r="L1658">
        <v>0</v>
      </c>
      <c r="M1658">
        <f>VLOOKUP(Table1[[#This Row],[subscription_type]],Plans!$A$1:$B$5,2,FALSE)</f>
        <v>0</v>
      </c>
      <c r="N1658">
        <f t="shared" si="25"/>
        <v>0</v>
      </c>
    </row>
    <row r="1659" spans="1:14" x14ac:dyDescent="0.35">
      <c r="A1659">
        <v>1658</v>
      </c>
      <c r="B1659" t="s">
        <v>12</v>
      </c>
      <c r="C1659">
        <v>37</v>
      </c>
      <c r="D1659" t="s">
        <v>26</v>
      </c>
      <c r="E1659" t="s">
        <v>14</v>
      </c>
      <c r="F1659">
        <v>138</v>
      </c>
      <c r="G1659">
        <v>98</v>
      </c>
      <c r="H1659">
        <v>0.54</v>
      </c>
      <c r="I1659" t="s">
        <v>19</v>
      </c>
      <c r="J1659">
        <v>17</v>
      </c>
      <c r="K1659">
        <v>0</v>
      </c>
      <c r="L1659">
        <v>1</v>
      </c>
      <c r="M1659">
        <f>VLOOKUP(Table1[[#This Row],[subscription_type]],Plans!$A$1:$B$5,2,FALSE)</f>
        <v>0</v>
      </c>
      <c r="N1659">
        <f t="shared" si="25"/>
        <v>0</v>
      </c>
    </row>
    <row r="1660" spans="1:14" x14ac:dyDescent="0.35">
      <c r="A1660">
        <v>1659</v>
      </c>
      <c r="B1660" t="s">
        <v>20</v>
      </c>
      <c r="C1660">
        <v>48</v>
      </c>
      <c r="D1660" t="s">
        <v>17</v>
      </c>
      <c r="E1660" t="s">
        <v>22</v>
      </c>
      <c r="F1660">
        <v>107</v>
      </c>
      <c r="G1660">
        <v>9</v>
      </c>
      <c r="H1660">
        <v>0.04</v>
      </c>
      <c r="I1660" t="s">
        <v>23</v>
      </c>
      <c r="J1660">
        <v>0</v>
      </c>
      <c r="K1660">
        <v>1</v>
      </c>
      <c r="L1660">
        <v>0</v>
      </c>
      <c r="M1660">
        <f>VLOOKUP(Table1[[#This Row],[subscription_type]],Plans!$A$1:$B$5,2,FALSE)</f>
        <v>9.99</v>
      </c>
      <c r="N1660">
        <f t="shared" si="25"/>
        <v>0</v>
      </c>
    </row>
    <row r="1661" spans="1:14" x14ac:dyDescent="0.35">
      <c r="A1661">
        <v>1660</v>
      </c>
      <c r="B1661" t="s">
        <v>20</v>
      </c>
      <c r="C1661">
        <v>53</v>
      </c>
      <c r="D1661" t="s">
        <v>26</v>
      </c>
      <c r="E1661" t="s">
        <v>24</v>
      </c>
      <c r="F1661">
        <v>196</v>
      </c>
      <c r="G1661">
        <v>3</v>
      </c>
      <c r="H1661">
        <v>7.0000000000000007E-2</v>
      </c>
      <c r="I1661" t="s">
        <v>23</v>
      </c>
      <c r="J1661">
        <v>0</v>
      </c>
      <c r="K1661">
        <v>1</v>
      </c>
      <c r="L1661">
        <v>0</v>
      </c>
      <c r="M1661">
        <f>VLOOKUP(Table1[[#This Row],[subscription_type]],Plans!$A$1:$B$5,2,FALSE)</f>
        <v>4.99</v>
      </c>
      <c r="N1661">
        <f t="shared" si="25"/>
        <v>0</v>
      </c>
    </row>
    <row r="1662" spans="1:14" x14ac:dyDescent="0.35">
      <c r="A1662">
        <v>1661</v>
      </c>
      <c r="B1662" t="s">
        <v>12</v>
      </c>
      <c r="C1662">
        <v>17</v>
      </c>
      <c r="D1662" t="s">
        <v>13</v>
      </c>
      <c r="E1662" t="s">
        <v>22</v>
      </c>
      <c r="F1662">
        <v>151</v>
      </c>
      <c r="G1662">
        <v>53</v>
      </c>
      <c r="H1662">
        <v>0.25</v>
      </c>
      <c r="I1662" t="s">
        <v>19</v>
      </c>
      <c r="J1662">
        <v>0</v>
      </c>
      <c r="K1662">
        <v>1</v>
      </c>
      <c r="L1662">
        <v>0</v>
      </c>
      <c r="M1662">
        <f>VLOOKUP(Table1[[#This Row],[subscription_type]],Plans!$A$1:$B$5,2,FALSE)</f>
        <v>9.99</v>
      </c>
      <c r="N1662">
        <f t="shared" si="25"/>
        <v>0</v>
      </c>
    </row>
    <row r="1663" spans="1:14" x14ac:dyDescent="0.35">
      <c r="A1663">
        <v>1662</v>
      </c>
      <c r="B1663" t="s">
        <v>16</v>
      </c>
      <c r="C1663">
        <v>54</v>
      </c>
      <c r="D1663" t="s">
        <v>13</v>
      </c>
      <c r="E1663" t="s">
        <v>14</v>
      </c>
      <c r="F1663">
        <v>218</v>
      </c>
      <c r="G1663">
        <v>76</v>
      </c>
      <c r="H1663">
        <v>0.41</v>
      </c>
      <c r="I1663" t="s">
        <v>23</v>
      </c>
      <c r="J1663">
        <v>49</v>
      </c>
      <c r="K1663">
        <v>0</v>
      </c>
      <c r="L1663">
        <v>0</v>
      </c>
      <c r="M1663">
        <f>VLOOKUP(Table1[[#This Row],[subscription_type]],Plans!$A$1:$B$5,2,FALSE)</f>
        <v>0</v>
      </c>
      <c r="N1663">
        <f t="shared" si="25"/>
        <v>0</v>
      </c>
    </row>
    <row r="1664" spans="1:14" x14ac:dyDescent="0.35">
      <c r="A1664">
        <v>1663</v>
      </c>
      <c r="B1664" t="s">
        <v>16</v>
      </c>
      <c r="C1664">
        <v>55</v>
      </c>
      <c r="D1664" t="s">
        <v>25</v>
      </c>
      <c r="E1664" t="s">
        <v>24</v>
      </c>
      <c r="F1664">
        <v>33</v>
      </c>
      <c r="G1664">
        <v>93</v>
      </c>
      <c r="H1664">
        <v>0.09</v>
      </c>
      <c r="I1664" t="s">
        <v>23</v>
      </c>
      <c r="J1664">
        <v>0</v>
      </c>
      <c r="K1664">
        <v>1</v>
      </c>
      <c r="L1664">
        <v>0</v>
      </c>
      <c r="M1664">
        <f>VLOOKUP(Table1[[#This Row],[subscription_type]],Plans!$A$1:$B$5,2,FALSE)</f>
        <v>4.99</v>
      </c>
      <c r="N1664">
        <f t="shared" si="25"/>
        <v>0</v>
      </c>
    </row>
    <row r="1665" spans="1:14" x14ac:dyDescent="0.35">
      <c r="A1665">
        <v>1664</v>
      </c>
      <c r="B1665" t="s">
        <v>20</v>
      </c>
      <c r="C1665">
        <v>35</v>
      </c>
      <c r="D1665" t="s">
        <v>26</v>
      </c>
      <c r="E1665" t="s">
        <v>22</v>
      </c>
      <c r="F1665">
        <v>138</v>
      </c>
      <c r="G1665">
        <v>31</v>
      </c>
      <c r="H1665">
        <v>0.26</v>
      </c>
      <c r="I1665" t="s">
        <v>19</v>
      </c>
      <c r="J1665">
        <v>0</v>
      </c>
      <c r="K1665">
        <v>1</v>
      </c>
      <c r="L1665">
        <v>0</v>
      </c>
      <c r="M1665">
        <f>VLOOKUP(Table1[[#This Row],[subscription_type]],Plans!$A$1:$B$5,2,FALSE)</f>
        <v>9.99</v>
      </c>
      <c r="N1665">
        <f t="shared" si="25"/>
        <v>0</v>
      </c>
    </row>
    <row r="1666" spans="1:14" x14ac:dyDescent="0.35">
      <c r="A1666">
        <v>1665</v>
      </c>
      <c r="B1666" t="s">
        <v>20</v>
      </c>
      <c r="C1666">
        <v>37</v>
      </c>
      <c r="D1666" t="s">
        <v>26</v>
      </c>
      <c r="E1666" t="s">
        <v>22</v>
      </c>
      <c r="F1666">
        <v>221</v>
      </c>
      <c r="G1666">
        <v>65</v>
      </c>
      <c r="H1666">
        <v>0.01</v>
      </c>
      <c r="I1666" t="s">
        <v>23</v>
      </c>
      <c r="J1666">
        <v>0</v>
      </c>
      <c r="K1666">
        <v>1</v>
      </c>
      <c r="L1666">
        <v>0</v>
      </c>
      <c r="M1666">
        <f>VLOOKUP(Table1[[#This Row],[subscription_type]],Plans!$A$1:$B$5,2,FALSE)</f>
        <v>9.99</v>
      </c>
      <c r="N1666">
        <f t="shared" ref="N1666:N1729" si="26">IF(L1666=1, M1666,0)</f>
        <v>0</v>
      </c>
    </row>
    <row r="1667" spans="1:14" x14ac:dyDescent="0.35">
      <c r="A1667">
        <v>1666</v>
      </c>
      <c r="B1667" t="s">
        <v>20</v>
      </c>
      <c r="C1667">
        <v>34</v>
      </c>
      <c r="D1667" t="s">
        <v>17</v>
      </c>
      <c r="E1667" t="s">
        <v>22</v>
      </c>
      <c r="F1667">
        <v>234</v>
      </c>
      <c r="G1667">
        <v>7</v>
      </c>
      <c r="H1667">
        <v>0.01</v>
      </c>
      <c r="I1667" t="s">
        <v>19</v>
      </c>
      <c r="J1667">
        <v>0</v>
      </c>
      <c r="K1667">
        <v>1</v>
      </c>
      <c r="L1667">
        <v>0</v>
      </c>
      <c r="M1667">
        <f>VLOOKUP(Table1[[#This Row],[subscription_type]],Plans!$A$1:$B$5,2,FALSE)</f>
        <v>9.99</v>
      </c>
      <c r="N1667">
        <f t="shared" si="26"/>
        <v>0</v>
      </c>
    </row>
    <row r="1668" spans="1:14" x14ac:dyDescent="0.35">
      <c r="A1668">
        <v>1667</v>
      </c>
      <c r="B1668" t="s">
        <v>16</v>
      </c>
      <c r="C1668">
        <v>33</v>
      </c>
      <c r="D1668" t="s">
        <v>21</v>
      </c>
      <c r="E1668" t="s">
        <v>14</v>
      </c>
      <c r="F1668">
        <v>236</v>
      </c>
      <c r="G1668">
        <v>56</v>
      </c>
      <c r="H1668">
        <v>0.17</v>
      </c>
      <c r="I1668" t="s">
        <v>19</v>
      </c>
      <c r="J1668">
        <v>19</v>
      </c>
      <c r="K1668">
        <v>0</v>
      </c>
      <c r="L1668">
        <v>0</v>
      </c>
      <c r="M1668">
        <f>VLOOKUP(Table1[[#This Row],[subscription_type]],Plans!$A$1:$B$5,2,FALSE)</f>
        <v>0</v>
      </c>
      <c r="N1668">
        <f t="shared" si="26"/>
        <v>0</v>
      </c>
    </row>
    <row r="1669" spans="1:14" x14ac:dyDescent="0.35">
      <c r="A1669">
        <v>1668</v>
      </c>
      <c r="B1669" t="s">
        <v>12</v>
      </c>
      <c r="C1669">
        <v>55</v>
      </c>
      <c r="D1669" t="s">
        <v>27</v>
      </c>
      <c r="E1669" t="s">
        <v>14</v>
      </c>
      <c r="F1669">
        <v>242</v>
      </c>
      <c r="G1669">
        <v>14</v>
      </c>
      <c r="H1669">
        <v>0.04</v>
      </c>
      <c r="I1669" t="s">
        <v>15</v>
      </c>
      <c r="J1669">
        <v>17</v>
      </c>
      <c r="K1669">
        <v>0</v>
      </c>
      <c r="L1669">
        <v>0</v>
      </c>
      <c r="M1669">
        <f>VLOOKUP(Table1[[#This Row],[subscription_type]],Plans!$A$1:$B$5,2,FALSE)</f>
        <v>0</v>
      </c>
      <c r="N1669">
        <f t="shared" si="26"/>
        <v>0</v>
      </c>
    </row>
    <row r="1670" spans="1:14" x14ac:dyDescent="0.35">
      <c r="A1670">
        <v>1669</v>
      </c>
      <c r="B1670" t="s">
        <v>20</v>
      </c>
      <c r="C1670">
        <v>24</v>
      </c>
      <c r="D1670" t="s">
        <v>29</v>
      </c>
      <c r="E1670" t="s">
        <v>24</v>
      </c>
      <c r="F1670">
        <v>118</v>
      </c>
      <c r="G1670">
        <v>60</v>
      </c>
      <c r="H1670">
        <v>0.51</v>
      </c>
      <c r="I1670" t="s">
        <v>23</v>
      </c>
      <c r="J1670">
        <v>0</v>
      </c>
      <c r="K1670">
        <v>1</v>
      </c>
      <c r="L1670">
        <v>1</v>
      </c>
      <c r="M1670">
        <f>VLOOKUP(Table1[[#This Row],[subscription_type]],Plans!$A$1:$B$5,2,FALSE)</f>
        <v>4.99</v>
      </c>
      <c r="N1670">
        <f t="shared" si="26"/>
        <v>4.99</v>
      </c>
    </row>
    <row r="1671" spans="1:14" x14ac:dyDescent="0.35">
      <c r="A1671">
        <v>1670</v>
      </c>
      <c r="B1671" t="s">
        <v>12</v>
      </c>
      <c r="C1671">
        <v>35</v>
      </c>
      <c r="D1671" t="s">
        <v>26</v>
      </c>
      <c r="E1671" t="s">
        <v>24</v>
      </c>
      <c r="F1671">
        <v>98</v>
      </c>
      <c r="G1671">
        <v>45</v>
      </c>
      <c r="H1671">
        <v>0.14000000000000001</v>
      </c>
      <c r="I1671" t="s">
        <v>19</v>
      </c>
      <c r="J1671">
        <v>0</v>
      </c>
      <c r="K1671">
        <v>1</v>
      </c>
      <c r="L1671">
        <v>0</v>
      </c>
      <c r="M1671">
        <f>VLOOKUP(Table1[[#This Row],[subscription_type]],Plans!$A$1:$B$5,2,FALSE)</f>
        <v>4.99</v>
      </c>
      <c r="N1671">
        <f t="shared" si="26"/>
        <v>0</v>
      </c>
    </row>
    <row r="1672" spans="1:14" x14ac:dyDescent="0.35">
      <c r="A1672">
        <v>1671</v>
      </c>
      <c r="B1672" t="s">
        <v>20</v>
      </c>
      <c r="C1672">
        <v>41</v>
      </c>
      <c r="D1672" t="s">
        <v>17</v>
      </c>
      <c r="E1672" t="s">
        <v>24</v>
      </c>
      <c r="F1672">
        <v>108</v>
      </c>
      <c r="G1672">
        <v>74</v>
      </c>
      <c r="H1672">
        <v>0.36</v>
      </c>
      <c r="I1672" t="s">
        <v>19</v>
      </c>
      <c r="J1672">
        <v>0</v>
      </c>
      <c r="K1672">
        <v>1</v>
      </c>
      <c r="L1672">
        <v>1</v>
      </c>
      <c r="M1672">
        <f>VLOOKUP(Table1[[#This Row],[subscription_type]],Plans!$A$1:$B$5,2,FALSE)</f>
        <v>4.99</v>
      </c>
      <c r="N1672">
        <f t="shared" si="26"/>
        <v>4.99</v>
      </c>
    </row>
    <row r="1673" spans="1:14" x14ac:dyDescent="0.35">
      <c r="A1673">
        <v>1672</v>
      </c>
      <c r="B1673" t="s">
        <v>16</v>
      </c>
      <c r="C1673">
        <v>51</v>
      </c>
      <c r="D1673" t="s">
        <v>27</v>
      </c>
      <c r="E1673" t="s">
        <v>24</v>
      </c>
      <c r="F1673">
        <v>198</v>
      </c>
      <c r="G1673">
        <v>41</v>
      </c>
      <c r="H1673">
        <v>0.47</v>
      </c>
      <c r="I1673" t="s">
        <v>23</v>
      </c>
      <c r="J1673">
        <v>0</v>
      </c>
      <c r="K1673">
        <v>1</v>
      </c>
      <c r="L1673">
        <v>1</v>
      </c>
      <c r="M1673">
        <f>VLOOKUP(Table1[[#This Row],[subscription_type]],Plans!$A$1:$B$5,2,FALSE)</f>
        <v>4.99</v>
      </c>
      <c r="N1673">
        <f t="shared" si="26"/>
        <v>4.99</v>
      </c>
    </row>
    <row r="1674" spans="1:14" x14ac:dyDescent="0.35">
      <c r="A1674">
        <v>1673</v>
      </c>
      <c r="B1674" t="s">
        <v>12</v>
      </c>
      <c r="C1674">
        <v>16</v>
      </c>
      <c r="D1674" t="s">
        <v>28</v>
      </c>
      <c r="E1674" t="s">
        <v>22</v>
      </c>
      <c r="F1674">
        <v>148</v>
      </c>
      <c r="G1674">
        <v>76</v>
      </c>
      <c r="H1674">
        <v>0.5</v>
      </c>
      <c r="I1674" t="s">
        <v>15</v>
      </c>
      <c r="J1674">
        <v>0</v>
      </c>
      <c r="K1674">
        <v>1</v>
      </c>
      <c r="L1674">
        <v>0</v>
      </c>
      <c r="M1674">
        <f>VLOOKUP(Table1[[#This Row],[subscription_type]],Plans!$A$1:$B$5,2,FALSE)</f>
        <v>9.99</v>
      </c>
      <c r="N1674">
        <f t="shared" si="26"/>
        <v>0</v>
      </c>
    </row>
    <row r="1675" spans="1:14" x14ac:dyDescent="0.35">
      <c r="A1675">
        <v>1674</v>
      </c>
      <c r="B1675" t="s">
        <v>20</v>
      </c>
      <c r="C1675">
        <v>45</v>
      </c>
      <c r="D1675" t="s">
        <v>17</v>
      </c>
      <c r="E1675" t="s">
        <v>24</v>
      </c>
      <c r="F1675">
        <v>198</v>
      </c>
      <c r="G1675">
        <v>4</v>
      </c>
      <c r="H1675">
        <v>0.15</v>
      </c>
      <c r="I1675" t="s">
        <v>15</v>
      </c>
      <c r="J1675">
        <v>0</v>
      </c>
      <c r="K1675">
        <v>1</v>
      </c>
      <c r="L1675">
        <v>0</v>
      </c>
      <c r="M1675">
        <f>VLOOKUP(Table1[[#This Row],[subscription_type]],Plans!$A$1:$B$5,2,FALSE)</f>
        <v>4.99</v>
      </c>
      <c r="N1675">
        <f t="shared" si="26"/>
        <v>0</v>
      </c>
    </row>
    <row r="1676" spans="1:14" x14ac:dyDescent="0.35">
      <c r="A1676">
        <v>1675</v>
      </c>
      <c r="B1676" t="s">
        <v>16</v>
      </c>
      <c r="C1676">
        <v>34</v>
      </c>
      <c r="D1676" t="s">
        <v>21</v>
      </c>
      <c r="E1676" t="s">
        <v>18</v>
      </c>
      <c r="F1676">
        <v>245</v>
      </c>
      <c r="G1676">
        <v>20</v>
      </c>
      <c r="H1676">
        <v>0.12</v>
      </c>
      <c r="I1676" t="s">
        <v>15</v>
      </c>
      <c r="J1676">
        <v>0</v>
      </c>
      <c r="K1676">
        <v>1</v>
      </c>
      <c r="L1676">
        <v>0</v>
      </c>
      <c r="M1676">
        <f>VLOOKUP(Table1[[#This Row],[subscription_type]],Plans!$A$1:$B$5,2,FALSE)</f>
        <v>14.99</v>
      </c>
      <c r="N1676">
        <f t="shared" si="26"/>
        <v>0</v>
      </c>
    </row>
    <row r="1677" spans="1:14" x14ac:dyDescent="0.35">
      <c r="A1677">
        <v>1676</v>
      </c>
      <c r="B1677" t="s">
        <v>12</v>
      </c>
      <c r="C1677">
        <v>48</v>
      </c>
      <c r="D1677" t="s">
        <v>27</v>
      </c>
      <c r="E1677" t="s">
        <v>14</v>
      </c>
      <c r="F1677">
        <v>272</v>
      </c>
      <c r="G1677">
        <v>96</v>
      </c>
      <c r="H1677">
        <v>0.34</v>
      </c>
      <c r="I1677" t="s">
        <v>15</v>
      </c>
      <c r="J1677">
        <v>46</v>
      </c>
      <c r="K1677">
        <v>0</v>
      </c>
      <c r="L1677">
        <v>0</v>
      </c>
      <c r="M1677">
        <f>VLOOKUP(Table1[[#This Row],[subscription_type]],Plans!$A$1:$B$5,2,FALSE)</f>
        <v>0</v>
      </c>
      <c r="N1677">
        <f t="shared" si="26"/>
        <v>0</v>
      </c>
    </row>
    <row r="1678" spans="1:14" x14ac:dyDescent="0.35">
      <c r="A1678">
        <v>1677</v>
      </c>
      <c r="B1678" t="s">
        <v>12</v>
      </c>
      <c r="C1678">
        <v>49</v>
      </c>
      <c r="D1678" t="s">
        <v>13</v>
      </c>
      <c r="E1678" t="s">
        <v>24</v>
      </c>
      <c r="F1678">
        <v>24</v>
      </c>
      <c r="G1678">
        <v>25</v>
      </c>
      <c r="H1678">
        <v>0.2</v>
      </c>
      <c r="I1678" t="s">
        <v>15</v>
      </c>
      <c r="J1678">
        <v>0</v>
      </c>
      <c r="K1678">
        <v>1</v>
      </c>
      <c r="L1678">
        <v>0</v>
      </c>
      <c r="M1678">
        <f>VLOOKUP(Table1[[#This Row],[subscription_type]],Plans!$A$1:$B$5,2,FALSE)</f>
        <v>4.99</v>
      </c>
      <c r="N1678">
        <f t="shared" si="26"/>
        <v>0</v>
      </c>
    </row>
    <row r="1679" spans="1:14" x14ac:dyDescent="0.35">
      <c r="A1679">
        <v>1678</v>
      </c>
      <c r="B1679" t="s">
        <v>20</v>
      </c>
      <c r="C1679">
        <v>46</v>
      </c>
      <c r="D1679" t="s">
        <v>27</v>
      </c>
      <c r="E1679" t="s">
        <v>22</v>
      </c>
      <c r="F1679">
        <v>291</v>
      </c>
      <c r="G1679">
        <v>29</v>
      </c>
      <c r="H1679">
        <v>0.03</v>
      </c>
      <c r="I1679" t="s">
        <v>19</v>
      </c>
      <c r="J1679">
        <v>0</v>
      </c>
      <c r="K1679">
        <v>1</v>
      </c>
      <c r="L1679">
        <v>0</v>
      </c>
      <c r="M1679">
        <f>VLOOKUP(Table1[[#This Row],[subscription_type]],Plans!$A$1:$B$5,2,FALSE)</f>
        <v>9.99</v>
      </c>
      <c r="N1679">
        <f t="shared" si="26"/>
        <v>0</v>
      </c>
    </row>
    <row r="1680" spans="1:14" x14ac:dyDescent="0.35">
      <c r="A1680">
        <v>1679</v>
      </c>
      <c r="B1680" t="s">
        <v>20</v>
      </c>
      <c r="C1680">
        <v>35</v>
      </c>
      <c r="D1680" t="s">
        <v>28</v>
      </c>
      <c r="E1680" t="s">
        <v>22</v>
      </c>
      <c r="F1680">
        <v>244</v>
      </c>
      <c r="G1680">
        <v>42</v>
      </c>
      <c r="H1680">
        <v>0.48</v>
      </c>
      <c r="I1680" t="s">
        <v>15</v>
      </c>
      <c r="J1680">
        <v>0</v>
      </c>
      <c r="K1680">
        <v>1</v>
      </c>
      <c r="L1680">
        <v>0</v>
      </c>
      <c r="M1680">
        <f>VLOOKUP(Table1[[#This Row],[subscription_type]],Plans!$A$1:$B$5,2,FALSE)</f>
        <v>9.99</v>
      </c>
      <c r="N1680">
        <f t="shared" si="26"/>
        <v>0</v>
      </c>
    </row>
    <row r="1681" spans="1:14" x14ac:dyDescent="0.35">
      <c r="A1681">
        <v>1680</v>
      </c>
      <c r="B1681" t="s">
        <v>12</v>
      </c>
      <c r="C1681">
        <v>18</v>
      </c>
      <c r="D1681" t="s">
        <v>17</v>
      </c>
      <c r="E1681" t="s">
        <v>24</v>
      </c>
      <c r="F1681">
        <v>29</v>
      </c>
      <c r="G1681">
        <v>5</v>
      </c>
      <c r="H1681">
        <v>0.01</v>
      </c>
      <c r="I1681" t="s">
        <v>19</v>
      </c>
      <c r="J1681">
        <v>0</v>
      </c>
      <c r="K1681">
        <v>1</v>
      </c>
      <c r="L1681">
        <v>0</v>
      </c>
      <c r="M1681">
        <f>VLOOKUP(Table1[[#This Row],[subscription_type]],Plans!$A$1:$B$5,2,FALSE)</f>
        <v>4.99</v>
      </c>
      <c r="N1681">
        <f t="shared" si="26"/>
        <v>0</v>
      </c>
    </row>
    <row r="1682" spans="1:14" x14ac:dyDescent="0.35">
      <c r="A1682">
        <v>1681</v>
      </c>
      <c r="B1682" t="s">
        <v>12</v>
      </c>
      <c r="C1682">
        <v>36</v>
      </c>
      <c r="D1682" t="s">
        <v>25</v>
      </c>
      <c r="E1682" t="s">
        <v>14</v>
      </c>
      <c r="F1682">
        <v>189</v>
      </c>
      <c r="G1682">
        <v>30</v>
      </c>
      <c r="H1682">
        <v>0.53</v>
      </c>
      <c r="I1682" t="s">
        <v>15</v>
      </c>
      <c r="J1682">
        <v>20</v>
      </c>
      <c r="K1682">
        <v>0</v>
      </c>
      <c r="L1682">
        <v>0</v>
      </c>
      <c r="M1682">
        <f>VLOOKUP(Table1[[#This Row],[subscription_type]],Plans!$A$1:$B$5,2,FALSE)</f>
        <v>0</v>
      </c>
      <c r="N1682">
        <f t="shared" si="26"/>
        <v>0</v>
      </c>
    </row>
    <row r="1683" spans="1:14" x14ac:dyDescent="0.35">
      <c r="A1683">
        <v>1682</v>
      </c>
      <c r="B1683" t="s">
        <v>12</v>
      </c>
      <c r="C1683">
        <v>58</v>
      </c>
      <c r="D1683" t="s">
        <v>26</v>
      </c>
      <c r="E1683" t="s">
        <v>14</v>
      </c>
      <c r="F1683">
        <v>237</v>
      </c>
      <c r="G1683">
        <v>52</v>
      </c>
      <c r="H1683">
        <v>0.19</v>
      </c>
      <c r="I1683" t="s">
        <v>19</v>
      </c>
      <c r="J1683">
        <v>19</v>
      </c>
      <c r="K1683">
        <v>0</v>
      </c>
      <c r="L1683">
        <v>0</v>
      </c>
      <c r="M1683">
        <f>VLOOKUP(Table1[[#This Row],[subscription_type]],Plans!$A$1:$B$5,2,FALSE)</f>
        <v>0</v>
      </c>
      <c r="N1683">
        <f t="shared" si="26"/>
        <v>0</v>
      </c>
    </row>
    <row r="1684" spans="1:14" x14ac:dyDescent="0.35">
      <c r="A1684">
        <v>1683</v>
      </c>
      <c r="B1684" t="s">
        <v>12</v>
      </c>
      <c r="C1684">
        <v>24</v>
      </c>
      <c r="D1684" t="s">
        <v>17</v>
      </c>
      <c r="E1684" t="s">
        <v>14</v>
      </c>
      <c r="F1684">
        <v>246</v>
      </c>
      <c r="G1684">
        <v>51</v>
      </c>
      <c r="H1684">
        <v>0.37</v>
      </c>
      <c r="I1684" t="s">
        <v>23</v>
      </c>
      <c r="J1684">
        <v>30</v>
      </c>
      <c r="K1684">
        <v>0</v>
      </c>
      <c r="L1684">
        <v>0</v>
      </c>
      <c r="M1684">
        <f>VLOOKUP(Table1[[#This Row],[subscription_type]],Plans!$A$1:$B$5,2,FALSE)</f>
        <v>0</v>
      </c>
      <c r="N1684">
        <f t="shared" si="26"/>
        <v>0</v>
      </c>
    </row>
    <row r="1685" spans="1:14" x14ac:dyDescent="0.35">
      <c r="A1685">
        <v>1684</v>
      </c>
      <c r="B1685" t="s">
        <v>12</v>
      </c>
      <c r="C1685">
        <v>46</v>
      </c>
      <c r="D1685" t="s">
        <v>27</v>
      </c>
      <c r="E1685" t="s">
        <v>14</v>
      </c>
      <c r="F1685">
        <v>213</v>
      </c>
      <c r="G1685">
        <v>44</v>
      </c>
      <c r="H1685">
        <v>0.35</v>
      </c>
      <c r="I1685" t="s">
        <v>23</v>
      </c>
      <c r="J1685">
        <v>32</v>
      </c>
      <c r="K1685">
        <v>0</v>
      </c>
      <c r="L1685">
        <v>0</v>
      </c>
      <c r="M1685">
        <f>VLOOKUP(Table1[[#This Row],[subscription_type]],Plans!$A$1:$B$5,2,FALSE)</f>
        <v>0</v>
      </c>
      <c r="N1685">
        <f t="shared" si="26"/>
        <v>0</v>
      </c>
    </row>
    <row r="1686" spans="1:14" x14ac:dyDescent="0.35">
      <c r="A1686">
        <v>1685</v>
      </c>
      <c r="B1686" t="s">
        <v>16</v>
      </c>
      <c r="C1686">
        <v>35</v>
      </c>
      <c r="D1686" t="s">
        <v>26</v>
      </c>
      <c r="E1686" t="s">
        <v>14</v>
      </c>
      <c r="F1686">
        <v>182</v>
      </c>
      <c r="G1686">
        <v>38</v>
      </c>
      <c r="H1686">
        <v>0.53</v>
      </c>
      <c r="I1686" t="s">
        <v>19</v>
      </c>
      <c r="J1686">
        <v>40</v>
      </c>
      <c r="K1686">
        <v>0</v>
      </c>
      <c r="L1686">
        <v>0</v>
      </c>
      <c r="M1686">
        <f>VLOOKUP(Table1[[#This Row],[subscription_type]],Plans!$A$1:$B$5,2,FALSE)</f>
        <v>0</v>
      </c>
      <c r="N1686">
        <f t="shared" si="26"/>
        <v>0</v>
      </c>
    </row>
    <row r="1687" spans="1:14" x14ac:dyDescent="0.35">
      <c r="A1687">
        <v>1686</v>
      </c>
      <c r="B1687" t="s">
        <v>12</v>
      </c>
      <c r="C1687">
        <v>34</v>
      </c>
      <c r="D1687" t="s">
        <v>17</v>
      </c>
      <c r="E1687" t="s">
        <v>14</v>
      </c>
      <c r="F1687">
        <v>16</v>
      </c>
      <c r="G1687">
        <v>46</v>
      </c>
      <c r="H1687">
        <v>0.01</v>
      </c>
      <c r="I1687" t="s">
        <v>19</v>
      </c>
      <c r="J1687">
        <v>47</v>
      </c>
      <c r="K1687">
        <v>0</v>
      </c>
      <c r="L1687">
        <v>0</v>
      </c>
      <c r="M1687">
        <f>VLOOKUP(Table1[[#This Row],[subscription_type]],Plans!$A$1:$B$5,2,FALSE)</f>
        <v>0</v>
      </c>
      <c r="N1687">
        <f t="shared" si="26"/>
        <v>0</v>
      </c>
    </row>
    <row r="1688" spans="1:14" x14ac:dyDescent="0.35">
      <c r="A1688">
        <v>1687</v>
      </c>
      <c r="B1688" t="s">
        <v>20</v>
      </c>
      <c r="C1688">
        <v>18</v>
      </c>
      <c r="D1688" t="s">
        <v>28</v>
      </c>
      <c r="E1688" t="s">
        <v>18</v>
      </c>
      <c r="F1688">
        <v>294</v>
      </c>
      <c r="G1688">
        <v>3</v>
      </c>
      <c r="H1688">
        <v>0.44</v>
      </c>
      <c r="I1688" t="s">
        <v>19</v>
      </c>
      <c r="J1688">
        <v>0</v>
      </c>
      <c r="K1688">
        <v>1</v>
      </c>
      <c r="L1688">
        <v>0</v>
      </c>
      <c r="M1688">
        <f>VLOOKUP(Table1[[#This Row],[subscription_type]],Plans!$A$1:$B$5,2,FALSE)</f>
        <v>14.99</v>
      </c>
      <c r="N1688">
        <f t="shared" si="26"/>
        <v>0</v>
      </c>
    </row>
    <row r="1689" spans="1:14" x14ac:dyDescent="0.35">
      <c r="A1689">
        <v>1688</v>
      </c>
      <c r="B1689" t="s">
        <v>12</v>
      </c>
      <c r="C1689">
        <v>39</v>
      </c>
      <c r="D1689" t="s">
        <v>25</v>
      </c>
      <c r="E1689" t="s">
        <v>14</v>
      </c>
      <c r="F1689">
        <v>140</v>
      </c>
      <c r="G1689">
        <v>54</v>
      </c>
      <c r="H1689">
        <v>0.16</v>
      </c>
      <c r="I1689" t="s">
        <v>15</v>
      </c>
      <c r="J1689">
        <v>33</v>
      </c>
      <c r="K1689">
        <v>0</v>
      </c>
      <c r="L1689">
        <v>1</v>
      </c>
      <c r="M1689">
        <f>VLOOKUP(Table1[[#This Row],[subscription_type]],Plans!$A$1:$B$5,2,FALSE)</f>
        <v>0</v>
      </c>
      <c r="N1689">
        <f t="shared" si="26"/>
        <v>0</v>
      </c>
    </row>
    <row r="1690" spans="1:14" x14ac:dyDescent="0.35">
      <c r="A1690">
        <v>1689</v>
      </c>
      <c r="B1690" t="s">
        <v>12</v>
      </c>
      <c r="C1690">
        <v>33</v>
      </c>
      <c r="D1690" t="s">
        <v>28</v>
      </c>
      <c r="E1690" t="s">
        <v>14</v>
      </c>
      <c r="F1690">
        <v>110</v>
      </c>
      <c r="G1690">
        <v>11</v>
      </c>
      <c r="H1690">
        <v>0.52</v>
      </c>
      <c r="I1690" t="s">
        <v>15</v>
      </c>
      <c r="J1690">
        <v>19</v>
      </c>
      <c r="K1690">
        <v>0</v>
      </c>
      <c r="L1690">
        <v>0</v>
      </c>
      <c r="M1690">
        <f>VLOOKUP(Table1[[#This Row],[subscription_type]],Plans!$A$1:$B$5,2,FALSE)</f>
        <v>0</v>
      </c>
      <c r="N1690">
        <f t="shared" si="26"/>
        <v>0</v>
      </c>
    </row>
    <row r="1691" spans="1:14" x14ac:dyDescent="0.35">
      <c r="A1691">
        <v>1690</v>
      </c>
      <c r="B1691" t="s">
        <v>12</v>
      </c>
      <c r="C1691">
        <v>29</v>
      </c>
      <c r="D1691" t="s">
        <v>26</v>
      </c>
      <c r="E1691" t="s">
        <v>14</v>
      </c>
      <c r="F1691">
        <v>93</v>
      </c>
      <c r="G1691">
        <v>99</v>
      </c>
      <c r="H1691">
        <v>0.25</v>
      </c>
      <c r="I1691" t="s">
        <v>23</v>
      </c>
      <c r="J1691">
        <v>47</v>
      </c>
      <c r="K1691">
        <v>0</v>
      </c>
      <c r="L1691">
        <v>1</v>
      </c>
      <c r="M1691">
        <f>VLOOKUP(Table1[[#This Row],[subscription_type]],Plans!$A$1:$B$5,2,FALSE)</f>
        <v>0</v>
      </c>
      <c r="N1691">
        <f t="shared" si="26"/>
        <v>0</v>
      </c>
    </row>
    <row r="1692" spans="1:14" x14ac:dyDescent="0.35">
      <c r="A1692">
        <v>1691</v>
      </c>
      <c r="B1692" t="s">
        <v>20</v>
      </c>
      <c r="C1692">
        <v>41</v>
      </c>
      <c r="D1692" t="s">
        <v>27</v>
      </c>
      <c r="E1692" t="s">
        <v>22</v>
      </c>
      <c r="F1692">
        <v>221</v>
      </c>
      <c r="G1692">
        <v>64</v>
      </c>
      <c r="H1692">
        <v>0.35</v>
      </c>
      <c r="I1692" t="s">
        <v>19</v>
      </c>
      <c r="J1692">
        <v>0</v>
      </c>
      <c r="K1692">
        <v>1</v>
      </c>
      <c r="L1692">
        <v>1</v>
      </c>
      <c r="M1692">
        <f>VLOOKUP(Table1[[#This Row],[subscription_type]],Plans!$A$1:$B$5,2,FALSE)</f>
        <v>9.99</v>
      </c>
      <c r="N1692">
        <f t="shared" si="26"/>
        <v>9.99</v>
      </c>
    </row>
    <row r="1693" spans="1:14" x14ac:dyDescent="0.35">
      <c r="A1693">
        <v>1692</v>
      </c>
      <c r="B1693" t="s">
        <v>12</v>
      </c>
      <c r="C1693">
        <v>35</v>
      </c>
      <c r="D1693" t="s">
        <v>26</v>
      </c>
      <c r="E1693" t="s">
        <v>22</v>
      </c>
      <c r="F1693">
        <v>142</v>
      </c>
      <c r="G1693">
        <v>1</v>
      </c>
      <c r="H1693">
        <v>0.59</v>
      </c>
      <c r="I1693" t="s">
        <v>15</v>
      </c>
      <c r="J1693">
        <v>0</v>
      </c>
      <c r="K1693">
        <v>1</v>
      </c>
      <c r="L1693">
        <v>1</v>
      </c>
      <c r="M1693">
        <f>VLOOKUP(Table1[[#This Row],[subscription_type]],Plans!$A$1:$B$5,2,FALSE)</f>
        <v>9.99</v>
      </c>
      <c r="N1693">
        <f t="shared" si="26"/>
        <v>9.99</v>
      </c>
    </row>
    <row r="1694" spans="1:14" x14ac:dyDescent="0.35">
      <c r="A1694">
        <v>1693</v>
      </c>
      <c r="B1694" t="s">
        <v>20</v>
      </c>
      <c r="C1694">
        <v>51</v>
      </c>
      <c r="D1694" t="s">
        <v>13</v>
      </c>
      <c r="E1694" t="s">
        <v>24</v>
      </c>
      <c r="F1694">
        <v>72</v>
      </c>
      <c r="G1694">
        <v>43</v>
      </c>
      <c r="H1694">
        <v>0.38</v>
      </c>
      <c r="I1694" t="s">
        <v>23</v>
      </c>
      <c r="J1694">
        <v>0</v>
      </c>
      <c r="K1694">
        <v>1</v>
      </c>
      <c r="L1694">
        <v>0</v>
      </c>
      <c r="M1694">
        <f>VLOOKUP(Table1[[#This Row],[subscription_type]],Plans!$A$1:$B$5,2,FALSE)</f>
        <v>4.99</v>
      </c>
      <c r="N1694">
        <f t="shared" si="26"/>
        <v>0</v>
      </c>
    </row>
    <row r="1695" spans="1:14" x14ac:dyDescent="0.35">
      <c r="A1695">
        <v>1694</v>
      </c>
      <c r="B1695" t="s">
        <v>20</v>
      </c>
      <c r="C1695">
        <v>45</v>
      </c>
      <c r="D1695" t="s">
        <v>13</v>
      </c>
      <c r="E1695" t="s">
        <v>24</v>
      </c>
      <c r="F1695">
        <v>256</v>
      </c>
      <c r="G1695">
        <v>50</v>
      </c>
      <c r="H1695">
        <v>0.21</v>
      </c>
      <c r="I1695" t="s">
        <v>23</v>
      </c>
      <c r="J1695">
        <v>0</v>
      </c>
      <c r="K1695">
        <v>1</v>
      </c>
      <c r="L1695">
        <v>0</v>
      </c>
      <c r="M1695">
        <f>VLOOKUP(Table1[[#This Row],[subscription_type]],Plans!$A$1:$B$5,2,FALSE)</f>
        <v>4.99</v>
      </c>
      <c r="N1695">
        <f t="shared" si="26"/>
        <v>0</v>
      </c>
    </row>
    <row r="1696" spans="1:14" x14ac:dyDescent="0.35">
      <c r="A1696">
        <v>1695</v>
      </c>
      <c r="B1696" t="s">
        <v>12</v>
      </c>
      <c r="C1696">
        <v>17</v>
      </c>
      <c r="D1696" t="s">
        <v>21</v>
      </c>
      <c r="E1696" t="s">
        <v>14</v>
      </c>
      <c r="F1696">
        <v>66</v>
      </c>
      <c r="G1696">
        <v>25</v>
      </c>
      <c r="H1696">
        <v>0.52</v>
      </c>
      <c r="I1696" t="s">
        <v>15</v>
      </c>
      <c r="J1696">
        <v>18</v>
      </c>
      <c r="K1696">
        <v>0</v>
      </c>
      <c r="L1696">
        <v>0</v>
      </c>
      <c r="M1696">
        <f>VLOOKUP(Table1[[#This Row],[subscription_type]],Plans!$A$1:$B$5,2,FALSE)</f>
        <v>0</v>
      </c>
      <c r="N1696">
        <f t="shared" si="26"/>
        <v>0</v>
      </c>
    </row>
    <row r="1697" spans="1:14" x14ac:dyDescent="0.35">
      <c r="A1697">
        <v>1696</v>
      </c>
      <c r="B1697" t="s">
        <v>20</v>
      </c>
      <c r="C1697">
        <v>29</v>
      </c>
      <c r="D1697" t="s">
        <v>26</v>
      </c>
      <c r="E1697" t="s">
        <v>22</v>
      </c>
      <c r="F1697">
        <v>81</v>
      </c>
      <c r="G1697">
        <v>21</v>
      </c>
      <c r="H1697">
        <v>0.19</v>
      </c>
      <c r="I1697" t="s">
        <v>23</v>
      </c>
      <c r="J1697">
        <v>0</v>
      </c>
      <c r="K1697">
        <v>1</v>
      </c>
      <c r="L1697">
        <v>0</v>
      </c>
      <c r="M1697">
        <f>VLOOKUP(Table1[[#This Row],[subscription_type]],Plans!$A$1:$B$5,2,FALSE)</f>
        <v>9.99</v>
      </c>
      <c r="N1697">
        <f t="shared" si="26"/>
        <v>0</v>
      </c>
    </row>
    <row r="1698" spans="1:14" x14ac:dyDescent="0.35">
      <c r="A1698">
        <v>1697</v>
      </c>
      <c r="B1698" t="s">
        <v>12</v>
      </c>
      <c r="C1698">
        <v>30</v>
      </c>
      <c r="D1698" t="s">
        <v>17</v>
      </c>
      <c r="E1698" t="s">
        <v>24</v>
      </c>
      <c r="F1698">
        <v>37</v>
      </c>
      <c r="G1698">
        <v>79</v>
      </c>
      <c r="H1698">
        <v>0.53</v>
      </c>
      <c r="I1698" t="s">
        <v>23</v>
      </c>
      <c r="J1698">
        <v>0</v>
      </c>
      <c r="K1698">
        <v>1</v>
      </c>
      <c r="L1698">
        <v>0</v>
      </c>
      <c r="M1698">
        <f>VLOOKUP(Table1[[#This Row],[subscription_type]],Plans!$A$1:$B$5,2,FALSE)</f>
        <v>4.99</v>
      </c>
      <c r="N1698">
        <f t="shared" si="26"/>
        <v>0</v>
      </c>
    </row>
    <row r="1699" spans="1:14" x14ac:dyDescent="0.35">
      <c r="A1699">
        <v>1698</v>
      </c>
      <c r="B1699" t="s">
        <v>20</v>
      </c>
      <c r="C1699">
        <v>52</v>
      </c>
      <c r="D1699" t="s">
        <v>25</v>
      </c>
      <c r="E1699" t="s">
        <v>22</v>
      </c>
      <c r="F1699">
        <v>92</v>
      </c>
      <c r="G1699">
        <v>60</v>
      </c>
      <c r="H1699">
        <v>0.55000000000000004</v>
      </c>
      <c r="I1699" t="s">
        <v>23</v>
      </c>
      <c r="J1699">
        <v>0</v>
      </c>
      <c r="K1699">
        <v>1</v>
      </c>
      <c r="L1699">
        <v>1</v>
      </c>
      <c r="M1699">
        <f>VLOOKUP(Table1[[#This Row],[subscription_type]],Plans!$A$1:$B$5,2,FALSE)</f>
        <v>9.99</v>
      </c>
      <c r="N1699">
        <f t="shared" si="26"/>
        <v>9.99</v>
      </c>
    </row>
    <row r="1700" spans="1:14" x14ac:dyDescent="0.35">
      <c r="A1700">
        <v>1699</v>
      </c>
      <c r="B1700" t="s">
        <v>12</v>
      </c>
      <c r="C1700">
        <v>53</v>
      </c>
      <c r="D1700" t="s">
        <v>25</v>
      </c>
      <c r="E1700" t="s">
        <v>18</v>
      </c>
      <c r="F1700">
        <v>32</v>
      </c>
      <c r="G1700">
        <v>6</v>
      </c>
      <c r="H1700">
        <v>0.19</v>
      </c>
      <c r="I1700" t="s">
        <v>19</v>
      </c>
      <c r="J1700">
        <v>0</v>
      </c>
      <c r="K1700">
        <v>1</v>
      </c>
      <c r="L1700">
        <v>1</v>
      </c>
      <c r="M1700">
        <f>VLOOKUP(Table1[[#This Row],[subscription_type]],Plans!$A$1:$B$5,2,FALSE)</f>
        <v>14.99</v>
      </c>
      <c r="N1700">
        <f t="shared" si="26"/>
        <v>14.99</v>
      </c>
    </row>
    <row r="1701" spans="1:14" x14ac:dyDescent="0.35">
      <c r="A1701">
        <v>1700</v>
      </c>
      <c r="B1701" t="s">
        <v>12</v>
      </c>
      <c r="C1701">
        <v>34</v>
      </c>
      <c r="D1701" t="s">
        <v>17</v>
      </c>
      <c r="E1701" t="s">
        <v>24</v>
      </c>
      <c r="F1701">
        <v>175</v>
      </c>
      <c r="G1701">
        <v>8</v>
      </c>
      <c r="H1701">
        <v>0.01</v>
      </c>
      <c r="I1701" t="s">
        <v>15</v>
      </c>
      <c r="J1701">
        <v>0</v>
      </c>
      <c r="K1701">
        <v>1</v>
      </c>
      <c r="L1701">
        <v>0</v>
      </c>
      <c r="M1701">
        <f>VLOOKUP(Table1[[#This Row],[subscription_type]],Plans!$A$1:$B$5,2,FALSE)</f>
        <v>4.99</v>
      </c>
      <c r="N1701">
        <f t="shared" si="26"/>
        <v>0</v>
      </c>
    </row>
    <row r="1702" spans="1:14" x14ac:dyDescent="0.35">
      <c r="A1702">
        <v>1701</v>
      </c>
      <c r="B1702" t="s">
        <v>20</v>
      </c>
      <c r="C1702">
        <v>32</v>
      </c>
      <c r="D1702" t="s">
        <v>17</v>
      </c>
      <c r="E1702" t="s">
        <v>18</v>
      </c>
      <c r="F1702">
        <v>106</v>
      </c>
      <c r="G1702">
        <v>44</v>
      </c>
      <c r="H1702">
        <v>0.57999999999999996</v>
      </c>
      <c r="I1702" t="s">
        <v>23</v>
      </c>
      <c r="J1702">
        <v>0</v>
      </c>
      <c r="K1702">
        <v>1</v>
      </c>
      <c r="L1702">
        <v>0</v>
      </c>
      <c r="M1702">
        <f>VLOOKUP(Table1[[#This Row],[subscription_type]],Plans!$A$1:$B$5,2,FALSE)</f>
        <v>14.99</v>
      </c>
      <c r="N1702">
        <f t="shared" si="26"/>
        <v>0</v>
      </c>
    </row>
    <row r="1703" spans="1:14" x14ac:dyDescent="0.35">
      <c r="A1703">
        <v>1702</v>
      </c>
      <c r="B1703" t="s">
        <v>20</v>
      </c>
      <c r="C1703">
        <v>58</v>
      </c>
      <c r="D1703" t="s">
        <v>28</v>
      </c>
      <c r="E1703" t="s">
        <v>22</v>
      </c>
      <c r="F1703">
        <v>154</v>
      </c>
      <c r="G1703">
        <v>28</v>
      </c>
      <c r="H1703">
        <v>0.19</v>
      </c>
      <c r="I1703" t="s">
        <v>19</v>
      </c>
      <c r="J1703">
        <v>0</v>
      </c>
      <c r="K1703">
        <v>1</v>
      </c>
      <c r="L1703">
        <v>1</v>
      </c>
      <c r="M1703">
        <f>VLOOKUP(Table1[[#This Row],[subscription_type]],Plans!$A$1:$B$5,2,FALSE)</f>
        <v>9.99</v>
      </c>
      <c r="N1703">
        <f t="shared" si="26"/>
        <v>9.99</v>
      </c>
    </row>
    <row r="1704" spans="1:14" x14ac:dyDescent="0.35">
      <c r="A1704">
        <v>1703</v>
      </c>
      <c r="B1704" t="s">
        <v>16</v>
      </c>
      <c r="C1704">
        <v>23</v>
      </c>
      <c r="D1704" t="s">
        <v>27</v>
      </c>
      <c r="E1704" t="s">
        <v>22</v>
      </c>
      <c r="F1704">
        <v>210</v>
      </c>
      <c r="G1704">
        <v>66</v>
      </c>
      <c r="H1704">
        <v>0.01</v>
      </c>
      <c r="I1704" t="s">
        <v>23</v>
      </c>
      <c r="J1704">
        <v>0</v>
      </c>
      <c r="K1704">
        <v>1</v>
      </c>
      <c r="L1704">
        <v>0</v>
      </c>
      <c r="M1704">
        <f>VLOOKUP(Table1[[#This Row],[subscription_type]],Plans!$A$1:$B$5,2,FALSE)</f>
        <v>9.99</v>
      </c>
      <c r="N1704">
        <f t="shared" si="26"/>
        <v>0</v>
      </c>
    </row>
    <row r="1705" spans="1:14" x14ac:dyDescent="0.35">
      <c r="A1705">
        <v>1704</v>
      </c>
      <c r="B1705" t="s">
        <v>20</v>
      </c>
      <c r="C1705">
        <v>16</v>
      </c>
      <c r="D1705" t="s">
        <v>17</v>
      </c>
      <c r="E1705" t="s">
        <v>18</v>
      </c>
      <c r="F1705">
        <v>226</v>
      </c>
      <c r="G1705">
        <v>78</v>
      </c>
      <c r="H1705">
        <v>0.38</v>
      </c>
      <c r="I1705" t="s">
        <v>19</v>
      </c>
      <c r="J1705">
        <v>0</v>
      </c>
      <c r="K1705">
        <v>1</v>
      </c>
      <c r="L1705">
        <v>0</v>
      </c>
      <c r="M1705">
        <f>VLOOKUP(Table1[[#This Row],[subscription_type]],Plans!$A$1:$B$5,2,FALSE)</f>
        <v>14.99</v>
      </c>
      <c r="N1705">
        <f t="shared" si="26"/>
        <v>0</v>
      </c>
    </row>
    <row r="1706" spans="1:14" x14ac:dyDescent="0.35">
      <c r="A1706">
        <v>1705</v>
      </c>
      <c r="B1706" t="s">
        <v>16</v>
      </c>
      <c r="C1706">
        <v>57</v>
      </c>
      <c r="D1706" t="s">
        <v>17</v>
      </c>
      <c r="E1706" t="s">
        <v>24</v>
      </c>
      <c r="F1706">
        <v>78</v>
      </c>
      <c r="G1706">
        <v>21</v>
      </c>
      <c r="H1706">
        <v>0.08</v>
      </c>
      <c r="I1706" t="s">
        <v>19</v>
      </c>
      <c r="J1706">
        <v>0</v>
      </c>
      <c r="K1706">
        <v>1</v>
      </c>
      <c r="L1706">
        <v>0</v>
      </c>
      <c r="M1706">
        <f>VLOOKUP(Table1[[#This Row],[subscription_type]],Plans!$A$1:$B$5,2,FALSE)</f>
        <v>4.99</v>
      </c>
      <c r="N1706">
        <f t="shared" si="26"/>
        <v>0</v>
      </c>
    </row>
    <row r="1707" spans="1:14" x14ac:dyDescent="0.35">
      <c r="A1707">
        <v>1706</v>
      </c>
      <c r="B1707" t="s">
        <v>12</v>
      </c>
      <c r="C1707">
        <v>25</v>
      </c>
      <c r="D1707" t="s">
        <v>28</v>
      </c>
      <c r="E1707" t="s">
        <v>14</v>
      </c>
      <c r="F1707">
        <v>220</v>
      </c>
      <c r="G1707">
        <v>89</v>
      </c>
      <c r="H1707">
        <v>0.56000000000000005</v>
      </c>
      <c r="I1707" t="s">
        <v>19</v>
      </c>
      <c r="J1707">
        <v>33</v>
      </c>
      <c r="K1707">
        <v>0</v>
      </c>
      <c r="L1707">
        <v>1</v>
      </c>
      <c r="M1707">
        <f>VLOOKUP(Table1[[#This Row],[subscription_type]],Plans!$A$1:$B$5,2,FALSE)</f>
        <v>0</v>
      </c>
      <c r="N1707">
        <f t="shared" si="26"/>
        <v>0</v>
      </c>
    </row>
    <row r="1708" spans="1:14" x14ac:dyDescent="0.35">
      <c r="A1708">
        <v>1707</v>
      </c>
      <c r="B1708" t="s">
        <v>16</v>
      </c>
      <c r="C1708">
        <v>53</v>
      </c>
      <c r="D1708" t="s">
        <v>26</v>
      </c>
      <c r="E1708" t="s">
        <v>18</v>
      </c>
      <c r="F1708">
        <v>124</v>
      </c>
      <c r="G1708">
        <v>97</v>
      </c>
      <c r="H1708">
        <v>0.47</v>
      </c>
      <c r="I1708" t="s">
        <v>15</v>
      </c>
      <c r="J1708">
        <v>0</v>
      </c>
      <c r="K1708">
        <v>1</v>
      </c>
      <c r="L1708">
        <v>0</v>
      </c>
      <c r="M1708">
        <f>VLOOKUP(Table1[[#This Row],[subscription_type]],Plans!$A$1:$B$5,2,FALSE)</f>
        <v>14.99</v>
      </c>
      <c r="N1708">
        <f t="shared" si="26"/>
        <v>0</v>
      </c>
    </row>
    <row r="1709" spans="1:14" x14ac:dyDescent="0.35">
      <c r="A1709">
        <v>1708</v>
      </c>
      <c r="B1709" t="s">
        <v>16</v>
      </c>
      <c r="C1709">
        <v>59</v>
      </c>
      <c r="D1709" t="s">
        <v>25</v>
      </c>
      <c r="E1709" t="s">
        <v>24</v>
      </c>
      <c r="F1709">
        <v>217</v>
      </c>
      <c r="G1709">
        <v>37</v>
      </c>
      <c r="H1709">
        <v>7.0000000000000007E-2</v>
      </c>
      <c r="I1709" t="s">
        <v>19</v>
      </c>
      <c r="J1709">
        <v>0</v>
      </c>
      <c r="K1709">
        <v>1</v>
      </c>
      <c r="L1709">
        <v>0</v>
      </c>
      <c r="M1709">
        <f>VLOOKUP(Table1[[#This Row],[subscription_type]],Plans!$A$1:$B$5,2,FALSE)</f>
        <v>4.99</v>
      </c>
      <c r="N1709">
        <f t="shared" si="26"/>
        <v>0</v>
      </c>
    </row>
    <row r="1710" spans="1:14" x14ac:dyDescent="0.35">
      <c r="A1710">
        <v>1709</v>
      </c>
      <c r="B1710" t="s">
        <v>20</v>
      </c>
      <c r="C1710">
        <v>21</v>
      </c>
      <c r="D1710" t="s">
        <v>13</v>
      </c>
      <c r="E1710" t="s">
        <v>14</v>
      </c>
      <c r="F1710">
        <v>41</v>
      </c>
      <c r="G1710">
        <v>43</v>
      </c>
      <c r="H1710">
        <v>0.17</v>
      </c>
      <c r="I1710" t="s">
        <v>23</v>
      </c>
      <c r="J1710">
        <v>22</v>
      </c>
      <c r="K1710">
        <v>0</v>
      </c>
      <c r="L1710">
        <v>0</v>
      </c>
      <c r="M1710">
        <f>VLOOKUP(Table1[[#This Row],[subscription_type]],Plans!$A$1:$B$5,2,FALSE)</f>
        <v>0</v>
      </c>
      <c r="N1710">
        <f t="shared" si="26"/>
        <v>0</v>
      </c>
    </row>
    <row r="1711" spans="1:14" x14ac:dyDescent="0.35">
      <c r="A1711">
        <v>1710</v>
      </c>
      <c r="B1711" t="s">
        <v>16</v>
      </c>
      <c r="C1711">
        <v>22</v>
      </c>
      <c r="D1711" t="s">
        <v>13</v>
      </c>
      <c r="E1711" t="s">
        <v>22</v>
      </c>
      <c r="F1711">
        <v>205</v>
      </c>
      <c r="G1711">
        <v>94</v>
      </c>
      <c r="H1711">
        <v>0.26</v>
      </c>
      <c r="I1711" t="s">
        <v>15</v>
      </c>
      <c r="J1711">
        <v>0</v>
      </c>
      <c r="K1711">
        <v>1</v>
      </c>
      <c r="L1711">
        <v>1</v>
      </c>
      <c r="M1711">
        <f>VLOOKUP(Table1[[#This Row],[subscription_type]],Plans!$A$1:$B$5,2,FALSE)</f>
        <v>9.99</v>
      </c>
      <c r="N1711">
        <f t="shared" si="26"/>
        <v>9.99</v>
      </c>
    </row>
    <row r="1712" spans="1:14" x14ac:dyDescent="0.35">
      <c r="A1712">
        <v>1711</v>
      </c>
      <c r="B1712" t="s">
        <v>20</v>
      </c>
      <c r="C1712">
        <v>16</v>
      </c>
      <c r="D1712" t="s">
        <v>25</v>
      </c>
      <c r="E1712" t="s">
        <v>22</v>
      </c>
      <c r="F1712">
        <v>166</v>
      </c>
      <c r="G1712">
        <v>14</v>
      </c>
      <c r="H1712">
        <v>0.18</v>
      </c>
      <c r="I1712" t="s">
        <v>23</v>
      </c>
      <c r="J1712">
        <v>0</v>
      </c>
      <c r="K1712">
        <v>1</v>
      </c>
      <c r="L1712">
        <v>0</v>
      </c>
      <c r="M1712">
        <f>VLOOKUP(Table1[[#This Row],[subscription_type]],Plans!$A$1:$B$5,2,FALSE)</f>
        <v>9.99</v>
      </c>
      <c r="N1712">
        <f t="shared" si="26"/>
        <v>0</v>
      </c>
    </row>
    <row r="1713" spans="1:14" x14ac:dyDescent="0.35">
      <c r="A1713">
        <v>1712</v>
      </c>
      <c r="B1713" t="s">
        <v>20</v>
      </c>
      <c r="C1713">
        <v>43</v>
      </c>
      <c r="D1713" t="s">
        <v>25</v>
      </c>
      <c r="E1713" t="s">
        <v>24</v>
      </c>
      <c r="F1713">
        <v>271</v>
      </c>
      <c r="G1713">
        <v>66</v>
      </c>
      <c r="H1713">
        <v>0.54</v>
      </c>
      <c r="I1713" t="s">
        <v>23</v>
      </c>
      <c r="J1713">
        <v>0</v>
      </c>
      <c r="K1713">
        <v>1</v>
      </c>
      <c r="L1713">
        <v>0</v>
      </c>
      <c r="M1713">
        <f>VLOOKUP(Table1[[#This Row],[subscription_type]],Plans!$A$1:$B$5,2,FALSE)</f>
        <v>4.99</v>
      </c>
      <c r="N1713">
        <f t="shared" si="26"/>
        <v>0</v>
      </c>
    </row>
    <row r="1714" spans="1:14" x14ac:dyDescent="0.35">
      <c r="A1714">
        <v>1713</v>
      </c>
      <c r="B1714" t="s">
        <v>16</v>
      </c>
      <c r="C1714">
        <v>59</v>
      </c>
      <c r="D1714" t="s">
        <v>17</v>
      </c>
      <c r="E1714" t="s">
        <v>14</v>
      </c>
      <c r="F1714">
        <v>66</v>
      </c>
      <c r="G1714">
        <v>35</v>
      </c>
      <c r="H1714">
        <v>0</v>
      </c>
      <c r="I1714" t="s">
        <v>19</v>
      </c>
      <c r="J1714">
        <v>49</v>
      </c>
      <c r="K1714">
        <v>0</v>
      </c>
      <c r="L1714">
        <v>0</v>
      </c>
      <c r="M1714">
        <f>VLOOKUP(Table1[[#This Row],[subscription_type]],Plans!$A$1:$B$5,2,FALSE)</f>
        <v>0</v>
      </c>
      <c r="N1714">
        <f t="shared" si="26"/>
        <v>0</v>
      </c>
    </row>
    <row r="1715" spans="1:14" x14ac:dyDescent="0.35">
      <c r="A1715">
        <v>1714</v>
      </c>
      <c r="B1715" t="s">
        <v>12</v>
      </c>
      <c r="C1715">
        <v>52</v>
      </c>
      <c r="D1715" t="s">
        <v>26</v>
      </c>
      <c r="E1715" t="s">
        <v>24</v>
      </c>
      <c r="F1715">
        <v>280</v>
      </c>
      <c r="G1715">
        <v>53</v>
      </c>
      <c r="H1715">
        <v>0.41</v>
      </c>
      <c r="I1715" t="s">
        <v>23</v>
      </c>
      <c r="J1715">
        <v>0</v>
      </c>
      <c r="K1715">
        <v>1</v>
      </c>
      <c r="L1715">
        <v>0</v>
      </c>
      <c r="M1715">
        <f>VLOOKUP(Table1[[#This Row],[subscription_type]],Plans!$A$1:$B$5,2,FALSE)</f>
        <v>4.99</v>
      </c>
      <c r="N1715">
        <f t="shared" si="26"/>
        <v>0</v>
      </c>
    </row>
    <row r="1716" spans="1:14" x14ac:dyDescent="0.35">
      <c r="A1716">
        <v>1715</v>
      </c>
      <c r="B1716" t="s">
        <v>12</v>
      </c>
      <c r="C1716">
        <v>50</v>
      </c>
      <c r="D1716" t="s">
        <v>17</v>
      </c>
      <c r="E1716" t="s">
        <v>14</v>
      </c>
      <c r="F1716">
        <v>62</v>
      </c>
      <c r="G1716">
        <v>78</v>
      </c>
      <c r="H1716">
        <v>0.47</v>
      </c>
      <c r="I1716" t="s">
        <v>19</v>
      </c>
      <c r="J1716">
        <v>26</v>
      </c>
      <c r="K1716">
        <v>0</v>
      </c>
      <c r="L1716">
        <v>0</v>
      </c>
      <c r="M1716">
        <f>VLOOKUP(Table1[[#This Row],[subscription_type]],Plans!$A$1:$B$5,2,FALSE)</f>
        <v>0</v>
      </c>
      <c r="N1716">
        <f t="shared" si="26"/>
        <v>0</v>
      </c>
    </row>
    <row r="1717" spans="1:14" x14ac:dyDescent="0.35">
      <c r="A1717">
        <v>1716</v>
      </c>
      <c r="B1717" t="s">
        <v>16</v>
      </c>
      <c r="C1717">
        <v>57</v>
      </c>
      <c r="D1717" t="s">
        <v>21</v>
      </c>
      <c r="E1717" t="s">
        <v>24</v>
      </c>
      <c r="F1717">
        <v>53</v>
      </c>
      <c r="G1717">
        <v>96</v>
      </c>
      <c r="H1717">
        <v>0.28000000000000003</v>
      </c>
      <c r="I1717" t="s">
        <v>15</v>
      </c>
      <c r="J1717">
        <v>0</v>
      </c>
      <c r="K1717">
        <v>1</v>
      </c>
      <c r="L1717">
        <v>0</v>
      </c>
      <c r="M1717">
        <f>VLOOKUP(Table1[[#This Row],[subscription_type]],Plans!$A$1:$B$5,2,FALSE)</f>
        <v>4.99</v>
      </c>
      <c r="N1717">
        <f t="shared" si="26"/>
        <v>0</v>
      </c>
    </row>
    <row r="1718" spans="1:14" x14ac:dyDescent="0.35">
      <c r="A1718">
        <v>1717</v>
      </c>
      <c r="B1718" t="s">
        <v>12</v>
      </c>
      <c r="C1718">
        <v>37</v>
      </c>
      <c r="D1718" t="s">
        <v>28</v>
      </c>
      <c r="E1718" t="s">
        <v>22</v>
      </c>
      <c r="F1718">
        <v>90</v>
      </c>
      <c r="G1718">
        <v>80</v>
      </c>
      <c r="H1718">
        <v>0.3</v>
      </c>
      <c r="I1718" t="s">
        <v>15</v>
      </c>
      <c r="J1718">
        <v>0</v>
      </c>
      <c r="K1718">
        <v>1</v>
      </c>
      <c r="L1718">
        <v>1</v>
      </c>
      <c r="M1718">
        <f>VLOOKUP(Table1[[#This Row],[subscription_type]],Plans!$A$1:$B$5,2,FALSE)</f>
        <v>9.99</v>
      </c>
      <c r="N1718">
        <f t="shared" si="26"/>
        <v>9.99</v>
      </c>
    </row>
    <row r="1719" spans="1:14" x14ac:dyDescent="0.35">
      <c r="A1719">
        <v>1718</v>
      </c>
      <c r="B1719" t="s">
        <v>20</v>
      </c>
      <c r="C1719">
        <v>19</v>
      </c>
      <c r="D1719" t="s">
        <v>17</v>
      </c>
      <c r="E1719" t="s">
        <v>24</v>
      </c>
      <c r="F1719">
        <v>23</v>
      </c>
      <c r="G1719">
        <v>50</v>
      </c>
      <c r="H1719">
        <v>0.43</v>
      </c>
      <c r="I1719" t="s">
        <v>15</v>
      </c>
      <c r="J1719">
        <v>0</v>
      </c>
      <c r="K1719">
        <v>1</v>
      </c>
      <c r="L1719">
        <v>0</v>
      </c>
      <c r="M1719">
        <f>VLOOKUP(Table1[[#This Row],[subscription_type]],Plans!$A$1:$B$5,2,FALSE)</f>
        <v>4.99</v>
      </c>
      <c r="N1719">
        <f t="shared" si="26"/>
        <v>0</v>
      </c>
    </row>
    <row r="1720" spans="1:14" x14ac:dyDescent="0.35">
      <c r="A1720">
        <v>1719</v>
      </c>
      <c r="B1720" t="s">
        <v>20</v>
      </c>
      <c r="C1720">
        <v>29</v>
      </c>
      <c r="D1720" t="s">
        <v>27</v>
      </c>
      <c r="E1720" t="s">
        <v>14</v>
      </c>
      <c r="F1720">
        <v>57</v>
      </c>
      <c r="G1720">
        <v>78</v>
      </c>
      <c r="H1720">
        <v>0.45</v>
      </c>
      <c r="I1720" t="s">
        <v>19</v>
      </c>
      <c r="J1720">
        <v>37</v>
      </c>
      <c r="K1720">
        <v>0</v>
      </c>
      <c r="L1720">
        <v>0</v>
      </c>
      <c r="M1720">
        <f>VLOOKUP(Table1[[#This Row],[subscription_type]],Plans!$A$1:$B$5,2,FALSE)</f>
        <v>0</v>
      </c>
      <c r="N1720">
        <f t="shared" si="26"/>
        <v>0</v>
      </c>
    </row>
    <row r="1721" spans="1:14" x14ac:dyDescent="0.35">
      <c r="A1721">
        <v>1720</v>
      </c>
      <c r="B1721" t="s">
        <v>12</v>
      </c>
      <c r="C1721">
        <v>46</v>
      </c>
      <c r="D1721" t="s">
        <v>17</v>
      </c>
      <c r="E1721" t="s">
        <v>24</v>
      </c>
      <c r="F1721">
        <v>226</v>
      </c>
      <c r="G1721">
        <v>22</v>
      </c>
      <c r="H1721">
        <v>0.08</v>
      </c>
      <c r="I1721" t="s">
        <v>19</v>
      </c>
      <c r="J1721">
        <v>0</v>
      </c>
      <c r="K1721">
        <v>1</v>
      </c>
      <c r="L1721">
        <v>0</v>
      </c>
      <c r="M1721">
        <f>VLOOKUP(Table1[[#This Row],[subscription_type]],Plans!$A$1:$B$5,2,FALSE)</f>
        <v>4.99</v>
      </c>
      <c r="N1721">
        <f t="shared" si="26"/>
        <v>0</v>
      </c>
    </row>
    <row r="1722" spans="1:14" x14ac:dyDescent="0.35">
      <c r="A1722">
        <v>1721</v>
      </c>
      <c r="B1722" t="s">
        <v>12</v>
      </c>
      <c r="C1722">
        <v>53</v>
      </c>
      <c r="D1722" t="s">
        <v>26</v>
      </c>
      <c r="E1722" t="s">
        <v>24</v>
      </c>
      <c r="F1722">
        <v>274</v>
      </c>
      <c r="G1722">
        <v>71</v>
      </c>
      <c r="H1722">
        <v>0.55000000000000004</v>
      </c>
      <c r="I1722" t="s">
        <v>23</v>
      </c>
      <c r="J1722">
        <v>0</v>
      </c>
      <c r="K1722">
        <v>1</v>
      </c>
      <c r="L1722">
        <v>0</v>
      </c>
      <c r="M1722">
        <f>VLOOKUP(Table1[[#This Row],[subscription_type]],Plans!$A$1:$B$5,2,FALSE)</f>
        <v>4.99</v>
      </c>
      <c r="N1722">
        <f t="shared" si="26"/>
        <v>0</v>
      </c>
    </row>
    <row r="1723" spans="1:14" x14ac:dyDescent="0.35">
      <c r="A1723">
        <v>1722</v>
      </c>
      <c r="B1723" t="s">
        <v>20</v>
      </c>
      <c r="C1723">
        <v>23</v>
      </c>
      <c r="D1723" t="s">
        <v>27</v>
      </c>
      <c r="E1723" t="s">
        <v>24</v>
      </c>
      <c r="F1723">
        <v>133</v>
      </c>
      <c r="G1723">
        <v>93</v>
      </c>
      <c r="H1723">
        <v>0.48</v>
      </c>
      <c r="I1723" t="s">
        <v>23</v>
      </c>
      <c r="J1723">
        <v>0</v>
      </c>
      <c r="K1723">
        <v>1</v>
      </c>
      <c r="L1723">
        <v>1</v>
      </c>
      <c r="M1723">
        <f>VLOOKUP(Table1[[#This Row],[subscription_type]],Plans!$A$1:$B$5,2,FALSE)</f>
        <v>4.99</v>
      </c>
      <c r="N1723">
        <f t="shared" si="26"/>
        <v>4.99</v>
      </c>
    </row>
    <row r="1724" spans="1:14" x14ac:dyDescent="0.35">
      <c r="A1724">
        <v>1723</v>
      </c>
      <c r="B1724" t="s">
        <v>16</v>
      </c>
      <c r="C1724">
        <v>34</v>
      </c>
      <c r="D1724" t="s">
        <v>13</v>
      </c>
      <c r="E1724" t="s">
        <v>14</v>
      </c>
      <c r="F1724">
        <v>95</v>
      </c>
      <c r="G1724">
        <v>71</v>
      </c>
      <c r="H1724">
        <v>0.52</v>
      </c>
      <c r="I1724" t="s">
        <v>19</v>
      </c>
      <c r="J1724">
        <v>34</v>
      </c>
      <c r="K1724">
        <v>0</v>
      </c>
      <c r="L1724">
        <v>1</v>
      </c>
      <c r="M1724">
        <f>VLOOKUP(Table1[[#This Row],[subscription_type]],Plans!$A$1:$B$5,2,FALSE)</f>
        <v>0</v>
      </c>
      <c r="N1724">
        <f t="shared" si="26"/>
        <v>0</v>
      </c>
    </row>
    <row r="1725" spans="1:14" x14ac:dyDescent="0.35">
      <c r="A1725">
        <v>1724</v>
      </c>
      <c r="B1725" t="s">
        <v>12</v>
      </c>
      <c r="C1725">
        <v>49</v>
      </c>
      <c r="D1725" t="s">
        <v>28</v>
      </c>
      <c r="E1725" t="s">
        <v>22</v>
      </c>
      <c r="F1725">
        <v>68</v>
      </c>
      <c r="G1725">
        <v>3</v>
      </c>
      <c r="H1725">
        <v>0.26</v>
      </c>
      <c r="I1725" t="s">
        <v>15</v>
      </c>
      <c r="J1725">
        <v>0</v>
      </c>
      <c r="K1725">
        <v>1</v>
      </c>
      <c r="L1725">
        <v>0</v>
      </c>
      <c r="M1725">
        <f>VLOOKUP(Table1[[#This Row],[subscription_type]],Plans!$A$1:$B$5,2,FALSE)</f>
        <v>9.99</v>
      </c>
      <c r="N1725">
        <f t="shared" si="26"/>
        <v>0</v>
      </c>
    </row>
    <row r="1726" spans="1:14" x14ac:dyDescent="0.35">
      <c r="A1726">
        <v>1725</v>
      </c>
      <c r="B1726" t="s">
        <v>12</v>
      </c>
      <c r="C1726">
        <v>23</v>
      </c>
      <c r="D1726" t="s">
        <v>25</v>
      </c>
      <c r="E1726" t="s">
        <v>24</v>
      </c>
      <c r="F1726">
        <v>146</v>
      </c>
      <c r="G1726">
        <v>57</v>
      </c>
      <c r="H1726">
        <v>0.4</v>
      </c>
      <c r="I1726" t="s">
        <v>19</v>
      </c>
      <c r="J1726">
        <v>0</v>
      </c>
      <c r="K1726">
        <v>1</v>
      </c>
      <c r="L1726">
        <v>0</v>
      </c>
      <c r="M1726">
        <f>VLOOKUP(Table1[[#This Row],[subscription_type]],Plans!$A$1:$B$5,2,FALSE)</f>
        <v>4.99</v>
      </c>
      <c r="N1726">
        <f t="shared" si="26"/>
        <v>0</v>
      </c>
    </row>
    <row r="1727" spans="1:14" x14ac:dyDescent="0.35">
      <c r="A1727">
        <v>1726</v>
      </c>
      <c r="B1727" t="s">
        <v>20</v>
      </c>
      <c r="C1727">
        <v>16</v>
      </c>
      <c r="D1727" t="s">
        <v>27</v>
      </c>
      <c r="E1727" t="s">
        <v>14</v>
      </c>
      <c r="F1727">
        <v>281</v>
      </c>
      <c r="G1727">
        <v>79</v>
      </c>
      <c r="H1727">
        <v>0.19</v>
      </c>
      <c r="I1727" t="s">
        <v>19</v>
      </c>
      <c r="J1727">
        <v>15</v>
      </c>
      <c r="K1727">
        <v>0</v>
      </c>
      <c r="L1727">
        <v>0</v>
      </c>
      <c r="M1727">
        <f>VLOOKUP(Table1[[#This Row],[subscription_type]],Plans!$A$1:$B$5,2,FALSE)</f>
        <v>0</v>
      </c>
      <c r="N1727">
        <f t="shared" si="26"/>
        <v>0</v>
      </c>
    </row>
    <row r="1728" spans="1:14" x14ac:dyDescent="0.35">
      <c r="A1728">
        <v>1727</v>
      </c>
      <c r="B1728" t="s">
        <v>12</v>
      </c>
      <c r="C1728">
        <v>32</v>
      </c>
      <c r="D1728" t="s">
        <v>25</v>
      </c>
      <c r="E1728" t="s">
        <v>14</v>
      </c>
      <c r="F1728">
        <v>59</v>
      </c>
      <c r="G1728">
        <v>26</v>
      </c>
      <c r="H1728">
        <v>0.33</v>
      </c>
      <c r="I1728" t="s">
        <v>19</v>
      </c>
      <c r="J1728">
        <v>23</v>
      </c>
      <c r="K1728">
        <v>0</v>
      </c>
      <c r="L1728">
        <v>0</v>
      </c>
      <c r="M1728">
        <f>VLOOKUP(Table1[[#This Row],[subscription_type]],Plans!$A$1:$B$5,2,FALSE)</f>
        <v>0</v>
      </c>
      <c r="N1728">
        <f t="shared" si="26"/>
        <v>0</v>
      </c>
    </row>
    <row r="1729" spans="1:14" x14ac:dyDescent="0.35">
      <c r="A1729">
        <v>1728</v>
      </c>
      <c r="B1729" t="s">
        <v>12</v>
      </c>
      <c r="C1729">
        <v>21</v>
      </c>
      <c r="D1729" t="s">
        <v>21</v>
      </c>
      <c r="E1729" t="s">
        <v>18</v>
      </c>
      <c r="F1729">
        <v>263</v>
      </c>
      <c r="G1729">
        <v>1</v>
      </c>
      <c r="H1729">
        <v>0.02</v>
      </c>
      <c r="I1729" t="s">
        <v>19</v>
      </c>
      <c r="J1729">
        <v>0</v>
      </c>
      <c r="K1729">
        <v>1</v>
      </c>
      <c r="L1729">
        <v>0</v>
      </c>
      <c r="M1729">
        <f>VLOOKUP(Table1[[#This Row],[subscription_type]],Plans!$A$1:$B$5,2,FALSE)</f>
        <v>14.99</v>
      </c>
      <c r="N1729">
        <f t="shared" si="26"/>
        <v>0</v>
      </c>
    </row>
    <row r="1730" spans="1:14" x14ac:dyDescent="0.35">
      <c r="A1730">
        <v>1729</v>
      </c>
      <c r="B1730" t="s">
        <v>12</v>
      </c>
      <c r="C1730">
        <v>40</v>
      </c>
      <c r="D1730" t="s">
        <v>17</v>
      </c>
      <c r="E1730" t="s">
        <v>14</v>
      </c>
      <c r="F1730">
        <v>180</v>
      </c>
      <c r="G1730">
        <v>37</v>
      </c>
      <c r="H1730">
        <v>0.19</v>
      </c>
      <c r="I1730" t="s">
        <v>15</v>
      </c>
      <c r="J1730">
        <v>45</v>
      </c>
      <c r="K1730">
        <v>0</v>
      </c>
      <c r="L1730">
        <v>0</v>
      </c>
      <c r="M1730">
        <f>VLOOKUP(Table1[[#This Row],[subscription_type]],Plans!$A$1:$B$5,2,FALSE)</f>
        <v>0</v>
      </c>
      <c r="N1730">
        <f t="shared" ref="N1730:N1793" si="27">IF(L1730=1, M1730,0)</f>
        <v>0</v>
      </c>
    </row>
    <row r="1731" spans="1:14" x14ac:dyDescent="0.35">
      <c r="A1731">
        <v>1730</v>
      </c>
      <c r="B1731" t="s">
        <v>12</v>
      </c>
      <c r="C1731">
        <v>59</v>
      </c>
      <c r="D1731" t="s">
        <v>27</v>
      </c>
      <c r="E1731" t="s">
        <v>14</v>
      </c>
      <c r="F1731">
        <v>188</v>
      </c>
      <c r="G1731">
        <v>36</v>
      </c>
      <c r="H1731">
        <v>0.4</v>
      </c>
      <c r="I1731" t="s">
        <v>23</v>
      </c>
      <c r="J1731">
        <v>16</v>
      </c>
      <c r="K1731">
        <v>0</v>
      </c>
      <c r="L1731">
        <v>1</v>
      </c>
      <c r="M1731">
        <f>VLOOKUP(Table1[[#This Row],[subscription_type]],Plans!$A$1:$B$5,2,FALSE)</f>
        <v>0</v>
      </c>
      <c r="N1731">
        <f t="shared" si="27"/>
        <v>0</v>
      </c>
    </row>
    <row r="1732" spans="1:14" x14ac:dyDescent="0.35">
      <c r="A1732">
        <v>1731</v>
      </c>
      <c r="B1732" t="s">
        <v>12</v>
      </c>
      <c r="C1732">
        <v>45</v>
      </c>
      <c r="D1732" t="s">
        <v>29</v>
      </c>
      <c r="E1732" t="s">
        <v>14</v>
      </c>
      <c r="F1732">
        <v>99</v>
      </c>
      <c r="G1732">
        <v>77</v>
      </c>
      <c r="H1732">
        <v>0.55000000000000004</v>
      </c>
      <c r="I1732" t="s">
        <v>23</v>
      </c>
      <c r="J1732">
        <v>6</v>
      </c>
      <c r="K1732">
        <v>0</v>
      </c>
      <c r="L1732">
        <v>0</v>
      </c>
      <c r="M1732">
        <f>VLOOKUP(Table1[[#This Row],[subscription_type]],Plans!$A$1:$B$5,2,FALSE)</f>
        <v>0</v>
      </c>
      <c r="N1732">
        <f t="shared" si="27"/>
        <v>0</v>
      </c>
    </row>
    <row r="1733" spans="1:14" x14ac:dyDescent="0.35">
      <c r="A1733">
        <v>1732</v>
      </c>
      <c r="B1733" t="s">
        <v>12</v>
      </c>
      <c r="C1733">
        <v>38</v>
      </c>
      <c r="D1733" t="s">
        <v>28</v>
      </c>
      <c r="E1733" t="s">
        <v>22</v>
      </c>
      <c r="F1733">
        <v>290</v>
      </c>
      <c r="G1733">
        <v>76</v>
      </c>
      <c r="H1733">
        <v>0.38</v>
      </c>
      <c r="I1733" t="s">
        <v>19</v>
      </c>
      <c r="J1733">
        <v>0</v>
      </c>
      <c r="K1733">
        <v>1</v>
      </c>
      <c r="L1733">
        <v>0</v>
      </c>
      <c r="M1733">
        <f>VLOOKUP(Table1[[#This Row],[subscription_type]],Plans!$A$1:$B$5,2,FALSE)</f>
        <v>9.99</v>
      </c>
      <c r="N1733">
        <f t="shared" si="27"/>
        <v>0</v>
      </c>
    </row>
    <row r="1734" spans="1:14" x14ac:dyDescent="0.35">
      <c r="A1734">
        <v>1733</v>
      </c>
      <c r="B1734" t="s">
        <v>16</v>
      </c>
      <c r="C1734">
        <v>49</v>
      </c>
      <c r="D1734" t="s">
        <v>26</v>
      </c>
      <c r="E1734" t="s">
        <v>18</v>
      </c>
      <c r="F1734">
        <v>239</v>
      </c>
      <c r="G1734">
        <v>93</v>
      </c>
      <c r="H1734">
        <v>0.54</v>
      </c>
      <c r="I1734" t="s">
        <v>15</v>
      </c>
      <c r="J1734">
        <v>0</v>
      </c>
      <c r="K1734">
        <v>1</v>
      </c>
      <c r="L1734">
        <v>0</v>
      </c>
      <c r="M1734">
        <f>VLOOKUP(Table1[[#This Row],[subscription_type]],Plans!$A$1:$B$5,2,FALSE)</f>
        <v>14.99</v>
      </c>
      <c r="N1734">
        <f t="shared" si="27"/>
        <v>0</v>
      </c>
    </row>
    <row r="1735" spans="1:14" x14ac:dyDescent="0.35">
      <c r="A1735">
        <v>1734</v>
      </c>
      <c r="B1735" t="s">
        <v>12</v>
      </c>
      <c r="C1735">
        <v>17</v>
      </c>
      <c r="D1735" t="s">
        <v>21</v>
      </c>
      <c r="E1735" t="s">
        <v>18</v>
      </c>
      <c r="F1735">
        <v>114</v>
      </c>
      <c r="G1735">
        <v>40</v>
      </c>
      <c r="H1735">
        <v>0.35</v>
      </c>
      <c r="I1735" t="s">
        <v>19</v>
      </c>
      <c r="J1735">
        <v>0</v>
      </c>
      <c r="K1735">
        <v>1</v>
      </c>
      <c r="L1735">
        <v>1</v>
      </c>
      <c r="M1735">
        <f>VLOOKUP(Table1[[#This Row],[subscription_type]],Plans!$A$1:$B$5,2,FALSE)</f>
        <v>14.99</v>
      </c>
      <c r="N1735">
        <f t="shared" si="27"/>
        <v>14.99</v>
      </c>
    </row>
    <row r="1736" spans="1:14" x14ac:dyDescent="0.35">
      <c r="A1736">
        <v>1735</v>
      </c>
      <c r="B1736" t="s">
        <v>20</v>
      </c>
      <c r="C1736">
        <v>19</v>
      </c>
      <c r="D1736" t="s">
        <v>27</v>
      </c>
      <c r="E1736" t="s">
        <v>24</v>
      </c>
      <c r="F1736">
        <v>23</v>
      </c>
      <c r="G1736">
        <v>15</v>
      </c>
      <c r="H1736">
        <v>0.48</v>
      </c>
      <c r="I1736" t="s">
        <v>15</v>
      </c>
      <c r="J1736">
        <v>0</v>
      </c>
      <c r="K1736">
        <v>1</v>
      </c>
      <c r="L1736">
        <v>0</v>
      </c>
      <c r="M1736">
        <f>VLOOKUP(Table1[[#This Row],[subscription_type]],Plans!$A$1:$B$5,2,FALSE)</f>
        <v>4.99</v>
      </c>
      <c r="N1736">
        <f t="shared" si="27"/>
        <v>0</v>
      </c>
    </row>
    <row r="1737" spans="1:14" x14ac:dyDescent="0.35">
      <c r="A1737">
        <v>1736</v>
      </c>
      <c r="B1737" t="s">
        <v>16</v>
      </c>
      <c r="C1737">
        <v>39</v>
      </c>
      <c r="D1737" t="s">
        <v>29</v>
      </c>
      <c r="E1737" t="s">
        <v>14</v>
      </c>
      <c r="F1737">
        <v>89</v>
      </c>
      <c r="G1737">
        <v>20</v>
      </c>
      <c r="H1737">
        <v>0.09</v>
      </c>
      <c r="I1737" t="s">
        <v>19</v>
      </c>
      <c r="J1737">
        <v>34</v>
      </c>
      <c r="K1737">
        <v>0</v>
      </c>
      <c r="L1737">
        <v>0</v>
      </c>
      <c r="M1737">
        <f>VLOOKUP(Table1[[#This Row],[subscription_type]],Plans!$A$1:$B$5,2,FALSE)</f>
        <v>0</v>
      </c>
      <c r="N1737">
        <f t="shared" si="27"/>
        <v>0</v>
      </c>
    </row>
    <row r="1738" spans="1:14" x14ac:dyDescent="0.35">
      <c r="A1738">
        <v>1737</v>
      </c>
      <c r="B1738" t="s">
        <v>20</v>
      </c>
      <c r="C1738">
        <v>22</v>
      </c>
      <c r="D1738" t="s">
        <v>17</v>
      </c>
      <c r="E1738" t="s">
        <v>22</v>
      </c>
      <c r="F1738">
        <v>279</v>
      </c>
      <c r="G1738">
        <v>20</v>
      </c>
      <c r="H1738">
        <v>0.51</v>
      </c>
      <c r="I1738" t="s">
        <v>23</v>
      </c>
      <c r="J1738">
        <v>0</v>
      </c>
      <c r="K1738">
        <v>1</v>
      </c>
      <c r="L1738">
        <v>0</v>
      </c>
      <c r="M1738">
        <f>VLOOKUP(Table1[[#This Row],[subscription_type]],Plans!$A$1:$B$5,2,FALSE)</f>
        <v>9.99</v>
      </c>
      <c r="N1738">
        <f t="shared" si="27"/>
        <v>0</v>
      </c>
    </row>
    <row r="1739" spans="1:14" x14ac:dyDescent="0.35">
      <c r="A1739">
        <v>1738</v>
      </c>
      <c r="B1739" t="s">
        <v>16</v>
      </c>
      <c r="C1739">
        <v>20</v>
      </c>
      <c r="D1739" t="s">
        <v>26</v>
      </c>
      <c r="E1739" t="s">
        <v>22</v>
      </c>
      <c r="F1739">
        <v>180</v>
      </c>
      <c r="G1739">
        <v>80</v>
      </c>
      <c r="H1739">
        <v>0.42</v>
      </c>
      <c r="I1739" t="s">
        <v>19</v>
      </c>
      <c r="J1739">
        <v>0</v>
      </c>
      <c r="K1739">
        <v>1</v>
      </c>
      <c r="L1739">
        <v>0</v>
      </c>
      <c r="M1739">
        <f>VLOOKUP(Table1[[#This Row],[subscription_type]],Plans!$A$1:$B$5,2,FALSE)</f>
        <v>9.99</v>
      </c>
      <c r="N1739">
        <f t="shared" si="27"/>
        <v>0</v>
      </c>
    </row>
    <row r="1740" spans="1:14" x14ac:dyDescent="0.35">
      <c r="A1740">
        <v>1739</v>
      </c>
      <c r="B1740" t="s">
        <v>20</v>
      </c>
      <c r="C1740">
        <v>52</v>
      </c>
      <c r="D1740" t="s">
        <v>13</v>
      </c>
      <c r="E1740" t="s">
        <v>24</v>
      </c>
      <c r="F1740">
        <v>154</v>
      </c>
      <c r="G1740">
        <v>88</v>
      </c>
      <c r="H1740">
        <v>0.39</v>
      </c>
      <c r="I1740" t="s">
        <v>23</v>
      </c>
      <c r="J1740">
        <v>0</v>
      </c>
      <c r="K1740">
        <v>1</v>
      </c>
      <c r="L1740">
        <v>0</v>
      </c>
      <c r="M1740">
        <f>VLOOKUP(Table1[[#This Row],[subscription_type]],Plans!$A$1:$B$5,2,FALSE)</f>
        <v>4.99</v>
      </c>
      <c r="N1740">
        <f t="shared" si="27"/>
        <v>0</v>
      </c>
    </row>
    <row r="1741" spans="1:14" x14ac:dyDescent="0.35">
      <c r="A1741">
        <v>1740</v>
      </c>
      <c r="B1741" t="s">
        <v>16</v>
      </c>
      <c r="C1741">
        <v>23</v>
      </c>
      <c r="D1741" t="s">
        <v>26</v>
      </c>
      <c r="E1741" t="s">
        <v>22</v>
      </c>
      <c r="F1741">
        <v>267</v>
      </c>
      <c r="G1741">
        <v>84</v>
      </c>
      <c r="H1741">
        <v>0.16</v>
      </c>
      <c r="I1741" t="s">
        <v>23</v>
      </c>
      <c r="J1741">
        <v>0</v>
      </c>
      <c r="K1741">
        <v>1</v>
      </c>
      <c r="L1741">
        <v>0</v>
      </c>
      <c r="M1741">
        <f>VLOOKUP(Table1[[#This Row],[subscription_type]],Plans!$A$1:$B$5,2,FALSE)</f>
        <v>9.99</v>
      </c>
      <c r="N1741">
        <f t="shared" si="27"/>
        <v>0</v>
      </c>
    </row>
    <row r="1742" spans="1:14" x14ac:dyDescent="0.35">
      <c r="A1742">
        <v>1741</v>
      </c>
      <c r="B1742" t="s">
        <v>20</v>
      </c>
      <c r="C1742">
        <v>20</v>
      </c>
      <c r="D1742" t="s">
        <v>21</v>
      </c>
      <c r="E1742" t="s">
        <v>18</v>
      </c>
      <c r="F1742">
        <v>119</v>
      </c>
      <c r="G1742">
        <v>63</v>
      </c>
      <c r="H1742">
        <v>0.41</v>
      </c>
      <c r="I1742" t="s">
        <v>15</v>
      </c>
      <c r="J1742">
        <v>0</v>
      </c>
      <c r="K1742">
        <v>1</v>
      </c>
      <c r="L1742">
        <v>0</v>
      </c>
      <c r="M1742">
        <f>VLOOKUP(Table1[[#This Row],[subscription_type]],Plans!$A$1:$B$5,2,FALSE)</f>
        <v>14.99</v>
      </c>
      <c r="N1742">
        <f t="shared" si="27"/>
        <v>0</v>
      </c>
    </row>
    <row r="1743" spans="1:14" x14ac:dyDescent="0.35">
      <c r="A1743">
        <v>1742</v>
      </c>
      <c r="B1743" t="s">
        <v>12</v>
      </c>
      <c r="C1743">
        <v>34</v>
      </c>
      <c r="D1743" t="s">
        <v>25</v>
      </c>
      <c r="E1743" t="s">
        <v>18</v>
      </c>
      <c r="F1743">
        <v>167</v>
      </c>
      <c r="G1743">
        <v>54</v>
      </c>
      <c r="H1743">
        <v>0.01</v>
      </c>
      <c r="I1743" t="s">
        <v>23</v>
      </c>
      <c r="J1743">
        <v>0</v>
      </c>
      <c r="K1743">
        <v>1</v>
      </c>
      <c r="L1743">
        <v>0</v>
      </c>
      <c r="M1743">
        <f>VLOOKUP(Table1[[#This Row],[subscription_type]],Plans!$A$1:$B$5,2,FALSE)</f>
        <v>14.99</v>
      </c>
      <c r="N1743">
        <f t="shared" si="27"/>
        <v>0</v>
      </c>
    </row>
    <row r="1744" spans="1:14" x14ac:dyDescent="0.35">
      <c r="A1744">
        <v>1743</v>
      </c>
      <c r="B1744" t="s">
        <v>12</v>
      </c>
      <c r="C1744">
        <v>32</v>
      </c>
      <c r="D1744" t="s">
        <v>28</v>
      </c>
      <c r="E1744" t="s">
        <v>14</v>
      </c>
      <c r="F1744">
        <v>111</v>
      </c>
      <c r="G1744">
        <v>70</v>
      </c>
      <c r="H1744">
        <v>0.18</v>
      </c>
      <c r="I1744" t="s">
        <v>19</v>
      </c>
      <c r="J1744">
        <v>13</v>
      </c>
      <c r="K1744">
        <v>0</v>
      </c>
      <c r="L1744">
        <v>0</v>
      </c>
      <c r="M1744">
        <f>VLOOKUP(Table1[[#This Row],[subscription_type]],Plans!$A$1:$B$5,2,FALSE)</f>
        <v>0</v>
      </c>
      <c r="N1744">
        <f t="shared" si="27"/>
        <v>0</v>
      </c>
    </row>
    <row r="1745" spans="1:14" x14ac:dyDescent="0.35">
      <c r="A1745">
        <v>1744</v>
      </c>
      <c r="B1745" t="s">
        <v>12</v>
      </c>
      <c r="C1745">
        <v>47</v>
      </c>
      <c r="D1745" t="s">
        <v>28</v>
      </c>
      <c r="E1745" t="s">
        <v>18</v>
      </c>
      <c r="F1745">
        <v>87</v>
      </c>
      <c r="G1745">
        <v>30</v>
      </c>
      <c r="H1745">
        <v>0.45</v>
      </c>
      <c r="I1745" t="s">
        <v>19</v>
      </c>
      <c r="J1745">
        <v>0</v>
      </c>
      <c r="K1745">
        <v>1</v>
      </c>
      <c r="L1745">
        <v>1</v>
      </c>
      <c r="M1745">
        <f>VLOOKUP(Table1[[#This Row],[subscription_type]],Plans!$A$1:$B$5,2,FALSE)</f>
        <v>14.99</v>
      </c>
      <c r="N1745">
        <f t="shared" si="27"/>
        <v>14.99</v>
      </c>
    </row>
    <row r="1746" spans="1:14" x14ac:dyDescent="0.35">
      <c r="A1746">
        <v>1745</v>
      </c>
      <c r="B1746" t="s">
        <v>20</v>
      </c>
      <c r="C1746">
        <v>26</v>
      </c>
      <c r="D1746" t="s">
        <v>17</v>
      </c>
      <c r="E1746" t="s">
        <v>14</v>
      </c>
      <c r="F1746">
        <v>163</v>
      </c>
      <c r="G1746">
        <v>76</v>
      </c>
      <c r="H1746">
        <v>0.57999999999999996</v>
      </c>
      <c r="I1746" t="s">
        <v>23</v>
      </c>
      <c r="J1746">
        <v>36</v>
      </c>
      <c r="K1746">
        <v>0</v>
      </c>
      <c r="L1746">
        <v>1</v>
      </c>
      <c r="M1746">
        <f>VLOOKUP(Table1[[#This Row],[subscription_type]],Plans!$A$1:$B$5,2,FALSE)</f>
        <v>0</v>
      </c>
      <c r="N1746">
        <f t="shared" si="27"/>
        <v>0</v>
      </c>
    </row>
    <row r="1747" spans="1:14" x14ac:dyDescent="0.35">
      <c r="A1747">
        <v>1746</v>
      </c>
      <c r="B1747" t="s">
        <v>16</v>
      </c>
      <c r="C1747">
        <v>59</v>
      </c>
      <c r="D1747" t="s">
        <v>27</v>
      </c>
      <c r="E1747" t="s">
        <v>22</v>
      </c>
      <c r="F1747">
        <v>283</v>
      </c>
      <c r="G1747">
        <v>3</v>
      </c>
      <c r="H1747">
        <v>0.37</v>
      </c>
      <c r="I1747" t="s">
        <v>23</v>
      </c>
      <c r="J1747">
        <v>0</v>
      </c>
      <c r="K1747">
        <v>1</v>
      </c>
      <c r="L1747">
        <v>0</v>
      </c>
      <c r="M1747">
        <f>VLOOKUP(Table1[[#This Row],[subscription_type]],Plans!$A$1:$B$5,2,FALSE)</f>
        <v>9.99</v>
      </c>
      <c r="N1747">
        <f t="shared" si="27"/>
        <v>0</v>
      </c>
    </row>
    <row r="1748" spans="1:14" x14ac:dyDescent="0.35">
      <c r="A1748">
        <v>1747</v>
      </c>
      <c r="B1748" t="s">
        <v>16</v>
      </c>
      <c r="C1748">
        <v>16</v>
      </c>
      <c r="D1748" t="s">
        <v>29</v>
      </c>
      <c r="E1748" t="s">
        <v>18</v>
      </c>
      <c r="F1748">
        <v>90</v>
      </c>
      <c r="G1748">
        <v>58</v>
      </c>
      <c r="H1748">
        <v>0.15</v>
      </c>
      <c r="I1748" t="s">
        <v>23</v>
      </c>
      <c r="J1748">
        <v>0</v>
      </c>
      <c r="K1748">
        <v>1</v>
      </c>
      <c r="L1748">
        <v>0</v>
      </c>
      <c r="M1748">
        <f>VLOOKUP(Table1[[#This Row],[subscription_type]],Plans!$A$1:$B$5,2,FALSE)</f>
        <v>14.99</v>
      </c>
      <c r="N1748">
        <f t="shared" si="27"/>
        <v>0</v>
      </c>
    </row>
    <row r="1749" spans="1:14" x14ac:dyDescent="0.35">
      <c r="A1749">
        <v>1748</v>
      </c>
      <c r="B1749" t="s">
        <v>12</v>
      </c>
      <c r="C1749">
        <v>35</v>
      </c>
      <c r="D1749" t="s">
        <v>26</v>
      </c>
      <c r="E1749" t="s">
        <v>22</v>
      </c>
      <c r="F1749">
        <v>101</v>
      </c>
      <c r="G1749">
        <v>27</v>
      </c>
      <c r="H1749">
        <v>0.55000000000000004</v>
      </c>
      <c r="I1749" t="s">
        <v>15</v>
      </c>
      <c r="J1749">
        <v>0</v>
      </c>
      <c r="K1749">
        <v>1</v>
      </c>
      <c r="L1749">
        <v>1</v>
      </c>
      <c r="M1749">
        <f>VLOOKUP(Table1[[#This Row],[subscription_type]],Plans!$A$1:$B$5,2,FALSE)</f>
        <v>9.99</v>
      </c>
      <c r="N1749">
        <f t="shared" si="27"/>
        <v>9.99</v>
      </c>
    </row>
    <row r="1750" spans="1:14" x14ac:dyDescent="0.35">
      <c r="A1750">
        <v>1749</v>
      </c>
      <c r="B1750" t="s">
        <v>12</v>
      </c>
      <c r="C1750">
        <v>57</v>
      </c>
      <c r="D1750" t="s">
        <v>25</v>
      </c>
      <c r="E1750" t="s">
        <v>18</v>
      </c>
      <c r="F1750">
        <v>64</v>
      </c>
      <c r="G1750">
        <v>82</v>
      </c>
      <c r="H1750">
        <v>0.5</v>
      </c>
      <c r="I1750" t="s">
        <v>23</v>
      </c>
      <c r="J1750">
        <v>0</v>
      </c>
      <c r="K1750">
        <v>1</v>
      </c>
      <c r="L1750">
        <v>0</v>
      </c>
      <c r="M1750">
        <f>VLOOKUP(Table1[[#This Row],[subscription_type]],Plans!$A$1:$B$5,2,FALSE)</f>
        <v>14.99</v>
      </c>
      <c r="N1750">
        <f t="shared" si="27"/>
        <v>0</v>
      </c>
    </row>
    <row r="1751" spans="1:14" x14ac:dyDescent="0.35">
      <c r="A1751">
        <v>1750</v>
      </c>
      <c r="B1751" t="s">
        <v>16</v>
      </c>
      <c r="C1751">
        <v>26</v>
      </c>
      <c r="D1751" t="s">
        <v>26</v>
      </c>
      <c r="E1751" t="s">
        <v>14</v>
      </c>
      <c r="F1751">
        <v>137</v>
      </c>
      <c r="G1751">
        <v>58</v>
      </c>
      <c r="H1751">
        <v>0</v>
      </c>
      <c r="I1751" t="s">
        <v>19</v>
      </c>
      <c r="J1751">
        <v>28</v>
      </c>
      <c r="K1751">
        <v>0</v>
      </c>
      <c r="L1751">
        <v>0</v>
      </c>
      <c r="M1751">
        <f>VLOOKUP(Table1[[#This Row],[subscription_type]],Plans!$A$1:$B$5,2,FALSE)</f>
        <v>0</v>
      </c>
      <c r="N1751">
        <f t="shared" si="27"/>
        <v>0</v>
      </c>
    </row>
    <row r="1752" spans="1:14" x14ac:dyDescent="0.35">
      <c r="A1752">
        <v>1751</v>
      </c>
      <c r="B1752" t="s">
        <v>12</v>
      </c>
      <c r="C1752">
        <v>20</v>
      </c>
      <c r="D1752" t="s">
        <v>13</v>
      </c>
      <c r="E1752" t="s">
        <v>18</v>
      </c>
      <c r="F1752">
        <v>189</v>
      </c>
      <c r="G1752">
        <v>29</v>
      </c>
      <c r="H1752">
        <v>0.27</v>
      </c>
      <c r="I1752" t="s">
        <v>15</v>
      </c>
      <c r="J1752">
        <v>0</v>
      </c>
      <c r="K1752">
        <v>1</v>
      </c>
      <c r="L1752">
        <v>0</v>
      </c>
      <c r="M1752">
        <f>VLOOKUP(Table1[[#This Row],[subscription_type]],Plans!$A$1:$B$5,2,FALSE)</f>
        <v>14.99</v>
      </c>
      <c r="N1752">
        <f t="shared" si="27"/>
        <v>0</v>
      </c>
    </row>
    <row r="1753" spans="1:14" x14ac:dyDescent="0.35">
      <c r="A1753">
        <v>1752</v>
      </c>
      <c r="B1753" t="s">
        <v>20</v>
      </c>
      <c r="C1753">
        <v>27</v>
      </c>
      <c r="D1753" t="s">
        <v>13</v>
      </c>
      <c r="E1753" t="s">
        <v>24</v>
      </c>
      <c r="F1753">
        <v>134</v>
      </c>
      <c r="G1753">
        <v>46</v>
      </c>
      <c r="H1753">
        <v>0.46</v>
      </c>
      <c r="I1753" t="s">
        <v>19</v>
      </c>
      <c r="J1753">
        <v>0</v>
      </c>
      <c r="K1753">
        <v>1</v>
      </c>
      <c r="L1753">
        <v>1</v>
      </c>
      <c r="M1753">
        <f>VLOOKUP(Table1[[#This Row],[subscription_type]],Plans!$A$1:$B$5,2,FALSE)</f>
        <v>4.99</v>
      </c>
      <c r="N1753">
        <f t="shared" si="27"/>
        <v>4.99</v>
      </c>
    </row>
    <row r="1754" spans="1:14" x14ac:dyDescent="0.35">
      <c r="A1754">
        <v>1753</v>
      </c>
      <c r="B1754" t="s">
        <v>16</v>
      </c>
      <c r="C1754">
        <v>17</v>
      </c>
      <c r="D1754" t="s">
        <v>27</v>
      </c>
      <c r="E1754" t="s">
        <v>24</v>
      </c>
      <c r="F1754">
        <v>173</v>
      </c>
      <c r="G1754">
        <v>79</v>
      </c>
      <c r="H1754">
        <v>0.41</v>
      </c>
      <c r="I1754" t="s">
        <v>23</v>
      </c>
      <c r="J1754">
        <v>0</v>
      </c>
      <c r="K1754">
        <v>1</v>
      </c>
      <c r="L1754">
        <v>0</v>
      </c>
      <c r="M1754">
        <f>VLOOKUP(Table1[[#This Row],[subscription_type]],Plans!$A$1:$B$5,2,FALSE)</f>
        <v>4.99</v>
      </c>
      <c r="N1754">
        <f t="shared" si="27"/>
        <v>0</v>
      </c>
    </row>
    <row r="1755" spans="1:14" x14ac:dyDescent="0.35">
      <c r="A1755">
        <v>1754</v>
      </c>
      <c r="B1755" t="s">
        <v>20</v>
      </c>
      <c r="C1755">
        <v>57</v>
      </c>
      <c r="D1755" t="s">
        <v>26</v>
      </c>
      <c r="E1755" t="s">
        <v>22</v>
      </c>
      <c r="F1755">
        <v>219</v>
      </c>
      <c r="G1755">
        <v>73</v>
      </c>
      <c r="H1755">
        <v>7.0000000000000007E-2</v>
      </c>
      <c r="I1755" t="s">
        <v>15</v>
      </c>
      <c r="J1755">
        <v>0</v>
      </c>
      <c r="K1755">
        <v>1</v>
      </c>
      <c r="L1755">
        <v>0</v>
      </c>
      <c r="M1755">
        <f>VLOOKUP(Table1[[#This Row],[subscription_type]],Plans!$A$1:$B$5,2,FALSE)</f>
        <v>9.99</v>
      </c>
      <c r="N1755">
        <f t="shared" si="27"/>
        <v>0</v>
      </c>
    </row>
    <row r="1756" spans="1:14" x14ac:dyDescent="0.35">
      <c r="A1756">
        <v>1755</v>
      </c>
      <c r="B1756" t="s">
        <v>12</v>
      </c>
      <c r="C1756">
        <v>49</v>
      </c>
      <c r="D1756" t="s">
        <v>26</v>
      </c>
      <c r="E1756" t="s">
        <v>22</v>
      </c>
      <c r="F1756">
        <v>156</v>
      </c>
      <c r="G1756">
        <v>19</v>
      </c>
      <c r="H1756">
        <v>0.4</v>
      </c>
      <c r="I1756" t="s">
        <v>15</v>
      </c>
      <c r="J1756">
        <v>0</v>
      </c>
      <c r="K1756">
        <v>1</v>
      </c>
      <c r="L1756">
        <v>0</v>
      </c>
      <c r="M1756">
        <f>VLOOKUP(Table1[[#This Row],[subscription_type]],Plans!$A$1:$B$5,2,FALSE)</f>
        <v>9.99</v>
      </c>
      <c r="N1756">
        <f t="shared" si="27"/>
        <v>0</v>
      </c>
    </row>
    <row r="1757" spans="1:14" x14ac:dyDescent="0.35">
      <c r="A1757">
        <v>1756</v>
      </c>
      <c r="B1757" t="s">
        <v>20</v>
      </c>
      <c r="C1757">
        <v>45</v>
      </c>
      <c r="D1757" t="s">
        <v>17</v>
      </c>
      <c r="E1757" t="s">
        <v>24</v>
      </c>
      <c r="F1757">
        <v>285</v>
      </c>
      <c r="G1757">
        <v>60</v>
      </c>
      <c r="H1757">
        <v>7.0000000000000007E-2</v>
      </c>
      <c r="I1757" t="s">
        <v>23</v>
      </c>
      <c r="J1757">
        <v>0</v>
      </c>
      <c r="K1757">
        <v>1</v>
      </c>
      <c r="L1757">
        <v>1</v>
      </c>
      <c r="M1757">
        <f>VLOOKUP(Table1[[#This Row],[subscription_type]],Plans!$A$1:$B$5,2,FALSE)</f>
        <v>4.99</v>
      </c>
      <c r="N1757">
        <f t="shared" si="27"/>
        <v>4.99</v>
      </c>
    </row>
    <row r="1758" spans="1:14" x14ac:dyDescent="0.35">
      <c r="A1758">
        <v>1757</v>
      </c>
      <c r="B1758" t="s">
        <v>12</v>
      </c>
      <c r="C1758">
        <v>57</v>
      </c>
      <c r="D1758" t="s">
        <v>28</v>
      </c>
      <c r="E1758" t="s">
        <v>18</v>
      </c>
      <c r="F1758">
        <v>179</v>
      </c>
      <c r="G1758">
        <v>97</v>
      </c>
      <c r="H1758">
        <v>0.19</v>
      </c>
      <c r="I1758" t="s">
        <v>19</v>
      </c>
      <c r="J1758">
        <v>0</v>
      </c>
      <c r="K1758">
        <v>1</v>
      </c>
      <c r="L1758">
        <v>0</v>
      </c>
      <c r="M1758">
        <f>VLOOKUP(Table1[[#This Row],[subscription_type]],Plans!$A$1:$B$5,2,FALSE)</f>
        <v>14.99</v>
      </c>
      <c r="N1758">
        <f t="shared" si="27"/>
        <v>0</v>
      </c>
    </row>
    <row r="1759" spans="1:14" x14ac:dyDescent="0.35">
      <c r="A1759">
        <v>1758</v>
      </c>
      <c r="B1759" t="s">
        <v>20</v>
      </c>
      <c r="C1759">
        <v>44</v>
      </c>
      <c r="D1759" t="s">
        <v>21</v>
      </c>
      <c r="E1759" t="s">
        <v>24</v>
      </c>
      <c r="F1759">
        <v>12</v>
      </c>
      <c r="G1759">
        <v>17</v>
      </c>
      <c r="H1759">
        <v>0.5</v>
      </c>
      <c r="I1759" t="s">
        <v>19</v>
      </c>
      <c r="J1759">
        <v>0</v>
      </c>
      <c r="K1759">
        <v>1</v>
      </c>
      <c r="L1759">
        <v>0</v>
      </c>
      <c r="M1759">
        <f>VLOOKUP(Table1[[#This Row],[subscription_type]],Plans!$A$1:$B$5,2,FALSE)</f>
        <v>4.99</v>
      </c>
      <c r="N1759">
        <f t="shared" si="27"/>
        <v>0</v>
      </c>
    </row>
    <row r="1760" spans="1:14" x14ac:dyDescent="0.35">
      <c r="A1760">
        <v>1759</v>
      </c>
      <c r="B1760" t="s">
        <v>20</v>
      </c>
      <c r="C1760">
        <v>34</v>
      </c>
      <c r="D1760" t="s">
        <v>27</v>
      </c>
      <c r="E1760" t="s">
        <v>14</v>
      </c>
      <c r="F1760">
        <v>137</v>
      </c>
      <c r="G1760">
        <v>18</v>
      </c>
      <c r="H1760">
        <v>0.28000000000000003</v>
      </c>
      <c r="I1760" t="s">
        <v>23</v>
      </c>
      <c r="J1760">
        <v>38</v>
      </c>
      <c r="K1760">
        <v>0</v>
      </c>
      <c r="L1760">
        <v>0</v>
      </c>
      <c r="M1760">
        <f>VLOOKUP(Table1[[#This Row],[subscription_type]],Plans!$A$1:$B$5,2,FALSE)</f>
        <v>0</v>
      </c>
      <c r="N1760">
        <f t="shared" si="27"/>
        <v>0</v>
      </c>
    </row>
    <row r="1761" spans="1:14" x14ac:dyDescent="0.35">
      <c r="A1761">
        <v>1760</v>
      </c>
      <c r="B1761" t="s">
        <v>16</v>
      </c>
      <c r="C1761">
        <v>23</v>
      </c>
      <c r="D1761" t="s">
        <v>27</v>
      </c>
      <c r="E1761" t="s">
        <v>22</v>
      </c>
      <c r="F1761">
        <v>105</v>
      </c>
      <c r="G1761">
        <v>79</v>
      </c>
      <c r="H1761">
        <v>0.26</v>
      </c>
      <c r="I1761" t="s">
        <v>15</v>
      </c>
      <c r="J1761">
        <v>0</v>
      </c>
      <c r="K1761">
        <v>1</v>
      </c>
      <c r="L1761">
        <v>1</v>
      </c>
      <c r="M1761">
        <f>VLOOKUP(Table1[[#This Row],[subscription_type]],Plans!$A$1:$B$5,2,FALSE)</f>
        <v>9.99</v>
      </c>
      <c r="N1761">
        <f t="shared" si="27"/>
        <v>9.99</v>
      </c>
    </row>
    <row r="1762" spans="1:14" x14ac:dyDescent="0.35">
      <c r="A1762">
        <v>1761</v>
      </c>
      <c r="B1762" t="s">
        <v>16</v>
      </c>
      <c r="C1762">
        <v>36</v>
      </c>
      <c r="D1762" t="s">
        <v>21</v>
      </c>
      <c r="E1762" t="s">
        <v>14</v>
      </c>
      <c r="F1762">
        <v>72</v>
      </c>
      <c r="G1762">
        <v>3</v>
      </c>
      <c r="H1762">
        <v>0.15</v>
      </c>
      <c r="I1762" t="s">
        <v>23</v>
      </c>
      <c r="J1762">
        <v>48</v>
      </c>
      <c r="K1762">
        <v>0</v>
      </c>
      <c r="L1762">
        <v>0</v>
      </c>
      <c r="M1762">
        <f>VLOOKUP(Table1[[#This Row],[subscription_type]],Plans!$A$1:$B$5,2,FALSE)</f>
        <v>0</v>
      </c>
      <c r="N1762">
        <f t="shared" si="27"/>
        <v>0</v>
      </c>
    </row>
    <row r="1763" spans="1:14" x14ac:dyDescent="0.35">
      <c r="A1763">
        <v>1762</v>
      </c>
      <c r="B1763" t="s">
        <v>20</v>
      </c>
      <c r="C1763">
        <v>34</v>
      </c>
      <c r="D1763" t="s">
        <v>13</v>
      </c>
      <c r="E1763" t="s">
        <v>22</v>
      </c>
      <c r="F1763">
        <v>171</v>
      </c>
      <c r="G1763">
        <v>45</v>
      </c>
      <c r="H1763">
        <v>0.15</v>
      </c>
      <c r="I1763" t="s">
        <v>19</v>
      </c>
      <c r="J1763">
        <v>0</v>
      </c>
      <c r="K1763">
        <v>1</v>
      </c>
      <c r="L1763">
        <v>0</v>
      </c>
      <c r="M1763">
        <f>VLOOKUP(Table1[[#This Row],[subscription_type]],Plans!$A$1:$B$5,2,FALSE)</f>
        <v>9.99</v>
      </c>
      <c r="N1763">
        <f t="shared" si="27"/>
        <v>0</v>
      </c>
    </row>
    <row r="1764" spans="1:14" x14ac:dyDescent="0.35">
      <c r="A1764">
        <v>1763</v>
      </c>
      <c r="B1764" t="s">
        <v>16</v>
      </c>
      <c r="C1764">
        <v>54</v>
      </c>
      <c r="D1764" t="s">
        <v>17</v>
      </c>
      <c r="E1764" t="s">
        <v>14</v>
      </c>
      <c r="F1764">
        <v>290</v>
      </c>
      <c r="G1764">
        <v>91</v>
      </c>
      <c r="H1764">
        <v>0.42</v>
      </c>
      <c r="I1764" t="s">
        <v>15</v>
      </c>
      <c r="J1764">
        <v>41</v>
      </c>
      <c r="K1764">
        <v>0</v>
      </c>
      <c r="L1764">
        <v>1</v>
      </c>
      <c r="M1764">
        <f>VLOOKUP(Table1[[#This Row],[subscription_type]],Plans!$A$1:$B$5,2,FALSE)</f>
        <v>0</v>
      </c>
      <c r="N1764">
        <f t="shared" si="27"/>
        <v>0</v>
      </c>
    </row>
    <row r="1765" spans="1:14" x14ac:dyDescent="0.35">
      <c r="A1765">
        <v>1764</v>
      </c>
      <c r="B1765" t="s">
        <v>16</v>
      </c>
      <c r="C1765">
        <v>35</v>
      </c>
      <c r="D1765" t="s">
        <v>28</v>
      </c>
      <c r="E1765" t="s">
        <v>18</v>
      </c>
      <c r="F1765">
        <v>47</v>
      </c>
      <c r="G1765">
        <v>29</v>
      </c>
      <c r="H1765">
        <v>0.54</v>
      </c>
      <c r="I1765" t="s">
        <v>15</v>
      </c>
      <c r="J1765">
        <v>0</v>
      </c>
      <c r="K1765">
        <v>1</v>
      </c>
      <c r="L1765">
        <v>0</v>
      </c>
      <c r="M1765">
        <f>VLOOKUP(Table1[[#This Row],[subscription_type]],Plans!$A$1:$B$5,2,FALSE)</f>
        <v>14.99</v>
      </c>
      <c r="N1765">
        <f t="shared" si="27"/>
        <v>0</v>
      </c>
    </row>
    <row r="1766" spans="1:14" x14ac:dyDescent="0.35">
      <c r="A1766">
        <v>1765</v>
      </c>
      <c r="B1766" t="s">
        <v>12</v>
      </c>
      <c r="C1766">
        <v>31</v>
      </c>
      <c r="D1766" t="s">
        <v>29</v>
      </c>
      <c r="E1766" t="s">
        <v>24</v>
      </c>
      <c r="F1766">
        <v>154</v>
      </c>
      <c r="G1766">
        <v>47</v>
      </c>
      <c r="H1766">
        <v>0.31</v>
      </c>
      <c r="I1766" t="s">
        <v>19</v>
      </c>
      <c r="J1766">
        <v>0</v>
      </c>
      <c r="K1766">
        <v>1</v>
      </c>
      <c r="L1766">
        <v>1</v>
      </c>
      <c r="M1766">
        <f>VLOOKUP(Table1[[#This Row],[subscription_type]],Plans!$A$1:$B$5,2,FALSE)</f>
        <v>4.99</v>
      </c>
      <c r="N1766">
        <f t="shared" si="27"/>
        <v>4.99</v>
      </c>
    </row>
    <row r="1767" spans="1:14" x14ac:dyDescent="0.35">
      <c r="A1767">
        <v>1766</v>
      </c>
      <c r="B1767" t="s">
        <v>20</v>
      </c>
      <c r="C1767">
        <v>50</v>
      </c>
      <c r="D1767" t="s">
        <v>17</v>
      </c>
      <c r="E1767" t="s">
        <v>14</v>
      </c>
      <c r="F1767">
        <v>50</v>
      </c>
      <c r="G1767">
        <v>96</v>
      </c>
      <c r="H1767">
        <v>0.05</v>
      </c>
      <c r="I1767" t="s">
        <v>23</v>
      </c>
      <c r="J1767">
        <v>33</v>
      </c>
      <c r="K1767">
        <v>0</v>
      </c>
      <c r="L1767">
        <v>0</v>
      </c>
      <c r="M1767">
        <f>VLOOKUP(Table1[[#This Row],[subscription_type]],Plans!$A$1:$B$5,2,FALSE)</f>
        <v>0</v>
      </c>
      <c r="N1767">
        <f t="shared" si="27"/>
        <v>0</v>
      </c>
    </row>
    <row r="1768" spans="1:14" x14ac:dyDescent="0.35">
      <c r="A1768">
        <v>1767</v>
      </c>
      <c r="B1768" t="s">
        <v>16</v>
      </c>
      <c r="C1768">
        <v>17</v>
      </c>
      <c r="D1768" t="s">
        <v>17</v>
      </c>
      <c r="E1768" t="s">
        <v>24</v>
      </c>
      <c r="F1768">
        <v>59</v>
      </c>
      <c r="G1768">
        <v>41</v>
      </c>
      <c r="H1768">
        <v>0.31</v>
      </c>
      <c r="I1768" t="s">
        <v>23</v>
      </c>
      <c r="J1768">
        <v>0</v>
      </c>
      <c r="K1768">
        <v>1</v>
      </c>
      <c r="L1768">
        <v>0</v>
      </c>
      <c r="M1768">
        <f>VLOOKUP(Table1[[#This Row],[subscription_type]],Plans!$A$1:$B$5,2,FALSE)</f>
        <v>4.99</v>
      </c>
      <c r="N1768">
        <f t="shared" si="27"/>
        <v>0</v>
      </c>
    </row>
    <row r="1769" spans="1:14" x14ac:dyDescent="0.35">
      <c r="A1769">
        <v>1768</v>
      </c>
      <c r="B1769" t="s">
        <v>12</v>
      </c>
      <c r="C1769">
        <v>49</v>
      </c>
      <c r="D1769" t="s">
        <v>26</v>
      </c>
      <c r="E1769" t="s">
        <v>24</v>
      </c>
      <c r="F1769">
        <v>166</v>
      </c>
      <c r="G1769">
        <v>80</v>
      </c>
      <c r="H1769">
        <v>0.49</v>
      </c>
      <c r="I1769" t="s">
        <v>15</v>
      </c>
      <c r="J1769">
        <v>0</v>
      </c>
      <c r="K1769">
        <v>1</v>
      </c>
      <c r="L1769">
        <v>0</v>
      </c>
      <c r="M1769">
        <f>VLOOKUP(Table1[[#This Row],[subscription_type]],Plans!$A$1:$B$5,2,FALSE)</f>
        <v>4.99</v>
      </c>
      <c r="N1769">
        <f t="shared" si="27"/>
        <v>0</v>
      </c>
    </row>
    <row r="1770" spans="1:14" x14ac:dyDescent="0.35">
      <c r="A1770">
        <v>1769</v>
      </c>
      <c r="B1770" t="s">
        <v>16</v>
      </c>
      <c r="C1770">
        <v>21</v>
      </c>
      <c r="D1770" t="s">
        <v>17</v>
      </c>
      <c r="E1770" t="s">
        <v>18</v>
      </c>
      <c r="F1770">
        <v>214</v>
      </c>
      <c r="G1770">
        <v>11</v>
      </c>
      <c r="H1770">
        <v>0.03</v>
      </c>
      <c r="I1770" t="s">
        <v>15</v>
      </c>
      <c r="J1770">
        <v>0</v>
      </c>
      <c r="K1770">
        <v>1</v>
      </c>
      <c r="L1770">
        <v>0</v>
      </c>
      <c r="M1770">
        <f>VLOOKUP(Table1[[#This Row],[subscription_type]],Plans!$A$1:$B$5,2,FALSE)</f>
        <v>14.99</v>
      </c>
      <c r="N1770">
        <f t="shared" si="27"/>
        <v>0</v>
      </c>
    </row>
    <row r="1771" spans="1:14" x14ac:dyDescent="0.35">
      <c r="A1771">
        <v>1770</v>
      </c>
      <c r="B1771" t="s">
        <v>16</v>
      </c>
      <c r="C1771">
        <v>46</v>
      </c>
      <c r="D1771" t="s">
        <v>17</v>
      </c>
      <c r="E1771" t="s">
        <v>22</v>
      </c>
      <c r="F1771">
        <v>157</v>
      </c>
      <c r="G1771">
        <v>71</v>
      </c>
      <c r="H1771">
        <v>0.52</v>
      </c>
      <c r="I1771" t="s">
        <v>15</v>
      </c>
      <c r="J1771">
        <v>0</v>
      </c>
      <c r="K1771">
        <v>1</v>
      </c>
      <c r="L1771">
        <v>0</v>
      </c>
      <c r="M1771">
        <f>VLOOKUP(Table1[[#This Row],[subscription_type]],Plans!$A$1:$B$5,2,FALSE)</f>
        <v>9.99</v>
      </c>
      <c r="N1771">
        <f t="shared" si="27"/>
        <v>0</v>
      </c>
    </row>
    <row r="1772" spans="1:14" x14ac:dyDescent="0.35">
      <c r="A1772">
        <v>1771</v>
      </c>
      <c r="B1772" t="s">
        <v>16</v>
      </c>
      <c r="C1772">
        <v>53</v>
      </c>
      <c r="D1772" t="s">
        <v>26</v>
      </c>
      <c r="E1772" t="s">
        <v>24</v>
      </c>
      <c r="F1772">
        <v>38</v>
      </c>
      <c r="G1772">
        <v>44</v>
      </c>
      <c r="H1772">
        <v>0.15</v>
      </c>
      <c r="I1772" t="s">
        <v>19</v>
      </c>
      <c r="J1772">
        <v>0</v>
      </c>
      <c r="K1772">
        <v>1</v>
      </c>
      <c r="L1772">
        <v>0</v>
      </c>
      <c r="M1772">
        <f>VLOOKUP(Table1[[#This Row],[subscription_type]],Plans!$A$1:$B$5,2,FALSE)</f>
        <v>4.99</v>
      </c>
      <c r="N1772">
        <f t="shared" si="27"/>
        <v>0</v>
      </c>
    </row>
    <row r="1773" spans="1:14" x14ac:dyDescent="0.35">
      <c r="A1773">
        <v>1772</v>
      </c>
      <c r="B1773" t="s">
        <v>12</v>
      </c>
      <c r="C1773">
        <v>52</v>
      </c>
      <c r="D1773" t="s">
        <v>17</v>
      </c>
      <c r="E1773" t="s">
        <v>22</v>
      </c>
      <c r="F1773">
        <v>243</v>
      </c>
      <c r="G1773">
        <v>4</v>
      </c>
      <c r="H1773">
        <v>0.21</v>
      </c>
      <c r="I1773" t="s">
        <v>15</v>
      </c>
      <c r="J1773">
        <v>0</v>
      </c>
      <c r="K1773">
        <v>1</v>
      </c>
      <c r="L1773">
        <v>0</v>
      </c>
      <c r="M1773">
        <f>VLOOKUP(Table1[[#This Row],[subscription_type]],Plans!$A$1:$B$5,2,FALSE)</f>
        <v>9.99</v>
      </c>
      <c r="N1773">
        <f t="shared" si="27"/>
        <v>0</v>
      </c>
    </row>
    <row r="1774" spans="1:14" x14ac:dyDescent="0.35">
      <c r="A1774">
        <v>1773</v>
      </c>
      <c r="B1774" t="s">
        <v>16</v>
      </c>
      <c r="C1774">
        <v>35</v>
      </c>
      <c r="D1774" t="s">
        <v>17</v>
      </c>
      <c r="E1774" t="s">
        <v>24</v>
      </c>
      <c r="F1774">
        <v>261</v>
      </c>
      <c r="G1774">
        <v>57</v>
      </c>
      <c r="H1774">
        <v>0.28000000000000003</v>
      </c>
      <c r="I1774" t="s">
        <v>19</v>
      </c>
      <c r="J1774">
        <v>0</v>
      </c>
      <c r="K1774">
        <v>1</v>
      </c>
      <c r="L1774">
        <v>0</v>
      </c>
      <c r="M1774">
        <f>VLOOKUP(Table1[[#This Row],[subscription_type]],Plans!$A$1:$B$5,2,FALSE)</f>
        <v>4.99</v>
      </c>
      <c r="N1774">
        <f t="shared" si="27"/>
        <v>0</v>
      </c>
    </row>
    <row r="1775" spans="1:14" x14ac:dyDescent="0.35">
      <c r="A1775">
        <v>1774</v>
      </c>
      <c r="B1775" t="s">
        <v>20</v>
      </c>
      <c r="C1775">
        <v>21</v>
      </c>
      <c r="D1775" t="s">
        <v>26</v>
      </c>
      <c r="E1775" t="s">
        <v>24</v>
      </c>
      <c r="F1775">
        <v>113</v>
      </c>
      <c r="G1775">
        <v>71</v>
      </c>
      <c r="H1775">
        <v>0.5</v>
      </c>
      <c r="I1775" t="s">
        <v>19</v>
      </c>
      <c r="J1775">
        <v>0</v>
      </c>
      <c r="K1775">
        <v>1</v>
      </c>
      <c r="L1775">
        <v>1</v>
      </c>
      <c r="M1775">
        <f>VLOOKUP(Table1[[#This Row],[subscription_type]],Plans!$A$1:$B$5,2,FALSE)</f>
        <v>4.99</v>
      </c>
      <c r="N1775">
        <f t="shared" si="27"/>
        <v>4.99</v>
      </c>
    </row>
    <row r="1776" spans="1:14" x14ac:dyDescent="0.35">
      <c r="A1776">
        <v>1775</v>
      </c>
      <c r="B1776" t="s">
        <v>16</v>
      </c>
      <c r="C1776">
        <v>34</v>
      </c>
      <c r="D1776" t="s">
        <v>26</v>
      </c>
      <c r="E1776" t="s">
        <v>22</v>
      </c>
      <c r="F1776">
        <v>294</v>
      </c>
      <c r="G1776">
        <v>71</v>
      </c>
      <c r="H1776">
        <v>0.2</v>
      </c>
      <c r="I1776" t="s">
        <v>15</v>
      </c>
      <c r="J1776">
        <v>0</v>
      </c>
      <c r="K1776">
        <v>1</v>
      </c>
      <c r="L1776">
        <v>1</v>
      </c>
      <c r="M1776">
        <f>VLOOKUP(Table1[[#This Row],[subscription_type]],Plans!$A$1:$B$5,2,FALSE)</f>
        <v>9.99</v>
      </c>
      <c r="N1776">
        <f t="shared" si="27"/>
        <v>9.99</v>
      </c>
    </row>
    <row r="1777" spans="1:14" x14ac:dyDescent="0.35">
      <c r="A1777">
        <v>1776</v>
      </c>
      <c r="B1777" t="s">
        <v>16</v>
      </c>
      <c r="C1777">
        <v>33</v>
      </c>
      <c r="D1777" t="s">
        <v>17</v>
      </c>
      <c r="E1777" t="s">
        <v>24</v>
      </c>
      <c r="F1777">
        <v>50</v>
      </c>
      <c r="G1777">
        <v>85</v>
      </c>
      <c r="H1777">
        <v>0.43</v>
      </c>
      <c r="I1777" t="s">
        <v>15</v>
      </c>
      <c r="J1777">
        <v>0</v>
      </c>
      <c r="K1777">
        <v>1</v>
      </c>
      <c r="L1777">
        <v>0</v>
      </c>
      <c r="M1777">
        <f>VLOOKUP(Table1[[#This Row],[subscription_type]],Plans!$A$1:$B$5,2,FALSE)</f>
        <v>4.99</v>
      </c>
      <c r="N1777">
        <f t="shared" si="27"/>
        <v>0</v>
      </c>
    </row>
    <row r="1778" spans="1:14" x14ac:dyDescent="0.35">
      <c r="A1778">
        <v>1777</v>
      </c>
      <c r="B1778" t="s">
        <v>16</v>
      </c>
      <c r="C1778">
        <v>26</v>
      </c>
      <c r="D1778" t="s">
        <v>27</v>
      </c>
      <c r="E1778" t="s">
        <v>24</v>
      </c>
      <c r="F1778">
        <v>209</v>
      </c>
      <c r="G1778">
        <v>35</v>
      </c>
      <c r="H1778">
        <v>0.2</v>
      </c>
      <c r="I1778" t="s">
        <v>19</v>
      </c>
      <c r="J1778">
        <v>0</v>
      </c>
      <c r="K1778">
        <v>1</v>
      </c>
      <c r="L1778">
        <v>0</v>
      </c>
      <c r="M1778">
        <f>VLOOKUP(Table1[[#This Row],[subscription_type]],Plans!$A$1:$B$5,2,FALSE)</f>
        <v>4.99</v>
      </c>
      <c r="N1778">
        <f t="shared" si="27"/>
        <v>0</v>
      </c>
    </row>
    <row r="1779" spans="1:14" x14ac:dyDescent="0.35">
      <c r="A1779">
        <v>1778</v>
      </c>
      <c r="B1779" t="s">
        <v>12</v>
      </c>
      <c r="C1779">
        <v>22</v>
      </c>
      <c r="D1779" t="s">
        <v>25</v>
      </c>
      <c r="E1779" t="s">
        <v>22</v>
      </c>
      <c r="F1779">
        <v>274</v>
      </c>
      <c r="G1779">
        <v>37</v>
      </c>
      <c r="H1779">
        <v>0.05</v>
      </c>
      <c r="I1779" t="s">
        <v>19</v>
      </c>
      <c r="J1779">
        <v>0</v>
      </c>
      <c r="K1779">
        <v>1</v>
      </c>
      <c r="L1779">
        <v>0</v>
      </c>
      <c r="M1779">
        <f>VLOOKUP(Table1[[#This Row],[subscription_type]],Plans!$A$1:$B$5,2,FALSE)</f>
        <v>9.99</v>
      </c>
      <c r="N1779">
        <f t="shared" si="27"/>
        <v>0</v>
      </c>
    </row>
    <row r="1780" spans="1:14" x14ac:dyDescent="0.35">
      <c r="A1780">
        <v>1779</v>
      </c>
      <c r="B1780" t="s">
        <v>20</v>
      </c>
      <c r="C1780">
        <v>22</v>
      </c>
      <c r="D1780" t="s">
        <v>25</v>
      </c>
      <c r="E1780" t="s">
        <v>14</v>
      </c>
      <c r="F1780">
        <v>156</v>
      </c>
      <c r="G1780">
        <v>53</v>
      </c>
      <c r="H1780">
        <v>0.06</v>
      </c>
      <c r="I1780" t="s">
        <v>19</v>
      </c>
      <c r="J1780">
        <v>45</v>
      </c>
      <c r="K1780">
        <v>0</v>
      </c>
      <c r="L1780">
        <v>0</v>
      </c>
      <c r="M1780">
        <f>VLOOKUP(Table1[[#This Row],[subscription_type]],Plans!$A$1:$B$5,2,FALSE)</f>
        <v>0</v>
      </c>
      <c r="N1780">
        <f t="shared" si="27"/>
        <v>0</v>
      </c>
    </row>
    <row r="1781" spans="1:14" x14ac:dyDescent="0.35">
      <c r="A1781">
        <v>1780</v>
      </c>
      <c r="B1781" t="s">
        <v>12</v>
      </c>
      <c r="C1781">
        <v>27</v>
      </c>
      <c r="D1781" t="s">
        <v>27</v>
      </c>
      <c r="E1781" t="s">
        <v>22</v>
      </c>
      <c r="F1781">
        <v>27</v>
      </c>
      <c r="G1781">
        <v>18</v>
      </c>
      <c r="H1781">
        <v>0.03</v>
      </c>
      <c r="I1781" t="s">
        <v>23</v>
      </c>
      <c r="J1781">
        <v>0</v>
      </c>
      <c r="K1781">
        <v>1</v>
      </c>
      <c r="L1781">
        <v>0</v>
      </c>
      <c r="M1781">
        <f>VLOOKUP(Table1[[#This Row],[subscription_type]],Plans!$A$1:$B$5,2,FALSE)</f>
        <v>9.99</v>
      </c>
      <c r="N1781">
        <f t="shared" si="27"/>
        <v>0</v>
      </c>
    </row>
    <row r="1782" spans="1:14" x14ac:dyDescent="0.35">
      <c r="A1782">
        <v>1781</v>
      </c>
      <c r="B1782" t="s">
        <v>16</v>
      </c>
      <c r="C1782">
        <v>37</v>
      </c>
      <c r="D1782" t="s">
        <v>21</v>
      </c>
      <c r="E1782" t="s">
        <v>14</v>
      </c>
      <c r="F1782">
        <v>276</v>
      </c>
      <c r="G1782">
        <v>21</v>
      </c>
      <c r="H1782">
        <v>7.0000000000000007E-2</v>
      </c>
      <c r="I1782" t="s">
        <v>23</v>
      </c>
      <c r="J1782">
        <v>20</v>
      </c>
      <c r="K1782">
        <v>0</v>
      </c>
      <c r="L1782">
        <v>0</v>
      </c>
      <c r="M1782">
        <f>VLOOKUP(Table1[[#This Row],[subscription_type]],Plans!$A$1:$B$5,2,FALSE)</f>
        <v>0</v>
      </c>
      <c r="N1782">
        <f t="shared" si="27"/>
        <v>0</v>
      </c>
    </row>
    <row r="1783" spans="1:14" x14ac:dyDescent="0.35">
      <c r="A1783">
        <v>1782</v>
      </c>
      <c r="B1783" t="s">
        <v>12</v>
      </c>
      <c r="C1783">
        <v>29</v>
      </c>
      <c r="D1783" t="s">
        <v>27</v>
      </c>
      <c r="E1783" t="s">
        <v>18</v>
      </c>
      <c r="F1783">
        <v>142</v>
      </c>
      <c r="G1783">
        <v>76</v>
      </c>
      <c r="H1783">
        <v>0.32</v>
      </c>
      <c r="I1783" t="s">
        <v>23</v>
      </c>
      <c r="J1783">
        <v>0</v>
      </c>
      <c r="K1783">
        <v>1</v>
      </c>
      <c r="L1783">
        <v>1</v>
      </c>
      <c r="M1783">
        <f>VLOOKUP(Table1[[#This Row],[subscription_type]],Plans!$A$1:$B$5,2,FALSE)</f>
        <v>14.99</v>
      </c>
      <c r="N1783">
        <f t="shared" si="27"/>
        <v>14.99</v>
      </c>
    </row>
    <row r="1784" spans="1:14" x14ac:dyDescent="0.35">
      <c r="A1784">
        <v>1783</v>
      </c>
      <c r="B1784" t="s">
        <v>20</v>
      </c>
      <c r="C1784">
        <v>28</v>
      </c>
      <c r="D1784" t="s">
        <v>26</v>
      </c>
      <c r="E1784" t="s">
        <v>22</v>
      </c>
      <c r="F1784">
        <v>277</v>
      </c>
      <c r="G1784">
        <v>80</v>
      </c>
      <c r="H1784">
        <v>0.16</v>
      </c>
      <c r="I1784" t="s">
        <v>23</v>
      </c>
      <c r="J1784">
        <v>0</v>
      </c>
      <c r="K1784">
        <v>1</v>
      </c>
      <c r="L1784">
        <v>1</v>
      </c>
      <c r="M1784">
        <f>VLOOKUP(Table1[[#This Row],[subscription_type]],Plans!$A$1:$B$5,2,FALSE)</f>
        <v>9.99</v>
      </c>
      <c r="N1784">
        <f t="shared" si="27"/>
        <v>9.99</v>
      </c>
    </row>
    <row r="1785" spans="1:14" x14ac:dyDescent="0.35">
      <c r="A1785">
        <v>1784</v>
      </c>
      <c r="B1785" t="s">
        <v>12</v>
      </c>
      <c r="C1785">
        <v>21</v>
      </c>
      <c r="D1785" t="s">
        <v>25</v>
      </c>
      <c r="E1785" t="s">
        <v>14</v>
      </c>
      <c r="F1785">
        <v>150</v>
      </c>
      <c r="G1785">
        <v>46</v>
      </c>
      <c r="H1785">
        <v>0.41</v>
      </c>
      <c r="I1785" t="s">
        <v>15</v>
      </c>
      <c r="J1785">
        <v>18</v>
      </c>
      <c r="K1785">
        <v>0</v>
      </c>
      <c r="L1785">
        <v>0</v>
      </c>
      <c r="M1785">
        <f>VLOOKUP(Table1[[#This Row],[subscription_type]],Plans!$A$1:$B$5,2,FALSE)</f>
        <v>0</v>
      </c>
      <c r="N1785">
        <f t="shared" si="27"/>
        <v>0</v>
      </c>
    </row>
    <row r="1786" spans="1:14" x14ac:dyDescent="0.35">
      <c r="A1786">
        <v>1785</v>
      </c>
      <c r="B1786" t="s">
        <v>20</v>
      </c>
      <c r="C1786">
        <v>46</v>
      </c>
      <c r="D1786" t="s">
        <v>26</v>
      </c>
      <c r="E1786" t="s">
        <v>22</v>
      </c>
      <c r="F1786">
        <v>169</v>
      </c>
      <c r="G1786">
        <v>28</v>
      </c>
      <c r="H1786">
        <v>0.15</v>
      </c>
      <c r="I1786" t="s">
        <v>23</v>
      </c>
      <c r="J1786">
        <v>0</v>
      </c>
      <c r="K1786">
        <v>1</v>
      </c>
      <c r="L1786">
        <v>1</v>
      </c>
      <c r="M1786">
        <f>VLOOKUP(Table1[[#This Row],[subscription_type]],Plans!$A$1:$B$5,2,FALSE)</f>
        <v>9.99</v>
      </c>
      <c r="N1786">
        <f t="shared" si="27"/>
        <v>9.99</v>
      </c>
    </row>
    <row r="1787" spans="1:14" x14ac:dyDescent="0.35">
      <c r="A1787">
        <v>1786</v>
      </c>
      <c r="B1787" t="s">
        <v>20</v>
      </c>
      <c r="C1787">
        <v>25</v>
      </c>
      <c r="D1787" t="s">
        <v>13</v>
      </c>
      <c r="E1787" t="s">
        <v>14</v>
      </c>
      <c r="F1787">
        <v>52</v>
      </c>
      <c r="G1787">
        <v>72</v>
      </c>
      <c r="H1787">
        <v>0.18</v>
      </c>
      <c r="I1787" t="s">
        <v>15</v>
      </c>
      <c r="J1787">
        <v>26</v>
      </c>
      <c r="K1787">
        <v>0</v>
      </c>
      <c r="L1787">
        <v>0</v>
      </c>
      <c r="M1787">
        <f>VLOOKUP(Table1[[#This Row],[subscription_type]],Plans!$A$1:$B$5,2,FALSE)</f>
        <v>0</v>
      </c>
      <c r="N1787">
        <f t="shared" si="27"/>
        <v>0</v>
      </c>
    </row>
    <row r="1788" spans="1:14" x14ac:dyDescent="0.35">
      <c r="A1788">
        <v>1787</v>
      </c>
      <c r="B1788" t="s">
        <v>12</v>
      </c>
      <c r="C1788">
        <v>59</v>
      </c>
      <c r="D1788" t="s">
        <v>17</v>
      </c>
      <c r="E1788" t="s">
        <v>18</v>
      </c>
      <c r="F1788">
        <v>72</v>
      </c>
      <c r="G1788">
        <v>10</v>
      </c>
      <c r="H1788">
        <v>0.36</v>
      </c>
      <c r="I1788" t="s">
        <v>19</v>
      </c>
      <c r="J1788">
        <v>0</v>
      </c>
      <c r="K1788">
        <v>1</v>
      </c>
      <c r="L1788">
        <v>1</v>
      </c>
      <c r="M1788">
        <f>VLOOKUP(Table1[[#This Row],[subscription_type]],Plans!$A$1:$B$5,2,FALSE)</f>
        <v>14.99</v>
      </c>
      <c r="N1788">
        <f t="shared" si="27"/>
        <v>14.99</v>
      </c>
    </row>
    <row r="1789" spans="1:14" x14ac:dyDescent="0.35">
      <c r="A1789">
        <v>1788</v>
      </c>
      <c r="B1789" t="s">
        <v>12</v>
      </c>
      <c r="C1789">
        <v>37</v>
      </c>
      <c r="D1789" t="s">
        <v>27</v>
      </c>
      <c r="E1789" t="s">
        <v>22</v>
      </c>
      <c r="F1789">
        <v>197</v>
      </c>
      <c r="G1789">
        <v>34</v>
      </c>
      <c r="H1789">
        <v>0.56000000000000005</v>
      </c>
      <c r="I1789" t="s">
        <v>15</v>
      </c>
      <c r="J1789">
        <v>0</v>
      </c>
      <c r="K1789">
        <v>1</v>
      </c>
      <c r="L1789">
        <v>0</v>
      </c>
      <c r="M1789">
        <f>VLOOKUP(Table1[[#This Row],[subscription_type]],Plans!$A$1:$B$5,2,FALSE)</f>
        <v>9.99</v>
      </c>
      <c r="N1789">
        <f t="shared" si="27"/>
        <v>0</v>
      </c>
    </row>
    <row r="1790" spans="1:14" x14ac:dyDescent="0.35">
      <c r="A1790">
        <v>1789</v>
      </c>
      <c r="B1790" t="s">
        <v>20</v>
      </c>
      <c r="C1790">
        <v>55</v>
      </c>
      <c r="D1790" t="s">
        <v>21</v>
      </c>
      <c r="E1790" t="s">
        <v>18</v>
      </c>
      <c r="F1790">
        <v>54</v>
      </c>
      <c r="G1790">
        <v>27</v>
      </c>
      <c r="H1790">
        <v>0.31</v>
      </c>
      <c r="I1790" t="s">
        <v>15</v>
      </c>
      <c r="J1790">
        <v>0</v>
      </c>
      <c r="K1790">
        <v>1</v>
      </c>
      <c r="L1790">
        <v>1</v>
      </c>
      <c r="M1790">
        <f>VLOOKUP(Table1[[#This Row],[subscription_type]],Plans!$A$1:$B$5,2,FALSE)</f>
        <v>14.99</v>
      </c>
      <c r="N1790">
        <f t="shared" si="27"/>
        <v>14.99</v>
      </c>
    </row>
    <row r="1791" spans="1:14" x14ac:dyDescent="0.35">
      <c r="A1791">
        <v>1790</v>
      </c>
      <c r="B1791" t="s">
        <v>16</v>
      </c>
      <c r="C1791">
        <v>57</v>
      </c>
      <c r="D1791" t="s">
        <v>28</v>
      </c>
      <c r="E1791" t="s">
        <v>14</v>
      </c>
      <c r="F1791">
        <v>32</v>
      </c>
      <c r="G1791">
        <v>10</v>
      </c>
      <c r="H1791">
        <v>0.01</v>
      </c>
      <c r="I1791" t="s">
        <v>19</v>
      </c>
      <c r="J1791">
        <v>35</v>
      </c>
      <c r="K1791">
        <v>0</v>
      </c>
      <c r="L1791">
        <v>0</v>
      </c>
      <c r="M1791">
        <f>VLOOKUP(Table1[[#This Row],[subscription_type]],Plans!$A$1:$B$5,2,FALSE)</f>
        <v>0</v>
      </c>
      <c r="N1791">
        <f t="shared" si="27"/>
        <v>0</v>
      </c>
    </row>
    <row r="1792" spans="1:14" x14ac:dyDescent="0.35">
      <c r="A1792">
        <v>1791</v>
      </c>
      <c r="B1792" t="s">
        <v>20</v>
      </c>
      <c r="C1792">
        <v>48</v>
      </c>
      <c r="D1792" t="s">
        <v>27</v>
      </c>
      <c r="E1792" t="s">
        <v>18</v>
      </c>
      <c r="F1792">
        <v>216</v>
      </c>
      <c r="G1792">
        <v>70</v>
      </c>
      <c r="H1792">
        <v>0.23</v>
      </c>
      <c r="I1792" t="s">
        <v>15</v>
      </c>
      <c r="J1792">
        <v>0</v>
      </c>
      <c r="K1792">
        <v>1</v>
      </c>
      <c r="L1792">
        <v>0</v>
      </c>
      <c r="M1792">
        <f>VLOOKUP(Table1[[#This Row],[subscription_type]],Plans!$A$1:$B$5,2,FALSE)</f>
        <v>14.99</v>
      </c>
      <c r="N1792">
        <f t="shared" si="27"/>
        <v>0</v>
      </c>
    </row>
    <row r="1793" spans="1:14" x14ac:dyDescent="0.35">
      <c r="A1793">
        <v>1792</v>
      </c>
      <c r="B1793" t="s">
        <v>16</v>
      </c>
      <c r="C1793">
        <v>49</v>
      </c>
      <c r="D1793" t="s">
        <v>27</v>
      </c>
      <c r="E1793" t="s">
        <v>24</v>
      </c>
      <c r="F1793">
        <v>155</v>
      </c>
      <c r="G1793">
        <v>54</v>
      </c>
      <c r="H1793">
        <v>0.42</v>
      </c>
      <c r="I1793" t="s">
        <v>15</v>
      </c>
      <c r="J1793">
        <v>0</v>
      </c>
      <c r="K1793">
        <v>1</v>
      </c>
      <c r="L1793">
        <v>0</v>
      </c>
      <c r="M1793">
        <f>VLOOKUP(Table1[[#This Row],[subscription_type]],Plans!$A$1:$B$5,2,FALSE)</f>
        <v>4.99</v>
      </c>
      <c r="N1793">
        <f t="shared" si="27"/>
        <v>0</v>
      </c>
    </row>
    <row r="1794" spans="1:14" x14ac:dyDescent="0.35">
      <c r="A1794">
        <v>1793</v>
      </c>
      <c r="B1794" t="s">
        <v>20</v>
      </c>
      <c r="C1794">
        <v>16</v>
      </c>
      <c r="D1794" t="s">
        <v>17</v>
      </c>
      <c r="E1794" t="s">
        <v>22</v>
      </c>
      <c r="F1794">
        <v>186</v>
      </c>
      <c r="G1794">
        <v>52</v>
      </c>
      <c r="H1794">
        <v>0.42</v>
      </c>
      <c r="I1794" t="s">
        <v>19</v>
      </c>
      <c r="J1794">
        <v>0</v>
      </c>
      <c r="K1794">
        <v>1</v>
      </c>
      <c r="L1794">
        <v>1</v>
      </c>
      <c r="M1794">
        <f>VLOOKUP(Table1[[#This Row],[subscription_type]],Plans!$A$1:$B$5,2,FALSE)</f>
        <v>9.99</v>
      </c>
      <c r="N1794">
        <f t="shared" ref="N1794:N1857" si="28">IF(L1794=1, M1794,0)</f>
        <v>9.99</v>
      </c>
    </row>
    <row r="1795" spans="1:14" x14ac:dyDescent="0.35">
      <c r="A1795">
        <v>1794</v>
      </c>
      <c r="B1795" t="s">
        <v>20</v>
      </c>
      <c r="C1795">
        <v>46</v>
      </c>
      <c r="D1795" t="s">
        <v>21</v>
      </c>
      <c r="E1795" t="s">
        <v>14</v>
      </c>
      <c r="F1795">
        <v>16</v>
      </c>
      <c r="G1795">
        <v>44</v>
      </c>
      <c r="H1795">
        <v>0.31</v>
      </c>
      <c r="I1795" t="s">
        <v>15</v>
      </c>
      <c r="J1795">
        <v>26</v>
      </c>
      <c r="K1795">
        <v>0</v>
      </c>
      <c r="L1795">
        <v>0</v>
      </c>
      <c r="M1795">
        <f>VLOOKUP(Table1[[#This Row],[subscription_type]],Plans!$A$1:$B$5,2,FALSE)</f>
        <v>0</v>
      </c>
      <c r="N1795">
        <f t="shared" si="28"/>
        <v>0</v>
      </c>
    </row>
    <row r="1796" spans="1:14" x14ac:dyDescent="0.35">
      <c r="A1796">
        <v>1795</v>
      </c>
      <c r="B1796" t="s">
        <v>20</v>
      </c>
      <c r="C1796">
        <v>47</v>
      </c>
      <c r="D1796" t="s">
        <v>29</v>
      </c>
      <c r="E1796" t="s">
        <v>14</v>
      </c>
      <c r="F1796">
        <v>268</v>
      </c>
      <c r="G1796">
        <v>86</v>
      </c>
      <c r="H1796">
        <v>0.01</v>
      </c>
      <c r="I1796" t="s">
        <v>23</v>
      </c>
      <c r="J1796">
        <v>9</v>
      </c>
      <c r="K1796">
        <v>0</v>
      </c>
      <c r="L1796">
        <v>0</v>
      </c>
      <c r="M1796">
        <f>VLOOKUP(Table1[[#This Row],[subscription_type]],Plans!$A$1:$B$5,2,FALSE)</f>
        <v>0</v>
      </c>
      <c r="N1796">
        <f t="shared" si="28"/>
        <v>0</v>
      </c>
    </row>
    <row r="1797" spans="1:14" x14ac:dyDescent="0.35">
      <c r="A1797">
        <v>1796</v>
      </c>
      <c r="B1797" t="s">
        <v>16</v>
      </c>
      <c r="C1797">
        <v>36</v>
      </c>
      <c r="D1797" t="s">
        <v>27</v>
      </c>
      <c r="E1797" t="s">
        <v>14</v>
      </c>
      <c r="F1797">
        <v>278</v>
      </c>
      <c r="G1797">
        <v>55</v>
      </c>
      <c r="H1797">
        <v>0.11</v>
      </c>
      <c r="I1797" t="s">
        <v>15</v>
      </c>
      <c r="J1797">
        <v>27</v>
      </c>
      <c r="K1797">
        <v>0</v>
      </c>
      <c r="L1797">
        <v>1</v>
      </c>
      <c r="M1797">
        <f>VLOOKUP(Table1[[#This Row],[subscription_type]],Plans!$A$1:$B$5,2,FALSE)</f>
        <v>0</v>
      </c>
      <c r="N1797">
        <f t="shared" si="28"/>
        <v>0</v>
      </c>
    </row>
    <row r="1798" spans="1:14" x14ac:dyDescent="0.35">
      <c r="A1798">
        <v>1797</v>
      </c>
      <c r="B1798" t="s">
        <v>16</v>
      </c>
      <c r="C1798">
        <v>34</v>
      </c>
      <c r="D1798" t="s">
        <v>21</v>
      </c>
      <c r="E1798" t="s">
        <v>22</v>
      </c>
      <c r="F1798">
        <v>233</v>
      </c>
      <c r="G1798">
        <v>90</v>
      </c>
      <c r="H1798">
        <v>0.42</v>
      </c>
      <c r="I1798" t="s">
        <v>19</v>
      </c>
      <c r="J1798">
        <v>0</v>
      </c>
      <c r="K1798">
        <v>1</v>
      </c>
      <c r="L1798">
        <v>0</v>
      </c>
      <c r="M1798">
        <f>VLOOKUP(Table1[[#This Row],[subscription_type]],Plans!$A$1:$B$5,2,FALSE)</f>
        <v>9.99</v>
      </c>
      <c r="N1798">
        <f t="shared" si="28"/>
        <v>0</v>
      </c>
    </row>
    <row r="1799" spans="1:14" x14ac:dyDescent="0.35">
      <c r="A1799">
        <v>1798</v>
      </c>
      <c r="B1799" t="s">
        <v>16</v>
      </c>
      <c r="C1799">
        <v>57</v>
      </c>
      <c r="D1799" t="s">
        <v>25</v>
      </c>
      <c r="E1799" t="s">
        <v>18</v>
      </c>
      <c r="F1799">
        <v>172</v>
      </c>
      <c r="G1799">
        <v>29</v>
      </c>
      <c r="H1799">
        <v>0.41</v>
      </c>
      <c r="I1799" t="s">
        <v>19</v>
      </c>
      <c r="J1799">
        <v>0</v>
      </c>
      <c r="K1799">
        <v>1</v>
      </c>
      <c r="L1799">
        <v>0</v>
      </c>
      <c r="M1799">
        <f>VLOOKUP(Table1[[#This Row],[subscription_type]],Plans!$A$1:$B$5,2,FALSE)</f>
        <v>14.99</v>
      </c>
      <c r="N1799">
        <f t="shared" si="28"/>
        <v>0</v>
      </c>
    </row>
    <row r="1800" spans="1:14" x14ac:dyDescent="0.35">
      <c r="A1800">
        <v>1799</v>
      </c>
      <c r="B1800" t="s">
        <v>16</v>
      </c>
      <c r="C1800">
        <v>45</v>
      </c>
      <c r="D1800" t="s">
        <v>17</v>
      </c>
      <c r="E1800" t="s">
        <v>14</v>
      </c>
      <c r="F1800">
        <v>162</v>
      </c>
      <c r="G1800">
        <v>85</v>
      </c>
      <c r="H1800">
        <v>0.04</v>
      </c>
      <c r="I1800" t="s">
        <v>19</v>
      </c>
      <c r="J1800">
        <v>43</v>
      </c>
      <c r="K1800">
        <v>0</v>
      </c>
      <c r="L1800">
        <v>0</v>
      </c>
      <c r="M1800">
        <f>VLOOKUP(Table1[[#This Row],[subscription_type]],Plans!$A$1:$B$5,2,FALSE)</f>
        <v>0</v>
      </c>
      <c r="N1800">
        <f t="shared" si="28"/>
        <v>0</v>
      </c>
    </row>
    <row r="1801" spans="1:14" x14ac:dyDescent="0.35">
      <c r="A1801">
        <v>1800</v>
      </c>
      <c r="B1801" t="s">
        <v>20</v>
      </c>
      <c r="C1801">
        <v>52</v>
      </c>
      <c r="D1801" t="s">
        <v>13</v>
      </c>
      <c r="E1801" t="s">
        <v>18</v>
      </c>
      <c r="F1801">
        <v>95</v>
      </c>
      <c r="G1801">
        <v>9</v>
      </c>
      <c r="H1801">
        <v>0.02</v>
      </c>
      <c r="I1801" t="s">
        <v>23</v>
      </c>
      <c r="J1801">
        <v>0</v>
      </c>
      <c r="K1801">
        <v>1</v>
      </c>
      <c r="L1801">
        <v>1</v>
      </c>
      <c r="M1801">
        <f>VLOOKUP(Table1[[#This Row],[subscription_type]],Plans!$A$1:$B$5,2,FALSE)</f>
        <v>14.99</v>
      </c>
      <c r="N1801">
        <f t="shared" si="28"/>
        <v>14.99</v>
      </c>
    </row>
    <row r="1802" spans="1:14" x14ac:dyDescent="0.35">
      <c r="A1802">
        <v>1801</v>
      </c>
      <c r="B1802" t="s">
        <v>12</v>
      </c>
      <c r="C1802">
        <v>24</v>
      </c>
      <c r="D1802" t="s">
        <v>17</v>
      </c>
      <c r="E1802" t="s">
        <v>18</v>
      </c>
      <c r="F1802">
        <v>157</v>
      </c>
      <c r="G1802">
        <v>93</v>
      </c>
      <c r="H1802">
        <v>0.17</v>
      </c>
      <c r="I1802" t="s">
        <v>23</v>
      </c>
      <c r="J1802">
        <v>0</v>
      </c>
      <c r="K1802">
        <v>1</v>
      </c>
      <c r="L1802">
        <v>1</v>
      </c>
      <c r="M1802">
        <f>VLOOKUP(Table1[[#This Row],[subscription_type]],Plans!$A$1:$B$5,2,FALSE)</f>
        <v>14.99</v>
      </c>
      <c r="N1802">
        <f t="shared" si="28"/>
        <v>14.99</v>
      </c>
    </row>
    <row r="1803" spans="1:14" x14ac:dyDescent="0.35">
      <c r="A1803">
        <v>1802</v>
      </c>
      <c r="B1803" t="s">
        <v>16</v>
      </c>
      <c r="C1803">
        <v>24</v>
      </c>
      <c r="D1803" t="s">
        <v>27</v>
      </c>
      <c r="E1803" t="s">
        <v>24</v>
      </c>
      <c r="F1803">
        <v>220</v>
      </c>
      <c r="G1803">
        <v>34</v>
      </c>
      <c r="H1803">
        <v>0.17</v>
      </c>
      <c r="I1803" t="s">
        <v>15</v>
      </c>
      <c r="J1803">
        <v>0</v>
      </c>
      <c r="K1803">
        <v>1</v>
      </c>
      <c r="L1803">
        <v>0</v>
      </c>
      <c r="M1803">
        <f>VLOOKUP(Table1[[#This Row],[subscription_type]],Plans!$A$1:$B$5,2,FALSE)</f>
        <v>4.99</v>
      </c>
      <c r="N1803">
        <f t="shared" si="28"/>
        <v>0</v>
      </c>
    </row>
    <row r="1804" spans="1:14" x14ac:dyDescent="0.35">
      <c r="A1804">
        <v>1803</v>
      </c>
      <c r="B1804" t="s">
        <v>16</v>
      </c>
      <c r="C1804">
        <v>29</v>
      </c>
      <c r="D1804" t="s">
        <v>27</v>
      </c>
      <c r="E1804" t="s">
        <v>22</v>
      </c>
      <c r="F1804">
        <v>296</v>
      </c>
      <c r="G1804">
        <v>39</v>
      </c>
      <c r="H1804">
        <v>0.43</v>
      </c>
      <c r="I1804" t="s">
        <v>15</v>
      </c>
      <c r="J1804">
        <v>0</v>
      </c>
      <c r="K1804">
        <v>1</v>
      </c>
      <c r="L1804">
        <v>0</v>
      </c>
      <c r="M1804">
        <f>VLOOKUP(Table1[[#This Row],[subscription_type]],Plans!$A$1:$B$5,2,FALSE)</f>
        <v>9.99</v>
      </c>
      <c r="N1804">
        <f t="shared" si="28"/>
        <v>0</v>
      </c>
    </row>
    <row r="1805" spans="1:14" x14ac:dyDescent="0.35">
      <c r="A1805">
        <v>1804</v>
      </c>
      <c r="B1805" t="s">
        <v>16</v>
      </c>
      <c r="C1805">
        <v>47</v>
      </c>
      <c r="D1805" t="s">
        <v>17</v>
      </c>
      <c r="E1805" t="s">
        <v>24</v>
      </c>
      <c r="F1805">
        <v>66</v>
      </c>
      <c r="G1805">
        <v>60</v>
      </c>
      <c r="H1805">
        <v>0.13</v>
      </c>
      <c r="I1805" t="s">
        <v>15</v>
      </c>
      <c r="J1805">
        <v>0</v>
      </c>
      <c r="K1805">
        <v>1</v>
      </c>
      <c r="L1805">
        <v>1</v>
      </c>
      <c r="M1805">
        <f>VLOOKUP(Table1[[#This Row],[subscription_type]],Plans!$A$1:$B$5,2,FALSE)</f>
        <v>4.99</v>
      </c>
      <c r="N1805">
        <f t="shared" si="28"/>
        <v>4.99</v>
      </c>
    </row>
    <row r="1806" spans="1:14" x14ac:dyDescent="0.35">
      <c r="A1806">
        <v>1805</v>
      </c>
      <c r="B1806" t="s">
        <v>20</v>
      </c>
      <c r="C1806">
        <v>55</v>
      </c>
      <c r="D1806" t="s">
        <v>25</v>
      </c>
      <c r="E1806" t="s">
        <v>22</v>
      </c>
      <c r="F1806">
        <v>170</v>
      </c>
      <c r="G1806">
        <v>29</v>
      </c>
      <c r="H1806">
        <v>0.28999999999999998</v>
      </c>
      <c r="I1806" t="s">
        <v>23</v>
      </c>
      <c r="J1806">
        <v>0</v>
      </c>
      <c r="K1806">
        <v>1</v>
      </c>
      <c r="L1806">
        <v>0</v>
      </c>
      <c r="M1806">
        <f>VLOOKUP(Table1[[#This Row],[subscription_type]],Plans!$A$1:$B$5,2,FALSE)</f>
        <v>9.99</v>
      </c>
      <c r="N1806">
        <f t="shared" si="28"/>
        <v>0</v>
      </c>
    </row>
    <row r="1807" spans="1:14" x14ac:dyDescent="0.35">
      <c r="A1807">
        <v>1806</v>
      </c>
      <c r="B1807" t="s">
        <v>12</v>
      </c>
      <c r="C1807">
        <v>41</v>
      </c>
      <c r="D1807" t="s">
        <v>21</v>
      </c>
      <c r="E1807" t="s">
        <v>22</v>
      </c>
      <c r="F1807">
        <v>36</v>
      </c>
      <c r="G1807">
        <v>67</v>
      </c>
      <c r="H1807">
        <v>0.42</v>
      </c>
      <c r="I1807" t="s">
        <v>19</v>
      </c>
      <c r="J1807">
        <v>0</v>
      </c>
      <c r="K1807">
        <v>1</v>
      </c>
      <c r="L1807">
        <v>0</v>
      </c>
      <c r="M1807">
        <f>VLOOKUP(Table1[[#This Row],[subscription_type]],Plans!$A$1:$B$5,2,FALSE)</f>
        <v>9.99</v>
      </c>
      <c r="N1807">
        <f t="shared" si="28"/>
        <v>0</v>
      </c>
    </row>
    <row r="1808" spans="1:14" x14ac:dyDescent="0.35">
      <c r="A1808">
        <v>1807</v>
      </c>
      <c r="B1808" t="s">
        <v>20</v>
      </c>
      <c r="C1808">
        <v>57</v>
      </c>
      <c r="D1808" t="s">
        <v>13</v>
      </c>
      <c r="E1808" t="s">
        <v>18</v>
      </c>
      <c r="F1808">
        <v>199</v>
      </c>
      <c r="G1808">
        <v>25</v>
      </c>
      <c r="H1808">
        <v>0.08</v>
      </c>
      <c r="I1808" t="s">
        <v>19</v>
      </c>
      <c r="J1808">
        <v>0</v>
      </c>
      <c r="K1808">
        <v>1</v>
      </c>
      <c r="L1808">
        <v>1</v>
      </c>
      <c r="M1808">
        <f>VLOOKUP(Table1[[#This Row],[subscription_type]],Plans!$A$1:$B$5,2,FALSE)</f>
        <v>14.99</v>
      </c>
      <c r="N1808">
        <f t="shared" si="28"/>
        <v>14.99</v>
      </c>
    </row>
    <row r="1809" spans="1:14" x14ac:dyDescent="0.35">
      <c r="A1809">
        <v>1808</v>
      </c>
      <c r="B1809" t="s">
        <v>20</v>
      </c>
      <c r="C1809">
        <v>22</v>
      </c>
      <c r="D1809" t="s">
        <v>21</v>
      </c>
      <c r="E1809" t="s">
        <v>22</v>
      </c>
      <c r="F1809">
        <v>127</v>
      </c>
      <c r="G1809">
        <v>31</v>
      </c>
      <c r="H1809">
        <v>0.26</v>
      </c>
      <c r="I1809" t="s">
        <v>23</v>
      </c>
      <c r="J1809">
        <v>0</v>
      </c>
      <c r="K1809">
        <v>1</v>
      </c>
      <c r="L1809">
        <v>1</v>
      </c>
      <c r="M1809">
        <f>VLOOKUP(Table1[[#This Row],[subscription_type]],Plans!$A$1:$B$5,2,FALSE)</f>
        <v>9.99</v>
      </c>
      <c r="N1809">
        <f t="shared" si="28"/>
        <v>9.99</v>
      </c>
    </row>
    <row r="1810" spans="1:14" x14ac:dyDescent="0.35">
      <c r="A1810">
        <v>1809</v>
      </c>
      <c r="B1810" t="s">
        <v>20</v>
      </c>
      <c r="C1810">
        <v>41</v>
      </c>
      <c r="D1810" t="s">
        <v>29</v>
      </c>
      <c r="E1810" t="s">
        <v>14</v>
      </c>
      <c r="F1810">
        <v>34</v>
      </c>
      <c r="G1810">
        <v>66</v>
      </c>
      <c r="H1810">
        <v>0.27</v>
      </c>
      <c r="I1810" t="s">
        <v>23</v>
      </c>
      <c r="J1810">
        <v>10</v>
      </c>
      <c r="K1810">
        <v>0</v>
      </c>
      <c r="L1810">
        <v>1</v>
      </c>
      <c r="M1810">
        <f>VLOOKUP(Table1[[#This Row],[subscription_type]],Plans!$A$1:$B$5,2,FALSE)</f>
        <v>0</v>
      </c>
      <c r="N1810">
        <f t="shared" si="28"/>
        <v>0</v>
      </c>
    </row>
    <row r="1811" spans="1:14" x14ac:dyDescent="0.35">
      <c r="A1811">
        <v>1810</v>
      </c>
      <c r="B1811" t="s">
        <v>20</v>
      </c>
      <c r="C1811">
        <v>29</v>
      </c>
      <c r="D1811" t="s">
        <v>17</v>
      </c>
      <c r="E1811" t="s">
        <v>24</v>
      </c>
      <c r="F1811">
        <v>293</v>
      </c>
      <c r="G1811">
        <v>60</v>
      </c>
      <c r="H1811">
        <v>0.04</v>
      </c>
      <c r="I1811" t="s">
        <v>15</v>
      </c>
      <c r="J1811">
        <v>0</v>
      </c>
      <c r="K1811">
        <v>1</v>
      </c>
      <c r="L1811">
        <v>0</v>
      </c>
      <c r="M1811">
        <f>VLOOKUP(Table1[[#This Row],[subscription_type]],Plans!$A$1:$B$5,2,FALSE)</f>
        <v>4.99</v>
      </c>
      <c r="N1811">
        <f t="shared" si="28"/>
        <v>0</v>
      </c>
    </row>
    <row r="1812" spans="1:14" x14ac:dyDescent="0.35">
      <c r="A1812">
        <v>1811</v>
      </c>
      <c r="B1812" t="s">
        <v>20</v>
      </c>
      <c r="C1812">
        <v>59</v>
      </c>
      <c r="D1812" t="s">
        <v>28</v>
      </c>
      <c r="E1812" t="s">
        <v>22</v>
      </c>
      <c r="F1812">
        <v>63</v>
      </c>
      <c r="G1812">
        <v>83</v>
      </c>
      <c r="H1812">
        <v>0.34</v>
      </c>
      <c r="I1812" t="s">
        <v>23</v>
      </c>
      <c r="J1812">
        <v>0</v>
      </c>
      <c r="K1812">
        <v>1</v>
      </c>
      <c r="L1812">
        <v>1</v>
      </c>
      <c r="M1812">
        <f>VLOOKUP(Table1[[#This Row],[subscription_type]],Plans!$A$1:$B$5,2,FALSE)</f>
        <v>9.99</v>
      </c>
      <c r="N1812">
        <f t="shared" si="28"/>
        <v>9.99</v>
      </c>
    </row>
    <row r="1813" spans="1:14" x14ac:dyDescent="0.35">
      <c r="A1813">
        <v>1812</v>
      </c>
      <c r="B1813" t="s">
        <v>20</v>
      </c>
      <c r="C1813">
        <v>17</v>
      </c>
      <c r="D1813" t="s">
        <v>27</v>
      </c>
      <c r="E1813" t="s">
        <v>22</v>
      </c>
      <c r="F1813">
        <v>101</v>
      </c>
      <c r="G1813">
        <v>52</v>
      </c>
      <c r="H1813">
        <v>0.12</v>
      </c>
      <c r="I1813" t="s">
        <v>19</v>
      </c>
      <c r="J1813">
        <v>0</v>
      </c>
      <c r="K1813">
        <v>1</v>
      </c>
      <c r="L1813">
        <v>0</v>
      </c>
      <c r="M1813">
        <f>VLOOKUP(Table1[[#This Row],[subscription_type]],Plans!$A$1:$B$5,2,FALSE)</f>
        <v>9.99</v>
      </c>
      <c r="N1813">
        <f t="shared" si="28"/>
        <v>0</v>
      </c>
    </row>
    <row r="1814" spans="1:14" x14ac:dyDescent="0.35">
      <c r="A1814">
        <v>1813</v>
      </c>
      <c r="B1814" t="s">
        <v>20</v>
      </c>
      <c r="C1814">
        <v>32</v>
      </c>
      <c r="D1814" t="s">
        <v>26</v>
      </c>
      <c r="E1814" t="s">
        <v>22</v>
      </c>
      <c r="F1814">
        <v>187</v>
      </c>
      <c r="G1814">
        <v>38</v>
      </c>
      <c r="H1814">
        <v>0.33</v>
      </c>
      <c r="I1814" t="s">
        <v>19</v>
      </c>
      <c r="J1814">
        <v>0</v>
      </c>
      <c r="K1814">
        <v>1</v>
      </c>
      <c r="L1814">
        <v>0</v>
      </c>
      <c r="M1814">
        <f>VLOOKUP(Table1[[#This Row],[subscription_type]],Plans!$A$1:$B$5,2,FALSE)</f>
        <v>9.99</v>
      </c>
      <c r="N1814">
        <f t="shared" si="28"/>
        <v>0</v>
      </c>
    </row>
    <row r="1815" spans="1:14" x14ac:dyDescent="0.35">
      <c r="A1815">
        <v>1814</v>
      </c>
      <c r="B1815" t="s">
        <v>16</v>
      </c>
      <c r="C1815">
        <v>42</v>
      </c>
      <c r="D1815" t="s">
        <v>17</v>
      </c>
      <c r="E1815" t="s">
        <v>14</v>
      </c>
      <c r="F1815">
        <v>131</v>
      </c>
      <c r="G1815">
        <v>87</v>
      </c>
      <c r="H1815">
        <v>0.09</v>
      </c>
      <c r="I1815" t="s">
        <v>23</v>
      </c>
      <c r="J1815">
        <v>12</v>
      </c>
      <c r="K1815">
        <v>0</v>
      </c>
      <c r="L1815">
        <v>0</v>
      </c>
      <c r="M1815">
        <f>VLOOKUP(Table1[[#This Row],[subscription_type]],Plans!$A$1:$B$5,2,FALSE)</f>
        <v>0</v>
      </c>
      <c r="N1815">
        <f t="shared" si="28"/>
        <v>0</v>
      </c>
    </row>
    <row r="1816" spans="1:14" x14ac:dyDescent="0.35">
      <c r="A1816">
        <v>1815</v>
      </c>
      <c r="B1816" t="s">
        <v>12</v>
      </c>
      <c r="C1816">
        <v>46</v>
      </c>
      <c r="D1816" t="s">
        <v>28</v>
      </c>
      <c r="E1816" t="s">
        <v>22</v>
      </c>
      <c r="F1816">
        <v>14</v>
      </c>
      <c r="G1816">
        <v>37</v>
      </c>
      <c r="H1816">
        <v>0.56999999999999995</v>
      </c>
      <c r="I1816" t="s">
        <v>15</v>
      </c>
      <c r="J1816">
        <v>0</v>
      </c>
      <c r="K1816">
        <v>1</v>
      </c>
      <c r="L1816">
        <v>0</v>
      </c>
      <c r="M1816">
        <f>VLOOKUP(Table1[[#This Row],[subscription_type]],Plans!$A$1:$B$5,2,FALSE)</f>
        <v>9.99</v>
      </c>
      <c r="N1816">
        <f t="shared" si="28"/>
        <v>0</v>
      </c>
    </row>
    <row r="1817" spans="1:14" x14ac:dyDescent="0.35">
      <c r="A1817">
        <v>1816</v>
      </c>
      <c r="B1817" t="s">
        <v>16</v>
      </c>
      <c r="C1817">
        <v>53</v>
      </c>
      <c r="D1817" t="s">
        <v>21</v>
      </c>
      <c r="E1817" t="s">
        <v>14</v>
      </c>
      <c r="F1817">
        <v>141</v>
      </c>
      <c r="G1817">
        <v>87</v>
      </c>
      <c r="H1817">
        <v>0.5</v>
      </c>
      <c r="I1817" t="s">
        <v>19</v>
      </c>
      <c r="J1817">
        <v>47</v>
      </c>
      <c r="K1817">
        <v>0</v>
      </c>
      <c r="L1817">
        <v>0</v>
      </c>
      <c r="M1817">
        <f>VLOOKUP(Table1[[#This Row],[subscription_type]],Plans!$A$1:$B$5,2,FALSE)</f>
        <v>0</v>
      </c>
      <c r="N1817">
        <f t="shared" si="28"/>
        <v>0</v>
      </c>
    </row>
    <row r="1818" spans="1:14" x14ac:dyDescent="0.35">
      <c r="A1818">
        <v>1817</v>
      </c>
      <c r="B1818" t="s">
        <v>20</v>
      </c>
      <c r="C1818">
        <v>16</v>
      </c>
      <c r="D1818" t="s">
        <v>17</v>
      </c>
      <c r="E1818" t="s">
        <v>18</v>
      </c>
      <c r="F1818">
        <v>120</v>
      </c>
      <c r="G1818">
        <v>56</v>
      </c>
      <c r="H1818">
        <v>0.28999999999999998</v>
      </c>
      <c r="I1818" t="s">
        <v>15</v>
      </c>
      <c r="J1818">
        <v>0</v>
      </c>
      <c r="K1818">
        <v>1</v>
      </c>
      <c r="L1818">
        <v>0</v>
      </c>
      <c r="M1818">
        <f>VLOOKUP(Table1[[#This Row],[subscription_type]],Plans!$A$1:$B$5,2,FALSE)</f>
        <v>14.99</v>
      </c>
      <c r="N1818">
        <f t="shared" si="28"/>
        <v>0</v>
      </c>
    </row>
    <row r="1819" spans="1:14" x14ac:dyDescent="0.35">
      <c r="A1819">
        <v>1818</v>
      </c>
      <c r="B1819" t="s">
        <v>16</v>
      </c>
      <c r="C1819">
        <v>19</v>
      </c>
      <c r="D1819" t="s">
        <v>28</v>
      </c>
      <c r="E1819" t="s">
        <v>14</v>
      </c>
      <c r="F1819">
        <v>102</v>
      </c>
      <c r="G1819">
        <v>26</v>
      </c>
      <c r="H1819">
        <v>0.46</v>
      </c>
      <c r="I1819" t="s">
        <v>23</v>
      </c>
      <c r="J1819">
        <v>44</v>
      </c>
      <c r="K1819">
        <v>0</v>
      </c>
      <c r="L1819">
        <v>0</v>
      </c>
      <c r="M1819">
        <f>VLOOKUP(Table1[[#This Row],[subscription_type]],Plans!$A$1:$B$5,2,FALSE)</f>
        <v>0</v>
      </c>
      <c r="N1819">
        <f t="shared" si="28"/>
        <v>0</v>
      </c>
    </row>
    <row r="1820" spans="1:14" x14ac:dyDescent="0.35">
      <c r="A1820">
        <v>1819</v>
      </c>
      <c r="B1820" t="s">
        <v>20</v>
      </c>
      <c r="C1820">
        <v>51</v>
      </c>
      <c r="D1820" t="s">
        <v>21</v>
      </c>
      <c r="E1820" t="s">
        <v>14</v>
      </c>
      <c r="F1820">
        <v>140</v>
      </c>
      <c r="G1820">
        <v>53</v>
      </c>
      <c r="H1820">
        <v>0.37</v>
      </c>
      <c r="I1820" t="s">
        <v>19</v>
      </c>
      <c r="J1820">
        <v>20</v>
      </c>
      <c r="K1820">
        <v>0</v>
      </c>
      <c r="L1820">
        <v>1</v>
      </c>
      <c r="M1820">
        <f>VLOOKUP(Table1[[#This Row],[subscription_type]],Plans!$A$1:$B$5,2,FALSE)</f>
        <v>0</v>
      </c>
      <c r="N1820">
        <f t="shared" si="28"/>
        <v>0</v>
      </c>
    </row>
    <row r="1821" spans="1:14" x14ac:dyDescent="0.35">
      <c r="A1821">
        <v>1820</v>
      </c>
      <c r="B1821" t="s">
        <v>16</v>
      </c>
      <c r="C1821">
        <v>43</v>
      </c>
      <c r="D1821" t="s">
        <v>27</v>
      </c>
      <c r="E1821" t="s">
        <v>24</v>
      </c>
      <c r="F1821">
        <v>171</v>
      </c>
      <c r="G1821">
        <v>69</v>
      </c>
      <c r="H1821">
        <v>0.37</v>
      </c>
      <c r="I1821" t="s">
        <v>23</v>
      </c>
      <c r="J1821">
        <v>0</v>
      </c>
      <c r="K1821">
        <v>1</v>
      </c>
      <c r="L1821">
        <v>0</v>
      </c>
      <c r="M1821">
        <f>VLOOKUP(Table1[[#This Row],[subscription_type]],Plans!$A$1:$B$5,2,FALSE)</f>
        <v>4.99</v>
      </c>
      <c r="N1821">
        <f t="shared" si="28"/>
        <v>0</v>
      </c>
    </row>
    <row r="1822" spans="1:14" x14ac:dyDescent="0.35">
      <c r="A1822">
        <v>1821</v>
      </c>
      <c r="B1822" t="s">
        <v>20</v>
      </c>
      <c r="C1822">
        <v>59</v>
      </c>
      <c r="D1822" t="s">
        <v>13</v>
      </c>
      <c r="E1822" t="s">
        <v>22</v>
      </c>
      <c r="F1822">
        <v>243</v>
      </c>
      <c r="G1822">
        <v>62</v>
      </c>
      <c r="H1822">
        <v>0.51</v>
      </c>
      <c r="I1822" t="s">
        <v>15</v>
      </c>
      <c r="J1822">
        <v>0</v>
      </c>
      <c r="K1822">
        <v>1</v>
      </c>
      <c r="L1822">
        <v>0</v>
      </c>
      <c r="M1822">
        <f>VLOOKUP(Table1[[#This Row],[subscription_type]],Plans!$A$1:$B$5,2,FALSE)</f>
        <v>9.99</v>
      </c>
      <c r="N1822">
        <f t="shared" si="28"/>
        <v>0</v>
      </c>
    </row>
    <row r="1823" spans="1:14" x14ac:dyDescent="0.35">
      <c r="A1823">
        <v>1822</v>
      </c>
      <c r="B1823" t="s">
        <v>12</v>
      </c>
      <c r="C1823">
        <v>52</v>
      </c>
      <c r="D1823" t="s">
        <v>25</v>
      </c>
      <c r="E1823" t="s">
        <v>18</v>
      </c>
      <c r="F1823">
        <v>119</v>
      </c>
      <c r="G1823">
        <v>2</v>
      </c>
      <c r="H1823">
        <v>0.21</v>
      </c>
      <c r="I1823" t="s">
        <v>23</v>
      </c>
      <c r="J1823">
        <v>0</v>
      </c>
      <c r="K1823">
        <v>1</v>
      </c>
      <c r="L1823">
        <v>0</v>
      </c>
      <c r="M1823">
        <f>VLOOKUP(Table1[[#This Row],[subscription_type]],Plans!$A$1:$B$5,2,FALSE)</f>
        <v>14.99</v>
      </c>
      <c r="N1823">
        <f t="shared" si="28"/>
        <v>0</v>
      </c>
    </row>
    <row r="1824" spans="1:14" x14ac:dyDescent="0.35">
      <c r="A1824">
        <v>1823</v>
      </c>
      <c r="B1824" t="s">
        <v>16</v>
      </c>
      <c r="C1824">
        <v>51</v>
      </c>
      <c r="D1824" t="s">
        <v>29</v>
      </c>
      <c r="E1824" t="s">
        <v>14</v>
      </c>
      <c r="F1824">
        <v>263</v>
      </c>
      <c r="G1824">
        <v>44</v>
      </c>
      <c r="H1824">
        <v>0.45</v>
      </c>
      <c r="I1824" t="s">
        <v>19</v>
      </c>
      <c r="J1824">
        <v>19</v>
      </c>
      <c r="K1824">
        <v>0</v>
      </c>
      <c r="L1824">
        <v>0</v>
      </c>
      <c r="M1824">
        <f>VLOOKUP(Table1[[#This Row],[subscription_type]],Plans!$A$1:$B$5,2,FALSE)</f>
        <v>0</v>
      </c>
      <c r="N1824">
        <f t="shared" si="28"/>
        <v>0</v>
      </c>
    </row>
    <row r="1825" spans="1:14" x14ac:dyDescent="0.35">
      <c r="A1825">
        <v>1824</v>
      </c>
      <c r="B1825" t="s">
        <v>12</v>
      </c>
      <c r="C1825">
        <v>26</v>
      </c>
      <c r="D1825" t="s">
        <v>27</v>
      </c>
      <c r="E1825" t="s">
        <v>22</v>
      </c>
      <c r="F1825">
        <v>66</v>
      </c>
      <c r="G1825">
        <v>29</v>
      </c>
      <c r="H1825">
        <v>0.22</v>
      </c>
      <c r="I1825" t="s">
        <v>23</v>
      </c>
      <c r="J1825">
        <v>0</v>
      </c>
      <c r="K1825">
        <v>1</v>
      </c>
      <c r="L1825">
        <v>0</v>
      </c>
      <c r="M1825">
        <f>VLOOKUP(Table1[[#This Row],[subscription_type]],Plans!$A$1:$B$5,2,FALSE)</f>
        <v>9.99</v>
      </c>
      <c r="N1825">
        <f t="shared" si="28"/>
        <v>0</v>
      </c>
    </row>
    <row r="1826" spans="1:14" x14ac:dyDescent="0.35">
      <c r="A1826">
        <v>1825</v>
      </c>
      <c r="B1826" t="s">
        <v>12</v>
      </c>
      <c r="C1826">
        <v>26</v>
      </c>
      <c r="D1826" t="s">
        <v>26</v>
      </c>
      <c r="E1826" t="s">
        <v>18</v>
      </c>
      <c r="F1826">
        <v>10</v>
      </c>
      <c r="G1826">
        <v>75</v>
      </c>
      <c r="H1826">
        <v>0.59</v>
      </c>
      <c r="I1826" t="s">
        <v>23</v>
      </c>
      <c r="J1826">
        <v>0</v>
      </c>
      <c r="K1826">
        <v>1</v>
      </c>
      <c r="L1826">
        <v>0</v>
      </c>
      <c r="M1826">
        <f>VLOOKUP(Table1[[#This Row],[subscription_type]],Plans!$A$1:$B$5,2,FALSE)</f>
        <v>14.99</v>
      </c>
      <c r="N1826">
        <f t="shared" si="28"/>
        <v>0</v>
      </c>
    </row>
    <row r="1827" spans="1:14" x14ac:dyDescent="0.35">
      <c r="A1827">
        <v>1826</v>
      </c>
      <c r="B1827" t="s">
        <v>16</v>
      </c>
      <c r="C1827">
        <v>20</v>
      </c>
      <c r="D1827" t="s">
        <v>27</v>
      </c>
      <c r="E1827" t="s">
        <v>18</v>
      </c>
      <c r="F1827">
        <v>203</v>
      </c>
      <c r="G1827">
        <v>49</v>
      </c>
      <c r="H1827">
        <v>0.53</v>
      </c>
      <c r="I1827" t="s">
        <v>23</v>
      </c>
      <c r="J1827">
        <v>0</v>
      </c>
      <c r="K1827">
        <v>1</v>
      </c>
      <c r="L1827">
        <v>0</v>
      </c>
      <c r="M1827">
        <f>VLOOKUP(Table1[[#This Row],[subscription_type]],Plans!$A$1:$B$5,2,FALSE)</f>
        <v>14.99</v>
      </c>
      <c r="N1827">
        <f t="shared" si="28"/>
        <v>0</v>
      </c>
    </row>
    <row r="1828" spans="1:14" x14ac:dyDescent="0.35">
      <c r="A1828">
        <v>1827</v>
      </c>
      <c r="B1828" t="s">
        <v>12</v>
      </c>
      <c r="C1828">
        <v>33</v>
      </c>
      <c r="D1828" t="s">
        <v>28</v>
      </c>
      <c r="E1828" t="s">
        <v>24</v>
      </c>
      <c r="F1828">
        <v>235</v>
      </c>
      <c r="G1828">
        <v>72</v>
      </c>
      <c r="H1828">
        <v>0.26</v>
      </c>
      <c r="I1828" t="s">
        <v>19</v>
      </c>
      <c r="J1828">
        <v>0</v>
      </c>
      <c r="K1828">
        <v>1</v>
      </c>
      <c r="L1828">
        <v>0</v>
      </c>
      <c r="M1828">
        <f>VLOOKUP(Table1[[#This Row],[subscription_type]],Plans!$A$1:$B$5,2,FALSE)</f>
        <v>4.99</v>
      </c>
      <c r="N1828">
        <f t="shared" si="28"/>
        <v>0</v>
      </c>
    </row>
    <row r="1829" spans="1:14" x14ac:dyDescent="0.35">
      <c r="A1829">
        <v>1828</v>
      </c>
      <c r="B1829" t="s">
        <v>16</v>
      </c>
      <c r="C1829">
        <v>56</v>
      </c>
      <c r="D1829" t="s">
        <v>26</v>
      </c>
      <c r="E1829" t="s">
        <v>22</v>
      </c>
      <c r="F1829">
        <v>201</v>
      </c>
      <c r="G1829">
        <v>42</v>
      </c>
      <c r="H1829">
        <v>0.15</v>
      </c>
      <c r="I1829" t="s">
        <v>23</v>
      </c>
      <c r="J1829">
        <v>0</v>
      </c>
      <c r="K1829">
        <v>1</v>
      </c>
      <c r="L1829">
        <v>0</v>
      </c>
      <c r="M1829">
        <f>VLOOKUP(Table1[[#This Row],[subscription_type]],Plans!$A$1:$B$5,2,FALSE)</f>
        <v>9.99</v>
      </c>
      <c r="N1829">
        <f t="shared" si="28"/>
        <v>0</v>
      </c>
    </row>
    <row r="1830" spans="1:14" x14ac:dyDescent="0.35">
      <c r="A1830">
        <v>1829</v>
      </c>
      <c r="B1830" t="s">
        <v>20</v>
      </c>
      <c r="C1830">
        <v>33</v>
      </c>
      <c r="D1830" t="s">
        <v>21</v>
      </c>
      <c r="E1830" t="s">
        <v>14</v>
      </c>
      <c r="F1830">
        <v>181</v>
      </c>
      <c r="G1830">
        <v>81</v>
      </c>
      <c r="H1830">
        <v>0.28000000000000003</v>
      </c>
      <c r="I1830" t="s">
        <v>15</v>
      </c>
      <c r="J1830">
        <v>14</v>
      </c>
      <c r="K1830">
        <v>0</v>
      </c>
      <c r="L1830">
        <v>0</v>
      </c>
      <c r="M1830">
        <f>VLOOKUP(Table1[[#This Row],[subscription_type]],Plans!$A$1:$B$5,2,FALSE)</f>
        <v>0</v>
      </c>
      <c r="N1830">
        <f t="shared" si="28"/>
        <v>0</v>
      </c>
    </row>
    <row r="1831" spans="1:14" x14ac:dyDescent="0.35">
      <c r="A1831">
        <v>1830</v>
      </c>
      <c r="B1831" t="s">
        <v>20</v>
      </c>
      <c r="C1831">
        <v>31</v>
      </c>
      <c r="D1831" t="s">
        <v>27</v>
      </c>
      <c r="E1831" t="s">
        <v>24</v>
      </c>
      <c r="F1831">
        <v>239</v>
      </c>
      <c r="G1831">
        <v>16</v>
      </c>
      <c r="H1831">
        <v>0.16</v>
      </c>
      <c r="I1831" t="s">
        <v>19</v>
      </c>
      <c r="J1831">
        <v>0</v>
      </c>
      <c r="K1831">
        <v>1</v>
      </c>
      <c r="L1831">
        <v>0</v>
      </c>
      <c r="M1831">
        <f>VLOOKUP(Table1[[#This Row],[subscription_type]],Plans!$A$1:$B$5,2,FALSE)</f>
        <v>4.99</v>
      </c>
      <c r="N1831">
        <f t="shared" si="28"/>
        <v>0</v>
      </c>
    </row>
    <row r="1832" spans="1:14" x14ac:dyDescent="0.35">
      <c r="A1832">
        <v>1831</v>
      </c>
      <c r="B1832" t="s">
        <v>20</v>
      </c>
      <c r="C1832">
        <v>58</v>
      </c>
      <c r="D1832" t="s">
        <v>17</v>
      </c>
      <c r="E1832" t="s">
        <v>22</v>
      </c>
      <c r="F1832">
        <v>10</v>
      </c>
      <c r="G1832">
        <v>8</v>
      </c>
      <c r="H1832">
        <v>0.59</v>
      </c>
      <c r="I1832" t="s">
        <v>15</v>
      </c>
      <c r="J1832">
        <v>0</v>
      </c>
      <c r="K1832">
        <v>1</v>
      </c>
      <c r="L1832">
        <v>0</v>
      </c>
      <c r="M1832">
        <f>VLOOKUP(Table1[[#This Row],[subscription_type]],Plans!$A$1:$B$5,2,FALSE)</f>
        <v>9.99</v>
      </c>
      <c r="N1832">
        <f t="shared" si="28"/>
        <v>0</v>
      </c>
    </row>
    <row r="1833" spans="1:14" x14ac:dyDescent="0.35">
      <c r="A1833">
        <v>1832</v>
      </c>
      <c r="B1833" t="s">
        <v>16</v>
      </c>
      <c r="C1833">
        <v>22</v>
      </c>
      <c r="D1833" t="s">
        <v>25</v>
      </c>
      <c r="E1833" t="s">
        <v>14</v>
      </c>
      <c r="F1833">
        <v>93</v>
      </c>
      <c r="G1833">
        <v>10</v>
      </c>
      <c r="H1833">
        <v>0.03</v>
      </c>
      <c r="I1833" t="s">
        <v>23</v>
      </c>
      <c r="J1833">
        <v>12</v>
      </c>
      <c r="K1833">
        <v>0</v>
      </c>
      <c r="L1833">
        <v>0</v>
      </c>
      <c r="M1833">
        <f>VLOOKUP(Table1[[#This Row],[subscription_type]],Plans!$A$1:$B$5,2,FALSE)</f>
        <v>0</v>
      </c>
      <c r="N1833">
        <f t="shared" si="28"/>
        <v>0</v>
      </c>
    </row>
    <row r="1834" spans="1:14" x14ac:dyDescent="0.35">
      <c r="A1834">
        <v>1833</v>
      </c>
      <c r="B1834" t="s">
        <v>12</v>
      </c>
      <c r="C1834">
        <v>48</v>
      </c>
      <c r="D1834" t="s">
        <v>28</v>
      </c>
      <c r="E1834" t="s">
        <v>22</v>
      </c>
      <c r="F1834">
        <v>183</v>
      </c>
      <c r="G1834">
        <v>26</v>
      </c>
      <c r="H1834">
        <v>0.32</v>
      </c>
      <c r="I1834" t="s">
        <v>15</v>
      </c>
      <c r="J1834">
        <v>0</v>
      </c>
      <c r="K1834">
        <v>1</v>
      </c>
      <c r="L1834">
        <v>0</v>
      </c>
      <c r="M1834">
        <f>VLOOKUP(Table1[[#This Row],[subscription_type]],Plans!$A$1:$B$5,2,FALSE)</f>
        <v>9.99</v>
      </c>
      <c r="N1834">
        <f t="shared" si="28"/>
        <v>0</v>
      </c>
    </row>
    <row r="1835" spans="1:14" x14ac:dyDescent="0.35">
      <c r="A1835">
        <v>1834</v>
      </c>
      <c r="B1835" t="s">
        <v>20</v>
      </c>
      <c r="C1835">
        <v>17</v>
      </c>
      <c r="D1835" t="s">
        <v>21</v>
      </c>
      <c r="E1835" t="s">
        <v>24</v>
      </c>
      <c r="F1835">
        <v>234</v>
      </c>
      <c r="G1835">
        <v>45</v>
      </c>
      <c r="H1835">
        <v>0.01</v>
      </c>
      <c r="I1835" t="s">
        <v>19</v>
      </c>
      <c r="J1835">
        <v>0</v>
      </c>
      <c r="K1835">
        <v>1</v>
      </c>
      <c r="L1835">
        <v>0</v>
      </c>
      <c r="M1835">
        <f>VLOOKUP(Table1[[#This Row],[subscription_type]],Plans!$A$1:$B$5,2,FALSE)</f>
        <v>4.99</v>
      </c>
      <c r="N1835">
        <f t="shared" si="28"/>
        <v>0</v>
      </c>
    </row>
    <row r="1836" spans="1:14" x14ac:dyDescent="0.35">
      <c r="A1836">
        <v>1835</v>
      </c>
      <c r="B1836" t="s">
        <v>16</v>
      </c>
      <c r="C1836">
        <v>35</v>
      </c>
      <c r="D1836" t="s">
        <v>17</v>
      </c>
      <c r="E1836" t="s">
        <v>24</v>
      </c>
      <c r="F1836">
        <v>197</v>
      </c>
      <c r="G1836">
        <v>30</v>
      </c>
      <c r="H1836">
        <v>0.21</v>
      </c>
      <c r="I1836" t="s">
        <v>15</v>
      </c>
      <c r="J1836">
        <v>0</v>
      </c>
      <c r="K1836">
        <v>1</v>
      </c>
      <c r="L1836">
        <v>0</v>
      </c>
      <c r="M1836">
        <f>VLOOKUP(Table1[[#This Row],[subscription_type]],Plans!$A$1:$B$5,2,FALSE)</f>
        <v>4.99</v>
      </c>
      <c r="N1836">
        <f t="shared" si="28"/>
        <v>0</v>
      </c>
    </row>
    <row r="1837" spans="1:14" x14ac:dyDescent="0.35">
      <c r="A1837">
        <v>1836</v>
      </c>
      <c r="B1837" t="s">
        <v>16</v>
      </c>
      <c r="C1837">
        <v>39</v>
      </c>
      <c r="D1837" t="s">
        <v>17</v>
      </c>
      <c r="E1837" t="s">
        <v>14</v>
      </c>
      <c r="F1837">
        <v>62</v>
      </c>
      <c r="G1837">
        <v>15</v>
      </c>
      <c r="H1837">
        <v>0.42</v>
      </c>
      <c r="I1837" t="s">
        <v>23</v>
      </c>
      <c r="J1837">
        <v>49</v>
      </c>
      <c r="K1837">
        <v>0</v>
      </c>
      <c r="L1837">
        <v>0</v>
      </c>
      <c r="M1837">
        <f>VLOOKUP(Table1[[#This Row],[subscription_type]],Plans!$A$1:$B$5,2,FALSE)</f>
        <v>0</v>
      </c>
      <c r="N1837">
        <f t="shared" si="28"/>
        <v>0</v>
      </c>
    </row>
    <row r="1838" spans="1:14" x14ac:dyDescent="0.35">
      <c r="A1838">
        <v>1837</v>
      </c>
      <c r="B1838" t="s">
        <v>20</v>
      </c>
      <c r="C1838">
        <v>16</v>
      </c>
      <c r="D1838" t="s">
        <v>26</v>
      </c>
      <c r="E1838" t="s">
        <v>18</v>
      </c>
      <c r="F1838">
        <v>157</v>
      </c>
      <c r="G1838">
        <v>20</v>
      </c>
      <c r="H1838">
        <v>0.2</v>
      </c>
      <c r="I1838" t="s">
        <v>19</v>
      </c>
      <c r="J1838">
        <v>0</v>
      </c>
      <c r="K1838">
        <v>1</v>
      </c>
      <c r="L1838">
        <v>0</v>
      </c>
      <c r="M1838">
        <f>VLOOKUP(Table1[[#This Row],[subscription_type]],Plans!$A$1:$B$5,2,FALSE)</f>
        <v>14.99</v>
      </c>
      <c r="N1838">
        <f t="shared" si="28"/>
        <v>0</v>
      </c>
    </row>
    <row r="1839" spans="1:14" x14ac:dyDescent="0.35">
      <c r="A1839">
        <v>1838</v>
      </c>
      <c r="B1839" t="s">
        <v>12</v>
      </c>
      <c r="C1839">
        <v>48</v>
      </c>
      <c r="D1839" t="s">
        <v>21</v>
      </c>
      <c r="E1839" t="s">
        <v>24</v>
      </c>
      <c r="F1839">
        <v>124</v>
      </c>
      <c r="G1839">
        <v>23</v>
      </c>
      <c r="H1839">
        <v>0.47</v>
      </c>
      <c r="I1839" t="s">
        <v>23</v>
      </c>
      <c r="J1839">
        <v>0</v>
      </c>
      <c r="K1839">
        <v>1</v>
      </c>
      <c r="L1839">
        <v>0</v>
      </c>
      <c r="M1839">
        <f>VLOOKUP(Table1[[#This Row],[subscription_type]],Plans!$A$1:$B$5,2,FALSE)</f>
        <v>4.99</v>
      </c>
      <c r="N1839">
        <f t="shared" si="28"/>
        <v>0</v>
      </c>
    </row>
    <row r="1840" spans="1:14" x14ac:dyDescent="0.35">
      <c r="A1840">
        <v>1839</v>
      </c>
      <c r="B1840" t="s">
        <v>16</v>
      </c>
      <c r="C1840">
        <v>42</v>
      </c>
      <c r="D1840" t="s">
        <v>26</v>
      </c>
      <c r="E1840" t="s">
        <v>22</v>
      </c>
      <c r="F1840">
        <v>64</v>
      </c>
      <c r="G1840">
        <v>84</v>
      </c>
      <c r="H1840">
        <v>0.19</v>
      </c>
      <c r="I1840" t="s">
        <v>15</v>
      </c>
      <c r="J1840">
        <v>0</v>
      </c>
      <c r="K1840">
        <v>1</v>
      </c>
      <c r="L1840">
        <v>0</v>
      </c>
      <c r="M1840">
        <f>VLOOKUP(Table1[[#This Row],[subscription_type]],Plans!$A$1:$B$5,2,FALSE)</f>
        <v>9.99</v>
      </c>
      <c r="N1840">
        <f t="shared" si="28"/>
        <v>0</v>
      </c>
    </row>
    <row r="1841" spans="1:14" x14ac:dyDescent="0.35">
      <c r="A1841">
        <v>1840</v>
      </c>
      <c r="B1841" t="s">
        <v>12</v>
      </c>
      <c r="C1841">
        <v>20</v>
      </c>
      <c r="D1841" t="s">
        <v>21</v>
      </c>
      <c r="E1841" t="s">
        <v>18</v>
      </c>
      <c r="F1841">
        <v>276</v>
      </c>
      <c r="G1841">
        <v>47</v>
      </c>
      <c r="H1841">
        <v>0.56999999999999995</v>
      </c>
      <c r="I1841" t="s">
        <v>23</v>
      </c>
      <c r="J1841">
        <v>0</v>
      </c>
      <c r="K1841">
        <v>1</v>
      </c>
      <c r="L1841">
        <v>0</v>
      </c>
      <c r="M1841">
        <f>VLOOKUP(Table1[[#This Row],[subscription_type]],Plans!$A$1:$B$5,2,FALSE)</f>
        <v>14.99</v>
      </c>
      <c r="N1841">
        <f t="shared" si="28"/>
        <v>0</v>
      </c>
    </row>
    <row r="1842" spans="1:14" x14ac:dyDescent="0.35">
      <c r="A1842">
        <v>1841</v>
      </c>
      <c r="B1842" t="s">
        <v>12</v>
      </c>
      <c r="C1842">
        <v>26</v>
      </c>
      <c r="D1842" t="s">
        <v>29</v>
      </c>
      <c r="E1842" t="s">
        <v>24</v>
      </c>
      <c r="F1842">
        <v>40</v>
      </c>
      <c r="G1842">
        <v>71</v>
      </c>
      <c r="H1842">
        <v>0.21</v>
      </c>
      <c r="I1842" t="s">
        <v>15</v>
      </c>
      <c r="J1842">
        <v>0</v>
      </c>
      <c r="K1842">
        <v>1</v>
      </c>
      <c r="L1842">
        <v>1</v>
      </c>
      <c r="M1842">
        <f>VLOOKUP(Table1[[#This Row],[subscription_type]],Plans!$A$1:$B$5,2,FALSE)</f>
        <v>4.99</v>
      </c>
      <c r="N1842">
        <f t="shared" si="28"/>
        <v>4.99</v>
      </c>
    </row>
    <row r="1843" spans="1:14" x14ac:dyDescent="0.35">
      <c r="A1843">
        <v>1842</v>
      </c>
      <c r="B1843" t="s">
        <v>16</v>
      </c>
      <c r="C1843">
        <v>37</v>
      </c>
      <c r="D1843" t="s">
        <v>25</v>
      </c>
      <c r="E1843" t="s">
        <v>22</v>
      </c>
      <c r="F1843">
        <v>226</v>
      </c>
      <c r="G1843">
        <v>5</v>
      </c>
      <c r="H1843">
        <v>0.08</v>
      </c>
      <c r="I1843" t="s">
        <v>15</v>
      </c>
      <c r="J1843">
        <v>0</v>
      </c>
      <c r="K1843">
        <v>1</v>
      </c>
      <c r="L1843">
        <v>1</v>
      </c>
      <c r="M1843">
        <f>VLOOKUP(Table1[[#This Row],[subscription_type]],Plans!$A$1:$B$5,2,FALSE)</f>
        <v>9.99</v>
      </c>
      <c r="N1843">
        <f t="shared" si="28"/>
        <v>9.99</v>
      </c>
    </row>
    <row r="1844" spans="1:14" x14ac:dyDescent="0.35">
      <c r="A1844">
        <v>1843</v>
      </c>
      <c r="B1844" t="s">
        <v>20</v>
      </c>
      <c r="C1844">
        <v>51</v>
      </c>
      <c r="D1844" t="s">
        <v>29</v>
      </c>
      <c r="E1844" t="s">
        <v>22</v>
      </c>
      <c r="F1844">
        <v>267</v>
      </c>
      <c r="G1844">
        <v>11</v>
      </c>
      <c r="H1844">
        <v>0.06</v>
      </c>
      <c r="I1844" t="s">
        <v>15</v>
      </c>
      <c r="J1844">
        <v>0</v>
      </c>
      <c r="K1844">
        <v>1</v>
      </c>
      <c r="L1844">
        <v>0</v>
      </c>
      <c r="M1844">
        <f>VLOOKUP(Table1[[#This Row],[subscription_type]],Plans!$A$1:$B$5,2,FALSE)</f>
        <v>9.99</v>
      </c>
      <c r="N1844">
        <f t="shared" si="28"/>
        <v>0</v>
      </c>
    </row>
    <row r="1845" spans="1:14" x14ac:dyDescent="0.35">
      <c r="A1845">
        <v>1844</v>
      </c>
      <c r="B1845" t="s">
        <v>20</v>
      </c>
      <c r="C1845">
        <v>42</v>
      </c>
      <c r="D1845" t="s">
        <v>26</v>
      </c>
      <c r="E1845" t="s">
        <v>14</v>
      </c>
      <c r="F1845">
        <v>297</v>
      </c>
      <c r="G1845">
        <v>12</v>
      </c>
      <c r="H1845">
        <v>0.54</v>
      </c>
      <c r="I1845" t="s">
        <v>15</v>
      </c>
      <c r="J1845">
        <v>15</v>
      </c>
      <c r="K1845">
        <v>0</v>
      </c>
      <c r="L1845">
        <v>0</v>
      </c>
      <c r="M1845">
        <f>VLOOKUP(Table1[[#This Row],[subscription_type]],Plans!$A$1:$B$5,2,FALSE)</f>
        <v>0</v>
      </c>
      <c r="N1845">
        <f t="shared" si="28"/>
        <v>0</v>
      </c>
    </row>
    <row r="1846" spans="1:14" x14ac:dyDescent="0.35">
      <c r="A1846">
        <v>1845</v>
      </c>
      <c r="B1846" t="s">
        <v>12</v>
      </c>
      <c r="C1846">
        <v>25</v>
      </c>
      <c r="D1846" t="s">
        <v>13</v>
      </c>
      <c r="E1846" t="s">
        <v>18</v>
      </c>
      <c r="F1846">
        <v>44</v>
      </c>
      <c r="G1846">
        <v>80</v>
      </c>
      <c r="H1846">
        <v>0.42</v>
      </c>
      <c r="I1846" t="s">
        <v>23</v>
      </c>
      <c r="J1846">
        <v>0</v>
      </c>
      <c r="K1846">
        <v>1</v>
      </c>
      <c r="L1846">
        <v>0</v>
      </c>
      <c r="M1846">
        <f>VLOOKUP(Table1[[#This Row],[subscription_type]],Plans!$A$1:$B$5,2,FALSE)</f>
        <v>14.99</v>
      </c>
      <c r="N1846">
        <f t="shared" si="28"/>
        <v>0</v>
      </c>
    </row>
    <row r="1847" spans="1:14" x14ac:dyDescent="0.35">
      <c r="A1847">
        <v>1846</v>
      </c>
      <c r="B1847" t="s">
        <v>20</v>
      </c>
      <c r="C1847">
        <v>18</v>
      </c>
      <c r="D1847" t="s">
        <v>13</v>
      </c>
      <c r="E1847" t="s">
        <v>14</v>
      </c>
      <c r="F1847">
        <v>264</v>
      </c>
      <c r="G1847">
        <v>52</v>
      </c>
      <c r="H1847">
        <v>0.33</v>
      </c>
      <c r="I1847" t="s">
        <v>15</v>
      </c>
      <c r="J1847">
        <v>19</v>
      </c>
      <c r="K1847">
        <v>0</v>
      </c>
      <c r="L1847">
        <v>0</v>
      </c>
      <c r="M1847">
        <f>VLOOKUP(Table1[[#This Row],[subscription_type]],Plans!$A$1:$B$5,2,FALSE)</f>
        <v>0</v>
      </c>
      <c r="N1847">
        <f t="shared" si="28"/>
        <v>0</v>
      </c>
    </row>
    <row r="1848" spans="1:14" x14ac:dyDescent="0.35">
      <c r="A1848">
        <v>1847</v>
      </c>
      <c r="B1848" t="s">
        <v>20</v>
      </c>
      <c r="C1848">
        <v>19</v>
      </c>
      <c r="D1848" t="s">
        <v>28</v>
      </c>
      <c r="E1848" t="s">
        <v>18</v>
      </c>
      <c r="F1848">
        <v>125</v>
      </c>
      <c r="G1848">
        <v>65</v>
      </c>
      <c r="H1848">
        <v>0.49</v>
      </c>
      <c r="I1848" t="s">
        <v>23</v>
      </c>
      <c r="J1848">
        <v>0</v>
      </c>
      <c r="K1848">
        <v>1</v>
      </c>
      <c r="L1848">
        <v>0</v>
      </c>
      <c r="M1848">
        <f>VLOOKUP(Table1[[#This Row],[subscription_type]],Plans!$A$1:$B$5,2,FALSE)</f>
        <v>14.99</v>
      </c>
      <c r="N1848">
        <f t="shared" si="28"/>
        <v>0</v>
      </c>
    </row>
    <row r="1849" spans="1:14" x14ac:dyDescent="0.35">
      <c r="A1849">
        <v>1848</v>
      </c>
      <c r="B1849" t="s">
        <v>12</v>
      </c>
      <c r="C1849">
        <v>23</v>
      </c>
      <c r="D1849" t="s">
        <v>28</v>
      </c>
      <c r="E1849" t="s">
        <v>22</v>
      </c>
      <c r="F1849">
        <v>263</v>
      </c>
      <c r="G1849">
        <v>82</v>
      </c>
      <c r="H1849">
        <v>0.25</v>
      </c>
      <c r="I1849" t="s">
        <v>15</v>
      </c>
      <c r="J1849">
        <v>0</v>
      </c>
      <c r="K1849">
        <v>1</v>
      </c>
      <c r="L1849">
        <v>1</v>
      </c>
      <c r="M1849">
        <f>VLOOKUP(Table1[[#This Row],[subscription_type]],Plans!$A$1:$B$5,2,FALSE)</f>
        <v>9.99</v>
      </c>
      <c r="N1849">
        <f t="shared" si="28"/>
        <v>9.99</v>
      </c>
    </row>
    <row r="1850" spans="1:14" x14ac:dyDescent="0.35">
      <c r="A1850">
        <v>1849</v>
      </c>
      <c r="B1850" t="s">
        <v>12</v>
      </c>
      <c r="C1850">
        <v>17</v>
      </c>
      <c r="D1850" t="s">
        <v>17</v>
      </c>
      <c r="E1850" t="s">
        <v>14</v>
      </c>
      <c r="F1850">
        <v>285</v>
      </c>
      <c r="G1850">
        <v>6</v>
      </c>
      <c r="H1850">
        <v>0.19</v>
      </c>
      <c r="I1850" t="s">
        <v>19</v>
      </c>
      <c r="J1850">
        <v>18</v>
      </c>
      <c r="K1850">
        <v>0</v>
      </c>
      <c r="L1850">
        <v>0</v>
      </c>
      <c r="M1850">
        <f>VLOOKUP(Table1[[#This Row],[subscription_type]],Plans!$A$1:$B$5,2,FALSE)</f>
        <v>0</v>
      </c>
      <c r="N1850">
        <f t="shared" si="28"/>
        <v>0</v>
      </c>
    </row>
    <row r="1851" spans="1:14" x14ac:dyDescent="0.35">
      <c r="A1851">
        <v>1850</v>
      </c>
      <c r="B1851" t="s">
        <v>20</v>
      </c>
      <c r="C1851">
        <v>22</v>
      </c>
      <c r="D1851" t="s">
        <v>13</v>
      </c>
      <c r="E1851" t="s">
        <v>22</v>
      </c>
      <c r="F1851">
        <v>128</v>
      </c>
      <c r="G1851">
        <v>26</v>
      </c>
      <c r="H1851">
        <v>0.08</v>
      </c>
      <c r="I1851" t="s">
        <v>19</v>
      </c>
      <c r="J1851">
        <v>0</v>
      </c>
      <c r="K1851">
        <v>1</v>
      </c>
      <c r="L1851">
        <v>1</v>
      </c>
      <c r="M1851">
        <f>VLOOKUP(Table1[[#This Row],[subscription_type]],Plans!$A$1:$B$5,2,FALSE)</f>
        <v>9.99</v>
      </c>
      <c r="N1851">
        <f t="shared" si="28"/>
        <v>9.99</v>
      </c>
    </row>
    <row r="1852" spans="1:14" x14ac:dyDescent="0.35">
      <c r="A1852">
        <v>1851</v>
      </c>
      <c r="B1852" t="s">
        <v>12</v>
      </c>
      <c r="C1852">
        <v>20</v>
      </c>
      <c r="D1852" t="s">
        <v>13</v>
      </c>
      <c r="E1852" t="s">
        <v>14</v>
      </c>
      <c r="F1852">
        <v>80</v>
      </c>
      <c r="G1852">
        <v>74</v>
      </c>
      <c r="H1852">
        <v>0.55000000000000004</v>
      </c>
      <c r="I1852" t="s">
        <v>15</v>
      </c>
      <c r="J1852">
        <v>49</v>
      </c>
      <c r="K1852">
        <v>0</v>
      </c>
      <c r="L1852">
        <v>1</v>
      </c>
      <c r="M1852">
        <f>VLOOKUP(Table1[[#This Row],[subscription_type]],Plans!$A$1:$B$5,2,FALSE)</f>
        <v>0</v>
      </c>
      <c r="N1852">
        <f t="shared" si="28"/>
        <v>0</v>
      </c>
    </row>
    <row r="1853" spans="1:14" x14ac:dyDescent="0.35">
      <c r="A1853">
        <v>1852</v>
      </c>
      <c r="B1853" t="s">
        <v>12</v>
      </c>
      <c r="C1853">
        <v>30</v>
      </c>
      <c r="D1853" t="s">
        <v>21</v>
      </c>
      <c r="E1853" t="s">
        <v>24</v>
      </c>
      <c r="F1853">
        <v>66</v>
      </c>
      <c r="G1853">
        <v>35</v>
      </c>
      <c r="H1853">
        <v>0.11</v>
      </c>
      <c r="I1853" t="s">
        <v>23</v>
      </c>
      <c r="J1853">
        <v>0</v>
      </c>
      <c r="K1853">
        <v>1</v>
      </c>
      <c r="L1853">
        <v>0</v>
      </c>
      <c r="M1853">
        <f>VLOOKUP(Table1[[#This Row],[subscription_type]],Plans!$A$1:$B$5,2,FALSE)</f>
        <v>4.99</v>
      </c>
      <c r="N1853">
        <f t="shared" si="28"/>
        <v>0</v>
      </c>
    </row>
    <row r="1854" spans="1:14" x14ac:dyDescent="0.35">
      <c r="A1854">
        <v>1853</v>
      </c>
      <c r="B1854" t="s">
        <v>16</v>
      </c>
      <c r="C1854">
        <v>31</v>
      </c>
      <c r="D1854" t="s">
        <v>17</v>
      </c>
      <c r="E1854" t="s">
        <v>24</v>
      </c>
      <c r="F1854">
        <v>84</v>
      </c>
      <c r="G1854">
        <v>87</v>
      </c>
      <c r="H1854">
        <v>0.46</v>
      </c>
      <c r="I1854" t="s">
        <v>23</v>
      </c>
      <c r="J1854">
        <v>0</v>
      </c>
      <c r="K1854">
        <v>1</v>
      </c>
      <c r="L1854">
        <v>0</v>
      </c>
      <c r="M1854">
        <f>VLOOKUP(Table1[[#This Row],[subscription_type]],Plans!$A$1:$B$5,2,FALSE)</f>
        <v>4.99</v>
      </c>
      <c r="N1854">
        <f t="shared" si="28"/>
        <v>0</v>
      </c>
    </row>
    <row r="1855" spans="1:14" x14ac:dyDescent="0.35">
      <c r="A1855">
        <v>1854</v>
      </c>
      <c r="B1855" t="s">
        <v>20</v>
      </c>
      <c r="C1855">
        <v>17</v>
      </c>
      <c r="D1855" t="s">
        <v>25</v>
      </c>
      <c r="E1855" t="s">
        <v>18</v>
      </c>
      <c r="F1855">
        <v>136</v>
      </c>
      <c r="G1855">
        <v>98</v>
      </c>
      <c r="H1855">
        <v>0.27</v>
      </c>
      <c r="I1855" t="s">
        <v>19</v>
      </c>
      <c r="J1855">
        <v>0</v>
      </c>
      <c r="K1855">
        <v>1</v>
      </c>
      <c r="L1855">
        <v>1</v>
      </c>
      <c r="M1855">
        <f>VLOOKUP(Table1[[#This Row],[subscription_type]],Plans!$A$1:$B$5,2,FALSE)</f>
        <v>14.99</v>
      </c>
      <c r="N1855">
        <f t="shared" si="28"/>
        <v>14.99</v>
      </c>
    </row>
    <row r="1856" spans="1:14" x14ac:dyDescent="0.35">
      <c r="A1856">
        <v>1855</v>
      </c>
      <c r="B1856" t="s">
        <v>16</v>
      </c>
      <c r="C1856">
        <v>28</v>
      </c>
      <c r="D1856" t="s">
        <v>27</v>
      </c>
      <c r="E1856" t="s">
        <v>24</v>
      </c>
      <c r="F1856">
        <v>273</v>
      </c>
      <c r="G1856">
        <v>61</v>
      </c>
      <c r="H1856">
        <v>0.04</v>
      </c>
      <c r="I1856" t="s">
        <v>19</v>
      </c>
      <c r="J1856">
        <v>0</v>
      </c>
      <c r="K1856">
        <v>1</v>
      </c>
      <c r="L1856">
        <v>0</v>
      </c>
      <c r="M1856">
        <f>VLOOKUP(Table1[[#This Row],[subscription_type]],Plans!$A$1:$B$5,2,FALSE)</f>
        <v>4.99</v>
      </c>
      <c r="N1856">
        <f t="shared" si="28"/>
        <v>0</v>
      </c>
    </row>
    <row r="1857" spans="1:14" x14ac:dyDescent="0.35">
      <c r="A1857">
        <v>1856</v>
      </c>
      <c r="B1857" t="s">
        <v>16</v>
      </c>
      <c r="C1857">
        <v>24</v>
      </c>
      <c r="D1857" t="s">
        <v>29</v>
      </c>
      <c r="E1857" t="s">
        <v>14</v>
      </c>
      <c r="F1857">
        <v>297</v>
      </c>
      <c r="G1857">
        <v>12</v>
      </c>
      <c r="H1857">
        <v>0.39</v>
      </c>
      <c r="I1857" t="s">
        <v>15</v>
      </c>
      <c r="J1857">
        <v>6</v>
      </c>
      <c r="K1857">
        <v>0</v>
      </c>
      <c r="L1857">
        <v>0</v>
      </c>
      <c r="M1857">
        <f>VLOOKUP(Table1[[#This Row],[subscription_type]],Plans!$A$1:$B$5,2,FALSE)</f>
        <v>0</v>
      </c>
      <c r="N1857">
        <f t="shared" si="28"/>
        <v>0</v>
      </c>
    </row>
    <row r="1858" spans="1:14" x14ac:dyDescent="0.35">
      <c r="A1858">
        <v>1857</v>
      </c>
      <c r="B1858" t="s">
        <v>12</v>
      </c>
      <c r="C1858">
        <v>32</v>
      </c>
      <c r="D1858" t="s">
        <v>28</v>
      </c>
      <c r="E1858" t="s">
        <v>18</v>
      </c>
      <c r="F1858">
        <v>96</v>
      </c>
      <c r="G1858">
        <v>70</v>
      </c>
      <c r="H1858">
        <v>0.21</v>
      </c>
      <c r="I1858" t="s">
        <v>19</v>
      </c>
      <c r="J1858">
        <v>0</v>
      </c>
      <c r="K1858">
        <v>1</v>
      </c>
      <c r="L1858">
        <v>0</v>
      </c>
      <c r="M1858">
        <f>VLOOKUP(Table1[[#This Row],[subscription_type]],Plans!$A$1:$B$5,2,FALSE)</f>
        <v>14.99</v>
      </c>
      <c r="N1858">
        <f t="shared" ref="N1858:N1921" si="29">IF(L1858=1, M1858,0)</f>
        <v>0</v>
      </c>
    </row>
    <row r="1859" spans="1:14" x14ac:dyDescent="0.35">
      <c r="A1859">
        <v>1858</v>
      </c>
      <c r="B1859" t="s">
        <v>12</v>
      </c>
      <c r="C1859">
        <v>26</v>
      </c>
      <c r="D1859" t="s">
        <v>27</v>
      </c>
      <c r="E1859" t="s">
        <v>22</v>
      </c>
      <c r="F1859">
        <v>26</v>
      </c>
      <c r="G1859">
        <v>54</v>
      </c>
      <c r="H1859">
        <v>0.25</v>
      </c>
      <c r="I1859" t="s">
        <v>15</v>
      </c>
      <c r="J1859">
        <v>0</v>
      </c>
      <c r="K1859">
        <v>1</v>
      </c>
      <c r="L1859">
        <v>1</v>
      </c>
      <c r="M1859">
        <f>VLOOKUP(Table1[[#This Row],[subscription_type]],Plans!$A$1:$B$5,2,FALSE)</f>
        <v>9.99</v>
      </c>
      <c r="N1859">
        <f t="shared" si="29"/>
        <v>9.99</v>
      </c>
    </row>
    <row r="1860" spans="1:14" x14ac:dyDescent="0.35">
      <c r="A1860">
        <v>1859</v>
      </c>
      <c r="B1860" t="s">
        <v>12</v>
      </c>
      <c r="C1860">
        <v>42</v>
      </c>
      <c r="D1860" t="s">
        <v>21</v>
      </c>
      <c r="E1860" t="s">
        <v>22</v>
      </c>
      <c r="F1860">
        <v>29</v>
      </c>
      <c r="G1860">
        <v>78</v>
      </c>
      <c r="H1860">
        <v>0.21</v>
      </c>
      <c r="I1860" t="s">
        <v>19</v>
      </c>
      <c r="J1860">
        <v>0</v>
      </c>
      <c r="K1860">
        <v>1</v>
      </c>
      <c r="L1860">
        <v>0</v>
      </c>
      <c r="M1860">
        <f>VLOOKUP(Table1[[#This Row],[subscription_type]],Plans!$A$1:$B$5,2,FALSE)</f>
        <v>9.99</v>
      </c>
      <c r="N1860">
        <f t="shared" si="29"/>
        <v>0</v>
      </c>
    </row>
    <row r="1861" spans="1:14" x14ac:dyDescent="0.35">
      <c r="A1861">
        <v>1860</v>
      </c>
      <c r="B1861" t="s">
        <v>20</v>
      </c>
      <c r="C1861">
        <v>39</v>
      </c>
      <c r="D1861" t="s">
        <v>26</v>
      </c>
      <c r="E1861" t="s">
        <v>18</v>
      </c>
      <c r="F1861">
        <v>94</v>
      </c>
      <c r="G1861">
        <v>80</v>
      </c>
      <c r="H1861">
        <v>0.23</v>
      </c>
      <c r="I1861" t="s">
        <v>23</v>
      </c>
      <c r="J1861">
        <v>0</v>
      </c>
      <c r="K1861">
        <v>1</v>
      </c>
      <c r="L1861">
        <v>0</v>
      </c>
      <c r="M1861">
        <f>VLOOKUP(Table1[[#This Row],[subscription_type]],Plans!$A$1:$B$5,2,FALSE)</f>
        <v>14.99</v>
      </c>
      <c r="N1861">
        <f t="shared" si="29"/>
        <v>0</v>
      </c>
    </row>
    <row r="1862" spans="1:14" x14ac:dyDescent="0.35">
      <c r="A1862">
        <v>1861</v>
      </c>
      <c r="B1862" t="s">
        <v>16</v>
      </c>
      <c r="C1862">
        <v>19</v>
      </c>
      <c r="D1862" t="s">
        <v>28</v>
      </c>
      <c r="E1862" t="s">
        <v>18</v>
      </c>
      <c r="F1862">
        <v>129</v>
      </c>
      <c r="G1862">
        <v>97</v>
      </c>
      <c r="H1862">
        <v>0.28000000000000003</v>
      </c>
      <c r="I1862" t="s">
        <v>23</v>
      </c>
      <c r="J1862">
        <v>0</v>
      </c>
      <c r="K1862">
        <v>1</v>
      </c>
      <c r="L1862">
        <v>1</v>
      </c>
      <c r="M1862">
        <f>VLOOKUP(Table1[[#This Row],[subscription_type]],Plans!$A$1:$B$5,2,FALSE)</f>
        <v>14.99</v>
      </c>
      <c r="N1862">
        <f t="shared" si="29"/>
        <v>14.99</v>
      </c>
    </row>
    <row r="1863" spans="1:14" x14ac:dyDescent="0.35">
      <c r="A1863">
        <v>1862</v>
      </c>
      <c r="B1863" t="s">
        <v>16</v>
      </c>
      <c r="C1863">
        <v>22</v>
      </c>
      <c r="D1863" t="s">
        <v>25</v>
      </c>
      <c r="E1863" t="s">
        <v>22</v>
      </c>
      <c r="F1863">
        <v>251</v>
      </c>
      <c r="G1863">
        <v>30</v>
      </c>
      <c r="H1863">
        <v>0.55000000000000004</v>
      </c>
      <c r="I1863" t="s">
        <v>15</v>
      </c>
      <c r="J1863">
        <v>0</v>
      </c>
      <c r="K1863">
        <v>1</v>
      </c>
      <c r="L1863">
        <v>1</v>
      </c>
      <c r="M1863">
        <f>VLOOKUP(Table1[[#This Row],[subscription_type]],Plans!$A$1:$B$5,2,FALSE)</f>
        <v>9.99</v>
      </c>
      <c r="N1863">
        <f t="shared" si="29"/>
        <v>9.99</v>
      </c>
    </row>
    <row r="1864" spans="1:14" x14ac:dyDescent="0.35">
      <c r="A1864">
        <v>1863</v>
      </c>
      <c r="B1864" t="s">
        <v>16</v>
      </c>
      <c r="C1864">
        <v>55</v>
      </c>
      <c r="D1864" t="s">
        <v>17</v>
      </c>
      <c r="E1864" t="s">
        <v>24</v>
      </c>
      <c r="F1864">
        <v>279</v>
      </c>
      <c r="G1864">
        <v>90</v>
      </c>
      <c r="H1864">
        <v>0.47</v>
      </c>
      <c r="I1864" t="s">
        <v>15</v>
      </c>
      <c r="J1864">
        <v>0</v>
      </c>
      <c r="K1864">
        <v>1</v>
      </c>
      <c r="L1864">
        <v>0</v>
      </c>
      <c r="M1864">
        <f>VLOOKUP(Table1[[#This Row],[subscription_type]],Plans!$A$1:$B$5,2,FALSE)</f>
        <v>4.99</v>
      </c>
      <c r="N1864">
        <f t="shared" si="29"/>
        <v>0</v>
      </c>
    </row>
    <row r="1865" spans="1:14" x14ac:dyDescent="0.35">
      <c r="A1865">
        <v>1864</v>
      </c>
      <c r="B1865" t="s">
        <v>20</v>
      </c>
      <c r="C1865">
        <v>51</v>
      </c>
      <c r="D1865" t="s">
        <v>29</v>
      </c>
      <c r="E1865" t="s">
        <v>24</v>
      </c>
      <c r="F1865">
        <v>239</v>
      </c>
      <c r="G1865">
        <v>36</v>
      </c>
      <c r="H1865">
        <v>0.37</v>
      </c>
      <c r="I1865" t="s">
        <v>19</v>
      </c>
      <c r="J1865">
        <v>0</v>
      </c>
      <c r="K1865">
        <v>1</v>
      </c>
      <c r="L1865">
        <v>0</v>
      </c>
      <c r="M1865">
        <f>VLOOKUP(Table1[[#This Row],[subscription_type]],Plans!$A$1:$B$5,2,FALSE)</f>
        <v>4.99</v>
      </c>
      <c r="N1865">
        <f t="shared" si="29"/>
        <v>0</v>
      </c>
    </row>
    <row r="1866" spans="1:14" x14ac:dyDescent="0.35">
      <c r="A1866">
        <v>1865</v>
      </c>
      <c r="B1866" t="s">
        <v>16</v>
      </c>
      <c r="C1866">
        <v>42</v>
      </c>
      <c r="D1866" t="s">
        <v>26</v>
      </c>
      <c r="E1866" t="s">
        <v>18</v>
      </c>
      <c r="F1866">
        <v>199</v>
      </c>
      <c r="G1866">
        <v>22</v>
      </c>
      <c r="H1866">
        <v>0.4</v>
      </c>
      <c r="I1866" t="s">
        <v>23</v>
      </c>
      <c r="J1866">
        <v>0</v>
      </c>
      <c r="K1866">
        <v>1</v>
      </c>
      <c r="L1866">
        <v>1</v>
      </c>
      <c r="M1866">
        <f>VLOOKUP(Table1[[#This Row],[subscription_type]],Plans!$A$1:$B$5,2,FALSE)</f>
        <v>14.99</v>
      </c>
      <c r="N1866">
        <f t="shared" si="29"/>
        <v>14.99</v>
      </c>
    </row>
    <row r="1867" spans="1:14" x14ac:dyDescent="0.35">
      <c r="A1867">
        <v>1866</v>
      </c>
      <c r="B1867" t="s">
        <v>16</v>
      </c>
      <c r="C1867">
        <v>35</v>
      </c>
      <c r="D1867" t="s">
        <v>27</v>
      </c>
      <c r="E1867" t="s">
        <v>22</v>
      </c>
      <c r="F1867">
        <v>45</v>
      </c>
      <c r="G1867">
        <v>33</v>
      </c>
      <c r="H1867">
        <v>0.53</v>
      </c>
      <c r="I1867" t="s">
        <v>23</v>
      </c>
      <c r="J1867">
        <v>0</v>
      </c>
      <c r="K1867">
        <v>1</v>
      </c>
      <c r="L1867">
        <v>0</v>
      </c>
      <c r="M1867">
        <f>VLOOKUP(Table1[[#This Row],[subscription_type]],Plans!$A$1:$B$5,2,FALSE)</f>
        <v>9.99</v>
      </c>
      <c r="N1867">
        <f t="shared" si="29"/>
        <v>0</v>
      </c>
    </row>
    <row r="1868" spans="1:14" x14ac:dyDescent="0.35">
      <c r="A1868">
        <v>1867</v>
      </c>
      <c r="B1868" t="s">
        <v>16</v>
      </c>
      <c r="C1868">
        <v>34</v>
      </c>
      <c r="D1868" t="s">
        <v>13</v>
      </c>
      <c r="E1868" t="s">
        <v>14</v>
      </c>
      <c r="F1868">
        <v>84</v>
      </c>
      <c r="G1868">
        <v>43</v>
      </c>
      <c r="H1868">
        <v>0.31</v>
      </c>
      <c r="I1868" t="s">
        <v>23</v>
      </c>
      <c r="J1868">
        <v>39</v>
      </c>
      <c r="K1868">
        <v>0</v>
      </c>
      <c r="L1868">
        <v>0</v>
      </c>
      <c r="M1868">
        <f>VLOOKUP(Table1[[#This Row],[subscription_type]],Plans!$A$1:$B$5,2,FALSE)</f>
        <v>0</v>
      </c>
      <c r="N1868">
        <f t="shared" si="29"/>
        <v>0</v>
      </c>
    </row>
    <row r="1869" spans="1:14" x14ac:dyDescent="0.35">
      <c r="A1869">
        <v>1868</v>
      </c>
      <c r="B1869" t="s">
        <v>12</v>
      </c>
      <c r="C1869">
        <v>45</v>
      </c>
      <c r="D1869" t="s">
        <v>21</v>
      </c>
      <c r="E1869" t="s">
        <v>22</v>
      </c>
      <c r="F1869">
        <v>58</v>
      </c>
      <c r="G1869">
        <v>36</v>
      </c>
      <c r="H1869">
        <v>0.55000000000000004</v>
      </c>
      <c r="I1869" t="s">
        <v>15</v>
      </c>
      <c r="J1869">
        <v>0</v>
      </c>
      <c r="K1869">
        <v>1</v>
      </c>
      <c r="L1869">
        <v>1</v>
      </c>
      <c r="M1869">
        <f>VLOOKUP(Table1[[#This Row],[subscription_type]],Plans!$A$1:$B$5,2,FALSE)</f>
        <v>9.99</v>
      </c>
      <c r="N1869">
        <f t="shared" si="29"/>
        <v>9.99</v>
      </c>
    </row>
    <row r="1870" spans="1:14" x14ac:dyDescent="0.35">
      <c r="A1870">
        <v>1869</v>
      </c>
      <c r="B1870" t="s">
        <v>20</v>
      </c>
      <c r="C1870">
        <v>27</v>
      </c>
      <c r="D1870" t="s">
        <v>21</v>
      </c>
      <c r="E1870" t="s">
        <v>22</v>
      </c>
      <c r="F1870">
        <v>279</v>
      </c>
      <c r="G1870">
        <v>29</v>
      </c>
      <c r="H1870">
        <v>0.46</v>
      </c>
      <c r="I1870" t="s">
        <v>19</v>
      </c>
      <c r="J1870">
        <v>0</v>
      </c>
      <c r="K1870">
        <v>1</v>
      </c>
      <c r="L1870">
        <v>1</v>
      </c>
      <c r="M1870">
        <f>VLOOKUP(Table1[[#This Row],[subscription_type]],Plans!$A$1:$B$5,2,FALSE)</f>
        <v>9.99</v>
      </c>
      <c r="N1870">
        <f t="shared" si="29"/>
        <v>9.99</v>
      </c>
    </row>
    <row r="1871" spans="1:14" x14ac:dyDescent="0.35">
      <c r="A1871">
        <v>1870</v>
      </c>
      <c r="B1871" t="s">
        <v>16</v>
      </c>
      <c r="C1871">
        <v>36</v>
      </c>
      <c r="D1871" t="s">
        <v>13</v>
      </c>
      <c r="E1871" t="s">
        <v>14</v>
      </c>
      <c r="F1871">
        <v>287</v>
      </c>
      <c r="G1871">
        <v>44</v>
      </c>
      <c r="H1871">
        <v>7.0000000000000007E-2</v>
      </c>
      <c r="I1871" t="s">
        <v>23</v>
      </c>
      <c r="J1871">
        <v>32</v>
      </c>
      <c r="K1871">
        <v>0</v>
      </c>
      <c r="L1871">
        <v>0</v>
      </c>
      <c r="M1871">
        <f>VLOOKUP(Table1[[#This Row],[subscription_type]],Plans!$A$1:$B$5,2,FALSE)</f>
        <v>0</v>
      </c>
      <c r="N1871">
        <f t="shared" si="29"/>
        <v>0</v>
      </c>
    </row>
    <row r="1872" spans="1:14" x14ac:dyDescent="0.35">
      <c r="A1872">
        <v>1871</v>
      </c>
      <c r="B1872" t="s">
        <v>20</v>
      </c>
      <c r="C1872">
        <v>37</v>
      </c>
      <c r="D1872" t="s">
        <v>27</v>
      </c>
      <c r="E1872" t="s">
        <v>22</v>
      </c>
      <c r="F1872">
        <v>187</v>
      </c>
      <c r="G1872">
        <v>74</v>
      </c>
      <c r="H1872">
        <v>0.05</v>
      </c>
      <c r="I1872" t="s">
        <v>23</v>
      </c>
      <c r="J1872">
        <v>0</v>
      </c>
      <c r="K1872">
        <v>1</v>
      </c>
      <c r="L1872">
        <v>0</v>
      </c>
      <c r="M1872">
        <f>VLOOKUP(Table1[[#This Row],[subscription_type]],Plans!$A$1:$B$5,2,FALSE)</f>
        <v>9.99</v>
      </c>
      <c r="N1872">
        <f t="shared" si="29"/>
        <v>0</v>
      </c>
    </row>
    <row r="1873" spans="1:14" x14ac:dyDescent="0.35">
      <c r="A1873">
        <v>1872</v>
      </c>
      <c r="B1873" t="s">
        <v>16</v>
      </c>
      <c r="C1873">
        <v>21</v>
      </c>
      <c r="D1873" t="s">
        <v>28</v>
      </c>
      <c r="E1873" t="s">
        <v>14</v>
      </c>
      <c r="F1873">
        <v>116</v>
      </c>
      <c r="G1873">
        <v>84</v>
      </c>
      <c r="H1873">
        <v>0.59</v>
      </c>
      <c r="I1873" t="s">
        <v>15</v>
      </c>
      <c r="J1873">
        <v>18</v>
      </c>
      <c r="K1873">
        <v>0</v>
      </c>
      <c r="L1873">
        <v>1</v>
      </c>
      <c r="M1873">
        <f>VLOOKUP(Table1[[#This Row],[subscription_type]],Plans!$A$1:$B$5,2,FALSE)</f>
        <v>0</v>
      </c>
      <c r="N1873">
        <f t="shared" si="29"/>
        <v>0</v>
      </c>
    </row>
    <row r="1874" spans="1:14" x14ac:dyDescent="0.35">
      <c r="A1874">
        <v>1873</v>
      </c>
      <c r="B1874" t="s">
        <v>12</v>
      </c>
      <c r="C1874">
        <v>57</v>
      </c>
      <c r="D1874" t="s">
        <v>27</v>
      </c>
      <c r="E1874" t="s">
        <v>22</v>
      </c>
      <c r="F1874">
        <v>30</v>
      </c>
      <c r="G1874">
        <v>43</v>
      </c>
      <c r="H1874">
        <v>0.32</v>
      </c>
      <c r="I1874" t="s">
        <v>23</v>
      </c>
      <c r="J1874">
        <v>0</v>
      </c>
      <c r="K1874">
        <v>1</v>
      </c>
      <c r="L1874">
        <v>0</v>
      </c>
      <c r="M1874">
        <f>VLOOKUP(Table1[[#This Row],[subscription_type]],Plans!$A$1:$B$5,2,FALSE)</f>
        <v>9.99</v>
      </c>
      <c r="N1874">
        <f t="shared" si="29"/>
        <v>0</v>
      </c>
    </row>
    <row r="1875" spans="1:14" x14ac:dyDescent="0.35">
      <c r="A1875">
        <v>1874</v>
      </c>
      <c r="B1875" t="s">
        <v>12</v>
      </c>
      <c r="C1875">
        <v>56</v>
      </c>
      <c r="D1875" t="s">
        <v>29</v>
      </c>
      <c r="E1875" t="s">
        <v>24</v>
      </c>
      <c r="F1875">
        <v>241</v>
      </c>
      <c r="G1875">
        <v>39</v>
      </c>
      <c r="H1875">
        <v>0.42</v>
      </c>
      <c r="I1875" t="s">
        <v>15</v>
      </c>
      <c r="J1875">
        <v>0</v>
      </c>
      <c r="K1875">
        <v>1</v>
      </c>
      <c r="L1875">
        <v>1</v>
      </c>
      <c r="M1875">
        <f>VLOOKUP(Table1[[#This Row],[subscription_type]],Plans!$A$1:$B$5,2,FALSE)</f>
        <v>4.99</v>
      </c>
      <c r="N1875">
        <f t="shared" si="29"/>
        <v>4.99</v>
      </c>
    </row>
    <row r="1876" spans="1:14" x14ac:dyDescent="0.35">
      <c r="A1876">
        <v>1875</v>
      </c>
      <c r="B1876" t="s">
        <v>16</v>
      </c>
      <c r="C1876">
        <v>58</v>
      </c>
      <c r="D1876" t="s">
        <v>26</v>
      </c>
      <c r="E1876" t="s">
        <v>22</v>
      </c>
      <c r="F1876">
        <v>282</v>
      </c>
      <c r="G1876">
        <v>35</v>
      </c>
      <c r="H1876">
        <v>0.45</v>
      </c>
      <c r="I1876" t="s">
        <v>15</v>
      </c>
      <c r="J1876">
        <v>0</v>
      </c>
      <c r="K1876">
        <v>1</v>
      </c>
      <c r="L1876">
        <v>0</v>
      </c>
      <c r="M1876">
        <f>VLOOKUP(Table1[[#This Row],[subscription_type]],Plans!$A$1:$B$5,2,FALSE)</f>
        <v>9.99</v>
      </c>
      <c r="N1876">
        <f t="shared" si="29"/>
        <v>0</v>
      </c>
    </row>
    <row r="1877" spans="1:14" x14ac:dyDescent="0.35">
      <c r="A1877">
        <v>1876</v>
      </c>
      <c r="B1877" t="s">
        <v>20</v>
      </c>
      <c r="C1877">
        <v>33</v>
      </c>
      <c r="D1877" t="s">
        <v>29</v>
      </c>
      <c r="E1877" t="s">
        <v>18</v>
      </c>
      <c r="F1877">
        <v>33</v>
      </c>
      <c r="G1877">
        <v>65</v>
      </c>
      <c r="H1877">
        <v>0.28000000000000003</v>
      </c>
      <c r="I1877" t="s">
        <v>19</v>
      </c>
      <c r="J1877">
        <v>0</v>
      </c>
      <c r="K1877">
        <v>1</v>
      </c>
      <c r="L1877">
        <v>0</v>
      </c>
      <c r="M1877">
        <f>VLOOKUP(Table1[[#This Row],[subscription_type]],Plans!$A$1:$B$5,2,FALSE)</f>
        <v>14.99</v>
      </c>
      <c r="N1877">
        <f t="shared" si="29"/>
        <v>0</v>
      </c>
    </row>
    <row r="1878" spans="1:14" x14ac:dyDescent="0.35">
      <c r="A1878">
        <v>1877</v>
      </c>
      <c r="B1878" t="s">
        <v>20</v>
      </c>
      <c r="C1878">
        <v>57</v>
      </c>
      <c r="D1878" t="s">
        <v>28</v>
      </c>
      <c r="E1878" t="s">
        <v>18</v>
      </c>
      <c r="F1878">
        <v>82</v>
      </c>
      <c r="G1878">
        <v>96</v>
      </c>
      <c r="H1878">
        <v>0.43</v>
      </c>
      <c r="I1878" t="s">
        <v>19</v>
      </c>
      <c r="J1878">
        <v>0</v>
      </c>
      <c r="K1878">
        <v>1</v>
      </c>
      <c r="L1878">
        <v>1</v>
      </c>
      <c r="M1878">
        <f>VLOOKUP(Table1[[#This Row],[subscription_type]],Plans!$A$1:$B$5,2,FALSE)</f>
        <v>14.99</v>
      </c>
      <c r="N1878">
        <f t="shared" si="29"/>
        <v>14.99</v>
      </c>
    </row>
    <row r="1879" spans="1:14" x14ac:dyDescent="0.35">
      <c r="A1879">
        <v>1878</v>
      </c>
      <c r="B1879" t="s">
        <v>20</v>
      </c>
      <c r="C1879">
        <v>37</v>
      </c>
      <c r="D1879" t="s">
        <v>25</v>
      </c>
      <c r="E1879" t="s">
        <v>14</v>
      </c>
      <c r="F1879">
        <v>21</v>
      </c>
      <c r="G1879">
        <v>40</v>
      </c>
      <c r="H1879">
        <v>0.35</v>
      </c>
      <c r="I1879" t="s">
        <v>19</v>
      </c>
      <c r="J1879">
        <v>36</v>
      </c>
      <c r="K1879">
        <v>0</v>
      </c>
      <c r="L1879">
        <v>0</v>
      </c>
      <c r="M1879">
        <f>VLOOKUP(Table1[[#This Row],[subscription_type]],Plans!$A$1:$B$5,2,FALSE)</f>
        <v>0</v>
      </c>
      <c r="N1879">
        <f t="shared" si="29"/>
        <v>0</v>
      </c>
    </row>
    <row r="1880" spans="1:14" x14ac:dyDescent="0.35">
      <c r="A1880">
        <v>1879</v>
      </c>
      <c r="B1880" t="s">
        <v>16</v>
      </c>
      <c r="C1880">
        <v>51</v>
      </c>
      <c r="D1880" t="s">
        <v>17</v>
      </c>
      <c r="E1880" t="s">
        <v>24</v>
      </c>
      <c r="F1880">
        <v>186</v>
      </c>
      <c r="G1880">
        <v>6</v>
      </c>
      <c r="H1880">
        <v>0.44</v>
      </c>
      <c r="I1880" t="s">
        <v>19</v>
      </c>
      <c r="J1880">
        <v>0</v>
      </c>
      <c r="K1880">
        <v>1</v>
      </c>
      <c r="L1880">
        <v>1</v>
      </c>
      <c r="M1880">
        <f>VLOOKUP(Table1[[#This Row],[subscription_type]],Plans!$A$1:$B$5,2,FALSE)</f>
        <v>4.99</v>
      </c>
      <c r="N1880">
        <f t="shared" si="29"/>
        <v>4.99</v>
      </c>
    </row>
    <row r="1881" spans="1:14" x14ac:dyDescent="0.35">
      <c r="A1881">
        <v>1880</v>
      </c>
      <c r="B1881" t="s">
        <v>12</v>
      </c>
      <c r="C1881">
        <v>23</v>
      </c>
      <c r="D1881" t="s">
        <v>26</v>
      </c>
      <c r="E1881" t="s">
        <v>14</v>
      </c>
      <c r="F1881">
        <v>19</v>
      </c>
      <c r="G1881">
        <v>46</v>
      </c>
      <c r="H1881">
        <v>0.34</v>
      </c>
      <c r="I1881" t="s">
        <v>19</v>
      </c>
      <c r="J1881">
        <v>13</v>
      </c>
      <c r="K1881">
        <v>0</v>
      </c>
      <c r="L1881">
        <v>0</v>
      </c>
      <c r="M1881">
        <f>VLOOKUP(Table1[[#This Row],[subscription_type]],Plans!$A$1:$B$5,2,FALSE)</f>
        <v>0</v>
      </c>
      <c r="N1881">
        <f t="shared" si="29"/>
        <v>0</v>
      </c>
    </row>
    <row r="1882" spans="1:14" x14ac:dyDescent="0.35">
      <c r="A1882">
        <v>1881</v>
      </c>
      <c r="B1882" t="s">
        <v>20</v>
      </c>
      <c r="C1882">
        <v>56</v>
      </c>
      <c r="D1882" t="s">
        <v>25</v>
      </c>
      <c r="E1882" t="s">
        <v>24</v>
      </c>
      <c r="F1882">
        <v>85</v>
      </c>
      <c r="G1882">
        <v>80</v>
      </c>
      <c r="H1882">
        <v>0.14000000000000001</v>
      </c>
      <c r="I1882" t="s">
        <v>15</v>
      </c>
      <c r="J1882">
        <v>0</v>
      </c>
      <c r="K1882">
        <v>1</v>
      </c>
      <c r="L1882">
        <v>0</v>
      </c>
      <c r="M1882">
        <f>VLOOKUP(Table1[[#This Row],[subscription_type]],Plans!$A$1:$B$5,2,FALSE)</f>
        <v>4.99</v>
      </c>
      <c r="N1882">
        <f t="shared" si="29"/>
        <v>0</v>
      </c>
    </row>
    <row r="1883" spans="1:14" x14ac:dyDescent="0.35">
      <c r="A1883">
        <v>1882</v>
      </c>
      <c r="B1883" t="s">
        <v>16</v>
      </c>
      <c r="C1883">
        <v>54</v>
      </c>
      <c r="D1883" t="s">
        <v>17</v>
      </c>
      <c r="E1883" t="s">
        <v>24</v>
      </c>
      <c r="F1883">
        <v>278</v>
      </c>
      <c r="G1883">
        <v>57</v>
      </c>
      <c r="H1883">
        <v>0.21</v>
      </c>
      <c r="I1883" t="s">
        <v>15</v>
      </c>
      <c r="J1883">
        <v>0</v>
      </c>
      <c r="K1883">
        <v>1</v>
      </c>
      <c r="L1883">
        <v>0</v>
      </c>
      <c r="M1883">
        <f>VLOOKUP(Table1[[#This Row],[subscription_type]],Plans!$A$1:$B$5,2,FALSE)</f>
        <v>4.99</v>
      </c>
      <c r="N1883">
        <f t="shared" si="29"/>
        <v>0</v>
      </c>
    </row>
    <row r="1884" spans="1:14" x14ac:dyDescent="0.35">
      <c r="A1884">
        <v>1883</v>
      </c>
      <c r="B1884" t="s">
        <v>20</v>
      </c>
      <c r="C1884">
        <v>43</v>
      </c>
      <c r="D1884" t="s">
        <v>28</v>
      </c>
      <c r="E1884" t="s">
        <v>22</v>
      </c>
      <c r="F1884">
        <v>88</v>
      </c>
      <c r="G1884">
        <v>35</v>
      </c>
      <c r="H1884">
        <v>0.36</v>
      </c>
      <c r="I1884" t="s">
        <v>15</v>
      </c>
      <c r="J1884">
        <v>0</v>
      </c>
      <c r="K1884">
        <v>1</v>
      </c>
      <c r="L1884">
        <v>1</v>
      </c>
      <c r="M1884">
        <f>VLOOKUP(Table1[[#This Row],[subscription_type]],Plans!$A$1:$B$5,2,FALSE)</f>
        <v>9.99</v>
      </c>
      <c r="N1884">
        <f t="shared" si="29"/>
        <v>9.99</v>
      </c>
    </row>
    <row r="1885" spans="1:14" x14ac:dyDescent="0.35">
      <c r="A1885">
        <v>1884</v>
      </c>
      <c r="B1885" t="s">
        <v>16</v>
      </c>
      <c r="C1885">
        <v>22</v>
      </c>
      <c r="D1885" t="s">
        <v>27</v>
      </c>
      <c r="E1885" t="s">
        <v>22</v>
      </c>
      <c r="F1885">
        <v>245</v>
      </c>
      <c r="G1885">
        <v>42</v>
      </c>
      <c r="H1885">
        <v>0.28000000000000003</v>
      </c>
      <c r="I1885" t="s">
        <v>15</v>
      </c>
      <c r="J1885">
        <v>0</v>
      </c>
      <c r="K1885">
        <v>1</v>
      </c>
      <c r="L1885">
        <v>0</v>
      </c>
      <c r="M1885">
        <f>VLOOKUP(Table1[[#This Row],[subscription_type]],Plans!$A$1:$B$5,2,FALSE)</f>
        <v>9.99</v>
      </c>
      <c r="N1885">
        <f t="shared" si="29"/>
        <v>0</v>
      </c>
    </row>
    <row r="1886" spans="1:14" x14ac:dyDescent="0.35">
      <c r="A1886">
        <v>1885</v>
      </c>
      <c r="B1886" t="s">
        <v>20</v>
      </c>
      <c r="C1886">
        <v>47</v>
      </c>
      <c r="D1886" t="s">
        <v>13</v>
      </c>
      <c r="E1886" t="s">
        <v>24</v>
      </c>
      <c r="F1886">
        <v>139</v>
      </c>
      <c r="G1886">
        <v>33</v>
      </c>
      <c r="H1886">
        <v>0.19</v>
      </c>
      <c r="I1886" t="s">
        <v>15</v>
      </c>
      <c r="J1886">
        <v>0</v>
      </c>
      <c r="K1886">
        <v>1</v>
      </c>
      <c r="L1886">
        <v>0</v>
      </c>
      <c r="M1886">
        <f>VLOOKUP(Table1[[#This Row],[subscription_type]],Plans!$A$1:$B$5,2,FALSE)</f>
        <v>4.99</v>
      </c>
      <c r="N1886">
        <f t="shared" si="29"/>
        <v>0</v>
      </c>
    </row>
    <row r="1887" spans="1:14" x14ac:dyDescent="0.35">
      <c r="A1887">
        <v>1886</v>
      </c>
      <c r="B1887" t="s">
        <v>16</v>
      </c>
      <c r="C1887">
        <v>45</v>
      </c>
      <c r="D1887" t="s">
        <v>28</v>
      </c>
      <c r="E1887" t="s">
        <v>24</v>
      </c>
      <c r="F1887">
        <v>151</v>
      </c>
      <c r="G1887">
        <v>39</v>
      </c>
      <c r="H1887">
        <v>0.25</v>
      </c>
      <c r="I1887" t="s">
        <v>19</v>
      </c>
      <c r="J1887">
        <v>0</v>
      </c>
      <c r="K1887">
        <v>1</v>
      </c>
      <c r="L1887">
        <v>0</v>
      </c>
      <c r="M1887">
        <f>VLOOKUP(Table1[[#This Row],[subscription_type]],Plans!$A$1:$B$5,2,FALSE)</f>
        <v>4.99</v>
      </c>
      <c r="N1887">
        <f t="shared" si="29"/>
        <v>0</v>
      </c>
    </row>
    <row r="1888" spans="1:14" x14ac:dyDescent="0.35">
      <c r="A1888">
        <v>1887</v>
      </c>
      <c r="B1888" t="s">
        <v>20</v>
      </c>
      <c r="C1888">
        <v>18</v>
      </c>
      <c r="D1888" t="s">
        <v>25</v>
      </c>
      <c r="E1888" t="s">
        <v>14</v>
      </c>
      <c r="F1888">
        <v>165</v>
      </c>
      <c r="G1888">
        <v>21</v>
      </c>
      <c r="H1888">
        <v>0.05</v>
      </c>
      <c r="I1888" t="s">
        <v>19</v>
      </c>
      <c r="J1888">
        <v>43</v>
      </c>
      <c r="K1888">
        <v>0</v>
      </c>
      <c r="L1888">
        <v>0</v>
      </c>
      <c r="M1888">
        <f>VLOOKUP(Table1[[#This Row],[subscription_type]],Plans!$A$1:$B$5,2,FALSE)</f>
        <v>0</v>
      </c>
      <c r="N1888">
        <f t="shared" si="29"/>
        <v>0</v>
      </c>
    </row>
    <row r="1889" spans="1:14" x14ac:dyDescent="0.35">
      <c r="A1889">
        <v>1888</v>
      </c>
      <c r="B1889" t="s">
        <v>16</v>
      </c>
      <c r="C1889">
        <v>56</v>
      </c>
      <c r="D1889" t="s">
        <v>17</v>
      </c>
      <c r="E1889" t="s">
        <v>18</v>
      </c>
      <c r="F1889">
        <v>146</v>
      </c>
      <c r="G1889">
        <v>64</v>
      </c>
      <c r="H1889">
        <v>0.16</v>
      </c>
      <c r="I1889" t="s">
        <v>23</v>
      </c>
      <c r="J1889">
        <v>0</v>
      </c>
      <c r="K1889">
        <v>1</v>
      </c>
      <c r="L1889">
        <v>0</v>
      </c>
      <c r="M1889">
        <f>VLOOKUP(Table1[[#This Row],[subscription_type]],Plans!$A$1:$B$5,2,FALSE)</f>
        <v>14.99</v>
      </c>
      <c r="N1889">
        <f t="shared" si="29"/>
        <v>0</v>
      </c>
    </row>
    <row r="1890" spans="1:14" x14ac:dyDescent="0.35">
      <c r="A1890">
        <v>1889</v>
      </c>
      <c r="B1890" t="s">
        <v>16</v>
      </c>
      <c r="C1890">
        <v>55</v>
      </c>
      <c r="D1890" t="s">
        <v>17</v>
      </c>
      <c r="E1890" t="s">
        <v>14</v>
      </c>
      <c r="F1890">
        <v>252</v>
      </c>
      <c r="G1890">
        <v>52</v>
      </c>
      <c r="H1890">
        <v>0.25</v>
      </c>
      <c r="I1890" t="s">
        <v>15</v>
      </c>
      <c r="J1890">
        <v>49</v>
      </c>
      <c r="K1890">
        <v>0</v>
      </c>
      <c r="L1890">
        <v>1</v>
      </c>
      <c r="M1890">
        <f>VLOOKUP(Table1[[#This Row],[subscription_type]],Plans!$A$1:$B$5,2,FALSE)</f>
        <v>0</v>
      </c>
      <c r="N1890">
        <f t="shared" si="29"/>
        <v>0</v>
      </c>
    </row>
    <row r="1891" spans="1:14" x14ac:dyDescent="0.35">
      <c r="A1891">
        <v>1890</v>
      </c>
      <c r="B1891" t="s">
        <v>20</v>
      </c>
      <c r="C1891">
        <v>48</v>
      </c>
      <c r="D1891" t="s">
        <v>21</v>
      </c>
      <c r="E1891" t="s">
        <v>18</v>
      </c>
      <c r="F1891">
        <v>206</v>
      </c>
      <c r="G1891">
        <v>7</v>
      </c>
      <c r="H1891">
        <v>0.27</v>
      </c>
      <c r="I1891" t="s">
        <v>19</v>
      </c>
      <c r="J1891">
        <v>0</v>
      </c>
      <c r="K1891">
        <v>1</v>
      </c>
      <c r="L1891">
        <v>0</v>
      </c>
      <c r="M1891">
        <f>VLOOKUP(Table1[[#This Row],[subscription_type]],Plans!$A$1:$B$5,2,FALSE)</f>
        <v>14.99</v>
      </c>
      <c r="N1891">
        <f t="shared" si="29"/>
        <v>0</v>
      </c>
    </row>
    <row r="1892" spans="1:14" x14ac:dyDescent="0.35">
      <c r="A1892">
        <v>1891</v>
      </c>
      <c r="B1892" t="s">
        <v>20</v>
      </c>
      <c r="C1892">
        <v>22</v>
      </c>
      <c r="D1892" t="s">
        <v>25</v>
      </c>
      <c r="E1892" t="s">
        <v>14</v>
      </c>
      <c r="F1892">
        <v>200</v>
      </c>
      <c r="G1892">
        <v>64</v>
      </c>
      <c r="H1892">
        <v>0.32</v>
      </c>
      <c r="I1892" t="s">
        <v>19</v>
      </c>
      <c r="J1892">
        <v>42</v>
      </c>
      <c r="K1892">
        <v>0</v>
      </c>
      <c r="L1892">
        <v>0</v>
      </c>
      <c r="M1892">
        <f>VLOOKUP(Table1[[#This Row],[subscription_type]],Plans!$A$1:$B$5,2,FALSE)</f>
        <v>0</v>
      </c>
      <c r="N1892">
        <f t="shared" si="29"/>
        <v>0</v>
      </c>
    </row>
    <row r="1893" spans="1:14" x14ac:dyDescent="0.35">
      <c r="A1893">
        <v>1892</v>
      </c>
      <c r="B1893" t="s">
        <v>20</v>
      </c>
      <c r="C1893">
        <v>28</v>
      </c>
      <c r="D1893" t="s">
        <v>21</v>
      </c>
      <c r="E1893" t="s">
        <v>24</v>
      </c>
      <c r="F1893">
        <v>71</v>
      </c>
      <c r="G1893">
        <v>18</v>
      </c>
      <c r="H1893">
        <v>0.42</v>
      </c>
      <c r="I1893" t="s">
        <v>15</v>
      </c>
      <c r="J1893">
        <v>0</v>
      </c>
      <c r="K1893">
        <v>1</v>
      </c>
      <c r="L1893">
        <v>0</v>
      </c>
      <c r="M1893">
        <f>VLOOKUP(Table1[[#This Row],[subscription_type]],Plans!$A$1:$B$5,2,FALSE)</f>
        <v>4.99</v>
      </c>
      <c r="N1893">
        <f t="shared" si="29"/>
        <v>0</v>
      </c>
    </row>
    <row r="1894" spans="1:14" x14ac:dyDescent="0.35">
      <c r="A1894">
        <v>1893</v>
      </c>
      <c r="B1894" t="s">
        <v>16</v>
      </c>
      <c r="C1894">
        <v>45</v>
      </c>
      <c r="D1894" t="s">
        <v>21</v>
      </c>
      <c r="E1894" t="s">
        <v>18</v>
      </c>
      <c r="F1894">
        <v>171</v>
      </c>
      <c r="G1894">
        <v>44</v>
      </c>
      <c r="H1894">
        <v>0.43</v>
      </c>
      <c r="I1894" t="s">
        <v>19</v>
      </c>
      <c r="J1894">
        <v>0</v>
      </c>
      <c r="K1894">
        <v>1</v>
      </c>
      <c r="L1894">
        <v>0</v>
      </c>
      <c r="M1894">
        <f>VLOOKUP(Table1[[#This Row],[subscription_type]],Plans!$A$1:$B$5,2,FALSE)</f>
        <v>14.99</v>
      </c>
      <c r="N1894">
        <f t="shared" si="29"/>
        <v>0</v>
      </c>
    </row>
    <row r="1895" spans="1:14" x14ac:dyDescent="0.35">
      <c r="A1895">
        <v>1894</v>
      </c>
      <c r="B1895" t="s">
        <v>16</v>
      </c>
      <c r="C1895">
        <v>58</v>
      </c>
      <c r="D1895" t="s">
        <v>27</v>
      </c>
      <c r="E1895" t="s">
        <v>22</v>
      </c>
      <c r="F1895">
        <v>26</v>
      </c>
      <c r="G1895">
        <v>55</v>
      </c>
      <c r="H1895">
        <v>0.59</v>
      </c>
      <c r="I1895" t="s">
        <v>19</v>
      </c>
      <c r="J1895">
        <v>0</v>
      </c>
      <c r="K1895">
        <v>1</v>
      </c>
      <c r="L1895">
        <v>0</v>
      </c>
      <c r="M1895">
        <f>VLOOKUP(Table1[[#This Row],[subscription_type]],Plans!$A$1:$B$5,2,FALSE)</f>
        <v>9.99</v>
      </c>
      <c r="N1895">
        <f t="shared" si="29"/>
        <v>0</v>
      </c>
    </row>
    <row r="1896" spans="1:14" x14ac:dyDescent="0.35">
      <c r="A1896">
        <v>1895</v>
      </c>
      <c r="B1896" t="s">
        <v>16</v>
      </c>
      <c r="C1896">
        <v>31</v>
      </c>
      <c r="D1896" t="s">
        <v>17</v>
      </c>
      <c r="E1896" t="s">
        <v>22</v>
      </c>
      <c r="F1896">
        <v>236</v>
      </c>
      <c r="G1896">
        <v>19</v>
      </c>
      <c r="H1896">
        <v>0.24</v>
      </c>
      <c r="I1896" t="s">
        <v>23</v>
      </c>
      <c r="J1896">
        <v>0</v>
      </c>
      <c r="K1896">
        <v>1</v>
      </c>
      <c r="L1896">
        <v>1</v>
      </c>
      <c r="M1896">
        <f>VLOOKUP(Table1[[#This Row],[subscription_type]],Plans!$A$1:$B$5,2,FALSE)</f>
        <v>9.99</v>
      </c>
      <c r="N1896">
        <f t="shared" si="29"/>
        <v>9.99</v>
      </c>
    </row>
    <row r="1897" spans="1:14" x14ac:dyDescent="0.35">
      <c r="A1897">
        <v>1896</v>
      </c>
      <c r="B1897" t="s">
        <v>16</v>
      </c>
      <c r="C1897">
        <v>42</v>
      </c>
      <c r="D1897" t="s">
        <v>29</v>
      </c>
      <c r="E1897" t="s">
        <v>14</v>
      </c>
      <c r="F1897">
        <v>136</v>
      </c>
      <c r="G1897">
        <v>25</v>
      </c>
      <c r="H1897">
        <v>0.05</v>
      </c>
      <c r="I1897" t="s">
        <v>23</v>
      </c>
      <c r="J1897">
        <v>9</v>
      </c>
      <c r="K1897">
        <v>0</v>
      </c>
      <c r="L1897">
        <v>0</v>
      </c>
      <c r="M1897">
        <f>VLOOKUP(Table1[[#This Row],[subscription_type]],Plans!$A$1:$B$5,2,FALSE)</f>
        <v>0</v>
      </c>
      <c r="N1897">
        <f t="shared" si="29"/>
        <v>0</v>
      </c>
    </row>
    <row r="1898" spans="1:14" x14ac:dyDescent="0.35">
      <c r="A1898">
        <v>1897</v>
      </c>
      <c r="B1898" t="s">
        <v>16</v>
      </c>
      <c r="C1898">
        <v>58</v>
      </c>
      <c r="D1898" t="s">
        <v>21</v>
      </c>
      <c r="E1898" t="s">
        <v>14</v>
      </c>
      <c r="F1898">
        <v>164</v>
      </c>
      <c r="G1898">
        <v>54</v>
      </c>
      <c r="H1898">
        <v>0.57999999999999996</v>
      </c>
      <c r="I1898" t="s">
        <v>19</v>
      </c>
      <c r="J1898">
        <v>24</v>
      </c>
      <c r="K1898">
        <v>0</v>
      </c>
      <c r="L1898">
        <v>0</v>
      </c>
      <c r="M1898">
        <f>VLOOKUP(Table1[[#This Row],[subscription_type]],Plans!$A$1:$B$5,2,FALSE)</f>
        <v>0</v>
      </c>
      <c r="N1898">
        <f t="shared" si="29"/>
        <v>0</v>
      </c>
    </row>
    <row r="1899" spans="1:14" x14ac:dyDescent="0.35">
      <c r="A1899">
        <v>1898</v>
      </c>
      <c r="B1899" t="s">
        <v>20</v>
      </c>
      <c r="C1899">
        <v>48</v>
      </c>
      <c r="D1899" t="s">
        <v>13</v>
      </c>
      <c r="E1899" t="s">
        <v>22</v>
      </c>
      <c r="F1899">
        <v>169</v>
      </c>
      <c r="G1899">
        <v>26</v>
      </c>
      <c r="H1899">
        <v>0.12</v>
      </c>
      <c r="I1899" t="s">
        <v>15</v>
      </c>
      <c r="J1899">
        <v>0</v>
      </c>
      <c r="K1899">
        <v>1</v>
      </c>
      <c r="L1899">
        <v>0</v>
      </c>
      <c r="M1899">
        <f>VLOOKUP(Table1[[#This Row],[subscription_type]],Plans!$A$1:$B$5,2,FALSE)</f>
        <v>9.99</v>
      </c>
      <c r="N1899">
        <f t="shared" si="29"/>
        <v>0</v>
      </c>
    </row>
    <row r="1900" spans="1:14" x14ac:dyDescent="0.35">
      <c r="A1900">
        <v>1899</v>
      </c>
      <c r="B1900" t="s">
        <v>12</v>
      </c>
      <c r="C1900">
        <v>58</v>
      </c>
      <c r="D1900" t="s">
        <v>21</v>
      </c>
      <c r="E1900" t="s">
        <v>18</v>
      </c>
      <c r="F1900">
        <v>285</v>
      </c>
      <c r="G1900">
        <v>94</v>
      </c>
      <c r="H1900">
        <v>0.56999999999999995</v>
      </c>
      <c r="I1900" t="s">
        <v>15</v>
      </c>
      <c r="J1900">
        <v>0</v>
      </c>
      <c r="K1900">
        <v>1</v>
      </c>
      <c r="L1900">
        <v>1</v>
      </c>
      <c r="M1900">
        <f>VLOOKUP(Table1[[#This Row],[subscription_type]],Plans!$A$1:$B$5,2,FALSE)</f>
        <v>14.99</v>
      </c>
      <c r="N1900">
        <f t="shared" si="29"/>
        <v>14.99</v>
      </c>
    </row>
    <row r="1901" spans="1:14" x14ac:dyDescent="0.35">
      <c r="A1901">
        <v>1900</v>
      </c>
      <c r="B1901" t="s">
        <v>20</v>
      </c>
      <c r="C1901">
        <v>38</v>
      </c>
      <c r="D1901" t="s">
        <v>17</v>
      </c>
      <c r="E1901" t="s">
        <v>14</v>
      </c>
      <c r="F1901">
        <v>105</v>
      </c>
      <c r="G1901">
        <v>25</v>
      </c>
      <c r="H1901">
        <v>0.21</v>
      </c>
      <c r="I1901" t="s">
        <v>23</v>
      </c>
      <c r="J1901">
        <v>27</v>
      </c>
      <c r="K1901">
        <v>0</v>
      </c>
      <c r="L1901">
        <v>1</v>
      </c>
      <c r="M1901">
        <f>VLOOKUP(Table1[[#This Row],[subscription_type]],Plans!$A$1:$B$5,2,FALSE)</f>
        <v>0</v>
      </c>
      <c r="N1901">
        <f t="shared" si="29"/>
        <v>0</v>
      </c>
    </row>
    <row r="1902" spans="1:14" x14ac:dyDescent="0.35">
      <c r="A1902">
        <v>1901</v>
      </c>
      <c r="B1902" t="s">
        <v>16</v>
      </c>
      <c r="C1902">
        <v>18</v>
      </c>
      <c r="D1902" t="s">
        <v>28</v>
      </c>
      <c r="E1902" t="s">
        <v>22</v>
      </c>
      <c r="F1902">
        <v>217</v>
      </c>
      <c r="G1902">
        <v>87</v>
      </c>
      <c r="H1902">
        <v>0.39</v>
      </c>
      <c r="I1902" t="s">
        <v>19</v>
      </c>
      <c r="J1902">
        <v>0</v>
      </c>
      <c r="K1902">
        <v>1</v>
      </c>
      <c r="L1902">
        <v>0</v>
      </c>
      <c r="M1902">
        <f>VLOOKUP(Table1[[#This Row],[subscription_type]],Plans!$A$1:$B$5,2,FALSE)</f>
        <v>9.99</v>
      </c>
      <c r="N1902">
        <f t="shared" si="29"/>
        <v>0</v>
      </c>
    </row>
    <row r="1903" spans="1:14" x14ac:dyDescent="0.35">
      <c r="A1903">
        <v>1902</v>
      </c>
      <c r="B1903" t="s">
        <v>20</v>
      </c>
      <c r="C1903">
        <v>28</v>
      </c>
      <c r="D1903" t="s">
        <v>25</v>
      </c>
      <c r="E1903" t="s">
        <v>22</v>
      </c>
      <c r="F1903">
        <v>204</v>
      </c>
      <c r="G1903">
        <v>40</v>
      </c>
      <c r="H1903">
        <v>0.2</v>
      </c>
      <c r="I1903" t="s">
        <v>19</v>
      </c>
      <c r="J1903">
        <v>0</v>
      </c>
      <c r="K1903">
        <v>1</v>
      </c>
      <c r="L1903">
        <v>1</v>
      </c>
      <c r="M1903">
        <f>VLOOKUP(Table1[[#This Row],[subscription_type]],Plans!$A$1:$B$5,2,FALSE)</f>
        <v>9.99</v>
      </c>
      <c r="N1903">
        <f t="shared" si="29"/>
        <v>9.99</v>
      </c>
    </row>
    <row r="1904" spans="1:14" x14ac:dyDescent="0.35">
      <c r="A1904">
        <v>1903</v>
      </c>
      <c r="B1904" t="s">
        <v>20</v>
      </c>
      <c r="C1904">
        <v>44</v>
      </c>
      <c r="D1904" t="s">
        <v>28</v>
      </c>
      <c r="E1904" t="s">
        <v>22</v>
      </c>
      <c r="F1904">
        <v>107</v>
      </c>
      <c r="G1904">
        <v>4</v>
      </c>
      <c r="H1904">
        <v>0.53</v>
      </c>
      <c r="I1904" t="s">
        <v>19</v>
      </c>
      <c r="J1904">
        <v>0</v>
      </c>
      <c r="K1904">
        <v>1</v>
      </c>
      <c r="L1904">
        <v>1</v>
      </c>
      <c r="M1904">
        <f>VLOOKUP(Table1[[#This Row],[subscription_type]],Plans!$A$1:$B$5,2,FALSE)</f>
        <v>9.99</v>
      </c>
      <c r="N1904">
        <f t="shared" si="29"/>
        <v>9.99</v>
      </c>
    </row>
    <row r="1905" spans="1:14" x14ac:dyDescent="0.35">
      <c r="A1905">
        <v>1904</v>
      </c>
      <c r="B1905" t="s">
        <v>16</v>
      </c>
      <c r="C1905">
        <v>37</v>
      </c>
      <c r="D1905" t="s">
        <v>25</v>
      </c>
      <c r="E1905" t="s">
        <v>24</v>
      </c>
      <c r="F1905">
        <v>15</v>
      </c>
      <c r="G1905">
        <v>31</v>
      </c>
      <c r="H1905">
        <v>0.14000000000000001</v>
      </c>
      <c r="I1905" t="s">
        <v>23</v>
      </c>
      <c r="J1905">
        <v>0</v>
      </c>
      <c r="K1905">
        <v>1</v>
      </c>
      <c r="L1905">
        <v>0</v>
      </c>
      <c r="M1905">
        <f>VLOOKUP(Table1[[#This Row],[subscription_type]],Plans!$A$1:$B$5,2,FALSE)</f>
        <v>4.99</v>
      </c>
      <c r="N1905">
        <f t="shared" si="29"/>
        <v>0</v>
      </c>
    </row>
    <row r="1906" spans="1:14" x14ac:dyDescent="0.35">
      <c r="A1906">
        <v>1905</v>
      </c>
      <c r="B1906" t="s">
        <v>16</v>
      </c>
      <c r="C1906">
        <v>18</v>
      </c>
      <c r="D1906" t="s">
        <v>25</v>
      </c>
      <c r="E1906" t="s">
        <v>22</v>
      </c>
      <c r="F1906">
        <v>200</v>
      </c>
      <c r="G1906">
        <v>65</v>
      </c>
      <c r="H1906">
        <v>0</v>
      </c>
      <c r="I1906" t="s">
        <v>23</v>
      </c>
      <c r="J1906">
        <v>0</v>
      </c>
      <c r="K1906">
        <v>1</v>
      </c>
      <c r="L1906">
        <v>1</v>
      </c>
      <c r="M1906">
        <f>VLOOKUP(Table1[[#This Row],[subscription_type]],Plans!$A$1:$B$5,2,FALSE)</f>
        <v>9.99</v>
      </c>
      <c r="N1906">
        <f t="shared" si="29"/>
        <v>9.99</v>
      </c>
    </row>
    <row r="1907" spans="1:14" x14ac:dyDescent="0.35">
      <c r="A1907">
        <v>1906</v>
      </c>
      <c r="B1907" t="s">
        <v>16</v>
      </c>
      <c r="C1907">
        <v>19</v>
      </c>
      <c r="D1907" t="s">
        <v>27</v>
      </c>
      <c r="E1907" t="s">
        <v>14</v>
      </c>
      <c r="F1907">
        <v>118</v>
      </c>
      <c r="G1907">
        <v>25</v>
      </c>
      <c r="H1907">
        <v>0.57999999999999996</v>
      </c>
      <c r="I1907" t="s">
        <v>15</v>
      </c>
      <c r="J1907">
        <v>48</v>
      </c>
      <c r="K1907">
        <v>0</v>
      </c>
      <c r="L1907">
        <v>0</v>
      </c>
      <c r="M1907">
        <f>VLOOKUP(Table1[[#This Row],[subscription_type]],Plans!$A$1:$B$5,2,FALSE)</f>
        <v>0</v>
      </c>
      <c r="N1907">
        <f t="shared" si="29"/>
        <v>0</v>
      </c>
    </row>
    <row r="1908" spans="1:14" x14ac:dyDescent="0.35">
      <c r="A1908">
        <v>1907</v>
      </c>
      <c r="B1908" t="s">
        <v>20</v>
      </c>
      <c r="C1908">
        <v>24</v>
      </c>
      <c r="D1908" t="s">
        <v>21</v>
      </c>
      <c r="E1908" t="s">
        <v>18</v>
      </c>
      <c r="F1908">
        <v>170</v>
      </c>
      <c r="G1908">
        <v>23</v>
      </c>
      <c r="H1908">
        <v>0.18</v>
      </c>
      <c r="I1908" t="s">
        <v>15</v>
      </c>
      <c r="J1908">
        <v>0</v>
      </c>
      <c r="K1908">
        <v>1</v>
      </c>
      <c r="L1908">
        <v>0</v>
      </c>
      <c r="M1908">
        <f>VLOOKUP(Table1[[#This Row],[subscription_type]],Plans!$A$1:$B$5,2,FALSE)</f>
        <v>14.99</v>
      </c>
      <c r="N1908">
        <f t="shared" si="29"/>
        <v>0</v>
      </c>
    </row>
    <row r="1909" spans="1:14" x14ac:dyDescent="0.35">
      <c r="A1909">
        <v>1908</v>
      </c>
      <c r="B1909" t="s">
        <v>12</v>
      </c>
      <c r="C1909">
        <v>43</v>
      </c>
      <c r="D1909" t="s">
        <v>21</v>
      </c>
      <c r="E1909" t="s">
        <v>24</v>
      </c>
      <c r="F1909">
        <v>264</v>
      </c>
      <c r="G1909">
        <v>27</v>
      </c>
      <c r="H1909">
        <v>0.56000000000000005</v>
      </c>
      <c r="I1909" t="s">
        <v>15</v>
      </c>
      <c r="J1909">
        <v>0</v>
      </c>
      <c r="K1909">
        <v>1</v>
      </c>
      <c r="L1909">
        <v>1</v>
      </c>
      <c r="M1909">
        <f>VLOOKUP(Table1[[#This Row],[subscription_type]],Plans!$A$1:$B$5,2,FALSE)</f>
        <v>4.99</v>
      </c>
      <c r="N1909">
        <f t="shared" si="29"/>
        <v>4.99</v>
      </c>
    </row>
    <row r="1910" spans="1:14" x14ac:dyDescent="0.35">
      <c r="A1910">
        <v>1909</v>
      </c>
      <c r="B1910" t="s">
        <v>16</v>
      </c>
      <c r="C1910">
        <v>16</v>
      </c>
      <c r="D1910" t="s">
        <v>27</v>
      </c>
      <c r="E1910" t="s">
        <v>18</v>
      </c>
      <c r="F1910">
        <v>113</v>
      </c>
      <c r="G1910">
        <v>68</v>
      </c>
      <c r="H1910">
        <v>0.24</v>
      </c>
      <c r="I1910" t="s">
        <v>19</v>
      </c>
      <c r="J1910">
        <v>0</v>
      </c>
      <c r="K1910">
        <v>1</v>
      </c>
      <c r="L1910">
        <v>0</v>
      </c>
      <c r="M1910">
        <f>VLOOKUP(Table1[[#This Row],[subscription_type]],Plans!$A$1:$B$5,2,FALSE)</f>
        <v>14.99</v>
      </c>
      <c r="N1910">
        <f t="shared" si="29"/>
        <v>0</v>
      </c>
    </row>
    <row r="1911" spans="1:14" x14ac:dyDescent="0.35">
      <c r="A1911">
        <v>1910</v>
      </c>
      <c r="B1911" t="s">
        <v>16</v>
      </c>
      <c r="C1911">
        <v>20</v>
      </c>
      <c r="D1911" t="s">
        <v>17</v>
      </c>
      <c r="E1911" t="s">
        <v>24</v>
      </c>
      <c r="F1911">
        <v>262</v>
      </c>
      <c r="G1911">
        <v>86</v>
      </c>
      <c r="H1911">
        <v>0.34</v>
      </c>
      <c r="I1911" t="s">
        <v>19</v>
      </c>
      <c r="J1911">
        <v>0</v>
      </c>
      <c r="K1911">
        <v>1</v>
      </c>
      <c r="L1911">
        <v>1</v>
      </c>
      <c r="M1911">
        <f>VLOOKUP(Table1[[#This Row],[subscription_type]],Plans!$A$1:$B$5,2,FALSE)</f>
        <v>4.99</v>
      </c>
      <c r="N1911">
        <f t="shared" si="29"/>
        <v>4.99</v>
      </c>
    </row>
    <row r="1912" spans="1:14" x14ac:dyDescent="0.35">
      <c r="A1912">
        <v>1911</v>
      </c>
      <c r="B1912" t="s">
        <v>12</v>
      </c>
      <c r="C1912">
        <v>22</v>
      </c>
      <c r="D1912" t="s">
        <v>27</v>
      </c>
      <c r="E1912" t="s">
        <v>14</v>
      </c>
      <c r="F1912">
        <v>251</v>
      </c>
      <c r="G1912">
        <v>18</v>
      </c>
      <c r="H1912">
        <v>0.36</v>
      </c>
      <c r="I1912" t="s">
        <v>15</v>
      </c>
      <c r="J1912">
        <v>15</v>
      </c>
      <c r="K1912">
        <v>0</v>
      </c>
      <c r="L1912">
        <v>0</v>
      </c>
      <c r="M1912">
        <f>VLOOKUP(Table1[[#This Row],[subscription_type]],Plans!$A$1:$B$5,2,FALSE)</f>
        <v>0</v>
      </c>
      <c r="N1912">
        <f t="shared" si="29"/>
        <v>0</v>
      </c>
    </row>
    <row r="1913" spans="1:14" x14ac:dyDescent="0.35">
      <c r="A1913">
        <v>1912</v>
      </c>
      <c r="B1913" t="s">
        <v>16</v>
      </c>
      <c r="C1913">
        <v>43</v>
      </c>
      <c r="D1913" t="s">
        <v>17</v>
      </c>
      <c r="E1913" t="s">
        <v>24</v>
      </c>
      <c r="F1913">
        <v>71</v>
      </c>
      <c r="G1913">
        <v>84</v>
      </c>
      <c r="H1913">
        <v>0.47</v>
      </c>
      <c r="I1913" t="s">
        <v>15</v>
      </c>
      <c r="J1913">
        <v>0</v>
      </c>
      <c r="K1913">
        <v>1</v>
      </c>
      <c r="L1913">
        <v>1</v>
      </c>
      <c r="M1913">
        <f>VLOOKUP(Table1[[#This Row],[subscription_type]],Plans!$A$1:$B$5,2,FALSE)</f>
        <v>4.99</v>
      </c>
      <c r="N1913">
        <f t="shared" si="29"/>
        <v>4.99</v>
      </c>
    </row>
    <row r="1914" spans="1:14" x14ac:dyDescent="0.35">
      <c r="A1914">
        <v>1913</v>
      </c>
      <c r="B1914" t="s">
        <v>16</v>
      </c>
      <c r="C1914">
        <v>27</v>
      </c>
      <c r="D1914" t="s">
        <v>13</v>
      </c>
      <c r="E1914" t="s">
        <v>22</v>
      </c>
      <c r="F1914">
        <v>133</v>
      </c>
      <c r="G1914">
        <v>20</v>
      </c>
      <c r="H1914">
        <v>0.05</v>
      </c>
      <c r="I1914" t="s">
        <v>19</v>
      </c>
      <c r="J1914">
        <v>0</v>
      </c>
      <c r="K1914">
        <v>1</v>
      </c>
      <c r="L1914">
        <v>0</v>
      </c>
      <c r="M1914">
        <f>VLOOKUP(Table1[[#This Row],[subscription_type]],Plans!$A$1:$B$5,2,FALSE)</f>
        <v>9.99</v>
      </c>
      <c r="N1914">
        <f t="shared" si="29"/>
        <v>0</v>
      </c>
    </row>
    <row r="1915" spans="1:14" x14ac:dyDescent="0.35">
      <c r="A1915">
        <v>1914</v>
      </c>
      <c r="B1915" t="s">
        <v>20</v>
      </c>
      <c r="C1915">
        <v>38</v>
      </c>
      <c r="D1915" t="s">
        <v>21</v>
      </c>
      <c r="E1915" t="s">
        <v>18</v>
      </c>
      <c r="F1915">
        <v>164</v>
      </c>
      <c r="G1915">
        <v>41</v>
      </c>
      <c r="H1915">
        <v>0.42</v>
      </c>
      <c r="I1915" t="s">
        <v>23</v>
      </c>
      <c r="J1915">
        <v>0</v>
      </c>
      <c r="K1915">
        <v>1</v>
      </c>
      <c r="L1915">
        <v>1</v>
      </c>
      <c r="M1915">
        <f>VLOOKUP(Table1[[#This Row],[subscription_type]],Plans!$A$1:$B$5,2,FALSE)</f>
        <v>14.99</v>
      </c>
      <c r="N1915">
        <f t="shared" si="29"/>
        <v>14.99</v>
      </c>
    </row>
    <row r="1916" spans="1:14" x14ac:dyDescent="0.35">
      <c r="A1916">
        <v>1915</v>
      </c>
      <c r="B1916" t="s">
        <v>12</v>
      </c>
      <c r="C1916">
        <v>31</v>
      </c>
      <c r="D1916" t="s">
        <v>27</v>
      </c>
      <c r="E1916" t="s">
        <v>14</v>
      </c>
      <c r="F1916">
        <v>13</v>
      </c>
      <c r="G1916">
        <v>8</v>
      </c>
      <c r="H1916">
        <v>0.33</v>
      </c>
      <c r="I1916" t="s">
        <v>23</v>
      </c>
      <c r="J1916">
        <v>26</v>
      </c>
      <c r="K1916">
        <v>0</v>
      </c>
      <c r="L1916">
        <v>0</v>
      </c>
      <c r="M1916">
        <f>VLOOKUP(Table1[[#This Row],[subscription_type]],Plans!$A$1:$B$5,2,FALSE)</f>
        <v>0</v>
      </c>
      <c r="N1916">
        <f t="shared" si="29"/>
        <v>0</v>
      </c>
    </row>
    <row r="1917" spans="1:14" x14ac:dyDescent="0.35">
      <c r="A1917">
        <v>1916</v>
      </c>
      <c r="B1917" t="s">
        <v>16</v>
      </c>
      <c r="C1917">
        <v>29</v>
      </c>
      <c r="D1917" t="s">
        <v>29</v>
      </c>
      <c r="E1917" t="s">
        <v>14</v>
      </c>
      <c r="F1917">
        <v>227</v>
      </c>
      <c r="G1917">
        <v>31</v>
      </c>
      <c r="H1917">
        <v>0.57999999999999996</v>
      </c>
      <c r="I1917" t="s">
        <v>23</v>
      </c>
      <c r="J1917">
        <v>6</v>
      </c>
      <c r="K1917">
        <v>0</v>
      </c>
      <c r="L1917">
        <v>0</v>
      </c>
      <c r="M1917">
        <f>VLOOKUP(Table1[[#This Row],[subscription_type]],Plans!$A$1:$B$5,2,FALSE)</f>
        <v>0</v>
      </c>
      <c r="N1917">
        <f t="shared" si="29"/>
        <v>0</v>
      </c>
    </row>
    <row r="1918" spans="1:14" x14ac:dyDescent="0.35">
      <c r="A1918">
        <v>1917</v>
      </c>
      <c r="B1918" t="s">
        <v>16</v>
      </c>
      <c r="C1918">
        <v>59</v>
      </c>
      <c r="D1918" t="s">
        <v>17</v>
      </c>
      <c r="E1918" t="s">
        <v>14</v>
      </c>
      <c r="F1918">
        <v>286</v>
      </c>
      <c r="G1918">
        <v>55</v>
      </c>
      <c r="H1918">
        <v>0</v>
      </c>
      <c r="I1918" t="s">
        <v>23</v>
      </c>
      <c r="J1918">
        <v>29</v>
      </c>
      <c r="K1918">
        <v>0</v>
      </c>
      <c r="L1918">
        <v>0</v>
      </c>
      <c r="M1918">
        <f>VLOOKUP(Table1[[#This Row],[subscription_type]],Plans!$A$1:$B$5,2,FALSE)</f>
        <v>0</v>
      </c>
      <c r="N1918">
        <f t="shared" si="29"/>
        <v>0</v>
      </c>
    </row>
    <row r="1919" spans="1:14" x14ac:dyDescent="0.35">
      <c r="A1919">
        <v>1918</v>
      </c>
      <c r="B1919" t="s">
        <v>16</v>
      </c>
      <c r="C1919">
        <v>34</v>
      </c>
      <c r="D1919" t="s">
        <v>29</v>
      </c>
      <c r="E1919" t="s">
        <v>24</v>
      </c>
      <c r="F1919">
        <v>267</v>
      </c>
      <c r="G1919">
        <v>70</v>
      </c>
      <c r="H1919">
        <v>0.39</v>
      </c>
      <c r="I1919" t="s">
        <v>15</v>
      </c>
      <c r="J1919">
        <v>0</v>
      </c>
      <c r="K1919">
        <v>1</v>
      </c>
      <c r="L1919">
        <v>0</v>
      </c>
      <c r="M1919">
        <f>VLOOKUP(Table1[[#This Row],[subscription_type]],Plans!$A$1:$B$5,2,FALSE)</f>
        <v>4.99</v>
      </c>
      <c r="N1919">
        <f t="shared" si="29"/>
        <v>0</v>
      </c>
    </row>
    <row r="1920" spans="1:14" x14ac:dyDescent="0.35">
      <c r="A1920">
        <v>1919</v>
      </c>
      <c r="B1920" t="s">
        <v>20</v>
      </c>
      <c r="C1920">
        <v>24</v>
      </c>
      <c r="D1920" t="s">
        <v>29</v>
      </c>
      <c r="E1920" t="s">
        <v>18</v>
      </c>
      <c r="F1920">
        <v>276</v>
      </c>
      <c r="G1920">
        <v>46</v>
      </c>
      <c r="H1920">
        <v>0.16</v>
      </c>
      <c r="I1920" t="s">
        <v>15</v>
      </c>
      <c r="J1920">
        <v>0</v>
      </c>
      <c r="K1920">
        <v>1</v>
      </c>
      <c r="L1920">
        <v>0</v>
      </c>
      <c r="M1920">
        <f>VLOOKUP(Table1[[#This Row],[subscription_type]],Plans!$A$1:$B$5,2,FALSE)</f>
        <v>14.99</v>
      </c>
      <c r="N1920">
        <f t="shared" si="29"/>
        <v>0</v>
      </c>
    </row>
    <row r="1921" spans="1:14" x14ac:dyDescent="0.35">
      <c r="A1921">
        <v>1920</v>
      </c>
      <c r="B1921" t="s">
        <v>16</v>
      </c>
      <c r="C1921">
        <v>37</v>
      </c>
      <c r="D1921" t="s">
        <v>27</v>
      </c>
      <c r="E1921" t="s">
        <v>22</v>
      </c>
      <c r="F1921">
        <v>46</v>
      </c>
      <c r="G1921">
        <v>80</v>
      </c>
      <c r="H1921">
        <v>0.52</v>
      </c>
      <c r="I1921" t="s">
        <v>23</v>
      </c>
      <c r="J1921">
        <v>0</v>
      </c>
      <c r="K1921">
        <v>1</v>
      </c>
      <c r="L1921">
        <v>0</v>
      </c>
      <c r="M1921">
        <f>VLOOKUP(Table1[[#This Row],[subscription_type]],Plans!$A$1:$B$5,2,FALSE)</f>
        <v>9.99</v>
      </c>
      <c r="N1921">
        <f t="shared" si="29"/>
        <v>0</v>
      </c>
    </row>
    <row r="1922" spans="1:14" x14ac:dyDescent="0.35">
      <c r="A1922">
        <v>1921</v>
      </c>
      <c r="B1922" t="s">
        <v>20</v>
      </c>
      <c r="C1922">
        <v>30</v>
      </c>
      <c r="D1922" t="s">
        <v>26</v>
      </c>
      <c r="E1922" t="s">
        <v>24</v>
      </c>
      <c r="F1922">
        <v>79</v>
      </c>
      <c r="G1922">
        <v>1</v>
      </c>
      <c r="H1922">
        <v>0.16</v>
      </c>
      <c r="I1922" t="s">
        <v>19</v>
      </c>
      <c r="J1922">
        <v>0</v>
      </c>
      <c r="K1922">
        <v>1</v>
      </c>
      <c r="L1922">
        <v>0</v>
      </c>
      <c r="M1922">
        <f>VLOOKUP(Table1[[#This Row],[subscription_type]],Plans!$A$1:$B$5,2,FALSE)</f>
        <v>4.99</v>
      </c>
      <c r="N1922">
        <f t="shared" ref="N1922:N1985" si="30">IF(L1922=1, M1922,0)</f>
        <v>0</v>
      </c>
    </row>
    <row r="1923" spans="1:14" x14ac:dyDescent="0.35">
      <c r="A1923">
        <v>1922</v>
      </c>
      <c r="B1923" t="s">
        <v>16</v>
      </c>
      <c r="C1923">
        <v>27</v>
      </c>
      <c r="D1923" t="s">
        <v>25</v>
      </c>
      <c r="E1923" t="s">
        <v>14</v>
      </c>
      <c r="F1923">
        <v>93</v>
      </c>
      <c r="G1923">
        <v>68</v>
      </c>
      <c r="H1923">
        <v>0.39</v>
      </c>
      <c r="I1923" t="s">
        <v>15</v>
      </c>
      <c r="J1923">
        <v>36</v>
      </c>
      <c r="K1923">
        <v>0</v>
      </c>
      <c r="L1923">
        <v>0</v>
      </c>
      <c r="M1923">
        <f>VLOOKUP(Table1[[#This Row],[subscription_type]],Plans!$A$1:$B$5,2,FALSE)</f>
        <v>0</v>
      </c>
      <c r="N1923">
        <f t="shared" si="30"/>
        <v>0</v>
      </c>
    </row>
    <row r="1924" spans="1:14" x14ac:dyDescent="0.35">
      <c r="A1924">
        <v>1923</v>
      </c>
      <c r="B1924" t="s">
        <v>12</v>
      </c>
      <c r="C1924">
        <v>40</v>
      </c>
      <c r="D1924" t="s">
        <v>26</v>
      </c>
      <c r="E1924" t="s">
        <v>22</v>
      </c>
      <c r="F1924">
        <v>27</v>
      </c>
      <c r="G1924">
        <v>48</v>
      </c>
      <c r="H1924">
        <v>0.41</v>
      </c>
      <c r="I1924" t="s">
        <v>23</v>
      </c>
      <c r="J1924">
        <v>0</v>
      </c>
      <c r="K1924">
        <v>1</v>
      </c>
      <c r="L1924">
        <v>1</v>
      </c>
      <c r="M1924">
        <f>VLOOKUP(Table1[[#This Row],[subscription_type]],Plans!$A$1:$B$5,2,FALSE)</f>
        <v>9.99</v>
      </c>
      <c r="N1924">
        <f t="shared" si="30"/>
        <v>9.99</v>
      </c>
    </row>
    <row r="1925" spans="1:14" x14ac:dyDescent="0.35">
      <c r="A1925">
        <v>1924</v>
      </c>
      <c r="B1925" t="s">
        <v>20</v>
      </c>
      <c r="C1925">
        <v>50</v>
      </c>
      <c r="D1925" t="s">
        <v>26</v>
      </c>
      <c r="E1925" t="s">
        <v>14</v>
      </c>
      <c r="F1925">
        <v>133</v>
      </c>
      <c r="G1925">
        <v>12</v>
      </c>
      <c r="H1925">
        <v>0.27</v>
      </c>
      <c r="I1925" t="s">
        <v>19</v>
      </c>
      <c r="J1925">
        <v>15</v>
      </c>
      <c r="K1925">
        <v>0</v>
      </c>
      <c r="L1925">
        <v>0</v>
      </c>
      <c r="M1925">
        <f>VLOOKUP(Table1[[#This Row],[subscription_type]],Plans!$A$1:$B$5,2,FALSE)</f>
        <v>0</v>
      </c>
      <c r="N1925">
        <f t="shared" si="30"/>
        <v>0</v>
      </c>
    </row>
    <row r="1926" spans="1:14" x14ac:dyDescent="0.35">
      <c r="A1926">
        <v>1925</v>
      </c>
      <c r="B1926" t="s">
        <v>20</v>
      </c>
      <c r="C1926">
        <v>41</v>
      </c>
      <c r="D1926" t="s">
        <v>25</v>
      </c>
      <c r="E1926" t="s">
        <v>18</v>
      </c>
      <c r="F1926">
        <v>210</v>
      </c>
      <c r="G1926">
        <v>86</v>
      </c>
      <c r="H1926">
        <v>0.03</v>
      </c>
      <c r="I1926" t="s">
        <v>23</v>
      </c>
      <c r="J1926">
        <v>0</v>
      </c>
      <c r="K1926">
        <v>1</v>
      </c>
      <c r="L1926">
        <v>0</v>
      </c>
      <c r="M1926">
        <f>VLOOKUP(Table1[[#This Row],[subscription_type]],Plans!$A$1:$B$5,2,FALSE)</f>
        <v>14.99</v>
      </c>
      <c r="N1926">
        <f t="shared" si="30"/>
        <v>0</v>
      </c>
    </row>
    <row r="1927" spans="1:14" x14ac:dyDescent="0.35">
      <c r="A1927">
        <v>1926</v>
      </c>
      <c r="B1927" t="s">
        <v>20</v>
      </c>
      <c r="C1927">
        <v>31</v>
      </c>
      <c r="D1927" t="s">
        <v>21</v>
      </c>
      <c r="E1927" t="s">
        <v>22</v>
      </c>
      <c r="F1927">
        <v>229</v>
      </c>
      <c r="G1927">
        <v>15</v>
      </c>
      <c r="H1927">
        <v>0.3</v>
      </c>
      <c r="I1927" t="s">
        <v>15</v>
      </c>
      <c r="J1927">
        <v>0</v>
      </c>
      <c r="K1927">
        <v>1</v>
      </c>
      <c r="L1927">
        <v>0</v>
      </c>
      <c r="M1927">
        <f>VLOOKUP(Table1[[#This Row],[subscription_type]],Plans!$A$1:$B$5,2,FALSE)</f>
        <v>9.99</v>
      </c>
      <c r="N1927">
        <f t="shared" si="30"/>
        <v>0</v>
      </c>
    </row>
    <row r="1928" spans="1:14" x14ac:dyDescent="0.35">
      <c r="A1928">
        <v>1927</v>
      </c>
      <c r="B1928" t="s">
        <v>16</v>
      </c>
      <c r="C1928">
        <v>29</v>
      </c>
      <c r="D1928" t="s">
        <v>17</v>
      </c>
      <c r="E1928" t="s">
        <v>14</v>
      </c>
      <c r="F1928">
        <v>175</v>
      </c>
      <c r="G1928">
        <v>13</v>
      </c>
      <c r="H1928">
        <v>0.42</v>
      </c>
      <c r="I1928" t="s">
        <v>23</v>
      </c>
      <c r="J1928">
        <v>9</v>
      </c>
      <c r="K1928">
        <v>0</v>
      </c>
      <c r="L1928">
        <v>1</v>
      </c>
      <c r="M1928">
        <f>VLOOKUP(Table1[[#This Row],[subscription_type]],Plans!$A$1:$B$5,2,FALSE)</f>
        <v>0</v>
      </c>
      <c r="N1928">
        <f t="shared" si="30"/>
        <v>0</v>
      </c>
    </row>
    <row r="1929" spans="1:14" x14ac:dyDescent="0.35">
      <c r="A1929">
        <v>1928</v>
      </c>
      <c r="B1929" t="s">
        <v>20</v>
      </c>
      <c r="C1929">
        <v>31</v>
      </c>
      <c r="D1929" t="s">
        <v>13</v>
      </c>
      <c r="E1929" t="s">
        <v>24</v>
      </c>
      <c r="F1929">
        <v>285</v>
      </c>
      <c r="G1929">
        <v>5</v>
      </c>
      <c r="H1929">
        <v>0.04</v>
      </c>
      <c r="I1929" t="s">
        <v>19</v>
      </c>
      <c r="J1929">
        <v>0</v>
      </c>
      <c r="K1929">
        <v>1</v>
      </c>
      <c r="L1929">
        <v>0</v>
      </c>
      <c r="M1929">
        <f>VLOOKUP(Table1[[#This Row],[subscription_type]],Plans!$A$1:$B$5,2,FALSE)</f>
        <v>4.99</v>
      </c>
      <c r="N1929">
        <f t="shared" si="30"/>
        <v>0</v>
      </c>
    </row>
    <row r="1930" spans="1:14" x14ac:dyDescent="0.35">
      <c r="A1930">
        <v>1929</v>
      </c>
      <c r="B1930" t="s">
        <v>16</v>
      </c>
      <c r="C1930">
        <v>19</v>
      </c>
      <c r="D1930" t="s">
        <v>26</v>
      </c>
      <c r="E1930" t="s">
        <v>22</v>
      </c>
      <c r="F1930">
        <v>13</v>
      </c>
      <c r="G1930">
        <v>70</v>
      </c>
      <c r="H1930">
        <v>0.59</v>
      </c>
      <c r="I1930" t="s">
        <v>23</v>
      </c>
      <c r="J1930">
        <v>0</v>
      </c>
      <c r="K1930">
        <v>1</v>
      </c>
      <c r="L1930">
        <v>0</v>
      </c>
      <c r="M1930">
        <f>VLOOKUP(Table1[[#This Row],[subscription_type]],Plans!$A$1:$B$5,2,FALSE)</f>
        <v>9.99</v>
      </c>
      <c r="N1930">
        <f t="shared" si="30"/>
        <v>0</v>
      </c>
    </row>
    <row r="1931" spans="1:14" x14ac:dyDescent="0.35">
      <c r="A1931">
        <v>1930</v>
      </c>
      <c r="B1931" t="s">
        <v>16</v>
      </c>
      <c r="C1931">
        <v>33</v>
      </c>
      <c r="D1931" t="s">
        <v>28</v>
      </c>
      <c r="E1931" t="s">
        <v>18</v>
      </c>
      <c r="F1931">
        <v>49</v>
      </c>
      <c r="G1931">
        <v>89</v>
      </c>
      <c r="H1931">
        <v>0.27</v>
      </c>
      <c r="I1931" t="s">
        <v>15</v>
      </c>
      <c r="J1931">
        <v>0</v>
      </c>
      <c r="K1931">
        <v>1</v>
      </c>
      <c r="L1931">
        <v>0</v>
      </c>
      <c r="M1931">
        <f>VLOOKUP(Table1[[#This Row],[subscription_type]],Plans!$A$1:$B$5,2,FALSE)</f>
        <v>14.99</v>
      </c>
      <c r="N1931">
        <f t="shared" si="30"/>
        <v>0</v>
      </c>
    </row>
    <row r="1932" spans="1:14" x14ac:dyDescent="0.35">
      <c r="A1932">
        <v>1931</v>
      </c>
      <c r="B1932" t="s">
        <v>12</v>
      </c>
      <c r="C1932">
        <v>30</v>
      </c>
      <c r="D1932" t="s">
        <v>13</v>
      </c>
      <c r="E1932" t="s">
        <v>18</v>
      </c>
      <c r="F1932">
        <v>193</v>
      </c>
      <c r="G1932">
        <v>57</v>
      </c>
      <c r="H1932">
        <v>0.39</v>
      </c>
      <c r="I1932" t="s">
        <v>23</v>
      </c>
      <c r="J1932">
        <v>0</v>
      </c>
      <c r="K1932">
        <v>1</v>
      </c>
      <c r="L1932">
        <v>0</v>
      </c>
      <c r="M1932">
        <f>VLOOKUP(Table1[[#This Row],[subscription_type]],Plans!$A$1:$B$5,2,FALSE)</f>
        <v>14.99</v>
      </c>
      <c r="N1932">
        <f t="shared" si="30"/>
        <v>0</v>
      </c>
    </row>
    <row r="1933" spans="1:14" x14ac:dyDescent="0.35">
      <c r="A1933">
        <v>1932</v>
      </c>
      <c r="B1933" t="s">
        <v>16</v>
      </c>
      <c r="C1933">
        <v>34</v>
      </c>
      <c r="D1933" t="s">
        <v>29</v>
      </c>
      <c r="E1933" t="s">
        <v>14</v>
      </c>
      <c r="F1933">
        <v>248</v>
      </c>
      <c r="G1933">
        <v>15</v>
      </c>
      <c r="H1933">
        <v>0.01</v>
      </c>
      <c r="I1933" t="s">
        <v>15</v>
      </c>
      <c r="J1933">
        <v>19</v>
      </c>
      <c r="K1933">
        <v>0</v>
      </c>
      <c r="L1933">
        <v>0</v>
      </c>
      <c r="M1933">
        <f>VLOOKUP(Table1[[#This Row],[subscription_type]],Plans!$A$1:$B$5,2,FALSE)</f>
        <v>0</v>
      </c>
      <c r="N1933">
        <f t="shared" si="30"/>
        <v>0</v>
      </c>
    </row>
    <row r="1934" spans="1:14" x14ac:dyDescent="0.35">
      <c r="A1934">
        <v>1933</v>
      </c>
      <c r="B1934" t="s">
        <v>12</v>
      </c>
      <c r="C1934">
        <v>18</v>
      </c>
      <c r="D1934" t="s">
        <v>25</v>
      </c>
      <c r="E1934" t="s">
        <v>14</v>
      </c>
      <c r="F1934">
        <v>151</v>
      </c>
      <c r="G1934">
        <v>33</v>
      </c>
      <c r="H1934">
        <v>0.45</v>
      </c>
      <c r="I1934" t="s">
        <v>19</v>
      </c>
      <c r="J1934">
        <v>14</v>
      </c>
      <c r="K1934">
        <v>0</v>
      </c>
      <c r="L1934">
        <v>1</v>
      </c>
      <c r="M1934">
        <f>VLOOKUP(Table1[[#This Row],[subscription_type]],Plans!$A$1:$B$5,2,FALSE)</f>
        <v>0</v>
      </c>
      <c r="N1934">
        <f t="shared" si="30"/>
        <v>0</v>
      </c>
    </row>
    <row r="1935" spans="1:14" x14ac:dyDescent="0.35">
      <c r="A1935">
        <v>1934</v>
      </c>
      <c r="B1935" t="s">
        <v>20</v>
      </c>
      <c r="C1935">
        <v>26</v>
      </c>
      <c r="D1935" t="s">
        <v>29</v>
      </c>
      <c r="E1935" t="s">
        <v>14</v>
      </c>
      <c r="F1935">
        <v>151</v>
      </c>
      <c r="G1935">
        <v>33</v>
      </c>
      <c r="H1935">
        <v>0.09</v>
      </c>
      <c r="I1935" t="s">
        <v>19</v>
      </c>
      <c r="J1935">
        <v>41</v>
      </c>
      <c r="K1935">
        <v>0</v>
      </c>
      <c r="L1935">
        <v>0</v>
      </c>
      <c r="M1935">
        <f>VLOOKUP(Table1[[#This Row],[subscription_type]],Plans!$A$1:$B$5,2,FALSE)</f>
        <v>0</v>
      </c>
      <c r="N1935">
        <f t="shared" si="30"/>
        <v>0</v>
      </c>
    </row>
    <row r="1936" spans="1:14" x14ac:dyDescent="0.35">
      <c r="A1936">
        <v>1935</v>
      </c>
      <c r="B1936" t="s">
        <v>20</v>
      </c>
      <c r="C1936">
        <v>26</v>
      </c>
      <c r="D1936" t="s">
        <v>28</v>
      </c>
      <c r="E1936" t="s">
        <v>24</v>
      </c>
      <c r="F1936">
        <v>29</v>
      </c>
      <c r="G1936">
        <v>32</v>
      </c>
      <c r="H1936">
        <v>0.26</v>
      </c>
      <c r="I1936" t="s">
        <v>23</v>
      </c>
      <c r="J1936">
        <v>0</v>
      </c>
      <c r="K1936">
        <v>1</v>
      </c>
      <c r="L1936">
        <v>0</v>
      </c>
      <c r="M1936">
        <f>VLOOKUP(Table1[[#This Row],[subscription_type]],Plans!$A$1:$B$5,2,FALSE)</f>
        <v>4.99</v>
      </c>
      <c r="N1936">
        <f t="shared" si="30"/>
        <v>0</v>
      </c>
    </row>
    <row r="1937" spans="1:14" x14ac:dyDescent="0.35">
      <c r="A1937">
        <v>1936</v>
      </c>
      <c r="B1937" t="s">
        <v>20</v>
      </c>
      <c r="C1937">
        <v>51</v>
      </c>
      <c r="D1937" t="s">
        <v>25</v>
      </c>
      <c r="E1937" t="s">
        <v>18</v>
      </c>
      <c r="F1937">
        <v>126</v>
      </c>
      <c r="G1937">
        <v>63</v>
      </c>
      <c r="H1937">
        <v>0.39</v>
      </c>
      <c r="I1937" t="s">
        <v>15</v>
      </c>
      <c r="J1937">
        <v>0</v>
      </c>
      <c r="K1937">
        <v>1</v>
      </c>
      <c r="L1937">
        <v>0</v>
      </c>
      <c r="M1937">
        <f>VLOOKUP(Table1[[#This Row],[subscription_type]],Plans!$A$1:$B$5,2,FALSE)</f>
        <v>14.99</v>
      </c>
      <c r="N1937">
        <f t="shared" si="30"/>
        <v>0</v>
      </c>
    </row>
    <row r="1938" spans="1:14" x14ac:dyDescent="0.35">
      <c r="A1938">
        <v>1937</v>
      </c>
      <c r="B1938" t="s">
        <v>16</v>
      </c>
      <c r="C1938">
        <v>24</v>
      </c>
      <c r="D1938" t="s">
        <v>17</v>
      </c>
      <c r="E1938" t="s">
        <v>18</v>
      </c>
      <c r="F1938">
        <v>93</v>
      </c>
      <c r="G1938">
        <v>59</v>
      </c>
      <c r="H1938">
        <v>0.03</v>
      </c>
      <c r="I1938" t="s">
        <v>19</v>
      </c>
      <c r="J1938">
        <v>0</v>
      </c>
      <c r="K1938">
        <v>1</v>
      </c>
      <c r="L1938">
        <v>0</v>
      </c>
      <c r="M1938">
        <f>VLOOKUP(Table1[[#This Row],[subscription_type]],Plans!$A$1:$B$5,2,FALSE)</f>
        <v>14.99</v>
      </c>
      <c r="N1938">
        <f t="shared" si="30"/>
        <v>0</v>
      </c>
    </row>
    <row r="1939" spans="1:14" x14ac:dyDescent="0.35">
      <c r="A1939">
        <v>1938</v>
      </c>
      <c r="B1939" t="s">
        <v>12</v>
      </c>
      <c r="C1939">
        <v>54</v>
      </c>
      <c r="D1939" t="s">
        <v>28</v>
      </c>
      <c r="E1939" t="s">
        <v>14</v>
      </c>
      <c r="F1939">
        <v>101</v>
      </c>
      <c r="G1939">
        <v>91</v>
      </c>
      <c r="H1939">
        <v>0.17</v>
      </c>
      <c r="I1939" t="s">
        <v>23</v>
      </c>
      <c r="J1939">
        <v>11</v>
      </c>
      <c r="K1939">
        <v>0</v>
      </c>
      <c r="L1939">
        <v>0</v>
      </c>
      <c r="M1939">
        <f>VLOOKUP(Table1[[#This Row],[subscription_type]],Plans!$A$1:$B$5,2,FALSE)</f>
        <v>0</v>
      </c>
      <c r="N1939">
        <f t="shared" si="30"/>
        <v>0</v>
      </c>
    </row>
    <row r="1940" spans="1:14" x14ac:dyDescent="0.35">
      <c r="A1940">
        <v>1939</v>
      </c>
      <c r="B1940" t="s">
        <v>16</v>
      </c>
      <c r="C1940">
        <v>50</v>
      </c>
      <c r="D1940" t="s">
        <v>21</v>
      </c>
      <c r="E1940" t="s">
        <v>18</v>
      </c>
      <c r="F1940">
        <v>26</v>
      </c>
      <c r="G1940">
        <v>34</v>
      </c>
      <c r="H1940">
        <v>0.17</v>
      </c>
      <c r="I1940" t="s">
        <v>15</v>
      </c>
      <c r="J1940">
        <v>0</v>
      </c>
      <c r="K1940">
        <v>1</v>
      </c>
      <c r="L1940">
        <v>1</v>
      </c>
      <c r="M1940">
        <f>VLOOKUP(Table1[[#This Row],[subscription_type]],Plans!$A$1:$B$5,2,FALSE)</f>
        <v>14.99</v>
      </c>
      <c r="N1940">
        <f t="shared" si="30"/>
        <v>14.99</v>
      </c>
    </row>
    <row r="1941" spans="1:14" x14ac:dyDescent="0.35">
      <c r="A1941">
        <v>1940</v>
      </c>
      <c r="B1941" t="s">
        <v>20</v>
      </c>
      <c r="C1941">
        <v>59</v>
      </c>
      <c r="D1941" t="s">
        <v>13</v>
      </c>
      <c r="E1941" t="s">
        <v>14</v>
      </c>
      <c r="F1941">
        <v>97</v>
      </c>
      <c r="G1941">
        <v>2</v>
      </c>
      <c r="H1941">
        <v>0.56000000000000005</v>
      </c>
      <c r="I1941" t="s">
        <v>15</v>
      </c>
      <c r="J1941">
        <v>9</v>
      </c>
      <c r="K1941">
        <v>0</v>
      </c>
      <c r="L1941">
        <v>0</v>
      </c>
      <c r="M1941">
        <f>VLOOKUP(Table1[[#This Row],[subscription_type]],Plans!$A$1:$B$5,2,FALSE)</f>
        <v>0</v>
      </c>
      <c r="N1941">
        <f t="shared" si="30"/>
        <v>0</v>
      </c>
    </row>
    <row r="1942" spans="1:14" x14ac:dyDescent="0.35">
      <c r="A1942">
        <v>1941</v>
      </c>
      <c r="B1942" t="s">
        <v>12</v>
      </c>
      <c r="C1942">
        <v>26</v>
      </c>
      <c r="D1942" t="s">
        <v>25</v>
      </c>
      <c r="E1942" t="s">
        <v>14</v>
      </c>
      <c r="F1942">
        <v>252</v>
      </c>
      <c r="G1942">
        <v>81</v>
      </c>
      <c r="H1942">
        <v>0.39</v>
      </c>
      <c r="I1942" t="s">
        <v>19</v>
      </c>
      <c r="J1942">
        <v>6</v>
      </c>
      <c r="K1942">
        <v>0</v>
      </c>
      <c r="L1942">
        <v>1</v>
      </c>
      <c r="M1942">
        <f>VLOOKUP(Table1[[#This Row],[subscription_type]],Plans!$A$1:$B$5,2,FALSE)</f>
        <v>0</v>
      </c>
      <c r="N1942">
        <f t="shared" si="30"/>
        <v>0</v>
      </c>
    </row>
    <row r="1943" spans="1:14" x14ac:dyDescent="0.35">
      <c r="A1943">
        <v>1942</v>
      </c>
      <c r="B1943" t="s">
        <v>12</v>
      </c>
      <c r="C1943">
        <v>55</v>
      </c>
      <c r="D1943" t="s">
        <v>29</v>
      </c>
      <c r="E1943" t="s">
        <v>24</v>
      </c>
      <c r="F1943">
        <v>271</v>
      </c>
      <c r="G1943">
        <v>21</v>
      </c>
      <c r="H1943">
        <v>0.03</v>
      </c>
      <c r="I1943" t="s">
        <v>19</v>
      </c>
      <c r="J1943">
        <v>0</v>
      </c>
      <c r="K1943">
        <v>1</v>
      </c>
      <c r="L1943">
        <v>0</v>
      </c>
      <c r="M1943">
        <f>VLOOKUP(Table1[[#This Row],[subscription_type]],Plans!$A$1:$B$5,2,FALSE)</f>
        <v>4.99</v>
      </c>
      <c r="N1943">
        <f t="shared" si="30"/>
        <v>0</v>
      </c>
    </row>
    <row r="1944" spans="1:14" x14ac:dyDescent="0.35">
      <c r="A1944">
        <v>1943</v>
      </c>
      <c r="B1944" t="s">
        <v>16</v>
      </c>
      <c r="C1944">
        <v>36</v>
      </c>
      <c r="D1944" t="s">
        <v>13</v>
      </c>
      <c r="E1944" t="s">
        <v>18</v>
      </c>
      <c r="F1944">
        <v>140</v>
      </c>
      <c r="G1944">
        <v>35</v>
      </c>
      <c r="H1944">
        <v>0.37</v>
      </c>
      <c r="I1944" t="s">
        <v>19</v>
      </c>
      <c r="J1944">
        <v>0</v>
      </c>
      <c r="K1944">
        <v>1</v>
      </c>
      <c r="L1944">
        <v>1</v>
      </c>
      <c r="M1944">
        <f>VLOOKUP(Table1[[#This Row],[subscription_type]],Plans!$A$1:$B$5,2,FALSE)</f>
        <v>14.99</v>
      </c>
      <c r="N1944">
        <f t="shared" si="30"/>
        <v>14.99</v>
      </c>
    </row>
    <row r="1945" spans="1:14" x14ac:dyDescent="0.35">
      <c r="A1945">
        <v>1944</v>
      </c>
      <c r="B1945" t="s">
        <v>16</v>
      </c>
      <c r="C1945">
        <v>35</v>
      </c>
      <c r="D1945" t="s">
        <v>26</v>
      </c>
      <c r="E1945" t="s">
        <v>18</v>
      </c>
      <c r="F1945">
        <v>235</v>
      </c>
      <c r="G1945">
        <v>99</v>
      </c>
      <c r="H1945">
        <v>0.45</v>
      </c>
      <c r="I1945" t="s">
        <v>15</v>
      </c>
      <c r="J1945">
        <v>0</v>
      </c>
      <c r="K1945">
        <v>1</v>
      </c>
      <c r="L1945">
        <v>1</v>
      </c>
      <c r="M1945">
        <f>VLOOKUP(Table1[[#This Row],[subscription_type]],Plans!$A$1:$B$5,2,FALSE)</f>
        <v>14.99</v>
      </c>
      <c r="N1945">
        <f t="shared" si="30"/>
        <v>14.99</v>
      </c>
    </row>
    <row r="1946" spans="1:14" x14ac:dyDescent="0.35">
      <c r="A1946">
        <v>1945</v>
      </c>
      <c r="B1946" t="s">
        <v>16</v>
      </c>
      <c r="C1946">
        <v>19</v>
      </c>
      <c r="D1946" t="s">
        <v>25</v>
      </c>
      <c r="E1946" t="s">
        <v>18</v>
      </c>
      <c r="F1946">
        <v>34</v>
      </c>
      <c r="G1946">
        <v>78</v>
      </c>
      <c r="H1946">
        <v>0.36</v>
      </c>
      <c r="I1946" t="s">
        <v>23</v>
      </c>
      <c r="J1946">
        <v>0</v>
      </c>
      <c r="K1946">
        <v>1</v>
      </c>
      <c r="L1946">
        <v>0</v>
      </c>
      <c r="M1946">
        <f>VLOOKUP(Table1[[#This Row],[subscription_type]],Plans!$A$1:$B$5,2,FALSE)</f>
        <v>14.99</v>
      </c>
      <c r="N1946">
        <f t="shared" si="30"/>
        <v>0</v>
      </c>
    </row>
    <row r="1947" spans="1:14" x14ac:dyDescent="0.35">
      <c r="A1947">
        <v>1946</v>
      </c>
      <c r="B1947" t="s">
        <v>20</v>
      </c>
      <c r="C1947">
        <v>27</v>
      </c>
      <c r="D1947" t="s">
        <v>17</v>
      </c>
      <c r="E1947" t="s">
        <v>22</v>
      </c>
      <c r="F1947">
        <v>75</v>
      </c>
      <c r="G1947">
        <v>13</v>
      </c>
      <c r="H1947">
        <v>0.46</v>
      </c>
      <c r="I1947" t="s">
        <v>15</v>
      </c>
      <c r="J1947">
        <v>0</v>
      </c>
      <c r="K1947">
        <v>1</v>
      </c>
      <c r="L1947">
        <v>1</v>
      </c>
      <c r="M1947">
        <f>VLOOKUP(Table1[[#This Row],[subscription_type]],Plans!$A$1:$B$5,2,FALSE)</f>
        <v>9.99</v>
      </c>
      <c r="N1947">
        <f t="shared" si="30"/>
        <v>9.99</v>
      </c>
    </row>
    <row r="1948" spans="1:14" x14ac:dyDescent="0.35">
      <c r="A1948">
        <v>1947</v>
      </c>
      <c r="B1948" t="s">
        <v>20</v>
      </c>
      <c r="C1948">
        <v>47</v>
      </c>
      <c r="D1948" t="s">
        <v>13</v>
      </c>
      <c r="E1948" t="s">
        <v>24</v>
      </c>
      <c r="F1948">
        <v>156</v>
      </c>
      <c r="G1948">
        <v>38</v>
      </c>
      <c r="H1948">
        <v>0.37</v>
      </c>
      <c r="I1948" t="s">
        <v>23</v>
      </c>
      <c r="J1948">
        <v>0</v>
      </c>
      <c r="K1948">
        <v>1</v>
      </c>
      <c r="L1948">
        <v>0</v>
      </c>
      <c r="M1948">
        <f>VLOOKUP(Table1[[#This Row],[subscription_type]],Plans!$A$1:$B$5,2,FALSE)</f>
        <v>4.99</v>
      </c>
      <c r="N1948">
        <f t="shared" si="30"/>
        <v>0</v>
      </c>
    </row>
    <row r="1949" spans="1:14" x14ac:dyDescent="0.35">
      <c r="A1949">
        <v>1948</v>
      </c>
      <c r="B1949" t="s">
        <v>12</v>
      </c>
      <c r="C1949">
        <v>47</v>
      </c>
      <c r="D1949" t="s">
        <v>13</v>
      </c>
      <c r="E1949" t="s">
        <v>22</v>
      </c>
      <c r="F1949">
        <v>107</v>
      </c>
      <c r="G1949">
        <v>3</v>
      </c>
      <c r="H1949">
        <v>0.15</v>
      </c>
      <c r="I1949" t="s">
        <v>15</v>
      </c>
      <c r="J1949">
        <v>0</v>
      </c>
      <c r="K1949">
        <v>1</v>
      </c>
      <c r="L1949">
        <v>0</v>
      </c>
      <c r="M1949">
        <f>VLOOKUP(Table1[[#This Row],[subscription_type]],Plans!$A$1:$B$5,2,FALSE)</f>
        <v>9.99</v>
      </c>
      <c r="N1949">
        <f t="shared" si="30"/>
        <v>0</v>
      </c>
    </row>
    <row r="1950" spans="1:14" x14ac:dyDescent="0.35">
      <c r="A1950">
        <v>1949</v>
      </c>
      <c r="B1950" t="s">
        <v>16</v>
      </c>
      <c r="C1950">
        <v>40</v>
      </c>
      <c r="D1950" t="s">
        <v>26</v>
      </c>
      <c r="E1950" t="s">
        <v>24</v>
      </c>
      <c r="F1950">
        <v>18</v>
      </c>
      <c r="G1950">
        <v>84</v>
      </c>
      <c r="H1950">
        <v>0.26</v>
      </c>
      <c r="I1950" t="s">
        <v>15</v>
      </c>
      <c r="J1950">
        <v>0</v>
      </c>
      <c r="K1950">
        <v>1</v>
      </c>
      <c r="L1950">
        <v>0</v>
      </c>
      <c r="M1950">
        <f>VLOOKUP(Table1[[#This Row],[subscription_type]],Plans!$A$1:$B$5,2,FALSE)</f>
        <v>4.99</v>
      </c>
      <c r="N1950">
        <f t="shared" si="30"/>
        <v>0</v>
      </c>
    </row>
    <row r="1951" spans="1:14" x14ac:dyDescent="0.35">
      <c r="A1951">
        <v>1950</v>
      </c>
      <c r="B1951" t="s">
        <v>20</v>
      </c>
      <c r="C1951">
        <v>25</v>
      </c>
      <c r="D1951" t="s">
        <v>25</v>
      </c>
      <c r="E1951" t="s">
        <v>24</v>
      </c>
      <c r="F1951">
        <v>213</v>
      </c>
      <c r="G1951">
        <v>76</v>
      </c>
      <c r="H1951">
        <v>0.42</v>
      </c>
      <c r="I1951" t="s">
        <v>23</v>
      </c>
      <c r="J1951">
        <v>0</v>
      </c>
      <c r="K1951">
        <v>1</v>
      </c>
      <c r="L1951">
        <v>0</v>
      </c>
      <c r="M1951">
        <f>VLOOKUP(Table1[[#This Row],[subscription_type]],Plans!$A$1:$B$5,2,FALSE)</f>
        <v>4.99</v>
      </c>
      <c r="N1951">
        <f t="shared" si="30"/>
        <v>0</v>
      </c>
    </row>
    <row r="1952" spans="1:14" x14ac:dyDescent="0.35">
      <c r="A1952">
        <v>1951</v>
      </c>
      <c r="B1952" t="s">
        <v>12</v>
      </c>
      <c r="C1952">
        <v>29</v>
      </c>
      <c r="D1952" t="s">
        <v>13</v>
      </c>
      <c r="E1952" t="s">
        <v>14</v>
      </c>
      <c r="F1952">
        <v>223</v>
      </c>
      <c r="G1952">
        <v>89</v>
      </c>
      <c r="H1952">
        <v>0.24</v>
      </c>
      <c r="I1952" t="s">
        <v>15</v>
      </c>
      <c r="J1952">
        <v>16</v>
      </c>
      <c r="K1952">
        <v>0</v>
      </c>
      <c r="L1952">
        <v>0</v>
      </c>
      <c r="M1952">
        <f>VLOOKUP(Table1[[#This Row],[subscription_type]],Plans!$A$1:$B$5,2,FALSE)</f>
        <v>0</v>
      </c>
      <c r="N1952">
        <f t="shared" si="30"/>
        <v>0</v>
      </c>
    </row>
    <row r="1953" spans="1:14" x14ac:dyDescent="0.35">
      <c r="A1953">
        <v>1952</v>
      </c>
      <c r="B1953" t="s">
        <v>12</v>
      </c>
      <c r="C1953">
        <v>21</v>
      </c>
      <c r="D1953" t="s">
        <v>27</v>
      </c>
      <c r="E1953" t="s">
        <v>14</v>
      </c>
      <c r="F1953">
        <v>286</v>
      </c>
      <c r="G1953">
        <v>35</v>
      </c>
      <c r="H1953">
        <v>0.55000000000000004</v>
      </c>
      <c r="I1953" t="s">
        <v>15</v>
      </c>
      <c r="J1953">
        <v>13</v>
      </c>
      <c r="K1953">
        <v>0</v>
      </c>
      <c r="L1953">
        <v>0</v>
      </c>
      <c r="M1953">
        <f>VLOOKUP(Table1[[#This Row],[subscription_type]],Plans!$A$1:$B$5,2,FALSE)</f>
        <v>0</v>
      </c>
      <c r="N1953">
        <f t="shared" si="30"/>
        <v>0</v>
      </c>
    </row>
    <row r="1954" spans="1:14" x14ac:dyDescent="0.35">
      <c r="A1954">
        <v>1953</v>
      </c>
      <c r="B1954" t="s">
        <v>20</v>
      </c>
      <c r="C1954">
        <v>38</v>
      </c>
      <c r="D1954" t="s">
        <v>17</v>
      </c>
      <c r="E1954" t="s">
        <v>18</v>
      </c>
      <c r="F1954">
        <v>31</v>
      </c>
      <c r="G1954">
        <v>48</v>
      </c>
      <c r="H1954">
        <v>0.23</v>
      </c>
      <c r="I1954" t="s">
        <v>19</v>
      </c>
      <c r="J1954">
        <v>0</v>
      </c>
      <c r="K1954">
        <v>1</v>
      </c>
      <c r="L1954">
        <v>0</v>
      </c>
      <c r="M1954">
        <f>VLOOKUP(Table1[[#This Row],[subscription_type]],Plans!$A$1:$B$5,2,FALSE)</f>
        <v>14.99</v>
      </c>
      <c r="N1954">
        <f t="shared" si="30"/>
        <v>0</v>
      </c>
    </row>
    <row r="1955" spans="1:14" x14ac:dyDescent="0.35">
      <c r="A1955">
        <v>1954</v>
      </c>
      <c r="B1955" t="s">
        <v>12</v>
      </c>
      <c r="C1955">
        <v>46</v>
      </c>
      <c r="D1955" t="s">
        <v>13</v>
      </c>
      <c r="E1955" t="s">
        <v>22</v>
      </c>
      <c r="F1955">
        <v>151</v>
      </c>
      <c r="G1955">
        <v>71</v>
      </c>
      <c r="H1955">
        <v>0.36</v>
      </c>
      <c r="I1955" t="s">
        <v>23</v>
      </c>
      <c r="J1955">
        <v>0</v>
      </c>
      <c r="K1955">
        <v>1</v>
      </c>
      <c r="L1955">
        <v>0</v>
      </c>
      <c r="M1955">
        <f>VLOOKUP(Table1[[#This Row],[subscription_type]],Plans!$A$1:$B$5,2,FALSE)</f>
        <v>9.99</v>
      </c>
      <c r="N1955">
        <f t="shared" si="30"/>
        <v>0</v>
      </c>
    </row>
    <row r="1956" spans="1:14" x14ac:dyDescent="0.35">
      <c r="A1956">
        <v>1955</v>
      </c>
      <c r="B1956" t="s">
        <v>20</v>
      </c>
      <c r="C1956">
        <v>47</v>
      </c>
      <c r="D1956" t="s">
        <v>26</v>
      </c>
      <c r="E1956" t="s">
        <v>14</v>
      </c>
      <c r="F1956">
        <v>243</v>
      </c>
      <c r="G1956">
        <v>87</v>
      </c>
      <c r="H1956">
        <v>0.27</v>
      </c>
      <c r="I1956" t="s">
        <v>15</v>
      </c>
      <c r="J1956">
        <v>37</v>
      </c>
      <c r="K1956">
        <v>0</v>
      </c>
      <c r="L1956">
        <v>0</v>
      </c>
      <c r="M1956">
        <f>VLOOKUP(Table1[[#This Row],[subscription_type]],Plans!$A$1:$B$5,2,FALSE)</f>
        <v>0</v>
      </c>
      <c r="N1956">
        <f t="shared" si="30"/>
        <v>0</v>
      </c>
    </row>
    <row r="1957" spans="1:14" x14ac:dyDescent="0.35">
      <c r="A1957">
        <v>1956</v>
      </c>
      <c r="B1957" t="s">
        <v>16</v>
      </c>
      <c r="C1957">
        <v>51</v>
      </c>
      <c r="D1957" t="s">
        <v>13</v>
      </c>
      <c r="E1957" t="s">
        <v>22</v>
      </c>
      <c r="F1957">
        <v>14</v>
      </c>
      <c r="G1957">
        <v>5</v>
      </c>
      <c r="H1957">
        <v>0.47</v>
      </c>
      <c r="I1957" t="s">
        <v>23</v>
      </c>
      <c r="J1957">
        <v>0</v>
      </c>
      <c r="K1957">
        <v>1</v>
      </c>
      <c r="L1957">
        <v>0</v>
      </c>
      <c r="M1957">
        <f>VLOOKUP(Table1[[#This Row],[subscription_type]],Plans!$A$1:$B$5,2,FALSE)</f>
        <v>9.99</v>
      </c>
      <c r="N1957">
        <f t="shared" si="30"/>
        <v>0</v>
      </c>
    </row>
    <row r="1958" spans="1:14" x14ac:dyDescent="0.35">
      <c r="A1958">
        <v>1957</v>
      </c>
      <c r="B1958" t="s">
        <v>12</v>
      </c>
      <c r="C1958">
        <v>52</v>
      </c>
      <c r="D1958" t="s">
        <v>21</v>
      </c>
      <c r="E1958" t="s">
        <v>24</v>
      </c>
      <c r="F1958">
        <v>225</v>
      </c>
      <c r="G1958">
        <v>46</v>
      </c>
      <c r="H1958">
        <v>0.15</v>
      </c>
      <c r="I1958" t="s">
        <v>15</v>
      </c>
      <c r="J1958">
        <v>0</v>
      </c>
      <c r="K1958">
        <v>1</v>
      </c>
      <c r="L1958">
        <v>0</v>
      </c>
      <c r="M1958">
        <f>VLOOKUP(Table1[[#This Row],[subscription_type]],Plans!$A$1:$B$5,2,FALSE)</f>
        <v>4.99</v>
      </c>
      <c r="N1958">
        <f t="shared" si="30"/>
        <v>0</v>
      </c>
    </row>
    <row r="1959" spans="1:14" x14ac:dyDescent="0.35">
      <c r="A1959">
        <v>1958</v>
      </c>
      <c r="B1959" t="s">
        <v>16</v>
      </c>
      <c r="C1959">
        <v>59</v>
      </c>
      <c r="D1959" t="s">
        <v>28</v>
      </c>
      <c r="E1959" t="s">
        <v>22</v>
      </c>
      <c r="F1959">
        <v>30</v>
      </c>
      <c r="G1959">
        <v>42</v>
      </c>
      <c r="H1959">
        <v>0.19</v>
      </c>
      <c r="I1959" t="s">
        <v>15</v>
      </c>
      <c r="J1959">
        <v>0</v>
      </c>
      <c r="K1959">
        <v>1</v>
      </c>
      <c r="L1959">
        <v>0</v>
      </c>
      <c r="M1959">
        <f>VLOOKUP(Table1[[#This Row],[subscription_type]],Plans!$A$1:$B$5,2,FALSE)</f>
        <v>9.99</v>
      </c>
      <c r="N1959">
        <f t="shared" si="30"/>
        <v>0</v>
      </c>
    </row>
    <row r="1960" spans="1:14" x14ac:dyDescent="0.35">
      <c r="A1960">
        <v>1959</v>
      </c>
      <c r="B1960" t="s">
        <v>12</v>
      </c>
      <c r="C1960">
        <v>43</v>
      </c>
      <c r="D1960" t="s">
        <v>25</v>
      </c>
      <c r="E1960" t="s">
        <v>14</v>
      </c>
      <c r="F1960">
        <v>294</v>
      </c>
      <c r="G1960">
        <v>20</v>
      </c>
      <c r="H1960">
        <v>0.46</v>
      </c>
      <c r="I1960" t="s">
        <v>15</v>
      </c>
      <c r="J1960">
        <v>46</v>
      </c>
      <c r="K1960">
        <v>0</v>
      </c>
      <c r="L1960">
        <v>0</v>
      </c>
      <c r="M1960">
        <f>VLOOKUP(Table1[[#This Row],[subscription_type]],Plans!$A$1:$B$5,2,FALSE)</f>
        <v>0</v>
      </c>
      <c r="N1960">
        <f t="shared" si="30"/>
        <v>0</v>
      </c>
    </row>
    <row r="1961" spans="1:14" x14ac:dyDescent="0.35">
      <c r="A1961">
        <v>1960</v>
      </c>
      <c r="B1961" t="s">
        <v>12</v>
      </c>
      <c r="C1961">
        <v>24</v>
      </c>
      <c r="D1961" t="s">
        <v>26</v>
      </c>
      <c r="E1961" t="s">
        <v>24</v>
      </c>
      <c r="F1961">
        <v>192</v>
      </c>
      <c r="G1961">
        <v>98</v>
      </c>
      <c r="H1961">
        <v>0.44</v>
      </c>
      <c r="I1961" t="s">
        <v>15</v>
      </c>
      <c r="J1961">
        <v>0</v>
      </c>
      <c r="K1961">
        <v>1</v>
      </c>
      <c r="L1961">
        <v>0</v>
      </c>
      <c r="M1961">
        <f>VLOOKUP(Table1[[#This Row],[subscription_type]],Plans!$A$1:$B$5,2,FALSE)</f>
        <v>4.99</v>
      </c>
      <c r="N1961">
        <f t="shared" si="30"/>
        <v>0</v>
      </c>
    </row>
    <row r="1962" spans="1:14" x14ac:dyDescent="0.35">
      <c r="A1962">
        <v>1961</v>
      </c>
      <c r="B1962" t="s">
        <v>12</v>
      </c>
      <c r="C1962">
        <v>30</v>
      </c>
      <c r="D1962" t="s">
        <v>26</v>
      </c>
      <c r="E1962" t="s">
        <v>14</v>
      </c>
      <c r="F1962">
        <v>217</v>
      </c>
      <c r="G1962">
        <v>12</v>
      </c>
      <c r="H1962">
        <v>7.0000000000000007E-2</v>
      </c>
      <c r="I1962" t="s">
        <v>23</v>
      </c>
      <c r="J1962">
        <v>36</v>
      </c>
      <c r="K1962">
        <v>0</v>
      </c>
      <c r="L1962">
        <v>0</v>
      </c>
      <c r="M1962">
        <f>VLOOKUP(Table1[[#This Row],[subscription_type]],Plans!$A$1:$B$5,2,FALSE)</f>
        <v>0</v>
      </c>
      <c r="N1962">
        <f t="shared" si="30"/>
        <v>0</v>
      </c>
    </row>
    <row r="1963" spans="1:14" x14ac:dyDescent="0.35">
      <c r="A1963">
        <v>1962</v>
      </c>
      <c r="B1963" t="s">
        <v>20</v>
      </c>
      <c r="C1963">
        <v>45</v>
      </c>
      <c r="D1963" t="s">
        <v>13</v>
      </c>
      <c r="E1963" t="s">
        <v>14</v>
      </c>
      <c r="F1963">
        <v>241</v>
      </c>
      <c r="G1963">
        <v>12</v>
      </c>
      <c r="H1963">
        <v>0.14000000000000001</v>
      </c>
      <c r="I1963" t="s">
        <v>19</v>
      </c>
      <c r="J1963">
        <v>5</v>
      </c>
      <c r="K1963">
        <v>0</v>
      </c>
      <c r="L1963">
        <v>0</v>
      </c>
      <c r="M1963">
        <f>VLOOKUP(Table1[[#This Row],[subscription_type]],Plans!$A$1:$B$5,2,FALSE)</f>
        <v>0</v>
      </c>
      <c r="N1963">
        <f t="shared" si="30"/>
        <v>0</v>
      </c>
    </row>
    <row r="1964" spans="1:14" x14ac:dyDescent="0.35">
      <c r="A1964">
        <v>1963</v>
      </c>
      <c r="B1964" t="s">
        <v>12</v>
      </c>
      <c r="C1964">
        <v>46</v>
      </c>
      <c r="D1964" t="s">
        <v>21</v>
      </c>
      <c r="E1964" t="s">
        <v>18</v>
      </c>
      <c r="F1964">
        <v>178</v>
      </c>
      <c r="G1964">
        <v>24</v>
      </c>
      <c r="H1964">
        <v>0.28999999999999998</v>
      </c>
      <c r="I1964" t="s">
        <v>19</v>
      </c>
      <c r="J1964">
        <v>0</v>
      </c>
      <c r="K1964">
        <v>1</v>
      </c>
      <c r="L1964">
        <v>0</v>
      </c>
      <c r="M1964">
        <f>VLOOKUP(Table1[[#This Row],[subscription_type]],Plans!$A$1:$B$5,2,FALSE)</f>
        <v>14.99</v>
      </c>
      <c r="N1964">
        <f t="shared" si="30"/>
        <v>0</v>
      </c>
    </row>
    <row r="1965" spans="1:14" x14ac:dyDescent="0.35">
      <c r="A1965">
        <v>1964</v>
      </c>
      <c r="B1965" t="s">
        <v>16</v>
      </c>
      <c r="C1965">
        <v>36</v>
      </c>
      <c r="D1965" t="s">
        <v>17</v>
      </c>
      <c r="E1965" t="s">
        <v>22</v>
      </c>
      <c r="F1965">
        <v>211</v>
      </c>
      <c r="G1965">
        <v>36</v>
      </c>
      <c r="H1965">
        <v>0.19</v>
      </c>
      <c r="I1965" t="s">
        <v>15</v>
      </c>
      <c r="J1965">
        <v>0</v>
      </c>
      <c r="K1965">
        <v>1</v>
      </c>
      <c r="L1965">
        <v>1</v>
      </c>
      <c r="M1965">
        <f>VLOOKUP(Table1[[#This Row],[subscription_type]],Plans!$A$1:$B$5,2,FALSE)</f>
        <v>9.99</v>
      </c>
      <c r="N1965">
        <f t="shared" si="30"/>
        <v>9.99</v>
      </c>
    </row>
    <row r="1966" spans="1:14" x14ac:dyDescent="0.35">
      <c r="A1966">
        <v>1965</v>
      </c>
      <c r="B1966" t="s">
        <v>16</v>
      </c>
      <c r="C1966">
        <v>50</v>
      </c>
      <c r="D1966" t="s">
        <v>27</v>
      </c>
      <c r="E1966" t="s">
        <v>22</v>
      </c>
      <c r="F1966">
        <v>260</v>
      </c>
      <c r="G1966">
        <v>7</v>
      </c>
      <c r="H1966">
        <v>0.09</v>
      </c>
      <c r="I1966" t="s">
        <v>19</v>
      </c>
      <c r="J1966">
        <v>0</v>
      </c>
      <c r="K1966">
        <v>1</v>
      </c>
      <c r="L1966">
        <v>0</v>
      </c>
      <c r="M1966">
        <f>VLOOKUP(Table1[[#This Row],[subscription_type]],Plans!$A$1:$B$5,2,FALSE)</f>
        <v>9.99</v>
      </c>
      <c r="N1966">
        <f t="shared" si="30"/>
        <v>0</v>
      </c>
    </row>
    <row r="1967" spans="1:14" x14ac:dyDescent="0.35">
      <c r="A1967">
        <v>1966</v>
      </c>
      <c r="B1967" t="s">
        <v>16</v>
      </c>
      <c r="C1967">
        <v>37</v>
      </c>
      <c r="D1967" t="s">
        <v>13</v>
      </c>
      <c r="E1967" t="s">
        <v>14</v>
      </c>
      <c r="F1967">
        <v>189</v>
      </c>
      <c r="G1967">
        <v>77</v>
      </c>
      <c r="H1967">
        <v>0.05</v>
      </c>
      <c r="I1967" t="s">
        <v>15</v>
      </c>
      <c r="J1967">
        <v>39</v>
      </c>
      <c r="K1967">
        <v>0</v>
      </c>
      <c r="L1967">
        <v>0</v>
      </c>
      <c r="M1967">
        <f>VLOOKUP(Table1[[#This Row],[subscription_type]],Plans!$A$1:$B$5,2,FALSE)</f>
        <v>0</v>
      </c>
      <c r="N1967">
        <f t="shared" si="30"/>
        <v>0</v>
      </c>
    </row>
    <row r="1968" spans="1:14" x14ac:dyDescent="0.35">
      <c r="A1968">
        <v>1967</v>
      </c>
      <c r="B1968" t="s">
        <v>12</v>
      </c>
      <c r="C1968">
        <v>50</v>
      </c>
      <c r="D1968" t="s">
        <v>21</v>
      </c>
      <c r="E1968" t="s">
        <v>14</v>
      </c>
      <c r="F1968">
        <v>236</v>
      </c>
      <c r="G1968">
        <v>43</v>
      </c>
      <c r="H1968">
        <v>0.3</v>
      </c>
      <c r="I1968" t="s">
        <v>19</v>
      </c>
      <c r="J1968">
        <v>31</v>
      </c>
      <c r="K1968">
        <v>0</v>
      </c>
      <c r="L1968">
        <v>0</v>
      </c>
      <c r="M1968">
        <f>VLOOKUP(Table1[[#This Row],[subscription_type]],Plans!$A$1:$B$5,2,FALSE)</f>
        <v>0</v>
      </c>
      <c r="N1968">
        <f t="shared" si="30"/>
        <v>0</v>
      </c>
    </row>
    <row r="1969" spans="1:14" x14ac:dyDescent="0.35">
      <c r="A1969">
        <v>1968</v>
      </c>
      <c r="B1969" t="s">
        <v>20</v>
      </c>
      <c r="C1969">
        <v>26</v>
      </c>
      <c r="D1969" t="s">
        <v>28</v>
      </c>
      <c r="E1969" t="s">
        <v>14</v>
      </c>
      <c r="F1969">
        <v>181</v>
      </c>
      <c r="G1969">
        <v>52</v>
      </c>
      <c r="H1969">
        <v>0.48</v>
      </c>
      <c r="I1969" t="s">
        <v>23</v>
      </c>
      <c r="J1969">
        <v>36</v>
      </c>
      <c r="K1969">
        <v>0</v>
      </c>
      <c r="L1969">
        <v>0</v>
      </c>
      <c r="M1969">
        <f>VLOOKUP(Table1[[#This Row],[subscription_type]],Plans!$A$1:$B$5,2,FALSE)</f>
        <v>0</v>
      </c>
      <c r="N1969">
        <f t="shared" si="30"/>
        <v>0</v>
      </c>
    </row>
    <row r="1970" spans="1:14" x14ac:dyDescent="0.35">
      <c r="A1970">
        <v>1969</v>
      </c>
      <c r="B1970" t="s">
        <v>20</v>
      </c>
      <c r="C1970">
        <v>24</v>
      </c>
      <c r="D1970" t="s">
        <v>25</v>
      </c>
      <c r="E1970" t="s">
        <v>24</v>
      </c>
      <c r="F1970">
        <v>118</v>
      </c>
      <c r="G1970">
        <v>18</v>
      </c>
      <c r="H1970">
        <v>0.5</v>
      </c>
      <c r="I1970" t="s">
        <v>19</v>
      </c>
      <c r="J1970">
        <v>0</v>
      </c>
      <c r="K1970">
        <v>1</v>
      </c>
      <c r="L1970">
        <v>0</v>
      </c>
      <c r="M1970">
        <f>VLOOKUP(Table1[[#This Row],[subscription_type]],Plans!$A$1:$B$5,2,FALSE)</f>
        <v>4.99</v>
      </c>
      <c r="N1970">
        <f t="shared" si="30"/>
        <v>0</v>
      </c>
    </row>
    <row r="1971" spans="1:14" x14ac:dyDescent="0.35">
      <c r="A1971">
        <v>1970</v>
      </c>
      <c r="B1971" t="s">
        <v>16</v>
      </c>
      <c r="C1971">
        <v>46</v>
      </c>
      <c r="D1971" t="s">
        <v>21</v>
      </c>
      <c r="E1971" t="s">
        <v>22</v>
      </c>
      <c r="F1971">
        <v>124</v>
      </c>
      <c r="G1971">
        <v>64</v>
      </c>
      <c r="H1971">
        <v>0.11</v>
      </c>
      <c r="I1971" t="s">
        <v>15</v>
      </c>
      <c r="J1971">
        <v>0</v>
      </c>
      <c r="K1971">
        <v>1</v>
      </c>
      <c r="L1971">
        <v>0</v>
      </c>
      <c r="M1971">
        <f>VLOOKUP(Table1[[#This Row],[subscription_type]],Plans!$A$1:$B$5,2,FALSE)</f>
        <v>9.99</v>
      </c>
      <c r="N1971">
        <f t="shared" si="30"/>
        <v>0</v>
      </c>
    </row>
    <row r="1972" spans="1:14" x14ac:dyDescent="0.35">
      <c r="A1972">
        <v>1971</v>
      </c>
      <c r="B1972" t="s">
        <v>12</v>
      </c>
      <c r="C1972">
        <v>52</v>
      </c>
      <c r="D1972" t="s">
        <v>29</v>
      </c>
      <c r="E1972" t="s">
        <v>24</v>
      </c>
      <c r="F1972">
        <v>175</v>
      </c>
      <c r="G1972">
        <v>28</v>
      </c>
      <c r="H1972">
        <v>0.16</v>
      </c>
      <c r="I1972" t="s">
        <v>19</v>
      </c>
      <c r="J1972">
        <v>0</v>
      </c>
      <c r="K1972">
        <v>1</v>
      </c>
      <c r="L1972">
        <v>1</v>
      </c>
      <c r="M1972">
        <f>VLOOKUP(Table1[[#This Row],[subscription_type]],Plans!$A$1:$B$5,2,FALSE)</f>
        <v>4.99</v>
      </c>
      <c r="N1972">
        <f t="shared" si="30"/>
        <v>4.99</v>
      </c>
    </row>
    <row r="1973" spans="1:14" x14ac:dyDescent="0.35">
      <c r="A1973">
        <v>1972</v>
      </c>
      <c r="B1973" t="s">
        <v>12</v>
      </c>
      <c r="C1973">
        <v>53</v>
      </c>
      <c r="D1973" t="s">
        <v>26</v>
      </c>
      <c r="E1973" t="s">
        <v>22</v>
      </c>
      <c r="F1973">
        <v>138</v>
      </c>
      <c r="G1973">
        <v>66</v>
      </c>
      <c r="H1973">
        <v>0.03</v>
      </c>
      <c r="I1973" t="s">
        <v>19</v>
      </c>
      <c r="J1973">
        <v>0</v>
      </c>
      <c r="K1973">
        <v>1</v>
      </c>
      <c r="L1973">
        <v>0</v>
      </c>
      <c r="M1973">
        <f>VLOOKUP(Table1[[#This Row],[subscription_type]],Plans!$A$1:$B$5,2,FALSE)</f>
        <v>9.99</v>
      </c>
      <c r="N1973">
        <f t="shared" si="30"/>
        <v>0</v>
      </c>
    </row>
    <row r="1974" spans="1:14" x14ac:dyDescent="0.35">
      <c r="A1974">
        <v>1973</v>
      </c>
      <c r="B1974" t="s">
        <v>16</v>
      </c>
      <c r="C1974">
        <v>56</v>
      </c>
      <c r="D1974" t="s">
        <v>28</v>
      </c>
      <c r="E1974" t="s">
        <v>14</v>
      </c>
      <c r="F1974">
        <v>258</v>
      </c>
      <c r="G1974">
        <v>53</v>
      </c>
      <c r="H1974">
        <v>0.48</v>
      </c>
      <c r="I1974" t="s">
        <v>15</v>
      </c>
      <c r="J1974">
        <v>24</v>
      </c>
      <c r="K1974">
        <v>0</v>
      </c>
      <c r="L1974">
        <v>1</v>
      </c>
      <c r="M1974">
        <f>VLOOKUP(Table1[[#This Row],[subscription_type]],Plans!$A$1:$B$5,2,FALSE)</f>
        <v>0</v>
      </c>
      <c r="N1974">
        <f t="shared" si="30"/>
        <v>0</v>
      </c>
    </row>
    <row r="1975" spans="1:14" x14ac:dyDescent="0.35">
      <c r="A1975">
        <v>1974</v>
      </c>
      <c r="B1975" t="s">
        <v>20</v>
      </c>
      <c r="C1975">
        <v>39</v>
      </c>
      <c r="D1975" t="s">
        <v>17</v>
      </c>
      <c r="E1975" t="s">
        <v>18</v>
      </c>
      <c r="F1975">
        <v>130</v>
      </c>
      <c r="G1975">
        <v>36</v>
      </c>
      <c r="H1975">
        <v>0.57999999999999996</v>
      </c>
      <c r="I1975" t="s">
        <v>15</v>
      </c>
      <c r="J1975">
        <v>0</v>
      </c>
      <c r="K1975">
        <v>1</v>
      </c>
      <c r="L1975">
        <v>0</v>
      </c>
      <c r="M1975">
        <f>VLOOKUP(Table1[[#This Row],[subscription_type]],Plans!$A$1:$B$5,2,FALSE)</f>
        <v>14.99</v>
      </c>
      <c r="N1975">
        <f t="shared" si="30"/>
        <v>0</v>
      </c>
    </row>
    <row r="1976" spans="1:14" x14ac:dyDescent="0.35">
      <c r="A1976">
        <v>1975</v>
      </c>
      <c r="B1976" t="s">
        <v>16</v>
      </c>
      <c r="C1976">
        <v>30</v>
      </c>
      <c r="D1976" t="s">
        <v>27</v>
      </c>
      <c r="E1976" t="s">
        <v>18</v>
      </c>
      <c r="F1976">
        <v>179</v>
      </c>
      <c r="G1976">
        <v>48</v>
      </c>
      <c r="H1976">
        <v>0.18</v>
      </c>
      <c r="I1976" t="s">
        <v>23</v>
      </c>
      <c r="J1976">
        <v>0</v>
      </c>
      <c r="K1976">
        <v>1</v>
      </c>
      <c r="L1976">
        <v>0</v>
      </c>
      <c r="M1976">
        <f>VLOOKUP(Table1[[#This Row],[subscription_type]],Plans!$A$1:$B$5,2,FALSE)</f>
        <v>14.99</v>
      </c>
      <c r="N1976">
        <f t="shared" si="30"/>
        <v>0</v>
      </c>
    </row>
    <row r="1977" spans="1:14" x14ac:dyDescent="0.35">
      <c r="A1977">
        <v>1976</v>
      </c>
      <c r="B1977" t="s">
        <v>16</v>
      </c>
      <c r="C1977">
        <v>23</v>
      </c>
      <c r="D1977" t="s">
        <v>21</v>
      </c>
      <c r="E1977" t="s">
        <v>24</v>
      </c>
      <c r="F1977">
        <v>161</v>
      </c>
      <c r="G1977">
        <v>9</v>
      </c>
      <c r="H1977">
        <v>0.43</v>
      </c>
      <c r="I1977" t="s">
        <v>15</v>
      </c>
      <c r="J1977">
        <v>0</v>
      </c>
      <c r="K1977">
        <v>1</v>
      </c>
      <c r="L1977">
        <v>0</v>
      </c>
      <c r="M1977">
        <f>VLOOKUP(Table1[[#This Row],[subscription_type]],Plans!$A$1:$B$5,2,FALSE)</f>
        <v>4.99</v>
      </c>
      <c r="N1977">
        <f t="shared" si="30"/>
        <v>0</v>
      </c>
    </row>
    <row r="1978" spans="1:14" x14ac:dyDescent="0.35">
      <c r="A1978">
        <v>1977</v>
      </c>
      <c r="B1978" t="s">
        <v>12</v>
      </c>
      <c r="C1978">
        <v>39</v>
      </c>
      <c r="D1978" t="s">
        <v>13</v>
      </c>
      <c r="E1978" t="s">
        <v>14</v>
      </c>
      <c r="F1978">
        <v>51</v>
      </c>
      <c r="G1978">
        <v>11</v>
      </c>
      <c r="H1978">
        <v>0.56000000000000005</v>
      </c>
      <c r="I1978" t="s">
        <v>23</v>
      </c>
      <c r="J1978">
        <v>23</v>
      </c>
      <c r="K1978">
        <v>0</v>
      </c>
      <c r="L1978">
        <v>1</v>
      </c>
      <c r="M1978">
        <f>VLOOKUP(Table1[[#This Row],[subscription_type]],Plans!$A$1:$B$5,2,FALSE)</f>
        <v>0</v>
      </c>
      <c r="N1978">
        <f t="shared" si="30"/>
        <v>0</v>
      </c>
    </row>
    <row r="1979" spans="1:14" x14ac:dyDescent="0.35">
      <c r="A1979">
        <v>1978</v>
      </c>
      <c r="B1979" t="s">
        <v>12</v>
      </c>
      <c r="C1979">
        <v>55</v>
      </c>
      <c r="D1979" t="s">
        <v>28</v>
      </c>
      <c r="E1979" t="s">
        <v>22</v>
      </c>
      <c r="F1979">
        <v>248</v>
      </c>
      <c r="G1979">
        <v>74</v>
      </c>
      <c r="H1979">
        <v>0.52</v>
      </c>
      <c r="I1979" t="s">
        <v>19</v>
      </c>
      <c r="J1979">
        <v>0</v>
      </c>
      <c r="K1979">
        <v>1</v>
      </c>
      <c r="L1979">
        <v>0</v>
      </c>
      <c r="M1979">
        <f>VLOOKUP(Table1[[#This Row],[subscription_type]],Plans!$A$1:$B$5,2,FALSE)</f>
        <v>9.99</v>
      </c>
      <c r="N1979">
        <f t="shared" si="30"/>
        <v>0</v>
      </c>
    </row>
    <row r="1980" spans="1:14" x14ac:dyDescent="0.35">
      <c r="A1980">
        <v>1979</v>
      </c>
      <c r="B1980" t="s">
        <v>20</v>
      </c>
      <c r="C1980">
        <v>28</v>
      </c>
      <c r="D1980" t="s">
        <v>28</v>
      </c>
      <c r="E1980" t="s">
        <v>22</v>
      </c>
      <c r="F1980">
        <v>213</v>
      </c>
      <c r="G1980">
        <v>89</v>
      </c>
      <c r="H1980">
        <v>0.28000000000000003</v>
      </c>
      <c r="I1980" t="s">
        <v>19</v>
      </c>
      <c r="J1980">
        <v>0</v>
      </c>
      <c r="K1980">
        <v>1</v>
      </c>
      <c r="L1980">
        <v>0</v>
      </c>
      <c r="M1980">
        <f>VLOOKUP(Table1[[#This Row],[subscription_type]],Plans!$A$1:$B$5,2,FALSE)</f>
        <v>9.99</v>
      </c>
      <c r="N1980">
        <f t="shared" si="30"/>
        <v>0</v>
      </c>
    </row>
    <row r="1981" spans="1:14" x14ac:dyDescent="0.35">
      <c r="A1981">
        <v>1980</v>
      </c>
      <c r="B1981" t="s">
        <v>20</v>
      </c>
      <c r="C1981">
        <v>31</v>
      </c>
      <c r="D1981" t="s">
        <v>13</v>
      </c>
      <c r="E1981" t="s">
        <v>18</v>
      </c>
      <c r="F1981">
        <v>169</v>
      </c>
      <c r="G1981">
        <v>64</v>
      </c>
      <c r="H1981">
        <v>0.31</v>
      </c>
      <c r="I1981" t="s">
        <v>19</v>
      </c>
      <c r="J1981">
        <v>0</v>
      </c>
      <c r="K1981">
        <v>1</v>
      </c>
      <c r="L1981">
        <v>1</v>
      </c>
      <c r="M1981">
        <f>VLOOKUP(Table1[[#This Row],[subscription_type]],Plans!$A$1:$B$5,2,FALSE)</f>
        <v>14.99</v>
      </c>
      <c r="N1981">
        <f t="shared" si="30"/>
        <v>14.99</v>
      </c>
    </row>
    <row r="1982" spans="1:14" x14ac:dyDescent="0.35">
      <c r="A1982">
        <v>1981</v>
      </c>
      <c r="B1982" t="s">
        <v>20</v>
      </c>
      <c r="C1982">
        <v>46</v>
      </c>
      <c r="D1982" t="s">
        <v>26</v>
      </c>
      <c r="E1982" t="s">
        <v>18</v>
      </c>
      <c r="F1982">
        <v>168</v>
      </c>
      <c r="G1982">
        <v>5</v>
      </c>
      <c r="H1982">
        <v>0.49</v>
      </c>
      <c r="I1982" t="s">
        <v>23</v>
      </c>
      <c r="J1982">
        <v>0</v>
      </c>
      <c r="K1982">
        <v>1</v>
      </c>
      <c r="L1982">
        <v>1</v>
      </c>
      <c r="M1982">
        <f>VLOOKUP(Table1[[#This Row],[subscription_type]],Plans!$A$1:$B$5,2,FALSE)</f>
        <v>14.99</v>
      </c>
      <c r="N1982">
        <f t="shared" si="30"/>
        <v>14.99</v>
      </c>
    </row>
    <row r="1983" spans="1:14" x14ac:dyDescent="0.35">
      <c r="A1983">
        <v>1982</v>
      </c>
      <c r="B1983" t="s">
        <v>16</v>
      </c>
      <c r="C1983">
        <v>20</v>
      </c>
      <c r="D1983" t="s">
        <v>28</v>
      </c>
      <c r="E1983" t="s">
        <v>18</v>
      </c>
      <c r="F1983">
        <v>133</v>
      </c>
      <c r="G1983">
        <v>5</v>
      </c>
      <c r="H1983">
        <v>0.12</v>
      </c>
      <c r="I1983" t="s">
        <v>19</v>
      </c>
      <c r="J1983">
        <v>0</v>
      </c>
      <c r="K1983">
        <v>1</v>
      </c>
      <c r="L1983">
        <v>0</v>
      </c>
      <c r="M1983">
        <f>VLOOKUP(Table1[[#This Row],[subscription_type]],Plans!$A$1:$B$5,2,FALSE)</f>
        <v>14.99</v>
      </c>
      <c r="N1983">
        <f t="shared" si="30"/>
        <v>0</v>
      </c>
    </row>
    <row r="1984" spans="1:14" x14ac:dyDescent="0.35">
      <c r="A1984">
        <v>1983</v>
      </c>
      <c r="B1984" t="s">
        <v>12</v>
      </c>
      <c r="C1984">
        <v>50</v>
      </c>
      <c r="D1984" t="s">
        <v>25</v>
      </c>
      <c r="E1984" t="s">
        <v>22</v>
      </c>
      <c r="F1984">
        <v>203</v>
      </c>
      <c r="G1984">
        <v>71</v>
      </c>
      <c r="H1984">
        <v>0.34</v>
      </c>
      <c r="I1984" t="s">
        <v>19</v>
      </c>
      <c r="J1984">
        <v>0</v>
      </c>
      <c r="K1984">
        <v>1</v>
      </c>
      <c r="L1984">
        <v>1</v>
      </c>
      <c r="M1984">
        <f>VLOOKUP(Table1[[#This Row],[subscription_type]],Plans!$A$1:$B$5,2,FALSE)</f>
        <v>9.99</v>
      </c>
      <c r="N1984">
        <f t="shared" si="30"/>
        <v>9.99</v>
      </c>
    </row>
    <row r="1985" spans="1:14" x14ac:dyDescent="0.35">
      <c r="A1985">
        <v>1984</v>
      </c>
      <c r="B1985" t="s">
        <v>20</v>
      </c>
      <c r="C1985">
        <v>55</v>
      </c>
      <c r="D1985" t="s">
        <v>28</v>
      </c>
      <c r="E1985" t="s">
        <v>22</v>
      </c>
      <c r="F1985">
        <v>176</v>
      </c>
      <c r="G1985">
        <v>91</v>
      </c>
      <c r="H1985">
        <v>0.2</v>
      </c>
      <c r="I1985" t="s">
        <v>15</v>
      </c>
      <c r="J1985">
        <v>0</v>
      </c>
      <c r="K1985">
        <v>1</v>
      </c>
      <c r="L1985">
        <v>0</v>
      </c>
      <c r="M1985">
        <f>VLOOKUP(Table1[[#This Row],[subscription_type]],Plans!$A$1:$B$5,2,FALSE)</f>
        <v>9.99</v>
      </c>
      <c r="N1985">
        <f t="shared" si="30"/>
        <v>0</v>
      </c>
    </row>
    <row r="1986" spans="1:14" x14ac:dyDescent="0.35">
      <c r="A1986">
        <v>1985</v>
      </c>
      <c r="B1986" t="s">
        <v>20</v>
      </c>
      <c r="C1986">
        <v>40</v>
      </c>
      <c r="D1986" t="s">
        <v>26</v>
      </c>
      <c r="E1986" t="s">
        <v>22</v>
      </c>
      <c r="F1986">
        <v>136</v>
      </c>
      <c r="G1986">
        <v>72</v>
      </c>
      <c r="H1986">
        <v>0.52</v>
      </c>
      <c r="I1986" t="s">
        <v>15</v>
      </c>
      <c r="J1986">
        <v>0</v>
      </c>
      <c r="K1986">
        <v>1</v>
      </c>
      <c r="L1986">
        <v>0</v>
      </c>
      <c r="M1986">
        <f>VLOOKUP(Table1[[#This Row],[subscription_type]],Plans!$A$1:$B$5,2,FALSE)</f>
        <v>9.99</v>
      </c>
      <c r="N1986">
        <f t="shared" ref="N1986:N2049" si="31">IF(L1986=1, M1986,0)</f>
        <v>0</v>
      </c>
    </row>
    <row r="1987" spans="1:14" x14ac:dyDescent="0.35">
      <c r="A1987">
        <v>1986</v>
      </c>
      <c r="B1987" t="s">
        <v>16</v>
      </c>
      <c r="C1987">
        <v>54</v>
      </c>
      <c r="D1987" t="s">
        <v>17</v>
      </c>
      <c r="E1987" t="s">
        <v>22</v>
      </c>
      <c r="F1987">
        <v>198</v>
      </c>
      <c r="G1987">
        <v>68</v>
      </c>
      <c r="H1987">
        <v>0.28999999999999998</v>
      </c>
      <c r="I1987" t="s">
        <v>19</v>
      </c>
      <c r="J1987">
        <v>0</v>
      </c>
      <c r="K1987">
        <v>1</v>
      </c>
      <c r="L1987">
        <v>0</v>
      </c>
      <c r="M1987">
        <f>VLOOKUP(Table1[[#This Row],[subscription_type]],Plans!$A$1:$B$5,2,FALSE)</f>
        <v>9.99</v>
      </c>
      <c r="N1987">
        <f t="shared" si="31"/>
        <v>0</v>
      </c>
    </row>
    <row r="1988" spans="1:14" x14ac:dyDescent="0.35">
      <c r="A1988">
        <v>1987</v>
      </c>
      <c r="B1988" t="s">
        <v>20</v>
      </c>
      <c r="C1988">
        <v>19</v>
      </c>
      <c r="D1988" t="s">
        <v>17</v>
      </c>
      <c r="E1988" t="s">
        <v>18</v>
      </c>
      <c r="F1988">
        <v>125</v>
      </c>
      <c r="G1988">
        <v>42</v>
      </c>
      <c r="H1988">
        <v>0.5</v>
      </c>
      <c r="I1988" t="s">
        <v>23</v>
      </c>
      <c r="J1988">
        <v>0</v>
      </c>
      <c r="K1988">
        <v>1</v>
      </c>
      <c r="L1988">
        <v>0</v>
      </c>
      <c r="M1988">
        <f>VLOOKUP(Table1[[#This Row],[subscription_type]],Plans!$A$1:$B$5,2,FALSE)</f>
        <v>14.99</v>
      </c>
      <c r="N1988">
        <f t="shared" si="31"/>
        <v>0</v>
      </c>
    </row>
    <row r="1989" spans="1:14" x14ac:dyDescent="0.35">
      <c r="A1989">
        <v>1988</v>
      </c>
      <c r="B1989" t="s">
        <v>12</v>
      </c>
      <c r="C1989">
        <v>40</v>
      </c>
      <c r="D1989" t="s">
        <v>21</v>
      </c>
      <c r="E1989" t="s">
        <v>18</v>
      </c>
      <c r="F1989">
        <v>62</v>
      </c>
      <c r="G1989">
        <v>48</v>
      </c>
      <c r="H1989">
        <v>0.02</v>
      </c>
      <c r="I1989" t="s">
        <v>23</v>
      </c>
      <c r="J1989">
        <v>0</v>
      </c>
      <c r="K1989">
        <v>1</v>
      </c>
      <c r="L1989">
        <v>0</v>
      </c>
      <c r="M1989">
        <f>VLOOKUP(Table1[[#This Row],[subscription_type]],Plans!$A$1:$B$5,2,FALSE)</f>
        <v>14.99</v>
      </c>
      <c r="N1989">
        <f t="shared" si="31"/>
        <v>0</v>
      </c>
    </row>
    <row r="1990" spans="1:14" x14ac:dyDescent="0.35">
      <c r="A1990">
        <v>1989</v>
      </c>
      <c r="B1990" t="s">
        <v>12</v>
      </c>
      <c r="C1990">
        <v>41</v>
      </c>
      <c r="D1990" t="s">
        <v>29</v>
      </c>
      <c r="E1990" t="s">
        <v>18</v>
      </c>
      <c r="F1990">
        <v>284</v>
      </c>
      <c r="G1990">
        <v>52</v>
      </c>
      <c r="H1990">
        <v>0.1</v>
      </c>
      <c r="I1990" t="s">
        <v>19</v>
      </c>
      <c r="J1990">
        <v>0</v>
      </c>
      <c r="K1990">
        <v>1</v>
      </c>
      <c r="L1990">
        <v>0</v>
      </c>
      <c r="M1990">
        <f>VLOOKUP(Table1[[#This Row],[subscription_type]],Plans!$A$1:$B$5,2,FALSE)</f>
        <v>14.99</v>
      </c>
      <c r="N1990">
        <f t="shared" si="31"/>
        <v>0</v>
      </c>
    </row>
    <row r="1991" spans="1:14" x14ac:dyDescent="0.35">
      <c r="A1991">
        <v>1990</v>
      </c>
      <c r="B1991" t="s">
        <v>16</v>
      </c>
      <c r="C1991">
        <v>22</v>
      </c>
      <c r="D1991" t="s">
        <v>25</v>
      </c>
      <c r="E1991" t="s">
        <v>18</v>
      </c>
      <c r="F1991">
        <v>72</v>
      </c>
      <c r="G1991">
        <v>7</v>
      </c>
      <c r="H1991">
        <v>0.5</v>
      </c>
      <c r="I1991" t="s">
        <v>23</v>
      </c>
      <c r="J1991">
        <v>0</v>
      </c>
      <c r="K1991">
        <v>1</v>
      </c>
      <c r="L1991">
        <v>0</v>
      </c>
      <c r="M1991">
        <f>VLOOKUP(Table1[[#This Row],[subscription_type]],Plans!$A$1:$B$5,2,FALSE)</f>
        <v>14.99</v>
      </c>
      <c r="N1991">
        <f t="shared" si="31"/>
        <v>0</v>
      </c>
    </row>
    <row r="1992" spans="1:14" x14ac:dyDescent="0.35">
      <c r="A1992">
        <v>1991</v>
      </c>
      <c r="B1992" t="s">
        <v>12</v>
      </c>
      <c r="C1992">
        <v>19</v>
      </c>
      <c r="D1992" t="s">
        <v>21</v>
      </c>
      <c r="E1992" t="s">
        <v>24</v>
      </c>
      <c r="F1992">
        <v>163</v>
      </c>
      <c r="G1992">
        <v>36</v>
      </c>
      <c r="H1992">
        <v>0.1</v>
      </c>
      <c r="I1992" t="s">
        <v>19</v>
      </c>
      <c r="J1992">
        <v>0</v>
      </c>
      <c r="K1992">
        <v>1</v>
      </c>
      <c r="L1992">
        <v>1</v>
      </c>
      <c r="M1992">
        <f>VLOOKUP(Table1[[#This Row],[subscription_type]],Plans!$A$1:$B$5,2,FALSE)</f>
        <v>4.99</v>
      </c>
      <c r="N1992">
        <f t="shared" si="31"/>
        <v>4.99</v>
      </c>
    </row>
    <row r="1993" spans="1:14" x14ac:dyDescent="0.35">
      <c r="A1993">
        <v>1992</v>
      </c>
      <c r="B1993" t="s">
        <v>20</v>
      </c>
      <c r="C1993">
        <v>20</v>
      </c>
      <c r="D1993" t="s">
        <v>13</v>
      </c>
      <c r="E1993" t="s">
        <v>14</v>
      </c>
      <c r="F1993">
        <v>107</v>
      </c>
      <c r="G1993">
        <v>12</v>
      </c>
      <c r="H1993">
        <v>0.44</v>
      </c>
      <c r="I1993" t="s">
        <v>19</v>
      </c>
      <c r="J1993">
        <v>30</v>
      </c>
      <c r="K1993">
        <v>0</v>
      </c>
      <c r="L1993">
        <v>0</v>
      </c>
      <c r="M1993">
        <f>VLOOKUP(Table1[[#This Row],[subscription_type]],Plans!$A$1:$B$5,2,FALSE)</f>
        <v>0</v>
      </c>
      <c r="N1993">
        <f t="shared" si="31"/>
        <v>0</v>
      </c>
    </row>
    <row r="1994" spans="1:14" x14ac:dyDescent="0.35">
      <c r="A1994">
        <v>1993</v>
      </c>
      <c r="B1994" t="s">
        <v>16</v>
      </c>
      <c r="C1994">
        <v>50</v>
      </c>
      <c r="D1994" t="s">
        <v>21</v>
      </c>
      <c r="E1994" t="s">
        <v>18</v>
      </c>
      <c r="F1994">
        <v>90</v>
      </c>
      <c r="G1994">
        <v>50</v>
      </c>
      <c r="H1994">
        <v>0.15</v>
      </c>
      <c r="I1994" t="s">
        <v>23</v>
      </c>
      <c r="J1994">
        <v>0</v>
      </c>
      <c r="K1994">
        <v>1</v>
      </c>
      <c r="L1994">
        <v>1</v>
      </c>
      <c r="M1994">
        <f>VLOOKUP(Table1[[#This Row],[subscription_type]],Plans!$A$1:$B$5,2,FALSE)</f>
        <v>14.99</v>
      </c>
      <c r="N1994">
        <f t="shared" si="31"/>
        <v>14.99</v>
      </c>
    </row>
    <row r="1995" spans="1:14" x14ac:dyDescent="0.35">
      <c r="A1995">
        <v>1994</v>
      </c>
      <c r="B1995" t="s">
        <v>16</v>
      </c>
      <c r="C1995">
        <v>36</v>
      </c>
      <c r="D1995" t="s">
        <v>28</v>
      </c>
      <c r="E1995" t="s">
        <v>24</v>
      </c>
      <c r="F1995">
        <v>160</v>
      </c>
      <c r="G1995">
        <v>67</v>
      </c>
      <c r="H1995">
        <v>0.46</v>
      </c>
      <c r="I1995" t="s">
        <v>15</v>
      </c>
      <c r="J1995">
        <v>0</v>
      </c>
      <c r="K1995">
        <v>1</v>
      </c>
      <c r="L1995">
        <v>0</v>
      </c>
      <c r="M1995">
        <f>VLOOKUP(Table1[[#This Row],[subscription_type]],Plans!$A$1:$B$5,2,FALSE)</f>
        <v>4.99</v>
      </c>
      <c r="N1995">
        <f t="shared" si="31"/>
        <v>0</v>
      </c>
    </row>
    <row r="1996" spans="1:14" x14ac:dyDescent="0.35">
      <c r="A1996">
        <v>1995</v>
      </c>
      <c r="B1996" t="s">
        <v>16</v>
      </c>
      <c r="C1996">
        <v>34</v>
      </c>
      <c r="D1996" t="s">
        <v>17</v>
      </c>
      <c r="E1996" t="s">
        <v>18</v>
      </c>
      <c r="F1996">
        <v>112</v>
      </c>
      <c r="G1996">
        <v>34</v>
      </c>
      <c r="H1996">
        <v>0.25</v>
      </c>
      <c r="I1996" t="s">
        <v>15</v>
      </c>
      <c r="J1996">
        <v>0</v>
      </c>
      <c r="K1996">
        <v>1</v>
      </c>
      <c r="L1996">
        <v>0</v>
      </c>
      <c r="M1996">
        <f>VLOOKUP(Table1[[#This Row],[subscription_type]],Plans!$A$1:$B$5,2,FALSE)</f>
        <v>14.99</v>
      </c>
      <c r="N1996">
        <f t="shared" si="31"/>
        <v>0</v>
      </c>
    </row>
    <row r="1997" spans="1:14" x14ac:dyDescent="0.35">
      <c r="A1997">
        <v>1996</v>
      </c>
      <c r="B1997" t="s">
        <v>20</v>
      </c>
      <c r="C1997">
        <v>56</v>
      </c>
      <c r="D1997" t="s">
        <v>17</v>
      </c>
      <c r="E1997" t="s">
        <v>18</v>
      </c>
      <c r="F1997">
        <v>123</v>
      </c>
      <c r="G1997">
        <v>96</v>
      </c>
      <c r="H1997">
        <v>0.42</v>
      </c>
      <c r="I1997" t="s">
        <v>19</v>
      </c>
      <c r="J1997">
        <v>0</v>
      </c>
      <c r="K1997">
        <v>1</v>
      </c>
      <c r="L1997">
        <v>1</v>
      </c>
      <c r="M1997">
        <f>VLOOKUP(Table1[[#This Row],[subscription_type]],Plans!$A$1:$B$5,2,FALSE)</f>
        <v>14.99</v>
      </c>
      <c r="N1997">
        <f t="shared" si="31"/>
        <v>14.99</v>
      </c>
    </row>
    <row r="1998" spans="1:14" x14ac:dyDescent="0.35">
      <c r="A1998">
        <v>1997</v>
      </c>
      <c r="B1998" t="s">
        <v>20</v>
      </c>
      <c r="C1998">
        <v>51</v>
      </c>
      <c r="D1998" t="s">
        <v>25</v>
      </c>
      <c r="E1998" t="s">
        <v>24</v>
      </c>
      <c r="F1998">
        <v>42</v>
      </c>
      <c r="G1998">
        <v>21</v>
      </c>
      <c r="H1998">
        <v>0.03</v>
      </c>
      <c r="I1998" t="s">
        <v>23</v>
      </c>
      <c r="J1998">
        <v>0</v>
      </c>
      <c r="K1998">
        <v>1</v>
      </c>
      <c r="L1998">
        <v>0</v>
      </c>
      <c r="M1998">
        <f>VLOOKUP(Table1[[#This Row],[subscription_type]],Plans!$A$1:$B$5,2,FALSE)</f>
        <v>4.99</v>
      </c>
      <c r="N1998">
        <f t="shared" si="31"/>
        <v>0</v>
      </c>
    </row>
    <row r="1999" spans="1:14" x14ac:dyDescent="0.35">
      <c r="A1999">
        <v>1998</v>
      </c>
      <c r="B1999" t="s">
        <v>20</v>
      </c>
      <c r="C1999">
        <v>36</v>
      </c>
      <c r="D1999" t="s">
        <v>17</v>
      </c>
      <c r="E1999" t="s">
        <v>24</v>
      </c>
      <c r="F1999">
        <v>30</v>
      </c>
      <c r="G1999">
        <v>18</v>
      </c>
      <c r="H1999">
        <v>0.05</v>
      </c>
      <c r="I1999" t="s">
        <v>15</v>
      </c>
      <c r="J1999">
        <v>0</v>
      </c>
      <c r="K1999">
        <v>1</v>
      </c>
      <c r="L1999">
        <v>0</v>
      </c>
      <c r="M1999">
        <f>VLOOKUP(Table1[[#This Row],[subscription_type]],Plans!$A$1:$B$5,2,FALSE)</f>
        <v>4.99</v>
      </c>
      <c r="N1999">
        <f t="shared" si="31"/>
        <v>0</v>
      </c>
    </row>
    <row r="2000" spans="1:14" x14ac:dyDescent="0.35">
      <c r="A2000">
        <v>1999</v>
      </c>
      <c r="B2000" t="s">
        <v>20</v>
      </c>
      <c r="C2000">
        <v>50</v>
      </c>
      <c r="D2000" t="s">
        <v>26</v>
      </c>
      <c r="E2000" t="s">
        <v>22</v>
      </c>
      <c r="F2000">
        <v>151</v>
      </c>
      <c r="G2000">
        <v>8</v>
      </c>
      <c r="H2000">
        <v>0.27</v>
      </c>
      <c r="I2000" t="s">
        <v>23</v>
      </c>
      <c r="J2000">
        <v>0</v>
      </c>
      <c r="K2000">
        <v>1</v>
      </c>
      <c r="L2000">
        <v>0</v>
      </c>
      <c r="M2000">
        <f>VLOOKUP(Table1[[#This Row],[subscription_type]],Plans!$A$1:$B$5,2,FALSE)</f>
        <v>9.99</v>
      </c>
      <c r="N2000">
        <f t="shared" si="31"/>
        <v>0</v>
      </c>
    </row>
    <row r="2001" spans="1:14" x14ac:dyDescent="0.35">
      <c r="A2001">
        <v>2000</v>
      </c>
      <c r="B2001" t="s">
        <v>12</v>
      </c>
      <c r="C2001">
        <v>28</v>
      </c>
      <c r="D2001" t="s">
        <v>13</v>
      </c>
      <c r="E2001" t="s">
        <v>14</v>
      </c>
      <c r="F2001">
        <v>133</v>
      </c>
      <c r="G2001">
        <v>23</v>
      </c>
      <c r="H2001">
        <v>0.42</v>
      </c>
      <c r="I2001" t="s">
        <v>15</v>
      </c>
      <c r="J2001">
        <v>21</v>
      </c>
      <c r="K2001">
        <v>0</v>
      </c>
      <c r="L2001">
        <v>0</v>
      </c>
      <c r="M2001">
        <f>VLOOKUP(Table1[[#This Row],[subscription_type]],Plans!$A$1:$B$5,2,FALSE)</f>
        <v>0</v>
      </c>
      <c r="N2001">
        <f t="shared" si="31"/>
        <v>0</v>
      </c>
    </row>
    <row r="2002" spans="1:14" x14ac:dyDescent="0.35">
      <c r="A2002">
        <v>2001</v>
      </c>
      <c r="B2002" t="s">
        <v>16</v>
      </c>
      <c r="C2002">
        <v>34</v>
      </c>
      <c r="D2002" t="s">
        <v>28</v>
      </c>
      <c r="E2002" t="s">
        <v>18</v>
      </c>
      <c r="F2002">
        <v>297</v>
      </c>
      <c r="G2002">
        <v>36</v>
      </c>
      <c r="H2002">
        <v>0.39</v>
      </c>
      <c r="I2002" t="s">
        <v>23</v>
      </c>
      <c r="J2002">
        <v>0</v>
      </c>
      <c r="K2002">
        <v>1</v>
      </c>
      <c r="L2002">
        <v>0</v>
      </c>
      <c r="M2002">
        <f>VLOOKUP(Table1[[#This Row],[subscription_type]],Plans!$A$1:$B$5,2,FALSE)</f>
        <v>14.99</v>
      </c>
      <c r="N2002">
        <f t="shared" si="31"/>
        <v>0</v>
      </c>
    </row>
    <row r="2003" spans="1:14" x14ac:dyDescent="0.35">
      <c r="A2003">
        <v>2002</v>
      </c>
      <c r="B2003" t="s">
        <v>16</v>
      </c>
      <c r="C2003">
        <v>17</v>
      </c>
      <c r="D2003" t="s">
        <v>28</v>
      </c>
      <c r="E2003" t="s">
        <v>22</v>
      </c>
      <c r="F2003">
        <v>229</v>
      </c>
      <c r="G2003">
        <v>59</v>
      </c>
      <c r="H2003">
        <v>0.52</v>
      </c>
      <c r="I2003" t="s">
        <v>23</v>
      </c>
      <c r="J2003">
        <v>0</v>
      </c>
      <c r="K2003">
        <v>1</v>
      </c>
      <c r="L2003">
        <v>0</v>
      </c>
      <c r="M2003">
        <f>VLOOKUP(Table1[[#This Row],[subscription_type]],Plans!$A$1:$B$5,2,FALSE)</f>
        <v>9.99</v>
      </c>
      <c r="N2003">
        <f t="shared" si="31"/>
        <v>0</v>
      </c>
    </row>
    <row r="2004" spans="1:14" x14ac:dyDescent="0.35">
      <c r="A2004">
        <v>2003</v>
      </c>
      <c r="B2004" t="s">
        <v>12</v>
      </c>
      <c r="C2004">
        <v>49</v>
      </c>
      <c r="D2004" t="s">
        <v>29</v>
      </c>
      <c r="E2004" t="s">
        <v>18</v>
      </c>
      <c r="F2004">
        <v>123</v>
      </c>
      <c r="G2004">
        <v>99</v>
      </c>
      <c r="H2004">
        <v>0.03</v>
      </c>
      <c r="I2004" t="s">
        <v>15</v>
      </c>
      <c r="J2004">
        <v>0</v>
      </c>
      <c r="K2004">
        <v>1</v>
      </c>
      <c r="L2004">
        <v>0</v>
      </c>
      <c r="M2004">
        <f>VLOOKUP(Table1[[#This Row],[subscription_type]],Plans!$A$1:$B$5,2,FALSE)</f>
        <v>14.99</v>
      </c>
      <c r="N2004">
        <f t="shared" si="31"/>
        <v>0</v>
      </c>
    </row>
    <row r="2005" spans="1:14" x14ac:dyDescent="0.35">
      <c r="A2005">
        <v>2004</v>
      </c>
      <c r="B2005" t="s">
        <v>20</v>
      </c>
      <c r="C2005">
        <v>44</v>
      </c>
      <c r="D2005" t="s">
        <v>17</v>
      </c>
      <c r="E2005" t="s">
        <v>24</v>
      </c>
      <c r="F2005">
        <v>85</v>
      </c>
      <c r="G2005">
        <v>25</v>
      </c>
      <c r="H2005">
        <v>0.38</v>
      </c>
      <c r="I2005" t="s">
        <v>19</v>
      </c>
      <c r="J2005">
        <v>0</v>
      </c>
      <c r="K2005">
        <v>1</v>
      </c>
      <c r="L2005">
        <v>0</v>
      </c>
      <c r="M2005">
        <f>VLOOKUP(Table1[[#This Row],[subscription_type]],Plans!$A$1:$B$5,2,FALSE)</f>
        <v>4.99</v>
      </c>
      <c r="N2005">
        <f t="shared" si="31"/>
        <v>0</v>
      </c>
    </row>
    <row r="2006" spans="1:14" x14ac:dyDescent="0.35">
      <c r="A2006">
        <v>2005</v>
      </c>
      <c r="B2006" t="s">
        <v>16</v>
      </c>
      <c r="C2006">
        <v>34</v>
      </c>
      <c r="D2006" t="s">
        <v>28</v>
      </c>
      <c r="E2006" t="s">
        <v>24</v>
      </c>
      <c r="F2006">
        <v>258</v>
      </c>
      <c r="G2006">
        <v>18</v>
      </c>
      <c r="H2006">
        <v>0.04</v>
      </c>
      <c r="I2006" t="s">
        <v>15</v>
      </c>
      <c r="J2006">
        <v>0</v>
      </c>
      <c r="K2006">
        <v>1</v>
      </c>
      <c r="L2006">
        <v>0</v>
      </c>
      <c r="M2006">
        <f>VLOOKUP(Table1[[#This Row],[subscription_type]],Plans!$A$1:$B$5,2,FALSE)</f>
        <v>4.99</v>
      </c>
      <c r="N2006">
        <f t="shared" si="31"/>
        <v>0</v>
      </c>
    </row>
    <row r="2007" spans="1:14" x14ac:dyDescent="0.35">
      <c r="A2007">
        <v>2006</v>
      </c>
      <c r="B2007" t="s">
        <v>16</v>
      </c>
      <c r="C2007">
        <v>40</v>
      </c>
      <c r="D2007" t="s">
        <v>29</v>
      </c>
      <c r="E2007" t="s">
        <v>24</v>
      </c>
      <c r="F2007">
        <v>92</v>
      </c>
      <c r="G2007">
        <v>24</v>
      </c>
      <c r="H2007">
        <v>0.04</v>
      </c>
      <c r="I2007" t="s">
        <v>23</v>
      </c>
      <c r="J2007">
        <v>0</v>
      </c>
      <c r="K2007">
        <v>1</v>
      </c>
      <c r="L2007">
        <v>0</v>
      </c>
      <c r="M2007">
        <f>VLOOKUP(Table1[[#This Row],[subscription_type]],Plans!$A$1:$B$5,2,FALSE)</f>
        <v>4.99</v>
      </c>
      <c r="N2007">
        <f t="shared" si="31"/>
        <v>0</v>
      </c>
    </row>
    <row r="2008" spans="1:14" x14ac:dyDescent="0.35">
      <c r="A2008">
        <v>2007</v>
      </c>
      <c r="B2008" t="s">
        <v>16</v>
      </c>
      <c r="C2008">
        <v>51</v>
      </c>
      <c r="D2008" t="s">
        <v>25</v>
      </c>
      <c r="E2008" t="s">
        <v>24</v>
      </c>
      <c r="F2008">
        <v>236</v>
      </c>
      <c r="G2008">
        <v>49</v>
      </c>
      <c r="H2008">
        <v>0.6</v>
      </c>
      <c r="I2008" t="s">
        <v>23</v>
      </c>
      <c r="J2008">
        <v>0</v>
      </c>
      <c r="K2008">
        <v>1</v>
      </c>
      <c r="L2008">
        <v>1</v>
      </c>
      <c r="M2008">
        <f>VLOOKUP(Table1[[#This Row],[subscription_type]],Plans!$A$1:$B$5,2,FALSE)</f>
        <v>4.99</v>
      </c>
      <c r="N2008">
        <f t="shared" si="31"/>
        <v>4.99</v>
      </c>
    </row>
    <row r="2009" spans="1:14" x14ac:dyDescent="0.35">
      <c r="A2009">
        <v>2008</v>
      </c>
      <c r="B2009" t="s">
        <v>20</v>
      </c>
      <c r="C2009">
        <v>47</v>
      </c>
      <c r="D2009" t="s">
        <v>29</v>
      </c>
      <c r="E2009" t="s">
        <v>22</v>
      </c>
      <c r="F2009">
        <v>289</v>
      </c>
      <c r="G2009">
        <v>56</v>
      </c>
      <c r="H2009">
        <v>0.34</v>
      </c>
      <c r="I2009" t="s">
        <v>15</v>
      </c>
      <c r="J2009">
        <v>0</v>
      </c>
      <c r="K2009">
        <v>1</v>
      </c>
      <c r="L2009">
        <v>0</v>
      </c>
      <c r="M2009">
        <f>VLOOKUP(Table1[[#This Row],[subscription_type]],Plans!$A$1:$B$5,2,FALSE)</f>
        <v>9.99</v>
      </c>
      <c r="N2009">
        <f t="shared" si="31"/>
        <v>0</v>
      </c>
    </row>
    <row r="2010" spans="1:14" x14ac:dyDescent="0.35">
      <c r="A2010">
        <v>2009</v>
      </c>
      <c r="B2010" t="s">
        <v>20</v>
      </c>
      <c r="C2010">
        <v>38</v>
      </c>
      <c r="D2010" t="s">
        <v>17</v>
      </c>
      <c r="E2010" t="s">
        <v>24</v>
      </c>
      <c r="F2010">
        <v>203</v>
      </c>
      <c r="G2010">
        <v>32</v>
      </c>
      <c r="H2010">
        <v>0.08</v>
      </c>
      <c r="I2010" t="s">
        <v>15</v>
      </c>
      <c r="J2010">
        <v>0</v>
      </c>
      <c r="K2010">
        <v>1</v>
      </c>
      <c r="L2010">
        <v>0</v>
      </c>
      <c r="M2010">
        <f>VLOOKUP(Table1[[#This Row],[subscription_type]],Plans!$A$1:$B$5,2,FALSE)</f>
        <v>4.99</v>
      </c>
      <c r="N2010">
        <f t="shared" si="31"/>
        <v>0</v>
      </c>
    </row>
    <row r="2011" spans="1:14" x14ac:dyDescent="0.35">
      <c r="A2011">
        <v>2010</v>
      </c>
      <c r="B2011" t="s">
        <v>12</v>
      </c>
      <c r="C2011">
        <v>20</v>
      </c>
      <c r="D2011" t="s">
        <v>27</v>
      </c>
      <c r="E2011" t="s">
        <v>14</v>
      </c>
      <c r="F2011">
        <v>171</v>
      </c>
      <c r="G2011">
        <v>1</v>
      </c>
      <c r="H2011">
        <v>0.6</v>
      </c>
      <c r="I2011" t="s">
        <v>23</v>
      </c>
      <c r="J2011">
        <v>20</v>
      </c>
      <c r="K2011">
        <v>0</v>
      </c>
      <c r="L2011">
        <v>1</v>
      </c>
      <c r="M2011">
        <f>VLOOKUP(Table1[[#This Row],[subscription_type]],Plans!$A$1:$B$5,2,FALSE)</f>
        <v>0</v>
      </c>
      <c r="N2011">
        <f t="shared" si="31"/>
        <v>0</v>
      </c>
    </row>
    <row r="2012" spans="1:14" x14ac:dyDescent="0.35">
      <c r="A2012">
        <v>2011</v>
      </c>
      <c r="B2012" t="s">
        <v>12</v>
      </c>
      <c r="C2012">
        <v>58</v>
      </c>
      <c r="D2012" t="s">
        <v>29</v>
      </c>
      <c r="E2012" t="s">
        <v>14</v>
      </c>
      <c r="F2012">
        <v>146</v>
      </c>
      <c r="G2012">
        <v>92</v>
      </c>
      <c r="H2012">
        <v>0.2</v>
      </c>
      <c r="I2012" t="s">
        <v>23</v>
      </c>
      <c r="J2012">
        <v>16</v>
      </c>
      <c r="K2012">
        <v>0</v>
      </c>
      <c r="L2012">
        <v>0</v>
      </c>
      <c r="M2012">
        <f>VLOOKUP(Table1[[#This Row],[subscription_type]],Plans!$A$1:$B$5,2,FALSE)</f>
        <v>0</v>
      </c>
      <c r="N2012">
        <f t="shared" si="31"/>
        <v>0</v>
      </c>
    </row>
    <row r="2013" spans="1:14" x14ac:dyDescent="0.35">
      <c r="A2013">
        <v>2012</v>
      </c>
      <c r="B2013" t="s">
        <v>20</v>
      </c>
      <c r="C2013">
        <v>30</v>
      </c>
      <c r="D2013" t="s">
        <v>21</v>
      </c>
      <c r="E2013" t="s">
        <v>18</v>
      </c>
      <c r="F2013">
        <v>131</v>
      </c>
      <c r="G2013">
        <v>42</v>
      </c>
      <c r="H2013">
        <v>0.19</v>
      </c>
      <c r="I2013" t="s">
        <v>19</v>
      </c>
      <c r="J2013">
        <v>0</v>
      </c>
      <c r="K2013">
        <v>1</v>
      </c>
      <c r="L2013">
        <v>0</v>
      </c>
      <c r="M2013">
        <f>VLOOKUP(Table1[[#This Row],[subscription_type]],Plans!$A$1:$B$5,2,FALSE)</f>
        <v>14.99</v>
      </c>
      <c r="N2013">
        <f t="shared" si="31"/>
        <v>0</v>
      </c>
    </row>
    <row r="2014" spans="1:14" x14ac:dyDescent="0.35">
      <c r="A2014">
        <v>2013</v>
      </c>
      <c r="B2014" t="s">
        <v>16</v>
      </c>
      <c r="C2014">
        <v>36</v>
      </c>
      <c r="D2014" t="s">
        <v>13</v>
      </c>
      <c r="E2014" t="s">
        <v>18</v>
      </c>
      <c r="F2014">
        <v>223</v>
      </c>
      <c r="G2014">
        <v>81</v>
      </c>
      <c r="H2014">
        <v>0.02</v>
      </c>
      <c r="I2014" t="s">
        <v>23</v>
      </c>
      <c r="J2014">
        <v>0</v>
      </c>
      <c r="K2014">
        <v>1</v>
      </c>
      <c r="L2014">
        <v>0</v>
      </c>
      <c r="M2014">
        <f>VLOOKUP(Table1[[#This Row],[subscription_type]],Plans!$A$1:$B$5,2,FALSE)</f>
        <v>14.99</v>
      </c>
      <c r="N2014">
        <f t="shared" si="31"/>
        <v>0</v>
      </c>
    </row>
    <row r="2015" spans="1:14" x14ac:dyDescent="0.35">
      <c r="A2015">
        <v>2014</v>
      </c>
      <c r="B2015" t="s">
        <v>20</v>
      </c>
      <c r="C2015">
        <v>58</v>
      </c>
      <c r="D2015" t="s">
        <v>27</v>
      </c>
      <c r="E2015" t="s">
        <v>24</v>
      </c>
      <c r="F2015">
        <v>173</v>
      </c>
      <c r="G2015">
        <v>26</v>
      </c>
      <c r="H2015">
        <v>0.06</v>
      </c>
      <c r="I2015" t="s">
        <v>15</v>
      </c>
      <c r="J2015">
        <v>0</v>
      </c>
      <c r="K2015">
        <v>1</v>
      </c>
      <c r="L2015">
        <v>1</v>
      </c>
      <c r="M2015">
        <f>VLOOKUP(Table1[[#This Row],[subscription_type]],Plans!$A$1:$B$5,2,FALSE)</f>
        <v>4.99</v>
      </c>
      <c r="N2015">
        <f t="shared" si="31"/>
        <v>4.99</v>
      </c>
    </row>
    <row r="2016" spans="1:14" x14ac:dyDescent="0.35">
      <c r="A2016">
        <v>2015</v>
      </c>
      <c r="B2016" t="s">
        <v>12</v>
      </c>
      <c r="C2016">
        <v>26</v>
      </c>
      <c r="D2016" t="s">
        <v>28</v>
      </c>
      <c r="E2016" t="s">
        <v>14</v>
      </c>
      <c r="F2016">
        <v>183</v>
      </c>
      <c r="G2016">
        <v>98</v>
      </c>
      <c r="H2016">
        <v>0.49</v>
      </c>
      <c r="I2016" t="s">
        <v>19</v>
      </c>
      <c r="J2016">
        <v>30</v>
      </c>
      <c r="K2016">
        <v>0</v>
      </c>
      <c r="L2016">
        <v>0</v>
      </c>
      <c r="M2016">
        <f>VLOOKUP(Table1[[#This Row],[subscription_type]],Plans!$A$1:$B$5,2,FALSE)</f>
        <v>0</v>
      </c>
      <c r="N2016">
        <f t="shared" si="31"/>
        <v>0</v>
      </c>
    </row>
    <row r="2017" spans="1:14" x14ac:dyDescent="0.35">
      <c r="A2017">
        <v>2016</v>
      </c>
      <c r="B2017" t="s">
        <v>20</v>
      </c>
      <c r="C2017">
        <v>29</v>
      </c>
      <c r="D2017" t="s">
        <v>29</v>
      </c>
      <c r="E2017" t="s">
        <v>24</v>
      </c>
      <c r="F2017">
        <v>96</v>
      </c>
      <c r="G2017">
        <v>93</v>
      </c>
      <c r="H2017">
        <v>0.11</v>
      </c>
      <c r="I2017" t="s">
        <v>15</v>
      </c>
      <c r="J2017">
        <v>0</v>
      </c>
      <c r="K2017">
        <v>1</v>
      </c>
      <c r="L2017">
        <v>0</v>
      </c>
      <c r="M2017">
        <f>VLOOKUP(Table1[[#This Row],[subscription_type]],Plans!$A$1:$B$5,2,FALSE)</f>
        <v>4.99</v>
      </c>
      <c r="N2017">
        <f t="shared" si="31"/>
        <v>0</v>
      </c>
    </row>
    <row r="2018" spans="1:14" x14ac:dyDescent="0.35">
      <c r="A2018">
        <v>2017</v>
      </c>
      <c r="B2018" t="s">
        <v>12</v>
      </c>
      <c r="C2018">
        <v>30</v>
      </c>
      <c r="D2018" t="s">
        <v>25</v>
      </c>
      <c r="E2018" t="s">
        <v>18</v>
      </c>
      <c r="F2018">
        <v>44</v>
      </c>
      <c r="G2018">
        <v>38</v>
      </c>
      <c r="H2018">
        <v>0.22</v>
      </c>
      <c r="I2018" t="s">
        <v>19</v>
      </c>
      <c r="J2018">
        <v>0</v>
      </c>
      <c r="K2018">
        <v>1</v>
      </c>
      <c r="L2018">
        <v>0</v>
      </c>
      <c r="M2018">
        <f>VLOOKUP(Table1[[#This Row],[subscription_type]],Plans!$A$1:$B$5,2,FALSE)</f>
        <v>14.99</v>
      </c>
      <c r="N2018">
        <f t="shared" si="31"/>
        <v>0</v>
      </c>
    </row>
    <row r="2019" spans="1:14" x14ac:dyDescent="0.35">
      <c r="A2019">
        <v>2018</v>
      </c>
      <c r="B2019" t="s">
        <v>12</v>
      </c>
      <c r="C2019">
        <v>21</v>
      </c>
      <c r="D2019" t="s">
        <v>28</v>
      </c>
      <c r="E2019" t="s">
        <v>18</v>
      </c>
      <c r="F2019">
        <v>194</v>
      </c>
      <c r="G2019">
        <v>46</v>
      </c>
      <c r="H2019">
        <v>0.15</v>
      </c>
      <c r="I2019" t="s">
        <v>15</v>
      </c>
      <c r="J2019">
        <v>0</v>
      </c>
      <c r="K2019">
        <v>1</v>
      </c>
      <c r="L2019">
        <v>0</v>
      </c>
      <c r="M2019">
        <f>VLOOKUP(Table1[[#This Row],[subscription_type]],Plans!$A$1:$B$5,2,FALSE)</f>
        <v>14.99</v>
      </c>
      <c r="N2019">
        <f t="shared" si="31"/>
        <v>0</v>
      </c>
    </row>
    <row r="2020" spans="1:14" x14ac:dyDescent="0.35">
      <c r="A2020">
        <v>2019</v>
      </c>
      <c r="B2020" t="s">
        <v>16</v>
      </c>
      <c r="C2020">
        <v>29</v>
      </c>
      <c r="D2020" t="s">
        <v>25</v>
      </c>
      <c r="E2020" t="s">
        <v>18</v>
      </c>
      <c r="F2020">
        <v>116</v>
      </c>
      <c r="G2020">
        <v>45</v>
      </c>
      <c r="H2020">
        <v>7.0000000000000007E-2</v>
      </c>
      <c r="I2020" t="s">
        <v>15</v>
      </c>
      <c r="J2020">
        <v>0</v>
      </c>
      <c r="K2020">
        <v>1</v>
      </c>
      <c r="L2020">
        <v>1</v>
      </c>
      <c r="M2020">
        <f>VLOOKUP(Table1[[#This Row],[subscription_type]],Plans!$A$1:$B$5,2,FALSE)</f>
        <v>14.99</v>
      </c>
      <c r="N2020">
        <f t="shared" si="31"/>
        <v>14.99</v>
      </c>
    </row>
    <row r="2021" spans="1:14" x14ac:dyDescent="0.35">
      <c r="A2021">
        <v>2020</v>
      </c>
      <c r="B2021" t="s">
        <v>16</v>
      </c>
      <c r="C2021">
        <v>34</v>
      </c>
      <c r="D2021" t="s">
        <v>29</v>
      </c>
      <c r="E2021" t="s">
        <v>24</v>
      </c>
      <c r="F2021">
        <v>42</v>
      </c>
      <c r="G2021">
        <v>89</v>
      </c>
      <c r="H2021">
        <v>0.6</v>
      </c>
      <c r="I2021" t="s">
        <v>19</v>
      </c>
      <c r="J2021">
        <v>0</v>
      </c>
      <c r="K2021">
        <v>1</v>
      </c>
      <c r="L2021">
        <v>0</v>
      </c>
      <c r="M2021">
        <f>VLOOKUP(Table1[[#This Row],[subscription_type]],Plans!$A$1:$B$5,2,FALSE)</f>
        <v>4.99</v>
      </c>
      <c r="N2021">
        <f t="shared" si="31"/>
        <v>0</v>
      </c>
    </row>
    <row r="2022" spans="1:14" x14ac:dyDescent="0.35">
      <c r="A2022">
        <v>2021</v>
      </c>
      <c r="B2022" t="s">
        <v>12</v>
      </c>
      <c r="C2022">
        <v>27</v>
      </c>
      <c r="D2022" t="s">
        <v>17</v>
      </c>
      <c r="E2022" t="s">
        <v>18</v>
      </c>
      <c r="F2022">
        <v>52</v>
      </c>
      <c r="G2022">
        <v>50</v>
      </c>
      <c r="H2022">
        <v>0.36</v>
      </c>
      <c r="I2022" t="s">
        <v>19</v>
      </c>
      <c r="J2022">
        <v>0</v>
      </c>
      <c r="K2022">
        <v>1</v>
      </c>
      <c r="L2022">
        <v>0</v>
      </c>
      <c r="M2022">
        <f>VLOOKUP(Table1[[#This Row],[subscription_type]],Plans!$A$1:$B$5,2,FALSE)</f>
        <v>14.99</v>
      </c>
      <c r="N2022">
        <f t="shared" si="31"/>
        <v>0</v>
      </c>
    </row>
    <row r="2023" spans="1:14" x14ac:dyDescent="0.35">
      <c r="A2023">
        <v>2022</v>
      </c>
      <c r="B2023" t="s">
        <v>12</v>
      </c>
      <c r="C2023">
        <v>20</v>
      </c>
      <c r="D2023" t="s">
        <v>17</v>
      </c>
      <c r="E2023" t="s">
        <v>24</v>
      </c>
      <c r="F2023">
        <v>37</v>
      </c>
      <c r="G2023">
        <v>93</v>
      </c>
      <c r="H2023">
        <v>0.08</v>
      </c>
      <c r="I2023" t="s">
        <v>19</v>
      </c>
      <c r="J2023">
        <v>0</v>
      </c>
      <c r="K2023">
        <v>1</v>
      </c>
      <c r="L2023">
        <v>0</v>
      </c>
      <c r="M2023">
        <f>VLOOKUP(Table1[[#This Row],[subscription_type]],Plans!$A$1:$B$5,2,FALSE)</f>
        <v>4.99</v>
      </c>
      <c r="N2023">
        <f t="shared" si="31"/>
        <v>0</v>
      </c>
    </row>
    <row r="2024" spans="1:14" x14ac:dyDescent="0.35">
      <c r="A2024">
        <v>2023</v>
      </c>
      <c r="B2024" t="s">
        <v>16</v>
      </c>
      <c r="C2024">
        <v>29</v>
      </c>
      <c r="D2024" t="s">
        <v>26</v>
      </c>
      <c r="E2024" t="s">
        <v>18</v>
      </c>
      <c r="F2024">
        <v>118</v>
      </c>
      <c r="G2024">
        <v>25</v>
      </c>
      <c r="H2024">
        <v>0.12</v>
      </c>
      <c r="I2024" t="s">
        <v>15</v>
      </c>
      <c r="J2024">
        <v>0</v>
      </c>
      <c r="K2024">
        <v>1</v>
      </c>
      <c r="L2024">
        <v>0</v>
      </c>
      <c r="M2024">
        <f>VLOOKUP(Table1[[#This Row],[subscription_type]],Plans!$A$1:$B$5,2,FALSE)</f>
        <v>14.99</v>
      </c>
      <c r="N2024">
        <f t="shared" si="31"/>
        <v>0</v>
      </c>
    </row>
    <row r="2025" spans="1:14" x14ac:dyDescent="0.35">
      <c r="A2025">
        <v>2024</v>
      </c>
      <c r="B2025" t="s">
        <v>16</v>
      </c>
      <c r="C2025">
        <v>23</v>
      </c>
      <c r="D2025" t="s">
        <v>17</v>
      </c>
      <c r="E2025" t="s">
        <v>14</v>
      </c>
      <c r="F2025">
        <v>223</v>
      </c>
      <c r="G2025">
        <v>18</v>
      </c>
      <c r="H2025">
        <v>0.48</v>
      </c>
      <c r="I2025" t="s">
        <v>15</v>
      </c>
      <c r="J2025">
        <v>9</v>
      </c>
      <c r="K2025">
        <v>0</v>
      </c>
      <c r="L2025">
        <v>0</v>
      </c>
      <c r="M2025">
        <f>VLOOKUP(Table1[[#This Row],[subscription_type]],Plans!$A$1:$B$5,2,FALSE)</f>
        <v>0</v>
      </c>
      <c r="N2025">
        <f t="shared" si="31"/>
        <v>0</v>
      </c>
    </row>
    <row r="2026" spans="1:14" x14ac:dyDescent="0.35">
      <c r="A2026">
        <v>2025</v>
      </c>
      <c r="B2026" t="s">
        <v>20</v>
      </c>
      <c r="C2026">
        <v>28</v>
      </c>
      <c r="D2026" t="s">
        <v>29</v>
      </c>
      <c r="E2026" t="s">
        <v>22</v>
      </c>
      <c r="F2026">
        <v>79</v>
      </c>
      <c r="G2026">
        <v>2</v>
      </c>
      <c r="H2026">
        <v>0.27</v>
      </c>
      <c r="I2026" t="s">
        <v>23</v>
      </c>
      <c r="J2026">
        <v>0</v>
      </c>
      <c r="K2026">
        <v>1</v>
      </c>
      <c r="L2026">
        <v>0</v>
      </c>
      <c r="M2026">
        <f>VLOOKUP(Table1[[#This Row],[subscription_type]],Plans!$A$1:$B$5,2,FALSE)</f>
        <v>9.99</v>
      </c>
      <c r="N2026">
        <f t="shared" si="31"/>
        <v>0</v>
      </c>
    </row>
    <row r="2027" spans="1:14" x14ac:dyDescent="0.35">
      <c r="A2027">
        <v>2026</v>
      </c>
      <c r="B2027" t="s">
        <v>20</v>
      </c>
      <c r="C2027">
        <v>59</v>
      </c>
      <c r="D2027" t="s">
        <v>17</v>
      </c>
      <c r="E2027" t="s">
        <v>22</v>
      </c>
      <c r="F2027">
        <v>155</v>
      </c>
      <c r="G2027">
        <v>41</v>
      </c>
      <c r="H2027">
        <v>0.16</v>
      </c>
      <c r="I2027" t="s">
        <v>19</v>
      </c>
      <c r="J2027">
        <v>0</v>
      </c>
      <c r="K2027">
        <v>1</v>
      </c>
      <c r="L2027">
        <v>0</v>
      </c>
      <c r="M2027">
        <f>VLOOKUP(Table1[[#This Row],[subscription_type]],Plans!$A$1:$B$5,2,FALSE)</f>
        <v>9.99</v>
      </c>
      <c r="N2027">
        <f t="shared" si="31"/>
        <v>0</v>
      </c>
    </row>
    <row r="2028" spans="1:14" x14ac:dyDescent="0.35">
      <c r="A2028">
        <v>2027</v>
      </c>
      <c r="B2028" t="s">
        <v>20</v>
      </c>
      <c r="C2028">
        <v>25</v>
      </c>
      <c r="D2028" t="s">
        <v>29</v>
      </c>
      <c r="E2028" t="s">
        <v>24</v>
      </c>
      <c r="F2028">
        <v>99</v>
      </c>
      <c r="G2028">
        <v>51</v>
      </c>
      <c r="H2028">
        <v>0.14000000000000001</v>
      </c>
      <c r="I2028" t="s">
        <v>23</v>
      </c>
      <c r="J2028">
        <v>0</v>
      </c>
      <c r="K2028">
        <v>1</v>
      </c>
      <c r="L2028">
        <v>1</v>
      </c>
      <c r="M2028">
        <f>VLOOKUP(Table1[[#This Row],[subscription_type]],Plans!$A$1:$B$5,2,FALSE)</f>
        <v>4.99</v>
      </c>
      <c r="N2028">
        <f t="shared" si="31"/>
        <v>4.99</v>
      </c>
    </row>
    <row r="2029" spans="1:14" x14ac:dyDescent="0.35">
      <c r="A2029">
        <v>2028</v>
      </c>
      <c r="B2029" t="s">
        <v>12</v>
      </c>
      <c r="C2029">
        <v>45</v>
      </c>
      <c r="D2029" t="s">
        <v>27</v>
      </c>
      <c r="E2029" t="s">
        <v>14</v>
      </c>
      <c r="F2029">
        <v>43</v>
      </c>
      <c r="G2029">
        <v>97</v>
      </c>
      <c r="H2029">
        <v>0.53</v>
      </c>
      <c r="I2029" t="s">
        <v>15</v>
      </c>
      <c r="J2029">
        <v>28</v>
      </c>
      <c r="K2029">
        <v>0</v>
      </c>
      <c r="L2029">
        <v>0</v>
      </c>
      <c r="M2029">
        <f>VLOOKUP(Table1[[#This Row],[subscription_type]],Plans!$A$1:$B$5,2,FALSE)</f>
        <v>0</v>
      </c>
      <c r="N2029">
        <f t="shared" si="31"/>
        <v>0</v>
      </c>
    </row>
    <row r="2030" spans="1:14" x14ac:dyDescent="0.35">
      <c r="A2030">
        <v>2029</v>
      </c>
      <c r="B2030" t="s">
        <v>20</v>
      </c>
      <c r="C2030">
        <v>35</v>
      </c>
      <c r="D2030" t="s">
        <v>27</v>
      </c>
      <c r="E2030" t="s">
        <v>24</v>
      </c>
      <c r="F2030">
        <v>65</v>
      </c>
      <c r="G2030">
        <v>67</v>
      </c>
      <c r="H2030">
        <v>0.27</v>
      </c>
      <c r="I2030" t="s">
        <v>23</v>
      </c>
      <c r="J2030">
        <v>0</v>
      </c>
      <c r="K2030">
        <v>1</v>
      </c>
      <c r="L2030">
        <v>0</v>
      </c>
      <c r="M2030">
        <f>VLOOKUP(Table1[[#This Row],[subscription_type]],Plans!$A$1:$B$5,2,FALSE)</f>
        <v>4.99</v>
      </c>
      <c r="N2030">
        <f t="shared" si="31"/>
        <v>0</v>
      </c>
    </row>
    <row r="2031" spans="1:14" x14ac:dyDescent="0.35">
      <c r="A2031">
        <v>2030</v>
      </c>
      <c r="B2031" t="s">
        <v>16</v>
      </c>
      <c r="C2031">
        <v>37</v>
      </c>
      <c r="D2031" t="s">
        <v>27</v>
      </c>
      <c r="E2031" t="s">
        <v>22</v>
      </c>
      <c r="F2031">
        <v>89</v>
      </c>
      <c r="G2031">
        <v>82</v>
      </c>
      <c r="H2031">
        <v>0.35</v>
      </c>
      <c r="I2031" t="s">
        <v>19</v>
      </c>
      <c r="J2031">
        <v>0</v>
      </c>
      <c r="K2031">
        <v>1</v>
      </c>
      <c r="L2031">
        <v>0</v>
      </c>
      <c r="M2031">
        <f>VLOOKUP(Table1[[#This Row],[subscription_type]],Plans!$A$1:$B$5,2,FALSE)</f>
        <v>9.99</v>
      </c>
      <c r="N2031">
        <f t="shared" si="31"/>
        <v>0</v>
      </c>
    </row>
    <row r="2032" spans="1:14" x14ac:dyDescent="0.35">
      <c r="A2032">
        <v>2031</v>
      </c>
      <c r="B2032" t="s">
        <v>20</v>
      </c>
      <c r="C2032">
        <v>41</v>
      </c>
      <c r="D2032" t="s">
        <v>29</v>
      </c>
      <c r="E2032" t="s">
        <v>24</v>
      </c>
      <c r="F2032">
        <v>283</v>
      </c>
      <c r="G2032">
        <v>6</v>
      </c>
      <c r="H2032">
        <v>0.31</v>
      </c>
      <c r="I2032" t="s">
        <v>19</v>
      </c>
      <c r="J2032">
        <v>0</v>
      </c>
      <c r="K2032">
        <v>1</v>
      </c>
      <c r="L2032">
        <v>0</v>
      </c>
      <c r="M2032">
        <f>VLOOKUP(Table1[[#This Row],[subscription_type]],Plans!$A$1:$B$5,2,FALSE)</f>
        <v>4.99</v>
      </c>
      <c r="N2032">
        <f t="shared" si="31"/>
        <v>0</v>
      </c>
    </row>
    <row r="2033" spans="1:14" x14ac:dyDescent="0.35">
      <c r="A2033">
        <v>2032</v>
      </c>
      <c r="B2033" t="s">
        <v>16</v>
      </c>
      <c r="C2033">
        <v>56</v>
      </c>
      <c r="D2033" t="s">
        <v>13</v>
      </c>
      <c r="E2033" t="s">
        <v>22</v>
      </c>
      <c r="F2033">
        <v>33</v>
      </c>
      <c r="G2033">
        <v>85</v>
      </c>
      <c r="H2033">
        <v>0.38</v>
      </c>
      <c r="I2033" t="s">
        <v>15</v>
      </c>
      <c r="J2033">
        <v>0</v>
      </c>
      <c r="K2033">
        <v>1</v>
      </c>
      <c r="L2033">
        <v>0</v>
      </c>
      <c r="M2033">
        <f>VLOOKUP(Table1[[#This Row],[subscription_type]],Plans!$A$1:$B$5,2,FALSE)</f>
        <v>9.99</v>
      </c>
      <c r="N2033">
        <f t="shared" si="31"/>
        <v>0</v>
      </c>
    </row>
    <row r="2034" spans="1:14" x14ac:dyDescent="0.35">
      <c r="A2034">
        <v>2033</v>
      </c>
      <c r="B2034" t="s">
        <v>16</v>
      </c>
      <c r="C2034">
        <v>41</v>
      </c>
      <c r="D2034" t="s">
        <v>29</v>
      </c>
      <c r="E2034" t="s">
        <v>24</v>
      </c>
      <c r="F2034">
        <v>117</v>
      </c>
      <c r="G2034">
        <v>86</v>
      </c>
      <c r="H2034">
        <v>0.06</v>
      </c>
      <c r="I2034" t="s">
        <v>19</v>
      </c>
      <c r="J2034">
        <v>0</v>
      </c>
      <c r="K2034">
        <v>1</v>
      </c>
      <c r="L2034">
        <v>1</v>
      </c>
      <c r="M2034">
        <f>VLOOKUP(Table1[[#This Row],[subscription_type]],Plans!$A$1:$B$5,2,FALSE)</f>
        <v>4.99</v>
      </c>
      <c r="N2034">
        <f t="shared" si="31"/>
        <v>4.99</v>
      </c>
    </row>
    <row r="2035" spans="1:14" x14ac:dyDescent="0.35">
      <c r="A2035">
        <v>2034</v>
      </c>
      <c r="B2035" t="s">
        <v>16</v>
      </c>
      <c r="C2035">
        <v>18</v>
      </c>
      <c r="D2035" t="s">
        <v>17</v>
      </c>
      <c r="E2035" t="s">
        <v>18</v>
      </c>
      <c r="F2035">
        <v>96</v>
      </c>
      <c r="G2035">
        <v>21</v>
      </c>
      <c r="H2035">
        <v>0.24</v>
      </c>
      <c r="I2035" t="s">
        <v>15</v>
      </c>
      <c r="J2035">
        <v>0</v>
      </c>
      <c r="K2035">
        <v>1</v>
      </c>
      <c r="L2035">
        <v>1</v>
      </c>
      <c r="M2035">
        <f>VLOOKUP(Table1[[#This Row],[subscription_type]],Plans!$A$1:$B$5,2,FALSE)</f>
        <v>14.99</v>
      </c>
      <c r="N2035">
        <f t="shared" si="31"/>
        <v>14.99</v>
      </c>
    </row>
    <row r="2036" spans="1:14" x14ac:dyDescent="0.35">
      <c r="A2036">
        <v>2035</v>
      </c>
      <c r="B2036" t="s">
        <v>20</v>
      </c>
      <c r="C2036">
        <v>39</v>
      </c>
      <c r="D2036" t="s">
        <v>13</v>
      </c>
      <c r="E2036" t="s">
        <v>18</v>
      </c>
      <c r="F2036">
        <v>20</v>
      </c>
      <c r="G2036">
        <v>43</v>
      </c>
      <c r="H2036">
        <v>0.56000000000000005</v>
      </c>
      <c r="I2036" t="s">
        <v>23</v>
      </c>
      <c r="J2036">
        <v>0</v>
      </c>
      <c r="K2036">
        <v>1</v>
      </c>
      <c r="L2036">
        <v>0</v>
      </c>
      <c r="M2036">
        <f>VLOOKUP(Table1[[#This Row],[subscription_type]],Plans!$A$1:$B$5,2,FALSE)</f>
        <v>14.99</v>
      </c>
      <c r="N2036">
        <f t="shared" si="31"/>
        <v>0</v>
      </c>
    </row>
    <row r="2037" spans="1:14" x14ac:dyDescent="0.35">
      <c r="A2037">
        <v>2036</v>
      </c>
      <c r="B2037" t="s">
        <v>12</v>
      </c>
      <c r="C2037">
        <v>28</v>
      </c>
      <c r="D2037" t="s">
        <v>28</v>
      </c>
      <c r="E2037" t="s">
        <v>18</v>
      </c>
      <c r="F2037">
        <v>203</v>
      </c>
      <c r="G2037">
        <v>95</v>
      </c>
      <c r="H2037">
        <v>0.09</v>
      </c>
      <c r="I2037" t="s">
        <v>23</v>
      </c>
      <c r="J2037">
        <v>0</v>
      </c>
      <c r="K2037">
        <v>1</v>
      </c>
      <c r="L2037">
        <v>0</v>
      </c>
      <c r="M2037">
        <f>VLOOKUP(Table1[[#This Row],[subscription_type]],Plans!$A$1:$B$5,2,FALSE)</f>
        <v>14.99</v>
      </c>
      <c r="N2037">
        <f t="shared" si="31"/>
        <v>0</v>
      </c>
    </row>
    <row r="2038" spans="1:14" x14ac:dyDescent="0.35">
      <c r="A2038">
        <v>2037</v>
      </c>
      <c r="B2038" t="s">
        <v>12</v>
      </c>
      <c r="C2038">
        <v>47</v>
      </c>
      <c r="D2038" t="s">
        <v>26</v>
      </c>
      <c r="E2038" t="s">
        <v>24</v>
      </c>
      <c r="F2038">
        <v>244</v>
      </c>
      <c r="G2038">
        <v>14</v>
      </c>
      <c r="H2038">
        <v>0.42</v>
      </c>
      <c r="I2038" t="s">
        <v>15</v>
      </c>
      <c r="J2038">
        <v>0</v>
      </c>
      <c r="K2038">
        <v>1</v>
      </c>
      <c r="L2038">
        <v>1</v>
      </c>
      <c r="M2038">
        <f>VLOOKUP(Table1[[#This Row],[subscription_type]],Plans!$A$1:$B$5,2,FALSE)</f>
        <v>4.99</v>
      </c>
      <c r="N2038">
        <f t="shared" si="31"/>
        <v>4.99</v>
      </c>
    </row>
    <row r="2039" spans="1:14" x14ac:dyDescent="0.35">
      <c r="A2039">
        <v>2038</v>
      </c>
      <c r="B2039" t="s">
        <v>16</v>
      </c>
      <c r="C2039">
        <v>58</v>
      </c>
      <c r="D2039" t="s">
        <v>29</v>
      </c>
      <c r="E2039" t="s">
        <v>18</v>
      </c>
      <c r="F2039">
        <v>97</v>
      </c>
      <c r="G2039">
        <v>85</v>
      </c>
      <c r="H2039">
        <v>0.45</v>
      </c>
      <c r="I2039" t="s">
        <v>19</v>
      </c>
      <c r="J2039">
        <v>0</v>
      </c>
      <c r="K2039">
        <v>1</v>
      </c>
      <c r="L2039">
        <v>0</v>
      </c>
      <c r="M2039">
        <f>VLOOKUP(Table1[[#This Row],[subscription_type]],Plans!$A$1:$B$5,2,FALSE)</f>
        <v>14.99</v>
      </c>
      <c r="N2039">
        <f t="shared" si="31"/>
        <v>0</v>
      </c>
    </row>
    <row r="2040" spans="1:14" x14ac:dyDescent="0.35">
      <c r="A2040">
        <v>2039</v>
      </c>
      <c r="B2040" t="s">
        <v>12</v>
      </c>
      <c r="C2040">
        <v>45</v>
      </c>
      <c r="D2040" t="s">
        <v>25</v>
      </c>
      <c r="E2040" t="s">
        <v>18</v>
      </c>
      <c r="F2040">
        <v>169</v>
      </c>
      <c r="G2040">
        <v>74</v>
      </c>
      <c r="H2040">
        <v>0.54</v>
      </c>
      <c r="I2040" t="s">
        <v>19</v>
      </c>
      <c r="J2040">
        <v>0</v>
      </c>
      <c r="K2040">
        <v>1</v>
      </c>
      <c r="L2040">
        <v>0</v>
      </c>
      <c r="M2040">
        <f>VLOOKUP(Table1[[#This Row],[subscription_type]],Plans!$A$1:$B$5,2,FALSE)</f>
        <v>14.99</v>
      </c>
      <c r="N2040">
        <f t="shared" si="31"/>
        <v>0</v>
      </c>
    </row>
    <row r="2041" spans="1:14" x14ac:dyDescent="0.35">
      <c r="A2041">
        <v>2040</v>
      </c>
      <c r="B2041" t="s">
        <v>16</v>
      </c>
      <c r="C2041">
        <v>40</v>
      </c>
      <c r="D2041" t="s">
        <v>26</v>
      </c>
      <c r="E2041" t="s">
        <v>24</v>
      </c>
      <c r="F2041">
        <v>147</v>
      </c>
      <c r="G2041">
        <v>22</v>
      </c>
      <c r="H2041">
        <v>0.43</v>
      </c>
      <c r="I2041" t="s">
        <v>15</v>
      </c>
      <c r="J2041">
        <v>0</v>
      </c>
      <c r="K2041">
        <v>1</v>
      </c>
      <c r="L2041">
        <v>1</v>
      </c>
      <c r="M2041">
        <f>VLOOKUP(Table1[[#This Row],[subscription_type]],Plans!$A$1:$B$5,2,FALSE)</f>
        <v>4.99</v>
      </c>
      <c r="N2041">
        <f t="shared" si="31"/>
        <v>4.99</v>
      </c>
    </row>
    <row r="2042" spans="1:14" x14ac:dyDescent="0.35">
      <c r="A2042">
        <v>2041</v>
      </c>
      <c r="B2042" t="s">
        <v>16</v>
      </c>
      <c r="C2042">
        <v>24</v>
      </c>
      <c r="D2042" t="s">
        <v>27</v>
      </c>
      <c r="E2042" t="s">
        <v>24</v>
      </c>
      <c r="F2042">
        <v>247</v>
      </c>
      <c r="G2042">
        <v>38</v>
      </c>
      <c r="H2042">
        <v>0.17</v>
      </c>
      <c r="I2042" t="s">
        <v>23</v>
      </c>
      <c r="J2042">
        <v>0</v>
      </c>
      <c r="K2042">
        <v>1</v>
      </c>
      <c r="L2042">
        <v>0</v>
      </c>
      <c r="M2042">
        <f>VLOOKUP(Table1[[#This Row],[subscription_type]],Plans!$A$1:$B$5,2,FALSE)</f>
        <v>4.99</v>
      </c>
      <c r="N2042">
        <f t="shared" si="31"/>
        <v>0</v>
      </c>
    </row>
    <row r="2043" spans="1:14" x14ac:dyDescent="0.35">
      <c r="A2043">
        <v>2042</v>
      </c>
      <c r="B2043" t="s">
        <v>12</v>
      </c>
      <c r="C2043">
        <v>44</v>
      </c>
      <c r="D2043" t="s">
        <v>25</v>
      </c>
      <c r="E2043" t="s">
        <v>22</v>
      </c>
      <c r="F2043">
        <v>25</v>
      </c>
      <c r="G2043">
        <v>80</v>
      </c>
      <c r="H2043">
        <v>0.49</v>
      </c>
      <c r="I2043" t="s">
        <v>15</v>
      </c>
      <c r="J2043">
        <v>0</v>
      </c>
      <c r="K2043">
        <v>1</v>
      </c>
      <c r="L2043">
        <v>0</v>
      </c>
      <c r="M2043">
        <f>VLOOKUP(Table1[[#This Row],[subscription_type]],Plans!$A$1:$B$5,2,FALSE)</f>
        <v>9.99</v>
      </c>
      <c r="N2043">
        <f t="shared" si="31"/>
        <v>0</v>
      </c>
    </row>
    <row r="2044" spans="1:14" x14ac:dyDescent="0.35">
      <c r="A2044">
        <v>2043</v>
      </c>
      <c r="B2044" t="s">
        <v>16</v>
      </c>
      <c r="C2044">
        <v>57</v>
      </c>
      <c r="D2044" t="s">
        <v>29</v>
      </c>
      <c r="E2044" t="s">
        <v>24</v>
      </c>
      <c r="F2044">
        <v>145</v>
      </c>
      <c r="G2044">
        <v>18</v>
      </c>
      <c r="H2044">
        <v>0.53</v>
      </c>
      <c r="I2044" t="s">
        <v>15</v>
      </c>
      <c r="J2044">
        <v>0</v>
      </c>
      <c r="K2044">
        <v>1</v>
      </c>
      <c r="L2044">
        <v>0</v>
      </c>
      <c r="M2044">
        <f>VLOOKUP(Table1[[#This Row],[subscription_type]],Plans!$A$1:$B$5,2,FALSE)</f>
        <v>4.99</v>
      </c>
      <c r="N2044">
        <f t="shared" si="31"/>
        <v>0</v>
      </c>
    </row>
    <row r="2045" spans="1:14" x14ac:dyDescent="0.35">
      <c r="A2045">
        <v>2044</v>
      </c>
      <c r="B2045" t="s">
        <v>20</v>
      </c>
      <c r="C2045">
        <v>49</v>
      </c>
      <c r="D2045" t="s">
        <v>29</v>
      </c>
      <c r="E2045" t="s">
        <v>22</v>
      </c>
      <c r="F2045">
        <v>30</v>
      </c>
      <c r="G2045">
        <v>3</v>
      </c>
      <c r="H2045">
        <v>0.24</v>
      </c>
      <c r="I2045" t="s">
        <v>23</v>
      </c>
      <c r="J2045">
        <v>0</v>
      </c>
      <c r="K2045">
        <v>1</v>
      </c>
      <c r="L2045">
        <v>0</v>
      </c>
      <c r="M2045">
        <f>VLOOKUP(Table1[[#This Row],[subscription_type]],Plans!$A$1:$B$5,2,FALSE)</f>
        <v>9.99</v>
      </c>
      <c r="N2045">
        <f t="shared" si="31"/>
        <v>0</v>
      </c>
    </row>
    <row r="2046" spans="1:14" x14ac:dyDescent="0.35">
      <c r="A2046">
        <v>2045</v>
      </c>
      <c r="B2046" t="s">
        <v>12</v>
      </c>
      <c r="C2046">
        <v>29</v>
      </c>
      <c r="D2046" t="s">
        <v>17</v>
      </c>
      <c r="E2046" t="s">
        <v>18</v>
      </c>
      <c r="F2046">
        <v>22</v>
      </c>
      <c r="G2046">
        <v>71</v>
      </c>
      <c r="H2046">
        <v>0.1</v>
      </c>
      <c r="I2046" t="s">
        <v>23</v>
      </c>
      <c r="J2046">
        <v>0</v>
      </c>
      <c r="K2046">
        <v>1</v>
      </c>
      <c r="L2046">
        <v>1</v>
      </c>
      <c r="M2046">
        <f>VLOOKUP(Table1[[#This Row],[subscription_type]],Plans!$A$1:$B$5,2,FALSE)</f>
        <v>14.99</v>
      </c>
      <c r="N2046">
        <f t="shared" si="31"/>
        <v>14.99</v>
      </c>
    </row>
    <row r="2047" spans="1:14" x14ac:dyDescent="0.35">
      <c r="A2047">
        <v>2046</v>
      </c>
      <c r="B2047" t="s">
        <v>16</v>
      </c>
      <c r="C2047">
        <v>37</v>
      </c>
      <c r="D2047" t="s">
        <v>26</v>
      </c>
      <c r="E2047" t="s">
        <v>24</v>
      </c>
      <c r="F2047">
        <v>100</v>
      </c>
      <c r="G2047">
        <v>46</v>
      </c>
      <c r="H2047">
        <v>0.02</v>
      </c>
      <c r="I2047" t="s">
        <v>15</v>
      </c>
      <c r="J2047">
        <v>0</v>
      </c>
      <c r="K2047">
        <v>1</v>
      </c>
      <c r="L2047">
        <v>1</v>
      </c>
      <c r="M2047">
        <f>VLOOKUP(Table1[[#This Row],[subscription_type]],Plans!$A$1:$B$5,2,FALSE)</f>
        <v>4.99</v>
      </c>
      <c r="N2047">
        <f t="shared" si="31"/>
        <v>4.99</v>
      </c>
    </row>
    <row r="2048" spans="1:14" x14ac:dyDescent="0.35">
      <c r="A2048">
        <v>2047</v>
      </c>
      <c r="B2048" t="s">
        <v>12</v>
      </c>
      <c r="C2048">
        <v>25</v>
      </c>
      <c r="D2048" t="s">
        <v>29</v>
      </c>
      <c r="E2048" t="s">
        <v>14</v>
      </c>
      <c r="F2048">
        <v>49</v>
      </c>
      <c r="G2048">
        <v>9</v>
      </c>
      <c r="H2048">
        <v>0.45</v>
      </c>
      <c r="I2048" t="s">
        <v>23</v>
      </c>
      <c r="J2048">
        <v>6</v>
      </c>
      <c r="K2048">
        <v>0</v>
      </c>
      <c r="L2048">
        <v>0</v>
      </c>
      <c r="M2048">
        <f>VLOOKUP(Table1[[#This Row],[subscription_type]],Plans!$A$1:$B$5,2,FALSE)</f>
        <v>0</v>
      </c>
      <c r="N2048">
        <f t="shared" si="31"/>
        <v>0</v>
      </c>
    </row>
    <row r="2049" spans="1:14" x14ac:dyDescent="0.35">
      <c r="A2049">
        <v>2048</v>
      </c>
      <c r="B2049" t="s">
        <v>20</v>
      </c>
      <c r="C2049">
        <v>53</v>
      </c>
      <c r="D2049" t="s">
        <v>25</v>
      </c>
      <c r="E2049" t="s">
        <v>22</v>
      </c>
      <c r="F2049">
        <v>75</v>
      </c>
      <c r="G2049">
        <v>63</v>
      </c>
      <c r="H2049">
        <v>0.03</v>
      </c>
      <c r="I2049" t="s">
        <v>15</v>
      </c>
      <c r="J2049">
        <v>0</v>
      </c>
      <c r="K2049">
        <v>1</v>
      </c>
      <c r="L2049">
        <v>0</v>
      </c>
      <c r="M2049">
        <f>VLOOKUP(Table1[[#This Row],[subscription_type]],Plans!$A$1:$B$5,2,FALSE)</f>
        <v>9.99</v>
      </c>
      <c r="N2049">
        <f t="shared" si="31"/>
        <v>0</v>
      </c>
    </row>
    <row r="2050" spans="1:14" x14ac:dyDescent="0.35">
      <c r="A2050">
        <v>2049</v>
      </c>
      <c r="B2050" t="s">
        <v>16</v>
      </c>
      <c r="C2050">
        <v>20</v>
      </c>
      <c r="D2050" t="s">
        <v>27</v>
      </c>
      <c r="E2050" t="s">
        <v>24</v>
      </c>
      <c r="F2050">
        <v>272</v>
      </c>
      <c r="G2050">
        <v>46</v>
      </c>
      <c r="H2050">
        <v>0.1</v>
      </c>
      <c r="I2050" t="s">
        <v>23</v>
      </c>
      <c r="J2050">
        <v>0</v>
      </c>
      <c r="K2050">
        <v>1</v>
      </c>
      <c r="L2050">
        <v>0</v>
      </c>
      <c r="M2050">
        <f>VLOOKUP(Table1[[#This Row],[subscription_type]],Plans!$A$1:$B$5,2,FALSE)</f>
        <v>4.99</v>
      </c>
      <c r="N2050">
        <f t="shared" ref="N2050:N2113" si="32">IF(L2050=1, M2050,0)</f>
        <v>0</v>
      </c>
    </row>
    <row r="2051" spans="1:14" x14ac:dyDescent="0.35">
      <c r="A2051">
        <v>2050</v>
      </c>
      <c r="B2051" t="s">
        <v>16</v>
      </c>
      <c r="C2051">
        <v>17</v>
      </c>
      <c r="D2051" t="s">
        <v>21</v>
      </c>
      <c r="E2051" t="s">
        <v>14</v>
      </c>
      <c r="F2051">
        <v>99</v>
      </c>
      <c r="G2051">
        <v>19</v>
      </c>
      <c r="H2051">
        <v>0.28000000000000003</v>
      </c>
      <c r="I2051" t="s">
        <v>15</v>
      </c>
      <c r="J2051">
        <v>6</v>
      </c>
      <c r="K2051">
        <v>0</v>
      </c>
      <c r="L2051">
        <v>0</v>
      </c>
      <c r="M2051">
        <f>VLOOKUP(Table1[[#This Row],[subscription_type]],Plans!$A$1:$B$5,2,FALSE)</f>
        <v>0</v>
      </c>
      <c r="N2051">
        <f t="shared" si="32"/>
        <v>0</v>
      </c>
    </row>
    <row r="2052" spans="1:14" x14ac:dyDescent="0.35">
      <c r="A2052">
        <v>2051</v>
      </c>
      <c r="B2052" t="s">
        <v>16</v>
      </c>
      <c r="C2052">
        <v>33</v>
      </c>
      <c r="D2052" t="s">
        <v>29</v>
      </c>
      <c r="E2052" t="s">
        <v>18</v>
      </c>
      <c r="F2052">
        <v>92</v>
      </c>
      <c r="G2052">
        <v>8</v>
      </c>
      <c r="H2052">
        <v>0.53</v>
      </c>
      <c r="I2052" t="s">
        <v>19</v>
      </c>
      <c r="J2052">
        <v>0</v>
      </c>
      <c r="K2052">
        <v>1</v>
      </c>
      <c r="L2052">
        <v>1</v>
      </c>
      <c r="M2052">
        <f>VLOOKUP(Table1[[#This Row],[subscription_type]],Plans!$A$1:$B$5,2,FALSE)</f>
        <v>14.99</v>
      </c>
      <c r="N2052">
        <f t="shared" si="32"/>
        <v>14.99</v>
      </c>
    </row>
    <row r="2053" spans="1:14" x14ac:dyDescent="0.35">
      <c r="A2053">
        <v>2052</v>
      </c>
      <c r="B2053" t="s">
        <v>12</v>
      </c>
      <c r="C2053">
        <v>55</v>
      </c>
      <c r="D2053" t="s">
        <v>13</v>
      </c>
      <c r="E2053" t="s">
        <v>14</v>
      </c>
      <c r="F2053">
        <v>65</v>
      </c>
      <c r="G2053">
        <v>13</v>
      </c>
      <c r="H2053">
        <v>0.54</v>
      </c>
      <c r="I2053" t="s">
        <v>19</v>
      </c>
      <c r="J2053">
        <v>44</v>
      </c>
      <c r="K2053">
        <v>0</v>
      </c>
      <c r="L2053">
        <v>0</v>
      </c>
      <c r="M2053">
        <f>VLOOKUP(Table1[[#This Row],[subscription_type]],Plans!$A$1:$B$5,2,FALSE)</f>
        <v>0</v>
      </c>
      <c r="N2053">
        <f t="shared" si="32"/>
        <v>0</v>
      </c>
    </row>
    <row r="2054" spans="1:14" x14ac:dyDescent="0.35">
      <c r="A2054">
        <v>2053</v>
      </c>
      <c r="B2054" t="s">
        <v>16</v>
      </c>
      <c r="C2054">
        <v>26</v>
      </c>
      <c r="D2054" t="s">
        <v>21</v>
      </c>
      <c r="E2054" t="s">
        <v>22</v>
      </c>
      <c r="F2054">
        <v>61</v>
      </c>
      <c r="G2054">
        <v>94</v>
      </c>
      <c r="H2054">
        <v>0.27</v>
      </c>
      <c r="I2054" t="s">
        <v>19</v>
      </c>
      <c r="J2054">
        <v>0</v>
      </c>
      <c r="K2054">
        <v>1</v>
      </c>
      <c r="L2054">
        <v>0</v>
      </c>
      <c r="M2054">
        <f>VLOOKUP(Table1[[#This Row],[subscription_type]],Plans!$A$1:$B$5,2,FALSE)</f>
        <v>9.99</v>
      </c>
      <c r="N2054">
        <f t="shared" si="32"/>
        <v>0</v>
      </c>
    </row>
    <row r="2055" spans="1:14" x14ac:dyDescent="0.35">
      <c r="A2055">
        <v>2054</v>
      </c>
      <c r="B2055" t="s">
        <v>16</v>
      </c>
      <c r="C2055">
        <v>49</v>
      </c>
      <c r="D2055" t="s">
        <v>17</v>
      </c>
      <c r="E2055" t="s">
        <v>14</v>
      </c>
      <c r="F2055">
        <v>199</v>
      </c>
      <c r="G2055">
        <v>10</v>
      </c>
      <c r="H2055">
        <v>0.11</v>
      </c>
      <c r="I2055" t="s">
        <v>15</v>
      </c>
      <c r="J2055">
        <v>22</v>
      </c>
      <c r="K2055">
        <v>0</v>
      </c>
      <c r="L2055">
        <v>1</v>
      </c>
      <c r="M2055">
        <f>VLOOKUP(Table1[[#This Row],[subscription_type]],Plans!$A$1:$B$5,2,FALSE)</f>
        <v>0</v>
      </c>
      <c r="N2055">
        <f t="shared" si="32"/>
        <v>0</v>
      </c>
    </row>
    <row r="2056" spans="1:14" x14ac:dyDescent="0.35">
      <c r="A2056">
        <v>2055</v>
      </c>
      <c r="B2056" t="s">
        <v>16</v>
      </c>
      <c r="C2056">
        <v>28</v>
      </c>
      <c r="D2056" t="s">
        <v>29</v>
      </c>
      <c r="E2056" t="s">
        <v>14</v>
      </c>
      <c r="F2056">
        <v>125</v>
      </c>
      <c r="G2056">
        <v>56</v>
      </c>
      <c r="H2056">
        <v>0.5</v>
      </c>
      <c r="I2056" t="s">
        <v>15</v>
      </c>
      <c r="J2056">
        <v>23</v>
      </c>
      <c r="K2056">
        <v>0</v>
      </c>
      <c r="L2056">
        <v>1</v>
      </c>
      <c r="M2056">
        <f>VLOOKUP(Table1[[#This Row],[subscription_type]],Plans!$A$1:$B$5,2,FALSE)</f>
        <v>0</v>
      </c>
      <c r="N2056">
        <f t="shared" si="32"/>
        <v>0</v>
      </c>
    </row>
    <row r="2057" spans="1:14" x14ac:dyDescent="0.35">
      <c r="A2057">
        <v>2056</v>
      </c>
      <c r="B2057" t="s">
        <v>16</v>
      </c>
      <c r="C2057">
        <v>32</v>
      </c>
      <c r="D2057" t="s">
        <v>29</v>
      </c>
      <c r="E2057" t="s">
        <v>24</v>
      </c>
      <c r="F2057">
        <v>244</v>
      </c>
      <c r="G2057">
        <v>59</v>
      </c>
      <c r="H2057">
        <v>0.47</v>
      </c>
      <c r="I2057" t="s">
        <v>23</v>
      </c>
      <c r="J2057">
        <v>0</v>
      </c>
      <c r="K2057">
        <v>1</v>
      </c>
      <c r="L2057">
        <v>1</v>
      </c>
      <c r="M2057">
        <f>VLOOKUP(Table1[[#This Row],[subscription_type]],Plans!$A$1:$B$5,2,FALSE)</f>
        <v>4.99</v>
      </c>
      <c r="N2057">
        <f t="shared" si="32"/>
        <v>4.99</v>
      </c>
    </row>
    <row r="2058" spans="1:14" x14ac:dyDescent="0.35">
      <c r="A2058">
        <v>2057</v>
      </c>
      <c r="B2058" t="s">
        <v>20</v>
      </c>
      <c r="C2058">
        <v>54</v>
      </c>
      <c r="D2058" t="s">
        <v>13</v>
      </c>
      <c r="E2058" t="s">
        <v>18</v>
      </c>
      <c r="F2058">
        <v>127</v>
      </c>
      <c r="G2058">
        <v>87</v>
      </c>
      <c r="H2058">
        <v>0.47</v>
      </c>
      <c r="I2058" t="s">
        <v>23</v>
      </c>
      <c r="J2058">
        <v>0</v>
      </c>
      <c r="K2058">
        <v>1</v>
      </c>
      <c r="L2058">
        <v>0</v>
      </c>
      <c r="M2058">
        <f>VLOOKUP(Table1[[#This Row],[subscription_type]],Plans!$A$1:$B$5,2,FALSE)</f>
        <v>14.99</v>
      </c>
      <c r="N2058">
        <f t="shared" si="32"/>
        <v>0</v>
      </c>
    </row>
    <row r="2059" spans="1:14" x14ac:dyDescent="0.35">
      <c r="A2059">
        <v>2058</v>
      </c>
      <c r="B2059" t="s">
        <v>16</v>
      </c>
      <c r="C2059">
        <v>57</v>
      </c>
      <c r="D2059" t="s">
        <v>13</v>
      </c>
      <c r="E2059" t="s">
        <v>14</v>
      </c>
      <c r="F2059">
        <v>187</v>
      </c>
      <c r="G2059">
        <v>90</v>
      </c>
      <c r="H2059">
        <v>0.18</v>
      </c>
      <c r="I2059" t="s">
        <v>23</v>
      </c>
      <c r="J2059">
        <v>16</v>
      </c>
      <c r="K2059">
        <v>0</v>
      </c>
      <c r="L2059">
        <v>0</v>
      </c>
      <c r="M2059">
        <f>VLOOKUP(Table1[[#This Row],[subscription_type]],Plans!$A$1:$B$5,2,FALSE)</f>
        <v>0</v>
      </c>
      <c r="N2059">
        <f t="shared" si="32"/>
        <v>0</v>
      </c>
    </row>
    <row r="2060" spans="1:14" x14ac:dyDescent="0.35">
      <c r="A2060">
        <v>2059</v>
      </c>
      <c r="B2060" t="s">
        <v>12</v>
      </c>
      <c r="C2060">
        <v>43</v>
      </c>
      <c r="D2060" t="s">
        <v>13</v>
      </c>
      <c r="E2060" t="s">
        <v>14</v>
      </c>
      <c r="F2060">
        <v>290</v>
      </c>
      <c r="G2060">
        <v>70</v>
      </c>
      <c r="H2060">
        <v>0.33</v>
      </c>
      <c r="I2060" t="s">
        <v>15</v>
      </c>
      <c r="J2060">
        <v>48</v>
      </c>
      <c r="K2060">
        <v>0</v>
      </c>
      <c r="L2060">
        <v>0</v>
      </c>
      <c r="M2060">
        <f>VLOOKUP(Table1[[#This Row],[subscription_type]],Plans!$A$1:$B$5,2,FALSE)</f>
        <v>0</v>
      </c>
      <c r="N2060">
        <f t="shared" si="32"/>
        <v>0</v>
      </c>
    </row>
    <row r="2061" spans="1:14" x14ac:dyDescent="0.35">
      <c r="A2061">
        <v>2060</v>
      </c>
      <c r="B2061" t="s">
        <v>16</v>
      </c>
      <c r="C2061">
        <v>39</v>
      </c>
      <c r="D2061" t="s">
        <v>28</v>
      </c>
      <c r="E2061" t="s">
        <v>22</v>
      </c>
      <c r="F2061">
        <v>199</v>
      </c>
      <c r="G2061">
        <v>34</v>
      </c>
      <c r="H2061">
        <v>0.12</v>
      </c>
      <c r="I2061" t="s">
        <v>15</v>
      </c>
      <c r="J2061">
        <v>0</v>
      </c>
      <c r="K2061">
        <v>1</v>
      </c>
      <c r="L2061">
        <v>0</v>
      </c>
      <c r="M2061">
        <f>VLOOKUP(Table1[[#This Row],[subscription_type]],Plans!$A$1:$B$5,2,FALSE)</f>
        <v>9.99</v>
      </c>
      <c r="N2061">
        <f t="shared" si="32"/>
        <v>0</v>
      </c>
    </row>
    <row r="2062" spans="1:14" x14ac:dyDescent="0.35">
      <c r="A2062">
        <v>2061</v>
      </c>
      <c r="B2062" t="s">
        <v>12</v>
      </c>
      <c r="C2062">
        <v>18</v>
      </c>
      <c r="D2062" t="s">
        <v>17</v>
      </c>
      <c r="E2062" t="s">
        <v>24</v>
      </c>
      <c r="F2062">
        <v>185</v>
      </c>
      <c r="G2062">
        <v>32</v>
      </c>
      <c r="H2062">
        <v>0.01</v>
      </c>
      <c r="I2062" t="s">
        <v>23</v>
      </c>
      <c r="J2062">
        <v>0</v>
      </c>
      <c r="K2062">
        <v>1</v>
      </c>
      <c r="L2062">
        <v>0</v>
      </c>
      <c r="M2062">
        <f>VLOOKUP(Table1[[#This Row],[subscription_type]],Plans!$A$1:$B$5,2,FALSE)</f>
        <v>4.99</v>
      </c>
      <c r="N2062">
        <f t="shared" si="32"/>
        <v>0</v>
      </c>
    </row>
    <row r="2063" spans="1:14" x14ac:dyDescent="0.35">
      <c r="A2063">
        <v>2062</v>
      </c>
      <c r="B2063" t="s">
        <v>12</v>
      </c>
      <c r="C2063">
        <v>35</v>
      </c>
      <c r="D2063" t="s">
        <v>27</v>
      </c>
      <c r="E2063" t="s">
        <v>14</v>
      </c>
      <c r="F2063">
        <v>234</v>
      </c>
      <c r="G2063">
        <v>29</v>
      </c>
      <c r="H2063">
        <v>0.15</v>
      </c>
      <c r="I2063" t="s">
        <v>23</v>
      </c>
      <c r="J2063">
        <v>25</v>
      </c>
      <c r="K2063">
        <v>0</v>
      </c>
      <c r="L2063">
        <v>0</v>
      </c>
      <c r="M2063">
        <f>VLOOKUP(Table1[[#This Row],[subscription_type]],Plans!$A$1:$B$5,2,FALSE)</f>
        <v>0</v>
      </c>
      <c r="N2063">
        <f t="shared" si="32"/>
        <v>0</v>
      </c>
    </row>
    <row r="2064" spans="1:14" x14ac:dyDescent="0.35">
      <c r="A2064">
        <v>2063</v>
      </c>
      <c r="B2064" t="s">
        <v>16</v>
      </c>
      <c r="C2064">
        <v>53</v>
      </c>
      <c r="D2064" t="s">
        <v>21</v>
      </c>
      <c r="E2064" t="s">
        <v>14</v>
      </c>
      <c r="F2064">
        <v>144</v>
      </c>
      <c r="G2064">
        <v>76</v>
      </c>
      <c r="H2064">
        <v>0.02</v>
      </c>
      <c r="I2064" t="s">
        <v>15</v>
      </c>
      <c r="J2064">
        <v>38</v>
      </c>
      <c r="K2064">
        <v>0</v>
      </c>
      <c r="L2064">
        <v>0</v>
      </c>
      <c r="M2064">
        <f>VLOOKUP(Table1[[#This Row],[subscription_type]],Plans!$A$1:$B$5,2,FALSE)</f>
        <v>0</v>
      </c>
      <c r="N2064">
        <f t="shared" si="32"/>
        <v>0</v>
      </c>
    </row>
    <row r="2065" spans="1:14" x14ac:dyDescent="0.35">
      <c r="A2065">
        <v>2064</v>
      </c>
      <c r="B2065" t="s">
        <v>12</v>
      </c>
      <c r="C2065">
        <v>58</v>
      </c>
      <c r="D2065" t="s">
        <v>25</v>
      </c>
      <c r="E2065" t="s">
        <v>22</v>
      </c>
      <c r="F2065">
        <v>159</v>
      </c>
      <c r="G2065">
        <v>6</v>
      </c>
      <c r="H2065">
        <v>0.05</v>
      </c>
      <c r="I2065" t="s">
        <v>19</v>
      </c>
      <c r="J2065">
        <v>0</v>
      </c>
      <c r="K2065">
        <v>1</v>
      </c>
      <c r="L2065">
        <v>0</v>
      </c>
      <c r="M2065">
        <f>VLOOKUP(Table1[[#This Row],[subscription_type]],Plans!$A$1:$B$5,2,FALSE)</f>
        <v>9.99</v>
      </c>
      <c r="N2065">
        <f t="shared" si="32"/>
        <v>0</v>
      </c>
    </row>
    <row r="2066" spans="1:14" x14ac:dyDescent="0.35">
      <c r="A2066">
        <v>2065</v>
      </c>
      <c r="B2066" t="s">
        <v>12</v>
      </c>
      <c r="C2066">
        <v>56</v>
      </c>
      <c r="D2066" t="s">
        <v>13</v>
      </c>
      <c r="E2066" t="s">
        <v>18</v>
      </c>
      <c r="F2066">
        <v>144</v>
      </c>
      <c r="G2066">
        <v>64</v>
      </c>
      <c r="H2066">
        <v>0.1</v>
      </c>
      <c r="I2066" t="s">
        <v>19</v>
      </c>
      <c r="J2066">
        <v>0</v>
      </c>
      <c r="K2066">
        <v>1</v>
      </c>
      <c r="L2066">
        <v>0</v>
      </c>
      <c r="M2066">
        <f>VLOOKUP(Table1[[#This Row],[subscription_type]],Plans!$A$1:$B$5,2,FALSE)</f>
        <v>14.99</v>
      </c>
      <c r="N2066">
        <f t="shared" si="32"/>
        <v>0</v>
      </c>
    </row>
    <row r="2067" spans="1:14" x14ac:dyDescent="0.35">
      <c r="A2067">
        <v>2066</v>
      </c>
      <c r="B2067" t="s">
        <v>16</v>
      </c>
      <c r="C2067">
        <v>59</v>
      </c>
      <c r="D2067" t="s">
        <v>13</v>
      </c>
      <c r="E2067" t="s">
        <v>18</v>
      </c>
      <c r="F2067">
        <v>84</v>
      </c>
      <c r="G2067">
        <v>39</v>
      </c>
      <c r="H2067">
        <v>0.28000000000000003</v>
      </c>
      <c r="I2067" t="s">
        <v>23</v>
      </c>
      <c r="J2067">
        <v>0</v>
      </c>
      <c r="K2067">
        <v>1</v>
      </c>
      <c r="L2067">
        <v>0</v>
      </c>
      <c r="M2067">
        <f>VLOOKUP(Table1[[#This Row],[subscription_type]],Plans!$A$1:$B$5,2,FALSE)</f>
        <v>14.99</v>
      </c>
      <c r="N2067">
        <f t="shared" si="32"/>
        <v>0</v>
      </c>
    </row>
    <row r="2068" spans="1:14" x14ac:dyDescent="0.35">
      <c r="A2068">
        <v>2067</v>
      </c>
      <c r="B2068" t="s">
        <v>12</v>
      </c>
      <c r="C2068">
        <v>59</v>
      </c>
      <c r="D2068" t="s">
        <v>27</v>
      </c>
      <c r="E2068" t="s">
        <v>18</v>
      </c>
      <c r="F2068">
        <v>260</v>
      </c>
      <c r="G2068">
        <v>52</v>
      </c>
      <c r="H2068">
        <v>0.2</v>
      </c>
      <c r="I2068" t="s">
        <v>19</v>
      </c>
      <c r="J2068">
        <v>0</v>
      </c>
      <c r="K2068">
        <v>1</v>
      </c>
      <c r="L2068">
        <v>0</v>
      </c>
      <c r="M2068">
        <f>VLOOKUP(Table1[[#This Row],[subscription_type]],Plans!$A$1:$B$5,2,FALSE)</f>
        <v>14.99</v>
      </c>
      <c r="N2068">
        <f t="shared" si="32"/>
        <v>0</v>
      </c>
    </row>
    <row r="2069" spans="1:14" x14ac:dyDescent="0.35">
      <c r="A2069">
        <v>2068</v>
      </c>
      <c r="B2069" t="s">
        <v>12</v>
      </c>
      <c r="C2069">
        <v>42</v>
      </c>
      <c r="D2069" t="s">
        <v>13</v>
      </c>
      <c r="E2069" t="s">
        <v>24</v>
      </c>
      <c r="F2069">
        <v>170</v>
      </c>
      <c r="G2069">
        <v>87</v>
      </c>
      <c r="H2069">
        <v>0.53</v>
      </c>
      <c r="I2069" t="s">
        <v>19</v>
      </c>
      <c r="J2069">
        <v>0</v>
      </c>
      <c r="K2069">
        <v>1</v>
      </c>
      <c r="L2069">
        <v>0</v>
      </c>
      <c r="M2069">
        <f>VLOOKUP(Table1[[#This Row],[subscription_type]],Plans!$A$1:$B$5,2,FALSE)</f>
        <v>4.99</v>
      </c>
      <c r="N2069">
        <f t="shared" si="32"/>
        <v>0</v>
      </c>
    </row>
    <row r="2070" spans="1:14" x14ac:dyDescent="0.35">
      <c r="A2070">
        <v>2069</v>
      </c>
      <c r="B2070" t="s">
        <v>20</v>
      </c>
      <c r="C2070">
        <v>29</v>
      </c>
      <c r="D2070" t="s">
        <v>29</v>
      </c>
      <c r="E2070" t="s">
        <v>14</v>
      </c>
      <c r="F2070">
        <v>79</v>
      </c>
      <c r="G2070">
        <v>40</v>
      </c>
      <c r="H2070">
        <v>0.12</v>
      </c>
      <c r="I2070" t="s">
        <v>15</v>
      </c>
      <c r="J2070">
        <v>8</v>
      </c>
      <c r="K2070">
        <v>0</v>
      </c>
      <c r="L2070">
        <v>1</v>
      </c>
      <c r="M2070">
        <f>VLOOKUP(Table1[[#This Row],[subscription_type]],Plans!$A$1:$B$5,2,FALSE)</f>
        <v>0</v>
      </c>
      <c r="N2070">
        <f t="shared" si="32"/>
        <v>0</v>
      </c>
    </row>
    <row r="2071" spans="1:14" x14ac:dyDescent="0.35">
      <c r="A2071">
        <v>2070</v>
      </c>
      <c r="B2071" t="s">
        <v>12</v>
      </c>
      <c r="C2071">
        <v>36</v>
      </c>
      <c r="D2071" t="s">
        <v>28</v>
      </c>
      <c r="E2071" t="s">
        <v>14</v>
      </c>
      <c r="F2071">
        <v>231</v>
      </c>
      <c r="G2071">
        <v>63</v>
      </c>
      <c r="H2071">
        <v>0.28000000000000003</v>
      </c>
      <c r="I2071" t="s">
        <v>23</v>
      </c>
      <c r="J2071">
        <v>14</v>
      </c>
      <c r="K2071">
        <v>0</v>
      </c>
      <c r="L2071">
        <v>1</v>
      </c>
      <c r="M2071">
        <f>VLOOKUP(Table1[[#This Row],[subscription_type]],Plans!$A$1:$B$5,2,FALSE)</f>
        <v>0</v>
      </c>
      <c r="N2071">
        <f t="shared" si="32"/>
        <v>0</v>
      </c>
    </row>
    <row r="2072" spans="1:14" x14ac:dyDescent="0.35">
      <c r="A2072">
        <v>2071</v>
      </c>
      <c r="B2072" t="s">
        <v>12</v>
      </c>
      <c r="C2072">
        <v>42</v>
      </c>
      <c r="D2072" t="s">
        <v>17</v>
      </c>
      <c r="E2072" t="s">
        <v>22</v>
      </c>
      <c r="F2072">
        <v>165</v>
      </c>
      <c r="G2072">
        <v>63</v>
      </c>
      <c r="H2072">
        <v>0.47</v>
      </c>
      <c r="I2072" t="s">
        <v>23</v>
      </c>
      <c r="J2072">
        <v>0</v>
      </c>
      <c r="K2072">
        <v>1</v>
      </c>
      <c r="L2072">
        <v>1</v>
      </c>
      <c r="M2072">
        <f>VLOOKUP(Table1[[#This Row],[subscription_type]],Plans!$A$1:$B$5,2,FALSE)</f>
        <v>9.99</v>
      </c>
      <c r="N2072">
        <f t="shared" si="32"/>
        <v>9.99</v>
      </c>
    </row>
    <row r="2073" spans="1:14" x14ac:dyDescent="0.35">
      <c r="A2073">
        <v>2072</v>
      </c>
      <c r="B2073" t="s">
        <v>16</v>
      </c>
      <c r="C2073">
        <v>53</v>
      </c>
      <c r="D2073" t="s">
        <v>17</v>
      </c>
      <c r="E2073" t="s">
        <v>14</v>
      </c>
      <c r="F2073">
        <v>232</v>
      </c>
      <c r="G2073">
        <v>10</v>
      </c>
      <c r="H2073">
        <v>0.15</v>
      </c>
      <c r="I2073" t="s">
        <v>15</v>
      </c>
      <c r="J2073">
        <v>38</v>
      </c>
      <c r="K2073">
        <v>0</v>
      </c>
      <c r="L2073">
        <v>0</v>
      </c>
      <c r="M2073">
        <f>VLOOKUP(Table1[[#This Row],[subscription_type]],Plans!$A$1:$B$5,2,FALSE)</f>
        <v>0</v>
      </c>
      <c r="N2073">
        <f t="shared" si="32"/>
        <v>0</v>
      </c>
    </row>
    <row r="2074" spans="1:14" x14ac:dyDescent="0.35">
      <c r="A2074">
        <v>2073</v>
      </c>
      <c r="B2074" t="s">
        <v>12</v>
      </c>
      <c r="C2074">
        <v>26</v>
      </c>
      <c r="D2074" t="s">
        <v>28</v>
      </c>
      <c r="E2074" t="s">
        <v>24</v>
      </c>
      <c r="F2074">
        <v>296</v>
      </c>
      <c r="G2074">
        <v>6</v>
      </c>
      <c r="H2074">
        <v>0.35</v>
      </c>
      <c r="I2074" t="s">
        <v>15</v>
      </c>
      <c r="J2074">
        <v>0</v>
      </c>
      <c r="K2074">
        <v>1</v>
      </c>
      <c r="L2074">
        <v>0</v>
      </c>
      <c r="M2074">
        <f>VLOOKUP(Table1[[#This Row],[subscription_type]],Plans!$A$1:$B$5,2,FALSE)</f>
        <v>4.99</v>
      </c>
      <c r="N2074">
        <f t="shared" si="32"/>
        <v>0</v>
      </c>
    </row>
    <row r="2075" spans="1:14" x14ac:dyDescent="0.35">
      <c r="A2075">
        <v>2074</v>
      </c>
      <c r="B2075" t="s">
        <v>16</v>
      </c>
      <c r="C2075">
        <v>50</v>
      </c>
      <c r="D2075" t="s">
        <v>25</v>
      </c>
      <c r="E2075" t="s">
        <v>18</v>
      </c>
      <c r="F2075">
        <v>284</v>
      </c>
      <c r="G2075">
        <v>27</v>
      </c>
      <c r="H2075">
        <v>0.54</v>
      </c>
      <c r="I2075" t="s">
        <v>19</v>
      </c>
      <c r="J2075">
        <v>0</v>
      </c>
      <c r="K2075">
        <v>1</v>
      </c>
      <c r="L2075">
        <v>1</v>
      </c>
      <c r="M2075">
        <f>VLOOKUP(Table1[[#This Row],[subscription_type]],Plans!$A$1:$B$5,2,FALSE)</f>
        <v>14.99</v>
      </c>
      <c r="N2075">
        <f t="shared" si="32"/>
        <v>14.99</v>
      </c>
    </row>
    <row r="2076" spans="1:14" x14ac:dyDescent="0.35">
      <c r="A2076">
        <v>2075</v>
      </c>
      <c r="B2076" t="s">
        <v>12</v>
      </c>
      <c r="C2076">
        <v>57</v>
      </c>
      <c r="D2076" t="s">
        <v>25</v>
      </c>
      <c r="E2076" t="s">
        <v>22</v>
      </c>
      <c r="F2076">
        <v>234</v>
      </c>
      <c r="G2076">
        <v>34</v>
      </c>
      <c r="H2076">
        <v>0.59</v>
      </c>
      <c r="I2076" t="s">
        <v>15</v>
      </c>
      <c r="J2076">
        <v>0</v>
      </c>
      <c r="K2076">
        <v>1</v>
      </c>
      <c r="L2076">
        <v>0</v>
      </c>
      <c r="M2076">
        <f>VLOOKUP(Table1[[#This Row],[subscription_type]],Plans!$A$1:$B$5,2,FALSE)</f>
        <v>9.99</v>
      </c>
      <c r="N2076">
        <f t="shared" si="32"/>
        <v>0</v>
      </c>
    </row>
    <row r="2077" spans="1:14" x14ac:dyDescent="0.35">
      <c r="A2077">
        <v>2076</v>
      </c>
      <c r="B2077" t="s">
        <v>16</v>
      </c>
      <c r="C2077">
        <v>54</v>
      </c>
      <c r="D2077" t="s">
        <v>25</v>
      </c>
      <c r="E2077" t="s">
        <v>14</v>
      </c>
      <c r="F2077">
        <v>73</v>
      </c>
      <c r="G2077">
        <v>86</v>
      </c>
      <c r="H2077">
        <v>7.0000000000000007E-2</v>
      </c>
      <c r="I2077" t="s">
        <v>23</v>
      </c>
      <c r="J2077">
        <v>41</v>
      </c>
      <c r="K2077">
        <v>0</v>
      </c>
      <c r="L2077">
        <v>0</v>
      </c>
      <c r="M2077">
        <f>VLOOKUP(Table1[[#This Row],[subscription_type]],Plans!$A$1:$B$5,2,FALSE)</f>
        <v>0</v>
      </c>
      <c r="N2077">
        <f t="shared" si="32"/>
        <v>0</v>
      </c>
    </row>
    <row r="2078" spans="1:14" x14ac:dyDescent="0.35">
      <c r="A2078">
        <v>2077</v>
      </c>
      <c r="B2078" t="s">
        <v>20</v>
      </c>
      <c r="C2078">
        <v>16</v>
      </c>
      <c r="D2078" t="s">
        <v>29</v>
      </c>
      <c r="E2078" t="s">
        <v>18</v>
      </c>
      <c r="F2078">
        <v>159</v>
      </c>
      <c r="G2078">
        <v>66</v>
      </c>
      <c r="H2078">
        <v>7.0000000000000007E-2</v>
      </c>
      <c r="I2078" t="s">
        <v>15</v>
      </c>
      <c r="J2078">
        <v>0</v>
      </c>
      <c r="K2078">
        <v>1</v>
      </c>
      <c r="L2078">
        <v>1</v>
      </c>
      <c r="M2078">
        <f>VLOOKUP(Table1[[#This Row],[subscription_type]],Plans!$A$1:$B$5,2,FALSE)</f>
        <v>14.99</v>
      </c>
      <c r="N2078">
        <f t="shared" si="32"/>
        <v>14.99</v>
      </c>
    </row>
    <row r="2079" spans="1:14" x14ac:dyDescent="0.35">
      <c r="A2079">
        <v>2078</v>
      </c>
      <c r="B2079" t="s">
        <v>12</v>
      </c>
      <c r="C2079">
        <v>16</v>
      </c>
      <c r="D2079" t="s">
        <v>17</v>
      </c>
      <c r="E2079" t="s">
        <v>22</v>
      </c>
      <c r="F2079">
        <v>25</v>
      </c>
      <c r="G2079">
        <v>28</v>
      </c>
      <c r="H2079">
        <v>0.56999999999999995</v>
      </c>
      <c r="I2079" t="s">
        <v>19</v>
      </c>
      <c r="J2079">
        <v>0</v>
      </c>
      <c r="K2079">
        <v>1</v>
      </c>
      <c r="L2079">
        <v>0</v>
      </c>
      <c r="M2079">
        <f>VLOOKUP(Table1[[#This Row],[subscription_type]],Plans!$A$1:$B$5,2,FALSE)</f>
        <v>9.99</v>
      </c>
      <c r="N2079">
        <f t="shared" si="32"/>
        <v>0</v>
      </c>
    </row>
    <row r="2080" spans="1:14" x14ac:dyDescent="0.35">
      <c r="A2080">
        <v>2079</v>
      </c>
      <c r="B2080" t="s">
        <v>12</v>
      </c>
      <c r="C2080">
        <v>44</v>
      </c>
      <c r="D2080" t="s">
        <v>13</v>
      </c>
      <c r="E2080" t="s">
        <v>18</v>
      </c>
      <c r="F2080">
        <v>116</v>
      </c>
      <c r="G2080">
        <v>19</v>
      </c>
      <c r="H2080">
        <v>0.43</v>
      </c>
      <c r="I2080" t="s">
        <v>15</v>
      </c>
      <c r="J2080">
        <v>0</v>
      </c>
      <c r="K2080">
        <v>1</v>
      </c>
      <c r="L2080">
        <v>1</v>
      </c>
      <c r="M2080">
        <f>VLOOKUP(Table1[[#This Row],[subscription_type]],Plans!$A$1:$B$5,2,FALSE)</f>
        <v>14.99</v>
      </c>
      <c r="N2080">
        <f t="shared" si="32"/>
        <v>14.99</v>
      </c>
    </row>
    <row r="2081" spans="1:14" x14ac:dyDescent="0.35">
      <c r="A2081">
        <v>2080</v>
      </c>
      <c r="B2081" t="s">
        <v>20</v>
      </c>
      <c r="C2081">
        <v>36</v>
      </c>
      <c r="D2081" t="s">
        <v>13</v>
      </c>
      <c r="E2081" t="s">
        <v>24</v>
      </c>
      <c r="F2081">
        <v>77</v>
      </c>
      <c r="G2081">
        <v>34</v>
      </c>
      <c r="H2081">
        <v>0.44</v>
      </c>
      <c r="I2081" t="s">
        <v>19</v>
      </c>
      <c r="J2081">
        <v>0</v>
      </c>
      <c r="K2081">
        <v>1</v>
      </c>
      <c r="L2081">
        <v>0</v>
      </c>
      <c r="M2081">
        <f>VLOOKUP(Table1[[#This Row],[subscription_type]],Plans!$A$1:$B$5,2,FALSE)</f>
        <v>4.99</v>
      </c>
      <c r="N2081">
        <f t="shared" si="32"/>
        <v>0</v>
      </c>
    </row>
    <row r="2082" spans="1:14" x14ac:dyDescent="0.35">
      <c r="A2082">
        <v>2081</v>
      </c>
      <c r="B2082" t="s">
        <v>12</v>
      </c>
      <c r="C2082">
        <v>20</v>
      </c>
      <c r="D2082" t="s">
        <v>29</v>
      </c>
      <c r="E2082" t="s">
        <v>22</v>
      </c>
      <c r="F2082">
        <v>272</v>
      </c>
      <c r="G2082">
        <v>56</v>
      </c>
      <c r="H2082">
        <v>0.27</v>
      </c>
      <c r="I2082" t="s">
        <v>15</v>
      </c>
      <c r="J2082">
        <v>0</v>
      </c>
      <c r="K2082">
        <v>1</v>
      </c>
      <c r="L2082">
        <v>0</v>
      </c>
      <c r="M2082">
        <f>VLOOKUP(Table1[[#This Row],[subscription_type]],Plans!$A$1:$B$5,2,FALSE)</f>
        <v>9.99</v>
      </c>
      <c r="N2082">
        <f t="shared" si="32"/>
        <v>0</v>
      </c>
    </row>
    <row r="2083" spans="1:14" x14ac:dyDescent="0.35">
      <c r="A2083">
        <v>2082</v>
      </c>
      <c r="B2083" t="s">
        <v>20</v>
      </c>
      <c r="C2083">
        <v>45</v>
      </c>
      <c r="D2083" t="s">
        <v>28</v>
      </c>
      <c r="E2083" t="s">
        <v>24</v>
      </c>
      <c r="F2083">
        <v>150</v>
      </c>
      <c r="G2083">
        <v>98</v>
      </c>
      <c r="H2083">
        <v>0.48</v>
      </c>
      <c r="I2083" t="s">
        <v>23</v>
      </c>
      <c r="J2083">
        <v>0</v>
      </c>
      <c r="K2083">
        <v>1</v>
      </c>
      <c r="L2083">
        <v>1</v>
      </c>
      <c r="M2083">
        <f>VLOOKUP(Table1[[#This Row],[subscription_type]],Plans!$A$1:$B$5,2,FALSE)</f>
        <v>4.99</v>
      </c>
      <c r="N2083">
        <f t="shared" si="32"/>
        <v>4.99</v>
      </c>
    </row>
    <row r="2084" spans="1:14" x14ac:dyDescent="0.35">
      <c r="A2084">
        <v>2083</v>
      </c>
      <c r="B2084" t="s">
        <v>12</v>
      </c>
      <c r="C2084">
        <v>53</v>
      </c>
      <c r="D2084" t="s">
        <v>13</v>
      </c>
      <c r="E2084" t="s">
        <v>14</v>
      </c>
      <c r="F2084">
        <v>52</v>
      </c>
      <c r="G2084">
        <v>20</v>
      </c>
      <c r="H2084">
        <v>0.37</v>
      </c>
      <c r="I2084" t="s">
        <v>23</v>
      </c>
      <c r="J2084">
        <v>42</v>
      </c>
      <c r="K2084">
        <v>0</v>
      </c>
      <c r="L2084">
        <v>0</v>
      </c>
      <c r="M2084">
        <f>VLOOKUP(Table1[[#This Row],[subscription_type]],Plans!$A$1:$B$5,2,FALSE)</f>
        <v>0</v>
      </c>
      <c r="N2084">
        <f t="shared" si="32"/>
        <v>0</v>
      </c>
    </row>
    <row r="2085" spans="1:14" x14ac:dyDescent="0.35">
      <c r="A2085">
        <v>2084</v>
      </c>
      <c r="B2085" t="s">
        <v>12</v>
      </c>
      <c r="C2085">
        <v>17</v>
      </c>
      <c r="D2085" t="s">
        <v>29</v>
      </c>
      <c r="E2085" t="s">
        <v>24</v>
      </c>
      <c r="F2085">
        <v>256</v>
      </c>
      <c r="G2085">
        <v>75</v>
      </c>
      <c r="H2085">
        <v>0.54</v>
      </c>
      <c r="I2085" t="s">
        <v>23</v>
      </c>
      <c r="J2085">
        <v>0</v>
      </c>
      <c r="K2085">
        <v>1</v>
      </c>
      <c r="L2085">
        <v>0</v>
      </c>
      <c r="M2085">
        <f>VLOOKUP(Table1[[#This Row],[subscription_type]],Plans!$A$1:$B$5,2,FALSE)</f>
        <v>4.99</v>
      </c>
      <c r="N2085">
        <f t="shared" si="32"/>
        <v>0</v>
      </c>
    </row>
    <row r="2086" spans="1:14" x14ac:dyDescent="0.35">
      <c r="A2086">
        <v>2085</v>
      </c>
      <c r="B2086" t="s">
        <v>16</v>
      </c>
      <c r="C2086">
        <v>53</v>
      </c>
      <c r="D2086" t="s">
        <v>27</v>
      </c>
      <c r="E2086" t="s">
        <v>24</v>
      </c>
      <c r="F2086">
        <v>67</v>
      </c>
      <c r="G2086">
        <v>35</v>
      </c>
      <c r="H2086">
        <v>0.53</v>
      </c>
      <c r="I2086" t="s">
        <v>19</v>
      </c>
      <c r="J2086">
        <v>0</v>
      </c>
      <c r="K2086">
        <v>1</v>
      </c>
      <c r="L2086">
        <v>0</v>
      </c>
      <c r="M2086">
        <f>VLOOKUP(Table1[[#This Row],[subscription_type]],Plans!$A$1:$B$5,2,FALSE)</f>
        <v>4.99</v>
      </c>
      <c r="N2086">
        <f t="shared" si="32"/>
        <v>0</v>
      </c>
    </row>
    <row r="2087" spans="1:14" x14ac:dyDescent="0.35">
      <c r="A2087">
        <v>2086</v>
      </c>
      <c r="B2087" t="s">
        <v>12</v>
      </c>
      <c r="C2087">
        <v>20</v>
      </c>
      <c r="D2087" t="s">
        <v>26</v>
      </c>
      <c r="E2087" t="s">
        <v>24</v>
      </c>
      <c r="F2087">
        <v>48</v>
      </c>
      <c r="G2087">
        <v>47</v>
      </c>
      <c r="H2087">
        <v>0.27</v>
      </c>
      <c r="I2087" t="s">
        <v>23</v>
      </c>
      <c r="J2087">
        <v>0</v>
      </c>
      <c r="K2087">
        <v>1</v>
      </c>
      <c r="L2087">
        <v>0</v>
      </c>
      <c r="M2087">
        <f>VLOOKUP(Table1[[#This Row],[subscription_type]],Plans!$A$1:$B$5,2,FALSE)</f>
        <v>4.99</v>
      </c>
      <c r="N2087">
        <f t="shared" si="32"/>
        <v>0</v>
      </c>
    </row>
    <row r="2088" spans="1:14" x14ac:dyDescent="0.35">
      <c r="A2088">
        <v>2087</v>
      </c>
      <c r="B2088" t="s">
        <v>12</v>
      </c>
      <c r="C2088">
        <v>31</v>
      </c>
      <c r="D2088" t="s">
        <v>25</v>
      </c>
      <c r="E2088" t="s">
        <v>14</v>
      </c>
      <c r="F2088">
        <v>89</v>
      </c>
      <c r="G2088">
        <v>43</v>
      </c>
      <c r="H2088">
        <v>0.11</v>
      </c>
      <c r="I2088" t="s">
        <v>19</v>
      </c>
      <c r="J2088">
        <v>40</v>
      </c>
      <c r="K2088">
        <v>0</v>
      </c>
      <c r="L2088">
        <v>0</v>
      </c>
      <c r="M2088">
        <f>VLOOKUP(Table1[[#This Row],[subscription_type]],Plans!$A$1:$B$5,2,FALSE)</f>
        <v>0</v>
      </c>
      <c r="N2088">
        <f t="shared" si="32"/>
        <v>0</v>
      </c>
    </row>
    <row r="2089" spans="1:14" x14ac:dyDescent="0.35">
      <c r="A2089">
        <v>2088</v>
      </c>
      <c r="B2089" t="s">
        <v>20</v>
      </c>
      <c r="C2089">
        <v>56</v>
      </c>
      <c r="D2089" t="s">
        <v>25</v>
      </c>
      <c r="E2089" t="s">
        <v>18</v>
      </c>
      <c r="F2089">
        <v>239</v>
      </c>
      <c r="G2089">
        <v>12</v>
      </c>
      <c r="H2089">
        <v>0.48</v>
      </c>
      <c r="I2089" t="s">
        <v>19</v>
      </c>
      <c r="J2089">
        <v>0</v>
      </c>
      <c r="K2089">
        <v>1</v>
      </c>
      <c r="L2089">
        <v>0</v>
      </c>
      <c r="M2089">
        <f>VLOOKUP(Table1[[#This Row],[subscription_type]],Plans!$A$1:$B$5,2,FALSE)</f>
        <v>14.99</v>
      </c>
      <c r="N2089">
        <f t="shared" si="32"/>
        <v>0</v>
      </c>
    </row>
    <row r="2090" spans="1:14" x14ac:dyDescent="0.35">
      <c r="A2090">
        <v>2089</v>
      </c>
      <c r="B2090" t="s">
        <v>16</v>
      </c>
      <c r="C2090">
        <v>48</v>
      </c>
      <c r="D2090" t="s">
        <v>25</v>
      </c>
      <c r="E2090" t="s">
        <v>14</v>
      </c>
      <c r="F2090">
        <v>179</v>
      </c>
      <c r="G2090">
        <v>57</v>
      </c>
      <c r="H2090">
        <v>0.19</v>
      </c>
      <c r="I2090" t="s">
        <v>19</v>
      </c>
      <c r="J2090">
        <v>17</v>
      </c>
      <c r="K2090">
        <v>0</v>
      </c>
      <c r="L2090">
        <v>0</v>
      </c>
      <c r="M2090">
        <f>VLOOKUP(Table1[[#This Row],[subscription_type]],Plans!$A$1:$B$5,2,FALSE)</f>
        <v>0</v>
      </c>
      <c r="N2090">
        <f t="shared" si="32"/>
        <v>0</v>
      </c>
    </row>
    <row r="2091" spans="1:14" x14ac:dyDescent="0.35">
      <c r="A2091">
        <v>2090</v>
      </c>
      <c r="B2091" t="s">
        <v>16</v>
      </c>
      <c r="C2091">
        <v>20</v>
      </c>
      <c r="D2091" t="s">
        <v>17</v>
      </c>
      <c r="E2091" t="s">
        <v>18</v>
      </c>
      <c r="F2091">
        <v>208</v>
      </c>
      <c r="G2091">
        <v>44</v>
      </c>
      <c r="H2091">
        <v>0.36</v>
      </c>
      <c r="I2091" t="s">
        <v>19</v>
      </c>
      <c r="J2091">
        <v>0</v>
      </c>
      <c r="K2091">
        <v>1</v>
      </c>
      <c r="L2091">
        <v>0</v>
      </c>
      <c r="M2091">
        <f>VLOOKUP(Table1[[#This Row],[subscription_type]],Plans!$A$1:$B$5,2,FALSE)</f>
        <v>14.99</v>
      </c>
      <c r="N2091">
        <f t="shared" si="32"/>
        <v>0</v>
      </c>
    </row>
    <row r="2092" spans="1:14" x14ac:dyDescent="0.35">
      <c r="A2092">
        <v>2091</v>
      </c>
      <c r="B2092" t="s">
        <v>16</v>
      </c>
      <c r="C2092">
        <v>43</v>
      </c>
      <c r="D2092" t="s">
        <v>13</v>
      </c>
      <c r="E2092" t="s">
        <v>18</v>
      </c>
      <c r="F2092">
        <v>118</v>
      </c>
      <c r="G2092">
        <v>80</v>
      </c>
      <c r="H2092">
        <v>0.03</v>
      </c>
      <c r="I2092" t="s">
        <v>15</v>
      </c>
      <c r="J2092">
        <v>0</v>
      </c>
      <c r="K2092">
        <v>1</v>
      </c>
      <c r="L2092">
        <v>0</v>
      </c>
      <c r="M2092">
        <f>VLOOKUP(Table1[[#This Row],[subscription_type]],Plans!$A$1:$B$5,2,FALSE)</f>
        <v>14.99</v>
      </c>
      <c r="N2092">
        <f t="shared" si="32"/>
        <v>0</v>
      </c>
    </row>
    <row r="2093" spans="1:14" x14ac:dyDescent="0.35">
      <c r="A2093">
        <v>2092</v>
      </c>
      <c r="B2093" t="s">
        <v>20</v>
      </c>
      <c r="C2093">
        <v>42</v>
      </c>
      <c r="D2093" t="s">
        <v>26</v>
      </c>
      <c r="E2093" t="s">
        <v>22</v>
      </c>
      <c r="F2093">
        <v>49</v>
      </c>
      <c r="G2093">
        <v>1</v>
      </c>
      <c r="H2093">
        <v>0.56000000000000005</v>
      </c>
      <c r="I2093" t="s">
        <v>15</v>
      </c>
      <c r="J2093">
        <v>0</v>
      </c>
      <c r="K2093">
        <v>1</v>
      </c>
      <c r="L2093">
        <v>0</v>
      </c>
      <c r="M2093">
        <f>VLOOKUP(Table1[[#This Row],[subscription_type]],Plans!$A$1:$B$5,2,FALSE)</f>
        <v>9.99</v>
      </c>
      <c r="N2093">
        <f t="shared" si="32"/>
        <v>0</v>
      </c>
    </row>
    <row r="2094" spans="1:14" x14ac:dyDescent="0.35">
      <c r="A2094">
        <v>2093</v>
      </c>
      <c r="B2094" t="s">
        <v>16</v>
      </c>
      <c r="C2094">
        <v>23</v>
      </c>
      <c r="D2094" t="s">
        <v>17</v>
      </c>
      <c r="E2094" t="s">
        <v>22</v>
      </c>
      <c r="F2094">
        <v>293</v>
      </c>
      <c r="G2094">
        <v>70</v>
      </c>
      <c r="H2094">
        <v>0.08</v>
      </c>
      <c r="I2094" t="s">
        <v>19</v>
      </c>
      <c r="J2094">
        <v>0</v>
      </c>
      <c r="K2094">
        <v>1</v>
      </c>
      <c r="L2094">
        <v>0</v>
      </c>
      <c r="M2094">
        <f>VLOOKUP(Table1[[#This Row],[subscription_type]],Plans!$A$1:$B$5,2,FALSE)</f>
        <v>9.99</v>
      </c>
      <c r="N2094">
        <f t="shared" si="32"/>
        <v>0</v>
      </c>
    </row>
    <row r="2095" spans="1:14" x14ac:dyDescent="0.35">
      <c r="A2095">
        <v>2094</v>
      </c>
      <c r="B2095" t="s">
        <v>12</v>
      </c>
      <c r="C2095">
        <v>55</v>
      </c>
      <c r="D2095" t="s">
        <v>28</v>
      </c>
      <c r="E2095" t="s">
        <v>24</v>
      </c>
      <c r="F2095">
        <v>195</v>
      </c>
      <c r="G2095">
        <v>13</v>
      </c>
      <c r="H2095">
        <v>0.49</v>
      </c>
      <c r="I2095" t="s">
        <v>23</v>
      </c>
      <c r="J2095">
        <v>0</v>
      </c>
      <c r="K2095">
        <v>1</v>
      </c>
      <c r="L2095">
        <v>1</v>
      </c>
      <c r="M2095">
        <f>VLOOKUP(Table1[[#This Row],[subscription_type]],Plans!$A$1:$B$5,2,FALSE)</f>
        <v>4.99</v>
      </c>
      <c r="N2095">
        <f t="shared" si="32"/>
        <v>4.99</v>
      </c>
    </row>
    <row r="2096" spans="1:14" x14ac:dyDescent="0.35">
      <c r="A2096">
        <v>2095</v>
      </c>
      <c r="B2096" t="s">
        <v>12</v>
      </c>
      <c r="C2096">
        <v>33</v>
      </c>
      <c r="D2096" t="s">
        <v>17</v>
      </c>
      <c r="E2096" t="s">
        <v>14</v>
      </c>
      <c r="F2096">
        <v>267</v>
      </c>
      <c r="G2096">
        <v>91</v>
      </c>
      <c r="H2096">
        <v>0.3</v>
      </c>
      <c r="I2096" t="s">
        <v>19</v>
      </c>
      <c r="J2096">
        <v>43</v>
      </c>
      <c r="K2096">
        <v>0</v>
      </c>
      <c r="L2096">
        <v>1</v>
      </c>
      <c r="M2096">
        <f>VLOOKUP(Table1[[#This Row],[subscription_type]],Plans!$A$1:$B$5,2,FALSE)</f>
        <v>0</v>
      </c>
      <c r="N2096">
        <f t="shared" si="32"/>
        <v>0</v>
      </c>
    </row>
    <row r="2097" spans="1:14" x14ac:dyDescent="0.35">
      <c r="A2097">
        <v>2096</v>
      </c>
      <c r="B2097" t="s">
        <v>12</v>
      </c>
      <c r="C2097">
        <v>27</v>
      </c>
      <c r="D2097" t="s">
        <v>21</v>
      </c>
      <c r="E2097" t="s">
        <v>14</v>
      </c>
      <c r="F2097">
        <v>219</v>
      </c>
      <c r="G2097">
        <v>50</v>
      </c>
      <c r="H2097">
        <v>0.42</v>
      </c>
      <c r="I2097" t="s">
        <v>23</v>
      </c>
      <c r="J2097">
        <v>16</v>
      </c>
      <c r="K2097">
        <v>0</v>
      </c>
      <c r="L2097">
        <v>0</v>
      </c>
      <c r="M2097">
        <f>VLOOKUP(Table1[[#This Row],[subscription_type]],Plans!$A$1:$B$5,2,FALSE)</f>
        <v>0</v>
      </c>
      <c r="N2097">
        <f t="shared" si="32"/>
        <v>0</v>
      </c>
    </row>
    <row r="2098" spans="1:14" x14ac:dyDescent="0.35">
      <c r="A2098">
        <v>2097</v>
      </c>
      <c r="B2098" t="s">
        <v>12</v>
      </c>
      <c r="C2098">
        <v>22</v>
      </c>
      <c r="D2098" t="s">
        <v>26</v>
      </c>
      <c r="E2098" t="s">
        <v>14</v>
      </c>
      <c r="F2098">
        <v>67</v>
      </c>
      <c r="G2098">
        <v>43</v>
      </c>
      <c r="H2098">
        <v>0.56999999999999995</v>
      </c>
      <c r="I2098" t="s">
        <v>23</v>
      </c>
      <c r="J2098">
        <v>13</v>
      </c>
      <c r="K2098">
        <v>0</v>
      </c>
      <c r="L2098">
        <v>0</v>
      </c>
      <c r="M2098">
        <f>VLOOKUP(Table1[[#This Row],[subscription_type]],Plans!$A$1:$B$5,2,FALSE)</f>
        <v>0</v>
      </c>
      <c r="N2098">
        <f t="shared" si="32"/>
        <v>0</v>
      </c>
    </row>
    <row r="2099" spans="1:14" x14ac:dyDescent="0.35">
      <c r="A2099">
        <v>2098</v>
      </c>
      <c r="B2099" t="s">
        <v>12</v>
      </c>
      <c r="C2099">
        <v>19</v>
      </c>
      <c r="D2099" t="s">
        <v>27</v>
      </c>
      <c r="E2099" t="s">
        <v>24</v>
      </c>
      <c r="F2099">
        <v>87</v>
      </c>
      <c r="G2099">
        <v>19</v>
      </c>
      <c r="H2099">
        <v>0.03</v>
      </c>
      <c r="I2099" t="s">
        <v>23</v>
      </c>
      <c r="J2099">
        <v>0</v>
      </c>
      <c r="K2099">
        <v>1</v>
      </c>
      <c r="L2099">
        <v>0</v>
      </c>
      <c r="M2099">
        <f>VLOOKUP(Table1[[#This Row],[subscription_type]],Plans!$A$1:$B$5,2,FALSE)</f>
        <v>4.99</v>
      </c>
      <c r="N2099">
        <f t="shared" si="32"/>
        <v>0</v>
      </c>
    </row>
    <row r="2100" spans="1:14" x14ac:dyDescent="0.35">
      <c r="A2100">
        <v>2099</v>
      </c>
      <c r="B2100" t="s">
        <v>12</v>
      </c>
      <c r="C2100">
        <v>50</v>
      </c>
      <c r="D2100" t="s">
        <v>29</v>
      </c>
      <c r="E2100" t="s">
        <v>14</v>
      </c>
      <c r="F2100">
        <v>68</v>
      </c>
      <c r="G2100">
        <v>70</v>
      </c>
      <c r="H2100">
        <v>0.01</v>
      </c>
      <c r="I2100" t="s">
        <v>19</v>
      </c>
      <c r="J2100">
        <v>44</v>
      </c>
      <c r="K2100">
        <v>0</v>
      </c>
      <c r="L2100">
        <v>0</v>
      </c>
      <c r="M2100">
        <f>VLOOKUP(Table1[[#This Row],[subscription_type]],Plans!$A$1:$B$5,2,FALSE)</f>
        <v>0</v>
      </c>
      <c r="N2100">
        <f t="shared" si="32"/>
        <v>0</v>
      </c>
    </row>
    <row r="2101" spans="1:14" x14ac:dyDescent="0.35">
      <c r="A2101">
        <v>2100</v>
      </c>
      <c r="B2101" t="s">
        <v>16</v>
      </c>
      <c r="C2101">
        <v>22</v>
      </c>
      <c r="D2101" t="s">
        <v>21</v>
      </c>
      <c r="E2101" t="s">
        <v>22</v>
      </c>
      <c r="F2101">
        <v>123</v>
      </c>
      <c r="G2101">
        <v>41</v>
      </c>
      <c r="H2101">
        <v>0.49</v>
      </c>
      <c r="I2101" t="s">
        <v>15</v>
      </c>
      <c r="J2101">
        <v>0</v>
      </c>
      <c r="K2101">
        <v>1</v>
      </c>
      <c r="L2101">
        <v>0</v>
      </c>
      <c r="M2101">
        <f>VLOOKUP(Table1[[#This Row],[subscription_type]],Plans!$A$1:$B$5,2,FALSE)</f>
        <v>9.99</v>
      </c>
      <c r="N2101">
        <f t="shared" si="32"/>
        <v>0</v>
      </c>
    </row>
    <row r="2102" spans="1:14" x14ac:dyDescent="0.35">
      <c r="A2102">
        <v>2101</v>
      </c>
      <c r="B2102" t="s">
        <v>16</v>
      </c>
      <c r="C2102">
        <v>34</v>
      </c>
      <c r="D2102" t="s">
        <v>28</v>
      </c>
      <c r="E2102" t="s">
        <v>18</v>
      </c>
      <c r="F2102">
        <v>152</v>
      </c>
      <c r="G2102">
        <v>23</v>
      </c>
      <c r="H2102">
        <v>0.38</v>
      </c>
      <c r="I2102" t="s">
        <v>19</v>
      </c>
      <c r="J2102">
        <v>0</v>
      </c>
      <c r="K2102">
        <v>1</v>
      </c>
      <c r="L2102">
        <v>1</v>
      </c>
      <c r="M2102">
        <f>VLOOKUP(Table1[[#This Row],[subscription_type]],Plans!$A$1:$B$5,2,FALSE)</f>
        <v>14.99</v>
      </c>
      <c r="N2102">
        <f t="shared" si="32"/>
        <v>14.99</v>
      </c>
    </row>
    <row r="2103" spans="1:14" x14ac:dyDescent="0.35">
      <c r="A2103">
        <v>2102</v>
      </c>
      <c r="B2103" t="s">
        <v>20</v>
      </c>
      <c r="C2103">
        <v>44</v>
      </c>
      <c r="D2103" t="s">
        <v>27</v>
      </c>
      <c r="E2103" t="s">
        <v>22</v>
      </c>
      <c r="F2103">
        <v>255</v>
      </c>
      <c r="G2103">
        <v>97</v>
      </c>
      <c r="H2103">
        <v>0.09</v>
      </c>
      <c r="I2103" t="s">
        <v>23</v>
      </c>
      <c r="J2103">
        <v>0</v>
      </c>
      <c r="K2103">
        <v>1</v>
      </c>
      <c r="L2103">
        <v>1</v>
      </c>
      <c r="M2103">
        <f>VLOOKUP(Table1[[#This Row],[subscription_type]],Plans!$A$1:$B$5,2,FALSE)</f>
        <v>9.99</v>
      </c>
      <c r="N2103">
        <f t="shared" si="32"/>
        <v>9.99</v>
      </c>
    </row>
    <row r="2104" spans="1:14" x14ac:dyDescent="0.35">
      <c r="A2104">
        <v>2103</v>
      </c>
      <c r="B2104" t="s">
        <v>12</v>
      </c>
      <c r="C2104">
        <v>38</v>
      </c>
      <c r="D2104" t="s">
        <v>26</v>
      </c>
      <c r="E2104" t="s">
        <v>18</v>
      </c>
      <c r="F2104">
        <v>181</v>
      </c>
      <c r="G2104">
        <v>35</v>
      </c>
      <c r="H2104">
        <v>0.56999999999999995</v>
      </c>
      <c r="I2104" t="s">
        <v>23</v>
      </c>
      <c r="J2104">
        <v>0</v>
      </c>
      <c r="K2104">
        <v>1</v>
      </c>
      <c r="L2104">
        <v>0</v>
      </c>
      <c r="M2104">
        <f>VLOOKUP(Table1[[#This Row],[subscription_type]],Plans!$A$1:$B$5,2,FALSE)</f>
        <v>14.99</v>
      </c>
      <c r="N2104">
        <f t="shared" si="32"/>
        <v>0</v>
      </c>
    </row>
    <row r="2105" spans="1:14" x14ac:dyDescent="0.35">
      <c r="A2105">
        <v>2104</v>
      </c>
      <c r="B2105" t="s">
        <v>20</v>
      </c>
      <c r="C2105">
        <v>18</v>
      </c>
      <c r="D2105" t="s">
        <v>27</v>
      </c>
      <c r="E2105" t="s">
        <v>24</v>
      </c>
      <c r="F2105">
        <v>141</v>
      </c>
      <c r="G2105">
        <v>42</v>
      </c>
      <c r="H2105">
        <v>0.56999999999999995</v>
      </c>
      <c r="I2105" t="s">
        <v>23</v>
      </c>
      <c r="J2105">
        <v>0</v>
      </c>
      <c r="K2105">
        <v>1</v>
      </c>
      <c r="L2105">
        <v>0</v>
      </c>
      <c r="M2105">
        <f>VLOOKUP(Table1[[#This Row],[subscription_type]],Plans!$A$1:$B$5,2,FALSE)</f>
        <v>4.99</v>
      </c>
      <c r="N2105">
        <f t="shared" si="32"/>
        <v>0</v>
      </c>
    </row>
    <row r="2106" spans="1:14" x14ac:dyDescent="0.35">
      <c r="A2106">
        <v>2105</v>
      </c>
      <c r="B2106" t="s">
        <v>20</v>
      </c>
      <c r="C2106">
        <v>23</v>
      </c>
      <c r="D2106" t="s">
        <v>27</v>
      </c>
      <c r="E2106" t="s">
        <v>14</v>
      </c>
      <c r="F2106">
        <v>137</v>
      </c>
      <c r="G2106">
        <v>24</v>
      </c>
      <c r="H2106">
        <v>0.21</v>
      </c>
      <c r="I2106" t="s">
        <v>23</v>
      </c>
      <c r="J2106">
        <v>26</v>
      </c>
      <c r="K2106">
        <v>0</v>
      </c>
      <c r="L2106">
        <v>0</v>
      </c>
      <c r="M2106">
        <f>VLOOKUP(Table1[[#This Row],[subscription_type]],Plans!$A$1:$B$5,2,FALSE)</f>
        <v>0</v>
      </c>
      <c r="N2106">
        <f t="shared" si="32"/>
        <v>0</v>
      </c>
    </row>
    <row r="2107" spans="1:14" x14ac:dyDescent="0.35">
      <c r="A2107">
        <v>2106</v>
      </c>
      <c r="B2107" t="s">
        <v>20</v>
      </c>
      <c r="C2107">
        <v>18</v>
      </c>
      <c r="D2107" t="s">
        <v>27</v>
      </c>
      <c r="E2107" t="s">
        <v>24</v>
      </c>
      <c r="F2107">
        <v>119</v>
      </c>
      <c r="G2107">
        <v>50</v>
      </c>
      <c r="H2107">
        <v>0.5</v>
      </c>
      <c r="I2107" t="s">
        <v>15</v>
      </c>
      <c r="J2107">
        <v>0</v>
      </c>
      <c r="K2107">
        <v>1</v>
      </c>
      <c r="L2107">
        <v>0</v>
      </c>
      <c r="M2107">
        <f>VLOOKUP(Table1[[#This Row],[subscription_type]],Plans!$A$1:$B$5,2,FALSE)</f>
        <v>4.99</v>
      </c>
      <c r="N2107">
        <f t="shared" si="32"/>
        <v>0</v>
      </c>
    </row>
    <row r="2108" spans="1:14" x14ac:dyDescent="0.35">
      <c r="A2108">
        <v>2107</v>
      </c>
      <c r="B2108" t="s">
        <v>16</v>
      </c>
      <c r="C2108">
        <v>56</v>
      </c>
      <c r="D2108" t="s">
        <v>29</v>
      </c>
      <c r="E2108" t="s">
        <v>24</v>
      </c>
      <c r="F2108">
        <v>55</v>
      </c>
      <c r="G2108">
        <v>1</v>
      </c>
      <c r="H2108">
        <v>0.19</v>
      </c>
      <c r="I2108" t="s">
        <v>23</v>
      </c>
      <c r="J2108">
        <v>0</v>
      </c>
      <c r="K2108">
        <v>1</v>
      </c>
      <c r="L2108">
        <v>1</v>
      </c>
      <c r="M2108">
        <f>VLOOKUP(Table1[[#This Row],[subscription_type]],Plans!$A$1:$B$5,2,FALSE)</f>
        <v>4.99</v>
      </c>
      <c r="N2108">
        <f t="shared" si="32"/>
        <v>4.99</v>
      </c>
    </row>
    <row r="2109" spans="1:14" x14ac:dyDescent="0.35">
      <c r="A2109">
        <v>2108</v>
      </c>
      <c r="B2109" t="s">
        <v>12</v>
      </c>
      <c r="C2109">
        <v>57</v>
      </c>
      <c r="D2109" t="s">
        <v>29</v>
      </c>
      <c r="E2109" t="s">
        <v>22</v>
      </c>
      <c r="F2109">
        <v>216</v>
      </c>
      <c r="G2109">
        <v>25</v>
      </c>
      <c r="H2109">
        <v>0.53</v>
      </c>
      <c r="I2109" t="s">
        <v>19</v>
      </c>
      <c r="J2109">
        <v>0</v>
      </c>
      <c r="K2109">
        <v>1</v>
      </c>
      <c r="L2109">
        <v>0</v>
      </c>
      <c r="M2109">
        <f>VLOOKUP(Table1[[#This Row],[subscription_type]],Plans!$A$1:$B$5,2,FALSE)</f>
        <v>9.99</v>
      </c>
      <c r="N2109">
        <f t="shared" si="32"/>
        <v>0</v>
      </c>
    </row>
    <row r="2110" spans="1:14" x14ac:dyDescent="0.35">
      <c r="A2110">
        <v>2109</v>
      </c>
      <c r="B2110" t="s">
        <v>16</v>
      </c>
      <c r="C2110">
        <v>23</v>
      </c>
      <c r="D2110" t="s">
        <v>29</v>
      </c>
      <c r="E2110" t="s">
        <v>24</v>
      </c>
      <c r="F2110">
        <v>37</v>
      </c>
      <c r="G2110">
        <v>18</v>
      </c>
      <c r="H2110">
        <v>0.36</v>
      </c>
      <c r="I2110" t="s">
        <v>23</v>
      </c>
      <c r="J2110">
        <v>0</v>
      </c>
      <c r="K2110">
        <v>1</v>
      </c>
      <c r="L2110">
        <v>0</v>
      </c>
      <c r="M2110">
        <f>VLOOKUP(Table1[[#This Row],[subscription_type]],Plans!$A$1:$B$5,2,FALSE)</f>
        <v>4.99</v>
      </c>
      <c r="N2110">
        <f t="shared" si="32"/>
        <v>0</v>
      </c>
    </row>
    <row r="2111" spans="1:14" x14ac:dyDescent="0.35">
      <c r="A2111">
        <v>2110</v>
      </c>
      <c r="B2111" t="s">
        <v>20</v>
      </c>
      <c r="C2111">
        <v>33</v>
      </c>
      <c r="D2111" t="s">
        <v>21</v>
      </c>
      <c r="E2111" t="s">
        <v>14</v>
      </c>
      <c r="F2111">
        <v>197</v>
      </c>
      <c r="G2111">
        <v>43</v>
      </c>
      <c r="H2111">
        <v>0.26</v>
      </c>
      <c r="I2111" t="s">
        <v>19</v>
      </c>
      <c r="J2111">
        <v>47</v>
      </c>
      <c r="K2111">
        <v>0</v>
      </c>
      <c r="L2111">
        <v>0</v>
      </c>
      <c r="M2111">
        <f>VLOOKUP(Table1[[#This Row],[subscription_type]],Plans!$A$1:$B$5,2,FALSE)</f>
        <v>0</v>
      </c>
      <c r="N2111">
        <f t="shared" si="32"/>
        <v>0</v>
      </c>
    </row>
    <row r="2112" spans="1:14" x14ac:dyDescent="0.35">
      <c r="A2112">
        <v>2111</v>
      </c>
      <c r="B2112" t="s">
        <v>16</v>
      </c>
      <c r="C2112">
        <v>24</v>
      </c>
      <c r="D2112" t="s">
        <v>28</v>
      </c>
      <c r="E2112" t="s">
        <v>14</v>
      </c>
      <c r="F2112">
        <v>86</v>
      </c>
      <c r="G2112">
        <v>13</v>
      </c>
      <c r="H2112">
        <v>0.33</v>
      </c>
      <c r="I2112" t="s">
        <v>19</v>
      </c>
      <c r="J2112">
        <v>28</v>
      </c>
      <c r="K2112">
        <v>0</v>
      </c>
      <c r="L2112">
        <v>0</v>
      </c>
      <c r="M2112">
        <f>VLOOKUP(Table1[[#This Row],[subscription_type]],Plans!$A$1:$B$5,2,FALSE)</f>
        <v>0</v>
      </c>
      <c r="N2112">
        <f t="shared" si="32"/>
        <v>0</v>
      </c>
    </row>
    <row r="2113" spans="1:14" x14ac:dyDescent="0.35">
      <c r="A2113">
        <v>2112</v>
      </c>
      <c r="B2113" t="s">
        <v>12</v>
      </c>
      <c r="C2113">
        <v>56</v>
      </c>
      <c r="D2113" t="s">
        <v>21</v>
      </c>
      <c r="E2113" t="s">
        <v>18</v>
      </c>
      <c r="F2113">
        <v>283</v>
      </c>
      <c r="G2113">
        <v>48</v>
      </c>
      <c r="H2113">
        <v>0.41</v>
      </c>
      <c r="I2113" t="s">
        <v>23</v>
      </c>
      <c r="J2113">
        <v>0</v>
      </c>
      <c r="K2113">
        <v>1</v>
      </c>
      <c r="L2113">
        <v>0</v>
      </c>
      <c r="M2113">
        <f>VLOOKUP(Table1[[#This Row],[subscription_type]],Plans!$A$1:$B$5,2,FALSE)</f>
        <v>14.99</v>
      </c>
      <c r="N2113">
        <f t="shared" si="32"/>
        <v>0</v>
      </c>
    </row>
    <row r="2114" spans="1:14" x14ac:dyDescent="0.35">
      <c r="A2114">
        <v>2113</v>
      </c>
      <c r="B2114" t="s">
        <v>20</v>
      </c>
      <c r="C2114">
        <v>18</v>
      </c>
      <c r="D2114" t="s">
        <v>26</v>
      </c>
      <c r="E2114" t="s">
        <v>22</v>
      </c>
      <c r="F2114">
        <v>240</v>
      </c>
      <c r="G2114">
        <v>16</v>
      </c>
      <c r="H2114">
        <v>0.35</v>
      </c>
      <c r="I2114" t="s">
        <v>15</v>
      </c>
      <c r="J2114">
        <v>0</v>
      </c>
      <c r="K2114">
        <v>1</v>
      </c>
      <c r="L2114">
        <v>0</v>
      </c>
      <c r="M2114">
        <f>VLOOKUP(Table1[[#This Row],[subscription_type]],Plans!$A$1:$B$5,2,FALSE)</f>
        <v>9.99</v>
      </c>
      <c r="N2114">
        <f t="shared" ref="N2114:N2177" si="33">IF(L2114=1, M2114,0)</f>
        <v>0</v>
      </c>
    </row>
    <row r="2115" spans="1:14" x14ac:dyDescent="0.35">
      <c r="A2115">
        <v>2114</v>
      </c>
      <c r="B2115" t="s">
        <v>16</v>
      </c>
      <c r="C2115">
        <v>31</v>
      </c>
      <c r="D2115" t="s">
        <v>17</v>
      </c>
      <c r="E2115" t="s">
        <v>24</v>
      </c>
      <c r="F2115">
        <v>199</v>
      </c>
      <c r="G2115">
        <v>58</v>
      </c>
      <c r="H2115">
        <v>0.08</v>
      </c>
      <c r="I2115" t="s">
        <v>15</v>
      </c>
      <c r="J2115">
        <v>0</v>
      </c>
      <c r="K2115">
        <v>1</v>
      </c>
      <c r="L2115">
        <v>1</v>
      </c>
      <c r="M2115">
        <f>VLOOKUP(Table1[[#This Row],[subscription_type]],Plans!$A$1:$B$5,2,FALSE)</f>
        <v>4.99</v>
      </c>
      <c r="N2115">
        <f t="shared" si="33"/>
        <v>4.99</v>
      </c>
    </row>
    <row r="2116" spans="1:14" x14ac:dyDescent="0.35">
      <c r="A2116">
        <v>2115</v>
      </c>
      <c r="B2116" t="s">
        <v>12</v>
      </c>
      <c r="C2116">
        <v>47</v>
      </c>
      <c r="D2116" t="s">
        <v>27</v>
      </c>
      <c r="E2116" t="s">
        <v>18</v>
      </c>
      <c r="F2116">
        <v>191</v>
      </c>
      <c r="G2116">
        <v>75</v>
      </c>
      <c r="H2116">
        <v>0.04</v>
      </c>
      <c r="I2116" t="s">
        <v>23</v>
      </c>
      <c r="J2116">
        <v>0</v>
      </c>
      <c r="K2116">
        <v>1</v>
      </c>
      <c r="L2116">
        <v>0</v>
      </c>
      <c r="M2116">
        <f>VLOOKUP(Table1[[#This Row],[subscription_type]],Plans!$A$1:$B$5,2,FALSE)</f>
        <v>14.99</v>
      </c>
      <c r="N2116">
        <f t="shared" si="33"/>
        <v>0</v>
      </c>
    </row>
    <row r="2117" spans="1:14" x14ac:dyDescent="0.35">
      <c r="A2117">
        <v>2116</v>
      </c>
      <c r="B2117" t="s">
        <v>16</v>
      </c>
      <c r="C2117">
        <v>47</v>
      </c>
      <c r="D2117" t="s">
        <v>21</v>
      </c>
      <c r="E2117" t="s">
        <v>22</v>
      </c>
      <c r="F2117">
        <v>74</v>
      </c>
      <c r="G2117">
        <v>62</v>
      </c>
      <c r="H2117">
        <v>0.47</v>
      </c>
      <c r="I2117" t="s">
        <v>15</v>
      </c>
      <c r="J2117">
        <v>0</v>
      </c>
      <c r="K2117">
        <v>1</v>
      </c>
      <c r="L2117">
        <v>0</v>
      </c>
      <c r="M2117">
        <f>VLOOKUP(Table1[[#This Row],[subscription_type]],Plans!$A$1:$B$5,2,FALSE)</f>
        <v>9.99</v>
      </c>
      <c r="N2117">
        <f t="shared" si="33"/>
        <v>0</v>
      </c>
    </row>
    <row r="2118" spans="1:14" x14ac:dyDescent="0.35">
      <c r="A2118">
        <v>2117</v>
      </c>
      <c r="B2118" t="s">
        <v>16</v>
      </c>
      <c r="C2118">
        <v>25</v>
      </c>
      <c r="D2118" t="s">
        <v>26</v>
      </c>
      <c r="E2118" t="s">
        <v>18</v>
      </c>
      <c r="F2118">
        <v>194</v>
      </c>
      <c r="G2118">
        <v>91</v>
      </c>
      <c r="H2118">
        <v>0.17</v>
      </c>
      <c r="I2118" t="s">
        <v>23</v>
      </c>
      <c r="J2118">
        <v>0</v>
      </c>
      <c r="K2118">
        <v>1</v>
      </c>
      <c r="L2118">
        <v>1</v>
      </c>
      <c r="M2118">
        <f>VLOOKUP(Table1[[#This Row],[subscription_type]],Plans!$A$1:$B$5,2,FALSE)</f>
        <v>14.99</v>
      </c>
      <c r="N2118">
        <f t="shared" si="33"/>
        <v>14.99</v>
      </c>
    </row>
    <row r="2119" spans="1:14" x14ac:dyDescent="0.35">
      <c r="A2119">
        <v>2118</v>
      </c>
      <c r="B2119" t="s">
        <v>12</v>
      </c>
      <c r="C2119">
        <v>37</v>
      </c>
      <c r="D2119" t="s">
        <v>21</v>
      </c>
      <c r="E2119" t="s">
        <v>18</v>
      </c>
      <c r="F2119">
        <v>298</v>
      </c>
      <c r="G2119">
        <v>78</v>
      </c>
      <c r="H2119">
        <v>0.6</v>
      </c>
      <c r="I2119" t="s">
        <v>15</v>
      </c>
      <c r="J2119">
        <v>0</v>
      </c>
      <c r="K2119">
        <v>1</v>
      </c>
      <c r="L2119">
        <v>0</v>
      </c>
      <c r="M2119">
        <f>VLOOKUP(Table1[[#This Row],[subscription_type]],Plans!$A$1:$B$5,2,FALSE)</f>
        <v>14.99</v>
      </c>
      <c r="N2119">
        <f t="shared" si="33"/>
        <v>0</v>
      </c>
    </row>
    <row r="2120" spans="1:14" x14ac:dyDescent="0.35">
      <c r="A2120">
        <v>2119</v>
      </c>
      <c r="B2120" t="s">
        <v>16</v>
      </c>
      <c r="C2120">
        <v>37</v>
      </c>
      <c r="D2120" t="s">
        <v>26</v>
      </c>
      <c r="E2120" t="s">
        <v>22</v>
      </c>
      <c r="F2120">
        <v>113</v>
      </c>
      <c r="G2120">
        <v>30</v>
      </c>
      <c r="H2120">
        <v>0.17</v>
      </c>
      <c r="I2120" t="s">
        <v>15</v>
      </c>
      <c r="J2120">
        <v>0</v>
      </c>
      <c r="K2120">
        <v>1</v>
      </c>
      <c r="L2120">
        <v>0</v>
      </c>
      <c r="M2120">
        <f>VLOOKUP(Table1[[#This Row],[subscription_type]],Plans!$A$1:$B$5,2,FALSE)</f>
        <v>9.99</v>
      </c>
      <c r="N2120">
        <f t="shared" si="33"/>
        <v>0</v>
      </c>
    </row>
    <row r="2121" spans="1:14" x14ac:dyDescent="0.35">
      <c r="A2121">
        <v>2120</v>
      </c>
      <c r="B2121" t="s">
        <v>20</v>
      </c>
      <c r="C2121">
        <v>38</v>
      </c>
      <c r="D2121" t="s">
        <v>25</v>
      </c>
      <c r="E2121" t="s">
        <v>14</v>
      </c>
      <c r="F2121">
        <v>157</v>
      </c>
      <c r="G2121">
        <v>57</v>
      </c>
      <c r="H2121">
        <v>0.4</v>
      </c>
      <c r="I2121" t="s">
        <v>15</v>
      </c>
      <c r="J2121">
        <v>40</v>
      </c>
      <c r="K2121">
        <v>0</v>
      </c>
      <c r="L2121">
        <v>1</v>
      </c>
      <c r="M2121">
        <f>VLOOKUP(Table1[[#This Row],[subscription_type]],Plans!$A$1:$B$5,2,FALSE)</f>
        <v>0</v>
      </c>
      <c r="N2121">
        <f t="shared" si="33"/>
        <v>0</v>
      </c>
    </row>
    <row r="2122" spans="1:14" x14ac:dyDescent="0.35">
      <c r="A2122">
        <v>2121</v>
      </c>
      <c r="B2122" t="s">
        <v>12</v>
      </c>
      <c r="C2122">
        <v>29</v>
      </c>
      <c r="D2122" t="s">
        <v>28</v>
      </c>
      <c r="E2122" t="s">
        <v>22</v>
      </c>
      <c r="F2122">
        <v>141</v>
      </c>
      <c r="G2122">
        <v>42</v>
      </c>
      <c r="H2122">
        <v>0.01</v>
      </c>
      <c r="I2122" t="s">
        <v>15</v>
      </c>
      <c r="J2122">
        <v>0</v>
      </c>
      <c r="K2122">
        <v>1</v>
      </c>
      <c r="L2122">
        <v>0</v>
      </c>
      <c r="M2122">
        <f>VLOOKUP(Table1[[#This Row],[subscription_type]],Plans!$A$1:$B$5,2,FALSE)</f>
        <v>9.99</v>
      </c>
      <c r="N2122">
        <f t="shared" si="33"/>
        <v>0</v>
      </c>
    </row>
    <row r="2123" spans="1:14" x14ac:dyDescent="0.35">
      <c r="A2123">
        <v>2122</v>
      </c>
      <c r="B2123" t="s">
        <v>20</v>
      </c>
      <c r="C2123">
        <v>16</v>
      </c>
      <c r="D2123" t="s">
        <v>29</v>
      </c>
      <c r="E2123" t="s">
        <v>14</v>
      </c>
      <c r="F2123">
        <v>52</v>
      </c>
      <c r="G2123">
        <v>33</v>
      </c>
      <c r="H2123">
        <v>0.5</v>
      </c>
      <c r="I2123" t="s">
        <v>19</v>
      </c>
      <c r="J2123">
        <v>25</v>
      </c>
      <c r="K2123">
        <v>0</v>
      </c>
      <c r="L2123">
        <v>0</v>
      </c>
      <c r="M2123">
        <f>VLOOKUP(Table1[[#This Row],[subscription_type]],Plans!$A$1:$B$5,2,FALSE)</f>
        <v>0</v>
      </c>
      <c r="N2123">
        <f t="shared" si="33"/>
        <v>0</v>
      </c>
    </row>
    <row r="2124" spans="1:14" x14ac:dyDescent="0.35">
      <c r="A2124">
        <v>2123</v>
      </c>
      <c r="B2124" t="s">
        <v>20</v>
      </c>
      <c r="C2124">
        <v>19</v>
      </c>
      <c r="D2124" t="s">
        <v>26</v>
      </c>
      <c r="E2124" t="s">
        <v>14</v>
      </c>
      <c r="F2124">
        <v>215</v>
      </c>
      <c r="G2124">
        <v>33</v>
      </c>
      <c r="H2124">
        <v>0</v>
      </c>
      <c r="I2124" t="s">
        <v>19</v>
      </c>
      <c r="J2124">
        <v>20</v>
      </c>
      <c r="K2124">
        <v>0</v>
      </c>
      <c r="L2124">
        <v>0</v>
      </c>
      <c r="M2124">
        <f>VLOOKUP(Table1[[#This Row],[subscription_type]],Plans!$A$1:$B$5,2,FALSE)</f>
        <v>0</v>
      </c>
      <c r="N2124">
        <f t="shared" si="33"/>
        <v>0</v>
      </c>
    </row>
    <row r="2125" spans="1:14" x14ac:dyDescent="0.35">
      <c r="A2125">
        <v>2124</v>
      </c>
      <c r="B2125" t="s">
        <v>20</v>
      </c>
      <c r="C2125">
        <v>21</v>
      </c>
      <c r="D2125" t="s">
        <v>26</v>
      </c>
      <c r="E2125" t="s">
        <v>22</v>
      </c>
      <c r="F2125">
        <v>118</v>
      </c>
      <c r="G2125">
        <v>87</v>
      </c>
      <c r="H2125">
        <v>0.27</v>
      </c>
      <c r="I2125" t="s">
        <v>19</v>
      </c>
      <c r="J2125">
        <v>0</v>
      </c>
      <c r="K2125">
        <v>1</v>
      </c>
      <c r="L2125">
        <v>0</v>
      </c>
      <c r="M2125">
        <f>VLOOKUP(Table1[[#This Row],[subscription_type]],Plans!$A$1:$B$5,2,FALSE)</f>
        <v>9.99</v>
      </c>
      <c r="N2125">
        <f t="shared" si="33"/>
        <v>0</v>
      </c>
    </row>
    <row r="2126" spans="1:14" x14ac:dyDescent="0.35">
      <c r="A2126">
        <v>2125</v>
      </c>
      <c r="B2126" t="s">
        <v>16</v>
      </c>
      <c r="C2126">
        <v>41</v>
      </c>
      <c r="D2126" t="s">
        <v>26</v>
      </c>
      <c r="E2126" t="s">
        <v>24</v>
      </c>
      <c r="F2126">
        <v>110</v>
      </c>
      <c r="G2126">
        <v>47</v>
      </c>
      <c r="H2126">
        <v>0.05</v>
      </c>
      <c r="I2126" t="s">
        <v>23</v>
      </c>
      <c r="J2126">
        <v>0</v>
      </c>
      <c r="K2126">
        <v>1</v>
      </c>
      <c r="L2126">
        <v>0</v>
      </c>
      <c r="M2126">
        <f>VLOOKUP(Table1[[#This Row],[subscription_type]],Plans!$A$1:$B$5,2,FALSE)</f>
        <v>4.99</v>
      </c>
      <c r="N2126">
        <f t="shared" si="33"/>
        <v>0</v>
      </c>
    </row>
    <row r="2127" spans="1:14" x14ac:dyDescent="0.35">
      <c r="A2127">
        <v>2126</v>
      </c>
      <c r="B2127" t="s">
        <v>20</v>
      </c>
      <c r="C2127">
        <v>16</v>
      </c>
      <c r="D2127" t="s">
        <v>28</v>
      </c>
      <c r="E2127" t="s">
        <v>18</v>
      </c>
      <c r="F2127">
        <v>91</v>
      </c>
      <c r="G2127">
        <v>78</v>
      </c>
      <c r="H2127">
        <v>0.37</v>
      </c>
      <c r="I2127" t="s">
        <v>23</v>
      </c>
      <c r="J2127">
        <v>0</v>
      </c>
      <c r="K2127">
        <v>1</v>
      </c>
      <c r="L2127">
        <v>1</v>
      </c>
      <c r="M2127">
        <f>VLOOKUP(Table1[[#This Row],[subscription_type]],Plans!$A$1:$B$5,2,FALSE)</f>
        <v>14.99</v>
      </c>
      <c r="N2127">
        <f t="shared" si="33"/>
        <v>14.99</v>
      </c>
    </row>
    <row r="2128" spans="1:14" x14ac:dyDescent="0.35">
      <c r="A2128">
        <v>2127</v>
      </c>
      <c r="B2128" t="s">
        <v>12</v>
      </c>
      <c r="C2128">
        <v>46</v>
      </c>
      <c r="D2128" t="s">
        <v>26</v>
      </c>
      <c r="E2128" t="s">
        <v>18</v>
      </c>
      <c r="F2128">
        <v>82</v>
      </c>
      <c r="G2128">
        <v>65</v>
      </c>
      <c r="H2128">
        <v>0.26</v>
      </c>
      <c r="I2128" t="s">
        <v>15</v>
      </c>
      <c r="J2128">
        <v>0</v>
      </c>
      <c r="K2128">
        <v>1</v>
      </c>
      <c r="L2128">
        <v>0</v>
      </c>
      <c r="M2128">
        <f>VLOOKUP(Table1[[#This Row],[subscription_type]],Plans!$A$1:$B$5,2,FALSE)</f>
        <v>14.99</v>
      </c>
      <c r="N2128">
        <f t="shared" si="33"/>
        <v>0</v>
      </c>
    </row>
    <row r="2129" spans="1:14" x14ac:dyDescent="0.35">
      <c r="A2129">
        <v>2128</v>
      </c>
      <c r="B2129" t="s">
        <v>20</v>
      </c>
      <c r="C2129">
        <v>48</v>
      </c>
      <c r="D2129" t="s">
        <v>27</v>
      </c>
      <c r="E2129" t="s">
        <v>24</v>
      </c>
      <c r="F2129">
        <v>108</v>
      </c>
      <c r="G2129">
        <v>49</v>
      </c>
      <c r="H2129">
        <v>0.25</v>
      </c>
      <c r="I2129" t="s">
        <v>15</v>
      </c>
      <c r="J2129">
        <v>0</v>
      </c>
      <c r="K2129">
        <v>1</v>
      </c>
      <c r="L2129">
        <v>0</v>
      </c>
      <c r="M2129">
        <f>VLOOKUP(Table1[[#This Row],[subscription_type]],Plans!$A$1:$B$5,2,FALSE)</f>
        <v>4.99</v>
      </c>
      <c r="N2129">
        <f t="shared" si="33"/>
        <v>0</v>
      </c>
    </row>
    <row r="2130" spans="1:14" x14ac:dyDescent="0.35">
      <c r="A2130">
        <v>2129</v>
      </c>
      <c r="B2130" t="s">
        <v>20</v>
      </c>
      <c r="C2130">
        <v>39</v>
      </c>
      <c r="D2130" t="s">
        <v>28</v>
      </c>
      <c r="E2130" t="s">
        <v>22</v>
      </c>
      <c r="F2130">
        <v>57</v>
      </c>
      <c r="G2130">
        <v>92</v>
      </c>
      <c r="H2130">
        <v>0.52</v>
      </c>
      <c r="I2130" t="s">
        <v>15</v>
      </c>
      <c r="J2130">
        <v>0</v>
      </c>
      <c r="K2130">
        <v>1</v>
      </c>
      <c r="L2130">
        <v>0</v>
      </c>
      <c r="M2130">
        <f>VLOOKUP(Table1[[#This Row],[subscription_type]],Plans!$A$1:$B$5,2,FALSE)</f>
        <v>9.99</v>
      </c>
      <c r="N2130">
        <f t="shared" si="33"/>
        <v>0</v>
      </c>
    </row>
    <row r="2131" spans="1:14" x14ac:dyDescent="0.35">
      <c r="A2131">
        <v>2130</v>
      </c>
      <c r="B2131" t="s">
        <v>12</v>
      </c>
      <c r="C2131">
        <v>30</v>
      </c>
      <c r="D2131" t="s">
        <v>28</v>
      </c>
      <c r="E2131" t="s">
        <v>22</v>
      </c>
      <c r="F2131">
        <v>267</v>
      </c>
      <c r="G2131">
        <v>80</v>
      </c>
      <c r="H2131">
        <v>0.21</v>
      </c>
      <c r="I2131" t="s">
        <v>23</v>
      </c>
      <c r="J2131">
        <v>0</v>
      </c>
      <c r="K2131">
        <v>1</v>
      </c>
      <c r="L2131">
        <v>0</v>
      </c>
      <c r="M2131">
        <f>VLOOKUP(Table1[[#This Row],[subscription_type]],Plans!$A$1:$B$5,2,FALSE)</f>
        <v>9.99</v>
      </c>
      <c r="N2131">
        <f t="shared" si="33"/>
        <v>0</v>
      </c>
    </row>
    <row r="2132" spans="1:14" x14ac:dyDescent="0.35">
      <c r="A2132">
        <v>2131</v>
      </c>
      <c r="B2132" t="s">
        <v>16</v>
      </c>
      <c r="C2132">
        <v>58</v>
      </c>
      <c r="D2132" t="s">
        <v>26</v>
      </c>
      <c r="E2132" t="s">
        <v>22</v>
      </c>
      <c r="F2132">
        <v>227</v>
      </c>
      <c r="G2132">
        <v>7</v>
      </c>
      <c r="H2132">
        <v>0.34</v>
      </c>
      <c r="I2132" t="s">
        <v>15</v>
      </c>
      <c r="J2132">
        <v>0</v>
      </c>
      <c r="K2132">
        <v>1</v>
      </c>
      <c r="L2132">
        <v>0</v>
      </c>
      <c r="M2132">
        <f>VLOOKUP(Table1[[#This Row],[subscription_type]],Plans!$A$1:$B$5,2,FALSE)</f>
        <v>9.99</v>
      </c>
      <c r="N2132">
        <f t="shared" si="33"/>
        <v>0</v>
      </c>
    </row>
    <row r="2133" spans="1:14" x14ac:dyDescent="0.35">
      <c r="A2133">
        <v>2132</v>
      </c>
      <c r="B2133" t="s">
        <v>12</v>
      </c>
      <c r="C2133">
        <v>45</v>
      </c>
      <c r="D2133" t="s">
        <v>29</v>
      </c>
      <c r="E2133" t="s">
        <v>22</v>
      </c>
      <c r="F2133">
        <v>172</v>
      </c>
      <c r="G2133">
        <v>60</v>
      </c>
      <c r="H2133">
        <v>0.06</v>
      </c>
      <c r="I2133" t="s">
        <v>15</v>
      </c>
      <c r="J2133">
        <v>0</v>
      </c>
      <c r="K2133">
        <v>1</v>
      </c>
      <c r="L2133">
        <v>1</v>
      </c>
      <c r="M2133">
        <f>VLOOKUP(Table1[[#This Row],[subscription_type]],Plans!$A$1:$B$5,2,FALSE)</f>
        <v>9.99</v>
      </c>
      <c r="N2133">
        <f t="shared" si="33"/>
        <v>9.99</v>
      </c>
    </row>
    <row r="2134" spans="1:14" x14ac:dyDescent="0.35">
      <c r="A2134">
        <v>2133</v>
      </c>
      <c r="B2134" t="s">
        <v>12</v>
      </c>
      <c r="C2134">
        <v>18</v>
      </c>
      <c r="D2134" t="s">
        <v>25</v>
      </c>
      <c r="E2134" t="s">
        <v>22</v>
      </c>
      <c r="F2134">
        <v>21</v>
      </c>
      <c r="G2134">
        <v>49</v>
      </c>
      <c r="H2134">
        <v>0.01</v>
      </c>
      <c r="I2134" t="s">
        <v>15</v>
      </c>
      <c r="J2134">
        <v>0</v>
      </c>
      <c r="K2134">
        <v>1</v>
      </c>
      <c r="L2134">
        <v>0</v>
      </c>
      <c r="M2134">
        <f>VLOOKUP(Table1[[#This Row],[subscription_type]],Plans!$A$1:$B$5,2,FALSE)</f>
        <v>9.99</v>
      </c>
      <c r="N2134">
        <f t="shared" si="33"/>
        <v>0</v>
      </c>
    </row>
    <row r="2135" spans="1:14" x14ac:dyDescent="0.35">
      <c r="A2135">
        <v>2134</v>
      </c>
      <c r="B2135" t="s">
        <v>12</v>
      </c>
      <c r="C2135">
        <v>25</v>
      </c>
      <c r="D2135" t="s">
        <v>13</v>
      </c>
      <c r="E2135" t="s">
        <v>24</v>
      </c>
      <c r="F2135">
        <v>41</v>
      </c>
      <c r="G2135">
        <v>62</v>
      </c>
      <c r="H2135">
        <v>0.34</v>
      </c>
      <c r="I2135" t="s">
        <v>15</v>
      </c>
      <c r="J2135">
        <v>0</v>
      </c>
      <c r="K2135">
        <v>1</v>
      </c>
      <c r="L2135">
        <v>0</v>
      </c>
      <c r="M2135">
        <f>VLOOKUP(Table1[[#This Row],[subscription_type]],Plans!$A$1:$B$5,2,FALSE)</f>
        <v>4.99</v>
      </c>
      <c r="N2135">
        <f t="shared" si="33"/>
        <v>0</v>
      </c>
    </row>
    <row r="2136" spans="1:14" x14ac:dyDescent="0.35">
      <c r="A2136">
        <v>2135</v>
      </c>
      <c r="B2136" t="s">
        <v>20</v>
      </c>
      <c r="C2136">
        <v>22</v>
      </c>
      <c r="D2136" t="s">
        <v>13</v>
      </c>
      <c r="E2136" t="s">
        <v>14</v>
      </c>
      <c r="F2136">
        <v>30</v>
      </c>
      <c r="G2136">
        <v>31</v>
      </c>
      <c r="H2136">
        <v>0.4</v>
      </c>
      <c r="I2136" t="s">
        <v>15</v>
      </c>
      <c r="J2136">
        <v>12</v>
      </c>
      <c r="K2136">
        <v>0</v>
      </c>
      <c r="L2136">
        <v>1</v>
      </c>
      <c r="M2136">
        <f>VLOOKUP(Table1[[#This Row],[subscription_type]],Plans!$A$1:$B$5,2,FALSE)</f>
        <v>0</v>
      </c>
      <c r="N2136">
        <f t="shared" si="33"/>
        <v>0</v>
      </c>
    </row>
    <row r="2137" spans="1:14" x14ac:dyDescent="0.35">
      <c r="A2137">
        <v>2136</v>
      </c>
      <c r="B2137" t="s">
        <v>20</v>
      </c>
      <c r="C2137">
        <v>29</v>
      </c>
      <c r="D2137" t="s">
        <v>26</v>
      </c>
      <c r="E2137" t="s">
        <v>22</v>
      </c>
      <c r="F2137">
        <v>257</v>
      </c>
      <c r="G2137">
        <v>43</v>
      </c>
      <c r="H2137">
        <v>0.53</v>
      </c>
      <c r="I2137" t="s">
        <v>23</v>
      </c>
      <c r="J2137">
        <v>0</v>
      </c>
      <c r="K2137">
        <v>1</v>
      </c>
      <c r="L2137">
        <v>0</v>
      </c>
      <c r="M2137">
        <f>VLOOKUP(Table1[[#This Row],[subscription_type]],Plans!$A$1:$B$5,2,FALSE)</f>
        <v>9.99</v>
      </c>
      <c r="N2137">
        <f t="shared" si="33"/>
        <v>0</v>
      </c>
    </row>
    <row r="2138" spans="1:14" x14ac:dyDescent="0.35">
      <c r="A2138">
        <v>2137</v>
      </c>
      <c r="B2138" t="s">
        <v>20</v>
      </c>
      <c r="C2138">
        <v>19</v>
      </c>
      <c r="D2138" t="s">
        <v>25</v>
      </c>
      <c r="E2138" t="s">
        <v>14</v>
      </c>
      <c r="F2138">
        <v>292</v>
      </c>
      <c r="G2138">
        <v>75</v>
      </c>
      <c r="H2138">
        <v>0.23</v>
      </c>
      <c r="I2138" t="s">
        <v>19</v>
      </c>
      <c r="J2138">
        <v>11</v>
      </c>
      <c r="K2138">
        <v>0</v>
      </c>
      <c r="L2138">
        <v>0</v>
      </c>
      <c r="M2138">
        <f>VLOOKUP(Table1[[#This Row],[subscription_type]],Plans!$A$1:$B$5,2,FALSE)</f>
        <v>0</v>
      </c>
      <c r="N2138">
        <f t="shared" si="33"/>
        <v>0</v>
      </c>
    </row>
    <row r="2139" spans="1:14" x14ac:dyDescent="0.35">
      <c r="A2139">
        <v>2138</v>
      </c>
      <c r="B2139" t="s">
        <v>16</v>
      </c>
      <c r="C2139">
        <v>33</v>
      </c>
      <c r="D2139" t="s">
        <v>28</v>
      </c>
      <c r="E2139" t="s">
        <v>18</v>
      </c>
      <c r="F2139">
        <v>138</v>
      </c>
      <c r="G2139">
        <v>39</v>
      </c>
      <c r="H2139">
        <v>0.28999999999999998</v>
      </c>
      <c r="I2139" t="s">
        <v>23</v>
      </c>
      <c r="J2139">
        <v>0</v>
      </c>
      <c r="K2139">
        <v>1</v>
      </c>
      <c r="L2139">
        <v>1</v>
      </c>
      <c r="M2139">
        <f>VLOOKUP(Table1[[#This Row],[subscription_type]],Plans!$A$1:$B$5,2,FALSE)</f>
        <v>14.99</v>
      </c>
      <c r="N2139">
        <f t="shared" si="33"/>
        <v>14.99</v>
      </c>
    </row>
    <row r="2140" spans="1:14" x14ac:dyDescent="0.35">
      <c r="A2140">
        <v>2139</v>
      </c>
      <c r="B2140" t="s">
        <v>12</v>
      </c>
      <c r="C2140">
        <v>35</v>
      </c>
      <c r="D2140" t="s">
        <v>28</v>
      </c>
      <c r="E2140" t="s">
        <v>24</v>
      </c>
      <c r="F2140">
        <v>236</v>
      </c>
      <c r="G2140">
        <v>51</v>
      </c>
      <c r="H2140">
        <v>0.55000000000000004</v>
      </c>
      <c r="I2140" t="s">
        <v>19</v>
      </c>
      <c r="J2140">
        <v>0</v>
      </c>
      <c r="K2140">
        <v>1</v>
      </c>
      <c r="L2140">
        <v>0</v>
      </c>
      <c r="M2140">
        <f>VLOOKUP(Table1[[#This Row],[subscription_type]],Plans!$A$1:$B$5,2,FALSE)</f>
        <v>4.99</v>
      </c>
      <c r="N2140">
        <f t="shared" si="33"/>
        <v>0</v>
      </c>
    </row>
    <row r="2141" spans="1:14" x14ac:dyDescent="0.35">
      <c r="A2141">
        <v>2140</v>
      </c>
      <c r="B2141" t="s">
        <v>20</v>
      </c>
      <c r="C2141">
        <v>43</v>
      </c>
      <c r="D2141" t="s">
        <v>28</v>
      </c>
      <c r="E2141" t="s">
        <v>22</v>
      </c>
      <c r="F2141">
        <v>79</v>
      </c>
      <c r="G2141">
        <v>64</v>
      </c>
      <c r="H2141">
        <v>0.38</v>
      </c>
      <c r="I2141" t="s">
        <v>19</v>
      </c>
      <c r="J2141">
        <v>0</v>
      </c>
      <c r="K2141">
        <v>1</v>
      </c>
      <c r="L2141">
        <v>1</v>
      </c>
      <c r="M2141">
        <f>VLOOKUP(Table1[[#This Row],[subscription_type]],Plans!$A$1:$B$5,2,FALSE)</f>
        <v>9.99</v>
      </c>
      <c r="N2141">
        <f t="shared" si="33"/>
        <v>9.99</v>
      </c>
    </row>
    <row r="2142" spans="1:14" x14ac:dyDescent="0.35">
      <c r="A2142">
        <v>2141</v>
      </c>
      <c r="B2142" t="s">
        <v>12</v>
      </c>
      <c r="C2142">
        <v>19</v>
      </c>
      <c r="D2142" t="s">
        <v>28</v>
      </c>
      <c r="E2142" t="s">
        <v>14</v>
      </c>
      <c r="F2142">
        <v>157</v>
      </c>
      <c r="G2142">
        <v>25</v>
      </c>
      <c r="H2142">
        <v>0.49</v>
      </c>
      <c r="I2142" t="s">
        <v>23</v>
      </c>
      <c r="J2142">
        <v>25</v>
      </c>
      <c r="K2142">
        <v>0</v>
      </c>
      <c r="L2142">
        <v>1</v>
      </c>
      <c r="M2142">
        <f>VLOOKUP(Table1[[#This Row],[subscription_type]],Plans!$A$1:$B$5,2,FALSE)</f>
        <v>0</v>
      </c>
      <c r="N2142">
        <f t="shared" si="33"/>
        <v>0</v>
      </c>
    </row>
    <row r="2143" spans="1:14" x14ac:dyDescent="0.35">
      <c r="A2143">
        <v>2142</v>
      </c>
      <c r="B2143" t="s">
        <v>12</v>
      </c>
      <c r="C2143">
        <v>19</v>
      </c>
      <c r="D2143" t="s">
        <v>29</v>
      </c>
      <c r="E2143" t="s">
        <v>22</v>
      </c>
      <c r="F2143">
        <v>279</v>
      </c>
      <c r="G2143">
        <v>13</v>
      </c>
      <c r="H2143">
        <v>0.35</v>
      </c>
      <c r="I2143" t="s">
        <v>19</v>
      </c>
      <c r="J2143">
        <v>0</v>
      </c>
      <c r="K2143">
        <v>1</v>
      </c>
      <c r="L2143">
        <v>0</v>
      </c>
      <c r="M2143">
        <f>VLOOKUP(Table1[[#This Row],[subscription_type]],Plans!$A$1:$B$5,2,FALSE)</f>
        <v>9.99</v>
      </c>
      <c r="N2143">
        <f t="shared" si="33"/>
        <v>0</v>
      </c>
    </row>
    <row r="2144" spans="1:14" x14ac:dyDescent="0.35">
      <c r="A2144">
        <v>2143</v>
      </c>
      <c r="B2144" t="s">
        <v>20</v>
      </c>
      <c r="C2144">
        <v>47</v>
      </c>
      <c r="D2144" t="s">
        <v>28</v>
      </c>
      <c r="E2144" t="s">
        <v>14</v>
      </c>
      <c r="F2144">
        <v>189</v>
      </c>
      <c r="G2144">
        <v>77</v>
      </c>
      <c r="H2144">
        <v>0.3</v>
      </c>
      <c r="I2144" t="s">
        <v>15</v>
      </c>
      <c r="J2144">
        <v>39</v>
      </c>
      <c r="K2144">
        <v>0</v>
      </c>
      <c r="L2144">
        <v>0</v>
      </c>
      <c r="M2144">
        <f>VLOOKUP(Table1[[#This Row],[subscription_type]],Plans!$A$1:$B$5,2,FALSE)</f>
        <v>0</v>
      </c>
      <c r="N2144">
        <f t="shared" si="33"/>
        <v>0</v>
      </c>
    </row>
    <row r="2145" spans="1:14" x14ac:dyDescent="0.35">
      <c r="A2145">
        <v>2144</v>
      </c>
      <c r="B2145" t="s">
        <v>12</v>
      </c>
      <c r="C2145">
        <v>57</v>
      </c>
      <c r="D2145" t="s">
        <v>21</v>
      </c>
      <c r="E2145" t="s">
        <v>24</v>
      </c>
      <c r="F2145">
        <v>223</v>
      </c>
      <c r="G2145">
        <v>18</v>
      </c>
      <c r="H2145">
        <v>0.35</v>
      </c>
      <c r="I2145" t="s">
        <v>15</v>
      </c>
      <c r="J2145">
        <v>0</v>
      </c>
      <c r="K2145">
        <v>1</v>
      </c>
      <c r="L2145">
        <v>0</v>
      </c>
      <c r="M2145">
        <f>VLOOKUP(Table1[[#This Row],[subscription_type]],Plans!$A$1:$B$5,2,FALSE)</f>
        <v>4.99</v>
      </c>
      <c r="N2145">
        <f t="shared" si="33"/>
        <v>0</v>
      </c>
    </row>
    <row r="2146" spans="1:14" x14ac:dyDescent="0.35">
      <c r="A2146">
        <v>2145</v>
      </c>
      <c r="B2146" t="s">
        <v>20</v>
      </c>
      <c r="C2146">
        <v>39</v>
      </c>
      <c r="D2146" t="s">
        <v>17</v>
      </c>
      <c r="E2146" t="s">
        <v>24</v>
      </c>
      <c r="F2146">
        <v>114</v>
      </c>
      <c r="G2146">
        <v>71</v>
      </c>
      <c r="H2146">
        <v>0.4</v>
      </c>
      <c r="I2146" t="s">
        <v>23</v>
      </c>
      <c r="J2146">
        <v>0</v>
      </c>
      <c r="K2146">
        <v>1</v>
      </c>
      <c r="L2146">
        <v>0</v>
      </c>
      <c r="M2146">
        <f>VLOOKUP(Table1[[#This Row],[subscription_type]],Plans!$A$1:$B$5,2,FALSE)</f>
        <v>4.99</v>
      </c>
      <c r="N2146">
        <f t="shared" si="33"/>
        <v>0</v>
      </c>
    </row>
    <row r="2147" spans="1:14" x14ac:dyDescent="0.35">
      <c r="A2147">
        <v>2146</v>
      </c>
      <c r="B2147" t="s">
        <v>12</v>
      </c>
      <c r="C2147">
        <v>54</v>
      </c>
      <c r="D2147" t="s">
        <v>25</v>
      </c>
      <c r="E2147" t="s">
        <v>14</v>
      </c>
      <c r="F2147">
        <v>99</v>
      </c>
      <c r="G2147">
        <v>95</v>
      </c>
      <c r="H2147">
        <v>0.22</v>
      </c>
      <c r="I2147" t="s">
        <v>15</v>
      </c>
      <c r="J2147">
        <v>27</v>
      </c>
      <c r="K2147">
        <v>0</v>
      </c>
      <c r="L2147">
        <v>0</v>
      </c>
      <c r="M2147">
        <f>VLOOKUP(Table1[[#This Row],[subscription_type]],Plans!$A$1:$B$5,2,FALSE)</f>
        <v>0</v>
      </c>
      <c r="N2147">
        <f t="shared" si="33"/>
        <v>0</v>
      </c>
    </row>
    <row r="2148" spans="1:14" x14ac:dyDescent="0.35">
      <c r="A2148">
        <v>2147</v>
      </c>
      <c r="B2148" t="s">
        <v>20</v>
      </c>
      <c r="C2148">
        <v>42</v>
      </c>
      <c r="D2148" t="s">
        <v>17</v>
      </c>
      <c r="E2148" t="s">
        <v>18</v>
      </c>
      <c r="F2148">
        <v>298</v>
      </c>
      <c r="G2148">
        <v>60</v>
      </c>
      <c r="H2148">
        <v>0.34</v>
      </c>
      <c r="I2148" t="s">
        <v>23</v>
      </c>
      <c r="J2148">
        <v>0</v>
      </c>
      <c r="K2148">
        <v>1</v>
      </c>
      <c r="L2148">
        <v>0</v>
      </c>
      <c r="M2148">
        <f>VLOOKUP(Table1[[#This Row],[subscription_type]],Plans!$A$1:$B$5,2,FALSE)</f>
        <v>14.99</v>
      </c>
      <c r="N2148">
        <f t="shared" si="33"/>
        <v>0</v>
      </c>
    </row>
    <row r="2149" spans="1:14" x14ac:dyDescent="0.35">
      <c r="A2149">
        <v>2148</v>
      </c>
      <c r="B2149" t="s">
        <v>12</v>
      </c>
      <c r="C2149">
        <v>49</v>
      </c>
      <c r="D2149" t="s">
        <v>17</v>
      </c>
      <c r="E2149" t="s">
        <v>14</v>
      </c>
      <c r="F2149">
        <v>256</v>
      </c>
      <c r="G2149">
        <v>7</v>
      </c>
      <c r="H2149">
        <v>0.11</v>
      </c>
      <c r="I2149" t="s">
        <v>19</v>
      </c>
      <c r="J2149">
        <v>5</v>
      </c>
      <c r="K2149">
        <v>0</v>
      </c>
      <c r="L2149">
        <v>0</v>
      </c>
      <c r="M2149">
        <f>VLOOKUP(Table1[[#This Row],[subscription_type]],Plans!$A$1:$B$5,2,FALSE)</f>
        <v>0</v>
      </c>
      <c r="N2149">
        <f t="shared" si="33"/>
        <v>0</v>
      </c>
    </row>
    <row r="2150" spans="1:14" x14ac:dyDescent="0.35">
      <c r="A2150">
        <v>2149</v>
      </c>
      <c r="B2150" t="s">
        <v>20</v>
      </c>
      <c r="C2150">
        <v>48</v>
      </c>
      <c r="D2150" t="s">
        <v>28</v>
      </c>
      <c r="E2150" t="s">
        <v>14</v>
      </c>
      <c r="F2150">
        <v>30</v>
      </c>
      <c r="G2150">
        <v>82</v>
      </c>
      <c r="H2150">
        <v>0.11</v>
      </c>
      <c r="I2150" t="s">
        <v>15</v>
      </c>
      <c r="J2150">
        <v>16</v>
      </c>
      <c r="K2150">
        <v>0</v>
      </c>
      <c r="L2150">
        <v>1</v>
      </c>
      <c r="M2150">
        <f>VLOOKUP(Table1[[#This Row],[subscription_type]],Plans!$A$1:$B$5,2,FALSE)</f>
        <v>0</v>
      </c>
      <c r="N2150">
        <f t="shared" si="33"/>
        <v>0</v>
      </c>
    </row>
    <row r="2151" spans="1:14" x14ac:dyDescent="0.35">
      <c r="A2151">
        <v>2150</v>
      </c>
      <c r="B2151" t="s">
        <v>20</v>
      </c>
      <c r="C2151">
        <v>28</v>
      </c>
      <c r="D2151" t="s">
        <v>29</v>
      </c>
      <c r="E2151" t="s">
        <v>14</v>
      </c>
      <c r="F2151">
        <v>125</v>
      </c>
      <c r="G2151">
        <v>82</v>
      </c>
      <c r="H2151">
        <v>0.37</v>
      </c>
      <c r="I2151" t="s">
        <v>23</v>
      </c>
      <c r="J2151">
        <v>39</v>
      </c>
      <c r="K2151">
        <v>0</v>
      </c>
      <c r="L2151">
        <v>1</v>
      </c>
      <c r="M2151">
        <f>VLOOKUP(Table1[[#This Row],[subscription_type]],Plans!$A$1:$B$5,2,FALSE)</f>
        <v>0</v>
      </c>
      <c r="N2151">
        <f t="shared" si="33"/>
        <v>0</v>
      </c>
    </row>
    <row r="2152" spans="1:14" x14ac:dyDescent="0.35">
      <c r="A2152">
        <v>2151</v>
      </c>
      <c r="B2152" t="s">
        <v>20</v>
      </c>
      <c r="C2152">
        <v>22</v>
      </c>
      <c r="D2152" t="s">
        <v>17</v>
      </c>
      <c r="E2152" t="s">
        <v>22</v>
      </c>
      <c r="F2152">
        <v>261</v>
      </c>
      <c r="G2152">
        <v>68</v>
      </c>
      <c r="H2152">
        <v>0.56000000000000005</v>
      </c>
      <c r="I2152" t="s">
        <v>19</v>
      </c>
      <c r="J2152">
        <v>0</v>
      </c>
      <c r="K2152">
        <v>1</v>
      </c>
      <c r="L2152">
        <v>0</v>
      </c>
      <c r="M2152">
        <f>VLOOKUP(Table1[[#This Row],[subscription_type]],Plans!$A$1:$B$5,2,FALSE)</f>
        <v>9.99</v>
      </c>
      <c r="N2152">
        <f t="shared" si="33"/>
        <v>0</v>
      </c>
    </row>
    <row r="2153" spans="1:14" x14ac:dyDescent="0.35">
      <c r="A2153">
        <v>2152</v>
      </c>
      <c r="B2153" t="s">
        <v>12</v>
      </c>
      <c r="C2153">
        <v>41</v>
      </c>
      <c r="D2153" t="s">
        <v>27</v>
      </c>
      <c r="E2153" t="s">
        <v>24</v>
      </c>
      <c r="F2153">
        <v>17</v>
      </c>
      <c r="G2153">
        <v>47</v>
      </c>
      <c r="H2153">
        <v>0.14000000000000001</v>
      </c>
      <c r="I2153" t="s">
        <v>19</v>
      </c>
      <c r="J2153">
        <v>0</v>
      </c>
      <c r="K2153">
        <v>1</v>
      </c>
      <c r="L2153">
        <v>0</v>
      </c>
      <c r="M2153">
        <f>VLOOKUP(Table1[[#This Row],[subscription_type]],Plans!$A$1:$B$5,2,FALSE)</f>
        <v>4.99</v>
      </c>
      <c r="N2153">
        <f t="shared" si="33"/>
        <v>0</v>
      </c>
    </row>
    <row r="2154" spans="1:14" x14ac:dyDescent="0.35">
      <c r="A2154">
        <v>2153</v>
      </c>
      <c r="B2154" t="s">
        <v>20</v>
      </c>
      <c r="C2154">
        <v>49</v>
      </c>
      <c r="D2154" t="s">
        <v>17</v>
      </c>
      <c r="E2154" t="s">
        <v>22</v>
      </c>
      <c r="F2154">
        <v>131</v>
      </c>
      <c r="G2154">
        <v>55</v>
      </c>
      <c r="H2154">
        <v>0.5</v>
      </c>
      <c r="I2154" t="s">
        <v>15</v>
      </c>
      <c r="J2154">
        <v>0</v>
      </c>
      <c r="K2154">
        <v>1</v>
      </c>
      <c r="L2154">
        <v>1</v>
      </c>
      <c r="M2154">
        <f>VLOOKUP(Table1[[#This Row],[subscription_type]],Plans!$A$1:$B$5,2,FALSE)</f>
        <v>9.99</v>
      </c>
      <c r="N2154">
        <f t="shared" si="33"/>
        <v>9.99</v>
      </c>
    </row>
    <row r="2155" spans="1:14" x14ac:dyDescent="0.35">
      <c r="A2155">
        <v>2154</v>
      </c>
      <c r="B2155" t="s">
        <v>20</v>
      </c>
      <c r="C2155">
        <v>45</v>
      </c>
      <c r="D2155" t="s">
        <v>17</v>
      </c>
      <c r="E2155" t="s">
        <v>22</v>
      </c>
      <c r="F2155">
        <v>83</v>
      </c>
      <c r="G2155">
        <v>25</v>
      </c>
      <c r="H2155">
        <v>0.14000000000000001</v>
      </c>
      <c r="I2155" t="s">
        <v>19</v>
      </c>
      <c r="J2155">
        <v>0</v>
      </c>
      <c r="K2155">
        <v>1</v>
      </c>
      <c r="L2155">
        <v>0</v>
      </c>
      <c r="M2155">
        <f>VLOOKUP(Table1[[#This Row],[subscription_type]],Plans!$A$1:$B$5,2,FALSE)</f>
        <v>9.99</v>
      </c>
      <c r="N2155">
        <f t="shared" si="33"/>
        <v>0</v>
      </c>
    </row>
    <row r="2156" spans="1:14" x14ac:dyDescent="0.35">
      <c r="A2156">
        <v>2155</v>
      </c>
      <c r="B2156" t="s">
        <v>12</v>
      </c>
      <c r="C2156">
        <v>47</v>
      </c>
      <c r="D2156" t="s">
        <v>27</v>
      </c>
      <c r="E2156" t="s">
        <v>24</v>
      </c>
      <c r="F2156">
        <v>177</v>
      </c>
      <c r="G2156">
        <v>52</v>
      </c>
      <c r="H2156">
        <v>0.44</v>
      </c>
      <c r="I2156" t="s">
        <v>19</v>
      </c>
      <c r="J2156">
        <v>0</v>
      </c>
      <c r="K2156">
        <v>1</v>
      </c>
      <c r="L2156">
        <v>0</v>
      </c>
      <c r="M2156">
        <f>VLOOKUP(Table1[[#This Row],[subscription_type]],Plans!$A$1:$B$5,2,FALSE)</f>
        <v>4.99</v>
      </c>
      <c r="N2156">
        <f t="shared" si="33"/>
        <v>0</v>
      </c>
    </row>
    <row r="2157" spans="1:14" x14ac:dyDescent="0.35">
      <c r="A2157">
        <v>2156</v>
      </c>
      <c r="B2157" t="s">
        <v>20</v>
      </c>
      <c r="C2157">
        <v>59</v>
      </c>
      <c r="D2157" t="s">
        <v>27</v>
      </c>
      <c r="E2157" t="s">
        <v>24</v>
      </c>
      <c r="F2157">
        <v>165</v>
      </c>
      <c r="G2157">
        <v>76</v>
      </c>
      <c r="H2157">
        <v>0.1</v>
      </c>
      <c r="I2157" t="s">
        <v>19</v>
      </c>
      <c r="J2157">
        <v>0</v>
      </c>
      <c r="K2157">
        <v>1</v>
      </c>
      <c r="L2157">
        <v>1</v>
      </c>
      <c r="M2157">
        <f>VLOOKUP(Table1[[#This Row],[subscription_type]],Plans!$A$1:$B$5,2,FALSE)</f>
        <v>4.99</v>
      </c>
      <c r="N2157">
        <f t="shared" si="33"/>
        <v>4.99</v>
      </c>
    </row>
    <row r="2158" spans="1:14" x14ac:dyDescent="0.35">
      <c r="A2158">
        <v>2157</v>
      </c>
      <c r="B2158" t="s">
        <v>12</v>
      </c>
      <c r="C2158">
        <v>28</v>
      </c>
      <c r="D2158" t="s">
        <v>21</v>
      </c>
      <c r="E2158" t="s">
        <v>22</v>
      </c>
      <c r="F2158">
        <v>210</v>
      </c>
      <c r="G2158">
        <v>34</v>
      </c>
      <c r="H2158">
        <v>0.27</v>
      </c>
      <c r="I2158" t="s">
        <v>19</v>
      </c>
      <c r="J2158">
        <v>0</v>
      </c>
      <c r="K2158">
        <v>1</v>
      </c>
      <c r="L2158">
        <v>0</v>
      </c>
      <c r="M2158">
        <f>VLOOKUP(Table1[[#This Row],[subscription_type]],Plans!$A$1:$B$5,2,FALSE)</f>
        <v>9.99</v>
      </c>
      <c r="N2158">
        <f t="shared" si="33"/>
        <v>0</v>
      </c>
    </row>
    <row r="2159" spans="1:14" x14ac:dyDescent="0.35">
      <c r="A2159">
        <v>2158</v>
      </c>
      <c r="B2159" t="s">
        <v>20</v>
      </c>
      <c r="C2159">
        <v>44</v>
      </c>
      <c r="D2159" t="s">
        <v>13</v>
      </c>
      <c r="E2159" t="s">
        <v>24</v>
      </c>
      <c r="F2159">
        <v>261</v>
      </c>
      <c r="G2159">
        <v>77</v>
      </c>
      <c r="H2159">
        <v>0.28000000000000003</v>
      </c>
      <c r="I2159" t="s">
        <v>19</v>
      </c>
      <c r="J2159">
        <v>0</v>
      </c>
      <c r="K2159">
        <v>1</v>
      </c>
      <c r="L2159">
        <v>0</v>
      </c>
      <c r="M2159">
        <f>VLOOKUP(Table1[[#This Row],[subscription_type]],Plans!$A$1:$B$5,2,FALSE)</f>
        <v>4.99</v>
      </c>
      <c r="N2159">
        <f t="shared" si="33"/>
        <v>0</v>
      </c>
    </row>
    <row r="2160" spans="1:14" x14ac:dyDescent="0.35">
      <c r="A2160">
        <v>2159</v>
      </c>
      <c r="B2160" t="s">
        <v>20</v>
      </c>
      <c r="C2160">
        <v>26</v>
      </c>
      <c r="D2160" t="s">
        <v>13</v>
      </c>
      <c r="E2160" t="s">
        <v>18</v>
      </c>
      <c r="F2160">
        <v>291</v>
      </c>
      <c r="G2160">
        <v>43</v>
      </c>
      <c r="H2160">
        <v>0.06</v>
      </c>
      <c r="I2160" t="s">
        <v>19</v>
      </c>
      <c r="J2160">
        <v>0</v>
      </c>
      <c r="K2160">
        <v>1</v>
      </c>
      <c r="L2160">
        <v>1</v>
      </c>
      <c r="M2160">
        <f>VLOOKUP(Table1[[#This Row],[subscription_type]],Plans!$A$1:$B$5,2,FALSE)</f>
        <v>14.99</v>
      </c>
      <c r="N2160">
        <f t="shared" si="33"/>
        <v>14.99</v>
      </c>
    </row>
    <row r="2161" spans="1:14" x14ac:dyDescent="0.35">
      <c r="A2161">
        <v>2160</v>
      </c>
      <c r="B2161" t="s">
        <v>20</v>
      </c>
      <c r="C2161">
        <v>50</v>
      </c>
      <c r="D2161" t="s">
        <v>13</v>
      </c>
      <c r="E2161" t="s">
        <v>18</v>
      </c>
      <c r="F2161">
        <v>176</v>
      </c>
      <c r="G2161">
        <v>78</v>
      </c>
      <c r="H2161">
        <v>0.11</v>
      </c>
      <c r="I2161" t="s">
        <v>19</v>
      </c>
      <c r="J2161">
        <v>0</v>
      </c>
      <c r="K2161">
        <v>1</v>
      </c>
      <c r="L2161">
        <v>1</v>
      </c>
      <c r="M2161">
        <f>VLOOKUP(Table1[[#This Row],[subscription_type]],Plans!$A$1:$B$5,2,FALSE)</f>
        <v>14.99</v>
      </c>
      <c r="N2161">
        <f t="shared" si="33"/>
        <v>14.99</v>
      </c>
    </row>
    <row r="2162" spans="1:14" x14ac:dyDescent="0.35">
      <c r="A2162">
        <v>2161</v>
      </c>
      <c r="B2162" t="s">
        <v>20</v>
      </c>
      <c r="C2162">
        <v>50</v>
      </c>
      <c r="D2162" t="s">
        <v>26</v>
      </c>
      <c r="E2162" t="s">
        <v>24</v>
      </c>
      <c r="F2162">
        <v>102</v>
      </c>
      <c r="G2162">
        <v>20</v>
      </c>
      <c r="H2162">
        <v>0.41</v>
      </c>
      <c r="I2162" t="s">
        <v>23</v>
      </c>
      <c r="J2162">
        <v>0</v>
      </c>
      <c r="K2162">
        <v>1</v>
      </c>
      <c r="L2162">
        <v>0</v>
      </c>
      <c r="M2162">
        <f>VLOOKUP(Table1[[#This Row],[subscription_type]],Plans!$A$1:$B$5,2,FALSE)</f>
        <v>4.99</v>
      </c>
      <c r="N2162">
        <f t="shared" si="33"/>
        <v>0</v>
      </c>
    </row>
    <row r="2163" spans="1:14" x14ac:dyDescent="0.35">
      <c r="A2163">
        <v>2162</v>
      </c>
      <c r="B2163" t="s">
        <v>12</v>
      </c>
      <c r="C2163">
        <v>41</v>
      </c>
      <c r="D2163" t="s">
        <v>29</v>
      </c>
      <c r="E2163" t="s">
        <v>14</v>
      </c>
      <c r="F2163">
        <v>107</v>
      </c>
      <c r="G2163">
        <v>57</v>
      </c>
      <c r="H2163">
        <v>0.27</v>
      </c>
      <c r="I2163" t="s">
        <v>19</v>
      </c>
      <c r="J2163">
        <v>41</v>
      </c>
      <c r="K2163">
        <v>0</v>
      </c>
      <c r="L2163">
        <v>1</v>
      </c>
      <c r="M2163">
        <f>VLOOKUP(Table1[[#This Row],[subscription_type]],Plans!$A$1:$B$5,2,FALSE)</f>
        <v>0</v>
      </c>
      <c r="N2163">
        <f t="shared" si="33"/>
        <v>0</v>
      </c>
    </row>
    <row r="2164" spans="1:14" x14ac:dyDescent="0.35">
      <c r="A2164">
        <v>2163</v>
      </c>
      <c r="B2164" t="s">
        <v>16</v>
      </c>
      <c r="C2164">
        <v>58</v>
      </c>
      <c r="D2164" t="s">
        <v>25</v>
      </c>
      <c r="E2164" t="s">
        <v>22</v>
      </c>
      <c r="F2164">
        <v>182</v>
      </c>
      <c r="G2164">
        <v>45</v>
      </c>
      <c r="H2164">
        <v>0.14000000000000001</v>
      </c>
      <c r="I2164" t="s">
        <v>19</v>
      </c>
      <c r="J2164">
        <v>0</v>
      </c>
      <c r="K2164">
        <v>1</v>
      </c>
      <c r="L2164">
        <v>0</v>
      </c>
      <c r="M2164">
        <f>VLOOKUP(Table1[[#This Row],[subscription_type]],Plans!$A$1:$B$5,2,FALSE)</f>
        <v>9.99</v>
      </c>
      <c r="N2164">
        <f t="shared" si="33"/>
        <v>0</v>
      </c>
    </row>
    <row r="2165" spans="1:14" x14ac:dyDescent="0.35">
      <c r="A2165">
        <v>2164</v>
      </c>
      <c r="B2165" t="s">
        <v>16</v>
      </c>
      <c r="C2165">
        <v>48</v>
      </c>
      <c r="D2165" t="s">
        <v>25</v>
      </c>
      <c r="E2165" t="s">
        <v>14</v>
      </c>
      <c r="F2165">
        <v>167</v>
      </c>
      <c r="G2165">
        <v>54</v>
      </c>
      <c r="H2165">
        <v>0.48</v>
      </c>
      <c r="I2165" t="s">
        <v>15</v>
      </c>
      <c r="J2165">
        <v>7</v>
      </c>
      <c r="K2165">
        <v>0</v>
      </c>
      <c r="L2165">
        <v>1</v>
      </c>
      <c r="M2165">
        <f>VLOOKUP(Table1[[#This Row],[subscription_type]],Plans!$A$1:$B$5,2,FALSE)</f>
        <v>0</v>
      </c>
      <c r="N2165">
        <f t="shared" si="33"/>
        <v>0</v>
      </c>
    </row>
    <row r="2166" spans="1:14" x14ac:dyDescent="0.35">
      <c r="A2166">
        <v>2165</v>
      </c>
      <c r="B2166" t="s">
        <v>16</v>
      </c>
      <c r="C2166">
        <v>39</v>
      </c>
      <c r="D2166" t="s">
        <v>21</v>
      </c>
      <c r="E2166" t="s">
        <v>24</v>
      </c>
      <c r="F2166">
        <v>246</v>
      </c>
      <c r="G2166">
        <v>57</v>
      </c>
      <c r="H2166">
        <v>0.08</v>
      </c>
      <c r="I2166" t="s">
        <v>15</v>
      </c>
      <c r="J2166">
        <v>0</v>
      </c>
      <c r="K2166">
        <v>1</v>
      </c>
      <c r="L2166">
        <v>1</v>
      </c>
      <c r="M2166">
        <f>VLOOKUP(Table1[[#This Row],[subscription_type]],Plans!$A$1:$B$5,2,FALSE)</f>
        <v>4.99</v>
      </c>
      <c r="N2166">
        <f t="shared" si="33"/>
        <v>4.99</v>
      </c>
    </row>
    <row r="2167" spans="1:14" x14ac:dyDescent="0.35">
      <c r="A2167">
        <v>2166</v>
      </c>
      <c r="B2167" t="s">
        <v>12</v>
      </c>
      <c r="C2167">
        <v>44</v>
      </c>
      <c r="D2167" t="s">
        <v>25</v>
      </c>
      <c r="E2167" t="s">
        <v>14</v>
      </c>
      <c r="F2167">
        <v>185</v>
      </c>
      <c r="G2167">
        <v>64</v>
      </c>
      <c r="H2167">
        <v>0.45</v>
      </c>
      <c r="I2167" t="s">
        <v>23</v>
      </c>
      <c r="J2167">
        <v>15</v>
      </c>
      <c r="K2167">
        <v>0</v>
      </c>
      <c r="L2167">
        <v>0</v>
      </c>
      <c r="M2167">
        <f>VLOOKUP(Table1[[#This Row],[subscription_type]],Plans!$A$1:$B$5,2,FALSE)</f>
        <v>0</v>
      </c>
      <c r="N2167">
        <f t="shared" si="33"/>
        <v>0</v>
      </c>
    </row>
    <row r="2168" spans="1:14" x14ac:dyDescent="0.35">
      <c r="A2168">
        <v>2167</v>
      </c>
      <c r="B2168" t="s">
        <v>12</v>
      </c>
      <c r="C2168">
        <v>21</v>
      </c>
      <c r="D2168" t="s">
        <v>28</v>
      </c>
      <c r="E2168" t="s">
        <v>22</v>
      </c>
      <c r="F2168">
        <v>86</v>
      </c>
      <c r="G2168">
        <v>42</v>
      </c>
      <c r="H2168">
        <v>0.56000000000000005</v>
      </c>
      <c r="I2168" t="s">
        <v>19</v>
      </c>
      <c r="J2168">
        <v>0</v>
      </c>
      <c r="K2168">
        <v>1</v>
      </c>
      <c r="L2168">
        <v>0</v>
      </c>
      <c r="M2168">
        <f>VLOOKUP(Table1[[#This Row],[subscription_type]],Plans!$A$1:$B$5,2,FALSE)</f>
        <v>9.99</v>
      </c>
      <c r="N2168">
        <f t="shared" si="33"/>
        <v>0</v>
      </c>
    </row>
    <row r="2169" spans="1:14" x14ac:dyDescent="0.35">
      <c r="A2169">
        <v>2168</v>
      </c>
      <c r="B2169" t="s">
        <v>12</v>
      </c>
      <c r="C2169">
        <v>59</v>
      </c>
      <c r="D2169" t="s">
        <v>21</v>
      </c>
      <c r="E2169" t="s">
        <v>22</v>
      </c>
      <c r="F2169">
        <v>265</v>
      </c>
      <c r="G2169">
        <v>61</v>
      </c>
      <c r="H2169">
        <v>0.3</v>
      </c>
      <c r="I2169" t="s">
        <v>19</v>
      </c>
      <c r="J2169">
        <v>0</v>
      </c>
      <c r="K2169">
        <v>1</v>
      </c>
      <c r="L2169">
        <v>0</v>
      </c>
      <c r="M2169">
        <f>VLOOKUP(Table1[[#This Row],[subscription_type]],Plans!$A$1:$B$5,2,FALSE)</f>
        <v>9.99</v>
      </c>
      <c r="N2169">
        <f t="shared" si="33"/>
        <v>0</v>
      </c>
    </row>
    <row r="2170" spans="1:14" x14ac:dyDescent="0.35">
      <c r="A2170">
        <v>2169</v>
      </c>
      <c r="B2170" t="s">
        <v>12</v>
      </c>
      <c r="C2170">
        <v>51</v>
      </c>
      <c r="D2170" t="s">
        <v>26</v>
      </c>
      <c r="E2170" t="s">
        <v>24</v>
      </c>
      <c r="F2170">
        <v>114</v>
      </c>
      <c r="G2170">
        <v>56</v>
      </c>
      <c r="H2170">
        <v>0.36</v>
      </c>
      <c r="I2170" t="s">
        <v>15</v>
      </c>
      <c r="J2170">
        <v>0</v>
      </c>
      <c r="K2170">
        <v>1</v>
      </c>
      <c r="L2170">
        <v>0</v>
      </c>
      <c r="M2170">
        <f>VLOOKUP(Table1[[#This Row],[subscription_type]],Plans!$A$1:$B$5,2,FALSE)</f>
        <v>4.99</v>
      </c>
      <c r="N2170">
        <f t="shared" si="33"/>
        <v>0</v>
      </c>
    </row>
    <row r="2171" spans="1:14" x14ac:dyDescent="0.35">
      <c r="A2171">
        <v>2170</v>
      </c>
      <c r="B2171" t="s">
        <v>16</v>
      </c>
      <c r="C2171">
        <v>17</v>
      </c>
      <c r="D2171" t="s">
        <v>17</v>
      </c>
      <c r="E2171" t="s">
        <v>14</v>
      </c>
      <c r="F2171">
        <v>240</v>
      </c>
      <c r="G2171">
        <v>65</v>
      </c>
      <c r="H2171">
        <v>0.54</v>
      </c>
      <c r="I2171" t="s">
        <v>19</v>
      </c>
      <c r="J2171">
        <v>7</v>
      </c>
      <c r="K2171">
        <v>0</v>
      </c>
      <c r="L2171">
        <v>0</v>
      </c>
      <c r="M2171">
        <f>VLOOKUP(Table1[[#This Row],[subscription_type]],Plans!$A$1:$B$5,2,FALSE)</f>
        <v>0</v>
      </c>
      <c r="N2171">
        <f t="shared" si="33"/>
        <v>0</v>
      </c>
    </row>
    <row r="2172" spans="1:14" x14ac:dyDescent="0.35">
      <c r="A2172">
        <v>2171</v>
      </c>
      <c r="B2172" t="s">
        <v>12</v>
      </c>
      <c r="C2172">
        <v>20</v>
      </c>
      <c r="D2172" t="s">
        <v>26</v>
      </c>
      <c r="E2172" t="s">
        <v>14</v>
      </c>
      <c r="F2172">
        <v>181</v>
      </c>
      <c r="G2172">
        <v>33</v>
      </c>
      <c r="H2172">
        <v>7.0000000000000007E-2</v>
      </c>
      <c r="I2172" t="s">
        <v>19</v>
      </c>
      <c r="J2172">
        <v>38</v>
      </c>
      <c r="K2172">
        <v>0</v>
      </c>
      <c r="L2172">
        <v>0</v>
      </c>
      <c r="M2172">
        <f>VLOOKUP(Table1[[#This Row],[subscription_type]],Plans!$A$1:$B$5,2,FALSE)</f>
        <v>0</v>
      </c>
      <c r="N2172">
        <f t="shared" si="33"/>
        <v>0</v>
      </c>
    </row>
    <row r="2173" spans="1:14" x14ac:dyDescent="0.35">
      <c r="A2173">
        <v>2172</v>
      </c>
      <c r="B2173" t="s">
        <v>12</v>
      </c>
      <c r="C2173">
        <v>23</v>
      </c>
      <c r="D2173" t="s">
        <v>28</v>
      </c>
      <c r="E2173" t="s">
        <v>22</v>
      </c>
      <c r="F2173">
        <v>226</v>
      </c>
      <c r="G2173">
        <v>19</v>
      </c>
      <c r="H2173">
        <v>0.56999999999999995</v>
      </c>
      <c r="I2173" t="s">
        <v>19</v>
      </c>
      <c r="J2173">
        <v>0</v>
      </c>
      <c r="K2173">
        <v>1</v>
      </c>
      <c r="L2173">
        <v>0</v>
      </c>
      <c r="M2173">
        <f>VLOOKUP(Table1[[#This Row],[subscription_type]],Plans!$A$1:$B$5,2,FALSE)</f>
        <v>9.99</v>
      </c>
      <c r="N2173">
        <f t="shared" si="33"/>
        <v>0</v>
      </c>
    </row>
    <row r="2174" spans="1:14" x14ac:dyDescent="0.35">
      <c r="A2174">
        <v>2173</v>
      </c>
      <c r="B2174" t="s">
        <v>20</v>
      </c>
      <c r="C2174">
        <v>36</v>
      </c>
      <c r="D2174" t="s">
        <v>29</v>
      </c>
      <c r="E2174" t="s">
        <v>14</v>
      </c>
      <c r="F2174">
        <v>145</v>
      </c>
      <c r="G2174">
        <v>73</v>
      </c>
      <c r="H2174">
        <v>0.38</v>
      </c>
      <c r="I2174" t="s">
        <v>19</v>
      </c>
      <c r="J2174">
        <v>47</v>
      </c>
      <c r="K2174">
        <v>0</v>
      </c>
      <c r="L2174">
        <v>1</v>
      </c>
      <c r="M2174">
        <f>VLOOKUP(Table1[[#This Row],[subscription_type]],Plans!$A$1:$B$5,2,FALSE)</f>
        <v>0</v>
      </c>
      <c r="N2174">
        <f t="shared" si="33"/>
        <v>0</v>
      </c>
    </row>
    <row r="2175" spans="1:14" x14ac:dyDescent="0.35">
      <c r="A2175">
        <v>2174</v>
      </c>
      <c r="B2175" t="s">
        <v>20</v>
      </c>
      <c r="C2175">
        <v>58</v>
      </c>
      <c r="D2175" t="s">
        <v>28</v>
      </c>
      <c r="E2175" t="s">
        <v>14</v>
      </c>
      <c r="F2175">
        <v>133</v>
      </c>
      <c r="G2175">
        <v>77</v>
      </c>
      <c r="H2175">
        <v>0.03</v>
      </c>
      <c r="I2175" t="s">
        <v>15</v>
      </c>
      <c r="J2175">
        <v>8</v>
      </c>
      <c r="K2175">
        <v>0</v>
      </c>
      <c r="L2175">
        <v>1</v>
      </c>
      <c r="M2175">
        <f>VLOOKUP(Table1[[#This Row],[subscription_type]],Plans!$A$1:$B$5,2,FALSE)</f>
        <v>0</v>
      </c>
      <c r="N2175">
        <f t="shared" si="33"/>
        <v>0</v>
      </c>
    </row>
    <row r="2176" spans="1:14" x14ac:dyDescent="0.35">
      <c r="A2176">
        <v>2175</v>
      </c>
      <c r="B2176" t="s">
        <v>12</v>
      </c>
      <c r="C2176">
        <v>45</v>
      </c>
      <c r="D2176" t="s">
        <v>27</v>
      </c>
      <c r="E2176" t="s">
        <v>24</v>
      </c>
      <c r="F2176">
        <v>115</v>
      </c>
      <c r="G2176">
        <v>3</v>
      </c>
      <c r="H2176">
        <v>0.18</v>
      </c>
      <c r="I2176" t="s">
        <v>19</v>
      </c>
      <c r="J2176">
        <v>0</v>
      </c>
      <c r="K2176">
        <v>1</v>
      </c>
      <c r="L2176">
        <v>0</v>
      </c>
      <c r="M2176">
        <f>VLOOKUP(Table1[[#This Row],[subscription_type]],Plans!$A$1:$B$5,2,FALSE)</f>
        <v>4.99</v>
      </c>
      <c r="N2176">
        <f t="shared" si="33"/>
        <v>0</v>
      </c>
    </row>
    <row r="2177" spans="1:14" x14ac:dyDescent="0.35">
      <c r="A2177">
        <v>2176</v>
      </c>
      <c r="B2177" t="s">
        <v>12</v>
      </c>
      <c r="C2177">
        <v>17</v>
      </c>
      <c r="D2177" t="s">
        <v>21</v>
      </c>
      <c r="E2177" t="s">
        <v>18</v>
      </c>
      <c r="F2177">
        <v>184</v>
      </c>
      <c r="G2177">
        <v>93</v>
      </c>
      <c r="H2177">
        <v>0.15</v>
      </c>
      <c r="I2177" t="s">
        <v>23</v>
      </c>
      <c r="J2177">
        <v>0</v>
      </c>
      <c r="K2177">
        <v>1</v>
      </c>
      <c r="L2177">
        <v>0</v>
      </c>
      <c r="M2177">
        <f>VLOOKUP(Table1[[#This Row],[subscription_type]],Plans!$A$1:$B$5,2,FALSE)</f>
        <v>14.99</v>
      </c>
      <c r="N2177">
        <f t="shared" si="33"/>
        <v>0</v>
      </c>
    </row>
    <row r="2178" spans="1:14" x14ac:dyDescent="0.35">
      <c r="A2178">
        <v>2177</v>
      </c>
      <c r="B2178" t="s">
        <v>16</v>
      </c>
      <c r="C2178">
        <v>24</v>
      </c>
      <c r="D2178" t="s">
        <v>13</v>
      </c>
      <c r="E2178" t="s">
        <v>14</v>
      </c>
      <c r="F2178">
        <v>41</v>
      </c>
      <c r="G2178">
        <v>48</v>
      </c>
      <c r="H2178">
        <v>0.18</v>
      </c>
      <c r="I2178" t="s">
        <v>15</v>
      </c>
      <c r="J2178">
        <v>33</v>
      </c>
      <c r="K2178">
        <v>0</v>
      </c>
      <c r="L2178">
        <v>0</v>
      </c>
      <c r="M2178">
        <f>VLOOKUP(Table1[[#This Row],[subscription_type]],Plans!$A$1:$B$5,2,FALSE)</f>
        <v>0</v>
      </c>
      <c r="N2178">
        <f t="shared" ref="N2178:N2241" si="34">IF(L2178=1, M2178,0)</f>
        <v>0</v>
      </c>
    </row>
    <row r="2179" spans="1:14" x14ac:dyDescent="0.35">
      <c r="A2179">
        <v>2178</v>
      </c>
      <c r="B2179" t="s">
        <v>16</v>
      </c>
      <c r="C2179">
        <v>17</v>
      </c>
      <c r="D2179" t="s">
        <v>13</v>
      </c>
      <c r="E2179" t="s">
        <v>22</v>
      </c>
      <c r="F2179">
        <v>288</v>
      </c>
      <c r="G2179">
        <v>93</v>
      </c>
      <c r="H2179">
        <v>0.17</v>
      </c>
      <c r="I2179" t="s">
        <v>15</v>
      </c>
      <c r="J2179">
        <v>0</v>
      </c>
      <c r="K2179">
        <v>1</v>
      </c>
      <c r="L2179">
        <v>0</v>
      </c>
      <c r="M2179">
        <f>VLOOKUP(Table1[[#This Row],[subscription_type]],Plans!$A$1:$B$5,2,FALSE)</f>
        <v>9.99</v>
      </c>
      <c r="N2179">
        <f t="shared" si="34"/>
        <v>0</v>
      </c>
    </row>
    <row r="2180" spans="1:14" x14ac:dyDescent="0.35">
      <c r="A2180">
        <v>2179</v>
      </c>
      <c r="B2180" t="s">
        <v>12</v>
      </c>
      <c r="C2180">
        <v>49</v>
      </c>
      <c r="D2180" t="s">
        <v>28</v>
      </c>
      <c r="E2180" t="s">
        <v>18</v>
      </c>
      <c r="F2180">
        <v>162</v>
      </c>
      <c r="G2180">
        <v>37</v>
      </c>
      <c r="H2180">
        <v>0.1</v>
      </c>
      <c r="I2180" t="s">
        <v>15</v>
      </c>
      <c r="J2180">
        <v>0</v>
      </c>
      <c r="K2180">
        <v>1</v>
      </c>
      <c r="L2180">
        <v>1</v>
      </c>
      <c r="M2180">
        <f>VLOOKUP(Table1[[#This Row],[subscription_type]],Plans!$A$1:$B$5,2,FALSE)</f>
        <v>14.99</v>
      </c>
      <c r="N2180">
        <f t="shared" si="34"/>
        <v>14.99</v>
      </c>
    </row>
    <row r="2181" spans="1:14" x14ac:dyDescent="0.35">
      <c r="A2181">
        <v>2180</v>
      </c>
      <c r="B2181" t="s">
        <v>16</v>
      </c>
      <c r="C2181">
        <v>53</v>
      </c>
      <c r="D2181" t="s">
        <v>26</v>
      </c>
      <c r="E2181" t="s">
        <v>14</v>
      </c>
      <c r="F2181">
        <v>240</v>
      </c>
      <c r="G2181">
        <v>47</v>
      </c>
      <c r="H2181">
        <v>0.56000000000000005</v>
      </c>
      <c r="I2181" t="s">
        <v>19</v>
      </c>
      <c r="J2181">
        <v>8</v>
      </c>
      <c r="K2181">
        <v>0</v>
      </c>
      <c r="L2181">
        <v>1</v>
      </c>
      <c r="M2181">
        <f>VLOOKUP(Table1[[#This Row],[subscription_type]],Plans!$A$1:$B$5,2,FALSE)</f>
        <v>0</v>
      </c>
      <c r="N2181">
        <f t="shared" si="34"/>
        <v>0</v>
      </c>
    </row>
    <row r="2182" spans="1:14" x14ac:dyDescent="0.35">
      <c r="A2182">
        <v>2181</v>
      </c>
      <c r="B2182" t="s">
        <v>12</v>
      </c>
      <c r="C2182">
        <v>41</v>
      </c>
      <c r="D2182" t="s">
        <v>25</v>
      </c>
      <c r="E2182" t="s">
        <v>18</v>
      </c>
      <c r="F2182">
        <v>192</v>
      </c>
      <c r="G2182">
        <v>54</v>
      </c>
      <c r="H2182">
        <v>0.31</v>
      </c>
      <c r="I2182" t="s">
        <v>15</v>
      </c>
      <c r="J2182">
        <v>0</v>
      </c>
      <c r="K2182">
        <v>1</v>
      </c>
      <c r="L2182">
        <v>1</v>
      </c>
      <c r="M2182">
        <f>VLOOKUP(Table1[[#This Row],[subscription_type]],Plans!$A$1:$B$5,2,FALSE)</f>
        <v>14.99</v>
      </c>
      <c r="N2182">
        <f t="shared" si="34"/>
        <v>14.99</v>
      </c>
    </row>
    <row r="2183" spans="1:14" x14ac:dyDescent="0.35">
      <c r="A2183">
        <v>2182</v>
      </c>
      <c r="B2183" t="s">
        <v>20</v>
      </c>
      <c r="C2183">
        <v>59</v>
      </c>
      <c r="D2183" t="s">
        <v>29</v>
      </c>
      <c r="E2183" t="s">
        <v>14</v>
      </c>
      <c r="F2183">
        <v>106</v>
      </c>
      <c r="G2183">
        <v>8</v>
      </c>
      <c r="H2183">
        <v>0.21</v>
      </c>
      <c r="I2183" t="s">
        <v>15</v>
      </c>
      <c r="J2183">
        <v>9</v>
      </c>
      <c r="K2183">
        <v>0</v>
      </c>
      <c r="L2183">
        <v>0</v>
      </c>
      <c r="M2183">
        <f>VLOOKUP(Table1[[#This Row],[subscription_type]],Plans!$A$1:$B$5,2,FALSE)</f>
        <v>0</v>
      </c>
      <c r="N2183">
        <f t="shared" si="34"/>
        <v>0</v>
      </c>
    </row>
    <row r="2184" spans="1:14" x14ac:dyDescent="0.35">
      <c r="A2184">
        <v>2183</v>
      </c>
      <c r="B2184" t="s">
        <v>16</v>
      </c>
      <c r="C2184">
        <v>27</v>
      </c>
      <c r="D2184" t="s">
        <v>28</v>
      </c>
      <c r="E2184" t="s">
        <v>14</v>
      </c>
      <c r="F2184">
        <v>88</v>
      </c>
      <c r="G2184">
        <v>7</v>
      </c>
      <c r="H2184">
        <v>0.2</v>
      </c>
      <c r="I2184" t="s">
        <v>19</v>
      </c>
      <c r="J2184">
        <v>45</v>
      </c>
      <c r="K2184">
        <v>0</v>
      </c>
      <c r="L2184">
        <v>0</v>
      </c>
      <c r="M2184">
        <f>VLOOKUP(Table1[[#This Row],[subscription_type]],Plans!$A$1:$B$5,2,FALSE)</f>
        <v>0</v>
      </c>
      <c r="N2184">
        <f t="shared" si="34"/>
        <v>0</v>
      </c>
    </row>
    <row r="2185" spans="1:14" x14ac:dyDescent="0.35">
      <c r="A2185">
        <v>2184</v>
      </c>
      <c r="B2185" t="s">
        <v>12</v>
      </c>
      <c r="C2185">
        <v>22</v>
      </c>
      <c r="D2185" t="s">
        <v>26</v>
      </c>
      <c r="E2185" t="s">
        <v>24</v>
      </c>
      <c r="F2185">
        <v>19</v>
      </c>
      <c r="G2185">
        <v>13</v>
      </c>
      <c r="H2185">
        <v>0.53</v>
      </c>
      <c r="I2185" t="s">
        <v>19</v>
      </c>
      <c r="J2185">
        <v>0</v>
      </c>
      <c r="K2185">
        <v>1</v>
      </c>
      <c r="L2185">
        <v>0</v>
      </c>
      <c r="M2185">
        <f>VLOOKUP(Table1[[#This Row],[subscription_type]],Plans!$A$1:$B$5,2,FALSE)</f>
        <v>4.99</v>
      </c>
      <c r="N2185">
        <f t="shared" si="34"/>
        <v>0</v>
      </c>
    </row>
    <row r="2186" spans="1:14" x14ac:dyDescent="0.35">
      <c r="A2186">
        <v>2185</v>
      </c>
      <c r="B2186" t="s">
        <v>12</v>
      </c>
      <c r="C2186">
        <v>39</v>
      </c>
      <c r="D2186" t="s">
        <v>13</v>
      </c>
      <c r="E2186" t="s">
        <v>18</v>
      </c>
      <c r="F2186">
        <v>269</v>
      </c>
      <c r="G2186">
        <v>18</v>
      </c>
      <c r="H2186">
        <v>0.23</v>
      </c>
      <c r="I2186" t="s">
        <v>15</v>
      </c>
      <c r="J2186">
        <v>0</v>
      </c>
      <c r="K2186">
        <v>1</v>
      </c>
      <c r="L2186">
        <v>1</v>
      </c>
      <c r="M2186">
        <f>VLOOKUP(Table1[[#This Row],[subscription_type]],Plans!$A$1:$B$5,2,FALSE)</f>
        <v>14.99</v>
      </c>
      <c r="N2186">
        <f t="shared" si="34"/>
        <v>14.99</v>
      </c>
    </row>
    <row r="2187" spans="1:14" x14ac:dyDescent="0.35">
      <c r="A2187">
        <v>2186</v>
      </c>
      <c r="B2187" t="s">
        <v>20</v>
      </c>
      <c r="C2187">
        <v>53</v>
      </c>
      <c r="D2187" t="s">
        <v>17</v>
      </c>
      <c r="E2187" t="s">
        <v>14</v>
      </c>
      <c r="F2187">
        <v>174</v>
      </c>
      <c r="G2187">
        <v>78</v>
      </c>
      <c r="H2187">
        <v>0.56000000000000005</v>
      </c>
      <c r="I2187" t="s">
        <v>19</v>
      </c>
      <c r="J2187">
        <v>44</v>
      </c>
      <c r="K2187">
        <v>0</v>
      </c>
      <c r="L2187">
        <v>0</v>
      </c>
      <c r="M2187">
        <f>VLOOKUP(Table1[[#This Row],[subscription_type]],Plans!$A$1:$B$5,2,FALSE)</f>
        <v>0</v>
      </c>
      <c r="N2187">
        <f t="shared" si="34"/>
        <v>0</v>
      </c>
    </row>
    <row r="2188" spans="1:14" x14ac:dyDescent="0.35">
      <c r="A2188">
        <v>2187</v>
      </c>
      <c r="B2188" t="s">
        <v>20</v>
      </c>
      <c r="C2188">
        <v>29</v>
      </c>
      <c r="D2188" t="s">
        <v>27</v>
      </c>
      <c r="E2188" t="s">
        <v>24</v>
      </c>
      <c r="F2188">
        <v>153</v>
      </c>
      <c r="G2188">
        <v>51</v>
      </c>
      <c r="H2188">
        <v>0.3</v>
      </c>
      <c r="I2188" t="s">
        <v>23</v>
      </c>
      <c r="J2188">
        <v>0</v>
      </c>
      <c r="K2188">
        <v>1</v>
      </c>
      <c r="L2188">
        <v>1</v>
      </c>
      <c r="M2188">
        <f>VLOOKUP(Table1[[#This Row],[subscription_type]],Plans!$A$1:$B$5,2,FALSE)</f>
        <v>4.99</v>
      </c>
      <c r="N2188">
        <f t="shared" si="34"/>
        <v>4.99</v>
      </c>
    </row>
    <row r="2189" spans="1:14" x14ac:dyDescent="0.35">
      <c r="A2189">
        <v>2188</v>
      </c>
      <c r="B2189" t="s">
        <v>20</v>
      </c>
      <c r="C2189">
        <v>21</v>
      </c>
      <c r="D2189" t="s">
        <v>21</v>
      </c>
      <c r="E2189" t="s">
        <v>14</v>
      </c>
      <c r="F2189">
        <v>113</v>
      </c>
      <c r="G2189">
        <v>78</v>
      </c>
      <c r="H2189">
        <v>0.25</v>
      </c>
      <c r="I2189" t="s">
        <v>15</v>
      </c>
      <c r="J2189">
        <v>19</v>
      </c>
      <c r="K2189">
        <v>0</v>
      </c>
      <c r="L2189">
        <v>1</v>
      </c>
      <c r="M2189">
        <f>VLOOKUP(Table1[[#This Row],[subscription_type]],Plans!$A$1:$B$5,2,FALSE)</f>
        <v>0</v>
      </c>
      <c r="N2189">
        <f t="shared" si="34"/>
        <v>0</v>
      </c>
    </row>
    <row r="2190" spans="1:14" x14ac:dyDescent="0.35">
      <c r="A2190">
        <v>2189</v>
      </c>
      <c r="B2190" t="s">
        <v>12</v>
      </c>
      <c r="C2190">
        <v>31</v>
      </c>
      <c r="D2190" t="s">
        <v>27</v>
      </c>
      <c r="E2190" t="s">
        <v>24</v>
      </c>
      <c r="F2190">
        <v>211</v>
      </c>
      <c r="G2190">
        <v>48</v>
      </c>
      <c r="H2190">
        <v>0.24</v>
      </c>
      <c r="I2190" t="s">
        <v>23</v>
      </c>
      <c r="J2190">
        <v>0</v>
      </c>
      <c r="K2190">
        <v>1</v>
      </c>
      <c r="L2190">
        <v>0</v>
      </c>
      <c r="M2190">
        <f>VLOOKUP(Table1[[#This Row],[subscription_type]],Plans!$A$1:$B$5,2,FALSE)</f>
        <v>4.99</v>
      </c>
      <c r="N2190">
        <f t="shared" si="34"/>
        <v>0</v>
      </c>
    </row>
    <row r="2191" spans="1:14" x14ac:dyDescent="0.35">
      <c r="A2191">
        <v>2190</v>
      </c>
      <c r="B2191" t="s">
        <v>16</v>
      </c>
      <c r="C2191">
        <v>16</v>
      </c>
      <c r="D2191" t="s">
        <v>26</v>
      </c>
      <c r="E2191" t="s">
        <v>24</v>
      </c>
      <c r="F2191">
        <v>14</v>
      </c>
      <c r="G2191">
        <v>75</v>
      </c>
      <c r="H2191">
        <v>0.36</v>
      </c>
      <c r="I2191" t="s">
        <v>19</v>
      </c>
      <c r="J2191">
        <v>0</v>
      </c>
      <c r="K2191">
        <v>1</v>
      </c>
      <c r="L2191">
        <v>0</v>
      </c>
      <c r="M2191">
        <f>VLOOKUP(Table1[[#This Row],[subscription_type]],Plans!$A$1:$B$5,2,FALSE)</f>
        <v>4.99</v>
      </c>
      <c r="N2191">
        <f t="shared" si="34"/>
        <v>0</v>
      </c>
    </row>
    <row r="2192" spans="1:14" x14ac:dyDescent="0.35">
      <c r="A2192">
        <v>2191</v>
      </c>
      <c r="B2192" t="s">
        <v>12</v>
      </c>
      <c r="C2192">
        <v>57</v>
      </c>
      <c r="D2192" t="s">
        <v>13</v>
      </c>
      <c r="E2192" t="s">
        <v>24</v>
      </c>
      <c r="F2192">
        <v>201</v>
      </c>
      <c r="G2192">
        <v>36</v>
      </c>
      <c r="H2192">
        <v>0.09</v>
      </c>
      <c r="I2192" t="s">
        <v>15</v>
      </c>
      <c r="J2192">
        <v>0</v>
      </c>
      <c r="K2192">
        <v>1</v>
      </c>
      <c r="L2192">
        <v>0</v>
      </c>
      <c r="M2192">
        <f>VLOOKUP(Table1[[#This Row],[subscription_type]],Plans!$A$1:$B$5,2,FALSE)</f>
        <v>4.99</v>
      </c>
      <c r="N2192">
        <f t="shared" si="34"/>
        <v>0</v>
      </c>
    </row>
    <row r="2193" spans="1:14" x14ac:dyDescent="0.35">
      <c r="A2193">
        <v>2192</v>
      </c>
      <c r="B2193" t="s">
        <v>20</v>
      </c>
      <c r="C2193">
        <v>49</v>
      </c>
      <c r="D2193" t="s">
        <v>13</v>
      </c>
      <c r="E2193" t="s">
        <v>14</v>
      </c>
      <c r="F2193">
        <v>162</v>
      </c>
      <c r="G2193">
        <v>34</v>
      </c>
      <c r="H2193">
        <v>0.35</v>
      </c>
      <c r="I2193" t="s">
        <v>23</v>
      </c>
      <c r="J2193">
        <v>42</v>
      </c>
      <c r="K2193">
        <v>0</v>
      </c>
      <c r="L2193">
        <v>0</v>
      </c>
      <c r="M2193">
        <f>VLOOKUP(Table1[[#This Row],[subscription_type]],Plans!$A$1:$B$5,2,FALSE)</f>
        <v>0</v>
      </c>
      <c r="N2193">
        <f t="shared" si="34"/>
        <v>0</v>
      </c>
    </row>
    <row r="2194" spans="1:14" x14ac:dyDescent="0.35">
      <c r="A2194">
        <v>2193</v>
      </c>
      <c r="B2194" t="s">
        <v>20</v>
      </c>
      <c r="C2194">
        <v>17</v>
      </c>
      <c r="D2194" t="s">
        <v>21</v>
      </c>
      <c r="E2194" t="s">
        <v>18</v>
      </c>
      <c r="F2194">
        <v>298</v>
      </c>
      <c r="G2194">
        <v>44</v>
      </c>
      <c r="H2194">
        <v>0.33</v>
      </c>
      <c r="I2194" t="s">
        <v>23</v>
      </c>
      <c r="J2194">
        <v>0</v>
      </c>
      <c r="K2194">
        <v>1</v>
      </c>
      <c r="L2194">
        <v>0</v>
      </c>
      <c r="M2194">
        <f>VLOOKUP(Table1[[#This Row],[subscription_type]],Plans!$A$1:$B$5,2,FALSE)</f>
        <v>14.99</v>
      </c>
      <c r="N2194">
        <f t="shared" si="34"/>
        <v>0</v>
      </c>
    </row>
    <row r="2195" spans="1:14" x14ac:dyDescent="0.35">
      <c r="A2195">
        <v>2194</v>
      </c>
      <c r="B2195" t="s">
        <v>16</v>
      </c>
      <c r="C2195">
        <v>54</v>
      </c>
      <c r="D2195" t="s">
        <v>28</v>
      </c>
      <c r="E2195" t="s">
        <v>18</v>
      </c>
      <c r="F2195">
        <v>167</v>
      </c>
      <c r="G2195">
        <v>73</v>
      </c>
      <c r="H2195">
        <v>0.31</v>
      </c>
      <c r="I2195" t="s">
        <v>15</v>
      </c>
      <c r="J2195">
        <v>0</v>
      </c>
      <c r="K2195">
        <v>1</v>
      </c>
      <c r="L2195">
        <v>0</v>
      </c>
      <c r="M2195">
        <f>VLOOKUP(Table1[[#This Row],[subscription_type]],Plans!$A$1:$B$5,2,FALSE)</f>
        <v>14.99</v>
      </c>
      <c r="N2195">
        <f t="shared" si="34"/>
        <v>0</v>
      </c>
    </row>
    <row r="2196" spans="1:14" x14ac:dyDescent="0.35">
      <c r="A2196">
        <v>2195</v>
      </c>
      <c r="B2196" t="s">
        <v>12</v>
      </c>
      <c r="C2196">
        <v>25</v>
      </c>
      <c r="D2196" t="s">
        <v>17</v>
      </c>
      <c r="E2196" t="s">
        <v>18</v>
      </c>
      <c r="F2196">
        <v>80</v>
      </c>
      <c r="G2196">
        <v>22</v>
      </c>
      <c r="H2196">
        <v>0.18</v>
      </c>
      <c r="I2196" t="s">
        <v>23</v>
      </c>
      <c r="J2196">
        <v>0</v>
      </c>
      <c r="K2196">
        <v>1</v>
      </c>
      <c r="L2196">
        <v>0</v>
      </c>
      <c r="M2196">
        <f>VLOOKUP(Table1[[#This Row],[subscription_type]],Plans!$A$1:$B$5,2,FALSE)</f>
        <v>14.99</v>
      </c>
      <c r="N2196">
        <f t="shared" si="34"/>
        <v>0</v>
      </c>
    </row>
    <row r="2197" spans="1:14" x14ac:dyDescent="0.35">
      <c r="A2197">
        <v>2196</v>
      </c>
      <c r="B2197" t="s">
        <v>12</v>
      </c>
      <c r="C2197">
        <v>57</v>
      </c>
      <c r="D2197" t="s">
        <v>27</v>
      </c>
      <c r="E2197" t="s">
        <v>22</v>
      </c>
      <c r="F2197">
        <v>194</v>
      </c>
      <c r="G2197">
        <v>55</v>
      </c>
      <c r="H2197">
        <v>0.01</v>
      </c>
      <c r="I2197" t="s">
        <v>23</v>
      </c>
      <c r="J2197">
        <v>0</v>
      </c>
      <c r="K2197">
        <v>1</v>
      </c>
      <c r="L2197">
        <v>0</v>
      </c>
      <c r="M2197">
        <f>VLOOKUP(Table1[[#This Row],[subscription_type]],Plans!$A$1:$B$5,2,FALSE)</f>
        <v>9.99</v>
      </c>
      <c r="N2197">
        <f t="shared" si="34"/>
        <v>0</v>
      </c>
    </row>
    <row r="2198" spans="1:14" x14ac:dyDescent="0.35">
      <c r="A2198">
        <v>2197</v>
      </c>
      <c r="B2198" t="s">
        <v>16</v>
      </c>
      <c r="C2198">
        <v>32</v>
      </c>
      <c r="D2198" t="s">
        <v>17</v>
      </c>
      <c r="E2198" t="s">
        <v>24</v>
      </c>
      <c r="F2198">
        <v>141</v>
      </c>
      <c r="G2198">
        <v>82</v>
      </c>
      <c r="H2198">
        <v>0.2</v>
      </c>
      <c r="I2198" t="s">
        <v>15</v>
      </c>
      <c r="J2198">
        <v>0</v>
      </c>
      <c r="K2198">
        <v>1</v>
      </c>
      <c r="L2198">
        <v>0</v>
      </c>
      <c r="M2198">
        <f>VLOOKUP(Table1[[#This Row],[subscription_type]],Plans!$A$1:$B$5,2,FALSE)</f>
        <v>4.99</v>
      </c>
      <c r="N2198">
        <f t="shared" si="34"/>
        <v>0</v>
      </c>
    </row>
    <row r="2199" spans="1:14" x14ac:dyDescent="0.35">
      <c r="A2199">
        <v>2198</v>
      </c>
      <c r="B2199" t="s">
        <v>16</v>
      </c>
      <c r="C2199">
        <v>45</v>
      </c>
      <c r="D2199" t="s">
        <v>13</v>
      </c>
      <c r="E2199" t="s">
        <v>14</v>
      </c>
      <c r="F2199">
        <v>91</v>
      </c>
      <c r="G2199">
        <v>28</v>
      </c>
      <c r="H2199">
        <v>0.43</v>
      </c>
      <c r="I2199" t="s">
        <v>19</v>
      </c>
      <c r="J2199">
        <v>26</v>
      </c>
      <c r="K2199">
        <v>0</v>
      </c>
      <c r="L2199">
        <v>0</v>
      </c>
      <c r="M2199">
        <f>VLOOKUP(Table1[[#This Row],[subscription_type]],Plans!$A$1:$B$5,2,FALSE)</f>
        <v>0</v>
      </c>
      <c r="N2199">
        <f t="shared" si="34"/>
        <v>0</v>
      </c>
    </row>
    <row r="2200" spans="1:14" x14ac:dyDescent="0.35">
      <c r="A2200">
        <v>2199</v>
      </c>
      <c r="B2200" t="s">
        <v>20</v>
      </c>
      <c r="C2200">
        <v>34</v>
      </c>
      <c r="D2200" t="s">
        <v>29</v>
      </c>
      <c r="E2200" t="s">
        <v>24</v>
      </c>
      <c r="F2200">
        <v>20</v>
      </c>
      <c r="G2200">
        <v>91</v>
      </c>
      <c r="H2200">
        <v>0.11</v>
      </c>
      <c r="I2200" t="s">
        <v>19</v>
      </c>
      <c r="J2200">
        <v>0</v>
      </c>
      <c r="K2200">
        <v>1</v>
      </c>
      <c r="L2200">
        <v>0</v>
      </c>
      <c r="M2200">
        <f>VLOOKUP(Table1[[#This Row],[subscription_type]],Plans!$A$1:$B$5,2,FALSE)</f>
        <v>4.99</v>
      </c>
      <c r="N2200">
        <f t="shared" si="34"/>
        <v>0</v>
      </c>
    </row>
    <row r="2201" spans="1:14" x14ac:dyDescent="0.35">
      <c r="A2201">
        <v>2200</v>
      </c>
      <c r="B2201" t="s">
        <v>12</v>
      </c>
      <c r="C2201">
        <v>58</v>
      </c>
      <c r="D2201" t="s">
        <v>21</v>
      </c>
      <c r="E2201" t="s">
        <v>22</v>
      </c>
      <c r="F2201">
        <v>250</v>
      </c>
      <c r="G2201">
        <v>78</v>
      </c>
      <c r="H2201">
        <v>0.19</v>
      </c>
      <c r="I2201" t="s">
        <v>15</v>
      </c>
      <c r="J2201">
        <v>0</v>
      </c>
      <c r="K2201">
        <v>1</v>
      </c>
      <c r="L2201">
        <v>0</v>
      </c>
      <c r="M2201">
        <f>VLOOKUP(Table1[[#This Row],[subscription_type]],Plans!$A$1:$B$5,2,FALSE)</f>
        <v>9.99</v>
      </c>
      <c r="N2201">
        <f t="shared" si="34"/>
        <v>0</v>
      </c>
    </row>
    <row r="2202" spans="1:14" x14ac:dyDescent="0.35">
      <c r="A2202">
        <v>2201</v>
      </c>
      <c r="B2202" t="s">
        <v>12</v>
      </c>
      <c r="C2202">
        <v>56</v>
      </c>
      <c r="D2202" t="s">
        <v>28</v>
      </c>
      <c r="E2202" t="s">
        <v>24</v>
      </c>
      <c r="F2202">
        <v>166</v>
      </c>
      <c r="G2202">
        <v>40</v>
      </c>
      <c r="H2202">
        <v>0.03</v>
      </c>
      <c r="I2202" t="s">
        <v>15</v>
      </c>
      <c r="J2202">
        <v>0</v>
      </c>
      <c r="K2202">
        <v>1</v>
      </c>
      <c r="L2202">
        <v>0</v>
      </c>
      <c r="M2202">
        <f>VLOOKUP(Table1[[#This Row],[subscription_type]],Plans!$A$1:$B$5,2,FALSE)</f>
        <v>4.99</v>
      </c>
      <c r="N2202">
        <f t="shared" si="34"/>
        <v>0</v>
      </c>
    </row>
    <row r="2203" spans="1:14" x14ac:dyDescent="0.35">
      <c r="A2203">
        <v>2202</v>
      </c>
      <c r="B2203" t="s">
        <v>16</v>
      </c>
      <c r="C2203">
        <v>38</v>
      </c>
      <c r="D2203" t="s">
        <v>26</v>
      </c>
      <c r="E2203" t="s">
        <v>22</v>
      </c>
      <c r="F2203">
        <v>149</v>
      </c>
      <c r="G2203">
        <v>98</v>
      </c>
      <c r="H2203">
        <v>0.46</v>
      </c>
      <c r="I2203" t="s">
        <v>19</v>
      </c>
      <c r="J2203">
        <v>0</v>
      </c>
      <c r="K2203">
        <v>1</v>
      </c>
      <c r="L2203">
        <v>0</v>
      </c>
      <c r="M2203">
        <f>VLOOKUP(Table1[[#This Row],[subscription_type]],Plans!$A$1:$B$5,2,FALSE)</f>
        <v>9.99</v>
      </c>
      <c r="N2203">
        <f t="shared" si="34"/>
        <v>0</v>
      </c>
    </row>
    <row r="2204" spans="1:14" x14ac:dyDescent="0.35">
      <c r="A2204">
        <v>2203</v>
      </c>
      <c r="B2204" t="s">
        <v>12</v>
      </c>
      <c r="C2204">
        <v>49</v>
      </c>
      <c r="D2204" t="s">
        <v>21</v>
      </c>
      <c r="E2204" t="s">
        <v>18</v>
      </c>
      <c r="F2204">
        <v>17</v>
      </c>
      <c r="G2204">
        <v>85</v>
      </c>
      <c r="H2204">
        <v>0.46</v>
      </c>
      <c r="I2204" t="s">
        <v>23</v>
      </c>
      <c r="J2204">
        <v>0</v>
      </c>
      <c r="K2204">
        <v>1</v>
      </c>
      <c r="L2204">
        <v>1</v>
      </c>
      <c r="M2204">
        <f>VLOOKUP(Table1[[#This Row],[subscription_type]],Plans!$A$1:$B$5,2,FALSE)</f>
        <v>14.99</v>
      </c>
      <c r="N2204">
        <f t="shared" si="34"/>
        <v>14.99</v>
      </c>
    </row>
    <row r="2205" spans="1:14" x14ac:dyDescent="0.35">
      <c r="A2205">
        <v>2204</v>
      </c>
      <c r="B2205" t="s">
        <v>12</v>
      </c>
      <c r="C2205">
        <v>24</v>
      </c>
      <c r="D2205" t="s">
        <v>26</v>
      </c>
      <c r="E2205" t="s">
        <v>22</v>
      </c>
      <c r="F2205">
        <v>128</v>
      </c>
      <c r="G2205">
        <v>59</v>
      </c>
      <c r="H2205">
        <v>0.15</v>
      </c>
      <c r="I2205" t="s">
        <v>19</v>
      </c>
      <c r="J2205">
        <v>0</v>
      </c>
      <c r="K2205">
        <v>1</v>
      </c>
      <c r="L2205">
        <v>0</v>
      </c>
      <c r="M2205">
        <f>VLOOKUP(Table1[[#This Row],[subscription_type]],Plans!$A$1:$B$5,2,FALSE)</f>
        <v>9.99</v>
      </c>
      <c r="N2205">
        <f t="shared" si="34"/>
        <v>0</v>
      </c>
    </row>
    <row r="2206" spans="1:14" x14ac:dyDescent="0.35">
      <c r="A2206">
        <v>2205</v>
      </c>
      <c r="B2206" t="s">
        <v>16</v>
      </c>
      <c r="C2206">
        <v>59</v>
      </c>
      <c r="D2206" t="s">
        <v>25</v>
      </c>
      <c r="E2206" t="s">
        <v>22</v>
      </c>
      <c r="F2206">
        <v>129</v>
      </c>
      <c r="G2206">
        <v>48</v>
      </c>
      <c r="H2206">
        <v>0.21</v>
      </c>
      <c r="I2206" t="s">
        <v>15</v>
      </c>
      <c r="J2206">
        <v>0</v>
      </c>
      <c r="K2206">
        <v>1</v>
      </c>
      <c r="L2206">
        <v>0</v>
      </c>
      <c r="M2206">
        <f>VLOOKUP(Table1[[#This Row],[subscription_type]],Plans!$A$1:$B$5,2,FALSE)</f>
        <v>9.99</v>
      </c>
      <c r="N2206">
        <f t="shared" si="34"/>
        <v>0</v>
      </c>
    </row>
    <row r="2207" spans="1:14" x14ac:dyDescent="0.35">
      <c r="A2207">
        <v>2206</v>
      </c>
      <c r="B2207" t="s">
        <v>20</v>
      </c>
      <c r="C2207">
        <v>45</v>
      </c>
      <c r="D2207" t="s">
        <v>28</v>
      </c>
      <c r="E2207" t="s">
        <v>14</v>
      </c>
      <c r="F2207">
        <v>136</v>
      </c>
      <c r="G2207">
        <v>37</v>
      </c>
      <c r="H2207">
        <v>0.4</v>
      </c>
      <c r="I2207" t="s">
        <v>15</v>
      </c>
      <c r="J2207">
        <v>5</v>
      </c>
      <c r="K2207">
        <v>0</v>
      </c>
      <c r="L2207">
        <v>0</v>
      </c>
      <c r="M2207">
        <f>VLOOKUP(Table1[[#This Row],[subscription_type]],Plans!$A$1:$B$5,2,FALSE)</f>
        <v>0</v>
      </c>
      <c r="N2207">
        <f t="shared" si="34"/>
        <v>0</v>
      </c>
    </row>
    <row r="2208" spans="1:14" x14ac:dyDescent="0.35">
      <c r="A2208">
        <v>2207</v>
      </c>
      <c r="B2208" t="s">
        <v>20</v>
      </c>
      <c r="C2208">
        <v>41</v>
      </c>
      <c r="D2208" t="s">
        <v>29</v>
      </c>
      <c r="E2208" t="s">
        <v>18</v>
      </c>
      <c r="F2208">
        <v>130</v>
      </c>
      <c r="G2208">
        <v>88</v>
      </c>
      <c r="H2208">
        <v>0.51</v>
      </c>
      <c r="I2208" t="s">
        <v>23</v>
      </c>
      <c r="J2208">
        <v>0</v>
      </c>
      <c r="K2208">
        <v>1</v>
      </c>
      <c r="L2208">
        <v>1</v>
      </c>
      <c r="M2208">
        <f>VLOOKUP(Table1[[#This Row],[subscription_type]],Plans!$A$1:$B$5,2,FALSE)</f>
        <v>14.99</v>
      </c>
      <c r="N2208">
        <f t="shared" si="34"/>
        <v>14.99</v>
      </c>
    </row>
    <row r="2209" spans="1:14" x14ac:dyDescent="0.35">
      <c r="A2209">
        <v>2208</v>
      </c>
      <c r="B2209" t="s">
        <v>12</v>
      </c>
      <c r="C2209">
        <v>34</v>
      </c>
      <c r="D2209" t="s">
        <v>17</v>
      </c>
      <c r="E2209" t="s">
        <v>24</v>
      </c>
      <c r="F2209">
        <v>179</v>
      </c>
      <c r="G2209">
        <v>96</v>
      </c>
      <c r="H2209">
        <v>0.54</v>
      </c>
      <c r="I2209" t="s">
        <v>23</v>
      </c>
      <c r="J2209">
        <v>0</v>
      </c>
      <c r="K2209">
        <v>1</v>
      </c>
      <c r="L2209">
        <v>0</v>
      </c>
      <c r="M2209">
        <f>VLOOKUP(Table1[[#This Row],[subscription_type]],Plans!$A$1:$B$5,2,FALSE)</f>
        <v>4.99</v>
      </c>
      <c r="N2209">
        <f t="shared" si="34"/>
        <v>0</v>
      </c>
    </row>
    <row r="2210" spans="1:14" x14ac:dyDescent="0.35">
      <c r="A2210">
        <v>2209</v>
      </c>
      <c r="B2210" t="s">
        <v>12</v>
      </c>
      <c r="C2210">
        <v>27</v>
      </c>
      <c r="D2210" t="s">
        <v>26</v>
      </c>
      <c r="E2210" t="s">
        <v>18</v>
      </c>
      <c r="F2210">
        <v>43</v>
      </c>
      <c r="G2210">
        <v>61</v>
      </c>
      <c r="H2210">
        <v>7.0000000000000007E-2</v>
      </c>
      <c r="I2210" t="s">
        <v>19</v>
      </c>
      <c r="J2210">
        <v>0</v>
      </c>
      <c r="K2210">
        <v>1</v>
      </c>
      <c r="L2210">
        <v>0</v>
      </c>
      <c r="M2210">
        <f>VLOOKUP(Table1[[#This Row],[subscription_type]],Plans!$A$1:$B$5,2,FALSE)</f>
        <v>14.99</v>
      </c>
      <c r="N2210">
        <f t="shared" si="34"/>
        <v>0</v>
      </c>
    </row>
    <row r="2211" spans="1:14" x14ac:dyDescent="0.35">
      <c r="A2211">
        <v>2210</v>
      </c>
      <c r="B2211" t="s">
        <v>12</v>
      </c>
      <c r="C2211">
        <v>58</v>
      </c>
      <c r="D2211" t="s">
        <v>29</v>
      </c>
      <c r="E2211" t="s">
        <v>14</v>
      </c>
      <c r="F2211">
        <v>260</v>
      </c>
      <c r="G2211">
        <v>49</v>
      </c>
      <c r="H2211">
        <v>0.11</v>
      </c>
      <c r="I2211" t="s">
        <v>23</v>
      </c>
      <c r="J2211">
        <v>34</v>
      </c>
      <c r="K2211">
        <v>0</v>
      </c>
      <c r="L2211">
        <v>0</v>
      </c>
      <c r="M2211">
        <f>VLOOKUP(Table1[[#This Row],[subscription_type]],Plans!$A$1:$B$5,2,FALSE)</f>
        <v>0</v>
      </c>
      <c r="N2211">
        <f t="shared" si="34"/>
        <v>0</v>
      </c>
    </row>
    <row r="2212" spans="1:14" x14ac:dyDescent="0.35">
      <c r="A2212">
        <v>2211</v>
      </c>
      <c r="B2212" t="s">
        <v>16</v>
      </c>
      <c r="C2212">
        <v>47</v>
      </c>
      <c r="D2212" t="s">
        <v>27</v>
      </c>
      <c r="E2212" t="s">
        <v>24</v>
      </c>
      <c r="F2212">
        <v>64</v>
      </c>
      <c r="G2212">
        <v>52</v>
      </c>
      <c r="H2212">
        <v>0.55000000000000004</v>
      </c>
      <c r="I2212" t="s">
        <v>19</v>
      </c>
      <c r="J2212">
        <v>0</v>
      </c>
      <c r="K2212">
        <v>1</v>
      </c>
      <c r="L2212">
        <v>0</v>
      </c>
      <c r="M2212">
        <f>VLOOKUP(Table1[[#This Row],[subscription_type]],Plans!$A$1:$B$5,2,FALSE)</f>
        <v>4.99</v>
      </c>
      <c r="N2212">
        <f t="shared" si="34"/>
        <v>0</v>
      </c>
    </row>
    <row r="2213" spans="1:14" x14ac:dyDescent="0.35">
      <c r="A2213">
        <v>2212</v>
      </c>
      <c r="B2213" t="s">
        <v>16</v>
      </c>
      <c r="C2213">
        <v>47</v>
      </c>
      <c r="D2213" t="s">
        <v>21</v>
      </c>
      <c r="E2213" t="s">
        <v>14</v>
      </c>
      <c r="F2213">
        <v>58</v>
      </c>
      <c r="G2213">
        <v>17</v>
      </c>
      <c r="H2213">
        <v>0.42</v>
      </c>
      <c r="I2213" t="s">
        <v>15</v>
      </c>
      <c r="J2213">
        <v>46</v>
      </c>
      <c r="K2213">
        <v>0</v>
      </c>
      <c r="L2213">
        <v>0</v>
      </c>
      <c r="M2213">
        <f>VLOOKUP(Table1[[#This Row],[subscription_type]],Plans!$A$1:$B$5,2,FALSE)</f>
        <v>0</v>
      </c>
      <c r="N2213">
        <f t="shared" si="34"/>
        <v>0</v>
      </c>
    </row>
    <row r="2214" spans="1:14" x14ac:dyDescent="0.35">
      <c r="A2214">
        <v>2213</v>
      </c>
      <c r="B2214" t="s">
        <v>16</v>
      </c>
      <c r="C2214">
        <v>55</v>
      </c>
      <c r="D2214" t="s">
        <v>28</v>
      </c>
      <c r="E2214" t="s">
        <v>24</v>
      </c>
      <c r="F2214">
        <v>276</v>
      </c>
      <c r="G2214">
        <v>78</v>
      </c>
      <c r="H2214">
        <v>0.1</v>
      </c>
      <c r="I2214" t="s">
        <v>15</v>
      </c>
      <c r="J2214">
        <v>0</v>
      </c>
      <c r="K2214">
        <v>1</v>
      </c>
      <c r="L2214">
        <v>1</v>
      </c>
      <c r="M2214">
        <f>VLOOKUP(Table1[[#This Row],[subscription_type]],Plans!$A$1:$B$5,2,FALSE)</f>
        <v>4.99</v>
      </c>
      <c r="N2214">
        <f t="shared" si="34"/>
        <v>4.99</v>
      </c>
    </row>
    <row r="2215" spans="1:14" x14ac:dyDescent="0.35">
      <c r="A2215">
        <v>2214</v>
      </c>
      <c r="B2215" t="s">
        <v>16</v>
      </c>
      <c r="C2215">
        <v>16</v>
      </c>
      <c r="D2215" t="s">
        <v>26</v>
      </c>
      <c r="E2215" t="s">
        <v>22</v>
      </c>
      <c r="F2215">
        <v>130</v>
      </c>
      <c r="G2215">
        <v>80</v>
      </c>
      <c r="H2215">
        <v>0.51</v>
      </c>
      <c r="I2215" t="s">
        <v>15</v>
      </c>
      <c r="J2215">
        <v>0</v>
      </c>
      <c r="K2215">
        <v>1</v>
      </c>
      <c r="L2215">
        <v>0</v>
      </c>
      <c r="M2215">
        <f>VLOOKUP(Table1[[#This Row],[subscription_type]],Plans!$A$1:$B$5,2,FALSE)</f>
        <v>9.99</v>
      </c>
      <c r="N2215">
        <f t="shared" si="34"/>
        <v>0</v>
      </c>
    </row>
    <row r="2216" spans="1:14" x14ac:dyDescent="0.35">
      <c r="A2216">
        <v>2215</v>
      </c>
      <c r="B2216" t="s">
        <v>20</v>
      </c>
      <c r="C2216">
        <v>42</v>
      </c>
      <c r="D2216" t="s">
        <v>28</v>
      </c>
      <c r="E2216" t="s">
        <v>24</v>
      </c>
      <c r="F2216">
        <v>53</v>
      </c>
      <c r="G2216">
        <v>72</v>
      </c>
      <c r="H2216">
        <v>0.5</v>
      </c>
      <c r="I2216" t="s">
        <v>19</v>
      </c>
      <c r="J2216">
        <v>0</v>
      </c>
      <c r="K2216">
        <v>1</v>
      </c>
      <c r="L2216">
        <v>1</v>
      </c>
      <c r="M2216">
        <f>VLOOKUP(Table1[[#This Row],[subscription_type]],Plans!$A$1:$B$5,2,FALSE)</f>
        <v>4.99</v>
      </c>
      <c r="N2216">
        <f t="shared" si="34"/>
        <v>4.99</v>
      </c>
    </row>
    <row r="2217" spans="1:14" x14ac:dyDescent="0.35">
      <c r="A2217">
        <v>2216</v>
      </c>
      <c r="B2217" t="s">
        <v>12</v>
      </c>
      <c r="C2217">
        <v>21</v>
      </c>
      <c r="D2217" t="s">
        <v>13</v>
      </c>
      <c r="E2217" t="s">
        <v>22</v>
      </c>
      <c r="F2217">
        <v>184</v>
      </c>
      <c r="G2217">
        <v>22</v>
      </c>
      <c r="H2217">
        <v>0.4</v>
      </c>
      <c r="I2217" t="s">
        <v>23</v>
      </c>
      <c r="J2217">
        <v>0</v>
      </c>
      <c r="K2217">
        <v>1</v>
      </c>
      <c r="L2217">
        <v>0</v>
      </c>
      <c r="M2217">
        <f>VLOOKUP(Table1[[#This Row],[subscription_type]],Plans!$A$1:$B$5,2,FALSE)</f>
        <v>9.99</v>
      </c>
      <c r="N2217">
        <f t="shared" si="34"/>
        <v>0</v>
      </c>
    </row>
    <row r="2218" spans="1:14" x14ac:dyDescent="0.35">
      <c r="A2218">
        <v>2217</v>
      </c>
      <c r="B2218" t="s">
        <v>16</v>
      </c>
      <c r="C2218">
        <v>22</v>
      </c>
      <c r="D2218" t="s">
        <v>26</v>
      </c>
      <c r="E2218" t="s">
        <v>18</v>
      </c>
      <c r="F2218">
        <v>209</v>
      </c>
      <c r="G2218">
        <v>21</v>
      </c>
      <c r="H2218">
        <v>0.56000000000000005</v>
      </c>
      <c r="I2218" t="s">
        <v>19</v>
      </c>
      <c r="J2218">
        <v>0</v>
      </c>
      <c r="K2218">
        <v>1</v>
      </c>
      <c r="L2218">
        <v>0</v>
      </c>
      <c r="M2218">
        <f>VLOOKUP(Table1[[#This Row],[subscription_type]],Plans!$A$1:$B$5,2,FALSE)</f>
        <v>14.99</v>
      </c>
      <c r="N2218">
        <f t="shared" si="34"/>
        <v>0</v>
      </c>
    </row>
    <row r="2219" spans="1:14" x14ac:dyDescent="0.35">
      <c r="A2219">
        <v>2218</v>
      </c>
      <c r="B2219" t="s">
        <v>12</v>
      </c>
      <c r="C2219">
        <v>23</v>
      </c>
      <c r="D2219" t="s">
        <v>17</v>
      </c>
      <c r="E2219" t="s">
        <v>14</v>
      </c>
      <c r="F2219">
        <v>168</v>
      </c>
      <c r="G2219">
        <v>18</v>
      </c>
      <c r="H2219">
        <v>0.46</v>
      </c>
      <c r="I2219" t="s">
        <v>19</v>
      </c>
      <c r="J2219">
        <v>6</v>
      </c>
      <c r="K2219">
        <v>0</v>
      </c>
      <c r="L2219">
        <v>0</v>
      </c>
      <c r="M2219">
        <f>VLOOKUP(Table1[[#This Row],[subscription_type]],Plans!$A$1:$B$5,2,FALSE)</f>
        <v>0</v>
      </c>
      <c r="N2219">
        <f t="shared" si="34"/>
        <v>0</v>
      </c>
    </row>
    <row r="2220" spans="1:14" x14ac:dyDescent="0.35">
      <c r="A2220">
        <v>2219</v>
      </c>
      <c r="B2220" t="s">
        <v>12</v>
      </c>
      <c r="C2220">
        <v>55</v>
      </c>
      <c r="D2220" t="s">
        <v>21</v>
      </c>
      <c r="E2220" t="s">
        <v>24</v>
      </c>
      <c r="F2220">
        <v>27</v>
      </c>
      <c r="G2220">
        <v>20</v>
      </c>
      <c r="H2220">
        <v>0.44</v>
      </c>
      <c r="I2220" t="s">
        <v>19</v>
      </c>
      <c r="J2220">
        <v>0</v>
      </c>
      <c r="K2220">
        <v>1</v>
      </c>
      <c r="L2220">
        <v>1</v>
      </c>
      <c r="M2220">
        <f>VLOOKUP(Table1[[#This Row],[subscription_type]],Plans!$A$1:$B$5,2,FALSE)</f>
        <v>4.99</v>
      </c>
      <c r="N2220">
        <f t="shared" si="34"/>
        <v>4.99</v>
      </c>
    </row>
    <row r="2221" spans="1:14" x14ac:dyDescent="0.35">
      <c r="A2221">
        <v>2220</v>
      </c>
      <c r="B2221" t="s">
        <v>16</v>
      </c>
      <c r="C2221">
        <v>33</v>
      </c>
      <c r="D2221" t="s">
        <v>29</v>
      </c>
      <c r="E2221" t="s">
        <v>24</v>
      </c>
      <c r="F2221">
        <v>54</v>
      </c>
      <c r="G2221">
        <v>63</v>
      </c>
      <c r="H2221">
        <v>0.02</v>
      </c>
      <c r="I2221" t="s">
        <v>19</v>
      </c>
      <c r="J2221">
        <v>0</v>
      </c>
      <c r="K2221">
        <v>1</v>
      </c>
      <c r="L2221">
        <v>1</v>
      </c>
      <c r="M2221">
        <f>VLOOKUP(Table1[[#This Row],[subscription_type]],Plans!$A$1:$B$5,2,FALSE)</f>
        <v>4.99</v>
      </c>
      <c r="N2221">
        <f t="shared" si="34"/>
        <v>4.99</v>
      </c>
    </row>
    <row r="2222" spans="1:14" x14ac:dyDescent="0.35">
      <c r="A2222">
        <v>2221</v>
      </c>
      <c r="B2222" t="s">
        <v>16</v>
      </c>
      <c r="C2222">
        <v>57</v>
      </c>
      <c r="D2222" t="s">
        <v>27</v>
      </c>
      <c r="E2222" t="s">
        <v>14</v>
      </c>
      <c r="F2222">
        <v>22</v>
      </c>
      <c r="G2222">
        <v>80</v>
      </c>
      <c r="H2222">
        <v>0.6</v>
      </c>
      <c r="I2222" t="s">
        <v>23</v>
      </c>
      <c r="J2222">
        <v>22</v>
      </c>
      <c r="K2222">
        <v>0</v>
      </c>
      <c r="L2222">
        <v>0</v>
      </c>
      <c r="M2222">
        <f>VLOOKUP(Table1[[#This Row],[subscription_type]],Plans!$A$1:$B$5,2,FALSE)</f>
        <v>0</v>
      </c>
      <c r="N2222">
        <f t="shared" si="34"/>
        <v>0</v>
      </c>
    </row>
    <row r="2223" spans="1:14" x14ac:dyDescent="0.35">
      <c r="A2223">
        <v>2222</v>
      </c>
      <c r="B2223" t="s">
        <v>20</v>
      </c>
      <c r="C2223">
        <v>33</v>
      </c>
      <c r="D2223" t="s">
        <v>28</v>
      </c>
      <c r="E2223" t="s">
        <v>22</v>
      </c>
      <c r="F2223">
        <v>87</v>
      </c>
      <c r="G2223">
        <v>83</v>
      </c>
      <c r="H2223">
        <v>0.46</v>
      </c>
      <c r="I2223" t="s">
        <v>15</v>
      </c>
      <c r="J2223">
        <v>0</v>
      </c>
      <c r="K2223">
        <v>1</v>
      </c>
      <c r="L2223">
        <v>0</v>
      </c>
      <c r="M2223">
        <f>VLOOKUP(Table1[[#This Row],[subscription_type]],Plans!$A$1:$B$5,2,FALSE)</f>
        <v>9.99</v>
      </c>
      <c r="N2223">
        <f t="shared" si="34"/>
        <v>0</v>
      </c>
    </row>
    <row r="2224" spans="1:14" x14ac:dyDescent="0.35">
      <c r="A2224">
        <v>2223</v>
      </c>
      <c r="B2224" t="s">
        <v>16</v>
      </c>
      <c r="C2224">
        <v>42</v>
      </c>
      <c r="D2224" t="s">
        <v>29</v>
      </c>
      <c r="E2224" t="s">
        <v>18</v>
      </c>
      <c r="F2224">
        <v>198</v>
      </c>
      <c r="G2224">
        <v>71</v>
      </c>
      <c r="H2224">
        <v>0.44</v>
      </c>
      <c r="I2224" t="s">
        <v>23</v>
      </c>
      <c r="J2224">
        <v>0</v>
      </c>
      <c r="K2224">
        <v>1</v>
      </c>
      <c r="L2224">
        <v>0</v>
      </c>
      <c r="M2224">
        <f>VLOOKUP(Table1[[#This Row],[subscription_type]],Plans!$A$1:$B$5,2,FALSE)</f>
        <v>14.99</v>
      </c>
      <c r="N2224">
        <f t="shared" si="34"/>
        <v>0</v>
      </c>
    </row>
    <row r="2225" spans="1:14" x14ac:dyDescent="0.35">
      <c r="A2225">
        <v>2224</v>
      </c>
      <c r="B2225" t="s">
        <v>12</v>
      </c>
      <c r="C2225">
        <v>48</v>
      </c>
      <c r="D2225" t="s">
        <v>28</v>
      </c>
      <c r="E2225" t="s">
        <v>18</v>
      </c>
      <c r="F2225">
        <v>252</v>
      </c>
      <c r="G2225">
        <v>34</v>
      </c>
      <c r="H2225">
        <v>0.48</v>
      </c>
      <c r="I2225" t="s">
        <v>15</v>
      </c>
      <c r="J2225">
        <v>0</v>
      </c>
      <c r="K2225">
        <v>1</v>
      </c>
      <c r="L2225">
        <v>0</v>
      </c>
      <c r="M2225">
        <f>VLOOKUP(Table1[[#This Row],[subscription_type]],Plans!$A$1:$B$5,2,FALSE)</f>
        <v>14.99</v>
      </c>
      <c r="N2225">
        <f t="shared" si="34"/>
        <v>0</v>
      </c>
    </row>
    <row r="2226" spans="1:14" x14ac:dyDescent="0.35">
      <c r="A2226">
        <v>2225</v>
      </c>
      <c r="B2226" t="s">
        <v>20</v>
      </c>
      <c r="C2226">
        <v>43</v>
      </c>
      <c r="D2226" t="s">
        <v>25</v>
      </c>
      <c r="E2226" t="s">
        <v>18</v>
      </c>
      <c r="F2226">
        <v>50</v>
      </c>
      <c r="G2226">
        <v>19</v>
      </c>
      <c r="H2226">
        <v>0.38</v>
      </c>
      <c r="I2226" t="s">
        <v>15</v>
      </c>
      <c r="J2226">
        <v>0</v>
      </c>
      <c r="K2226">
        <v>1</v>
      </c>
      <c r="L2226">
        <v>0</v>
      </c>
      <c r="M2226">
        <f>VLOOKUP(Table1[[#This Row],[subscription_type]],Plans!$A$1:$B$5,2,FALSE)</f>
        <v>14.99</v>
      </c>
      <c r="N2226">
        <f t="shared" si="34"/>
        <v>0</v>
      </c>
    </row>
    <row r="2227" spans="1:14" x14ac:dyDescent="0.35">
      <c r="A2227">
        <v>2226</v>
      </c>
      <c r="B2227" t="s">
        <v>12</v>
      </c>
      <c r="C2227">
        <v>39</v>
      </c>
      <c r="D2227" t="s">
        <v>28</v>
      </c>
      <c r="E2227" t="s">
        <v>24</v>
      </c>
      <c r="F2227">
        <v>171</v>
      </c>
      <c r="G2227">
        <v>18</v>
      </c>
      <c r="H2227">
        <v>0.04</v>
      </c>
      <c r="I2227" t="s">
        <v>19</v>
      </c>
      <c r="J2227">
        <v>0</v>
      </c>
      <c r="K2227">
        <v>1</v>
      </c>
      <c r="L2227">
        <v>1</v>
      </c>
      <c r="M2227">
        <f>VLOOKUP(Table1[[#This Row],[subscription_type]],Plans!$A$1:$B$5,2,FALSE)</f>
        <v>4.99</v>
      </c>
      <c r="N2227">
        <f t="shared" si="34"/>
        <v>4.99</v>
      </c>
    </row>
    <row r="2228" spans="1:14" x14ac:dyDescent="0.35">
      <c r="A2228">
        <v>2227</v>
      </c>
      <c r="B2228" t="s">
        <v>12</v>
      </c>
      <c r="C2228">
        <v>22</v>
      </c>
      <c r="D2228" t="s">
        <v>26</v>
      </c>
      <c r="E2228" t="s">
        <v>14</v>
      </c>
      <c r="F2228">
        <v>175</v>
      </c>
      <c r="G2228">
        <v>78</v>
      </c>
      <c r="H2228">
        <v>0.38</v>
      </c>
      <c r="I2228" t="s">
        <v>23</v>
      </c>
      <c r="J2228">
        <v>31</v>
      </c>
      <c r="K2228">
        <v>0</v>
      </c>
      <c r="L2228">
        <v>0</v>
      </c>
      <c r="M2228">
        <f>VLOOKUP(Table1[[#This Row],[subscription_type]],Plans!$A$1:$B$5,2,FALSE)</f>
        <v>0</v>
      </c>
      <c r="N2228">
        <f t="shared" si="34"/>
        <v>0</v>
      </c>
    </row>
    <row r="2229" spans="1:14" x14ac:dyDescent="0.35">
      <c r="A2229">
        <v>2228</v>
      </c>
      <c r="B2229" t="s">
        <v>16</v>
      </c>
      <c r="C2229">
        <v>34</v>
      </c>
      <c r="D2229" t="s">
        <v>29</v>
      </c>
      <c r="E2229" t="s">
        <v>18</v>
      </c>
      <c r="F2229">
        <v>213</v>
      </c>
      <c r="G2229">
        <v>79</v>
      </c>
      <c r="H2229">
        <v>0.51</v>
      </c>
      <c r="I2229" t="s">
        <v>23</v>
      </c>
      <c r="J2229">
        <v>0</v>
      </c>
      <c r="K2229">
        <v>1</v>
      </c>
      <c r="L2229">
        <v>1</v>
      </c>
      <c r="M2229">
        <f>VLOOKUP(Table1[[#This Row],[subscription_type]],Plans!$A$1:$B$5,2,FALSE)</f>
        <v>14.99</v>
      </c>
      <c r="N2229">
        <f t="shared" si="34"/>
        <v>14.99</v>
      </c>
    </row>
    <row r="2230" spans="1:14" x14ac:dyDescent="0.35">
      <c r="A2230">
        <v>2229</v>
      </c>
      <c r="B2230" t="s">
        <v>20</v>
      </c>
      <c r="C2230">
        <v>28</v>
      </c>
      <c r="D2230" t="s">
        <v>27</v>
      </c>
      <c r="E2230" t="s">
        <v>18</v>
      </c>
      <c r="F2230">
        <v>83</v>
      </c>
      <c r="G2230">
        <v>38</v>
      </c>
      <c r="H2230">
        <v>0.27</v>
      </c>
      <c r="I2230" t="s">
        <v>15</v>
      </c>
      <c r="J2230">
        <v>0</v>
      </c>
      <c r="K2230">
        <v>1</v>
      </c>
      <c r="L2230">
        <v>0</v>
      </c>
      <c r="M2230">
        <f>VLOOKUP(Table1[[#This Row],[subscription_type]],Plans!$A$1:$B$5,2,FALSE)</f>
        <v>14.99</v>
      </c>
      <c r="N2230">
        <f t="shared" si="34"/>
        <v>0</v>
      </c>
    </row>
    <row r="2231" spans="1:14" x14ac:dyDescent="0.35">
      <c r="A2231">
        <v>2230</v>
      </c>
      <c r="B2231" t="s">
        <v>12</v>
      </c>
      <c r="C2231">
        <v>17</v>
      </c>
      <c r="D2231" t="s">
        <v>13</v>
      </c>
      <c r="E2231" t="s">
        <v>24</v>
      </c>
      <c r="F2231">
        <v>235</v>
      </c>
      <c r="G2231">
        <v>73</v>
      </c>
      <c r="H2231">
        <v>0.03</v>
      </c>
      <c r="I2231" t="s">
        <v>23</v>
      </c>
      <c r="J2231">
        <v>0</v>
      </c>
      <c r="K2231">
        <v>1</v>
      </c>
      <c r="L2231">
        <v>0</v>
      </c>
      <c r="M2231">
        <f>VLOOKUP(Table1[[#This Row],[subscription_type]],Plans!$A$1:$B$5,2,FALSE)</f>
        <v>4.99</v>
      </c>
      <c r="N2231">
        <f t="shared" si="34"/>
        <v>0</v>
      </c>
    </row>
    <row r="2232" spans="1:14" x14ac:dyDescent="0.35">
      <c r="A2232">
        <v>2231</v>
      </c>
      <c r="B2232" t="s">
        <v>20</v>
      </c>
      <c r="C2232">
        <v>30</v>
      </c>
      <c r="D2232" t="s">
        <v>28</v>
      </c>
      <c r="E2232" t="s">
        <v>22</v>
      </c>
      <c r="F2232">
        <v>276</v>
      </c>
      <c r="G2232">
        <v>30</v>
      </c>
      <c r="H2232">
        <v>0.17</v>
      </c>
      <c r="I2232" t="s">
        <v>19</v>
      </c>
      <c r="J2232">
        <v>0</v>
      </c>
      <c r="K2232">
        <v>1</v>
      </c>
      <c r="L2232">
        <v>1</v>
      </c>
      <c r="M2232">
        <f>VLOOKUP(Table1[[#This Row],[subscription_type]],Plans!$A$1:$B$5,2,FALSE)</f>
        <v>9.99</v>
      </c>
      <c r="N2232">
        <f t="shared" si="34"/>
        <v>9.99</v>
      </c>
    </row>
    <row r="2233" spans="1:14" x14ac:dyDescent="0.35">
      <c r="A2233">
        <v>2232</v>
      </c>
      <c r="B2233" t="s">
        <v>20</v>
      </c>
      <c r="C2233">
        <v>16</v>
      </c>
      <c r="D2233" t="s">
        <v>13</v>
      </c>
      <c r="E2233" t="s">
        <v>24</v>
      </c>
      <c r="F2233">
        <v>229</v>
      </c>
      <c r="G2233">
        <v>13</v>
      </c>
      <c r="H2233">
        <v>0.59</v>
      </c>
      <c r="I2233" t="s">
        <v>15</v>
      </c>
      <c r="J2233">
        <v>0</v>
      </c>
      <c r="K2233">
        <v>1</v>
      </c>
      <c r="L2233">
        <v>1</v>
      </c>
      <c r="M2233">
        <f>VLOOKUP(Table1[[#This Row],[subscription_type]],Plans!$A$1:$B$5,2,FALSE)</f>
        <v>4.99</v>
      </c>
      <c r="N2233">
        <f t="shared" si="34"/>
        <v>4.99</v>
      </c>
    </row>
    <row r="2234" spans="1:14" x14ac:dyDescent="0.35">
      <c r="A2234">
        <v>2233</v>
      </c>
      <c r="B2234" t="s">
        <v>16</v>
      </c>
      <c r="C2234">
        <v>16</v>
      </c>
      <c r="D2234" t="s">
        <v>28</v>
      </c>
      <c r="E2234" t="s">
        <v>14</v>
      </c>
      <c r="F2234">
        <v>94</v>
      </c>
      <c r="G2234">
        <v>39</v>
      </c>
      <c r="H2234">
        <v>0.08</v>
      </c>
      <c r="I2234" t="s">
        <v>15</v>
      </c>
      <c r="J2234">
        <v>35</v>
      </c>
      <c r="K2234">
        <v>0</v>
      </c>
      <c r="L2234">
        <v>0</v>
      </c>
      <c r="M2234">
        <f>VLOOKUP(Table1[[#This Row],[subscription_type]],Plans!$A$1:$B$5,2,FALSE)</f>
        <v>0</v>
      </c>
      <c r="N2234">
        <f t="shared" si="34"/>
        <v>0</v>
      </c>
    </row>
    <row r="2235" spans="1:14" x14ac:dyDescent="0.35">
      <c r="A2235">
        <v>2234</v>
      </c>
      <c r="B2235" t="s">
        <v>20</v>
      </c>
      <c r="C2235">
        <v>34</v>
      </c>
      <c r="D2235" t="s">
        <v>26</v>
      </c>
      <c r="E2235" t="s">
        <v>22</v>
      </c>
      <c r="F2235">
        <v>201</v>
      </c>
      <c r="G2235">
        <v>41</v>
      </c>
      <c r="H2235">
        <v>0.44</v>
      </c>
      <c r="I2235" t="s">
        <v>15</v>
      </c>
      <c r="J2235">
        <v>0</v>
      </c>
      <c r="K2235">
        <v>1</v>
      </c>
      <c r="L2235">
        <v>1</v>
      </c>
      <c r="M2235">
        <f>VLOOKUP(Table1[[#This Row],[subscription_type]],Plans!$A$1:$B$5,2,FALSE)</f>
        <v>9.99</v>
      </c>
      <c r="N2235">
        <f t="shared" si="34"/>
        <v>9.99</v>
      </c>
    </row>
    <row r="2236" spans="1:14" x14ac:dyDescent="0.35">
      <c r="A2236">
        <v>2235</v>
      </c>
      <c r="B2236" t="s">
        <v>20</v>
      </c>
      <c r="C2236">
        <v>57</v>
      </c>
      <c r="D2236" t="s">
        <v>29</v>
      </c>
      <c r="E2236" t="s">
        <v>22</v>
      </c>
      <c r="F2236">
        <v>90</v>
      </c>
      <c r="G2236">
        <v>86</v>
      </c>
      <c r="H2236">
        <v>0.56000000000000005</v>
      </c>
      <c r="I2236" t="s">
        <v>19</v>
      </c>
      <c r="J2236">
        <v>0</v>
      </c>
      <c r="K2236">
        <v>1</v>
      </c>
      <c r="L2236">
        <v>0</v>
      </c>
      <c r="M2236">
        <f>VLOOKUP(Table1[[#This Row],[subscription_type]],Plans!$A$1:$B$5,2,FALSE)</f>
        <v>9.99</v>
      </c>
      <c r="N2236">
        <f t="shared" si="34"/>
        <v>0</v>
      </c>
    </row>
    <row r="2237" spans="1:14" x14ac:dyDescent="0.35">
      <c r="A2237">
        <v>2236</v>
      </c>
      <c r="B2237" t="s">
        <v>20</v>
      </c>
      <c r="C2237">
        <v>42</v>
      </c>
      <c r="D2237" t="s">
        <v>21</v>
      </c>
      <c r="E2237" t="s">
        <v>24</v>
      </c>
      <c r="F2237">
        <v>77</v>
      </c>
      <c r="G2237">
        <v>13</v>
      </c>
      <c r="H2237">
        <v>0</v>
      </c>
      <c r="I2237" t="s">
        <v>19</v>
      </c>
      <c r="J2237">
        <v>0</v>
      </c>
      <c r="K2237">
        <v>1</v>
      </c>
      <c r="L2237">
        <v>0</v>
      </c>
      <c r="M2237">
        <f>VLOOKUP(Table1[[#This Row],[subscription_type]],Plans!$A$1:$B$5,2,FALSE)</f>
        <v>4.99</v>
      </c>
      <c r="N2237">
        <f t="shared" si="34"/>
        <v>0</v>
      </c>
    </row>
    <row r="2238" spans="1:14" x14ac:dyDescent="0.35">
      <c r="A2238">
        <v>2237</v>
      </c>
      <c r="B2238" t="s">
        <v>16</v>
      </c>
      <c r="C2238">
        <v>37</v>
      </c>
      <c r="D2238" t="s">
        <v>13</v>
      </c>
      <c r="E2238" t="s">
        <v>14</v>
      </c>
      <c r="F2238">
        <v>94</v>
      </c>
      <c r="G2238">
        <v>91</v>
      </c>
      <c r="H2238">
        <v>0.02</v>
      </c>
      <c r="I2238" t="s">
        <v>15</v>
      </c>
      <c r="J2238">
        <v>10</v>
      </c>
      <c r="K2238">
        <v>0</v>
      </c>
      <c r="L2238">
        <v>0</v>
      </c>
      <c r="M2238">
        <f>VLOOKUP(Table1[[#This Row],[subscription_type]],Plans!$A$1:$B$5,2,FALSE)</f>
        <v>0</v>
      </c>
      <c r="N2238">
        <f t="shared" si="34"/>
        <v>0</v>
      </c>
    </row>
    <row r="2239" spans="1:14" x14ac:dyDescent="0.35">
      <c r="A2239">
        <v>2238</v>
      </c>
      <c r="B2239" t="s">
        <v>16</v>
      </c>
      <c r="C2239">
        <v>31</v>
      </c>
      <c r="D2239" t="s">
        <v>13</v>
      </c>
      <c r="E2239" t="s">
        <v>24</v>
      </c>
      <c r="F2239">
        <v>166</v>
      </c>
      <c r="G2239">
        <v>84</v>
      </c>
      <c r="H2239">
        <v>0.49</v>
      </c>
      <c r="I2239" t="s">
        <v>23</v>
      </c>
      <c r="J2239">
        <v>0</v>
      </c>
      <c r="K2239">
        <v>1</v>
      </c>
      <c r="L2239">
        <v>0</v>
      </c>
      <c r="M2239">
        <f>VLOOKUP(Table1[[#This Row],[subscription_type]],Plans!$A$1:$B$5,2,FALSE)</f>
        <v>4.99</v>
      </c>
      <c r="N2239">
        <f t="shared" si="34"/>
        <v>0</v>
      </c>
    </row>
    <row r="2240" spans="1:14" x14ac:dyDescent="0.35">
      <c r="A2240">
        <v>2239</v>
      </c>
      <c r="B2240" t="s">
        <v>12</v>
      </c>
      <c r="C2240">
        <v>40</v>
      </c>
      <c r="D2240" t="s">
        <v>17</v>
      </c>
      <c r="E2240" t="s">
        <v>22</v>
      </c>
      <c r="F2240">
        <v>235</v>
      </c>
      <c r="G2240">
        <v>43</v>
      </c>
      <c r="H2240">
        <v>0.56999999999999995</v>
      </c>
      <c r="I2240" t="s">
        <v>19</v>
      </c>
      <c r="J2240">
        <v>0</v>
      </c>
      <c r="K2240">
        <v>1</v>
      </c>
      <c r="L2240">
        <v>0</v>
      </c>
      <c r="M2240">
        <f>VLOOKUP(Table1[[#This Row],[subscription_type]],Plans!$A$1:$B$5,2,FALSE)</f>
        <v>9.99</v>
      </c>
      <c r="N2240">
        <f t="shared" si="34"/>
        <v>0</v>
      </c>
    </row>
    <row r="2241" spans="1:14" x14ac:dyDescent="0.35">
      <c r="A2241">
        <v>2240</v>
      </c>
      <c r="B2241" t="s">
        <v>16</v>
      </c>
      <c r="C2241">
        <v>37</v>
      </c>
      <c r="D2241" t="s">
        <v>26</v>
      </c>
      <c r="E2241" t="s">
        <v>24</v>
      </c>
      <c r="F2241">
        <v>105</v>
      </c>
      <c r="G2241">
        <v>70</v>
      </c>
      <c r="H2241">
        <v>0.15</v>
      </c>
      <c r="I2241" t="s">
        <v>23</v>
      </c>
      <c r="J2241">
        <v>0</v>
      </c>
      <c r="K2241">
        <v>1</v>
      </c>
      <c r="L2241">
        <v>0</v>
      </c>
      <c r="M2241">
        <f>VLOOKUP(Table1[[#This Row],[subscription_type]],Plans!$A$1:$B$5,2,FALSE)</f>
        <v>4.99</v>
      </c>
      <c r="N2241">
        <f t="shared" si="34"/>
        <v>0</v>
      </c>
    </row>
    <row r="2242" spans="1:14" x14ac:dyDescent="0.35">
      <c r="A2242">
        <v>2241</v>
      </c>
      <c r="B2242" t="s">
        <v>12</v>
      </c>
      <c r="C2242">
        <v>56</v>
      </c>
      <c r="D2242" t="s">
        <v>27</v>
      </c>
      <c r="E2242" t="s">
        <v>22</v>
      </c>
      <c r="F2242">
        <v>97</v>
      </c>
      <c r="G2242">
        <v>56</v>
      </c>
      <c r="H2242">
        <v>0.42</v>
      </c>
      <c r="I2242" t="s">
        <v>15</v>
      </c>
      <c r="J2242">
        <v>0</v>
      </c>
      <c r="K2242">
        <v>1</v>
      </c>
      <c r="L2242">
        <v>0</v>
      </c>
      <c r="M2242">
        <f>VLOOKUP(Table1[[#This Row],[subscription_type]],Plans!$A$1:$B$5,2,FALSE)</f>
        <v>9.99</v>
      </c>
      <c r="N2242">
        <f t="shared" ref="N2242:N2305" si="35">IF(L2242=1, M2242,0)</f>
        <v>0</v>
      </c>
    </row>
    <row r="2243" spans="1:14" x14ac:dyDescent="0.35">
      <c r="A2243">
        <v>2242</v>
      </c>
      <c r="B2243" t="s">
        <v>12</v>
      </c>
      <c r="C2243">
        <v>46</v>
      </c>
      <c r="D2243" t="s">
        <v>17</v>
      </c>
      <c r="E2243" t="s">
        <v>24</v>
      </c>
      <c r="F2243">
        <v>168</v>
      </c>
      <c r="G2243">
        <v>81</v>
      </c>
      <c r="H2243">
        <v>0.09</v>
      </c>
      <c r="I2243" t="s">
        <v>23</v>
      </c>
      <c r="J2243">
        <v>0</v>
      </c>
      <c r="K2243">
        <v>1</v>
      </c>
      <c r="L2243">
        <v>0</v>
      </c>
      <c r="M2243">
        <f>VLOOKUP(Table1[[#This Row],[subscription_type]],Plans!$A$1:$B$5,2,FALSE)</f>
        <v>4.99</v>
      </c>
      <c r="N2243">
        <f t="shared" si="35"/>
        <v>0</v>
      </c>
    </row>
    <row r="2244" spans="1:14" x14ac:dyDescent="0.35">
      <c r="A2244">
        <v>2243</v>
      </c>
      <c r="B2244" t="s">
        <v>12</v>
      </c>
      <c r="C2244">
        <v>25</v>
      </c>
      <c r="D2244" t="s">
        <v>27</v>
      </c>
      <c r="E2244" t="s">
        <v>14</v>
      </c>
      <c r="F2244">
        <v>19</v>
      </c>
      <c r="G2244">
        <v>52</v>
      </c>
      <c r="H2244">
        <v>0.35</v>
      </c>
      <c r="I2244" t="s">
        <v>15</v>
      </c>
      <c r="J2244">
        <v>17</v>
      </c>
      <c r="K2244">
        <v>0</v>
      </c>
      <c r="L2244">
        <v>0</v>
      </c>
      <c r="M2244">
        <f>VLOOKUP(Table1[[#This Row],[subscription_type]],Plans!$A$1:$B$5,2,FALSE)</f>
        <v>0</v>
      </c>
      <c r="N2244">
        <f t="shared" si="35"/>
        <v>0</v>
      </c>
    </row>
    <row r="2245" spans="1:14" x14ac:dyDescent="0.35">
      <c r="A2245">
        <v>2244</v>
      </c>
      <c r="B2245" t="s">
        <v>12</v>
      </c>
      <c r="C2245">
        <v>28</v>
      </c>
      <c r="D2245" t="s">
        <v>29</v>
      </c>
      <c r="E2245" t="s">
        <v>14</v>
      </c>
      <c r="F2245">
        <v>294</v>
      </c>
      <c r="G2245">
        <v>60</v>
      </c>
      <c r="H2245">
        <v>0.39</v>
      </c>
      <c r="I2245" t="s">
        <v>19</v>
      </c>
      <c r="J2245">
        <v>18</v>
      </c>
      <c r="K2245">
        <v>0</v>
      </c>
      <c r="L2245">
        <v>0</v>
      </c>
      <c r="M2245">
        <f>VLOOKUP(Table1[[#This Row],[subscription_type]],Plans!$A$1:$B$5,2,FALSE)</f>
        <v>0</v>
      </c>
      <c r="N2245">
        <f t="shared" si="35"/>
        <v>0</v>
      </c>
    </row>
    <row r="2246" spans="1:14" x14ac:dyDescent="0.35">
      <c r="A2246">
        <v>2245</v>
      </c>
      <c r="B2246" t="s">
        <v>16</v>
      </c>
      <c r="C2246">
        <v>23</v>
      </c>
      <c r="D2246" t="s">
        <v>25</v>
      </c>
      <c r="E2246" t="s">
        <v>14</v>
      </c>
      <c r="F2246">
        <v>137</v>
      </c>
      <c r="G2246">
        <v>5</v>
      </c>
      <c r="H2246">
        <v>0.38</v>
      </c>
      <c r="I2246" t="s">
        <v>15</v>
      </c>
      <c r="J2246">
        <v>16</v>
      </c>
      <c r="K2246">
        <v>0</v>
      </c>
      <c r="L2246">
        <v>0</v>
      </c>
      <c r="M2246">
        <f>VLOOKUP(Table1[[#This Row],[subscription_type]],Plans!$A$1:$B$5,2,FALSE)</f>
        <v>0</v>
      </c>
      <c r="N2246">
        <f t="shared" si="35"/>
        <v>0</v>
      </c>
    </row>
    <row r="2247" spans="1:14" x14ac:dyDescent="0.35">
      <c r="A2247">
        <v>2246</v>
      </c>
      <c r="B2247" t="s">
        <v>16</v>
      </c>
      <c r="C2247">
        <v>54</v>
      </c>
      <c r="D2247" t="s">
        <v>17</v>
      </c>
      <c r="E2247" t="s">
        <v>14</v>
      </c>
      <c r="F2247">
        <v>161</v>
      </c>
      <c r="G2247">
        <v>31</v>
      </c>
      <c r="H2247">
        <v>0.39</v>
      </c>
      <c r="I2247" t="s">
        <v>15</v>
      </c>
      <c r="J2247">
        <v>46</v>
      </c>
      <c r="K2247">
        <v>0</v>
      </c>
      <c r="L2247">
        <v>0</v>
      </c>
      <c r="M2247">
        <f>VLOOKUP(Table1[[#This Row],[subscription_type]],Plans!$A$1:$B$5,2,FALSE)</f>
        <v>0</v>
      </c>
      <c r="N2247">
        <f t="shared" si="35"/>
        <v>0</v>
      </c>
    </row>
    <row r="2248" spans="1:14" x14ac:dyDescent="0.35">
      <c r="A2248">
        <v>2247</v>
      </c>
      <c r="B2248" t="s">
        <v>12</v>
      </c>
      <c r="C2248">
        <v>35</v>
      </c>
      <c r="D2248" t="s">
        <v>17</v>
      </c>
      <c r="E2248" t="s">
        <v>22</v>
      </c>
      <c r="F2248">
        <v>253</v>
      </c>
      <c r="G2248">
        <v>62</v>
      </c>
      <c r="H2248">
        <v>0.21</v>
      </c>
      <c r="I2248" t="s">
        <v>23</v>
      </c>
      <c r="J2248">
        <v>0</v>
      </c>
      <c r="K2248">
        <v>1</v>
      </c>
      <c r="L2248">
        <v>0</v>
      </c>
      <c r="M2248">
        <f>VLOOKUP(Table1[[#This Row],[subscription_type]],Plans!$A$1:$B$5,2,FALSE)</f>
        <v>9.99</v>
      </c>
      <c r="N2248">
        <f t="shared" si="35"/>
        <v>0</v>
      </c>
    </row>
    <row r="2249" spans="1:14" x14ac:dyDescent="0.35">
      <c r="A2249">
        <v>2248</v>
      </c>
      <c r="B2249" t="s">
        <v>12</v>
      </c>
      <c r="C2249">
        <v>44</v>
      </c>
      <c r="D2249" t="s">
        <v>26</v>
      </c>
      <c r="E2249" t="s">
        <v>22</v>
      </c>
      <c r="F2249">
        <v>221</v>
      </c>
      <c r="G2249">
        <v>99</v>
      </c>
      <c r="H2249">
        <v>0.28999999999999998</v>
      </c>
      <c r="I2249" t="s">
        <v>19</v>
      </c>
      <c r="J2249">
        <v>0</v>
      </c>
      <c r="K2249">
        <v>1</v>
      </c>
      <c r="L2249">
        <v>1</v>
      </c>
      <c r="M2249">
        <f>VLOOKUP(Table1[[#This Row],[subscription_type]],Plans!$A$1:$B$5,2,FALSE)</f>
        <v>9.99</v>
      </c>
      <c r="N2249">
        <f t="shared" si="35"/>
        <v>9.99</v>
      </c>
    </row>
    <row r="2250" spans="1:14" x14ac:dyDescent="0.35">
      <c r="A2250">
        <v>2249</v>
      </c>
      <c r="B2250" t="s">
        <v>16</v>
      </c>
      <c r="C2250">
        <v>50</v>
      </c>
      <c r="D2250" t="s">
        <v>29</v>
      </c>
      <c r="E2250" t="s">
        <v>24</v>
      </c>
      <c r="F2250">
        <v>31</v>
      </c>
      <c r="G2250">
        <v>83</v>
      </c>
      <c r="H2250">
        <v>0.1</v>
      </c>
      <c r="I2250" t="s">
        <v>19</v>
      </c>
      <c r="J2250">
        <v>0</v>
      </c>
      <c r="K2250">
        <v>1</v>
      </c>
      <c r="L2250">
        <v>0</v>
      </c>
      <c r="M2250">
        <f>VLOOKUP(Table1[[#This Row],[subscription_type]],Plans!$A$1:$B$5,2,FALSE)</f>
        <v>4.99</v>
      </c>
      <c r="N2250">
        <f t="shared" si="35"/>
        <v>0</v>
      </c>
    </row>
    <row r="2251" spans="1:14" x14ac:dyDescent="0.35">
      <c r="A2251">
        <v>2250</v>
      </c>
      <c r="B2251" t="s">
        <v>20</v>
      </c>
      <c r="C2251">
        <v>32</v>
      </c>
      <c r="D2251" t="s">
        <v>28</v>
      </c>
      <c r="E2251" t="s">
        <v>24</v>
      </c>
      <c r="F2251">
        <v>170</v>
      </c>
      <c r="G2251">
        <v>40</v>
      </c>
      <c r="H2251">
        <v>0.21</v>
      </c>
      <c r="I2251" t="s">
        <v>15</v>
      </c>
      <c r="J2251">
        <v>0</v>
      </c>
      <c r="K2251">
        <v>1</v>
      </c>
      <c r="L2251">
        <v>0</v>
      </c>
      <c r="M2251">
        <f>VLOOKUP(Table1[[#This Row],[subscription_type]],Plans!$A$1:$B$5,2,FALSE)</f>
        <v>4.99</v>
      </c>
      <c r="N2251">
        <f t="shared" si="35"/>
        <v>0</v>
      </c>
    </row>
    <row r="2252" spans="1:14" x14ac:dyDescent="0.35">
      <c r="A2252">
        <v>2251</v>
      </c>
      <c r="B2252" t="s">
        <v>12</v>
      </c>
      <c r="C2252">
        <v>51</v>
      </c>
      <c r="D2252" t="s">
        <v>28</v>
      </c>
      <c r="E2252" t="s">
        <v>24</v>
      </c>
      <c r="F2252">
        <v>213</v>
      </c>
      <c r="G2252">
        <v>72</v>
      </c>
      <c r="H2252">
        <v>0.11</v>
      </c>
      <c r="I2252" t="s">
        <v>15</v>
      </c>
      <c r="J2252">
        <v>0</v>
      </c>
      <c r="K2252">
        <v>1</v>
      </c>
      <c r="L2252">
        <v>0</v>
      </c>
      <c r="M2252">
        <f>VLOOKUP(Table1[[#This Row],[subscription_type]],Plans!$A$1:$B$5,2,FALSE)</f>
        <v>4.99</v>
      </c>
      <c r="N2252">
        <f t="shared" si="35"/>
        <v>0</v>
      </c>
    </row>
    <row r="2253" spans="1:14" x14ac:dyDescent="0.35">
      <c r="A2253">
        <v>2252</v>
      </c>
      <c r="B2253" t="s">
        <v>20</v>
      </c>
      <c r="C2253">
        <v>58</v>
      </c>
      <c r="D2253" t="s">
        <v>27</v>
      </c>
      <c r="E2253" t="s">
        <v>14</v>
      </c>
      <c r="F2253">
        <v>163</v>
      </c>
      <c r="G2253">
        <v>86</v>
      </c>
      <c r="H2253">
        <v>0.05</v>
      </c>
      <c r="I2253" t="s">
        <v>23</v>
      </c>
      <c r="J2253">
        <v>45</v>
      </c>
      <c r="K2253">
        <v>0</v>
      </c>
      <c r="L2253">
        <v>1</v>
      </c>
      <c r="M2253">
        <f>VLOOKUP(Table1[[#This Row],[subscription_type]],Plans!$A$1:$B$5,2,FALSE)</f>
        <v>0</v>
      </c>
      <c r="N2253">
        <f t="shared" si="35"/>
        <v>0</v>
      </c>
    </row>
    <row r="2254" spans="1:14" x14ac:dyDescent="0.35">
      <c r="A2254">
        <v>2253</v>
      </c>
      <c r="B2254" t="s">
        <v>20</v>
      </c>
      <c r="C2254">
        <v>28</v>
      </c>
      <c r="D2254" t="s">
        <v>27</v>
      </c>
      <c r="E2254" t="s">
        <v>22</v>
      </c>
      <c r="F2254">
        <v>175</v>
      </c>
      <c r="G2254">
        <v>29</v>
      </c>
      <c r="H2254">
        <v>0.57999999999999996</v>
      </c>
      <c r="I2254" t="s">
        <v>19</v>
      </c>
      <c r="J2254">
        <v>0</v>
      </c>
      <c r="K2254">
        <v>1</v>
      </c>
      <c r="L2254">
        <v>1</v>
      </c>
      <c r="M2254">
        <f>VLOOKUP(Table1[[#This Row],[subscription_type]],Plans!$A$1:$B$5,2,FALSE)</f>
        <v>9.99</v>
      </c>
      <c r="N2254">
        <f t="shared" si="35"/>
        <v>9.99</v>
      </c>
    </row>
    <row r="2255" spans="1:14" x14ac:dyDescent="0.35">
      <c r="A2255">
        <v>2254</v>
      </c>
      <c r="B2255" t="s">
        <v>20</v>
      </c>
      <c r="C2255">
        <v>27</v>
      </c>
      <c r="D2255" t="s">
        <v>27</v>
      </c>
      <c r="E2255" t="s">
        <v>14</v>
      </c>
      <c r="F2255">
        <v>155</v>
      </c>
      <c r="G2255">
        <v>25</v>
      </c>
      <c r="H2255">
        <v>0.38</v>
      </c>
      <c r="I2255" t="s">
        <v>19</v>
      </c>
      <c r="J2255">
        <v>16</v>
      </c>
      <c r="K2255">
        <v>0</v>
      </c>
      <c r="L2255">
        <v>0</v>
      </c>
      <c r="M2255">
        <f>VLOOKUP(Table1[[#This Row],[subscription_type]],Plans!$A$1:$B$5,2,FALSE)</f>
        <v>0</v>
      </c>
      <c r="N2255">
        <f t="shared" si="35"/>
        <v>0</v>
      </c>
    </row>
    <row r="2256" spans="1:14" x14ac:dyDescent="0.35">
      <c r="A2256">
        <v>2255</v>
      </c>
      <c r="B2256" t="s">
        <v>12</v>
      </c>
      <c r="C2256">
        <v>54</v>
      </c>
      <c r="D2256" t="s">
        <v>28</v>
      </c>
      <c r="E2256" t="s">
        <v>18</v>
      </c>
      <c r="F2256">
        <v>136</v>
      </c>
      <c r="G2256">
        <v>86</v>
      </c>
      <c r="H2256">
        <v>0.55000000000000004</v>
      </c>
      <c r="I2256" t="s">
        <v>19</v>
      </c>
      <c r="J2256">
        <v>0</v>
      </c>
      <c r="K2256">
        <v>1</v>
      </c>
      <c r="L2256">
        <v>1</v>
      </c>
      <c r="M2256">
        <f>VLOOKUP(Table1[[#This Row],[subscription_type]],Plans!$A$1:$B$5,2,FALSE)</f>
        <v>14.99</v>
      </c>
      <c r="N2256">
        <f t="shared" si="35"/>
        <v>14.99</v>
      </c>
    </row>
    <row r="2257" spans="1:14" x14ac:dyDescent="0.35">
      <c r="A2257">
        <v>2256</v>
      </c>
      <c r="B2257" t="s">
        <v>20</v>
      </c>
      <c r="C2257">
        <v>42</v>
      </c>
      <c r="D2257" t="s">
        <v>26</v>
      </c>
      <c r="E2257" t="s">
        <v>22</v>
      </c>
      <c r="F2257">
        <v>48</v>
      </c>
      <c r="G2257">
        <v>79</v>
      </c>
      <c r="H2257">
        <v>0.22</v>
      </c>
      <c r="I2257" t="s">
        <v>15</v>
      </c>
      <c r="J2257">
        <v>0</v>
      </c>
      <c r="K2257">
        <v>1</v>
      </c>
      <c r="L2257">
        <v>0</v>
      </c>
      <c r="M2257">
        <f>VLOOKUP(Table1[[#This Row],[subscription_type]],Plans!$A$1:$B$5,2,FALSE)</f>
        <v>9.99</v>
      </c>
      <c r="N2257">
        <f t="shared" si="35"/>
        <v>0</v>
      </c>
    </row>
    <row r="2258" spans="1:14" x14ac:dyDescent="0.35">
      <c r="A2258">
        <v>2257</v>
      </c>
      <c r="B2258" t="s">
        <v>16</v>
      </c>
      <c r="C2258">
        <v>48</v>
      </c>
      <c r="D2258" t="s">
        <v>29</v>
      </c>
      <c r="E2258" t="s">
        <v>14</v>
      </c>
      <c r="F2258">
        <v>141</v>
      </c>
      <c r="G2258">
        <v>34</v>
      </c>
      <c r="H2258">
        <v>0.1</v>
      </c>
      <c r="I2258" t="s">
        <v>19</v>
      </c>
      <c r="J2258">
        <v>45</v>
      </c>
      <c r="K2258">
        <v>0</v>
      </c>
      <c r="L2258">
        <v>0</v>
      </c>
      <c r="M2258">
        <f>VLOOKUP(Table1[[#This Row],[subscription_type]],Plans!$A$1:$B$5,2,FALSE)</f>
        <v>0</v>
      </c>
      <c r="N2258">
        <f t="shared" si="35"/>
        <v>0</v>
      </c>
    </row>
    <row r="2259" spans="1:14" x14ac:dyDescent="0.35">
      <c r="A2259">
        <v>2258</v>
      </c>
      <c r="B2259" t="s">
        <v>12</v>
      </c>
      <c r="C2259">
        <v>28</v>
      </c>
      <c r="D2259" t="s">
        <v>25</v>
      </c>
      <c r="E2259" t="s">
        <v>18</v>
      </c>
      <c r="F2259">
        <v>33</v>
      </c>
      <c r="G2259">
        <v>10</v>
      </c>
      <c r="H2259">
        <v>0.2</v>
      </c>
      <c r="I2259" t="s">
        <v>23</v>
      </c>
      <c r="J2259">
        <v>0</v>
      </c>
      <c r="K2259">
        <v>1</v>
      </c>
      <c r="L2259">
        <v>0</v>
      </c>
      <c r="M2259">
        <f>VLOOKUP(Table1[[#This Row],[subscription_type]],Plans!$A$1:$B$5,2,FALSE)</f>
        <v>14.99</v>
      </c>
      <c r="N2259">
        <f t="shared" si="35"/>
        <v>0</v>
      </c>
    </row>
    <row r="2260" spans="1:14" x14ac:dyDescent="0.35">
      <c r="A2260">
        <v>2259</v>
      </c>
      <c r="B2260" t="s">
        <v>20</v>
      </c>
      <c r="C2260">
        <v>39</v>
      </c>
      <c r="D2260" t="s">
        <v>28</v>
      </c>
      <c r="E2260" t="s">
        <v>24</v>
      </c>
      <c r="F2260">
        <v>290</v>
      </c>
      <c r="G2260">
        <v>89</v>
      </c>
      <c r="H2260">
        <v>0.4</v>
      </c>
      <c r="I2260" t="s">
        <v>15</v>
      </c>
      <c r="J2260">
        <v>0</v>
      </c>
      <c r="K2260">
        <v>1</v>
      </c>
      <c r="L2260">
        <v>0</v>
      </c>
      <c r="M2260">
        <f>VLOOKUP(Table1[[#This Row],[subscription_type]],Plans!$A$1:$B$5,2,FALSE)</f>
        <v>4.99</v>
      </c>
      <c r="N2260">
        <f t="shared" si="35"/>
        <v>0</v>
      </c>
    </row>
    <row r="2261" spans="1:14" x14ac:dyDescent="0.35">
      <c r="A2261">
        <v>2260</v>
      </c>
      <c r="B2261" t="s">
        <v>16</v>
      </c>
      <c r="C2261">
        <v>49</v>
      </c>
      <c r="D2261" t="s">
        <v>17</v>
      </c>
      <c r="E2261" t="s">
        <v>24</v>
      </c>
      <c r="F2261">
        <v>50</v>
      </c>
      <c r="G2261">
        <v>49</v>
      </c>
      <c r="H2261">
        <v>0.21</v>
      </c>
      <c r="I2261" t="s">
        <v>19</v>
      </c>
      <c r="J2261">
        <v>0</v>
      </c>
      <c r="K2261">
        <v>1</v>
      </c>
      <c r="L2261">
        <v>0</v>
      </c>
      <c r="M2261">
        <f>VLOOKUP(Table1[[#This Row],[subscription_type]],Plans!$A$1:$B$5,2,FALSE)</f>
        <v>4.99</v>
      </c>
      <c r="N2261">
        <f t="shared" si="35"/>
        <v>0</v>
      </c>
    </row>
    <row r="2262" spans="1:14" x14ac:dyDescent="0.35">
      <c r="A2262">
        <v>2261</v>
      </c>
      <c r="B2262" t="s">
        <v>12</v>
      </c>
      <c r="C2262">
        <v>36</v>
      </c>
      <c r="D2262" t="s">
        <v>25</v>
      </c>
      <c r="E2262" t="s">
        <v>18</v>
      </c>
      <c r="F2262">
        <v>266</v>
      </c>
      <c r="G2262">
        <v>97</v>
      </c>
      <c r="H2262">
        <v>0.4</v>
      </c>
      <c r="I2262" t="s">
        <v>19</v>
      </c>
      <c r="J2262">
        <v>0</v>
      </c>
      <c r="K2262">
        <v>1</v>
      </c>
      <c r="L2262">
        <v>0</v>
      </c>
      <c r="M2262">
        <f>VLOOKUP(Table1[[#This Row],[subscription_type]],Plans!$A$1:$B$5,2,FALSE)</f>
        <v>14.99</v>
      </c>
      <c r="N2262">
        <f t="shared" si="35"/>
        <v>0</v>
      </c>
    </row>
    <row r="2263" spans="1:14" x14ac:dyDescent="0.35">
      <c r="A2263">
        <v>2262</v>
      </c>
      <c r="B2263" t="s">
        <v>20</v>
      </c>
      <c r="C2263">
        <v>20</v>
      </c>
      <c r="D2263" t="s">
        <v>28</v>
      </c>
      <c r="E2263" t="s">
        <v>24</v>
      </c>
      <c r="F2263">
        <v>294</v>
      </c>
      <c r="G2263">
        <v>20</v>
      </c>
      <c r="H2263">
        <v>0.14000000000000001</v>
      </c>
      <c r="I2263" t="s">
        <v>19</v>
      </c>
      <c r="J2263">
        <v>0</v>
      </c>
      <c r="K2263">
        <v>1</v>
      </c>
      <c r="L2263">
        <v>0</v>
      </c>
      <c r="M2263">
        <f>VLOOKUP(Table1[[#This Row],[subscription_type]],Plans!$A$1:$B$5,2,FALSE)</f>
        <v>4.99</v>
      </c>
      <c r="N2263">
        <f t="shared" si="35"/>
        <v>0</v>
      </c>
    </row>
    <row r="2264" spans="1:14" x14ac:dyDescent="0.35">
      <c r="A2264">
        <v>2263</v>
      </c>
      <c r="B2264" t="s">
        <v>12</v>
      </c>
      <c r="C2264">
        <v>39</v>
      </c>
      <c r="D2264" t="s">
        <v>13</v>
      </c>
      <c r="E2264" t="s">
        <v>22</v>
      </c>
      <c r="F2264">
        <v>194</v>
      </c>
      <c r="G2264">
        <v>7</v>
      </c>
      <c r="H2264">
        <v>0.22</v>
      </c>
      <c r="I2264" t="s">
        <v>19</v>
      </c>
      <c r="J2264">
        <v>0</v>
      </c>
      <c r="K2264">
        <v>1</v>
      </c>
      <c r="L2264">
        <v>1</v>
      </c>
      <c r="M2264">
        <f>VLOOKUP(Table1[[#This Row],[subscription_type]],Plans!$A$1:$B$5,2,FALSE)</f>
        <v>9.99</v>
      </c>
      <c r="N2264">
        <f t="shared" si="35"/>
        <v>9.99</v>
      </c>
    </row>
    <row r="2265" spans="1:14" x14ac:dyDescent="0.35">
      <c r="A2265">
        <v>2264</v>
      </c>
      <c r="B2265" t="s">
        <v>20</v>
      </c>
      <c r="C2265">
        <v>20</v>
      </c>
      <c r="D2265" t="s">
        <v>26</v>
      </c>
      <c r="E2265" t="s">
        <v>22</v>
      </c>
      <c r="F2265">
        <v>260</v>
      </c>
      <c r="G2265">
        <v>99</v>
      </c>
      <c r="H2265">
        <v>0.34</v>
      </c>
      <c r="I2265" t="s">
        <v>15</v>
      </c>
      <c r="J2265">
        <v>0</v>
      </c>
      <c r="K2265">
        <v>1</v>
      </c>
      <c r="L2265">
        <v>0</v>
      </c>
      <c r="M2265">
        <f>VLOOKUP(Table1[[#This Row],[subscription_type]],Plans!$A$1:$B$5,2,FALSE)</f>
        <v>9.99</v>
      </c>
      <c r="N2265">
        <f t="shared" si="35"/>
        <v>0</v>
      </c>
    </row>
    <row r="2266" spans="1:14" x14ac:dyDescent="0.35">
      <c r="A2266">
        <v>2265</v>
      </c>
      <c r="B2266" t="s">
        <v>20</v>
      </c>
      <c r="C2266">
        <v>59</v>
      </c>
      <c r="D2266" t="s">
        <v>28</v>
      </c>
      <c r="E2266" t="s">
        <v>24</v>
      </c>
      <c r="F2266">
        <v>283</v>
      </c>
      <c r="G2266">
        <v>28</v>
      </c>
      <c r="H2266">
        <v>0.18</v>
      </c>
      <c r="I2266" t="s">
        <v>15</v>
      </c>
      <c r="J2266">
        <v>0</v>
      </c>
      <c r="K2266">
        <v>1</v>
      </c>
      <c r="L2266">
        <v>0</v>
      </c>
      <c r="M2266">
        <f>VLOOKUP(Table1[[#This Row],[subscription_type]],Plans!$A$1:$B$5,2,FALSE)</f>
        <v>4.99</v>
      </c>
      <c r="N2266">
        <f t="shared" si="35"/>
        <v>0</v>
      </c>
    </row>
    <row r="2267" spans="1:14" x14ac:dyDescent="0.35">
      <c r="A2267">
        <v>2266</v>
      </c>
      <c r="B2267" t="s">
        <v>20</v>
      </c>
      <c r="C2267">
        <v>59</v>
      </c>
      <c r="D2267" t="s">
        <v>13</v>
      </c>
      <c r="E2267" t="s">
        <v>24</v>
      </c>
      <c r="F2267">
        <v>135</v>
      </c>
      <c r="G2267">
        <v>91</v>
      </c>
      <c r="H2267">
        <v>0.43</v>
      </c>
      <c r="I2267" t="s">
        <v>23</v>
      </c>
      <c r="J2267">
        <v>0</v>
      </c>
      <c r="K2267">
        <v>1</v>
      </c>
      <c r="L2267">
        <v>0</v>
      </c>
      <c r="M2267">
        <f>VLOOKUP(Table1[[#This Row],[subscription_type]],Plans!$A$1:$B$5,2,FALSE)</f>
        <v>4.99</v>
      </c>
      <c r="N2267">
        <f t="shared" si="35"/>
        <v>0</v>
      </c>
    </row>
    <row r="2268" spans="1:14" x14ac:dyDescent="0.35">
      <c r="A2268">
        <v>2267</v>
      </c>
      <c r="B2268" t="s">
        <v>20</v>
      </c>
      <c r="C2268">
        <v>38</v>
      </c>
      <c r="D2268" t="s">
        <v>21</v>
      </c>
      <c r="E2268" t="s">
        <v>24</v>
      </c>
      <c r="F2268">
        <v>28</v>
      </c>
      <c r="G2268">
        <v>70</v>
      </c>
      <c r="H2268">
        <v>0.2</v>
      </c>
      <c r="I2268" t="s">
        <v>19</v>
      </c>
      <c r="J2268">
        <v>0</v>
      </c>
      <c r="K2268">
        <v>1</v>
      </c>
      <c r="L2268">
        <v>0</v>
      </c>
      <c r="M2268">
        <f>VLOOKUP(Table1[[#This Row],[subscription_type]],Plans!$A$1:$B$5,2,FALSE)</f>
        <v>4.99</v>
      </c>
      <c r="N2268">
        <f t="shared" si="35"/>
        <v>0</v>
      </c>
    </row>
    <row r="2269" spans="1:14" x14ac:dyDescent="0.35">
      <c r="A2269">
        <v>2268</v>
      </c>
      <c r="B2269" t="s">
        <v>12</v>
      </c>
      <c r="C2269">
        <v>47</v>
      </c>
      <c r="D2269" t="s">
        <v>25</v>
      </c>
      <c r="E2269" t="s">
        <v>22</v>
      </c>
      <c r="F2269">
        <v>45</v>
      </c>
      <c r="G2269">
        <v>60</v>
      </c>
      <c r="H2269">
        <v>0.36</v>
      </c>
      <c r="I2269" t="s">
        <v>15</v>
      </c>
      <c r="J2269">
        <v>0</v>
      </c>
      <c r="K2269">
        <v>1</v>
      </c>
      <c r="L2269">
        <v>0</v>
      </c>
      <c r="M2269">
        <f>VLOOKUP(Table1[[#This Row],[subscription_type]],Plans!$A$1:$B$5,2,FALSE)</f>
        <v>9.99</v>
      </c>
      <c r="N2269">
        <f t="shared" si="35"/>
        <v>0</v>
      </c>
    </row>
    <row r="2270" spans="1:14" x14ac:dyDescent="0.35">
      <c r="A2270">
        <v>2269</v>
      </c>
      <c r="B2270" t="s">
        <v>20</v>
      </c>
      <c r="C2270">
        <v>21</v>
      </c>
      <c r="D2270" t="s">
        <v>21</v>
      </c>
      <c r="E2270" t="s">
        <v>18</v>
      </c>
      <c r="F2270">
        <v>234</v>
      </c>
      <c r="G2270">
        <v>61</v>
      </c>
      <c r="H2270">
        <v>0.46</v>
      </c>
      <c r="I2270" t="s">
        <v>23</v>
      </c>
      <c r="J2270">
        <v>0</v>
      </c>
      <c r="K2270">
        <v>1</v>
      </c>
      <c r="L2270">
        <v>0</v>
      </c>
      <c r="M2270">
        <f>VLOOKUP(Table1[[#This Row],[subscription_type]],Plans!$A$1:$B$5,2,FALSE)</f>
        <v>14.99</v>
      </c>
      <c r="N2270">
        <f t="shared" si="35"/>
        <v>0</v>
      </c>
    </row>
    <row r="2271" spans="1:14" x14ac:dyDescent="0.35">
      <c r="A2271">
        <v>2270</v>
      </c>
      <c r="B2271" t="s">
        <v>12</v>
      </c>
      <c r="C2271">
        <v>24</v>
      </c>
      <c r="D2271" t="s">
        <v>17</v>
      </c>
      <c r="E2271" t="s">
        <v>18</v>
      </c>
      <c r="F2271">
        <v>270</v>
      </c>
      <c r="G2271">
        <v>49</v>
      </c>
      <c r="H2271">
        <v>0.23</v>
      </c>
      <c r="I2271" t="s">
        <v>19</v>
      </c>
      <c r="J2271">
        <v>0</v>
      </c>
      <c r="K2271">
        <v>1</v>
      </c>
      <c r="L2271">
        <v>0</v>
      </c>
      <c r="M2271">
        <f>VLOOKUP(Table1[[#This Row],[subscription_type]],Plans!$A$1:$B$5,2,FALSE)</f>
        <v>14.99</v>
      </c>
      <c r="N2271">
        <f t="shared" si="35"/>
        <v>0</v>
      </c>
    </row>
    <row r="2272" spans="1:14" x14ac:dyDescent="0.35">
      <c r="A2272">
        <v>2271</v>
      </c>
      <c r="B2272" t="s">
        <v>20</v>
      </c>
      <c r="C2272">
        <v>41</v>
      </c>
      <c r="D2272" t="s">
        <v>29</v>
      </c>
      <c r="E2272" t="s">
        <v>22</v>
      </c>
      <c r="F2272">
        <v>120</v>
      </c>
      <c r="G2272">
        <v>97</v>
      </c>
      <c r="H2272">
        <v>0.16</v>
      </c>
      <c r="I2272" t="s">
        <v>23</v>
      </c>
      <c r="J2272">
        <v>0</v>
      </c>
      <c r="K2272">
        <v>1</v>
      </c>
      <c r="L2272">
        <v>0</v>
      </c>
      <c r="M2272">
        <f>VLOOKUP(Table1[[#This Row],[subscription_type]],Plans!$A$1:$B$5,2,FALSE)</f>
        <v>9.99</v>
      </c>
      <c r="N2272">
        <f t="shared" si="35"/>
        <v>0</v>
      </c>
    </row>
    <row r="2273" spans="1:14" x14ac:dyDescent="0.35">
      <c r="A2273">
        <v>2272</v>
      </c>
      <c r="B2273" t="s">
        <v>12</v>
      </c>
      <c r="C2273">
        <v>59</v>
      </c>
      <c r="D2273" t="s">
        <v>17</v>
      </c>
      <c r="E2273" t="s">
        <v>24</v>
      </c>
      <c r="F2273">
        <v>229</v>
      </c>
      <c r="G2273">
        <v>96</v>
      </c>
      <c r="H2273">
        <v>0.09</v>
      </c>
      <c r="I2273" t="s">
        <v>15</v>
      </c>
      <c r="J2273">
        <v>0</v>
      </c>
      <c r="K2273">
        <v>1</v>
      </c>
      <c r="L2273">
        <v>1</v>
      </c>
      <c r="M2273">
        <f>VLOOKUP(Table1[[#This Row],[subscription_type]],Plans!$A$1:$B$5,2,FALSE)</f>
        <v>4.99</v>
      </c>
      <c r="N2273">
        <f t="shared" si="35"/>
        <v>4.99</v>
      </c>
    </row>
    <row r="2274" spans="1:14" x14ac:dyDescent="0.35">
      <c r="A2274">
        <v>2273</v>
      </c>
      <c r="B2274" t="s">
        <v>12</v>
      </c>
      <c r="C2274">
        <v>42</v>
      </c>
      <c r="D2274" t="s">
        <v>27</v>
      </c>
      <c r="E2274" t="s">
        <v>18</v>
      </c>
      <c r="F2274">
        <v>126</v>
      </c>
      <c r="G2274">
        <v>3</v>
      </c>
      <c r="H2274">
        <v>0.55000000000000004</v>
      </c>
      <c r="I2274" t="s">
        <v>19</v>
      </c>
      <c r="J2274">
        <v>0</v>
      </c>
      <c r="K2274">
        <v>1</v>
      </c>
      <c r="L2274">
        <v>0</v>
      </c>
      <c r="M2274">
        <f>VLOOKUP(Table1[[#This Row],[subscription_type]],Plans!$A$1:$B$5,2,FALSE)</f>
        <v>14.99</v>
      </c>
      <c r="N2274">
        <f t="shared" si="35"/>
        <v>0</v>
      </c>
    </row>
    <row r="2275" spans="1:14" x14ac:dyDescent="0.35">
      <c r="A2275">
        <v>2274</v>
      </c>
      <c r="B2275" t="s">
        <v>12</v>
      </c>
      <c r="C2275">
        <v>31</v>
      </c>
      <c r="D2275" t="s">
        <v>27</v>
      </c>
      <c r="E2275" t="s">
        <v>22</v>
      </c>
      <c r="F2275">
        <v>172</v>
      </c>
      <c r="G2275">
        <v>41</v>
      </c>
      <c r="H2275">
        <v>0.08</v>
      </c>
      <c r="I2275" t="s">
        <v>19</v>
      </c>
      <c r="J2275">
        <v>0</v>
      </c>
      <c r="K2275">
        <v>1</v>
      </c>
      <c r="L2275">
        <v>0</v>
      </c>
      <c r="M2275">
        <f>VLOOKUP(Table1[[#This Row],[subscription_type]],Plans!$A$1:$B$5,2,FALSE)</f>
        <v>9.99</v>
      </c>
      <c r="N2275">
        <f t="shared" si="35"/>
        <v>0</v>
      </c>
    </row>
    <row r="2276" spans="1:14" x14ac:dyDescent="0.35">
      <c r="A2276">
        <v>2275</v>
      </c>
      <c r="B2276" t="s">
        <v>16</v>
      </c>
      <c r="C2276">
        <v>20</v>
      </c>
      <c r="D2276" t="s">
        <v>27</v>
      </c>
      <c r="E2276" t="s">
        <v>22</v>
      </c>
      <c r="F2276">
        <v>166</v>
      </c>
      <c r="G2276">
        <v>75</v>
      </c>
      <c r="H2276">
        <v>0.22</v>
      </c>
      <c r="I2276" t="s">
        <v>15</v>
      </c>
      <c r="J2276">
        <v>0</v>
      </c>
      <c r="K2276">
        <v>1</v>
      </c>
      <c r="L2276">
        <v>0</v>
      </c>
      <c r="M2276">
        <f>VLOOKUP(Table1[[#This Row],[subscription_type]],Plans!$A$1:$B$5,2,FALSE)</f>
        <v>9.99</v>
      </c>
      <c r="N2276">
        <f t="shared" si="35"/>
        <v>0</v>
      </c>
    </row>
    <row r="2277" spans="1:14" x14ac:dyDescent="0.35">
      <c r="A2277">
        <v>2276</v>
      </c>
      <c r="B2277" t="s">
        <v>20</v>
      </c>
      <c r="C2277">
        <v>53</v>
      </c>
      <c r="D2277" t="s">
        <v>28</v>
      </c>
      <c r="E2277" t="s">
        <v>18</v>
      </c>
      <c r="F2277">
        <v>49</v>
      </c>
      <c r="G2277">
        <v>83</v>
      </c>
      <c r="H2277">
        <v>0.55000000000000004</v>
      </c>
      <c r="I2277" t="s">
        <v>19</v>
      </c>
      <c r="J2277">
        <v>0</v>
      </c>
      <c r="K2277">
        <v>1</v>
      </c>
      <c r="L2277">
        <v>0</v>
      </c>
      <c r="M2277">
        <f>VLOOKUP(Table1[[#This Row],[subscription_type]],Plans!$A$1:$B$5,2,FALSE)</f>
        <v>14.99</v>
      </c>
      <c r="N2277">
        <f t="shared" si="35"/>
        <v>0</v>
      </c>
    </row>
    <row r="2278" spans="1:14" x14ac:dyDescent="0.35">
      <c r="A2278">
        <v>2277</v>
      </c>
      <c r="B2278" t="s">
        <v>12</v>
      </c>
      <c r="C2278">
        <v>46</v>
      </c>
      <c r="D2278" t="s">
        <v>28</v>
      </c>
      <c r="E2278" t="s">
        <v>14</v>
      </c>
      <c r="F2278">
        <v>279</v>
      </c>
      <c r="G2278">
        <v>7</v>
      </c>
      <c r="H2278">
        <v>0.05</v>
      </c>
      <c r="I2278" t="s">
        <v>15</v>
      </c>
      <c r="J2278">
        <v>30</v>
      </c>
      <c r="K2278">
        <v>0</v>
      </c>
      <c r="L2278">
        <v>0</v>
      </c>
      <c r="M2278">
        <f>VLOOKUP(Table1[[#This Row],[subscription_type]],Plans!$A$1:$B$5,2,FALSE)</f>
        <v>0</v>
      </c>
      <c r="N2278">
        <f t="shared" si="35"/>
        <v>0</v>
      </c>
    </row>
    <row r="2279" spans="1:14" x14ac:dyDescent="0.35">
      <c r="A2279">
        <v>2278</v>
      </c>
      <c r="B2279" t="s">
        <v>20</v>
      </c>
      <c r="C2279">
        <v>59</v>
      </c>
      <c r="D2279" t="s">
        <v>13</v>
      </c>
      <c r="E2279" t="s">
        <v>14</v>
      </c>
      <c r="F2279">
        <v>235</v>
      </c>
      <c r="G2279">
        <v>71</v>
      </c>
      <c r="H2279">
        <v>0.45</v>
      </c>
      <c r="I2279" t="s">
        <v>15</v>
      </c>
      <c r="J2279">
        <v>42</v>
      </c>
      <c r="K2279">
        <v>0</v>
      </c>
      <c r="L2279">
        <v>0</v>
      </c>
      <c r="M2279">
        <f>VLOOKUP(Table1[[#This Row],[subscription_type]],Plans!$A$1:$B$5,2,FALSE)</f>
        <v>0</v>
      </c>
      <c r="N2279">
        <f t="shared" si="35"/>
        <v>0</v>
      </c>
    </row>
    <row r="2280" spans="1:14" x14ac:dyDescent="0.35">
      <c r="A2280">
        <v>2279</v>
      </c>
      <c r="B2280" t="s">
        <v>12</v>
      </c>
      <c r="C2280">
        <v>46</v>
      </c>
      <c r="D2280" t="s">
        <v>28</v>
      </c>
      <c r="E2280" t="s">
        <v>14</v>
      </c>
      <c r="F2280">
        <v>91</v>
      </c>
      <c r="G2280">
        <v>1</v>
      </c>
      <c r="H2280">
        <v>0.49</v>
      </c>
      <c r="I2280" t="s">
        <v>19</v>
      </c>
      <c r="J2280">
        <v>42</v>
      </c>
      <c r="K2280">
        <v>0</v>
      </c>
      <c r="L2280">
        <v>0</v>
      </c>
      <c r="M2280">
        <f>VLOOKUP(Table1[[#This Row],[subscription_type]],Plans!$A$1:$B$5,2,FALSE)</f>
        <v>0</v>
      </c>
      <c r="N2280">
        <f t="shared" si="35"/>
        <v>0</v>
      </c>
    </row>
    <row r="2281" spans="1:14" x14ac:dyDescent="0.35">
      <c r="A2281">
        <v>2280</v>
      </c>
      <c r="B2281" t="s">
        <v>12</v>
      </c>
      <c r="C2281">
        <v>38</v>
      </c>
      <c r="D2281" t="s">
        <v>28</v>
      </c>
      <c r="E2281" t="s">
        <v>22</v>
      </c>
      <c r="F2281">
        <v>215</v>
      </c>
      <c r="G2281">
        <v>4</v>
      </c>
      <c r="H2281">
        <v>0.37</v>
      </c>
      <c r="I2281" t="s">
        <v>23</v>
      </c>
      <c r="J2281">
        <v>0</v>
      </c>
      <c r="K2281">
        <v>1</v>
      </c>
      <c r="L2281">
        <v>1</v>
      </c>
      <c r="M2281">
        <f>VLOOKUP(Table1[[#This Row],[subscription_type]],Plans!$A$1:$B$5,2,FALSE)</f>
        <v>9.99</v>
      </c>
      <c r="N2281">
        <f t="shared" si="35"/>
        <v>9.99</v>
      </c>
    </row>
    <row r="2282" spans="1:14" x14ac:dyDescent="0.35">
      <c r="A2282">
        <v>2281</v>
      </c>
      <c r="B2282" t="s">
        <v>12</v>
      </c>
      <c r="C2282">
        <v>24</v>
      </c>
      <c r="D2282" t="s">
        <v>26</v>
      </c>
      <c r="E2282" t="s">
        <v>18</v>
      </c>
      <c r="F2282">
        <v>175</v>
      </c>
      <c r="G2282">
        <v>54</v>
      </c>
      <c r="H2282">
        <v>0.51</v>
      </c>
      <c r="I2282" t="s">
        <v>23</v>
      </c>
      <c r="J2282">
        <v>0</v>
      </c>
      <c r="K2282">
        <v>1</v>
      </c>
      <c r="L2282">
        <v>1</v>
      </c>
      <c r="M2282">
        <f>VLOOKUP(Table1[[#This Row],[subscription_type]],Plans!$A$1:$B$5,2,FALSE)</f>
        <v>14.99</v>
      </c>
      <c r="N2282">
        <f t="shared" si="35"/>
        <v>14.99</v>
      </c>
    </row>
    <row r="2283" spans="1:14" x14ac:dyDescent="0.35">
      <c r="A2283">
        <v>2282</v>
      </c>
      <c r="B2283" t="s">
        <v>20</v>
      </c>
      <c r="C2283">
        <v>32</v>
      </c>
      <c r="D2283" t="s">
        <v>13</v>
      </c>
      <c r="E2283" t="s">
        <v>22</v>
      </c>
      <c r="F2283">
        <v>182</v>
      </c>
      <c r="G2283">
        <v>77</v>
      </c>
      <c r="H2283">
        <v>0.34</v>
      </c>
      <c r="I2283" t="s">
        <v>19</v>
      </c>
      <c r="J2283">
        <v>0</v>
      </c>
      <c r="K2283">
        <v>1</v>
      </c>
      <c r="L2283">
        <v>0</v>
      </c>
      <c r="M2283">
        <f>VLOOKUP(Table1[[#This Row],[subscription_type]],Plans!$A$1:$B$5,2,FALSE)</f>
        <v>9.99</v>
      </c>
      <c r="N2283">
        <f t="shared" si="35"/>
        <v>0</v>
      </c>
    </row>
    <row r="2284" spans="1:14" x14ac:dyDescent="0.35">
      <c r="A2284">
        <v>2283</v>
      </c>
      <c r="B2284" t="s">
        <v>16</v>
      </c>
      <c r="C2284">
        <v>30</v>
      </c>
      <c r="D2284" t="s">
        <v>29</v>
      </c>
      <c r="E2284" t="s">
        <v>14</v>
      </c>
      <c r="F2284">
        <v>86</v>
      </c>
      <c r="G2284">
        <v>50</v>
      </c>
      <c r="H2284">
        <v>0.16</v>
      </c>
      <c r="I2284" t="s">
        <v>19</v>
      </c>
      <c r="J2284">
        <v>42</v>
      </c>
      <c r="K2284">
        <v>0</v>
      </c>
      <c r="L2284">
        <v>1</v>
      </c>
      <c r="M2284">
        <f>VLOOKUP(Table1[[#This Row],[subscription_type]],Plans!$A$1:$B$5,2,FALSE)</f>
        <v>0</v>
      </c>
      <c r="N2284">
        <f t="shared" si="35"/>
        <v>0</v>
      </c>
    </row>
    <row r="2285" spans="1:14" x14ac:dyDescent="0.35">
      <c r="A2285">
        <v>2284</v>
      </c>
      <c r="B2285" t="s">
        <v>20</v>
      </c>
      <c r="C2285">
        <v>25</v>
      </c>
      <c r="D2285" t="s">
        <v>28</v>
      </c>
      <c r="E2285" t="s">
        <v>18</v>
      </c>
      <c r="F2285">
        <v>189</v>
      </c>
      <c r="G2285">
        <v>93</v>
      </c>
      <c r="H2285">
        <v>0.57999999999999996</v>
      </c>
      <c r="I2285" t="s">
        <v>15</v>
      </c>
      <c r="J2285">
        <v>0</v>
      </c>
      <c r="K2285">
        <v>1</v>
      </c>
      <c r="L2285">
        <v>0</v>
      </c>
      <c r="M2285">
        <f>VLOOKUP(Table1[[#This Row],[subscription_type]],Plans!$A$1:$B$5,2,FALSE)</f>
        <v>14.99</v>
      </c>
      <c r="N2285">
        <f t="shared" si="35"/>
        <v>0</v>
      </c>
    </row>
    <row r="2286" spans="1:14" x14ac:dyDescent="0.35">
      <c r="A2286">
        <v>2285</v>
      </c>
      <c r="B2286" t="s">
        <v>16</v>
      </c>
      <c r="C2286">
        <v>32</v>
      </c>
      <c r="D2286" t="s">
        <v>17</v>
      </c>
      <c r="E2286" t="s">
        <v>14</v>
      </c>
      <c r="F2286">
        <v>77</v>
      </c>
      <c r="G2286">
        <v>43</v>
      </c>
      <c r="H2286">
        <v>0.1</v>
      </c>
      <c r="I2286" t="s">
        <v>19</v>
      </c>
      <c r="J2286">
        <v>37</v>
      </c>
      <c r="K2286">
        <v>0</v>
      </c>
      <c r="L2286">
        <v>1</v>
      </c>
      <c r="M2286">
        <f>VLOOKUP(Table1[[#This Row],[subscription_type]],Plans!$A$1:$B$5,2,FALSE)</f>
        <v>0</v>
      </c>
      <c r="N2286">
        <f t="shared" si="35"/>
        <v>0</v>
      </c>
    </row>
    <row r="2287" spans="1:14" x14ac:dyDescent="0.35">
      <c r="A2287">
        <v>2286</v>
      </c>
      <c r="B2287" t="s">
        <v>12</v>
      </c>
      <c r="C2287">
        <v>36</v>
      </c>
      <c r="D2287" t="s">
        <v>25</v>
      </c>
      <c r="E2287" t="s">
        <v>14</v>
      </c>
      <c r="F2287">
        <v>71</v>
      </c>
      <c r="G2287">
        <v>8</v>
      </c>
      <c r="H2287">
        <v>0.18</v>
      </c>
      <c r="I2287" t="s">
        <v>15</v>
      </c>
      <c r="J2287">
        <v>7</v>
      </c>
      <c r="K2287">
        <v>0</v>
      </c>
      <c r="L2287">
        <v>1</v>
      </c>
      <c r="M2287">
        <f>VLOOKUP(Table1[[#This Row],[subscription_type]],Plans!$A$1:$B$5,2,FALSE)</f>
        <v>0</v>
      </c>
      <c r="N2287">
        <f t="shared" si="35"/>
        <v>0</v>
      </c>
    </row>
    <row r="2288" spans="1:14" x14ac:dyDescent="0.35">
      <c r="A2288">
        <v>2287</v>
      </c>
      <c r="B2288" t="s">
        <v>20</v>
      </c>
      <c r="C2288">
        <v>51</v>
      </c>
      <c r="D2288" t="s">
        <v>21</v>
      </c>
      <c r="E2288" t="s">
        <v>18</v>
      </c>
      <c r="F2288">
        <v>235</v>
      </c>
      <c r="G2288">
        <v>30</v>
      </c>
      <c r="H2288">
        <v>0.44</v>
      </c>
      <c r="I2288" t="s">
        <v>23</v>
      </c>
      <c r="J2288">
        <v>0</v>
      </c>
      <c r="K2288">
        <v>1</v>
      </c>
      <c r="L2288">
        <v>1</v>
      </c>
      <c r="M2288">
        <f>VLOOKUP(Table1[[#This Row],[subscription_type]],Plans!$A$1:$B$5,2,FALSE)</f>
        <v>14.99</v>
      </c>
      <c r="N2288">
        <f t="shared" si="35"/>
        <v>14.99</v>
      </c>
    </row>
    <row r="2289" spans="1:14" x14ac:dyDescent="0.35">
      <c r="A2289">
        <v>2288</v>
      </c>
      <c r="B2289" t="s">
        <v>12</v>
      </c>
      <c r="C2289">
        <v>32</v>
      </c>
      <c r="D2289" t="s">
        <v>17</v>
      </c>
      <c r="E2289" t="s">
        <v>24</v>
      </c>
      <c r="F2289">
        <v>295</v>
      </c>
      <c r="G2289">
        <v>24</v>
      </c>
      <c r="H2289">
        <v>0.24</v>
      </c>
      <c r="I2289" t="s">
        <v>19</v>
      </c>
      <c r="J2289">
        <v>0</v>
      </c>
      <c r="K2289">
        <v>1</v>
      </c>
      <c r="L2289">
        <v>0</v>
      </c>
      <c r="M2289">
        <f>VLOOKUP(Table1[[#This Row],[subscription_type]],Plans!$A$1:$B$5,2,FALSE)</f>
        <v>4.99</v>
      </c>
      <c r="N2289">
        <f t="shared" si="35"/>
        <v>0</v>
      </c>
    </row>
    <row r="2290" spans="1:14" x14ac:dyDescent="0.35">
      <c r="A2290">
        <v>2289</v>
      </c>
      <c r="B2290" t="s">
        <v>12</v>
      </c>
      <c r="C2290">
        <v>24</v>
      </c>
      <c r="D2290" t="s">
        <v>25</v>
      </c>
      <c r="E2290" t="s">
        <v>18</v>
      </c>
      <c r="F2290">
        <v>105</v>
      </c>
      <c r="G2290">
        <v>52</v>
      </c>
      <c r="H2290">
        <v>0.34</v>
      </c>
      <c r="I2290" t="s">
        <v>15</v>
      </c>
      <c r="J2290">
        <v>0</v>
      </c>
      <c r="K2290">
        <v>1</v>
      </c>
      <c r="L2290">
        <v>0</v>
      </c>
      <c r="M2290">
        <f>VLOOKUP(Table1[[#This Row],[subscription_type]],Plans!$A$1:$B$5,2,FALSE)</f>
        <v>14.99</v>
      </c>
      <c r="N2290">
        <f t="shared" si="35"/>
        <v>0</v>
      </c>
    </row>
    <row r="2291" spans="1:14" x14ac:dyDescent="0.35">
      <c r="A2291">
        <v>2290</v>
      </c>
      <c r="B2291" t="s">
        <v>12</v>
      </c>
      <c r="C2291">
        <v>24</v>
      </c>
      <c r="D2291" t="s">
        <v>27</v>
      </c>
      <c r="E2291" t="s">
        <v>24</v>
      </c>
      <c r="F2291">
        <v>32</v>
      </c>
      <c r="G2291">
        <v>95</v>
      </c>
      <c r="H2291">
        <v>0.49</v>
      </c>
      <c r="I2291" t="s">
        <v>15</v>
      </c>
      <c r="J2291">
        <v>0</v>
      </c>
      <c r="K2291">
        <v>1</v>
      </c>
      <c r="L2291">
        <v>0</v>
      </c>
      <c r="M2291">
        <f>VLOOKUP(Table1[[#This Row],[subscription_type]],Plans!$A$1:$B$5,2,FALSE)</f>
        <v>4.99</v>
      </c>
      <c r="N2291">
        <f t="shared" si="35"/>
        <v>0</v>
      </c>
    </row>
    <row r="2292" spans="1:14" x14ac:dyDescent="0.35">
      <c r="A2292">
        <v>2291</v>
      </c>
      <c r="B2292" t="s">
        <v>12</v>
      </c>
      <c r="C2292">
        <v>48</v>
      </c>
      <c r="D2292" t="s">
        <v>13</v>
      </c>
      <c r="E2292" t="s">
        <v>18</v>
      </c>
      <c r="F2292">
        <v>183</v>
      </c>
      <c r="G2292">
        <v>15</v>
      </c>
      <c r="H2292">
        <v>0.38</v>
      </c>
      <c r="I2292" t="s">
        <v>15</v>
      </c>
      <c r="J2292">
        <v>0</v>
      </c>
      <c r="K2292">
        <v>1</v>
      </c>
      <c r="L2292">
        <v>0</v>
      </c>
      <c r="M2292">
        <f>VLOOKUP(Table1[[#This Row],[subscription_type]],Plans!$A$1:$B$5,2,FALSE)</f>
        <v>14.99</v>
      </c>
      <c r="N2292">
        <f t="shared" si="35"/>
        <v>0</v>
      </c>
    </row>
    <row r="2293" spans="1:14" x14ac:dyDescent="0.35">
      <c r="A2293">
        <v>2292</v>
      </c>
      <c r="B2293" t="s">
        <v>16</v>
      </c>
      <c r="C2293">
        <v>27</v>
      </c>
      <c r="D2293" t="s">
        <v>17</v>
      </c>
      <c r="E2293" t="s">
        <v>22</v>
      </c>
      <c r="F2293">
        <v>86</v>
      </c>
      <c r="G2293">
        <v>9</v>
      </c>
      <c r="H2293">
        <v>0.4</v>
      </c>
      <c r="I2293" t="s">
        <v>23</v>
      </c>
      <c r="J2293">
        <v>0</v>
      </c>
      <c r="K2293">
        <v>1</v>
      </c>
      <c r="L2293">
        <v>1</v>
      </c>
      <c r="M2293">
        <f>VLOOKUP(Table1[[#This Row],[subscription_type]],Plans!$A$1:$B$5,2,FALSE)</f>
        <v>9.99</v>
      </c>
      <c r="N2293">
        <f t="shared" si="35"/>
        <v>9.99</v>
      </c>
    </row>
    <row r="2294" spans="1:14" x14ac:dyDescent="0.35">
      <c r="A2294">
        <v>2293</v>
      </c>
      <c r="B2294" t="s">
        <v>16</v>
      </c>
      <c r="C2294">
        <v>35</v>
      </c>
      <c r="D2294" t="s">
        <v>26</v>
      </c>
      <c r="E2294" t="s">
        <v>22</v>
      </c>
      <c r="F2294">
        <v>163</v>
      </c>
      <c r="G2294">
        <v>85</v>
      </c>
      <c r="H2294">
        <v>0.19</v>
      </c>
      <c r="I2294" t="s">
        <v>19</v>
      </c>
      <c r="J2294">
        <v>0</v>
      </c>
      <c r="K2294">
        <v>1</v>
      </c>
      <c r="L2294">
        <v>0</v>
      </c>
      <c r="M2294">
        <f>VLOOKUP(Table1[[#This Row],[subscription_type]],Plans!$A$1:$B$5,2,FALSE)</f>
        <v>9.99</v>
      </c>
      <c r="N2294">
        <f t="shared" si="35"/>
        <v>0</v>
      </c>
    </row>
    <row r="2295" spans="1:14" x14ac:dyDescent="0.35">
      <c r="A2295">
        <v>2294</v>
      </c>
      <c r="B2295" t="s">
        <v>16</v>
      </c>
      <c r="C2295">
        <v>51</v>
      </c>
      <c r="D2295" t="s">
        <v>28</v>
      </c>
      <c r="E2295" t="s">
        <v>14</v>
      </c>
      <c r="F2295">
        <v>46</v>
      </c>
      <c r="G2295">
        <v>70</v>
      </c>
      <c r="H2295">
        <v>0.3</v>
      </c>
      <c r="I2295" t="s">
        <v>15</v>
      </c>
      <c r="J2295">
        <v>46</v>
      </c>
      <c r="K2295">
        <v>0</v>
      </c>
      <c r="L2295">
        <v>0</v>
      </c>
      <c r="M2295">
        <f>VLOOKUP(Table1[[#This Row],[subscription_type]],Plans!$A$1:$B$5,2,FALSE)</f>
        <v>0</v>
      </c>
      <c r="N2295">
        <f t="shared" si="35"/>
        <v>0</v>
      </c>
    </row>
    <row r="2296" spans="1:14" x14ac:dyDescent="0.35">
      <c r="A2296">
        <v>2295</v>
      </c>
      <c r="B2296" t="s">
        <v>12</v>
      </c>
      <c r="C2296">
        <v>40</v>
      </c>
      <c r="D2296" t="s">
        <v>28</v>
      </c>
      <c r="E2296" t="s">
        <v>22</v>
      </c>
      <c r="F2296">
        <v>146</v>
      </c>
      <c r="G2296">
        <v>91</v>
      </c>
      <c r="H2296">
        <v>0.5</v>
      </c>
      <c r="I2296" t="s">
        <v>19</v>
      </c>
      <c r="J2296">
        <v>0</v>
      </c>
      <c r="K2296">
        <v>1</v>
      </c>
      <c r="L2296">
        <v>1</v>
      </c>
      <c r="M2296">
        <f>VLOOKUP(Table1[[#This Row],[subscription_type]],Plans!$A$1:$B$5,2,FALSE)</f>
        <v>9.99</v>
      </c>
      <c r="N2296">
        <f t="shared" si="35"/>
        <v>9.99</v>
      </c>
    </row>
    <row r="2297" spans="1:14" x14ac:dyDescent="0.35">
      <c r="A2297">
        <v>2296</v>
      </c>
      <c r="B2297" t="s">
        <v>12</v>
      </c>
      <c r="C2297">
        <v>21</v>
      </c>
      <c r="D2297" t="s">
        <v>21</v>
      </c>
      <c r="E2297" t="s">
        <v>14</v>
      </c>
      <c r="F2297">
        <v>121</v>
      </c>
      <c r="G2297">
        <v>92</v>
      </c>
      <c r="H2297">
        <v>0.31</v>
      </c>
      <c r="I2297" t="s">
        <v>23</v>
      </c>
      <c r="J2297">
        <v>18</v>
      </c>
      <c r="K2297">
        <v>0</v>
      </c>
      <c r="L2297">
        <v>0</v>
      </c>
      <c r="M2297">
        <f>VLOOKUP(Table1[[#This Row],[subscription_type]],Plans!$A$1:$B$5,2,FALSE)</f>
        <v>0</v>
      </c>
      <c r="N2297">
        <f t="shared" si="35"/>
        <v>0</v>
      </c>
    </row>
    <row r="2298" spans="1:14" x14ac:dyDescent="0.35">
      <c r="A2298">
        <v>2297</v>
      </c>
      <c r="B2298" t="s">
        <v>12</v>
      </c>
      <c r="C2298">
        <v>46</v>
      </c>
      <c r="D2298" t="s">
        <v>17</v>
      </c>
      <c r="E2298" t="s">
        <v>14</v>
      </c>
      <c r="F2298">
        <v>119</v>
      </c>
      <c r="G2298">
        <v>87</v>
      </c>
      <c r="H2298">
        <v>0.55000000000000004</v>
      </c>
      <c r="I2298" t="s">
        <v>19</v>
      </c>
      <c r="J2298">
        <v>26</v>
      </c>
      <c r="K2298">
        <v>0</v>
      </c>
      <c r="L2298">
        <v>1</v>
      </c>
      <c r="M2298">
        <f>VLOOKUP(Table1[[#This Row],[subscription_type]],Plans!$A$1:$B$5,2,FALSE)</f>
        <v>0</v>
      </c>
      <c r="N2298">
        <f t="shared" si="35"/>
        <v>0</v>
      </c>
    </row>
    <row r="2299" spans="1:14" x14ac:dyDescent="0.35">
      <c r="A2299">
        <v>2298</v>
      </c>
      <c r="B2299" t="s">
        <v>12</v>
      </c>
      <c r="C2299">
        <v>40</v>
      </c>
      <c r="D2299" t="s">
        <v>13</v>
      </c>
      <c r="E2299" t="s">
        <v>14</v>
      </c>
      <c r="F2299">
        <v>45</v>
      </c>
      <c r="G2299">
        <v>36</v>
      </c>
      <c r="H2299">
        <v>0.21</v>
      </c>
      <c r="I2299" t="s">
        <v>23</v>
      </c>
      <c r="J2299">
        <v>33</v>
      </c>
      <c r="K2299">
        <v>0</v>
      </c>
      <c r="L2299">
        <v>0</v>
      </c>
      <c r="M2299">
        <f>VLOOKUP(Table1[[#This Row],[subscription_type]],Plans!$A$1:$B$5,2,FALSE)</f>
        <v>0</v>
      </c>
      <c r="N2299">
        <f t="shared" si="35"/>
        <v>0</v>
      </c>
    </row>
    <row r="2300" spans="1:14" x14ac:dyDescent="0.35">
      <c r="A2300">
        <v>2299</v>
      </c>
      <c r="B2300" t="s">
        <v>16</v>
      </c>
      <c r="C2300">
        <v>42</v>
      </c>
      <c r="D2300" t="s">
        <v>21</v>
      </c>
      <c r="E2300" t="s">
        <v>14</v>
      </c>
      <c r="F2300">
        <v>47</v>
      </c>
      <c r="G2300">
        <v>35</v>
      </c>
      <c r="H2300">
        <v>0.25</v>
      </c>
      <c r="I2300" t="s">
        <v>15</v>
      </c>
      <c r="J2300">
        <v>14</v>
      </c>
      <c r="K2300">
        <v>0</v>
      </c>
      <c r="L2300">
        <v>0</v>
      </c>
      <c r="M2300">
        <f>VLOOKUP(Table1[[#This Row],[subscription_type]],Plans!$A$1:$B$5,2,FALSE)</f>
        <v>0</v>
      </c>
      <c r="N2300">
        <f t="shared" si="35"/>
        <v>0</v>
      </c>
    </row>
    <row r="2301" spans="1:14" x14ac:dyDescent="0.35">
      <c r="A2301">
        <v>2300</v>
      </c>
      <c r="B2301" t="s">
        <v>20</v>
      </c>
      <c r="C2301">
        <v>58</v>
      </c>
      <c r="D2301" t="s">
        <v>25</v>
      </c>
      <c r="E2301" t="s">
        <v>18</v>
      </c>
      <c r="F2301">
        <v>50</v>
      </c>
      <c r="G2301">
        <v>79</v>
      </c>
      <c r="H2301">
        <v>0.23</v>
      </c>
      <c r="I2301" t="s">
        <v>15</v>
      </c>
      <c r="J2301">
        <v>0</v>
      </c>
      <c r="K2301">
        <v>1</v>
      </c>
      <c r="L2301">
        <v>0</v>
      </c>
      <c r="M2301">
        <f>VLOOKUP(Table1[[#This Row],[subscription_type]],Plans!$A$1:$B$5,2,FALSE)</f>
        <v>14.99</v>
      </c>
      <c r="N2301">
        <f t="shared" si="35"/>
        <v>0</v>
      </c>
    </row>
    <row r="2302" spans="1:14" x14ac:dyDescent="0.35">
      <c r="A2302">
        <v>2301</v>
      </c>
      <c r="B2302" t="s">
        <v>12</v>
      </c>
      <c r="C2302">
        <v>51</v>
      </c>
      <c r="D2302" t="s">
        <v>27</v>
      </c>
      <c r="E2302" t="s">
        <v>22</v>
      </c>
      <c r="F2302">
        <v>273</v>
      </c>
      <c r="G2302">
        <v>88</v>
      </c>
      <c r="H2302">
        <v>0.54</v>
      </c>
      <c r="I2302" t="s">
        <v>19</v>
      </c>
      <c r="J2302">
        <v>0</v>
      </c>
      <c r="K2302">
        <v>1</v>
      </c>
      <c r="L2302">
        <v>0</v>
      </c>
      <c r="M2302">
        <f>VLOOKUP(Table1[[#This Row],[subscription_type]],Plans!$A$1:$B$5,2,FALSE)</f>
        <v>9.99</v>
      </c>
      <c r="N2302">
        <f t="shared" si="35"/>
        <v>0</v>
      </c>
    </row>
    <row r="2303" spans="1:14" x14ac:dyDescent="0.35">
      <c r="A2303">
        <v>2302</v>
      </c>
      <c r="B2303" t="s">
        <v>16</v>
      </c>
      <c r="C2303">
        <v>53</v>
      </c>
      <c r="D2303" t="s">
        <v>27</v>
      </c>
      <c r="E2303" t="s">
        <v>22</v>
      </c>
      <c r="F2303">
        <v>147</v>
      </c>
      <c r="G2303">
        <v>19</v>
      </c>
      <c r="H2303">
        <v>0.49</v>
      </c>
      <c r="I2303" t="s">
        <v>23</v>
      </c>
      <c r="J2303">
        <v>0</v>
      </c>
      <c r="K2303">
        <v>1</v>
      </c>
      <c r="L2303">
        <v>0</v>
      </c>
      <c r="M2303">
        <f>VLOOKUP(Table1[[#This Row],[subscription_type]],Plans!$A$1:$B$5,2,FALSE)</f>
        <v>9.99</v>
      </c>
      <c r="N2303">
        <f t="shared" si="35"/>
        <v>0</v>
      </c>
    </row>
    <row r="2304" spans="1:14" x14ac:dyDescent="0.35">
      <c r="A2304">
        <v>2303</v>
      </c>
      <c r="B2304" t="s">
        <v>16</v>
      </c>
      <c r="C2304">
        <v>22</v>
      </c>
      <c r="D2304" t="s">
        <v>21</v>
      </c>
      <c r="E2304" t="s">
        <v>24</v>
      </c>
      <c r="F2304">
        <v>51</v>
      </c>
      <c r="G2304">
        <v>39</v>
      </c>
      <c r="H2304">
        <v>0.28000000000000003</v>
      </c>
      <c r="I2304" t="s">
        <v>19</v>
      </c>
      <c r="J2304">
        <v>0</v>
      </c>
      <c r="K2304">
        <v>1</v>
      </c>
      <c r="L2304">
        <v>1</v>
      </c>
      <c r="M2304">
        <f>VLOOKUP(Table1[[#This Row],[subscription_type]],Plans!$A$1:$B$5,2,FALSE)</f>
        <v>4.99</v>
      </c>
      <c r="N2304">
        <f t="shared" si="35"/>
        <v>4.99</v>
      </c>
    </row>
    <row r="2305" spans="1:14" x14ac:dyDescent="0.35">
      <c r="A2305">
        <v>2304</v>
      </c>
      <c r="B2305" t="s">
        <v>16</v>
      </c>
      <c r="C2305">
        <v>45</v>
      </c>
      <c r="D2305" t="s">
        <v>17</v>
      </c>
      <c r="E2305" t="s">
        <v>22</v>
      </c>
      <c r="F2305">
        <v>13</v>
      </c>
      <c r="G2305">
        <v>34</v>
      </c>
      <c r="H2305">
        <v>0.05</v>
      </c>
      <c r="I2305" t="s">
        <v>15</v>
      </c>
      <c r="J2305">
        <v>0</v>
      </c>
      <c r="K2305">
        <v>1</v>
      </c>
      <c r="L2305">
        <v>0</v>
      </c>
      <c r="M2305">
        <f>VLOOKUP(Table1[[#This Row],[subscription_type]],Plans!$A$1:$B$5,2,FALSE)</f>
        <v>9.99</v>
      </c>
      <c r="N2305">
        <f t="shared" si="35"/>
        <v>0</v>
      </c>
    </row>
    <row r="2306" spans="1:14" x14ac:dyDescent="0.35">
      <c r="A2306">
        <v>2305</v>
      </c>
      <c r="B2306" t="s">
        <v>16</v>
      </c>
      <c r="C2306">
        <v>22</v>
      </c>
      <c r="D2306" t="s">
        <v>25</v>
      </c>
      <c r="E2306" t="s">
        <v>14</v>
      </c>
      <c r="F2306">
        <v>158</v>
      </c>
      <c r="G2306">
        <v>50</v>
      </c>
      <c r="H2306">
        <v>0.08</v>
      </c>
      <c r="I2306" t="s">
        <v>23</v>
      </c>
      <c r="J2306">
        <v>14</v>
      </c>
      <c r="K2306">
        <v>0</v>
      </c>
      <c r="L2306">
        <v>1</v>
      </c>
      <c r="M2306">
        <f>VLOOKUP(Table1[[#This Row],[subscription_type]],Plans!$A$1:$B$5,2,FALSE)</f>
        <v>0</v>
      </c>
      <c r="N2306">
        <f t="shared" ref="N2306:N2369" si="36">IF(L2306=1, M2306,0)</f>
        <v>0</v>
      </c>
    </row>
    <row r="2307" spans="1:14" x14ac:dyDescent="0.35">
      <c r="A2307">
        <v>2306</v>
      </c>
      <c r="B2307" t="s">
        <v>12</v>
      </c>
      <c r="C2307">
        <v>44</v>
      </c>
      <c r="D2307" t="s">
        <v>29</v>
      </c>
      <c r="E2307" t="s">
        <v>22</v>
      </c>
      <c r="F2307">
        <v>46</v>
      </c>
      <c r="G2307">
        <v>26</v>
      </c>
      <c r="H2307">
        <v>0.23</v>
      </c>
      <c r="I2307" t="s">
        <v>23</v>
      </c>
      <c r="J2307">
        <v>0</v>
      </c>
      <c r="K2307">
        <v>1</v>
      </c>
      <c r="L2307">
        <v>0</v>
      </c>
      <c r="M2307">
        <f>VLOOKUP(Table1[[#This Row],[subscription_type]],Plans!$A$1:$B$5,2,FALSE)</f>
        <v>9.99</v>
      </c>
      <c r="N2307">
        <f t="shared" si="36"/>
        <v>0</v>
      </c>
    </row>
    <row r="2308" spans="1:14" x14ac:dyDescent="0.35">
      <c r="A2308">
        <v>2307</v>
      </c>
      <c r="B2308" t="s">
        <v>20</v>
      </c>
      <c r="C2308">
        <v>31</v>
      </c>
      <c r="D2308" t="s">
        <v>17</v>
      </c>
      <c r="E2308" t="s">
        <v>18</v>
      </c>
      <c r="F2308">
        <v>37</v>
      </c>
      <c r="G2308">
        <v>72</v>
      </c>
      <c r="H2308">
        <v>0.09</v>
      </c>
      <c r="I2308" t="s">
        <v>19</v>
      </c>
      <c r="J2308">
        <v>0</v>
      </c>
      <c r="K2308">
        <v>1</v>
      </c>
      <c r="L2308">
        <v>0</v>
      </c>
      <c r="M2308">
        <f>VLOOKUP(Table1[[#This Row],[subscription_type]],Plans!$A$1:$B$5,2,FALSE)</f>
        <v>14.99</v>
      </c>
      <c r="N2308">
        <f t="shared" si="36"/>
        <v>0</v>
      </c>
    </row>
    <row r="2309" spans="1:14" x14ac:dyDescent="0.35">
      <c r="A2309">
        <v>2308</v>
      </c>
      <c r="B2309" t="s">
        <v>20</v>
      </c>
      <c r="C2309">
        <v>44</v>
      </c>
      <c r="D2309" t="s">
        <v>17</v>
      </c>
      <c r="E2309" t="s">
        <v>18</v>
      </c>
      <c r="F2309">
        <v>246</v>
      </c>
      <c r="G2309">
        <v>21</v>
      </c>
      <c r="H2309">
        <v>0.05</v>
      </c>
      <c r="I2309" t="s">
        <v>19</v>
      </c>
      <c r="J2309">
        <v>0</v>
      </c>
      <c r="K2309">
        <v>1</v>
      </c>
      <c r="L2309">
        <v>0</v>
      </c>
      <c r="M2309">
        <f>VLOOKUP(Table1[[#This Row],[subscription_type]],Plans!$A$1:$B$5,2,FALSE)</f>
        <v>14.99</v>
      </c>
      <c r="N2309">
        <f t="shared" si="36"/>
        <v>0</v>
      </c>
    </row>
    <row r="2310" spans="1:14" x14ac:dyDescent="0.35">
      <c r="A2310">
        <v>2309</v>
      </c>
      <c r="B2310" t="s">
        <v>12</v>
      </c>
      <c r="C2310">
        <v>52</v>
      </c>
      <c r="D2310" t="s">
        <v>29</v>
      </c>
      <c r="E2310" t="s">
        <v>24</v>
      </c>
      <c r="F2310">
        <v>238</v>
      </c>
      <c r="G2310">
        <v>98</v>
      </c>
      <c r="H2310">
        <v>0.32</v>
      </c>
      <c r="I2310" t="s">
        <v>23</v>
      </c>
      <c r="J2310">
        <v>0</v>
      </c>
      <c r="K2310">
        <v>1</v>
      </c>
      <c r="L2310">
        <v>0</v>
      </c>
      <c r="M2310">
        <f>VLOOKUP(Table1[[#This Row],[subscription_type]],Plans!$A$1:$B$5,2,FALSE)</f>
        <v>4.99</v>
      </c>
      <c r="N2310">
        <f t="shared" si="36"/>
        <v>0</v>
      </c>
    </row>
    <row r="2311" spans="1:14" x14ac:dyDescent="0.35">
      <c r="A2311">
        <v>2310</v>
      </c>
      <c r="B2311" t="s">
        <v>12</v>
      </c>
      <c r="C2311">
        <v>24</v>
      </c>
      <c r="D2311" t="s">
        <v>21</v>
      </c>
      <c r="E2311" t="s">
        <v>24</v>
      </c>
      <c r="F2311">
        <v>198</v>
      </c>
      <c r="G2311">
        <v>18</v>
      </c>
      <c r="H2311">
        <v>0.28999999999999998</v>
      </c>
      <c r="I2311" t="s">
        <v>15</v>
      </c>
      <c r="J2311">
        <v>0</v>
      </c>
      <c r="K2311">
        <v>1</v>
      </c>
      <c r="L2311">
        <v>1</v>
      </c>
      <c r="M2311">
        <f>VLOOKUP(Table1[[#This Row],[subscription_type]],Plans!$A$1:$B$5,2,FALSE)</f>
        <v>4.99</v>
      </c>
      <c r="N2311">
        <f t="shared" si="36"/>
        <v>4.99</v>
      </c>
    </row>
    <row r="2312" spans="1:14" x14ac:dyDescent="0.35">
      <c r="A2312">
        <v>2311</v>
      </c>
      <c r="B2312" t="s">
        <v>16</v>
      </c>
      <c r="C2312">
        <v>30</v>
      </c>
      <c r="D2312" t="s">
        <v>25</v>
      </c>
      <c r="E2312" t="s">
        <v>22</v>
      </c>
      <c r="F2312">
        <v>129</v>
      </c>
      <c r="G2312">
        <v>12</v>
      </c>
      <c r="H2312">
        <v>0.01</v>
      </c>
      <c r="I2312" t="s">
        <v>15</v>
      </c>
      <c r="J2312">
        <v>0</v>
      </c>
      <c r="K2312">
        <v>1</v>
      </c>
      <c r="L2312">
        <v>0</v>
      </c>
      <c r="M2312">
        <f>VLOOKUP(Table1[[#This Row],[subscription_type]],Plans!$A$1:$B$5,2,FALSE)</f>
        <v>9.99</v>
      </c>
      <c r="N2312">
        <f t="shared" si="36"/>
        <v>0</v>
      </c>
    </row>
    <row r="2313" spans="1:14" x14ac:dyDescent="0.35">
      <c r="A2313">
        <v>2312</v>
      </c>
      <c r="B2313" t="s">
        <v>12</v>
      </c>
      <c r="C2313">
        <v>34</v>
      </c>
      <c r="D2313" t="s">
        <v>13</v>
      </c>
      <c r="E2313" t="s">
        <v>18</v>
      </c>
      <c r="F2313">
        <v>297</v>
      </c>
      <c r="G2313">
        <v>62</v>
      </c>
      <c r="H2313">
        <v>0.45</v>
      </c>
      <c r="I2313" t="s">
        <v>19</v>
      </c>
      <c r="J2313">
        <v>0</v>
      </c>
      <c r="K2313">
        <v>1</v>
      </c>
      <c r="L2313">
        <v>0</v>
      </c>
      <c r="M2313">
        <f>VLOOKUP(Table1[[#This Row],[subscription_type]],Plans!$A$1:$B$5,2,FALSE)</f>
        <v>14.99</v>
      </c>
      <c r="N2313">
        <f t="shared" si="36"/>
        <v>0</v>
      </c>
    </row>
    <row r="2314" spans="1:14" x14ac:dyDescent="0.35">
      <c r="A2314">
        <v>2313</v>
      </c>
      <c r="B2314" t="s">
        <v>20</v>
      </c>
      <c r="C2314">
        <v>32</v>
      </c>
      <c r="D2314" t="s">
        <v>13</v>
      </c>
      <c r="E2314" t="s">
        <v>24</v>
      </c>
      <c r="F2314">
        <v>281</v>
      </c>
      <c r="G2314">
        <v>33</v>
      </c>
      <c r="H2314">
        <v>0.49</v>
      </c>
      <c r="I2314" t="s">
        <v>23</v>
      </c>
      <c r="J2314">
        <v>0</v>
      </c>
      <c r="K2314">
        <v>1</v>
      </c>
      <c r="L2314">
        <v>0</v>
      </c>
      <c r="M2314">
        <f>VLOOKUP(Table1[[#This Row],[subscription_type]],Plans!$A$1:$B$5,2,FALSE)</f>
        <v>4.99</v>
      </c>
      <c r="N2314">
        <f t="shared" si="36"/>
        <v>0</v>
      </c>
    </row>
    <row r="2315" spans="1:14" x14ac:dyDescent="0.35">
      <c r="A2315">
        <v>2314</v>
      </c>
      <c r="B2315" t="s">
        <v>12</v>
      </c>
      <c r="C2315">
        <v>58</v>
      </c>
      <c r="D2315" t="s">
        <v>25</v>
      </c>
      <c r="E2315" t="s">
        <v>22</v>
      </c>
      <c r="F2315">
        <v>120</v>
      </c>
      <c r="G2315">
        <v>74</v>
      </c>
      <c r="H2315">
        <v>0.27</v>
      </c>
      <c r="I2315" t="s">
        <v>19</v>
      </c>
      <c r="J2315">
        <v>0</v>
      </c>
      <c r="K2315">
        <v>1</v>
      </c>
      <c r="L2315">
        <v>0</v>
      </c>
      <c r="M2315">
        <f>VLOOKUP(Table1[[#This Row],[subscription_type]],Plans!$A$1:$B$5,2,FALSE)</f>
        <v>9.99</v>
      </c>
      <c r="N2315">
        <f t="shared" si="36"/>
        <v>0</v>
      </c>
    </row>
    <row r="2316" spans="1:14" x14ac:dyDescent="0.35">
      <c r="A2316">
        <v>2315</v>
      </c>
      <c r="B2316" t="s">
        <v>12</v>
      </c>
      <c r="C2316">
        <v>39</v>
      </c>
      <c r="D2316" t="s">
        <v>17</v>
      </c>
      <c r="E2316" t="s">
        <v>18</v>
      </c>
      <c r="F2316">
        <v>113</v>
      </c>
      <c r="G2316">
        <v>51</v>
      </c>
      <c r="H2316">
        <v>0.53</v>
      </c>
      <c r="I2316" t="s">
        <v>19</v>
      </c>
      <c r="J2316">
        <v>0</v>
      </c>
      <c r="K2316">
        <v>1</v>
      </c>
      <c r="L2316">
        <v>0</v>
      </c>
      <c r="M2316">
        <f>VLOOKUP(Table1[[#This Row],[subscription_type]],Plans!$A$1:$B$5,2,FALSE)</f>
        <v>14.99</v>
      </c>
      <c r="N2316">
        <f t="shared" si="36"/>
        <v>0</v>
      </c>
    </row>
    <row r="2317" spans="1:14" x14ac:dyDescent="0.35">
      <c r="A2317">
        <v>2316</v>
      </c>
      <c r="B2317" t="s">
        <v>12</v>
      </c>
      <c r="C2317">
        <v>43</v>
      </c>
      <c r="D2317" t="s">
        <v>26</v>
      </c>
      <c r="E2317" t="s">
        <v>14</v>
      </c>
      <c r="F2317">
        <v>288</v>
      </c>
      <c r="G2317">
        <v>22</v>
      </c>
      <c r="H2317">
        <v>0.53</v>
      </c>
      <c r="I2317" t="s">
        <v>19</v>
      </c>
      <c r="J2317">
        <v>49</v>
      </c>
      <c r="K2317">
        <v>0</v>
      </c>
      <c r="L2317">
        <v>1</v>
      </c>
      <c r="M2317">
        <f>VLOOKUP(Table1[[#This Row],[subscription_type]],Plans!$A$1:$B$5,2,FALSE)</f>
        <v>0</v>
      </c>
      <c r="N2317">
        <f t="shared" si="36"/>
        <v>0</v>
      </c>
    </row>
    <row r="2318" spans="1:14" x14ac:dyDescent="0.35">
      <c r="A2318">
        <v>2317</v>
      </c>
      <c r="B2318" t="s">
        <v>16</v>
      </c>
      <c r="C2318">
        <v>27</v>
      </c>
      <c r="D2318" t="s">
        <v>21</v>
      </c>
      <c r="E2318" t="s">
        <v>22</v>
      </c>
      <c r="F2318">
        <v>198</v>
      </c>
      <c r="G2318">
        <v>42</v>
      </c>
      <c r="H2318">
        <v>0.06</v>
      </c>
      <c r="I2318" t="s">
        <v>15</v>
      </c>
      <c r="J2318">
        <v>0</v>
      </c>
      <c r="K2318">
        <v>1</v>
      </c>
      <c r="L2318">
        <v>0</v>
      </c>
      <c r="M2318">
        <f>VLOOKUP(Table1[[#This Row],[subscription_type]],Plans!$A$1:$B$5,2,FALSE)</f>
        <v>9.99</v>
      </c>
      <c r="N2318">
        <f t="shared" si="36"/>
        <v>0</v>
      </c>
    </row>
    <row r="2319" spans="1:14" x14ac:dyDescent="0.35">
      <c r="A2319">
        <v>2318</v>
      </c>
      <c r="B2319" t="s">
        <v>16</v>
      </c>
      <c r="C2319">
        <v>23</v>
      </c>
      <c r="D2319" t="s">
        <v>25</v>
      </c>
      <c r="E2319" t="s">
        <v>22</v>
      </c>
      <c r="F2319">
        <v>228</v>
      </c>
      <c r="G2319">
        <v>88</v>
      </c>
      <c r="H2319">
        <v>7.0000000000000007E-2</v>
      </c>
      <c r="I2319" t="s">
        <v>15</v>
      </c>
      <c r="J2319">
        <v>0</v>
      </c>
      <c r="K2319">
        <v>1</v>
      </c>
      <c r="L2319">
        <v>0</v>
      </c>
      <c r="M2319">
        <f>VLOOKUP(Table1[[#This Row],[subscription_type]],Plans!$A$1:$B$5,2,FALSE)</f>
        <v>9.99</v>
      </c>
      <c r="N2319">
        <f t="shared" si="36"/>
        <v>0</v>
      </c>
    </row>
    <row r="2320" spans="1:14" x14ac:dyDescent="0.35">
      <c r="A2320">
        <v>2319</v>
      </c>
      <c r="B2320" t="s">
        <v>12</v>
      </c>
      <c r="C2320">
        <v>36</v>
      </c>
      <c r="D2320" t="s">
        <v>25</v>
      </c>
      <c r="E2320" t="s">
        <v>18</v>
      </c>
      <c r="F2320">
        <v>44</v>
      </c>
      <c r="G2320">
        <v>61</v>
      </c>
      <c r="H2320">
        <v>0.31</v>
      </c>
      <c r="I2320" t="s">
        <v>23</v>
      </c>
      <c r="J2320">
        <v>0</v>
      </c>
      <c r="K2320">
        <v>1</v>
      </c>
      <c r="L2320">
        <v>1</v>
      </c>
      <c r="M2320">
        <f>VLOOKUP(Table1[[#This Row],[subscription_type]],Plans!$A$1:$B$5,2,FALSE)</f>
        <v>14.99</v>
      </c>
      <c r="N2320">
        <f t="shared" si="36"/>
        <v>14.99</v>
      </c>
    </row>
    <row r="2321" spans="1:14" x14ac:dyDescent="0.35">
      <c r="A2321">
        <v>2320</v>
      </c>
      <c r="B2321" t="s">
        <v>20</v>
      </c>
      <c r="C2321">
        <v>47</v>
      </c>
      <c r="D2321" t="s">
        <v>28</v>
      </c>
      <c r="E2321" t="s">
        <v>24</v>
      </c>
      <c r="F2321">
        <v>203</v>
      </c>
      <c r="G2321">
        <v>3</v>
      </c>
      <c r="H2321">
        <v>0.4</v>
      </c>
      <c r="I2321" t="s">
        <v>19</v>
      </c>
      <c r="J2321">
        <v>0</v>
      </c>
      <c r="K2321">
        <v>1</v>
      </c>
      <c r="L2321">
        <v>0</v>
      </c>
      <c r="M2321">
        <f>VLOOKUP(Table1[[#This Row],[subscription_type]],Plans!$A$1:$B$5,2,FALSE)</f>
        <v>4.99</v>
      </c>
      <c r="N2321">
        <f t="shared" si="36"/>
        <v>0</v>
      </c>
    </row>
    <row r="2322" spans="1:14" x14ac:dyDescent="0.35">
      <c r="A2322">
        <v>2321</v>
      </c>
      <c r="B2322" t="s">
        <v>20</v>
      </c>
      <c r="C2322">
        <v>49</v>
      </c>
      <c r="D2322" t="s">
        <v>17</v>
      </c>
      <c r="E2322" t="s">
        <v>22</v>
      </c>
      <c r="F2322">
        <v>272</v>
      </c>
      <c r="G2322">
        <v>39</v>
      </c>
      <c r="H2322">
        <v>0.01</v>
      </c>
      <c r="I2322" t="s">
        <v>23</v>
      </c>
      <c r="J2322">
        <v>0</v>
      </c>
      <c r="K2322">
        <v>1</v>
      </c>
      <c r="L2322">
        <v>0</v>
      </c>
      <c r="M2322">
        <f>VLOOKUP(Table1[[#This Row],[subscription_type]],Plans!$A$1:$B$5,2,FALSE)</f>
        <v>9.99</v>
      </c>
      <c r="N2322">
        <f t="shared" si="36"/>
        <v>0</v>
      </c>
    </row>
    <row r="2323" spans="1:14" x14ac:dyDescent="0.35">
      <c r="A2323">
        <v>2322</v>
      </c>
      <c r="B2323" t="s">
        <v>16</v>
      </c>
      <c r="C2323">
        <v>30</v>
      </c>
      <c r="D2323" t="s">
        <v>21</v>
      </c>
      <c r="E2323" t="s">
        <v>14</v>
      </c>
      <c r="F2323">
        <v>273</v>
      </c>
      <c r="G2323">
        <v>28</v>
      </c>
      <c r="H2323">
        <v>0.28999999999999998</v>
      </c>
      <c r="I2323" t="s">
        <v>19</v>
      </c>
      <c r="J2323">
        <v>35</v>
      </c>
      <c r="K2323">
        <v>0</v>
      </c>
      <c r="L2323">
        <v>0</v>
      </c>
      <c r="M2323">
        <f>VLOOKUP(Table1[[#This Row],[subscription_type]],Plans!$A$1:$B$5,2,FALSE)</f>
        <v>0</v>
      </c>
      <c r="N2323">
        <f t="shared" si="36"/>
        <v>0</v>
      </c>
    </row>
    <row r="2324" spans="1:14" x14ac:dyDescent="0.35">
      <c r="A2324">
        <v>2323</v>
      </c>
      <c r="B2324" t="s">
        <v>12</v>
      </c>
      <c r="C2324">
        <v>49</v>
      </c>
      <c r="D2324" t="s">
        <v>27</v>
      </c>
      <c r="E2324" t="s">
        <v>18</v>
      </c>
      <c r="F2324">
        <v>137</v>
      </c>
      <c r="G2324">
        <v>23</v>
      </c>
      <c r="H2324">
        <v>0.19</v>
      </c>
      <c r="I2324" t="s">
        <v>15</v>
      </c>
      <c r="J2324">
        <v>0</v>
      </c>
      <c r="K2324">
        <v>1</v>
      </c>
      <c r="L2324">
        <v>0</v>
      </c>
      <c r="M2324">
        <f>VLOOKUP(Table1[[#This Row],[subscription_type]],Plans!$A$1:$B$5,2,FALSE)</f>
        <v>14.99</v>
      </c>
      <c r="N2324">
        <f t="shared" si="36"/>
        <v>0</v>
      </c>
    </row>
    <row r="2325" spans="1:14" x14ac:dyDescent="0.35">
      <c r="A2325">
        <v>2324</v>
      </c>
      <c r="B2325" t="s">
        <v>16</v>
      </c>
      <c r="C2325">
        <v>53</v>
      </c>
      <c r="D2325" t="s">
        <v>25</v>
      </c>
      <c r="E2325" t="s">
        <v>22</v>
      </c>
      <c r="F2325">
        <v>127</v>
      </c>
      <c r="G2325">
        <v>75</v>
      </c>
      <c r="H2325">
        <v>0.39</v>
      </c>
      <c r="I2325" t="s">
        <v>15</v>
      </c>
      <c r="J2325">
        <v>0</v>
      </c>
      <c r="K2325">
        <v>1</v>
      </c>
      <c r="L2325">
        <v>1</v>
      </c>
      <c r="M2325">
        <f>VLOOKUP(Table1[[#This Row],[subscription_type]],Plans!$A$1:$B$5,2,FALSE)</f>
        <v>9.99</v>
      </c>
      <c r="N2325">
        <f t="shared" si="36"/>
        <v>9.99</v>
      </c>
    </row>
    <row r="2326" spans="1:14" x14ac:dyDescent="0.35">
      <c r="A2326">
        <v>2325</v>
      </c>
      <c r="B2326" t="s">
        <v>20</v>
      </c>
      <c r="C2326">
        <v>40</v>
      </c>
      <c r="D2326" t="s">
        <v>27</v>
      </c>
      <c r="E2326" t="s">
        <v>24</v>
      </c>
      <c r="F2326">
        <v>13</v>
      </c>
      <c r="G2326">
        <v>71</v>
      </c>
      <c r="H2326">
        <v>0.32</v>
      </c>
      <c r="I2326" t="s">
        <v>23</v>
      </c>
      <c r="J2326">
        <v>0</v>
      </c>
      <c r="K2326">
        <v>1</v>
      </c>
      <c r="L2326">
        <v>0</v>
      </c>
      <c r="M2326">
        <f>VLOOKUP(Table1[[#This Row],[subscription_type]],Plans!$A$1:$B$5,2,FALSE)</f>
        <v>4.99</v>
      </c>
      <c r="N2326">
        <f t="shared" si="36"/>
        <v>0</v>
      </c>
    </row>
    <row r="2327" spans="1:14" x14ac:dyDescent="0.35">
      <c r="A2327">
        <v>2326</v>
      </c>
      <c r="B2327" t="s">
        <v>20</v>
      </c>
      <c r="C2327">
        <v>57</v>
      </c>
      <c r="D2327" t="s">
        <v>17</v>
      </c>
      <c r="E2327" t="s">
        <v>18</v>
      </c>
      <c r="F2327">
        <v>18</v>
      </c>
      <c r="G2327">
        <v>33</v>
      </c>
      <c r="H2327">
        <v>0.17</v>
      </c>
      <c r="I2327" t="s">
        <v>15</v>
      </c>
      <c r="J2327">
        <v>0</v>
      </c>
      <c r="K2327">
        <v>1</v>
      </c>
      <c r="L2327">
        <v>0</v>
      </c>
      <c r="M2327">
        <f>VLOOKUP(Table1[[#This Row],[subscription_type]],Plans!$A$1:$B$5,2,FALSE)</f>
        <v>14.99</v>
      </c>
      <c r="N2327">
        <f t="shared" si="36"/>
        <v>0</v>
      </c>
    </row>
    <row r="2328" spans="1:14" x14ac:dyDescent="0.35">
      <c r="A2328">
        <v>2327</v>
      </c>
      <c r="B2328" t="s">
        <v>20</v>
      </c>
      <c r="C2328">
        <v>50</v>
      </c>
      <c r="D2328" t="s">
        <v>26</v>
      </c>
      <c r="E2328" t="s">
        <v>18</v>
      </c>
      <c r="F2328">
        <v>150</v>
      </c>
      <c r="G2328">
        <v>71</v>
      </c>
      <c r="H2328">
        <v>0.02</v>
      </c>
      <c r="I2328" t="s">
        <v>15</v>
      </c>
      <c r="J2328">
        <v>0</v>
      </c>
      <c r="K2328">
        <v>1</v>
      </c>
      <c r="L2328">
        <v>0</v>
      </c>
      <c r="M2328">
        <f>VLOOKUP(Table1[[#This Row],[subscription_type]],Plans!$A$1:$B$5,2,FALSE)</f>
        <v>14.99</v>
      </c>
      <c r="N2328">
        <f t="shared" si="36"/>
        <v>0</v>
      </c>
    </row>
    <row r="2329" spans="1:14" x14ac:dyDescent="0.35">
      <c r="A2329">
        <v>2328</v>
      </c>
      <c r="B2329" t="s">
        <v>12</v>
      </c>
      <c r="C2329">
        <v>57</v>
      </c>
      <c r="D2329" t="s">
        <v>29</v>
      </c>
      <c r="E2329" t="s">
        <v>24</v>
      </c>
      <c r="F2329">
        <v>140</v>
      </c>
      <c r="G2329">
        <v>3</v>
      </c>
      <c r="H2329">
        <v>0.02</v>
      </c>
      <c r="I2329" t="s">
        <v>15</v>
      </c>
      <c r="J2329">
        <v>0</v>
      </c>
      <c r="K2329">
        <v>1</v>
      </c>
      <c r="L2329">
        <v>0</v>
      </c>
      <c r="M2329">
        <f>VLOOKUP(Table1[[#This Row],[subscription_type]],Plans!$A$1:$B$5,2,FALSE)</f>
        <v>4.99</v>
      </c>
      <c r="N2329">
        <f t="shared" si="36"/>
        <v>0</v>
      </c>
    </row>
    <row r="2330" spans="1:14" x14ac:dyDescent="0.35">
      <c r="A2330">
        <v>2329</v>
      </c>
      <c r="B2330" t="s">
        <v>16</v>
      </c>
      <c r="C2330">
        <v>33</v>
      </c>
      <c r="D2330" t="s">
        <v>25</v>
      </c>
      <c r="E2330" t="s">
        <v>14</v>
      </c>
      <c r="F2330">
        <v>28</v>
      </c>
      <c r="G2330">
        <v>3</v>
      </c>
      <c r="H2330">
        <v>0.37</v>
      </c>
      <c r="I2330" t="s">
        <v>19</v>
      </c>
      <c r="J2330">
        <v>46</v>
      </c>
      <c r="K2330">
        <v>0</v>
      </c>
      <c r="L2330">
        <v>0</v>
      </c>
      <c r="M2330">
        <f>VLOOKUP(Table1[[#This Row],[subscription_type]],Plans!$A$1:$B$5,2,FALSE)</f>
        <v>0</v>
      </c>
      <c r="N2330">
        <f t="shared" si="36"/>
        <v>0</v>
      </c>
    </row>
    <row r="2331" spans="1:14" x14ac:dyDescent="0.35">
      <c r="A2331">
        <v>2330</v>
      </c>
      <c r="B2331" t="s">
        <v>20</v>
      </c>
      <c r="C2331">
        <v>39</v>
      </c>
      <c r="D2331" t="s">
        <v>29</v>
      </c>
      <c r="E2331" t="s">
        <v>14</v>
      </c>
      <c r="F2331">
        <v>53</v>
      </c>
      <c r="G2331">
        <v>1</v>
      </c>
      <c r="H2331">
        <v>0.34</v>
      </c>
      <c r="I2331" t="s">
        <v>19</v>
      </c>
      <c r="J2331">
        <v>5</v>
      </c>
      <c r="K2331">
        <v>0</v>
      </c>
      <c r="L2331">
        <v>0</v>
      </c>
      <c r="M2331">
        <f>VLOOKUP(Table1[[#This Row],[subscription_type]],Plans!$A$1:$B$5,2,FALSE)</f>
        <v>0</v>
      </c>
      <c r="N2331">
        <f t="shared" si="36"/>
        <v>0</v>
      </c>
    </row>
    <row r="2332" spans="1:14" x14ac:dyDescent="0.35">
      <c r="A2332">
        <v>2331</v>
      </c>
      <c r="B2332" t="s">
        <v>20</v>
      </c>
      <c r="C2332">
        <v>51</v>
      </c>
      <c r="D2332" t="s">
        <v>26</v>
      </c>
      <c r="E2332" t="s">
        <v>22</v>
      </c>
      <c r="F2332">
        <v>290</v>
      </c>
      <c r="G2332">
        <v>95</v>
      </c>
      <c r="H2332">
        <v>0.09</v>
      </c>
      <c r="I2332" t="s">
        <v>23</v>
      </c>
      <c r="J2332">
        <v>0</v>
      </c>
      <c r="K2332">
        <v>1</v>
      </c>
      <c r="L2332">
        <v>0</v>
      </c>
      <c r="M2332">
        <f>VLOOKUP(Table1[[#This Row],[subscription_type]],Plans!$A$1:$B$5,2,FALSE)</f>
        <v>9.99</v>
      </c>
      <c r="N2332">
        <f t="shared" si="36"/>
        <v>0</v>
      </c>
    </row>
    <row r="2333" spans="1:14" x14ac:dyDescent="0.35">
      <c r="A2333">
        <v>2332</v>
      </c>
      <c r="B2333" t="s">
        <v>16</v>
      </c>
      <c r="C2333">
        <v>44</v>
      </c>
      <c r="D2333" t="s">
        <v>13</v>
      </c>
      <c r="E2333" t="s">
        <v>18</v>
      </c>
      <c r="F2333">
        <v>214</v>
      </c>
      <c r="G2333">
        <v>92</v>
      </c>
      <c r="H2333">
        <v>0.18</v>
      </c>
      <c r="I2333" t="s">
        <v>15</v>
      </c>
      <c r="J2333">
        <v>0</v>
      </c>
      <c r="K2333">
        <v>1</v>
      </c>
      <c r="L2333">
        <v>0</v>
      </c>
      <c r="M2333">
        <f>VLOOKUP(Table1[[#This Row],[subscription_type]],Plans!$A$1:$B$5,2,FALSE)</f>
        <v>14.99</v>
      </c>
      <c r="N2333">
        <f t="shared" si="36"/>
        <v>0</v>
      </c>
    </row>
    <row r="2334" spans="1:14" x14ac:dyDescent="0.35">
      <c r="A2334">
        <v>2333</v>
      </c>
      <c r="B2334" t="s">
        <v>20</v>
      </c>
      <c r="C2334">
        <v>47</v>
      </c>
      <c r="D2334" t="s">
        <v>27</v>
      </c>
      <c r="E2334" t="s">
        <v>24</v>
      </c>
      <c r="F2334">
        <v>170</v>
      </c>
      <c r="G2334">
        <v>35</v>
      </c>
      <c r="H2334">
        <v>0.47</v>
      </c>
      <c r="I2334" t="s">
        <v>19</v>
      </c>
      <c r="J2334">
        <v>0</v>
      </c>
      <c r="K2334">
        <v>1</v>
      </c>
      <c r="L2334">
        <v>0</v>
      </c>
      <c r="M2334">
        <f>VLOOKUP(Table1[[#This Row],[subscription_type]],Plans!$A$1:$B$5,2,FALSE)</f>
        <v>4.99</v>
      </c>
      <c r="N2334">
        <f t="shared" si="36"/>
        <v>0</v>
      </c>
    </row>
    <row r="2335" spans="1:14" x14ac:dyDescent="0.35">
      <c r="A2335">
        <v>2334</v>
      </c>
      <c r="B2335" t="s">
        <v>16</v>
      </c>
      <c r="C2335">
        <v>53</v>
      </c>
      <c r="D2335" t="s">
        <v>26</v>
      </c>
      <c r="E2335" t="s">
        <v>24</v>
      </c>
      <c r="F2335">
        <v>202</v>
      </c>
      <c r="G2335">
        <v>65</v>
      </c>
      <c r="H2335">
        <v>0.18</v>
      </c>
      <c r="I2335" t="s">
        <v>15</v>
      </c>
      <c r="J2335">
        <v>0</v>
      </c>
      <c r="K2335">
        <v>1</v>
      </c>
      <c r="L2335">
        <v>1</v>
      </c>
      <c r="M2335">
        <f>VLOOKUP(Table1[[#This Row],[subscription_type]],Plans!$A$1:$B$5,2,FALSE)</f>
        <v>4.99</v>
      </c>
      <c r="N2335">
        <f t="shared" si="36"/>
        <v>4.99</v>
      </c>
    </row>
    <row r="2336" spans="1:14" x14ac:dyDescent="0.35">
      <c r="A2336">
        <v>2335</v>
      </c>
      <c r="B2336" t="s">
        <v>20</v>
      </c>
      <c r="C2336">
        <v>55</v>
      </c>
      <c r="D2336" t="s">
        <v>17</v>
      </c>
      <c r="E2336" t="s">
        <v>24</v>
      </c>
      <c r="F2336">
        <v>250</v>
      </c>
      <c r="G2336">
        <v>93</v>
      </c>
      <c r="H2336">
        <v>0.45</v>
      </c>
      <c r="I2336" t="s">
        <v>15</v>
      </c>
      <c r="J2336">
        <v>0</v>
      </c>
      <c r="K2336">
        <v>1</v>
      </c>
      <c r="L2336">
        <v>0</v>
      </c>
      <c r="M2336">
        <f>VLOOKUP(Table1[[#This Row],[subscription_type]],Plans!$A$1:$B$5,2,FALSE)</f>
        <v>4.99</v>
      </c>
      <c r="N2336">
        <f t="shared" si="36"/>
        <v>0</v>
      </c>
    </row>
    <row r="2337" spans="1:14" x14ac:dyDescent="0.35">
      <c r="A2337">
        <v>2336</v>
      </c>
      <c r="B2337" t="s">
        <v>16</v>
      </c>
      <c r="C2337">
        <v>47</v>
      </c>
      <c r="D2337" t="s">
        <v>21</v>
      </c>
      <c r="E2337" t="s">
        <v>18</v>
      </c>
      <c r="F2337">
        <v>159</v>
      </c>
      <c r="G2337">
        <v>81</v>
      </c>
      <c r="H2337">
        <v>0.06</v>
      </c>
      <c r="I2337" t="s">
        <v>15</v>
      </c>
      <c r="J2337">
        <v>0</v>
      </c>
      <c r="K2337">
        <v>1</v>
      </c>
      <c r="L2337">
        <v>1</v>
      </c>
      <c r="M2337">
        <f>VLOOKUP(Table1[[#This Row],[subscription_type]],Plans!$A$1:$B$5,2,FALSE)</f>
        <v>14.99</v>
      </c>
      <c r="N2337">
        <f t="shared" si="36"/>
        <v>14.99</v>
      </c>
    </row>
    <row r="2338" spans="1:14" x14ac:dyDescent="0.35">
      <c r="A2338">
        <v>2337</v>
      </c>
      <c r="B2338" t="s">
        <v>20</v>
      </c>
      <c r="C2338">
        <v>49</v>
      </c>
      <c r="D2338" t="s">
        <v>28</v>
      </c>
      <c r="E2338" t="s">
        <v>22</v>
      </c>
      <c r="F2338">
        <v>165</v>
      </c>
      <c r="G2338">
        <v>62</v>
      </c>
      <c r="H2338">
        <v>0.27</v>
      </c>
      <c r="I2338" t="s">
        <v>19</v>
      </c>
      <c r="J2338">
        <v>0</v>
      </c>
      <c r="K2338">
        <v>1</v>
      </c>
      <c r="L2338">
        <v>0</v>
      </c>
      <c r="M2338">
        <f>VLOOKUP(Table1[[#This Row],[subscription_type]],Plans!$A$1:$B$5,2,FALSE)</f>
        <v>9.99</v>
      </c>
      <c r="N2338">
        <f t="shared" si="36"/>
        <v>0</v>
      </c>
    </row>
    <row r="2339" spans="1:14" x14ac:dyDescent="0.35">
      <c r="A2339">
        <v>2338</v>
      </c>
      <c r="B2339" t="s">
        <v>16</v>
      </c>
      <c r="C2339">
        <v>22</v>
      </c>
      <c r="D2339" t="s">
        <v>28</v>
      </c>
      <c r="E2339" t="s">
        <v>22</v>
      </c>
      <c r="F2339">
        <v>118</v>
      </c>
      <c r="G2339">
        <v>95</v>
      </c>
      <c r="H2339">
        <v>0.48</v>
      </c>
      <c r="I2339" t="s">
        <v>15</v>
      </c>
      <c r="J2339">
        <v>0</v>
      </c>
      <c r="K2339">
        <v>1</v>
      </c>
      <c r="L2339">
        <v>1</v>
      </c>
      <c r="M2339">
        <f>VLOOKUP(Table1[[#This Row],[subscription_type]],Plans!$A$1:$B$5,2,FALSE)</f>
        <v>9.99</v>
      </c>
      <c r="N2339">
        <f t="shared" si="36"/>
        <v>9.99</v>
      </c>
    </row>
    <row r="2340" spans="1:14" x14ac:dyDescent="0.35">
      <c r="A2340">
        <v>2339</v>
      </c>
      <c r="B2340" t="s">
        <v>16</v>
      </c>
      <c r="C2340">
        <v>31</v>
      </c>
      <c r="D2340" t="s">
        <v>25</v>
      </c>
      <c r="E2340" t="s">
        <v>22</v>
      </c>
      <c r="F2340">
        <v>91</v>
      </c>
      <c r="G2340">
        <v>8</v>
      </c>
      <c r="H2340">
        <v>0.56000000000000005</v>
      </c>
      <c r="I2340" t="s">
        <v>15</v>
      </c>
      <c r="J2340">
        <v>0</v>
      </c>
      <c r="K2340">
        <v>1</v>
      </c>
      <c r="L2340">
        <v>0</v>
      </c>
      <c r="M2340">
        <f>VLOOKUP(Table1[[#This Row],[subscription_type]],Plans!$A$1:$B$5,2,FALSE)</f>
        <v>9.99</v>
      </c>
      <c r="N2340">
        <f t="shared" si="36"/>
        <v>0</v>
      </c>
    </row>
    <row r="2341" spans="1:14" x14ac:dyDescent="0.35">
      <c r="A2341">
        <v>2340</v>
      </c>
      <c r="B2341" t="s">
        <v>16</v>
      </c>
      <c r="C2341">
        <v>32</v>
      </c>
      <c r="D2341" t="s">
        <v>28</v>
      </c>
      <c r="E2341" t="s">
        <v>14</v>
      </c>
      <c r="F2341">
        <v>72</v>
      </c>
      <c r="G2341">
        <v>70</v>
      </c>
      <c r="H2341">
        <v>0.47</v>
      </c>
      <c r="I2341" t="s">
        <v>19</v>
      </c>
      <c r="J2341">
        <v>46</v>
      </c>
      <c r="K2341">
        <v>0</v>
      </c>
      <c r="L2341">
        <v>0</v>
      </c>
      <c r="M2341">
        <f>VLOOKUP(Table1[[#This Row],[subscription_type]],Plans!$A$1:$B$5,2,FALSE)</f>
        <v>0</v>
      </c>
      <c r="N2341">
        <f t="shared" si="36"/>
        <v>0</v>
      </c>
    </row>
    <row r="2342" spans="1:14" x14ac:dyDescent="0.35">
      <c r="A2342">
        <v>2341</v>
      </c>
      <c r="B2342" t="s">
        <v>12</v>
      </c>
      <c r="C2342">
        <v>48</v>
      </c>
      <c r="D2342" t="s">
        <v>26</v>
      </c>
      <c r="E2342" t="s">
        <v>22</v>
      </c>
      <c r="F2342">
        <v>188</v>
      </c>
      <c r="G2342">
        <v>32</v>
      </c>
      <c r="H2342">
        <v>0.03</v>
      </c>
      <c r="I2342" t="s">
        <v>15</v>
      </c>
      <c r="J2342">
        <v>0</v>
      </c>
      <c r="K2342">
        <v>1</v>
      </c>
      <c r="L2342">
        <v>1</v>
      </c>
      <c r="M2342">
        <f>VLOOKUP(Table1[[#This Row],[subscription_type]],Plans!$A$1:$B$5,2,FALSE)</f>
        <v>9.99</v>
      </c>
      <c r="N2342">
        <f t="shared" si="36"/>
        <v>9.99</v>
      </c>
    </row>
    <row r="2343" spans="1:14" x14ac:dyDescent="0.35">
      <c r="A2343">
        <v>2342</v>
      </c>
      <c r="B2343" t="s">
        <v>12</v>
      </c>
      <c r="C2343">
        <v>17</v>
      </c>
      <c r="D2343" t="s">
        <v>28</v>
      </c>
      <c r="E2343" t="s">
        <v>24</v>
      </c>
      <c r="F2343">
        <v>172</v>
      </c>
      <c r="G2343">
        <v>52</v>
      </c>
      <c r="H2343">
        <v>0.32</v>
      </c>
      <c r="I2343" t="s">
        <v>23</v>
      </c>
      <c r="J2343">
        <v>0</v>
      </c>
      <c r="K2343">
        <v>1</v>
      </c>
      <c r="L2343">
        <v>0</v>
      </c>
      <c r="M2343">
        <f>VLOOKUP(Table1[[#This Row],[subscription_type]],Plans!$A$1:$B$5,2,FALSE)</f>
        <v>4.99</v>
      </c>
      <c r="N2343">
        <f t="shared" si="36"/>
        <v>0</v>
      </c>
    </row>
    <row r="2344" spans="1:14" x14ac:dyDescent="0.35">
      <c r="A2344">
        <v>2343</v>
      </c>
      <c r="B2344" t="s">
        <v>12</v>
      </c>
      <c r="C2344">
        <v>42</v>
      </c>
      <c r="D2344" t="s">
        <v>13</v>
      </c>
      <c r="E2344" t="s">
        <v>24</v>
      </c>
      <c r="F2344">
        <v>30</v>
      </c>
      <c r="G2344">
        <v>90</v>
      </c>
      <c r="H2344">
        <v>0.27</v>
      </c>
      <c r="I2344" t="s">
        <v>23</v>
      </c>
      <c r="J2344">
        <v>0</v>
      </c>
      <c r="K2344">
        <v>1</v>
      </c>
      <c r="L2344">
        <v>0</v>
      </c>
      <c r="M2344">
        <f>VLOOKUP(Table1[[#This Row],[subscription_type]],Plans!$A$1:$B$5,2,FALSE)</f>
        <v>4.99</v>
      </c>
      <c r="N2344">
        <f t="shared" si="36"/>
        <v>0</v>
      </c>
    </row>
    <row r="2345" spans="1:14" x14ac:dyDescent="0.35">
      <c r="A2345">
        <v>2344</v>
      </c>
      <c r="B2345" t="s">
        <v>20</v>
      </c>
      <c r="C2345">
        <v>22</v>
      </c>
      <c r="D2345" t="s">
        <v>26</v>
      </c>
      <c r="E2345" t="s">
        <v>22</v>
      </c>
      <c r="F2345">
        <v>49</v>
      </c>
      <c r="G2345">
        <v>38</v>
      </c>
      <c r="H2345">
        <v>0.11</v>
      </c>
      <c r="I2345" t="s">
        <v>15</v>
      </c>
      <c r="J2345">
        <v>0</v>
      </c>
      <c r="K2345">
        <v>1</v>
      </c>
      <c r="L2345">
        <v>0</v>
      </c>
      <c r="M2345">
        <f>VLOOKUP(Table1[[#This Row],[subscription_type]],Plans!$A$1:$B$5,2,FALSE)</f>
        <v>9.99</v>
      </c>
      <c r="N2345">
        <f t="shared" si="36"/>
        <v>0</v>
      </c>
    </row>
    <row r="2346" spans="1:14" x14ac:dyDescent="0.35">
      <c r="A2346">
        <v>2345</v>
      </c>
      <c r="B2346" t="s">
        <v>20</v>
      </c>
      <c r="C2346">
        <v>32</v>
      </c>
      <c r="D2346" t="s">
        <v>28</v>
      </c>
      <c r="E2346" t="s">
        <v>14</v>
      </c>
      <c r="F2346">
        <v>128</v>
      </c>
      <c r="G2346">
        <v>14</v>
      </c>
      <c r="H2346">
        <v>0.35</v>
      </c>
      <c r="I2346" t="s">
        <v>19</v>
      </c>
      <c r="J2346">
        <v>7</v>
      </c>
      <c r="K2346">
        <v>0</v>
      </c>
      <c r="L2346">
        <v>0</v>
      </c>
      <c r="M2346">
        <f>VLOOKUP(Table1[[#This Row],[subscription_type]],Plans!$A$1:$B$5,2,FALSE)</f>
        <v>0</v>
      </c>
      <c r="N2346">
        <f t="shared" si="36"/>
        <v>0</v>
      </c>
    </row>
    <row r="2347" spans="1:14" x14ac:dyDescent="0.35">
      <c r="A2347">
        <v>2346</v>
      </c>
      <c r="B2347" t="s">
        <v>20</v>
      </c>
      <c r="C2347">
        <v>26</v>
      </c>
      <c r="D2347" t="s">
        <v>25</v>
      </c>
      <c r="E2347" t="s">
        <v>22</v>
      </c>
      <c r="F2347">
        <v>119</v>
      </c>
      <c r="G2347">
        <v>11</v>
      </c>
      <c r="H2347">
        <v>0.27</v>
      </c>
      <c r="I2347" t="s">
        <v>23</v>
      </c>
      <c r="J2347">
        <v>0</v>
      </c>
      <c r="K2347">
        <v>1</v>
      </c>
      <c r="L2347">
        <v>0</v>
      </c>
      <c r="M2347">
        <f>VLOOKUP(Table1[[#This Row],[subscription_type]],Plans!$A$1:$B$5,2,FALSE)</f>
        <v>9.99</v>
      </c>
      <c r="N2347">
        <f t="shared" si="36"/>
        <v>0</v>
      </c>
    </row>
    <row r="2348" spans="1:14" x14ac:dyDescent="0.35">
      <c r="A2348">
        <v>2347</v>
      </c>
      <c r="B2348" t="s">
        <v>12</v>
      </c>
      <c r="C2348">
        <v>45</v>
      </c>
      <c r="D2348" t="s">
        <v>29</v>
      </c>
      <c r="E2348" t="s">
        <v>22</v>
      </c>
      <c r="F2348">
        <v>80</v>
      </c>
      <c r="G2348">
        <v>28</v>
      </c>
      <c r="H2348">
        <v>0.37</v>
      </c>
      <c r="I2348" t="s">
        <v>19</v>
      </c>
      <c r="J2348">
        <v>0</v>
      </c>
      <c r="K2348">
        <v>1</v>
      </c>
      <c r="L2348">
        <v>0</v>
      </c>
      <c r="M2348">
        <f>VLOOKUP(Table1[[#This Row],[subscription_type]],Plans!$A$1:$B$5,2,FALSE)</f>
        <v>9.99</v>
      </c>
      <c r="N2348">
        <f t="shared" si="36"/>
        <v>0</v>
      </c>
    </row>
    <row r="2349" spans="1:14" x14ac:dyDescent="0.35">
      <c r="A2349">
        <v>2348</v>
      </c>
      <c r="B2349" t="s">
        <v>12</v>
      </c>
      <c r="C2349">
        <v>38</v>
      </c>
      <c r="D2349" t="s">
        <v>13</v>
      </c>
      <c r="E2349" t="s">
        <v>24</v>
      </c>
      <c r="F2349">
        <v>84</v>
      </c>
      <c r="G2349">
        <v>86</v>
      </c>
      <c r="H2349">
        <v>0.38</v>
      </c>
      <c r="I2349" t="s">
        <v>23</v>
      </c>
      <c r="J2349">
        <v>0</v>
      </c>
      <c r="K2349">
        <v>1</v>
      </c>
      <c r="L2349">
        <v>0</v>
      </c>
      <c r="M2349">
        <f>VLOOKUP(Table1[[#This Row],[subscription_type]],Plans!$A$1:$B$5,2,FALSE)</f>
        <v>4.99</v>
      </c>
      <c r="N2349">
        <f t="shared" si="36"/>
        <v>0</v>
      </c>
    </row>
    <row r="2350" spans="1:14" x14ac:dyDescent="0.35">
      <c r="A2350">
        <v>2349</v>
      </c>
      <c r="B2350" t="s">
        <v>12</v>
      </c>
      <c r="C2350">
        <v>38</v>
      </c>
      <c r="D2350" t="s">
        <v>21</v>
      </c>
      <c r="E2350" t="s">
        <v>24</v>
      </c>
      <c r="F2350">
        <v>87</v>
      </c>
      <c r="G2350">
        <v>88</v>
      </c>
      <c r="H2350">
        <v>0.4</v>
      </c>
      <c r="I2350" t="s">
        <v>19</v>
      </c>
      <c r="J2350">
        <v>0</v>
      </c>
      <c r="K2350">
        <v>1</v>
      </c>
      <c r="L2350">
        <v>0</v>
      </c>
      <c r="M2350">
        <f>VLOOKUP(Table1[[#This Row],[subscription_type]],Plans!$A$1:$B$5,2,FALSE)</f>
        <v>4.99</v>
      </c>
      <c r="N2350">
        <f t="shared" si="36"/>
        <v>0</v>
      </c>
    </row>
    <row r="2351" spans="1:14" x14ac:dyDescent="0.35">
      <c r="A2351">
        <v>2350</v>
      </c>
      <c r="B2351" t="s">
        <v>16</v>
      </c>
      <c r="C2351">
        <v>41</v>
      </c>
      <c r="D2351" t="s">
        <v>21</v>
      </c>
      <c r="E2351" t="s">
        <v>18</v>
      </c>
      <c r="F2351">
        <v>22</v>
      </c>
      <c r="G2351">
        <v>72</v>
      </c>
      <c r="H2351">
        <v>0.11</v>
      </c>
      <c r="I2351" t="s">
        <v>23</v>
      </c>
      <c r="J2351">
        <v>0</v>
      </c>
      <c r="K2351">
        <v>1</v>
      </c>
      <c r="L2351">
        <v>0</v>
      </c>
      <c r="M2351">
        <f>VLOOKUP(Table1[[#This Row],[subscription_type]],Plans!$A$1:$B$5,2,FALSE)</f>
        <v>14.99</v>
      </c>
      <c r="N2351">
        <f t="shared" si="36"/>
        <v>0</v>
      </c>
    </row>
    <row r="2352" spans="1:14" x14ac:dyDescent="0.35">
      <c r="A2352">
        <v>2351</v>
      </c>
      <c r="B2352" t="s">
        <v>20</v>
      </c>
      <c r="C2352">
        <v>24</v>
      </c>
      <c r="D2352" t="s">
        <v>29</v>
      </c>
      <c r="E2352" t="s">
        <v>24</v>
      </c>
      <c r="F2352">
        <v>199</v>
      </c>
      <c r="G2352">
        <v>90</v>
      </c>
      <c r="H2352">
        <v>0.55000000000000004</v>
      </c>
      <c r="I2352" t="s">
        <v>19</v>
      </c>
      <c r="J2352">
        <v>0</v>
      </c>
      <c r="K2352">
        <v>1</v>
      </c>
      <c r="L2352">
        <v>0</v>
      </c>
      <c r="M2352">
        <f>VLOOKUP(Table1[[#This Row],[subscription_type]],Plans!$A$1:$B$5,2,FALSE)</f>
        <v>4.99</v>
      </c>
      <c r="N2352">
        <f t="shared" si="36"/>
        <v>0</v>
      </c>
    </row>
    <row r="2353" spans="1:14" x14ac:dyDescent="0.35">
      <c r="A2353">
        <v>2352</v>
      </c>
      <c r="B2353" t="s">
        <v>20</v>
      </c>
      <c r="C2353">
        <v>35</v>
      </c>
      <c r="D2353" t="s">
        <v>21</v>
      </c>
      <c r="E2353" t="s">
        <v>24</v>
      </c>
      <c r="F2353">
        <v>163</v>
      </c>
      <c r="G2353">
        <v>97</v>
      </c>
      <c r="H2353">
        <v>0.53</v>
      </c>
      <c r="I2353" t="s">
        <v>19</v>
      </c>
      <c r="J2353">
        <v>0</v>
      </c>
      <c r="K2353">
        <v>1</v>
      </c>
      <c r="L2353">
        <v>0</v>
      </c>
      <c r="M2353">
        <f>VLOOKUP(Table1[[#This Row],[subscription_type]],Plans!$A$1:$B$5,2,FALSE)</f>
        <v>4.99</v>
      </c>
      <c r="N2353">
        <f t="shared" si="36"/>
        <v>0</v>
      </c>
    </row>
    <row r="2354" spans="1:14" x14ac:dyDescent="0.35">
      <c r="A2354">
        <v>2353</v>
      </c>
      <c r="B2354" t="s">
        <v>16</v>
      </c>
      <c r="C2354">
        <v>23</v>
      </c>
      <c r="D2354" t="s">
        <v>27</v>
      </c>
      <c r="E2354" t="s">
        <v>18</v>
      </c>
      <c r="F2354">
        <v>92</v>
      </c>
      <c r="G2354">
        <v>40</v>
      </c>
      <c r="H2354">
        <v>0.42</v>
      </c>
      <c r="I2354" t="s">
        <v>23</v>
      </c>
      <c r="J2354">
        <v>0</v>
      </c>
      <c r="K2354">
        <v>1</v>
      </c>
      <c r="L2354">
        <v>0</v>
      </c>
      <c r="M2354">
        <f>VLOOKUP(Table1[[#This Row],[subscription_type]],Plans!$A$1:$B$5,2,FALSE)</f>
        <v>14.99</v>
      </c>
      <c r="N2354">
        <f t="shared" si="36"/>
        <v>0</v>
      </c>
    </row>
    <row r="2355" spans="1:14" x14ac:dyDescent="0.35">
      <c r="A2355">
        <v>2354</v>
      </c>
      <c r="B2355" t="s">
        <v>12</v>
      </c>
      <c r="C2355">
        <v>27</v>
      </c>
      <c r="D2355" t="s">
        <v>17</v>
      </c>
      <c r="E2355" t="s">
        <v>14</v>
      </c>
      <c r="F2355">
        <v>252</v>
      </c>
      <c r="G2355">
        <v>11</v>
      </c>
      <c r="H2355">
        <v>0.35</v>
      </c>
      <c r="I2355" t="s">
        <v>19</v>
      </c>
      <c r="J2355">
        <v>28</v>
      </c>
      <c r="K2355">
        <v>0</v>
      </c>
      <c r="L2355">
        <v>0</v>
      </c>
      <c r="M2355">
        <f>VLOOKUP(Table1[[#This Row],[subscription_type]],Plans!$A$1:$B$5,2,FALSE)</f>
        <v>0</v>
      </c>
      <c r="N2355">
        <f t="shared" si="36"/>
        <v>0</v>
      </c>
    </row>
    <row r="2356" spans="1:14" x14ac:dyDescent="0.35">
      <c r="A2356">
        <v>2355</v>
      </c>
      <c r="B2356" t="s">
        <v>20</v>
      </c>
      <c r="C2356">
        <v>18</v>
      </c>
      <c r="D2356" t="s">
        <v>25</v>
      </c>
      <c r="E2356" t="s">
        <v>14</v>
      </c>
      <c r="F2356">
        <v>124</v>
      </c>
      <c r="G2356">
        <v>35</v>
      </c>
      <c r="H2356">
        <v>0.45</v>
      </c>
      <c r="I2356" t="s">
        <v>19</v>
      </c>
      <c r="J2356">
        <v>28</v>
      </c>
      <c r="K2356">
        <v>0</v>
      </c>
      <c r="L2356">
        <v>1</v>
      </c>
      <c r="M2356">
        <f>VLOOKUP(Table1[[#This Row],[subscription_type]],Plans!$A$1:$B$5,2,FALSE)</f>
        <v>0</v>
      </c>
      <c r="N2356">
        <f t="shared" si="36"/>
        <v>0</v>
      </c>
    </row>
    <row r="2357" spans="1:14" x14ac:dyDescent="0.35">
      <c r="A2357">
        <v>2356</v>
      </c>
      <c r="B2357" t="s">
        <v>12</v>
      </c>
      <c r="C2357">
        <v>55</v>
      </c>
      <c r="D2357" t="s">
        <v>28</v>
      </c>
      <c r="E2357" t="s">
        <v>24</v>
      </c>
      <c r="F2357">
        <v>271</v>
      </c>
      <c r="G2357">
        <v>29</v>
      </c>
      <c r="H2357">
        <v>7.0000000000000007E-2</v>
      </c>
      <c r="I2357" t="s">
        <v>15</v>
      </c>
      <c r="J2357">
        <v>0</v>
      </c>
      <c r="K2357">
        <v>1</v>
      </c>
      <c r="L2357">
        <v>1</v>
      </c>
      <c r="M2357">
        <f>VLOOKUP(Table1[[#This Row],[subscription_type]],Plans!$A$1:$B$5,2,FALSE)</f>
        <v>4.99</v>
      </c>
      <c r="N2357">
        <f t="shared" si="36"/>
        <v>4.99</v>
      </c>
    </row>
    <row r="2358" spans="1:14" x14ac:dyDescent="0.35">
      <c r="A2358">
        <v>2357</v>
      </c>
      <c r="B2358" t="s">
        <v>20</v>
      </c>
      <c r="C2358">
        <v>21</v>
      </c>
      <c r="D2358" t="s">
        <v>25</v>
      </c>
      <c r="E2358" t="s">
        <v>22</v>
      </c>
      <c r="F2358">
        <v>26</v>
      </c>
      <c r="G2358">
        <v>96</v>
      </c>
      <c r="H2358">
        <v>0.24</v>
      </c>
      <c r="I2358" t="s">
        <v>19</v>
      </c>
      <c r="J2358">
        <v>0</v>
      </c>
      <c r="K2358">
        <v>1</v>
      </c>
      <c r="L2358">
        <v>0</v>
      </c>
      <c r="M2358">
        <f>VLOOKUP(Table1[[#This Row],[subscription_type]],Plans!$A$1:$B$5,2,FALSE)</f>
        <v>9.99</v>
      </c>
      <c r="N2358">
        <f t="shared" si="36"/>
        <v>0</v>
      </c>
    </row>
    <row r="2359" spans="1:14" x14ac:dyDescent="0.35">
      <c r="A2359">
        <v>2358</v>
      </c>
      <c r="B2359" t="s">
        <v>20</v>
      </c>
      <c r="C2359">
        <v>48</v>
      </c>
      <c r="D2359" t="s">
        <v>13</v>
      </c>
      <c r="E2359" t="s">
        <v>24</v>
      </c>
      <c r="F2359">
        <v>50</v>
      </c>
      <c r="G2359">
        <v>33</v>
      </c>
      <c r="H2359">
        <v>0.1</v>
      </c>
      <c r="I2359" t="s">
        <v>23</v>
      </c>
      <c r="J2359">
        <v>0</v>
      </c>
      <c r="K2359">
        <v>1</v>
      </c>
      <c r="L2359">
        <v>0</v>
      </c>
      <c r="M2359">
        <f>VLOOKUP(Table1[[#This Row],[subscription_type]],Plans!$A$1:$B$5,2,FALSE)</f>
        <v>4.99</v>
      </c>
      <c r="N2359">
        <f t="shared" si="36"/>
        <v>0</v>
      </c>
    </row>
    <row r="2360" spans="1:14" x14ac:dyDescent="0.35">
      <c r="A2360">
        <v>2359</v>
      </c>
      <c r="B2360" t="s">
        <v>12</v>
      </c>
      <c r="C2360">
        <v>20</v>
      </c>
      <c r="D2360" t="s">
        <v>27</v>
      </c>
      <c r="E2360" t="s">
        <v>14</v>
      </c>
      <c r="F2360">
        <v>275</v>
      </c>
      <c r="G2360">
        <v>40</v>
      </c>
      <c r="H2360">
        <v>0.15</v>
      </c>
      <c r="I2360" t="s">
        <v>15</v>
      </c>
      <c r="J2360">
        <v>47</v>
      </c>
      <c r="K2360">
        <v>0</v>
      </c>
      <c r="L2360">
        <v>0</v>
      </c>
      <c r="M2360">
        <f>VLOOKUP(Table1[[#This Row],[subscription_type]],Plans!$A$1:$B$5,2,FALSE)</f>
        <v>0</v>
      </c>
      <c r="N2360">
        <f t="shared" si="36"/>
        <v>0</v>
      </c>
    </row>
    <row r="2361" spans="1:14" x14ac:dyDescent="0.35">
      <c r="A2361">
        <v>2360</v>
      </c>
      <c r="B2361" t="s">
        <v>12</v>
      </c>
      <c r="C2361">
        <v>32</v>
      </c>
      <c r="D2361" t="s">
        <v>21</v>
      </c>
      <c r="E2361" t="s">
        <v>18</v>
      </c>
      <c r="F2361">
        <v>175</v>
      </c>
      <c r="G2361">
        <v>75</v>
      </c>
      <c r="H2361">
        <v>0.5</v>
      </c>
      <c r="I2361" t="s">
        <v>15</v>
      </c>
      <c r="J2361">
        <v>0</v>
      </c>
      <c r="K2361">
        <v>1</v>
      </c>
      <c r="L2361">
        <v>0</v>
      </c>
      <c r="M2361">
        <f>VLOOKUP(Table1[[#This Row],[subscription_type]],Plans!$A$1:$B$5,2,FALSE)</f>
        <v>14.99</v>
      </c>
      <c r="N2361">
        <f t="shared" si="36"/>
        <v>0</v>
      </c>
    </row>
    <row r="2362" spans="1:14" x14ac:dyDescent="0.35">
      <c r="A2362">
        <v>2361</v>
      </c>
      <c r="B2362" t="s">
        <v>12</v>
      </c>
      <c r="C2362">
        <v>42</v>
      </c>
      <c r="D2362" t="s">
        <v>21</v>
      </c>
      <c r="E2362" t="s">
        <v>14</v>
      </c>
      <c r="F2362">
        <v>109</v>
      </c>
      <c r="G2362">
        <v>70</v>
      </c>
      <c r="H2362">
        <v>0.22</v>
      </c>
      <c r="I2362" t="s">
        <v>19</v>
      </c>
      <c r="J2362">
        <v>37</v>
      </c>
      <c r="K2362">
        <v>0</v>
      </c>
      <c r="L2362">
        <v>0</v>
      </c>
      <c r="M2362">
        <f>VLOOKUP(Table1[[#This Row],[subscription_type]],Plans!$A$1:$B$5,2,FALSE)</f>
        <v>0</v>
      </c>
      <c r="N2362">
        <f t="shared" si="36"/>
        <v>0</v>
      </c>
    </row>
    <row r="2363" spans="1:14" x14ac:dyDescent="0.35">
      <c r="A2363">
        <v>2362</v>
      </c>
      <c r="B2363" t="s">
        <v>16</v>
      </c>
      <c r="C2363">
        <v>19</v>
      </c>
      <c r="D2363" t="s">
        <v>21</v>
      </c>
      <c r="E2363" t="s">
        <v>22</v>
      </c>
      <c r="F2363">
        <v>187</v>
      </c>
      <c r="G2363">
        <v>54</v>
      </c>
      <c r="H2363">
        <v>0.52</v>
      </c>
      <c r="I2363" t="s">
        <v>23</v>
      </c>
      <c r="J2363">
        <v>0</v>
      </c>
      <c r="K2363">
        <v>1</v>
      </c>
      <c r="L2363">
        <v>0</v>
      </c>
      <c r="M2363">
        <f>VLOOKUP(Table1[[#This Row],[subscription_type]],Plans!$A$1:$B$5,2,FALSE)</f>
        <v>9.99</v>
      </c>
      <c r="N2363">
        <f t="shared" si="36"/>
        <v>0</v>
      </c>
    </row>
    <row r="2364" spans="1:14" x14ac:dyDescent="0.35">
      <c r="A2364">
        <v>2363</v>
      </c>
      <c r="B2364" t="s">
        <v>12</v>
      </c>
      <c r="C2364">
        <v>22</v>
      </c>
      <c r="D2364" t="s">
        <v>17</v>
      </c>
      <c r="E2364" t="s">
        <v>24</v>
      </c>
      <c r="F2364">
        <v>244</v>
      </c>
      <c r="G2364">
        <v>22</v>
      </c>
      <c r="H2364">
        <v>0.37</v>
      </c>
      <c r="I2364" t="s">
        <v>15</v>
      </c>
      <c r="J2364">
        <v>0</v>
      </c>
      <c r="K2364">
        <v>1</v>
      </c>
      <c r="L2364">
        <v>0</v>
      </c>
      <c r="M2364">
        <f>VLOOKUP(Table1[[#This Row],[subscription_type]],Plans!$A$1:$B$5,2,FALSE)</f>
        <v>4.99</v>
      </c>
      <c r="N2364">
        <f t="shared" si="36"/>
        <v>0</v>
      </c>
    </row>
    <row r="2365" spans="1:14" x14ac:dyDescent="0.35">
      <c r="A2365">
        <v>2364</v>
      </c>
      <c r="B2365" t="s">
        <v>12</v>
      </c>
      <c r="C2365">
        <v>50</v>
      </c>
      <c r="D2365" t="s">
        <v>17</v>
      </c>
      <c r="E2365" t="s">
        <v>24</v>
      </c>
      <c r="F2365">
        <v>123</v>
      </c>
      <c r="G2365">
        <v>8</v>
      </c>
      <c r="H2365">
        <v>0.48</v>
      </c>
      <c r="I2365" t="s">
        <v>15</v>
      </c>
      <c r="J2365">
        <v>0</v>
      </c>
      <c r="K2365">
        <v>1</v>
      </c>
      <c r="L2365">
        <v>0</v>
      </c>
      <c r="M2365">
        <f>VLOOKUP(Table1[[#This Row],[subscription_type]],Plans!$A$1:$B$5,2,FALSE)</f>
        <v>4.99</v>
      </c>
      <c r="N2365">
        <f t="shared" si="36"/>
        <v>0</v>
      </c>
    </row>
    <row r="2366" spans="1:14" x14ac:dyDescent="0.35">
      <c r="A2366">
        <v>2365</v>
      </c>
      <c r="B2366" t="s">
        <v>20</v>
      </c>
      <c r="C2366">
        <v>52</v>
      </c>
      <c r="D2366" t="s">
        <v>13</v>
      </c>
      <c r="E2366" t="s">
        <v>22</v>
      </c>
      <c r="F2366">
        <v>15</v>
      </c>
      <c r="G2366">
        <v>67</v>
      </c>
      <c r="H2366">
        <v>0.41</v>
      </c>
      <c r="I2366" t="s">
        <v>15</v>
      </c>
      <c r="J2366">
        <v>0</v>
      </c>
      <c r="K2366">
        <v>1</v>
      </c>
      <c r="L2366">
        <v>1</v>
      </c>
      <c r="M2366">
        <f>VLOOKUP(Table1[[#This Row],[subscription_type]],Plans!$A$1:$B$5,2,FALSE)</f>
        <v>9.99</v>
      </c>
      <c r="N2366">
        <f t="shared" si="36"/>
        <v>9.99</v>
      </c>
    </row>
    <row r="2367" spans="1:14" x14ac:dyDescent="0.35">
      <c r="A2367">
        <v>2366</v>
      </c>
      <c r="B2367" t="s">
        <v>20</v>
      </c>
      <c r="C2367">
        <v>31</v>
      </c>
      <c r="D2367" t="s">
        <v>13</v>
      </c>
      <c r="E2367" t="s">
        <v>14</v>
      </c>
      <c r="F2367">
        <v>88</v>
      </c>
      <c r="G2367">
        <v>11</v>
      </c>
      <c r="H2367">
        <v>0.54</v>
      </c>
      <c r="I2367" t="s">
        <v>23</v>
      </c>
      <c r="J2367">
        <v>47</v>
      </c>
      <c r="K2367">
        <v>0</v>
      </c>
      <c r="L2367">
        <v>1</v>
      </c>
      <c r="M2367">
        <f>VLOOKUP(Table1[[#This Row],[subscription_type]],Plans!$A$1:$B$5,2,FALSE)</f>
        <v>0</v>
      </c>
      <c r="N2367">
        <f t="shared" si="36"/>
        <v>0</v>
      </c>
    </row>
    <row r="2368" spans="1:14" x14ac:dyDescent="0.35">
      <c r="A2368">
        <v>2367</v>
      </c>
      <c r="B2368" t="s">
        <v>16</v>
      </c>
      <c r="C2368">
        <v>23</v>
      </c>
      <c r="D2368" t="s">
        <v>27</v>
      </c>
      <c r="E2368" t="s">
        <v>22</v>
      </c>
      <c r="F2368">
        <v>122</v>
      </c>
      <c r="G2368">
        <v>28</v>
      </c>
      <c r="H2368">
        <v>0.56000000000000005</v>
      </c>
      <c r="I2368" t="s">
        <v>23</v>
      </c>
      <c r="J2368">
        <v>0</v>
      </c>
      <c r="K2368">
        <v>1</v>
      </c>
      <c r="L2368">
        <v>0</v>
      </c>
      <c r="M2368">
        <f>VLOOKUP(Table1[[#This Row],[subscription_type]],Plans!$A$1:$B$5,2,FALSE)</f>
        <v>9.99</v>
      </c>
      <c r="N2368">
        <f t="shared" si="36"/>
        <v>0</v>
      </c>
    </row>
    <row r="2369" spans="1:14" x14ac:dyDescent="0.35">
      <c r="A2369">
        <v>2368</v>
      </c>
      <c r="B2369" t="s">
        <v>12</v>
      </c>
      <c r="C2369">
        <v>31</v>
      </c>
      <c r="D2369" t="s">
        <v>26</v>
      </c>
      <c r="E2369" t="s">
        <v>18</v>
      </c>
      <c r="F2369">
        <v>169</v>
      </c>
      <c r="G2369">
        <v>33</v>
      </c>
      <c r="H2369">
        <v>0.51</v>
      </c>
      <c r="I2369" t="s">
        <v>19</v>
      </c>
      <c r="J2369">
        <v>0</v>
      </c>
      <c r="K2369">
        <v>1</v>
      </c>
      <c r="L2369">
        <v>0</v>
      </c>
      <c r="M2369">
        <f>VLOOKUP(Table1[[#This Row],[subscription_type]],Plans!$A$1:$B$5,2,FALSE)</f>
        <v>14.99</v>
      </c>
      <c r="N2369">
        <f t="shared" si="36"/>
        <v>0</v>
      </c>
    </row>
    <row r="2370" spans="1:14" x14ac:dyDescent="0.35">
      <c r="A2370">
        <v>2369</v>
      </c>
      <c r="B2370" t="s">
        <v>16</v>
      </c>
      <c r="C2370">
        <v>16</v>
      </c>
      <c r="D2370" t="s">
        <v>13</v>
      </c>
      <c r="E2370" t="s">
        <v>22</v>
      </c>
      <c r="F2370">
        <v>68</v>
      </c>
      <c r="G2370">
        <v>57</v>
      </c>
      <c r="H2370">
        <v>0.4</v>
      </c>
      <c r="I2370" t="s">
        <v>19</v>
      </c>
      <c r="J2370">
        <v>0</v>
      </c>
      <c r="K2370">
        <v>1</v>
      </c>
      <c r="L2370">
        <v>0</v>
      </c>
      <c r="M2370">
        <f>VLOOKUP(Table1[[#This Row],[subscription_type]],Plans!$A$1:$B$5,2,FALSE)</f>
        <v>9.99</v>
      </c>
      <c r="N2370">
        <f t="shared" ref="N2370:N2433" si="37">IF(L2370=1, M2370,0)</f>
        <v>0</v>
      </c>
    </row>
    <row r="2371" spans="1:14" x14ac:dyDescent="0.35">
      <c r="A2371">
        <v>2370</v>
      </c>
      <c r="B2371" t="s">
        <v>12</v>
      </c>
      <c r="C2371">
        <v>39</v>
      </c>
      <c r="D2371" t="s">
        <v>28</v>
      </c>
      <c r="E2371" t="s">
        <v>18</v>
      </c>
      <c r="F2371">
        <v>62</v>
      </c>
      <c r="G2371">
        <v>57</v>
      </c>
      <c r="H2371">
        <v>0.34</v>
      </c>
      <c r="I2371" t="s">
        <v>23</v>
      </c>
      <c r="J2371">
        <v>0</v>
      </c>
      <c r="K2371">
        <v>1</v>
      </c>
      <c r="L2371">
        <v>0</v>
      </c>
      <c r="M2371">
        <f>VLOOKUP(Table1[[#This Row],[subscription_type]],Plans!$A$1:$B$5,2,FALSE)</f>
        <v>14.99</v>
      </c>
      <c r="N2371">
        <f t="shared" si="37"/>
        <v>0</v>
      </c>
    </row>
    <row r="2372" spans="1:14" x14ac:dyDescent="0.35">
      <c r="A2372">
        <v>2371</v>
      </c>
      <c r="B2372" t="s">
        <v>12</v>
      </c>
      <c r="C2372">
        <v>26</v>
      </c>
      <c r="D2372" t="s">
        <v>27</v>
      </c>
      <c r="E2372" t="s">
        <v>24</v>
      </c>
      <c r="F2372">
        <v>67</v>
      </c>
      <c r="G2372">
        <v>60</v>
      </c>
      <c r="H2372">
        <v>0.31</v>
      </c>
      <c r="I2372" t="s">
        <v>15</v>
      </c>
      <c r="J2372">
        <v>0</v>
      </c>
      <c r="K2372">
        <v>1</v>
      </c>
      <c r="L2372">
        <v>0</v>
      </c>
      <c r="M2372">
        <f>VLOOKUP(Table1[[#This Row],[subscription_type]],Plans!$A$1:$B$5,2,FALSE)</f>
        <v>4.99</v>
      </c>
      <c r="N2372">
        <f t="shared" si="37"/>
        <v>0</v>
      </c>
    </row>
    <row r="2373" spans="1:14" x14ac:dyDescent="0.35">
      <c r="A2373">
        <v>2372</v>
      </c>
      <c r="B2373" t="s">
        <v>16</v>
      </c>
      <c r="C2373">
        <v>45</v>
      </c>
      <c r="D2373" t="s">
        <v>25</v>
      </c>
      <c r="E2373" t="s">
        <v>18</v>
      </c>
      <c r="F2373">
        <v>254</v>
      </c>
      <c r="G2373">
        <v>57</v>
      </c>
      <c r="H2373">
        <v>0.43</v>
      </c>
      <c r="I2373" t="s">
        <v>19</v>
      </c>
      <c r="J2373">
        <v>0</v>
      </c>
      <c r="K2373">
        <v>1</v>
      </c>
      <c r="L2373">
        <v>0</v>
      </c>
      <c r="M2373">
        <f>VLOOKUP(Table1[[#This Row],[subscription_type]],Plans!$A$1:$B$5,2,FALSE)</f>
        <v>14.99</v>
      </c>
      <c r="N2373">
        <f t="shared" si="37"/>
        <v>0</v>
      </c>
    </row>
    <row r="2374" spans="1:14" x14ac:dyDescent="0.35">
      <c r="A2374">
        <v>2373</v>
      </c>
      <c r="B2374" t="s">
        <v>16</v>
      </c>
      <c r="C2374">
        <v>50</v>
      </c>
      <c r="D2374" t="s">
        <v>27</v>
      </c>
      <c r="E2374" t="s">
        <v>22</v>
      </c>
      <c r="F2374">
        <v>128</v>
      </c>
      <c r="G2374">
        <v>64</v>
      </c>
      <c r="H2374">
        <v>0.45</v>
      </c>
      <c r="I2374" t="s">
        <v>19</v>
      </c>
      <c r="J2374">
        <v>0</v>
      </c>
      <c r="K2374">
        <v>1</v>
      </c>
      <c r="L2374">
        <v>0</v>
      </c>
      <c r="M2374">
        <f>VLOOKUP(Table1[[#This Row],[subscription_type]],Plans!$A$1:$B$5,2,FALSE)</f>
        <v>9.99</v>
      </c>
      <c r="N2374">
        <f t="shared" si="37"/>
        <v>0</v>
      </c>
    </row>
    <row r="2375" spans="1:14" x14ac:dyDescent="0.35">
      <c r="A2375">
        <v>2374</v>
      </c>
      <c r="B2375" t="s">
        <v>12</v>
      </c>
      <c r="C2375">
        <v>57</v>
      </c>
      <c r="D2375" t="s">
        <v>29</v>
      </c>
      <c r="E2375" t="s">
        <v>24</v>
      </c>
      <c r="F2375">
        <v>126</v>
      </c>
      <c r="G2375">
        <v>57</v>
      </c>
      <c r="H2375">
        <v>0.3</v>
      </c>
      <c r="I2375" t="s">
        <v>23</v>
      </c>
      <c r="J2375">
        <v>0</v>
      </c>
      <c r="K2375">
        <v>1</v>
      </c>
      <c r="L2375">
        <v>0</v>
      </c>
      <c r="M2375">
        <f>VLOOKUP(Table1[[#This Row],[subscription_type]],Plans!$A$1:$B$5,2,FALSE)</f>
        <v>4.99</v>
      </c>
      <c r="N2375">
        <f t="shared" si="37"/>
        <v>0</v>
      </c>
    </row>
    <row r="2376" spans="1:14" x14ac:dyDescent="0.35">
      <c r="A2376">
        <v>2375</v>
      </c>
      <c r="B2376" t="s">
        <v>20</v>
      </c>
      <c r="C2376">
        <v>47</v>
      </c>
      <c r="D2376" t="s">
        <v>27</v>
      </c>
      <c r="E2376" t="s">
        <v>14</v>
      </c>
      <c r="F2376">
        <v>156</v>
      </c>
      <c r="G2376">
        <v>18</v>
      </c>
      <c r="H2376">
        <v>0.18</v>
      </c>
      <c r="I2376" t="s">
        <v>15</v>
      </c>
      <c r="J2376">
        <v>17</v>
      </c>
      <c r="K2376">
        <v>0</v>
      </c>
      <c r="L2376">
        <v>0</v>
      </c>
      <c r="M2376">
        <f>VLOOKUP(Table1[[#This Row],[subscription_type]],Plans!$A$1:$B$5,2,FALSE)</f>
        <v>0</v>
      </c>
      <c r="N2376">
        <f t="shared" si="37"/>
        <v>0</v>
      </c>
    </row>
    <row r="2377" spans="1:14" x14ac:dyDescent="0.35">
      <c r="A2377">
        <v>2376</v>
      </c>
      <c r="B2377" t="s">
        <v>16</v>
      </c>
      <c r="C2377">
        <v>57</v>
      </c>
      <c r="D2377" t="s">
        <v>28</v>
      </c>
      <c r="E2377" t="s">
        <v>24</v>
      </c>
      <c r="F2377">
        <v>22</v>
      </c>
      <c r="G2377">
        <v>4</v>
      </c>
      <c r="H2377">
        <v>0.33</v>
      </c>
      <c r="I2377" t="s">
        <v>23</v>
      </c>
      <c r="J2377">
        <v>0</v>
      </c>
      <c r="K2377">
        <v>1</v>
      </c>
      <c r="L2377">
        <v>0</v>
      </c>
      <c r="M2377">
        <f>VLOOKUP(Table1[[#This Row],[subscription_type]],Plans!$A$1:$B$5,2,FALSE)</f>
        <v>4.99</v>
      </c>
      <c r="N2377">
        <f t="shared" si="37"/>
        <v>0</v>
      </c>
    </row>
    <row r="2378" spans="1:14" x14ac:dyDescent="0.35">
      <c r="A2378">
        <v>2377</v>
      </c>
      <c r="B2378" t="s">
        <v>12</v>
      </c>
      <c r="C2378">
        <v>32</v>
      </c>
      <c r="D2378" t="s">
        <v>29</v>
      </c>
      <c r="E2378" t="s">
        <v>14</v>
      </c>
      <c r="F2378">
        <v>32</v>
      </c>
      <c r="G2378">
        <v>98</v>
      </c>
      <c r="H2378">
        <v>0.25</v>
      </c>
      <c r="I2378" t="s">
        <v>23</v>
      </c>
      <c r="J2378">
        <v>18</v>
      </c>
      <c r="K2378">
        <v>0</v>
      </c>
      <c r="L2378">
        <v>0</v>
      </c>
      <c r="M2378">
        <f>VLOOKUP(Table1[[#This Row],[subscription_type]],Plans!$A$1:$B$5,2,FALSE)</f>
        <v>0</v>
      </c>
      <c r="N2378">
        <f t="shared" si="37"/>
        <v>0</v>
      </c>
    </row>
    <row r="2379" spans="1:14" x14ac:dyDescent="0.35">
      <c r="A2379">
        <v>2378</v>
      </c>
      <c r="B2379" t="s">
        <v>20</v>
      </c>
      <c r="C2379">
        <v>33</v>
      </c>
      <c r="D2379" t="s">
        <v>29</v>
      </c>
      <c r="E2379" t="s">
        <v>24</v>
      </c>
      <c r="F2379">
        <v>52</v>
      </c>
      <c r="G2379">
        <v>50</v>
      </c>
      <c r="H2379">
        <v>0.18</v>
      </c>
      <c r="I2379" t="s">
        <v>23</v>
      </c>
      <c r="J2379">
        <v>0</v>
      </c>
      <c r="K2379">
        <v>1</v>
      </c>
      <c r="L2379">
        <v>1</v>
      </c>
      <c r="M2379">
        <f>VLOOKUP(Table1[[#This Row],[subscription_type]],Plans!$A$1:$B$5,2,FALSE)</f>
        <v>4.99</v>
      </c>
      <c r="N2379">
        <f t="shared" si="37"/>
        <v>4.99</v>
      </c>
    </row>
    <row r="2380" spans="1:14" x14ac:dyDescent="0.35">
      <c r="A2380">
        <v>2379</v>
      </c>
      <c r="B2380" t="s">
        <v>20</v>
      </c>
      <c r="C2380">
        <v>35</v>
      </c>
      <c r="D2380" t="s">
        <v>27</v>
      </c>
      <c r="E2380" t="s">
        <v>14</v>
      </c>
      <c r="F2380">
        <v>162</v>
      </c>
      <c r="G2380">
        <v>96</v>
      </c>
      <c r="H2380">
        <v>0.56999999999999995</v>
      </c>
      <c r="I2380" t="s">
        <v>23</v>
      </c>
      <c r="J2380">
        <v>24</v>
      </c>
      <c r="K2380">
        <v>0</v>
      </c>
      <c r="L2380">
        <v>0</v>
      </c>
      <c r="M2380">
        <f>VLOOKUP(Table1[[#This Row],[subscription_type]],Plans!$A$1:$B$5,2,FALSE)</f>
        <v>0</v>
      </c>
      <c r="N2380">
        <f t="shared" si="37"/>
        <v>0</v>
      </c>
    </row>
    <row r="2381" spans="1:14" x14ac:dyDescent="0.35">
      <c r="A2381">
        <v>2380</v>
      </c>
      <c r="B2381" t="s">
        <v>16</v>
      </c>
      <c r="C2381">
        <v>37</v>
      </c>
      <c r="D2381" t="s">
        <v>21</v>
      </c>
      <c r="E2381" t="s">
        <v>24</v>
      </c>
      <c r="F2381">
        <v>85</v>
      </c>
      <c r="G2381">
        <v>7</v>
      </c>
      <c r="H2381">
        <v>0.39</v>
      </c>
      <c r="I2381" t="s">
        <v>19</v>
      </c>
      <c r="J2381">
        <v>0</v>
      </c>
      <c r="K2381">
        <v>1</v>
      </c>
      <c r="L2381">
        <v>0</v>
      </c>
      <c r="M2381">
        <f>VLOOKUP(Table1[[#This Row],[subscription_type]],Plans!$A$1:$B$5,2,FALSE)</f>
        <v>4.99</v>
      </c>
      <c r="N2381">
        <f t="shared" si="37"/>
        <v>0</v>
      </c>
    </row>
    <row r="2382" spans="1:14" x14ac:dyDescent="0.35">
      <c r="A2382">
        <v>2381</v>
      </c>
      <c r="B2382" t="s">
        <v>20</v>
      </c>
      <c r="C2382">
        <v>35</v>
      </c>
      <c r="D2382" t="s">
        <v>13</v>
      </c>
      <c r="E2382" t="s">
        <v>14</v>
      </c>
      <c r="F2382">
        <v>204</v>
      </c>
      <c r="G2382">
        <v>22</v>
      </c>
      <c r="H2382">
        <v>0.5</v>
      </c>
      <c r="I2382" t="s">
        <v>15</v>
      </c>
      <c r="J2382">
        <v>31</v>
      </c>
      <c r="K2382">
        <v>0</v>
      </c>
      <c r="L2382">
        <v>0</v>
      </c>
      <c r="M2382">
        <f>VLOOKUP(Table1[[#This Row],[subscription_type]],Plans!$A$1:$B$5,2,FALSE)</f>
        <v>0</v>
      </c>
      <c r="N2382">
        <f t="shared" si="37"/>
        <v>0</v>
      </c>
    </row>
    <row r="2383" spans="1:14" x14ac:dyDescent="0.35">
      <c r="A2383">
        <v>2382</v>
      </c>
      <c r="B2383" t="s">
        <v>20</v>
      </c>
      <c r="C2383">
        <v>34</v>
      </c>
      <c r="D2383" t="s">
        <v>26</v>
      </c>
      <c r="E2383" t="s">
        <v>18</v>
      </c>
      <c r="F2383">
        <v>193</v>
      </c>
      <c r="G2383">
        <v>78</v>
      </c>
      <c r="H2383">
        <v>0.13</v>
      </c>
      <c r="I2383" t="s">
        <v>19</v>
      </c>
      <c r="J2383">
        <v>0</v>
      </c>
      <c r="K2383">
        <v>1</v>
      </c>
      <c r="L2383">
        <v>0</v>
      </c>
      <c r="M2383">
        <f>VLOOKUP(Table1[[#This Row],[subscription_type]],Plans!$A$1:$B$5,2,FALSE)</f>
        <v>14.99</v>
      </c>
      <c r="N2383">
        <f t="shared" si="37"/>
        <v>0</v>
      </c>
    </row>
    <row r="2384" spans="1:14" x14ac:dyDescent="0.35">
      <c r="A2384">
        <v>2383</v>
      </c>
      <c r="B2384" t="s">
        <v>20</v>
      </c>
      <c r="C2384">
        <v>37</v>
      </c>
      <c r="D2384" t="s">
        <v>25</v>
      </c>
      <c r="E2384" t="s">
        <v>18</v>
      </c>
      <c r="F2384">
        <v>298</v>
      </c>
      <c r="G2384">
        <v>33</v>
      </c>
      <c r="H2384">
        <v>0.42</v>
      </c>
      <c r="I2384" t="s">
        <v>15</v>
      </c>
      <c r="J2384">
        <v>0</v>
      </c>
      <c r="K2384">
        <v>1</v>
      </c>
      <c r="L2384">
        <v>1</v>
      </c>
      <c r="M2384">
        <f>VLOOKUP(Table1[[#This Row],[subscription_type]],Plans!$A$1:$B$5,2,FALSE)</f>
        <v>14.99</v>
      </c>
      <c r="N2384">
        <f t="shared" si="37"/>
        <v>14.99</v>
      </c>
    </row>
    <row r="2385" spans="1:14" x14ac:dyDescent="0.35">
      <c r="A2385">
        <v>2384</v>
      </c>
      <c r="B2385" t="s">
        <v>12</v>
      </c>
      <c r="C2385">
        <v>47</v>
      </c>
      <c r="D2385" t="s">
        <v>28</v>
      </c>
      <c r="E2385" t="s">
        <v>14</v>
      </c>
      <c r="F2385">
        <v>219</v>
      </c>
      <c r="G2385">
        <v>8</v>
      </c>
      <c r="H2385">
        <v>0.45</v>
      </c>
      <c r="I2385" t="s">
        <v>19</v>
      </c>
      <c r="J2385">
        <v>39</v>
      </c>
      <c r="K2385">
        <v>0</v>
      </c>
      <c r="L2385">
        <v>0</v>
      </c>
      <c r="M2385">
        <f>VLOOKUP(Table1[[#This Row],[subscription_type]],Plans!$A$1:$B$5,2,FALSE)</f>
        <v>0</v>
      </c>
      <c r="N2385">
        <f t="shared" si="37"/>
        <v>0</v>
      </c>
    </row>
    <row r="2386" spans="1:14" x14ac:dyDescent="0.35">
      <c r="A2386">
        <v>2385</v>
      </c>
      <c r="B2386" t="s">
        <v>12</v>
      </c>
      <c r="C2386">
        <v>28</v>
      </c>
      <c r="D2386" t="s">
        <v>17</v>
      </c>
      <c r="E2386" t="s">
        <v>22</v>
      </c>
      <c r="F2386">
        <v>282</v>
      </c>
      <c r="G2386">
        <v>8</v>
      </c>
      <c r="H2386">
        <v>0.45</v>
      </c>
      <c r="I2386" t="s">
        <v>23</v>
      </c>
      <c r="J2386">
        <v>0</v>
      </c>
      <c r="K2386">
        <v>1</v>
      </c>
      <c r="L2386">
        <v>1</v>
      </c>
      <c r="M2386">
        <f>VLOOKUP(Table1[[#This Row],[subscription_type]],Plans!$A$1:$B$5,2,FALSE)</f>
        <v>9.99</v>
      </c>
      <c r="N2386">
        <f t="shared" si="37"/>
        <v>9.99</v>
      </c>
    </row>
    <row r="2387" spans="1:14" x14ac:dyDescent="0.35">
      <c r="A2387">
        <v>2386</v>
      </c>
      <c r="B2387" t="s">
        <v>16</v>
      </c>
      <c r="C2387">
        <v>43</v>
      </c>
      <c r="D2387" t="s">
        <v>21</v>
      </c>
      <c r="E2387" t="s">
        <v>14</v>
      </c>
      <c r="F2387">
        <v>135</v>
      </c>
      <c r="G2387">
        <v>13</v>
      </c>
      <c r="H2387">
        <v>0.47</v>
      </c>
      <c r="I2387" t="s">
        <v>19</v>
      </c>
      <c r="J2387">
        <v>10</v>
      </c>
      <c r="K2387">
        <v>0</v>
      </c>
      <c r="L2387">
        <v>0</v>
      </c>
      <c r="M2387">
        <f>VLOOKUP(Table1[[#This Row],[subscription_type]],Plans!$A$1:$B$5,2,FALSE)</f>
        <v>0</v>
      </c>
      <c r="N2387">
        <f t="shared" si="37"/>
        <v>0</v>
      </c>
    </row>
    <row r="2388" spans="1:14" x14ac:dyDescent="0.35">
      <c r="A2388">
        <v>2387</v>
      </c>
      <c r="B2388" t="s">
        <v>20</v>
      </c>
      <c r="C2388">
        <v>58</v>
      </c>
      <c r="D2388" t="s">
        <v>13</v>
      </c>
      <c r="E2388" t="s">
        <v>22</v>
      </c>
      <c r="F2388">
        <v>100</v>
      </c>
      <c r="G2388">
        <v>48</v>
      </c>
      <c r="H2388">
        <v>0.53</v>
      </c>
      <c r="I2388" t="s">
        <v>23</v>
      </c>
      <c r="J2388">
        <v>0</v>
      </c>
      <c r="K2388">
        <v>1</v>
      </c>
      <c r="L2388">
        <v>0</v>
      </c>
      <c r="M2388">
        <f>VLOOKUP(Table1[[#This Row],[subscription_type]],Plans!$A$1:$B$5,2,FALSE)</f>
        <v>9.99</v>
      </c>
      <c r="N2388">
        <f t="shared" si="37"/>
        <v>0</v>
      </c>
    </row>
    <row r="2389" spans="1:14" x14ac:dyDescent="0.35">
      <c r="A2389">
        <v>2388</v>
      </c>
      <c r="B2389" t="s">
        <v>20</v>
      </c>
      <c r="C2389">
        <v>53</v>
      </c>
      <c r="D2389" t="s">
        <v>27</v>
      </c>
      <c r="E2389" t="s">
        <v>24</v>
      </c>
      <c r="F2389">
        <v>44</v>
      </c>
      <c r="G2389">
        <v>64</v>
      </c>
      <c r="H2389">
        <v>0.35</v>
      </c>
      <c r="I2389" t="s">
        <v>15</v>
      </c>
      <c r="J2389">
        <v>0</v>
      </c>
      <c r="K2389">
        <v>1</v>
      </c>
      <c r="L2389">
        <v>0</v>
      </c>
      <c r="M2389">
        <f>VLOOKUP(Table1[[#This Row],[subscription_type]],Plans!$A$1:$B$5,2,FALSE)</f>
        <v>4.99</v>
      </c>
      <c r="N2389">
        <f t="shared" si="37"/>
        <v>0</v>
      </c>
    </row>
    <row r="2390" spans="1:14" x14ac:dyDescent="0.35">
      <c r="A2390">
        <v>2389</v>
      </c>
      <c r="B2390" t="s">
        <v>20</v>
      </c>
      <c r="C2390">
        <v>47</v>
      </c>
      <c r="D2390" t="s">
        <v>17</v>
      </c>
      <c r="E2390" t="s">
        <v>22</v>
      </c>
      <c r="F2390">
        <v>153</v>
      </c>
      <c r="G2390">
        <v>26</v>
      </c>
      <c r="H2390">
        <v>0.15</v>
      </c>
      <c r="I2390" t="s">
        <v>15</v>
      </c>
      <c r="J2390">
        <v>0</v>
      </c>
      <c r="K2390">
        <v>1</v>
      </c>
      <c r="L2390">
        <v>1</v>
      </c>
      <c r="M2390">
        <f>VLOOKUP(Table1[[#This Row],[subscription_type]],Plans!$A$1:$B$5,2,FALSE)</f>
        <v>9.99</v>
      </c>
      <c r="N2390">
        <f t="shared" si="37"/>
        <v>9.99</v>
      </c>
    </row>
    <row r="2391" spans="1:14" x14ac:dyDescent="0.35">
      <c r="A2391">
        <v>2390</v>
      </c>
      <c r="B2391" t="s">
        <v>16</v>
      </c>
      <c r="C2391">
        <v>53</v>
      </c>
      <c r="D2391" t="s">
        <v>21</v>
      </c>
      <c r="E2391" t="s">
        <v>24</v>
      </c>
      <c r="F2391">
        <v>283</v>
      </c>
      <c r="G2391">
        <v>85</v>
      </c>
      <c r="H2391">
        <v>0.3</v>
      </c>
      <c r="I2391" t="s">
        <v>19</v>
      </c>
      <c r="J2391">
        <v>0</v>
      </c>
      <c r="K2391">
        <v>1</v>
      </c>
      <c r="L2391">
        <v>0</v>
      </c>
      <c r="M2391">
        <f>VLOOKUP(Table1[[#This Row],[subscription_type]],Plans!$A$1:$B$5,2,FALSE)</f>
        <v>4.99</v>
      </c>
      <c r="N2391">
        <f t="shared" si="37"/>
        <v>0</v>
      </c>
    </row>
    <row r="2392" spans="1:14" x14ac:dyDescent="0.35">
      <c r="A2392">
        <v>2391</v>
      </c>
      <c r="B2392" t="s">
        <v>20</v>
      </c>
      <c r="C2392">
        <v>34</v>
      </c>
      <c r="D2392" t="s">
        <v>29</v>
      </c>
      <c r="E2392" t="s">
        <v>14</v>
      </c>
      <c r="F2392">
        <v>296</v>
      </c>
      <c r="G2392">
        <v>67</v>
      </c>
      <c r="H2392">
        <v>0.17</v>
      </c>
      <c r="I2392" t="s">
        <v>23</v>
      </c>
      <c r="J2392">
        <v>31</v>
      </c>
      <c r="K2392">
        <v>0</v>
      </c>
      <c r="L2392">
        <v>0</v>
      </c>
      <c r="M2392">
        <f>VLOOKUP(Table1[[#This Row],[subscription_type]],Plans!$A$1:$B$5,2,FALSE)</f>
        <v>0</v>
      </c>
      <c r="N2392">
        <f t="shared" si="37"/>
        <v>0</v>
      </c>
    </row>
    <row r="2393" spans="1:14" x14ac:dyDescent="0.35">
      <c r="A2393">
        <v>2392</v>
      </c>
      <c r="B2393" t="s">
        <v>20</v>
      </c>
      <c r="C2393">
        <v>37</v>
      </c>
      <c r="D2393" t="s">
        <v>26</v>
      </c>
      <c r="E2393" t="s">
        <v>14</v>
      </c>
      <c r="F2393">
        <v>284</v>
      </c>
      <c r="G2393">
        <v>92</v>
      </c>
      <c r="H2393">
        <v>0.03</v>
      </c>
      <c r="I2393" t="s">
        <v>19</v>
      </c>
      <c r="J2393">
        <v>35</v>
      </c>
      <c r="K2393">
        <v>0</v>
      </c>
      <c r="L2393">
        <v>0</v>
      </c>
      <c r="M2393">
        <f>VLOOKUP(Table1[[#This Row],[subscription_type]],Plans!$A$1:$B$5,2,FALSE)</f>
        <v>0</v>
      </c>
      <c r="N2393">
        <f t="shared" si="37"/>
        <v>0</v>
      </c>
    </row>
    <row r="2394" spans="1:14" x14ac:dyDescent="0.35">
      <c r="A2394">
        <v>2393</v>
      </c>
      <c r="B2394" t="s">
        <v>20</v>
      </c>
      <c r="C2394">
        <v>37</v>
      </c>
      <c r="D2394" t="s">
        <v>25</v>
      </c>
      <c r="E2394" t="s">
        <v>18</v>
      </c>
      <c r="F2394">
        <v>51</v>
      </c>
      <c r="G2394">
        <v>67</v>
      </c>
      <c r="H2394">
        <v>0.08</v>
      </c>
      <c r="I2394" t="s">
        <v>23</v>
      </c>
      <c r="J2394">
        <v>0</v>
      </c>
      <c r="K2394">
        <v>1</v>
      </c>
      <c r="L2394">
        <v>0</v>
      </c>
      <c r="M2394">
        <f>VLOOKUP(Table1[[#This Row],[subscription_type]],Plans!$A$1:$B$5,2,FALSE)</f>
        <v>14.99</v>
      </c>
      <c r="N2394">
        <f t="shared" si="37"/>
        <v>0</v>
      </c>
    </row>
    <row r="2395" spans="1:14" x14ac:dyDescent="0.35">
      <c r="A2395">
        <v>2394</v>
      </c>
      <c r="B2395" t="s">
        <v>16</v>
      </c>
      <c r="C2395">
        <v>58</v>
      </c>
      <c r="D2395" t="s">
        <v>29</v>
      </c>
      <c r="E2395" t="s">
        <v>24</v>
      </c>
      <c r="F2395">
        <v>67</v>
      </c>
      <c r="G2395">
        <v>50</v>
      </c>
      <c r="H2395">
        <v>0.5</v>
      </c>
      <c r="I2395" t="s">
        <v>15</v>
      </c>
      <c r="J2395">
        <v>0</v>
      </c>
      <c r="K2395">
        <v>1</v>
      </c>
      <c r="L2395">
        <v>0</v>
      </c>
      <c r="M2395">
        <f>VLOOKUP(Table1[[#This Row],[subscription_type]],Plans!$A$1:$B$5,2,FALSE)</f>
        <v>4.99</v>
      </c>
      <c r="N2395">
        <f t="shared" si="37"/>
        <v>0</v>
      </c>
    </row>
    <row r="2396" spans="1:14" x14ac:dyDescent="0.35">
      <c r="A2396">
        <v>2395</v>
      </c>
      <c r="B2396" t="s">
        <v>12</v>
      </c>
      <c r="C2396">
        <v>23</v>
      </c>
      <c r="D2396" t="s">
        <v>27</v>
      </c>
      <c r="E2396" t="s">
        <v>24</v>
      </c>
      <c r="F2396">
        <v>131</v>
      </c>
      <c r="G2396">
        <v>66</v>
      </c>
      <c r="H2396">
        <v>0.33</v>
      </c>
      <c r="I2396" t="s">
        <v>15</v>
      </c>
      <c r="J2396">
        <v>0</v>
      </c>
      <c r="K2396">
        <v>1</v>
      </c>
      <c r="L2396">
        <v>0</v>
      </c>
      <c r="M2396">
        <f>VLOOKUP(Table1[[#This Row],[subscription_type]],Plans!$A$1:$B$5,2,FALSE)</f>
        <v>4.99</v>
      </c>
      <c r="N2396">
        <f t="shared" si="37"/>
        <v>0</v>
      </c>
    </row>
    <row r="2397" spans="1:14" x14ac:dyDescent="0.35">
      <c r="A2397">
        <v>2396</v>
      </c>
      <c r="B2397" t="s">
        <v>20</v>
      </c>
      <c r="C2397">
        <v>21</v>
      </c>
      <c r="D2397" t="s">
        <v>27</v>
      </c>
      <c r="E2397" t="s">
        <v>24</v>
      </c>
      <c r="F2397">
        <v>108</v>
      </c>
      <c r="G2397">
        <v>97</v>
      </c>
      <c r="H2397">
        <v>0.48</v>
      </c>
      <c r="I2397" t="s">
        <v>19</v>
      </c>
      <c r="J2397">
        <v>0</v>
      </c>
      <c r="K2397">
        <v>1</v>
      </c>
      <c r="L2397">
        <v>0</v>
      </c>
      <c r="M2397">
        <f>VLOOKUP(Table1[[#This Row],[subscription_type]],Plans!$A$1:$B$5,2,FALSE)</f>
        <v>4.99</v>
      </c>
      <c r="N2397">
        <f t="shared" si="37"/>
        <v>0</v>
      </c>
    </row>
    <row r="2398" spans="1:14" x14ac:dyDescent="0.35">
      <c r="A2398">
        <v>2397</v>
      </c>
      <c r="B2398" t="s">
        <v>12</v>
      </c>
      <c r="C2398">
        <v>22</v>
      </c>
      <c r="D2398" t="s">
        <v>29</v>
      </c>
      <c r="E2398" t="s">
        <v>22</v>
      </c>
      <c r="F2398">
        <v>193</v>
      </c>
      <c r="G2398">
        <v>71</v>
      </c>
      <c r="H2398">
        <v>0.08</v>
      </c>
      <c r="I2398" t="s">
        <v>15</v>
      </c>
      <c r="J2398">
        <v>0</v>
      </c>
      <c r="K2398">
        <v>1</v>
      </c>
      <c r="L2398">
        <v>0</v>
      </c>
      <c r="M2398">
        <f>VLOOKUP(Table1[[#This Row],[subscription_type]],Plans!$A$1:$B$5,2,FALSE)</f>
        <v>9.99</v>
      </c>
      <c r="N2398">
        <f t="shared" si="37"/>
        <v>0</v>
      </c>
    </row>
    <row r="2399" spans="1:14" x14ac:dyDescent="0.35">
      <c r="A2399">
        <v>2398</v>
      </c>
      <c r="B2399" t="s">
        <v>20</v>
      </c>
      <c r="C2399">
        <v>59</v>
      </c>
      <c r="D2399" t="s">
        <v>27</v>
      </c>
      <c r="E2399" t="s">
        <v>14</v>
      </c>
      <c r="F2399">
        <v>185</v>
      </c>
      <c r="G2399">
        <v>18</v>
      </c>
      <c r="H2399">
        <v>0.48</v>
      </c>
      <c r="I2399" t="s">
        <v>15</v>
      </c>
      <c r="J2399">
        <v>49</v>
      </c>
      <c r="K2399">
        <v>0</v>
      </c>
      <c r="L2399">
        <v>1</v>
      </c>
      <c r="M2399">
        <f>VLOOKUP(Table1[[#This Row],[subscription_type]],Plans!$A$1:$B$5,2,FALSE)</f>
        <v>0</v>
      </c>
      <c r="N2399">
        <f t="shared" si="37"/>
        <v>0</v>
      </c>
    </row>
    <row r="2400" spans="1:14" x14ac:dyDescent="0.35">
      <c r="A2400">
        <v>2399</v>
      </c>
      <c r="B2400" t="s">
        <v>16</v>
      </c>
      <c r="C2400">
        <v>48</v>
      </c>
      <c r="D2400" t="s">
        <v>17</v>
      </c>
      <c r="E2400" t="s">
        <v>18</v>
      </c>
      <c r="F2400">
        <v>207</v>
      </c>
      <c r="G2400">
        <v>2</v>
      </c>
      <c r="H2400">
        <v>0.05</v>
      </c>
      <c r="I2400" t="s">
        <v>23</v>
      </c>
      <c r="J2400">
        <v>0</v>
      </c>
      <c r="K2400">
        <v>1</v>
      </c>
      <c r="L2400">
        <v>0</v>
      </c>
      <c r="M2400">
        <f>VLOOKUP(Table1[[#This Row],[subscription_type]],Plans!$A$1:$B$5,2,FALSE)</f>
        <v>14.99</v>
      </c>
      <c r="N2400">
        <f t="shared" si="37"/>
        <v>0</v>
      </c>
    </row>
    <row r="2401" spans="1:14" x14ac:dyDescent="0.35">
      <c r="A2401">
        <v>2400</v>
      </c>
      <c r="B2401" t="s">
        <v>16</v>
      </c>
      <c r="C2401">
        <v>30</v>
      </c>
      <c r="D2401" t="s">
        <v>13</v>
      </c>
      <c r="E2401" t="s">
        <v>24</v>
      </c>
      <c r="F2401">
        <v>168</v>
      </c>
      <c r="G2401">
        <v>52</v>
      </c>
      <c r="H2401">
        <v>0.28999999999999998</v>
      </c>
      <c r="I2401" t="s">
        <v>19</v>
      </c>
      <c r="J2401">
        <v>0</v>
      </c>
      <c r="K2401">
        <v>1</v>
      </c>
      <c r="L2401">
        <v>0</v>
      </c>
      <c r="M2401">
        <f>VLOOKUP(Table1[[#This Row],[subscription_type]],Plans!$A$1:$B$5,2,FALSE)</f>
        <v>4.99</v>
      </c>
      <c r="N2401">
        <f t="shared" si="37"/>
        <v>0</v>
      </c>
    </row>
    <row r="2402" spans="1:14" x14ac:dyDescent="0.35">
      <c r="A2402">
        <v>2401</v>
      </c>
      <c r="B2402" t="s">
        <v>20</v>
      </c>
      <c r="C2402">
        <v>55</v>
      </c>
      <c r="D2402" t="s">
        <v>27</v>
      </c>
      <c r="E2402" t="s">
        <v>14</v>
      </c>
      <c r="F2402">
        <v>266</v>
      </c>
      <c r="G2402">
        <v>8</v>
      </c>
      <c r="H2402">
        <v>0.08</v>
      </c>
      <c r="I2402" t="s">
        <v>19</v>
      </c>
      <c r="J2402">
        <v>23</v>
      </c>
      <c r="K2402">
        <v>0</v>
      </c>
      <c r="L2402">
        <v>0</v>
      </c>
      <c r="M2402">
        <f>VLOOKUP(Table1[[#This Row],[subscription_type]],Plans!$A$1:$B$5,2,FALSE)</f>
        <v>0</v>
      </c>
      <c r="N2402">
        <f t="shared" si="37"/>
        <v>0</v>
      </c>
    </row>
    <row r="2403" spans="1:14" x14ac:dyDescent="0.35">
      <c r="A2403">
        <v>2402</v>
      </c>
      <c r="B2403" t="s">
        <v>20</v>
      </c>
      <c r="C2403">
        <v>52</v>
      </c>
      <c r="D2403" t="s">
        <v>21</v>
      </c>
      <c r="E2403" t="s">
        <v>22</v>
      </c>
      <c r="F2403">
        <v>72</v>
      </c>
      <c r="G2403">
        <v>52</v>
      </c>
      <c r="H2403">
        <v>0.5</v>
      </c>
      <c r="I2403" t="s">
        <v>15</v>
      </c>
      <c r="J2403">
        <v>0</v>
      </c>
      <c r="K2403">
        <v>1</v>
      </c>
      <c r="L2403">
        <v>0</v>
      </c>
      <c r="M2403">
        <f>VLOOKUP(Table1[[#This Row],[subscription_type]],Plans!$A$1:$B$5,2,FALSE)</f>
        <v>9.99</v>
      </c>
      <c r="N2403">
        <f t="shared" si="37"/>
        <v>0</v>
      </c>
    </row>
    <row r="2404" spans="1:14" x14ac:dyDescent="0.35">
      <c r="A2404">
        <v>2403</v>
      </c>
      <c r="B2404" t="s">
        <v>20</v>
      </c>
      <c r="C2404">
        <v>44</v>
      </c>
      <c r="D2404" t="s">
        <v>27</v>
      </c>
      <c r="E2404" t="s">
        <v>18</v>
      </c>
      <c r="F2404">
        <v>25</v>
      </c>
      <c r="G2404">
        <v>87</v>
      </c>
      <c r="H2404">
        <v>0.57999999999999996</v>
      </c>
      <c r="I2404" t="s">
        <v>23</v>
      </c>
      <c r="J2404">
        <v>0</v>
      </c>
      <c r="K2404">
        <v>1</v>
      </c>
      <c r="L2404">
        <v>0</v>
      </c>
      <c r="M2404">
        <f>VLOOKUP(Table1[[#This Row],[subscription_type]],Plans!$A$1:$B$5,2,FALSE)</f>
        <v>14.99</v>
      </c>
      <c r="N2404">
        <f t="shared" si="37"/>
        <v>0</v>
      </c>
    </row>
    <row r="2405" spans="1:14" x14ac:dyDescent="0.35">
      <c r="A2405">
        <v>2404</v>
      </c>
      <c r="B2405" t="s">
        <v>12</v>
      </c>
      <c r="C2405">
        <v>26</v>
      </c>
      <c r="D2405" t="s">
        <v>21</v>
      </c>
      <c r="E2405" t="s">
        <v>14</v>
      </c>
      <c r="F2405">
        <v>166</v>
      </c>
      <c r="G2405">
        <v>22</v>
      </c>
      <c r="H2405">
        <v>0.44</v>
      </c>
      <c r="I2405" t="s">
        <v>19</v>
      </c>
      <c r="J2405">
        <v>5</v>
      </c>
      <c r="K2405">
        <v>0</v>
      </c>
      <c r="L2405">
        <v>0</v>
      </c>
      <c r="M2405">
        <f>VLOOKUP(Table1[[#This Row],[subscription_type]],Plans!$A$1:$B$5,2,FALSE)</f>
        <v>0</v>
      </c>
      <c r="N2405">
        <f t="shared" si="37"/>
        <v>0</v>
      </c>
    </row>
    <row r="2406" spans="1:14" x14ac:dyDescent="0.35">
      <c r="A2406">
        <v>2405</v>
      </c>
      <c r="B2406" t="s">
        <v>20</v>
      </c>
      <c r="C2406">
        <v>32</v>
      </c>
      <c r="D2406" t="s">
        <v>13</v>
      </c>
      <c r="E2406" t="s">
        <v>24</v>
      </c>
      <c r="F2406">
        <v>126</v>
      </c>
      <c r="G2406">
        <v>28</v>
      </c>
      <c r="H2406">
        <v>0.46</v>
      </c>
      <c r="I2406" t="s">
        <v>19</v>
      </c>
      <c r="J2406">
        <v>0</v>
      </c>
      <c r="K2406">
        <v>1</v>
      </c>
      <c r="L2406">
        <v>0</v>
      </c>
      <c r="M2406">
        <f>VLOOKUP(Table1[[#This Row],[subscription_type]],Plans!$A$1:$B$5,2,FALSE)</f>
        <v>4.99</v>
      </c>
      <c r="N2406">
        <f t="shared" si="37"/>
        <v>0</v>
      </c>
    </row>
    <row r="2407" spans="1:14" x14ac:dyDescent="0.35">
      <c r="A2407">
        <v>2406</v>
      </c>
      <c r="B2407" t="s">
        <v>20</v>
      </c>
      <c r="C2407">
        <v>55</v>
      </c>
      <c r="D2407" t="s">
        <v>29</v>
      </c>
      <c r="E2407" t="s">
        <v>18</v>
      </c>
      <c r="F2407">
        <v>160</v>
      </c>
      <c r="G2407">
        <v>29</v>
      </c>
      <c r="H2407">
        <v>0.4</v>
      </c>
      <c r="I2407" t="s">
        <v>19</v>
      </c>
      <c r="J2407">
        <v>0</v>
      </c>
      <c r="K2407">
        <v>1</v>
      </c>
      <c r="L2407">
        <v>1</v>
      </c>
      <c r="M2407">
        <f>VLOOKUP(Table1[[#This Row],[subscription_type]],Plans!$A$1:$B$5,2,FALSE)</f>
        <v>14.99</v>
      </c>
      <c r="N2407">
        <f t="shared" si="37"/>
        <v>14.99</v>
      </c>
    </row>
    <row r="2408" spans="1:14" x14ac:dyDescent="0.35">
      <c r="A2408">
        <v>2407</v>
      </c>
      <c r="B2408" t="s">
        <v>16</v>
      </c>
      <c r="C2408">
        <v>57</v>
      </c>
      <c r="D2408" t="s">
        <v>29</v>
      </c>
      <c r="E2408" t="s">
        <v>14</v>
      </c>
      <c r="F2408">
        <v>31</v>
      </c>
      <c r="G2408">
        <v>86</v>
      </c>
      <c r="H2408">
        <v>0.39</v>
      </c>
      <c r="I2408" t="s">
        <v>23</v>
      </c>
      <c r="J2408">
        <v>43</v>
      </c>
      <c r="K2408">
        <v>0</v>
      </c>
      <c r="L2408">
        <v>1</v>
      </c>
      <c r="M2408">
        <f>VLOOKUP(Table1[[#This Row],[subscription_type]],Plans!$A$1:$B$5,2,FALSE)</f>
        <v>0</v>
      </c>
      <c r="N2408">
        <f t="shared" si="37"/>
        <v>0</v>
      </c>
    </row>
    <row r="2409" spans="1:14" x14ac:dyDescent="0.35">
      <c r="A2409">
        <v>2408</v>
      </c>
      <c r="B2409" t="s">
        <v>16</v>
      </c>
      <c r="C2409">
        <v>50</v>
      </c>
      <c r="D2409" t="s">
        <v>25</v>
      </c>
      <c r="E2409" t="s">
        <v>14</v>
      </c>
      <c r="F2409">
        <v>281</v>
      </c>
      <c r="G2409">
        <v>42</v>
      </c>
      <c r="H2409">
        <v>0.36</v>
      </c>
      <c r="I2409" t="s">
        <v>19</v>
      </c>
      <c r="J2409">
        <v>40</v>
      </c>
      <c r="K2409">
        <v>0</v>
      </c>
      <c r="L2409">
        <v>0</v>
      </c>
      <c r="M2409">
        <f>VLOOKUP(Table1[[#This Row],[subscription_type]],Plans!$A$1:$B$5,2,FALSE)</f>
        <v>0</v>
      </c>
      <c r="N2409">
        <f t="shared" si="37"/>
        <v>0</v>
      </c>
    </row>
    <row r="2410" spans="1:14" x14ac:dyDescent="0.35">
      <c r="A2410">
        <v>2409</v>
      </c>
      <c r="B2410" t="s">
        <v>20</v>
      </c>
      <c r="C2410">
        <v>21</v>
      </c>
      <c r="D2410" t="s">
        <v>28</v>
      </c>
      <c r="E2410" t="s">
        <v>14</v>
      </c>
      <c r="F2410">
        <v>231</v>
      </c>
      <c r="G2410">
        <v>86</v>
      </c>
      <c r="H2410">
        <v>0.14000000000000001</v>
      </c>
      <c r="I2410" t="s">
        <v>19</v>
      </c>
      <c r="J2410">
        <v>11</v>
      </c>
      <c r="K2410">
        <v>0</v>
      </c>
      <c r="L2410">
        <v>1</v>
      </c>
      <c r="M2410">
        <f>VLOOKUP(Table1[[#This Row],[subscription_type]],Plans!$A$1:$B$5,2,FALSE)</f>
        <v>0</v>
      </c>
      <c r="N2410">
        <f t="shared" si="37"/>
        <v>0</v>
      </c>
    </row>
    <row r="2411" spans="1:14" x14ac:dyDescent="0.35">
      <c r="A2411">
        <v>2410</v>
      </c>
      <c r="B2411" t="s">
        <v>16</v>
      </c>
      <c r="C2411">
        <v>25</v>
      </c>
      <c r="D2411" t="s">
        <v>28</v>
      </c>
      <c r="E2411" t="s">
        <v>14</v>
      </c>
      <c r="F2411">
        <v>95</v>
      </c>
      <c r="G2411">
        <v>87</v>
      </c>
      <c r="H2411">
        <v>0.2</v>
      </c>
      <c r="I2411" t="s">
        <v>15</v>
      </c>
      <c r="J2411">
        <v>42</v>
      </c>
      <c r="K2411">
        <v>0</v>
      </c>
      <c r="L2411">
        <v>1</v>
      </c>
      <c r="M2411">
        <f>VLOOKUP(Table1[[#This Row],[subscription_type]],Plans!$A$1:$B$5,2,FALSE)</f>
        <v>0</v>
      </c>
      <c r="N2411">
        <f t="shared" si="37"/>
        <v>0</v>
      </c>
    </row>
    <row r="2412" spans="1:14" x14ac:dyDescent="0.35">
      <c r="A2412">
        <v>2411</v>
      </c>
      <c r="B2412" t="s">
        <v>12</v>
      </c>
      <c r="C2412">
        <v>28</v>
      </c>
      <c r="D2412" t="s">
        <v>17</v>
      </c>
      <c r="E2412" t="s">
        <v>22</v>
      </c>
      <c r="F2412">
        <v>182</v>
      </c>
      <c r="G2412">
        <v>47</v>
      </c>
      <c r="H2412">
        <v>0.51</v>
      </c>
      <c r="I2412" t="s">
        <v>19</v>
      </c>
      <c r="J2412">
        <v>0</v>
      </c>
      <c r="K2412">
        <v>1</v>
      </c>
      <c r="L2412">
        <v>0</v>
      </c>
      <c r="M2412">
        <f>VLOOKUP(Table1[[#This Row],[subscription_type]],Plans!$A$1:$B$5,2,FALSE)</f>
        <v>9.99</v>
      </c>
      <c r="N2412">
        <f t="shared" si="37"/>
        <v>0</v>
      </c>
    </row>
    <row r="2413" spans="1:14" x14ac:dyDescent="0.35">
      <c r="A2413">
        <v>2412</v>
      </c>
      <c r="B2413" t="s">
        <v>16</v>
      </c>
      <c r="C2413">
        <v>45</v>
      </c>
      <c r="D2413" t="s">
        <v>27</v>
      </c>
      <c r="E2413" t="s">
        <v>22</v>
      </c>
      <c r="F2413">
        <v>76</v>
      </c>
      <c r="G2413">
        <v>41</v>
      </c>
      <c r="H2413">
        <v>0.05</v>
      </c>
      <c r="I2413" t="s">
        <v>23</v>
      </c>
      <c r="J2413">
        <v>0</v>
      </c>
      <c r="K2413">
        <v>1</v>
      </c>
      <c r="L2413">
        <v>1</v>
      </c>
      <c r="M2413">
        <f>VLOOKUP(Table1[[#This Row],[subscription_type]],Plans!$A$1:$B$5,2,FALSE)</f>
        <v>9.99</v>
      </c>
      <c r="N2413">
        <f t="shared" si="37"/>
        <v>9.99</v>
      </c>
    </row>
    <row r="2414" spans="1:14" x14ac:dyDescent="0.35">
      <c r="A2414">
        <v>2413</v>
      </c>
      <c r="B2414" t="s">
        <v>12</v>
      </c>
      <c r="C2414">
        <v>52</v>
      </c>
      <c r="D2414" t="s">
        <v>25</v>
      </c>
      <c r="E2414" t="s">
        <v>14</v>
      </c>
      <c r="F2414">
        <v>151</v>
      </c>
      <c r="G2414">
        <v>77</v>
      </c>
      <c r="H2414">
        <v>0.03</v>
      </c>
      <c r="I2414" t="s">
        <v>15</v>
      </c>
      <c r="J2414">
        <v>46</v>
      </c>
      <c r="K2414">
        <v>0</v>
      </c>
      <c r="L2414">
        <v>0</v>
      </c>
      <c r="M2414">
        <f>VLOOKUP(Table1[[#This Row],[subscription_type]],Plans!$A$1:$B$5,2,FALSE)</f>
        <v>0</v>
      </c>
      <c r="N2414">
        <f t="shared" si="37"/>
        <v>0</v>
      </c>
    </row>
    <row r="2415" spans="1:14" x14ac:dyDescent="0.35">
      <c r="A2415">
        <v>2414</v>
      </c>
      <c r="B2415" t="s">
        <v>12</v>
      </c>
      <c r="C2415">
        <v>44</v>
      </c>
      <c r="D2415" t="s">
        <v>25</v>
      </c>
      <c r="E2415" t="s">
        <v>24</v>
      </c>
      <c r="F2415">
        <v>105</v>
      </c>
      <c r="G2415">
        <v>92</v>
      </c>
      <c r="H2415">
        <v>0.28000000000000003</v>
      </c>
      <c r="I2415" t="s">
        <v>23</v>
      </c>
      <c r="J2415">
        <v>0</v>
      </c>
      <c r="K2415">
        <v>1</v>
      </c>
      <c r="L2415">
        <v>0</v>
      </c>
      <c r="M2415">
        <f>VLOOKUP(Table1[[#This Row],[subscription_type]],Plans!$A$1:$B$5,2,FALSE)</f>
        <v>4.99</v>
      </c>
      <c r="N2415">
        <f t="shared" si="37"/>
        <v>0</v>
      </c>
    </row>
    <row r="2416" spans="1:14" x14ac:dyDescent="0.35">
      <c r="A2416">
        <v>2415</v>
      </c>
      <c r="B2416" t="s">
        <v>16</v>
      </c>
      <c r="C2416">
        <v>16</v>
      </c>
      <c r="D2416" t="s">
        <v>27</v>
      </c>
      <c r="E2416" t="s">
        <v>18</v>
      </c>
      <c r="F2416">
        <v>23</v>
      </c>
      <c r="G2416">
        <v>43</v>
      </c>
      <c r="H2416">
        <v>0.42</v>
      </c>
      <c r="I2416" t="s">
        <v>19</v>
      </c>
      <c r="J2416">
        <v>0</v>
      </c>
      <c r="K2416">
        <v>1</v>
      </c>
      <c r="L2416">
        <v>0</v>
      </c>
      <c r="M2416">
        <f>VLOOKUP(Table1[[#This Row],[subscription_type]],Plans!$A$1:$B$5,2,FALSE)</f>
        <v>14.99</v>
      </c>
      <c r="N2416">
        <f t="shared" si="37"/>
        <v>0</v>
      </c>
    </row>
    <row r="2417" spans="1:14" x14ac:dyDescent="0.35">
      <c r="A2417">
        <v>2416</v>
      </c>
      <c r="B2417" t="s">
        <v>16</v>
      </c>
      <c r="C2417">
        <v>35</v>
      </c>
      <c r="D2417" t="s">
        <v>13</v>
      </c>
      <c r="E2417" t="s">
        <v>24</v>
      </c>
      <c r="F2417">
        <v>60</v>
      </c>
      <c r="G2417">
        <v>19</v>
      </c>
      <c r="H2417">
        <v>0.44</v>
      </c>
      <c r="I2417" t="s">
        <v>15</v>
      </c>
      <c r="J2417">
        <v>0</v>
      </c>
      <c r="K2417">
        <v>1</v>
      </c>
      <c r="L2417">
        <v>1</v>
      </c>
      <c r="M2417">
        <f>VLOOKUP(Table1[[#This Row],[subscription_type]],Plans!$A$1:$B$5,2,FALSE)</f>
        <v>4.99</v>
      </c>
      <c r="N2417">
        <f t="shared" si="37"/>
        <v>4.99</v>
      </c>
    </row>
    <row r="2418" spans="1:14" x14ac:dyDescent="0.35">
      <c r="A2418">
        <v>2417</v>
      </c>
      <c r="B2418" t="s">
        <v>20</v>
      </c>
      <c r="C2418">
        <v>19</v>
      </c>
      <c r="D2418" t="s">
        <v>28</v>
      </c>
      <c r="E2418" t="s">
        <v>18</v>
      </c>
      <c r="F2418">
        <v>237</v>
      </c>
      <c r="G2418">
        <v>66</v>
      </c>
      <c r="H2418">
        <v>0.41</v>
      </c>
      <c r="I2418" t="s">
        <v>23</v>
      </c>
      <c r="J2418">
        <v>0</v>
      </c>
      <c r="K2418">
        <v>1</v>
      </c>
      <c r="L2418">
        <v>0</v>
      </c>
      <c r="M2418">
        <f>VLOOKUP(Table1[[#This Row],[subscription_type]],Plans!$A$1:$B$5,2,FALSE)</f>
        <v>14.99</v>
      </c>
      <c r="N2418">
        <f t="shared" si="37"/>
        <v>0</v>
      </c>
    </row>
    <row r="2419" spans="1:14" x14ac:dyDescent="0.35">
      <c r="A2419">
        <v>2418</v>
      </c>
      <c r="B2419" t="s">
        <v>16</v>
      </c>
      <c r="C2419">
        <v>41</v>
      </c>
      <c r="D2419" t="s">
        <v>17</v>
      </c>
      <c r="E2419" t="s">
        <v>22</v>
      </c>
      <c r="F2419">
        <v>15</v>
      </c>
      <c r="G2419">
        <v>1</v>
      </c>
      <c r="H2419">
        <v>0.06</v>
      </c>
      <c r="I2419" t="s">
        <v>15</v>
      </c>
      <c r="J2419">
        <v>0</v>
      </c>
      <c r="K2419">
        <v>1</v>
      </c>
      <c r="L2419">
        <v>0</v>
      </c>
      <c r="M2419">
        <f>VLOOKUP(Table1[[#This Row],[subscription_type]],Plans!$A$1:$B$5,2,FALSE)</f>
        <v>9.99</v>
      </c>
      <c r="N2419">
        <f t="shared" si="37"/>
        <v>0</v>
      </c>
    </row>
    <row r="2420" spans="1:14" x14ac:dyDescent="0.35">
      <c r="A2420">
        <v>2419</v>
      </c>
      <c r="B2420" t="s">
        <v>20</v>
      </c>
      <c r="C2420">
        <v>16</v>
      </c>
      <c r="D2420" t="s">
        <v>25</v>
      </c>
      <c r="E2420" t="s">
        <v>22</v>
      </c>
      <c r="F2420">
        <v>129</v>
      </c>
      <c r="G2420">
        <v>55</v>
      </c>
      <c r="H2420">
        <v>0.14000000000000001</v>
      </c>
      <c r="I2420" t="s">
        <v>23</v>
      </c>
      <c r="J2420">
        <v>0</v>
      </c>
      <c r="K2420">
        <v>1</v>
      </c>
      <c r="L2420">
        <v>0</v>
      </c>
      <c r="M2420">
        <f>VLOOKUP(Table1[[#This Row],[subscription_type]],Plans!$A$1:$B$5,2,FALSE)</f>
        <v>9.99</v>
      </c>
      <c r="N2420">
        <f t="shared" si="37"/>
        <v>0</v>
      </c>
    </row>
    <row r="2421" spans="1:14" x14ac:dyDescent="0.35">
      <c r="A2421">
        <v>2420</v>
      </c>
      <c r="B2421" t="s">
        <v>12</v>
      </c>
      <c r="C2421">
        <v>39</v>
      </c>
      <c r="D2421" t="s">
        <v>13</v>
      </c>
      <c r="E2421" t="s">
        <v>14</v>
      </c>
      <c r="F2421">
        <v>158</v>
      </c>
      <c r="G2421">
        <v>69</v>
      </c>
      <c r="H2421">
        <v>0.27</v>
      </c>
      <c r="I2421" t="s">
        <v>19</v>
      </c>
      <c r="J2421">
        <v>5</v>
      </c>
      <c r="K2421">
        <v>0</v>
      </c>
      <c r="L2421">
        <v>0</v>
      </c>
      <c r="M2421">
        <f>VLOOKUP(Table1[[#This Row],[subscription_type]],Plans!$A$1:$B$5,2,FALSE)</f>
        <v>0</v>
      </c>
      <c r="N2421">
        <f t="shared" si="37"/>
        <v>0</v>
      </c>
    </row>
    <row r="2422" spans="1:14" x14ac:dyDescent="0.35">
      <c r="A2422">
        <v>2421</v>
      </c>
      <c r="B2422" t="s">
        <v>20</v>
      </c>
      <c r="C2422">
        <v>24</v>
      </c>
      <c r="D2422" t="s">
        <v>27</v>
      </c>
      <c r="E2422" t="s">
        <v>14</v>
      </c>
      <c r="F2422">
        <v>95</v>
      </c>
      <c r="G2422">
        <v>63</v>
      </c>
      <c r="H2422">
        <v>0.16</v>
      </c>
      <c r="I2422" t="s">
        <v>15</v>
      </c>
      <c r="J2422">
        <v>43</v>
      </c>
      <c r="K2422">
        <v>0</v>
      </c>
      <c r="L2422">
        <v>0</v>
      </c>
      <c r="M2422">
        <f>VLOOKUP(Table1[[#This Row],[subscription_type]],Plans!$A$1:$B$5,2,FALSE)</f>
        <v>0</v>
      </c>
      <c r="N2422">
        <f t="shared" si="37"/>
        <v>0</v>
      </c>
    </row>
    <row r="2423" spans="1:14" x14ac:dyDescent="0.35">
      <c r="A2423">
        <v>2422</v>
      </c>
      <c r="B2423" t="s">
        <v>20</v>
      </c>
      <c r="C2423">
        <v>53</v>
      </c>
      <c r="D2423" t="s">
        <v>27</v>
      </c>
      <c r="E2423" t="s">
        <v>24</v>
      </c>
      <c r="F2423">
        <v>157</v>
      </c>
      <c r="G2423">
        <v>47</v>
      </c>
      <c r="H2423">
        <v>0.57999999999999996</v>
      </c>
      <c r="I2423" t="s">
        <v>23</v>
      </c>
      <c r="J2423">
        <v>0</v>
      </c>
      <c r="K2423">
        <v>1</v>
      </c>
      <c r="L2423">
        <v>0</v>
      </c>
      <c r="M2423">
        <f>VLOOKUP(Table1[[#This Row],[subscription_type]],Plans!$A$1:$B$5,2,FALSE)</f>
        <v>4.99</v>
      </c>
      <c r="N2423">
        <f t="shared" si="37"/>
        <v>0</v>
      </c>
    </row>
    <row r="2424" spans="1:14" x14ac:dyDescent="0.35">
      <c r="A2424">
        <v>2423</v>
      </c>
      <c r="B2424" t="s">
        <v>12</v>
      </c>
      <c r="C2424">
        <v>58</v>
      </c>
      <c r="D2424" t="s">
        <v>26</v>
      </c>
      <c r="E2424" t="s">
        <v>22</v>
      </c>
      <c r="F2424">
        <v>284</v>
      </c>
      <c r="G2424">
        <v>71</v>
      </c>
      <c r="H2424">
        <v>0.45</v>
      </c>
      <c r="I2424" t="s">
        <v>19</v>
      </c>
      <c r="J2424">
        <v>0</v>
      </c>
      <c r="K2424">
        <v>1</v>
      </c>
      <c r="L2424">
        <v>0</v>
      </c>
      <c r="M2424">
        <f>VLOOKUP(Table1[[#This Row],[subscription_type]],Plans!$A$1:$B$5,2,FALSE)</f>
        <v>9.99</v>
      </c>
      <c r="N2424">
        <f t="shared" si="37"/>
        <v>0</v>
      </c>
    </row>
    <row r="2425" spans="1:14" x14ac:dyDescent="0.35">
      <c r="A2425">
        <v>2424</v>
      </c>
      <c r="B2425" t="s">
        <v>20</v>
      </c>
      <c r="C2425">
        <v>48</v>
      </c>
      <c r="D2425" t="s">
        <v>26</v>
      </c>
      <c r="E2425" t="s">
        <v>14</v>
      </c>
      <c r="F2425">
        <v>224</v>
      </c>
      <c r="G2425">
        <v>41</v>
      </c>
      <c r="H2425">
        <v>0.45</v>
      </c>
      <c r="I2425" t="s">
        <v>23</v>
      </c>
      <c r="J2425">
        <v>11</v>
      </c>
      <c r="K2425">
        <v>0</v>
      </c>
      <c r="L2425">
        <v>0</v>
      </c>
      <c r="M2425">
        <f>VLOOKUP(Table1[[#This Row],[subscription_type]],Plans!$A$1:$B$5,2,FALSE)</f>
        <v>0</v>
      </c>
      <c r="N2425">
        <f t="shared" si="37"/>
        <v>0</v>
      </c>
    </row>
    <row r="2426" spans="1:14" x14ac:dyDescent="0.35">
      <c r="A2426">
        <v>2425</v>
      </c>
      <c r="B2426" t="s">
        <v>20</v>
      </c>
      <c r="C2426">
        <v>39</v>
      </c>
      <c r="D2426" t="s">
        <v>25</v>
      </c>
      <c r="E2426" t="s">
        <v>24</v>
      </c>
      <c r="F2426">
        <v>176</v>
      </c>
      <c r="G2426">
        <v>15</v>
      </c>
      <c r="H2426">
        <v>0.47</v>
      </c>
      <c r="I2426" t="s">
        <v>19</v>
      </c>
      <c r="J2426">
        <v>0</v>
      </c>
      <c r="K2426">
        <v>1</v>
      </c>
      <c r="L2426">
        <v>0</v>
      </c>
      <c r="M2426">
        <f>VLOOKUP(Table1[[#This Row],[subscription_type]],Plans!$A$1:$B$5,2,FALSE)</f>
        <v>4.99</v>
      </c>
      <c r="N2426">
        <f t="shared" si="37"/>
        <v>0</v>
      </c>
    </row>
    <row r="2427" spans="1:14" x14ac:dyDescent="0.35">
      <c r="A2427">
        <v>2426</v>
      </c>
      <c r="B2427" t="s">
        <v>20</v>
      </c>
      <c r="C2427">
        <v>37</v>
      </c>
      <c r="D2427" t="s">
        <v>17</v>
      </c>
      <c r="E2427" t="s">
        <v>22</v>
      </c>
      <c r="F2427">
        <v>199</v>
      </c>
      <c r="G2427">
        <v>45</v>
      </c>
      <c r="H2427">
        <v>0.11</v>
      </c>
      <c r="I2427" t="s">
        <v>23</v>
      </c>
      <c r="J2427">
        <v>0</v>
      </c>
      <c r="K2427">
        <v>1</v>
      </c>
      <c r="L2427">
        <v>0</v>
      </c>
      <c r="M2427">
        <f>VLOOKUP(Table1[[#This Row],[subscription_type]],Plans!$A$1:$B$5,2,FALSE)</f>
        <v>9.99</v>
      </c>
      <c r="N2427">
        <f t="shared" si="37"/>
        <v>0</v>
      </c>
    </row>
    <row r="2428" spans="1:14" x14ac:dyDescent="0.35">
      <c r="A2428">
        <v>2427</v>
      </c>
      <c r="B2428" t="s">
        <v>12</v>
      </c>
      <c r="C2428">
        <v>32</v>
      </c>
      <c r="D2428" t="s">
        <v>29</v>
      </c>
      <c r="E2428" t="s">
        <v>24</v>
      </c>
      <c r="F2428">
        <v>87</v>
      </c>
      <c r="G2428">
        <v>79</v>
      </c>
      <c r="H2428">
        <v>7.0000000000000007E-2</v>
      </c>
      <c r="I2428" t="s">
        <v>15</v>
      </c>
      <c r="J2428">
        <v>0</v>
      </c>
      <c r="K2428">
        <v>1</v>
      </c>
      <c r="L2428">
        <v>0</v>
      </c>
      <c r="M2428">
        <f>VLOOKUP(Table1[[#This Row],[subscription_type]],Plans!$A$1:$B$5,2,FALSE)</f>
        <v>4.99</v>
      </c>
      <c r="N2428">
        <f t="shared" si="37"/>
        <v>0</v>
      </c>
    </row>
    <row r="2429" spans="1:14" x14ac:dyDescent="0.35">
      <c r="A2429">
        <v>2428</v>
      </c>
      <c r="B2429" t="s">
        <v>16</v>
      </c>
      <c r="C2429">
        <v>57</v>
      </c>
      <c r="D2429" t="s">
        <v>25</v>
      </c>
      <c r="E2429" t="s">
        <v>24</v>
      </c>
      <c r="F2429">
        <v>35</v>
      </c>
      <c r="G2429">
        <v>39</v>
      </c>
      <c r="H2429">
        <v>0.41</v>
      </c>
      <c r="I2429" t="s">
        <v>19</v>
      </c>
      <c r="J2429">
        <v>0</v>
      </c>
      <c r="K2429">
        <v>1</v>
      </c>
      <c r="L2429">
        <v>0</v>
      </c>
      <c r="M2429">
        <f>VLOOKUP(Table1[[#This Row],[subscription_type]],Plans!$A$1:$B$5,2,FALSE)</f>
        <v>4.99</v>
      </c>
      <c r="N2429">
        <f t="shared" si="37"/>
        <v>0</v>
      </c>
    </row>
    <row r="2430" spans="1:14" x14ac:dyDescent="0.35">
      <c r="A2430">
        <v>2429</v>
      </c>
      <c r="B2430" t="s">
        <v>12</v>
      </c>
      <c r="C2430">
        <v>52</v>
      </c>
      <c r="D2430" t="s">
        <v>28</v>
      </c>
      <c r="E2430" t="s">
        <v>18</v>
      </c>
      <c r="F2430">
        <v>126</v>
      </c>
      <c r="G2430">
        <v>53</v>
      </c>
      <c r="H2430">
        <v>0.05</v>
      </c>
      <c r="I2430" t="s">
        <v>15</v>
      </c>
      <c r="J2430">
        <v>0</v>
      </c>
      <c r="K2430">
        <v>1</v>
      </c>
      <c r="L2430">
        <v>1</v>
      </c>
      <c r="M2430">
        <f>VLOOKUP(Table1[[#This Row],[subscription_type]],Plans!$A$1:$B$5,2,FALSE)</f>
        <v>14.99</v>
      </c>
      <c r="N2430">
        <f t="shared" si="37"/>
        <v>14.99</v>
      </c>
    </row>
    <row r="2431" spans="1:14" x14ac:dyDescent="0.35">
      <c r="A2431">
        <v>2430</v>
      </c>
      <c r="B2431" t="s">
        <v>20</v>
      </c>
      <c r="C2431">
        <v>37</v>
      </c>
      <c r="D2431" t="s">
        <v>21</v>
      </c>
      <c r="E2431" t="s">
        <v>24</v>
      </c>
      <c r="F2431">
        <v>186</v>
      </c>
      <c r="G2431">
        <v>8</v>
      </c>
      <c r="H2431">
        <v>0.14000000000000001</v>
      </c>
      <c r="I2431" t="s">
        <v>19</v>
      </c>
      <c r="J2431">
        <v>0</v>
      </c>
      <c r="K2431">
        <v>1</v>
      </c>
      <c r="L2431">
        <v>0</v>
      </c>
      <c r="M2431">
        <f>VLOOKUP(Table1[[#This Row],[subscription_type]],Plans!$A$1:$B$5,2,FALSE)</f>
        <v>4.99</v>
      </c>
      <c r="N2431">
        <f t="shared" si="37"/>
        <v>0</v>
      </c>
    </row>
    <row r="2432" spans="1:14" x14ac:dyDescent="0.35">
      <c r="A2432">
        <v>2431</v>
      </c>
      <c r="B2432" t="s">
        <v>20</v>
      </c>
      <c r="C2432">
        <v>34</v>
      </c>
      <c r="D2432" t="s">
        <v>26</v>
      </c>
      <c r="E2432" t="s">
        <v>18</v>
      </c>
      <c r="F2432">
        <v>14</v>
      </c>
      <c r="G2432">
        <v>84</v>
      </c>
      <c r="H2432">
        <v>0.56000000000000005</v>
      </c>
      <c r="I2432" t="s">
        <v>23</v>
      </c>
      <c r="J2432">
        <v>0</v>
      </c>
      <c r="K2432">
        <v>1</v>
      </c>
      <c r="L2432">
        <v>1</v>
      </c>
      <c r="M2432">
        <f>VLOOKUP(Table1[[#This Row],[subscription_type]],Plans!$A$1:$B$5,2,FALSE)</f>
        <v>14.99</v>
      </c>
      <c r="N2432">
        <f t="shared" si="37"/>
        <v>14.99</v>
      </c>
    </row>
    <row r="2433" spans="1:14" x14ac:dyDescent="0.35">
      <c r="A2433">
        <v>2432</v>
      </c>
      <c r="B2433" t="s">
        <v>20</v>
      </c>
      <c r="C2433">
        <v>44</v>
      </c>
      <c r="D2433" t="s">
        <v>13</v>
      </c>
      <c r="E2433" t="s">
        <v>14</v>
      </c>
      <c r="F2433">
        <v>42</v>
      </c>
      <c r="G2433">
        <v>38</v>
      </c>
      <c r="H2433">
        <v>0.55000000000000004</v>
      </c>
      <c r="I2433" t="s">
        <v>15</v>
      </c>
      <c r="J2433">
        <v>36</v>
      </c>
      <c r="K2433">
        <v>0</v>
      </c>
      <c r="L2433">
        <v>1</v>
      </c>
      <c r="M2433">
        <f>VLOOKUP(Table1[[#This Row],[subscription_type]],Plans!$A$1:$B$5,2,FALSE)</f>
        <v>0</v>
      </c>
      <c r="N2433">
        <f t="shared" si="37"/>
        <v>0</v>
      </c>
    </row>
    <row r="2434" spans="1:14" x14ac:dyDescent="0.35">
      <c r="A2434">
        <v>2433</v>
      </c>
      <c r="B2434" t="s">
        <v>12</v>
      </c>
      <c r="C2434">
        <v>32</v>
      </c>
      <c r="D2434" t="s">
        <v>29</v>
      </c>
      <c r="E2434" t="s">
        <v>14</v>
      </c>
      <c r="F2434">
        <v>264</v>
      </c>
      <c r="G2434">
        <v>56</v>
      </c>
      <c r="H2434">
        <v>0.23</v>
      </c>
      <c r="I2434" t="s">
        <v>23</v>
      </c>
      <c r="J2434">
        <v>47</v>
      </c>
      <c r="K2434">
        <v>0</v>
      </c>
      <c r="L2434">
        <v>0</v>
      </c>
      <c r="M2434">
        <f>VLOOKUP(Table1[[#This Row],[subscription_type]],Plans!$A$1:$B$5,2,FALSE)</f>
        <v>0</v>
      </c>
      <c r="N2434">
        <f t="shared" ref="N2434:N2497" si="38">IF(L2434=1, M2434,0)</f>
        <v>0</v>
      </c>
    </row>
    <row r="2435" spans="1:14" x14ac:dyDescent="0.35">
      <c r="A2435">
        <v>2434</v>
      </c>
      <c r="B2435" t="s">
        <v>12</v>
      </c>
      <c r="C2435">
        <v>17</v>
      </c>
      <c r="D2435" t="s">
        <v>26</v>
      </c>
      <c r="E2435" t="s">
        <v>22</v>
      </c>
      <c r="F2435">
        <v>80</v>
      </c>
      <c r="G2435">
        <v>11</v>
      </c>
      <c r="H2435">
        <v>0.15</v>
      </c>
      <c r="I2435" t="s">
        <v>15</v>
      </c>
      <c r="J2435">
        <v>0</v>
      </c>
      <c r="K2435">
        <v>1</v>
      </c>
      <c r="L2435">
        <v>1</v>
      </c>
      <c r="M2435">
        <f>VLOOKUP(Table1[[#This Row],[subscription_type]],Plans!$A$1:$B$5,2,FALSE)</f>
        <v>9.99</v>
      </c>
      <c r="N2435">
        <f t="shared" si="38"/>
        <v>9.99</v>
      </c>
    </row>
    <row r="2436" spans="1:14" x14ac:dyDescent="0.35">
      <c r="A2436">
        <v>2435</v>
      </c>
      <c r="B2436" t="s">
        <v>12</v>
      </c>
      <c r="C2436">
        <v>49</v>
      </c>
      <c r="D2436" t="s">
        <v>21</v>
      </c>
      <c r="E2436" t="s">
        <v>18</v>
      </c>
      <c r="F2436">
        <v>279</v>
      </c>
      <c r="G2436">
        <v>85</v>
      </c>
      <c r="H2436">
        <v>0.34</v>
      </c>
      <c r="I2436" t="s">
        <v>19</v>
      </c>
      <c r="J2436">
        <v>0</v>
      </c>
      <c r="K2436">
        <v>1</v>
      </c>
      <c r="L2436">
        <v>1</v>
      </c>
      <c r="M2436">
        <f>VLOOKUP(Table1[[#This Row],[subscription_type]],Plans!$A$1:$B$5,2,FALSE)</f>
        <v>14.99</v>
      </c>
      <c r="N2436">
        <f t="shared" si="38"/>
        <v>14.99</v>
      </c>
    </row>
    <row r="2437" spans="1:14" x14ac:dyDescent="0.35">
      <c r="A2437">
        <v>2436</v>
      </c>
      <c r="B2437" t="s">
        <v>20</v>
      </c>
      <c r="C2437">
        <v>31</v>
      </c>
      <c r="D2437" t="s">
        <v>17</v>
      </c>
      <c r="E2437" t="s">
        <v>14</v>
      </c>
      <c r="F2437">
        <v>226</v>
      </c>
      <c r="G2437">
        <v>2</v>
      </c>
      <c r="H2437">
        <v>0.47</v>
      </c>
      <c r="I2437" t="s">
        <v>15</v>
      </c>
      <c r="J2437">
        <v>13</v>
      </c>
      <c r="K2437">
        <v>0</v>
      </c>
      <c r="L2437">
        <v>0</v>
      </c>
      <c r="M2437">
        <f>VLOOKUP(Table1[[#This Row],[subscription_type]],Plans!$A$1:$B$5,2,FALSE)</f>
        <v>0</v>
      </c>
      <c r="N2437">
        <f t="shared" si="38"/>
        <v>0</v>
      </c>
    </row>
    <row r="2438" spans="1:14" x14ac:dyDescent="0.35">
      <c r="A2438">
        <v>2437</v>
      </c>
      <c r="B2438" t="s">
        <v>20</v>
      </c>
      <c r="C2438">
        <v>26</v>
      </c>
      <c r="D2438" t="s">
        <v>27</v>
      </c>
      <c r="E2438" t="s">
        <v>22</v>
      </c>
      <c r="F2438">
        <v>79</v>
      </c>
      <c r="G2438">
        <v>20</v>
      </c>
      <c r="H2438">
        <v>0.48</v>
      </c>
      <c r="I2438" t="s">
        <v>23</v>
      </c>
      <c r="J2438">
        <v>0</v>
      </c>
      <c r="K2438">
        <v>1</v>
      </c>
      <c r="L2438">
        <v>0</v>
      </c>
      <c r="M2438">
        <f>VLOOKUP(Table1[[#This Row],[subscription_type]],Plans!$A$1:$B$5,2,FALSE)</f>
        <v>9.99</v>
      </c>
      <c r="N2438">
        <f t="shared" si="38"/>
        <v>0</v>
      </c>
    </row>
    <row r="2439" spans="1:14" x14ac:dyDescent="0.35">
      <c r="A2439">
        <v>2438</v>
      </c>
      <c r="B2439" t="s">
        <v>16</v>
      </c>
      <c r="C2439">
        <v>37</v>
      </c>
      <c r="D2439" t="s">
        <v>27</v>
      </c>
      <c r="E2439" t="s">
        <v>22</v>
      </c>
      <c r="F2439">
        <v>179</v>
      </c>
      <c r="G2439">
        <v>56</v>
      </c>
      <c r="H2439">
        <v>0.34</v>
      </c>
      <c r="I2439" t="s">
        <v>23</v>
      </c>
      <c r="J2439">
        <v>0</v>
      </c>
      <c r="K2439">
        <v>1</v>
      </c>
      <c r="L2439">
        <v>0</v>
      </c>
      <c r="M2439">
        <f>VLOOKUP(Table1[[#This Row],[subscription_type]],Plans!$A$1:$B$5,2,FALSE)</f>
        <v>9.99</v>
      </c>
      <c r="N2439">
        <f t="shared" si="38"/>
        <v>0</v>
      </c>
    </row>
    <row r="2440" spans="1:14" x14ac:dyDescent="0.35">
      <c r="A2440">
        <v>2439</v>
      </c>
      <c r="B2440" t="s">
        <v>12</v>
      </c>
      <c r="C2440">
        <v>30</v>
      </c>
      <c r="D2440" t="s">
        <v>27</v>
      </c>
      <c r="E2440" t="s">
        <v>24</v>
      </c>
      <c r="F2440">
        <v>240</v>
      </c>
      <c r="G2440">
        <v>13</v>
      </c>
      <c r="H2440">
        <v>0.28000000000000003</v>
      </c>
      <c r="I2440" t="s">
        <v>23</v>
      </c>
      <c r="J2440">
        <v>0</v>
      </c>
      <c r="K2440">
        <v>1</v>
      </c>
      <c r="L2440">
        <v>0</v>
      </c>
      <c r="M2440">
        <f>VLOOKUP(Table1[[#This Row],[subscription_type]],Plans!$A$1:$B$5,2,FALSE)</f>
        <v>4.99</v>
      </c>
      <c r="N2440">
        <f t="shared" si="38"/>
        <v>0</v>
      </c>
    </row>
    <row r="2441" spans="1:14" x14ac:dyDescent="0.35">
      <c r="A2441">
        <v>2440</v>
      </c>
      <c r="B2441" t="s">
        <v>20</v>
      </c>
      <c r="C2441">
        <v>22</v>
      </c>
      <c r="D2441" t="s">
        <v>21</v>
      </c>
      <c r="E2441" t="s">
        <v>14</v>
      </c>
      <c r="F2441">
        <v>257</v>
      </c>
      <c r="G2441">
        <v>11</v>
      </c>
      <c r="H2441">
        <v>0.47</v>
      </c>
      <c r="I2441" t="s">
        <v>23</v>
      </c>
      <c r="J2441">
        <v>41</v>
      </c>
      <c r="K2441">
        <v>0</v>
      </c>
      <c r="L2441">
        <v>0</v>
      </c>
      <c r="M2441">
        <f>VLOOKUP(Table1[[#This Row],[subscription_type]],Plans!$A$1:$B$5,2,FALSE)</f>
        <v>0</v>
      </c>
      <c r="N2441">
        <f t="shared" si="38"/>
        <v>0</v>
      </c>
    </row>
    <row r="2442" spans="1:14" x14ac:dyDescent="0.35">
      <c r="A2442">
        <v>2441</v>
      </c>
      <c r="B2442" t="s">
        <v>20</v>
      </c>
      <c r="C2442">
        <v>52</v>
      </c>
      <c r="D2442" t="s">
        <v>17</v>
      </c>
      <c r="E2442" t="s">
        <v>24</v>
      </c>
      <c r="F2442">
        <v>293</v>
      </c>
      <c r="G2442">
        <v>69</v>
      </c>
      <c r="H2442">
        <v>0.23</v>
      </c>
      <c r="I2442" t="s">
        <v>23</v>
      </c>
      <c r="J2442">
        <v>0</v>
      </c>
      <c r="K2442">
        <v>1</v>
      </c>
      <c r="L2442">
        <v>0</v>
      </c>
      <c r="M2442">
        <f>VLOOKUP(Table1[[#This Row],[subscription_type]],Plans!$A$1:$B$5,2,FALSE)</f>
        <v>4.99</v>
      </c>
      <c r="N2442">
        <f t="shared" si="38"/>
        <v>0</v>
      </c>
    </row>
    <row r="2443" spans="1:14" x14ac:dyDescent="0.35">
      <c r="A2443">
        <v>2442</v>
      </c>
      <c r="B2443" t="s">
        <v>12</v>
      </c>
      <c r="C2443">
        <v>45</v>
      </c>
      <c r="D2443" t="s">
        <v>26</v>
      </c>
      <c r="E2443" t="s">
        <v>18</v>
      </c>
      <c r="F2443">
        <v>267</v>
      </c>
      <c r="G2443">
        <v>40</v>
      </c>
      <c r="H2443">
        <v>0.43</v>
      </c>
      <c r="I2443" t="s">
        <v>15</v>
      </c>
      <c r="J2443">
        <v>0</v>
      </c>
      <c r="K2443">
        <v>1</v>
      </c>
      <c r="L2443">
        <v>0</v>
      </c>
      <c r="M2443">
        <f>VLOOKUP(Table1[[#This Row],[subscription_type]],Plans!$A$1:$B$5,2,FALSE)</f>
        <v>14.99</v>
      </c>
      <c r="N2443">
        <f t="shared" si="38"/>
        <v>0</v>
      </c>
    </row>
    <row r="2444" spans="1:14" x14ac:dyDescent="0.35">
      <c r="A2444">
        <v>2443</v>
      </c>
      <c r="B2444" t="s">
        <v>12</v>
      </c>
      <c r="C2444">
        <v>54</v>
      </c>
      <c r="D2444" t="s">
        <v>28</v>
      </c>
      <c r="E2444" t="s">
        <v>14</v>
      </c>
      <c r="F2444">
        <v>283</v>
      </c>
      <c r="G2444">
        <v>27</v>
      </c>
      <c r="H2444">
        <v>0.54</v>
      </c>
      <c r="I2444" t="s">
        <v>23</v>
      </c>
      <c r="J2444">
        <v>11</v>
      </c>
      <c r="K2444">
        <v>0</v>
      </c>
      <c r="L2444">
        <v>1</v>
      </c>
      <c r="M2444">
        <f>VLOOKUP(Table1[[#This Row],[subscription_type]],Plans!$A$1:$B$5,2,FALSE)</f>
        <v>0</v>
      </c>
      <c r="N2444">
        <f t="shared" si="38"/>
        <v>0</v>
      </c>
    </row>
    <row r="2445" spans="1:14" x14ac:dyDescent="0.35">
      <c r="A2445">
        <v>2444</v>
      </c>
      <c r="B2445" t="s">
        <v>20</v>
      </c>
      <c r="C2445">
        <v>35</v>
      </c>
      <c r="D2445" t="s">
        <v>17</v>
      </c>
      <c r="E2445" t="s">
        <v>22</v>
      </c>
      <c r="F2445">
        <v>69</v>
      </c>
      <c r="G2445">
        <v>83</v>
      </c>
      <c r="H2445">
        <v>0.37</v>
      </c>
      <c r="I2445" t="s">
        <v>23</v>
      </c>
      <c r="J2445">
        <v>0</v>
      </c>
      <c r="K2445">
        <v>1</v>
      </c>
      <c r="L2445">
        <v>0</v>
      </c>
      <c r="M2445">
        <f>VLOOKUP(Table1[[#This Row],[subscription_type]],Plans!$A$1:$B$5,2,FALSE)</f>
        <v>9.99</v>
      </c>
      <c r="N2445">
        <f t="shared" si="38"/>
        <v>0</v>
      </c>
    </row>
    <row r="2446" spans="1:14" x14ac:dyDescent="0.35">
      <c r="A2446">
        <v>2445</v>
      </c>
      <c r="B2446" t="s">
        <v>16</v>
      </c>
      <c r="C2446">
        <v>30</v>
      </c>
      <c r="D2446" t="s">
        <v>27</v>
      </c>
      <c r="E2446" t="s">
        <v>24</v>
      </c>
      <c r="F2446">
        <v>21</v>
      </c>
      <c r="G2446">
        <v>35</v>
      </c>
      <c r="H2446">
        <v>0.44</v>
      </c>
      <c r="I2446" t="s">
        <v>19</v>
      </c>
      <c r="J2446">
        <v>0</v>
      </c>
      <c r="K2446">
        <v>1</v>
      </c>
      <c r="L2446">
        <v>0</v>
      </c>
      <c r="M2446">
        <f>VLOOKUP(Table1[[#This Row],[subscription_type]],Plans!$A$1:$B$5,2,FALSE)</f>
        <v>4.99</v>
      </c>
      <c r="N2446">
        <f t="shared" si="38"/>
        <v>0</v>
      </c>
    </row>
    <row r="2447" spans="1:14" x14ac:dyDescent="0.35">
      <c r="A2447">
        <v>2446</v>
      </c>
      <c r="B2447" t="s">
        <v>12</v>
      </c>
      <c r="C2447">
        <v>20</v>
      </c>
      <c r="D2447" t="s">
        <v>28</v>
      </c>
      <c r="E2447" t="s">
        <v>14</v>
      </c>
      <c r="F2447">
        <v>218</v>
      </c>
      <c r="G2447">
        <v>33</v>
      </c>
      <c r="H2447">
        <v>0.26</v>
      </c>
      <c r="I2447" t="s">
        <v>23</v>
      </c>
      <c r="J2447">
        <v>30</v>
      </c>
      <c r="K2447">
        <v>0</v>
      </c>
      <c r="L2447">
        <v>0</v>
      </c>
      <c r="M2447">
        <f>VLOOKUP(Table1[[#This Row],[subscription_type]],Plans!$A$1:$B$5,2,FALSE)</f>
        <v>0</v>
      </c>
      <c r="N2447">
        <f t="shared" si="38"/>
        <v>0</v>
      </c>
    </row>
    <row r="2448" spans="1:14" x14ac:dyDescent="0.35">
      <c r="A2448">
        <v>2447</v>
      </c>
      <c r="B2448" t="s">
        <v>16</v>
      </c>
      <c r="C2448">
        <v>33</v>
      </c>
      <c r="D2448" t="s">
        <v>21</v>
      </c>
      <c r="E2448" t="s">
        <v>24</v>
      </c>
      <c r="F2448">
        <v>149</v>
      </c>
      <c r="G2448">
        <v>25</v>
      </c>
      <c r="H2448">
        <v>0.57999999999999996</v>
      </c>
      <c r="I2448" t="s">
        <v>19</v>
      </c>
      <c r="J2448">
        <v>0</v>
      </c>
      <c r="K2448">
        <v>1</v>
      </c>
      <c r="L2448">
        <v>0</v>
      </c>
      <c r="M2448">
        <f>VLOOKUP(Table1[[#This Row],[subscription_type]],Plans!$A$1:$B$5,2,FALSE)</f>
        <v>4.99</v>
      </c>
      <c r="N2448">
        <f t="shared" si="38"/>
        <v>0</v>
      </c>
    </row>
    <row r="2449" spans="1:14" x14ac:dyDescent="0.35">
      <c r="A2449">
        <v>2448</v>
      </c>
      <c r="B2449" t="s">
        <v>20</v>
      </c>
      <c r="C2449">
        <v>50</v>
      </c>
      <c r="D2449" t="s">
        <v>27</v>
      </c>
      <c r="E2449" t="s">
        <v>18</v>
      </c>
      <c r="F2449">
        <v>84</v>
      </c>
      <c r="G2449">
        <v>86</v>
      </c>
      <c r="H2449">
        <v>0.26</v>
      </c>
      <c r="I2449" t="s">
        <v>23</v>
      </c>
      <c r="J2449">
        <v>0</v>
      </c>
      <c r="K2449">
        <v>1</v>
      </c>
      <c r="L2449">
        <v>1</v>
      </c>
      <c r="M2449">
        <f>VLOOKUP(Table1[[#This Row],[subscription_type]],Plans!$A$1:$B$5,2,FALSE)</f>
        <v>14.99</v>
      </c>
      <c r="N2449">
        <f t="shared" si="38"/>
        <v>14.99</v>
      </c>
    </row>
    <row r="2450" spans="1:14" x14ac:dyDescent="0.35">
      <c r="A2450">
        <v>2449</v>
      </c>
      <c r="B2450" t="s">
        <v>16</v>
      </c>
      <c r="C2450">
        <v>41</v>
      </c>
      <c r="D2450" t="s">
        <v>13</v>
      </c>
      <c r="E2450" t="s">
        <v>14</v>
      </c>
      <c r="F2450">
        <v>69</v>
      </c>
      <c r="G2450">
        <v>51</v>
      </c>
      <c r="H2450">
        <v>0.06</v>
      </c>
      <c r="I2450" t="s">
        <v>23</v>
      </c>
      <c r="J2450">
        <v>16</v>
      </c>
      <c r="K2450">
        <v>0</v>
      </c>
      <c r="L2450">
        <v>0</v>
      </c>
      <c r="M2450">
        <f>VLOOKUP(Table1[[#This Row],[subscription_type]],Plans!$A$1:$B$5,2,FALSE)</f>
        <v>0</v>
      </c>
      <c r="N2450">
        <f t="shared" si="38"/>
        <v>0</v>
      </c>
    </row>
    <row r="2451" spans="1:14" x14ac:dyDescent="0.35">
      <c r="A2451">
        <v>2450</v>
      </c>
      <c r="B2451" t="s">
        <v>16</v>
      </c>
      <c r="C2451">
        <v>37</v>
      </c>
      <c r="D2451" t="s">
        <v>17</v>
      </c>
      <c r="E2451" t="s">
        <v>14</v>
      </c>
      <c r="F2451">
        <v>252</v>
      </c>
      <c r="G2451">
        <v>68</v>
      </c>
      <c r="H2451">
        <v>0.42</v>
      </c>
      <c r="I2451" t="s">
        <v>15</v>
      </c>
      <c r="J2451">
        <v>24</v>
      </c>
      <c r="K2451">
        <v>0</v>
      </c>
      <c r="L2451">
        <v>0</v>
      </c>
      <c r="M2451">
        <f>VLOOKUP(Table1[[#This Row],[subscription_type]],Plans!$A$1:$B$5,2,FALSE)</f>
        <v>0</v>
      </c>
      <c r="N2451">
        <f t="shared" si="38"/>
        <v>0</v>
      </c>
    </row>
    <row r="2452" spans="1:14" x14ac:dyDescent="0.35">
      <c r="A2452">
        <v>2451</v>
      </c>
      <c r="B2452" t="s">
        <v>20</v>
      </c>
      <c r="C2452">
        <v>42</v>
      </c>
      <c r="D2452" t="s">
        <v>29</v>
      </c>
      <c r="E2452" t="s">
        <v>22</v>
      </c>
      <c r="F2452">
        <v>13</v>
      </c>
      <c r="G2452">
        <v>75</v>
      </c>
      <c r="H2452">
        <v>0.14000000000000001</v>
      </c>
      <c r="I2452" t="s">
        <v>19</v>
      </c>
      <c r="J2452">
        <v>0</v>
      </c>
      <c r="K2452">
        <v>1</v>
      </c>
      <c r="L2452">
        <v>1</v>
      </c>
      <c r="M2452">
        <f>VLOOKUP(Table1[[#This Row],[subscription_type]],Plans!$A$1:$B$5,2,FALSE)</f>
        <v>9.99</v>
      </c>
      <c r="N2452">
        <f t="shared" si="38"/>
        <v>9.99</v>
      </c>
    </row>
    <row r="2453" spans="1:14" x14ac:dyDescent="0.35">
      <c r="A2453">
        <v>2452</v>
      </c>
      <c r="B2453" t="s">
        <v>16</v>
      </c>
      <c r="C2453">
        <v>53</v>
      </c>
      <c r="D2453" t="s">
        <v>26</v>
      </c>
      <c r="E2453" t="s">
        <v>14</v>
      </c>
      <c r="F2453">
        <v>290</v>
      </c>
      <c r="G2453">
        <v>74</v>
      </c>
      <c r="H2453">
        <v>0.53</v>
      </c>
      <c r="I2453" t="s">
        <v>23</v>
      </c>
      <c r="J2453">
        <v>36</v>
      </c>
      <c r="K2453">
        <v>0</v>
      </c>
      <c r="L2453">
        <v>0</v>
      </c>
      <c r="M2453">
        <f>VLOOKUP(Table1[[#This Row],[subscription_type]],Plans!$A$1:$B$5,2,FALSE)</f>
        <v>0</v>
      </c>
      <c r="N2453">
        <f t="shared" si="38"/>
        <v>0</v>
      </c>
    </row>
    <row r="2454" spans="1:14" x14ac:dyDescent="0.35">
      <c r="A2454">
        <v>2453</v>
      </c>
      <c r="B2454" t="s">
        <v>20</v>
      </c>
      <c r="C2454">
        <v>22</v>
      </c>
      <c r="D2454" t="s">
        <v>28</v>
      </c>
      <c r="E2454" t="s">
        <v>22</v>
      </c>
      <c r="F2454">
        <v>13</v>
      </c>
      <c r="G2454">
        <v>7</v>
      </c>
      <c r="H2454">
        <v>0.41</v>
      </c>
      <c r="I2454" t="s">
        <v>19</v>
      </c>
      <c r="J2454">
        <v>0</v>
      </c>
      <c r="K2454">
        <v>1</v>
      </c>
      <c r="L2454">
        <v>1</v>
      </c>
      <c r="M2454">
        <f>VLOOKUP(Table1[[#This Row],[subscription_type]],Plans!$A$1:$B$5,2,FALSE)</f>
        <v>9.99</v>
      </c>
      <c r="N2454">
        <f t="shared" si="38"/>
        <v>9.99</v>
      </c>
    </row>
    <row r="2455" spans="1:14" x14ac:dyDescent="0.35">
      <c r="A2455">
        <v>2454</v>
      </c>
      <c r="B2455" t="s">
        <v>12</v>
      </c>
      <c r="C2455">
        <v>19</v>
      </c>
      <c r="D2455" t="s">
        <v>25</v>
      </c>
      <c r="E2455" t="s">
        <v>22</v>
      </c>
      <c r="F2455">
        <v>165</v>
      </c>
      <c r="G2455">
        <v>19</v>
      </c>
      <c r="H2455">
        <v>0.51</v>
      </c>
      <c r="I2455" t="s">
        <v>19</v>
      </c>
      <c r="J2455">
        <v>0</v>
      </c>
      <c r="K2455">
        <v>1</v>
      </c>
      <c r="L2455">
        <v>0</v>
      </c>
      <c r="M2455">
        <f>VLOOKUP(Table1[[#This Row],[subscription_type]],Plans!$A$1:$B$5,2,FALSE)</f>
        <v>9.99</v>
      </c>
      <c r="N2455">
        <f t="shared" si="38"/>
        <v>0</v>
      </c>
    </row>
    <row r="2456" spans="1:14" x14ac:dyDescent="0.35">
      <c r="A2456">
        <v>2455</v>
      </c>
      <c r="B2456" t="s">
        <v>20</v>
      </c>
      <c r="C2456">
        <v>22</v>
      </c>
      <c r="D2456" t="s">
        <v>21</v>
      </c>
      <c r="E2456" t="s">
        <v>22</v>
      </c>
      <c r="F2456">
        <v>131</v>
      </c>
      <c r="G2456">
        <v>82</v>
      </c>
      <c r="H2456">
        <v>0.25</v>
      </c>
      <c r="I2456" t="s">
        <v>19</v>
      </c>
      <c r="J2456">
        <v>0</v>
      </c>
      <c r="K2456">
        <v>1</v>
      </c>
      <c r="L2456">
        <v>1</v>
      </c>
      <c r="M2456">
        <f>VLOOKUP(Table1[[#This Row],[subscription_type]],Plans!$A$1:$B$5,2,FALSE)</f>
        <v>9.99</v>
      </c>
      <c r="N2456">
        <f t="shared" si="38"/>
        <v>9.99</v>
      </c>
    </row>
    <row r="2457" spans="1:14" x14ac:dyDescent="0.35">
      <c r="A2457">
        <v>2456</v>
      </c>
      <c r="B2457" t="s">
        <v>16</v>
      </c>
      <c r="C2457">
        <v>30</v>
      </c>
      <c r="D2457" t="s">
        <v>29</v>
      </c>
      <c r="E2457" t="s">
        <v>14</v>
      </c>
      <c r="F2457">
        <v>50</v>
      </c>
      <c r="G2457">
        <v>71</v>
      </c>
      <c r="H2457">
        <v>0.03</v>
      </c>
      <c r="I2457" t="s">
        <v>19</v>
      </c>
      <c r="J2457">
        <v>21</v>
      </c>
      <c r="K2457">
        <v>0</v>
      </c>
      <c r="L2457">
        <v>0</v>
      </c>
      <c r="M2457">
        <f>VLOOKUP(Table1[[#This Row],[subscription_type]],Plans!$A$1:$B$5,2,FALSE)</f>
        <v>0</v>
      </c>
      <c r="N2457">
        <f t="shared" si="38"/>
        <v>0</v>
      </c>
    </row>
    <row r="2458" spans="1:14" x14ac:dyDescent="0.35">
      <c r="A2458">
        <v>2457</v>
      </c>
      <c r="B2458" t="s">
        <v>20</v>
      </c>
      <c r="C2458">
        <v>51</v>
      </c>
      <c r="D2458" t="s">
        <v>17</v>
      </c>
      <c r="E2458" t="s">
        <v>18</v>
      </c>
      <c r="F2458">
        <v>116</v>
      </c>
      <c r="G2458">
        <v>75</v>
      </c>
      <c r="H2458">
        <v>0.51</v>
      </c>
      <c r="I2458" t="s">
        <v>19</v>
      </c>
      <c r="J2458">
        <v>0</v>
      </c>
      <c r="K2458">
        <v>1</v>
      </c>
      <c r="L2458">
        <v>0</v>
      </c>
      <c r="M2458">
        <f>VLOOKUP(Table1[[#This Row],[subscription_type]],Plans!$A$1:$B$5,2,FALSE)</f>
        <v>14.99</v>
      </c>
      <c r="N2458">
        <f t="shared" si="38"/>
        <v>0</v>
      </c>
    </row>
    <row r="2459" spans="1:14" x14ac:dyDescent="0.35">
      <c r="A2459">
        <v>2458</v>
      </c>
      <c r="B2459" t="s">
        <v>12</v>
      </c>
      <c r="C2459">
        <v>16</v>
      </c>
      <c r="D2459" t="s">
        <v>26</v>
      </c>
      <c r="E2459" t="s">
        <v>18</v>
      </c>
      <c r="F2459">
        <v>27</v>
      </c>
      <c r="G2459">
        <v>48</v>
      </c>
      <c r="H2459">
        <v>0.43</v>
      </c>
      <c r="I2459" t="s">
        <v>15</v>
      </c>
      <c r="J2459">
        <v>0</v>
      </c>
      <c r="K2459">
        <v>1</v>
      </c>
      <c r="L2459">
        <v>1</v>
      </c>
      <c r="M2459">
        <f>VLOOKUP(Table1[[#This Row],[subscription_type]],Plans!$A$1:$B$5,2,FALSE)</f>
        <v>14.99</v>
      </c>
      <c r="N2459">
        <f t="shared" si="38"/>
        <v>14.99</v>
      </c>
    </row>
    <row r="2460" spans="1:14" x14ac:dyDescent="0.35">
      <c r="A2460">
        <v>2459</v>
      </c>
      <c r="B2460" t="s">
        <v>20</v>
      </c>
      <c r="C2460">
        <v>29</v>
      </c>
      <c r="D2460" t="s">
        <v>26</v>
      </c>
      <c r="E2460" t="s">
        <v>14</v>
      </c>
      <c r="F2460">
        <v>77</v>
      </c>
      <c r="G2460">
        <v>89</v>
      </c>
      <c r="H2460">
        <v>0.12</v>
      </c>
      <c r="I2460" t="s">
        <v>19</v>
      </c>
      <c r="J2460">
        <v>12</v>
      </c>
      <c r="K2460">
        <v>0</v>
      </c>
      <c r="L2460">
        <v>0</v>
      </c>
      <c r="M2460">
        <f>VLOOKUP(Table1[[#This Row],[subscription_type]],Plans!$A$1:$B$5,2,FALSE)</f>
        <v>0</v>
      </c>
      <c r="N2460">
        <f t="shared" si="38"/>
        <v>0</v>
      </c>
    </row>
    <row r="2461" spans="1:14" x14ac:dyDescent="0.35">
      <c r="A2461">
        <v>2460</v>
      </c>
      <c r="B2461" t="s">
        <v>12</v>
      </c>
      <c r="C2461">
        <v>51</v>
      </c>
      <c r="D2461" t="s">
        <v>25</v>
      </c>
      <c r="E2461" t="s">
        <v>14</v>
      </c>
      <c r="F2461">
        <v>28</v>
      </c>
      <c r="G2461">
        <v>4</v>
      </c>
      <c r="H2461">
        <v>0.36</v>
      </c>
      <c r="I2461" t="s">
        <v>15</v>
      </c>
      <c r="J2461">
        <v>34</v>
      </c>
      <c r="K2461">
        <v>0</v>
      </c>
      <c r="L2461">
        <v>0</v>
      </c>
      <c r="M2461">
        <f>VLOOKUP(Table1[[#This Row],[subscription_type]],Plans!$A$1:$B$5,2,FALSE)</f>
        <v>0</v>
      </c>
      <c r="N2461">
        <f t="shared" si="38"/>
        <v>0</v>
      </c>
    </row>
    <row r="2462" spans="1:14" x14ac:dyDescent="0.35">
      <c r="A2462">
        <v>2461</v>
      </c>
      <c r="B2462" t="s">
        <v>12</v>
      </c>
      <c r="C2462">
        <v>53</v>
      </c>
      <c r="D2462" t="s">
        <v>26</v>
      </c>
      <c r="E2462" t="s">
        <v>18</v>
      </c>
      <c r="F2462">
        <v>249</v>
      </c>
      <c r="G2462">
        <v>25</v>
      </c>
      <c r="H2462">
        <v>0.15</v>
      </c>
      <c r="I2462" t="s">
        <v>23</v>
      </c>
      <c r="J2462">
        <v>0</v>
      </c>
      <c r="K2462">
        <v>1</v>
      </c>
      <c r="L2462">
        <v>0</v>
      </c>
      <c r="M2462">
        <f>VLOOKUP(Table1[[#This Row],[subscription_type]],Plans!$A$1:$B$5,2,FALSE)</f>
        <v>14.99</v>
      </c>
      <c r="N2462">
        <f t="shared" si="38"/>
        <v>0</v>
      </c>
    </row>
    <row r="2463" spans="1:14" x14ac:dyDescent="0.35">
      <c r="A2463">
        <v>2462</v>
      </c>
      <c r="B2463" t="s">
        <v>12</v>
      </c>
      <c r="C2463">
        <v>30</v>
      </c>
      <c r="D2463" t="s">
        <v>17</v>
      </c>
      <c r="E2463" t="s">
        <v>14</v>
      </c>
      <c r="F2463">
        <v>146</v>
      </c>
      <c r="G2463">
        <v>77</v>
      </c>
      <c r="H2463">
        <v>0.33</v>
      </c>
      <c r="I2463" t="s">
        <v>23</v>
      </c>
      <c r="J2463">
        <v>42</v>
      </c>
      <c r="K2463">
        <v>0</v>
      </c>
      <c r="L2463">
        <v>0</v>
      </c>
      <c r="M2463">
        <f>VLOOKUP(Table1[[#This Row],[subscription_type]],Plans!$A$1:$B$5,2,FALSE)</f>
        <v>0</v>
      </c>
      <c r="N2463">
        <f t="shared" si="38"/>
        <v>0</v>
      </c>
    </row>
    <row r="2464" spans="1:14" x14ac:dyDescent="0.35">
      <c r="A2464">
        <v>2463</v>
      </c>
      <c r="B2464" t="s">
        <v>20</v>
      </c>
      <c r="C2464">
        <v>35</v>
      </c>
      <c r="D2464" t="s">
        <v>17</v>
      </c>
      <c r="E2464" t="s">
        <v>22</v>
      </c>
      <c r="F2464">
        <v>216</v>
      </c>
      <c r="G2464">
        <v>20</v>
      </c>
      <c r="H2464">
        <v>0.41</v>
      </c>
      <c r="I2464" t="s">
        <v>19</v>
      </c>
      <c r="J2464">
        <v>0</v>
      </c>
      <c r="K2464">
        <v>1</v>
      </c>
      <c r="L2464">
        <v>0</v>
      </c>
      <c r="M2464">
        <f>VLOOKUP(Table1[[#This Row],[subscription_type]],Plans!$A$1:$B$5,2,FALSE)</f>
        <v>9.99</v>
      </c>
      <c r="N2464">
        <f t="shared" si="38"/>
        <v>0</v>
      </c>
    </row>
    <row r="2465" spans="1:14" x14ac:dyDescent="0.35">
      <c r="A2465">
        <v>2464</v>
      </c>
      <c r="B2465" t="s">
        <v>12</v>
      </c>
      <c r="C2465">
        <v>46</v>
      </c>
      <c r="D2465" t="s">
        <v>25</v>
      </c>
      <c r="E2465" t="s">
        <v>22</v>
      </c>
      <c r="F2465">
        <v>56</v>
      </c>
      <c r="G2465">
        <v>8</v>
      </c>
      <c r="H2465">
        <v>0.17</v>
      </c>
      <c r="I2465" t="s">
        <v>15</v>
      </c>
      <c r="J2465">
        <v>0</v>
      </c>
      <c r="K2465">
        <v>1</v>
      </c>
      <c r="L2465">
        <v>0</v>
      </c>
      <c r="M2465">
        <f>VLOOKUP(Table1[[#This Row],[subscription_type]],Plans!$A$1:$B$5,2,FALSE)</f>
        <v>9.99</v>
      </c>
      <c r="N2465">
        <f t="shared" si="38"/>
        <v>0</v>
      </c>
    </row>
    <row r="2466" spans="1:14" x14ac:dyDescent="0.35">
      <c r="A2466">
        <v>2465</v>
      </c>
      <c r="B2466" t="s">
        <v>16</v>
      </c>
      <c r="C2466">
        <v>47</v>
      </c>
      <c r="D2466" t="s">
        <v>28</v>
      </c>
      <c r="E2466" t="s">
        <v>14</v>
      </c>
      <c r="F2466">
        <v>48</v>
      </c>
      <c r="G2466">
        <v>86</v>
      </c>
      <c r="H2466">
        <v>0.55000000000000004</v>
      </c>
      <c r="I2466" t="s">
        <v>23</v>
      </c>
      <c r="J2466">
        <v>28</v>
      </c>
      <c r="K2466">
        <v>0</v>
      </c>
      <c r="L2466">
        <v>0</v>
      </c>
      <c r="M2466">
        <f>VLOOKUP(Table1[[#This Row],[subscription_type]],Plans!$A$1:$B$5,2,FALSE)</f>
        <v>0</v>
      </c>
      <c r="N2466">
        <f t="shared" si="38"/>
        <v>0</v>
      </c>
    </row>
    <row r="2467" spans="1:14" x14ac:dyDescent="0.35">
      <c r="A2467">
        <v>2466</v>
      </c>
      <c r="B2467" t="s">
        <v>16</v>
      </c>
      <c r="C2467">
        <v>17</v>
      </c>
      <c r="D2467" t="s">
        <v>28</v>
      </c>
      <c r="E2467" t="s">
        <v>14</v>
      </c>
      <c r="F2467">
        <v>285</v>
      </c>
      <c r="G2467">
        <v>59</v>
      </c>
      <c r="H2467">
        <v>0.22</v>
      </c>
      <c r="I2467" t="s">
        <v>23</v>
      </c>
      <c r="J2467">
        <v>31</v>
      </c>
      <c r="K2467">
        <v>0</v>
      </c>
      <c r="L2467">
        <v>0</v>
      </c>
      <c r="M2467">
        <f>VLOOKUP(Table1[[#This Row],[subscription_type]],Plans!$A$1:$B$5,2,FALSE)</f>
        <v>0</v>
      </c>
      <c r="N2467">
        <f t="shared" si="38"/>
        <v>0</v>
      </c>
    </row>
    <row r="2468" spans="1:14" x14ac:dyDescent="0.35">
      <c r="A2468">
        <v>2467</v>
      </c>
      <c r="B2468" t="s">
        <v>16</v>
      </c>
      <c r="C2468">
        <v>47</v>
      </c>
      <c r="D2468" t="s">
        <v>25</v>
      </c>
      <c r="E2468" t="s">
        <v>24</v>
      </c>
      <c r="F2468">
        <v>214</v>
      </c>
      <c r="G2468">
        <v>79</v>
      </c>
      <c r="H2468">
        <v>0.52</v>
      </c>
      <c r="I2468" t="s">
        <v>19</v>
      </c>
      <c r="J2468">
        <v>0</v>
      </c>
      <c r="K2468">
        <v>1</v>
      </c>
      <c r="L2468">
        <v>0</v>
      </c>
      <c r="M2468">
        <f>VLOOKUP(Table1[[#This Row],[subscription_type]],Plans!$A$1:$B$5,2,FALSE)</f>
        <v>4.99</v>
      </c>
      <c r="N2468">
        <f t="shared" si="38"/>
        <v>0</v>
      </c>
    </row>
    <row r="2469" spans="1:14" x14ac:dyDescent="0.35">
      <c r="A2469">
        <v>2468</v>
      </c>
      <c r="B2469" t="s">
        <v>12</v>
      </c>
      <c r="C2469">
        <v>28</v>
      </c>
      <c r="D2469" t="s">
        <v>28</v>
      </c>
      <c r="E2469" t="s">
        <v>22</v>
      </c>
      <c r="F2469">
        <v>27</v>
      </c>
      <c r="G2469">
        <v>40</v>
      </c>
      <c r="H2469">
        <v>0.2</v>
      </c>
      <c r="I2469" t="s">
        <v>19</v>
      </c>
      <c r="J2469">
        <v>0</v>
      </c>
      <c r="K2469">
        <v>1</v>
      </c>
      <c r="L2469">
        <v>0</v>
      </c>
      <c r="M2469">
        <f>VLOOKUP(Table1[[#This Row],[subscription_type]],Plans!$A$1:$B$5,2,FALSE)</f>
        <v>9.99</v>
      </c>
      <c r="N2469">
        <f t="shared" si="38"/>
        <v>0</v>
      </c>
    </row>
    <row r="2470" spans="1:14" x14ac:dyDescent="0.35">
      <c r="A2470">
        <v>2469</v>
      </c>
      <c r="B2470" t="s">
        <v>16</v>
      </c>
      <c r="C2470">
        <v>41</v>
      </c>
      <c r="D2470" t="s">
        <v>13</v>
      </c>
      <c r="E2470" t="s">
        <v>14</v>
      </c>
      <c r="F2470">
        <v>87</v>
      </c>
      <c r="G2470">
        <v>65</v>
      </c>
      <c r="H2470">
        <v>0.56999999999999995</v>
      </c>
      <c r="I2470" t="s">
        <v>19</v>
      </c>
      <c r="J2470">
        <v>36</v>
      </c>
      <c r="K2470">
        <v>0</v>
      </c>
      <c r="L2470">
        <v>0</v>
      </c>
      <c r="M2470">
        <f>VLOOKUP(Table1[[#This Row],[subscription_type]],Plans!$A$1:$B$5,2,FALSE)</f>
        <v>0</v>
      </c>
      <c r="N2470">
        <f t="shared" si="38"/>
        <v>0</v>
      </c>
    </row>
    <row r="2471" spans="1:14" x14ac:dyDescent="0.35">
      <c r="A2471">
        <v>2470</v>
      </c>
      <c r="B2471" t="s">
        <v>20</v>
      </c>
      <c r="C2471">
        <v>43</v>
      </c>
      <c r="D2471" t="s">
        <v>13</v>
      </c>
      <c r="E2471" t="s">
        <v>18</v>
      </c>
      <c r="F2471">
        <v>205</v>
      </c>
      <c r="G2471">
        <v>83</v>
      </c>
      <c r="H2471">
        <v>7.0000000000000007E-2</v>
      </c>
      <c r="I2471" t="s">
        <v>19</v>
      </c>
      <c r="J2471">
        <v>0</v>
      </c>
      <c r="K2471">
        <v>1</v>
      </c>
      <c r="L2471">
        <v>0</v>
      </c>
      <c r="M2471">
        <f>VLOOKUP(Table1[[#This Row],[subscription_type]],Plans!$A$1:$B$5,2,FALSE)</f>
        <v>14.99</v>
      </c>
      <c r="N2471">
        <f t="shared" si="38"/>
        <v>0</v>
      </c>
    </row>
    <row r="2472" spans="1:14" x14ac:dyDescent="0.35">
      <c r="A2472">
        <v>2471</v>
      </c>
      <c r="B2472" t="s">
        <v>16</v>
      </c>
      <c r="C2472">
        <v>56</v>
      </c>
      <c r="D2472" t="s">
        <v>25</v>
      </c>
      <c r="E2472" t="s">
        <v>14</v>
      </c>
      <c r="F2472">
        <v>289</v>
      </c>
      <c r="G2472">
        <v>3</v>
      </c>
      <c r="H2472">
        <v>0.05</v>
      </c>
      <c r="I2472" t="s">
        <v>19</v>
      </c>
      <c r="J2472">
        <v>37</v>
      </c>
      <c r="K2472">
        <v>0</v>
      </c>
      <c r="L2472">
        <v>1</v>
      </c>
      <c r="M2472">
        <f>VLOOKUP(Table1[[#This Row],[subscription_type]],Plans!$A$1:$B$5,2,FALSE)</f>
        <v>0</v>
      </c>
      <c r="N2472">
        <f t="shared" si="38"/>
        <v>0</v>
      </c>
    </row>
    <row r="2473" spans="1:14" x14ac:dyDescent="0.35">
      <c r="A2473">
        <v>2472</v>
      </c>
      <c r="B2473" t="s">
        <v>20</v>
      </c>
      <c r="C2473">
        <v>59</v>
      </c>
      <c r="D2473" t="s">
        <v>26</v>
      </c>
      <c r="E2473" t="s">
        <v>24</v>
      </c>
      <c r="F2473">
        <v>11</v>
      </c>
      <c r="G2473">
        <v>92</v>
      </c>
      <c r="H2473">
        <v>0.32</v>
      </c>
      <c r="I2473" t="s">
        <v>23</v>
      </c>
      <c r="J2473">
        <v>0</v>
      </c>
      <c r="K2473">
        <v>1</v>
      </c>
      <c r="L2473">
        <v>1</v>
      </c>
      <c r="M2473">
        <f>VLOOKUP(Table1[[#This Row],[subscription_type]],Plans!$A$1:$B$5,2,FALSE)</f>
        <v>4.99</v>
      </c>
      <c r="N2473">
        <f t="shared" si="38"/>
        <v>4.99</v>
      </c>
    </row>
    <row r="2474" spans="1:14" x14ac:dyDescent="0.35">
      <c r="A2474">
        <v>2473</v>
      </c>
      <c r="B2474" t="s">
        <v>16</v>
      </c>
      <c r="C2474">
        <v>47</v>
      </c>
      <c r="D2474" t="s">
        <v>25</v>
      </c>
      <c r="E2474" t="s">
        <v>24</v>
      </c>
      <c r="F2474">
        <v>87</v>
      </c>
      <c r="G2474">
        <v>10</v>
      </c>
      <c r="H2474">
        <v>7.0000000000000007E-2</v>
      </c>
      <c r="I2474" t="s">
        <v>23</v>
      </c>
      <c r="J2474">
        <v>0</v>
      </c>
      <c r="K2474">
        <v>1</v>
      </c>
      <c r="L2474">
        <v>0</v>
      </c>
      <c r="M2474">
        <f>VLOOKUP(Table1[[#This Row],[subscription_type]],Plans!$A$1:$B$5,2,FALSE)</f>
        <v>4.99</v>
      </c>
      <c r="N2474">
        <f t="shared" si="38"/>
        <v>0</v>
      </c>
    </row>
    <row r="2475" spans="1:14" x14ac:dyDescent="0.35">
      <c r="A2475">
        <v>2474</v>
      </c>
      <c r="B2475" t="s">
        <v>16</v>
      </c>
      <c r="C2475">
        <v>28</v>
      </c>
      <c r="D2475" t="s">
        <v>29</v>
      </c>
      <c r="E2475" t="s">
        <v>18</v>
      </c>
      <c r="F2475">
        <v>19</v>
      </c>
      <c r="G2475">
        <v>5</v>
      </c>
      <c r="H2475">
        <v>0.22</v>
      </c>
      <c r="I2475" t="s">
        <v>23</v>
      </c>
      <c r="J2475">
        <v>0</v>
      </c>
      <c r="K2475">
        <v>1</v>
      </c>
      <c r="L2475">
        <v>0</v>
      </c>
      <c r="M2475">
        <f>VLOOKUP(Table1[[#This Row],[subscription_type]],Plans!$A$1:$B$5,2,FALSE)</f>
        <v>14.99</v>
      </c>
      <c r="N2475">
        <f t="shared" si="38"/>
        <v>0</v>
      </c>
    </row>
    <row r="2476" spans="1:14" x14ac:dyDescent="0.35">
      <c r="A2476">
        <v>2475</v>
      </c>
      <c r="B2476" t="s">
        <v>16</v>
      </c>
      <c r="C2476">
        <v>31</v>
      </c>
      <c r="D2476" t="s">
        <v>17</v>
      </c>
      <c r="E2476" t="s">
        <v>14</v>
      </c>
      <c r="F2476">
        <v>262</v>
      </c>
      <c r="G2476">
        <v>59</v>
      </c>
      <c r="H2476">
        <v>0.28000000000000003</v>
      </c>
      <c r="I2476" t="s">
        <v>23</v>
      </c>
      <c r="J2476">
        <v>38</v>
      </c>
      <c r="K2476">
        <v>0</v>
      </c>
      <c r="L2476">
        <v>0</v>
      </c>
      <c r="M2476">
        <f>VLOOKUP(Table1[[#This Row],[subscription_type]],Plans!$A$1:$B$5,2,FALSE)</f>
        <v>0</v>
      </c>
      <c r="N2476">
        <f t="shared" si="38"/>
        <v>0</v>
      </c>
    </row>
    <row r="2477" spans="1:14" x14ac:dyDescent="0.35">
      <c r="A2477">
        <v>2476</v>
      </c>
      <c r="B2477" t="s">
        <v>12</v>
      </c>
      <c r="C2477">
        <v>40</v>
      </c>
      <c r="D2477" t="s">
        <v>29</v>
      </c>
      <c r="E2477" t="s">
        <v>18</v>
      </c>
      <c r="F2477">
        <v>295</v>
      </c>
      <c r="G2477">
        <v>32</v>
      </c>
      <c r="H2477">
        <v>0.35</v>
      </c>
      <c r="I2477" t="s">
        <v>23</v>
      </c>
      <c r="J2477">
        <v>0</v>
      </c>
      <c r="K2477">
        <v>1</v>
      </c>
      <c r="L2477">
        <v>0</v>
      </c>
      <c r="M2477">
        <f>VLOOKUP(Table1[[#This Row],[subscription_type]],Plans!$A$1:$B$5,2,FALSE)</f>
        <v>14.99</v>
      </c>
      <c r="N2477">
        <f t="shared" si="38"/>
        <v>0</v>
      </c>
    </row>
    <row r="2478" spans="1:14" x14ac:dyDescent="0.35">
      <c r="A2478">
        <v>2477</v>
      </c>
      <c r="B2478" t="s">
        <v>16</v>
      </c>
      <c r="C2478">
        <v>19</v>
      </c>
      <c r="D2478" t="s">
        <v>13</v>
      </c>
      <c r="E2478" t="s">
        <v>22</v>
      </c>
      <c r="F2478">
        <v>148</v>
      </c>
      <c r="G2478">
        <v>13</v>
      </c>
      <c r="H2478">
        <v>0.34</v>
      </c>
      <c r="I2478" t="s">
        <v>23</v>
      </c>
      <c r="J2478">
        <v>0</v>
      </c>
      <c r="K2478">
        <v>1</v>
      </c>
      <c r="L2478">
        <v>0</v>
      </c>
      <c r="M2478">
        <f>VLOOKUP(Table1[[#This Row],[subscription_type]],Plans!$A$1:$B$5,2,FALSE)</f>
        <v>9.99</v>
      </c>
      <c r="N2478">
        <f t="shared" si="38"/>
        <v>0</v>
      </c>
    </row>
    <row r="2479" spans="1:14" x14ac:dyDescent="0.35">
      <c r="A2479">
        <v>2478</v>
      </c>
      <c r="B2479" t="s">
        <v>20</v>
      </c>
      <c r="C2479">
        <v>53</v>
      </c>
      <c r="D2479" t="s">
        <v>28</v>
      </c>
      <c r="E2479" t="s">
        <v>18</v>
      </c>
      <c r="F2479">
        <v>126</v>
      </c>
      <c r="G2479">
        <v>91</v>
      </c>
      <c r="H2479">
        <v>0.4</v>
      </c>
      <c r="I2479" t="s">
        <v>15</v>
      </c>
      <c r="J2479">
        <v>0</v>
      </c>
      <c r="K2479">
        <v>1</v>
      </c>
      <c r="L2479">
        <v>0</v>
      </c>
      <c r="M2479">
        <f>VLOOKUP(Table1[[#This Row],[subscription_type]],Plans!$A$1:$B$5,2,FALSE)</f>
        <v>14.99</v>
      </c>
      <c r="N2479">
        <f t="shared" si="38"/>
        <v>0</v>
      </c>
    </row>
    <row r="2480" spans="1:14" x14ac:dyDescent="0.35">
      <c r="A2480">
        <v>2479</v>
      </c>
      <c r="B2480" t="s">
        <v>16</v>
      </c>
      <c r="C2480">
        <v>59</v>
      </c>
      <c r="D2480" t="s">
        <v>21</v>
      </c>
      <c r="E2480" t="s">
        <v>14</v>
      </c>
      <c r="F2480">
        <v>188</v>
      </c>
      <c r="G2480">
        <v>86</v>
      </c>
      <c r="H2480">
        <v>0.11</v>
      </c>
      <c r="I2480" t="s">
        <v>23</v>
      </c>
      <c r="J2480">
        <v>46</v>
      </c>
      <c r="K2480">
        <v>0</v>
      </c>
      <c r="L2480">
        <v>0</v>
      </c>
      <c r="M2480">
        <f>VLOOKUP(Table1[[#This Row],[subscription_type]],Plans!$A$1:$B$5,2,FALSE)</f>
        <v>0</v>
      </c>
      <c r="N2480">
        <f t="shared" si="38"/>
        <v>0</v>
      </c>
    </row>
    <row r="2481" spans="1:14" x14ac:dyDescent="0.35">
      <c r="A2481">
        <v>2480</v>
      </c>
      <c r="B2481" t="s">
        <v>16</v>
      </c>
      <c r="C2481">
        <v>17</v>
      </c>
      <c r="D2481" t="s">
        <v>29</v>
      </c>
      <c r="E2481" t="s">
        <v>22</v>
      </c>
      <c r="F2481">
        <v>296</v>
      </c>
      <c r="G2481">
        <v>78</v>
      </c>
      <c r="H2481">
        <v>0.08</v>
      </c>
      <c r="I2481" t="s">
        <v>19</v>
      </c>
      <c r="J2481">
        <v>0</v>
      </c>
      <c r="K2481">
        <v>1</v>
      </c>
      <c r="L2481">
        <v>0</v>
      </c>
      <c r="M2481">
        <f>VLOOKUP(Table1[[#This Row],[subscription_type]],Plans!$A$1:$B$5,2,FALSE)</f>
        <v>9.99</v>
      </c>
      <c r="N2481">
        <f t="shared" si="38"/>
        <v>0</v>
      </c>
    </row>
    <row r="2482" spans="1:14" x14ac:dyDescent="0.35">
      <c r="A2482">
        <v>2481</v>
      </c>
      <c r="B2482" t="s">
        <v>12</v>
      </c>
      <c r="C2482">
        <v>46</v>
      </c>
      <c r="D2482" t="s">
        <v>21</v>
      </c>
      <c r="E2482" t="s">
        <v>14</v>
      </c>
      <c r="F2482">
        <v>11</v>
      </c>
      <c r="G2482">
        <v>86</v>
      </c>
      <c r="H2482">
        <v>0.3</v>
      </c>
      <c r="I2482" t="s">
        <v>19</v>
      </c>
      <c r="J2482">
        <v>41</v>
      </c>
      <c r="K2482">
        <v>0</v>
      </c>
      <c r="L2482">
        <v>0</v>
      </c>
      <c r="M2482">
        <f>VLOOKUP(Table1[[#This Row],[subscription_type]],Plans!$A$1:$B$5,2,FALSE)</f>
        <v>0</v>
      </c>
      <c r="N2482">
        <f t="shared" si="38"/>
        <v>0</v>
      </c>
    </row>
    <row r="2483" spans="1:14" x14ac:dyDescent="0.35">
      <c r="A2483">
        <v>2482</v>
      </c>
      <c r="B2483" t="s">
        <v>16</v>
      </c>
      <c r="C2483">
        <v>38</v>
      </c>
      <c r="D2483" t="s">
        <v>17</v>
      </c>
      <c r="E2483" t="s">
        <v>22</v>
      </c>
      <c r="F2483">
        <v>23</v>
      </c>
      <c r="G2483">
        <v>89</v>
      </c>
      <c r="H2483">
        <v>0.16</v>
      </c>
      <c r="I2483" t="s">
        <v>23</v>
      </c>
      <c r="J2483">
        <v>0</v>
      </c>
      <c r="K2483">
        <v>1</v>
      </c>
      <c r="L2483">
        <v>0</v>
      </c>
      <c r="M2483">
        <f>VLOOKUP(Table1[[#This Row],[subscription_type]],Plans!$A$1:$B$5,2,FALSE)</f>
        <v>9.99</v>
      </c>
      <c r="N2483">
        <f t="shared" si="38"/>
        <v>0</v>
      </c>
    </row>
    <row r="2484" spans="1:14" x14ac:dyDescent="0.35">
      <c r="A2484">
        <v>2483</v>
      </c>
      <c r="B2484" t="s">
        <v>16</v>
      </c>
      <c r="C2484">
        <v>44</v>
      </c>
      <c r="D2484" t="s">
        <v>27</v>
      </c>
      <c r="E2484" t="s">
        <v>24</v>
      </c>
      <c r="F2484">
        <v>82</v>
      </c>
      <c r="G2484">
        <v>83</v>
      </c>
      <c r="H2484">
        <v>0.34</v>
      </c>
      <c r="I2484" t="s">
        <v>15</v>
      </c>
      <c r="J2484">
        <v>0</v>
      </c>
      <c r="K2484">
        <v>1</v>
      </c>
      <c r="L2484">
        <v>0</v>
      </c>
      <c r="M2484">
        <f>VLOOKUP(Table1[[#This Row],[subscription_type]],Plans!$A$1:$B$5,2,FALSE)</f>
        <v>4.99</v>
      </c>
      <c r="N2484">
        <f t="shared" si="38"/>
        <v>0</v>
      </c>
    </row>
    <row r="2485" spans="1:14" x14ac:dyDescent="0.35">
      <c r="A2485">
        <v>2484</v>
      </c>
      <c r="B2485" t="s">
        <v>20</v>
      </c>
      <c r="C2485">
        <v>16</v>
      </c>
      <c r="D2485" t="s">
        <v>21</v>
      </c>
      <c r="E2485" t="s">
        <v>22</v>
      </c>
      <c r="F2485">
        <v>270</v>
      </c>
      <c r="G2485">
        <v>77</v>
      </c>
      <c r="H2485">
        <v>0.56999999999999995</v>
      </c>
      <c r="I2485" t="s">
        <v>15</v>
      </c>
      <c r="J2485">
        <v>0</v>
      </c>
      <c r="K2485">
        <v>1</v>
      </c>
      <c r="L2485">
        <v>0</v>
      </c>
      <c r="M2485">
        <f>VLOOKUP(Table1[[#This Row],[subscription_type]],Plans!$A$1:$B$5,2,FALSE)</f>
        <v>9.99</v>
      </c>
      <c r="N2485">
        <f t="shared" si="38"/>
        <v>0</v>
      </c>
    </row>
    <row r="2486" spans="1:14" x14ac:dyDescent="0.35">
      <c r="A2486">
        <v>2485</v>
      </c>
      <c r="B2486" t="s">
        <v>20</v>
      </c>
      <c r="C2486">
        <v>18</v>
      </c>
      <c r="D2486" t="s">
        <v>28</v>
      </c>
      <c r="E2486" t="s">
        <v>18</v>
      </c>
      <c r="F2486">
        <v>45</v>
      </c>
      <c r="G2486">
        <v>55</v>
      </c>
      <c r="H2486">
        <v>0.6</v>
      </c>
      <c r="I2486" t="s">
        <v>23</v>
      </c>
      <c r="J2486">
        <v>0</v>
      </c>
      <c r="K2486">
        <v>1</v>
      </c>
      <c r="L2486">
        <v>1</v>
      </c>
      <c r="M2486">
        <f>VLOOKUP(Table1[[#This Row],[subscription_type]],Plans!$A$1:$B$5,2,FALSE)</f>
        <v>14.99</v>
      </c>
      <c r="N2486">
        <f t="shared" si="38"/>
        <v>14.99</v>
      </c>
    </row>
    <row r="2487" spans="1:14" x14ac:dyDescent="0.35">
      <c r="A2487">
        <v>2486</v>
      </c>
      <c r="B2487" t="s">
        <v>12</v>
      </c>
      <c r="C2487">
        <v>20</v>
      </c>
      <c r="D2487" t="s">
        <v>17</v>
      </c>
      <c r="E2487" t="s">
        <v>18</v>
      </c>
      <c r="F2487">
        <v>135</v>
      </c>
      <c r="G2487">
        <v>11</v>
      </c>
      <c r="H2487">
        <v>0.48</v>
      </c>
      <c r="I2487" t="s">
        <v>19</v>
      </c>
      <c r="J2487">
        <v>0</v>
      </c>
      <c r="K2487">
        <v>1</v>
      </c>
      <c r="L2487">
        <v>0</v>
      </c>
      <c r="M2487">
        <f>VLOOKUP(Table1[[#This Row],[subscription_type]],Plans!$A$1:$B$5,2,FALSE)</f>
        <v>14.99</v>
      </c>
      <c r="N2487">
        <f t="shared" si="38"/>
        <v>0</v>
      </c>
    </row>
    <row r="2488" spans="1:14" x14ac:dyDescent="0.35">
      <c r="A2488">
        <v>2487</v>
      </c>
      <c r="B2488" t="s">
        <v>20</v>
      </c>
      <c r="C2488">
        <v>25</v>
      </c>
      <c r="D2488" t="s">
        <v>25</v>
      </c>
      <c r="E2488" t="s">
        <v>24</v>
      </c>
      <c r="F2488">
        <v>170</v>
      </c>
      <c r="G2488">
        <v>96</v>
      </c>
      <c r="H2488">
        <v>0.01</v>
      </c>
      <c r="I2488" t="s">
        <v>23</v>
      </c>
      <c r="J2488">
        <v>0</v>
      </c>
      <c r="K2488">
        <v>1</v>
      </c>
      <c r="L2488">
        <v>0</v>
      </c>
      <c r="M2488">
        <f>VLOOKUP(Table1[[#This Row],[subscription_type]],Plans!$A$1:$B$5,2,FALSE)</f>
        <v>4.99</v>
      </c>
      <c r="N2488">
        <f t="shared" si="38"/>
        <v>0</v>
      </c>
    </row>
    <row r="2489" spans="1:14" x14ac:dyDescent="0.35">
      <c r="A2489">
        <v>2488</v>
      </c>
      <c r="B2489" t="s">
        <v>16</v>
      </c>
      <c r="C2489">
        <v>33</v>
      </c>
      <c r="D2489" t="s">
        <v>13</v>
      </c>
      <c r="E2489" t="s">
        <v>18</v>
      </c>
      <c r="F2489">
        <v>246</v>
      </c>
      <c r="G2489">
        <v>34</v>
      </c>
      <c r="H2489">
        <v>0.31</v>
      </c>
      <c r="I2489" t="s">
        <v>19</v>
      </c>
      <c r="J2489">
        <v>0</v>
      </c>
      <c r="K2489">
        <v>1</v>
      </c>
      <c r="L2489">
        <v>0</v>
      </c>
      <c r="M2489">
        <f>VLOOKUP(Table1[[#This Row],[subscription_type]],Plans!$A$1:$B$5,2,FALSE)</f>
        <v>14.99</v>
      </c>
      <c r="N2489">
        <f t="shared" si="38"/>
        <v>0</v>
      </c>
    </row>
    <row r="2490" spans="1:14" x14ac:dyDescent="0.35">
      <c r="A2490">
        <v>2489</v>
      </c>
      <c r="B2490" t="s">
        <v>12</v>
      </c>
      <c r="C2490">
        <v>41</v>
      </c>
      <c r="D2490" t="s">
        <v>17</v>
      </c>
      <c r="E2490" t="s">
        <v>24</v>
      </c>
      <c r="F2490">
        <v>166</v>
      </c>
      <c r="G2490">
        <v>55</v>
      </c>
      <c r="H2490">
        <v>0.37</v>
      </c>
      <c r="I2490" t="s">
        <v>23</v>
      </c>
      <c r="J2490">
        <v>0</v>
      </c>
      <c r="K2490">
        <v>1</v>
      </c>
      <c r="L2490">
        <v>1</v>
      </c>
      <c r="M2490">
        <f>VLOOKUP(Table1[[#This Row],[subscription_type]],Plans!$A$1:$B$5,2,FALSE)</f>
        <v>4.99</v>
      </c>
      <c r="N2490">
        <f t="shared" si="38"/>
        <v>4.99</v>
      </c>
    </row>
    <row r="2491" spans="1:14" x14ac:dyDescent="0.35">
      <c r="A2491">
        <v>2490</v>
      </c>
      <c r="B2491" t="s">
        <v>12</v>
      </c>
      <c r="C2491">
        <v>37</v>
      </c>
      <c r="D2491" t="s">
        <v>13</v>
      </c>
      <c r="E2491" t="s">
        <v>24</v>
      </c>
      <c r="F2491">
        <v>100</v>
      </c>
      <c r="G2491">
        <v>24</v>
      </c>
      <c r="H2491">
        <v>0.1</v>
      </c>
      <c r="I2491" t="s">
        <v>19</v>
      </c>
      <c r="J2491">
        <v>0</v>
      </c>
      <c r="K2491">
        <v>1</v>
      </c>
      <c r="L2491">
        <v>1</v>
      </c>
      <c r="M2491">
        <f>VLOOKUP(Table1[[#This Row],[subscription_type]],Plans!$A$1:$B$5,2,FALSE)</f>
        <v>4.99</v>
      </c>
      <c r="N2491">
        <f t="shared" si="38"/>
        <v>4.99</v>
      </c>
    </row>
    <row r="2492" spans="1:14" x14ac:dyDescent="0.35">
      <c r="A2492">
        <v>2491</v>
      </c>
      <c r="B2492" t="s">
        <v>16</v>
      </c>
      <c r="C2492">
        <v>52</v>
      </c>
      <c r="D2492" t="s">
        <v>25</v>
      </c>
      <c r="E2492" t="s">
        <v>22</v>
      </c>
      <c r="F2492">
        <v>294</v>
      </c>
      <c r="G2492">
        <v>36</v>
      </c>
      <c r="H2492">
        <v>0.4</v>
      </c>
      <c r="I2492" t="s">
        <v>19</v>
      </c>
      <c r="J2492">
        <v>0</v>
      </c>
      <c r="K2492">
        <v>1</v>
      </c>
      <c r="L2492">
        <v>1</v>
      </c>
      <c r="M2492">
        <f>VLOOKUP(Table1[[#This Row],[subscription_type]],Plans!$A$1:$B$5,2,FALSE)</f>
        <v>9.99</v>
      </c>
      <c r="N2492">
        <f t="shared" si="38"/>
        <v>9.99</v>
      </c>
    </row>
    <row r="2493" spans="1:14" x14ac:dyDescent="0.35">
      <c r="A2493">
        <v>2492</v>
      </c>
      <c r="B2493" t="s">
        <v>20</v>
      </c>
      <c r="C2493">
        <v>36</v>
      </c>
      <c r="D2493" t="s">
        <v>25</v>
      </c>
      <c r="E2493" t="s">
        <v>24</v>
      </c>
      <c r="F2493">
        <v>175</v>
      </c>
      <c r="G2493">
        <v>66</v>
      </c>
      <c r="H2493">
        <v>0.13</v>
      </c>
      <c r="I2493" t="s">
        <v>23</v>
      </c>
      <c r="J2493">
        <v>0</v>
      </c>
      <c r="K2493">
        <v>1</v>
      </c>
      <c r="L2493">
        <v>0</v>
      </c>
      <c r="M2493">
        <f>VLOOKUP(Table1[[#This Row],[subscription_type]],Plans!$A$1:$B$5,2,FALSE)</f>
        <v>4.99</v>
      </c>
      <c r="N2493">
        <f t="shared" si="38"/>
        <v>0</v>
      </c>
    </row>
    <row r="2494" spans="1:14" x14ac:dyDescent="0.35">
      <c r="A2494">
        <v>2493</v>
      </c>
      <c r="B2494" t="s">
        <v>12</v>
      </c>
      <c r="C2494">
        <v>39</v>
      </c>
      <c r="D2494" t="s">
        <v>25</v>
      </c>
      <c r="E2494" t="s">
        <v>14</v>
      </c>
      <c r="F2494">
        <v>296</v>
      </c>
      <c r="G2494">
        <v>9</v>
      </c>
      <c r="H2494">
        <v>0</v>
      </c>
      <c r="I2494" t="s">
        <v>23</v>
      </c>
      <c r="J2494">
        <v>18</v>
      </c>
      <c r="K2494">
        <v>0</v>
      </c>
      <c r="L2494">
        <v>1</v>
      </c>
      <c r="M2494">
        <f>VLOOKUP(Table1[[#This Row],[subscription_type]],Plans!$A$1:$B$5,2,FALSE)</f>
        <v>0</v>
      </c>
      <c r="N2494">
        <f t="shared" si="38"/>
        <v>0</v>
      </c>
    </row>
    <row r="2495" spans="1:14" x14ac:dyDescent="0.35">
      <c r="A2495">
        <v>2494</v>
      </c>
      <c r="B2495" t="s">
        <v>16</v>
      </c>
      <c r="C2495">
        <v>28</v>
      </c>
      <c r="D2495" t="s">
        <v>13</v>
      </c>
      <c r="E2495" t="s">
        <v>14</v>
      </c>
      <c r="F2495">
        <v>21</v>
      </c>
      <c r="G2495">
        <v>19</v>
      </c>
      <c r="H2495">
        <v>0.52</v>
      </c>
      <c r="I2495" t="s">
        <v>23</v>
      </c>
      <c r="J2495">
        <v>32</v>
      </c>
      <c r="K2495">
        <v>0</v>
      </c>
      <c r="L2495">
        <v>0</v>
      </c>
      <c r="M2495">
        <f>VLOOKUP(Table1[[#This Row],[subscription_type]],Plans!$A$1:$B$5,2,FALSE)</f>
        <v>0</v>
      </c>
      <c r="N2495">
        <f t="shared" si="38"/>
        <v>0</v>
      </c>
    </row>
    <row r="2496" spans="1:14" x14ac:dyDescent="0.35">
      <c r="A2496">
        <v>2495</v>
      </c>
      <c r="B2496" t="s">
        <v>20</v>
      </c>
      <c r="C2496">
        <v>38</v>
      </c>
      <c r="D2496" t="s">
        <v>26</v>
      </c>
      <c r="E2496" t="s">
        <v>18</v>
      </c>
      <c r="F2496">
        <v>82</v>
      </c>
      <c r="G2496">
        <v>24</v>
      </c>
      <c r="H2496">
        <v>0.52</v>
      </c>
      <c r="I2496" t="s">
        <v>19</v>
      </c>
      <c r="J2496">
        <v>0</v>
      </c>
      <c r="K2496">
        <v>1</v>
      </c>
      <c r="L2496">
        <v>1</v>
      </c>
      <c r="M2496">
        <f>VLOOKUP(Table1[[#This Row],[subscription_type]],Plans!$A$1:$B$5,2,FALSE)</f>
        <v>14.99</v>
      </c>
      <c r="N2496">
        <f t="shared" si="38"/>
        <v>14.99</v>
      </c>
    </row>
    <row r="2497" spans="1:14" x14ac:dyDescent="0.35">
      <c r="A2497">
        <v>2496</v>
      </c>
      <c r="B2497" t="s">
        <v>16</v>
      </c>
      <c r="C2497">
        <v>35</v>
      </c>
      <c r="D2497" t="s">
        <v>28</v>
      </c>
      <c r="E2497" t="s">
        <v>24</v>
      </c>
      <c r="F2497">
        <v>213</v>
      </c>
      <c r="G2497">
        <v>25</v>
      </c>
      <c r="H2497">
        <v>0.12</v>
      </c>
      <c r="I2497" t="s">
        <v>23</v>
      </c>
      <c r="J2497">
        <v>0</v>
      </c>
      <c r="K2497">
        <v>1</v>
      </c>
      <c r="L2497">
        <v>1</v>
      </c>
      <c r="M2497">
        <f>VLOOKUP(Table1[[#This Row],[subscription_type]],Plans!$A$1:$B$5,2,FALSE)</f>
        <v>4.99</v>
      </c>
      <c r="N2497">
        <f t="shared" si="38"/>
        <v>4.99</v>
      </c>
    </row>
    <row r="2498" spans="1:14" x14ac:dyDescent="0.35">
      <c r="A2498">
        <v>2497</v>
      </c>
      <c r="B2498" t="s">
        <v>20</v>
      </c>
      <c r="C2498">
        <v>30</v>
      </c>
      <c r="D2498" t="s">
        <v>13</v>
      </c>
      <c r="E2498" t="s">
        <v>24</v>
      </c>
      <c r="F2498">
        <v>271</v>
      </c>
      <c r="G2498">
        <v>70</v>
      </c>
      <c r="H2498">
        <v>0.31</v>
      </c>
      <c r="I2498" t="s">
        <v>15</v>
      </c>
      <c r="J2498">
        <v>0</v>
      </c>
      <c r="K2498">
        <v>1</v>
      </c>
      <c r="L2498">
        <v>1</v>
      </c>
      <c r="M2498">
        <f>VLOOKUP(Table1[[#This Row],[subscription_type]],Plans!$A$1:$B$5,2,FALSE)</f>
        <v>4.99</v>
      </c>
      <c r="N2498">
        <f t="shared" ref="N2498:N2561" si="39">IF(L2498=1, M2498,0)</f>
        <v>4.99</v>
      </c>
    </row>
    <row r="2499" spans="1:14" x14ac:dyDescent="0.35">
      <c r="A2499">
        <v>2498</v>
      </c>
      <c r="B2499" t="s">
        <v>20</v>
      </c>
      <c r="C2499">
        <v>43</v>
      </c>
      <c r="D2499" t="s">
        <v>28</v>
      </c>
      <c r="E2499" t="s">
        <v>18</v>
      </c>
      <c r="F2499">
        <v>187</v>
      </c>
      <c r="G2499">
        <v>38</v>
      </c>
      <c r="H2499">
        <v>0.03</v>
      </c>
      <c r="I2499" t="s">
        <v>19</v>
      </c>
      <c r="J2499">
        <v>0</v>
      </c>
      <c r="K2499">
        <v>1</v>
      </c>
      <c r="L2499">
        <v>0</v>
      </c>
      <c r="M2499">
        <f>VLOOKUP(Table1[[#This Row],[subscription_type]],Plans!$A$1:$B$5,2,FALSE)</f>
        <v>14.99</v>
      </c>
      <c r="N2499">
        <f t="shared" si="39"/>
        <v>0</v>
      </c>
    </row>
    <row r="2500" spans="1:14" x14ac:dyDescent="0.35">
      <c r="A2500">
        <v>2499</v>
      </c>
      <c r="B2500" t="s">
        <v>16</v>
      </c>
      <c r="C2500">
        <v>29</v>
      </c>
      <c r="D2500" t="s">
        <v>25</v>
      </c>
      <c r="E2500" t="s">
        <v>14</v>
      </c>
      <c r="F2500">
        <v>251</v>
      </c>
      <c r="G2500">
        <v>15</v>
      </c>
      <c r="H2500">
        <v>0.12</v>
      </c>
      <c r="I2500" t="s">
        <v>19</v>
      </c>
      <c r="J2500">
        <v>48</v>
      </c>
      <c r="K2500">
        <v>0</v>
      </c>
      <c r="L2500">
        <v>0</v>
      </c>
      <c r="M2500">
        <f>VLOOKUP(Table1[[#This Row],[subscription_type]],Plans!$A$1:$B$5,2,FALSE)</f>
        <v>0</v>
      </c>
      <c r="N2500">
        <f t="shared" si="39"/>
        <v>0</v>
      </c>
    </row>
    <row r="2501" spans="1:14" x14ac:dyDescent="0.35">
      <c r="A2501">
        <v>2500</v>
      </c>
      <c r="B2501" t="s">
        <v>12</v>
      </c>
      <c r="C2501">
        <v>42</v>
      </c>
      <c r="D2501" t="s">
        <v>26</v>
      </c>
      <c r="E2501" t="s">
        <v>18</v>
      </c>
      <c r="F2501">
        <v>293</v>
      </c>
      <c r="G2501">
        <v>88</v>
      </c>
      <c r="H2501">
        <v>0.1</v>
      </c>
      <c r="I2501" t="s">
        <v>23</v>
      </c>
      <c r="J2501">
        <v>0</v>
      </c>
      <c r="K2501">
        <v>1</v>
      </c>
      <c r="L2501">
        <v>1</v>
      </c>
      <c r="M2501">
        <f>VLOOKUP(Table1[[#This Row],[subscription_type]],Plans!$A$1:$B$5,2,FALSE)</f>
        <v>14.99</v>
      </c>
      <c r="N2501">
        <f t="shared" si="39"/>
        <v>14.99</v>
      </c>
    </row>
    <row r="2502" spans="1:14" x14ac:dyDescent="0.35">
      <c r="A2502">
        <v>2501</v>
      </c>
      <c r="B2502" t="s">
        <v>20</v>
      </c>
      <c r="C2502">
        <v>38</v>
      </c>
      <c r="D2502" t="s">
        <v>25</v>
      </c>
      <c r="E2502" t="s">
        <v>22</v>
      </c>
      <c r="F2502">
        <v>95</v>
      </c>
      <c r="G2502">
        <v>77</v>
      </c>
      <c r="H2502">
        <v>0.01</v>
      </c>
      <c r="I2502" t="s">
        <v>15</v>
      </c>
      <c r="J2502">
        <v>0</v>
      </c>
      <c r="K2502">
        <v>1</v>
      </c>
      <c r="L2502">
        <v>0</v>
      </c>
      <c r="M2502">
        <f>VLOOKUP(Table1[[#This Row],[subscription_type]],Plans!$A$1:$B$5,2,FALSE)</f>
        <v>9.99</v>
      </c>
      <c r="N2502">
        <f t="shared" si="39"/>
        <v>0</v>
      </c>
    </row>
    <row r="2503" spans="1:14" x14ac:dyDescent="0.35">
      <c r="A2503">
        <v>2502</v>
      </c>
      <c r="B2503" t="s">
        <v>16</v>
      </c>
      <c r="C2503">
        <v>38</v>
      </c>
      <c r="D2503" t="s">
        <v>17</v>
      </c>
      <c r="E2503" t="s">
        <v>24</v>
      </c>
      <c r="F2503">
        <v>225</v>
      </c>
      <c r="G2503">
        <v>26</v>
      </c>
      <c r="H2503">
        <v>0.33</v>
      </c>
      <c r="I2503" t="s">
        <v>23</v>
      </c>
      <c r="J2503">
        <v>0</v>
      </c>
      <c r="K2503">
        <v>1</v>
      </c>
      <c r="L2503">
        <v>0</v>
      </c>
      <c r="M2503">
        <f>VLOOKUP(Table1[[#This Row],[subscription_type]],Plans!$A$1:$B$5,2,FALSE)</f>
        <v>4.99</v>
      </c>
      <c r="N2503">
        <f t="shared" si="39"/>
        <v>0</v>
      </c>
    </row>
    <row r="2504" spans="1:14" x14ac:dyDescent="0.35">
      <c r="A2504">
        <v>2503</v>
      </c>
      <c r="B2504" t="s">
        <v>12</v>
      </c>
      <c r="C2504">
        <v>58</v>
      </c>
      <c r="D2504" t="s">
        <v>21</v>
      </c>
      <c r="E2504" t="s">
        <v>24</v>
      </c>
      <c r="F2504">
        <v>143</v>
      </c>
      <c r="G2504">
        <v>17</v>
      </c>
      <c r="H2504">
        <v>0.36</v>
      </c>
      <c r="I2504" t="s">
        <v>23</v>
      </c>
      <c r="J2504">
        <v>0</v>
      </c>
      <c r="K2504">
        <v>1</v>
      </c>
      <c r="L2504">
        <v>0</v>
      </c>
      <c r="M2504">
        <f>VLOOKUP(Table1[[#This Row],[subscription_type]],Plans!$A$1:$B$5,2,FALSE)</f>
        <v>4.99</v>
      </c>
      <c r="N2504">
        <f t="shared" si="39"/>
        <v>0</v>
      </c>
    </row>
    <row r="2505" spans="1:14" x14ac:dyDescent="0.35">
      <c r="A2505">
        <v>2504</v>
      </c>
      <c r="B2505" t="s">
        <v>20</v>
      </c>
      <c r="C2505">
        <v>47</v>
      </c>
      <c r="D2505" t="s">
        <v>28</v>
      </c>
      <c r="E2505" t="s">
        <v>22</v>
      </c>
      <c r="F2505">
        <v>157</v>
      </c>
      <c r="G2505">
        <v>82</v>
      </c>
      <c r="H2505">
        <v>0.2</v>
      </c>
      <c r="I2505" t="s">
        <v>23</v>
      </c>
      <c r="J2505">
        <v>0</v>
      </c>
      <c r="K2505">
        <v>1</v>
      </c>
      <c r="L2505">
        <v>1</v>
      </c>
      <c r="M2505">
        <f>VLOOKUP(Table1[[#This Row],[subscription_type]],Plans!$A$1:$B$5,2,FALSE)</f>
        <v>9.99</v>
      </c>
      <c r="N2505">
        <f t="shared" si="39"/>
        <v>9.99</v>
      </c>
    </row>
    <row r="2506" spans="1:14" x14ac:dyDescent="0.35">
      <c r="A2506">
        <v>2505</v>
      </c>
      <c r="B2506" t="s">
        <v>12</v>
      </c>
      <c r="C2506">
        <v>26</v>
      </c>
      <c r="D2506" t="s">
        <v>25</v>
      </c>
      <c r="E2506" t="s">
        <v>14</v>
      </c>
      <c r="F2506">
        <v>285</v>
      </c>
      <c r="G2506">
        <v>44</v>
      </c>
      <c r="H2506">
        <v>0.48</v>
      </c>
      <c r="I2506" t="s">
        <v>19</v>
      </c>
      <c r="J2506">
        <v>21</v>
      </c>
      <c r="K2506">
        <v>0</v>
      </c>
      <c r="L2506">
        <v>0</v>
      </c>
      <c r="M2506">
        <f>VLOOKUP(Table1[[#This Row],[subscription_type]],Plans!$A$1:$B$5,2,FALSE)</f>
        <v>0</v>
      </c>
      <c r="N2506">
        <f t="shared" si="39"/>
        <v>0</v>
      </c>
    </row>
    <row r="2507" spans="1:14" x14ac:dyDescent="0.35">
      <c r="A2507">
        <v>2506</v>
      </c>
      <c r="B2507" t="s">
        <v>12</v>
      </c>
      <c r="C2507">
        <v>45</v>
      </c>
      <c r="D2507" t="s">
        <v>28</v>
      </c>
      <c r="E2507" t="s">
        <v>18</v>
      </c>
      <c r="F2507">
        <v>263</v>
      </c>
      <c r="G2507">
        <v>71</v>
      </c>
      <c r="H2507">
        <v>0.18</v>
      </c>
      <c r="I2507" t="s">
        <v>23</v>
      </c>
      <c r="J2507">
        <v>0</v>
      </c>
      <c r="K2507">
        <v>1</v>
      </c>
      <c r="L2507">
        <v>0</v>
      </c>
      <c r="M2507">
        <f>VLOOKUP(Table1[[#This Row],[subscription_type]],Plans!$A$1:$B$5,2,FALSE)</f>
        <v>14.99</v>
      </c>
      <c r="N2507">
        <f t="shared" si="39"/>
        <v>0</v>
      </c>
    </row>
    <row r="2508" spans="1:14" x14ac:dyDescent="0.35">
      <c r="A2508">
        <v>2507</v>
      </c>
      <c r="B2508" t="s">
        <v>12</v>
      </c>
      <c r="C2508">
        <v>18</v>
      </c>
      <c r="D2508" t="s">
        <v>17</v>
      </c>
      <c r="E2508" t="s">
        <v>24</v>
      </c>
      <c r="F2508">
        <v>235</v>
      </c>
      <c r="G2508">
        <v>7</v>
      </c>
      <c r="H2508">
        <v>0.42</v>
      </c>
      <c r="I2508" t="s">
        <v>15</v>
      </c>
      <c r="J2508">
        <v>0</v>
      </c>
      <c r="K2508">
        <v>1</v>
      </c>
      <c r="L2508">
        <v>0</v>
      </c>
      <c r="M2508">
        <f>VLOOKUP(Table1[[#This Row],[subscription_type]],Plans!$A$1:$B$5,2,FALSE)</f>
        <v>4.99</v>
      </c>
      <c r="N2508">
        <f t="shared" si="39"/>
        <v>0</v>
      </c>
    </row>
    <row r="2509" spans="1:14" x14ac:dyDescent="0.35">
      <c r="A2509">
        <v>2508</v>
      </c>
      <c r="B2509" t="s">
        <v>20</v>
      </c>
      <c r="C2509">
        <v>27</v>
      </c>
      <c r="D2509" t="s">
        <v>17</v>
      </c>
      <c r="E2509" t="s">
        <v>18</v>
      </c>
      <c r="F2509">
        <v>112</v>
      </c>
      <c r="G2509">
        <v>13</v>
      </c>
      <c r="H2509">
        <v>0.54</v>
      </c>
      <c r="I2509" t="s">
        <v>15</v>
      </c>
      <c r="J2509">
        <v>0</v>
      </c>
      <c r="K2509">
        <v>1</v>
      </c>
      <c r="L2509">
        <v>0</v>
      </c>
      <c r="M2509">
        <f>VLOOKUP(Table1[[#This Row],[subscription_type]],Plans!$A$1:$B$5,2,FALSE)</f>
        <v>14.99</v>
      </c>
      <c r="N2509">
        <f t="shared" si="39"/>
        <v>0</v>
      </c>
    </row>
    <row r="2510" spans="1:14" x14ac:dyDescent="0.35">
      <c r="A2510">
        <v>2509</v>
      </c>
      <c r="B2510" t="s">
        <v>12</v>
      </c>
      <c r="C2510">
        <v>58</v>
      </c>
      <c r="D2510" t="s">
        <v>21</v>
      </c>
      <c r="E2510" t="s">
        <v>22</v>
      </c>
      <c r="F2510">
        <v>208</v>
      </c>
      <c r="G2510">
        <v>86</v>
      </c>
      <c r="H2510">
        <v>0.1</v>
      </c>
      <c r="I2510" t="s">
        <v>19</v>
      </c>
      <c r="J2510">
        <v>0</v>
      </c>
      <c r="K2510">
        <v>1</v>
      </c>
      <c r="L2510">
        <v>1</v>
      </c>
      <c r="M2510">
        <f>VLOOKUP(Table1[[#This Row],[subscription_type]],Plans!$A$1:$B$5,2,FALSE)</f>
        <v>9.99</v>
      </c>
      <c r="N2510">
        <f t="shared" si="39"/>
        <v>9.99</v>
      </c>
    </row>
    <row r="2511" spans="1:14" x14ac:dyDescent="0.35">
      <c r="A2511">
        <v>2510</v>
      </c>
      <c r="B2511" t="s">
        <v>16</v>
      </c>
      <c r="C2511">
        <v>42</v>
      </c>
      <c r="D2511" t="s">
        <v>29</v>
      </c>
      <c r="E2511" t="s">
        <v>24</v>
      </c>
      <c r="F2511">
        <v>184</v>
      </c>
      <c r="G2511">
        <v>90</v>
      </c>
      <c r="H2511">
        <v>0.51</v>
      </c>
      <c r="I2511" t="s">
        <v>15</v>
      </c>
      <c r="J2511">
        <v>0</v>
      </c>
      <c r="K2511">
        <v>1</v>
      </c>
      <c r="L2511">
        <v>1</v>
      </c>
      <c r="M2511">
        <f>VLOOKUP(Table1[[#This Row],[subscription_type]],Plans!$A$1:$B$5,2,FALSE)</f>
        <v>4.99</v>
      </c>
      <c r="N2511">
        <f t="shared" si="39"/>
        <v>4.99</v>
      </c>
    </row>
    <row r="2512" spans="1:14" x14ac:dyDescent="0.35">
      <c r="A2512">
        <v>2511</v>
      </c>
      <c r="B2512" t="s">
        <v>12</v>
      </c>
      <c r="C2512">
        <v>50</v>
      </c>
      <c r="D2512" t="s">
        <v>29</v>
      </c>
      <c r="E2512" t="s">
        <v>24</v>
      </c>
      <c r="F2512">
        <v>129</v>
      </c>
      <c r="G2512">
        <v>50</v>
      </c>
      <c r="H2512">
        <v>0.34</v>
      </c>
      <c r="I2512" t="s">
        <v>23</v>
      </c>
      <c r="J2512">
        <v>0</v>
      </c>
      <c r="K2512">
        <v>1</v>
      </c>
      <c r="L2512">
        <v>0</v>
      </c>
      <c r="M2512">
        <f>VLOOKUP(Table1[[#This Row],[subscription_type]],Plans!$A$1:$B$5,2,FALSE)</f>
        <v>4.99</v>
      </c>
      <c r="N2512">
        <f t="shared" si="39"/>
        <v>0</v>
      </c>
    </row>
    <row r="2513" spans="1:14" x14ac:dyDescent="0.35">
      <c r="A2513">
        <v>2512</v>
      </c>
      <c r="B2513" t="s">
        <v>20</v>
      </c>
      <c r="C2513">
        <v>25</v>
      </c>
      <c r="D2513" t="s">
        <v>25</v>
      </c>
      <c r="E2513" t="s">
        <v>22</v>
      </c>
      <c r="F2513">
        <v>211</v>
      </c>
      <c r="G2513">
        <v>99</v>
      </c>
      <c r="H2513">
        <v>7.0000000000000007E-2</v>
      </c>
      <c r="I2513" t="s">
        <v>23</v>
      </c>
      <c r="J2513">
        <v>0</v>
      </c>
      <c r="K2513">
        <v>1</v>
      </c>
      <c r="L2513">
        <v>0</v>
      </c>
      <c r="M2513">
        <f>VLOOKUP(Table1[[#This Row],[subscription_type]],Plans!$A$1:$B$5,2,FALSE)</f>
        <v>9.99</v>
      </c>
      <c r="N2513">
        <f t="shared" si="39"/>
        <v>0</v>
      </c>
    </row>
    <row r="2514" spans="1:14" x14ac:dyDescent="0.35">
      <c r="A2514">
        <v>2513</v>
      </c>
      <c r="B2514" t="s">
        <v>20</v>
      </c>
      <c r="C2514">
        <v>31</v>
      </c>
      <c r="D2514" t="s">
        <v>29</v>
      </c>
      <c r="E2514" t="s">
        <v>22</v>
      </c>
      <c r="F2514">
        <v>146</v>
      </c>
      <c r="G2514">
        <v>38</v>
      </c>
      <c r="H2514">
        <v>0.38</v>
      </c>
      <c r="I2514" t="s">
        <v>23</v>
      </c>
      <c r="J2514">
        <v>0</v>
      </c>
      <c r="K2514">
        <v>1</v>
      </c>
      <c r="L2514">
        <v>1</v>
      </c>
      <c r="M2514">
        <f>VLOOKUP(Table1[[#This Row],[subscription_type]],Plans!$A$1:$B$5,2,FALSE)</f>
        <v>9.99</v>
      </c>
      <c r="N2514">
        <f t="shared" si="39"/>
        <v>9.99</v>
      </c>
    </row>
    <row r="2515" spans="1:14" x14ac:dyDescent="0.35">
      <c r="A2515">
        <v>2514</v>
      </c>
      <c r="B2515" t="s">
        <v>12</v>
      </c>
      <c r="C2515">
        <v>25</v>
      </c>
      <c r="D2515" t="s">
        <v>13</v>
      </c>
      <c r="E2515" t="s">
        <v>18</v>
      </c>
      <c r="F2515">
        <v>297</v>
      </c>
      <c r="G2515">
        <v>33</v>
      </c>
      <c r="H2515">
        <v>0.56999999999999995</v>
      </c>
      <c r="I2515" t="s">
        <v>23</v>
      </c>
      <c r="J2515">
        <v>0</v>
      </c>
      <c r="K2515">
        <v>1</v>
      </c>
      <c r="L2515">
        <v>0</v>
      </c>
      <c r="M2515">
        <f>VLOOKUP(Table1[[#This Row],[subscription_type]],Plans!$A$1:$B$5,2,FALSE)</f>
        <v>14.99</v>
      </c>
      <c r="N2515">
        <f t="shared" si="39"/>
        <v>0</v>
      </c>
    </row>
    <row r="2516" spans="1:14" x14ac:dyDescent="0.35">
      <c r="A2516">
        <v>2515</v>
      </c>
      <c r="B2516" t="s">
        <v>12</v>
      </c>
      <c r="C2516">
        <v>22</v>
      </c>
      <c r="D2516" t="s">
        <v>17</v>
      </c>
      <c r="E2516" t="s">
        <v>18</v>
      </c>
      <c r="F2516">
        <v>28</v>
      </c>
      <c r="G2516">
        <v>70</v>
      </c>
      <c r="H2516">
        <v>0.19</v>
      </c>
      <c r="I2516" t="s">
        <v>23</v>
      </c>
      <c r="J2516">
        <v>0</v>
      </c>
      <c r="K2516">
        <v>1</v>
      </c>
      <c r="L2516">
        <v>0</v>
      </c>
      <c r="M2516">
        <f>VLOOKUP(Table1[[#This Row],[subscription_type]],Plans!$A$1:$B$5,2,FALSE)</f>
        <v>14.99</v>
      </c>
      <c r="N2516">
        <f t="shared" si="39"/>
        <v>0</v>
      </c>
    </row>
    <row r="2517" spans="1:14" x14ac:dyDescent="0.35">
      <c r="A2517">
        <v>2516</v>
      </c>
      <c r="B2517" t="s">
        <v>16</v>
      </c>
      <c r="C2517">
        <v>51</v>
      </c>
      <c r="D2517" t="s">
        <v>13</v>
      </c>
      <c r="E2517" t="s">
        <v>18</v>
      </c>
      <c r="F2517">
        <v>84</v>
      </c>
      <c r="G2517">
        <v>23</v>
      </c>
      <c r="H2517">
        <v>0.26</v>
      </c>
      <c r="I2517" t="s">
        <v>15</v>
      </c>
      <c r="J2517">
        <v>0</v>
      </c>
      <c r="K2517">
        <v>1</v>
      </c>
      <c r="L2517">
        <v>1</v>
      </c>
      <c r="M2517">
        <f>VLOOKUP(Table1[[#This Row],[subscription_type]],Plans!$A$1:$B$5,2,FALSE)</f>
        <v>14.99</v>
      </c>
      <c r="N2517">
        <f t="shared" si="39"/>
        <v>14.99</v>
      </c>
    </row>
    <row r="2518" spans="1:14" x14ac:dyDescent="0.35">
      <c r="A2518">
        <v>2517</v>
      </c>
      <c r="B2518" t="s">
        <v>16</v>
      </c>
      <c r="C2518">
        <v>46</v>
      </c>
      <c r="D2518" t="s">
        <v>26</v>
      </c>
      <c r="E2518" t="s">
        <v>22</v>
      </c>
      <c r="F2518">
        <v>103</v>
      </c>
      <c r="G2518">
        <v>40</v>
      </c>
      <c r="H2518">
        <v>0.33</v>
      </c>
      <c r="I2518" t="s">
        <v>23</v>
      </c>
      <c r="J2518">
        <v>0</v>
      </c>
      <c r="K2518">
        <v>1</v>
      </c>
      <c r="L2518">
        <v>0</v>
      </c>
      <c r="M2518">
        <f>VLOOKUP(Table1[[#This Row],[subscription_type]],Plans!$A$1:$B$5,2,FALSE)</f>
        <v>9.99</v>
      </c>
      <c r="N2518">
        <f t="shared" si="39"/>
        <v>0</v>
      </c>
    </row>
    <row r="2519" spans="1:14" x14ac:dyDescent="0.35">
      <c r="A2519">
        <v>2518</v>
      </c>
      <c r="B2519" t="s">
        <v>12</v>
      </c>
      <c r="C2519">
        <v>45</v>
      </c>
      <c r="D2519" t="s">
        <v>28</v>
      </c>
      <c r="E2519" t="s">
        <v>22</v>
      </c>
      <c r="F2519">
        <v>282</v>
      </c>
      <c r="G2519">
        <v>73</v>
      </c>
      <c r="H2519">
        <v>0.28999999999999998</v>
      </c>
      <c r="I2519" t="s">
        <v>23</v>
      </c>
      <c r="J2519">
        <v>0</v>
      </c>
      <c r="K2519">
        <v>1</v>
      </c>
      <c r="L2519">
        <v>1</v>
      </c>
      <c r="M2519">
        <f>VLOOKUP(Table1[[#This Row],[subscription_type]],Plans!$A$1:$B$5,2,FALSE)</f>
        <v>9.99</v>
      </c>
      <c r="N2519">
        <f t="shared" si="39"/>
        <v>9.99</v>
      </c>
    </row>
    <row r="2520" spans="1:14" x14ac:dyDescent="0.35">
      <c r="A2520">
        <v>2519</v>
      </c>
      <c r="B2520" t="s">
        <v>16</v>
      </c>
      <c r="C2520">
        <v>53</v>
      </c>
      <c r="D2520" t="s">
        <v>26</v>
      </c>
      <c r="E2520" t="s">
        <v>18</v>
      </c>
      <c r="F2520">
        <v>157</v>
      </c>
      <c r="G2520">
        <v>12</v>
      </c>
      <c r="H2520">
        <v>0.56000000000000005</v>
      </c>
      <c r="I2520" t="s">
        <v>19</v>
      </c>
      <c r="J2520">
        <v>0</v>
      </c>
      <c r="K2520">
        <v>1</v>
      </c>
      <c r="L2520">
        <v>0</v>
      </c>
      <c r="M2520">
        <f>VLOOKUP(Table1[[#This Row],[subscription_type]],Plans!$A$1:$B$5,2,FALSE)</f>
        <v>14.99</v>
      </c>
      <c r="N2520">
        <f t="shared" si="39"/>
        <v>0</v>
      </c>
    </row>
    <row r="2521" spans="1:14" x14ac:dyDescent="0.35">
      <c r="A2521">
        <v>2520</v>
      </c>
      <c r="B2521" t="s">
        <v>12</v>
      </c>
      <c r="C2521">
        <v>23</v>
      </c>
      <c r="D2521" t="s">
        <v>27</v>
      </c>
      <c r="E2521" t="s">
        <v>14</v>
      </c>
      <c r="F2521">
        <v>152</v>
      </c>
      <c r="G2521">
        <v>11</v>
      </c>
      <c r="H2521">
        <v>0.23</v>
      </c>
      <c r="I2521" t="s">
        <v>19</v>
      </c>
      <c r="J2521">
        <v>16</v>
      </c>
      <c r="K2521">
        <v>0</v>
      </c>
      <c r="L2521">
        <v>0</v>
      </c>
      <c r="M2521">
        <f>VLOOKUP(Table1[[#This Row],[subscription_type]],Plans!$A$1:$B$5,2,FALSE)</f>
        <v>0</v>
      </c>
      <c r="N2521">
        <f t="shared" si="39"/>
        <v>0</v>
      </c>
    </row>
    <row r="2522" spans="1:14" x14ac:dyDescent="0.35">
      <c r="A2522">
        <v>2521</v>
      </c>
      <c r="B2522" t="s">
        <v>12</v>
      </c>
      <c r="C2522">
        <v>21</v>
      </c>
      <c r="D2522" t="s">
        <v>26</v>
      </c>
      <c r="E2522" t="s">
        <v>22</v>
      </c>
      <c r="F2522">
        <v>233</v>
      </c>
      <c r="G2522">
        <v>11</v>
      </c>
      <c r="H2522">
        <v>0.1</v>
      </c>
      <c r="I2522" t="s">
        <v>23</v>
      </c>
      <c r="J2522">
        <v>0</v>
      </c>
      <c r="K2522">
        <v>1</v>
      </c>
      <c r="L2522">
        <v>0</v>
      </c>
      <c r="M2522">
        <f>VLOOKUP(Table1[[#This Row],[subscription_type]],Plans!$A$1:$B$5,2,FALSE)</f>
        <v>9.99</v>
      </c>
      <c r="N2522">
        <f t="shared" si="39"/>
        <v>0</v>
      </c>
    </row>
    <row r="2523" spans="1:14" x14ac:dyDescent="0.35">
      <c r="A2523">
        <v>2522</v>
      </c>
      <c r="B2523" t="s">
        <v>12</v>
      </c>
      <c r="C2523">
        <v>28</v>
      </c>
      <c r="D2523" t="s">
        <v>13</v>
      </c>
      <c r="E2523" t="s">
        <v>24</v>
      </c>
      <c r="F2523">
        <v>111</v>
      </c>
      <c r="G2523">
        <v>61</v>
      </c>
      <c r="H2523">
        <v>0.41</v>
      </c>
      <c r="I2523" t="s">
        <v>19</v>
      </c>
      <c r="J2523">
        <v>0</v>
      </c>
      <c r="K2523">
        <v>1</v>
      </c>
      <c r="L2523">
        <v>0</v>
      </c>
      <c r="M2523">
        <f>VLOOKUP(Table1[[#This Row],[subscription_type]],Plans!$A$1:$B$5,2,FALSE)</f>
        <v>4.99</v>
      </c>
      <c r="N2523">
        <f t="shared" si="39"/>
        <v>0</v>
      </c>
    </row>
    <row r="2524" spans="1:14" x14ac:dyDescent="0.35">
      <c r="A2524">
        <v>2523</v>
      </c>
      <c r="B2524" t="s">
        <v>16</v>
      </c>
      <c r="C2524">
        <v>21</v>
      </c>
      <c r="D2524" t="s">
        <v>27</v>
      </c>
      <c r="E2524" t="s">
        <v>22</v>
      </c>
      <c r="F2524">
        <v>297</v>
      </c>
      <c r="G2524">
        <v>95</v>
      </c>
      <c r="H2524">
        <v>0.28000000000000003</v>
      </c>
      <c r="I2524" t="s">
        <v>19</v>
      </c>
      <c r="J2524">
        <v>0</v>
      </c>
      <c r="K2524">
        <v>1</v>
      </c>
      <c r="L2524">
        <v>0</v>
      </c>
      <c r="M2524">
        <f>VLOOKUP(Table1[[#This Row],[subscription_type]],Plans!$A$1:$B$5,2,FALSE)</f>
        <v>9.99</v>
      </c>
      <c r="N2524">
        <f t="shared" si="39"/>
        <v>0</v>
      </c>
    </row>
    <row r="2525" spans="1:14" x14ac:dyDescent="0.35">
      <c r="A2525">
        <v>2524</v>
      </c>
      <c r="B2525" t="s">
        <v>16</v>
      </c>
      <c r="C2525">
        <v>37</v>
      </c>
      <c r="D2525" t="s">
        <v>26</v>
      </c>
      <c r="E2525" t="s">
        <v>24</v>
      </c>
      <c r="F2525">
        <v>46</v>
      </c>
      <c r="G2525">
        <v>29</v>
      </c>
      <c r="H2525">
        <v>0.4</v>
      </c>
      <c r="I2525" t="s">
        <v>19</v>
      </c>
      <c r="J2525">
        <v>0</v>
      </c>
      <c r="K2525">
        <v>1</v>
      </c>
      <c r="L2525">
        <v>0</v>
      </c>
      <c r="M2525">
        <f>VLOOKUP(Table1[[#This Row],[subscription_type]],Plans!$A$1:$B$5,2,FALSE)</f>
        <v>4.99</v>
      </c>
      <c r="N2525">
        <f t="shared" si="39"/>
        <v>0</v>
      </c>
    </row>
    <row r="2526" spans="1:14" x14ac:dyDescent="0.35">
      <c r="A2526">
        <v>2525</v>
      </c>
      <c r="B2526" t="s">
        <v>12</v>
      </c>
      <c r="C2526">
        <v>33</v>
      </c>
      <c r="D2526" t="s">
        <v>17</v>
      </c>
      <c r="E2526" t="s">
        <v>14</v>
      </c>
      <c r="F2526">
        <v>56</v>
      </c>
      <c r="G2526">
        <v>57</v>
      </c>
      <c r="H2526">
        <v>0.57999999999999996</v>
      </c>
      <c r="I2526" t="s">
        <v>23</v>
      </c>
      <c r="J2526">
        <v>16</v>
      </c>
      <c r="K2526">
        <v>0</v>
      </c>
      <c r="L2526">
        <v>1</v>
      </c>
      <c r="M2526">
        <f>VLOOKUP(Table1[[#This Row],[subscription_type]],Plans!$A$1:$B$5,2,FALSE)</f>
        <v>0</v>
      </c>
      <c r="N2526">
        <f t="shared" si="39"/>
        <v>0</v>
      </c>
    </row>
    <row r="2527" spans="1:14" x14ac:dyDescent="0.35">
      <c r="A2527">
        <v>2526</v>
      </c>
      <c r="B2527" t="s">
        <v>12</v>
      </c>
      <c r="C2527">
        <v>50</v>
      </c>
      <c r="D2527" t="s">
        <v>26</v>
      </c>
      <c r="E2527" t="s">
        <v>14</v>
      </c>
      <c r="F2527">
        <v>118</v>
      </c>
      <c r="G2527">
        <v>72</v>
      </c>
      <c r="H2527">
        <v>0.06</v>
      </c>
      <c r="I2527" t="s">
        <v>23</v>
      </c>
      <c r="J2527">
        <v>8</v>
      </c>
      <c r="K2527">
        <v>0</v>
      </c>
      <c r="L2527">
        <v>0</v>
      </c>
      <c r="M2527">
        <f>VLOOKUP(Table1[[#This Row],[subscription_type]],Plans!$A$1:$B$5,2,FALSE)</f>
        <v>0</v>
      </c>
      <c r="N2527">
        <f t="shared" si="39"/>
        <v>0</v>
      </c>
    </row>
    <row r="2528" spans="1:14" x14ac:dyDescent="0.35">
      <c r="A2528">
        <v>2527</v>
      </c>
      <c r="B2528" t="s">
        <v>12</v>
      </c>
      <c r="C2528">
        <v>17</v>
      </c>
      <c r="D2528" t="s">
        <v>28</v>
      </c>
      <c r="E2528" t="s">
        <v>14</v>
      </c>
      <c r="F2528">
        <v>98</v>
      </c>
      <c r="G2528">
        <v>82</v>
      </c>
      <c r="H2528">
        <v>0.44</v>
      </c>
      <c r="I2528" t="s">
        <v>19</v>
      </c>
      <c r="J2528">
        <v>24</v>
      </c>
      <c r="K2528">
        <v>0</v>
      </c>
      <c r="L2528">
        <v>0</v>
      </c>
      <c r="M2528">
        <f>VLOOKUP(Table1[[#This Row],[subscription_type]],Plans!$A$1:$B$5,2,FALSE)</f>
        <v>0</v>
      </c>
      <c r="N2528">
        <f t="shared" si="39"/>
        <v>0</v>
      </c>
    </row>
    <row r="2529" spans="1:14" x14ac:dyDescent="0.35">
      <c r="A2529">
        <v>2528</v>
      </c>
      <c r="B2529" t="s">
        <v>12</v>
      </c>
      <c r="C2529">
        <v>51</v>
      </c>
      <c r="D2529" t="s">
        <v>13</v>
      </c>
      <c r="E2529" t="s">
        <v>24</v>
      </c>
      <c r="F2529">
        <v>178</v>
      </c>
      <c r="G2529">
        <v>73</v>
      </c>
      <c r="H2529">
        <v>0.14000000000000001</v>
      </c>
      <c r="I2529" t="s">
        <v>23</v>
      </c>
      <c r="J2529">
        <v>0</v>
      </c>
      <c r="K2529">
        <v>1</v>
      </c>
      <c r="L2529">
        <v>1</v>
      </c>
      <c r="M2529">
        <f>VLOOKUP(Table1[[#This Row],[subscription_type]],Plans!$A$1:$B$5,2,FALSE)</f>
        <v>4.99</v>
      </c>
      <c r="N2529">
        <f t="shared" si="39"/>
        <v>4.99</v>
      </c>
    </row>
    <row r="2530" spans="1:14" x14ac:dyDescent="0.35">
      <c r="A2530">
        <v>2529</v>
      </c>
      <c r="B2530" t="s">
        <v>12</v>
      </c>
      <c r="C2530">
        <v>46</v>
      </c>
      <c r="D2530" t="s">
        <v>25</v>
      </c>
      <c r="E2530" t="s">
        <v>18</v>
      </c>
      <c r="F2530">
        <v>97</v>
      </c>
      <c r="G2530">
        <v>71</v>
      </c>
      <c r="H2530">
        <v>0.22</v>
      </c>
      <c r="I2530" t="s">
        <v>15</v>
      </c>
      <c r="J2530">
        <v>0</v>
      </c>
      <c r="K2530">
        <v>1</v>
      </c>
      <c r="L2530">
        <v>1</v>
      </c>
      <c r="M2530">
        <f>VLOOKUP(Table1[[#This Row],[subscription_type]],Plans!$A$1:$B$5,2,FALSE)</f>
        <v>14.99</v>
      </c>
      <c r="N2530">
        <f t="shared" si="39"/>
        <v>14.99</v>
      </c>
    </row>
    <row r="2531" spans="1:14" x14ac:dyDescent="0.35">
      <c r="A2531">
        <v>2530</v>
      </c>
      <c r="B2531" t="s">
        <v>12</v>
      </c>
      <c r="C2531">
        <v>39</v>
      </c>
      <c r="D2531" t="s">
        <v>25</v>
      </c>
      <c r="E2531" t="s">
        <v>22</v>
      </c>
      <c r="F2531">
        <v>165</v>
      </c>
      <c r="G2531">
        <v>16</v>
      </c>
      <c r="H2531">
        <v>0.19</v>
      </c>
      <c r="I2531" t="s">
        <v>23</v>
      </c>
      <c r="J2531">
        <v>0</v>
      </c>
      <c r="K2531">
        <v>1</v>
      </c>
      <c r="L2531">
        <v>0</v>
      </c>
      <c r="M2531">
        <f>VLOOKUP(Table1[[#This Row],[subscription_type]],Plans!$A$1:$B$5,2,FALSE)</f>
        <v>9.99</v>
      </c>
      <c r="N2531">
        <f t="shared" si="39"/>
        <v>0</v>
      </c>
    </row>
    <row r="2532" spans="1:14" x14ac:dyDescent="0.35">
      <c r="A2532">
        <v>2531</v>
      </c>
      <c r="B2532" t="s">
        <v>12</v>
      </c>
      <c r="C2532">
        <v>45</v>
      </c>
      <c r="D2532" t="s">
        <v>17</v>
      </c>
      <c r="E2532" t="s">
        <v>22</v>
      </c>
      <c r="F2532">
        <v>85</v>
      </c>
      <c r="G2532">
        <v>78</v>
      </c>
      <c r="H2532">
        <v>0.03</v>
      </c>
      <c r="I2532" t="s">
        <v>19</v>
      </c>
      <c r="J2532">
        <v>0</v>
      </c>
      <c r="K2532">
        <v>1</v>
      </c>
      <c r="L2532">
        <v>0</v>
      </c>
      <c r="M2532">
        <f>VLOOKUP(Table1[[#This Row],[subscription_type]],Plans!$A$1:$B$5,2,FALSE)</f>
        <v>9.99</v>
      </c>
      <c r="N2532">
        <f t="shared" si="39"/>
        <v>0</v>
      </c>
    </row>
    <row r="2533" spans="1:14" x14ac:dyDescent="0.35">
      <c r="A2533">
        <v>2532</v>
      </c>
      <c r="B2533" t="s">
        <v>12</v>
      </c>
      <c r="C2533">
        <v>59</v>
      </c>
      <c r="D2533" t="s">
        <v>26</v>
      </c>
      <c r="E2533" t="s">
        <v>18</v>
      </c>
      <c r="F2533">
        <v>137</v>
      </c>
      <c r="G2533">
        <v>19</v>
      </c>
      <c r="H2533">
        <v>0.2</v>
      </c>
      <c r="I2533" t="s">
        <v>23</v>
      </c>
      <c r="J2533">
        <v>0</v>
      </c>
      <c r="K2533">
        <v>1</v>
      </c>
      <c r="L2533">
        <v>0</v>
      </c>
      <c r="M2533">
        <f>VLOOKUP(Table1[[#This Row],[subscription_type]],Plans!$A$1:$B$5,2,FALSE)</f>
        <v>14.99</v>
      </c>
      <c r="N2533">
        <f t="shared" si="39"/>
        <v>0</v>
      </c>
    </row>
    <row r="2534" spans="1:14" x14ac:dyDescent="0.35">
      <c r="A2534">
        <v>2533</v>
      </c>
      <c r="B2534" t="s">
        <v>20</v>
      </c>
      <c r="C2534">
        <v>16</v>
      </c>
      <c r="D2534" t="s">
        <v>27</v>
      </c>
      <c r="E2534" t="s">
        <v>22</v>
      </c>
      <c r="F2534">
        <v>215</v>
      </c>
      <c r="G2534">
        <v>58</v>
      </c>
      <c r="H2534">
        <v>0.23</v>
      </c>
      <c r="I2534" t="s">
        <v>19</v>
      </c>
      <c r="J2534">
        <v>0</v>
      </c>
      <c r="K2534">
        <v>1</v>
      </c>
      <c r="L2534">
        <v>0</v>
      </c>
      <c r="M2534">
        <f>VLOOKUP(Table1[[#This Row],[subscription_type]],Plans!$A$1:$B$5,2,FALSE)</f>
        <v>9.99</v>
      </c>
      <c r="N2534">
        <f t="shared" si="39"/>
        <v>0</v>
      </c>
    </row>
    <row r="2535" spans="1:14" x14ac:dyDescent="0.35">
      <c r="A2535">
        <v>2534</v>
      </c>
      <c r="B2535" t="s">
        <v>12</v>
      </c>
      <c r="C2535">
        <v>17</v>
      </c>
      <c r="D2535" t="s">
        <v>26</v>
      </c>
      <c r="E2535" t="s">
        <v>24</v>
      </c>
      <c r="F2535">
        <v>48</v>
      </c>
      <c r="G2535">
        <v>53</v>
      </c>
      <c r="H2535">
        <v>0.59</v>
      </c>
      <c r="I2535" t="s">
        <v>15</v>
      </c>
      <c r="J2535">
        <v>0</v>
      </c>
      <c r="K2535">
        <v>1</v>
      </c>
      <c r="L2535">
        <v>0</v>
      </c>
      <c r="M2535">
        <f>VLOOKUP(Table1[[#This Row],[subscription_type]],Plans!$A$1:$B$5,2,FALSE)</f>
        <v>4.99</v>
      </c>
      <c r="N2535">
        <f t="shared" si="39"/>
        <v>0</v>
      </c>
    </row>
    <row r="2536" spans="1:14" x14ac:dyDescent="0.35">
      <c r="A2536">
        <v>2535</v>
      </c>
      <c r="B2536" t="s">
        <v>20</v>
      </c>
      <c r="C2536">
        <v>58</v>
      </c>
      <c r="D2536" t="s">
        <v>25</v>
      </c>
      <c r="E2536" t="s">
        <v>18</v>
      </c>
      <c r="F2536">
        <v>60</v>
      </c>
      <c r="G2536">
        <v>85</v>
      </c>
      <c r="H2536">
        <v>0.45</v>
      </c>
      <c r="I2536" t="s">
        <v>19</v>
      </c>
      <c r="J2536">
        <v>0</v>
      </c>
      <c r="K2536">
        <v>1</v>
      </c>
      <c r="L2536">
        <v>1</v>
      </c>
      <c r="M2536">
        <f>VLOOKUP(Table1[[#This Row],[subscription_type]],Plans!$A$1:$B$5,2,FALSE)</f>
        <v>14.99</v>
      </c>
      <c r="N2536">
        <f t="shared" si="39"/>
        <v>14.99</v>
      </c>
    </row>
    <row r="2537" spans="1:14" x14ac:dyDescent="0.35">
      <c r="A2537">
        <v>2536</v>
      </c>
      <c r="B2537" t="s">
        <v>16</v>
      </c>
      <c r="C2537">
        <v>26</v>
      </c>
      <c r="D2537" t="s">
        <v>28</v>
      </c>
      <c r="E2537" t="s">
        <v>18</v>
      </c>
      <c r="F2537">
        <v>229</v>
      </c>
      <c r="G2537">
        <v>40</v>
      </c>
      <c r="H2537">
        <v>0.28000000000000003</v>
      </c>
      <c r="I2537" t="s">
        <v>19</v>
      </c>
      <c r="J2537">
        <v>0</v>
      </c>
      <c r="K2537">
        <v>1</v>
      </c>
      <c r="L2537">
        <v>0</v>
      </c>
      <c r="M2537">
        <f>VLOOKUP(Table1[[#This Row],[subscription_type]],Plans!$A$1:$B$5,2,FALSE)</f>
        <v>14.99</v>
      </c>
      <c r="N2537">
        <f t="shared" si="39"/>
        <v>0</v>
      </c>
    </row>
    <row r="2538" spans="1:14" x14ac:dyDescent="0.35">
      <c r="A2538">
        <v>2537</v>
      </c>
      <c r="B2538" t="s">
        <v>12</v>
      </c>
      <c r="C2538">
        <v>46</v>
      </c>
      <c r="D2538" t="s">
        <v>27</v>
      </c>
      <c r="E2538" t="s">
        <v>24</v>
      </c>
      <c r="F2538">
        <v>33</v>
      </c>
      <c r="G2538">
        <v>58</v>
      </c>
      <c r="H2538">
        <v>0.54</v>
      </c>
      <c r="I2538" t="s">
        <v>19</v>
      </c>
      <c r="J2538">
        <v>0</v>
      </c>
      <c r="K2538">
        <v>1</v>
      </c>
      <c r="L2538">
        <v>0</v>
      </c>
      <c r="M2538">
        <f>VLOOKUP(Table1[[#This Row],[subscription_type]],Plans!$A$1:$B$5,2,FALSE)</f>
        <v>4.99</v>
      </c>
      <c r="N2538">
        <f t="shared" si="39"/>
        <v>0</v>
      </c>
    </row>
    <row r="2539" spans="1:14" x14ac:dyDescent="0.35">
      <c r="A2539">
        <v>2538</v>
      </c>
      <c r="B2539" t="s">
        <v>12</v>
      </c>
      <c r="C2539">
        <v>52</v>
      </c>
      <c r="D2539" t="s">
        <v>26</v>
      </c>
      <c r="E2539" t="s">
        <v>18</v>
      </c>
      <c r="F2539">
        <v>272</v>
      </c>
      <c r="G2539">
        <v>27</v>
      </c>
      <c r="H2539">
        <v>0.43</v>
      </c>
      <c r="I2539" t="s">
        <v>19</v>
      </c>
      <c r="J2539">
        <v>0</v>
      </c>
      <c r="K2539">
        <v>1</v>
      </c>
      <c r="L2539">
        <v>0</v>
      </c>
      <c r="M2539">
        <f>VLOOKUP(Table1[[#This Row],[subscription_type]],Plans!$A$1:$B$5,2,FALSE)</f>
        <v>14.99</v>
      </c>
      <c r="N2539">
        <f t="shared" si="39"/>
        <v>0</v>
      </c>
    </row>
    <row r="2540" spans="1:14" x14ac:dyDescent="0.35">
      <c r="A2540">
        <v>2539</v>
      </c>
      <c r="B2540" t="s">
        <v>12</v>
      </c>
      <c r="C2540">
        <v>39</v>
      </c>
      <c r="D2540" t="s">
        <v>21</v>
      </c>
      <c r="E2540" t="s">
        <v>24</v>
      </c>
      <c r="F2540">
        <v>126</v>
      </c>
      <c r="G2540">
        <v>48</v>
      </c>
      <c r="H2540">
        <v>0.36</v>
      </c>
      <c r="I2540" t="s">
        <v>23</v>
      </c>
      <c r="J2540">
        <v>0</v>
      </c>
      <c r="K2540">
        <v>1</v>
      </c>
      <c r="L2540">
        <v>1</v>
      </c>
      <c r="M2540">
        <f>VLOOKUP(Table1[[#This Row],[subscription_type]],Plans!$A$1:$B$5,2,FALSE)</f>
        <v>4.99</v>
      </c>
      <c r="N2540">
        <f t="shared" si="39"/>
        <v>4.99</v>
      </c>
    </row>
    <row r="2541" spans="1:14" x14ac:dyDescent="0.35">
      <c r="A2541">
        <v>2540</v>
      </c>
      <c r="B2541" t="s">
        <v>20</v>
      </c>
      <c r="C2541">
        <v>54</v>
      </c>
      <c r="D2541" t="s">
        <v>13</v>
      </c>
      <c r="E2541" t="s">
        <v>22</v>
      </c>
      <c r="F2541">
        <v>201</v>
      </c>
      <c r="G2541">
        <v>65</v>
      </c>
      <c r="H2541">
        <v>0.13</v>
      </c>
      <c r="I2541" t="s">
        <v>23</v>
      </c>
      <c r="J2541">
        <v>0</v>
      </c>
      <c r="K2541">
        <v>1</v>
      </c>
      <c r="L2541">
        <v>0</v>
      </c>
      <c r="M2541">
        <f>VLOOKUP(Table1[[#This Row],[subscription_type]],Plans!$A$1:$B$5,2,FALSE)</f>
        <v>9.99</v>
      </c>
      <c r="N2541">
        <f t="shared" si="39"/>
        <v>0</v>
      </c>
    </row>
    <row r="2542" spans="1:14" x14ac:dyDescent="0.35">
      <c r="A2542">
        <v>2541</v>
      </c>
      <c r="B2542" t="s">
        <v>16</v>
      </c>
      <c r="C2542">
        <v>17</v>
      </c>
      <c r="D2542" t="s">
        <v>29</v>
      </c>
      <c r="E2542" t="s">
        <v>22</v>
      </c>
      <c r="F2542">
        <v>143</v>
      </c>
      <c r="G2542">
        <v>92</v>
      </c>
      <c r="H2542">
        <v>0.06</v>
      </c>
      <c r="I2542" t="s">
        <v>23</v>
      </c>
      <c r="J2542">
        <v>0</v>
      </c>
      <c r="K2542">
        <v>1</v>
      </c>
      <c r="L2542">
        <v>0</v>
      </c>
      <c r="M2542">
        <f>VLOOKUP(Table1[[#This Row],[subscription_type]],Plans!$A$1:$B$5,2,FALSE)</f>
        <v>9.99</v>
      </c>
      <c r="N2542">
        <f t="shared" si="39"/>
        <v>0</v>
      </c>
    </row>
    <row r="2543" spans="1:14" x14ac:dyDescent="0.35">
      <c r="A2543">
        <v>2542</v>
      </c>
      <c r="B2543" t="s">
        <v>16</v>
      </c>
      <c r="C2543">
        <v>26</v>
      </c>
      <c r="D2543" t="s">
        <v>28</v>
      </c>
      <c r="E2543" t="s">
        <v>22</v>
      </c>
      <c r="F2543">
        <v>52</v>
      </c>
      <c r="G2543">
        <v>5</v>
      </c>
      <c r="H2543">
        <v>0.47</v>
      </c>
      <c r="I2543" t="s">
        <v>23</v>
      </c>
      <c r="J2543">
        <v>0</v>
      </c>
      <c r="K2543">
        <v>1</v>
      </c>
      <c r="L2543">
        <v>1</v>
      </c>
      <c r="M2543">
        <f>VLOOKUP(Table1[[#This Row],[subscription_type]],Plans!$A$1:$B$5,2,FALSE)</f>
        <v>9.99</v>
      </c>
      <c r="N2543">
        <f t="shared" si="39"/>
        <v>9.99</v>
      </c>
    </row>
    <row r="2544" spans="1:14" x14ac:dyDescent="0.35">
      <c r="A2544">
        <v>2543</v>
      </c>
      <c r="B2544" t="s">
        <v>16</v>
      </c>
      <c r="C2544">
        <v>52</v>
      </c>
      <c r="D2544" t="s">
        <v>21</v>
      </c>
      <c r="E2544" t="s">
        <v>14</v>
      </c>
      <c r="F2544">
        <v>19</v>
      </c>
      <c r="G2544">
        <v>37</v>
      </c>
      <c r="H2544">
        <v>0.49</v>
      </c>
      <c r="I2544" t="s">
        <v>23</v>
      </c>
      <c r="J2544">
        <v>30</v>
      </c>
      <c r="K2544">
        <v>0</v>
      </c>
      <c r="L2544">
        <v>1</v>
      </c>
      <c r="M2544">
        <f>VLOOKUP(Table1[[#This Row],[subscription_type]],Plans!$A$1:$B$5,2,FALSE)</f>
        <v>0</v>
      </c>
      <c r="N2544">
        <f t="shared" si="39"/>
        <v>0</v>
      </c>
    </row>
    <row r="2545" spans="1:14" x14ac:dyDescent="0.35">
      <c r="A2545">
        <v>2544</v>
      </c>
      <c r="B2545" t="s">
        <v>20</v>
      </c>
      <c r="C2545">
        <v>52</v>
      </c>
      <c r="D2545" t="s">
        <v>29</v>
      </c>
      <c r="E2545" t="s">
        <v>22</v>
      </c>
      <c r="F2545">
        <v>151</v>
      </c>
      <c r="G2545">
        <v>59</v>
      </c>
      <c r="H2545">
        <v>0.32</v>
      </c>
      <c r="I2545" t="s">
        <v>23</v>
      </c>
      <c r="J2545">
        <v>0</v>
      </c>
      <c r="K2545">
        <v>1</v>
      </c>
      <c r="L2545">
        <v>0</v>
      </c>
      <c r="M2545">
        <f>VLOOKUP(Table1[[#This Row],[subscription_type]],Plans!$A$1:$B$5,2,FALSE)</f>
        <v>9.99</v>
      </c>
      <c r="N2545">
        <f t="shared" si="39"/>
        <v>0</v>
      </c>
    </row>
    <row r="2546" spans="1:14" x14ac:dyDescent="0.35">
      <c r="A2546">
        <v>2545</v>
      </c>
      <c r="B2546" t="s">
        <v>16</v>
      </c>
      <c r="C2546">
        <v>39</v>
      </c>
      <c r="D2546" t="s">
        <v>21</v>
      </c>
      <c r="E2546" t="s">
        <v>22</v>
      </c>
      <c r="F2546">
        <v>137</v>
      </c>
      <c r="G2546">
        <v>20</v>
      </c>
      <c r="H2546">
        <v>0.44</v>
      </c>
      <c r="I2546" t="s">
        <v>19</v>
      </c>
      <c r="J2546">
        <v>0</v>
      </c>
      <c r="K2546">
        <v>1</v>
      </c>
      <c r="L2546">
        <v>1</v>
      </c>
      <c r="M2546">
        <f>VLOOKUP(Table1[[#This Row],[subscription_type]],Plans!$A$1:$B$5,2,FALSE)</f>
        <v>9.99</v>
      </c>
      <c r="N2546">
        <f t="shared" si="39"/>
        <v>9.99</v>
      </c>
    </row>
    <row r="2547" spans="1:14" x14ac:dyDescent="0.35">
      <c r="A2547">
        <v>2546</v>
      </c>
      <c r="B2547" t="s">
        <v>16</v>
      </c>
      <c r="C2547">
        <v>54</v>
      </c>
      <c r="D2547" t="s">
        <v>28</v>
      </c>
      <c r="E2547" t="s">
        <v>24</v>
      </c>
      <c r="F2547">
        <v>273</v>
      </c>
      <c r="G2547">
        <v>6</v>
      </c>
      <c r="H2547">
        <v>0.18</v>
      </c>
      <c r="I2547" t="s">
        <v>23</v>
      </c>
      <c r="J2547">
        <v>0</v>
      </c>
      <c r="K2547">
        <v>1</v>
      </c>
      <c r="L2547">
        <v>0</v>
      </c>
      <c r="M2547">
        <f>VLOOKUP(Table1[[#This Row],[subscription_type]],Plans!$A$1:$B$5,2,FALSE)</f>
        <v>4.99</v>
      </c>
      <c r="N2547">
        <f t="shared" si="39"/>
        <v>0</v>
      </c>
    </row>
    <row r="2548" spans="1:14" x14ac:dyDescent="0.35">
      <c r="A2548">
        <v>2547</v>
      </c>
      <c r="B2548" t="s">
        <v>12</v>
      </c>
      <c r="C2548">
        <v>51</v>
      </c>
      <c r="D2548" t="s">
        <v>17</v>
      </c>
      <c r="E2548" t="s">
        <v>18</v>
      </c>
      <c r="F2548">
        <v>132</v>
      </c>
      <c r="G2548">
        <v>14</v>
      </c>
      <c r="H2548">
        <v>0.6</v>
      </c>
      <c r="I2548" t="s">
        <v>19</v>
      </c>
      <c r="J2548">
        <v>0</v>
      </c>
      <c r="K2548">
        <v>1</v>
      </c>
      <c r="L2548">
        <v>0</v>
      </c>
      <c r="M2548">
        <f>VLOOKUP(Table1[[#This Row],[subscription_type]],Plans!$A$1:$B$5,2,FALSE)</f>
        <v>14.99</v>
      </c>
      <c r="N2548">
        <f t="shared" si="39"/>
        <v>0</v>
      </c>
    </row>
    <row r="2549" spans="1:14" x14ac:dyDescent="0.35">
      <c r="A2549">
        <v>2548</v>
      </c>
      <c r="B2549" t="s">
        <v>16</v>
      </c>
      <c r="C2549">
        <v>17</v>
      </c>
      <c r="D2549" t="s">
        <v>13</v>
      </c>
      <c r="E2549" t="s">
        <v>18</v>
      </c>
      <c r="F2549">
        <v>190</v>
      </c>
      <c r="G2549">
        <v>11</v>
      </c>
      <c r="H2549">
        <v>0.19</v>
      </c>
      <c r="I2549" t="s">
        <v>19</v>
      </c>
      <c r="J2549">
        <v>0</v>
      </c>
      <c r="K2549">
        <v>1</v>
      </c>
      <c r="L2549">
        <v>0</v>
      </c>
      <c r="M2549">
        <f>VLOOKUP(Table1[[#This Row],[subscription_type]],Plans!$A$1:$B$5,2,FALSE)</f>
        <v>14.99</v>
      </c>
      <c r="N2549">
        <f t="shared" si="39"/>
        <v>0</v>
      </c>
    </row>
    <row r="2550" spans="1:14" x14ac:dyDescent="0.35">
      <c r="A2550">
        <v>2549</v>
      </c>
      <c r="B2550" t="s">
        <v>20</v>
      </c>
      <c r="C2550">
        <v>51</v>
      </c>
      <c r="D2550" t="s">
        <v>26</v>
      </c>
      <c r="E2550" t="s">
        <v>22</v>
      </c>
      <c r="F2550">
        <v>107</v>
      </c>
      <c r="G2550">
        <v>50</v>
      </c>
      <c r="H2550">
        <v>0.27</v>
      </c>
      <c r="I2550" t="s">
        <v>19</v>
      </c>
      <c r="J2550">
        <v>0</v>
      </c>
      <c r="K2550">
        <v>1</v>
      </c>
      <c r="L2550">
        <v>0</v>
      </c>
      <c r="M2550">
        <f>VLOOKUP(Table1[[#This Row],[subscription_type]],Plans!$A$1:$B$5,2,FALSE)</f>
        <v>9.99</v>
      </c>
      <c r="N2550">
        <f t="shared" si="39"/>
        <v>0</v>
      </c>
    </row>
    <row r="2551" spans="1:14" x14ac:dyDescent="0.35">
      <c r="A2551">
        <v>2550</v>
      </c>
      <c r="B2551" t="s">
        <v>20</v>
      </c>
      <c r="C2551">
        <v>35</v>
      </c>
      <c r="D2551" t="s">
        <v>21</v>
      </c>
      <c r="E2551" t="s">
        <v>18</v>
      </c>
      <c r="F2551">
        <v>296</v>
      </c>
      <c r="G2551">
        <v>30</v>
      </c>
      <c r="H2551">
        <v>0.28000000000000003</v>
      </c>
      <c r="I2551" t="s">
        <v>19</v>
      </c>
      <c r="J2551">
        <v>0</v>
      </c>
      <c r="K2551">
        <v>1</v>
      </c>
      <c r="L2551">
        <v>0</v>
      </c>
      <c r="M2551">
        <f>VLOOKUP(Table1[[#This Row],[subscription_type]],Plans!$A$1:$B$5,2,FALSE)</f>
        <v>14.99</v>
      </c>
      <c r="N2551">
        <f t="shared" si="39"/>
        <v>0</v>
      </c>
    </row>
    <row r="2552" spans="1:14" x14ac:dyDescent="0.35">
      <c r="A2552">
        <v>2551</v>
      </c>
      <c r="B2552" t="s">
        <v>16</v>
      </c>
      <c r="C2552">
        <v>18</v>
      </c>
      <c r="D2552" t="s">
        <v>26</v>
      </c>
      <c r="E2552" t="s">
        <v>24</v>
      </c>
      <c r="F2552">
        <v>102</v>
      </c>
      <c r="G2552">
        <v>85</v>
      </c>
      <c r="H2552">
        <v>0.51</v>
      </c>
      <c r="I2552" t="s">
        <v>19</v>
      </c>
      <c r="J2552">
        <v>0</v>
      </c>
      <c r="K2552">
        <v>1</v>
      </c>
      <c r="L2552">
        <v>0</v>
      </c>
      <c r="M2552">
        <f>VLOOKUP(Table1[[#This Row],[subscription_type]],Plans!$A$1:$B$5,2,FALSE)</f>
        <v>4.99</v>
      </c>
      <c r="N2552">
        <f t="shared" si="39"/>
        <v>0</v>
      </c>
    </row>
    <row r="2553" spans="1:14" x14ac:dyDescent="0.35">
      <c r="A2553">
        <v>2552</v>
      </c>
      <c r="B2553" t="s">
        <v>16</v>
      </c>
      <c r="C2553">
        <v>48</v>
      </c>
      <c r="D2553" t="s">
        <v>21</v>
      </c>
      <c r="E2553" t="s">
        <v>24</v>
      </c>
      <c r="F2553">
        <v>39</v>
      </c>
      <c r="G2553">
        <v>32</v>
      </c>
      <c r="H2553">
        <v>0.04</v>
      </c>
      <c r="I2553" t="s">
        <v>19</v>
      </c>
      <c r="J2553">
        <v>0</v>
      </c>
      <c r="K2553">
        <v>1</v>
      </c>
      <c r="L2553">
        <v>0</v>
      </c>
      <c r="M2553">
        <f>VLOOKUP(Table1[[#This Row],[subscription_type]],Plans!$A$1:$B$5,2,FALSE)</f>
        <v>4.99</v>
      </c>
      <c r="N2553">
        <f t="shared" si="39"/>
        <v>0</v>
      </c>
    </row>
    <row r="2554" spans="1:14" x14ac:dyDescent="0.35">
      <c r="A2554">
        <v>2553</v>
      </c>
      <c r="B2554" t="s">
        <v>20</v>
      </c>
      <c r="C2554">
        <v>17</v>
      </c>
      <c r="D2554" t="s">
        <v>27</v>
      </c>
      <c r="E2554" t="s">
        <v>24</v>
      </c>
      <c r="F2554">
        <v>77</v>
      </c>
      <c r="G2554">
        <v>25</v>
      </c>
      <c r="H2554">
        <v>0.05</v>
      </c>
      <c r="I2554" t="s">
        <v>23</v>
      </c>
      <c r="J2554">
        <v>0</v>
      </c>
      <c r="K2554">
        <v>1</v>
      </c>
      <c r="L2554">
        <v>0</v>
      </c>
      <c r="M2554">
        <f>VLOOKUP(Table1[[#This Row],[subscription_type]],Plans!$A$1:$B$5,2,FALSE)</f>
        <v>4.99</v>
      </c>
      <c r="N2554">
        <f t="shared" si="39"/>
        <v>0</v>
      </c>
    </row>
    <row r="2555" spans="1:14" x14ac:dyDescent="0.35">
      <c r="A2555">
        <v>2554</v>
      </c>
      <c r="B2555" t="s">
        <v>16</v>
      </c>
      <c r="C2555">
        <v>37</v>
      </c>
      <c r="D2555" t="s">
        <v>27</v>
      </c>
      <c r="E2555" t="s">
        <v>24</v>
      </c>
      <c r="F2555">
        <v>34</v>
      </c>
      <c r="G2555">
        <v>33</v>
      </c>
      <c r="H2555">
        <v>0.26</v>
      </c>
      <c r="I2555" t="s">
        <v>15</v>
      </c>
      <c r="J2555">
        <v>0</v>
      </c>
      <c r="K2555">
        <v>1</v>
      </c>
      <c r="L2555">
        <v>0</v>
      </c>
      <c r="M2555">
        <f>VLOOKUP(Table1[[#This Row],[subscription_type]],Plans!$A$1:$B$5,2,FALSE)</f>
        <v>4.99</v>
      </c>
      <c r="N2555">
        <f t="shared" si="39"/>
        <v>0</v>
      </c>
    </row>
    <row r="2556" spans="1:14" x14ac:dyDescent="0.35">
      <c r="A2556">
        <v>2555</v>
      </c>
      <c r="B2556" t="s">
        <v>20</v>
      </c>
      <c r="C2556">
        <v>29</v>
      </c>
      <c r="D2556" t="s">
        <v>27</v>
      </c>
      <c r="E2556" t="s">
        <v>14</v>
      </c>
      <c r="F2556">
        <v>110</v>
      </c>
      <c r="G2556">
        <v>46</v>
      </c>
      <c r="H2556">
        <v>0.17</v>
      </c>
      <c r="I2556" t="s">
        <v>23</v>
      </c>
      <c r="J2556">
        <v>22</v>
      </c>
      <c r="K2556">
        <v>0</v>
      </c>
      <c r="L2556">
        <v>0</v>
      </c>
      <c r="M2556">
        <f>VLOOKUP(Table1[[#This Row],[subscription_type]],Plans!$A$1:$B$5,2,FALSE)</f>
        <v>0</v>
      </c>
      <c r="N2556">
        <f t="shared" si="39"/>
        <v>0</v>
      </c>
    </row>
    <row r="2557" spans="1:14" x14ac:dyDescent="0.35">
      <c r="A2557">
        <v>2556</v>
      </c>
      <c r="B2557" t="s">
        <v>12</v>
      </c>
      <c r="C2557">
        <v>33</v>
      </c>
      <c r="D2557" t="s">
        <v>13</v>
      </c>
      <c r="E2557" t="s">
        <v>14</v>
      </c>
      <c r="F2557">
        <v>154</v>
      </c>
      <c r="G2557">
        <v>69</v>
      </c>
      <c r="H2557">
        <v>0.48</v>
      </c>
      <c r="I2557" t="s">
        <v>19</v>
      </c>
      <c r="J2557">
        <v>10</v>
      </c>
      <c r="K2557">
        <v>0</v>
      </c>
      <c r="L2557">
        <v>0</v>
      </c>
      <c r="M2557">
        <f>VLOOKUP(Table1[[#This Row],[subscription_type]],Plans!$A$1:$B$5,2,FALSE)</f>
        <v>0</v>
      </c>
      <c r="N2557">
        <f t="shared" si="39"/>
        <v>0</v>
      </c>
    </row>
    <row r="2558" spans="1:14" x14ac:dyDescent="0.35">
      <c r="A2558">
        <v>2557</v>
      </c>
      <c r="B2558" t="s">
        <v>16</v>
      </c>
      <c r="C2558">
        <v>22</v>
      </c>
      <c r="D2558" t="s">
        <v>26</v>
      </c>
      <c r="E2558" t="s">
        <v>24</v>
      </c>
      <c r="F2558">
        <v>207</v>
      </c>
      <c r="G2558">
        <v>61</v>
      </c>
      <c r="H2558">
        <v>0.37</v>
      </c>
      <c r="I2558" t="s">
        <v>19</v>
      </c>
      <c r="J2558">
        <v>0</v>
      </c>
      <c r="K2558">
        <v>1</v>
      </c>
      <c r="L2558">
        <v>1</v>
      </c>
      <c r="M2558">
        <f>VLOOKUP(Table1[[#This Row],[subscription_type]],Plans!$A$1:$B$5,2,FALSE)</f>
        <v>4.99</v>
      </c>
      <c r="N2558">
        <f t="shared" si="39"/>
        <v>4.99</v>
      </c>
    </row>
    <row r="2559" spans="1:14" x14ac:dyDescent="0.35">
      <c r="A2559">
        <v>2558</v>
      </c>
      <c r="B2559" t="s">
        <v>16</v>
      </c>
      <c r="C2559">
        <v>48</v>
      </c>
      <c r="D2559" t="s">
        <v>28</v>
      </c>
      <c r="E2559" t="s">
        <v>14</v>
      </c>
      <c r="F2559">
        <v>212</v>
      </c>
      <c r="G2559">
        <v>85</v>
      </c>
      <c r="H2559">
        <v>0.28000000000000003</v>
      </c>
      <c r="I2559" t="s">
        <v>19</v>
      </c>
      <c r="J2559">
        <v>19</v>
      </c>
      <c r="K2559">
        <v>0</v>
      </c>
      <c r="L2559">
        <v>0</v>
      </c>
      <c r="M2559">
        <f>VLOOKUP(Table1[[#This Row],[subscription_type]],Plans!$A$1:$B$5,2,FALSE)</f>
        <v>0</v>
      </c>
      <c r="N2559">
        <f t="shared" si="39"/>
        <v>0</v>
      </c>
    </row>
    <row r="2560" spans="1:14" x14ac:dyDescent="0.35">
      <c r="A2560">
        <v>2559</v>
      </c>
      <c r="B2560" t="s">
        <v>12</v>
      </c>
      <c r="C2560">
        <v>52</v>
      </c>
      <c r="D2560" t="s">
        <v>27</v>
      </c>
      <c r="E2560" t="s">
        <v>18</v>
      </c>
      <c r="F2560">
        <v>143</v>
      </c>
      <c r="G2560">
        <v>48</v>
      </c>
      <c r="H2560">
        <v>0.38</v>
      </c>
      <c r="I2560" t="s">
        <v>15</v>
      </c>
      <c r="J2560">
        <v>0</v>
      </c>
      <c r="K2560">
        <v>1</v>
      </c>
      <c r="L2560">
        <v>1</v>
      </c>
      <c r="M2560">
        <f>VLOOKUP(Table1[[#This Row],[subscription_type]],Plans!$A$1:$B$5,2,FALSE)</f>
        <v>14.99</v>
      </c>
      <c r="N2560">
        <f t="shared" si="39"/>
        <v>14.99</v>
      </c>
    </row>
    <row r="2561" spans="1:14" x14ac:dyDescent="0.35">
      <c r="A2561">
        <v>2560</v>
      </c>
      <c r="B2561" t="s">
        <v>20</v>
      </c>
      <c r="C2561">
        <v>57</v>
      </c>
      <c r="D2561" t="s">
        <v>21</v>
      </c>
      <c r="E2561" t="s">
        <v>18</v>
      </c>
      <c r="F2561">
        <v>207</v>
      </c>
      <c r="G2561">
        <v>22</v>
      </c>
      <c r="H2561">
        <v>0.15</v>
      </c>
      <c r="I2561" t="s">
        <v>15</v>
      </c>
      <c r="J2561">
        <v>0</v>
      </c>
      <c r="K2561">
        <v>1</v>
      </c>
      <c r="L2561">
        <v>0</v>
      </c>
      <c r="M2561">
        <f>VLOOKUP(Table1[[#This Row],[subscription_type]],Plans!$A$1:$B$5,2,FALSE)</f>
        <v>14.99</v>
      </c>
      <c r="N2561">
        <f t="shared" si="39"/>
        <v>0</v>
      </c>
    </row>
    <row r="2562" spans="1:14" x14ac:dyDescent="0.35">
      <c r="A2562">
        <v>2561</v>
      </c>
      <c r="B2562" t="s">
        <v>16</v>
      </c>
      <c r="C2562">
        <v>27</v>
      </c>
      <c r="D2562" t="s">
        <v>28</v>
      </c>
      <c r="E2562" t="s">
        <v>22</v>
      </c>
      <c r="F2562">
        <v>78</v>
      </c>
      <c r="G2562">
        <v>53</v>
      </c>
      <c r="H2562">
        <v>0.31</v>
      </c>
      <c r="I2562" t="s">
        <v>19</v>
      </c>
      <c r="J2562">
        <v>0</v>
      </c>
      <c r="K2562">
        <v>1</v>
      </c>
      <c r="L2562">
        <v>1</v>
      </c>
      <c r="M2562">
        <f>VLOOKUP(Table1[[#This Row],[subscription_type]],Plans!$A$1:$B$5,2,FALSE)</f>
        <v>9.99</v>
      </c>
      <c r="N2562">
        <f t="shared" ref="N2562:N2625" si="40">IF(L2562=1, M2562,0)</f>
        <v>9.99</v>
      </c>
    </row>
    <row r="2563" spans="1:14" x14ac:dyDescent="0.35">
      <c r="A2563">
        <v>2562</v>
      </c>
      <c r="B2563" t="s">
        <v>16</v>
      </c>
      <c r="C2563">
        <v>25</v>
      </c>
      <c r="D2563" t="s">
        <v>27</v>
      </c>
      <c r="E2563" t="s">
        <v>24</v>
      </c>
      <c r="F2563">
        <v>266</v>
      </c>
      <c r="G2563">
        <v>50</v>
      </c>
      <c r="H2563">
        <v>0.54</v>
      </c>
      <c r="I2563" t="s">
        <v>15</v>
      </c>
      <c r="J2563">
        <v>0</v>
      </c>
      <c r="K2563">
        <v>1</v>
      </c>
      <c r="L2563">
        <v>0</v>
      </c>
      <c r="M2563">
        <f>VLOOKUP(Table1[[#This Row],[subscription_type]],Plans!$A$1:$B$5,2,FALSE)</f>
        <v>4.99</v>
      </c>
      <c r="N2563">
        <f t="shared" si="40"/>
        <v>0</v>
      </c>
    </row>
    <row r="2564" spans="1:14" x14ac:dyDescent="0.35">
      <c r="A2564">
        <v>2563</v>
      </c>
      <c r="B2564" t="s">
        <v>12</v>
      </c>
      <c r="C2564">
        <v>27</v>
      </c>
      <c r="D2564" t="s">
        <v>25</v>
      </c>
      <c r="E2564" t="s">
        <v>22</v>
      </c>
      <c r="F2564">
        <v>175</v>
      </c>
      <c r="G2564">
        <v>14</v>
      </c>
      <c r="H2564">
        <v>0.56000000000000005</v>
      </c>
      <c r="I2564" t="s">
        <v>19</v>
      </c>
      <c r="J2564">
        <v>0</v>
      </c>
      <c r="K2564">
        <v>1</v>
      </c>
      <c r="L2564">
        <v>0</v>
      </c>
      <c r="M2564">
        <f>VLOOKUP(Table1[[#This Row],[subscription_type]],Plans!$A$1:$B$5,2,FALSE)</f>
        <v>9.99</v>
      </c>
      <c r="N2564">
        <f t="shared" si="40"/>
        <v>0</v>
      </c>
    </row>
    <row r="2565" spans="1:14" x14ac:dyDescent="0.35">
      <c r="A2565">
        <v>2564</v>
      </c>
      <c r="B2565" t="s">
        <v>16</v>
      </c>
      <c r="C2565">
        <v>41</v>
      </c>
      <c r="D2565" t="s">
        <v>27</v>
      </c>
      <c r="E2565" t="s">
        <v>14</v>
      </c>
      <c r="F2565">
        <v>21</v>
      </c>
      <c r="G2565">
        <v>57</v>
      </c>
      <c r="H2565">
        <v>0.22</v>
      </c>
      <c r="I2565" t="s">
        <v>15</v>
      </c>
      <c r="J2565">
        <v>30</v>
      </c>
      <c r="K2565">
        <v>0</v>
      </c>
      <c r="L2565">
        <v>0</v>
      </c>
      <c r="M2565">
        <f>VLOOKUP(Table1[[#This Row],[subscription_type]],Plans!$A$1:$B$5,2,FALSE)</f>
        <v>0</v>
      </c>
      <c r="N2565">
        <f t="shared" si="40"/>
        <v>0</v>
      </c>
    </row>
    <row r="2566" spans="1:14" x14ac:dyDescent="0.35">
      <c r="A2566">
        <v>2565</v>
      </c>
      <c r="B2566" t="s">
        <v>20</v>
      </c>
      <c r="C2566">
        <v>56</v>
      </c>
      <c r="D2566" t="s">
        <v>27</v>
      </c>
      <c r="E2566" t="s">
        <v>24</v>
      </c>
      <c r="F2566">
        <v>122</v>
      </c>
      <c r="G2566">
        <v>98</v>
      </c>
      <c r="H2566">
        <v>0.6</v>
      </c>
      <c r="I2566" t="s">
        <v>19</v>
      </c>
      <c r="J2566">
        <v>0</v>
      </c>
      <c r="K2566">
        <v>1</v>
      </c>
      <c r="L2566">
        <v>1</v>
      </c>
      <c r="M2566">
        <f>VLOOKUP(Table1[[#This Row],[subscription_type]],Plans!$A$1:$B$5,2,FALSE)</f>
        <v>4.99</v>
      </c>
      <c r="N2566">
        <f t="shared" si="40"/>
        <v>4.99</v>
      </c>
    </row>
    <row r="2567" spans="1:14" x14ac:dyDescent="0.35">
      <c r="A2567">
        <v>2566</v>
      </c>
      <c r="B2567" t="s">
        <v>12</v>
      </c>
      <c r="C2567">
        <v>43</v>
      </c>
      <c r="D2567" t="s">
        <v>28</v>
      </c>
      <c r="E2567" t="s">
        <v>22</v>
      </c>
      <c r="F2567">
        <v>265</v>
      </c>
      <c r="G2567">
        <v>91</v>
      </c>
      <c r="H2567">
        <v>0.46</v>
      </c>
      <c r="I2567" t="s">
        <v>15</v>
      </c>
      <c r="J2567">
        <v>0</v>
      </c>
      <c r="K2567">
        <v>1</v>
      </c>
      <c r="L2567">
        <v>0</v>
      </c>
      <c r="M2567">
        <f>VLOOKUP(Table1[[#This Row],[subscription_type]],Plans!$A$1:$B$5,2,FALSE)</f>
        <v>9.99</v>
      </c>
      <c r="N2567">
        <f t="shared" si="40"/>
        <v>0</v>
      </c>
    </row>
    <row r="2568" spans="1:14" x14ac:dyDescent="0.35">
      <c r="A2568">
        <v>2567</v>
      </c>
      <c r="B2568" t="s">
        <v>20</v>
      </c>
      <c r="C2568">
        <v>51</v>
      </c>
      <c r="D2568" t="s">
        <v>29</v>
      </c>
      <c r="E2568" t="s">
        <v>18</v>
      </c>
      <c r="F2568">
        <v>76</v>
      </c>
      <c r="G2568">
        <v>93</v>
      </c>
      <c r="H2568">
        <v>0.28000000000000003</v>
      </c>
      <c r="I2568" t="s">
        <v>23</v>
      </c>
      <c r="J2568">
        <v>0</v>
      </c>
      <c r="K2568">
        <v>1</v>
      </c>
      <c r="L2568">
        <v>0</v>
      </c>
      <c r="M2568">
        <f>VLOOKUP(Table1[[#This Row],[subscription_type]],Plans!$A$1:$B$5,2,FALSE)</f>
        <v>14.99</v>
      </c>
      <c r="N2568">
        <f t="shared" si="40"/>
        <v>0</v>
      </c>
    </row>
    <row r="2569" spans="1:14" x14ac:dyDescent="0.35">
      <c r="A2569">
        <v>2568</v>
      </c>
      <c r="B2569" t="s">
        <v>20</v>
      </c>
      <c r="C2569">
        <v>56</v>
      </c>
      <c r="D2569" t="s">
        <v>27</v>
      </c>
      <c r="E2569" t="s">
        <v>22</v>
      </c>
      <c r="F2569">
        <v>223</v>
      </c>
      <c r="G2569">
        <v>90</v>
      </c>
      <c r="H2569">
        <v>0.18</v>
      </c>
      <c r="I2569" t="s">
        <v>15</v>
      </c>
      <c r="J2569">
        <v>0</v>
      </c>
      <c r="K2569">
        <v>1</v>
      </c>
      <c r="L2569">
        <v>1</v>
      </c>
      <c r="M2569">
        <f>VLOOKUP(Table1[[#This Row],[subscription_type]],Plans!$A$1:$B$5,2,FALSE)</f>
        <v>9.99</v>
      </c>
      <c r="N2569">
        <f t="shared" si="40"/>
        <v>9.99</v>
      </c>
    </row>
    <row r="2570" spans="1:14" x14ac:dyDescent="0.35">
      <c r="A2570">
        <v>2569</v>
      </c>
      <c r="B2570" t="s">
        <v>20</v>
      </c>
      <c r="C2570">
        <v>38</v>
      </c>
      <c r="D2570" t="s">
        <v>25</v>
      </c>
      <c r="E2570" t="s">
        <v>14</v>
      </c>
      <c r="F2570">
        <v>83</v>
      </c>
      <c r="G2570">
        <v>60</v>
      </c>
      <c r="H2570">
        <v>0.31</v>
      </c>
      <c r="I2570" t="s">
        <v>19</v>
      </c>
      <c r="J2570">
        <v>8</v>
      </c>
      <c r="K2570">
        <v>0</v>
      </c>
      <c r="L2570">
        <v>0</v>
      </c>
      <c r="M2570">
        <f>VLOOKUP(Table1[[#This Row],[subscription_type]],Plans!$A$1:$B$5,2,FALSE)</f>
        <v>0</v>
      </c>
      <c r="N2570">
        <f t="shared" si="40"/>
        <v>0</v>
      </c>
    </row>
    <row r="2571" spans="1:14" x14ac:dyDescent="0.35">
      <c r="A2571">
        <v>2570</v>
      </c>
      <c r="B2571" t="s">
        <v>20</v>
      </c>
      <c r="C2571">
        <v>16</v>
      </c>
      <c r="D2571" t="s">
        <v>17</v>
      </c>
      <c r="E2571" t="s">
        <v>14</v>
      </c>
      <c r="F2571">
        <v>180</v>
      </c>
      <c r="G2571">
        <v>8</v>
      </c>
      <c r="H2571">
        <v>0.06</v>
      </c>
      <c r="I2571" t="s">
        <v>23</v>
      </c>
      <c r="J2571">
        <v>43</v>
      </c>
      <c r="K2571">
        <v>0</v>
      </c>
      <c r="L2571">
        <v>0</v>
      </c>
      <c r="M2571">
        <f>VLOOKUP(Table1[[#This Row],[subscription_type]],Plans!$A$1:$B$5,2,FALSE)</f>
        <v>0</v>
      </c>
      <c r="N2571">
        <f t="shared" si="40"/>
        <v>0</v>
      </c>
    </row>
    <row r="2572" spans="1:14" x14ac:dyDescent="0.35">
      <c r="A2572">
        <v>2571</v>
      </c>
      <c r="B2572" t="s">
        <v>12</v>
      </c>
      <c r="C2572">
        <v>54</v>
      </c>
      <c r="D2572" t="s">
        <v>28</v>
      </c>
      <c r="E2572" t="s">
        <v>18</v>
      </c>
      <c r="F2572">
        <v>23</v>
      </c>
      <c r="G2572">
        <v>41</v>
      </c>
      <c r="H2572">
        <v>0.1</v>
      </c>
      <c r="I2572" t="s">
        <v>23</v>
      </c>
      <c r="J2572">
        <v>0</v>
      </c>
      <c r="K2572">
        <v>1</v>
      </c>
      <c r="L2572">
        <v>0</v>
      </c>
      <c r="M2572">
        <f>VLOOKUP(Table1[[#This Row],[subscription_type]],Plans!$A$1:$B$5,2,FALSE)</f>
        <v>14.99</v>
      </c>
      <c r="N2572">
        <f t="shared" si="40"/>
        <v>0</v>
      </c>
    </row>
    <row r="2573" spans="1:14" x14ac:dyDescent="0.35">
      <c r="A2573">
        <v>2572</v>
      </c>
      <c r="B2573" t="s">
        <v>16</v>
      </c>
      <c r="C2573">
        <v>43</v>
      </c>
      <c r="D2573" t="s">
        <v>13</v>
      </c>
      <c r="E2573" t="s">
        <v>24</v>
      </c>
      <c r="F2573">
        <v>190</v>
      </c>
      <c r="G2573">
        <v>96</v>
      </c>
      <c r="H2573">
        <v>0.19</v>
      </c>
      <c r="I2573" t="s">
        <v>23</v>
      </c>
      <c r="J2573">
        <v>0</v>
      </c>
      <c r="K2573">
        <v>1</v>
      </c>
      <c r="L2573">
        <v>0</v>
      </c>
      <c r="M2573">
        <f>VLOOKUP(Table1[[#This Row],[subscription_type]],Plans!$A$1:$B$5,2,FALSE)</f>
        <v>4.99</v>
      </c>
      <c r="N2573">
        <f t="shared" si="40"/>
        <v>0</v>
      </c>
    </row>
    <row r="2574" spans="1:14" x14ac:dyDescent="0.35">
      <c r="A2574">
        <v>2573</v>
      </c>
      <c r="B2574" t="s">
        <v>12</v>
      </c>
      <c r="C2574">
        <v>29</v>
      </c>
      <c r="D2574" t="s">
        <v>21</v>
      </c>
      <c r="E2574" t="s">
        <v>18</v>
      </c>
      <c r="F2574">
        <v>55</v>
      </c>
      <c r="G2574">
        <v>47</v>
      </c>
      <c r="H2574">
        <v>0.39</v>
      </c>
      <c r="I2574" t="s">
        <v>19</v>
      </c>
      <c r="J2574">
        <v>0</v>
      </c>
      <c r="K2574">
        <v>1</v>
      </c>
      <c r="L2574">
        <v>1</v>
      </c>
      <c r="M2574">
        <f>VLOOKUP(Table1[[#This Row],[subscription_type]],Plans!$A$1:$B$5,2,FALSE)</f>
        <v>14.99</v>
      </c>
      <c r="N2574">
        <f t="shared" si="40"/>
        <v>14.99</v>
      </c>
    </row>
    <row r="2575" spans="1:14" x14ac:dyDescent="0.35">
      <c r="A2575">
        <v>2574</v>
      </c>
      <c r="B2575" t="s">
        <v>20</v>
      </c>
      <c r="C2575">
        <v>30</v>
      </c>
      <c r="D2575" t="s">
        <v>26</v>
      </c>
      <c r="E2575" t="s">
        <v>18</v>
      </c>
      <c r="F2575">
        <v>163</v>
      </c>
      <c r="G2575">
        <v>4</v>
      </c>
      <c r="H2575">
        <v>0.51</v>
      </c>
      <c r="I2575" t="s">
        <v>15</v>
      </c>
      <c r="J2575">
        <v>0</v>
      </c>
      <c r="K2575">
        <v>1</v>
      </c>
      <c r="L2575">
        <v>1</v>
      </c>
      <c r="M2575">
        <f>VLOOKUP(Table1[[#This Row],[subscription_type]],Plans!$A$1:$B$5,2,FALSE)</f>
        <v>14.99</v>
      </c>
      <c r="N2575">
        <f t="shared" si="40"/>
        <v>14.99</v>
      </c>
    </row>
    <row r="2576" spans="1:14" x14ac:dyDescent="0.35">
      <c r="A2576">
        <v>2575</v>
      </c>
      <c r="B2576" t="s">
        <v>16</v>
      </c>
      <c r="C2576">
        <v>17</v>
      </c>
      <c r="D2576" t="s">
        <v>26</v>
      </c>
      <c r="E2576" t="s">
        <v>22</v>
      </c>
      <c r="F2576">
        <v>108</v>
      </c>
      <c r="G2576">
        <v>82</v>
      </c>
      <c r="H2576">
        <v>0.23</v>
      </c>
      <c r="I2576" t="s">
        <v>15</v>
      </c>
      <c r="J2576">
        <v>0</v>
      </c>
      <c r="K2576">
        <v>1</v>
      </c>
      <c r="L2576">
        <v>0</v>
      </c>
      <c r="M2576">
        <f>VLOOKUP(Table1[[#This Row],[subscription_type]],Plans!$A$1:$B$5,2,FALSE)</f>
        <v>9.99</v>
      </c>
      <c r="N2576">
        <f t="shared" si="40"/>
        <v>0</v>
      </c>
    </row>
    <row r="2577" spans="1:14" x14ac:dyDescent="0.35">
      <c r="A2577">
        <v>2576</v>
      </c>
      <c r="B2577" t="s">
        <v>16</v>
      </c>
      <c r="C2577">
        <v>50</v>
      </c>
      <c r="D2577" t="s">
        <v>17</v>
      </c>
      <c r="E2577" t="s">
        <v>24</v>
      </c>
      <c r="F2577">
        <v>184</v>
      </c>
      <c r="G2577">
        <v>4</v>
      </c>
      <c r="H2577">
        <v>0.56999999999999995</v>
      </c>
      <c r="I2577" t="s">
        <v>23</v>
      </c>
      <c r="J2577">
        <v>0</v>
      </c>
      <c r="K2577">
        <v>1</v>
      </c>
      <c r="L2577">
        <v>0</v>
      </c>
      <c r="M2577">
        <f>VLOOKUP(Table1[[#This Row],[subscription_type]],Plans!$A$1:$B$5,2,FALSE)</f>
        <v>4.99</v>
      </c>
      <c r="N2577">
        <f t="shared" si="40"/>
        <v>0</v>
      </c>
    </row>
    <row r="2578" spans="1:14" x14ac:dyDescent="0.35">
      <c r="A2578">
        <v>2577</v>
      </c>
      <c r="B2578" t="s">
        <v>16</v>
      </c>
      <c r="C2578">
        <v>43</v>
      </c>
      <c r="D2578" t="s">
        <v>21</v>
      </c>
      <c r="E2578" t="s">
        <v>18</v>
      </c>
      <c r="F2578">
        <v>123</v>
      </c>
      <c r="G2578">
        <v>50</v>
      </c>
      <c r="H2578">
        <v>0.03</v>
      </c>
      <c r="I2578" t="s">
        <v>15</v>
      </c>
      <c r="J2578">
        <v>0</v>
      </c>
      <c r="K2578">
        <v>1</v>
      </c>
      <c r="L2578">
        <v>0</v>
      </c>
      <c r="M2578">
        <f>VLOOKUP(Table1[[#This Row],[subscription_type]],Plans!$A$1:$B$5,2,FALSE)</f>
        <v>14.99</v>
      </c>
      <c r="N2578">
        <f t="shared" si="40"/>
        <v>0</v>
      </c>
    </row>
    <row r="2579" spans="1:14" x14ac:dyDescent="0.35">
      <c r="A2579">
        <v>2578</v>
      </c>
      <c r="B2579" t="s">
        <v>16</v>
      </c>
      <c r="C2579">
        <v>19</v>
      </c>
      <c r="D2579" t="s">
        <v>29</v>
      </c>
      <c r="E2579" t="s">
        <v>14</v>
      </c>
      <c r="F2579">
        <v>285</v>
      </c>
      <c r="G2579">
        <v>92</v>
      </c>
      <c r="H2579">
        <v>0.48</v>
      </c>
      <c r="I2579" t="s">
        <v>15</v>
      </c>
      <c r="J2579">
        <v>17</v>
      </c>
      <c r="K2579">
        <v>0</v>
      </c>
      <c r="L2579">
        <v>0</v>
      </c>
      <c r="M2579">
        <f>VLOOKUP(Table1[[#This Row],[subscription_type]],Plans!$A$1:$B$5,2,FALSE)</f>
        <v>0</v>
      </c>
      <c r="N2579">
        <f t="shared" si="40"/>
        <v>0</v>
      </c>
    </row>
    <row r="2580" spans="1:14" x14ac:dyDescent="0.35">
      <c r="A2580">
        <v>2579</v>
      </c>
      <c r="B2580" t="s">
        <v>12</v>
      </c>
      <c r="C2580">
        <v>34</v>
      </c>
      <c r="D2580" t="s">
        <v>26</v>
      </c>
      <c r="E2580" t="s">
        <v>14</v>
      </c>
      <c r="F2580">
        <v>197</v>
      </c>
      <c r="G2580">
        <v>81</v>
      </c>
      <c r="H2580">
        <v>0.01</v>
      </c>
      <c r="I2580" t="s">
        <v>15</v>
      </c>
      <c r="J2580">
        <v>17</v>
      </c>
      <c r="K2580">
        <v>0</v>
      </c>
      <c r="L2580">
        <v>0</v>
      </c>
      <c r="M2580">
        <f>VLOOKUP(Table1[[#This Row],[subscription_type]],Plans!$A$1:$B$5,2,FALSE)</f>
        <v>0</v>
      </c>
      <c r="N2580">
        <f t="shared" si="40"/>
        <v>0</v>
      </c>
    </row>
    <row r="2581" spans="1:14" x14ac:dyDescent="0.35">
      <c r="A2581">
        <v>2580</v>
      </c>
      <c r="B2581" t="s">
        <v>20</v>
      </c>
      <c r="C2581">
        <v>53</v>
      </c>
      <c r="D2581" t="s">
        <v>28</v>
      </c>
      <c r="E2581" t="s">
        <v>22</v>
      </c>
      <c r="F2581">
        <v>47</v>
      </c>
      <c r="G2581">
        <v>96</v>
      </c>
      <c r="H2581">
        <v>0.54</v>
      </c>
      <c r="I2581" t="s">
        <v>19</v>
      </c>
      <c r="J2581">
        <v>0</v>
      </c>
      <c r="K2581">
        <v>1</v>
      </c>
      <c r="L2581">
        <v>0</v>
      </c>
      <c r="M2581">
        <f>VLOOKUP(Table1[[#This Row],[subscription_type]],Plans!$A$1:$B$5,2,FALSE)</f>
        <v>9.99</v>
      </c>
      <c r="N2581">
        <f t="shared" si="40"/>
        <v>0</v>
      </c>
    </row>
    <row r="2582" spans="1:14" x14ac:dyDescent="0.35">
      <c r="A2582">
        <v>2581</v>
      </c>
      <c r="B2582" t="s">
        <v>16</v>
      </c>
      <c r="C2582">
        <v>31</v>
      </c>
      <c r="D2582" t="s">
        <v>21</v>
      </c>
      <c r="E2582" t="s">
        <v>24</v>
      </c>
      <c r="F2582">
        <v>90</v>
      </c>
      <c r="G2582">
        <v>65</v>
      </c>
      <c r="H2582">
        <v>0.25</v>
      </c>
      <c r="I2582" t="s">
        <v>23</v>
      </c>
      <c r="J2582">
        <v>0</v>
      </c>
      <c r="K2582">
        <v>1</v>
      </c>
      <c r="L2582">
        <v>1</v>
      </c>
      <c r="M2582">
        <f>VLOOKUP(Table1[[#This Row],[subscription_type]],Plans!$A$1:$B$5,2,FALSE)</f>
        <v>4.99</v>
      </c>
      <c r="N2582">
        <f t="shared" si="40"/>
        <v>4.99</v>
      </c>
    </row>
    <row r="2583" spans="1:14" x14ac:dyDescent="0.35">
      <c r="A2583">
        <v>2582</v>
      </c>
      <c r="B2583" t="s">
        <v>16</v>
      </c>
      <c r="C2583">
        <v>25</v>
      </c>
      <c r="D2583" t="s">
        <v>29</v>
      </c>
      <c r="E2583" t="s">
        <v>18</v>
      </c>
      <c r="F2583">
        <v>11</v>
      </c>
      <c r="G2583">
        <v>35</v>
      </c>
      <c r="H2583">
        <v>0.23</v>
      </c>
      <c r="I2583" t="s">
        <v>19</v>
      </c>
      <c r="J2583">
        <v>0</v>
      </c>
      <c r="K2583">
        <v>1</v>
      </c>
      <c r="L2583">
        <v>1</v>
      </c>
      <c r="M2583">
        <f>VLOOKUP(Table1[[#This Row],[subscription_type]],Plans!$A$1:$B$5,2,FALSE)</f>
        <v>14.99</v>
      </c>
      <c r="N2583">
        <f t="shared" si="40"/>
        <v>14.99</v>
      </c>
    </row>
    <row r="2584" spans="1:14" x14ac:dyDescent="0.35">
      <c r="A2584">
        <v>2583</v>
      </c>
      <c r="B2584" t="s">
        <v>16</v>
      </c>
      <c r="C2584">
        <v>23</v>
      </c>
      <c r="D2584" t="s">
        <v>25</v>
      </c>
      <c r="E2584" t="s">
        <v>22</v>
      </c>
      <c r="F2584">
        <v>234</v>
      </c>
      <c r="G2584">
        <v>10</v>
      </c>
      <c r="H2584">
        <v>0.38</v>
      </c>
      <c r="I2584" t="s">
        <v>15</v>
      </c>
      <c r="J2584">
        <v>0</v>
      </c>
      <c r="K2584">
        <v>1</v>
      </c>
      <c r="L2584">
        <v>0</v>
      </c>
      <c r="M2584">
        <f>VLOOKUP(Table1[[#This Row],[subscription_type]],Plans!$A$1:$B$5,2,FALSE)</f>
        <v>9.99</v>
      </c>
      <c r="N2584">
        <f t="shared" si="40"/>
        <v>0</v>
      </c>
    </row>
    <row r="2585" spans="1:14" x14ac:dyDescent="0.35">
      <c r="A2585">
        <v>2584</v>
      </c>
      <c r="B2585" t="s">
        <v>20</v>
      </c>
      <c r="C2585">
        <v>41</v>
      </c>
      <c r="D2585" t="s">
        <v>25</v>
      </c>
      <c r="E2585" t="s">
        <v>18</v>
      </c>
      <c r="F2585">
        <v>197</v>
      </c>
      <c r="G2585">
        <v>9</v>
      </c>
      <c r="H2585">
        <v>0.57999999999999996</v>
      </c>
      <c r="I2585" t="s">
        <v>19</v>
      </c>
      <c r="J2585">
        <v>0</v>
      </c>
      <c r="K2585">
        <v>1</v>
      </c>
      <c r="L2585">
        <v>0</v>
      </c>
      <c r="M2585">
        <f>VLOOKUP(Table1[[#This Row],[subscription_type]],Plans!$A$1:$B$5,2,FALSE)</f>
        <v>14.99</v>
      </c>
      <c r="N2585">
        <f t="shared" si="40"/>
        <v>0</v>
      </c>
    </row>
    <row r="2586" spans="1:14" x14ac:dyDescent="0.35">
      <c r="A2586">
        <v>2585</v>
      </c>
      <c r="B2586" t="s">
        <v>20</v>
      </c>
      <c r="C2586">
        <v>37</v>
      </c>
      <c r="D2586" t="s">
        <v>27</v>
      </c>
      <c r="E2586" t="s">
        <v>24</v>
      </c>
      <c r="F2586">
        <v>46</v>
      </c>
      <c r="G2586">
        <v>85</v>
      </c>
      <c r="H2586">
        <v>0.01</v>
      </c>
      <c r="I2586" t="s">
        <v>15</v>
      </c>
      <c r="J2586">
        <v>0</v>
      </c>
      <c r="K2586">
        <v>1</v>
      </c>
      <c r="L2586">
        <v>0</v>
      </c>
      <c r="M2586">
        <f>VLOOKUP(Table1[[#This Row],[subscription_type]],Plans!$A$1:$B$5,2,FALSE)</f>
        <v>4.99</v>
      </c>
      <c r="N2586">
        <f t="shared" si="40"/>
        <v>0</v>
      </c>
    </row>
    <row r="2587" spans="1:14" x14ac:dyDescent="0.35">
      <c r="A2587">
        <v>2586</v>
      </c>
      <c r="B2587" t="s">
        <v>16</v>
      </c>
      <c r="C2587">
        <v>34</v>
      </c>
      <c r="D2587" t="s">
        <v>28</v>
      </c>
      <c r="E2587" t="s">
        <v>24</v>
      </c>
      <c r="F2587">
        <v>181</v>
      </c>
      <c r="G2587">
        <v>72</v>
      </c>
      <c r="H2587">
        <v>0.41</v>
      </c>
      <c r="I2587" t="s">
        <v>15</v>
      </c>
      <c r="J2587">
        <v>0</v>
      </c>
      <c r="K2587">
        <v>1</v>
      </c>
      <c r="L2587">
        <v>1</v>
      </c>
      <c r="M2587">
        <f>VLOOKUP(Table1[[#This Row],[subscription_type]],Plans!$A$1:$B$5,2,FALSE)</f>
        <v>4.99</v>
      </c>
      <c r="N2587">
        <f t="shared" si="40"/>
        <v>4.99</v>
      </c>
    </row>
    <row r="2588" spans="1:14" x14ac:dyDescent="0.35">
      <c r="A2588">
        <v>2587</v>
      </c>
      <c r="B2588" t="s">
        <v>12</v>
      </c>
      <c r="C2588">
        <v>42</v>
      </c>
      <c r="D2588" t="s">
        <v>25</v>
      </c>
      <c r="E2588" t="s">
        <v>22</v>
      </c>
      <c r="F2588">
        <v>114</v>
      </c>
      <c r="G2588">
        <v>64</v>
      </c>
      <c r="H2588">
        <v>0.1</v>
      </c>
      <c r="I2588" t="s">
        <v>23</v>
      </c>
      <c r="J2588">
        <v>0</v>
      </c>
      <c r="K2588">
        <v>1</v>
      </c>
      <c r="L2588">
        <v>1</v>
      </c>
      <c r="M2588">
        <f>VLOOKUP(Table1[[#This Row],[subscription_type]],Plans!$A$1:$B$5,2,FALSE)</f>
        <v>9.99</v>
      </c>
      <c r="N2588">
        <f t="shared" si="40"/>
        <v>9.99</v>
      </c>
    </row>
    <row r="2589" spans="1:14" x14ac:dyDescent="0.35">
      <c r="A2589">
        <v>2588</v>
      </c>
      <c r="B2589" t="s">
        <v>16</v>
      </c>
      <c r="C2589">
        <v>54</v>
      </c>
      <c r="D2589" t="s">
        <v>17</v>
      </c>
      <c r="E2589" t="s">
        <v>22</v>
      </c>
      <c r="F2589">
        <v>55</v>
      </c>
      <c r="G2589">
        <v>68</v>
      </c>
      <c r="H2589">
        <v>0.28000000000000003</v>
      </c>
      <c r="I2589" t="s">
        <v>19</v>
      </c>
      <c r="J2589">
        <v>0</v>
      </c>
      <c r="K2589">
        <v>1</v>
      </c>
      <c r="L2589">
        <v>1</v>
      </c>
      <c r="M2589">
        <f>VLOOKUP(Table1[[#This Row],[subscription_type]],Plans!$A$1:$B$5,2,FALSE)</f>
        <v>9.99</v>
      </c>
      <c r="N2589">
        <f t="shared" si="40"/>
        <v>9.99</v>
      </c>
    </row>
    <row r="2590" spans="1:14" x14ac:dyDescent="0.35">
      <c r="A2590">
        <v>2589</v>
      </c>
      <c r="B2590" t="s">
        <v>12</v>
      </c>
      <c r="C2590">
        <v>37</v>
      </c>
      <c r="D2590" t="s">
        <v>29</v>
      </c>
      <c r="E2590" t="s">
        <v>22</v>
      </c>
      <c r="F2590">
        <v>120</v>
      </c>
      <c r="G2590">
        <v>84</v>
      </c>
      <c r="H2590">
        <v>0.55000000000000004</v>
      </c>
      <c r="I2590" t="s">
        <v>23</v>
      </c>
      <c r="J2590">
        <v>0</v>
      </c>
      <c r="K2590">
        <v>1</v>
      </c>
      <c r="L2590">
        <v>1</v>
      </c>
      <c r="M2590">
        <f>VLOOKUP(Table1[[#This Row],[subscription_type]],Plans!$A$1:$B$5,2,FALSE)</f>
        <v>9.99</v>
      </c>
      <c r="N2590">
        <f t="shared" si="40"/>
        <v>9.99</v>
      </c>
    </row>
    <row r="2591" spans="1:14" x14ac:dyDescent="0.35">
      <c r="A2591">
        <v>2590</v>
      </c>
      <c r="B2591" t="s">
        <v>16</v>
      </c>
      <c r="C2591">
        <v>38</v>
      </c>
      <c r="D2591" t="s">
        <v>27</v>
      </c>
      <c r="E2591" t="s">
        <v>14</v>
      </c>
      <c r="F2591">
        <v>149</v>
      </c>
      <c r="G2591">
        <v>21</v>
      </c>
      <c r="H2591">
        <v>0.4</v>
      </c>
      <c r="I2591" t="s">
        <v>23</v>
      </c>
      <c r="J2591">
        <v>33</v>
      </c>
      <c r="K2591">
        <v>0</v>
      </c>
      <c r="L2591">
        <v>0</v>
      </c>
      <c r="M2591">
        <f>VLOOKUP(Table1[[#This Row],[subscription_type]],Plans!$A$1:$B$5,2,FALSE)</f>
        <v>0</v>
      </c>
      <c r="N2591">
        <f t="shared" si="40"/>
        <v>0</v>
      </c>
    </row>
    <row r="2592" spans="1:14" x14ac:dyDescent="0.35">
      <c r="A2592">
        <v>2591</v>
      </c>
      <c r="B2592" t="s">
        <v>12</v>
      </c>
      <c r="C2592">
        <v>40</v>
      </c>
      <c r="D2592" t="s">
        <v>13</v>
      </c>
      <c r="E2592" t="s">
        <v>14</v>
      </c>
      <c r="F2592">
        <v>151</v>
      </c>
      <c r="G2592">
        <v>85</v>
      </c>
      <c r="H2592">
        <v>0.56999999999999995</v>
      </c>
      <c r="I2592" t="s">
        <v>23</v>
      </c>
      <c r="J2592">
        <v>20</v>
      </c>
      <c r="K2592">
        <v>0</v>
      </c>
      <c r="L2592">
        <v>0</v>
      </c>
      <c r="M2592">
        <f>VLOOKUP(Table1[[#This Row],[subscription_type]],Plans!$A$1:$B$5,2,FALSE)</f>
        <v>0</v>
      </c>
      <c r="N2592">
        <f t="shared" si="40"/>
        <v>0</v>
      </c>
    </row>
    <row r="2593" spans="1:14" x14ac:dyDescent="0.35">
      <c r="A2593">
        <v>2592</v>
      </c>
      <c r="B2593" t="s">
        <v>12</v>
      </c>
      <c r="C2593">
        <v>42</v>
      </c>
      <c r="D2593" t="s">
        <v>21</v>
      </c>
      <c r="E2593" t="s">
        <v>22</v>
      </c>
      <c r="F2593">
        <v>257</v>
      </c>
      <c r="G2593">
        <v>96</v>
      </c>
      <c r="H2593">
        <v>0.57999999999999996</v>
      </c>
      <c r="I2593" t="s">
        <v>15</v>
      </c>
      <c r="J2593">
        <v>0</v>
      </c>
      <c r="K2593">
        <v>1</v>
      </c>
      <c r="L2593">
        <v>0</v>
      </c>
      <c r="M2593">
        <f>VLOOKUP(Table1[[#This Row],[subscription_type]],Plans!$A$1:$B$5,2,FALSE)</f>
        <v>9.99</v>
      </c>
      <c r="N2593">
        <f t="shared" si="40"/>
        <v>0</v>
      </c>
    </row>
    <row r="2594" spans="1:14" x14ac:dyDescent="0.35">
      <c r="A2594">
        <v>2593</v>
      </c>
      <c r="B2594" t="s">
        <v>12</v>
      </c>
      <c r="C2594">
        <v>46</v>
      </c>
      <c r="D2594" t="s">
        <v>25</v>
      </c>
      <c r="E2594" t="s">
        <v>24</v>
      </c>
      <c r="F2594">
        <v>257</v>
      </c>
      <c r="G2594">
        <v>8</v>
      </c>
      <c r="H2594">
        <v>0.09</v>
      </c>
      <c r="I2594" t="s">
        <v>19</v>
      </c>
      <c r="J2594">
        <v>0</v>
      </c>
      <c r="K2594">
        <v>1</v>
      </c>
      <c r="L2594">
        <v>0</v>
      </c>
      <c r="M2594">
        <f>VLOOKUP(Table1[[#This Row],[subscription_type]],Plans!$A$1:$B$5,2,FALSE)</f>
        <v>4.99</v>
      </c>
      <c r="N2594">
        <f t="shared" si="40"/>
        <v>0</v>
      </c>
    </row>
    <row r="2595" spans="1:14" x14ac:dyDescent="0.35">
      <c r="A2595">
        <v>2594</v>
      </c>
      <c r="B2595" t="s">
        <v>16</v>
      </c>
      <c r="C2595">
        <v>22</v>
      </c>
      <c r="D2595" t="s">
        <v>25</v>
      </c>
      <c r="E2595" t="s">
        <v>22</v>
      </c>
      <c r="F2595">
        <v>33</v>
      </c>
      <c r="G2595">
        <v>98</v>
      </c>
      <c r="H2595">
        <v>0.51</v>
      </c>
      <c r="I2595" t="s">
        <v>19</v>
      </c>
      <c r="J2595">
        <v>0</v>
      </c>
      <c r="K2595">
        <v>1</v>
      </c>
      <c r="L2595">
        <v>1</v>
      </c>
      <c r="M2595">
        <f>VLOOKUP(Table1[[#This Row],[subscription_type]],Plans!$A$1:$B$5,2,FALSE)</f>
        <v>9.99</v>
      </c>
      <c r="N2595">
        <f t="shared" si="40"/>
        <v>9.99</v>
      </c>
    </row>
    <row r="2596" spans="1:14" x14ac:dyDescent="0.35">
      <c r="A2596">
        <v>2595</v>
      </c>
      <c r="B2596" t="s">
        <v>16</v>
      </c>
      <c r="C2596">
        <v>52</v>
      </c>
      <c r="D2596" t="s">
        <v>29</v>
      </c>
      <c r="E2596" t="s">
        <v>24</v>
      </c>
      <c r="F2596">
        <v>296</v>
      </c>
      <c r="G2596">
        <v>32</v>
      </c>
      <c r="H2596">
        <v>0.24</v>
      </c>
      <c r="I2596" t="s">
        <v>19</v>
      </c>
      <c r="J2596">
        <v>0</v>
      </c>
      <c r="K2596">
        <v>1</v>
      </c>
      <c r="L2596">
        <v>0</v>
      </c>
      <c r="M2596">
        <f>VLOOKUP(Table1[[#This Row],[subscription_type]],Plans!$A$1:$B$5,2,FALSE)</f>
        <v>4.99</v>
      </c>
      <c r="N2596">
        <f t="shared" si="40"/>
        <v>0</v>
      </c>
    </row>
    <row r="2597" spans="1:14" x14ac:dyDescent="0.35">
      <c r="A2597">
        <v>2596</v>
      </c>
      <c r="B2597" t="s">
        <v>20</v>
      </c>
      <c r="C2597">
        <v>53</v>
      </c>
      <c r="D2597" t="s">
        <v>17</v>
      </c>
      <c r="E2597" t="s">
        <v>24</v>
      </c>
      <c r="F2597">
        <v>146</v>
      </c>
      <c r="G2597">
        <v>54</v>
      </c>
      <c r="H2597">
        <v>0.12</v>
      </c>
      <c r="I2597" t="s">
        <v>19</v>
      </c>
      <c r="J2597">
        <v>0</v>
      </c>
      <c r="K2597">
        <v>1</v>
      </c>
      <c r="L2597">
        <v>0</v>
      </c>
      <c r="M2597">
        <f>VLOOKUP(Table1[[#This Row],[subscription_type]],Plans!$A$1:$B$5,2,FALSE)</f>
        <v>4.99</v>
      </c>
      <c r="N2597">
        <f t="shared" si="40"/>
        <v>0</v>
      </c>
    </row>
    <row r="2598" spans="1:14" x14ac:dyDescent="0.35">
      <c r="A2598">
        <v>2597</v>
      </c>
      <c r="B2598" t="s">
        <v>20</v>
      </c>
      <c r="C2598">
        <v>16</v>
      </c>
      <c r="D2598" t="s">
        <v>28</v>
      </c>
      <c r="E2598" t="s">
        <v>24</v>
      </c>
      <c r="F2598">
        <v>27</v>
      </c>
      <c r="G2598">
        <v>99</v>
      </c>
      <c r="H2598">
        <v>0.15</v>
      </c>
      <c r="I2598" t="s">
        <v>23</v>
      </c>
      <c r="J2598">
        <v>0</v>
      </c>
      <c r="K2598">
        <v>1</v>
      </c>
      <c r="L2598">
        <v>0</v>
      </c>
      <c r="M2598">
        <f>VLOOKUP(Table1[[#This Row],[subscription_type]],Plans!$A$1:$B$5,2,FALSE)</f>
        <v>4.99</v>
      </c>
      <c r="N2598">
        <f t="shared" si="40"/>
        <v>0</v>
      </c>
    </row>
    <row r="2599" spans="1:14" x14ac:dyDescent="0.35">
      <c r="A2599">
        <v>2598</v>
      </c>
      <c r="B2599" t="s">
        <v>12</v>
      </c>
      <c r="C2599">
        <v>33</v>
      </c>
      <c r="D2599" t="s">
        <v>21</v>
      </c>
      <c r="E2599" t="s">
        <v>22</v>
      </c>
      <c r="F2599">
        <v>75</v>
      </c>
      <c r="G2599">
        <v>71</v>
      </c>
      <c r="H2599">
        <v>0.51</v>
      </c>
      <c r="I2599" t="s">
        <v>15</v>
      </c>
      <c r="J2599">
        <v>0</v>
      </c>
      <c r="K2599">
        <v>1</v>
      </c>
      <c r="L2599">
        <v>0</v>
      </c>
      <c r="M2599">
        <f>VLOOKUP(Table1[[#This Row],[subscription_type]],Plans!$A$1:$B$5,2,FALSE)</f>
        <v>9.99</v>
      </c>
      <c r="N2599">
        <f t="shared" si="40"/>
        <v>0</v>
      </c>
    </row>
    <row r="2600" spans="1:14" x14ac:dyDescent="0.35">
      <c r="A2600">
        <v>2599</v>
      </c>
      <c r="B2600" t="s">
        <v>20</v>
      </c>
      <c r="C2600">
        <v>19</v>
      </c>
      <c r="D2600" t="s">
        <v>29</v>
      </c>
      <c r="E2600" t="s">
        <v>22</v>
      </c>
      <c r="F2600">
        <v>171</v>
      </c>
      <c r="G2600">
        <v>50</v>
      </c>
      <c r="H2600">
        <v>0.41</v>
      </c>
      <c r="I2600" t="s">
        <v>15</v>
      </c>
      <c r="J2600">
        <v>0</v>
      </c>
      <c r="K2600">
        <v>1</v>
      </c>
      <c r="L2600">
        <v>0</v>
      </c>
      <c r="M2600">
        <f>VLOOKUP(Table1[[#This Row],[subscription_type]],Plans!$A$1:$B$5,2,FALSE)</f>
        <v>9.99</v>
      </c>
      <c r="N2600">
        <f t="shared" si="40"/>
        <v>0</v>
      </c>
    </row>
    <row r="2601" spans="1:14" x14ac:dyDescent="0.35">
      <c r="A2601">
        <v>2600</v>
      </c>
      <c r="B2601" t="s">
        <v>12</v>
      </c>
      <c r="C2601">
        <v>30</v>
      </c>
      <c r="D2601" t="s">
        <v>28</v>
      </c>
      <c r="E2601" t="s">
        <v>18</v>
      </c>
      <c r="F2601">
        <v>23</v>
      </c>
      <c r="G2601">
        <v>76</v>
      </c>
      <c r="H2601">
        <v>0.5</v>
      </c>
      <c r="I2601" t="s">
        <v>23</v>
      </c>
      <c r="J2601">
        <v>0</v>
      </c>
      <c r="K2601">
        <v>1</v>
      </c>
      <c r="L2601">
        <v>0</v>
      </c>
      <c r="M2601">
        <f>VLOOKUP(Table1[[#This Row],[subscription_type]],Plans!$A$1:$B$5,2,FALSE)</f>
        <v>14.99</v>
      </c>
      <c r="N2601">
        <f t="shared" si="40"/>
        <v>0</v>
      </c>
    </row>
    <row r="2602" spans="1:14" x14ac:dyDescent="0.35">
      <c r="A2602">
        <v>2601</v>
      </c>
      <c r="B2602" t="s">
        <v>16</v>
      </c>
      <c r="C2602">
        <v>48</v>
      </c>
      <c r="D2602" t="s">
        <v>27</v>
      </c>
      <c r="E2602" t="s">
        <v>22</v>
      </c>
      <c r="F2602">
        <v>230</v>
      </c>
      <c r="G2602">
        <v>61</v>
      </c>
      <c r="H2602">
        <v>0.28999999999999998</v>
      </c>
      <c r="I2602" t="s">
        <v>15</v>
      </c>
      <c r="J2602">
        <v>0</v>
      </c>
      <c r="K2602">
        <v>1</v>
      </c>
      <c r="L2602">
        <v>0</v>
      </c>
      <c r="M2602">
        <f>VLOOKUP(Table1[[#This Row],[subscription_type]],Plans!$A$1:$B$5,2,FALSE)</f>
        <v>9.99</v>
      </c>
      <c r="N2602">
        <f t="shared" si="40"/>
        <v>0</v>
      </c>
    </row>
    <row r="2603" spans="1:14" x14ac:dyDescent="0.35">
      <c r="A2603">
        <v>2602</v>
      </c>
      <c r="B2603" t="s">
        <v>16</v>
      </c>
      <c r="C2603">
        <v>45</v>
      </c>
      <c r="D2603" t="s">
        <v>26</v>
      </c>
      <c r="E2603" t="s">
        <v>14</v>
      </c>
      <c r="F2603">
        <v>164</v>
      </c>
      <c r="G2603">
        <v>97</v>
      </c>
      <c r="H2603">
        <v>0.1</v>
      </c>
      <c r="I2603" t="s">
        <v>19</v>
      </c>
      <c r="J2603">
        <v>26</v>
      </c>
      <c r="K2603">
        <v>0</v>
      </c>
      <c r="L2603">
        <v>0</v>
      </c>
      <c r="M2603">
        <f>VLOOKUP(Table1[[#This Row],[subscription_type]],Plans!$A$1:$B$5,2,FALSE)</f>
        <v>0</v>
      </c>
      <c r="N2603">
        <f t="shared" si="40"/>
        <v>0</v>
      </c>
    </row>
    <row r="2604" spans="1:14" x14ac:dyDescent="0.35">
      <c r="A2604">
        <v>2603</v>
      </c>
      <c r="B2604" t="s">
        <v>12</v>
      </c>
      <c r="C2604">
        <v>57</v>
      </c>
      <c r="D2604" t="s">
        <v>26</v>
      </c>
      <c r="E2604" t="s">
        <v>24</v>
      </c>
      <c r="F2604">
        <v>120</v>
      </c>
      <c r="G2604">
        <v>53</v>
      </c>
      <c r="H2604">
        <v>0.4</v>
      </c>
      <c r="I2604" t="s">
        <v>23</v>
      </c>
      <c r="J2604">
        <v>0</v>
      </c>
      <c r="K2604">
        <v>1</v>
      </c>
      <c r="L2604">
        <v>1</v>
      </c>
      <c r="M2604">
        <f>VLOOKUP(Table1[[#This Row],[subscription_type]],Plans!$A$1:$B$5,2,FALSE)</f>
        <v>4.99</v>
      </c>
      <c r="N2604">
        <f t="shared" si="40"/>
        <v>4.99</v>
      </c>
    </row>
    <row r="2605" spans="1:14" x14ac:dyDescent="0.35">
      <c r="A2605">
        <v>2604</v>
      </c>
      <c r="B2605" t="s">
        <v>16</v>
      </c>
      <c r="C2605">
        <v>57</v>
      </c>
      <c r="D2605" t="s">
        <v>13</v>
      </c>
      <c r="E2605" t="s">
        <v>14</v>
      </c>
      <c r="F2605">
        <v>220</v>
      </c>
      <c r="G2605">
        <v>48</v>
      </c>
      <c r="H2605">
        <v>0.45</v>
      </c>
      <c r="I2605" t="s">
        <v>19</v>
      </c>
      <c r="J2605">
        <v>18</v>
      </c>
      <c r="K2605">
        <v>0</v>
      </c>
      <c r="L2605">
        <v>0</v>
      </c>
      <c r="M2605">
        <f>VLOOKUP(Table1[[#This Row],[subscription_type]],Plans!$A$1:$B$5,2,FALSE)</f>
        <v>0</v>
      </c>
      <c r="N2605">
        <f t="shared" si="40"/>
        <v>0</v>
      </c>
    </row>
    <row r="2606" spans="1:14" x14ac:dyDescent="0.35">
      <c r="A2606">
        <v>2605</v>
      </c>
      <c r="B2606" t="s">
        <v>12</v>
      </c>
      <c r="C2606">
        <v>33</v>
      </c>
      <c r="D2606" t="s">
        <v>29</v>
      </c>
      <c r="E2606" t="s">
        <v>14</v>
      </c>
      <c r="F2606">
        <v>33</v>
      </c>
      <c r="G2606">
        <v>20</v>
      </c>
      <c r="H2606">
        <v>0.24</v>
      </c>
      <c r="I2606" t="s">
        <v>23</v>
      </c>
      <c r="J2606">
        <v>23</v>
      </c>
      <c r="K2606">
        <v>0</v>
      </c>
      <c r="L2606">
        <v>1</v>
      </c>
      <c r="M2606">
        <f>VLOOKUP(Table1[[#This Row],[subscription_type]],Plans!$A$1:$B$5,2,FALSE)</f>
        <v>0</v>
      </c>
      <c r="N2606">
        <f t="shared" si="40"/>
        <v>0</v>
      </c>
    </row>
    <row r="2607" spans="1:14" x14ac:dyDescent="0.35">
      <c r="A2607">
        <v>2606</v>
      </c>
      <c r="B2607" t="s">
        <v>16</v>
      </c>
      <c r="C2607">
        <v>44</v>
      </c>
      <c r="D2607" t="s">
        <v>13</v>
      </c>
      <c r="E2607" t="s">
        <v>14</v>
      </c>
      <c r="F2607">
        <v>10</v>
      </c>
      <c r="G2607">
        <v>57</v>
      </c>
      <c r="H2607">
        <v>0.06</v>
      </c>
      <c r="I2607" t="s">
        <v>15</v>
      </c>
      <c r="J2607">
        <v>39</v>
      </c>
      <c r="K2607">
        <v>0</v>
      </c>
      <c r="L2607">
        <v>0</v>
      </c>
      <c r="M2607">
        <f>VLOOKUP(Table1[[#This Row],[subscription_type]],Plans!$A$1:$B$5,2,FALSE)</f>
        <v>0</v>
      </c>
      <c r="N2607">
        <f t="shared" si="40"/>
        <v>0</v>
      </c>
    </row>
    <row r="2608" spans="1:14" x14ac:dyDescent="0.35">
      <c r="A2608">
        <v>2607</v>
      </c>
      <c r="B2608" t="s">
        <v>16</v>
      </c>
      <c r="C2608">
        <v>49</v>
      </c>
      <c r="D2608" t="s">
        <v>29</v>
      </c>
      <c r="E2608" t="s">
        <v>24</v>
      </c>
      <c r="F2608">
        <v>275</v>
      </c>
      <c r="G2608">
        <v>60</v>
      </c>
      <c r="H2608">
        <v>0.38</v>
      </c>
      <c r="I2608" t="s">
        <v>23</v>
      </c>
      <c r="J2608">
        <v>0</v>
      </c>
      <c r="K2608">
        <v>1</v>
      </c>
      <c r="L2608">
        <v>0</v>
      </c>
      <c r="M2608">
        <f>VLOOKUP(Table1[[#This Row],[subscription_type]],Plans!$A$1:$B$5,2,FALSE)</f>
        <v>4.99</v>
      </c>
      <c r="N2608">
        <f t="shared" si="40"/>
        <v>0</v>
      </c>
    </row>
    <row r="2609" spans="1:14" x14ac:dyDescent="0.35">
      <c r="A2609">
        <v>2608</v>
      </c>
      <c r="B2609" t="s">
        <v>16</v>
      </c>
      <c r="C2609">
        <v>34</v>
      </c>
      <c r="D2609" t="s">
        <v>17</v>
      </c>
      <c r="E2609" t="s">
        <v>14</v>
      </c>
      <c r="F2609">
        <v>147</v>
      </c>
      <c r="G2609">
        <v>27</v>
      </c>
      <c r="H2609">
        <v>0.18</v>
      </c>
      <c r="I2609" t="s">
        <v>23</v>
      </c>
      <c r="J2609">
        <v>39</v>
      </c>
      <c r="K2609">
        <v>0</v>
      </c>
      <c r="L2609">
        <v>0</v>
      </c>
      <c r="M2609">
        <f>VLOOKUP(Table1[[#This Row],[subscription_type]],Plans!$A$1:$B$5,2,FALSE)</f>
        <v>0</v>
      </c>
      <c r="N2609">
        <f t="shared" si="40"/>
        <v>0</v>
      </c>
    </row>
    <row r="2610" spans="1:14" x14ac:dyDescent="0.35">
      <c r="A2610">
        <v>2609</v>
      </c>
      <c r="B2610" t="s">
        <v>12</v>
      </c>
      <c r="C2610">
        <v>38</v>
      </c>
      <c r="D2610" t="s">
        <v>21</v>
      </c>
      <c r="E2610" t="s">
        <v>22</v>
      </c>
      <c r="F2610">
        <v>211</v>
      </c>
      <c r="G2610">
        <v>4</v>
      </c>
      <c r="H2610">
        <v>0.14000000000000001</v>
      </c>
      <c r="I2610" t="s">
        <v>19</v>
      </c>
      <c r="J2610">
        <v>0</v>
      </c>
      <c r="K2610">
        <v>1</v>
      </c>
      <c r="L2610">
        <v>1</v>
      </c>
      <c r="M2610">
        <f>VLOOKUP(Table1[[#This Row],[subscription_type]],Plans!$A$1:$B$5,2,FALSE)</f>
        <v>9.99</v>
      </c>
      <c r="N2610">
        <f t="shared" si="40"/>
        <v>9.99</v>
      </c>
    </row>
    <row r="2611" spans="1:14" x14ac:dyDescent="0.35">
      <c r="A2611">
        <v>2610</v>
      </c>
      <c r="B2611" t="s">
        <v>12</v>
      </c>
      <c r="C2611">
        <v>30</v>
      </c>
      <c r="D2611" t="s">
        <v>25</v>
      </c>
      <c r="E2611" t="s">
        <v>14</v>
      </c>
      <c r="F2611">
        <v>39</v>
      </c>
      <c r="G2611">
        <v>9</v>
      </c>
      <c r="H2611">
        <v>0.6</v>
      </c>
      <c r="I2611" t="s">
        <v>15</v>
      </c>
      <c r="J2611">
        <v>40</v>
      </c>
      <c r="K2611">
        <v>0</v>
      </c>
      <c r="L2611">
        <v>0</v>
      </c>
      <c r="M2611">
        <f>VLOOKUP(Table1[[#This Row],[subscription_type]],Plans!$A$1:$B$5,2,FALSE)</f>
        <v>0</v>
      </c>
      <c r="N2611">
        <f t="shared" si="40"/>
        <v>0</v>
      </c>
    </row>
    <row r="2612" spans="1:14" x14ac:dyDescent="0.35">
      <c r="A2612">
        <v>2611</v>
      </c>
      <c r="B2612" t="s">
        <v>16</v>
      </c>
      <c r="C2612">
        <v>33</v>
      </c>
      <c r="D2612" t="s">
        <v>26</v>
      </c>
      <c r="E2612" t="s">
        <v>18</v>
      </c>
      <c r="F2612">
        <v>111</v>
      </c>
      <c r="G2612">
        <v>10</v>
      </c>
      <c r="H2612">
        <v>0.56000000000000005</v>
      </c>
      <c r="I2612" t="s">
        <v>19</v>
      </c>
      <c r="J2612">
        <v>0</v>
      </c>
      <c r="K2612">
        <v>1</v>
      </c>
      <c r="L2612">
        <v>0</v>
      </c>
      <c r="M2612">
        <f>VLOOKUP(Table1[[#This Row],[subscription_type]],Plans!$A$1:$B$5,2,FALSE)</f>
        <v>14.99</v>
      </c>
      <c r="N2612">
        <f t="shared" si="40"/>
        <v>0</v>
      </c>
    </row>
    <row r="2613" spans="1:14" x14ac:dyDescent="0.35">
      <c r="A2613">
        <v>2612</v>
      </c>
      <c r="B2613" t="s">
        <v>12</v>
      </c>
      <c r="C2613">
        <v>47</v>
      </c>
      <c r="D2613" t="s">
        <v>29</v>
      </c>
      <c r="E2613" t="s">
        <v>18</v>
      </c>
      <c r="F2613">
        <v>109</v>
      </c>
      <c r="G2613">
        <v>23</v>
      </c>
      <c r="H2613">
        <v>0.46</v>
      </c>
      <c r="I2613" t="s">
        <v>15</v>
      </c>
      <c r="J2613">
        <v>0</v>
      </c>
      <c r="K2613">
        <v>1</v>
      </c>
      <c r="L2613">
        <v>1</v>
      </c>
      <c r="M2613">
        <f>VLOOKUP(Table1[[#This Row],[subscription_type]],Plans!$A$1:$B$5,2,FALSE)</f>
        <v>14.99</v>
      </c>
      <c r="N2613">
        <f t="shared" si="40"/>
        <v>14.99</v>
      </c>
    </row>
    <row r="2614" spans="1:14" x14ac:dyDescent="0.35">
      <c r="A2614">
        <v>2613</v>
      </c>
      <c r="B2614" t="s">
        <v>16</v>
      </c>
      <c r="C2614">
        <v>23</v>
      </c>
      <c r="D2614" t="s">
        <v>21</v>
      </c>
      <c r="E2614" t="s">
        <v>14</v>
      </c>
      <c r="F2614">
        <v>64</v>
      </c>
      <c r="G2614">
        <v>7</v>
      </c>
      <c r="H2614">
        <v>7.0000000000000007E-2</v>
      </c>
      <c r="I2614" t="s">
        <v>23</v>
      </c>
      <c r="J2614">
        <v>40</v>
      </c>
      <c r="K2614">
        <v>0</v>
      </c>
      <c r="L2614">
        <v>0</v>
      </c>
      <c r="M2614">
        <f>VLOOKUP(Table1[[#This Row],[subscription_type]],Plans!$A$1:$B$5,2,FALSE)</f>
        <v>0</v>
      </c>
      <c r="N2614">
        <f t="shared" si="40"/>
        <v>0</v>
      </c>
    </row>
    <row r="2615" spans="1:14" x14ac:dyDescent="0.35">
      <c r="A2615">
        <v>2614</v>
      </c>
      <c r="B2615" t="s">
        <v>12</v>
      </c>
      <c r="C2615">
        <v>41</v>
      </c>
      <c r="D2615" t="s">
        <v>29</v>
      </c>
      <c r="E2615" t="s">
        <v>22</v>
      </c>
      <c r="F2615">
        <v>18</v>
      </c>
      <c r="G2615">
        <v>43</v>
      </c>
      <c r="H2615">
        <v>0.51</v>
      </c>
      <c r="I2615" t="s">
        <v>15</v>
      </c>
      <c r="J2615">
        <v>0</v>
      </c>
      <c r="K2615">
        <v>1</v>
      </c>
      <c r="L2615">
        <v>1</v>
      </c>
      <c r="M2615">
        <f>VLOOKUP(Table1[[#This Row],[subscription_type]],Plans!$A$1:$B$5,2,FALSE)</f>
        <v>9.99</v>
      </c>
      <c r="N2615">
        <f t="shared" si="40"/>
        <v>9.99</v>
      </c>
    </row>
    <row r="2616" spans="1:14" x14ac:dyDescent="0.35">
      <c r="A2616">
        <v>2615</v>
      </c>
      <c r="B2616" t="s">
        <v>16</v>
      </c>
      <c r="C2616">
        <v>30</v>
      </c>
      <c r="D2616" t="s">
        <v>29</v>
      </c>
      <c r="E2616" t="s">
        <v>22</v>
      </c>
      <c r="F2616">
        <v>141</v>
      </c>
      <c r="G2616">
        <v>45</v>
      </c>
      <c r="H2616">
        <v>0.12</v>
      </c>
      <c r="I2616" t="s">
        <v>15</v>
      </c>
      <c r="J2616">
        <v>0</v>
      </c>
      <c r="K2616">
        <v>1</v>
      </c>
      <c r="L2616">
        <v>0</v>
      </c>
      <c r="M2616">
        <f>VLOOKUP(Table1[[#This Row],[subscription_type]],Plans!$A$1:$B$5,2,FALSE)</f>
        <v>9.99</v>
      </c>
      <c r="N2616">
        <f t="shared" si="40"/>
        <v>0</v>
      </c>
    </row>
    <row r="2617" spans="1:14" x14ac:dyDescent="0.35">
      <c r="A2617">
        <v>2616</v>
      </c>
      <c r="B2617" t="s">
        <v>12</v>
      </c>
      <c r="C2617">
        <v>28</v>
      </c>
      <c r="D2617" t="s">
        <v>17</v>
      </c>
      <c r="E2617" t="s">
        <v>22</v>
      </c>
      <c r="F2617">
        <v>89</v>
      </c>
      <c r="G2617">
        <v>80</v>
      </c>
      <c r="H2617">
        <v>0.31</v>
      </c>
      <c r="I2617" t="s">
        <v>23</v>
      </c>
      <c r="J2617">
        <v>0</v>
      </c>
      <c r="K2617">
        <v>1</v>
      </c>
      <c r="L2617">
        <v>0</v>
      </c>
      <c r="M2617">
        <f>VLOOKUP(Table1[[#This Row],[subscription_type]],Plans!$A$1:$B$5,2,FALSE)</f>
        <v>9.99</v>
      </c>
      <c r="N2617">
        <f t="shared" si="40"/>
        <v>0</v>
      </c>
    </row>
    <row r="2618" spans="1:14" x14ac:dyDescent="0.35">
      <c r="A2618">
        <v>2617</v>
      </c>
      <c r="B2618" t="s">
        <v>12</v>
      </c>
      <c r="C2618">
        <v>17</v>
      </c>
      <c r="D2618" t="s">
        <v>21</v>
      </c>
      <c r="E2618" t="s">
        <v>18</v>
      </c>
      <c r="F2618">
        <v>260</v>
      </c>
      <c r="G2618">
        <v>38</v>
      </c>
      <c r="H2618">
        <v>0.51</v>
      </c>
      <c r="I2618" t="s">
        <v>15</v>
      </c>
      <c r="J2618">
        <v>0</v>
      </c>
      <c r="K2618">
        <v>1</v>
      </c>
      <c r="L2618">
        <v>0</v>
      </c>
      <c r="M2618">
        <f>VLOOKUP(Table1[[#This Row],[subscription_type]],Plans!$A$1:$B$5,2,FALSE)</f>
        <v>14.99</v>
      </c>
      <c r="N2618">
        <f t="shared" si="40"/>
        <v>0</v>
      </c>
    </row>
    <row r="2619" spans="1:14" x14ac:dyDescent="0.35">
      <c r="A2619">
        <v>2618</v>
      </c>
      <c r="B2619" t="s">
        <v>12</v>
      </c>
      <c r="C2619">
        <v>52</v>
      </c>
      <c r="D2619" t="s">
        <v>29</v>
      </c>
      <c r="E2619" t="s">
        <v>18</v>
      </c>
      <c r="F2619">
        <v>149</v>
      </c>
      <c r="G2619">
        <v>79</v>
      </c>
      <c r="H2619">
        <v>0.12</v>
      </c>
      <c r="I2619" t="s">
        <v>15</v>
      </c>
      <c r="J2619">
        <v>0</v>
      </c>
      <c r="K2619">
        <v>1</v>
      </c>
      <c r="L2619">
        <v>1</v>
      </c>
      <c r="M2619">
        <f>VLOOKUP(Table1[[#This Row],[subscription_type]],Plans!$A$1:$B$5,2,FALSE)</f>
        <v>14.99</v>
      </c>
      <c r="N2619">
        <f t="shared" si="40"/>
        <v>14.99</v>
      </c>
    </row>
    <row r="2620" spans="1:14" x14ac:dyDescent="0.35">
      <c r="A2620">
        <v>2619</v>
      </c>
      <c r="B2620" t="s">
        <v>12</v>
      </c>
      <c r="C2620">
        <v>55</v>
      </c>
      <c r="D2620" t="s">
        <v>13</v>
      </c>
      <c r="E2620" t="s">
        <v>24</v>
      </c>
      <c r="F2620">
        <v>88</v>
      </c>
      <c r="G2620">
        <v>37</v>
      </c>
      <c r="H2620">
        <v>0.09</v>
      </c>
      <c r="I2620" t="s">
        <v>15</v>
      </c>
      <c r="J2620">
        <v>0</v>
      </c>
      <c r="K2620">
        <v>1</v>
      </c>
      <c r="L2620">
        <v>0</v>
      </c>
      <c r="M2620">
        <f>VLOOKUP(Table1[[#This Row],[subscription_type]],Plans!$A$1:$B$5,2,FALSE)</f>
        <v>4.99</v>
      </c>
      <c r="N2620">
        <f t="shared" si="40"/>
        <v>0</v>
      </c>
    </row>
    <row r="2621" spans="1:14" x14ac:dyDescent="0.35">
      <c r="A2621">
        <v>2620</v>
      </c>
      <c r="B2621" t="s">
        <v>16</v>
      </c>
      <c r="C2621">
        <v>20</v>
      </c>
      <c r="D2621" t="s">
        <v>17</v>
      </c>
      <c r="E2621" t="s">
        <v>24</v>
      </c>
      <c r="F2621">
        <v>251</v>
      </c>
      <c r="G2621">
        <v>35</v>
      </c>
      <c r="H2621">
        <v>0.32</v>
      </c>
      <c r="I2621" t="s">
        <v>19</v>
      </c>
      <c r="J2621">
        <v>0</v>
      </c>
      <c r="K2621">
        <v>1</v>
      </c>
      <c r="L2621">
        <v>1</v>
      </c>
      <c r="M2621">
        <f>VLOOKUP(Table1[[#This Row],[subscription_type]],Plans!$A$1:$B$5,2,FALSE)</f>
        <v>4.99</v>
      </c>
      <c r="N2621">
        <f t="shared" si="40"/>
        <v>4.99</v>
      </c>
    </row>
    <row r="2622" spans="1:14" x14ac:dyDescent="0.35">
      <c r="A2622">
        <v>2621</v>
      </c>
      <c r="B2622" t="s">
        <v>12</v>
      </c>
      <c r="C2622">
        <v>44</v>
      </c>
      <c r="D2622" t="s">
        <v>27</v>
      </c>
      <c r="E2622" t="s">
        <v>14</v>
      </c>
      <c r="F2622">
        <v>256</v>
      </c>
      <c r="G2622">
        <v>43</v>
      </c>
      <c r="H2622">
        <v>0.51</v>
      </c>
      <c r="I2622" t="s">
        <v>23</v>
      </c>
      <c r="J2622">
        <v>11</v>
      </c>
      <c r="K2622">
        <v>0</v>
      </c>
      <c r="L2622">
        <v>1</v>
      </c>
      <c r="M2622">
        <f>VLOOKUP(Table1[[#This Row],[subscription_type]],Plans!$A$1:$B$5,2,FALSE)</f>
        <v>0</v>
      </c>
      <c r="N2622">
        <f t="shared" si="40"/>
        <v>0</v>
      </c>
    </row>
    <row r="2623" spans="1:14" x14ac:dyDescent="0.35">
      <c r="A2623">
        <v>2622</v>
      </c>
      <c r="B2623" t="s">
        <v>16</v>
      </c>
      <c r="C2623">
        <v>56</v>
      </c>
      <c r="D2623" t="s">
        <v>21</v>
      </c>
      <c r="E2623" t="s">
        <v>22</v>
      </c>
      <c r="F2623">
        <v>191</v>
      </c>
      <c r="G2623">
        <v>72</v>
      </c>
      <c r="H2623">
        <v>0.24</v>
      </c>
      <c r="I2623" t="s">
        <v>23</v>
      </c>
      <c r="J2623">
        <v>0</v>
      </c>
      <c r="K2623">
        <v>1</v>
      </c>
      <c r="L2623">
        <v>0</v>
      </c>
      <c r="M2623">
        <f>VLOOKUP(Table1[[#This Row],[subscription_type]],Plans!$A$1:$B$5,2,FALSE)</f>
        <v>9.99</v>
      </c>
      <c r="N2623">
        <f t="shared" si="40"/>
        <v>0</v>
      </c>
    </row>
    <row r="2624" spans="1:14" x14ac:dyDescent="0.35">
      <c r="A2624">
        <v>2623</v>
      </c>
      <c r="B2624" t="s">
        <v>16</v>
      </c>
      <c r="C2624">
        <v>53</v>
      </c>
      <c r="D2624" t="s">
        <v>21</v>
      </c>
      <c r="E2624" t="s">
        <v>18</v>
      </c>
      <c r="F2624">
        <v>222</v>
      </c>
      <c r="G2624">
        <v>72</v>
      </c>
      <c r="H2624">
        <v>0.6</v>
      </c>
      <c r="I2624" t="s">
        <v>19</v>
      </c>
      <c r="J2624">
        <v>0</v>
      </c>
      <c r="K2624">
        <v>1</v>
      </c>
      <c r="L2624">
        <v>0</v>
      </c>
      <c r="M2624">
        <f>VLOOKUP(Table1[[#This Row],[subscription_type]],Plans!$A$1:$B$5,2,FALSE)</f>
        <v>14.99</v>
      </c>
      <c r="N2624">
        <f t="shared" si="40"/>
        <v>0</v>
      </c>
    </row>
    <row r="2625" spans="1:14" x14ac:dyDescent="0.35">
      <c r="A2625">
        <v>2624</v>
      </c>
      <c r="B2625" t="s">
        <v>12</v>
      </c>
      <c r="C2625">
        <v>42</v>
      </c>
      <c r="D2625" t="s">
        <v>28</v>
      </c>
      <c r="E2625" t="s">
        <v>22</v>
      </c>
      <c r="F2625">
        <v>248</v>
      </c>
      <c r="G2625">
        <v>60</v>
      </c>
      <c r="H2625">
        <v>0.26</v>
      </c>
      <c r="I2625" t="s">
        <v>19</v>
      </c>
      <c r="J2625">
        <v>0</v>
      </c>
      <c r="K2625">
        <v>1</v>
      </c>
      <c r="L2625">
        <v>0</v>
      </c>
      <c r="M2625">
        <f>VLOOKUP(Table1[[#This Row],[subscription_type]],Plans!$A$1:$B$5,2,FALSE)</f>
        <v>9.99</v>
      </c>
      <c r="N2625">
        <f t="shared" si="40"/>
        <v>0</v>
      </c>
    </row>
    <row r="2626" spans="1:14" x14ac:dyDescent="0.35">
      <c r="A2626">
        <v>2625</v>
      </c>
      <c r="B2626" t="s">
        <v>20</v>
      </c>
      <c r="C2626">
        <v>38</v>
      </c>
      <c r="D2626" t="s">
        <v>25</v>
      </c>
      <c r="E2626" t="s">
        <v>22</v>
      </c>
      <c r="F2626">
        <v>247</v>
      </c>
      <c r="G2626">
        <v>51</v>
      </c>
      <c r="H2626">
        <v>0.38</v>
      </c>
      <c r="I2626" t="s">
        <v>19</v>
      </c>
      <c r="J2626">
        <v>0</v>
      </c>
      <c r="K2626">
        <v>1</v>
      </c>
      <c r="L2626">
        <v>0</v>
      </c>
      <c r="M2626">
        <f>VLOOKUP(Table1[[#This Row],[subscription_type]],Plans!$A$1:$B$5,2,FALSE)</f>
        <v>9.99</v>
      </c>
      <c r="N2626">
        <f t="shared" ref="N2626:N2689" si="41">IF(L2626=1, M2626,0)</f>
        <v>0</v>
      </c>
    </row>
    <row r="2627" spans="1:14" x14ac:dyDescent="0.35">
      <c r="A2627">
        <v>2626</v>
      </c>
      <c r="B2627" t="s">
        <v>12</v>
      </c>
      <c r="C2627">
        <v>18</v>
      </c>
      <c r="D2627" t="s">
        <v>13</v>
      </c>
      <c r="E2627" t="s">
        <v>14</v>
      </c>
      <c r="F2627">
        <v>183</v>
      </c>
      <c r="G2627">
        <v>30</v>
      </c>
      <c r="H2627">
        <v>0.36</v>
      </c>
      <c r="I2627" t="s">
        <v>15</v>
      </c>
      <c r="J2627">
        <v>24</v>
      </c>
      <c r="K2627">
        <v>0</v>
      </c>
      <c r="L2627">
        <v>1</v>
      </c>
      <c r="M2627">
        <f>VLOOKUP(Table1[[#This Row],[subscription_type]],Plans!$A$1:$B$5,2,FALSE)</f>
        <v>0</v>
      </c>
      <c r="N2627">
        <f t="shared" si="41"/>
        <v>0</v>
      </c>
    </row>
    <row r="2628" spans="1:14" x14ac:dyDescent="0.35">
      <c r="A2628">
        <v>2627</v>
      </c>
      <c r="B2628" t="s">
        <v>16</v>
      </c>
      <c r="C2628">
        <v>53</v>
      </c>
      <c r="D2628" t="s">
        <v>28</v>
      </c>
      <c r="E2628" t="s">
        <v>22</v>
      </c>
      <c r="F2628">
        <v>144</v>
      </c>
      <c r="G2628">
        <v>84</v>
      </c>
      <c r="H2628">
        <v>0.52</v>
      </c>
      <c r="I2628" t="s">
        <v>23</v>
      </c>
      <c r="J2628">
        <v>0</v>
      </c>
      <c r="K2628">
        <v>1</v>
      </c>
      <c r="L2628">
        <v>0</v>
      </c>
      <c r="M2628">
        <f>VLOOKUP(Table1[[#This Row],[subscription_type]],Plans!$A$1:$B$5,2,FALSE)</f>
        <v>9.99</v>
      </c>
      <c r="N2628">
        <f t="shared" si="41"/>
        <v>0</v>
      </c>
    </row>
    <row r="2629" spans="1:14" x14ac:dyDescent="0.35">
      <c r="A2629">
        <v>2628</v>
      </c>
      <c r="B2629" t="s">
        <v>20</v>
      </c>
      <c r="C2629">
        <v>49</v>
      </c>
      <c r="D2629" t="s">
        <v>27</v>
      </c>
      <c r="E2629" t="s">
        <v>18</v>
      </c>
      <c r="F2629">
        <v>13</v>
      </c>
      <c r="G2629">
        <v>63</v>
      </c>
      <c r="H2629">
        <v>0.13</v>
      </c>
      <c r="I2629" t="s">
        <v>23</v>
      </c>
      <c r="J2629">
        <v>0</v>
      </c>
      <c r="K2629">
        <v>1</v>
      </c>
      <c r="L2629">
        <v>0</v>
      </c>
      <c r="M2629">
        <f>VLOOKUP(Table1[[#This Row],[subscription_type]],Plans!$A$1:$B$5,2,FALSE)</f>
        <v>14.99</v>
      </c>
      <c r="N2629">
        <f t="shared" si="41"/>
        <v>0</v>
      </c>
    </row>
    <row r="2630" spans="1:14" x14ac:dyDescent="0.35">
      <c r="A2630">
        <v>2629</v>
      </c>
      <c r="B2630" t="s">
        <v>20</v>
      </c>
      <c r="C2630">
        <v>41</v>
      </c>
      <c r="D2630" t="s">
        <v>28</v>
      </c>
      <c r="E2630" t="s">
        <v>22</v>
      </c>
      <c r="F2630">
        <v>188</v>
      </c>
      <c r="G2630">
        <v>97</v>
      </c>
      <c r="H2630">
        <v>0.01</v>
      </c>
      <c r="I2630" t="s">
        <v>19</v>
      </c>
      <c r="J2630">
        <v>0</v>
      </c>
      <c r="K2630">
        <v>1</v>
      </c>
      <c r="L2630">
        <v>0</v>
      </c>
      <c r="M2630">
        <f>VLOOKUP(Table1[[#This Row],[subscription_type]],Plans!$A$1:$B$5,2,FALSE)</f>
        <v>9.99</v>
      </c>
      <c r="N2630">
        <f t="shared" si="41"/>
        <v>0</v>
      </c>
    </row>
    <row r="2631" spans="1:14" x14ac:dyDescent="0.35">
      <c r="A2631">
        <v>2630</v>
      </c>
      <c r="B2631" t="s">
        <v>16</v>
      </c>
      <c r="C2631">
        <v>47</v>
      </c>
      <c r="D2631" t="s">
        <v>26</v>
      </c>
      <c r="E2631" t="s">
        <v>22</v>
      </c>
      <c r="F2631">
        <v>128</v>
      </c>
      <c r="G2631">
        <v>15</v>
      </c>
      <c r="H2631">
        <v>0.11</v>
      </c>
      <c r="I2631" t="s">
        <v>19</v>
      </c>
      <c r="J2631">
        <v>0</v>
      </c>
      <c r="K2631">
        <v>1</v>
      </c>
      <c r="L2631">
        <v>1</v>
      </c>
      <c r="M2631">
        <f>VLOOKUP(Table1[[#This Row],[subscription_type]],Plans!$A$1:$B$5,2,FALSE)</f>
        <v>9.99</v>
      </c>
      <c r="N2631">
        <f t="shared" si="41"/>
        <v>9.99</v>
      </c>
    </row>
    <row r="2632" spans="1:14" x14ac:dyDescent="0.35">
      <c r="A2632">
        <v>2631</v>
      </c>
      <c r="B2632" t="s">
        <v>20</v>
      </c>
      <c r="C2632">
        <v>26</v>
      </c>
      <c r="D2632" t="s">
        <v>25</v>
      </c>
      <c r="E2632" t="s">
        <v>22</v>
      </c>
      <c r="F2632">
        <v>160</v>
      </c>
      <c r="G2632">
        <v>75</v>
      </c>
      <c r="H2632">
        <v>0.12</v>
      </c>
      <c r="I2632" t="s">
        <v>15</v>
      </c>
      <c r="J2632">
        <v>0</v>
      </c>
      <c r="K2632">
        <v>1</v>
      </c>
      <c r="L2632">
        <v>0</v>
      </c>
      <c r="M2632">
        <f>VLOOKUP(Table1[[#This Row],[subscription_type]],Plans!$A$1:$B$5,2,FALSE)</f>
        <v>9.99</v>
      </c>
      <c r="N2632">
        <f t="shared" si="41"/>
        <v>0</v>
      </c>
    </row>
    <row r="2633" spans="1:14" x14ac:dyDescent="0.35">
      <c r="A2633">
        <v>2632</v>
      </c>
      <c r="B2633" t="s">
        <v>12</v>
      </c>
      <c r="C2633">
        <v>30</v>
      </c>
      <c r="D2633" t="s">
        <v>21</v>
      </c>
      <c r="E2633" t="s">
        <v>18</v>
      </c>
      <c r="F2633">
        <v>102</v>
      </c>
      <c r="G2633">
        <v>25</v>
      </c>
      <c r="H2633">
        <v>0.33</v>
      </c>
      <c r="I2633" t="s">
        <v>15</v>
      </c>
      <c r="J2633">
        <v>0</v>
      </c>
      <c r="K2633">
        <v>1</v>
      </c>
      <c r="L2633">
        <v>0</v>
      </c>
      <c r="M2633">
        <f>VLOOKUP(Table1[[#This Row],[subscription_type]],Plans!$A$1:$B$5,2,FALSE)</f>
        <v>14.99</v>
      </c>
      <c r="N2633">
        <f t="shared" si="41"/>
        <v>0</v>
      </c>
    </row>
    <row r="2634" spans="1:14" x14ac:dyDescent="0.35">
      <c r="A2634">
        <v>2633</v>
      </c>
      <c r="B2634" t="s">
        <v>12</v>
      </c>
      <c r="C2634">
        <v>56</v>
      </c>
      <c r="D2634" t="s">
        <v>28</v>
      </c>
      <c r="E2634" t="s">
        <v>22</v>
      </c>
      <c r="F2634">
        <v>120</v>
      </c>
      <c r="G2634">
        <v>93</v>
      </c>
      <c r="H2634">
        <v>0.56999999999999995</v>
      </c>
      <c r="I2634" t="s">
        <v>23</v>
      </c>
      <c r="J2634">
        <v>0</v>
      </c>
      <c r="K2634">
        <v>1</v>
      </c>
      <c r="L2634">
        <v>0</v>
      </c>
      <c r="M2634">
        <f>VLOOKUP(Table1[[#This Row],[subscription_type]],Plans!$A$1:$B$5,2,FALSE)</f>
        <v>9.99</v>
      </c>
      <c r="N2634">
        <f t="shared" si="41"/>
        <v>0</v>
      </c>
    </row>
    <row r="2635" spans="1:14" x14ac:dyDescent="0.35">
      <c r="A2635">
        <v>2634</v>
      </c>
      <c r="B2635" t="s">
        <v>16</v>
      </c>
      <c r="C2635">
        <v>52</v>
      </c>
      <c r="D2635" t="s">
        <v>21</v>
      </c>
      <c r="E2635" t="s">
        <v>14</v>
      </c>
      <c r="F2635">
        <v>61</v>
      </c>
      <c r="G2635">
        <v>29</v>
      </c>
      <c r="H2635">
        <v>0.25</v>
      </c>
      <c r="I2635" t="s">
        <v>15</v>
      </c>
      <c r="J2635">
        <v>34</v>
      </c>
      <c r="K2635">
        <v>0</v>
      </c>
      <c r="L2635">
        <v>0</v>
      </c>
      <c r="M2635">
        <f>VLOOKUP(Table1[[#This Row],[subscription_type]],Plans!$A$1:$B$5,2,FALSE)</f>
        <v>0</v>
      </c>
      <c r="N2635">
        <f t="shared" si="41"/>
        <v>0</v>
      </c>
    </row>
    <row r="2636" spans="1:14" x14ac:dyDescent="0.35">
      <c r="A2636">
        <v>2635</v>
      </c>
      <c r="B2636" t="s">
        <v>16</v>
      </c>
      <c r="C2636">
        <v>20</v>
      </c>
      <c r="D2636" t="s">
        <v>21</v>
      </c>
      <c r="E2636" t="s">
        <v>22</v>
      </c>
      <c r="F2636">
        <v>45</v>
      </c>
      <c r="G2636">
        <v>60</v>
      </c>
      <c r="H2636">
        <v>0.24</v>
      </c>
      <c r="I2636" t="s">
        <v>15</v>
      </c>
      <c r="J2636">
        <v>0</v>
      </c>
      <c r="K2636">
        <v>1</v>
      </c>
      <c r="L2636">
        <v>1</v>
      </c>
      <c r="M2636">
        <f>VLOOKUP(Table1[[#This Row],[subscription_type]],Plans!$A$1:$B$5,2,FALSE)</f>
        <v>9.99</v>
      </c>
      <c r="N2636">
        <f t="shared" si="41"/>
        <v>9.99</v>
      </c>
    </row>
    <row r="2637" spans="1:14" x14ac:dyDescent="0.35">
      <c r="A2637">
        <v>2636</v>
      </c>
      <c r="B2637" t="s">
        <v>16</v>
      </c>
      <c r="C2637">
        <v>38</v>
      </c>
      <c r="D2637" t="s">
        <v>25</v>
      </c>
      <c r="E2637" t="s">
        <v>24</v>
      </c>
      <c r="F2637">
        <v>111</v>
      </c>
      <c r="G2637">
        <v>32</v>
      </c>
      <c r="H2637">
        <v>0.22</v>
      </c>
      <c r="I2637" t="s">
        <v>15</v>
      </c>
      <c r="J2637">
        <v>0</v>
      </c>
      <c r="K2637">
        <v>1</v>
      </c>
      <c r="L2637">
        <v>0</v>
      </c>
      <c r="M2637">
        <f>VLOOKUP(Table1[[#This Row],[subscription_type]],Plans!$A$1:$B$5,2,FALSE)</f>
        <v>4.99</v>
      </c>
      <c r="N2637">
        <f t="shared" si="41"/>
        <v>0</v>
      </c>
    </row>
    <row r="2638" spans="1:14" x14ac:dyDescent="0.35">
      <c r="A2638">
        <v>2637</v>
      </c>
      <c r="B2638" t="s">
        <v>20</v>
      </c>
      <c r="C2638">
        <v>46</v>
      </c>
      <c r="D2638" t="s">
        <v>17</v>
      </c>
      <c r="E2638" t="s">
        <v>24</v>
      </c>
      <c r="F2638">
        <v>112</v>
      </c>
      <c r="G2638">
        <v>92</v>
      </c>
      <c r="H2638">
        <v>0.2</v>
      </c>
      <c r="I2638" t="s">
        <v>15</v>
      </c>
      <c r="J2638">
        <v>0</v>
      </c>
      <c r="K2638">
        <v>1</v>
      </c>
      <c r="L2638">
        <v>0</v>
      </c>
      <c r="M2638">
        <f>VLOOKUP(Table1[[#This Row],[subscription_type]],Plans!$A$1:$B$5,2,FALSE)</f>
        <v>4.99</v>
      </c>
      <c r="N2638">
        <f t="shared" si="41"/>
        <v>0</v>
      </c>
    </row>
    <row r="2639" spans="1:14" x14ac:dyDescent="0.35">
      <c r="A2639">
        <v>2638</v>
      </c>
      <c r="B2639" t="s">
        <v>16</v>
      </c>
      <c r="C2639">
        <v>18</v>
      </c>
      <c r="D2639" t="s">
        <v>21</v>
      </c>
      <c r="E2639" t="s">
        <v>18</v>
      </c>
      <c r="F2639">
        <v>78</v>
      </c>
      <c r="G2639">
        <v>43</v>
      </c>
      <c r="H2639">
        <v>0.1</v>
      </c>
      <c r="I2639" t="s">
        <v>15</v>
      </c>
      <c r="J2639">
        <v>0</v>
      </c>
      <c r="K2639">
        <v>1</v>
      </c>
      <c r="L2639">
        <v>1</v>
      </c>
      <c r="M2639">
        <f>VLOOKUP(Table1[[#This Row],[subscription_type]],Plans!$A$1:$B$5,2,FALSE)</f>
        <v>14.99</v>
      </c>
      <c r="N2639">
        <f t="shared" si="41"/>
        <v>14.99</v>
      </c>
    </row>
    <row r="2640" spans="1:14" x14ac:dyDescent="0.35">
      <c r="A2640">
        <v>2639</v>
      </c>
      <c r="B2640" t="s">
        <v>12</v>
      </c>
      <c r="C2640">
        <v>39</v>
      </c>
      <c r="D2640" t="s">
        <v>25</v>
      </c>
      <c r="E2640" t="s">
        <v>18</v>
      </c>
      <c r="F2640">
        <v>280</v>
      </c>
      <c r="G2640">
        <v>57</v>
      </c>
      <c r="H2640">
        <v>7.0000000000000007E-2</v>
      </c>
      <c r="I2640" t="s">
        <v>19</v>
      </c>
      <c r="J2640">
        <v>0</v>
      </c>
      <c r="K2640">
        <v>1</v>
      </c>
      <c r="L2640">
        <v>1</v>
      </c>
      <c r="M2640">
        <f>VLOOKUP(Table1[[#This Row],[subscription_type]],Plans!$A$1:$B$5,2,FALSE)</f>
        <v>14.99</v>
      </c>
      <c r="N2640">
        <f t="shared" si="41"/>
        <v>14.99</v>
      </c>
    </row>
    <row r="2641" spans="1:14" x14ac:dyDescent="0.35">
      <c r="A2641">
        <v>2640</v>
      </c>
      <c r="B2641" t="s">
        <v>16</v>
      </c>
      <c r="C2641">
        <v>38</v>
      </c>
      <c r="D2641" t="s">
        <v>28</v>
      </c>
      <c r="E2641" t="s">
        <v>14</v>
      </c>
      <c r="F2641">
        <v>246</v>
      </c>
      <c r="G2641">
        <v>91</v>
      </c>
      <c r="H2641">
        <v>0.17</v>
      </c>
      <c r="I2641" t="s">
        <v>19</v>
      </c>
      <c r="J2641">
        <v>49</v>
      </c>
      <c r="K2641">
        <v>0</v>
      </c>
      <c r="L2641">
        <v>0</v>
      </c>
      <c r="M2641">
        <f>VLOOKUP(Table1[[#This Row],[subscription_type]],Plans!$A$1:$B$5,2,FALSE)</f>
        <v>0</v>
      </c>
      <c r="N2641">
        <f t="shared" si="41"/>
        <v>0</v>
      </c>
    </row>
    <row r="2642" spans="1:14" x14ac:dyDescent="0.35">
      <c r="A2642">
        <v>2641</v>
      </c>
      <c r="B2642" t="s">
        <v>20</v>
      </c>
      <c r="C2642">
        <v>33</v>
      </c>
      <c r="D2642" t="s">
        <v>26</v>
      </c>
      <c r="E2642" t="s">
        <v>22</v>
      </c>
      <c r="F2642">
        <v>13</v>
      </c>
      <c r="G2642">
        <v>84</v>
      </c>
      <c r="H2642">
        <v>0.38</v>
      </c>
      <c r="I2642" t="s">
        <v>15</v>
      </c>
      <c r="J2642">
        <v>0</v>
      </c>
      <c r="K2642">
        <v>1</v>
      </c>
      <c r="L2642">
        <v>0</v>
      </c>
      <c r="M2642">
        <f>VLOOKUP(Table1[[#This Row],[subscription_type]],Plans!$A$1:$B$5,2,FALSE)</f>
        <v>9.99</v>
      </c>
      <c r="N2642">
        <f t="shared" si="41"/>
        <v>0</v>
      </c>
    </row>
    <row r="2643" spans="1:14" x14ac:dyDescent="0.35">
      <c r="A2643">
        <v>2642</v>
      </c>
      <c r="B2643" t="s">
        <v>16</v>
      </c>
      <c r="C2643">
        <v>57</v>
      </c>
      <c r="D2643" t="s">
        <v>27</v>
      </c>
      <c r="E2643" t="s">
        <v>14</v>
      </c>
      <c r="F2643">
        <v>209</v>
      </c>
      <c r="G2643">
        <v>68</v>
      </c>
      <c r="H2643">
        <v>0.24</v>
      </c>
      <c r="I2643" t="s">
        <v>23</v>
      </c>
      <c r="J2643">
        <v>34</v>
      </c>
      <c r="K2643">
        <v>0</v>
      </c>
      <c r="L2643">
        <v>0</v>
      </c>
      <c r="M2643">
        <f>VLOOKUP(Table1[[#This Row],[subscription_type]],Plans!$A$1:$B$5,2,FALSE)</f>
        <v>0</v>
      </c>
      <c r="N2643">
        <f t="shared" si="41"/>
        <v>0</v>
      </c>
    </row>
    <row r="2644" spans="1:14" x14ac:dyDescent="0.35">
      <c r="A2644">
        <v>2643</v>
      </c>
      <c r="B2644" t="s">
        <v>20</v>
      </c>
      <c r="C2644">
        <v>27</v>
      </c>
      <c r="D2644" t="s">
        <v>13</v>
      </c>
      <c r="E2644" t="s">
        <v>18</v>
      </c>
      <c r="F2644">
        <v>12</v>
      </c>
      <c r="G2644">
        <v>74</v>
      </c>
      <c r="H2644">
        <v>0.14000000000000001</v>
      </c>
      <c r="I2644" t="s">
        <v>23</v>
      </c>
      <c r="J2644">
        <v>0</v>
      </c>
      <c r="K2644">
        <v>1</v>
      </c>
      <c r="L2644">
        <v>0</v>
      </c>
      <c r="M2644">
        <f>VLOOKUP(Table1[[#This Row],[subscription_type]],Plans!$A$1:$B$5,2,FALSE)</f>
        <v>14.99</v>
      </c>
      <c r="N2644">
        <f t="shared" si="41"/>
        <v>0</v>
      </c>
    </row>
    <row r="2645" spans="1:14" x14ac:dyDescent="0.35">
      <c r="A2645">
        <v>2644</v>
      </c>
      <c r="B2645" t="s">
        <v>20</v>
      </c>
      <c r="C2645">
        <v>46</v>
      </c>
      <c r="D2645" t="s">
        <v>29</v>
      </c>
      <c r="E2645" t="s">
        <v>18</v>
      </c>
      <c r="F2645">
        <v>213</v>
      </c>
      <c r="G2645">
        <v>34</v>
      </c>
      <c r="H2645">
        <v>0.06</v>
      </c>
      <c r="I2645" t="s">
        <v>23</v>
      </c>
      <c r="J2645">
        <v>0</v>
      </c>
      <c r="K2645">
        <v>1</v>
      </c>
      <c r="L2645">
        <v>0</v>
      </c>
      <c r="M2645">
        <f>VLOOKUP(Table1[[#This Row],[subscription_type]],Plans!$A$1:$B$5,2,FALSE)</f>
        <v>14.99</v>
      </c>
      <c r="N2645">
        <f t="shared" si="41"/>
        <v>0</v>
      </c>
    </row>
    <row r="2646" spans="1:14" x14ac:dyDescent="0.35">
      <c r="A2646">
        <v>2645</v>
      </c>
      <c r="B2646" t="s">
        <v>12</v>
      </c>
      <c r="C2646">
        <v>45</v>
      </c>
      <c r="D2646" t="s">
        <v>28</v>
      </c>
      <c r="E2646" t="s">
        <v>22</v>
      </c>
      <c r="F2646">
        <v>276</v>
      </c>
      <c r="G2646">
        <v>60</v>
      </c>
      <c r="H2646">
        <v>0.01</v>
      </c>
      <c r="I2646" t="s">
        <v>15</v>
      </c>
      <c r="J2646">
        <v>0</v>
      </c>
      <c r="K2646">
        <v>1</v>
      </c>
      <c r="L2646">
        <v>0</v>
      </c>
      <c r="M2646">
        <f>VLOOKUP(Table1[[#This Row],[subscription_type]],Plans!$A$1:$B$5,2,FALSE)</f>
        <v>9.99</v>
      </c>
      <c r="N2646">
        <f t="shared" si="41"/>
        <v>0</v>
      </c>
    </row>
    <row r="2647" spans="1:14" x14ac:dyDescent="0.35">
      <c r="A2647">
        <v>2646</v>
      </c>
      <c r="B2647" t="s">
        <v>16</v>
      </c>
      <c r="C2647">
        <v>45</v>
      </c>
      <c r="D2647" t="s">
        <v>28</v>
      </c>
      <c r="E2647" t="s">
        <v>24</v>
      </c>
      <c r="F2647">
        <v>238</v>
      </c>
      <c r="G2647">
        <v>20</v>
      </c>
      <c r="H2647">
        <v>0.02</v>
      </c>
      <c r="I2647" t="s">
        <v>15</v>
      </c>
      <c r="J2647">
        <v>0</v>
      </c>
      <c r="K2647">
        <v>1</v>
      </c>
      <c r="L2647">
        <v>0</v>
      </c>
      <c r="M2647">
        <f>VLOOKUP(Table1[[#This Row],[subscription_type]],Plans!$A$1:$B$5,2,FALSE)</f>
        <v>4.99</v>
      </c>
      <c r="N2647">
        <f t="shared" si="41"/>
        <v>0</v>
      </c>
    </row>
    <row r="2648" spans="1:14" x14ac:dyDescent="0.35">
      <c r="A2648">
        <v>2647</v>
      </c>
      <c r="B2648" t="s">
        <v>16</v>
      </c>
      <c r="C2648">
        <v>20</v>
      </c>
      <c r="D2648" t="s">
        <v>27</v>
      </c>
      <c r="E2648" t="s">
        <v>14</v>
      </c>
      <c r="F2648">
        <v>167</v>
      </c>
      <c r="G2648">
        <v>84</v>
      </c>
      <c r="H2648">
        <v>0.5</v>
      </c>
      <c r="I2648" t="s">
        <v>23</v>
      </c>
      <c r="J2648">
        <v>16</v>
      </c>
      <c r="K2648">
        <v>0</v>
      </c>
      <c r="L2648">
        <v>1</v>
      </c>
      <c r="M2648">
        <f>VLOOKUP(Table1[[#This Row],[subscription_type]],Plans!$A$1:$B$5,2,FALSE)</f>
        <v>0</v>
      </c>
      <c r="N2648">
        <f t="shared" si="41"/>
        <v>0</v>
      </c>
    </row>
    <row r="2649" spans="1:14" x14ac:dyDescent="0.35">
      <c r="A2649">
        <v>2648</v>
      </c>
      <c r="B2649" t="s">
        <v>16</v>
      </c>
      <c r="C2649">
        <v>26</v>
      </c>
      <c r="D2649" t="s">
        <v>13</v>
      </c>
      <c r="E2649" t="s">
        <v>24</v>
      </c>
      <c r="F2649">
        <v>123</v>
      </c>
      <c r="G2649">
        <v>39</v>
      </c>
      <c r="H2649">
        <v>0.03</v>
      </c>
      <c r="I2649" t="s">
        <v>23</v>
      </c>
      <c r="J2649">
        <v>0</v>
      </c>
      <c r="K2649">
        <v>1</v>
      </c>
      <c r="L2649">
        <v>0</v>
      </c>
      <c r="M2649">
        <f>VLOOKUP(Table1[[#This Row],[subscription_type]],Plans!$A$1:$B$5,2,FALSE)</f>
        <v>4.99</v>
      </c>
      <c r="N2649">
        <f t="shared" si="41"/>
        <v>0</v>
      </c>
    </row>
    <row r="2650" spans="1:14" x14ac:dyDescent="0.35">
      <c r="A2650">
        <v>2649</v>
      </c>
      <c r="B2650" t="s">
        <v>12</v>
      </c>
      <c r="C2650">
        <v>20</v>
      </c>
      <c r="D2650" t="s">
        <v>17</v>
      </c>
      <c r="E2650" t="s">
        <v>22</v>
      </c>
      <c r="F2650">
        <v>28</v>
      </c>
      <c r="G2650">
        <v>49</v>
      </c>
      <c r="H2650">
        <v>0.3</v>
      </c>
      <c r="I2650" t="s">
        <v>19</v>
      </c>
      <c r="J2650">
        <v>0</v>
      </c>
      <c r="K2650">
        <v>1</v>
      </c>
      <c r="L2650">
        <v>0</v>
      </c>
      <c r="M2650">
        <f>VLOOKUP(Table1[[#This Row],[subscription_type]],Plans!$A$1:$B$5,2,FALSE)</f>
        <v>9.99</v>
      </c>
      <c r="N2650">
        <f t="shared" si="41"/>
        <v>0</v>
      </c>
    </row>
    <row r="2651" spans="1:14" x14ac:dyDescent="0.35">
      <c r="A2651">
        <v>2650</v>
      </c>
      <c r="B2651" t="s">
        <v>16</v>
      </c>
      <c r="C2651">
        <v>38</v>
      </c>
      <c r="D2651" t="s">
        <v>17</v>
      </c>
      <c r="E2651" t="s">
        <v>24</v>
      </c>
      <c r="F2651">
        <v>55</v>
      </c>
      <c r="G2651">
        <v>92</v>
      </c>
      <c r="H2651">
        <v>0.5</v>
      </c>
      <c r="I2651" t="s">
        <v>23</v>
      </c>
      <c r="J2651">
        <v>0</v>
      </c>
      <c r="K2651">
        <v>1</v>
      </c>
      <c r="L2651">
        <v>1</v>
      </c>
      <c r="M2651">
        <f>VLOOKUP(Table1[[#This Row],[subscription_type]],Plans!$A$1:$B$5,2,FALSE)</f>
        <v>4.99</v>
      </c>
      <c r="N2651">
        <f t="shared" si="41"/>
        <v>4.99</v>
      </c>
    </row>
    <row r="2652" spans="1:14" x14ac:dyDescent="0.35">
      <c r="A2652">
        <v>2651</v>
      </c>
      <c r="B2652" t="s">
        <v>20</v>
      </c>
      <c r="C2652">
        <v>56</v>
      </c>
      <c r="D2652" t="s">
        <v>17</v>
      </c>
      <c r="E2652" t="s">
        <v>22</v>
      </c>
      <c r="F2652">
        <v>17</v>
      </c>
      <c r="G2652">
        <v>23</v>
      </c>
      <c r="H2652">
        <v>0.27</v>
      </c>
      <c r="I2652" t="s">
        <v>15</v>
      </c>
      <c r="J2652">
        <v>0</v>
      </c>
      <c r="K2652">
        <v>1</v>
      </c>
      <c r="L2652">
        <v>0</v>
      </c>
      <c r="M2652">
        <f>VLOOKUP(Table1[[#This Row],[subscription_type]],Plans!$A$1:$B$5,2,FALSE)</f>
        <v>9.99</v>
      </c>
      <c r="N2652">
        <f t="shared" si="41"/>
        <v>0</v>
      </c>
    </row>
    <row r="2653" spans="1:14" x14ac:dyDescent="0.35">
      <c r="A2653">
        <v>2652</v>
      </c>
      <c r="B2653" t="s">
        <v>12</v>
      </c>
      <c r="C2653">
        <v>28</v>
      </c>
      <c r="D2653" t="s">
        <v>28</v>
      </c>
      <c r="E2653" t="s">
        <v>14</v>
      </c>
      <c r="F2653">
        <v>209</v>
      </c>
      <c r="G2653">
        <v>59</v>
      </c>
      <c r="H2653">
        <v>0.31</v>
      </c>
      <c r="I2653" t="s">
        <v>23</v>
      </c>
      <c r="J2653">
        <v>44</v>
      </c>
      <c r="K2653">
        <v>0</v>
      </c>
      <c r="L2653">
        <v>0</v>
      </c>
      <c r="M2653">
        <f>VLOOKUP(Table1[[#This Row],[subscription_type]],Plans!$A$1:$B$5,2,FALSE)</f>
        <v>0</v>
      </c>
      <c r="N2653">
        <f t="shared" si="41"/>
        <v>0</v>
      </c>
    </row>
    <row r="2654" spans="1:14" x14ac:dyDescent="0.35">
      <c r="A2654">
        <v>2653</v>
      </c>
      <c r="B2654" t="s">
        <v>16</v>
      </c>
      <c r="C2654">
        <v>33</v>
      </c>
      <c r="D2654" t="s">
        <v>17</v>
      </c>
      <c r="E2654" t="s">
        <v>18</v>
      </c>
      <c r="F2654">
        <v>31</v>
      </c>
      <c r="G2654">
        <v>55</v>
      </c>
      <c r="H2654">
        <v>0.56999999999999995</v>
      </c>
      <c r="I2654" t="s">
        <v>19</v>
      </c>
      <c r="J2654">
        <v>0</v>
      </c>
      <c r="K2654">
        <v>1</v>
      </c>
      <c r="L2654">
        <v>0</v>
      </c>
      <c r="M2654">
        <f>VLOOKUP(Table1[[#This Row],[subscription_type]],Plans!$A$1:$B$5,2,FALSE)</f>
        <v>14.99</v>
      </c>
      <c r="N2654">
        <f t="shared" si="41"/>
        <v>0</v>
      </c>
    </row>
    <row r="2655" spans="1:14" x14ac:dyDescent="0.35">
      <c r="A2655">
        <v>2654</v>
      </c>
      <c r="B2655" t="s">
        <v>16</v>
      </c>
      <c r="C2655">
        <v>19</v>
      </c>
      <c r="D2655" t="s">
        <v>27</v>
      </c>
      <c r="E2655" t="s">
        <v>24</v>
      </c>
      <c r="F2655">
        <v>122</v>
      </c>
      <c r="G2655">
        <v>64</v>
      </c>
      <c r="H2655">
        <v>0.48</v>
      </c>
      <c r="I2655" t="s">
        <v>19</v>
      </c>
      <c r="J2655">
        <v>0</v>
      </c>
      <c r="K2655">
        <v>1</v>
      </c>
      <c r="L2655">
        <v>0</v>
      </c>
      <c r="M2655">
        <f>VLOOKUP(Table1[[#This Row],[subscription_type]],Plans!$A$1:$B$5,2,FALSE)</f>
        <v>4.99</v>
      </c>
      <c r="N2655">
        <f t="shared" si="41"/>
        <v>0</v>
      </c>
    </row>
    <row r="2656" spans="1:14" x14ac:dyDescent="0.35">
      <c r="A2656">
        <v>2655</v>
      </c>
      <c r="B2656" t="s">
        <v>12</v>
      </c>
      <c r="C2656">
        <v>38</v>
      </c>
      <c r="D2656" t="s">
        <v>26</v>
      </c>
      <c r="E2656" t="s">
        <v>18</v>
      </c>
      <c r="F2656">
        <v>274</v>
      </c>
      <c r="G2656">
        <v>17</v>
      </c>
      <c r="H2656">
        <v>0.46</v>
      </c>
      <c r="I2656" t="s">
        <v>23</v>
      </c>
      <c r="J2656">
        <v>0</v>
      </c>
      <c r="K2656">
        <v>1</v>
      </c>
      <c r="L2656">
        <v>1</v>
      </c>
      <c r="M2656">
        <f>VLOOKUP(Table1[[#This Row],[subscription_type]],Plans!$A$1:$B$5,2,FALSE)</f>
        <v>14.99</v>
      </c>
      <c r="N2656">
        <f t="shared" si="41"/>
        <v>14.99</v>
      </c>
    </row>
    <row r="2657" spans="1:14" x14ac:dyDescent="0.35">
      <c r="A2657">
        <v>2656</v>
      </c>
      <c r="B2657" t="s">
        <v>12</v>
      </c>
      <c r="C2657">
        <v>50</v>
      </c>
      <c r="D2657" t="s">
        <v>25</v>
      </c>
      <c r="E2657" t="s">
        <v>22</v>
      </c>
      <c r="F2657">
        <v>153</v>
      </c>
      <c r="G2657">
        <v>70</v>
      </c>
      <c r="H2657">
        <v>0.59</v>
      </c>
      <c r="I2657" t="s">
        <v>15</v>
      </c>
      <c r="J2657">
        <v>0</v>
      </c>
      <c r="K2657">
        <v>1</v>
      </c>
      <c r="L2657">
        <v>1</v>
      </c>
      <c r="M2657">
        <f>VLOOKUP(Table1[[#This Row],[subscription_type]],Plans!$A$1:$B$5,2,FALSE)</f>
        <v>9.99</v>
      </c>
      <c r="N2657">
        <f t="shared" si="41"/>
        <v>9.99</v>
      </c>
    </row>
    <row r="2658" spans="1:14" x14ac:dyDescent="0.35">
      <c r="A2658">
        <v>2657</v>
      </c>
      <c r="B2658" t="s">
        <v>20</v>
      </c>
      <c r="C2658">
        <v>58</v>
      </c>
      <c r="D2658" t="s">
        <v>21</v>
      </c>
      <c r="E2658" t="s">
        <v>14</v>
      </c>
      <c r="F2658">
        <v>117</v>
      </c>
      <c r="G2658">
        <v>14</v>
      </c>
      <c r="H2658">
        <v>0.4</v>
      </c>
      <c r="I2658" t="s">
        <v>15</v>
      </c>
      <c r="J2658">
        <v>39</v>
      </c>
      <c r="K2658">
        <v>0</v>
      </c>
      <c r="L2658">
        <v>0</v>
      </c>
      <c r="M2658">
        <f>VLOOKUP(Table1[[#This Row],[subscription_type]],Plans!$A$1:$B$5,2,FALSE)</f>
        <v>0</v>
      </c>
      <c r="N2658">
        <f t="shared" si="41"/>
        <v>0</v>
      </c>
    </row>
    <row r="2659" spans="1:14" x14ac:dyDescent="0.35">
      <c r="A2659">
        <v>2658</v>
      </c>
      <c r="B2659" t="s">
        <v>20</v>
      </c>
      <c r="C2659">
        <v>55</v>
      </c>
      <c r="D2659" t="s">
        <v>17</v>
      </c>
      <c r="E2659" t="s">
        <v>22</v>
      </c>
      <c r="F2659">
        <v>14</v>
      </c>
      <c r="G2659">
        <v>80</v>
      </c>
      <c r="H2659">
        <v>0.42</v>
      </c>
      <c r="I2659" t="s">
        <v>23</v>
      </c>
      <c r="J2659">
        <v>0</v>
      </c>
      <c r="K2659">
        <v>1</v>
      </c>
      <c r="L2659">
        <v>0</v>
      </c>
      <c r="M2659">
        <f>VLOOKUP(Table1[[#This Row],[subscription_type]],Plans!$A$1:$B$5,2,FALSE)</f>
        <v>9.99</v>
      </c>
      <c r="N2659">
        <f t="shared" si="41"/>
        <v>0</v>
      </c>
    </row>
    <row r="2660" spans="1:14" x14ac:dyDescent="0.35">
      <c r="A2660">
        <v>2659</v>
      </c>
      <c r="B2660" t="s">
        <v>20</v>
      </c>
      <c r="C2660">
        <v>38</v>
      </c>
      <c r="D2660" t="s">
        <v>13</v>
      </c>
      <c r="E2660" t="s">
        <v>18</v>
      </c>
      <c r="F2660">
        <v>173</v>
      </c>
      <c r="G2660">
        <v>31</v>
      </c>
      <c r="H2660">
        <v>0.05</v>
      </c>
      <c r="I2660" t="s">
        <v>15</v>
      </c>
      <c r="J2660">
        <v>0</v>
      </c>
      <c r="K2660">
        <v>1</v>
      </c>
      <c r="L2660">
        <v>0</v>
      </c>
      <c r="M2660">
        <f>VLOOKUP(Table1[[#This Row],[subscription_type]],Plans!$A$1:$B$5,2,FALSE)</f>
        <v>14.99</v>
      </c>
      <c r="N2660">
        <f t="shared" si="41"/>
        <v>0</v>
      </c>
    </row>
    <row r="2661" spans="1:14" x14ac:dyDescent="0.35">
      <c r="A2661">
        <v>2660</v>
      </c>
      <c r="B2661" t="s">
        <v>20</v>
      </c>
      <c r="C2661">
        <v>44</v>
      </c>
      <c r="D2661" t="s">
        <v>21</v>
      </c>
      <c r="E2661" t="s">
        <v>14</v>
      </c>
      <c r="F2661">
        <v>277</v>
      </c>
      <c r="G2661">
        <v>54</v>
      </c>
      <c r="H2661">
        <v>0.3</v>
      </c>
      <c r="I2661" t="s">
        <v>15</v>
      </c>
      <c r="J2661">
        <v>29</v>
      </c>
      <c r="K2661">
        <v>0</v>
      </c>
      <c r="L2661">
        <v>0</v>
      </c>
      <c r="M2661">
        <f>VLOOKUP(Table1[[#This Row],[subscription_type]],Plans!$A$1:$B$5,2,FALSE)</f>
        <v>0</v>
      </c>
      <c r="N2661">
        <f t="shared" si="41"/>
        <v>0</v>
      </c>
    </row>
    <row r="2662" spans="1:14" x14ac:dyDescent="0.35">
      <c r="A2662">
        <v>2661</v>
      </c>
      <c r="B2662" t="s">
        <v>16</v>
      </c>
      <c r="C2662">
        <v>59</v>
      </c>
      <c r="D2662" t="s">
        <v>25</v>
      </c>
      <c r="E2662" t="s">
        <v>24</v>
      </c>
      <c r="F2662">
        <v>77</v>
      </c>
      <c r="G2662">
        <v>12</v>
      </c>
      <c r="H2662">
        <v>0.34</v>
      </c>
      <c r="I2662" t="s">
        <v>23</v>
      </c>
      <c r="J2662">
        <v>0</v>
      </c>
      <c r="K2662">
        <v>1</v>
      </c>
      <c r="L2662">
        <v>0</v>
      </c>
      <c r="M2662">
        <f>VLOOKUP(Table1[[#This Row],[subscription_type]],Plans!$A$1:$B$5,2,FALSE)</f>
        <v>4.99</v>
      </c>
      <c r="N2662">
        <f t="shared" si="41"/>
        <v>0</v>
      </c>
    </row>
    <row r="2663" spans="1:14" x14ac:dyDescent="0.35">
      <c r="A2663">
        <v>2662</v>
      </c>
      <c r="B2663" t="s">
        <v>20</v>
      </c>
      <c r="C2663">
        <v>51</v>
      </c>
      <c r="D2663" t="s">
        <v>28</v>
      </c>
      <c r="E2663" t="s">
        <v>24</v>
      </c>
      <c r="F2663">
        <v>229</v>
      </c>
      <c r="G2663">
        <v>37</v>
      </c>
      <c r="H2663">
        <v>0.37</v>
      </c>
      <c r="I2663" t="s">
        <v>19</v>
      </c>
      <c r="J2663">
        <v>0</v>
      </c>
      <c r="K2663">
        <v>1</v>
      </c>
      <c r="L2663">
        <v>0</v>
      </c>
      <c r="M2663">
        <f>VLOOKUP(Table1[[#This Row],[subscription_type]],Plans!$A$1:$B$5,2,FALSE)</f>
        <v>4.99</v>
      </c>
      <c r="N2663">
        <f t="shared" si="41"/>
        <v>0</v>
      </c>
    </row>
    <row r="2664" spans="1:14" x14ac:dyDescent="0.35">
      <c r="A2664">
        <v>2663</v>
      </c>
      <c r="B2664" t="s">
        <v>20</v>
      </c>
      <c r="C2664">
        <v>21</v>
      </c>
      <c r="D2664" t="s">
        <v>29</v>
      </c>
      <c r="E2664" t="s">
        <v>22</v>
      </c>
      <c r="F2664">
        <v>39</v>
      </c>
      <c r="G2664">
        <v>62</v>
      </c>
      <c r="H2664">
        <v>0.04</v>
      </c>
      <c r="I2664" t="s">
        <v>23</v>
      </c>
      <c r="J2664">
        <v>0</v>
      </c>
      <c r="K2664">
        <v>1</v>
      </c>
      <c r="L2664">
        <v>0</v>
      </c>
      <c r="M2664">
        <f>VLOOKUP(Table1[[#This Row],[subscription_type]],Plans!$A$1:$B$5,2,FALSE)</f>
        <v>9.99</v>
      </c>
      <c r="N2664">
        <f t="shared" si="41"/>
        <v>0</v>
      </c>
    </row>
    <row r="2665" spans="1:14" x14ac:dyDescent="0.35">
      <c r="A2665">
        <v>2664</v>
      </c>
      <c r="B2665" t="s">
        <v>16</v>
      </c>
      <c r="C2665">
        <v>28</v>
      </c>
      <c r="D2665" t="s">
        <v>13</v>
      </c>
      <c r="E2665" t="s">
        <v>14</v>
      </c>
      <c r="F2665">
        <v>174</v>
      </c>
      <c r="G2665">
        <v>16</v>
      </c>
      <c r="H2665">
        <v>0.44</v>
      </c>
      <c r="I2665" t="s">
        <v>23</v>
      </c>
      <c r="J2665">
        <v>46</v>
      </c>
      <c r="K2665">
        <v>0</v>
      </c>
      <c r="L2665">
        <v>0</v>
      </c>
      <c r="M2665">
        <f>VLOOKUP(Table1[[#This Row],[subscription_type]],Plans!$A$1:$B$5,2,FALSE)</f>
        <v>0</v>
      </c>
      <c r="N2665">
        <f t="shared" si="41"/>
        <v>0</v>
      </c>
    </row>
    <row r="2666" spans="1:14" x14ac:dyDescent="0.35">
      <c r="A2666">
        <v>2665</v>
      </c>
      <c r="B2666" t="s">
        <v>20</v>
      </c>
      <c r="C2666">
        <v>54</v>
      </c>
      <c r="D2666" t="s">
        <v>28</v>
      </c>
      <c r="E2666" t="s">
        <v>18</v>
      </c>
      <c r="F2666">
        <v>278</v>
      </c>
      <c r="G2666">
        <v>16</v>
      </c>
      <c r="H2666">
        <v>0.46</v>
      </c>
      <c r="I2666" t="s">
        <v>23</v>
      </c>
      <c r="J2666">
        <v>0</v>
      </c>
      <c r="K2666">
        <v>1</v>
      </c>
      <c r="L2666">
        <v>0</v>
      </c>
      <c r="M2666">
        <f>VLOOKUP(Table1[[#This Row],[subscription_type]],Plans!$A$1:$B$5,2,FALSE)</f>
        <v>14.99</v>
      </c>
      <c r="N2666">
        <f t="shared" si="41"/>
        <v>0</v>
      </c>
    </row>
    <row r="2667" spans="1:14" x14ac:dyDescent="0.35">
      <c r="A2667">
        <v>2666</v>
      </c>
      <c r="B2667" t="s">
        <v>12</v>
      </c>
      <c r="C2667">
        <v>17</v>
      </c>
      <c r="D2667" t="s">
        <v>29</v>
      </c>
      <c r="E2667" t="s">
        <v>14</v>
      </c>
      <c r="F2667">
        <v>253</v>
      </c>
      <c r="G2667">
        <v>98</v>
      </c>
      <c r="H2667">
        <v>0.33</v>
      </c>
      <c r="I2667" t="s">
        <v>23</v>
      </c>
      <c r="J2667">
        <v>38</v>
      </c>
      <c r="K2667">
        <v>0</v>
      </c>
      <c r="L2667">
        <v>0</v>
      </c>
      <c r="M2667">
        <f>VLOOKUP(Table1[[#This Row],[subscription_type]],Plans!$A$1:$B$5,2,FALSE)</f>
        <v>0</v>
      </c>
      <c r="N2667">
        <f t="shared" si="41"/>
        <v>0</v>
      </c>
    </row>
    <row r="2668" spans="1:14" x14ac:dyDescent="0.35">
      <c r="A2668">
        <v>2667</v>
      </c>
      <c r="B2668" t="s">
        <v>16</v>
      </c>
      <c r="C2668">
        <v>32</v>
      </c>
      <c r="D2668" t="s">
        <v>28</v>
      </c>
      <c r="E2668" t="s">
        <v>18</v>
      </c>
      <c r="F2668">
        <v>182</v>
      </c>
      <c r="G2668">
        <v>37</v>
      </c>
      <c r="H2668">
        <v>0.39</v>
      </c>
      <c r="I2668" t="s">
        <v>15</v>
      </c>
      <c r="J2668">
        <v>0</v>
      </c>
      <c r="K2668">
        <v>1</v>
      </c>
      <c r="L2668">
        <v>1</v>
      </c>
      <c r="M2668">
        <f>VLOOKUP(Table1[[#This Row],[subscription_type]],Plans!$A$1:$B$5,2,FALSE)</f>
        <v>14.99</v>
      </c>
      <c r="N2668">
        <f t="shared" si="41"/>
        <v>14.99</v>
      </c>
    </row>
    <row r="2669" spans="1:14" x14ac:dyDescent="0.35">
      <c r="A2669">
        <v>2668</v>
      </c>
      <c r="B2669" t="s">
        <v>12</v>
      </c>
      <c r="C2669">
        <v>57</v>
      </c>
      <c r="D2669" t="s">
        <v>28</v>
      </c>
      <c r="E2669" t="s">
        <v>24</v>
      </c>
      <c r="F2669">
        <v>36</v>
      </c>
      <c r="G2669">
        <v>49</v>
      </c>
      <c r="H2669">
        <v>0.13</v>
      </c>
      <c r="I2669" t="s">
        <v>19</v>
      </c>
      <c r="J2669">
        <v>0</v>
      </c>
      <c r="K2669">
        <v>1</v>
      </c>
      <c r="L2669">
        <v>0</v>
      </c>
      <c r="M2669">
        <f>VLOOKUP(Table1[[#This Row],[subscription_type]],Plans!$A$1:$B$5,2,FALSE)</f>
        <v>4.99</v>
      </c>
      <c r="N2669">
        <f t="shared" si="41"/>
        <v>0</v>
      </c>
    </row>
    <row r="2670" spans="1:14" x14ac:dyDescent="0.35">
      <c r="A2670">
        <v>2669</v>
      </c>
      <c r="B2670" t="s">
        <v>16</v>
      </c>
      <c r="C2670">
        <v>28</v>
      </c>
      <c r="D2670" t="s">
        <v>13</v>
      </c>
      <c r="E2670" t="s">
        <v>14</v>
      </c>
      <c r="F2670">
        <v>12</v>
      </c>
      <c r="G2670">
        <v>48</v>
      </c>
      <c r="H2670">
        <v>0.51</v>
      </c>
      <c r="I2670" t="s">
        <v>15</v>
      </c>
      <c r="J2670">
        <v>26</v>
      </c>
      <c r="K2670">
        <v>0</v>
      </c>
      <c r="L2670">
        <v>0</v>
      </c>
      <c r="M2670">
        <f>VLOOKUP(Table1[[#This Row],[subscription_type]],Plans!$A$1:$B$5,2,FALSE)</f>
        <v>0</v>
      </c>
      <c r="N2670">
        <f t="shared" si="41"/>
        <v>0</v>
      </c>
    </row>
    <row r="2671" spans="1:14" x14ac:dyDescent="0.35">
      <c r="A2671">
        <v>2670</v>
      </c>
      <c r="B2671" t="s">
        <v>12</v>
      </c>
      <c r="C2671">
        <v>48</v>
      </c>
      <c r="D2671" t="s">
        <v>29</v>
      </c>
      <c r="E2671" t="s">
        <v>22</v>
      </c>
      <c r="F2671">
        <v>183</v>
      </c>
      <c r="G2671">
        <v>63</v>
      </c>
      <c r="H2671">
        <v>0.36</v>
      </c>
      <c r="I2671" t="s">
        <v>15</v>
      </c>
      <c r="J2671">
        <v>0</v>
      </c>
      <c r="K2671">
        <v>1</v>
      </c>
      <c r="L2671">
        <v>1</v>
      </c>
      <c r="M2671">
        <f>VLOOKUP(Table1[[#This Row],[subscription_type]],Plans!$A$1:$B$5,2,FALSE)</f>
        <v>9.99</v>
      </c>
      <c r="N2671">
        <f t="shared" si="41"/>
        <v>9.99</v>
      </c>
    </row>
    <row r="2672" spans="1:14" x14ac:dyDescent="0.35">
      <c r="A2672">
        <v>2671</v>
      </c>
      <c r="B2672" t="s">
        <v>20</v>
      </c>
      <c r="C2672">
        <v>47</v>
      </c>
      <c r="D2672" t="s">
        <v>26</v>
      </c>
      <c r="E2672" t="s">
        <v>24</v>
      </c>
      <c r="F2672">
        <v>41</v>
      </c>
      <c r="G2672">
        <v>76</v>
      </c>
      <c r="H2672">
        <v>0.45</v>
      </c>
      <c r="I2672" t="s">
        <v>15</v>
      </c>
      <c r="J2672">
        <v>0</v>
      </c>
      <c r="K2672">
        <v>1</v>
      </c>
      <c r="L2672">
        <v>0</v>
      </c>
      <c r="M2672">
        <f>VLOOKUP(Table1[[#This Row],[subscription_type]],Plans!$A$1:$B$5,2,FALSE)</f>
        <v>4.99</v>
      </c>
      <c r="N2672">
        <f t="shared" si="41"/>
        <v>0</v>
      </c>
    </row>
    <row r="2673" spans="1:14" x14ac:dyDescent="0.35">
      <c r="A2673">
        <v>2672</v>
      </c>
      <c r="B2673" t="s">
        <v>20</v>
      </c>
      <c r="C2673">
        <v>56</v>
      </c>
      <c r="D2673" t="s">
        <v>13</v>
      </c>
      <c r="E2673" t="s">
        <v>22</v>
      </c>
      <c r="F2673">
        <v>242</v>
      </c>
      <c r="G2673">
        <v>49</v>
      </c>
      <c r="H2673">
        <v>0.24</v>
      </c>
      <c r="I2673" t="s">
        <v>23</v>
      </c>
      <c r="J2673">
        <v>0</v>
      </c>
      <c r="K2673">
        <v>1</v>
      </c>
      <c r="L2673">
        <v>1</v>
      </c>
      <c r="M2673">
        <f>VLOOKUP(Table1[[#This Row],[subscription_type]],Plans!$A$1:$B$5,2,FALSE)</f>
        <v>9.99</v>
      </c>
      <c r="N2673">
        <f t="shared" si="41"/>
        <v>9.99</v>
      </c>
    </row>
    <row r="2674" spans="1:14" x14ac:dyDescent="0.35">
      <c r="A2674">
        <v>2673</v>
      </c>
      <c r="B2674" t="s">
        <v>20</v>
      </c>
      <c r="C2674">
        <v>59</v>
      </c>
      <c r="D2674" t="s">
        <v>17</v>
      </c>
      <c r="E2674" t="s">
        <v>14</v>
      </c>
      <c r="F2674">
        <v>275</v>
      </c>
      <c r="G2674">
        <v>43</v>
      </c>
      <c r="H2674">
        <v>0.57999999999999996</v>
      </c>
      <c r="I2674" t="s">
        <v>23</v>
      </c>
      <c r="J2674">
        <v>38</v>
      </c>
      <c r="K2674">
        <v>0</v>
      </c>
      <c r="L2674">
        <v>0</v>
      </c>
      <c r="M2674">
        <f>VLOOKUP(Table1[[#This Row],[subscription_type]],Plans!$A$1:$B$5,2,FALSE)</f>
        <v>0</v>
      </c>
      <c r="N2674">
        <f t="shared" si="41"/>
        <v>0</v>
      </c>
    </row>
    <row r="2675" spans="1:14" x14ac:dyDescent="0.35">
      <c r="A2675">
        <v>2674</v>
      </c>
      <c r="B2675" t="s">
        <v>16</v>
      </c>
      <c r="C2675">
        <v>31</v>
      </c>
      <c r="D2675" t="s">
        <v>26</v>
      </c>
      <c r="E2675" t="s">
        <v>22</v>
      </c>
      <c r="F2675">
        <v>76</v>
      </c>
      <c r="G2675">
        <v>6</v>
      </c>
      <c r="H2675">
        <v>0.02</v>
      </c>
      <c r="I2675" t="s">
        <v>19</v>
      </c>
      <c r="J2675">
        <v>0</v>
      </c>
      <c r="K2675">
        <v>1</v>
      </c>
      <c r="L2675">
        <v>0</v>
      </c>
      <c r="M2675">
        <f>VLOOKUP(Table1[[#This Row],[subscription_type]],Plans!$A$1:$B$5,2,FALSE)</f>
        <v>9.99</v>
      </c>
      <c r="N2675">
        <f t="shared" si="41"/>
        <v>0</v>
      </c>
    </row>
    <row r="2676" spans="1:14" x14ac:dyDescent="0.35">
      <c r="A2676">
        <v>2675</v>
      </c>
      <c r="B2676" t="s">
        <v>12</v>
      </c>
      <c r="C2676">
        <v>49</v>
      </c>
      <c r="D2676" t="s">
        <v>28</v>
      </c>
      <c r="E2676" t="s">
        <v>22</v>
      </c>
      <c r="F2676">
        <v>103</v>
      </c>
      <c r="G2676">
        <v>15</v>
      </c>
      <c r="H2676">
        <v>0.57999999999999996</v>
      </c>
      <c r="I2676" t="s">
        <v>15</v>
      </c>
      <c r="J2676">
        <v>0</v>
      </c>
      <c r="K2676">
        <v>1</v>
      </c>
      <c r="L2676">
        <v>0</v>
      </c>
      <c r="M2676">
        <f>VLOOKUP(Table1[[#This Row],[subscription_type]],Plans!$A$1:$B$5,2,FALSE)</f>
        <v>9.99</v>
      </c>
      <c r="N2676">
        <f t="shared" si="41"/>
        <v>0</v>
      </c>
    </row>
    <row r="2677" spans="1:14" x14ac:dyDescent="0.35">
      <c r="A2677">
        <v>2676</v>
      </c>
      <c r="B2677" t="s">
        <v>12</v>
      </c>
      <c r="C2677">
        <v>46</v>
      </c>
      <c r="D2677" t="s">
        <v>21</v>
      </c>
      <c r="E2677" t="s">
        <v>22</v>
      </c>
      <c r="F2677">
        <v>163</v>
      </c>
      <c r="G2677">
        <v>72</v>
      </c>
      <c r="H2677">
        <v>0.05</v>
      </c>
      <c r="I2677" t="s">
        <v>23</v>
      </c>
      <c r="J2677">
        <v>0</v>
      </c>
      <c r="K2677">
        <v>1</v>
      </c>
      <c r="L2677">
        <v>0</v>
      </c>
      <c r="M2677">
        <f>VLOOKUP(Table1[[#This Row],[subscription_type]],Plans!$A$1:$B$5,2,FALSE)</f>
        <v>9.99</v>
      </c>
      <c r="N2677">
        <f t="shared" si="41"/>
        <v>0</v>
      </c>
    </row>
    <row r="2678" spans="1:14" x14ac:dyDescent="0.35">
      <c r="A2678">
        <v>2677</v>
      </c>
      <c r="B2678" t="s">
        <v>20</v>
      </c>
      <c r="C2678">
        <v>37</v>
      </c>
      <c r="D2678" t="s">
        <v>13</v>
      </c>
      <c r="E2678" t="s">
        <v>18</v>
      </c>
      <c r="F2678">
        <v>92</v>
      </c>
      <c r="G2678">
        <v>16</v>
      </c>
      <c r="H2678">
        <v>0.17</v>
      </c>
      <c r="I2678" t="s">
        <v>15</v>
      </c>
      <c r="J2678">
        <v>0</v>
      </c>
      <c r="K2678">
        <v>1</v>
      </c>
      <c r="L2678">
        <v>0</v>
      </c>
      <c r="M2678">
        <f>VLOOKUP(Table1[[#This Row],[subscription_type]],Plans!$A$1:$B$5,2,FALSE)</f>
        <v>14.99</v>
      </c>
      <c r="N2678">
        <f t="shared" si="41"/>
        <v>0</v>
      </c>
    </row>
    <row r="2679" spans="1:14" x14ac:dyDescent="0.35">
      <c r="A2679">
        <v>2678</v>
      </c>
      <c r="B2679" t="s">
        <v>16</v>
      </c>
      <c r="C2679">
        <v>41</v>
      </c>
      <c r="D2679" t="s">
        <v>21</v>
      </c>
      <c r="E2679" t="s">
        <v>14</v>
      </c>
      <c r="F2679">
        <v>134</v>
      </c>
      <c r="G2679">
        <v>78</v>
      </c>
      <c r="H2679">
        <v>0.28999999999999998</v>
      </c>
      <c r="I2679" t="s">
        <v>23</v>
      </c>
      <c r="J2679">
        <v>36</v>
      </c>
      <c r="K2679">
        <v>0</v>
      </c>
      <c r="L2679">
        <v>0</v>
      </c>
      <c r="M2679">
        <f>VLOOKUP(Table1[[#This Row],[subscription_type]],Plans!$A$1:$B$5,2,FALSE)</f>
        <v>0</v>
      </c>
      <c r="N2679">
        <f t="shared" si="41"/>
        <v>0</v>
      </c>
    </row>
    <row r="2680" spans="1:14" x14ac:dyDescent="0.35">
      <c r="A2680">
        <v>2679</v>
      </c>
      <c r="B2680" t="s">
        <v>12</v>
      </c>
      <c r="C2680">
        <v>23</v>
      </c>
      <c r="D2680" t="s">
        <v>26</v>
      </c>
      <c r="E2680" t="s">
        <v>14</v>
      </c>
      <c r="F2680">
        <v>288</v>
      </c>
      <c r="G2680">
        <v>31</v>
      </c>
      <c r="H2680">
        <v>0.17</v>
      </c>
      <c r="I2680" t="s">
        <v>19</v>
      </c>
      <c r="J2680">
        <v>42</v>
      </c>
      <c r="K2680">
        <v>0</v>
      </c>
      <c r="L2680">
        <v>0</v>
      </c>
      <c r="M2680">
        <f>VLOOKUP(Table1[[#This Row],[subscription_type]],Plans!$A$1:$B$5,2,FALSE)</f>
        <v>0</v>
      </c>
      <c r="N2680">
        <f t="shared" si="41"/>
        <v>0</v>
      </c>
    </row>
    <row r="2681" spans="1:14" x14ac:dyDescent="0.35">
      <c r="A2681">
        <v>2680</v>
      </c>
      <c r="B2681" t="s">
        <v>12</v>
      </c>
      <c r="C2681">
        <v>35</v>
      </c>
      <c r="D2681" t="s">
        <v>17</v>
      </c>
      <c r="E2681" t="s">
        <v>24</v>
      </c>
      <c r="F2681">
        <v>26</v>
      </c>
      <c r="G2681">
        <v>81</v>
      </c>
      <c r="H2681">
        <v>0.03</v>
      </c>
      <c r="I2681" t="s">
        <v>19</v>
      </c>
      <c r="J2681">
        <v>0</v>
      </c>
      <c r="K2681">
        <v>1</v>
      </c>
      <c r="L2681">
        <v>0</v>
      </c>
      <c r="M2681">
        <f>VLOOKUP(Table1[[#This Row],[subscription_type]],Plans!$A$1:$B$5,2,FALSE)</f>
        <v>4.99</v>
      </c>
      <c r="N2681">
        <f t="shared" si="41"/>
        <v>0</v>
      </c>
    </row>
    <row r="2682" spans="1:14" x14ac:dyDescent="0.35">
      <c r="A2682">
        <v>2681</v>
      </c>
      <c r="B2682" t="s">
        <v>12</v>
      </c>
      <c r="C2682">
        <v>29</v>
      </c>
      <c r="D2682" t="s">
        <v>26</v>
      </c>
      <c r="E2682" t="s">
        <v>22</v>
      </c>
      <c r="F2682">
        <v>246</v>
      </c>
      <c r="G2682">
        <v>8</v>
      </c>
      <c r="H2682">
        <v>0.36</v>
      </c>
      <c r="I2682" t="s">
        <v>19</v>
      </c>
      <c r="J2682">
        <v>0</v>
      </c>
      <c r="K2682">
        <v>1</v>
      </c>
      <c r="L2682">
        <v>0</v>
      </c>
      <c r="M2682">
        <f>VLOOKUP(Table1[[#This Row],[subscription_type]],Plans!$A$1:$B$5,2,FALSE)</f>
        <v>9.99</v>
      </c>
      <c r="N2682">
        <f t="shared" si="41"/>
        <v>0</v>
      </c>
    </row>
    <row r="2683" spans="1:14" x14ac:dyDescent="0.35">
      <c r="A2683">
        <v>2682</v>
      </c>
      <c r="B2683" t="s">
        <v>12</v>
      </c>
      <c r="C2683">
        <v>18</v>
      </c>
      <c r="D2683" t="s">
        <v>28</v>
      </c>
      <c r="E2683" t="s">
        <v>22</v>
      </c>
      <c r="F2683">
        <v>224</v>
      </c>
      <c r="G2683">
        <v>2</v>
      </c>
      <c r="H2683">
        <v>0.17</v>
      </c>
      <c r="I2683" t="s">
        <v>23</v>
      </c>
      <c r="J2683">
        <v>0</v>
      </c>
      <c r="K2683">
        <v>1</v>
      </c>
      <c r="L2683">
        <v>0</v>
      </c>
      <c r="M2683">
        <f>VLOOKUP(Table1[[#This Row],[subscription_type]],Plans!$A$1:$B$5,2,FALSE)</f>
        <v>9.99</v>
      </c>
      <c r="N2683">
        <f t="shared" si="41"/>
        <v>0</v>
      </c>
    </row>
    <row r="2684" spans="1:14" x14ac:dyDescent="0.35">
      <c r="A2684">
        <v>2683</v>
      </c>
      <c r="B2684" t="s">
        <v>12</v>
      </c>
      <c r="C2684">
        <v>23</v>
      </c>
      <c r="D2684" t="s">
        <v>25</v>
      </c>
      <c r="E2684" t="s">
        <v>22</v>
      </c>
      <c r="F2684">
        <v>52</v>
      </c>
      <c r="G2684">
        <v>37</v>
      </c>
      <c r="H2684">
        <v>0.44</v>
      </c>
      <c r="I2684" t="s">
        <v>23</v>
      </c>
      <c r="J2684">
        <v>0</v>
      </c>
      <c r="K2684">
        <v>1</v>
      </c>
      <c r="L2684">
        <v>0</v>
      </c>
      <c r="M2684">
        <f>VLOOKUP(Table1[[#This Row],[subscription_type]],Plans!$A$1:$B$5,2,FALSE)</f>
        <v>9.99</v>
      </c>
      <c r="N2684">
        <f t="shared" si="41"/>
        <v>0</v>
      </c>
    </row>
    <row r="2685" spans="1:14" x14ac:dyDescent="0.35">
      <c r="A2685">
        <v>2684</v>
      </c>
      <c r="B2685" t="s">
        <v>12</v>
      </c>
      <c r="C2685">
        <v>53</v>
      </c>
      <c r="D2685" t="s">
        <v>17</v>
      </c>
      <c r="E2685" t="s">
        <v>22</v>
      </c>
      <c r="F2685">
        <v>67</v>
      </c>
      <c r="G2685">
        <v>59</v>
      </c>
      <c r="H2685">
        <v>0.51</v>
      </c>
      <c r="I2685" t="s">
        <v>15</v>
      </c>
      <c r="J2685">
        <v>0</v>
      </c>
      <c r="K2685">
        <v>1</v>
      </c>
      <c r="L2685">
        <v>0</v>
      </c>
      <c r="M2685">
        <f>VLOOKUP(Table1[[#This Row],[subscription_type]],Plans!$A$1:$B$5,2,FALSE)</f>
        <v>9.99</v>
      </c>
      <c r="N2685">
        <f t="shared" si="41"/>
        <v>0</v>
      </c>
    </row>
    <row r="2686" spans="1:14" x14ac:dyDescent="0.35">
      <c r="A2686">
        <v>2685</v>
      </c>
      <c r="B2686" t="s">
        <v>20</v>
      </c>
      <c r="C2686">
        <v>27</v>
      </c>
      <c r="D2686" t="s">
        <v>21</v>
      </c>
      <c r="E2686" t="s">
        <v>14</v>
      </c>
      <c r="F2686">
        <v>254</v>
      </c>
      <c r="G2686">
        <v>33</v>
      </c>
      <c r="H2686">
        <v>0.06</v>
      </c>
      <c r="I2686" t="s">
        <v>15</v>
      </c>
      <c r="J2686">
        <v>28</v>
      </c>
      <c r="K2686">
        <v>0</v>
      </c>
      <c r="L2686">
        <v>0</v>
      </c>
      <c r="M2686">
        <f>VLOOKUP(Table1[[#This Row],[subscription_type]],Plans!$A$1:$B$5,2,FALSE)</f>
        <v>0</v>
      </c>
      <c r="N2686">
        <f t="shared" si="41"/>
        <v>0</v>
      </c>
    </row>
    <row r="2687" spans="1:14" x14ac:dyDescent="0.35">
      <c r="A2687">
        <v>2686</v>
      </c>
      <c r="B2687" t="s">
        <v>20</v>
      </c>
      <c r="C2687">
        <v>22</v>
      </c>
      <c r="D2687" t="s">
        <v>13</v>
      </c>
      <c r="E2687" t="s">
        <v>14</v>
      </c>
      <c r="F2687">
        <v>74</v>
      </c>
      <c r="G2687">
        <v>23</v>
      </c>
      <c r="H2687">
        <v>0.27</v>
      </c>
      <c r="I2687" t="s">
        <v>23</v>
      </c>
      <c r="J2687">
        <v>47</v>
      </c>
      <c r="K2687">
        <v>0</v>
      </c>
      <c r="L2687">
        <v>0</v>
      </c>
      <c r="M2687">
        <f>VLOOKUP(Table1[[#This Row],[subscription_type]],Plans!$A$1:$B$5,2,FALSE)</f>
        <v>0</v>
      </c>
      <c r="N2687">
        <f t="shared" si="41"/>
        <v>0</v>
      </c>
    </row>
    <row r="2688" spans="1:14" x14ac:dyDescent="0.35">
      <c r="A2688">
        <v>2687</v>
      </c>
      <c r="B2688" t="s">
        <v>16</v>
      </c>
      <c r="C2688">
        <v>30</v>
      </c>
      <c r="D2688" t="s">
        <v>25</v>
      </c>
      <c r="E2688" t="s">
        <v>24</v>
      </c>
      <c r="F2688">
        <v>296</v>
      </c>
      <c r="G2688">
        <v>79</v>
      </c>
      <c r="H2688">
        <v>0.32</v>
      </c>
      <c r="I2688" t="s">
        <v>19</v>
      </c>
      <c r="J2688">
        <v>0</v>
      </c>
      <c r="K2688">
        <v>1</v>
      </c>
      <c r="L2688">
        <v>0</v>
      </c>
      <c r="M2688">
        <f>VLOOKUP(Table1[[#This Row],[subscription_type]],Plans!$A$1:$B$5,2,FALSE)</f>
        <v>4.99</v>
      </c>
      <c r="N2688">
        <f t="shared" si="41"/>
        <v>0</v>
      </c>
    </row>
    <row r="2689" spans="1:14" x14ac:dyDescent="0.35">
      <c r="A2689">
        <v>2688</v>
      </c>
      <c r="B2689" t="s">
        <v>12</v>
      </c>
      <c r="C2689">
        <v>49</v>
      </c>
      <c r="D2689" t="s">
        <v>13</v>
      </c>
      <c r="E2689" t="s">
        <v>18</v>
      </c>
      <c r="F2689">
        <v>146</v>
      </c>
      <c r="G2689">
        <v>83</v>
      </c>
      <c r="H2689">
        <v>0.08</v>
      </c>
      <c r="I2689" t="s">
        <v>23</v>
      </c>
      <c r="J2689">
        <v>0</v>
      </c>
      <c r="K2689">
        <v>1</v>
      </c>
      <c r="L2689">
        <v>1</v>
      </c>
      <c r="M2689">
        <f>VLOOKUP(Table1[[#This Row],[subscription_type]],Plans!$A$1:$B$5,2,FALSE)</f>
        <v>14.99</v>
      </c>
      <c r="N2689">
        <f t="shared" si="41"/>
        <v>14.99</v>
      </c>
    </row>
    <row r="2690" spans="1:14" x14ac:dyDescent="0.35">
      <c r="A2690">
        <v>2689</v>
      </c>
      <c r="B2690" t="s">
        <v>20</v>
      </c>
      <c r="C2690">
        <v>55</v>
      </c>
      <c r="D2690" t="s">
        <v>26</v>
      </c>
      <c r="E2690" t="s">
        <v>24</v>
      </c>
      <c r="F2690">
        <v>96</v>
      </c>
      <c r="G2690">
        <v>73</v>
      </c>
      <c r="H2690">
        <v>0.24</v>
      </c>
      <c r="I2690" t="s">
        <v>15</v>
      </c>
      <c r="J2690">
        <v>0</v>
      </c>
      <c r="K2690">
        <v>1</v>
      </c>
      <c r="L2690">
        <v>0</v>
      </c>
      <c r="M2690">
        <f>VLOOKUP(Table1[[#This Row],[subscription_type]],Plans!$A$1:$B$5,2,FALSE)</f>
        <v>4.99</v>
      </c>
      <c r="N2690">
        <f t="shared" ref="N2690:N2753" si="42">IF(L2690=1, M2690,0)</f>
        <v>0</v>
      </c>
    </row>
    <row r="2691" spans="1:14" x14ac:dyDescent="0.35">
      <c r="A2691">
        <v>2690</v>
      </c>
      <c r="B2691" t="s">
        <v>12</v>
      </c>
      <c r="C2691">
        <v>55</v>
      </c>
      <c r="D2691" t="s">
        <v>25</v>
      </c>
      <c r="E2691" t="s">
        <v>24</v>
      </c>
      <c r="F2691">
        <v>203</v>
      </c>
      <c r="G2691">
        <v>42</v>
      </c>
      <c r="H2691">
        <v>0.05</v>
      </c>
      <c r="I2691" t="s">
        <v>19</v>
      </c>
      <c r="J2691">
        <v>0</v>
      </c>
      <c r="K2691">
        <v>1</v>
      </c>
      <c r="L2691">
        <v>1</v>
      </c>
      <c r="M2691">
        <f>VLOOKUP(Table1[[#This Row],[subscription_type]],Plans!$A$1:$B$5,2,FALSE)</f>
        <v>4.99</v>
      </c>
      <c r="N2691">
        <f t="shared" si="42"/>
        <v>4.99</v>
      </c>
    </row>
    <row r="2692" spans="1:14" x14ac:dyDescent="0.35">
      <c r="A2692">
        <v>2691</v>
      </c>
      <c r="B2692" t="s">
        <v>16</v>
      </c>
      <c r="C2692">
        <v>22</v>
      </c>
      <c r="D2692" t="s">
        <v>17</v>
      </c>
      <c r="E2692" t="s">
        <v>14</v>
      </c>
      <c r="F2692">
        <v>274</v>
      </c>
      <c r="G2692">
        <v>3</v>
      </c>
      <c r="H2692">
        <v>0.22</v>
      </c>
      <c r="I2692" t="s">
        <v>23</v>
      </c>
      <c r="J2692">
        <v>18</v>
      </c>
      <c r="K2692">
        <v>0</v>
      </c>
      <c r="L2692">
        <v>0</v>
      </c>
      <c r="M2692">
        <f>VLOOKUP(Table1[[#This Row],[subscription_type]],Plans!$A$1:$B$5,2,FALSE)</f>
        <v>0</v>
      </c>
      <c r="N2692">
        <f t="shared" si="42"/>
        <v>0</v>
      </c>
    </row>
    <row r="2693" spans="1:14" x14ac:dyDescent="0.35">
      <c r="A2693">
        <v>2692</v>
      </c>
      <c r="B2693" t="s">
        <v>20</v>
      </c>
      <c r="C2693">
        <v>19</v>
      </c>
      <c r="D2693" t="s">
        <v>17</v>
      </c>
      <c r="E2693" t="s">
        <v>22</v>
      </c>
      <c r="F2693">
        <v>145</v>
      </c>
      <c r="G2693">
        <v>67</v>
      </c>
      <c r="H2693">
        <v>0.25</v>
      </c>
      <c r="I2693" t="s">
        <v>19</v>
      </c>
      <c r="J2693">
        <v>0</v>
      </c>
      <c r="K2693">
        <v>1</v>
      </c>
      <c r="L2693">
        <v>0</v>
      </c>
      <c r="M2693">
        <f>VLOOKUP(Table1[[#This Row],[subscription_type]],Plans!$A$1:$B$5,2,FALSE)</f>
        <v>9.99</v>
      </c>
      <c r="N2693">
        <f t="shared" si="42"/>
        <v>0</v>
      </c>
    </row>
    <row r="2694" spans="1:14" x14ac:dyDescent="0.35">
      <c r="A2694">
        <v>2693</v>
      </c>
      <c r="B2694" t="s">
        <v>20</v>
      </c>
      <c r="C2694">
        <v>47</v>
      </c>
      <c r="D2694" t="s">
        <v>26</v>
      </c>
      <c r="E2694" t="s">
        <v>24</v>
      </c>
      <c r="F2694">
        <v>122</v>
      </c>
      <c r="G2694">
        <v>97</v>
      </c>
      <c r="H2694">
        <v>0.24</v>
      </c>
      <c r="I2694" t="s">
        <v>23</v>
      </c>
      <c r="J2694">
        <v>0</v>
      </c>
      <c r="K2694">
        <v>1</v>
      </c>
      <c r="L2694">
        <v>1</v>
      </c>
      <c r="M2694">
        <f>VLOOKUP(Table1[[#This Row],[subscription_type]],Plans!$A$1:$B$5,2,FALSE)</f>
        <v>4.99</v>
      </c>
      <c r="N2694">
        <f t="shared" si="42"/>
        <v>4.99</v>
      </c>
    </row>
    <row r="2695" spans="1:14" x14ac:dyDescent="0.35">
      <c r="A2695">
        <v>2694</v>
      </c>
      <c r="B2695" t="s">
        <v>12</v>
      </c>
      <c r="C2695">
        <v>26</v>
      </c>
      <c r="D2695" t="s">
        <v>21</v>
      </c>
      <c r="E2695" t="s">
        <v>18</v>
      </c>
      <c r="F2695">
        <v>41</v>
      </c>
      <c r="G2695">
        <v>88</v>
      </c>
      <c r="H2695">
        <v>0.14000000000000001</v>
      </c>
      <c r="I2695" t="s">
        <v>23</v>
      </c>
      <c r="J2695">
        <v>0</v>
      </c>
      <c r="K2695">
        <v>1</v>
      </c>
      <c r="L2695">
        <v>0</v>
      </c>
      <c r="M2695">
        <f>VLOOKUP(Table1[[#This Row],[subscription_type]],Plans!$A$1:$B$5,2,FALSE)</f>
        <v>14.99</v>
      </c>
      <c r="N2695">
        <f t="shared" si="42"/>
        <v>0</v>
      </c>
    </row>
    <row r="2696" spans="1:14" x14ac:dyDescent="0.35">
      <c r="A2696">
        <v>2695</v>
      </c>
      <c r="B2696" t="s">
        <v>20</v>
      </c>
      <c r="C2696">
        <v>25</v>
      </c>
      <c r="D2696" t="s">
        <v>21</v>
      </c>
      <c r="E2696" t="s">
        <v>18</v>
      </c>
      <c r="F2696">
        <v>298</v>
      </c>
      <c r="G2696">
        <v>61</v>
      </c>
      <c r="H2696">
        <v>0.53</v>
      </c>
      <c r="I2696" t="s">
        <v>15</v>
      </c>
      <c r="J2696">
        <v>0</v>
      </c>
      <c r="K2696">
        <v>1</v>
      </c>
      <c r="L2696">
        <v>1</v>
      </c>
      <c r="M2696">
        <f>VLOOKUP(Table1[[#This Row],[subscription_type]],Plans!$A$1:$B$5,2,FALSE)</f>
        <v>14.99</v>
      </c>
      <c r="N2696">
        <f t="shared" si="42"/>
        <v>14.99</v>
      </c>
    </row>
    <row r="2697" spans="1:14" x14ac:dyDescent="0.35">
      <c r="A2697">
        <v>2696</v>
      </c>
      <c r="B2697" t="s">
        <v>12</v>
      </c>
      <c r="C2697">
        <v>41</v>
      </c>
      <c r="D2697" t="s">
        <v>13</v>
      </c>
      <c r="E2697" t="s">
        <v>24</v>
      </c>
      <c r="F2697">
        <v>64</v>
      </c>
      <c r="G2697">
        <v>75</v>
      </c>
      <c r="H2697">
        <v>0.14000000000000001</v>
      </c>
      <c r="I2697" t="s">
        <v>19</v>
      </c>
      <c r="J2697">
        <v>0</v>
      </c>
      <c r="K2697">
        <v>1</v>
      </c>
      <c r="L2697">
        <v>0</v>
      </c>
      <c r="M2697">
        <f>VLOOKUP(Table1[[#This Row],[subscription_type]],Plans!$A$1:$B$5,2,FALSE)</f>
        <v>4.99</v>
      </c>
      <c r="N2697">
        <f t="shared" si="42"/>
        <v>0</v>
      </c>
    </row>
    <row r="2698" spans="1:14" x14ac:dyDescent="0.35">
      <c r="A2698">
        <v>2697</v>
      </c>
      <c r="B2698" t="s">
        <v>16</v>
      </c>
      <c r="C2698">
        <v>22</v>
      </c>
      <c r="D2698" t="s">
        <v>28</v>
      </c>
      <c r="E2698" t="s">
        <v>22</v>
      </c>
      <c r="F2698">
        <v>237</v>
      </c>
      <c r="G2698">
        <v>91</v>
      </c>
      <c r="H2698">
        <v>0.17</v>
      </c>
      <c r="I2698" t="s">
        <v>19</v>
      </c>
      <c r="J2698">
        <v>0</v>
      </c>
      <c r="K2698">
        <v>1</v>
      </c>
      <c r="L2698">
        <v>1</v>
      </c>
      <c r="M2698">
        <f>VLOOKUP(Table1[[#This Row],[subscription_type]],Plans!$A$1:$B$5,2,FALSE)</f>
        <v>9.99</v>
      </c>
      <c r="N2698">
        <f t="shared" si="42"/>
        <v>9.99</v>
      </c>
    </row>
    <row r="2699" spans="1:14" x14ac:dyDescent="0.35">
      <c r="A2699">
        <v>2698</v>
      </c>
      <c r="B2699" t="s">
        <v>12</v>
      </c>
      <c r="C2699">
        <v>41</v>
      </c>
      <c r="D2699" t="s">
        <v>29</v>
      </c>
      <c r="E2699" t="s">
        <v>14</v>
      </c>
      <c r="F2699">
        <v>16</v>
      </c>
      <c r="G2699">
        <v>72</v>
      </c>
      <c r="H2699">
        <v>0.05</v>
      </c>
      <c r="I2699" t="s">
        <v>23</v>
      </c>
      <c r="J2699">
        <v>11</v>
      </c>
      <c r="K2699">
        <v>0</v>
      </c>
      <c r="L2699">
        <v>1</v>
      </c>
      <c r="M2699">
        <f>VLOOKUP(Table1[[#This Row],[subscription_type]],Plans!$A$1:$B$5,2,FALSE)</f>
        <v>0</v>
      </c>
      <c r="N2699">
        <f t="shared" si="42"/>
        <v>0</v>
      </c>
    </row>
    <row r="2700" spans="1:14" x14ac:dyDescent="0.35">
      <c r="A2700">
        <v>2699</v>
      </c>
      <c r="B2700" t="s">
        <v>16</v>
      </c>
      <c r="C2700">
        <v>39</v>
      </c>
      <c r="D2700" t="s">
        <v>26</v>
      </c>
      <c r="E2700" t="s">
        <v>14</v>
      </c>
      <c r="F2700">
        <v>180</v>
      </c>
      <c r="G2700">
        <v>29</v>
      </c>
      <c r="H2700">
        <v>0.16</v>
      </c>
      <c r="I2700" t="s">
        <v>19</v>
      </c>
      <c r="J2700">
        <v>44</v>
      </c>
      <c r="K2700">
        <v>0</v>
      </c>
      <c r="L2700">
        <v>1</v>
      </c>
      <c r="M2700">
        <f>VLOOKUP(Table1[[#This Row],[subscription_type]],Plans!$A$1:$B$5,2,FALSE)</f>
        <v>0</v>
      </c>
      <c r="N2700">
        <f t="shared" si="42"/>
        <v>0</v>
      </c>
    </row>
    <row r="2701" spans="1:14" x14ac:dyDescent="0.35">
      <c r="A2701">
        <v>2700</v>
      </c>
      <c r="B2701" t="s">
        <v>12</v>
      </c>
      <c r="C2701">
        <v>56</v>
      </c>
      <c r="D2701" t="s">
        <v>25</v>
      </c>
      <c r="E2701" t="s">
        <v>14</v>
      </c>
      <c r="F2701">
        <v>143</v>
      </c>
      <c r="G2701">
        <v>19</v>
      </c>
      <c r="H2701">
        <v>0.11</v>
      </c>
      <c r="I2701" t="s">
        <v>15</v>
      </c>
      <c r="J2701">
        <v>25</v>
      </c>
      <c r="K2701">
        <v>0</v>
      </c>
      <c r="L2701">
        <v>0</v>
      </c>
      <c r="M2701">
        <f>VLOOKUP(Table1[[#This Row],[subscription_type]],Plans!$A$1:$B$5,2,FALSE)</f>
        <v>0</v>
      </c>
      <c r="N2701">
        <f t="shared" si="42"/>
        <v>0</v>
      </c>
    </row>
    <row r="2702" spans="1:14" x14ac:dyDescent="0.35">
      <c r="A2702">
        <v>2701</v>
      </c>
      <c r="B2702" t="s">
        <v>16</v>
      </c>
      <c r="C2702">
        <v>17</v>
      </c>
      <c r="D2702" t="s">
        <v>27</v>
      </c>
      <c r="E2702" t="s">
        <v>22</v>
      </c>
      <c r="F2702">
        <v>50</v>
      </c>
      <c r="G2702">
        <v>13</v>
      </c>
      <c r="H2702">
        <v>0.45</v>
      </c>
      <c r="I2702" t="s">
        <v>15</v>
      </c>
      <c r="J2702">
        <v>0</v>
      </c>
      <c r="K2702">
        <v>1</v>
      </c>
      <c r="L2702">
        <v>0</v>
      </c>
      <c r="M2702">
        <f>VLOOKUP(Table1[[#This Row],[subscription_type]],Plans!$A$1:$B$5,2,FALSE)</f>
        <v>9.99</v>
      </c>
      <c r="N2702">
        <f t="shared" si="42"/>
        <v>0</v>
      </c>
    </row>
    <row r="2703" spans="1:14" x14ac:dyDescent="0.35">
      <c r="A2703">
        <v>2702</v>
      </c>
      <c r="B2703" t="s">
        <v>12</v>
      </c>
      <c r="C2703">
        <v>41</v>
      </c>
      <c r="D2703" t="s">
        <v>17</v>
      </c>
      <c r="E2703" t="s">
        <v>22</v>
      </c>
      <c r="F2703">
        <v>99</v>
      </c>
      <c r="G2703">
        <v>77</v>
      </c>
      <c r="H2703">
        <v>0.01</v>
      </c>
      <c r="I2703" t="s">
        <v>15</v>
      </c>
      <c r="J2703">
        <v>0</v>
      </c>
      <c r="K2703">
        <v>1</v>
      </c>
      <c r="L2703">
        <v>1</v>
      </c>
      <c r="M2703">
        <f>VLOOKUP(Table1[[#This Row],[subscription_type]],Plans!$A$1:$B$5,2,FALSE)</f>
        <v>9.99</v>
      </c>
      <c r="N2703">
        <f t="shared" si="42"/>
        <v>9.99</v>
      </c>
    </row>
    <row r="2704" spans="1:14" x14ac:dyDescent="0.35">
      <c r="A2704">
        <v>2703</v>
      </c>
      <c r="B2704" t="s">
        <v>20</v>
      </c>
      <c r="C2704">
        <v>43</v>
      </c>
      <c r="D2704" t="s">
        <v>28</v>
      </c>
      <c r="E2704" t="s">
        <v>24</v>
      </c>
      <c r="F2704">
        <v>131</v>
      </c>
      <c r="G2704">
        <v>25</v>
      </c>
      <c r="H2704">
        <v>0.08</v>
      </c>
      <c r="I2704" t="s">
        <v>19</v>
      </c>
      <c r="J2704">
        <v>0</v>
      </c>
      <c r="K2704">
        <v>1</v>
      </c>
      <c r="L2704">
        <v>0</v>
      </c>
      <c r="M2704">
        <f>VLOOKUP(Table1[[#This Row],[subscription_type]],Plans!$A$1:$B$5,2,FALSE)</f>
        <v>4.99</v>
      </c>
      <c r="N2704">
        <f t="shared" si="42"/>
        <v>0</v>
      </c>
    </row>
    <row r="2705" spans="1:14" x14ac:dyDescent="0.35">
      <c r="A2705">
        <v>2704</v>
      </c>
      <c r="B2705" t="s">
        <v>16</v>
      </c>
      <c r="C2705">
        <v>22</v>
      </c>
      <c r="D2705" t="s">
        <v>17</v>
      </c>
      <c r="E2705" t="s">
        <v>22</v>
      </c>
      <c r="F2705">
        <v>164</v>
      </c>
      <c r="G2705">
        <v>55</v>
      </c>
      <c r="H2705">
        <v>0.48</v>
      </c>
      <c r="I2705" t="s">
        <v>19</v>
      </c>
      <c r="J2705">
        <v>0</v>
      </c>
      <c r="K2705">
        <v>1</v>
      </c>
      <c r="L2705">
        <v>0</v>
      </c>
      <c r="M2705">
        <f>VLOOKUP(Table1[[#This Row],[subscription_type]],Plans!$A$1:$B$5,2,FALSE)</f>
        <v>9.99</v>
      </c>
      <c r="N2705">
        <f t="shared" si="42"/>
        <v>0</v>
      </c>
    </row>
    <row r="2706" spans="1:14" x14ac:dyDescent="0.35">
      <c r="A2706">
        <v>2705</v>
      </c>
      <c r="B2706" t="s">
        <v>12</v>
      </c>
      <c r="C2706">
        <v>48</v>
      </c>
      <c r="D2706" t="s">
        <v>17</v>
      </c>
      <c r="E2706" t="s">
        <v>24</v>
      </c>
      <c r="F2706">
        <v>184</v>
      </c>
      <c r="G2706">
        <v>12</v>
      </c>
      <c r="H2706">
        <v>0.56000000000000005</v>
      </c>
      <c r="I2706" t="s">
        <v>15</v>
      </c>
      <c r="J2706">
        <v>0</v>
      </c>
      <c r="K2706">
        <v>1</v>
      </c>
      <c r="L2706">
        <v>0</v>
      </c>
      <c r="M2706">
        <f>VLOOKUP(Table1[[#This Row],[subscription_type]],Plans!$A$1:$B$5,2,FALSE)</f>
        <v>4.99</v>
      </c>
      <c r="N2706">
        <f t="shared" si="42"/>
        <v>0</v>
      </c>
    </row>
    <row r="2707" spans="1:14" x14ac:dyDescent="0.35">
      <c r="A2707">
        <v>2706</v>
      </c>
      <c r="B2707" t="s">
        <v>16</v>
      </c>
      <c r="C2707">
        <v>26</v>
      </c>
      <c r="D2707" t="s">
        <v>28</v>
      </c>
      <c r="E2707" t="s">
        <v>22</v>
      </c>
      <c r="F2707">
        <v>94</v>
      </c>
      <c r="G2707">
        <v>57</v>
      </c>
      <c r="H2707">
        <v>0.55000000000000004</v>
      </c>
      <c r="I2707" t="s">
        <v>19</v>
      </c>
      <c r="J2707">
        <v>0</v>
      </c>
      <c r="K2707">
        <v>1</v>
      </c>
      <c r="L2707">
        <v>0</v>
      </c>
      <c r="M2707">
        <f>VLOOKUP(Table1[[#This Row],[subscription_type]],Plans!$A$1:$B$5,2,FALSE)</f>
        <v>9.99</v>
      </c>
      <c r="N2707">
        <f t="shared" si="42"/>
        <v>0</v>
      </c>
    </row>
    <row r="2708" spans="1:14" x14ac:dyDescent="0.35">
      <c r="A2708">
        <v>2707</v>
      </c>
      <c r="B2708" t="s">
        <v>16</v>
      </c>
      <c r="C2708">
        <v>57</v>
      </c>
      <c r="D2708" t="s">
        <v>29</v>
      </c>
      <c r="E2708" t="s">
        <v>14</v>
      </c>
      <c r="F2708">
        <v>220</v>
      </c>
      <c r="G2708">
        <v>22</v>
      </c>
      <c r="H2708">
        <v>0.36</v>
      </c>
      <c r="I2708" t="s">
        <v>15</v>
      </c>
      <c r="J2708">
        <v>15</v>
      </c>
      <c r="K2708">
        <v>0</v>
      </c>
      <c r="L2708">
        <v>0</v>
      </c>
      <c r="M2708">
        <f>VLOOKUP(Table1[[#This Row],[subscription_type]],Plans!$A$1:$B$5,2,FALSE)</f>
        <v>0</v>
      </c>
      <c r="N2708">
        <f t="shared" si="42"/>
        <v>0</v>
      </c>
    </row>
    <row r="2709" spans="1:14" x14ac:dyDescent="0.35">
      <c r="A2709">
        <v>2708</v>
      </c>
      <c r="B2709" t="s">
        <v>12</v>
      </c>
      <c r="C2709">
        <v>29</v>
      </c>
      <c r="D2709" t="s">
        <v>17</v>
      </c>
      <c r="E2709" t="s">
        <v>22</v>
      </c>
      <c r="F2709">
        <v>180</v>
      </c>
      <c r="G2709">
        <v>9</v>
      </c>
      <c r="H2709">
        <v>0.34</v>
      </c>
      <c r="I2709" t="s">
        <v>15</v>
      </c>
      <c r="J2709">
        <v>0</v>
      </c>
      <c r="K2709">
        <v>1</v>
      </c>
      <c r="L2709">
        <v>0</v>
      </c>
      <c r="M2709">
        <f>VLOOKUP(Table1[[#This Row],[subscription_type]],Plans!$A$1:$B$5,2,FALSE)</f>
        <v>9.99</v>
      </c>
      <c r="N2709">
        <f t="shared" si="42"/>
        <v>0</v>
      </c>
    </row>
    <row r="2710" spans="1:14" x14ac:dyDescent="0.35">
      <c r="A2710">
        <v>2709</v>
      </c>
      <c r="B2710" t="s">
        <v>20</v>
      </c>
      <c r="C2710">
        <v>17</v>
      </c>
      <c r="D2710" t="s">
        <v>27</v>
      </c>
      <c r="E2710" t="s">
        <v>24</v>
      </c>
      <c r="F2710">
        <v>104</v>
      </c>
      <c r="G2710">
        <v>3</v>
      </c>
      <c r="H2710">
        <v>0.3</v>
      </c>
      <c r="I2710" t="s">
        <v>19</v>
      </c>
      <c r="J2710">
        <v>0</v>
      </c>
      <c r="K2710">
        <v>1</v>
      </c>
      <c r="L2710">
        <v>0</v>
      </c>
      <c r="M2710">
        <f>VLOOKUP(Table1[[#This Row],[subscription_type]],Plans!$A$1:$B$5,2,FALSE)</f>
        <v>4.99</v>
      </c>
      <c r="N2710">
        <f t="shared" si="42"/>
        <v>0</v>
      </c>
    </row>
    <row r="2711" spans="1:14" x14ac:dyDescent="0.35">
      <c r="A2711">
        <v>2710</v>
      </c>
      <c r="B2711" t="s">
        <v>20</v>
      </c>
      <c r="C2711">
        <v>43</v>
      </c>
      <c r="D2711" t="s">
        <v>28</v>
      </c>
      <c r="E2711" t="s">
        <v>14</v>
      </c>
      <c r="F2711">
        <v>260</v>
      </c>
      <c r="G2711">
        <v>29</v>
      </c>
      <c r="H2711">
        <v>0.03</v>
      </c>
      <c r="I2711" t="s">
        <v>19</v>
      </c>
      <c r="J2711">
        <v>6</v>
      </c>
      <c r="K2711">
        <v>0</v>
      </c>
      <c r="L2711">
        <v>0</v>
      </c>
      <c r="M2711">
        <f>VLOOKUP(Table1[[#This Row],[subscription_type]],Plans!$A$1:$B$5,2,FALSE)</f>
        <v>0</v>
      </c>
      <c r="N2711">
        <f t="shared" si="42"/>
        <v>0</v>
      </c>
    </row>
    <row r="2712" spans="1:14" x14ac:dyDescent="0.35">
      <c r="A2712">
        <v>2711</v>
      </c>
      <c r="B2712" t="s">
        <v>16</v>
      </c>
      <c r="C2712">
        <v>33</v>
      </c>
      <c r="D2712" t="s">
        <v>28</v>
      </c>
      <c r="E2712" t="s">
        <v>22</v>
      </c>
      <c r="F2712">
        <v>52</v>
      </c>
      <c r="G2712">
        <v>97</v>
      </c>
      <c r="H2712">
        <v>0.1</v>
      </c>
      <c r="I2712" t="s">
        <v>19</v>
      </c>
      <c r="J2712">
        <v>0</v>
      </c>
      <c r="K2712">
        <v>1</v>
      </c>
      <c r="L2712">
        <v>0</v>
      </c>
      <c r="M2712">
        <f>VLOOKUP(Table1[[#This Row],[subscription_type]],Plans!$A$1:$B$5,2,FALSE)</f>
        <v>9.99</v>
      </c>
      <c r="N2712">
        <f t="shared" si="42"/>
        <v>0</v>
      </c>
    </row>
    <row r="2713" spans="1:14" x14ac:dyDescent="0.35">
      <c r="A2713">
        <v>2712</v>
      </c>
      <c r="B2713" t="s">
        <v>16</v>
      </c>
      <c r="C2713">
        <v>45</v>
      </c>
      <c r="D2713" t="s">
        <v>26</v>
      </c>
      <c r="E2713" t="s">
        <v>18</v>
      </c>
      <c r="F2713">
        <v>27</v>
      </c>
      <c r="G2713">
        <v>50</v>
      </c>
      <c r="H2713">
        <v>0.14000000000000001</v>
      </c>
      <c r="I2713" t="s">
        <v>23</v>
      </c>
      <c r="J2713">
        <v>0</v>
      </c>
      <c r="K2713">
        <v>1</v>
      </c>
      <c r="L2713">
        <v>1</v>
      </c>
      <c r="M2713">
        <f>VLOOKUP(Table1[[#This Row],[subscription_type]],Plans!$A$1:$B$5,2,FALSE)</f>
        <v>14.99</v>
      </c>
      <c r="N2713">
        <f t="shared" si="42"/>
        <v>14.99</v>
      </c>
    </row>
    <row r="2714" spans="1:14" x14ac:dyDescent="0.35">
      <c r="A2714">
        <v>2713</v>
      </c>
      <c r="B2714" t="s">
        <v>20</v>
      </c>
      <c r="C2714">
        <v>56</v>
      </c>
      <c r="D2714" t="s">
        <v>27</v>
      </c>
      <c r="E2714" t="s">
        <v>24</v>
      </c>
      <c r="F2714">
        <v>236</v>
      </c>
      <c r="G2714">
        <v>4</v>
      </c>
      <c r="H2714">
        <v>0.1</v>
      </c>
      <c r="I2714" t="s">
        <v>15</v>
      </c>
      <c r="J2714">
        <v>0</v>
      </c>
      <c r="K2714">
        <v>1</v>
      </c>
      <c r="L2714">
        <v>0</v>
      </c>
      <c r="M2714">
        <f>VLOOKUP(Table1[[#This Row],[subscription_type]],Plans!$A$1:$B$5,2,FALSE)</f>
        <v>4.99</v>
      </c>
      <c r="N2714">
        <f t="shared" si="42"/>
        <v>0</v>
      </c>
    </row>
    <row r="2715" spans="1:14" x14ac:dyDescent="0.35">
      <c r="A2715">
        <v>2714</v>
      </c>
      <c r="B2715" t="s">
        <v>16</v>
      </c>
      <c r="C2715">
        <v>49</v>
      </c>
      <c r="D2715" t="s">
        <v>21</v>
      </c>
      <c r="E2715" t="s">
        <v>22</v>
      </c>
      <c r="F2715">
        <v>252</v>
      </c>
      <c r="G2715">
        <v>45</v>
      </c>
      <c r="H2715">
        <v>0.56999999999999995</v>
      </c>
      <c r="I2715" t="s">
        <v>15</v>
      </c>
      <c r="J2715">
        <v>0</v>
      </c>
      <c r="K2715">
        <v>1</v>
      </c>
      <c r="L2715">
        <v>0</v>
      </c>
      <c r="M2715">
        <f>VLOOKUP(Table1[[#This Row],[subscription_type]],Plans!$A$1:$B$5,2,FALSE)</f>
        <v>9.99</v>
      </c>
      <c r="N2715">
        <f t="shared" si="42"/>
        <v>0</v>
      </c>
    </row>
    <row r="2716" spans="1:14" x14ac:dyDescent="0.35">
      <c r="A2716">
        <v>2715</v>
      </c>
      <c r="B2716" t="s">
        <v>12</v>
      </c>
      <c r="C2716">
        <v>37</v>
      </c>
      <c r="D2716" t="s">
        <v>27</v>
      </c>
      <c r="E2716" t="s">
        <v>22</v>
      </c>
      <c r="F2716">
        <v>190</v>
      </c>
      <c r="G2716">
        <v>80</v>
      </c>
      <c r="H2716">
        <v>0.5</v>
      </c>
      <c r="I2716" t="s">
        <v>15</v>
      </c>
      <c r="J2716">
        <v>0</v>
      </c>
      <c r="K2716">
        <v>1</v>
      </c>
      <c r="L2716">
        <v>0</v>
      </c>
      <c r="M2716">
        <f>VLOOKUP(Table1[[#This Row],[subscription_type]],Plans!$A$1:$B$5,2,FALSE)</f>
        <v>9.99</v>
      </c>
      <c r="N2716">
        <f t="shared" si="42"/>
        <v>0</v>
      </c>
    </row>
    <row r="2717" spans="1:14" x14ac:dyDescent="0.35">
      <c r="A2717">
        <v>2716</v>
      </c>
      <c r="B2717" t="s">
        <v>16</v>
      </c>
      <c r="C2717">
        <v>34</v>
      </c>
      <c r="D2717" t="s">
        <v>29</v>
      </c>
      <c r="E2717" t="s">
        <v>14</v>
      </c>
      <c r="F2717">
        <v>266</v>
      </c>
      <c r="G2717">
        <v>81</v>
      </c>
      <c r="H2717">
        <v>0.45</v>
      </c>
      <c r="I2717" t="s">
        <v>15</v>
      </c>
      <c r="J2717">
        <v>31</v>
      </c>
      <c r="K2717">
        <v>0</v>
      </c>
      <c r="L2717">
        <v>0</v>
      </c>
      <c r="M2717">
        <f>VLOOKUP(Table1[[#This Row],[subscription_type]],Plans!$A$1:$B$5,2,FALSE)</f>
        <v>0</v>
      </c>
      <c r="N2717">
        <f t="shared" si="42"/>
        <v>0</v>
      </c>
    </row>
    <row r="2718" spans="1:14" x14ac:dyDescent="0.35">
      <c r="A2718">
        <v>2717</v>
      </c>
      <c r="B2718" t="s">
        <v>12</v>
      </c>
      <c r="C2718">
        <v>28</v>
      </c>
      <c r="D2718" t="s">
        <v>21</v>
      </c>
      <c r="E2718" t="s">
        <v>14</v>
      </c>
      <c r="F2718">
        <v>72</v>
      </c>
      <c r="G2718">
        <v>22</v>
      </c>
      <c r="H2718">
        <v>0.57999999999999996</v>
      </c>
      <c r="I2718" t="s">
        <v>19</v>
      </c>
      <c r="J2718">
        <v>12</v>
      </c>
      <c r="K2718">
        <v>0</v>
      </c>
      <c r="L2718">
        <v>1</v>
      </c>
      <c r="M2718">
        <f>VLOOKUP(Table1[[#This Row],[subscription_type]],Plans!$A$1:$B$5,2,FALSE)</f>
        <v>0</v>
      </c>
      <c r="N2718">
        <f t="shared" si="42"/>
        <v>0</v>
      </c>
    </row>
    <row r="2719" spans="1:14" x14ac:dyDescent="0.35">
      <c r="A2719">
        <v>2718</v>
      </c>
      <c r="B2719" t="s">
        <v>20</v>
      </c>
      <c r="C2719">
        <v>28</v>
      </c>
      <c r="D2719" t="s">
        <v>13</v>
      </c>
      <c r="E2719" t="s">
        <v>22</v>
      </c>
      <c r="F2719">
        <v>43</v>
      </c>
      <c r="G2719">
        <v>50</v>
      </c>
      <c r="H2719">
        <v>0.27</v>
      </c>
      <c r="I2719" t="s">
        <v>19</v>
      </c>
      <c r="J2719">
        <v>0</v>
      </c>
      <c r="K2719">
        <v>1</v>
      </c>
      <c r="L2719">
        <v>0</v>
      </c>
      <c r="M2719">
        <f>VLOOKUP(Table1[[#This Row],[subscription_type]],Plans!$A$1:$B$5,2,FALSE)</f>
        <v>9.99</v>
      </c>
      <c r="N2719">
        <f t="shared" si="42"/>
        <v>0</v>
      </c>
    </row>
    <row r="2720" spans="1:14" x14ac:dyDescent="0.35">
      <c r="A2720">
        <v>2719</v>
      </c>
      <c r="B2720" t="s">
        <v>20</v>
      </c>
      <c r="C2720">
        <v>19</v>
      </c>
      <c r="D2720" t="s">
        <v>25</v>
      </c>
      <c r="E2720" t="s">
        <v>22</v>
      </c>
      <c r="F2720">
        <v>210</v>
      </c>
      <c r="G2720">
        <v>88</v>
      </c>
      <c r="H2720">
        <v>0.2</v>
      </c>
      <c r="I2720" t="s">
        <v>15</v>
      </c>
      <c r="J2720">
        <v>0</v>
      </c>
      <c r="K2720">
        <v>1</v>
      </c>
      <c r="L2720">
        <v>0</v>
      </c>
      <c r="M2720">
        <f>VLOOKUP(Table1[[#This Row],[subscription_type]],Plans!$A$1:$B$5,2,FALSE)</f>
        <v>9.99</v>
      </c>
      <c r="N2720">
        <f t="shared" si="42"/>
        <v>0</v>
      </c>
    </row>
    <row r="2721" spans="1:14" x14ac:dyDescent="0.35">
      <c r="A2721">
        <v>2720</v>
      </c>
      <c r="B2721" t="s">
        <v>16</v>
      </c>
      <c r="C2721">
        <v>26</v>
      </c>
      <c r="D2721" t="s">
        <v>21</v>
      </c>
      <c r="E2721" t="s">
        <v>24</v>
      </c>
      <c r="F2721">
        <v>253</v>
      </c>
      <c r="G2721">
        <v>98</v>
      </c>
      <c r="H2721">
        <v>0.25</v>
      </c>
      <c r="I2721" t="s">
        <v>15</v>
      </c>
      <c r="J2721">
        <v>0</v>
      </c>
      <c r="K2721">
        <v>1</v>
      </c>
      <c r="L2721">
        <v>0</v>
      </c>
      <c r="M2721">
        <f>VLOOKUP(Table1[[#This Row],[subscription_type]],Plans!$A$1:$B$5,2,FALSE)</f>
        <v>4.99</v>
      </c>
      <c r="N2721">
        <f t="shared" si="42"/>
        <v>0</v>
      </c>
    </row>
    <row r="2722" spans="1:14" x14ac:dyDescent="0.35">
      <c r="A2722">
        <v>2721</v>
      </c>
      <c r="B2722" t="s">
        <v>16</v>
      </c>
      <c r="C2722">
        <v>24</v>
      </c>
      <c r="D2722" t="s">
        <v>27</v>
      </c>
      <c r="E2722" t="s">
        <v>22</v>
      </c>
      <c r="F2722">
        <v>78</v>
      </c>
      <c r="G2722">
        <v>12</v>
      </c>
      <c r="H2722">
        <v>0.47</v>
      </c>
      <c r="I2722" t="s">
        <v>19</v>
      </c>
      <c r="J2722">
        <v>0</v>
      </c>
      <c r="K2722">
        <v>1</v>
      </c>
      <c r="L2722">
        <v>0</v>
      </c>
      <c r="M2722">
        <f>VLOOKUP(Table1[[#This Row],[subscription_type]],Plans!$A$1:$B$5,2,FALSE)</f>
        <v>9.99</v>
      </c>
      <c r="N2722">
        <f t="shared" si="42"/>
        <v>0</v>
      </c>
    </row>
    <row r="2723" spans="1:14" x14ac:dyDescent="0.35">
      <c r="A2723">
        <v>2722</v>
      </c>
      <c r="B2723" t="s">
        <v>20</v>
      </c>
      <c r="C2723">
        <v>17</v>
      </c>
      <c r="D2723" t="s">
        <v>27</v>
      </c>
      <c r="E2723" t="s">
        <v>24</v>
      </c>
      <c r="F2723">
        <v>223</v>
      </c>
      <c r="G2723">
        <v>60</v>
      </c>
      <c r="H2723">
        <v>0.15</v>
      </c>
      <c r="I2723" t="s">
        <v>19</v>
      </c>
      <c r="J2723">
        <v>0</v>
      </c>
      <c r="K2723">
        <v>1</v>
      </c>
      <c r="L2723">
        <v>0</v>
      </c>
      <c r="M2723">
        <f>VLOOKUP(Table1[[#This Row],[subscription_type]],Plans!$A$1:$B$5,2,FALSE)</f>
        <v>4.99</v>
      </c>
      <c r="N2723">
        <f t="shared" si="42"/>
        <v>0</v>
      </c>
    </row>
    <row r="2724" spans="1:14" x14ac:dyDescent="0.35">
      <c r="A2724">
        <v>2723</v>
      </c>
      <c r="B2724" t="s">
        <v>16</v>
      </c>
      <c r="C2724">
        <v>34</v>
      </c>
      <c r="D2724" t="s">
        <v>28</v>
      </c>
      <c r="E2724" t="s">
        <v>24</v>
      </c>
      <c r="F2724">
        <v>187</v>
      </c>
      <c r="G2724">
        <v>37</v>
      </c>
      <c r="H2724">
        <v>0.37</v>
      </c>
      <c r="I2724" t="s">
        <v>23</v>
      </c>
      <c r="J2724">
        <v>0</v>
      </c>
      <c r="K2724">
        <v>1</v>
      </c>
      <c r="L2724">
        <v>1</v>
      </c>
      <c r="M2724">
        <f>VLOOKUP(Table1[[#This Row],[subscription_type]],Plans!$A$1:$B$5,2,FALSE)</f>
        <v>4.99</v>
      </c>
      <c r="N2724">
        <f t="shared" si="42"/>
        <v>4.99</v>
      </c>
    </row>
    <row r="2725" spans="1:14" x14ac:dyDescent="0.35">
      <c r="A2725">
        <v>2724</v>
      </c>
      <c r="B2725" t="s">
        <v>20</v>
      </c>
      <c r="C2725">
        <v>51</v>
      </c>
      <c r="D2725" t="s">
        <v>17</v>
      </c>
      <c r="E2725" t="s">
        <v>22</v>
      </c>
      <c r="F2725">
        <v>232</v>
      </c>
      <c r="G2725">
        <v>43</v>
      </c>
      <c r="H2725">
        <v>0.1</v>
      </c>
      <c r="I2725" t="s">
        <v>23</v>
      </c>
      <c r="J2725">
        <v>0</v>
      </c>
      <c r="K2725">
        <v>1</v>
      </c>
      <c r="L2725">
        <v>0</v>
      </c>
      <c r="M2725">
        <f>VLOOKUP(Table1[[#This Row],[subscription_type]],Plans!$A$1:$B$5,2,FALSE)</f>
        <v>9.99</v>
      </c>
      <c r="N2725">
        <f t="shared" si="42"/>
        <v>0</v>
      </c>
    </row>
    <row r="2726" spans="1:14" x14ac:dyDescent="0.35">
      <c r="A2726">
        <v>2725</v>
      </c>
      <c r="B2726" t="s">
        <v>16</v>
      </c>
      <c r="C2726">
        <v>51</v>
      </c>
      <c r="D2726" t="s">
        <v>26</v>
      </c>
      <c r="E2726" t="s">
        <v>14</v>
      </c>
      <c r="F2726">
        <v>92</v>
      </c>
      <c r="G2726">
        <v>49</v>
      </c>
      <c r="H2726">
        <v>0.4</v>
      </c>
      <c r="I2726" t="s">
        <v>23</v>
      </c>
      <c r="J2726">
        <v>5</v>
      </c>
      <c r="K2726">
        <v>0</v>
      </c>
      <c r="L2726">
        <v>0</v>
      </c>
      <c r="M2726">
        <f>VLOOKUP(Table1[[#This Row],[subscription_type]],Plans!$A$1:$B$5,2,FALSE)</f>
        <v>0</v>
      </c>
      <c r="N2726">
        <f t="shared" si="42"/>
        <v>0</v>
      </c>
    </row>
    <row r="2727" spans="1:14" x14ac:dyDescent="0.35">
      <c r="A2727">
        <v>2726</v>
      </c>
      <c r="B2727" t="s">
        <v>12</v>
      </c>
      <c r="C2727">
        <v>43</v>
      </c>
      <c r="D2727" t="s">
        <v>21</v>
      </c>
      <c r="E2727" t="s">
        <v>22</v>
      </c>
      <c r="F2727">
        <v>230</v>
      </c>
      <c r="G2727">
        <v>39</v>
      </c>
      <c r="H2727">
        <v>0.46</v>
      </c>
      <c r="I2727" t="s">
        <v>23</v>
      </c>
      <c r="J2727">
        <v>0</v>
      </c>
      <c r="K2727">
        <v>1</v>
      </c>
      <c r="L2727">
        <v>0</v>
      </c>
      <c r="M2727">
        <f>VLOOKUP(Table1[[#This Row],[subscription_type]],Plans!$A$1:$B$5,2,FALSE)</f>
        <v>9.99</v>
      </c>
      <c r="N2727">
        <f t="shared" si="42"/>
        <v>0</v>
      </c>
    </row>
    <row r="2728" spans="1:14" x14ac:dyDescent="0.35">
      <c r="A2728">
        <v>2727</v>
      </c>
      <c r="B2728" t="s">
        <v>16</v>
      </c>
      <c r="C2728">
        <v>56</v>
      </c>
      <c r="D2728" t="s">
        <v>28</v>
      </c>
      <c r="E2728" t="s">
        <v>14</v>
      </c>
      <c r="F2728">
        <v>264</v>
      </c>
      <c r="G2728">
        <v>95</v>
      </c>
      <c r="H2728">
        <v>0.52</v>
      </c>
      <c r="I2728" t="s">
        <v>15</v>
      </c>
      <c r="J2728">
        <v>35</v>
      </c>
      <c r="K2728">
        <v>0</v>
      </c>
      <c r="L2728">
        <v>0</v>
      </c>
      <c r="M2728">
        <f>VLOOKUP(Table1[[#This Row],[subscription_type]],Plans!$A$1:$B$5,2,FALSE)</f>
        <v>0</v>
      </c>
      <c r="N2728">
        <f t="shared" si="42"/>
        <v>0</v>
      </c>
    </row>
    <row r="2729" spans="1:14" x14ac:dyDescent="0.35">
      <c r="A2729">
        <v>2728</v>
      </c>
      <c r="B2729" t="s">
        <v>20</v>
      </c>
      <c r="C2729">
        <v>18</v>
      </c>
      <c r="D2729" t="s">
        <v>21</v>
      </c>
      <c r="E2729" t="s">
        <v>22</v>
      </c>
      <c r="F2729">
        <v>174</v>
      </c>
      <c r="G2729">
        <v>27</v>
      </c>
      <c r="H2729">
        <v>0.03</v>
      </c>
      <c r="I2729" t="s">
        <v>23</v>
      </c>
      <c r="J2729">
        <v>0</v>
      </c>
      <c r="K2729">
        <v>1</v>
      </c>
      <c r="L2729">
        <v>0</v>
      </c>
      <c r="M2729">
        <f>VLOOKUP(Table1[[#This Row],[subscription_type]],Plans!$A$1:$B$5,2,FALSE)</f>
        <v>9.99</v>
      </c>
      <c r="N2729">
        <f t="shared" si="42"/>
        <v>0</v>
      </c>
    </row>
    <row r="2730" spans="1:14" x14ac:dyDescent="0.35">
      <c r="A2730">
        <v>2729</v>
      </c>
      <c r="B2730" t="s">
        <v>12</v>
      </c>
      <c r="C2730">
        <v>50</v>
      </c>
      <c r="D2730" t="s">
        <v>27</v>
      </c>
      <c r="E2730" t="s">
        <v>24</v>
      </c>
      <c r="F2730">
        <v>17</v>
      </c>
      <c r="G2730">
        <v>78</v>
      </c>
      <c r="H2730">
        <v>0.26</v>
      </c>
      <c r="I2730" t="s">
        <v>23</v>
      </c>
      <c r="J2730">
        <v>0</v>
      </c>
      <c r="K2730">
        <v>1</v>
      </c>
      <c r="L2730">
        <v>0</v>
      </c>
      <c r="M2730">
        <f>VLOOKUP(Table1[[#This Row],[subscription_type]],Plans!$A$1:$B$5,2,FALSE)</f>
        <v>4.99</v>
      </c>
      <c r="N2730">
        <f t="shared" si="42"/>
        <v>0</v>
      </c>
    </row>
    <row r="2731" spans="1:14" x14ac:dyDescent="0.35">
      <c r="A2731">
        <v>2730</v>
      </c>
      <c r="B2731" t="s">
        <v>16</v>
      </c>
      <c r="C2731">
        <v>50</v>
      </c>
      <c r="D2731" t="s">
        <v>29</v>
      </c>
      <c r="E2731" t="s">
        <v>24</v>
      </c>
      <c r="F2731">
        <v>30</v>
      </c>
      <c r="G2731">
        <v>73</v>
      </c>
      <c r="H2731">
        <v>0.27</v>
      </c>
      <c r="I2731" t="s">
        <v>19</v>
      </c>
      <c r="J2731">
        <v>0</v>
      </c>
      <c r="K2731">
        <v>1</v>
      </c>
      <c r="L2731">
        <v>1</v>
      </c>
      <c r="M2731">
        <f>VLOOKUP(Table1[[#This Row],[subscription_type]],Plans!$A$1:$B$5,2,FALSE)</f>
        <v>4.99</v>
      </c>
      <c r="N2731">
        <f t="shared" si="42"/>
        <v>4.99</v>
      </c>
    </row>
    <row r="2732" spans="1:14" x14ac:dyDescent="0.35">
      <c r="A2732">
        <v>2731</v>
      </c>
      <c r="B2732" t="s">
        <v>20</v>
      </c>
      <c r="C2732">
        <v>22</v>
      </c>
      <c r="D2732" t="s">
        <v>17</v>
      </c>
      <c r="E2732" t="s">
        <v>14</v>
      </c>
      <c r="F2732">
        <v>217</v>
      </c>
      <c r="G2732">
        <v>50</v>
      </c>
      <c r="H2732">
        <v>0.44</v>
      </c>
      <c r="I2732" t="s">
        <v>15</v>
      </c>
      <c r="J2732">
        <v>28</v>
      </c>
      <c r="K2732">
        <v>0</v>
      </c>
      <c r="L2732">
        <v>1</v>
      </c>
      <c r="M2732">
        <f>VLOOKUP(Table1[[#This Row],[subscription_type]],Plans!$A$1:$B$5,2,FALSE)</f>
        <v>0</v>
      </c>
      <c r="N2732">
        <f t="shared" si="42"/>
        <v>0</v>
      </c>
    </row>
    <row r="2733" spans="1:14" x14ac:dyDescent="0.35">
      <c r="A2733">
        <v>2732</v>
      </c>
      <c r="B2733" t="s">
        <v>20</v>
      </c>
      <c r="C2733">
        <v>24</v>
      </c>
      <c r="D2733" t="s">
        <v>21</v>
      </c>
      <c r="E2733" t="s">
        <v>14</v>
      </c>
      <c r="F2733">
        <v>52</v>
      </c>
      <c r="G2733">
        <v>17</v>
      </c>
      <c r="H2733">
        <v>0.09</v>
      </c>
      <c r="I2733" t="s">
        <v>23</v>
      </c>
      <c r="J2733">
        <v>15</v>
      </c>
      <c r="K2733">
        <v>0</v>
      </c>
      <c r="L2733">
        <v>1</v>
      </c>
      <c r="M2733">
        <f>VLOOKUP(Table1[[#This Row],[subscription_type]],Plans!$A$1:$B$5,2,FALSE)</f>
        <v>0</v>
      </c>
      <c r="N2733">
        <f t="shared" si="42"/>
        <v>0</v>
      </c>
    </row>
    <row r="2734" spans="1:14" x14ac:dyDescent="0.35">
      <c r="A2734">
        <v>2733</v>
      </c>
      <c r="B2734" t="s">
        <v>20</v>
      </c>
      <c r="C2734">
        <v>59</v>
      </c>
      <c r="D2734" t="s">
        <v>26</v>
      </c>
      <c r="E2734" t="s">
        <v>18</v>
      </c>
      <c r="F2734">
        <v>67</v>
      </c>
      <c r="G2734">
        <v>79</v>
      </c>
      <c r="H2734">
        <v>0.21</v>
      </c>
      <c r="I2734" t="s">
        <v>19</v>
      </c>
      <c r="J2734">
        <v>0</v>
      </c>
      <c r="K2734">
        <v>1</v>
      </c>
      <c r="L2734">
        <v>0</v>
      </c>
      <c r="M2734">
        <f>VLOOKUP(Table1[[#This Row],[subscription_type]],Plans!$A$1:$B$5,2,FALSE)</f>
        <v>14.99</v>
      </c>
      <c r="N2734">
        <f t="shared" si="42"/>
        <v>0</v>
      </c>
    </row>
    <row r="2735" spans="1:14" x14ac:dyDescent="0.35">
      <c r="A2735">
        <v>2734</v>
      </c>
      <c r="B2735" t="s">
        <v>16</v>
      </c>
      <c r="C2735">
        <v>20</v>
      </c>
      <c r="D2735" t="s">
        <v>28</v>
      </c>
      <c r="E2735" t="s">
        <v>22</v>
      </c>
      <c r="F2735">
        <v>248</v>
      </c>
      <c r="G2735">
        <v>67</v>
      </c>
      <c r="H2735">
        <v>0.4</v>
      </c>
      <c r="I2735" t="s">
        <v>15</v>
      </c>
      <c r="J2735">
        <v>0</v>
      </c>
      <c r="K2735">
        <v>1</v>
      </c>
      <c r="L2735">
        <v>1</v>
      </c>
      <c r="M2735">
        <f>VLOOKUP(Table1[[#This Row],[subscription_type]],Plans!$A$1:$B$5,2,FALSE)</f>
        <v>9.99</v>
      </c>
      <c r="N2735">
        <f t="shared" si="42"/>
        <v>9.99</v>
      </c>
    </row>
    <row r="2736" spans="1:14" x14ac:dyDescent="0.35">
      <c r="A2736">
        <v>2735</v>
      </c>
      <c r="B2736" t="s">
        <v>20</v>
      </c>
      <c r="C2736">
        <v>37</v>
      </c>
      <c r="D2736" t="s">
        <v>28</v>
      </c>
      <c r="E2736" t="s">
        <v>14</v>
      </c>
      <c r="F2736">
        <v>51</v>
      </c>
      <c r="G2736">
        <v>17</v>
      </c>
      <c r="H2736">
        <v>0.51</v>
      </c>
      <c r="I2736" t="s">
        <v>19</v>
      </c>
      <c r="J2736">
        <v>49</v>
      </c>
      <c r="K2736">
        <v>0</v>
      </c>
      <c r="L2736">
        <v>1</v>
      </c>
      <c r="M2736">
        <f>VLOOKUP(Table1[[#This Row],[subscription_type]],Plans!$A$1:$B$5,2,FALSE)</f>
        <v>0</v>
      </c>
      <c r="N2736">
        <f t="shared" si="42"/>
        <v>0</v>
      </c>
    </row>
    <row r="2737" spans="1:14" x14ac:dyDescent="0.35">
      <c r="A2737">
        <v>2736</v>
      </c>
      <c r="B2737" t="s">
        <v>12</v>
      </c>
      <c r="C2737">
        <v>30</v>
      </c>
      <c r="D2737" t="s">
        <v>13</v>
      </c>
      <c r="E2737" t="s">
        <v>18</v>
      </c>
      <c r="F2737">
        <v>65</v>
      </c>
      <c r="G2737">
        <v>34</v>
      </c>
      <c r="H2737">
        <v>0.44</v>
      </c>
      <c r="I2737" t="s">
        <v>15</v>
      </c>
      <c r="J2737">
        <v>0</v>
      </c>
      <c r="K2737">
        <v>1</v>
      </c>
      <c r="L2737">
        <v>0</v>
      </c>
      <c r="M2737">
        <f>VLOOKUP(Table1[[#This Row],[subscription_type]],Plans!$A$1:$B$5,2,FALSE)</f>
        <v>14.99</v>
      </c>
      <c r="N2737">
        <f t="shared" si="42"/>
        <v>0</v>
      </c>
    </row>
    <row r="2738" spans="1:14" x14ac:dyDescent="0.35">
      <c r="A2738">
        <v>2737</v>
      </c>
      <c r="B2738" t="s">
        <v>16</v>
      </c>
      <c r="C2738">
        <v>37</v>
      </c>
      <c r="D2738" t="s">
        <v>27</v>
      </c>
      <c r="E2738" t="s">
        <v>22</v>
      </c>
      <c r="F2738">
        <v>245</v>
      </c>
      <c r="G2738">
        <v>21</v>
      </c>
      <c r="H2738">
        <v>0.35</v>
      </c>
      <c r="I2738" t="s">
        <v>15</v>
      </c>
      <c r="J2738">
        <v>0</v>
      </c>
      <c r="K2738">
        <v>1</v>
      </c>
      <c r="L2738">
        <v>0</v>
      </c>
      <c r="M2738">
        <f>VLOOKUP(Table1[[#This Row],[subscription_type]],Plans!$A$1:$B$5,2,FALSE)</f>
        <v>9.99</v>
      </c>
      <c r="N2738">
        <f t="shared" si="42"/>
        <v>0</v>
      </c>
    </row>
    <row r="2739" spans="1:14" x14ac:dyDescent="0.35">
      <c r="A2739">
        <v>2738</v>
      </c>
      <c r="B2739" t="s">
        <v>16</v>
      </c>
      <c r="C2739">
        <v>21</v>
      </c>
      <c r="D2739" t="s">
        <v>29</v>
      </c>
      <c r="E2739" t="s">
        <v>22</v>
      </c>
      <c r="F2739">
        <v>202</v>
      </c>
      <c r="G2739">
        <v>4</v>
      </c>
      <c r="H2739">
        <v>0.24</v>
      </c>
      <c r="I2739" t="s">
        <v>23</v>
      </c>
      <c r="J2739">
        <v>0</v>
      </c>
      <c r="K2739">
        <v>1</v>
      </c>
      <c r="L2739">
        <v>0</v>
      </c>
      <c r="M2739">
        <f>VLOOKUP(Table1[[#This Row],[subscription_type]],Plans!$A$1:$B$5,2,FALSE)</f>
        <v>9.99</v>
      </c>
      <c r="N2739">
        <f t="shared" si="42"/>
        <v>0</v>
      </c>
    </row>
    <row r="2740" spans="1:14" x14ac:dyDescent="0.35">
      <c r="A2740">
        <v>2739</v>
      </c>
      <c r="B2740" t="s">
        <v>12</v>
      </c>
      <c r="C2740">
        <v>56</v>
      </c>
      <c r="D2740" t="s">
        <v>17</v>
      </c>
      <c r="E2740" t="s">
        <v>18</v>
      </c>
      <c r="F2740">
        <v>227</v>
      </c>
      <c r="G2740">
        <v>40</v>
      </c>
      <c r="H2740">
        <v>0.6</v>
      </c>
      <c r="I2740" t="s">
        <v>19</v>
      </c>
      <c r="J2740">
        <v>0</v>
      </c>
      <c r="K2740">
        <v>1</v>
      </c>
      <c r="L2740">
        <v>0</v>
      </c>
      <c r="M2740">
        <f>VLOOKUP(Table1[[#This Row],[subscription_type]],Plans!$A$1:$B$5,2,FALSE)</f>
        <v>14.99</v>
      </c>
      <c r="N2740">
        <f t="shared" si="42"/>
        <v>0</v>
      </c>
    </row>
    <row r="2741" spans="1:14" x14ac:dyDescent="0.35">
      <c r="A2741">
        <v>2740</v>
      </c>
      <c r="B2741" t="s">
        <v>20</v>
      </c>
      <c r="C2741">
        <v>46</v>
      </c>
      <c r="D2741" t="s">
        <v>13</v>
      </c>
      <c r="E2741" t="s">
        <v>24</v>
      </c>
      <c r="F2741">
        <v>104</v>
      </c>
      <c r="G2741">
        <v>13</v>
      </c>
      <c r="H2741">
        <v>0.39</v>
      </c>
      <c r="I2741" t="s">
        <v>19</v>
      </c>
      <c r="J2741">
        <v>0</v>
      </c>
      <c r="K2741">
        <v>1</v>
      </c>
      <c r="L2741">
        <v>0</v>
      </c>
      <c r="M2741">
        <f>VLOOKUP(Table1[[#This Row],[subscription_type]],Plans!$A$1:$B$5,2,FALSE)</f>
        <v>4.99</v>
      </c>
      <c r="N2741">
        <f t="shared" si="42"/>
        <v>0</v>
      </c>
    </row>
    <row r="2742" spans="1:14" x14ac:dyDescent="0.35">
      <c r="A2742">
        <v>2741</v>
      </c>
      <c r="B2742" t="s">
        <v>20</v>
      </c>
      <c r="C2742">
        <v>32</v>
      </c>
      <c r="D2742" t="s">
        <v>28</v>
      </c>
      <c r="E2742" t="s">
        <v>22</v>
      </c>
      <c r="F2742">
        <v>41</v>
      </c>
      <c r="G2742">
        <v>54</v>
      </c>
      <c r="H2742">
        <v>0.57999999999999996</v>
      </c>
      <c r="I2742" t="s">
        <v>15</v>
      </c>
      <c r="J2742">
        <v>0</v>
      </c>
      <c r="K2742">
        <v>1</v>
      </c>
      <c r="L2742">
        <v>1</v>
      </c>
      <c r="M2742">
        <f>VLOOKUP(Table1[[#This Row],[subscription_type]],Plans!$A$1:$B$5,2,FALSE)</f>
        <v>9.99</v>
      </c>
      <c r="N2742">
        <f t="shared" si="42"/>
        <v>9.99</v>
      </c>
    </row>
    <row r="2743" spans="1:14" x14ac:dyDescent="0.35">
      <c r="A2743">
        <v>2742</v>
      </c>
      <c r="B2743" t="s">
        <v>16</v>
      </c>
      <c r="C2743">
        <v>23</v>
      </c>
      <c r="D2743" t="s">
        <v>13</v>
      </c>
      <c r="E2743" t="s">
        <v>22</v>
      </c>
      <c r="F2743">
        <v>241</v>
      </c>
      <c r="G2743">
        <v>87</v>
      </c>
      <c r="H2743">
        <v>0.26</v>
      </c>
      <c r="I2743" t="s">
        <v>19</v>
      </c>
      <c r="J2743">
        <v>0</v>
      </c>
      <c r="K2743">
        <v>1</v>
      </c>
      <c r="L2743">
        <v>0</v>
      </c>
      <c r="M2743">
        <f>VLOOKUP(Table1[[#This Row],[subscription_type]],Plans!$A$1:$B$5,2,FALSE)</f>
        <v>9.99</v>
      </c>
      <c r="N2743">
        <f t="shared" si="42"/>
        <v>0</v>
      </c>
    </row>
    <row r="2744" spans="1:14" x14ac:dyDescent="0.35">
      <c r="A2744">
        <v>2743</v>
      </c>
      <c r="B2744" t="s">
        <v>16</v>
      </c>
      <c r="C2744">
        <v>53</v>
      </c>
      <c r="D2744" t="s">
        <v>13</v>
      </c>
      <c r="E2744" t="s">
        <v>14</v>
      </c>
      <c r="F2744">
        <v>249</v>
      </c>
      <c r="G2744">
        <v>61</v>
      </c>
      <c r="H2744">
        <v>0.28000000000000003</v>
      </c>
      <c r="I2744" t="s">
        <v>15</v>
      </c>
      <c r="J2744">
        <v>39</v>
      </c>
      <c r="K2744">
        <v>0</v>
      </c>
      <c r="L2744">
        <v>0</v>
      </c>
      <c r="M2744">
        <f>VLOOKUP(Table1[[#This Row],[subscription_type]],Plans!$A$1:$B$5,2,FALSE)</f>
        <v>0</v>
      </c>
      <c r="N2744">
        <f t="shared" si="42"/>
        <v>0</v>
      </c>
    </row>
    <row r="2745" spans="1:14" x14ac:dyDescent="0.35">
      <c r="A2745">
        <v>2744</v>
      </c>
      <c r="B2745" t="s">
        <v>16</v>
      </c>
      <c r="C2745">
        <v>16</v>
      </c>
      <c r="D2745" t="s">
        <v>28</v>
      </c>
      <c r="E2745" t="s">
        <v>22</v>
      </c>
      <c r="F2745">
        <v>115</v>
      </c>
      <c r="G2745">
        <v>53</v>
      </c>
      <c r="H2745">
        <v>0.18</v>
      </c>
      <c r="I2745" t="s">
        <v>19</v>
      </c>
      <c r="J2745">
        <v>0</v>
      </c>
      <c r="K2745">
        <v>1</v>
      </c>
      <c r="L2745">
        <v>1</v>
      </c>
      <c r="M2745">
        <f>VLOOKUP(Table1[[#This Row],[subscription_type]],Plans!$A$1:$B$5,2,FALSE)</f>
        <v>9.99</v>
      </c>
      <c r="N2745">
        <f t="shared" si="42"/>
        <v>9.99</v>
      </c>
    </row>
    <row r="2746" spans="1:14" x14ac:dyDescent="0.35">
      <c r="A2746">
        <v>2745</v>
      </c>
      <c r="B2746" t="s">
        <v>12</v>
      </c>
      <c r="C2746">
        <v>48</v>
      </c>
      <c r="D2746" t="s">
        <v>25</v>
      </c>
      <c r="E2746" t="s">
        <v>24</v>
      </c>
      <c r="F2746">
        <v>236</v>
      </c>
      <c r="G2746">
        <v>82</v>
      </c>
      <c r="H2746">
        <v>0.2</v>
      </c>
      <c r="I2746" t="s">
        <v>19</v>
      </c>
      <c r="J2746">
        <v>0</v>
      </c>
      <c r="K2746">
        <v>1</v>
      </c>
      <c r="L2746">
        <v>0</v>
      </c>
      <c r="M2746">
        <f>VLOOKUP(Table1[[#This Row],[subscription_type]],Plans!$A$1:$B$5,2,FALSE)</f>
        <v>4.99</v>
      </c>
      <c r="N2746">
        <f t="shared" si="42"/>
        <v>0</v>
      </c>
    </row>
    <row r="2747" spans="1:14" x14ac:dyDescent="0.35">
      <c r="A2747">
        <v>2746</v>
      </c>
      <c r="B2747" t="s">
        <v>16</v>
      </c>
      <c r="C2747">
        <v>34</v>
      </c>
      <c r="D2747" t="s">
        <v>26</v>
      </c>
      <c r="E2747" t="s">
        <v>22</v>
      </c>
      <c r="F2747">
        <v>187</v>
      </c>
      <c r="G2747">
        <v>74</v>
      </c>
      <c r="H2747">
        <v>0.22</v>
      </c>
      <c r="I2747" t="s">
        <v>15</v>
      </c>
      <c r="J2747">
        <v>0</v>
      </c>
      <c r="K2747">
        <v>1</v>
      </c>
      <c r="L2747">
        <v>0</v>
      </c>
      <c r="M2747">
        <f>VLOOKUP(Table1[[#This Row],[subscription_type]],Plans!$A$1:$B$5,2,FALSE)</f>
        <v>9.99</v>
      </c>
      <c r="N2747">
        <f t="shared" si="42"/>
        <v>0</v>
      </c>
    </row>
    <row r="2748" spans="1:14" x14ac:dyDescent="0.35">
      <c r="A2748">
        <v>2747</v>
      </c>
      <c r="B2748" t="s">
        <v>12</v>
      </c>
      <c r="C2748">
        <v>54</v>
      </c>
      <c r="D2748" t="s">
        <v>28</v>
      </c>
      <c r="E2748" t="s">
        <v>14</v>
      </c>
      <c r="F2748">
        <v>123</v>
      </c>
      <c r="G2748">
        <v>55</v>
      </c>
      <c r="H2748">
        <v>0.59</v>
      </c>
      <c r="I2748" t="s">
        <v>19</v>
      </c>
      <c r="J2748">
        <v>39</v>
      </c>
      <c r="K2748">
        <v>0</v>
      </c>
      <c r="L2748">
        <v>0</v>
      </c>
      <c r="M2748">
        <f>VLOOKUP(Table1[[#This Row],[subscription_type]],Plans!$A$1:$B$5,2,FALSE)</f>
        <v>0</v>
      </c>
      <c r="N2748">
        <f t="shared" si="42"/>
        <v>0</v>
      </c>
    </row>
    <row r="2749" spans="1:14" x14ac:dyDescent="0.35">
      <c r="A2749">
        <v>2748</v>
      </c>
      <c r="B2749" t="s">
        <v>12</v>
      </c>
      <c r="C2749">
        <v>30</v>
      </c>
      <c r="D2749" t="s">
        <v>25</v>
      </c>
      <c r="E2749" t="s">
        <v>24</v>
      </c>
      <c r="F2749">
        <v>27</v>
      </c>
      <c r="G2749">
        <v>77</v>
      </c>
      <c r="H2749">
        <v>0.36</v>
      </c>
      <c r="I2749" t="s">
        <v>19</v>
      </c>
      <c r="J2749">
        <v>0</v>
      </c>
      <c r="K2749">
        <v>1</v>
      </c>
      <c r="L2749">
        <v>1</v>
      </c>
      <c r="M2749">
        <f>VLOOKUP(Table1[[#This Row],[subscription_type]],Plans!$A$1:$B$5,2,FALSE)</f>
        <v>4.99</v>
      </c>
      <c r="N2749">
        <f t="shared" si="42"/>
        <v>4.99</v>
      </c>
    </row>
    <row r="2750" spans="1:14" x14ac:dyDescent="0.35">
      <c r="A2750">
        <v>2749</v>
      </c>
      <c r="B2750" t="s">
        <v>20</v>
      </c>
      <c r="C2750">
        <v>25</v>
      </c>
      <c r="D2750" t="s">
        <v>25</v>
      </c>
      <c r="E2750" t="s">
        <v>24</v>
      </c>
      <c r="F2750">
        <v>215</v>
      </c>
      <c r="G2750">
        <v>76</v>
      </c>
      <c r="H2750">
        <v>0.13</v>
      </c>
      <c r="I2750" t="s">
        <v>19</v>
      </c>
      <c r="J2750">
        <v>0</v>
      </c>
      <c r="K2750">
        <v>1</v>
      </c>
      <c r="L2750">
        <v>0</v>
      </c>
      <c r="M2750">
        <f>VLOOKUP(Table1[[#This Row],[subscription_type]],Plans!$A$1:$B$5,2,FALSE)</f>
        <v>4.99</v>
      </c>
      <c r="N2750">
        <f t="shared" si="42"/>
        <v>0</v>
      </c>
    </row>
    <row r="2751" spans="1:14" x14ac:dyDescent="0.35">
      <c r="A2751">
        <v>2750</v>
      </c>
      <c r="B2751" t="s">
        <v>12</v>
      </c>
      <c r="C2751">
        <v>40</v>
      </c>
      <c r="D2751" t="s">
        <v>21</v>
      </c>
      <c r="E2751" t="s">
        <v>14</v>
      </c>
      <c r="F2751">
        <v>29</v>
      </c>
      <c r="G2751">
        <v>87</v>
      </c>
      <c r="H2751">
        <v>0.28999999999999998</v>
      </c>
      <c r="I2751" t="s">
        <v>23</v>
      </c>
      <c r="J2751">
        <v>25</v>
      </c>
      <c r="K2751">
        <v>0</v>
      </c>
      <c r="L2751">
        <v>0</v>
      </c>
      <c r="M2751">
        <f>VLOOKUP(Table1[[#This Row],[subscription_type]],Plans!$A$1:$B$5,2,FALSE)</f>
        <v>0</v>
      </c>
      <c r="N2751">
        <f t="shared" si="42"/>
        <v>0</v>
      </c>
    </row>
    <row r="2752" spans="1:14" x14ac:dyDescent="0.35">
      <c r="A2752">
        <v>2751</v>
      </c>
      <c r="B2752" t="s">
        <v>16</v>
      </c>
      <c r="C2752">
        <v>46</v>
      </c>
      <c r="D2752" t="s">
        <v>26</v>
      </c>
      <c r="E2752" t="s">
        <v>18</v>
      </c>
      <c r="F2752">
        <v>42</v>
      </c>
      <c r="G2752">
        <v>84</v>
      </c>
      <c r="H2752">
        <v>0.1</v>
      </c>
      <c r="I2752" t="s">
        <v>15</v>
      </c>
      <c r="J2752">
        <v>0</v>
      </c>
      <c r="K2752">
        <v>1</v>
      </c>
      <c r="L2752">
        <v>1</v>
      </c>
      <c r="M2752">
        <f>VLOOKUP(Table1[[#This Row],[subscription_type]],Plans!$A$1:$B$5,2,FALSE)</f>
        <v>14.99</v>
      </c>
      <c r="N2752">
        <f t="shared" si="42"/>
        <v>14.99</v>
      </c>
    </row>
    <row r="2753" spans="1:14" x14ac:dyDescent="0.35">
      <c r="A2753">
        <v>2752</v>
      </c>
      <c r="B2753" t="s">
        <v>12</v>
      </c>
      <c r="C2753">
        <v>52</v>
      </c>
      <c r="D2753" t="s">
        <v>17</v>
      </c>
      <c r="E2753" t="s">
        <v>18</v>
      </c>
      <c r="F2753">
        <v>118</v>
      </c>
      <c r="G2753">
        <v>69</v>
      </c>
      <c r="H2753">
        <v>0.36</v>
      </c>
      <c r="I2753" t="s">
        <v>23</v>
      </c>
      <c r="J2753">
        <v>0</v>
      </c>
      <c r="K2753">
        <v>1</v>
      </c>
      <c r="L2753">
        <v>0</v>
      </c>
      <c r="M2753">
        <f>VLOOKUP(Table1[[#This Row],[subscription_type]],Plans!$A$1:$B$5,2,FALSE)</f>
        <v>14.99</v>
      </c>
      <c r="N2753">
        <f t="shared" si="42"/>
        <v>0</v>
      </c>
    </row>
    <row r="2754" spans="1:14" x14ac:dyDescent="0.35">
      <c r="A2754">
        <v>2753</v>
      </c>
      <c r="B2754" t="s">
        <v>16</v>
      </c>
      <c r="C2754">
        <v>51</v>
      </c>
      <c r="D2754" t="s">
        <v>17</v>
      </c>
      <c r="E2754" t="s">
        <v>18</v>
      </c>
      <c r="F2754">
        <v>142</v>
      </c>
      <c r="G2754">
        <v>29</v>
      </c>
      <c r="H2754">
        <v>0.09</v>
      </c>
      <c r="I2754" t="s">
        <v>15</v>
      </c>
      <c r="J2754">
        <v>0</v>
      </c>
      <c r="K2754">
        <v>1</v>
      </c>
      <c r="L2754">
        <v>0</v>
      </c>
      <c r="M2754">
        <f>VLOOKUP(Table1[[#This Row],[subscription_type]],Plans!$A$1:$B$5,2,FALSE)</f>
        <v>14.99</v>
      </c>
      <c r="N2754">
        <f t="shared" ref="N2754:N2817" si="43">IF(L2754=1, M2754,0)</f>
        <v>0</v>
      </c>
    </row>
    <row r="2755" spans="1:14" x14ac:dyDescent="0.35">
      <c r="A2755">
        <v>2754</v>
      </c>
      <c r="B2755" t="s">
        <v>20</v>
      </c>
      <c r="C2755">
        <v>29</v>
      </c>
      <c r="D2755" t="s">
        <v>26</v>
      </c>
      <c r="E2755" t="s">
        <v>14</v>
      </c>
      <c r="F2755">
        <v>182</v>
      </c>
      <c r="G2755">
        <v>52</v>
      </c>
      <c r="H2755">
        <v>0.3</v>
      </c>
      <c r="I2755" t="s">
        <v>19</v>
      </c>
      <c r="J2755">
        <v>18</v>
      </c>
      <c r="K2755">
        <v>0</v>
      </c>
      <c r="L2755">
        <v>0</v>
      </c>
      <c r="M2755">
        <f>VLOOKUP(Table1[[#This Row],[subscription_type]],Plans!$A$1:$B$5,2,FALSE)</f>
        <v>0</v>
      </c>
      <c r="N2755">
        <f t="shared" si="43"/>
        <v>0</v>
      </c>
    </row>
    <row r="2756" spans="1:14" x14ac:dyDescent="0.35">
      <c r="A2756">
        <v>2755</v>
      </c>
      <c r="B2756" t="s">
        <v>12</v>
      </c>
      <c r="C2756">
        <v>54</v>
      </c>
      <c r="D2756" t="s">
        <v>21</v>
      </c>
      <c r="E2756" t="s">
        <v>24</v>
      </c>
      <c r="F2756">
        <v>204</v>
      </c>
      <c r="G2756">
        <v>40</v>
      </c>
      <c r="H2756">
        <v>0.01</v>
      </c>
      <c r="I2756" t="s">
        <v>23</v>
      </c>
      <c r="J2756">
        <v>0</v>
      </c>
      <c r="K2756">
        <v>1</v>
      </c>
      <c r="L2756">
        <v>0</v>
      </c>
      <c r="M2756">
        <f>VLOOKUP(Table1[[#This Row],[subscription_type]],Plans!$A$1:$B$5,2,FALSE)</f>
        <v>4.99</v>
      </c>
      <c r="N2756">
        <f t="shared" si="43"/>
        <v>0</v>
      </c>
    </row>
    <row r="2757" spans="1:14" x14ac:dyDescent="0.35">
      <c r="A2757">
        <v>2756</v>
      </c>
      <c r="B2757" t="s">
        <v>16</v>
      </c>
      <c r="C2757">
        <v>19</v>
      </c>
      <c r="D2757" t="s">
        <v>25</v>
      </c>
      <c r="E2757" t="s">
        <v>22</v>
      </c>
      <c r="F2757">
        <v>188</v>
      </c>
      <c r="G2757">
        <v>23</v>
      </c>
      <c r="H2757">
        <v>0.11</v>
      </c>
      <c r="I2757" t="s">
        <v>15</v>
      </c>
      <c r="J2757">
        <v>0</v>
      </c>
      <c r="K2757">
        <v>1</v>
      </c>
      <c r="L2757">
        <v>0</v>
      </c>
      <c r="M2757">
        <f>VLOOKUP(Table1[[#This Row],[subscription_type]],Plans!$A$1:$B$5,2,FALSE)</f>
        <v>9.99</v>
      </c>
      <c r="N2757">
        <f t="shared" si="43"/>
        <v>0</v>
      </c>
    </row>
    <row r="2758" spans="1:14" x14ac:dyDescent="0.35">
      <c r="A2758">
        <v>2757</v>
      </c>
      <c r="B2758" t="s">
        <v>12</v>
      </c>
      <c r="C2758">
        <v>35</v>
      </c>
      <c r="D2758" t="s">
        <v>17</v>
      </c>
      <c r="E2758" t="s">
        <v>14</v>
      </c>
      <c r="F2758">
        <v>232</v>
      </c>
      <c r="G2758">
        <v>18</v>
      </c>
      <c r="H2758">
        <v>0.49</v>
      </c>
      <c r="I2758" t="s">
        <v>15</v>
      </c>
      <c r="J2758">
        <v>25</v>
      </c>
      <c r="K2758">
        <v>0</v>
      </c>
      <c r="L2758">
        <v>0</v>
      </c>
      <c r="M2758">
        <f>VLOOKUP(Table1[[#This Row],[subscription_type]],Plans!$A$1:$B$5,2,FALSE)</f>
        <v>0</v>
      </c>
      <c r="N2758">
        <f t="shared" si="43"/>
        <v>0</v>
      </c>
    </row>
    <row r="2759" spans="1:14" x14ac:dyDescent="0.35">
      <c r="A2759">
        <v>2758</v>
      </c>
      <c r="B2759" t="s">
        <v>20</v>
      </c>
      <c r="C2759">
        <v>33</v>
      </c>
      <c r="D2759" t="s">
        <v>29</v>
      </c>
      <c r="E2759" t="s">
        <v>24</v>
      </c>
      <c r="F2759">
        <v>274</v>
      </c>
      <c r="G2759">
        <v>14</v>
      </c>
      <c r="H2759">
        <v>0.2</v>
      </c>
      <c r="I2759" t="s">
        <v>15</v>
      </c>
      <c r="J2759">
        <v>0</v>
      </c>
      <c r="K2759">
        <v>1</v>
      </c>
      <c r="L2759">
        <v>0</v>
      </c>
      <c r="M2759">
        <f>VLOOKUP(Table1[[#This Row],[subscription_type]],Plans!$A$1:$B$5,2,FALSE)</f>
        <v>4.99</v>
      </c>
      <c r="N2759">
        <f t="shared" si="43"/>
        <v>0</v>
      </c>
    </row>
    <row r="2760" spans="1:14" x14ac:dyDescent="0.35">
      <c r="A2760">
        <v>2759</v>
      </c>
      <c r="B2760" t="s">
        <v>12</v>
      </c>
      <c r="C2760">
        <v>27</v>
      </c>
      <c r="D2760" t="s">
        <v>27</v>
      </c>
      <c r="E2760" t="s">
        <v>14</v>
      </c>
      <c r="F2760">
        <v>32</v>
      </c>
      <c r="G2760">
        <v>65</v>
      </c>
      <c r="H2760">
        <v>0.19</v>
      </c>
      <c r="I2760" t="s">
        <v>23</v>
      </c>
      <c r="J2760">
        <v>34</v>
      </c>
      <c r="K2760">
        <v>0</v>
      </c>
      <c r="L2760">
        <v>0</v>
      </c>
      <c r="M2760">
        <f>VLOOKUP(Table1[[#This Row],[subscription_type]],Plans!$A$1:$B$5,2,FALSE)</f>
        <v>0</v>
      </c>
      <c r="N2760">
        <f t="shared" si="43"/>
        <v>0</v>
      </c>
    </row>
    <row r="2761" spans="1:14" x14ac:dyDescent="0.35">
      <c r="A2761">
        <v>2760</v>
      </c>
      <c r="B2761" t="s">
        <v>16</v>
      </c>
      <c r="C2761">
        <v>19</v>
      </c>
      <c r="D2761" t="s">
        <v>27</v>
      </c>
      <c r="E2761" t="s">
        <v>24</v>
      </c>
      <c r="F2761">
        <v>210</v>
      </c>
      <c r="G2761">
        <v>33</v>
      </c>
      <c r="H2761">
        <v>0.33</v>
      </c>
      <c r="I2761" t="s">
        <v>15</v>
      </c>
      <c r="J2761">
        <v>0</v>
      </c>
      <c r="K2761">
        <v>1</v>
      </c>
      <c r="L2761">
        <v>0</v>
      </c>
      <c r="M2761">
        <f>VLOOKUP(Table1[[#This Row],[subscription_type]],Plans!$A$1:$B$5,2,FALSE)</f>
        <v>4.99</v>
      </c>
      <c r="N2761">
        <f t="shared" si="43"/>
        <v>0</v>
      </c>
    </row>
    <row r="2762" spans="1:14" x14ac:dyDescent="0.35">
      <c r="A2762">
        <v>2761</v>
      </c>
      <c r="B2762" t="s">
        <v>20</v>
      </c>
      <c r="C2762">
        <v>16</v>
      </c>
      <c r="D2762" t="s">
        <v>21</v>
      </c>
      <c r="E2762" t="s">
        <v>14</v>
      </c>
      <c r="F2762">
        <v>111</v>
      </c>
      <c r="G2762">
        <v>47</v>
      </c>
      <c r="H2762">
        <v>0.33</v>
      </c>
      <c r="I2762" t="s">
        <v>23</v>
      </c>
      <c r="J2762">
        <v>25</v>
      </c>
      <c r="K2762">
        <v>0</v>
      </c>
      <c r="L2762">
        <v>0</v>
      </c>
      <c r="M2762">
        <f>VLOOKUP(Table1[[#This Row],[subscription_type]],Plans!$A$1:$B$5,2,FALSE)</f>
        <v>0</v>
      </c>
      <c r="N2762">
        <f t="shared" si="43"/>
        <v>0</v>
      </c>
    </row>
    <row r="2763" spans="1:14" x14ac:dyDescent="0.35">
      <c r="A2763">
        <v>2762</v>
      </c>
      <c r="B2763" t="s">
        <v>12</v>
      </c>
      <c r="C2763">
        <v>19</v>
      </c>
      <c r="D2763" t="s">
        <v>25</v>
      </c>
      <c r="E2763" t="s">
        <v>22</v>
      </c>
      <c r="F2763">
        <v>196</v>
      </c>
      <c r="G2763">
        <v>11</v>
      </c>
      <c r="H2763">
        <v>0.51</v>
      </c>
      <c r="I2763" t="s">
        <v>19</v>
      </c>
      <c r="J2763">
        <v>0</v>
      </c>
      <c r="K2763">
        <v>1</v>
      </c>
      <c r="L2763">
        <v>0</v>
      </c>
      <c r="M2763">
        <f>VLOOKUP(Table1[[#This Row],[subscription_type]],Plans!$A$1:$B$5,2,FALSE)</f>
        <v>9.99</v>
      </c>
      <c r="N2763">
        <f t="shared" si="43"/>
        <v>0</v>
      </c>
    </row>
    <row r="2764" spans="1:14" x14ac:dyDescent="0.35">
      <c r="A2764">
        <v>2763</v>
      </c>
      <c r="B2764" t="s">
        <v>16</v>
      </c>
      <c r="C2764">
        <v>34</v>
      </c>
      <c r="D2764" t="s">
        <v>27</v>
      </c>
      <c r="E2764" t="s">
        <v>14</v>
      </c>
      <c r="F2764">
        <v>125</v>
      </c>
      <c r="G2764">
        <v>94</v>
      </c>
      <c r="H2764">
        <v>0.02</v>
      </c>
      <c r="I2764" t="s">
        <v>19</v>
      </c>
      <c r="J2764">
        <v>15</v>
      </c>
      <c r="K2764">
        <v>0</v>
      </c>
      <c r="L2764">
        <v>0</v>
      </c>
      <c r="M2764">
        <f>VLOOKUP(Table1[[#This Row],[subscription_type]],Plans!$A$1:$B$5,2,FALSE)</f>
        <v>0</v>
      </c>
      <c r="N2764">
        <f t="shared" si="43"/>
        <v>0</v>
      </c>
    </row>
    <row r="2765" spans="1:14" x14ac:dyDescent="0.35">
      <c r="A2765">
        <v>2764</v>
      </c>
      <c r="B2765" t="s">
        <v>12</v>
      </c>
      <c r="C2765">
        <v>17</v>
      </c>
      <c r="D2765" t="s">
        <v>13</v>
      </c>
      <c r="E2765" t="s">
        <v>24</v>
      </c>
      <c r="F2765">
        <v>86</v>
      </c>
      <c r="G2765">
        <v>9</v>
      </c>
      <c r="H2765">
        <v>0.28000000000000003</v>
      </c>
      <c r="I2765" t="s">
        <v>23</v>
      </c>
      <c r="J2765">
        <v>0</v>
      </c>
      <c r="K2765">
        <v>1</v>
      </c>
      <c r="L2765">
        <v>1</v>
      </c>
      <c r="M2765">
        <f>VLOOKUP(Table1[[#This Row],[subscription_type]],Plans!$A$1:$B$5,2,FALSE)</f>
        <v>4.99</v>
      </c>
      <c r="N2765">
        <f t="shared" si="43"/>
        <v>4.99</v>
      </c>
    </row>
    <row r="2766" spans="1:14" x14ac:dyDescent="0.35">
      <c r="A2766">
        <v>2765</v>
      </c>
      <c r="B2766" t="s">
        <v>20</v>
      </c>
      <c r="C2766">
        <v>19</v>
      </c>
      <c r="D2766" t="s">
        <v>17</v>
      </c>
      <c r="E2766" t="s">
        <v>18</v>
      </c>
      <c r="F2766">
        <v>12</v>
      </c>
      <c r="G2766">
        <v>35</v>
      </c>
      <c r="H2766">
        <v>0.13</v>
      </c>
      <c r="I2766" t="s">
        <v>23</v>
      </c>
      <c r="J2766">
        <v>0</v>
      </c>
      <c r="K2766">
        <v>1</v>
      </c>
      <c r="L2766">
        <v>0</v>
      </c>
      <c r="M2766">
        <f>VLOOKUP(Table1[[#This Row],[subscription_type]],Plans!$A$1:$B$5,2,FALSE)</f>
        <v>14.99</v>
      </c>
      <c r="N2766">
        <f t="shared" si="43"/>
        <v>0</v>
      </c>
    </row>
    <row r="2767" spans="1:14" x14ac:dyDescent="0.35">
      <c r="A2767">
        <v>2766</v>
      </c>
      <c r="B2767" t="s">
        <v>12</v>
      </c>
      <c r="C2767">
        <v>40</v>
      </c>
      <c r="D2767" t="s">
        <v>25</v>
      </c>
      <c r="E2767" t="s">
        <v>22</v>
      </c>
      <c r="F2767">
        <v>242</v>
      </c>
      <c r="G2767">
        <v>88</v>
      </c>
      <c r="H2767">
        <v>0.25</v>
      </c>
      <c r="I2767" t="s">
        <v>23</v>
      </c>
      <c r="J2767">
        <v>0</v>
      </c>
      <c r="K2767">
        <v>1</v>
      </c>
      <c r="L2767">
        <v>1</v>
      </c>
      <c r="M2767">
        <f>VLOOKUP(Table1[[#This Row],[subscription_type]],Plans!$A$1:$B$5,2,FALSE)</f>
        <v>9.99</v>
      </c>
      <c r="N2767">
        <f t="shared" si="43"/>
        <v>9.99</v>
      </c>
    </row>
    <row r="2768" spans="1:14" x14ac:dyDescent="0.35">
      <c r="A2768">
        <v>2767</v>
      </c>
      <c r="B2768" t="s">
        <v>16</v>
      </c>
      <c r="C2768">
        <v>41</v>
      </c>
      <c r="D2768" t="s">
        <v>21</v>
      </c>
      <c r="E2768" t="s">
        <v>24</v>
      </c>
      <c r="F2768">
        <v>21</v>
      </c>
      <c r="G2768">
        <v>61</v>
      </c>
      <c r="H2768">
        <v>0.19</v>
      </c>
      <c r="I2768" t="s">
        <v>19</v>
      </c>
      <c r="J2768">
        <v>0</v>
      </c>
      <c r="K2768">
        <v>1</v>
      </c>
      <c r="L2768">
        <v>0</v>
      </c>
      <c r="M2768">
        <f>VLOOKUP(Table1[[#This Row],[subscription_type]],Plans!$A$1:$B$5,2,FALSE)</f>
        <v>4.99</v>
      </c>
      <c r="N2768">
        <f t="shared" si="43"/>
        <v>0</v>
      </c>
    </row>
    <row r="2769" spans="1:14" x14ac:dyDescent="0.35">
      <c r="A2769">
        <v>2768</v>
      </c>
      <c r="B2769" t="s">
        <v>12</v>
      </c>
      <c r="C2769">
        <v>19</v>
      </c>
      <c r="D2769" t="s">
        <v>29</v>
      </c>
      <c r="E2769" t="s">
        <v>18</v>
      </c>
      <c r="F2769">
        <v>16</v>
      </c>
      <c r="G2769">
        <v>72</v>
      </c>
      <c r="H2769">
        <v>0.57999999999999996</v>
      </c>
      <c r="I2769" t="s">
        <v>15</v>
      </c>
      <c r="J2769">
        <v>0</v>
      </c>
      <c r="K2769">
        <v>1</v>
      </c>
      <c r="L2769">
        <v>0</v>
      </c>
      <c r="M2769">
        <f>VLOOKUP(Table1[[#This Row],[subscription_type]],Plans!$A$1:$B$5,2,FALSE)</f>
        <v>14.99</v>
      </c>
      <c r="N2769">
        <f t="shared" si="43"/>
        <v>0</v>
      </c>
    </row>
    <row r="2770" spans="1:14" x14ac:dyDescent="0.35">
      <c r="A2770">
        <v>2769</v>
      </c>
      <c r="B2770" t="s">
        <v>16</v>
      </c>
      <c r="C2770">
        <v>18</v>
      </c>
      <c r="D2770" t="s">
        <v>13</v>
      </c>
      <c r="E2770" t="s">
        <v>24</v>
      </c>
      <c r="F2770">
        <v>168</v>
      </c>
      <c r="G2770">
        <v>51</v>
      </c>
      <c r="H2770">
        <v>0.28999999999999998</v>
      </c>
      <c r="I2770" t="s">
        <v>15</v>
      </c>
      <c r="J2770">
        <v>0</v>
      </c>
      <c r="K2770">
        <v>1</v>
      </c>
      <c r="L2770">
        <v>0</v>
      </c>
      <c r="M2770">
        <f>VLOOKUP(Table1[[#This Row],[subscription_type]],Plans!$A$1:$B$5,2,FALSE)</f>
        <v>4.99</v>
      </c>
      <c r="N2770">
        <f t="shared" si="43"/>
        <v>0</v>
      </c>
    </row>
    <row r="2771" spans="1:14" x14ac:dyDescent="0.35">
      <c r="A2771">
        <v>2770</v>
      </c>
      <c r="B2771" t="s">
        <v>16</v>
      </c>
      <c r="C2771">
        <v>22</v>
      </c>
      <c r="D2771" t="s">
        <v>28</v>
      </c>
      <c r="E2771" t="s">
        <v>24</v>
      </c>
      <c r="F2771">
        <v>253</v>
      </c>
      <c r="G2771">
        <v>9</v>
      </c>
      <c r="H2771">
        <v>0.39</v>
      </c>
      <c r="I2771" t="s">
        <v>15</v>
      </c>
      <c r="J2771">
        <v>0</v>
      </c>
      <c r="K2771">
        <v>1</v>
      </c>
      <c r="L2771">
        <v>1</v>
      </c>
      <c r="M2771">
        <f>VLOOKUP(Table1[[#This Row],[subscription_type]],Plans!$A$1:$B$5,2,FALSE)</f>
        <v>4.99</v>
      </c>
      <c r="N2771">
        <f t="shared" si="43"/>
        <v>4.99</v>
      </c>
    </row>
    <row r="2772" spans="1:14" x14ac:dyDescent="0.35">
      <c r="A2772">
        <v>2771</v>
      </c>
      <c r="B2772" t="s">
        <v>20</v>
      </c>
      <c r="C2772">
        <v>53</v>
      </c>
      <c r="D2772" t="s">
        <v>26</v>
      </c>
      <c r="E2772" t="s">
        <v>14</v>
      </c>
      <c r="F2772">
        <v>203</v>
      </c>
      <c r="G2772">
        <v>71</v>
      </c>
      <c r="H2772">
        <v>0.45</v>
      </c>
      <c r="I2772" t="s">
        <v>19</v>
      </c>
      <c r="J2772">
        <v>36</v>
      </c>
      <c r="K2772">
        <v>0</v>
      </c>
      <c r="L2772">
        <v>1</v>
      </c>
      <c r="M2772">
        <f>VLOOKUP(Table1[[#This Row],[subscription_type]],Plans!$A$1:$B$5,2,FALSE)</f>
        <v>0</v>
      </c>
      <c r="N2772">
        <f t="shared" si="43"/>
        <v>0</v>
      </c>
    </row>
    <row r="2773" spans="1:14" x14ac:dyDescent="0.35">
      <c r="A2773">
        <v>2772</v>
      </c>
      <c r="B2773" t="s">
        <v>12</v>
      </c>
      <c r="C2773">
        <v>32</v>
      </c>
      <c r="D2773" t="s">
        <v>26</v>
      </c>
      <c r="E2773" t="s">
        <v>22</v>
      </c>
      <c r="F2773">
        <v>28</v>
      </c>
      <c r="G2773">
        <v>2</v>
      </c>
      <c r="H2773">
        <v>0.5</v>
      </c>
      <c r="I2773" t="s">
        <v>19</v>
      </c>
      <c r="J2773">
        <v>0</v>
      </c>
      <c r="K2773">
        <v>1</v>
      </c>
      <c r="L2773">
        <v>1</v>
      </c>
      <c r="M2773">
        <f>VLOOKUP(Table1[[#This Row],[subscription_type]],Plans!$A$1:$B$5,2,FALSE)</f>
        <v>9.99</v>
      </c>
      <c r="N2773">
        <f t="shared" si="43"/>
        <v>9.99</v>
      </c>
    </row>
    <row r="2774" spans="1:14" x14ac:dyDescent="0.35">
      <c r="A2774">
        <v>2773</v>
      </c>
      <c r="B2774" t="s">
        <v>16</v>
      </c>
      <c r="C2774">
        <v>18</v>
      </c>
      <c r="D2774" t="s">
        <v>27</v>
      </c>
      <c r="E2774" t="s">
        <v>14</v>
      </c>
      <c r="F2774">
        <v>132</v>
      </c>
      <c r="G2774">
        <v>18</v>
      </c>
      <c r="H2774">
        <v>0.34</v>
      </c>
      <c r="I2774" t="s">
        <v>23</v>
      </c>
      <c r="J2774">
        <v>13</v>
      </c>
      <c r="K2774">
        <v>0</v>
      </c>
      <c r="L2774">
        <v>0</v>
      </c>
      <c r="M2774">
        <f>VLOOKUP(Table1[[#This Row],[subscription_type]],Plans!$A$1:$B$5,2,FALSE)</f>
        <v>0</v>
      </c>
      <c r="N2774">
        <f t="shared" si="43"/>
        <v>0</v>
      </c>
    </row>
    <row r="2775" spans="1:14" x14ac:dyDescent="0.35">
      <c r="A2775">
        <v>2774</v>
      </c>
      <c r="B2775" t="s">
        <v>20</v>
      </c>
      <c r="C2775">
        <v>29</v>
      </c>
      <c r="D2775" t="s">
        <v>27</v>
      </c>
      <c r="E2775" t="s">
        <v>18</v>
      </c>
      <c r="F2775">
        <v>267</v>
      </c>
      <c r="G2775">
        <v>28</v>
      </c>
      <c r="H2775">
        <v>0.14000000000000001</v>
      </c>
      <c r="I2775" t="s">
        <v>15</v>
      </c>
      <c r="J2775">
        <v>0</v>
      </c>
      <c r="K2775">
        <v>1</v>
      </c>
      <c r="L2775">
        <v>0</v>
      </c>
      <c r="M2775">
        <f>VLOOKUP(Table1[[#This Row],[subscription_type]],Plans!$A$1:$B$5,2,FALSE)</f>
        <v>14.99</v>
      </c>
      <c r="N2775">
        <f t="shared" si="43"/>
        <v>0</v>
      </c>
    </row>
    <row r="2776" spans="1:14" x14ac:dyDescent="0.35">
      <c r="A2776">
        <v>2775</v>
      </c>
      <c r="B2776" t="s">
        <v>16</v>
      </c>
      <c r="C2776">
        <v>33</v>
      </c>
      <c r="D2776" t="s">
        <v>28</v>
      </c>
      <c r="E2776" t="s">
        <v>24</v>
      </c>
      <c r="F2776">
        <v>98</v>
      </c>
      <c r="G2776">
        <v>92</v>
      </c>
      <c r="H2776">
        <v>0.42</v>
      </c>
      <c r="I2776" t="s">
        <v>23</v>
      </c>
      <c r="J2776">
        <v>0</v>
      </c>
      <c r="K2776">
        <v>1</v>
      </c>
      <c r="L2776">
        <v>0</v>
      </c>
      <c r="M2776">
        <f>VLOOKUP(Table1[[#This Row],[subscription_type]],Plans!$A$1:$B$5,2,FALSE)</f>
        <v>4.99</v>
      </c>
      <c r="N2776">
        <f t="shared" si="43"/>
        <v>0</v>
      </c>
    </row>
    <row r="2777" spans="1:14" x14ac:dyDescent="0.35">
      <c r="A2777">
        <v>2776</v>
      </c>
      <c r="B2777" t="s">
        <v>16</v>
      </c>
      <c r="C2777">
        <v>43</v>
      </c>
      <c r="D2777" t="s">
        <v>26</v>
      </c>
      <c r="E2777" t="s">
        <v>22</v>
      </c>
      <c r="F2777">
        <v>62</v>
      </c>
      <c r="G2777">
        <v>17</v>
      </c>
      <c r="H2777">
        <v>0.02</v>
      </c>
      <c r="I2777" t="s">
        <v>19</v>
      </c>
      <c r="J2777">
        <v>0</v>
      </c>
      <c r="K2777">
        <v>1</v>
      </c>
      <c r="L2777">
        <v>0</v>
      </c>
      <c r="M2777">
        <f>VLOOKUP(Table1[[#This Row],[subscription_type]],Plans!$A$1:$B$5,2,FALSE)</f>
        <v>9.99</v>
      </c>
      <c r="N2777">
        <f t="shared" si="43"/>
        <v>0</v>
      </c>
    </row>
    <row r="2778" spans="1:14" x14ac:dyDescent="0.35">
      <c r="A2778">
        <v>2777</v>
      </c>
      <c r="B2778" t="s">
        <v>16</v>
      </c>
      <c r="C2778">
        <v>46</v>
      </c>
      <c r="D2778" t="s">
        <v>13</v>
      </c>
      <c r="E2778" t="s">
        <v>24</v>
      </c>
      <c r="F2778">
        <v>138</v>
      </c>
      <c r="G2778">
        <v>42</v>
      </c>
      <c r="H2778">
        <v>0.53</v>
      </c>
      <c r="I2778" t="s">
        <v>15</v>
      </c>
      <c r="J2778">
        <v>0</v>
      </c>
      <c r="K2778">
        <v>1</v>
      </c>
      <c r="L2778">
        <v>0</v>
      </c>
      <c r="M2778">
        <f>VLOOKUP(Table1[[#This Row],[subscription_type]],Plans!$A$1:$B$5,2,FALSE)</f>
        <v>4.99</v>
      </c>
      <c r="N2778">
        <f t="shared" si="43"/>
        <v>0</v>
      </c>
    </row>
    <row r="2779" spans="1:14" x14ac:dyDescent="0.35">
      <c r="A2779">
        <v>2778</v>
      </c>
      <c r="B2779" t="s">
        <v>20</v>
      </c>
      <c r="C2779">
        <v>16</v>
      </c>
      <c r="D2779" t="s">
        <v>27</v>
      </c>
      <c r="E2779" t="s">
        <v>14</v>
      </c>
      <c r="F2779">
        <v>246</v>
      </c>
      <c r="G2779">
        <v>62</v>
      </c>
      <c r="H2779">
        <v>0.56999999999999995</v>
      </c>
      <c r="I2779" t="s">
        <v>15</v>
      </c>
      <c r="J2779">
        <v>15</v>
      </c>
      <c r="K2779">
        <v>0</v>
      </c>
      <c r="L2779">
        <v>0</v>
      </c>
      <c r="M2779">
        <f>VLOOKUP(Table1[[#This Row],[subscription_type]],Plans!$A$1:$B$5,2,FALSE)</f>
        <v>0</v>
      </c>
      <c r="N2779">
        <f t="shared" si="43"/>
        <v>0</v>
      </c>
    </row>
    <row r="2780" spans="1:14" x14ac:dyDescent="0.35">
      <c r="A2780">
        <v>2779</v>
      </c>
      <c r="B2780" t="s">
        <v>12</v>
      </c>
      <c r="C2780">
        <v>19</v>
      </c>
      <c r="D2780" t="s">
        <v>26</v>
      </c>
      <c r="E2780" t="s">
        <v>24</v>
      </c>
      <c r="F2780">
        <v>159</v>
      </c>
      <c r="G2780">
        <v>75</v>
      </c>
      <c r="H2780">
        <v>0.22</v>
      </c>
      <c r="I2780" t="s">
        <v>23</v>
      </c>
      <c r="J2780">
        <v>0</v>
      </c>
      <c r="K2780">
        <v>1</v>
      </c>
      <c r="L2780">
        <v>1</v>
      </c>
      <c r="M2780">
        <f>VLOOKUP(Table1[[#This Row],[subscription_type]],Plans!$A$1:$B$5,2,FALSE)</f>
        <v>4.99</v>
      </c>
      <c r="N2780">
        <f t="shared" si="43"/>
        <v>4.99</v>
      </c>
    </row>
    <row r="2781" spans="1:14" x14ac:dyDescent="0.35">
      <c r="A2781">
        <v>2780</v>
      </c>
      <c r="B2781" t="s">
        <v>20</v>
      </c>
      <c r="C2781">
        <v>29</v>
      </c>
      <c r="D2781" t="s">
        <v>25</v>
      </c>
      <c r="E2781" t="s">
        <v>18</v>
      </c>
      <c r="F2781">
        <v>216</v>
      </c>
      <c r="G2781">
        <v>72</v>
      </c>
      <c r="H2781">
        <v>0</v>
      </c>
      <c r="I2781" t="s">
        <v>19</v>
      </c>
      <c r="J2781">
        <v>0</v>
      </c>
      <c r="K2781">
        <v>1</v>
      </c>
      <c r="L2781">
        <v>0</v>
      </c>
      <c r="M2781">
        <f>VLOOKUP(Table1[[#This Row],[subscription_type]],Plans!$A$1:$B$5,2,FALSE)</f>
        <v>14.99</v>
      </c>
      <c r="N2781">
        <f t="shared" si="43"/>
        <v>0</v>
      </c>
    </row>
    <row r="2782" spans="1:14" x14ac:dyDescent="0.35">
      <c r="A2782">
        <v>2781</v>
      </c>
      <c r="B2782" t="s">
        <v>16</v>
      </c>
      <c r="C2782">
        <v>52</v>
      </c>
      <c r="D2782" t="s">
        <v>13</v>
      </c>
      <c r="E2782" t="s">
        <v>24</v>
      </c>
      <c r="F2782">
        <v>279</v>
      </c>
      <c r="G2782">
        <v>58</v>
      </c>
      <c r="H2782">
        <v>0.38</v>
      </c>
      <c r="I2782" t="s">
        <v>19</v>
      </c>
      <c r="J2782">
        <v>0</v>
      </c>
      <c r="K2782">
        <v>1</v>
      </c>
      <c r="L2782">
        <v>0</v>
      </c>
      <c r="M2782">
        <f>VLOOKUP(Table1[[#This Row],[subscription_type]],Plans!$A$1:$B$5,2,FALSE)</f>
        <v>4.99</v>
      </c>
      <c r="N2782">
        <f t="shared" si="43"/>
        <v>0</v>
      </c>
    </row>
    <row r="2783" spans="1:14" x14ac:dyDescent="0.35">
      <c r="A2783">
        <v>2782</v>
      </c>
      <c r="B2783" t="s">
        <v>12</v>
      </c>
      <c r="C2783">
        <v>19</v>
      </c>
      <c r="D2783" t="s">
        <v>21</v>
      </c>
      <c r="E2783" t="s">
        <v>22</v>
      </c>
      <c r="F2783">
        <v>142</v>
      </c>
      <c r="G2783">
        <v>68</v>
      </c>
      <c r="H2783">
        <v>0.23</v>
      </c>
      <c r="I2783" t="s">
        <v>23</v>
      </c>
      <c r="J2783">
        <v>0</v>
      </c>
      <c r="K2783">
        <v>1</v>
      </c>
      <c r="L2783">
        <v>0</v>
      </c>
      <c r="M2783">
        <f>VLOOKUP(Table1[[#This Row],[subscription_type]],Plans!$A$1:$B$5,2,FALSE)</f>
        <v>9.99</v>
      </c>
      <c r="N2783">
        <f t="shared" si="43"/>
        <v>0</v>
      </c>
    </row>
    <row r="2784" spans="1:14" x14ac:dyDescent="0.35">
      <c r="A2784">
        <v>2783</v>
      </c>
      <c r="B2784" t="s">
        <v>16</v>
      </c>
      <c r="C2784">
        <v>43</v>
      </c>
      <c r="D2784" t="s">
        <v>25</v>
      </c>
      <c r="E2784" t="s">
        <v>22</v>
      </c>
      <c r="F2784">
        <v>273</v>
      </c>
      <c r="G2784">
        <v>68</v>
      </c>
      <c r="H2784">
        <v>0.23</v>
      </c>
      <c r="I2784" t="s">
        <v>19</v>
      </c>
      <c r="J2784">
        <v>0</v>
      </c>
      <c r="K2784">
        <v>1</v>
      </c>
      <c r="L2784">
        <v>0</v>
      </c>
      <c r="M2784">
        <f>VLOOKUP(Table1[[#This Row],[subscription_type]],Plans!$A$1:$B$5,2,FALSE)</f>
        <v>9.99</v>
      </c>
      <c r="N2784">
        <f t="shared" si="43"/>
        <v>0</v>
      </c>
    </row>
    <row r="2785" spans="1:14" x14ac:dyDescent="0.35">
      <c r="A2785">
        <v>2784</v>
      </c>
      <c r="B2785" t="s">
        <v>20</v>
      </c>
      <c r="C2785">
        <v>50</v>
      </c>
      <c r="D2785" t="s">
        <v>21</v>
      </c>
      <c r="E2785" t="s">
        <v>18</v>
      </c>
      <c r="F2785">
        <v>135</v>
      </c>
      <c r="G2785">
        <v>27</v>
      </c>
      <c r="H2785">
        <v>0.3</v>
      </c>
      <c r="I2785" t="s">
        <v>15</v>
      </c>
      <c r="J2785">
        <v>0</v>
      </c>
      <c r="K2785">
        <v>1</v>
      </c>
      <c r="L2785">
        <v>1</v>
      </c>
      <c r="M2785">
        <f>VLOOKUP(Table1[[#This Row],[subscription_type]],Plans!$A$1:$B$5,2,FALSE)</f>
        <v>14.99</v>
      </c>
      <c r="N2785">
        <f t="shared" si="43"/>
        <v>14.99</v>
      </c>
    </row>
    <row r="2786" spans="1:14" x14ac:dyDescent="0.35">
      <c r="A2786">
        <v>2785</v>
      </c>
      <c r="B2786" t="s">
        <v>20</v>
      </c>
      <c r="C2786">
        <v>28</v>
      </c>
      <c r="D2786" t="s">
        <v>26</v>
      </c>
      <c r="E2786" t="s">
        <v>24</v>
      </c>
      <c r="F2786">
        <v>281</v>
      </c>
      <c r="G2786">
        <v>50</v>
      </c>
      <c r="H2786">
        <v>0.27</v>
      </c>
      <c r="I2786" t="s">
        <v>15</v>
      </c>
      <c r="J2786">
        <v>0</v>
      </c>
      <c r="K2786">
        <v>1</v>
      </c>
      <c r="L2786">
        <v>0</v>
      </c>
      <c r="M2786">
        <f>VLOOKUP(Table1[[#This Row],[subscription_type]],Plans!$A$1:$B$5,2,FALSE)</f>
        <v>4.99</v>
      </c>
      <c r="N2786">
        <f t="shared" si="43"/>
        <v>0</v>
      </c>
    </row>
    <row r="2787" spans="1:14" x14ac:dyDescent="0.35">
      <c r="A2787">
        <v>2786</v>
      </c>
      <c r="B2787" t="s">
        <v>12</v>
      </c>
      <c r="C2787">
        <v>29</v>
      </c>
      <c r="D2787" t="s">
        <v>27</v>
      </c>
      <c r="E2787" t="s">
        <v>14</v>
      </c>
      <c r="F2787">
        <v>26</v>
      </c>
      <c r="G2787">
        <v>18</v>
      </c>
      <c r="H2787">
        <v>0.56000000000000005</v>
      </c>
      <c r="I2787" t="s">
        <v>23</v>
      </c>
      <c r="J2787">
        <v>37</v>
      </c>
      <c r="K2787">
        <v>0</v>
      </c>
      <c r="L2787">
        <v>1</v>
      </c>
      <c r="M2787">
        <f>VLOOKUP(Table1[[#This Row],[subscription_type]],Plans!$A$1:$B$5,2,FALSE)</f>
        <v>0</v>
      </c>
      <c r="N2787">
        <f t="shared" si="43"/>
        <v>0</v>
      </c>
    </row>
    <row r="2788" spans="1:14" x14ac:dyDescent="0.35">
      <c r="A2788">
        <v>2787</v>
      </c>
      <c r="B2788" t="s">
        <v>20</v>
      </c>
      <c r="C2788">
        <v>30</v>
      </c>
      <c r="D2788" t="s">
        <v>29</v>
      </c>
      <c r="E2788" t="s">
        <v>14</v>
      </c>
      <c r="F2788">
        <v>225</v>
      </c>
      <c r="G2788">
        <v>46</v>
      </c>
      <c r="H2788">
        <v>0.21</v>
      </c>
      <c r="I2788" t="s">
        <v>15</v>
      </c>
      <c r="J2788">
        <v>8</v>
      </c>
      <c r="K2788">
        <v>0</v>
      </c>
      <c r="L2788">
        <v>0</v>
      </c>
      <c r="M2788">
        <f>VLOOKUP(Table1[[#This Row],[subscription_type]],Plans!$A$1:$B$5,2,FALSE)</f>
        <v>0</v>
      </c>
      <c r="N2788">
        <f t="shared" si="43"/>
        <v>0</v>
      </c>
    </row>
    <row r="2789" spans="1:14" x14ac:dyDescent="0.35">
      <c r="A2789">
        <v>2788</v>
      </c>
      <c r="B2789" t="s">
        <v>20</v>
      </c>
      <c r="C2789">
        <v>32</v>
      </c>
      <c r="D2789" t="s">
        <v>26</v>
      </c>
      <c r="E2789" t="s">
        <v>22</v>
      </c>
      <c r="F2789">
        <v>115</v>
      </c>
      <c r="G2789">
        <v>65</v>
      </c>
      <c r="H2789">
        <v>0.19</v>
      </c>
      <c r="I2789" t="s">
        <v>23</v>
      </c>
      <c r="J2789">
        <v>0</v>
      </c>
      <c r="K2789">
        <v>1</v>
      </c>
      <c r="L2789">
        <v>0</v>
      </c>
      <c r="M2789">
        <f>VLOOKUP(Table1[[#This Row],[subscription_type]],Plans!$A$1:$B$5,2,FALSE)</f>
        <v>9.99</v>
      </c>
      <c r="N2789">
        <f t="shared" si="43"/>
        <v>0</v>
      </c>
    </row>
    <row r="2790" spans="1:14" x14ac:dyDescent="0.35">
      <c r="A2790">
        <v>2789</v>
      </c>
      <c r="B2790" t="s">
        <v>16</v>
      </c>
      <c r="C2790">
        <v>47</v>
      </c>
      <c r="D2790" t="s">
        <v>25</v>
      </c>
      <c r="E2790" t="s">
        <v>22</v>
      </c>
      <c r="F2790">
        <v>88</v>
      </c>
      <c r="G2790">
        <v>81</v>
      </c>
      <c r="H2790">
        <v>0.46</v>
      </c>
      <c r="I2790" t="s">
        <v>19</v>
      </c>
      <c r="J2790">
        <v>0</v>
      </c>
      <c r="K2790">
        <v>1</v>
      </c>
      <c r="L2790">
        <v>0</v>
      </c>
      <c r="M2790">
        <f>VLOOKUP(Table1[[#This Row],[subscription_type]],Plans!$A$1:$B$5,2,FALSE)</f>
        <v>9.99</v>
      </c>
      <c r="N2790">
        <f t="shared" si="43"/>
        <v>0</v>
      </c>
    </row>
    <row r="2791" spans="1:14" x14ac:dyDescent="0.35">
      <c r="A2791">
        <v>2790</v>
      </c>
      <c r="B2791" t="s">
        <v>12</v>
      </c>
      <c r="C2791">
        <v>32</v>
      </c>
      <c r="D2791" t="s">
        <v>21</v>
      </c>
      <c r="E2791" t="s">
        <v>24</v>
      </c>
      <c r="F2791">
        <v>25</v>
      </c>
      <c r="G2791">
        <v>84</v>
      </c>
      <c r="H2791">
        <v>0.01</v>
      </c>
      <c r="I2791" t="s">
        <v>19</v>
      </c>
      <c r="J2791">
        <v>0</v>
      </c>
      <c r="K2791">
        <v>1</v>
      </c>
      <c r="L2791">
        <v>0</v>
      </c>
      <c r="M2791">
        <f>VLOOKUP(Table1[[#This Row],[subscription_type]],Plans!$A$1:$B$5,2,FALSE)</f>
        <v>4.99</v>
      </c>
      <c r="N2791">
        <f t="shared" si="43"/>
        <v>0</v>
      </c>
    </row>
    <row r="2792" spans="1:14" x14ac:dyDescent="0.35">
      <c r="A2792">
        <v>2791</v>
      </c>
      <c r="B2792" t="s">
        <v>12</v>
      </c>
      <c r="C2792">
        <v>34</v>
      </c>
      <c r="D2792" t="s">
        <v>21</v>
      </c>
      <c r="E2792" t="s">
        <v>24</v>
      </c>
      <c r="F2792">
        <v>235</v>
      </c>
      <c r="G2792">
        <v>49</v>
      </c>
      <c r="H2792">
        <v>0.08</v>
      </c>
      <c r="I2792" t="s">
        <v>19</v>
      </c>
      <c r="J2792">
        <v>0</v>
      </c>
      <c r="K2792">
        <v>1</v>
      </c>
      <c r="L2792">
        <v>0</v>
      </c>
      <c r="M2792">
        <f>VLOOKUP(Table1[[#This Row],[subscription_type]],Plans!$A$1:$B$5,2,FALSE)</f>
        <v>4.99</v>
      </c>
      <c r="N2792">
        <f t="shared" si="43"/>
        <v>0</v>
      </c>
    </row>
    <row r="2793" spans="1:14" x14ac:dyDescent="0.35">
      <c r="A2793">
        <v>2792</v>
      </c>
      <c r="B2793" t="s">
        <v>12</v>
      </c>
      <c r="C2793">
        <v>25</v>
      </c>
      <c r="D2793" t="s">
        <v>26</v>
      </c>
      <c r="E2793" t="s">
        <v>22</v>
      </c>
      <c r="F2793">
        <v>232</v>
      </c>
      <c r="G2793">
        <v>71</v>
      </c>
      <c r="H2793">
        <v>0.11</v>
      </c>
      <c r="I2793" t="s">
        <v>23</v>
      </c>
      <c r="J2793">
        <v>0</v>
      </c>
      <c r="K2793">
        <v>1</v>
      </c>
      <c r="L2793">
        <v>0</v>
      </c>
      <c r="M2793">
        <f>VLOOKUP(Table1[[#This Row],[subscription_type]],Plans!$A$1:$B$5,2,FALSE)</f>
        <v>9.99</v>
      </c>
      <c r="N2793">
        <f t="shared" si="43"/>
        <v>0</v>
      </c>
    </row>
    <row r="2794" spans="1:14" x14ac:dyDescent="0.35">
      <c r="A2794">
        <v>2793</v>
      </c>
      <c r="B2794" t="s">
        <v>16</v>
      </c>
      <c r="C2794">
        <v>29</v>
      </c>
      <c r="D2794" t="s">
        <v>13</v>
      </c>
      <c r="E2794" t="s">
        <v>18</v>
      </c>
      <c r="F2794">
        <v>14</v>
      </c>
      <c r="G2794">
        <v>6</v>
      </c>
      <c r="H2794">
        <v>0.26</v>
      </c>
      <c r="I2794" t="s">
        <v>23</v>
      </c>
      <c r="J2794">
        <v>0</v>
      </c>
      <c r="K2794">
        <v>1</v>
      </c>
      <c r="L2794">
        <v>0</v>
      </c>
      <c r="M2794">
        <f>VLOOKUP(Table1[[#This Row],[subscription_type]],Plans!$A$1:$B$5,2,FALSE)</f>
        <v>14.99</v>
      </c>
      <c r="N2794">
        <f t="shared" si="43"/>
        <v>0</v>
      </c>
    </row>
    <row r="2795" spans="1:14" x14ac:dyDescent="0.35">
      <c r="A2795">
        <v>2794</v>
      </c>
      <c r="B2795" t="s">
        <v>16</v>
      </c>
      <c r="C2795">
        <v>34</v>
      </c>
      <c r="D2795" t="s">
        <v>29</v>
      </c>
      <c r="E2795" t="s">
        <v>18</v>
      </c>
      <c r="F2795">
        <v>120</v>
      </c>
      <c r="G2795">
        <v>89</v>
      </c>
      <c r="H2795">
        <v>0.55000000000000004</v>
      </c>
      <c r="I2795" t="s">
        <v>19</v>
      </c>
      <c r="J2795">
        <v>0</v>
      </c>
      <c r="K2795">
        <v>1</v>
      </c>
      <c r="L2795">
        <v>0</v>
      </c>
      <c r="M2795">
        <f>VLOOKUP(Table1[[#This Row],[subscription_type]],Plans!$A$1:$B$5,2,FALSE)</f>
        <v>14.99</v>
      </c>
      <c r="N2795">
        <f t="shared" si="43"/>
        <v>0</v>
      </c>
    </row>
    <row r="2796" spans="1:14" x14ac:dyDescent="0.35">
      <c r="A2796">
        <v>2795</v>
      </c>
      <c r="B2796" t="s">
        <v>20</v>
      </c>
      <c r="C2796">
        <v>19</v>
      </c>
      <c r="D2796" t="s">
        <v>28</v>
      </c>
      <c r="E2796" t="s">
        <v>22</v>
      </c>
      <c r="F2796">
        <v>93</v>
      </c>
      <c r="G2796">
        <v>15</v>
      </c>
      <c r="H2796">
        <v>0.15</v>
      </c>
      <c r="I2796" t="s">
        <v>19</v>
      </c>
      <c r="J2796">
        <v>0</v>
      </c>
      <c r="K2796">
        <v>1</v>
      </c>
      <c r="L2796">
        <v>0</v>
      </c>
      <c r="M2796">
        <f>VLOOKUP(Table1[[#This Row],[subscription_type]],Plans!$A$1:$B$5,2,FALSE)</f>
        <v>9.99</v>
      </c>
      <c r="N2796">
        <f t="shared" si="43"/>
        <v>0</v>
      </c>
    </row>
    <row r="2797" spans="1:14" x14ac:dyDescent="0.35">
      <c r="A2797">
        <v>2796</v>
      </c>
      <c r="B2797" t="s">
        <v>12</v>
      </c>
      <c r="C2797">
        <v>17</v>
      </c>
      <c r="D2797" t="s">
        <v>21</v>
      </c>
      <c r="E2797" t="s">
        <v>24</v>
      </c>
      <c r="F2797">
        <v>43</v>
      </c>
      <c r="G2797">
        <v>88</v>
      </c>
      <c r="H2797">
        <v>0.57999999999999996</v>
      </c>
      <c r="I2797" t="s">
        <v>23</v>
      </c>
      <c r="J2797">
        <v>0</v>
      </c>
      <c r="K2797">
        <v>1</v>
      </c>
      <c r="L2797">
        <v>0</v>
      </c>
      <c r="M2797">
        <f>VLOOKUP(Table1[[#This Row],[subscription_type]],Plans!$A$1:$B$5,2,FALSE)</f>
        <v>4.99</v>
      </c>
      <c r="N2797">
        <f t="shared" si="43"/>
        <v>0</v>
      </c>
    </row>
    <row r="2798" spans="1:14" x14ac:dyDescent="0.35">
      <c r="A2798">
        <v>2797</v>
      </c>
      <c r="B2798" t="s">
        <v>20</v>
      </c>
      <c r="C2798">
        <v>45</v>
      </c>
      <c r="D2798" t="s">
        <v>28</v>
      </c>
      <c r="E2798" t="s">
        <v>14</v>
      </c>
      <c r="F2798">
        <v>44</v>
      </c>
      <c r="G2798">
        <v>10</v>
      </c>
      <c r="H2798">
        <v>0.19</v>
      </c>
      <c r="I2798" t="s">
        <v>15</v>
      </c>
      <c r="J2798">
        <v>48</v>
      </c>
      <c r="K2798">
        <v>0</v>
      </c>
      <c r="L2798">
        <v>1</v>
      </c>
      <c r="M2798">
        <f>VLOOKUP(Table1[[#This Row],[subscription_type]],Plans!$A$1:$B$5,2,FALSE)</f>
        <v>0</v>
      </c>
      <c r="N2798">
        <f t="shared" si="43"/>
        <v>0</v>
      </c>
    </row>
    <row r="2799" spans="1:14" x14ac:dyDescent="0.35">
      <c r="A2799">
        <v>2798</v>
      </c>
      <c r="B2799" t="s">
        <v>12</v>
      </c>
      <c r="C2799">
        <v>44</v>
      </c>
      <c r="D2799" t="s">
        <v>29</v>
      </c>
      <c r="E2799" t="s">
        <v>14</v>
      </c>
      <c r="F2799">
        <v>46</v>
      </c>
      <c r="G2799">
        <v>66</v>
      </c>
      <c r="H2799">
        <v>0.2</v>
      </c>
      <c r="I2799" t="s">
        <v>19</v>
      </c>
      <c r="J2799">
        <v>11</v>
      </c>
      <c r="K2799">
        <v>0</v>
      </c>
      <c r="L2799">
        <v>0</v>
      </c>
      <c r="M2799">
        <f>VLOOKUP(Table1[[#This Row],[subscription_type]],Plans!$A$1:$B$5,2,FALSE)</f>
        <v>0</v>
      </c>
      <c r="N2799">
        <f t="shared" si="43"/>
        <v>0</v>
      </c>
    </row>
    <row r="2800" spans="1:14" x14ac:dyDescent="0.35">
      <c r="A2800">
        <v>2799</v>
      </c>
      <c r="B2800" t="s">
        <v>16</v>
      </c>
      <c r="C2800">
        <v>44</v>
      </c>
      <c r="D2800" t="s">
        <v>25</v>
      </c>
      <c r="E2800" t="s">
        <v>22</v>
      </c>
      <c r="F2800">
        <v>276</v>
      </c>
      <c r="G2800">
        <v>69</v>
      </c>
      <c r="H2800">
        <v>0.56999999999999995</v>
      </c>
      <c r="I2800" t="s">
        <v>19</v>
      </c>
      <c r="J2800">
        <v>0</v>
      </c>
      <c r="K2800">
        <v>1</v>
      </c>
      <c r="L2800">
        <v>1</v>
      </c>
      <c r="M2800">
        <f>VLOOKUP(Table1[[#This Row],[subscription_type]],Plans!$A$1:$B$5,2,FALSE)</f>
        <v>9.99</v>
      </c>
      <c r="N2800">
        <f t="shared" si="43"/>
        <v>9.99</v>
      </c>
    </row>
    <row r="2801" spans="1:14" x14ac:dyDescent="0.35">
      <c r="A2801">
        <v>2800</v>
      </c>
      <c r="B2801" t="s">
        <v>20</v>
      </c>
      <c r="C2801">
        <v>54</v>
      </c>
      <c r="D2801" t="s">
        <v>17</v>
      </c>
      <c r="E2801" t="s">
        <v>14</v>
      </c>
      <c r="F2801">
        <v>161</v>
      </c>
      <c r="G2801">
        <v>50</v>
      </c>
      <c r="H2801">
        <v>0.11</v>
      </c>
      <c r="I2801" t="s">
        <v>19</v>
      </c>
      <c r="J2801">
        <v>30</v>
      </c>
      <c r="K2801">
        <v>0</v>
      </c>
      <c r="L2801">
        <v>0</v>
      </c>
      <c r="M2801">
        <f>VLOOKUP(Table1[[#This Row],[subscription_type]],Plans!$A$1:$B$5,2,FALSE)</f>
        <v>0</v>
      </c>
      <c r="N2801">
        <f t="shared" si="43"/>
        <v>0</v>
      </c>
    </row>
    <row r="2802" spans="1:14" x14ac:dyDescent="0.35">
      <c r="A2802">
        <v>2801</v>
      </c>
      <c r="B2802" t="s">
        <v>16</v>
      </c>
      <c r="C2802">
        <v>54</v>
      </c>
      <c r="D2802" t="s">
        <v>26</v>
      </c>
      <c r="E2802" t="s">
        <v>22</v>
      </c>
      <c r="F2802">
        <v>275</v>
      </c>
      <c r="G2802">
        <v>66</v>
      </c>
      <c r="H2802">
        <v>0.25</v>
      </c>
      <c r="I2802" t="s">
        <v>19</v>
      </c>
      <c r="J2802">
        <v>0</v>
      </c>
      <c r="K2802">
        <v>1</v>
      </c>
      <c r="L2802">
        <v>1</v>
      </c>
      <c r="M2802">
        <f>VLOOKUP(Table1[[#This Row],[subscription_type]],Plans!$A$1:$B$5,2,FALSE)</f>
        <v>9.99</v>
      </c>
      <c r="N2802">
        <f t="shared" si="43"/>
        <v>9.99</v>
      </c>
    </row>
    <row r="2803" spans="1:14" x14ac:dyDescent="0.35">
      <c r="A2803">
        <v>2802</v>
      </c>
      <c r="B2803" t="s">
        <v>20</v>
      </c>
      <c r="C2803">
        <v>52</v>
      </c>
      <c r="D2803" t="s">
        <v>13</v>
      </c>
      <c r="E2803" t="s">
        <v>24</v>
      </c>
      <c r="F2803">
        <v>182</v>
      </c>
      <c r="G2803">
        <v>69</v>
      </c>
      <c r="H2803">
        <v>0.48</v>
      </c>
      <c r="I2803" t="s">
        <v>23</v>
      </c>
      <c r="J2803">
        <v>0</v>
      </c>
      <c r="K2803">
        <v>1</v>
      </c>
      <c r="L2803">
        <v>0</v>
      </c>
      <c r="M2803">
        <f>VLOOKUP(Table1[[#This Row],[subscription_type]],Plans!$A$1:$B$5,2,FALSE)</f>
        <v>4.99</v>
      </c>
      <c r="N2803">
        <f t="shared" si="43"/>
        <v>0</v>
      </c>
    </row>
    <row r="2804" spans="1:14" x14ac:dyDescent="0.35">
      <c r="A2804">
        <v>2803</v>
      </c>
      <c r="B2804" t="s">
        <v>16</v>
      </c>
      <c r="C2804">
        <v>26</v>
      </c>
      <c r="D2804" t="s">
        <v>26</v>
      </c>
      <c r="E2804" t="s">
        <v>18</v>
      </c>
      <c r="F2804">
        <v>261</v>
      </c>
      <c r="G2804">
        <v>53</v>
      </c>
      <c r="H2804">
        <v>0.27</v>
      </c>
      <c r="I2804" t="s">
        <v>15</v>
      </c>
      <c r="J2804">
        <v>0</v>
      </c>
      <c r="K2804">
        <v>1</v>
      </c>
      <c r="L2804">
        <v>0</v>
      </c>
      <c r="M2804">
        <f>VLOOKUP(Table1[[#This Row],[subscription_type]],Plans!$A$1:$B$5,2,FALSE)</f>
        <v>14.99</v>
      </c>
      <c r="N2804">
        <f t="shared" si="43"/>
        <v>0</v>
      </c>
    </row>
    <row r="2805" spans="1:14" x14ac:dyDescent="0.35">
      <c r="A2805">
        <v>2804</v>
      </c>
      <c r="B2805" t="s">
        <v>16</v>
      </c>
      <c r="C2805">
        <v>56</v>
      </c>
      <c r="D2805" t="s">
        <v>13</v>
      </c>
      <c r="E2805" t="s">
        <v>14</v>
      </c>
      <c r="F2805">
        <v>266</v>
      </c>
      <c r="G2805">
        <v>72</v>
      </c>
      <c r="H2805">
        <v>0.24</v>
      </c>
      <c r="I2805" t="s">
        <v>15</v>
      </c>
      <c r="J2805">
        <v>12</v>
      </c>
      <c r="K2805">
        <v>0</v>
      </c>
      <c r="L2805">
        <v>0</v>
      </c>
      <c r="M2805">
        <f>VLOOKUP(Table1[[#This Row],[subscription_type]],Plans!$A$1:$B$5,2,FALSE)</f>
        <v>0</v>
      </c>
      <c r="N2805">
        <f t="shared" si="43"/>
        <v>0</v>
      </c>
    </row>
    <row r="2806" spans="1:14" x14ac:dyDescent="0.35">
      <c r="A2806">
        <v>2805</v>
      </c>
      <c r="B2806" t="s">
        <v>16</v>
      </c>
      <c r="C2806">
        <v>30</v>
      </c>
      <c r="D2806" t="s">
        <v>13</v>
      </c>
      <c r="E2806" t="s">
        <v>14</v>
      </c>
      <c r="F2806">
        <v>271</v>
      </c>
      <c r="G2806">
        <v>68</v>
      </c>
      <c r="H2806">
        <v>0.43</v>
      </c>
      <c r="I2806" t="s">
        <v>15</v>
      </c>
      <c r="J2806">
        <v>44</v>
      </c>
      <c r="K2806">
        <v>0</v>
      </c>
      <c r="L2806">
        <v>0</v>
      </c>
      <c r="M2806">
        <f>VLOOKUP(Table1[[#This Row],[subscription_type]],Plans!$A$1:$B$5,2,FALSE)</f>
        <v>0</v>
      </c>
      <c r="N2806">
        <f t="shared" si="43"/>
        <v>0</v>
      </c>
    </row>
    <row r="2807" spans="1:14" x14ac:dyDescent="0.35">
      <c r="A2807">
        <v>2806</v>
      </c>
      <c r="B2807" t="s">
        <v>12</v>
      </c>
      <c r="C2807">
        <v>25</v>
      </c>
      <c r="D2807" t="s">
        <v>13</v>
      </c>
      <c r="E2807" t="s">
        <v>14</v>
      </c>
      <c r="F2807">
        <v>264</v>
      </c>
      <c r="G2807">
        <v>27</v>
      </c>
      <c r="H2807">
        <v>0.05</v>
      </c>
      <c r="I2807" t="s">
        <v>19</v>
      </c>
      <c r="J2807">
        <v>24</v>
      </c>
      <c r="K2807">
        <v>0</v>
      </c>
      <c r="L2807">
        <v>0</v>
      </c>
      <c r="M2807">
        <f>VLOOKUP(Table1[[#This Row],[subscription_type]],Plans!$A$1:$B$5,2,FALSE)</f>
        <v>0</v>
      </c>
      <c r="N2807">
        <f t="shared" si="43"/>
        <v>0</v>
      </c>
    </row>
    <row r="2808" spans="1:14" x14ac:dyDescent="0.35">
      <c r="A2808">
        <v>2807</v>
      </c>
      <c r="B2808" t="s">
        <v>20</v>
      </c>
      <c r="C2808">
        <v>21</v>
      </c>
      <c r="D2808" t="s">
        <v>26</v>
      </c>
      <c r="E2808" t="s">
        <v>22</v>
      </c>
      <c r="F2808">
        <v>281</v>
      </c>
      <c r="G2808">
        <v>7</v>
      </c>
      <c r="H2808">
        <v>0.12</v>
      </c>
      <c r="I2808" t="s">
        <v>15</v>
      </c>
      <c r="J2808">
        <v>0</v>
      </c>
      <c r="K2808">
        <v>1</v>
      </c>
      <c r="L2808">
        <v>1</v>
      </c>
      <c r="M2808">
        <f>VLOOKUP(Table1[[#This Row],[subscription_type]],Plans!$A$1:$B$5,2,FALSE)</f>
        <v>9.99</v>
      </c>
      <c r="N2808">
        <f t="shared" si="43"/>
        <v>9.99</v>
      </c>
    </row>
    <row r="2809" spans="1:14" x14ac:dyDescent="0.35">
      <c r="A2809">
        <v>2808</v>
      </c>
      <c r="B2809" t="s">
        <v>16</v>
      </c>
      <c r="C2809">
        <v>18</v>
      </c>
      <c r="D2809" t="s">
        <v>29</v>
      </c>
      <c r="E2809" t="s">
        <v>24</v>
      </c>
      <c r="F2809">
        <v>207</v>
      </c>
      <c r="G2809">
        <v>19</v>
      </c>
      <c r="H2809">
        <v>0.59</v>
      </c>
      <c r="I2809" t="s">
        <v>19</v>
      </c>
      <c r="J2809">
        <v>0</v>
      </c>
      <c r="K2809">
        <v>1</v>
      </c>
      <c r="L2809">
        <v>0</v>
      </c>
      <c r="M2809">
        <f>VLOOKUP(Table1[[#This Row],[subscription_type]],Plans!$A$1:$B$5,2,FALSE)</f>
        <v>4.99</v>
      </c>
      <c r="N2809">
        <f t="shared" si="43"/>
        <v>0</v>
      </c>
    </row>
    <row r="2810" spans="1:14" x14ac:dyDescent="0.35">
      <c r="A2810">
        <v>2809</v>
      </c>
      <c r="B2810" t="s">
        <v>20</v>
      </c>
      <c r="C2810">
        <v>52</v>
      </c>
      <c r="D2810" t="s">
        <v>21</v>
      </c>
      <c r="E2810" t="s">
        <v>18</v>
      </c>
      <c r="F2810">
        <v>243</v>
      </c>
      <c r="G2810">
        <v>2</v>
      </c>
      <c r="H2810">
        <v>0.48</v>
      </c>
      <c r="I2810" t="s">
        <v>15</v>
      </c>
      <c r="J2810">
        <v>0</v>
      </c>
      <c r="K2810">
        <v>1</v>
      </c>
      <c r="L2810">
        <v>0</v>
      </c>
      <c r="M2810">
        <f>VLOOKUP(Table1[[#This Row],[subscription_type]],Plans!$A$1:$B$5,2,FALSE)</f>
        <v>14.99</v>
      </c>
      <c r="N2810">
        <f t="shared" si="43"/>
        <v>0</v>
      </c>
    </row>
    <row r="2811" spans="1:14" x14ac:dyDescent="0.35">
      <c r="A2811">
        <v>2810</v>
      </c>
      <c r="B2811" t="s">
        <v>12</v>
      </c>
      <c r="C2811">
        <v>26</v>
      </c>
      <c r="D2811" t="s">
        <v>25</v>
      </c>
      <c r="E2811" t="s">
        <v>24</v>
      </c>
      <c r="F2811">
        <v>228</v>
      </c>
      <c r="G2811">
        <v>76</v>
      </c>
      <c r="H2811">
        <v>0.1</v>
      </c>
      <c r="I2811" t="s">
        <v>15</v>
      </c>
      <c r="J2811">
        <v>0</v>
      </c>
      <c r="K2811">
        <v>1</v>
      </c>
      <c r="L2811">
        <v>0</v>
      </c>
      <c r="M2811">
        <f>VLOOKUP(Table1[[#This Row],[subscription_type]],Plans!$A$1:$B$5,2,FALSE)</f>
        <v>4.99</v>
      </c>
      <c r="N2811">
        <f t="shared" si="43"/>
        <v>0</v>
      </c>
    </row>
    <row r="2812" spans="1:14" x14ac:dyDescent="0.35">
      <c r="A2812">
        <v>2811</v>
      </c>
      <c r="B2812" t="s">
        <v>12</v>
      </c>
      <c r="C2812">
        <v>41</v>
      </c>
      <c r="D2812" t="s">
        <v>27</v>
      </c>
      <c r="E2812" t="s">
        <v>18</v>
      </c>
      <c r="F2812">
        <v>243</v>
      </c>
      <c r="G2812">
        <v>41</v>
      </c>
      <c r="H2812">
        <v>0.42</v>
      </c>
      <c r="I2812" t="s">
        <v>15</v>
      </c>
      <c r="J2812">
        <v>0</v>
      </c>
      <c r="K2812">
        <v>1</v>
      </c>
      <c r="L2812">
        <v>0</v>
      </c>
      <c r="M2812">
        <f>VLOOKUP(Table1[[#This Row],[subscription_type]],Plans!$A$1:$B$5,2,FALSE)</f>
        <v>14.99</v>
      </c>
      <c r="N2812">
        <f t="shared" si="43"/>
        <v>0</v>
      </c>
    </row>
    <row r="2813" spans="1:14" x14ac:dyDescent="0.35">
      <c r="A2813">
        <v>2812</v>
      </c>
      <c r="B2813" t="s">
        <v>12</v>
      </c>
      <c r="C2813">
        <v>29</v>
      </c>
      <c r="D2813" t="s">
        <v>27</v>
      </c>
      <c r="E2813" t="s">
        <v>18</v>
      </c>
      <c r="F2813">
        <v>60</v>
      </c>
      <c r="G2813">
        <v>96</v>
      </c>
      <c r="H2813">
        <v>0.28999999999999998</v>
      </c>
      <c r="I2813" t="s">
        <v>19</v>
      </c>
      <c r="J2813">
        <v>0</v>
      </c>
      <c r="K2813">
        <v>1</v>
      </c>
      <c r="L2813">
        <v>0</v>
      </c>
      <c r="M2813">
        <f>VLOOKUP(Table1[[#This Row],[subscription_type]],Plans!$A$1:$B$5,2,FALSE)</f>
        <v>14.99</v>
      </c>
      <c r="N2813">
        <f t="shared" si="43"/>
        <v>0</v>
      </c>
    </row>
    <row r="2814" spans="1:14" x14ac:dyDescent="0.35">
      <c r="A2814">
        <v>2813</v>
      </c>
      <c r="B2814" t="s">
        <v>16</v>
      </c>
      <c r="C2814">
        <v>21</v>
      </c>
      <c r="D2814" t="s">
        <v>26</v>
      </c>
      <c r="E2814" t="s">
        <v>24</v>
      </c>
      <c r="F2814">
        <v>145</v>
      </c>
      <c r="G2814">
        <v>37</v>
      </c>
      <c r="H2814">
        <v>0.22</v>
      </c>
      <c r="I2814" t="s">
        <v>15</v>
      </c>
      <c r="J2814">
        <v>0</v>
      </c>
      <c r="K2814">
        <v>1</v>
      </c>
      <c r="L2814">
        <v>0</v>
      </c>
      <c r="M2814">
        <f>VLOOKUP(Table1[[#This Row],[subscription_type]],Plans!$A$1:$B$5,2,FALSE)</f>
        <v>4.99</v>
      </c>
      <c r="N2814">
        <f t="shared" si="43"/>
        <v>0</v>
      </c>
    </row>
    <row r="2815" spans="1:14" x14ac:dyDescent="0.35">
      <c r="A2815">
        <v>2814</v>
      </c>
      <c r="B2815" t="s">
        <v>16</v>
      </c>
      <c r="C2815">
        <v>43</v>
      </c>
      <c r="D2815" t="s">
        <v>28</v>
      </c>
      <c r="E2815" t="s">
        <v>22</v>
      </c>
      <c r="F2815">
        <v>32</v>
      </c>
      <c r="G2815">
        <v>87</v>
      </c>
      <c r="H2815">
        <v>0.46</v>
      </c>
      <c r="I2815" t="s">
        <v>23</v>
      </c>
      <c r="J2815">
        <v>0</v>
      </c>
      <c r="K2815">
        <v>1</v>
      </c>
      <c r="L2815">
        <v>1</v>
      </c>
      <c r="M2815">
        <f>VLOOKUP(Table1[[#This Row],[subscription_type]],Plans!$A$1:$B$5,2,FALSE)</f>
        <v>9.99</v>
      </c>
      <c r="N2815">
        <f t="shared" si="43"/>
        <v>9.99</v>
      </c>
    </row>
    <row r="2816" spans="1:14" x14ac:dyDescent="0.35">
      <c r="A2816">
        <v>2815</v>
      </c>
      <c r="B2816" t="s">
        <v>20</v>
      </c>
      <c r="C2816">
        <v>38</v>
      </c>
      <c r="D2816" t="s">
        <v>25</v>
      </c>
      <c r="E2816" t="s">
        <v>24</v>
      </c>
      <c r="F2816">
        <v>183</v>
      </c>
      <c r="G2816">
        <v>50</v>
      </c>
      <c r="H2816">
        <v>0.59</v>
      </c>
      <c r="I2816" t="s">
        <v>23</v>
      </c>
      <c r="J2816">
        <v>0</v>
      </c>
      <c r="K2816">
        <v>1</v>
      </c>
      <c r="L2816">
        <v>1</v>
      </c>
      <c r="M2816">
        <f>VLOOKUP(Table1[[#This Row],[subscription_type]],Plans!$A$1:$B$5,2,FALSE)</f>
        <v>4.99</v>
      </c>
      <c r="N2816">
        <f t="shared" si="43"/>
        <v>4.99</v>
      </c>
    </row>
    <row r="2817" spans="1:14" x14ac:dyDescent="0.35">
      <c r="A2817">
        <v>2816</v>
      </c>
      <c r="B2817" t="s">
        <v>12</v>
      </c>
      <c r="C2817">
        <v>48</v>
      </c>
      <c r="D2817" t="s">
        <v>27</v>
      </c>
      <c r="E2817" t="s">
        <v>18</v>
      </c>
      <c r="F2817">
        <v>26</v>
      </c>
      <c r="G2817">
        <v>84</v>
      </c>
      <c r="H2817">
        <v>0.35</v>
      </c>
      <c r="I2817" t="s">
        <v>23</v>
      </c>
      <c r="J2817">
        <v>0</v>
      </c>
      <c r="K2817">
        <v>1</v>
      </c>
      <c r="L2817">
        <v>1</v>
      </c>
      <c r="M2817">
        <f>VLOOKUP(Table1[[#This Row],[subscription_type]],Plans!$A$1:$B$5,2,FALSE)</f>
        <v>14.99</v>
      </c>
      <c r="N2817">
        <f t="shared" si="43"/>
        <v>14.99</v>
      </c>
    </row>
    <row r="2818" spans="1:14" x14ac:dyDescent="0.35">
      <c r="A2818">
        <v>2817</v>
      </c>
      <c r="B2818" t="s">
        <v>12</v>
      </c>
      <c r="C2818">
        <v>32</v>
      </c>
      <c r="D2818" t="s">
        <v>25</v>
      </c>
      <c r="E2818" t="s">
        <v>24</v>
      </c>
      <c r="F2818">
        <v>140</v>
      </c>
      <c r="G2818">
        <v>92</v>
      </c>
      <c r="H2818">
        <v>0.28000000000000003</v>
      </c>
      <c r="I2818" t="s">
        <v>23</v>
      </c>
      <c r="J2818">
        <v>0</v>
      </c>
      <c r="K2818">
        <v>1</v>
      </c>
      <c r="L2818">
        <v>1</v>
      </c>
      <c r="M2818">
        <f>VLOOKUP(Table1[[#This Row],[subscription_type]],Plans!$A$1:$B$5,2,FALSE)</f>
        <v>4.99</v>
      </c>
      <c r="N2818">
        <f t="shared" ref="N2818:N2881" si="44">IF(L2818=1, M2818,0)</f>
        <v>4.99</v>
      </c>
    </row>
    <row r="2819" spans="1:14" x14ac:dyDescent="0.35">
      <c r="A2819">
        <v>2818</v>
      </c>
      <c r="B2819" t="s">
        <v>12</v>
      </c>
      <c r="C2819">
        <v>24</v>
      </c>
      <c r="D2819" t="s">
        <v>21</v>
      </c>
      <c r="E2819" t="s">
        <v>18</v>
      </c>
      <c r="F2819">
        <v>286</v>
      </c>
      <c r="G2819">
        <v>42</v>
      </c>
      <c r="H2819">
        <v>0.4</v>
      </c>
      <c r="I2819" t="s">
        <v>19</v>
      </c>
      <c r="J2819">
        <v>0</v>
      </c>
      <c r="K2819">
        <v>1</v>
      </c>
      <c r="L2819">
        <v>0</v>
      </c>
      <c r="M2819">
        <f>VLOOKUP(Table1[[#This Row],[subscription_type]],Plans!$A$1:$B$5,2,FALSE)</f>
        <v>14.99</v>
      </c>
      <c r="N2819">
        <f t="shared" si="44"/>
        <v>0</v>
      </c>
    </row>
    <row r="2820" spans="1:14" x14ac:dyDescent="0.35">
      <c r="A2820">
        <v>2819</v>
      </c>
      <c r="B2820" t="s">
        <v>20</v>
      </c>
      <c r="C2820">
        <v>35</v>
      </c>
      <c r="D2820" t="s">
        <v>28</v>
      </c>
      <c r="E2820" t="s">
        <v>14</v>
      </c>
      <c r="F2820">
        <v>236</v>
      </c>
      <c r="G2820">
        <v>59</v>
      </c>
      <c r="H2820">
        <v>0.27</v>
      </c>
      <c r="I2820" t="s">
        <v>15</v>
      </c>
      <c r="J2820">
        <v>46</v>
      </c>
      <c r="K2820">
        <v>0</v>
      </c>
      <c r="L2820">
        <v>0</v>
      </c>
      <c r="M2820">
        <f>VLOOKUP(Table1[[#This Row],[subscription_type]],Plans!$A$1:$B$5,2,FALSE)</f>
        <v>0</v>
      </c>
      <c r="N2820">
        <f t="shared" si="44"/>
        <v>0</v>
      </c>
    </row>
    <row r="2821" spans="1:14" x14ac:dyDescent="0.35">
      <c r="A2821">
        <v>2820</v>
      </c>
      <c r="B2821" t="s">
        <v>16</v>
      </c>
      <c r="C2821">
        <v>42</v>
      </c>
      <c r="D2821" t="s">
        <v>27</v>
      </c>
      <c r="E2821" t="s">
        <v>18</v>
      </c>
      <c r="F2821">
        <v>31</v>
      </c>
      <c r="G2821">
        <v>19</v>
      </c>
      <c r="H2821">
        <v>0.33</v>
      </c>
      <c r="I2821" t="s">
        <v>15</v>
      </c>
      <c r="J2821">
        <v>0</v>
      </c>
      <c r="K2821">
        <v>1</v>
      </c>
      <c r="L2821">
        <v>0</v>
      </c>
      <c r="M2821">
        <f>VLOOKUP(Table1[[#This Row],[subscription_type]],Plans!$A$1:$B$5,2,FALSE)</f>
        <v>14.99</v>
      </c>
      <c r="N2821">
        <f t="shared" si="44"/>
        <v>0</v>
      </c>
    </row>
    <row r="2822" spans="1:14" x14ac:dyDescent="0.35">
      <c r="A2822">
        <v>2821</v>
      </c>
      <c r="B2822" t="s">
        <v>20</v>
      </c>
      <c r="C2822">
        <v>43</v>
      </c>
      <c r="D2822" t="s">
        <v>28</v>
      </c>
      <c r="E2822" t="s">
        <v>22</v>
      </c>
      <c r="F2822">
        <v>188</v>
      </c>
      <c r="G2822">
        <v>82</v>
      </c>
      <c r="H2822">
        <v>0.52</v>
      </c>
      <c r="I2822" t="s">
        <v>15</v>
      </c>
      <c r="J2822">
        <v>0</v>
      </c>
      <c r="K2822">
        <v>1</v>
      </c>
      <c r="L2822">
        <v>0</v>
      </c>
      <c r="M2822">
        <f>VLOOKUP(Table1[[#This Row],[subscription_type]],Plans!$A$1:$B$5,2,FALSE)</f>
        <v>9.99</v>
      </c>
      <c r="N2822">
        <f t="shared" si="44"/>
        <v>0</v>
      </c>
    </row>
    <row r="2823" spans="1:14" x14ac:dyDescent="0.35">
      <c r="A2823">
        <v>2822</v>
      </c>
      <c r="B2823" t="s">
        <v>20</v>
      </c>
      <c r="C2823">
        <v>55</v>
      </c>
      <c r="D2823" t="s">
        <v>25</v>
      </c>
      <c r="E2823" t="s">
        <v>14</v>
      </c>
      <c r="F2823">
        <v>12</v>
      </c>
      <c r="G2823">
        <v>8</v>
      </c>
      <c r="H2823">
        <v>0.03</v>
      </c>
      <c r="I2823" t="s">
        <v>23</v>
      </c>
      <c r="J2823">
        <v>34</v>
      </c>
      <c r="K2823">
        <v>0</v>
      </c>
      <c r="L2823">
        <v>0</v>
      </c>
      <c r="M2823">
        <f>VLOOKUP(Table1[[#This Row],[subscription_type]],Plans!$A$1:$B$5,2,FALSE)</f>
        <v>0</v>
      </c>
      <c r="N2823">
        <f t="shared" si="44"/>
        <v>0</v>
      </c>
    </row>
    <row r="2824" spans="1:14" x14ac:dyDescent="0.35">
      <c r="A2824">
        <v>2823</v>
      </c>
      <c r="B2824" t="s">
        <v>20</v>
      </c>
      <c r="C2824">
        <v>32</v>
      </c>
      <c r="D2824" t="s">
        <v>21</v>
      </c>
      <c r="E2824" t="s">
        <v>18</v>
      </c>
      <c r="F2824">
        <v>164</v>
      </c>
      <c r="G2824">
        <v>49</v>
      </c>
      <c r="H2824">
        <v>0.08</v>
      </c>
      <c r="I2824" t="s">
        <v>15</v>
      </c>
      <c r="J2824">
        <v>0</v>
      </c>
      <c r="K2824">
        <v>1</v>
      </c>
      <c r="L2824">
        <v>0</v>
      </c>
      <c r="M2824">
        <f>VLOOKUP(Table1[[#This Row],[subscription_type]],Plans!$A$1:$B$5,2,FALSE)</f>
        <v>14.99</v>
      </c>
      <c r="N2824">
        <f t="shared" si="44"/>
        <v>0</v>
      </c>
    </row>
    <row r="2825" spans="1:14" x14ac:dyDescent="0.35">
      <c r="A2825">
        <v>2824</v>
      </c>
      <c r="B2825" t="s">
        <v>12</v>
      </c>
      <c r="C2825">
        <v>49</v>
      </c>
      <c r="D2825" t="s">
        <v>28</v>
      </c>
      <c r="E2825" t="s">
        <v>24</v>
      </c>
      <c r="F2825">
        <v>245</v>
      </c>
      <c r="G2825">
        <v>20</v>
      </c>
      <c r="H2825">
        <v>0.52</v>
      </c>
      <c r="I2825" t="s">
        <v>19</v>
      </c>
      <c r="J2825">
        <v>0</v>
      </c>
      <c r="K2825">
        <v>1</v>
      </c>
      <c r="L2825">
        <v>0</v>
      </c>
      <c r="M2825">
        <f>VLOOKUP(Table1[[#This Row],[subscription_type]],Plans!$A$1:$B$5,2,FALSE)</f>
        <v>4.99</v>
      </c>
      <c r="N2825">
        <f t="shared" si="44"/>
        <v>0</v>
      </c>
    </row>
    <row r="2826" spans="1:14" x14ac:dyDescent="0.35">
      <c r="A2826">
        <v>2825</v>
      </c>
      <c r="B2826" t="s">
        <v>12</v>
      </c>
      <c r="C2826">
        <v>36</v>
      </c>
      <c r="D2826" t="s">
        <v>28</v>
      </c>
      <c r="E2826" t="s">
        <v>18</v>
      </c>
      <c r="F2826">
        <v>38</v>
      </c>
      <c r="G2826">
        <v>96</v>
      </c>
      <c r="H2826">
        <v>0.37</v>
      </c>
      <c r="I2826" t="s">
        <v>19</v>
      </c>
      <c r="J2826">
        <v>0</v>
      </c>
      <c r="K2826">
        <v>1</v>
      </c>
      <c r="L2826">
        <v>1</v>
      </c>
      <c r="M2826">
        <f>VLOOKUP(Table1[[#This Row],[subscription_type]],Plans!$A$1:$B$5,2,FALSE)</f>
        <v>14.99</v>
      </c>
      <c r="N2826">
        <f t="shared" si="44"/>
        <v>14.99</v>
      </c>
    </row>
    <row r="2827" spans="1:14" x14ac:dyDescent="0.35">
      <c r="A2827">
        <v>2826</v>
      </c>
      <c r="B2827" t="s">
        <v>20</v>
      </c>
      <c r="C2827">
        <v>46</v>
      </c>
      <c r="D2827" t="s">
        <v>21</v>
      </c>
      <c r="E2827" t="s">
        <v>18</v>
      </c>
      <c r="F2827">
        <v>76</v>
      </c>
      <c r="G2827">
        <v>44</v>
      </c>
      <c r="H2827">
        <v>0.13</v>
      </c>
      <c r="I2827" t="s">
        <v>15</v>
      </c>
      <c r="J2827">
        <v>0</v>
      </c>
      <c r="K2827">
        <v>1</v>
      </c>
      <c r="L2827">
        <v>1</v>
      </c>
      <c r="M2827">
        <f>VLOOKUP(Table1[[#This Row],[subscription_type]],Plans!$A$1:$B$5,2,FALSE)</f>
        <v>14.99</v>
      </c>
      <c r="N2827">
        <f t="shared" si="44"/>
        <v>14.99</v>
      </c>
    </row>
    <row r="2828" spans="1:14" x14ac:dyDescent="0.35">
      <c r="A2828">
        <v>2827</v>
      </c>
      <c r="B2828" t="s">
        <v>16</v>
      </c>
      <c r="C2828">
        <v>52</v>
      </c>
      <c r="D2828" t="s">
        <v>26</v>
      </c>
      <c r="E2828" t="s">
        <v>14</v>
      </c>
      <c r="F2828">
        <v>196</v>
      </c>
      <c r="G2828">
        <v>6</v>
      </c>
      <c r="H2828">
        <v>7.0000000000000007E-2</v>
      </c>
      <c r="I2828" t="s">
        <v>15</v>
      </c>
      <c r="J2828">
        <v>37</v>
      </c>
      <c r="K2828">
        <v>0</v>
      </c>
      <c r="L2828">
        <v>1</v>
      </c>
      <c r="M2828">
        <f>VLOOKUP(Table1[[#This Row],[subscription_type]],Plans!$A$1:$B$5,2,FALSE)</f>
        <v>0</v>
      </c>
      <c r="N2828">
        <f t="shared" si="44"/>
        <v>0</v>
      </c>
    </row>
    <row r="2829" spans="1:14" x14ac:dyDescent="0.35">
      <c r="A2829">
        <v>2828</v>
      </c>
      <c r="B2829" t="s">
        <v>12</v>
      </c>
      <c r="C2829">
        <v>30</v>
      </c>
      <c r="D2829" t="s">
        <v>29</v>
      </c>
      <c r="E2829" t="s">
        <v>14</v>
      </c>
      <c r="F2829">
        <v>150</v>
      </c>
      <c r="G2829">
        <v>47</v>
      </c>
      <c r="H2829">
        <v>0.51</v>
      </c>
      <c r="I2829" t="s">
        <v>23</v>
      </c>
      <c r="J2829">
        <v>43</v>
      </c>
      <c r="K2829">
        <v>0</v>
      </c>
      <c r="L2829">
        <v>0</v>
      </c>
      <c r="M2829">
        <f>VLOOKUP(Table1[[#This Row],[subscription_type]],Plans!$A$1:$B$5,2,FALSE)</f>
        <v>0</v>
      </c>
      <c r="N2829">
        <f t="shared" si="44"/>
        <v>0</v>
      </c>
    </row>
    <row r="2830" spans="1:14" x14ac:dyDescent="0.35">
      <c r="A2830">
        <v>2829</v>
      </c>
      <c r="B2830" t="s">
        <v>16</v>
      </c>
      <c r="C2830">
        <v>36</v>
      </c>
      <c r="D2830" t="s">
        <v>26</v>
      </c>
      <c r="E2830" t="s">
        <v>24</v>
      </c>
      <c r="F2830">
        <v>281</v>
      </c>
      <c r="G2830">
        <v>40</v>
      </c>
      <c r="H2830">
        <v>0.35</v>
      </c>
      <c r="I2830" t="s">
        <v>23</v>
      </c>
      <c r="J2830">
        <v>0</v>
      </c>
      <c r="K2830">
        <v>1</v>
      </c>
      <c r="L2830">
        <v>0</v>
      </c>
      <c r="M2830">
        <f>VLOOKUP(Table1[[#This Row],[subscription_type]],Plans!$A$1:$B$5,2,FALSE)</f>
        <v>4.99</v>
      </c>
      <c r="N2830">
        <f t="shared" si="44"/>
        <v>0</v>
      </c>
    </row>
    <row r="2831" spans="1:14" x14ac:dyDescent="0.35">
      <c r="A2831">
        <v>2830</v>
      </c>
      <c r="B2831" t="s">
        <v>16</v>
      </c>
      <c r="C2831">
        <v>22</v>
      </c>
      <c r="D2831" t="s">
        <v>17</v>
      </c>
      <c r="E2831" t="s">
        <v>18</v>
      </c>
      <c r="F2831">
        <v>110</v>
      </c>
      <c r="G2831">
        <v>85</v>
      </c>
      <c r="H2831">
        <v>0.24</v>
      </c>
      <c r="I2831" t="s">
        <v>15</v>
      </c>
      <c r="J2831">
        <v>0</v>
      </c>
      <c r="K2831">
        <v>1</v>
      </c>
      <c r="L2831">
        <v>0</v>
      </c>
      <c r="M2831">
        <f>VLOOKUP(Table1[[#This Row],[subscription_type]],Plans!$A$1:$B$5,2,FALSE)</f>
        <v>14.99</v>
      </c>
      <c r="N2831">
        <f t="shared" si="44"/>
        <v>0</v>
      </c>
    </row>
    <row r="2832" spans="1:14" x14ac:dyDescent="0.35">
      <c r="A2832">
        <v>2831</v>
      </c>
      <c r="B2832" t="s">
        <v>12</v>
      </c>
      <c r="C2832">
        <v>55</v>
      </c>
      <c r="D2832" t="s">
        <v>13</v>
      </c>
      <c r="E2832" t="s">
        <v>18</v>
      </c>
      <c r="F2832">
        <v>106</v>
      </c>
      <c r="G2832">
        <v>70</v>
      </c>
      <c r="H2832">
        <v>0.04</v>
      </c>
      <c r="I2832" t="s">
        <v>19</v>
      </c>
      <c r="J2832">
        <v>0</v>
      </c>
      <c r="K2832">
        <v>1</v>
      </c>
      <c r="L2832">
        <v>1</v>
      </c>
      <c r="M2832">
        <f>VLOOKUP(Table1[[#This Row],[subscription_type]],Plans!$A$1:$B$5,2,FALSE)</f>
        <v>14.99</v>
      </c>
      <c r="N2832">
        <f t="shared" si="44"/>
        <v>14.99</v>
      </c>
    </row>
    <row r="2833" spans="1:14" x14ac:dyDescent="0.35">
      <c r="A2833">
        <v>2832</v>
      </c>
      <c r="B2833" t="s">
        <v>12</v>
      </c>
      <c r="C2833">
        <v>36</v>
      </c>
      <c r="D2833" t="s">
        <v>25</v>
      </c>
      <c r="E2833" t="s">
        <v>24</v>
      </c>
      <c r="F2833">
        <v>137</v>
      </c>
      <c r="G2833">
        <v>59</v>
      </c>
      <c r="H2833">
        <v>0.1</v>
      </c>
      <c r="I2833" t="s">
        <v>19</v>
      </c>
      <c r="J2833">
        <v>0</v>
      </c>
      <c r="K2833">
        <v>1</v>
      </c>
      <c r="L2833">
        <v>0</v>
      </c>
      <c r="M2833">
        <f>VLOOKUP(Table1[[#This Row],[subscription_type]],Plans!$A$1:$B$5,2,FALSE)</f>
        <v>4.99</v>
      </c>
      <c r="N2833">
        <f t="shared" si="44"/>
        <v>0</v>
      </c>
    </row>
    <row r="2834" spans="1:14" x14ac:dyDescent="0.35">
      <c r="A2834">
        <v>2833</v>
      </c>
      <c r="B2834" t="s">
        <v>12</v>
      </c>
      <c r="C2834">
        <v>47</v>
      </c>
      <c r="D2834" t="s">
        <v>27</v>
      </c>
      <c r="E2834" t="s">
        <v>18</v>
      </c>
      <c r="F2834">
        <v>251</v>
      </c>
      <c r="G2834">
        <v>40</v>
      </c>
      <c r="H2834">
        <v>0.42</v>
      </c>
      <c r="I2834" t="s">
        <v>23</v>
      </c>
      <c r="J2834">
        <v>0</v>
      </c>
      <c r="K2834">
        <v>1</v>
      </c>
      <c r="L2834">
        <v>1</v>
      </c>
      <c r="M2834">
        <f>VLOOKUP(Table1[[#This Row],[subscription_type]],Plans!$A$1:$B$5,2,FALSE)</f>
        <v>14.99</v>
      </c>
      <c r="N2834">
        <f t="shared" si="44"/>
        <v>14.99</v>
      </c>
    </row>
    <row r="2835" spans="1:14" x14ac:dyDescent="0.35">
      <c r="A2835">
        <v>2834</v>
      </c>
      <c r="B2835" t="s">
        <v>20</v>
      </c>
      <c r="C2835">
        <v>34</v>
      </c>
      <c r="D2835" t="s">
        <v>25</v>
      </c>
      <c r="E2835" t="s">
        <v>14</v>
      </c>
      <c r="F2835">
        <v>187</v>
      </c>
      <c r="G2835">
        <v>63</v>
      </c>
      <c r="H2835">
        <v>0.35</v>
      </c>
      <c r="I2835" t="s">
        <v>23</v>
      </c>
      <c r="J2835">
        <v>29</v>
      </c>
      <c r="K2835">
        <v>0</v>
      </c>
      <c r="L2835">
        <v>1</v>
      </c>
      <c r="M2835">
        <f>VLOOKUP(Table1[[#This Row],[subscription_type]],Plans!$A$1:$B$5,2,FALSE)</f>
        <v>0</v>
      </c>
      <c r="N2835">
        <f t="shared" si="44"/>
        <v>0</v>
      </c>
    </row>
    <row r="2836" spans="1:14" x14ac:dyDescent="0.35">
      <c r="A2836">
        <v>2835</v>
      </c>
      <c r="B2836" t="s">
        <v>16</v>
      </c>
      <c r="C2836">
        <v>23</v>
      </c>
      <c r="D2836" t="s">
        <v>28</v>
      </c>
      <c r="E2836" t="s">
        <v>24</v>
      </c>
      <c r="F2836">
        <v>173</v>
      </c>
      <c r="G2836">
        <v>55</v>
      </c>
      <c r="H2836">
        <v>0.2</v>
      </c>
      <c r="I2836" t="s">
        <v>15</v>
      </c>
      <c r="J2836">
        <v>0</v>
      </c>
      <c r="K2836">
        <v>1</v>
      </c>
      <c r="L2836">
        <v>0</v>
      </c>
      <c r="M2836">
        <f>VLOOKUP(Table1[[#This Row],[subscription_type]],Plans!$A$1:$B$5,2,FALSE)</f>
        <v>4.99</v>
      </c>
      <c r="N2836">
        <f t="shared" si="44"/>
        <v>0</v>
      </c>
    </row>
    <row r="2837" spans="1:14" x14ac:dyDescent="0.35">
      <c r="A2837">
        <v>2836</v>
      </c>
      <c r="B2837" t="s">
        <v>16</v>
      </c>
      <c r="C2837">
        <v>46</v>
      </c>
      <c r="D2837" t="s">
        <v>28</v>
      </c>
      <c r="E2837" t="s">
        <v>22</v>
      </c>
      <c r="F2837">
        <v>255</v>
      </c>
      <c r="G2837">
        <v>42</v>
      </c>
      <c r="H2837">
        <v>0.57999999999999996</v>
      </c>
      <c r="I2837" t="s">
        <v>19</v>
      </c>
      <c r="J2837">
        <v>0</v>
      </c>
      <c r="K2837">
        <v>1</v>
      </c>
      <c r="L2837">
        <v>1</v>
      </c>
      <c r="M2837">
        <f>VLOOKUP(Table1[[#This Row],[subscription_type]],Plans!$A$1:$B$5,2,FALSE)</f>
        <v>9.99</v>
      </c>
      <c r="N2837">
        <f t="shared" si="44"/>
        <v>9.99</v>
      </c>
    </row>
    <row r="2838" spans="1:14" x14ac:dyDescent="0.35">
      <c r="A2838">
        <v>2837</v>
      </c>
      <c r="B2838" t="s">
        <v>20</v>
      </c>
      <c r="C2838">
        <v>36</v>
      </c>
      <c r="D2838" t="s">
        <v>26</v>
      </c>
      <c r="E2838" t="s">
        <v>24</v>
      </c>
      <c r="F2838">
        <v>155</v>
      </c>
      <c r="G2838">
        <v>77</v>
      </c>
      <c r="H2838">
        <v>0.31</v>
      </c>
      <c r="I2838" t="s">
        <v>15</v>
      </c>
      <c r="J2838">
        <v>0</v>
      </c>
      <c r="K2838">
        <v>1</v>
      </c>
      <c r="L2838">
        <v>0</v>
      </c>
      <c r="M2838">
        <f>VLOOKUP(Table1[[#This Row],[subscription_type]],Plans!$A$1:$B$5,2,FALSE)</f>
        <v>4.99</v>
      </c>
      <c r="N2838">
        <f t="shared" si="44"/>
        <v>0</v>
      </c>
    </row>
    <row r="2839" spans="1:14" x14ac:dyDescent="0.35">
      <c r="A2839">
        <v>2838</v>
      </c>
      <c r="B2839" t="s">
        <v>20</v>
      </c>
      <c r="C2839">
        <v>40</v>
      </c>
      <c r="D2839" t="s">
        <v>29</v>
      </c>
      <c r="E2839" t="s">
        <v>14</v>
      </c>
      <c r="F2839">
        <v>213</v>
      </c>
      <c r="G2839">
        <v>40</v>
      </c>
      <c r="H2839">
        <v>0.22</v>
      </c>
      <c r="I2839" t="s">
        <v>23</v>
      </c>
      <c r="J2839">
        <v>17</v>
      </c>
      <c r="K2839">
        <v>0</v>
      </c>
      <c r="L2839">
        <v>1</v>
      </c>
      <c r="M2839">
        <f>VLOOKUP(Table1[[#This Row],[subscription_type]],Plans!$A$1:$B$5,2,FALSE)</f>
        <v>0</v>
      </c>
      <c r="N2839">
        <f t="shared" si="44"/>
        <v>0</v>
      </c>
    </row>
    <row r="2840" spans="1:14" x14ac:dyDescent="0.35">
      <c r="A2840">
        <v>2839</v>
      </c>
      <c r="B2840" t="s">
        <v>12</v>
      </c>
      <c r="C2840">
        <v>47</v>
      </c>
      <c r="D2840" t="s">
        <v>29</v>
      </c>
      <c r="E2840" t="s">
        <v>24</v>
      </c>
      <c r="F2840">
        <v>150</v>
      </c>
      <c r="G2840">
        <v>70</v>
      </c>
      <c r="H2840">
        <v>0.1</v>
      </c>
      <c r="I2840" t="s">
        <v>23</v>
      </c>
      <c r="J2840">
        <v>0</v>
      </c>
      <c r="K2840">
        <v>1</v>
      </c>
      <c r="L2840">
        <v>1</v>
      </c>
      <c r="M2840">
        <f>VLOOKUP(Table1[[#This Row],[subscription_type]],Plans!$A$1:$B$5,2,FALSE)</f>
        <v>4.99</v>
      </c>
      <c r="N2840">
        <f t="shared" si="44"/>
        <v>4.99</v>
      </c>
    </row>
    <row r="2841" spans="1:14" x14ac:dyDescent="0.35">
      <c r="A2841">
        <v>2840</v>
      </c>
      <c r="B2841" t="s">
        <v>12</v>
      </c>
      <c r="C2841">
        <v>18</v>
      </c>
      <c r="D2841" t="s">
        <v>27</v>
      </c>
      <c r="E2841" t="s">
        <v>14</v>
      </c>
      <c r="F2841">
        <v>202</v>
      </c>
      <c r="G2841">
        <v>90</v>
      </c>
      <c r="H2841">
        <v>0.16</v>
      </c>
      <c r="I2841" t="s">
        <v>23</v>
      </c>
      <c r="J2841">
        <v>16</v>
      </c>
      <c r="K2841">
        <v>0</v>
      </c>
      <c r="L2841">
        <v>0</v>
      </c>
      <c r="M2841">
        <f>VLOOKUP(Table1[[#This Row],[subscription_type]],Plans!$A$1:$B$5,2,FALSE)</f>
        <v>0</v>
      </c>
      <c r="N2841">
        <f t="shared" si="44"/>
        <v>0</v>
      </c>
    </row>
    <row r="2842" spans="1:14" x14ac:dyDescent="0.35">
      <c r="A2842">
        <v>2841</v>
      </c>
      <c r="B2842" t="s">
        <v>12</v>
      </c>
      <c r="C2842">
        <v>28</v>
      </c>
      <c r="D2842" t="s">
        <v>26</v>
      </c>
      <c r="E2842" t="s">
        <v>18</v>
      </c>
      <c r="F2842">
        <v>260</v>
      </c>
      <c r="G2842">
        <v>25</v>
      </c>
      <c r="H2842">
        <v>0.36</v>
      </c>
      <c r="I2842" t="s">
        <v>15</v>
      </c>
      <c r="J2842">
        <v>0</v>
      </c>
      <c r="K2842">
        <v>1</v>
      </c>
      <c r="L2842">
        <v>0</v>
      </c>
      <c r="M2842">
        <f>VLOOKUP(Table1[[#This Row],[subscription_type]],Plans!$A$1:$B$5,2,FALSE)</f>
        <v>14.99</v>
      </c>
      <c r="N2842">
        <f t="shared" si="44"/>
        <v>0</v>
      </c>
    </row>
    <row r="2843" spans="1:14" x14ac:dyDescent="0.35">
      <c r="A2843">
        <v>2842</v>
      </c>
      <c r="B2843" t="s">
        <v>16</v>
      </c>
      <c r="C2843">
        <v>17</v>
      </c>
      <c r="D2843" t="s">
        <v>21</v>
      </c>
      <c r="E2843" t="s">
        <v>14</v>
      </c>
      <c r="F2843">
        <v>171</v>
      </c>
      <c r="G2843">
        <v>19</v>
      </c>
      <c r="H2843">
        <v>0.44</v>
      </c>
      <c r="I2843" t="s">
        <v>19</v>
      </c>
      <c r="J2843">
        <v>11</v>
      </c>
      <c r="K2843">
        <v>0</v>
      </c>
      <c r="L2843">
        <v>1</v>
      </c>
      <c r="M2843">
        <f>VLOOKUP(Table1[[#This Row],[subscription_type]],Plans!$A$1:$B$5,2,FALSE)</f>
        <v>0</v>
      </c>
      <c r="N2843">
        <f t="shared" si="44"/>
        <v>0</v>
      </c>
    </row>
    <row r="2844" spans="1:14" x14ac:dyDescent="0.35">
      <c r="A2844">
        <v>2843</v>
      </c>
      <c r="B2844" t="s">
        <v>20</v>
      </c>
      <c r="C2844">
        <v>29</v>
      </c>
      <c r="D2844" t="s">
        <v>21</v>
      </c>
      <c r="E2844" t="s">
        <v>24</v>
      </c>
      <c r="F2844">
        <v>199</v>
      </c>
      <c r="G2844">
        <v>57</v>
      </c>
      <c r="H2844">
        <v>0.3</v>
      </c>
      <c r="I2844" t="s">
        <v>19</v>
      </c>
      <c r="J2844">
        <v>0</v>
      </c>
      <c r="K2844">
        <v>1</v>
      </c>
      <c r="L2844">
        <v>0</v>
      </c>
      <c r="M2844">
        <f>VLOOKUP(Table1[[#This Row],[subscription_type]],Plans!$A$1:$B$5,2,FALSE)</f>
        <v>4.99</v>
      </c>
      <c r="N2844">
        <f t="shared" si="44"/>
        <v>0</v>
      </c>
    </row>
    <row r="2845" spans="1:14" x14ac:dyDescent="0.35">
      <c r="A2845">
        <v>2844</v>
      </c>
      <c r="B2845" t="s">
        <v>12</v>
      </c>
      <c r="C2845">
        <v>26</v>
      </c>
      <c r="D2845" t="s">
        <v>28</v>
      </c>
      <c r="E2845" t="s">
        <v>18</v>
      </c>
      <c r="F2845">
        <v>103</v>
      </c>
      <c r="G2845">
        <v>85</v>
      </c>
      <c r="H2845">
        <v>0.1</v>
      </c>
      <c r="I2845" t="s">
        <v>15</v>
      </c>
      <c r="J2845">
        <v>0</v>
      </c>
      <c r="K2845">
        <v>1</v>
      </c>
      <c r="L2845">
        <v>0</v>
      </c>
      <c r="M2845">
        <f>VLOOKUP(Table1[[#This Row],[subscription_type]],Plans!$A$1:$B$5,2,FALSE)</f>
        <v>14.99</v>
      </c>
      <c r="N2845">
        <f t="shared" si="44"/>
        <v>0</v>
      </c>
    </row>
    <row r="2846" spans="1:14" x14ac:dyDescent="0.35">
      <c r="A2846">
        <v>2845</v>
      </c>
      <c r="B2846" t="s">
        <v>20</v>
      </c>
      <c r="C2846">
        <v>22</v>
      </c>
      <c r="D2846" t="s">
        <v>26</v>
      </c>
      <c r="E2846" t="s">
        <v>14</v>
      </c>
      <c r="F2846">
        <v>246</v>
      </c>
      <c r="G2846">
        <v>16</v>
      </c>
      <c r="H2846">
        <v>0.36</v>
      </c>
      <c r="I2846" t="s">
        <v>19</v>
      </c>
      <c r="J2846">
        <v>42</v>
      </c>
      <c r="K2846">
        <v>0</v>
      </c>
      <c r="L2846">
        <v>0</v>
      </c>
      <c r="M2846">
        <f>VLOOKUP(Table1[[#This Row],[subscription_type]],Plans!$A$1:$B$5,2,FALSE)</f>
        <v>0</v>
      </c>
      <c r="N2846">
        <f t="shared" si="44"/>
        <v>0</v>
      </c>
    </row>
    <row r="2847" spans="1:14" x14ac:dyDescent="0.35">
      <c r="A2847">
        <v>2846</v>
      </c>
      <c r="B2847" t="s">
        <v>12</v>
      </c>
      <c r="C2847">
        <v>52</v>
      </c>
      <c r="D2847" t="s">
        <v>29</v>
      </c>
      <c r="E2847" t="s">
        <v>24</v>
      </c>
      <c r="F2847">
        <v>174</v>
      </c>
      <c r="G2847">
        <v>44</v>
      </c>
      <c r="H2847">
        <v>0.5</v>
      </c>
      <c r="I2847" t="s">
        <v>23</v>
      </c>
      <c r="J2847">
        <v>0</v>
      </c>
      <c r="K2847">
        <v>1</v>
      </c>
      <c r="L2847">
        <v>0</v>
      </c>
      <c r="M2847">
        <f>VLOOKUP(Table1[[#This Row],[subscription_type]],Plans!$A$1:$B$5,2,FALSE)</f>
        <v>4.99</v>
      </c>
      <c r="N2847">
        <f t="shared" si="44"/>
        <v>0</v>
      </c>
    </row>
    <row r="2848" spans="1:14" x14ac:dyDescent="0.35">
      <c r="A2848">
        <v>2847</v>
      </c>
      <c r="B2848" t="s">
        <v>20</v>
      </c>
      <c r="C2848">
        <v>41</v>
      </c>
      <c r="D2848" t="s">
        <v>26</v>
      </c>
      <c r="E2848" t="s">
        <v>22</v>
      </c>
      <c r="F2848">
        <v>235</v>
      </c>
      <c r="G2848">
        <v>72</v>
      </c>
      <c r="H2848">
        <v>0.28000000000000003</v>
      </c>
      <c r="I2848" t="s">
        <v>19</v>
      </c>
      <c r="J2848">
        <v>0</v>
      </c>
      <c r="K2848">
        <v>1</v>
      </c>
      <c r="L2848">
        <v>0</v>
      </c>
      <c r="M2848">
        <f>VLOOKUP(Table1[[#This Row],[subscription_type]],Plans!$A$1:$B$5,2,FALSE)</f>
        <v>9.99</v>
      </c>
      <c r="N2848">
        <f t="shared" si="44"/>
        <v>0</v>
      </c>
    </row>
    <row r="2849" spans="1:14" x14ac:dyDescent="0.35">
      <c r="A2849">
        <v>2848</v>
      </c>
      <c r="B2849" t="s">
        <v>20</v>
      </c>
      <c r="C2849">
        <v>39</v>
      </c>
      <c r="D2849" t="s">
        <v>29</v>
      </c>
      <c r="E2849" t="s">
        <v>14</v>
      </c>
      <c r="F2849">
        <v>219</v>
      </c>
      <c r="G2849">
        <v>93</v>
      </c>
      <c r="H2849">
        <v>0.22</v>
      </c>
      <c r="I2849" t="s">
        <v>15</v>
      </c>
      <c r="J2849">
        <v>10</v>
      </c>
      <c r="K2849">
        <v>0</v>
      </c>
      <c r="L2849">
        <v>0</v>
      </c>
      <c r="M2849">
        <f>VLOOKUP(Table1[[#This Row],[subscription_type]],Plans!$A$1:$B$5,2,FALSE)</f>
        <v>0</v>
      </c>
      <c r="N2849">
        <f t="shared" si="44"/>
        <v>0</v>
      </c>
    </row>
    <row r="2850" spans="1:14" x14ac:dyDescent="0.35">
      <c r="A2850">
        <v>2849</v>
      </c>
      <c r="B2850" t="s">
        <v>12</v>
      </c>
      <c r="C2850">
        <v>51</v>
      </c>
      <c r="D2850" t="s">
        <v>17</v>
      </c>
      <c r="E2850" t="s">
        <v>24</v>
      </c>
      <c r="F2850">
        <v>245</v>
      </c>
      <c r="G2850">
        <v>63</v>
      </c>
      <c r="H2850">
        <v>0.57999999999999996</v>
      </c>
      <c r="I2850" t="s">
        <v>23</v>
      </c>
      <c r="J2850">
        <v>0</v>
      </c>
      <c r="K2850">
        <v>1</v>
      </c>
      <c r="L2850">
        <v>1</v>
      </c>
      <c r="M2850">
        <f>VLOOKUP(Table1[[#This Row],[subscription_type]],Plans!$A$1:$B$5,2,FALSE)</f>
        <v>4.99</v>
      </c>
      <c r="N2850">
        <f t="shared" si="44"/>
        <v>4.99</v>
      </c>
    </row>
    <row r="2851" spans="1:14" x14ac:dyDescent="0.35">
      <c r="A2851">
        <v>2850</v>
      </c>
      <c r="B2851" t="s">
        <v>20</v>
      </c>
      <c r="C2851">
        <v>32</v>
      </c>
      <c r="D2851" t="s">
        <v>27</v>
      </c>
      <c r="E2851" t="s">
        <v>22</v>
      </c>
      <c r="F2851">
        <v>193</v>
      </c>
      <c r="G2851">
        <v>7</v>
      </c>
      <c r="H2851">
        <v>0.51</v>
      </c>
      <c r="I2851" t="s">
        <v>23</v>
      </c>
      <c r="J2851">
        <v>0</v>
      </c>
      <c r="K2851">
        <v>1</v>
      </c>
      <c r="L2851">
        <v>1</v>
      </c>
      <c r="M2851">
        <f>VLOOKUP(Table1[[#This Row],[subscription_type]],Plans!$A$1:$B$5,2,FALSE)</f>
        <v>9.99</v>
      </c>
      <c r="N2851">
        <f t="shared" si="44"/>
        <v>9.99</v>
      </c>
    </row>
    <row r="2852" spans="1:14" x14ac:dyDescent="0.35">
      <c r="A2852">
        <v>2851</v>
      </c>
      <c r="B2852" t="s">
        <v>12</v>
      </c>
      <c r="C2852">
        <v>30</v>
      </c>
      <c r="D2852" t="s">
        <v>29</v>
      </c>
      <c r="E2852" t="s">
        <v>22</v>
      </c>
      <c r="F2852">
        <v>279</v>
      </c>
      <c r="G2852">
        <v>32</v>
      </c>
      <c r="H2852">
        <v>0.59</v>
      </c>
      <c r="I2852" t="s">
        <v>19</v>
      </c>
      <c r="J2852">
        <v>0</v>
      </c>
      <c r="K2852">
        <v>1</v>
      </c>
      <c r="L2852">
        <v>0</v>
      </c>
      <c r="M2852">
        <f>VLOOKUP(Table1[[#This Row],[subscription_type]],Plans!$A$1:$B$5,2,FALSE)</f>
        <v>9.99</v>
      </c>
      <c r="N2852">
        <f t="shared" si="44"/>
        <v>0</v>
      </c>
    </row>
    <row r="2853" spans="1:14" x14ac:dyDescent="0.35">
      <c r="A2853">
        <v>2852</v>
      </c>
      <c r="B2853" t="s">
        <v>12</v>
      </c>
      <c r="C2853">
        <v>25</v>
      </c>
      <c r="D2853" t="s">
        <v>26</v>
      </c>
      <c r="E2853" t="s">
        <v>22</v>
      </c>
      <c r="F2853">
        <v>205</v>
      </c>
      <c r="G2853">
        <v>39</v>
      </c>
      <c r="H2853">
        <v>0.55000000000000004</v>
      </c>
      <c r="I2853" t="s">
        <v>19</v>
      </c>
      <c r="J2853">
        <v>0</v>
      </c>
      <c r="K2853">
        <v>1</v>
      </c>
      <c r="L2853">
        <v>0</v>
      </c>
      <c r="M2853">
        <f>VLOOKUP(Table1[[#This Row],[subscription_type]],Plans!$A$1:$B$5,2,FALSE)</f>
        <v>9.99</v>
      </c>
      <c r="N2853">
        <f t="shared" si="44"/>
        <v>0</v>
      </c>
    </row>
    <row r="2854" spans="1:14" x14ac:dyDescent="0.35">
      <c r="A2854">
        <v>2853</v>
      </c>
      <c r="B2854" t="s">
        <v>16</v>
      </c>
      <c r="C2854">
        <v>44</v>
      </c>
      <c r="D2854" t="s">
        <v>17</v>
      </c>
      <c r="E2854" t="s">
        <v>14</v>
      </c>
      <c r="F2854">
        <v>251</v>
      </c>
      <c r="G2854">
        <v>62</v>
      </c>
      <c r="H2854">
        <v>0.38</v>
      </c>
      <c r="I2854" t="s">
        <v>19</v>
      </c>
      <c r="J2854">
        <v>5</v>
      </c>
      <c r="K2854">
        <v>0</v>
      </c>
      <c r="L2854">
        <v>0</v>
      </c>
      <c r="M2854">
        <f>VLOOKUP(Table1[[#This Row],[subscription_type]],Plans!$A$1:$B$5,2,FALSE)</f>
        <v>0</v>
      </c>
      <c r="N2854">
        <f t="shared" si="44"/>
        <v>0</v>
      </c>
    </row>
    <row r="2855" spans="1:14" x14ac:dyDescent="0.35">
      <c r="A2855">
        <v>2854</v>
      </c>
      <c r="B2855" t="s">
        <v>12</v>
      </c>
      <c r="C2855">
        <v>18</v>
      </c>
      <c r="D2855" t="s">
        <v>26</v>
      </c>
      <c r="E2855" t="s">
        <v>14</v>
      </c>
      <c r="F2855">
        <v>190</v>
      </c>
      <c r="G2855">
        <v>41</v>
      </c>
      <c r="H2855">
        <v>0.3</v>
      </c>
      <c r="I2855" t="s">
        <v>19</v>
      </c>
      <c r="J2855">
        <v>21</v>
      </c>
      <c r="K2855">
        <v>0</v>
      </c>
      <c r="L2855">
        <v>0</v>
      </c>
      <c r="M2855">
        <f>VLOOKUP(Table1[[#This Row],[subscription_type]],Plans!$A$1:$B$5,2,FALSE)</f>
        <v>0</v>
      </c>
      <c r="N2855">
        <f t="shared" si="44"/>
        <v>0</v>
      </c>
    </row>
    <row r="2856" spans="1:14" x14ac:dyDescent="0.35">
      <c r="A2856">
        <v>2855</v>
      </c>
      <c r="B2856" t="s">
        <v>16</v>
      </c>
      <c r="C2856">
        <v>57</v>
      </c>
      <c r="D2856" t="s">
        <v>26</v>
      </c>
      <c r="E2856" t="s">
        <v>22</v>
      </c>
      <c r="F2856">
        <v>184</v>
      </c>
      <c r="G2856">
        <v>98</v>
      </c>
      <c r="H2856">
        <v>0.28000000000000003</v>
      </c>
      <c r="I2856" t="s">
        <v>19</v>
      </c>
      <c r="J2856">
        <v>0</v>
      </c>
      <c r="K2856">
        <v>1</v>
      </c>
      <c r="L2856">
        <v>1</v>
      </c>
      <c r="M2856">
        <f>VLOOKUP(Table1[[#This Row],[subscription_type]],Plans!$A$1:$B$5,2,FALSE)</f>
        <v>9.99</v>
      </c>
      <c r="N2856">
        <f t="shared" si="44"/>
        <v>9.99</v>
      </c>
    </row>
    <row r="2857" spans="1:14" x14ac:dyDescent="0.35">
      <c r="A2857">
        <v>2856</v>
      </c>
      <c r="B2857" t="s">
        <v>20</v>
      </c>
      <c r="C2857">
        <v>32</v>
      </c>
      <c r="D2857" t="s">
        <v>17</v>
      </c>
      <c r="E2857" t="s">
        <v>18</v>
      </c>
      <c r="F2857">
        <v>267</v>
      </c>
      <c r="G2857">
        <v>14</v>
      </c>
      <c r="H2857">
        <v>0.56000000000000005</v>
      </c>
      <c r="I2857" t="s">
        <v>23</v>
      </c>
      <c r="J2857">
        <v>0</v>
      </c>
      <c r="K2857">
        <v>1</v>
      </c>
      <c r="L2857">
        <v>0</v>
      </c>
      <c r="M2857">
        <f>VLOOKUP(Table1[[#This Row],[subscription_type]],Plans!$A$1:$B$5,2,FALSE)</f>
        <v>14.99</v>
      </c>
      <c r="N2857">
        <f t="shared" si="44"/>
        <v>0</v>
      </c>
    </row>
    <row r="2858" spans="1:14" x14ac:dyDescent="0.35">
      <c r="A2858">
        <v>2857</v>
      </c>
      <c r="B2858" t="s">
        <v>20</v>
      </c>
      <c r="C2858">
        <v>25</v>
      </c>
      <c r="D2858" t="s">
        <v>21</v>
      </c>
      <c r="E2858" t="s">
        <v>18</v>
      </c>
      <c r="F2858">
        <v>118</v>
      </c>
      <c r="G2858">
        <v>76</v>
      </c>
      <c r="H2858">
        <v>0.27</v>
      </c>
      <c r="I2858" t="s">
        <v>15</v>
      </c>
      <c r="J2858">
        <v>0</v>
      </c>
      <c r="K2858">
        <v>1</v>
      </c>
      <c r="L2858">
        <v>0</v>
      </c>
      <c r="M2858">
        <f>VLOOKUP(Table1[[#This Row],[subscription_type]],Plans!$A$1:$B$5,2,FALSE)</f>
        <v>14.99</v>
      </c>
      <c r="N2858">
        <f t="shared" si="44"/>
        <v>0</v>
      </c>
    </row>
    <row r="2859" spans="1:14" x14ac:dyDescent="0.35">
      <c r="A2859">
        <v>2858</v>
      </c>
      <c r="B2859" t="s">
        <v>12</v>
      </c>
      <c r="C2859">
        <v>40</v>
      </c>
      <c r="D2859" t="s">
        <v>25</v>
      </c>
      <c r="E2859" t="s">
        <v>14</v>
      </c>
      <c r="F2859">
        <v>96</v>
      </c>
      <c r="G2859">
        <v>7</v>
      </c>
      <c r="H2859">
        <v>0.21</v>
      </c>
      <c r="I2859" t="s">
        <v>23</v>
      </c>
      <c r="J2859">
        <v>35</v>
      </c>
      <c r="K2859">
        <v>0</v>
      </c>
      <c r="L2859">
        <v>0</v>
      </c>
      <c r="M2859">
        <f>VLOOKUP(Table1[[#This Row],[subscription_type]],Plans!$A$1:$B$5,2,FALSE)</f>
        <v>0</v>
      </c>
      <c r="N2859">
        <f t="shared" si="44"/>
        <v>0</v>
      </c>
    </row>
    <row r="2860" spans="1:14" x14ac:dyDescent="0.35">
      <c r="A2860">
        <v>2859</v>
      </c>
      <c r="B2860" t="s">
        <v>16</v>
      </c>
      <c r="C2860">
        <v>33</v>
      </c>
      <c r="D2860" t="s">
        <v>13</v>
      </c>
      <c r="E2860" t="s">
        <v>18</v>
      </c>
      <c r="F2860">
        <v>172</v>
      </c>
      <c r="G2860">
        <v>35</v>
      </c>
      <c r="H2860">
        <v>0.56000000000000005</v>
      </c>
      <c r="I2860" t="s">
        <v>19</v>
      </c>
      <c r="J2860">
        <v>0</v>
      </c>
      <c r="K2860">
        <v>1</v>
      </c>
      <c r="L2860">
        <v>0</v>
      </c>
      <c r="M2860">
        <f>VLOOKUP(Table1[[#This Row],[subscription_type]],Plans!$A$1:$B$5,2,FALSE)</f>
        <v>14.99</v>
      </c>
      <c r="N2860">
        <f t="shared" si="44"/>
        <v>0</v>
      </c>
    </row>
    <row r="2861" spans="1:14" x14ac:dyDescent="0.35">
      <c r="A2861">
        <v>2860</v>
      </c>
      <c r="B2861" t="s">
        <v>12</v>
      </c>
      <c r="C2861">
        <v>42</v>
      </c>
      <c r="D2861" t="s">
        <v>28</v>
      </c>
      <c r="E2861" t="s">
        <v>24</v>
      </c>
      <c r="F2861">
        <v>10</v>
      </c>
      <c r="G2861">
        <v>38</v>
      </c>
      <c r="H2861">
        <v>0.3</v>
      </c>
      <c r="I2861" t="s">
        <v>15</v>
      </c>
      <c r="J2861">
        <v>0</v>
      </c>
      <c r="K2861">
        <v>1</v>
      </c>
      <c r="L2861">
        <v>0</v>
      </c>
      <c r="M2861">
        <f>VLOOKUP(Table1[[#This Row],[subscription_type]],Plans!$A$1:$B$5,2,FALSE)</f>
        <v>4.99</v>
      </c>
      <c r="N2861">
        <f t="shared" si="44"/>
        <v>0</v>
      </c>
    </row>
    <row r="2862" spans="1:14" x14ac:dyDescent="0.35">
      <c r="A2862">
        <v>2861</v>
      </c>
      <c r="B2862" t="s">
        <v>12</v>
      </c>
      <c r="C2862">
        <v>39</v>
      </c>
      <c r="D2862" t="s">
        <v>26</v>
      </c>
      <c r="E2862" t="s">
        <v>14</v>
      </c>
      <c r="F2862">
        <v>45</v>
      </c>
      <c r="G2862">
        <v>19</v>
      </c>
      <c r="H2862">
        <v>0.51</v>
      </c>
      <c r="I2862" t="s">
        <v>15</v>
      </c>
      <c r="J2862">
        <v>13</v>
      </c>
      <c r="K2862">
        <v>0</v>
      </c>
      <c r="L2862">
        <v>0</v>
      </c>
      <c r="M2862">
        <f>VLOOKUP(Table1[[#This Row],[subscription_type]],Plans!$A$1:$B$5,2,FALSE)</f>
        <v>0</v>
      </c>
      <c r="N2862">
        <f t="shared" si="44"/>
        <v>0</v>
      </c>
    </row>
    <row r="2863" spans="1:14" x14ac:dyDescent="0.35">
      <c r="A2863">
        <v>2862</v>
      </c>
      <c r="B2863" t="s">
        <v>16</v>
      </c>
      <c r="C2863">
        <v>52</v>
      </c>
      <c r="D2863" t="s">
        <v>26</v>
      </c>
      <c r="E2863" t="s">
        <v>14</v>
      </c>
      <c r="F2863">
        <v>50</v>
      </c>
      <c r="G2863">
        <v>13</v>
      </c>
      <c r="H2863">
        <v>0.21</v>
      </c>
      <c r="I2863" t="s">
        <v>15</v>
      </c>
      <c r="J2863">
        <v>23</v>
      </c>
      <c r="K2863">
        <v>0</v>
      </c>
      <c r="L2863">
        <v>0</v>
      </c>
      <c r="M2863">
        <f>VLOOKUP(Table1[[#This Row],[subscription_type]],Plans!$A$1:$B$5,2,FALSE)</f>
        <v>0</v>
      </c>
      <c r="N2863">
        <f t="shared" si="44"/>
        <v>0</v>
      </c>
    </row>
    <row r="2864" spans="1:14" x14ac:dyDescent="0.35">
      <c r="A2864">
        <v>2863</v>
      </c>
      <c r="B2864" t="s">
        <v>16</v>
      </c>
      <c r="C2864">
        <v>26</v>
      </c>
      <c r="D2864" t="s">
        <v>17</v>
      </c>
      <c r="E2864" t="s">
        <v>14</v>
      </c>
      <c r="F2864">
        <v>183</v>
      </c>
      <c r="G2864">
        <v>48</v>
      </c>
      <c r="H2864">
        <v>0.43</v>
      </c>
      <c r="I2864" t="s">
        <v>23</v>
      </c>
      <c r="J2864">
        <v>41</v>
      </c>
      <c r="K2864">
        <v>0</v>
      </c>
      <c r="L2864">
        <v>0</v>
      </c>
      <c r="M2864">
        <f>VLOOKUP(Table1[[#This Row],[subscription_type]],Plans!$A$1:$B$5,2,FALSE)</f>
        <v>0</v>
      </c>
      <c r="N2864">
        <f t="shared" si="44"/>
        <v>0</v>
      </c>
    </row>
    <row r="2865" spans="1:14" x14ac:dyDescent="0.35">
      <c r="A2865">
        <v>2864</v>
      </c>
      <c r="B2865" t="s">
        <v>12</v>
      </c>
      <c r="C2865">
        <v>38</v>
      </c>
      <c r="D2865" t="s">
        <v>17</v>
      </c>
      <c r="E2865" t="s">
        <v>18</v>
      </c>
      <c r="F2865">
        <v>213</v>
      </c>
      <c r="G2865">
        <v>19</v>
      </c>
      <c r="H2865">
        <v>0.09</v>
      </c>
      <c r="I2865" t="s">
        <v>15</v>
      </c>
      <c r="J2865">
        <v>0</v>
      </c>
      <c r="K2865">
        <v>1</v>
      </c>
      <c r="L2865">
        <v>0</v>
      </c>
      <c r="M2865">
        <f>VLOOKUP(Table1[[#This Row],[subscription_type]],Plans!$A$1:$B$5,2,FALSE)</f>
        <v>14.99</v>
      </c>
      <c r="N2865">
        <f t="shared" si="44"/>
        <v>0</v>
      </c>
    </row>
    <row r="2866" spans="1:14" x14ac:dyDescent="0.35">
      <c r="A2866">
        <v>2865</v>
      </c>
      <c r="B2866" t="s">
        <v>12</v>
      </c>
      <c r="C2866">
        <v>39</v>
      </c>
      <c r="D2866" t="s">
        <v>26</v>
      </c>
      <c r="E2866" t="s">
        <v>18</v>
      </c>
      <c r="F2866">
        <v>211</v>
      </c>
      <c r="G2866">
        <v>60</v>
      </c>
      <c r="H2866">
        <v>0.16</v>
      </c>
      <c r="I2866" t="s">
        <v>15</v>
      </c>
      <c r="J2866">
        <v>0</v>
      </c>
      <c r="K2866">
        <v>1</v>
      </c>
      <c r="L2866">
        <v>1</v>
      </c>
      <c r="M2866">
        <f>VLOOKUP(Table1[[#This Row],[subscription_type]],Plans!$A$1:$B$5,2,FALSE)</f>
        <v>14.99</v>
      </c>
      <c r="N2866">
        <f t="shared" si="44"/>
        <v>14.99</v>
      </c>
    </row>
    <row r="2867" spans="1:14" x14ac:dyDescent="0.35">
      <c r="A2867">
        <v>2866</v>
      </c>
      <c r="B2867" t="s">
        <v>20</v>
      </c>
      <c r="C2867">
        <v>57</v>
      </c>
      <c r="D2867" t="s">
        <v>27</v>
      </c>
      <c r="E2867" t="s">
        <v>14</v>
      </c>
      <c r="F2867">
        <v>59</v>
      </c>
      <c r="G2867">
        <v>87</v>
      </c>
      <c r="H2867">
        <v>0.24</v>
      </c>
      <c r="I2867" t="s">
        <v>19</v>
      </c>
      <c r="J2867">
        <v>16</v>
      </c>
      <c r="K2867">
        <v>0</v>
      </c>
      <c r="L2867">
        <v>0</v>
      </c>
      <c r="M2867">
        <f>VLOOKUP(Table1[[#This Row],[subscription_type]],Plans!$A$1:$B$5,2,FALSE)</f>
        <v>0</v>
      </c>
      <c r="N2867">
        <f t="shared" si="44"/>
        <v>0</v>
      </c>
    </row>
    <row r="2868" spans="1:14" x14ac:dyDescent="0.35">
      <c r="A2868">
        <v>2867</v>
      </c>
      <c r="B2868" t="s">
        <v>16</v>
      </c>
      <c r="C2868">
        <v>44</v>
      </c>
      <c r="D2868" t="s">
        <v>21</v>
      </c>
      <c r="E2868" t="s">
        <v>18</v>
      </c>
      <c r="F2868">
        <v>161</v>
      </c>
      <c r="G2868">
        <v>72</v>
      </c>
      <c r="H2868">
        <v>0.32</v>
      </c>
      <c r="I2868" t="s">
        <v>19</v>
      </c>
      <c r="J2868">
        <v>0</v>
      </c>
      <c r="K2868">
        <v>1</v>
      </c>
      <c r="L2868">
        <v>1</v>
      </c>
      <c r="M2868">
        <f>VLOOKUP(Table1[[#This Row],[subscription_type]],Plans!$A$1:$B$5,2,FALSE)</f>
        <v>14.99</v>
      </c>
      <c r="N2868">
        <f t="shared" si="44"/>
        <v>14.99</v>
      </c>
    </row>
    <row r="2869" spans="1:14" x14ac:dyDescent="0.35">
      <c r="A2869">
        <v>2868</v>
      </c>
      <c r="B2869" t="s">
        <v>16</v>
      </c>
      <c r="C2869">
        <v>36</v>
      </c>
      <c r="D2869" t="s">
        <v>26</v>
      </c>
      <c r="E2869" t="s">
        <v>24</v>
      </c>
      <c r="F2869">
        <v>103</v>
      </c>
      <c r="G2869">
        <v>95</v>
      </c>
      <c r="H2869">
        <v>0</v>
      </c>
      <c r="I2869" t="s">
        <v>23</v>
      </c>
      <c r="J2869">
        <v>0</v>
      </c>
      <c r="K2869">
        <v>1</v>
      </c>
      <c r="L2869">
        <v>0</v>
      </c>
      <c r="M2869">
        <f>VLOOKUP(Table1[[#This Row],[subscription_type]],Plans!$A$1:$B$5,2,FALSE)</f>
        <v>4.99</v>
      </c>
      <c r="N2869">
        <f t="shared" si="44"/>
        <v>0</v>
      </c>
    </row>
    <row r="2870" spans="1:14" x14ac:dyDescent="0.35">
      <c r="A2870">
        <v>2869</v>
      </c>
      <c r="B2870" t="s">
        <v>12</v>
      </c>
      <c r="C2870">
        <v>34</v>
      </c>
      <c r="D2870" t="s">
        <v>28</v>
      </c>
      <c r="E2870" t="s">
        <v>22</v>
      </c>
      <c r="F2870">
        <v>89</v>
      </c>
      <c r="G2870">
        <v>24</v>
      </c>
      <c r="H2870">
        <v>0.44</v>
      </c>
      <c r="I2870" t="s">
        <v>23</v>
      </c>
      <c r="J2870">
        <v>0</v>
      </c>
      <c r="K2870">
        <v>1</v>
      </c>
      <c r="L2870">
        <v>1</v>
      </c>
      <c r="M2870">
        <f>VLOOKUP(Table1[[#This Row],[subscription_type]],Plans!$A$1:$B$5,2,FALSE)</f>
        <v>9.99</v>
      </c>
      <c r="N2870">
        <f t="shared" si="44"/>
        <v>9.99</v>
      </c>
    </row>
    <row r="2871" spans="1:14" x14ac:dyDescent="0.35">
      <c r="A2871">
        <v>2870</v>
      </c>
      <c r="B2871" t="s">
        <v>16</v>
      </c>
      <c r="C2871">
        <v>44</v>
      </c>
      <c r="D2871" t="s">
        <v>17</v>
      </c>
      <c r="E2871" t="s">
        <v>18</v>
      </c>
      <c r="F2871">
        <v>137</v>
      </c>
      <c r="G2871">
        <v>2</v>
      </c>
      <c r="H2871">
        <v>0.13</v>
      </c>
      <c r="I2871" t="s">
        <v>19</v>
      </c>
      <c r="J2871">
        <v>0</v>
      </c>
      <c r="K2871">
        <v>1</v>
      </c>
      <c r="L2871">
        <v>0</v>
      </c>
      <c r="M2871">
        <f>VLOOKUP(Table1[[#This Row],[subscription_type]],Plans!$A$1:$B$5,2,FALSE)</f>
        <v>14.99</v>
      </c>
      <c r="N2871">
        <f t="shared" si="44"/>
        <v>0</v>
      </c>
    </row>
    <row r="2872" spans="1:14" x14ac:dyDescent="0.35">
      <c r="A2872">
        <v>2871</v>
      </c>
      <c r="B2872" t="s">
        <v>12</v>
      </c>
      <c r="C2872">
        <v>23</v>
      </c>
      <c r="D2872" t="s">
        <v>26</v>
      </c>
      <c r="E2872" t="s">
        <v>22</v>
      </c>
      <c r="F2872">
        <v>257</v>
      </c>
      <c r="G2872">
        <v>58</v>
      </c>
      <c r="H2872">
        <v>0.35</v>
      </c>
      <c r="I2872" t="s">
        <v>19</v>
      </c>
      <c r="J2872">
        <v>0</v>
      </c>
      <c r="K2872">
        <v>1</v>
      </c>
      <c r="L2872">
        <v>0</v>
      </c>
      <c r="M2872">
        <f>VLOOKUP(Table1[[#This Row],[subscription_type]],Plans!$A$1:$B$5,2,FALSE)</f>
        <v>9.99</v>
      </c>
      <c r="N2872">
        <f t="shared" si="44"/>
        <v>0</v>
      </c>
    </row>
    <row r="2873" spans="1:14" x14ac:dyDescent="0.35">
      <c r="A2873">
        <v>2872</v>
      </c>
      <c r="B2873" t="s">
        <v>12</v>
      </c>
      <c r="C2873">
        <v>33</v>
      </c>
      <c r="D2873" t="s">
        <v>29</v>
      </c>
      <c r="E2873" t="s">
        <v>18</v>
      </c>
      <c r="F2873">
        <v>148</v>
      </c>
      <c r="G2873">
        <v>48</v>
      </c>
      <c r="H2873">
        <v>0.3</v>
      </c>
      <c r="I2873" t="s">
        <v>19</v>
      </c>
      <c r="J2873">
        <v>0</v>
      </c>
      <c r="K2873">
        <v>1</v>
      </c>
      <c r="L2873">
        <v>1</v>
      </c>
      <c r="M2873">
        <f>VLOOKUP(Table1[[#This Row],[subscription_type]],Plans!$A$1:$B$5,2,FALSE)</f>
        <v>14.99</v>
      </c>
      <c r="N2873">
        <f t="shared" si="44"/>
        <v>14.99</v>
      </c>
    </row>
    <row r="2874" spans="1:14" x14ac:dyDescent="0.35">
      <c r="A2874">
        <v>2873</v>
      </c>
      <c r="B2874" t="s">
        <v>20</v>
      </c>
      <c r="C2874">
        <v>53</v>
      </c>
      <c r="D2874" t="s">
        <v>25</v>
      </c>
      <c r="E2874" t="s">
        <v>24</v>
      </c>
      <c r="F2874">
        <v>295</v>
      </c>
      <c r="G2874">
        <v>88</v>
      </c>
      <c r="H2874">
        <v>0.42</v>
      </c>
      <c r="I2874" t="s">
        <v>15</v>
      </c>
      <c r="J2874">
        <v>0</v>
      </c>
      <c r="K2874">
        <v>1</v>
      </c>
      <c r="L2874">
        <v>0</v>
      </c>
      <c r="M2874">
        <f>VLOOKUP(Table1[[#This Row],[subscription_type]],Plans!$A$1:$B$5,2,FALSE)</f>
        <v>4.99</v>
      </c>
      <c r="N2874">
        <f t="shared" si="44"/>
        <v>0</v>
      </c>
    </row>
    <row r="2875" spans="1:14" x14ac:dyDescent="0.35">
      <c r="A2875">
        <v>2874</v>
      </c>
      <c r="B2875" t="s">
        <v>20</v>
      </c>
      <c r="C2875">
        <v>44</v>
      </c>
      <c r="D2875" t="s">
        <v>13</v>
      </c>
      <c r="E2875" t="s">
        <v>22</v>
      </c>
      <c r="F2875">
        <v>114</v>
      </c>
      <c r="G2875">
        <v>96</v>
      </c>
      <c r="H2875">
        <v>0.04</v>
      </c>
      <c r="I2875" t="s">
        <v>15</v>
      </c>
      <c r="J2875">
        <v>0</v>
      </c>
      <c r="K2875">
        <v>1</v>
      </c>
      <c r="L2875">
        <v>0</v>
      </c>
      <c r="M2875">
        <f>VLOOKUP(Table1[[#This Row],[subscription_type]],Plans!$A$1:$B$5,2,FALSE)</f>
        <v>9.99</v>
      </c>
      <c r="N2875">
        <f t="shared" si="44"/>
        <v>0</v>
      </c>
    </row>
    <row r="2876" spans="1:14" x14ac:dyDescent="0.35">
      <c r="A2876">
        <v>2875</v>
      </c>
      <c r="B2876" t="s">
        <v>20</v>
      </c>
      <c r="C2876">
        <v>53</v>
      </c>
      <c r="D2876" t="s">
        <v>25</v>
      </c>
      <c r="E2876" t="s">
        <v>14</v>
      </c>
      <c r="F2876">
        <v>167</v>
      </c>
      <c r="G2876">
        <v>18</v>
      </c>
      <c r="H2876">
        <v>0.14000000000000001</v>
      </c>
      <c r="I2876" t="s">
        <v>15</v>
      </c>
      <c r="J2876">
        <v>9</v>
      </c>
      <c r="K2876">
        <v>0</v>
      </c>
      <c r="L2876">
        <v>0</v>
      </c>
      <c r="M2876">
        <f>VLOOKUP(Table1[[#This Row],[subscription_type]],Plans!$A$1:$B$5,2,FALSE)</f>
        <v>0</v>
      </c>
      <c r="N2876">
        <f t="shared" si="44"/>
        <v>0</v>
      </c>
    </row>
    <row r="2877" spans="1:14" x14ac:dyDescent="0.35">
      <c r="A2877">
        <v>2876</v>
      </c>
      <c r="B2877" t="s">
        <v>16</v>
      </c>
      <c r="C2877">
        <v>38</v>
      </c>
      <c r="D2877" t="s">
        <v>25</v>
      </c>
      <c r="E2877" t="s">
        <v>18</v>
      </c>
      <c r="F2877">
        <v>255</v>
      </c>
      <c r="G2877">
        <v>43</v>
      </c>
      <c r="H2877">
        <v>0.4</v>
      </c>
      <c r="I2877" t="s">
        <v>15</v>
      </c>
      <c r="J2877">
        <v>0</v>
      </c>
      <c r="K2877">
        <v>1</v>
      </c>
      <c r="L2877">
        <v>0</v>
      </c>
      <c r="M2877">
        <f>VLOOKUP(Table1[[#This Row],[subscription_type]],Plans!$A$1:$B$5,2,FALSE)</f>
        <v>14.99</v>
      </c>
      <c r="N2877">
        <f t="shared" si="44"/>
        <v>0</v>
      </c>
    </row>
    <row r="2878" spans="1:14" x14ac:dyDescent="0.35">
      <c r="A2878">
        <v>2877</v>
      </c>
      <c r="B2878" t="s">
        <v>16</v>
      </c>
      <c r="C2878">
        <v>21</v>
      </c>
      <c r="D2878" t="s">
        <v>28</v>
      </c>
      <c r="E2878" t="s">
        <v>14</v>
      </c>
      <c r="F2878">
        <v>266</v>
      </c>
      <c r="G2878">
        <v>15</v>
      </c>
      <c r="H2878">
        <v>0.41</v>
      </c>
      <c r="I2878" t="s">
        <v>23</v>
      </c>
      <c r="J2878">
        <v>8</v>
      </c>
      <c r="K2878">
        <v>0</v>
      </c>
      <c r="L2878">
        <v>0</v>
      </c>
      <c r="M2878">
        <f>VLOOKUP(Table1[[#This Row],[subscription_type]],Plans!$A$1:$B$5,2,FALSE)</f>
        <v>0</v>
      </c>
      <c r="N2878">
        <f t="shared" si="44"/>
        <v>0</v>
      </c>
    </row>
    <row r="2879" spans="1:14" x14ac:dyDescent="0.35">
      <c r="A2879">
        <v>2878</v>
      </c>
      <c r="B2879" t="s">
        <v>12</v>
      </c>
      <c r="C2879">
        <v>53</v>
      </c>
      <c r="D2879" t="s">
        <v>25</v>
      </c>
      <c r="E2879" t="s">
        <v>18</v>
      </c>
      <c r="F2879">
        <v>42</v>
      </c>
      <c r="G2879">
        <v>5</v>
      </c>
      <c r="H2879">
        <v>0.12</v>
      </c>
      <c r="I2879" t="s">
        <v>19</v>
      </c>
      <c r="J2879">
        <v>0</v>
      </c>
      <c r="K2879">
        <v>1</v>
      </c>
      <c r="L2879">
        <v>0</v>
      </c>
      <c r="M2879">
        <f>VLOOKUP(Table1[[#This Row],[subscription_type]],Plans!$A$1:$B$5,2,FALSE)</f>
        <v>14.99</v>
      </c>
      <c r="N2879">
        <f t="shared" si="44"/>
        <v>0</v>
      </c>
    </row>
    <row r="2880" spans="1:14" x14ac:dyDescent="0.35">
      <c r="A2880">
        <v>2879</v>
      </c>
      <c r="B2880" t="s">
        <v>16</v>
      </c>
      <c r="C2880">
        <v>54</v>
      </c>
      <c r="D2880" t="s">
        <v>13</v>
      </c>
      <c r="E2880" t="s">
        <v>22</v>
      </c>
      <c r="F2880">
        <v>52</v>
      </c>
      <c r="G2880">
        <v>4</v>
      </c>
      <c r="H2880">
        <v>0.55000000000000004</v>
      </c>
      <c r="I2880" t="s">
        <v>19</v>
      </c>
      <c r="J2880">
        <v>0</v>
      </c>
      <c r="K2880">
        <v>1</v>
      </c>
      <c r="L2880">
        <v>0</v>
      </c>
      <c r="M2880">
        <f>VLOOKUP(Table1[[#This Row],[subscription_type]],Plans!$A$1:$B$5,2,FALSE)</f>
        <v>9.99</v>
      </c>
      <c r="N2880">
        <f t="shared" si="44"/>
        <v>0</v>
      </c>
    </row>
    <row r="2881" spans="1:14" x14ac:dyDescent="0.35">
      <c r="A2881">
        <v>2880</v>
      </c>
      <c r="B2881" t="s">
        <v>16</v>
      </c>
      <c r="C2881">
        <v>57</v>
      </c>
      <c r="D2881" t="s">
        <v>17</v>
      </c>
      <c r="E2881" t="s">
        <v>24</v>
      </c>
      <c r="F2881">
        <v>67</v>
      </c>
      <c r="G2881">
        <v>58</v>
      </c>
      <c r="H2881">
        <v>0.31</v>
      </c>
      <c r="I2881" t="s">
        <v>15</v>
      </c>
      <c r="J2881">
        <v>0</v>
      </c>
      <c r="K2881">
        <v>1</v>
      </c>
      <c r="L2881">
        <v>1</v>
      </c>
      <c r="M2881">
        <f>VLOOKUP(Table1[[#This Row],[subscription_type]],Plans!$A$1:$B$5,2,FALSE)</f>
        <v>4.99</v>
      </c>
      <c r="N2881">
        <f t="shared" si="44"/>
        <v>4.99</v>
      </c>
    </row>
    <row r="2882" spans="1:14" x14ac:dyDescent="0.35">
      <c r="A2882">
        <v>2881</v>
      </c>
      <c r="B2882" t="s">
        <v>12</v>
      </c>
      <c r="C2882">
        <v>47</v>
      </c>
      <c r="D2882" t="s">
        <v>29</v>
      </c>
      <c r="E2882" t="s">
        <v>22</v>
      </c>
      <c r="F2882">
        <v>38</v>
      </c>
      <c r="G2882">
        <v>27</v>
      </c>
      <c r="H2882">
        <v>0.1</v>
      </c>
      <c r="I2882" t="s">
        <v>19</v>
      </c>
      <c r="J2882">
        <v>0</v>
      </c>
      <c r="K2882">
        <v>1</v>
      </c>
      <c r="L2882">
        <v>0</v>
      </c>
      <c r="M2882">
        <f>VLOOKUP(Table1[[#This Row],[subscription_type]],Plans!$A$1:$B$5,2,FALSE)</f>
        <v>9.99</v>
      </c>
      <c r="N2882">
        <f t="shared" ref="N2882:N2945" si="45">IF(L2882=1, M2882,0)</f>
        <v>0</v>
      </c>
    </row>
    <row r="2883" spans="1:14" x14ac:dyDescent="0.35">
      <c r="A2883">
        <v>2882</v>
      </c>
      <c r="B2883" t="s">
        <v>20</v>
      </c>
      <c r="C2883">
        <v>22</v>
      </c>
      <c r="D2883" t="s">
        <v>13</v>
      </c>
      <c r="E2883" t="s">
        <v>14</v>
      </c>
      <c r="F2883">
        <v>259</v>
      </c>
      <c r="G2883">
        <v>43</v>
      </c>
      <c r="H2883">
        <v>0.32</v>
      </c>
      <c r="I2883" t="s">
        <v>23</v>
      </c>
      <c r="J2883">
        <v>34</v>
      </c>
      <c r="K2883">
        <v>0</v>
      </c>
      <c r="L2883">
        <v>0</v>
      </c>
      <c r="M2883">
        <f>VLOOKUP(Table1[[#This Row],[subscription_type]],Plans!$A$1:$B$5,2,FALSE)</f>
        <v>0</v>
      </c>
      <c r="N2883">
        <f t="shared" si="45"/>
        <v>0</v>
      </c>
    </row>
    <row r="2884" spans="1:14" x14ac:dyDescent="0.35">
      <c r="A2884">
        <v>2883</v>
      </c>
      <c r="B2884" t="s">
        <v>16</v>
      </c>
      <c r="C2884">
        <v>31</v>
      </c>
      <c r="D2884" t="s">
        <v>28</v>
      </c>
      <c r="E2884" t="s">
        <v>22</v>
      </c>
      <c r="F2884">
        <v>49</v>
      </c>
      <c r="G2884">
        <v>84</v>
      </c>
      <c r="H2884">
        <v>0.47</v>
      </c>
      <c r="I2884" t="s">
        <v>19</v>
      </c>
      <c r="J2884">
        <v>0</v>
      </c>
      <c r="K2884">
        <v>1</v>
      </c>
      <c r="L2884">
        <v>0</v>
      </c>
      <c r="M2884">
        <f>VLOOKUP(Table1[[#This Row],[subscription_type]],Plans!$A$1:$B$5,2,FALSE)</f>
        <v>9.99</v>
      </c>
      <c r="N2884">
        <f t="shared" si="45"/>
        <v>0</v>
      </c>
    </row>
    <row r="2885" spans="1:14" x14ac:dyDescent="0.35">
      <c r="A2885">
        <v>2884</v>
      </c>
      <c r="B2885" t="s">
        <v>16</v>
      </c>
      <c r="C2885">
        <v>37</v>
      </c>
      <c r="D2885" t="s">
        <v>28</v>
      </c>
      <c r="E2885" t="s">
        <v>18</v>
      </c>
      <c r="F2885">
        <v>205</v>
      </c>
      <c r="G2885">
        <v>88</v>
      </c>
      <c r="H2885">
        <v>0.35</v>
      </c>
      <c r="I2885" t="s">
        <v>15</v>
      </c>
      <c r="J2885">
        <v>0</v>
      </c>
      <c r="K2885">
        <v>1</v>
      </c>
      <c r="L2885">
        <v>0</v>
      </c>
      <c r="M2885">
        <f>VLOOKUP(Table1[[#This Row],[subscription_type]],Plans!$A$1:$B$5,2,FALSE)</f>
        <v>14.99</v>
      </c>
      <c r="N2885">
        <f t="shared" si="45"/>
        <v>0</v>
      </c>
    </row>
    <row r="2886" spans="1:14" x14ac:dyDescent="0.35">
      <c r="A2886">
        <v>2885</v>
      </c>
      <c r="B2886" t="s">
        <v>16</v>
      </c>
      <c r="C2886">
        <v>58</v>
      </c>
      <c r="D2886" t="s">
        <v>13</v>
      </c>
      <c r="E2886" t="s">
        <v>18</v>
      </c>
      <c r="F2886">
        <v>291</v>
      </c>
      <c r="G2886">
        <v>32</v>
      </c>
      <c r="H2886">
        <v>0.48</v>
      </c>
      <c r="I2886" t="s">
        <v>23</v>
      </c>
      <c r="J2886">
        <v>0</v>
      </c>
      <c r="K2886">
        <v>1</v>
      </c>
      <c r="L2886">
        <v>0</v>
      </c>
      <c r="M2886">
        <f>VLOOKUP(Table1[[#This Row],[subscription_type]],Plans!$A$1:$B$5,2,FALSE)</f>
        <v>14.99</v>
      </c>
      <c r="N2886">
        <f t="shared" si="45"/>
        <v>0</v>
      </c>
    </row>
    <row r="2887" spans="1:14" x14ac:dyDescent="0.35">
      <c r="A2887">
        <v>2886</v>
      </c>
      <c r="B2887" t="s">
        <v>12</v>
      </c>
      <c r="C2887">
        <v>49</v>
      </c>
      <c r="D2887" t="s">
        <v>25</v>
      </c>
      <c r="E2887" t="s">
        <v>22</v>
      </c>
      <c r="F2887">
        <v>86</v>
      </c>
      <c r="G2887">
        <v>67</v>
      </c>
      <c r="H2887">
        <v>0.19</v>
      </c>
      <c r="I2887" t="s">
        <v>23</v>
      </c>
      <c r="J2887">
        <v>0</v>
      </c>
      <c r="K2887">
        <v>1</v>
      </c>
      <c r="L2887">
        <v>1</v>
      </c>
      <c r="M2887">
        <f>VLOOKUP(Table1[[#This Row],[subscription_type]],Plans!$A$1:$B$5,2,FALSE)</f>
        <v>9.99</v>
      </c>
      <c r="N2887">
        <f t="shared" si="45"/>
        <v>9.99</v>
      </c>
    </row>
    <row r="2888" spans="1:14" x14ac:dyDescent="0.35">
      <c r="A2888">
        <v>2887</v>
      </c>
      <c r="B2888" t="s">
        <v>12</v>
      </c>
      <c r="C2888">
        <v>54</v>
      </c>
      <c r="D2888" t="s">
        <v>26</v>
      </c>
      <c r="E2888" t="s">
        <v>22</v>
      </c>
      <c r="F2888">
        <v>106</v>
      </c>
      <c r="G2888">
        <v>39</v>
      </c>
      <c r="H2888">
        <v>0.49</v>
      </c>
      <c r="I2888" t="s">
        <v>15</v>
      </c>
      <c r="J2888">
        <v>0</v>
      </c>
      <c r="K2888">
        <v>1</v>
      </c>
      <c r="L2888">
        <v>1</v>
      </c>
      <c r="M2888">
        <f>VLOOKUP(Table1[[#This Row],[subscription_type]],Plans!$A$1:$B$5,2,FALSE)</f>
        <v>9.99</v>
      </c>
      <c r="N2888">
        <f t="shared" si="45"/>
        <v>9.99</v>
      </c>
    </row>
    <row r="2889" spans="1:14" x14ac:dyDescent="0.35">
      <c r="A2889">
        <v>2888</v>
      </c>
      <c r="B2889" t="s">
        <v>20</v>
      </c>
      <c r="C2889">
        <v>16</v>
      </c>
      <c r="D2889" t="s">
        <v>21</v>
      </c>
      <c r="E2889" t="s">
        <v>24</v>
      </c>
      <c r="F2889">
        <v>230</v>
      </c>
      <c r="G2889">
        <v>28</v>
      </c>
      <c r="H2889">
        <v>0.57999999999999996</v>
      </c>
      <c r="I2889" t="s">
        <v>19</v>
      </c>
      <c r="J2889">
        <v>0</v>
      </c>
      <c r="K2889">
        <v>1</v>
      </c>
      <c r="L2889">
        <v>0</v>
      </c>
      <c r="M2889">
        <f>VLOOKUP(Table1[[#This Row],[subscription_type]],Plans!$A$1:$B$5,2,FALSE)</f>
        <v>4.99</v>
      </c>
      <c r="N2889">
        <f t="shared" si="45"/>
        <v>0</v>
      </c>
    </row>
    <row r="2890" spans="1:14" x14ac:dyDescent="0.35">
      <c r="A2890">
        <v>2889</v>
      </c>
      <c r="B2890" t="s">
        <v>20</v>
      </c>
      <c r="C2890">
        <v>24</v>
      </c>
      <c r="D2890" t="s">
        <v>26</v>
      </c>
      <c r="E2890" t="s">
        <v>24</v>
      </c>
      <c r="F2890">
        <v>123</v>
      </c>
      <c r="G2890">
        <v>92</v>
      </c>
      <c r="H2890">
        <v>0.33</v>
      </c>
      <c r="I2890" t="s">
        <v>19</v>
      </c>
      <c r="J2890">
        <v>0</v>
      </c>
      <c r="K2890">
        <v>1</v>
      </c>
      <c r="L2890">
        <v>0</v>
      </c>
      <c r="M2890">
        <f>VLOOKUP(Table1[[#This Row],[subscription_type]],Plans!$A$1:$B$5,2,FALSE)</f>
        <v>4.99</v>
      </c>
      <c r="N2890">
        <f t="shared" si="45"/>
        <v>0</v>
      </c>
    </row>
    <row r="2891" spans="1:14" x14ac:dyDescent="0.35">
      <c r="A2891">
        <v>2890</v>
      </c>
      <c r="B2891" t="s">
        <v>12</v>
      </c>
      <c r="C2891">
        <v>43</v>
      </c>
      <c r="D2891" t="s">
        <v>21</v>
      </c>
      <c r="E2891" t="s">
        <v>14</v>
      </c>
      <c r="F2891">
        <v>204</v>
      </c>
      <c r="G2891">
        <v>67</v>
      </c>
      <c r="H2891">
        <v>0.01</v>
      </c>
      <c r="I2891" t="s">
        <v>15</v>
      </c>
      <c r="J2891">
        <v>20</v>
      </c>
      <c r="K2891">
        <v>0</v>
      </c>
      <c r="L2891">
        <v>0</v>
      </c>
      <c r="M2891">
        <f>VLOOKUP(Table1[[#This Row],[subscription_type]],Plans!$A$1:$B$5,2,FALSE)</f>
        <v>0</v>
      </c>
      <c r="N2891">
        <f t="shared" si="45"/>
        <v>0</v>
      </c>
    </row>
    <row r="2892" spans="1:14" x14ac:dyDescent="0.35">
      <c r="A2892">
        <v>2891</v>
      </c>
      <c r="B2892" t="s">
        <v>12</v>
      </c>
      <c r="C2892">
        <v>28</v>
      </c>
      <c r="D2892" t="s">
        <v>17</v>
      </c>
      <c r="E2892" t="s">
        <v>24</v>
      </c>
      <c r="F2892">
        <v>252</v>
      </c>
      <c r="G2892">
        <v>5</v>
      </c>
      <c r="H2892">
        <v>0.4</v>
      </c>
      <c r="I2892" t="s">
        <v>15</v>
      </c>
      <c r="J2892">
        <v>0</v>
      </c>
      <c r="K2892">
        <v>1</v>
      </c>
      <c r="L2892">
        <v>0</v>
      </c>
      <c r="M2892">
        <f>VLOOKUP(Table1[[#This Row],[subscription_type]],Plans!$A$1:$B$5,2,FALSE)</f>
        <v>4.99</v>
      </c>
      <c r="N2892">
        <f t="shared" si="45"/>
        <v>0</v>
      </c>
    </row>
    <row r="2893" spans="1:14" x14ac:dyDescent="0.35">
      <c r="A2893">
        <v>2892</v>
      </c>
      <c r="B2893" t="s">
        <v>20</v>
      </c>
      <c r="C2893">
        <v>23</v>
      </c>
      <c r="D2893" t="s">
        <v>13</v>
      </c>
      <c r="E2893" t="s">
        <v>18</v>
      </c>
      <c r="F2893">
        <v>249</v>
      </c>
      <c r="G2893">
        <v>79</v>
      </c>
      <c r="H2893">
        <v>0.04</v>
      </c>
      <c r="I2893" t="s">
        <v>19</v>
      </c>
      <c r="J2893">
        <v>0</v>
      </c>
      <c r="K2893">
        <v>1</v>
      </c>
      <c r="L2893">
        <v>0</v>
      </c>
      <c r="M2893">
        <f>VLOOKUP(Table1[[#This Row],[subscription_type]],Plans!$A$1:$B$5,2,FALSE)</f>
        <v>14.99</v>
      </c>
      <c r="N2893">
        <f t="shared" si="45"/>
        <v>0</v>
      </c>
    </row>
    <row r="2894" spans="1:14" x14ac:dyDescent="0.35">
      <c r="A2894">
        <v>2893</v>
      </c>
      <c r="B2894" t="s">
        <v>16</v>
      </c>
      <c r="C2894">
        <v>46</v>
      </c>
      <c r="D2894" t="s">
        <v>17</v>
      </c>
      <c r="E2894" t="s">
        <v>14</v>
      </c>
      <c r="F2894">
        <v>296</v>
      </c>
      <c r="G2894">
        <v>95</v>
      </c>
      <c r="H2894">
        <v>0.19</v>
      </c>
      <c r="I2894" t="s">
        <v>15</v>
      </c>
      <c r="J2894">
        <v>12</v>
      </c>
      <c r="K2894">
        <v>0</v>
      </c>
      <c r="L2894">
        <v>0</v>
      </c>
      <c r="M2894">
        <f>VLOOKUP(Table1[[#This Row],[subscription_type]],Plans!$A$1:$B$5,2,FALSE)</f>
        <v>0</v>
      </c>
      <c r="N2894">
        <f t="shared" si="45"/>
        <v>0</v>
      </c>
    </row>
    <row r="2895" spans="1:14" x14ac:dyDescent="0.35">
      <c r="A2895">
        <v>2894</v>
      </c>
      <c r="B2895" t="s">
        <v>16</v>
      </c>
      <c r="C2895">
        <v>18</v>
      </c>
      <c r="D2895" t="s">
        <v>17</v>
      </c>
      <c r="E2895" t="s">
        <v>18</v>
      </c>
      <c r="F2895">
        <v>257</v>
      </c>
      <c r="G2895">
        <v>2</v>
      </c>
      <c r="H2895">
        <v>0.04</v>
      </c>
      <c r="I2895" t="s">
        <v>23</v>
      </c>
      <c r="J2895">
        <v>0</v>
      </c>
      <c r="K2895">
        <v>1</v>
      </c>
      <c r="L2895">
        <v>1</v>
      </c>
      <c r="M2895">
        <f>VLOOKUP(Table1[[#This Row],[subscription_type]],Plans!$A$1:$B$5,2,FALSE)</f>
        <v>14.99</v>
      </c>
      <c r="N2895">
        <f t="shared" si="45"/>
        <v>14.99</v>
      </c>
    </row>
    <row r="2896" spans="1:14" x14ac:dyDescent="0.35">
      <c r="A2896">
        <v>2895</v>
      </c>
      <c r="B2896" t="s">
        <v>12</v>
      </c>
      <c r="C2896">
        <v>47</v>
      </c>
      <c r="D2896" t="s">
        <v>21</v>
      </c>
      <c r="E2896" t="s">
        <v>14</v>
      </c>
      <c r="F2896">
        <v>257</v>
      </c>
      <c r="G2896">
        <v>98</v>
      </c>
      <c r="H2896">
        <v>0</v>
      </c>
      <c r="I2896" t="s">
        <v>23</v>
      </c>
      <c r="J2896">
        <v>45</v>
      </c>
      <c r="K2896">
        <v>0</v>
      </c>
      <c r="L2896">
        <v>0</v>
      </c>
      <c r="M2896">
        <f>VLOOKUP(Table1[[#This Row],[subscription_type]],Plans!$A$1:$B$5,2,FALSE)</f>
        <v>0</v>
      </c>
      <c r="N2896">
        <f t="shared" si="45"/>
        <v>0</v>
      </c>
    </row>
    <row r="2897" spans="1:14" x14ac:dyDescent="0.35">
      <c r="A2897">
        <v>2896</v>
      </c>
      <c r="B2897" t="s">
        <v>20</v>
      </c>
      <c r="C2897">
        <v>55</v>
      </c>
      <c r="D2897" t="s">
        <v>25</v>
      </c>
      <c r="E2897" t="s">
        <v>14</v>
      </c>
      <c r="F2897">
        <v>134</v>
      </c>
      <c r="G2897">
        <v>40</v>
      </c>
      <c r="H2897">
        <v>0.09</v>
      </c>
      <c r="I2897" t="s">
        <v>19</v>
      </c>
      <c r="J2897">
        <v>10</v>
      </c>
      <c r="K2897">
        <v>0</v>
      </c>
      <c r="L2897">
        <v>0</v>
      </c>
      <c r="M2897">
        <f>VLOOKUP(Table1[[#This Row],[subscription_type]],Plans!$A$1:$B$5,2,FALSE)</f>
        <v>0</v>
      </c>
      <c r="N2897">
        <f t="shared" si="45"/>
        <v>0</v>
      </c>
    </row>
    <row r="2898" spans="1:14" x14ac:dyDescent="0.35">
      <c r="A2898">
        <v>2897</v>
      </c>
      <c r="B2898" t="s">
        <v>16</v>
      </c>
      <c r="C2898">
        <v>34</v>
      </c>
      <c r="D2898" t="s">
        <v>26</v>
      </c>
      <c r="E2898" t="s">
        <v>22</v>
      </c>
      <c r="F2898">
        <v>297</v>
      </c>
      <c r="G2898">
        <v>56</v>
      </c>
      <c r="H2898">
        <v>0.49</v>
      </c>
      <c r="I2898" t="s">
        <v>15</v>
      </c>
      <c r="J2898">
        <v>0</v>
      </c>
      <c r="K2898">
        <v>1</v>
      </c>
      <c r="L2898">
        <v>0</v>
      </c>
      <c r="M2898">
        <f>VLOOKUP(Table1[[#This Row],[subscription_type]],Plans!$A$1:$B$5,2,FALSE)</f>
        <v>9.99</v>
      </c>
      <c r="N2898">
        <f t="shared" si="45"/>
        <v>0</v>
      </c>
    </row>
    <row r="2899" spans="1:14" x14ac:dyDescent="0.35">
      <c r="A2899">
        <v>2898</v>
      </c>
      <c r="B2899" t="s">
        <v>20</v>
      </c>
      <c r="C2899">
        <v>49</v>
      </c>
      <c r="D2899" t="s">
        <v>13</v>
      </c>
      <c r="E2899" t="s">
        <v>18</v>
      </c>
      <c r="F2899">
        <v>192</v>
      </c>
      <c r="G2899">
        <v>26</v>
      </c>
      <c r="H2899">
        <v>0.21</v>
      </c>
      <c r="I2899" t="s">
        <v>19</v>
      </c>
      <c r="J2899">
        <v>0</v>
      </c>
      <c r="K2899">
        <v>1</v>
      </c>
      <c r="L2899">
        <v>0</v>
      </c>
      <c r="M2899">
        <f>VLOOKUP(Table1[[#This Row],[subscription_type]],Plans!$A$1:$B$5,2,FALSE)</f>
        <v>14.99</v>
      </c>
      <c r="N2899">
        <f t="shared" si="45"/>
        <v>0</v>
      </c>
    </row>
    <row r="2900" spans="1:14" x14ac:dyDescent="0.35">
      <c r="A2900">
        <v>2899</v>
      </c>
      <c r="B2900" t="s">
        <v>12</v>
      </c>
      <c r="C2900">
        <v>45</v>
      </c>
      <c r="D2900" t="s">
        <v>28</v>
      </c>
      <c r="E2900" t="s">
        <v>18</v>
      </c>
      <c r="F2900">
        <v>83</v>
      </c>
      <c r="G2900">
        <v>55</v>
      </c>
      <c r="H2900">
        <v>0.56999999999999995</v>
      </c>
      <c r="I2900" t="s">
        <v>19</v>
      </c>
      <c r="J2900">
        <v>0</v>
      </c>
      <c r="K2900">
        <v>1</v>
      </c>
      <c r="L2900">
        <v>0</v>
      </c>
      <c r="M2900">
        <f>VLOOKUP(Table1[[#This Row],[subscription_type]],Plans!$A$1:$B$5,2,FALSE)</f>
        <v>14.99</v>
      </c>
      <c r="N2900">
        <f t="shared" si="45"/>
        <v>0</v>
      </c>
    </row>
    <row r="2901" spans="1:14" x14ac:dyDescent="0.35">
      <c r="A2901">
        <v>2900</v>
      </c>
      <c r="B2901" t="s">
        <v>20</v>
      </c>
      <c r="C2901">
        <v>54</v>
      </c>
      <c r="D2901" t="s">
        <v>25</v>
      </c>
      <c r="E2901" t="s">
        <v>22</v>
      </c>
      <c r="F2901">
        <v>223</v>
      </c>
      <c r="G2901">
        <v>73</v>
      </c>
      <c r="H2901">
        <v>0.36</v>
      </c>
      <c r="I2901" t="s">
        <v>23</v>
      </c>
      <c r="J2901">
        <v>0</v>
      </c>
      <c r="K2901">
        <v>1</v>
      </c>
      <c r="L2901">
        <v>0</v>
      </c>
      <c r="M2901">
        <f>VLOOKUP(Table1[[#This Row],[subscription_type]],Plans!$A$1:$B$5,2,FALSE)</f>
        <v>9.99</v>
      </c>
      <c r="N2901">
        <f t="shared" si="45"/>
        <v>0</v>
      </c>
    </row>
    <row r="2902" spans="1:14" x14ac:dyDescent="0.35">
      <c r="A2902">
        <v>2901</v>
      </c>
      <c r="B2902" t="s">
        <v>16</v>
      </c>
      <c r="C2902">
        <v>26</v>
      </c>
      <c r="D2902" t="s">
        <v>27</v>
      </c>
      <c r="E2902" t="s">
        <v>24</v>
      </c>
      <c r="F2902">
        <v>105</v>
      </c>
      <c r="G2902">
        <v>39</v>
      </c>
      <c r="H2902">
        <v>0.19</v>
      </c>
      <c r="I2902" t="s">
        <v>19</v>
      </c>
      <c r="J2902">
        <v>0</v>
      </c>
      <c r="K2902">
        <v>1</v>
      </c>
      <c r="L2902">
        <v>0</v>
      </c>
      <c r="M2902">
        <f>VLOOKUP(Table1[[#This Row],[subscription_type]],Plans!$A$1:$B$5,2,FALSE)</f>
        <v>4.99</v>
      </c>
      <c r="N2902">
        <f t="shared" si="45"/>
        <v>0</v>
      </c>
    </row>
    <row r="2903" spans="1:14" x14ac:dyDescent="0.35">
      <c r="A2903">
        <v>2902</v>
      </c>
      <c r="B2903" t="s">
        <v>16</v>
      </c>
      <c r="C2903">
        <v>58</v>
      </c>
      <c r="D2903" t="s">
        <v>13</v>
      </c>
      <c r="E2903" t="s">
        <v>22</v>
      </c>
      <c r="F2903">
        <v>215</v>
      </c>
      <c r="G2903">
        <v>14</v>
      </c>
      <c r="H2903">
        <v>0.41</v>
      </c>
      <c r="I2903" t="s">
        <v>23</v>
      </c>
      <c r="J2903">
        <v>0</v>
      </c>
      <c r="K2903">
        <v>1</v>
      </c>
      <c r="L2903">
        <v>0</v>
      </c>
      <c r="M2903">
        <f>VLOOKUP(Table1[[#This Row],[subscription_type]],Plans!$A$1:$B$5,2,FALSE)</f>
        <v>9.99</v>
      </c>
      <c r="N2903">
        <f t="shared" si="45"/>
        <v>0</v>
      </c>
    </row>
    <row r="2904" spans="1:14" x14ac:dyDescent="0.35">
      <c r="A2904">
        <v>2903</v>
      </c>
      <c r="B2904" t="s">
        <v>12</v>
      </c>
      <c r="C2904">
        <v>29</v>
      </c>
      <c r="D2904" t="s">
        <v>27</v>
      </c>
      <c r="E2904" t="s">
        <v>14</v>
      </c>
      <c r="F2904">
        <v>212</v>
      </c>
      <c r="G2904">
        <v>94</v>
      </c>
      <c r="H2904">
        <v>0.47</v>
      </c>
      <c r="I2904" t="s">
        <v>15</v>
      </c>
      <c r="J2904">
        <v>5</v>
      </c>
      <c r="K2904">
        <v>0</v>
      </c>
      <c r="L2904">
        <v>1</v>
      </c>
      <c r="M2904">
        <f>VLOOKUP(Table1[[#This Row],[subscription_type]],Plans!$A$1:$B$5,2,FALSE)</f>
        <v>0</v>
      </c>
      <c r="N2904">
        <f t="shared" si="45"/>
        <v>0</v>
      </c>
    </row>
    <row r="2905" spans="1:14" x14ac:dyDescent="0.35">
      <c r="A2905">
        <v>2904</v>
      </c>
      <c r="B2905" t="s">
        <v>12</v>
      </c>
      <c r="C2905">
        <v>38</v>
      </c>
      <c r="D2905" t="s">
        <v>27</v>
      </c>
      <c r="E2905" t="s">
        <v>22</v>
      </c>
      <c r="F2905">
        <v>178</v>
      </c>
      <c r="G2905">
        <v>12</v>
      </c>
      <c r="H2905">
        <v>0.22</v>
      </c>
      <c r="I2905" t="s">
        <v>15</v>
      </c>
      <c r="J2905">
        <v>0</v>
      </c>
      <c r="K2905">
        <v>1</v>
      </c>
      <c r="L2905">
        <v>0</v>
      </c>
      <c r="M2905">
        <f>VLOOKUP(Table1[[#This Row],[subscription_type]],Plans!$A$1:$B$5,2,FALSE)</f>
        <v>9.99</v>
      </c>
      <c r="N2905">
        <f t="shared" si="45"/>
        <v>0</v>
      </c>
    </row>
    <row r="2906" spans="1:14" x14ac:dyDescent="0.35">
      <c r="A2906">
        <v>2905</v>
      </c>
      <c r="B2906" t="s">
        <v>12</v>
      </c>
      <c r="C2906">
        <v>50</v>
      </c>
      <c r="D2906" t="s">
        <v>25</v>
      </c>
      <c r="E2906" t="s">
        <v>22</v>
      </c>
      <c r="F2906">
        <v>158</v>
      </c>
      <c r="G2906">
        <v>61</v>
      </c>
      <c r="H2906">
        <v>0.25</v>
      </c>
      <c r="I2906" t="s">
        <v>23</v>
      </c>
      <c r="J2906">
        <v>0</v>
      </c>
      <c r="K2906">
        <v>1</v>
      </c>
      <c r="L2906">
        <v>0</v>
      </c>
      <c r="M2906">
        <f>VLOOKUP(Table1[[#This Row],[subscription_type]],Plans!$A$1:$B$5,2,FALSE)</f>
        <v>9.99</v>
      </c>
      <c r="N2906">
        <f t="shared" si="45"/>
        <v>0</v>
      </c>
    </row>
    <row r="2907" spans="1:14" x14ac:dyDescent="0.35">
      <c r="A2907">
        <v>2906</v>
      </c>
      <c r="B2907" t="s">
        <v>12</v>
      </c>
      <c r="C2907">
        <v>24</v>
      </c>
      <c r="D2907" t="s">
        <v>26</v>
      </c>
      <c r="E2907" t="s">
        <v>14</v>
      </c>
      <c r="F2907">
        <v>15</v>
      </c>
      <c r="G2907">
        <v>86</v>
      </c>
      <c r="H2907">
        <v>0.54</v>
      </c>
      <c r="I2907" t="s">
        <v>19</v>
      </c>
      <c r="J2907">
        <v>38</v>
      </c>
      <c r="K2907">
        <v>0</v>
      </c>
      <c r="L2907">
        <v>0</v>
      </c>
      <c r="M2907">
        <f>VLOOKUP(Table1[[#This Row],[subscription_type]],Plans!$A$1:$B$5,2,FALSE)</f>
        <v>0</v>
      </c>
      <c r="N2907">
        <f t="shared" si="45"/>
        <v>0</v>
      </c>
    </row>
    <row r="2908" spans="1:14" x14ac:dyDescent="0.35">
      <c r="A2908">
        <v>2907</v>
      </c>
      <c r="B2908" t="s">
        <v>12</v>
      </c>
      <c r="C2908">
        <v>39</v>
      </c>
      <c r="D2908" t="s">
        <v>29</v>
      </c>
      <c r="E2908" t="s">
        <v>14</v>
      </c>
      <c r="F2908">
        <v>247</v>
      </c>
      <c r="G2908">
        <v>41</v>
      </c>
      <c r="H2908">
        <v>0.17</v>
      </c>
      <c r="I2908" t="s">
        <v>15</v>
      </c>
      <c r="J2908">
        <v>23</v>
      </c>
      <c r="K2908">
        <v>0</v>
      </c>
      <c r="L2908">
        <v>0</v>
      </c>
      <c r="M2908">
        <f>VLOOKUP(Table1[[#This Row],[subscription_type]],Plans!$A$1:$B$5,2,FALSE)</f>
        <v>0</v>
      </c>
      <c r="N2908">
        <f t="shared" si="45"/>
        <v>0</v>
      </c>
    </row>
    <row r="2909" spans="1:14" x14ac:dyDescent="0.35">
      <c r="A2909">
        <v>2908</v>
      </c>
      <c r="B2909" t="s">
        <v>16</v>
      </c>
      <c r="C2909">
        <v>16</v>
      </c>
      <c r="D2909" t="s">
        <v>28</v>
      </c>
      <c r="E2909" t="s">
        <v>18</v>
      </c>
      <c r="F2909">
        <v>153</v>
      </c>
      <c r="G2909">
        <v>14</v>
      </c>
      <c r="H2909">
        <v>0.46</v>
      </c>
      <c r="I2909" t="s">
        <v>23</v>
      </c>
      <c r="J2909">
        <v>0</v>
      </c>
      <c r="K2909">
        <v>1</v>
      </c>
      <c r="L2909">
        <v>0</v>
      </c>
      <c r="M2909">
        <f>VLOOKUP(Table1[[#This Row],[subscription_type]],Plans!$A$1:$B$5,2,FALSE)</f>
        <v>14.99</v>
      </c>
      <c r="N2909">
        <f t="shared" si="45"/>
        <v>0</v>
      </c>
    </row>
    <row r="2910" spans="1:14" x14ac:dyDescent="0.35">
      <c r="A2910">
        <v>2909</v>
      </c>
      <c r="B2910" t="s">
        <v>12</v>
      </c>
      <c r="C2910">
        <v>22</v>
      </c>
      <c r="D2910" t="s">
        <v>28</v>
      </c>
      <c r="E2910" t="s">
        <v>14</v>
      </c>
      <c r="F2910">
        <v>245</v>
      </c>
      <c r="G2910">
        <v>50</v>
      </c>
      <c r="H2910">
        <v>0.01</v>
      </c>
      <c r="I2910" t="s">
        <v>19</v>
      </c>
      <c r="J2910">
        <v>47</v>
      </c>
      <c r="K2910">
        <v>0</v>
      </c>
      <c r="L2910">
        <v>0</v>
      </c>
      <c r="M2910">
        <f>VLOOKUP(Table1[[#This Row],[subscription_type]],Plans!$A$1:$B$5,2,FALSE)</f>
        <v>0</v>
      </c>
      <c r="N2910">
        <f t="shared" si="45"/>
        <v>0</v>
      </c>
    </row>
    <row r="2911" spans="1:14" x14ac:dyDescent="0.35">
      <c r="A2911">
        <v>2910</v>
      </c>
      <c r="B2911" t="s">
        <v>20</v>
      </c>
      <c r="C2911">
        <v>57</v>
      </c>
      <c r="D2911" t="s">
        <v>25</v>
      </c>
      <c r="E2911" t="s">
        <v>24</v>
      </c>
      <c r="F2911">
        <v>203</v>
      </c>
      <c r="G2911">
        <v>42</v>
      </c>
      <c r="H2911">
        <v>0.15</v>
      </c>
      <c r="I2911" t="s">
        <v>15</v>
      </c>
      <c r="J2911">
        <v>0</v>
      </c>
      <c r="K2911">
        <v>1</v>
      </c>
      <c r="L2911">
        <v>1</v>
      </c>
      <c r="M2911">
        <f>VLOOKUP(Table1[[#This Row],[subscription_type]],Plans!$A$1:$B$5,2,FALSE)</f>
        <v>4.99</v>
      </c>
      <c r="N2911">
        <f t="shared" si="45"/>
        <v>4.99</v>
      </c>
    </row>
    <row r="2912" spans="1:14" x14ac:dyDescent="0.35">
      <c r="A2912">
        <v>2911</v>
      </c>
      <c r="B2912" t="s">
        <v>16</v>
      </c>
      <c r="C2912">
        <v>28</v>
      </c>
      <c r="D2912" t="s">
        <v>29</v>
      </c>
      <c r="E2912" t="s">
        <v>14</v>
      </c>
      <c r="F2912">
        <v>78</v>
      </c>
      <c r="G2912">
        <v>55</v>
      </c>
      <c r="H2912">
        <v>0.56999999999999995</v>
      </c>
      <c r="I2912" t="s">
        <v>15</v>
      </c>
      <c r="J2912">
        <v>9</v>
      </c>
      <c r="K2912">
        <v>0</v>
      </c>
      <c r="L2912">
        <v>1</v>
      </c>
      <c r="M2912">
        <f>VLOOKUP(Table1[[#This Row],[subscription_type]],Plans!$A$1:$B$5,2,FALSE)</f>
        <v>0</v>
      </c>
      <c r="N2912">
        <f t="shared" si="45"/>
        <v>0</v>
      </c>
    </row>
    <row r="2913" spans="1:14" x14ac:dyDescent="0.35">
      <c r="A2913">
        <v>2912</v>
      </c>
      <c r="B2913" t="s">
        <v>16</v>
      </c>
      <c r="C2913">
        <v>48</v>
      </c>
      <c r="D2913" t="s">
        <v>26</v>
      </c>
      <c r="E2913" t="s">
        <v>22</v>
      </c>
      <c r="F2913">
        <v>108</v>
      </c>
      <c r="G2913">
        <v>86</v>
      </c>
      <c r="H2913">
        <v>0.35</v>
      </c>
      <c r="I2913" t="s">
        <v>23</v>
      </c>
      <c r="J2913">
        <v>0</v>
      </c>
      <c r="K2913">
        <v>1</v>
      </c>
      <c r="L2913">
        <v>0</v>
      </c>
      <c r="M2913">
        <f>VLOOKUP(Table1[[#This Row],[subscription_type]],Plans!$A$1:$B$5,2,FALSE)</f>
        <v>9.99</v>
      </c>
      <c r="N2913">
        <f t="shared" si="45"/>
        <v>0</v>
      </c>
    </row>
    <row r="2914" spans="1:14" x14ac:dyDescent="0.35">
      <c r="A2914">
        <v>2913</v>
      </c>
      <c r="B2914" t="s">
        <v>12</v>
      </c>
      <c r="C2914">
        <v>48</v>
      </c>
      <c r="D2914" t="s">
        <v>28</v>
      </c>
      <c r="E2914" t="s">
        <v>18</v>
      </c>
      <c r="F2914">
        <v>47</v>
      </c>
      <c r="G2914">
        <v>86</v>
      </c>
      <c r="H2914">
        <v>0.57999999999999996</v>
      </c>
      <c r="I2914" t="s">
        <v>19</v>
      </c>
      <c r="J2914">
        <v>0</v>
      </c>
      <c r="K2914">
        <v>1</v>
      </c>
      <c r="L2914">
        <v>0</v>
      </c>
      <c r="M2914">
        <f>VLOOKUP(Table1[[#This Row],[subscription_type]],Plans!$A$1:$B$5,2,FALSE)</f>
        <v>14.99</v>
      </c>
      <c r="N2914">
        <f t="shared" si="45"/>
        <v>0</v>
      </c>
    </row>
    <row r="2915" spans="1:14" x14ac:dyDescent="0.35">
      <c r="A2915">
        <v>2914</v>
      </c>
      <c r="B2915" t="s">
        <v>16</v>
      </c>
      <c r="C2915">
        <v>46</v>
      </c>
      <c r="D2915" t="s">
        <v>25</v>
      </c>
      <c r="E2915" t="s">
        <v>18</v>
      </c>
      <c r="F2915">
        <v>145</v>
      </c>
      <c r="G2915">
        <v>13</v>
      </c>
      <c r="H2915">
        <v>0.55000000000000004</v>
      </c>
      <c r="I2915" t="s">
        <v>23</v>
      </c>
      <c r="J2915">
        <v>0</v>
      </c>
      <c r="K2915">
        <v>1</v>
      </c>
      <c r="L2915">
        <v>0</v>
      </c>
      <c r="M2915">
        <f>VLOOKUP(Table1[[#This Row],[subscription_type]],Plans!$A$1:$B$5,2,FALSE)</f>
        <v>14.99</v>
      </c>
      <c r="N2915">
        <f t="shared" si="45"/>
        <v>0</v>
      </c>
    </row>
    <row r="2916" spans="1:14" x14ac:dyDescent="0.35">
      <c r="A2916">
        <v>2915</v>
      </c>
      <c r="B2916" t="s">
        <v>12</v>
      </c>
      <c r="C2916">
        <v>46</v>
      </c>
      <c r="D2916" t="s">
        <v>13</v>
      </c>
      <c r="E2916" t="s">
        <v>22</v>
      </c>
      <c r="F2916">
        <v>81</v>
      </c>
      <c r="G2916">
        <v>66</v>
      </c>
      <c r="H2916">
        <v>0.34</v>
      </c>
      <c r="I2916" t="s">
        <v>15</v>
      </c>
      <c r="J2916">
        <v>0</v>
      </c>
      <c r="K2916">
        <v>1</v>
      </c>
      <c r="L2916">
        <v>1</v>
      </c>
      <c r="M2916">
        <f>VLOOKUP(Table1[[#This Row],[subscription_type]],Plans!$A$1:$B$5,2,FALSE)</f>
        <v>9.99</v>
      </c>
      <c r="N2916">
        <f t="shared" si="45"/>
        <v>9.99</v>
      </c>
    </row>
    <row r="2917" spans="1:14" x14ac:dyDescent="0.35">
      <c r="A2917">
        <v>2916</v>
      </c>
      <c r="B2917" t="s">
        <v>16</v>
      </c>
      <c r="C2917">
        <v>36</v>
      </c>
      <c r="D2917" t="s">
        <v>25</v>
      </c>
      <c r="E2917" t="s">
        <v>18</v>
      </c>
      <c r="F2917">
        <v>32</v>
      </c>
      <c r="G2917">
        <v>98</v>
      </c>
      <c r="H2917">
        <v>0.54</v>
      </c>
      <c r="I2917" t="s">
        <v>19</v>
      </c>
      <c r="J2917">
        <v>0</v>
      </c>
      <c r="K2917">
        <v>1</v>
      </c>
      <c r="L2917">
        <v>0</v>
      </c>
      <c r="M2917">
        <f>VLOOKUP(Table1[[#This Row],[subscription_type]],Plans!$A$1:$B$5,2,FALSE)</f>
        <v>14.99</v>
      </c>
      <c r="N2917">
        <f t="shared" si="45"/>
        <v>0</v>
      </c>
    </row>
    <row r="2918" spans="1:14" x14ac:dyDescent="0.35">
      <c r="A2918">
        <v>2917</v>
      </c>
      <c r="B2918" t="s">
        <v>20</v>
      </c>
      <c r="C2918">
        <v>37</v>
      </c>
      <c r="D2918" t="s">
        <v>26</v>
      </c>
      <c r="E2918" t="s">
        <v>24</v>
      </c>
      <c r="F2918">
        <v>242</v>
      </c>
      <c r="G2918">
        <v>56</v>
      </c>
      <c r="H2918">
        <v>0.37</v>
      </c>
      <c r="I2918" t="s">
        <v>15</v>
      </c>
      <c r="J2918">
        <v>0</v>
      </c>
      <c r="K2918">
        <v>1</v>
      </c>
      <c r="L2918">
        <v>0</v>
      </c>
      <c r="M2918">
        <f>VLOOKUP(Table1[[#This Row],[subscription_type]],Plans!$A$1:$B$5,2,FALSE)</f>
        <v>4.99</v>
      </c>
      <c r="N2918">
        <f t="shared" si="45"/>
        <v>0</v>
      </c>
    </row>
    <row r="2919" spans="1:14" x14ac:dyDescent="0.35">
      <c r="A2919">
        <v>2918</v>
      </c>
      <c r="B2919" t="s">
        <v>16</v>
      </c>
      <c r="C2919">
        <v>25</v>
      </c>
      <c r="D2919" t="s">
        <v>27</v>
      </c>
      <c r="E2919" t="s">
        <v>14</v>
      </c>
      <c r="F2919">
        <v>177</v>
      </c>
      <c r="G2919">
        <v>10</v>
      </c>
      <c r="H2919">
        <v>0.06</v>
      </c>
      <c r="I2919" t="s">
        <v>19</v>
      </c>
      <c r="J2919">
        <v>35</v>
      </c>
      <c r="K2919">
        <v>0</v>
      </c>
      <c r="L2919">
        <v>0</v>
      </c>
      <c r="M2919">
        <f>VLOOKUP(Table1[[#This Row],[subscription_type]],Plans!$A$1:$B$5,2,FALSE)</f>
        <v>0</v>
      </c>
      <c r="N2919">
        <f t="shared" si="45"/>
        <v>0</v>
      </c>
    </row>
    <row r="2920" spans="1:14" x14ac:dyDescent="0.35">
      <c r="A2920">
        <v>2919</v>
      </c>
      <c r="B2920" t="s">
        <v>12</v>
      </c>
      <c r="C2920">
        <v>21</v>
      </c>
      <c r="D2920" t="s">
        <v>25</v>
      </c>
      <c r="E2920" t="s">
        <v>22</v>
      </c>
      <c r="F2920">
        <v>283</v>
      </c>
      <c r="G2920">
        <v>26</v>
      </c>
      <c r="H2920">
        <v>0.09</v>
      </c>
      <c r="I2920" t="s">
        <v>23</v>
      </c>
      <c r="J2920">
        <v>0</v>
      </c>
      <c r="K2920">
        <v>1</v>
      </c>
      <c r="L2920">
        <v>0</v>
      </c>
      <c r="M2920">
        <f>VLOOKUP(Table1[[#This Row],[subscription_type]],Plans!$A$1:$B$5,2,FALSE)</f>
        <v>9.99</v>
      </c>
      <c r="N2920">
        <f t="shared" si="45"/>
        <v>0</v>
      </c>
    </row>
    <row r="2921" spans="1:14" x14ac:dyDescent="0.35">
      <c r="A2921">
        <v>2920</v>
      </c>
      <c r="B2921" t="s">
        <v>20</v>
      </c>
      <c r="C2921">
        <v>29</v>
      </c>
      <c r="D2921" t="s">
        <v>25</v>
      </c>
      <c r="E2921" t="s">
        <v>22</v>
      </c>
      <c r="F2921">
        <v>261</v>
      </c>
      <c r="G2921">
        <v>91</v>
      </c>
      <c r="H2921">
        <v>0.36</v>
      </c>
      <c r="I2921" t="s">
        <v>23</v>
      </c>
      <c r="J2921">
        <v>0</v>
      </c>
      <c r="K2921">
        <v>1</v>
      </c>
      <c r="L2921">
        <v>1</v>
      </c>
      <c r="M2921">
        <f>VLOOKUP(Table1[[#This Row],[subscription_type]],Plans!$A$1:$B$5,2,FALSE)</f>
        <v>9.99</v>
      </c>
      <c r="N2921">
        <f t="shared" si="45"/>
        <v>9.99</v>
      </c>
    </row>
    <row r="2922" spans="1:14" x14ac:dyDescent="0.35">
      <c r="A2922">
        <v>2921</v>
      </c>
      <c r="B2922" t="s">
        <v>12</v>
      </c>
      <c r="C2922">
        <v>52</v>
      </c>
      <c r="D2922" t="s">
        <v>27</v>
      </c>
      <c r="E2922" t="s">
        <v>22</v>
      </c>
      <c r="F2922">
        <v>158</v>
      </c>
      <c r="G2922">
        <v>22</v>
      </c>
      <c r="H2922">
        <v>0.32</v>
      </c>
      <c r="I2922" t="s">
        <v>15</v>
      </c>
      <c r="J2922">
        <v>0</v>
      </c>
      <c r="K2922">
        <v>1</v>
      </c>
      <c r="L2922">
        <v>0</v>
      </c>
      <c r="M2922">
        <f>VLOOKUP(Table1[[#This Row],[subscription_type]],Plans!$A$1:$B$5,2,FALSE)</f>
        <v>9.99</v>
      </c>
      <c r="N2922">
        <f t="shared" si="45"/>
        <v>0</v>
      </c>
    </row>
    <row r="2923" spans="1:14" x14ac:dyDescent="0.35">
      <c r="A2923">
        <v>2922</v>
      </c>
      <c r="B2923" t="s">
        <v>20</v>
      </c>
      <c r="C2923">
        <v>30</v>
      </c>
      <c r="D2923" t="s">
        <v>13</v>
      </c>
      <c r="E2923" t="s">
        <v>22</v>
      </c>
      <c r="F2923">
        <v>248</v>
      </c>
      <c r="G2923">
        <v>29</v>
      </c>
      <c r="H2923">
        <v>0.49</v>
      </c>
      <c r="I2923" t="s">
        <v>23</v>
      </c>
      <c r="J2923">
        <v>0</v>
      </c>
      <c r="K2923">
        <v>1</v>
      </c>
      <c r="L2923">
        <v>0</v>
      </c>
      <c r="M2923">
        <f>VLOOKUP(Table1[[#This Row],[subscription_type]],Plans!$A$1:$B$5,2,FALSE)</f>
        <v>9.99</v>
      </c>
      <c r="N2923">
        <f t="shared" si="45"/>
        <v>0</v>
      </c>
    </row>
    <row r="2924" spans="1:14" x14ac:dyDescent="0.35">
      <c r="A2924">
        <v>2923</v>
      </c>
      <c r="B2924" t="s">
        <v>16</v>
      </c>
      <c r="C2924">
        <v>26</v>
      </c>
      <c r="D2924" t="s">
        <v>25</v>
      </c>
      <c r="E2924" t="s">
        <v>14</v>
      </c>
      <c r="F2924">
        <v>174</v>
      </c>
      <c r="G2924">
        <v>54</v>
      </c>
      <c r="H2924">
        <v>0.18</v>
      </c>
      <c r="I2924" t="s">
        <v>23</v>
      </c>
      <c r="J2924">
        <v>8</v>
      </c>
      <c r="K2924">
        <v>0</v>
      </c>
      <c r="L2924">
        <v>0</v>
      </c>
      <c r="M2924">
        <f>VLOOKUP(Table1[[#This Row],[subscription_type]],Plans!$A$1:$B$5,2,FALSE)</f>
        <v>0</v>
      </c>
      <c r="N2924">
        <f t="shared" si="45"/>
        <v>0</v>
      </c>
    </row>
    <row r="2925" spans="1:14" x14ac:dyDescent="0.35">
      <c r="A2925">
        <v>2924</v>
      </c>
      <c r="B2925" t="s">
        <v>16</v>
      </c>
      <c r="C2925">
        <v>16</v>
      </c>
      <c r="D2925" t="s">
        <v>26</v>
      </c>
      <c r="E2925" t="s">
        <v>14</v>
      </c>
      <c r="F2925">
        <v>184</v>
      </c>
      <c r="G2925">
        <v>56</v>
      </c>
      <c r="H2925">
        <v>0.52</v>
      </c>
      <c r="I2925" t="s">
        <v>23</v>
      </c>
      <c r="J2925">
        <v>12</v>
      </c>
      <c r="K2925">
        <v>0</v>
      </c>
      <c r="L2925">
        <v>1</v>
      </c>
      <c r="M2925">
        <f>VLOOKUP(Table1[[#This Row],[subscription_type]],Plans!$A$1:$B$5,2,FALSE)</f>
        <v>0</v>
      </c>
      <c r="N2925">
        <f t="shared" si="45"/>
        <v>0</v>
      </c>
    </row>
    <row r="2926" spans="1:14" x14ac:dyDescent="0.35">
      <c r="A2926">
        <v>2925</v>
      </c>
      <c r="B2926" t="s">
        <v>12</v>
      </c>
      <c r="C2926">
        <v>42</v>
      </c>
      <c r="D2926" t="s">
        <v>27</v>
      </c>
      <c r="E2926" t="s">
        <v>24</v>
      </c>
      <c r="F2926">
        <v>101</v>
      </c>
      <c r="G2926">
        <v>58</v>
      </c>
      <c r="H2926">
        <v>0.48</v>
      </c>
      <c r="I2926" t="s">
        <v>23</v>
      </c>
      <c r="J2926">
        <v>0</v>
      </c>
      <c r="K2926">
        <v>1</v>
      </c>
      <c r="L2926">
        <v>0</v>
      </c>
      <c r="M2926">
        <f>VLOOKUP(Table1[[#This Row],[subscription_type]],Plans!$A$1:$B$5,2,FALSE)</f>
        <v>4.99</v>
      </c>
      <c r="N2926">
        <f t="shared" si="45"/>
        <v>0</v>
      </c>
    </row>
    <row r="2927" spans="1:14" x14ac:dyDescent="0.35">
      <c r="A2927">
        <v>2926</v>
      </c>
      <c r="B2927" t="s">
        <v>20</v>
      </c>
      <c r="C2927">
        <v>59</v>
      </c>
      <c r="D2927" t="s">
        <v>21</v>
      </c>
      <c r="E2927" t="s">
        <v>18</v>
      </c>
      <c r="F2927">
        <v>33</v>
      </c>
      <c r="G2927">
        <v>10</v>
      </c>
      <c r="H2927">
        <v>0.52</v>
      </c>
      <c r="I2927" t="s">
        <v>15</v>
      </c>
      <c r="J2927">
        <v>0</v>
      </c>
      <c r="K2927">
        <v>1</v>
      </c>
      <c r="L2927">
        <v>0</v>
      </c>
      <c r="M2927">
        <f>VLOOKUP(Table1[[#This Row],[subscription_type]],Plans!$A$1:$B$5,2,FALSE)</f>
        <v>14.99</v>
      </c>
      <c r="N2927">
        <f t="shared" si="45"/>
        <v>0</v>
      </c>
    </row>
    <row r="2928" spans="1:14" x14ac:dyDescent="0.35">
      <c r="A2928">
        <v>2927</v>
      </c>
      <c r="B2928" t="s">
        <v>20</v>
      </c>
      <c r="C2928">
        <v>48</v>
      </c>
      <c r="D2928" t="s">
        <v>25</v>
      </c>
      <c r="E2928" t="s">
        <v>18</v>
      </c>
      <c r="F2928">
        <v>228</v>
      </c>
      <c r="G2928">
        <v>56</v>
      </c>
      <c r="H2928">
        <v>0.41</v>
      </c>
      <c r="I2928" t="s">
        <v>15</v>
      </c>
      <c r="J2928">
        <v>0</v>
      </c>
      <c r="K2928">
        <v>1</v>
      </c>
      <c r="L2928">
        <v>1</v>
      </c>
      <c r="M2928">
        <f>VLOOKUP(Table1[[#This Row],[subscription_type]],Plans!$A$1:$B$5,2,FALSE)</f>
        <v>14.99</v>
      </c>
      <c r="N2928">
        <f t="shared" si="45"/>
        <v>14.99</v>
      </c>
    </row>
    <row r="2929" spans="1:14" x14ac:dyDescent="0.35">
      <c r="A2929">
        <v>2928</v>
      </c>
      <c r="B2929" t="s">
        <v>16</v>
      </c>
      <c r="C2929">
        <v>25</v>
      </c>
      <c r="D2929" t="s">
        <v>21</v>
      </c>
      <c r="E2929" t="s">
        <v>18</v>
      </c>
      <c r="F2929">
        <v>216</v>
      </c>
      <c r="G2929">
        <v>91</v>
      </c>
      <c r="H2929">
        <v>0.13</v>
      </c>
      <c r="I2929" t="s">
        <v>19</v>
      </c>
      <c r="J2929">
        <v>0</v>
      </c>
      <c r="K2929">
        <v>1</v>
      </c>
      <c r="L2929">
        <v>0</v>
      </c>
      <c r="M2929">
        <f>VLOOKUP(Table1[[#This Row],[subscription_type]],Plans!$A$1:$B$5,2,FALSE)</f>
        <v>14.99</v>
      </c>
      <c r="N2929">
        <f t="shared" si="45"/>
        <v>0</v>
      </c>
    </row>
    <row r="2930" spans="1:14" x14ac:dyDescent="0.35">
      <c r="A2930">
        <v>2929</v>
      </c>
      <c r="B2930" t="s">
        <v>12</v>
      </c>
      <c r="C2930">
        <v>47</v>
      </c>
      <c r="D2930" t="s">
        <v>13</v>
      </c>
      <c r="E2930" t="s">
        <v>18</v>
      </c>
      <c r="F2930">
        <v>297</v>
      </c>
      <c r="G2930">
        <v>71</v>
      </c>
      <c r="H2930">
        <v>0.13</v>
      </c>
      <c r="I2930" t="s">
        <v>19</v>
      </c>
      <c r="J2930">
        <v>0</v>
      </c>
      <c r="K2930">
        <v>1</v>
      </c>
      <c r="L2930">
        <v>0</v>
      </c>
      <c r="M2930">
        <f>VLOOKUP(Table1[[#This Row],[subscription_type]],Plans!$A$1:$B$5,2,FALSE)</f>
        <v>14.99</v>
      </c>
      <c r="N2930">
        <f t="shared" si="45"/>
        <v>0</v>
      </c>
    </row>
    <row r="2931" spans="1:14" x14ac:dyDescent="0.35">
      <c r="A2931">
        <v>2930</v>
      </c>
      <c r="B2931" t="s">
        <v>12</v>
      </c>
      <c r="C2931">
        <v>25</v>
      </c>
      <c r="D2931" t="s">
        <v>21</v>
      </c>
      <c r="E2931" t="s">
        <v>14</v>
      </c>
      <c r="F2931">
        <v>198</v>
      </c>
      <c r="G2931">
        <v>5</v>
      </c>
      <c r="H2931">
        <v>0.1</v>
      </c>
      <c r="I2931" t="s">
        <v>15</v>
      </c>
      <c r="J2931">
        <v>14</v>
      </c>
      <c r="K2931">
        <v>0</v>
      </c>
      <c r="L2931">
        <v>0</v>
      </c>
      <c r="M2931">
        <f>VLOOKUP(Table1[[#This Row],[subscription_type]],Plans!$A$1:$B$5,2,FALSE)</f>
        <v>0</v>
      </c>
      <c r="N2931">
        <f t="shared" si="45"/>
        <v>0</v>
      </c>
    </row>
    <row r="2932" spans="1:14" x14ac:dyDescent="0.35">
      <c r="A2932">
        <v>2931</v>
      </c>
      <c r="B2932" t="s">
        <v>16</v>
      </c>
      <c r="C2932">
        <v>30</v>
      </c>
      <c r="D2932" t="s">
        <v>25</v>
      </c>
      <c r="E2932" t="s">
        <v>24</v>
      </c>
      <c r="F2932">
        <v>28</v>
      </c>
      <c r="G2932">
        <v>72</v>
      </c>
      <c r="H2932">
        <v>0.46</v>
      </c>
      <c r="I2932" t="s">
        <v>23</v>
      </c>
      <c r="J2932">
        <v>0</v>
      </c>
      <c r="K2932">
        <v>1</v>
      </c>
      <c r="L2932">
        <v>0</v>
      </c>
      <c r="M2932">
        <f>VLOOKUP(Table1[[#This Row],[subscription_type]],Plans!$A$1:$B$5,2,FALSE)</f>
        <v>4.99</v>
      </c>
      <c r="N2932">
        <f t="shared" si="45"/>
        <v>0</v>
      </c>
    </row>
    <row r="2933" spans="1:14" x14ac:dyDescent="0.35">
      <c r="A2933">
        <v>2932</v>
      </c>
      <c r="B2933" t="s">
        <v>20</v>
      </c>
      <c r="C2933">
        <v>31</v>
      </c>
      <c r="D2933" t="s">
        <v>27</v>
      </c>
      <c r="E2933" t="s">
        <v>22</v>
      </c>
      <c r="F2933">
        <v>81</v>
      </c>
      <c r="G2933">
        <v>14</v>
      </c>
      <c r="H2933">
        <v>0.46</v>
      </c>
      <c r="I2933" t="s">
        <v>15</v>
      </c>
      <c r="J2933">
        <v>0</v>
      </c>
      <c r="K2933">
        <v>1</v>
      </c>
      <c r="L2933">
        <v>1</v>
      </c>
      <c r="M2933">
        <f>VLOOKUP(Table1[[#This Row],[subscription_type]],Plans!$A$1:$B$5,2,FALSE)</f>
        <v>9.99</v>
      </c>
      <c r="N2933">
        <f t="shared" si="45"/>
        <v>9.99</v>
      </c>
    </row>
    <row r="2934" spans="1:14" x14ac:dyDescent="0.35">
      <c r="A2934">
        <v>2933</v>
      </c>
      <c r="B2934" t="s">
        <v>12</v>
      </c>
      <c r="C2934">
        <v>37</v>
      </c>
      <c r="D2934" t="s">
        <v>29</v>
      </c>
      <c r="E2934" t="s">
        <v>22</v>
      </c>
      <c r="F2934">
        <v>237</v>
      </c>
      <c r="G2934">
        <v>97</v>
      </c>
      <c r="H2934">
        <v>0.53</v>
      </c>
      <c r="I2934" t="s">
        <v>23</v>
      </c>
      <c r="J2934">
        <v>0</v>
      </c>
      <c r="K2934">
        <v>1</v>
      </c>
      <c r="L2934">
        <v>0</v>
      </c>
      <c r="M2934">
        <f>VLOOKUP(Table1[[#This Row],[subscription_type]],Plans!$A$1:$B$5,2,FALSE)</f>
        <v>9.99</v>
      </c>
      <c r="N2934">
        <f t="shared" si="45"/>
        <v>0</v>
      </c>
    </row>
    <row r="2935" spans="1:14" x14ac:dyDescent="0.35">
      <c r="A2935">
        <v>2934</v>
      </c>
      <c r="B2935" t="s">
        <v>20</v>
      </c>
      <c r="C2935">
        <v>40</v>
      </c>
      <c r="D2935" t="s">
        <v>25</v>
      </c>
      <c r="E2935" t="s">
        <v>24</v>
      </c>
      <c r="F2935">
        <v>240</v>
      </c>
      <c r="G2935">
        <v>42</v>
      </c>
      <c r="H2935">
        <v>0.05</v>
      </c>
      <c r="I2935" t="s">
        <v>23</v>
      </c>
      <c r="J2935">
        <v>0</v>
      </c>
      <c r="K2935">
        <v>1</v>
      </c>
      <c r="L2935">
        <v>0</v>
      </c>
      <c r="M2935">
        <f>VLOOKUP(Table1[[#This Row],[subscription_type]],Plans!$A$1:$B$5,2,FALSE)</f>
        <v>4.99</v>
      </c>
      <c r="N2935">
        <f t="shared" si="45"/>
        <v>0</v>
      </c>
    </row>
    <row r="2936" spans="1:14" x14ac:dyDescent="0.35">
      <c r="A2936">
        <v>2935</v>
      </c>
      <c r="B2936" t="s">
        <v>16</v>
      </c>
      <c r="C2936">
        <v>24</v>
      </c>
      <c r="D2936" t="s">
        <v>17</v>
      </c>
      <c r="E2936" t="s">
        <v>14</v>
      </c>
      <c r="F2936">
        <v>163</v>
      </c>
      <c r="G2936">
        <v>9</v>
      </c>
      <c r="H2936">
        <v>0.22</v>
      </c>
      <c r="I2936" t="s">
        <v>19</v>
      </c>
      <c r="J2936">
        <v>25</v>
      </c>
      <c r="K2936">
        <v>0</v>
      </c>
      <c r="L2936">
        <v>0</v>
      </c>
      <c r="M2936">
        <f>VLOOKUP(Table1[[#This Row],[subscription_type]],Plans!$A$1:$B$5,2,FALSE)</f>
        <v>0</v>
      </c>
      <c r="N2936">
        <f t="shared" si="45"/>
        <v>0</v>
      </c>
    </row>
    <row r="2937" spans="1:14" x14ac:dyDescent="0.35">
      <c r="A2937">
        <v>2936</v>
      </c>
      <c r="B2937" t="s">
        <v>12</v>
      </c>
      <c r="C2937">
        <v>40</v>
      </c>
      <c r="D2937" t="s">
        <v>27</v>
      </c>
      <c r="E2937" t="s">
        <v>24</v>
      </c>
      <c r="F2937">
        <v>164</v>
      </c>
      <c r="G2937">
        <v>46</v>
      </c>
      <c r="H2937">
        <v>0.28000000000000003</v>
      </c>
      <c r="I2937" t="s">
        <v>19</v>
      </c>
      <c r="J2937">
        <v>0</v>
      </c>
      <c r="K2937">
        <v>1</v>
      </c>
      <c r="L2937">
        <v>0</v>
      </c>
      <c r="M2937">
        <f>VLOOKUP(Table1[[#This Row],[subscription_type]],Plans!$A$1:$B$5,2,FALSE)</f>
        <v>4.99</v>
      </c>
      <c r="N2937">
        <f t="shared" si="45"/>
        <v>0</v>
      </c>
    </row>
    <row r="2938" spans="1:14" x14ac:dyDescent="0.35">
      <c r="A2938">
        <v>2937</v>
      </c>
      <c r="B2938" t="s">
        <v>16</v>
      </c>
      <c r="C2938">
        <v>57</v>
      </c>
      <c r="D2938" t="s">
        <v>13</v>
      </c>
      <c r="E2938" t="s">
        <v>18</v>
      </c>
      <c r="F2938">
        <v>203</v>
      </c>
      <c r="G2938">
        <v>11</v>
      </c>
      <c r="H2938">
        <v>0.54</v>
      </c>
      <c r="I2938" t="s">
        <v>23</v>
      </c>
      <c r="J2938">
        <v>0</v>
      </c>
      <c r="K2938">
        <v>1</v>
      </c>
      <c r="L2938">
        <v>0</v>
      </c>
      <c r="M2938">
        <f>VLOOKUP(Table1[[#This Row],[subscription_type]],Plans!$A$1:$B$5,2,FALSE)</f>
        <v>14.99</v>
      </c>
      <c r="N2938">
        <f t="shared" si="45"/>
        <v>0</v>
      </c>
    </row>
    <row r="2939" spans="1:14" x14ac:dyDescent="0.35">
      <c r="A2939">
        <v>2938</v>
      </c>
      <c r="B2939" t="s">
        <v>16</v>
      </c>
      <c r="C2939">
        <v>40</v>
      </c>
      <c r="D2939" t="s">
        <v>29</v>
      </c>
      <c r="E2939" t="s">
        <v>22</v>
      </c>
      <c r="F2939">
        <v>61</v>
      </c>
      <c r="G2939">
        <v>28</v>
      </c>
      <c r="H2939">
        <v>0.49</v>
      </c>
      <c r="I2939" t="s">
        <v>23</v>
      </c>
      <c r="J2939">
        <v>0</v>
      </c>
      <c r="K2939">
        <v>1</v>
      </c>
      <c r="L2939">
        <v>1</v>
      </c>
      <c r="M2939">
        <f>VLOOKUP(Table1[[#This Row],[subscription_type]],Plans!$A$1:$B$5,2,FALSE)</f>
        <v>9.99</v>
      </c>
      <c r="N2939">
        <f t="shared" si="45"/>
        <v>9.99</v>
      </c>
    </row>
    <row r="2940" spans="1:14" x14ac:dyDescent="0.35">
      <c r="A2940">
        <v>2939</v>
      </c>
      <c r="B2940" t="s">
        <v>16</v>
      </c>
      <c r="C2940">
        <v>41</v>
      </c>
      <c r="D2940" t="s">
        <v>29</v>
      </c>
      <c r="E2940" t="s">
        <v>22</v>
      </c>
      <c r="F2940">
        <v>136</v>
      </c>
      <c r="G2940">
        <v>77</v>
      </c>
      <c r="H2940">
        <v>0.23</v>
      </c>
      <c r="I2940" t="s">
        <v>23</v>
      </c>
      <c r="J2940">
        <v>0</v>
      </c>
      <c r="K2940">
        <v>1</v>
      </c>
      <c r="L2940">
        <v>0</v>
      </c>
      <c r="M2940">
        <f>VLOOKUP(Table1[[#This Row],[subscription_type]],Plans!$A$1:$B$5,2,FALSE)</f>
        <v>9.99</v>
      </c>
      <c r="N2940">
        <f t="shared" si="45"/>
        <v>0</v>
      </c>
    </row>
    <row r="2941" spans="1:14" x14ac:dyDescent="0.35">
      <c r="A2941">
        <v>2940</v>
      </c>
      <c r="B2941" t="s">
        <v>20</v>
      </c>
      <c r="C2941">
        <v>31</v>
      </c>
      <c r="D2941" t="s">
        <v>28</v>
      </c>
      <c r="E2941" t="s">
        <v>14</v>
      </c>
      <c r="F2941">
        <v>41</v>
      </c>
      <c r="G2941">
        <v>59</v>
      </c>
      <c r="H2941">
        <v>0.22</v>
      </c>
      <c r="I2941" t="s">
        <v>15</v>
      </c>
      <c r="J2941">
        <v>28</v>
      </c>
      <c r="K2941">
        <v>0</v>
      </c>
      <c r="L2941">
        <v>0</v>
      </c>
      <c r="M2941">
        <f>VLOOKUP(Table1[[#This Row],[subscription_type]],Plans!$A$1:$B$5,2,FALSE)</f>
        <v>0</v>
      </c>
      <c r="N2941">
        <f t="shared" si="45"/>
        <v>0</v>
      </c>
    </row>
    <row r="2942" spans="1:14" x14ac:dyDescent="0.35">
      <c r="A2942">
        <v>2941</v>
      </c>
      <c r="B2942" t="s">
        <v>12</v>
      </c>
      <c r="C2942">
        <v>59</v>
      </c>
      <c r="D2942" t="s">
        <v>26</v>
      </c>
      <c r="E2942" t="s">
        <v>14</v>
      </c>
      <c r="F2942">
        <v>198</v>
      </c>
      <c r="G2942">
        <v>94</v>
      </c>
      <c r="H2942">
        <v>0.21</v>
      </c>
      <c r="I2942" t="s">
        <v>19</v>
      </c>
      <c r="J2942">
        <v>28</v>
      </c>
      <c r="K2942">
        <v>0</v>
      </c>
      <c r="L2942">
        <v>0</v>
      </c>
      <c r="M2942">
        <f>VLOOKUP(Table1[[#This Row],[subscription_type]],Plans!$A$1:$B$5,2,FALSE)</f>
        <v>0</v>
      </c>
      <c r="N2942">
        <f t="shared" si="45"/>
        <v>0</v>
      </c>
    </row>
    <row r="2943" spans="1:14" x14ac:dyDescent="0.35">
      <c r="A2943">
        <v>2942</v>
      </c>
      <c r="B2943" t="s">
        <v>16</v>
      </c>
      <c r="C2943">
        <v>44</v>
      </c>
      <c r="D2943" t="s">
        <v>13</v>
      </c>
      <c r="E2943" t="s">
        <v>24</v>
      </c>
      <c r="F2943">
        <v>232</v>
      </c>
      <c r="G2943">
        <v>39</v>
      </c>
      <c r="H2943">
        <v>0.54</v>
      </c>
      <c r="I2943" t="s">
        <v>23</v>
      </c>
      <c r="J2943">
        <v>0</v>
      </c>
      <c r="K2943">
        <v>1</v>
      </c>
      <c r="L2943">
        <v>0</v>
      </c>
      <c r="M2943">
        <f>VLOOKUP(Table1[[#This Row],[subscription_type]],Plans!$A$1:$B$5,2,FALSE)</f>
        <v>4.99</v>
      </c>
      <c r="N2943">
        <f t="shared" si="45"/>
        <v>0</v>
      </c>
    </row>
    <row r="2944" spans="1:14" x14ac:dyDescent="0.35">
      <c r="A2944">
        <v>2943</v>
      </c>
      <c r="B2944" t="s">
        <v>12</v>
      </c>
      <c r="C2944">
        <v>33</v>
      </c>
      <c r="D2944" t="s">
        <v>25</v>
      </c>
      <c r="E2944" t="s">
        <v>24</v>
      </c>
      <c r="F2944">
        <v>107</v>
      </c>
      <c r="G2944">
        <v>18</v>
      </c>
      <c r="H2944">
        <v>0.42</v>
      </c>
      <c r="I2944" t="s">
        <v>23</v>
      </c>
      <c r="J2944">
        <v>0</v>
      </c>
      <c r="K2944">
        <v>1</v>
      </c>
      <c r="L2944">
        <v>1</v>
      </c>
      <c r="M2944">
        <f>VLOOKUP(Table1[[#This Row],[subscription_type]],Plans!$A$1:$B$5,2,FALSE)</f>
        <v>4.99</v>
      </c>
      <c r="N2944">
        <f t="shared" si="45"/>
        <v>4.99</v>
      </c>
    </row>
    <row r="2945" spans="1:14" x14ac:dyDescent="0.35">
      <c r="A2945">
        <v>2944</v>
      </c>
      <c r="B2945" t="s">
        <v>12</v>
      </c>
      <c r="C2945">
        <v>32</v>
      </c>
      <c r="D2945" t="s">
        <v>28</v>
      </c>
      <c r="E2945" t="s">
        <v>24</v>
      </c>
      <c r="F2945">
        <v>208</v>
      </c>
      <c r="G2945">
        <v>76</v>
      </c>
      <c r="H2945">
        <v>0.19</v>
      </c>
      <c r="I2945" t="s">
        <v>23</v>
      </c>
      <c r="J2945">
        <v>0</v>
      </c>
      <c r="K2945">
        <v>1</v>
      </c>
      <c r="L2945">
        <v>0</v>
      </c>
      <c r="M2945">
        <f>VLOOKUP(Table1[[#This Row],[subscription_type]],Plans!$A$1:$B$5,2,FALSE)</f>
        <v>4.99</v>
      </c>
      <c r="N2945">
        <f t="shared" si="45"/>
        <v>0</v>
      </c>
    </row>
    <row r="2946" spans="1:14" x14ac:dyDescent="0.35">
      <c r="A2946">
        <v>2945</v>
      </c>
      <c r="B2946" t="s">
        <v>20</v>
      </c>
      <c r="C2946">
        <v>38</v>
      </c>
      <c r="D2946" t="s">
        <v>17</v>
      </c>
      <c r="E2946" t="s">
        <v>22</v>
      </c>
      <c r="F2946">
        <v>243</v>
      </c>
      <c r="G2946">
        <v>76</v>
      </c>
      <c r="H2946">
        <v>0.12</v>
      </c>
      <c r="I2946" t="s">
        <v>23</v>
      </c>
      <c r="J2946">
        <v>0</v>
      </c>
      <c r="K2946">
        <v>1</v>
      </c>
      <c r="L2946">
        <v>0</v>
      </c>
      <c r="M2946">
        <f>VLOOKUP(Table1[[#This Row],[subscription_type]],Plans!$A$1:$B$5,2,FALSE)</f>
        <v>9.99</v>
      </c>
      <c r="N2946">
        <f t="shared" ref="N2946:N3009" si="46">IF(L2946=1, M2946,0)</f>
        <v>0</v>
      </c>
    </row>
    <row r="2947" spans="1:14" x14ac:dyDescent="0.35">
      <c r="A2947">
        <v>2946</v>
      </c>
      <c r="B2947" t="s">
        <v>12</v>
      </c>
      <c r="C2947">
        <v>52</v>
      </c>
      <c r="D2947" t="s">
        <v>17</v>
      </c>
      <c r="E2947" t="s">
        <v>18</v>
      </c>
      <c r="F2947">
        <v>16</v>
      </c>
      <c r="G2947">
        <v>88</v>
      </c>
      <c r="H2947">
        <v>0.49</v>
      </c>
      <c r="I2947" t="s">
        <v>15</v>
      </c>
      <c r="J2947">
        <v>0</v>
      </c>
      <c r="K2947">
        <v>1</v>
      </c>
      <c r="L2947">
        <v>0</v>
      </c>
      <c r="M2947">
        <f>VLOOKUP(Table1[[#This Row],[subscription_type]],Plans!$A$1:$B$5,2,FALSE)</f>
        <v>14.99</v>
      </c>
      <c r="N2947">
        <f t="shared" si="46"/>
        <v>0</v>
      </c>
    </row>
    <row r="2948" spans="1:14" x14ac:dyDescent="0.35">
      <c r="A2948">
        <v>2947</v>
      </c>
      <c r="B2948" t="s">
        <v>12</v>
      </c>
      <c r="C2948">
        <v>22</v>
      </c>
      <c r="D2948" t="s">
        <v>28</v>
      </c>
      <c r="E2948" t="s">
        <v>24</v>
      </c>
      <c r="F2948">
        <v>208</v>
      </c>
      <c r="G2948">
        <v>19</v>
      </c>
      <c r="H2948">
        <v>0.36</v>
      </c>
      <c r="I2948" t="s">
        <v>19</v>
      </c>
      <c r="J2948">
        <v>0</v>
      </c>
      <c r="K2948">
        <v>1</v>
      </c>
      <c r="L2948">
        <v>0</v>
      </c>
      <c r="M2948">
        <f>VLOOKUP(Table1[[#This Row],[subscription_type]],Plans!$A$1:$B$5,2,FALSE)</f>
        <v>4.99</v>
      </c>
      <c r="N2948">
        <f t="shared" si="46"/>
        <v>0</v>
      </c>
    </row>
    <row r="2949" spans="1:14" x14ac:dyDescent="0.35">
      <c r="A2949">
        <v>2948</v>
      </c>
      <c r="B2949" t="s">
        <v>12</v>
      </c>
      <c r="C2949">
        <v>52</v>
      </c>
      <c r="D2949" t="s">
        <v>28</v>
      </c>
      <c r="E2949" t="s">
        <v>24</v>
      </c>
      <c r="F2949">
        <v>111</v>
      </c>
      <c r="G2949">
        <v>33</v>
      </c>
      <c r="H2949">
        <v>0.16</v>
      </c>
      <c r="I2949" t="s">
        <v>23</v>
      </c>
      <c r="J2949">
        <v>0</v>
      </c>
      <c r="K2949">
        <v>1</v>
      </c>
      <c r="L2949">
        <v>0</v>
      </c>
      <c r="M2949">
        <f>VLOOKUP(Table1[[#This Row],[subscription_type]],Plans!$A$1:$B$5,2,FALSE)</f>
        <v>4.99</v>
      </c>
      <c r="N2949">
        <f t="shared" si="46"/>
        <v>0</v>
      </c>
    </row>
    <row r="2950" spans="1:14" x14ac:dyDescent="0.35">
      <c r="A2950">
        <v>2949</v>
      </c>
      <c r="B2950" t="s">
        <v>12</v>
      </c>
      <c r="C2950">
        <v>51</v>
      </c>
      <c r="D2950" t="s">
        <v>26</v>
      </c>
      <c r="E2950" t="s">
        <v>22</v>
      </c>
      <c r="F2950">
        <v>288</v>
      </c>
      <c r="G2950">
        <v>32</v>
      </c>
      <c r="H2950">
        <v>7.0000000000000007E-2</v>
      </c>
      <c r="I2950" t="s">
        <v>23</v>
      </c>
      <c r="J2950">
        <v>0</v>
      </c>
      <c r="K2950">
        <v>1</v>
      </c>
      <c r="L2950">
        <v>0</v>
      </c>
      <c r="M2950">
        <f>VLOOKUP(Table1[[#This Row],[subscription_type]],Plans!$A$1:$B$5,2,FALSE)</f>
        <v>9.99</v>
      </c>
      <c r="N2950">
        <f t="shared" si="46"/>
        <v>0</v>
      </c>
    </row>
    <row r="2951" spans="1:14" x14ac:dyDescent="0.35">
      <c r="A2951">
        <v>2950</v>
      </c>
      <c r="B2951" t="s">
        <v>12</v>
      </c>
      <c r="C2951">
        <v>29</v>
      </c>
      <c r="D2951" t="s">
        <v>21</v>
      </c>
      <c r="E2951" t="s">
        <v>22</v>
      </c>
      <c r="F2951">
        <v>124</v>
      </c>
      <c r="G2951">
        <v>55</v>
      </c>
      <c r="H2951">
        <v>0.19</v>
      </c>
      <c r="I2951" t="s">
        <v>15</v>
      </c>
      <c r="J2951">
        <v>0</v>
      </c>
      <c r="K2951">
        <v>1</v>
      </c>
      <c r="L2951">
        <v>1</v>
      </c>
      <c r="M2951">
        <f>VLOOKUP(Table1[[#This Row],[subscription_type]],Plans!$A$1:$B$5,2,FALSE)</f>
        <v>9.99</v>
      </c>
      <c r="N2951">
        <f t="shared" si="46"/>
        <v>9.99</v>
      </c>
    </row>
    <row r="2952" spans="1:14" x14ac:dyDescent="0.35">
      <c r="A2952">
        <v>2951</v>
      </c>
      <c r="B2952" t="s">
        <v>20</v>
      </c>
      <c r="C2952">
        <v>35</v>
      </c>
      <c r="D2952" t="s">
        <v>26</v>
      </c>
      <c r="E2952" t="s">
        <v>14</v>
      </c>
      <c r="F2952">
        <v>252</v>
      </c>
      <c r="G2952">
        <v>14</v>
      </c>
      <c r="H2952">
        <v>0.59</v>
      </c>
      <c r="I2952" t="s">
        <v>19</v>
      </c>
      <c r="J2952">
        <v>27</v>
      </c>
      <c r="K2952">
        <v>0</v>
      </c>
      <c r="L2952">
        <v>0</v>
      </c>
      <c r="M2952">
        <f>VLOOKUP(Table1[[#This Row],[subscription_type]],Plans!$A$1:$B$5,2,FALSE)</f>
        <v>0</v>
      </c>
      <c r="N2952">
        <f t="shared" si="46"/>
        <v>0</v>
      </c>
    </row>
    <row r="2953" spans="1:14" x14ac:dyDescent="0.35">
      <c r="A2953">
        <v>2952</v>
      </c>
      <c r="B2953" t="s">
        <v>12</v>
      </c>
      <c r="C2953">
        <v>23</v>
      </c>
      <c r="D2953" t="s">
        <v>29</v>
      </c>
      <c r="E2953" t="s">
        <v>24</v>
      </c>
      <c r="F2953">
        <v>192</v>
      </c>
      <c r="G2953">
        <v>36</v>
      </c>
      <c r="H2953">
        <v>0.3</v>
      </c>
      <c r="I2953" t="s">
        <v>15</v>
      </c>
      <c r="J2953">
        <v>0</v>
      </c>
      <c r="K2953">
        <v>1</v>
      </c>
      <c r="L2953">
        <v>0</v>
      </c>
      <c r="M2953">
        <f>VLOOKUP(Table1[[#This Row],[subscription_type]],Plans!$A$1:$B$5,2,FALSE)</f>
        <v>4.99</v>
      </c>
      <c r="N2953">
        <f t="shared" si="46"/>
        <v>0</v>
      </c>
    </row>
    <row r="2954" spans="1:14" x14ac:dyDescent="0.35">
      <c r="A2954">
        <v>2953</v>
      </c>
      <c r="B2954" t="s">
        <v>16</v>
      </c>
      <c r="C2954">
        <v>34</v>
      </c>
      <c r="D2954" t="s">
        <v>25</v>
      </c>
      <c r="E2954" t="s">
        <v>24</v>
      </c>
      <c r="F2954">
        <v>122</v>
      </c>
      <c r="G2954">
        <v>9</v>
      </c>
      <c r="H2954">
        <v>0.53</v>
      </c>
      <c r="I2954" t="s">
        <v>23</v>
      </c>
      <c r="J2954">
        <v>0</v>
      </c>
      <c r="K2954">
        <v>1</v>
      </c>
      <c r="L2954">
        <v>1</v>
      </c>
      <c r="M2954">
        <f>VLOOKUP(Table1[[#This Row],[subscription_type]],Plans!$A$1:$B$5,2,FALSE)</f>
        <v>4.99</v>
      </c>
      <c r="N2954">
        <f t="shared" si="46"/>
        <v>4.99</v>
      </c>
    </row>
    <row r="2955" spans="1:14" x14ac:dyDescent="0.35">
      <c r="A2955">
        <v>2954</v>
      </c>
      <c r="B2955" t="s">
        <v>12</v>
      </c>
      <c r="C2955">
        <v>57</v>
      </c>
      <c r="D2955" t="s">
        <v>25</v>
      </c>
      <c r="E2955" t="s">
        <v>18</v>
      </c>
      <c r="F2955">
        <v>190</v>
      </c>
      <c r="G2955">
        <v>68</v>
      </c>
      <c r="H2955">
        <v>0.34</v>
      </c>
      <c r="I2955" t="s">
        <v>15</v>
      </c>
      <c r="J2955">
        <v>0</v>
      </c>
      <c r="K2955">
        <v>1</v>
      </c>
      <c r="L2955">
        <v>0</v>
      </c>
      <c r="M2955">
        <f>VLOOKUP(Table1[[#This Row],[subscription_type]],Plans!$A$1:$B$5,2,FALSE)</f>
        <v>14.99</v>
      </c>
      <c r="N2955">
        <f t="shared" si="46"/>
        <v>0</v>
      </c>
    </row>
    <row r="2956" spans="1:14" x14ac:dyDescent="0.35">
      <c r="A2956">
        <v>2955</v>
      </c>
      <c r="B2956" t="s">
        <v>16</v>
      </c>
      <c r="C2956">
        <v>51</v>
      </c>
      <c r="D2956" t="s">
        <v>13</v>
      </c>
      <c r="E2956" t="s">
        <v>18</v>
      </c>
      <c r="F2956">
        <v>81</v>
      </c>
      <c r="G2956">
        <v>53</v>
      </c>
      <c r="H2956">
        <v>0.37</v>
      </c>
      <c r="I2956" t="s">
        <v>15</v>
      </c>
      <c r="J2956">
        <v>0</v>
      </c>
      <c r="K2956">
        <v>1</v>
      </c>
      <c r="L2956">
        <v>0</v>
      </c>
      <c r="M2956">
        <f>VLOOKUP(Table1[[#This Row],[subscription_type]],Plans!$A$1:$B$5,2,FALSE)</f>
        <v>14.99</v>
      </c>
      <c r="N2956">
        <f t="shared" si="46"/>
        <v>0</v>
      </c>
    </row>
    <row r="2957" spans="1:14" x14ac:dyDescent="0.35">
      <c r="A2957">
        <v>2956</v>
      </c>
      <c r="B2957" t="s">
        <v>12</v>
      </c>
      <c r="C2957">
        <v>19</v>
      </c>
      <c r="D2957" t="s">
        <v>27</v>
      </c>
      <c r="E2957" t="s">
        <v>18</v>
      </c>
      <c r="F2957">
        <v>138</v>
      </c>
      <c r="G2957">
        <v>62</v>
      </c>
      <c r="H2957">
        <v>0.17</v>
      </c>
      <c r="I2957" t="s">
        <v>15</v>
      </c>
      <c r="J2957">
        <v>0</v>
      </c>
      <c r="K2957">
        <v>1</v>
      </c>
      <c r="L2957">
        <v>1</v>
      </c>
      <c r="M2957">
        <f>VLOOKUP(Table1[[#This Row],[subscription_type]],Plans!$A$1:$B$5,2,FALSE)</f>
        <v>14.99</v>
      </c>
      <c r="N2957">
        <f t="shared" si="46"/>
        <v>14.99</v>
      </c>
    </row>
    <row r="2958" spans="1:14" x14ac:dyDescent="0.35">
      <c r="A2958">
        <v>2957</v>
      </c>
      <c r="B2958" t="s">
        <v>16</v>
      </c>
      <c r="C2958">
        <v>38</v>
      </c>
      <c r="D2958" t="s">
        <v>26</v>
      </c>
      <c r="E2958" t="s">
        <v>14</v>
      </c>
      <c r="F2958">
        <v>272</v>
      </c>
      <c r="G2958">
        <v>39</v>
      </c>
      <c r="H2958">
        <v>0.31</v>
      </c>
      <c r="I2958" t="s">
        <v>19</v>
      </c>
      <c r="J2958">
        <v>44</v>
      </c>
      <c r="K2958">
        <v>0</v>
      </c>
      <c r="L2958">
        <v>0</v>
      </c>
      <c r="M2958">
        <f>VLOOKUP(Table1[[#This Row],[subscription_type]],Plans!$A$1:$B$5,2,FALSE)</f>
        <v>0</v>
      </c>
      <c r="N2958">
        <f t="shared" si="46"/>
        <v>0</v>
      </c>
    </row>
    <row r="2959" spans="1:14" x14ac:dyDescent="0.35">
      <c r="A2959">
        <v>2958</v>
      </c>
      <c r="B2959" t="s">
        <v>16</v>
      </c>
      <c r="C2959">
        <v>40</v>
      </c>
      <c r="D2959" t="s">
        <v>17</v>
      </c>
      <c r="E2959" t="s">
        <v>18</v>
      </c>
      <c r="F2959">
        <v>299</v>
      </c>
      <c r="G2959">
        <v>43</v>
      </c>
      <c r="H2959">
        <v>0.09</v>
      </c>
      <c r="I2959" t="s">
        <v>23</v>
      </c>
      <c r="J2959">
        <v>0</v>
      </c>
      <c r="K2959">
        <v>1</v>
      </c>
      <c r="L2959">
        <v>1</v>
      </c>
      <c r="M2959">
        <f>VLOOKUP(Table1[[#This Row],[subscription_type]],Plans!$A$1:$B$5,2,FALSE)</f>
        <v>14.99</v>
      </c>
      <c r="N2959">
        <f t="shared" si="46"/>
        <v>14.99</v>
      </c>
    </row>
    <row r="2960" spans="1:14" x14ac:dyDescent="0.35">
      <c r="A2960">
        <v>2959</v>
      </c>
      <c r="B2960" t="s">
        <v>16</v>
      </c>
      <c r="C2960">
        <v>29</v>
      </c>
      <c r="D2960" t="s">
        <v>17</v>
      </c>
      <c r="E2960" t="s">
        <v>18</v>
      </c>
      <c r="F2960">
        <v>195</v>
      </c>
      <c r="G2960">
        <v>71</v>
      </c>
      <c r="H2960">
        <v>0.57999999999999996</v>
      </c>
      <c r="I2960" t="s">
        <v>15</v>
      </c>
      <c r="J2960">
        <v>0</v>
      </c>
      <c r="K2960">
        <v>1</v>
      </c>
      <c r="L2960">
        <v>1</v>
      </c>
      <c r="M2960">
        <f>VLOOKUP(Table1[[#This Row],[subscription_type]],Plans!$A$1:$B$5,2,FALSE)</f>
        <v>14.99</v>
      </c>
      <c r="N2960">
        <f t="shared" si="46"/>
        <v>14.99</v>
      </c>
    </row>
    <row r="2961" spans="1:14" x14ac:dyDescent="0.35">
      <c r="A2961">
        <v>2960</v>
      </c>
      <c r="B2961" t="s">
        <v>12</v>
      </c>
      <c r="C2961">
        <v>34</v>
      </c>
      <c r="D2961" t="s">
        <v>29</v>
      </c>
      <c r="E2961" t="s">
        <v>14</v>
      </c>
      <c r="F2961">
        <v>129</v>
      </c>
      <c r="G2961">
        <v>42</v>
      </c>
      <c r="H2961">
        <v>0.27</v>
      </c>
      <c r="I2961" t="s">
        <v>19</v>
      </c>
      <c r="J2961">
        <v>31</v>
      </c>
      <c r="K2961">
        <v>0</v>
      </c>
      <c r="L2961">
        <v>0</v>
      </c>
      <c r="M2961">
        <f>VLOOKUP(Table1[[#This Row],[subscription_type]],Plans!$A$1:$B$5,2,FALSE)</f>
        <v>0</v>
      </c>
      <c r="N2961">
        <f t="shared" si="46"/>
        <v>0</v>
      </c>
    </row>
    <row r="2962" spans="1:14" x14ac:dyDescent="0.35">
      <c r="A2962">
        <v>2961</v>
      </c>
      <c r="B2962" t="s">
        <v>20</v>
      </c>
      <c r="C2962">
        <v>23</v>
      </c>
      <c r="D2962" t="s">
        <v>13</v>
      </c>
      <c r="E2962" t="s">
        <v>14</v>
      </c>
      <c r="F2962">
        <v>76</v>
      </c>
      <c r="G2962">
        <v>53</v>
      </c>
      <c r="H2962">
        <v>0.56999999999999995</v>
      </c>
      <c r="I2962" t="s">
        <v>19</v>
      </c>
      <c r="J2962">
        <v>15</v>
      </c>
      <c r="K2962">
        <v>0</v>
      </c>
      <c r="L2962">
        <v>0</v>
      </c>
      <c r="M2962">
        <f>VLOOKUP(Table1[[#This Row],[subscription_type]],Plans!$A$1:$B$5,2,FALSE)</f>
        <v>0</v>
      </c>
      <c r="N2962">
        <f t="shared" si="46"/>
        <v>0</v>
      </c>
    </row>
    <row r="2963" spans="1:14" x14ac:dyDescent="0.35">
      <c r="A2963">
        <v>2962</v>
      </c>
      <c r="B2963" t="s">
        <v>16</v>
      </c>
      <c r="C2963">
        <v>30</v>
      </c>
      <c r="D2963" t="s">
        <v>25</v>
      </c>
      <c r="E2963" t="s">
        <v>18</v>
      </c>
      <c r="F2963">
        <v>40</v>
      </c>
      <c r="G2963">
        <v>13</v>
      </c>
      <c r="H2963">
        <v>0.41</v>
      </c>
      <c r="I2963" t="s">
        <v>15</v>
      </c>
      <c r="J2963">
        <v>0</v>
      </c>
      <c r="K2963">
        <v>1</v>
      </c>
      <c r="L2963">
        <v>0</v>
      </c>
      <c r="M2963">
        <f>VLOOKUP(Table1[[#This Row],[subscription_type]],Plans!$A$1:$B$5,2,FALSE)</f>
        <v>14.99</v>
      </c>
      <c r="N2963">
        <f t="shared" si="46"/>
        <v>0</v>
      </c>
    </row>
    <row r="2964" spans="1:14" x14ac:dyDescent="0.35">
      <c r="A2964">
        <v>2963</v>
      </c>
      <c r="B2964" t="s">
        <v>12</v>
      </c>
      <c r="C2964">
        <v>49</v>
      </c>
      <c r="D2964" t="s">
        <v>17</v>
      </c>
      <c r="E2964" t="s">
        <v>18</v>
      </c>
      <c r="F2964">
        <v>275</v>
      </c>
      <c r="G2964">
        <v>74</v>
      </c>
      <c r="H2964">
        <v>0.42</v>
      </c>
      <c r="I2964" t="s">
        <v>19</v>
      </c>
      <c r="J2964">
        <v>0</v>
      </c>
      <c r="K2964">
        <v>1</v>
      </c>
      <c r="L2964">
        <v>0</v>
      </c>
      <c r="M2964">
        <f>VLOOKUP(Table1[[#This Row],[subscription_type]],Plans!$A$1:$B$5,2,FALSE)</f>
        <v>14.99</v>
      </c>
      <c r="N2964">
        <f t="shared" si="46"/>
        <v>0</v>
      </c>
    </row>
    <row r="2965" spans="1:14" x14ac:dyDescent="0.35">
      <c r="A2965">
        <v>2964</v>
      </c>
      <c r="B2965" t="s">
        <v>12</v>
      </c>
      <c r="C2965">
        <v>46</v>
      </c>
      <c r="D2965" t="s">
        <v>21</v>
      </c>
      <c r="E2965" t="s">
        <v>18</v>
      </c>
      <c r="F2965">
        <v>54</v>
      </c>
      <c r="G2965">
        <v>47</v>
      </c>
      <c r="H2965">
        <v>0.06</v>
      </c>
      <c r="I2965" t="s">
        <v>19</v>
      </c>
      <c r="J2965">
        <v>0</v>
      </c>
      <c r="K2965">
        <v>1</v>
      </c>
      <c r="L2965">
        <v>0</v>
      </c>
      <c r="M2965">
        <f>VLOOKUP(Table1[[#This Row],[subscription_type]],Plans!$A$1:$B$5,2,FALSE)</f>
        <v>14.99</v>
      </c>
      <c r="N2965">
        <f t="shared" si="46"/>
        <v>0</v>
      </c>
    </row>
    <row r="2966" spans="1:14" x14ac:dyDescent="0.35">
      <c r="A2966">
        <v>2965</v>
      </c>
      <c r="B2966" t="s">
        <v>20</v>
      </c>
      <c r="C2966">
        <v>36</v>
      </c>
      <c r="D2966" t="s">
        <v>21</v>
      </c>
      <c r="E2966" t="s">
        <v>14</v>
      </c>
      <c r="F2966">
        <v>243</v>
      </c>
      <c r="G2966">
        <v>24</v>
      </c>
      <c r="H2966">
        <v>0.22</v>
      </c>
      <c r="I2966" t="s">
        <v>15</v>
      </c>
      <c r="J2966">
        <v>22</v>
      </c>
      <c r="K2966">
        <v>0</v>
      </c>
      <c r="L2966">
        <v>0</v>
      </c>
      <c r="M2966">
        <f>VLOOKUP(Table1[[#This Row],[subscription_type]],Plans!$A$1:$B$5,2,FALSE)</f>
        <v>0</v>
      </c>
      <c r="N2966">
        <f t="shared" si="46"/>
        <v>0</v>
      </c>
    </row>
    <row r="2967" spans="1:14" x14ac:dyDescent="0.35">
      <c r="A2967">
        <v>2966</v>
      </c>
      <c r="B2967" t="s">
        <v>20</v>
      </c>
      <c r="C2967">
        <v>27</v>
      </c>
      <c r="D2967" t="s">
        <v>13</v>
      </c>
      <c r="E2967" t="s">
        <v>24</v>
      </c>
      <c r="F2967">
        <v>196</v>
      </c>
      <c r="G2967">
        <v>23</v>
      </c>
      <c r="H2967">
        <v>0.59</v>
      </c>
      <c r="I2967" t="s">
        <v>23</v>
      </c>
      <c r="J2967">
        <v>0</v>
      </c>
      <c r="K2967">
        <v>1</v>
      </c>
      <c r="L2967">
        <v>1</v>
      </c>
      <c r="M2967">
        <f>VLOOKUP(Table1[[#This Row],[subscription_type]],Plans!$A$1:$B$5,2,FALSE)</f>
        <v>4.99</v>
      </c>
      <c r="N2967">
        <f t="shared" si="46"/>
        <v>4.99</v>
      </c>
    </row>
    <row r="2968" spans="1:14" x14ac:dyDescent="0.35">
      <c r="A2968">
        <v>2967</v>
      </c>
      <c r="B2968" t="s">
        <v>12</v>
      </c>
      <c r="C2968">
        <v>34</v>
      </c>
      <c r="D2968" t="s">
        <v>21</v>
      </c>
      <c r="E2968" t="s">
        <v>24</v>
      </c>
      <c r="F2968">
        <v>36</v>
      </c>
      <c r="G2968">
        <v>87</v>
      </c>
      <c r="H2968">
        <v>0.2</v>
      </c>
      <c r="I2968" t="s">
        <v>23</v>
      </c>
      <c r="J2968">
        <v>0</v>
      </c>
      <c r="K2968">
        <v>1</v>
      </c>
      <c r="L2968">
        <v>0</v>
      </c>
      <c r="M2968">
        <f>VLOOKUP(Table1[[#This Row],[subscription_type]],Plans!$A$1:$B$5,2,FALSE)</f>
        <v>4.99</v>
      </c>
      <c r="N2968">
        <f t="shared" si="46"/>
        <v>0</v>
      </c>
    </row>
    <row r="2969" spans="1:14" x14ac:dyDescent="0.35">
      <c r="A2969">
        <v>2968</v>
      </c>
      <c r="B2969" t="s">
        <v>20</v>
      </c>
      <c r="C2969">
        <v>37</v>
      </c>
      <c r="D2969" t="s">
        <v>29</v>
      </c>
      <c r="E2969" t="s">
        <v>22</v>
      </c>
      <c r="F2969">
        <v>280</v>
      </c>
      <c r="G2969">
        <v>55</v>
      </c>
      <c r="H2969">
        <v>0.28999999999999998</v>
      </c>
      <c r="I2969" t="s">
        <v>15</v>
      </c>
      <c r="J2969">
        <v>0</v>
      </c>
      <c r="K2969">
        <v>1</v>
      </c>
      <c r="L2969">
        <v>0</v>
      </c>
      <c r="M2969">
        <f>VLOOKUP(Table1[[#This Row],[subscription_type]],Plans!$A$1:$B$5,2,FALSE)</f>
        <v>9.99</v>
      </c>
      <c r="N2969">
        <f t="shared" si="46"/>
        <v>0</v>
      </c>
    </row>
    <row r="2970" spans="1:14" x14ac:dyDescent="0.35">
      <c r="A2970">
        <v>2969</v>
      </c>
      <c r="B2970" t="s">
        <v>12</v>
      </c>
      <c r="C2970">
        <v>38</v>
      </c>
      <c r="D2970" t="s">
        <v>27</v>
      </c>
      <c r="E2970" t="s">
        <v>22</v>
      </c>
      <c r="F2970">
        <v>229</v>
      </c>
      <c r="G2970">
        <v>73</v>
      </c>
      <c r="H2970">
        <v>0.55000000000000004</v>
      </c>
      <c r="I2970" t="s">
        <v>23</v>
      </c>
      <c r="J2970">
        <v>0</v>
      </c>
      <c r="K2970">
        <v>1</v>
      </c>
      <c r="L2970">
        <v>1</v>
      </c>
      <c r="M2970">
        <f>VLOOKUP(Table1[[#This Row],[subscription_type]],Plans!$A$1:$B$5,2,FALSE)</f>
        <v>9.99</v>
      </c>
      <c r="N2970">
        <f t="shared" si="46"/>
        <v>9.99</v>
      </c>
    </row>
    <row r="2971" spans="1:14" x14ac:dyDescent="0.35">
      <c r="A2971">
        <v>2970</v>
      </c>
      <c r="B2971" t="s">
        <v>20</v>
      </c>
      <c r="C2971">
        <v>36</v>
      </c>
      <c r="D2971" t="s">
        <v>29</v>
      </c>
      <c r="E2971" t="s">
        <v>18</v>
      </c>
      <c r="F2971">
        <v>147</v>
      </c>
      <c r="G2971">
        <v>36</v>
      </c>
      <c r="H2971">
        <v>0.38</v>
      </c>
      <c r="I2971" t="s">
        <v>23</v>
      </c>
      <c r="J2971">
        <v>0</v>
      </c>
      <c r="K2971">
        <v>1</v>
      </c>
      <c r="L2971">
        <v>1</v>
      </c>
      <c r="M2971">
        <f>VLOOKUP(Table1[[#This Row],[subscription_type]],Plans!$A$1:$B$5,2,FALSE)</f>
        <v>14.99</v>
      </c>
      <c r="N2971">
        <f t="shared" si="46"/>
        <v>14.99</v>
      </c>
    </row>
    <row r="2972" spans="1:14" x14ac:dyDescent="0.35">
      <c r="A2972">
        <v>2971</v>
      </c>
      <c r="B2972" t="s">
        <v>20</v>
      </c>
      <c r="C2972">
        <v>56</v>
      </c>
      <c r="D2972" t="s">
        <v>29</v>
      </c>
      <c r="E2972" t="s">
        <v>22</v>
      </c>
      <c r="F2972">
        <v>126</v>
      </c>
      <c r="G2972">
        <v>46</v>
      </c>
      <c r="H2972">
        <v>0.33</v>
      </c>
      <c r="I2972" t="s">
        <v>23</v>
      </c>
      <c r="J2972">
        <v>0</v>
      </c>
      <c r="K2972">
        <v>1</v>
      </c>
      <c r="L2972">
        <v>0</v>
      </c>
      <c r="M2972">
        <f>VLOOKUP(Table1[[#This Row],[subscription_type]],Plans!$A$1:$B$5,2,FALSE)</f>
        <v>9.99</v>
      </c>
      <c r="N2972">
        <f t="shared" si="46"/>
        <v>0</v>
      </c>
    </row>
    <row r="2973" spans="1:14" x14ac:dyDescent="0.35">
      <c r="A2973">
        <v>2972</v>
      </c>
      <c r="B2973" t="s">
        <v>20</v>
      </c>
      <c r="C2973">
        <v>35</v>
      </c>
      <c r="D2973" t="s">
        <v>13</v>
      </c>
      <c r="E2973" t="s">
        <v>24</v>
      </c>
      <c r="F2973">
        <v>288</v>
      </c>
      <c r="G2973">
        <v>65</v>
      </c>
      <c r="H2973">
        <v>0.54</v>
      </c>
      <c r="I2973" t="s">
        <v>15</v>
      </c>
      <c r="J2973">
        <v>0</v>
      </c>
      <c r="K2973">
        <v>1</v>
      </c>
      <c r="L2973">
        <v>0</v>
      </c>
      <c r="M2973">
        <f>VLOOKUP(Table1[[#This Row],[subscription_type]],Plans!$A$1:$B$5,2,FALSE)</f>
        <v>4.99</v>
      </c>
      <c r="N2973">
        <f t="shared" si="46"/>
        <v>0</v>
      </c>
    </row>
    <row r="2974" spans="1:14" x14ac:dyDescent="0.35">
      <c r="A2974">
        <v>2973</v>
      </c>
      <c r="B2974" t="s">
        <v>12</v>
      </c>
      <c r="C2974">
        <v>22</v>
      </c>
      <c r="D2974" t="s">
        <v>27</v>
      </c>
      <c r="E2974" t="s">
        <v>14</v>
      </c>
      <c r="F2974">
        <v>181</v>
      </c>
      <c r="G2974">
        <v>7</v>
      </c>
      <c r="H2974">
        <v>0.48</v>
      </c>
      <c r="I2974" t="s">
        <v>19</v>
      </c>
      <c r="J2974">
        <v>18</v>
      </c>
      <c r="K2974">
        <v>0</v>
      </c>
      <c r="L2974">
        <v>1</v>
      </c>
      <c r="M2974">
        <f>VLOOKUP(Table1[[#This Row],[subscription_type]],Plans!$A$1:$B$5,2,FALSE)</f>
        <v>0</v>
      </c>
      <c r="N2974">
        <f t="shared" si="46"/>
        <v>0</v>
      </c>
    </row>
    <row r="2975" spans="1:14" x14ac:dyDescent="0.35">
      <c r="A2975">
        <v>2974</v>
      </c>
      <c r="B2975" t="s">
        <v>16</v>
      </c>
      <c r="C2975">
        <v>44</v>
      </c>
      <c r="D2975" t="s">
        <v>17</v>
      </c>
      <c r="E2975" t="s">
        <v>24</v>
      </c>
      <c r="F2975">
        <v>124</v>
      </c>
      <c r="G2975">
        <v>88</v>
      </c>
      <c r="H2975">
        <v>0.18</v>
      </c>
      <c r="I2975" t="s">
        <v>15</v>
      </c>
      <c r="J2975">
        <v>0</v>
      </c>
      <c r="K2975">
        <v>1</v>
      </c>
      <c r="L2975">
        <v>0</v>
      </c>
      <c r="M2975">
        <f>VLOOKUP(Table1[[#This Row],[subscription_type]],Plans!$A$1:$B$5,2,FALSE)</f>
        <v>4.99</v>
      </c>
      <c r="N2975">
        <f t="shared" si="46"/>
        <v>0</v>
      </c>
    </row>
    <row r="2976" spans="1:14" x14ac:dyDescent="0.35">
      <c r="A2976">
        <v>2975</v>
      </c>
      <c r="B2976" t="s">
        <v>20</v>
      </c>
      <c r="C2976">
        <v>45</v>
      </c>
      <c r="D2976" t="s">
        <v>29</v>
      </c>
      <c r="E2976" t="s">
        <v>14</v>
      </c>
      <c r="F2976">
        <v>86</v>
      </c>
      <c r="G2976">
        <v>54</v>
      </c>
      <c r="H2976">
        <v>0.38</v>
      </c>
      <c r="I2976" t="s">
        <v>15</v>
      </c>
      <c r="J2976">
        <v>41</v>
      </c>
      <c r="K2976">
        <v>0</v>
      </c>
      <c r="L2976">
        <v>0</v>
      </c>
      <c r="M2976">
        <f>VLOOKUP(Table1[[#This Row],[subscription_type]],Plans!$A$1:$B$5,2,FALSE)</f>
        <v>0</v>
      </c>
      <c r="N2976">
        <f t="shared" si="46"/>
        <v>0</v>
      </c>
    </row>
    <row r="2977" spans="1:14" x14ac:dyDescent="0.35">
      <c r="A2977">
        <v>2976</v>
      </c>
      <c r="B2977" t="s">
        <v>16</v>
      </c>
      <c r="C2977">
        <v>39</v>
      </c>
      <c r="D2977" t="s">
        <v>29</v>
      </c>
      <c r="E2977" t="s">
        <v>18</v>
      </c>
      <c r="F2977">
        <v>124</v>
      </c>
      <c r="G2977">
        <v>79</v>
      </c>
      <c r="H2977">
        <v>0.28000000000000003</v>
      </c>
      <c r="I2977" t="s">
        <v>19</v>
      </c>
      <c r="J2977">
        <v>0</v>
      </c>
      <c r="K2977">
        <v>1</v>
      </c>
      <c r="L2977">
        <v>0</v>
      </c>
      <c r="M2977">
        <f>VLOOKUP(Table1[[#This Row],[subscription_type]],Plans!$A$1:$B$5,2,FALSE)</f>
        <v>14.99</v>
      </c>
      <c r="N2977">
        <f t="shared" si="46"/>
        <v>0</v>
      </c>
    </row>
    <row r="2978" spans="1:14" x14ac:dyDescent="0.35">
      <c r="A2978">
        <v>2977</v>
      </c>
      <c r="B2978" t="s">
        <v>12</v>
      </c>
      <c r="C2978">
        <v>41</v>
      </c>
      <c r="D2978" t="s">
        <v>26</v>
      </c>
      <c r="E2978" t="s">
        <v>24</v>
      </c>
      <c r="F2978">
        <v>127</v>
      </c>
      <c r="G2978">
        <v>5</v>
      </c>
      <c r="H2978">
        <v>0.38</v>
      </c>
      <c r="I2978" t="s">
        <v>19</v>
      </c>
      <c r="J2978">
        <v>0</v>
      </c>
      <c r="K2978">
        <v>1</v>
      </c>
      <c r="L2978">
        <v>1</v>
      </c>
      <c r="M2978">
        <f>VLOOKUP(Table1[[#This Row],[subscription_type]],Plans!$A$1:$B$5,2,FALSE)</f>
        <v>4.99</v>
      </c>
      <c r="N2978">
        <f t="shared" si="46"/>
        <v>4.99</v>
      </c>
    </row>
    <row r="2979" spans="1:14" x14ac:dyDescent="0.35">
      <c r="A2979">
        <v>2978</v>
      </c>
      <c r="B2979" t="s">
        <v>16</v>
      </c>
      <c r="C2979">
        <v>52</v>
      </c>
      <c r="D2979" t="s">
        <v>29</v>
      </c>
      <c r="E2979" t="s">
        <v>24</v>
      </c>
      <c r="F2979">
        <v>187</v>
      </c>
      <c r="G2979">
        <v>94</v>
      </c>
      <c r="H2979">
        <v>0.47</v>
      </c>
      <c r="I2979" t="s">
        <v>19</v>
      </c>
      <c r="J2979">
        <v>0</v>
      </c>
      <c r="K2979">
        <v>1</v>
      </c>
      <c r="L2979">
        <v>0</v>
      </c>
      <c r="M2979">
        <f>VLOOKUP(Table1[[#This Row],[subscription_type]],Plans!$A$1:$B$5,2,FALSE)</f>
        <v>4.99</v>
      </c>
      <c r="N2979">
        <f t="shared" si="46"/>
        <v>0</v>
      </c>
    </row>
    <row r="2980" spans="1:14" x14ac:dyDescent="0.35">
      <c r="A2980">
        <v>2979</v>
      </c>
      <c r="B2980" t="s">
        <v>12</v>
      </c>
      <c r="C2980">
        <v>26</v>
      </c>
      <c r="D2980" t="s">
        <v>21</v>
      </c>
      <c r="E2980" t="s">
        <v>18</v>
      </c>
      <c r="F2980">
        <v>19</v>
      </c>
      <c r="G2980">
        <v>99</v>
      </c>
      <c r="H2980">
        <v>0.5</v>
      </c>
      <c r="I2980" t="s">
        <v>19</v>
      </c>
      <c r="J2980">
        <v>0</v>
      </c>
      <c r="K2980">
        <v>1</v>
      </c>
      <c r="L2980">
        <v>0</v>
      </c>
      <c r="M2980">
        <f>VLOOKUP(Table1[[#This Row],[subscription_type]],Plans!$A$1:$B$5,2,FALSE)</f>
        <v>14.99</v>
      </c>
      <c r="N2980">
        <f t="shared" si="46"/>
        <v>0</v>
      </c>
    </row>
    <row r="2981" spans="1:14" x14ac:dyDescent="0.35">
      <c r="A2981">
        <v>2980</v>
      </c>
      <c r="B2981" t="s">
        <v>20</v>
      </c>
      <c r="C2981">
        <v>18</v>
      </c>
      <c r="D2981" t="s">
        <v>21</v>
      </c>
      <c r="E2981" t="s">
        <v>14</v>
      </c>
      <c r="F2981">
        <v>234</v>
      </c>
      <c r="G2981">
        <v>69</v>
      </c>
      <c r="H2981">
        <v>0.26</v>
      </c>
      <c r="I2981" t="s">
        <v>19</v>
      </c>
      <c r="J2981">
        <v>44</v>
      </c>
      <c r="K2981">
        <v>0</v>
      </c>
      <c r="L2981">
        <v>1</v>
      </c>
      <c r="M2981">
        <f>VLOOKUP(Table1[[#This Row],[subscription_type]],Plans!$A$1:$B$5,2,FALSE)</f>
        <v>0</v>
      </c>
      <c r="N2981">
        <f t="shared" si="46"/>
        <v>0</v>
      </c>
    </row>
    <row r="2982" spans="1:14" x14ac:dyDescent="0.35">
      <c r="A2982">
        <v>2981</v>
      </c>
      <c r="B2982" t="s">
        <v>20</v>
      </c>
      <c r="C2982">
        <v>41</v>
      </c>
      <c r="D2982" t="s">
        <v>27</v>
      </c>
      <c r="E2982" t="s">
        <v>24</v>
      </c>
      <c r="F2982">
        <v>90</v>
      </c>
      <c r="G2982">
        <v>87</v>
      </c>
      <c r="H2982">
        <v>0.26</v>
      </c>
      <c r="I2982" t="s">
        <v>23</v>
      </c>
      <c r="J2982">
        <v>0</v>
      </c>
      <c r="K2982">
        <v>1</v>
      </c>
      <c r="L2982">
        <v>0</v>
      </c>
      <c r="M2982">
        <f>VLOOKUP(Table1[[#This Row],[subscription_type]],Plans!$A$1:$B$5,2,FALSE)</f>
        <v>4.99</v>
      </c>
      <c r="N2982">
        <f t="shared" si="46"/>
        <v>0</v>
      </c>
    </row>
    <row r="2983" spans="1:14" x14ac:dyDescent="0.35">
      <c r="A2983">
        <v>2982</v>
      </c>
      <c r="B2983" t="s">
        <v>16</v>
      </c>
      <c r="C2983">
        <v>29</v>
      </c>
      <c r="D2983" t="s">
        <v>29</v>
      </c>
      <c r="E2983" t="s">
        <v>18</v>
      </c>
      <c r="F2983">
        <v>74</v>
      </c>
      <c r="G2983">
        <v>99</v>
      </c>
      <c r="H2983">
        <v>0.49</v>
      </c>
      <c r="I2983" t="s">
        <v>15</v>
      </c>
      <c r="J2983">
        <v>0</v>
      </c>
      <c r="K2983">
        <v>1</v>
      </c>
      <c r="L2983">
        <v>1</v>
      </c>
      <c r="M2983">
        <f>VLOOKUP(Table1[[#This Row],[subscription_type]],Plans!$A$1:$B$5,2,FALSE)</f>
        <v>14.99</v>
      </c>
      <c r="N2983">
        <f t="shared" si="46"/>
        <v>14.99</v>
      </c>
    </row>
    <row r="2984" spans="1:14" x14ac:dyDescent="0.35">
      <c r="A2984">
        <v>2983</v>
      </c>
      <c r="B2984" t="s">
        <v>20</v>
      </c>
      <c r="C2984">
        <v>51</v>
      </c>
      <c r="D2984" t="s">
        <v>29</v>
      </c>
      <c r="E2984" t="s">
        <v>14</v>
      </c>
      <c r="F2984">
        <v>228</v>
      </c>
      <c r="G2984">
        <v>36</v>
      </c>
      <c r="H2984">
        <v>0.23</v>
      </c>
      <c r="I2984" t="s">
        <v>19</v>
      </c>
      <c r="J2984">
        <v>21</v>
      </c>
      <c r="K2984">
        <v>0</v>
      </c>
      <c r="L2984">
        <v>1</v>
      </c>
      <c r="M2984">
        <f>VLOOKUP(Table1[[#This Row],[subscription_type]],Plans!$A$1:$B$5,2,FALSE)</f>
        <v>0</v>
      </c>
      <c r="N2984">
        <f t="shared" si="46"/>
        <v>0</v>
      </c>
    </row>
    <row r="2985" spans="1:14" x14ac:dyDescent="0.35">
      <c r="A2985">
        <v>2984</v>
      </c>
      <c r="B2985" t="s">
        <v>20</v>
      </c>
      <c r="C2985">
        <v>42</v>
      </c>
      <c r="D2985" t="s">
        <v>13</v>
      </c>
      <c r="E2985" t="s">
        <v>24</v>
      </c>
      <c r="F2985">
        <v>43</v>
      </c>
      <c r="G2985">
        <v>35</v>
      </c>
      <c r="H2985">
        <v>0.57999999999999996</v>
      </c>
      <c r="I2985" t="s">
        <v>15</v>
      </c>
      <c r="J2985">
        <v>0</v>
      </c>
      <c r="K2985">
        <v>1</v>
      </c>
      <c r="L2985">
        <v>1</v>
      </c>
      <c r="M2985">
        <f>VLOOKUP(Table1[[#This Row],[subscription_type]],Plans!$A$1:$B$5,2,FALSE)</f>
        <v>4.99</v>
      </c>
      <c r="N2985">
        <f t="shared" si="46"/>
        <v>4.99</v>
      </c>
    </row>
    <row r="2986" spans="1:14" x14ac:dyDescent="0.35">
      <c r="A2986">
        <v>2985</v>
      </c>
      <c r="B2986" t="s">
        <v>20</v>
      </c>
      <c r="C2986">
        <v>55</v>
      </c>
      <c r="D2986" t="s">
        <v>26</v>
      </c>
      <c r="E2986" t="s">
        <v>18</v>
      </c>
      <c r="F2986">
        <v>50</v>
      </c>
      <c r="G2986">
        <v>96</v>
      </c>
      <c r="H2986">
        <v>0.22</v>
      </c>
      <c r="I2986" t="s">
        <v>19</v>
      </c>
      <c r="J2986">
        <v>0</v>
      </c>
      <c r="K2986">
        <v>1</v>
      </c>
      <c r="L2986">
        <v>0</v>
      </c>
      <c r="M2986">
        <f>VLOOKUP(Table1[[#This Row],[subscription_type]],Plans!$A$1:$B$5,2,FALSE)</f>
        <v>14.99</v>
      </c>
      <c r="N2986">
        <f t="shared" si="46"/>
        <v>0</v>
      </c>
    </row>
    <row r="2987" spans="1:14" x14ac:dyDescent="0.35">
      <c r="A2987">
        <v>2986</v>
      </c>
      <c r="B2987" t="s">
        <v>16</v>
      </c>
      <c r="C2987">
        <v>33</v>
      </c>
      <c r="D2987" t="s">
        <v>25</v>
      </c>
      <c r="E2987" t="s">
        <v>18</v>
      </c>
      <c r="F2987">
        <v>107</v>
      </c>
      <c r="G2987">
        <v>79</v>
      </c>
      <c r="H2987">
        <v>0.21</v>
      </c>
      <c r="I2987" t="s">
        <v>23</v>
      </c>
      <c r="J2987">
        <v>0</v>
      </c>
      <c r="K2987">
        <v>1</v>
      </c>
      <c r="L2987">
        <v>0</v>
      </c>
      <c r="M2987">
        <f>VLOOKUP(Table1[[#This Row],[subscription_type]],Plans!$A$1:$B$5,2,FALSE)</f>
        <v>14.99</v>
      </c>
      <c r="N2987">
        <f t="shared" si="46"/>
        <v>0</v>
      </c>
    </row>
    <row r="2988" spans="1:14" x14ac:dyDescent="0.35">
      <c r="A2988">
        <v>2987</v>
      </c>
      <c r="B2988" t="s">
        <v>16</v>
      </c>
      <c r="C2988">
        <v>57</v>
      </c>
      <c r="D2988" t="s">
        <v>27</v>
      </c>
      <c r="E2988" t="s">
        <v>18</v>
      </c>
      <c r="F2988">
        <v>204</v>
      </c>
      <c r="G2988">
        <v>48</v>
      </c>
      <c r="H2988">
        <v>0.11</v>
      </c>
      <c r="I2988" t="s">
        <v>15</v>
      </c>
      <c r="J2988">
        <v>0</v>
      </c>
      <c r="K2988">
        <v>1</v>
      </c>
      <c r="L2988">
        <v>0</v>
      </c>
      <c r="M2988">
        <f>VLOOKUP(Table1[[#This Row],[subscription_type]],Plans!$A$1:$B$5,2,FALSE)</f>
        <v>14.99</v>
      </c>
      <c r="N2988">
        <f t="shared" si="46"/>
        <v>0</v>
      </c>
    </row>
    <row r="2989" spans="1:14" x14ac:dyDescent="0.35">
      <c r="A2989">
        <v>2988</v>
      </c>
      <c r="B2989" t="s">
        <v>16</v>
      </c>
      <c r="C2989">
        <v>32</v>
      </c>
      <c r="D2989" t="s">
        <v>28</v>
      </c>
      <c r="E2989" t="s">
        <v>22</v>
      </c>
      <c r="F2989">
        <v>95</v>
      </c>
      <c r="G2989">
        <v>90</v>
      </c>
      <c r="H2989">
        <v>0.44</v>
      </c>
      <c r="I2989" t="s">
        <v>19</v>
      </c>
      <c r="J2989">
        <v>0</v>
      </c>
      <c r="K2989">
        <v>1</v>
      </c>
      <c r="L2989">
        <v>1</v>
      </c>
      <c r="M2989">
        <f>VLOOKUP(Table1[[#This Row],[subscription_type]],Plans!$A$1:$B$5,2,FALSE)</f>
        <v>9.99</v>
      </c>
      <c r="N2989">
        <f t="shared" si="46"/>
        <v>9.99</v>
      </c>
    </row>
    <row r="2990" spans="1:14" x14ac:dyDescent="0.35">
      <c r="A2990">
        <v>2989</v>
      </c>
      <c r="B2990" t="s">
        <v>20</v>
      </c>
      <c r="C2990">
        <v>28</v>
      </c>
      <c r="D2990" t="s">
        <v>26</v>
      </c>
      <c r="E2990" t="s">
        <v>14</v>
      </c>
      <c r="F2990">
        <v>156</v>
      </c>
      <c r="G2990">
        <v>14</v>
      </c>
      <c r="H2990">
        <v>0.15</v>
      </c>
      <c r="I2990" t="s">
        <v>23</v>
      </c>
      <c r="J2990">
        <v>38</v>
      </c>
      <c r="K2990">
        <v>0</v>
      </c>
      <c r="L2990">
        <v>0</v>
      </c>
      <c r="M2990">
        <f>VLOOKUP(Table1[[#This Row],[subscription_type]],Plans!$A$1:$B$5,2,FALSE)</f>
        <v>0</v>
      </c>
      <c r="N2990">
        <f t="shared" si="46"/>
        <v>0</v>
      </c>
    </row>
    <row r="2991" spans="1:14" x14ac:dyDescent="0.35">
      <c r="A2991">
        <v>2990</v>
      </c>
      <c r="B2991" t="s">
        <v>16</v>
      </c>
      <c r="C2991">
        <v>29</v>
      </c>
      <c r="D2991" t="s">
        <v>27</v>
      </c>
      <c r="E2991" t="s">
        <v>22</v>
      </c>
      <c r="F2991">
        <v>284</v>
      </c>
      <c r="G2991">
        <v>44</v>
      </c>
      <c r="H2991">
        <v>0.34</v>
      </c>
      <c r="I2991" t="s">
        <v>19</v>
      </c>
      <c r="J2991">
        <v>0</v>
      </c>
      <c r="K2991">
        <v>1</v>
      </c>
      <c r="L2991">
        <v>0</v>
      </c>
      <c r="M2991">
        <f>VLOOKUP(Table1[[#This Row],[subscription_type]],Plans!$A$1:$B$5,2,FALSE)</f>
        <v>9.99</v>
      </c>
      <c r="N2991">
        <f t="shared" si="46"/>
        <v>0</v>
      </c>
    </row>
    <row r="2992" spans="1:14" x14ac:dyDescent="0.35">
      <c r="A2992">
        <v>2991</v>
      </c>
      <c r="B2992" t="s">
        <v>16</v>
      </c>
      <c r="C2992">
        <v>56</v>
      </c>
      <c r="D2992" t="s">
        <v>27</v>
      </c>
      <c r="E2992" t="s">
        <v>14</v>
      </c>
      <c r="F2992">
        <v>136</v>
      </c>
      <c r="G2992">
        <v>16</v>
      </c>
      <c r="H2992">
        <v>0.11</v>
      </c>
      <c r="I2992" t="s">
        <v>19</v>
      </c>
      <c r="J2992">
        <v>30</v>
      </c>
      <c r="K2992">
        <v>0</v>
      </c>
      <c r="L2992">
        <v>0</v>
      </c>
      <c r="M2992">
        <f>VLOOKUP(Table1[[#This Row],[subscription_type]],Plans!$A$1:$B$5,2,FALSE)</f>
        <v>0</v>
      </c>
      <c r="N2992">
        <f t="shared" si="46"/>
        <v>0</v>
      </c>
    </row>
    <row r="2993" spans="1:14" x14ac:dyDescent="0.35">
      <c r="A2993">
        <v>2992</v>
      </c>
      <c r="B2993" t="s">
        <v>20</v>
      </c>
      <c r="C2993">
        <v>51</v>
      </c>
      <c r="D2993" t="s">
        <v>29</v>
      </c>
      <c r="E2993" t="s">
        <v>24</v>
      </c>
      <c r="F2993">
        <v>259</v>
      </c>
      <c r="G2993">
        <v>36</v>
      </c>
      <c r="H2993">
        <v>0.27</v>
      </c>
      <c r="I2993" t="s">
        <v>19</v>
      </c>
      <c r="J2993">
        <v>0</v>
      </c>
      <c r="K2993">
        <v>1</v>
      </c>
      <c r="L2993">
        <v>0</v>
      </c>
      <c r="M2993">
        <f>VLOOKUP(Table1[[#This Row],[subscription_type]],Plans!$A$1:$B$5,2,FALSE)</f>
        <v>4.99</v>
      </c>
      <c r="N2993">
        <f t="shared" si="46"/>
        <v>0</v>
      </c>
    </row>
    <row r="2994" spans="1:14" x14ac:dyDescent="0.35">
      <c r="A2994">
        <v>2993</v>
      </c>
      <c r="B2994" t="s">
        <v>12</v>
      </c>
      <c r="C2994">
        <v>39</v>
      </c>
      <c r="D2994" t="s">
        <v>26</v>
      </c>
      <c r="E2994" t="s">
        <v>24</v>
      </c>
      <c r="F2994">
        <v>172</v>
      </c>
      <c r="G2994">
        <v>8</v>
      </c>
      <c r="H2994">
        <v>0.19</v>
      </c>
      <c r="I2994" t="s">
        <v>19</v>
      </c>
      <c r="J2994">
        <v>0</v>
      </c>
      <c r="K2994">
        <v>1</v>
      </c>
      <c r="L2994">
        <v>1</v>
      </c>
      <c r="M2994">
        <f>VLOOKUP(Table1[[#This Row],[subscription_type]],Plans!$A$1:$B$5,2,FALSE)</f>
        <v>4.99</v>
      </c>
      <c r="N2994">
        <f t="shared" si="46"/>
        <v>4.99</v>
      </c>
    </row>
    <row r="2995" spans="1:14" x14ac:dyDescent="0.35">
      <c r="A2995">
        <v>2994</v>
      </c>
      <c r="B2995" t="s">
        <v>12</v>
      </c>
      <c r="C2995">
        <v>59</v>
      </c>
      <c r="D2995" t="s">
        <v>27</v>
      </c>
      <c r="E2995" t="s">
        <v>24</v>
      </c>
      <c r="F2995">
        <v>138</v>
      </c>
      <c r="G2995">
        <v>3</v>
      </c>
      <c r="H2995">
        <v>0.16</v>
      </c>
      <c r="I2995" t="s">
        <v>15</v>
      </c>
      <c r="J2995">
        <v>0</v>
      </c>
      <c r="K2995">
        <v>1</v>
      </c>
      <c r="L2995">
        <v>1</v>
      </c>
      <c r="M2995">
        <f>VLOOKUP(Table1[[#This Row],[subscription_type]],Plans!$A$1:$B$5,2,FALSE)</f>
        <v>4.99</v>
      </c>
      <c r="N2995">
        <f t="shared" si="46"/>
        <v>4.99</v>
      </c>
    </row>
    <row r="2996" spans="1:14" x14ac:dyDescent="0.35">
      <c r="A2996">
        <v>2995</v>
      </c>
      <c r="B2996" t="s">
        <v>20</v>
      </c>
      <c r="C2996">
        <v>37</v>
      </c>
      <c r="D2996" t="s">
        <v>26</v>
      </c>
      <c r="E2996" t="s">
        <v>22</v>
      </c>
      <c r="F2996">
        <v>135</v>
      </c>
      <c r="G2996">
        <v>10</v>
      </c>
      <c r="H2996">
        <v>0.28999999999999998</v>
      </c>
      <c r="I2996" t="s">
        <v>15</v>
      </c>
      <c r="J2996">
        <v>0</v>
      </c>
      <c r="K2996">
        <v>1</v>
      </c>
      <c r="L2996">
        <v>0</v>
      </c>
      <c r="M2996">
        <f>VLOOKUP(Table1[[#This Row],[subscription_type]],Plans!$A$1:$B$5,2,FALSE)</f>
        <v>9.99</v>
      </c>
      <c r="N2996">
        <f t="shared" si="46"/>
        <v>0</v>
      </c>
    </row>
    <row r="2997" spans="1:14" x14ac:dyDescent="0.35">
      <c r="A2997">
        <v>2996</v>
      </c>
      <c r="B2997" t="s">
        <v>12</v>
      </c>
      <c r="C2997">
        <v>56</v>
      </c>
      <c r="D2997" t="s">
        <v>27</v>
      </c>
      <c r="E2997" t="s">
        <v>24</v>
      </c>
      <c r="F2997">
        <v>167</v>
      </c>
      <c r="G2997">
        <v>51</v>
      </c>
      <c r="H2997">
        <v>0.2</v>
      </c>
      <c r="I2997" t="s">
        <v>19</v>
      </c>
      <c r="J2997">
        <v>0</v>
      </c>
      <c r="K2997">
        <v>1</v>
      </c>
      <c r="L2997">
        <v>0</v>
      </c>
      <c r="M2997">
        <f>VLOOKUP(Table1[[#This Row],[subscription_type]],Plans!$A$1:$B$5,2,FALSE)</f>
        <v>4.99</v>
      </c>
      <c r="N2997">
        <f t="shared" si="46"/>
        <v>0</v>
      </c>
    </row>
    <row r="2998" spans="1:14" x14ac:dyDescent="0.35">
      <c r="A2998">
        <v>2997</v>
      </c>
      <c r="B2998" t="s">
        <v>16</v>
      </c>
      <c r="C2998">
        <v>18</v>
      </c>
      <c r="D2998" t="s">
        <v>25</v>
      </c>
      <c r="E2998" t="s">
        <v>14</v>
      </c>
      <c r="F2998">
        <v>271</v>
      </c>
      <c r="G2998">
        <v>42</v>
      </c>
      <c r="H2998">
        <v>0.31</v>
      </c>
      <c r="I2998" t="s">
        <v>15</v>
      </c>
      <c r="J2998">
        <v>16</v>
      </c>
      <c r="K2998">
        <v>0</v>
      </c>
      <c r="L2998">
        <v>0</v>
      </c>
      <c r="M2998">
        <f>VLOOKUP(Table1[[#This Row],[subscription_type]],Plans!$A$1:$B$5,2,FALSE)</f>
        <v>0</v>
      </c>
      <c r="N2998">
        <f t="shared" si="46"/>
        <v>0</v>
      </c>
    </row>
    <row r="2999" spans="1:14" x14ac:dyDescent="0.35">
      <c r="A2999">
        <v>2998</v>
      </c>
      <c r="B2999" t="s">
        <v>12</v>
      </c>
      <c r="C2999">
        <v>29</v>
      </c>
      <c r="D2999" t="s">
        <v>21</v>
      </c>
      <c r="E2999" t="s">
        <v>22</v>
      </c>
      <c r="F2999">
        <v>271</v>
      </c>
      <c r="G2999">
        <v>64</v>
      </c>
      <c r="H2999">
        <v>0.34</v>
      </c>
      <c r="I2999" t="s">
        <v>23</v>
      </c>
      <c r="J2999">
        <v>0</v>
      </c>
      <c r="K2999">
        <v>1</v>
      </c>
      <c r="L2999">
        <v>0</v>
      </c>
      <c r="M2999">
        <f>VLOOKUP(Table1[[#This Row],[subscription_type]],Plans!$A$1:$B$5,2,FALSE)</f>
        <v>9.99</v>
      </c>
      <c r="N2999">
        <f t="shared" si="46"/>
        <v>0</v>
      </c>
    </row>
    <row r="3000" spans="1:14" x14ac:dyDescent="0.35">
      <c r="A3000">
        <v>2999</v>
      </c>
      <c r="B3000" t="s">
        <v>16</v>
      </c>
      <c r="C3000">
        <v>39</v>
      </c>
      <c r="D3000" t="s">
        <v>28</v>
      </c>
      <c r="E3000" t="s">
        <v>24</v>
      </c>
      <c r="F3000">
        <v>193</v>
      </c>
      <c r="G3000">
        <v>49</v>
      </c>
      <c r="H3000">
        <v>0.2</v>
      </c>
      <c r="I3000" t="s">
        <v>23</v>
      </c>
      <c r="J3000">
        <v>0</v>
      </c>
      <c r="K3000">
        <v>1</v>
      </c>
      <c r="L3000">
        <v>1</v>
      </c>
      <c r="M3000">
        <f>VLOOKUP(Table1[[#This Row],[subscription_type]],Plans!$A$1:$B$5,2,FALSE)</f>
        <v>4.99</v>
      </c>
      <c r="N3000">
        <f t="shared" si="46"/>
        <v>4.99</v>
      </c>
    </row>
    <row r="3001" spans="1:14" x14ac:dyDescent="0.35">
      <c r="A3001">
        <v>3000</v>
      </c>
      <c r="B3001" t="s">
        <v>20</v>
      </c>
      <c r="C3001">
        <v>45</v>
      </c>
      <c r="D3001" t="s">
        <v>25</v>
      </c>
      <c r="E3001" t="s">
        <v>18</v>
      </c>
      <c r="F3001">
        <v>146</v>
      </c>
      <c r="G3001">
        <v>76</v>
      </c>
      <c r="H3001">
        <v>0.56999999999999995</v>
      </c>
      <c r="I3001" t="s">
        <v>19</v>
      </c>
      <c r="J3001">
        <v>0</v>
      </c>
      <c r="K3001">
        <v>1</v>
      </c>
      <c r="L3001">
        <v>1</v>
      </c>
      <c r="M3001">
        <f>VLOOKUP(Table1[[#This Row],[subscription_type]],Plans!$A$1:$B$5,2,FALSE)</f>
        <v>14.99</v>
      </c>
      <c r="N3001">
        <f t="shared" si="46"/>
        <v>14.99</v>
      </c>
    </row>
    <row r="3002" spans="1:14" x14ac:dyDescent="0.35">
      <c r="A3002">
        <v>3001</v>
      </c>
      <c r="B3002" t="s">
        <v>20</v>
      </c>
      <c r="C3002">
        <v>25</v>
      </c>
      <c r="D3002" t="s">
        <v>21</v>
      </c>
      <c r="E3002" t="s">
        <v>14</v>
      </c>
      <c r="F3002">
        <v>276</v>
      </c>
      <c r="G3002">
        <v>15</v>
      </c>
      <c r="H3002">
        <v>0.18</v>
      </c>
      <c r="I3002" t="s">
        <v>15</v>
      </c>
      <c r="J3002">
        <v>47</v>
      </c>
      <c r="K3002">
        <v>0</v>
      </c>
      <c r="L3002">
        <v>0</v>
      </c>
      <c r="M3002">
        <f>VLOOKUP(Table1[[#This Row],[subscription_type]],Plans!$A$1:$B$5,2,FALSE)</f>
        <v>0</v>
      </c>
      <c r="N3002">
        <f t="shared" si="46"/>
        <v>0</v>
      </c>
    </row>
    <row r="3003" spans="1:14" x14ac:dyDescent="0.35">
      <c r="A3003">
        <v>3002</v>
      </c>
      <c r="B3003" t="s">
        <v>20</v>
      </c>
      <c r="C3003">
        <v>19</v>
      </c>
      <c r="D3003" t="s">
        <v>25</v>
      </c>
      <c r="E3003" t="s">
        <v>22</v>
      </c>
      <c r="F3003">
        <v>276</v>
      </c>
      <c r="G3003">
        <v>72</v>
      </c>
      <c r="H3003">
        <v>0.2</v>
      </c>
      <c r="I3003" t="s">
        <v>19</v>
      </c>
      <c r="J3003">
        <v>0</v>
      </c>
      <c r="K3003">
        <v>1</v>
      </c>
      <c r="L3003">
        <v>0</v>
      </c>
      <c r="M3003">
        <f>VLOOKUP(Table1[[#This Row],[subscription_type]],Plans!$A$1:$B$5,2,FALSE)</f>
        <v>9.99</v>
      </c>
      <c r="N3003">
        <f t="shared" si="46"/>
        <v>0</v>
      </c>
    </row>
    <row r="3004" spans="1:14" x14ac:dyDescent="0.35">
      <c r="A3004">
        <v>3003</v>
      </c>
      <c r="B3004" t="s">
        <v>16</v>
      </c>
      <c r="C3004">
        <v>31</v>
      </c>
      <c r="D3004" t="s">
        <v>26</v>
      </c>
      <c r="E3004" t="s">
        <v>24</v>
      </c>
      <c r="F3004">
        <v>82</v>
      </c>
      <c r="G3004">
        <v>37</v>
      </c>
      <c r="H3004">
        <v>0.56000000000000005</v>
      </c>
      <c r="I3004" t="s">
        <v>15</v>
      </c>
      <c r="J3004">
        <v>0</v>
      </c>
      <c r="K3004">
        <v>1</v>
      </c>
      <c r="L3004">
        <v>0</v>
      </c>
      <c r="M3004">
        <f>VLOOKUP(Table1[[#This Row],[subscription_type]],Plans!$A$1:$B$5,2,FALSE)</f>
        <v>4.99</v>
      </c>
      <c r="N3004">
        <f t="shared" si="46"/>
        <v>0</v>
      </c>
    </row>
    <row r="3005" spans="1:14" x14ac:dyDescent="0.35">
      <c r="A3005">
        <v>3004</v>
      </c>
      <c r="B3005" t="s">
        <v>20</v>
      </c>
      <c r="C3005">
        <v>40</v>
      </c>
      <c r="D3005" t="s">
        <v>13</v>
      </c>
      <c r="E3005" t="s">
        <v>22</v>
      </c>
      <c r="F3005">
        <v>250</v>
      </c>
      <c r="G3005">
        <v>45</v>
      </c>
      <c r="H3005">
        <v>0.15</v>
      </c>
      <c r="I3005" t="s">
        <v>23</v>
      </c>
      <c r="J3005">
        <v>0</v>
      </c>
      <c r="K3005">
        <v>1</v>
      </c>
      <c r="L3005">
        <v>0</v>
      </c>
      <c r="M3005">
        <f>VLOOKUP(Table1[[#This Row],[subscription_type]],Plans!$A$1:$B$5,2,FALSE)</f>
        <v>9.99</v>
      </c>
      <c r="N3005">
        <f t="shared" si="46"/>
        <v>0</v>
      </c>
    </row>
    <row r="3006" spans="1:14" x14ac:dyDescent="0.35">
      <c r="A3006">
        <v>3005</v>
      </c>
      <c r="B3006" t="s">
        <v>12</v>
      </c>
      <c r="C3006">
        <v>22</v>
      </c>
      <c r="D3006" t="s">
        <v>29</v>
      </c>
      <c r="E3006" t="s">
        <v>14</v>
      </c>
      <c r="F3006">
        <v>60</v>
      </c>
      <c r="G3006">
        <v>46</v>
      </c>
      <c r="H3006">
        <v>0.02</v>
      </c>
      <c r="I3006" t="s">
        <v>15</v>
      </c>
      <c r="J3006">
        <v>31</v>
      </c>
      <c r="K3006">
        <v>0</v>
      </c>
      <c r="L3006">
        <v>0</v>
      </c>
      <c r="M3006">
        <f>VLOOKUP(Table1[[#This Row],[subscription_type]],Plans!$A$1:$B$5,2,FALSE)</f>
        <v>0</v>
      </c>
      <c r="N3006">
        <f t="shared" si="46"/>
        <v>0</v>
      </c>
    </row>
    <row r="3007" spans="1:14" x14ac:dyDescent="0.35">
      <c r="A3007">
        <v>3006</v>
      </c>
      <c r="B3007" t="s">
        <v>16</v>
      </c>
      <c r="C3007">
        <v>54</v>
      </c>
      <c r="D3007" t="s">
        <v>29</v>
      </c>
      <c r="E3007" t="s">
        <v>14</v>
      </c>
      <c r="F3007">
        <v>115</v>
      </c>
      <c r="G3007">
        <v>84</v>
      </c>
      <c r="H3007">
        <v>0.28000000000000003</v>
      </c>
      <c r="I3007" t="s">
        <v>15</v>
      </c>
      <c r="J3007">
        <v>6</v>
      </c>
      <c r="K3007">
        <v>0</v>
      </c>
      <c r="L3007">
        <v>0</v>
      </c>
      <c r="M3007">
        <f>VLOOKUP(Table1[[#This Row],[subscription_type]],Plans!$A$1:$B$5,2,FALSE)</f>
        <v>0</v>
      </c>
      <c r="N3007">
        <f t="shared" si="46"/>
        <v>0</v>
      </c>
    </row>
    <row r="3008" spans="1:14" x14ac:dyDescent="0.35">
      <c r="A3008">
        <v>3007</v>
      </c>
      <c r="B3008" t="s">
        <v>16</v>
      </c>
      <c r="C3008">
        <v>50</v>
      </c>
      <c r="D3008" t="s">
        <v>25</v>
      </c>
      <c r="E3008" t="s">
        <v>18</v>
      </c>
      <c r="F3008">
        <v>104</v>
      </c>
      <c r="G3008">
        <v>13</v>
      </c>
      <c r="H3008">
        <v>0.21</v>
      </c>
      <c r="I3008" t="s">
        <v>23</v>
      </c>
      <c r="J3008">
        <v>0</v>
      </c>
      <c r="K3008">
        <v>1</v>
      </c>
      <c r="L3008">
        <v>1</v>
      </c>
      <c r="M3008">
        <f>VLOOKUP(Table1[[#This Row],[subscription_type]],Plans!$A$1:$B$5,2,FALSE)</f>
        <v>14.99</v>
      </c>
      <c r="N3008">
        <f t="shared" si="46"/>
        <v>14.99</v>
      </c>
    </row>
    <row r="3009" spans="1:14" x14ac:dyDescent="0.35">
      <c r="A3009">
        <v>3008</v>
      </c>
      <c r="B3009" t="s">
        <v>20</v>
      </c>
      <c r="C3009">
        <v>53</v>
      </c>
      <c r="D3009" t="s">
        <v>21</v>
      </c>
      <c r="E3009" t="s">
        <v>18</v>
      </c>
      <c r="F3009">
        <v>219</v>
      </c>
      <c r="G3009">
        <v>61</v>
      </c>
      <c r="H3009">
        <v>0.23</v>
      </c>
      <c r="I3009" t="s">
        <v>15</v>
      </c>
      <c r="J3009">
        <v>0</v>
      </c>
      <c r="K3009">
        <v>1</v>
      </c>
      <c r="L3009">
        <v>1</v>
      </c>
      <c r="M3009">
        <f>VLOOKUP(Table1[[#This Row],[subscription_type]],Plans!$A$1:$B$5,2,FALSE)</f>
        <v>14.99</v>
      </c>
      <c r="N3009">
        <f t="shared" si="46"/>
        <v>14.99</v>
      </c>
    </row>
    <row r="3010" spans="1:14" x14ac:dyDescent="0.35">
      <c r="A3010">
        <v>3009</v>
      </c>
      <c r="B3010" t="s">
        <v>12</v>
      </c>
      <c r="C3010">
        <v>54</v>
      </c>
      <c r="D3010" t="s">
        <v>28</v>
      </c>
      <c r="E3010" t="s">
        <v>14</v>
      </c>
      <c r="F3010">
        <v>109</v>
      </c>
      <c r="G3010">
        <v>89</v>
      </c>
      <c r="H3010">
        <v>0.21</v>
      </c>
      <c r="I3010" t="s">
        <v>23</v>
      </c>
      <c r="J3010">
        <v>30</v>
      </c>
      <c r="K3010">
        <v>0</v>
      </c>
      <c r="L3010">
        <v>0</v>
      </c>
      <c r="M3010">
        <f>VLOOKUP(Table1[[#This Row],[subscription_type]],Plans!$A$1:$B$5,2,FALSE)</f>
        <v>0</v>
      </c>
      <c r="N3010">
        <f t="shared" ref="N3010:N3073" si="47">IF(L3010=1, M3010,0)</f>
        <v>0</v>
      </c>
    </row>
    <row r="3011" spans="1:14" x14ac:dyDescent="0.35">
      <c r="A3011">
        <v>3010</v>
      </c>
      <c r="B3011" t="s">
        <v>20</v>
      </c>
      <c r="C3011">
        <v>47</v>
      </c>
      <c r="D3011" t="s">
        <v>21</v>
      </c>
      <c r="E3011" t="s">
        <v>18</v>
      </c>
      <c r="F3011">
        <v>163</v>
      </c>
      <c r="G3011">
        <v>50</v>
      </c>
      <c r="H3011">
        <v>0.05</v>
      </c>
      <c r="I3011" t="s">
        <v>15</v>
      </c>
      <c r="J3011">
        <v>0</v>
      </c>
      <c r="K3011">
        <v>1</v>
      </c>
      <c r="L3011">
        <v>1</v>
      </c>
      <c r="M3011">
        <f>VLOOKUP(Table1[[#This Row],[subscription_type]],Plans!$A$1:$B$5,2,FALSE)</f>
        <v>14.99</v>
      </c>
      <c r="N3011">
        <f t="shared" si="47"/>
        <v>14.99</v>
      </c>
    </row>
    <row r="3012" spans="1:14" x14ac:dyDescent="0.35">
      <c r="A3012">
        <v>3011</v>
      </c>
      <c r="B3012" t="s">
        <v>16</v>
      </c>
      <c r="C3012">
        <v>35</v>
      </c>
      <c r="D3012" t="s">
        <v>28</v>
      </c>
      <c r="E3012" t="s">
        <v>14</v>
      </c>
      <c r="F3012">
        <v>265</v>
      </c>
      <c r="G3012">
        <v>25</v>
      </c>
      <c r="H3012">
        <v>0.22</v>
      </c>
      <c r="I3012" t="s">
        <v>19</v>
      </c>
      <c r="J3012">
        <v>48</v>
      </c>
      <c r="K3012">
        <v>0</v>
      </c>
      <c r="L3012">
        <v>0</v>
      </c>
      <c r="M3012">
        <f>VLOOKUP(Table1[[#This Row],[subscription_type]],Plans!$A$1:$B$5,2,FALSE)</f>
        <v>0</v>
      </c>
      <c r="N3012">
        <f t="shared" si="47"/>
        <v>0</v>
      </c>
    </row>
    <row r="3013" spans="1:14" x14ac:dyDescent="0.35">
      <c r="A3013">
        <v>3012</v>
      </c>
      <c r="B3013" t="s">
        <v>20</v>
      </c>
      <c r="C3013">
        <v>29</v>
      </c>
      <c r="D3013" t="s">
        <v>21</v>
      </c>
      <c r="E3013" t="s">
        <v>22</v>
      </c>
      <c r="F3013">
        <v>117</v>
      </c>
      <c r="G3013">
        <v>26</v>
      </c>
      <c r="H3013">
        <v>0.13</v>
      </c>
      <c r="I3013" t="s">
        <v>19</v>
      </c>
      <c r="J3013">
        <v>0</v>
      </c>
      <c r="K3013">
        <v>1</v>
      </c>
      <c r="L3013">
        <v>0</v>
      </c>
      <c r="M3013">
        <f>VLOOKUP(Table1[[#This Row],[subscription_type]],Plans!$A$1:$B$5,2,FALSE)</f>
        <v>9.99</v>
      </c>
      <c r="N3013">
        <f t="shared" si="47"/>
        <v>0</v>
      </c>
    </row>
    <row r="3014" spans="1:14" x14ac:dyDescent="0.35">
      <c r="A3014">
        <v>3013</v>
      </c>
      <c r="B3014" t="s">
        <v>16</v>
      </c>
      <c r="C3014">
        <v>54</v>
      </c>
      <c r="D3014" t="s">
        <v>28</v>
      </c>
      <c r="E3014" t="s">
        <v>22</v>
      </c>
      <c r="F3014">
        <v>219</v>
      </c>
      <c r="G3014">
        <v>22</v>
      </c>
      <c r="H3014">
        <v>0.38</v>
      </c>
      <c r="I3014" t="s">
        <v>15</v>
      </c>
      <c r="J3014">
        <v>0</v>
      </c>
      <c r="K3014">
        <v>1</v>
      </c>
      <c r="L3014">
        <v>0</v>
      </c>
      <c r="M3014">
        <f>VLOOKUP(Table1[[#This Row],[subscription_type]],Plans!$A$1:$B$5,2,FALSE)</f>
        <v>9.99</v>
      </c>
      <c r="N3014">
        <f t="shared" si="47"/>
        <v>0</v>
      </c>
    </row>
    <row r="3015" spans="1:14" x14ac:dyDescent="0.35">
      <c r="A3015">
        <v>3014</v>
      </c>
      <c r="B3015" t="s">
        <v>12</v>
      </c>
      <c r="C3015">
        <v>47</v>
      </c>
      <c r="D3015" t="s">
        <v>25</v>
      </c>
      <c r="E3015" t="s">
        <v>22</v>
      </c>
      <c r="F3015">
        <v>15</v>
      </c>
      <c r="G3015">
        <v>7</v>
      </c>
      <c r="H3015">
        <v>0.04</v>
      </c>
      <c r="I3015" t="s">
        <v>23</v>
      </c>
      <c r="J3015">
        <v>0</v>
      </c>
      <c r="K3015">
        <v>1</v>
      </c>
      <c r="L3015">
        <v>0</v>
      </c>
      <c r="M3015">
        <f>VLOOKUP(Table1[[#This Row],[subscription_type]],Plans!$A$1:$B$5,2,FALSE)</f>
        <v>9.99</v>
      </c>
      <c r="N3015">
        <f t="shared" si="47"/>
        <v>0</v>
      </c>
    </row>
    <row r="3016" spans="1:14" x14ac:dyDescent="0.35">
      <c r="A3016">
        <v>3015</v>
      </c>
      <c r="B3016" t="s">
        <v>12</v>
      </c>
      <c r="C3016">
        <v>19</v>
      </c>
      <c r="D3016" t="s">
        <v>17</v>
      </c>
      <c r="E3016" t="s">
        <v>14</v>
      </c>
      <c r="F3016">
        <v>87</v>
      </c>
      <c r="G3016">
        <v>61</v>
      </c>
      <c r="H3016">
        <v>0.45</v>
      </c>
      <c r="I3016" t="s">
        <v>19</v>
      </c>
      <c r="J3016">
        <v>16</v>
      </c>
      <c r="K3016">
        <v>0</v>
      </c>
      <c r="L3016">
        <v>0</v>
      </c>
      <c r="M3016">
        <f>VLOOKUP(Table1[[#This Row],[subscription_type]],Plans!$A$1:$B$5,2,FALSE)</f>
        <v>0</v>
      </c>
      <c r="N3016">
        <f t="shared" si="47"/>
        <v>0</v>
      </c>
    </row>
    <row r="3017" spans="1:14" x14ac:dyDescent="0.35">
      <c r="A3017">
        <v>3016</v>
      </c>
      <c r="B3017" t="s">
        <v>20</v>
      </c>
      <c r="C3017">
        <v>37</v>
      </c>
      <c r="D3017" t="s">
        <v>21</v>
      </c>
      <c r="E3017" t="s">
        <v>24</v>
      </c>
      <c r="F3017">
        <v>50</v>
      </c>
      <c r="G3017">
        <v>53</v>
      </c>
      <c r="H3017">
        <v>0.42</v>
      </c>
      <c r="I3017" t="s">
        <v>19</v>
      </c>
      <c r="J3017">
        <v>0</v>
      </c>
      <c r="K3017">
        <v>1</v>
      </c>
      <c r="L3017">
        <v>0</v>
      </c>
      <c r="M3017">
        <f>VLOOKUP(Table1[[#This Row],[subscription_type]],Plans!$A$1:$B$5,2,FALSE)</f>
        <v>4.99</v>
      </c>
      <c r="N3017">
        <f t="shared" si="47"/>
        <v>0</v>
      </c>
    </row>
    <row r="3018" spans="1:14" x14ac:dyDescent="0.35">
      <c r="A3018">
        <v>3017</v>
      </c>
      <c r="B3018" t="s">
        <v>20</v>
      </c>
      <c r="C3018">
        <v>48</v>
      </c>
      <c r="D3018" t="s">
        <v>26</v>
      </c>
      <c r="E3018" t="s">
        <v>24</v>
      </c>
      <c r="F3018">
        <v>130</v>
      </c>
      <c r="G3018">
        <v>3</v>
      </c>
      <c r="H3018">
        <v>0.3</v>
      </c>
      <c r="I3018" t="s">
        <v>15</v>
      </c>
      <c r="J3018">
        <v>0</v>
      </c>
      <c r="K3018">
        <v>1</v>
      </c>
      <c r="L3018">
        <v>0</v>
      </c>
      <c r="M3018">
        <f>VLOOKUP(Table1[[#This Row],[subscription_type]],Plans!$A$1:$B$5,2,FALSE)</f>
        <v>4.99</v>
      </c>
      <c r="N3018">
        <f t="shared" si="47"/>
        <v>0</v>
      </c>
    </row>
    <row r="3019" spans="1:14" x14ac:dyDescent="0.35">
      <c r="A3019">
        <v>3018</v>
      </c>
      <c r="B3019" t="s">
        <v>20</v>
      </c>
      <c r="C3019">
        <v>41</v>
      </c>
      <c r="D3019" t="s">
        <v>13</v>
      </c>
      <c r="E3019" t="s">
        <v>18</v>
      </c>
      <c r="F3019">
        <v>104</v>
      </c>
      <c r="G3019">
        <v>56</v>
      </c>
      <c r="H3019">
        <v>0.17</v>
      </c>
      <c r="I3019" t="s">
        <v>19</v>
      </c>
      <c r="J3019">
        <v>0</v>
      </c>
      <c r="K3019">
        <v>1</v>
      </c>
      <c r="L3019">
        <v>1</v>
      </c>
      <c r="M3019">
        <f>VLOOKUP(Table1[[#This Row],[subscription_type]],Plans!$A$1:$B$5,2,FALSE)</f>
        <v>14.99</v>
      </c>
      <c r="N3019">
        <f t="shared" si="47"/>
        <v>14.99</v>
      </c>
    </row>
    <row r="3020" spans="1:14" x14ac:dyDescent="0.35">
      <c r="A3020">
        <v>3019</v>
      </c>
      <c r="B3020" t="s">
        <v>16</v>
      </c>
      <c r="C3020">
        <v>55</v>
      </c>
      <c r="D3020" t="s">
        <v>21</v>
      </c>
      <c r="E3020" t="s">
        <v>24</v>
      </c>
      <c r="F3020">
        <v>166</v>
      </c>
      <c r="G3020">
        <v>17</v>
      </c>
      <c r="H3020">
        <v>0.13</v>
      </c>
      <c r="I3020" t="s">
        <v>15</v>
      </c>
      <c r="J3020">
        <v>0</v>
      </c>
      <c r="K3020">
        <v>1</v>
      </c>
      <c r="L3020">
        <v>1</v>
      </c>
      <c r="M3020">
        <f>VLOOKUP(Table1[[#This Row],[subscription_type]],Plans!$A$1:$B$5,2,FALSE)</f>
        <v>4.99</v>
      </c>
      <c r="N3020">
        <f t="shared" si="47"/>
        <v>4.99</v>
      </c>
    </row>
    <row r="3021" spans="1:14" x14ac:dyDescent="0.35">
      <c r="A3021">
        <v>3020</v>
      </c>
      <c r="B3021" t="s">
        <v>20</v>
      </c>
      <c r="C3021">
        <v>28</v>
      </c>
      <c r="D3021" t="s">
        <v>21</v>
      </c>
      <c r="E3021" t="s">
        <v>18</v>
      </c>
      <c r="F3021">
        <v>126</v>
      </c>
      <c r="G3021">
        <v>59</v>
      </c>
      <c r="H3021">
        <v>0.36</v>
      </c>
      <c r="I3021" t="s">
        <v>23</v>
      </c>
      <c r="J3021">
        <v>0</v>
      </c>
      <c r="K3021">
        <v>1</v>
      </c>
      <c r="L3021">
        <v>0</v>
      </c>
      <c r="M3021">
        <f>VLOOKUP(Table1[[#This Row],[subscription_type]],Plans!$A$1:$B$5,2,FALSE)</f>
        <v>14.99</v>
      </c>
      <c r="N3021">
        <f t="shared" si="47"/>
        <v>0</v>
      </c>
    </row>
    <row r="3022" spans="1:14" x14ac:dyDescent="0.35">
      <c r="A3022">
        <v>3021</v>
      </c>
      <c r="B3022" t="s">
        <v>16</v>
      </c>
      <c r="C3022">
        <v>38</v>
      </c>
      <c r="D3022" t="s">
        <v>26</v>
      </c>
      <c r="E3022" t="s">
        <v>24</v>
      </c>
      <c r="F3022">
        <v>148</v>
      </c>
      <c r="G3022">
        <v>82</v>
      </c>
      <c r="H3022">
        <v>0.31</v>
      </c>
      <c r="I3022" t="s">
        <v>15</v>
      </c>
      <c r="J3022">
        <v>0</v>
      </c>
      <c r="K3022">
        <v>1</v>
      </c>
      <c r="L3022">
        <v>1</v>
      </c>
      <c r="M3022">
        <f>VLOOKUP(Table1[[#This Row],[subscription_type]],Plans!$A$1:$B$5,2,FALSE)</f>
        <v>4.99</v>
      </c>
      <c r="N3022">
        <f t="shared" si="47"/>
        <v>4.99</v>
      </c>
    </row>
    <row r="3023" spans="1:14" x14ac:dyDescent="0.35">
      <c r="A3023">
        <v>3022</v>
      </c>
      <c r="B3023" t="s">
        <v>20</v>
      </c>
      <c r="C3023">
        <v>54</v>
      </c>
      <c r="D3023" t="s">
        <v>29</v>
      </c>
      <c r="E3023" t="s">
        <v>18</v>
      </c>
      <c r="F3023">
        <v>193</v>
      </c>
      <c r="G3023">
        <v>50</v>
      </c>
      <c r="H3023">
        <v>0.15</v>
      </c>
      <c r="I3023" t="s">
        <v>23</v>
      </c>
      <c r="J3023">
        <v>0</v>
      </c>
      <c r="K3023">
        <v>1</v>
      </c>
      <c r="L3023">
        <v>1</v>
      </c>
      <c r="M3023">
        <f>VLOOKUP(Table1[[#This Row],[subscription_type]],Plans!$A$1:$B$5,2,FALSE)</f>
        <v>14.99</v>
      </c>
      <c r="N3023">
        <f t="shared" si="47"/>
        <v>14.99</v>
      </c>
    </row>
    <row r="3024" spans="1:14" x14ac:dyDescent="0.35">
      <c r="A3024">
        <v>3023</v>
      </c>
      <c r="B3024" t="s">
        <v>12</v>
      </c>
      <c r="C3024">
        <v>30</v>
      </c>
      <c r="D3024" t="s">
        <v>13</v>
      </c>
      <c r="E3024" t="s">
        <v>18</v>
      </c>
      <c r="F3024">
        <v>294</v>
      </c>
      <c r="G3024">
        <v>40</v>
      </c>
      <c r="H3024">
        <v>0.54</v>
      </c>
      <c r="I3024" t="s">
        <v>19</v>
      </c>
      <c r="J3024">
        <v>0</v>
      </c>
      <c r="K3024">
        <v>1</v>
      </c>
      <c r="L3024">
        <v>0</v>
      </c>
      <c r="M3024">
        <f>VLOOKUP(Table1[[#This Row],[subscription_type]],Plans!$A$1:$B$5,2,FALSE)</f>
        <v>14.99</v>
      </c>
      <c r="N3024">
        <f t="shared" si="47"/>
        <v>0</v>
      </c>
    </row>
    <row r="3025" spans="1:14" x14ac:dyDescent="0.35">
      <c r="A3025">
        <v>3024</v>
      </c>
      <c r="B3025" t="s">
        <v>12</v>
      </c>
      <c r="C3025">
        <v>56</v>
      </c>
      <c r="D3025" t="s">
        <v>28</v>
      </c>
      <c r="E3025" t="s">
        <v>22</v>
      </c>
      <c r="F3025">
        <v>51</v>
      </c>
      <c r="G3025">
        <v>43</v>
      </c>
      <c r="H3025">
        <v>0.45</v>
      </c>
      <c r="I3025" t="s">
        <v>19</v>
      </c>
      <c r="J3025">
        <v>0</v>
      </c>
      <c r="K3025">
        <v>1</v>
      </c>
      <c r="L3025">
        <v>0</v>
      </c>
      <c r="M3025">
        <f>VLOOKUP(Table1[[#This Row],[subscription_type]],Plans!$A$1:$B$5,2,FALSE)</f>
        <v>9.99</v>
      </c>
      <c r="N3025">
        <f t="shared" si="47"/>
        <v>0</v>
      </c>
    </row>
    <row r="3026" spans="1:14" x14ac:dyDescent="0.35">
      <c r="A3026">
        <v>3025</v>
      </c>
      <c r="B3026" t="s">
        <v>20</v>
      </c>
      <c r="C3026">
        <v>43</v>
      </c>
      <c r="D3026" t="s">
        <v>21</v>
      </c>
      <c r="E3026" t="s">
        <v>18</v>
      </c>
      <c r="F3026">
        <v>252</v>
      </c>
      <c r="G3026">
        <v>51</v>
      </c>
      <c r="H3026">
        <v>0.42</v>
      </c>
      <c r="I3026" t="s">
        <v>23</v>
      </c>
      <c r="J3026">
        <v>0</v>
      </c>
      <c r="K3026">
        <v>1</v>
      </c>
      <c r="L3026">
        <v>0</v>
      </c>
      <c r="M3026">
        <f>VLOOKUP(Table1[[#This Row],[subscription_type]],Plans!$A$1:$B$5,2,FALSE)</f>
        <v>14.99</v>
      </c>
      <c r="N3026">
        <f t="shared" si="47"/>
        <v>0</v>
      </c>
    </row>
    <row r="3027" spans="1:14" x14ac:dyDescent="0.35">
      <c r="A3027">
        <v>3026</v>
      </c>
      <c r="B3027" t="s">
        <v>12</v>
      </c>
      <c r="C3027">
        <v>43</v>
      </c>
      <c r="D3027" t="s">
        <v>21</v>
      </c>
      <c r="E3027" t="s">
        <v>14</v>
      </c>
      <c r="F3027">
        <v>215</v>
      </c>
      <c r="G3027">
        <v>71</v>
      </c>
      <c r="H3027">
        <v>0.55000000000000004</v>
      </c>
      <c r="I3027" t="s">
        <v>19</v>
      </c>
      <c r="J3027">
        <v>42</v>
      </c>
      <c r="K3027">
        <v>0</v>
      </c>
      <c r="L3027">
        <v>0</v>
      </c>
      <c r="M3027">
        <f>VLOOKUP(Table1[[#This Row],[subscription_type]],Plans!$A$1:$B$5,2,FALSE)</f>
        <v>0</v>
      </c>
      <c r="N3027">
        <f t="shared" si="47"/>
        <v>0</v>
      </c>
    </row>
    <row r="3028" spans="1:14" x14ac:dyDescent="0.35">
      <c r="A3028">
        <v>3027</v>
      </c>
      <c r="B3028" t="s">
        <v>16</v>
      </c>
      <c r="C3028">
        <v>54</v>
      </c>
      <c r="D3028" t="s">
        <v>26</v>
      </c>
      <c r="E3028" t="s">
        <v>22</v>
      </c>
      <c r="F3028">
        <v>173</v>
      </c>
      <c r="G3028">
        <v>43</v>
      </c>
      <c r="H3028">
        <v>0.18</v>
      </c>
      <c r="I3028" t="s">
        <v>23</v>
      </c>
      <c r="J3028">
        <v>0</v>
      </c>
      <c r="K3028">
        <v>1</v>
      </c>
      <c r="L3028">
        <v>0</v>
      </c>
      <c r="M3028">
        <f>VLOOKUP(Table1[[#This Row],[subscription_type]],Plans!$A$1:$B$5,2,FALSE)</f>
        <v>9.99</v>
      </c>
      <c r="N3028">
        <f t="shared" si="47"/>
        <v>0</v>
      </c>
    </row>
    <row r="3029" spans="1:14" x14ac:dyDescent="0.35">
      <c r="A3029">
        <v>3028</v>
      </c>
      <c r="B3029" t="s">
        <v>16</v>
      </c>
      <c r="C3029">
        <v>39</v>
      </c>
      <c r="D3029" t="s">
        <v>29</v>
      </c>
      <c r="E3029" t="s">
        <v>18</v>
      </c>
      <c r="F3029">
        <v>207</v>
      </c>
      <c r="G3029">
        <v>98</v>
      </c>
      <c r="H3029">
        <v>0.6</v>
      </c>
      <c r="I3029" t="s">
        <v>23</v>
      </c>
      <c r="J3029">
        <v>0</v>
      </c>
      <c r="K3029">
        <v>1</v>
      </c>
      <c r="L3029">
        <v>1</v>
      </c>
      <c r="M3029">
        <f>VLOOKUP(Table1[[#This Row],[subscription_type]],Plans!$A$1:$B$5,2,FALSE)</f>
        <v>14.99</v>
      </c>
      <c r="N3029">
        <f t="shared" si="47"/>
        <v>14.99</v>
      </c>
    </row>
    <row r="3030" spans="1:14" x14ac:dyDescent="0.35">
      <c r="A3030">
        <v>3029</v>
      </c>
      <c r="B3030" t="s">
        <v>16</v>
      </c>
      <c r="C3030">
        <v>28</v>
      </c>
      <c r="D3030" t="s">
        <v>27</v>
      </c>
      <c r="E3030" t="s">
        <v>18</v>
      </c>
      <c r="F3030">
        <v>205</v>
      </c>
      <c r="G3030">
        <v>60</v>
      </c>
      <c r="H3030">
        <v>0.32</v>
      </c>
      <c r="I3030" t="s">
        <v>23</v>
      </c>
      <c r="J3030">
        <v>0</v>
      </c>
      <c r="K3030">
        <v>1</v>
      </c>
      <c r="L3030">
        <v>0</v>
      </c>
      <c r="M3030">
        <f>VLOOKUP(Table1[[#This Row],[subscription_type]],Plans!$A$1:$B$5,2,FALSE)</f>
        <v>14.99</v>
      </c>
      <c r="N3030">
        <f t="shared" si="47"/>
        <v>0</v>
      </c>
    </row>
    <row r="3031" spans="1:14" x14ac:dyDescent="0.35">
      <c r="A3031">
        <v>3030</v>
      </c>
      <c r="B3031" t="s">
        <v>12</v>
      </c>
      <c r="C3031">
        <v>34</v>
      </c>
      <c r="D3031" t="s">
        <v>29</v>
      </c>
      <c r="E3031" t="s">
        <v>14</v>
      </c>
      <c r="F3031">
        <v>76</v>
      </c>
      <c r="G3031">
        <v>23</v>
      </c>
      <c r="H3031">
        <v>0.03</v>
      </c>
      <c r="I3031" t="s">
        <v>19</v>
      </c>
      <c r="J3031">
        <v>48</v>
      </c>
      <c r="K3031">
        <v>0</v>
      </c>
      <c r="L3031">
        <v>0</v>
      </c>
      <c r="M3031">
        <f>VLOOKUP(Table1[[#This Row],[subscription_type]],Plans!$A$1:$B$5,2,FALSE)</f>
        <v>0</v>
      </c>
      <c r="N3031">
        <f t="shared" si="47"/>
        <v>0</v>
      </c>
    </row>
    <row r="3032" spans="1:14" x14ac:dyDescent="0.35">
      <c r="A3032">
        <v>3031</v>
      </c>
      <c r="B3032" t="s">
        <v>20</v>
      </c>
      <c r="C3032">
        <v>21</v>
      </c>
      <c r="D3032" t="s">
        <v>13</v>
      </c>
      <c r="E3032" t="s">
        <v>14</v>
      </c>
      <c r="F3032">
        <v>200</v>
      </c>
      <c r="G3032">
        <v>34</v>
      </c>
      <c r="H3032">
        <v>0.48</v>
      </c>
      <c r="I3032" t="s">
        <v>19</v>
      </c>
      <c r="J3032">
        <v>28</v>
      </c>
      <c r="K3032">
        <v>0</v>
      </c>
      <c r="L3032">
        <v>0</v>
      </c>
      <c r="M3032">
        <f>VLOOKUP(Table1[[#This Row],[subscription_type]],Plans!$A$1:$B$5,2,FALSE)</f>
        <v>0</v>
      </c>
      <c r="N3032">
        <f t="shared" si="47"/>
        <v>0</v>
      </c>
    </row>
    <row r="3033" spans="1:14" x14ac:dyDescent="0.35">
      <c r="A3033">
        <v>3032</v>
      </c>
      <c r="B3033" t="s">
        <v>20</v>
      </c>
      <c r="C3033">
        <v>19</v>
      </c>
      <c r="D3033" t="s">
        <v>17</v>
      </c>
      <c r="E3033" t="s">
        <v>24</v>
      </c>
      <c r="F3033">
        <v>170</v>
      </c>
      <c r="G3033">
        <v>84</v>
      </c>
      <c r="H3033">
        <v>0.43</v>
      </c>
      <c r="I3033" t="s">
        <v>23</v>
      </c>
      <c r="J3033">
        <v>0</v>
      </c>
      <c r="K3033">
        <v>1</v>
      </c>
      <c r="L3033">
        <v>0</v>
      </c>
      <c r="M3033">
        <f>VLOOKUP(Table1[[#This Row],[subscription_type]],Plans!$A$1:$B$5,2,FALSE)</f>
        <v>4.99</v>
      </c>
      <c r="N3033">
        <f t="shared" si="47"/>
        <v>0</v>
      </c>
    </row>
    <row r="3034" spans="1:14" x14ac:dyDescent="0.35">
      <c r="A3034">
        <v>3033</v>
      </c>
      <c r="B3034" t="s">
        <v>12</v>
      </c>
      <c r="C3034">
        <v>26</v>
      </c>
      <c r="D3034" t="s">
        <v>29</v>
      </c>
      <c r="E3034" t="s">
        <v>22</v>
      </c>
      <c r="F3034">
        <v>107</v>
      </c>
      <c r="G3034">
        <v>24</v>
      </c>
      <c r="H3034">
        <v>0.08</v>
      </c>
      <c r="I3034" t="s">
        <v>23</v>
      </c>
      <c r="J3034">
        <v>0</v>
      </c>
      <c r="K3034">
        <v>1</v>
      </c>
      <c r="L3034">
        <v>1</v>
      </c>
      <c r="M3034">
        <f>VLOOKUP(Table1[[#This Row],[subscription_type]],Plans!$A$1:$B$5,2,FALSE)</f>
        <v>9.99</v>
      </c>
      <c r="N3034">
        <f t="shared" si="47"/>
        <v>9.99</v>
      </c>
    </row>
    <row r="3035" spans="1:14" x14ac:dyDescent="0.35">
      <c r="A3035">
        <v>3034</v>
      </c>
      <c r="B3035" t="s">
        <v>16</v>
      </c>
      <c r="C3035">
        <v>57</v>
      </c>
      <c r="D3035" t="s">
        <v>25</v>
      </c>
      <c r="E3035" t="s">
        <v>22</v>
      </c>
      <c r="F3035">
        <v>96</v>
      </c>
      <c r="G3035">
        <v>72</v>
      </c>
      <c r="H3035">
        <v>0.19</v>
      </c>
      <c r="I3035" t="s">
        <v>15</v>
      </c>
      <c r="J3035">
        <v>0</v>
      </c>
      <c r="K3035">
        <v>1</v>
      </c>
      <c r="L3035">
        <v>0</v>
      </c>
      <c r="M3035">
        <f>VLOOKUP(Table1[[#This Row],[subscription_type]],Plans!$A$1:$B$5,2,FALSE)</f>
        <v>9.99</v>
      </c>
      <c r="N3035">
        <f t="shared" si="47"/>
        <v>0</v>
      </c>
    </row>
    <row r="3036" spans="1:14" x14ac:dyDescent="0.35">
      <c r="A3036">
        <v>3035</v>
      </c>
      <c r="B3036" t="s">
        <v>20</v>
      </c>
      <c r="C3036">
        <v>39</v>
      </c>
      <c r="D3036" t="s">
        <v>13</v>
      </c>
      <c r="E3036" t="s">
        <v>18</v>
      </c>
      <c r="F3036">
        <v>128</v>
      </c>
      <c r="G3036">
        <v>21</v>
      </c>
      <c r="H3036">
        <v>0.31</v>
      </c>
      <c r="I3036" t="s">
        <v>15</v>
      </c>
      <c r="J3036">
        <v>0</v>
      </c>
      <c r="K3036">
        <v>1</v>
      </c>
      <c r="L3036">
        <v>0</v>
      </c>
      <c r="M3036">
        <f>VLOOKUP(Table1[[#This Row],[subscription_type]],Plans!$A$1:$B$5,2,FALSE)</f>
        <v>14.99</v>
      </c>
      <c r="N3036">
        <f t="shared" si="47"/>
        <v>0</v>
      </c>
    </row>
    <row r="3037" spans="1:14" x14ac:dyDescent="0.35">
      <c r="A3037">
        <v>3036</v>
      </c>
      <c r="B3037" t="s">
        <v>12</v>
      </c>
      <c r="C3037">
        <v>28</v>
      </c>
      <c r="D3037" t="s">
        <v>13</v>
      </c>
      <c r="E3037" t="s">
        <v>24</v>
      </c>
      <c r="F3037">
        <v>223</v>
      </c>
      <c r="G3037">
        <v>62</v>
      </c>
      <c r="H3037">
        <v>0.3</v>
      </c>
      <c r="I3037" t="s">
        <v>19</v>
      </c>
      <c r="J3037">
        <v>0</v>
      </c>
      <c r="K3037">
        <v>1</v>
      </c>
      <c r="L3037">
        <v>0</v>
      </c>
      <c r="M3037">
        <f>VLOOKUP(Table1[[#This Row],[subscription_type]],Plans!$A$1:$B$5,2,FALSE)</f>
        <v>4.99</v>
      </c>
      <c r="N3037">
        <f t="shared" si="47"/>
        <v>0</v>
      </c>
    </row>
    <row r="3038" spans="1:14" x14ac:dyDescent="0.35">
      <c r="A3038">
        <v>3037</v>
      </c>
      <c r="B3038" t="s">
        <v>16</v>
      </c>
      <c r="C3038">
        <v>30</v>
      </c>
      <c r="D3038" t="s">
        <v>17</v>
      </c>
      <c r="E3038" t="s">
        <v>22</v>
      </c>
      <c r="F3038">
        <v>230</v>
      </c>
      <c r="G3038">
        <v>48</v>
      </c>
      <c r="H3038">
        <v>0.54</v>
      </c>
      <c r="I3038" t="s">
        <v>19</v>
      </c>
      <c r="J3038">
        <v>0</v>
      </c>
      <c r="K3038">
        <v>1</v>
      </c>
      <c r="L3038">
        <v>0</v>
      </c>
      <c r="M3038">
        <f>VLOOKUP(Table1[[#This Row],[subscription_type]],Plans!$A$1:$B$5,2,FALSE)</f>
        <v>9.99</v>
      </c>
      <c r="N3038">
        <f t="shared" si="47"/>
        <v>0</v>
      </c>
    </row>
    <row r="3039" spans="1:14" x14ac:dyDescent="0.35">
      <c r="A3039">
        <v>3038</v>
      </c>
      <c r="B3039" t="s">
        <v>16</v>
      </c>
      <c r="C3039">
        <v>18</v>
      </c>
      <c r="D3039" t="s">
        <v>13</v>
      </c>
      <c r="E3039" t="s">
        <v>14</v>
      </c>
      <c r="F3039">
        <v>150</v>
      </c>
      <c r="G3039">
        <v>51</v>
      </c>
      <c r="H3039">
        <v>0.44</v>
      </c>
      <c r="I3039" t="s">
        <v>19</v>
      </c>
      <c r="J3039">
        <v>14</v>
      </c>
      <c r="K3039">
        <v>0</v>
      </c>
      <c r="L3039">
        <v>0</v>
      </c>
      <c r="M3039">
        <f>VLOOKUP(Table1[[#This Row],[subscription_type]],Plans!$A$1:$B$5,2,FALSE)</f>
        <v>0</v>
      </c>
      <c r="N3039">
        <f t="shared" si="47"/>
        <v>0</v>
      </c>
    </row>
    <row r="3040" spans="1:14" x14ac:dyDescent="0.35">
      <c r="A3040">
        <v>3039</v>
      </c>
      <c r="B3040" t="s">
        <v>20</v>
      </c>
      <c r="C3040">
        <v>51</v>
      </c>
      <c r="D3040" t="s">
        <v>29</v>
      </c>
      <c r="E3040" t="s">
        <v>14</v>
      </c>
      <c r="F3040">
        <v>251</v>
      </c>
      <c r="G3040">
        <v>10</v>
      </c>
      <c r="H3040">
        <v>0.23</v>
      </c>
      <c r="I3040" t="s">
        <v>23</v>
      </c>
      <c r="J3040">
        <v>28</v>
      </c>
      <c r="K3040">
        <v>0</v>
      </c>
      <c r="L3040">
        <v>0</v>
      </c>
      <c r="M3040">
        <f>VLOOKUP(Table1[[#This Row],[subscription_type]],Plans!$A$1:$B$5,2,FALSE)</f>
        <v>0</v>
      </c>
      <c r="N3040">
        <f t="shared" si="47"/>
        <v>0</v>
      </c>
    </row>
    <row r="3041" spans="1:14" x14ac:dyDescent="0.35">
      <c r="A3041">
        <v>3040</v>
      </c>
      <c r="B3041" t="s">
        <v>16</v>
      </c>
      <c r="C3041">
        <v>27</v>
      </c>
      <c r="D3041" t="s">
        <v>27</v>
      </c>
      <c r="E3041" t="s">
        <v>24</v>
      </c>
      <c r="F3041">
        <v>226</v>
      </c>
      <c r="G3041">
        <v>39</v>
      </c>
      <c r="H3041">
        <v>0.12</v>
      </c>
      <c r="I3041" t="s">
        <v>19</v>
      </c>
      <c r="J3041">
        <v>0</v>
      </c>
      <c r="K3041">
        <v>1</v>
      </c>
      <c r="L3041">
        <v>0</v>
      </c>
      <c r="M3041">
        <f>VLOOKUP(Table1[[#This Row],[subscription_type]],Plans!$A$1:$B$5,2,FALSE)</f>
        <v>4.99</v>
      </c>
      <c r="N3041">
        <f t="shared" si="47"/>
        <v>0</v>
      </c>
    </row>
    <row r="3042" spans="1:14" x14ac:dyDescent="0.35">
      <c r="A3042">
        <v>3041</v>
      </c>
      <c r="B3042" t="s">
        <v>16</v>
      </c>
      <c r="C3042">
        <v>42</v>
      </c>
      <c r="D3042" t="s">
        <v>13</v>
      </c>
      <c r="E3042" t="s">
        <v>14</v>
      </c>
      <c r="F3042">
        <v>211</v>
      </c>
      <c r="G3042">
        <v>15</v>
      </c>
      <c r="H3042">
        <v>0.23</v>
      </c>
      <c r="I3042" t="s">
        <v>19</v>
      </c>
      <c r="J3042">
        <v>40</v>
      </c>
      <c r="K3042">
        <v>0</v>
      </c>
      <c r="L3042">
        <v>0</v>
      </c>
      <c r="M3042">
        <f>VLOOKUP(Table1[[#This Row],[subscription_type]],Plans!$A$1:$B$5,2,FALSE)</f>
        <v>0</v>
      </c>
      <c r="N3042">
        <f t="shared" si="47"/>
        <v>0</v>
      </c>
    </row>
    <row r="3043" spans="1:14" x14ac:dyDescent="0.35">
      <c r="A3043">
        <v>3042</v>
      </c>
      <c r="B3043" t="s">
        <v>12</v>
      </c>
      <c r="C3043">
        <v>51</v>
      </c>
      <c r="D3043" t="s">
        <v>26</v>
      </c>
      <c r="E3043" t="s">
        <v>18</v>
      </c>
      <c r="F3043">
        <v>190</v>
      </c>
      <c r="G3043">
        <v>88</v>
      </c>
      <c r="H3043">
        <v>0.03</v>
      </c>
      <c r="I3043" t="s">
        <v>19</v>
      </c>
      <c r="J3043">
        <v>0</v>
      </c>
      <c r="K3043">
        <v>1</v>
      </c>
      <c r="L3043">
        <v>0</v>
      </c>
      <c r="M3043">
        <f>VLOOKUP(Table1[[#This Row],[subscription_type]],Plans!$A$1:$B$5,2,FALSE)</f>
        <v>14.99</v>
      </c>
      <c r="N3043">
        <f t="shared" si="47"/>
        <v>0</v>
      </c>
    </row>
    <row r="3044" spans="1:14" x14ac:dyDescent="0.35">
      <c r="A3044">
        <v>3043</v>
      </c>
      <c r="B3044" t="s">
        <v>16</v>
      </c>
      <c r="C3044">
        <v>51</v>
      </c>
      <c r="D3044" t="s">
        <v>28</v>
      </c>
      <c r="E3044" t="s">
        <v>24</v>
      </c>
      <c r="F3044">
        <v>192</v>
      </c>
      <c r="G3044">
        <v>47</v>
      </c>
      <c r="H3044">
        <v>0.15</v>
      </c>
      <c r="I3044" t="s">
        <v>23</v>
      </c>
      <c r="J3044">
        <v>0</v>
      </c>
      <c r="K3044">
        <v>1</v>
      </c>
      <c r="L3044">
        <v>0</v>
      </c>
      <c r="M3044">
        <f>VLOOKUP(Table1[[#This Row],[subscription_type]],Plans!$A$1:$B$5,2,FALSE)</f>
        <v>4.99</v>
      </c>
      <c r="N3044">
        <f t="shared" si="47"/>
        <v>0</v>
      </c>
    </row>
    <row r="3045" spans="1:14" x14ac:dyDescent="0.35">
      <c r="A3045">
        <v>3044</v>
      </c>
      <c r="B3045" t="s">
        <v>16</v>
      </c>
      <c r="C3045">
        <v>57</v>
      </c>
      <c r="D3045" t="s">
        <v>13</v>
      </c>
      <c r="E3045" t="s">
        <v>22</v>
      </c>
      <c r="F3045">
        <v>130</v>
      </c>
      <c r="G3045">
        <v>66</v>
      </c>
      <c r="H3045">
        <v>0.43</v>
      </c>
      <c r="I3045" t="s">
        <v>23</v>
      </c>
      <c r="J3045">
        <v>0</v>
      </c>
      <c r="K3045">
        <v>1</v>
      </c>
      <c r="L3045">
        <v>0</v>
      </c>
      <c r="M3045">
        <f>VLOOKUP(Table1[[#This Row],[subscription_type]],Plans!$A$1:$B$5,2,FALSE)</f>
        <v>9.99</v>
      </c>
      <c r="N3045">
        <f t="shared" si="47"/>
        <v>0</v>
      </c>
    </row>
    <row r="3046" spans="1:14" x14ac:dyDescent="0.35">
      <c r="A3046">
        <v>3045</v>
      </c>
      <c r="B3046" t="s">
        <v>16</v>
      </c>
      <c r="C3046">
        <v>22</v>
      </c>
      <c r="D3046" t="s">
        <v>26</v>
      </c>
      <c r="E3046" t="s">
        <v>18</v>
      </c>
      <c r="F3046">
        <v>113</v>
      </c>
      <c r="G3046">
        <v>89</v>
      </c>
      <c r="H3046">
        <v>0.31</v>
      </c>
      <c r="I3046" t="s">
        <v>23</v>
      </c>
      <c r="J3046">
        <v>0</v>
      </c>
      <c r="K3046">
        <v>1</v>
      </c>
      <c r="L3046">
        <v>0</v>
      </c>
      <c r="M3046">
        <f>VLOOKUP(Table1[[#This Row],[subscription_type]],Plans!$A$1:$B$5,2,FALSE)</f>
        <v>14.99</v>
      </c>
      <c r="N3046">
        <f t="shared" si="47"/>
        <v>0</v>
      </c>
    </row>
    <row r="3047" spans="1:14" x14ac:dyDescent="0.35">
      <c r="A3047">
        <v>3046</v>
      </c>
      <c r="B3047" t="s">
        <v>12</v>
      </c>
      <c r="C3047">
        <v>37</v>
      </c>
      <c r="D3047" t="s">
        <v>17</v>
      </c>
      <c r="E3047" t="s">
        <v>14</v>
      </c>
      <c r="F3047">
        <v>285</v>
      </c>
      <c r="G3047">
        <v>17</v>
      </c>
      <c r="H3047">
        <v>0.24</v>
      </c>
      <c r="I3047" t="s">
        <v>15</v>
      </c>
      <c r="J3047">
        <v>11</v>
      </c>
      <c r="K3047">
        <v>0</v>
      </c>
      <c r="L3047">
        <v>0</v>
      </c>
      <c r="M3047">
        <f>VLOOKUP(Table1[[#This Row],[subscription_type]],Plans!$A$1:$B$5,2,FALSE)</f>
        <v>0</v>
      </c>
      <c r="N3047">
        <f t="shared" si="47"/>
        <v>0</v>
      </c>
    </row>
    <row r="3048" spans="1:14" x14ac:dyDescent="0.35">
      <c r="A3048">
        <v>3047</v>
      </c>
      <c r="B3048" t="s">
        <v>20</v>
      </c>
      <c r="C3048">
        <v>34</v>
      </c>
      <c r="D3048" t="s">
        <v>25</v>
      </c>
      <c r="E3048" t="s">
        <v>18</v>
      </c>
      <c r="F3048">
        <v>200</v>
      </c>
      <c r="G3048">
        <v>39</v>
      </c>
      <c r="H3048">
        <v>7.0000000000000007E-2</v>
      </c>
      <c r="I3048" t="s">
        <v>23</v>
      </c>
      <c r="J3048">
        <v>0</v>
      </c>
      <c r="K3048">
        <v>1</v>
      </c>
      <c r="L3048">
        <v>0</v>
      </c>
      <c r="M3048">
        <f>VLOOKUP(Table1[[#This Row],[subscription_type]],Plans!$A$1:$B$5,2,FALSE)</f>
        <v>14.99</v>
      </c>
      <c r="N3048">
        <f t="shared" si="47"/>
        <v>0</v>
      </c>
    </row>
    <row r="3049" spans="1:14" x14ac:dyDescent="0.35">
      <c r="A3049">
        <v>3048</v>
      </c>
      <c r="B3049" t="s">
        <v>20</v>
      </c>
      <c r="C3049">
        <v>59</v>
      </c>
      <c r="D3049" t="s">
        <v>17</v>
      </c>
      <c r="E3049" t="s">
        <v>22</v>
      </c>
      <c r="F3049">
        <v>277</v>
      </c>
      <c r="G3049">
        <v>57</v>
      </c>
      <c r="H3049">
        <v>0.2</v>
      </c>
      <c r="I3049" t="s">
        <v>23</v>
      </c>
      <c r="J3049">
        <v>0</v>
      </c>
      <c r="K3049">
        <v>1</v>
      </c>
      <c r="L3049">
        <v>1</v>
      </c>
      <c r="M3049">
        <f>VLOOKUP(Table1[[#This Row],[subscription_type]],Plans!$A$1:$B$5,2,FALSE)</f>
        <v>9.99</v>
      </c>
      <c r="N3049">
        <f t="shared" si="47"/>
        <v>9.99</v>
      </c>
    </row>
    <row r="3050" spans="1:14" x14ac:dyDescent="0.35">
      <c r="A3050">
        <v>3049</v>
      </c>
      <c r="B3050" t="s">
        <v>20</v>
      </c>
      <c r="C3050">
        <v>21</v>
      </c>
      <c r="D3050" t="s">
        <v>25</v>
      </c>
      <c r="E3050" t="s">
        <v>18</v>
      </c>
      <c r="F3050">
        <v>269</v>
      </c>
      <c r="G3050">
        <v>4</v>
      </c>
      <c r="H3050">
        <v>0.4</v>
      </c>
      <c r="I3050" t="s">
        <v>15</v>
      </c>
      <c r="J3050">
        <v>0</v>
      </c>
      <c r="K3050">
        <v>1</v>
      </c>
      <c r="L3050">
        <v>1</v>
      </c>
      <c r="M3050">
        <f>VLOOKUP(Table1[[#This Row],[subscription_type]],Plans!$A$1:$B$5,2,FALSE)</f>
        <v>14.99</v>
      </c>
      <c r="N3050">
        <f t="shared" si="47"/>
        <v>14.99</v>
      </c>
    </row>
    <row r="3051" spans="1:14" x14ac:dyDescent="0.35">
      <c r="A3051">
        <v>3050</v>
      </c>
      <c r="B3051" t="s">
        <v>20</v>
      </c>
      <c r="C3051">
        <v>20</v>
      </c>
      <c r="D3051" t="s">
        <v>27</v>
      </c>
      <c r="E3051" t="s">
        <v>14</v>
      </c>
      <c r="F3051">
        <v>190</v>
      </c>
      <c r="G3051">
        <v>9</v>
      </c>
      <c r="H3051">
        <v>0.21</v>
      </c>
      <c r="I3051" t="s">
        <v>19</v>
      </c>
      <c r="J3051">
        <v>15</v>
      </c>
      <c r="K3051">
        <v>0</v>
      </c>
      <c r="L3051">
        <v>1</v>
      </c>
      <c r="M3051">
        <f>VLOOKUP(Table1[[#This Row],[subscription_type]],Plans!$A$1:$B$5,2,FALSE)</f>
        <v>0</v>
      </c>
      <c r="N3051">
        <f t="shared" si="47"/>
        <v>0</v>
      </c>
    </row>
    <row r="3052" spans="1:14" x14ac:dyDescent="0.35">
      <c r="A3052">
        <v>3051</v>
      </c>
      <c r="B3052" t="s">
        <v>20</v>
      </c>
      <c r="C3052">
        <v>52</v>
      </c>
      <c r="D3052" t="s">
        <v>28</v>
      </c>
      <c r="E3052" t="s">
        <v>22</v>
      </c>
      <c r="F3052">
        <v>70</v>
      </c>
      <c r="G3052">
        <v>80</v>
      </c>
      <c r="H3052">
        <v>0.27</v>
      </c>
      <c r="I3052" t="s">
        <v>15</v>
      </c>
      <c r="J3052">
        <v>0</v>
      </c>
      <c r="K3052">
        <v>1</v>
      </c>
      <c r="L3052">
        <v>0</v>
      </c>
      <c r="M3052">
        <f>VLOOKUP(Table1[[#This Row],[subscription_type]],Plans!$A$1:$B$5,2,FALSE)</f>
        <v>9.99</v>
      </c>
      <c r="N3052">
        <f t="shared" si="47"/>
        <v>0</v>
      </c>
    </row>
    <row r="3053" spans="1:14" x14ac:dyDescent="0.35">
      <c r="A3053">
        <v>3052</v>
      </c>
      <c r="B3053" t="s">
        <v>20</v>
      </c>
      <c r="C3053">
        <v>41</v>
      </c>
      <c r="D3053" t="s">
        <v>17</v>
      </c>
      <c r="E3053" t="s">
        <v>22</v>
      </c>
      <c r="F3053">
        <v>58</v>
      </c>
      <c r="G3053">
        <v>33</v>
      </c>
      <c r="H3053">
        <v>0.21</v>
      </c>
      <c r="I3053" t="s">
        <v>15</v>
      </c>
      <c r="J3053">
        <v>0</v>
      </c>
      <c r="K3053">
        <v>1</v>
      </c>
      <c r="L3053">
        <v>1</v>
      </c>
      <c r="M3053">
        <f>VLOOKUP(Table1[[#This Row],[subscription_type]],Plans!$A$1:$B$5,2,FALSE)</f>
        <v>9.99</v>
      </c>
      <c r="N3053">
        <f t="shared" si="47"/>
        <v>9.99</v>
      </c>
    </row>
    <row r="3054" spans="1:14" x14ac:dyDescent="0.35">
      <c r="A3054">
        <v>3053</v>
      </c>
      <c r="B3054" t="s">
        <v>12</v>
      </c>
      <c r="C3054">
        <v>51</v>
      </c>
      <c r="D3054" t="s">
        <v>27</v>
      </c>
      <c r="E3054" t="s">
        <v>14</v>
      </c>
      <c r="F3054">
        <v>206</v>
      </c>
      <c r="G3054">
        <v>49</v>
      </c>
      <c r="H3054">
        <v>0.55000000000000004</v>
      </c>
      <c r="I3054" t="s">
        <v>19</v>
      </c>
      <c r="J3054">
        <v>43</v>
      </c>
      <c r="K3054">
        <v>0</v>
      </c>
      <c r="L3054">
        <v>0</v>
      </c>
      <c r="M3054">
        <f>VLOOKUP(Table1[[#This Row],[subscription_type]],Plans!$A$1:$B$5,2,FALSE)</f>
        <v>0</v>
      </c>
      <c r="N3054">
        <f t="shared" si="47"/>
        <v>0</v>
      </c>
    </row>
    <row r="3055" spans="1:14" x14ac:dyDescent="0.35">
      <c r="A3055">
        <v>3054</v>
      </c>
      <c r="B3055" t="s">
        <v>16</v>
      </c>
      <c r="C3055">
        <v>55</v>
      </c>
      <c r="D3055" t="s">
        <v>21</v>
      </c>
      <c r="E3055" t="s">
        <v>24</v>
      </c>
      <c r="F3055">
        <v>54</v>
      </c>
      <c r="G3055">
        <v>12</v>
      </c>
      <c r="H3055">
        <v>0.46</v>
      </c>
      <c r="I3055" t="s">
        <v>23</v>
      </c>
      <c r="J3055">
        <v>0</v>
      </c>
      <c r="K3055">
        <v>1</v>
      </c>
      <c r="L3055">
        <v>0</v>
      </c>
      <c r="M3055">
        <f>VLOOKUP(Table1[[#This Row],[subscription_type]],Plans!$A$1:$B$5,2,FALSE)</f>
        <v>4.99</v>
      </c>
      <c r="N3055">
        <f t="shared" si="47"/>
        <v>0</v>
      </c>
    </row>
    <row r="3056" spans="1:14" x14ac:dyDescent="0.35">
      <c r="A3056">
        <v>3055</v>
      </c>
      <c r="B3056" t="s">
        <v>12</v>
      </c>
      <c r="C3056">
        <v>59</v>
      </c>
      <c r="D3056" t="s">
        <v>27</v>
      </c>
      <c r="E3056" t="s">
        <v>22</v>
      </c>
      <c r="F3056">
        <v>45</v>
      </c>
      <c r="G3056">
        <v>24</v>
      </c>
      <c r="H3056">
        <v>0.54</v>
      </c>
      <c r="I3056" t="s">
        <v>23</v>
      </c>
      <c r="J3056">
        <v>0</v>
      </c>
      <c r="K3056">
        <v>1</v>
      </c>
      <c r="L3056">
        <v>0</v>
      </c>
      <c r="M3056">
        <f>VLOOKUP(Table1[[#This Row],[subscription_type]],Plans!$A$1:$B$5,2,FALSE)</f>
        <v>9.99</v>
      </c>
      <c r="N3056">
        <f t="shared" si="47"/>
        <v>0</v>
      </c>
    </row>
    <row r="3057" spans="1:14" x14ac:dyDescent="0.35">
      <c r="A3057">
        <v>3056</v>
      </c>
      <c r="B3057" t="s">
        <v>12</v>
      </c>
      <c r="C3057">
        <v>56</v>
      </c>
      <c r="D3057" t="s">
        <v>29</v>
      </c>
      <c r="E3057" t="s">
        <v>18</v>
      </c>
      <c r="F3057">
        <v>276</v>
      </c>
      <c r="G3057">
        <v>51</v>
      </c>
      <c r="H3057">
        <v>0.09</v>
      </c>
      <c r="I3057" t="s">
        <v>23</v>
      </c>
      <c r="J3057">
        <v>0</v>
      </c>
      <c r="K3057">
        <v>1</v>
      </c>
      <c r="L3057">
        <v>1</v>
      </c>
      <c r="M3057">
        <f>VLOOKUP(Table1[[#This Row],[subscription_type]],Plans!$A$1:$B$5,2,FALSE)</f>
        <v>14.99</v>
      </c>
      <c r="N3057">
        <f t="shared" si="47"/>
        <v>14.99</v>
      </c>
    </row>
    <row r="3058" spans="1:14" x14ac:dyDescent="0.35">
      <c r="A3058">
        <v>3057</v>
      </c>
      <c r="B3058" t="s">
        <v>12</v>
      </c>
      <c r="C3058">
        <v>22</v>
      </c>
      <c r="D3058" t="s">
        <v>13</v>
      </c>
      <c r="E3058" t="s">
        <v>18</v>
      </c>
      <c r="F3058">
        <v>100</v>
      </c>
      <c r="G3058">
        <v>92</v>
      </c>
      <c r="H3058">
        <v>0.6</v>
      </c>
      <c r="I3058" t="s">
        <v>15</v>
      </c>
      <c r="J3058">
        <v>0</v>
      </c>
      <c r="K3058">
        <v>1</v>
      </c>
      <c r="L3058">
        <v>0</v>
      </c>
      <c r="M3058">
        <f>VLOOKUP(Table1[[#This Row],[subscription_type]],Plans!$A$1:$B$5,2,FALSE)</f>
        <v>14.99</v>
      </c>
      <c r="N3058">
        <f t="shared" si="47"/>
        <v>0</v>
      </c>
    </row>
    <row r="3059" spans="1:14" x14ac:dyDescent="0.35">
      <c r="A3059">
        <v>3058</v>
      </c>
      <c r="B3059" t="s">
        <v>12</v>
      </c>
      <c r="C3059">
        <v>20</v>
      </c>
      <c r="D3059" t="s">
        <v>26</v>
      </c>
      <c r="E3059" t="s">
        <v>24</v>
      </c>
      <c r="F3059">
        <v>213</v>
      </c>
      <c r="G3059">
        <v>39</v>
      </c>
      <c r="H3059">
        <v>0.39</v>
      </c>
      <c r="I3059" t="s">
        <v>15</v>
      </c>
      <c r="J3059">
        <v>0</v>
      </c>
      <c r="K3059">
        <v>1</v>
      </c>
      <c r="L3059">
        <v>0</v>
      </c>
      <c r="M3059">
        <f>VLOOKUP(Table1[[#This Row],[subscription_type]],Plans!$A$1:$B$5,2,FALSE)</f>
        <v>4.99</v>
      </c>
      <c r="N3059">
        <f t="shared" si="47"/>
        <v>0</v>
      </c>
    </row>
    <row r="3060" spans="1:14" x14ac:dyDescent="0.35">
      <c r="A3060">
        <v>3059</v>
      </c>
      <c r="B3060" t="s">
        <v>16</v>
      </c>
      <c r="C3060">
        <v>19</v>
      </c>
      <c r="D3060" t="s">
        <v>26</v>
      </c>
      <c r="E3060" t="s">
        <v>22</v>
      </c>
      <c r="F3060">
        <v>64</v>
      </c>
      <c r="G3060">
        <v>55</v>
      </c>
      <c r="H3060">
        <v>0.31</v>
      </c>
      <c r="I3060" t="s">
        <v>23</v>
      </c>
      <c r="J3060">
        <v>0</v>
      </c>
      <c r="K3060">
        <v>1</v>
      </c>
      <c r="L3060">
        <v>0</v>
      </c>
      <c r="M3060">
        <f>VLOOKUP(Table1[[#This Row],[subscription_type]],Plans!$A$1:$B$5,2,FALSE)</f>
        <v>9.99</v>
      </c>
      <c r="N3060">
        <f t="shared" si="47"/>
        <v>0</v>
      </c>
    </row>
    <row r="3061" spans="1:14" x14ac:dyDescent="0.35">
      <c r="A3061">
        <v>3060</v>
      </c>
      <c r="B3061" t="s">
        <v>20</v>
      </c>
      <c r="C3061">
        <v>42</v>
      </c>
      <c r="D3061" t="s">
        <v>27</v>
      </c>
      <c r="E3061" t="s">
        <v>24</v>
      </c>
      <c r="F3061">
        <v>92</v>
      </c>
      <c r="G3061">
        <v>25</v>
      </c>
      <c r="H3061">
        <v>0.13</v>
      </c>
      <c r="I3061" t="s">
        <v>15</v>
      </c>
      <c r="J3061">
        <v>0</v>
      </c>
      <c r="K3061">
        <v>1</v>
      </c>
      <c r="L3061">
        <v>1</v>
      </c>
      <c r="M3061">
        <f>VLOOKUP(Table1[[#This Row],[subscription_type]],Plans!$A$1:$B$5,2,FALSE)</f>
        <v>4.99</v>
      </c>
      <c r="N3061">
        <f t="shared" si="47"/>
        <v>4.99</v>
      </c>
    </row>
    <row r="3062" spans="1:14" x14ac:dyDescent="0.35">
      <c r="A3062">
        <v>3061</v>
      </c>
      <c r="B3062" t="s">
        <v>20</v>
      </c>
      <c r="C3062">
        <v>47</v>
      </c>
      <c r="D3062" t="s">
        <v>17</v>
      </c>
      <c r="E3062" t="s">
        <v>14</v>
      </c>
      <c r="F3062">
        <v>274</v>
      </c>
      <c r="G3062">
        <v>8</v>
      </c>
      <c r="H3062">
        <v>0.26</v>
      </c>
      <c r="I3062" t="s">
        <v>23</v>
      </c>
      <c r="J3062">
        <v>8</v>
      </c>
      <c r="K3062">
        <v>0</v>
      </c>
      <c r="L3062">
        <v>0</v>
      </c>
      <c r="M3062">
        <f>VLOOKUP(Table1[[#This Row],[subscription_type]],Plans!$A$1:$B$5,2,FALSE)</f>
        <v>0</v>
      </c>
      <c r="N3062">
        <f t="shared" si="47"/>
        <v>0</v>
      </c>
    </row>
    <row r="3063" spans="1:14" x14ac:dyDescent="0.35">
      <c r="A3063">
        <v>3062</v>
      </c>
      <c r="B3063" t="s">
        <v>16</v>
      </c>
      <c r="C3063">
        <v>54</v>
      </c>
      <c r="D3063" t="s">
        <v>25</v>
      </c>
      <c r="E3063" t="s">
        <v>18</v>
      </c>
      <c r="F3063">
        <v>218</v>
      </c>
      <c r="G3063">
        <v>6</v>
      </c>
      <c r="H3063">
        <v>0.26</v>
      </c>
      <c r="I3063" t="s">
        <v>19</v>
      </c>
      <c r="J3063">
        <v>0</v>
      </c>
      <c r="K3063">
        <v>1</v>
      </c>
      <c r="L3063">
        <v>1</v>
      </c>
      <c r="M3063">
        <f>VLOOKUP(Table1[[#This Row],[subscription_type]],Plans!$A$1:$B$5,2,FALSE)</f>
        <v>14.99</v>
      </c>
      <c r="N3063">
        <f t="shared" si="47"/>
        <v>14.99</v>
      </c>
    </row>
    <row r="3064" spans="1:14" x14ac:dyDescent="0.35">
      <c r="A3064">
        <v>3063</v>
      </c>
      <c r="B3064" t="s">
        <v>16</v>
      </c>
      <c r="C3064">
        <v>49</v>
      </c>
      <c r="D3064" t="s">
        <v>17</v>
      </c>
      <c r="E3064" t="s">
        <v>24</v>
      </c>
      <c r="F3064">
        <v>72</v>
      </c>
      <c r="G3064">
        <v>99</v>
      </c>
      <c r="H3064">
        <v>0.43</v>
      </c>
      <c r="I3064" t="s">
        <v>15</v>
      </c>
      <c r="J3064">
        <v>0</v>
      </c>
      <c r="K3064">
        <v>1</v>
      </c>
      <c r="L3064">
        <v>0</v>
      </c>
      <c r="M3064">
        <f>VLOOKUP(Table1[[#This Row],[subscription_type]],Plans!$A$1:$B$5,2,FALSE)</f>
        <v>4.99</v>
      </c>
      <c r="N3064">
        <f t="shared" si="47"/>
        <v>0</v>
      </c>
    </row>
    <row r="3065" spans="1:14" x14ac:dyDescent="0.35">
      <c r="A3065">
        <v>3064</v>
      </c>
      <c r="B3065" t="s">
        <v>16</v>
      </c>
      <c r="C3065">
        <v>43</v>
      </c>
      <c r="D3065" t="s">
        <v>21</v>
      </c>
      <c r="E3065" t="s">
        <v>22</v>
      </c>
      <c r="F3065">
        <v>92</v>
      </c>
      <c r="G3065">
        <v>91</v>
      </c>
      <c r="H3065">
        <v>0.21</v>
      </c>
      <c r="I3065" t="s">
        <v>23</v>
      </c>
      <c r="J3065">
        <v>0</v>
      </c>
      <c r="K3065">
        <v>1</v>
      </c>
      <c r="L3065">
        <v>0</v>
      </c>
      <c r="M3065">
        <f>VLOOKUP(Table1[[#This Row],[subscription_type]],Plans!$A$1:$B$5,2,FALSE)</f>
        <v>9.99</v>
      </c>
      <c r="N3065">
        <f t="shared" si="47"/>
        <v>0</v>
      </c>
    </row>
    <row r="3066" spans="1:14" x14ac:dyDescent="0.35">
      <c r="A3066">
        <v>3065</v>
      </c>
      <c r="B3066" t="s">
        <v>16</v>
      </c>
      <c r="C3066">
        <v>41</v>
      </c>
      <c r="D3066" t="s">
        <v>26</v>
      </c>
      <c r="E3066" t="s">
        <v>18</v>
      </c>
      <c r="F3066">
        <v>288</v>
      </c>
      <c r="G3066">
        <v>79</v>
      </c>
      <c r="H3066">
        <v>0.52</v>
      </c>
      <c r="I3066" t="s">
        <v>15</v>
      </c>
      <c r="J3066">
        <v>0</v>
      </c>
      <c r="K3066">
        <v>1</v>
      </c>
      <c r="L3066">
        <v>0</v>
      </c>
      <c r="M3066">
        <f>VLOOKUP(Table1[[#This Row],[subscription_type]],Plans!$A$1:$B$5,2,FALSE)</f>
        <v>14.99</v>
      </c>
      <c r="N3066">
        <f t="shared" si="47"/>
        <v>0</v>
      </c>
    </row>
    <row r="3067" spans="1:14" x14ac:dyDescent="0.35">
      <c r="A3067">
        <v>3066</v>
      </c>
      <c r="B3067" t="s">
        <v>12</v>
      </c>
      <c r="C3067">
        <v>30</v>
      </c>
      <c r="D3067" t="s">
        <v>29</v>
      </c>
      <c r="E3067" t="s">
        <v>18</v>
      </c>
      <c r="F3067">
        <v>234</v>
      </c>
      <c r="G3067">
        <v>13</v>
      </c>
      <c r="H3067">
        <v>0.16</v>
      </c>
      <c r="I3067" t="s">
        <v>23</v>
      </c>
      <c r="J3067">
        <v>0</v>
      </c>
      <c r="K3067">
        <v>1</v>
      </c>
      <c r="L3067">
        <v>1</v>
      </c>
      <c r="M3067">
        <f>VLOOKUP(Table1[[#This Row],[subscription_type]],Plans!$A$1:$B$5,2,FALSE)</f>
        <v>14.99</v>
      </c>
      <c r="N3067">
        <f t="shared" si="47"/>
        <v>14.99</v>
      </c>
    </row>
    <row r="3068" spans="1:14" x14ac:dyDescent="0.35">
      <c r="A3068">
        <v>3067</v>
      </c>
      <c r="B3068" t="s">
        <v>16</v>
      </c>
      <c r="C3068">
        <v>41</v>
      </c>
      <c r="D3068" t="s">
        <v>21</v>
      </c>
      <c r="E3068" t="s">
        <v>14</v>
      </c>
      <c r="F3068">
        <v>64</v>
      </c>
      <c r="G3068">
        <v>70</v>
      </c>
      <c r="H3068">
        <v>0.49</v>
      </c>
      <c r="I3068" t="s">
        <v>15</v>
      </c>
      <c r="J3068">
        <v>18</v>
      </c>
      <c r="K3068">
        <v>0</v>
      </c>
      <c r="L3068">
        <v>0</v>
      </c>
      <c r="M3068">
        <f>VLOOKUP(Table1[[#This Row],[subscription_type]],Plans!$A$1:$B$5,2,FALSE)</f>
        <v>0</v>
      </c>
      <c r="N3068">
        <f t="shared" si="47"/>
        <v>0</v>
      </c>
    </row>
    <row r="3069" spans="1:14" x14ac:dyDescent="0.35">
      <c r="A3069">
        <v>3068</v>
      </c>
      <c r="B3069" t="s">
        <v>12</v>
      </c>
      <c r="C3069">
        <v>43</v>
      </c>
      <c r="D3069" t="s">
        <v>27</v>
      </c>
      <c r="E3069" t="s">
        <v>14</v>
      </c>
      <c r="F3069">
        <v>36</v>
      </c>
      <c r="G3069">
        <v>41</v>
      </c>
      <c r="H3069">
        <v>7.0000000000000007E-2</v>
      </c>
      <c r="I3069" t="s">
        <v>19</v>
      </c>
      <c r="J3069">
        <v>7</v>
      </c>
      <c r="K3069">
        <v>0</v>
      </c>
      <c r="L3069">
        <v>1</v>
      </c>
      <c r="M3069">
        <f>VLOOKUP(Table1[[#This Row],[subscription_type]],Plans!$A$1:$B$5,2,FALSE)</f>
        <v>0</v>
      </c>
      <c r="N3069">
        <f t="shared" si="47"/>
        <v>0</v>
      </c>
    </row>
    <row r="3070" spans="1:14" x14ac:dyDescent="0.35">
      <c r="A3070">
        <v>3069</v>
      </c>
      <c r="B3070" t="s">
        <v>12</v>
      </c>
      <c r="C3070">
        <v>53</v>
      </c>
      <c r="D3070" t="s">
        <v>21</v>
      </c>
      <c r="E3070" t="s">
        <v>14</v>
      </c>
      <c r="F3070">
        <v>14</v>
      </c>
      <c r="G3070">
        <v>28</v>
      </c>
      <c r="H3070">
        <v>0.34</v>
      </c>
      <c r="I3070" t="s">
        <v>23</v>
      </c>
      <c r="J3070">
        <v>39</v>
      </c>
      <c r="K3070">
        <v>0</v>
      </c>
      <c r="L3070">
        <v>1</v>
      </c>
      <c r="M3070">
        <f>VLOOKUP(Table1[[#This Row],[subscription_type]],Plans!$A$1:$B$5,2,FALSE)</f>
        <v>0</v>
      </c>
      <c r="N3070">
        <f t="shared" si="47"/>
        <v>0</v>
      </c>
    </row>
    <row r="3071" spans="1:14" x14ac:dyDescent="0.35">
      <c r="A3071">
        <v>3070</v>
      </c>
      <c r="B3071" t="s">
        <v>16</v>
      </c>
      <c r="C3071">
        <v>24</v>
      </c>
      <c r="D3071" t="s">
        <v>27</v>
      </c>
      <c r="E3071" t="s">
        <v>14</v>
      </c>
      <c r="F3071">
        <v>59</v>
      </c>
      <c r="G3071">
        <v>96</v>
      </c>
      <c r="H3071">
        <v>0.39</v>
      </c>
      <c r="I3071" t="s">
        <v>23</v>
      </c>
      <c r="J3071">
        <v>30</v>
      </c>
      <c r="K3071">
        <v>0</v>
      </c>
      <c r="L3071">
        <v>0</v>
      </c>
      <c r="M3071">
        <f>VLOOKUP(Table1[[#This Row],[subscription_type]],Plans!$A$1:$B$5,2,FALSE)</f>
        <v>0</v>
      </c>
      <c r="N3071">
        <f t="shared" si="47"/>
        <v>0</v>
      </c>
    </row>
    <row r="3072" spans="1:14" x14ac:dyDescent="0.35">
      <c r="A3072">
        <v>3071</v>
      </c>
      <c r="B3072" t="s">
        <v>20</v>
      </c>
      <c r="C3072">
        <v>17</v>
      </c>
      <c r="D3072" t="s">
        <v>28</v>
      </c>
      <c r="E3072" t="s">
        <v>18</v>
      </c>
      <c r="F3072">
        <v>280</v>
      </c>
      <c r="G3072">
        <v>93</v>
      </c>
      <c r="H3072">
        <v>0.1</v>
      </c>
      <c r="I3072" t="s">
        <v>15</v>
      </c>
      <c r="J3072">
        <v>0</v>
      </c>
      <c r="K3072">
        <v>1</v>
      </c>
      <c r="L3072">
        <v>0</v>
      </c>
      <c r="M3072">
        <f>VLOOKUP(Table1[[#This Row],[subscription_type]],Plans!$A$1:$B$5,2,FALSE)</f>
        <v>14.99</v>
      </c>
      <c r="N3072">
        <f t="shared" si="47"/>
        <v>0</v>
      </c>
    </row>
    <row r="3073" spans="1:14" x14ac:dyDescent="0.35">
      <c r="A3073">
        <v>3072</v>
      </c>
      <c r="B3073" t="s">
        <v>12</v>
      </c>
      <c r="C3073">
        <v>32</v>
      </c>
      <c r="D3073" t="s">
        <v>28</v>
      </c>
      <c r="E3073" t="s">
        <v>22</v>
      </c>
      <c r="F3073">
        <v>247</v>
      </c>
      <c r="G3073">
        <v>42</v>
      </c>
      <c r="H3073">
        <v>0.48</v>
      </c>
      <c r="I3073" t="s">
        <v>15</v>
      </c>
      <c r="J3073">
        <v>0</v>
      </c>
      <c r="K3073">
        <v>1</v>
      </c>
      <c r="L3073">
        <v>0</v>
      </c>
      <c r="M3073">
        <f>VLOOKUP(Table1[[#This Row],[subscription_type]],Plans!$A$1:$B$5,2,FALSE)</f>
        <v>9.99</v>
      </c>
      <c r="N3073">
        <f t="shared" si="47"/>
        <v>0</v>
      </c>
    </row>
    <row r="3074" spans="1:14" x14ac:dyDescent="0.35">
      <c r="A3074">
        <v>3073</v>
      </c>
      <c r="B3074" t="s">
        <v>12</v>
      </c>
      <c r="C3074">
        <v>18</v>
      </c>
      <c r="D3074" t="s">
        <v>29</v>
      </c>
      <c r="E3074" t="s">
        <v>14</v>
      </c>
      <c r="F3074">
        <v>104</v>
      </c>
      <c r="G3074">
        <v>78</v>
      </c>
      <c r="H3074">
        <v>0.55000000000000004</v>
      </c>
      <c r="I3074" t="s">
        <v>23</v>
      </c>
      <c r="J3074">
        <v>47</v>
      </c>
      <c r="K3074">
        <v>0</v>
      </c>
      <c r="L3074">
        <v>0</v>
      </c>
      <c r="M3074">
        <f>VLOOKUP(Table1[[#This Row],[subscription_type]],Plans!$A$1:$B$5,2,FALSE)</f>
        <v>0</v>
      </c>
      <c r="N3074">
        <f t="shared" ref="N3074:N3137" si="48">IF(L3074=1, M3074,0)</f>
        <v>0</v>
      </c>
    </row>
    <row r="3075" spans="1:14" x14ac:dyDescent="0.35">
      <c r="A3075">
        <v>3074</v>
      </c>
      <c r="B3075" t="s">
        <v>20</v>
      </c>
      <c r="C3075">
        <v>34</v>
      </c>
      <c r="D3075" t="s">
        <v>28</v>
      </c>
      <c r="E3075" t="s">
        <v>14</v>
      </c>
      <c r="F3075">
        <v>256</v>
      </c>
      <c r="G3075">
        <v>34</v>
      </c>
      <c r="H3075">
        <v>0.28000000000000003</v>
      </c>
      <c r="I3075" t="s">
        <v>23</v>
      </c>
      <c r="J3075">
        <v>36</v>
      </c>
      <c r="K3075">
        <v>0</v>
      </c>
      <c r="L3075">
        <v>0</v>
      </c>
      <c r="M3075">
        <f>VLOOKUP(Table1[[#This Row],[subscription_type]],Plans!$A$1:$B$5,2,FALSE)</f>
        <v>0</v>
      </c>
      <c r="N3075">
        <f t="shared" si="48"/>
        <v>0</v>
      </c>
    </row>
    <row r="3076" spans="1:14" x14ac:dyDescent="0.35">
      <c r="A3076">
        <v>3075</v>
      </c>
      <c r="B3076" t="s">
        <v>16</v>
      </c>
      <c r="C3076">
        <v>34</v>
      </c>
      <c r="D3076" t="s">
        <v>27</v>
      </c>
      <c r="E3076" t="s">
        <v>18</v>
      </c>
      <c r="F3076">
        <v>222</v>
      </c>
      <c r="G3076">
        <v>77</v>
      </c>
      <c r="H3076">
        <v>0.18</v>
      </c>
      <c r="I3076" t="s">
        <v>19</v>
      </c>
      <c r="J3076">
        <v>0</v>
      </c>
      <c r="K3076">
        <v>1</v>
      </c>
      <c r="L3076">
        <v>0</v>
      </c>
      <c r="M3076">
        <f>VLOOKUP(Table1[[#This Row],[subscription_type]],Plans!$A$1:$B$5,2,FALSE)</f>
        <v>14.99</v>
      </c>
      <c r="N3076">
        <f t="shared" si="48"/>
        <v>0</v>
      </c>
    </row>
    <row r="3077" spans="1:14" x14ac:dyDescent="0.35">
      <c r="A3077">
        <v>3076</v>
      </c>
      <c r="B3077" t="s">
        <v>12</v>
      </c>
      <c r="C3077">
        <v>56</v>
      </c>
      <c r="D3077" t="s">
        <v>17</v>
      </c>
      <c r="E3077" t="s">
        <v>14</v>
      </c>
      <c r="F3077">
        <v>246</v>
      </c>
      <c r="G3077">
        <v>17</v>
      </c>
      <c r="H3077">
        <v>0.52</v>
      </c>
      <c r="I3077" t="s">
        <v>19</v>
      </c>
      <c r="J3077">
        <v>37</v>
      </c>
      <c r="K3077">
        <v>0</v>
      </c>
      <c r="L3077">
        <v>0</v>
      </c>
      <c r="M3077">
        <f>VLOOKUP(Table1[[#This Row],[subscription_type]],Plans!$A$1:$B$5,2,FALSE)</f>
        <v>0</v>
      </c>
      <c r="N3077">
        <f t="shared" si="48"/>
        <v>0</v>
      </c>
    </row>
    <row r="3078" spans="1:14" x14ac:dyDescent="0.35">
      <c r="A3078">
        <v>3077</v>
      </c>
      <c r="B3078" t="s">
        <v>12</v>
      </c>
      <c r="C3078">
        <v>38</v>
      </c>
      <c r="D3078" t="s">
        <v>29</v>
      </c>
      <c r="E3078" t="s">
        <v>24</v>
      </c>
      <c r="F3078">
        <v>114</v>
      </c>
      <c r="G3078">
        <v>71</v>
      </c>
      <c r="H3078">
        <v>0.34</v>
      </c>
      <c r="I3078" t="s">
        <v>23</v>
      </c>
      <c r="J3078">
        <v>0</v>
      </c>
      <c r="K3078">
        <v>1</v>
      </c>
      <c r="L3078">
        <v>0</v>
      </c>
      <c r="M3078">
        <f>VLOOKUP(Table1[[#This Row],[subscription_type]],Plans!$A$1:$B$5,2,FALSE)</f>
        <v>4.99</v>
      </c>
      <c r="N3078">
        <f t="shared" si="48"/>
        <v>0</v>
      </c>
    </row>
    <row r="3079" spans="1:14" x14ac:dyDescent="0.35">
      <c r="A3079">
        <v>3078</v>
      </c>
      <c r="B3079" t="s">
        <v>16</v>
      </c>
      <c r="C3079">
        <v>50</v>
      </c>
      <c r="D3079" t="s">
        <v>26</v>
      </c>
      <c r="E3079" t="s">
        <v>24</v>
      </c>
      <c r="F3079">
        <v>179</v>
      </c>
      <c r="G3079">
        <v>35</v>
      </c>
      <c r="H3079">
        <v>0.08</v>
      </c>
      <c r="I3079" t="s">
        <v>23</v>
      </c>
      <c r="J3079">
        <v>0</v>
      </c>
      <c r="K3079">
        <v>1</v>
      </c>
      <c r="L3079">
        <v>1</v>
      </c>
      <c r="M3079">
        <f>VLOOKUP(Table1[[#This Row],[subscription_type]],Plans!$A$1:$B$5,2,FALSE)</f>
        <v>4.99</v>
      </c>
      <c r="N3079">
        <f t="shared" si="48"/>
        <v>4.99</v>
      </c>
    </row>
    <row r="3080" spans="1:14" x14ac:dyDescent="0.35">
      <c r="A3080">
        <v>3079</v>
      </c>
      <c r="B3080" t="s">
        <v>16</v>
      </c>
      <c r="C3080">
        <v>30</v>
      </c>
      <c r="D3080" t="s">
        <v>13</v>
      </c>
      <c r="E3080" t="s">
        <v>24</v>
      </c>
      <c r="F3080">
        <v>18</v>
      </c>
      <c r="G3080">
        <v>6</v>
      </c>
      <c r="H3080">
        <v>0.47</v>
      </c>
      <c r="I3080" t="s">
        <v>15</v>
      </c>
      <c r="J3080">
        <v>0</v>
      </c>
      <c r="K3080">
        <v>1</v>
      </c>
      <c r="L3080">
        <v>0</v>
      </c>
      <c r="M3080">
        <f>VLOOKUP(Table1[[#This Row],[subscription_type]],Plans!$A$1:$B$5,2,FALSE)</f>
        <v>4.99</v>
      </c>
      <c r="N3080">
        <f t="shared" si="48"/>
        <v>0</v>
      </c>
    </row>
    <row r="3081" spans="1:14" x14ac:dyDescent="0.35">
      <c r="A3081">
        <v>3080</v>
      </c>
      <c r="B3081" t="s">
        <v>20</v>
      </c>
      <c r="C3081">
        <v>51</v>
      </c>
      <c r="D3081" t="s">
        <v>29</v>
      </c>
      <c r="E3081" t="s">
        <v>24</v>
      </c>
      <c r="F3081">
        <v>87</v>
      </c>
      <c r="G3081">
        <v>65</v>
      </c>
      <c r="H3081">
        <v>0.32</v>
      </c>
      <c r="I3081" t="s">
        <v>19</v>
      </c>
      <c r="J3081">
        <v>0</v>
      </c>
      <c r="K3081">
        <v>1</v>
      </c>
      <c r="L3081">
        <v>0</v>
      </c>
      <c r="M3081">
        <f>VLOOKUP(Table1[[#This Row],[subscription_type]],Plans!$A$1:$B$5,2,FALSE)</f>
        <v>4.99</v>
      </c>
      <c r="N3081">
        <f t="shared" si="48"/>
        <v>0</v>
      </c>
    </row>
    <row r="3082" spans="1:14" x14ac:dyDescent="0.35">
      <c r="A3082">
        <v>3081</v>
      </c>
      <c r="B3082" t="s">
        <v>20</v>
      </c>
      <c r="C3082">
        <v>34</v>
      </c>
      <c r="D3082" t="s">
        <v>13</v>
      </c>
      <c r="E3082" t="s">
        <v>24</v>
      </c>
      <c r="F3082">
        <v>293</v>
      </c>
      <c r="G3082">
        <v>89</v>
      </c>
      <c r="H3082">
        <v>0.36</v>
      </c>
      <c r="I3082" t="s">
        <v>19</v>
      </c>
      <c r="J3082">
        <v>0</v>
      </c>
      <c r="K3082">
        <v>1</v>
      </c>
      <c r="L3082">
        <v>0</v>
      </c>
      <c r="M3082">
        <f>VLOOKUP(Table1[[#This Row],[subscription_type]],Plans!$A$1:$B$5,2,FALSE)</f>
        <v>4.99</v>
      </c>
      <c r="N3082">
        <f t="shared" si="48"/>
        <v>0</v>
      </c>
    </row>
    <row r="3083" spans="1:14" x14ac:dyDescent="0.35">
      <c r="A3083">
        <v>3082</v>
      </c>
      <c r="B3083" t="s">
        <v>16</v>
      </c>
      <c r="C3083">
        <v>18</v>
      </c>
      <c r="D3083" t="s">
        <v>27</v>
      </c>
      <c r="E3083" t="s">
        <v>22</v>
      </c>
      <c r="F3083">
        <v>12</v>
      </c>
      <c r="G3083">
        <v>70</v>
      </c>
      <c r="H3083">
        <v>0.46</v>
      </c>
      <c r="I3083" t="s">
        <v>15</v>
      </c>
      <c r="J3083">
        <v>0</v>
      </c>
      <c r="K3083">
        <v>1</v>
      </c>
      <c r="L3083">
        <v>1</v>
      </c>
      <c r="M3083">
        <f>VLOOKUP(Table1[[#This Row],[subscription_type]],Plans!$A$1:$B$5,2,FALSE)</f>
        <v>9.99</v>
      </c>
      <c r="N3083">
        <f t="shared" si="48"/>
        <v>9.99</v>
      </c>
    </row>
    <row r="3084" spans="1:14" x14ac:dyDescent="0.35">
      <c r="A3084">
        <v>3083</v>
      </c>
      <c r="B3084" t="s">
        <v>20</v>
      </c>
      <c r="C3084">
        <v>42</v>
      </c>
      <c r="D3084" t="s">
        <v>29</v>
      </c>
      <c r="E3084" t="s">
        <v>22</v>
      </c>
      <c r="F3084">
        <v>226</v>
      </c>
      <c r="G3084">
        <v>65</v>
      </c>
      <c r="H3084">
        <v>0.16</v>
      </c>
      <c r="I3084" t="s">
        <v>15</v>
      </c>
      <c r="J3084">
        <v>0</v>
      </c>
      <c r="K3084">
        <v>1</v>
      </c>
      <c r="L3084">
        <v>0</v>
      </c>
      <c r="M3084">
        <f>VLOOKUP(Table1[[#This Row],[subscription_type]],Plans!$A$1:$B$5,2,FALSE)</f>
        <v>9.99</v>
      </c>
      <c r="N3084">
        <f t="shared" si="48"/>
        <v>0</v>
      </c>
    </row>
    <row r="3085" spans="1:14" x14ac:dyDescent="0.35">
      <c r="A3085">
        <v>3084</v>
      </c>
      <c r="B3085" t="s">
        <v>12</v>
      </c>
      <c r="C3085">
        <v>23</v>
      </c>
      <c r="D3085" t="s">
        <v>29</v>
      </c>
      <c r="E3085" t="s">
        <v>24</v>
      </c>
      <c r="F3085">
        <v>128</v>
      </c>
      <c r="G3085">
        <v>55</v>
      </c>
      <c r="H3085">
        <v>0.28999999999999998</v>
      </c>
      <c r="I3085" t="s">
        <v>15</v>
      </c>
      <c r="J3085">
        <v>0</v>
      </c>
      <c r="K3085">
        <v>1</v>
      </c>
      <c r="L3085">
        <v>0</v>
      </c>
      <c r="M3085">
        <f>VLOOKUP(Table1[[#This Row],[subscription_type]],Plans!$A$1:$B$5,2,FALSE)</f>
        <v>4.99</v>
      </c>
      <c r="N3085">
        <f t="shared" si="48"/>
        <v>0</v>
      </c>
    </row>
    <row r="3086" spans="1:14" x14ac:dyDescent="0.35">
      <c r="A3086">
        <v>3085</v>
      </c>
      <c r="B3086" t="s">
        <v>20</v>
      </c>
      <c r="C3086">
        <v>18</v>
      </c>
      <c r="D3086" t="s">
        <v>25</v>
      </c>
      <c r="E3086" t="s">
        <v>22</v>
      </c>
      <c r="F3086">
        <v>97</v>
      </c>
      <c r="G3086">
        <v>24</v>
      </c>
      <c r="H3086">
        <v>0.49</v>
      </c>
      <c r="I3086" t="s">
        <v>15</v>
      </c>
      <c r="J3086">
        <v>0</v>
      </c>
      <c r="K3086">
        <v>1</v>
      </c>
      <c r="L3086">
        <v>0</v>
      </c>
      <c r="M3086">
        <f>VLOOKUP(Table1[[#This Row],[subscription_type]],Plans!$A$1:$B$5,2,FALSE)</f>
        <v>9.99</v>
      </c>
      <c r="N3086">
        <f t="shared" si="48"/>
        <v>0</v>
      </c>
    </row>
    <row r="3087" spans="1:14" x14ac:dyDescent="0.35">
      <c r="A3087">
        <v>3086</v>
      </c>
      <c r="B3087" t="s">
        <v>12</v>
      </c>
      <c r="C3087">
        <v>45</v>
      </c>
      <c r="D3087" t="s">
        <v>21</v>
      </c>
      <c r="E3087" t="s">
        <v>24</v>
      </c>
      <c r="F3087">
        <v>236</v>
      </c>
      <c r="G3087">
        <v>31</v>
      </c>
      <c r="H3087">
        <v>0.38</v>
      </c>
      <c r="I3087" t="s">
        <v>15</v>
      </c>
      <c r="J3087">
        <v>0</v>
      </c>
      <c r="K3087">
        <v>1</v>
      </c>
      <c r="L3087">
        <v>0</v>
      </c>
      <c r="M3087">
        <f>VLOOKUP(Table1[[#This Row],[subscription_type]],Plans!$A$1:$B$5,2,FALSE)</f>
        <v>4.99</v>
      </c>
      <c r="N3087">
        <f t="shared" si="48"/>
        <v>0</v>
      </c>
    </row>
    <row r="3088" spans="1:14" x14ac:dyDescent="0.35">
      <c r="A3088">
        <v>3087</v>
      </c>
      <c r="B3088" t="s">
        <v>20</v>
      </c>
      <c r="C3088">
        <v>26</v>
      </c>
      <c r="D3088" t="s">
        <v>17</v>
      </c>
      <c r="E3088" t="s">
        <v>18</v>
      </c>
      <c r="F3088">
        <v>110</v>
      </c>
      <c r="G3088">
        <v>58</v>
      </c>
      <c r="H3088">
        <v>0.19</v>
      </c>
      <c r="I3088" t="s">
        <v>15</v>
      </c>
      <c r="J3088">
        <v>0</v>
      </c>
      <c r="K3088">
        <v>1</v>
      </c>
      <c r="L3088">
        <v>1</v>
      </c>
      <c r="M3088">
        <f>VLOOKUP(Table1[[#This Row],[subscription_type]],Plans!$A$1:$B$5,2,FALSE)</f>
        <v>14.99</v>
      </c>
      <c r="N3088">
        <f t="shared" si="48"/>
        <v>14.99</v>
      </c>
    </row>
    <row r="3089" spans="1:14" x14ac:dyDescent="0.35">
      <c r="A3089">
        <v>3088</v>
      </c>
      <c r="B3089" t="s">
        <v>20</v>
      </c>
      <c r="C3089">
        <v>18</v>
      </c>
      <c r="D3089" t="s">
        <v>21</v>
      </c>
      <c r="E3089" t="s">
        <v>22</v>
      </c>
      <c r="F3089">
        <v>27</v>
      </c>
      <c r="G3089">
        <v>58</v>
      </c>
      <c r="H3089">
        <v>0.11</v>
      </c>
      <c r="I3089" t="s">
        <v>15</v>
      </c>
      <c r="J3089">
        <v>0</v>
      </c>
      <c r="K3089">
        <v>1</v>
      </c>
      <c r="L3089">
        <v>0</v>
      </c>
      <c r="M3089">
        <f>VLOOKUP(Table1[[#This Row],[subscription_type]],Plans!$A$1:$B$5,2,FALSE)</f>
        <v>9.99</v>
      </c>
      <c r="N3089">
        <f t="shared" si="48"/>
        <v>0</v>
      </c>
    </row>
    <row r="3090" spans="1:14" x14ac:dyDescent="0.35">
      <c r="A3090">
        <v>3089</v>
      </c>
      <c r="B3090" t="s">
        <v>12</v>
      </c>
      <c r="C3090">
        <v>50</v>
      </c>
      <c r="D3090" t="s">
        <v>27</v>
      </c>
      <c r="E3090" t="s">
        <v>14</v>
      </c>
      <c r="F3090">
        <v>40</v>
      </c>
      <c r="G3090">
        <v>88</v>
      </c>
      <c r="H3090">
        <v>0.2</v>
      </c>
      <c r="I3090" t="s">
        <v>15</v>
      </c>
      <c r="J3090">
        <v>35</v>
      </c>
      <c r="K3090">
        <v>0</v>
      </c>
      <c r="L3090">
        <v>1</v>
      </c>
      <c r="M3090">
        <f>VLOOKUP(Table1[[#This Row],[subscription_type]],Plans!$A$1:$B$5,2,FALSE)</f>
        <v>0</v>
      </c>
      <c r="N3090">
        <f t="shared" si="48"/>
        <v>0</v>
      </c>
    </row>
    <row r="3091" spans="1:14" x14ac:dyDescent="0.35">
      <c r="A3091">
        <v>3090</v>
      </c>
      <c r="B3091" t="s">
        <v>16</v>
      </c>
      <c r="C3091">
        <v>42</v>
      </c>
      <c r="D3091" t="s">
        <v>29</v>
      </c>
      <c r="E3091" t="s">
        <v>24</v>
      </c>
      <c r="F3091">
        <v>127</v>
      </c>
      <c r="G3091">
        <v>97</v>
      </c>
      <c r="H3091">
        <v>0.49</v>
      </c>
      <c r="I3091" t="s">
        <v>15</v>
      </c>
      <c r="J3091">
        <v>0</v>
      </c>
      <c r="K3091">
        <v>1</v>
      </c>
      <c r="L3091">
        <v>0</v>
      </c>
      <c r="M3091">
        <f>VLOOKUP(Table1[[#This Row],[subscription_type]],Plans!$A$1:$B$5,2,FALSE)</f>
        <v>4.99</v>
      </c>
      <c r="N3091">
        <f t="shared" si="48"/>
        <v>0</v>
      </c>
    </row>
    <row r="3092" spans="1:14" x14ac:dyDescent="0.35">
      <c r="A3092">
        <v>3091</v>
      </c>
      <c r="B3092" t="s">
        <v>12</v>
      </c>
      <c r="C3092">
        <v>40</v>
      </c>
      <c r="D3092" t="s">
        <v>28</v>
      </c>
      <c r="E3092" t="s">
        <v>18</v>
      </c>
      <c r="F3092">
        <v>213</v>
      </c>
      <c r="G3092">
        <v>29</v>
      </c>
      <c r="H3092">
        <v>0.18</v>
      </c>
      <c r="I3092" t="s">
        <v>15</v>
      </c>
      <c r="J3092">
        <v>0</v>
      </c>
      <c r="K3092">
        <v>1</v>
      </c>
      <c r="L3092">
        <v>1</v>
      </c>
      <c r="M3092">
        <f>VLOOKUP(Table1[[#This Row],[subscription_type]],Plans!$A$1:$B$5,2,FALSE)</f>
        <v>14.99</v>
      </c>
      <c r="N3092">
        <f t="shared" si="48"/>
        <v>14.99</v>
      </c>
    </row>
    <row r="3093" spans="1:14" x14ac:dyDescent="0.35">
      <c r="A3093">
        <v>3092</v>
      </c>
      <c r="B3093" t="s">
        <v>12</v>
      </c>
      <c r="C3093">
        <v>50</v>
      </c>
      <c r="D3093" t="s">
        <v>26</v>
      </c>
      <c r="E3093" t="s">
        <v>24</v>
      </c>
      <c r="F3093">
        <v>207</v>
      </c>
      <c r="G3093">
        <v>31</v>
      </c>
      <c r="H3093">
        <v>0.24</v>
      </c>
      <c r="I3093" t="s">
        <v>15</v>
      </c>
      <c r="J3093">
        <v>0</v>
      </c>
      <c r="K3093">
        <v>1</v>
      </c>
      <c r="L3093">
        <v>0</v>
      </c>
      <c r="M3093">
        <f>VLOOKUP(Table1[[#This Row],[subscription_type]],Plans!$A$1:$B$5,2,FALSE)</f>
        <v>4.99</v>
      </c>
      <c r="N3093">
        <f t="shared" si="48"/>
        <v>0</v>
      </c>
    </row>
    <row r="3094" spans="1:14" x14ac:dyDescent="0.35">
      <c r="A3094">
        <v>3093</v>
      </c>
      <c r="B3094" t="s">
        <v>20</v>
      </c>
      <c r="C3094">
        <v>28</v>
      </c>
      <c r="D3094" t="s">
        <v>25</v>
      </c>
      <c r="E3094" t="s">
        <v>24</v>
      </c>
      <c r="F3094">
        <v>88</v>
      </c>
      <c r="G3094">
        <v>44</v>
      </c>
      <c r="H3094">
        <v>0.49</v>
      </c>
      <c r="I3094" t="s">
        <v>19</v>
      </c>
      <c r="J3094">
        <v>0</v>
      </c>
      <c r="K3094">
        <v>1</v>
      </c>
      <c r="L3094">
        <v>0</v>
      </c>
      <c r="M3094">
        <f>VLOOKUP(Table1[[#This Row],[subscription_type]],Plans!$A$1:$B$5,2,FALSE)</f>
        <v>4.99</v>
      </c>
      <c r="N3094">
        <f t="shared" si="48"/>
        <v>0</v>
      </c>
    </row>
    <row r="3095" spans="1:14" x14ac:dyDescent="0.35">
      <c r="A3095">
        <v>3094</v>
      </c>
      <c r="B3095" t="s">
        <v>12</v>
      </c>
      <c r="C3095">
        <v>36</v>
      </c>
      <c r="D3095" t="s">
        <v>13</v>
      </c>
      <c r="E3095" t="s">
        <v>14</v>
      </c>
      <c r="F3095">
        <v>293</v>
      </c>
      <c r="G3095">
        <v>77</v>
      </c>
      <c r="H3095">
        <v>0.54</v>
      </c>
      <c r="I3095" t="s">
        <v>15</v>
      </c>
      <c r="J3095">
        <v>22</v>
      </c>
      <c r="K3095">
        <v>0</v>
      </c>
      <c r="L3095">
        <v>0</v>
      </c>
      <c r="M3095">
        <f>VLOOKUP(Table1[[#This Row],[subscription_type]],Plans!$A$1:$B$5,2,FALSE)</f>
        <v>0</v>
      </c>
      <c r="N3095">
        <f t="shared" si="48"/>
        <v>0</v>
      </c>
    </row>
    <row r="3096" spans="1:14" x14ac:dyDescent="0.35">
      <c r="A3096">
        <v>3095</v>
      </c>
      <c r="B3096" t="s">
        <v>20</v>
      </c>
      <c r="C3096">
        <v>24</v>
      </c>
      <c r="D3096" t="s">
        <v>28</v>
      </c>
      <c r="E3096" t="s">
        <v>14</v>
      </c>
      <c r="F3096">
        <v>191</v>
      </c>
      <c r="G3096">
        <v>85</v>
      </c>
      <c r="H3096">
        <v>0.5</v>
      </c>
      <c r="I3096" t="s">
        <v>15</v>
      </c>
      <c r="J3096">
        <v>44</v>
      </c>
      <c r="K3096">
        <v>0</v>
      </c>
      <c r="L3096">
        <v>0</v>
      </c>
      <c r="M3096">
        <f>VLOOKUP(Table1[[#This Row],[subscription_type]],Plans!$A$1:$B$5,2,FALSE)</f>
        <v>0</v>
      </c>
      <c r="N3096">
        <f t="shared" si="48"/>
        <v>0</v>
      </c>
    </row>
    <row r="3097" spans="1:14" x14ac:dyDescent="0.35">
      <c r="A3097">
        <v>3096</v>
      </c>
      <c r="B3097" t="s">
        <v>12</v>
      </c>
      <c r="C3097">
        <v>48</v>
      </c>
      <c r="D3097" t="s">
        <v>13</v>
      </c>
      <c r="E3097" t="s">
        <v>18</v>
      </c>
      <c r="F3097">
        <v>272</v>
      </c>
      <c r="G3097">
        <v>71</v>
      </c>
      <c r="H3097">
        <v>0.06</v>
      </c>
      <c r="I3097" t="s">
        <v>15</v>
      </c>
      <c r="J3097">
        <v>0</v>
      </c>
      <c r="K3097">
        <v>1</v>
      </c>
      <c r="L3097">
        <v>0</v>
      </c>
      <c r="M3097">
        <f>VLOOKUP(Table1[[#This Row],[subscription_type]],Plans!$A$1:$B$5,2,FALSE)</f>
        <v>14.99</v>
      </c>
      <c r="N3097">
        <f t="shared" si="48"/>
        <v>0</v>
      </c>
    </row>
    <row r="3098" spans="1:14" x14ac:dyDescent="0.35">
      <c r="A3098">
        <v>3097</v>
      </c>
      <c r="B3098" t="s">
        <v>16</v>
      </c>
      <c r="C3098">
        <v>43</v>
      </c>
      <c r="D3098" t="s">
        <v>26</v>
      </c>
      <c r="E3098" t="s">
        <v>22</v>
      </c>
      <c r="F3098">
        <v>196</v>
      </c>
      <c r="G3098">
        <v>78</v>
      </c>
      <c r="H3098">
        <v>0.44</v>
      </c>
      <c r="I3098" t="s">
        <v>23</v>
      </c>
      <c r="J3098">
        <v>0</v>
      </c>
      <c r="K3098">
        <v>1</v>
      </c>
      <c r="L3098">
        <v>0</v>
      </c>
      <c r="M3098">
        <f>VLOOKUP(Table1[[#This Row],[subscription_type]],Plans!$A$1:$B$5,2,FALSE)</f>
        <v>9.99</v>
      </c>
      <c r="N3098">
        <f t="shared" si="48"/>
        <v>0</v>
      </c>
    </row>
    <row r="3099" spans="1:14" x14ac:dyDescent="0.35">
      <c r="A3099">
        <v>3098</v>
      </c>
      <c r="B3099" t="s">
        <v>12</v>
      </c>
      <c r="C3099">
        <v>22</v>
      </c>
      <c r="D3099" t="s">
        <v>27</v>
      </c>
      <c r="E3099" t="s">
        <v>14</v>
      </c>
      <c r="F3099">
        <v>129</v>
      </c>
      <c r="G3099">
        <v>76</v>
      </c>
      <c r="H3099">
        <v>0.17</v>
      </c>
      <c r="I3099" t="s">
        <v>23</v>
      </c>
      <c r="J3099">
        <v>17</v>
      </c>
      <c r="K3099">
        <v>0</v>
      </c>
      <c r="L3099">
        <v>0</v>
      </c>
      <c r="M3099">
        <f>VLOOKUP(Table1[[#This Row],[subscription_type]],Plans!$A$1:$B$5,2,FALSE)</f>
        <v>0</v>
      </c>
      <c r="N3099">
        <f t="shared" si="48"/>
        <v>0</v>
      </c>
    </row>
    <row r="3100" spans="1:14" x14ac:dyDescent="0.35">
      <c r="A3100">
        <v>3099</v>
      </c>
      <c r="B3100" t="s">
        <v>20</v>
      </c>
      <c r="C3100">
        <v>35</v>
      </c>
      <c r="D3100" t="s">
        <v>21</v>
      </c>
      <c r="E3100" t="s">
        <v>24</v>
      </c>
      <c r="F3100">
        <v>76</v>
      </c>
      <c r="G3100">
        <v>84</v>
      </c>
      <c r="H3100">
        <v>0.14000000000000001</v>
      </c>
      <c r="I3100" t="s">
        <v>19</v>
      </c>
      <c r="J3100">
        <v>0</v>
      </c>
      <c r="K3100">
        <v>1</v>
      </c>
      <c r="L3100">
        <v>0</v>
      </c>
      <c r="M3100">
        <f>VLOOKUP(Table1[[#This Row],[subscription_type]],Plans!$A$1:$B$5,2,FALSE)</f>
        <v>4.99</v>
      </c>
      <c r="N3100">
        <f t="shared" si="48"/>
        <v>0</v>
      </c>
    </row>
    <row r="3101" spans="1:14" x14ac:dyDescent="0.35">
      <c r="A3101">
        <v>3100</v>
      </c>
      <c r="B3101" t="s">
        <v>12</v>
      </c>
      <c r="C3101">
        <v>47</v>
      </c>
      <c r="D3101" t="s">
        <v>26</v>
      </c>
      <c r="E3101" t="s">
        <v>22</v>
      </c>
      <c r="F3101">
        <v>135</v>
      </c>
      <c r="G3101">
        <v>68</v>
      </c>
      <c r="H3101">
        <v>0.5</v>
      </c>
      <c r="I3101" t="s">
        <v>15</v>
      </c>
      <c r="J3101">
        <v>0</v>
      </c>
      <c r="K3101">
        <v>1</v>
      </c>
      <c r="L3101">
        <v>0</v>
      </c>
      <c r="M3101">
        <f>VLOOKUP(Table1[[#This Row],[subscription_type]],Plans!$A$1:$B$5,2,FALSE)</f>
        <v>9.99</v>
      </c>
      <c r="N3101">
        <f t="shared" si="48"/>
        <v>0</v>
      </c>
    </row>
    <row r="3102" spans="1:14" x14ac:dyDescent="0.35">
      <c r="A3102">
        <v>3101</v>
      </c>
      <c r="B3102" t="s">
        <v>16</v>
      </c>
      <c r="C3102">
        <v>30</v>
      </c>
      <c r="D3102" t="s">
        <v>29</v>
      </c>
      <c r="E3102" t="s">
        <v>14</v>
      </c>
      <c r="F3102">
        <v>42</v>
      </c>
      <c r="G3102">
        <v>99</v>
      </c>
      <c r="H3102">
        <v>0.05</v>
      </c>
      <c r="I3102" t="s">
        <v>19</v>
      </c>
      <c r="J3102">
        <v>35</v>
      </c>
      <c r="K3102">
        <v>0</v>
      </c>
      <c r="L3102">
        <v>0</v>
      </c>
      <c r="M3102">
        <f>VLOOKUP(Table1[[#This Row],[subscription_type]],Plans!$A$1:$B$5,2,FALSE)</f>
        <v>0</v>
      </c>
      <c r="N3102">
        <f t="shared" si="48"/>
        <v>0</v>
      </c>
    </row>
    <row r="3103" spans="1:14" x14ac:dyDescent="0.35">
      <c r="A3103">
        <v>3102</v>
      </c>
      <c r="B3103" t="s">
        <v>12</v>
      </c>
      <c r="C3103">
        <v>37</v>
      </c>
      <c r="D3103" t="s">
        <v>26</v>
      </c>
      <c r="E3103" t="s">
        <v>18</v>
      </c>
      <c r="F3103">
        <v>220</v>
      </c>
      <c r="G3103">
        <v>58</v>
      </c>
      <c r="H3103">
        <v>0.06</v>
      </c>
      <c r="I3103" t="s">
        <v>15</v>
      </c>
      <c r="J3103">
        <v>0</v>
      </c>
      <c r="K3103">
        <v>1</v>
      </c>
      <c r="L3103">
        <v>0</v>
      </c>
      <c r="M3103">
        <f>VLOOKUP(Table1[[#This Row],[subscription_type]],Plans!$A$1:$B$5,2,FALSE)</f>
        <v>14.99</v>
      </c>
      <c r="N3103">
        <f t="shared" si="48"/>
        <v>0</v>
      </c>
    </row>
    <row r="3104" spans="1:14" x14ac:dyDescent="0.35">
      <c r="A3104">
        <v>3103</v>
      </c>
      <c r="B3104" t="s">
        <v>16</v>
      </c>
      <c r="C3104">
        <v>36</v>
      </c>
      <c r="D3104" t="s">
        <v>21</v>
      </c>
      <c r="E3104" t="s">
        <v>14</v>
      </c>
      <c r="F3104">
        <v>118</v>
      </c>
      <c r="G3104">
        <v>26</v>
      </c>
      <c r="H3104">
        <v>0.53</v>
      </c>
      <c r="I3104" t="s">
        <v>15</v>
      </c>
      <c r="J3104">
        <v>41</v>
      </c>
      <c r="K3104">
        <v>0</v>
      </c>
      <c r="L3104">
        <v>0</v>
      </c>
      <c r="M3104">
        <f>VLOOKUP(Table1[[#This Row],[subscription_type]],Plans!$A$1:$B$5,2,FALSE)</f>
        <v>0</v>
      </c>
      <c r="N3104">
        <f t="shared" si="48"/>
        <v>0</v>
      </c>
    </row>
    <row r="3105" spans="1:14" x14ac:dyDescent="0.35">
      <c r="A3105">
        <v>3104</v>
      </c>
      <c r="B3105" t="s">
        <v>20</v>
      </c>
      <c r="C3105">
        <v>39</v>
      </c>
      <c r="D3105" t="s">
        <v>13</v>
      </c>
      <c r="E3105" t="s">
        <v>14</v>
      </c>
      <c r="F3105">
        <v>244</v>
      </c>
      <c r="G3105">
        <v>87</v>
      </c>
      <c r="H3105">
        <v>0.15</v>
      </c>
      <c r="I3105" t="s">
        <v>15</v>
      </c>
      <c r="J3105">
        <v>33</v>
      </c>
      <c r="K3105">
        <v>0</v>
      </c>
      <c r="L3105">
        <v>0</v>
      </c>
      <c r="M3105">
        <f>VLOOKUP(Table1[[#This Row],[subscription_type]],Plans!$A$1:$B$5,2,FALSE)</f>
        <v>0</v>
      </c>
      <c r="N3105">
        <f t="shared" si="48"/>
        <v>0</v>
      </c>
    </row>
    <row r="3106" spans="1:14" x14ac:dyDescent="0.35">
      <c r="A3106">
        <v>3105</v>
      </c>
      <c r="B3106" t="s">
        <v>12</v>
      </c>
      <c r="C3106">
        <v>55</v>
      </c>
      <c r="D3106" t="s">
        <v>25</v>
      </c>
      <c r="E3106" t="s">
        <v>22</v>
      </c>
      <c r="F3106">
        <v>144</v>
      </c>
      <c r="G3106">
        <v>31</v>
      </c>
      <c r="H3106">
        <v>0.09</v>
      </c>
      <c r="I3106" t="s">
        <v>19</v>
      </c>
      <c r="J3106">
        <v>0</v>
      </c>
      <c r="K3106">
        <v>1</v>
      </c>
      <c r="L3106">
        <v>1</v>
      </c>
      <c r="M3106">
        <f>VLOOKUP(Table1[[#This Row],[subscription_type]],Plans!$A$1:$B$5,2,FALSE)</f>
        <v>9.99</v>
      </c>
      <c r="N3106">
        <f t="shared" si="48"/>
        <v>9.99</v>
      </c>
    </row>
    <row r="3107" spans="1:14" x14ac:dyDescent="0.35">
      <c r="A3107">
        <v>3106</v>
      </c>
      <c r="B3107" t="s">
        <v>12</v>
      </c>
      <c r="C3107">
        <v>18</v>
      </c>
      <c r="D3107" t="s">
        <v>17</v>
      </c>
      <c r="E3107" t="s">
        <v>18</v>
      </c>
      <c r="F3107">
        <v>192</v>
      </c>
      <c r="G3107">
        <v>89</v>
      </c>
      <c r="H3107">
        <v>0.22</v>
      </c>
      <c r="I3107" t="s">
        <v>23</v>
      </c>
      <c r="J3107">
        <v>0</v>
      </c>
      <c r="K3107">
        <v>1</v>
      </c>
      <c r="L3107">
        <v>1</v>
      </c>
      <c r="M3107">
        <f>VLOOKUP(Table1[[#This Row],[subscription_type]],Plans!$A$1:$B$5,2,FALSE)</f>
        <v>14.99</v>
      </c>
      <c r="N3107">
        <f t="shared" si="48"/>
        <v>14.99</v>
      </c>
    </row>
    <row r="3108" spans="1:14" x14ac:dyDescent="0.35">
      <c r="A3108">
        <v>3107</v>
      </c>
      <c r="B3108" t="s">
        <v>12</v>
      </c>
      <c r="C3108">
        <v>19</v>
      </c>
      <c r="D3108" t="s">
        <v>29</v>
      </c>
      <c r="E3108" t="s">
        <v>22</v>
      </c>
      <c r="F3108">
        <v>279</v>
      </c>
      <c r="G3108">
        <v>85</v>
      </c>
      <c r="H3108">
        <v>0.12</v>
      </c>
      <c r="I3108" t="s">
        <v>23</v>
      </c>
      <c r="J3108">
        <v>0</v>
      </c>
      <c r="K3108">
        <v>1</v>
      </c>
      <c r="L3108">
        <v>0</v>
      </c>
      <c r="M3108">
        <f>VLOOKUP(Table1[[#This Row],[subscription_type]],Plans!$A$1:$B$5,2,FALSE)</f>
        <v>9.99</v>
      </c>
      <c r="N3108">
        <f t="shared" si="48"/>
        <v>0</v>
      </c>
    </row>
    <row r="3109" spans="1:14" x14ac:dyDescent="0.35">
      <c r="A3109">
        <v>3108</v>
      </c>
      <c r="B3109" t="s">
        <v>16</v>
      </c>
      <c r="C3109">
        <v>50</v>
      </c>
      <c r="D3109" t="s">
        <v>13</v>
      </c>
      <c r="E3109" t="s">
        <v>14</v>
      </c>
      <c r="F3109">
        <v>209</v>
      </c>
      <c r="G3109">
        <v>21</v>
      </c>
      <c r="H3109">
        <v>0.35</v>
      </c>
      <c r="I3109" t="s">
        <v>23</v>
      </c>
      <c r="J3109">
        <v>21</v>
      </c>
      <c r="K3109">
        <v>0</v>
      </c>
      <c r="L3109">
        <v>0</v>
      </c>
      <c r="M3109">
        <f>VLOOKUP(Table1[[#This Row],[subscription_type]],Plans!$A$1:$B$5,2,FALSE)</f>
        <v>0</v>
      </c>
      <c r="N3109">
        <f t="shared" si="48"/>
        <v>0</v>
      </c>
    </row>
    <row r="3110" spans="1:14" x14ac:dyDescent="0.35">
      <c r="A3110">
        <v>3109</v>
      </c>
      <c r="B3110" t="s">
        <v>20</v>
      </c>
      <c r="C3110">
        <v>57</v>
      </c>
      <c r="D3110" t="s">
        <v>27</v>
      </c>
      <c r="E3110" t="s">
        <v>24</v>
      </c>
      <c r="F3110">
        <v>248</v>
      </c>
      <c r="G3110">
        <v>72</v>
      </c>
      <c r="H3110">
        <v>0.2</v>
      </c>
      <c r="I3110" t="s">
        <v>23</v>
      </c>
      <c r="J3110">
        <v>0</v>
      </c>
      <c r="K3110">
        <v>1</v>
      </c>
      <c r="L3110">
        <v>0</v>
      </c>
      <c r="M3110">
        <f>VLOOKUP(Table1[[#This Row],[subscription_type]],Plans!$A$1:$B$5,2,FALSE)</f>
        <v>4.99</v>
      </c>
      <c r="N3110">
        <f t="shared" si="48"/>
        <v>0</v>
      </c>
    </row>
    <row r="3111" spans="1:14" x14ac:dyDescent="0.35">
      <c r="A3111">
        <v>3110</v>
      </c>
      <c r="B3111" t="s">
        <v>12</v>
      </c>
      <c r="C3111">
        <v>51</v>
      </c>
      <c r="D3111" t="s">
        <v>28</v>
      </c>
      <c r="E3111" t="s">
        <v>22</v>
      </c>
      <c r="F3111">
        <v>46</v>
      </c>
      <c r="G3111">
        <v>82</v>
      </c>
      <c r="H3111">
        <v>0.22</v>
      </c>
      <c r="I3111" t="s">
        <v>23</v>
      </c>
      <c r="J3111">
        <v>0</v>
      </c>
      <c r="K3111">
        <v>1</v>
      </c>
      <c r="L3111">
        <v>0</v>
      </c>
      <c r="M3111">
        <f>VLOOKUP(Table1[[#This Row],[subscription_type]],Plans!$A$1:$B$5,2,FALSE)</f>
        <v>9.99</v>
      </c>
      <c r="N3111">
        <f t="shared" si="48"/>
        <v>0</v>
      </c>
    </row>
    <row r="3112" spans="1:14" x14ac:dyDescent="0.35">
      <c r="A3112">
        <v>3111</v>
      </c>
      <c r="B3112" t="s">
        <v>12</v>
      </c>
      <c r="C3112">
        <v>34</v>
      </c>
      <c r="D3112" t="s">
        <v>27</v>
      </c>
      <c r="E3112" t="s">
        <v>22</v>
      </c>
      <c r="F3112">
        <v>33</v>
      </c>
      <c r="G3112">
        <v>68</v>
      </c>
      <c r="H3112">
        <v>0.23</v>
      </c>
      <c r="I3112" t="s">
        <v>23</v>
      </c>
      <c r="J3112">
        <v>0</v>
      </c>
      <c r="K3112">
        <v>1</v>
      </c>
      <c r="L3112">
        <v>0</v>
      </c>
      <c r="M3112">
        <f>VLOOKUP(Table1[[#This Row],[subscription_type]],Plans!$A$1:$B$5,2,FALSE)</f>
        <v>9.99</v>
      </c>
      <c r="N3112">
        <f t="shared" si="48"/>
        <v>0</v>
      </c>
    </row>
    <row r="3113" spans="1:14" x14ac:dyDescent="0.35">
      <c r="A3113">
        <v>3112</v>
      </c>
      <c r="B3113" t="s">
        <v>12</v>
      </c>
      <c r="C3113">
        <v>23</v>
      </c>
      <c r="D3113" t="s">
        <v>29</v>
      </c>
      <c r="E3113" t="s">
        <v>24</v>
      </c>
      <c r="F3113">
        <v>53</v>
      </c>
      <c r="G3113">
        <v>85</v>
      </c>
      <c r="H3113">
        <v>0.21</v>
      </c>
      <c r="I3113" t="s">
        <v>19</v>
      </c>
      <c r="J3113">
        <v>0</v>
      </c>
      <c r="K3113">
        <v>1</v>
      </c>
      <c r="L3113">
        <v>0</v>
      </c>
      <c r="M3113">
        <f>VLOOKUP(Table1[[#This Row],[subscription_type]],Plans!$A$1:$B$5,2,FALSE)</f>
        <v>4.99</v>
      </c>
      <c r="N3113">
        <f t="shared" si="48"/>
        <v>0</v>
      </c>
    </row>
    <row r="3114" spans="1:14" x14ac:dyDescent="0.35">
      <c r="A3114">
        <v>3113</v>
      </c>
      <c r="B3114" t="s">
        <v>16</v>
      </c>
      <c r="C3114">
        <v>32</v>
      </c>
      <c r="D3114" t="s">
        <v>25</v>
      </c>
      <c r="E3114" t="s">
        <v>14</v>
      </c>
      <c r="F3114">
        <v>82</v>
      </c>
      <c r="G3114">
        <v>10</v>
      </c>
      <c r="H3114">
        <v>0.28999999999999998</v>
      </c>
      <c r="I3114" t="s">
        <v>23</v>
      </c>
      <c r="J3114">
        <v>22</v>
      </c>
      <c r="K3114">
        <v>0</v>
      </c>
      <c r="L3114">
        <v>0</v>
      </c>
      <c r="M3114">
        <f>VLOOKUP(Table1[[#This Row],[subscription_type]],Plans!$A$1:$B$5,2,FALSE)</f>
        <v>0</v>
      </c>
      <c r="N3114">
        <f t="shared" si="48"/>
        <v>0</v>
      </c>
    </row>
    <row r="3115" spans="1:14" x14ac:dyDescent="0.35">
      <c r="A3115">
        <v>3114</v>
      </c>
      <c r="B3115" t="s">
        <v>12</v>
      </c>
      <c r="C3115">
        <v>37</v>
      </c>
      <c r="D3115" t="s">
        <v>17</v>
      </c>
      <c r="E3115" t="s">
        <v>22</v>
      </c>
      <c r="F3115">
        <v>244</v>
      </c>
      <c r="G3115">
        <v>39</v>
      </c>
      <c r="H3115">
        <v>0.18</v>
      </c>
      <c r="I3115" t="s">
        <v>19</v>
      </c>
      <c r="J3115">
        <v>0</v>
      </c>
      <c r="K3115">
        <v>1</v>
      </c>
      <c r="L3115">
        <v>0</v>
      </c>
      <c r="M3115">
        <f>VLOOKUP(Table1[[#This Row],[subscription_type]],Plans!$A$1:$B$5,2,FALSE)</f>
        <v>9.99</v>
      </c>
      <c r="N3115">
        <f t="shared" si="48"/>
        <v>0</v>
      </c>
    </row>
    <row r="3116" spans="1:14" x14ac:dyDescent="0.35">
      <c r="A3116">
        <v>3115</v>
      </c>
      <c r="B3116" t="s">
        <v>20</v>
      </c>
      <c r="C3116">
        <v>21</v>
      </c>
      <c r="D3116" t="s">
        <v>28</v>
      </c>
      <c r="E3116" t="s">
        <v>18</v>
      </c>
      <c r="F3116">
        <v>285</v>
      </c>
      <c r="G3116">
        <v>80</v>
      </c>
      <c r="H3116">
        <v>0.28999999999999998</v>
      </c>
      <c r="I3116" t="s">
        <v>15</v>
      </c>
      <c r="J3116">
        <v>0</v>
      </c>
      <c r="K3116">
        <v>1</v>
      </c>
      <c r="L3116">
        <v>1</v>
      </c>
      <c r="M3116">
        <f>VLOOKUP(Table1[[#This Row],[subscription_type]],Plans!$A$1:$B$5,2,FALSE)</f>
        <v>14.99</v>
      </c>
      <c r="N3116">
        <f t="shared" si="48"/>
        <v>14.99</v>
      </c>
    </row>
    <row r="3117" spans="1:14" x14ac:dyDescent="0.35">
      <c r="A3117">
        <v>3116</v>
      </c>
      <c r="B3117" t="s">
        <v>16</v>
      </c>
      <c r="C3117">
        <v>43</v>
      </c>
      <c r="D3117" t="s">
        <v>13</v>
      </c>
      <c r="E3117" t="s">
        <v>22</v>
      </c>
      <c r="F3117">
        <v>14</v>
      </c>
      <c r="G3117">
        <v>63</v>
      </c>
      <c r="H3117">
        <v>0.5</v>
      </c>
      <c r="I3117" t="s">
        <v>23</v>
      </c>
      <c r="J3117">
        <v>0</v>
      </c>
      <c r="K3117">
        <v>1</v>
      </c>
      <c r="L3117">
        <v>1</v>
      </c>
      <c r="M3117">
        <f>VLOOKUP(Table1[[#This Row],[subscription_type]],Plans!$A$1:$B$5,2,FALSE)</f>
        <v>9.99</v>
      </c>
      <c r="N3117">
        <f t="shared" si="48"/>
        <v>9.99</v>
      </c>
    </row>
    <row r="3118" spans="1:14" x14ac:dyDescent="0.35">
      <c r="A3118">
        <v>3117</v>
      </c>
      <c r="B3118" t="s">
        <v>20</v>
      </c>
      <c r="C3118">
        <v>38</v>
      </c>
      <c r="D3118" t="s">
        <v>28</v>
      </c>
      <c r="E3118" t="s">
        <v>14</v>
      </c>
      <c r="F3118">
        <v>205</v>
      </c>
      <c r="G3118">
        <v>71</v>
      </c>
      <c r="H3118">
        <v>0.23</v>
      </c>
      <c r="I3118" t="s">
        <v>19</v>
      </c>
      <c r="J3118">
        <v>11</v>
      </c>
      <c r="K3118">
        <v>0</v>
      </c>
      <c r="L3118">
        <v>0</v>
      </c>
      <c r="M3118">
        <f>VLOOKUP(Table1[[#This Row],[subscription_type]],Plans!$A$1:$B$5,2,FALSE)</f>
        <v>0</v>
      </c>
      <c r="N3118">
        <f t="shared" si="48"/>
        <v>0</v>
      </c>
    </row>
    <row r="3119" spans="1:14" x14ac:dyDescent="0.35">
      <c r="A3119">
        <v>3118</v>
      </c>
      <c r="B3119" t="s">
        <v>20</v>
      </c>
      <c r="C3119">
        <v>59</v>
      </c>
      <c r="D3119" t="s">
        <v>25</v>
      </c>
      <c r="E3119" t="s">
        <v>24</v>
      </c>
      <c r="F3119">
        <v>151</v>
      </c>
      <c r="G3119">
        <v>61</v>
      </c>
      <c r="H3119">
        <v>7.0000000000000007E-2</v>
      </c>
      <c r="I3119" t="s">
        <v>23</v>
      </c>
      <c r="J3119">
        <v>0</v>
      </c>
      <c r="K3119">
        <v>1</v>
      </c>
      <c r="L3119">
        <v>1</v>
      </c>
      <c r="M3119">
        <f>VLOOKUP(Table1[[#This Row],[subscription_type]],Plans!$A$1:$B$5,2,FALSE)</f>
        <v>4.99</v>
      </c>
      <c r="N3119">
        <f t="shared" si="48"/>
        <v>4.99</v>
      </c>
    </row>
    <row r="3120" spans="1:14" x14ac:dyDescent="0.35">
      <c r="A3120">
        <v>3119</v>
      </c>
      <c r="B3120" t="s">
        <v>16</v>
      </c>
      <c r="C3120">
        <v>20</v>
      </c>
      <c r="D3120" t="s">
        <v>28</v>
      </c>
      <c r="E3120" t="s">
        <v>22</v>
      </c>
      <c r="F3120">
        <v>185</v>
      </c>
      <c r="G3120">
        <v>22</v>
      </c>
      <c r="H3120">
        <v>0.45</v>
      </c>
      <c r="I3120" t="s">
        <v>23</v>
      </c>
      <c r="J3120">
        <v>0</v>
      </c>
      <c r="K3120">
        <v>1</v>
      </c>
      <c r="L3120">
        <v>0</v>
      </c>
      <c r="M3120">
        <f>VLOOKUP(Table1[[#This Row],[subscription_type]],Plans!$A$1:$B$5,2,FALSE)</f>
        <v>9.99</v>
      </c>
      <c r="N3120">
        <f t="shared" si="48"/>
        <v>0</v>
      </c>
    </row>
    <row r="3121" spans="1:14" x14ac:dyDescent="0.35">
      <c r="A3121">
        <v>3120</v>
      </c>
      <c r="B3121" t="s">
        <v>12</v>
      </c>
      <c r="C3121">
        <v>52</v>
      </c>
      <c r="D3121" t="s">
        <v>25</v>
      </c>
      <c r="E3121" t="s">
        <v>24</v>
      </c>
      <c r="F3121">
        <v>10</v>
      </c>
      <c r="G3121">
        <v>34</v>
      </c>
      <c r="H3121">
        <v>0.38</v>
      </c>
      <c r="I3121" t="s">
        <v>23</v>
      </c>
      <c r="J3121">
        <v>0</v>
      </c>
      <c r="K3121">
        <v>1</v>
      </c>
      <c r="L3121">
        <v>0</v>
      </c>
      <c r="M3121">
        <f>VLOOKUP(Table1[[#This Row],[subscription_type]],Plans!$A$1:$B$5,2,FALSE)</f>
        <v>4.99</v>
      </c>
      <c r="N3121">
        <f t="shared" si="48"/>
        <v>0</v>
      </c>
    </row>
    <row r="3122" spans="1:14" x14ac:dyDescent="0.35">
      <c r="A3122">
        <v>3121</v>
      </c>
      <c r="B3122" t="s">
        <v>12</v>
      </c>
      <c r="C3122">
        <v>40</v>
      </c>
      <c r="D3122" t="s">
        <v>13</v>
      </c>
      <c r="E3122" t="s">
        <v>14</v>
      </c>
      <c r="F3122">
        <v>141</v>
      </c>
      <c r="G3122">
        <v>79</v>
      </c>
      <c r="H3122">
        <v>0.46</v>
      </c>
      <c r="I3122" t="s">
        <v>19</v>
      </c>
      <c r="J3122">
        <v>41</v>
      </c>
      <c r="K3122">
        <v>0</v>
      </c>
      <c r="L3122">
        <v>1</v>
      </c>
      <c r="M3122">
        <f>VLOOKUP(Table1[[#This Row],[subscription_type]],Plans!$A$1:$B$5,2,FALSE)</f>
        <v>0</v>
      </c>
      <c r="N3122">
        <f t="shared" si="48"/>
        <v>0</v>
      </c>
    </row>
    <row r="3123" spans="1:14" x14ac:dyDescent="0.35">
      <c r="A3123">
        <v>3122</v>
      </c>
      <c r="B3123" t="s">
        <v>16</v>
      </c>
      <c r="C3123">
        <v>28</v>
      </c>
      <c r="D3123" t="s">
        <v>27</v>
      </c>
      <c r="E3123" t="s">
        <v>14</v>
      </c>
      <c r="F3123">
        <v>110</v>
      </c>
      <c r="G3123">
        <v>49</v>
      </c>
      <c r="H3123">
        <v>0.43</v>
      </c>
      <c r="I3123" t="s">
        <v>23</v>
      </c>
      <c r="J3123">
        <v>13</v>
      </c>
      <c r="K3123">
        <v>0</v>
      </c>
      <c r="L3123">
        <v>1</v>
      </c>
      <c r="M3123">
        <f>VLOOKUP(Table1[[#This Row],[subscription_type]],Plans!$A$1:$B$5,2,FALSE)</f>
        <v>0</v>
      </c>
      <c r="N3123">
        <f t="shared" si="48"/>
        <v>0</v>
      </c>
    </row>
    <row r="3124" spans="1:14" x14ac:dyDescent="0.35">
      <c r="A3124">
        <v>3123</v>
      </c>
      <c r="B3124" t="s">
        <v>12</v>
      </c>
      <c r="C3124">
        <v>49</v>
      </c>
      <c r="D3124" t="s">
        <v>27</v>
      </c>
      <c r="E3124" t="s">
        <v>22</v>
      </c>
      <c r="F3124">
        <v>148</v>
      </c>
      <c r="G3124">
        <v>52</v>
      </c>
      <c r="H3124">
        <v>0.56000000000000005</v>
      </c>
      <c r="I3124" t="s">
        <v>15</v>
      </c>
      <c r="J3124">
        <v>0</v>
      </c>
      <c r="K3124">
        <v>1</v>
      </c>
      <c r="L3124">
        <v>0</v>
      </c>
      <c r="M3124">
        <f>VLOOKUP(Table1[[#This Row],[subscription_type]],Plans!$A$1:$B$5,2,FALSE)</f>
        <v>9.99</v>
      </c>
      <c r="N3124">
        <f t="shared" si="48"/>
        <v>0</v>
      </c>
    </row>
    <row r="3125" spans="1:14" x14ac:dyDescent="0.35">
      <c r="A3125">
        <v>3124</v>
      </c>
      <c r="B3125" t="s">
        <v>12</v>
      </c>
      <c r="C3125">
        <v>26</v>
      </c>
      <c r="D3125" t="s">
        <v>21</v>
      </c>
      <c r="E3125" t="s">
        <v>22</v>
      </c>
      <c r="F3125">
        <v>77</v>
      </c>
      <c r="G3125">
        <v>48</v>
      </c>
      <c r="H3125">
        <v>0.12</v>
      </c>
      <c r="I3125" t="s">
        <v>15</v>
      </c>
      <c r="J3125">
        <v>0</v>
      </c>
      <c r="K3125">
        <v>1</v>
      </c>
      <c r="L3125">
        <v>0</v>
      </c>
      <c r="M3125">
        <f>VLOOKUP(Table1[[#This Row],[subscription_type]],Plans!$A$1:$B$5,2,FALSE)</f>
        <v>9.99</v>
      </c>
      <c r="N3125">
        <f t="shared" si="48"/>
        <v>0</v>
      </c>
    </row>
    <row r="3126" spans="1:14" x14ac:dyDescent="0.35">
      <c r="A3126">
        <v>3125</v>
      </c>
      <c r="B3126" t="s">
        <v>16</v>
      </c>
      <c r="C3126">
        <v>16</v>
      </c>
      <c r="D3126" t="s">
        <v>27</v>
      </c>
      <c r="E3126" t="s">
        <v>18</v>
      </c>
      <c r="F3126">
        <v>122</v>
      </c>
      <c r="G3126">
        <v>46</v>
      </c>
      <c r="H3126">
        <v>0.21</v>
      </c>
      <c r="I3126" t="s">
        <v>19</v>
      </c>
      <c r="J3126">
        <v>0</v>
      </c>
      <c r="K3126">
        <v>1</v>
      </c>
      <c r="L3126">
        <v>0</v>
      </c>
      <c r="M3126">
        <f>VLOOKUP(Table1[[#This Row],[subscription_type]],Plans!$A$1:$B$5,2,FALSE)</f>
        <v>14.99</v>
      </c>
      <c r="N3126">
        <f t="shared" si="48"/>
        <v>0</v>
      </c>
    </row>
    <row r="3127" spans="1:14" x14ac:dyDescent="0.35">
      <c r="A3127">
        <v>3126</v>
      </c>
      <c r="B3127" t="s">
        <v>12</v>
      </c>
      <c r="C3127">
        <v>37</v>
      </c>
      <c r="D3127" t="s">
        <v>17</v>
      </c>
      <c r="E3127" t="s">
        <v>22</v>
      </c>
      <c r="F3127">
        <v>81</v>
      </c>
      <c r="G3127">
        <v>2</v>
      </c>
      <c r="H3127">
        <v>0.32</v>
      </c>
      <c r="I3127" t="s">
        <v>23</v>
      </c>
      <c r="J3127">
        <v>0</v>
      </c>
      <c r="K3127">
        <v>1</v>
      </c>
      <c r="L3127">
        <v>0</v>
      </c>
      <c r="M3127">
        <f>VLOOKUP(Table1[[#This Row],[subscription_type]],Plans!$A$1:$B$5,2,FALSE)</f>
        <v>9.99</v>
      </c>
      <c r="N3127">
        <f t="shared" si="48"/>
        <v>0</v>
      </c>
    </row>
    <row r="3128" spans="1:14" x14ac:dyDescent="0.35">
      <c r="A3128">
        <v>3127</v>
      </c>
      <c r="B3128" t="s">
        <v>16</v>
      </c>
      <c r="C3128">
        <v>46</v>
      </c>
      <c r="D3128" t="s">
        <v>29</v>
      </c>
      <c r="E3128" t="s">
        <v>14</v>
      </c>
      <c r="F3128">
        <v>190</v>
      </c>
      <c r="G3128">
        <v>88</v>
      </c>
      <c r="H3128">
        <v>0.41</v>
      </c>
      <c r="I3128" t="s">
        <v>23</v>
      </c>
      <c r="J3128">
        <v>26</v>
      </c>
      <c r="K3128">
        <v>0</v>
      </c>
      <c r="L3128">
        <v>0</v>
      </c>
      <c r="M3128">
        <f>VLOOKUP(Table1[[#This Row],[subscription_type]],Plans!$A$1:$B$5,2,FALSE)</f>
        <v>0</v>
      </c>
      <c r="N3128">
        <f t="shared" si="48"/>
        <v>0</v>
      </c>
    </row>
    <row r="3129" spans="1:14" x14ac:dyDescent="0.35">
      <c r="A3129">
        <v>3128</v>
      </c>
      <c r="B3129" t="s">
        <v>20</v>
      </c>
      <c r="C3129">
        <v>40</v>
      </c>
      <c r="D3129" t="s">
        <v>27</v>
      </c>
      <c r="E3129" t="s">
        <v>22</v>
      </c>
      <c r="F3129">
        <v>111</v>
      </c>
      <c r="G3129">
        <v>89</v>
      </c>
      <c r="H3129">
        <v>0.25</v>
      </c>
      <c r="I3129" t="s">
        <v>15</v>
      </c>
      <c r="J3129">
        <v>0</v>
      </c>
      <c r="K3129">
        <v>1</v>
      </c>
      <c r="L3129">
        <v>0</v>
      </c>
      <c r="M3129">
        <f>VLOOKUP(Table1[[#This Row],[subscription_type]],Plans!$A$1:$B$5,2,FALSE)</f>
        <v>9.99</v>
      </c>
      <c r="N3129">
        <f t="shared" si="48"/>
        <v>0</v>
      </c>
    </row>
    <row r="3130" spans="1:14" x14ac:dyDescent="0.35">
      <c r="A3130">
        <v>3129</v>
      </c>
      <c r="B3130" t="s">
        <v>16</v>
      </c>
      <c r="C3130">
        <v>41</v>
      </c>
      <c r="D3130" t="s">
        <v>13</v>
      </c>
      <c r="E3130" t="s">
        <v>18</v>
      </c>
      <c r="F3130">
        <v>68</v>
      </c>
      <c r="G3130">
        <v>8</v>
      </c>
      <c r="H3130">
        <v>0.19</v>
      </c>
      <c r="I3130" t="s">
        <v>15</v>
      </c>
      <c r="J3130">
        <v>0</v>
      </c>
      <c r="K3130">
        <v>1</v>
      </c>
      <c r="L3130">
        <v>0</v>
      </c>
      <c r="M3130">
        <f>VLOOKUP(Table1[[#This Row],[subscription_type]],Plans!$A$1:$B$5,2,FALSE)</f>
        <v>14.99</v>
      </c>
      <c r="N3130">
        <f t="shared" si="48"/>
        <v>0</v>
      </c>
    </row>
    <row r="3131" spans="1:14" x14ac:dyDescent="0.35">
      <c r="A3131">
        <v>3130</v>
      </c>
      <c r="B3131" t="s">
        <v>20</v>
      </c>
      <c r="C3131">
        <v>38</v>
      </c>
      <c r="D3131" t="s">
        <v>21</v>
      </c>
      <c r="E3131" t="s">
        <v>22</v>
      </c>
      <c r="F3131">
        <v>51</v>
      </c>
      <c r="G3131">
        <v>35</v>
      </c>
      <c r="H3131">
        <v>0.06</v>
      </c>
      <c r="I3131" t="s">
        <v>15</v>
      </c>
      <c r="J3131">
        <v>0</v>
      </c>
      <c r="K3131">
        <v>1</v>
      </c>
      <c r="L3131">
        <v>0</v>
      </c>
      <c r="M3131">
        <f>VLOOKUP(Table1[[#This Row],[subscription_type]],Plans!$A$1:$B$5,2,FALSE)</f>
        <v>9.99</v>
      </c>
      <c r="N3131">
        <f t="shared" si="48"/>
        <v>0</v>
      </c>
    </row>
    <row r="3132" spans="1:14" x14ac:dyDescent="0.35">
      <c r="A3132">
        <v>3131</v>
      </c>
      <c r="B3132" t="s">
        <v>20</v>
      </c>
      <c r="C3132">
        <v>51</v>
      </c>
      <c r="D3132" t="s">
        <v>26</v>
      </c>
      <c r="E3132" t="s">
        <v>18</v>
      </c>
      <c r="F3132">
        <v>102</v>
      </c>
      <c r="G3132">
        <v>55</v>
      </c>
      <c r="H3132">
        <v>0.53</v>
      </c>
      <c r="I3132" t="s">
        <v>19</v>
      </c>
      <c r="J3132">
        <v>0</v>
      </c>
      <c r="K3132">
        <v>1</v>
      </c>
      <c r="L3132">
        <v>0</v>
      </c>
      <c r="M3132">
        <f>VLOOKUP(Table1[[#This Row],[subscription_type]],Plans!$A$1:$B$5,2,FALSE)</f>
        <v>14.99</v>
      </c>
      <c r="N3132">
        <f t="shared" si="48"/>
        <v>0</v>
      </c>
    </row>
    <row r="3133" spans="1:14" x14ac:dyDescent="0.35">
      <c r="A3133">
        <v>3132</v>
      </c>
      <c r="B3133" t="s">
        <v>12</v>
      </c>
      <c r="C3133">
        <v>23</v>
      </c>
      <c r="D3133" t="s">
        <v>25</v>
      </c>
      <c r="E3133" t="s">
        <v>18</v>
      </c>
      <c r="F3133">
        <v>273</v>
      </c>
      <c r="G3133">
        <v>14</v>
      </c>
      <c r="H3133">
        <v>0.12</v>
      </c>
      <c r="I3133" t="s">
        <v>23</v>
      </c>
      <c r="J3133">
        <v>0</v>
      </c>
      <c r="K3133">
        <v>1</v>
      </c>
      <c r="L3133">
        <v>0</v>
      </c>
      <c r="M3133">
        <f>VLOOKUP(Table1[[#This Row],[subscription_type]],Plans!$A$1:$B$5,2,FALSE)</f>
        <v>14.99</v>
      </c>
      <c r="N3133">
        <f t="shared" si="48"/>
        <v>0</v>
      </c>
    </row>
    <row r="3134" spans="1:14" x14ac:dyDescent="0.35">
      <c r="A3134">
        <v>3133</v>
      </c>
      <c r="B3134" t="s">
        <v>16</v>
      </c>
      <c r="C3134">
        <v>18</v>
      </c>
      <c r="D3134" t="s">
        <v>28</v>
      </c>
      <c r="E3134" t="s">
        <v>24</v>
      </c>
      <c r="F3134">
        <v>74</v>
      </c>
      <c r="G3134">
        <v>30</v>
      </c>
      <c r="H3134">
        <v>0.38</v>
      </c>
      <c r="I3134" t="s">
        <v>15</v>
      </c>
      <c r="J3134">
        <v>0</v>
      </c>
      <c r="K3134">
        <v>1</v>
      </c>
      <c r="L3134">
        <v>0</v>
      </c>
      <c r="M3134">
        <f>VLOOKUP(Table1[[#This Row],[subscription_type]],Plans!$A$1:$B$5,2,FALSE)</f>
        <v>4.99</v>
      </c>
      <c r="N3134">
        <f t="shared" si="48"/>
        <v>0</v>
      </c>
    </row>
    <row r="3135" spans="1:14" x14ac:dyDescent="0.35">
      <c r="A3135">
        <v>3134</v>
      </c>
      <c r="B3135" t="s">
        <v>20</v>
      </c>
      <c r="C3135">
        <v>34</v>
      </c>
      <c r="D3135" t="s">
        <v>29</v>
      </c>
      <c r="E3135" t="s">
        <v>18</v>
      </c>
      <c r="F3135">
        <v>200</v>
      </c>
      <c r="G3135">
        <v>17</v>
      </c>
      <c r="H3135">
        <v>0.31</v>
      </c>
      <c r="I3135" t="s">
        <v>15</v>
      </c>
      <c r="J3135">
        <v>0</v>
      </c>
      <c r="K3135">
        <v>1</v>
      </c>
      <c r="L3135">
        <v>1</v>
      </c>
      <c r="M3135">
        <f>VLOOKUP(Table1[[#This Row],[subscription_type]],Plans!$A$1:$B$5,2,FALSE)</f>
        <v>14.99</v>
      </c>
      <c r="N3135">
        <f t="shared" si="48"/>
        <v>14.99</v>
      </c>
    </row>
    <row r="3136" spans="1:14" x14ac:dyDescent="0.35">
      <c r="A3136">
        <v>3135</v>
      </c>
      <c r="B3136" t="s">
        <v>12</v>
      </c>
      <c r="C3136">
        <v>28</v>
      </c>
      <c r="D3136" t="s">
        <v>25</v>
      </c>
      <c r="E3136" t="s">
        <v>22</v>
      </c>
      <c r="F3136">
        <v>248</v>
      </c>
      <c r="G3136">
        <v>81</v>
      </c>
      <c r="H3136">
        <v>0.08</v>
      </c>
      <c r="I3136" t="s">
        <v>19</v>
      </c>
      <c r="J3136">
        <v>0</v>
      </c>
      <c r="K3136">
        <v>1</v>
      </c>
      <c r="L3136">
        <v>0</v>
      </c>
      <c r="M3136">
        <f>VLOOKUP(Table1[[#This Row],[subscription_type]],Plans!$A$1:$B$5,2,FALSE)</f>
        <v>9.99</v>
      </c>
      <c r="N3136">
        <f t="shared" si="48"/>
        <v>0</v>
      </c>
    </row>
    <row r="3137" spans="1:14" x14ac:dyDescent="0.35">
      <c r="A3137">
        <v>3136</v>
      </c>
      <c r="B3137" t="s">
        <v>16</v>
      </c>
      <c r="C3137">
        <v>51</v>
      </c>
      <c r="D3137" t="s">
        <v>13</v>
      </c>
      <c r="E3137" t="s">
        <v>24</v>
      </c>
      <c r="F3137">
        <v>127</v>
      </c>
      <c r="G3137">
        <v>62</v>
      </c>
      <c r="H3137">
        <v>0.17</v>
      </c>
      <c r="I3137" t="s">
        <v>15</v>
      </c>
      <c r="J3137">
        <v>0</v>
      </c>
      <c r="K3137">
        <v>1</v>
      </c>
      <c r="L3137">
        <v>1</v>
      </c>
      <c r="M3137">
        <f>VLOOKUP(Table1[[#This Row],[subscription_type]],Plans!$A$1:$B$5,2,FALSE)</f>
        <v>4.99</v>
      </c>
      <c r="N3137">
        <f t="shared" si="48"/>
        <v>4.99</v>
      </c>
    </row>
    <row r="3138" spans="1:14" x14ac:dyDescent="0.35">
      <c r="A3138">
        <v>3137</v>
      </c>
      <c r="B3138" t="s">
        <v>12</v>
      </c>
      <c r="C3138">
        <v>54</v>
      </c>
      <c r="D3138" t="s">
        <v>28</v>
      </c>
      <c r="E3138" t="s">
        <v>24</v>
      </c>
      <c r="F3138">
        <v>231</v>
      </c>
      <c r="G3138">
        <v>79</v>
      </c>
      <c r="H3138">
        <v>0.48</v>
      </c>
      <c r="I3138" t="s">
        <v>19</v>
      </c>
      <c r="J3138">
        <v>0</v>
      </c>
      <c r="K3138">
        <v>1</v>
      </c>
      <c r="L3138">
        <v>0</v>
      </c>
      <c r="M3138">
        <f>VLOOKUP(Table1[[#This Row],[subscription_type]],Plans!$A$1:$B$5,2,FALSE)</f>
        <v>4.99</v>
      </c>
      <c r="N3138">
        <f t="shared" ref="N3138:N3201" si="49">IF(L3138=1, M3138,0)</f>
        <v>0</v>
      </c>
    </row>
    <row r="3139" spans="1:14" x14ac:dyDescent="0.35">
      <c r="A3139">
        <v>3138</v>
      </c>
      <c r="B3139" t="s">
        <v>20</v>
      </c>
      <c r="C3139">
        <v>26</v>
      </c>
      <c r="D3139" t="s">
        <v>27</v>
      </c>
      <c r="E3139" t="s">
        <v>18</v>
      </c>
      <c r="F3139">
        <v>88</v>
      </c>
      <c r="G3139">
        <v>12</v>
      </c>
      <c r="H3139">
        <v>0.32</v>
      </c>
      <c r="I3139" t="s">
        <v>23</v>
      </c>
      <c r="J3139">
        <v>0</v>
      </c>
      <c r="K3139">
        <v>1</v>
      </c>
      <c r="L3139">
        <v>0</v>
      </c>
      <c r="M3139">
        <f>VLOOKUP(Table1[[#This Row],[subscription_type]],Plans!$A$1:$B$5,2,FALSE)</f>
        <v>14.99</v>
      </c>
      <c r="N3139">
        <f t="shared" si="49"/>
        <v>0</v>
      </c>
    </row>
    <row r="3140" spans="1:14" x14ac:dyDescent="0.35">
      <c r="A3140">
        <v>3139</v>
      </c>
      <c r="B3140" t="s">
        <v>16</v>
      </c>
      <c r="C3140">
        <v>27</v>
      </c>
      <c r="D3140" t="s">
        <v>27</v>
      </c>
      <c r="E3140" t="s">
        <v>22</v>
      </c>
      <c r="F3140">
        <v>226</v>
      </c>
      <c r="G3140">
        <v>15</v>
      </c>
      <c r="H3140">
        <v>7.0000000000000007E-2</v>
      </c>
      <c r="I3140" t="s">
        <v>23</v>
      </c>
      <c r="J3140">
        <v>0</v>
      </c>
      <c r="K3140">
        <v>1</v>
      </c>
      <c r="L3140">
        <v>0</v>
      </c>
      <c r="M3140">
        <f>VLOOKUP(Table1[[#This Row],[subscription_type]],Plans!$A$1:$B$5,2,FALSE)</f>
        <v>9.99</v>
      </c>
      <c r="N3140">
        <f t="shared" si="49"/>
        <v>0</v>
      </c>
    </row>
    <row r="3141" spans="1:14" x14ac:dyDescent="0.35">
      <c r="A3141">
        <v>3140</v>
      </c>
      <c r="B3141" t="s">
        <v>12</v>
      </c>
      <c r="C3141">
        <v>41</v>
      </c>
      <c r="D3141" t="s">
        <v>25</v>
      </c>
      <c r="E3141" t="s">
        <v>18</v>
      </c>
      <c r="F3141">
        <v>246</v>
      </c>
      <c r="G3141">
        <v>65</v>
      </c>
      <c r="H3141">
        <v>0.44</v>
      </c>
      <c r="I3141" t="s">
        <v>15</v>
      </c>
      <c r="J3141">
        <v>0</v>
      </c>
      <c r="K3141">
        <v>1</v>
      </c>
      <c r="L3141">
        <v>0</v>
      </c>
      <c r="M3141">
        <f>VLOOKUP(Table1[[#This Row],[subscription_type]],Plans!$A$1:$B$5,2,FALSE)</f>
        <v>14.99</v>
      </c>
      <c r="N3141">
        <f t="shared" si="49"/>
        <v>0</v>
      </c>
    </row>
    <row r="3142" spans="1:14" x14ac:dyDescent="0.35">
      <c r="A3142">
        <v>3141</v>
      </c>
      <c r="B3142" t="s">
        <v>20</v>
      </c>
      <c r="C3142">
        <v>49</v>
      </c>
      <c r="D3142" t="s">
        <v>21</v>
      </c>
      <c r="E3142" t="s">
        <v>18</v>
      </c>
      <c r="F3142">
        <v>177</v>
      </c>
      <c r="G3142">
        <v>57</v>
      </c>
      <c r="H3142">
        <v>0.46</v>
      </c>
      <c r="I3142" t="s">
        <v>15</v>
      </c>
      <c r="J3142">
        <v>0</v>
      </c>
      <c r="K3142">
        <v>1</v>
      </c>
      <c r="L3142">
        <v>1</v>
      </c>
      <c r="M3142">
        <f>VLOOKUP(Table1[[#This Row],[subscription_type]],Plans!$A$1:$B$5,2,FALSE)</f>
        <v>14.99</v>
      </c>
      <c r="N3142">
        <f t="shared" si="49"/>
        <v>14.99</v>
      </c>
    </row>
    <row r="3143" spans="1:14" x14ac:dyDescent="0.35">
      <c r="A3143">
        <v>3142</v>
      </c>
      <c r="B3143" t="s">
        <v>16</v>
      </c>
      <c r="C3143">
        <v>21</v>
      </c>
      <c r="D3143" t="s">
        <v>26</v>
      </c>
      <c r="E3143" t="s">
        <v>14</v>
      </c>
      <c r="F3143">
        <v>203</v>
      </c>
      <c r="G3143">
        <v>70</v>
      </c>
      <c r="H3143">
        <v>0.56000000000000005</v>
      </c>
      <c r="I3143" t="s">
        <v>15</v>
      </c>
      <c r="J3143">
        <v>20</v>
      </c>
      <c r="K3143">
        <v>0</v>
      </c>
      <c r="L3143">
        <v>1</v>
      </c>
      <c r="M3143">
        <f>VLOOKUP(Table1[[#This Row],[subscription_type]],Plans!$A$1:$B$5,2,FALSE)</f>
        <v>0</v>
      </c>
      <c r="N3143">
        <f t="shared" si="49"/>
        <v>0</v>
      </c>
    </row>
    <row r="3144" spans="1:14" x14ac:dyDescent="0.35">
      <c r="A3144">
        <v>3143</v>
      </c>
      <c r="B3144" t="s">
        <v>16</v>
      </c>
      <c r="C3144">
        <v>31</v>
      </c>
      <c r="D3144" t="s">
        <v>17</v>
      </c>
      <c r="E3144" t="s">
        <v>24</v>
      </c>
      <c r="F3144">
        <v>49</v>
      </c>
      <c r="G3144">
        <v>39</v>
      </c>
      <c r="H3144">
        <v>0.54</v>
      </c>
      <c r="I3144" t="s">
        <v>23</v>
      </c>
      <c r="J3144">
        <v>0</v>
      </c>
      <c r="K3144">
        <v>1</v>
      </c>
      <c r="L3144">
        <v>0</v>
      </c>
      <c r="M3144">
        <f>VLOOKUP(Table1[[#This Row],[subscription_type]],Plans!$A$1:$B$5,2,FALSE)</f>
        <v>4.99</v>
      </c>
      <c r="N3144">
        <f t="shared" si="49"/>
        <v>0</v>
      </c>
    </row>
    <row r="3145" spans="1:14" x14ac:dyDescent="0.35">
      <c r="A3145">
        <v>3144</v>
      </c>
      <c r="B3145" t="s">
        <v>16</v>
      </c>
      <c r="C3145">
        <v>55</v>
      </c>
      <c r="D3145" t="s">
        <v>26</v>
      </c>
      <c r="E3145" t="s">
        <v>14</v>
      </c>
      <c r="F3145">
        <v>251</v>
      </c>
      <c r="G3145">
        <v>88</v>
      </c>
      <c r="H3145">
        <v>0.49</v>
      </c>
      <c r="I3145" t="s">
        <v>23</v>
      </c>
      <c r="J3145">
        <v>37</v>
      </c>
      <c r="K3145">
        <v>0</v>
      </c>
      <c r="L3145">
        <v>0</v>
      </c>
      <c r="M3145">
        <f>VLOOKUP(Table1[[#This Row],[subscription_type]],Plans!$A$1:$B$5,2,FALSE)</f>
        <v>0</v>
      </c>
      <c r="N3145">
        <f t="shared" si="49"/>
        <v>0</v>
      </c>
    </row>
    <row r="3146" spans="1:14" x14ac:dyDescent="0.35">
      <c r="A3146">
        <v>3145</v>
      </c>
      <c r="B3146" t="s">
        <v>12</v>
      </c>
      <c r="C3146">
        <v>16</v>
      </c>
      <c r="D3146" t="s">
        <v>29</v>
      </c>
      <c r="E3146" t="s">
        <v>18</v>
      </c>
      <c r="F3146">
        <v>215</v>
      </c>
      <c r="G3146">
        <v>58</v>
      </c>
      <c r="H3146">
        <v>0.48</v>
      </c>
      <c r="I3146" t="s">
        <v>23</v>
      </c>
      <c r="J3146">
        <v>0</v>
      </c>
      <c r="K3146">
        <v>1</v>
      </c>
      <c r="L3146">
        <v>1</v>
      </c>
      <c r="M3146">
        <f>VLOOKUP(Table1[[#This Row],[subscription_type]],Plans!$A$1:$B$5,2,FALSE)</f>
        <v>14.99</v>
      </c>
      <c r="N3146">
        <f t="shared" si="49"/>
        <v>14.99</v>
      </c>
    </row>
    <row r="3147" spans="1:14" x14ac:dyDescent="0.35">
      <c r="A3147">
        <v>3146</v>
      </c>
      <c r="B3147" t="s">
        <v>20</v>
      </c>
      <c r="C3147">
        <v>45</v>
      </c>
      <c r="D3147" t="s">
        <v>27</v>
      </c>
      <c r="E3147" t="s">
        <v>18</v>
      </c>
      <c r="F3147">
        <v>149</v>
      </c>
      <c r="G3147">
        <v>9</v>
      </c>
      <c r="H3147">
        <v>0.19</v>
      </c>
      <c r="I3147" t="s">
        <v>15</v>
      </c>
      <c r="J3147">
        <v>0</v>
      </c>
      <c r="K3147">
        <v>1</v>
      </c>
      <c r="L3147">
        <v>0</v>
      </c>
      <c r="M3147">
        <f>VLOOKUP(Table1[[#This Row],[subscription_type]],Plans!$A$1:$B$5,2,FALSE)</f>
        <v>14.99</v>
      </c>
      <c r="N3147">
        <f t="shared" si="49"/>
        <v>0</v>
      </c>
    </row>
    <row r="3148" spans="1:14" x14ac:dyDescent="0.35">
      <c r="A3148">
        <v>3147</v>
      </c>
      <c r="B3148" t="s">
        <v>16</v>
      </c>
      <c r="C3148">
        <v>48</v>
      </c>
      <c r="D3148" t="s">
        <v>29</v>
      </c>
      <c r="E3148" t="s">
        <v>18</v>
      </c>
      <c r="F3148">
        <v>70</v>
      </c>
      <c r="G3148">
        <v>50</v>
      </c>
      <c r="H3148">
        <v>0.32</v>
      </c>
      <c r="I3148" t="s">
        <v>19</v>
      </c>
      <c r="J3148">
        <v>0</v>
      </c>
      <c r="K3148">
        <v>1</v>
      </c>
      <c r="L3148">
        <v>1</v>
      </c>
      <c r="M3148">
        <f>VLOOKUP(Table1[[#This Row],[subscription_type]],Plans!$A$1:$B$5,2,FALSE)</f>
        <v>14.99</v>
      </c>
      <c r="N3148">
        <f t="shared" si="49"/>
        <v>14.99</v>
      </c>
    </row>
    <row r="3149" spans="1:14" x14ac:dyDescent="0.35">
      <c r="A3149">
        <v>3148</v>
      </c>
      <c r="B3149" t="s">
        <v>20</v>
      </c>
      <c r="C3149">
        <v>21</v>
      </c>
      <c r="D3149" t="s">
        <v>27</v>
      </c>
      <c r="E3149" t="s">
        <v>24</v>
      </c>
      <c r="F3149">
        <v>39</v>
      </c>
      <c r="G3149">
        <v>68</v>
      </c>
      <c r="H3149">
        <v>0.53</v>
      </c>
      <c r="I3149" t="s">
        <v>15</v>
      </c>
      <c r="J3149">
        <v>0</v>
      </c>
      <c r="K3149">
        <v>1</v>
      </c>
      <c r="L3149">
        <v>1</v>
      </c>
      <c r="M3149">
        <f>VLOOKUP(Table1[[#This Row],[subscription_type]],Plans!$A$1:$B$5,2,FALSE)</f>
        <v>4.99</v>
      </c>
      <c r="N3149">
        <f t="shared" si="49"/>
        <v>4.99</v>
      </c>
    </row>
    <row r="3150" spans="1:14" x14ac:dyDescent="0.35">
      <c r="A3150">
        <v>3149</v>
      </c>
      <c r="B3150" t="s">
        <v>20</v>
      </c>
      <c r="C3150">
        <v>21</v>
      </c>
      <c r="D3150" t="s">
        <v>27</v>
      </c>
      <c r="E3150" t="s">
        <v>22</v>
      </c>
      <c r="F3150">
        <v>200</v>
      </c>
      <c r="G3150">
        <v>94</v>
      </c>
      <c r="H3150">
        <v>0.41</v>
      </c>
      <c r="I3150" t="s">
        <v>19</v>
      </c>
      <c r="J3150">
        <v>0</v>
      </c>
      <c r="K3150">
        <v>1</v>
      </c>
      <c r="L3150">
        <v>1</v>
      </c>
      <c r="M3150">
        <f>VLOOKUP(Table1[[#This Row],[subscription_type]],Plans!$A$1:$B$5,2,FALSE)</f>
        <v>9.99</v>
      </c>
      <c r="N3150">
        <f t="shared" si="49"/>
        <v>9.99</v>
      </c>
    </row>
    <row r="3151" spans="1:14" x14ac:dyDescent="0.35">
      <c r="A3151">
        <v>3150</v>
      </c>
      <c r="B3151" t="s">
        <v>16</v>
      </c>
      <c r="C3151">
        <v>19</v>
      </c>
      <c r="D3151" t="s">
        <v>28</v>
      </c>
      <c r="E3151" t="s">
        <v>22</v>
      </c>
      <c r="F3151">
        <v>266</v>
      </c>
      <c r="G3151">
        <v>17</v>
      </c>
      <c r="H3151">
        <v>0.52</v>
      </c>
      <c r="I3151" t="s">
        <v>23</v>
      </c>
      <c r="J3151">
        <v>0</v>
      </c>
      <c r="K3151">
        <v>1</v>
      </c>
      <c r="L3151">
        <v>0</v>
      </c>
      <c r="M3151">
        <f>VLOOKUP(Table1[[#This Row],[subscription_type]],Plans!$A$1:$B$5,2,FALSE)</f>
        <v>9.99</v>
      </c>
      <c r="N3151">
        <f t="shared" si="49"/>
        <v>0</v>
      </c>
    </row>
    <row r="3152" spans="1:14" x14ac:dyDescent="0.35">
      <c r="A3152">
        <v>3151</v>
      </c>
      <c r="B3152" t="s">
        <v>20</v>
      </c>
      <c r="C3152">
        <v>35</v>
      </c>
      <c r="D3152" t="s">
        <v>21</v>
      </c>
      <c r="E3152" t="s">
        <v>14</v>
      </c>
      <c r="F3152">
        <v>129</v>
      </c>
      <c r="G3152">
        <v>59</v>
      </c>
      <c r="H3152">
        <v>0.02</v>
      </c>
      <c r="I3152" t="s">
        <v>23</v>
      </c>
      <c r="J3152">
        <v>32</v>
      </c>
      <c r="K3152">
        <v>0</v>
      </c>
      <c r="L3152">
        <v>0</v>
      </c>
      <c r="M3152">
        <f>VLOOKUP(Table1[[#This Row],[subscription_type]],Plans!$A$1:$B$5,2,FALSE)</f>
        <v>0</v>
      </c>
      <c r="N3152">
        <f t="shared" si="49"/>
        <v>0</v>
      </c>
    </row>
    <row r="3153" spans="1:14" x14ac:dyDescent="0.35">
      <c r="A3153">
        <v>3152</v>
      </c>
      <c r="B3153" t="s">
        <v>12</v>
      </c>
      <c r="C3153">
        <v>35</v>
      </c>
      <c r="D3153" t="s">
        <v>28</v>
      </c>
      <c r="E3153" t="s">
        <v>24</v>
      </c>
      <c r="F3153">
        <v>242</v>
      </c>
      <c r="G3153">
        <v>34</v>
      </c>
      <c r="H3153">
        <v>0.56999999999999995</v>
      </c>
      <c r="I3153" t="s">
        <v>19</v>
      </c>
      <c r="J3153">
        <v>0</v>
      </c>
      <c r="K3153">
        <v>1</v>
      </c>
      <c r="L3153">
        <v>0</v>
      </c>
      <c r="M3153">
        <f>VLOOKUP(Table1[[#This Row],[subscription_type]],Plans!$A$1:$B$5,2,FALSE)</f>
        <v>4.99</v>
      </c>
      <c r="N3153">
        <f t="shared" si="49"/>
        <v>0</v>
      </c>
    </row>
    <row r="3154" spans="1:14" x14ac:dyDescent="0.35">
      <c r="A3154">
        <v>3153</v>
      </c>
      <c r="B3154" t="s">
        <v>12</v>
      </c>
      <c r="C3154">
        <v>52</v>
      </c>
      <c r="D3154" t="s">
        <v>25</v>
      </c>
      <c r="E3154" t="s">
        <v>18</v>
      </c>
      <c r="F3154">
        <v>114</v>
      </c>
      <c r="G3154">
        <v>50</v>
      </c>
      <c r="H3154">
        <v>0.47</v>
      </c>
      <c r="I3154" t="s">
        <v>19</v>
      </c>
      <c r="J3154">
        <v>0</v>
      </c>
      <c r="K3154">
        <v>1</v>
      </c>
      <c r="L3154">
        <v>1</v>
      </c>
      <c r="M3154">
        <f>VLOOKUP(Table1[[#This Row],[subscription_type]],Plans!$A$1:$B$5,2,FALSE)</f>
        <v>14.99</v>
      </c>
      <c r="N3154">
        <f t="shared" si="49"/>
        <v>14.99</v>
      </c>
    </row>
    <row r="3155" spans="1:14" x14ac:dyDescent="0.35">
      <c r="A3155">
        <v>3154</v>
      </c>
      <c r="B3155" t="s">
        <v>20</v>
      </c>
      <c r="C3155">
        <v>52</v>
      </c>
      <c r="D3155" t="s">
        <v>26</v>
      </c>
      <c r="E3155" t="s">
        <v>22</v>
      </c>
      <c r="F3155">
        <v>132</v>
      </c>
      <c r="G3155">
        <v>80</v>
      </c>
      <c r="H3155">
        <v>0.49</v>
      </c>
      <c r="I3155" t="s">
        <v>15</v>
      </c>
      <c r="J3155">
        <v>0</v>
      </c>
      <c r="K3155">
        <v>1</v>
      </c>
      <c r="L3155">
        <v>0</v>
      </c>
      <c r="M3155">
        <f>VLOOKUP(Table1[[#This Row],[subscription_type]],Plans!$A$1:$B$5,2,FALSE)</f>
        <v>9.99</v>
      </c>
      <c r="N3155">
        <f t="shared" si="49"/>
        <v>0</v>
      </c>
    </row>
    <row r="3156" spans="1:14" x14ac:dyDescent="0.35">
      <c r="A3156">
        <v>3155</v>
      </c>
      <c r="B3156" t="s">
        <v>16</v>
      </c>
      <c r="C3156">
        <v>53</v>
      </c>
      <c r="D3156" t="s">
        <v>25</v>
      </c>
      <c r="E3156" t="s">
        <v>14</v>
      </c>
      <c r="F3156">
        <v>100</v>
      </c>
      <c r="G3156">
        <v>42</v>
      </c>
      <c r="H3156">
        <v>0.01</v>
      </c>
      <c r="I3156" t="s">
        <v>23</v>
      </c>
      <c r="J3156">
        <v>21</v>
      </c>
      <c r="K3156">
        <v>0</v>
      </c>
      <c r="L3156">
        <v>1</v>
      </c>
      <c r="M3156">
        <f>VLOOKUP(Table1[[#This Row],[subscription_type]],Plans!$A$1:$B$5,2,FALSE)</f>
        <v>0</v>
      </c>
      <c r="N3156">
        <f t="shared" si="49"/>
        <v>0</v>
      </c>
    </row>
    <row r="3157" spans="1:14" x14ac:dyDescent="0.35">
      <c r="A3157">
        <v>3156</v>
      </c>
      <c r="B3157" t="s">
        <v>16</v>
      </c>
      <c r="C3157">
        <v>35</v>
      </c>
      <c r="D3157" t="s">
        <v>13</v>
      </c>
      <c r="E3157" t="s">
        <v>22</v>
      </c>
      <c r="F3157">
        <v>26</v>
      </c>
      <c r="G3157">
        <v>44</v>
      </c>
      <c r="H3157">
        <v>0.34</v>
      </c>
      <c r="I3157" t="s">
        <v>15</v>
      </c>
      <c r="J3157">
        <v>0</v>
      </c>
      <c r="K3157">
        <v>1</v>
      </c>
      <c r="L3157">
        <v>1</v>
      </c>
      <c r="M3157">
        <f>VLOOKUP(Table1[[#This Row],[subscription_type]],Plans!$A$1:$B$5,2,FALSE)</f>
        <v>9.99</v>
      </c>
      <c r="N3157">
        <f t="shared" si="49"/>
        <v>9.99</v>
      </c>
    </row>
    <row r="3158" spans="1:14" x14ac:dyDescent="0.35">
      <c r="A3158">
        <v>3157</v>
      </c>
      <c r="B3158" t="s">
        <v>20</v>
      </c>
      <c r="C3158">
        <v>35</v>
      </c>
      <c r="D3158" t="s">
        <v>26</v>
      </c>
      <c r="E3158" t="s">
        <v>18</v>
      </c>
      <c r="F3158">
        <v>180</v>
      </c>
      <c r="G3158">
        <v>41</v>
      </c>
      <c r="H3158">
        <v>0.04</v>
      </c>
      <c r="I3158" t="s">
        <v>23</v>
      </c>
      <c r="J3158">
        <v>0</v>
      </c>
      <c r="K3158">
        <v>1</v>
      </c>
      <c r="L3158">
        <v>1</v>
      </c>
      <c r="M3158">
        <f>VLOOKUP(Table1[[#This Row],[subscription_type]],Plans!$A$1:$B$5,2,FALSE)</f>
        <v>14.99</v>
      </c>
      <c r="N3158">
        <f t="shared" si="49"/>
        <v>14.99</v>
      </c>
    </row>
    <row r="3159" spans="1:14" x14ac:dyDescent="0.35">
      <c r="A3159">
        <v>3158</v>
      </c>
      <c r="B3159" t="s">
        <v>16</v>
      </c>
      <c r="C3159">
        <v>17</v>
      </c>
      <c r="D3159" t="s">
        <v>29</v>
      </c>
      <c r="E3159" t="s">
        <v>24</v>
      </c>
      <c r="F3159">
        <v>277</v>
      </c>
      <c r="G3159">
        <v>28</v>
      </c>
      <c r="H3159">
        <v>0.45</v>
      </c>
      <c r="I3159" t="s">
        <v>19</v>
      </c>
      <c r="J3159">
        <v>0</v>
      </c>
      <c r="K3159">
        <v>1</v>
      </c>
      <c r="L3159">
        <v>0</v>
      </c>
      <c r="M3159">
        <f>VLOOKUP(Table1[[#This Row],[subscription_type]],Plans!$A$1:$B$5,2,FALSE)</f>
        <v>4.99</v>
      </c>
      <c r="N3159">
        <f t="shared" si="49"/>
        <v>0</v>
      </c>
    </row>
    <row r="3160" spans="1:14" x14ac:dyDescent="0.35">
      <c r="A3160">
        <v>3159</v>
      </c>
      <c r="B3160" t="s">
        <v>12</v>
      </c>
      <c r="C3160">
        <v>48</v>
      </c>
      <c r="D3160" t="s">
        <v>13</v>
      </c>
      <c r="E3160" t="s">
        <v>18</v>
      </c>
      <c r="F3160">
        <v>185</v>
      </c>
      <c r="G3160">
        <v>94</v>
      </c>
      <c r="H3160">
        <v>0.38</v>
      </c>
      <c r="I3160" t="s">
        <v>23</v>
      </c>
      <c r="J3160">
        <v>0</v>
      </c>
      <c r="K3160">
        <v>1</v>
      </c>
      <c r="L3160">
        <v>0</v>
      </c>
      <c r="M3160">
        <f>VLOOKUP(Table1[[#This Row],[subscription_type]],Plans!$A$1:$B$5,2,FALSE)</f>
        <v>14.99</v>
      </c>
      <c r="N3160">
        <f t="shared" si="49"/>
        <v>0</v>
      </c>
    </row>
    <row r="3161" spans="1:14" x14ac:dyDescent="0.35">
      <c r="A3161">
        <v>3160</v>
      </c>
      <c r="B3161" t="s">
        <v>12</v>
      </c>
      <c r="C3161">
        <v>59</v>
      </c>
      <c r="D3161" t="s">
        <v>25</v>
      </c>
      <c r="E3161" t="s">
        <v>18</v>
      </c>
      <c r="F3161">
        <v>113</v>
      </c>
      <c r="G3161">
        <v>33</v>
      </c>
      <c r="H3161">
        <v>0.4</v>
      </c>
      <c r="I3161" t="s">
        <v>23</v>
      </c>
      <c r="J3161">
        <v>0</v>
      </c>
      <c r="K3161">
        <v>1</v>
      </c>
      <c r="L3161">
        <v>0</v>
      </c>
      <c r="M3161">
        <f>VLOOKUP(Table1[[#This Row],[subscription_type]],Plans!$A$1:$B$5,2,FALSE)</f>
        <v>14.99</v>
      </c>
      <c r="N3161">
        <f t="shared" si="49"/>
        <v>0</v>
      </c>
    </row>
    <row r="3162" spans="1:14" x14ac:dyDescent="0.35">
      <c r="A3162">
        <v>3161</v>
      </c>
      <c r="B3162" t="s">
        <v>20</v>
      </c>
      <c r="C3162">
        <v>51</v>
      </c>
      <c r="D3162" t="s">
        <v>28</v>
      </c>
      <c r="E3162" t="s">
        <v>24</v>
      </c>
      <c r="F3162">
        <v>251</v>
      </c>
      <c r="G3162">
        <v>10</v>
      </c>
      <c r="H3162">
        <v>0.12</v>
      </c>
      <c r="I3162" t="s">
        <v>15</v>
      </c>
      <c r="J3162">
        <v>0</v>
      </c>
      <c r="K3162">
        <v>1</v>
      </c>
      <c r="L3162">
        <v>0</v>
      </c>
      <c r="M3162">
        <f>VLOOKUP(Table1[[#This Row],[subscription_type]],Plans!$A$1:$B$5,2,FALSE)</f>
        <v>4.99</v>
      </c>
      <c r="N3162">
        <f t="shared" si="49"/>
        <v>0</v>
      </c>
    </row>
    <row r="3163" spans="1:14" x14ac:dyDescent="0.35">
      <c r="A3163">
        <v>3162</v>
      </c>
      <c r="B3163" t="s">
        <v>16</v>
      </c>
      <c r="C3163">
        <v>25</v>
      </c>
      <c r="D3163" t="s">
        <v>29</v>
      </c>
      <c r="E3163" t="s">
        <v>14</v>
      </c>
      <c r="F3163">
        <v>100</v>
      </c>
      <c r="G3163">
        <v>63</v>
      </c>
      <c r="H3163">
        <v>0.46</v>
      </c>
      <c r="I3163" t="s">
        <v>15</v>
      </c>
      <c r="J3163">
        <v>37</v>
      </c>
      <c r="K3163">
        <v>0</v>
      </c>
      <c r="L3163">
        <v>0</v>
      </c>
      <c r="M3163">
        <f>VLOOKUP(Table1[[#This Row],[subscription_type]],Plans!$A$1:$B$5,2,FALSE)</f>
        <v>0</v>
      </c>
      <c r="N3163">
        <f t="shared" si="49"/>
        <v>0</v>
      </c>
    </row>
    <row r="3164" spans="1:14" x14ac:dyDescent="0.35">
      <c r="A3164">
        <v>3163</v>
      </c>
      <c r="B3164" t="s">
        <v>20</v>
      </c>
      <c r="C3164">
        <v>18</v>
      </c>
      <c r="D3164" t="s">
        <v>27</v>
      </c>
      <c r="E3164" t="s">
        <v>24</v>
      </c>
      <c r="F3164">
        <v>163</v>
      </c>
      <c r="G3164">
        <v>64</v>
      </c>
      <c r="H3164">
        <v>0.04</v>
      </c>
      <c r="I3164" t="s">
        <v>23</v>
      </c>
      <c r="J3164">
        <v>0</v>
      </c>
      <c r="K3164">
        <v>1</v>
      </c>
      <c r="L3164">
        <v>0</v>
      </c>
      <c r="M3164">
        <f>VLOOKUP(Table1[[#This Row],[subscription_type]],Plans!$A$1:$B$5,2,FALSE)</f>
        <v>4.99</v>
      </c>
      <c r="N3164">
        <f t="shared" si="49"/>
        <v>0</v>
      </c>
    </row>
    <row r="3165" spans="1:14" x14ac:dyDescent="0.35">
      <c r="A3165">
        <v>3164</v>
      </c>
      <c r="B3165" t="s">
        <v>12</v>
      </c>
      <c r="C3165">
        <v>43</v>
      </c>
      <c r="D3165" t="s">
        <v>13</v>
      </c>
      <c r="E3165" t="s">
        <v>24</v>
      </c>
      <c r="F3165">
        <v>66</v>
      </c>
      <c r="G3165">
        <v>20</v>
      </c>
      <c r="H3165">
        <v>0.16</v>
      </c>
      <c r="I3165" t="s">
        <v>23</v>
      </c>
      <c r="J3165">
        <v>0</v>
      </c>
      <c r="K3165">
        <v>1</v>
      </c>
      <c r="L3165">
        <v>0</v>
      </c>
      <c r="M3165">
        <f>VLOOKUP(Table1[[#This Row],[subscription_type]],Plans!$A$1:$B$5,2,FALSE)</f>
        <v>4.99</v>
      </c>
      <c r="N3165">
        <f t="shared" si="49"/>
        <v>0</v>
      </c>
    </row>
    <row r="3166" spans="1:14" x14ac:dyDescent="0.35">
      <c r="A3166">
        <v>3165</v>
      </c>
      <c r="B3166" t="s">
        <v>12</v>
      </c>
      <c r="C3166">
        <v>18</v>
      </c>
      <c r="D3166" t="s">
        <v>26</v>
      </c>
      <c r="E3166" t="s">
        <v>14</v>
      </c>
      <c r="F3166">
        <v>243</v>
      </c>
      <c r="G3166">
        <v>37</v>
      </c>
      <c r="H3166">
        <v>0.53</v>
      </c>
      <c r="I3166" t="s">
        <v>23</v>
      </c>
      <c r="J3166">
        <v>21</v>
      </c>
      <c r="K3166">
        <v>0</v>
      </c>
      <c r="L3166">
        <v>0</v>
      </c>
      <c r="M3166">
        <f>VLOOKUP(Table1[[#This Row],[subscription_type]],Plans!$A$1:$B$5,2,FALSE)</f>
        <v>0</v>
      </c>
      <c r="N3166">
        <f t="shared" si="49"/>
        <v>0</v>
      </c>
    </row>
    <row r="3167" spans="1:14" x14ac:dyDescent="0.35">
      <c r="A3167">
        <v>3166</v>
      </c>
      <c r="B3167" t="s">
        <v>12</v>
      </c>
      <c r="C3167">
        <v>20</v>
      </c>
      <c r="D3167" t="s">
        <v>21</v>
      </c>
      <c r="E3167" t="s">
        <v>24</v>
      </c>
      <c r="F3167">
        <v>135</v>
      </c>
      <c r="G3167">
        <v>31</v>
      </c>
      <c r="H3167">
        <v>0.11</v>
      </c>
      <c r="I3167" t="s">
        <v>15</v>
      </c>
      <c r="J3167">
        <v>0</v>
      </c>
      <c r="K3167">
        <v>1</v>
      </c>
      <c r="L3167">
        <v>1</v>
      </c>
      <c r="M3167">
        <f>VLOOKUP(Table1[[#This Row],[subscription_type]],Plans!$A$1:$B$5,2,FALSE)</f>
        <v>4.99</v>
      </c>
      <c r="N3167">
        <f t="shared" si="49"/>
        <v>4.99</v>
      </c>
    </row>
    <row r="3168" spans="1:14" x14ac:dyDescent="0.35">
      <c r="A3168">
        <v>3167</v>
      </c>
      <c r="B3168" t="s">
        <v>12</v>
      </c>
      <c r="C3168">
        <v>36</v>
      </c>
      <c r="D3168" t="s">
        <v>29</v>
      </c>
      <c r="E3168" t="s">
        <v>24</v>
      </c>
      <c r="F3168">
        <v>213</v>
      </c>
      <c r="G3168">
        <v>48</v>
      </c>
      <c r="H3168">
        <v>0.35</v>
      </c>
      <c r="I3168" t="s">
        <v>23</v>
      </c>
      <c r="J3168">
        <v>0</v>
      </c>
      <c r="K3168">
        <v>1</v>
      </c>
      <c r="L3168">
        <v>1</v>
      </c>
      <c r="M3168">
        <f>VLOOKUP(Table1[[#This Row],[subscription_type]],Plans!$A$1:$B$5,2,FALSE)</f>
        <v>4.99</v>
      </c>
      <c r="N3168">
        <f t="shared" si="49"/>
        <v>4.99</v>
      </c>
    </row>
    <row r="3169" spans="1:14" x14ac:dyDescent="0.35">
      <c r="A3169">
        <v>3168</v>
      </c>
      <c r="B3169" t="s">
        <v>12</v>
      </c>
      <c r="C3169">
        <v>16</v>
      </c>
      <c r="D3169" t="s">
        <v>13</v>
      </c>
      <c r="E3169" t="s">
        <v>14</v>
      </c>
      <c r="F3169">
        <v>24</v>
      </c>
      <c r="G3169">
        <v>19</v>
      </c>
      <c r="H3169">
        <v>0.5</v>
      </c>
      <c r="I3169" t="s">
        <v>23</v>
      </c>
      <c r="J3169">
        <v>46</v>
      </c>
      <c r="K3169">
        <v>0</v>
      </c>
      <c r="L3169">
        <v>0</v>
      </c>
      <c r="M3169">
        <f>VLOOKUP(Table1[[#This Row],[subscription_type]],Plans!$A$1:$B$5,2,FALSE)</f>
        <v>0</v>
      </c>
      <c r="N3169">
        <f t="shared" si="49"/>
        <v>0</v>
      </c>
    </row>
    <row r="3170" spans="1:14" x14ac:dyDescent="0.35">
      <c r="A3170">
        <v>3169</v>
      </c>
      <c r="B3170" t="s">
        <v>20</v>
      </c>
      <c r="C3170">
        <v>38</v>
      </c>
      <c r="D3170" t="s">
        <v>13</v>
      </c>
      <c r="E3170" t="s">
        <v>14</v>
      </c>
      <c r="F3170">
        <v>85</v>
      </c>
      <c r="G3170">
        <v>67</v>
      </c>
      <c r="H3170">
        <v>0.4</v>
      </c>
      <c r="I3170" t="s">
        <v>23</v>
      </c>
      <c r="J3170">
        <v>13</v>
      </c>
      <c r="K3170">
        <v>0</v>
      </c>
      <c r="L3170">
        <v>0</v>
      </c>
      <c r="M3170">
        <f>VLOOKUP(Table1[[#This Row],[subscription_type]],Plans!$A$1:$B$5,2,FALSE)</f>
        <v>0</v>
      </c>
      <c r="N3170">
        <f t="shared" si="49"/>
        <v>0</v>
      </c>
    </row>
    <row r="3171" spans="1:14" x14ac:dyDescent="0.35">
      <c r="A3171">
        <v>3170</v>
      </c>
      <c r="B3171" t="s">
        <v>20</v>
      </c>
      <c r="C3171">
        <v>24</v>
      </c>
      <c r="D3171" t="s">
        <v>17</v>
      </c>
      <c r="E3171" t="s">
        <v>24</v>
      </c>
      <c r="F3171">
        <v>212</v>
      </c>
      <c r="G3171">
        <v>61</v>
      </c>
      <c r="H3171">
        <v>7.0000000000000007E-2</v>
      </c>
      <c r="I3171" t="s">
        <v>23</v>
      </c>
      <c r="J3171">
        <v>0</v>
      </c>
      <c r="K3171">
        <v>1</v>
      </c>
      <c r="L3171">
        <v>0</v>
      </c>
      <c r="M3171">
        <f>VLOOKUP(Table1[[#This Row],[subscription_type]],Plans!$A$1:$B$5,2,FALSE)</f>
        <v>4.99</v>
      </c>
      <c r="N3171">
        <f t="shared" si="49"/>
        <v>0</v>
      </c>
    </row>
    <row r="3172" spans="1:14" x14ac:dyDescent="0.35">
      <c r="A3172">
        <v>3171</v>
      </c>
      <c r="B3172" t="s">
        <v>16</v>
      </c>
      <c r="C3172">
        <v>22</v>
      </c>
      <c r="D3172" t="s">
        <v>21</v>
      </c>
      <c r="E3172" t="s">
        <v>14</v>
      </c>
      <c r="F3172">
        <v>256</v>
      </c>
      <c r="G3172">
        <v>18</v>
      </c>
      <c r="H3172">
        <v>0.02</v>
      </c>
      <c r="I3172" t="s">
        <v>15</v>
      </c>
      <c r="J3172">
        <v>48</v>
      </c>
      <c r="K3172">
        <v>0</v>
      </c>
      <c r="L3172">
        <v>0</v>
      </c>
      <c r="M3172">
        <f>VLOOKUP(Table1[[#This Row],[subscription_type]],Plans!$A$1:$B$5,2,FALSE)</f>
        <v>0</v>
      </c>
      <c r="N3172">
        <f t="shared" si="49"/>
        <v>0</v>
      </c>
    </row>
    <row r="3173" spans="1:14" x14ac:dyDescent="0.35">
      <c r="A3173">
        <v>3172</v>
      </c>
      <c r="B3173" t="s">
        <v>16</v>
      </c>
      <c r="C3173">
        <v>30</v>
      </c>
      <c r="D3173" t="s">
        <v>26</v>
      </c>
      <c r="E3173" t="s">
        <v>22</v>
      </c>
      <c r="F3173">
        <v>23</v>
      </c>
      <c r="G3173">
        <v>32</v>
      </c>
      <c r="H3173">
        <v>0.42</v>
      </c>
      <c r="I3173" t="s">
        <v>15</v>
      </c>
      <c r="J3173">
        <v>0</v>
      </c>
      <c r="K3173">
        <v>1</v>
      </c>
      <c r="L3173">
        <v>0</v>
      </c>
      <c r="M3173">
        <f>VLOOKUP(Table1[[#This Row],[subscription_type]],Plans!$A$1:$B$5,2,FALSE)</f>
        <v>9.99</v>
      </c>
      <c r="N3173">
        <f t="shared" si="49"/>
        <v>0</v>
      </c>
    </row>
    <row r="3174" spans="1:14" x14ac:dyDescent="0.35">
      <c r="A3174">
        <v>3173</v>
      </c>
      <c r="B3174" t="s">
        <v>12</v>
      </c>
      <c r="C3174">
        <v>18</v>
      </c>
      <c r="D3174" t="s">
        <v>21</v>
      </c>
      <c r="E3174" t="s">
        <v>22</v>
      </c>
      <c r="F3174">
        <v>281</v>
      </c>
      <c r="G3174">
        <v>81</v>
      </c>
      <c r="H3174">
        <v>0.2</v>
      </c>
      <c r="I3174" t="s">
        <v>19</v>
      </c>
      <c r="J3174">
        <v>0</v>
      </c>
      <c r="K3174">
        <v>1</v>
      </c>
      <c r="L3174">
        <v>1</v>
      </c>
      <c r="M3174">
        <f>VLOOKUP(Table1[[#This Row],[subscription_type]],Plans!$A$1:$B$5,2,FALSE)</f>
        <v>9.99</v>
      </c>
      <c r="N3174">
        <f t="shared" si="49"/>
        <v>9.99</v>
      </c>
    </row>
    <row r="3175" spans="1:14" x14ac:dyDescent="0.35">
      <c r="A3175">
        <v>3174</v>
      </c>
      <c r="B3175" t="s">
        <v>12</v>
      </c>
      <c r="C3175">
        <v>24</v>
      </c>
      <c r="D3175" t="s">
        <v>29</v>
      </c>
      <c r="E3175" t="s">
        <v>22</v>
      </c>
      <c r="F3175">
        <v>138</v>
      </c>
      <c r="G3175">
        <v>7</v>
      </c>
      <c r="H3175">
        <v>0.54</v>
      </c>
      <c r="I3175" t="s">
        <v>19</v>
      </c>
      <c r="J3175">
        <v>0</v>
      </c>
      <c r="K3175">
        <v>1</v>
      </c>
      <c r="L3175">
        <v>0</v>
      </c>
      <c r="M3175">
        <f>VLOOKUP(Table1[[#This Row],[subscription_type]],Plans!$A$1:$B$5,2,FALSE)</f>
        <v>9.99</v>
      </c>
      <c r="N3175">
        <f t="shared" si="49"/>
        <v>0</v>
      </c>
    </row>
    <row r="3176" spans="1:14" x14ac:dyDescent="0.35">
      <c r="A3176">
        <v>3175</v>
      </c>
      <c r="B3176" t="s">
        <v>12</v>
      </c>
      <c r="C3176">
        <v>27</v>
      </c>
      <c r="D3176" t="s">
        <v>26</v>
      </c>
      <c r="E3176" t="s">
        <v>18</v>
      </c>
      <c r="F3176">
        <v>247</v>
      </c>
      <c r="G3176">
        <v>46</v>
      </c>
      <c r="H3176">
        <v>0.46</v>
      </c>
      <c r="I3176" t="s">
        <v>19</v>
      </c>
      <c r="J3176">
        <v>0</v>
      </c>
      <c r="K3176">
        <v>1</v>
      </c>
      <c r="L3176">
        <v>1</v>
      </c>
      <c r="M3176">
        <f>VLOOKUP(Table1[[#This Row],[subscription_type]],Plans!$A$1:$B$5,2,FALSE)</f>
        <v>14.99</v>
      </c>
      <c r="N3176">
        <f t="shared" si="49"/>
        <v>14.99</v>
      </c>
    </row>
    <row r="3177" spans="1:14" x14ac:dyDescent="0.35">
      <c r="A3177">
        <v>3176</v>
      </c>
      <c r="B3177" t="s">
        <v>12</v>
      </c>
      <c r="C3177">
        <v>37</v>
      </c>
      <c r="D3177" t="s">
        <v>28</v>
      </c>
      <c r="E3177" t="s">
        <v>18</v>
      </c>
      <c r="F3177">
        <v>64</v>
      </c>
      <c r="G3177">
        <v>97</v>
      </c>
      <c r="H3177">
        <v>0.21</v>
      </c>
      <c r="I3177" t="s">
        <v>19</v>
      </c>
      <c r="J3177">
        <v>0</v>
      </c>
      <c r="K3177">
        <v>1</v>
      </c>
      <c r="L3177">
        <v>0</v>
      </c>
      <c r="M3177">
        <f>VLOOKUP(Table1[[#This Row],[subscription_type]],Plans!$A$1:$B$5,2,FALSE)</f>
        <v>14.99</v>
      </c>
      <c r="N3177">
        <f t="shared" si="49"/>
        <v>0</v>
      </c>
    </row>
    <row r="3178" spans="1:14" x14ac:dyDescent="0.35">
      <c r="A3178">
        <v>3177</v>
      </c>
      <c r="B3178" t="s">
        <v>20</v>
      </c>
      <c r="C3178">
        <v>44</v>
      </c>
      <c r="D3178" t="s">
        <v>17</v>
      </c>
      <c r="E3178" t="s">
        <v>24</v>
      </c>
      <c r="F3178">
        <v>242</v>
      </c>
      <c r="G3178">
        <v>22</v>
      </c>
      <c r="H3178">
        <v>0.48</v>
      </c>
      <c r="I3178" t="s">
        <v>23</v>
      </c>
      <c r="J3178">
        <v>0</v>
      </c>
      <c r="K3178">
        <v>1</v>
      </c>
      <c r="L3178">
        <v>0</v>
      </c>
      <c r="M3178">
        <f>VLOOKUP(Table1[[#This Row],[subscription_type]],Plans!$A$1:$B$5,2,FALSE)</f>
        <v>4.99</v>
      </c>
      <c r="N3178">
        <f t="shared" si="49"/>
        <v>0</v>
      </c>
    </row>
    <row r="3179" spans="1:14" x14ac:dyDescent="0.35">
      <c r="A3179">
        <v>3178</v>
      </c>
      <c r="B3179" t="s">
        <v>20</v>
      </c>
      <c r="C3179">
        <v>24</v>
      </c>
      <c r="D3179" t="s">
        <v>28</v>
      </c>
      <c r="E3179" t="s">
        <v>18</v>
      </c>
      <c r="F3179">
        <v>51</v>
      </c>
      <c r="G3179">
        <v>78</v>
      </c>
      <c r="H3179">
        <v>0.54</v>
      </c>
      <c r="I3179" t="s">
        <v>15</v>
      </c>
      <c r="J3179">
        <v>0</v>
      </c>
      <c r="K3179">
        <v>1</v>
      </c>
      <c r="L3179">
        <v>0</v>
      </c>
      <c r="M3179">
        <f>VLOOKUP(Table1[[#This Row],[subscription_type]],Plans!$A$1:$B$5,2,FALSE)</f>
        <v>14.99</v>
      </c>
      <c r="N3179">
        <f t="shared" si="49"/>
        <v>0</v>
      </c>
    </row>
    <row r="3180" spans="1:14" x14ac:dyDescent="0.35">
      <c r="A3180">
        <v>3179</v>
      </c>
      <c r="B3180" t="s">
        <v>16</v>
      </c>
      <c r="C3180">
        <v>37</v>
      </c>
      <c r="D3180" t="s">
        <v>28</v>
      </c>
      <c r="E3180" t="s">
        <v>18</v>
      </c>
      <c r="F3180">
        <v>100</v>
      </c>
      <c r="G3180">
        <v>17</v>
      </c>
      <c r="H3180">
        <v>7.0000000000000007E-2</v>
      </c>
      <c r="I3180" t="s">
        <v>19</v>
      </c>
      <c r="J3180">
        <v>0</v>
      </c>
      <c r="K3180">
        <v>1</v>
      </c>
      <c r="L3180">
        <v>0</v>
      </c>
      <c r="M3180">
        <f>VLOOKUP(Table1[[#This Row],[subscription_type]],Plans!$A$1:$B$5,2,FALSE)</f>
        <v>14.99</v>
      </c>
      <c r="N3180">
        <f t="shared" si="49"/>
        <v>0</v>
      </c>
    </row>
    <row r="3181" spans="1:14" x14ac:dyDescent="0.35">
      <c r="A3181">
        <v>3180</v>
      </c>
      <c r="B3181" t="s">
        <v>16</v>
      </c>
      <c r="C3181">
        <v>41</v>
      </c>
      <c r="D3181" t="s">
        <v>25</v>
      </c>
      <c r="E3181" t="s">
        <v>22</v>
      </c>
      <c r="F3181">
        <v>213</v>
      </c>
      <c r="G3181">
        <v>3</v>
      </c>
      <c r="H3181">
        <v>0.14000000000000001</v>
      </c>
      <c r="I3181" t="s">
        <v>19</v>
      </c>
      <c r="J3181">
        <v>0</v>
      </c>
      <c r="K3181">
        <v>1</v>
      </c>
      <c r="L3181">
        <v>0</v>
      </c>
      <c r="M3181">
        <f>VLOOKUP(Table1[[#This Row],[subscription_type]],Plans!$A$1:$B$5,2,FALSE)</f>
        <v>9.99</v>
      </c>
      <c r="N3181">
        <f t="shared" si="49"/>
        <v>0</v>
      </c>
    </row>
    <row r="3182" spans="1:14" x14ac:dyDescent="0.35">
      <c r="A3182">
        <v>3181</v>
      </c>
      <c r="B3182" t="s">
        <v>16</v>
      </c>
      <c r="C3182">
        <v>44</v>
      </c>
      <c r="D3182" t="s">
        <v>26</v>
      </c>
      <c r="E3182" t="s">
        <v>22</v>
      </c>
      <c r="F3182">
        <v>287</v>
      </c>
      <c r="G3182">
        <v>96</v>
      </c>
      <c r="H3182">
        <v>0.4</v>
      </c>
      <c r="I3182" t="s">
        <v>19</v>
      </c>
      <c r="J3182">
        <v>0</v>
      </c>
      <c r="K3182">
        <v>1</v>
      </c>
      <c r="L3182">
        <v>0</v>
      </c>
      <c r="M3182">
        <f>VLOOKUP(Table1[[#This Row],[subscription_type]],Plans!$A$1:$B$5,2,FALSE)</f>
        <v>9.99</v>
      </c>
      <c r="N3182">
        <f t="shared" si="49"/>
        <v>0</v>
      </c>
    </row>
    <row r="3183" spans="1:14" x14ac:dyDescent="0.35">
      <c r="A3183">
        <v>3182</v>
      </c>
      <c r="B3183" t="s">
        <v>12</v>
      </c>
      <c r="C3183">
        <v>37</v>
      </c>
      <c r="D3183" t="s">
        <v>26</v>
      </c>
      <c r="E3183" t="s">
        <v>14</v>
      </c>
      <c r="F3183">
        <v>38</v>
      </c>
      <c r="G3183">
        <v>5</v>
      </c>
      <c r="H3183">
        <v>0.48</v>
      </c>
      <c r="I3183" t="s">
        <v>15</v>
      </c>
      <c r="J3183">
        <v>40</v>
      </c>
      <c r="K3183">
        <v>0</v>
      </c>
      <c r="L3183">
        <v>0</v>
      </c>
      <c r="M3183">
        <f>VLOOKUP(Table1[[#This Row],[subscription_type]],Plans!$A$1:$B$5,2,FALSE)</f>
        <v>0</v>
      </c>
      <c r="N3183">
        <f t="shared" si="49"/>
        <v>0</v>
      </c>
    </row>
    <row r="3184" spans="1:14" x14ac:dyDescent="0.35">
      <c r="A3184">
        <v>3183</v>
      </c>
      <c r="B3184" t="s">
        <v>12</v>
      </c>
      <c r="C3184">
        <v>54</v>
      </c>
      <c r="D3184" t="s">
        <v>25</v>
      </c>
      <c r="E3184" t="s">
        <v>22</v>
      </c>
      <c r="F3184">
        <v>106</v>
      </c>
      <c r="G3184">
        <v>61</v>
      </c>
      <c r="H3184">
        <v>0.56999999999999995</v>
      </c>
      <c r="I3184" t="s">
        <v>15</v>
      </c>
      <c r="J3184">
        <v>0</v>
      </c>
      <c r="K3184">
        <v>1</v>
      </c>
      <c r="L3184">
        <v>0</v>
      </c>
      <c r="M3184">
        <f>VLOOKUP(Table1[[#This Row],[subscription_type]],Plans!$A$1:$B$5,2,FALSE)</f>
        <v>9.99</v>
      </c>
      <c r="N3184">
        <f t="shared" si="49"/>
        <v>0</v>
      </c>
    </row>
    <row r="3185" spans="1:14" x14ac:dyDescent="0.35">
      <c r="A3185">
        <v>3184</v>
      </c>
      <c r="B3185" t="s">
        <v>16</v>
      </c>
      <c r="C3185">
        <v>33</v>
      </c>
      <c r="D3185" t="s">
        <v>13</v>
      </c>
      <c r="E3185" t="s">
        <v>22</v>
      </c>
      <c r="F3185">
        <v>174</v>
      </c>
      <c r="G3185">
        <v>85</v>
      </c>
      <c r="H3185">
        <v>0.46</v>
      </c>
      <c r="I3185" t="s">
        <v>19</v>
      </c>
      <c r="J3185">
        <v>0</v>
      </c>
      <c r="K3185">
        <v>1</v>
      </c>
      <c r="L3185">
        <v>0</v>
      </c>
      <c r="M3185">
        <f>VLOOKUP(Table1[[#This Row],[subscription_type]],Plans!$A$1:$B$5,2,FALSE)</f>
        <v>9.99</v>
      </c>
      <c r="N3185">
        <f t="shared" si="49"/>
        <v>0</v>
      </c>
    </row>
    <row r="3186" spans="1:14" x14ac:dyDescent="0.35">
      <c r="A3186">
        <v>3185</v>
      </c>
      <c r="B3186" t="s">
        <v>16</v>
      </c>
      <c r="C3186">
        <v>32</v>
      </c>
      <c r="D3186" t="s">
        <v>26</v>
      </c>
      <c r="E3186" t="s">
        <v>22</v>
      </c>
      <c r="F3186">
        <v>157</v>
      </c>
      <c r="G3186">
        <v>97</v>
      </c>
      <c r="H3186">
        <v>0.09</v>
      </c>
      <c r="I3186" t="s">
        <v>23</v>
      </c>
      <c r="J3186">
        <v>0</v>
      </c>
      <c r="K3186">
        <v>1</v>
      </c>
      <c r="L3186">
        <v>0</v>
      </c>
      <c r="M3186">
        <f>VLOOKUP(Table1[[#This Row],[subscription_type]],Plans!$A$1:$B$5,2,FALSE)</f>
        <v>9.99</v>
      </c>
      <c r="N3186">
        <f t="shared" si="49"/>
        <v>0</v>
      </c>
    </row>
    <row r="3187" spans="1:14" x14ac:dyDescent="0.35">
      <c r="A3187">
        <v>3186</v>
      </c>
      <c r="B3187" t="s">
        <v>12</v>
      </c>
      <c r="C3187">
        <v>25</v>
      </c>
      <c r="D3187" t="s">
        <v>13</v>
      </c>
      <c r="E3187" t="s">
        <v>14</v>
      </c>
      <c r="F3187">
        <v>263</v>
      </c>
      <c r="G3187">
        <v>36</v>
      </c>
      <c r="H3187">
        <v>0.19</v>
      </c>
      <c r="I3187" t="s">
        <v>19</v>
      </c>
      <c r="J3187">
        <v>11</v>
      </c>
      <c r="K3187">
        <v>0</v>
      </c>
      <c r="L3187">
        <v>0</v>
      </c>
      <c r="M3187">
        <f>VLOOKUP(Table1[[#This Row],[subscription_type]],Plans!$A$1:$B$5,2,FALSE)</f>
        <v>0</v>
      </c>
      <c r="N3187">
        <f t="shared" si="49"/>
        <v>0</v>
      </c>
    </row>
    <row r="3188" spans="1:14" x14ac:dyDescent="0.35">
      <c r="A3188">
        <v>3187</v>
      </c>
      <c r="B3188" t="s">
        <v>20</v>
      </c>
      <c r="C3188">
        <v>22</v>
      </c>
      <c r="D3188" t="s">
        <v>21</v>
      </c>
      <c r="E3188" t="s">
        <v>24</v>
      </c>
      <c r="F3188">
        <v>165</v>
      </c>
      <c r="G3188">
        <v>43</v>
      </c>
      <c r="H3188">
        <v>0.18</v>
      </c>
      <c r="I3188" t="s">
        <v>15</v>
      </c>
      <c r="J3188">
        <v>0</v>
      </c>
      <c r="K3188">
        <v>1</v>
      </c>
      <c r="L3188">
        <v>1</v>
      </c>
      <c r="M3188">
        <f>VLOOKUP(Table1[[#This Row],[subscription_type]],Plans!$A$1:$B$5,2,FALSE)</f>
        <v>4.99</v>
      </c>
      <c r="N3188">
        <f t="shared" si="49"/>
        <v>4.99</v>
      </c>
    </row>
    <row r="3189" spans="1:14" x14ac:dyDescent="0.35">
      <c r="A3189">
        <v>3188</v>
      </c>
      <c r="B3189" t="s">
        <v>16</v>
      </c>
      <c r="C3189">
        <v>53</v>
      </c>
      <c r="D3189" t="s">
        <v>17</v>
      </c>
      <c r="E3189" t="s">
        <v>24</v>
      </c>
      <c r="F3189">
        <v>34</v>
      </c>
      <c r="G3189">
        <v>37</v>
      </c>
      <c r="H3189">
        <v>0.05</v>
      </c>
      <c r="I3189" t="s">
        <v>19</v>
      </c>
      <c r="J3189">
        <v>0</v>
      </c>
      <c r="K3189">
        <v>1</v>
      </c>
      <c r="L3189">
        <v>0</v>
      </c>
      <c r="M3189">
        <f>VLOOKUP(Table1[[#This Row],[subscription_type]],Plans!$A$1:$B$5,2,FALSE)</f>
        <v>4.99</v>
      </c>
      <c r="N3189">
        <f t="shared" si="49"/>
        <v>0</v>
      </c>
    </row>
    <row r="3190" spans="1:14" x14ac:dyDescent="0.35">
      <c r="A3190">
        <v>3189</v>
      </c>
      <c r="B3190" t="s">
        <v>16</v>
      </c>
      <c r="C3190">
        <v>36</v>
      </c>
      <c r="D3190" t="s">
        <v>28</v>
      </c>
      <c r="E3190" t="s">
        <v>18</v>
      </c>
      <c r="F3190">
        <v>122</v>
      </c>
      <c r="G3190">
        <v>10</v>
      </c>
      <c r="H3190">
        <v>0.31</v>
      </c>
      <c r="I3190" t="s">
        <v>19</v>
      </c>
      <c r="J3190">
        <v>0</v>
      </c>
      <c r="K3190">
        <v>1</v>
      </c>
      <c r="L3190">
        <v>0</v>
      </c>
      <c r="M3190">
        <f>VLOOKUP(Table1[[#This Row],[subscription_type]],Plans!$A$1:$B$5,2,FALSE)</f>
        <v>14.99</v>
      </c>
      <c r="N3190">
        <f t="shared" si="49"/>
        <v>0</v>
      </c>
    </row>
    <row r="3191" spans="1:14" x14ac:dyDescent="0.35">
      <c r="A3191">
        <v>3190</v>
      </c>
      <c r="B3191" t="s">
        <v>16</v>
      </c>
      <c r="C3191">
        <v>22</v>
      </c>
      <c r="D3191" t="s">
        <v>25</v>
      </c>
      <c r="E3191" t="s">
        <v>18</v>
      </c>
      <c r="F3191">
        <v>236</v>
      </c>
      <c r="G3191">
        <v>4</v>
      </c>
      <c r="H3191">
        <v>0.53</v>
      </c>
      <c r="I3191" t="s">
        <v>19</v>
      </c>
      <c r="J3191">
        <v>0</v>
      </c>
      <c r="K3191">
        <v>1</v>
      </c>
      <c r="L3191">
        <v>1</v>
      </c>
      <c r="M3191">
        <f>VLOOKUP(Table1[[#This Row],[subscription_type]],Plans!$A$1:$B$5,2,FALSE)</f>
        <v>14.99</v>
      </c>
      <c r="N3191">
        <f t="shared" si="49"/>
        <v>14.99</v>
      </c>
    </row>
    <row r="3192" spans="1:14" x14ac:dyDescent="0.35">
      <c r="A3192">
        <v>3191</v>
      </c>
      <c r="B3192" t="s">
        <v>12</v>
      </c>
      <c r="C3192">
        <v>42</v>
      </c>
      <c r="D3192" t="s">
        <v>29</v>
      </c>
      <c r="E3192" t="s">
        <v>18</v>
      </c>
      <c r="F3192">
        <v>31</v>
      </c>
      <c r="G3192">
        <v>72</v>
      </c>
      <c r="H3192">
        <v>0.36</v>
      </c>
      <c r="I3192" t="s">
        <v>23</v>
      </c>
      <c r="J3192">
        <v>0</v>
      </c>
      <c r="K3192">
        <v>1</v>
      </c>
      <c r="L3192">
        <v>0</v>
      </c>
      <c r="M3192">
        <f>VLOOKUP(Table1[[#This Row],[subscription_type]],Plans!$A$1:$B$5,2,FALSE)</f>
        <v>14.99</v>
      </c>
      <c r="N3192">
        <f t="shared" si="49"/>
        <v>0</v>
      </c>
    </row>
    <row r="3193" spans="1:14" x14ac:dyDescent="0.35">
      <c r="A3193">
        <v>3192</v>
      </c>
      <c r="B3193" t="s">
        <v>12</v>
      </c>
      <c r="C3193">
        <v>45</v>
      </c>
      <c r="D3193" t="s">
        <v>25</v>
      </c>
      <c r="E3193" t="s">
        <v>24</v>
      </c>
      <c r="F3193">
        <v>104</v>
      </c>
      <c r="G3193">
        <v>66</v>
      </c>
      <c r="H3193">
        <v>0.12</v>
      </c>
      <c r="I3193" t="s">
        <v>15</v>
      </c>
      <c r="J3193">
        <v>0</v>
      </c>
      <c r="K3193">
        <v>1</v>
      </c>
      <c r="L3193">
        <v>1</v>
      </c>
      <c r="M3193">
        <f>VLOOKUP(Table1[[#This Row],[subscription_type]],Plans!$A$1:$B$5,2,FALSE)</f>
        <v>4.99</v>
      </c>
      <c r="N3193">
        <f t="shared" si="49"/>
        <v>4.99</v>
      </c>
    </row>
    <row r="3194" spans="1:14" x14ac:dyDescent="0.35">
      <c r="A3194">
        <v>3193</v>
      </c>
      <c r="B3194" t="s">
        <v>20</v>
      </c>
      <c r="C3194">
        <v>34</v>
      </c>
      <c r="D3194" t="s">
        <v>28</v>
      </c>
      <c r="E3194" t="s">
        <v>14</v>
      </c>
      <c r="F3194">
        <v>64</v>
      </c>
      <c r="G3194">
        <v>34</v>
      </c>
      <c r="H3194">
        <v>0.5</v>
      </c>
      <c r="I3194" t="s">
        <v>23</v>
      </c>
      <c r="J3194">
        <v>16</v>
      </c>
      <c r="K3194">
        <v>0</v>
      </c>
      <c r="L3194">
        <v>0</v>
      </c>
      <c r="M3194">
        <f>VLOOKUP(Table1[[#This Row],[subscription_type]],Plans!$A$1:$B$5,2,FALSE)</f>
        <v>0</v>
      </c>
      <c r="N3194">
        <f t="shared" si="49"/>
        <v>0</v>
      </c>
    </row>
    <row r="3195" spans="1:14" x14ac:dyDescent="0.35">
      <c r="A3195">
        <v>3194</v>
      </c>
      <c r="B3195" t="s">
        <v>12</v>
      </c>
      <c r="C3195">
        <v>39</v>
      </c>
      <c r="D3195" t="s">
        <v>26</v>
      </c>
      <c r="E3195" t="s">
        <v>18</v>
      </c>
      <c r="F3195">
        <v>37</v>
      </c>
      <c r="G3195">
        <v>9</v>
      </c>
      <c r="H3195">
        <v>0.23</v>
      </c>
      <c r="I3195" t="s">
        <v>23</v>
      </c>
      <c r="J3195">
        <v>0</v>
      </c>
      <c r="K3195">
        <v>1</v>
      </c>
      <c r="L3195">
        <v>0</v>
      </c>
      <c r="M3195">
        <f>VLOOKUP(Table1[[#This Row],[subscription_type]],Plans!$A$1:$B$5,2,FALSE)</f>
        <v>14.99</v>
      </c>
      <c r="N3195">
        <f t="shared" si="49"/>
        <v>0</v>
      </c>
    </row>
    <row r="3196" spans="1:14" x14ac:dyDescent="0.35">
      <c r="A3196">
        <v>3195</v>
      </c>
      <c r="B3196" t="s">
        <v>20</v>
      </c>
      <c r="C3196">
        <v>22</v>
      </c>
      <c r="D3196" t="s">
        <v>25</v>
      </c>
      <c r="E3196" t="s">
        <v>18</v>
      </c>
      <c r="F3196">
        <v>282</v>
      </c>
      <c r="G3196">
        <v>93</v>
      </c>
      <c r="H3196">
        <v>0.1</v>
      </c>
      <c r="I3196" t="s">
        <v>23</v>
      </c>
      <c r="J3196">
        <v>0</v>
      </c>
      <c r="K3196">
        <v>1</v>
      </c>
      <c r="L3196">
        <v>0</v>
      </c>
      <c r="M3196">
        <f>VLOOKUP(Table1[[#This Row],[subscription_type]],Plans!$A$1:$B$5,2,FALSE)</f>
        <v>14.99</v>
      </c>
      <c r="N3196">
        <f t="shared" si="49"/>
        <v>0</v>
      </c>
    </row>
    <row r="3197" spans="1:14" x14ac:dyDescent="0.35">
      <c r="A3197">
        <v>3196</v>
      </c>
      <c r="B3197" t="s">
        <v>12</v>
      </c>
      <c r="C3197">
        <v>48</v>
      </c>
      <c r="D3197" t="s">
        <v>13</v>
      </c>
      <c r="E3197" t="s">
        <v>14</v>
      </c>
      <c r="F3197">
        <v>291</v>
      </c>
      <c r="G3197">
        <v>55</v>
      </c>
      <c r="H3197">
        <v>0.1</v>
      </c>
      <c r="I3197" t="s">
        <v>15</v>
      </c>
      <c r="J3197">
        <v>31</v>
      </c>
      <c r="K3197">
        <v>0</v>
      </c>
      <c r="L3197">
        <v>1</v>
      </c>
      <c r="M3197">
        <f>VLOOKUP(Table1[[#This Row],[subscription_type]],Plans!$A$1:$B$5,2,FALSE)</f>
        <v>0</v>
      </c>
      <c r="N3197">
        <f t="shared" si="49"/>
        <v>0</v>
      </c>
    </row>
    <row r="3198" spans="1:14" x14ac:dyDescent="0.35">
      <c r="A3198">
        <v>3197</v>
      </c>
      <c r="B3198" t="s">
        <v>20</v>
      </c>
      <c r="C3198">
        <v>29</v>
      </c>
      <c r="D3198" t="s">
        <v>28</v>
      </c>
      <c r="E3198" t="s">
        <v>18</v>
      </c>
      <c r="F3198">
        <v>154</v>
      </c>
      <c r="G3198">
        <v>98</v>
      </c>
      <c r="H3198">
        <v>0.57999999999999996</v>
      </c>
      <c r="I3198" t="s">
        <v>23</v>
      </c>
      <c r="J3198">
        <v>0</v>
      </c>
      <c r="K3198">
        <v>1</v>
      </c>
      <c r="L3198">
        <v>0</v>
      </c>
      <c r="M3198">
        <f>VLOOKUP(Table1[[#This Row],[subscription_type]],Plans!$A$1:$B$5,2,FALSE)</f>
        <v>14.99</v>
      </c>
      <c r="N3198">
        <f t="shared" si="49"/>
        <v>0</v>
      </c>
    </row>
    <row r="3199" spans="1:14" x14ac:dyDescent="0.35">
      <c r="A3199">
        <v>3198</v>
      </c>
      <c r="B3199" t="s">
        <v>20</v>
      </c>
      <c r="C3199">
        <v>16</v>
      </c>
      <c r="D3199" t="s">
        <v>21</v>
      </c>
      <c r="E3199" t="s">
        <v>18</v>
      </c>
      <c r="F3199">
        <v>71</v>
      </c>
      <c r="G3199">
        <v>57</v>
      </c>
      <c r="H3199">
        <v>0.54</v>
      </c>
      <c r="I3199" t="s">
        <v>15</v>
      </c>
      <c r="J3199">
        <v>0</v>
      </c>
      <c r="K3199">
        <v>1</v>
      </c>
      <c r="L3199">
        <v>0</v>
      </c>
      <c r="M3199">
        <f>VLOOKUP(Table1[[#This Row],[subscription_type]],Plans!$A$1:$B$5,2,FALSE)</f>
        <v>14.99</v>
      </c>
      <c r="N3199">
        <f t="shared" si="49"/>
        <v>0</v>
      </c>
    </row>
    <row r="3200" spans="1:14" x14ac:dyDescent="0.35">
      <c r="A3200">
        <v>3199</v>
      </c>
      <c r="B3200" t="s">
        <v>20</v>
      </c>
      <c r="C3200">
        <v>42</v>
      </c>
      <c r="D3200" t="s">
        <v>17</v>
      </c>
      <c r="E3200" t="s">
        <v>24</v>
      </c>
      <c r="F3200">
        <v>107</v>
      </c>
      <c r="G3200">
        <v>38</v>
      </c>
      <c r="H3200">
        <v>0.15</v>
      </c>
      <c r="I3200" t="s">
        <v>23</v>
      </c>
      <c r="J3200">
        <v>0</v>
      </c>
      <c r="K3200">
        <v>1</v>
      </c>
      <c r="L3200">
        <v>0</v>
      </c>
      <c r="M3200">
        <f>VLOOKUP(Table1[[#This Row],[subscription_type]],Plans!$A$1:$B$5,2,FALSE)</f>
        <v>4.99</v>
      </c>
      <c r="N3200">
        <f t="shared" si="49"/>
        <v>0</v>
      </c>
    </row>
    <row r="3201" spans="1:14" x14ac:dyDescent="0.35">
      <c r="A3201">
        <v>3200</v>
      </c>
      <c r="B3201" t="s">
        <v>20</v>
      </c>
      <c r="C3201">
        <v>27</v>
      </c>
      <c r="D3201" t="s">
        <v>13</v>
      </c>
      <c r="E3201" t="s">
        <v>22</v>
      </c>
      <c r="F3201">
        <v>91</v>
      </c>
      <c r="G3201">
        <v>74</v>
      </c>
      <c r="H3201">
        <v>0.3</v>
      </c>
      <c r="I3201" t="s">
        <v>23</v>
      </c>
      <c r="J3201">
        <v>0</v>
      </c>
      <c r="K3201">
        <v>1</v>
      </c>
      <c r="L3201">
        <v>1</v>
      </c>
      <c r="M3201">
        <f>VLOOKUP(Table1[[#This Row],[subscription_type]],Plans!$A$1:$B$5,2,FALSE)</f>
        <v>9.99</v>
      </c>
      <c r="N3201">
        <f t="shared" si="49"/>
        <v>9.99</v>
      </c>
    </row>
    <row r="3202" spans="1:14" x14ac:dyDescent="0.35">
      <c r="A3202">
        <v>3201</v>
      </c>
      <c r="B3202" t="s">
        <v>16</v>
      </c>
      <c r="C3202">
        <v>32</v>
      </c>
      <c r="D3202" t="s">
        <v>27</v>
      </c>
      <c r="E3202" t="s">
        <v>18</v>
      </c>
      <c r="F3202">
        <v>54</v>
      </c>
      <c r="G3202">
        <v>99</v>
      </c>
      <c r="H3202">
        <v>0.4</v>
      </c>
      <c r="I3202" t="s">
        <v>19</v>
      </c>
      <c r="J3202">
        <v>0</v>
      </c>
      <c r="K3202">
        <v>1</v>
      </c>
      <c r="L3202">
        <v>0</v>
      </c>
      <c r="M3202">
        <f>VLOOKUP(Table1[[#This Row],[subscription_type]],Plans!$A$1:$B$5,2,FALSE)</f>
        <v>14.99</v>
      </c>
      <c r="N3202">
        <f t="shared" ref="N3202:N3265" si="50">IF(L3202=1, M3202,0)</f>
        <v>0</v>
      </c>
    </row>
    <row r="3203" spans="1:14" x14ac:dyDescent="0.35">
      <c r="A3203">
        <v>3202</v>
      </c>
      <c r="B3203" t="s">
        <v>20</v>
      </c>
      <c r="C3203">
        <v>29</v>
      </c>
      <c r="D3203" t="s">
        <v>26</v>
      </c>
      <c r="E3203" t="s">
        <v>18</v>
      </c>
      <c r="F3203">
        <v>195</v>
      </c>
      <c r="G3203">
        <v>74</v>
      </c>
      <c r="H3203">
        <v>0.34</v>
      </c>
      <c r="I3203" t="s">
        <v>23</v>
      </c>
      <c r="J3203">
        <v>0</v>
      </c>
      <c r="K3203">
        <v>1</v>
      </c>
      <c r="L3203">
        <v>1</v>
      </c>
      <c r="M3203">
        <f>VLOOKUP(Table1[[#This Row],[subscription_type]],Plans!$A$1:$B$5,2,FALSE)</f>
        <v>14.99</v>
      </c>
      <c r="N3203">
        <f t="shared" si="50"/>
        <v>14.99</v>
      </c>
    </row>
    <row r="3204" spans="1:14" x14ac:dyDescent="0.35">
      <c r="A3204">
        <v>3203</v>
      </c>
      <c r="B3204" t="s">
        <v>16</v>
      </c>
      <c r="C3204">
        <v>29</v>
      </c>
      <c r="D3204" t="s">
        <v>29</v>
      </c>
      <c r="E3204" t="s">
        <v>22</v>
      </c>
      <c r="F3204">
        <v>222</v>
      </c>
      <c r="G3204">
        <v>70</v>
      </c>
      <c r="H3204">
        <v>0.32</v>
      </c>
      <c r="I3204" t="s">
        <v>23</v>
      </c>
      <c r="J3204">
        <v>0</v>
      </c>
      <c r="K3204">
        <v>1</v>
      </c>
      <c r="L3204">
        <v>1</v>
      </c>
      <c r="M3204">
        <f>VLOOKUP(Table1[[#This Row],[subscription_type]],Plans!$A$1:$B$5,2,FALSE)</f>
        <v>9.99</v>
      </c>
      <c r="N3204">
        <f t="shared" si="50"/>
        <v>9.99</v>
      </c>
    </row>
    <row r="3205" spans="1:14" x14ac:dyDescent="0.35">
      <c r="A3205">
        <v>3204</v>
      </c>
      <c r="B3205" t="s">
        <v>16</v>
      </c>
      <c r="C3205">
        <v>33</v>
      </c>
      <c r="D3205" t="s">
        <v>27</v>
      </c>
      <c r="E3205" t="s">
        <v>22</v>
      </c>
      <c r="F3205">
        <v>184</v>
      </c>
      <c r="G3205">
        <v>94</v>
      </c>
      <c r="H3205">
        <v>0.15</v>
      </c>
      <c r="I3205" t="s">
        <v>23</v>
      </c>
      <c r="J3205">
        <v>0</v>
      </c>
      <c r="K3205">
        <v>1</v>
      </c>
      <c r="L3205">
        <v>0</v>
      </c>
      <c r="M3205">
        <f>VLOOKUP(Table1[[#This Row],[subscription_type]],Plans!$A$1:$B$5,2,FALSE)</f>
        <v>9.99</v>
      </c>
      <c r="N3205">
        <f t="shared" si="50"/>
        <v>0</v>
      </c>
    </row>
    <row r="3206" spans="1:14" x14ac:dyDescent="0.35">
      <c r="A3206">
        <v>3205</v>
      </c>
      <c r="B3206" t="s">
        <v>20</v>
      </c>
      <c r="C3206">
        <v>23</v>
      </c>
      <c r="D3206" t="s">
        <v>27</v>
      </c>
      <c r="E3206" t="s">
        <v>22</v>
      </c>
      <c r="F3206">
        <v>218</v>
      </c>
      <c r="G3206">
        <v>90</v>
      </c>
      <c r="H3206">
        <v>0.38</v>
      </c>
      <c r="I3206" t="s">
        <v>19</v>
      </c>
      <c r="J3206">
        <v>0</v>
      </c>
      <c r="K3206">
        <v>1</v>
      </c>
      <c r="L3206">
        <v>0</v>
      </c>
      <c r="M3206">
        <f>VLOOKUP(Table1[[#This Row],[subscription_type]],Plans!$A$1:$B$5,2,FALSE)</f>
        <v>9.99</v>
      </c>
      <c r="N3206">
        <f t="shared" si="50"/>
        <v>0</v>
      </c>
    </row>
    <row r="3207" spans="1:14" x14ac:dyDescent="0.35">
      <c r="A3207">
        <v>3206</v>
      </c>
      <c r="B3207" t="s">
        <v>20</v>
      </c>
      <c r="C3207">
        <v>59</v>
      </c>
      <c r="D3207" t="s">
        <v>25</v>
      </c>
      <c r="E3207" t="s">
        <v>14</v>
      </c>
      <c r="F3207">
        <v>260</v>
      </c>
      <c r="G3207">
        <v>58</v>
      </c>
      <c r="H3207">
        <v>0.41</v>
      </c>
      <c r="I3207" t="s">
        <v>15</v>
      </c>
      <c r="J3207">
        <v>5</v>
      </c>
      <c r="K3207">
        <v>0</v>
      </c>
      <c r="L3207">
        <v>1</v>
      </c>
      <c r="M3207">
        <f>VLOOKUP(Table1[[#This Row],[subscription_type]],Plans!$A$1:$B$5,2,FALSE)</f>
        <v>0</v>
      </c>
      <c r="N3207">
        <f t="shared" si="50"/>
        <v>0</v>
      </c>
    </row>
    <row r="3208" spans="1:14" x14ac:dyDescent="0.35">
      <c r="A3208">
        <v>3207</v>
      </c>
      <c r="B3208" t="s">
        <v>16</v>
      </c>
      <c r="C3208">
        <v>55</v>
      </c>
      <c r="D3208" t="s">
        <v>25</v>
      </c>
      <c r="E3208" t="s">
        <v>22</v>
      </c>
      <c r="F3208">
        <v>183</v>
      </c>
      <c r="G3208">
        <v>81</v>
      </c>
      <c r="H3208">
        <v>0.44</v>
      </c>
      <c r="I3208" t="s">
        <v>19</v>
      </c>
      <c r="J3208">
        <v>0</v>
      </c>
      <c r="K3208">
        <v>1</v>
      </c>
      <c r="L3208">
        <v>1</v>
      </c>
      <c r="M3208">
        <f>VLOOKUP(Table1[[#This Row],[subscription_type]],Plans!$A$1:$B$5,2,FALSE)</f>
        <v>9.99</v>
      </c>
      <c r="N3208">
        <f t="shared" si="50"/>
        <v>9.99</v>
      </c>
    </row>
    <row r="3209" spans="1:14" x14ac:dyDescent="0.35">
      <c r="A3209">
        <v>3208</v>
      </c>
      <c r="B3209" t="s">
        <v>16</v>
      </c>
      <c r="C3209">
        <v>37</v>
      </c>
      <c r="D3209" t="s">
        <v>28</v>
      </c>
      <c r="E3209" t="s">
        <v>14</v>
      </c>
      <c r="F3209">
        <v>46</v>
      </c>
      <c r="G3209">
        <v>26</v>
      </c>
      <c r="H3209">
        <v>0.44</v>
      </c>
      <c r="I3209" t="s">
        <v>23</v>
      </c>
      <c r="J3209">
        <v>40</v>
      </c>
      <c r="K3209">
        <v>0</v>
      </c>
      <c r="L3209">
        <v>0</v>
      </c>
      <c r="M3209">
        <f>VLOOKUP(Table1[[#This Row],[subscription_type]],Plans!$A$1:$B$5,2,FALSE)</f>
        <v>0</v>
      </c>
      <c r="N3209">
        <f t="shared" si="50"/>
        <v>0</v>
      </c>
    </row>
    <row r="3210" spans="1:14" x14ac:dyDescent="0.35">
      <c r="A3210">
        <v>3209</v>
      </c>
      <c r="B3210" t="s">
        <v>12</v>
      </c>
      <c r="C3210">
        <v>48</v>
      </c>
      <c r="D3210" t="s">
        <v>17</v>
      </c>
      <c r="E3210" t="s">
        <v>22</v>
      </c>
      <c r="F3210">
        <v>148</v>
      </c>
      <c r="G3210">
        <v>56</v>
      </c>
      <c r="H3210">
        <v>0.6</v>
      </c>
      <c r="I3210" t="s">
        <v>19</v>
      </c>
      <c r="J3210">
        <v>0</v>
      </c>
      <c r="K3210">
        <v>1</v>
      </c>
      <c r="L3210">
        <v>1</v>
      </c>
      <c r="M3210">
        <f>VLOOKUP(Table1[[#This Row],[subscription_type]],Plans!$A$1:$B$5,2,FALSE)</f>
        <v>9.99</v>
      </c>
      <c r="N3210">
        <f t="shared" si="50"/>
        <v>9.99</v>
      </c>
    </row>
    <row r="3211" spans="1:14" x14ac:dyDescent="0.35">
      <c r="A3211">
        <v>3210</v>
      </c>
      <c r="B3211" t="s">
        <v>16</v>
      </c>
      <c r="C3211">
        <v>23</v>
      </c>
      <c r="D3211" t="s">
        <v>21</v>
      </c>
      <c r="E3211" t="s">
        <v>22</v>
      </c>
      <c r="F3211">
        <v>71</v>
      </c>
      <c r="G3211">
        <v>15</v>
      </c>
      <c r="H3211">
        <v>0.03</v>
      </c>
      <c r="I3211" t="s">
        <v>23</v>
      </c>
      <c r="J3211">
        <v>0</v>
      </c>
      <c r="K3211">
        <v>1</v>
      </c>
      <c r="L3211">
        <v>0</v>
      </c>
      <c r="M3211">
        <f>VLOOKUP(Table1[[#This Row],[subscription_type]],Plans!$A$1:$B$5,2,FALSE)</f>
        <v>9.99</v>
      </c>
      <c r="N3211">
        <f t="shared" si="50"/>
        <v>0</v>
      </c>
    </row>
    <row r="3212" spans="1:14" x14ac:dyDescent="0.35">
      <c r="A3212">
        <v>3211</v>
      </c>
      <c r="B3212" t="s">
        <v>20</v>
      </c>
      <c r="C3212">
        <v>17</v>
      </c>
      <c r="D3212" t="s">
        <v>28</v>
      </c>
      <c r="E3212" t="s">
        <v>18</v>
      </c>
      <c r="F3212">
        <v>31</v>
      </c>
      <c r="G3212">
        <v>50</v>
      </c>
      <c r="H3212">
        <v>0.45</v>
      </c>
      <c r="I3212" t="s">
        <v>15</v>
      </c>
      <c r="J3212">
        <v>0</v>
      </c>
      <c r="K3212">
        <v>1</v>
      </c>
      <c r="L3212">
        <v>0</v>
      </c>
      <c r="M3212">
        <f>VLOOKUP(Table1[[#This Row],[subscription_type]],Plans!$A$1:$B$5,2,FALSE)</f>
        <v>14.99</v>
      </c>
      <c r="N3212">
        <f t="shared" si="50"/>
        <v>0</v>
      </c>
    </row>
    <row r="3213" spans="1:14" x14ac:dyDescent="0.35">
      <c r="A3213">
        <v>3212</v>
      </c>
      <c r="B3213" t="s">
        <v>12</v>
      </c>
      <c r="C3213">
        <v>40</v>
      </c>
      <c r="D3213" t="s">
        <v>25</v>
      </c>
      <c r="E3213" t="s">
        <v>18</v>
      </c>
      <c r="F3213">
        <v>36</v>
      </c>
      <c r="G3213">
        <v>25</v>
      </c>
      <c r="H3213">
        <v>0.26</v>
      </c>
      <c r="I3213" t="s">
        <v>19</v>
      </c>
      <c r="J3213">
        <v>0</v>
      </c>
      <c r="K3213">
        <v>1</v>
      </c>
      <c r="L3213">
        <v>0</v>
      </c>
      <c r="M3213">
        <f>VLOOKUP(Table1[[#This Row],[subscription_type]],Plans!$A$1:$B$5,2,FALSE)</f>
        <v>14.99</v>
      </c>
      <c r="N3213">
        <f t="shared" si="50"/>
        <v>0</v>
      </c>
    </row>
    <row r="3214" spans="1:14" x14ac:dyDescent="0.35">
      <c r="A3214">
        <v>3213</v>
      </c>
      <c r="B3214" t="s">
        <v>16</v>
      </c>
      <c r="C3214">
        <v>58</v>
      </c>
      <c r="D3214" t="s">
        <v>17</v>
      </c>
      <c r="E3214" t="s">
        <v>18</v>
      </c>
      <c r="F3214">
        <v>29</v>
      </c>
      <c r="G3214">
        <v>5</v>
      </c>
      <c r="H3214">
        <v>7.0000000000000007E-2</v>
      </c>
      <c r="I3214" t="s">
        <v>19</v>
      </c>
      <c r="J3214">
        <v>0</v>
      </c>
      <c r="K3214">
        <v>1</v>
      </c>
      <c r="L3214">
        <v>1</v>
      </c>
      <c r="M3214">
        <f>VLOOKUP(Table1[[#This Row],[subscription_type]],Plans!$A$1:$B$5,2,FALSE)</f>
        <v>14.99</v>
      </c>
      <c r="N3214">
        <f t="shared" si="50"/>
        <v>14.99</v>
      </c>
    </row>
    <row r="3215" spans="1:14" x14ac:dyDescent="0.35">
      <c r="A3215">
        <v>3214</v>
      </c>
      <c r="B3215" t="s">
        <v>16</v>
      </c>
      <c r="C3215">
        <v>57</v>
      </c>
      <c r="D3215" t="s">
        <v>25</v>
      </c>
      <c r="E3215" t="s">
        <v>24</v>
      </c>
      <c r="F3215">
        <v>201</v>
      </c>
      <c r="G3215">
        <v>53</v>
      </c>
      <c r="H3215">
        <v>0.14000000000000001</v>
      </c>
      <c r="I3215" t="s">
        <v>15</v>
      </c>
      <c r="J3215">
        <v>0</v>
      </c>
      <c r="K3215">
        <v>1</v>
      </c>
      <c r="L3215">
        <v>0</v>
      </c>
      <c r="M3215">
        <f>VLOOKUP(Table1[[#This Row],[subscription_type]],Plans!$A$1:$B$5,2,FALSE)</f>
        <v>4.99</v>
      </c>
      <c r="N3215">
        <f t="shared" si="50"/>
        <v>0</v>
      </c>
    </row>
    <row r="3216" spans="1:14" x14ac:dyDescent="0.35">
      <c r="A3216">
        <v>3215</v>
      </c>
      <c r="B3216" t="s">
        <v>12</v>
      </c>
      <c r="C3216">
        <v>55</v>
      </c>
      <c r="D3216" t="s">
        <v>21</v>
      </c>
      <c r="E3216" t="s">
        <v>22</v>
      </c>
      <c r="F3216">
        <v>102</v>
      </c>
      <c r="G3216">
        <v>53</v>
      </c>
      <c r="H3216">
        <v>0.03</v>
      </c>
      <c r="I3216" t="s">
        <v>15</v>
      </c>
      <c r="J3216">
        <v>0</v>
      </c>
      <c r="K3216">
        <v>1</v>
      </c>
      <c r="L3216">
        <v>0</v>
      </c>
      <c r="M3216">
        <f>VLOOKUP(Table1[[#This Row],[subscription_type]],Plans!$A$1:$B$5,2,FALSE)</f>
        <v>9.99</v>
      </c>
      <c r="N3216">
        <f t="shared" si="50"/>
        <v>0</v>
      </c>
    </row>
    <row r="3217" spans="1:14" x14ac:dyDescent="0.35">
      <c r="A3217">
        <v>3216</v>
      </c>
      <c r="B3217" t="s">
        <v>12</v>
      </c>
      <c r="C3217">
        <v>16</v>
      </c>
      <c r="D3217" t="s">
        <v>21</v>
      </c>
      <c r="E3217" t="s">
        <v>18</v>
      </c>
      <c r="F3217">
        <v>262</v>
      </c>
      <c r="G3217">
        <v>52</v>
      </c>
      <c r="H3217">
        <v>0.56999999999999995</v>
      </c>
      <c r="I3217" t="s">
        <v>15</v>
      </c>
      <c r="J3217">
        <v>0</v>
      </c>
      <c r="K3217">
        <v>1</v>
      </c>
      <c r="L3217">
        <v>1</v>
      </c>
      <c r="M3217">
        <f>VLOOKUP(Table1[[#This Row],[subscription_type]],Plans!$A$1:$B$5,2,FALSE)</f>
        <v>14.99</v>
      </c>
      <c r="N3217">
        <f t="shared" si="50"/>
        <v>14.99</v>
      </c>
    </row>
    <row r="3218" spans="1:14" x14ac:dyDescent="0.35">
      <c r="A3218">
        <v>3217</v>
      </c>
      <c r="B3218" t="s">
        <v>20</v>
      </c>
      <c r="C3218">
        <v>56</v>
      </c>
      <c r="D3218" t="s">
        <v>13</v>
      </c>
      <c r="E3218" t="s">
        <v>22</v>
      </c>
      <c r="F3218">
        <v>98</v>
      </c>
      <c r="G3218">
        <v>12</v>
      </c>
      <c r="H3218">
        <v>0.56000000000000005</v>
      </c>
      <c r="I3218" t="s">
        <v>19</v>
      </c>
      <c r="J3218">
        <v>0</v>
      </c>
      <c r="K3218">
        <v>1</v>
      </c>
      <c r="L3218">
        <v>1</v>
      </c>
      <c r="M3218">
        <f>VLOOKUP(Table1[[#This Row],[subscription_type]],Plans!$A$1:$B$5,2,FALSE)</f>
        <v>9.99</v>
      </c>
      <c r="N3218">
        <f t="shared" si="50"/>
        <v>9.99</v>
      </c>
    </row>
    <row r="3219" spans="1:14" x14ac:dyDescent="0.35">
      <c r="A3219">
        <v>3218</v>
      </c>
      <c r="B3219" t="s">
        <v>12</v>
      </c>
      <c r="C3219">
        <v>27</v>
      </c>
      <c r="D3219" t="s">
        <v>25</v>
      </c>
      <c r="E3219" t="s">
        <v>14</v>
      </c>
      <c r="F3219">
        <v>226</v>
      </c>
      <c r="G3219">
        <v>20</v>
      </c>
      <c r="H3219">
        <v>0.53</v>
      </c>
      <c r="I3219" t="s">
        <v>23</v>
      </c>
      <c r="J3219">
        <v>13</v>
      </c>
      <c r="K3219">
        <v>0</v>
      </c>
      <c r="L3219">
        <v>1</v>
      </c>
      <c r="M3219">
        <f>VLOOKUP(Table1[[#This Row],[subscription_type]],Plans!$A$1:$B$5,2,FALSE)</f>
        <v>0</v>
      </c>
      <c r="N3219">
        <f t="shared" si="50"/>
        <v>0</v>
      </c>
    </row>
    <row r="3220" spans="1:14" x14ac:dyDescent="0.35">
      <c r="A3220">
        <v>3219</v>
      </c>
      <c r="B3220" t="s">
        <v>12</v>
      </c>
      <c r="C3220">
        <v>29</v>
      </c>
      <c r="D3220" t="s">
        <v>27</v>
      </c>
      <c r="E3220" t="s">
        <v>18</v>
      </c>
      <c r="F3220">
        <v>273</v>
      </c>
      <c r="G3220">
        <v>6</v>
      </c>
      <c r="H3220">
        <v>0.21</v>
      </c>
      <c r="I3220" t="s">
        <v>15</v>
      </c>
      <c r="J3220">
        <v>0</v>
      </c>
      <c r="K3220">
        <v>1</v>
      </c>
      <c r="L3220">
        <v>0</v>
      </c>
      <c r="M3220">
        <f>VLOOKUP(Table1[[#This Row],[subscription_type]],Plans!$A$1:$B$5,2,FALSE)</f>
        <v>14.99</v>
      </c>
      <c r="N3220">
        <f t="shared" si="50"/>
        <v>0</v>
      </c>
    </row>
    <row r="3221" spans="1:14" x14ac:dyDescent="0.35">
      <c r="A3221">
        <v>3220</v>
      </c>
      <c r="B3221" t="s">
        <v>16</v>
      </c>
      <c r="C3221">
        <v>55</v>
      </c>
      <c r="D3221" t="s">
        <v>28</v>
      </c>
      <c r="E3221" t="s">
        <v>24</v>
      </c>
      <c r="F3221">
        <v>286</v>
      </c>
      <c r="G3221">
        <v>39</v>
      </c>
      <c r="H3221">
        <v>0.2</v>
      </c>
      <c r="I3221" t="s">
        <v>23</v>
      </c>
      <c r="J3221">
        <v>0</v>
      </c>
      <c r="K3221">
        <v>1</v>
      </c>
      <c r="L3221">
        <v>0</v>
      </c>
      <c r="M3221">
        <f>VLOOKUP(Table1[[#This Row],[subscription_type]],Plans!$A$1:$B$5,2,FALSE)</f>
        <v>4.99</v>
      </c>
      <c r="N3221">
        <f t="shared" si="50"/>
        <v>0</v>
      </c>
    </row>
    <row r="3222" spans="1:14" x14ac:dyDescent="0.35">
      <c r="A3222">
        <v>3221</v>
      </c>
      <c r="B3222" t="s">
        <v>12</v>
      </c>
      <c r="C3222">
        <v>19</v>
      </c>
      <c r="D3222" t="s">
        <v>17</v>
      </c>
      <c r="E3222" t="s">
        <v>24</v>
      </c>
      <c r="F3222">
        <v>24</v>
      </c>
      <c r="G3222">
        <v>94</v>
      </c>
      <c r="H3222">
        <v>0.25</v>
      </c>
      <c r="I3222" t="s">
        <v>19</v>
      </c>
      <c r="J3222">
        <v>0</v>
      </c>
      <c r="K3222">
        <v>1</v>
      </c>
      <c r="L3222">
        <v>0</v>
      </c>
      <c r="M3222">
        <f>VLOOKUP(Table1[[#This Row],[subscription_type]],Plans!$A$1:$B$5,2,FALSE)</f>
        <v>4.99</v>
      </c>
      <c r="N3222">
        <f t="shared" si="50"/>
        <v>0</v>
      </c>
    </row>
    <row r="3223" spans="1:14" x14ac:dyDescent="0.35">
      <c r="A3223">
        <v>3222</v>
      </c>
      <c r="B3223" t="s">
        <v>16</v>
      </c>
      <c r="C3223">
        <v>38</v>
      </c>
      <c r="D3223" t="s">
        <v>26</v>
      </c>
      <c r="E3223" t="s">
        <v>22</v>
      </c>
      <c r="F3223">
        <v>267</v>
      </c>
      <c r="G3223">
        <v>34</v>
      </c>
      <c r="H3223">
        <v>0.44</v>
      </c>
      <c r="I3223" t="s">
        <v>23</v>
      </c>
      <c r="J3223">
        <v>0</v>
      </c>
      <c r="K3223">
        <v>1</v>
      </c>
      <c r="L3223">
        <v>0</v>
      </c>
      <c r="M3223">
        <f>VLOOKUP(Table1[[#This Row],[subscription_type]],Plans!$A$1:$B$5,2,FALSE)</f>
        <v>9.99</v>
      </c>
      <c r="N3223">
        <f t="shared" si="50"/>
        <v>0</v>
      </c>
    </row>
    <row r="3224" spans="1:14" x14ac:dyDescent="0.35">
      <c r="A3224">
        <v>3223</v>
      </c>
      <c r="B3224" t="s">
        <v>16</v>
      </c>
      <c r="C3224">
        <v>44</v>
      </c>
      <c r="D3224" t="s">
        <v>29</v>
      </c>
      <c r="E3224" t="s">
        <v>14</v>
      </c>
      <c r="F3224">
        <v>270</v>
      </c>
      <c r="G3224">
        <v>37</v>
      </c>
      <c r="H3224">
        <v>7.0000000000000007E-2</v>
      </c>
      <c r="I3224" t="s">
        <v>23</v>
      </c>
      <c r="J3224">
        <v>31</v>
      </c>
      <c r="K3224">
        <v>0</v>
      </c>
      <c r="L3224">
        <v>1</v>
      </c>
      <c r="M3224">
        <f>VLOOKUP(Table1[[#This Row],[subscription_type]],Plans!$A$1:$B$5,2,FALSE)</f>
        <v>0</v>
      </c>
      <c r="N3224">
        <f t="shared" si="50"/>
        <v>0</v>
      </c>
    </row>
    <row r="3225" spans="1:14" x14ac:dyDescent="0.35">
      <c r="A3225">
        <v>3224</v>
      </c>
      <c r="B3225" t="s">
        <v>20</v>
      </c>
      <c r="C3225">
        <v>19</v>
      </c>
      <c r="D3225" t="s">
        <v>13</v>
      </c>
      <c r="E3225" t="s">
        <v>18</v>
      </c>
      <c r="F3225">
        <v>168</v>
      </c>
      <c r="G3225">
        <v>49</v>
      </c>
      <c r="H3225">
        <v>0.43</v>
      </c>
      <c r="I3225" t="s">
        <v>23</v>
      </c>
      <c r="J3225">
        <v>0</v>
      </c>
      <c r="K3225">
        <v>1</v>
      </c>
      <c r="L3225">
        <v>0</v>
      </c>
      <c r="M3225">
        <f>VLOOKUP(Table1[[#This Row],[subscription_type]],Plans!$A$1:$B$5,2,FALSE)</f>
        <v>14.99</v>
      </c>
      <c r="N3225">
        <f t="shared" si="50"/>
        <v>0</v>
      </c>
    </row>
    <row r="3226" spans="1:14" x14ac:dyDescent="0.35">
      <c r="A3226">
        <v>3225</v>
      </c>
      <c r="B3226" t="s">
        <v>12</v>
      </c>
      <c r="C3226">
        <v>22</v>
      </c>
      <c r="D3226" t="s">
        <v>26</v>
      </c>
      <c r="E3226" t="s">
        <v>22</v>
      </c>
      <c r="F3226">
        <v>258</v>
      </c>
      <c r="G3226">
        <v>66</v>
      </c>
      <c r="H3226">
        <v>0.04</v>
      </c>
      <c r="I3226" t="s">
        <v>19</v>
      </c>
      <c r="J3226">
        <v>0</v>
      </c>
      <c r="K3226">
        <v>1</v>
      </c>
      <c r="L3226">
        <v>0</v>
      </c>
      <c r="M3226">
        <f>VLOOKUP(Table1[[#This Row],[subscription_type]],Plans!$A$1:$B$5,2,FALSE)</f>
        <v>9.99</v>
      </c>
      <c r="N3226">
        <f t="shared" si="50"/>
        <v>0</v>
      </c>
    </row>
    <row r="3227" spans="1:14" x14ac:dyDescent="0.35">
      <c r="A3227">
        <v>3226</v>
      </c>
      <c r="B3227" t="s">
        <v>20</v>
      </c>
      <c r="C3227">
        <v>56</v>
      </c>
      <c r="D3227" t="s">
        <v>27</v>
      </c>
      <c r="E3227" t="s">
        <v>22</v>
      </c>
      <c r="F3227">
        <v>121</v>
      </c>
      <c r="G3227">
        <v>61</v>
      </c>
      <c r="H3227">
        <v>0.56999999999999995</v>
      </c>
      <c r="I3227" t="s">
        <v>23</v>
      </c>
      <c r="J3227">
        <v>0</v>
      </c>
      <c r="K3227">
        <v>1</v>
      </c>
      <c r="L3227">
        <v>0</v>
      </c>
      <c r="M3227">
        <f>VLOOKUP(Table1[[#This Row],[subscription_type]],Plans!$A$1:$B$5,2,FALSE)</f>
        <v>9.99</v>
      </c>
      <c r="N3227">
        <f t="shared" si="50"/>
        <v>0</v>
      </c>
    </row>
    <row r="3228" spans="1:14" x14ac:dyDescent="0.35">
      <c r="A3228">
        <v>3227</v>
      </c>
      <c r="B3228" t="s">
        <v>16</v>
      </c>
      <c r="C3228">
        <v>42</v>
      </c>
      <c r="D3228" t="s">
        <v>17</v>
      </c>
      <c r="E3228" t="s">
        <v>22</v>
      </c>
      <c r="F3228">
        <v>113</v>
      </c>
      <c r="G3228">
        <v>54</v>
      </c>
      <c r="H3228">
        <v>0.36</v>
      </c>
      <c r="I3228" t="s">
        <v>15</v>
      </c>
      <c r="J3228">
        <v>0</v>
      </c>
      <c r="K3228">
        <v>1</v>
      </c>
      <c r="L3228">
        <v>1</v>
      </c>
      <c r="M3228">
        <f>VLOOKUP(Table1[[#This Row],[subscription_type]],Plans!$A$1:$B$5,2,FALSE)</f>
        <v>9.99</v>
      </c>
      <c r="N3228">
        <f t="shared" si="50"/>
        <v>9.99</v>
      </c>
    </row>
    <row r="3229" spans="1:14" x14ac:dyDescent="0.35">
      <c r="A3229">
        <v>3228</v>
      </c>
      <c r="B3229" t="s">
        <v>12</v>
      </c>
      <c r="C3229">
        <v>53</v>
      </c>
      <c r="D3229" t="s">
        <v>27</v>
      </c>
      <c r="E3229" t="s">
        <v>24</v>
      </c>
      <c r="F3229">
        <v>61</v>
      </c>
      <c r="G3229">
        <v>35</v>
      </c>
      <c r="H3229">
        <v>0.35</v>
      </c>
      <c r="I3229" t="s">
        <v>23</v>
      </c>
      <c r="J3229">
        <v>0</v>
      </c>
      <c r="K3229">
        <v>1</v>
      </c>
      <c r="L3229">
        <v>1</v>
      </c>
      <c r="M3229">
        <f>VLOOKUP(Table1[[#This Row],[subscription_type]],Plans!$A$1:$B$5,2,FALSE)</f>
        <v>4.99</v>
      </c>
      <c r="N3229">
        <f t="shared" si="50"/>
        <v>4.99</v>
      </c>
    </row>
    <row r="3230" spans="1:14" x14ac:dyDescent="0.35">
      <c r="A3230">
        <v>3229</v>
      </c>
      <c r="B3230" t="s">
        <v>20</v>
      </c>
      <c r="C3230">
        <v>46</v>
      </c>
      <c r="D3230" t="s">
        <v>13</v>
      </c>
      <c r="E3230" t="s">
        <v>18</v>
      </c>
      <c r="F3230">
        <v>86</v>
      </c>
      <c r="G3230">
        <v>98</v>
      </c>
      <c r="H3230">
        <v>0.23</v>
      </c>
      <c r="I3230" t="s">
        <v>15</v>
      </c>
      <c r="J3230">
        <v>0</v>
      </c>
      <c r="K3230">
        <v>1</v>
      </c>
      <c r="L3230">
        <v>0</v>
      </c>
      <c r="M3230">
        <f>VLOOKUP(Table1[[#This Row],[subscription_type]],Plans!$A$1:$B$5,2,FALSE)</f>
        <v>14.99</v>
      </c>
      <c r="N3230">
        <f t="shared" si="50"/>
        <v>0</v>
      </c>
    </row>
    <row r="3231" spans="1:14" x14ac:dyDescent="0.35">
      <c r="A3231">
        <v>3230</v>
      </c>
      <c r="B3231" t="s">
        <v>16</v>
      </c>
      <c r="C3231">
        <v>55</v>
      </c>
      <c r="D3231" t="s">
        <v>26</v>
      </c>
      <c r="E3231" t="s">
        <v>22</v>
      </c>
      <c r="F3231">
        <v>173</v>
      </c>
      <c r="G3231">
        <v>73</v>
      </c>
      <c r="H3231">
        <v>0.28000000000000003</v>
      </c>
      <c r="I3231" t="s">
        <v>23</v>
      </c>
      <c r="J3231">
        <v>0</v>
      </c>
      <c r="K3231">
        <v>1</v>
      </c>
      <c r="L3231">
        <v>0</v>
      </c>
      <c r="M3231">
        <f>VLOOKUP(Table1[[#This Row],[subscription_type]],Plans!$A$1:$B$5,2,FALSE)</f>
        <v>9.99</v>
      </c>
      <c r="N3231">
        <f t="shared" si="50"/>
        <v>0</v>
      </c>
    </row>
    <row r="3232" spans="1:14" x14ac:dyDescent="0.35">
      <c r="A3232">
        <v>3231</v>
      </c>
      <c r="B3232" t="s">
        <v>12</v>
      </c>
      <c r="C3232">
        <v>21</v>
      </c>
      <c r="D3232" t="s">
        <v>26</v>
      </c>
      <c r="E3232" t="s">
        <v>22</v>
      </c>
      <c r="F3232">
        <v>65</v>
      </c>
      <c r="G3232">
        <v>63</v>
      </c>
      <c r="H3232">
        <v>0.35</v>
      </c>
      <c r="I3232" t="s">
        <v>23</v>
      </c>
      <c r="J3232">
        <v>0</v>
      </c>
      <c r="K3232">
        <v>1</v>
      </c>
      <c r="L3232">
        <v>0</v>
      </c>
      <c r="M3232">
        <f>VLOOKUP(Table1[[#This Row],[subscription_type]],Plans!$A$1:$B$5,2,FALSE)</f>
        <v>9.99</v>
      </c>
      <c r="N3232">
        <f t="shared" si="50"/>
        <v>0</v>
      </c>
    </row>
    <row r="3233" spans="1:14" x14ac:dyDescent="0.35">
      <c r="A3233">
        <v>3232</v>
      </c>
      <c r="B3233" t="s">
        <v>16</v>
      </c>
      <c r="C3233">
        <v>23</v>
      </c>
      <c r="D3233" t="s">
        <v>25</v>
      </c>
      <c r="E3233" t="s">
        <v>14</v>
      </c>
      <c r="F3233">
        <v>230</v>
      </c>
      <c r="G3233">
        <v>92</v>
      </c>
      <c r="H3233">
        <v>0.22</v>
      </c>
      <c r="I3233" t="s">
        <v>19</v>
      </c>
      <c r="J3233">
        <v>18</v>
      </c>
      <c r="K3233">
        <v>0</v>
      </c>
      <c r="L3233">
        <v>1</v>
      </c>
      <c r="M3233">
        <f>VLOOKUP(Table1[[#This Row],[subscription_type]],Plans!$A$1:$B$5,2,FALSE)</f>
        <v>0</v>
      </c>
      <c r="N3233">
        <f t="shared" si="50"/>
        <v>0</v>
      </c>
    </row>
    <row r="3234" spans="1:14" x14ac:dyDescent="0.35">
      <c r="A3234">
        <v>3233</v>
      </c>
      <c r="B3234" t="s">
        <v>12</v>
      </c>
      <c r="C3234">
        <v>20</v>
      </c>
      <c r="D3234" t="s">
        <v>27</v>
      </c>
      <c r="E3234" t="s">
        <v>14</v>
      </c>
      <c r="F3234">
        <v>289</v>
      </c>
      <c r="G3234">
        <v>82</v>
      </c>
      <c r="H3234">
        <v>0.31</v>
      </c>
      <c r="I3234" t="s">
        <v>15</v>
      </c>
      <c r="J3234">
        <v>18</v>
      </c>
      <c r="K3234">
        <v>0</v>
      </c>
      <c r="L3234">
        <v>0</v>
      </c>
      <c r="M3234">
        <f>VLOOKUP(Table1[[#This Row],[subscription_type]],Plans!$A$1:$B$5,2,FALSE)</f>
        <v>0</v>
      </c>
      <c r="N3234">
        <f t="shared" si="50"/>
        <v>0</v>
      </c>
    </row>
    <row r="3235" spans="1:14" x14ac:dyDescent="0.35">
      <c r="A3235">
        <v>3234</v>
      </c>
      <c r="B3235" t="s">
        <v>12</v>
      </c>
      <c r="C3235">
        <v>40</v>
      </c>
      <c r="D3235" t="s">
        <v>28</v>
      </c>
      <c r="E3235" t="s">
        <v>24</v>
      </c>
      <c r="F3235">
        <v>150</v>
      </c>
      <c r="G3235">
        <v>96</v>
      </c>
      <c r="H3235">
        <v>0.04</v>
      </c>
      <c r="I3235" t="s">
        <v>15</v>
      </c>
      <c r="J3235">
        <v>0</v>
      </c>
      <c r="K3235">
        <v>1</v>
      </c>
      <c r="L3235">
        <v>0</v>
      </c>
      <c r="M3235">
        <f>VLOOKUP(Table1[[#This Row],[subscription_type]],Plans!$A$1:$B$5,2,FALSE)</f>
        <v>4.99</v>
      </c>
      <c r="N3235">
        <f t="shared" si="50"/>
        <v>0</v>
      </c>
    </row>
    <row r="3236" spans="1:14" x14ac:dyDescent="0.35">
      <c r="A3236">
        <v>3235</v>
      </c>
      <c r="B3236" t="s">
        <v>16</v>
      </c>
      <c r="C3236">
        <v>35</v>
      </c>
      <c r="D3236" t="s">
        <v>13</v>
      </c>
      <c r="E3236" t="s">
        <v>24</v>
      </c>
      <c r="F3236">
        <v>27</v>
      </c>
      <c r="G3236">
        <v>75</v>
      </c>
      <c r="H3236">
        <v>0.15</v>
      </c>
      <c r="I3236" t="s">
        <v>23</v>
      </c>
      <c r="J3236">
        <v>0</v>
      </c>
      <c r="K3236">
        <v>1</v>
      </c>
      <c r="L3236">
        <v>0</v>
      </c>
      <c r="M3236">
        <f>VLOOKUP(Table1[[#This Row],[subscription_type]],Plans!$A$1:$B$5,2,FALSE)</f>
        <v>4.99</v>
      </c>
      <c r="N3236">
        <f t="shared" si="50"/>
        <v>0</v>
      </c>
    </row>
    <row r="3237" spans="1:14" x14ac:dyDescent="0.35">
      <c r="A3237">
        <v>3236</v>
      </c>
      <c r="B3237" t="s">
        <v>12</v>
      </c>
      <c r="C3237">
        <v>30</v>
      </c>
      <c r="D3237" t="s">
        <v>29</v>
      </c>
      <c r="E3237" t="s">
        <v>18</v>
      </c>
      <c r="F3237">
        <v>30</v>
      </c>
      <c r="G3237">
        <v>64</v>
      </c>
      <c r="H3237">
        <v>0.3</v>
      </c>
      <c r="I3237" t="s">
        <v>15</v>
      </c>
      <c r="J3237">
        <v>0</v>
      </c>
      <c r="K3237">
        <v>1</v>
      </c>
      <c r="L3237">
        <v>0</v>
      </c>
      <c r="M3237">
        <f>VLOOKUP(Table1[[#This Row],[subscription_type]],Plans!$A$1:$B$5,2,FALSE)</f>
        <v>14.99</v>
      </c>
      <c r="N3237">
        <f t="shared" si="50"/>
        <v>0</v>
      </c>
    </row>
    <row r="3238" spans="1:14" x14ac:dyDescent="0.35">
      <c r="A3238">
        <v>3237</v>
      </c>
      <c r="B3238" t="s">
        <v>20</v>
      </c>
      <c r="C3238">
        <v>20</v>
      </c>
      <c r="D3238" t="s">
        <v>27</v>
      </c>
      <c r="E3238" t="s">
        <v>18</v>
      </c>
      <c r="F3238">
        <v>269</v>
      </c>
      <c r="G3238">
        <v>96</v>
      </c>
      <c r="H3238">
        <v>0.34</v>
      </c>
      <c r="I3238" t="s">
        <v>23</v>
      </c>
      <c r="J3238">
        <v>0</v>
      </c>
      <c r="K3238">
        <v>1</v>
      </c>
      <c r="L3238">
        <v>0</v>
      </c>
      <c r="M3238">
        <f>VLOOKUP(Table1[[#This Row],[subscription_type]],Plans!$A$1:$B$5,2,FALSE)</f>
        <v>14.99</v>
      </c>
      <c r="N3238">
        <f t="shared" si="50"/>
        <v>0</v>
      </c>
    </row>
    <row r="3239" spans="1:14" x14ac:dyDescent="0.35">
      <c r="A3239">
        <v>3238</v>
      </c>
      <c r="B3239" t="s">
        <v>20</v>
      </c>
      <c r="C3239">
        <v>47</v>
      </c>
      <c r="D3239" t="s">
        <v>28</v>
      </c>
      <c r="E3239" t="s">
        <v>18</v>
      </c>
      <c r="F3239">
        <v>237</v>
      </c>
      <c r="G3239">
        <v>29</v>
      </c>
      <c r="H3239">
        <v>0.57999999999999996</v>
      </c>
      <c r="I3239" t="s">
        <v>19</v>
      </c>
      <c r="J3239">
        <v>0</v>
      </c>
      <c r="K3239">
        <v>1</v>
      </c>
      <c r="L3239">
        <v>0</v>
      </c>
      <c r="M3239">
        <f>VLOOKUP(Table1[[#This Row],[subscription_type]],Plans!$A$1:$B$5,2,FALSE)</f>
        <v>14.99</v>
      </c>
      <c r="N3239">
        <f t="shared" si="50"/>
        <v>0</v>
      </c>
    </row>
    <row r="3240" spans="1:14" x14ac:dyDescent="0.35">
      <c r="A3240">
        <v>3239</v>
      </c>
      <c r="B3240" t="s">
        <v>12</v>
      </c>
      <c r="C3240">
        <v>59</v>
      </c>
      <c r="D3240" t="s">
        <v>29</v>
      </c>
      <c r="E3240" t="s">
        <v>22</v>
      </c>
      <c r="F3240">
        <v>123</v>
      </c>
      <c r="G3240">
        <v>59</v>
      </c>
      <c r="H3240">
        <v>0.23</v>
      </c>
      <c r="I3240" t="s">
        <v>15</v>
      </c>
      <c r="J3240">
        <v>0</v>
      </c>
      <c r="K3240">
        <v>1</v>
      </c>
      <c r="L3240">
        <v>1</v>
      </c>
      <c r="M3240">
        <f>VLOOKUP(Table1[[#This Row],[subscription_type]],Plans!$A$1:$B$5,2,FALSE)</f>
        <v>9.99</v>
      </c>
      <c r="N3240">
        <f t="shared" si="50"/>
        <v>9.99</v>
      </c>
    </row>
    <row r="3241" spans="1:14" x14ac:dyDescent="0.35">
      <c r="A3241">
        <v>3240</v>
      </c>
      <c r="B3241" t="s">
        <v>16</v>
      </c>
      <c r="C3241">
        <v>41</v>
      </c>
      <c r="D3241" t="s">
        <v>17</v>
      </c>
      <c r="E3241" t="s">
        <v>22</v>
      </c>
      <c r="F3241">
        <v>149</v>
      </c>
      <c r="G3241">
        <v>22</v>
      </c>
      <c r="H3241">
        <v>0.16</v>
      </c>
      <c r="I3241" t="s">
        <v>19</v>
      </c>
      <c r="J3241">
        <v>0</v>
      </c>
      <c r="K3241">
        <v>1</v>
      </c>
      <c r="L3241">
        <v>0</v>
      </c>
      <c r="M3241">
        <f>VLOOKUP(Table1[[#This Row],[subscription_type]],Plans!$A$1:$B$5,2,FALSE)</f>
        <v>9.99</v>
      </c>
      <c r="N3241">
        <f t="shared" si="50"/>
        <v>0</v>
      </c>
    </row>
    <row r="3242" spans="1:14" x14ac:dyDescent="0.35">
      <c r="A3242">
        <v>3241</v>
      </c>
      <c r="B3242" t="s">
        <v>12</v>
      </c>
      <c r="C3242">
        <v>18</v>
      </c>
      <c r="D3242" t="s">
        <v>26</v>
      </c>
      <c r="E3242" t="s">
        <v>22</v>
      </c>
      <c r="F3242">
        <v>286</v>
      </c>
      <c r="G3242">
        <v>49</v>
      </c>
      <c r="H3242">
        <v>0.46</v>
      </c>
      <c r="I3242" t="s">
        <v>19</v>
      </c>
      <c r="J3242">
        <v>0</v>
      </c>
      <c r="K3242">
        <v>1</v>
      </c>
      <c r="L3242">
        <v>0</v>
      </c>
      <c r="M3242">
        <f>VLOOKUP(Table1[[#This Row],[subscription_type]],Plans!$A$1:$B$5,2,FALSE)</f>
        <v>9.99</v>
      </c>
      <c r="N3242">
        <f t="shared" si="50"/>
        <v>0</v>
      </c>
    </row>
    <row r="3243" spans="1:14" x14ac:dyDescent="0.35">
      <c r="A3243">
        <v>3242</v>
      </c>
      <c r="B3243" t="s">
        <v>12</v>
      </c>
      <c r="C3243">
        <v>58</v>
      </c>
      <c r="D3243" t="s">
        <v>26</v>
      </c>
      <c r="E3243" t="s">
        <v>24</v>
      </c>
      <c r="F3243">
        <v>45</v>
      </c>
      <c r="G3243">
        <v>59</v>
      </c>
      <c r="H3243">
        <v>0.49</v>
      </c>
      <c r="I3243" t="s">
        <v>15</v>
      </c>
      <c r="J3243">
        <v>0</v>
      </c>
      <c r="K3243">
        <v>1</v>
      </c>
      <c r="L3243">
        <v>0</v>
      </c>
      <c r="M3243">
        <f>VLOOKUP(Table1[[#This Row],[subscription_type]],Plans!$A$1:$B$5,2,FALSE)</f>
        <v>4.99</v>
      </c>
      <c r="N3243">
        <f t="shared" si="50"/>
        <v>0</v>
      </c>
    </row>
    <row r="3244" spans="1:14" x14ac:dyDescent="0.35">
      <c r="A3244">
        <v>3243</v>
      </c>
      <c r="B3244" t="s">
        <v>20</v>
      </c>
      <c r="C3244">
        <v>27</v>
      </c>
      <c r="D3244" t="s">
        <v>25</v>
      </c>
      <c r="E3244" t="s">
        <v>24</v>
      </c>
      <c r="F3244">
        <v>65</v>
      </c>
      <c r="G3244">
        <v>62</v>
      </c>
      <c r="H3244">
        <v>0.1</v>
      </c>
      <c r="I3244" t="s">
        <v>23</v>
      </c>
      <c r="J3244">
        <v>0</v>
      </c>
      <c r="K3244">
        <v>1</v>
      </c>
      <c r="L3244">
        <v>0</v>
      </c>
      <c r="M3244">
        <f>VLOOKUP(Table1[[#This Row],[subscription_type]],Plans!$A$1:$B$5,2,FALSE)</f>
        <v>4.99</v>
      </c>
      <c r="N3244">
        <f t="shared" si="50"/>
        <v>0</v>
      </c>
    </row>
    <row r="3245" spans="1:14" x14ac:dyDescent="0.35">
      <c r="A3245">
        <v>3244</v>
      </c>
      <c r="B3245" t="s">
        <v>16</v>
      </c>
      <c r="C3245">
        <v>45</v>
      </c>
      <c r="D3245" t="s">
        <v>25</v>
      </c>
      <c r="E3245" t="s">
        <v>18</v>
      </c>
      <c r="F3245">
        <v>262</v>
      </c>
      <c r="G3245">
        <v>16</v>
      </c>
      <c r="H3245">
        <v>0.45</v>
      </c>
      <c r="I3245" t="s">
        <v>19</v>
      </c>
      <c r="J3245">
        <v>0</v>
      </c>
      <c r="K3245">
        <v>1</v>
      </c>
      <c r="L3245">
        <v>0</v>
      </c>
      <c r="M3245">
        <f>VLOOKUP(Table1[[#This Row],[subscription_type]],Plans!$A$1:$B$5,2,FALSE)</f>
        <v>14.99</v>
      </c>
      <c r="N3245">
        <f t="shared" si="50"/>
        <v>0</v>
      </c>
    </row>
    <row r="3246" spans="1:14" x14ac:dyDescent="0.35">
      <c r="A3246">
        <v>3245</v>
      </c>
      <c r="B3246" t="s">
        <v>20</v>
      </c>
      <c r="C3246">
        <v>38</v>
      </c>
      <c r="D3246" t="s">
        <v>27</v>
      </c>
      <c r="E3246" t="s">
        <v>14</v>
      </c>
      <c r="F3246">
        <v>262</v>
      </c>
      <c r="G3246">
        <v>82</v>
      </c>
      <c r="H3246">
        <v>0.45</v>
      </c>
      <c r="I3246" t="s">
        <v>15</v>
      </c>
      <c r="J3246">
        <v>46</v>
      </c>
      <c r="K3246">
        <v>0</v>
      </c>
      <c r="L3246">
        <v>0</v>
      </c>
      <c r="M3246">
        <f>VLOOKUP(Table1[[#This Row],[subscription_type]],Plans!$A$1:$B$5,2,FALSE)</f>
        <v>0</v>
      </c>
      <c r="N3246">
        <f t="shared" si="50"/>
        <v>0</v>
      </c>
    </row>
    <row r="3247" spans="1:14" x14ac:dyDescent="0.35">
      <c r="A3247">
        <v>3246</v>
      </c>
      <c r="B3247" t="s">
        <v>20</v>
      </c>
      <c r="C3247">
        <v>33</v>
      </c>
      <c r="D3247" t="s">
        <v>13</v>
      </c>
      <c r="E3247" t="s">
        <v>22</v>
      </c>
      <c r="F3247">
        <v>134</v>
      </c>
      <c r="G3247">
        <v>34</v>
      </c>
      <c r="H3247">
        <v>0.04</v>
      </c>
      <c r="I3247" t="s">
        <v>15</v>
      </c>
      <c r="J3247">
        <v>0</v>
      </c>
      <c r="K3247">
        <v>1</v>
      </c>
      <c r="L3247">
        <v>0</v>
      </c>
      <c r="M3247">
        <f>VLOOKUP(Table1[[#This Row],[subscription_type]],Plans!$A$1:$B$5,2,FALSE)</f>
        <v>9.99</v>
      </c>
      <c r="N3247">
        <f t="shared" si="50"/>
        <v>0</v>
      </c>
    </row>
    <row r="3248" spans="1:14" x14ac:dyDescent="0.35">
      <c r="A3248">
        <v>3247</v>
      </c>
      <c r="B3248" t="s">
        <v>12</v>
      </c>
      <c r="C3248">
        <v>32</v>
      </c>
      <c r="D3248" t="s">
        <v>21</v>
      </c>
      <c r="E3248" t="s">
        <v>18</v>
      </c>
      <c r="F3248">
        <v>280</v>
      </c>
      <c r="G3248">
        <v>25</v>
      </c>
      <c r="H3248">
        <v>7.0000000000000007E-2</v>
      </c>
      <c r="I3248" t="s">
        <v>23</v>
      </c>
      <c r="J3248">
        <v>0</v>
      </c>
      <c r="K3248">
        <v>1</v>
      </c>
      <c r="L3248">
        <v>0</v>
      </c>
      <c r="M3248">
        <f>VLOOKUP(Table1[[#This Row],[subscription_type]],Plans!$A$1:$B$5,2,FALSE)</f>
        <v>14.99</v>
      </c>
      <c r="N3248">
        <f t="shared" si="50"/>
        <v>0</v>
      </c>
    </row>
    <row r="3249" spans="1:14" x14ac:dyDescent="0.35">
      <c r="A3249">
        <v>3248</v>
      </c>
      <c r="B3249" t="s">
        <v>16</v>
      </c>
      <c r="C3249">
        <v>26</v>
      </c>
      <c r="D3249" t="s">
        <v>21</v>
      </c>
      <c r="E3249" t="s">
        <v>24</v>
      </c>
      <c r="F3249">
        <v>36</v>
      </c>
      <c r="G3249">
        <v>89</v>
      </c>
      <c r="H3249">
        <v>0.4</v>
      </c>
      <c r="I3249" t="s">
        <v>15</v>
      </c>
      <c r="J3249">
        <v>0</v>
      </c>
      <c r="K3249">
        <v>1</v>
      </c>
      <c r="L3249">
        <v>0</v>
      </c>
      <c r="M3249">
        <f>VLOOKUP(Table1[[#This Row],[subscription_type]],Plans!$A$1:$B$5,2,FALSE)</f>
        <v>4.99</v>
      </c>
      <c r="N3249">
        <f t="shared" si="50"/>
        <v>0</v>
      </c>
    </row>
    <row r="3250" spans="1:14" x14ac:dyDescent="0.35">
      <c r="A3250">
        <v>3249</v>
      </c>
      <c r="B3250" t="s">
        <v>12</v>
      </c>
      <c r="C3250">
        <v>51</v>
      </c>
      <c r="D3250" t="s">
        <v>17</v>
      </c>
      <c r="E3250" t="s">
        <v>14</v>
      </c>
      <c r="F3250">
        <v>12</v>
      </c>
      <c r="G3250">
        <v>53</v>
      </c>
      <c r="H3250">
        <v>0.05</v>
      </c>
      <c r="I3250" t="s">
        <v>23</v>
      </c>
      <c r="J3250">
        <v>14</v>
      </c>
      <c r="K3250">
        <v>0</v>
      </c>
      <c r="L3250">
        <v>1</v>
      </c>
      <c r="M3250">
        <f>VLOOKUP(Table1[[#This Row],[subscription_type]],Plans!$A$1:$B$5,2,FALSE)</f>
        <v>0</v>
      </c>
      <c r="N3250">
        <f t="shared" si="50"/>
        <v>0</v>
      </c>
    </row>
    <row r="3251" spans="1:14" x14ac:dyDescent="0.35">
      <c r="A3251">
        <v>3250</v>
      </c>
      <c r="B3251" t="s">
        <v>12</v>
      </c>
      <c r="C3251">
        <v>41</v>
      </c>
      <c r="D3251" t="s">
        <v>26</v>
      </c>
      <c r="E3251" t="s">
        <v>14</v>
      </c>
      <c r="F3251">
        <v>296</v>
      </c>
      <c r="G3251">
        <v>42</v>
      </c>
      <c r="H3251">
        <v>0.15</v>
      </c>
      <c r="I3251" t="s">
        <v>23</v>
      </c>
      <c r="J3251">
        <v>37</v>
      </c>
      <c r="K3251">
        <v>0</v>
      </c>
      <c r="L3251">
        <v>0</v>
      </c>
      <c r="M3251">
        <f>VLOOKUP(Table1[[#This Row],[subscription_type]],Plans!$A$1:$B$5,2,FALSE)</f>
        <v>0</v>
      </c>
      <c r="N3251">
        <f t="shared" si="50"/>
        <v>0</v>
      </c>
    </row>
    <row r="3252" spans="1:14" x14ac:dyDescent="0.35">
      <c r="A3252">
        <v>3251</v>
      </c>
      <c r="B3252" t="s">
        <v>20</v>
      </c>
      <c r="C3252">
        <v>26</v>
      </c>
      <c r="D3252" t="s">
        <v>21</v>
      </c>
      <c r="E3252" t="s">
        <v>18</v>
      </c>
      <c r="F3252">
        <v>109</v>
      </c>
      <c r="G3252">
        <v>41</v>
      </c>
      <c r="H3252">
        <v>0.51</v>
      </c>
      <c r="I3252" t="s">
        <v>19</v>
      </c>
      <c r="J3252">
        <v>0</v>
      </c>
      <c r="K3252">
        <v>1</v>
      </c>
      <c r="L3252">
        <v>1</v>
      </c>
      <c r="M3252">
        <f>VLOOKUP(Table1[[#This Row],[subscription_type]],Plans!$A$1:$B$5,2,FALSE)</f>
        <v>14.99</v>
      </c>
      <c r="N3252">
        <f t="shared" si="50"/>
        <v>14.99</v>
      </c>
    </row>
    <row r="3253" spans="1:14" x14ac:dyDescent="0.35">
      <c r="A3253">
        <v>3252</v>
      </c>
      <c r="B3253" t="s">
        <v>20</v>
      </c>
      <c r="C3253">
        <v>48</v>
      </c>
      <c r="D3253" t="s">
        <v>27</v>
      </c>
      <c r="E3253" t="s">
        <v>22</v>
      </c>
      <c r="F3253">
        <v>172</v>
      </c>
      <c r="G3253">
        <v>36</v>
      </c>
      <c r="H3253">
        <v>0.27</v>
      </c>
      <c r="I3253" t="s">
        <v>23</v>
      </c>
      <c r="J3253">
        <v>0</v>
      </c>
      <c r="K3253">
        <v>1</v>
      </c>
      <c r="L3253">
        <v>1</v>
      </c>
      <c r="M3253">
        <f>VLOOKUP(Table1[[#This Row],[subscription_type]],Plans!$A$1:$B$5,2,FALSE)</f>
        <v>9.99</v>
      </c>
      <c r="N3253">
        <f t="shared" si="50"/>
        <v>9.99</v>
      </c>
    </row>
    <row r="3254" spans="1:14" x14ac:dyDescent="0.35">
      <c r="A3254">
        <v>3253</v>
      </c>
      <c r="B3254" t="s">
        <v>16</v>
      </c>
      <c r="C3254">
        <v>19</v>
      </c>
      <c r="D3254" t="s">
        <v>29</v>
      </c>
      <c r="E3254" t="s">
        <v>22</v>
      </c>
      <c r="F3254">
        <v>118</v>
      </c>
      <c r="G3254">
        <v>54</v>
      </c>
      <c r="H3254">
        <v>0.11</v>
      </c>
      <c r="I3254" t="s">
        <v>23</v>
      </c>
      <c r="J3254">
        <v>0</v>
      </c>
      <c r="K3254">
        <v>1</v>
      </c>
      <c r="L3254">
        <v>0</v>
      </c>
      <c r="M3254">
        <f>VLOOKUP(Table1[[#This Row],[subscription_type]],Plans!$A$1:$B$5,2,FALSE)</f>
        <v>9.99</v>
      </c>
      <c r="N3254">
        <f t="shared" si="50"/>
        <v>0</v>
      </c>
    </row>
    <row r="3255" spans="1:14" x14ac:dyDescent="0.35">
      <c r="A3255">
        <v>3254</v>
      </c>
      <c r="B3255" t="s">
        <v>16</v>
      </c>
      <c r="C3255">
        <v>32</v>
      </c>
      <c r="D3255" t="s">
        <v>17</v>
      </c>
      <c r="E3255" t="s">
        <v>14</v>
      </c>
      <c r="F3255">
        <v>27</v>
      </c>
      <c r="G3255">
        <v>70</v>
      </c>
      <c r="H3255">
        <v>0.3</v>
      </c>
      <c r="I3255" t="s">
        <v>19</v>
      </c>
      <c r="J3255">
        <v>34</v>
      </c>
      <c r="K3255">
        <v>0</v>
      </c>
      <c r="L3255">
        <v>0</v>
      </c>
      <c r="M3255">
        <f>VLOOKUP(Table1[[#This Row],[subscription_type]],Plans!$A$1:$B$5,2,FALSE)</f>
        <v>0</v>
      </c>
      <c r="N3255">
        <f t="shared" si="50"/>
        <v>0</v>
      </c>
    </row>
    <row r="3256" spans="1:14" x14ac:dyDescent="0.35">
      <c r="A3256">
        <v>3255</v>
      </c>
      <c r="B3256" t="s">
        <v>20</v>
      </c>
      <c r="C3256">
        <v>35</v>
      </c>
      <c r="D3256" t="s">
        <v>21</v>
      </c>
      <c r="E3256" t="s">
        <v>14</v>
      </c>
      <c r="F3256">
        <v>263</v>
      </c>
      <c r="G3256">
        <v>16</v>
      </c>
      <c r="H3256">
        <v>0.39</v>
      </c>
      <c r="I3256" t="s">
        <v>23</v>
      </c>
      <c r="J3256">
        <v>21</v>
      </c>
      <c r="K3256">
        <v>0</v>
      </c>
      <c r="L3256">
        <v>0</v>
      </c>
      <c r="M3256">
        <f>VLOOKUP(Table1[[#This Row],[subscription_type]],Plans!$A$1:$B$5,2,FALSE)</f>
        <v>0</v>
      </c>
      <c r="N3256">
        <f t="shared" si="50"/>
        <v>0</v>
      </c>
    </row>
    <row r="3257" spans="1:14" x14ac:dyDescent="0.35">
      <c r="A3257">
        <v>3256</v>
      </c>
      <c r="B3257" t="s">
        <v>16</v>
      </c>
      <c r="C3257">
        <v>17</v>
      </c>
      <c r="D3257" t="s">
        <v>17</v>
      </c>
      <c r="E3257" t="s">
        <v>14</v>
      </c>
      <c r="F3257">
        <v>227</v>
      </c>
      <c r="G3257">
        <v>66</v>
      </c>
      <c r="H3257">
        <v>0.34</v>
      </c>
      <c r="I3257" t="s">
        <v>19</v>
      </c>
      <c r="J3257">
        <v>44</v>
      </c>
      <c r="K3257">
        <v>0</v>
      </c>
      <c r="L3257">
        <v>1</v>
      </c>
      <c r="M3257">
        <f>VLOOKUP(Table1[[#This Row],[subscription_type]],Plans!$A$1:$B$5,2,FALSE)</f>
        <v>0</v>
      </c>
      <c r="N3257">
        <f t="shared" si="50"/>
        <v>0</v>
      </c>
    </row>
    <row r="3258" spans="1:14" x14ac:dyDescent="0.35">
      <c r="A3258">
        <v>3257</v>
      </c>
      <c r="B3258" t="s">
        <v>16</v>
      </c>
      <c r="C3258">
        <v>20</v>
      </c>
      <c r="D3258" t="s">
        <v>27</v>
      </c>
      <c r="E3258" t="s">
        <v>24</v>
      </c>
      <c r="F3258">
        <v>159</v>
      </c>
      <c r="G3258">
        <v>92</v>
      </c>
      <c r="H3258">
        <v>0.34</v>
      </c>
      <c r="I3258" t="s">
        <v>19</v>
      </c>
      <c r="J3258">
        <v>0</v>
      </c>
      <c r="K3258">
        <v>1</v>
      </c>
      <c r="L3258">
        <v>0</v>
      </c>
      <c r="M3258">
        <f>VLOOKUP(Table1[[#This Row],[subscription_type]],Plans!$A$1:$B$5,2,FALSE)</f>
        <v>4.99</v>
      </c>
      <c r="N3258">
        <f t="shared" si="50"/>
        <v>0</v>
      </c>
    </row>
    <row r="3259" spans="1:14" x14ac:dyDescent="0.35">
      <c r="A3259">
        <v>3258</v>
      </c>
      <c r="B3259" t="s">
        <v>16</v>
      </c>
      <c r="C3259">
        <v>25</v>
      </c>
      <c r="D3259" t="s">
        <v>26</v>
      </c>
      <c r="E3259" t="s">
        <v>14</v>
      </c>
      <c r="F3259">
        <v>276</v>
      </c>
      <c r="G3259">
        <v>9</v>
      </c>
      <c r="H3259">
        <v>0.59</v>
      </c>
      <c r="I3259" t="s">
        <v>19</v>
      </c>
      <c r="J3259">
        <v>37</v>
      </c>
      <c r="K3259">
        <v>0</v>
      </c>
      <c r="L3259">
        <v>0</v>
      </c>
      <c r="M3259">
        <f>VLOOKUP(Table1[[#This Row],[subscription_type]],Plans!$A$1:$B$5,2,FALSE)</f>
        <v>0</v>
      </c>
      <c r="N3259">
        <f t="shared" si="50"/>
        <v>0</v>
      </c>
    </row>
    <row r="3260" spans="1:14" x14ac:dyDescent="0.35">
      <c r="A3260">
        <v>3259</v>
      </c>
      <c r="B3260" t="s">
        <v>12</v>
      </c>
      <c r="C3260">
        <v>47</v>
      </c>
      <c r="D3260" t="s">
        <v>28</v>
      </c>
      <c r="E3260" t="s">
        <v>22</v>
      </c>
      <c r="F3260">
        <v>147</v>
      </c>
      <c r="G3260">
        <v>38</v>
      </c>
      <c r="H3260">
        <v>0.21</v>
      </c>
      <c r="I3260" t="s">
        <v>19</v>
      </c>
      <c r="J3260">
        <v>0</v>
      </c>
      <c r="K3260">
        <v>1</v>
      </c>
      <c r="L3260">
        <v>0</v>
      </c>
      <c r="M3260">
        <f>VLOOKUP(Table1[[#This Row],[subscription_type]],Plans!$A$1:$B$5,2,FALSE)</f>
        <v>9.99</v>
      </c>
      <c r="N3260">
        <f t="shared" si="50"/>
        <v>0</v>
      </c>
    </row>
    <row r="3261" spans="1:14" x14ac:dyDescent="0.35">
      <c r="A3261">
        <v>3260</v>
      </c>
      <c r="B3261" t="s">
        <v>20</v>
      </c>
      <c r="C3261">
        <v>47</v>
      </c>
      <c r="D3261" t="s">
        <v>17</v>
      </c>
      <c r="E3261" t="s">
        <v>22</v>
      </c>
      <c r="F3261">
        <v>111</v>
      </c>
      <c r="G3261">
        <v>63</v>
      </c>
      <c r="H3261">
        <v>0.22</v>
      </c>
      <c r="I3261" t="s">
        <v>15</v>
      </c>
      <c r="J3261">
        <v>0</v>
      </c>
      <c r="K3261">
        <v>1</v>
      </c>
      <c r="L3261">
        <v>1</v>
      </c>
      <c r="M3261">
        <f>VLOOKUP(Table1[[#This Row],[subscription_type]],Plans!$A$1:$B$5,2,FALSE)</f>
        <v>9.99</v>
      </c>
      <c r="N3261">
        <f t="shared" si="50"/>
        <v>9.99</v>
      </c>
    </row>
    <row r="3262" spans="1:14" x14ac:dyDescent="0.35">
      <c r="A3262">
        <v>3261</v>
      </c>
      <c r="B3262" t="s">
        <v>16</v>
      </c>
      <c r="C3262">
        <v>27</v>
      </c>
      <c r="D3262" t="s">
        <v>21</v>
      </c>
      <c r="E3262" t="s">
        <v>24</v>
      </c>
      <c r="F3262">
        <v>275</v>
      </c>
      <c r="G3262">
        <v>46</v>
      </c>
      <c r="H3262">
        <v>0.17</v>
      </c>
      <c r="I3262" t="s">
        <v>23</v>
      </c>
      <c r="J3262">
        <v>0</v>
      </c>
      <c r="K3262">
        <v>1</v>
      </c>
      <c r="L3262">
        <v>0</v>
      </c>
      <c r="M3262">
        <f>VLOOKUP(Table1[[#This Row],[subscription_type]],Plans!$A$1:$B$5,2,FALSE)</f>
        <v>4.99</v>
      </c>
      <c r="N3262">
        <f t="shared" si="50"/>
        <v>0</v>
      </c>
    </row>
    <row r="3263" spans="1:14" x14ac:dyDescent="0.35">
      <c r="A3263">
        <v>3262</v>
      </c>
      <c r="B3263" t="s">
        <v>20</v>
      </c>
      <c r="C3263">
        <v>50</v>
      </c>
      <c r="D3263" t="s">
        <v>17</v>
      </c>
      <c r="E3263" t="s">
        <v>24</v>
      </c>
      <c r="F3263">
        <v>19</v>
      </c>
      <c r="G3263">
        <v>72</v>
      </c>
      <c r="H3263">
        <v>0.51</v>
      </c>
      <c r="I3263" t="s">
        <v>23</v>
      </c>
      <c r="J3263">
        <v>0</v>
      </c>
      <c r="K3263">
        <v>1</v>
      </c>
      <c r="L3263">
        <v>1</v>
      </c>
      <c r="M3263">
        <f>VLOOKUP(Table1[[#This Row],[subscription_type]],Plans!$A$1:$B$5,2,FALSE)</f>
        <v>4.99</v>
      </c>
      <c r="N3263">
        <f t="shared" si="50"/>
        <v>4.99</v>
      </c>
    </row>
    <row r="3264" spans="1:14" x14ac:dyDescent="0.35">
      <c r="A3264">
        <v>3263</v>
      </c>
      <c r="B3264" t="s">
        <v>16</v>
      </c>
      <c r="C3264">
        <v>47</v>
      </c>
      <c r="D3264" t="s">
        <v>27</v>
      </c>
      <c r="E3264" t="s">
        <v>22</v>
      </c>
      <c r="F3264">
        <v>82</v>
      </c>
      <c r="G3264">
        <v>31</v>
      </c>
      <c r="H3264">
        <v>0.52</v>
      </c>
      <c r="I3264" t="s">
        <v>19</v>
      </c>
      <c r="J3264">
        <v>0</v>
      </c>
      <c r="K3264">
        <v>1</v>
      </c>
      <c r="L3264">
        <v>0</v>
      </c>
      <c r="M3264">
        <f>VLOOKUP(Table1[[#This Row],[subscription_type]],Plans!$A$1:$B$5,2,FALSE)</f>
        <v>9.99</v>
      </c>
      <c r="N3264">
        <f t="shared" si="50"/>
        <v>0</v>
      </c>
    </row>
    <row r="3265" spans="1:14" x14ac:dyDescent="0.35">
      <c r="A3265">
        <v>3264</v>
      </c>
      <c r="B3265" t="s">
        <v>20</v>
      </c>
      <c r="C3265">
        <v>31</v>
      </c>
      <c r="D3265" t="s">
        <v>28</v>
      </c>
      <c r="E3265" t="s">
        <v>24</v>
      </c>
      <c r="F3265">
        <v>294</v>
      </c>
      <c r="G3265">
        <v>86</v>
      </c>
      <c r="H3265">
        <v>0.25</v>
      </c>
      <c r="I3265" t="s">
        <v>15</v>
      </c>
      <c r="J3265">
        <v>0</v>
      </c>
      <c r="K3265">
        <v>1</v>
      </c>
      <c r="L3265">
        <v>0</v>
      </c>
      <c r="M3265">
        <f>VLOOKUP(Table1[[#This Row],[subscription_type]],Plans!$A$1:$B$5,2,FALSE)</f>
        <v>4.99</v>
      </c>
      <c r="N3265">
        <f t="shared" si="50"/>
        <v>0</v>
      </c>
    </row>
    <row r="3266" spans="1:14" x14ac:dyDescent="0.35">
      <c r="A3266">
        <v>3265</v>
      </c>
      <c r="B3266" t="s">
        <v>20</v>
      </c>
      <c r="C3266">
        <v>45</v>
      </c>
      <c r="D3266" t="s">
        <v>27</v>
      </c>
      <c r="E3266" t="s">
        <v>18</v>
      </c>
      <c r="F3266">
        <v>183</v>
      </c>
      <c r="G3266">
        <v>27</v>
      </c>
      <c r="H3266">
        <v>0.06</v>
      </c>
      <c r="I3266" t="s">
        <v>15</v>
      </c>
      <c r="J3266">
        <v>0</v>
      </c>
      <c r="K3266">
        <v>1</v>
      </c>
      <c r="L3266">
        <v>0</v>
      </c>
      <c r="M3266">
        <f>VLOOKUP(Table1[[#This Row],[subscription_type]],Plans!$A$1:$B$5,2,FALSE)</f>
        <v>14.99</v>
      </c>
      <c r="N3266">
        <f t="shared" ref="N3266:N3329" si="51">IF(L3266=1, M3266,0)</f>
        <v>0</v>
      </c>
    </row>
    <row r="3267" spans="1:14" x14ac:dyDescent="0.35">
      <c r="A3267">
        <v>3266</v>
      </c>
      <c r="B3267" t="s">
        <v>12</v>
      </c>
      <c r="C3267">
        <v>20</v>
      </c>
      <c r="D3267" t="s">
        <v>26</v>
      </c>
      <c r="E3267" t="s">
        <v>22</v>
      </c>
      <c r="F3267">
        <v>200</v>
      </c>
      <c r="G3267">
        <v>67</v>
      </c>
      <c r="H3267">
        <v>0.16</v>
      </c>
      <c r="I3267" t="s">
        <v>23</v>
      </c>
      <c r="J3267">
        <v>0</v>
      </c>
      <c r="K3267">
        <v>1</v>
      </c>
      <c r="L3267">
        <v>0</v>
      </c>
      <c r="M3267">
        <f>VLOOKUP(Table1[[#This Row],[subscription_type]],Plans!$A$1:$B$5,2,FALSE)</f>
        <v>9.99</v>
      </c>
      <c r="N3267">
        <f t="shared" si="51"/>
        <v>0</v>
      </c>
    </row>
    <row r="3268" spans="1:14" x14ac:dyDescent="0.35">
      <c r="A3268">
        <v>3267</v>
      </c>
      <c r="B3268" t="s">
        <v>16</v>
      </c>
      <c r="C3268">
        <v>47</v>
      </c>
      <c r="D3268" t="s">
        <v>26</v>
      </c>
      <c r="E3268" t="s">
        <v>18</v>
      </c>
      <c r="F3268">
        <v>234</v>
      </c>
      <c r="G3268">
        <v>10</v>
      </c>
      <c r="H3268">
        <v>0.47</v>
      </c>
      <c r="I3268" t="s">
        <v>19</v>
      </c>
      <c r="J3268">
        <v>0</v>
      </c>
      <c r="K3268">
        <v>1</v>
      </c>
      <c r="L3268">
        <v>0</v>
      </c>
      <c r="M3268">
        <f>VLOOKUP(Table1[[#This Row],[subscription_type]],Plans!$A$1:$B$5,2,FALSE)</f>
        <v>14.99</v>
      </c>
      <c r="N3268">
        <f t="shared" si="51"/>
        <v>0</v>
      </c>
    </row>
    <row r="3269" spans="1:14" x14ac:dyDescent="0.35">
      <c r="A3269">
        <v>3268</v>
      </c>
      <c r="B3269" t="s">
        <v>16</v>
      </c>
      <c r="C3269">
        <v>33</v>
      </c>
      <c r="D3269" t="s">
        <v>25</v>
      </c>
      <c r="E3269" t="s">
        <v>18</v>
      </c>
      <c r="F3269">
        <v>94</v>
      </c>
      <c r="G3269">
        <v>49</v>
      </c>
      <c r="H3269">
        <v>0.57999999999999996</v>
      </c>
      <c r="I3269" t="s">
        <v>23</v>
      </c>
      <c r="J3269">
        <v>0</v>
      </c>
      <c r="K3269">
        <v>1</v>
      </c>
      <c r="L3269">
        <v>0</v>
      </c>
      <c r="M3269">
        <f>VLOOKUP(Table1[[#This Row],[subscription_type]],Plans!$A$1:$B$5,2,FALSE)</f>
        <v>14.99</v>
      </c>
      <c r="N3269">
        <f t="shared" si="51"/>
        <v>0</v>
      </c>
    </row>
    <row r="3270" spans="1:14" x14ac:dyDescent="0.35">
      <c r="A3270">
        <v>3269</v>
      </c>
      <c r="B3270" t="s">
        <v>12</v>
      </c>
      <c r="C3270">
        <v>43</v>
      </c>
      <c r="D3270" t="s">
        <v>17</v>
      </c>
      <c r="E3270" t="s">
        <v>18</v>
      </c>
      <c r="F3270">
        <v>130</v>
      </c>
      <c r="G3270">
        <v>49</v>
      </c>
      <c r="H3270">
        <v>0.1</v>
      </c>
      <c r="I3270" t="s">
        <v>23</v>
      </c>
      <c r="J3270">
        <v>0</v>
      </c>
      <c r="K3270">
        <v>1</v>
      </c>
      <c r="L3270">
        <v>0</v>
      </c>
      <c r="M3270">
        <f>VLOOKUP(Table1[[#This Row],[subscription_type]],Plans!$A$1:$B$5,2,FALSE)</f>
        <v>14.99</v>
      </c>
      <c r="N3270">
        <f t="shared" si="51"/>
        <v>0</v>
      </c>
    </row>
    <row r="3271" spans="1:14" x14ac:dyDescent="0.35">
      <c r="A3271">
        <v>3270</v>
      </c>
      <c r="B3271" t="s">
        <v>12</v>
      </c>
      <c r="C3271">
        <v>30</v>
      </c>
      <c r="D3271" t="s">
        <v>27</v>
      </c>
      <c r="E3271" t="s">
        <v>14</v>
      </c>
      <c r="F3271">
        <v>41</v>
      </c>
      <c r="G3271">
        <v>11</v>
      </c>
      <c r="H3271">
        <v>0.59</v>
      </c>
      <c r="I3271" t="s">
        <v>23</v>
      </c>
      <c r="J3271">
        <v>5</v>
      </c>
      <c r="K3271">
        <v>0</v>
      </c>
      <c r="L3271">
        <v>1</v>
      </c>
      <c r="M3271">
        <f>VLOOKUP(Table1[[#This Row],[subscription_type]],Plans!$A$1:$B$5,2,FALSE)</f>
        <v>0</v>
      </c>
      <c r="N3271">
        <f t="shared" si="51"/>
        <v>0</v>
      </c>
    </row>
    <row r="3272" spans="1:14" x14ac:dyDescent="0.35">
      <c r="A3272">
        <v>3271</v>
      </c>
      <c r="B3272" t="s">
        <v>16</v>
      </c>
      <c r="C3272">
        <v>59</v>
      </c>
      <c r="D3272" t="s">
        <v>29</v>
      </c>
      <c r="E3272" t="s">
        <v>24</v>
      </c>
      <c r="F3272">
        <v>131</v>
      </c>
      <c r="G3272">
        <v>39</v>
      </c>
      <c r="H3272">
        <v>0.54</v>
      </c>
      <c r="I3272" t="s">
        <v>19</v>
      </c>
      <c r="J3272">
        <v>0</v>
      </c>
      <c r="K3272">
        <v>1</v>
      </c>
      <c r="L3272">
        <v>0</v>
      </c>
      <c r="M3272">
        <f>VLOOKUP(Table1[[#This Row],[subscription_type]],Plans!$A$1:$B$5,2,FALSE)</f>
        <v>4.99</v>
      </c>
      <c r="N3272">
        <f t="shared" si="51"/>
        <v>0</v>
      </c>
    </row>
    <row r="3273" spans="1:14" x14ac:dyDescent="0.35">
      <c r="A3273">
        <v>3272</v>
      </c>
      <c r="B3273" t="s">
        <v>12</v>
      </c>
      <c r="C3273">
        <v>50</v>
      </c>
      <c r="D3273" t="s">
        <v>29</v>
      </c>
      <c r="E3273" t="s">
        <v>24</v>
      </c>
      <c r="F3273">
        <v>231</v>
      </c>
      <c r="G3273">
        <v>90</v>
      </c>
      <c r="H3273">
        <v>0.06</v>
      </c>
      <c r="I3273" t="s">
        <v>23</v>
      </c>
      <c r="J3273">
        <v>0</v>
      </c>
      <c r="K3273">
        <v>1</v>
      </c>
      <c r="L3273">
        <v>0</v>
      </c>
      <c r="M3273">
        <f>VLOOKUP(Table1[[#This Row],[subscription_type]],Plans!$A$1:$B$5,2,FALSE)</f>
        <v>4.99</v>
      </c>
      <c r="N3273">
        <f t="shared" si="51"/>
        <v>0</v>
      </c>
    </row>
    <row r="3274" spans="1:14" x14ac:dyDescent="0.35">
      <c r="A3274">
        <v>3273</v>
      </c>
      <c r="B3274" t="s">
        <v>20</v>
      </c>
      <c r="C3274">
        <v>28</v>
      </c>
      <c r="D3274" t="s">
        <v>25</v>
      </c>
      <c r="E3274" t="s">
        <v>14</v>
      </c>
      <c r="F3274">
        <v>170</v>
      </c>
      <c r="G3274">
        <v>25</v>
      </c>
      <c r="H3274">
        <v>0.16</v>
      </c>
      <c r="I3274" t="s">
        <v>19</v>
      </c>
      <c r="J3274">
        <v>32</v>
      </c>
      <c r="K3274">
        <v>0</v>
      </c>
      <c r="L3274">
        <v>0</v>
      </c>
      <c r="M3274">
        <f>VLOOKUP(Table1[[#This Row],[subscription_type]],Plans!$A$1:$B$5,2,FALSE)</f>
        <v>0</v>
      </c>
      <c r="N3274">
        <f t="shared" si="51"/>
        <v>0</v>
      </c>
    </row>
    <row r="3275" spans="1:14" x14ac:dyDescent="0.35">
      <c r="A3275">
        <v>3274</v>
      </c>
      <c r="B3275" t="s">
        <v>16</v>
      </c>
      <c r="C3275">
        <v>47</v>
      </c>
      <c r="D3275" t="s">
        <v>26</v>
      </c>
      <c r="E3275" t="s">
        <v>18</v>
      </c>
      <c r="F3275">
        <v>22</v>
      </c>
      <c r="G3275">
        <v>30</v>
      </c>
      <c r="H3275">
        <v>0.17</v>
      </c>
      <c r="I3275" t="s">
        <v>23</v>
      </c>
      <c r="J3275">
        <v>0</v>
      </c>
      <c r="K3275">
        <v>1</v>
      </c>
      <c r="L3275">
        <v>0</v>
      </c>
      <c r="M3275">
        <f>VLOOKUP(Table1[[#This Row],[subscription_type]],Plans!$A$1:$B$5,2,FALSE)</f>
        <v>14.99</v>
      </c>
      <c r="N3275">
        <f t="shared" si="51"/>
        <v>0</v>
      </c>
    </row>
    <row r="3276" spans="1:14" x14ac:dyDescent="0.35">
      <c r="A3276">
        <v>3275</v>
      </c>
      <c r="B3276" t="s">
        <v>12</v>
      </c>
      <c r="C3276">
        <v>41</v>
      </c>
      <c r="D3276" t="s">
        <v>28</v>
      </c>
      <c r="E3276" t="s">
        <v>18</v>
      </c>
      <c r="F3276">
        <v>260</v>
      </c>
      <c r="G3276">
        <v>73</v>
      </c>
      <c r="H3276">
        <v>0.38</v>
      </c>
      <c r="I3276" t="s">
        <v>15</v>
      </c>
      <c r="J3276">
        <v>0</v>
      </c>
      <c r="K3276">
        <v>1</v>
      </c>
      <c r="L3276">
        <v>0</v>
      </c>
      <c r="M3276">
        <f>VLOOKUP(Table1[[#This Row],[subscription_type]],Plans!$A$1:$B$5,2,FALSE)</f>
        <v>14.99</v>
      </c>
      <c r="N3276">
        <f t="shared" si="51"/>
        <v>0</v>
      </c>
    </row>
    <row r="3277" spans="1:14" x14ac:dyDescent="0.35">
      <c r="A3277">
        <v>3276</v>
      </c>
      <c r="B3277" t="s">
        <v>16</v>
      </c>
      <c r="C3277">
        <v>56</v>
      </c>
      <c r="D3277" t="s">
        <v>29</v>
      </c>
      <c r="E3277" t="s">
        <v>24</v>
      </c>
      <c r="F3277">
        <v>74</v>
      </c>
      <c r="G3277">
        <v>65</v>
      </c>
      <c r="H3277">
        <v>0.51</v>
      </c>
      <c r="I3277" t="s">
        <v>23</v>
      </c>
      <c r="J3277">
        <v>0</v>
      </c>
      <c r="K3277">
        <v>1</v>
      </c>
      <c r="L3277">
        <v>1</v>
      </c>
      <c r="M3277">
        <f>VLOOKUP(Table1[[#This Row],[subscription_type]],Plans!$A$1:$B$5,2,FALSE)</f>
        <v>4.99</v>
      </c>
      <c r="N3277">
        <f t="shared" si="51"/>
        <v>4.99</v>
      </c>
    </row>
    <row r="3278" spans="1:14" x14ac:dyDescent="0.35">
      <c r="A3278">
        <v>3277</v>
      </c>
      <c r="B3278" t="s">
        <v>20</v>
      </c>
      <c r="C3278">
        <v>23</v>
      </c>
      <c r="D3278" t="s">
        <v>26</v>
      </c>
      <c r="E3278" t="s">
        <v>18</v>
      </c>
      <c r="F3278">
        <v>112</v>
      </c>
      <c r="G3278">
        <v>82</v>
      </c>
      <c r="H3278">
        <v>0</v>
      </c>
      <c r="I3278" t="s">
        <v>19</v>
      </c>
      <c r="J3278">
        <v>0</v>
      </c>
      <c r="K3278">
        <v>1</v>
      </c>
      <c r="L3278">
        <v>1</v>
      </c>
      <c r="M3278">
        <f>VLOOKUP(Table1[[#This Row],[subscription_type]],Plans!$A$1:$B$5,2,FALSE)</f>
        <v>14.99</v>
      </c>
      <c r="N3278">
        <f t="shared" si="51"/>
        <v>14.99</v>
      </c>
    </row>
    <row r="3279" spans="1:14" x14ac:dyDescent="0.35">
      <c r="A3279">
        <v>3278</v>
      </c>
      <c r="B3279" t="s">
        <v>12</v>
      </c>
      <c r="C3279">
        <v>58</v>
      </c>
      <c r="D3279" t="s">
        <v>29</v>
      </c>
      <c r="E3279" t="s">
        <v>24</v>
      </c>
      <c r="F3279">
        <v>91</v>
      </c>
      <c r="G3279">
        <v>17</v>
      </c>
      <c r="H3279">
        <v>0.1</v>
      </c>
      <c r="I3279" t="s">
        <v>15</v>
      </c>
      <c r="J3279">
        <v>0</v>
      </c>
      <c r="K3279">
        <v>1</v>
      </c>
      <c r="L3279">
        <v>0</v>
      </c>
      <c r="M3279">
        <f>VLOOKUP(Table1[[#This Row],[subscription_type]],Plans!$A$1:$B$5,2,FALSE)</f>
        <v>4.99</v>
      </c>
      <c r="N3279">
        <f t="shared" si="51"/>
        <v>0</v>
      </c>
    </row>
    <row r="3280" spans="1:14" x14ac:dyDescent="0.35">
      <c r="A3280">
        <v>3279</v>
      </c>
      <c r="B3280" t="s">
        <v>12</v>
      </c>
      <c r="C3280">
        <v>49</v>
      </c>
      <c r="D3280" t="s">
        <v>17</v>
      </c>
      <c r="E3280" t="s">
        <v>14</v>
      </c>
      <c r="F3280">
        <v>74</v>
      </c>
      <c r="G3280">
        <v>12</v>
      </c>
      <c r="H3280">
        <v>0.49</v>
      </c>
      <c r="I3280" t="s">
        <v>19</v>
      </c>
      <c r="J3280">
        <v>6</v>
      </c>
      <c r="K3280">
        <v>0</v>
      </c>
      <c r="L3280">
        <v>0</v>
      </c>
      <c r="M3280">
        <f>VLOOKUP(Table1[[#This Row],[subscription_type]],Plans!$A$1:$B$5,2,FALSE)</f>
        <v>0</v>
      </c>
      <c r="N3280">
        <f t="shared" si="51"/>
        <v>0</v>
      </c>
    </row>
    <row r="3281" spans="1:14" x14ac:dyDescent="0.35">
      <c r="A3281">
        <v>3280</v>
      </c>
      <c r="B3281" t="s">
        <v>20</v>
      </c>
      <c r="C3281">
        <v>43</v>
      </c>
      <c r="D3281" t="s">
        <v>29</v>
      </c>
      <c r="E3281" t="s">
        <v>22</v>
      </c>
      <c r="F3281">
        <v>33</v>
      </c>
      <c r="G3281">
        <v>9</v>
      </c>
      <c r="H3281">
        <v>0.45</v>
      </c>
      <c r="I3281" t="s">
        <v>19</v>
      </c>
      <c r="J3281">
        <v>0</v>
      </c>
      <c r="K3281">
        <v>1</v>
      </c>
      <c r="L3281">
        <v>0</v>
      </c>
      <c r="M3281">
        <f>VLOOKUP(Table1[[#This Row],[subscription_type]],Plans!$A$1:$B$5,2,FALSE)</f>
        <v>9.99</v>
      </c>
      <c r="N3281">
        <f t="shared" si="51"/>
        <v>0</v>
      </c>
    </row>
    <row r="3282" spans="1:14" x14ac:dyDescent="0.35">
      <c r="A3282">
        <v>3281</v>
      </c>
      <c r="B3282" t="s">
        <v>12</v>
      </c>
      <c r="C3282">
        <v>16</v>
      </c>
      <c r="D3282" t="s">
        <v>25</v>
      </c>
      <c r="E3282" t="s">
        <v>18</v>
      </c>
      <c r="F3282">
        <v>228</v>
      </c>
      <c r="G3282">
        <v>21</v>
      </c>
      <c r="H3282">
        <v>0.2</v>
      </c>
      <c r="I3282" t="s">
        <v>19</v>
      </c>
      <c r="J3282">
        <v>0</v>
      </c>
      <c r="K3282">
        <v>1</v>
      </c>
      <c r="L3282">
        <v>0</v>
      </c>
      <c r="M3282">
        <f>VLOOKUP(Table1[[#This Row],[subscription_type]],Plans!$A$1:$B$5,2,FALSE)</f>
        <v>14.99</v>
      </c>
      <c r="N3282">
        <f t="shared" si="51"/>
        <v>0</v>
      </c>
    </row>
    <row r="3283" spans="1:14" x14ac:dyDescent="0.35">
      <c r="A3283">
        <v>3282</v>
      </c>
      <c r="B3283" t="s">
        <v>16</v>
      </c>
      <c r="C3283">
        <v>59</v>
      </c>
      <c r="D3283" t="s">
        <v>13</v>
      </c>
      <c r="E3283" t="s">
        <v>18</v>
      </c>
      <c r="F3283">
        <v>162</v>
      </c>
      <c r="G3283">
        <v>7</v>
      </c>
      <c r="H3283">
        <v>0.47</v>
      </c>
      <c r="I3283" t="s">
        <v>15</v>
      </c>
      <c r="J3283">
        <v>0</v>
      </c>
      <c r="K3283">
        <v>1</v>
      </c>
      <c r="L3283">
        <v>1</v>
      </c>
      <c r="M3283">
        <f>VLOOKUP(Table1[[#This Row],[subscription_type]],Plans!$A$1:$B$5,2,FALSE)</f>
        <v>14.99</v>
      </c>
      <c r="N3283">
        <f t="shared" si="51"/>
        <v>14.99</v>
      </c>
    </row>
    <row r="3284" spans="1:14" x14ac:dyDescent="0.35">
      <c r="A3284">
        <v>3283</v>
      </c>
      <c r="B3284" t="s">
        <v>16</v>
      </c>
      <c r="C3284">
        <v>22</v>
      </c>
      <c r="D3284" t="s">
        <v>13</v>
      </c>
      <c r="E3284" t="s">
        <v>24</v>
      </c>
      <c r="F3284">
        <v>192</v>
      </c>
      <c r="G3284">
        <v>30</v>
      </c>
      <c r="H3284">
        <v>0.28999999999999998</v>
      </c>
      <c r="I3284" t="s">
        <v>23</v>
      </c>
      <c r="J3284">
        <v>0</v>
      </c>
      <c r="K3284">
        <v>1</v>
      </c>
      <c r="L3284">
        <v>0</v>
      </c>
      <c r="M3284">
        <f>VLOOKUP(Table1[[#This Row],[subscription_type]],Plans!$A$1:$B$5,2,FALSE)</f>
        <v>4.99</v>
      </c>
      <c r="N3284">
        <f t="shared" si="51"/>
        <v>0</v>
      </c>
    </row>
    <row r="3285" spans="1:14" x14ac:dyDescent="0.35">
      <c r="A3285">
        <v>3284</v>
      </c>
      <c r="B3285" t="s">
        <v>20</v>
      </c>
      <c r="C3285">
        <v>40</v>
      </c>
      <c r="D3285" t="s">
        <v>25</v>
      </c>
      <c r="E3285" t="s">
        <v>14</v>
      </c>
      <c r="F3285">
        <v>14</v>
      </c>
      <c r="G3285">
        <v>55</v>
      </c>
      <c r="H3285">
        <v>0.11</v>
      </c>
      <c r="I3285" t="s">
        <v>15</v>
      </c>
      <c r="J3285">
        <v>24</v>
      </c>
      <c r="K3285">
        <v>0</v>
      </c>
      <c r="L3285">
        <v>0</v>
      </c>
      <c r="M3285">
        <f>VLOOKUP(Table1[[#This Row],[subscription_type]],Plans!$A$1:$B$5,2,FALSE)</f>
        <v>0</v>
      </c>
      <c r="N3285">
        <f t="shared" si="51"/>
        <v>0</v>
      </c>
    </row>
    <row r="3286" spans="1:14" x14ac:dyDescent="0.35">
      <c r="A3286">
        <v>3285</v>
      </c>
      <c r="B3286" t="s">
        <v>12</v>
      </c>
      <c r="C3286">
        <v>24</v>
      </c>
      <c r="D3286" t="s">
        <v>27</v>
      </c>
      <c r="E3286" t="s">
        <v>24</v>
      </c>
      <c r="F3286">
        <v>198</v>
      </c>
      <c r="G3286">
        <v>81</v>
      </c>
      <c r="H3286">
        <v>0.44</v>
      </c>
      <c r="I3286" t="s">
        <v>19</v>
      </c>
      <c r="J3286">
        <v>0</v>
      </c>
      <c r="K3286">
        <v>1</v>
      </c>
      <c r="L3286">
        <v>1</v>
      </c>
      <c r="M3286">
        <f>VLOOKUP(Table1[[#This Row],[subscription_type]],Plans!$A$1:$B$5,2,FALSE)</f>
        <v>4.99</v>
      </c>
      <c r="N3286">
        <f t="shared" si="51"/>
        <v>4.99</v>
      </c>
    </row>
    <row r="3287" spans="1:14" x14ac:dyDescent="0.35">
      <c r="A3287">
        <v>3286</v>
      </c>
      <c r="B3287" t="s">
        <v>12</v>
      </c>
      <c r="C3287">
        <v>35</v>
      </c>
      <c r="D3287" t="s">
        <v>28</v>
      </c>
      <c r="E3287" t="s">
        <v>22</v>
      </c>
      <c r="F3287">
        <v>259</v>
      </c>
      <c r="G3287">
        <v>47</v>
      </c>
      <c r="H3287">
        <v>0.05</v>
      </c>
      <c r="I3287" t="s">
        <v>19</v>
      </c>
      <c r="J3287">
        <v>0</v>
      </c>
      <c r="K3287">
        <v>1</v>
      </c>
      <c r="L3287">
        <v>0</v>
      </c>
      <c r="M3287">
        <f>VLOOKUP(Table1[[#This Row],[subscription_type]],Plans!$A$1:$B$5,2,FALSE)</f>
        <v>9.99</v>
      </c>
      <c r="N3287">
        <f t="shared" si="51"/>
        <v>0</v>
      </c>
    </row>
    <row r="3288" spans="1:14" x14ac:dyDescent="0.35">
      <c r="A3288">
        <v>3287</v>
      </c>
      <c r="B3288" t="s">
        <v>12</v>
      </c>
      <c r="C3288">
        <v>24</v>
      </c>
      <c r="D3288" t="s">
        <v>29</v>
      </c>
      <c r="E3288" t="s">
        <v>18</v>
      </c>
      <c r="F3288">
        <v>204</v>
      </c>
      <c r="G3288">
        <v>68</v>
      </c>
      <c r="H3288">
        <v>0.48</v>
      </c>
      <c r="I3288" t="s">
        <v>23</v>
      </c>
      <c r="J3288">
        <v>0</v>
      </c>
      <c r="K3288">
        <v>1</v>
      </c>
      <c r="L3288">
        <v>1</v>
      </c>
      <c r="M3288">
        <f>VLOOKUP(Table1[[#This Row],[subscription_type]],Plans!$A$1:$B$5,2,FALSE)</f>
        <v>14.99</v>
      </c>
      <c r="N3288">
        <f t="shared" si="51"/>
        <v>14.99</v>
      </c>
    </row>
    <row r="3289" spans="1:14" x14ac:dyDescent="0.35">
      <c r="A3289">
        <v>3288</v>
      </c>
      <c r="B3289" t="s">
        <v>16</v>
      </c>
      <c r="C3289">
        <v>41</v>
      </c>
      <c r="D3289" t="s">
        <v>27</v>
      </c>
      <c r="E3289" t="s">
        <v>18</v>
      </c>
      <c r="F3289">
        <v>291</v>
      </c>
      <c r="G3289">
        <v>70</v>
      </c>
      <c r="H3289">
        <v>0.44</v>
      </c>
      <c r="I3289" t="s">
        <v>23</v>
      </c>
      <c r="J3289">
        <v>0</v>
      </c>
      <c r="K3289">
        <v>1</v>
      </c>
      <c r="L3289">
        <v>1</v>
      </c>
      <c r="M3289">
        <f>VLOOKUP(Table1[[#This Row],[subscription_type]],Plans!$A$1:$B$5,2,FALSE)</f>
        <v>14.99</v>
      </c>
      <c r="N3289">
        <f t="shared" si="51"/>
        <v>14.99</v>
      </c>
    </row>
    <row r="3290" spans="1:14" x14ac:dyDescent="0.35">
      <c r="A3290">
        <v>3289</v>
      </c>
      <c r="B3290" t="s">
        <v>12</v>
      </c>
      <c r="C3290">
        <v>39</v>
      </c>
      <c r="D3290" t="s">
        <v>27</v>
      </c>
      <c r="E3290" t="s">
        <v>24</v>
      </c>
      <c r="F3290">
        <v>132</v>
      </c>
      <c r="G3290">
        <v>57</v>
      </c>
      <c r="H3290">
        <v>0.5</v>
      </c>
      <c r="I3290" t="s">
        <v>19</v>
      </c>
      <c r="J3290">
        <v>0</v>
      </c>
      <c r="K3290">
        <v>1</v>
      </c>
      <c r="L3290">
        <v>1</v>
      </c>
      <c r="M3290">
        <f>VLOOKUP(Table1[[#This Row],[subscription_type]],Plans!$A$1:$B$5,2,FALSE)</f>
        <v>4.99</v>
      </c>
      <c r="N3290">
        <f t="shared" si="51"/>
        <v>4.99</v>
      </c>
    </row>
    <row r="3291" spans="1:14" x14ac:dyDescent="0.35">
      <c r="A3291">
        <v>3290</v>
      </c>
      <c r="B3291" t="s">
        <v>20</v>
      </c>
      <c r="C3291">
        <v>21</v>
      </c>
      <c r="D3291" t="s">
        <v>28</v>
      </c>
      <c r="E3291" t="s">
        <v>18</v>
      </c>
      <c r="F3291">
        <v>58</v>
      </c>
      <c r="G3291">
        <v>59</v>
      </c>
      <c r="H3291">
        <v>0.42</v>
      </c>
      <c r="I3291" t="s">
        <v>15</v>
      </c>
      <c r="J3291">
        <v>0</v>
      </c>
      <c r="K3291">
        <v>1</v>
      </c>
      <c r="L3291">
        <v>1</v>
      </c>
      <c r="M3291">
        <f>VLOOKUP(Table1[[#This Row],[subscription_type]],Plans!$A$1:$B$5,2,FALSE)</f>
        <v>14.99</v>
      </c>
      <c r="N3291">
        <f t="shared" si="51"/>
        <v>14.99</v>
      </c>
    </row>
    <row r="3292" spans="1:14" x14ac:dyDescent="0.35">
      <c r="A3292">
        <v>3291</v>
      </c>
      <c r="B3292" t="s">
        <v>16</v>
      </c>
      <c r="C3292">
        <v>37</v>
      </c>
      <c r="D3292" t="s">
        <v>13</v>
      </c>
      <c r="E3292" t="s">
        <v>18</v>
      </c>
      <c r="F3292">
        <v>271</v>
      </c>
      <c r="G3292">
        <v>8</v>
      </c>
      <c r="H3292">
        <v>0.59</v>
      </c>
      <c r="I3292" t="s">
        <v>19</v>
      </c>
      <c r="J3292">
        <v>0</v>
      </c>
      <c r="K3292">
        <v>1</v>
      </c>
      <c r="L3292">
        <v>1</v>
      </c>
      <c r="M3292">
        <f>VLOOKUP(Table1[[#This Row],[subscription_type]],Plans!$A$1:$B$5,2,FALSE)</f>
        <v>14.99</v>
      </c>
      <c r="N3292">
        <f t="shared" si="51"/>
        <v>14.99</v>
      </c>
    </row>
    <row r="3293" spans="1:14" x14ac:dyDescent="0.35">
      <c r="A3293">
        <v>3292</v>
      </c>
      <c r="B3293" t="s">
        <v>20</v>
      </c>
      <c r="C3293">
        <v>51</v>
      </c>
      <c r="D3293" t="s">
        <v>29</v>
      </c>
      <c r="E3293" t="s">
        <v>24</v>
      </c>
      <c r="F3293">
        <v>11</v>
      </c>
      <c r="G3293">
        <v>58</v>
      </c>
      <c r="H3293">
        <v>0.38</v>
      </c>
      <c r="I3293" t="s">
        <v>15</v>
      </c>
      <c r="J3293">
        <v>0</v>
      </c>
      <c r="K3293">
        <v>1</v>
      </c>
      <c r="L3293">
        <v>0</v>
      </c>
      <c r="M3293">
        <f>VLOOKUP(Table1[[#This Row],[subscription_type]],Plans!$A$1:$B$5,2,FALSE)</f>
        <v>4.99</v>
      </c>
      <c r="N3293">
        <f t="shared" si="51"/>
        <v>0</v>
      </c>
    </row>
    <row r="3294" spans="1:14" x14ac:dyDescent="0.35">
      <c r="A3294">
        <v>3293</v>
      </c>
      <c r="B3294" t="s">
        <v>12</v>
      </c>
      <c r="C3294">
        <v>16</v>
      </c>
      <c r="D3294" t="s">
        <v>28</v>
      </c>
      <c r="E3294" t="s">
        <v>14</v>
      </c>
      <c r="F3294">
        <v>212</v>
      </c>
      <c r="G3294">
        <v>67</v>
      </c>
      <c r="H3294">
        <v>0.38</v>
      </c>
      <c r="I3294" t="s">
        <v>15</v>
      </c>
      <c r="J3294">
        <v>18</v>
      </c>
      <c r="K3294">
        <v>0</v>
      </c>
      <c r="L3294">
        <v>0</v>
      </c>
      <c r="M3294">
        <f>VLOOKUP(Table1[[#This Row],[subscription_type]],Plans!$A$1:$B$5,2,FALSE)</f>
        <v>0</v>
      </c>
      <c r="N3294">
        <f t="shared" si="51"/>
        <v>0</v>
      </c>
    </row>
    <row r="3295" spans="1:14" x14ac:dyDescent="0.35">
      <c r="A3295">
        <v>3294</v>
      </c>
      <c r="B3295" t="s">
        <v>16</v>
      </c>
      <c r="C3295">
        <v>50</v>
      </c>
      <c r="D3295" t="s">
        <v>13</v>
      </c>
      <c r="E3295" t="s">
        <v>22</v>
      </c>
      <c r="F3295">
        <v>272</v>
      </c>
      <c r="G3295">
        <v>1</v>
      </c>
      <c r="H3295">
        <v>0.16</v>
      </c>
      <c r="I3295" t="s">
        <v>15</v>
      </c>
      <c r="J3295">
        <v>0</v>
      </c>
      <c r="K3295">
        <v>1</v>
      </c>
      <c r="L3295">
        <v>1</v>
      </c>
      <c r="M3295">
        <f>VLOOKUP(Table1[[#This Row],[subscription_type]],Plans!$A$1:$B$5,2,FALSE)</f>
        <v>9.99</v>
      </c>
      <c r="N3295">
        <f t="shared" si="51"/>
        <v>9.99</v>
      </c>
    </row>
    <row r="3296" spans="1:14" x14ac:dyDescent="0.35">
      <c r="A3296">
        <v>3295</v>
      </c>
      <c r="B3296" t="s">
        <v>20</v>
      </c>
      <c r="C3296">
        <v>42</v>
      </c>
      <c r="D3296" t="s">
        <v>26</v>
      </c>
      <c r="E3296" t="s">
        <v>14</v>
      </c>
      <c r="F3296">
        <v>86</v>
      </c>
      <c r="G3296">
        <v>4</v>
      </c>
      <c r="H3296">
        <v>0.2</v>
      </c>
      <c r="I3296" t="s">
        <v>15</v>
      </c>
      <c r="J3296">
        <v>29</v>
      </c>
      <c r="K3296">
        <v>0</v>
      </c>
      <c r="L3296">
        <v>0</v>
      </c>
      <c r="M3296">
        <f>VLOOKUP(Table1[[#This Row],[subscription_type]],Plans!$A$1:$B$5,2,FALSE)</f>
        <v>0</v>
      </c>
      <c r="N3296">
        <f t="shared" si="51"/>
        <v>0</v>
      </c>
    </row>
    <row r="3297" spans="1:14" x14ac:dyDescent="0.35">
      <c r="A3297">
        <v>3296</v>
      </c>
      <c r="B3297" t="s">
        <v>12</v>
      </c>
      <c r="C3297">
        <v>21</v>
      </c>
      <c r="D3297" t="s">
        <v>27</v>
      </c>
      <c r="E3297" t="s">
        <v>24</v>
      </c>
      <c r="F3297">
        <v>103</v>
      </c>
      <c r="G3297">
        <v>87</v>
      </c>
      <c r="H3297">
        <v>0.38</v>
      </c>
      <c r="I3297" t="s">
        <v>23</v>
      </c>
      <c r="J3297">
        <v>0</v>
      </c>
      <c r="K3297">
        <v>1</v>
      </c>
      <c r="L3297">
        <v>0</v>
      </c>
      <c r="M3297">
        <f>VLOOKUP(Table1[[#This Row],[subscription_type]],Plans!$A$1:$B$5,2,FALSE)</f>
        <v>4.99</v>
      </c>
      <c r="N3297">
        <f t="shared" si="51"/>
        <v>0</v>
      </c>
    </row>
    <row r="3298" spans="1:14" x14ac:dyDescent="0.35">
      <c r="A3298">
        <v>3297</v>
      </c>
      <c r="B3298" t="s">
        <v>16</v>
      </c>
      <c r="C3298">
        <v>41</v>
      </c>
      <c r="D3298" t="s">
        <v>27</v>
      </c>
      <c r="E3298" t="s">
        <v>24</v>
      </c>
      <c r="F3298">
        <v>33</v>
      </c>
      <c r="G3298">
        <v>60</v>
      </c>
      <c r="H3298">
        <v>0.24</v>
      </c>
      <c r="I3298" t="s">
        <v>19</v>
      </c>
      <c r="J3298">
        <v>0</v>
      </c>
      <c r="K3298">
        <v>1</v>
      </c>
      <c r="L3298">
        <v>0</v>
      </c>
      <c r="M3298">
        <f>VLOOKUP(Table1[[#This Row],[subscription_type]],Plans!$A$1:$B$5,2,FALSE)</f>
        <v>4.99</v>
      </c>
      <c r="N3298">
        <f t="shared" si="51"/>
        <v>0</v>
      </c>
    </row>
    <row r="3299" spans="1:14" x14ac:dyDescent="0.35">
      <c r="A3299">
        <v>3298</v>
      </c>
      <c r="B3299" t="s">
        <v>12</v>
      </c>
      <c r="C3299">
        <v>21</v>
      </c>
      <c r="D3299" t="s">
        <v>25</v>
      </c>
      <c r="E3299" t="s">
        <v>24</v>
      </c>
      <c r="F3299">
        <v>190</v>
      </c>
      <c r="G3299">
        <v>8</v>
      </c>
      <c r="H3299">
        <v>0.36</v>
      </c>
      <c r="I3299" t="s">
        <v>15</v>
      </c>
      <c r="J3299">
        <v>0</v>
      </c>
      <c r="K3299">
        <v>1</v>
      </c>
      <c r="L3299">
        <v>0</v>
      </c>
      <c r="M3299">
        <f>VLOOKUP(Table1[[#This Row],[subscription_type]],Plans!$A$1:$B$5,2,FALSE)</f>
        <v>4.99</v>
      </c>
      <c r="N3299">
        <f t="shared" si="51"/>
        <v>0</v>
      </c>
    </row>
    <row r="3300" spans="1:14" x14ac:dyDescent="0.35">
      <c r="A3300">
        <v>3299</v>
      </c>
      <c r="B3300" t="s">
        <v>16</v>
      </c>
      <c r="C3300">
        <v>58</v>
      </c>
      <c r="D3300" t="s">
        <v>28</v>
      </c>
      <c r="E3300" t="s">
        <v>18</v>
      </c>
      <c r="F3300">
        <v>266</v>
      </c>
      <c r="G3300">
        <v>52</v>
      </c>
      <c r="H3300">
        <v>0.56999999999999995</v>
      </c>
      <c r="I3300" t="s">
        <v>19</v>
      </c>
      <c r="J3300">
        <v>0</v>
      </c>
      <c r="K3300">
        <v>1</v>
      </c>
      <c r="L3300">
        <v>0</v>
      </c>
      <c r="M3300">
        <f>VLOOKUP(Table1[[#This Row],[subscription_type]],Plans!$A$1:$B$5,2,FALSE)</f>
        <v>14.99</v>
      </c>
      <c r="N3300">
        <f t="shared" si="51"/>
        <v>0</v>
      </c>
    </row>
    <row r="3301" spans="1:14" x14ac:dyDescent="0.35">
      <c r="A3301">
        <v>3300</v>
      </c>
      <c r="B3301" t="s">
        <v>12</v>
      </c>
      <c r="C3301">
        <v>39</v>
      </c>
      <c r="D3301" t="s">
        <v>28</v>
      </c>
      <c r="E3301" t="s">
        <v>14</v>
      </c>
      <c r="F3301">
        <v>232</v>
      </c>
      <c r="G3301">
        <v>45</v>
      </c>
      <c r="H3301">
        <v>0.22</v>
      </c>
      <c r="I3301" t="s">
        <v>19</v>
      </c>
      <c r="J3301">
        <v>12</v>
      </c>
      <c r="K3301">
        <v>0</v>
      </c>
      <c r="L3301">
        <v>1</v>
      </c>
      <c r="M3301">
        <f>VLOOKUP(Table1[[#This Row],[subscription_type]],Plans!$A$1:$B$5,2,FALSE)</f>
        <v>0</v>
      </c>
      <c r="N3301">
        <f t="shared" si="51"/>
        <v>0</v>
      </c>
    </row>
    <row r="3302" spans="1:14" x14ac:dyDescent="0.35">
      <c r="A3302">
        <v>3301</v>
      </c>
      <c r="B3302" t="s">
        <v>16</v>
      </c>
      <c r="C3302">
        <v>42</v>
      </c>
      <c r="D3302" t="s">
        <v>21</v>
      </c>
      <c r="E3302" t="s">
        <v>24</v>
      </c>
      <c r="F3302">
        <v>24</v>
      </c>
      <c r="G3302">
        <v>70</v>
      </c>
      <c r="H3302">
        <v>0.17</v>
      </c>
      <c r="I3302" t="s">
        <v>23</v>
      </c>
      <c r="J3302">
        <v>0</v>
      </c>
      <c r="K3302">
        <v>1</v>
      </c>
      <c r="L3302">
        <v>0</v>
      </c>
      <c r="M3302">
        <f>VLOOKUP(Table1[[#This Row],[subscription_type]],Plans!$A$1:$B$5,2,FALSE)</f>
        <v>4.99</v>
      </c>
      <c r="N3302">
        <f t="shared" si="51"/>
        <v>0</v>
      </c>
    </row>
    <row r="3303" spans="1:14" x14ac:dyDescent="0.35">
      <c r="A3303">
        <v>3302</v>
      </c>
      <c r="B3303" t="s">
        <v>20</v>
      </c>
      <c r="C3303">
        <v>21</v>
      </c>
      <c r="D3303" t="s">
        <v>13</v>
      </c>
      <c r="E3303" t="s">
        <v>24</v>
      </c>
      <c r="F3303">
        <v>242</v>
      </c>
      <c r="G3303">
        <v>18</v>
      </c>
      <c r="H3303">
        <v>0.12</v>
      </c>
      <c r="I3303" t="s">
        <v>15</v>
      </c>
      <c r="J3303">
        <v>0</v>
      </c>
      <c r="K3303">
        <v>1</v>
      </c>
      <c r="L3303">
        <v>0</v>
      </c>
      <c r="M3303">
        <f>VLOOKUP(Table1[[#This Row],[subscription_type]],Plans!$A$1:$B$5,2,FALSE)</f>
        <v>4.99</v>
      </c>
      <c r="N3303">
        <f t="shared" si="51"/>
        <v>0</v>
      </c>
    </row>
    <row r="3304" spans="1:14" x14ac:dyDescent="0.35">
      <c r="A3304">
        <v>3303</v>
      </c>
      <c r="B3304" t="s">
        <v>20</v>
      </c>
      <c r="C3304">
        <v>44</v>
      </c>
      <c r="D3304" t="s">
        <v>29</v>
      </c>
      <c r="E3304" t="s">
        <v>14</v>
      </c>
      <c r="F3304">
        <v>274</v>
      </c>
      <c r="G3304">
        <v>29</v>
      </c>
      <c r="H3304">
        <v>0.14000000000000001</v>
      </c>
      <c r="I3304" t="s">
        <v>15</v>
      </c>
      <c r="J3304">
        <v>17</v>
      </c>
      <c r="K3304">
        <v>0</v>
      </c>
      <c r="L3304">
        <v>0</v>
      </c>
      <c r="M3304">
        <f>VLOOKUP(Table1[[#This Row],[subscription_type]],Plans!$A$1:$B$5,2,FALSE)</f>
        <v>0</v>
      </c>
      <c r="N3304">
        <f t="shared" si="51"/>
        <v>0</v>
      </c>
    </row>
    <row r="3305" spans="1:14" x14ac:dyDescent="0.35">
      <c r="A3305">
        <v>3304</v>
      </c>
      <c r="B3305" t="s">
        <v>12</v>
      </c>
      <c r="C3305">
        <v>54</v>
      </c>
      <c r="D3305" t="s">
        <v>27</v>
      </c>
      <c r="E3305" t="s">
        <v>14</v>
      </c>
      <c r="F3305">
        <v>20</v>
      </c>
      <c r="G3305">
        <v>50</v>
      </c>
      <c r="H3305">
        <v>0.31</v>
      </c>
      <c r="I3305" t="s">
        <v>23</v>
      </c>
      <c r="J3305">
        <v>15</v>
      </c>
      <c r="K3305">
        <v>0</v>
      </c>
      <c r="L3305">
        <v>1</v>
      </c>
      <c r="M3305">
        <f>VLOOKUP(Table1[[#This Row],[subscription_type]],Plans!$A$1:$B$5,2,FALSE)</f>
        <v>0</v>
      </c>
      <c r="N3305">
        <f t="shared" si="51"/>
        <v>0</v>
      </c>
    </row>
    <row r="3306" spans="1:14" x14ac:dyDescent="0.35">
      <c r="A3306">
        <v>3305</v>
      </c>
      <c r="B3306" t="s">
        <v>12</v>
      </c>
      <c r="C3306">
        <v>19</v>
      </c>
      <c r="D3306" t="s">
        <v>27</v>
      </c>
      <c r="E3306" t="s">
        <v>24</v>
      </c>
      <c r="F3306">
        <v>128</v>
      </c>
      <c r="G3306">
        <v>56</v>
      </c>
      <c r="H3306">
        <v>0.26</v>
      </c>
      <c r="I3306" t="s">
        <v>19</v>
      </c>
      <c r="J3306">
        <v>0</v>
      </c>
      <c r="K3306">
        <v>1</v>
      </c>
      <c r="L3306">
        <v>0</v>
      </c>
      <c r="M3306">
        <f>VLOOKUP(Table1[[#This Row],[subscription_type]],Plans!$A$1:$B$5,2,FALSE)</f>
        <v>4.99</v>
      </c>
      <c r="N3306">
        <f t="shared" si="51"/>
        <v>0</v>
      </c>
    </row>
    <row r="3307" spans="1:14" x14ac:dyDescent="0.35">
      <c r="A3307">
        <v>3306</v>
      </c>
      <c r="B3307" t="s">
        <v>12</v>
      </c>
      <c r="C3307">
        <v>44</v>
      </c>
      <c r="D3307" t="s">
        <v>21</v>
      </c>
      <c r="E3307" t="s">
        <v>14</v>
      </c>
      <c r="F3307">
        <v>77</v>
      </c>
      <c r="G3307">
        <v>39</v>
      </c>
      <c r="H3307">
        <v>0.53</v>
      </c>
      <c r="I3307" t="s">
        <v>19</v>
      </c>
      <c r="J3307">
        <v>18</v>
      </c>
      <c r="K3307">
        <v>0</v>
      </c>
      <c r="L3307">
        <v>1</v>
      </c>
      <c r="M3307">
        <f>VLOOKUP(Table1[[#This Row],[subscription_type]],Plans!$A$1:$B$5,2,FALSE)</f>
        <v>0</v>
      </c>
      <c r="N3307">
        <f t="shared" si="51"/>
        <v>0</v>
      </c>
    </row>
    <row r="3308" spans="1:14" x14ac:dyDescent="0.35">
      <c r="A3308">
        <v>3307</v>
      </c>
      <c r="B3308" t="s">
        <v>20</v>
      </c>
      <c r="C3308">
        <v>42</v>
      </c>
      <c r="D3308" t="s">
        <v>13</v>
      </c>
      <c r="E3308" t="s">
        <v>24</v>
      </c>
      <c r="F3308">
        <v>245</v>
      </c>
      <c r="G3308">
        <v>81</v>
      </c>
      <c r="H3308">
        <v>0.46</v>
      </c>
      <c r="I3308" t="s">
        <v>23</v>
      </c>
      <c r="J3308">
        <v>0</v>
      </c>
      <c r="K3308">
        <v>1</v>
      </c>
      <c r="L3308">
        <v>1</v>
      </c>
      <c r="M3308">
        <f>VLOOKUP(Table1[[#This Row],[subscription_type]],Plans!$A$1:$B$5,2,FALSE)</f>
        <v>4.99</v>
      </c>
      <c r="N3308">
        <f t="shared" si="51"/>
        <v>4.99</v>
      </c>
    </row>
    <row r="3309" spans="1:14" x14ac:dyDescent="0.35">
      <c r="A3309">
        <v>3308</v>
      </c>
      <c r="B3309" t="s">
        <v>16</v>
      </c>
      <c r="C3309">
        <v>52</v>
      </c>
      <c r="D3309" t="s">
        <v>29</v>
      </c>
      <c r="E3309" t="s">
        <v>22</v>
      </c>
      <c r="F3309">
        <v>269</v>
      </c>
      <c r="G3309">
        <v>53</v>
      </c>
      <c r="H3309">
        <v>7.0000000000000007E-2</v>
      </c>
      <c r="I3309" t="s">
        <v>15</v>
      </c>
      <c r="J3309">
        <v>0</v>
      </c>
      <c r="K3309">
        <v>1</v>
      </c>
      <c r="L3309">
        <v>0</v>
      </c>
      <c r="M3309">
        <f>VLOOKUP(Table1[[#This Row],[subscription_type]],Plans!$A$1:$B$5,2,FALSE)</f>
        <v>9.99</v>
      </c>
      <c r="N3309">
        <f t="shared" si="51"/>
        <v>0</v>
      </c>
    </row>
    <row r="3310" spans="1:14" x14ac:dyDescent="0.35">
      <c r="A3310">
        <v>3309</v>
      </c>
      <c r="B3310" t="s">
        <v>20</v>
      </c>
      <c r="C3310">
        <v>49</v>
      </c>
      <c r="D3310" t="s">
        <v>29</v>
      </c>
      <c r="E3310" t="s">
        <v>24</v>
      </c>
      <c r="F3310">
        <v>256</v>
      </c>
      <c r="G3310">
        <v>96</v>
      </c>
      <c r="H3310">
        <v>0.16</v>
      </c>
      <c r="I3310" t="s">
        <v>15</v>
      </c>
      <c r="J3310">
        <v>0</v>
      </c>
      <c r="K3310">
        <v>1</v>
      </c>
      <c r="L3310">
        <v>0</v>
      </c>
      <c r="M3310">
        <f>VLOOKUP(Table1[[#This Row],[subscription_type]],Plans!$A$1:$B$5,2,FALSE)</f>
        <v>4.99</v>
      </c>
      <c r="N3310">
        <f t="shared" si="51"/>
        <v>0</v>
      </c>
    </row>
    <row r="3311" spans="1:14" x14ac:dyDescent="0.35">
      <c r="A3311">
        <v>3310</v>
      </c>
      <c r="B3311" t="s">
        <v>12</v>
      </c>
      <c r="C3311">
        <v>41</v>
      </c>
      <c r="D3311" t="s">
        <v>17</v>
      </c>
      <c r="E3311" t="s">
        <v>24</v>
      </c>
      <c r="F3311">
        <v>229</v>
      </c>
      <c r="G3311">
        <v>79</v>
      </c>
      <c r="H3311">
        <v>0.53</v>
      </c>
      <c r="I3311" t="s">
        <v>15</v>
      </c>
      <c r="J3311">
        <v>0</v>
      </c>
      <c r="K3311">
        <v>1</v>
      </c>
      <c r="L3311">
        <v>1</v>
      </c>
      <c r="M3311">
        <f>VLOOKUP(Table1[[#This Row],[subscription_type]],Plans!$A$1:$B$5,2,FALSE)</f>
        <v>4.99</v>
      </c>
      <c r="N3311">
        <f t="shared" si="51"/>
        <v>4.99</v>
      </c>
    </row>
    <row r="3312" spans="1:14" x14ac:dyDescent="0.35">
      <c r="A3312">
        <v>3311</v>
      </c>
      <c r="B3312" t="s">
        <v>16</v>
      </c>
      <c r="C3312">
        <v>58</v>
      </c>
      <c r="D3312" t="s">
        <v>27</v>
      </c>
      <c r="E3312" t="s">
        <v>14</v>
      </c>
      <c r="F3312">
        <v>113</v>
      </c>
      <c r="G3312">
        <v>62</v>
      </c>
      <c r="H3312">
        <v>0.48</v>
      </c>
      <c r="I3312" t="s">
        <v>19</v>
      </c>
      <c r="J3312">
        <v>31</v>
      </c>
      <c r="K3312">
        <v>0</v>
      </c>
      <c r="L3312">
        <v>0</v>
      </c>
      <c r="M3312">
        <f>VLOOKUP(Table1[[#This Row],[subscription_type]],Plans!$A$1:$B$5,2,FALSE)</f>
        <v>0</v>
      </c>
      <c r="N3312">
        <f t="shared" si="51"/>
        <v>0</v>
      </c>
    </row>
    <row r="3313" spans="1:14" x14ac:dyDescent="0.35">
      <c r="A3313">
        <v>3312</v>
      </c>
      <c r="B3313" t="s">
        <v>12</v>
      </c>
      <c r="C3313">
        <v>33</v>
      </c>
      <c r="D3313" t="s">
        <v>17</v>
      </c>
      <c r="E3313" t="s">
        <v>22</v>
      </c>
      <c r="F3313">
        <v>253</v>
      </c>
      <c r="G3313">
        <v>98</v>
      </c>
      <c r="H3313">
        <v>0.22</v>
      </c>
      <c r="I3313" t="s">
        <v>23</v>
      </c>
      <c r="J3313">
        <v>0</v>
      </c>
      <c r="K3313">
        <v>1</v>
      </c>
      <c r="L3313">
        <v>0</v>
      </c>
      <c r="M3313">
        <f>VLOOKUP(Table1[[#This Row],[subscription_type]],Plans!$A$1:$B$5,2,FALSE)</f>
        <v>9.99</v>
      </c>
      <c r="N3313">
        <f t="shared" si="51"/>
        <v>0</v>
      </c>
    </row>
    <row r="3314" spans="1:14" x14ac:dyDescent="0.35">
      <c r="A3314">
        <v>3313</v>
      </c>
      <c r="B3314" t="s">
        <v>16</v>
      </c>
      <c r="C3314">
        <v>57</v>
      </c>
      <c r="D3314" t="s">
        <v>26</v>
      </c>
      <c r="E3314" t="s">
        <v>24</v>
      </c>
      <c r="F3314">
        <v>72</v>
      </c>
      <c r="G3314">
        <v>42</v>
      </c>
      <c r="H3314">
        <v>0.39</v>
      </c>
      <c r="I3314" t="s">
        <v>19</v>
      </c>
      <c r="J3314">
        <v>0</v>
      </c>
      <c r="K3314">
        <v>1</v>
      </c>
      <c r="L3314">
        <v>0</v>
      </c>
      <c r="M3314">
        <f>VLOOKUP(Table1[[#This Row],[subscription_type]],Plans!$A$1:$B$5,2,FALSE)</f>
        <v>4.99</v>
      </c>
      <c r="N3314">
        <f t="shared" si="51"/>
        <v>0</v>
      </c>
    </row>
    <row r="3315" spans="1:14" x14ac:dyDescent="0.35">
      <c r="A3315">
        <v>3314</v>
      </c>
      <c r="B3315" t="s">
        <v>20</v>
      </c>
      <c r="C3315">
        <v>40</v>
      </c>
      <c r="D3315" t="s">
        <v>25</v>
      </c>
      <c r="E3315" t="s">
        <v>18</v>
      </c>
      <c r="F3315">
        <v>84</v>
      </c>
      <c r="G3315">
        <v>86</v>
      </c>
      <c r="H3315">
        <v>0.31</v>
      </c>
      <c r="I3315" t="s">
        <v>19</v>
      </c>
      <c r="J3315">
        <v>0</v>
      </c>
      <c r="K3315">
        <v>1</v>
      </c>
      <c r="L3315">
        <v>1</v>
      </c>
      <c r="M3315">
        <f>VLOOKUP(Table1[[#This Row],[subscription_type]],Plans!$A$1:$B$5,2,FALSE)</f>
        <v>14.99</v>
      </c>
      <c r="N3315">
        <f t="shared" si="51"/>
        <v>14.99</v>
      </c>
    </row>
    <row r="3316" spans="1:14" x14ac:dyDescent="0.35">
      <c r="A3316">
        <v>3315</v>
      </c>
      <c r="B3316" t="s">
        <v>20</v>
      </c>
      <c r="C3316">
        <v>37</v>
      </c>
      <c r="D3316" t="s">
        <v>27</v>
      </c>
      <c r="E3316" t="s">
        <v>18</v>
      </c>
      <c r="F3316">
        <v>212</v>
      </c>
      <c r="G3316">
        <v>92</v>
      </c>
      <c r="H3316">
        <v>0.56000000000000005</v>
      </c>
      <c r="I3316" t="s">
        <v>15</v>
      </c>
      <c r="J3316">
        <v>0</v>
      </c>
      <c r="K3316">
        <v>1</v>
      </c>
      <c r="L3316">
        <v>0</v>
      </c>
      <c r="M3316">
        <f>VLOOKUP(Table1[[#This Row],[subscription_type]],Plans!$A$1:$B$5,2,FALSE)</f>
        <v>14.99</v>
      </c>
      <c r="N3316">
        <f t="shared" si="51"/>
        <v>0</v>
      </c>
    </row>
    <row r="3317" spans="1:14" x14ac:dyDescent="0.35">
      <c r="A3317">
        <v>3316</v>
      </c>
      <c r="B3317" t="s">
        <v>12</v>
      </c>
      <c r="C3317">
        <v>21</v>
      </c>
      <c r="D3317" t="s">
        <v>21</v>
      </c>
      <c r="E3317" t="s">
        <v>22</v>
      </c>
      <c r="F3317">
        <v>151</v>
      </c>
      <c r="G3317">
        <v>66</v>
      </c>
      <c r="H3317">
        <v>0.51</v>
      </c>
      <c r="I3317" t="s">
        <v>15</v>
      </c>
      <c r="J3317">
        <v>0</v>
      </c>
      <c r="K3317">
        <v>1</v>
      </c>
      <c r="L3317">
        <v>0</v>
      </c>
      <c r="M3317">
        <f>VLOOKUP(Table1[[#This Row],[subscription_type]],Plans!$A$1:$B$5,2,FALSE)</f>
        <v>9.99</v>
      </c>
      <c r="N3317">
        <f t="shared" si="51"/>
        <v>0</v>
      </c>
    </row>
    <row r="3318" spans="1:14" x14ac:dyDescent="0.35">
      <c r="A3318">
        <v>3317</v>
      </c>
      <c r="B3318" t="s">
        <v>16</v>
      </c>
      <c r="C3318">
        <v>49</v>
      </c>
      <c r="D3318" t="s">
        <v>28</v>
      </c>
      <c r="E3318" t="s">
        <v>18</v>
      </c>
      <c r="F3318">
        <v>155</v>
      </c>
      <c r="G3318">
        <v>13</v>
      </c>
      <c r="H3318">
        <v>0.32</v>
      </c>
      <c r="I3318" t="s">
        <v>15</v>
      </c>
      <c r="J3318">
        <v>0</v>
      </c>
      <c r="K3318">
        <v>1</v>
      </c>
      <c r="L3318">
        <v>1</v>
      </c>
      <c r="M3318">
        <f>VLOOKUP(Table1[[#This Row],[subscription_type]],Plans!$A$1:$B$5,2,FALSE)</f>
        <v>14.99</v>
      </c>
      <c r="N3318">
        <f t="shared" si="51"/>
        <v>14.99</v>
      </c>
    </row>
    <row r="3319" spans="1:14" x14ac:dyDescent="0.35">
      <c r="A3319">
        <v>3318</v>
      </c>
      <c r="B3319" t="s">
        <v>20</v>
      </c>
      <c r="C3319">
        <v>33</v>
      </c>
      <c r="D3319" t="s">
        <v>25</v>
      </c>
      <c r="E3319" t="s">
        <v>24</v>
      </c>
      <c r="F3319">
        <v>278</v>
      </c>
      <c r="G3319">
        <v>70</v>
      </c>
      <c r="H3319">
        <v>0.24</v>
      </c>
      <c r="I3319" t="s">
        <v>19</v>
      </c>
      <c r="J3319">
        <v>0</v>
      </c>
      <c r="K3319">
        <v>1</v>
      </c>
      <c r="L3319">
        <v>0</v>
      </c>
      <c r="M3319">
        <f>VLOOKUP(Table1[[#This Row],[subscription_type]],Plans!$A$1:$B$5,2,FALSE)</f>
        <v>4.99</v>
      </c>
      <c r="N3319">
        <f t="shared" si="51"/>
        <v>0</v>
      </c>
    </row>
    <row r="3320" spans="1:14" x14ac:dyDescent="0.35">
      <c r="A3320">
        <v>3319</v>
      </c>
      <c r="B3320" t="s">
        <v>20</v>
      </c>
      <c r="C3320">
        <v>33</v>
      </c>
      <c r="D3320" t="s">
        <v>26</v>
      </c>
      <c r="E3320" t="s">
        <v>14</v>
      </c>
      <c r="F3320">
        <v>45</v>
      </c>
      <c r="G3320">
        <v>64</v>
      </c>
      <c r="H3320">
        <v>0.12</v>
      </c>
      <c r="I3320" t="s">
        <v>15</v>
      </c>
      <c r="J3320">
        <v>39</v>
      </c>
      <c r="K3320">
        <v>0</v>
      </c>
      <c r="L3320">
        <v>0</v>
      </c>
      <c r="M3320">
        <f>VLOOKUP(Table1[[#This Row],[subscription_type]],Plans!$A$1:$B$5,2,FALSE)</f>
        <v>0</v>
      </c>
      <c r="N3320">
        <f t="shared" si="51"/>
        <v>0</v>
      </c>
    </row>
    <row r="3321" spans="1:14" x14ac:dyDescent="0.35">
      <c r="A3321">
        <v>3320</v>
      </c>
      <c r="B3321" t="s">
        <v>16</v>
      </c>
      <c r="C3321">
        <v>28</v>
      </c>
      <c r="D3321" t="s">
        <v>21</v>
      </c>
      <c r="E3321" t="s">
        <v>18</v>
      </c>
      <c r="F3321">
        <v>72</v>
      </c>
      <c r="G3321">
        <v>57</v>
      </c>
      <c r="H3321">
        <v>0.54</v>
      </c>
      <c r="I3321" t="s">
        <v>23</v>
      </c>
      <c r="J3321">
        <v>0</v>
      </c>
      <c r="K3321">
        <v>1</v>
      </c>
      <c r="L3321">
        <v>0</v>
      </c>
      <c r="M3321">
        <f>VLOOKUP(Table1[[#This Row],[subscription_type]],Plans!$A$1:$B$5,2,FALSE)</f>
        <v>14.99</v>
      </c>
      <c r="N3321">
        <f t="shared" si="51"/>
        <v>0</v>
      </c>
    </row>
    <row r="3322" spans="1:14" x14ac:dyDescent="0.35">
      <c r="A3322">
        <v>3321</v>
      </c>
      <c r="B3322" t="s">
        <v>20</v>
      </c>
      <c r="C3322">
        <v>53</v>
      </c>
      <c r="D3322" t="s">
        <v>29</v>
      </c>
      <c r="E3322" t="s">
        <v>18</v>
      </c>
      <c r="F3322">
        <v>136</v>
      </c>
      <c r="G3322">
        <v>85</v>
      </c>
      <c r="H3322">
        <v>0.4</v>
      </c>
      <c r="I3322" t="s">
        <v>23</v>
      </c>
      <c r="J3322">
        <v>0</v>
      </c>
      <c r="K3322">
        <v>1</v>
      </c>
      <c r="L3322">
        <v>0</v>
      </c>
      <c r="M3322">
        <f>VLOOKUP(Table1[[#This Row],[subscription_type]],Plans!$A$1:$B$5,2,FALSE)</f>
        <v>14.99</v>
      </c>
      <c r="N3322">
        <f t="shared" si="51"/>
        <v>0</v>
      </c>
    </row>
    <row r="3323" spans="1:14" x14ac:dyDescent="0.35">
      <c r="A3323">
        <v>3322</v>
      </c>
      <c r="B3323" t="s">
        <v>20</v>
      </c>
      <c r="C3323">
        <v>40</v>
      </c>
      <c r="D3323" t="s">
        <v>17</v>
      </c>
      <c r="E3323" t="s">
        <v>22</v>
      </c>
      <c r="F3323">
        <v>197</v>
      </c>
      <c r="G3323">
        <v>18</v>
      </c>
      <c r="H3323">
        <v>0.08</v>
      </c>
      <c r="I3323" t="s">
        <v>23</v>
      </c>
      <c r="J3323">
        <v>0</v>
      </c>
      <c r="K3323">
        <v>1</v>
      </c>
      <c r="L3323">
        <v>0</v>
      </c>
      <c r="M3323">
        <f>VLOOKUP(Table1[[#This Row],[subscription_type]],Plans!$A$1:$B$5,2,FALSE)</f>
        <v>9.99</v>
      </c>
      <c r="N3323">
        <f t="shared" si="51"/>
        <v>0</v>
      </c>
    </row>
    <row r="3324" spans="1:14" x14ac:dyDescent="0.35">
      <c r="A3324">
        <v>3323</v>
      </c>
      <c r="B3324" t="s">
        <v>16</v>
      </c>
      <c r="C3324">
        <v>33</v>
      </c>
      <c r="D3324" t="s">
        <v>27</v>
      </c>
      <c r="E3324" t="s">
        <v>24</v>
      </c>
      <c r="F3324">
        <v>298</v>
      </c>
      <c r="G3324">
        <v>7</v>
      </c>
      <c r="H3324">
        <v>0.28000000000000003</v>
      </c>
      <c r="I3324" t="s">
        <v>19</v>
      </c>
      <c r="J3324">
        <v>0</v>
      </c>
      <c r="K3324">
        <v>1</v>
      </c>
      <c r="L3324">
        <v>1</v>
      </c>
      <c r="M3324">
        <f>VLOOKUP(Table1[[#This Row],[subscription_type]],Plans!$A$1:$B$5,2,FALSE)</f>
        <v>4.99</v>
      </c>
      <c r="N3324">
        <f t="shared" si="51"/>
        <v>4.99</v>
      </c>
    </row>
    <row r="3325" spans="1:14" x14ac:dyDescent="0.35">
      <c r="A3325">
        <v>3324</v>
      </c>
      <c r="B3325" t="s">
        <v>12</v>
      </c>
      <c r="C3325">
        <v>45</v>
      </c>
      <c r="D3325" t="s">
        <v>26</v>
      </c>
      <c r="E3325" t="s">
        <v>18</v>
      </c>
      <c r="F3325">
        <v>214</v>
      </c>
      <c r="G3325">
        <v>72</v>
      </c>
      <c r="H3325">
        <v>0.18</v>
      </c>
      <c r="I3325" t="s">
        <v>15</v>
      </c>
      <c r="J3325">
        <v>0</v>
      </c>
      <c r="K3325">
        <v>1</v>
      </c>
      <c r="L3325">
        <v>0</v>
      </c>
      <c r="M3325">
        <f>VLOOKUP(Table1[[#This Row],[subscription_type]],Plans!$A$1:$B$5,2,FALSE)</f>
        <v>14.99</v>
      </c>
      <c r="N3325">
        <f t="shared" si="51"/>
        <v>0</v>
      </c>
    </row>
    <row r="3326" spans="1:14" x14ac:dyDescent="0.35">
      <c r="A3326">
        <v>3325</v>
      </c>
      <c r="B3326" t="s">
        <v>16</v>
      </c>
      <c r="C3326">
        <v>24</v>
      </c>
      <c r="D3326" t="s">
        <v>13</v>
      </c>
      <c r="E3326" t="s">
        <v>14</v>
      </c>
      <c r="F3326">
        <v>150</v>
      </c>
      <c r="G3326">
        <v>53</v>
      </c>
      <c r="H3326">
        <v>0.21</v>
      </c>
      <c r="I3326" t="s">
        <v>19</v>
      </c>
      <c r="J3326">
        <v>44</v>
      </c>
      <c r="K3326">
        <v>0</v>
      </c>
      <c r="L3326">
        <v>0</v>
      </c>
      <c r="M3326">
        <f>VLOOKUP(Table1[[#This Row],[subscription_type]],Plans!$A$1:$B$5,2,FALSE)</f>
        <v>0</v>
      </c>
      <c r="N3326">
        <f t="shared" si="51"/>
        <v>0</v>
      </c>
    </row>
    <row r="3327" spans="1:14" x14ac:dyDescent="0.35">
      <c r="A3327">
        <v>3326</v>
      </c>
      <c r="B3327" t="s">
        <v>12</v>
      </c>
      <c r="C3327">
        <v>26</v>
      </c>
      <c r="D3327" t="s">
        <v>26</v>
      </c>
      <c r="E3327" t="s">
        <v>22</v>
      </c>
      <c r="F3327">
        <v>194</v>
      </c>
      <c r="G3327">
        <v>64</v>
      </c>
      <c r="H3327">
        <v>0.09</v>
      </c>
      <c r="I3327" t="s">
        <v>23</v>
      </c>
      <c r="J3327">
        <v>0</v>
      </c>
      <c r="K3327">
        <v>1</v>
      </c>
      <c r="L3327">
        <v>0</v>
      </c>
      <c r="M3327">
        <f>VLOOKUP(Table1[[#This Row],[subscription_type]],Plans!$A$1:$B$5,2,FALSE)</f>
        <v>9.99</v>
      </c>
      <c r="N3327">
        <f t="shared" si="51"/>
        <v>0</v>
      </c>
    </row>
    <row r="3328" spans="1:14" x14ac:dyDescent="0.35">
      <c r="A3328">
        <v>3327</v>
      </c>
      <c r="B3328" t="s">
        <v>20</v>
      </c>
      <c r="C3328">
        <v>49</v>
      </c>
      <c r="D3328" t="s">
        <v>26</v>
      </c>
      <c r="E3328" t="s">
        <v>18</v>
      </c>
      <c r="F3328">
        <v>234</v>
      </c>
      <c r="G3328">
        <v>58</v>
      </c>
      <c r="H3328">
        <v>0.4</v>
      </c>
      <c r="I3328" t="s">
        <v>19</v>
      </c>
      <c r="J3328">
        <v>0</v>
      </c>
      <c r="K3328">
        <v>1</v>
      </c>
      <c r="L3328">
        <v>0</v>
      </c>
      <c r="M3328">
        <f>VLOOKUP(Table1[[#This Row],[subscription_type]],Plans!$A$1:$B$5,2,FALSE)</f>
        <v>14.99</v>
      </c>
      <c r="N3328">
        <f t="shared" si="51"/>
        <v>0</v>
      </c>
    </row>
    <row r="3329" spans="1:14" x14ac:dyDescent="0.35">
      <c r="A3329">
        <v>3328</v>
      </c>
      <c r="B3329" t="s">
        <v>12</v>
      </c>
      <c r="C3329">
        <v>47</v>
      </c>
      <c r="D3329" t="s">
        <v>27</v>
      </c>
      <c r="E3329" t="s">
        <v>24</v>
      </c>
      <c r="F3329">
        <v>25</v>
      </c>
      <c r="G3329">
        <v>60</v>
      </c>
      <c r="H3329">
        <v>0.23</v>
      </c>
      <c r="I3329" t="s">
        <v>15</v>
      </c>
      <c r="J3329">
        <v>0</v>
      </c>
      <c r="K3329">
        <v>1</v>
      </c>
      <c r="L3329">
        <v>0</v>
      </c>
      <c r="M3329">
        <f>VLOOKUP(Table1[[#This Row],[subscription_type]],Plans!$A$1:$B$5,2,FALSE)</f>
        <v>4.99</v>
      </c>
      <c r="N3329">
        <f t="shared" si="51"/>
        <v>0</v>
      </c>
    </row>
    <row r="3330" spans="1:14" x14ac:dyDescent="0.35">
      <c r="A3330">
        <v>3329</v>
      </c>
      <c r="B3330" t="s">
        <v>16</v>
      </c>
      <c r="C3330">
        <v>22</v>
      </c>
      <c r="D3330" t="s">
        <v>29</v>
      </c>
      <c r="E3330" t="s">
        <v>14</v>
      </c>
      <c r="F3330">
        <v>217</v>
      </c>
      <c r="G3330">
        <v>74</v>
      </c>
      <c r="H3330">
        <v>0.55000000000000004</v>
      </c>
      <c r="I3330" t="s">
        <v>23</v>
      </c>
      <c r="J3330">
        <v>13</v>
      </c>
      <c r="K3330">
        <v>0</v>
      </c>
      <c r="L3330">
        <v>0</v>
      </c>
      <c r="M3330">
        <f>VLOOKUP(Table1[[#This Row],[subscription_type]],Plans!$A$1:$B$5,2,FALSE)</f>
        <v>0</v>
      </c>
      <c r="N3330">
        <f t="shared" ref="N3330:N3393" si="52">IF(L3330=1, M3330,0)</f>
        <v>0</v>
      </c>
    </row>
    <row r="3331" spans="1:14" x14ac:dyDescent="0.35">
      <c r="A3331">
        <v>3330</v>
      </c>
      <c r="B3331" t="s">
        <v>12</v>
      </c>
      <c r="C3331">
        <v>57</v>
      </c>
      <c r="D3331" t="s">
        <v>28</v>
      </c>
      <c r="E3331" t="s">
        <v>14</v>
      </c>
      <c r="F3331">
        <v>75</v>
      </c>
      <c r="G3331">
        <v>62</v>
      </c>
      <c r="H3331">
        <v>0.49</v>
      </c>
      <c r="I3331" t="s">
        <v>23</v>
      </c>
      <c r="J3331">
        <v>44</v>
      </c>
      <c r="K3331">
        <v>0</v>
      </c>
      <c r="L3331">
        <v>0</v>
      </c>
      <c r="M3331">
        <f>VLOOKUP(Table1[[#This Row],[subscription_type]],Plans!$A$1:$B$5,2,FALSE)</f>
        <v>0</v>
      </c>
      <c r="N3331">
        <f t="shared" si="52"/>
        <v>0</v>
      </c>
    </row>
    <row r="3332" spans="1:14" x14ac:dyDescent="0.35">
      <c r="A3332">
        <v>3331</v>
      </c>
      <c r="B3332" t="s">
        <v>20</v>
      </c>
      <c r="C3332">
        <v>42</v>
      </c>
      <c r="D3332" t="s">
        <v>25</v>
      </c>
      <c r="E3332" t="s">
        <v>14</v>
      </c>
      <c r="F3332">
        <v>204</v>
      </c>
      <c r="G3332">
        <v>32</v>
      </c>
      <c r="H3332">
        <v>0.05</v>
      </c>
      <c r="I3332" t="s">
        <v>19</v>
      </c>
      <c r="J3332">
        <v>36</v>
      </c>
      <c r="K3332">
        <v>0</v>
      </c>
      <c r="L3332">
        <v>1</v>
      </c>
      <c r="M3332">
        <f>VLOOKUP(Table1[[#This Row],[subscription_type]],Plans!$A$1:$B$5,2,FALSE)</f>
        <v>0</v>
      </c>
      <c r="N3332">
        <f t="shared" si="52"/>
        <v>0</v>
      </c>
    </row>
    <row r="3333" spans="1:14" x14ac:dyDescent="0.35">
      <c r="A3333">
        <v>3332</v>
      </c>
      <c r="B3333" t="s">
        <v>16</v>
      </c>
      <c r="C3333">
        <v>55</v>
      </c>
      <c r="D3333" t="s">
        <v>27</v>
      </c>
      <c r="E3333" t="s">
        <v>24</v>
      </c>
      <c r="F3333">
        <v>33</v>
      </c>
      <c r="G3333">
        <v>99</v>
      </c>
      <c r="H3333">
        <v>0.48</v>
      </c>
      <c r="I3333" t="s">
        <v>15</v>
      </c>
      <c r="J3333">
        <v>0</v>
      </c>
      <c r="K3333">
        <v>1</v>
      </c>
      <c r="L3333">
        <v>1</v>
      </c>
      <c r="M3333">
        <f>VLOOKUP(Table1[[#This Row],[subscription_type]],Plans!$A$1:$B$5,2,FALSE)</f>
        <v>4.99</v>
      </c>
      <c r="N3333">
        <f t="shared" si="52"/>
        <v>4.99</v>
      </c>
    </row>
    <row r="3334" spans="1:14" x14ac:dyDescent="0.35">
      <c r="A3334">
        <v>3333</v>
      </c>
      <c r="B3334" t="s">
        <v>20</v>
      </c>
      <c r="C3334">
        <v>53</v>
      </c>
      <c r="D3334" t="s">
        <v>28</v>
      </c>
      <c r="E3334" t="s">
        <v>24</v>
      </c>
      <c r="F3334">
        <v>299</v>
      </c>
      <c r="G3334">
        <v>71</v>
      </c>
      <c r="H3334">
        <v>0.03</v>
      </c>
      <c r="I3334" t="s">
        <v>15</v>
      </c>
      <c r="J3334">
        <v>0</v>
      </c>
      <c r="K3334">
        <v>1</v>
      </c>
      <c r="L3334">
        <v>0</v>
      </c>
      <c r="M3334">
        <f>VLOOKUP(Table1[[#This Row],[subscription_type]],Plans!$A$1:$B$5,2,FALSE)</f>
        <v>4.99</v>
      </c>
      <c r="N3334">
        <f t="shared" si="52"/>
        <v>0</v>
      </c>
    </row>
    <row r="3335" spans="1:14" x14ac:dyDescent="0.35">
      <c r="A3335">
        <v>3334</v>
      </c>
      <c r="B3335" t="s">
        <v>20</v>
      </c>
      <c r="C3335">
        <v>21</v>
      </c>
      <c r="D3335" t="s">
        <v>26</v>
      </c>
      <c r="E3335" t="s">
        <v>14</v>
      </c>
      <c r="F3335">
        <v>183</v>
      </c>
      <c r="G3335">
        <v>51</v>
      </c>
      <c r="H3335">
        <v>0.55000000000000004</v>
      </c>
      <c r="I3335" t="s">
        <v>15</v>
      </c>
      <c r="J3335">
        <v>21</v>
      </c>
      <c r="K3335">
        <v>0</v>
      </c>
      <c r="L3335">
        <v>0</v>
      </c>
      <c r="M3335">
        <f>VLOOKUP(Table1[[#This Row],[subscription_type]],Plans!$A$1:$B$5,2,FALSE)</f>
        <v>0</v>
      </c>
      <c r="N3335">
        <f t="shared" si="52"/>
        <v>0</v>
      </c>
    </row>
    <row r="3336" spans="1:14" x14ac:dyDescent="0.35">
      <c r="A3336">
        <v>3335</v>
      </c>
      <c r="B3336" t="s">
        <v>12</v>
      </c>
      <c r="C3336">
        <v>51</v>
      </c>
      <c r="D3336" t="s">
        <v>13</v>
      </c>
      <c r="E3336" t="s">
        <v>22</v>
      </c>
      <c r="F3336">
        <v>225</v>
      </c>
      <c r="G3336">
        <v>38</v>
      </c>
      <c r="H3336">
        <v>0.22</v>
      </c>
      <c r="I3336" t="s">
        <v>15</v>
      </c>
      <c r="J3336">
        <v>0</v>
      </c>
      <c r="K3336">
        <v>1</v>
      </c>
      <c r="L3336">
        <v>0</v>
      </c>
      <c r="M3336">
        <f>VLOOKUP(Table1[[#This Row],[subscription_type]],Plans!$A$1:$B$5,2,FALSE)</f>
        <v>9.99</v>
      </c>
      <c r="N3336">
        <f t="shared" si="52"/>
        <v>0</v>
      </c>
    </row>
    <row r="3337" spans="1:14" x14ac:dyDescent="0.35">
      <c r="A3337">
        <v>3336</v>
      </c>
      <c r="B3337" t="s">
        <v>16</v>
      </c>
      <c r="C3337">
        <v>40</v>
      </c>
      <c r="D3337" t="s">
        <v>27</v>
      </c>
      <c r="E3337" t="s">
        <v>24</v>
      </c>
      <c r="F3337">
        <v>297</v>
      </c>
      <c r="G3337">
        <v>85</v>
      </c>
      <c r="H3337">
        <v>0.38</v>
      </c>
      <c r="I3337" t="s">
        <v>23</v>
      </c>
      <c r="J3337">
        <v>0</v>
      </c>
      <c r="K3337">
        <v>1</v>
      </c>
      <c r="L3337">
        <v>1</v>
      </c>
      <c r="M3337">
        <f>VLOOKUP(Table1[[#This Row],[subscription_type]],Plans!$A$1:$B$5,2,FALSE)</f>
        <v>4.99</v>
      </c>
      <c r="N3337">
        <f t="shared" si="52"/>
        <v>4.99</v>
      </c>
    </row>
    <row r="3338" spans="1:14" x14ac:dyDescent="0.35">
      <c r="A3338">
        <v>3337</v>
      </c>
      <c r="B3338" t="s">
        <v>12</v>
      </c>
      <c r="C3338">
        <v>30</v>
      </c>
      <c r="D3338" t="s">
        <v>28</v>
      </c>
      <c r="E3338" t="s">
        <v>22</v>
      </c>
      <c r="F3338">
        <v>101</v>
      </c>
      <c r="G3338">
        <v>35</v>
      </c>
      <c r="H3338">
        <v>0.41</v>
      </c>
      <c r="I3338" t="s">
        <v>15</v>
      </c>
      <c r="J3338">
        <v>0</v>
      </c>
      <c r="K3338">
        <v>1</v>
      </c>
      <c r="L3338">
        <v>0</v>
      </c>
      <c r="M3338">
        <f>VLOOKUP(Table1[[#This Row],[subscription_type]],Plans!$A$1:$B$5,2,FALSE)</f>
        <v>9.99</v>
      </c>
      <c r="N3338">
        <f t="shared" si="52"/>
        <v>0</v>
      </c>
    </row>
    <row r="3339" spans="1:14" x14ac:dyDescent="0.35">
      <c r="A3339">
        <v>3338</v>
      </c>
      <c r="B3339" t="s">
        <v>16</v>
      </c>
      <c r="C3339">
        <v>17</v>
      </c>
      <c r="D3339" t="s">
        <v>25</v>
      </c>
      <c r="E3339" t="s">
        <v>22</v>
      </c>
      <c r="F3339">
        <v>93</v>
      </c>
      <c r="G3339">
        <v>49</v>
      </c>
      <c r="H3339">
        <v>0.54</v>
      </c>
      <c r="I3339" t="s">
        <v>19</v>
      </c>
      <c r="J3339">
        <v>0</v>
      </c>
      <c r="K3339">
        <v>1</v>
      </c>
      <c r="L3339">
        <v>1</v>
      </c>
      <c r="M3339">
        <f>VLOOKUP(Table1[[#This Row],[subscription_type]],Plans!$A$1:$B$5,2,FALSE)</f>
        <v>9.99</v>
      </c>
      <c r="N3339">
        <f t="shared" si="52"/>
        <v>9.99</v>
      </c>
    </row>
    <row r="3340" spans="1:14" x14ac:dyDescent="0.35">
      <c r="A3340">
        <v>3339</v>
      </c>
      <c r="B3340" t="s">
        <v>20</v>
      </c>
      <c r="C3340">
        <v>56</v>
      </c>
      <c r="D3340" t="s">
        <v>26</v>
      </c>
      <c r="E3340" t="s">
        <v>14</v>
      </c>
      <c r="F3340">
        <v>287</v>
      </c>
      <c r="G3340">
        <v>21</v>
      </c>
      <c r="H3340">
        <v>0.28999999999999998</v>
      </c>
      <c r="I3340" t="s">
        <v>19</v>
      </c>
      <c r="J3340">
        <v>34</v>
      </c>
      <c r="K3340">
        <v>0</v>
      </c>
      <c r="L3340">
        <v>1</v>
      </c>
      <c r="M3340">
        <f>VLOOKUP(Table1[[#This Row],[subscription_type]],Plans!$A$1:$B$5,2,FALSE)</f>
        <v>0</v>
      </c>
      <c r="N3340">
        <f t="shared" si="52"/>
        <v>0</v>
      </c>
    </row>
    <row r="3341" spans="1:14" x14ac:dyDescent="0.35">
      <c r="A3341">
        <v>3340</v>
      </c>
      <c r="B3341" t="s">
        <v>20</v>
      </c>
      <c r="C3341">
        <v>37</v>
      </c>
      <c r="D3341" t="s">
        <v>21</v>
      </c>
      <c r="E3341" t="s">
        <v>18</v>
      </c>
      <c r="F3341">
        <v>33</v>
      </c>
      <c r="G3341">
        <v>58</v>
      </c>
      <c r="H3341">
        <v>0.1</v>
      </c>
      <c r="I3341" t="s">
        <v>15</v>
      </c>
      <c r="J3341">
        <v>0</v>
      </c>
      <c r="K3341">
        <v>1</v>
      </c>
      <c r="L3341">
        <v>0</v>
      </c>
      <c r="M3341">
        <f>VLOOKUP(Table1[[#This Row],[subscription_type]],Plans!$A$1:$B$5,2,FALSE)</f>
        <v>14.99</v>
      </c>
      <c r="N3341">
        <f t="shared" si="52"/>
        <v>0</v>
      </c>
    </row>
    <row r="3342" spans="1:14" x14ac:dyDescent="0.35">
      <c r="A3342">
        <v>3341</v>
      </c>
      <c r="B3342" t="s">
        <v>12</v>
      </c>
      <c r="C3342">
        <v>18</v>
      </c>
      <c r="D3342" t="s">
        <v>25</v>
      </c>
      <c r="E3342" t="s">
        <v>22</v>
      </c>
      <c r="F3342">
        <v>156</v>
      </c>
      <c r="G3342">
        <v>82</v>
      </c>
      <c r="H3342">
        <v>0.03</v>
      </c>
      <c r="I3342" t="s">
        <v>23</v>
      </c>
      <c r="J3342">
        <v>0</v>
      </c>
      <c r="K3342">
        <v>1</v>
      </c>
      <c r="L3342">
        <v>1</v>
      </c>
      <c r="M3342">
        <f>VLOOKUP(Table1[[#This Row],[subscription_type]],Plans!$A$1:$B$5,2,FALSE)</f>
        <v>9.99</v>
      </c>
      <c r="N3342">
        <f t="shared" si="52"/>
        <v>9.99</v>
      </c>
    </row>
    <row r="3343" spans="1:14" x14ac:dyDescent="0.35">
      <c r="A3343">
        <v>3342</v>
      </c>
      <c r="B3343" t="s">
        <v>16</v>
      </c>
      <c r="C3343">
        <v>29</v>
      </c>
      <c r="D3343" t="s">
        <v>17</v>
      </c>
      <c r="E3343" t="s">
        <v>18</v>
      </c>
      <c r="F3343">
        <v>245</v>
      </c>
      <c r="G3343">
        <v>72</v>
      </c>
      <c r="H3343">
        <v>0.22</v>
      </c>
      <c r="I3343" t="s">
        <v>19</v>
      </c>
      <c r="J3343">
        <v>0</v>
      </c>
      <c r="K3343">
        <v>1</v>
      </c>
      <c r="L3343">
        <v>0</v>
      </c>
      <c r="M3343">
        <f>VLOOKUP(Table1[[#This Row],[subscription_type]],Plans!$A$1:$B$5,2,FALSE)</f>
        <v>14.99</v>
      </c>
      <c r="N3343">
        <f t="shared" si="52"/>
        <v>0</v>
      </c>
    </row>
    <row r="3344" spans="1:14" x14ac:dyDescent="0.35">
      <c r="A3344">
        <v>3343</v>
      </c>
      <c r="B3344" t="s">
        <v>16</v>
      </c>
      <c r="C3344">
        <v>33</v>
      </c>
      <c r="D3344" t="s">
        <v>13</v>
      </c>
      <c r="E3344" t="s">
        <v>14</v>
      </c>
      <c r="F3344">
        <v>298</v>
      </c>
      <c r="G3344">
        <v>86</v>
      </c>
      <c r="H3344">
        <v>0.26</v>
      </c>
      <c r="I3344" t="s">
        <v>23</v>
      </c>
      <c r="J3344">
        <v>24</v>
      </c>
      <c r="K3344">
        <v>0</v>
      </c>
      <c r="L3344">
        <v>0</v>
      </c>
      <c r="M3344">
        <f>VLOOKUP(Table1[[#This Row],[subscription_type]],Plans!$A$1:$B$5,2,FALSE)</f>
        <v>0</v>
      </c>
      <c r="N3344">
        <f t="shared" si="52"/>
        <v>0</v>
      </c>
    </row>
    <row r="3345" spans="1:14" x14ac:dyDescent="0.35">
      <c r="A3345">
        <v>3344</v>
      </c>
      <c r="B3345" t="s">
        <v>20</v>
      </c>
      <c r="C3345">
        <v>32</v>
      </c>
      <c r="D3345" t="s">
        <v>25</v>
      </c>
      <c r="E3345" t="s">
        <v>24</v>
      </c>
      <c r="F3345">
        <v>186</v>
      </c>
      <c r="G3345">
        <v>35</v>
      </c>
      <c r="H3345">
        <v>0.5</v>
      </c>
      <c r="I3345" t="s">
        <v>15</v>
      </c>
      <c r="J3345">
        <v>0</v>
      </c>
      <c r="K3345">
        <v>1</v>
      </c>
      <c r="L3345">
        <v>0</v>
      </c>
      <c r="M3345">
        <f>VLOOKUP(Table1[[#This Row],[subscription_type]],Plans!$A$1:$B$5,2,FALSE)</f>
        <v>4.99</v>
      </c>
      <c r="N3345">
        <f t="shared" si="52"/>
        <v>0</v>
      </c>
    </row>
    <row r="3346" spans="1:14" x14ac:dyDescent="0.35">
      <c r="A3346">
        <v>3345</v>
      </c>
      <c r="B3346" t="s">
        <v>20</v>
      </c>
      <c r="C3346">
        <v>21</v>
      </c>
      <c r="D3346" t="s">
        <v>13</v>
      </c>
      <c r="E3346" t="s">
        <v>22</v>
      </c>
      <c r="F3346">
        <v>291</v>
      </c>
      <c r="G3346">
        <v>45</v>
      </c>
      <c r="H3346">
        <v>0.24</v>
      </c>
      <c r="I3346" t="s">
        <v>19</v>
      </c>
      <c r="J3346">
        <v>0</v>
      </c>
      <c r="K3346">
        <v>1</v>
      </c>
      <c r="L3346">
        <v>1</v>
      </c>
      <c r="M3346">
        <f>VLOOKUP(Table1[[#This Row],[subscription_type]],Plans!$A$1:$B$5,2,FALSE)</f>
        <v>9.99</v>
      </c>
      <c r="N3346">
        <f t="shared" si="52"/>
        <v>9.99</v>
      </c>
    </row>
    <row r="3347" spans="1:14" x14ac:dyDescent="0.35">
      <c r="A3347">
        <v>3346</v>
      </c>
      <c r="B3347" t="s">
        <v>16</v>
      </c>
      <c r="C3347">
        <v>52</v>
      </c>
      <c r="D3347" t="s">
        <v>21</v>
      </c>
      <c r="E3347" t="s">
        <v>14</v>
      </c>
      <c r="F3347">
        <v>226</v>
      </c>
      <c r="G3347">
        <v>6</v>
      </c>
      <c r="H3347">
        <v>0.3</v>
      </c>
      <c r="I3347" t="s">
        <v>19</v>
      </c>
      <c r="J3347">
        <v>18</v>
      </c>
      <c r="K3347">
        <v>0</v>
      </c>
      <c r="L3347">
        <v>1</v>
      </c>
      <c r="M3347">
        <f>VLOOKUP(Table1[[#This Row],[subscription_type]],Plans!$A$1:$B$5,2,FALSE)</f>
        <v>0</v>
      </c>
      <c r="N3347">
        <f t="shared" si="52"/>
        <v>0</v>
      </c>
    </row>
    <row r="3348" spans="1:14" x14ac:dyDescent="0.35">
      <c r="A3348">
        <v>3347</v>
      </c>
      <c r="B3348" t="s">
        <v>16</v>
      </c>
      <c r="C3348">
        <v>43</v>
      </c>
      <c r="D3348" t="s">
        <v>29</v>
      </c>
      <c r="E3348" t="s">
        <v>24</v>
      </c>
      <c r="F3348">
        <v>193</v>
      </c>
      <c r="G3348">
        <v>70</v>
      </c>
      <c r="H3348">
        <v>0.08</v>
      </c>
      <c r="I3348" t="s">
        <v>15</v>
      </c>
      <c r="J3348">
        <v>0</v>
      </c>
      <c r="K3348">
        <v>1</v>
      </c>
      <c r="L3348">
        <v>0</v>
      </c>
      <c r="M3348">
        <f>VLOOKUP(Table1[[#This Row],[subscription_type]],Plans!$A$1:$B$5,2,FALSE)</f>
        <v>4.99</v>
      </c>
      <c r="N3348">
        <f t="shared" si="52"/>
        <v>0</v>
      </c>
    </row>
    <row r="3349" spans="1:14" x14ac:dyDescent="0.35">
      <c r="A3349">
        <v>3348</v>
      </c>
      <c r="B3349" t="s">
        <v>12</v>
      </c>
      <c r="C3349">
        <v>45</v>
      </c>
      <c r="D3349" t="s">
        <v>27</v>
      </c>
      <c r="E3349" t="s">
        <v>22</v>
      </c>
      <c r="F3349">
        <v>147</v>
      </c>
      <c r="G3349">
        <v>48</v>
      </c>
      <c r="H3349">
        <v>0.56999999999999995</v>
      </c>
      <c r="I3349" t="s">
        <v>15</v>
      </c>
      <c r="J3349">
        <v>0</v>
      </c>
      <c r="K3349">
        <v>1</v>
      </c>
      <c r="L3349">
        <v>0</v>
      </c>
      <c r="M3349">
        <f>VLOOKUP(Table1[[#This Row],[subscription_type]],Plans!$A$1:$B$5,2,FALSE)</f>
        <v>9.99</v>
      </c>
      <c r="N3349">
        <f t="shared" si="52"/>
        <v>0</v>
      </c>
    </row>
    <row r="3350" spans="1:14" x14ac:dyDescent="0.35">
      <c r="A3350">
        <v>3349</v>
      </c>
      <c r="B3350" t="s">
        <v>16</v>
      </c>
      <c r="C3350">
        <v>59</v>
      </c>
      <c r="D3350" t="s">
        <v>17</v>
      </c>
      <c r="E3350" t="s">
        <v>14</v>
      </c>
      <c r="F3350">
        <v>206</v>
      </c>
      <c r="G3350">
        <v>23</v>
      </c>
      <c r="H3350">
        <v>0.28999999999999998</v>
      </c>
      <c r="I3350" t="s">
        <v>19</v>
      </c>
      <c r="J3350">
        <v>9</v>
      </c>
      <c r="K3350">
        <v>0</v>
      </c>
      <c r="L3350">
        <v>0</v>
      </c>
      <c r="M3350">
        <f>VLOOKUP(Table1[[#This Row],[subscription_type]],Plans!$A$1:$B$5,2,FALSE)</f>
        <v>0</v>
      </c>
      <c r="N3350">
        <f t="shared" si="52"/>
        <v>0</v>
      </c>
    </row>
    <row r="3351" spans="1:14" x14ac:dyDescent="0.35">
      <c r="A3351">
        <v>3350</v>
      </c>
      <c r="B3351" t="s">
        <v>20</v>
      </c>
      <c r="C3351">
        <v>45</v>
      </c>
      <c r="D3351" t="s">
        <v>27</v>
      </c>
      <c r="E3351" t="s">
        <v>14</v>
      </c>
      <c r="F3351">
        <v>43</v>
      </c>
      <c r="G3351">
        <v>80</v>
      </c>
      <c r="H3351">
        <v>0.49</v>
      </c>
      <c r="I3351" t="s">
        <v>23</v>
      </c>
      <c r="J3351">
        <v>13</v>
      </c>
      <c r="K3351">
        <v>0</v>
      </c>
      <c r="L3351">
        <v>1</v>
      </c>
      <c r="M3351">
        <f>VLOOKUP(Table1[[#This Row],[subscription_type]],Plans!$A$1:$B$5,2,FALSE)</f>
        <v>0</v>
      </c>
      <c r="N3351">
        <f t="shared" si="52"/>
        <v>0</v>
      </c>
    </row>
    <row r="3352" spans="1:14" x14ac:dyDescent="0.35">
      <c r="A3352">
        <v>3351</v>
      </c>
      <c r="B3352" t="s">
        <v>16</v>
      </c>
      <c r="C3352">
        <v>35</v>
      </c>
      <c r="D3352" t="s">
        <v>13</v>
      </c>
      <c r="E3352" t="s">
        <v>14</v>
      </c>
      <c r="F3352">
        <v>211</v>
      </c>
      <c r="G3352">
        <v>50</v>
      </c>
      <c r="H3352">
        <v>0.28999999999999998</v>
      </c>
      <c r="I3352" t="s">
        <v>15</v>
      </c>
      <c r="J3352">
        <v>12</v>
      </c>
      <c r="K3352">
        <v>0</v>
      </c>
      <c r="L3352">
        <v>0</v>
      </c>
      <c r="M3352">
        <f>VLOOKUP(Table1[[#This Row],[subscription_type]],Plans!$A$1:$B$5,2,FALSE)</f>
        <v>0</v>
      </c>
      <c r="N3352">
        <f t="shared" si="52"/>
        <v>0</v>
      </c>
    </row>
    <row r="3353" spans="1:14" x14ac:dyDescent="0.35">
      <c r="A3353">
        <v>3352</v>
      </c>
      <c r="B3353" t="s">
        <v>12</v>
      </c>
      <c r="C3353">
        <v>16</v>
      </c>
      <c r="D3353" t="s">
        <v>28</v>
      </c>
      <c r="E3353" t="s">
        <v>22</v>
      </c>
      <c r="F3353">
        <v>88</v>
      </c>
      <c r="G3353">
        <v>60</v>
      </c>
      <c r="H3353">
        <v>0.41</v>
      </c>
      <c r="I3353" t="s">
        <v>23</v>
      </c>
      <c r="J3353">
        <v>0</v>
      </c>
      <c r="K3353">
        <v>1</v>
      </c>
      <c r="L3353">
        <v>0</v>
      </c>
      <c r="M3353">
        <f>VLOOKUP(Table1[[#This Row],[subscription_type]],Plans!$A$1:$B$5,2,FALSE)</f>
        <v>9.99</v>
      </c>
      <c r="N3353">
        <f t="shared" si="52"/>
        <v>0</v>
      </c>
    </row>
    <row r="3354" spans="1:14" x14ac:dyDescent="0.35">
      <c r="A3354">
        <v>3353</v>
      </c>
      <c r="B3354" t="s">
        <v>16</v>
      </c>
      <c r="C3354">
        <v>46</v>
      </c>
      <c r="D3354" t="s">
        <v>17</v>
      </c>
      <c r="E3354" t="s">
        <v>18</v>
      </c>
      <c r="F3354">
        <v>22</v>
      </c>
      <c r="G3354">
        <v>92</v>
      </c>
      <c r="H3354">
        <v>0.53</v>
      </c>
      <c r="I3354" t="s">
        <v>23</v>
      </c>
      <c r="J3354">
        <v>0</v>
      </c>
      <c r="K3354">
        <v>1</v>
      </c>
      <c r="L3354">
        <v>0</v>
      </c>
      <c r="M3354">
        <f>VLOOKUP(Table1[[#This Row],[subscription_type]],Plans!$A$1:$B$5,2,FALSE)</f>
        <v>14.99</v>
      </c>
      <c r="N3354">
        <f t="shared" si="52"/>
        <v>0</v>
      </c>
    </row>
    <row r="3355" spans="1:14" x14ac:dyDescent="0.35">
      <c r="A3355">
        <v>3354</v>
      </c>
      <c r="B3355" t="s">
        <v>20</v>
      </c>
      <c r="C3355">
        <v>56</v>
      </c>
      <c r="D3355" t="s">
        <v>25</v>
      </c>
      <c r="E3355" t="s">
        <v>24</v>
      </c>
      <c r="F3355">
        <v>209</v>
      </c>
      <c r="G3355">
        <v>70</v>
      </c>
      <c r="H3355">
        <v>0.48</v>
      </c>
      <c r="I3355" t="s">
        <v>23</v>
      </c>
      <c r="J3355">
        <v>0</v>
      </c>
      <c r="K3355">
        <v>1</v>
      </c>
      <c r="L3355">
        <v>0</v>
      </c>
      <c r="M3355">
        <f>VLOOKUP(Table1[[#This Row],[subscription_type]],Plans!$A$1:$B$5,2,FALSE)</f>
        <v>4.99</v>
      </c>
      <c r="N3355">
        <f t="shared" si="52"/>
        <v>0</v>
      </c>
    </row>
    <row r="3356" spans="1:14" x14ac:dyDescent="0.35">
      <c r="A3356">
        <v>3355</v>
      </c>
      <c r="B3356" t="s">
        <v>20</v>
      </c>
      <c r="C3356">
        <v>34</v>
      </c>
      <c r="D3356" t="s">
        <v>29</v>
      </c>
      <c r="E3356" t="s">
        <v>18</v>
      </c>
      <c r="F3356">
        <v>93</v>
      </c>
      <c r="G3356">
        <v>86</v>
      </c>
      <c r="H3356">
        <v>0.22</v>
      </c>
      <c r="I3356" t="s">
        <v>19</v>
      </c>
      <c r="J3356">
        <v>0</v>
      </c>
      <c r="K3356">
        <v>1</v>
      </c>
      <c r="L3356">
        <v>0</v>
      </c>
      <c r="M3356">
        <f>VLOOKUP(Table1[[#This Row],[subscription_type]],Plans!$A$1:$B$5,2,FALSE)</f>
        <v>14.99</v>
      </c>
      <c r="N3356">
        <f t="shared" si="52"/>
        <v>0</v>
      </c>
    </row>
    <row r="3357" spans="1:14" x14ac:dyDescent="0.35">
      <c r="A3357">
        <v>3356</v>
      </c>
      <c r="B3357" t="s">
        <v>16</v>
      </c>
      <c r="C3357">
        <v>54</v>
      </c>
      <c r="D3357" t="s">
        <v>13</v>
      </c>
      <c r="E3357" t="s">
        <v>18</v>
      </c>
      <c r="F3357">
        <v>184</v>
      </c>
      <c r="G3357">
        <v>9</v>
      </c>
      <c r="H3357">
        <v>0.37</v>
      </c>
      <c r="I3357" t="s">
        <v>19</v>
      </c>
      <c r="J3357">
        <v>0</v>
      </c>
      <c r="K3357">
        <v>1</v>
      </c>
      <c r="L3357">
        <v>1</v>
      </c>
      <c r="M3357">
        <f>VLOOKUP(Table1[[#This Row],[subscription_type]],Plans!$A$1:$B$5,2,FALSE)</f>
        <v>14.99</v>
      </c>
      <c r="N3357">
        <f t="shared" si="52"/>
        <v>14.99</v>
      </c>
    </row>
    <row r="3358" spans="1:14" x14ac:dyDescent="0.35">
      <c r="A3358">
        <v>3357</v>
      </c>
      <c r="B3358" t="s">
        <v>16</v>
      </c>
      <c r="C3358">
        <v>52</v>
      </c>
      <c r="D3358" t="s">
        <v>13</v>
      </c>
      <c r="E3358" t="s">
        <v>14</v>
      </c>
      <c r="F3358">
        <v>169</v>
      </c>
      <c r="G3358">
        <v>35</v>
      </c>
      <c r="H3358">
        <v>0.33</v>
      </c>
      <c r="I3358" t="s">
        <v>19</v>
      </c>
      <c r="J3358">
        <v>34</v>
      </c>
      <c r="K3358">
        <v>0</v>
      </c>
      <c r="L3358">
        <v>0</v>
      </c>
      <c r="M3358">
        <f>VLOOKUP(Table1[[#This Row],[subscription_type]],Plans!$A$1:$B$5,2,FALSE)</f>
        <v>0</v>
      </c>
      <c r="N3358">
        <f t="shared" si="52"/>
        <v>0</v>
      </c>
    </row>
    <row r="3359" spans="1:14" x14ac:dyDescent="0.35">
      <c r="A3359">
        <v>3358</v>
      </c>
      <c r="B3359" t="s">
        <v>20</v>
      </c>
      <c r="C3359">
        <v>49</v>
      </c>
      <c r="D3359" t="s">
        <v>13</v>
      </c>
      <c r="E3359" t="s">
        <v>14</v>
      </c>
      <c r="F3359">
        <v>142</v>
      </c>
      <c r="G3359">
        <v>22</v>
      </c>
      <c r="H3359">
        <v>0.42</v>
      </c>
      <c r="I3359" t="s">
        <v>19</v>
      </c>
      <c r="J3359">
        <v>12</v>
      </c>
      <c r="K3359">
        <v>0</v>
      </c>
      <c r="L3359">
        <v>1</v>
      </c>
      <c r="M3359">
        <f>VLOOKUP(Table1[[#This Row],[subscription_type]],Plans!$A$1:$B$5,2,FALSE)</f>
        <v>0</v>
      </c>
      <c r="N3359">
        <f t="shared" si="52"/>
        <v>0</v>
      </c>
    </row>
    <row r="3360" spans="1:14" x14ac:dyDescent="0.35">
      <c r="A3360">
        <v>3359</v>
      </c>
      <c r="B3360" t="s">
        <v>16</v>
      </c>
      <c r="C3360">
        <v>54</v>
      </c>
      <c r="D3360" t="s">
        <v>26</v>
      </c>
      <c r="E3360" t="s">
        <v>22</v>
      </c>
      <c r="F3360">
        <v>69</v>
      </c>
      <c r="G3360">
        <v>78</v>
      </c>
      <c r="H3360">
        <v>0.13</v>
      </c>
      <c r="I3360" t="s">
        <v>15</v>
      </c>
      <c r="J3360">
        <v>0</v>
      </c>
      <c r="K3360">
        <v>1</v>
      </c>
      <c r="L3360">
        <v>0</v>
      </c>
      <c r="M3360">
        <f>VLOOKUP(Table1[[#This Row],[subscription_type]],Plans!$A$1:$B$5,2,FALSE)</f>
        <v>9.99</v>
      </c>
      <c r="N3360">
        <f t="shared" si="52"/>
        <v>0</v>
      </c>
    </row>
    <row r="3361" spans="1:14" x14ac:dyDescent="0.35">
      <c r="A3361">
        <v>3360</v>
      </c>
      <c r="B3361" t="s">
        <v>16</v>
      </c>
      <c r="C3361">
        <v>22</v>
      </c>
      <c r="D3361" t="s">
        <v>17</v>
      </c>
      <c r="E3361" t="s">
        <v>24</v>
      </c>
      <c r="F3361">
        <v>158</v>
      </c>
      <c r="G3361">
        <v>52</v>
      </c>
      <c r="H3361">
        <v>0.13</v>
      </c>
      <c r="I3361" t="s">
        <v>23</v>
      </c>
      <c r="J3361">
        <v>0</v>
      </c>
      <c r="K3361">
        <v>1</v>
      </c>
      <c r="L3361">
        <v>0</v>
      </c>
      <c r="M3361">
        <f>VLOOKUP(Table1[[#This Row],[subscription_type]],Plans!$A$1:$B$5,2,FALSE)</f>
        <v>4.99</v>
      </c>
      <c r="N3361">
        <f t="shared" si="52"/>
        <v>0</v>
      </c>
    </row>
    <row r="3362" spans="1:14" x14ac:dyDescent="0.35">
      <c r="A3362">
        <v>3361</v>
      </c>
      <c r="B3362" t="s">
        <v>12</v>
      </c>
      <c r="C3362">
        <v>41</v>
      </c>
      <c r="D3362" t="s">
        <v>27</v>
      </c>
      <c r="E3362" t="s">
        <v>24</v>
      </c>
      <c r="F3362">
        <v>214</v>
      </c>
      <c r="G3362">
        <v>11</v>
      </c>
      <c r="H3362">
        <v>0.18</v>
      </c>
      <c r="I3362" t="s">
        <v>19</v>
      </c>
      <c r="J3362">
        <v>0</v>
      </c>
      <c r="K3362">
        <v>1</v>
      </c>
      <c r="L3362">
        <v>0</v>
      </c>
      <c r="M3362">
        <f>VLOOKUP(Table1[[#This Row],[subscription_type]],Plans!$A$1:$B$5,2,FALSE)</f>
        <v>4.99</v>
      </c>
      <c r="N3362">
        <f t="shared" si="52"/>
        <v>0</v>
      </c>
    </row>
    <row r="3363" spans="1:14" x14ac:dyDescent="0.35">
      <c r="A3363">
        <v>3362</v>
      </c>
      <c r="B3363" t="s">
        <v>20</v>
      </c>
      <c r="C3363">
        <v>17</v>
      </c>
      <c r="D3363" t="s">
        <v>25</v>
      </c>
      <c r="E3363" t="s">
        <v>14</v>
      </c>
      <c r="F3363">
        <v>66</v>
      </c>
      <c r="G3363">
        <v>19</v>
      </c>
      <c r="H3363">
        <v>0.06</v>
      </c>
      <c r="I3363" t="s">
        <v>15</v>
      </c>
      <c r="J3363">
        <v>49</v>
      </c>
      <c r="K3363">
        <v>0</v>
      </c>
      <c r="L3363">
        <v>0</v>
      </c>
      <c r="M3363">
        <f>VLOOKUP(Table1[[#This Row],[subscription_type]],Plans!$A$1:$B$5,2,FALSE)</f>
        <v>0</v>
      </c>
      <c r="N3363">
        <f t="shared" si="52"/>
        <v>0</v>
      </c>
    </row>
    <row r="3364" spans="1:14" x14ac:dyDescent="0.35">
      <c r="A3364">
        <v>3363</v>
      </c>
      <c r="B3364" t="s">
        <v>20</v>
      </c>
      <c r="C3364">
        <v>23</v>
      </c>
      <c r="D3364" t="s">
        <v>13</v>
      </c>
      <c r="E3364" t="s">
        <v>24</v>
      </c>
      <c r="F3364">
        <v>152</v>
      </c>
      <c r="G3364">
        <v>57</v>
      </c>
      <c r="H3364">
        <v>0.28000000000000003</v>
      </c>
      <c r="I3364" t="s">
        <v>15</v>
      </c>
      <c r="J3364">
        <v>0</v>
      </c>
      <c r="K3364">
        <v>1</v>
      </c>
      <c r="L3364">
        <v>1</v>
      </c>
      <c r="M3364">
        <f>VLOOKUP(Table1[[#This Row],[subscription_type]],Plans!$A$1:$B$5,2,FALSE)</f>
        <v>4.99</v>
      </c>
      <c r="N3364">
        <f t="shared" si="52"/>
        <v>4.99</v>
      </c>
    </row>
    <row r="3365" spans="1:14" x14ac:dyDescent="0.35">
      <c r="A3365">
        <v>3364</v>
      </c>
      <c r="B3365" t="s">
        <v>16</v>
      </c>
      <c r="C3365">
        <v>23</v>
      </c>
      <c r="D3365" t="s">
        <v>26</v>
      </c>
      <c r="E3365" t="s">
        <v>22</v>
      </c>
      <c r="F3365">
        <v>179</v>
      </c>
      <c r="G3365">
        <v>38</v>
      </c>
      <c r="H3365">
        <v>0.43</v>
      </c>
      <c r="I3365" t="s">
        <v>15</v>
      </c>
      <c r="J3365">
        <v>0</v>
      </c>
      <c r="K3365">
        <v>1</v>
      </c>
      <c r="L3365">
        <v>0</v>
      </c>
      <c r="M3365">
        <f>VLOOKUP(Table1[[#This Row],[subscription_type]],Plans!$A$1:$B$5,2,FALSE)</f>
        <v>9.99</v>
      </c>
      <c r="N3365">
        <f t="shared" si="52"/>
        <v>0</v>
      </c>
    </row>
    <row r="3366" spans="1:14" x14ac:dyDescent="0.35">
      <c r="A3366">
        <v>3365</v>
      </c>
      <c r="B3366" t="s">
        <v>16</v>
      </c>
      <c r="C3366">
        <v>24</v>
      </c>
      <c r="D3366" t="s">
        <v>27</v>
      </c>
      <c r="E3366" t="s">
        <v>24</v>
      </c>
      <c r="F3366">
        <v>213</v>
      </c>
      <c r="G3366">
        <v>23</v>
      </c>
      <c r="H3366">
        <v>0.3</v>
      </c>
      <c r="I3366" t="s">
        <v>15</v>
      </c>
      <c r="J3366">
        <v>0</v>
      </c>
      <c r="K3366">
        <v>1</v>
      </c>
      <c r="L3366">
        <v>0</v>
      </c>
      <c r="M3366">
        <f>VLOOKUP(Table1[[#This Row],[subscription_type]],Plans!$A$1:$B$5,2,FALSE)</f>
        <v>4.99</v>
      </c>
      <c r="N3366">
        <f t="shared" si="52"/>
        <v>0</v>
      </c>
    </row>
    <row r="3367" spans="1:14" x14ac:dyDescent="0.35">
      <c r="A3367">
        <v>3366</v>
      </c>
      <c r="B3367" t="s">
        <v>12</v>
      </c>
      <c r="C3367">
        <v>55</v>
      </c>
      <c r="D3367" t="s">
        <v>25</v>
      </c>
      <c r="E3367" t="s">
        <v>22</v>
      </c>
      <c r="F3367">
        <v>198</v>
      </c>
      <c r="G3367">
        <v>87</v>
      </c>
      <c r="H3367">
        <v>0.16</v>
      </c>
      <c r="I3367" t="s">
        <v>19</v>
      </c>
      <c r="J3367">
        <v>0</v>
      </c>
      <c r="K3367">
        <v>1</v>
      </c>
      <c r="L3367">
        <v>0</v>
      </c>
      <c r="M3367">
        <f>VLOOKUP(Table1[[#This Row],[subscription_type]],Plans!$A$1:$B$5,2,FALSE)</f>
        <v>9.99</v>
      </c>
      <c r="N3367">
        <f t="shared" si="52"/>
        <v>0</v>
      </c>
    </row>
    <row r="3368" spans="1:14" x14ac:dyDescent="0.35">
      <c r="A3368">
        <v>3367</v>
      </c>
      <c r="B3368" t="s">
        <v>20</v>
      </c>
      <c r="C3368">
        <v>32</v>
      </c>
      <c r="D3368" t="s">
        <v>21</v>
      </c>
      <c r="E3368" t="s">
        <v>18</v>
      </c>
      <c r="F3368">
        <v>25</v>
      </c>
      <c r="G3368">
        <v>28</v>
      </c>
      <c r="H3368">
        <v>0.44</v>
      </c>
      <c r="I3368" t="s">
        <v>19</v>
      </c>
      <c r="J3368">
        <v>0</v>
      </c>
      <c r="K3368">
        <v>1</v>
      </c>
      <c r="L3368">
        <v>0</v>
      </c>
      <c r="M3368">
        <f>VLOOKUP(Table1[[#This Row],[subscription_type]],Plans!$A$1:$B$5,2,FALSE)</f>
        <v>14.99</v>
      </c>
      <c r="N3368">
        <f t="shared" si="52"/>
        <v>0</v>
      </c>
    </row>
    <row r="3369" spans="1:14" x14ac:dyDescent="0.35">
      <c r="A3369">
        <v>3368</v>
      </c>
      <c r="B3369" t="s">
        <v>12</v>
      </c>
      <c r="C3369">
        <v>38</v>
      </c>
      <c r="D3369" t="s">
        <v>21</v>
      </c>
      <c r="E3369" t="s">
        <v>18</v>
      </c>
      <c r="F3369">
        <v>85</v>
      </c>
      <c r="G3369">
        <v>37</v>
      </c>
      <c r="H3369">
        <v>0.15</v>
      </c>
      <c r="I3369" t="s">
        <v>23</v>
      </c>
      <c r="J3369">
        <v>0</v>
      </c>
      <c r="K3369">
        <v>1</v>
      </c>
      <c r="L3369">
        <v>1</v>
      </c>
      <c r="M3369">
        <f>VLOOKUP(Table1[[#This Row],[subscription_type]],Plans!$A$1:$B$5,2,FALSE)</f>
        <v>14.99</v>
      </c>
      <c r="N3369">
        <f t="shared" si="52"/>
        <v>14.99</v>
      </c>
    </row>
    <row r="3370" spans="1:14" x14ac:dyDescent="0.35">
      <c r="A3370">
        <v>3369</v>
      </c>
      <c r="B3370" t="s">
        <v>20</v>
      </c>
      <c r="C3370">
        <v>35</v>
      </c>
      <c r="D3370" t="s">
        <v>26</v>
      </c>
      <c r="E3370" t="s">
        <v>14</v>
      </c>
      <c r="F3370">
        <v>170</v>
      </c>
      <c r="G3370">
        <v>78</v>
      </c>
      <c r="H3370">
        <v>0.28000000000000003</v>
      </c>
      <c r="I3370" t="s">
        <v>15</v>
      </c>
      <c r="J3370">
        <v>39</v>
      </c>
      <c r="K3370">
        <v>0</v>
      </c>
      <c r="L3370">
        <v>0</v>
      </c>
      <c r="M3370">
        <f>VLOOKUP(Table1[[#This Row],[subscription_type]],Plans!$A$1:$B$5,2,FALSE)</f>
        <v>0</v>
      </c>
      <c r="N3370">
        <f t="shared" si="52"/>
        <v>0</v>
      </c>
    </row>
    <row r="3371" spans="1:14" x14ac:dyDescent="0.35">
      <c r="A3371">
        <v>3370</v>
      </c>
      <c r="B3371" t="s">
        <v>16</v>
      </c>
      <c r="C3371">
        <v>35</v>
      </c>
      <c r="D3371" t="s">
        <v>27</v>
      </c>
      <c r="E3371" t="s">
        <v>22</v>
      </c>
      <c r="F3371">
        <v>80</v>
      </c>
      <c r="G3371">
        <v>60</v>
      </c>
      <c r="H3371">
        <v>0.56000000000000005</v>
      </c>
      <c r="I3371" t="s">
        <v>15</v>
      </c>
      <c r="J3371">
        <v>0</v>
      </c>
      <c r="K3371">
        <v>1</v>
      </c>
      <c r="L3371">
        <v>0</v>
      </c>
      <c r="M3371">
        <f>VLOOKUP(Table1[[#This Row],[subscription_type]],Plans!$A$1:$B$5,2,FALSE)</f>
        <v>9.99</v>
      </c>
      <c r="N3371">
        <f t="shared" si="52"/>
        <v>0</v>
      </c>
    </row>
    <row r="3372" spans="1:14" x14ac:dyDescent="0.35">
      <c r="A3372">
        <v>3371</v>
      </c>
      <c r="B3372" t="s">
        <v>12</v>
      </c>
      <c r="C3372">
        <v>40</v>
      </c>
      <c r="D3372" t="s">
        <v>25</v>
      </c>
      <c r="E3372" t="s">
        <v>14</v>
      </c>
      <c r="F3372">
        <v>204</v>
      </c>
      <c r="G3372">
        <v>12</v>
      </c>
      <c r="H3372">
        <v>0.54</v>
      </c>
      <c r="I3372" t="s">
        <v>15</v>
      </c>
      <c r="J3372">
        <v>31</v>
      </c>
      <c r="K3372">
        <v>0</v>
      </c>
      <c r="L3372">
        <v>1</v>
      </c>
      <c r="M3372">
        <f>VLOOKUP(Table1[[#This Row],[subscription_type]],Plans!$A$1:$B$5,2,FALSE)</f>
        <v>0</v>
      </c>
      <c r="N3372">
        <f t="shared" si="52"/>
        <v>0</v>
      </c>
    </row>
    <row r="3373" spans="1:14" x14ac:dyDescent="0.35">
      <c r="A3373">
        <v>3372</v>
      </c>
      <c r="B3373" t="s">
        <v>12</v>
      </c>
      <c r="C3373">
        <v>36</v>
      </c>
      <c r="D3373" t="s">
        <v>27</v>
      </c>
      <c r="E3373" t="s">
        <v>14</v>
      </c>
      <c r="F3373">
        <v>221</v>
      </c>
      <c r="G3373">
        <v>32</v>
      </c>
      <c r="H3373">
        <v>0.02</v>
      </c>
      <c r="I3373" t="s">
        <v>23</v>
      </c>
      <c r="J3373">
        <v>36</v>
      </c>
      <c r="K3373">
        <v>0</v>
      </c>
      <c r="L3373">
        <v>0</v>
      </c>
      <c r="M3373">
        <f>VLOOKUP(Table1[[#This Row],[subscription_type]],Plans!$A$1:$B$5,2,FALSE)</f>
        <v>0</v>
      </c>
      <c r="N3373">
        <f t="shared" si="52"/>
        <v>0</v>
      </c>
    </row>
    <row r="3374" spans="1:14" x14ac:dyDescent="0.35">
      <c r="A3374">
        <v>3373</v>
      </c>
      <c r="B3374" t="s">
        <v>20</v>
      </c>
      <c r="C3374">
        <v>49</v>
      </c>
      <c r="D3374" t="s">
        <v>21</v>
      </c>
      <c r="E3374" t="s">
        <v>14</v>
      </c>
      <c r="F3374">
        <v>73</v>
      </c>
      <c r="G3374">
        <v>93</v>
      </c>
      <c r="H3374">
        <v>0.45</v>
      </c>
      <c r="I3374" t="s">
        <v>15</v>
      </c>
      <c r="J3374">
        <v>20</v>
      </c>
      <c r="K3374">
        <v>0</v>
      </c>
      <c r="L3374">
        <v>1</v>
      </c>
      <c r="M3374">
        <f>VLOOKUP(Table1[[#This Row],[subscription_type]],Plans!$A$1:$B$5,2,FALSE)</f>
        <v>0</v>
      </c>
      <c r="N3374">
        <f t="shared" si="52"/>
        <v>0</v>
      </c>
    </row>
    <row r="3375" spans="1:14" x14ac:dyDescent="0.35">
      <c r="A3375">
        <v>3374</v>
      </c>
      <c r="B3375" t="s">
        <v>16</v>
      </c>
      <c r="C3375">
        <v>40</v>
      </c>
      <c r="D3375" t="s">
        <v>27</v>
      </c>
      <c r="E3375" t="s">
        <v>22</v>
      </c>
      <c r="F3375">
        <v>260</v>
      </c>
      <c r="G3375">
        <v>33</v>
      </c>
      <c r="H3375">
        <v>0.32</v>
      </c>
      <c r="I3375" t="s">
        <v>15</v>
      </c>
      <c r="J3375">
        <v>0</v>
      </c>
      <c r="K3375">
        <v>1</v>
      </c>
      <c r="L3375">
        <v>0</v>
      </c>
      <c r="M3375">
        <f>VLOOKUP(Table1[[#This Row],[subscription_type]],Plans!$A$1:$B$5,2,FALSE)</f>
        <v>9.99</v>
      </c>
      <c r="N3375">
        <f t="shared" si="52"/>
        <v>0</v>
      </c>
    </row>
    <row r="3376" spans="1:14" x14ac:dyDescent="0.35">
      <c r="A3376">
        <v>3375</v>
      </c>
      <c r="B3376" t="s">
        <v>12</v>
      </c>
      <c r="C3376">
        <v>38</v>
      </c>
      <c r="D3376" t="s">
        <v>29</v>
      </c>
      <c r="E3376" t="s">
        <v>24</v>
      </c>
      <c r="F3376">
        <v>248</v>
      </c>
      <c r="G3376">
        <v>65</v>
      </c>
      <c r="H3376">
        <v>0.56999999999999995</v>
      </c>
      <c r="I3376" t="s">
        <v>23</v>
      </c>
      <c r="J3376">
        <v>0</v>
      </c>
      <c r="K3376">
        <v>1</v>
      </c>
      <c r="L3376">
        <v>0</v>
      </c>
      <c r="M3376">
        <f>VLOOKUP(Table1[[#This Row],[subscription_type]],Plans!$A$1:$B$5,2,FALSE)</f>
        <v>4.99</v>
      </c>
      <c r="N3376">
        <f t="shared" si="52"/>
        <v>0</v>
      </c>
    </row>
    <row r="3377" spans="1:14" x14ac:dyDescent="0.35">
      <c r="A3377">
        <v>3376</v>
      </c>
      <c r="B3377" t="s">
        <v>20</v>
      </c>
      <c r="C3377">
        <v>55</v>
      </c>
      <c r="D3377" t="s">
        <v>25</v>
      </c>
      <c r="E3377" t="s">
        <v>24</v>
      </c>
      <c r="F3377">
        <v>235</v>
      </c>
      <c r="G3377">
        <v>60</v>
      </c>
      <c r="H3377">
        <v>0.13</v>
      </c>
      <c r="I3377" t="s">
        <v>19</v>
      </c>
      <c r="J3377">
        <v>0</v>
      </c>
      <c r="K3377">
        <v>1</v>
      </c>
      <c r="L3377">
        <v>1</v>
      </c>
      <c r="M3377">
        <f>VLOOKUP(Table1[[#This Row],[subscription_type]],Plans!$A$1:$B$5,2,FALSE)</f>
        <v>4.99</v>
      </c>
      <c r="N3377">
        <f t="shared" si="52"/>
        <v>4.99</v>
      </c>
    </row>
    <row r="3378" spans="1:14" x14ac:dyDescent="0.35">
      <c r="A3378">
        <v>3377</v>
      </c>
      <c r="B3378" t="s">
        <v>12</v>
      </c>
      <c r="C3378">
        <v>33</v>
      </c>
      <c r="D3378" t="s">
        <v>29</v>
      </c>
      <c r="E3378" t="s">
        <v>14</v>
      </c>
      <c r="F3378">
        <v>83</v>
      </c>
      <c r="G3378">
        <v>71</v>
      </c>
      <c r="H3378">
        <v>0.21</v>
      </c>
      <c r="I3378" t="s">
        <v>15</v>
      </c>
      <c r="J3378">
        <v>46</v>
      </c>
      <c r="K3378">
        <v>0</v>
      </c>
      <c r="L3378">
        <v>1</v>
      </c>
      <c r="M3378">
        <f>VLOOKUP(Table1[[#This Row],[subscription_type]],Plans!$A$1:$B$5,2,FALSE)</f>
        <v>0</v>
      </c>
      <c r="N3378">
        <f t="shared" si="52"/>
        <v>0</v>
      </c>
    </row>
    <row r="3379" spans="1:14" x14ac:dyDescent="0.35">
      <c r="A3379">
        <v>3378</v>
      </c>
      <c r="B3379" t="s">
        <v>20</v>
      </c>
      <c r="C3379">
        <v>29</v>
      </c>
      <c r="D3379" t="s">
        <v>25</v>
      </c>
      <c r="E3379" t="s">
        <v>22</v>
      </c>
      <c r="F3379">
        <v>298</v>
      </c>
      <c r="G3379">
        <v>85</v>
      </c>
      <c r="H3379">
        <v>0.22</v>
      </c>
      <c r="I3379" t="s">
        <v>15</v>
      </c>
      <c r="J3379">
        <v>0</v>
      </c>
      <c r="K3379">
        <v>1</v>
      </c>
      <c r="L3379">
        <v>1</v>
      </c>
      <c r="M3379">
        <f>VLOOKUP(Table1[[#This Row],[subscription_type]],Plans!$A$1:$B$5,2,FALSE)</f>
        <v>9.99</v>
      </c>
      <c r="N3379">
        <f t="shared" si="52"/>
        <v>9.99</v>
      </c>
    </row>
    <row r="3380" spans="1:14" x14ac:dyDescent="0.35">
      <c r="A3380">
        <v>3379</v>
      </c>
      <c r="B3380" t="s">
        <v>16</v>
      </c>
      <c r="C3380">
        <v>33</v>
      </c>
      <c r="D3380" t="s">
        <v>26</v>
      </c>
      <c r="E3380" t="s">
        <v>14</v>
      </c>
      <c r="F3380">
        <v>39</v>
      </c>
      <c r="G3380">
        <v>69</v>
      </c>
      <c r="H3380">
        <v>0.39</v>
      </c>
      <c r="I3380" t="s">
        <v>23</v>
      </c>
      <c r="J3380">
        <v>22</v>
      </c>
      <c r="K3380">
        <v>0</v>
      </c>
      <c r="L3380">
        <v>0</v>
      </c>
      <c r="M3380">
        <f>VLOOKUP(Table1[[#This Row],[subscription_type]],Plans!$A$1:$B$5,2,FALSE)</f>
        <v>0</v>
      </c>
      <c r="N3380">
        <f t="shared" si="52"/>
        <v>0</v>
      </c>
    </row>
    <row r="3381" spans="1:14" x14ac:dyDescent="0.35">
      <c r="A3381">
        <v>3380</v>
      </c>
      <c r="B3381" t="s">
        <v>12</v>
      </c>
      <c r="C3381">
        <v>16</v>
      </c>
      <c r="D3381" t="s">
        <v>21</v>
      </c>
      <c r="E3381" t="s">
        <v>14</v>
      </c>
      <c r="F3381">
        <v>232</v>
      </c>
      <c r="G3381">
        <v>26</v>
      </c>
      <c r="H3381">
        <v>0.09</v>
      </c>
      <c r="I3381" t="s">
        <v>19</v>
      </c>
      <c r="J3381">
        <v>26</v>
      </c>
      <c r="K3381">
        <v>0</v>
      </c>
      <c r="L3381">
        <v>1</v>
      </c>
      <c r="M3381">
        <f>VLOOKUP(Table1[[#This Row],[subscription_type]],Plans!$A$1:$B$5,2,FALSE)</f>
        <v>0</v>
      </c>
      <c r="N3381">
        <f t="shared" si="52"/>
        <v>0</v>
      </c>
    </row>
    <row r="3382" spans="1:14" x14ac:dyDescent="0.35">
      <c r="A3382">
        <v>3381</v>
      </c>
      <c r="B3382" t="s">
        <v>12</v>
      </c>
      <c r="C3382">
        <v>48</v>
      </c>
      <c r="D3382" t="s">
        <v>13</v>
      </c>
      <c r="E3382" t="s">
        <v>22</v>
      </c>
      <c r="F3382">
        <v>125</v>
      </c>
      <c r="G3382">
        <v>37</v>
      </c>
      <c r="H3382">
        <v>0.3</v>
      </c>
      <c r="I3382" t="s">
        <v>15</v>
      </c>
      <c r="J3382">
        <v>0</v>
      </c>
      <c r="K3382">
        <v>1</v>
      </c>
      <c r="L3382">
        <v>0</v>
      </c>
      <c r="M3382">
        <f>VLOOKUP(Table1[[#This Row],[subscription_type]],Plans!$A$1:$B$5,2,FALSE)</f>
        <v>9.99</v>
      </c>
      <c r="N3382">
        <f t="shared" si="52"/>
        <v>0</v>
      </c>
    </row>
    <row r="3383" spans="1:14" x14ac:dyDescent="0.35">
      <c r="A3383">
        <v>3382</v>
      </c>
      <c r="B3383" t="s">
        <v>20</v>
      </c>
      <c r="C3383">
        <v>33</v>
      </c>
      <c r="D3383" t="s">
        <v>13</v>
      </c>
      <c r="E3383" t="s">
        <v>22</v>
      </c>
      <c r="F3383">
        <v>17</v>
      </c>
      <c r="G3383">
        <v>89</v>
      </c>
      <c r="H3383">
        <v>7.0000000000000007E-2</v>
      </c>
      <c r="I3383" t="s">
        <v>15</v>
      </c>
      <c r="J3383">
        <v>0</v>
      </c>
      <c r="K3383">
        <v>1</v>
      </c>
      <c r="L3383">
        <v>0</v>
      </c>
      <c r="M3383">
        <f>VLOOKUP(Table1[[#This Row],[subscription_type]],Plans!$A$1:$B$5,2,FALSE)</f>
        <v>9.99</v>
      </c>
      <c r="N3383">
        <f t="shared" si="52"/>
        <v>0</v>
      </c>
    </row>
    <row r="3384" spans="1:14" x14ac:dyDescent="0.35">
      <c r="A3384">
        <v>3383</v>
      </c>
      <c r="B3384" t="s">
        <v>16</v>
      </c>
      <c r="C3384">
        <v>50</v>
      </c>
      <c r="D3384" t="s">
        <v>17</v>
      </c>
      <c r="E3384" t="s">
        <v>18</v>
      </c>
      <c r="F3384">
        <v>88</v>
      </c>
      <c r="G3384">
        <v>20</v>
      </c>
      <c r="H3384">
        <v>0.23</v>
      </c>
      <c r="I3384" t="s">
        <v>23</v>
      </c>
      <c r="J3384">
        <v>0</v>
      </c>
      <c r="K3384">
        <v>1</v>
      </c>
      <c r="L3384">
        <v>0</v>
      </c>
      <c r="M3384">
        <f>VLOOKUP(Table1[[#This Row],[subscription_type]],Plans!$A$1:$B$5,2,FALSE)</f>
        <v>14.99</v>
      </c>
      <c r="N3384">
        <f t="shared" si="52"/>
        <v>0</v>
      </c>
    </row>
    <row r="3385" spans="1:14" x14ac:dyDescent="0.35">
      <c r="A3385">
        <v>3384</v>
      </c>
      <c r="B3385" t="s">
        <v>20</v>
      </c>
      <c r="C3385">
        <v>24</v>
      </c>
      <c r="D3385" t="s">
        <v>28</v>
      </c>
      <c r="E3385" t="s">
        <v>24</v>
      </c>
      <c r="F3385">
        <v>110</v>
      </c>
      <c r="G3385">
        <v>6</v>
      </c>
      <c r="H3385">
        <v>0.3</v>
      </c>
      <c r="I3385" t="s">
        <v>19</v>
      </c>
      <c r="J3385">
        <v>0</v>
      </c>
      <c r="K3385">
        <v>1</v>
      </c>
      <c r="L3385">
        <v>1</v>
      </c>
      <c r="M3385">
        <f>VLOOKUP(Table1[[#This Row],[subscription_type]],Plans!$A$1:$B$5,2,FALSE)</f>
        <v>4.99</v>
      </c>
      <c r="N3385">
        <f t="shared" si="52"/>
        <v>4.99</v>
      </c>
    </row>
    <row r="3386" spans="1:14" x14ac:dyDescent="0.35">
      <c r="A3386">
        <v>3385</v>
      </c>
      <c r="B3386" t="s">
        <v>12</v>
      </c>
      <c r="C3386">
        <v>21</v>
      </c>
      <c r="D3386" t="s">
        <v>21</v>
      </c>
      <c r="E3386" t="s">
        <v>24</v>
      </c>
      <c r="F3386">
        <v>262</v>
      </c>
      <c r="G3386">
        <v>18</v>
      </c>
      <c r="H3386">
        <v>0.03</v>
      </c>
      <c r="I3386" t="s">
        <v>15</v>
      </c>
      <c r="J3386">
        <v>0</v>
      </c>
      <c r="K3386">
        <v>1</v>
      </c>
      <c r="L3386">
        <v>0</v>
      </c>
      <c r="M3386">
        <f>VLOOKUP(Table1[[#This Row],[subscription_type]],Plans!$A$1:$B$5,2,FALSE)</f>
        <v>4.99</v>
      </c>
      <c r="N3386">
        <f t="shared" si="52"/>
        <v>0</v>
      </c>
    </row>
    <row r="3387" spans="1:14" x14ac:dyDescent="0.35">
      <c r="A3387">
        <v>3386</v>
      </c>
      <c r="B3387" t="s">
        <v>12</v>
      </c>
      <c r="C3387">
        <v>55</v>
      </c>
      <c r="D3387" t="s">
        <v>29</v>
      </c>
      <c r="E3387" t="s">
        <v>18</v>
      </c>
      <c r="F3387">
        <v>256</v>
      </c>
      <c r="G3387">
        <v>99</v>
      </c>
      <c r="H3387">
        <v>0.5</v>
      </c>
      <c r="I3387" t="s">
        <v>19</v>
      </c>
      <c r="J3387">
        <v>0</v>
      </c>
      <c r="K3387">
        <v>1</v>
      </c>
      <c r="L3387">
        <v>0</v>
      </c>
      <c r="M3387">
        <f>VLOOKUP(Table1[[#This Row],[subscription_type]],Plans!$A$1:$B$5,2,FALSE)</f>
        <v>14.99</v>
      </c>
      <c r="N3387">
        <f t="shared" si="52"/>
        <v>0</v>
      </c>
    </row>
    <row r="3388" spans="1:14" x14ac:dyDescent="0.35">
      <c r="A3388">
        <v>3387</v>
      </c>
      <c r="B3388" t="s">
        <v>16</v>
      </c>
      <c r="C3388">
        <v>47</v>
      </c>
      <c r="D3388" t="s">
        <v>25</v>
      </c>
      <c r="E3388" t="s">
        <v>22</v>
      </c>
      <c r="F3388">
        <v>73</v>
      </c>
      <c r="G3388">
        <v>2</v>
      </c>
      <c r="H3388">
        <v>0.03</v>
      </c>
      <c r="I3388" t="s">
        <v>23</v>
      </c>
      <c r="J3388">
        <v>0</v>
      </c>
      <c r="K3388">
        <v>1</v>
      </c>
      <c r="L3388">
        <v>0</v>
      </c>
      <c r="M3388">
        <f>VLOOKUP(Table1[[#This Row],[subscription_type]],Plans!$A$1:$B$5,2,FALSE)</f>
        <v>9.99</v>
      </c>
      <c r="N3388">
        <f t="shared" si="52"/>
        <v>0</v>
      </c>
    </row>
    <row r="3389" spans="1:14" x14ac:dyDescent="0.35">
      <c r="A3389">
        <v>3388</v>
      </c>
      <c r="B3389" t="s">
        <v>20</v>
      </c>
      <c r="C3389">
        <v>59</v>
      </c>
      <c r="D3389" t="s">
        <v>29</v>
      </c>
      <c r="E3389" t="s">
        <v>24</v>
      </c>
      <c r="F3389">
        <v>120</v>
      </c>
      <c r="G3389">
        <v>83</v>
      </c>
      <c r="H3389">
        <v>0.17</v>
      </c>
      <c r="I3389" t="s">
        <v>19</v>
      </c>
      <c r="J3389">
        <v>0</v>
      </c>
      <c r="K3389">
        <v>1</v>
      </c>
      <c r="L3389">
        <v>0</v>
      </c>
      <c r="M3389">
        <f>VLOOKUP(Table1[[#This Row],[subscription_type]],Plans!$A$1:$B$5,2,FALSE)</f>
        <v>4.99</v>
      </c>
      <c r="N3389">
        <f t="shared" si="52"/>
        <v>0</v>
      </c>
    </row>
    <row r="3390" spans="1:14" x14ac:dyDescent="0.35">
      <c r="A3390">
        <v>3389</v>
      </c>
      <c r="B3390" t="s">
        <v>16</v>
      </c>
      <c r="C3390">
        <v>49</v>
      </c>
      <c r="D3390" t="s">
        <v>29</v>
      </c>
      <c r="E3390" t="s">
        <v>24</v>
      </c>
      <c r="F3390">
        <v>36</v>
      </c>
      <c r="G3390">
        <v>58</v>
      </c>
      <c r="H3390">
        <v>0.49</v>
      </c>
      <c r="I3390" t="s">
        <v>23</v>
      </c>
      <c r="J3390">
        <v>0</v>
      </c>
      <c r="K3390">
        <v>1</v>
      </c>
      <c r="L3390">
        <v>0</v>
      </c>
      <c r="M3390">
        <f>VLOOKUP(Table1[[#This Row],[subscription_type]],Plans!$A$1:$B$5,2,FALSE)</f>
        <v>4.99</v>
      </c>
      <c r="N3390">
        <f t="shared" si="52"/>
        <v>0</v>
      </c>
    </row>
    <row r="3391" spans="1:14" x14ac:dyDescent="0.35">
      <c r="A3391">
        <v>3390</v>
      </c>
      <c r="B3391" t="s">
        <v>16</v>
      </c>
      <c r="C3391">
        <v>50</v>
      </c>
      <c r="D3391" t="s">
        <v>28</v>
      </c>
      <c r="E3391" t="s">
        <v>24</v>
      </c>
      <c r="F3391">
        <v>285</v>
      </c>
      <c r="G3391">
        <v>81</v>
      </c>
      <c r="H3391">
        <v>0.17</v>
      </c>
      <c r="I3391" t="s">
        <v>15</v>
      </c>
      <c r="J3391">
        <v>0</v>
      </c>
      <c r="K3391">
        <v>1</v>
      </c>
      <c r="L3391">
        <v>0</v>
      </c>
      <c r="M3391">
        <f>VLOOKUP(Table1[[#This Row],[subscription_type]],Plans!$A$1:$B$5,2,FALSE)</f>
        <v>4.99</v>
      </c>
      <c r="N3391">
        <f t="shared" si="52"/>
        <v>0</v>
      </c>
    </row>
    <row r="3392" spans="1:14" x14ac:dyDescent="0.35">
      <c r="A3392">
        <v>3391</v>
      </c>
      <c r="B3392" t="s">
        <v>20</v>
      </c>
      <c r="C3392">
        <v>27</v>
      </c>
      <c r="D3392" t="s">
        <v>28</v>
      </c>
      <c r="E3392" t="s">
        <v>24</v>
      </c>
      <c r="F3392">
        <v>153</v>
      </c>
      <c r="G3392">
        <v>47</v>
      </c>
      <c r="H3392">
        <v>0.32</v>
      </c>
      <c r="I3392" t="s">
        <v>19</v>
      </c>
      <c r="J3392">
        <v>0</v>
      </c>
      <c r="K3392">
        <v>1</v>
      </c>
      <c r="L3392">
        <v>0</v>
      </c>
      <c r="M3392">
        <f>VLOOKUP(Table1[[#This Row],[subscription_type]],Plans!$A$1:$B$5,2,FALSE)</f>
        <v>4.99</v>
      </c>
      <c r="N3392">
        <f t="shared" si="52"/>
        <v>0</v>
      </c>
    </row>
    <row r="3393" spans="1:14" x14ac:dyDescent="0.35">
      <c r="A3393">
        <v>3392</v>
      </c>
      <c r="B3393" t="s">
        <v>20</v>
      </c>
      <c r="C3393">
        <v>31</v>
      </c>
      <c r="D3393" t="s">
        <v>29</v>
      </c>
      <c r="E3393" t="s">
        <v>18</v>
      </c>
      <c r="F3393">
        <v>148</v>
      </c>
      <c r="G3393">
        <v>7</v>
      </c>
      <c r="H3393">
        <v>0.18</v>
      </c>
      <c r="I3393" t="s">
        <v>15</v>
      </c>
      <c r="J3393">
        <v>0</v>
      </c>
      <c r="K3393">
        <v>1</v>
      </c>
      <c r="L3393">
        <v>0</v>
      </c>
      <c r="M3393">
        <f>VLOOKUP(Table1[[#This Row],[subscription_type]],Plans!$A$1:$B$5,2,FALSE)</f>
        <v>14.99</v>
      </c>
      <c r="N3393">
        <f t="shared" si="52"/>
        <v>0</v>
      </c>
    </row>
    <row r="3394" spans="1:14" x14ac:dyDescent="0.35">
      <c r="A3394">
        <v>3393</v>
      </c>
      <c r="B3394" t="s">
        <v>12</v>
      </c>
      <c r="C3394">
        <v>18</v>
      </c>
      <c r="D3394" t="s">
        <v>26</v>
      </c>
      <c r="E3394" t="s">
        <v>14</v>
      </c>
      <c r="F3394">
        <v>201</v>
      </c>
      <c r="G3394">
        <v>68</v>
      </c>
      <c r="H3394">
        <v>0.52</v>
      </c>
      <c r="I3394" t="s">
        <v>15</v>
      </c>
      <c r="J3394">
        <v>12</v>
      </c>
      <c r="K3394">
        <v>0</v>
      </c>
      <c r="L3394">
        <v>0</v>
      </c>
      <c r="M3394">
        <f>VLOOKUP(Table1[[#This Row],[subscription_type]],Plans!$A$1:$B$5,2,FALSE)</f>
        <v>0</v>
      </c>
      <c r="N3394">
        <f t="shared" ref="N3394:N3457" si="53">IF(L3394=1, M3394,0)</f>
        <v>0</v>
      </c>
    </row>
    <row r="3395" spans="1:14" x14ac:dyDescent="0.35">
      <c r="A3395">
        <v>3394</v>
      </c>
      <c r="B3395" t="s">
        <v>12</v>
      </c>
      <c r="C3395">
        <v>55</v>
      </c>
      <c r="D3395" t="s">
        <v>27</v>
      </c>
      <c r="E3395" t="s">
        <v>22</v>
      </c>
      <c r="F3395">
        <v>13</v>
      </c>
      <c r="G3395">
        <v>54</v>
      </c>
      <c r="H3395">
        <v>0.26</v>
      </c>
      <c r="I3395" t="s">
        <v>23</v>
      </c>
      <c r="J3395">
        <v>0</v>
      </c>
      <c r="K3395">
        <v>1</v>
      </c>
      <c r="L3395">
        <v>0</v>
      </c>
      <c r="M3395">
        <f>VLOOKUP(Table1[[#This Row],[subscription_type]],Plans!$A$1:$B$5,2,FALSE)</f>
        <v>9.99</v>
      </c>
      <c r="N3395">
        <f t="shared" si="53"/>
        <v>0</v>
      </c>
    </row>
    <row r="3396" spans="1:14" x14ac:dyDescent="0.35">
      <c r="A3396">
        <v>3395</v>
      </c>
      <c r="B3396" t="s">
        <v>20</v>
      </c>
      <c r="C3396">
        <v>23</v>
      </c>
      <c r="D3396" t="s">
        <v>28</v>
      </c>
      <c r="E3396" t="s">
        <v>22</v>
      </c>
      <c r="F3396">
        <v>132</v>
      </c>
      <c r="G3396">
        <v>45</v>
      </c>
      <c r="H3396">
        <v>0.12</v>
      </c>
      <c r="I3396" t="s">
        <v>19</v>
      </c>
      <c r="J3396">
        <v>0</v>
      </c>
      <c r="K3396">
        <v>1</v>
      </c>
      <c r="L3396">
        <v>0</v>
      </c>
      <c r="M3396">
        <f>VLOOKUP(Table1[[#This Row],[subscription_type]],Plans!$A$1:$B$5,2,FALSE)</f>
        <v>9.99</v>
      </c>
      <c r="N3396">
        <f t="shared" si="53"/>
        <v>0</v>
      </c>
    </row>
    <row r="3397" spans="1:14" x14ac:dyDescent="0.35">
      <c r="A3397">
        <v>3396</v>
      </c>
      <c r="B3397" t="s">
        <v>20</v>
      </c>
      <c r="C3397">
        <v>33</v>
      </c>
      <c r="D3397" t="s">
        <v>13</v>
      </c>
      <c r="E3397" t="s">
        <v>18</v>
      </c>
      <c r="F3397">
        <v>165</v>
      </c>
      <c r="G3397">
        <v>51</v>
      </c>
      <c r="H3397">
        <v>0.52</v>
      </c>
      <c r="I3397" t="s">
        <v>19</v>
      </c>
      <c r="J3397">
        <v>0</v>
      </c>
      <c r="K3397">
        <v>1</v>
      </c>
      <c r="L3397">
        <v>1</v>
      </c>
      <c r="M3397">
        <f>VLOOKUP(Table1[[#This Row],[subscription_type]],Plans!$A$1:$B$5,2,FALSE)</f>
        <v>14.99</v>
      </c>
      <c r="N3397">
        <f t="shared" si="53"/>
        <v>14.99</v>
      </c>
    </row>
    <row r="3398" spans="1:14" x14ac:dyDescent="0.35">
      <c r="A3398">
        <v>3397</v>
      </c>
      <c r="B3398" t="s">
        <v>16</v>
      </c>
      <c r="C3398">
        <v>35</v>
      </c>
      <c r="D3398" t="s">
        <v>13</v>
      </c>
      <c r="E3398" t="s">
        <v>24</v>
      </c>
      <c r="F3398">
        <v>272</v>
      </c>
      <c r="G3398">
        <v>61</v>
      </c>
      <c r="H3398">
        <v>0.04</v>
      </c>
      <c r="I3398" t="s">
        <v>15</v>
      </c>
      <c r="J3398">
        <v>0</v>
      </c>
      <c r="K3398">
        <v>1</v>
      </c>
      <c r="L3398">
        <v>0</v>
      </c>
      <c r="M3398">
        <f>VLOOKUP(Table1[[#This Row],[subscription_type]],Plans!$A$1:$B$5,2,FALSE)</f>
        <v>4.99</v>
      </c>
      <c r="N3398">
        <f t="shared" si="53"/>
        <v>0</v>
      </c>
    </row>
    <row r="3399" spans="1:14" x14ac:dyDescent="0.35">
      <c r="A3399">
        <v>3398</v>
      </c>
      <c r="B3399" t="s">
        <v>16</v>
      </c>
      <c r="C3399">
        <v>57</v>
      </c>
      <c r="D3399" t="s">
        <v>27</v>
      </c>
      <c r="E3399" t="s">
        <v>18</v>
      </c>
      <c r="F3399">
        <v>161</v>
      </c>
      <c r="G3399">
        <v>19</v>
      </c>
      <c r="H3399">
        <v>0.32</v>
      </c>
      <c r="I3399" t="s">
        <v>15</v>
      </c>
      <c r="J3399">
        <v>0</v>
      </c>
      <c r="K3399">
        <v>1</v>
      </c>
      <c r="L3399">
        <v>0</v>
      </c>
      <c r="M3399">
        <f>VLOOKUP(Table1[[#This Row],[subscription_type]],Plans!$A$1:$B$5,2,FALSE)</f>
        <v>14.99</v>
      </c>
      <c r="N3399">
        <f t="shared" si="53"/>
        <v>0</v>
      </c>
    </row>
    <row r="3400" spans="1:14" x14ac:dyDescent="0.35">
      <c r="A3400">
        <v>3399</v>
      </c>
      <c r="B3400" t="s">
        <v>20</v>
      </c>
      <c r="C3400">
        <v>57</v>
      </c>
      <c r="D3400" t="s">
        <v>25</v>
      </c>
      <c r="E3400" t="s">
        <v>18</v>
      </c>
      <c r="F3400">
        <v>189</v>
      </c>
      <c r="G3400">
        <v>59</v>
      </c>
      <c r="H3400">
        <v>0.59</v>
      </c>
      <c r="I3400" t="s">
        <v>19</v>
      </c>
      <c r="J3400">
        <v>0</v>
      </c>
      <c r="K3400">
        <v>1</v>
      </c>
      <c r="L3400">
        <v>0</v>
      </c>
      <c r="M3400">
        <f>VLOOKUP(Table1[[#This Row],[subscription_type]],Plans!$A$1:$B$5,2,FALSE)</f>
        <v>14.99</v>
      </c>
      <c r="N3400">
        <f t="shared" si="53"/>
        <v>0</v>
      </c>
    </row>
    <row r="3401" spans="1:14" x14ac:dyDescent="0.35">
      <c r="A3401">
        <v>3400</v>
      </c>
      <c r="B3401" t="s">
        <v>20</v>
      </c>
      <c r="C3401">
        <v>48</v>
      </c>
      <c r="D3401" t="s">
        <v>28</v>
      </c>
      <c r="E3401" t="s">
        <v>14</v>
      </c>
      <c r="F3401">
        <v>100</v>
      </c>
      <c r="G3401">
        <v>52</v>
      </c>
      <c r="H3401">
        <v>0.31</v>
      </c>
      <c r="I3401" t="s">
        <v>19</v>
      </c>
      <c r="J3401">
        <v>13</v>
      </c>
      <c r="K3401">
        <v>0</v>
      </c>
      <c r="L3401">
        <v>0</v>
      </c>
      <c r="M3401">
        <f>VLOOKUP(Table1[[#This Row],[subscription_type]],Plans!$A$1:$B$5,2,FALSE)</f>
        <v>0</v>
      </c>
      <c r="N3401">
        <f t="shared" si="53"/>
        <v>0</v>
      </c>
    </row>
    <row r="3402" spans="1:14" x14ac:dyDescent="0.35">
      <c r="A3402">
        <v>3401</v>
      </c>
      <c r="B3402" t="s">
        <v>12</v>
      </c>
      <c r="C3402">
        <v>37</v>
      </c>
      <c r="D3402" t="s">
        <v>26</v>
      </c>
      <c r="E3402" t="s">
        <v>18</v>
      </c>
      <c r="F3402">
        <v>57</v>
      </c>
      <c r="G3402">
        <v>93</v>
      </c>
      <c r="H3402">
        <v>0.08</v>
      </c>
      <c r="I3402" t="s">
        <v>19</v>
      </c>
      <c r="J3402">
        <v>0</v>
      </c>
      <c r="K3402">
        <v>1</v>
      </c>
      <c r="L3402">
        <v>1</v>
      </c>
      <c r="M3402">
        <f>VLOOKUP(Table1[[#This Row],[subscription_type]],Plans!$A$1:$B$5,2,FALSE)</f>
        <v>14.99</v>
      </c>
      <c r="N3402">
        <f t="shared" si="53"/>
        <v>14.99</v>
      </c>
    </row>
    <row r="3403" spans="1:14" x14ac:dyDescent="0.35">
      <c r="A3403">
        <v>3402</v>
      </c>
      <c r="B3403" t="s">
        <v>20</v>
      </c>
      <c r="C3403">
        <v>38</v>
      </c>
      <c r="D3403" t="s">
        <v>28</v>
      </c>
      <c r="E3403" t="s">
        <v>18</v>
      </c>
      <c r="F3403">
        <v>90</v>
      </c>
      <c r="G3403">
        <v>12</v>
      </c>
      <c r="H3403">
        <v>0.41</v>
      </c>
      <c r="I3403" t="s">
        <v>15</v>
      </c>
      <c r="J3403">
        <v>0</v>
      </c>
      <c r="K3403">
        <v>1</v>
      </c>
      <c r="L3403">
        <v>0</v>
      </c>
      <c r="M3403">
        <f>VLOOKUP(Table1[[#This Row],[subscription_type]],Plans!$A$1:$B$5,2,FALSE)</f>
        <v>14.99</v>
      </c>
      <c r="N3403">
        <f t="shared" si="53"/>
        <v>0</v>
      </c>
    </row>
    <row r="3404" spans="1:14" x14ac:dyDescent="0.35">
      <c r="A3404">
        <v>3403</v>
      </c>
      <c r="B3404" t="s">
        <v>20</v>
      </c>
      <c r="C3404">
        <v>17</v>
      </c>
      <c r="D3404" t="s">
        <v>26</v>
      </c>
      <c r="E3404" t="s">
        <v>18</v>
      </c>
      <c r="F3404">
        <v>53</v>
      </c>
      <c r="G3404">
        <v>54</v>
      </c>
      <c r="H3404">
        <v>0.24</v>
      </c>
      <c r="I3404" t="s">
        <v>15</v>
      </c>
      <c r="J3404">
        <v>0</v>
      </c>
      <c r="K3404">
        <v>1</v>
      </c>
      <c r="L3404">
        <v>1</v>
      </c>
      <c r="M3404">
        <f>VLOOKUP(Table1[[#This Row],[subscription_type]],Plans!$A$1:$B$5,2,FALSE)</f>
        <v>14.99</v>
      </c>
      <c r="N3404">
        <f t="shared" si="53"/>
        <v>14.99</v>
      </c>
    </row>
    <row r="3405" spans="1:14" x14ac:dyDescent="0.35">
      <c r="A3405">
        <v>3404</v>
      </c>
      <c r="B3405" t="s">
        <v>20</v>
      </c>
      <c r="C3405">
        <v>59</v>
      </c>
      <c r="D3405" t="s">
        <v>21</v>
      </c>
      <c r="E3405" t="s">
        <v>22</v>
      </c>
      <c r="F3405">
        <v>230</v>
      </c>
      <c r="G3405">
        <v>63</v>
      </c>
      <c r="H3405">
        <v>0.25</v>
      </c>
      <c r="I3405" t="s">
        <v>15</v>
      </c>
      <c r="J3405">
        <v>0</v>
      </c>
      <c r="K3405">
        <v>1</v>
      </c>
      <c r="L3405">
        <v>0</v>
      </c>
      <c r="M3405">
        <f>VLOOKUP(Table1[[#This Row],[subscription_type]],Plans!$A$1:$B$5,2,FALSE)</f>
        <v>9.99</v>
      </c>
      <c r="N3405">
        <f t="shared" si="53"/>
        <v>0</v>
      </c>
    </row>
    <row r="3406" spans="1:14" x14ac:dyDescent="0.35">
      <c r="A3406">
        <v>3405</v>
      </c>
      <c r="B3406" t="s">
        <v>12</v>
      </c>
      <c r="C3406">
        <v>24</v>
      </c>
      <c r="D3406" t="s">
        <v>25</v>
      </c>
      <c r="E3406" t="s">
        <v>22</v>
      </c>
      <c r="F3406">
        <v>24</v>
      </c>
      <c r="G3406">
        <v>22</v>
      </c>
      <c r="H3406">
        <v>0.15</v>
      </c>
      <c r="I3406" t="s">
        <v>23</v>
      </c>
      <c r="J3406">
        <v>0</v>
      </c>
      <c r="K3406">
        <v>1</v>
      </c>
      <c r="L3406">
        <v>0</v>
      </c>
      <c r="M3406">
        <f>VLOOKUP(Table1[[#This Row],[subscription_type]],Plans!$A$1:$B$5,2,FALSE)</f>
        <v>9.99</v>
      </c>
      <c r="N3406">
        <f t="shared" si="53"/>
        <v>0</v>
      </c>
    </row>
    <row r="3407" spans="1:14" x14ac:dyDescent="0.35">
      <c r="A3407">
        <v>3406</v>
      </c>
      <c r="B3407" t="s">
        <v>16</v>
      </c>
      <c r="C3407">
        <v>51</v>
      </c>
      <c r="D3407" t="s">
        <v>26</v>
      </c>
      <c r="E3407" t="s">
        <v>14</v>
      </c>
      <c r="F3407">
        <v>211</v>
      </c>
      <c r="G3407">
        <v>2</v>
      </c>
      <c r="H3407">
        <v>0.1</v>
      </c>
      <c r="I3407" t="s">
        <v>19</v>
      </c>
      <c r="J3407">
        <v>6</v>
      </c>
      <c r="K3407">
        <v>0</v>
      </c>
      <c r="L3407">
        <v>0</v>
      </c>
      <c r="M3407">
        <f>VLOOKUP(Table1[[#This Row],[subscription_type]],Plans!$A$1:$B$5,2,FALSE)</f>
        <v>0</v>
      </c>
      <c r="N3407">
        <f t="shared" si="53"/>
        <v>0</v>
      </c>
    </row>
    <row r="3408" spans="1:14" x14ac:dyDescent="0.35">
      <c r="A3408">
        <v>3407</v>
      </c>
      <c r="B3408" t="s">
        <v>16</v>
      </c>
      <c r="C3408">
        <v>50</v>
      </c>
      <c r="D3408" t="s">
        <v>17</v>
      </c>
      <c r="E3408" t="s">
        <v>18</v>
      </c>
      <c r="F3408">
        <v>79</v>
      </c>
      <c r="G3408">
        <v>89</v>
      </c>
      <c r="H3408">
        <v>0.2</v>
      </c>
      <c r="I3408" t="s">
        <v>15</v>
      </c>
      <c r="J3408">
        <v>0</v>
      </c>
      <c r="K3408">
        <v>1</v>
      </c>
      <c r="L3408">
        <v>0</v>
      </c>
      <c r="M3408">
        <f>VLOOKUP(Table1[[#This Row],[subscription_type]],Plans!$A$1:$B$5,2,FALSE)</f>
        <v>14.99</v>
      </c>
      <c r="N3408">
        <f t="shared" si="53"/>
        <v>0</v>
      </c>
    </row>
    <row r="3409" spans="1:14" x14ac:dyDescent="0.35">
      <c r="A3409">
        <v>3408</v>
      </c>
      <c r="B3409" t="s">
        <v>12</v>
      </c>
      <c r="C3409">
        <v>55</v>
      </c>
      <c r="D3409" t="s">
        <v>13</v>
      </c>
      <c r="E3409" t="s">
        <v>24</v>
      </c>
      <c r="F3409">
        <v>252</v>
      </c>
      <c r="G3409">
        <v>63</v>
      </c>
      <c r="H3409">
        <v>0.02</v>
      </c>
      <c r="I3409" t="s">
        <v>15</v>
      </c>
      <c r="J3409">
        <v>0</v>
      </c>
      <c r="K3409">
        <v>1</v>
      </c>
      <c r="L3409">
        <v>0</v>
      </c>
      <c r="M3409">
        <f>VLOOKUP(Table1[[#This Row],[subscription_type]],Plans!$A$1:$B$5,2,FALSE)</f>
        <v>4.99</v>
      </c>
      <c r="N3409">
        <f t="shared" si="53"/>
        <v>0</v>
      </c>
    </row>
    <row r="3410" spans="1:14" x14ac:dyDescent="0.35">
      <c r="A3410">
        <v>3409</v>
      </c>
      <c r="B3410" t="s">
        <v>16</v>
      </c>
      <c r="C3410">
        <v>16</v>
      </c>
      <c r="D3410" t="s">
        <v>28</v>
      </c>
      <c r="E3410" t="s">
        <v>18</v>
      </c>
      <c r="F3410">
        <v>153</v>
      </c>
      <c r="G3410">
        <v>85</v>
      </c>
      <c r="H3410">
        <v>0.15</v>
      </c>
      <c r="I3410" t="s">
        <v>15</v>
      </c>
      <c r="J3410">
        <v>0</v>
      </c>
      <c r="K3410">
        <v>1</v>
      </c>
      <c r="L3410">
        <v>0</v>
      </c>
      <c r="M3410">
        <f>VLOOKUP(Table1[[#This Row],[subscription_type]],Plans!$A$1:$B$5,2,FALSE)</f>
        <v>14.99</v>
      </c>
      <c r="N3410">
        <f t="shared" si="53"/>
        <v>0</v>
      </c>
    </row>
    <row r="3411" spans="1:14" x14ac:dyDescent="0.35">
      <c r="A3411">
        <v>3410</v>
      </c>
      <c r="B3411" t="s">
        <v>16</v>
      </c>
      <c r="C3411">
        <v>22</v>
      </c>
      <c r="D3411" t="s">
        <v>13</v>
      </c>
      <c r="E3411" t="s">
        <v>24</v>
      </c>
      <c r="F3411">
        <v>111</v>
      </c>
      <c r="G3411">
        <v>50</v>
      </c>
      <c r="H3411">
        <v>0.4</v>
      </c>
      <c r="I3411" t="s">
        <v>19</v>
      </c>
      <c r="J3411">
        <v>0</v>
      </c>
      <c r="K3411">
        <v>1</v>
      </c>
      <c r="L3411">
        <v>0</v>
      </c>
      <c r="M3411">
        <f>VLOOKUP(Table1[[#This Row],[subscription_type]],Plans!$A$1:$B$5,2,FALSE)</f>
        <v>4.99</v>
      </c>
      <c r="N3411">
        <f t="shared" si="53"/>
        <v>0</v>
      </c>
    </row>
    <row r="3412" spans="1:14" x14ac:dyDescent="0.35">
      <c r="A3412">
        <v>3411</v>
      </c>
      <c r="B3412" t="s">
        <v>12</v>
      </c>
      <c r="C3412">
        <v>21</v>
      </c>
      <c r="D3412" t="s">
        <v>29</v>
      </c>
      <c r="E3412" t="s">
        <v>24</v>
      </c>
      <c r="F3412">
        <v>260</v>
      </c>
      <c r="G3412">
        <v>54</v>
      </c>
      <c r="H3412">
        <v>0.36</v>
      </c>
      <c r="I3412" t="s">
        <v>23</v>
      </c>
      <c r="J3412">
        <v>0</v>
      </c>
      <c r="K3412">
        <v>1</v>
      </c>
      <c r="L3412">
        <v>1</v>
      </c>
      <c r="M3412">
        <f>VLOOKUP(Table1[[#This Row],[subscription_type]],Plans!$A$1:$B$5,2,FALSE)</f>
        <v>4.99</v>
      </c>
      <c r="N3412">
        <f t="shared" si="53"/>
        <v>4.99</v>
      </c>
    </row>
    <row r="3413" spans="1:14" x14ac:dyDescent="0.35">
      <c r="A3413">
        <v>3412</v>
      </c>
      <c r="B3413" t="s">
        <v>16</v>
      </c>
      <c r="C3413">
        <v>43</v>
      </c>
      <c r="D3413" t="s">
        <v>25</v>
      </c>
      <c r="E3413" t="s">
        <v>24</v>
      </c>
      <c r="F3413">
        <v>250</v>
      </c>
      <c r="G3413">
        <v>60</v>
      </c>
      <c r="H3413">
        <v>0.37</v>
      </c>
      <c r="I3413" t="s">
        <v>15</v>
      </c>
      <c r="J3413">
        <v>0</v>
      </c>
      <c r="K3413">
        <v>1</v>
      </c>
      <c r="L3413">
        <v>0</v>
      </c>
      <c r="M3413">
        <f>VLOOKUP(Table1[[#This Row],[subscription_type]],Plans!$A$1:$B$5,2,FALSE)</f>
        <v>4.99</v>
      </c>
      <c r="N3413">
        <f t="shared" si="53"/>
        <v>0</v>
      </c>
    </row>
    <row r="3414" spans="1:14" x14ac:dyDescent="0.35">
      <c r="A3414">
        <v>3413</v>
      </c>
      <c r="B3414" t="s">
        <v>16</v>
      </c>
      <c r="C3414">
        <v>19</v>
      </c>
      <c r="D3414" t="s">
        <v>21</v>
      </c>
      <c r="E3414" t="s">
        <v>22</v>
      </c>
      <c r="F3414">
        <v>163</v>
      </c>
      <c r="G3414">
        <v>58</v>
      </c>
      <c r="H3414">
        <v>0.57999999999999996</v>
      </c>
      <c r="I3414" t="s">
        <v>23</v>
      </c>
      <c r="J3414">
        <v>0</v>
      </c>
      <c r="K3414">
        <v>1</v>
      </c>
      <c r="L3414">
        <v>0</v>
      </c>
      <c r="M3414">
        <f>VLOOKUP(Table1[[#This Row],[subscription_type]],Plans!$A$1:$B$5,2,FALSE)</f>
        <v>9.99</v>
      </c>
      <c r="N3414">
        <f t="shared" si="53"/>
        <v>0</v>
      </c>
    </row>
    <row r="3415" spans="1:14" x14ac:dyDescent="0.35">
      <c r="A3415">
        <v>3414</v>
      </c>
      <c r="B3415" t="s">
        <v>12</v>
      </c>
      <c r="C3415">
        <v>43</v>
      </c>
      <c r="D3415" t="s">
        <v>29</v>
      </c>
      <c r="E3415" t="s">
        <v>22</v>
      </c>
      <c r="F3415">
        <v>197</v>
      </c>
      <c r="G3415">
        <v>13</v>
      </c>
      <c r="H3415">
        <v>0.54</v>
      </c>
      <c r="I3415" t="s">
        <v>23</v>
      </c>
      <c r="J3415">
        <v>0</v>
      </c>
      <c r="K3415">
        <v>1</v>
      </c>
      <c r="L3415">
        <v>0</v>
      </c>
      <c r="M3415">
        <f>VLOOKUP(Table1[[#This Row],[subscription_type]],Plans!$A$1:$B$5,2,FALSE)</f>
        <v>9.99</v>
      </c>
      <c r="N3415">
        <f t="shared" si="53"/>
        <v>0</v>
      </c>
    </row>
    <row r="3416" spans="1:14" x14ac:dyDescent="0.35">
      <c r="A3416">
        <v>3415</v>
      </c>
      <c r="B3416" t="s">
        <v>20</v>
      </c>
      <c r="C3416">
        <v>27</v>
      </c>
      <c r="D3416" t="s">
        <v>21</v>
      </c>
      <c r="E3416" t="s">
        <v>14</v>
      </c>
      <c r="F3416">
        <v>140</v>
      </c>
      <c r="G3416">
        <v>15</v>
      </c>
      <c r="H3416">
        <v>0.56999999999999995</v>
      </c>
      <c r="I3416" t="s">
        <v>15</v>
      </c>
      <c r="J3416">
        <v>40</v>
      </c>
      <c r="K3416">
        <v>0</v>
      </c>
      <c r="L3416">
        <v>0</v>
      </c>
      <c r="M3416">
        <f>VLOOKUP(Table1[[#This Row],[subscription_type]],Plans!$A$1:$B$5,2,FALSE)</f>
        <v>0</v>
      </c>
      <c r="N3416">
        <f t="shared" si="53"/>
        <v>0</v>
      </c>
    </row>
    <row r="3417" spans="1:14" x14ac:dyDescent="0.35">
      <c r="A3417">
        <v>3416</v>
      </c>
      <c r="B3417" t="s">
        <v>16</v>
      </c>
      <c r="C3417">
        <v>38</v>
      </c>
      <c r="D3417" t="s">
        <v>27</v>
      </c>
      <c r="E3417" t="s">
        <v>22</v>
      </c>
      <c r="F3417">
        <v>37</v>
      </c>
      <c r="G3417">
        <v>64</v>
      </c>
      <c r="H3417">
        <v>0.35</v>
      </c>
      <c r="I3417" t="s">
        <v>19</v>
      </c>
      <c r="J3417">
        <v>0</v>
      </c>
      <c r="K3417">
        <v>1</v>
      </c>
      <c r="L3417">
        <v>1</v>
      </c>
      <c r="M3417">
        <f>VLOOKUP(Table1[[#This Row],[subscription_type]],Plans!$A$1:$B$5,2,FALSE)</f>
        <v>9.99</v>
      </c>
      <c r="N3417">
        <f t="shared" si="53"/>
        <v>9.99</v>
      </c>
    </row>
    <row r="3418" spans="1:14" x14ac:dyDescent="0.35">
      <c r="A3418">
        <v>3417</v>
      </c>
      <c r="B3418" t="s">
        <v>16</v>
      </c>
      <c r="C3418">
        <v>41</v>
      </c>
      <c r="D3418" t="s">
        <v>21</v>
      </c>
      <c r="E3418" t="s">
        <v>18</v>
      </c>
      <c r="F3418">
        <v>212</v>
      </c>
      <c r="G3418">
        <v>52</v>
      </c>
      <c r="H3418">
        <v>0.25</v>
      </c>
      <c r="I3418" t="s">
        <v>19</v>
      </c>
      <c r="J3418">
        <v>0</v>
      </c>
      <c r="K3418">
        <v>1</v>
      </c>
      <c r="L3418">
        <v>1</v>
      </c>
      <c r="M3418">
        <f>VLOOKUP(Table1[[#This Row],[subscription_type]],Plans!$A$1:$B$5,2,FALSE)</f>
        <v>14.99</v>
      </c>
      <c r="N3418">
        <f t="shared" si="53"/>
        <v>14.99</v>
      </c>
    </row>
    <row r="3419" spans="1:14" x14ac:dyDescent="0.35">
      <c r="A3419">
        <v>3418</v>
      </c>
      <c r="B3419" t="s">
        <v>12</v>
      </c>
      <c r="C3419">
        <v>40</v>
      </c>
      <c r="D3419" t="s">
        <v>21</v>
      </c>
      <c r="E3419" t="s">
        <v>22</v>
      </c>
      <c r="F3419">
        <v>11</v>
      </c>
      <c r="G3419">
        <v>70</v>
      </c>
      <c r="H3419">
        <v>0.46</v>
      </c>
      <c r="I3419" t="s">
        <v>19</v>
      </c>
      <c r="J3419">
        <v>0</v>
      </c>
      <c r="K3419">
        <v>1</v>
      </c>
      <c r="L3419">
        <v>0</v>
      </c>
      <c r="M3419">
        <f>VLOOKUP(Table1[[#This Row],[subscription_type]],Plans!$A$1:$B$5,2,FALSE)</f>
        <v>9.99</v>
      </c>
      <c r="N3419">
        <f t="shared" si="53"/>
        <v>0</v>
      </c>
    </row>
    <row r="3420" spans="1:14" x14ac:dyDescent="0.35">
      <c r="A3420">
        <v>3419</v>
      </c>
      <c r="B3420" t="s">
        <v>12</v>
      </c>
      <c r="C3420">
        <v>38</v>
      </c>
      <c r="D3420" t="s">
        <v>17</v>
      </c>
      <c r="E3420" t="s">
        <v>24</v>
      </c>
      <c r="F3420">
        <v>13</v>
      </c>
      <c r="G3420">
        <v>49</v>
      </c>
      <c r="H3420">
        <v>0.04</v>
      </c>
      <c r="I3420" t="s">
        <v>15</v>
      </c>
      <c r="J3420">
        <v>0</v>
      </c>
      <c r="K3420">
        <v>1</v>
      </c>
      <c r="L3420">
        <v>0</v>
      </c>
      <c r="M3420">
        <f>VLOOKUP(Table1[[#This Row],[subscription_type]],Plans!$A$1:$B$5,2,FALSE)</f>
        <v>4.99</v>
      </c>
      <c r="N3420">
        <f t="shared" si="53"/>
        <v>0</v>
      </c>
    </row>
    <row r="3421" spans="1:14" x14ac:dyDescent="0.35">
      <c r="A3421">
        <v>3420</v>
      </c>
      <c r="B3421" t="s">
        <v>12</v>
      </c>
      <c r="C3421">
        <v>30</v>
      </c>
      <c r="D3421" t="s">
        <v>28</v>
      </c>
      <c r="E3421" t="s">
        <v>24</v>
      </c>
      <c r="F3421">
        <v>70</v>
      </c>
      <c r="G3421">
        <v>42</v>
      </c>
      <c r="H3421">
        <v>0.01</v>
      </c>
      <c r="I3421" t="s">
        <v>15</v>
      </c>
      <c r="J3421">
        <v>0</v>
      </c>
      <c r="K3421">
        <v>1</v>
      </c>
      <c r="L3421">
        <v>0</v>
      </c>
      <c r="M3421">
        <f>VLOOKUP(Table1[[#This Row],[subscription_type]],Plans!$A$1:$B$5,2,FALSE)</f>
        <v>4.99</v>
      </c>
      <c r="N3421">
        <f t="shared" si="53"/>
        <v>0</v>
      </c>
    </row>
    <row r="3422" spans="1:14" x14ac:dyDescent="0.35">
      <c r="A3422">
        <v>3421</v>
      </c>
      <c r="B3422" t="s">
        <v>16</v>
      </c>
      <c r="C3422">
        <v>54</v>
      </c>
      <c r="D3422" t="s">
        <v>26</v>
      </c>
      <c r="E3422" t="s">
        <v>14</v>
      </c>
      <c r="F3422">
        <v>197</v>
      </c>
      <c r="G3422">
        <v>39</v>
      </c>
      <c r="H3422">
        <v>0.34</v>
      </c>
      <c r="I3422" t="s">
        <v>23</v>
      </c>
      <c r="J3422">
        <v>29</v>
      </c>
      <c r="K3422">
        <v>0</v>
      </c>
      <c r="L3422">
        <v>0</v>
      </c>
      <c r="M3422">
        <f>VLOOKUP(Table1[[#This Row],[subscription_type]],Plans!$A$1:$B$5,2,FALSE)</f>
        <v>0</v>
      </c>
      <c r="N3422">
        <f t="shared" si="53"/>
        <v>0</v>
      </c>
    </row>
    <row r="3423" spans="1:14" x14ac:dyDescent="0.35">
      <c r="A3423">
        <v>3422</v>
      </c>
      <c r="B3423" t="s">
        <v>20</v>
      </c>
      <c r="C3423">
        <v>42</v>
      </c>
      <c r="D3423" t="s">
        <v>27</v>
      </c>
      <c r="E3423" t="s">
        <v>24</v>
      </c>
      <c r="F3423">
        <v>183</v>
      </c>
      <c r="G3423">
        <v>1</v>
      </c>
      <c r="H3423">
        <v>0.04</v>
      </c>
      <c r="I3423" t="s">
        <v>23</v>
      </c>
      <c r="J3423">
        <v>0</v>
      </c>
      <c r="K3423">
        <v>1</v>
      </c>
      <c r="L3423">
        <v>1</v>
      </c>
      <c r="M3423">
        <f>VLOOKUP(Table1[[#This Row],[subscription_type]],Plans!$A$1:$B$5,2,FALSE)</f>
        <v>4.99</v>
      </c>
      <c r="N3423">
        <f t="shared" si="53"/>
        <v>4.99</v>
      </c>
    </row>
    <row r="3424" spans="1:14" x14ac:dyDescent="0.35">
      <c r="A3424">
        <v>3423</v>
      </c>
      <c r="B3424" t="s">
        <v>20</v>
      </c>
      <c r="C3424">
        <v>42</v>
      </c>
      <c r="D3424" t="s">
        <v>21</v>
      </c>
      <c r="E3424" t="s">
        <v>22</v>
      </c>
      <c r="F3424">
        <v>226</v>
      </c>
      <c r="G3424">
        <v>42</v>
      </c>
      <c r="H3424">
        <v>0.11</v>
      </c>
      <c r="I3424" t="s">
        <v>23</v>
      </c>
      <c r="J3424">
        <v>0</v>
      </c>
      <c r="K3424">
        <v>1</v>
      </c>
      <c r="L3424">
        <v>0</v>
      </c>
      <c r="M3424">
        <f>VLOOKUP(Table1[[#This Row],[subscription_type]],Plans!$A$1:$B$5,2,FALSE)</f>
        <v>9.99</v>
      </c>
      <c r="N3424">
        <f t="shared" si="53"/>
        <v>0</v>
      </c>
    </row>
    <row r="3425" spans="1:14" x14ac:dyDescent="0.35">
      <c r="A3425">
        <v>3424</v>
      </c>
      <c r="B3425" t="s">
        <v>12</v>
      </c>
      <c r="C3425">
        <v>52</v>
      </c>
      <c r="D3425" t="s">
        <v>25</v>
      </c>
      <c r="E3425" t="s">
        <v>14</v>
      </c>
      <c r="F3425">
        <v>145</v>
      </c>
      <c r="G3425">
        <v>55</v>
      </c>
      <c r="H3425">
        <v>0.22</v>
      </c>
      <c r="I3425" t="s">
        <v>15</v>
      </c>
      <c r="J3425">
        <v>16</v>
      </c>
      <c r="K3425">
        <v>0</v>
      </c>
      <c r="L3425">
        <v>0</v>
      </c>
      <c r="M3425">
        <f>VLOOKUP(Table1[[#This Row],[subscription_type]],Plans!$A$1:$B$5,2,FALSE)</f>
        <v>0</v>
      </c>
      <c r="N3425">
        <f t="shared" si="53"/>
        <v>0</v>
      </c>
    </row>
    <row r="3426" spans="1:14" x14ac:dyDescent="0.35">
      <c r="A3426">
        <v>3425</v>
      </c>
      <c r="B3426" t="s">
        <v>20</v>
      </c>
      <c r="C3426">
        <v>24</v>
      </c>
      <c r="D3426" t="s">
        <v>13</v>
      </c>
      <c r="E3426" t="s">
        <v>24</v>
      </c>
      <c r="F3426">
        <v>195</v>
      </c>
      <c r="G3426">
        <v>63</v>
      </c>
      <c r="H3426">
        <v>0.37</v>
      </c>
      <c r="I3426" t="s">
        <v>19</v>
      </c>
      <c r="J3426">
        <v>0</v>
      </c>
      <c r="K3426">
        <v>1</v>
      </c>
      <c r="L3426">
        <v>0</v>
      </c>
      <c r="M3426">
        <f>VLOOKUP(Table1[[#This Row],[subscription_type]],Plans!$A$1:$B$5,2,FALSE)</f>
        <v>4.99</v>
      </c>
      <c r="N3426">
        <f t="shared" si="53"/>
        <v>0</v>
      </c>
    </row>
    <row r="3427" spans="1:14" x14ac:dyDescent="0.35">
      <c r="A3427">
        <v>3426</v>
      </c>
      <c r="B3427" t="s">
        <v>12</v>
      </c>
      <c r="C3427">
        <v>50</v>
      </c>
      <c r="D3427" t="s">
        <v>13</v>
      </c>
      <c r="E3427" t="s">
        <v>24</v>
      </c>
      <c r="F3427">
        <v>294</v>
      </c>
      <c r="G3427">
        <v>71</v>
      </c>
      <c r="H3427">
        <v>0.48</v>
      </c>
      <c r="I3427" t="s">
        <v>15</v>
      </c>
      <c r="J3427">
        <v>0</v>
      </c>
      <c r="K3427">
        <v>1</v>
      </c>
      <c r="L3427">
        <v>0</v>
      </c>
      <c r="M3427">
        <f>VLOOKUP(Table1[[#This Row],[subscription_type]],Plans!$A$1:$B$5,2,FALSE)</f>
        <v>4.99</v>
      </c>
      <c r="N3427">
        <f t="shared" si="53"/>
        <v>0</v>
      </c>
    </row>
    <row r="3428" spans="1:14" x14ac:dyDescent="0.35">
      <c r="A3428">
        <v>3427</v>
      </c>
      <c r="B3428" t="s">
        <v>12</v>
      </c>
      <c r="C3428">
        <v>29</v>
      </c>
      <c r="D3428" t="s">
        <v>25</v>
      </c>
      <c r="E3428" t="s">
        <v>14</v>
      </c>
      <c r="F3428">
        <v>189</v>
      </c>
      <c r="G3428">
        <v>54</v>
      </c>
      <c r="H3428">
        <v>0.26</v>
      </c>
      <c r="I3428" t="s">
        <v>15</v>
      </c>
      <c r="J3428">
        <v>34</v>
      </c>
      <c r="K3428">
        <v>0</v>
      </c>
      <c r="L3428">
        <v>0</v>
      </c>
      <c r="M3428">
        <f>VLOOKUP(Table1[[#This Row],[subscription_type]],Plans!$A$1:$B$5,2,FALSE)</f>
        <v>0</v>
      </c>
      <c r="N3428">
        <f t="shared" si="53"/>
        <v>0</v>
      </c>
    </row>
    <row r="3429" spans="1:14" x14ac:dyDescent="0.35">
      <c r="A3429">
        <v>3428</v>
      </c>
      <c r="B3429" t="s">
        <v>12</v>
      </c>
      <c r="C3429">
        <v>28</v>
      </c>
      <c r="D3429" t="s">
        <v>26</v>
      </c>
      <c r="E3429" t="s">
        <v>18</v>
      </c>
      <c r="F3429">
        <v>77</v>
      </c>
      <c r="G3429">
        <v>4</v>
      </c>
      <c r="H3429">
        <v>0.06</v>
      </c>
      <c r="I3429" t="s">
        <v>23</v>
      </c>
      <c r="J3429">
        <v>0</v>
      </c>
      <c r="K3429">
        <v>1</v>
      </c>
      <c r="L3429">
        <v>1</v>
      </c>
      <c r="M3429">
        <f>VLOOKUP(Table1[[#This Row],[subscription_type]],Plans!$A$1:$B$5,2,FALSE)</f>
        <v>14.99</v>
      </c>
      <c r="N3429">
        <f t="shared" si="53"/>
        <v>14.99</v>
      </c>
    </row>
    <row r="3430" spans="1:14" x14ac:dyDescent="0.35">
      <c r="A3430">
        <v>3429</v>
      </c>
      <c r="B3430" t="s">
        <v>20</v>
      </c>
      <c r="C3430">
        <v>26</v>
      </c>
      <c r="D3430" t="s">
        <v>21</v>
      </c>
      <c r="E3430" t="s">
        <v>24</v>
      </c>
      <c r="F3430">
        <v>147</v>
      </c>
      <c r="G3430">
        <v>18</v>
      </c>
      <c r="H3430">
        <v>0.13</v>
      </c>
      <c r="I3430" t="s">
        <v>15</v>
      </c>
      <c r="J3430">
        <v>0</v>
      </c>
      <c r="K3430">
        <v>1</v>
      </c>
      <c r="L3430">
        <v>0</v>
      </c>
      <c r="M3430">
        <f>VLOOKUP(Table1[[#This Row],[subscription_type]],Plans!$A$1:$B$5,2,FALSE)</f>
        <v>4.99</v>
      </c>
      <c r="N3430">
        <f t="shared" si="53"/>
        <v>0</v>
      </c>
    </row>
    <row r="3431" spans="1:14" x14ac:dyDescent="0.35">
      <c r="A3431">
        <v>3430</v>
      </c>
      <c r="B3431" t="s">
        <v>16</v>
      </c>
      <c r="C3431">
        <v>19</v>
      </c>
      <c r="D3431" t="s">
        <v>29</v>
      </c>
      <c r="E3431" t="s">
        <v>14</v>
      </c>
      <c r="F3431">
        <v>129</v>
      </c>
      <c r="G3431">
        <v>27</v>
      </c>
      <c r="H3431">
        <v>0.51</v>
      </c>
      <c r="I3431" t="s">
        <v>19</v>
      </c>
      <c r="J3431">
        <v>33</v>
      </c>
      <c r="K3431">
        <v>0</v>
      </c>
      <c r="L3431">
        <v>0</v>
      </c>
      <c r="M3431">
        <f>VLOOKUP(Table1[[#This Row],[subscription_type]],Plans!$A$1:$B$5,2,FALSE)</f>
        <v>0</v>
      </c>
      <c r="N3431">
        <f t="shared" si="53"/>
        <v>0</v>
      </c>
    </row>
    <row r="3432" spans="1:14" x14ac:dyDescent="0.35">
      <c r="A3432">
        <v>3431</v>
      </c>
      <c r="B3432" t="s">
        <v>20</v>
      </c>
      <c r="C3432">
        <v>53</v>
      </c>
      <c r="D3432" t="s">
        <v>17</v>
      </c>
      <c r="E3432" t="s">
        <v>24</v>
      </c>
      <c r="F3432">
        <v>273</v>
      </c>
      <c r="G3432">
        <v>27</v>
      </c>
      <c r="H3432">
        <v>0.5</v>
      </c>
      <c r="I3432" t="s">
        <v>15</v>
      </c>
      <c r="J3432">
        <v>0</v>
      </c>
      <c r="K3432">
        <v>1</v>
      </c>
      <c r="L3432">
        <v>0</v>
      </c>
      <c r="M3432">
        <f>VLOOKUP(Table1[[#This Row],[subscription_type]],Plans!$A$1:$B$5,2,FALSE)</f>
        <v>4.99</v>
      </c>
      <c r="N3432">
        <f t="shared" si="53"/>
        <v>0</v>
      </c>
    </row>
    <row r="3433" spans="1:14" x14ac:dyDescent="0.35">
      <c r="A3433">
        <v>3432</v>
      </c>
      <c r="B3433" t="s">
        <v>20</v>
      </c>
      <c r="C3433">
        <v>56</v>
      </c>
      <c r="D3433" t="s">
        <v>27</v>
      </c>
      <c r="E3433" t="s">
        <v>14</v>
      </c>
      <c r="F3433">
        <v>43</v>
      </c>
      <c r="G3433">
        <v>21</v>
      </c>
      <c r="H3433">
        <v>0.13</v>
      </c>
      <c r="I3433" t="s">
        <v>15</v>
      </c>
      <c r="J3433">
        <v>45</v>
      </c>
      <c r="K3433">
        <v>0</v>
      </c>
      <c r="L3433">
        <v>0</v>
      </c>
      <c r="M3433">
        <f>VLOOKUP(Table1[[#This Row],[subscription_type]],Plans!$A$1:$B$5,2,FALSE)</f>
        <v>0</v>
      </c>
      <c r="N3433">
        <f t="shared" si="53"/>
        <v>0</v>
      </c>
    </row>
    <row r="3434" spans="1:14" x14ac:dyDescent="0.35">
      <c r="A3434">
        <v>3433</v>
      </c>
      <c r="B3434" t="s">
        <v>20</v>
      </c>
      <c r="C3434">
        <v>19</v>
      </c>
      <c r="D3434" t="s">
        <v>17</v>
      </c>
      <c r="E3434" t="s">
        <v>14</v>
      </c>
      <c r="F3434">
        <v>19</v>
      </c>
      <c r="G3434">
        <v>88</v>
      </c>
      <c r="H3434">
        <v>0</v>
      </c>
      <c r="I3434" t="s">
        <v>19</v>
      </c>
      <c r="J3434">
        <v>41</v>
      </c>
      <c r="K3434">
        <v>0</v>
      </c>
      <c r="L3434">
        <v>0</v>
      </c>
      <c r="M3434">
        <f>VLOOKUP(Table1[[#This Row],[subscription_type]],Plans!$A$1:$B$5,2,FALSE)</f>
        <v>0</v>
      </c>
      <c r="N3434">
        <f t="shared" si="53"/>
        <v>0</v>
      </c>
    </row>
    <row r="3435" spans="1:14" x14ac:dyDescent="0.35">
      <c r="A3435">
        <v>3434</v>
      </c>
      <c r="B3435" t="s">
        <v>12</v>
      </c>
      <c r="C3435">
        <v>58</v>
      </c>
      <c r="D3435" t="s">
        <v>26</v>
      </c>
      <c r="E3435" t="s">
        <v>18</v>
      </c>
      <c r="F3435">
        <v>183</v>
      </c>
      <c r="G3435">
        <v>33</v>
      </c>
      <c r="H3435">
        <v>0.5</v>
      </c>
      <c r="I3435" t="s">
        <v>23</v>
      </c>
      <c r="J3435">
        <v>0</v>
      </c>
      <c r="K3435">
        <v>1</v>
      </c>
      <c r="L3435">
        <v>1</v>
      </c>
      <c r="M3435">
        <f>VLOOKUP(Table1[[#This Row],[subscription_type]],Plans!$A$1:$B$5,2,FALSE)</f>
        <v>14.99</v>
      </c>
      <c r="N3435">
        <f t="shared" si="53"/>
        <v>14.99</v>
      </c>
    </row>
    <row r="3436" spans="1:14" x14ac:dyDescent="0.35">
      <c r="A3436">
        <v>3435</v>
      </c>
      <c r="B3436" t="s">
        <v>12</v>
      </c>
      <c r="C3436">
        <v>21</v>
      </c>
      <c r="D3436" t="s">
        <v>29</v>
      </c>
      <c r="E3436" t="s">
        <v>18</v>
      </c>
      <c r="F3436">
        <v>13</v>
      </c>
      <c r="G3436">
        <v>61</v>
      </c>
      <c r="H3436">
        <v>0.26</v>
      </c>
      <c r="I3436" t="s">
        <v>15</v>
      </c>
      <c r="J3436">
        <v>0</v>
      </c>
      <c r="K3436">
        <v>1</v>
      </c>
      <c r="L3436">
        <v>0</v>
      </c>
      <c r="M3436">
        <f>VLOOKUP(Table1[[#This Row],[subscription_type]],Plans!$A$1:$B$5,2,FALSE)</f>
        <v>14.99</v>
      </c>
      <c r="N3436">
        <f t="shared" si="53"/>
        <v>0</v>
      </c>
    </row>
    <row r="3437" spans="1:14" x14ac:dyDescent="0.35">
      <c r="A3437">
        <v>3436</v>
      </c>
      <c r="B3437" t="s">
        <v>20</v>
      </c>
      <c r="C3437">
        <v>22</v>
      </c>
      <c r="D3437" t="s">
        <v>29</v>
      </c>
      <c r="E3437" t="s">
        <v>18</v>
      </c>
      <c r="F3437">
        <v>14</v>
      </c>
      <c r="G3437">
        <v>75</v>
      </c>
      <c r="H3437">
        <v>0.59</v>
      </c>
      <c r="I3437" t="s">
        <v>19</v>
      </c>
      <c r="J3437">
        <v>0</v>
      </c>
      <c r="K3437">
        <v>1</v>
      </c>
      <c r="L3437">
        <v>0</v>
      </c>
      <c r="M3437">
        <f>VLOOKUP(Table1[[#This Row],[subscription_type]],Plans!$A$1:$B$5,2,FALSE)</f>
        <v>14.99</v>
      </c>
      <c r="N3437">
        <f t="shared" si="53"/>
        <v>0</v>
      </c>
    </row>
    <row r="3438" spans="1:14" x14ac:dyDescent="0.35">
      <c r="A3438">
        <v>3437</v>
      </c>
      <c r="B3438" t="s">
        <v>16</v>
      </c>
      <c r="C3438">
        <v>30</v>
      </c>
      <c r="D3438" t="s">
        <v>27</v>
      </c>
      <c r="E3438" t="s">
        <v>14</v>
      </c>
      <c r="F3438">
        <v>272</v>
      </c>
      <c r="G3438">
        <v>80</v>
      </c>
      <c r="H3438">
        <v>0.04</v>
      </c>
      <c r="I3438" t="s">
        <v>15</v>
      </c>
      <c r="J3438">
        <v>18</v>
      </c>
      <c r="K3438">
        <v>0</v>
      </c>
      <c r="L3438">
        <v>0</v>
      </c>
      <c r="M3438">
        <f>VLOOKUP(Table1[[#This Row],[subscription_type]],Plans!$A$1:$B$5,2,FALSE)</f>
        <v>0</v>
      </c>
      <c r="N3438">
        <f t="shared" si="53"/>
        <v>0</v>
      </c>
    </row>
    <row r="3439" spans="1:14" x14ac:dyDescent="0.35">
      <c r="A3439">
        <v>3438</v>
      </c>
      <c r="B3439" t="s">
        <v>12</v>
      </c>
      <c r="C3439">
        <v>42</v>
      </c>
      <c r="D3439" t="s">
        <v>17</v>
      </c>
      <c r="E3439" t="s">
        <v>14</v>
      </c>
      <c r="F3439">
        <v>259</v>
      </c>
      <c r="G3439">
        <v>5</v>
      </c>
      <c r="H3439">
        <v>0.32</v>
      </c>
      <c r="I3439" t="s">
        <v>23</v>
      </c>
      <c r="J3439">
        <v>17</v>
      </c>
      <c r="K3439">
        <v>0</v>
      </c>
      <c r="L3439">
        <v>1</v>
      </c>
      <c r="M3439">
        <f>VLOOKUP(Table1[[#This Row],[subscription_type]],Plans!$A$1:$B$5,2,FALSE)</f>
        <v>0</v>
      </c>
      <c r="N3439">
        <f t="shared" si="53"/>
        <v>0</v>
      </c>
    </row>
    <row r="3440" spans="1:14" x14ac:dyDescent="0.35">
      <c r="A3440">
        <v>3439</v>
      </c>
      <c r="B3440" t="s">
        <v>20</v>
      </c>
      <c r="C3440">
        <v>54</v>
      </c>
      <c r="D3440" t="s">
        <v>27</v>
      </c>
      <c r="E3440" t="s">
        <v>14</v>
      </c>
      <c r="F3440">
        <v>19</v>
      </c>
      <c r="G3440">
        <v>80</v>
      </c>
      <c r="H3440">
        <v>0.38</v>
      </c>
      <c r="I3440" t="s">
        <v>15</v>
      </c>
      <c r="J3440">
        <v>44</v>
      </c>
      <c r="K3440">
        <v>0</v>
      </c>
      <c r="L3440">
        <v>0</v>
      </c>
      <c r="M3440">
        <f>VLOOKUP(Table1[[#This Row],[subscription_type]],Plans!$A$1:$B$5,2,FALSE)</f>
        <v>0</v>
      </c>
      <c r="N3440">
        <f t="shared" si="53"/>
        <v>0</v>
      </c>
    </row>
    <row r="3441" spans="1:14" x14ac:dyDescent="0.35">
      <c r="A3441">
        <v>3440</v>
      </c>
      <c r="B3441" t="s">
        <v>20</v>
      </c>
      <c r="C3441">
        <v>36</v>
      </c>
      <c r="D3441" t="s">
        <v>25</v>
      </c>
      <c r="E3441" t="s">
        <v>24</v>
      </c>
      <c r="F3441">
        <v>210</v>
      </c>
      <c r="G3441">
        <v>13</v>
      </c>
      <c r="H3441">
        <v>0.03</v>
      </c>
      <c r="I3441" t="s">
        <v>19</v>
      </c>
      <c r="J3441">
        <v>0</v>
      </c>
      <c r="K3441">
        <v>1</v>
      </c>
      <c r="L3441">
        <v>0</v>
      </c>
      <c r="M3441">
        <f>VLOOKUP(Table1[[#This Row],[subscription_type]],Plans!$A$1:$B$5,2,FALSE)</f>
        <v>4.99</v>
      </c>
      <c r="N3441">
        <f t="shared" si="53"/>
        <v>0</v>
      </c>
    </row>
    <row r="3442" spans="1:14" x14ac:dyDescent="0.35">
      <c r="A3442">
        <v>3441</v>
      </c>
      <c r="B3442" t="s">
        <v>16</v>
      </c>
      <c r="C3442">
        <v>40</v>
      </c>
      <c r="D3442" t="s">
        <v>25</v>
      </c>
      <c r="E3442" t="s">
        <v>24</v>
      </c>
      <c r="F3442">
        <v>275</v>
      </c>
      <c r="G3442">
        <v>21</v>
      </c>
      <c r="H3442">
        <v>0.26</v>
      </c>
      <c r="I3442" t="s">
        <v>15</v>
      </c>
      <c r="J3442">
        <v>0</v>
      </c>
      <c r="K3442">
        <v>1</v>
      </c>
      <c r="L3442">
        <v>0</v>
      </c>
      <c r="M3442">
        <f>VLOOKUP(Table1[[#This Row],[subscription_type]],Plans!$A$1:$B$5,2,FALSE)</f>
        <v>4.99</v>
      </c>
      <c r="N3442">
        <f t="shared" si="53"/>
        <v>0</v>
      </c>
    </row>
    <row r="3443" spans="1:14" x14ac:dyDescent="0.35">
      <c r="A3443">
        <v>3442</v>
      </c>
      <c r="B3443" t="s">
        <v>16</v>
      </c>
      <c r="C3443">
        <v>42</v>
      </c>
      <c r="D3443" t="s">
        <v>26</v>
      </c>
      <c r="E3443" t="s">
        <v>18</v>
      </c>
      <c r="F3443">
        <v>197</v>
      </c>
      <c r="G3443">
        <v>42</v>
      </c>
      <c r="H3443">
        <v>0.54</v>
      </c>
      <c r="I3443" t="s">
        <v>23</v>
      </c>
      <c r="J3443">
        <v>0</v>
      </c>
      <c r="K3443">
        <v>1</v>
      </c>
      <c r="L3443">
        <v>0</v>
      </c>
      <c r="M3443">
        <f>VLOOKUP(Table1[[#This Row],[subscription_type]],Plans!$A$1:$B$5,2,FALSE)</f>
        <v>14.99</v>
      </c>
      <c r="N3443">
        <f t="shared" si="53"/>
        <v>0</v>
      </c>
    </row>
    <row r="3444" spans="1:14" x14ac:dyDescent="0.35">
      <c r="A3444">
        <v>3443</v>
      </c>
      <c r="B3444" t="s">
        <v>16</v>
      </c>
      <c r="C3444">
        <v>47</v>
      </c>
      <c r="D3444" t="s">
        <v>29</v>
      </c>
      <c r="E3444" t="s">
        <v>18</v>
      </c>
      <c r="F3444">
        <v>96</v>
      </c>
      <c r="G3444">
        <v>74</v>
      </c>
      <c r="H3444">
        <v>0.16</v>
      </c>
      <c r="I3444" t="s">
        <v>23</v>
      </c>
      <c r="J3444">
        <v>0</v>
      </c>
      <c r="K3444">
        <v>1</v>
      </c>
      <c r="L3444">
        <v>0</v>
      </c>
      <c r="M3444">
        <f>VLOOKUP(Table1[[#This Row],[subscription_type]],Plans!$A$1:$B$5,2,FALSE)</f>
        <v>14.99</v>
      </c>
      <c r="N3444">
        <f t="shared" si="53"/>
        <v>0</v>
      </c>
    </row>
    <row r="3445" spans="1:14" x14ac:dyDescent="0.35">
      <c r="A3445">
        <v>3444</v>
      </c>
      <c r="B3445" t="s">
        <v>12</v>
      </c>
      <c r="C3445">
        <v>31</v>
      </c>
      <c r="D3445" t="s">
        <v>26</v>
      </c>
      <c r="E3445" t="s">
        <v>22</v>
      </c>
      <c r="F3445">
        <v>239</v>
      </c>
      <c r="G3445">
        <v>34</v>
      </c>
      <c r="H3445">
        <v>0.35</v>
      </c>
      <c r="I3445" t="s">
        <v>23</v>
      </c>
      <c r="J3445">
        <v>0</v>
      </c>
      <c r="K3445">
        <v>1</v>
      </c>
      <c r="L3445">
        <v>0</v>
      </c>
      <c r="M3445">
        <f>VLOOKUP(Table1[[#This Row],[subscription_type]],Plans!$A$1:$B$5,2,FALSE)</f>
        <v>9.99</v>
      </c>
      <c r="N3445">
        <f t="shared" si="53"/>
        <v>0</v>
      </c>
    </row>
    <row r="3446" spans="1:14" x14ac:dyDescent="0.35">
      <c r="A3446">
        <v>3445</v>
      </c>
      <c r="B3446" t="s">
        <v>16</v>
      </c>
      <c r="C3446">
        <v>16</v>
      </c>
      <c r="D3446" t="s">
        <v>27</v>
      </c>
      <c r="E3446" t="s">
        <v>22</v>
      </c>
      <c r="F3446">
        <v>133</v>
      </c>
      <c r="G3446">
        <v>10</v>
      </c>
      <c r="H3446">
        <v>0.4</v>
      </c>
      <c r="I3446" t="s">
        <v>19</v>
      </c>
      <c r="J3446">
        <v>0</v>
      </c>
      <c r="K3446">
        <v>1</v>
      </c>
      <c r="L3446">
        <v>0</v>
      </c>
      <c r="M3446">
        <f>VLOOKUP(Table1[[#This Row],[subscription_type]],Plans!$A$1:$B$5,2,FALSE)</f>
        <v>9.99</v>
      </c>
      <c r="N3446">
        <f t="shared" si="53"/>
        <v>0</v>
      </c>
    </row>
    <row r="3447" spans="1:14" x14ac:dyDescent="0.35">
      <c r="A3447">
        <v>3446</v>
      </c>
      <c r="B3447" t="s">
        <v>20</v>
      </c>
      <c r="C3447">
        <v>18</v>
      </c>
      <c r="D3447" t="s">
        <v>21</v>
      </c>
      <c r="E3447" t="s">
        <v>24</v>
      </c>
      <c r="F3447">
        <v>294</v>
      </c>
      <c r="G3447">
        <v>85</v>
      </c>
      <c r="H3447">
        <v>0.31</v>
      </c>
      <c r="I3447" t="s">
        <v>19</v>
      </c>
      <c r="J3447">
        <v>0</v>
      </c>
      <c r="K3447">
        <v>1</v>
      </c>
      <c r="L3447">
        <v>1</v>
      </c>
      <c r="M3447">
        <f>VLOOKUP(Table1[[#This Row],[subscription_type]],Plans!$A$1:$B$5,2,FALSE)</f>
        <v>4.99</v>
      </c>
      <c r="N3447">
        <f t="shared" si="53"/>
        <v>4.99</v>
      </c>
    </row>
    <row r="3448" spans="1:14" x14ac:dyDescent="0.35">
      <c r="A3448">
        <v>3447</v>
      </c>
      <c r="B3448" t="s">
        <v>20</v>
      </c>
      <c r="C3448">
        <v>57</v>
      </c>
      <c r="D3448" t="s">
        <v>25</v>
      </c>
      <c r="E3448" t="s">
        <v>22</v>
      </c>
      <c r="F3448">
        <v>209</v>
      </c>
      <c r="G3448">
        <v>98</v>
      </c>
      <c r="H3448">
        <v>0.38</v>
      </c>
      <c r="I3448" t="s">
        <v>15</v>
      </c>
      <c r="J3448">
        <v>0</v>
      </c>
      <c r="K3448">
        <v>1</v>
      </c>
      <c r="L3448">
        <v>0</v>
      </c>
      <c r="M3448">
        <f>VLOOKUP(Table1[[#This Row],[subscription_type]],Plans!$A$1:$B$5,2,FALSE)</f>
        <v>9.99</v>
      </c>
      <c r="N3448">
        <f t="shared" si="53"/>
        <v>0</v>
      </c>
    </row>
    <row r="3449" spans="1:14" x14ac:dyDescent="0.35">
      <c r="A3449">
        <v>3448</v>
      </c>
      <c r="B3449" t="s">
        <v>12</v>
      </c>
      <c r="C3449">
        <v>40</v>
      </c>
      <c r="D3449" t="s">
        <v>17</v>
      </c>
      <c r="E3449" t="s">
        <v>22</v>
      </c>
      <c r="F3449">
        <v>12</v>
      </c>
      <c r="G3449">
        <v>5</v>
      </c>
      <c r="H3449">
        <v>7.0000000000000007E-2</v>
      </c>
      <c r="I3449" t="s">
        <v>15</v>
      </c>
      <c r="J3449">
        <v>0</v>
      </c>
      <c r="K3449">
        <v>1</v>
      </c>
      <c r="L3449">
        <v>0</v>
      </c>
      <c r="M3449">
        <f>VLOOKUP(Table1[[#This Row],[subscription_type]],Plans!$A$1:$B$5,2,FALSE)</f>
        <v>9.99</v>
      </c>
      <c r="N3449">
        <f t="shared" si="53"/>
        <v>0</v>
      </c>
    </row>
    <row r="3450" spans="1:14" x14ac:dyDescent="0.35">
      <c r="A3450">
        <v>3449</v>
      </c>
      <c r="B3450" t="s">
        <v>16</v>
      </c>
      <c r="C3450">
        <v>58</v>
      </c>
      <c r="D3450" t="s">
        <v>17</v>
      </c>
      <c r="E3450" t="s">
        <v>14</v>
      </c>
      <c r="F3450">
        <v>155</v>
      </c>
      <c r="G3450">
        <v>39</v>
      </c>
      <c r="H3450">
        <v>0.14000000000000001</v>
      </c>
      <c r="I3450" t="s">
        <v>15</v>
      </c>
      <c r="J3450">
        <v>24</v>
      </c>
      <c r="K3450">
        <v>0</v>
      </c>
      <c r="L3450">
        <v>0</v>
      </c>
      <c r="M3450">
        <f>VLOOKUP(Table1[[#This Row],[subscription_type]],Plans!$A$1:$B$5,2,FALSE)</f>
        <v>0</v>
      </c>
      <c r="N3450">
        <f t="shared" si="53"/>
        <v>0</v>
      </c>
    </row>
    <row r="3451" spans="1:14" x14ac:dyDescent="0.35">
      <c r="A3451">
        <v>3450</v>
      </c>
      <c r="B3451" t="s">
        <v>12</v>
      </c>
      <c r="C3451">
        <v>22</v>
      </c>
      <c r="D3451" t="s">
        <v>26</v>
      </c>
      <c r="E3451" t="s">
        <v>14</v>
      </c>
      <c r="F3451">
        <v>98</v>
      </c>
      <c r="G3451">
        <v>83</v>
      </c>
      <c r="H3451">
        <v>0.5</v>
      </c>
      <c r="I3451" t="s">
        <v>23</v>
      </c>
      <c r="J3451">
        <v>13</v>
      </c>
      <c r="K3451">
        <v>0</v>
      </c>
      <c r="L3451">
        <v>0</v>
      </c>
      <c r="M3451">
        <f>VLOOKUP(Table1[[#This Row],[subscription_type]],Plans!$A$1:$B$5,2,FALSE)</f>
        <v>0</v>
      </c>
      <c r="N3451">
        <f t="shared" si="53"/>
        <v>0</v>
      </c>
    </row>
    <row r="3452" spans="1:14" x14ac:dyDescent="0.35">
      <c r="A3452">
        <v>3451</v>
      </c>
      <c r="B3452" t="s">
        <v>16</v>
      </c>
      <c r="C3452">
        <v>22</v>
      </c>
      <c r="D3452" t="s">
        <v>21</v>
      </c>
      <c r="E3452" t="s">
        <v>18</v>
      </c>
      <c r="F3452">
        <v>185</v>
      </c>
      <c r="G3452">
        <v>92</v>
      </c>
      <c r="H3452">
        <v>0.21</v>
      </c>
      <c r="I3452" t="s">
        <v>15</v>
      </c>
      <c r="J3452">
        <v>0</v>
      </c>
      <c r="K3452">
        <v>1</v>
      </c>
      <c r="L3452">
        <v>1</v>
      </c>
      <c r="M3452">
        <f>VLOOKUP(Table1[[#This Row],[subscription_type]],Plans!$A$1:$B$5,2,FALSE)</f>
        <v>14.99</v>
      </c>
      <c r="N3452">
        <f t="shared" si="53"/>
        <v>14.99</v>
      </c>
    </row>
    <row r="3453" spans="1:14" x14ac:dyDescent="0.35">
      <c r="A3453">
        <v>3452</v>
      </c>
      <c r="B3453" t="s">
        <v>16</v>
      </c>
      <c r="C3453">
        <v>48</v>
      </c>
      <c r="D3453" t="s">
        <v>13</v>
      </c>
      <c r="E3453" t="s">
        <v>24</v>
      </c>
      <c r="F3453">
        <v>57</v>
      </c>
      <c r="G3453">
        <v>92</v>
      </c>
      <c r="H3453">
        <v>0.12</v>
      </c>
      <c r="I3453" t="s">
        <v>15</v>
      </c>
      <c r="J3453">
        <v>0</v>
      </c>
      <c r="K3453">
        <v>1</v>
      </c>
      <c r="L3453">
        <v>0</v>
      </c>
      <c r="M3453">
        <f>VLOOKUP(Table1[[#This Row],[subscription_type]],Plans!$A$1:$B$5,2,FALSE)</f>
        <v>4.99</v>
      </c>
      <c r="N3453">
        <f t="shared" si="53"/>
        <v>0</v>
      </c>
    </row>
    <row r="3454" spans="1:14" x14ac:dyDescent="0.35">
      <c r="A3454">
        <v>3453</v>
      </c>
      <c r="B3454" t="s">
        <v>16</v>
      </c>
      <c r="C3454">
        <v>42</v>
      </c>
      <c r="D3454" t="s">
        <v>21</v>
      </c>
      <c r="E3454" t="s">
        <v>22</v>
      </c>
      <c r="F3454">
        <v>85</v>
      </c>
      <c r="G3454">
        <v>12</v>
      </c>
      <c r="H3454">
        <v>0.27</v>
      </c>
      <c r="I3454" t="s">
        <v>15</v>
      </c>
      <c r="J3454">
        <v>0</v>
      </c>
      <c r="K3454">
        <v>1</v>
      </c>
      <c r="L3454">
        <v>0</v>
      </c>
      <c r="M3454">
        <f>VLOOKUP(Table1[[#This Row],[subscription_type]],Plans!$A$1:$B$5,2,FALSE)</f>
        <v>9.99</v>
      </c>
      <c r="N3454">
        <f t="shared" si="53"/>
        <v>0</v>
      </c>
    </row>
    <row r="3455" spans="1:14" x14ac:dyDescent="0.35">
      <c r="A3455">
        <v>3454</v>
      </c>
      <c r="B3455" t="s">
        <v>16</v>
      </c>
      <c r="C3455">
        <v>39</v>
      </c>
      <c r="D3455" t="s">
        <v>17</v>
      </c>
      <c r="E3455" t="s">
        <v>14</v>
      </c>
      <c r="F3455">
        <v>113</v>
      </c>
      <c r="G3455">
        <v>79</v>
      </c>
      <c r="H3455">
        <v>0.27</v>
      </c>
      <c r="I3455" t="s">
        <v>19</v>
      </c>
      <c r="J3455">
        <v>20</v>
      </c>
      <c r="K3455">
        <v>0</v>
      </c>
      <c r="L3455">
        <v>0</v>
      </c>
      <c r="M3455">
        <f>VLOOKUP(Table1[[#This Row],[subscription_type]],Plans!$A$1:$B$5,2,FALSE)</f>
        <v>0</v>
      </c>
      <c r="N3455">
        <f t="shared" si="53"/>
        <v>0</v>
      </c>
    </row>
    <row r="3456" spans="1:14" x14ac:dyDescent="0.35">
      <c r="A3456">
        <v>3455</v>
      </c>
      <c r="B3456" t="s">
        <v>16</v>
      </c>
      <c r="C3456">
        <v>40</v>
      </c>
      <c r="D3456" t="s">
        <v>21</v>
      </c>
      <c r="E3456" t="s">
        <v>22</v>
      </c>
      <c r="F3456">
        <v>200</v>
      </c>
      <c r="G3456">
        <v>68</v>
      </c>
      <c r="H3456">
        <v>0.46</v>
      </c>
      <c r="I3456" t="s">
        <v>15</v>
      </c>
      <c r="J3456">
        <v>0</v>
      </c>
      <c r="K3456">
        <v>1</v>
      </c>
      <c r="L3456">
        <v>1</v>
      </c>
      <c r="M3456">
        <f>VLOOKUP(Table1[[#This Row],[subscription_type]],Plans!$A$1:$B$5,2,FALSE)</f>
        <v>9.99</v>
      </c>
      <c r="N3456">
        <f t="shared" si="53"/>
        <v>9.99</v>
      </c>
    </row>
    <row r="3457" spans="1:14" x14ac:dyDescent="0.35">
      <c r="A3457">
        <v>3456</v>
      </c>
      <c r="B3457" t="s">
        <v>20</v>
      </c>
      <c r="C3457">
        <v>19</v>
      </c>
      <c r="D3457" t="s">
        <v>21</v>
      </c>
      <c r="E3457" t="s">
        <v>24</v>
      </c>
      <c r="F3457">
        <v>152</v>
      </c>
      <c r="G3457">
        <v>2</v>
      </c>
      <c r="H3457">
        <v>0.04</v>
      </c>
      <c r="I3457" t="s">
        <v>15</v>
      </c>
      <c r="J3457">
        <v>0</v>
      </c>
      <c r="K3457">
        <v>1</v>
      </c>
      <c r="L3457">
        <v>1</v>
      </c>
      <c r="M3457">
        <f>VLOOKUP(Table1[[#This Row],[subscription_type]],Plans!$A$1:$B$5,2,FALSE)</f>
        <v>4.99</v>
      </c>
      <c r="N3457">
        <f t="shared" si="53"/>
        <v>4.99</v>
      </c>
    </row>
    <row r="3458" spans="1:14" x14ac:dyDescent="0.35">
      <c r="A3458">
        <v>3457</v>
      </c>
      <c r="B3458" t="s">
        <v>20</v>
      </c>
      <c r="C3458">
        <v>55</v>
      </c>
      <c r="D3458" t="s">
        <v>17</v>
      </c>
      <c r="E3458" t="s">
        <v>22</v>
      </c>
      <c r="F3458">
        <v>50</v>
      </c>
      <c r="G3458">
        <v>77</v>
      </c>
      <c r="H3458">
        <v>0.24</v>
      </c>
      <c r="I3458" t="s">
        <v>23</v>
      </c>
      <c r="J3458">
        <v>0</v>
      </c>
      <c r="K3458">
        <v>1</v>
      </c>
      <c r="L3458">
        <v>0</v>
      </c>
      <c r="M3458">
        <f>VLOOKUP(Table1[[#This Row],[subscription_type]],Plans!$A$1:$B$5,2,FALSE)</f>
        <v>9.99</v>
      </c>
      <c r="N3458">
        <f t="shared" ref="N3458:N3521" si="54">IF(L3458=1, M3458,0)</f>
        <v>0</v>
      </c>
    </row>
    <row r="3459" spans="1:14" x14ac:dyDescent="0.35">
      <c r="A3459">
        <v>3458</v>
      </c>
      <c r="B3459" t="s">
        <v>20</v>
      </c>
      <c r="C3459">
        <v>35</v>
      </c>
      <c r="D3459" t="s">
        <v>26</v>
      </c>
      <c r="E3459" t="s">
        <v>18</v>
      </c>
      <c r="F3459">
        <v>73</v>
      </c>
      <c r="G3459">
        <v>56</v>
      </c>
      <c r="H3459">
        <v>0.2</v>
      </c>
      <c r="I3459" t="s">
        <v>23</v>
      </c>
      <c r="J3459">
        <v>0</v>
      </c>
      <c r="K3459">
        <v>1</v>
      </c>
      <c r="L3459">
        <v>0</v>
      </c>
      <c r="M3459">
        <f>VLOOKUP(Table1[[#This Row],[subscription_type]],Plans!$A$1:$B$5,2,FALSE)</f>
        <v>14.99</v>
      </c>
      <c r="N3459">
        <f t="shared" si="54"/>
        <v>0</v>
      </c>
    </row>
    <row r="3460" spans="1:14" x14ac:dyDescent="0.35">
      <c r="A3460">
        <v>3459</v>
      </c>
      <c r="B3460" t="s">
        <v>12</v>
      </c>
      <c r="C3460">
        <v>59</v>
      </c>
      <c r="D3460" t="s">
        <v>25</v>
      </c>
      <c r="E3460" t="s">
        <v>22</v>
      </c>
      <c r="F3460">
        <v>99</v>
      </c>
      <c r="G3460">
        <v>16</v>
      </c>
      <c r="H3460">
        <v>0.19</v>
      </c>
      <c r="I3460" t="s">
        <v>23</v>
      </c>
      <c r="J3460">
        <v>0</v>
      </c>
      <c r="K3460">
        <v>1</v>
      </c>
      <c r="L3460">
        <v>0</v>
      </c>
      <c r="M3460">
        <f>VLOOKUP(Table1[[#This Row],[subscription_type]],Plans!$A$1:$B$5,2,FALSE)</f>
        <v>9.99</v>
      </c>
      <c r="N3460">
        <f t="shared" si="54"/>
        <v>0</v>
      </c>
    </row>
    <row r="3461" spans="1:14" x14ac:dyDescent="0.35">
      <c r="A3461">
        <v>3460</v>
      </c>
      <c r="B3461" t="s">
        <v>20</v>
      </c>
      <c r="C3461">
        <v>28</v>
      </c>
      <c r="D3461" t="s">
        <v>29</v>
      </c>
      <c r="E3461" t="s">
        <v>22</v>
      </c>
      <c r="F3461">
        <v>30</v>
      </c>
      <c r="G3461">
        <v>14</v>
      </c>
      <c r="H3461">
        <v>0.18</v>
      </c>
      <c r="I3461" t="s">
        <v>23</v>
      </c>
      <c r="J3461">
        <v>0</v>
      </c>
      <c r="K3461">
        <v>1</v>
      </c>
      <c r="L3461">
        <v>0</v>
      </c>
      <c r="M3461">
        <f>VLOOKUP(Table1[[#This Row],[subscription_type]],Plans!$A$1:$B$5,2,FALSE)</f>
        <v>9.99</v>
      </c>
      <c r="N3461">
        <f t="shared" si="54"/>
        <v>0</v>
      </c>
    </row>
    <row r="3462" spans="1:14" x14ac:dyDescent="0.35">
      <c r="A3462">
        <v>3461</v>
      </c>
      <c r="B3462" t="s">
        <v>12</v>
      </c>
      <c r="C3462">
        <v>45</v>
      </c>
      <c r="D3462" t="s">
        <v>29</v>
      </c>
      <c r="E3462" t="s">
        <v>18</v>
      </c>
      <c r="F3462">
        <v>125</v>
      </c>
      <c r="G3462">
        <v>90</v>
      </c>
      <c r="H3462">
        <v>0.09</v>
      </c>
      <c r="I3462" t="s">
        <v>15</v>
      </c>
      <c r="J3462">
        <v>0</v>
      </c>
      <c r="K3462">
        <v>1</v>
      </c>
      <c r="L3462">
        <v>1</v>
      </c>
      <c r="M3462">
        <f>VLOOKUP(Table1[[#This Row],[subscription_type]],Plans!$A$1:$B$5,2,FALSE)</f>
        <v>14.99</v>
      </c>
      <c r="N3462">
        <f t="shared" si="54"/>
        <v>14.99</v>
      </c>
    </row>
    <row r="3463" spans="1:14" x14ac:dyDescent="0.35">
      <c r="A3463">
        <v>3462</v>
      </c>
      <c r="B3463" t="s">
        <v>20</v>
      </c>
      <c r="C3463">
        <v>26</v>
      </c>
      <c r="D3463" t="s">
        <v>28</v>
      </c>
      <c r="E3463" t="s">
        <v>22</v>
      </c>
      <c r="F3463">
        <v>269</v>
      </c>
      <c r="G3463">
        <v>86</v>
      </c>
      <c r="H3463">
        <v>0.32</v>
      </c>
      <c r="I3463" t="s">
        <v>23</v>
      </c>
      <c r="J3463">
        <v>0</v>
      </c>
      <c r="K3463">
        <v>1</v>
      </c>
      <c r="L3463">
        <v>1</v>
      </c>
      <c r="M3463">
        <f>VLOOKUP(Table1[[#This Row],[subscription_type]],Plans!$A$1:$B$5,2,FALSE)</f>
        <v>9.99</v>
      </c>
      <c r="N3463">
        <f t="shared" si="54"/>
        <v>9.99</v>
      </c>
    </row>
    <row r="3464" spans="1:14" x14ac:dyDescent="0.35">
      <c r="A3464">
        <v>3463</v>
      </c>
      <c r="B3464" t="s">
        <v>20</v>
      </c>
      <c r="C3464">
        <v>55</v>
      </c>
      <c r="D3464" t="s">
        <v>27</v>
      </c>
      <c r="E3464" t="s">
        <v>14</v>
      </c>
      <c r="F3464">
        <v>141</v>
      </c>
      <c r="G3464">
        <v>69</v>
      </c>
      <c r="H3464">
        <v>0.19</v>
      </c>
      <c r="I3464" t="s">
        <v>19</v>
      </c>
      <c r="J3464">
        <v>17</v>
      </c>
      <c r="K3464">
        <v>0</v>
      </c>
      <c r="L3464">
        <v>0</v>
      </c>
      <c r="M3464">
        <f>VLOOKUP(Table1[[#This Row],[subscription_type]],Plans!$A$1:$B$5,2,FALSE)</f>
        <v>0</v>
      </c>
      <c r="N3464">
        <f t="shared" si="54"/>
        <v>0</v>
      </c>
    </row>
    <row r="3465" spans="1:14" x14ac:dyDescent="0.35">
      <c r="A3465">
        <v>3464</v>
      </c>
      <c r="B3465" t="s">
        <v>20</v>
      </c>
      <c r="C3465">
        <v>49</v>
      </c>
      <c r="D3465" t="s">
        <v>29</v>
      </c>
      <c r="E3465" t="s">
        <v>18</v>
      </c>
      <c r="F3465">
        <v>54</v>
      </c>
      <c r="G3465">
        <v>56</v>
      </c>
      <c r="H3465">
        <v>0.39</v>
      </c>
      <c r="I3465" t="s">
        <v>15</v>
      </c>
      <c r="J3465">
        <v>0</v>
      </c>
      <c r="K3465">
        <v>1</v>
      </c>
      <c r="L3465">
        <v>0</v>
      </c>
      <c r="M3465">
        <f>VLOOKUP(Table1[[#This Row],[subscription_type]],Plans!$A$1:$B$5,2,FALSE)</f>
        <v>14.99</v>
      </c>
      <c r="N3465">
        <f t="shared" si="54"/>
        <v>0</v>
      </c>
    </row>
    <row r="3466" spans="1:14" x14ac:dyDescent="0.35">
      <c r="A3466">
        <v>3465</v>
      </c>
      <c r="B3466" t="s">
        <v>12</v>
      </c>
      <c r="C3466">
        <v>21</v>
      </c>
      <c r="D3466" t="s">
        <v>29</v>
      </c>
      <c r="E3466" t="s">
        <v>24</v>
      </c>
      <c r="F3466">
        <v>146</v>
      </c>
      <c r="G3466">
        <v>16</v>
      </c>
      <c r="H3466">
        <v>0.08</v>
      </c>
      <c r="I3466" t="s">
        <v>23</v>
      </c>
      <c r="J3466">
        <v>0</v>
      </c>
      <c r="K3466">
        <v>1</v>
      </c>
      <c r="L3466">
        <v>1</v>
      </c>
      <c r="M3466">
        <f>VLOOKUP(Table1[[#This Row],[subscription_type]],Plans!$A$1:$B$5,2,FALSE)</f>
        <v>4.99</v>
      </c>
      <c r="N3466">
        <f t="shared" si="54"/>
        <v>4.99</v>
      </c>
    </row>
    <row r="3467" spans="1:14" x14ac:dyDescent="0.35">
      <c r="A3467">
        <v>3466</v>
      </c>
      <c r="B3467" t="s">
        <v>16</v>
      </c>
      <c r="C3467">
        <v>25</v>
      </c>
      <c r="D3467" t="s">
        <v>13</v>
      </c>
      <c r="E3467" t="s">
        <v>18</v>
      </c>
      <c r="F3467">
        <v>282</v>
      </c>
      <c r="G3467">
        <v>44</v>
      </c>
      <c r="H3467">
        <v>0.4</v>
      </c>
      <c r="I3467" t="s">
        <v>23</v>
      </c>
      <c r="J3467">
        <v>0</v>
      </c>
      <c r="K3467">
        <v>1</v>
      </c>
      <c r="L3467">
        <v>0</v>
      </c>
      <c r="M3467">
        <f>VLOOKUP(Table1[[#This Row],[subscription_type]],Plans!$A$1:$B$5,2,FALSE)</f>
        <v>14.99</v>
      </c>
      <c r="N3467">
        <f t="shared" si="54"/>
        <v>0</v>
      </c>
    </row>
    <row r="3468" spans="1:14" x14ac:dyDescent="0.35">
      <c r="A3468">
        <v>3467</v>
      </c>
      <c r="B3468" t="s">
        <v>20</v>
      </c>
      <c r="C3468">
        <v>49</v>
      </c>
      <c r="D3468" t="s">
        <v>29</v>
      </c>
      <c r="E3468" t="s">
        <v>24</v>
      </c>
      <c r="F3468">
        <v>85</v>
      </c>
      <c r="G3468">
        <v>62</v>
      </c>
      <c r="H3468">
        <v>0.01</v>
      </c>
      <c r="I3468" t="s">
        <v>19</v>
      </c>
      <c r="J3468">
        <v>0</v>
      </c>
      <c r="K3468">
        <v>1</v>
      </c>
      <c r="L3468">
        <v>0</v>
      </c>
      <c r="M3468">
        <f>VLOOKUP(Table1[[#This Row],[subscription_type]],Plans!$A$1:$B$5,2,FALSE)</f>
        <v>4.99</v>
      </c>
      <c r="N3468">
        <f t="shared" si="54"/>
        <v>0</v>
      </c>
    </row>
    <row r="3469" spans="1:14" x14ac:dyDescent="0.35">
      <c r="A3469">
        <v>3468</v>
      </c>
      <c r="B3469" t="s">
        <v>20</v>
      </c>
      <c r="C3469">
        <v>41</v>
      </c>
      <c r="D3469" t="s">
        <v>25</v>
      </c>
      <c r="E3469" t="s">
        <v>14</v>
      </c>
      <c r="F3469">
        <v>75</v>
      </c>
      <c r="G3469">
        <v>7</v>
      </c>
      <c r="H3469">
        <v>0.38</v>
      </c>
      <c r="I3469" t="s">
        <v>15</v>
      </c>
      <c r="J3469">
        <v>35</v>
      </c>
      <c r="K3469">
        <v>0</v>
      </c>
      <c r="L3469">
        <v>1</v>
      </c>
      <c r="M3469">
        <f>VLOOKUP(Table1[[#This Row],[subscription_type]],Plans!$A$1:$B$5,2,FALSE)</f>
        <v>0</v>
      </c>
      <c r="N3469">
        <f t="shared" si="54"/>
        <v>0</v>
      </c>
    </row>
    <row r="3470" spans="1:14" x14ac:dyDescent="0.35">
      <c r="A3470">
        <v>3469</v>
      </c>
      <c r="B3470" t="s">
        <v>12</v>
      </c>
      <c r="C3470">
        <v>52</v>
      </c>
      <c r="D3470" t="s">
        <v>13</v>
      </c>
      <c r="E3470" t="s">
        <v>14</v>
      </c>
      <c r="F3470">
        <v>191</v>
      </c>
      <c r="G3470">
        <v>6</v>
      </c>
      <c r="H3470">
        <v>0.42</v>
      </c>
      <c r="I3470" t="s">
        <v>19</v>
      </c>
      <c r="J3470">
        <v>45</v>
      </c>
      <c r="K3470">
        <v>0</v>
      </c>
      <c r="L3470">
        <v>1</v>
      </c>
      <c r="M3470">
        <f>VLOOKUP(Table1[[#This Row],[subscription_type]],Plans!$A$1:$B$5,2,FALSE)</f>
        <v>0</v>
      </c>
      <c r="N3470">
        <f t="shared" si="54"/>
        <v>0</v>
      </c>
    </row>
    <row r="3471" spans="1:14" x14ac:dyDescent="0.35">
      <c r="A3471">
        <v>3470</v>
      </c>
      <c r="B3471" t="s">
        <v>16</v>
      </c>
      <c r="C3471">
        <v>34</v>
      </c>
      <c r="D3471" t="s">
        <v>27</v>
      </c>
      <c r="E3471" t="s">
        <v>24</v>
      </c>
      <c r="F3471">
        <v>187</v>
      </c>
      <c r="G3471">
        <v>65</v>
      </c>
      <c r="H3471">
        <v>0.25</v>
      </c>
      <c r="I3471" t="s">
        <v>19</v>
      </c>
      <c r="J3471">
        <v>0</v>
      </c>
      <c r="K3471">
        <v>1</v>
      </c>
      <c r="L3471">
        <v>1</v>
      </c>
      <c r="M3471">
        <f>VLOOKUP(Table1[[#This Row],[subscription_type]],Plans!$A$1:$B$5,2,FALSE)</f>
        <v>4.99</v>
      </c>
      <c r="N3471">
        <f t="shared" si="54"/>
        <v>4.99</v>
      </c>
    </row>
    <row r="3472" spans="1:14" x14ac:dyDescent="0.35">
      <c r="A3472">
        <v>3471</v>
      </c>
      <c r="B3472" t="s">
        <v>16</v>
      </c>
      <c r="C3472">
        <v>16</v>
      </c>
      <c r="D3472" t="s">
        <v>29</v>
      </c>
      <c r="E3472" t="s">
        <v>14</v>
      </c>
      <c r="F3472">
        <v>195</v>
      </c>
      <c r="G3472">
        <v>96</v>
      </c>
      <c r="H3472">
        <v>0.14000000000000001</v>
      </c>
      <c r="I3472" t="s">
        <v>15</v>
      </c>
      <c r="J3472">
        <v>37</v>
      </c>
      <c r="K3472">
        <v>0</v>
      </c>
      <c r="L3472">
        <v>0</v>
      </c>
      <c r="M3472">
        <f>VLOOKUP(Table1[[#This Row],[subscription_type]],Plans!$A$1:$B$5,2,FALSE)</f>
        <v>0</v>
      </c>
      <c r="N3472">
        <f t="shared" si="54"/>
        <v>0</v>
      </c>
    </row>
    <row r="3473" spans="1:14" x14ac:dyDescent="0.35">
      <c r="A3473">
        <v>3472</v>
      </c>
      <c r="B3473" t="s">
        <v>12</v>
      </c>
      <c r="C3473">
        <v>46</v>
      </c>
      <c r="D3473" t="s">
        <v>21</v>
      </c>
      <c r="E3473" t="s">
        <v>14</v>
      </c>
      <c r="F3473">
        <v>37</v>
      </c>
      <c r="G3473">
        <v>69</v>
      </c>
      <c r="H3473">
        <v>0.46</v>
      </c>
      <c r="I3473" t="s">
        <v>23</v>
      </c>
      <c r="J3473">
        <v>32</v>
      </c>
      <c r="K3473">
        <v>0</v>
      </c>
      <c r="L3473">
        <v>0</v>
      </c>
      <c r="M3473">
        <f>VLOOKUP(Table1[[#This Row],[subscription_type]],Plans!$A$1:$B$5,2,FALSE)</f>
        <v>0</v>
      </c>
      <c r="N3473">
        <f t="shared" si="54"/>
        <v>0</v>
      </c>
    </row>
    <row r="3474" spans="1:14" x14ac:dyDescent="0.35">
      <c r="A3474">
        <v>3473</v>
      </c>
      <c r="B3474" t="s">
        <v>20</v>
      </c>
      <c r="C3474">
        <v>17</v>
      </c>
      <c r="D3474" t="s">
        <v>27</v>
      </c>
      <c r="E3474" t="s">
        <v>22</v>
      </c>
      <c r="F3474">
        <v>65</v>
      </c>
      <c r="G3474">
        <v>28</v>
      </c>
      <c r="H3474">
        <v>0.25</v>
      </c>
      <c r="I3474" t="s">
        <v>19</v>
      </c>
      <c r="J3474">
        <v>0</v>
      </c>
      <c r="K3474">
        <v>1</v>
      </c>
      <c r="L3474">
        <v>1</v>
      </c>
      <c r="M3474">
        <f>VLOOKUP(Table1[[#This Row],[subscription_type]],Plans!$A$1:$B$5,2,FALSE)</f>
        <v>9.99</v>
      </c>
      <c r="N3474">
        <f t="shared" si="54"/>
        <v>9.99</v>
      </c>
    </row>
    <row r="3475" spans="1:14" x14ac:dyDescent="0.35">
      <c r="A3475">
        <v>3474</v>
      </c>
      <c r="B3475" t="s">
        <v>12</v>
      </c>
      <c r="C3475">
        <v>43</v>
      </c>
      <c r="D3475" t="s">
        <v>27</v>
      </c>
      <c r="E3475" t="s">
        <v>14</v>
      </c>
      <c r="F3475">
        <v>100</v>
      </c>
      <c r="G3475">
        <v>72</v>
      </c>
      <c r="H3475">
        <v>0.17</v>
      </c>
      <c r="I3475" t="s">
        <v>15</v>
      </c>
      <c r="J3475">
        <v>14</v>
      </c>
      <c r="K3475">
        <v>0</v>
      </c>
      <c r="L3475">
        <v>0</v>
      </c>
      <c r="M3475">
        <f>VLOOKUP(Table1[[#This Row],[subscription_type]],Plans!$A$1:$B$5,2,FALSE)</f>
        <v>0</v>
      </c>
      <c r="N3475">
        <f t="shared" si="54"/>
        <v>0</v>
      </c>
    </row>
    <row r="3476" spans="1:14" x14ac:dyDescent="0.35">
      <c r="A3476">
        <v>3475</v>
      </c>
      <c r="B3476" t="s">
        <v>20</v>
      </c>
      <c r="C3476">
        <v>44</v>
      </c>
      <c r="D3476" t="s">
        <v>27</v>
      </c>
      <c r="E3476" t="s">
        <v>18</v>
      </c>
      <c r="F3476">
        <v>134</v>
      </c>
      <c r="G3476">
        <v>76</v>
      </c>
      <c r="H3476">
        <v>0.43</v>
      </c>
      <c r="I3476" t="s">
        <v>19</v>
      </c>
      <c r="J3476">
        <v>0</v>
      </c>
      <c r="K3476">
        <v>1</v>
      </c>
      <c r="L3476">
        <v>1</v>
      </c>
      <c r="M3476">
        <f>VLOOKUP(Table1[[#This Row],[subscription_type]],Plans!$A$1:$B$5,2,FALSE)</f>
        <v>14.99</v>
      </c>
      <c r="N3476">
        <f t="shared" si="54"/>
        <v>14.99</v>
      </c>
    </row>
    <row r="3477" spans="1:14" x14ac:dyDescent="0.35">
      <c r="A3477">
        <v>3476</v>
      </c>
      <c r="B3477" t="s">
        <v>12</v>
      </c>
      <c r="C3477">
        <v>26</v>
      </c>
      <c r="D3477" t="s">
        <v>13</v>
      </c>
      <c r="E3477" t="s">
        <v>18</v>
      </c>
      <c r="F3477">
        <v>60</v>
      </c>
      <c r="G3477">
        <v>85</v>
      </c>
      <c r="H3477">
        <v>0.26</v>
      </c>
      <c r="I3477" t="s">
        <v>19</v>
      </c>
      <c r="J3477">
        <v>0</v>
      </c>
      <c r="K3477">
        <v>1</v>
      </c>
      <c r="L3477">
        <v>0</v>
      </c>
      <c r="M3477">
        <f>VLOOKUP(Table1[[#This Row],[subscription_type]],Plans!$A$1:$B$5,2,FALSE)</f>
        <v>14.99</v>
      </c>
      <c r="N3477">
        <f t="shared" si="54"/>
        <v>0</v>
      </c>
    </row>
    <row r="3478" spans="1:14" x14ac:dyDescent="0.35">
      <c r="A3478">
        <v>3477</v>
      </c>
      <c r="B3478" t="s">
        <v>16</v>
      </c>
      <c r="C3478">
        <v>27</v>
      </c>
      <c r="D3478" t="s">
        <v>17</v>
      </c>
      <c r="E3478" t="s">
        <v>18</v>
      </c>
      <c r="F3478">
        <v>261</v>
      </c>
      <c r="G3478">
        <v>83</v>
      </c>
      <c r="H3478">
        <v>0.51</v>
      </c>
      <c r="I3478" t="s">
        <v>19</v>
      </c>
      <c r="J3478">
        <v>0</v>
      </c>
      <c r="K3478">
        <v>1</v>
      </c>
      <c r="L3478">
        <v>1</v>
      </c>
      <c r="M3478">
        <f>VLOOKUP(Table1[[#This Row],[subscription_type]],Plans!$A$1:$B$5,2,FALSE)</f>
        <v>14.99</v>
      </c>
      <c r="N3478">
        <f t="shared" si="54"/>
        <v>14.99</v>
      </c>
    </row>
    <row r="3479" spans="1:14" x14ac:dyDescent="0.35">
      <c r="A3479">
        <v>3478</v>
      </c>
      <c r="B3479" t="s">
        <v>16</v>
      </c>
      <c r="C3479">
        <v>20</v>
      </c>
      <c r="D3479" t="s">
        <v>28</v>
      </c>
      <c r="E3479" t="s">
        <v>22</v>
      </c>
      <c r="F3479">
        <v>298</v>
      </c>
      <c r="G3479">
        <v>65</v>
      </c>
      <c r="H3479">
        <v>0.4</v>
      </c>
      <c r="I3479" t="s">
        <v>15</v>
      </c>
      <c r="J3479">
        <v>0</v>
      </c>
      <c r="K3479">
        <v>1</v>
      </c>
      <c r="L3479">
        <v>0</v>
      </c>
      <c r="M3479">
        <f>VLOOKUP(Table1[[#This Row],[subscription_type]],Plans!$A$1:$B$5,2,FALSE)</f>
        <v>9.99</v>
      </c>
      <c r="N3479">
        <f t="shared" si="54"/>
        <v>0</v>
      </c>
    </row>
    <row r="3480" spans="1:14" x14ac:dyDescent="0.35">
      <c r="A3480">
        <v>3479</v>
      </c>
      <c r="B3480" t="s">
        <v>12</v>
      </c>
      <c r="C3480">
        <v>48</v>
      </c>
      <c r="D3480" t="s">
        <v>28</v>
      </c>
      <c r="E3480" t="s">
        <v>18</v>
      </c>
      <c r="F3480">
        <v>58</v>
      </c>
      <c r="G3480">
        <v>18</v>
      </c>
      <c r="H3480">
        <v>0.02</v>
      </c>
      <c r="I3480" t="s">
        <v>19</v>
      </c>
      <c r="J3480">
        <v>0</v>
      </c>
      <c r="K3480">
        <v>1</v>
      </c>
      <c r="L3480">
        <v>0</v>
      </c>
      <c r="M3480">
        <f>VLOOKUP(Table1[[#This Row],[subscription_type]],Plans!$A$1:$B$5,2,FALSE)</f>
        <v>14.99</v>
      </c>
      <c r="N3480">
        <f t="shared" si="54"/>
        <v>0</v>
      </c>
    </row>
    <row r="3481" spans="1:14" x14ac:dyDescent="0.35">
      <c r="A3481">
        <v>3480</v>
      </c>
      <c r="B3481" t="s">
        <v>16</v>
      </c>
      <c r="C3481">
        <v>48</v>
      </c>
      <c r="D3481" t="s">
        <v>21</v>
      </c>
      <c r="E3481" t="s">
        <v>14</v>
      </c>
      <c r="F3481">
        <v>104</v>
      </c>
      <c r="G3481">
        <v>33</v>
      </c>
      <c r="H3481">
        <v>0.56000000000000005</v>
      </c>
      <c r="I3481" t="s">
        <v>19</v>
      </c>
      <c r="J3481">
        <v>22</v>
      </c>
      <c r="K3481">
        <v>0</v>
      </c>
      <c r="L3481">
        <v>0</v>
      </c>
      <c r="M3481">
        <f>VLOOKUP(Table1[[#This Row],[subscription_type]],Plans!$A$1:$B$5,2,FALSE)</f>
        <v>0</v>
      </c>
      <c r="N3481">
        <f t="shared" si="54"/>
        <v>0</v>
      </c>
    </row>
    <row r="3482" spans="1:14" x14ac:dyDescent="0.35">
      <c r="A3482">
        <v>3481</v>
      </c>
      <c r="B3482" t="s">
        <v>12</v>
      </c>
      <c r="C3482">
        <v>24</v>
      </c>
      <c r="D3482" t="s">
        <v>17</v>
      </c>
      <c r="E3482" t="s">
        <v>18</v>
      </c>
      <c r="F3482">
        <v>185</v>
      </c>
      <c r="G3482">
        <v>49</v>
      </c>
      <c r="H3482">
        <v>0.11</v>
      </c>
      <c r="I3482" t="s">
        <v>19</v>
      </c>
      <c r="J3482">
        <v>0</v>
      </c>
      <c r="K3482">
        <v>1</v>
      </c>
      <c r="L3482">
        <v>1</v>
      </c>
      <c r="M3482">
        <f>VLOOKUP(Table1[[#This Row],[subscription_type]],Plans!$A$1:$B$5,2,FALSE)</f>
        <v>14.99</v>
      </c>
      <c r="N3482">
        <f t="shared" si="54"/>
        <v>14.99</v>
      </c>
    </row>
    <row r="3483" spans="1:14" x14ac:dyDescent="0.35">
      <c r="A3483">
        <v>3482</v>
      </c>
      <c r="B3483" t="s">
        <v>20</v>
      </c>
      <c r="C3483">
        <v>34</v>
      </c>
      <c r="D3483" t="s">
        <v>25</v>
      </c>
      <c r="E3483" t="s">
        <v>18</v>
      </c>
      <c r="F3483">
        <v>235</v>
      </c>
      <c r="G3483">
        <v>94</v>
      </c>
      <c r="H3483">
        <v>0.46</v>
      </c>
      <c r="I3483" t="s">
        <v>23</v>
      </c>
      <c r="J3483">
        <v>0</v>
      </c>
      <c r="K3483">
        <v>1</v>
      </c>
      <c r="L3483">
        <v>0</v>
      </c>
      <c r="M3483">
        <f>VLOOKUP(Table1[[#This Row],[subscription_type]],Plans!$A$1:$B$5,2,FALSE)</f>
        <v>14.99</v>
      </c>
      <c r="N3483">
        <f t="shared" si="54"/>
        <v>0</v>
      </c>
    </row>
    <row r="3484" spans="1:14" x14ac:dyDescent="0.35">
      <c r="A3484">
        <v>3483</v>
      </c>
      <c r="B3484" t="s">
        <v>12</v>
      </c>
      <c r="C3484">
        <v>42</v>
      </c>
      <c r="D3484" t="s">
        <v>13</v>
      </c>
      <c r="E3484" t="s">
        <v>14</v>
      </c>
      <c r="F3484">
        <v>232</v>
      </c>
      <c r="G3484">
        <v>1</v>
      </c>
      <c r="H3484">
        <v>0.56999999999999995</v>
      </c>
      <c r="I3484" t="s">
        <v>15</v>
      </c>
      <c r="J3484">
        <v>49</v>
      </c>
      <c r="K3484">
        <v>0</v>
      </c>
      <c r="L3484">
        <v>0</v>
      </c>
      <c r="M3484">
        <f>VLOOKUP(Table1[[#This Row],[subscription_type]],Plans!$A$1:$B$5,2,FALSE)</f>
        <v>0</v>
      </c>
      <c r="N3484">
        <f t="shared" si="54"/>
        <v>0</v>
      </c>
    </row>
    <row r="3485" spans="1:14" x14ac:dyDescent="0.35">
      <c r="A3485">
        <v>3484</v>
      </c>
      <c r="B3485" t="s">
        <v>16</v>
      </c>
      <c r="C3485">
        <v>31</v>
      </c>
      <c r="D3485" t="s">
        <v>21</v>
      </c>
      <c r="E3485" t="s">
        <v>22</v>
      </c>
      <c r="F3485">
        <v>153</v>
      </c>
      <c r="G3485">
        <v>19</v>
      </c>
      <c r="H3485">
        <v>0.39</v>
      </c>
      <c r="I3485" t="s">
        <v>19</v>
      </c>
      <c r="J3485">
        <v>0</v>
      </c>
      <c r="K3485">
        <v>1</v>
      </c>
      <c r="L3485">
        <v>1</v>
      </c>
      <c r="M3485">
        <f>VLOOKUP(Table1[[#This Row],[subscription_type]],Plans!$A$1:$B$5,2,FALSE)</f>
        <v>9.99</v>
      </c>
      <c r="N3485">
        <f t="shared" si="54"/>
        <v>9.99</v>
      </c>
    </row>
    <row r="3486" spans="1:14" x14ac:dyDescent="0.35">
      <c r="A3486">
        <v>3485</v>
      </c>
      <c r="B3486" t="s">
        <v>12</v>
      </c>
      <c r="C3486">
        <v>48</v>
      </c>
      <c r="D3486" t="s">
        <v>27</v>
      </c>
      <c r="E3486" t="s">
        <v>18</v>
      </c>
      <c r="F3486">
        <v>176</v>
      </c>
      <c r="G3486">
        <v>19</v>
      </c>
      <c r="H3486">
        <v>0.23</v>
      </c>
      <c r="I3486" t="s">
        <v>15</v>
      </c>
      <c r="J3486">
        <v>0</v>
      </c>
      <c r="K3486">
        <v>1</v>
      </c>
      <c r="L3486">
        <v>1</v>
      </c>
      <c r="M3486">
        <f>VLOOKUP(Table1[[#This Row],[subscription_type]],Plans!$A$1:$B$5,2,FALSE)</f>
        <v>14.99</v>
      </c>
      <c r="N3486">
        <f t="shared" si="54"/>
        <v>14.99</v>
      </c>
    </row>
    <row r="3487" spans="1:14" x14ac:dyDescent="0.35">
      <c r="A3487">
        <v>3486</v>
      </c>
      <c r="B3487" t="s">
        <v>12</v>
      </c>
      <c r="C3487">
        <v>35</v>
      </c>
      <c r="D3487" t="s">
        <v>25</v>
      </c>
      <c r="E3487" t="s">
        <v>22</v>
      </c>
      <c r="F3487">
        <v>210</v>
      </c>
      <c r="G3487">
        <v>7</v>
      </c>
      <c r="H3487">
        <v>0.33</v>
      </c>
      <c r="I3487" t="s">
        <v>19</v>
      </c>
      <c r="J3487">
        <v>0</v>
      </c>
      <c r="K3487">
        <v>1</v>
      </c>
      <c r="L3487">
        <v>0</v>
      </c>
      <c r="M3487">
        <f>VLOOKUP(Table1[[#This Row],[subscription_type]],Plans!$A$1:$B$5,2,FALSE)</f>
        <v>9.99</v>
      </c>
      <c r="N3487">
        <f t="shared" si="54"/>
        <v>0</v>
      </c>
    </row>
    <row r="3488" spans="1:14" x14ac:dyDescent="0.35">
      <c r="A3488">
        <v>3487</v>
      </c>
      <c r="B3488" t="s">
        <v>16</v>
      </c>
      <c r="C3488">
        <v>53</v>
      </c>
      <c r="D3488" t="s">
        <v>27</v>
      </c>
      <c r="E3488" t="s">
        <v>18</v>
      </c>
      <c r="F3488">
        <v>103</v>
      </c>
      <c r="G3488">
        <v>40</v>
      </c>
      <c r="H3488">
        <v>0.32</v>
      </c>
      <c r="I3488" t="s">
        <v>23</v>
      </c>
      <c r="J3488">
        <v>0</v>
      </c>
      <c r="K3488">
        <v>1</v>
      </c>
      <c r="L3488">
        <v>0</v>
      </c>
      <c r="M3488">
        <f>VLOOKUP(Table1[[#This Row],[subscription_type]],Plans!$A$1:$B$5,2,FALSE)</f>
        <v>14.99</v>
      </c>
      <c r="N3488">
        <f t="shared" si="54"/>
        <v>0</v>
      </c>
    </row>
    <row r="3489" spans="1:14" x14ac:dyDescent="0.35">
      <c r="A3489">
        <v>3488</v>
      </c>
      <c r="B3489" t="s">
        <v>20</v>
      </c>
      <c r="C3489">
        <v>19</v>
      </c>
      <c r="D3489" t="s">
        <v>17</v>
      </c>
      <c r="E3489" t="s">
        <v>22</v>
      </c>
      <c r="F3489">
        <v>41</v>
      </c>
      <c r="G3489">
        <v>10</v>
      </c>
      <c r="H3489">
        <v>0.37</v>
      </c>
      <c r="I3489" t="s">
        <v>19</v>
      </c>
      <c r="J3489">
        <v>0</v>
      </c>
      <c r="K3489">
        <v>1</v>
      </c>
      <c r="L3489">
        <v>0</v>
      </c>
      <c r="M3489">
        <f>VLOOKUP(Table1[[#This Row],[subscription_type]],Plans!$A$1:$B$5,2,FALSE)</f>
        <v>9.99</v>
      </c>
      <c r="N3489">
        <f t="shared" si="54"/>
        <v>0</v>
      </c>
    </row>
    <row r="3490" spans="1:14" x14ac:dyDescent="0.35">
      <c r="A3490">
        <v>3489</v>
      </c>
      <c r="B3490" t="s">
        <v>12</v>
      </c>
      <c r="C3490">
        <v>59</v>
      </c>
      <c r="D3490" t="s">
        <v>17</v>
      </c>
      <c r="E3490" t="s">
        <v>14</v>
      </c>
      <c r="F3490">
        <v>16</v>
      </c>
      <c r="G3490">
        <v>20</v>
      </c>
      <c r="H3490">
        <v>0.53</v>
      </c>
      <c r="I3490" t="s">
        <v>15</v>
      </c>
      <c r="J3490">
        <v>13</v>
      </c>
      <c r="K3490">
        <v>0</v>
      </c>
      <c r="L3490">
        <v>1</v>
      </c>
      <c r="M3490">
        <f>VLOOKUP(Table1[[#This Row],[subscription_type]],Plans!$A$1:$B$5,2,FALSE)</f>
        <v>0</v>
      </c>
      <c r="N3490">
        <f t="shared" si="54"/>
        <v>0</v>
      </c>
    </row>
    <row r="3491" spans="1:14" x14ac:dyDescent="0.35">
      <c r="A3491">
        <v>3490</v>
      </c>
      <c r="B3491" t="s">
        <v>16</v>
      </c>
      <c r="C3491">
        <v>33</v>
      </c>
      <c r="D3491" t="s">
        <v>25</v>
      </c>
      <c r="E3491" t="s">
        <v>18</v>
      </c>
      <c r="F3491">
        <v>256</v>
      </c>
      <c r="G3491">
        <v>7</v>
      </c>
      <c r="H3491">
        <v>0.11</v>
      </c>
      <c r="I3491" t="s">
        <v>19</v>
      </c>
      <c r="J3491">
        <v>0</v>
      </c>
      <c r="K3491">
        <v>1</v>
      </c>
      <c r="L3491">
        <v>0</v>
      </c>
      <c r="M3491">
        <f>VLOOKUP(Table1[[#This Row],[subscription_type]],Plans!$A$1:$B$5,2,FALSE)</f>
        <v>14.99</v>
      </c>
      <c r="N3491">
        <f t="shared" si="54"/>
        <v>0</v>
      </c>
    </row>
    <row r="3492" spans="1:14" x14ac:dyDescent="0.35">
      <c r="A3492">
        <v>3491</v>
      </c>
      <c r="B3492" t="s">
        <v>16</v>
      </c>
      <c r="C3492">
        <v>50</v>
      </c>
      <c r="D3492" t="s">
        <v>29</v>
      </c>
      <c r="E3492" t="s">
        <v>22</v>
      </c>
      <c r="F3492">
        <v>236</v>
      </c>
      <c r="G3492">
        <v>55</v>
      </c>
      <c r="H3492">
        <v>0.1</v>
      </c>
      <c r="I3492" t="s">
        <v>15</v>
      </c>
      <c r="J3492">
        <v>0</v>
      </c>
      <c r="K3492">
        <v>1</v>
      </c>
      <c r="L3492">
        <v>0</v>
      </c>
      <c r="M3492">
        <f>VLOOKUP(Table1[[#This Row],[subscription_type]],Plans!$A$1:$B$5,2,FALSE)</f>
        <v>9.99</v>
      </c>
      <c r="N3492">
        <f t="shared" si="54"/>
        <v>0</v>
      </c>
    </row>
    <row r="3493" spans="1:14" x14ac:dyDescent="0.35">
      <c r="A3493">
        <v>3492</v>
      </c>
      <c r="B3493" t="s">
        <v>16</v>
      </c>
      <c r="C3493">
        <v>36</v>
      </c>
      <c r="D3493" t="s">
        <v>28</v>
      </c>
      <c r="E3493" t="s">
        <v>14</v>
      </c>
      <c r="F3493">
        <v>198</v>
      </c>
      <c r="G3493">
        <v>20</v>
      </c>
      <c r="H3493">
        <v>0.46</v>
      </c>
      <c r="I3493" t="s">
        <v>19</v>
      </c>
      <c r="J3493">
        <v>7</v>
      </c>
      <c r="K3493">
        <v>0</v>
      </c>
      <c r="L3493">
        <v>1</v>
      </c>
      <c r="M3493">
        <f>VLOOKUP(Table1[[#This Row],[subscription_type]],Plans!$A$1:$B$5,2,FALSE)</f>
        <v>0</v>
      </c>
      <c r="N3493">
        <f t="shared" si="54"/>
        <v>0</v>
      </c>
    </row>
    <row r="3494" spans="1:14" x14ac:dyDescent="0.35">
      <c r="A3494">
        <v>3493</v>
      </c>
      <c r="B3494" t="s">
        <v>20</v>
      </c>
      <c r="C3494">
        <v>49</v>
      </c>
      <c r="D3494" t="s">
        <v>26</v>
      </c>
      <c r="E3494" t="s">
        <v>14</v>
      </c>
      <c r="F3494">
        <v>233</v>
      </c>
      <c r="G3494">
        <v>62</v>
      </c>
      <c r="H3494">
        <v>0.26</v>
      </c>
      <c r="I3494" t="s">
        <v>19</v>
      </c>
      <c r="J3494">
        <v>32</v>
      </c>
      <c r="K3494">
        <v>0</v>
      </c>
      <c r="L3494">
        <v>0</v>
      </c>
      <c r="M3494">
        <f>VLOOKUP(Table1[[#This Row],[subscription_type]],Plans!$A$1:$B$5,2,FALSE)</f>
        <v>0</v>
      </c>
      <c r="N3494">
        <f t="shared" si="54"/>
        <v>0</v>
      </c>
    </row>
    <row r="3495" spans="1:14" x14ac:dyDescent="0.35">
      <c r="A3495">
        <v>3494</v>
      </c>
      <c r="B3495" t="s">
        <v>16</v>
      </c>
      <c r="C3495">
        <v>48</v>
      </c>
      <c r="D3495" t="s">
        <v>27</v>
      </c>
      <c r="E3495" t="s">
        <v>22</v>
      </c>
      <c r="F3495">
        <v>130</v>
      </c>
      <c r="G3495">
        <v>66</v>
      </c>
      <c r="H3495">
        <v>0.55000000000000004</v>
      </c>
      <c r="I3495" t="s">
        <v>15</v>
      </c>
      <c r="J3495">
        <v>0</v>
      </c>
      <c r="K3495">
        <v>1</v>
      </c>
      <c r="L3495">
        <v>1</v>
      </c>
      <c r="M3495">
        <f>VLOOKUP(Table1[[#This Row],[subscription_type]],Plans!$A$1:$B$5,2,FALSE)</f>
        <v>9.99</v>
      </c>
      <c r="N3495">
        <f t="shared" si="54"/>
        <v>9.99</v>
      </c>
    </row>
    <row r="3496" spans="1:14" x14ac:dyDescent="0.35">
      <c r="A3496">
        <v>3495</v>
      </c>
      <c r="B3496" t="s">
        <v>12</v>
      </c>
      <c r="C3496">
        <v>31</v>
      </c>
      <c r="D3496" t="s">
        <v>25</v>
      </c>
      <c r="E3496" t="s">
        <v>24</v>
      </c>
      <c r="F3496">
        <v>235</v>
      </c>
      <c r="G3496">
        <v>25</v>
      </c>
      <c r="H3496">
        <v>0.01</v>
      </c>
      <c r="I3496" t="s">
        <v>19</v>
      </c>
      <c r="J3496">
        <v>0</v>
      </c>
      <c r="K3496">
        <v>1</v>
      </c>
      <c r="L3496">
        <v>0</v>
      </c>
      <c r="M3496">
        <f>VLOOKUP(Table1[[#This Row],[subscription_type]],Plans!$A$1:$B$5,2,FALSE)</f>
        <v>4.99</v>
      </c>
      <c r="N3496">
        <f t="shared" si="54"/>
        <v>0</v>
      </c>
    </row>
    <row r="3497" spans="1:14" x14ac:dyDescent="0.35">
      <c r="A3497">
        <v>3496</v>
      </c>
      <c r="B3497" t="s">
        <v>16</v>
      </c>
      <c r="C3497">
        <v>51</v>
      </c>
      <c r="D3497" t="s">
        <v>29</v>
      </c>
      <c r="E3497" t="s">
        <v>18</v>
      </c>
      <c r="F3497">
        <v>88</v>
      </c>
      <c r="G3497">
        <v>92</v>
      </c>
      <c r="H3497">
        <v>0.6</v>
      </c>
      <c r="I3497" t="s">
        <v>23</v>
      </c>
      <c r="J3497">
        <v>0</v>
      </c>
      <c r="K3497">
        <v>1</v>
      </c>
      <c r="L3497">
        <v>0</v>
      </c>
      <c r="M3497">
        <f>VLOOKUP(Table1[[#This Row],[subscription_type]],Plans!$A$1:$B$5,2,FALSE)</f>
        <v>14.99</v>
      </c>
      <c r="N3497">
        <f t="shared" si="54"/>
        <v>0</v>
      </c>
    </row>
    <row r="3498" spans="1:14" x14ac:dyDescent="0.35">
      <c r="A3498">
        <v>3497</v>
      </c>
      <c r="B3498" t="s">
        <v>12</v>
      </c>
      <c r="C3498">
        <v>17</v>
      </c>
      <c r="D3498" t="s">
        <v>26</v>
      </c>
      <c r="E3498" t="s">
        <v>22</v>
      </c>
      <c r="F3498">
        <v>41</v>
      </c>
      <c r="G3498">
        <v>6</v>
      </c>
      <c r="H3498">
        <v>0.56000000000000005</v>
      </c>
      <c r="I3498" t="s">
        <v>19</v>
      </c>
      <c r="J3498">
        <v>0</v>
      </c>
      <c r="K3498">
        <v>1</v>
      </c>
      <c r="L3498">
        <v>0</v>
      </c>
      <c r="M3498">
        <f>VLOOKUP(Table1[[#This Row],[subscription_type]],Plans!$A$1:$B$5,2,FALSE)</f>
        <v>9.99</v>
      </c>
      <c r="N3498">
        <f t="shared" si="54"/>
        <v>0</v>
      </c>
    </row>
    <row r="3499" spans="1:14" x14ac:dyDescent="0.35">
      <c r="A3499">
        <v>3498</v>
      </c>
      <c r="B3499" t="s">
        <v>12</v>
      </c>
      <c r="C3499">
        <v>20</v>
      </c>
      <c r="D3499" t="s">
        <v>26</v>
      </c>
      <c r="E3499" t="s">
        <v>24</v>
      </c>
      <c r="F3499">
        <v>103</v>
      </c>
      <c r="G3499">
        <v>19</v>
      </c>
      <c r="H3499">
        <v>0.33</v>
      </c>
      <c r="I3499" t="s">
        <v>23</v>
      </c>
      <c r="J3499">
        <v>0</v>
      </c>
      <c r="K3499">
        <v>1</v>
      </c>
      <c r="L3499">
        <v>1</v>
      </c>
      <c r="M3499">
        <f>VLOOKUP(Table1[[#This Row],[subscription_type]],Plans!$A$1:$B$5,2,FALSE)</f>
        <v>4.99</v>
      </c>
      <c r="N3499">
        <f t="shared" si="54"/>
        <v>4.99</v>
      </c>
    </row>
    <row r="3500" spans="1:14" x14ac:dyDescent="0.35">
      <c r="A3500">
        <v>3499</v>
      </c>
      <c r="B3500" t="s">
        <v>20</v>
      </c>
      <c r="C3500">
        <v>16</v>
      </c>
      <c r="D3500" t="s">
        <v>17</v>
      </c>
      <c r="E3500" t="s">
        <v>18</v>
      </c>
      <c r="F3500">
        <v>218</v>
      </c>
      <c r="G3500">
        <v>68</v>
      </c>
      <c r="H3500">
        <v>0.25</v>
      </c>
      <c r="I3500" t="s">
        <v>23</v>
      </c>
      <c r="J3500">
        <v>0</v>
      </c>
      <c r="K3500">
        <v>1</v>
      </c>
      <c r="L3500">
        <v>1</v>
      </c>
      <c r="M3500">
        <f>VLOOKUP(Table1[[#This Row],[subscription_type]],Plans!$A$1:$B$5,2,FALSE)</f>
        <v>14.99</v>
      </c>
      <c r="N3500">
        <f t="shared" si="54"/>
        <v>14.99</v>
      </c>
    </row>
    <row r="3501" spans="1:14" x14ac:dyDescent="0.35">
      <c r="A3501">
        <v>3500</v>
      </c>
      <c r="B3501" t="s">
        <v>16</v>
      </c>
      <c r="C3501">
        <v>45</v>
      </c>
      <c r="D3501" t="s">
        <v>21</v>
      </c>
      <c r="E3501" t="s">
        <v>22</v>
      </c>
      <c r="F3501">
        <v>238</v>
      </c>
      <c r="G3501">
        <v>66</v>
      </c>
      <c r="H3501">
        <v>0.06</v>
      </c>
      <c r="I3501" t="s">
        <v>19</v>
      </c>
      <c r="J3501">
        <v>0</v>
      </c>
      <c r="K3501">
        <v>1</v>
      </c>
      <c r="L3501">
        <v>0</v>
      </c>
      <c r="M3501">
        <f>VLOOKUP(Table1[[#This Row],[subscription_type]],Plans!$A$1:$B$5,2,FALSE)</f>
        <v>9.99</v>
      </c>
      <c r="N3501">
        <f t="shared" si="54"/>
        <v>0</v>
      </c>
    </row>
    <row r="3502" spans="1:14" x14ac:dyDescent="0.35">
      <c r="A3502">
        <v>3501</v>
      </c>
      <c r="B3502" t="s">
        <v>20</v>
      </c>
      <c r="C3502">
        <v>19</v>
      </c>
      <c r="D3502" t="s">
        <v>21</v>
      </c>
      <c r="E3502" t="s">
        <v>24</v>
      </c>
      <c r="F3502">
        <v>154</v>
      </c>
      <c r="G3502">
        <v>99</v>
      </c>
      <c r="H3502">
        <v>0.27</v>
      </c>
      <c r="I3502" t="s">
        <v>15</v>
      </c>
      <c r="J3502">
        <v>0</v>
      </c>
      <c r="K3502">
        <v>1</v>
      </c>
      <c r="L3502">
        <v>0</v>
      </c>
      <c r="M3502">
        <f>VLOOKUP(Table1[[#This Row],[subscription_type]],Plans!$A$1:$B$5,2,FALSE)</f>
        <v>4.99</v>
      </c>
      <c r="N3502">
        <f t="shared" si="54"/>
        <v>0</v>
      </c>
    </row>
    <row r="3503" spans="1:14" x14ac:dyDescent="0.35">
      <c r="A3503">
        <v>3502</v>
      </c>
      <c r="B3503" t="s">
        <v>16</v>
      </c>
      <c r="C3503">
        <v>39</v>
      </c>
      <c r="D3503" t="s">
        <v>21</v>
      </c>
      <c r="E3503" t="s">
        <v>24</v>
      </c>
      <c r="F3503">
        <v>149</v>
      </c>
      <c r="G3503">
        <v>41</v>
      </c>
      <c r="H3503">
        <v>0.43</v>
      </c>
      <c r="I3503" t="s">
        <v>15</v>
      </c>
      <c r="J3503">
        <v>0</v>
      </c>
      <c r="K3503">
        <v>1</v>
      </c>
      <c r="L3503">
        <v>0</v>
      </c>
      <c r="M3503">
        <f>VLOOKUP(Table1[[#This Row],[subscription_type]],Plans!$A$1:$B$5,2,FALSE)</f>
        <v>4.99</v>
      </c>
      <c r="N3503">
        <f t="shared" si="54"/>
        <v>0</v>
      </c>
    </row>
    <row r="3504" spans="1:14" x14ac:dyDescent="0.35">
      <c r="A3504">
        <v>3503</v>
      </c>
      <c r="B3504" t="s">
        <v>20</v>
      </c>
      <c r="C3504">
        <v>31</v>
      </c>
      <c r="D3504" t="s">
        <v>26</v>
      </c>
      <c r="E3504" t="s">
        <v>18</v>
      </c>
      <c r="F3504">
        <v>248</v>
      </c>
      <c r="G3504">
        <v>71</v>
      </c>
      <c r="H3504">
        <v>7.0000000000000007E-2</v>
      </c>
      <c r="I3504" t="s">
        <v>19</v>
      </c>
      <c r="J3504">
        <v>0</v>
      </c>
      <c r="K3504">
        <v>1</v>
      </c>
      <c r="L3504">
        <v>0</v>
      </c>
      <c r="M3504">
        <f>VLOOKUP(Table1[[#This Row],[subscription_type]],Plans!$A$1:$B$5,2,FALSE)</f>
        <v>14.99</v>
      </c>
      <c r="N3504">
        <f t="shared" si="54"/>
        <v>0</v>
      </c>
    </row>
    <row r="3505" spans="1:14" x14ac:dyDescent="0.35">
      <c r="A3505">
        <v>3504</v>
      </c>
      <c r="B3505" t="s">
        <v>12</v>
      </c>
      <c r="C3505">
        <v>48</v>
      </c>
      <c r="D3505" t="s">
        <v>27</v>
      </c>
      <c r="E3505" t="s">
        <v>18</v>
      </c>
      <c r="F3505">
        <v>272</v>
      </c>
      <c r="G3505">
        <v>85</v>
      </c>
      <c r="H3505">
        <v>0.57999999999999996</v>
      </c>
      <c r="I3505" t="s">
        <v>15</v>
      </c>
      <c r="J3505">
        <v>0</v>
      </c>
      <c r="K3505">
        <v>1</v>
      </c>
      <c r="L3505">
        <v>0</v>
      </c>
      <c r="M3505">
        <f>VLOOKUP(Table1[[#This Row],[subscription_type]],Plans!$A$1:$B$5,2,FALSE)</f>
        <v>14.99</v>
      </c>
      <c r="N3505">
        <f t="shared" si="54"/>
        <v>0</v>
      </c>
    </row>
    <row r="3506" spans="1:14" x14ac:dyDescent="0.35">
      <c r="A3506">
        <v>3505</v>
      </c>
      <c r="B3506" t="s">
        <v>20</v>
      </c>
      <c r="C3506">
        <v>36</v>
      </c>
      <c r="D3506" t="s">
        <v>25</v>
      </c>
      <c r="E3506" t="s">
        <v>14</v>
      </c>
      <c r="F3506">
        <v>231</v>
      </c>
      <c r="G3506">
        <v>96</v>
      </c>
      <c r="H3506">
        <v>0.57999999999999996</v>
      </c>
      <c r="I3506" t="s">
        <v>23</v>
      </c>
      <c r="J3506">
        <v>25</v>
      </c>
      <c r="K3506">
        <v>0</v>
      </c>
      <c r="L3506">
        <v>1</v>
      </c>
      <c r="M3506">
        <f>VLOOKUP(Table1[[#This Row],[subscription_type]],Plans!$A$1:$B$5,2,FALSE)</f>
        <v>0</v>
      </c>
      <c r="N3506">
        <f t="shared" si="54"/>
        <v>0</v>
      </c>
    </row>
    <row r="3507" spans="1:14" x14ac:dyDescent="0.35">
      <c r="A3507">
        <v>3506</v>
      </c>
      <c r="B3507" t="s">
        <v>20</v>
      </c>
      <c r="C3507">
        <v>56</v>
      </c>
      <c r="D3507" t="s">
        <v>27</v>
      </c>
      <c r="E3507" t="s">
        <v>24</v>
      </c>
      <c r="F3507">
        <v>108</v>
      </c>
      <c r="G3507">
        <v>69</v>
      </c>
      <c r="H3507">
        <v>0.54</v>
      </c>
      <c r="I3507" t="s">
        <v>19</v>
      </c>
      <c r="J3507">
        <v>0</v>
      </c>
      <c r="K3507">
        <v>1</v>
      </c>
      <c r="L3507">
        <v>0</v>
      </c>
      <c r="M3507">
        <f>VLOOKUP(Table1[[#This Row],[subscription_type]],Plans!$A$1:$B$5,2,FALSE)</f>
        <v>4.99</v>
      </c>
      <c r="N3507">
        <f t="shared" si="54"/>
        <v>0</v>
      </c>
    </row>
    <row r="3508" spans="1:14" x14ac:dyDescent="0.35">
      <c r="A3508">
        <v>3507</v>
      </c>
      <c r="B3508" t="s">
        <v>20</v>
      </c>
      <c r="C3508">
        <v>52</v>
      </c>
      <c r="D3508" t="s">
        <v>28</v>
      </c>
      <c r="E3508" t="s">
        <v>24</v>
      </c>
      <c r="F3508">
        <v>267</v>
      </c>
      <c r="G3508">
        <v>7</v>
      </c>
      <c r="H3508">
        <v>0.34</v>
      </c>
      <c r="I3508" t="s">
        <v>15</v>
      </c>
      <c r="J3508">
        <v>0</v>
      </c>
      <c r="K3508">
        <v>1</v>
      </c>
      <c r="L3508">
        <v>0</v>
      </c>
      <c r="M3508">
        <f>VLOOKUP(Table1[[#This Row],[subscription_type]],Plans!$A$1:$B$5,2,FALSE)</f>
        <v>4.99</v>
      </c>
      <c r="N3508">
        <f t="shared" si="54"/>
        <v>0</v>
      </c>
    </row>
    <row r="3509" spans="1:14" x14ac:dyDescent="0.35">
      <c r="A3509">
        <v>3508</v>
      </c>
      <c r="B3509" t="s">
        <v>20</v>
      </c>
      <c r="C3509">
        <v>59</v>
      </c>
      <c r="D3509" t="s">
        <v>29</v>
      </c>
      <c r="E3509" t="s">
        <v>22</v>
      </c>
      <c r="F3509">
        <v>238</v>
      </c>
      <c r="G3509">
        <v>40</v>
      </c>
      <c r="H3509">
        <v>0.09</v>
      </c>
      <c r="I3509" t="s">
        <v>15</v>
      </c>
      <c r="J3509">
        <v>0</v>
      </c>
      <c r="K3509">
        <v>1</v>
      </c>
      <c r="L3509">
        <v>0</v>
      </c>
      <c r="M3509">
        <f>VLOOKUP(Table1[[#This Row],[subscription_type]],Plans!$A$1:$B$5,2,FALSE)</f>
        <v>9.99</v>
      </c>
      <c r="N3509">
        <f t="shared" si="54"/>
        <v>0</v>
      </c>
    </row>
    <row r="3510" spans="1:14" x14ac:dyDescent="0.35">
      <c r="A3510">
        <v>3509</v>
      </c>
      <c r="B3510" t="s">
        <v>16</v>
      </c>
      <c r="C3510">
        <v>58</v>
      </c>
      <c r="D3510" t="s">
        <v>25</v>
      </c>
      <c r="E3510" t="s">
        <v>18</v>
      </c>
      <c r="F3510">
        <v>195</v>
      </c>
      <c r="G3510">
        <v>55</v>
      </c>
      <c r="H3510">
        <v>7.0000000000000007E-2</v>
      </c>
      <c r="I3510" t="s">
        <v>23</v>
      </c>
      <c r="J3510">
        <v>0</v>
      </c>
      <c r="K3510">
        <v>1</v>
      </c>
      <c r="L3510">
        <v>0</v>
      </c>
      <c r="M3510">
        <f>VLOOKUP(Table1[[#This Row],[subscription_type]],Plans!$A$1:$B$5,2,FALSE)</f>
        <v>14.99</v>
      </c>
      <c r="N3510">
        <f t="shared" si="54"/>
        <v>0</v>
      </c>
    </row>
    <row r="3511" spans="1:14" x14ac:dyDescent="0.35">
      <c r="A3511">
        <v>3510</v>
      </c>
      <c r="B3511" t="s">
        <v>20</v>
      </c>
      <c r="C3511">
        <v>57</v>
      </c>
      <c r="D3511" t="s">
        <v>28</v>
      </c>
      <c r="E3511" t="s">
        <v>22</v>
      </c>
      <c r="F3511">
        <v>212</v>
      </c>
      <c r="G3511">
        <v>46</v>
      </c>
      <c r="H3511">
        <v>0.18</v>
      </c>
      <c r="I3511" t="s">
        <v>19</v>
      </c>
      <c r="J3511">
        <v>0</v>
      </c>
      <c r="K3511">
        <v>1</v>
      </c>
      <c r="L3511">
        <v>1</v>
      </c>
      <c r="M3511">
        <f>VLOOKUP(Table1[[#This Row],[subscription_type]],Plans!$A$1:$B$5,2,FALSE)</f>
        <v>9.99</v>
      </c>
      <c r="N3511">
        <f t="shared" si="54"/>
        <v>9.99</v>
      </c>
    </row>
    <row r="3512" spans="1:14" x14ac:dyDescent="0.35">
      <c r="A3512">
        <v>3511</v>
      </c>
      <c r="B3512" t="s">
        <v>16</v>
      </c>
      <c r="C3512">
        <v>29</v>
      </c>
      <c r="D3512" t="s">
        <v>21</v>
      </c>
      <c r="E3512" t="s">
        <v>14</v>
      </c>
      <c r="F3512">
        <v>169</v>
      </c>
      <c r="G3512">
        <v>32</v>
      </c>
      <c r="H3512">
        <v>0.26</v>
      </c>
      <c r="I3512" t="s">
        <v>19</v>
      </c>
      <c r="J3512">
        <v>27</v>
      </c>
      <c r="K3512">
        <v>0</v>
      </c>
      <c r="L3512">
        <v>0</v>
      </c>
      <c r="M3512">
        <f>VLOOKUP(Table1[[#This Row],[subscription_type]],Plans!$A$1:$B$5,2,FALSE)</f>
        <v>0</v>
      </c>
      <c r="N3512">
        <f t="shared" si="54"/>
        <v>0</v>
      </c>
    </row>
    <row r="3513" spans="1:14" x14ac:dyDescent="0.35">
      <c r="A3513">
        <v>3512</v>
      </c>
      <c r="B3513" t="s">
        <v>20</v>
      </c>
      <c r="C3513">
        <v>50</v>
      </c>
      <c r="D3513" t="s">
        <v>26</v>
      </c>
      <c r="E3513" t="s">
        <v>14</v>
      </c>
      <c r="F3513">
        <v>204</v>
      </c>
      <c r="G3513">
        <v>92</v>
      </c>
      <c r="H3513">
        <v>0.15</v>
      </c>
      <c r="I3513" t="s">
        <v>19</v>
      </c>
      <c r="J3513">
        <v>26</v>
      </c>
      <c r="K3513">
        <v>0</v>
      </c>
      <c r="L3513">
        <v>1</v>
      </c>
      <c r="M3513">
        <f>VLOOKUP(Table1[[#This Row],[subscription_type]],Plans!$A$1:$B$5,2,FALSE)</f>
        <v>0</v>
      </c>
      <c r="N3513">
        <f t="shared" si="54"/>
        <v>0</v>
      </c>
    </row>
    <row r="3514" spans="1:14" x14ac:dyDescent="0.35">
      <c r="A3514">
        <v>3513</v>
      </c>
      <c r="B3514" t="s">
        <v>20</v>
      </c>
      <c r="C3514">
        <v>34</v>
      </c>
      <c r="D3514" t="s">
        <v>17</v>
      </c>
      <c r="E3514" t="s">
        <v>22</v>
      </c>
      <c r="F3514">
        <v>144</v>
      </c>
      <c r="G3514">
        <v>56</v>
      </c>
      <c r="H3514">
        <v>0.12</v>
      </c>
      <c r="I3514" t="s">
        <v>15</v>
      </c>
      <c r="J3514">
        <v>0</v>
      </c>
      <c r="K3514">
        <v>1</v>
      </c>
      <c r="L3514">
        <v>1</v>
      </c>
      <c r="M3514">
        <f>VLOOKUP(Table1[[#This Row],[subscription_type]],Plans!$A$1:$B$5,2,FALSE)</f>
        <v>9.99</v>
      </c>
      <c r="N3514">
        <f t="shared" si="54"/>
        <v>9.99</v>
      </c>
    </row>
    <row r="3515" spans="1:14" x14ac:dyDescent="0.35">
      <c r="A3515">
        <v>3514</v>
      </c>
      <c r="B3515" t="s">
        <v>16</v>
      </c>
      <c r="C3515">
        <v>18</v>
      </c>
      <c r="D3515" t="s">
        <v>25</v>
      </c>
      <c r="E3515" t="s">
        <v>22</v>
      </c>
      <c r="F3515">
        <v>205</v>
      </c>
      <c r="G3515">
        <v>83</v>
      </c>
      <c r="H3515">
        <v>0.23</v>
      </c>
      <c r="I3515" t="s">
        <v>15</v>
      </c>
      <c r="J3515">
        <v>0</v>
      </c>
      <c r="K3515">
        <v>1</v>
      </c>
      <c r="L3515">
        <v>0</v>
      </c>
      <c r="M3515">
        <f>VLOOKUP(Table1[[#This Row],[subscription_type]],Plans!$A$1:$B$5,2,FALSE)</f>
        <v>9.99</v>
      </c>
      <c r="N3515">
        <f t="shared" si="54"/>
        <v>0</v>
      </c>
    </row>
    <row r="3516" spans="1:14" x14ac:dyDescent="0.35">
      <c r="A3516">
        <v>3515</v>
      </c>
      <c r="B3516" t="s">
        <v>20</v>
      </c>
      <c r="C3516">
        <v>31</v>
      </c>
      <c r="D3516" t="s">
        <v>26</v>
      </c>
      <c r="E3516" t="s">
        <v>18</v>
      </c>
      <c r="F3516">
        <v>275</v>
      </c>
      <c r="G3516">
        <v>78</v>
      </c>
      <c r="H3516">
        <v>0.19</v>
      </c>
      <c r="I3516" t="s">
        <v>23</v>
      </c>
      <c r="J3516">
        <v>0</v>
      </c>
      <c r="K3516">
        <v>1</v>
      </c>
      <c r="L3516">
        <v>0</v>
      </c>
      <c r="M3516">
        <f>VLOOKUP(Table1[[#This Row],[subscription_type]],Plans!$A$1:$B$5,2,FALSE)</f>
        <v>14.99</v>
      </c>
      <c r="N3516">
        <f t="shared" si="54"/>
        <v>0</v>
      </c>
    </row>
    <row r="3517" spans="1:14" x14ac:dyDescent="0.35">
      <c r="A3517">
        <v>3516</v>
      </c>
      <c r="B3517" t="s">
        <v>12</v>
      </c>
      <c r="C3517">
        <v>23</v>
      </c>
      <c r="D3517" t="s">
        <v>26</v>
      </c>
      <c r="E3517" t="s">
        <v>24</v>
      </c>
      <c r="F3517">
        <v>245</v>
      </c>
      <c r="G3517">
        <v>2</v>
      </c>
      <c r="H3517">
        <v>0.06</v>
      </c>
      <c r="I3517" t="s">
        <v>19</v>
      </c>
      <c r="J3517">
        <v>0</v>
      </c>
      <c r="K3517">
        <v>1</v>
      </c>
      <c r="L3517">
        <v>0</v>
      </c>
      <c r="M3517">
        <f>VLOOKUP(Table1[[#This Row],[subscription_type]],Plans!$A$1:$B$5,2,FALSE)</f>
        <v>4.99</v>
      </c>
      <c r="N3517">
        <f t="shared" si="54"/>
        <v>0</v>
      </c>
    </row>
    <row r="3518" spans="1:14" x14ac:dyDescent="0.35">
      <c r="A3518">
        <v>3517</v>
      </c>
      <c r="B3518" t="s">
        <v>12</v>
      </c>
      <c r="C3518">
        <v>54</v>
      </c>
      <c r="D3518" t="s">
        <v>17</v>
      </c>
      <c r="E3518" t="s">
        <v>24</v>
      </c>
      <c r="F3518">
        <v>282</v>
      </c>
      <c r="G3518">
        <v>69</v>
      </c>
      <c r="H3518">
        <v>7.0000000000000007E-2</v>
      </c>
      <c r="I3518" t="s">
        <v>15</v>
      </c>
      <c r="J3518">
        <v>0</v>
      </c>
      <c r="K3518">
        <v>1</v>
      </c>
      <c r="L3518">
        <v>0</v>
      </c>
      <c r="M3518">
        <f>VLOOKUP(Table1[[#This Row],[subscription_type]],Plans!$A$1:$B$5,2,FALSE)</f>
        <v>4.99</v>
      </c>
      <c r="N3518">
        <f t="shared" si="54"/>
        <v>0</v>
      </c>
    </row>
    <row r="3519" spans="1:14" x14ac:dyDescent="0.35">
      <c r="A3519">
        <v>3518</v>
      </c>
      <c r="B3519" t="s">
        <v>16</v>
      </c>
      <c r="C3519">
        <v>43</v>
      </c>
      <c r="D3519" t="s">
        <v>29</v>
      </c>
      <c r="E3519" t="s">
        <v>24</v>
      </c>
      <c r="F3519">
        <v>144</v>
      </c>
      <c r="G3519">
        <v>44</v>
      </c>
      <c r="H3519">
        <v>0.34</v>
      </c>
      <c r="I3519" t="s">
        <v>19</v>
      </c>
      <c r="J3519">
        <v>0</v>
      </c>
      <c r="K3519">
        <v>1</v>
      </c>
      <c r="L3519">
        <v>0</v>
      </c>
      <c r="M3519">
        <f>VLOOKUP(Table1[[#This Row],[subscription_type]],Plans!$A$1:$B$5,2,FALSE)</f>
        <v>4.99</v>
      </c>
      <c r="N3519">
        <f t="shared" si="54"/>
        <v>0</v>
      </c>
    </row>
    <row r="3520" spans="1:14" x14ac:dyDescent="0.35">
      <c r="A3520">
        <v>3519</v>
      </c>
      <c r="B3520" t="s">
        <v>20</v>
      </c>
      <c r="C3520">
        <v>52</v>
      </c>
      <c r="D3520" t="s">
        <v>13</v>
      </c>
      <c r="E3520" t="s">
        <v>24</v>
      </c>
      <c r="F3520">
        <v>146</v>
      </c>
      <c r="G3520">
        <v>63</v>
      </c>
      <c r="H3520">
        <v>0.16</v>
      </c>
      <c r="I3520" t="s">
        <v>19</v>
      </c>
      <c r="J3520">
        <v>0</v>
      </c>
      <c r="K3520">
        <v>1</v>
      </c>
      <c r="L3520">
        <v>0</v>
      </c>
      <c r="M3520">
        <f>VLOOKUP(Table1[[#This Row],[subscription_type]],Plans!$A$1:$B$5,2,FALSE)</f>
        <v>4.99</v>
      </c>
      <c r="N3520">
        <f t="shared" si="54"/>
        <v>0</v>
      </c>
    </row>
    <row r="3521" spans="1:14" x14ac:dyDescent="0.35">
      <c r="A3521">
        <v>3520</v>
      </c>
      <c r="B3521" t="s">
        <v>20</v>
      </c>
      <c r="C3521">
        <v>55</v>
      </c>
      <c r="D3521" t="s">
        <v>26</v>
      </c>
      <c r="E3521" t="s">
        <v>14</v>
      </c>
      <c r="F3521">
        <v>266</v>
      </c>
      <c r="G3521">
        <v>74</v>
      </c>
      <c r="H3521">
        <v>0.01</v>
      </c>
      <c r="I3521" t="s">
        <v>23</v>
      </c>
      <c r="J3521">
        <v>7</v>
      </c>
      <c r="K3521">
        <v>0</v>
      </c>
      <c r="L3521">
        <v>0</v>
      </c>
      <c r="M3521">
        <f>VLOOKUP(Table1[[#This Row],[subscription_type]],Plans!$A$1:$B$5,2,FALSE)</f>
        <v>0</v>
      </c>
      <c r="N3521">
        <f t="shared" si="54"/>
        <v>0</v>
      </c>
    </row>
    <row r="3522" spans="1:14" x14ac:dyDescent="0.35">
      <c r="A3522">
        <v>3521</v>
      </c>
      <c r="B3522" t="s">
        <v>16</v>
      </c>
      <c r="C3522">
        <v>46</v>
      </c>
      <c r="D3522" t="s">
        <v>26</v>
      </c>
      <c r="E3522" t="s">
        <v>22</v>
      </c>
      <c r="F3522">
        <v>90</v>
      </c>
      <c r="G3522">
        <v>3</v>
      </c>
      <c r="H3522">
        <v>7.0000000000000007E-2</v>
      </c>
      <c r="I3522" t="s">
        <v>19</v>
      </c>
      <c r="J3522">
        <v>0</v>
      </c>
      <c r="K3522">
        <v>1</v>
      </c>
      <c r="L3522">
        <v>1</v>
      </c>
      <c r="M3522">
        <f>VLOOKUP(Table1[[#This Row],[subscription_type]],Plans!$A$1:$B$5,2,FALSE)</f>
        <v>9.99</v>
      </c>
      <c r="N3522">
        <f t="shared" ref="N3522:N3585" si="55">IF(L3522=1, M3522,0)</f>
        <v>9.99</v>
      </c>
    </row>
    <row r="3523" spans="1:14" x14ac:dyDescent="0.35">
      <c r="A3523">
        <v>3522</v>
      </c>
      <c r="B3523" t="s">
        <v>16</v>
      </c>
      <c r="C3523">
        <v>45</v>
      </c>
      <c r="D3523" t="s">
        <v>25</v>
      </c>
      <c r="E3523" t="s">
        <v>22</v>
      </c>
      <c r="F3523">
        <v>136</v>
      </c>
      <c r="G3523">
        <v>20</v>
      </c>
      <c r="H3523">
        <v>0.33</v>
      </c>
      <c r="I3523" t="s">
        <v>15</v>
      </c>
      <c r="J3523">
        <v>0</v>
      </c>
      <c r="K3523">
        <v>1</v>
      </c>
      <c r="L3523">
        <v>1</v>
      </c>
      <c r="M3523">
        <f>VLOOKUP(Table1[[#This Row],[subscription_type]],Plans!$A$1:$B$5,2,FALSE)</f>
        <v>9.99</v>
      </c>
      <c r="N3523">
        <f t="shared" si="55"/>
        <v>9.99</v>
      </c>
    </row>
    <row r="3524" spans="1:14" x14ac:dyDescent="0.35">
      <c r="A3524">
        <v>3523</v>
      </c>
      <c r="B3524" t="s">
        <v>20</v>
      </c>
      <c r="C3524">
        <v>19</v>
      </c>
      <c r="D3524" t="s">
        <v>17</v>
      </c>
      <c r="E3524" t="s">
        <v>18</v>
      </c>
      <c r="F3524">
        <v>113</v>
      </c>
      <c r="G3524">
        <v>92</v>
      </c>
      <c r="H3524">
        <v>0.26</v>
      </c>
      <c r="I3524" t="s">
        <v>23</v>
      </c>
      <c r="J3524">
        <v>0</v>
      </c>
      <c r="K3524">
        <v>1</v>
      </c>
      <c r="L3524">
        <v>1</v>
      </c>
      <c r="M3524">
        <f>VLOOKUP(Table1[[#This Row],[subscription_type]],Plans!$A$1:$B$5,2,FALSE)</f>
        <v>14.99</v>
      </c>
      <c r="N3524">
        <f t="shared" si="55"/>
        <v>14.99</v>
      </c>
    </row>
    <row r="3525" spans="1:14" x14ac:dyDescent="0.35">
      <c r="A3525">
        <v>3524</v>
      </c>
      <c r="B3525" t="s">
        <v>12</v>
      </c>
      <c r="C3525">
        <v>49</v>
      </c>
      <c r="D3525" t="s">
        <v>26</v>
      </c>
      <c r="E3525" t="s">
        <v>24</v>
      </c>
      <c r="F3525">
        <v>61</v>
      </c>
      <c r="G3525">
        <v>34</v>
      </c>
      <c r="H3525">
        <v>0.43</v>
      </c>
      <c r="I3525" t="s">
        <v>23</v>
      </c>
      <c r="J3525">
        <v>0</v>
      </c>
      <c r="K3525">
        <v>1</v>
      </c>
      <c r="L3525">
        <v>0</v>
      </c>
      <c r="M3525">
        <f>VLOOKUP(Table1[[#This Row],[subscription_type]],Plans!$A$1:$B$5,2,FALSE)</f>
        <v>4.99</v>
      </c>
      <c r="N3525">
        <f t="shared" si="55"/>
        <v>0</v>
      </c>
    </row>
    <row r="3526" spans="1:14" x14ac:dyDescent="0.35">
      <c r="A3526">
        <v>3525</v>
      </c>
      <c r="B3526" t="s">
        <v>16</v>
      </c>
      <c r="C3526">
        <v>58</v>
      </c>
      <c r="D3526" t="s">
        <v>27</v>
      </c>
      <c r="E3526" t="s">
        <v>18</v>
      </c>
      <c r="F3526">
        <v>231</v>
      </c>
      <c r="G3526">
        <v>87</v>
      </c>
      <c r="H3526">
        <v>0.45</v>
      </c>
      <c r="I3526" t="s">
        <v>23</v>
      </c>
      <c r="J3526">
        <v>0</v>
      </c>
      <c r="K3526">
        <v>1</v>
      </c>
      <c r="L3526">
        <v>0</v>
      </c>
      <c r="M3526">
        <f>VLOOKUP(Table1[[#This Row],[subscription_type]],Plans!$A$1:$B$5,2,FALSE)</f>
        <v>14.99</v>
      </c>
      <c r="N3526">
        <f t="shared" si="55"/>
        <v>0</v>
      </c>
    </row>
    <row r="3527" spans="1:14" x14ac:dyDescent="0.35">
      <c r="A3527">
        <v>3526</v>
      </c>
      <c r="B3527" t="s">
        <v>20</v>
      </c>
      <c r="C3527">
        <v>52</v>
      </c>
      <c r="D3527" t="s">
        <v>28</v>
      </c>
      <c r="E3527" t="s">
        <v>18</v>
      </c>
      <c r="F3527">
        <v>192</v>
      </c>
      <c r="G3527">
        <v>84</v>
      </c>
      <c r="H3527">
        <v>0.06</v>
      </c>
      <c r="I3527" t="s">
        <v>15</v>
      </c>
      <c r="J3527">
        <v>0</v>
      </c>
      <c r="K3527">
        <v>1</v>
      </c>
      <c r="L3527">
        <v>1</v>
      </c>
      <c r="M3527">
        <f>VLOOKUP(Table1[[#This Row],[subscription_type]],Plans!$A$1:$B$5,2,FALSE)</f>
        <v>14.99</v>
      </c>
      <c r="N3527">
        <f t="shared" si="55"/>
        <v>14.99</v>
      </c>
    </row>
    <row r="3528" spans="1:14" x14ac:dyDescent="0.35">
      <c r="A3528">
        <v>3527</v>
      </c>
      <c r="B3528" t="s">
        <v>20</v>
      </c>
      <c r="C3528">
        <v>24</v>
      </c>
      <c r="D3528" t="s">
        <v>13</v>
      </c>
      <c r="E3528" t="s">
        <v>14</v>
      </c>
      <c r="F3528">
        <v>291</v>
      </c>
      <c r="G3528">
        <v>43</v>
      </c>
      <c r="H3528">
        <v>0.05</v>
      </c>
      <c r="I3528" t="s">
        <v>15</v>
      </c>
      <c r="J3528">
        <v>25</v>
      </c>
      <c r="K3528">
        <v>0</v>
      </c>
      <c r="L3528">
        <v>1</v>
      </c>
      <c r="M3528">
        <f>VLOOKUP(Table1[[#This Row],[subscription_type]],Plans!$A$1:$B$5,2,FALSE)</f>
        <v>0</v>
      </c>
      <c r="N3528">
        <f t="shared" si="55"/>
        <v>0</v>
      </c>
    </row>
    <row r="3529" spans="1:14" x14ac:dyDescent="0.35">
      <c r="A3529">
        <v>3528</v>
      </c>
      <c r="B3529" t="s">
        <v>20</v>
      </c>
      <c r="C3529">
        <v>47</v>
      </c>
      <c r="D3529" t="s">
        <v>25</v>
      </c>
      <c r="E3529" t="s">
        <v>22</v>
      </c>
      <c r="F3529">
        <v>204</v>
      </c>
      <c r="G3529">
        <v>52</v>
      </c>
      <c r="H3529">
        <v>0.04</v>
      </c>
      <c r="I3529" t="s">
        <v>15</v>
      </c>
      <c r="J3529">
        <v>0</v>
      </c>
      <c r="K3529">
        <v>1</v>
      </c>
      <c r="L3529">
        <v>1</v>
      </c>
      <c r="M3529">
        <f>VLOOKUP(Table1[[#This Row],[subscription_type]],Plans!$A$1:$B$5,2,FALSE)</f>
        <v>9.99</v>
      </c>
      <c r="N3529">
        <f t="shared" si="55"/>
        <v>9.99</v>
      </c>
    </row>
    <row r="3530" spans="1:14" x14ac:dyDescent="0.35">
      <c r="A3530">
        <v>3529</v>
      </c>
      <c r="B3530" t="s">
        <v>20</v>
      </c>
      <c r="C3530">
        <v>42</v>
      </c>
      <c r="D3530" t="s">
        <v>17</v>
      </c>
      <c r="E3530" t="s">
        <v>14</v>
      </c>
      <c r="F3530">
        <v>37</v>
      </c>
      <c r="G3530">
        <v>98</v>
      </c>
      <c r="H3530">
        <v>0.26</v>
      </c>
      <c r="I3530" t="s">
        <v>15</v>
      </c>
      <c r="J3530">
        <v>30</v>
      </c>
      <c r="K3530">
        <v>0</v>
      </c>
      <c r="L3530">
        <v>0</v>
      </c>
      <c r="M3530">
        <f>VLOOKUP(Table1[[#This Row],[subscription_type]],Plans!$A$1:$B$5,2,FALSE)</f>
        <v>0</v>
      </c>
      <c r="N3530">
        <f t="shared" si="55"/>
        <v>0</v>
      </c>
    </row>
    <row r="3531" spans="1:14" x14ac:dyDescent="0.35">
      <c r="A3531">
        <v>3530</v>
      </c>
      <c r="B3531" t="s">
        <v>12</v>
      </c>
      <c r="C3531">
        <v>16</v>
      </c>
      <c r="D3531" t="s">
        <v>29</v>
      </c>
      <c r="E3531" t="s">
        <v>14</v>
      </c>
      <c r="F3531">
        <v>145</v>
      </c>
      <c r="G3531">
        <v>48</v>
      </c>
      <c r="H3531">
        <v>0.52</v>
      </c>
      <c r="I3531" t="s">
        <v>15</v>
      </c>
      <c r="J3531">
        <v>44</v>
      </c>
      <c r="K3531">
        <v>0</v>
      </c>
      <c r="L3531">
        <v>0</v>
      </c>
      <c r="M3531">
        <f>VLOOKUP(Table1[[#This Row],[subscription_type]],Plans!$A$1:$B$5,2,FALSE)</f>
        <v>0</v>
      </c>
      <c r="N3531">
        <f t="shared" si="55"/>
        <v>0</v>
      </c>
    </row>
    <row r="3532" spans="1:14" x14ac:dyDescent="0.35">
      <c r="A3532">
        <v>3531</v>
      </c>
      <c r="B3532" t="s">
        <v>20</v>
      </c>
      <c r="C3532">
        <v>55</v>
      </c>
      <c r="D3532" t="s">
        <v>27</v>
      </c>
      <c r="E3532" t="s">
        <v>22</v>
      </c>
      <c r="F3532">
        <v>87</v>
      </c>
      <c r="G3532">
        <v>23</v>
      </c>
      <c r="H3532">
        <v>0.57999999999999996</v>
      </c>
      <c r="I3532" t="s">
        <v>15</v>
      </c>
      <c r="J3532">
        <v>0</v>
      </c>
      <c r="K3532">
        <v>1</v>
      </c>
      <c r="L3532">
        <v>0</v>
      </c>
      <c r="M3532">
        <f>VLOOKUP(Table1[[#This Row],[subscription_type]],Plans!$A$1:$B$5,2,FALSE)</f>
        <v>9.99</v>
      </c>
      <c r="N3532">
        <f t="shared" si="55"/>
        <v>0</v>
      </c>
    </row>
    <row r="3533" spans="1:14" x14ac:dyDescent="0.35">
      <c r="A3533">
        <v>3532</v>
      </c>
      <c r="B3533" t="s">
        <v>20</v>
      </c>
      <c r="C3533">
        <v>50</v>
      </c>
      <c r="D3533" t="s">
        <v>27</v>
      </c>
      <c r="E3533" t="s">
        <v>18</v>
      </c>
      <c r="F3533">
        <v>41</v>
      </c>
      <c r="G3533">
        <v>4</v>
      </c>
      <c r="H3533">
        <v>0.46</v>
      </c>
      <c r="I3533" t="s">
        <v>19</v>
      </c>
      <c r="J3533">
        <v>0</v>
      </c>
      <c r="K3533">
        <v>1</v>
      </c>
      <c r="L3533">
        <v>0</v>
      </c>
      <c r="M3533">
        <f>VLOOKUP(Table1[[#This Row],[subscription_type]],Plans!$A$1:$B$5,2,FALSE)</f>
        <v>14.99</v>
      </c>
      <c r="N3533">
        <f t="shared" si="55"/>
        <v>0</v>
      </c>
    </row>
    <row r="3534" spans="1:14" x14ac:dyDescent="0.35">
      <c r="A3534">
        <v>3533</v>
      </c>
      <c r="B3534" t="s">
        <v>12</v>
      </c>
      <c r="C3534">
        <v>29</v>
      </c>
      <c r="D3534" t="s">
        <v>13</v>
      </c>
      <c r="E3534" t="s">
        <v>18</v>
      </c>
      <c r="F3534">
        <v>51</v>
      </c>
      <c r="G3534">
        <v>55</v>
      </c>
      <c r="H3534">
        <v>0.48</v>
      </c>
      <c r="I3534" t="s">
        <v>19</v>
      </c>
      <c r="J3534">
        <v>0</v>
      </c>
      <c r="K3534">
        <v>1</v>
      </c>
      <c r="L3534">
        <v>0</v>
      </c>
      <c r="M3534">
        <f>VLOOKUP(Table1[[#This Row],[subscription_type]],Plans!$A$1:$B$5,2,FALSE)</f>
        <v>14.99</v>
      </c>
      <c r="N3534">
        <f t="shared" si="55"/>
        <v>0</v>
      </c>
    </row>
    <row r="3535" spans="1:14" x14ac:dyDescent="0.35">
      <c r="A3535">
        <v>3534</v>
      </c>
      <c r="B3535" t="s">
        <v>20</v>
      </c>
      <c r="C3535">
        <v>29</v>
      </c>
      <c r="D3535" t="s">
        <v>26</v>
      </c>
      <c r="E3535" t="s">
        <v>24</v>
      </c>
      <c r="F3535">
        <v>114</v>
      </c>
      <c r="G3535">
        <v>83</v>
      </c>
      <c r="H3535">
        <v>0.13</v>
      </c>
      <c r="I3535" t="s">
        <v>19</v>
      </c>
      <c r="J3535">
        <v>0</v>
      </c>
      <c r="K3535">
        <v>1</v>
      </c>
      <c r="L3535">
        <v>1</v>
      </c>
      <c r="M3535">
        <f>VLOOKUP(Table1[[#This Row],[subscription_type]],Plans!$A$1:$B$5,2,FALSE)</f>
        <v>4.99</v>
      </c>
      <c r="N3535">
        <f t="shared" si="55"/>
        <v>4.99</v>
      </c>
    </row>
    <row r="3536" spans="1:14" x14ac:dyDescent="0.35">
      <c r="A3536">
        <v>3535</v>
      </c>
      <c r="B3536" t="s">
        <v>16</v>
      </c>
      <c r="C3536">
        <v>35</v>
      </c>
      <c r="D3536" t="s">
        <v>29</v>
      </c>
      <c r="E3536" t="s">
        <v>24</v>
      </c>
      <c r="F3536">
        <v>41</v>
      </c>
      <c r="G3536">
        <v>76</v>
      </c>
      <c r="H3536">
        <v>0.51</v>
      </c>
      <c r="I3536" t="s">
        <v>23</v>
      </c>
      <c r="J3536">
        <v>0</v>
      </c>
      <c r="K3536">
        <v>1</v>
      </c>
      <c r="L3536">
        <v>1</v>
      </c>
      <c r="M3536">
        <f>VLOOKUP(Table1[[#This Row],[subscription_type]],Plans!$A$1:$B$5,2,FALSE)</f>
        <v>4.99</v>
      </c>
      <c r="N3536">
        <f t="shared" si="55"/>
        <v>4.99</v>
      </c>
    </row>
    <row r="3537" spans="1:14" x14ac:dyDescent="0.35">
      <c r="A3537">
        <v>3536</v>
      </c>
      <c r="B3537" t="s">
        <v>16</v>
      </c>
      <c r="C3537">
        <v>48</v>
      </c>
      <c r="D3537" t="s">
        <v>29</v>
      </c>
      <c r="E3537" t="s">
        <v>22</v>
      </c>
      <c r="F3537">
        <v>260</v>
      </c>
      <c r="G3537">
        <v>33</v>
      </c>
      <c r="H3537">
        <v>0.53</v>
      </c>
      <c r="I3537" t="s">
        <v>15</v>
      </c>
      <c r="J3537">
        <v>0</v>
      </c>
      <c r="K3537">
        <v>1</v>
      </c>
      <c r="L3537">
        <v>0</v>
      </c>
      <c r="M3537">
        <f>VLOOKUP(Table1[[#This Row],[subscription_type]],Plans!$A$1:$B$5,2,FALSE)</f>
        <v>9.99</v>
      </c>
      <c r="N3537">
        <f t="shared" si="55"/>
        <v>0</v>
      </c>
    </row>
    <row r="3538" spans="1:14" x14ac:dyDescent="0.35">
      <c r="A3538">
        <v>3537</v>
      </c>
      <c r="B3538" t="s">
        <v>16</v>
      </c>
      <c r="C3538">
        <v>38</v>
      </c>
      <c r="D3538" t="s">
        <v>28</v>
      </c>
      <c r="E3538" t="s">
        <v>22</v>
      </c>
      <c r="F3538">
        <v>123</v>
      </c>
      <c r="G3538">
        <v>4</v>
      </c>
      <c r="H3538">
        <v>0.53</v>
      </c>
      <c r="I3538" t="s">
        <v>19</v>
      </c>
      <c r="J3538">
        <v>0</v>
      </c>
      <c r="K3538">
        <v>1</v>
      </c>
      <c r="L3538">
        <v>0</v>
      </c>
      <c r="M3538">
        <f>VLOOKUP(Table1[[#This Row],[subscription_type]],Plans!$A$1:$B$5,2,FALSE)</f>
        <v>9.99</v>
      </c>
      <c r="N3538">
        <f t="shared" si="55"/>
        <v>0</v>
      </c>
    </row>
    <row r="3539" spans="1:14" x14ac:dyDescent="0.35">
      <c r="A3539">
        <v>3538</v>
      </c>
      <c r="B3539" t="s">
        <v>12</v>
      </c>
      <c r="C3539">
        <v>41</v>
      </c>
      <c r="D3539" t="s">
        <v>17</v>
      </c>
      <c r="E3539" t="s">
        <v>22</v>
      </c>
      <c r="F3539">
        <v>80</v>
      </c>
      <c r="G3539">
        <v>29</v>
      </c>
      <c r="H3539">
        <v>0.16</v>
      </c>
      <c r="I3539" t="s">
        <v>15</v>
      </c>
      <c r="J3539">
        <v>0</v>
      </c>
      <c r="K3539">
        <v>1</v>
      </c>
      <c r="L3539">
        <v>1</v>
      </c>
      <c r="M3539">
        <f>VLOOKUP(Table1[[#This Row],[subscription_type]],Plans!$A$1:$B$5,2,FALSE)</f>
        <v>9.99</v>
      </c>
      <c r="N3539">
        <f t="shared" si="55"/>
        <v>9.99</v>
      </c>
    </row>
    <row r="3540" spans="1:14" x14ac:dyDescent="0.35">
      <c r="A3540">
        <v>3539</v>
      </c>
      <c r="B3540" t="s">
        <v>12</v>
      </c>
      <c r="C3540">
        <v>50</v>
      </c>
      <c r="D3540" t="s">
        <v>26</v>
      </c>
      <c r="E3540" t="s">
        <v>18</v>
      </c>
      <c r="F3540">
        <v>85</v>
      </c>
      <c r="G3540">
        <v>64</v>
      </c>
      <c r="H3540">
        <v>0.14000000000000001</v>
      </c>
      <c r="I3540" t="s">
        <v>15</v>
      </c>
      <c r="J3540">
        <v>0</v>
      </c>
      <c r="K3540">
        <v>1</v>
      </c>
      <c r="L3540">
        <v>0</v>
      </c>
      <c r="M3540">
        <f>VLOOKUP(Table1[[#This Row],[subscription_type]],Plans!$A$1:$B$5,2,FALSE)</f>
        <v>14.99</v>
      </c>
      <c r="N3540">
        <f t="shared" si="55"/>
        <v>0</v>
      </c>
    </row>
    <row r="3541" spans="1:14" x14ac:dyDescent="0.35">
      <c r="A3541">
        <v>3540</v>
      </c>
      <c r="B3541" t="s">
        <v>12</v>
      </c>
      <c r="C3541">
        <v>45</v>
      </c>
      <c r="D3541" t="s">
        <v>13</v>
      </c>
      <c r="E3541" t="s">
        <v>18</v>
      </c>
      <c r="F3541">
        <v>266</v>
      </c>
      <c r="G3541">
        <v>84</v>
      </c>
      <c r="H3541">
        <v>0.17</v>
      </c>
      <c r="I3541" t="s">
        <v>19</v>
      </c>
      <c r="J3541">
        <v>0</v>
      </c>
      <c r="K3541">
        <v>1</v>
      </c>
      <c r="L3541">
        <v>0</v>
      </c>
      <c r="M3541">
        <f>VLOOKUP(Table1[[#This Row],[subscription_type]],Plans!$A$1:$B$5,2,FALSE)</f>
        <v>14.99</v>
      </c>
      <c r="N3541">
        <f t="shared" si="55"/>
        <v>0</v>
      </c>
    </row>
    <row r="3542" spans="1:14" x14ac:dyDescent="0.35">
      <c r="A3542">
        <v>3541</v>
      </c>
      <c r="B3542" t="s">
        <v>16</v>
      </c>
      <c r="C3542">
        <v>42</v>
      </c>
      <c r="D3542" t="s">
        <v>25</v>
      </c>
      <c r="E3542" t="s">
        <v>18</v>
      </c>
      <c r="F3542">
        <v>230</v>
      </c>
      <c r="G3542">
        <v>62</v>
      </c>
      <c r="H3542">
        <v>0.3</v>
      </c>
      <c r="I3542" t="s">
        <v>19</v>
      </c>
      <c r="J3542">
        <v>0</v>
      </c>
      <c r="K3542">
        <v>1</v>
      </c>
      <c r="L3542">
        <v>0</v>
      </c>
      <c r="M3542">
        <f>VLOOKUP(Table1[[#This Row],[subscription_type]],Plans!$A$1:$B$5,2,FALSE)</f>
        <v>14.99</v>
      </c>
      <c r="N3542">
        <f t="shared" si="55"/>
        <v>0</v>
      </c>
    </row>
    <row r="3543" spans="1:14" x14ac:dyDescent="0.35">
      <c r="A3543">
        <v>3542</v>
      </c>
      <c r="B3543" t="s">
        <v>16</v>
      </c>
      <c r="C3543">
        <v>29</v>
      </c>
      <c r="D3543" t="s">
        <v>29</v>
      </c>
      <c r="E3543" t="s">
        <v>14</v>
      </c>
      <c r="F3543">
        <v>298</v>
      </c>
      <c r="G3543">
        <v>35</v>
      </c>
      <c r="H3543">
        <v>0.24</v>
      </c>
      <c r="I3543" t="s">
        <v>23</v>
      </c>
      <c r="J3543">
        <v>10</v>
      </c>
      <c r="K3543">
        <v>0</v>
      </c>
      <c r="L3543">
        <v>0</v>
      </c>
      <c r="M3543">
        <f>VLOOKUP(Table1[[#This Row],[subscription_type]],Plans!$A$1:$B$5,2,FALSE)</f>
        <v>0</v>
      </c>
      <c r="N3543">
        <f t="shared" si="55"/>
        <v>0</v>
      </c>
    </row>
    <row r="3544" spans="1:14" x14ac:dyDescent="0.35">
      <c r="A3544">
        <v>3543</v>
      </c>
      <c r="B3544" t="s">
        <v>20</v>
      </c>
      <c r="C3544">
        <v>37</v>
      </c>
      <c r="D3544" t="s">
        <v>17</v>
      </c>
      <c r="E3544" t="s">
        <v>14</v>
      </c>
      <c r="F3544">
        <v>278</v>
      </c>
      <c r="G3544">
        <v>70</v>
      </c>
      <c r="H3544">
        <v>0.18</v>
      </c>
      <c r="I3544" t="s">
        <v>23</v>
      </c>
      <c r="J3544">
        <v>21</v>
      </c>
      <c r="K3544">
        <v>0</v>
      </c>
      <c r="L3544">
        <v>0</v>
      </c>
      <c r="M3544">
        <f>VLOOKUP(Table1[[#This Row],[subscription_type]],Plans!$A$1:$B$5,2,FALSE)</f>
        <v>0</v>
      </c>
      <c r="N3544">
        <f t="shared" si="55"/>
        <v>0</v>
      </c>
    </row>
    <row r="3545" spans="1:14" x14ac:dyDescent="0.35">
      <c r="A3545">
        <v>3544</v>
      </c>
      <c r="B3545" t="s">
        <v>12</v>
      </c>
      <c r="C3545">
        <v>19</v>
      </c>
      <c r="D3545" t="s">
        <v>27</v>
      </c>
      <c r="E3545" t="s">
        <v>22</v>
      </c>
      <c r="F3545">
        <v>214</v>
      </c>
      <c r="G3545">
        <v>83</v>
      </c>
      <c r="H3545">
        <v>0.15</v>
      </c>
      <c r="I3545" t="s">
        <v>15</v>
      </c>
      <c r="J3545">
        <v>0</v>
      </c>
      <c r="K3545">
        <v>1</v>
      </c>
      <c r="L3545">
        <v>0</v>
      </c>
      <c r="M3545">
        <f>VLOOKUP(Table1[[#This Row],[subscription_type]],Plans!$A$1:$B$5,2,FALSE)</f>
        <v>9.99</v>
      </c>
      <c r="N3545">
        <f t="shared" si="55"/>
        <v>0</v>
      </c>
    </row>
    <row r="3546" spans="1:14" x14ac:dyDescent="0.35">
      <c r="A3546">
        <v>3545</v>
      </c>
      <c r="B3546" t="s">
        <v>16</v>
      </c>
      <c r="C3546">
        <v>57</v>
      </c>
      <c r="D3546" t="s">
        <v>28</v>
      </c>
      <c r="E3546" t="s">
        <v>24</v>
      </c>
      <c r="F3546">
        <v>157</v>
      </c>
      <c r="G3546">
        <v>7</v>
      </c>
      <c r="H3546">
        <v>0.39</v>
      </c>
      <c r="I3546" t="s">
        <v>15</v>
      </c>
      <c r="J3546">
        <v>0</v>
      </c>
      <c r="K3546">
        <v>1</v>
      </c>
      <c r="L3546">
        <v>0</v>
      </c>
      <c r="M3546">
        <f>VLOOKUP(Table1[[#This Row],[subscription_type]],Plans!$A$1:$B$5,2,FALSE)</f>
        <v>4.99</v>
      </c>
      <c r="N3546">
        <f t="shared" si="55"/>
        <v>0</v>
      </c>
    </row>
    <row r="3547" spans="1:14" x14ac:dyDescent="0.35">
      <c r="A3547">
        <v>3546</v>
      </c>
      <c r="B3547" t="s">
        <v>20</v>
      </c>
      <c r="C3547">
        <v>43</v>
      </c>
      <c r="D3547" t="s">
        <v>26</v>
      </c>
      <c r="E3547" t="s">
        <v>14</v>
      </c>
      <c r="F3547">
        <v>78</v>
      </c>
      <c r="G3547">
        <v>3</v>
      </c>
      <c r="H3547">
        <v>0.32</v>
      </c>
      <c r="I3547" t="s">
        <v>15</v>
      </c>
      <c r="J3547">
        <v>33</v>
      </c>
      <c r="K3547">
        <v>0</v>
      </c>
      <c r="L3547">
        <v>0</v>
      </c>
      <c r="M3547">
        <f>VLOOKUP(Table1[[#This Row],[subscription_type]],Plans!$A$1:$B$5,2,FALSE)</f>
        <v>0</v>
      </c>
      <c r="N3547">
        <f t="shared" si="55"/>
        <v>0</v>
      </c>
    </row>
    <row r="3548" spans="1:14" x14ac:dyDescent="0.35">
      <c r="A3548">
        <v>3547</v>
      </c>
      <c r="B3548" t="s">
        <v>12</v>
      </c>
      <c r="C3548">
        <v>40</v>
      </c>
      <c r="D3548" t="s">
        <v>25</v>
      </c>
      <c r="E3548" t="s">
        <v>18</v>
      </c>
      <c r="F3548">
        <v>257</v>
      </c>
      <c r="G3548">
        <v>50</v>
      </c>
      <c r="H3548">
        <v>0.38</v>
      </c>
      <c r="I3548" t="s">
        <v>15</v>
      </c>
      <c r="J3548">
        <v>0</v>
      </c>
      <c r="K3548">
        <v>1</v>
      </c>
      <c r="L3548">
        <v>0</v>
      </c>
      <c r="M3548">
        <f>VLOOKUP(Table1[[#This Row],[subscription_type]],Plans!$A$1:$B$5,2,FALSE)</f>
        <v>14.99</v>
      </c>
      <c r="N3548">
        <f t="shared" si="55"/>
        <v>0</v>
      </c>
    </row>
    <row r="3549" spans="1:14" x14ac:dyDescent="0.35">
      <c r="A3549">
        <v>3548</v>
      </c>
      <c r="B3549" t="s">
        <v>12</v>
      </c>
      <c r="C3549">
        <v>30</v>
      </c>
      <c r="D3549" t="s">
        <v>25</v>
      </c>
      <c r="E3549" t="s">
        <v>24</v>
      </c>
      <c r="F3549">
        <v>58</v>
      </c>
      <c r="G3549">
        <v>87</v>
      </c>
      <c r="H3549">
        <v>0.46</v>
      </c>
      <c r="I3549" t="s">
        <v>19</v>
      </c>
      <c r="J3549">
        <v>0</v>
      </c>
      <c r="K3549">
        <v>1</v>
      </c>
      <c r="L3549">
        <v>0</v>
      </c>
      <c r="M3549">
        <f>VLOOKUP(Table1[[#This Row],[subscription_type]],Plans!$A$1:$B$5,2,FALSE)</f>
        <v>4.99</v>
      </c>
      <c r="N3549">
        <f t="shared" si="55"/>
        <v>0</v>
      </c>
    </row>
    <row r="3550" spans="1:14" x14ac:dyDescent="0.35">
      <c r="A3550">
        <v>3549</v>
      </c>
      <c r="B3550" t="s">
        <v>12</v>
      </c>
      <c r="C3550">
        <v>33</v>
      </c>
      <c r="D3550" t="s">
        <v>29</v>
      </c>
      <c r="E3550" t="s">
        <v>22</v>
      </c>
      <c r="F3550">
        <v>75</v>
      </c>
      <c r="G3550">
        <v>8</v>
      </c>
      <c r="H3550">
        <v>0.24</v>
      </c>
      <c r="I3550" t="s">
        <v>19</v>
      </c>
      <c r="J3550">
        <v>0</v>
      </c>
      <c r="K3550">
        <v>1</v>
      </c>
      <c r="L3550">
        <v>0</v>
      </c>
      <c r="M3550">
        <f>VLOOKUP(Table1[[#This Row],[subscription_type]],Plans!$A$1:$B$5,2,FALSE)</f>
        <v>9.99</v>
      </c>
      <c r="N3550">
        <f t="shared" si="55"/>
        <v>0</v>
      </c>
    </row>
    <row r="3551" spans="1:14" x14ac:dyDescent="0.35">
      <c r="A3551">
        <v>3550</v>
      </c>
      <c r="B3551" t="s">
        <v>20</v>
      </c>
      <c r="C3551">
        <v>56</v>
      </c>
      <c r="D3551" t="s">
        <v>17</v>
      </c>
      <c r="E3551" t="s">
        <v>18</v>
      </c>
      <c r="F3551">
        <v>256</v>
      </c>
      <c r="G3551">
        <v>40</v>
      </c>
      <c r="H3551">
        <v>0.53</v>
      </c>
      <c r="I3551" t="s">
        <v>19</v>
      </c>
      <c r="J3551">
        <v>0</v>
      </c>
      <c r="K3551">
        <v>1</v>
      </c>
      <c r="L3551">
        <v>1</v>
      </c>
      <c r="M3551">
        <f>VLOOKUP(Table1[[#This Row],[subscription_type]],Plans!$A$1:$B$5,2,FALSE)</f>
        <v>14.99</v>
      </c>
      <c r="N3551">
        <f t="shared" si="55"/>
        <v>14.99</v>
      </c>
    </row>
    <row r="3552" spans="1:14" x14ac:dyDescent="0.35">
      <c r="A3552">
        <v>3551</v>
      </c>
      <c r="B3552" t="s">
        <v>12</v>
      </c>
      <c r="C3552">
        <v>21</v>
      </c>
      <c r="D3552" t="s">
        <v>21</v>
      </c>
      <c r="E3552" t="s">
        <v>24</v>
      </c>
      <c r="F3552">
        <v>235</v>
      </c>
      <c r="G3552">
        <v>80</v>
      </c>
      <c r="H3552">
        <v>0.04</v>
      </c>
      <c r="I3552" t="s">
        <v>19</v>
      </c>
      <c r="J3552">
        <v>0</v>
      </c>
      <c r="K3552">
        <v>1</v>
      </c>
      <c r="L3552">
        <v>0</v>
      </c>
      <c r="M3552">
        <f>VLOOKUP(Table1[[#This Row],[subscription_type]],Plans!$A$1:$B$5,2,FALSE)</f>
        <v>4.99</v>
      </c>
      <c r="N3552">
        <f t="shared" si="55"/>
        <v>0</v>
      </c>
    </row>
    <row r="3553" spans="1:14" x14ac:dyDescent="0.35">
      <c r="A3553">
        <v>3552</v>
      </c>
      <c r="B3553" t="s">
        <v>12</v>
      </c>
      <c r="C3553">
        <v>26</v>
      </c>
      <c r="D3553" t="s">
        <v>13</v>
      </c>
      <c r="E3553" t="s">
        <v>14</v>
      </c>
      <c r="F3553">
        <v>122</v>
      </c>
      <c r="G3553">
        <v>2</v>
      </c>
      <c r="H3553">
        <v>0.36</v>
      </c>
      <c r="I3553" t="s">
        <v>19</v>
      </c>
      <c r="J3553">
        <v>31</v>
      </c>
      <c r="K3553">
        <v>0</v>
      </c>
      <c r="L3553">
        <v>0</v>
      </c>
      <c r="M3553">
        <f>VLOOKUP(Table1[[#This Row],[subscription_type]],Plans!$A$1:$B$5,2,FALSE)</f>
        <v>0</v>
      </c>
      <c r="N3553">
        <f t="shared" si="55"/>
        <v>0</v>
      </c>
    </row>
    <row r="3554" spans="1:14" x14ac:dyDescent="0.35">
      <c r="A3554">
        <v>3553</v>
      </c>
      <c r="B3554" t="s">
        <v>16</v>
      </c>
      <c r="C3554">
        <v>36</v>
      </c>
      <c r="D3554" t="s">
        <v>28</v>
      </c>
      <c r="E3554" t="s">
        <v>22</v>
      </c>
      <c r="F3554">
        <v>285</v>
      </c>
      <c r="G3554">
        <v>97</v>
      </c>
      <c r="H3554">
        <v>0.09</v>
      </c>
      <c r="I3554" t="s">
        <v>19</v>
      </c>
      <c r="J3554">
        <v>0</v>
      </c>
      <c r="K3554">
        <v>1</v>
      </c>
      <c r="L3554">
        <v>0</v>
      </c>
      <c r="M3554">
        <f>VLOOKUP(Table1[[#This Row],[subscription_type]],Plans!$A$1:$B$5,2,FALSE)</f>
        <v>9.99</v>
      </c>
      <c r="N3554">
        <f t="shared" si="55"/>
        <v>0</v>
      </c>
    </row>
    <row r="3555" spans="1:14" x14ac:dyDescent="0.35">
      <c r="A3555">
        <v>3554</v>
      </c>
      <c r="B3555" t="s">
        <v>16</v>
      </c>
      <c r="C3555">
        <v>27</v>
      </c>
      <c r="D3555" t="s">
        <v>27</v>
      </c>
      <c r="E3555" t="s">
        <v>18</v>
      </c>
      <c r="F3555">
        <v>178</v>
      </c>
      <c r="G3555">
        <v>82</v>
      </c>
      <c r="H3555">
        <v>0.01</v>
      </c>
      <c r="I3555" t="s">
        <v>15</v>
      </c>
      <c r="J3555">
        <v>0</v>
      </c>
      <c r="K3555">
        <v>1</v>
      </c>
      <c r="L3555">
        <v>0</v>
      </c>
      <c r="M3555">
        <f>VLOOKUP(Table1[[#This Row],[subscription_type]],Plans!$A$1:$B$5,2,FALSE)</f>
        <v>14.99</v>
      </c>
      <c r="N3555">
        <f t="shared" si="55"/>
        <v>0</v>
      </c>
    </row>
    <row r="3556" spans="1:14" x14ac:dyDescent="0.35">
      <c r="A3556">
        <v>3555</v>
      </c>
      <c r="B3556" t="s">
        <v>12</v>
      </c>
      <c r="C3556">
        <v>20</v>
      </c>
      <c r="D3556" t="s">
        <v>13</v>
      </c>
      <c r="E3556" t="s">
        <v>24</v>
      </c>
      <c r="F3556">
        <v>270</v>
      </c>
      <c r="G3556">
        <v>82</v>
      </c>
      <c r="H3556">
        <v>0.03</v>
      </c>
      <c r="I3556" t="s">
        <v>23</v>
      </c>
      <c r="J3556">
        <v>0</v>
      </c>
      <c r="K3556">
        <v>1</v>
      </c>
      <c r="L3556">
        <v>0</v>
      </c>
      <c r="M3556">
        <f>VLOOKUP(Table1[[#This Row],[subscription_type]],Plans!$A$1:$B$5,2,FALSE)</f>
        <v>4.99</v>
      </c>
      <c r="N3556">
        <f t="shared" si="55"/>
        <v>0</v>
      </c>
    </row>
    <row r="3557" spans="1:14" x14ac:dyDescent="0.35">
      <c r="A3557">
        <v>3556</v>
      </c>
      <c r="B3557" t="s">
        <v>20</v>
      </c>
      <c r="C3557">
        <v>38</v>
      </c>
      <c r="D3557" t="s">
        <v>28</v>
      </c>
      <c r="E3557" t="s">
        <v>14</v>
      </c>
      <c r="F3557">
        <v>74</v>
      </c>
      <c r="G3557">
        <v>47</v>
      </c>
      <c r="H3557">
        <v>0.19</v>
      </c>
      <c r="I3557" t="s">
        <v>19</v>
      </c>
      <c r="J3557">
        <v>23</v>
      </c>
      <c r="K3557">
        <v>0</v>
      </c>
      <c r="L3557">
        <v>0</v>
      </c>
      <c r="M3557">
        <f>VLOOKUP(Table1[[#This Row],[subscription_type]],Plans!$A$1:$B$5,2,FALSE)</f>
        <v>0</v>
      </c>
      <c r="N3557">
        <f t="shared" si="55"/>
        <v>0</v>
      </c>
    </row>
    <row r="3558" spans="1:14" x14ac:dyDescent="0.35">
      <c r="A3558">
        <v>3557</v>
      </c>
      <c r="B3558" t="s">
        <v>20</v>
      </c>
      <c r="C3558">
        <v>29</v>
      </c>
      <c r="D3558" t="s">
        <v>25</v>
      </c>
      <c r="E3558" t="s">
        <v>24</v>
      </c>
      <c r="F3558">
        <v>223</v>
      </c>
      <c r="G3558">
        <v>57</v>
      </c>
      <c r="H3558">
        <v>0.15</v>
      </c>
      <c r="I3558" t="s">
        <v>23</v>
      </c>
      <c r="J3558">
        <v>0</v>
      </c>
      <c r="K3558">
        <v>1</v>
      </c>
      <c r="L3558">
        <v>0</v>
      </c>
      <c r="M3558">
        <f>VLOOKUP(Table1[[#This Row],[subscription_type]],Plans!$A$1:$B$5,2,FALSE)</f>
        <v>4.99</v>
      </c>
      <c r="N3558">
        <f t="shared" si="55"/>
        <v>0</v>
      </c>
    </row>
    <row r="3559" spans="1:14" x14ac:dyDescent="0.35">
      <c r="A3559">
        <v>3558</v>
      </c>
      <c r="B3559" t="s">
        <v>16</v>
      </c>
      <c r="C3559">
        <v>46</v>
      </c>
      <c r="D3559" t="s">
        <v>29</v>
      </c>
      <c r="E3559" t="s">
        <v>24</v>
      </c>
      <c r="F3559">
        <v>132</v>
      </c>
      <c r="G3559">
        <v>75</v>
      </c>
      <c r="H3559">
        <v>0.12</v>
      </c>
      <c r="I3559" t="s">
        <v>19</v>
      </c>
      <c r="J3559">
        <v>0</v>
      </c>
      <c r="K3559">
        <v>1</v>
      </c>
      <c r="L3559">
        <v>0</v>
      </c>
      <c r="M3559">
        <f>VLOOKUP(Table1[[#This Row],[subscription_type]],Plans!$A$1:$B$5,2,FALSE)</f>
        <v>4.99</v>
      </c>
      <c r="N3559">
        <f t="shared" si="55"/>
        <v>0</v>
      </c>
    </row>
    <row r="3560" spans="1:14" x14ac:dyDescent="0.35">
      <c r="A3560">
        <v>3559</v>
      </c>
      <c r="B3560" t="s">
        <v>12</v>
      </c>
      <c r="C3560">
        <v>52</v>
      </c>
      <c r="D3560" t="s">
        <v>25</v>
      </c>
      <c r="E3560" t="s">
        <v>18</v>
      </c>
      <c r="F3560">
        <v>230</v>
      </c>
      <c r="G3560">
        <v>45</v>
      </c>
      <c r="H3560">
        <v>0.03</v>
      </c>
      <c r="I3560" t="s">
        <v>15</v>
      </c>
      <c r="J3560">
        <v>0</v>
      </c>
      <c r="K3560">
        <v>1</v>
      </c>
      <c r="L3560">
        <v>0</v>
      </c>
      <c r="M3560">
        <f>VLOOKUP(Table1[[#This Row],[subscription_type]],Plans!$A$1:$B$5,2,FALSE)</f>
        <v>14.99</v>
      </c>
      <c r="N3560">
        <f t="shared" si="55"/>
        <v>0</v>
      </c>
    </row>
    <row r="3561" spans="1:14" x14ac:dyDescent="0.35">
      <c r="A3561">
        <v>3560</v>
      </c>
      <c r="B3561" t="s">
        <v>12</v>
      </c>
      <c r="C3561">
        <v>23</v>
      </c>
      <c r="D3561" t="s">
        <v>29</v>
      </c>
      <c r="E3561" t="s">
        <v>22</v>
      </c>
      <c r="F3561">
        <v>23</v>
      </c>
      <c r="G3561">
        <v>97</v>
      </c>
      <c r="H3561">
        <v>0.16</v>
      </c>
      <c r="I3561" t="s">
        <v>19</v>
      </c>
      <c r="J3561">
        <v>0</v>
      </c>
      <c r="K3561">
        <v>1</v>
      </c>
      <c r="L3561">
        <v>0</v>
      </c>
      <c r="M3561">
        <f>VLOOKUP(Table1[[#This Row],[subscription_type]],Plans!$A$1:$B$5,2,FALSE)</f>
        <v>9.99</v>
      </c>
      <c r="N3561">
        <f t="shared" si="55"/>
        <v>0</v>
      </c>
    </row>
    <row r="3562" spans="1:14" x14ac:dyDescent="0.35">
      <c r="A3562">
        <v>3561</v>
      </c>
      <c r="B3562" t="s">
        <v>20</v>
      </c>
      <c r="C3562">
        <v>18</v>
      </c>
      <c r="D3562" t="s">
        <v>13</v>
      </c>
      <c r="E3562" t="s">
        <v>14</v>
      </c>
      <c r="F3562">
        <v>116</v>
      </c>
      <c r="G3562">
        <v>85</v>
      </c>
      <c r="H3562">
        <v>0.19</v>
      </c>
      <c r="I3562" t="s">
        <v>19</v>
      </c>
      <c r="J3562">
        <v>29</v>
      </c>
      <c r="K3562">
        <v>0</v>
      </c>
      <c r="L3562">
        <v>1</v>
      </c>
      <c r="M3562">
        <f>VLOOKUP(Table1[[#This Row],[subscription_type]],Plans!$A$1:$B$5,2,FALSE)</f>
        <v>0</v>
      </c>
      <c r="N3562">
        <f t="shared" si="55"/>
        <v>0</v>
      </c>
    </row>
    <row r="3563" spans="1:14" x14ac:dyDescent="0.35">
      <c r="A3563">
        <v>3562</v>
      </c>
      <c r="B3563" t="s">
        <v>20</v>
      </c>
      <c r="C3563">
        <v>44</v>
      </c>
      <c r="D3563" t="s">
        <v>28</v>
      </c>
      <c r="E3563" t="s">
        <v>22</v>
      </c>
      <c r="F3563">
        <v>43</v>
      </c>
      <c r="G3563">
        <v>32</v>
      </c>
      <c r="H3563">
        <v>0.12</v>
      </c>
      <c r="I3563" t="s">
        <v>15</v>
      </c>
      <c r="J3563">
        <v>0</v>
      </c>
      <c r="K3563">
        <v>1</v>
      </c>
      <c r="L3563">
        <v>0</v>
      </c>
      <c r="M3563">
        <f>VLOOKUP(Table1[[#This Row],[subscription_type]],Plans!$A$1:$B$5,2,FALSE)</f>
        <v>9.99</v>
      </c>
      <c r="N3563">
        <f t="shared" si="55"/>
        <v>0</v>
      </c>
    </row>
    <row r="3564" spans="1:14" x14ac:dyDescent="0.35">
      <c r="A3564">
        <v>3563</v>
      </c>
      <c r="B3564" t="s">
        <v>16</v>
      </c>
      <c r="C3564">
        <v>49</v>
      </c>
      <c r="D3564" t="s">
        <v>21</v>
      </c>
      <c r="E3564" t="s">
        <v>14</v>
      </c>
      <c r="F3564">
        <v>231</v>
      </c>
      <c r="G3564">
        <v>82</v>
      </c>
      <c r="H3564">
        <v>0.11</v>
      </c>
      <c r="I3564" t="s">
        <v>15</v>
      </c>
      <c r="J3564">
        <v>36</v>
      </c>
      <c r="K3564">
        <v>0</v>
      </c>
      <c r="L3564">
        <v>0</v>
      </c>
      <c r="M3564">
        <f>VLOOKUP(Table1[[#This Row],[subscription_type]],Plans!$A$1:$B$5,2,FALSE)</f>
        <v>0</v>
      </c>
      <c r="N3564">
        <f t="shared" si="55"/>
        <v>0</v>
      </c>
    </row>
    <row r="3565" spans="1:14" x14ac:dyDescent="0.35">
      <c r="A3565">
        <v>3564</v>
      </c>
      <c r="B3565" t="s">
        <v>16</v>
      </c>
      <c r="C3565">
        <v>27</v>
      </c>
      <c r="D3565" t="s">
        <v>13</v>
      </c>
      <c r="E3565" t="s">
        <v>22</v>
      </c>
      <c r="F3565">
        <v>275</v>
      </c>
      <c r="G3565">
        <v>3</v>
      </c>
      <c r="H3565">
        <v>0.49</v>
      </c>
      <c r="I3565" t="s">
        <v>19</v>
      </c>
      <c r="J3565">
        <v>0</v>
      </c>
      <c r="K3565">
        <v>1</v>
      </c>
      <c r="L3565">
        <v>0</v>
      </c>
      <c r="M3565">
        <f>VLOOKUP(Table1[[#This Row],[subscription_type]],Plans!$A$1:$B$5,2,FALSE)</f>
        <v>9.99</v>
      </c>
      <c r="N3565">
        <f t="shared" si="55"/>
        <v>0</v>
      </c>
    </row>
    <row r="3566" spans="1:14" x14ac:dyDescent="0.35">
      <c r="A3566">
        <v>3565</v>
      </c>
      <c r="B3566" t="s">
        <v>16</v>
      </c>
      <c r="C3566">
        <v>45</v>
      </c>
      <c r="D3566" t="s">
        <v>25</v>
      </c>
      <c r="E3566" t="s">
        <v>24</v>
      </c>
      <c r="F3566">
        <v>153</v>
      </c>
      <c r="G3566">
        <v>2</v>
      </c>
      <c r="H3566">
        <v>0.15</v>
      </c>
      <c r="I3566" t="s">
        <v>15</v>
      </c>
      <c r="J3566">
        <v>0</v>
      </c>
      <c r="K3566">
        <v>1</v>
      </c>
      <c r="L3566">
        <v>0</v>
      </c>
      <c r="M3566">
        <f>VLOOKUP(Table1[[#This Row],[subscription_type]],Plans!$A$1:$B$5,2,FALSE)</f>
        <v>4.99</v>
      </c>
      <c r="N3566">
        <f t="shared" si="55"/>
        <v>0</v>
      </c>
    </row>
    <row r="3567" spans="1:14" x14ac:dyDescent="0.35">
      <c r="A3567">
        <v>3566</v>
      </c>
      <c r="B3567" t="s">
        <v>16</v>
      </c>
      <c r="C3567">
        <v>22</v>
      </c>
      <c r="D3567" t="s">
        <v>17</v>
      </c>
      <c r="E3567" t="s">
        <v>14</v>
      </c>
      <c r="F3567">
        <v>278</v>
      </c>
      <c r="G3567">
        <v>40</v>
      </c>
      <c r="H3567">
        <v>0.25</v>
      </c>
      <c r="I3567" t="s">
        <v>23</v>
      </c>
      <c r="J3567">
        <v>33</v>
      </c>
      <c r="K3567">
        <v>0</v>
      </c>
      <c r="L3567">
        <v>0</v>
      </c>
      <c r="M3567">
        <f>VLOOKUP(Table1[[#This Row],[subscription_type]],Plans!$A$1:$B$5,2,FALSE)</f>
        <v>0</v>
      </c>
      <c r="N3567">
        <f t="shared" si="55"/>
        <v>0</v>
      </c>
    </row>
    <row r="3568" spans="1:14" x14ac:dyDescent="0.35">
      <c r="A3568">
        <v>3567</v>
      </c>
      <c r="B3568" t="s">
        <v>12</v>
      </c>
      <c r="C3568">
        <v>57</v>
      </c>
      <c r="D3568" t="s">
        <v>28</v>
      </c>
      <c r="E3568" t="s">
        <v>18</v>
      </c>
      <c r="F3568">
        <v>254</v>
      </c>
      <c r="G3568">
        <v>72</v>
      </c>
      <c r="H3568">
        <v>7.0000000000000007E-2</v>
      </c>
      <c r="I3568" t="s">
        <v>15</v>
      </c>
      <c r="J3568">
        <v>0</v>
      </c>
      <c r="K3568">
        <v>1</v>
      </c>
      <c r="L3568">
        <v>0</v>
      </c>
      <c r="M3568">
        <f>VLOOKUP(Table1[[#This Row],[subscription_type]],Plans!$A$1:$B$5,2,FALSE)</f>
        <v>14.99</v>
      </c>
      <c r="N3568">
        <f t="shared" si="55"/>
        <v>0</v>
      </c>
    </row>
    <row r="3569" spans="1:14" x14ac:dyDescent="0.35">
      <c r="A3569">
        <v>3568</v>
      </c>
      <c r="B3569" t="s">
        <v>16</v>
      </c>
      <c r="C3569">
        <v>34</v>
      </c>
      <c r="D3569" t="s">
        <v>17</v>
      </c>
      <c r="E3569" t="s">
        <v>18</v>
      </c>
      <c r="F3569">
        <v>42</v>
      </c>
      <c r="G3569">
        <v>16</v>
      </c>
      <c r="H3569">
        <v>0.5</v>
      </c>
      <c r="I3569" t="s">
        <v>15</v>
      </c>
      <c r="J3569">
        <v>0</v>
      </c>
      <c r="K3569">
        <v>1</v>
      </c>
      <c r="L3569">
        <v>1</v>
      </c>
      <c r="M3569">
        <f>VLOOKUP(Table1[[#This Row],[subscription_type]],Plans!$A$1:$B$5,2,FALSE)</f>
        <v>14.99</v>
      </c>
      <c r="N3569">
        <f t="shared" si="55"/>
        <v>14.99</v>
      </c>
    </row>
    <row r="3570" spans="1:14" x14ac:dyDescent="0.35">
      <c r="A3570">
        <v>3569</v>
      </c>
      <c r="B3570" t="s">
        <v>16</v>
      </c>
      <c r="C3570">
        <v>36</v>
      </c>
      <c r="D3570" t="s">
        <v>26</v>
      </c>
      <c r="E3570" t="s">
        <v>18</v>
      </c>
      <c r="F3570">
        <v>152</v>
      </c>
      <c r="G3570">
        <v>39</v>
      </c>
      <c r="H3570">
        <v>0.06</v>
      </c>
      <c r="I3570" t="s">
        <v>15</v>
      </c>
      <c r="J3570">
        <v>0</v>
      </c>
      <c r="K3570">
        <v>1</v>
      </c>
      <c r="L3570">
        <v>0</v>
      </c>
      <c r="M3570">
        <f>VLOOKUP(Table1[[#This Row],[subscription_type]],Plans!$A$1:$B$5,2,FALSE)</f>
        <v>14.99</v>
      </c>
      <c r="N3570">
        <f t="shared" si="55"/>
        <v>0</v>
      </c>
    </row>
    <row r="3571" spans="1:14" x14ac:dyDescent="0.35">
      <c r="A3571">
        <v>3570</v>
      </c>
      <c r="B3571" t="s">
        <v>20</v>
      </c>
      <c r="C3571">
        <v>45</v>
      </c>
      <c r="D3571" t="s">
        <v>29</v>
      </c>
      <c r="E3571" t="s">
        <v>22</v>
      </c>
      <c r="F3571">
        <v>159</v>
      </c>
      <c r="G3571">
        <v>34</v>
      </c>
      <c r="H3571">
        <v>0.01</v>
      </c>
      <c r="I3571" t="s">
        <v>19</v>
      </c>
      <c r="J3571">
        <v>0</v>
      </c>
      <c r="K3571">
        <v>1</v>
      </c>
      <c r="L3571">
        <v>0</v>
      </c>
      <c r="M3571">
        <f>VLOOKUP(Table1[[#This Row],[subscription_type]],Plans!$A$1:$B$5,2,FALSE)</f>
        <v>9.99</v>
      </c>
      <c r="N3571">
        <f t="shared" si="55"/>
        <v>0</v>
      </c>
    </row>
    <row r="3572" spans="1:14" x14ac:dyDescent="0.35">
      <c r="A3572">
        <v>3571</v>
      </c>
      <c r="B3572" t="s">
        <v>12</v>
      </c>
      <c r="C3572">
        <v>45</v>
      </c>
      <c r="D3572" t="s">
        <v>21</v>
      </c>
      <c r="E3572" t="s">
        <v>22</v>
      </c>
      <c r="F3572">
        <v>158</v>
      </c>
      <c r="G3572">
        <v>97</v>
      </c>
      <c r="H3572">
        <v>0.5</v>
      </c>
      <c r="I3572" t="s">
        <v>23</v>
      </c>
      <c r="J3572">
        <v>0</v>
      </c>
      <c r="K3572">
        <v>1</v>
      </c>
      <c r="L3572">
        <v>0</v>
      </c>
      <c r="M3572">
        <f>VLOOKUP(Table1[[#This Row],[subscription_type]],Plans!$A$1:$B$5,2,FALSE)</f>
        <v>9.99</v>
      </c>
      <c r="N3572">
        <f t="shared" si="55"/>
        <v>0</v>
      </c>
    </row>
    <row r="3573" spans="1:14" x14ac:dyDescent="0.35">
      <c r="A3573">
        <v>3572</v>
      </c>
      <c r="B3573" t="s">
        <v>20</v>
      </c>
      <c r="C3573">
        <v>50</v>
      </c>
      <c r="D3573" t="s">
        <v>17</v>
      </c>
      <c r="E3573" t="s">
        <v>18</v>
      </c>
      <c r="F3573">
        <v>59</v>
      </c>
      <c r="G3573">
        <v>37</v>
      </c>
      <c r="H3573">
        <v>0.43</v>
      </c>
      <c r="I3573" t="s">
        <v>15</v>
      </c>
      <c r="J3573">
        <v>0</v>
      </c>
      <c r="K3573">
        <v>1</v>
      </c>
      <c r="L3573">
        <v>0</v>
      </c>
      <c r="M3573">
        <f>VLOOKUP(Table1[[#This Row],[subscription_type]],Plans!$A$1:$B$5,2,FALSE)</f>
        <v>14.99</v>
      </c>
      <c r="N3573">
        <f t="shared" si="55"/>
        <v>0</v>
      </c>
    </row>
    <row r="3574" spans="1:14" x14ac:dyDescent="0.35">
      <c r="A3574">
        <v>3573</v>
      </c>
      <c r="B3574" t="s">
        <v>12</v>
      </c>
      <c r="C3574">
        <v>22</v>
      </c>
      <c r="D3574" t="s">
        <v>29</v>
      </c>
      <c r="E3574" t="s">
        <v>22</v>
      </c>
      <c r="F3574">
        <v>272</v>
      </c>
      <c r="G3574">
        <v>54</v>
      </c>
      <c r="H3574">
        <v>0.14000000000000001</v>
      </c>
      <c r="I3574" t="s">
        <v>19</v>
      </c>
      <c r="J3574">
        <v>0</v>
      </c>
      <c r="K3574">
        <v>1</v>
      </c>
      <c r="L3574">
        <v>0</v>
      </c>
      <c r="M3574">
        <f>VLOOKUP(Table1[[#This Row],[subscription_type]],Plans!$A$1:$B$5,2,FALSE)</f>
        <v>9.99</v>
      </c>
      <c r="N3574">
        <f t="shared" si="55"/>
        <v>0</v>
      </c>
    </row>
    <row r="3575" spans="1:14" x14ac:dyDescent="0.35">
      <c r="A3575">
        <v>3574</v>
      </c>
      <c r="B3575" t="s">
        <v>12</v>
      </c>
      <c r="C3575">
        <v>59</v>
      </c>
      <c r="D3575" t="s">
        <v>25</v>
      </c>
      <c r="E3575" t="s">
        <v>24</v>
      </c>
      <c r="F3575">
        <v>203</v>
      </c>
      <c r="G3575">
        <v>66</v>
      </c>
      <c r="H3575">
        <v>0.48</v>
      </c>
      <c r="I3575" t="s">
        <v>23</v>
      </c>
      <c r="J3575">
        <v>0</v>
      </c>
      <c r="K3575">
        <v>1</v>
      </c>
      <c r="L3575">
        <v>0</v>
      </c>
      <c r="M3575">
        <f>VLOOKUP(Table1[[#This Row],[subscription_type]],Plans!$A$1:$B$5,2,FALSE)</f>
        <v>4.99</v>
      </c>
      <c r="N3575">
        <f t="shared" si="55"/>
        <v>0</v>
      </c>
    </row>
    <row r="3576" spans="1:14" x14ac:dyDescent="0.35">
      <c r="A3576">
        <v>3575</v>
      </c>
      <c r="B3576" t="s">
        <v>16</v>
      </c>
      <c r="C3576">
        <v>25</v>
      </c>
      <c r="D3576" t="s">
        <v>26</v>
      </c>
      <c r="E3576" t="s">
        <v>18</v>
      </c>
      <c r="F3576">
        <v>193</v>
      </c>
      <c r="G3576">
        <v>36</v>
      </c>
      <c r="H3576">
        <v>0.33</v>
      </c>
      <c r="I3576" t="s">
        <v>19</v>
      </c>
      <c r="J3576">
        <v>0</v>
      </c>
      <c r="K3576">
        <v>1</v>
      </c>
      <c r="L3576">
        <v>1</v>
      </c>
      <c r="M3576">
        <f>VLOOKUP(Table1[[#This Row],[subscription_type]],Plans!$A$1:$B$5,2,FALSE)</f>
        <v>14.99</v>
      </c>
      <c r="N3576">
        <f t="shared" si="55"/>
        <v>14.99</v>
      </c>
    </row>
    <row r="3577" spans="1:14" x14ac:dyDescent="0.35">
      <c r="A3577">
        <v>3576</v>
      </c>
      <c r="B3577" t="s">
        <v>20</v>
      </c>
      <c r="C3577">
        <v>44</v>
      </c>
      <c r="D3577" t="s">
        <v>21</v>
      </c>
      <c r="E3577" t="s">
        <v>14</v>
      </c>
      <c r="F3577">
        <v>34</v>
      </c>
      <c r="G3577">
        <v>74</v>
      </c>
      <c r="H3577">
        <v>0.19</v>
      </c>
      <c r="I3577" t="s">
        <v>23</v>
      </c>
      <c r="J3577">
        <v>27</v>
      </c>
      <c r="K3577">
        <v>0</v>
      </c>
      <c r="L3577">
        <v>0</v>
      </c>
      <c r="M3577">
        <f>VLOOKUP(Table1[[#This Row],[subscription_type]],Plans!$A$1:$B$5,2,FALSE)</f>
        <v>0</v>
      </c>
      <c r="N3577">
        <f t="shared" si="55"/>
        <v>0</v>
      </c>
    </row>
    <row r="3578" spans="1:14" x14ac:dyDescent="0.35">
      <c r="A3578">
        <v>3577</v>
      </c>
      <c r="B3578" t="s">
        <v>20</v>
      </c>
      <c r="C3578">
        <v>32</v>
      </c>
      <c r="D3578" t="s">
        <v>27</v>
      </c>
      <c r="E3578" t="s">
        <v>24</v>
      </c>
      <c r="F3578">
        <v>233</v>
      </c>
      <c r="G3578">
        <v>45</v>
      </c>
      <c r="H3578">
        <v>0.05</v>
      </c>
      <c r="I3578" t="s">
        <v>15</v>
      </c>
      <c r="J3578">
        <v>0</v>
      </c>
      <c r="K3578">
        <v>1</v>
      </c>
      <c r="L3578">
        <v>0</v>
      </c>
      <c r="M3578">
        <f>VLOOKUP(Table1[[#This Row],[subscription_type]],Plans!$A$1:$B$5,2,FALSE)</f>
        <v>4.99</v>
      </c>
      <c r="N3578">
        <f t="shared" si="55"/>
        <v>0</v>
      </c>
    </row>
    <row r="3579" spans="1:14" x14ac:dyDescent="0.35">
      <c r="A3579">
        <v>3578</v>
      </c>
      <c r="B3579" t="s">
        <v>16</v>
      </c>
      <c r="C3579">
        <v>57</v>
      </c>
      <c r="D3579" t="s">
        <v>21</v>
      </c>
      <c r="E3579" t="s">
        <v>14</v>
      </c>
      <c r="F3579">
        <v>69</v>
      </c>
      <c r="G3579">
        <v>21</v>
      </c>
      <c r="H3579">
        <v>0.41</v>
      </c>
      <c r="I3579" t="s">
        <v>23</v>
      </c>
      <c r="J3579">
        <v>27</v>
      </c>
      <c r="K3579">
        <v>0</v>
      </c>
      <c r="L3579">
        <v>0</v>
      </c>
      <c r="M3579">
        <f>VLOOKUP(Table1[[#This Row],[subscription_type]],Plans!$A$1:$B$5,2,FALSE)</f>
        <v>0</v>
      </c>
      <c r="N3579">
        <f t="shared" si="55"/>
        <v>0</v>
      </c>
    </row>
    <row r="3580" spans="1:14" x14ac:dyDescent="0.35">
      <c r="A3580">
        <v>3579</v>
      </c>
      <c r="B3580" t="s">
        <v>20</v>
      </c>
      <c r="C3580">
        <v>30</v>
      </c>
      <c r="D3580" t="s">
        <v>17</v>
      </c>
      <c r="E3580" t="s">
        <v>22</v>
      </c>
      <c r="F3580">
        <v>32</v>
      </c>
      <c r="G3580">
        <v>38</v>
      </c>
      <c r="H3580">
        <v>0.16</v>
      </c>
      <c r="I3580" t="s">
        <v>19</v>
      </c>
      <c r="J3580">
        <v>0</v>
      </c>
      <c r="K3580">
        <v>1</v>
      </c>
      <c r="L3580">
        <v>0</v>
      </c>
      <c r="M3580">
        <f>VLOOKUP(Table1[[#This Row],[subscription_type]],Plans!$A$1:$B$5,2,FALSE)</f>
        <v>9.99</v>
      </c>
      <c r="N3580">
        <f t="shared" si="55"/>
        <v>0</v>
      </c>
    </row>
    <row r="3581" spans="1:14" x14ac:dyDescent="0.35">
      <c r="A3581">
        <v>3580</v>
      </c>
      <c r="B3581" t="s">
        <v>16</v>
      </c>
      <c r="C3581">
        <v>20</v>
      </c>
      <c r="D3581" t="s">
        <v>13</v>
      </c>
      <c r="E3581" t="s">
        <v>18</v>
      </c>
      <c r="F3581">
        <v>99</v>
      </c>
      <c r="G3581">
        <v>23</v>
      </c>
      <c r="H3581">
        <v>0.26</v>
      </c>
      <c r="I3581" t="s">
        <v>19</v>
      </c>
      <c r="J3581">
        <v>0</v>
      </c>
      <c r="K3581">
        <v>1</v>
      </c>
      <c r="L3581">
        <v>0</v>
      </c>
      <c r="M3581">
        <f>VLOOKUP(Table1[[#This Row],[subscription_type]],Plans!$A$1:$B$5,2,FALSE)</f>
        <v>14.99</v>
      </c>
      <c r="N3581">
        <f t="shared" si="55"/>
        <v>0</v>
      </c>
    </row>
    <row r="3582" spans="1:14" x14ac:dyDescent="0.35">
      <c r="A3582">
        <v>3581</v>
      </c>
      <c r="B3582" t="s">
        <v>16</v>
      </c>
      <c r="C3582">
        <v>23</v>
      </c>
      <c r="D3582" t="s">
        <v>21</v>
      </c>
      <c r="E3582" t="s">
        <v>22</v>
      </c>
      <c r="F3582">
        <v>141</v>
      </c>
      <c r="G3582">
        <v>89</v>
      </c>
      <c r="H3582">
        <v>0.56999999999999995</v>
      </c>
      <c r="I3582" t="s">
        <v>15</v>
      </c>
      <c r="J3582">
        <v>0</v>
      </c>
      <c r="K3582">
        <v>1</v>
      </c>
      <c r="L3582">
        <v>0</v>
      </c>
      <c r="M3582">
        <f>VLOOKUP(Table1[[#This Row],[subscription_type]],Plans!$A$1:$B$5,2,FALSE)</f>
        <v>9.99</v>
      </c>
      <c r="N3582">
        <f t="shared" si="55"/>
        <v>0</v>
      </c>
    </row>
    <row r="3583" spans="1:14" x14ac:dyDescent="0.35">
      <c r="A3583">
        <v>3582</v>
      </c>
      <c r="B3583" t="s">
        <v>12</v>
      </c>
      <c r="C3583">
        <v>26</v>
      </c>
      <c r="D3583" t="s">
        <v>13</v>
      </c>
      <c r="E3583" t="s">
        <v>14</v>
      </c>
      <c r="F3583">
        <v>115</v>
      </c>
      <c r="G3583">
        <v>12</v>
      </c>
      <c r="H3583">
        <v>0.11</v>
      </c>
      <c r="I3583" t="s">
        <v>23</v>
      </c>
      <c r="J3583">
        <v>30</v>
      </c>
      <c r="K3583">
        <v>0</v>
      </c>
      <c r="L3583">
        <v>0</v>
      </c>
      <c r="M3583">
        <f>VLOOKUP(Table1[[#This Row],[subscription_type]],Plans!$A$1:$B$5,2,FALSE)</f>
        <v>0</v>
      </c>
      <c r="N3583">
        <f t="shared" si="55"/>
        <v>0</v>
      </c>
    </row>
    <row r="3584" spans="1:14" x14ac:dyDescent="0.35">
      <c r="A3584">
        <v>3583</v>
      </c>
      <c r="B3584" t="s">
        <v>12</v>
      </c>
      <c r="C3584">
        <v>21</v>
      </c>
      <c r="D3584" t="s">
        <v>27</v>
      </c>
      <c r="E3584" t="s">
        <v>18</v>
      </c>
      <c r="F3584">
        <v>160</v>
      </c>
      <c r="G3584">
        <v>57</v>
      </c>
      <c r="H3584">
        <v>0.22</v>
      </c>
      <c r="I3584" t="s">
        <v>23</v>
      </c>
      <c r="J3584">
        <v>0</v>
      </c>
      <c r="K3584">
        <v>1</v>
      </c>
      <c r="L3584">
        <v>0</v>
      </c>
      <c r="M3584">
        <f>VLOOKUP(Table1[[#This Row],[subscription_type]],Plans!$A$1:$B$5,2,FALSE)</f>
        <v>14.99</v>
      </c>
      <c r="N3584">
        <f t="shared" si="55"/>
        <v>0</v>
      </c>
    </row>
    <row r="3585" spans="1:14" x14ac:dyDescent="0.35">
      <c r="A3585">
        <v>3584</v>
      </c>
      <c r="B3585" t="s">
        <v>20</v>
      </c>
      <c r="C3585">
        <v>33</v>
      </c>
      <c r="D3585" t="s">
        <v>29</v>
      </c>
      <c r="E3585" t="s">
        <v>14</v>
      </c>
      <c r="F3585">
        <v>104</v>
      </c>
      <c r="G3585">
        <v>18</v>
      </c>
      <c r="H3585">
        <v>0.4</v>
      </c>
      <c r="I3585" t="s">
        <v>15</v>
      </c>
      <c r="J3585">
        <v>17</v>
      </c>
      <c r="K3585">
        <v>0</v>
      </c>
      <c r="L3585">
        <v>0</v>
      </c>
      <c r="M3585">
        <f>VLOOKUP(Table1[[#This Row],[subscription_type]],Plans!$A$1:$B$5,2,FALSE)</f>
        <v>0</v>
      </c>
      <c r="N3585">
        <f t="shared" si="55"/>
        <v>0</v>
      </c>
    </row>
    <row r="3586" spans="1:14" x14ac:dyDescent="0.35">
      <c r="A3586">
        <v>3585</v>
      </c>
      <c r="B3586" t="s">
        <v>12</v>
      </c>
      <c r="C3586">
        <v>56</v>
      </c>
      <c r="D3586" t="s">
        <v>13</v>
      </c>
      <c r="E3586" t="s">
        <v>18</v>
      </c>
      <c r="F3586">
        <v>269</v>
      </c>
      <c r="G3586">
        <v>54</v>
      </c>
      <c r="H3586">
        <v>0.21</v>
      </c>
      <c r="I3586" t="s">
        <v>15</v>
      </c>
      <c r="J3586">
        <v>0</v>
      </c>
      <c r="K3586">
        <v>1</v>
      </c>
      <c r="L3586">
        <v>0</v>
      </c>
      <c r="M3586">
        <f>VLOOKUP(Table1[[#This Row],[subscription_type]],Plans!$A$1:$B$5,2,FALSE)</f>
        <v>14.99</v>
      </c>
      <c r="N3586">
        <f t="shared" ref="N3586:N3649" si="56">IF(L3586=1, M3586,0)</f>
        <v>0</v>
      </c>
    </row>
    <row r="3587" spans="1:14" x14ac:dyDescent="0.35">
      <c r="A3587">
        <v>3586</v>
      </c>
      <c r="B3587" t="s">
        <v>12</v>
      </c>
      <c r="C3587">
        <v>58</v>
      </c>
      <c r="D3587" t="s">
        <v>27</v>
      </c>
      <c r="E3587" t="s">
        <v>22</v>
      </c>
      <c r="F3587">
        <v>245</v>
      </c>
      <c r="G3587">
        <v>43</v>
      </c>
      <c r="H3587">
        <v>0.2</v>
      </c>
      <c r="I3587" t="s">
        <v>19</v>
      </c>
      <c r="J3587">
        <v>0</v>
      </c>
      <c r="K3587">
        <v>1</v>
      </c>
      <c r="L3587">
        <v>0</v>
      </c>
      <c r="M3587">
        <f>VLOOKUP(Table1[[#This Row],[subscription_type]],Plans!$A$1:$B$5,2,FALSE)</f>
        <v>9.99</v>
      </c>
      <c r="N3587">
        <f t="shared" si="56"/>
        <v>0</v>
      </c>
    </row>
    <row r="3588" spans="1:14" x14ac:dyDescent="0.35">
      <c r="A3588">
        <v>3587</v>
      </c>
      <c r="B3588" t="s">
        <v>16</v>
      </c>
      <c r="C3588">
        <v>36</v>
      </c>
      <c r="D3588" t="s">
        <v>27</v>
      </c>
      <c r="E3588" t="s">
        <v>18</v>
      </c>
      <c r="F3588">
        <v>230</v>
      </c>
      <c r="G3588">
        <v>15</v>
      </c>
      <c r="H3588">
        <v>0.57999999999999996</v>
      </c>
      <c r="I3588" t="s">
        <v>15</v>
      </c>
      <c r="J3588">
        <v>0</v>
      </c>
      <c r="K3588">
        <v>1</v>
      </c>
      <c r="L3588">
        <v>0</v>
      </c>
      <c r="M3588">
        <f>VLOOKUP(Table1[[#This Row],[subscription_type]],Plans!$A$1:$B$5,2,FALSE)</f>
        <v>14.99</v>
      </c>
      <c r="N3588">
        <f t="shared" si="56"/>
        <v>0</v>
      </c>
    </row>
    <row r="3589" spans="1:14" x14ac:dyDescent="0.35">
      <c r="A3589">
        <v>3588</v>
      </c>
      <c r="B3589" t="s">
        <v>20</v>
      </c>
      <c r="C3589">
        <v>16</v>
      </c>
      <c r="D3589" t="s">
        <v>17</v>
      </c>
      <c r="E3589" t="s">
        <v>18</v>
      </c>
      <c r="F3589">
        <v>30</v>
      </c>
      <c r="G3589">
        <v>37</v>
      </c>
      <c r="H3589">
        <v>0.27</v>
      </c>
      <c r="I3589" t="s">
        <v>23</v>
      </c>
      <c r="J3589">
        <v>0</v>
      </c>
      <c r="K3589">
        <v>1</v>
      </c>
      <c r="L3589">
        <v>0</v>
      </c>
      <c r="M3589">
        <f>VLOOKUP(Table1[[#This Row],[subscription_type]],Plans!$A$1:$B$5,2,FALSE)</f>
        <v>14.99</v>
      </c>
      <c r="N3589">
        <f t="shared" si="56"/>
        <v>0</v>
      </c>
    </row>
    <row r="3590" spans="1:14" x14ac:dyDescent="0.35">
      <c r="A3590">
        <v>3589</v>
      </c>
      <c r="B3590" t="s">
        <v>12</v>
      </c>
      <c r="C3590">
        <v>44</v>
      </c>
      <c r="D3590" t="s">
        <v>29</v>
      </c>
      <c r="E3590" t="s">
        <v>14</v>
      </c>
      <c r="F3590">
        <v>279</v>
      </c>
      <c r="G3590">
        <v>6</v>
      </c>
      <c r="H3590">
        <v>0.57999999999999996</v>
      </c>
      <c r="I3590" t="s">
        <v>19</v>
      </c>
      <c r="J3590">
        <v>43</v>
      </c>
      <c r="K3590">
        <v>0</v>
      </c>
      <c r="L3590">
        <v>0</v>
      </c>
      <c r="M3590">
        <f>VLOOKUP(Table1[[#This Row],[subscription_type]],Plans!$A$1:$B$5,2,FALSE)</f>
        <v>0</v>
      </c>
      <c r="N3590">
        <f t="shared" si="56"/>
        <v>0</v>
      </c>
    </row>
    <row r="3591" spans="1:14" x14ac:dyDescent="0.35">
      <c r="A3591">
        <v>3590</v>
      </c>
      <c r="B3591" t="s">
        <v>12</v>
      </c>
      <c r="C3591">
        <v>23</v>
      </c>
      <c r="D3591" t="s">
        <v>25</v>
      </c>
      <c r="E3591" t="s">
        <v>24</v>
      </c>
      <c r="F3591">
        <v>280</v>
      </c>
      <c r="G3591">
        <v>46</v>
      </c>
      <c r="H3591">
        <v>0</v>
      </c>
      <c r="I3591" t="s">
        <v>15</v>
      </c>
      <c r="J3591">
        <v>0</v>
      </c>
      <c r="K3591">
        <v>1</v>
      </c>
      <c r="L3591">
        <v>0</v>
      </c>
      <c r="M3591">
        <f>VLOOKUP(Table1[[#This Row],[subscription_type]],Plans!$A$1:$B$5,2,FALSE)</f>
        <v>4.99</v>
      </c>
      <c r="N3591">
        <f t="shared" si="56"/>
        <v>0</v>
      </c>
    </row>
    <row r="3592" spans="1:14" x14ac:dyDescent="0.35">
      <c r="A3592">
        <v>3591</v>
      </c>
      <c r="B3592" t="s">
        <v>12</v>
      </c>
      <c r="C3592">
        <v>44</v>
      </c>
      <c r="D3592" t="s">
        <v>29</v>
      </c>
      <c r="E3592" t="s">
        <v>14</v>
      </c>
      <c r="F3592">
        <v>68</v>
      </c>
      <c r="G3592">
        <v>32</v>
      </c>
      <c r="H3592">
        <v>0.18</v>
      </c>
      <c r="I3592" t="s">
        <v>19</v>
      </c>
      <c r="J3592">
        <v>35</v>
      </c>
      <c r="K3592">
        <v>0</v>
      </c>
      <c r="L3592">
        <v>1</v>
      </c>
      <c r="M3592">
        <f>VLOOKUP(Table1[[#This Row],[subscription_type]],Plans!$A$1:$B$5,2,FALSE)</f>
        <v>0</v>
      </c>
      <c r="N3592">
        <f t="shared" si="56"/>
        <v>0</v>
      </c>
    </row>
    <row r="3593" spans="1:14" x14ac:dyDescent="0.35">
      <c r="A3593">
        <v>3592</v>
      </c>
      <c r="B3593" t="s">
        <v>12</v>
      </c>
      <c r="C3593">
        <v>44</v>
      </c>
      <c r="D3593" t="s">
        <v>27</v>
      </c>
      <c r="E3593" t="s">
        <v>22</v>
      </c>
      <c r="F3593">
        <v>37</v>
      </c>
      <c r="G3593">
        <v>93</v>
      </c>
      <c r="H3593">
        <v>0.19</v>
      </c>
      <c r="I3593" t="s">
        <v>15</v>
      </c>
      <c r="J3593">
        <v>0</v>
      </c>
      <c r="K3593">
        <v>1</v>
      </c>
      <c r="L3593">
        <v>0</v>
      </c>
      <c r="M3593">
        <f>VLOOKUP(Table1[[#This Row],[subscription_type]],Plans!$A$1:$B$5,2,FALSE)</f>
        <v>9.99</v>
      </c>
      <c r="N3593">
        <f t="shared" si="56"/>
        <v>0</v>
      </c>
    </row>
    <row r="3594" spans="1:14" x14ac:dyDescent="0.35">
      <c r="A3594">
        <v>3593</v>
      </c>
      <c r="B3594" t="s">
        <v>12</v>
      </c>
      <c r="C3594">
        <v>51</v>
      </c>
      <c r="D3594" t="s">
        <v>25</v>
      </c>
      <c r="E3594" t="s">
        <v>24</v>
      </c>
      <c r="F3594">
        <v>226</v>
      </c>
      <c r="G3594">
        <v>11</v>
      </c>
      <c r="H3594">
        <v>0.27</v>
      </c>
      <c r="I3594" t="s">
        <v>15</v>
      </c>
      <c r="J3594">
        <v>0</v>
      </c>
      <c r="K3594">
        <v>1</v>
      </c>
      <c r="L3594">
        <v>0</v>
      </c>
      <c r="M3594">
        <f>VLOOKUP(Table1[[#This Row],[subscription_type]],Plans!$A$1:$B$5,2,FALSE)</f>
        <v>4.99</v>
      </c>
      <c r="N3594">
        <f t="shared" si="56"/>
        <v>0</v>
      </c>
    </row>
    <row r="3595" spans="1:14" x14ac:dyDescent="0.35">
      <c r="A3595">
        <v>3594</v>
      </c>
      <c r="B3595" t="s">
        <v>16</v>
      </c>
      <c r="C3595">
        <v>48</v>
      </c>
      <c r="D3595" t="s">
        <v>17</v>
      </c>
      <c r="E3595" t="s">
        <v>18</v>
      </c>
      <c r="F3595">
        <v>205</v>
      </c>
      <c r="G3595">
        <v>49</v>
      </c>
      <c r="H3595">
        <v>0.55000000000000004</v>
      </c>
      <c r="I3595" t="s">
        <v>19</v>
      </c>
      <c r="J3595">
        <v>0</v>
      </c>
      <c r="K3595">
        <v>1</v>
      </c>
      <c r="L3595">
        <v>0</v>
      </c>
      <c r="M3595">
        <f>VLOOKUP(Table1[[#This Row],[subscription_type]],Plans!$A$1:$B$5,2,FALSE)</f>
        <v>14.99</v>
      </c>
      <c r="N3595">
        <f t="shared" si="56"/>
        <v>0</v>
      </c>
    </row>
    <row r="3596" spans="1:14" x14ac:dyDescent="0.35">
      <c r="A3596">
        <v>3595</v>
      </c>
      <c r="B3596" t="s">
        <v>16</v>
      </c>
      <c r="C3596">
        <v>39</v>
      </c>
      <c r="D3596" t="s">
        <v>17</v>
      </c>
      <c r="E3596" t="s">
        <v>24</v>
      </c>
      <c r="F3596">
        <v>109</v>
      </c>
      <c r="G3596">
        <v>95</v>
      </c>
      <c r="H3596">
        <v>0.57999999999999996</v>
      </c>
      <c r="I3596" t="s">
        <v>23</v>
      </c>
      <c r="J3596">
        <v>0</v>
      </c>
      <c r="K3596">
        <v>1</v>
      </c>
      <c r="L3596">
        <v>0</v>
      </c>
      <c r="M3596">
        <f>VLOOKUP(Table1[[#This Row],[subscription_type]],Plans!$A$1:$B$5,2,FALSE)</f>
        <v>4.99</v>
      </c>
      <c r="N3596">
        <f t="shared" si="56"/>
        <v>0</v>
      </c>
    </row>
    <row r="3597" spans="1:14" x14ac:dyDescent="0.35">
      <c r="A3597">
        <v>3596</v>
      </c>
      <c r="B3597" t="s">
        <v>16</v>
      </c>
      <c r="C3597">
        <v>59</v>
      </c>
      <c r="D3597" t="s">
        <v>26</v>
      </c>
      <c r="E3597" t="s">
        <v>14</v>
      </c>
      <c r="F3597">
        <v>44</v>
      </c>
      <c r="G3597">
        <v>36</v>
      </c>
      <c r="H3597">
        <v>0.28999999999999998</v>
      </c>
      <c r="I3597" t="s">
        <v>19</v>
      </c>
      <c r="J3597">
        <v>36</v>
      </c>
      <c r="K3597">
        <v>0</v>
      </c>
      <c r="L3597">
        <v>0</v>
      </c>
      <c r="M3597">
        <f>VLOOKUP(Table1[[#This Row],[subscription_type]],Plans!$A$1:$B$5,2,FALSE)</f>
        <v>0</v>
      </c>
      <c r="N3597">
        <f t="shared" si="56"/>
        <v>0</v>
      </c>
    </row>
    <row r="3598" spans="1:14" x14ac:dyDescent="0.35">
      <c r="A3598">
        <v>3597</v>
      </c>
      <c r="B3598" t="s">
        <v>20</v>
      </c>
      <c r="C3598">
        <v>55</v>
      </c>
      <c r="D3598" t="s">
        <v>25</v>
      </c>
      <c r="E3598" t="s">
        <v>18</v>
      </c>
      <c r="F3598">
        <v>258</v>
      </c>
      <c r="G3598">
        <v>66</v>
      </c>
      <c r="H3598">
        <v>0.21</v>
      </c>
      <c r="I3598" t="s">
        <v>23</v>
      </c>
      <c r="J3598">
        <v>0</v>
      </c>
      <c r="K3598">
        <v>1</v>
      </c>
      <c r="L3598">
        <v>0</v>
      </c>
      <c r="M3598">
        <f>VLOOKUP(Table1[[#This Row],[subscription_type]],Plans!$A$1:$B$5,2,FALSE)</f>
        <v>14.99</v>
      </c>
      <c r="N3598">
        <f t="shared" si="56"/>
        <v>0</v>
      </c>
    </row>
    <row r="3599" spans="1:14" x14ac:dyDescent="0.35">
      <c r="A3599">
        <v>3598</v>
      </c>
      <c r="B3599" t="s">
        <v>12</v>
      </c>
      <c r="C3599">
        <v>49</v>
      </c>
      <c r="D3599" t="s">
        <v>25</v>
      </c>
      <c r="E3599" t="s">
        <v>14</v>
      </c>
      <c r="F3599">
        <v>211</v>
      </c>
      <c r="G3599">
        <v>91</v>
      </c>
      <c r="H3599">
        <v>0.34</v>
      </c>
      <c r="I3599" t="s">
        <v>23</v>
      </c>
      <c r="J3599">
        <v>26</v>
      </c>
      <c r="K3599">
        <v>0</v>
      </c>
      <c r="L3599">
        <v>0</v>
      </c>
      <c r="M3599">
        <f>VLOOKUP(Table1[[#This Row],[subscription_type]],Plans!$A$1:$B$5,2,FALSE)</f>
        <v>0</v>
      </c>
      <c r="N3599">
        <f t="shared" si="56"/>
        <v>0</v>
      </c>
    </row>
    <row r="3600" spans="1:14" x14ac:dyDescent="0.35">
      <c r="A3600">
        <v>3599</v>
      </c>
      <c r="B3600" t="s">
        <v>12</v>
      </c>
      <c r="C3600">
        <v>31</v>
      </c>
      <c r="D3600" t="s">
        <v>21</v>
      </c>
      <c r="E3600" t="s">
        <v>24</v>
      </c>
      <c r="F3600">
        <v>215</v>
      </c>
      <c r="G3600">
        <v>93</v>
      </c>
      <c r="H3600">
        <v>0.32</v>
      </c>
      <c r="I3600" t="s">
        <v>19</v>
      </c>
      <c r="J3600">
        <v>0</v>
      </c>
      <c r="K3600">
        <v>1</v>
      </c>
      <c r="L3600">
        <v>0</v>
      </c>
      <c r="M3600">
        <f>VLOOKUP(Table1[[#This Row],[subscription_type]],Plans!$A$1:$B$5,2,FALSE)</f>
        <v>4.99</v>
      </c>
      <c r="N3600">
        <f t="shared" si="56"/>
        <v>0</v>
      </c>
    </row>
    <row r="3601" spans="1:14" x14ac:dyDescent="0.35">
      <c r="A3601">
        <v>3600</v>
      </c>
      <c r="B3601" t="s">
        <v>16</v>
      </c>
      <c r="C3601">
        <v>43</v>
      </c>
      <c r="D3601" t="s">
        <v>29</v>
      </c>
      <c r="E3601" t="s">
        <v>14</v>
      </c>
      <c r="F3601">
        <v>218</v>
      </c>
      <c r="G3601">
        <v>53</v>
      </c>
      <c r="H3601">
        <v>0.02</v>
      </c>
      <c r="I3601" t="s">
        <v>19</v>
      </c>
      <c r="J3601">
        <v>40</v>
      </c>
      <c r="K3601">
        <v>0</v>
      </c>
      <c r="L3601">
        <v>0</v>
      </c>
      <c r="M3601">
        <f>VLOOKUP(Table1[[#This Row],[subscription_type]],Plans!$A$1:$B$5,2,FALSE)</f>
        <v>0</v>
      </c>
      <c r="N3601">
        <f t="shared" si="56"/>
        <v>0</v>
      </c>
    </row>
    <row r="3602" spans="1:14" x14ac:dyDescent="0.35">
      <c r="A3602">
        <v>3601</v>
      </c>
      <c r="B3602" t="s">
        <v>20</v>
      </c>
      <c r="C3602">
        <v>52</v>
      </c>
      <c r="D3602" t="s">
        <v>29</v>
      </c>
      <c r="E3602" t="s">
        <v>18</v>
      </c>
      <c r="F3602">
        <v>255</v>
      </c>
      <c r="G3602">
        <v>20</v>
      </c>
      <c r="H3602">
        <v>0.04</v>
      </c>
      <c r="I3602" t="s">
        <v>15</v>
      </c>
      <c r="J3602">
        <v>0</v>
      </c>
      <c r="K3602">
        <v>1</v>
      </c>
      <c r="L3602">
        <v>0</v>
      </c>
      <c r="M3602">
        <f>VLOOKUP(Table1[[#This Row],[subscription_type]],Plans!$A$1:$B$5,2,FALSE)</f>
        <v>14.99</v>
      </c>
      <c r="N3602">
        <f t="shared" si="56"/>
        <v>0</v>
      </c>
    </row>
    <row r="3603" spans="1:14" x14ac:dyDescent="0.35">
      <c r="A3603">
        <v>3602</v>
      </c>
      <c r="B3603" t="s">
        <v>16</v>
      </c>
      <c r="C3603">
        <v>35</v>
      </c>
      <c r="D3603" t="s">
        <v>13</v>
      </c>
      <c r="E3603" t="s">
        <v>14</v>
      </c>
      <c r="F3603">
        <v>218</v>
      </c>
      <c r="G3603">
        <v>97</v>
      </c>
      <c r="H3603">
        <v>0.53</v>
      </c>
      <c r="I3603" t="s">
        <v>19</v>
      </c>
      <c r="J3603">
        <v>13</v>
      </c>
      <c r="K3603">
        <v>0</v>
      </c>
      <c r="L3603">
        <v>0</v>
      </c>
      <c r="M3603">
        <f>VLOOKUP(Table1[[#This Row],[subscription_type]],Plans!$A$1:$B$5,2,FALSE)</f>
        <v>0</v>
      </c>
      <c r="N3603">
        <f t="shared" si="56"/>
        <v>0</v>
      </c>
    </row>
    <row r="3604" spans="1:14" x14ac:dyDescent="0.35">
      <c r="A3604">
        <v>3603</v>
      </c>
      <c r="B3604" t="s">
        <v>12</v>
      </c>
      <c r="C3604">
        <v>26</v>
      </c>
      <c r="D3604" t="s">
        <v>17</v>
      </c>
      <c r="E3604" t="s">
        <v>18</v>
      </c>
      <c r="F3604">
        <v>222</v>
      </c>
      <c r="G3604">
        <v>5</v>
      </c>
      <c r="H3604">
        <v>0.03</v>
      </c>
      <c r="I3604" t="s">
        <v>19</v>
      </c>
      <c r="J3604">
        <v>0</v>
      </c>
      <c r="K3604">
        <v>1</v>
      </c>
      <c r="L3604">
        <v>1</v>
      </c>
      <c r="M3604">
        <f>VLOOKUP(Table1[[#This Row],[subscription_type]],Plans!$A$1:$B$5,2,FALSE)</f>
        <v>14.99</v>
      </c>
      <c r="N3604">
        <f t="shared" si="56"/>
        <v>14.99</v>
      </c>
    </row>
    <row r="3605" spans="1:14" x14ac:dyDescent="0.35">
      <c r="A3605">
        <v>3604</v>
      </c>
      <c r="B3605" t="s">
        <v>20</v>
      </c>
      <c r="C3605">
        <v>21</v>
      </c>
      <c r="D3605" t="s">
        <v>28</v>
      </c>
      <c r="E3605" t="s">
        <v>18</v>
      </c>
      <c r="F3605">
        <v>271</v>
      </c>
      <c r="G3605">
        <v>52</v>
      </c>
      <c r="H3605">
        <v>0.39</v>
      </c>
      <c r="I3605" t="s">
        <v>19</v>
      </c>
      <c r="J3605">
        <v>0</v>
      </c>
      <c r="K3605">
        <v>1</v>
      </c>
      <c r="L3605">
        <v>0</v>
      </c>
      <c r="M3605">
        <f>VLOOKUP(Table1[[#This Row],[subscription_type]],Plans!$A$1:$B$5,2,FALSE)</f>
        <v>14.99</v>
      </c>
      <c r="N3605">
        <f t="shared" si="56"/>
        <v>0</v>
      </c>
    </row>
    <row r="3606" spans="1:14" x14ac:dyDescent="0.35">
      <c r="A3606">
        <v>3605</v>
      </c>
      <c r="B3606" t="s">
        <v>20</v>
      </c>
      <c r="C3606">
        <v>44</v>
      </c>
      <c r="D3606" t="s">
        <v>27</v>
      </c>
      <c r="E3606" t="s">
        <v>18</v>
      </c>
      <c r="F3606">
        <v>85</v>
      </c>
      <c r="G3606">
        <v>92</v>
      </c>
      <c r="H3606">
        <v>0.06</v>
      </c>
      <c r="I3606" t="s">
        <v>15</v>
      </c>
      <c r="J3606">
        <v>0</v>
      </c>
      <c r="K3606">
        <v>1</v>
      </c>
      <c r="L3606">
        <v>1</v>
      </c>
      <c r="M3606">
        <f>VLOOKUP(Table1[[#This Row],[subscription_type]],Plans!$A$1:$B$5,2,FALSE)</f>
        <v>14.99</v>
      </c>
      <c r="N3606">
        <f t="shared" si="56"/>
        <v>14.99</v>
      </c>
    </row>
    <row r="3607" spans="1:14" x14ac:dyDescent="0.35">
      <c r="A3607">
        <v>3606</v>
      </c>
      <c r="B3607" t="s">
        <v>20</v>
      </c>
      <c r="C3607">
        <v>35</v>
      </c>
      <c r="D3607" t="s">
        <v>13</v>
      </c>
      <c r="E3607" t="s">
        <v>22</v>
      </c>
      <c r="F3607">
        <v>185</v>
      </c>
      <c r="G3607">
        <v>91</v>
      </c>
      <c r="H3607">
        <v>0.24</v>
      </c>
      <c r="I3607" t="s">
        <v>23</v>
      </c>
      <c r="J3607">
        <v>0</v>
      </c>
      <c r="K3607">
        <v>1</v>
      </c>
      <c r="L3607">
        <v>0</v>
      </c>
      <c r="M3607">
        <f>VLOOKUP(Table1[[#This Row],[subscription_type]],Plans!$A$1:$B$5,2,FALSE)</f>
        <v>9.99</v>
      </c>
      <c r="N3607">
        <f t="shared" si="56"/>
        <v>0</v>
      </c>
    </row>
    <row r="3608" spans="1:14" x14ac:dyDescent="0.35">
      <c r="A3608">
        <v>3607</v>
      </c>
      <c r="B3608" t="s">
        <v>20</v>
      </c>
      <c r="C3608">
        <v>45</v>
      </c>
      <c r="D3608" t="s">
        <v>13</v>
      </c>
      <c r="E3608" t="s">
        <v>24</v>
      </c>
      <c r="F3608">
        <v>66</v>
      </c>
      <c r="G3608">
        <v>64</v>
      </c>
      <c r="H3608">
        <v>0.57999999999999996</v>
      </c>
      <c r="I3608" t="s">
        <v>23</v>
      </c>
      <c r="J3608">
        <v>0</v>
      </c>
      <c r="K3608">
        <v>1</v>
      </c>
      <c r="L3608">
        <v>1</v>
      </c>
      <c r="M3608">
        <f>VLOOKUP(Table1[[#This Row],[subscription_type]],Plans!$A$1:$B$5,2,FALSE)</f>
        <v>4.99</v>
      </c>
      <c r="N3608">
        <f t="shared" si="56"/>
        <v>4.99</v>
      </c>
    </row>
    <row r="3609" spans="1:14" x14ac:dyDescent="0.35">
      <c r="A3609">
        <v>3608</v>
      </c>
      <c r="B3609" t="s">
        <v>20</v>
      </c>
      <c r="C3609">
        <v>41</v>
      </c>
      <c r="D3609" t="s">
        <v>21</v>
      </c>
      <c r="E3609" t="s">
        <v>14</v>
      </c>
      <c r="F3609">
        <v>276</v>
      </c>
      <c r="G3609">
        <v>35</v>
      </c>
      <c r="H3609">
        <v>0.59</v>
      </c>
      <c r="I3609" t="s">
        <v>19</v>
      </c>
      <c r="J3609">
        <v>43</v>
      </c>
      <c r="K3609">
        <v>0</v>
      </c>
      <c r="L3609">
        <v>1</v>
      </c>
      <c r="M3609">
        <f>VLOOKUP(Table1[[#This Row],[subscription_type]],Plans!$A$1:$B$5,2,FALSE)</f>
        <v>0</v>
      </c>
      <c r="N3609">
        <f t="shared" si="56"/>
        <v>0</v>
      </c>
    </row>
    <row r="3610" spans="1:14" x14ac:dyDescent="0.35">
      <c r="A3610">
        <v>3609</v>
      </c>
      <c r="B3610" t="s">
        <v>20</v>
      </c>
      <c r="C3610">
        <v>41</v>
      </c>
      <c r="D3610" t="s">
        <v>25</v>
      </c>
      <c r="E3610" t="s">
        <v>24</v>
      </c>
      <c r="F3610">
        <v>256</v>
      </c>
      <c r="G3610">
        <v>38</v>
      </c>
      <c r="H3610">
        <v>0.37</v>
      </c>
      <c r="I3610" t="s">
        <v>15</v>
      </c>
      <c r="J3610">
        <v>0</v>
      </c>
      <c r="K3610">
        <v>1</v>
      </c>
      <c r="L3610">
        <v>0</v>
      </c>
      <c r="M3610">
        <f>VLOOKUP(Table1[[#This Row],[subscription_type]],Plans!$A$1:$B$5,2,FALSE)</f>
        <v>4.99</v>
      </c>
      <c r="N3610">
        <f t="shared" si="56"/>
        <v>0</v>
      </c>
    </row>
    <row r="3611" spans="1:14" x14ac:dyDescent="0.35">
      <c r="A3611">
        <v>3610</v>
      </c>
      <c r="B3611" t="s">
        <v>16</v>
      </c>
      <c r="C3611">
        <v>25</v>
      </c>
      <c r="D3611" t="s">
        <v>17</v>
      </c>
      <c r="E3611" t="s">
        <v>22</v>
      </c>
      <c r="F3611">
        <v>177</v>
      </c>
      <c r="G3611">
        <v>91</v>
      </c>
      <c r="H3611">
        <v>0.53</v>
      </c>
      <c r="I3611" t="s">
        <v>19</v>
      </c>
      <c r="J3611">
        <v>0</v>
      </c>
      <c r="K3611">
        <v>1</v>
      </c>
      <c r="L3611">
        <v>0</v>
      </c>
      <c r="M3611">
        <f>VLOOKUP(Table1[[#This Row],[subscription_type]],Plans!$A$1:$B$5,2,FALSE)</f>
        <v>9.99</v>
      </c>
      <c r="N3611">
        <f t="shared" si="56"/>
        <v>0</v>
      </c>
    </row>
    <row r="3612" spans="1:14" x14ac:dyDescent="0.35">
      <c r="A3612">
        <v>3611</v>
      </c>
      <c r="B3612" t="s">
        <v>12</v>
      </c>
      <c r="C3612">
        <v>58</v>
      </c>
      <c r="D3612" t="s">
        <v>28</v>
      </c>
      <c r="E3612" t="s">
        <v>14</v>
      </c>
      <c r="F3612">
        <v>103</v>
      </c>
      <c r="G3612">
        <v>86</v>
      </c>
      <c r="H3612">
        <v>0.19</v>
      </c>
      <c r="I3612" t="s">
        <v>19</v>
      </c>
      <c r="J3612">
        <v>20</v>
      </c>
      <c r="K3612">
        <v>0</v>
      </c>
      <c r="L3612">
        <v>0</v>
      </c>
      <c r="M3612">
        <f>VLOOKUP(Table1[[#This Row],[subscription_type]],Plans!$A$1:$B$5,2,FALSE)</f>
        <v>0</v>
      </c>
      <c r="N3612">
        <f t="shared" si="56"/>
        <v>0</v>
      </c>
    </row>
    <row r="3613" spans="1:14" x14ac:dyDescent="0.35">
      <c r="A3613">
        <v>3612</v>
      </c>
      <c r="B3613" t="s">
        <v>12</v>
      </c>
      <c r="C3613">
        <v>41</v>
      </c>
      <c r="D3613" t="s">
        <v>27</v>
      </c>
      <c r="E3613" t="s">
        <v>14</v>
      </c>
      <c r="F3613">
        <v>196</v>
      </c>
      <c r="G3613">
        <v>98</v>
      </c>
      <c r="H3613">
        <v>0.24</v>
      </c>
      <c r="I3613" t="s">
        <v>23</v>
      </c>
      <c r="J3613">
        <v>13</v>
      </c>
      <c r="K3613">
        <v>0</v>
      </c>
      <c r="L3613">
        <v>0</v>
      </c>
      <c r="M3613">
        <f>VLOOKUP(Table1[[#This Row],[subscription_type]],Plans!$A$1:$B$5,2,FALSE)</f>
        <v>0</v>
      </c>
      <c r="N3613">
        <f t="shared" si="56"/>
        <v>0</v>
      </c>
    </row>
    <row r="3614" spans="1:14" x14ac:dyDescent="0.35">
      <c r="A3614">
        <v>3613</v>
      </c>
      <c r="B3614" t="s">
        <v>16</v>
      </c>
      <c r="C3614">
        <v>30</v>
      </c>
      <c r="D3614" t="s">
        <v>17</v>
      </c>
      <c r="E3614" t="s">
        <v>24</v>
      </c>
      <c r="F3614">
        <v>178</v>
      </c>
      <c r="G3614">
        <v>7</v>
      </c>
      <c r="H3614">
        <v>0.49</v>
      </c>
      <c r="I3614" t="s">
        <v>23</v>
      </c>
      <c r="J3614">
        <v>0</v>
      </c>
      <c r="K3614">
        <v>1</v>
      </c>
      <c r="L3614">
        <v>1</v>
      </c>
      <c r="M3614">
        <f>VLOOKUP(Table1[[#This Row],[subscription_type]],Plans!$A$1:$B$5,2,FALSE)</f>
        <v>4.99</v>
      </c>
      <c r="N3614">
        <f t="shared" si="56"/>
        <v>4.99</v>
      </c>
    </row>
    <row r="3615" spans="1:14" x14ac:dyDescent="0.35">
      <c r="A3615">
        <v>3614</v>
      </c>
      <c r="B3615" t="s">
        <v>16</v>
      </c>
      <c r="C3615">
        <v>20</v>
      </c>
      <c r="D3615" t="s">
        <v>17</v>
      </c>
      <c r="E3615" t="s">
        <v>22</v>
      </c>
      <c r="F3615">
        <v>165</v>
      </c>
      <c r="G3615">
        <v>32</v>
      </c>
      <c r="H3615">
        <v>0.19</v>
      </c>
      <c r="I3615" t="s">
        <v>15</v>
      </c>
      <c r="J3615">
        <v>0</v>
      </c>
      <c r="K3615">
        <v>1</v>
      </c>
      <c r="L3615">
        <v>1</v>
      </c>
      <c r="M3615">
        <f>VLOOKUP(Table1[[#This Row],[subscription_type]],Plans!$A$1:$B$5,2,FALSE)</f>
        <v>9.99</v>
      </c>
      <c r="N3615">
        <f t="shared" si="56"/>
        <v>9.99</v>
      </c>
    </row>
    <row r="3616" spans="1:14" x14ac:dyDescent="0.35">
      <c r="A3616">
        <v>3615</v>
      </c>
      <c r="B3616" t="s">
        <v>16</v>
      </c>
      <c r="C3616">
        <v>17</v>
      </c>
      <c r="D3616" t="s">
        <v>27</v>
      </c>
      <c r="E3616" t="s">
        <v>22</v>
      </c>
      <c r="F3616">
        <v>132</v>
      </c>
      <c r="G3616">
        <v>74</v>
      </c>
      <c r="H3616">
        <v>0.57999999999999996</v>
      </c>
      <c r="I3616" t="s">
        <v>23</v>
      </c>
      <c r="J3616">
        <v>0</v>
      </c>
      <c r="K3616">
        <v>1</v>
      </c>
      <c r="L3616">
        <v>1</v>
      </c>
      <c r="M3616">
        <f>VLOOKUP(Table1[[#This Row],[subscription_type]],Plans!$A$1:$B$5,2,FALSE)</f>
        <v>9.99</v>
      </c>
      <c r="N3616">
        <f t="shared" si="56"/>
        <v>9.99</v>
      </c>
    </row>
    <row r="3617" spans="1:14" x14ac:dyDescent="0.35">
      <c r="A3617">
        <v>3616</v>
      </c>
      <c r="B3617" t="s">
        <v>20</v>
      </c>
      <c r="C3617">
        <v>16</v>
      </c>
      <c r="D3617" t="s">
        <v>27</v>
      </c>
      <c r="E3617" t="s">
        <v>22</v>
      </c>
      <c r="F3617">
        <v>203</v>
      </c>
      <c r="G3617">
        <v>15</v>
      </c>
      <c r="H3617">
        <v>0.24</v>
      </c>
      <c r="I3617" t="s">
        <v>19</v>
      </c>
      <c r="J3617">
        <v>0</v>
      </c>
      <c r="K3617">
        <v>1</v>
      </c>
      <c r="L3617">
        <v>0</v>
      </c>
      <c r="M3617">
        <f>VLOOKUP(Table1[[#This Row],[subscription_type]],Plans!$A$1:$B$5,2,FALSE)</f>
        <v>9.99</v>
      </c>
      <c r="N3617">
        <f t="shared" si="56"/>
        <v>0</v>
      </c>
    </row>
    <row r="3618" spans="1:14" x14ac:dyDescent="0.35">
      <c r="A3618">
        <v>3617</v>
      </c>
      <c r="B3618" t="s">
        <v>20</v>
      </c>
      <c r="C3618">
        <v>23</v>
      </c>
      <c r="D3618" t="s">
        <v>13</v>
      </c>
      <c r="E3618" t="s">
        <v>14</v>
      </c>
      <c r="F3618">
        <v>201</v>
      </c>
      <c r="G3618">
        <v>16</v>
      </c>
      <c r="H3618">
        <v>0.1</v>
      </c>
      <c r="I3618" t="s">
        <v>23</v>
      </c>
      <c r="J3618">
        <v>45</v>
      </c>
      <c r="K3618">
        <v>0</v>
      </c>
      <c r="L3618">
        <v>0</v>
      </c>
      <c r="M3618">
        <f>VLOOKUP(Table1[[#This Row],[subscription_type]],Plans!$A$1:$B$5,2,FALSE)</f>
        <v>0</v>
      </c>
      <c r="N3618">
        <f t="shared" si="56"/>
        <v>0</v>
      </c>
    </row>
    <row r="3619" spans="1:14" x14ac:dyDescent="0.35">
      <c r="A3619">
        <v>3618</v>
      </c>
      <c r="B3619" t="s">
        <v>12</v>
      </c>
      <c r="C3619">
        <v>26</v>
      </c>
      <c r="D3619" t="s">
        <v>27</v>
      </c>
      <c r="E3619" t="s">
        <v>22</v>
      </c>
      <c r="F3619">
        <v>78</v>
      </c>
      <c r="G3619">
        <v>72</v>
      </c>
      <c r="H3619">
        <v>0.5</v>
      </c>
      <c r="I3619" t="s">
        <v>19</v>
      </c>
      <c r="J3619">
        <v>0</v>
      </c>
      <c r="K3619">
        <v>1</v>
      </c>
      <c r="L3619">
        <v>0</v>
      </c>
      <c r="M3619">
        <f>VLOOKUP(Table1[[#This Row],[subscription_type]],Plans!$A$1:$B$5,2,FALSE)</f>
        <v>9.99</v>
      </c>
      <c r="N3619">
        <f t="shared" si="56"/>
        <v>0</v>
      </c>
    </row>
    <row r="3620" spans="1:14" x14ac:dyDescent="0.35">
      <c r="A3620">
        <v>3619</v>
      </c>
      <c r="B3620" t="s">
        <v>20</v>
      </c>
      <c r="C3620">
        <v>49</v>
      </c>
      <c r="D3620" t="s">
        <v>17</v>
      </c>
      <c r="E3620" t="s">
        <v>18</v>
      </c>
      <c r="F3620">
        <v>159</v>
      </c>
      <c r="G3620">
        <v>15</v>
      </c>
      <c r="H3620">
        <v>7.0000000000000007E-2</v>
      </c>
      <c r="I3620" t="s">
        <v>19</v>
      </c>
      <c r="J3620">
        <v>0</v>
      </c>
      <c r="K3620">
        <v>1</v>
      </c>
      <c r="L3620">
        <v>0</v>
      </c>
      <c r="M3620">
        <f>VLOOKUP(Table1[[#This Row],[subscription_type]],Plans!$A$1:$B$5,2,FALSE)</f>
        <v>14.99</v>
      </c>
      <c r="N3620">
        <f t="shared" si="56"/>
        <v>0</v>
      </c>
    </row>
    <row r="3621" spans="1:14" x14ac:dyDescent="0.35">
      <c r="A3621">
        <v>3620</v>
      </c>
      <c r="B3621" t="s">
        <v>16</v>
      </c>
      <c r="C3621">
        <v>18</v>
      </c>
      <c r="D3621" t="s">
        <v>17</v>
      </c>
      <c r="E3621" t="s">
        <v>22</v>
      </c>
      <c r="F3621">
        <v>45</v>
      </c>
      <c r="G3621">
        <v>16</v>
      </c>
      <c r="H3621">
        <v>0.1</v>
      </c>
      <c r="I3621" t="s">
        <v>19</v>
      </c>
      <c r="J3621">
        <v>0</v>
      </c>
      <c r="K3621">
        <v>1</v>
      </c>
      <c r="L3621">
        <v>1</v>
      </c>
      <c r="M3621">
        <f>VLOOKUP(Table1[[#This Row],[subscription_type]],Plans!$A$1:$B$5,2,FALSE)</f>
        <v>9.99</v>
      </c>
      <c r="N3621">
        <f t="shared" si="56"/>
        <v>9.99</v>
      </c>
    </row>
    <row r="3622" spans="1:14" x14ac:dyDescent="0.35">
      <c r="A3622">
        <v>3621</v>
      </c>
      <c r="B3622" t="s">
        <v>16</v>
      </c>
      <c r="C3622">
        <v>29</v>
      </c>
      <c r="D3622" t="s">
        <v>13</v>
      </c>
      <c r="E3622" t="s">
        <v>22</v>
      </c>
      <c r="F3622">
        <v>89</v>
      </c>
      <c r="G3622">
        <v>1</v>
      </c>
      <c r="H3622">
        <v>0.21</v>
      </c>
      <c r="I3622" t="s">
        <v>15</v>
      </c>
      <c r="J3622">
        <v>0</v>
      </c>
      <c r="K3622">
        <v>1</v>
      </c>
      <c r="L3622">
        <v>0</v>
      </c>
      <c r="M3622">
        <f>VLOOKUP(Table1[[#This Row],[subscription_type]],Plans!$A$1:$B$5,2,FALSE)</f>
        <v>9.99</v>
      </c>
      <c r="N3622">
        <f t="shared" si="56"/>
        <v>0</v>
      </c>
    </row>
    <row r="3623" spans="1:14" x14ac:dyDescent="0.35">
      <c r="A3623">
        <v>3622</v>
      </c>
      <c r="B3623" t="s">
        <v>16</v>
      </c>
      <c r="C3623">
        <v>34</v>
      </c>
      <c r="D3623" t="s">
        <v>26</v>
      </c>
      <c r="E3623" t="s">
        <v>18</v>
      </c>
      <c r="F3623">
        <v>54</v>
      </c>
      <c r="G3623">
        <v>36</v>
      </c>
      <c r="H3623">
        <v>0.09</v>
      </c>
      <c r="I3623" t="s">
        <v>15</v>
      </c>
      <c r="J3623">
        <v>0</v>
      </c>
      <c r="K3623">
        <v>1</v>
      </c>
      <c r="L3623">
        <v>0</v>
      </c>
      <c r="M3623">
        <f>VLOOKUP(Table1[[#This Row],[subscription_type]],Plans!$A$1:$B$5,2,FALSE)</f>
        <v>14.99</v>
      </c>
      <c r="N3623">
        <f t="shared" si="56"/>
        <v>0</v>
      </c>
    </row>
    <row r="3624" spans="1:14" x14ac:dyDescent="0.35">
      <c r="A3624">
        <v>3623</v>
      </c>
      <c r="B3624" t="s">
        <v>20</v>
      </c>
      <c r="C3624">
        <v>46</v>
      </c>
      <c r="D3624" t="s">
        <v>26</v>
      </c>
      <c r="E3624" t="s">
        <v>22</v>
      </c>
      <c r="F3624">
        <v>78</v>
      </c>
      <c r="G3624">
        <v>58</v>
      </c>
      <c r="H3624">
        <v>0.42</v>
      </c>
      <c r="I3624" t="s">
        <v>19</v>
      </c>
      <c r="J3624">
        <v>0</v>
      </c>
      <c r="K3624">
        <v>1</v>
      </c>
      <c r="L3624">
        <v>0</v>
      </c>
      <c r="M3624">
        <f>VLOOKUP(Table1[[#This Row],[subscription_type]],Plans!$A$1:$B$5,2,FALSE)</f>
        <v>9.99</v>
      </c>
      <c r="N3624">
        <f t="shared" si="56"/>
        <v>0</v>
      </c>
    </row>
    <row r="3625" spans="1:14" x14ac:dyDescent="0.35">
      <c r="A3625">
        <v>3624</v>
      </c>
      <c r="B3625" t="s">
        <v>20</v>
      </c>
      <c r="C3625">
        <v>57</v>
      </c>
      <c r="D3625" t="s">
        <v>27</v>
      </c>
      <c r="E3625" t="s">
        <v>24</v>
      </c>
      <c r="F3625">
        <v>176</v>
      </c>
      <c r="G3625">
        <v>6</v>
      </c>
      <c r="H3625">
        <v>0.12</v>
      </c>
      <c r="I3625" t="s">
        <v>19</v>
      </c>
      <c r="J3625">
        <v>0</v>
      </c>
      <c r="K3625">
        <v>1</v>
      </c>
      <c r="L3625">
        <v>0</v>
      </c>
      <c r="M3625">
        <f>VLOOKUP(Table1[[#This Row],[subscription_type]],Plans!$A$1:$B$5,2,FALSE)</f>
        <v>4.99</v>
      </c>
      <c r="N3625">
        <f t="shared" si="56"/>
        <v>0</v>
      </c>
    </row>
    <row r="3626" spans="1:14" x14ac:dyDescent="0.35">
      <c r="A3626">
        <v>3625</v>
      </c>
      <c r="B3626" t="s">
        <v>12</v>
      </c>
      <c r="C3626">
        <v>25</v>
      </c>
      <c r="D3626" t="s">
        <v>21</v>
      </c>
      <c r="E3626" t="s">
        <v>22</v>
      </c>
      <c r="F3626">
        <v>74</v>
      </c>
      <c r="G3626">
        <v>5</v>
      </c>
      <c r="H3626">
        <v>0.25</v>
      </c>
      <c r="I3626" t="s">
        <v>15</v>
      </c>
      <c r="J3626">
        <v>0</v>
      </c>
      <c r="K3626">
        <v>1</v>
      </c>
      <c r="L3626">
        <v>0</v>
      </c>
      <c r="M3626">
        <f>VLOOKUP(Table1[[#This Row],[subscription_type]],Plans!$A$1:$B$5,2,FALSE)</f>
        <v>9.99</v>
      </c>
      <c r="N3626">
        <f t="shared" si="56"/>
        <v>0</v>
      </c>
    </row>
    <row r="3627" spans="1:14" x14ac:dyDescent="0.35">
      <c r="A3627">
        <v>3626</v>
      </c>
      <c r="B3627" t="s">
        <v>16</v>
      </c>
      <c r="C3627">
        <v>34</v>
      </c>
      <c r="D3627" t="s">
        <v>13</v>
      </c>
      <c r="E3627" t="s">
        <v>14</v>
      </c>
      <c r="F3627">
        <v>265</v>
      </c>
      <c r="G3627">
        <v>96</v>
      </c>
      <c r="H3627">
        <v>0.3</v>
      </c>
      <c r="I3627" t="s">
        <v>19</v>
      </c>
      <c r="J3627">
        <v>20</v>
      </c>
      <c r="K3627">
        <v>0</v>
      </c>
      <c r="L3627">
        <v>0</v>
      </c>
      <c r="M3627">
        <f>VLOOKUP(Table1[[#This Row],[subscription_type]],Plans!$A$1:$B$5,2,FALSE)</f>
        <v>0</v>
      </c>
      <c r="N3627">
        <f t="shared" si="56"/>
        <v>0</v>
      </c>
    </row>
    <row r="3628" spans="1:14" x14ac:dyDescent="0.35">
      <c r="A3628">
        <v>3627</v>
      </c>
      <c r="B3628" t="s">
        <v>20</v>
      </c>
      <c r="C3628">
        <v>45</v>
      </c>
      <c r="D3628" t="s">
        <v>28</v>
      </c>
      <c r="E3628" t="s">
        <v>22</v>
      </c>
      <c r="F3628">
        <v>78</v>
      </c>
      <c r="G3628">
        <v>31</v>
      </c>
      <c r="H3628">
        <v>0.18</v>
      </c>
      <c r="I3628" t="s">
        <v>15</v>
      </c>
      <c r="J3628">
        <v>0</v>
      </c>
      <c r="K3628">
        <v>1</v>
      </c>
      <c r="L3628">
        <v>1</v>
      </c>
      <c r="M3628">
        <f>VLOOKUP(Table1[[#This Row],[subscription_type]],Plans!$A$1:$B$5,2,FALSE)</f>
        <v>9.99</v>
      </c>
      <c r="N3628">
        <f t="shared" si="56"/>
        <v>9.99</v>
      </c>
    </row>
    <row r="3629" spans="1:14" x14ac:dyDescent="0.35">
      <c r="A3629">
        <v>3628</v>
      </c>
      <c r="B3629" t="s">
        <v>12</v>
      </c>
      <c r="C3629">
        <v>35</v>
      </c>
      <c r="D3629" t="s">
        <v>25</v>
      </c>
      <c r="E3629" t="s">
        <v>14</v>
      </c>
      <c r="F3629">
        <v>166</v>
      </c>
      <c r="G3629">
        <v>7</v>
      </c>
      <c r="H3629">
        <v>0.24</v>
      </c>
      <c r="I3629" t="s">
        <v>19</v>
      </c>
      <c r="J3629">
        <v>11</v>
      </c>
      <c r="K3629">
        <v>0</v>
      </c>
      <c r="L3629">
        <v>0</v>
      </c>
      <c r="M3629">
        <f>VLOOKUP(Table1[[#This Row],[subscription_type]],Plans!$A$1:$B$5,2,FALSE)</f>
        <v>0</v>
      </c>
      <c r="N3629">
        <f t="shared" si="56"/>
        <v>0</v>
      </c>
    </row>
    <row r="3630" spans="1:14" x14ac:dyDescent="0.35">
      <c r="A3630">
        <v>3629</v>
      </c>
      <c r="B3630" t="s">
        <v>20</v>
      </c>
      <c r="C3630">
        <v>50</v>
      </c>
      <c r="D3630" t="s">
        <v>26</v>
      </c>
      <c r="E3630" t="s">
        <v>18</v>
      </c>
      <c r="F3630">
        <v>254</v>
      </c>
      <c r="G3630">
        <v>19</v>
      </c>
      <c r="H3630">
        <v>0.27</v>
      </c>
      <c r="I3630" t="s">
        <v>19</v>
      </c>
      <c r="J3630">
        <v>0</v>
      </c>
      <c r="K3630">
        <v>1</v>
      </c>
      <c r="L3630">
        <v>0</v>
      </c>
      <c r="M3630">
        <f>VLOOKUP(Table1[[#This Row],[subscription_type]],Plans!$A$1:$B$5,2,FALSE)</f>
        <v>14.99</v>
      </c>
      <c r="N3630">
        <f t="shared" si="56"/>
        <v>0</v>
      </c>
    </row>
    <row r="3631" spans="1:14" x14ac:dyDescent="0.35">
      <c r="A3631">
        <v>3630</v>
      </c>
      <c r="B3631" t="s">
        <v>16</v>
      </c>
      <c r="C3631">
        <v>48</v>
      </c>
      <c r="D3631" t="s">
        <v>29</v>
      </c>
      <c r="E3631" t="s">
        <v>18</v>
      </c>
      <c r="F3631">
        <v>172</v>
      </c>
      <c r="G3631">
        <v>31</v>
      </c>
      <c r="H3631">
        <v>0.18</v>
      </c>
      <c r="I3631" t="s">
        <v>23</v>
      </c>
      <c r="J3631">
        <v>0</v>
      </c>
      <c r="K3631">
        <v>1</v>
      </c>
      <c r="L3631">
        <v>0</v>
      </c>
      <c r="M3631">
        <f>VLOOKUP(Table1[[#This Row],[subscription_type]],Plans!$A$1:$B$5,2,FALSE)</f>
        <v>14.99</v>
      </c>
      <c r="N3631">
        <f t="shared" si="56"/>
        <v>0</v>
      </c>
    </row>
    <row r="3632" spans="1:14" x14ac:dyDescent="0.35">
      <c r="A3632">
        <v>3631</v>
      </c>
      <c r="B3632" t="s">
        <v>12</v>
      </c>
      <c r="C3632">
        <v>17</v>
      </c>
      <c r="D3632" t="s">
        <v>17</v>
      </c>
      <c r="E3632" t="s">
        <v>22</v>
      </c>
      <c r="F3632">
        <v>15</v>
      </c>
      <c r="G3632">
        <v>78</v>
      </c>
      <c r="H3632">
        <v>0.13</v>
      </c>
      <c r="I3632" t="s">
        <v>23</v>
      </c>
      <c r="J3632">
        <v>0</v>
      </c>
      <c r="K3632">
        <v>1</v>
      </c>
      <c r="L3632">
        <v>0</v>
      </c>
      <c r="M3632">
        <f>VLOOKUP(Table1[[#This Row],[subscription_type]],Plans!$A$1:$B$5,2,FALSE)</f>
        <v>9.99</v>
      </c>
      <c r="N3632">
        <f t="shared" si="56"/>
        <v>0</v>
      </c>
    </row>
    <row r="3633" spans="1:14" x14ac:dyDescent="0.35">
      <c r="A3633">
        <v>3632</v>
      </c>
      <c r="B3633" t="s">
        <v>12</v>
      </c>
      <c r="C3633">
        <v>56</v>
      </c>
      <c r="D3633" t="s">
        <v>17</v>
      </c>
      <c r="E3633" t="s">
        <v>22</v>
      </c>
      <c r="F3633">
        <v>269</v>
      </c>
      <c r="G3633">
        <v>9</v>
      </c>
      <c r="H3633">
        <v>0.51</v>
      </c>
      <c r="I3633" t="s">
        <v>19</v>
      </c>
      <c r="J3633">
        <v>0</v>
      </c>
      <c r="K3633">
        <v>1</v>
      </c>
      <c r="L3633">
        <v>1</v>
      </c>
      <c r="M3633">
        <f>VLOOKUP(Table1[[#This Row],[subscription_type]],Plans!$A$1:$B$5,2,FALSE)</f>
        <v>9.99</v>
      </c>
      <c r="N3633">
        <f t="shared" si="56"/>
        <v>9.99</v>
      </c>
    </row>
    <row r="3634" spans="1:14" x14ac:dyDescent="0.35">
      <c r="A3634">
        <v>3633</v>
      </c>
      <c r="B3634" t="s">
        <v>20</v>
      </c>
      <c r="C3634">
        <v>30</v>
      </c>
      <c r="D3634" t="s">
        <v>25</v>
      </c>
      <c r="E3634" t="s">
        <v>14</v>
      </c>
      <c r="F3634">
        <v>154</v>
      </c>
      <c r="G3634">
        <v>33</v>
      </c>
      <c r="H3634">
        <v>0.27</v>
      </c>
      <c r="I3634" t="s">
        <v>15</v>
      </c>
      <c r="J3634">
        <v>19</v>
      </c>
      <c r="K3634">
        <v>0</v>
      </c>
      <c r="L3634">
        <v>1</v>
      </c>
      <c r="M3634">
        <f>VLOOKUP(Table1[[#This Row],[subscription_type]],Plans!$A$1:$B$5,2,FALSE)</f>
        <v>0</v>
      </c>
      <c r="N3634">
        <f t="shared" si="56"/>
        <v>0</v>
      </c>
    </row>
    <row r="3635" spans="1:14" x14ac:dyDescent="0.35">
      <c r="A3635">
        <v>3634</v>
      </c>
      <c r="B3635" t="s">
        <v>20</v>
      </c>
      <c r="C3635">
        <v>58</v>
      </c>
      <c r="D3635" t="s">
        <v>13</v>
      </c>
      <c r="E3635" t="s">
        <v>18</v>
      </c>
      <c r="F3635">
        <v>37</v>
      </c>
      <c r="G3635">
        <v>53</v>
      </c>
      <c r="H3635">
        <v>0.05</v>
      </c>
      <c r="I3635" t="s">
        <v>19</v>
      </c>
      <c r="J3635">
        <v>0</v>
      </c>
      <c r="K3635">
        <v>1</v>
      </c>
      <c r="L3635">
        <v>0</v>
      </c>
      <c r="M3635">
        <f>VLOOKUP(Table1[[#This Row],[subscription_type]],Plans!$A$1:$B$5,2,FALSE)</f>
        <v>14.99</v>
      </c>
      <c r="N3635">
        <f t="shared" si="56"/>
        <v>0</v>
      </c>
    </row>
    <row r="3636" spans="1:14" x14ac:dyDescent="0.35">
      <c r="A3636">
        <v>3635</v>
      </c>
      <c r="B3636" t="s">
        <v>16</v>
      </c>
      <c r="C3636">
        <v>54</v>
      </c>
      <c r="D3636" t="s">
        <v>29</v>
      </c>
      <c r="E3636" t="s">
        <v>24</v>
      </c>
      <c r="F3636">
        <v>22</v>
      </c>
      <c r="G3636">
        <v>98</v>
      </c>
      <c r="H3636">
        <v>0.57999999999999996</v>
      </c>
      <c r="I3636" t="s">
        <v>19</v>
      </c>
      <c r="J3636">
        <v>0</v>
      </c>
      <c r="K3636">
        <v>1</v>
      </c>
      <c r="L3636">
        <v>0</v>
      </c>
      <c r="M3636">
        <f>VLOOKUP(Table1[[#This Row],[subscription_type]],Plans!$A$1:$B$5,2,FALSE)</f>
        <v>4.99</v>
      </c>
      <c r="N3636">
        <f t="shared" si="56"/>
        <v>0</v>
      </c>
    </row>
    <row r="3637" spans="1:14" x14ac:dyDescent="0.35">
      <c r="A3637">
        <v>3636</v>
      </c>
      <c r="B3637" t="s">
        <v>20</v>
      </c>
      <c r="C3637">
        <v>27</v>
      </c>
      <c r="D3637" t="s">
        <v>13</v>
      </c>
      <c r="E3637" t="s">
        <v>18</v>
      </c>
      <c r="F3637">
        <v>54</v>
      </c>
      <c r="G3637">
        <v>18</v>
      </c>
      <c r="H3637">
        <v>0.01</v>
      </c>
      <c r="I3637" t="s">
        <v>19</v>
      </c>
      <c r="J3637">
        <v>0</v>
      </c>
      <c r="K3637">
        <v>1</v>
      </c>
      <c r="L3637">
        <v>0</v>
      </c>
      <c r="M3637">
        <f>VLOOKUP(Table1[[#This Row],[subscription_type]],Plans!$A$1:$B$5,2,FALSE)</f>
        <v>14.99</v>
      </c>
      <c r="N3637">
        <f t="shared" si="56"/>
        <v>0</v>
      </c>
    </row>
    <row r="3638" spans="1:14" x14ac:dyDescent="0.35">
      <c r="A3638">
        <v>3637</v>
      </c>
      <c r="B3638" t="s">
        <v>20</v>
      </c>
      <c r="C3638">
        <v>33</v>
      </c>
      <c r="D3638" t="s">
        <v>13</v>
      </c>
      <c r="E3638" t="s">
        <v>24</v>
      </c>
      <c r="F3638">
        <v>107</v>
      </c>
      <c r="G3638">
        <v>75</v>
      </c>
      <c r="H3638">
        <v>0.45</v>
      </c>
      <c r="I3638" t="s">
        <v>19</v>
      </c>
      <c r="J3638">
        <v>0</v>
      </c>
      <c r="K3638">
        <v>1</v>
      </c>
      <c r="L3638">
        <v>0</v>
      </c>
      <c r="M3638">
        <f>VLOOKUP(Table1[[#This Row],[subscription_type]],Plans!$A$1:$B$5,2,FALSE)</f>
        <v>4.99</v>
      </c>
      <c r="N3638">
        <f t="shared" si="56"/>
        <v>0</v>
      </c>
    </row>
    <row r="3639" spans="1:14" x14ac:dyDescent="0.35">
      <c r="A3639">
        <v>3638</v>
      </c>
      <c r="B3639" t="s">
        <v>16</v>
      </c>
      <c r="C3639">
        <v>39</v>
      </c>
      <c r="D3639" t="s">
        <v>26</v>
      </c>
      <c r="E3639" t="s">
        <v>14</v>
      </c>
      <c r="F3639">
        <v>215</v>
      </c>
      <c r="G3639">
        <v>11</v>
      </c>
      <c r="H3639">
        <v>0.52</v>
      </c>
      <c r="I3639" t="s">
        <v>23</v>
      </c>
      <c r="J3639">
        <v>23</v>
      </c>
      <c r="K3639">
        <v>0</v>
      </c>
      <c r="L3639">
        <v>1</v>
      </c>
      <c r="M3639">
        <f>VLOOKUP(Table1[[#This Row],[subscription_type]],Plans!$A$1:$B$5,2,FALSE)</f>
        <v>0</v>
      </c>
      <c r="N3639">
        <f t="shared" si="56"/>
        <v>0</v>
      </c>
    </row>
    <row r="3640" spans="1:14" x14ac:dyDescent="0.35">
      <c r="A3640">
        <v>3639</v>
      </c>
      <c r="B3640" t="s">
        <v>16</v>
      </c>
      <c r="C3640">
        <v>50</v>
      </c>
      <c r="D3640" t="s">
        <v>27</v>
      </c>
      <c r="E3640" t="s">
        <v>22</v>
      </c>
      <c r="F3640">
        <v>124</v>
      </c>
      <c r="G3640">
        <v>85</v>
      </c>
      <c r="H3640">
        <v>0.41</v>
      </c>
      <c r="I3640" t="s">
        <v>15</v>
      </c>
      <c r="J3640">
        <v>0</v>
      </c>
      <c r="K3640">
        <v>1</v>
      </c>
      <c r="L3640">
        <v>0</v>
      </c>
      <c r="M3640">
        <f>VLOOKUP(Table1[[#This Row],[subscription_type]],Plans!$A$1:$B$5,2,FALSE)</f>
        <v>9.99</v>
      </c>
      <c r="N3640">
        <f t="shared" si="56"/>
        <v>0</v>
      </c>
    </row>
    <row r="3641" spans="1:14" x14ac:dyDescent="0.35">
      <c r="A3641">
        <v>3640</v>
      </c>
      <c r="B3641" t="s">
        <v>16</v>
      </c>
      <c r="C3641">
        <v>29</v>
      </c>
      <c r="D3641" t="s">
        <v>13</v>
      </c>
      <c r="E3641" t="s">
        <v>14</v>
      </c>
      <c r="F3641">
        <v>280</v>
      </c>
      <c r="G3641">
        <v>84</v>
      </c>
      <c r="H3641">
        <v>0.51</v>
      </c>
      <c r="I3641" t="s">
        <v>23</v>
      </c>
      <c r="J3641">
        <v>46</v>
      </c>
      <c r="K3641">
        <v>0</v>
      </c>
      <c r="L3641">
        <v>0</v>
      </c>
      <c r="M3641">
        <f>VLOOKUP(Table1[[#This Row],[subscription_type]],Plans!$A$1:$B$5,2,FALSE)</f>
        <v>0</v>
      </c>
      <c r="N3641">
        <f t="shared" si="56"/>
        <v>0</v>
      </c>
    </row>
    <row r="3642" spans="1:14" x14ac:dyDescent="0.35">
      <c r="A3642">
        <v>3641</v>
      </c>
      <c r="B3642" t="s">
        <v>16</v>
      </c>
      <c r="C3642">
        <v>37</v>
      </c>
      <c r="D3642" t="s">
        <v>21</v>
      </c>
      <c r="E3642" t="s">
        <v>24</v>
      </c>
      <c r="F3642">
        <v>182</v>
      </c>
      <c r="G3642">
        <v>48</v>
      </c>
      <c r="H3642">
        <v>0.34</v>
      </c>
      <c r="I3642" t="s">
        <v>15</v>
      </c>
      <c r="J3642">
        <v>0</v>
      </c>
      <c r="K3642">
        <v>1</v>
      </c>
      <c r="L3642">
        <v>0</v>
      </c>
      <c r="M3642">
        <f>VLOOKUP(Table1[[#This Row],[subscription_type]],Plans!$A$1:$B$5,2,FALSE)</f>
        <v>4.99</v>
      </c>
      <c r="N3642">
        <f t="shared" si="56"/>
        <v>0</v>
      </c>
    </row>
    <row r="3643" spans="1:14" x14ac:dyDescent="0.35">
      <c r="A3643">
        <v>3642</v>
      </c>
      <c r="B3643" t="s">
        <v>16</v>
      </c>
      <c r="C3643">
        <v>21</v>
      </c>
      <c r="D3643" t="s">
        <v>25</v>
      </c>
      <c r="E3643" t="s">
        <v>14</v>
      </c>
      <c r="F3643">
        <v>289</v>
      </c>
      <c r="G3643">
        <v>63</v>
      </c>
      <c r="H3643">
        <v>0.2</v>
      </c>
      <c r="I3643" t="s">
        <v>19</v>
      </c>
      <c r="J3643">
        <v>35</v>
      </c>
      <c r="K3643">
        <v>0</v>
      </c>
      <c r="L3643">
        <v>0</v>
      </c>
      <c r="M3643">
        <f>VLOOKUP(Table1[[#This Row],[subscription_type]],Plans!$A$1:$B$5,2,FALSE)</f>
        <v>0</v>
      </c>
      <c r="N3643">
        <f t="shared" si="56"/>
        <v>0</v>
      </c>
    </row>
    <row r="3644" spans="1:14" x14ac:dyDescent="0.35">
      <c r="A3644">
        <v>3643</v>
      </c>
      <c r="B3644" t="s">
        <v>20</v>
      </c>
      <c r="C3644">
        <v>24</v>
      </c>
      <c r="D3644" t="s">
        <v>25</v>
      </c>
      <c r="E3644" t="s">
        <v>14</v>
      </c>
      <c r="F3644">
        <v>42</v>
      </c>
      <c r="G3644">
        <v>60</v>
      </c>
      <c r="H3644">
        <v>0.28999999999999998</v>
      </c>
      <c r="I3644" t="s">
        <v>23</v>
      </c>
      <c r="J3644">
        <v>22</v>
      </c>
      <c r="K3644">
        <v>0</v>
      </c>
      <c r="L3644">
        <v>0</v>
      </c>
      <c r="M3644">
        <f>VLOOKUP(Table1[[#This Row],[subscription_type]],Plans!$A$1:$B$5,2,FALSE)</f>
        <v>0</v>
      </c>
      <c r="N3644">
        <f t="shared" si="56"/>
        <v>0</v>
      </c>
    </row>
    <row r="3645" spans="1:14" x14ac:dyDescent="0.35">
      <c r="A3645">
        <v>3644</v>
      </c>
      <c r="B3645" t="s">
        <v>20</v>
      </c>
      <c r="C3645">
        <v>29</v>
      </c>
      <c r="D3645" t="s">
        <v>26</v>
      </c>
      <c r="E3645" t="s">
        <v>18</v>
      </c>
      <c r="F3645">
        <v>243</v>
      </c>
      <c r="G3645">
        <v>6</v>
      </c>
      <c r="H3645">
        <v>0.03</v>
      </c>
      <c r="I3645" t="s">
        <v>19</v>
      </c>
      <c r="J3645">
        <v>0</v>
      </c>
      <c r="K3645">
        <v>1</v>
      </c>
      <c r="L3645">
        <v>0</v>
      </c>
      <c r="M3645">
        <f>VLOOKUP(Table1[[#This Row],[subscription_type]],Plans!$A$1:$B$5,2,FALSE)</f>
        <v>14.99</v>
      </c>
      <c r="N3645">
        <f t="shared" si="56"/>
        <v>0</v>
      </c>
    </row>
    <row r="3646" spans="1:14" x14ac:dyDescent="0.35">
      <c r="A3646">
        <v>3645</v>
      </c>
      <c r="B3646" t="s">
        <v>20</v>
      </c>
      <c r="C3646">
        <v>16</v>
      </c>
      <c r="D3646" t="s">
        <v>25</v>
      </c>
      <c r="E3646" t="s">
        <v>14</v>
      </c>
      <c r="F3646">
        <v>173</v>
      </c>
      <c r="G3646">
        <v>65</v>
      </c>
      <c r="H3646">
        <v>0.5</v>
      </c>
      <c r="I3646" t="s">
        <v>19</v>
      </c>
      <c r="J3646">
        <v>34</v>
      </c>
      <c r="K3646">
        <v>0</v>
      </c>
      <c r="L3646">
        <v>0</v>
      </c>
      <c r="M3646">
        <f>VLOOKUP(Table1[[#This Row],[subscription_type]],Plans!$A$1:$B$5,2,FALSE)</f>
        <v>0</v>
      </c>
      <c r="N3646">
        <f t="shared" si="56"/>
        <v>0</v>
      </c>
    </row>
    <row r="3647" spans="1:14" x14ac:dyDescent="0.35">
      <c r="A3647">
        <v>3646</v>
      </c>
      <c r="B3647" t="s">
        <v>20</v>
      </c>
      <c r="C3647">
        <v>56</v>
      </c>
      <c r="D3647" t="s">
        <v>26</v>
      </c>
      <c r="E3647" t="s">
        <v>22</v>
      </c>
      <c r="F3647">
        <v>248</v>
      </c>
      <c r="G3647">
        <v>11</v>
      </c>
      <c r="H3647">
        <v>0.39</v>
      </c>
      <c r="I3647" t="s">
        <v>19</v>
      </c>
      <c r="J3647">
        <v>0</v>
      </c>
      <c r="K3647">
        <v>1</v>
      </c>
      <c r="L3647">
        <v>0</v>
      </c>
      <c r="M3647">
        <f>VLOOKUP(Table1[[#This Row],[subscription_type]],Plans!$A$1:$B$5,2,FALSE)</f>
        <v>9.99</v>
      </c>
      <c r="N3647">
        <f t="shared" si="56"/>
        <v>0</v>
      </c>
    </row>
    <row r="3648" spans="1:14" x14ac:dyDescent="0.35">
      <c r="A3648">
        <v>3647</v>
      </c>
      <c r="B3648" t="s">
        <v>20</v>
      </c>
      <c r="C3648">
        <v>36</v>
      </c>
      <c r="D3648" t="s">
        <v>28</v>
      </c>
      <c r="E3648" t="s">
        <v>22</v>
      </c>
      <c r="F3648">
        <v>237</v>
      </c>
      <c r="G3648">
        <v>48</v>
      </c>
      <c r="H3648">
        <v>0.18</v>
      </c>
      <c r="I3648" t="s">
        <v>19</v>
      </c>
      <c r="J3648">
        <v>0</v>
      </c>
      <c r="K3648">
        <v>1</v>
      </c>
      <c r="L3648">
        <v>0</v>
      </c>
      <c r="M3648">
        <f>VLOOKUP(Table1[[#This Row],[subscription_type]],Plans!$A$1:$B$5,2,FALSE)</f>
        <v>9.99</v>
      </c>
      <c r="N3648">
        <f t="shared" si="56"/>
        <v>0</v>
      </c>
    </row>
    <row r="3649" spans="1:14" x14ac:dyDescent="0.35">
      <c r="A3649">
        <v>3648</v>
      </c>
      <c r="B3649" t="s">
        <v>12</v>
      </c>
      <c r="C3649">
        <v>40</v>
      </c>
      <c r="D3649" t="s">
        <v>28</v>
      </c>
      <c r="E3649" t="s">
        <v>22</v>
      </c>
      <c r="F3649">
        <v>95</v>
      </c>
      <c r="G3649">
        <v>83</v>
      </c>
      <c r="H3649">
        <v>0.56000000000000005</v>
      </c>
      <c r="I3649" t="s">
        <v>23</v>
      </c>
      <c r="J3649">
        <v>0</v>
      </c>
      <c r="K3649">
        <v>1</v>
      </c>
      <c r="L3649">
        <v>0</v>
      </c>
      <c r="M3649">
        <f>VLOOKUP(Table1[[#This Row],[subscription_type]],Plans!$A$1:$B$5,2,FALSE)</f>
        <v>9.99</v>
      </c>
      <c r="N3649">
        <f t="shared" si="56"/>
        <v>0</v>
      </c>
    </row>
    <row r="3650" spans="1:14" x14ac:dyDescent="0.35">
      <c r="A3650">
        <v>3649</v>
      </c>
      <c r="B3650" t="s">
        <v>20</v>
      </c>
      <c r="C3650">
        <v>38</v>
      </c>
      <c r="D3650" t="s">
        <v>25</v>
      </c>
      <c r="E3650" t="s">
        <v>14</v>
      </c>
      <c r="F3650">
        <v>209</v>
      </c>
      <c r="G3650">
        <v>81</v>
      </c>
      <c r="H3650">
        <v>0.39</v>
      </c>
      <c r="I3650" t="s">
        <v>19</v>
      </c>
      <c r="J3650">
        <v>39</v>
      </c>
      <c r="K3650">
        <v>0</v>
      </c>
      <c r="L3650">
        <v>0</v>
      </c>
      <c r="M3650">
        <f>VLOOKUP(Table1[[#This Row],[subscription_type]],Plans!$A$1:$B$5,2,FALSE)</f>
        <v>0</v>
      </c>
      <c r="N3650">
        <f t="shared" ref="N3650:N3713" si="57">IF(L3650=1, M3650,0)</f>
        <v>0</v>
      </c>
    </row>
    <row r="3651" spans="1:14" x14ac:dyDescent="0.35">
      <c r="A3651">
        <v>3650</v>
      </c>
      <c r="B3651" t="s">
        <v>12</v>
      </c>
      <c r="C3651">
        <v>41</v>
      </c>
      <c r="D3651" t="s">
        <v>17</v>
      </c>
      <c r="E3651" t="s">
        <v>24</v>
      </c>
      <c r="F3651">
        <v>171</v>
      </c>
      <c r="G3651">
        <v>67</v>
      </c>
      <c r="H3651">
        <v>0.43</v>
      </c>
      <c r="I3651" t="s">
        <v>23</v>
      </c>
      <c r="J3651">
        <v>0</v>
      </c>
      <c r="K3651">
        <v>1</v>
      </c>
      <c r="L3651">
        <v>0</v>
      </c>
      <c r="M3651">
        <f>VLOOKUP(Table1[[#This Row],[subscription_type]],Plans!$A$1:$B$5,2,FALSE)</f>
        <v>4.99</v>
      </c>
      <c r="N3651">
        <f t="shared" si="57"/>
        <v>0</v>
      </c>
    </row>
    <row r="3652" spans="1:14" x14ac:dyDescent="0.35">
      <c r="A3652">
        <v>3651</v>
      </c>
      <c r="B3652" t="s">
        <v>20</v>
      </c>
      <c r="C3652">
        <v>49</v>
      </c>
      <c r="D3652" t="s">
        <v>29</v>
      </c>
      <c r="E3652" t="s">
        <v>14</v>
      </c>
      <c r="F3652">
        <v>96</v>
      </c>
      <c r="G3652">
        <v>2</v>
      </c>
      <c r="H3652">
        <v>0.28999999999999998</v>
      </c>
      <c r="I3652" t="s">
        <v>23</v>
      </c>
      <c r="J3652">
        <v>15</v>
      </c>
      <c r="K3652">
        <v>0</v>
      </c>
      <c r="L3652">
        <v>0</v>
      </c>
      <c r="M3652">
        <f>VLOOKUP(Table1[[#This Row],[subscription_type]],Plans!$A$1:$B$5,2,FALSE)</f>
        <v>0</v>
      </c>
      <c r="N3652">
        <f t="shared" si="57"/>
        <v>0</v>
      </c>
    </row>
    <row r="3653" spans="1:14" x14ac:dyDescent="0.35">
      <c r="A3653">
        <v>3652</v>
      </c>
      <c r="B3653" t="s">
        <v>20</v>
      </c>
      <c r="C3653">
        <v>26</v>
      </c>
      <c r="D3653" t="s">
        <v>17</v>
      </c>
      <c r="E3653" t="s">
        <v>18</v>
      </c>
      <c r="F3653">
        <v>227</v>
      </c>
      <c r="G3653">
        <v>1</v>
      </c>
      <c r="H3653">
        <v>0.19</v>
      </c>
      <c r="I3653" t="s">
        <v>19</v>
      </c>
      <c r="J3653">
        <v>0</v>
      </c>
      <c r="K3653">
        <v>1</v>
      </c>
      <c r="L3653">
        <v>0</v>
      </c>
      <c r="M3653">
        <f>VLOOKUP(Table1[[#This Row],[subscription_type]],Plans!$A$1:$B$5,2,FALSE)</f>
        <v>14.99</v>
      </c>
      <c r="N3653">
        <f t="shared" si="57"/>
        <v>0</v>
      </c>
    </row>
    <row r="3654" spans="1:14" x14ac:dyDescent="0.35">
      <c r="A3654">
        <v>3653</v>
      </c>
      <c r="B3654" t="s">
        <v>20</v>
      </c>
      <c r="C3654">
        <v>24</v>
      </c>
      <c r="D3654" t="s">
        <v>29</v>
      </c>
      <c r="E3654" t="s">
        <v>14</v>
      </c>
      <c r="F3654">
        <v>226</v>
      </c>
      <c r="G3654">
        <v>29</v>
      </c>
      <c r="H3654">
        <v>0.31</v>
      </c>
      <c r="I3654" t="s">
        <v>23</v>
      </c>
      <c r="J3654">
        <v>35</v>
      </c>
      <c r="K3654">
        <v>0</v>
      </c>
      <c r="L3654">
        <v>0</v>
      </c>
      <c r="M3654">
        <f>VLOOKUP(Table1[[#This Row],[subscription_type]],Plans!$A$1:$B$5,2,FALSE)</f>
        <v>0</v>
      </c>
      <c r="N3654">
        <f t="shared" si="57"/>
        <v>0</v>
      </c>
    </row>
    <row r="3655" spans="1:14" x14ac:dyDescent="0.35">
      <c r="A3655">
        <v>3654</v>
      </c>
      <c r="B3655" t="s">
        <v>12</v>
      </c>
      <c r="C3655">
        <v>29</v>
      </c>
      <c r="D3655" t="s">
        <v>17</v>
      </c>
      <c r="E3655" t="s">
        <v>24</v>
      </c>
      <c r="F3655">
        <v>102</v>
      </c>
      <c r="G3655">
        <v>67</v>
      </c>
      <c r="H3655">
        <v>0.43</v>
      </c>
      <c r="I3655" t="s">
        <v>19</v>
      </c>
      <c r="J3655">
        <v>0</v>
      </c>
      <c r="K3655">
        <v>1</v>
      </c>
      <c r="L3655">
        <v>0</v>
      </c>
      <c r="M3655">
        <f>VLOOKUP(Table1[[#This Row],[subscription_type]],Plans!$A$1:$B$5,2,FALSE)</f>
        <v>4.99</v>
      </c>
      <c r="N3655">
        <f t="shared" si="57"/>
        <v>0</v>
      </c>
    </row>
    <row r="3656" spans="1:14" x14ac:dyDescent="0.35">
      <c r="A3656">
        <v>3655</v>
      </c>
      <c r="B3656" t="s">
        <v>12</v>
      </c>
      <c r="C3656">
        <v>20</v>
      </c>
      <c r="D3656" t="s">
        <v>26</v>
      </c>
      <c r="E3656" t="s">
        <v>18</v>
      </c>
      <c r="F3656">
        <v>23</v>
      </c>
      <c r="G3656">
        <v>84</v>
      </c>
      <c r="H3656">
        <v>0.2</v>
      </c>
      <c r="I3656" t="s">
        <v>23</v>
      </c>
      <c r="J3656">
        <v>0</v>
      </c>
      <c r="K3656">
        <v>1</v>
      </c>
      <c r="L3656">
        <v>0</v>
      </c>
      <c r="M3656">
        <f>VLOOKUP(Table1[[#This Row],[subscription_type]],Plans!$A$1:$B$5,2,FALSE)</f>
        <v>14.99</v>
      </c>
      <c r="N3656">
        <f t="shared" si="57"/>
        <v>0</v>
      </c>
    </row>
    <row r="3657" spans="1:14" x14ac:dyDescent="0.35">
      <c r="A3657">
        <v>3656</v>
      </c>
      <c r="B3657" t="s">
        <v>16</v>
      </c>
      <c r="C3657">
        <v>37</v>
      </c>
      <c r="D3657" t="s">
        <v>21</v>
      </c>
      <c r="E3657" t="s">
        <v>18</v>
      </c>
      <c r="F3657">
        <v>187</v>
      </c>
      <c r="G3657">
        <v>7</v>
      </c>
      <c r="H3657">
        <v>0.28999999999999998</v>
      </c>
      <c r="I3657" t="s">
        <v>15</v>
      </c>
      <c r="J3657">
        <v>0</v>
      </c>
      <c r="K3657">
        <v>1</v>
      </c>
      <c r="L3657">
        <v>0</v>
      </c>
      <c r="M3657">
        <f>VLOOKUP(Table1[[#This Row],[subscription_type]],Plans!$A$1:$B$5,2,FALSE)</f>
        <v>14.99</v>
      </c>
      <c r="N3657">
        <f t="shared" si="57"/>
        <v>0</v>
      </c>
    </row>
    <row r="3658" spans="1:14" x14ac:dyDescent="0.35">
      <c r="A3658">
        <v>3657</v>
      </c>
      <c r="B3658" t="s">
        <v>20</v>
      </c>
      <c r="C3658">
        <v>36</v>
      </c>
      <c r="D3658" t="s">
        <v>13</v>
      </c>
      <c r="E3658" t="s">
        <v>14</v>
      </c>
      <c r="F3658">
        <v>27</v>
      </c>
      <c r="G3658">
        <v>30</v>
      </c>
      <c r="H3658">
        <v>0.12</v>
      </c>
      <c r="I3658" t="s">
        <v>23</v>
      </c>
      <c r="J3658">
        <v>20</v>
      </c>
      <c r="K3658">
        <v>0</v>
      </c>
      <c r="L3658">
        <v>0</v>
      </c>
      <c r="M3658">
        <f>VLOOKUP(Table1[[#This Row],[subscription_type]],Plans!$A$1:$B$5,2,FALSE)</f>
        <v>0</v>
      </c>
      <c r="N3658">
        <f t="shared" si="57"/>
        <v>0</v>
      </c>
    </row>
    <row r="3659" spans="1:14" x14ac:dyDescent="0.35">
      <c r="A3659">
        <v>3658</v>
      </c>
      <c r="B3659" t="s">
        <v>20</v>
      </c>
      <c r="C3659">
        <v>49</v>
      </c>
      <c r="D3659" t="s">
        <v>21</v>
      </c>
      <c r="E3659" t="s">
        <v>14</v>
      </c>
      <c r="F3659">
        <v>199</v>
      </c>
      <c r="G3659">
        <v>19</v>
      </c>
      <c r="H3659">
        <v>0.26</v>
      </c>
      <c r="I3659" t="s">
        <v>15</v>
      </c>
      <c r="J3659">
        <v>41</v>
      </c>
      <c r="K3659">
        <v>0</v>
      </c>
      <c r="L3659">
        <v>1</v>
      </c>
      <c r="M3659">
        <f>VLOOKUP(Table1[[#This Row],[subscription_type]],Plans!$A$1:$B$5,2,FALSE)</f>
        <v>0</v>
      </c>
      <c r="N3659">
        <f t="shared" si="57"/>
        <v>0</v>
      </c>
    </row>
    <row r="3660" spans="1:14" x14ac:dyDescent="0.35">
      <c r="A3660">
        <v>3659</v>
      </c>
      <c r="B3660" t="s">
        <v>16</v>
      </c>
      <c r="C3660">
        <v>39</v>
      </c>
      <c r="D3660" t="s">
        <v>13</v>
      </c>
      <c r="E3660" t="s">
        <v>24</v>
      </c>
      <c r="F3660">
        <v>23</v>
      </c>
      <c r="G3660">
        <v>97</v>
      </c>
      <c r="H3660">
        <v>0.11</v>
      </c>
      <c r="I3660" t="s">
        <v>19</v>
      </c>
      <c r="J3660">
        <v>0</v>
      </c>
      <c r="K3660">
        <v>1</v>
      </c>
      <c r="L3660">
        <v>0</v>
      </c>
      <c r="M3660">
        <f>VLOOKUP(Table1[[#This Row],[subscription_type]],Plans!$A$1:$B$5,2,FALSE)</f>
        <v>4.99</v>
      </c>
      <c r="N3660">
        <f t="shared" si="57"/>
        <v>0</v>
      </c>
    </row>
    <row r="3661" spans="1:14" x14ac:dyDescent="0.35">
      <c r="A3661">
        <v>3660</v>
      </c>
      <c r="B3661" t="s">
        <v>12</v>
      </c>
      <c r="C3661">
        <v>42</v>
      </c>
      <c r="D3661" t="s">
        <v>13</v>
      </c>
      <c r="E3661" t="s">
        <v>22</v>
      </c>
      <c r="F3661">
        <v>279</v>
      </c>
      <c r="G3661">
        <v>98</v>
      </c>
      <c r="H3661">
        <v>0.12</v>
      </c>
      <c r="I3661" t="s">
        <v>23</v>
      </c>
      <c r="J3661">
        <v>0</v>
      </c>
      <c r="K3661">
        <v>1</v>
      </c>
      <c r="L3661">
        <v>0</v>
      </c>
      <c r="M3661">
        <f>VLOOKUP(Table1[[#This Row],[subscription_type]],Plans!$A$1:$B$5,2,FALSE)</f>
        <v>9.99</v>
      </c>
      <c r="N3661">
        <f t="shared" si="57"/>
        <v>0</v>
      </c>
    </row>
    <row r="3662" spans="1:14" x14ac:dyDescent="0.35">
      <c r="A3662">
        <v>3661</v>
      </c>
      <c r="B3662" t="s">
        <v>16</v>
      </c>
      <c r="C3662">
        <v>47</v>
      </c>
      <c r="D3662" t="s">
        <v>25</v>
      </c>
      <c r="E3662" t="s">
        <v>14</v>
      </c>
      <c r="F3662">
        <v>262</v>
      </c>
      <c r="G3662">
        <v>98</v>
      </c>
      <c r="H3662">
        <v>0.05</v>
      </c>
      <c r="I3662" t="s">
        <v>15</v>
      </c>
      <c r="J3662">
        <v>33</v>
      </c>
      <c r="K3662">
        <v>0</v>
      </c>
      <c r="L3662">
        <v>0</v>
      </c>
      <c r="M3662">
        <f>VLOOKUP(Table1[[#This Row],[subscription_type]],Plans!$A$1:$B$5,2,FALSE)</f>
        <v>0</v>
      </c>
      <c r="N3662">
        <f t="shared" si="57"/>
        <v>0</v>
      </c>
    </row>
    <row r="3663" spans="1:14" x14ac:dyDescent="0.35">
      <c r="A3663">
        <v>3662</v>
      </c>
      <c r="B3663" t="s">
        <v>12</v>
      </c>
      <c r="C3663">
        <v>45</v>
      </c>
      <c r="D3663" t="s">
        <v>29</v>
      </c>
      <c r="E3663" t="s">
        <v>22</v>
      </c>
      <c r="F3663">
        <v>241</v>
      </c>
      <c r="G3663">
        <v>12</v>
      </c>
      <c r="H3663">
        <v>0</v>
      </c>
      <c r="I3663" t="s">
        <v>15</v>
      </c>
      <c r="J3663">
        <v>0</v>
      </c>
      <c r="K3663">
        <v>1</v>
      </c>
      <c r="L3663">
        <v>0</v>
      </c>
      <c r="M3663">
        <f>VLOOKUP(Table1[[#This Row],[subscription_type]],Plans!$A$1:$B$5,2,FALSE)</f>
        <v>9.99</v>
      </c>
      <c r="N3663">
        <f t="shared" si="57"/>
        <v>0</v>
      </c>
    </row>
    <row r="3664" spans="1:14" x14ac:dyDescent="0.35">
      <c r="A3664">
        <v>3663</v>
      </c>
      <c r="B3664" t="s">
        <v>16</v>
      </c>
      <c r="C3664">
        <v>42</v>
      </c>
      <c r="D3664" t="s">
        <v>28</v>
      </c>
      <c r="E3664" t="s">
        <v>24</v>
      </c>
      <c r="F3664">
        <v>170</v>
      </c>
      <c r="G3664">
        <v>39</v>
      </c>
      <c r="H3664">
        <v>0.36</v>
      </c>
      <c r="I3664" t="s">
        <v>19</v>
      </c>
      <c r="J3664">
        <v>0</v>
      </c>
      <c r="K3664">
        <v>1</v>
      </c>
      <c r="L3664">
        <v>0</v>
      </c>
      <c r="M3664">
        <f>VLOOKUP(Table1[[#This Row],[subscription_type]],Plans!$A$1:$B$5,2,FALSE)</f>
        <v>4.99</v>
      </c>
      <c r="N3664">
        <f t="shared" si="57"/>
        <v>0</v>
      </c>
    </row>
    <row r="3665" spans="1:14" x14ac:dyDescent="0.35">
      <c r="A3665">
        <v>3664</v>
      </c>
      <c r="B3665" t="s">
        <v>12</v>
      </c>
      <c r="C3665">
        <v>28</v>
      </c>
      <c r="D3665" t="s">
        <v>27</v>
      </c>
      <c r="E3665" t="s">
        <v>18</v>
      </c>
      <c r="F3665">
        <v>78</v>
      </c>
      <c r="G3665">
        <v>64</v>
      </c>
      <c r="H3665">
        <v>0.51</v>
      </c>
      <c r="I3665" t="s">
        <v>15</v>
      </c>
      <c r="J3665">
        <v>0</v>
      </c>
      <c r="K3665">
        <v>1</v>
      </c>
      <c r="L3665">
        <v>0</v>
      </c>
      <c r="M3665">
        <f>VLOOKUP(Table1[[#This Row],[subscription_type]],Plans!$A$1:$B$5,2,FALSE)</f>
        <v>14.99</v>
      </c>
      <c r="N3665">
        <f t="shared" si="57"/>
        <v>0</v>
      </c>
    </row>
    <row r="3666" spans="1:14" x14ac:dyDescent="0.35">
      <c r="A3666">
        <v>3665</v>
      </c>
      <c r="B3666" t="s">
        <v>16</v>
      </c>
      <c r="C3666">
        <v>24</v>
      </c>
      <c r="D3666" t="s">
        <v>17</v>
      </c>
      <c r="E3666" t="s">
        <v>24</v>
      </c>
      <c r="F3666">
        <v>219</v>
      </c>
      <c r="G3666">
        <v>37</v>
      </c>
      <c r="H3666">
        <v>0.39</v>
      </c>
      <c r="I3666" t="s">
        <v>15</v>
      </c>
      <c r="J3666">
        <v>0</v>
      </c>
      <c r="K3666">
        <v>1</v>
      </c>
      <c r="L3666">
        <v>0</v>
      </c>
      <c r="M3666">
        <f>VLOOKUP(Table1[[#This Row],[subscription_type]],Plans!$A$1:$B$5,2,FALSE)</f>
        <v>4.99</v>
      </c>
      <c r="N3666">
        <f t="shared" si="57"/>
        <v>0</v>
      </c>
    </row>
    <row r="3667" spans="1:14" x14ac:dyDescent="0.35">
      <c r="A3667">
        <v>3666</v>
      </c>
      <c r="B3667" t="s">
        <v>20</v>
      </c>
      <c r="C3667">
        <v>45</v>
      </c>
      <c r="D3667" t="s">
        <v>25</v>
      </c>
      <c r="E3667" t="s">
        <v>18</v>
      </c>
      <c r="F3667">
        <v>116</v>
      </c>
      <c r="G3667">
        <v>97</v>
      </c>
      <c r="H3667">
        <v>0.21</v>
      </c>
      <c r="I3667" t="s">
        <v>23</v>
      </c>
      <c r="J3667">
        <v>0</v>
      </c>
      <c r="K3667">
        <v>1</v>
      </c>
      <c r="L3667">
        <v>1</v>
      </c>
      <c r="M3667">
        <f>VLOOKUP(Table1[[#This Row],[subscription_type]],Plans!$A$1:$B$5,2,FALSE)</f>
        <v>14.99</v>
      </c>
      <c r="N3667">
        <f t="shared" si="57"/>
        <v>14.99</v>
      </c>
    </row>
    <row r="3668" spans="1:14" x14ac:dyDescent="0.35">
      <c r="A3668">
        <v>3667</v>
      </c>
      <c r="B3668" t="s">
        <v>12</v>
      </c>
      <c r="C3668">
        <v>58</v>
      </c>
      <c r="D3668" t="s">
        <v>28</v>
      </c>
      <c r="E3668" t="s">
        <v>22</v>
      </c>
      <c r="F3668">
        <v>136</v>
      </c>
      <c r="G3668">
        <v>12</v>
      </c>
      <c r="H3668">
        <v>0.36</v>
      </c>
      <c r="I3668" t="s">
        <v>15</v>
      </c>
      <c r="J3668">
        <v>0</v>
      </c>
      <c r="K3668">
        <v>1</v>
      </c>
      <c r="L3668">
        <v>0</v>
      </c>
      <c r="M3668">
        <f>VLOOKUP(Table1[[#This Row],[subscription_type]],Plans!$A$1:$B$5,2,FALSE)</f>
        <v>9.99</v>
      </c>
      <c r="N3668">
        <f t="shared" si="57"/>
        <v>0</v>
      </c>
    </row>
    <row r="3669" spans="1:14" x14ac:dyDescent="0.35">
      <c r="A3669">
        <v>3668</v>
      </c>
      <c r="B3669" t="s">
        <v>12</v>
      </c>
      <c r="C3669">
        <v>39</v>
      </c>
      <c r="D3669" t="s">
        <v>13</v>
      </c>
      <c r="E3669" t="s">
        <v>22</v>
      </c>
      <c r="F3669">
        <v>275</v>
      </c>
      <c r="G3669">
        <v>67</v>
      </c>
      <c r="H3669">
        <v>0.12</v>
      </c>
      <c r="I3669" t="s">
        <v>19</v>
      </c>
      <c r="J3669">
        <v>0</v>
      </c>
      <c r="K3669">
        <v>1</v>
      </c>
      <c r="L3669">
        <v>0</v>
      </c>
      <c r="M3669">
        <f>VLOOKUP(Table1[[#This Row],[subscription_type]],Plans!$A$1:$B$5,2,FALSE)</f>
        <v>9.99</v>
      </c>
      <c r="N3669">
        <f t="shared" si="57"/>
        <v>0</v>
      </c>
    </row>
    <row r="3670" spans="1:14" x14ac:dyDescent="0.35">
      <c r="A3670">
        <v>3669</v>
      </c>
      <c r="B3670" t="s">
        <v>12</v>
      </c>
      <c r="C3670">
        <v>41</v>
      </c>
      <c r="D3670" t="s">
        <v>13</v>
      </c>
      <c r="E3670" t="s">
        <v>14</v>
      </c>
      <c r="F3670">
        <v>234</v>
      </c>
      <c r="G3670">
        <v>7</v>
      </c>
      <c r="H3670">
        <v>0.22</v>
      </c>
      <c r="I3670" t="s">
        <v>19</v>
      </c>
      <c r="J3670">
        <v>22</v>
      </c>
      <c r="K3670">
        <v>0</v>
      </c>
      <c r="L3670">
        <v>1</v>
      </c>
      <c r="M3670">
        <f>VLOOKUP(Table1[[#This Row],[subscription_type]],Plans!$A$1:$B$5,2,FALSE)</f>
        <v>0</v>
      </c>
      <c r="N3670">
        <f t="shared" si="57"/>
        <v>0</v>
      </c>
    </row>
    <row r="3671" spans="1:14" x14ac:dyDescent="0.35">
      <c r="A3671">
        <v>3670</v>
      </c>
      <c r="B3671" t="s">
        <v>16</v>
      </c>
      <c r="C3671">
        <v>35</v>
      </c>
      <c r="D3671" t="s">
        <v>21</v>
      </c>
      <c r="E3671" t="s">
        <v>18</v>
      </c>
      <c r="F3671">
        <v>231</v>
      </c>
      <c r="G3671">
        <v>81</v>
      </c>
      <c r="H3671">
        <v>0.01</v>
      </c>
      <c r="I3671" t="s">
        <v>23</v>
      </c>
      <c r="J3671">
        <v>0</v>
      </c>
      <c r="K3671">
        <v>1</v>
      </c>
      <c r="L3671">
        <v>1</v>
      </c>
      <c r="M3671">
        <f>VLOOKUP(Table1[[#This Row],[subscription_type]],Plans!$A$1:$B$5,2,FALSE)</f>
        <v>14.99</v>
      </c>
      <c r="N3671">
        <f t="shared" si="57"/>
        <v>14.99</v>
      </c>
    </row>
    <row r="3672" spans="1:14" x14ac:dyDescent="0.35">
      <c r="A3672">
        <v>3671</v>
      </c>
      <c r="B3672" t="s">
        <v>20</v>
      </c>
      <c r="C3672">
        <v>27</v>
      </c>
      <c r="D3672" t="s">
        <v>29</v>
      </c>
      <c r="E3672" t="s">
        <v>14</v>
      </c>
      <c r="F3672">
        <v>191</v>
      </c>
      <c r="G3672">
        <v>54</v>
      </c>
      <c r="H3672">
        <v>0.51</v>
      </c>
      <c r="I3672" t="s">
        <v>23</v>
      </c>
      <c r="J3672">
        <v>36</v>
      </c>
      <c r="K3672">
        <v>0</v>
      </c>
      <c r="L3672">
        <v>0</v>
      </c>
      <c r="M3672">
        <f>VLOOKUP(Table1[[#This Row],[subscription_type]],Plans!$A$1:$B$5,2,FALSE)</f>
        <v>0</v>
      </c>
      <c r="N3672">
        <f t="shared" si="57"/>
        <v>0</v>
      </c>
    </row>
    <row r="3673" spans="1:14" x14ac:dyDescent="0.35">
      <c r="A3673">
        <v>3672</v>
      </c>
      <c r="B3673" t="s">
        <v>16</v>
      </c>
      <c r="C3673">
        <v>21</v>
      </c>
      <c r="D3673" t="s">
        <v>26</v>
      </c>
      <c r="E3673" t="s">
        <v>18</v>
      </c>
      <c r="F3673">
        <v>213</v>
      </c>
      <c r="G3673">
        <v>91</v>
      </c>
      <c r="H3673">
        <v>0.36</v>
      </c>
      <c r="I3673" t="s">
        <v>23</v>
      </c>
      <c r="J3673">
        <v>0</v>
      </c>
      <c r="K3673">
        <v>1</v>
      </c>
      <c r="L3673">
        <v>1</v>
      </c>
      <c r="M3673">
        <f>VLOOKUP(Table1[[#This Row],[subscription_type]],Plans!$A$1:$B$5,2,FALSE)</f>
        <v>14.99</v>
      </c>
      <c r="N3673">
        <f t="shared" si="57"/>
        <v>14.99</v>
      </c>
    </row>
    <row r="3674" spans="1:14" x14ac:dyDescent="0.35">
      <c r="A3674">
        <v>3673</v>
      </c>
      <c r="B3674" t="s">
        <v>12</v>
      </c>
      <c r="C3674">
        <v>19</v>
      </c>
      <c r="D3674" t="s">
        <v>25</v>
      </c>
      <c r="E3674" t="s">
        <v>22</v>
      </c>
      <c r="F3674">
        <v>93</v>
      </c>
      <c r="G3674">
        <v>57</v>
      </c>
      <c r="H3674">
        <v>0.05</v>
      </c>
      <c r="I3674" t="s">
        <v>15</v>
      </c>
      <c r="J3674">
        <v>0</v>
      </c>
      <c r="K3674">
        <v>1</v>
      </c>
      <c r="L3674">
        <v>0</v>
      </c>
      <c r="M3674">
        <f>VLOOKUP(Table1[[#This Row],[subscription_type]],Plans!$A$1:$B$5,2,FALSE)</f>
        <v>9.99</v>
      </c>
      <c r="N3674">
        <f t="shared" si="57"/>
        <v>0</v>
      </c>
    </row>
    <row r="3675" spans="1:14" x14ac:dyDescent="0.35">
      <c r="A3675">
        <v>3674</v>
      </c>
      <c r="B3675" t="s">
        <v>16</v>
      </c>
      <c r="C3675">
        <v>21</v>
      </c>
      <c r="D3675" t="s">
        <v>17</v>
      </c>
      <c r="E3675" t="s">
        <v>24</v>
      </c>
      <c r="F3675">
        <v>45</v>
      </c>
      <c r="G3675">
        <v>67</v>
      </c>
      <c r="H3675">
        <v>0.45</v>
      </c>
      <c r="I3675" t="s">
        <v>15</v>
      </c>
      <c r="J3675">
        <v>0</v>
      </c>
      <c r="K3675">
        <v>1</v>
      </c>
      <c r="L3675">
        <v>1</v>
      </c>
      <c r="M3675">
        <f>VLOOKUP(Table1[[#This Row],[subscription_type]],Plans!$A$1:$B$5,2,FALSE)</f>
        <v>4.99</v>
      </c>
      <c r="N3675">
        <f t="shared" si="57"/>
        <v>4.99</v>
      </c>
    </row>
    <row r="3676" spans="1:14" x14ac:dyDescent="0.35">
      <c r="A3676">
        <v>3675</v>
      </c>
      <c r="B3676" t="s">
        <v>16</v>
      </c>
      <c r="C3676">
        <v>51</v>
      </c>
      <c r="D3676" t="s">
        <v>25</v>
      </c>
      <c r="E3676" t="s">
        <v>24</v>
      </c>
      <c r="F3676">
        <v>79</v>
      </c>
      <c r="G3676">
        <v>98</v>
      </c>
      <c r="H3676">
        <v>0.02</v>
      </c>
      <c r="I3676" t="s">
        <v>15</v>
      </c>
      <c r="J3676">
        <v>0</v>
      </c>
      <c r="K3676">
        <v>1</v>
      </c>
      <c r="L3676">
        <v>0</v>
      </c>
      <c r="M3676">
        <f>VLOOKUP(Table1[[#This Row],[subscription_type]],Plans!$A$1:$B$5,2,FALSE)</f>
        <v>4.99</v>
      </c>
      <c r="N3676">
        <f t="shared" si="57"/>
        <v>0</v>
      </c>
    </row>
    <row r="3677" spans="1:14" x14ac:dyDescent="0.35">
      <c r="A3677">
        <v>3676</v>
      </c>
      <c r="B3677" t="s">
        <v>12</v>
      </c>
      <c r="C3677">
        <v>39</v>
      </c>
      <c r="D3677" t="s">
        <v>26</v>
      </c>
      <c r="E3677" t="s">
        <v>18</v>
      </c>
      <c r="F3677">
        <v>156</v>
      </c>
      <c r="G3677">
        <v>79</v>
      </c>
      <c r="H3677">
        <v>7.0000000000000007E-2</v>
      </c>
      <c r="I3677" t="s">
        <v>15</v>
      </c>
      <c r="J3677">
        <v>0</v>
      </c>
      <c r="K3677">
        <v>1</v>
      </c>
      <c r="L3677">
        <v>0</v>
      </c>
      <c r="M3677">
        <f>VLOOKUP(Table1[[#This Row],[subscription_type]],Plans!$A$1:$B$5,2,FALSE)</f>
        <v>14.99</v>
      </c>
      <c r="N3677">
        <f t="shared" si="57"/>
        <v>0</v>
      </c>
    </row>
    <row r="3678" spans="1:14" x14ac:dyDescent="0.35">
      <c r="A3678">
        <v>3677</v>
      </c>
      <c r="B3678" t="s">
        <v>12</v>
      </c>
      <c r="C3678">
        <v>25</v>
      </c>
      <c r="D3678" t="s">
        <v>25</v>
      </c>
      <c r="E3678" t="s">
        <v>22</v>
      </c>
      <c r="F3678">
        <v>125</v>
      </c>
      <c r="G3678">
        <v>28</v>
      </c>
      <c r="H3678">
        <v>0.11</v>
      </c>
      <c r="I3678" t="s">
        <v>15</v>
      </c>
      <c r="J3678">
        <v>0</v>
      </c>
      <c r="K3678">
        <v>1</v>
      </c>
      <c r="L3678">
        <v>0</v>
      </c>
      <c r="M3678">
        <f>VLOOKUP(Table1[[#This Row],[subscription_type]],Plans!$A$1:$B$5,2,FALSE)</f>
        <v>9.99</v>
      </c>
      <c r="N3678">
        <f t="shared" si="57"/>
        <v>0</v>
      </c>
    </row>
    <row r="3679" spans="1:14" x14ac:dyDescent="0.35">
      <c r="A3679">
        <v>3678</v>
      </c>
      <c r="B3679" t="s">
        <v>12</v>
      </c>
      <c r="C3679">
        <v>39</v>
      </c>
      <c r="D3679" t="s">
        <v>29</v>
      </c>
      <c r="E3679" t="s">
        <v>14</v>
      </c>
      <c r="F3679">
        <v>110</v>
      </c>
      <c r="G3679">
        <v>19</v>
      </c>
      <c r="H3679">
        <v>0.38</v>
      </c>
      <c r="I3679" t="s">
        <v>23</v>
      </c>
      <c r="J3679">
        <v>11</v>
      </c>
      <c r="K3679">
        <v>0</v>
      </c>
      <c r="L3679">
        <v>0</v>
      </c>
      <c r="M3679">
        <f>VLOOKUP(Table1[[#This Row],[subscription_type]],Plans!$A$1:$B$5,2,FALSE)</f>
        <v>0</v>
      </c>
      <c r="N3679">
        <f t="shared" si="57"/>
        <v>0</v>
      </c>
    </row>
    <row r="3680" spans="1:14" x14ac:dyDescent="0.35">
      <c r="A3680">
        <v>3679</v>
      </c>
      <c r="B3680" t="s">
        <v>20</v>
      </c>
      <c r="C3680">
        <v>43</v>
      </c>
      <c r="D3680" t="s">
        <v>27</v>
      </c>
      <c r="E3680" t="s">
        <v>18</v>
      </c>
      <c r="F3680">
        <v>252</v>
      </c>
      <c r="G3680">
        <v>59</v>
      </c>
      <c r="H3680">
        <v>0.06</v>
      </c>
      <c r="I3680" t="s">
        <v>23</v>
      </c>
      <c r="J3680">
        <v>0</v>
      </c>
      <c r="K3680">
        <v>1</v>
      </c>
      <c r="L3680">
        <v>0</v>
      </c>
      <c r="M3680">
        <f>VLOOKUP(Table1[[#This Row],[subscription_type]],Plans!$A$1:$B$5,2,FALSE)</f>
        <v>14.99</v>
      </c>
      <c r="N3680">
        <f t="shared" si="57"/>
        <v>0</v>
      </c>
    </row>
    <row r="3681" spans="1:14" x14ac:dyDescent="0.35">
      <c r="A3681">
        <v>3680</v>
      </c>
      <c r="B3681" t="s">
        <v>12</v>
      </c>
      <c r="C3681">
        <v>19</v>
      </c>
      <c r="D3681" t="s">
        <v>29</v>
      </c>
      <c r="E3681" t="s">
        <v>14</v>
      </c>
      <c r="F3681">
        <v>16</v>
      </c>
      <c r="G3681">
        <v>29</v>
      </c>
      <c r="H3681">
        <v>0.1</v>
      </c>
      <c r="I3681" t="s">
        <v>23</v>
      </c>
      <c r="J3681">
        <v>26</v>
      </c>
      <c r="K3681">
        <v>0</v>
      </c>
      <c r="L3681">
        <v>0</v>
      </c>
      <c r="M3681">
        <f>VLOOKUP(Table1[[#This Row],[subscription_type]],Plans!$A$1:$B$5,2,FALSE)</f>
        <v>0</v>
      </c>
      <c r="N3681">
        <f t="shared" si="57"/>
        <v>0</v>
      </c>
    </row>
    <row r="3682" spans="1:14" x14ac:dyDescent="0.35">
      <c r="A3682">
        <v>3681</v>
      </c>
      <c r="B3682" t="s">
        <v>20</v>
      </c>
      <c r="C3682">
        <v>30</v>
      </c>
      <c r="D3682" t="s">
        <v>17</v>
      </c>
      <c r="E3682" t="s">
        <v>18</v>
      </c>
      <c r="F3682">
        <v>116</v>
      </c>
      <c r="G3682">
        <v>71</v>
      </c>
      <c r="H3682">
        <v>0.15</v>
      </c>
      <c r="I3682" t="s">
        <v>15</v>
      </c>
      <c r="J3682">
        <v>0</v>
      </c>
      <c r="K3682">
        <v>1</v>
      </c>
      <c r="L3682">
        <v>0</v>
      </c>
      <c r="M3682">
        <f>VLOOKUP(Table1[[#This Row],[subscription_type]],Plans!$A$1:$B$5,2,FALSE)</f>
        <v>14.99</v>
      </c>
      <c r="N3682">
        <f t="shared" si="57"/>
        <v>0</v>
      </c>
    </row>
    <row r="3683" spans="1:14" x14ac:dyDescent="0.35">
      <c r="A3683">
        <v>3682</v>
      </c>
      <c r="B3683" t="s">
        <v>20</v>
      </c>
      <c r="C3683">
        <v>55</v>
      </c>
      <c r="D3683" t="s">
        <v>17</v>
      </c>
      <c r="E3683" t="s">
        <v>24</v>
      </c>
      <c r="F3683">
        <v>93</v>
      </c>
      <c r="G3683">
        <v>85</v>
      </c>
      <c r="H3683">
        <v>0.4</v>
      </c>
      <c r="I3683" t="s">
        <v>19</v>
      </c>
      <c r="J3683">
        <v>0</v>
      </c>
      <c r="K3683">
        <v>1</v>
      </c>
      <c r="L3683">
        <v>1</v>
      </c>
      <c r="M3683">
        <f>VLOOKUP(Table1[[#This Row],[subscription_type]],Plans!$A$1:$B$5,2,FALSE)</f>
        <v>4.99</v>
      </c>
      <c r="N3683">
        <f t="shared" si="57"/>
        <v>4.99</v>
      </c>
    </row>
    <row r="3684" spans="1:14" x14ac:dyDescent="0.35">
      <c r="A3684">
        <v>3683</v>
      </c>
      <c r="B3684" t="s">
        <v>16</v>
      </c>
      <c r="C3684">
        <v>46</v>
      </c>
      <c r="D3684" t="s">
        <v>29</v>
      </c>
      <c r="E3684" t="s">
        <v>24</v>
      </c>
      <c r="F3684">
        <v>64</v>
      </c>
      <c r="G3684">
        <v>83</v>
      </c>
      <c r="H3684">
        <v>0.16</v>
      </c>
      <c r="I3684" t="s">
        <v>19</v>
      </c>
      <c r="J3684">
        <v>0</v>
      </c>
      <c r="K3684">
        <v>1</v>
      </c>
      <c r="L3684">
        <v>1</v>
      </c>
      <c r="M3684">
        <f>VLOOKUP(Table1[[#This Row],[subscription_type]],Plans!$A$1:$B$5,2,FALSE)</f>
        <v>4.99</v>
      </c>
      <c r="N3684">
        <f t="shared" si="57"/>
        <v>4.99</v>
      </c>
    </row>
    <row r="3685" spans="1:14" x14ac:dyDescent="0.35">
      <c r="A3685">
        <v>3684</v>
      </c>
      <c r="B3685" t="s">
        <v>12</v>
      </c>
      <c r="C3685">
        <v>23</v>
      </c>
      <c r="D3685" t="s">
        <v>25</v>
      </c>
      <c r="E3685" t="s">
        <v>22</v>
      </c>
      <c r="F3685">
        <v>97</v>
      </c>
      <c r="G3685">
        <v>24</v>
      </c>
      <c r="H3685">
        <v>0.25</v>
      </c>
      <c r="I3685" t="s">
        <v>23</v>
      </c>
      <c r="J3685">
        <v>0</v>
      </c>
      <c r="K3685">
        <v>1</v>
      </c>
      <c r="L3685">
        <v>0</v>
      </c>
      <c r="M3685">
        <f>VLOOKUP(Table1[[#This Row],[subscription_type]],Plans!$A$1:$B$5,2,FALSE)</f>
        <v>9.99</v>
      </c>
      <c r="N3685">
        <f t="shared" si="57"/>
        <v>0</v>
      </c>
    </row>
    <row r="3686" spans="1:14" x14ac:dyDescent="0.35">
      <c r="A3686">
        <v>3685</v>
      </c>
      <c r="B3686" t="s">
        <v>20</v>
      </c>
      <c r="C3686">
        <v>33</v>
      </c>
      <c r="D3686" t="s">
        <v>17</v>
      </c>
      <c r="E3686" t="s">
        <v>14</v>
      </c>
      <c r="F3686">
        <v>274</v>
      </c>
      <c r="G3686">
        <v>68</v>
      </c>
      <c r="H3686">
        <v>0.24</v>
      </c>
      <c r="I3686" t="s">
        <v>19</v>
      </c>
      <c r="J3686">
        <v>24</v>
      </c>
      <c r="K3686">
        <v>0</v>
      </c>
      <c r="L3686">
        <v>0</v>
      </c>
      <c r="M3686">
        <f>VLOOKUP(Table1[[#This Row],[subscription_type]],Plans!$A$1:$B$5,2,FALSE)</f>
        <v>0</v>
      </c>
      <c r="N3686">
        <f t="shared" si="57"/>
        <v>0</v>
      </c>
    </row>
    <row r="3687" spans="1:14" x14ac:dyDescent="0.35">
      <c r="A3687">
        <v>3686</v>
      </c>
      <c r="B3687" t="s">
        <v>20</v>
      </c>
      <c r="C3687">
        <v>18</v>
      </c>
      <c r="D3687" t="s">
        <v>29</v>
      </c>
      <c r="E3687" t="s">
        <v>24</v>
      </c>
      <c r="F3687">
        <v>237</v>
      </c>
      <c r="G3687">
        <v>63</v>
      </c>
      <c r="H3687">
        <v>0.1</v>
      </c>
      <c r="I3687" t="s">
        <v>15</v>
      </c>
      <c r="J3687">
        <v>0</v>
      </c>
      <c r="K3687">
        <v>1</v>
      </c>
      <c r="L3687">
        <v>0</v>
      </c>
      <c r="M3687">
        <f>VLOOKUP(Table1[[#This Row],[subscription_type]],Plans!$A$1:$B$5,2,FALSE)</f>
        <v>4.99</v>
      </c>
      <c r="N3687">
        <f t="shared" si="57"/>
        <v>0</v>
      </c>
    </row>
    <row r="3688" spans="1:14" x14ac:dyDescent="0.35">
      <c r="A3688">
        <v>3687</v>
      </c>
      <c r="B3688" t="s">
        <v>20</v>
      </c>
      <c r="C3688">
        <v>47</v>
      </c>
      <c r="D3688" t="s">
        <v>26</v>
      </c>
      <c r="E3688" t="s">
        <v>22</v>
      </c>
      <c r="F3688">
        <v>184</v>
      </c>
      <c r="G3688">
        <v>55</v>
      </c>
      <c r="H3688">
        <v>0.01</v>
      </c>
      <c r="I3688" t="s">
        <v>23</v>
      </c>
      <c r="J3688">
        <v>0</v>
      </c>
      <c r="K3688">
        <v>1</v>
      </c>
      <c r="L3688">
        <v>1</v>
      </c>
      <c r="M3688">
        <f>VLOOKUP(Table1[[#This Row],[subscription_type]],Plans!$A$1:$B$5,2,FALSE)</f>
        <v>9.99</v>
      </c>
      <c r="N3688">
        <f t="shared" si="57"/>
        <v>9.99</v>
      </c>
    </row>
    <row r="3689" spans="1:14" x14ac:dyDescent="0.35">
      <c r="A3689">
        <v>3688</v>
      </c>
      <c r="B3689" t="s">
        <v>12</v>
      </c>
      <c r="C3689">
        <v>51</v>
      </c>
      <c r="D3689" t="s">
        <v>29</v>
      </c>
      <c r="E3689" t="s">
        <v>22</v>
      </c>
      <c r="F3689">
        <v>199</v>
      </c>
      <c r="G3689">
        <v>13</v>
      </c>
      <c r="H3689">
        <v>0.02</v>
      </c>
      <c r="I3689" t="s">
        <v>23</v>
      </c>
      <c r="J3689">
        <v>0</v>
      </c>
      <c r="K3689">
        <v>1</v>
      </c>
      <c r="L3689">
        <v>0</v>
      </c>
      <c r="M3689">
        <f>VLOOKUP(Table1[[#This Row],[subscription_type]],Plans!$A$1:$B$5,2,FALSE)</f>
        <v>9.99</v>
      </c>
      <c r="N3689">
        <f t="shared" si="57"/>
        <v>0</v>
      </c>
    </row>
    <row r="3690" spans="1:14" x14ac:dyDescent="0.35">
      <c r="A3690">
        <v>3689</v>
      </c>
      <c r="B3690" t="s">
        <v>16</v>
      </c>
      <c r="C3690">
        <v>16</v>
      </c>
      <c r="D3690" t="s">
        <v>28</v>
      </c>
      <c r="E3690" t="s">
        <v>22</v>
      </c>
      <c r="F3690">
        <v>72</v>
      </c>
      <c r="G3690">
        <v>4</v>
      </c>
      <c r="H3690">
        <v>0.16</v>
      </c>
      <c r="I3690" t="s">
        <v>23</v>
      </c>
      <c r="J3690">
        <v>0</v>
      </c>
      <c r="K3690">
        <v>1</v>
      </c>
      <c r="L3690">
        <v>0</v>
      </c>
      <c r="M3690">
        <f>VLOOKUP(Table1[[#This Row],[subscription_type]],Plans!$A$1:$B$5,2,FALSE)</f>
        <v>9.99</v>
      </c>
      <c r="N3690">
        <f t="shared" si="57"/>
        <v>0</v>
      </c>
    </row>
    <row r="3691" spans="1:14" x14ac:dyDescent="0.35">
      <c r="A3691">
        <v>3690</v>
      </c>
      <c r="B3691" t="s">
        <v>12</v>
      </c>
      <c r="C3691">
        <v>53</v>
      </c>
      <c r="D3691" t="s">
        <v>13</v>
      </c>
      <c r="E3691" t="s">
        <v>24</v>
      </c>
      <c r="F3691">
        <v>16</v>
      </c>
      <c r="G3691">
        <v>79</v>
      </c>
      <c r="H3691">
        <v>0.44</v>
      </c>
      <c r="I3691" t="s">
        <v>15</v>
      </c>
      <c r="J3691">
        <v>0</v>
      </c>
      <c r="K3691">
        <v>1</v>
      </c>
      <c r="L3691">
        <v>1</v>
      </c>
      <c r="M3691">
        <f>VLOOKUP(Table1[[#This Row],[subscription_type]],Plans!$A$1:$B$5,2,FALSE)</f>
        <v>4.99</v>
      </c>
      <c r="N3691">
        <f t="shared" si="57"/>
        <v>4.99</v>
      </c>
    </row>
    <row r="3692" spans="1:14" x14ac:dyDescent="0.35">
      <c r="A3692">
        <v>3691</v>
      </c>
      <c r="B3692" t="s">
        <v>20</v>
      </c>
      <c r="C3692">
        <v>19</v>
      </c>
      <c r="D3692" t="s">
        <v>17</v>
      </c>
      <c r="E3692" t="s">
        <v>24</v>
      </c>
      <c r="F3692">
        <v>42</v>
      </c>
      <c r="G3692">
        <v>30</v>
      </c>
      <c r="H3692">
        <v>0.21</v>
      </c>
      <c r="I3692" t="s">
        <v>19</v>
      </c>
      <c r="J3692">
        <v>0</v>
      </c>
      <c r="K3692">
        <v>1</v>
      </c>
      <c r="L3692">
        <v>0</v>
      </c>
      <c r="M3692">
        <f>VLOOKUP(Table1[[#This Row],[subscription_type]],Plans!$A$1:$B$5,2,FALSE)</f>
        <v>4.99</v>
      </c>
      <c r="N3692">
        <f t="shared" si="57"/>
        <v>0</v>
      </c>
    </row>
    <row r="3693" spans="1:14" x14ac:dyDescent="0.35">
      <c r="A3693">
        <v>3692</v>
      </c>
      <c r="B3693" t="s">
        <v>20</v>
      </c>
      <c r="C3693">
        <v>47</v>
      </c>
      <c r="D3693" t="s">
        <v>29</v>
      </c>
      <c r="E3693" t="s">
        <v>18</v>
      </c>
      <c r="F3693">
        <v>119</v>
      </c>
      <c r="G3693">
        <v>33</v>
      </c>
      <c r="H3693">
        <v>0.32</v>
      </c>
      <c r="I3693" t="s">
        <v>19</v>
      </c>
      <c r="J3693">
        <v>0</v>
      </c>
      <c r="K3693">
        <v>1</v>
      </c>
      <c r="L3693">
        <v>0</v>
      </c>
      <c r="M3693">
        <f>VLOOKUP(Table1[[#This Row],[subscription_type]],Plans!$A$1:$B$5,2,FALSE)</f>
        <v>14.99</v>
      </c>
      <c r="N3693">
        <f t="shared" si="57"/>
        <v>0</v>
      </c>
    </row>
    <row r="3694" spans="1:14" x14ac:dyDescent="0.35">
      <c r="A3694">
        <v>3693</v>
      </c>
      <c r="B3694" t="s">
        <v>12</v>
      </c>
      <c r="C3694">
        <v>53</v>
      </c>
      <c r="D3694" t="s">
        <v>25</v>
      </c>
      <c r="E3694" t="s">
        <v>22</v>
      </c>
      <c r="F3694">
        <v>153</v>
      </c>
      <c r="G3694">
        <v>84</v>
      </c>
      <c r="H3694">
        <v>0.18</v>
      </c>
      <c r="I3694" t="s">
        <v>15</v>
      </c>
      <c r="J3694">
        <v>0</v>
      </c>
      <c r="K3694">
        <v>1</v>
      </c>
      <c r="L3694">
        <v>0</v>
      </c>
      <c r="M3694">
        <f>VLOOKUP(Table1[[#This Row],[subscription_type]],Plans!$A$1:$B$5,2,FALSE)</f>
        <v>9.99</v>
      </c>
      <c r="N3694">
        <f t="shared" si="57"/>
        <v>0</v>
      </c>
    </row>
    <row r="3695" spans="1:14" x14ac:dyDescent="0.35">
      <c r="A3695">
        <v>3694</v>
      </c>
      <c r="B3695" t="s">
        <v>16</v>
      </c>
      <c r="C3695">
        <v>58</v>
      </c>
      <c r="D3695" t="s">
        <v>27</v>
      </c>
      <c r="E3695" t="s">
        <v>14</v>
      </c>
      <c r="F3695">
        <v>36</v>
      </c>
      <c r="G3695">
        <v>53</v>
      </c>
      <c r="H3695">
        <v>0.44</v>
      </c>
      <c r="I3695" t="s">
        <v>15</v>
      </c>
      <c r="J3695">
        <v>28</v>
      </c>
      <c r="K3695">
        <v>0</v>
      </c>
      <c r="L3695">
        <v>0</v>
      </c>
      <c r="M3695">
        <f>VLOOKUP(Table1[[#This Row],[subscription_type]],Plans!$A$1:$B$5,2,FALSE)</f>
        <v>0</v>
      </c>
      <c r="N3695">
        <f t="shared" si="57"/>
        <v>0</v>
      </c>
    </row>
    <row r="3696" spans="1:14" x14ac:dyDescent="0.35">
      <c r="A3696">
        <v>3695</v>
      </c>
      <c r="B3696" t="s">
        <v>12</v>
      </c>
      <c r="C3696">
        <v>26</v>
      </c>
      <c r="D3696" t="s">
        <v>21</v>
      </c>
      <c r="E3696" t="s">
        <v>18</v>
      </c>
      <c r="F3696">
        <v>199</v>
      </c>
      <c r="G3696">
        <v>20</v>
      </c>
      <c r="H3696">
        <v>0.55000000000000004</v>
      </c>
      <c r="I3696" t="s">
        <v>15</v>
      </c>
      <c r="J3696">
        <v>0</v>
      </c>
      <c r="K3696">
        <v>1</v>
      </c>
      <c r="L3696">
        <v>1</v>
      </c>
      <c r="M3696">
        <f>VLOOKUP(Table1[[#This Row],[subscription_type]],Plans!$A$1:$B$5,2,FALSE)</f>
        <v>14.99</v>
      </c>
      <c r="N3696">
        <f t="shared" si="57"/>
        <v>14.99</v>
      </c>
    </row>
    <row r="3697" spans="1:14" x14ac:dyDescent="0.35">
      <c r="A3697">
        <v>3696</v>
      </c>
      <c r="B3697" t="s">
        <v>16</v>
      </c>
      <c r="C3697">
        <v>29</v>
      </c>
      <c r="D3697" t="s">
        <v>26</v>
      </c>
      <c r="E3697" t="s">
        <v>24</v>
      </c>
      <c r="F3697">
        <v>50</v>
      </c>
      <c r="G3697">
        <v>5</v>
      </c>
      <c r="H3697">
        <v>0.26</v>
      </c>
      <c r="I3697" t="s">
        <v>23</v>
      </c>
      <c r="J3697">
        <v>0</v>
      </c>
      <c r="K3697">
        <v>1</v>
      </c>
      <c r="L3697">
        <v>0</v>
      </c>
      <c r="M3697">
        <f>VLOOKUP(Table1[[#This Row],[subscription_type]],Plans!$A$1:$B$5,2,FALSE)</f>
        <v>4.99</v>
      </c>
      <c r="N3697">
        <f t="shared" si="57"/>
        <v>0</v>
      </c>
    </row>
    <row r="3698" spans="1:14" x14ac:dyDescent="0.35">
      <c r="A3698">
        <v>3697</v>
      </c>
      <c r="B3698" t="s">
        <v>20</v>
      </c>
      <c r="C3698">
        <v>57</v>
      </c>
      <c r="D3698" t="s">
        <v>17</v>
      </c>
      <c r="E3698" t="s">
        <v>22</v>
      </c>
      <c r="F3698">
        <v>171</v>
      </c>
      <c r="G3698">
        <v>46</v>
      </c>
      <c r="H3698">
        <v>0.56999999999999995</v>
      </c>
      <c r="I3698" t="s">
        <v>19</v>
      </c>
      <c r="J3698">
        <v>0</v>
      </c>
      <c r="K3698">
        <v>1</v>
      </c>
      <c r="L3698">
        <v>0</v>
      </c>
      <c r="M3698">
        <f>VLOOKUP(Table1[[#This Row],[subscription_type]],Plans!$A$1:$B$5,2,FALSE)</f>
        <v>9.99</v>
      </c>
      <c r="N3698">
        <f t="shared" si="57"/>
        <v>0</v>
      </c>
    </row>
    <row r="3699" spans="1:14" x14ac:dyDescent="0.35">
      <c r="A3699">
        <v>3698</v>
      </c>
      <c r="B3699" t="s">
        <v>12</v>
      </c>
      <c r="C3699">
        <v>58</v>
      </c>
      <c r="D3699" t="s">
        <v>21</v>
      </c>
      <c r="E3699" t="s">
        <v>24</v>
      </c>
      <c r="F3699">
        <v>26</v>
      </c>
      <c r="G3699">
        <v>99</v>
      </c>
      <c r="H3699">
        <v>0.3</v>
      </c>
      <c r="I3699" t="s">
        <v>15</v>
      </c>
      <c r="J3699">
        <v>0</v>
      </c>
      <c r="K3699">
        <v>1</v>
      </c>
      <c r="L3699">
        <v>0</v>
      </c>
      <c r="M3699">
        <f>VLOOKUP(Table1[[#This Row],[subscription_type]],Plans!$A$1:$B$5,2,FALSE)</f>
        <v>4.99</v>
      </c>
      <c r="N3699">
        <f t="shared" si="57"/>
        <v>0</v>
      </c>
    </row>
    <row r="3700" spans="1:14" x14ac:dyDescent="0.35">
      <c r="A3700">
        <v>3699</v>
      </c>
      <c r="B3700" t="s">
        <v>16</v>
      </c>
      <c r="C3700">
        <v>54</v>
      </c>
      <c r="D3700" t="s">
        <v>21</v>
      </c>
      <c r="E3700" t="s">
        <v>22</v>
      </c>
      <c r="F3700">
        <v>229</v>
      </c>
      <c r="G3700">
        <v>81</v>
      </c>
      <c r="H3700">
        <v>0.59</v>
      </c>
      <c r="I3700" t="s">
        <v>19</v>
      </c>
      <c r="J3700">
        <v>0</v>
      </c>
      <c r="K3700">
        <v>1</v>
      </c>
      <c r="L3700">
        <v>0</v>
      </c>
      <c r="M3700">
        <f>VLOOKUP(Table1[[#This Row],[subscription_type]],Plans!$A$1:$B$5,2,FALSE)</f>
        <v>9.99</v>
      </c>
      <c r="N3700">
        <f t="shared" si="57"/>
        <v>0</v>
      </c>
    </row>
    <row r="3701" spans="1:14" x14ac:dyDescent="0.35">
      <c r="A3701">
        <v>3700</v>
      </c>
      <c r="B3701" t="s">
        <v>12</v>
      </c>
      <c r="C3701">
        <v>23</v>
      </c>
      <c r="D3701" t="s">
        <v>21</v>
      </c>
      <c r="E3701" t="s">
        <v>18</v>
      </c>
      <c r="F3701">
        <v>103</v>
      </c>
      <c r="G3701">
        <v>35</v>
      </c>
      <c r="H3701">
        <v>0.39</v>
      </c>
      <c r="I3701" t="s">
        <v>19</v>
      </c>
      <c r="J3701">
        <v>0</v>
      </c>
      <c r="K3701">
        <v>1</v>
      </c>
      <c r="L3701">
        <v>0</v>
      </c>
      <c r="M3701">
        <f>VLOOKUP(Table1[[#This Row],[subscription_type]],Plans!$A$1:$B$5,2,FALSE)</f>
        <v>14.99</v>
      </c>
      <c r="N3701">
        <f t="shared" si="57"/>
        <v>0</v>
      </c>
    </row>
    <row r="3702" spans="1:14" x14ac:dyDescent="0.35">
      <c r="A3702">
        <v>3701</v>
      </c>
      <c r="B3702" t="s">
        <v>20</v>
      </c>
      <c r="C3702">
        <v>36</v>
      </c>
      <c r="D3702" t="s">
        <v>28</v>
      </c>
      <c r="E3702" t="s">
        <v>14</v>
      </c>
      <c r="F3702">
        <v>210</v>
      </c>
      <c r="G3702">
        <v>25</v>
      </c>
      <c r="H3702">
        <v>0.17</v>
      </c>
      <c r="I3702" t="s">
        <v>15</v>
      </c>
      <c r="J3702">
        <v>46</v>
      </c>
      <c r="K3702">
        <v>0</v>
      </c>
      <c r="L3702">
        <v>1</v>
      </c>
      <c r="M3702">
        <f>VLOOKUP(Table1[[#This Row],[subscription_type]],Plans!$A$1:$B$5,2,FALSE)</f>
        <v>0</v>
      </c>
      <c r="N3702">
        <f t="shared" si="57"/>
        <v>0</v>
      </c>
    </row>
    <row r="3703" spans="1:14" x14ac:dyDescent="0.35">
      <c r="A3703">
        <v>3702</v>
      </c>
      <c r="B3703" t="s">
        <v>12</v>
      </c>
      <c r="C3703">
        <v>48</v>
      </c>
      <c r="D3703" t="s">
        <v>17</v>
      </c>
      <c r="E3703" t="s">
        <v>14</v>
      </c>
      <c r="F3703">
        <v>267</v>
      </c>
      <c r="G3703">
        <v>50</v>
      </c>
      <c r="H3703">
        <v>0.59</v>
      </c>
      <c r="I3703" t="s">
        <v>15</v>
      </c>
      <c r="J3703">
        <v>14</v>
      </c>
      <c r="K3703">
        <v>0</v>
      </c>
      <c r="L3703">
        <v>0</v>
      </c>
      <c r="M3703">
        <f>VLOOKUP(Table1[[#This Row],[subscription_type]],Plans!$A$1:$B$5,2,FALSE)</f>
        <v>0</v>
      </c>
      <c r="N3703">
        <f t="shared" si="57"/>
        <v>0</v>
      </c>
    </row>
    <row r="3704" spans="1:14" x14ac:dyDescent="0.35">
      <c r="A3704">
        <v>3703</v>
      </c>
      <c r="B3704" t="s">
        <v>12</v>
      </c>
      <c r="C3704">
        <v>49</v>
      </c>
      <c r="D3704" t="s">
        <v>21</v>
      </c>
      <c r="E3704" t="s">
        <v>18</v>
      </c>
      <c r="F3704">
        <v>283</v>
      </c>
      <c r="G3704">
        <v>8</v>
      </c>
      <c r="H3704">
        <v>0.38</v>
      </c>
      <c r="I3704" t="s">
        <v>15</v>
      </c>
      <c r="J3704">
        <v>0</v>
      </c>
      <c r="K3704">
        <v>1</v>
      </c>
      <c r="L3704">
        <v>0</v>
      </c>
      <c r="M3704">
        <f>VLOOKUP(Table1[[#This Row],[subscription_type]],Plans!$A$1:$B$5,2,FALSE)</f>
        <v>14.99</v>
      </c>
      <c r="N3704">
        <f t="shared" si="57"/>
        <v>0</v>
      </c>
    </row>
    <row r="3705" spans="1:14" x14ac:dyDescent="0.35">
      <c r="A3705">
        <v>3704</v>
      </c>
      <c r="B3705" t="s">
        <v>12</v>
      </c>
      <c r="C3705">
        <v>34</v>
      </c>
      <c r="D3705" t="s">
        <v>13</v>
      </c>
      <c r="E3705" t="s">
        <v>22</v>
      </c>
      <c r="F3705">
        <v>156</v>
      </c>
      <c r="G3705">
        <v>52</v>
      </c>
      <c r="H3705">
        <v>0.2</v>
      </c>
      <c r="I3705" t="s">
        <v>15</v>
      </c>
      <c r="J3705">
        <v>0</v>
      </c>
      <c r="K3705">
        <v>1</v>
      </c>
      <c r="L3705">
        <v>0</v>
      </c>
      <c r="M3705">
        <f>VLOOKUP(Table1[[#This Row],[subscription_type]],Plans!$A$1:$B$5,2,FALSE)</f>
        <v>9.99</v>
      </c>
      <c r="N3705">
        <f t="shared" si="57"/>
        <v>0</v>
      </c>
    </row>
    <row r="3706" spans="1:14" x14ac:dyDescent="0.35">
      <c r="A3706">
        <v>3705</v>
      </c>
      <c r="B3706" t="s">
        <v>12</v>
      </c>
      <c r="C3706">
        <v>43</v>
      </c>
      <c r="D3706" t="s">
        <v>29</v>
      </c>
      <c r="E3706" t="s">
        <v>14</v>
      </c>
      <c r="F3706">
        <v>277</v>
      </c>
      <c r="G3706">
        <v>9</v>
      </c>
      <c r="H3706">
        <v>0.48</v>
      </c>
      <c r="I3706" t="s">
        <v>19</v>
      </c>
      <c r="J3706">
        <v>14</v>
      </c>
      <c r="K3706">
        <v>0</v>
      </c>
      <c r="L3706">
        <v>0</v>
      </c>
      <c r="M3706">
        <f>VLOOKUP(Table1[[#This Row],[subscription_type]],Plans!$A$1:$B$5,2,FALSE)</f>
        <v>0</v>
      </c>
      <c r="N3706">
        <f t="shared" si="57"/>
        <v>0</v>
      </c>
    </row>
    <row r="3707" spans="1:14" x14ac:dyDescent="0.35">
      <c r="A3707">
        <v>3706</v>
      </c>
      <c r="B3707" t="s">
        <v>12</v>
      </c>
      <c r="C3707">
        <v>17</v>
      </c>
      <c r="D3707" t="s">
        <v>29</v>
      </c>
      <c r="E3707" t="s">
        <v>18</v>
      </c>
      <c r="F3707">
        <v>250</v>
      </c>
      <c r="G3707">
        <v>39</v>
      </c>
      <c r="H3707">
        <v>0.03</v>
      </c>
      <c r="I3707" t="s">
        <v>23</v>
      </c>
      <c r="J3707">
        <v>0</v>
      </c>
      <c r="K3707">
        <v>1</v>
      </c>
      <c r="L3707">
        <v>0</v>
      </c>
      <c r="M3707">
        <f>VLOOKUP(Table1[[#This Row],[subscription_type]],Plans!$A$1:$B$5,2,FALSE)</f>
        <v>14.99</v>
      </c>
      <c r="N3707">
        <f t="shared" si="57"/>
        <v>0</v>
      </c>
    </row>
    <row r="3708" spans="1:14" x14ac:dyDescent="0.35">
      <c r="A3708">
        <v>3707</v>
      </c>
      <c r="B3708" t="s">
        <v>12</v>
      </c>
      <c r="C3708">
        <v>53</v>
      </c>
      <c r="D3708" t="s">
        <v>21</v>
      </c>
      <c r="E3708" t="s">
        <v>24</v>
      </c>
      <c r="F3708">
        <v>187</v>
      </c>
      <c r="G3708">
        <v>38</v>
      </c>
      <c r="H3708">
        <v>0.04</v>
      </c>
      <c r="I3708" t="s">
        <v>23</v>
      </c>
      <c r="J3708">
        <v>0</v>
      </c>
      <c r="K3708">
        <v>1</v>
      </c>
      <c r="L3708">
        <v>0</v>
      </c>
      <c r="M3708">
        <f>VLOOKUP(Table1[[#This Row],[subscription_type]],Plans!$A$1:$B$5,2,FALSE)</f>
        <v>4.99</v>
      </c>
      <c r="N3708">
        <f t="shared" si="57"/>
        <v>0</v>
      </c>
    </row>
    <row r="3709" spans="1:14" x14ac:dyDescent="0.35">
      <c r="A3709">
        <v>3708</v>
      </c>
      <c r="B3709" t="s">
        <v>20</v>
      </c>
      <c r="C3709">
        <v>19</v>
      </c>
      <c r="D3709" t="s">
        <v>29</v>
      </c>
      <c r="E3709" t="s">
        <v>24</v>
      </c>
      <c r="F3709">
        <v>161</v>
      </c>
      <c r="G3709">
        <v>69</v>
      </c>
      <c r="H3709">
        <v>0.34</v>
      </c>
      <c r="I3709" t="s">
        <v>23</v>
      </c>
      <c r="J3709">
        <v>0</v>
      </c>
      <c r="K3709">
        <v>1</v>
      </c>
      <c r="L3709">
        <v>0</v>
      </c>
      <c r="M3709">
        <f>VLOOKUP(Table1[[#This Row],[subscription_type]],Plans!$A$1:$B$5,2,FALSE)</f>
        <v>4.99</v>
      </c>
      <c r="N3709">
        <f t="shared" si="57"/>
        <v>0</v>
      </c>
    </row>
    <row r="3710" spans="1:14" x14ac:dyDescent="0.35">
      <c r="A3710">
        <v>3709</v>
      </c>
      <c r="B3710" t="s">
        <v>16</v>
      </c>
      <c r="C3710">
        <v>29</v>
      </c>
      <c r="D3710" t="s">
        <v>13</v>
      </c>
      <c r="E3710" t="s">
        <v>14</v>
      </c>
      <c r="F3710">
        <v>28</v>
      </c>
      <c r="G3710">
        <v>60</v>
      </c>
      <c r="H3710">
        <v>0.26</v>
      </c>
      <c r="I3710" t="s">
        <v>23</v>
      </c>
      <c r="J3710">
        <v>47</v>
      </c>
      <c r="K3710">
        <v>0</v>
      </c>
      <c r="L3710">
        <v>0</v>
      </c>
      <c r="M3710">
        <f>VLOOKUP(Table1[[#This Row],[subscription_type]],Plans!$A$1:$B$5,2,FALSE)</f>
        <v>0</v>
      </c>
      <c r="N3710">
        <f t="shared" si="57"/>
        <v>0</v>
      </c>
    </row>
    <row r="3711" spans="1:14" x14ac:dyDescent="0.35">
      <c r="A3711">
        <v>3710</v>
      </c>
      <c r="B3711" t="s">
        <v>16</v>
      </c>
      <c r="C3711">
        <v>37</v>
      </c>
      <c r="D3711" t="s">
        <v>17</v>
      </c>
      <c r="E3711" t="s">
        <v>18</v>
      </c>
      <c r="F3711">
        <v>224</v>
      </c>
      <c r="G3711">
        <v>29</v>
      </c>
      <c r="H3711">
        <v>0.56000000000000005</v>
      </c>
      <c r="I3711" t="s">
        <v>23</v>
      </c>
      <c r="J3711">
        <v>0</v>
      </c>
      <c r="K3711">
        <v>1</v>
      </c>
      <c r="L3711">
        <v>0</v>
      </c>
      <c r="M3711">
        <f>VLOOKUP(Table1[[#This Row],[subscription_type]],Plans!$A$1:$B$5,2,FALSE)</f>
        <v>14.99</v>
      </c>
      <c r="N3711">
        <f t="shared" si="57"/>
        <v>0</v>
      </c>
    </row>
    <row r="3712" spans="1:14" x14ac:dyDescent="0.35">
      <c r="A3712">
        <v>3711</v>
      </c>
      <c r="B3712" t="s">
        <v>16</v>
      </c>
      <c r="C3712">
        <v>39</v>
      </c>
      <c r="D3712" t="s">
        <v>21</v>
      </c>
      <c r="E3712" t="s">
        <v>24</v>
      </c>
      <c r="F3712">
        <v>93</v>
      </c>
      <c r="G3712">
        <v>92</v>
      </c>
      <c r="H3712">
        <v>0.01</v>
      </c>
      <c r="I3712" t="s">
        <v>23</v>
      </c>
      <c r="J3712">
        <v>0</v>
      </c>
      <c r="K3712">
        <v>1</v>
      </c>
      <c r="L3712">
        <v>0</v>
      </c>
      <c r="M3712">
        <f>VLOOKUP(Table1[[#This Row],[subscription_type]],Plans!$A$1:$B$5,2,FALSE)</f>
        <v>4.99</v>
      </c>
      <c r="N3712">
        <f t="shared" si="57"/>
        <v>0</v>
      </c>
    </row>
    <row r="3713" spans="1:14" x14ac:dyDescent="0.35">
      <c r="A3713">
        <v>3712</v>
      </c>
      <c r="B3713" t="s">
        <v>20</v>
      </c>
      <c r="C3713">
        <v>50</v>
      </c>
      <c r="D3713" t="s">
        <v>29</v>
      </c>
      <c r="E3713" t="s">
        <v>14</v>
      </c>
      <c r="F3713">
        <v>102</v>
      </c>
      <c r="G3713">
        <v>3</v>
      </c>
      <c r="H3713">
        <v>0.41</v>
      </c>
      <c r="I3713" t="s">
        <v>23</v>
      </c>
      <c r="J3713">
        <v>13</v>
      </c>
      <c r="K3713">
        <v>0</v>
      </c>
      <c r="L3713">
        <v>0</v>
      </c>
      <c r="M3713">
        <f>VLOOKUP(Table1[[#This Row],[subscription_type]],Plans!$A$1:$B$5,2,FALSE)</f>
        <v>0</v>
      </c>
      <c r="N3713">
        <f t="shared" si="57"/>
        <v>0</v>
      </c>
    </row>
    <row r="3714" spans="1:14" x14ac:dyDescent="0.35">
      <c r="A3714">
        <v>3713</v>
      </c>
      <c r="B3714" t="s">
        <v>20</v>
      </c>
      <c r="C3714">
        <v>30</v>
      </c>
      <c r="D3714" t="s">
        <v>26</v>
      </c>
      <c r="E3714" t="s">
        <v>22</v>
      </c>
      <c r="F3714">
        <v>287</v>
      </c>
      <c r="G3714">
        <v>31</v>
      </c>
      <c r="H3714">
        <v>0.27</v>
      </c>
      <c r="I3714" t="s">
        <v>19</v>
      </c>
      <c r="J3714">
        <v>0</v>
      </c>
      <c r="K3714">
        <v>1</v>
      </c>
      <c r="L3714">
        <v>1</v>
      </c>
      <c r="M3714">
        <f>VLOOKUP(Table1[[#This Row],[subscription_type]],Plans!$A$1:$B$5,2,FALSE)</f>
        <v>9.99</v>
      </c>
      <c r="N3714">
        <f t="shared" ref="N3714:N3777" si="58">IF(L3714=1, M3714,0)</f>
        <v>9.99</v>
      </c>
    </row>
    <row r="3715" spans="1:14" x14ac:dyDescent="0.35">
      <c r="A3715">
        <v>3714</v>
      </c>
      <c r="B3715" t="s">
        <v>20</v>
      </c>
      <c r="C3715">
        <v>27</v>
      </c>
      <c r="D3715" t="s">
        <v>17</v>
      </c>
      <c r="E3715" t="s">
        <v>18</v>
      </c>
      <c r="F3715">
        <v>135</v>
      </c>
      <c r="G3715">
        <v>18</v>
      </c>
      <c r="H3715">
        <v>0.53</v>
      </c>
      <c r="I3715" t="s">
        <v>15</v>
      </c>
      <c r="J3715">
        <v>0</v>
      </c>
      <c r="K3715">
        <v>1</v>
      </c>
      <c r="L3715">
        <v>0</v>
      </c>
      <c r="M3715">
        <f>VLOOKUP(Table1[[#This Row],[subscription_type]],Plans!$A$1:$B$5,2,FALSE)</f>
        <v>14.99</v>
      </c>
      <c r="N3715">
        <f t="shared" si="58"/>
        <v>0</v>
      </c>
    </row>
    <row r="3716" spans="1:14" x14ac:dyDescent="0.35">
      <c r="A3716">
        <v>3715</v>
      </c>
      <c r="B3716" t="s">
        <v>20</v>
      </c>
      <c r="C3716">
        <v>19</v>
      </c>
      <c r="D3716" t="s">
        <v>17</v>
      </c>
      <c r="E3716" t="s">
        <v>22</v>
      </c>
      <c r="F3716">
        <v>96</v>
      </c>
      <c r="G3716">
        <v>42</v>
      </c>
      <c r="H3716">
        <v>0.41</v>
      </c>
      <c r="I3716" t="s">
        <v>23</v>
      </c>
      <c r="J3716">
        <v>0</v>
      </c>
      <c r="K3716">
        <v>1</v>
      </c>
      <c r="L3716">
        <v>1</v>
      </c>
      <c r="M3716">
        <f>VLOOKUP(Table1[[#This Row],[subscription_type]],Plans!$A$1:$B$5,2,FALSE)</f>
        <v>9.99</v>
      </c>
      <c r="N3716">
        <f t="shared" si="58"/>
        <v>9.99</v>
      </c>
    </row>
    <row r="3717" spans="1:14" x14ac:dyDescent="0.35">
      <c r="A3717">
        <v>3716</v>
      </c>
      <c r="B3717" t="s">
        <v>20</v>
      </c>
      <c r="C3717">
        <v>21</v>
      </c>
      <c r="D3717" t="s">
        <v>25</v>
      </c>
      <c r="E3717" t="s">
        <v>14</v>
      </c>
      <c r="F3717">
        <v>264</v>
      </c>
      <c r="G3717">
        <v>95</v>
      </c>
      <c r="H3717">
        <v>0.24</v>
      </c>
      <c r="I3717" t="s">
        <v>19</v>
      </c>
      <c r="J3717">
        <v>47</v>
      </c>
      <c r="K3717">
        <v>0</v>
      </c>
      <c r="L3717">
        <v>1</v>
      </c>
      <c r="M3717">
        <f>VLOOKUP(Table1[[#This Row],[subscription_type]],Plans!$A$1:$B$5,2,FALSE)</f>
        <v>0</v>
      </c>
      <c r="N3717">
        <f t="shared" si="58"/>
        <v>0</v>
      </c>
    </row>
    <row r="3718" spans="1:14" x14ac:dyDescent="0.35">
      <c r="A3718">
        <v>3717</v>
      </c>
      <c r="B3718" t="s">
        <v>16</v>
      </c>
      <c r="C3718">
        <v>49</v>
      </c>
      <c r="D3718" t="s">
        <v>29</v>
      </c>
      <c r="E3718" t="s">
        <v>24</v>
      </c>
      <c r="F3718">
        <v>30</v>
      </c>
      <c r="G3718">
        <v>33</v>
      </c>
      <c r="H3718">
        <v>0.43</v>
      </c>
      <c r="I3718" t="s">
        <v>19</v>
      </c>
      <c r="J3718">
        <v>0</v>
      </c>
      <c r="K3718">
        <v>1</v>
      </c>
      <c r="L3718">
        <v>0</v>
      </c>
      <c r="M3718">
        <f>VLOOKUP(Table1[[#This Row],[subscription_type]],Plans!$A$1:$B$5,2,FALSE)</f>
        <v>4.99</v>
      </c>
      <c r="N3718">
        <f t="shared" si="58"/>
        <v>0</v>
      </c>
    </row>
    <row r="3719" spans="1:14" x14ac:dyDescent="0.35">
      <c r="A3719">
        <v>3718</v>
      </c>
      <c r="B3719" t="s">
        <v>16</v>
      </c>
      <c r="C3719">
        <v>32</v>
      </c>
      <c r="D3719" t="s">
        <v>29</v>
      </c>
      <c r="E3719" t="s">
        <v>22</v>
      </c>
      <c r="F3719">
        <v>279</v>
      </c>
      <c r="G3719">
        <v>60</v>
      </c>
      <c r="H3719">
        <v>0.48</v>
      </c>
      <c r="I3719" t="s">
        <v>23</v>
      </c>
      <c r="J3719">
        <v>0</v>
      </c>
      <c r="K3719">
        <v>1</v>
      </c>
      <c r="L3719">
        <v>1</v>
      </c>
      <c r="M3719">
        <f>VLOOKUP(Table1[[#This Row],[subscription_type]],Plans!$A$1:$B$5,2,FALSE)</f>
        <v>9.99</v>
      </c>
      <c r="N3719">
        <f t="shared" si="58"/>
        <v>9.99</v>
      </c>
    </row>
    <row r="3720" spans="1:14" x14ac:dyDescent="0.35">
      <c r="A3720">
        <v>3719</v>
      </c>
      <c r="B3720" t="s">
        <v>16</v>
      </c>
      <c r="C3720">
        <v>46</v>
      </c>
      <c r="D3720" t="s">
        <v>13</v>
      </c>
      <c r="E3720" t="s">
        <v>14</v>
      </c>
      <c r="F3720">
        <v>183</v>
      </c>
      <c r="G3720">
        <v>64</v>
      </c>
      <c r="H3720">
        <v>0.4</v>
      </c>
      <c r="I3720" t="s">
        <v>19</v>
      </c>
      <c r="J3720">
        <v>15</v>
      </c>
      <c r="K3720">
        <v>0</v>
      </c>
      <c r="L3720">
        <v>0</v>
      </c>
      <c r="M3720">
        <f>VLOOKUP(Table1[[#This Row],[subscription_type]],Plans!$A$1:$B$5,2,FALSE)</f>
        <v>0</v>
      </c>
      <c r="N3720">
        <f t="shared" si="58"/>
        <v>0</v>
      </c>
    </row>
    <row r="3721" spans="1:14" x14ac:dyDescent="0.35">
      <c r="A3721">
        <v>3720</v>
      </c>
      <c r="B3721" t="s">
        <v>20</v>
      </c>
      <c r="C3721">
        <v>22</v>
      </c>
      <c r="D3721" t="s">
        <v>28</v>
      </c>
      <c r="E3721" t="s">
        <v>18</v>
      </c>
      <c r="F3721">
        <v>207</v>
      </c>
      <c r="G3721">
        <v>65</v>
      </c>
      <c r="H3721">
        <v>0.04</v>
      </c>
      <c r="I3721" t="s">
        <v>15</v>
      </c>
      <c r="J3721">
        <v>0</v>
      </c>
      <c r="K3721">
        <v>1</v>
      </c>
      <c r="L3721">
        <v>1</v>
      </c>
      <c r="M3721">
        <f>VLOOKUP(Table1[[#This Row],[subscription_type]],Plans!$A$1:$B$5,2,FALSE)</f>
        <v>14.99</v>
      </c>
      <c r="N3721">
        <f t="shared" si="58"/>
        <v>14.99</v>
      </c>
    </row>
    <row r="3722" spans="1:14" x14ac:dyDescent="0.35">
      <c r="A3722">
        <v>3721</v>
      </c>
      <c r="B3722" t="s">
        <v>20</v>
      </c>
      <c r="C3722">
        <v>46</v>
      </c>
      <c r="D3722" t="s">
        <v>25</v>
      </c>
      <c r="E3722" t="s">
        <v>24</v>
      </c>
      <c r="F3722">
        <v>152</v>
      </c>
      <c r="G3722">
        <v>27</v>
      </c>
      <c r="H3722">
        <v>0.41</v>
      </c>
      <c r="I3722" t="s">
        <v>23</v>
      </c>
      <c r="J3722">
        <v>0</v>
      </c>
      <c r="K3722">
        <v>1</v>
      </c>
      <c r="L3722">
        <v>0</v>
      </c>
      <c r="M3722">
        <f>VLOOKUP(Table1[[#This Row],[subscription_type]],Plans!$A$1:$B$5,2,FALSE)</f>
        <v>4.99</v>
      </c>
      <c r="N3722">
        <f t="shared" si="58"/>
        <v>0</v>
      </c>
    </row>
    <row r="3723" spans="1:14" x14ac:dyDescent="0.35">
      <c r="A3723">
        <v>3722</v>
      </c>
      <c r="B3723" t="s">
        <v>16</v>
      </c>
      <c r="C3723">
        <v>35</v>
      </c>
      <c r="D3723" t="s">
        <v>27</v>
      </c>
      <c r="E3723" t="s">
        <v>22</v>
      </c>
      <c r="F3723">
        <v>261</v>
      </c>
      <c r="G3723">
        <v>75</v>
      </c>
      <c r="H3723">
        <v>0.28999999999999998</v>
      </c>
      <c r="I3723" t="s">
        <v>23</v>
      </c>
      <c r="J3723">
        <v>0</v>
      </c>
      <c r="K3723">
        <v>1</v>
      </c>
      <c r="L3723">
        <v>1</v>
      </c>
      <c r="M3723">
        <f>VLOOKUP(Table1[[#This Row],[subscription_type]],Plans!$A$1:$B$5,2,FALSE)</f>
        <v>9.99</v>
      </c>
      <c r="N3723">
        <f t="shared" si="58"/>
        <v>9.99</v>
      </c>
    </row>
    <row r="3724" spans="1:14" x14ac:dyDescent="0.35">
      <c r="A3724">
        <v>3723</v>
      </c>
      <c r="B3724" t="s">
        <v>20</v>
      </c>
      <c r="C3724">
        <v>42</v>
      </c>
      <c r="D3724" t="s">
        <v>13</v>
      </c>
      <c r="E3724" t="s">
        <v>24</v>
      </c>
      <c r="F3724">
        <v>122</v>
      </c>
      <c r="G3724">
        <v>27</v>
      </c>
      <c r="H3724">
        <v>0.03</v>
      </c>
      <c r="I3724" t="s">
        <v>23</v>
      </c>
      <c r="J3724">
        <v>0</v>
      </c>
      <c r="K3724">
        <v>1</v>
      </c>
      <c r="L3724">
        <v>0</v>
      </c>
      <c r="M3724">
        <f>VLOOKUP(Table1[[#This Row],[subscription_type]],Plans!$A$1:$B$5,2,FALSE)</f>
        <v>4.99</v>
      </c>
      <c r="N3724">
        <f t="shared" si="58"/>
        <v>0</v>
      </c>
    </row>
    <row r="3725" spans="1:14" x14ac:dyDescent="0.35">
      <c r="A3725">
        <v>3724</v>
      </c>
      <c r="B3725" t="s">
        <v>20</v>
      </c>
      <c r="C3725">
        <v>25</v>
      </c>
      <c r="D3725" t="s">
        <v>17</v>
      </c>
      <c r="E3725" t="s">
        <v>14</v>
      </c>
      <c r="F3725">
        <v>91</v>
      </c>
      <c r="G3725">
        <v>34</v>
      </c>
      <c r="H3725">
        <v>0.01</v>
      </c>
      <c r="I3725" t="s">
        <v>19</v>
      </c>
      <c r="J3725">
        <v>24</v>
      </c>
      <c r="K3725">
        <v>0</v>
      </c>
      <c r="L3725">
        <v>0</v>
      </c>
      <c r="M3725">
        <f>VLOOKUP(Table1[[#This Row],[subscription_type]],Plans!$A$1:$B$5,2,FALSE)</f>
        <v>0</v>
      </c>
      <c r="N3725">
        <f t="shared" si="58"/>
        <v>0</v>
      </c>
    </row>
    <row r="3726" spans="1:14" x14ac:dyDescent="0.35">
      <c r="A3726">
        <v>3725</v>
      </c>
      <c r="B3726" t="s">
        <v>16</v>
      </c>
      <c r="C3726">
        <v>58</v>
      </c>
      <c r="D3726" t="s">
        <v>13</v>
      </c>
      <c r="E3726" t="s">
        <v>22</v>
      </c>
      <c r="F3726">
        <v>230</v>
      </c>
      <c r="G3726">
        <v>68</v>
      </c>
      <c r="H3726">
        <v>0.28999999999999998</v>
      </c>
      <c r="I3726" t="s">
        <v>15</v>
      </c>
      <c r="J3726">
        <v>0</v>
      </c>
      <c r="K3726">
        <v>1</v>
      </c>
      <c r="L3726">
        <v>0</v>
      </c>
      <c r="M3726">
        <f>VLOOKUP(Table1[[#This Row],[subscription_type]],Plans!$A$1:$B$5,2,FALSE)</f>
        <v>9.99</v>
      </c>
      <c r="N3726">
        <f t="shared" si="58"/>
        <v>0</v>
      </c>
    </row>
    <row r="3727" spans="1:14" x14ac:dyDescent="0.35">
      <c r="A3727">
        <v>3726</v>
      </c>
      <c r="B3727" t="s">
        <v>12</v>
      </c>
      <c r="C3727">
        <v>57</v>
      </c>
      <c r="D3727" t="s">
        <v>21</v>
      </c>
      <c r="E3727" t="s">
        <v>14</v>
      </c>
      <c r="F3727">
        <v>31</v>
      </c>
      <c r="G3727">
        <v>60</v>
      </c>
      <c r="H3727">
        <v>0.11</v>
      </c>
      <c r="I3727" t="s">
        <v>15</v>
      </c>
      <c r="J3727">
        <v>36</v>
      </c>
      <c r="K3727">
        <v>0</v>
      </c>
      <c r="L3727">
        <v>0</v>
      </c>
      <c r="M3727">
        <f>VLOOKUP(Table1[[#This Row],[subscription_type]],Plans!$A$1:$B$5,2,FALSE)</f>
        <v>0</v>
      </c>
      <c r="N3727">
        <f t="shared" si="58"/>
        <v>0</v>
      </c>
    </row>
    <row r="3728" spans="1:14" x14ac:dyDescent="0.35">
      <c r="A3728">
        <v>3727</v>
      </c>
      <c r="B3728" t="s">
        <v>12</v>
      </c>
      <c r="C3728">
        <v>54</v>
      </c>
      <c r="D3728" t="s">
        <v>21</v>
      </c>
      <c r="E3728" t="s">
        <v>24</v>
      </c>
      <c r="F3728">
        <v>44</v>
      </c>
      <c r="G3728">
        <v>57</v>
      </c>
      <c r="H3728">
        <v>0.19</v>
      </c>
      <c r="I3728" t="s">
        <v>23</v>
      </c>
      <c r="J3728">
        <v>0</v>
      </c>
      <c r="K3728">
        <v>1</v>
      </c>
      <c r="L3728">
        <v>1</v>
      </c>
      <c r="M3728">
        <f>VLOOKUP(Table1[[#This Row],[subscription_type]],Plans!$A$1:$B$5,2,FALSE)</f>
        <v>4.99</v>
      </c>
      <c r="N3728">
        <f t="shared" si="58"/>
        <v>4.99</v>
      </c>
    </row>
    <row r="3729" spans="1:14" x14ac:dyDescent="0.35">
      <c r="A3729">
        <v>3728</v>
      </c>
      <c r="B3729" t="s">
        <v>16</v>
      </c>
      <c r="C3729">
        <v>45</v>
      </c>
      <c r="D3729" t="s">
        <v>28</v>
      </c>
      <c r="E3729" t="s">
        <v>18</v>
      </c>
      <c r="F3729">
        <v>233</v>
      </c>
      <c r="G3729">
        <v>55</v>
      </c>
      <c r="H3729">
        <v>0.56000000000000005</v>
      </c>
      <c r="I3729" t="s">
        <v>19</v>
      </c>
      <c r="J3729">
        <v>0</v>
      </c>
      <c r="K3729">
        <v>1</v>
      </c>
      <c r="L3729">
        <v>0</v>
      </c>
      <c r="M3729">
        <f>VLOOKUP(Table1[[#This Row],[subscription_type]],Plans!$A$1:$B$5,2,FALSE)</f>
        <v>14.99</v>
      </c>
      <c r="N3729">
        <f t="shared" si="58"/>
        <v>0</v>
      </c>
    </row>
    <row r="3730" spans="1:14" x14ac:dyDescent="0.35">
      <c r="A3730">
        <v>3729</v>
      </c>
      <c r="B3730" t="s">
        <v>20</v>
      </c>
      <c r="C3730">
        <v>42</v>
      </c>
      <c r="D3730" t="s">
        <v>27</v>
      </c>
      <c r="E3730" t="s">
        <v>22</v>
      </c>
      <c r="F3730">
        <v>299</v>
      </c>
      <c r="G3730">
        <v>32</v>
      </c>
      <c r="H3730">
        <v>0.39</v>
      </c>
      <c r="I3730" t="s">
        <v>15</v>
      </c>
      <c r="J3730">
        <v>0</v>
      </c>
      <c r="K3730">
        <v>1</v>
      </c>
      <c r="L3730">
        <v>0</v>
      </c>
      <c r="M3730">
        <f>VLOOKUP(Table1[[#This Row],[subscription_type]],Plans!$A$1:$B$5,2,FALSE)</f>
        <v>9.99</v>
      </c>
      <c r="N3730">
        <f t="shared" si="58"/>
        <v>0</v>
      </c>
    </row>
    <row r="3731" spans="1:14" x14ac:dyDescent="0.35">
      <c r="A3731">
        <v>3730</v>
      </c>
      <c r="B3731" t="s">
        <v>16</v>
      </c>
      <c r="C3731">
        <v>22</v>
      </c>
      <c r="D3731" t="s">
        <v>27</v>
      </c>
      <c r="E3731" t="s">
        <v>18</v>
      </c>
      <c r="F3731">
        <v>37</v>
      </c>
      <c r="G3731">
        <v>79</v>
      </c>
      <c r="H3731">
        <v>0.38</v>
      </c>
      <c r="I3731" t="s">
        <v>23</v>
      </c>
      <c r="J3731">
        <v>0</v>
      </c>
      <c r="K3731">
        <v>1</v>
      </c>
      <c r="L3731">
        <v>1</v>
      </c>
      <c r="M3731">
        <f>VLOOKUP(Table1[[#This Row],[subscription_type]],Plans!$A$1:$B$5,2,FALSE)</f>
        <v>14.99</v>
      </c>
      <c r="N3731">
        <f t="shared" si="58"/>
        <v>14.99</v>
      </c>
    </row>
    <row r="3732" spans="1:14" x14ac:dyDescent="0.35">
      <c r="A3732">
        <v>3731</v>
      </c>
      <c r="B3732" t="s">
        <v>12</v>
      </c>
      <c r="C3732">
        <v>22</v>
      </c>
      <c r="D3732" t="s">
        <v>27</v>
      </c>
      <c r="E3732" t="s">
        <v>14</v>
      </c>
      <c r="F3732">
        <v>284</v>
      </c>
      <c r="G3732">
        <v>23</v>
      </c>
      <c r="H3732">
        <v>7.0000000000000007E-2</v>
      </c>
      <c r="I3732" t="s">
        <v>23</v>
      </c>
      <c r="J3732">
        <v>31</v>
      </c>
      <c r="K3732">
        <v>0</v>
      </c>
      <c r="L3732">
        <v>0</v>
      </c>
      <c r="M3732">
        <f>VLOOKUP(Table1[[#This Row],[subscription_type]],Plans!$A$1:$B$5,2,FALSE)</f>
        <v>0</v>
      </c>
      <c r="N3732">
        <f t="shared" si="58"/>
        <v>0</v>
      </c>
    </row>
    <row r="3733" spans="1:14" x14ac:dyDescent="0.35">
      <c r="A3733">
        <v>3732</v>
      </c>
      <c r="B3733" t="s">
        <v>16</v>
      </c>
      <c r="C3733">
        <v>35</v>
      </c>
      <c r="D3733" t="s">
        <v>13</v>
      </c>
      <c r="E3733" t="s">
        <v>14</v>
      </c>
      <c r="F3733">
        <v>138</v>
      </c>
      <c r="G3733">
        <v>68</v>
      </c>
      <c r="H3733">
        <v>0.38</v>
      </c>
      <c r="I3733" t="s">
        <v>23</v>
      </c>
      <c r="J3733">
        <v>12</v>
      </c>
      <c r="K3733">
        <v>0</v>
      </c>
      <c r="L3733">
        <v>1</v>
      </c>
      <c r="M3733">
        <f>VLOOKUP(Table1[[#This Row],[subscription_type]],Plans!$A$1:$B$5,2,FALSE)</f>
        <v>0</v>
      </c>
      <c r="N3733">
        <f t="shared" si="58"/>
        <v>0</v>
      </c>
    </row>
    <row r="3734" spans="1:14" x14ac:dyDescent="0.35">
      <c r="A3734">
        <v>3733</v>
      </c>
      <c r="B3734" t="s">
        <v>16</v>
      </c>
      <c r="C3734">
        <v>26</v>
      </c>
      <c r="D3734" t="s">
        <v>27</v>
      </c>
      <c r="E3734" t="s">
        <v>18</v>
      </c>
      <c r="F3734">
        <v>112</v>
      </c>
      <c r="G3734">
        <v>90</v>
      </c>
      <c r="H3734">
        <v>0.1</v>
      </c>
      <c r="I3734" t="s">
        <v>23</v>
      </c>
      <c r="J3734">
        <v>0</v>
      </c>
      <c r="K3734">
        <v>1</v>
      </c>
      <c r="L3734">
        <v>1</v>
      </c>
      <c r="M3734">
        <f>VLOOKUP(Table1[[#This Row],[subscription_type]],Plans!$A$1:$B$5,2,FALSE)</f>
        <v>14.99</v>
      </c>
      <c r="N3734">
        <f t="shared" si="58"/>
        <v>14.99</v>
      </c>
    </row>
    <row r="3735" spans="1:14" x14ac:dyDescent="0.35">
      <c r="A3735">
        <v>3734</v>
      </c>
      <c r="B3735" t="s">
        <v>12</v>
      </c>
      <c r="C3735">
        <v>36</v>
      </c>
      <c r="D3735" t="s">
        <v>26</v>
      </c>
      <c r="E3735" t="s">
        <v>14</v>
      </c>
      <c r="F3735">
        <v>33</v>
      </c>
      <c r="G3735">
        <v>9</v>
      </c>
      <c r="H3735">
        <v>0.37</v>
      </c>
      <c r="I3735" t="s">
        <v>15</v>
      </c>
      <c r="J3735">
        <v>22</v>
      </c>
      <c r="K3735">
        <v>0</v>
      </c>
      <c r="L3735">
        <v>0</v>
      </c>
      <c r="M3735">
        <f>VLOOKUP(Table1[[#This Row],[subscription_type]],Plans!$A$1:$B$5,2,FALSE)</f>
        <v>0</v>
      </c>
      <c r="N3735">
        <f t="shared" si="58"/>
        <v>0</v>
      </c>
    </row>
    <row r="3736" spans="1:14" x14ac:dyDescent="0.35">
      <c r="A3736">
        <v>3735</v>
      </c>
      <c r="B3736" t="s">
        <v>12</v>
      </c>
      <c r="C3736">
        <v>31</v>
      </c>
      <c r="D3736" t="s">
        <v>29</v>
      </c>
      <c r="E3736" t="s">
        <v>24</v>
      </c>
      <c r="F3736">
        <v>191</v>
      </c>
      <c r="G3736">
        <v>81</v>
      </c>
      <c r="H3736">
        <v>0.08</v>
      </c>
      <c r="I3736" t="s">
        <v>19</v>
      </c>
      <c r="J3736">
        <v>0</v>
      </c>
      <c r="K3736">
        <v>1</v>
      </c>
      <c r="L3736">
        <v>1</v>
      </c>
      <c r="M3736">
        <f>VLOOKUP(Table1[[#This Row],[subscription_type]],Plans!$A$1:$B$5,2,FALSE)</f>
        <v>4.99</v>
      </c>
      <c r="N3736">
        <f t="shared" si="58"/>
        <v>4.99</v>
      </c>
    </row>
    <row r="3737" spans="1:14" x14ac:dyDescent="0.35">
      <c r="A3737">
        <v>3736</v>
      </c>
      <c r="B3737" t="s">
        <v>16</v>
      </c>
      <c r="C3737">
        <v>50</v>
      </c>
      <c r="D3737" t="s">
        <v>25</v>
      </c>
      <c r="E3737" t="s">
        <v>14</v>
      </c>
      <c r="F3737">
        <v>183</v>
      </c>
      <c r="G3737">
        <v>37</v>
      </c>
      <c r="H3737">
        <v>0.55000000000000004</v>
      </c>
      <c r="I3737" t="s">
        <v>15</v>
      </c>
      <c r="J3737">
        <v>11</v>
      </c>
      <c r="K3737">
        <v>0</v>
      </c>
      <c r="L3737">
        <v>0</v>
      </c>
      <c r="M3737">
        <f>VLOOKUP(Table1[[#This Row],[subscription_type]],Plans!$A$1:$B$5,2,FALSE)</f>
        <v>0</v>
      </c>
      <c r="N3737">
        <f t="shared" si="58"/>
        <v>0</v>
      </c>
    </row>
    <row r="3738" spans="1:14" x14ac:dyDescent="0.35">
      <c r="A3738">
        <v>3737</v>
      </c>
      <c r="B3738" t="s">
        <v>12</v>
      </c>
      <c r="C3738">
        <v>48</v>
      </c>
      <c r="D3738" t="s">
        <v>29</v>
      </c>
      <c r="E3738" t="s">
        <v>18</v>
      </c>
      <c r="F3738">
        <v>197</v>
      </c>
      <c r="G3738">
        <v>85</v>
      </c>
      <c r="H3738">
        <v>0.56999999999999995</v>
      </c>
      <c r="I3738" t="s">
        <v>19</v>
      </c>
      <c r="J3738">
        <v>0</v>
      </c>
      <c r="K3738">
        <v>1</v>
      </c>
      <c r="L3738">
        <v>0</v>
      </c>
      <c r="M3738">
        <f>VLOOKUP(Table1[[#This Row],[subscription_type]],Plans!$A$1:$B$5,2,FALSE)</f>
        <v>14.99</v>
      </c>
      <c r="N3738">
        <f t="shared" si="58"/>
        <v>0</v>
      </c>
    </row>
    <row r="3739" spans="1:14" x14ac:dyDescent="0.35">
      <c r="A3739">
        <v>3738</v>
      </c>
      <c r="B3739" t="s">
        <v>12</v>
      </c>
      <c r="C3739">
        <v>54</v>
      </c>
      <c r="D3739" t="s">
        <v>26</v>
      </c>
      <c r="E3739" t="s">
        <v>24</v>
      </c>
      <c r="F3739">
        <v>36</v>
      </c>
      <c r="G3739">
        <v>54</v>
      </c>
      <c r="H3739">
        <v>0.03</v>
      </c>
      <c r="I3739" t="s">
        <v>23</v>
      </c>
      <c r="J3739">
        <v>0</v>
      </c>
      <c r="K3739">
        <v>1</v>
      </c>
      <c r="L3739">
        <v>0</v>
      </c>
      <c r="M3739">
        <f>VLOOKUP(Table1[[#This Row],[subscription_type]],Plans!$A$1:$B$5,2,FALSE)</f>
        <v>4.99</v>
      </c>
      <c r="N3739">
        <f t="shared" si="58"/>
        <v>0</v>
      </c>
    </row>
    <row r="3740" spans="1:14" x14ac:dyDescent="0.35">
      <c r="A3740">
        <v>3739</v>
      </c>
      <c r="B3740" t="s">
        <v>12</v>
      </c>
      <c r="C3740">
        <v>52</v>
      </c>
      <c r="D3740" t="s">
        <v>27</v>
      </c>
      <c r="E3740" t="s">
        <v>24</v>
      </c>
      <c r="F3740">
        <v>64</v>
      </c>
      <c r="G3740">
        <v>50</v>
      </c>
      <c r="H3740">
        <v>0.55000000000000004</v>
      </c>
      <c r="I3740" t="s">
        <v>19</v>
      </c>
      <c r="J3740">
        <v>0</v>
      </c>
      <c r="K3740">
        <v>1</v>
      </c>
      <c r="L3740">
        <v>0</v>
      </c>
      <c r="M3740">
        <f>VLOOKUP(Table1[[#This Row],[subscription_type]],Plans!$A$1:$B$5,2,FALSE)</f>
        <v>4.99</v>
      </c>
      <c r="N3740">
        <f t="shared" si="58"/>
        <v>0</v>
      </c>
    </row>
    <row r="3741" spans="1:14" x14ac:dyDescent="0.35">
      <c r="A3741">
        <v>3740</v>
      </c>
      <c r="B3741" t="s">
        <v>12</v>
      </c>
      <c r="C3741">
        <v>17</v>
      </c>
      <c r="D3741" t="s">
        <v>26</v>
      </c>
      <c r="E3741" t="s">
        <v>22</v>
      </c>
      <c r="F3741">
        <v>245</v>
      </c>
      <c r="G3741">
        <v>23</v>
      </c>
      <c r="H3741">
        <v>0.19</v>
      </c>
      <c r="I3741" t="s">
        <v>23</v>
      </c>
      <c r="J3741">
        <v>0</v>
      </c>
      <c r="K3741">
        <v>1</v>
      </c>
      <c r="L3741">
        <v>0</v>
      </c>
      <c r="M3741">
        <f>VLOOKUP(Table1[[#This Row],[subscription_type]],Plans!$A$1:$B$5,2,FALSE)</f>
        <v>9.99</v>
      </c>
      <c r="N3741">
        <f t="shared" si="58"/>
        <v>0</v>
      </c>
    </row>
    <row r="3742" spans="1:14" x14ac:dyDescent="0.35">
      <c r="A3742">
        <v>3741</v>
      </c>
      <c r="B3742" t="s">
        <v>20</v>
      </c>
      <c r="C3742">
        <v>56</v>
      </c>
      <c r="D3742" t="s">
        <v>13</v>
      </c>
      <c r="E3742" t="s">
        <v>22</v>
      </c>
      <c r="F3742">
        <v>83</v>
      </c>
      <c r="G3742">
        <v>96</v>
      </c>
      <c r="H3742">
        <v>0.19</v>
      </c>
      <c r="I3742" t="s">
        <v>19</v>
      </c>
      <c r="J3742">
        <v>0</v>
      </c>
      <c r="K3742">
        <v>1</v>
      </c>
      <c r="L3742">
        <v>0</v>
      </c>
      <c r="M3742">
        <f>VLOOKUP(Table1[[#This Row],[subscription_type]],Plans!$A$1:$B$5,2,FALSE)</f>
        <v>9.99</v>
      </c>
      <c r="N3742">
        <f t="shared" si="58"/>
        <v>0</v>
      </c>
    </row>
    <row r="3743" spans="1:14" x14ac:dyDescent="0.35">
      <c r="A3743">
        <v>3742</v>
      </c>
      <c r="B3743" t="s">
        <v>20</v>
      </c>
      <c r="C3743">
        <v>17</v>
      </c>
      <c r="D3743" t="s">
        <v>29</v>
      </c>
      <c r="E3743" t="s">
        <v>18</v>
      </c>
      <c r="F3743">
        <v>232</v>
      </c>
      <c r="G3743">
        <v>48</v>
      </c>
      <c r="H3743">
        <v>0.53</v>
      </c>
      <c r="I3743" t="s">
        <v>23</v>
      </c>
      <c r="J3743">
        <v>0</v>
      </c>
      <c r="K3743">
        <v>1</v>
      </c>
      <c r="L3743">
        <v>0</v>
      </c>
      <c r="M3743">
        <f>VLOOKUP(Table1[[#This Row],[subscription_type]],Plans!$A$1:$B$5,2,FALSE)</f>
        <v>14.99</v>
      </c>
      <c r="N3743">
        <f t="shared" si="58"/>
        <v>0</v>
      </c>
    </row>
    <row r="3744" spans="1:14" x14ac:dyDescent="0.35">
      <c r="A3744">
        <v>3743</v>
      </c>
      <c r="B3744" t="s">
        <v>16</v>
      </c>
      <c r="C3744">
        <v>49</v>
      </c>
      <c r="D3744" t="s">
        <v>13</v>
      </c>
      <c r="E3744" t="s">
        <v>22</v>
      </c>
      <c r="F3744">
        <v>278</v>
      </c>
      <c r="G3744">
        <v>74</v>
      </c>
      <c r="H3744">
        <v>0.26</v>
      </c>
      <c r="I3744" t="s">
        <v>15</v>
      </c>
      <c r="J3744">
        <v>0</v>
      </c>
      <c r="K3744">
        <v>1</v>
      </c>
      <c r="L3744">
        <v>1</v>
      </c>
      <c r="M3744">
        <f>VLOOKUP(Table1[[#This Row],[subscription_type]],Plans!$A$1:$B$5,2,FALSE)</f>
        <v>9.99</v>
      </c>
      <c r="N3744">
        <f t="shared" si="58"/>
        <v>9.99</v>
      </c>
    </row>
    <row r="3745" spans="1:14" x14ac:dyDescent="0.35">
      <c r="A3745">
        <v>3744</v>
      </c>
      <c r="B3745" t="s">
        <v>12</v>
      </c>
      <c r="C3745">
        <v>56</v>
      </c>
      <c r="D3745" t="s">
        <v>21</v>
      </c>
      <c r="E3745" t="s">
        <v>22</v>
      </c>
      <c r="F3745">
        <v>27</v>
      </c>
      <c r="G3745">
        <v>35</v>
      </c>
      <c r="H3745">
        <v>0.48</v>
      </c>
      <c r="I3745" t="s">
        <v>23</v>
      </c>
      <c r="J3745">
        <v>0</v>
      </c>
      <c r="K3745">
        <v>1</v>
      </c>
      <c r="L3745">
        <v>0</v>
      </c>
      <c r="M3745">
        <f>VLOOKUP(Table1[[#This Row],[subscription_type]],Plans!$A$1:$B$5,2,FALSE)</f>
        <v>9.99</v>
      </c>
      <c r="N3745">
        <f t="shared" si="58"/>
        <v>0</v>
      </c>
    </row>
    <row r="3746" spans="1:14" x14ac:dyDescent="0.35">
      <c r="A3746">
        <v>3745</v>
      </c>
      <c r="B3746" t="s">
        <v>12</v>
      </c>
      <c r="C3746">
        <v>30</v>
      </c>
      <c r="D3746" t="s">
        <v>28</v>
      </c>
      <c r="E3746" t="s">
        <v>24</v>
      </c>
      <c r="F3746">
        <v>257</v>
      </c>
      <c r="G3746">
        <v>28</v>
      </c>
      <c r="H3746">
        <v>0.36</v>
      </c>
      <c r="I3746" t="s">
        <v>23</v>
      </c>
      <c r="J3746">
        <v>0</v>
      </c>
      <c r="K3746">
        <v>1</v>
      </c>
      <c r="L3746">
        <v>0</v>
      </c>
      <c r="M3746">
        <f>VLOOKUP(Table1[[#This Row],[subscription_type]],Plans!$A$1:$B$5,2,FALSE)</f>
        <v>4.99</v>
      </c>
      <c r="N3746">
        <f t="shared" si="58"/>
        <v>0</v>
      </c>
    </row>
    <row r="3747" spans="1:14" x14ac:dyDescent="0.35">
      <c r="A3747">
        <v>3746</v>
      </c>
      <c r="B3747" t="s">
        <v>20</v>
      </c>
      <c r="C3747">
        <v>21</v>
      </c>
      <c r="D3747" t="s">
        <v>26</v>
      </c>
      <c r="E3747" t="s">
        <v>18</v>
      </c>
      <c r="F3747">
        <v>36</v>
      </c>
      <c r="G3747">
        <v>59</v>
      </c>
      <c r="H3747">
        <v>7.0000000000000007E-2</v>
      </c>
      <c r="I3747" t="s">
        <v>19</v>
      </c>
      <c r="J3747">
        <v>0</v>
      </c>
      <c r="K3747">
        <v>1</v>
      </c>
      <c r="L3747">
        <v>0</v>
      </c>
      <c r="M3747">
        <f>VLOOKUP(Table1[[#This Row],[subscription_type]],Plans!$A$1:$B$5,2,FALSE)</f>
        <v>14.99</v>
      </c>
      <c r="N3747">
        <f t="shared" si="58"/>
        <v>0</v>
      </c>
    </row>
    <row r="3748" spans="1:14" x14ac:dyDescent="0.35">
      <c r="A3748">
        <v>3747</v>
      </c>
      <c r="B3748" t="s">
        <v>12</v>
      </c>
      <c r="C3748">
        <v>23</v>
      </c>
      <c r="D3748" t="s">
        <v>27</v>
      </c>
      <c r="E3748" t="s">
        <v>24</v>
      </c>
      <c r="F3748">
        <v>287</v>
      </c>
      <c r="G3748">
        <v>63</v>
      </c>
      <c r="H3748">
        <v>7.0000000000000007E-2</v>
      </c>
      <c r="I3748" t="s">
        <v>15</v>
      </c>
      <c r="J3748">
        <v>0</v>
      </c>
      <c r="K3748">
        <v>1</v>
      </c>
      <c r="L3748">
        <v>0</v>
      </c>
      <c r="M3748">
        <f>VLOOKUP(Table1[[#This Row],[subscription_type]],Plans!$A$1:$B$5,2,FALSE)</f>
        <v>4.99</v>
      </c>
      <c r="N3748">
        <f t="shared" si="58"/>
        <v>0</v>
      </c>
    </row>
    <row r="3749" spans="1:14" x14ac:dyDescent="0.35">
      <c r="A3749">
        <v>3748</v>
      </c>
      <c r="B3749" t="s">
        <v>12</v>
      </c>
      <c r="C3749">
        <v>55</v>
      </c>
      <c r="D3749" t="s">
        <v>21</v>
      </c>
      <c r="E3749" t="s">
        <v>22</v>
      </c>
      <c r="F3749">
        <v>116</v>
      </c>
      <c r="G3749">
        <v>35</v>
      </c>
      <c r="H3749">
        <v>0.03</v>
      </c>
      <c r="I3749" t="s">
        <v>19</v>
      </c>
      <c r="J3749">
        <v>0</v>
      </c>
      <c r="K3749">
        <v>1</v>
      </c>
      <c r="L3749">
        <v>0</v>
      </c>
      <c r="M3749">
        <f>VLOOKUP(Table1[[#This Row],[subscription_type]],Plans!$A$1:$B$5,2,FALSE)</f>
        <v>9.99</v>
      </c>
      <c r="N3749">
        <f t="shared" si="58"/>
        <v>0</v>
      </c>
    </row>
    <row r="3750" spans="1:14" x14ac:dyDescent="0.35">
      <c r="A3750">
        <v>3749</v>
      </c>
      <c r="B3750" t="s">
        <v>20</v>
      </c>
      <c r="C3750">
        <v>48</v>
      </c>
      <c r="D3750" t="s">
        <v>28</v>
      </c>
      <c r="E3750" t="s">
        <v>14</v>
      </c>
      <c r="F3750">
        <v>234</v>
      </c>
      <c r="G3750">
        <v>11</v>
      </c>
      <c r="H3750">
        <v>0.15</v>
      </c>
      <c r="I3750" t="s">
        <v>15</v>
      </c>
      <c r="J3750">
        <v>31</v>
      </c>
      <c r="K3750">
        <v>0</v>
      </c>
      <c r="L3750">
        <v>0</v>
      </c>
      <c r="M3750">
        <f>VLOOKUP(Table1[[#This Row],[subscription_type]],Plans!$A$1:$B$5,2,FALSE)</f>
        <v>0</v>
      </c>
      <c r="N3750">
        <f t="shared" si="58"/>
        <v>0</v>
      </c>
    </row>
    <row r="3751" spans="1:14" x14ac:dyDescent="0.35">
      <c r="A3751">
        <v>3750</v>
      </c>
      <c r="B3751" t="s">
        <v>12</v>
      </c>
      <c r="C3751">
        <v>35</v>
      </c>
      <c r="D3751" t="s">
        <v>21</v>
      </c>
      <c r="E3751" t="s">
        <v>18</v>
      </c>
      <c r="F3751">
        <v>51</v>
      </c>
      <c r="G3751">
        <v>6</v>
      </c>
      <c r="H3751">
        <v>0.19</v>
      </c>
      <c r="I3751" t="s">
        <v>19</v>
      </c>
      <c r="J3751">
        <v>0</v>
      </c>
      <c r="K3751">
        <v>1</v>
      </c>
      <c r="L3751">
        <v>0</v>
      </c>
      <c r="M3751">
        <f>VLOOKUP(Table1[[#This Row],[subscription_type]],Plans!$A$1:$B$5,2,FALSE)</f>
        <v>14.99</v>
      </c>
      <c r="N3751">
        <f t="shared" si="58"/>
        <v>0</v>
      </c>
    </row>
    <row r="3752" spans="1:14" x14ac:dyDescent="0.35">
      <c r="A3752">
        <v>3751</v>
      </c>
      <c r="B3752" t="s">
        <v>20</v>
      </c>
      <c r="C3752">
        <v>43</v>
      </c>
      <c r="D3752" t="s">
        <v>29</v>
      </c>
      <c r="E3752" t="s">
        <v>18</v>
      </c>
      <c r="F3752">
        <v>287</v>
      </c>
      <c r="G3752">
        <v>22</v>
      </c>
      <c r="H3752">
        <v>0.44</v>
      </c>
      <c r="I3752" t="s">
        <v>19</v>
      </c>
      <c r="J3752">
        <v>0</v>
      </c>
      <c r="K3752">
        <v>1</v>
      </c>
      <c r="L3752">
        <v>1</v>
      </c>
      <c r="M3752">
        <f>VLOOKUP(Table1[[#This Row],[subscription_type]],Plans!$A$1:$B$5,2,FALSE)</f>
        <v>14.99</v>
      </c>
      <c r="N3752">
        <f t="shared" si="58"/>
        <v>14.99</v>
      </c>
    </row>
    <row r="3753" spans="1:14" x14ac:dyDescent="0.35">
      <c r="A3753">
        <v>3752</v>
      </c>
      <c r="B3753" t="s">
        <v>20</v>
      </c>
      <c r="C3753">
        <v>47</v>
      </c>
      <c r="D3753" t="s">
        <v>17</v>
      </c>
      <c r="E3753" t="s">
        <v>18</v>
      </c>
      <c r="F3753">
        <v>143</v>
      </c>
      <c r="G3753">
        <v>99</v>
      </c>
      <c r="H3753">
        <v>0.28999999999999998</v>
      </c>
      <c r="I3753" t="s">
        <v>15</v>
      </c>
      <c r="J3753">
        <v>0</v>
      </c>
      <c r="K3753">
        <v>1</v>
      </c>
      <c r="L3753">
        <v>0</v>
      </c>
      <c r="M3753">
        <f>VLOOKUP(Table1[[#This Row],[subscription_type]],Plans!$A$1:$B$5,2,FALSE)</f>
        <v>14.99</v>
      </c>
      <c r="N3753">
        <f t="shared" si="58"/>
        <v>0</v>
      </c>
    </row>
    <row r="3754" spans="1:14" x14ac:dyDescent="0.35">
      <c r="A3754">
        <v>3753</v>
      </c>
      <c r="B3754" t="s">
        <v>16</v>
      </c>
      <c r="C3754">
        <v>25</v>
      </c>
      <c r="D3754" t="s">
        <v>28</v>
      </c>
      <c r="E3754" t="s">
        <v>14</v>
      </c>
      <c r="F3754">
        <v>132</v>
      </c>
      <c r="G3754">
        <v>69</v>
      </c>
      <c r="H3754">
        <v>0.54</v>
      </c>
      <c r="I3754" t="s">
        <v>15</v>
      </c>
      <c r="J3754">
        <v>22</v>
      </c>
      <c r="K3754">
        <v>0</v>
      </c>
      <c r="L3754">
        <v>0</v>
      </c>
      <c r="M3754">
        <f>VLOOKUP(Table1[[#This Row],[subscription_type]],Plans!$A$1:$B$5,2,FALSE)</f>
        <v>0</v>
      </c>
      <c r="N3754">
        <f t="shared" si="58"/>
        <v>0</v>
      </c>
    </row>
    <row r="3755" spans="1:14" x14ac:dyDescent="0.35">
      <c r="A3755">
        <v>3754</v>
      </c>
      <c r="B3755" t="s">
        <v>12</v>
      </c>
      <c r="C3755">
        <v>44</v>
      </c>
      <c r="D3755" t="s">
        <v>28</v>
      </c>
      <c r="E3755" t="s">
        <v>24</v>
      </c>
      <c r="F3755">
        <v>12</v>
      </c>
      <c r="G3755">
        <v>31</v>
      </c>
      <c r="H3755">
        <v>0.01</v>
      </c>
      <c r="I3755" t="s">
        <v>15</v>
      </c>
      <c r="J3755">
        <v>0</v>
      </c>
      <c r="K3755">
        <v>1</v>
      </c>
      <c r="L3755">
        <v>0</v>
      </c>
      <c r="M3755">
        <f>VLOOKUP(Table1[[#This Row],[subscription_type]],Plans!$A$1:$B$5,2,FALSE)</f>
        <v>4.99</v>
      </c>
      <c r="N3755">
        <f t="shared" si="58"/>
        <v>0</v>
      </c>
    </row>
    <row r="3756" spans="1:14" x14ac:dyDescent="0.35">
      <c r="A3756">
        <v>3755</v>
      </c>
      <c r="B3756" t="s">
        <v>20</v>
      </c>
      <c r="C3756">
        <v>51</v>
      </c>
      <c r="D3756" t="s">
        <v>26</v>
      </c>
      <c r="E3756" t="s">
        <v>18</v>
      </c>
      <c r="F3756">
        <v>238</v>
      </c>
      <c r="G3756">
        <v>84</v>
      </c>
      <c r="H3756">
        <v>0.12</v>
      </c>
      <c r="I3756" t="s">
        <v>15</v>
      </c>
      <c r="J3756">
        <v>0</v>
      </c>
      <c r="K3756">
        <v>1</v>
      </c>
      <c r="L3756">
        <v>1</v>
      </c>
      <c r="M3756">
        <f>VLOOKUP(Table1[[#This Row],[subscription_type]],Plans!$A$1:$B$5,2,FALSE)</f>
        <v>14.99</v>
      </c>
      <c r="N3756">
        <f t="shared" si="58"/>
        <v>14.99</v>
      </c>
    </row>
    <row r="3757" spans="1:14" x14ac:dyDescent="0.35">
      <c r="A3757">
        <v>3756</v>
      </c>
      <c r="B3757" t="s">
        <v>20</v>
      </c>
      <c r="C3757">
        <v>43</v>
      </c>
      <c r="D3757" t="s">
        <v>27</v>
      </c>
      <c r="E3757" t="s">
        <v>18</v>
      </c>
      <c r="F3757">
        <v>256</v>
      </c>
      <c r="G3757">
        <v>20</v>
      </c>
      <c r="H3757">
        <v>0.38</v>
      </c>
      <c r="I3757" t="s">
        <v>19</v>
      </c>
      <c r="J3757">
        <v>0</v>
      </c>
      <c r="K3757">
        <v>1</v>
      </c>
      <c r="L3757">
        <v>1</v>
      </c>
      <c r="M3757">
        <f>VLOOKUP(Table1[[#This Row],[subscription_type]],Plans!$A$1:$B$5,2,FALSE)</f>
        <v>14.99</v>
      </c>
      <c r="N3757">
        <f t="shared" si="58"/>
        <v>14.99</v>
      </c>
    </row>
    <row r="3758" spans="1:14" x14ac:dyDescent="0.35">
      <c r="A3758">
        <v>3757</v>
      </c>
      <c r="B3758" t="s">
        <v>16</v>
      </c>
      <c r="C3758">
        <v>46</v>
      </c>
      <c r="D3758" t="s">
        <v>17</v>
      </c>
      <c r="E3758" t="s">
        <v>14</v>
      </c>
      <c r="F3758">
        <v>201</v>
      </c>
      <c r="G3758">
        <v>13</v>
      </c>
      <c r="H3758">
        <v>0.24</v>
      </c>
      <c r="I3758" t="s">
        <v>15</v>
      </c>
      <c r="J3758">
        <v>39</v>
      </c>
      <c r="K3758">
        <v>0</v>
      </c>
      <c r="L3758">
        <v>1</v>
      </c>
      <c r="M3758">
        <f>VLOOKUP(Table1[[#This Row],[subscription_type]],Plans!$A$1:$B$5,2,FALSE)</f>
        <v>0</v>
      </c>
      <c r="N3758">
        <f t="shared" si="58"/>
        <v>0</v>
      </c>
    </row>
    <row r="3759" spans="1:14" x14ac:dyDescent="0.35">
      <c r="A3759">
        <v>3758</v>
      </c>
      <c r="B3759" t="s">
        <v>12</v>
      </c>
      <c r="C3759">
        <v>38</v>
      </c>
      <c r="D3759" t="s">
        <v>28</v>
      </c>
      <c r="E3759" t="s">
        <v>24</v>
      </c>
      <c r="F3759">
        <v>57</v>
      </c>
      <c r="G3759">
        <v>92</v>
      </c>
      <c r="H3759">
        <v>0.23</v>
      </c>
      <c r="I3759" t="s">
        <v>23</v>
      </c>
      <c r="J3759">
        <v>0</v>
      </c>
      <c r="K3759">
        <v>1</v>
      </c>
      <c r="L3759">
        <v>0</v>
      </c>
      <c r="M3759">
        <f>VLOOKUP(Table1[[#This Row],[subscription_type]],Plans!$A$1:$B$5,2,FALSE)</f>
        <v>4.99</v>
      </c>
      <c r="N3759">
        <f t="shared" si="58"/>
        <v>0</v>
      </c>
    </row>
    <row r="3760" spans="1:14" x14ac:dyDescent="0.35">
      <c r="A3760">
        <v>3759</v>
      </c>
      <c r="B3760" t="s">
        <v>12</v>
      </c>
      <c r="C3760">
        <v>37</v>
      </c>
      <c r="D3760" t="s">
        <v>25</v>
      </c>
      <c r="E3760" t="s">
        <v>14</v>
      </c>
      <c r="F3760">
        <v>281</v>
      </c>
      <c r="G3760">
        <v>44</v>
      </c>
      <c r="H3760">
        <v>0.2</v>
      </c>
      <c r="I3760" t="s">
        <v>23</v>
      </c>
      <c r="J3760">
        <v>16</v>
      </c>
      <c r="K3760">
        <v>0</v>
      </c>
      <c r="L3760">
        <v>1</v>
      </c>
      <c r="M3760">
        <f>VLOOKUP(Table1[[#This Row],[subscription_type]],Plans!$A$1:$B$5,2,FALSE)</f>
        <v>0</v>
      </c>
      <c r="N3760">
        <f t="shared" si="58"/>
        <v>0</v>
      </c>
    </row>
    <row r="3761" spans="1:14" x14ac:dyDescent="0.35">
      <c r="A3761">
        <v>3760</v>
      </c>
      <c r="B3761" t="s">
        <v>20</v>
      </c>
      <c r="C3761">
        <v>51</v>
      </c>
      <c r="D3761" t="s">
        <v>21</v>
      </c>
      <c r="E3761" t="s">
        <v>22</v>
      </c>
      <c r="F3761">
        <v>36</v>
      </c>
      <c r="G3761">
        <v>78</v>
      </c>
      <c r="H3761">
        <v>0.47</v>
      </c>
      <c r="I3761" t="s">
        <v>15</v>
      </c>
      <c r="J3761">
        <v>0</v>
      </c>
      <c r="K3761">
        <v>1</v>
      </c>
      <c r="L3761">
        <v>0</v>
      </c>
      <c r="M3761">
        <f>VLOOKUP(Table1[[#This Row],[subscription_type]],Plans!$A$1:$B$5,2,FALSE)</f>
        <v>9.99</v>
      </c>
      <c r="N3761">
        <f t="shared" si="58"/>
        <v>0</v>
      </c>
    </row>
    <row r="3762" spans="1:14" x14ac:dyDescent="0.35">
      <c r="A3762">
        <v>3761</v>
      </c>
      <c r="B3762" t="s">
        <v>16</v>
      </c>
      <c r="C3762">
        <v>27</v>
      </c>
      <c r="D3762" t="s">
        <v>27</v>
      </c>
      <c r="E3762" t="s">
        <v>18</v>
      </c>
      <c r="F3762">
        <v>192</v>
      </c>
      <c r="G3762">
        <v>62</v>
      </c>
      <c r="H3762">
        <v>0.47</v>
      </c>
      <c r="I3762" t="s">
        <v>23</v>
      </c>
      <c r="J3762">
        <v>0</v>
      </c>
      <c r="K3762">
        <v>1</v>
      </c>
      <c r="L3762">
        <v>0</v>
      </c>
      <c r="M3762">
        <f>VLOOKUP(Table1[[#This Row],[subscription_type]],Plans!$A$1:$B$5,2,FALSE)</f>
        <v>14.99</v>
      </c>
      <c r="N3762">
        <f t="shared" si="58"/>
        <v>0</v>
      </c>
    </row>
    <row r="3763" spans="1:14" x14ac:dyDescent="0.35">
      <c r="A3763">
        <v>3762</v>
      </c>
      <c r="B3763" t="s">
        <v>16</v>
      </c>
      <c r="C3763">
        <v>41</v>
      </c>
      <c r="D3763" t="s">
        <v>21</v>
      </c>
      <c r="E3763" t="s">
        <v>24</v>
      </c>
      <c r="F3763">
        <v>19</v>
      </c>
      <c r="G3763">
        <v>57</v>
      </c>
      <c r="H3763">
        <v>0.28999999999999998</v>
      </c>
      <c r="I3763" t="s">
        <v>15</v>
      </c>
      <c r="J3763">
        <v>0</v>
      </c>
      <c r="K3763">
        <v>1</v>
      </c>
      <c r="L3763">
        <v>0</v>
      </c>
      <c r="M3763">
        <f>VLOOKUP(Table1[[#This Row],[subscription_type]],Plans!$A$1:$B$5,2,FALSE)</f>
        <v>4.99</v>
      </c>
      <c r="N3763">
        <f t="shared" si="58"/>
        <v>0</v>
      </c>
    </row>
    <row r="3764" spans="1:14" x14ac:dyDescent="0.35">
      <c r="A3764">
        <v>3763</v>
      </c>
      <c r="B3764" t="s">
        <v>12</v>
      </c>
      <c r="C3764">
        <v>58</v>
      </c>
      <c r="D3764" t="s">
        <v>21</v>
      </c>
      <c r="E3764" t="s">
        <v>14</v>
      </c>
      <c r="F3764">
        <v>85</v>
      </c>
      <c r="G3764">
        <v>24</v>
      </c>
      <c r="H3764">
        <v>0.33</v>
      </c>
      <c r="I3764" t="s">
        <v>15</v>
      </c>
      <c r="J3764">
        <v>26</v>
      </c>
      <c r="K3764">
        <v>0</v>
      </c>
      <c r="L3764">
        <v>1</v>
      </c>
      <c r="M3764">
        <f>VLOOKUP(Table1[[#This Row],[subscription_type]],Plans!$A$1:$B$5,2,FALSE)</f>
        <v>0</v>
      </c>
      <c r="N3764">
        <f t="shared" si="58"/>
        <v>0</v>
      </c>
    </row>
    <row r="3765" spans="1:14" x14ac:dyDescent="0.35">
      <c r="A3765">
        <v>3764</v>
      </c>
      <c r="B3765" t="s">
        <v>20</v>
      </c>
      <c r="C3765">
        <v>59</v>
      </c>
      <c r="D3765" t="s">
        <v>17</v>
      </c>
      <c r="E3765" t="s">
        <v>14</v>
      </c>
      <c r="F3765">
        <v>170</v>
      </c>
      <c r="G3765">
        <v>73</v>
      </c>
      <c r="H3765">
        <v>0.21</v>
      </c>
      <c r="I3765" t="s">
        <v>15</v>
      </c>
      <c r="J3765">
        <v>31</v>
      </c>
      <c r="K3765">
        <v>0</v>
      </c>
      <c r="L3765">
        <v>0</v>
      </c>
      <c r="M3765">
        <f>VLOOKUP(Table1[[#This Row],[subscription_type]],Plans!$A$1:$B$5,2,FALSE)</f>
        <v>0</v>
      </c>
      <c r="N3765">
        <f t="shared" si="58"/>
        <v>0</v>
      </c>
    </row>
    <row r="3766" spans="1:14" x14ac:dyDescent="0.35">
      <c r="A3766">
        <v>3765</v>
      </c>
      <c r="B3766" t="s">
        <v>20</v>
      </c>
      <c r="C3766">
        <v>56</v>
      </c>
      <c r="D3766" t="s">
        <v>29</v>
      </c>
      <c r="E3766" t="s">
        <v>24</v>
      </c>
      <c r="F3766">
        <v>115</v>
      </c>
      <c r="G3766">
        <v>41</v>
      </c>
      <c r="H3766">
        <v>0.2</v>
      </c>
      <c r="I3766" t="s">
        <v>23</v>
      </c>
      <c r="J3766">
        <v>0</v>
      </c>
      <c r="K3766">
        <v>1</v>
      </c>
      <c r="L3766">
        <v>0</v>
      </c>
      <c r="M3766">
        <f>VLOOKUP(Table1[[#This Row],[subscription_type]],Plans!$A$1:$B$5,2,FALSE)</f>
        <v>4.99</v>
      </c>
      <c r="N3766">
        <f t="shared" si="58"/>
        <v>0</v>
      </c>
    </row>
    <row r="3767" spans="1:14" x14ac:dyDescent="0.35">
      <c r="A3767">
        <v>3766</v>
      </c>
      <c r="B3767" t="s">
        <v>20</v>
      </c>
      <c r="C3767">
        <v>32</v>
      </c>
      <c r="D3767" t="s">
        <v>21</v>
      </c>
      <c r="E3767" t="s">
        <v>24</v>
      </c>
      <c r="F3767">
        <v>256</v>
      </c>
      <c r="G3767">
        <v>91</v>
      </c>
      <c r="H3767">
        <v>0.38</v>
      </c>
      <c r="I3767" t="s">
        <v>19</v>
      </c>
      <c r="J3767">
        <v>0</v>
      </c>
      <c r="K3767">
        <v>1</v>
      </c>
      <c r="L3767">
        <v>0</v>
      </c>
      <c r="M3767">
        <f>VLOOKUP(Table1[[#This Row],[subscription_type]],Plans!$A$1:$B$5,2,FALSE)</f>
        <v>4.99</v>
      </c>
      <c r="N3767">
        <f t="shared" si="58"/>
        <v>0</v>
      </c>
    </row>
    <row r="3768" spans="1:14" x14ac:dyDescent="0.35">
      <c r="A3768">
        <v>3767</v>
      </c>
      <c r="B3768" t="s">
        <v>20</v>
      </c>
      <c r="C3768">
        <v>48</v>
      </c>
      <c r="D3768" t="s">
        <v>25</v>
      </c>
      <c r="E3768" t="s">
        <v>22</v>
      </c>
      <c r="F3768">
        <v>24</v>
      </c>
      <c r="G3768">
        <v>26</v>
      </c>
      <c r="H3768">
        <v>0.49</v>
      </c>
      <c r="I3768" t="s">
        <v>23</v>
      </c>
      <c r="J3768">
        <v>0</v>
      </c>
      <c r="K3768">
        <v>1</v>
      </c>
      <c r="L3768">
        <v>0</v>
      </c>
      <c r="M3768">
        <f>VLOOKUP(Table1[[#This Row],[subscription_type]],Plans!$A$1:$B$5,2,FALSE)</f>
        <v>9.99</v>
      </c>
      <c r="N3768">
        <f t="shared" si="58"/>
        <v>0</v>
      </c>
    </row>
    <row r="3769" spans="1:14" x14ac:dyDescent="0.35">
      <c r="A3769">
        <v>3768</v>
      </c>
      <c r="B3769" t="s">
        <v>12</v>
      </c>
      <c r="C3769">
        <v>24</v>
      </c>
      <c r="D3769" t="s">
        <v>27</v>
      </c>
      <c r="E3769" t="s">
        <v>14</v>
      </c>
      <c r="F3769">
        <v>81</v>
      </c>
      <c r="G3769">
        <v>70</v>
      </c>
      <c r="H3769">
        <v>0.27</v>
      </c>
      <c r="I3769" t="s">
        <v>23</v>
      </c>
      <c r="J3769">
        <v>28</v>
      </c>
      <c r="K3769">
        <v>0</v>
      </c>
      <c r="L3769">
        <v>0</v>
      </c>
      <c r="M3769">
        <f>VLOOKUP(Table1[[#This Row],[subscription_type]],Plans!$A$1:$B$5,2,FALSE)</f>
        <v>0</v>
      </c>
      <c r="N3769">
        <f t="shared" si="58"/>
        <v>0</v>
      </c>
    </row>
    <row r="3770" spans="1:14" x14ac:dyDescent="0.35">
      <c r="A3770">
        <v>3769</v>
      </c>
      <c r="B3770" t="s">
        <v>12</v>
      </c>
      <c r="C3770">
        <v>40</v>
      </c>
      <c r="D3770" t="s">
        <v>29</v>
      </c>
      <c r="E3770" t="s">
        <v>24</v>
      </c>
      <c r="F3770">
        <v>191</v>
      </c>
      <c r="G3770">
        <v>70</v>
      </c>
      <c r="H3770">
        <v>0.28999999999999998</v>
      </c>
      <c r="I3770" t="s">
        <v>19</v>
      </c>
      <c r="J3770">
        <v>0</v>
      </c>
      <c r="K3770">
        <v>1</v>
      </c>
      <c r="L3770">
        <v>0</v>
      </c>
      <c r="M3770">
        <f>VLOOKUP(Table1[[#This Row],[subscription_type]],Plans!$A$1:$B$5,2,FALSE)</f>
        <v>4.99</v>
      </c>
      <c r="N3770">
        <f t="shared" si="58"/>
        <v>0</v>
      </c>
    </row>
    <row r="3771" spans="1:14" x14ac:dyDescent="0.35">
      <c r="A3771">
        <v>3770</v>
      </c>
      <c r="B3771" t="s">
        <v>20</v>
      </c>
      <c r="C3771">
        <v>42</v>
      </c>
      <c r="D3771" t="s">
        <v>28</v>
      </c>
      <c r="E3771" t="s">
        <v>22</v>
      </c>
      <c r="F3771">
        <v>47</v>
      </c>
      <c r="G3771">
        <v>97</v>
      </c>
      <c r="H3771">
        <v>0.06</v>
      </c>
      <c r="I3771" t="s">
        <v>23</v>
      </c>
      <c r="J3771">
        <v>0</v>
      </c>
      <c r="K3771">
        <v>1</v>
      </c>
      <c r="L3771">
        <v>0</v>
      </c>
      <c r="M3771">
        <f>VLOOKUP(Table1[[#This Row],[subscription_type]],Plans!$A$1:$B$5,2,FALSE)</f>
        <v>9.99</v>
      </c>
      <c r="N3771">
        <f t="shared" si="58"/>
        <v>0</v>
      </c>
    </row>
    <row r="3772" spans="1:14" x14ac:dyDescent="0.35">
      <c r="A3772">
        <v>3771</v>
      </c>
      <c r="B3772" t="s">
        <v>12</v>
      </c>
      <c r="C3772">
        <v>57</v>
      </c>
      <c r="D3772" t="s">
        <v>17</v>
      </c>
      <c r="E3772" t="s">
        <v>14</v>
      </c>
      <c r="F3772">
        <v>164</v>
      </c>
      <c r="G3772">
        <v>9</v>
      </c>
      <c r="H3772">
        <v>0.55000000000000004</v>
      </c>
      <c r="I3772" t="s">
        <v>19</v>
      </c>
      <c r="J3772">
        <v>5</v>
      </c>
      <c r="K3772">
        <v>0</v>
      </c>
      <c r="L3772">
        <v>0</v>
      </c>
      <c r="M3772">
        <f>VLOOKUP(Table1[[#This Row],[subscription_type]],Plans!$A$1:$B$5,2,FALSE)</f>
        <v>0</v>
      </c>
      <c r="N3772">
        <f t="shared" si="58"/>
        <v>0</v>
      </c>
    </row>
    <row r="3773" spans="1:14" x14ac:dyDescent="0.35">
      <c r="A3773">
        <v>3772</v>
      </c>
      <c r="B3773" t="s">
        <v>12</v>
      </c>
      <c r="C3773">
        <v>21</v>
      </c>
      <c r="D3773" t="s">
        <v>27</v>
      </c>
      <c r="E3773" t="s">
        <v>22</v>
      </c>
      <c r="F3773">
        <v>53</v>
      </c>
      <c r="G3773">
        <v>68</v>
      </c>
      <c r="H3773">
        <v>0.31</v>
      </c>
      <c r="I3773" t="s">
        <v>15</v>
      </c>
      <c r="J3773">
        <v>0</v>
      </c>
      <c r="K3773">
        <v>1</v>
      </c>
      <c r="L3773">
        <v>0</v>
      </c>
      <c r="M3773">
        <f>VLOOKUP(Table1[[#This Row],[subscription_type]],Plans!$A$1:$B$5,2,FALSE)</f>
        <v>9.99</v>
      </c>
      <c r="N3773">
        <f t="shared" si="58"/>
        <v>0</v>
      </c>
    </row>
    <row r="3774" spans="1:14" x14ac:dyDescent="0.35">
      <c r="A3774">
        <v>3773</v>
      </c>
      <c r="B3774" t="s">
        <v>20</v>
      </c>
      <c r="C3774">
        <v>30</v>
      </c>
      <c r="D3774" t="s">
        <v>26</v>
      </c>
      <c r="E3774" t="s">
        <v>22</v>
      </c>
      <c r="F3774">
        <v>175</v>
      </c>
      <c r="G3774">
        <v>31</v>
      </c>
      <c r="H3774">
        <v>0.28999999999999998</v>
      </c>
      <c r="I3774" t="s">
        <v>19</v>
      </c>
      <c r="J3774">
        <v>0</v>
      </c>
      <c r="K3774">
        <v>1</v>
      </c>
      <c r="L3774">
        <v>0</v>
      </c>
      <c r="M3774">
        <f>VLOOKUP(Table1[[#This Row],[subscription_type]],Plans!$A$1:$B$5,2,FALSE)</f>
        <v>9.99</v>
      </c>
      <c r="N3774">
        <f t="shared" si="58"/>
        <v>0</v>
      </c>
    </row>
    <row r="3775" spans="1:14" x14ac:dyDescent="0.35">
      <c r="A3775">
        <v>3774</v>
      </c>
      <c r="B3775" t="s">
        <v>16</v>
      </c>
      <c r="C3775">
        <v>39</v>
      </c>
      <c r="D3775" t="s">
        <v>21</v>
      </c>
      <c r="E3775" t="s">
        <v>18</v>
      </c>
      <c r="F3775">
        <v>269</v>
      </c>
      <c r="G3775">
        <v>27</v>
      </c>
      <c r="H3775">
        <v>0.52</v>
      </c>
      <c r="I3775" t="s">
        <v>23</v>
      </c>
      <c r="J3775">
        <v>0</v>
      </c>
      <c r="K3775">
        <v>1</v>
      </c>
      <c r="L3775">
        <v>0</v>
      </c>
      <c r="M3775">
        <f>VLOOKUP(Table1[[#This Row],[subscription_type]],Plans!$A$1:$B$5,2,FALSE)</f>
        <v>14.99</v>
      </c>
      <c r="N3775">
        <f t="shared" si="58"/>
        <v>0</v>
      </c>
    </row>
    <row r="3776" spans="1:14" x14ac:dyDescent="0.35">
      <c r="A3776">
        <v>3775</v>
      </c>
      <c r="B3776" t="s">
        <v>12</v>
      </c>
      <c r="C3776">
        <v>47</v>
      </c>
      <c r="D3776" t="s">
        <v>27</v>
      </c>
      <c r="E3776" t="s">
        <v>22</v>
      </c>
      <c r="F3776">
        <v>150</v>
      </c>
      <c r="G3776">
        <v>22</v>
      </c>
      <c r="H3776">
        <v>0.1</v>
      </c>
      <c r="I3776" t="s">
        <v>19</v>
      </c>
      <c r="J3776">
        <v>0</v>
      </c>
      <c r="K3776">
        <v>1</v>
      </c>
      <c r="L3776">
        <v>1</v>
      </c>
      <c r="M3776">
        <f>VLOOKUP(Table1[[#This Row],[subscription_type]],Plans!$A$1:$B$5,2,FALSE)</f>
        <v>9.99</v>
      </c>
      <c r="N3776">
        <f t="shared" si="58"/>
        <v>9.99</v>
      </c>
    </row>
    <row r="3777" spans="1:14" x14ac:dyDescent="0.35">
      <c r="A3777">
        <v>3776</v>
      </c>
      <c r="B3777" t="s">
        <v>12</v>
      </c>
      <c r="C3777">
        <v>56</v>
      </c>
      <c r="D3777" t="s">
        <v>29</v>
      </c>
      <c r="E3777" t="s">
        <v>24</v>
      </c>
      <c r="F3777">
        <v>18</v>
      </c>
      <c r="G3777">
        <v>27</v>
      </c>
      <c r="H3777">
        <v>0.14000000000000001</v>
      </c>
      <c r="I3777" t="s">
        <v>23</v>
      </c>
      <c r="J3777">
        <v>0</v>
      </c>
      <c r="K3777">
        <v>1</v>
      </c>
      <c r="L3777">
        <v>0</v>
      </c>
      <c r="M3777">
        <f>VLOOKUP(Table1[[#This Row],[subscription_type]],Plans!$A$1:$B$5,2,FALSE)</f>
        <v>4.99</v>
      </c>
      <c r="N3777">
        <f t="shared" si="58"/>
        <v>0</v>
      </c>
    </row>
    <row r="3778" spans="1:14" x14ac:dyDescent="0.35">
      <c r="A3778">
        <v>3777</v>
      </c>
      <c r="B3778" t="s">
        <v>16</v>
      </c>
      <c r="C3778">
        <v>43</v>
      </c>
      <c r="D3778" t="s">
        <v>21</v>
      </c>
      <c r="E3778" t="s">
        <v>18</v>
      </c>
      <c r="F3778">
        <v>96</v>
      </c>
      <c r="G3778">
        <v>38</v>
      </c>
      <c r="H3778">
        <v>0.56999999999999995</v>
      </c>
      <c r="I3778" t="s">
        <v>23</v>
      </c>
      <c r="J3778">
        <v>0</v>
      </c>
      <c r="K3778">
        <v>1</v>
      </c>
      <c r="L3778">
        <v>1</v>
      </c>
      <c r="M3778">
        <f>VLOOKUP(Table1[[#This Row],[subscription_type]],Plans!$A$1:$B$5,2,FALSE)</f>
        <v>14.99</v>
      </c>
      <c r="N3778">
        <f t="shared" ref="N3778:N3841" si="59">IF(L3778=1, M3778,0)</f>
        <v>14.99</v>
      </c>
    </row>
    <row r="3779" spans="1:14" x14ac:dyDescent="0.35">
      <c r="A3779">
        <v>3778</v>
      </c>
      <c r="B3779" t="s">
        <v>12</v>
      </c>
      <c r="C3779">
        <v>19</v>
      </c>
      <c r="D3779" t="s">
        <v>28</v>
      </c>
      <c r="E3779" t="s">
        <v>14</v>
      </c>
      <c r="F3779">
        <v>197</v>
      </c>
      <c r="G3779">
        <v>86</v>
      </c>
      <c r="H3779">
        <v>0</v>
      </c>
      <c r="I3779" t="s">
        <v>15</v>
      </c>
      <c r="J3779">
        <v>32</v>
      </c>
      <c r="K3779">
        <v>0</v>
      </c>
      <c r="L3779">
        <v>1</v>
      </c>
      <c r="M3779">
        <f>VLOOKUP(Table1[[#This Row],[subscription_type]],Plans!$A$1:$B$5,2,FALSE)</f>
        <v>0</v>
      </c>
      <c r="N3779">
        <f t="shared" si="59"/>
        <v>0</v>
      </c>
    </row>
    <row r="3780" spans="1:14" x14ac:dyDescent="0.35">
      <c r="A3780">
        <v>3779</v>
      </c>
      <c r="B3780" t="s">
        <v>16</v>
      </c>
      <c r="C3780">
        <v>30</v>
      </c>
      <c r="D3780" t="s">
        <v>13</v>
      </c>
      <c r="E3780" t="s">
        <v>14</v>
      </c>
      <c r="F3780">
        <v>112</v>
      </c>
      <c r="G3780">
        <v>29</v>
      </c>
      <c r="H3780">
        <v>0.3</v>
      </c>
      <c r="I3780" t="s">
        <v>23</v>
      </c>
      <c r="J3780">
        <v>43</v>
      </c>
      <c r="K3780">
        <v>0</v>
      </c>
      <c r="L3780">
        <v>0</v>
      </c>
      <c r="M3780">
        <f>VLOOKUP(Table1[[#This Row],[subscription_type]],Plans!$A$1:$B$5,2,FALSE)</f>
        <v>0</v>
      </c>
      <c r="N3780">
        <f t="shared" si="59"/>
        <v>0</v>
      </c>
    </row>
    <row r="3781" spans="1:14" x14ac:dyDescent="0.35">
      <c r="A3781">
        <v>3780</v>
      </c>
      <c r="B3781" t="s">
        <v>12</v>
      </c>
      <c r="C3781">
        <v>35</v>
      </c>
      <c r="D3781" t="s">
        <v>17</v>
      </c>
      <c r="E3781" t="s">
        <v>18</v>
      </c>
      <c r="F3781">
        <v>152</v>
      </c>
      <c r="G3781">
        <v>63</v>
      </c>
      <c r="H3781">
        <v>0.14000000000000001</v>
      </c>
      <c r="I3781" t="s">
        <v>15</v>
      </c>
      <c r="J3781">
        <v>0</v>
      </c>
      <c r="K3781">
        <v>1</v>
      </c>
      <c r="L3781">
        <v>1</v>
      </c>
      <c r="M3781">
        <f>VLOOKUP(Table1[[#This Row],[subscription_type]],Plans!$A$1:$B$5,2,FALSE)</f>
        <v>14.99</v>
      </c>
      <c r="N3781">
        <f t="shared" si="59"/>
        <v>14.99</v>
      </c>
    </row>
    <row r="3782" spans="1:14" x14ac:dyDescent="0.35">
      <c r="A3782">
        <v>3781</v>
      </c>
      <c r="B3782" t="s">
        <v>16</v>
      </c>
      <c r="C3782">
        <v>48</v>
      </c>
      <c r="D3782" t="s">
        <v>28</v>
      </c>
      <c r="E3782" t="s">
        <v>24</v>
      </c>
      <c r="F3782">
        <v>183</v>
      </c>
      <c r="G3782">
        <v>43</v>
      </c>
      <c r="H3782">
        <v>0.26</v>
      </c>
      <c r="I3782" t="s">
        <v>15</v>
      </c>
      <c r="J3782">
        <v>0</v>
      </c>
      <c r="K3782">
        <v>1</v>
      </c>
      <c r="L3782">
        <v>0</v>
      </c>
      <c r="M3782">
        <f>VLOOKUP(Table1[[#This Row],[subscription_type]],Plans!$A$1:$B$5,2,FALSE)</f>
        <v>4.99</v>
      </c>
      <c r="N3782">
        <f t="shared" si="59"/>
        <v>0</v>
      </c>
    </row>
    <row r="3783" spans="1:14" x14ac:dyDescent="0.35">
      <c r="A3783">
        <v>3782</v>
      </c>
      <c r="B3783" t="s">
        <v>12</v>
      </c>
      <c r="C3783">
        <v>32</v>
      </c>
      <c r="D3783" t="s">
        <v>29</v>
      </c>
      <c r="E3783" t="s">
        <v>18</v>
      </c>
      <c r="F3783">
        <v>73</v>
      </c>
      <c r="G3783">
        <v>20</v>
      </c>
      <c r="H3783">
        <v>0.57999999999999996</v>
      </c>
      <c r="I3783" t="s">
        <v>23</v>
      </c>
      <c r="J3783">
        <v>0</v>
      </c>
      <c r="K3783">
        <v>1</v>
      </c>
      <c r="L3783">
        <v>0</v>
      </c>
      <c r="M3783">
        <f>VLOOKUP(Table1[[#This Row],[subscription_type]],Plans!$A$1:$B$5,2,FALSE)</f>
        <v>14.99</v>
      </c>
      <c r="N3783">
        <f t="shared" si="59"/>
        <v>0</v>
      </c>
    </row>
    <row r="3784" spans="1:14" x14ac:dyDescent="0.35">
      <c r="A3784">
        <v>3783</v>
      </c>
      <c r="B3784" t="s">
        <v>20</v>
      </c>
      <c r="C3784">
        <v>37</v>
      </c>
      <c r="D3784" t="s">
        <v>29</v>
      </c>
      <c r="E3784" t="s">
        <v>24</v>
      </c>
      <c r="F3784">
        <v>204</v>
      </c>
      <c r="G3784">
        <v>25</v>
      </c>
      <c r="H3784">
        <v>0.33</v>
      </c>
      <c r="I3784" t="s">
        <v>15</v>
      </c>
      <c r="J3784">
        <v>0</v>
      </c>
      <c r="K3784">
        <v>1</v>
      </c>
      <c r="L3784">
        <v>0</v>
      </c>
      <c r="M3784">
        <f>VLOOKUP(Table1[[#This Row],[subscription_type]],Plans!$A$1:$B$5,2,FALSE)</f>
        <v>4.99</v>
      </c>
      <c r="N3784">
        <f t="shared" si="59"/>
        <v>0</v>
      </c>
    </row>
    <row r="3785" spans="1:14" x14ac:dyDescent="0.35">
      <c r="A3785">
        <v>3784</v>
      </c>
      <c r="B3785" t="s">
        <v>20</v>
      </c>
      <c r="C3785">
        <v>23</v>
      </c>
      <c r="D3785" t="s">
        <v>25</v>
      </c>
      <c r="E3785" t="s">
        <v>18</v>
      </c>
      <c r="F3785">
        <v>142</v>
      </c>
      <c r="G3785">
        <v>6</v>
      </c>
      <c r="H3785">
        <v>0.34</v>
      </c>
      <c r="I3785" t="s">
        <v>15</v>
      </c>
      <c r="J3785">
        <v>0</v>
      </c>
      <c r="K3785">
        <v>1</v>
      </c>
      <c r="L3785">
        <v>0</v>
      </c>
      <c r="M3785">
        <f>VLOOKUP(Table1[[#This Row],[subscription_type]],Plans!$A$1:$B$5,2,FALSE)</f>
        <v>14.99</v>
      </c>
      <c r="N3785">
        <f t="shared" si="59"/>
        <v>0</v>
      </c>
    </row>
    <row r="3786" spans="1:14" x14ac:dyDescent="0.35">
      <c r="A3786">
        <v>3785</v>
      </c>
      <c r="B3786" t="s">
        <v>16</v>
      </c>
      <c r="C3786">
        <v>43</v>
      </c>
      <c r="D3786" t="s">
        <v>17</v>
      </c>
      <c r="E3786" t="s">
        <v>18</v>
      </c>
      <c r="F3786">
        <v>68</v>
      </c>
      <c r="G3786">
        <v>44</v>
      </c>
      <c r="H3786">
        <v>0.25</v>
      </c>
      <c r="I3786" t="s">
        <v>19</v>
      </c>
      <c r="J3786">
        <v>0</v>
      </c>
      <c r="K3786">
        <v>1</v>
      </c>
      <c r="L3786">
        <v>0</v>
      </c>
      <c r="M3786">
        <f>VLOOKUP(Table1[[#This Row],[subscription_type]],Plans!$A$1:$B$5,2,FALSE)</f>
        <v>14.99</v>
      </c>
      <c r="N3786">
        <f t="shared" si="59"/>
        <v>0</v>
      </c>
    </row>
    <row r="3787" spans="1:14" x14ac:dyDescent="0.35">
      <c r="A3787">
        <v>3786</v>
      </c>
      <c r="B3787" t="s">
        <v>16</v>
      </c>
      <c r="C3787">
        <v>51</v>
      </c>
      <c r="D3787" t="s">
        <v>27</v>
      </c>
      <c r="E3787" t="s">
        <v>14</v>
      </c>
      <c r="F3787">
        <v>227</v>
      </c>
      <c r="G3787">
        <v>5</v>
      </c>
      <c r="H3787">
        <v>0.53</v>
      </c>
      <c r="I3787" t="s">
        <v>19</v>
      </c>
      <c r="J3787">
        <v>45</v>
      </c>
      <c r="K3787">
        <v>0</v>
      </c>
      <c r="L3787">
        <v>1</v>
      </c>
      <c r="M3787">
        <f>VLOOKUP(Table1[[#This Row],[subscription_type]],Plans!$A$1:$B$5,2,FALSE)</f>
        <v>0</v>
      </c>
      <c r="N3787">
        <f t="shared" si="59"/>
        <v>0</v>
      </c>
    </row>
    <row r="3788" spans="1:14" x14ac:dyDescent="0.35">
      <c r="A3788">
        <v>3787</v>
      </c>
      <c r="B3788" t="s">
        <v>12</v>
      </c>
      <c r="C3788">
        <v>42</v>
      </c>
      <c r="D3788" t="s">
        <v>26</v>
      </c>
      <c r="E3788" t="s">
        <v>22</v>
      </c>
      <c r="F3788">
        <v>188</v>
      </c>
      <c r="G3788">
        <v>67</v>
      </c>
      <c r="H3788">
        <v>0.47</v>
      </c>
      <c r="I3788" t="s">
        <v>19</v>
      </c>
      <c r="J3788">
        <v>0</v>
      </c>
      <c r="K3788">
        <v>1</v>
      </c>
      <c r="L3788">
        <v>0</v>
      </c>
      <c r="M3788">
        <f>VLOOKUP(Table1[[#This Row],[subscription_type]],Plans!$A$1:$B$5,2,FALSE)</f>
        <v>9.99</v>
      </c>
      <c r="N3788">
        <f t="shared" si="59"/>
        <v>0</v>
      </c>
    </row>
    <row r="3789" spans="1:14" x14ac:dyDescent="0.35">
      <c r="A3789">
        <v>3788</v>
      </c>
      <c r="B3789" t="s">
        <v>20</v>
      </c>
      <c r="C3789">
        <v>57</v>
      </c>
      <c r="D3789" t="s">
        <v>27</v>
      </c>
      <c r="E3789" t="s">
        <v>24</v>
      </c>
      <c r="F3789">
        <v>86</v>
      </c>
      <c r="G3789">
        <v>83</v>
      </c>
      <c r="H3789">
        <v>0.09</v>
      </c>
      <c r="I3789" t="s">
        <v>19</v>
      </c>
      <c r="J3789">
        <v>0</v>
      </c>
      <c r="K3789">
        <v>1</v>
      </c>
      <c r="L3789">
        <v>0</v>
      </c>
      <c r="M3789">
        <f>VLOOKUP(Table1[[#This Row],[subscription_type]],Plans!$A$1:$B$5,2,FALSE)</f>
        <v>4.99</v>
      </c>
      <c r="N3789">
        <f t="shared" si="59"/>
        <v>0</v>
      </c>
    </row>
    <row r="3790" spans="1:14" x14ac:dyDescent="0.35">
      <c r="A3790">
        <v>3789</v>
      </c>
      <c r="B3790" t="s">
        <v>16</v>
      </c>
      <c r="C3790">
        <v>46</v>
      </c>
      <c r="D3790" t="s">
        <v>29</v>
      </c>
      <c r="E3790" t="s">
        <v>14</v>
      </c>
      <c r="F3790">
        <v>61</v>
      </c>
      <c r="G3790">
        <v>85</v>
      </c>
      <c r="H3790">
        <v>0.56999999999999995</v>
      </c>
      <c r="I3790" t="s">
        <v>19</v>
      </c>
      <c r="J3790">
        <v>31</v>
      </c>
      <c r="K3790">
        <v>0</v>
      </c>
      <c r="L3790">
        <v>1</v>
      </c>
      <c r="M3790">
        <f>VLOOKUP(Table1[[#This Row],[subscription_type]],Plans!$A$1:$B$5,2,FALSE)</f>
        <v>0</v>
      </c>
      <c r="N3790">
        <f t="shared" si="59"/>
        <v>0</v>
      </c>
    </row>
    <row r="3791" spans="1:14" x14ac:dyDescent="0.35">
      <c r="A3791">
        <v>3790</v>
      </c>
      <c r="B3791" t="s">
        <v>12</v>
      </c>
      <c r="C3791">
        <v>52</v>
      </c>
      <c r="D3791" t="s">
        <v>29</v>
      </c>
      <c r="E3791" t="s">
        <v>24</v>
      </c>
      <c r="F3791">
        <v>28</v>
      </c>
      <c r="G3791">
        <v>33</v>
      </c>
      <c r="H3791">
        <v>0.19</v>
      </c>
      <c r="I3791" t="s">
        <v>23</v>
      </c>
      <c r="J3791">
        <v>0</v>
      </c>
      <c r="K3791">
        <v>1</v>
      </c>
      <c r="L3791">
        <v>0</v>
      </c>
      <c r="M3791">
        <f>VLOOKUP(Table1[[#This Row],[subscription_type]],Plans!$A$1:$B$5,2,FALSE)</f>
        <v>4.99</v>
      </c>
      <c r="N3791">
        <f t="shared" si="59"/>
        <v>0</v>
      </c>
    </row>
    <row r="3792" spans="1:14" x14ac:dyDescent="0.35">
      <c r="A3792">
        <v>3791</v>
      </c>
      <c r="B3792" t="s">
        <v>12</v>
      </c>
      <c r="C3792">
        <v>21</v>
      </c>
      <c r="D3792" t="s">
        <v>26</v>
      </c>
      <c r="E3792" t="s">
        <v>14</v>
      </c>
      <c r="F3792">
        <v>50</v>
      </c>
      <c r="G3792">
        <v>47</v>
      </c>
      <c r="H3792">
        <v>0.37</v>
      </c>
      <c r="I3792" t="s">
        <v>15</v>
      </c>
      <c r="J3792">
        <v>24</v>
      </c>
      <c r="K3792">
        <v>0</v>
      </c>
      <c r="L3792">
        <v>0</v>
      </c>
      <c r="M3792">
        <f>VLOOKUP(Table1[[#This Row],[subscription_type]],Plans!$A$1:$B$5,2,FALSE)</f>
        <v>0</v>
      </c>
      <c r="N3792">
        <f t="shared" si="59"/>
        <v>0</v>
      </c>
    </row>
    <row r="3793" spans="1:14" x14ac:dyDescent="0.35">
      <c r="A3793">
        <v>3792</v>
      </c>
      <c r="B3793" t="s">
        <v>16</v>
      </c>
      <c r="C3793">
        <v>45</v>
      </c>
      <c r="D3793" t="s">
        <v>29</v>
      </c>
      <c r="E3793" t="s">
        <v>18</v>
      </c>
      <c r="F3793">
        <v>20</v>
      </c>
      <c r="G3793">
        <v>14</v>
      </c>
      <c r="H3793">
        <v>0.45</v>
      </c>
      <c r="I3793" t="s">
        <v>23</v>
      </c>
      <c r="J3793">
        <v>0</v>
      </c>
      <c r="K3793">
        <v>1</v>
      </c>
      <c r="L3793">
        <v>1</v>
      </c>
      <c r="M3793">
        <f>VLOOKUP(Table1[[#This Row],[subscription_type]],Plans!$A$1:$B$5,2,FALSE)</f>
        <v>14.99</v>
      </c>
      <c r="N3793">
        <f t="shared" si="59"/>
        <v>14.99</v>
      </c>
    </row>
    <row r="3794" spans="1:14" x14ac:dyDescent="0.35">
      <c r="A3794">
        <v>3793</v>
      </c>
      <c r="B3794" t="s">
        <v>20</v>
      </c>
      <c r="C3794">
        <v>21</v>
      </c>
      <c r="D3794" t="s">
        <v>28</v>
      </c>
      <c r="E3794" t="s">
        <v>22</v>
      </c>
      <c r="F3794">
        <v>176</v>
      </c>
      <c r="G3794">
        <v>41</v>
      </c>
      <c r="H3794">
        <v>0.56999999999999995</v>
      </c>
      <c r="I3794" t="s">
        <v>15</v>
      </c>
      <c r="J3794">
        <v>0</v>
      </c>
      <c r="K3794">
        <v>1</v>
      </c>
      <c r="L3794">
        <v>0</v>
      </c>
      <c r="M3794">
        <f>VLOOKUP(Table1[[#This Row],[subscription_type]],Plans!$A$1:$B$5,2,FALSE)</f>
        <v>9.99</v>
      </c>
      <c r="N3794">
        <f t="shared" si="59"/>
        <v>0</v>
      </c>
    </row>
    <row r="3795" spans="1:14" x14ac:dyDescent="0.35">
      <c r="A3795">
        <v>3794</v>
      </c>
      <c r="B3795" t="s">
        <v>12</v>
      </c>
      <c r="C3795">
        <v>41</v>
      </c>
      <c r="D3795" t="s">
        <v>29</v>
      </c>
      <c r="E3795" t="s">
        <v>24</v>
      </c>
      <c r="F3795">
        <v>46</v>
      </c>
      <c r="G3795">
        <v>53</v>
      </c>
      <c r="H3795">
        <v>0.25</v>
      </c>
      <c r="I3795" t="s">
        <v>23</v>
      </c>
      <c r="J3795">
        <v>0</v>
      </c>
      <c r="K3795">
        <v>1</v>
      </c>
      <c r="L3795">
        <v>0</v>
      </c>
      <c r="M3795">
        <f>VLOOKUP(Table1[[#This Row],[subscription_type]],Plans!$A$1:$B$5,2,FALSE)</f>
        <v>4.99</v>
      </c>
      <c r="N3795">
        <f t="shared" si="59"/>
        <v>0</v>
      </c>
    </row>
    <row r="3796" spans="1:14" x14ac:dyDescent="0.35">
      <c r="A3796">
        <v>3795</v>
      </c>
      <c r="B3796" t="s">
        <v>20</v>
      </c>
      <c r="C3796">
        <v>22</v>
      </c>
      <c r="D3796" t="s">
        <v>26</v>
      </c>
      <c r="E3796" t="s">
        <v>22</v>
      </c>
      <c r="F3796">
        <v>77</v>
      </c>
      <c r="G3796">
        <v>88</v>
      </c>
      <c r="H3796">
        <v>0.33</v>
      </c>
      <c r="I3796" t="s">
        <v>15</v>
      </c>
      <c r="J3796">
        <v>0</v>
      </c>
      <c r="K3796">
        <v>1</v>
      </c>
      <c r="L3796">
        <v>0</v>
      </c>
      <c r="M3796">
        <f>VLOOKUP(Table1[[#This Row],[subscription_type]],Plans!$A$1:$B$5,2,FALSE)</f>
        <v>9.99</v>
      </c>
      <c r="N3796">
        <f t="shared" si="59"/>
        <v>0</v>
      </c>
    </row>
    <row r="3797" spans="1:14" x14ac:dyDescent="0.35">
      <c r="A3797">
        <v>3796</v>
      </c>
      <c r="B3797" t="s">
        <v>12</v>
      </c>
      <c r="C3797">
        <v>49</v>
      </c>
      <c r="D3797" t="s">
        <v>29</v>
      </c>
      <c r="E3797" t="s">
        <v>24</v>
      </c>
      <c r="F3797">
        <v>37</v>
      </c>
      <c r="G3797">
        <v>17</v>
      </c>
      <c r="H3797">
        <v>0.2</v>
      </c>
      <c r="I3797" t="s">
        <v>15</v>
      </c>
      <c r="J3797">
        <v>0</v>
      </c>
      <c r="K3797">
        <v>1</v>
      </c>
      <c r="L3797">
        <v>0</v>
      </c>
      <c r="M3797">
        <f>VLOOKUP(Table1[[#This Row],[subscription_type]],Plans!$A$1:$B$5,2,FALSE)</f>
        <v>4.99</v>
      </c>
      <c r="N3797">
        <f t="shared" si="59"/>
        <v>0</v>
      </c>
    </row>
    <row r="3798" spans="1:14" x14ac:dyDescent="0.35">
      <c r="A3798">
        <v>3797</v>
      </c>
      <c r="B3798" t="s">
        <v>20</v>
      </c>
      <c r="C3798">
        <v>37</v>
      </c>
      <c r="D3798" t="s">
        <v>27</v>
      </c>
      <c r="E3798" t="s">
        <v>14</v>
      </c>
      <c r="F3798">
        <v>256</v>
      </c>
      <c r="G3798">
        <v>30</v>
      </c>
      <c r="H3798">
        <v>0.14000000000000001</v>
      </c>
      <c r="I3798" t="s">
        <v>19</v>
      </c>
      <c r="J3798">
        <v>12</v>
      </c>
      <c r="K3798">
        <v>0</v>
      </c>
      <c r="L3798">
        <v>0</v>
      </c>
      <c r="M3798">
        <f>VLOOKUP(Table1[[#This Row],[subscription_type]],Plans!$A$1:$B$5,2,FALSE)</f>
        <v>0</v>
      </c>
      <c r="N3798">
        <f t="shared" si="59"/>
        <v>0</v>
      </c>
    </row>
    <row r="3799" spans="1:14" x14ac:dyDescent="0.35">
      <c r="A3799">
        <v>3798</v>
      </c>
      <c r="B3799" t="s">
        <v>16</v>
      </c>
      <c r="C3799">
        <v>31</v>
      </c>
      <c r="D3799" t="s">
        <v>28</v>
      </c>
      <c r="E3799" t="s">
        <v>14</v>
      </c>
      <c r="F3799">
        <v>240</v>
      </c>
      <c r="G3799">
        <v>84</v>
      </c>
      <c r="H3799">
        <v>0.57999999999999996</v>
      </c>
      <c r="I3799" t="s">
        <v>23</v>
      </c>
      <c r="J3799">
        <v>39</v>
      </c>
      <c r="K3799">
        <v>0</v>
      </c>
      <c r="L3799">
        <v>0</v>
      </c>
      <c r="M3799">
        <f>VLOOKUP(Table1[[#This Row],[subscription_type]],Plans!$A$1:$B$5,2,FALSE)</f>
        <v>0</v>
      </c>
      <c r="N3799">
        <f t="shared" si="59"/>
        <v>0</v>
      </c>
    </row>
    <row r="3800" spans="1:14" x14ac:dyDescent="0.35">
      <c r="A3800">
        <v>3799</v>
      </c>
      <c r="B3800" t="s">
        <v>16</v>
      </c>
      <c r="C3800">
        <v>47</v>
      </c>
      <c r="D3800" t="s">
        <v>27</v>
      </c>
      <c r="E3800" t="s">
        <v>24</v>
      </c>
      <c r="F3800">
        <v>196</v>
      </c>
      <c r="G3800">
        <v>24</v>
      </c>
      <c r="H3800">
        <v>7.0000000000000007E-2</v>
      </c>
      <c r="I3800" t="s">
        <v>23</v>
      </c>
      <c r="J3800">
        <v>0</v>
      </c>
      <c r="K3800">
        <v>1</v>
      </c>
      <c r="L3800">
        <v>0</v>
      </c>
      <c r="M3800">
        <f>VLOOKUP(Table1[[#This Row],[subscription_type]],Plans!$A$1:$B$5,2,FALSE)</f>
        <v>4.99</v>
      </c>
      <c r="N3800">
        <f t="shared" si="59"/>
        <v>0</v>
      </c>
    </row>
    <row r="3801" spans="1:14" x14ac:dyDescent="0.35">
      <c r="A3801">
        <v>3800</v>
      </c>
      <c r="B3801" t="s">
        <v>20</v>
      </c>
      <c r="C3801">
        <v>53</v>
      </c>
      <c r="D3801" t="s">
        <v>29</v>
      </c>
      <c r="E3801" t="s">
        <v>18</v>
      </c>
      <c r="F3801">
        <v>57</v>
      </c>
      <c r="G3801">
        <v>16</v>
      </c>
      <c r="H3801">
        <v>0.5</v>
      </c>
      <c r="I3801" t="s">
        <v>19</v>
      </c>
      <c r="J3801">
        <v>0</v>
      </c>
      <c r="K3801">
        <v>1</v>
      </c>
      <c r="L3801">
        <v>0</v>
      </c>
      <c r="M3801">
        <f>VLOOKUP(Table1[[#This Row],[subscription_type]],Plans!$A$1:$B$5,2,FALSE)</f>
        <v>14.99</v>
      </c>
      <c r="N3801">
        <f t="shared" si="59"/>
        <v>0</v>
      </c>
    </row>
    <row r="3802" spans="1:14" x14ac:dyDescent="0.35">
      <c r="A3802">
        <v>3801</v>
      </c>
      <c r="B3802" t="s">
        <v>12</v>
      </c>
      <c r="C3802">
        <v>57</v>
      </c>
      <c r="D3802" t="s">
        <v>17</v>
      </c>
      <c r="E3802" t="s">
        <v>14</v>
      </c>
      <c r="F3802">
        <v>214</v>
      </c>
      <c r="G3802">
        <v>51</v>
      </c>
      <c r="H3802">
        <v>0.15</v>
      </c>
      <c r="I3802" t="s">
        <v>19</v>
      </c>
      <c r="J3802">
        <v>33</v>
      </c>
      <c r="K3802">
        <v>0</v>
      </c>
      <c r="L3802">
        <v>1</v>
      </c>
      <c r="M3802">
        <f>VLOOKUP(Table1[[#This Row],[subscription_type]],Plans!$A$1:$B$5,2,FALSE)</f>
        <v>0</v>
      </c>
      <c r="N3802">
        <f t="shared" si="59"/>
        <v>0</v>
      </c>
    </row>
    <row r="3803" spans="1:14" x14ac:dyDescent="0.35">
      <c r="A3803">
        <v>3802</v>
      </c>
      <c r="B3803" t="s">
        <v>12</v>
      </c>
      <c r="C3803">
        <v>19</v>
      </c>
      <c r="D3803" t="s">
        <v>29</v>
      </c>
      <c r="E3803" t="s">
        <v>14</v>
      </c>
      <c r="F3803">
        <v>48</v>
      </c>
      <c r="G3803">
        <v>83</v>
      </c>
      <c r="H3803">
        <v>0.44</v>
      </c>
      <c r="I3803" t="s">
        <v>19</v>
      </c>
      <c r="J3803">
        <v>40</v>
      </c>
      <c r="K3803">
        <v>0</v>
      </c>
      <c r="L3803">
        <v>1</v>
      </c>
      <c r="M3803">
        <f>VLOOKUP(Table1[[#This Row],[subscription_type]],Plans!$A$1:$B$5,2,FALSE)</f>
        <v>0</v>
      </c>
      <c r="N3803">
        <f t="shared" si="59"/>
        <v>0</v>
      </c>
    </row>
    <row r="3804" spans="1:14" x14ac:dyDescent="0.35">
      <c r="A3804">
        <v>3803</v>
      </c>
      <c r="B3804" t="s">
        <v>20</v>
      </c>
      <c r="C3804">
        <v>53</v>
      </c>
      <c r="D3804" t="s">
        <v>27</v>
      </c>
      <c r="E3804" t="s">
        <v>14</v>
      </c>
      <c r="F3804">
        <v>99</v>
      </c>
      <c r="G3804">
        <v>1</v>
      </c>
      <c r="H3804">
        <v>0.24</v>
      </c>
      <c r="I3804" t="s">
        <v>15</v>
      </c>
      <c r="J3804">
        <v>25</v>
      </c>
      <c r="K3804">
        <v>0</v>
      </c>
      <c r="L3804">
        <v>0</v>
      </c>
      <c r="M3804">
        <f>VLOOKUP(Table1[[#This Row],[subscription_type]],Plans!$A$1:$B$5,2,FALSE)</f>
        <v>0</v>
      </c>
      <c r="N3804">
        <f t="shared" si="59"/>
        <v>0</v>
      </c>
    </row>
    <row r="3805" spans="1:14" x14ac:dyDescent="0.35">
      <c r="A3805">
        <v>3804</v>
      </c>
      <c r="B3805" t="s">
        <v>20</v>
      </c>
      <c r="C3805">
        <v>43</v>
      </c>
      <c r="D3805" t="s">
        <v>21</v>
      </c>
      <c r="E3805" t="s">
        <v>22</v>
      </c>
      <c r="F3805">
        <v>172</v>
      </c>
      <c r="G3805">
        <v>88</v>
      </c>
      <c r="H3805">
        <v>0.36</v>
      </c>
      <c r="I3805" t="s">
        <v>19</v>
      </c>
      <c r="J3805">
        <v>0</v>
      </c>
      <c r="K3805">
        <v>1</v>
      </c>
      <c r="L3805">
        <v>0</v>
      </c>
      <c r="M3805">
        <f>VLOOKUP(Table1[[#This Row],[subscription_type]],Plans!$A$1:$B$5,2,FALSE)</f>
        <v>9.99</v>
      </c>
      <c r="N3805">
        <f t="shared" si="59"/>
        <v>0</v>
      </c>
    </row>
    <row r="3806" spans="1:14" x14ac:dyDescent="0.35">
      <c r="A3806">
        <v>3805</v>
      </c>
      <c r="B3806" t="s">
        <v>16</v>
      </c>
      <c r="C3806">
        <v>59</v>
      </c>
      <c r="D3806" t="s">
        <v>26</v>
      </c>
      <c r="E3806" t="s">
        <v>14</v>
      </c>
      <c r="F3806">
        <v>166</v>
      </c>
      <c r="G3806">
        <v>68</v>
      </c>
      <c r="H3806">
        <v>0.23</v>
      </c>
      <c r="I3806" t="s">
        <v>19</v>
      </c>
      <c r="J3806">
        <v>19</v>
      </c>
      <c r="K3806">
        <v>0</v>
      </c>
      <c r="L3806">
        <v>0</v>
      </c>
      <c r="M3806">
        <f>VLOOKUP(Table1[[#This Row],[subscription_type]],Plans!$A$1:$B$5,2,FALSE)</f>
        <v>0</v>
      </c>
      <c r="N3806">
        <f t="shared" si="59"/>
        <v>0</v>
      </c>
    </row>
    <row r="3807" spans="1:14" x14ac:dyDescent="0.35">
      <c r="A3807">
        <v>3806</v>
      </c>
      <c r="B3807" t="s">
        <v>16</v>
      </c>
      <c r="C3807">
        <v>24</v>
      </c>
      <c r="D3807" t="s">
        <v>13</v>
      </c>
      <c r="E3807" t="s">
        <v>24</v>
      </c>
      <c r="F3807">
        <v>108</v>
      </c>
      <c r="G3807">
        <v>86</v>
      </c>
      <c r="H3807">
        <v>0.38</v>
      </c>
      <c r="I3807" t="s">
        <v>19</v>
      </c>
      <c r="J3807">
        <v>0</v>
      </c>
      <c r="K3807">
        <v>1</v>
      </c>
      <c r="L3807">
        <v>1</v>
      </c>
      <c r="M3807">
        <f>VLOOKUP(Table1[[#This Row],[subscription_type]],Plans!$A$1:$B$5,2,FALSE)</f>
        <v>4.99</v>
      </c>
      <c r="N3807">
        <f t="shared" si="59"/>
        <v>4.99</v>
      </c>
    </row>
    <row r="3808" spans="1:14" x14ac:dyDescent="0.35">
      <c r="A3808">
        <v>3807</v>
      </c>
      <c r="B3808" t="s">
        <v>12</v>
      </c>
      <c r="C3808">
        <v>32</v>
      </c>
      <c r="D3808" t="s">
        <v>25</v>
      </c>
      <c r="E3808" t="s">
        <v>22</v>
      </c>
      <c r="F3808">
        <v>33</v>
      </c>
      <c r="G3808">
        <v>42</v>
      </c>
      <c r="H3808">
        <v>0.47</v>
      </c>
      <c r="I3808" t="s">
        <v>19</v>
      </c>
      <c r="J3808">
        <v>0</v>
      </c>
      <c r="K3808">
        <v>1</v>
      </c>
      <c r="L3808">
        <v>0</v>
      </c>
      <c r="M3808">
        <f>VLOOKUP(Table1[[#This Row],[subscription_type]],Plans!$A$1:$B$5,2,FALSE)</f>
        <v>9.99</v>
      </c>
      <c r="N3808">
        <f t="shared" si="59"/>
        <v>0</v>
      </c>
    </row>
    <row r="3809" spans="1:14" x14ac:dyDescent="0.35">
      <c r="A3809">
        <v>3808</v>
      </c>
      <c r="B3809" t="s">
        <v>12</v>
      </c>
      <c r="C3809">
        <v>47</v>
      </c>
      <c r="D3809" t="s">
        <v>27</v>
      </c>
      <c r="E3809" t="s">
        <v>24</v>
      </c>
      <c r="F3809">
        <v>125</v>
      </c>
      <c r="G3809">
        <v>33</v>
      </c>
      <c r="H3809">
        <v>0.38</v>
      </c>
      <c r="I3809" t="s">
        <v>19</v>
      </c>
      <c r="J3809">
        <v>0</v>
      </c>
      <c r="K3809">
        <v>1</v>
      </c>
      <c r="L3809">
        <v>0</v>
      </c>
      <c r="M3809">
        <f>VLOOKUP(Table1[[#This Row],[subscription_type]],Plans!$A$1:$B$5,2,FALSE)</f>
        <v>4.99</v>
      </c>
      <c r="N3809">
        <f t="shared" si="59"/>
        <v>0</v>
      </c>
    </row>
    <row r="3810" spans="1:14" x14ac:dyDescent="0.35">
      <c r="A3810">
        <v>3809</v>
      </c>
      <c r="B3810" t="s">
        <v>12</v>
      </c>
      <c r="C3810">
        <v>35</v>
      </c>
      <c r="D3810" t="s">
        <v>17</v>
      </c>
      <c r="E3810" t="s">
        <v>22</v>
      </c>
      <c r="F3810">
        <v>142</v>
      </c>
      <c r="G3810">
        <v>21</v>
      </c>
      <c r="H3810">
        <v>7.0000000000000007E-2</v>
      </c>
      <c r="I3810" t="s">
        <v>15</v>
      </c>
      <c r="J3810">
        <v>0</v>
      </c>
      <c r="K3810">
        <v>1</v>
      </c>
      <c r="L3810">
        <v>0</v>
      </c>
      <c r="M3810">
        <f>VLOOKUP(Table1[[#This Row],[subscription_type]],Plans!$A$1:$B$5,2,FALSE)</f>
        <v>9.99</v>
      </c>
      <c r="N3810">
        <f t="shared" si="59"/>
        <v>0</v>
      </c>
    </row>
    <row r="3811" spans="1:14" x14ac:dyDescent="0.35">
      <c r="A3811">
        <v>3810</v>
      </c>
      <c r="B3811" t="s">
        <v>20</v>
      </c>
      <c r="C3811">
        <v>22</v>
      </c>
      <c r="D3811" t="s">
        <v>26</v>
      </c>
      <c r="E3811" t="s">
        <v>22</v>
      </c>
      <c r="F3811">
        <v>242</v>
      </c>
      <c r="G3811">
        <v>90</v>
      </c>
      <c r="H3811">
        <v>0.03</v>
      </c>
      <c r="I3811" t="s">
        <v>23</v>
      </c>
      <c r="J3811">
        <v>0</v>
      </c>
      <c r="K3811">
        <v>1</v>
      </c>
      <c r="L3811">
        <v>1</v>
      </c>
      <c r="M3811">
        <f>VLOOKUP(Table1[[#This Row],[subscription_type]],Plans!$A$1:$B$5,2,FALSE)</f>
        <v>9.99</v>
      </c>
      <c r="N3811">
        <f t="shared" si="59"/>
        <v>9.99</v>
      </c>
    </row>
    <row r="3812" spans="1:14" x14ac:dyDescent="0.35">
      <c r="A3812">
        <v>3811</v>
      </c>
      <c r="B3812" t="s">
        <v>20</v>
      </c>
      <c r="C3812">
        <v>17</v>
      </c>
      <c r="D3812" t="s">
        <v>25</v>
      </c>
      <c r="E3812" t="s">
        <v>22</v>
      </c>
      <c r="F3812">
        <v>196</v>
      </c>
      <c r="G3812">
        <v>12</v>
      </c>
      <c r="H3812">
        <v>0.44</v>
      </c>
      <c r="I3812" t="s">
        <v>15</v>
      </c>
      <c r="J3812">
        <v>0</v>
      </c>
      <c r="K3812">
        <v>1</v>
      </c>
      <c r="L3812">
        <v>0</v>
      </c>
      <c r="M3812">
        <f>VLOOKUP(Table1[[#This Row],[subscription_type]],Plans!$A$1:$B$5,2,FALSE)</f>
        <v>9.99</v>
      </c>
      <c r="N3812">
        <f t="shared" si="59"/>
        <v>0</v>
      </c>
    </row>
    <row r="3813" spans="1:14" x14ac:dyDescent="0.35">
      <c r="A3813">
        <v>3812</v>
      </c>
      <c r="B3813" t="s">
        <v>12</v>
      </c>
      <c r="C3813">
        <v>16</v>
      </c>
      <c r="D3813" t="s">
        <v>28</v>
      </c>
      <c r="E3813" t="s">
        <v>18</v>
      </c>
      <c r="F3813">
        <v>99</v>
      </c>
      <c r="G3813">
        <v>66</v>
      </c>
      <c r="H3813">
        <v>0.37</v>
      </c>
      <c r="I3813" t="s">
        <v>19</v>
      </c>
      <c r="J3813">
        <v>0</v>
      </c>
      <c r="K3813">
        <v>1</v>
      </c>
      <c r="L3813">
        <v>0</v>
      </c>
      <c r="M3813">
        <f>VLOOKUP(Table1[[#This Row],[subscription_type]],Plans!$A$1:$B$5,2,FALSE)</f>
        <v>14.99</v>
      </c>
      <c r="N3813">
        <f t="shared" si="59"/>
        <v>0</v>
      </c>
    </row>
    <row r="3814" spans="1:14" x14ac:dyDescent="0.35">
      <c r="A3814">
        <v>3813</v>
      </c>
      <c r="B3814" t="s">
        <v>12</v>
      </c>
      <c r="C3814">
        <v>41</v>
      </c>
      <c r="D3814" t="s">
        <v>13</v>
      </c>
      <c r="E3814" t="s">
        <v>22</v>
      </c>
      <c r="F3814">
        <v>128</v>
      </c>
      <c r="G3814">
        <v>12</v>
      </c>
      <c r="H3814">
        <v>0.05</v>
      </c>
      <c r="I3814" t="s">
        <v>15</v>
      </c>
      <c r="J3814">
        <v>0</v>
      </c>
      <c r="K3814">
        <v>1</v>
      </c>
      <c r="L3814">
        <v>0</v>
      </c>
      <c r="M3814">
        <f>VLOOKUP(Table1[[#This Row],[subscription_type]],Plans!$A$1:$B$5,2,FALSE)</f>
        <v>9.99</v>
      </c>
      <c r="N3814">
        <f t="shared" si="59"/>
        <v>0</v>
      </c>
    </row>
    <row r="3815" spans="1:14" x14ac:dyDescent="0.35">
      <c r="A3815">
        <v>3814</v>
      </c>
      <c r="B3815" t="s">
        <v>20</v>
      </c>
      <c r="C3815">
        <v>21</v>
      </c>
      <c r="D3815" t="s">
        <v>25</v>
      </c>
      <c r="E3815" t="s">
        <v>18</v>
      </c>
      <c r="F3815">
        <v>231</v>
      </c>
      <c r="G3815">
        <v>31</v>
      </c>
      <c r="H3815">
        <v>0.55000000000000004</v>
      </c>
      <c r="I3815" t="s">
        <v>23</v>
      </c>
      <c r="J3815">
        <v>0</v>
      </c>
      <c r="K3815">
        <v>1</v>
      </c>
      <c r="L3815">
        <v>0</v>
      </c>
      <c r="M3815">
        <f>VLOOKUP(Table1[[#This Row],[subscription_type]],Plans!$A$1:$B$5,2,FALSE)</f>
        <v>14.99</v>
      </c>
      <c r="N3815">
        <f t="shared" si="59"/>
        <v>0</v>
      </c>
    </row>
    <row r="3816" spans="1:14" x14ac:dyDescent="0.35">
      <c r="A3816">
        <v>3815</v>
      </c>
      <c r="B3816" t="s">
        <v>12</v>
      </c>
      <c r="C3816">
        <v>30</v>
      </c>
      <c r="D3816" t="s">
        <v>26</v>
      </c>
      <c r="E3816" t="s">
        <v>14</v>
      </c>
      <c r="F3816">
        <v>68</v>
      </c>
      <c r="G3816">
        <v>50</v>
      </c>
      <c r="H3816">
        <v>0.53</v>
      </c>
      <c r="I3816" t="s">
        <v>19</v>
      </c>
      <c r="J3816">
        <v>36</v>
      </c>
      <c r="K3816">
        <v>0</v>
      </c>
      <c r="L3816">
        <v>0</v>
      </c>
      <c r="M3816">
        <f>VLOOKUP(Table1[[#This Row],[subscription_type]],Plans!$A$1:$B$5,2,FALSE)</f>
        <v>0</v>
      </c>
      <c r="N3816">
        <f t="shared" si="59"/>
        <v>0</v>
      </c>
    </row>
    <row r="3817" spans="1:14" x14ac:dyDescent="0.35">
      <c r="A3817">
        <v>3816</v>
      </c>
      <c r="B3817" t="s">
        <v>16</v>
      </c>
      <c r="C3817">
        <v>37</v>
      </c>
      <c r="D3817" t="s">
        <v>17</v>
      </c>
      <c r="E3817" t="s">
        <v>18</v>
      </c>
      <c r="F3817">
        <v>266</v>
      </c>
      <c r="G3817">
        <v>49</v>
      </c>
      <c r="H3817">
        <v>0.6</v>
      </c>
      <c r="I3817" t="s">
        <v>23</v>
      </c>
      <c r="J3817">
        <v>0</v>
      </c>
      <c r="K3817">
        <v>1</v>
      </c>
      <c r="L3817">
        <v>0</v>
      </c>
      <c r="M3817">
        <f>VLOOKUP(Table1[[#This Row],[subscription_type]],Plans!$A$1:$B$5,2,FALSE)</f>
        <v>14.99</v>
      </c>
      <c r="N3817">
        <f t="shared" si="59"/>
        <v>0</v>
      </c>
    </row>
    <row r="3818" spans="1:14" x14ac:dyDescent="0.35">
      <c r="A3818">
        <v>3817</v>
      </c>
      <c r="B3818" t="s">
        <v>12</v>
      </c>
      <c r="C3818">
        <v>19</v>
      </c>
      <c r="D3818" t="s">
        <v>21</v>
      </c>
      <c r="E3818" t="s">
        <v>22</v>
      </c>
      <c r="F3818">
        <v>197</v>
      </c>
      <c r="G3818">
        <v>74</v>
      </c>
      <c r="H3818">
        <v>0.39</v>
      </c>
      <c r="I3818" t="s">
        <v>15</v>
      </c>
      <c r="J3818">
        <v>0</v>
      </c>
      <c r="K3818">
        <v>1</v>
      </c>
      <c r="L3818">
        <v>0</v>
      </c>
      <c r="M3818">
        <f>VLOOKUP(Table1[[#This Row],[subscription_type]],Plans!$A$1:$B$5,2,FALSE)</f>
        <v>9.99</v>
      </c>
      <c r="N3818">
        <f t="shared" si="59"/>
        <v>0</v>
      </c>
    </row>
    <row r="3819" spans="1:14" x14ac:dyDescent="0.35">
      <c r="A3819">
        <v>3818</v>
      </c>
      <c r="B3819" t="s">
        <v>12</v>
      </c>
      <c r="C3819">
        <v>41</v>
      </c>
      <c r="D3819" t="s">
        <v>27</v>
      </c>
      <c r="E3819" t="s">
        <v>22</v>
      </c>
      <c r="F3819">
        <v>217</v>
      </c>
      <c r="G3819">
        <v>7</v>
      </c>
      <c r="H3819">
        <v>0.31</v>
      </c>
      <c r="I3819" t="s">
        <v>15</v>
      </c>
      <c r="J3819">
        <v>0</v>
      </c>
      <c r="K3819">
        <v>1</v>
      </c>
      <c r="L3819">
        <v>1</v>
      </c>
      <c r="M3819">
        <f>VLOOKUP(Table1[[#This Row],[subscription_type]],Plans!$A$1:$B$5,2,FALSE)</f>
        <v>9.99</v>
      </c>
      <c r="N3819">
        <f t="shared" si="59"/>
        <v>9.99</v>
      </c>
    </row>
    <row r="3820" spans="1:14" x14ac:dyDescent="0.35">
      <c r="A3820">
        <v>3819</v>
      </c>
      <c r="B3820" t="s">
        <v>20</v>
      </c>
      <c r="C3820">
        <v>56</v>
      </c>
      <c r="D3820" t="s">
        <v>29</v>
      </c>
      <c r="E3820" t="s">
        <v>18</v>
      </c>
      <c r="F3820">
        <v>23</v>
      </c>
      <c r="G3820">
        <v>68</v>
      </c>
      <c r="H3820">
        <v>0.45</v>
      </c>
      <c r="I3820" t="s">
        <v>15</v>
      </c>
      <c r="J3820">
        <v>0</v>
      </c>
      <c r="K3820">
        <v>1</v>
      </c>
      <c r="L3820">
        <v>1</v>
      </c>
      <c r="M3820">
        <f>VLOOKUP(Table1[[#This Row],[subscription_type]],Plans!$A$1:$B$5,2,FALSE)</f>
        <v>14.99</v>
      </c>
      <c r="N3820">
        <f t="shared" si="59"/>
        <v>14.99</v>
      </c>
    </row>
    <row r="3821" spans="1:14" x14ac:dyDescent="0.35">
      <c r="A3821">
        <v>3820</v>
      </c>
      <c r="B3821" t="s">
        <v>12</v>
      </c>
      <c r="C3821">
        <v>55</v>
      </c>
      <c r="D3821" t="s">
        <v>25</v>
      </c>
      <c r="E3821" t="s">
        <v>18</v>
      </c>
      <c r="F3821">
        <v>160</v>
      </c>
      <c r="G3821">
        <v>66</v>
      </c>
      <c r="H3821">
        <v>0.47</v>
      </c>
      <c r="I3821" t="s">
        <v>15</v>
      </c>
      <c r="J3821">
        <v>0</v>
      </c>
      <c r="K3821">
        <v>1</v>
      </c>
      <c r="L3821">
        <v>0</v>
      </c>
      <c r="M3821">
        <f>VLOOKUP(Table1[[#This Row],[subscription_type]],Plans!$A$1:$B$5,2,FALSE)</f>
        <v>14.99</v>
      </c>
      <c r="N3821">
        <f t="shared" si="59"/>
        <v>0</v>
      </c>
    </row>
    <row r="3822" spans="1:14" x14ac:dyDescent="0.35">
      <c r="A3822">
        <v>3821</v>
      </c>
      <c r="B3822" t="s">
        <v>12</v>
      </c>
      <c r="C3822">
        <v>43</v>
      </c>
      <c r="D3822" t="s">
        <v>26</v>
      </c>
      <c r="E3822" t="s">
        <v>24</v>
      </c>
      <c r="F3822">
        <v>163</v>
      </c>
      <c r="G3822">
        <v>34</v>
      </c>
      <c r="H3822">
        <v>0.37</v>
      </c>
      <c r="I3822" t="s">
        <v>15</v>
      </c>
      <c r="J3822">
        <v>0</v>
      </c>
      <c r="K3822">
        <v>1</v>
      </c>
      <c r="L3822">
        <v>0</v>
      </c>
      <c r="M3822">
        <f>VLOOKUP(Table1[[#This Row],[subscription_type]],Plans!$A$1:$B$5,2,FALSE)</f>
        <v>4.99</v>
      </c>
      <c r="N3822">
        <f t="shared" si="59"/>
        <v>0</v>
      </c>
    </row>
    <row r="3823" spans="1:14" x14ac:dyDescent="0.35">
      <c r="A3823">
        <v>3822</v>
      </c>
      <c r="B3823" t="s">
        <v>20</v>
      </c>
      <c r="C3823">
        <v>22</v>
      </c>
      <c r="D3823" t="s">
        <v>21</v>
      </c>
      <c r="E3823" t="s">
        <v>22</v>
      </c>
      <c r="F3823">
        <v>224</v>
      </c>
      <c r="G3823">
        <v>80</v>
      </c>
      <c r="H3823">
        <v>0.54</v>
      </c>
      <c r="I3823" t="s">
        <v>15</v>
      </c>
      <c r="J3823">
        <v>0</v>
      </c>
      <c r="K3823">
        <v>1</v>
      </c>
      <c r="L3823">
        <v>0</v>
      </c>
      <c r="M3823">
        <f>VLOOKUP(Table1[[#This Row],[subscription_type]],Plans!$A$1:$B$5,2,FALSE)</f>
        <v>9.99</v>
      </c>
      <c r="N3823">
        <f t="shared" si="59"/>
        <v>0</v>
      </c>
    </row>
    <row r="3824" spans="1:14" x14ac:dyDescent="0.35">
      <c r="A3824">
        <v>3823</v>
      </c>
      <c r="B3824" t="s">
        <v>12</v>
      </c>
      <c r="C3824">
        <v>44</v>
      </c>
      <c r="D3824" t="s">
        <v>13</v>
      </c>
      <c r="E3824" t="s">
        <v>14</v>
      </c>
      <c r="F3824">
        <v>55</v>
      </c>
      <c r="G3824">
        <v>48</v>
      </c>
      <c r="H3824">
        <v>0.56999999999999995</v>
      </c>
      <c r="I3824" t="s">
        <v>15</v>
      </c>
      <c r="J3824">
        <v>22</v>
      </c>
      <c r="K3824">
        <v>0</v>
      </c>
      <c r="L3824">
        <v>0</v>
      </c>
      <c r="M3824">
        <f>VLOOKUP(Table1[[#This Row],[subscription_type]],Plans!$A$1:$B$5,2,FALSE)</f>
        <v>0</v>
      </c>
      <c r="N3824">
        <f t="shared" si="59"/>
        <v>0</v>
      </c>
    </row>
    <row r="3825" spans="1:14" x14ac:dyDescent="0.35">
      <c r="A3825">
        <v>3824</v>
      </c>
      <c r="B3825" t="s">
        <v>16</v>
      </c>
      <c r="C3825">
        <v>53</v>
      </c>
      <c r="D3825" t="s">
        <v>28</v>
      </c>
      <c r="E3825" t="s">
        <v>14</v>
      </c>
      <c r="F3825">
        <v>79</v>
      </c>
      <c r="G3825">
        <v>73</v>
      </c>
      <c r="H3825">
        <v>0.53</v>
      </c>
      <c r="I3825" t="s">
        <v>23</v>
      </c>
      <c r="J3825">
        <v>16</v>
      </c>
      <c r="K3825">
        <v>0</v>
      </c>
      <c r="L3825">
        <v>0</v>
      </c>
      <c r="M3825">
        <f>VLOOKUP(Table1[[#This Row],[subscription_type]],Plans!$A$1:$B$5,2,FALSE)</f>
        <v>0</v>
      </c>
      <c r="N3825">
        <f t="shared" si="59"/>
        <v>0</v>
      </c>
    </row>
    <row r="3826" spans="1:14" x14ac:dyDescent="0.35">
      <c r="A3826">
        <v>3825</v>
      </c>
      <c r="B3826" t="s">
        <v>16</v>
      </c>
      <c r="C3826">
        <v>37</v>
      </c>
      <c r="D3826" t="s">
        <v>28</v>
      </c>
      <c r="E3826" t="s">
        <v>14</v>
      </c>
      <c r="F3826">
        <v>115</v>
      </c>
      <c r="G3826">
        <v>23</v>
      </c>
      <c r="H3826">
        <v>0.54</v>
      </c>
      <c r="I3826" t="s">
        <v>15</v>
      </c>
      <c r="J3826">
        <v>46</v>
      </c>
      <c r="K3826">
        <v>0</v>
      </c>
      <c r="L3826">
        <v>0</v>
      </c>
      <c r="M3826">
        <f>VLOOKUP(Table1[[#This Row],[subscription_type]],Plans!$A$1:$B$5,2,FALSE)</f>
        <v>0</v>
      </c>
      <c r="N3826">
        <f t="shared" si="59"/>
        <v>0</v>
      </c>
    </row>
    <row r="3827" spans="1:14" x14ac:dyDescent="0.35">
      <c r="A3827">
        <v>3826</v>
      </c>
      <c r="B3827" t="s">
        <v>16</v>
      </c>
      <c r="C3827">
        <v>18</v>
      </c>
      <c r="D3827" t="s">
        <v>17</v>
      </c>
      <c r="E3827" t="s">
        <v>14</v>
      </c>
      <c r="F3827">
        <v>20</v>
      </c>
      <c r="G3827">
        <v>67</v>
      </c>
      <c r="H3827">
        <v>0.38</v>
      </c>
      <c r="I3827" t="s">
        <v>23</v>
      </c>
      <c r="J3827">
        <v>39</v>
      </c>
      <c r="K3827">
        <v>0</v>
      </c>
      <c r="L3827">
        <v>0</v>
      </c>
      <c r="M3827">
        <f>VLOOKUP(Table1[[#This Row],[subscription_type]],Plans!$A$1:$B$5,2,FALSE)</f>
        <v>0</v>
      </c>
      <c r="N3827">
        <f t="shared" si="59"/>
        <v>0</v>
      </c>
    </row>
    <row r="3828" spans="1:14" x14ac:dyDescent="0.35">
      <c r="A3828">
        <v>3827</v>
      </c>
      <c r="B3828" t="s">
        <v>20</v>
      </c>
      <c r="C3828">
        <v>26</v>
      </c>
      <c r="D3828" t="s">
        <v>27</v>
      </c>
      <c r="E3828" t="s">
        <v>14</v>
      </c>
      <c r="F3828">
        <v>132</v>
      </c>
      <c r="G3828">
        <v>51</v>
      </c>
      <c r="H3828">
        <v>0.08</v>
      </c>
      <c r="I3828" t="s">
        <v>15</v>
      </c>
      <c r="J3828">
        <v>46</v>
      </c>
      <c r="K3828">
        <v>0</v>
      </c>
      <c r="L3828">
        <v>1</v>
      </c>
      <c r="M3828">
        <f>VLOOKUP(Table1[[#This Row],[subscription_type]],Plans!$A$1:$B$5,2,FALSE)</f>
        <v>0</v>
      </c>
      <c r="N3828">
        <f t="shared" si="59"/>
        <v>0</v>
      </c>
    </row>
    <row r="3829" spans="1:14" x14ac:dyDescent="0.35">
      <c r="A3829">
        <v>3828</v>
      </c>
      <c r="B3829" t="s">
        <v>20</v>
      </c>
      <c r="C3829">
        <v>25</v>
      </c>
      <c r="D3829" t="s">
        <v>17</v>
      </c>
      <c r="E3829" t="s">
        <v>24</v>
      </c>
      <c r="F3829">
        <v>150</v>
      </c>
      <c r="G3829">
        <v>41</v>
      </c>
      <c r="H3829">
        <v>0.42</v>
      </c>
      <c r="I3829" t="s">
        <v>15</v>
      </c>
      <c r="J3829">
        <v>0</v>
      </c>
      <c r="K3829">
        <v>1</v>
      </c>
      <c r="L3829">
        <v>0</v>
      </c>
      <c r="M3829">
        <f>VLOOKUP(Table1[[#This Row],[subscription_type]],Plans!$A$1:$B$5,2,FALSE)</f>
        <v>4.99</v>
      </c>
      <c r="N3829">
        <f t="shared" si="59"/>
        <v>0</v>
      </c>
    </row>
    <row r="3830" spans="1:14" x14ac:dyDescent="0.35">
      <c r="A3830">
        <v>3829</v>
      </c>
      <c r="B3830" t="s">
        <v>16</v>
      </c>
      <c r="C3830">
        <v>55</v>
      </c>
      <c r="D3830" t="s">
        <v>29</v>
      </c>
      <c r="E3830" t="s">
        <v>18</v>
      </c>
      <c r="F3830">
        <v>91</v>
      </c>
      <c r="G3830">
        <v>55</v>
      </c>
      <c r="H3830">
        <v>0.59</v>
      </c>
      <c r="I3830" t="s">
        <v>23</v>
      </c>
      <c r="J3830">
        <v>0</v>
      </c>
      <c r="K3830">
        <v>1</v>
      </c>
      <c r="L3830">
        <v>0</v>
      </c>
      <c r="M3830">
        <f>VLOOKUP(Table1[[#This Row],[subscription_type]],Plans!$A$1:$B$5,2,FALSE)</f>
        <v>14.99</v>
      </c>
      <c r="N3830">
        <f t="shared" si="59"/>
        <v>0</v>
      </c>
    </row>
    <row r="3831" spans="1:14" x14ac:dyDescent="0.35">
      <c r="A3831">
        <v>3830</v>
      </c>
      <c r="B3831" t="s">
        <v>20</v>
      </c>
      <c r="C3831">
        <v>43</v>
      </c>
      <c r="D3831" t="s">
        <v>28</v>
      </c>
      <c r="E3831" t="s">
        <v>18</v>
      </c>
      <c r="F3831">
        <v>262</v>
      </c>
      <c r="G3831">
        <v>32</v>
      </c>
      <c r="H3831">
        <v>0.04</v>
      </c>
      <c r="I3831" t="s">
        <v>23</v>
      </c>
      <c r="J3831">
        <v>0</v>
      </c>
      <c r="K3831">
        <v>1</v>
      </c>
      <c r="L3831">
        <v>0</v>
      </c>
      <c r="M3831">
        <f>VLOOKUP(Table1[[#This Row],[subscription_type]],Plans!$A$1:$B$5,2,FALSE)</f>
        <v>14.99</v>
      </c>
      <c r="N3831">
        <f t="shared" si="59"/>
        <v>0</v>
      </c>
    </row>
    <row r="3832" spans="1:14" x14ac:dyDescent="0.35">
      <c r="A3832">
        <v>3831</v>
      </c>
      <c r="B3832" t="s">
        <v>20</v>
      </c>
      <c r="C3832">
        <v>18</v>
      </c>
      <c r="D3832" t="s">
        <v>29</v>
      </c>
      <c r="E3832" t="s">
        <v>22</v>
      </c>
      <c r="F3832">
        <v>109</v>
      </c>
      <c r="G3832">
        <v>73</v>
      </c>
      <c r="H3832">
        <v>0.12</v>
      </c>
      <c r="I3832" t="s">
        <v>23</v>
      </c>
      <c r="J3832">
        <v>0</v>
      </c>
      <c r="K3832">
        <v>1</v>
      </c>
      <c r="L3832">
        <v>0</v>
      </c>
      <c r="M3832">
        <f>VLOOKUP(Table1[[#This Row],[subscription_type]],Plans!$A$1:$B$5,2,FALSE)</f>
        <v>9.99</v>
      </c>
      <c r="N3832">
        <f t="shared" si="59"/>
        <v>0</v>
      </c>
    </row>
    <row r="3833" spans="1:14" x14ac:dyDescent="0.35">
      <c r="A3833">
        <v>3832</v>
      </c>
      <c r="B3833" t="s">
        <v>20</v>
      </c>
      <c r="C3833">
        <v>52</v>
      </c>
      <c r="D3833" t="s">
        <v>29</v>
      </c>
      <c r="E3833" t="s">
        <v>14</v>
      </c>
      <c r="F3833">
        <v>88</v>
      </c>
      <c r="G3833">
        <v>49</v>
      </c>
      <c r="H3833">
        <v>0.36</v>
      </c>
      <c r="I3833" t="s">
        <v>23</v>
      </c>
      <c r="J3833">
        <v>23</v>
      </c>
      <c r="K3833">
        <v>0</v>
      </c>
      <c r="L3833">
        <v>0</v>
      </c>
      <c r="M3833">
        <f>VLOOKUP(Table1[[#This Row],[subscription_type]],Plans!$A$1:$B$5,2,FALSE)</f>
        <v>0</v>
      </c>
      <c r="N3833">
        <f t="shared" si="59"/>
        <v>0</v>
      </c>
    </row>
    <row r="3834" spans="1:14" x14ac:dyDescent="0.35">
      <c r="A3834">
        <v>3833</v>
      </c>
      <c r="B3834" t="s">
        <v>16</v>
      </c>
      <c r="C3834">
        <v>25</v>
      </c>
      <c r="D3834" t="s">
        <v>21</v>
      </c>
      <c r="E3834" t="s">
        <v>14</v>
      </c>
      <c r="F3834">
        <v>22</v>
      </c>
      <c r="G3834">
        <v>96</v>
      </c>
      <c r="H3834">
        <v>0.22</v>
      </c>
      <c r="I3834" t="s">
        <v>23</v>
      </c>
      <c r="J3834">
        <v>14</v>
      </c>
      <c r="K3834">
        <v>0</v>
      </c>
      <c r="L3834">
        <v>1</v>
      </c>
      <c r="M3834">
        <f>VLOOKUP(Table1[[#This Row],[subscription_type]],Plans!$A$1:$B$5,2,FALSE)</f>
        <v>0</v>
      </c>
      <c r="N3834">
        <f t="shared" si="59"/>
        <v>0</v>
      </c>
    </row>
    <row r="3835" spans="1:14" x14ac:dyDescent="0.35">
      <c r="A3835">
        <v>3834</v>
      </c>
      <c r="B3835" t="s">
        <v>16</v>
      </c>
      <c r="C3835">
        <v>56</v>
      </c>
      <c r="D3835" t="s">
        <v>21</v>
      </c>
      <c r="E3835" t="s">
        <v>14</v>
      </c>
      <c r="F3835">
        <v>179</v>
      </c>
      <c r="G3835">
        <v>73</v>
      </c>
      <c r="H3835">
        <v>0.57999999999999996</v>
      </c>
      <c r="I3835" t="s">
        <v>15</v>
      </c>
      <c r="J3835">
        <v>41</v>
      </c>
      <c r="K3835">
        <v>0</v>
      </c>
      <c r="L3835">
        <v>0</v>
      </c>
      <c r="M3835">
        <f>VLOOKUP(Table1[[#This Row],[subscription_type]],Plans!$A$1:$B$5,2,FALSE)</f>
        <v>0</v>
      </c>
      <c r="N3835">
        <f t="shared" si="59"/>
        <v>0</v>
      </c>
    </row>
    <row r="3836" spans="1:14" x14ac:dyDescent="0.35">
      <c r="A3836">
        <v>3835</v>
      </c>
      <c r="B3836" t="s">
        <v>20</v>
      </c>
      <c r="C3836">
        <v>31</v>
      </c>
      <c r="D3836" t="s">
        <v>26</v>
      </c>
      <c r="E3836" t="s">
        <v>14</v>
      </c>
      <c r="F3836">
        <v>46</v>
      </c>
      <c r="G3836">
        <v>28</v>
      </c>
      <c r="H3836">
        <v>0.49</v>
      </c>
      <c r="I3836" t="s">
        <v>19</v>
      </c>
      <c r="J3836">
        <v>9</v>
      </c>
      <c r="K3836">
        <v>0</v>
      </c>
      <c r="L3836">
        <v>0</v>
      </c>
      <c r="M3836">
        <f>VLOOKUP(Table1[[#This Row],[subscription_type]],Plans!$A$1:$B$5,2,FALSE)</f>
        <v>0</v>
      </c>
      <c r="N3836">
        <f t="shared" si="59"/>
        <v>0</v>
      </c>
    </row>
    <row r="3837" spans="1:14" x14ac:dyDescent="0.35">
      <c r="A3837">
        <v>3836</v>
      </c>
      <c r="B3837" t="s">
        <v>16</v>
      </c>
      <c r="C3837">
        <v>33</v>
      </c>
      <c r="D3837" t="s">
        <v>21</v>
      </c>
      <c r="E3837" t="s">
        <v>14</v>
      </c>
      <c r="F3837">
        <v>171</v>
      </c>
      <c r="G3837">
        <v>39</v>
      </c>
      <c r="H3837">
        <v>0.14000000000000001</v>
      </c>
      <c r="I3837" t="s">
        <v>23</v>
      </c>
      <c r="J3837">
        <v>30</v>
      </c>
      <c r="K3837">
        <v>0</v>
      </c>
      <c r="L3837">
        <v>0</v>
      </c>
      <c r="M3837">
        <f>VLOOKUP(Table1[[#This Row],[subscription_type]],Plans!$A$1:$B$5,2,FALSE)</f>
        <v>0</v>
      </c>
      <c r="N3837">
        <f t="shared" si="59"/>
        <v>0</v>
      </c>
    </row>
    <row r="3838" spans="1:14" x14ac:dyDescent="0.35">
      <c r="A3838">
        <v>3837</v>
      </c>
      <c r="B3838" t="s">
        <v>20</v>
      </c>
      <c r="C3838">
        <v>53</v>
      </c>
      <c r="D3838" t="s">
        <v>17</v>
      </c>
      <c r="E3838" t="s">
        <v>24</v>
      </c>
      <c r="F3838">
        <v>165</v>
      </c>
      <c r="G3838">
        <v>67</v>
      </c>
      <c r="H3838">
        <v>0.25</v>
      </c>
      <c r="I3838" t="s">
        <v>19</v>
      </c>
      <c r="J3838">
        <v>0</v>
      </c>
      <c r="K3838">
        <v>1</v>
      </c>
      <c r="L3838">
        <v>0</v>
      </c>
      <c r="M3838">
        <f>VLOOKUP(Table1[[#This Row],[subscription_type]],Plans!$A$1:$B$5,2,FALSE)</f>
        <v>4.99</v>
      </c>
      <c r="N3838">
        <f t="shared" si="59"/>
        <v>0</v>
      </c>
    </row>
    <row r="3839" spans="1:14" x14ac:dyDescent="0.35">
      <c r="A3839">
        <v>3838</v>
      </c>
      <c r="B3839" t="s">
        <v>12</v>
      </c>
      <c r="C3839">
        <v>53</v>
      </c>
      <c r="D3839" t="s">
        <v>29</v>
      </c>
      <c r="E3839" t="s">
        <v>18</v>
      </c>
      <c r="F3839">
        <v>48</v>
      </c>
      <c r="G3839">
        <v>3</v>
      </c>
      <c r="H3839">
        <v>0.11</v>
      </c>
      <c r="I3839" t="s">
        <v>23</v>
      </c>
      <c r="J3839">
        <v>0</v>
      </c>
      <c r="K3839">
        <v>1</v>
      </c>
      <c r="L3839">
        <v>0</v>
      </c>
      <c r="M3839">
        <f>VLOOKUP(Table1[[#This Row],[subscription_type]],Plans!$A$1:$B$5,2,FALSE)</f>
        <v>14.99</v>
      </c>
      <c r="N3839">
        <f t="shared" si="59"/>
        <v>0</v>
      </c>
    </row>
    <row r="3840" spans="1:14" x14ac:dyDescent="0.35">
      <c r="A3840">
        <v>3839</v>
      </c>
      <c r="B3840" t="s">
        <v>16</v>
      </c>
      <c r="C3840">
        <v>56</v>
      </c>
      <c r="D3840" t="s">
        <v>29</v>
      </c>
      <c r="E3840" t="s">
        <v>22</v>
      </c>
      <c r="F3840">
        <v>254</v>
      </c>
      <c r="G3840">
        <v>4</v>
      </c>
      <c r="H3840">
        <v>0.28999999999999998</v>
      </c>
      <c r="I3840" t="s">
        <v>23</v>
      </c>
      <c r="J3840">
        <v>0</v>
      </c>
      <c r="K3840">
        <v>1</v>
      </c>
      <c r="L3840">
        <v>0</v>
      </c>
      <c r="M3840">
        <f>VLOOKUP(Table1[[#This Row],[subscription_type]],Plans!$A$1:$B$5,2,FALSE)</f>
        <v>9.99</v>
      </c>
      <c r="N3840">
        <f t="shared" si="59"/>
        <v>0</v>
      </c>
    </row>
    <row r="3841" spans="1:14" x14ac:dyDescent="0.35">
      <c r="A3841">
        <v>3840</v>
      </c>
      <c r="B3841" t="s">
        <v>16</v>
      </c>
      <c r="C3841">
        <v>47</v>
      </c>
      <c r="D3841" t="s">
        <v>25</v>
      </c>
      <c r="E3841" t="s">
        <v>24</v>
      </c>
      <c r="F3841">
        <v>285</v>
      </c>
      <c r="G3841">
        <v>93</v>
      </c>
      <c r="H3841">
        <v>0.27</v>
      </c>
      <c r="I3841" t="s">
        <v>15</v>
      </c>
      <c r="J3841">
        <v>0</v>
      </c>
      <c r="K3841">
        <v>1</v>
      </c>
      <c r="L3841">
        <v>1</v>
      </c>
      <c r="M3841">
        <f>VLOOKUP(Table1[[#This Row],[subscription_type]],Plans!$A$1:$B$5,2,FALSE)</f>
        <v>4.99</v>
      </c>
      <c r="N3841">
        <f t="shared" si="59"/>
        <v>4.99</v>
      </c>
    </row>
    <row r="3842" spans="1:14" x14ac:dyDescent="0.35">
      <c r="A3842">
        <v>3841</v>
      </c>
      <c r="B3842" t="s">
        <v>12</v>
      </c>
      <c r="C3842">
        <v>24</v>
      </c>
      <c r="D3842" t="s">
        <v>25</v>
      </c>
      <c r="E3842" t="s">
        <v>24</v>
      </c>
      <c r="F3842">
        <v>110</v>
      </c>
      <c r="G3842">
        <v>53</v>
      </c>
      <c r="H3842">
        <v>0.41</v>
      </c>
      <c r="I3842" t="s">
        <v>15</v>
      </c>
      <c r="J3842">
        <v>0</v>
      </c>
      <c r="K3842">
        <v>1</v>
      </c>
      <c r="L3842">
        <v>1</v>
      </c>
      <c r="M3842">
        <f>VLOOKUP(Table1[[#This Row],[subscription_type]],Plans!$A$1:$B$5,2,FALSE)</f>
        <v>4.99</v>
      </c>
      <c r="N3842">
        <f t="shared" ref="N3842:N3905" si="60">IF(L3842=1, M3842,0)</f>
        <v>4.99</v>
      </c>
    </row>
    <row r="3843" spans="1:14" x14ac:dyDescent="0.35">
      <c r="A3843">
        <v>3842</v>
      </c>
      <c r="B3843" t="s">
        <v>16</v>
      </c>
      <c r="C3843">
        <v>55</v>
      </c>
      <c r="D3843" t="s">
        <v>26</v>
      </c>
      <c r="E3843" t="s">
        <v>24</v>
      </c>
      <c r="F3843">
        <v>130</v>
      </c>
      <c r="G3843">
        <v>99</v>
      </c>
      <c r="H3843">
        <v>0.32</v>
      </c>
      <c r="I3843" t="s">
        <v>23</v>
      </c>
      <c r="J3843">
        <v>0</v>
      </c>
      <c r="K3843">
        <v>1</v>
      </c>
      <c r="L3843">
        <v>1</v>
      </c>
      <c r="M3843">
        <f>VLOOKUP(Table1[[#This Row],[subscription_type]],Plans!$A$1:$B$5,2,FALSE)</f>
        <v>4.99</v>
      </c>
      <c r="N3843">
        <f t="shared" si="60"/>
        <v>4.99</v>
      </c>
    </row>
    <row r="3844" spans="1:14" x14ac:dyDescent="0.35">
      <c r="A3844">
        <v>3843</v>
      </c>
      <c r="B3844" t="s">
        <v>20</v>
      </c>
      <c r="C3844">
        <v>37</v>
      </c>
      <c r="D3844" t="s">
        <v>28</v>
      </c>
      <c r="E3844" t="s">
        <v>14</v>
      </c>
      <c r="F3844">
        <v>245</v>
      </c>
      <c r="G3844">
        <v>13</v>
      </c>
      <c r="H3844">
        <v>0.17</v>
      </c>
      <c r="I3844" t="s">
        <v>15</v>
      </c>
      <c r="J3844">
        <v>19</v>
      </c>
      <c r="K3844">
        <v>0</v>
      </c>
      <c r="L3844">
        <v>0</v>
      </c>
      <c r="M3844">
        <f>VLOOKUP(Table1[[#This Row],[subscription_type]],Plans!$A$1:$B$5,2,FALSE)</f>
        <v>0</v>
      </c>
      <c r="N3844">
        <f t="shared" si="60"/>
        <v>0</v>
      </c>
    </row>
    <row r="3845" spans="1:14" x14ac:dyDescent="0.35">
      <c r="A3845">
        <v>3844</v>
      </c>
      <c r="B3845" t="s">
        <v>12</v>
      </c>
      <c r="C3845">
        <v>19</v>
      </c>
      <c r="D3845" t="s">
        <v>28</v>
      </c>
      <c r="E3845" t="s">
        <v>14</v>
      </c>
      <c r="F3845">
        <v>99</v>
      </c>
      <c r="G3845">
        <v>28</v>
      </c>
      <c r="H3845">
        <v>0.18</v>
      </c>
      <c r="I3845" t="s">
        <v>23</v>
      </c>
      <c r="J3845">
        <v>12</v>
      </c>
      <c r="K3845">
        <v>0</v>
      </c>
      <c r="L3845">
        <v>0</v>
      </c>
      <c r="M3845">
        <f>VLOOKUP(Table1[[#This Row],[subscription_type]],Plans!$A$1:$B$5,2,FALSE)</f>
        <v>0</v>
      </c>
      <c r="N3845">
        <f t="shared" si="60"/>
        <v>0</v>
      </c>
    </row>
    <row r="3846" spans="1:14" x14ac:dyDescent="0.35">
      <c r="A3846">
        <v>3845</v>
      </c>
      <c r="B3846" t="s">
        <v>20</v>
      </c>
      <c r="C3846">
        <v>32</v>
      </c>
      <c r="D3846" t="s">
        <v>26</v>
      </c>
      <c r="E3846" t="s">
        <v>22</v>
      </c>
      <c r="F3846">
        <v>77</v>
      </c>
      <c r="G3846">
        <v>59</v>
      </c>
      <c r="H3846">
        <v>0.4</v>
      </c>
      <c r="I3846" t="s">
        <v>19</v>
      </c>
      <c r="J3846">
        <v>0</v>
      </c>
      <c r="K3846">
        <v>1</v>
      </c>
      <c r="L3846">
        <v>0</v>
      </c>
      <c r="M3846">
        <f>VLOOKUP(Table1[[#This Row],[subscription_type]],Plans!$A$1:$B$5,2,FALSE)</f>
        <v>9.99</v>
      </c>
      <c r="N3846">
        <f t="shared" si="60"/>
        <v>0</v>
      </c>
    </row>
    <row r="3847" spans="1:14" x14ac:dyDescent="0.35">
      <c r="A3847">
        <v>3846</v>
      </c>
      <c r="B3847" t="s">
        <v>12</v>
      </c>
      <c r="C3847">
        <v>29</v>
      </c>
      <c r="D3847" t="s">
        <v>26</v>
      </c>
      <c r="E3847" t="s">
        <v>14</v>
      </c>
      <c r="F3847">
        <v>46</v>
      </c>
      <c r="G3847">
        <v>11</v>
      </c>
      <c r="H3847">
        <v>0.56999999999999995</v>
      </c>
      <c r="I3847" t="s">
        <v>19</v>
      </c>
      <c r="J3847">
        <v>46</v>
      </c>
      <c r="K3847">
        <v>0</v>
      </c>
      <c r="L3847">
        <v>0</v>
      </c>
      <c r="M3847">
        <f>VLOOKUP(Table1[[#This Row],[subscription_type]],Plans!$A$1:$B$5,2,FALSE)</f>
        <v>0</v>
      </c>
      <c r="N3847">
        <f t="shared" si="60"/>
        <v>0</v>
      </c>
    </row>
    <row r="3848" spans="1:14" x14ac:dyDescent="0.35">
      <c r="A3848">
        <v>3847</v>
      </c>
      <c r="B3848" t="s">
        <v>20</v>
      </c>
      <c r="C3848">
        <v>35</v>
      </c>
      <c r="D3848" t="s">
        <v>29</v>
      </c>
      <c r="E3848" t="s">
        <v>14</v>
      </c>
      <c r="F3848">
        <v>52</v>
      </c>
      <c r="G3848">
        <v>41</v>
      </c>
      <c r="H3848">
        <v>0.35</v>
      </c>
      <c r="I3848" t="s">
        <v>19</v>
      </c>
      <c r="J3848">
        <v>7</v>
      </c>
      <c r="K3848">
        <v>0</v>
      </c>
      <c r="L3848">
        <v>0</v>
      </c>
      <c r="M3848">
        <f>VLOOKUP(Table1[[#This Row],[subscription_type]],Plans!$A$1:$B$5,2,FALSE)</f>
        <v>0</v>
      </c>
      <c r="N3848">
        <f t="shared" si="60"/>
        <v>0</v>
      </c>
    </row>
    <row r="3849" spans="1:14" x14ac:dyDescent="0.35">
      <c r="A3849">
        <v>3848</v>
      </c>
      <c r="B3849" t="s">
        <v>16</v>
      </c>
      <c r="C3849">
        <v>20</v>
      </c>
      <c r="D3849" t="s">
        <v>27</v>
      </c>
      <c r="E3849" t="s">
        <v>22</v>
      </c>
      <c r="F3849">
        <v>99</v>
      </c>
      <c r="G3849">
        <v>6</v>
      </c>
      <c r="H3849">
        <v>0.13</v>
      </c>
      <c r="I3849" t="s">
        <v>23</v>
      </c>
      <c r="J3849">
        <v>0</v>
      </c>
      <c r="K3849">
        <v>1</v>
      </c>
      <c r="L3849">
        <v>1</v>
      </c>
      <c r="M3849">
        <f>VLOOKUP(Table1[[#This Row],[subscription_type]],Plans!$A$1:$B$5,2,FALSE)</f>
        <v>9.99</v>
      </c>
      <c r="N3849">
        <f t="shared" si="60"/>
        <v>9.99</v>
      </c>
    </row>
    <row r="3850" spans="1:14" x14ac:dyDescent="0.35">
      <c r="A3850">
        <v>3849</v>
      </c>
      <c r="B3850" t="s">
        <v>20</v>
      </c>
      <c r="C3850">
        <v>42</v>
      </c>
      <c r="D3850" t="s">
        <v>13</v>
      </c>
      <c r="E3850" t="s">
        <v>22</v>
      </c>
      <c r="F3850">
        <v>188</v>
      </c>
      <c r="G3850">
        <v>42</v>
      </c>
      <c r="H3850">
        <v>7.0000000000000007E-2</v>
      </c>
      <c r="I3850" t="s">
        <v>19</v>
      </c>
      <c r="J3850">
        <v>0</v>
      </c>
      <c r="K3850">
        <v>1</v>
      </c>
      <c r="L3850">
        <v>0</v>
      </c>
      <c r="M3850">
        <f>VLOOKUP(Table1[[#This Row],[subscription_type]],Plans!$A$1:$B$5,2,FALSE)</f>
        <v>9.99</v>
      </c>
      <c r="N3850">
        <f t="shared" si="60"/>
        <v>0</v>
      </c>
    </row>
    <row r="3851" spans="1:14" x14ac:dyDescent="0.35">
      <c r="A3851">
        <v>3850</v>
      </c>
      <c r="B3851" t="s">
        <v>12</v>
      </c>
      <c r="C3851">
        <v>22</v>
      </c>
      <c r="D3851" t="s">
        <v>17</v>
      </c>
      <c r="E3851" t="s">
        <v>18</v>
      </c>
      <c r="F3851">
        <v>67</v>
      </c>
      <c r="G3851">
        <v>73</v>
      </c>
      <c r="H3851">
        <v>0.56000000000000005</v>
      </c>
      <c r="I3851" t="s">
        <v>15</v>
      </c>
      <c r="J3851">
        <v>0</v>
      </c>
      <c r="K3851">
        <v>1</v>
      </c>
      <c r="L3851">
        <v>1</v>
      </c>
      <c r="M3851">
        <f>VLOOKUP(Table1[[#This Row],[subscription_type]],Plans!$A$1:$B$5,2,FALSE)</f>
        <v>14.99</v>
      </c>
      <c r="N3851">
        <f t="shared" si="60"/>
        <v>14.99</v>
      </c>
    </row>
    <row r="3852" spans="1:14" x14ac:dyDescent="0.35">
      <c r="A3852">
        <v>3851</v>
      </c>
      <c r="B3852" t="s">
        <v>20</v>
      </c>
      <c r="C3852">
        <v>16</v>
      </c>
      <c r="D3852" t="s">
        <v>26</v>
      </c>
      <c r="E3852" t="s">
        <v>18</v>
      </c>
      <c r="F3852">
        <v>27</v>
      </c>
      <c r="G3852">
        <v>21</v>
      </c>
      <c r="H3852">
        <v>0.56999999999999995</v>
      </c>
      <c r="I3852" t="s">
        <v>15</v>
      </c>
      <c r="J3852">
        <v>0</v>
      </c>
      <c r="K3852">
        <v>1</v>
      </c>
      <c r="L3852">
        <v>0</v>
      </c>
      <c r="M3852">
        <f>VLOOKUP(Table1[[#This Row],[subscription_type]],Plans!$A$1:$B$5,2,FALSE)</f>
        <v>14.99</v>
      </c>
      <c r="N3852">
        <f t="shared" si="60"/>
        <v>0</v>
      </c>
    </row>
    <row r="3853" spans="1:14" x14ac:dyDescent="0.35">
      <c r="A3853">
        <v>3852</v>
      </c>
      <c r="B3853" t="s">
        <v>20</v>
      </c>
      <c r="C3853">
        <v>50</v>
      </c>
      <c r="D3853" t="s">
        <v>21</v>
      </c>
      <c r="E3853" t="s">
        <v>24</v>
      </c>
      <c r="F3853">
        <v>63</v>
      </c>
      <c r="G3853">
        <v>7</v>
      </c>
      <c r="H3853">
        <v>0.11</v>
      </c>
      <c r="I3853" t="s">
        <v>19</v>
      </c>
      <c r="J3853">
        <v>0</v>
      </c>
      <c r="K3853">
        <v>1</v>
      </c>
      <c r="L3853">
        <v>0</v>
      </c>
      <c r="M3853">
        <f>VLOOKUP(Table1[[#This Row],[subscription_type]],Plans!$A$1:$B$5,2,FALSE)</f>
        <v>4.99</v>
      </c>
      <c r="N3853">
        <f t="shared" si="60"/>
        <v>0</v>
      </c>
    </row>
    <row r="3854" spans="1:14" x14ac:dyDescent="0.35">
      <c r="A3854">
        <v>3853</v>
      </c>
      <c r="B3854" t="s">
        <v>16</v>
      </c>
      <c r="C3854">
        <v>20</v>
      </c>
      <c r="D3854" t="s">
        <v>25</v>
      </c>
      <c r="E3854" t="s">
        <v>14</v>
      </c>
      <c r="F3854">
        <v>112</v>
      </c>
      <c r="G3854">
        <v>41</v>
      </c>
      <c r="H3854">
        <v>0.17</v>
      </c>
      <c r="I3854" t="s">
        <v>19</v>
      </c>
      <c r="J3854">
        <v>49</v>
      </c>
      <c r="K3854">
        <v>0</v>
      </c>
      <c r="L3854">
        <v>1</v>
      </c>
      <c r="M3854">
        <f>VLOOKUP(Table1[[#This Row],[subscription_type]],Plans!$A$1:$B$5,2,FALSE)</f>
        <v>0</v>
      </c>
      <c r="N3854">
        <f t="shared" si="60"/>
        <v>0</v>
      </c>
    </row>
    <row r="3855" spans="1:14" x14ac:dyDescent="0.35">
      <c r="A3855">
        <v>3854</v>
      </c>
      <c r="B3855" t="s">
        <v>20</v>
      </c>
      <c r="C3855">
        <v>38</v>
      </c>
      <c r="D3855" t="s">
        <v>26</v>
      </c>
      <c r="E3855" t="s">
        <v>18</v>
      </c>
      <c r="F3855">
        <v>231</v>
      </c>
      <c r="G3855">
        <v>24</v>
      </c>
      <c r="H3855">
        <v>0.2</v>
      </c>
      <c r="I3855" t="s">
        <v>15</v>
      </c>
      <c r="J3855">
        <v>0</v>
      </c>
      <c r="K3855">
        <v>1</v>
      </c>
      <c r="L3855">
        <v>0</v>
      </c>
      <c r="M3855">
        <f>VLOOKUP(Table1[[#This Row],[subscription_type]],Plans!$A$1:$B$5,2,FALSE)</f>
        <v>14.99</v>
      </c>
      <c r="N3855">
        <f t="shared" si="60"/>
        <v>0</v>
      </c>
    </row>
    <row r="3856" spans="1:14" x14ac:dyDescent="0.35">
      <c r="A3856">
        <v>3855</v>
      </c>
      <c r="B3856" t="s">
        <v>12</v>
      </c>
      <c r="C3856">
        <v>54</v>
      </c>
      <c r="D3856" t="s">
        <v>21</v>
      </c>
      <c r="E3856" t="s">
        <v>18</v>
      </c>
      <c r="F3856">
        <v>49</v>
      </c>
      <c r="G3856">
        <v>70</v>
      </c>
      <c r="H3856">
        <v>0.03</v>
      </c>
      <c r="I3856" t="s">
        <v>19</v>
      </c>
      <c r="J3856">
        <v>0</v>
      </c>
      <c r="K3856">
        <v>1</v>
      </c>
      <c r="L3856">
        <v>0</v>
      </c>
      <c r="M3856">
        <f>VLOOKUP(Table1[[#This Row],[subscription_type]],Plans!$A$1:$B$5,2,FALSE)</f>
        <v>14.99</v>
      </c>
      <c r="N3856">
        <f t="shared" si="60"/>
        <v>0</v>
      </c>
    </row>
    <row r="3857" spans="1:14" x14ac:dyDescent="0.35">
      <c r="A3857">
        <v>3856</v>
      </c>
      <c r="B3857" t="s">
        <v>12</v>
      </c>
      <c r="C3857">
        <v>49</v>
      </c>
      <c r="D3857" t="s">
        <v>26</v>
      </c>
      <c r="E3857" t="s">
        <v>18</v>
      </c>
      <c r="F3857">
        <v>82</v>
      </c>
      <c r="G3857">
        <v>53</v>
      </c>
      <c r="H3857">
        <v>0.4</v>
      </c>
      <c r="I3857" t="s">
        <v>23</v>
      </c>
      <c r="J3857">
        <v>0</v>
      </c>
      <c r="K3857">
        <v>1</v>
      </c>
      <c r="L3857">
        <v>1</v>
      </c>
      <c r="M3857">
        <f>VLOOKUP(Table1[[#This Row],[subscription_type]],Plans!$A$1:$B$5,2,FALSE)</f>
        <v>14.99</v>
      </c>
      <c r="N3857">
        <f t="shared" si="60"/>
        <v>14.99</v>
      </c>
    </row>
    <row r="3858" spans="1:14" x14ac:dyDescent="0.35">
      <c r="A3858">
        <v>3857</v>
      </c>
      <c r="B3858" t="s">
        <v>20</v>
      </c>
      <c r="C3858">
        <v>43</v>
      </c>
      <c r="D3858" t="s">
        <v>27</v>
      </c>
      <c r="E3858" t="s">
        <v>22</v>
      </c>
      <c r="F3858">
        <v>144</v>
      </c>
      <c r="G3858">
        <v>19</v>
      </c>
      <c r="H3858">
        <v>0.03</v>
      </c>
      <c r="I3858" t="s">
        <v>15</v>
      </c>
      <c r="J3858">
        <v>0</v>
      </c>
      <c r="K3858">
        <v>1</v>
      </c>
      <c r="L3858">
        <v>0</v>
      </c>
      <c r="M3858">
        <f>VLOOKUP(Table1[[#This Row],[subscription_type]],Plans!$A$1:$B$5,2,FALSE)</f>
        <v>9.99</v>
      </c>
      <c r="N3858">
        <f t="shared" si="60"/>
        <v>0</v>
      </c>
    </row>
    <row r="3859" spans="1:14" x14ac:dyDescent="0.35">
      <c r="A3859">
        <v>3858</v>
      </c>
      <c r="B3859" t="s">
        <v>16</v>
      </c>
      <c r="C3859">
        <v>34</v>
      </c>
      <c r="D3859" t="s">
        <v>21</v>
      </c>
      <c r="E3859" t="s">
        <v>22</v>
      </c>
      <c r="F3859">
        <v>112</v>
      </c>
      <c r="G3859">
        <v>61</v>
      </c>
      <c r="H3859">
        <v>0.43</v>
      </c>
      <c r="I3859" t="s">
        <v>19</v>
      </c>
      <c r="J3859">
        <v>0</v>
      </c>
      <c r="K3859">
        <v>1</v>
      </c>
      <c r="L3859">
        <v>0</v>
      </c>
      <c r="M3859">
        <f>VLOOKUP(Table1[[#This Row],[subscription_type]],Plans!$A$1:$B$5,2,FALSE)</f>
        <v>9.99</v>
      </c>
      <c r="N3859">
        <f t="shared" si="60"/>
        <v>0</v>
      </c>
    </row>
    <row r="3860" spans="1:14" x14ac:dyDescent="0.35">
      <c r="A3860">
        <v>3859</v>
      </c>
      <c r="B3860" t="s">
        <v>12</v>
      </c>
      <c r="C3860">
        <v>54</v>
      </c>
      <c r="D3860" t="s">
        <v>26</v>
      </c>
      <c r="E3860" t="s">
        <v>24</v>
      </c>
      <c r="F3860">
        <v>38</v>
      </c>
      <c r="G3860">
        <v>78</v>
      </c>
      <c r="H3860">
        <v>0.27</v>
      </c>
      <c r="I3860" t="s">
        <v>19</v>
      </c>
      <c r="J3860">
        <v>0</v>
      </c>
      <c r="K3860">
        <v>1</v>
      </c>
      <c r="L3860">
        <v>0</v>
      </c>
      <c r="M3860">
        <f>VLOOKUP(Table1[[#This Row],[subscription_type]],Plans!$A$1:$B$5,2,FALSE)</f>
        <v>4.99</v>
      </c>
      <c r="N3860">
        <f t="shared" si="60"/>
        <v>0</v>
      </c>
    </row>
    <row r="3861" spans="1:14" x14ac:dyDescent="0.35">
      <c r="A3861">
        <v>3860</v>
      </c>
      <c r="B3861" t="s">
        <v>16</v>
      </c>
      <c r="C3861">
        <v>39</v>
      </c>
      <c r="D3861" t="s">
        <v>28</v>
      </c>
      <c r="E3861" t="s">
        <v>24</v>
      </c>
      <c r="F3861">
        <v>243</v>
      </c>
      <c r="G3861">
        <v>42</v>
      </c>
      <c r="H3861">
        <v>0.59</v>
      </c>
      <c r="I3861" t="s">
        <v>15</v>
      </c>
      <c r="J3861">
        <v>0</v>
      </c>
      <c r="K3861">
        <v>1</v>
      </c>
      <c r="L3861">
        <v>0</v>
      </c>
      <c r="M3861">
        <f>VLOOKUP(Table1[[#This Row],[subscription_type]],Plans!$A$1:$B$5,2,FALSE)</f>
        <v>4.99</v>
      </c>
      <c r="N3861">
        <f t="shared" si="60"/>
        <v>0</v>
      </c>
    </row>
    <row r="3862" spans="1:14" x14ac:dyDescent="0.35">
      <c r="A3862">
        <v>3861</v>
      </c>
      <c r="B3862" t="s">
        <v>20</v>
      </c>
      <c r="C3862">
        <v>48</v>
      </c>
      <c r="D3862" t="s">
        <v>26</v>
      </c>
      <c r="E3862" t="s">
        <v>22</v>
      </c>
      <c r="F3862">
        <v>217</v>
      </c>
      <c r="G3862">
        <v>17</v>
      </c>
      <c r="H3862">
        <v>0.34</v>
      </c>
      <c r="I3862" t="s">
        <v>23</v>
      </c>
      <c r="J3862">
        <v>0</v>
      </c>
      <c r="K3862">
        <v>1</v>
      </c>
      <c r="L3862">
        <v>0</v>
      </c>
      <c r="M3862">
        <f>VLOOKUP(Table1[[#This Row],[subscription_type]],Plans!$A$1:$B$5,2,FALSE)</f>
        <v>9.99</v>
      </c>
      <c r="N3862">
        <f t="shared" si="60"/>
        <v>0</v>
      </c>
    </row>
    <row r="3863" spans="1:14" x14ac:dyDescent="0.35">
      <c r="A3863">
        <v>3862</v>
      </c>
      <c r="B3863" t="s">
        <v>20</v>
      </c>
      <c r="C3863">
        <v>43</v>
      </c>
      <c r="D3863" t="s">
        <v>17</v>
      </c>
      <c r="E3863" t="s">
        <v>18</v>
      </c>
      <c r="F3863">
        <v>218</v>
      </c>
      <c r="G3863">
        <v>38</v>
      </c>
      <c r="H3863">
        <v>0.56000000000000005</v>
      </c>
      <c r="I3863" t="s">
        <v>15</v>
      </c>
      <c r="J3863">
        <v>0</v>
      </c>
      <c r="K3863">
        <v>1</v>
      </c>
      <c r="L3863">
        <v>0</v>
      </c>
      <c r="M3863">
        <f>VLOOKUP(Table1[[#This Row],[subscription_type]],Plans!$A$1:$B$5,2,FALSE)</f>
        <v>14.99</v>
      </c>
      <c r="N3863">
        <f t="shared" si="60"/>
        <v>0</v>
      </c>
    </row>
    <row r="3864" spans="1:14" x14ac:dyDescent="0.35">
      <c r="A3864">
        <v>3863</v>
      </c>
      <c r="B3864" t="s">
        <v>16</v>
      </c>
      <c r="C3864">
        <v>39</v>
      </c>
      <c r="D3864" t="s">
        <v>27</v>
      </c>
      <c r="E3864" t="s">
        <v>24</v>
      </c>
      <c r="F3864">
        <v>260</v>
      </c>
      <c r="G3864">
        <v>29</v>
      </c>
      <c r="H3864">
        <v>0.5</v>
      </c>
      <c r="I3864" t="s">
        <v>23</v>
      </c>
      <c r="J3864">
        <v>0</v>
      </c>
      <c r="K3864">
        <v>1</v>
      </c>
      <c r="L3864">
        <v>0</v>
      </c>
      <c r="M3864">
        <f>VLOOKUP(Table1[[#This Row],[subscription_type]],Plans!$A$1:$B$5,2,FALSE)</f>
        <v>4.99</v>
      </c>
      <c r="N3864">
        <f t="shared" si="60"/>
        <v>0</v>
      </c>
    </row>
    <row r="3865" spans="1:14" x14ac:dyDescent="0.35">
      <c r="A3865">
        <v>3864</v>
      </c>
      <c r="B3865" t="s">
        <v>16</v>
      </c>
      <c r="C3865">
        <v>51</v>
      </c>
      <c r="D3865" t="s">
        <v>17</v>
      </c>
      <c r="E3865" t="s">
        <v>18</v>
      </c>
      <c r="F3865">
        <v>41</v>
      </c>
      <c r="G3865">
        <v>19</v>
      </c>
      <c r="H3865">
        <v>0.1</v>
      </c>
      <c r="I3865" t="s">
        <v>15</v>
      </c>
      <c r="J3865">
        <v>0</v>
      </c>
      <c r="K3865">
        <v>1</v>
      </c>
      <c r="L3865">
        <v>1</v>
      </c>
      <c r="M3865">
        <f>VLOOKUP(Table1[[#This Row],[subscription_type]],Plans!$A$1:$B$5,2,FALSE)</f>
        <v>14.99</v>
      </c>
      <c r="N3865">
        <f t="shared" si="60"/>
        <v>14.99</v>
      </c>
    </row>
    <row r="3866" spans="1:14" x14ac:dyDescent="0.35">
      <c r="A3866">
        <v>3865</v>
      </c>
      <c r="B3866" t="s">
        <v>20</v>
      </c>
      <c r="C3866">
        <v>59</v>
      </c>
      <c r="D3866" t="s">
        <v>28</v>
      </c>
      <c r="E3866" t="s">
        <v>18</v>
      </c>
      <c r="F3866">
        <v>165</v>
      </c>
      <c r="G3866">
        <v>74</v>
      </c>
      <c r="H3866">
        <v>0.16</v>
      </c>
      <c r="I3866" t="s">
        <v>19</v>
      </c>
      <c r="J3866">
        <v>0</v>
      </c>
      <c r="K3866">
        <v>1</v>
      </c>
      <c r="L3866">
        <v>0</v>
      </c>
      <c r="M3866">
        <f>VLOOKUP(Table1[[#This Row],[subscription_type]],Plans!$A$1:$B$5,2,FALSE)</f>
        <v>14.99</v>
      </c>
      <c r="N3866">
        <f t="shared" si="60"/>
        <v>0</v>
      </c>
    </row>
    <row r="3867" spans="1:14" x14ac:dyDescent="0.35">
      <c r="A3867">
        <v>3866</v>
      </c>
      <c r="B3867" t="s">
        <v>20</v>
      </c>
      <c r="C3867">
        <v>36</v>
      </c>
      <c r="D3867" t="s">
        <v>27</v>
      </c>
      <c r="E3867" t="s">
        <v>18</v>
      </c>
      <c r="F3867">
        <v>41</v>
      </c>
      <c r="G3867">
        <v>43</v>
      </c>
      <c r="H3867">
        <v>0.56999999999999995</v>
      </c>
      <c r="I3867" t="s">
        <v>19</v>
      </c>
      <c r="J3867">
        <v>0</v>
      </c>
      <c r="K3867">
        <v>1</v>
      </c>
      <c r="L3867">
        <v>0</v>
      </c>
      <c r="M3867">
        <f>VLOOKUP(Table1[[#This Row],[subscription_type]],Plans!$A$1:$B$5,2,FALSE)</f>
        <v>14.99</v>
      </c>
      <c r="N3867">
        <f t="shared" si="60"/>
        <v>0</v>
      </c>
    </row>
    <row r="3868" spans="1:14" x14ac:dyDescent="0.35">
      <c r="A3868">
        <v>3867</v>
      </c>
      <c r="B3868" t="s">
        <v>12</v>
      </c>
      <c r="C3868">
        <v>54</v>
      </c>
      <c r="D3868" t="s">
        <v>13</v>
      </c>
      <c r="E3868" t="s">
        <v>14</v>
      </c>
      <c r="F3868">
        <v>227</v>
      </c>
      <c r="G3868">
        <v>22</v>
      </c>
      <c r="H3868">
        <v>0.49</v>
      </c>
      <c r="I3868" t="s">
        <v>15</v>
      </c>
      <c r="J3868">
        <v>38</v>
      </c>
      <c r="K3868">
        <v>0</v>
      </c>
      <c r="L3868">
        <v>0</v>
      </c>
      <c r="M3868">
        <f>VLOOKUP(Table1[[#This Row],[subscription_type]],Plans!$A$1:$B$5,2,FALSE)</f>
        <v>0</v>
      </c>
      <c r="N3868">
        <f t="shared" si="60"/>
        <v>0</v>
      </c>
    </row>
    <row r="3869" spans="1:14" x14ac:dyDescent="0.35">
      <c r="A3869">
        <v>3868</v>
      </c>
      <c r="B3869" t="s">
        <v>16</v>
      </c>
      <c r="C3869">
        <v>59</v>
      </c>
      <c r="D3869" t="s">
        <v>21</v>
      </c>
      <c r="E3869" t="s">
        <v>14</v>
      </c>
      <c r="F3869">
        <v>291</v>
      </c>
      <c r="G3869">
        <v>31</v>
      </c>
      <c r="H3869">
        <v>0.13</v>
      </c>
      <c r="I3869" t="s">
        <v>15</v>
      </c>
      <c r="J3869">
        <v>11</v>
      </c>
      <c r="K3869">
        <v>0</v>
      </c>
      <c r="L3869">
        <v>1</v>
      </c>
      <c r="M3869">
        <f>VLOOKUP(Table1[[#This Row],[subscription_type]],Plans!$A$1:$B$5,2,FALSE)</f>
        <v>0</v>
      </c>
      <c r="N3869">
        <f t="shared" si="60"/>
        <v>0</v>
      </c>
    </row>
    <row r="3870" spans="1:14" x14ac:dyDescent="0.35">
      <c r="A3870">
        <v>3869</v>
      </c>
      <c r="B3870" t="s">
        <v>20</v>
      </c>
      <c r="C3870">
        <v>35</v>
      </c>
      <c r="D3870" t="s">
        <v>26</v>
      </c>
      <c r="E3870" t="s">
        <v>22</v>
      </c>
      <c r="F3870">
        <v>76</v>
      </c>
      <c r="G3870">
        <v>78</v>
      </c>
      <c r="H3870">
        <v>7.0000000000000007E-2</v>
      </c>
      <c r="I3870" t="s">
        <v>23</v>
      </c>
      <c r="J3870">
        <v>0</v>
      </c>
      <c r="K3870">
        <v>1</v>
      </c>
      <c r="L3870">
        <v>0</v>
      </c>
      <c r="M3870">
        <f>VLOOKUP(Table1[[#This Row],[subscription_type]],Plans!$A$1:$B$5,2,FALSE)</f>
        <v>9.99</v>
      </c>
      <c r="N3870">
        <f t="shared" si="60"/>
        <v>0</v>
      </c>
    </row>
    <row r="3871" spans="1:14" x14ac:dyDescent="0.35">
      <c r="A3871">
        <v>3870</v>
      </c>
      <c r="B3871" t="s">
        <v>20</v>
      </c>
      <c r="C3871">
        <v>36</v>
      </c>
      <c r="D3871" t="s">
        <v>29</v>
      </c>
      <c r="E3871" t="s">
        <v>14</v>
      </c>
      <c r="F3871">
        <v>273</v>
      </c>
      <c r="G3871">
        <v>34</v>
      </c>
      <c r="H3871">
        <v>0.38</v>
      </c>
      <c r="I3871" t="s">
        <v>15</v>
      </c>
      <c r="J3871">
        <v>13</v>
      </c>
      <c r="K3871">
        <v>0</v>
      </c>
      <c r="L3871">
        <v>0</v>
      </c>
      <c r="M3871">
        <f>VLOOKUP(Table1[[#This Row],[subscription_type]],Plans!$A$1:$B$5,2,FALSE)</f>
        <v>0</v>
      </c>
      <c r="N3871">
        <f t="shared" si="60"/>
        <v>0</v>
      </c>
    </row>
    <row r="3872" spans="1:14" x14ac:dyDescent="0.35">
      <c r="A3872">
        <v>3871</v>
      </c>
      <c r="B3872" t="s">
        <v>16</v>
      </c>
      <c r="C3872">
        <v>22</v>
      </c>
      <c r="D3872" t="s">
        <v>27</v>
      </c>
      <c r="E3872" t="s">
        <v>14</v>
      </c>
      <c r="F3872">
        <v>289</v>
      </c>
      <c r="G3872">
        <v>97</v>
      </c>
      <c r="H3872">
        <v>0.53</v>
      </c>
      <c r="I3872" t="s">
        <v>19</v>
      </c>
      <c r="J3872">
        <v>33</v>
      </c>
      <c r="K3872">
        <v>0</v>
      </c>
      <c r="L3872">
        <v>0</v>
      </c>
      <c r="M3872">
        <f>VLOOKUP(Table1[[#This Row],[subscription_type]],Plans!$A$1:$B$5,2,FALSE)</f>
        <v>0</v>
      </c>
      <c r="N3872">
        <f t="shared" si="60"/>
        <v>0</v>
      </c>
    </row>
    <row r="3873" spans="1:14" x14ac:dyDescent="0.35">
      <c r="A3873">
        <v>3872</v>
      </c>
      <c r="B3873" t="s">
        <v>20</v>
      </c>
      <c r="C3873">
        <v>42</v>
      </c>
      <c r="D3873" t="s">
        <v>17</v>
      </c>
      <c r="E3873" t="s">
        <v>22</v>
      </c>
      <c r="F3873">
        <v>87</v>
      </c>
      <c r="G3873">
        <v>13</v>
      </c>
      <c r="H3873">
        <v>0.05</v>
      </c>
      <c r="I3873" t="s">
        <v>19</v>
      </c>
      <c r="J3873">
        <v>0</v>
      </c>
      <c r="K3873">
        <v>1</v>
      </c>
      <c r="L3873">
        <v>0</v>
      </c>
      <c r="M3873">
        <f>VLOOKUP(Table1[[#This Row],[subscription_type]],Plans!$A$1:$B$5,2,FALSE)</f>
        <v>9.99</v>
      </c>
      <c r="N3873">
        <f t="shared" si="60"/>
        <v>0</v>
      </c>
    </row>
    <row r="3874" spans="1:14" x14ac:dyDescent="0.35">
      <c r="A3874">
        <v>3873</v>
      </c>
      <c r="B3874" t="s">
        <v>16</v>
      </c>
      <c r="C3874">
        <v>51</v>
      </c>
      <c r="D3874" t="s">
        <v>13</v>
      </c>
      <c r="E3874" t="s">
        <v>18</v>
      </c>
      <c r="F3874">
        <v>259</v>
      </c>
      <c r="G3874">
        <v>10</v>
      </c>
      <c r="H3874">
        <v>0.37</v>
      </c>
      <c r="I3874" t="s">
        <v>19</v>
      </c>
      <c r="J3874">
        <v>0</v>
      </c>
      <c r="K3874">
        <v>1</v>
      </c>
      <c r="L3874">
        <v>1</v>
      </c>
      <c r="M3874">
        <f>VLOOKUP(Table1[[#This Row],[subscription_type]],Plans!$A$1:$B$5,2,FALSE)</f>
        <v>14.99</v>
      </c>
      <c r="N3874">
        <f t="shared" si="60"/>
        <v>14.99</v>
      </c>
    </row>
    <row r="3875" spans="1:14" x14ac:dyDescent="0.35">
      <c r="A3875">
        <v>3874</v>
      </c>
      <c r="B3875" t="s">
        <v>12</v>
      </c>
      <c r="C3875">
        <v>40</v>
      </c>
      <c r="D3875" t="s">
        <v>17</v>
      </c>
      <c r="E3875" t="s">
        <v>24</v>
      </c>
      <c r="F3875">
        <v>269</v>
      </c>
      <c r="G3875">
        <v>38</v>
      </c>
      <c r="H3875">
        <v>0.22</v>
      </c>
      <c r="I3875" t="s">
        <v>15</v>
      </c>
      <c r="J3875">
        <v>0</v>
      </c>
      <c r="K3875">
        <v>1</v>
      </c>
      <c r="L3875">
        <v>0</v>
      </c>
      <c r="M3875">
        <f>VLOOKUP(Table1[[#This Row],[subscription_type]],Plans!$A$1:$B$5,2,FALSE)</f>
        <v>4.99</v>
      </c>
      <c r="N3875">
        <f t="shared" si="60"/>
        <v>0</v>
      </c>
    </row>
    <row r="3876" spans="1:14" x14ac:dyDescent="0.35">
      <c r="A3876">
        <v>3875</v>
      </c>
      <c r="B3876" t="s">
        <v>16</v>
      </c>
      <c r="C3876">
        <v>20</v>
      </c>
      <c r="D3876" t="s">
        <v>21</v>
      </c>
      <c r="E3876" t="s">
        <v>14</v>
      </c>
      <c r="F3876">
        <v>179</v>
      </c>
      <c r="G3876">
        <v>7</v>
      </c>
      <c r="H3876">
        <v>0.41</v>
      </c>
      <c r="I3876" t="s">
        <v>19</v>
      </c>
      <c r="J3876">
        <v>14</v>
      </c>
      <c r="K3876">
        <v>0</v>
      </c>
      <c r="L3876">
        <v>0</v>
      </c>
      <c r="M3876">
        <f>VLOOKUP(Table1[[#This Row],[subscription_type]],Plans!$A$1:$B$5,2,FALSE)</f>
        <v>0</v>
      </c>
      <c r="N3876">
        <f t="shared" si="60"/>
        <v>0</v>
      </c>
    </row>
    <row r="3877" spans="1:14" x14ac:dyDescent="0.35">
      <c r="A3877">
        <v>3876</v>
      </c>
      <c r="B3877" t="s">
        <v>12</v>
      </c>
      <c r="C3877">
        <v>41</v>
      </c>
      <c r="D3877" t="s">
        <v>28</v>
      </c>
      <c r="E3877" t="s">
        <v>14</v>
      </c>
      <c r="F3877">
        <v>67</v>
      </c>
      <c r="G3877">
        <v>18</v>
      </c>
      <c r="H3877">
        <v>0.54</v>
      </c>
      <c r="I3877" t="s">
        <v>19</v>
      </c>
      <c r="J3877">
        <v>40</v>
      </c>
      <c r="K3877">
        <v>0</v>
      </c>
      <c r="L3877">
        <v>0</v>
      </c>
      <c r="M3877">
        <f>VLOOKUP(Table1[[#This Row],[subscription_type]],Plans!$A$1:$B$5,2,FALSE)</f>
        <v>0</v>
      </c>
      <c r="N3877">
        <f t="shared" si="60"/>
        <v>0</v>
      </c>
    </row>
    <row r="3878" spans="1:14" x14ac:dyDescent="0.35">
      <c r="A3878">
        <v>3877</v>
      </c>
      <c r="B3878" t="s">
        <v>20</v>
      </c>
      <c r="C3878">
        <v>36</v>
      </c>
      <c r="D3878" t="s">
        <v>29</v>
      </c>
      <c r="E3878" t="s">
        <v>14</v>
      </c>
      <c r="F3878">
        <v>100</v>
      </c>
      <c r="G3878">
        <v>34</v>
      </c>
      <c r="H3878">
        <v>0.08</v>
      </c>
      <c r="I3878" t="s">
        <v>15</v>
      </c>
      <c r="J3878">
        <v>35</v>
      </c>
      <c r="K3878">
        <v>0</v>
      </c>
      <c r="L3878">
        <v>1</v>
      </c>
      <c r="M3878">
        <f>VLOOKUP(Table1[[#This Row],[subscription_type]],Plans!$A$1:$B$5,2,FALSE)</f>
        <v>0</v>
      </c>
      <c r="N3878">
        <f t="shared" si="60"/>
        <v>0</v>
      </c>
    </row>
    <row r="3879" spans="1:14" x14ac:dyDescent="0.35">
      <c r="A3879">
        <v>3878</v>
      </c>
      <c r="B3879" t="s">
        <v>20</v>
      </c>
      <c r="C3879">
        <v>34</v>
      </c>
      <c r="D3879" t="s">
        <v>17</v>
      </c>
      <c r="E3879" t="s">
        <v>18</v>
      </c>
      <c r="F3879">
        <v>75</v>
      </c>
      <c r="G3879">
        <v>35</v>
      </c>
      <c r="H3879">
        <v>0.54</v>
      </c>
      <c r="I3879" t="s">
        <v>15</v>
      </c>
      <c r="J3879">
        <v>0</v>
      </c>
      <c r="K3879">
        <v>1</v>
      </c>
      <c r="L3879">
        <v>0</v>
      </c>
      <c r="M3879">
        <f>VLOOKUP(Table1[[#This Row],[subscription_type]],Plans!$A$1:$B$5,2,FALSE)</f>
        <v>14.99</v>
      </c>
      <c r="N3879">
        <f t="shared" si="60"/>
        <v>0</v>
      </c>
    </row>
    <row r="3880" spans="1:14" x14ac:dyDescent="0.35">
      <c r="A3880">
        <v>3879</v>
      </c>
      <c r="B3880" t="s">
        <v>20</v>
      </c>
      <c r="C3880">
        <v>26</v>
      </c>
      <c r="D3880" t="s">
        <v>25</v>
      </c>
      <c r="E3880" t="s">
        <v>14</v>
      </c>
      <c r="F3880">
        <v>282</v>
      </c>
      <c r="G3880">
        <v>24</v>
      </c>
      <c r="H3880">
        <v>0.54</v>
      </c>
      <c r="I3880" t="s">
        <v>23</v>
      </c>
      <c r="J3880">
        <v>22</v>
      </c>
      <c r="K3880">
        <v>0</v>
      </c>
      <c r="L3880">
        <v>1</v>
      </c>
      <c r="M3880">
        <f>VLOOKUP(Table1[[#This Row],[subscription_type]],Plans!$A$1:$B$5,2,FALSE)</f>
        <v>0</v>
      </c>
      <c r="N3880">
        <f t="shared" si="60"/>
        <v>0</v>
      </c>
    </row>
    <row r="3881" spans="1:14" x14ac:dyDescent="0.35">
      <c r="A3881">
        <v>3880</v>
      </c>
      <c r="B3881" t="s">
        <v>12</v>
      </c>
      <c r="C3881">
        <v>17</v>
      </c>
      <c r="D3881" t="s">
        <v>26</v>
      </c>
      <c r="E3881" t="s">
        <v>14</v>
      </c>
      <c r="F3881">
        <v>99</v>
      </c>
      <c r="G3881">
        <v>74</v>
      </c>
      <c r="H3881">
        <v>0.2</v>
      </c>
      <c r="I3881" t="s">
        <v>23</v>
      </c>
      <c r="J3881">
        <v>17</v>
      </c>
      <c r="K3881">
        <v>0</v>
      </c>
      <c r="L3881">
        <v>1</v>
      </c>
      <c r="M3881">
        <f>VLOOKUP(Table1[[#This Row],[subscription_type]],Plans!$A$1:$B$5,2,FALSE)</f>
        <v>0</v>
      </c>
      <c r="N3881">
        <f t="shared" si="60"/>
        <v>0</v>
      </c>
    </row>
    <row r="3882" spans="1:14" x14ac:dyDescent="0.35">
      <c r="A3882">
        <v>3881</v>
      </c>
      <c r="B3882" t="s">
        <v>16</v>
      </c>
      <c r="C3882">
        <v>22</v>
      </c>
      <c r="D3882" t="s">
        <v>21</v>
      </c>
      <c r="E3882" t="s">
        <v>24</v>
      </c>
      <c r="F3882">
        <v>160</v>
      </c>
      <c r="G3882">
        <v>55</v>
      </c>
      <c r="H3882">
        <v>0.26</v>
      </c>
      <c r="I3882" t="s">
        <v>23</v>
      </c>
      <c r="J3882">
        <v>0</v>
      </c>
      <c r="K3882">
        <v>1</v>
      </c>
      <c r="L3882">
        <v>1</v>
      </c>
      <c r="M3882">
        <f>VLOOKUP(Table1[[#This Row],[subscription_type]],Plans!$A$1:$B$5,2,FALSE)</f>
        <v>4.99</v>
      </c>
      <c r="N3882">
        <f t="shared" si="60"/>
        <v>4.99</v>
      </c>
    </row>
    <row r="3883" spans="1:14" x14ac:dyDescent="0.35">
      <c r="A3883">
        <v>3882</v>
      </c>
      <c r="B3883" t="s">
        <v>12</v>
      </c>
      <c r="C3883">
        <v>46</v>
      </c>
      <c r="D3883" t="s">
        <v>29</v>
      </c>
      <c r="E3883" t="s">
        <v>14</v>
      </c>
      <c r="F3883">
        <v>218</v>
      </c>
      <c r="G3883">
        <v>88</v>
      </c>
      <c r="H3883">
        <v>0.34</v>
      </c>
      <c r="I3883" t="s">
        <v>23</v>
      </c>
      <c r="J3883">
        <v>23</v>
      </c>
      <c r="K3883">
        <v>0</v>
      </c>
      <c r="L3883">
        <v>0</v>
      </c>
      <c r="M3883">
        <f>VLOOKUP(Table1[[#This Row],[subscription_type]],Plans!$A$1:$B$5,2,FALSE)</f>
        <v>0</v>
      </c>
      <c r="N3883">
        <f t="shared" si="60"/>
        <v>0</v>
      </c>
    </row>
    <row r="3884" spans="1:14" x14ac:dyDescent="0.35">
      <c r="A3884">
        <v>3883</v>
      </c>
      <c r="B3884" t="s">
        <v>12</v>
      </c>
      <c r="C3884">
        <v>37</v>
      </c>
      <c r="D3884" t="s">
        <v>25</v>
      </c>
      <c r="E3884" t="s">
        <v>22</v>
      </c>
      <c r="F3884">
        <v>125</v>
      </c>
      <c r="G3884">
        <v>52</v>
      </c>
      <c r="H3884">
        <v>7.0000000000000007E-2</v>
      </c>
      <c r="I3884" t="s">
        <v>19</v>
      </c>
      <c r="J3884">
        <v>0</v>
      </c>
      <c r="K3884">
        <v>1</v>
      </c>
      <c r="L3884">
        <v>1</v>
      </c>
      <c r="M3884">
        <f>VLOOKUP(Table1[[#This Row],[subscription_type]],Plans!$A$1:$B$5,2,FALSE)</f>
        <v>9.99</v>
      </c>
      <c r="N3884">
        <f t="shared" si="60"/>
        <v>9.99</v>
      </c>
    </row>
    <row r="3885" spans="1:14" x14ac:dyDescent="0.35">
      <c r="A3885">
        <v>3884</v>
      </c>
      <c r="B3885" t="s">
        <v>16</v>
      </c>
      <c r="C3885">
        <v>59</v>
      </c>
      <c r="D3885" t="s">
        <v>27</v>
      </c>
      <c r="E3885" t="s">
        <v>22</v>
      </c>
      <c r="F3885">
        <v>252</v>
      </c>
      <c r="G3885">
        <v>82</v>
      </c>
      <c r="H3885">
        <v>7.0000000000000007E-2</v>
      </c>
      <c r="I3885" t="s">
        <v>23</v>
      </c>
      <c r="J3885">
        <v>0</v>
      </c>
      <c r="K3885">
        <v>1</v>
      </c>
      <c r="L3885">
        <v>0</v>
      </c>
      <c r="M3885">
        <f>VLOOKUP(Table1[[#This Row],[subscription_type]],Plans!$A$1:$B$5,2,FALSE)</f>
        <v>9.99</v>
      </c>
      <c r="N3885">
        <f t="shared" si="60"/>
        <v>0</v>
      </c>
    </row>
    <row r="3886" spans="1:14" x14ac:dyDescent="0.35">
      <c r="A3886">
        <v>3885</v>
      </c>
      <c r="B3886" t="s">
        <v>12</v>
      </c>
      <c r="C3886">
        <v>47</v>
      </c>
      <c r="D3886" t="s">
        <v>25</v>
      </c>
      <c r="E3886" t="s">
        <v>24</v>
      </c>
      <c r="F3886">
        <v>166</v>
      </c>
      <c r="G3886">
        <v>1</v>
      </c>
      <c r="H3886">
        <v>0.22</v>
      </c>
      <c r="I3886" t="s">
        <v>23</v>
      </c>
      <c r="J3886">
        <v>0</v>
      </c>
      <c r="K3886">
        <v>1</v>
      </c>
      <c r="L3886">
        <v>0</v>
      </c>
      <c r="M3886">
        <f>VLOOKUP(Table1[[#This Row],[subscription_type]],Plans!$A$1:$B$5,2,FALSE)</f>
        <v>4.99</v>
      </c>
      <c r="N3886">
        <f t="shared" si="60"/>
        <v>0</v>
      </c>
    </row>
    <row r="3887" spans="1:14" x14ac:dyDescent="0.35">
      <c r="A3887">
        <v>3886</v>
      </c>
      <c r="B3887" t="s">
        <v>12</v>
      </c>
      <c r="C3887">
        <v>57</v>
      </c>
      <c r="D3887" t="s">
        <v>26</v>
      </c>
      <c r="E3887" t="s">
        <v>18</v>
      </c>
      <c r="F3887">
        <v>118</v>
      </c>
      <c r="G3887">
        <v>81</v>
      </c>
      <c r="H3887">
        <v>0.12</v>
      </c>
      <c r="I3887" t="s">
        <v>23</v>
      </c>
      <c r="J3887">
        <v>0</v>
      </c>
      <c r="K3887">
        <v>1</v>
      </c>
      <c r="L3887">
        <v>1</v>
      </c>
      <c r="M3887">
        <f>VLOOKUP(Table1[[#This Row],[subscription_type]],Plans!$A$1:$B$5,2,FALSE)</f>
        <v>14.99</v>
      </c>
      <c r="N3887">
        <f t="shared" si="60"/>
        <v>14.99</v>
      </c>
    </row>
    <row r="3888" spans="1:14" x14ac:dyDescent="0.35">
      <c r="A3888">
        <v>3887</v>
      </c>
      <c r="B3888" t="s">
        <v>20</v>
      </c>
      <c r="C3888">
        <v>54</v>
      </c>
      <c r="D3888" t="s">
        <v>26</v>
      </c>
      <c r="E3888" t="s">
        <v>18</v>
      </c>
      <c r="F3888">
        <v>35</v>
      </c>
      <c r="G3888">
        <v>50</v>
      </c>
      <c r="H3888">
        <v>0.47</v>
      </c>
      <c r="I3888" t="s">
        <v>15</v>
      </c>
      <c r="J3888">
        <v>0</v>
      </c>
      <c r="K3888">
        <v>1</v>
      </c>
      <c r="L3888">
        <v>0</v>
      </c>
      <c r="M3888">
        <f>VLOOKUP(Table1[[#This Row],[subscription_type]],Plans!$A$1:$B$5,2,FALSE)</f>
        <v>14.99</v>
      </c>
      <c r="N3888">
        <f t="shared" si="60"/>
        <v>0</v>
      </c>
    </row>
    <row r="3889" spans="1:14" x14ac:dyDescent="0.35">
      <c r="A3889">
        <v>3888</v>
      </c>
      <c r="B3889" t="s">
        <v>16</v>
      </c>
      <c r="C3889">
        <v>18</v>
      </c>
      <c r="D3889" t="s">
        <v>26</v>
      </c>
      <c r="E3889" t="s">
        <v>18</v>
      </c>
      <c r="F3889">
        <v>207</v>
      </c>
      <c r="G3889">
        <v>90</v>
      </c>
      <c r="H3889">
        <v>0.02</v>
      </c>
      <c r="I3889" t="s">
        <v>15</v>
      </c>
      <c r="J3889">
        <v>0</v>
      </c>
      <c r="K3889">
        <v>1</v>
      </c>
      <c r="L3889">
        <v>0</v>
      </c>
      <c r="M3889">
        <f>VLOOKUP(Table1[[#This Row],[subscription_type]],Plans!$A$1:$B$5,2,FALSE)</f>
        <v>14.99</v>
      </c>
      <c r="N3889">
        <f t="shared" si="60"/>
        <v>0</v>
      </c>
    </row>
    <row r="3890" spans="1:14" x14ac:dyDescent="0.35">
      <c r="A3890">
        <v>3889</v>
      </c>
      <c r="B3890" t="s">
        <v>20</v>
      </c>
      <c r="C3890">
        <v>59</v>
      </c>
      <c r="D3890" t="s">
        <v>29</v>
      </c>
      <c r="E3890" t="s">
        <v>22</v>
      </c>
      <c r="F3890">
        <v>19</v>
      </c>
      <c r="G3890">
        <v>88</v>
      </c>
      <c r="H3890">
        <v>0.57999999999999996</v>
      </c>
      <c r="I3890" t="s">
        <v>23</v>
      </c>
      <c r="J3890">
        <v>0</v>
      </c>
      <c r="K3890">
        <v>1</v>
      </c>
      <c r="L3890">
        <v>1</v>
      </c>
      <c r="M3890">
        <f>VLOOKUP(Table1[[#This Row],[subscription_type]],Plans!$A$1:$B$5,2,FALSE)</f>
        <v>9.99</v>
      </c>
      <c r="N3890">
        <f t="shared" si="60"/>
        <v>9.99</v>
      </c>
    </row>
    <row r="3891" spans="1:14" x14ac:dyDescent="0.35">
      <c r="A3891">
        <v>3890</v>
      </c>
      <c r="B3891" t="s">
        <v>12</v>
      </c>
      <c r="C3891">
        <v>51</v>
      </c>
      <c r="D3891" t="s">
        <v>21</v>
      </c>
      <c r="E3891" t="s">
        <v>14</v>
      </c>
      <c r="F3891">
        <v>214</v>
      </c>
      <c r="G3891">
        <v>49</v>
      </c>
      <c r="H3891">
        <v>0.03</v>
      </c>
      <c r="I3891" t="s">
        <v>19</v>
      </c>
      <c r="J3891">
        <v>10</v>
      </c>
      <c r="K3891">
        <v>0</v>
      </c>
      <c r="L3891">
        <v>0</v>
      </c>
      <c r="M3891">
        <f>VLOOKUP(Table1[[#This Row],[subscription_type]],Plans!$A$1:$B$5,2,FALSE)</f>
        <v>0</v>
      </c>
      <c r="N3891">
        <f t="shared" si="60"/>
        <v>0</v>
      </c>
    </row>
    <row r="3892" spans="1:14" x14ac:dyDescent="0.35">
      <c r="A3892">
        <v>3891</v>
      </c>
      <c r="B3892" t="s">
        <v>12</v>
      </c>
      <c r="C3892">
        <v>17</v>
      </c>
      <c r="D3892" t="s">
        <v>21</v>
      </c>
      <c r="E3892" t="s">
        <v>24</v>
      </c>
      <c r="F3892">
        <v>242</v>
      </c>
      <c r="G3892">
        <v>84</v>
      </c>
      <c r="H3892">
        <v>7.0000000000000007E-2</v>
      </c>
      <c r="I3892" t="s">
        <v>19</v>
      </c>
      <c r="J3892">
        <v>0</v>
      </c>
      <c r="K3892">
        <v>1</v>
      </c>
      <c r="L3892">
        <v>1</v>
      </c>
      <c r="M3892">
        <f>VLOOKUP(Table1[[#This Row],[subscription_type]],Plans!$A$1:$B$5,2,FALSE)</f>
        <v>4.99</v>
      </c>
      <c r="N3892">
        <f t="shared" si="60"/>
        <v>4.99</v>
      </c>
    </row>
    <row r="3893" spans="1:14" x14ac:dyDescent="0.35">
      <c r="A3893">
        <v>3892</v>
      </c>
      <c r="B3893" t="s">
        <v>16</v>
      </c>
      <c r="C3893">
        <v>28</v>
      </c>
      <c r="D3893" t="s">
        <v>13</v>
      </c>
      <c r="E3893" t="s">
        <v>14</v>
      </c>
      <c r="F3893">
        <v>65</v>
      </c>
      <c r="G3893">
        <v>82</v>
      </c>
      <c r="H3893">
        <v>0.36</v>
      </c>
      <c r="I3893" t="s">
        <v>23</v>
      </c>
      <c r="J3893">
        <v>40</v>
      </c>
      <c r="K3893">
        <v>0</v>
      </c>
      <c r="L3893">
        <v>1</v>
      </c>
      <c r="M3893">
        <f>VLOOKUP(Table1[[#This Row],[subscription_type]],Plans!$A$1:$B$5,2,FALSE)</f>
        <v>0</v>
      </c>
      <c r="N3893">
        <f t="shared" si="60"/>
        <v>0</v>
      </c>
    </row>
    <row r="3894" spans="1:14" x14ac:dyDescent="0.35">
      <c r="A3894">
        <v>3893</v>
      </c>
      <c r="B3894" t="s">
        <v>16</v>
      </c>
      <c r="C3894">
        <v>40</v>
      </c>
      <c r="D3894" t="s">
        <v>13</v>
      </c>
      <c r="E3894" t="s">
        <v>24</v>
      </c>
      <c r="F3894">
        <v>231</v>
      </c>
      <c r="G3894">
        <v>60</v>
      </c>
      <c r="H3894">
        <v>0.15</v>
      </c>
      <c r="I3894" t="s">
        <v>15</v>
      </c>
      <c r="J3894">
        <v>0</v>
      </c>
      <c r="K3894">
        <v>1</v>
      </c>
      <c r="L3894">
        <v>0</v>
      </c>
      <c r="M3894">
        <f>VLOOKUP(Table1[[#This Row],[subscription_type]],Plans!$A$1:$B$5,2,FALSE)</f>
        <v>4.99</v>
      </c>
      <c r="N3894">
        <f t="shared" si="60"/>
        <v>0</v>
      </c>
    </row>
    <row r="3895" spans="1:14" x14ac:dyDescent="0.35">
      <c r="A3895">
        <v>3894</v>
      </c>
      <c r="B3895" t="s">
        <v>16</v>
      </c>
      <c r="C3895">
        <v>57</v>
      </c>
      <c r="D3895" t="s">
        <v>17</v>
      </c>
      <c r="E3895" t="s">
        <v>22</v>
      </c>
      <c r="F3895">
        <v>161</v>
      </c>
      <c r="G3895">
        <v>46</v>
      </c>
      <c r="H3895">
        <v>0.55000000000000004</v>
      </c>
      <c r="I3895" t="s">
        <v>15</v>
      </c>
      <c r="J3895">
        <v>0</v>
      </c>
      <c r="K3895">
        <v>1</v>
      </c>
      <c r="L3895">
        <v>0</v>
      </c>
      <c r="M3895">
        <f>VLOOKUP(Table1[[#This Row],[subscription_type]],Plans!$A$1:$B$5,2,FALSE)</f>
        <v>9.99</v>
      </c>
      <c r="N3895">
        <f t="shared" si="60"/>
        <v>0</v>
      </c>
    </row>
    <row r="3896" spans="1:14" x14ac:dyDescent="0.35">
      <c r="A3896">
        <v>3895</v>
      </c>
      <c r="B3896" t="s">
        <v>12</v>
      </c>
      <c r="C3896">
        <v>54</v>
      </c>
      <c r="D3896" t="s">
        <v>25</v>
      </c>
      <c r="E3896" t="s">
        <v>22</v>
      </c>
      <c r="F3896">
        <v>199</v>
      </c>
      <c r="G3896">
        <v>95</v>
      </c>
      <c r="H3896">
        <v>0.51</v>
      </c>
      <c r="I3896" t="s">
        <v>23</v>
      </c>
      <c r="J3896">
        <v>0</v>
      </c>
      <c r="K3896">
        <v>1</v>
      </c>
      <c r="L3896">
        <v>0</v>
      </c>
      <c r="M3896">
        <f>VLOOKUP(Table1[[#This Row],[subscription_type]],Plans!$A$1:$B$5,2,FALSE)</f>
        <v>9.99</v>
      </c>
      <c r="N3896">
        <f t="shared" si="60"/>
        <v>0</v>
      </c>
    </row>
    <row r="3897" spans="1:14" x14ac:dyDescent="0.35">
      <c r="A3897">
        <v>3896</v>
      </c>
      <c r="B3897" t="s">
        <v>20</v>
      </c>
      <c r="C3897">
        <v>59</v>
      </c>
      <c r="D3897" t="s">
        <v>21</v>
      </c>
      <c r="E3897" t="s">
        <v>18</v>
      </c>
      <c r="F3897">
        <v>151</v>
      </c>
      <c r="G3897">
        <v>45</v>
      </c>
      <c r="H3897">
        <v>0.08</v>
      </c>
      <c r="I3897" t="s">
        <v>19</v>
      </c>
      <c r="J3897">
        <v>0</v>
      </c>
      <c r="K3897">
        <v>1</v>
      </c>
      <c r="L3897">
        <v>0</v>
      </c>
      <c r="M3897">
        <f>VLOOKUP(Table1[[#This Row],[subscription_type]],Plans!$A$1:$B$5,2,FALSE)</f>
        <v>14.99</v>
      </c>
      <c r="N3897">
        <f t="shared" si="60"/>
        <v>0</v>
      </c>
    </row>
    <row r="3898" spans="1:14" x14ac:dyDescent="0.35">
      <c r="A3898">
        <v>3897</v>
      </c>
      <c r="B3898" t="s">
        <v>20</v>
      </c>
      <c r="C3898">
        <v>23</v>
      </c>
      <c r="D3898" t="s">
        <v>13</v>
      </c>
      <c r="E3898" t="s">
        <v>18</v>
      </c>
      <c r="F3898">
        <v>239</v>
      </c>
      <c r="G3898">
        <v>58</v>
      </c>
      <c r="H3898">
        <v>0.02</v>
      </c>
      <c r="I3898" t="s">
        <v>23</v>
      </c>
      <c r="J3898">
        <v>0</v>
      </c>
      <c r="K3898">
        <v>1</v>
      </c>
      <c r="L3898">
        <v>0</v>
      </c>
      <c r="M3898">
        <f>VLOOKUP(Table1[[#This Row],[subscription_type]],Plans!$A$1:$B$5,2,FALSE)</f>
        <v>14.99</v>
      </c>
      <c r="N3898">
        <f t="shared" si="60"/>
        <v>0</v>
      </c>
    </row>
    <row r="3899" spans="1:14" x14ac:dyDescent="0.35">
      <c r="A3899">
        <v>3898</v>
      </c>
      <c r="B3899" t="s">
        <v>20</v>
      </c>
      <c r="C3899">
        <v>25</v>
      </c>
      <c r="D3899" t="s">
        <v>25</v>
      </c>
      <c r="E3899" t="s">
        <v>24</v>
      </c>
      <c r="F3899">
        <v>157</v>
      </c>
      <c r="G3899">
        <v>91</v>
      </c>
      <c r="H3899">
        <v>0.51</v>
      </c>
      <c r="I3899" t="s">
        <v>23</v>
      </c>
      <c r="J3899">
        <v>0</v>
      </c>
      <c r="K3899">
        <v>1</v>
      </c>
      <c r="L3899">
        <v>0</v>
      </c>
      <c r="M3899">
        <f>VLOOKUP(Table1[[#This Row],[subscription_type]],Plans!$A$1:$B$5,2,FALSE)</f>
        <v>4.99</v>
      </c>
      <c r="N3899">
        <f t="shared" si="60"/>
        <v>0</v>
      </c>
    </row>
    <row r="3900" spans="1:14" x14ac:dyDescent="0.35">
      <c r="A3900">
        <v>3899</v>
      </c>
      <c r="B3900" t="s">
        <v>12</v>
      </c>
      <c r="C3900">
        <v>29</v>
      </c>
      <c r="D3900" t="s">
        <v>25</v>
      </c>
      <c r="E3900" t="s">
        <v>18</v>
      </c>
      <c r="F3900">
        <v>125</v>
      </c>
      <c r="G3900">
        <v>42</v>
      </c>
      <c r="H3900">
        <v>0.2</v>
      </c>
      <c r="I3900" t="s">
        <v>19</v>
      </c>
      <c r="J3900">
        <v>0</v>
      </c>
      <c r="K3900">
        <v>1</v>
      </c>
      <c r="L3900">
        <v>0</v>
      </c>
      <c r="M3900">
        <f>VLOOKUP(Table1[[#This Row],[subscription_type]],Plans!$A$1:$B$5,2,FALSE)</f>
        <v>14.99</v>
      </c>
      <c r="N3900">
        <f t="shared" si="60"/>
        <v>0</v>
      </c>
    </row>
    <row r="3901" spans="1:14" x14ac:dyDescent="0.35">
      <c r="A3901">
        <v>3900</v>
      </c>
      <c r="B3901" t="s">
        <v>12</v>
      </c>
      <c r="C3901">
        <v>46</v>
      </c>
      <c r="D3901" t="s">
        <v>27</v>
      </c>
      <c r="E3901" t="s">
        <v>22</v>
      </c>
      <c r="F3901">
        <v>116</v>
      </c>
      <c r="G3901">
        <v>37</v>
      </c>
      <c r="H3901">
        <v>0.45</v>
      </c>
      <c r="I3901" t="s">
        <v>15</v>
      </c>
      <c r="J3901">
        <v>0</v>
      </c>
      <c r="K3901">
        <v>1</v>
      </c>
      <c r="L3901">
        <v>0</v>
      </c>
      <c r="M3901">
        <f>VLOOKUP(Table1[[#This Row],[subscription_type]],Plans!$A$1:$B$5,2,FALSE)</f>
        <v>9.99</v>
      </c>
      <c r="N3901">
        <f t="shared" si="60"/>
        <v>0</v>
      </c>
    </row>
    <row r="3902" spans="1:14" x14ac:dyDescent="0.35">
      <c r="A3902">
        <v>3901</v>
      </c>
      <c r="B3902" t="s">
        <v>16</v>
      </c>
      <c r="C3902">
        <v>35</v>
      </c>
      <c r="D3902" t="s">
        <v>27</v>
      </c>
      <c r="E3902" t="s">
        <v>18</v>
      </c>
      <c r="F3902">
        <v>43</v>
      </c>
      <c r="G3902">
        <v>27</v>
      </c>
      <c r="H3902">
        <v>7.0000000000000007E-2</v>
      </c>
      <c r="I3902" t="s">
        <v>15</v>
      </c>
      <c r="J3902">
        <v>0</v>
      </c>
      <c r="K3902">
        <v>1</v>
      </c>
      <c r="L3902">
        <v>1</v>
      </c>
      <c r="M3902">
        <f>VLOOKUP(Table1[[#This Row],[subscription_type]],Plans!$A$1:$B$5,2,FALSE)</f>
        <v>14.99</v>
      </c>
      <c r="N3902">
        <f t="shared" si="60"/>
        <v>14.99</v>
      </c>
    </row>
    <row r="3903" spans="1:14" x14ac:dyDescent="0.35">
      <c r="A3903">
        <v>3902</v>
      </c>
      <c r="B3903" t="s">
        <v>12</v>
      </c>
      <c r="C3903">
        <v>39</v>
      </c>
      <c r="D3903" t="s">
        <v>26</v>
      </c>
      <c r="E3903" t="s">
        <v>14</v>
      </c>
      <c r="F3903">
        <v>104</v>
      </c>
      <c r="G3903">
        <v>22</v>
      </c>
      <c r="H3903">
        <v>0.32</v>
      </c>
      <c r="I3903" t="s">
        <v>15</v>
      </c>
      <c r="J3903">
        <v>12</v>
      </c>
      <c r="K3903">
        <v>0</v>
      </c>
      <c r="L3903">
        <v>1</v>
      </c>
      <c r="M3903">
        <f>VLOOKUP(Table1[[#This Row],[subscription_type]],Plans!$A$1:$B$5,2,FALSE)</f>
        <v>0</v>
      </c>
      <c r="N3903">
        <f t="shared" si="60"/>
        <v>0</v>
      </c>
    </row>
    <row r="3904" spans="1:14" x14ac:dyDescent="0.35">
      <c r="A3904">
        <v>3903</v>
      </c>
      <c r="B3904" t="s">
        <v>16</v>
      </c>
      <c r="C3904">
        <v>16</v>
      </c>
      <c r="D3904" t="s">
        <v>27</v>
      </c>
      <c r="E3904" t="s">
        <v>24</v>
      </c>
      <c r="F3904">
        <v>33</v>
      </c>
      <c r="G3904">
        <v>95</v>
      </c>
      <c r="H3904">
        <v>0.3</v>
      </c>
      <c r="I3904" t="s">
        <v>15</v>
      </c>
      <c r="J3904">
        <v>0</v>
      </c>
      <c r="K3904">
        <v>1</v>
      </c>
      <c r="L3904">
        <v>0</v>
      </c>
      <c r="M3904">
        <f>VLOOKUP(Table1[[#This Row],[subscription_type]],Plans!$A$1:$B$5,2,FALSE)</f>
        <v>4.99</v>
      </c>
      <c r="N3904">
        <f t="shared" si="60"/>
        <v>0</v>
      </c>
    </row>
    <row r="3905" spans="1:14" x14ac:dyDescent="0.35">
      <c r="A3905">
        <v>3904</v>
      </c>
      <c r="B3905" t="s">
        <v>12</v>
      </c>
      <c r="C3905">
        <v>35</v>
      </c>
      <c r="D3905" t="s">
        <v>13</v>
      </c>
      <c r="E3905" t="s">
        <v>18</v>
      </c>
      <c r="F3905">
        <v>286</v>
      </c>
      <c r="G3905">
        <v>56</v>
      </c>
      <c r="H3905">
        <v>0.04</v>
      </c>
      <c r="I3905" t="s">
        <v>19</v>
      </c>
      <c r="J3905">
        <v>0</v>
      </c>
      <c r="K3905">
        <v>1</v>
      </c>
      <c r="L3905">
        <v>1</v>
      </c>
      <c r="M3905">
        <f>VLOOKUP(Table1[[#This Row],[subscription_type]],Plans!$A$1:$B$5,2,FALSE)</f>
        <v>14.99</v>
      </c>
      <c r="N3905">
        <f t="shared" si="60"/>
        <v>14.99</v>
      </c>
    </row>
    <row r="3906" spans="1:14" x14ac:dyDescent="0.35">
      <c r="A3906">
        <v>3905</v>
      </c>
      <c r="B3906" t="s">
        <v>16</v>
      </c>
      <c r="C3906">
        <v>59</v>
      </c>
      <c r="D3906" t="s">
        <v>27</v>
      </c>
      <c r="E3906" t="s">
        <v>22</v>
      </c>
      <c r="F3906">
        <v>11</v>
      </c>
      <c r="G3906">
        <v>11</v>
      </c>
      <c r="H3906">
        <v>0.36</v>
      </c>
      <c r="I3906" t="s">
        <v>23</v>
      </c>
      <c r="J3906">
        <v>0</v>
      </c>
      <c r="K3906">
        <v>1</v>
      </c>
      <c r="L3906">
        <v>1</v>
      </c>
      <c r="M3906">
        <f>VLOOKUP(Table1[[#This Row],[subscription_type]],Plans!$A$1:$B$5,2,FALSE)</f>
        <v>9.99</v>
      </c>
      <c r="N3906">
        <f t="shared" ref="N3906:N3969" si="61">IF(L3906=1, M3906,0)</f>
        <v>9.99</v>
      </c>
    </row>
    <row r="3907" spans="1:14" x14ac:dyDescent="0.35">
      <c r="A3907">
        <v>3906</v>
      </c>
      <c r="B3907" t="s">
        <v>12</v>
      </c>
      <c r="C3907">
        <v>31</v>
      </c>
      <c r="D3907" t="s">
        <v>28</v>
      </c>
      <c r="E3907" t="s">
        <v>24</v>
      </c>
      <c r="F3907">
        <v>94</v>
      </c>
      <c r="G3907">
        <v>4</v>
      </c>
      <c r="H3907">
        <v>0.44</v>
      </c>
      <c r="I3907" t="s">
        <v>15</v>
      </c>
      <c r="J3907">
        <v>0</v>
      </c>
      <c r="K3907">
        <v>1</v>
      </c>
      <c r="L3907">
        <v>1</v>
      </c>
      <c r="M3907">
        <f>VLOOKUP(Table1[[#This Row],[subscription_type]],Plans!$A$1:$B$5,2,FALSE)</f>
        <v>4.99</v>
      </c>
      <c r="N3907">
        <f t="shared" si="61"/>
        <v>4.99</v>
      </c>
    </row>
    <row r="3908" spans="1:14" x14ac:dyDescent="0.35">
      <c r="A3908">
        <v>3907</v>
      </c>
      <c r="B3908" t="s">
        <v>20</v>
      </c>
      <c r="C3908">
        <v>36</v>
      </c>
      <c r="D3908" t="s">
        <v>29</v>
      </c>
      <c r="E3908" t="s">
        <v>22</v>
      </c>
      <c r="F3908">
        <v>140</v>
      </c>
      <c r="G3908">
        <v>91</v>
      </c>
      <c r="H3908">
        <v>0.05</v>
      </c>
      <c r="I3908" t="s">
        <v>15</v>
      </c>
      <c r="J3908">
        <v>0</v>
      </c>
      <c r="K3908">
        <v>1</v>
      </c>
      <c r="L3908">
        <v>0</v>
      </c>
      <c r="M3908">
        <f>VLOOKUP(Table1[[#This Row],[subscription_type]],Plans!$A$1:$B$5,2,FALSE)</f>
        <v>9.99</v>
      </c>
      <c r="N3908">
        <f t="shared" si="61"/>
        <v>0</v>
      </c>
    </row>
    <row r="3909" spans="1:14" x14ac:dyDescent="0.35">
      <c r="A3909">
        <v>3908</v>
      </c>
      <c r="B3909" t="s">
        <v>20</v>
      </c>
      <c r="C3909">
        <v>28</v>
      </c>
      <c r="D3909" t="s">
        <v>28</v>
      </c>
      <c r="E3909" t="s">
        <v>22</v>
      </c>
      <c r="F3909">
        <v>146</v>
      </c>
      <c r="G3909">
        <v>68</v>
      </c>
      <c r="H3909">
        <v>0.03</v>
      </c>
      <c r="I3909" t="s">
        <v>15</v>
      </c>
      <c r="J3909">
        <v>0</v>
      </c>
      <c r="K3909">
        <v>1</v>
      </c>
      <c r="L3909">
        <v>0</v>
      </c>
      <c r="M3909">
        <f>VLOOKUP(Table1[[#This Row],[subscription_type]],Plans!$A$1:$B$5,2,FALSE)</f>
        <v>9.99</v>
      </c>
      <c r="N3909">
        <f t="shared" si="61"/>
        <v>0</v>
      </c>
    </row>
    <row r="3910" spans="1:14" x14ac:dyDescent="0.35">
      <c r="A3910">
        <v>3909</v>
      </c>
      <c r="B3910" t="s">
        <v>16</v>
      </c>
      <c r="C3910">
        <v>40</v>
      </c>
      <c r="D3910" t="s">
        <v>26</v>
      </c>
      <c r="E3910" t="s">
        <v>22</v>
      </c>
      <c r="F3910">
        <v>137</v>
      </c>
      <c r="G3910">
        <v>89</v>
      </c>
      <c r="H3910">
        <v>0.1</v>
      </c>
      <c r="I3910" t="s">
        <v>15</v>
      </c>
      <c r="J3910">
        <v>0</v>
      </c>
      <c r="K3910">
        <v>1</v>
      </c>
      <c r="L3910">
        <v>0</v>
      </c>
      <c r="M3910">
        <f>VLOOKUP(Table1[[#This Row],[subscription_type]],Plans!$A$1:$B$5,2,FALSE)</f>
        <v>9.99</v>
      </c>
      <c r="N3910">
        <f t="shared" si="61"/>
        <v>0</v>
      </c>
    </row>
    <row r="3911" spans="1:14" x14ac:dyDescent="0.35">
      <c r="A3911">
        <v>3910</v>
      </c>
      <c r="B3911" t="s">
        <v>20</v>
      </c>
      <c r="C3911">
        <v>55</v>
      </c>
      <c r="D3911" t="s">
        <v>13</v>
      </c>
      <c r="E3911" t="s">
        <v>24</v>
      </c>
      <c r="F3911">
        <v>121</v>
      </c>
      <c r="G3911">
        <v>69</v>
      </c>
      <c r="H3911">
        <v>0.42</v>
      </c>
      <c r="I3911" t="s">
        <v>19</v>
      </c>
      <c r="J3911">
        <v>0</v>
      </c>
      <c r="K3911">
        <v>1</v>
      </c>
      <c r="L3911">
        <v>1</v>
      </c>
      <c r="M3911">
        <f>VLOOKUP(Table1[[#This Row],[subscription_type]],Plans!$A$1:$B$5,2,FALSE)</f>
        <v>4.99</v>
      </c>
      <c r="N3911">
        <f t="shared" si="61"/>
        <v>4.99</v>
      </c>
    </row>
    <row r="3912" spans="1:14" x14ac:dyDescent="0.35">
      <c r="A3912">
        <v>3911</v>
      </c>
      <c r="B3912" t="s">
        <v>12</v>
      </c>
      <c r="C3912">
        <v>34</v>
      </c>
      <c r="D3912" t="s">
        <v>25</v>
      </c>
      <c r="E3912" t="s">
        <v>18</v>
      </c>
      <c r="F3912">
        <v>70</v>
      </c>
      <c r="G3912">
        <v>9</v>
      </c>
      <c r="H3912">
        <v>0.21</v>
      </c>
      <c r="I3912" t="s">
        <v>19</v>
      </c>
      <c r="J3912">
        <v>0</v>
      </c>
      <c r="K3912">
        <v>1</v>
      </c>
      <c r="L3912">
        <v>0</v>
      </c>
      <c r="M3912">
        <f>VLOOKUP(Table1[[#This Row],[subscription_type]],Plans!$A$1:$B$5,2,FALSE)</f>
        <v>14.99</v>
      </c>
      <c r="N3912">
        <f t="shared" si="61"/>
        <v>0</v>
      </c>
    </row>
    <row r="3913" spans="1:14" x14ac:dyDescent="0.35">
      <c r="A3913">
        <v>3912</v>
      </c>
      <c r="B3913" t="s">
        <v>12</v>
      </c>
      <c r="C3913">
        <v>40</v>
      </c>
      <c r="D3913" t="s">
        <v>27</v>
      </c>
      <c r="E3913" t="s">
        <v>18</v>
      </c>
      <c r="F3913">
        <v>169</v>
      </c>
      <c r="G3913">
        <v>90</v>
      </c>
      <c r="H3913">
        <v>0.28000000000000003</v>
      </c>
      <c r="I3913" t="s">
        <v>15</v>
      </c>
      <c r="J3913">
        <v>0</v>
      </c>
      <c r="K3913">
        <v>1</v>
      </c>
      <c r="L3913">
        <v>0</v>
      </c>
      <c r="M3913">
        <f>VLOOKUP(Table1[[#This Row],[subscription_type]],Plans!$A$1:$B$5,2,FALSE)</f>
        <v>14.99</v>
      </c>
      <c r="N3913">
        <f t="shared" si="61"/>
        <v>0</v>
      </c>
    </row>
    <row r="3914" spans="1:14" x14ac:dyDescent="0.35">
      <c r="A3914">
        <v>3913</v>
      </c>
      <c r="B3914" t="s">
        <v>20</v>
      </c>
      <c r="C3914">
        <v>48</v>
      </c>
      <c r="D3914" t="s">
        <v>17</v>
      </c>
      <c r="E3914" t="s">
        <v>18</v>
      </c>
      <c r="F3914">
        <v>161</v>
      </c>
      <c r="G3914">
        <v>57</v>
      </c>
      <c r="H3914">
        <v>0.47</v>
      </c>
      <c r="I3914" t="s">
        <v>23</v>
      </c>
      <c r="J3914">
        <v>0</v>
      </c>
      <c r="K3914">
        <v>1</v>
      </c>
      <c r="L3914">
        <v>1</v>
      </c>
      <c r="M3914">
        <f>VLOOKUP(Table1[[#This Row],[subscription_type]],Plans!$A$1:$B$5,2,FALSE)</f>
        <v>14.99</v>
      </c>
      <c r="N3914">
        <f t="shared" si="61"/>
        <v>14.99</v>
      </c>
    </row>
    <row r="3915" spans="1:14" x14ac:dyDescent="0.35">
      <c r="A3915">
        <v>3914</v>
      </c>
      <c r="B3915" t="s">
        <v>16</v>
      </c>
      <c r="C3915">
        <v>23</v>
      </c>
      <c r="D3915" t="s">
        <v>26</v>
      </c>
      <c r="E3915" t="s">
        <v>14</v>
      </c>
      <c r="F3915">
        <v>99</v>
      </c>
      <c r="G3915">
        <v>39</v>
      </c>
      <c r="H3915">
        <v>0.4</v>
      </c>
      <c r="I3915" t="s">
        <v>19</v>
      </c>
      <c r="J3915">
        <v>46</v>
      </c>
      <c r="K3915">
        <v>0</v>
      </c>
      <c r="L3915">
        <v>0</v>
      </c>
      <c r="M3915">
        <f>VLOOKUP(Table1[[#This Row],[subscription_type]],Plans!$A$1:$B$5,2,FALSE)</f>
        <v>0</v>
      </c>
      <c r="N3915">
        <f t="shared" si="61"/>
        <v>0</v>
      </c>
    </row>
    <row r="3916" spans="1:14" x14ac:dyDescent="0.35">
      <c r="A3916">
        <v>3915</v>
      </c>
      <c r="B3916" t="s">
        <v>12</v>
      </c>
      <c r="C3916">
        <v>50</v>
      </c>
      <c r="D3916" t="s">
        <v>21</v>
      </c>
      <c r="E3916" t="s">
        <v>24</v>
      </c>
      <c r="F3916">
        <v>140</v>
      </c>
      <c r="G3916">
        <v>89</v>
      </c>
      <c r="H3916">
        <v>0.24</v>
      </c>
      <c r="I3916" t="s">
        <v>15</v>
      </c>
      <c r="J3916">
        <v>0</v>
      </c>
      <c r="K3916">
        <v>1</v>
      </c>
      <c r="L3916">
        <v>0</v>
      </c>
      <c r="M3916">
        <f>VLOOKUP(Table1[[#This Row],[subscription_type]],Plans!$A$1:$B$5,2,FALSE)</f>
        <v>4.99</v>
      </c>
      <c r="N3916">
        <f t="shared" si="61"/>
        <v>0</v>
      </c>
    </row>
    <row r="3917" spans="1:14" x14ac:dyDescent="0.35">
      <c r="A3917">
        <v>3916</v>
      </c>
      <c r="B3917" t="s">
        <v>20</v>
      </c>
      <c r="C3917">
        <v>55</v>
      </c>
      <c r="D3917" t="s">
        <v>26</v>
      </c>
      <c r="E3917" t="s">
        <v>18</v>
      </c>
      <c r="F3917">
        <v>155</v>
      </c>
      <c r="G3917">
        <v>24</v>
      </c>
      <c r="H3917">
        <v>0.15</v>
      </c>
      <c r="I3917" t="s">
        <v>19</v>
      </c>
      <c r="J3917">
        <v>0</v>
      </c>
      <c r="K3917">
        <v>1</v>
      </c>
      <c r="L3917">
        <v>0</v>
      </c>
      <c r="M3917">
        <f>VLOOKUP(Table1[[#This Row],[subscription_type]],Plans!$A$1:$B$5,2,FALSE)</f>
        <v>14.99</v>
      </c>
      <c r="N3917">
        <f t="shared" si="61"/>
        <v>0</v>
      </c>
    </row>
    <row r="3918" spans="1:14" x14ac:dyDescent="0.35">
      <c r="A3918">
        <v>3917</v>
      </c>
      <c r="B3918" t="s">
        <v>16</v>
      </c>
      <c r="C3918">
        <v>36</v>
      </c>
      <c r="D3918" t="s">
        <v>25</v>
      </c>
      <c r="E3918" t="s">
        <v>14</v>
      </c>
      <c r="F3918">
        <v>121</v>
      </c>
      <c r="G3918">
        <v>2</v>
      </c>
      <c r="H3918">
        <v>0.36</v>
      </c>
      <c r="I3918" t="s">
        <v>23</v>
      </c>
      <c r="J3918">
        <v>36</v>
      </c>
      <c r="K3918">
        <v>0</v>
      </c>
      <c r="L3918">
        <v>1</v>
      </c>
      <c r="M3918">
        <f>VLOOKUP(Table1[[#This Row],[subscription_type]],Plans!$A$1:$B$5,2,FALSE)</f>
        <v>0</v>
      </c>
      <c r="N3918">
        <f t="shared" si="61"/>
        <v>0</v>
      </c>
    </row>
    <row r="3919" spans="1:14" x14ac:dyDescent="0.35">
      <c r="A3919">
        <v>3918</v>
      </c>
      <c r="B3919" t="s">
        <v>20</v>
      </c>
      <c r="C3919">
        <v>40</v>
      </c>
      <c r="D3919" t="s">
        <v>17</v>
      </c>
      <c r="E3919" t="s">
        <v>24</v>
      </c>
      <c r="F3919">
        <v>54</v>
      </c>
      <c r="G3919">
        <v>31</v>
      </c>
      <c r="H3919">
        <v>0.3</v>
      </c>
      <c r="I3919" t="s">
        <v>15</v>
      </c>
      <c r="J3919">
        <v>0</v>
      </c>
      <c r="K3919">
        <v>1</v>
      </c>
      <c r="L3919">
        <v>1</v>
      </c>
      <c r="M3919">
        <f>VLOOKUP(Table1[[#This Row],[subscription_type]],Plans!$A$1:$B$5,2,FALSE)</f>
        <v>4.99</v>
      </c>
      <c r="N3919">
        <f t="shared" si="61"/>
        <v>4.99</v>
      </c>
    </row>
    <row r="3920" spans="1:14" x14ac:dyDescent="0.35">
      <c r="A3920">
        <v>3919</v>
      </c>
      <c r="B3920" t="s">
        <v>12</v>
      </c>
      <c r="C3920">
        <v>42</v>
      </c>
      <c r="D3920" t="s">
        <v>25</v>
      </c>
      <c r="E3920" t="s">
        <v>22</v>
      </c>
      <c r="F3920">
        <v>235</v>
      </c>
      <c r="G3920">
        <v>23</v>
      </c>
      <c r="H3920">
        <v>0.33</v>
      </c>
      <c r="I3920" t="s">
        <v>19</v>
      </c>
      <c r="J3920">
        <v>0</v>
      </c>
      <c r="K3920">
        <v>1</v>
      </c>
      <c r="L3920">
        <v>0</v>
      </c>
      <c r="M3920">
        <f>VLOOKUP(Table1[[#This Row],[subscription_type]],Plans!$A$1:$B$5,2,FALSE)</f>
        <v>9.99</v>
      </c>
      <c r="N3920">
        <f t="shared" si="61"/>
        <v>0</v>
      </c>
    </row>
    <row r="3921" spans="1:14" x14ac:dyDescent="0.35">
      <c r="A3921">
        <v>3920</v>
      </c>
      <c r="B3921" t="s">
        <v>16</v>
      </c>
      <c r="C3921">
        <v>21</v>
      </c>
      <c r="D3921" t="s">
        <v>21</v>
      </c>
      <c r="E3921" t="s">
        <v>18</v>
      </c>
      <c r="F3921">
        <v>224</v>
      </c>
      <c r="G3921">
        <v>58</v>
      </c>
      <c r="H3921">
        <v>0.59</v>
      </c>
      <c r="I3921" t="s">
        <v>23</v>
      </c>
      <c r="J3921">
        <v>0</v>
      </c>
      <c r="K3921">
        <v>1</v>
      </c>
      <c r="L3921">
        <v>0</v>
      </c>
      <c r="M3921">
        <f>VLOOKUP(Table1[[#This Row],[subscription_type]],Plans!$A$1:$B$5,2,FALSE)</f>
        <v>14.99</v>
      </c>
      <c r="N3921">
        <f t="shared" si="61"/>
        <v>0</v>
      </c>
    </row>
    <row r="3922" spans="1:14" x14ac:dyDescent="0.35">
      <c r="A3922">
        <v>3921</v>
      </c>
      <c r="B3922" t="s">
        <v>12</v>
      </c>
      <c r="C3922">
        <v>16</v>
      </c>
      <c r="D3922" t="s">
        <v>27</v>
      </c>
      <c r="E3922" t="s">
        <v>22</v>
      </c>
      <c r="F3922">
        <v>177</v>
      </c>
      <c r="G3922">
        <v>50</v>
      </c>
      <c r="H3922">
        <v>0.49</v>
      </c>
      <c r="I3922" t="s">
        <v>23</v>
      </c>
      <c r="J3922">
        <v>0</v>
      </c>
      <c r="K3922">
        <v>1</v>
      </c>
      <c r="L3922">
        <v>0</v>
      </c>
      <c r="M3922">
        <f>VLOOKUP(Table1[[#This Row],[subscription_type]],Plans!$A$1:$B$5,2,FALSE)</f>
        <v>9.99</v>
      </c>
      <c r="N3922">
        <f t="shared" si="61"/>
        <v>0</v>
      </c>
    </row>
    <row r="3923" spans="1:14" x14ac:dyDescent="0.35">
      <c r="A3923">
        <v>3922</v>
      </c>
      <c r="B3923" t="s">
        <v>20</v>
      </c>
      <c r="C3923">
        <v>52</v>
      </c>
      <c r="D3923" t="s">
        <v>29</v>
      </c>
      <c r="E3923" t="s">
        <v>24</v>
      </c>
      <c r="F3923">
        <v>288</v>
      </c>
      <c r="G3923">
        <v>88</v>
      </c>
      <c r="H3923">
        <v>0.45</v>
      </c>
      <c r="I3923" t="s">
        <v>15</v>
      </c>
      <c r="J3923">
        <v>0</v>
      </c>
      <c r="K3923">
        <v>1</v>
      </c>
      <c r="L3923">
        <v>0</v>
      </c>
      <c r="M3923">
        <f>VLOOKUP(Table1[[#This Row],[subscription_type]],Plans!$A$1:$B$5,2,FALSE)</f>
        <v>4.99</v>
      </c>
      <c r="N3923">
        <f t="shared" si="61"/>
        <v>0</v>
      </c>
    </row>
    <row r="3924" spans="1:14" x14ac:dyDescent="0.35">
      <c r="A3924">
        <v>3923</v>
      </c>
      <c r="B3924" t="s">
        <v>16</v>
      </c>
      <c r="C3924">
        <v>59</v>
      </c>
      <c r="D3924" t="s">
        <v>13</v>
      </c>
      <c r="E3924" t="s">
        <v>22</v>
      </c>
      <c r="F3924">
        <v>115</v>
      </c>
      <c r="G3924">
        <v>35</v>
      </c>
      <c r="H3924">
        <v>0.3</v>
      </c>
      <c r="I3924" t="s">
        <v>19</v>
      </c>
      <c r="J3924">
        <v>0</v>
      </c>
      <c r="K3924">
        <v>1</v>
      </c>
      <c r="L3924">
        <v>1</v>
      </c>
      <c r="M3924">
        <f>VLOOKUP(Table1[[#This Row],[subscription_type]],Plans!$A$1:$B$5,2,FALSE)</f>
        <v>9.99</v>
      </c>
      <c r="N3924">
        <f t="shared" si="61"/>
        <v>9.99</v>
      </c>
    </row>
    <row r="3925" spans="1:14" x14ac:dyDescent="0.35">
      <c r="A3925">
        <v>3924</v>
      </c>
      <c r="B3925" t="s">
        <v>20</v>
      </c>
      <c r="C3925">
        <v>43</v>
      </c>
      <c r="D3925" t="s">
        <v>27</v>
      </c>
      <c r="E3925" t="s">
        <v>22</v>
      </c>
      <c r="F3925">
        <v>221</v>
      </c>
      <c r="G3925">
        <v>13</v>
      </c>
      <c r="H3925">
        <v>0.57999999999999996</v>
      </c>
      <c r="I3925" t="s">
        <v>15</v>
      </c>
      <c r="J3925">
        <v>0</v>
      </c>
      <c r="K3925">
        <v>1</v>
      </c>
      <c r="L3925">
        <v>0</v>
      </c>
      <c r="M3925">
        <f>VLOOKUP(Table1[[#This Row],[subscription_type]],Plans!$A$1:$B$5,2,FALSE)</f>
        <v>9.99</v>
      </c>
      <c r="N3925">
        <f t="shared" si="61"/>
        <v>0</v>
      </c>
    </row>
    <row r="3926" spans="1:14" x14ac:dyDescent="0.35">
      <c r="A3926">
        <v>3925</v>
      </c>
      <c r="B3926" t="s">
        <v>20</v>
      </c>
      <c r="C3926">
        <v>53</v>
      </c>
      <c r="D3926" t="s">
        <v>25</v>
      </c>
      <c r="E3926" t="s">
        <v>18</v>
      </c>
      <c r="F3926">
        <v>73</v>
      </c>
      <c r="G3926">
        <v>91</v>
      </c>
      <c r="H3926">
        <v>0.15</v>
      </c>
      <c r="I3926" t="s">
        <v>19</v>
      </c>
      <c r="J3926">
        <v>0</v>
      </c>
      <c r="K3926">
        <v>1</v>
      </c>
      <c r="L3926">
        <v>0</v>
      </c>
      <c r="M3926">
        <f>VLOOKUP(Table1[[#This Row],[subscription_type]],Plans!$A$1:$B$5,2,FALSE)</f>
        <v>14.99</v>
      </c>
      <c r="N3926">
        <f t="shared" si="61"/>
        <v>0</v>
      </c>
    </row>
    <row r="3927" spans="1:14" x14ac:dyDescent="0.35">
      <c r="A3927">
        <v>3926</v>
      </c>
      <c r="B3927" t="s">
        <v>16</v>
      </c>
      <c r="C3927">
        <v>16</v>
      </c>
      <c r="D3927" t="s">
        <v>28</v>
      </c>
      <c r="E3927" t="s">
        <v>22</v>
      </c>
      <c r="F3927">
        <v>95</v>
      </c>
      <c r="G3927">
        <v>46</v>
      </c>
      <c r="H3927">
        <v>0.03</v>
      </c>
      <c r="I3927" t="s">
        <v>23</v>
      </c>
      <c r="J3927">
        <v>0</v>
      </c>
      <c r="K3927">
        <v>1</v>
      </c>
      <c r="L3927">
        <v>0</v>
      </c>
      <c r="M3927">
        <f>VLOOKUP(Table1[[#This Row],[subscription_type]],Plans!$A$1:$B$5,2,FALSE)</f>
        <v>9.99</v>
      </c>
      <c r="N3927">
        <f t="shared" si="61"/>
        <v>0</v>
      </c>
    </row>
    <row r="3928" spans="1:14" x14ac:dyDescent="0.35">
      <c r="A3928">
        <v>3927</v>
      </c>
      <c r="B3928" t="s">
        <v>16</v>
      </c>
      <c r="C3928">
        <v>54</v>
      </c>
      <c r="D3928" t="s">
        <v>29</v>
      </c>
      <c r="E3928" t="s">
        <v>22</v>
      </c>
      <c r="F3928">
        <v>46</v>
      </c>
      <c r="G3928">
        <v>86</v>
      </c>
      <c r="H3928">
        <v>0.12</v>
      </c>
      <c r="I3928" t="s">
        <v>23</v>
      </c>
      <c r="J3928">
        <v>0</v>
      </c>
      <c r="K3928">
        <v>1</v>
      </c>
      <c r="L3928">
        <v>0</v>
      </c>
      <c r="M3928">
        <f>VLOOKUP(Table1[[#This Row],[subscription_type]],Plans!$A$1:$B$5,2,FALSE)</f>
        <v>9.99</v>
      </c>
      <c r="N3928">
        <f t="shared" si="61"/>
        <v>0</v>
      </c>
    </row>
    <row r="3929" spans="1:14" x14ac:dyDescent="0.35">
      <c r="A3929">
        <v>3928</v>
      </c>
      <c r="B3929" t="s">
        <v>20</v>
      </c>
      <c r="C3929">
        <v>45</v>
      </c>
      <c r="D3929" t="s">
        <v>28</v>
      </c>
      <c r="E3929" t="s">
        <v>24</v>
      </c>
      <c r="F3929">
        <v>59</v>
      </c>
      <c r="G3929">
        <v>28</v>
      </c>
      <c r="H3929">
        <v>0.32</v>
      </c>
      <c r="I3929" t="s">
        <v>19</v>
      </c>
      <c r="J3929">
        <v>0</v>
      </c>
      <c r="K3929">
        <v>1</v>
      </c>
      <c r="L3929">
        <v>1</v>
      </c>
      <c r="M3929">
        <f>VLOOKUP(Table1[[#This Row],[subscription_type]],Plans!$A$1:$B$5,2,FALSE)</f>
        <v>4.99</v>
      </c>
      <c r="N3929">
        <f t="shared" si="61"/>
        <v>4.99</v>
      </c>
    </row>
    <row r="3930" spans="1:14" x14ac:dyDescent="0.35">
      <c r="A3930">
        <v>3929</v>
      </c>
      <c r="B3930" t="s">
        <v>16</v>
      </c>
      <c r="C3930">
        <v>50</v>
      </c>
      <c r="D3930" t="s">
        <v>13</v>
      </c>
      <c r="E3930" t="s">
        <v>22</v>
      </c>
      <c r="F3930">
        <v>264</v>
      </c>
      <c r="G3930">
        <v>71</v>
      </c>
      <c r="H3930">
        <v>0.27</v>
      </c>
      <c r="I3930" t="s">
        <v>15</v>
      </c>
      <c r="J3930">
        <v>0</v>
      </c>
      <c r="K3930">
        <v>1</v>
      </c>
      <c r="L3930">
        <v>0</v>
      </c>
      <c r="M3930">
        <f>VLOOKUP(Table1[[#This Row],[subscription_type]],Plans!$A$1:$B$5,2,FALSE)</f>
        <v>9.99</v>
      </c>
      <c r="N3930">
        <f t="shared" si="61"/>
        <v>0</v>
      </c>
    </row>
    <row r="3931" spans="1:14" x14ac:dyDescent="0.35">
      <c r="A3931">
        <v>3930</v>
      </c>
      <c r="B3931" t="s">
        <v>12</v>
      </c>
      <c r="C3931">
        <v>27</v>
      </c>
      <c r="D3931" t="s">
        <v>13</v>
      </c>
      <c r="E3931" t="s">
        <v>22</v>
      </c>
      <c r="F3931">
        <v>55</v>
      </c>
      <c r="G3931">
        <v>84</v>
      </c>
      <c r="H3931">
        <v>0.43</v>
      </c>
      <c r="I3931" t="s">
        <v>19</v>
      </c>
      <c r="J3931">
        <v>0</v>
      </c>
      <c r="K3931">
        <v>1</v>
      </c>
      <c r="L3931">
        <v>1</v>
      </c>
      <c r="M3931">
        <f>VLOOKUP(Table1[[#This Row],[subscription_type]],Plans!$A$1:$B$5,2,FALSE)</f>
        <v>9.99</v>
      </c>
      <c r="N3931">
        <f t="shared" si="61"/>
        <v>9.99</v>
      </c>
    </row>
    <row r="3932" spans="1:14" x14ac:dyDescent="0.35">
      <c r="A3932">
        <v>3931</v>
      </c>
      <c r="B3932" t="s">
        <v>20</v>
      </c>
      <c r="C3932">
        <v>36</v>
      </c>
      <c r="D3932" t="s">
        <v>27</v>
      </c>
      <c r="E3932" t="s">
        <v>22</v>
      </c>
      <c r="F3932">
        <v>202</v>
      </c>
      <c r="G3932">
        <v>43</v>
      </c>
      <c r="H3932">
        <v>0.04</v>
      </c>
      <c r="I3932" t="s">
        <v>15</v>
      </c>
      <c r="J3932">
        <v>0</v>
      </c>
      <c r="K3932">
        <v>1</v>
      </c>
      <c r="L3932">
        <v>0</v>
      </c>
      <c r="M3932">
        <f>VLOOKUP(Table1[[#This Row],[subscription_type]],Plans!$A$1:$B$5,2,FALSE)</f>
        <v>9.99</v>
      </c>
      <c r="N3932">
        <f t="shared" si="61"/>
        <v>0</v>
      </c>
    </row>
    <row r="3933" spans="1:14" x14ac:dyDescent="0.35">
      <c r="A3933">
        <v>3932</v>
      </c>
      <c r="B3933" t="s">
        <v>16</v>
      </c>
      <c r="C3933">
        <v>36</v>
      </c>
      <c r="D3933" t="s">
        <v>29</v>
      </c>
      <c r="E3933" t="s">
        <v>22</v>
      </c>
      <c r="F3933">
        <v>66</v>
      </c>
      <c r="G3933">
        <v>82</v>
      </c>
      <c r="H3933">
        <v>0.56000000000000005</v>
      </c>
      <c r="I3933" t="s">
        <v>15</v>
      </c>
      <c r="J3933">
        <v>0</v>
      </c>
      <c r="K3933">
        <v>1</v>
      </c>
      <c r="L3933">
        <v>0</v>
      </c>
      <c r="M3933">
        <f>VLOOKUP(Table1[[#This Row],[subscription_type]],Plans!$A$1:$B$5,2,FALSE)</f>
        <v>9.99</v>
      </c>
      <c r="N3933">
        <f t="shared" si="61"/>
        <v>0</v>
      </c>
    </row>
    <row r="3934" spans="1:14" x14ac:dyDescent="0.35">
      <c r="A3934">
        <v>3933</v>
      </c>
      <c r="B3934" t="s">
        <v>20</v>
      </c>
      <c r="C3934">
        <v>26</v>
      </c>
      <c r="D3934" t="s">
        <v>26</v>
      </c>
      <c r="E3934" t="s">
        <v>14</v>
      </c>
      <c r="F3934">
        <v>224</v>
      </c>
      <c r="G3934">
        <v>20</v>
      </c>
      <c r="H3934">
        <v>0.18</v>
      </c>
      <c r="I3934" t="s">
        <v>19</v>
      </c>
      <c r="J3934">
        <v>47</v>
      </c>
      <c r="K3934">
        <v>0</v>
      </c>
      <c r="L3934">
        <v>0</v>
      </c>
      <c r="M3934">
        <f>VLOOKUP(Table1[[#This Row],[subscription_type]],Plans!$A$1:$B$5,2,FALSE)</f>
        <v>0</v>
      </c>
      <c r="N3934">
        <f t="shared" si="61"/>
        <v>0</v>
      </c>
    </row>
    <row r="3935" spans="1:14" x14ac:dyDescent="0.35">
      <c r="A3935">
        <v>3934</v>
      </c>
      <c r="B3935" t="s">
        <v>12</v>
      </c>
      <c r="C3935">
        <v>30</v>
      </c>
      <c r="D3935" t="s">
        <v>28</v>
      </c>
      <c r="E3935" t="s">
        <v>18</v>
      </c>
      <c r="F3935">
        <v>175</v>
      </c>
      <c r="G3935">
        <v>25</v>
      </c>
      <c r="H3935">
        <v>0.56999999999999995</v>
      </c>
      <c r="I3935" t="s">
        <v>23</v>
      </c>
      <c r="J3935">
        <v>0</v>
      </c>
      <c r="K3935">
        <v>1</v>
      </c>
      <c r="L3935">
        <v>0</v>
      </c>
      <c r="M3935">
        <f>VLOOKUP(Table1[[#This Row],[subscription_type]],Plans!$A$1:$B$5,2,FALSE)</f>
        <v>14.99</v>
      </c>
      <c r="N3935">
        <f t="shared" si="61"/>
        <v>0</v>
      </c>
    </row>
    <row r="3936" spans="1:14" x14ac:dyDescent="0.35">
      <c r="A3936">
        <v>3935</v>
      </c>
      <c r="B3936" t="s">
        <v>12</v>
      </c>
      <c r="C3936">
        <v>39</v>
      </c>
      <c r="D3936" t="s">
        <v>13</v>
      </c>
      <c r="E3936" t="s">
        <v>22</v>
      </c>
      <c r="F3936">
        <v>143</v>
      </c>
      <c r="G3936">
        <v>40</v>
      </c>
      <c r="H3936">
        <v>0.41</v>
      </c>
      <c r="I3936" t="s">
        <v>23</v>
      </c>
      <c r="J3936">
        <v>0</v>
      </c>
      <c r="K3936">
        <v>1</v>
      </c>
      <c r="L3936">
        <v>0</v>
      </c>
      <c r="M3936">
        <f>VLOOKUP(Table1[[#This Row],[subscription_type]],Plans!$A$1:$B$5,2,FALSE)</f>
        <v>9.99</v>
      </c>
      <c r="N3936">
        <f t="shared" si="61"/>
        <v>0</v>
      </c>
    </row>
    <row r="3937" spans="1:14" x14ac:dyDescent="0.35">
      <c r="A3937">
        <v>3936</v>
      </c>
      <c r="B3937" t="s">
        <v>12</v>
      </c>
      <c r="C3937">
        <v>24</v>
      </c>
      <c r="D3937" t="s">
        <v>25</v>
      </c>
      <c r="E3937" t="s">
        <v>22</v>
      </c>
      <c r="F3937">
        <v>202</v>
      </c>
      <c r="G3937">
        <v>77</v>
      </c>
      <c r="H3937">
        <v>0.4</v>
      </c>
      <c r="I3937" t="s">
        <v>23</v>
      </c>
      <c r="J3937">
        <v>0</v>
      </c>
      <c r="K3937">
        <v>1</v>
      </c>
      <c r="L3937">
        <v>1</v>
      </c>
      <c r="M3937">
        <f>VLOOKUP(Table1[[#This Row],[subscription_type]],Plans!$A$1:$B$5,2,FALSE)</f>
        <v>9.99</v>
      </c>
      <c r="N3937">
        <f t="shared" si="61"/>
        <v>9.99</v>
      </c>
    </row>
    <row r="3938" spans="1:14" x14ac:dyDescent="0.35">
      <c r="A3938">
        <v>3937</v>
      </c>
      <c r="B3938" t="s">
        <v>16</v>
      </c>
      <c r="C3938">
        <v>31</v>
      </c>
      <c r="D3938" t="s">
        <v>25</v>
      </c>
      <c r="E3938" t="s">
        <v>22</v>
      </c>
      <c r="F3938">
        <v>203</v>
      </c>
      <c r="G3938">
        <v>35</v>
      </c>
      <c r="H3938">
        <v>0.28999999999999998</v>
      </c>
      <c r="I3938" t="s">
        <v>19</v>
      </c>
      <c r="J3938">
        <v>0</v>
      </c>
      <c r="K3938">
        <v>1</v>
      </c>
      <c r="L3938">
        <v>1</v>
      </c>
      <c r="M3938">
        <f>VLOOKUP(Table1[[#This Row],[subscription_type]],Plans!$A$1:$B$5,2,FALSE)</f>
        <v>9.99</v>
      </c>
      <c r="N3938">
        <f t="shared" si="61"/>
        <v>9.99</v>
      </c>
    </row>
    <row r="3939" spans="1:14" x14ac:dyDescent="0.35">
      <c r="A3939">
        <v>3938</v>
      </c>
      <c r="B3939" t="s">
        <v>12</v>
      </c>
      <c r="C3939">
        <v>31</v>
      </c>
      <c r="D3939" t="s">
        <v>28</v>
      </c>
      <c r="E3939" t="s">
        <v>18</v>
      </c>
      <c r="F3939">
        <v>21</v>
      </c>
      <c r="G3939">
        <v>82</v>
      </c>
      <c r="H3939">
        <v>0.21</v>
      </c>
      <c r="I3939" t="s">
        <v>19</v>
      </c>
      <c r="J3939">
        <v>0</v>
      </c>
      <c r="K3939">
        <v>1</v>
      </c>
      <c r="L3939">
        <v>0</v>
      </c>
      <c r="M3939">
        <f>VLOOKUP(Table1[[#This Row],[subscription_type]],Plans!$A$1:$B$5,2,FALSE)</f>
        <v>14.99</v>
      </c>
      <c r="N3939">
        <f t="shared" si="61"/>
        <v>0</v>
      </c>
    </row>
    <row r="3940" spans="1:14" x14ac:dyDescent="0.35">
      <c r="A3940">
        <v>3939</v>
      </c>
      <c r="B3940" t="s">
        <v>16</v>
      </c>
      <c r="C3940">
        <v>32</v>
      </c>
      <c r="D3940" t="s">
        <v>29</v>
      </c>
      <c r="E3940" t="s">
        <v>24</v>
      </c>
      <c r="F3940">
        <v>82</v>
      </c>
      <c r="G3940">
        <v>91</v>
      </c>
      <c r="H3940">
        <v>0.3</v>
      </c>
      <c r="I3940" t="s">
        <v>23</v>
      </c>
      <c r="J3940">
        <v>0</v>
      </c>
      <c r="K3940">
        <v>1</v>
      </c>
      <c r="L3940">
        <v>1</v>
      </c>
      <c r="M3940">
        <f>VLOOKUP(Table1[[#This Row],[subscription_type]],Plans!$A$1:$B$5,2,FALSE)</f>
        <v>4.99</v>
      </c>
      <c r="N3940">
        <f t="shared" si="61"/>
        <v>4.99</v>
      </c>
    </row>
    <row r="3941" spans="1:14" x14ac:dyDescent="0.35">
      <c r="A3941">
        <v>3940</v>
      </c>
      <c r="B3941" t="s">
        <v>12</v>
      </c>
      <c r="C3941">
        <v>51</v>
      </c>
      <c r="D3941" t="s">
        <v>29</v>
      </c>
      <c r="E3941" t="s">
        <v>14</v>
      </c>
      <c r="F3941">
        <v>175</v>
      </c>
      <c r="G3941">
        <v>34</v>
      </c>
      <c r="H3941">
        <v>0.59</v>
      </c>
      <c r="I3941" t="s">
        <v>15</v>
      </c>
      <c r="J3941">
        <v>31</v>
      </c>
      <c r="K3941">
        <v>0</v>
      </c>
      <c r="L3941">
        <v>1</v>
      </c>
      <c r="M3941">
        <f>VLOOKUP(Table1[[#This Row],[subscription_type]],Plans!$A$1:$B$5,2,FALSE)</f>
        <v>0</v>
      </c>
      <c r="N3941">
        <f t="shared" si="61"/>
        <v>0</v>
      </c>
    </row>
    <row r="3942" spans="1:14" x14ac:dyDescent="0.35">
      <c r="A3942">
        <v>3941</v>
      </c>
      <c r="B3942" t="s">
        <v>12</v>
      </c>
      <c r="C3942">
        <v>50</v>
      </c>
      <c r="D3942" t="s">
        <v>27</v>
      </c>
      <c r="E3942" t="s">
        <v>22</v>
      </c>
      <c r="F3942">
        <v>234</v>
      </c>
      <c r="G3942">
        <v>23</v>
      </c>
      <c r="H3942">
        <v>0.24</v>
      </c>
      <c r="I3942" t="s">
        <v>15</v>
      </c>
      <c r="J3942">
        <v>0</v>
      </c>
      <c r="K3942">
        <v>1</v>
      </c>
      <c r="L3942">
        <v>0</v>
      </c>
      <c r="M3942">
        <f>VLOOKUP(Table1[[#This Row],[subscription_type]],Plans!$A$1:$B$5,2,FALSE)</f>
        <v>9.99</v>
      </c>
      <c r="N3942">
        <f t="shared" si="61"/>
        <v>0</v>
      </c>
    </row>
    <row r="3943" spans="1:14" x14ac:dyDescent="0.35">
      <c r="A3943">
        <v>3942</v>
      </c>
      <c r="B3943" t="s">
        <v>12</v>
      </c>
      <c r="C3943">
        <v>23</v>
      </c>
      <c r="D3943" t="s">
        <v>17</v>
      </c>
      <c r="E3943" t="s">
        <v>24</v>
      </c>
      <c r="F3943">
        <v>150</v>
      </c>
      <c r="G3943">
        <v>20</v>
      </c>
      <c r="H3943">
        <v>0.16</v>
      </c>
      <c r="I3943" t="s">
        <v>15</v>
      </c>
      <c r="J3943">
        <v>0</v>
      </c>
      <c r="K3943">
        <v>1</v>
      </c>
      <c r="L3943">
        <v>0</v>
      </c>
      <c r="M3943">
        <f>VLOOKUP(Table1[[#This Row],[subscription_type]],Plans!$A$1:$B$5,2,FALSE)</f>
        <v>4.99</v>
      </c>
      <c r="N3943">
        <f t="shared" si="61"/>
        <v>0</v>
      </c>
    </row>
    <row r="3944" spans="1:14" x14ac:dyDescent="0.35">
      <c r="A3944">
        <v>3943</v>
      </c>
      <c r="B3944" t="s">
        <v>16</v>
      </c>
      <c r="C3944">
        <v>55</v>
      </c>
      <c r="D3944" t="s">
        <v>17</v>
      </c>
      <c r="E3944" t="s">
        <v>22</v>
      </c>
      <c r="F3944">
        <v>246</v>
      </c>
      <c r="G3944">
        <v>81</v>
      </c>
      <c r="H3944">
        <v>0.57999999999999996</v>
      </c>
      <c r="I3944" t="s">
        <v>15</v>
      </c>
      <c r="J3944">
        <v>0</v>
      </c>
      <c r="K3944">
        <v>1</v>
      </c>
      <c r="L3944">
        <v>0</v>
      </c>
      <c r="M3944">
        <f>VLOOKUP(Table1[[#This Row],[subscription_type]],Plans!$A$1:$B$5,2,FALSE)</f>
        <v>9.99</v>
      </c>
      <c r="N3944">
        <f t="shared" si="61"/>
        <v>0</v>
      </c>
    </row>
    <row r="3945" spans="1:14" x14ac:dyDescent="0.35">
      <c r="A3945">
        <v>3944</v>
      </c>
      <c r="B3945" t="s">
        <v>16</v>
      </c>
      <c r="C3945">
        <v>54</v>
      </c>
      <c r="D3945" t="s">
        <v>25</v>
      </c>
      <c r="E3945" t="s">
        <v>18</v>
      </c>
      <c r="F3945">
        <v>80</v>
      </c>
      <c r="G3945">
        <v>36</v>
      </c>
      <c r="H3945">
        <v>0.43</v>
      </c>
      <c r="I3945" t="s">
        <v>23</v>
      </c>
      <c r="J3945">
        <v>0</v>
      </c>
      <c r="K3945">
        <v>1</v>
      </c>
      <c r="L3945">
        <v>0</v>
      </c>
      <c r="M3945">
        <f>VLOOKUP(Table1[[#This Row],[subscription_type]],Plans!$A$1:$B$5,2,FALSE)</f>
        <v>14.99</v>
      </c>
      <c r="N3945">
        <f t="shared" si="61"/>
        <v>0</v>
      </c>
    </row>
    <row r="3946" spans="1:14" x14ac:dyDescent="0.35">
      <c r="A3946">
        <v>3945</v>
      </c>
      <c r="B3946" t="s">
        <v>20</v>
      </c>
      <c r="C3946">
        <v>24</v>
      </c>
      <c r="D3946" t="s">
        <v>21</v>
      </c>
      <c r="E3946" t="s">
        <v>18</v>
      </c>
      <c r="F3946">
        <v>67</v>
      </c>
      <c r="G3946">
        <v>43</v>
      </c>
      <c r="H3946">
        <v>0.57999999999999996</v>
      </c>
      <c r="I3946" t="s">
        <v>19</v>
      </c>
      <c r="J3946">
        <v>0</v>
      </c>
      <c r="K3946">
        <v>1</v>
      </c>
      <c r="L3946">
        <v>0</v>
      </c>
      <c r="M3946">
        <f>VLOOKUP(Table1[[#This Row],[subscription_type]],Plans!$A$1:$B$5,2,FALSE)</f>
        <v>14.99</v>
      </c>
      <c r="N3946">
        <f t="shared" si="61"/>
        <v>0</v>
      </c>
    </row>
    <row r="3947" spans="1:14" x14ac:dyDescent="0.35">
      <c r="A3947">
        <v>3946</v>
      </c>
      <c r="B3947" t="s">
        <v>12</v>
      </c>
      <c r="C3947">
        <v>56</v>
      </c>
      <c r="D3947" t="s">
        <v>28</v>
      </c>
      <c r="E3947" t="s">
        <v>18</v>
      </c>
      <c r="F3947">
        <v>12</v>
      </c>
      <c r="G3947">
        <v>99</v>
      </c>
      <c r="H3947">
        <v>0.52</v>
      </c>
      <c r="I3947" t="s">
        <v>15</v>
      </c>
      <c r="J3947">
        <v>0</v>
      </c>
      <c r="K3947">
        <v>1</v>
      </c>
      <c r="L3947">
        <v>0</v>
      </c>
      <c r="M3947">
        <f>VLOOKUP(Table1[[#This Row],[subscription_type]],Plans!$A$1:$B$5,2,FALSE)</f>
        <v>14.99</v>
      </c>
      <c r="N3947">
        <f t="shared" si="61"/>
        <v>0</v>
      </c>
    </row>
    <row r="3948" spans="1:14" x14ac:dyDescent="0.35">
      <c r="A3948">
        <v>3947</v>
      </c>
      <c r="B3948" t="s">
        <v>20</v>
      </c>
      <c r="C3948">
        <v>23</v>
      </c>
      <c r="D3948" t="s">
        <v>17</v>
      </c>
      <c r="E3948" t="s">
        <v>22</v>
      </c>
      <c r="F3948">
        <v>288</v>
      </c>
      <c r="G3948">
        <v>88</v>
      </c>
      <c r="H3948">
        <v>0.53</v>
      </c>
      <c r="I3948" t="s">
        <v>19</v>
      </c>
      <c r="J3948">
        <v>0</v>
      </c>
      <c r="K3948">
        <v>1</v>
      </c>
      <c r="L3948">
        <v>0</v>
      </c>
      <c r="M3948">
        <f>VLOOKUP(Table1[[#This Row],[subscription_type]],Plans!$A$1:$B$5,2,FALSE)</f>
        <v>9.99</v>
      </c>
      <c r="N3948">
        <f t="shared" si="61"/>
        <v>0</v>
      </c>
    </row>
    <row r="3949" spans="1:14" x14ac:dyDescent="0.35">
      <c r="A3949">
        <v>3948</v>
      </c>
      <c r="B3949" t="s">
        <v>12</v>
      </c>
      <c r="C3949">
        <v>19</v>
      </c>
      <c r="D3949" t="s">
        <v>28</v>
      </c>
      <c r="E3949" t="s">
        <v>24</v>
      </c>
      <c r="F3949">
        <v>178</v>
      </c>
      <c r="G3949">
        <v>84</v>
      </c>
      <c r="H3949">
        <v>0.13</v>
      </c>
      <c r="I3949" t="s">
        <v>19</v>
      </c>
      <c r="J3949">
        <v>0</v>
      </c>
      <c r="K3949">
        <v>1</v>
      </c>
      <c r="L3949">
        <v>1</v>
      </c>
      <c r="M3949">
        <f>VLOOKUP(Table1[[#This Row],[subscription_type]],Plans!$A$1:$B$5,2,FALSE)</f>
        <v>4.99</v>
      </c>
      <c r="N3949">
        <f t="shared" si="61"/>
        <v>4.99</v>
      </c>
    </row>
    <row r="3950" spans="1:14" x14ac:dyDescent="0.35">
      <c r="A3950">
        <v>3949</v>
      </c>
      <c r="B3950" t="s">
        <v>20</v>
      </c>
      <c r="C3950">
        <v>22</v>
      </c>
      <c r="D3950" t="s">
        <v>28</v>
      </c>
      <c r="E3950" t="s">
        <v>22</v>
      </c>
      <c r="F3950">
        <v>221</v>
      </c>
      <c r="G3950">
        <v>59</v>
      </c>
      <c r="H3950">
        <v>0.45</v>
      </c>
      <c r="I3950" t="s">
        <v>19</v>
      </c>
      <c r="J3950">
        <v>0</v>
      </c>
      <c r="K3950">
        <v>1</v>
      </c>
      <c r="L3950">
        <v>0</v>
      </c>
      <c r="M3950">
        <f>VLOOKUP(Table1[[#This Row],[subscription_type]],Plans!$A$1:$B$5,2,FALSE)</f>
        <v>9.99</v>
      </c>
      <c r="N3950">
        <f t="shared" si="61"/>
        <v>0</v>
      </c>
    </row>
    <row r="3951" spans="1:14" x14ac:dyDescent="0.35">
      <c r="A3951">
        <v>3950</v>
      </c>
      <c r="B3951" t="s">
        <v>16</v>
      </c>
      <c r="C3951">
        <v>22</v>
      </c>
      <c r="D3951" t="s">
        <v>27</v>
      </c>
      <c r="E3951" t="s">
        <v>22</v>
      </c>
      <c r="F3951">
        <v>117</v>
      </c>
      <c r="G3951">
        <v>73</v>
      </c>
      <c r="H3951">
        <v>0.31</v>
      </c>
      <c r="I3951" t="s">
        <v>19</v>
      </c>
      <c r="J3951">
        <v>0</v>
      </c>
      <c r="K3951">
        <v>1</v>
      </c>
      <c r="L3951">
        <v>1</v>
      </c>
      <c r="M3951">
        <f>VLOOKUP(Table1[[#This Row],[subscription_type]],Plans!$A$1:$B$5,2,FALSE)</f>
        <v>9.99</v>
      </c>
      <c r="N3951">
        <f t="shared" si="61"/>
        <v>9.99</v>
      </c>
    </row>
    <row r="3952" spans="1:14" x14ac:dyDescent="0.35">
      <c r="A3952">
        <v>3951</v>
      </c>
      <c r="B3952" t="s">
        <v>20</v>
      </c>
      <c r="C3952">
        <v>26</v>
      </c>
      <c r="D3952" t="s">
        <v>17</v>
      </c>
      <c r="E3952" t="s">
        <v>22</v>
      </c>
      <c r="F3952">
        <v>13</v>
      </c>
      <c r="G3952">
        <v>11</v>
      </c>
      <c r="H3952">
        <v>0.27</v>
      </c>
      <c r="I3952" t="s">
        <v>15</v>
      </c>
      <c r="J3952">
        <v>0</v>
      </c>
      <c r="K3952">
        <v>1</v>
      </c>
      <c r="L3952">
        <v>1</v>
      </c>
      <c r="M3952">
        <f>VLOOKUP(Table1[[#This Row],[subscription_type]],Plans!$A$1:$B$5,2,FALSE)</f>
        <v>9.99</v>
      </c>
      <c r="N3952">
        <f t="shared" si="61"/>
        <v>9.99</v>
      </c>
    </row>
    <row r="3953" spans="1:14" x14ac:dyDescent="0.35">
      <c r="A3953">
        <v>3952</v>
      </c>
      <c r="B3953" t="s">
        <v>12</v>
      </c>
      <c r="C3953">
        <v>36</v>
      </c>
      <c r="D3953" t="s">
        <v>13</v>
      </c>
      <c r="E3953" t="s">
        <v>14</v>
      </c>
      <c r="F3953">
        <v>130</v>
      </c>
      <c r="G3953">
        <v>25</v>
      </c>
      <c r="H3953">
        <v>0.05</v>
      </c>
      <c r="I3953" t="s">
        <v>19</v>
      </c>
      <c r="J3953">
        <v>32</v>
      </c>
      <c r="K3953">
        <v>0</v>
      </c>
      <c r="L3953">
        <v>1</v>
      </c>
      <c r="M3953">
        <f>VLOOKUP(Table1[[#This Row],[subscription_type]],Plans!$A$1:$B$5,2,FALSE)</f>
        <v>0</v>
      </c>
      <c r="N3953">
        <f t="shared" si="61"/>
        <v>0</v>
      </c>
    </row>
    <row r="3954" spans="1:14" x14ac:dyDescent="0.35">
      <c r="A3954">
        <v>3953</v>
      </c>
      <c r="B3954" t="s">
        <v>12</v>
      </c>
      <c r="C3954">
        <v>49</v>
      </c>
      <c r="D3954" t="s">
        <v>25</v>
      </c>
      <c r="E3954" t="s">
        <v>22</v>
      </c>
      <c r="F3954">
        <v>83</v>
      </c>
      <c r="G3954">
        <v>45</v>
      </c>
      <c r="H3954">
        <v>0.03</v>
      </c>
      <c r="I3954" t="s">
        <v>19</v>
      </c>
      <c r="J3954">
        <v>0</v>
      </c>
      <c r="K3954">
        <v>1</v>
      </c>
      <c r="L3954">
        <v>0</v>
      </c>
      <c r="M3954">
        <f>VLOOKUP(Table1[[#This Row],[subscription_type]],Plans!$A$1:$B$5,2,FALSE)</f>
        <v>9.99</v>
      </c>
      <c r="N3954">
        <f t="shared" si="61"/>
        <v>0</v>
      </c>
    </row>
    <row r="3955" spans="1:14" x14ac:dyDescent="0.35">
      <c r="A3955">
        <v>3954</v>
      </c>
      <c r="B3955" t="s">
        <v>16</v>
      </c>
      <c r="C3955">
        <v>20</v>
      </c>
      <c r="D3955" t="s">
        <v>13</v>
      </c>
      <c r="E3955" t="s">
        <v>24</v>
      </c>
      <c r="F3955">
        <v>86</v>
      </c>
      <c r="G3955">
        <v>77</v>
      </c>
      <c r="H3955">
        <v>0.27</v>
      </c>
      <c r="I3955" t="s">
        <v>19</v>
      </c>
      <c r="J3955">
        <v>0</v>
      </c>
      <c r="K3955">
        <v>1</v>
      </c>
      <c r="L3955">
        <v>0</v>
      </c>
      <c r="M3955">
        <f>VLOOKUP(Table1[[#This Row],[subscription_type]],Plans!$A$1:$B$5,2,FALSE)</f>
        <v>4.99</v>
      </c>
      <c r="N3955">
        <f t="shared" si="61"/>
        <v>0</v>
      </c>
    </row>
    <row r="3956" spans="1:14" x14ac:dyDescent="0.35">
      <c r="A3956">
        <v>3955</v>
      </c>
      <c r="B3956" t="s">
        <v>12</v>
      </c>
      <c r="C3956">
        <v>16</v>
      </c>
      <c r="D3956" t="s">
        <v>21</v>
      </c>
      <c r="E3956" t="s">
        <v>18</v>
      </c>
      <c r="F3956">
        <v>206</v>
      </c>
      <c r="G3956">
        <v>42</v>
      </c>
      <c r="H3956">
        <v>7.0000000000000007E-2</v>
      </c>
      <c r="I3956" t="s">
        <v>19</v>
      </c>
      <c r="J3956">
        <v>0</v>
      </c>
      <c r="K3956">
        <v>1</v>
      </c>
      <c r="L3956">
        <v>1</v>
      </c>
      <c r="M3956">
        <f>VLOOKUP(Table1[[#This Row],[subscription_type]],Plans!$A$1:$B$5,2,FALSE)</f>
        <v>14.99</v>
      </c>
      <c r="N3956">
        <f t="shared" si="61"/>
        <v>14.99</v>
      </c>
    </row>
    <row r="3957" spans="1:14" x14ac:dyDescent="0.35">
      <c r="A3957">
        <v>3956</v>
      </c>
      <c r="B3957" t="s">
        <v>12</v>
      </c>
      <c r="C3957">
        <v>17</v>
      </c>
      <c r="D3957" t="s">
        <v>17</v>
      </c>
      <c r="E3957" t="s">
        <v>22</v>
      </c>
      <c r="F3957">
        <v>258</v>
      </c>
      <c r="G3957">
        <v>80</v>
      </c>
      <c r="H3957">
        <v>0.16</v>
      </c>
      <c r="I3957" t="s">
        <v>15</v>
      </c>
      <c r="J3957">
        <v>0</v>
      </c>
      <c r="K3957">
        <v>1</v>
      </c>
      <c r="L3957">
        <v>0</v>
      </c>
      <c r="M3957">
        <f>VLOOKUP(Table1[[#This Row],[subscription_type]],Plans!$A$1:$B$5,2,FALSE)</f>
        <v>9.99</v>
      </c>
      <c r="N3957">
        <f t="shared" si="61"/>
        <v>0</v>
      </c>
    </row>
    <row r="3958" spans="1:14" x14ac:dyDescent="0.35">
      <c r="A3958">
        <v>3957</v>
      </c>
      <c r="B3958" t="s">
        <v>12</v>
      </c>
      <c r="C3958">
        <v>54</v>
      </c>
      <c r="D3958" t="s">
        <v>26</v>
      </c>
      <c r="E3958" t="s">
        <v>14</v>
      </c>
      <c r="F3958">
        <v>120</v>
      </c>
      <c r="G3958">
        <v>71</v>
      </c>
      <c r="H3958">
        <v>0.35</v>
      </c>
      <c r="I3958" t="s">
        <v>23</v>
      </c>
      <c r="J3958">
        <v>46</v>
      </c>
      <c r="K3958">
        <v>0</v>
      </c>
      <c r="L3958">
        <v>0</v>
      </c>
      <c r="M3958">
        <f>VLOOKUP(Table1[[#This Row],[subscription_type]],Plans!$A$1:$B$5,2,FALSE)</f>
        <v>0</v>
      </c>
      <c r="N3958">
        <f t="shared" si="61"/>
        <v>0</v>
      </c>
    </row>
    <row r="3959" spans="1:14" x14ac:dyDescent="0.35">
      <c r="A3959">
        <v>3958</v>
      </c>
      <c r="B3959" t="s">
        <v>20</v>
      </c>
      <c r="C3959">
        <v>50</v>
      </c>
      <c r="D3959" t="s">
        <v>25</v>
      </c>
      <c r="E3959" t="s">
        <v>22</v>
      </c>
      <c r="F3959">
        <v>55</v>
      </c>
      <c r="G3959">
        <v>42</v>
      </c>
      <c r="H3959">
        <v>0.26</v>
      </c>
      <c r="I3959" t="s">
        <v>19</v>
      </c>
      <c r="J3959">
        <v>0</v>
      </c>
      <c r="K3959">
        <v>1</v>
      </c>
      <c r="L3959">
        <v>0</v>
      </c>
      <c r="M3959">
        <f>VLOOKUP(Table1[[#This Row],[subscription_type]],Plans!$A$1:$B$5,2,FALSE)</f>
        <v>9.99</v>
      </c>
      <c r="N3959">
        <f t="shared" si="61"/>
        <v>0</v>
      </c>
    </row>
    <row r="3960" spans="1:14" x14ac:dyDescent="0.35">
      <c r="A3960">
        <v>3959</v>
      </c>
      <c r="B3960" t="s">
        <v>20</v>
      </c>
      <c r="C3960">
        <v>32</v>
      </c>
      <c r="D3960" t="s">
        <v>26</v>
      </c>
      <c r="E3960" t="s">
        <v>14</v>
      </c>
      <c r="F3960">
        <v>133</v>
      </c>
      <c r="G3960">
        <v>75</v>
      </c>
      <c r="H3960">
        <v>0.22</v>
      </c>
      <c r="I3960" t="s">
        <v>23</v>
      </c>
      <c r="J3960">
        <v>28</v>
      </c>
      <c r="K3960">
        <v>0</v>
      </c>
      <c r="L3960">
        <v>0</v>
      </c>
      <c r="M3960">
        <f>VLOOKUP(Table1[[#This Row],[subscription_type]],Plans!$A$1:$B$5,2,FALSE)</f>
        <v>0</v>
      </c>
      <c r="N3960">
        <f t="shared" si="61"/>
        <v>0</v>
      </c>
    </row>
    <row r="3961" spans="1:14" x14ac:dyDescent="0.35">
      <c r="A3961">
        <v>3960</v>
      </c>
      <c r="B3961" t="s">
        <v>16</v>
      </c>
      <c r="C3961">
        <v>25</v>
      </c>
      <c r="D3961" t="s">
        <v>13</v>
      </c>
      <c r="E3961" t="s">
        <v>14</v>
      </c>
      <c r="F3961">
        <v>159</v>
      </c>
      <c r="G3961">
        <v>16</v>
      </c>
      <c r="H3961">
        <v>0.56999999999999995</v>
      </c>
      <c r="I3961" t="s">
        <v>23</v>
      </c>
      <c r="J3961">
        <v>17</v>
      </c>
      <c r="K3961">
        <v>0</v>
      </c>
      <c r="L3961">
        <v>0</v>
      </c>
      <c r="M3961">
        <f>VLOOKUP(Table1[[#This Row],[subscription_type]],Plans!$A$1:$B$5,2,FALSE)</f>
        <v>0</v>
      </c>
      <c r="N3961">
        <f t="shared" si="61"/>
        <v>0</v>
      </c>
    </row>
    <row r="3962" spans="1:14" x14ac:dyDescent="0.35">
      <c r="A3962">
        <v>3961</v>
      </c>
      <c r="B3962" t="s">
        <v>20</v>
      </c>
      <c r="C3962">
        <v>34</v>
      </c>
      <c r="D3962" t="s">
        <v>17</v>
      </c>
      <c r="E3962" t="s">
        <v>24</v>
      </c>
      <c r="F3962">
        <v>109</v>
      </c>
      <c r="G3962">
        <v>3</v>
      </c>
      <c r="H3962">
        <v>0.49</v>
      </c>
      <c r="I3962" t="s">
        <v>23</v>
      </c>
      <c r="J3962">
        <v>0</v>
      </c>
      <c r="K3962">
        <v>1</v>
      </c>
      <c r="L3962">
        <v>1</v>
      </c>
      <c r="M3962">
        <f>VLOOKUP(Table1[[#This Row],[subscription_type]],Plans!$A$1:$B$5,2,FALSE)</f>
        <v>4.99</v>
      </c>
      <c r="N3962">
        <f t="shared" si="61"/>
        <v>4.99</v>
      </c>
    </row>
    <row r="3963" spans="1:14" x14ac:dyDescent="0.35">
      <c r="A3963">
        <v>3962</v>
      </c>
      <c r="B3963" t="s">
        <v>20</v>
      </c>
      <c r="C3963">
        <v>27</v>
      </c>
      <c r="D3963" t="s">
        <v>26</v>
      </c>
      <c r="E3963" t="s">
        <v>18</v>
      </c>
      <c r="F3963">
        <v>92</v>
      </c>
      <c r="G3963">
        <v>43</v>
      </c>
      <c r="H3963">
        <v>0.32</v>
      </c>
      <c r="I3963" t="s">
        <v>15</v>
      </c>
      <c r="J3963">
        <v>0</v>
      </c>
      <c r="K3963">
        <v>1</v>
      </c>
      <c r="L3963">
        <v>0</v>
      </c>
      <c r="M3963">
        <f>VLOOKUP(Table1[[#This Row],[subscription_type]],Plans!$A$1:$B$5,2,FALSE)</f>
        <v>14.99</v>
      </c>
      <c r="N3963">
        <f t="shared" si="61"/>
        <v>0</v>
      </c>
    </row>
    <row r="3964" spans="1:14" x14ac:dyDescent="0.35">
      <c r="A3964">
        <v>3963</v>
      </c>
      <c r="B3964" t="s">
        <v>16</v>
      </c>
      <c r="C3964">
        <v>49</v>
      </c>
      <c r="D3964" t="s">
        <v>17</v>
      </c>
      <c r="E3964" t="s">
        <v>18</v>
      </c>
      <c r="F3964">
        <v>279</v>
      </c>
      <c r="G3964">
        <v>78</v>
      </c>
      <c r="H3964">
        <v>0.56000000000000005</v>
      </c>
      <c r="I3964" t="s">
        <v>15</v>
      </c>
      <c r="J3964">
        <v>0</v>
      </c>
      <c r="K3964">
        <v>1</v>
      </c>
      <c r="L3964">
        <v>0</v>
      </c>
      <c r="M3964">
        <f>VLOOKUP(Table1[[#This Row],[subscription_type]],Plans!$A$1:$B$5,2,FALSE)</f>
        <v>14.99</v>
      </c>
      <c r="N3964">
        <f t="shared" si="61"/>
        <v>0</v>
      </c>
    </row>
    <row r="3965" spans="1:14" x14ac:dyDescent="0.35">
      <c r="A3965">
        <v>3964</v>
      </c>
      <c r="B3965" t="s">
        <v>16</v>
      </c>
      <c r="C3965">
        <v>17</v>
      </c>
      <c r="D3965" t="s">
        <v>21</v>
      </c>
      <c r="E3965" t="s">
        <v>22</v>
      </c>
      <c r="F3965">
        <v>41</v>
      </c>
      <c r="G3965">
        <v>80</v>
      </c>
      <c r="H3965">
        <v>0.14000000000000001</v>
      </c>
      <c r="I3965" t="s">
        <v>23</v>
      </c>
      <c r="J3965">
        <v>0</v>
      </c>
      <c r="K3965">
        <v>1</v>
      </c>
      <c r="L3965">
        <v>1</v>
      </c>
      <c r="M3965">
        <f>VLOOKUP(Table1[[#This Row],[subscription_type]],Plans!$A$1:$B$5,2,FALSE)</f>
        <v>9.99</v>
      </c>
      <c r="N3965">
        <f t="shared" si="61"/>
        <v>9.99</v>
      </c>
    </row>
    <row r="3966" spans="1:14" x14ac:dyDescent="0.35">
      <c r="A3966">
        <v>3965</v>
      </c>
      <c r="B3966" t="s">
        <v>20</v>
      </c>
      <c r="C3966">
        <v>27</v>
      </c>
      <c r="D3966" t="s">
        <v>27</v>
      </c>
      <c r="E3966" t="s">
        <v>24</v>
      </c>
      <c r="F3966">
        <v>245</v>
      </c>
      <c r="G3966">
        <v>55</v>
      </c>
      <c r="H3966">
        <v>0.38</v>
      </c>
      <c r="I3966" t="s">
        <v>19</v>
      </c>
      <c r="J3966">
        <v>0</v>
      </c>
      <c r="K3966">
        <v>1</v>
      </c>
      <c r="L3966">
        <v>0</v>
      </c>
      <c r="M3966">
        <f>VLOOKUP(Table1[[#This Row],[subscription_type]],Plans!$A$1:$B$5,2,FALSE)</f>
        <v>4.99</v>
      </c>
      <c r="N3966">
        <f t="shared" si="61"/>
        <v>0</v>
      </c>
    </row>
    <row r="3967" spans="1:14" x14ac:dyDescent="0.35">
      <c r="A3967">
        <v>3966</v>
      </c>
      <c r="B3967" t="s">
        <v>20</v>
      </c>
      <c r="C3967">
        <v>42</v>
      </c>
      <c r="D3967" t="s">
        <v>27</v>
      </c>
      <c r="E3967" t="s">
        <v>18</v>
      </c>
      <c r="F3967">
        <v>166</v>
      </c>
      <c r="G3967">
        <v>61</v>
      </c>
      <c r="H3967">
        <v>0.38</v>
      </c>
      <c r="I3967" t="s">
        <v>23</v>
      </c>
      <c r="J3967">
        <v>0</v>
      </c>
      <c r="K3967">
        <v>1</v>
      </c>
      <c r="L3967">
        <v>0</v>
      </c>
      <c r="M3967">
        <f>VLOOKUP(Table1[[#This Row],[subscription_type]],Plans!$A$1:$B$5,2,FALSE)</f>
        <v>14.99</v>
      </c>
      <c r="N3967">
        <f t="shared" si="61"/>
        <v>0</v>
      </c>
    </row>
    <row r="3968" spans="1:14" x14ac:dyDescent="0.35">
      <c r="A3968">
        <v>3967</v>
      </c>
      <c r="B3968" t="s">
        <v>20</v>
      </c>
      <c r="C3968">
        <v>55</v>
      </c>
      <c r="D3968" t="s">
        <v>25</v>
      </c>
      <c r="E3968" t="s">
        <v>22</v>
      </c>
      <c r="F3968">
        <v>21</v>
      </c>
      <c r="G3968">
        <v>66</v>
      </c>
      <c r="H3968">
        <v>0.33</v>
      </c>
      <c r="I3968" t="s">
        <v>19</v>
      </c>
      <c r="J3968">
        <v>0</v>
      </c>
      <c r="K3968">
        <v>1</v>
      </c>
      <c r="L3968">
        <v>0</v>
      </c>
      <c r="M3968">
        <f>VLOOKUP(Table1[[#This Row],[subscription_type]],Plans!$A$1:$B$5,2,FALSE)</f>
        <v>9.99</v>
      </c>
      <c r="N3968">
        <f t="shared" si="61"/>
        <v>0</v>
      </c>
    </row>
    <row r="3969" spans="1:14" x14ac:dyDescent="0.35">
      <c r="A3969">
        <v>3968</v>
      </c>
      <c r="B3969" t="s">
        <v>20</v>
      </c>
      <c r="C3969">
        <v>51</v>
      </c>
      <c r="D3969" t="s">
        <v>21</v>
      </c>
      <c r="E3969" t="s">
        <v>24</v>
      </c>
      <c r="F3969">
        <v>34</v>
      </c>
      <c r="G3969">
        <v>96</v>
      </c>
      <c r="H3969">
        <v>0.6</v>
      </c>
      <c r="I3969" t="s">
        <v>23</v>
      </c>
      <c r="J3969">
        <v>0</v>
      </c>
      <c r="K3969">
        <v>1</v>
      </c>
      <c r="L3969">
        <v>1</v>
      </c>
      <c r="M3969">
        <f>VLOOKUP(Table1[[#This Row],[subscription_type]],Plans!$A$1:$B$5,2,FALSE)</f>
        <v>4.99</v>
      </c>
      <c r="N3969">
        <f t="shared" si="61"/>
        <v>4.99</v>
      </c>
    </row>
    <row r="3970" spans="1:14" x14ac:dyDescent="0.35">
      <c r="A3970">
        <v>3969</v>
      </c>
      <c r="B3970" t="s">
        <v>12</v>
      </c>
      <c r="C3970">
        <v>24</v>
      </c>
      <c r="D3970" t="s">
        <v>26</v>
      </c>
      <c r="E3970" t="s">
        <v>24</v>
      </c>
      <c r="F3970">
        <v>273</v>
      </c>
      <c r="G3970">
        <v>78</v>
      </c>
      <c r="H3970">
        <v>0.56999999999999995</v>
      </c>
      <c r="I3970" t="s">
        <v>15</v>
      </c>
      <c r="J3970">
        <v>0</v>
      </c>
      <c r="K3970">
        <v>1</v>
      </c>
      <c r="L3970">
        <v>1</v>
      </c>
      <c r="M3970">
        <f>VLOOKUP(Table1[[#This Row],[subscription_type]],Plans!$A$1:$B$5,2,FALSE)</f>
        <v>4.99</v>
      </c>
      <c r="N3970">
        <f t="shared" ref="N3970:N4033" si="62">IF(L3970=1, M3970,0)</f>
        <v>4.99</v>
      </c>
    </row>
    <row r="3971" spans="1:14" x14ac:dyDescent="0.35">
      <c r="A3971">
        <v>3970</v>
      </c>
      <c r="B3971" t="s">
        <v>16</v>
      </c>
      <c r="C3971">
        <v>47</v>
      </c>
      <c r="D3971" t="s">
        <v>28</v>
      </c>
      <c r="E3971" t="s">
        <v>22</v>
      </c>
      <c r="F3971">
        <v>264</v>
      </c>
      <c r="G3971">
        <v>95</v>
      </c>
      <c r="H3971">
        <v>0.06</v>
      </c>
      <c r="I3971" t="s">
        <v>15</v>
      </c>
      <c r="J3971">
        <v>0</v>
      </c>
      <c r="K3971">
        <v>1</v>
      </c>
      <c r="L3971">
        <v>0</v>
      </c>
      <c r="M3971">
        <f>VLOOKUP(Table1[[#This Row],[subscription_type]],Plans!$A$1:$B$5,2,FALSE)</f>
        <v>9.99</v>
      </c>
      <c r="N3971">
        <f t="shared" si="62"/>
        <v>0</v>
      </c>
    </row>
    <row r="3972" spans="1:14" x14ac:dyDescent="0.35">
      <c r="A3972">
        <v>3971</v>
      </c>
      <c r="B3972" t="s">
        <v>16</v>
      </c>
      <c r="C3972">
        <v>28</v>
      </c>
      <c r="D3972" t="s">
        <v>25</v>
      </c>
      <c r="E3972" t="s">
        <v>22</v>
      </c>
      <c r="F3972">
        <v>159</v>
      </c>
      <c r="G3972">
        <v>82</v>
      </c>
      <c r="H3972">
        <v>0.56000000000000005</v>
      </c>
      <c r="I3972" t="s">
        <v>23</v>
      </c>
      <c r="J3972">
        <v>0</v>
      </c>
      <c r="K3972">
        <v>1</v>
      </c>
      <c r="L3972">
        <v>0</v>
      </c>
      <c r="M3972">
        <f>VLOOKUP(Table1[[#This Row],[subscription_type]],Plans!$A$1:$B$5,2,FALSE)</f>
        <v>9.99</v>
      </c>
      <c r="N3972">
        <f t="shared" si="62"/>
        <v>0</v>
      </c>
    </row>
    <row r="3973" spans="1:14" x14ac:dyDescent="0.35">
      <c r="A3973">
        <v>3972</v>
      </c>
      <c r="B3973" t="s">
        <v>16</v>
      </c>
      <c r="C3973">
        <v>57</v>
      </c>
      <c r="D3973" t="s">
        <v>17</v>
      </c>
      <c r="E3973" t="s">
        <v>22</v>
      </c>
      <c r="F3973">
        <v>151</v>
      </c>
      <c r="G3973">
        <v>61</v>
      </c>
      <c r="H3973">
        <v>0.51</v>
      </c>
      <c r="I3973" t="s">
        <v>19</v>
      </c>
      <c r="J3973">
        <v>0</v>
      </c>
      <c r="K3973">
        <v>1</v>
      </c>
      <c r="L3973">
        <v>1</v>
      </c>
      <c r="M3973">
        <f>VLOOKUP(Table1[[#This Row],[subscription_type]],Plans!$A$1:$B$5,2,FALSE)</f>
        <v>9.99</v>
      </c>
      <c r="N3973">
        <f t="shared" si="62"/>
        <v>9.99</v>
      </c>
    </row>
    <row r="3974" spans="1:14" x14ac:dyDescent="0.35">
      <c r="A3974">
        <v>3973</v>
      </c>
      <c r="B3974" t="s">
        <v>16</v>
      </c>
      <c r="C3974">
        <v>16</v>
      </c>
      <c r="D3974" t="s">
        <v>26</v>
      </c>
      <c r="E3974" t="s">
        <v>24</v>
      </c>
      <c r="F3974">
        <v>277</v>
      </c>
      <c r="G3974">
        <v>49</v>
      </c>
      <c r="H3974">
        <v>0.22</v>
      </c>
      <c r="I3974" t="s">
        <v>15</v>
      </c>
      <c r="J3974">
        <v>0</v>
      </c>
      <c r="K3974">
        <v>1</v>
      </c>
      <c r="L3974">
        <v>0</v>
      </c>
      <c r="M3974">
        <f>VLOOKUP(Table1[[#This Row],[subscription_type]],Plans!$A$1:$B$5,2,FALSE)</f>
        <v>4.99</v>
      </c>
      <c r="N3974">
        <f t="shared" si="62"/>
        <v>0</v>
      </c>
    </row>
    <row r="3975" spans="1:14" x14ac:dyDescent="0.35">
      <c r="A3975">
        <v>3974</v>
      </c>
      <c r="B3975" t="s">
        <v>16</v>
      </c>
      <c r="C3975">
        <v>57</v>
      </c>
      <c r="D3975" t="s">
        <v>29</v>
      </c>
      <c r="E3975" t="s">
        <v>14</v>
      </c>
      <c r="F3975">
        <v>104</v>
      </c>
      <c r="G3975">
        <v>78</v>
      </c>
      <c r="H3975">
        <v>0.42</v>
      </c>
      <c r="I3975" t="s">
        <v>19</v>
      </c>
      <c r="J3975">
        <v>43</v>
      </c>
      <c r="K3975">
        <v>0</v>
      </c>
      <c r="L3975">
        <v>0</v>
      </c>
      <c r="M3975">
        <f>VLOOKUP(Table1[[#This Row],[subscription_type]],Plans!$A$1:$B$5,2,FALSE)</f>
        <v>0</v>
      </c>
      <c r="N3975">
        <f t="shared" si="62"/>
        <v>0</v>
      </c>
    </row>
    <row r="3976" spans="1:14" x14ac:dyDescent="0.35">
      <c r="A3976">
        <v>3975</v>
      </c>
      <c r="B3976" t="s">
        <v>12</v>
      </c>
      <c r="C3976">
        <v>34</v>
      </c>
      <c r="D3976" t="s">
        <v>29</v>
      </c>
      <c r="E3976" t="s">
        <v>22</v>
      </c>
      <c r="F3976">
        <v>255</v>
      </c>
      <c r="G3976">
        <v>49</v>
      </c>
      <c r="H3976">
        <v>0.3</v>
      </c>
      <c r="I3976" t="s">
        <v>15</v>
      </c>
      <c r="J3976">
        <v>0</v>
      </c>
      <c r="K3976">
        <v>1</v>
      </c>
      <c r="L3976">
        <v>1</v>
      </c>
      <c r="M3976">
        <f>VLOOKUP(Table1[[#This Row],[subscription_type]],Plans!$A$1:$B$5,2,FALSE)</f>
        <v>9.99</v>
      </c>
      <c r="N3976">
        <f t="shared" si="62"/>
        <v>9.99</v>
      </c>
    </row>
    <row r="3977" spans="1:14" x14ac:dyDescent="0.35">
      <c r="A3977">
        <v>3976</v>
      </c>
      <c r="B3977" t="s">
        <v>16</v>
      </c>
      <c r="C3977">
        <v>27</v>
      </c>
      <c r="D3977" t="s">
        <v>13</v>
      </c>
      <c r="E3977" t="s">
        <v>22</v>
      </c>
      <c r="F3977">
        <v>80</v>
      </c>
      <c r="G3977">
        <v>74</v>
      </c>
      <c r="H3977">
        <v>0.42</v>
      </c>
      <c r="I3977" t="s">
        <v>19</v>
      </c>
      <c r="J3977">
        <v>0</v>
      </c>
      <c r="K3977">
        <v>1</v>
      </c>
      <c r="L3977">
        <v>1</v>
      </c>
      <c r="M3977">
        <f>VLOOKUP(Table1[[#This Row],[subscription_type]],Plans!$A$1:$B$5,2,FALSE)</f>
        <v>9.99</v>
      </c>
      <c r="N3977">
        <f t="shared" si="62"/>
        <v>9.99</v>
      </c>
    </row>
    <row r="3978" spans="1:14" x14ac:dyDescent="0.35">
      <c r="A3978">
        <v>3977</v>
      </c>
      <c r="B3978" t="s">
        <v>16</v>
      </c>
      <c r="C3978">
        <v>49</v>
      </c>
      <c r="D3978" t="s">
        <v>25</v>
      </c>
      <c r="E3978" t="s">
        <v>14</v>
      </c>
      <c r="F3978">
        <v>120</v>
      </c>
      <c r="G3978">
        <v>3</v>
      </c>
      <c r="H3978">
        <v>0.11</v>
      </c>
      <c r="I3978" t="s">
        <v>15</v>
      </c>
      <c r="J3978">
        <v>24</v>
      </c>
      <c r="K3978">
        <v>0</v>
      </c>
      <c r="L3978">
        <v>0</v>
      </c>
      <c r="M3978">
        <f>VLOOKUP(Table1[[#This Row],[subscription_type]],Plans!$A$1:$B$5,2,FALSE)</f>
        <v>0</v>
      </c>
      <c r="N3978">
        <f t="shared" si="62"/>
        <v>0</v>
      </c>
    </row>
    <row r="3979" spans="1:14" x14ac:dyDescent="0.35">
      <c r="A3979">
        <v>3978</v>
      </c>
      <c r="B3979" t="s">
        <v>16</v>
      </c>
      <c r="C3979">
        <v>29</v>
      </c>
      <c r="D3979" t="s">
        <v>28</v>
      </c>
      <c r="E3979" t="s">
        <v>14</v>
      </c>
      <c r="F3979">
        <v>229</v>
      </c>
      <c r="G3979">
        <v>56</v>
      </c>
      <c r="H3979">
        <v>0.23</v>
      </c>
      <c r="I3979" t="s">
        <v>23</v>
      </c>
      <c r="J3979">
        <v>37</v>
      </c>
      <c r="K3979">
        <v>0</v>
      </c>
      <c r="L3979">
        <v>0</v>
      </c>
      <c r="M3979">
        <f>VLOOKUP(Table1[[#This Row],[subscription_type]],Plans!$A$1:$B$5,2,FALSE)</f>
        <v>0</v>
      </c>
      <c r="N3979">
        <f t="shared" si="62"/>
        <v>0</v>
      </c>
    </row>
    <row r="3980" spans="1:14" x14ac:dyDescent="0.35">
      <c r="A3980">
        <v>3979</v>
      </c>
      <c r="B3980" t="s">
        <v>12</v>
      </c>
      <c r="C3980">
        <v>46</v>
      </c>
      <c r="D3980" t="s">
        <v>13</v>
      </c>
      <c r="E3980" t="s">
        <v>24</v>
      </c>
      <c r="F3980">
        <v>99</v>
      </c>
      <c r="G3980">
        <v>86</v>
      </c>
      <c r="H3980">
        <v>0.24</v>
      </c>
      <c r="I3980" t="s">
        <v>19</v>
      </c>
      <c r="J3980">
        <v>0</v>
      </c>
      <c r="K3980">
        <v>1</v>
      </c>
      <c r="L3980">
        <v>0</v>
      </c>
      <c r="M3980">
        <f>VLOOKUP(Table1[[#This Row],[subscription_type]],Plans!$A$1:$B$5,2,FALSE)</f>
        <v>4.99</v>
      </c>
      <c r="N3980">
        <f t="shared" si="62"/>
        <v>0</v>
      </c>
    </row>
    <row r="3981" spans="1:14" x14ac:dyDescent="0.35">
      <c r="A3981">
        <v>3980</v>
      </c>
      <c r="B3981" t="s">
        <v>12</v>
      </c>
      <c r="C3981">
        <v>46</v>
      </c>
      <c r="D3981" t="s">
        <v>29</v>
      </c>
      <c r="E3981" t="s">
        <v>24</v>
      </c>
      <c r="F3981">
        <v>268</v>
      </c>
      <c r="G3981">
        <v>69</v>
      </c>
      <c r="H3981">
        <v>0.45</v>
      </c>
      <c r="I3981" t="s">
        <v>23</v>
      </c>
      <c r="J3981">
        <v>0</v>
      </c>
      <c r="K3981">
        <v>1</v>
      </c>
      <c r="L3981">
        <v>0</v>
      </c>
      <c r="M3981">
        <f>VLOOKUP(Table1[[#This Row],[subscription_type]],Plans!$A$1:$B$5,2,FALSE)</f>
        <v>4.99</v>
      </c>
      <c r="N3981">
        <f t="shared" si="62"/>
        <v>0</v>
      </c>
    </row>
    <row r="3982" spans="1:14" x14ac:dyDescent="0.35">
      <c r="A3982">
        <v>3981</v>
      </c>
      <c r="B3982" t="s">
        <v>20</v>
      </c>
      <c r="C3982">
        <v>42</v>
      </c>
      <c r="D3982" t="s">
        <v>21</v>
      </c>
      <c r="E3982" t="s">
        <v>24</v>
      </c>
      <c r="F3982">
        <v>86</v>
      </c>
      <c r="G3982">
        <v>42</v>
      </c>
      <c r="H3982">
        <v>0.03</v>
      </c>
      <c r="I3982" t="s">
        <v>23</v>
      </c>
      <c r="J3982">
        <v>0</v>
      </c>
      <c r="K3982">
        <v>1</v>
      </c>
      <c r="L3982">
        <v>0</v>
      </c>
      <c r="M3982">
        <f>VLOOKUP(Table1[[#This Row],[subscription_type]],Plans!$A$1:$B$5,2,FALSE)</f>
        <v>4.99</v>
      </c>
      <c r="N3982">
        <f t="shared" si="62"/>
        <v>0</v>
      </c>
    </row>
    <row r="3983" spans="1:14" x14ac:dyDescent="0.35">
      <c r="A3983">
        <v>3982</v>
      </c>
      <c r="B3983" t="s">
        <v>20</v>
      </c>
      <c r="C3983">
        <v>54</v>
      </c>
      <c r="D3983" t="s">
        <v>25</v>
      </c>
      <c r="E3983" t="s">
        <v>22</v>
      </c>
      <c r="F3983">
        <v>223</v>
      </c>
      <c r="G3983">
        <v>29</v>
      </c>
      <c r="H3983">
        <v>0.33</v>
      </c>
      <c r="I3983" t="s">
        <v>15</v>
      </c>
      <c r="J3983">
        <v>0</v>
      </c>
      <c r="K3983">
        <v>1</v>
      </c>
      <c r="L3983">
        <v>0</v>
      </c>
      <c r="M3983">
        <f>VLOOKUP(Table1[[#This Row],[subscription_type]],Plans!$A$1:$B$5,2,FALSE)</f>
        <v>9.99</v>
      </c>
      <c r="N3983">
        <f t="shared" si="62"/>
        <v>0</v>
      </c>
    </row>
    <row r="3984" spans="1:14" x14ac:dyDescent="0.35">
      <c r="A3984">
        <v>3983</v>
      </c>
      <c r="B3984" t="s">
        <v>16</v>
      </c>
      <c r="C3984">
        <v>44</v>
      </c>
      <c r="D3984" t="s">
        <v>27</v>
      </c>
      <c r="E3984" t="s">
        <v>14</v>
      </c>
      <c r="F3984">
        <v>148</v>
      </c>
      <c r="G3984">
        <v>62</v>
      </c>
      <c r="H3984">
        <v>0</v>
      </c>
      <c r="I3984" t="s">
        <v>15</v>
      </c>
      <c r="J3984">
        <v>37</v>
      </c>
      <c r="K3984">
        <v>0</v>
      </c>
      <c r="L3984">
        <v>0</v>
      </c>
      <c r="M3984">
        <f>VLOOKUP(Table1[[#This Row],[subscription_type]],Plans!$A$1:$B$5,2,FALSE)</f>
        <v>0</v>
      </c>
      <c r="N3984">
        <f t="shared" si="62"/>
        <v>0</v>
      </c>
    </row>
    <row r="3985" spans="1:14" x14ac:dyDescent="0.35">
      <c r="A3985">
        <v>3984</v>
      </c>
      <c r="B3985" t="s">
        <v>20</v>
      </c>
      <c r="C3985">
        <v>25</v>
      </c>
      <c r="D3985" t="s">
        <v>17</v>
      </c>
      <c r="E3985" t="s">
        <v>22</v>
      </c>
      <c r="F3985">
        <v>29</v>
      </c>
      <c r="G3985">
        <v>57</v>
      </c>
      <c r="H3985">
        <v>0.44</v>
      </c>
      <c r="I3985" t="s">
        <v>15</v>
      </c>
      <c r="J3985">
        <v>0</v>
      </c>
      <c r="K3985">
        <v>1</v>
      </c>
      <c r="L3985">
        <v>1</v>
      </c>
      <c r="M3985">
        <f>VLOOKUP(Table1[[#This Row],[subscription_type]],Plans!$A$1:$B$5,2,FALSE)</f>
        <v>9.99</v>
      </c>
      <c r="N3985">
        <f t="shared" si="62"/>
        <v>9.99</v>
      </c>
    </row>
    <row r="3986" spans="1:14" x14ac:dyDescent="0.35">
      <c r="A3986">
        <v>3985</v>
      </c>
      <c r="B3986" t="s">
        <v>20</v>
      </c>
      <c r="C3986">
        <v>54</v>
      </c>
      <c r="D3986" t="s">
        <v>25</v>
      </c>
      <c r="E3986" t="s">
        <v>18</v>
      </c>
      <c r="F3986">
        <v>229</v>
      </c>
      <c r="G3986">
        <v>17</v>
      </c>
      <c r="H3986">
        <v>0.04</v>
      </c>
      <c r="I3986" t="s">
        <v>15</v>
      </c>
      <c r="J3986">
        <v>0</v>
      </c>
      <c r="K3986">
        <v>1</v>
      </c>
      <c r="L3986">
        <v>0</v>
      </c>
      <c r="M3986">
        <f>VLOOKUP(Table1[[#This Row],[subscription_type]],Plans!$A$1:$B$5,2,FALSE)</f>
        <v>14.99</v>
      </c>
      <c r="N3986">
        <f t="shared" si="62"/>
        <v>0</v>
      </c>
    </row>
    <row r="3987" spans="1:14" x14ac:dyDescent="0.35">
      <c r="A3987">
        <v>3986</v>
      </c>
      <c r="B3987" t="s">
        <v>20</v>
      </c>
      <c r="C3987">
        <v>36</v>
      </c>
      <c r="D3987" t="s">
        <v>25</v>
      </c>
      <c r="E3987" t="s">
        <v>22</v>
      </c>
      <c r="F3987">
        <v>254</v>
      </c>
      <c r="G3987">
        <v>36</v>
      </c>
      <c r="H3987">
        <v>0.15</v>
      </c>
      <c r="I3987" t="s">
        <v>19</v>
      </c>
      <c r="J3987">
        <v>0</v>
      </c>
      <c r="K3987">
        <v>1</v>
      </c>
      <c r="L3987">
        <v>0</v>
      </c>
      <c r="M3987">
        <f>VLOOKUP(Table1[[#This Row],[subscription_type]],Plans!$A$1:$B$5,2,FALSE)</f>
        <v>9.99</v>
      </c>
      <c r="N3987">
        <f t="shared" si="62"/>
        <v>0</v>
      </c>
    </row>
    <row r="3988" spans="1:14" x14ac:dyDescent="0.35">
      <c r="A3988">
        <v>3987</v>
      </c>
      <c r="B3988" t="s">
        <v>16</v>
      </c>
      <c r="C3988">
        <v>25</v>
      </c>
      <c r="D3988" t="s">
        <v>21</v>
      </c>
      <c r="E3988" t="s">
        <v>14</v>
      </c>
      <c r="F3988">
        <v>239</v>
      </c>
      <c r="G3988">
        <v>16</v>
      </c>
      <c r="H3988">
        <v>0.57999999999999996</v>
      </c>
      <c r="I3988" t="s">
        <v>15</v>
      </c>
      <c r="J3988">
        <v>35</v>
      </c>
      <c r="K3988">
        <v>0</v>
      </c>
      <c r="L3988">
        <v>1</v>
      </c>
      <c r="M3988">
        <f>VLOOKUP(Table1[[#This Row],[subscription_type]],Plans!$A$1:$B$5,2,FALSE)</f>
        <v>0</v>
      </c>
      <c r="N3988">
        <f t="shared" si="62"/>
        <v>0</v>
      </c>
    </row>
    <row r="3989" spans="1:14" x14ac:dyDescent="0.35">
      <c r="A3989">
        <v>3988</v>
      </c>
      <c r="B3989" t="s">
        <v>16</v>
      </c>
      <c r="C3989">
        <v>34</v>
      </c>
      <c r="D3989" t="s">
        <v>27</v>
      </c>
      <c r="E3989" t="s">
        <v>18</v>
      </c>
      <c r="F3989">
        <v>120</v>
      </c>
      <c r="G3989">
        <v>48</v>
      </c>
      <c r="H3989">
        <v>0.54</v>
      </c>
      <c r="I3989" t="s">
        <v>23</v>
      </c>
      <c r="J3989">
        <v>0</v>
      </c>
      <c r="K3989">
        <v>1</v>
      </c>
      <c r="L3989">
        <v>1</v>
      </c>
      <c r="M3989">
        <f>VLOOKUP(Table1[[#This Row],[subscription_type]],Plans!$A$1:$B$5,2,FALSE)</f>
        <v>14.99</v>
      </c>
      <c r="N3989">
        <f t="shared" si="62"/>
        <v>14.99</v>
      </c>
    </row>
    <row r="3990" spans="1:14" x14ac:dyDescent="0.35">
      <c r="A3990">
        <v>3989</v>
      </c>
      <c r="B3990" t="s">
        <v>12</v>
      </c>
      <c r="C3990">
        <v>33</v>
      </c>
      <c r="D3990" t="s">
        <v>25</v>
      </c>
      <c r="E3990" t="s">
        <v>24</v>
      </c>
      <c r="F3990">
        <v>41</v>
      </c>
      <c r="G3990">
        <v>65</v>
      </c>
      <c r="H3990">
        <v>0.44</v>
      </c>
      <c r="I3990" t="s">
        <v>23</v>
      </c>
      <c r="J3990">
        <v>0</v>
      </c>
      <c r="K3990">
        <v>1</v>
      </c>
      <c r="L3990">
        <v>0</v>
      </c>
      <c r="M3990">
        <f>VLOOKUP(Table1[[#This Row],[subscription_type]],Plans!$A$1:$B$5,2,FALSE)</f>
        <v>4.99</v>
      </c>
      <c r="N3990">
        <f t="shared" si="62"/>
        <v>0</v>
      </c>
    </row>
    <row r="3991" spans="1:14" x14ac:dyDescent="0.35">
      <c r="A3991">
        <v>3990</v>
      </c>
      <c r="B3991" t="s">
        <v>12</v>
      </c>
      <c r="C3991">
        <v>35</v>
      </c>
      <c r="D3991" t="s">
        <v>29</v>
      </c>
      <c r="E3991" t="s">
        <v>24</v>
      </c>
      <c r="F3991">
        <v>65</v>
      </c>
      <c r="G3991">
        <v>63</v>
      </c>
      <c r="H3991">
        <v>0.24</v>
      </c>
      <c r="I3991" t="s">
        <v>23</v>
      </c>
      <c r="J3991">
        <v>0</v>
      </c>
      <c r="K3991">
        <v>1</v>
      </c>
      <c r="L3991">
        <v>1</v>
      </c>
      <c r="M3991">
        <f>VLOOKUP(Table1[[#This Row],[subscription_type]],Plans!$A$1:$B$5,2,FALSE)</f>
        <v>4.99</v>
      </c>
      <c r="N3991">
        <f t="shared" si="62"/>
        <v>4.99</v>
      </c>
    </row>
    <row r="3992" spans="1:14" x14ac:dyDescent="0.35">
      <c r="A3992">
        <v>3991</v>
      </c>
      <c r="B3992" t="s">
        <v>20</v>
      </c>
      <c r="C3992">
        <v>49</v>
      </c>
      <c r="D3992" t="s">
        <v>29</v>
      </c>
      <c r="E3992" t="s">
        <v>22</v>
      </c>
      <c r="F3992">
        <v>207</v>
      </c>
      <c r="G3992">
        <v>22</v>
      </c>
      <c r="H3992">
        <v>0.4</v>
      </c>
      <c r="I3992" t="s">
        <v>19</v>
      </c>
      <c r="J3992">
        <v>0</v>
      </c>
      <c r="K3992">
        <v>1</v>
      </c>
      <c r="L3992">
        <v>0</v>
      </c>
      <c r="M3992">
        <f>VLOOKUP(Table1[[#This Row],[subscription_type]],Plans!$A$1:$B$5,2,FALSE)</f>
        <v>9.99</v>
      </c>
      <c r="N3992">
        <f t="shared" si="62"/>
        <v>0</v>
      </c>
    </row>
    <row r="3993" spans="1:14" x14ac:dyDescent="0.35">
      <c r="A3993">
        <v>3992</v>
      </c>
      <c r="B3993" t="s">
        <v>16</v>
      </c>
      <c r="C3993">
        <v>22</v>
      </c>
      <c r="D3993" t="s">
        <v>29</v>
      </c>
      <c r="E3993" t="s">
        <v>14</v>
      </c>
      <c r="F3993">
        <v>278</v>
      </c>
      <c r="G3993">
        <v>40</v>
      </c>
      <c r="H3993">
        <v>0.25</v>
      </c>
      <c r="I3993" t="s">
        <v>15</v>
      </c>
      <c r="J3993">
        <v>35</v>
      </c>
      <c r="K3993">
        <v>0</v>
      </c>
      <c r="L3993">
        <v>0</v>
      </c>
      <c r="M3993">
        <f>VLOOKUP(Table1[[#This Row],[subscription_type]],Plans!$A$1:$B$5,2,FALSE)</f>
        <v>0</v>
      </c>
      <c r="N3993">
        <f t="shared" si="62"/>
        <v>0</v>
      </c>
    </row>
    <row r="3994" spans="1:14" x14ac:dyDescent="0.35">
      <c r="A3994">
        <v>3993</v>
      </c>
      <c r="B3994" t="s">
        <v>20</v>
      </c>
      <c r="C3994">
        <v>27</v>
      </c>
      <c r="D3994" t="s">
        <v>28</v>
      </c>
      <c r="E3994" t="s">
        <v>24</v>
      </c>
      <c r="F3994">
        <v>22</v>
      </c>
      <c r="G3994">
        <v>93</v>
      </c>
      <c r="H3994">
        <v>7.0000000000000007E-2</v>
      </c>
      <c r="I3994" t="s">
        <v>19</v>
      </c>
      <c r="J3994">
        <v>0</v>
      </c>
      <c r="K3994">
        <v>1</v>
      </c>
      <c r="L3994">
        <v>0</v>
      </c>
      <c r="M3994">
        <f>VLOOKUP(Table1[[#This Row],[subscription_type]],Plans!$A$1:$B$5,2,FALSE)</f>
        <v>4.99</v>
      </c>
      <c r="N3994">
        <f t="shared" si="62"/>
        <v>0</v>
      </c>
    </row>
    <row r="3995" spans="1:14" x14ac:dyDescent="0.35">
      <c r="A3995">
        <v>3994</v>
      </c>
      <c r="B3995" t="s">
        <v>16</v>
      </c>
      <c r="C3995">
        <v>46</v>
      </c>
      <c r="D3995" t="s">
        <v>28</v>
      </c>
      <c r="E3995" t="s">
        <v>18</v>
      </c>
      <c r="F3995">
        <v>237</v>
      </c>
      <c r="G3995">
        <v>28</v>
      </c>
      <c r="H3995">
        <v>0.12</v>
      </c>
      <c r="I3995" t="s">
        <v>19</v>
      </c>
      <c r="J3995">
        <v>0</v>
      </c>
      <c r="K3995">
        <v>1</v>
      </c>
      <c r="L3995">
        <v>1</v>
      </c>
      <c r="M3995">
        <f>VLOOKUP(Table1[[#This Row],[subscription_type]],Plans!$A$1:$B$5,2,FALSE)</f>
        <v>14.99</v>
      </c>
      <c r="N3995">
        <f t="shared" si="62"/>
        <v>14.99</v>
      </c>
    </row>
    <row r="3996" spans="1:14" x14ac:dyDescent="0.35">
      <c r="A3996">
        <v>3995</v>
      </c>
      <c r="B3996" t="s">
        <v>16</v>
      </c>
      <c r="C3996">
        <v>40</v>
      </c>
      <c r="D3996" t="s">
        <v>25</v>
      </c>
      <c r="E3996" t="s">
        <v>24</v>
      </c>
      <c r="F3996">
        <v>101</v>
      </c>
      <c r="G3996">
        <v>57</v>
      </c>
      <c r="H3996">
        <v>0.26</v>
      </c>
      <c r="I3996" t="s">
        <v>23</v>
      </c>
      <c r="J3996">
        <v>0</v>
      </c>
      <c r="K3996">
        <v>1</v>
      </c>
      <c r="L3996">
        <v>0</v>
      </c>
      <c r="M3996">
        <f>VLOOKUP(Table1[[#This Row],[subscription_type]],Plans!$A$1:$B$5,2,FALSE)</f>
        <v>4.99</v>
      </c>
      <c r="N3996">
        <f t="shared" si="62"/>
        <v>0</v>
      </c>
    </row>
    <row r="3997" spans="1:14" x14ac:dyDescent="0.35">
      <c r="A3997">
        <v>3996</v>
      </c>
      <c r="B3997" t="s">
        <v>16</v>
      </c>
      <c r="C3997">
        <v>35</v>
      </c>
      <c r="D3997" t="s">
        <v>28</v>
      </c>
      <c r="E3997" t="s">
        <v>18</v>
      </c>
      <c r="F3997">
        <v>285</v>
      </c>
      <c r="G3997">
        <v>15</v>
      </c>
      <c r="H3997">
        <v>0.16</v>
      </c>
      <c r="I3997" t="s">
        <v>19</v>
      </c>
      <c r="J3997">
        <v>0</v>
      </c>
      <c r="K3997">
        <v>1</v>
      </c>
      <c r="L3997">
        <v>1</v>
      </c>
      <c r="M3997">
        <f>VLOOKUP(Table1[[#This Row],[subscription_type]],Plans!$A$1:$B$5,2,FALSE)</f>
        <v>14.99</v>
      </c>
      <c r="N3997">
        <f t="shared" si="62"/>
        <v>14.99</v>
      </c>
    </row>
    <row r="3998" spans="1:14" x14ac:dyDescent="0.35">
      <c r="A3998">
        <v>3997</v>
      </c>
      <c r="B3998" t="s">
        <v>12</v>
      </c>
      <c r="C3998">
        <v>37</v>
      </c>
      <c r="D3998" t="s">
        <v>27</v>
      </c>
      <c r="E3998" t="s">
        <v>14</v>
      </c>
      <c r="F3998">
        <v>283</v>
      </c>
      <c r="G3998">
        <v>60</v>
      </c>
      <c r="H3998">
        <v>0.3</v>
      </c>
      <c r="I3998" t="s">
        <v>15</v>
      </c>
      <c r="J3998">
        <v>42</v>
      </c>
      <c r="K3998">
        <v>0</v>
      </c>
      <c r="L3998">
        <v>1</v>
      </c>
      <c r="M3998">
        <f>VLOOKUP(Table1[[#This Row],[subscription_type]],Plans!$A$1:$B$5,2,FALSE)</f>
        <v>0</v>
      </c>
      <c r="N3998">
        <f t="shared" si="62"/>
        <v>0</v>
      </c>
    </row>
    <row r="3999" spans="1:14" x14ac:dyDescent="0.35">
      <c r="A3999">
        <v>3998</v>
      </c>
      <c r="B3999" t="s">
        <v>12</v>
      </c>
      <c r="C3999">
        <v>42</v>
      </c>
      <c r="D3999" t="s">
        <v>21</v>
      </c>
      <c r="E3999" t="s">
        <v>24</v>
      </c>
      <c r="F3999">
        <v>255</v>
      </c>
      <c r="G3999">
        <v>99</v>
      </c>
      <c r="H3999">
        <v>0.57999999999999996</v>
      </c>
      <c r="I3999" t="s">
        <v>23</v>
      </c>
      <c r="J3999">
        <v>0</v>
      </c>
      <c r="K3999">
        <v>1</v>
      </c>
      <c r="L3999">
        <v>1</v>
      </c>
      <c r="M3999">
        <f>VLOOKUP(Table1[[#This Row],[subscription_type]],Plans!$A$1:$B$5,2,FALSE)</f>
        <v>4.99</v>
      </c>
      <c r="N3999">
        <f t="shared" si="62"/>
        <v>4.99</v>
      </c>
    </row>
    <row r="4000" spans="1:14" x14ac:dyDescent="0.35">
      <c r="A4000">
        <v>3999</v>
      </c>
      <c r="B4000" t="s">
        <v>16</v>
      </c>
      <c r="C4000">
        <v>43</v>
      </c>
      <c r="D4000" t="s">
        <v>28</v>
      </c>
      <c r="E4000" t="s">
        <v>14</v>
      </c>
      <c r="F4000">
        <v>17</v>
      </c>
      <c r="G4000">
        <v>54</v>
      </c>
      <c r="H4000">
        <v>0.47</v>
      </c>
      <c r="I4000" t="s">
        <v>23</v>
      </c>
      <c r="J4000">
        <v>41</v>
      </c>
      <c r="K4000">
        <v>0</v>
      </c>
      <c r="L4000">
        <v>0</v>
      </c>
      <c r="M4000">
        <f>VLOOKUP(Table1[[#This Row],[subscription_type]],Plans!$A$1:$B$5,2,FALSE)</f>
        <v>0</v>
      </c>
      <c r="N4000">
        <f t="shared" si="62"/>
        <v>0</v>
      </c>
    </row>
    <row r="4001" spans="1:14" x14ac:dyDescent="0.35">
      <c r="A4001">
        <v>4000</v>
      </c>
      <c r="B4001" t="s">
        <v>20</v>
      </c>
      <c r="C4001">
        <v>50</v>
      </c>
      <c r="D4001" t="s">
        <v>26</v>
      </c>
      <c r="E4001" t="s">
        <v>18</v>
      </c>
      <c r="F4001">
        <v>67</v>
      </c>
      <c r="G4001">
        <v>41</v>
      </c>
      <c r="H4001">
        <v>0.53</v>
      </c>
      <c r="I4001" t="s">
        <v>19</v>
      </c>
      <c r="J4001">
        <v>0</v>
      </c>
      <c r="K4001">
        <v>1</v>
      </c>
      <c r="L4001">
        <v>0</v>
      </c>
      <c r="M4001">
        <f>VLOOKUP(Table1[[#This Row],[subscription_type]],Plans!$A$1:$B$5,2,FALSE)</f>
        <v>14.99</v>
      </c>
      <c r="N4001">
        <f t="shared" si="62"/>
        <v>0</v>
      </c>
    </row>
    <row r="4002" spans="1:14" x14ac:dyDescent="0.35">
      <c r="A4002">
        <v>4001</v>
      </c>
      <c r="B4002" t="s">
        <v>16</v>
      </c>
      <c r="C4002">
        <v>31</v>
      </c>
      <c r="D4002" t="s">
        <v>21</v>
      </c>
      <c r="E4002" t="s">
        <v>24</v>
      </c>
      <c r="F4002">
        <v>48</v>
      </c>
      <c r="G4002">
        <v>46</v>
      </c>
      <c r="H4002">
        <v>0.28999999999999998</v>
      </c>
      <c r="I4002" t="s">
        <v>19</v>
      </c>
      <c r="J4002">
        <v>0</v>
      </c>
      <c r="K4002">
        <v>1</v>
      </c>
      <c r="L4002">
        <v>0</v>
      </c>
      <c r="M4002">
        <f>VLOOKUP(Table1[[#This Row],[subscription_type]],Plans!$A$1:$B$5,2,FALSE)</f>
        <v>4.99</v>
      </c>
      <c r="N4002">
        <f t="shared" si="62"/>
        <v>0</v>
      </c>
    </row>
    <row r="4003" spans="1:14" x14ac:dyDescent="0.35">
      <c r="A4003">
        <v>4002</v>
      </c>
      <c r="B4003" t="s">
        <v>12</v>
      </c>
      <c r="C4003">
        <v>30</v>
      </c>
      <c r="D4003" t="s">
        <v>25</v>
      </c>
      <c r="E4003" t="s">
        <v>14</v>
      </c>
      <c r="F4003">
        <v>12</v>
      </c>
      <c r="G4003">
        <v>71</v>
      </c>
      <c r="H4003">
        <v>0</v>
      </c>
      <c r="I4003" t="s">
        <v>15</v>
      </c>
      <c r="J4003">
        <v>10</v>
      </c>
      <c r="K4003">
        <v>0</v>
      </c>
      <c r="L4003">
        <v>0</v>
      </c>
      <c r="M4003">
        <f>VLOOKUP(Table1[[#This Row],[subscription_type]],Plans!$A$1:$B$5,2,FALSE)</f>
        <v>0</v>
      </c>
      <c r="N4003">
        <f t="shared" si="62"/>
        <v>0</v>
      </c>
    </row>
    <row r="4004" spans="1:14" x14ac:dyDescent="0.35">
      <c r="A4004">
        <v>4003</v>
      </c>
      <c r="B4004" t="s">
        <v>12</v>
      </c>
      <c r="C4004">
        <v>39</v>
      </c>
      <c r="D4004" t="s">
        <v>21</v>
      </c>
      <c r="E4004" t="s">
        <v>24</v>
      </c>
      <c r="F4004">
        <v>224</v>
      </c>
      <c r="G4004">
        <v>50</v>
      </c>
      <c r="H4004">
        <v>0.37</v>
      </c>
      <c r="I4004" t="s">
        <v>15</v>
      </c>
      <c r="J4004">
        <v>0</v>
      </c>
      <c r="K4004">
        <v>1</v>
      </c>
      <c r="L4004">
        <v>0</v>
      </c>
      <c r="M4004">
        <f>VLOOKUP(Table1[[#This Row],[subscription_type]],Plans!$A$1:$B$5,2,FALSE)</f>
        <v>4.99</v>
      </c>
      <c r="N4004">
        <f t="shared" si="62"/>
        <v>0</v>
      </c>
    </row>
    <row r="4005" spans="1:14" x14ac:dyDescent="0.35">
      <c r="A4005">
        <v>4004</v>
      </c>
      <c r="B4005" t="s">
        <v>16</v>
      </c>
      <c r="C4005">
        <v>49</v>
      </c>
      <c r="D4005" t="s">
        <v>26</v>
      </c>
      <c r="E4005" t="s">
        <v>24</v>
      </c>
      <c r="F4005">
        <v>207</v>
      </c>
      <c r="G4005">
        <v>85</v>
      </c>
      <c r="H4005">
        <v>0.28999999999999998</v>
      </c>
      <c r="I4005" t="s">
        <v>15</v>
      </c>
      <c r="J4005">
        <v>0</v>
      </c>
      <c r="K4005">
        <v>1</v>
      </c>
      <c r="L4005">
        <v>1</v>
      </c>
      <c r="M4005">
        <f>VLOOKUP(Table1[[#This Row],[subscription_type]],Plans!$A$1:$B$5,2,FALSE)</f>
        <v>4.99</v>
      </c>
      <c r="N4005">
        <f t="shared" si="62"/>
        <v>4.99</v>
      </c>
    </row>
    <row r="4006" spans="1:14" x14ac:dyDescent="0.35">
      <c r="A4006">
        <v>4005</v>
      </c>
      <c r="B4006" t="s">
        <v>12</v>
      </c>
      <c r="C4006">
        <v>58</v>
      </c>
      <c r="D4006" t="s">
        <v>13</v>
      </c>
      <c r="E4006" t="s">
        <v>24</v>
      </c>
      <c r="F4006">
        <v>133</v>
      </c>
      <c r="G4006">
        <v>42</v>
      </c>
      <c r="H4006">
        <v>0.02</v>
      </c>
      <c r="I4006" t="s">
        <v>23</v>
      </c>
      <c r="J4006">
        <v>0</v>
      </c>
      <c r="K4006">
        <v>1</v>
      </c>
      <c r="L4006">
        <v>1</v>
      </c>
      <c r="M4006">
        <f>VLOOKUP(Table1[[#This Row],[subscription_type]],Plans!$A$1:$B$5,2,FALSE)</f>
        <v>4.99</v>
      </c>
      <c r="N4006">
        <f t="shared" si="62"/>
        <v>4.99</v>
      </c>
    </row>
    <row r="4007" spans="1:14" x14ac:dyDescent="0.35">
      <c r="A4007">
        <v>4006</v>
      </c>
      <c r="B4007" t="s">
        <v>16</v>
      </c>
      <c r="C4007">
        <v>45</v>
      </c>
      <c r="D4007" t="s">
        <v>29</v>
      </c>
      <c r="E4007" t="s">
        <v>14</v>
      </c>
      <c r="F4007">
        <v>139</v>
      </c>
      <c r="G4007">
        <v>79</v>
      </c>
      <c r="H4007">
        <v>0.08</v>
      </c>
      <c r="I4007" t="s">
        <v>15</v>
      </c>
      <c r="J4007">
        <v>44</v>
      </c>
      <c r="K4007">
        <v>0</v>
      </c>
      <c r="L4007">
        <v>0</v>
      </c>
      <c r="M4007">
        <f>VLOOKUP(Table1[[#This Row],[subscription_type]],Plans!$A$1:$B$5,2,FALSE)</f>
        <v>0</v>
      </c>
      <c r="N4007">
        <f t="shared" si="62"/>
        <v>0</v>
      </c>
    </row>
    <row r="4008" spans="1:14" x14ac:dyDescent="0.35">
      <c r="A4008">
        <v>4007</v>
      </c>
      <c r="B4008" t="s">
        <v>20</v>
      </c>
      <c r="C4008">
        <v>42</v>
      </c>
      <c r="D4008" t="s">
        <v>13</v>
      </c>
      <c r="E4008" t="s">
        <v>14</v>
      </c>
      <c r="F4008">
        <v>102</v>
      </c>
      <c r="G4008">
        <v>58</v>
      </c>
      <c r="H4008">
        <v>0.03</v>
      </c>
      <c r="I4008" t="s">
        <v>19</v>
      </c>
      <c r="J4008">
        <v>14</v>
      </c>
      <c r="K4008">
        <v>0</v>
      </c>
      <c r="L4008">
        <v>1</v>
      </c>
      <c r="M4008">
        <f>VLOOKUP(Table1[[#This Row],[subscription_type]],Plans!$A$1:$B$5,2,FALSE)</f>
        <v>0</v>
      </c>
      <c r="N4008">
        <f t="shared" si="62"/>
        <v>0</v>
      </c>
    </row>
    <row r="4009" spans="1:14" x14ac:dyDescent="0.35">
      <c r="A4009">
        <v>4008</v>
      </c>
      <c r="B4009" t="s">
        <v>16</v>
      </c>
      <c r="C4009">
        <v>37</v>
      </c>
      <c r="D4009" t="s">
        <v>25</v>
      </c>
      <c r="E4009" t="s">
        <v>14</v>
      </c>
      <c r="F4009">
        <v>151</v>
      </c>
      <c r="G4009">
        <v>63</v>
      </c>
      <c r="H4009">
        <v>0.16</v>
      </c>
      <c r="I4009" t="s">
        <v>23</v>
      </c>
      <c r="J4009">
        <v>29</v>
      </c>
      <c r="K4009">
        <v>0</v>
      </c>
      <c r="L4009">
        <v>0</v>
      </c>
      <c r="M4009">
        <f>VLOOKUP(Table1[[#This Row],[subscription_type]],Plans!$A$1:$B$5,2,FALSE)</f>
        <v>0</v>
      </c>
      <c r="N4009">
        <f t="shared" si="62"/>
        <v>0</v>
      </c>
    </row>
    <row r="4010" spans="1:14" x14ac:dyDescent="0.35">
      <c r="A4010">
        <v>4009</v>
      </c>
      <c r="B4010" t="s">
        <v>12</v>
      </c>
      <c r="C4010">
        <v>27</v>
      </c>
      <c r="D4010" t="s">
        <v>29</v>
      </c>
      <c r="E4010" t="s">
        <v>18</v>
      </c>
      <c r="F4010">
        <v>187</v>
      </c>
      <c r="G4010">
        <v>90</v>
      </c>
      <c r="H4010">
        <v>0.53</v>
      </c>
      <c r="I4010" t="s">
        <v>23</v>
      </c>
      <c r="J4010">
        <v>0</v>
      </c>
      <c r="K4010">
        <v>1</v>
      </c>
      <c r="L4010">
        <v>1</v>
      </c>
      <c r="M4010">
        <f>VLOOKUP(Table1[[#This Row],[subscription_type]],Plans!$A$1:$B$5,2,FALSE)</f>
        <v>14.99</v>
      </c>
      <c r="N4010">
        <f t="shared" si="62"/>
        <v>14.99</v>
      </c>
    </row>
    <row r="4011" spans="1:14" x14ac:dyDescent="0.35">
      <c r="A4011">
        <v>4010</v>
      </c>
      <c r="B4011" t="s">
        <v>16</v>
      </c>
      <c r="C4011">
        <v>52</v>
      </c>
      <c r="D4011" t="s">
        <v>25</v>
      </c>
      <c r="E4011" t="s">
        <v>24</v>
      </c>
      <c r="F4011">
        <v>93</v>
      </c>
      <c r="G4011">
        <v>26</v>
      </c>
      <c r="H4011">
        <v>0.54</v>
      </c>
      <c r="I4011" t="s">
        <v>23</v>
      </c>
      <c r="J4011">
        <v>0</v>
      </c>
      <c r="K4011">
        <v>1</v>
      </c>
      <c r="L4011">
        <v>0</v>
      </c>
      <c r="M4011">
        <f>VLOOKUP(Table1[[#This Row],[subscription_type]],Plans!$A$1:$B$5,2,FALSE)</f>
        <v>4.99</v>
      </c>
      <c r="N4011">
        <f t="shared" si="62"/>
        <v>0</v>
      </c>
    </row>
    <row r="4012" spans="1:14" x14ac:dyDescent="0.35">
      <c r="A4012">
        <v>4011</v>
      </c>
      <c r="B4012" t="s">
        <v>20</v>
      </c>
      <c r="C4012">
        <v>50</v>
      </c>
      <c r="D4012" t="s">
        <v>25</v>
      </c>
      <c r="E4012" t="s">
        <v>24</v>
      </c>
      <c r="F4012">
        <v>217</v>
      </c>
      <c r="G4012">
        <v>46</v>
      </c>
      <c r="H4012">
        <v>0.52</v>
      </c>
      <c r="I4012" t="s">
        <v>15</v>
      </c>
      <c r="J4012">
        <v>0</v>
      </c>
      <c r="K4012">
        <v>1</v>
      </c>
      <c r="L4012">
        <v>0</v>
      </c>
      <c r="M4012">
        <f>VLOOKUP(Table1[[#This Row],[subscription_type]],Plans!$A$1:$B$5,2,FALSE)</f>
        <v>4.99</v>
      </c>
      <c r="N4012">
        <f t="shared" si="62"/>
        <v>0</v>
      </c>
    </row>
    <row r="4013" spans="1:14" x14ac:dyDescent="0.35">
      <c r="A4013">
        <v>4012</v>
      </c>
      <c r="B4013" t="s">
        <v>12</v>
      </c>
      <c r="C4013">
        <v>51</v>
      </c>
      <c r="D4013" t="s">
        <v>25</v>
      </c>
      <c r="E4013" t="s">
        <v>22</v>
      </c>
      <c r="F4013">
        <v>235</v>
      </c>
      <c r="G4013">
        <v>6</v>
      </c>
      <c r="H4013">
        <v>0.41</v>
      </c>
      <c r="I4013" t="s">
        <v>23</v>
      </c>
      <c r="J4013">
        <v>0</v>
      </c>
      <c r="K4013">
        <v>1</v>
      </c>
      <c r="L4013">
        <v>0</v>
      </c>
      <c r="M4013">
        <f>VLOOKUP(Table1[[#This Row],[subscription_type]],Plans!$A$1:$B$5,2,FALSE)</f>
        <v>9.99</v>
      </c>
      <c r="N4013">
        <f t="shared" si="62"/>
        <v>0</v>
      </c>
    </row>
    <row r="4014" spans="1:14" x14ac:dyDescent="0.35">
      <c r="A4014">
        <v>4013</v>
      </c>
      <c r="B4014" t="s">
        <v>12</v>
      </c>
      <c r="C4014">
        <v>51</v>
      </c>
      <c r="D4014" t="s">
        <v>21</v>
      </c>
      <c r="E4014" t="s">
        <v>18</v>
      </c>
      <c r="F4014">
        <v>128</v>
      </c>
      <c r="G4014">
        <v>97</v>
      </c>
      <c r="H4014">
        <v>0.13</v>
      </c>
      <c r="I4014" t="s">
        <v>23</v>
      </c>
      <c r="J4014">
        <v>0</v>
      </c>
      <c r="K4014">
        <v>1</v>
      </c>
      <c r="L4014">
        <v>0</v>
      </c>
      <c r="M4014">
        <f>VLOOKUP(Table1[[#This Row],[subscription_type]],Plans!$A$1:$B$5,2,FALSE)</f>
        <v>14.99</v>
      </c>
      <c r="N4014">
        <f t="shared" si="62"/>
        <v>0</v>
      </c>
    </row>
    <row r="4015" spans="1:14" x14ac:dyDescent="0.35">
      <c r="A4015">
        <v>4014</v>
      </c>
      <c r="B4015" t="s">
        <v>12</v>
      </c>
      <c r="C4015">
        <v>52</v>
      </c>
      <c r="D4015" t="s">
        <v>28</v>
      </c>
      <c r="E4015" t="s">
        <v>22</v>
      </c>
      <c r="F4015">
        <v>262</v>
      </c>
      <c r="G4015">
        <v>88</v>
      </c>
      <c r="H4015">
        <v>0.23</v>
      </c>
      <c r="I4015" t="s">
        <v>15</v>
      </c>
      <c r="J4015">
        <v>0</v>
      </c>
      <c r="K4015">
        <v>1</v>
      </c>
      <c r="L4015">
        <v>0</v>
      </c>
      <c r="M4015">
        <f>VLOOKUP(Table1[[#This Row],[subscription_type]],Plans!$A$1:$B$5,2,FALSE)</f>
        <v>9.99</v>
      </c>
      <c r="N4015">
        <f t="shared" si="62"/>
        <v>0</v>
      </c>
    </row>
    <row r="4016" spans="1:14" x14ac:dyDescent="0.35">
      <c r="A4016">
        <v>4015</v>
      </c>
      <c r="B4016" t="s">
        <v>16</v>
      </c>
      <c r="C4016">
        <v>19</v>
      </c>
      <c r="D4016" t="s">
        <v>17</v>
      </c>
      <c r="E4016" t="s">
        <v>18</v>
      </c>
      <c r="F4016">
        <v>283</v>
      </c>
      <c r="G4016">
        <v>49</v>
      </c>
      <c r="H4016">
        <v>0.19</v>
      </c>
      <c r="I4016" t="s">
        <v>15</v>
      </c>
      <c r="J4016">
        <v>0</v>
      </c>
      <c r="K4016">
        <v>1</v>
      </c>
      <c r="L4016">
        <v>0</v>
      </c>
      <c r="M4016">
        <f>VLOOKUP(Table1[[#This Row],[subscription_type]],Plans!$A$1:$B$5,2,FALSE)</f>
        <v>14.99</v>
      </c>
      <c r="N4016">
        <f t="shared" si="62"/>
        <v>0</v>
      </c>
    </row>
    <row r="4017" spans="1:14" x14ac:dyDescent="0.35">
      <c r="A4017">
        <v>4016</v>
      </c>
      <c r="B4017" t="s">
        <v>20</v>
      </c>
      <c r="C4017">
        <v>43</v>
      </c>
      <c r="D4017" t="s">
        <v>25</v>
      </c>
      <c r="E4017" t="s">
        <v>24</v>
      </c>
      <c r="F4017">
        <v>285</v>
      </c>
      <c r="G4017">
        <v>90</v>
      </c>
      <c r="H4017">
        <v>0.26</v>
      </c>
      <c r="I4017" t="s">
        <v>23</v>
      </c>
      <c r="J4017">
        <v>0</v>
      </c>
      <c r="K4017">
        <v>1</v>
      </c>
      <c r="L4017">
        <v>0</v>
      </c>
      <c r="M4017">
        <f>VLOOKUP(Table1[[#This Row],[subscription_type]],Plans!$A$1:$B$5,2,FALSE)</f>
        <v>4.99</v>
      </c>
      <c r="N4017">
        <f t="shared" si="62"/>
        <v>0</v>
      </c>
    </row>
    <row r="4018" spans="1:14" x14ac:dyDescent="0.35">
      <c r="A4018">
        <v>4017</v>
      </c>
      <c r="B4018" t="s">
        <v>12</v>
      </c>
      <c r="C4018">
        <v>30</v>
      </c>
      <c r="D4018" t="s">
        <v>13</v>
      </c>
      <c r="E4018" t="s">
        <v>18</v>
      </c>
      <c r="F4018">
        <v>83</v>
      </c>
      <c r="G4018">
        <v>61</v>
      </c>
      <c r="H4018">
        <v>0.31</v>
      </c>
      <c r="I4018" t="s">
        <v>19</v>
      </c>
      <c r="J4018">
        <v>0</v>
      </c>
      <c r="K4018">
        <v>1</v>
      </c>
      <c r="L4018">
        <v>0</v>
      </c>
      <c r="M4018">
        <f>VLOOKUP(Table1[[#This Row],[subscription_type]],Plans!$A$1:$B$5,2,FALSE)</f>
        <v>14.99</v>
      </c>
      <c r="N4018">
        <f t="shared" si="62"/>
        <v>0</v>
      </c>
    </row>
    <row r="4019" spans="1:14" x14ac:dyDescent="0.35">
      <c r="A4019">
        <v>4018</v>
      </c>
      <c r="B4019" t="s">
        <v>12</v>
      </c>
      <c r="C4019">
        <v>22</v>
      </c>
      <c r="D4019" t="s">
        <v>29</v>
      </c>
      <c r="E4019" t="s">
        <v>24</v>
      </c>
      <c r="F4019">
        <v>277</v>
      </c>
      <c r="G4019">
        <v>62</v>
      </c>
      <c r="H4019">
        <v>0</v>
      </c>
      <c r="I4019" t="s">
        <v>23</v>
      </c>
      <c r="J4019">
        <v>0</v>
      </c>
      <c r="K4019">
        <v>1</v>
      </c>
      <c r="L4019">
        <v>0</v>
      </c>
      <c r="M4019">
        <f>VLOOKUP(Table1[[#This Row],[subscription_type]],Plans!$A$1:$B$5,2,FALSE)</f>
        <v>4.99</v>
      </c>
      <c r="N4019">
        <f t="shared" si="62"/>
        <v>0</v>
      </c>
    </row>
    <row r="4020" spans="1:14" x14ac:dyDescent="0.35">
      <c r="A4020">
        <v>4019</v>
      </c>
      <c r="B4020" t="s">
        <v>16</v>
      </c>
      <c r="C4020">
        <v>29</v>
      </c>
      <c r="D4020" t="s">
        <v>25</v>
      </c>
      <c r="E4020" t="s">
        <v>22</v>
      </c>
      <c r="F4020">
        <v>108</v>
      </c>
      <c r="G4020">
        <v>45</v>
      </c>
      <c r="H4020">
        <v>0.34</v>
      </c>
      <c r="I4020" t="s">
        <v>23</v>
      </c>
      <c r="J4020">
        <v>0</v>
      </c>
      <c r="K4020">
        <v>1</v>
      </c>
      <c r="L4020">
        <v>0</v>
      </c>
      <c r="M4020">
        <f>VLOOKUP(Table1[[#This Row],[subscription_type]],Plans!$A$1:$B$5,2,FALSE)</f>
        <v>9.99</v>
      </c>
      <c r="N4020">
        <f t="shared" si="62"/>
        <v>0</v>
      </c>
    </row>
    <row r="4021" spans="1:14" x14ac:dyDescent="0.35">
      <c r="A4021">
        <v>4020</v>
      </c>
      <c r="B4021" t="s">
        <v>16</v>
      </c>
      <c r="C4021">
        <v>32</v>
      </c>
      <c r="D4021" t="s">
        <v>17</v>
      </c>
      <c r="E4021" t="s">
        <v>18</v>
      </c>
      <c r="F4021">
        <v>17</v>
      </c>
      <c r="G4021">
        <v>68</v>
      </c>
      <c r="H4021">
        <v>0.56000000000000005</v>
      </c>
      <c r="I4021" t="s">
        <v>15</v>
      </c>
      <c r="J4021">
        <v>0</v>
      </c>
      <c r="K4021">
        <v>1</v>
      </c>
      <c r="L4021">
        <v>0</v>
      </c>
      <c r="M4021">
        <f>VLOOKUP(Table1[[#This Row],[subscription_type]],Plans!$A$1:$B$5,2,FALSE)</f>
        <v>14.99</v>
      </c>
      <c r="N4021">
        <f t="shared" si="62"/>
        <v>0</v>
      </c>
    </row>
    <row r="4022" spans="1:14" x14ac:dyDescent="0.35">
      <c r="A4022">
        <v>4021</v>
      </c>
      <c r="B4022" t="s">
        <v>20</v>
      </c>
      <c r="C4022">
        <v>28</v>
      </c>
      <c r="D4022" t="s">
        <v>25</v>
      </c>
      <c r="E4022" t="s">
        <v>22</v>
      </c>
      <c r="F4022">
        <v>208</v>
      </c>
      <c r="G4022">
        <v>22</v>
      </c>
      <c r="H4022">
        <v>0.28999999999999998</v>
      </c>
      <c r="I4022" t="s">
        <v>19</v>
      </c>
      <c r="J4022">
        <v>0</v>
      </c>
      <c r="K4022">
        <v>1</v>
      </c>
      <c r="L4022">
        <v>0</v>
      </c>
      <c r="M4022">
        <f>VLOOKUP(Table1[[#This Row],[subscription_type]],Plans!$A$1:$B$5,2,FALSE)</f>
        <v>9.99</v>
      </c>
      <c r="N4022">
        <f t="shared" si="62"/>
        <v>0</v>
      </c>
    </row>
    <row r="4023" spans="1:14" x14ac:dyDescent="0.35">
      <c r="A4023">
        <v>4022</v>
      </c>
      <c r="B4023" t="s">
        <v>12</v>
      </c>
      <c r="C4023">
        <v>44</v>
      </c>
      <c r="D4023" t="s">
        <v>29</v>
      </c>
      <c r="E4023" t="s">
        <v>14</v>
      </c>
      <c r="F4023">
        <v>140</v>
      </c>
      <c r="G4023">
        <v>92</v>
      </c>
      <c r="H4023">
        <v>0.12</v>
      </c>
      <c r="I4023" t="s">
        <v>15</v>
      </c>
      <c r="J4023">
        <v>39</v>
      </c>
      <c r="K4023">
        <v>0</v>
      </c>
      <c r="L4023">
        <v>0</v>
      </c>
      <c r="M4023">
        <f>VLOOKUP(Table1[[#This Row],[subscription_type]],Plans!$A$1:$B$5,2,FALSE)</f>
        <v>0</v>
      </c>
      <c r="N4023">
        <f t="shared" si="62"/>
        <v>0</v>
      </c>
    </row>
    <row r="4024" spans="1:14" x14ac:dyDescent="0.35">
      <c r="A4024">
        <v>4023</v>
      </c>
      <c r="B4024" t="s">
        <v>12</v>
      </c>
      <c r="C4024">
        <v>45</v>
      </c>
      <c r="D4024" t="s">
        <v>29</v>
      </c>
      <c r="E4024" t="s">
        <v>18</v>
      </c>
      <c r="F4024">
        <v>285</v>
      </c>
      <c r="G4024">
        <v>80</v>
      </c>
      <c r="H4024">
        <v>0.19</v>
      </c>
      <c r="I4024" t="s">
        <v>23</v>
      </c>
      <c r="J4024">
        <v>0</v>
      </c>
      <c r="K4024">
        <v>1</v>
      </c>
      <c r="L4024">
        <v>0</v>
      </c>
      <c r="M4024">
        <f>VLOOKUP(Table1[[#This Row],[subscription_type]],Plans!$A$1:$B$5,2,FALSE)</f>
        <v>14.99</v>
      </c>
      <c r="N4024">
        <f t="shared" si="62"/>
        <v>0</v>
      </c>
    </row>
    <row r="4025" spans="1:14" x14ac:dyDescent="0.35">
      <c r="A4025">
        <v>4024</v>
      </c>
      <c r="B4025" t="s">
        <v>12</v>
      </c>
      <c r="C4025">
        <v>41</v>
      </c>
      <c r="D4025" t="s">
        <v>28</v>
      </c>
      <c r="E4025" t="s">
        <v>14</v>
      </c>
      <c r="F4025">
        <v>139</v>
      </c>
      <c r="G4025">
        <v>18</v>
      </c>
      <c r="H4025">
        <v>0.25</v>
      </c>
      <c r="I4025" t="s">
        <v>19</v>
      </c>
      <c r="J4025">
        <v>17</v>
      </c>
      <c r="K4025">
        <v>0</v>
      </c>
      <c r="L4025">
        <v>0</v>
      </c>
      <c r="M4025">
        <f>VLOOKUP(Table1[[#This Row],[subscription_type]],Plans!$A$1:$B$5,2,FALSE)</f>
        <v>0</v>
      </c>
      <c r="N4025">
        <f t="shared" si="62"/>
        <v>0</v>
      </c>
    </row>
    <row r="4026" spans="1:14" x14ac:dyDescent="0.35">
      <c r="A4026">
        <v>4025</v>
      </c>
      <c r="B4026" t="s">
        <v>16</v>
      </c>
      <c r="C4026">
        <v>58</v>
      </c>
      <c r="D4026" t="s">
        <v>29</v>
      </c>
      <c r="E4026" t="s">
        <v>22</v>
      </c>
      <c r="F4026">
        <v>17</v>
      </c>
      <c r="G4026">
        <v>90</v>
      </c>
      <c r="H4026">
        <v>0.14000000000000001</v>
      </c>
      <c r="I4026" t="s">
        <v>15</v>
      </c>
      <c r="J4026">
        <v>0</v>
      </c>
      <c r="K4026">
        <v>1</v>
      </c>
      <c r="L4026">
        <v>0</v>
      </c>
      <c r="M4026">
        <f>VLOOKUP(Table1[[#This Row],[subscription_type]],Plans!$A$1:$B$5,2,FALSE)</f>
        <v>9.99</v>
      </c>
      <c r="N4026">
        <f t="shared" si="62"/>
        <v>0</v>
      </c>
    </row>
    <row r="4027" spans="1:14" x14ac:dyDescent="0.35">
      <c r="A4027">
        <v>4026</v>
      </c>
      <c r="B4027" t="s">
        <v>20</v>
      </c>
      <c r="C4027">
        <v>18</v>
      </c>
      <c r="D4027" t="s">
        <v>26</v>
      </c>
      <c r="E4027" t="s">
        <v>14</v>
      </c>
      <c r="F4027">
        <v>78</v>
      </c>
      <c r="G4027">
        <v>64</v>
      </c>
      <c r="H4027">
        <v>0</v>
      </c>
      <c r="I4027" t="s">
        <v>15</v>
      </c>
      <c r="J4027">
        <v>23</v>
      </c>
      <c r="K4027">
        <v>0</v>
      </c>
      <c r="L4027">
        <v>1</v>
      </c>
      <c r="M4027">
        <f>VLOOKUP(Table1[[#This Row],[subscription_type]],Plans!$A$1:$B$5,2,FALSE)</f>
        <v>0</v>
      </c>
      <c r="N4027">
        <f t="shared" si="62"/>
        <v>0</v>
      </c>
    </row>
    <row r="4028" spans="1:14" x14ac:dyDescent="0.35">
      <c r="A4028">
        <v>4027</v>
      </c>
      <c r="B4028" t="s">
        <v>20</v>
      </c>
      <c r="C4028">
        <v>16</v>
      </c>
      <c r="D4028" t="s">
        <v>28</v>
      </c>
      <c r="E4028" t="s">
        <v>22</v>
      </c>
      <c r="F4028">
        <v>101</v>
      </c>
      <c r="G4028">
        <v>91</v>
      </c>
      <c r="H4028">
        <v>0.39</v>
      </c>
      <c r="I4028" t="s">
        <v>23</v>
      </c>
      <c r="J4028">
        <v>0</v>
      </c>
      <c r="K4028">
        <v>1</v>
      </c>
      <c r="L4028">
        <v>0</v>
      </c>
      <c r="M4028">
        <f>VLOOKUP(Table1[[#This Row],[subscription_type]],Plans!$A$1:$B$5,2,FALSE)</f>
        <v>9.99</v>
      </c>
      <c r="N4028">
        <f t="shared" si="62"/>
        <v>0</v>
      </c>
    </row>
    <row r="4029" spans="1:14" x14ac:dyDescent="0.35">
      <c r="A4029">
        <v>4028</v>
      </c>
      <c r="B4029" t="s">
        <v>16</v>
      </c>
      <c r="C4029">
        <v>45</v>
      </c>
      <c r="D4029" t="s">
        <v>29</v>
      </c>
      <c r="E4029" t="s">
        <v>22</v>
      </c>
      <c r="F4029">
        <v>42</v>
      </c>
      <c r="G4029">
        <v>41</v>
      </c>
      <c r="H4029">
        <v>0.17</v>
      </c>
      <c r="I4029" t="s">
        <v>15</v>
      </c>
      <c r="J4029">
        <v>0</v>
      </c>
      <c r="K4029">
        <v>1</v>
      </c>
      <c r="L4029">
        <v>0</v>
      </c>
      <c r="M4029">
        <f>VLOOKUP(Table1[[#This Row],[subscription_type]],Plans!$A$1:$B$5,2,FALSE)</f>
        <v>9.99</v>
      </c>
      <c r="N4029">
        <f t="shared" si="62"/>
        <v>0</v>
      </c>
    </row>
    <row r="4030" spans="1:14" x14ac:dyDescent="0.35">
      <c r="A4030">
        <v>4029</v>
      </c>
      <c r="B4030" t="s">
        <v>12</v>
      </c>
      <c r="C4030">
        <v>22</v>
      </c>
      <c r="D4030" t="s">
        <v>26</v>
      </c>
      <c r="E4030" t="s">
        <v>18</v>
      </c>
      <c r="F4030">
        <v>52</v>
      </c>
      <c r="G4030">
        <v>95</v>
      </c>
      <c r="H4030">
        <v>0.46</v>
      </c>
      <c r="I4030" t="s">
        <v>23</v>
      </c>
      <c r="J4030">
        <v>0</v>
      </c>
      <c r="K4030">
        <v>1</v>
      </c>
      <c r="L4030">
        <v>0</v>
      </c>
      <c r="M4030">
        <f>VLOOKUP(Table1[[#This Row],[subscription_type]],Plans!$A$1:$B$5,2,FALSE)</f>
        <v>14.99</v>
      </c>
      <c r="N4030">
        <f t="shared" si="62"/>
        <v>0</v>
      </c>
    </row>
    <row r="4031" spans="1:14" x14ac:dyDescent="0.35">
      <c r="A4031">
        <v>4030</v>
      </c>
      <c r="B4031" t="s">
        <v>16</v>
      </c>
      <c r="C4031">
        <v>35</v>
      </c>
      <c r="D4031" t="s">
        <v>25</v>
      </c>
      <c r="E4031" t="s">
        <v>14</v>
      </c>
      <c r="F4031">
        <v>294</v>
      </c>
      <c r="G4031">
        <v>97</v>
      </c>
      <c r="H4031">
        <v>0.57999999999999996</v>
      </c>
      <c r="I4031" t="s">
        <v>19</v>
      </c>
      <c r="J4031">
        <v>25</v>
      </c>
      <c r="K4031">
        <v>0</v>
      </c>
      <c r="L4031">
        <v>0</v>
      </c>
      <c r="M4031">
        <f>VLOOKUP(Table1[[#This Row],[subscription_type]],Plans!$A$1:$B$5,2,FALSE)</f>
        <v>0</v>
      </c>
      <c r="N4031">
        <f t="shared" si="62"/>
        <v>0</v>
      </c>
    </row>
    <row r="4032" spans="1:14" x14ac:dyDescent="0.35">
      <c r="A4032">
        <v>4031</v>
      </c>
      <c r="B4032" t="s">
        <v>16</v>
      </c>
      <c r="C4032">
        <v>46</v>
      </c>
      <c r="D4032" t="s">
        <v>17</v>
      </c>
      <c r="E4032" t="s">
        <v>14</v>
      </c>
      <c r="F4032">
        <v>274</v>
      </c>
      <c r="G4032">
        <v>48</v>
      </c>
      <c r="H4032">
        <v>0.15</v>
      </c>
      <c r="I4032" t="s">
        <v>23</v>
      </c>
      <c r="J4032">
        <v>29</v>
      </c>
      <c r="K4032">
        <v>0</v>
      </c>
      <c r="L4032">
        <v>0</v>
      </c>
      <c r="M4032">
        <f>VLOOKUP(Table1[[#This Row],[subscription_type]],Plans!$A$1:$B$5,2,FALSE)</f>
        <v>0</v>
      </c>
      <c r="N4032">
        <f t="shared" si="62"/>
        <v>0</v>
      </c>
    </row>
    <row r="4033" spans="1:14" x14ac:dyDescent="0.35">
      <c r="A4033">
        <v>4032</v>
      </c>
      <c r="B4033" t="s">
        <v>12</v>
      </c>
      <c r="C4033">
        <v>47</v>
      </c>
      <c r="D4033" t="s">
        <v>21</v>
      </c>
      <c r="E4033" t="s">
        <v>14</v>
      </c>
      <c r="F4033">
        <v>101</v>
      </c>
      <c r="G4033">
        <v>25</v>
      </c>
      <c r="H4033">
        <v>0.51</v>
      </c>
      <c r="I4033" t="s">
        <v>15</v>
      </c>
      <c r="J4033">
        <v>19</v>
      </c>
      <c r="K4033">
        <v>0</v>
      </c>
      <c r="L4033">
        <v>0</v>
      </c>
      <c r="M4033">
        <f>VLOOKUP(Table1[[#This Row],[subscription_type]],Plans!$A$1:$B$5,2,FALSE)</f>
        <v>0</v>
      </c>
      <c r="N4033">
        <f t="shared" si="62"/>
        <v>0</v>
      </c>
    </row>
    <row r="4034" spans="1:14" x14ac:dyDescent="0.35">
      <c r="A4034">
        <v>4033</v>
      </c>
      <c r="B4034" t="s">
        <v>12</v>
      </c>
      <c r="C4034">
        <v>17</v>
      </c>
      <c r="D4034" t="s">
        <v>25</v>
      </c>
      <c r="E4034" t="s">
        <v>22</v>
      </c>
      <c r="F4034">
        <v>225</v>
      </c>
      <c r="G4034">
        <v>95</v>
      </c>
      <c r="H4034">
        <v>0.13</v>
      </c>
      <c r="I4034" t="s">
        <v>15</v>
      </c>
      <c r="J4034">
        <v>0</v>
      </c>
      <c r="K4034">
        <v>1</v>
      </c>
      <c r="L4034">
        <v>1</v>
      </c>
      <c r="M4034">
        <f>VLOOKUP(Table1[[#This Row],[subscription_type]],Plans!$A$1:$B$5,2,FALSE)</f>
        <v>9.99</v>
      </c>
      <c r="N4034">
        <f t="shared" ref="N4034:N4097" si="63">IF(L4034=1, M4034,0)</f>
        <v>9.99</v>
      </c>
    </row>
    <row r="4035" spans="1:14" x14ac:dyDescent="0.35">
      <c r="A4035">
        <v>4034</v>
      </c>
      <c r="B4035" t="s">
        <v>16</v>
      </c>
      <c r="C4035">
        <v>57</v>
      </c>
      <c r="D4035" t="s">
        <v>25</v>
      </c>
      <c r="E4035" t="s">
        <v>18</v>
      </c>
      <c r="F4035">
        <v>140</v>
      </c>
      <c r="G4035">
        <v>57</v>
      </c>
      <c r="H4035">
        <v>0.46</v>
      </c>
      <c r="I4035" t="s">
        <v>15</v>
      </c>
      <c r="J4035">
        <v>0</v>
      </c>
      <c r="K4035">
        <v>1</v>
      </c>
      <c r="L4035">
        <v>0</v>
      </c>
      <c r="M4035">
        <f>VLOOKUP(Table1[[#This Row],[subscription_type]],Plans!$A$1:$B$5,2,FALSE)</f>
        <v>14.99</v>
      </c>
      <c r="N4035">
        <f t="shared" si="63"/>
        <v>0</v>
      </c>
    </row>
    <row r="4036" spans="1:14" x14ac:dyDescent="0.35">
      <c r="A4036">
        <v>4035</v>
      </c>
      <c r="B4036" t="s">
        <v>20</v>
      </c>
      <c r="C4036">
        <v>33</v>
      </c>
      <c r="D4036" t="s">
        <v>13</v>
      </c>
      <c r="E4036" t="s">
        <v>22</v>
      </c>
      <c r="F4036">
        <v>40</v>
      </c>
      <c r="G4036">
        <v>26</v>
      </c>
      <c r="H4036">
        <v>0.02</v>
      </c>
      <c r="I4036" t="s">
        <v>23</v>
      </c>
      <c r="J4036">
        <v>0</v>
      </c>
      <c r="K4036">
        <v>1</v>
      </c>
      <c r="L4036">
        <v>1</v>
      </c>
      <c r="M4036">
        <f>VLOOKUP(Table1[[#This Row],[subscription_type]],Plans!$A$1:$B$5,2,FALSE)</f>
        <v>9.99</v>
      </c>
      <c r="N4036">
        <f t="shared" si="63"/>
        <v>9.99</v>
      </c>
    </row>
    <row r="4037" spans="1:14" x14ac:dyDescent="0.35">
      <c r="A4037">
        <v>4036</v>
      </c>
      <c r="B4037" t="s">
        <v>20</v>
      </c>
      <c r="C4037">
        <v>16</v>
      </c>
      <c r="D4037" t="s">
        <v>26</v>
      </c>
      <c r="E4037" t="s">
        <v>24</v>
      </c>
      <c r="F4037">
        <v>66</v>
      </c>
      <c r="G4037">
        <v>19</v>
      </c>
      <c r="H4037">
        <v>0.22</v>
      </c>
      <c r="I4037" t="s">
        <v>23</v>
      </c>
      <c r="J4037">
        <v>0</v>
      </c>
      <c r="K4037">
        <v>1</v>
      </c>
      <c r="L4037">
        <v>1</v>
      </c>
      <c r="M4037">
        <f>VLOOKUP(Table1[[#This Row],[subscription_type]],Plans!$A$1:$B$5,2,FALSE)</f>
        <v>4.99</v>
      </c>
      <c r="N4037">
        <f t="shared" si="63"/>
        <v>4.99</v>
      </c>
    </row>
    <row r="4038" spans="1:14" x14ac:dyDescent="0.35">
      <c r="A4038">
        <v>4037</v>
      </c>
      <c r="B4038" t="s">
        <v>16</v>
      </c>
      <c r="C4038">
        <v>28</v>
      </c>
      <c r="D4038" t="s">
        <v>21</v>
      </c>
      <c r="E4038" t="s">
        <v>22</v>
      </c>
      <c r="F4038">
        <v>48</v>
      </c>
      <c r="G4038">
        <v>4</v>
      </c>
      <c r="H4038">
        <v>0.24</v>
      </c>
      <c r="I4038" t="s">
        <v>23</v>
      </c>
      <c r="J4038">
        <v>0</v>
      </c>
      <c r="K4038">
        <v>1</v>
      </c>
      <c r="L4038">
        <v>0</v>
      </c>
      <c r="M4038">
        <f>VLOOKUP(Table1[[#This Row],[subscription_type]],Plans!$A$1:$B$5,2,FALSE)</f>
        <v>9.99</v>
      </c>
      <c r="N4038">
        <f t="shared" si="63"/>
        <v>0</v>
      </c>
    </row>
    <row r="4039" spans="1:14" x14ac:dyDescent="0.35">
      <c r="A4039">
        <v>4038</v>
      </c>
      <c r="B4039" t="s">
        <v>20</v>
      </c>
      <c r="C4039">
        <v>52</v>
      </c>
      <c r="D4039" t="s">
        <v>28</v>
      </c>
      <c r="E4039" t="s">
        <v>24</v>
      </c>
      <c r="F4039">
        <v>181</v>
      </c>
      <c r="G4039">
        <v>18</v>
      </c>
      <c r="H4039">
        <v>0.56999999999999995</v>
      </c>
      <c r="I4039" t="s">
        <v>23</v>
      </c>
      <c r="J4039">
        <v>0</v>
      </c>
      <c r="K4039">
        <v>1</v>
      </c>
      <c r="L4039">
        <v>0</v>
      </c>
      <c r="M4039">
        <f>VLOOKUP(Table1[[#This Row],[subscription_type]],Plans!$A$1:$B$5,2,FALSE)</f>
        <v>4.99</v>
      </c>
      <c r="N4039">
        <f t="shared" si="63"/>
        <v>0</v>
      </c>
    </row>
    <row r="4040" spans="1:14" x14ac:dyDescent="0.35">
      <c r="A4040">
        <v>4039</v>
      </c>
      <c r="B4040" t="s">
        <v>16</v>
      </c>
      <c r="C4040">
        <v>46</v>
      </c>
      <c r="D4040" t="s">
        <v>27</v>
      </c>
      <c r="E4040" t="s">
        <v>24</v>
      </c>
      <c r="F4040">
        <v>86</v>
      </c>
      <c r="G4040">
        <v>47</v>
      </c>
      <c r="H4040">
        <v>0.24</v>
      </c>
      <c r="I4040" t="s">
        <v>19</v>
      </c>
      <c r="J4040">
        <v>0</v>
      </c>
      <c r="K4040">
        <v>1</v>
      </c>
      <c r="L4040">
        <v>0</v>
      </c>
      <c r="M4040">
        <f>VLOOKUP(Table1[[#This Row],[subscription_type]],Plans!$A$1:$B$5,2,FALSE)</f>
        <v>4.99</v>
      </c>
      <c r="N4040">
        <f t="shared" si="63"/>
        <v>0</v>
      </c>
    </row>
    <row r="4041" spans="1:14" x14ac:dyDescent="0.35">
      <c r="A4041">
        <v>4040</v>
      </c>
      <c r="B4041" t="s">
        <v>20</v>
      </c>
      <c r="C4041">
        <v>22</v>
      </c>
      <c r="D4041" t="s">
        <v>13</v>
      </c>
      <c r="E4041" t="s">
        <v>18</v>
      </c>
      <c r="F4041">
        <v>50</v>
      </c>
      <c r="G4041">
        <v>30</v>
      </c>
      <c r="H4041">
        <v>0.03</v>
      </c>
      <c r="I4041" t="s">
        <v>15</v>
      </c>
      <c r="J4041">
        <v>0</v>
      </c>
      <c r="K4041">
        <v>1</v>
      </c>
      <c r="L4041">
        <v>1</v>
      </c>
      <c r="M4041">
        <f>VLOOKUP(Table1[[#This Row],[subscription_type]],Plans!$A$1:$B$5,2,FALSE)</f>
        <v>14.99</v>
      </c>
      <c r="N4041">
        <f t="shared" si="63"/>
        <v>14.99</v>
      </c>
    </row>
    <row r="4042" spans="1:14" x14ac:dyDescent="0.35">
      <c r="A4042">
        <v>4041</v>
      </c>
      <c r="B4042" t="s">
        <v>12</v>
      </c>
      <c r="C4042">
        <v>38</v>
      </c>
      <c r="D4042" t="s">
        <v>17</v>
      </c>
      <c r="E4042" t="s">
        <v>14</v>
      </c>
      <c r="F4042">
        <v>46</v>
      </c>
      <c r="G4042">
        <v>49</v>
      </c>
      <c r="H4042">
        <v>0.4</v>
      </c>
      <c r="I4042" t="s">
        <v>15</v>
      </c>
      <c r="J4042">
        <v>26</v>
      </c>
      <c r="K4042">
        <v>0</v>
      </c>
      <c r="L4042">
        <v>1</v>
      </c>
      <c r="M4042">
        <f>VLOOKUP(Table1[[#This Row],[subscription_type]],Plans!$A$1:$B$5,2,FALSE)</f>
        <v>0</v>
      </c>
      <c r="N4042">
        <f t="shared" si="63"/>
        <v>0</v>
      </c>
    </row>
    <row r="4043" spans="1:14" x14ac:dyDescent="0.35">
      <c r="A4043">
        <v>4042</v>
      </c>
      <c r="B4043" t="s">
        <v>20</v>
      </c>
      <c r="C4043">
        <v>39</v>
      </c>
      <c r="D4043" t="s">
        <v>21</v>
      </c>
      <c r="E4043" t="s">
        <v>22</v>
      </c>
      <c r="F4043">
        <v>240</v>
      </c>
      <c r="G4043">
        <v>54</v>
      </c>
      <c r="H4043">
        <v>0.06</v>
      </c>
      <c r="I4043" t="s">
        <v>15</v>
      </c>
      <c r="J4043">
        <v>0</v>
      </c>
      <c r="K4043">
        <v>1</v>
      </c>
      <c r="L4043">
        <v>0</v>
      </c>
      <c r="M4043">
        <f>VLOOKUP(Table1[[#This Row],[subscription_type]],Plans!$A$1:$B$5,2,FALSE)</f>
        <v>9.99</v>
      </c>
      <c r="N4043">
        <f t="shared" si="63"/>
        <v>0</v>
      </c>
    </row>
    <row r="4044" spans="1:14" x14ac:dyDescent="0.35">
      <c r="A4044">
        <v>4043</v>
      </c>
      <c r="B4044" t="s">
        <v>16</v>
      </c>
      <c r="C4044">
        <v>33</v>
      </c>
      <c r="D4044" t="s">
        <v>13</v>
      </c>
      <c r="E4044" t="s">
        <v>22</v>
      </c>
      <c r="F4044">
        <v>87</v>
      </c>
      <c r="G4044">
        <v>40</v>
      </c>
      <c r="H4044">
        <v>0.56999999999999995</v>
      </c>
      <c r="I4044" t="s">
        <v>23</v>
      </c>
      <c r="J4044">
        <v>0</v>
      </c>
      <c r="K4044">
        <v>1</v>
      </c>
      <c r="L4044">
        <v>0</v>
      </c>
      <c r="M4044">
        <f>VLOOKUP(Table1[[#This Row],[subscription_type]],Plans!$A$1:$B$5,2,FALSE)</f>
        <v>9.99</v>
      </c>
      <c r="N4044">
        <f t="shared" si="63"/>
        <v>0</v>
      </c>
    </row>
    <row r="4045" spans="1:14" x14ac:dyDescent="0.35">
      <c r="A4045">
        <v>4044</v>
      </c>
      <c r="B4045" t="s">
        <v>20</v>
      </c>
      <c r="C4045">
        <v>21</v>
      </c>
      <c r="D4045" t="s">
        <v>17</v>
      </c>
      <c r="E4045" t="s">
        <v>22</v>
      </c>
      <c r="F4045">
        <v>168</v>
      </c>
      <c r="G4045">
        <v>89</v>
      </c>
      <c r="H4045">
        <v>0.26</v>
      </c>
      <c r="I4045" t="s">
        <v>19</v>
      </c>
      <c r="J4045">
        <v>0</v>
      </c>
      <c r="K4045">
        <v>1</v>
      </c>
      <c r="L4045">
        <v>0</v>
      </c>
      <c r="M4045">
        <f>VLOOKUP(Table1[[#This Row],[subscription_type]],Plans!$A$1:$B$5,2,FALSE)</f>
        <v>9.99</v>
      </c>
      <c r="N4045">
        <f t="shared" si="63"/>
        <v>0</v>
      </c>
    </row>
    <row r="4046" spans="1:14" x14ac:dyDescent="0.35">
      <c r="A4046">
        <v>4045</v>
      </c>
      <c r="B4046" t="s">
        <v>12</v>
      </c>
      <c r="C4046">
        <v>45</v>
      </c>
      <c r="D4046" t="s">
        <v>25</v>
      </c>
      <c r="E4046" t="s">
        <v>18</v>
      </c>
      <c r="F4046">
        <v>111</v>
      </c>
      <c r="G4046">
        <v>26</v>
      </c>
      <c r="H4046">
        <v>0.49</v>
      </c>
      <c r="I4046" t="s">
        <v>19</v>
      </c>
      <c r="J4046">
        <v>0</v>
      </c>
      <c r="K4046">
        <v>1</v>
      </c>
      <c r="L4046">
        <v>0</v>
      </c>
      <c r="M4046">
        <f>VLOOKUP(Table1[[#This Row],[subscription_type]],Plans!$A$1:$B$5,2,FALSE)</f>
        <v>14.99</v>
      </c>
      <c r="N4046">
        <f t="shared" si="63"/>
        <v>0</v>
      </c>
    </row>
    <row r="4047" spans="1:14" x14ac:dyDescent="0.35">
      <c r="A4047">
        <v>4046</v>
      </c>
      <c r="B4047" t="s">
        <v>16</v>
      </c>
      <c r="C4047">
        <v>34</v>
      </c>
      <c r="D4047" t="s">
        <v>13</v>
      </c>
      <c r="E4047" t="s">
        <v>22</v>
      </c>
      <c r="F4047">
        <v>102</v>
      </c>
      <c r="G4047">
        <v>56</v>
      </c>
      <c r="H4047">
        <v>0.24</v>
      </c>
      <c r="I4047" t="s">
        <v>15</v>
      </c>
      <c r="J4047">
        <v>0</v>
      </c>
      <c r="K4047">
        <v>1</v>
      </c>
      <c r="L4047">
        <v>0</v>
      </c>
      <c r="M4047">
        <f>VLOOKUP(Table1[[#This Row],[subscription_type]],Plans!$A$1:$B$5,2,FALSE)</f>
        <v>9.99</v>
      </c>
      <c r="N4047">
        <f t="shared" si="63"/>
        <v>0</v>
      </c>
    </row>
    <row r="4048" spans="1:14" x14ac:dyDescent="0.35">
      <c r="A4048">
        <v>4047</v>
      </c>
      <c r="B4048" t="s">
        <v>20</v>
      </c>
      <c r="C4048">
        <v>33</v>
      </c>
      <c r="D4048" t="s">
        <v>25</v>
      </c>
      <c r="E4048" t="s">
        <v>24</v>
      </c>
      <c r="F4048">
        <v>214</v>
      </c>
      <c r="G4048">
        <v>80</v>
      </c>
      <c r="H4048">
        <v>0.18</v>
      </c>
      <c r="I4048" t="s">
        <v>15</v>
      </c>
      <c r="J4048">
        <v>0</v>
      </c>
      <c r="K4048">
        <v>1</v>
      </c>
      <c r="L4048">
        <v>0</v>
      </c>
      <c r="M4048">
        <f>VLOOKUP(Table1[[#This Row],[subscription_type]],Plans!$A$1:$B$5,2,FALSE)</f>
        <v>4.99</v>
      </c>
      <c r="N4048">
        <f t="shared" si="63"/>
        <v>0</v>
      </c>
    </row>
    <row r="4049" spans="1:14" x14ac:dyDescent="0.35">
      <c r="A4049">
        <v>4048</v>
      </c>
      <c r="B4049" t="s">
        <v>12</v>
      </c>
      <c r="C4049">
        <v>55</v>
      </c>
      <c r="D4049" t="s">
        <v>13</v>
      </c>
      <c r="E4049" t="s">
        <v>22</v>
      </c>
      <c r="F4049">
        <v>163</v>
      </c>
      <c r="G4049">
        <v>55</v>
      </c>
      <c r="H4049">
        <v>0.6</v>
      </c>
      <c r="I4049" t="s">
        <v>23</v>
      </c>
      <c r="J4049">
        <v>0</v>
      </c>
      <c r="K4049">
        <v>1</v>
      </c>
      <c r="L4049">
        <v>0</v>
      </c>
      <c r="M4049">
        <f>VLOOKUP(Table1[[#This Row],[subscription_type]],Plans!$A$1:$B$5,2,FALSE)</f>
        <v>9.99</v>
      </c>
      <c r="N4049">
        <f t="shared" si="63"/>
        <v>0</v>
      </c>
    </row>
    <row r="4050" spans="1:14" x14ac:dyDescent="0.35">
      <c r="A4050">
        <v>4049</v>
      </c>
      <c r="B4050" t="s">
        <v>16</v>
      </c>
      <c r="C4050">
        <v>27</v>
      </c>
      <c r="D4050" t="s">
        <v>13</v>
      </c>
      <c r="E4050" t="s">
        <v>24</v>
      </c>
      <c r="F4050">
        <v>160</v>
      </c>
      <c r="G4050">
        <v>20</v>
      </c>
      <c r="H4050">
        <v>0.51</v>
      </c>
      <c r="I4050" t="s">
        <v>15</v>
      </c>
      <c r="J4050">
        <v>0</v>
      </c>
      <c r="K4050">
        <v>1</v>
      </c>
      <c r="L4050">
        <v>0</v>
      </c>
      <c r="M4050">
        <f>VLOOKUP(Table1[[#This Row],[subscription_type]],Plans!$A$1:$B$5,2,FALSE)</f>
        <v>4.99</v>
      </c>
      <c r="N4050">
        <f t="shared" si="63"/>
        <v>0</v>
      </c>
    </row>
    <row r="4051" spans="1:14" x14ac:dyDescent="0.35">
      <c r="A4051">
        <v>4050</v>
      </c>
      <c r="B4051" t="s">
        <v>12</v>
      </c>
      <c r="C4051">
        <v>37</v>
      </c>
      <c r="D4051" t="s">
        <v>28</v>
      </c>
      <c r="E4051" t="s">
        <v>24</v>
      </c>
      <c r="F4051">
        <v>270</v>
      </c>
      <c r="G4051">
        <v>18</v>
      </c>
      <c r="H4051">
        <v>0.03</v>
      </c>
      <c r="I4051" t="s">
        <v>19</v>
      </c>
      <c r="J4051">
        <v>0</v>
      </c>
      <c r="K4051">
        <v>1</v>
      </c>
      <c r="L4051">
        <v>0</v>
      </c>
      <c r="M4051">
        <f>VLOOKUP(Table1[[#This Row],[subscription_type]],Plans!$A$1:$B$5,2,FALSE)</f>
        <v>4.99</v>
      </c>
      <c r="N4051">
        <f t="shared" si="63"/>
        <v>0</v>
      </c>
    </row>
    <row r="4052" spans="1:14" x14ac:dyDescent="0.35">
      <c r="A4052">
        <v>4051</v>
      </c>
      <c r="B4052" t="s">
        <v>16</v>
      </c>
      <c r="C4052">
        <v>34</v>
      </c>
      <c r="D4052" t="s">
        <v>25</v>
      </c>
      <c r="E4052" t="s">
        <v>18</v>
      </c>
      <c r="F4052">
        <v>74</v>
      </c>
      <c r="G4052">
        <v>71</v>
      </c>
      <c r="H4052">
        <v>0.24</v>
      </c>
      <c r="I4052" t="s">
        <v>23</v>
      </c>
      <c r="J4052">
        <v>0</v>
      </c>
      <c r="K4052">
        <v>1</v>
      </c>
      <c r="L4052">
        <v>0</v>
      </c>
      <c r="M4052">
        <f>VLOOKUP(Table1[[#This Row],[subscription_type]],Plans!$A$1:$B$5,2,FALSE)</f>
        <v>14.99</v>
      </c>
      <c r="N4052">
        <f t="shared" si="63"/>
        <v>0</v>
      </c>
    </row>
    <row r="4053" spans="1:14" x14ac:dyDescent="0.35">
      <c r="A4053">
        <v>4052</v>
      </c>
      <c r="B4053" t="s">
        <v>12</v>
      </c>
      <c r="C4053">
        <v>21</v>
      </c>
      <c r="D4053" t="s">
        <v>21</v>
      </c>
      <c r="E4053" t="s">
        <v>18</v>
      </c>
      <c r="F4053">
        <v>110</v>
      </c>
      <c r="G4053">
        <v>81</v>
      </c>
      <c r="H4053">
        <v>0.34</v>
      </c>
      <c r="I4053" t="s">
        <v>23</v>
      </c>
      <c r="J4053">
        <v>0</v>
      </c>
      <c r="K4053">
        <v>1</v>
      </c>
      <c r="L4053">
        <v>1</v>
      </c>
      <c r="M4053">
        <f>VLOOKUP(Table1[[#This Row],[subscription_type]],Plans!$A$1:$B$5,2,FALSE)</f>
        <v>14.99</v>
      </c>
      <c r="N4053">
        <f t="shared" si="63"/>
        <v>14.99</v>
      </c>
    </row>
    <row r="4054" spans="1:14" x14ac:dyDescent="0.35">
      <c r="A4054">
        <v>4053</v>
      </c>
      <c r="B4054" t="s">
        <v>16</v>
      </c>
      <c r="C4054">
        <v>30</v>
      </c>
      <c r="D4054" t="s">
        <v>17</v>
      </c>
      <c r="E4054" t="s">
        <v>24</v>
      </c>
      <c r="F4054">
        <v>260</v>
      </c>
      <c r="G4054">
        <v>17</v>
      </c>
      <c r="H4054">
        <v>0.25</v>
      </c>
      <c r="I4054" t="s">
        <v>23</v>
      </c>
      <c r="J4054">
        <v>0</v>
      </c>
      <c r="K4054">
        <v>1</v>
      </c>
      <c r="L4054">
        <v>1</v>
      </c>
      <c r="M4054">
        <f>VLOOKUP(Table1[[#This Row],[subscription_type]],Plans!$A$1:$B$5,2,FALSE)</f>
        <v>4.99</v>
      </c>
      <c r="N4054">
        <f t="shared" si="63"/>
        <v>4.99</v>
      </c>
    </row>
    <row r="4055" spans="1:14" x14ac:dyDescent="0.35">
      <c r="A4055">
        <v>4054</v>
      </c>
      <c r="B4055" t="s">
        <v>16</v>
      </c>
      <c r="C4055">
        <v>16</v>
      </c>
      <c r="D4055" t="s">
        <v>26</v>
      </c>
      <c r="E4055" t="s">
        <v>24</v>
      </c>
      <c r="F4055">
        <v>149</v>
      </c>
      <c r="G4055">
        <v>29</v>
      </c>
      <c r="H4055">
        <v>0.25</v>
      </c>
      <c r="I4055" t="s">
        <v>23</v>
      </c>
      <c r="J4055">
        <v>0</v>
      </c>
      <c r="K4055">
        <v>1</v>
      </c>
      <c r="L4055">
        <v>0</v>
      </c>
      <c r="M4055">
        <f>VLOOKUP(Table1[[#This Row],[subscription_type]],Plans!$A$1:$B$5,2,FALSE)</f>
        <v>4.99</v>
      </c>
      <c r="N4055">
        <f t="shared" si="63"/>
        <v>0</v>
      </c>
    </row>
    <row r="4056" spans="1:14" x14ac:dyDescent="0.35">
      <c r="A4056">
        <v>4055</v>
      </c>
      <c r="B4056" t="s">
        <v>20</v>
      </c>
      <c r="C4056">
        <v>20</v>
      </c>
      <c r="D4056" t="s">
        <v>17</v>
      </c>
      <c r="E4056" t="s">
        <v>18</v>
      </c>
      <c r="F4056">
        <v>151</v>
      </c>
      <c r="G4056">
        <v>47</v>
      </c>
      <c r="H4056">
        <v>0.34</v>
      </c>
      <c r="I4056" t="s">
        <v>15</v>
      </c>
      <c r="J4056">
        <v>0</v>
      </c>
      <c r="K4056">
        <v>1</v>
      </c>
      <c r="L4056">
        <v>0</v>
      </c>
      <c r="M4056">
        <f>VLOOKUP(Table1[[#This Row],[subscription_type]],Plans!$A$1:$B$5,2,FALSE)</f>
        <v>14.99</v>
      </c>
      <c r="N4056">
        <f t="shared" si="63"/>
        <v>0</v>
      </c>
    </row>
    <row r="4057" spans="1:14" x14ac:dyDescent="0.35">
      <c r="A4057">
        <v>4056</v>
      </c>
      <c r="B4057" t="s">
        <v>16</v>
      </c>
      <c r="C4057">
        <v>31</v>
      </c>
      <c r="D4057" t="s">
        <v>29</v>
      </c>
      <c r="E4057" t="s">
        <v>18</v>
      </c>
      <c r="F4057">
        <v>19</v>
      </c>
      <c r="G4057">
        <v>25</v>
      </c>
      <c r="H4057">
        <v>0.25</v>
      </c>
      <c r="I4057" t="s">
        <v>15</v>
      </c>
      <c r="J4057">
        <v>0</v>
      </c>
      <c r="K4057">
        <v>1</v>
      </c>
      <c r="L4057">
        <v>0</v>
      </c>
      <c r="M4057">
        <f>VLOOKUP(Table1[[#This Row],[subscription_type]],Plans!$A$1:$B$5,2,FALSE)</f>
        <v>14.99</v>
      </c>
      <c r="N4057">
        <f t="shared" si="63"/>
        <v>0</v>
      </c>
    </row>
    <row r="4058" spans="1:14" x14ac:dyDescent="0.35">
      <c r="A4058">
        <v>4057</v>
      </c>
      <c r="B4058" t="s">
        <v>20</v>
      </c>
      <c r="C4058">
        <v>18</v>
      </c>
      <c r="D4058" t="s">
        <v>26</v>
      </c>
      <c r="E4058" t="s">
        <v>22</v>
      </c>
      <c r="F4058">
        <v>235</v>
      </c>
      <c r="G4058">
        <v>86</v>
      </c>
      <c r="H4058">
        <v>0.56999999999999995</v>
      </c>
      <c r="I4058" t="s">
        <v>15</v>
      </c>
      <c r="J4058">
        <v>0</v>
      </c>
      <c r="K4058">
        <v>1</v>
      </c>
      <c r="L4058">
        <v>0</v>
      </c>
      <c r="M4058">
        <f>VLOOKUP(Table1[[#This Row],[subscription_type]],Plans!$A$1:$B$5,2,FALSE)</f>
        <v>9.99</v>
      </c>
      <c r="N4058">
        <f t="shared" si="63"/>
        <v>0</v>
      </c>
    </row>
    <row r="4059" spans="1:14" x14ac:dyDescent="0.35">
      <c r="A4059">
        <v>4058</v>
      </c>
      <c r="B4059" t="s">
        <v>12</v>
      </c>
      <c r="C4059">
        <v>22</v>
      </c>
      <c r="D4059" t="s">
        <v>27</v>
      </c>
      <c r="E4059" t="s">
        <v>22</v>
      </c>
      <c r="F4059">
        <v>64</v>
      </c>
      <c r="G4059">
        <v>53</v>
      </c>
      <c r="H4059">
        <v>0.28999999999999998</v>
      </c>
      <c r="I4059" t="s">
        <v>19</v>
      </c>
      <c r="J4059">
        <v>0</v>
      </c>
      <c r="K4059">
        <v>1</v>
      </c>
      <c r="L4059">
        <v>0</v>
      </c>
      <c r="M4059">
        <f>VLOOKUP(Table1[[#This Row],[subscription_type]],Plans!$A$1:$B$5,2,FALSE)</f>
        <v>9.99</v>
      </c>
      <c r="N4059">
        <f t="shared" si="63"/>
        <v>0</v>
      </c>
    </row>
    <row r="4060" spans="1:14" x14ac:dyDescent="0.35">
      <c r="A4060">
        <v>4059</v>
      </c>
      <c r="B4060" t="s">
        <v>20</v>
      </c>
      <c r="C4060">
        <v>18</v>
      </c>
      <c r="D4060" t="s">
        <v>25</v>
      </c>
      <c r="E4060" t="s">
        <v>18</v>
      </c>
      <c r="F4060">
        <v>131</v>
      </c>
      <c r="G4060">
        <v>7</v>
      </c>
      <c r="H4060">
        <v>0.27</v>
      </c>
      <c r="I4060" t="s">
        <v>15</v>
      </c>
      <c r="J4060">
        <v>0</v>
      </c>
      <c r="K4060">
        <v>1</v>
      </c>
      <c r="L4060">
        <v>0</v>
      </c>
      <c r="M4060">
        <f>VLOOKUP(Table1[[#This Row],[subscription_type]],Plans!$A$1:$B$5,2,FALSE)</f>
        <v>14.99</v>
      </c>
      <c r="N4060">
        <f t="shared" si="63"/>
        <v>0</v>
      </c>
    </row>
    <row r="4061" spans="1:14" x14ac:dyDescent="0.35">
      <c r="A4061">
        <v>4060</v>
      </c>
      <c r="B4061" t="s">
        <v>12</v>
      </c>
      <c r="C4061">
        <v>50</v>
      </c>
      <c r="D4061" t="s">
        <v>26</v>
      </c>
      <c r="E4061" t="s">
        <v>14</v>
      </c>
      <c r="F4061">
        <v>229</v>
      </c>
      <c r="G4061">
        <v>71</v>
      </c>
      <c r="H4061">
        <v>0.54</v>
      </c>
      <c r="I4061" t="s">
        <v>15</v>
      </c>
      <c r="J4061">
        <v>32</v>
      </c>
      <c r="K4061">
        <v>0</v>
      </c>
      <c r="L4061">
        <v>1</v>
      </c>
      <c r="M4061">
        <f>VLOOKUP(Table1[[#This Row],[subscription_type]],Plans!$A$1:$B$5,2,FALSE)</f>
        <v>0</v>
      </c>
      <c r="N4061">
        <f t="shared" si="63"/>
        <v>0</v>
      </c>
    </row>
    <row r="4062" spans="1:14" x14ac:dyDescent="0.35">
      <c r="A4062">
        <v>4061</v>
      </c>
      <c r="B4062" t="s">
        <v>20</v>
      </c>
      <c r="C4062">
        <v>25</v>
      </c>
      <c r="D4062" t="s">
        <v>29</v>
      </c>
      <c r="E4062" t="s">
        <v>24</v>
      </c>
      <c r="F4062">
        <v>101</v>
      </c>
      <c r="G4062">
        <v>99</v>
      </c>
      <c r="H4062">
        <v>0.34</v>
      </c>
      <c r="I4062" t="s">
        <v>19</v>
      </c>
      <c r="J4062">
        <v>0</v>
      </c>
      <c r="K4062">
        <v>1</v>
      </c>
      <c r="L4062">
        <v>0</v>
      </c>
      <c r="M4062">
        <f>VLOOKUP(Table1[[#This Row],[subscription_type]],Plans!$A$1:$B$5,2,FALSE)</f>
        <v>4.99</v>
      </c>
      <c r="N4062">
        <f t="shared" si="63"/>
        <v>0</v>
      </c>
    </row>
    <row r="4063" spans="1:14" x14ac:dyDescent="0.35">
      <c r="A4063">
        <v>4062</v>
      </c>
      <c r="B4063" t="s">
        <v>12</v>
      </c>
      <c r="C4063">
        <v>49</v>
      </c>
      <c r="D4063" t="s">
        <v>28</v>
      </c>
      <c r="E4063" t="s">
        <v>18</v>
      </c>
      <c r="F4063">
        <v>195</v>
      </c>
      <c r="G4063">
        <v>39</v>
      </c>
      <c r="H4063">
        <v>0.52</v>
      </c>
      <c r="I4063" t="s">
        <v>19</v>
      </c>
      <c r="J4063">
        <v>0</v>
      </c>
      <c r="K4063">
        <v>1</v>
      </c>
      <c r="L4063">
        <v>1</v>
      </c>
      <c r="M4063">
        <f>VLOOKUP(Table1[[#This Row],[subscription_type]],Plans!$A$1:$B$5,2,FALSE)</f>
        <v>14.99</v>
      </c>
      <c r="N4063">
        <f t="shared" si="63"/>
        <v>14.99</v>
      </c>
    </row>
    <row r="4064" spans="1:14" x14ac:dyDescent="0.35">
      <c r="A4064">
        <v>4063</v>
      </c>
      <c r="B4064" t="s">
        <v>20</v>
      </c>
      <c r="C4064">
        <v>29</v>
      </c>
      <c r="D4064" t="s">
        <v>25</v>
      </c>
      <c r="E4064" t="s">
        <v>18</v>
      </c>
      <c r="F4064">
        <v>118</v>
      </c>
      <c r="G4064">
        <v>19</v>
      </c>
      <c r="H4064">
        <v>0.16</v>
      </c>
      <c r="I4064" t="s">
        <v>19</v>
      </c>
      <c r="J4064">
        <v>0</v>
      </c>
      <c r="K4064">
        <v>1</v>
      </c>
      <c r="L4064">
        <v>1</v>
      </c>
      <c r="M4064">
        <f>VLOOKUP(Table1[[#This Row],[subscription_type]],Plans!$A$1:$B$5,2,FALSE)</f>
        <v>14.99</v>
      </c>
      <c r="N4064">
        <f t="shared" si="63"/>
        <v>14.99</v>
      </c>
    </row>
    <row r="4065" spans="1:14" x14ac:dyDescent="0.35">
      <c r="A4065">
        <v>4064</v>
      </c>
      <c r="B4065" t="s">
        <v>20</v>
      </c>
      <c r="C4065">
        <v>26</v>
      </c>
      <c r="D4065" t="s">
        <v>13</v>
      </c>
      <c r="E4065" t="s">
        <v>14</v>
      </c>
      <c r="F4065">
        <v>176</v>
      </c>
      <c r="G4065">
        <v>20</v>
      </c>
      <c r="H4065">
        <v>0.48</v>
      </c>
      <c r="I4065" t="s">
        <v>15</v>
      </c>
      <c r="J4065">
        <v>47</v>
      </c>
      <c r="K4065">
        <v>0</v>
      </c>
      <c r="L4065">
        <v>1</v>
      </c>
      <c r="M4065">
        <f>VLOOKUP(Table1[[#This Row],[subscription_type]],Plans!$A$1:$B$5,2,FALSE)</f>
        <v>0</v>
      </c>
      <c r="N4065">
        <f t="shared" si="63"/>
        <v>0</v>
      </c>
    </row>
    <row r="4066" spans="1:14" x14ac:dyDescent="0.35">
      <c r="A4066">
        <v>4065</v>
      </c>
      <c r="B4066" t="s">
        <v>20</v>
      </c>
      <c r="C4066">
        <v>53</v>
      </c>
      <c r="D4066" t="s">
        <v>26</v>
      </c>
      <c r="E4066" t="s">
        <v>14</v>
      </c>
      <c r="F4066">
        <v>31</v>
      </c>
      <c r="G4066">
        <v>72</v>
      </c>
      <c r="H4066">
        <v>0.46</v>
      </c>
      <c r="I4066" t="s">
        <v>19</v>
      </c>
      <c r="J4066">
        <v>5</v>
      </c>
      <c r="K4066">
        <v>0</v>
      </c>
      <c r="L4066">
        <v>0</v>
      </c>
      <c r="M4066">
        <f>VLOOKUP(Table1[[#This Row],[subscription_type]],Plans!$A$1:$B$5,2,FALSE)</f>
        <v>0</v>
      </c>
      <c r="N4066">
        <f t="shared" si="63"/>
        <v>0</v>
      </c>
    </row>
    <row r="4067" spans="1:14" x14ac:dyDescent="0.35">
      <c r="A4067">
        <v>4066</v>
      </c>
      <c r="B4067" t="s">
        <v>16</v>
      </c>
      <c r="C4067">
        <v>22</v>
      </c>
      <c r="D4067" t="s">
        <v>25</v>
      </c>
      <c r="E4067" t="s">
        <v>14</v>
      </c>
      <c r="F4067">
        <v>250</v>
      </c>
      <c r="G4067">
        <v>26</v>
      </c>
      <c r="H4067">
        <v>0.21</v>
      </c>
      <c r="I4067" t="s">
        <v>23</v>
      </c>
      <c r="J4067">
        <v>28</v>
      </c>
      <c r="K4067">
        <v>0</v>
      </c>
      <c r="L4067">
        <v>0</v>
      </c>
      <c r="M4067">
        <f>VLOOKUP(Table1[[#This Row],[subscription_type]],Plans!$A$1:$B$5,2,FALSE)</f>
        <v>0</v>
      </c>
      <c r="N4067">
        <f t="shared" si="63"/>
        <v>0</v>
      </c>
    </row>
    <row r="4068" spans="1:14" x14ac:dyDescent="0.35">
      <c r="A4068">
        <v>4067</v>
      </c>
      <c r="B4068" t="s">
        <v>16</v>
      </c>
      <c r="C4068">
        <v>19</v>
      </c>
      <c r="D4068" t="s">
        <v>27</v>
      </c>
      <c r="E4068" t="s">
        <v>22</v>
      </c>
      <c r="F4068">
        <v>228</v>
      </c>
      <c r="G4068">
        <v>92</v>
      </c>
      <c r="H4068">
        <v>0.4</v>
      </c>
      <c r="I4068" t="s">
        <v>23</v>
      </c>
      <c r="J4068">
        <v>0</v>
      </c>
      <c r="K4068">
        <v>1</v>
      </c>
      <c r="L4068">
        <v>1</v>
      </c>
      <c r="M4068">
        <f>VLOOKUP(Table1[[#This Row],[subscription_type]],Plans!$A$1:$B$5,2,FALSE)</f>
        <v>9.99</v>
      </c>
      <c r="N4068">
        <f t="shared" si="63"/>
        <v>9.99</v>
      </c>
    </row>
    <row r="4069" spans="1:14" x14ac:dyDescent="0.35">
      <c r="A4069">
        <v>4068</v>
      </c>
      <c r="B4069" t="s">
        <v>20</v>
      </c>
      <c r="C4069">
        <v>51</v>
      </c>
      <c r="D4069" t="s">
        <v>25</v>
      </c>
      <c r="E4069" t="s">
        <v>18</v>
      </c>
      <c r="F4069">
        <v>157</v>
      </c>
      <c r="G4069">
        <v>19</v>
      </c>
      <c r="H4069">
        <v>0.53</v>
      </c>
      <c r="I4069" t="s">
        <v>19</v>
      </c>
      <c r="J4069">
        <v>0</v>
      </c>
      <c r="K4069">
        <v>1</v>
      </c>
      <c r="L4069">
        <v>0</v>
      </c>
      <c r="M4069">
        <f>VLOOKUP(Table1[[#This Row],[subscription_type]],Plans!$A$1:$B$5,2,FALSE)</f>
        <v>14.99</v>
      </c>
      <c r="N4069">
        <f t="shared" si="63"/>
        <v>0</v>
      </c>
    </row>
    <row r="4070" spans="1:14" x14ac:dyDescent="0.35">
      <c r="A4070">
        <v>4069</v>
      </c>
      <c r="B4070" t="s">
        <v>16</v>
      </c>
      <c r="C4070">
        <v>42</v>
      </c>
      <c r="D4070" t="s">
        <v>21</v>
      </c>
      <c r="E4070" t="s">
        <v>18</v>
      </c>
      <c r="F4070">
        <v>82</v>
      </c>
      <c r="G4070">
        <v>27</v>
      </c>
      <c r="H4070">
        <v>0.57999999999999996</v>
      </c>
      <c r="I4070" t="s">
        <v>15</v>
      </c>
      <c r="J4070">
        <v>0</v>
      </c>
      <c r="K4070">
        <v>1</v>
      </c>
      <c r="L4070">
        <v>1</v>
      </c>
      <c r="M4070">
        <f>VLOOKUP(Table1[[#This Row],[subscription_type]],Plans!$A$1:$B$5,2,FALSE)</f>
        <v>14.99</v>
      </c>
      <c r="N4070">
        <f t="shared" si="63"/>
        <v>14.99</v>
      </c>
    </row>
    <row r="4071" spans="1:14" x14ac:dyDescent="0.35">
      <c r="A4071">
        <v>4070</v>
      </c>
      <c r="B4071" t="s">
        <v>16</v>
      </c>
      <c r="C4071">
        <v>46</v>
      </c>
      <c r="D4071" t="s">
        <v>21</v>
      </c>
      <c r="E4071" t="s">
        <v>18</v>
      </c>
      <c r="F4071">
        <v>154</v>
      </c>
      <c r="G4071">
        <v>51</v>
      </c>
      <c r="H4071">
        <v>0.16</v>
      </c>
      <c r="I4071" t="s">
        <v>15</v>
      </c>
      <c r="J4071">
        <v>0</v>
      </c>
      <c r="K4071">
        <v>1</v>
      </c>
      <c r="L4071">
        <v>1</v>
      </c>
      <c r="M4071">
        <f>VLOOKUP(Table1[[#This Row],[subscription_type]],Plans!$A$1:$B$5,2,FALSE)</f>
        <v>14.99</v>
      </c>
      <c r="N4071">
        <f t="shared" si="63"/>
        <v>14.99</v>
      </c>
    </row>
    <row r="4072" spans="1:14" x14ac:dyDescent="0.35">
      <c r="A4072">
        <v>4071</v>
      </c>
      <c r="B4072" t="s">
        <v>20</v>
      </c>
      <c r="C4072">
        <v>17</v>
      </c>
      <c r="D4072" t="s">
        <v>13</v>
      </c>
      <c r="E4072" t="s">
        <v>24</v>
      </c>
      <c r="F4072">
        <v>211</v>
      </c>
      <c r="G4072">
        <v>24</v>
      </c>
      <c r="H4072">
        <v>0.09</v>
      </c>
      <c r="I4072" t="s">
        <v>19</v>
      </c>
      <c r="J4072">
        <v>0</v>
      </c>
      <c r="K4072">
        <v>1</v>
      </c>
      <c r="L4072">
        <v>1</v>
      </c>
      <c r="M4072">
        <f>VLOOKUP(Table1[[#This Row],[subscription_type]],Plans!$A$1:$B$5,2,FALSE)</f>
        <v>4.99</v>
      </c>
      <c r="N4072">
        <f t="shared" si="63"/>
        <v>4.99</v>
      </c>
    </row>
    <row r="4073" spans="1:14" x14ac:dyDescent="0.35">
      <c r="A4073">
        <v>4072</v>
      </c>
      <c r="B4073" t="s">
        <v>16</v>
      </c>
      <c r="C4073">
        <v>59</v>
      </c>
      <c r="D4073" t="s">
        <v>17</v>
      </c>
      <c r="E4073" t="s">
        <v>18</v>
      </c>
      <c r="F4073">
        <v>65</v>
      </c>
      <c r="G4073">
        <v>24</v>
      </c>
      <c r="H4073">
        <v>0.04</v>
      </c>
      <c r="I4073" t="s">
        <v>19</v>
      </c>
      <c r="J4073">
        <v>0</v>
      </c>
      <c r="K4073">
        <v>1</v>
      </c>
      <c r="L4073">
        <v>0</v>
      </c>
      <c r="M4073">
        <f>VLOOKUP(Table1[[#This Row],[subscription_type]],Plans!$A$1:$B$5,2,FALSE)</f>
        <v>14.99</v>
      </c>
      <c r="N4073">
        <f t="shared" si="63"/>
        <v>0</v>
      </c>
    </row>
    <row r="4074" spans="1:14" x14ac:dyDescent="0.35">
      <c r="A4074">
        <v>4073</v>
      </c>
      <c r="B4074" t="s">
        <v>12</v>
      </c>
      <c r="C4074">
        <v>24</v>
      </c>
      <c r="D4074" t="s">
        <v>29</v>
      </c>
      <c r="E4074" t="s">
        <v>18</v>
      </c>
      <c r="F4074">
        <v>221</v>
      </c>
      <c r="G4074">
        <v>65</v>
      </c>
      <c r="H4074">
        <v>0.5</v>
      </c>
      <c r="I4074" t="s">
        <v>15</v>
      </c>
      <c r="J4074">
        <v>0</v>
      </c>
      <c r="K4074">
        <v>1</v>
      </c>
      <c r="L4074">
        <v>1</v>
      </c>
      <c r="M4074">
        <f>VLOOKUP(Table1[[#This Row],[subscription_type]],Plans!$A$1:$B$5,2,FALSE)</f>
        <v>14.99</v>
      </c>
      <c r="N4074">
        <f t="shared" si="63"/>
        <v>14.99</v>
      </c>
    </row>
    <row r="4075" spans="1:14" x14ac:dyDescent="0.35">
      <c r="A4075">
        <v>4074</v>
      </c>
      <c r="B4075" t="s">
        <v>12</v>
      </c>
      <c r="C4075">
        <v>51</v>
      </c>
      <c r="D4075" t="s">
        <v>27</v>
      </c>
      <c r="E4075" t="s">
        <v>22</v>
      </c>
      <c r="F4075">
        <v>283</v>
      </c>
      <c r="G4075">
        <v>16</v>
      </c>
      <c r="H4075">
        <v>0.27</v>
      </c>
      <c r="I4075" t="s">
        <v>23</v>
      </c>
      <c r="J4075">
        <v>0</v>
      </c>
      <c r="K4075">
        <v>1</v>
      </c>
      <c r="L4075">
        <v>0</v>
      </c>
      <c r="M4075">
        <f>VLOOKUP(Table1[[#This Row],[subscription_type]],Plans!$A$1:$B$5,2,FALSE)</f>
        <v>9.99</v>
      </c>
      <c r="N4075">
        <f t="shared" si="63"/>
        <v>0</v>
      </c>
    </row>
    <row r="4076" spans="1:14" x14ac:dyDescent="0.35">
      <c r="A4076">
        <v>4075</v>
      </c>
      <c r="B4076" t="s">
        <v>12</v>
      </c>
      <c r="C4076">
        <v>27</v>
      </c>
      <c r="D4076" t="s">
        <v>13</v>
      </c>
      <c r="E4076" t="s">
        <v>24</v>
      </c>
      <c r="F4076">
        <v>147</v>
      </c>
      <c r="G4076">
        <v>78</v>
      </c>
      <c r="H4076">
        <v>0.15</v>
      </c>
      <c r="I4076" t="s">
        <v>19</v>
      </c>
      <c r="J4076">
        <v>0</v>
      </c>
      <c r="K4076">
        <v>1</v>
      </c>
      <c r="L4076">
        <v>0</v>
      </c>
      <c r="M4076">
        <f>VLOOKUP(Table1[[#This Row],[subscription_type]],Plans!$A$1:$B$5,2,FALSE)</f>
        <v>4.99</v>
      </c>
      <c r="N4076">
        <f t="shared" si="63"/>
        <v>0</v>
      </c>
    </row>
    <row r="4077" spans="1:14" x14ac:dyDescent="0.35">
      <c r="A4077">
        <v>4076</v>
      </c>
      <c r="B4077" t="s">
        <v>12</v>
      </c>
      <c r="C4077">
        <v>32</v>
      </c>
      <c r="D4077" t="s">
        <v>25</v>
      </c>
      <c r="E4077" t="s">
        <v>24</v>
      </c>
      <c r="F4077">
        <v>279</v>
      </c>
      <c r="G4077">
        <v>78</v>
      </c>
      <c r="H4077">
        <v>0.42</v>
      </c>
      <c r="I4077" t="s">
        <v>19</v>
      </c>
      <c r="J4077">
        <v>0</v>
      </c>
      <c r="K4077">
        <v>1</v>
      </c>
      <c r="L4077">
        <v>0</v>
      </c>
      <c r="M4077">
        <f>VLOOKUP(Table1[[#This Row],[subscription_type]],Plans!$A$1:$B$5,2,FALSE)</f>
        <v>4.99</v>
      </c>
      <c r="N4077">
        <f t="shared" si="63"/>
        <v>0</v>
      </c>
    </row>
    <row r="4078" spans="1:14" x14ac:dyDescent="0.35">
      <c r="A4078">
        <v>4077</v>
      </c>
      <c r="B4078" t="s">
        <v>16</v>
      </c>
      <c r="C4078">
        <v>30</v>
      </c>
      <c r="D4078" t="s">
        <v>29</v>
      </c>
      <c r="E4078" t="s">
        <v>18</v>
      </c>
      <c r="F4078">
        <v>134</v>
      </c>
      <c r="G4078">
        <v>71</v>
      </c>
      <c r="H4078">
        <v>0.05</v>
      </c>
      <c r="I4078" t="s">
        <v>15</v>
      </c>
      <c r="J4078">
        <v>0</v>
      </c>
      <c r="K4078">
        <v>1</v>
      </c>
      <c r="L4078">
        <v>0</v>
      </c>
      <c r="M4078">
        <f>VLOOKUP(Table1[[#This Row],[subscription_type]],Plans!$A$1:$B$5,2,FALSE)</f>
        <v>14.99</v>
      </c>
      <c r="N4078">
        <f t="shared" si="63"/>
        <v>0</v>
      </c>
    </row>
    <row r="4079" spans="1:14" x14ac:dyDescent="0.35">
      <c r="A4079">
        <v>4078</v>
      </c>
      <c r="B4079" t="s">
        <v>20</v>
      </c>
      <c r="C4079">
        <v>24</v>
      </c>
      <c r="D4079" t="s">
        <v>29</v>
      </c>
      <c r="E4079" t="s">
        <v>14</v>
      </c>
      <c r="F4079">
        <v>73</v>
      </c>
      <c r="G4079">
        <v>18</v>
      </c>
      <c r="H4079">
        <v>0.55000000000000004</v>
      </c>
      <c r="I4079" t="s">
        <v>15</v>
      </c>
      <c r="J4079">
        <v>33</v>
      </c>
      <c r="K4079">
        <v>0</v>
      </c>
      <c r="L4079">
        <v>0</v>
      </c>
      <c r="M4079">
        <f>VLOOKUP(Table1[[#This Row],[subscription_type]],Plans!$A$1:$B$5,2,FALSE)</f>
        <v>0</v>
      </c>
      <c r="N4079">
        <f t="shared" si="63"/>
        <v>0</v>
      </c>
    </row>
    <row r="4080" spans="1:14" x14ac:dyDescent="0.35">
      <c r="A4080">
        <v>4079</v>
      </c>
      <c r="B4080" t="s">
        <v>12</v>
      </c>
      <c r="C4080">
        <v>22</v>
      </c>
      <c r="D4080" t="s">
        <v>27</v>
      </c>
      <c r="E4080" t="s">
        <v>24</v>
      </c>
      <c r="F4080">
        <v>239</v>
      </c>
      <c r="G4080">
        <v>32</v>
      </c>
      <c r="H4080">
        <v>0.35</v>
      </c>
      <c r="I4080" t="s">
        <v>19</v>
      </c>
      <c r="J4080">
        <v>0</v>
      </c>
      <c r="K4080">
        <v>1</v>
      </c>
      <c r="L4080">
        <v>0</v>
      </c>
      <c r="M4080">
        <f>VLOOKUP(Table1[[#This Row],[subscription_type]],Plans!$A$1:$B$5,2,FALSE)</f>
        <v>4.99</v>
      </c>
      <c r="N4080">
        <f t="shared" si="63"/>
        <v>0</v>
      </c>
    </row>
    <row r="4081" spans="1:14" x14ac:dyDescent="0.35">
      <c r="A4081">
        <v>4080</v>
      </c>
      <c r="B4081" t="s">
        <v>16</v>
      </c>
      <c r="C4081">
        <v>28</v>
      </c>
      <c r="D4081" t="s">
        <v>29</v>
      </c>
      <c r="E4081" t="s">
        <v>14</v>
      </c>
      <c r="F4081">
        <v>64</v>
      </c>
      <c r="G4081">
        <v>97</v>
      </c>
      <c r="H4081">
        <v>0.13</v>
      </c>
      <c r="I4081" t="s">
        <v>15</v>
      </c>
      <c r="J4081">
        <v>45</v>
      </c>
      <c r="K4081">
        <v>0</v>
      </c>
      <c r="L4081">
        <v>0</v>
      </c>
      <c r="M4081">
        <f>VLOOKUP(Table1[[#This Row],[subscription_type]],Plans!$A$1:$B$5,2,FALSE)</f>
        <v>0</v>
      </c>
      <c r="N4081">
        <f t="shared" si="63"/>
        <v>0</v>
      </c>
    </row>
    <row r="4082" spans="1:14" x14ac:dyDescent="0.35">
      <c r="A4082">
        <v>4081</v>
      </c>
      <c r="B4082" t="s">
        <v>16</v>
      </c>
      <c r="C4082">
        <v>17</v>
      </c>
      <c r="D4082" t="s">
        <v>28</v>
      </c>
      <c r="E4082" t="s">
        <v>14</v>
      </c>
      <c r="F4082">
        <v>113</v>
      </c>
      <c r="G4082">
        <v>76</v>
      </c>
      <c r="H4082">
        <v>0.13</v>
      </c>
      <c r="I4082" t="s">
        <v>23</v>
      </c>
      <c r="J4082">
        <v>39</v>
      </c>
      <c r="K4082">
        <v>0</v>
      </c>
      <c r="L4082">
        <v>1</v>
      </c>
      <c r="M4082">
        <f>VLOOKUP(Table1[[#This Row],[subscription_type]],Plans!$A$1:$B$5,2,FALSE)</f>
        <v>0</v>
      </c>
      <c r="N4082">
        <f t="shared" si="63"/>
        <v>0</v>
      </c>
    </row>
    <row r="4083" spans="1:14" x14ac:dyDescent="0.35">
      <c r="A4083">
        <v>4082</v>
      </c>
      <c r="B4083" t="s">
        <v>20</v>
      </c>
      <c r="C4083">
        <v>43</v>
      </c>
      <c r="D4083" t="s">
        <v>27</v>
      </c>
      <c r="E4083" t="s">
        <v>22</v>
      </c>
      <c r="F4083">
        <v>61</v>
      </c>
      <c r="G4083">
        <v>51</v>
      </c>
      <c r="H4083">
        <v>0.48</v>
      </c>
      <c r="I4083" t="s">
        <v>15</v>
      </c>
      <c r="J4083">
        <v>0</v>
      </c>
      <c r="K4083">
        <v>1</v>
      </c>
      <c r="L4083">
        <v>0</v>
      </c>
      <c r="M4083">
        <f>VLOOKUP(Table1[[#This Row],[subscription_type]],Plans!$A$1:$B$5,2,FALSE)</f>
        <v>9.99</v>
      </c>
      <c r="N4083">
        <f t="shared" si="63"/>
        <v>0</v>
      </c>
    </row>
    <row r="4084" spans="1:14" x14ac:dyDescent="0.35">
      <c r="A4084">
        <v>4083</v>
      </c>
      <c r="B4084" t="s">
        <v>20</v>
      </c>
      <c r="C4084">
        <v>36</v>
      </c>
      <c r="D4084" t="s">
        <v>17</v>
      </c>
      <c r="E4084" t="s">
        <v>14</v>
      </c>
      <c r="F4084">
        <v>173</v>
      </c>
      <c r="G4084">
        <v>29</v>
      </c>
      <c r="H4084">
        <v>0.1</v>
      </c>
      <c r="I4084" t="s">
        <v>15</v>
      </c>
      <c r="J4084">
        <v>39</v>
      </c>
      <c r="K4084">
        <v>0</v>
      </c>
      <c r="L4084">
        <v>0</v>
      </c>
      <c r="M4084">
        <f>VLOOKUP(Table1[[#This Row],[subscription_type]],Plans!$A$1:$B$5,2,FALSE)</f>
        <v>0</v>
      </c>
      <c r="N4084">
        <f t="shared" si="63"/>
        <v>0</v>
      </c>
    </row>
    <row r="4085" spans="1:14" x14ac:dyDescent="0.35">
      <c r="A4085">
        <v>4084</v>
      </c>
      <c r="B4085" t="s">
        <v>20</v>
      </c>
      <c r="C4085">
        <v>20</v>
      </c>
      <c r="D4085" t="s">
        <v>29</v>
      </c>
      <c r="E4085" t="s">
        <v>22</v>
      </c>
      <c r="F4085">
        <v>239</v>
      </c>
      <c r="G4085">
        <v>42</v>
      </c>
      <c r="H4085">
        <v>0.56999999999999995</v>
      </c>
      <c r="I4085" t="s">
        <v>15</v>
      </c>
      <c r="J4085">
        <v>0</v>
      </c>
      <c r="K4085">
        <v>1</v>
      </c>
      <c r="L4085">
        <v>1</v>
      </c>
      <c r="M4085">
        <f>VLOOKUP(Table1[[#This Row],[subscription_type]],Plans!$A$1:$B$5,2,FALSE)</f>
        <v>9.99</v>
      </c>
      <c r="N4085">
        <f t="shared" si="63"/>
        <v>9.99</v>
      </c>
    </row>
    <row r="4086" spans="1:14" x14ac:dyDescent="0.35">
      <c r="A4086">
        <v>4085</v>
      </c>
      <c r="B4086" t="s">
        <v>20</v>
      </c>
      <c r="C4086">
        <v>43</v>
      </c>
      <c r="D4086" t="s">
        <v>17</v>
      </c>
      <c r="E4086" t="s">
        <v>18</v>
      </c>
      <c r="F4086">
        <v>108</v>
      </c>
      <c r="G4086">
        <v>53</v>
      </c>
      <c r="H4086">
        <v>0.03</v>
      </c>
      <c r="I4086" t="s">
        <v>15</v>
      </c>
      <c r="J4086">
        <v>0</v>
      </c>
      <c r="K4086">
        <v>1</v>
      </c>
      <c r="L4086">
        <v>1</v>
      </c>
      <c r="M4086">
        <f>VLOOKUP(Table1[[#This Row],[subscription_type]],Plans!$A$1:$B$5,2,FALSE)</f>
        <v>14.99</v>
      </c>
      <c r="N4086">
        <f t="shared" si="63"/>
        <v>14.99</v>
      </c>
    </row>
    <row r="4087" spans="1:14" x14ac:dyDescent="0.35">
      <c r="A4087">
        <v>4086</v>
      </c>
      <c r="B4087" t="s">
        <v>16</v>
      </c>
      <c r="C4087">
        <v>28</v>
      </c>
      <c r="D4087" t="s">
        <v>26</v>
      </c>
      <c r="E4087" t="s">
        <v>24</v>
      </c>
      <c r="F4087">
        <v>276</v>
      </c>
      <c r="G4087">
        <v>85</v>
      </c>
      <c r="H4087">
        <v>0.51</v>
      </c>
      <c r="I4087" t="s">
        <v>15</v>
      </c>
      <c r="J4087">
        <v>0</v>
      </c>
      <c r="K4087">
        <v>1</v>
      </c>
      <c r="L4087">
        <v>0</v>
      </c>
      <c r="M4087">
        <f>VLOOKUP(Table1[[#This Row],[subscription_type]],Plans!$A$1:$B$5,2,FALSE)</f>
        <v>4.99</v>
      </c>
      <c r="N4087">
        <f t="shared" si="63"/>
        <v>0</v>
      </c>
    </row>
    <row r="4088" spans="1:14" x14ac:dyDescent="0.35">
      <c r="A4088">
        <v>4087</v>
      </c>
      <c r="B4088" t="s">
        <v>12</v>
      </c>
      <c r="C4088">
        <v>26</v>
      </c>
      <c r="D4088" t="s">
        <v>13</v>
      </c>
      <c r="E4088" t="s">
        <v>14</v>
      </c>
      <c r="F4088">
        <v>41</v>
      </c>
      <c r="G4088">
        <v>49</v>
      </c>
      <c r="H4088">
        <v>0.46</v>
      </c>
      <c r="I4088" t="s">
        <v>15</v>
      </c>
      <c r="J4088">
        <v>24</v>
      </c>
      <c r="K4088">
        <v>0</v>
      </c>
      <c r="L4088">
        <v>0</v>
      </c>
      <c r="M4088">
        <f>VLOOKUP(Table1[[#This Row],[subscription_type]],Plans!$A$1:$B$5,2,FALSE)</f>
        <v>0</v>
      </c>
      <c r="N4088">
        <f t="shared" si="63"/>
        <v>0</v>
      </c>
    </row>
    <row r="4089" spans="1:14" x14ac:dyDescent="0.35">
      <c r="A4089">
        <v>4088</v>
      </c>
      <c r="B4089" t="s">
        <v>12</v>
      </c>
      <c r="C4089">
        <v>20</v>
      </c>
      <c r="D4089" t="s">
        <v>26</v>
      </c>
      <c r="E4089" t="s">
        <v>14</v>
      </c>
      <c r="F4089">
        <v>233</v>
      </c>
      <c r="G4089">
        <v>90</v>
      </c>
      <c r="H4089">
        <v>0.4</v>
      </c>
      <c r="I4089" t="s">
        <v>15</v>
      </c>
      <c r="J4089">
        <v>47</v>
      </c>
      <c r="K4089">
        <v>0</v>
      </c>
      <c r="L4089">
        <v>0</v>
      </c>
      <c r="M4089">
        <f>VLOOKUP(Table1[[#This Row],[subscription_type]],Plans!$A$1:$B$5,2,FALSE)</f>
        <v>0</v>
      </c>
      <c r="N4089">
        <f t="shared" si="63"/>
        <v>0</v>
      </c>
    </row>
    <row r="4090" spans="1:14" x14ac:dyDescent="0.35">
      <c r="A4090">
        <v>4089</v>
      </c>
      <c r="B4090" t="s">
        <v>20</v>
      </c>
      <c r="C4090">
        <v>38</v>
      </c>
      <c r="D4090" t="s">
        <v>21</v>
      </c>
      <c r="E4090" t="s">
        <v>22</v>
      </c>
      <c r="F4090">
        <v>247</v>
      </c>
      <c r="G4090">
        <v>15</v>
      </c>
      <c r="H4090">
        <v>0.26</v>
      </c>
      <c r="I4090" t="s">
        <v>23</v>
      </c>
      <c r="J4090">
        <v>0</v>
      </c>
      <c r="K4090">
        <v>1</v>
      </c>
      <c r="L4090">
        <v>0</v>
      </c>
      <c r="M4090">
        <f>VLOOKUP(Table1[[#This Row],[subscription_type]],Plans!$A$1:$B$5,2,FALSE)</f>
        <v>9.99</v>
      </c>
      <c r="N4090">
        <f t="shared" si="63"/>
        <v>0</v>
      </c>
    </row>
    <row r="4091" spans="1:14" x14ac:dyDescent="0.35">
      <c r="A4091">
        <v>4090</v>
      </c>
      <c r="B4091" t="s">
        <v>16</v>
      </c>
      <c r="C4091">
        <v>50</v>
      </c>
      <c r="D4091" t="s">
        <v>13</v>
      </c>
      <c r="E4091" t="s">
        <v>18</v>
      </c>
      <c r="F4091">
        <v>257</v>
      </c>
      <c r="G4091">
        <v>82</v>
      </c>
      <c r="H4091">
        <v>0.04</v>
      </c>
      <c r="I4091" t="s">
        <v>15</v>
      </c>
      <c r="J4091">
        <v>0</v>
      </c>
      <c r="K4091">
        <v>1</v>
      </c>
      <c r="L4091">
        <v>0</v>
      </c>
      <c r="M4091">
        <f>VLOOKUP(Table1[[#This Row],[subscription_type]],Plans!$A$1:$B$5,2,FALSE)</f>
        <v>14.99</v>
      </c>
      <c r="N4091">
        <f t="shared" si="63"/>
        <v>0</v>
      </c>
    </row>
    <row r="4092" spans="1:14" x14ac:dyDescent="0.35">
      <c r="A4092">
        <v>4091</v>
      </c>
      <c r="B4092" t="s">
        <v>16</v>
      </c>
      <c r="C4092">
        <v>32</v>
      </c>
      <c r="D4092" t="s">
        <v>21</v>
      </c>
      <c r="E4092" t="s">
        <v>14</v>
      </c>
      <c r="F4092">
        <v>233</v>
      </c>
      <c r="G4092">
        <v>46</v>
      </c>
      <c r="H4092">
        <v>0.22</v>
      </c>
      <c r="I4092" t="s">
        <v>19</v>
      </c>
      <c r="J4092">
        <v>32</v>
      </c>
      <c r="K4092">
        <v>0</v>
      </c>
      <c r="L4092">
        <v>0</v>
      </c>
      <c r="M4092">
        <f>VLOOKUP(Table1[[#This Row],[subscription_type]],Plans!$A$1:$B$5,2,FALSE)</f>
        <v>0</v>
      </c>
      <c r="N4092">
        <f t="shared" si="63"/>
        <v>0</v>
      </c>
    </row>
    <row r="4093" spans="1:14" x14ac:dyDescent="0.35">
      <c r="A4093">
        <v>4092</v>
      </c>
      <c r="B4093" t="s">
        <v>12</v>
      </c>
      <c r="C4093">
        <v>37</v>
      </c>
      <c r="D4093" t="s">
        <v>13</v>
      </c>
      <c r="E4093" t="s">
        <v>22</v>
      </c>
      <c r="F4093">
        <v>278</v>
      </c>
      <c r="G4093">
        <v>19</v>
      </c>
      <c r="H4093">
        <v>0.57999999999999996</v>
      </c>
      <c r="I4093" t="s">
        <v>15</v>
      </c>
      <c r="J4093">
        <v>0</v>
      </c>
      <c r="K4093">
        <v>1</v>
      </c>
      <c r="L4093">
        <v>0</v>
      </c>
      <c r="M4093">
        <f>VLOOKUP(Table1[[#This Row],[subscription_type]],Plans!$A$1:$B$5,2,FALSE)</f>
        <v>9.99</v>
      </c>
      <c r="N4093">
        <f t="shared" si="63"/>
        <v>0</v>
      </c>
    </row>
    <row r="4094" spans="1:14" x14ac:dyDescent="0.35">
      <c r="A4094">
        <v>4093</v>
      </c>
      <c r="B4094" t="s">
        <v>12</v>
      </c>
      <c r="C4094">
        <v>35</v>
      </c>
      <c r="D4094" t="s">
        <v>17</v>
      </c>
      <c r="E4094" t="s">
        <v>22</v>
      </c>
      <c r="F4094">
        <v>184</v>
      </c>
      <c r="G4094">
        <v>64</v>
      </c>
      <c r="H4094">
        <v>0.24</v>
      </c>
      <c r="I4094" t="s">
        <v>15</v>
      </c>
      <c r="J4094">
        <v>0</v>
      </c>
      <c r="K4094">
        <v>1</v>
      </c>
      <c r="L4094">
        <v>0</v>
      </c>
      <c r="M4094">
        <f>VLOOKUP(Table1[[#This Row],[subscription_type]],Plans!$A$1:$B$5,2,FALSE)</f>
        <v>9.99</v>
      </c>
      <c r="N4094">
        <f t="shared" si="63"/>
        <v>0</v>
      </c>
    </row>
    <row r="4095" spans="1:14" x14ac:dyDescent="0.35">
      <c r="A4095">
        <v>4094</v>
      </c>
      <c r="B4095" t="s">
        <v>20</v>
      </c>
      <c r="C4095">
        <v>40</v>
      </c>
      <c r="D4095" t="s">
        <v>21</v>
      </c>
      <c r="E4095" t="s">
        <v>14</v>
      </c>
      <c r="F4095">
        <v>121</v>
      </c>
      <c r="G4095">
        <v>2</v>
      </c>
      <c r="H4095">
        <v>0.53</v>
      </c>
      <c r="I4095" t="s">
        <v>15</v>
      </c>
      <c r="J4095">
        <v>38</v>
      </c>
      <c r="K4095">
        <v>0</v>
      </c>
      <c r="L4095">
        <v>0</v>
      </c>
      <c r="M4095">
        <f>VLOOKUP(Table1[[#This Row],[subscription_type]],Plans!$A$1:$B$5,2,FALSE)</f>
        <v>0</v>
      </c>
      <c r="N4095">
        <f t="shared" si="63"/>
        <v>0</v>
      </c>
    </row>
    <row r="4096" spans="1:14" x14ac:dyDescent="0.35">
      <c r="A4096">
        <v>4095</v>
      </c>
      <c r="B4096" t="s">
        <v>20</v>
      </c>
      <c r="C4096">
        <v>33</v>
      </c>
      <c r="D4096" t="s">
        <v>26</v>
      </c>
      <c r="E4096" t="s">
        <v>18</v>
      </c>
      <c r="F4096">
        <v>44</v>
      </c>
      <c r="G4096">
        <v>71</v>
      </c>
      <c r="H4096">
        <v>0.48</v>
      </c>
      <c r="I4096" t="s">
        <v>15</v>
      </c>
      <c r="J4096">
        <v>0</v>
      </c>
      <c r="K4096">
        <v>1</v>
      </c>
      <c r="L4096">
        <v>1</v>
      </c>
      <c r="M4096">
        <f>VLOOKUP(Table1[[#This Row],[subscription_type]],Plans!$A$1:$B$5,2,FALSE)</f>
        <v>14.99</v>
      </c>
      <c r="N4096">
        <f t="shared" si="63"/>
        <v>14.99</v>
      </c>
    </row>
    <row r="4097" spans="1:14" x14ac:dyDescent="0.35">
      <c r="A4097">
        <v>4096</v>
      </c>
      <c r="B4097" t="s">
        <v>16</v>
      </c>
      <c r="C4097">
        <v>34</v>
      </c>
      <c r="D4097" t="s">
        <v>17</v>
      </c>
      <c r="E4097" t="s">
        <v>24</v>
      </c>
      <c r="F4097">
        <v>147</v>
      </c>
      <c r="G4097">
        <v>59</v>
      </c>
      <c r="H4097">
        <v>0.15</v>
      </c>
      <c r="I4097" t="s">
        <v>23</v>
      </c>
      <c r="J4097">
        <v>0</v>
      </c>
      <c r="K4097">
        <v>1</v>
      </c>
      <c r="L4097">
        <v>1</v>
      </c>
      <c r="M4097">
        <f>VLOOKUP(Table1[[#This Row],[subscription_type]],Plans!$A$1:$B$5,2,FALSE)</f>
        <v>4.99</v>
      </c>
      <c r="N4097">
        <f t="shared" si="63"/>
        <v>4.99</v>
      </c>
    </row>
    <row r="4098" spans="1:14" x14ac:dyDescent="0.35">
      <c r="A4098">
        <v>4097</v>
      </c>
      <c r="B4098" t="s">
        <v>16</v>
      </c>
      <c r="C4098">
        <v>38</v>
      </c>
      <c r="D4098" t="s">
        <v>17</v>
      </c>
      <c r="E4098" t="s">
        <v>22</v>
      </c>
      <c r="F4098">
        <v>165</v>
      </c>
      <c r="G4098">
        <v>39</v>
      </c>
      <c r="H4098">
        <v>0.55000000000000004</v>
      </c>
      <c r="I4098" t="s">
        <v>19</v>
      </c>
      <c r="J4098">
        <v>0</v>
      </c>
      <c r="K4098">
        <v>1</v>
      </c>
      <c r="L4098">
        <v>1</v>
      </c>
      <c r="M4098">
        <f>VLOOKUP(Table1[[#This Row],[subscription_type]],Plans!$A$1:$B$5,2,FALSE)</f>
        <v>9.99</v>
      </c>
      <c r="N4098">
        <f t="shared" ref="N4098:N4161" si="64">IF(L4098=1, M4098,0)</f>
        <v>9.99</v>
      </c>
    </row>
    <row r="4099" spans="1:14" x14ac:dyDescent="0.35">
      <c r="A4099">
        <v>4098</v>
      </c>
      <c r="B4099" t="s">
        <v>12</v>
      </c>
      <c r="C4099">
        <v>27</v>
      </c>
      <c r="D4099" t="s">
        <v>17</v>
      </c>
      <c r="E4099" t="s">
        <v>18</v>
      </c>
      <c r="F4099">
        <v>38</v>
      </c>
      <c r="G4099">
        <v>25</v>
      </c>
      <c r="H4099">
        <v>0.55000000000000004</v>
      </c>
      <c r="I4099" t="s">
        <v>23</v>
      </c>
      <c r="J4099">
        <v>0</v>
      </c>
      <c r="K4099">
        <v>1</v>
      </c>
      <c r="L4099">
        <v>0</v>
      </c>
      <c r="M4099">
        <f>VLOOKUP(Table1[[#This Row],[subscription_type]],Plans!$A$1:$B$5,2,FALSE)</f>
        <v>14.99</v>
      </c>
      <c r="N4099">
        <f t="shared" si="64"/>
        <v>0</v>
      </c>
    </row>
    <row r="4100" spans="1:14" x14ac:dyDescent="0.35">
      <c r="A4100">
        <v>4099</v>
      </c>
      <c r="B4100" t="s">
        <v>16</v>
      </c>
      <c r="C4100">
        <v>58</v>
      </c>
      <c r="D4100" t="s">
        <v>17</v>
      </c>
      <c r="E4100" t="s">
        <v>24</v>
      </c>
      <c r="F4100">
        <v>11</v>
      </c>
      <c r="G4100">
        <v>71</v>
      </c>
      <c r="H4100">
        <v>0.56000000000000005</v>
      </c>
      <c r="I4100" t="s">
        <v>15</v>
      </c>
      <c r="J4100">
        <v>0</v>
      </c>
      <c r="K4100">
        <v>1</v>
      </c>
      <c r="L4100">
        <v>0</v>
      </c>
      <c r="M4100">
        <f>VLOOKUP(Table1[[#This Row],[subscription_type]],Plans!$A$1:$B$5,2,FALSE)</f>
        <v>4.99</v>
      </c>
      <c r="N4100">
        <f t="shared" si="64"/>
        <v>0</v>
      </c>
    </row>
    <row r="4101" spans="1:14" x14ac:dyDescent="0.35">
      <c r="A4101">
        <v>4100</v>
      </c>
      <c r="B4101" t="s">
        <v>20</v>
      </c>
      <c r="C4101">
        <v>19</v>
      </c>
      <c r="D4101" t="s">
        <v>27</v>
      </c>
      <c r="E4101" t="s">
        <v>14</v>
      </c>
      <c r="F4101">
        <v>87</v>
      </c>
      <c r="G4101">
        <v>66</v>
      </c>
      <c r="H4101">
        <v>0.43</v>
      </c>
      <c r="I4101" t="s">
        <v>19</v>
      </c>
      <c r="J4101">
        <v>34</v>
      </c>
      <c r="K4101">
        <v>0</v>
      </c>
      <c r="L4101">
        <v>0</v>
      </c>
      <c r="M4101">
        <f>VLOOKUP(Table1[[#This Row],[subscription_type]],Plans!$A$1:$B$5,2,FALSE)</f>
        <v>0</v>
      </c>
      <c r="N4101">
        <f t="shared" si="64"/>
        <v>0</v>
      </c>
    </row>
    <row r="4102" spans="1:14" x14ac:dyDescent="0.35">
      <c r="A4102">
        <v>4101</v>
      </c>
      <c r="B4102" t="s">
        <v>16</v>
      </c>
      <c r="C4102">
        <v>19</v>
      </c>
      <c r="D4102" t="s">
        <v>27</v>
      </c>
      <c r="E4102" t="s">
        <v>22</v>
      </c>
      <c r="F4102">
        <v>63</v>
      </c>
      <c r="G4102">
        <v>61</v>
      </c>
      <c r="H4102">
        <v>0.1</v>
      </c>
      <c r="I4102" t="s">
        <v>15</v>
      </c>
      <c r="J4102">
        <v>0</v>
      </c>
      <c r="K4102">
        <v>1</v>
      </c>
      <c r="L4102">
        <v>0</v>
      </c>
      <c r="M4102">
        <f>VLOOKUP(Table1[[#This Row],[subscription_type]],Plans!$A$1:$B$5,2,FALSE)</f>
        <v>9.99</v>
      </c>
      <c r="N4102">
        <f t="shared" si="64"/>
        <v>0</v>
      </c>
    </row>
    <row r="4103" spans="1:14" x14ac:dyDescent="0.35">
      <c r="A4103">
        <v>4102</v>
      </c>
      <c r="B4103" t="s">
        <v>12</v>
      </c>
      <c r="C4103">
        <v>25</v>
      </c>
      <c r="D4103" t="s">
        <v>28</v>
      </c>
      <c r="E4103" t="s">
        <v>24</v>
      </c>
      <c r="F4103">
        <v>241</v>
      </c>
      <c r="G4103">
        <v>18</v>
      </c>
      <c r="H4103">
        <v>0.14000000000000001</v>
      </c>
      <c r="I4103" t="s">
        <v>15</v>
      </c>
      <c r="J4103">
        <v>0</v>
      </c>
      <c r="K4103">
        <v>1</v>
      </c>
      <c r="L4103">
        <v>0</v>
      </c>
      <c r="M4103">
        <f>VLOOKUP(Table1[[#This Row],[subscription_type]],Plans!$A$1:$B$5,2,FALSE)</f>
        <v>4.99</v>
      </c>
      <c r="N4103">
        <f t="shared" si="64"/>
        <v>0</v>
      </c>
    </row>
    <row r="4104" spans="1:14" x14ac:dyDescent="0.35">
      <c r="A4104">
        <v>4103</v>
      </c>
      <c r="B4104" t="s">
        <v>12</v>
      </c>
      <c r="C4104">
        <v>56</v>
      </c>
      <c r="D4104" t="s">
        <v>27</v>
      </c>
      <c r="E4104" t="s">
        <v>24</v>
      </c>
      <c r="F4104">
        <v>92</v>
      </c>
      <c r="G4104">
        <v>47</v>
      </c>
      <c r="H4104">
        <v>0.17</v>
      </c>
      <c r="I4104" t="s">
        <v>15</v>
      </c>
      <c r="J4104">
        <v>0</v>
      </c>
      <c r="K4104">
        <v>1</v>
      </c>
      <c r="L4104">
        <v>1</v>
      </c>
      <c r="M4104">
        <f>VLOOKUP(Table1[[#This Row],[subscription_type]],Plans!$A$1:$B$5,2,FALSE)</f>
        <v>4.99</v>
      </c>
      <c r="N4104">
        <f t="shared" si="64"/>
        <v>4.99</v>
      </c>
    </row>
    <row r="4105" spans="1:14" x14ac:dyDescent="0.35">
      <c r="A4105">
        <v>4104</v>
      </c>
      <c r="B4105" t="s">
        <v>12</v>
      </c>
      <c r="C4105">
        <v>25</v>
      </c>
      <c r="D4105" t="s">
        <v>29</v>
      </c>
      <c r="E4105" t="s">
        <v>14</v>
      </c>
      <c r="F4105">
        <v>262</v>
      </c>
      <c r="G4105">
        <v>9</v>
      </c>
      <c r="H4105">
        <v>0.02</v>
      </c>
      <c r="I4105" t="s">
        <v>23</v>
      </c>
      <c r="J4105">
        <v>35</v>
      </c>
      <c r="K4105">
        <v>0</v>
      </c>
      <c r="L4105">
        <v>0</v>
      </c>
      <c r="M4105">
        <f>VLOOKUP(Table1[[#This Row],[subscription_type]],Plans!$A$1:$B$5,2,FALSE)</f>
        <v>0</v>
      </c>
      <c r="N4105">
        <f t="shared" si="64"/>
        <v>0</v>
      </c>
    </row>
    <row r="4106" spans="1:14" x14ac:dyDescent="0.35">
      <c r="A4106">
        <v>4105</v>
      </c>
      <c r="B4106" t="s">
        <v>16</v>
      </c>
      <c r="C4106">
        <v>51</v>
      </c>
      <c r="D4106" t="s">
        <v>17</v>
      </c>
      <c r="E4106" t="s">
        <v>18</v>
      </c>
      <c r="F4106">
        <v>253</v>
      </c>
      <c r="G4106">
        <v>1</v>
      </c>
      <c r="H4106">
        <v>0.01</v>
      </c>
      <c r="I4106" t="s">
        <v>15</v>
      </c>
      <c r="J4106">
        <v>0</v>
      </c>
      <c r="K4106">
        <v>1</v>
      </c>
      <c r="L4106">
        <v>0</v>
      </c>
      <c r="M4106">
        <f>VLOOKUP(Table1[[#This Row],[subscription_type]],Plans!$A$1:$B$5,2,FALSE)</f>
        <v>14.99</v>
      </c>
      <c r="N4106">
        <f t="shared" si="64"/>
        <v>0</v>
      </c>
    </row>
    <row r="4107" spans="1:14" x14ac:dyDescent="0.35">
      <c r="A4107">
        <v>4106</v>
      </c>
      <c r="B4107" t="s">
        <v>16</v>
      </c>
      <c r="C4107">
        <v>17</v>
      </c>
      <c r="D4107" t="s">
        <v>13</v>
      </c>
      <c r="E4107" t="s">
        <v>14</v>
      </c>
      <c r="F4107">
        <v>270</v>
      </c>
      <c r="G4107">
        <v>27</v>
      </c>
      <c r="H4107">
        <v>0.43</v>
      </c>
      <c r="I4107" t="s">
        <v>23</v>
      </c>
      <c r="J4107">
        <v>44</v>
      </c>
      <c r="K4107">
        <v>0</v>
      </c>
      <c r="L4107">
        <v>0</v>
      </c>
      <c r="M4107">
        <f>VLOOKUP(Table1[[#This Row],[subscription_type]],Plans!$A$1:$B$5,2,FALSE)</f>
        <v>0</v>
      </c>
      <c r="N4107">
        <f t="shared" si="64"/>
        <v>0</v>
      </c>
    </row>
    <row r="4108" spans="1:14" x14ac:dyDescent="0.35">
      <c r="A4108">
        <v>4107</v>
      </c>
      <c r="B4108" t="s">
        <v>16</v>
      </c>
      <c r="C4108">
        <v>16</v>
      </c>
      <c r="D4108" t="s">
        <v>25</v>
      </c>
      <c r="E4108" t="s">
        <v>14</v>
      </c>
      <c r="F4108">
        <v>248</v>
      </c>
      <c r="G4108">
        <v>60</v>
      </c>
      <c r="H4108">
        <v>0.09</v>
      </c>
      <c r="I4108" t="s">
        <v>15</v>
      </c>
      <c r="J4108">
        <v>32</v>
      </c>
      <c r="K4108">
        <v>0</v>
      </c>
      <c r="L4108">
        <v>0</v>
      </c>
      <c r="M4108">
        <f>VLOOKUP(Table1[[#This Row],[subscription_type]],Plans!$A$1:$B$5,2,FALSE)</f>
        <v>0</v>
      </c>
      <c r="N4108">
        <f t="shared" si="64"/>
        <v>0</v>
      </c>
    </row>
    <row r="4109" spans="1:14" x14ac:dyDescent="0.35">
      <c r="A4109">
        <v>4108</v>
      </c>
      <c r="B4109" t="s">
        <v>20</v>
      </c>
      <c r="C4109">
        <v>48</v>
      </c>
      <c r="D4109" t="s">
        <v>13</v>
      </c>
      <c r="E4109" t="s">
        <v>18</v>
      </c>
      <c r="F4109">
        <v>156</v>
      </c>
      <c r="G4109">
        <v>5</v>
      </c>
      <c r="H4109">
        <v>0.16</v>
      </c>
      <c r="I4109" t="s">
        <v>23</v>
      </c>
      <c r="J4109">
        <v>0</v>
      </c>
      <c r="K4109">
        <v>1</v>
      </c>
      <c r="L4109">
        <v>0</v>
      </c>
      <c r="M4109">
        <f>VLOOKUP(Table1[[#This Row],[subscription_type]],Plans!$A$1:$B$5,2,FALSE)</f>
        <v>14.99</v>
      </c>
      <c r="N4109">
        <f t="shared" si="64"/>
        <v>0</v>
      </c>
    </row>
    <row r="4110" spans="1:14" x14ac:dyDescent="0.35">
      <c r="A4110">
        <v>4109</v>
      </c>
      <c r="B4110" t="s">
        <v>12</v>
      </c>
      <c r="C4110">
        <v>59</v>
      </c>
      <c r="D4110" t="s">
        <v>28</v>
      </c>
      <c r="E4110" t="s">
        <v>14</v>
      </c>
      <c r="F4110">
        <v>225</v>
      </c>
      <c r="G4110">
        <v>77</v>
      </c>
      <c r="H4110">
        <v>0.55000000000000004</v>
      </c>
      <c r="I4110" t="s">
        <v>23</v>
      </c>
      <c r="J4110">
        <v>27</v>
      </c>
      <c r="K4110">
        <v>0</v>
      </c>
      <c r="L4110">
        <v>0</v>
      </c>
      <c r="M4110">
        <f>VLOOKUP(Table1[[#This Row],[subscription_type]],Plans!$A$1:$B$5,2,FALSE)</f>
        <v>0</v>
      </c>
      <c r="N4110">
        <f t="shared" si="64"/>
        <v>0</v>
      </c>
    </row>
    <row r="4111" spans="1:14" x14ac:dyDescent="0.35">
      <c r="A4111">
        <v>4110</v>
      </c>
      <c r="B4111" t="s">
        <v>20</v>
      </c>
      <c r="C4111">
        <v>39</v>
      </c>
      <c r="D4111" t="s">
        <v>26</v>
      </c>
      <c r="E4111" t="s">
        <v>24</v>
      </c>
      <c r="F4111">
        <v>84</v>
      </c>
      <c r="G4111">
        <v>41</v>
      </c>
      <c r="H4111">
        <v>0.45</v>
      </c>
      <c r="I4111" t="s">
        <v>23</v>
      </c>
      <c r="J4111">
        <v>0</v>
      </c>
      <c r="K4111">
        <v>1</v>
      </c>
      <c r="L4111">
        <v>0</v>
      </c>
      <c r="M4111">
        <f>VLOOKUP(Table1[[#This Row],[subscription_type]],Plans!$A$1:$B$5,2,FALSE)</f>
        <v>4.99</v>
      </c>
      <c r="N4111">
        <f t="shared" si="64"/>
        <v>0</v>
      </c>
    </row>
    <row r="4112" spans="1:14" x14ac:dyDescent="0.35">
      <c r="A4112">
        <v>4111</v>
      </c>
      <c r="B4112" t="s">
        <v>16</v>
      </c>
      <c r="C4112">
        <v>20</v>
      </c>
      <c r="D4112" t="s">
        <v>13</v>
      </c>
      <c r="E4112" t="s">
        <v>22</v>
      </c>
      <c r="F4112">
        <v>215</v>
      </c>
      <c r="G4112">
        <v>68</v>
      </c>
      <c r="H4112">
        <v>0.4</v>
      </c>
      <c r="I4112" t="s">
        <v>19</v>
      </c>
      <c r="J4112">
        <v>0</v>
      </c>
      <c r="K4112">
        <v>1</v>
      </c>
      <c r="L4112">
        <v>0</v>
      </c>
      <c r="M4112">
        <f>VLOOKUP(Table1[[#This Row],[subscription_type]],Plans!$A$1:$B$5,2,FALSE)</f>
        <v>9.99</v>
      </c>
      <c r="N4112">
        <f t="shared" si="64"/>
        <v>0</v>
      </c>
    </row>
    <row r="4113" spans="1:14" x14ac:dyDescent="0.35">
      <c r="A4113">
        <v>4112</v>
      </c>
      <c r="B4113" t="s">
        <v>20</v>
      </c>
      <c r="C4113">
        <v>39</v>
      </c>
      <c r="D4113" t="s">
        <v>26</v>
      </c>
      <c r="E4113" t="s">
        <v>24</v>
      </c>
      <c r="F4113">
        <v>180</v>
      </c>
      <c r="G4113">
        <v>32</v>
      </c>
      <c r="H4113">
        <v>0.23</v>
      </c>
      <c r="I4113" t="s">
        <v>15</v>
      </c>
      <c r="J4113">
        <v>0</v>
      </c>
      <c r="K4113">
        <v>1</v>
      </c>
      <c r="L4113">
        <v>0</v>
      </c>
      <c r="M4113">
        <f>VLOOKUP(Table1[[#This Row],[subscription_type]],Plans!$A$1:$B$5,2,FALSE)</f>
        <v>4.99</v>
      </c>
      <c r="N4113">
        <f t="shared" si="64"/>
        <v>0</v>
      </c>
    </row>
    <row r="4114" spans="1:14" x14ac:dyDescent="0.35">
      <c r="A4114">
        <v>4113</v>
      </c>
      <c r="B4114" t="s">
        <v>16</v>
      </c>
      <c r="C4114">
        <v>24</v>
      </c>
      <c r="D4114" t="s">
        <v>25</v>
      </c>
      <c r="E4114" t="s">
        <v>22</v>
      </c>
      <c r="F4114">
        <v>88</v>
      </c>
      <c r="G4114">
        <v>55</v>
      </c>
      <c r="H4114">
        <v>0.47</v>
      </c>
      <c r="I4114" t="s">
        <v>19</v>
      </c>
      <c r="J4114">
        <v>0</v>
      </c>
      <c r="K4114">
        <v>1</v>
      </c>
      <c r="L4114">
        <v>0</v>
      </c>
      <c r="M4114">
        <f>VLOOKUP(Table1[[#This Row],[subscription_type]],Plans!$A$1:$B$5,2,FALSE)</f>
        <v>9.99</v>
      </c>
      <c r="N4114">
        <f t="shared" si="64"/>
        <v>0</v>
      </c>
    </row>
    <row r="4115" spans="1:14" x14ac:dyDescent="0.35">
      <c r="A4115">
        <v>4114</v>
      </c>
      <c r="B4115" t="s">
        <v>20</v>
      </c>
      <c r="C4115">
        <v>34</v>
      </c>
      <c r="D4115" t="s">
        <v>13</v>
      </c>
      <c r="E4115" t="s">
        <v>24</v>
      </c>
      <c r="F4115">
        <v>157</v>
      </c>
      <c r="G4115">
        <v>83</v>
      </c>
      <c r="H4115">
        <v>0.05</v>
      </c>
      <c r="I4115" t="s">
        <v>23</v>
      </c>
      <c r="J4115">
        <v>0</v>
      </c>
      <c r="K4115">
        <v>1</v>
      </c>
      <c r="L4115">
        <v>0</v>
      </c>
      <c r="M4115">
        <f>VLOOKUP(Table1[[#This Row],[subscription_type]],Plans!$A$1:$B$5,2,FALSE)</f>
        <v>4.99</v>
      </c>
      <c r="N4115">
        <f t="shared" si="64"/>
        <v>0</v>
      </c>
    </row>
    <row r="4116" spans="1:14" x14ac:dyDescent="0.35">
      <c r="A4116">
        <v>4115</v>
      </c>
      <c r="B4116" t="s">
        <v>20</v>
      </c>
      <c r="C4116">
        <v>38</v>
      </c>
      <c r="D4116" t="s">
        <v>25</v>
      </c>
      <c r="E4116" t="s">
        <v>22</v>
      </c>
      <c r="F4116">
        <v>156</v>
      </c>
      <c r="G4116">
        <v>92</v>
      </c>
      <c r="H4116">
        <v>0.11</v>
      </c>
      <c r="I4116" t="s">
        <v>15</v>
      </c>
      <c r="J4116">
        <v>0</v>
      </c>
      <c r="K4116">
        <v>1</v>
      </c>
      <c r="L4116">
        <v>1</v>
      </c>
      <c r="M4116">
        <f>VLOOKUP(Table1[[#This Row],[subscription_type]],Plans!$A$1:$B$5,2,FALSE)</f>
        <v>9.99</v>
      </c>
      <c r="N4116">
        <f t="shared" si="64"/>
        <v>9.99</v>
      </c>
    </row>
    <row r="4117" spans="1:14" x14ac:dyDescent="0.35">
      <c r="A4117">
        <v>4116</v>
      </c>
      <c r="B4117" t="s">
        <v>12</v>
      </c>
      <c r="C4117">
        <v>52</v>
      </c>
      <c r="D4117" t="s">
        <v>29</v>
      </c>
      <c r="E4117" t="s">
        <v>14</v>
      </c>
      <c r="F4117">
        <v>250</v>
      </c>
      <c r="G4117">
        <v>70</v>
      </c>
      <c r="H4117">
        <v>0.48</v>
      </c>
      <c r="I4117" t="s">
        <v>19</v>
      </c>
      <c r="J4117">
        <v>43</v>
      </c>
      <c r="K4117">
        <v>0</v>
      </c>
      <c r="L4117">
        <v>1</v>
      </c>
      <c r="M4117">
        <f>VLOOKUP(Table1[[#This Row],[subscription_type]],Plans!$A$1:$B$5,2,FALSE)</f>
        <v>0</v>
      </c>
      <c r="N4117">
        <f t="shared" si="64"/>
        <v>0</v>
      </c>
    </row>
    <row r="4118" spans="1:14" x14ac:dyDescent="0.35">
      <c r="A4118">
        <v>4117</v>
      </c>
      <c r="B4118" t="s">
        <v>12</v>
      </c>
      <c r="C4118">
        <v>21</v>
      </c>
      <c r="D4118" t="s">
        <v>27</v>
      </c>
      <c r="E4118" t="s">
        <v>24</v>
      </c>
      <c r="F4118">
        <v>143</v>
      </c>
      <c r="G4118">
        <v>40</v>
      </c>
      <c r="H4118">
        <v>0.17</v>
      </c>
      <c r="I4118" t="s">
        <v>15</v>
      </c>
      <c r="J4118">
        <v>0</v>
      </c>
      <c r="K4118">
        <v>1</v>
      </c>
      <c r="L4118">
        <v>0</v>
      </c>
      <c r="M4118">
        <f>VLOOKUP(Table1[[#This Row],[subscription_type]],Plans!$A$1:$B$5,2,FALSE)</f>
        <v>4.99</v>
      </c>
      <c r="N4118">
        <f t="shared" si="64"/>
        <v>0</v>
      </c>
    </row>
    <row r="4119" spans="1:14" x14ac:dyDescent="0.35">
      <c r="A4119">
        <v>4118</v>
      </c>
      <c r="B4119" t="s">
        <v>16</v>
      </c>
      <c r="C4119">
        <v>44</v>
      </c>
      <c r="D4119" t="s">
        <v>21</v>
      </c>
      <c r="E4119" t="s">
        <v>18</v>
      </c>
      <c r="F4119">
        <v>39</v>
      </c>
      <c r="G4119">
        <v>8</v>
      </c>
      <c r="H4119">
        <v>0.56000000000000005</v>
      </c>
      <c r="I4119" t="s">
        <v>15</v>
      </c>
      <c r="J4119">
        <v>0</v>
      </c>
      <c r="K4119">
        <v>1</v>
      </c>
      <c r="L4119">
        <v>1</v>
      </c>
      <c r="M4119">
        <f>VLOOKUP(Table1[[#This Row],[subscription_type]],Plans!$A$1:$B$5,2,FALSE)</f>
        <v>14.99</v>
      </c>
      <c r="N4119">
        <f t="shared" si="64"/>
        <v>14.99</v>
      </c>
    </row>
    <row r="4120" spans="1:14" x14ac:dyDescent="0.35">
      <c r="A4120">
        <v>4119</v>
      </c>
      <c r="B4120" t="s">
        <v>16</v>
      </c>
      <c r="C4120">
        <v>17</v>
      </c>
      <c r="D4120" t="s">
        <v>25</v>
      </c>
      <c r="E4120" t="s">
        <v>22</v>
      </c>
      <c r="F4120">
        <v>273</v>
      </c>
      <c r="G4120">
        <v>32</v>
      </c>
      <c r="H4120">
        <v>0.21</v>
      </c>
      <c r="I4120" t="s">
        <v>19</v>
      </c>
      <c r="J4120">
        <v>0</v>
      </c>
      <c r="K4120">
        <v>1</v>
      </c>
      <c r="L4120">
        <v>0</v>
      </c>
      <c r="M4120">
        <f>VLOOKUP(Table1[[#This Row],[subscription_type]],Plans!$A$1:$B$5,2,FALSE)</f>
        <v>9.99</v>
      </c>
      <c r="N4120">
        <f t="shared" si="64"/>
        <v>0</v>
      </c>
    </row>
    <row r="4121" spans="1:14" x14ac:dyDescent="0.35">
      <c r="A4121">
        <v>4120</v>
      </c>
      <c r="B4121" t="s">
        <v>20</v>
      </c>
      <c r="C4121">
        <v>43</v>
      </c>
      <c r="D4121" t="s">
        <v>21</v>
      </c>
      <c r="E4121" t="s">
        <v>22</v>
      </c>
      <c r="F4121">
        <v>250</v>
      </c>
      <c r="G4121">
        <v>8</v>
      </c>
      <c r="H4121">
        <v>0.39</v>
      </c>
      <c r="I4121" t="s">
        <v>23</v>
      </c>
      <c r="J4121">
        <v>0</v>
      </c>
      <c r="K4121">
        <v>1</v>
      </c>
      <c r="L4121">
        <v>0</v>
      </c>
      <c r="M4121">
        <f>VLOOKUP(Table1[[#This Row],[subscription_type]],Plans!$A$1:$B$5,2,FALSE)</f>
        <v>9.99</v>
      </c>
      <c r="N4121">
        <f t="shared" si="64"/>
        <v>0</v>
      </c>
    </row>
    <row r="4122" spans="1:14" x14ac:dyDescent="0.35">
      <c r="A4122">
        <v>4121</v>
      </c>
      <c r="B4122" t="s">
        <v>12</v>
      </c>
      <c r="C4122">
        <v>30</v>
      </c>
      <c r="D4122" t="s">
        <v>17</v>
      </c>
      <c r="E4122" t="s">
        <v>18</v>
      </c>
      <c r="F4122">
        <v>159</v>
      </c>
      <c r="G4122">
        <v>18</v>
      </c>
      <c r="H4122">
        <v>0.5</v>
      </c>
      <c r="I4122" t="s">
        <v>23</v>
      </c>
      <c r="J4122">
        <v>0</v>
      </c>
      <c r="K4122">
        <v>1</v>
      </c>
      <c r="L4122">
        <v>0</v>
      </c>
      <c r="M4122">
        <f>VLOOKUP(Table1[[#This Row],[subscription_type]],Plans!$A$1:$B$5,2,FALSE)</f>
        <v>14.99</v>
      </c>
      <c r="N4122">
        <f t="shared" si="64"/>
        <v>0</v>
      </c>
    </row>
    <row r="4123" spans="1:14" x14ac:dyDescent="0.35">
      <c r="A4123">
        <v>4122</v>
      </c>
      <c r="B4123" t="s">
        <v>20</v>
      </c>
      <c r="C4123">
        <v>20</v>
      </c>
      <c r="D4123" t="s">
        <v>27</v>
      </c>
      <c r="E4123" t="s">
        <v>24</v>
      </c>
      <c r="F4123">
        <v>237</v>
      </c>
      <c r="G4123">
        <v>27</v>
      </c>
      <c r="H4123">
        <v>0.42</v>
      </c>
      <c r="I4123" t="s">
        <v>19</v>
      </c>
      <c r="J4123">
        <v>0</v>
      </c>
      <c r="K4123">
        <v>1</v>
      </c>
      <c r="L4123">
        <v>0</v>
      </c>
      <c r="M4123">
        <f>VLOOKUP(Table1[[#This Row],[subscription_type]],Plans!$A$1:$B$5,2,FALSE)</f>
        <v>4.99</v>
      </c>
      <c r="N4123">
        <f t="shared" si="64"/>
        <v>0</v>
      </c>
    </row>
    <row r="4124" spans="1:14" x14ac:dyDescent="0.35">
      <c r="A4124">
        <v>4123</v>
      </c>
      <c r="B4124" t="s">
        <v>16</v>
      </c>
      <c r="C4124">
        <v>47</v>
      </c>
      <c r="D4124" t="s">
        <v>21</v>
      </c>
      <c r="E4124" t="s">
        <v>24</v>
      </c>
      <c r="F4124">
        <v>55</v>
      </c>
      <c r="G4124">
        <v>73</v>
      </c>
      <c r="H4124">
        <v>0.41</v>
      </c>
      <c r="I4124" t="s">
        <v>15</v>
      </c>
      <c r="J4124">
        <v>0</v>
      </c>
      <c r="K4124">
        <v>1</v>
      </c>
      <c r="L4124">
        <v>1</v>
      </c>
      <c r="M4124">
        <f>VLOOKUP(Table1[[#This Row],[subscription_type]],Plans!$A$1:$B$5,2,FALSE)</f>
        <v>4.99</v>
      </c>
      <c r="N4124">
        <f t="shared" si="64"/>
        <v>4.99</v>
      </c>
    </row>
    <row r="4125" spans="1:14" x14ac:dyDescent="0.35">
      <c r="A4125">
        <v>4124</v>
      </c>
      <c r="B4125" t="s">
        <v>20</v>
      </c>
      <c r="C4125">
        <v>55</v>
      </c>
      <c r="D4125" t="s">
        <v>21</v>
      </c>
      <c r="E4125" t="s">
        <v>14</v>
      </c>
      <c r="F4125">
        <v>79</v>
      </c>
      <c r="G4125">
        <v>55</v>
      </c>
      <c r="H4125">
        <v>0.1</v>
      </c>
      <c r="I4125" t="s">
        <v>23</v>
      </c>
      <c r="J4125">
        <v>47</v>
      </c>
      <c r="K4125">
        <v>0</v>
      </c>
      <c r="L4125">
        <v>0</v>
      </c>
      <c r="M4125">
        <f>VLOOKUP(Table1[[#This Row],[subscription_type]],Plans!$A$1:$B$5,2,FALSE)</f>
        <v>0</v>
      </c>
      <c r="N4125">
        <f t="shared" si="64"/>
        <v>0</v>
      </c>
    </row>
    <row r="4126" spans="1:14" x14ac:dyDescent="0.35">
      <c r="A4126">
        <v>4125</v>
      </c>
      <c r="B4126" t="s">
        <v>12</v>
      </c>
      <c r="C4126">
        <v>34</v>
      </c>
      <c r="D4126" t="s">
        <v>29</v>
      </c>
      <c r="E4126" t="s">
        <v>24</v>
      </c>
      <c r="F4126">
        <v>272</v>
      </c>
      <c r="G4126">
        <v>48</v>
      </c>
      <c r="H4126">
        <v>0.5</v>
      </c>
      <c r="I4126" t="s">
        <v>23</v>
      </c>
      <c r="J4126">
        <v>0</v>
      </c>
      <c r="K4126">
        <v>1</v>
      </c>
      <c r="L4126">
        <v>0</v>
      </c>
      <c r="M4126">
        <f>VLOOKUP(Table1[[#This Row],[subscription_type]],Plans!$A$1:$B$5,2,FALSE)</f>
        <v>4.99</v>
      </c>
      <c r="N4126">
        <f t="shared" si="64"/>
        <v>0</v>
      </c>
    </row>
    <row r="4127" spans="1:14" x14ac:dyDescent="0.35">
      <c r="A4127">
        <v>4126</v>
      </c>
      <c r="B4127" t="s">
        <v>16</v>
      </c>
      <c r="C4127">
        <v>18</v>
      </c>
      <c r="D4127" t="s">
        <v>25</v>
      </c>
      <c r="E4127" t="s">
        <v>18</v>
      </c>
      <c r="F4127">
        <v>70</v>
      </c>
      <c r="G4127">
        <v>51</v>
      </c>
      <c r="H4127">
        <v>0.4</v>
      </c>
      <c r="I4127" t="s">
        <v>15</v>
      </c>
      <c r="J4127">
        <v>0</v>
      </c>
      <c r="K4127">
        <v>1</v>
      </c>
      <c r="L4127">
        <v>0</v>
      </c>
      <c r="M4127">
        <f>VLOOKUP(Table1[[#This Row],[subscription_type]],Plans!$A$1:$B$5,2,FALSE)</f>
        <v>14.99</v>
      </c>
      <c r="N4127">
        <f t="shared" si="64"/>
        <v>0</v>
      </c>
    </row>
    <row r="4128" spans="1:14" x14ac:dyDescent="0.35">
      <c r="A4128">
        <v>4127</v>
      </c>
      <c r="B4128" t="s">
        <v>20</v>
      </c>
      <c r="C4128">
        <v>42</v>
      </c>
      <c r="D4128" t="s">
        <v>17</v>
      </c>
      <c r="E4128" t="s">
        <v>14</v>
      </c>
      <c r="F4128">
        <v>234</v>
      </c>
      <c r="G4128">
        <v>16</v>
      </c>
      <c r="H4128">
        <v>0.13</v>
      </c>
      <c r="I4128" t="s">
        <v>23</v>
      </c>
      <c r="J4128">
        <v>16</v>
      </c>
      <c r="K4128">
        <v>0</v>
      </c>
      <c r="L4128">
        <v>0</v>
      </c>
      <c r="M4128">
        <f>VLOOKUP(Table1[[#This Row],[subscription_type]],Plans!$A$1:$B$5,2,FALSE)</f>
        <v>0</v>
      </c>
      <c r="N4128">
        <f t="shared" si="64"/>
        <v>0</v>
      </c>
    </row>
    <row r="4129" spans="1:14" x14ac:dyDescent="0.35">
      <c r="A4129">
        <v>4128</v>
      </c>
      <c r="B4129" t="s">
        <v>20</v>
      </c>
      <c r="C4129">
        <v>39</v>
      </c>
      <c r="D4129" t="s">
        <v>21</v>
      </c>
      <c r="E4129" t="s">
        <v>14</v>
      </c>
      <c r="F4129">
        <v>195</v>
      </c>
      <c r="G4129">
        <v>82</v>
      </c>
      <c r="H4129">
        <v>0.56999999999999995</v>
      </c>
      <c r="I4129" t="s">
        <v>23</v>
      </c>
      <c r="J4129">
        <v>44</v>
      </c>
      <c r="K4129">
        <v>0</v>
      </c>
      <c r="L4129">
        <v>0</v>
      </c>
      <c r="M4129">
        <f>VLOOKUP(Table1[[#This Row],[subscription_type]],Plans!$A$1:$B$5,2,FALSE)</f>
        <v>0</v>
      </c>
      <c r="N4129">
        <f t="shared" si="64"/>
        <v>0</v>
      </c>
    </row>
    <row r="4130" spans="1:14" x14ac:dyDescent="0.35">
      <c r="A4130">
        <v>4129</v>
      </c>
      <c r="B4130" t="s">
        <v>12</v>
      </c>
      <c r="C4130">
        <v>20</v>
      </c>
      <c r="D4130" t="s">
        <v>13</v>
      </c>
      <c r="E4130" t="s">
        <v>24</v>
      </c>
      <c r="F4130">
        <v>28</v>
      </c>
      <c r="G4130">
        <v>88</v>
      </c>
      <c r="H4130">
        <v>0.19</v>
      </c>
      <c r="I4130" t="s">
        <v>23</v>
      </c>
      <c r="J4130">
        <v>0</v>
      </c>
      <c r="K4130">
        <v>1</v>
      </c>
      <c r="L4130">
        <v>0</v>
      </c>
      <c r="M4130">
        <f>VLOOKUP(Table1[[#This Row],[subscription_type]],Plans!$A$1:$B$5,2,FALSE)</f>
        <v>4.99</v>
      </c>
      <c r="N4130">
        <f t="shared" si="64"/>
        <v>0</v>
      </c>
    </row>
    <row r="4131" spans="1:14" x14ac:dyDescent="0.35">
      <c r="A4131">
        <v>4130</v>
      </c>
      <c r="B4131" t="s">
        <v>20</v>
      </c>
      <c r="C4131">
        <v>39</v>
      </c>
      <c r="D4131" t="s">
        <v>26</v>
      </c>
      <c r="E4131" t="s">
        <v>24</v>
      </c>
      <c r="F4131">
        <v>38</v>
      </c>
      <c r="G4131">
        <v>28</v>
      </c>
      <c r="H4131">
        <v>0.02</v>
      </c>
      <c r="I4131" t="s">
        <v>15</v>
      </c>
      <c r="J4131">
        <v>0</v>
      </c>
      <c r="K4131">
        <v>1</v>
      </c>
      <c r="L4131">
        <v>0</v>
      </c>
      <c r="M4131">
        <f>VLOOKUP(Table1[[#This Row],[subscription_type]],Plans!$A$1:$B$5,2,FALSE)</f>
        <v>4.99</v>
      </c>
      <c r="N4131">
        <f t="shared" si="64"/>
        <v>0</v>
      </c>
    </row>
    <row r="4132" spans="1:14" x14ac:dyDescent="0.35">
      <c r="A4132">
        <v>4131</v>
      </c>
      <c r="B4132" t="s">
        <v>20</v>
      </c>
      <c r="C4132">
        <v>49</v>
      </c>
      <c r="D4132" t="s">
        <v>21</v>
      </c>
      <c r="E4132" t="s">
        <v>18</v>
      </c>
      <c r="F4132">
        <v>177</v>
      </c>
      <c r="G4132">
        <v>24</v>
      </c>
      <c r="H4132">
        <v>0.03</v>
      </c>
      <c r="I4132" t="s">
        <v>23</v>
      </c>
      <c r="J4132">
        <v>0</v>
      </c>
      <c r="K4132">
        <v>1</v>
      </c>
      <c r="L4132">
        <v>1</v>
      </c>
      <c r="M4132">
        <f>VLOOKUP(Table1[[#This Row],[subscription_type]],Plans!$A$1:$B$5,2,FALSE)</f>
        <v>14.99</v>
      </c>
      <c r="N4132">
        <f t="shared" si="64"/>
        <v>14.99</v>
      </c>
    </row>
    <row r="4133" spans="1:14" x14ac:dyDescent="0.35">
      <c r="A4133">
        <v>4132</v>
      </c>
      <c r="B4133" t="s">
        <v>16</v>
      </c>
      <c r="C4133">
        <v>17</v>
      </c>
      <c r="D4133" t="s">
        <v>28</v>
      </c>
      <c r="E4133" t="s">
        <v>24</v>
      </c>
      <c r="F4133">
        <v>290</v>
      </c>
      <c r="G4133">
        <v>88</v>
      </c>
      <c r="H4133">
        <v>0.57999999999999996</v>
      </c>
      <c r="I4133" t="s">
        <v>15</v>
      </c>
      <c r="J4133">
        <v>0</v>
      </c>
      <c r="K4133">
        <v>1</v>
      </c>
      <c r="L4133">
        <v>0</v>
      </c>
      <c r="M4133">
        <f>VLOOKUP(Table1[[#This Row],[subscription_type]],Plans!$A$1:$B$5,2,FALSE)</f>
        <v>4.99</v>
      </c>
      <c r="N4133">
        <f t="shared" si="64"/>
        <v>0</v>
      </c>
    </row>
    <row r="4134" spans="1:14" x14ac:dyDescent="0.35">
      <c r="A4134">
        <v>4133</v>
      </c>
      <c r="B4134" t="s">
        <v>16</v>
      </c>
      <c r="C4134">
        <v>30</v>
      </c>
      <c r="D4134" t="s">
        <v>26</v>
      </c>
      <c r="E4134" t="s">
        <v>14</v>
      </c>
      <c r="F4134">
        <v>243</v>
      </c>
      <c r="G4134">
        <v>14</v>
      </c>
      <c r="H4134">
        <v>0</v>
      </c>
      <c r="I4134" t="s">
        <v>19</v>
      </c>
      <c r="J4134">
        <v>25</v>
      </c>
      <c r="K4134">
        <v>0</v>
      </c>
      <c r="L4134">
        <v>0</v>
      </c>
      <c r="M4134">
        <f>VLOOKUP(Table1[[#This Row],[subscription_type]],Plans!$A$1:$B$5,2,FALSE)</f>
        <v>0</v>
      </c>
      <c r="N4134">
        <f t="shared" si="64"/>
        <v>0</v>
      </c>
    </row>
    <row r="4135" spans="1:14" x14ac:dyDescent="0.35">
      <c r="A4135">
        <v>4134</v>
      </c>
      <c r="B4135" t="s">
        <v>20</v>
      </c>
      <c r="C4135">
        <v>29</v>
      </c>
      <c r="D4135" t="s">
        <v>29</v>
      </c>
      <c r="E4135" t="s">
        <v>24</v>
      </c>
      <c r="F4135">
        <v>28</v>
      </c>
      <c r="G4135">
        <v>22</v>
      </c>
      <c r="H4135">
        <v>0.6</v>
      </c>
      <c r="I4135" t="s">
        <v>23</v>
      </c>
      <c r="J4135">
        <v>0</v>
      </c>
      <c r="K4135">
        <v>1</v>
      </c>
      <c r="L4135">
        <v>0</v>
      </c>
      <c r="M4135">
        <f>VLOOKUP(Table1[[#This Row],[subscription_type]],Plans!$A$1:$B$5,2,FALSE)</f>
        <v>4.99</v>
      </c>
      <c r="N4135">
        <f t="shared" si="64"/>
        <v>0</v>
      </c>
    </row>
    <row r="4136" spans="1:14" x14ac:dyDescent="0.35">
      <c r="A4136">
        <v>4135</v>
      </c>
      <c r="B4136" t="s">
        <v>12</v>
      </c>
      <c r="C4136">
        <v>27</v>
      </c>
      <c r="D4136" t="s">
        <v>26</v>
      </c>
      <c r="E4136" t="s">
        <v>18</v>
      </c>
      <c r="F4136">
        <v>45</v>
      </c>
      <c r="G4136">
        <v>9</v>
      </c>
      <c r="H4136">
        <v>0.21</v>
      </c>
      <c r="I4136" t="s">
        <v>23</v>
      </c>
      <c r="J4136">
        <v>0</v>
      </c>
      <c r="K4136">
        <v>1</v>
      </c>
      <c r="L4136">
        <v>0</v>
      </c>
      <c r="M4136">
        <f>VLOOKUP(Table1[[#This Row],[subscription_type]],Plans!$A$1:$B$5,2,FALSE)</f>
        <v>14.99</v>
      </c>
      <c r="N4136">
        <f t="shared" si="64"/>
        <v>0</v>
      </c>
    </row>
    <row r="4137" spans="1:14" x14ac:dyDescent="0.35">
      <c r="A4137">
        <v>4136</v>
      </c>
      <c r="B4137" t="s">
        <v>12</v>
      </c>
      <c r="C4137">
        <v>24</v>
      </c>
      <c r="D4137" t="s">
        <v>21</v>
      </c>
      <c r="E4137" t="s">
        <v>14</v>
      </c>
      <c r="F4137">
        <v>279</v>
      </c>
      <c r="G4137">
        <v>37</v>
      </c>
      <c r="H4137">
        <v>0.16</v>
      </c>
      <c r="I4137" t="s">
        <v>15</v>
      </c>
      <c r="J4137">
        <v>36</v>
      </c>
      <c r="K4137">
        <v>0</v>
      </c>
      <c r="L4137">
        <v>0</v>
      </c>
      <c r="M4137">
        <f>VLOOKUP(Table1[[#This Row],[subscription_type]],Plans!$A$1:$B$5,2,FALSE)</f>
        <v>0</v>
      </c>
      <c r="N4137">
        <f t="shared" si="64"/>
        <v>0</v>
      </c>
    </row>
    <row r="4138" spans="1:14" x14ac:dyDescent="0.35">
      <c r="A4138">
        <v>4137</v>
      </c>
      <c r="B4138" t="s">
        <v>16</v>
      </c>
      <c r="C4138">
        <v>35</v>
      </c>
      <c r="D4138" t="s">
        <v>25</v>
      </c>
      <c r="E4138" t="s">
        <v>24</v>
      </c>
      <c r="F4138">
        <v>164</v>
      </c>
      <c r="G4138">
        <v>60</v>
      </c>
      <c r="H4138">
        <v>0.49</v>
      </c>
      <c r="I4138" t="s">
        <v>15</v>
      </c>
      <c r="J4138">
        <v>0</v>
      </c>
      <c r="K4138">
        <v>1</v>
      </c>
      <c r="L4138">
        <v>1</v>
      </c>
      <c r="M4138">
        <f>VLOOKUP(Table1[[#This Row],[subscription_type]],Plans!$A$1:$B$5,2,FALSE)</f>
        <v>4.99</v>
      </c>
      <c r="N4138">
        <f t="shared" si="64"/>
        <v>4.99</v>
      </c>
    </row>
    <row r="4139" spans="1:14" x14ac:dyDescent="0.35">
      <c r="A4139">
        <v>4138</v>
      </c>
      <c r="B4139" t="s">
        <v>20</v>
      </c>
      <c r="C4139">
        <v>31</v>
      </c>
      <c r="D4139" t="s">
        <v>28</v>
      </c>
      <c r="E4139" t="s">
        <v>18</v>
      </c>
      <c r="F4139">
        <v>207</v>
      </c>
      <c r="G4139">
        <v>39</v>
      </c>
      <c r="H4139">
        <v>0.28000000000000003</v>
      </c>
      <c r="I4139" t="s">
        <v>19</v>
      </c>
      <c r="J4139">
        <v>0</v>
      </c>
      <c r="K4139">
        <v>1</v>
      </c>
      <c r="L4139">
        <v>0</v>
      </c>
      <c r="M4139">
        <f>VLOOKUP(Table1[[#This Row],[subscription_type]],Plans!$A$1:$B$5,2,FALSE)</f>
        <v>14.99</v>
      </c>
      <c r="N4139">
        <f t="shared" si="64"/>
        <v>0</v>
      </c>
    </row>
    <row r="4140" spans="1:14" x14ac:dyDescent="0.35">
      <c r="A4140">
        <v>4139</v>
      </c>
      <c r="B4140" t="s">
        <v>20</v>
      </c>
      <c r="C4140">
        <v>37</v>
      </c>
      <c r="D4140" t="s">
        <v>13</v>
      </c>
      <c r="E4140" t="s">
        <v>24</v>
      </c>
      <c r="F4140">
        <v>56</v>
      </c>
      <c r="G4140">
        <v>10</v>
      </c>
      <c r="H4140">
        <v>0.02</v>
      </c>
      <c r="I4140" t="s">
        <v>19</v>
      </c>
      <c r="J4140">
        <v>0</v>
      </c>
      <c r="K4140">
        <v>1</v>
      </c>
      <c r="L4140">
        <v>0</v>
      </c>
      <c r="M4140">
        <f>VLOOKUP(Table1[[#This Row],[subscription_type]],Plans!$A$1:$B$5,2,FALSE)</f>
        <v>4.99</v>
      </c>
      <c r="N4140">
        <f t="shared" si="64"/>
        <v>0</v>
      </c>
    </row>
    <row r="4141" spans="1:14" x14ac:dyDescent="0.35">
      <c r="A4141">
        <v>4140</v>
      </c>
      <c r="B4141" t="s">
        <v>20</v>
      </c>
      <c r="C4141">
        <v>23</v>
      </c>
      <c r="D4141" t="s">
        <v>26</v>
      </c>
      <c r="E4141" t="s">
        <v>22</v>
      </c>
      <c r="F4141">
        <v>268</v>
      </c>
      <c r="G4141">
        <v>56</v>
      </c>
      <c r="H4141">
        <v>0.53</v>
      </c>
      <c r="I4141" t="s">
        <v>23</v>
      </c>
      <c r="J4141">
        <v>0</v>
      </c>
      <c r="K4141">
        <v>1</v>
      </c>
      <c r="L4141">
        <v>0</v>
      </c>
      <c r="M4141">
        <f>VLOOKUP(Table1[[#This Row],[subscription_type]],Plans!$A$1:$B$5,2,FALSE)</f>
        <v>9.99</v>
      </c>
      <c r="N4141">
        <f t="shared" si="64"/>
        <v>0</v>
      </c>
    </row>
    <row r="4142" spans="1:14" x14ac:dyDescent="0.35">
      <c r="A4142">
        <v>4141</v>
      </c>
      <c r="B4142" t="s">
        <v>12</v>
      </c>
      <c r="C4142">
        <v>50</v>
      </c>
      <c r="D4142" t="s">
        <v>29</v>
      </c>
      <c r="E4142" t="s">
        <v>18</v>
      </c>
      <c r="F4142">
        <v>67</v>
      </c>
      <c r="G4142">
        <v>76</v>
      </c>
      <c r="H4142">
        <v>0.27</v>
      </c>
      <c r="I4142" t="s">
        <v>19</v>
      </c>
      <c r="J4142">
        <v>0</v>
      </c>
      <c r="K4142">
        <v>1</v>
      </c>
      <c r="L4142">
        <v>1</v>
      </c>
      <c r="M4142">
        <f>VLOOKUP(Table1[[#This Row],[subscription_type]],Plans!$A$1:$B$5,2,FALSE)</f>
        <v>14.99</v>
      </c>
      <c r="N4142">
        <f t="shared" si="64"/>
        <v>14.99</v>
      </c>
    </row>
    <row r="4143" spans="1:14" x14ac:dyDescent="0.35">
      <c r="A4143">
        <v>4142</v>
      </c>
      <c r="B4143" t="s">
        <v>20</v>
      </c>
      <c r="C4143">
        <v>34</v>
      </c>
      <c r="D4143" t="s">
        <v>27</v>
      </c>
      <c r="E4143" t="s">
        <v>14</v>
      </c>
      <c r="F4143">
        <v>114</v>
      </c>
      <c r="G4143">
        <v>41</v>
      </c>
      <c r="H4143">
        <v>0.05</v>
      </c>
      <c r="I4143" t="s">
        <v>15</v>
      </c>
      <c r="J4143">
        <v>36</v>
      </c>
      <c r="K4143">
        <v>0</v>
      </c>
      <c r="L4143">
        <v>0</v>
      </c>
      <c r="M4143">
        <f>VLOOKUP(Table1[[#This Row],[subscription_type]],Plans!$A$1:$B$5,2,FALSE)</f>
        <v>0</v>
      </c>
      <c r="N4143">
        <f t="shared" si="64"/>
        <v>0</v>
      </c>
    </row>
    <row r="4144" spans="1:14" x14ac:dyDescent="0.35">
      <c r="A4144">
        <v>4143</v>
      </c>
      <c r="B4144" t="s">
        <v>20</v>
      </c>
      <c r="C4144">
        <v>32</v>
      </c>
      <c r="D4144" t="s">
        <v>27</v>
      </c>
      <c r="E4144" t="s">
        <v>14</v>
      </c>
      <c r="F4144">
        <v>270</v>
      </c>
      <c r="G4144">
        <v>34</v>
      </c>
      <c r="H4144">
        <v>0.51</v>
      </c>
      <c r="I4144" t="s">
        <v>15</v>
      </c>
      <c r="J4144">
        <v>30</v>
      </c>
      <c r="K4144">
        <v>0</v>
      </c>
      <c r="L4144">
        <v>0</v>
      </c>
      <c r="M4144">
        <f>VLOOKUP(Table1[[#This Row],[subscription_type]],Plans!$A$1:$B$5,2,FALSE)</f>
        <v>0</v>
      </c>
      <c r="N4144">
        <f t="shared" si="64"/>
        <v>0</v>
      </c>
    </row>
    <row r="4145" spans="1:14" x14ac:dyDescent="0.35">
      <c r="A4145">
        <v>4144</v>
      </c>
      <c r="B4145" t="s">
        <v>12</v>
      </c>
      <c r="C4145">
        <v>25</v>
      </c>
      <c r="D4145" t="s">
        <v>21</v>
      </c>
      <c r="E4145" t="s">
        <v>24</v>
      </c>
      <c r="F4145">
        <v>199</v>
      </c>
      <c r="G4145">
        <v>90</v>
      </c>
      <c r="H4145">
        <v>0.51</v>
      </c>
      <c r="I4145" t="s">
        <v>23</v>
      </c>
      <c r="J4145">
        <v>0</v>
      </c>
      <c r="K4145">
        <v>1</v>
      </c>
      <c r="L4145">
        <v>1</v>
      </c>
      <c r="M4145">
        <f>VLOOKUP(Table1[[#This Row],[subscription_type]],Plans!$A$1:$B$5,2,FALSE)</f>
        <v>4.99</v>
      </c>
      <c r="N4145">
        <f t="shared" si="64"/>
        <v>4.99</v>
      </c>
    </row>
    <row r="4146" spans="1:14" x14ac:dyDescent="0.35">
      <c r="A4146">
        <v>4145</v>
      </c>
      <c r="B4146" t="s">
        <v>12</v>
      </c>
      <c r="C4146">
        <v>32</v>
      </c>
      <c r="D4146" t="s">
        <v>29</v>
      </c>
      <c r="E4146" t="s">
        <v>18</v>
      </c>
      <c r="F4146">
        <v>182</v>
      </c>
      <c r="G4146">
        <v>12</v>
      </c>
      <c r="H4146">
        <v>0.54</v>
      </c>
      <c r="I4146" t="s">
        <v>19</v>
      </c>
      <c r="J4146">
        <v>0</v>
      </c>
      <c r="K4146">
        <v>1</v>
      </c>
      <c r="L4146">
        <v>0</v>
      </c>
      <c r="M4146">
        <f>VLOOKUP(Table1[[#This Row],[subscription_type]],Plans!$A$1:$B$5,2,FALSE)</f>
        <v>14.99</v>
      </c>
      <c r="N4146">
        <f t="shared" si="64"/>
        <v>0</v>
      </c>
    </row>
    <row r="4147" spans="1:14" x14ac:dyDescent="0.35">
      <c r="A4147">
        <v>4146</v>
      </c>
      <c r="B4147" t="s">
        <v>20</v>
      </c>
      <c r="C4147">
        <v>51</v>
      </c>
      <c r="D4147" t="s">
        <v>27</v>
      </c>
      <c r="E4147" t="s">
        <v>18</v>
      </c>
      <c r="F4147">
        <v>203</v>
      </c>
      <c r="G4147">
        <v>84</v>
      </c>
      <c r="H4147">
        <v>0.53</v>
      </c>
      <c r="I4147" t="s">
        <v>19</v>
      </c>
      <c r="J4147">
        <v>0</v>
      </c>
      <c r="K4147">
        <v>1</v>
      </c>
      <c r="L4147">
        <v>0</v>
      </c>
      <c r="M4147">
        <f>VLOOKUP(Table1[[#This Row],[subscription_type]],Plans!$A$1:$B$5,2,FALSE)</f>
        <v>14.99</v>
      </c>
      <c r="N4147">
        <f t="shared" si="64"/>
        <v>0</v>
      </c>
    </row>
    <row r="4148" spans="1:14" x14ac:dyDescent="0.35">
      <c r="A4148">
        <v>4147</v>
      </c>
      <c r="B4148" t="s">
        <v>20</v>
      </c>
      <c r="C4148">
        <v>33</v>
      </c>
      <c r="D4148" t="s">
        <v>26</v>
      </c>
      <c r="E4148" t="s">
        <v>24</v>
      </c>
      <c r="F4148">
        <v>149</v>
      </c>
      <c r="G4148">
        <v>84</v>
      </c>
      <c r="H4148">
        <v>0.01</v>
      </c>
      <c r="I4148" t="s">
        <v>19</v>
      </c>
      <c r="J4148">
        <v>0</v>
      </c>
      <c r="K4148">
        <v>1</v>
      </c>
      <c r="L4148">
        <v>0</v>
      </c>
      <c r="M4148">
        <f>VLOOKUP(Table1[[#This Row],[subscription_type]],Plans!$A$1:$B$5,2,FALSE)</f>
        <v>4.99</v>
      </c>
      <c r="N4148">
        <f t="shared" si="64"/>
        <v>0</v>
      </c>
    </row>
    <row r="4149" spans="1:14" x14ac:dyDescent="0.35">
      <c r="A4149">
        <v>4148</v>
      </c>
      <c r="B4149" t="s">
        <v>12</v>
      </c>
      <c r="C4149">
        <v>48</v>
      </c>
      <c r="D4149" t="s">
        <v>29</v>
      </c>
      <c r="E4149" t="s">
        <v>14</v>
      </c>
      <c r="F4149">
        <v>118</v>
      </c>
      <c r="G4149">
        <v>41</v>
      </c>
      <c r="H4149">
        <v>0.44</v>
      </c>
      <c r="I4149" t="s">
        <v>23</v>
      </c>
      <c r="J4149">
        <v>7</v>
      </c>
      <c r="K4149">
        <v>0</v>
      </c>
      <c r="L4149">
        <v>0</v>
      </c>
      <c r="M4149">
        <f>VLOOKUP(Table1[[#This Row],[subscription_type]],Plans!$A$1:$B$5,2,FALSE)</f>
        <v>0</v>
      </c>
      <c r="N4149">
        <f t="shared" si="64"/>
        <v>0</v>
      </c>
    </row>
    <row r="4150" spans="1:14" x14ac:dyDescent="0.35">
      <c r="A4150">
        <v>4149</v>
      </c>
      <c r="B4150" t="s">
        <v>16</v>
      </c>
      <c r="C4150">
        <v>24</v>
      </c>
      <c r="D4150" t="s">
        <v>25</v>
      </c>
      <c r="E4150" t="s">
        <v>22</v>
      </c>
      <c r="F4150">
        <v>182</v>
      </c>
      <c r="G4150">
        <v>59</v>
      </c>
      <c r="H4150">
        <v>0.34</v>
      </c>
      <c r="I4150" t="s">
        <v>23</v>
      </c>
      <c r="J4150">
        <v>0</v>
      </c>
      <c r="K4150">
        <v>1</v>
      </c>
      <c r="L4150">
        <v>0</v>
      </c>
      <c r="M4150">
        <f>VLOOKUP(Table1[[#This Row],[subscription_type]],Plans!$A$1:$B$5,2,FALSE)</f>
        <v>9.99</v>
      </c>
      <c r="N4150">
        <f t="shared" si="64"/>
        <v>0</v>
      </c>
    </row>
    <row r="4151" spans="1:14" x14ac:dyDescent="0.35">
      <c r="A4151">
        <v>4150</v>
      </c>
      <c r="B4151" t="s">
        <v>20</v>
      </c>
      <c r="C4151">
        <v>43</v>
      </c>
      <c r="D4151" t="s">
        <v>28</v>
      </c>
      <c r="E4151" t="s">
        <v>24</v>
      </c>
      <c r="F4151">
        <v>212</v>
      </c>
      <c r="G4151">
        <v>42</v>
      </c>
      <c r="H4151">
        <v>0.48</v>
      </c>
      <c r="I4151" t="s">
        <v>23</v>
      </c>
      <c r="J4151">
        <v>0</v>
      </c>
      <c r="K4151">
        <v>1</v>
      </c>
      <c r="L4151">
        <v>0</v>
      </c>
      <c r="M4151">
        <f>VLOOKUP(Table1[[#This Row],[subscription_type]],Plans!$A$1:$B$5,2,FALSE)</f>
        <v>4.99</v>
      </c>
      <c r="N4151">
        <f t="shared" si="64"/>
        <v>0</v>
      </c>
    </row>
    <row r="4152" spans="1:14" x14ac:dyDescent="0.35">
      <c r="A4152">
        <v>4151</v>
      </c>
      <c r="B4152" t="s">
        <v>12</v>
      </c>
      <c r="C4152">
        <v>25</v>
      </c>
      <c r="D4152" t="s">
        <v>27</v>
      </c>
      <c r="E4152" t="s">
        <v>22</v>
      </c>
      <c r="F4152">
        <v>11</v>
      </c>
      <c r="G4152">
        <v>51</v>
      </c>
      <c r="H4152">
        <v>0.21</v>
      </c>
      <c r="I4152" t="s">
        <v>15</v>
      </c>
      <c r="J4152">
        <v>0</v>
      </c>
      <c r="K4152">
        <v>1</v>
      </c>
      <c r="L4152">
        <v>0</v>
      </c>
      <c r="M4152">
        <f>VLOOKUP(Table1[[#This Row],[subscription_type]],Plans!$A$1:$B$5,2,FALSE)</f>
        <v>9.99</v>
      </c>
      <c r="N4152">
        <f t="shared" si="64"/>
        <v>0</v>
      </c>
    </row>
    <row r="4153" spans="1:14" x14ac:dyDescent="0.35">
      <c r="A4153">
        <v>4152</v>
      </c>
      <c r="B4153" t="s">
        <v>16</v>
      </c>
      <c r="C4153">
        <v>59</v>
      </c>
      <c r="D4153" t="s">
        <v>17</v>
      </c>
      <c r="E4153" t="s">
        <v>18</v>
      </c>
      <c r="F4153">
        <v>35</v>
      </c>
      <c r="G4153">
        <v>27</v>
      </c>
      <c r="H4153">
        <v>0.28999999999999998</v>
      </c>
      <c r="I4153" t="s">
        <v>15</v>
      </c>
      <c r="J4153">
        <v>0</v>
      </c>
      <c r="K4153">
        <v>1</v>
      </c>
      <c r="L4153">
        <v>0</v>
      </c>
      <c r="M4153">
        <f>VLOOKUP(Table1[[#This Row],[subscription_type]],Plans!$A$1:$B$5,2,FALSE)</f>
        <v>14.99</v>
      </c>
      <c r="N4153">
        <f t="shared" si="64"/>
        <v>0</v>
      </c>
    </row>
    <row r="4154" spans="1:14" x14ac:dyDescent="0.35">
      <c r="A4154">
        <v>4153</v>
      </c>
      <c r="B4154" t="s">
        <v>20</v>
      </c>
      <c r="C4154">
        <v>19</v>
      </c>
      <c r="D4154" t="s">
        <v>13</v>
      </c>
      <c r="E4154" t="s">
        <v>24</v>
      </c>
      <c r="F4154">
        <v>241</v>
      </c>
      <c r="G4154">
        <v>91</v>
      </c>
      <c r="H4154">
        <v>0.51</v>
      </c>
      <c r="I4154" t="s">
        <v>19</v>
      </c>
      <c r="J4154">
        <v>0</v>
      </c>
      <c r="K4154">
        <v>1</v>
      </c>
      <c r="L4154">
        <v>0</v>
      </c>
      <c r="M4154">
        <f>VLOOKUP(Table1[[#This Row],[subscription_type]],Plans!$A$1:$B$5,2,FALSE)</f>
        <v>4.99</v>
      </c>
      <c r="N4154">
        <f t="shared" si="64"/>
        <v>0</v>
      </c>
    </row>
    <row r="4155" spans="1:14" x14ac:dyDescent="0.35">
      <c r="A4155">
        <v>4154</v>
      </c>
      <c r="B4155" t="s">
        <v>20</v>
      </c>
      <c r="C4155">
        <v>38</v>
      </c>
      <c r="D4155" t="s">
        <v>28</v>
      </c>
      <c r="E4155" t="s">
        <v>18</v>
      </c>
      <c r="F4155">
        <v>20</v>
      </c>
      <c r="G4155">
        <v>49</v>
      </c>
      <c r="H4155">
        <v>0.06</v>
      </c>
      <c r="I4155" t="s">
        <v>23</v>
      </c>
      <c r="J4155">
        <v>0</v>
      </c>
      <c r="K4155">
        <v>1</v>
      </c>
      <c r="L4155">
        <v>0</v>
      </c>
      <c r="M4155">
        <f>VLOOKUP(Table1[[#This Row],[subscription_type]],Plans!$A$1:$B$5,2,FALSE)</f>
        <v>14.99</v>
      </c>
      <c r="N4155">
        <f t="shared" si="64"/>
        <v>0</v>
      </c>
    </row>
    <row r="4156" spans="1:14" x14ac:dyDescent="0.35">
      <c r="A4156">
        <v>4155</v>
      </c>
      <c r="B4156" t="s">
        <v>12</v>
      </c>
      <c r="C4156">
        <v>48</v>
      </c>
      <c r="D4156" t="s">
        <v>29</v>
      </c>
      <c r="E4156" t="s">
        <v>14</v>
      </c>
      <c r="F4156">
        <v>140</v>
      </c>
      <c r="G4156">
        <v>66</v>
      </c>
      <c r="H4156">
        <v>0.59</v>
      </c>
      <c r="I4156" t="s">
        <v>19</v>
      </c>
      <c r="J4156">
        <v>25</v>
      </c>
      <c r="K4156">
        <v>0</v>
      </c>
      <c r="L4156">
        <v>0</v>
      </c>
      <c r="M4156">
        <f>VLOOKUP(Table1[[#This Row],[subscription_type]],Plans!$A$1:$B$5,2,FALSE)</f>
        <v>0</v>
      </c>
      <c r="N4156">
        <f t="shared" si="64"/>
        <v>0</v>
      </c>
    </row>
    <row r="4157" spans="1:14" x14ac:dyDescent="0.35">
      <c r="A4157">
        <v>4156</v>
      </c>
      <c r="B4157" t="s">
        <v>12</v>
      </c>
      <c r="C4157">
        <v>30</v>
      </c>
      <c r="D4157" t="s">
        <v>28</v>
      </c>
      <c r="E4157" t="s">
        <v>24</v>
      </c>
      <c r="F4157">
        <v>233</v>
      </c>
      <c r="G4157">
        <v>95</v>
      </c>
      <c r="H4157">
        <v>0.36</v>
      </c>
      <c r="I4157" t="s">
        <v>15</v>
      </c>
      <c r="J4157">
        <v>0</v>
      </c>
      <c r="K4157">
        <v>1</v>
      </c>
      <c r="L4157">
        <v>1</v>
      </c>
      <c r="M4157">
        <f>VLOOKUP(Table1[[#This Row],[subscription_type]],Plans!$A$1:$B$5,2,FALSE)</f>
        <v>4.99</v>
      </c>
      <c r="N4157">
        <f t="shared" si="64"/>
        <v>4.99</v>
      </c>
    </row>
    <row r="4158" spans="1:14" x14ac:dyDescent="0.35">
      <c r="A4158">
        <v>4157</v>
      </c>
      <c r="B4158" t="s">
        <v>20</v>
      </c>
      <c r="C4158">
        <v>52</v>
      </c>
      <c r="D4158" t="s">
        <v>21</v>
      </c>
      <c r="E4158" t="s">
        <v>24</v>
      </c>
      <c r="F4158">
        <v>187</v>
      </c>
      <c r="G4158">
        <v>30</v>
      </c>
      <c r="H4158">
        <v>0.28999999999999998</v>
      </c>
      <c r="I4158" t="s">
        <v>15</v>
      </c>
      <c r="J4158">
        <v>0</v>
      </c>
      <c r="K4158">
        <v>1</v>
      </c>
      <c r="L4158">
        <v>0</v>
      </c>
      <c r="M4158">
        <f>VLOOKUP(Table1[[#This Row],[subscription_type]],Plans!$A$1:$B$5,2,FALSE)</f>
        <v>4.99</v>
      </c>
      <c r="N4158">
        <f t="shared" si="64"/>
        <v>0</v>
      </c>
    </row>
    <row r="4159" spans="1:14" x14ac:dyDescent="0.35">
      <c r="A4159">
        <v>4158</v>
      </c>
      <c r="B4159" t="s">
        <v>12</v>
      </c>
      <c r="C4159">
        <v>51</v>
      </c>
      <c r="D4159" t="s">
        <v>26</v>
      </c>
      <c r="E4159" t="s">
        <v>18</v>
      </c>
      <c r="F4159">
        <v>62</v>
      </c>
      <c r="G4159">
        <v>36</v>
      </c>
      <c r="H4159">
        <v>0.38</v>
      </c>
      <c r="I4159" t="s">
        <v>23</v>
      </c>
      <c r="J4159">
        <v>0</v>
      </c>
      <c r="K4159">
        <v>1</v>
      </c>
      <c r="L4159">
        <v>1</v>
      </c>
      <c r="M4159">
        <f>VLOOKUP(Table1[[#This Row],[subscription_type]],Plans!$A$1:$B$5,2,FALSE)</f>
        <v>14.99</v>
      </c>
      <c r="N4159">
        <f t="shared" si="64"/>
        <v>14.99</v>
      </c>
    </row>
    <row r="4160" spans="1:14" x14ac:dyDescent="0.35">
      <c r="A4160">
        <v>4159</v>
      </c>
      <c r="B4160" t="s">
        <v>12</v>
      </c>
      <c r="C4160">
        <v>49</v>
      </c>
      <c r="D4160" t="s">
        <v>25</v>
      </c>
      <c r="E4160" t="s">
        <v>14</v>
      </c>
      <c r="F4160">
        <v>272</v>
      </c>
      <c r="G4160">
        <v>75</v>
      </c>
      <c r="H4160">
        <v>0.53</v>
      </c>
      <c r="I4160" t="s">
        <v>23</v>
      </c>
      <c r="J4160">
        <v>48</v>
      </c>
      <c r="K4160">
        <v>0</v>
      </c>
      <c r="L4160">
        <v>0</v>
      </c>
      <c r="M4160">
        <f>VLOOKUP(Table1[[#This Row],[subscription_type]],Plans!$A$1:$B$5,2,FALSE)</f>
        <v>0</v>
      </c>
      <c r="N4160">
        <f t="shared" si="64"/>
        <v>0</v>
      </c>
    </row>
    <row r="4161" spans="1:14" x14ac:dyDescent="0.35">
      <c r="A4161">
        <v>4160</v>
      </c>
      <c r="B4161" t="s">
        <v>16</v>
      </c>
      <c r="C4161">
        <v>18</v>
      </c>
      <c r="D4161" t="s">
        <v>13</v>
      </c>
      <c r="E4161" t="s">
        <v>14</v>
      </c>
      <c r="F4161">
        <v>195</v>
      </c>
      <c r="G4161">
        <v>37</v>
      </c>
      <c r="H4161">
        <v>0.26</v>
      </c>
      <c r="I4161" t="s">
        <v>23</v>
      </c>
      <c r="J4161">
        <v>47</v>
      </c>
      <c r="K4161">
        <v>0</v>
      </c>
      <c r="L4161">
        <v>0</v>
      </c>
      <c r="M4161">
        <f>VLOOKUP(Table1[[#This Row],[subscription_type]],Plans!$A$1:$B$5,2,FALSE)</f>
        <v>0</v>
      </c>
      <c r="N4161">
        <f t="shared" si="64"/>
        <v>0</v>
      </c>
    </row>
    <row r="4162" spans="1:14" x14ac:dyDescent="0.35">
      <c r="A4162">
        <v>4161</v>
      </c>
      <c r="B4162" t="s">
        <v>20</v>
      </c>
      <c r="C4162">
        <v>42</v>
      </c>
      <c r="D4162" t="s">
        <v>21</v>
      </c>
      <c r="E4162" t="s">
        <v>22</v>
      </c>
      <c r="F4162">
        <v>210</v>
      </c>
      <c r="G4162">
        <v>13</v>
      </c>
      <c r="H4162">
        <v>0.32</v>
      </c>
      <c r="I4162" t="s">
        <v>19</v>
      </c>
      <c r="J4162">
        <v>0</v>
      </c>
      <c r="K4162">
        <v>1</v>
      </c>
      <c r="L4162">
        <v>0</v>
      </c>
      <c r="M4162">
        <f>VLOOKUP(Table1[[#This Row],[subscription_type]],Plans!$A$1:$B$5,2,FALSE)</f>
        <v>9.99</v>
      </c>
      <c r="N4162">
        <f t="shared" ref="N4162:N4225" si="65">IF(L4162=1, M4162,0)</f>
        <v>0</v>
      </c>
    </row>
    <row r="4163" spans="1:14" x14ac:dyDescent="0.35">
      <c r="A4163">
        <v>4162</v>
      </c>
      <c r="B4163" t="s">
        <v>20</v>
      </c>
      <c r="C4163">
        <v>38</v>
      </c>
      <c r="D4163" t="s">
        <v>21</v>
      </c>
      <c r="E4163" t="s">
        <v>18</v>
      </c>
      <c r="F4163">
        <v>226</v>
      </c>
      <c r="G4163">
        <v>44</v>
      </c>
      <c r="H4163">
        <v>0.26</v>
      </c>
      <c r="I4163" t="s">
        <v>23</v>
      </c>
      <c r="J4163">
        <v>0</v>
      </c>
      <c r="K4163">
        <v>1</v>
      </c>
      <c r="L4163">
        <v>0</v>
      </c>
      <c r="M4163">
        <f>VLOOKUP(Table1[[#This Row],[subscription_type]],Plans!$A$1:$B$5,2,FALSE)</f>
        <v>14.99</v>
      </c>
      <c r="N4163">
        <f t="shared" si="65"/>
        <v>0</v>
      </c>
    </row>
    <row r="4164" spans="1:14" x14ac:dyDescent="0.35">
      <c r="A4164">
        <v>4163</v>
      </c>
      <c r="B4164" t="s">
        <v>16</v>
      </c>
      <c r="C4164">
        <v>24</v>
      </c>
      <c r="D4164" t="s">
        <v>17</v>
      </c>
      <c r="E4164" t="s">
        <v>18</v>
      </c>
      <c r="F4164">
        <v>71</v>
      </c>
      <c r="G4164">
        <v>1</v>
      </c>
      <c r="H4164">
        <v>0.28000000000000003</v>
      </c>
      <c r="I4164" t="s">
        <v>15</v>
      </c>
      <c r="J4164">
        <v>0</v>
      </c>
      <c r="K4164">
        <v>1</v>
      </c>
      <c r="L4164">
        <v>1</v>
      </c>
      <c r="M4164">
        <f>VLOOKUP(Table1[[#This Row],[subscription_type]],Plans!$A$1:$B$5,2,FALSE)</f>
        <v>14.99</v>
      </c>
      <c r="N4164">
        <f t="shared" si="65"/>
        <v>14.99</v>
      </c>
    </row>
    <row r="4165" spans="1:14" x14ac:dyDescent="0.35">
      <c r="A4165">
        <v>4164</v>
      </c>
      <c r="B4165" t="s">
        <v>12</v>
      </c>
      <c r="C4165">
        <v>36</v>
      </c>
      <c r="D4165" t="s">
        <v>21</v>
      </c>
      <c r="E4165" t="s">
        <v>14</v>
      </c>
      <c r="F4165">
        <v>243</v>
      </c>
      <c r="G4165">
        <v>73</v>
      </c>
      <c r="H4165">
        <v>0.2</v>
      </c>
      <c r="I4165" t="s">
        <v>19</v>
      </c>
      <c r="J4165">
        <v>31</v>
      </c>
      <c r="K4165">
        <v>0</v>
      </c>
      <c r="L4165">
        <v>0</v>
      </c>
      <c r="M4165">
        <f>VLOOKUP(Table1[[#This Row],[subscription_type]],Plans!$A$1:$B$5,2,FALSE)</f>
        <v>0</v>
      </c>
      <c r="N4165">
        <f t="shared" si="65"/>
        <v>0</v>
      </c>
    </row>
    <row r="4166" spans="1:14" x14ac:dyDescent="0.35">
      <c r="A4166">
        <v>4165</v>
      </c>
      <c r="B4166" t="s">
        <v>20</v>
      </c>
      <c r="C4166">
        <v>16</v>
      </c>
      <c r="D4166" t="s">
        <v>29</v>
      </c>
      <c r="E4166" t="s">
        <v>22</v>
      </c>
      <c r="F4166">
        <v>131</v>
      </c>
      <c r="G4166">
        <v>28</v>
      </c>
      <c r="H4166">
        <v>0.31</v>
      </c>
      <c r="I4166" t="s">
        <v>19</v>
      </c>
      <c r="J4166">
        <v>0</v>
      </c>
      <c r="K4166">
        <v>1</v>
      </c>
      <c r="L4166">
        <v>1</v>
      </c>
      <c r="M4166">
        <f>VLOOKUP(Table1[[#This Row],[subscription_type]],Plans!$A$1:$B$5,2,FALSE)</f>
        <v>9.99</v>
      </c>
      <c r="N4166">
        <f t="shared" si="65"/>
        <v>9.99</v>
      </c>
    </row>
    <row r="4167" spans="1:14" x14ac:dyDescent="0.35">
      <c r="A4167">
        <v>4166</v>
      </c>
      <c r="B4167" t="s">
        <v>12</v>
      </c>
      <c r="C4167">
        <v>54</v>
      </c>
      <c r="D4167" t="s">
        <v>21</v>
      </c>
      <c r="E4167" t="s">
        <v>14</v>
      </c>
      <c r="F4167">
        <v>112</v>
      </c>
      <c r="G4167">
        <v>77</v>
      </c>
      <c r="H4167">
        <v>0.32</v>
      </c>
      <c r="I4167" t="s">
        <v>15</v>
      </c>
      <c r="J4167">
        <v>15</v>
      </c>
      <c r="K4167">
        <v>0</v>
      </c>
      <c r="L4167">
        <v>0</v>
      </c>
      <c r="M4167">
        <f>VLOOKUP(Table1[[#This Row],[subscription_type]],Plans!$A$1:$B$5,2,FALSE)</f>
        <v>0</v>
      </c>
      <c r="N4167">
        <f t="shared" si="65"/>
        <v>0</v>
      </c>
    </row>
    <row r="4168" spans="1:14" x14ac:dyDescent="0.35">
      <c r="A4168">
        <v>4167</v>
      </c>
      <c r="B4168" t="s">
        <v>12</v>
      </c>
      <c r="C4168">
        <v>40</v>
      </c>
      <c r="D4168" t="s">
        <v>29</v>
      </c>
      <c r="E4168" t="s">
        <v>24</v>
      </c>
      <c r="F4168">
        <v>190</v>
      </c>
      <c r="G4168">
        <v>81</v>
      </c>
      <c r="H4168">
        <v>0.09</v>
      </c>
      <c r="I4168" t="s">
        <v>15</v>
      </c>
      <c r="J4168">
        <v>0</v>
      </c>
      <c r="K4168">
        <v>1</v>
      </c>
      <c r="L4168">
        <v>0</v>
      </c>
      <c r="M4168">
        <f>VLOOKUP(Table1[[#This Row],[subscription_type]],Plans!$A$1:$B$5,2,FALSE)</f>
        <v>4.99</v>
      </c>
      <c r="N4168">
        <f t="shared" si="65"/>
        <v>0</v>
      </c>
    </row>
    <row r="4169" spans="1:14" x14ac:dyDescent="0.35">
      <c r="A4169">
        <v>4168</v>
      </c>
      <c r="B4169" t="s">
        <v>16</v>
      </c>
      <c r="C4169">
        <v>46</v>
      </c>
      <c r="D4169" t="s">
        <v>25</v>
      </c>
      <c r="E4169" t="s">
        <v>22</v>
      </c>
      <c r="F4169">
        <v>171</v>
      </c>
      <c r="G4169">
        <v>91</v>
      </c>
      <c r="H4169">
        <v>0.14000000000000001</v>
      </c>
      <c r="I4169" t="s">
        <v>19</v>
      </c>
      <c r="J4169">
        <v>0</v>
      </c>
      <c r="K4169">
        <v>1</v>
      </c>
      <c r="L4169">
        <v>0</v>
      </c>
      <c r="M4169">
        <f>VLOOKUP(Table1[[#This Row],[subscription_type]],Plans!$A$1:$B$5,2,FALSE)</f>
        <v>9.99</v>
      </c>
      <c r="N4169">
        <f t="shared" si="65"/>
        <v>0</v>
      </c>
    </row>
    <row r="4170" spans="1:14" x14ac:dyDescent="0.35">
      <c r="A4170">
        <v>4169</v>
      </c>
      <c r="B4170" t="s">
        <v>12</v>
      </c>
      <c r="C4170">
        <v>31</v>
      </c>
      <c r="D4170" t="s">
        <v>27</v>
      </c>
      <c r="E4170" t="s">
        <v>18</v>
      </c>
      <c r="F4170">
        <v>20</v>
      </c>
      <c r="G4170">
        <v>47</v>
      </c>
      <c r="H4170">
        <v>0.12</v>
      </c>
      <c r="I4170" t="s">
        <v>23</v>
      </c>
      <c r="J4170">
        <v>0</v>
      </c>
      <c r="K4170">
        <v>1</v>
      </c>
      <c r="L4170">
        <v>0</v>
      </c>
      <c r="M4170">
        <f>VLOOKUP(Table1[[#This Row],[subscription_type]],Plans!$A$1:$B$5,2,FALSE)</f>
        <v>14.99</v>
      </c>
      <c r="N4170">
        <f t="shared" si="65"/>
        <v>0</v>
      </c>
    </row>
    <row r="4171" spans="1:14" x14ac:dyDescent="0.35">
      <c r="A4171">
        <v>4170</v>
      </c>
      <c r="B4171" t="s">
        <v>12</v>
      </c>
      <c r="C4171">
        <v>42</v>
      </c>
      <c r="D4171" t="s">
        <v>26</v>
      </c>
      <c r="E4171" t="s">
        <v>24</v>
      </c>
      <c r="F4171">
        <v>256</v>
      </c>
      <c r="G4171">
        <v>49</v>
      </c>
      <c r="H4171">
        <v>0.12</v>
      </c>
      <c r="I4171" t="s">
        <v>23</v>
      </c>
      <c r="J4171">
        <v>0</v>
      </c>
      <c r="K4171">
        <v>1</v>
      </c>
      <c r="L4171">
        <v>0</v>
      </c>
      <c r="M4171">
        <f>VLOOKUP(Table1[[#This Row],[subscription_type]],Plans!$A$1:$B$5,2,FALSE)</f>
        <v>4.99</v>
      </c>
      <c r="N4171">
        <f t="shared" si="65"/>
        <v>0</v>
      </c>
    </row>
    <row r="4172" spans="1:14" x14ac:dyDescent="0.35">
      <c r="A4172">
        <v>4171</v>
      </c>
      <c r="B4172" t="s">
        <v>12</v>
      </c>
      <c r="C4172">
        <v>42</v>
      </c>
      <c r="D4172" t="s">
        <v>25</v>
      </c>
      <c r="E4172" t="s">
        <v>14</v>
      </c>
      <c r="F4172">
        <v>66</v>
      </c>
      <c r="G4172">
        <v>53</v>
      </c>
      <c r="H4172">
        <v>0.5</v>
      </c>
      <c r="I4172" t="s">
        <v>19</v>
      </c>
      <c r="J4172">
        <v>25</v>
      </c>
      <c r="K4172">
        <v>0</v>
      </c>
      <c r="L4172">
        <v>0</v>
      </c>
      <c r="M4172">
        <f>VLOOKUP(Table1[[#This Row],[subscription_type]],Plans!$A$1:$B$5,2,FALSE)</f>
        <v>0</v>
      </c>
      <c r="N4172">
        <f t="shared" si="65"/>
        <v>0</v>
      </c>
    </row>
    <row r="4173" spans="1:14" x14ac:dyDescent="0.35">
      <c r="A4173">
        <v>4172</v>
      </c>
      <c r="B4173" t="s">
        <v>20</v>
      </c>
      <c r="C4173">
        <v>59</v>
      </c>
      <c r="D4173" t="s">
        <v>29</v>
      </c>
      <c r="E4173" t="s">
        <v>22</v>
      </c>
      <c r="F4173">
        <v>199</v>
      </c>
      <c r="G4173">
        <v>67</v>
      </c>
      <c r="H4173">
        <v>0.14000000000000001</v>
      </c>
      <c r="I4173" t="s">
        <v>23</v>
      </c>
      <c r="J4173">
        <v>0</v>
      </c>
      <c r="K4173">
        <v>1</v>
      </c>
      <c r="L4173">
        <v>0</v>
      </c>
      <c r="M4173">
        <f>VLOOKUP(Table1[[#This Row],[subscription_type]],Plans!$A$1:$B$5,2,FALSE)</f>
        <v>9.99</v>
      </c>
      <c r="N4173">
        <f t="shared" si="65"/>
        <v>0</v>
      </c>
    </row>
    <row r="4174" spans="1:14" x14ac:dyDescent="0.35">
      <c r="A4174">
        <v>4173</v>
      </c>
      <c r="B4174" t="s">
        <v>12</v>
      </c>
      <c r="C4174">
        <v>24</v>
      </c>
      <c r="D4174" t="s">
        <v>21</v>
      </c>
      <c r="E4174" t="s">
        <v>22</v>
      </c>
      <c r="F4174">
        <v>92</v>
      </c>
      <c r="G4174">
        <v>79</v>
      </c>
      <c r="H4174">
        <v>0.47</v>
      </c>
      <c r="I4174" t="s">
        <v>19</v>
      </c>
      <c r="J4174">
        <v>0</v>
      </c>
      <c r="K4174">
        <v>1</v>
      </c>
      <c r="L4174">
        <v>0</v>
      </c>
      <c r="M4174">
        <f>VLOOKUP(Table1[[#This Row],[subscription_type]],Plans!$A$1:$B$5,2,FALSE)</f>
        <v>9.99</v>
      </c>
      <c r="N4174">
        <f t="shared" si="65"/>
        <v>0</v>
      </c>
    </row>
    <row r="4175" spans="1:14" x14ac:dyDescent="0.35">
      <c r="A4175">
        <v>4174</v>
      </c>
      <c r="B4175" t="s">
        <v>12</v>
      </c>
      <c r="C4175">
        <v>21</v>
      </c>
      <c r="D4175" t="s">
        <v>13</v>
      </c>
      <c r="E4175" t="s">
        <v>22</v>
      </c>
      <c r="F4175">
        <v>161</v>
      </c>
      <c r="G4175">
        <v>49</v>
      </c>
      <c r="H4175">
        <v>0.34</v>
      </c>
      <c r="I4175" t="s">
        <v>15</v>
      </c>
      <c r="J4175">
        <v>0</v>
      </c>
      <c r="K4175">
        <v>1</v>
      </c>
      <c r="L4175">
        <v>0</v>
      </c>
      <c r="M4175">
        <f>VLOOKUP(Table1[[#This Row],[subscription_type]],Plans!$A$1:$B$5,2,FALSE)</f>
        <v>9.99</v>
      </c>
      <c r="N4175">
        <f t="shared" si="65"/>
        <v>0</v>
      </c>
    </row>
    <row r="4176" spans="1:14" x14ac:dyDescent="0.35">
      <c r="A4176">
        <v>4175</v>
      </c>
      <c r="B4176" t="s">
        <v>12</v>
      </c>
      <c r="C4176">
        <v>38</v>
      </c>
      <c r="D4176" t="s">
        <v>17</v>
      </c>
      <c r="E4176" t="s">
        <v>14</v>
      </c>
      <c r="F4176">
        <v>296</v>
      </c>
      <c r="G4176">
        <v>65</v>
      </c>
      <c r="H4176">
        <v>0.37</v>
      </c>
      <c r="I4176" t="s">
        <v>19</v>
      </c>
      <c r="J4176">
        <v>14</v>
      </c>
      <c r="K4176">
        <v>0</v>
      </c>
      <c r="L4176">
        <v>0</v>
      </c>
      <c r="M4176">
        <f>VLOOKUP(Table1[[#This Row],[subscription_type]],Plans!$A$1:$B$5,2,FALSE)</f>
        <v>0</v>
      </c>
      <c r="N4176">
        <f t="shared" si="65"/>
        <v>0</v>
      </c>
    </row>
    <row r="4177" spans="1:14" x14ac:dyDescent="0.35">
      <c r="A4177">
        <v>4176</v>
      </c>
      <c r="B4177" t="s">
        <v>12</v>
      </c>
      <c r="C4177">
        <v>29</v>
      </c>
      <c r="D4177" t="s">
        <v>25</v>
      </c>
      <c r="E4177" t="s">
        <v>24</v>
      </c>
      <c r="F4177">
        <v>219</v>
      </c>
      <c r="G4177">
        <v>49</v>
      </c>
      <c r="H4177">
        <v>0.48</v>
      </c>
      <c r="I4177" t="s">
        <v>23</v>
      </c>
      <c r="J4177">
        <v>0</v>
      </c>
      <c r="K4177">
        <v>1</v>
      </c>
      <c r="L4177">
        <v>0</v>
      </c>
      <c r="M4177">
        <f>VLOOKUP(Table1[[#This Row],[subscription_type]],Plans!$A$1:$B$5,2,FALSE)</f>
        <v>4.99</v>
      </c>
      <c r="N4177">
        <f t="shared" si="65"/>
        <v>0</v>
      </c>
    </row>
    <row r="4178" spans="1:14" x14ac:dyDescent="0.35">
      <c r="A4178">
        <v>4177</v>
      </c>
      <c r="B4178" t="s">
        <v>12</v>
      </c>
      <c r="C4178">
        <v>20</v>
      </c>
      <c r="D4178" t="s">
        <v>25</v>
      </c>
      <c r="E4178" t="s">
        <v>22</v>
      </c>
      <c r="F4178">
        <v>45</v>
      </c>
      <c r="G4178">
        <v>1</v>
      </c>
      <c r="H4178">
        <v>0.56999999999999995</v>
      </c>
      <c r="I4178" t="s">
        <v>19</v>
      </c>
      <c r="J4178">
        <v>0</v>
      </c>
      <c r="K4178">
        <v>1</v>
      </c>
      <c r="L4178">
        <v>0</v>
      </c>
      <c r="M4178">
        <f>VLOOKUP(Table1[[#This Row],[subscription_type]],Plans!$A$1:$B$5,2,FALSE)</f>
        <v>9.99</v>
      </c>
      <c r="N4178">
        <f t="shared" si="65"/>
        <v>0</v>
      </c>
    </row>
    <row r="4179" spans="1:14" x14ac:dyDescent="0.35">
      <c r="A4179">
        <v>4178</v>
      </c>
      <c r="B4179" t="s">
        <v>16</v>
      </c>
      <c r="C4179">
        <v>44</v>
      </c>
      <c r="D4179" t="s">
        <v>27</v>
      </c>
      <c r="E4179" t="s">
        <v>22</v>
      </c>
      <c r="F4179">
        <v>154</v>
      </c>
      <c r="G4179">
        <v>98</v>
      </c>
      <c r="H4179">
        <v>7.0000000000000007E-2</v>
      </c>
      <c r="I4179" t="s">
        <v>23</v>
      </c>
      <c r="J4179">
        <v>0</v>
      </c>
      <c r="K4179">
        <v>1</v>
      </c>
      <c r="L4179">
        <v>1</v>
      </c>
      <c r="M4179">
        <f>VLOOKUP(Table1[[#This Row],[subscription_type]],Plans!$A$1:$B$5,2,FALSE)</f>
        <v>9.99</v>
      </c>
      <c r="N4179">
        <f t="shared" si="65"/>
        <v>9.99</v>
      </c>
    </row>
    <row r="4180" spans="1:14" x14ac:dyDescent="0.35">
      <c r="A4180">
        <v>4179</v>
      </c>
      <c r="B4180" t="s">
        <v>16</v>
      </c>
      <c r="C4180">
        <v>58</v>
      </c>
      <c r="D4180" t="s">
        <v>29</v>
      </c>
      <c r="E4180" t="s">
        <v>14</v>
      </c>
      <c r="F4180">
        <v>228</v>
      </c>
      <c r="G4180">
        <v>14</v>
      </c>
      <c r="H4180">
        <v>0.03</v>
      </c>
      <c r="I4180" t="s">
        <v>23</v>
      </c>
      <c r="J4180">
        <v>41</v>
      </c>
      <c r="K4180">
        <v>0</v>
      </c>
      <c r="L4180">
        <v>0</v>
      </c>
      <c r="M4180">
        <f>VLOOKUP(Table1[[#This Row],[subscription_type]],Plans!$A$1:$B$5,2,FALSE)</f>
        <v>0</v>
      </c>
      <c r="N4180">
        <f t="shared" si="65"/>
        <v>0</v>
      </c>
    </row>
    <row r="4181" spans="1:14" x14ac:dyDescent="0.35">
      <c r="A4181">
        <v>4180</v>
      </c>
      <c r="B4181" t="s">
        <v>16</v>
      </c>
      <c r="C4181">
        <v>34</v>
      </c>
      <c r="D4181" t="s">
        <v>13</v>
      </c>
      <c r="E4181" t="s">
        <v>22</v>
      </c>
      <c r="F4181">
        <v>163</v>
      </c>
      <c r="G4181">
        <v>14</v>
      </c>
      <c r="H4181">
        <v>7.0000000000000007E-2</v>
      </c>
      <c r="I4181" t="s">
        <v>19</v>
      </c>
      <c r="J4181">
        <v>0</v>
      </c>
      <c r="K4181">
        <v>1</v>
      </c>
      <c r="L4181">
        <v>0</v>
      </c>
      <c r="M4181">
        <f>VLOOKUP(Table1[[#This Row],[subscription_type]],Plans!$A$1:$B$5,2,FALSE)</f>
        <v>9.99</v>
      </c>
      <c r="N4181">
        <f t="shared" si="65"/>
        <v>0</v>
      </c>
    </row>
    <row r="4182" spans="1:14" x14ac:dyDescent="0.35">
      <c r="A4182">
        <v>4181</v>
      </c>
      <c r="B4182" t="s">
        <v>20</v>
      </c>
      <c r="C4182">
        <v>36</v>
      </c>
      <c r="D4182" t="s">
        <v>28</v>
      </c>
      <c r="E4182" t="s">
        <v>22</v>
      </c>
      <c r="F4182">
        <v>113</v>
      </c>
      <c r="G4182">
        <v>30</v>
      </c>
      <c r="H4182">
        <v>0.08</v>
      </c>
      <c r="I4182" t="s">
        <v>23</v>
      </c>
      <c r="J4182">
        <v>0</v>
      </c>
      <c r="K4182">
        <v>1</v>
      </c>
      <c r="L4182">
        <v>0</v>
      </c>
      <c r="M4182">
        <f>VLOOKUP(Table1[[#This Row],[subscription_type]],Plans!$A$1:$B$5,2,FALSE)</f>
        <v>9.99</v>
      </c>
      <c r="N4182">
        <f t="shared" si="65"/>
        <v>0</v>
      </c>
    </row>
    <row r="4183" spans="1:14" x14ac:dyDescent="0.35">
      <c r="A4183">
        <v>4182</v>
      </c>
      <c r="B4183" t="s">
        <v>12</v>
      </c>
      <c r="C4183">
        <v>51</v>
      </c>
      <c r="D4183" t="s">
        <v>27</v>
      </c>
      <c r="E4183" t="s">
        <v>22</v>
      </c>
      <c r="F4183">
        <v>70</v>
      </c>
      <c r="G4183">
        <v>91</v>
      </c>
      <c r="H4183">
        <v>0.04</v>
      </c>
      <c r="I4183" t="s">
        <v>15</v>
      </c>
      <c r="J4183">
        <v>0</v>
      </c>
      <c r="K4183">
        <v>1</v>
      </c>
      <c r="L4183">
        <v>0</v>
      </c>
      <c r="M4183">
        <f>VLOOKUP(Table1[[#This Row],[subscription_type]],Plans!$A$1:$B$5,2,FALSE)</f>
        <v>9.99</v>
      </c>
      <c r="N4183">
        <f t="shared" si="65"/>
        <v>0</v>
      </c>
    </row>
    <row r="4184" spans="1:14" x14ac:dyDescent="0.35">
      <c r="A4184">
        <v>4183</v>
      </c>
      <c r="B4184" t="s">
        <v>12</v>
      </c>
      <c r="C4184">
        <v>48</v>
      </c>
      <c r="D4184" t="s">
        <v>17</v>
      </c>
      <c r="E4184" t="s">
        <v>14</v>
      </c>
      <c r="F4184">
        <v>209</v>
      </c>
      <c r="G4184">
        <v>66</v>
      </c>
      <c r="H4184">
        <v>0.37</v>
      </c>
      <c r="I4184" t="s">
        <v>19</v>
      </c>
      <c r="J4184">
        <v>29</v>
      </c>
      <c r="K4184">
        <v>0</v>
      </c>
      <c r="L4184">
        <v>1</v>
      </c>
      <c r="M4184">
        <f>VLOOKUP(Table1[[#This Row],[subscription_type]],Plans!$A$1:$B$5,2,FALSE)</f>
        <v>0</v>
      </c>
      <c r="N4184">
        <f t="shared" si="65"/>
        <v>0</v>
      </c>
    </row>
    <row r="4185" spans="1:14" x14ac:dyDescent="0.35">
      <c r="A4185">
        <v>4184</v>
      </c>
      <c r="B4185" t="s">
        <v>20</v>
      </c>
      <c r="C4185">
        <v>44</v>
      </c>
      <c r="D4185" t="s">
        <v>29</v>
      </c>
      <c r="E4185" t="s">
        <v>22</v>
      </c>
      <c r="F4185">
        <v>200</v>
      </c>
      <c r="G4185">
        <v>14</v>
      </c>
      <c r="H4185">
        <v>0.28000000000000003</v>
      </c>
      <c r="I4185" t="s">
        <v>23</v>
      </c>
      <c r="J4185">
        <v>0</v>
      </c>
      <c r="K4185">
        <v>1</v>
      </c>
      <c r="L4185">
        <v>0</v>
      </c>
      <c r="M4185">
        <f>VLOOKUP(Table1[[#This Row],[subscription_type]],Plans!$A$1:$B$5,2,FALSE)</f>
        <v>9.99</v>
      </c>
      <c r="N4185">
        <f t="shared" si="65"/>
        <v>0</v>
      </c>
    </row>
    <row r="4186" spans="1:14" x14ac:dyDescent="0.35">
      <c r="A4186">
        <v>4185</v>
      </c>
      <c r="B4186" t="s">
        <v>20</v>
      </c>
      <c r="C4186">
        <v>55</v>
      </c>
      <c r="D4186" t="s">
        <v>13</v>
      </c>
      <c r="E4186" t="s">
        <v>18</v>
      </c>
      <c r="F4186">
        <v>111</v>
      </c>
      <c r="G4186">
        <v>46</v>
      </c>
      <c r="H4186">
        <v>0.4</v>
      </c>
      <c r="I4186" t="s">
        <v>15</v>
      </c>
      <c r="J4186">
        <v>0</v>
      </c>
      <c r="K4186">
        <v>1</v>
      </c>
      <c r="L4186">
        <v>1</v>
      </c>
      <c r="M4186">
        <f>VLOOKUP(Table1[[#This Row],[subscription_type]],Plans!$A$1:$B$5,2,FALSE)</f>
        <v>14.99</v>
      </c>
      <c r="N4186">
        <f t="shared" si="65"/>
        <v>14.99</v>
      </c>
    </row>
    <row r="4187" spans="1:14" x14ac:dyDescent="0.35">
      <c r="A4187">
        <v>4186</v>
      </c>
      <c r="B4187" t="s">
        <v>20</v>
      </c>
      <c r="C4187">
        <v>39</v>
      </c>
      <c r="D4187" t="s">
        <v>29</v>
      </c>
      <c r="E4187" t="s">
        <v>22</v>
      </c>
      <c r="F4187">
        <v>186</v>
      </c>
      <c r="G4187">
        <v>37</v>
      </c>
      <c r="H4187">
        <v>0.38</v>
      </c>
      <c r="I4187" t="s">
        <v>23</v>
      </c>
      <c r="J4187">
        <v>0</v>
      </c>
      <c r="K4187">
        <v>1</v>
      </c>
      <c r="L4187">
        <v>0</v>
      </c>
      <c r="M4187">
        <f>VLOOKUP(Table1[[#This Row],[subscription_type]],Plans!$A$1:$B$5,2,FALSE)</f>
        <v>9.99</v>
      </c>
      <c r="N4187">
        <f t="shared" si="65"/>
        <v>0</v>
      </c>
    </row>
    <row r="4188" spans="1:14" x14ac:dyDescent="0.35">
      <c r="A4188">
        <v>4187</v>
      </c>
      <c r="B4188" t="s">
        <v>16</v>
      </c>
      <c r="C4188">
        <v>34</v>
      </c>
      <c r="D4188" t="s">
        <v>25</v>
      </c>
      <c r="E4188" t="s">
        <v>18</v>
      </c>
      <c r="F4188">
        <v>250</v>
      </c>
      <c r="G4188">
        <v>13</v>
      </c>
      <c r="H4188">
        <v>0.48</v>
      </c>
      <c r="I4188" t="s">
        <v>19</v>
      </c>
      <c r="J4188">
        <v>0</v>
      </c>
      <c r="K4188">
        <v>1</v>
      </c>
      <c r="L4188">
        <v>1</v>
      </c>
      <c r="M4188">
        <f>VLOOKUP(Table1[[#This Row],[subscription_type]],Plans!$A$1:$B$5,2,FALSE)</f>
        <v>14.99</v>
      </c>
      <c r="N4188">
        <f t="shared" si="65"/>
        <v>14.99</v>
      </c>
    </row>
    <row r="4189" spans="1:14" x14ac:dyDescent="0.35">
      <c r="A4189">
        <v>4188</v>
      </c>
      <c r="B4189" t="s">
        <v>20</v>
      </c>
      <c r="C4189">
        <v>32</v>
      </c>
      <c r="D4189" t="s">
        <v>21</v>
      </c>
      <c r="E4189" t="s">
        <v>14</v>
      </c>
      <c r="F4189">
        <v>31</v>
      </c>
      <c r="G4189">
        <v>30</v>
      </c>
      <c r="H4189">
        <v>0.5</v>
      </c>
      <c r="I4189" t="s">
        <v>15</v>
      </c>
      <c r="J4189">
        <v>41</v>
      </c>
      <c r="K4189">
        <v>0</v>
      </c>
      <c r="L4189">
        <v>0</v>
      </c>
      <c r="M4189">
        <f>VLOOKUP(Table1[[#This Row],[subscription_type]],Plans!$A$1:$B$5,2,FALSE)</f>
        <v>0</v>
      </c>
      <c r="N4189">
        <f t="shared" si="65"/>
        <v>0</v>
      </c>
    </row>
    <row r="4190" spans="1:14" x14ac:dyDescent="0.35">
      <c r="A4190">
        <v>4189</v>
      </c>
      <c r="B4190" t="s">
        <v>16</v>
      </c>
      <c r="C4190">
        <v>30</v>
      </c>
      <c r="D4190" t="s">
        <v>27</v>
      </c>
      <c r="E4190" t="s">
        <v>22</v>
      </c>
      <c r="F4190">
        <v>195</v>
      </c>
      <c r="G4190">
        <v>87</v>
      </c>
      <c r="H4190">
        <v>0.1</v>
      </c>
      <c r="I4190" t="s">
        <v>15</v>
      </c>
      <c r="J4190">
        <v>0</v>
      </c>
      <c r="K4190">
        <v>1</v>
      </c>
      <c r="L4190">
        <v>1</v>
      </c>
      <c r="M4190">
        <f>VLOOKUP(Table1[[#This Row],[subscription_type]],Plans!$A$1:$B$5,2,FALSE)</f>
        <v>9.99</v>
      </c>
      <c r="N4190">
        <f t="shared" si="65"/>
        <v>9.99</v>
      </c>
    </row>
    <row r="4191" spans="1:14" x14ac:dyDescent="0.35">
      <c r="A4191">
        <v>4190</v>
      </c>
      <c r="B4191" t="s">
        <v>16</v>
      </c>
      <c r="C4191">
        <v>34</v>
      </c>
      <c r="D4191" t="s">
        <v>26</v>
      </c>
      <c r="E4191" t="s">
        <v>18</v>
      </c>
      <c r="F4191">
        <v>239</v>
      </c>
      <c r="G4191">
        <v>53</v>
      </c>
      <c r="H4191">
        <v>0.28000000000000003</v>
      </c>
      <c r="I4191" t="s">
        <v>23</v>
      </c>
      <c r="J4191">
        <v>0</v>
      </c>
      <c r="K4191">
        <v>1</v>
      </c>
      <c r="L4191">
        <v>0</v>
      </c>
      <c r="M4191">
        <f>VLOOKUP(Table1[[#This Row],[subscription_type]],Plans!$A$1:$B$5,2,FALSE)</f>
        <v>14.99</v>
      </c>
      <c r="N4191">
        <f t="shared" si="65"/>
        <v>0</v>
      </c>
    </row>
    <row r="4192" spans="1:14" x14ac:dyDescent="0.35">
      <c r="A4192">
        <v>4191</v>
      </c>
      <c r="B4192" t="s">
        <v>16</v>
      </c>
      <c r="C4192">
        <v>56</v>
      </c>
      <c r="D4192" t="s">
        <v>21</v>
      </c>
      <c r="E4192" t="s">
        <v>24</v>
      </c>
      <c r="F4192">
        <v>273</v>
      </c>
      <c r="G4192">
        <v>29</v>
      </c>
      <c r="H4192">
        <v>0.23</v>
      </c>
      <c r="I4192" t="s">
        <v>23</v>
      </c>
      <c r="J4192">
        <v>0</v>
      </c>
      <c r="K4192">
        <v>1</v>
      </c>
      <c r="L4192">
        <v>1</v>
      </c>
      <c r="M4192">
        <f>VLOOKUP(Table1[[#This Row],[subscription_type]],Plans!$A$1:$B$5,2,FALSE)</f>
        <v>4.99</v>
      </c>
      <c r="N4192">
        <f t="shared" si="65"/>
        <v>4.99</v>
      </c>
    </row>
    <row r="4193" spans="1:14" x14ac:dyDescent="0.35">
      <c r="A4193">
        <v>4192</v>
      </c>
      <c r="B4193" t="s">
        <v>20</v>
      </c>
      <c r="C4193">
        <v>24</v>
      </c>
      <c r="D4193" t="s">
        <v>29</v>
      </c>
      <c r="E4193" t="s">
        <v>14</v>
      </c>
      <c r="F4193">
        <v>260</v>
      </c>
      <c r="G4193">
        <v>46</v>
      </c>
      <c r="H4193">
        <v>0.42</v>
      </c>
      <c r="I4193" t="s">
        <v>23</v>
      </c>
      <c r="J4193">
        <v>10</v>
      </c>
      <c r="K4193">
        <v>0</v>
      </c>
      <c r="L4193">
        <v>0</v>
      </c>
      <c r="M4193">
        <f>VLOOKUP(Table1[[#This Row],[subscription_type]],Plans!$A$1:$B$5,2,FALSE)</f>
        <v>0</v>
      </c>
      <c r="N4193">
        <f t="shared" si="65"/>
        <v>0</v>
      </c>
    </row>
    <row r="4194" spans="1:14" x14ac:dyDescent="0.35">
      <c r="A4194">
        <v>4193</v>
      </c>
      <c r="B4194" t="s">
        <v>16</v>
      </c>
      <c r="C4194">
        <v>54</v>
      </c>
      <c r="D4194" t="s">
        <v>21</v>
      </c>
      <c r="E4194" t="s">
        <v>14</v>
      </c>
      <c r="F4194">
        <v>168</v>
      </c>
      <c r="G4194">
        <v>71</v>
      </c>
      <c r="H4194">
        <v>0.57999999999999996</v>
      </c>
      <c r="I4194" t="s">
        <v>23</v>
      </c>
      <c r="J4194">
        <v>31</v>
      </c>
      <c r="K4194">
        <v>0</v>
      </c>
      <c r="L4194">
        <v>0</v>
      </c>
      <c r="M4194">
        <f>VLOOKUP(Table1[[#This Row],[subscription_type]],Plans!$A$1:$B$5,2,FALSE)</f>
        <v>0</v>
      </c>
      <c r="N4194">
        <f t="shared" si="65"/>
        <v>0</v>
      </c>
    </row>
    <row r="4195" spans="1:14" x14ac:dyDescent="0.35">
      <c r="A4195">
        <v>4194</v>
      </c>
      <c r="B4195" t="s">
        <v>16</v>
      </c>
      <c r="C4195">
        <v>27</v>
      </c>
      <c r="D4195" t="s">
        <v>28</v>
      </c>
      <c r="E4195" t="s">
        <v>24</v>
      </c>
      <c r="F4195">
        <v>185</v>
      </c>
      <c r="G4195">
        <v>6</v>
      </c>
      <c r="H4195">
        <v>0.1</v>
      </c>
      <c r="I4195" t="s">
        <v>23</v>
      </c>
      <c r="J4195">
        <v>0</v>
      </c>
      <c r="K4195">
        <v>1</v>
      </c>
      <c r="L4195">
        <v>1</v>
      </c>
      <c r="M4195">
        <f>VLOOKUP(Table1[[#This Row],[subscription_type]],Plans!$A$1:$B$5,2,FALSE)</f>
        <v>4.99</v>
      </c>
      <c r="N4195">
        <f t="shared" si="65"/>
        <v>4.99</v>
      </c>
    </row>
    <row r="4196" spans="1:14" x14ac:dyDescent="0.35">
      <c r="A4196">
        <v>4195</v>
      </c>
      <c r="B4196" t="s">
        <v>20</v>
      </c>
      <c r="C4196">
        <v>33</v>
      </c>
      <c r="D4196" t="s">
        <v>27</v>
      </c>
      <c r="E4196" t="s">
        <v>24</v>
      </c>
      <c r="F4196">
        <v>252</v>
      </c>
      <c r="G4196">
        <v>56</v>
      </c>
      <c r="H4196">
        <v>0.44</v>
      </c>
      <c r="I4196" t="s">
        <v>15</v>
      </c>
      <c r="J4196">
        <v>0</v>
      </c>
      <c r="K4196">
        <v>1</v>
      </c>
      <c r="L4196">
        <v>1</v>
      </c>
      <c r="M4196">
        <f>VLOOKUP(Table1[[#This Row],[subscription_type]],Plans!$A$1:$B$5,2,FALSE)</f>
        <v>4.99</v>
      </c>
      <c r="N4196">
        <f t="shared" si="65"/>
        <v>4.99</v>
      </c>
    </row>
    <row r="4197" spans="1:14" x14ac:dyDescent="0.35">
      <c r="A4197">
        <v>4196</v>
      </c>
      <c r="B4197" t="s">
        <v>16</v>
      </c>
      <c r="C4197">
        <v>26</v>
      </c>
      <c r="D4197" t="s">
        <v>21</v>
      </c>
      <c r="E4197" t="s">
        <v>14</v>
      </c>
      <c r="F4197">
        <v>229</v>
      </c>
      <c r="G4197">
        <v>16</v>
      </c>
      <c r="H4197">
        <v>0.4</v>
      </c>
      <c r="I4197" t="s">
        <v>23</v>
      </c>
      <c r="J4197">
        <v>45</v>
      </c>
      <c r="K4197">
        <v>0</v>
      </c>
      <c r="L4197">
        <v>0</v>
      </c>
      <c r="M4197">
        <f>VLOOKUP(Table1[[#This Row],[subscription_type]],Plans!$A$1:$B$5,2,FALSE)</f>
        <v>0</v>
      </c>
      <c r="N4197">
        <f t="shared" si="65"/>
        <v>0</v>
      </c>
    </row>
    <row r="4198" spans="1:14" x14ac:dyDescent="0.35">
      <c r="A4198">
        <v>4197</v>
      </c>
      <c r="B4198" t="s">
        <v>16</v>
      </c>
      <c r="C4198">
        <v>47</v>
      </c>
      <c r="D4198" t="s">
        <v>17</v>
      </c>
      <c r="E4198" t="s">
        <v>22</v>
      </c>
      <c r="F4198">
        <v>225</v>
      </c>
      <c r="G4198">
        <v>68</v>
      </c>
      <c r="H4198">
        <v>0.25</v>
      </c>
      <c r="I4198" t="s">
        <v>15</v>
      </c>
      <c r="J4198">
        <v>0</v>
      </c>
      <c r="K4198">
        <v>1</v>
      </c>
      <c r="L4198">
        <v>1</v>
      </c>
      <c r="M4198">
        <f>VLOOKUP(Table1[[#This Row],[subscription_type]],Plans!$A$1:$B$5,2,FALSE)</f>
        <v>9.99</v>
      </c>
      <c r="N4198">
        <f t="shared" si="65"/>
        <v>9.99</v>
      </c>
    </row>
    <row r="4199" spans="1:14" x14ac:dyDescent="0.35">
      <c r="A4199">
        <v>4198</v>
      </c>
      <c r="B4199" t="s">
        <v>12</v>
      </c>
      <c r="C4199">
        <v>16</v>
      </c>
      <c r="D4199" t="s">
        <v>21</v>
      </c>
      <c r="E4199" t="s">
        <v>18</v>
      </c>
      <c r="F4199">
        <v>146</v>
      </c>
      <c r="G4199">
        <v>81</v>
      </c>
      <c r="H4199">
        <v>0.56000000000000005</v>
      </c>
      <c r="I4199" t="s">
        <v>19</v>
      </c>
      <c r="J4199">
        <v>0</v>
      </c>
      <c r="K4199">
        <v>1</v>
      </c>
      <c r="L4199">
        <v>0</v>
      </c>
      <c r="M4199">
        <f>VLOOKUP(Table1[[#This Row],[subscription_type]],Plans!$A$1:$B$5,2,FALSE)</f>
        <v>14.99</v>
      </c>
      <c r="N4199">
        <f t="shared" si="65"/>
        <v>0</v>
      </c>
    </row>
    <row r="4200" spans="1:14" x14ac:dyDescent="0.35">
      <c r="A4200">
        <v>4199</v>
      </c>
      <c r="B4200" t="s">
        <v>16</v>
      </c>
      <c r="C4200">
        <v>18</v>
      </c>
      <c r="D4200" t="s">
        <v>25</v>
      </c>
      <c r="E4200" t="s">
        <v>22</v>
      </c>
      <c r="F4200">
        <v>27</v>
      </c>
      <c r="G4200">
        <v>83</v>
      </c>
      <c r="H4200">
        <v>0.47</v>
      </c>
      <c r="I4200" t="s">
        <v>15</v>
      </c>
      <c r="J4200">
        <v>0</v>
      </c>
      <c r="K4200">
        <v>1</v>
      </c>
      <c r="L4200">
        <v>1</v>
      </c>
      <c r="M4200">
        <f>VLOOKUP(Table1[[#This Row],[subscription_type]],Plans!$A$1:$B$5,2,FALSE)</f>
        <v>9.99</v>
      </c>
      <c r="N4200">
        <f t="shared" si="65"/>
        <v>9.99</v>
      </c>
    </row>
    <row r="4201" spans="1:14" x14ac:dyDescent="0.35">
      <c r="A4201">
        <v>4200</v>
      </c>
      <c r="B4201" t="s">
        <v>16</v>
      </c>
      <c r="C4201">
        <v>28</v>
      </c>
      <c r="D4201" t="s">
        <v>13</v>
      </c>
      <c r="E4201" t="s">
        <v>24</v>
      </c>
      <c r="F4201">
        <v>21</v>
      </c>
      <c r="G4201">
        <v>61</v>
      </c>
      <c r="H4201">
        <v>0.26</v>
      </c>
      <c r="I4201" t="s">
        <v>23</v>
      </c>
      <c r="J4201">
        <v>0</v>
      </c>
      <c r="K4201">
        <v>1</v>
      </c>
      <c r="L4201">
        <v>1</v>
      </c>
      <c r="M4201">
        <f>VLOOKUP(Table1[[#This Row],[subscription_type]],Plans!$A$1:$B$5,2,FALSE)</f>
        <v>4.99</v>
      </c>
      <c r="N4201">
        <f t="shared" si="65"/>
        <v>4.99</v>
      </c>
    </row>
    <row r="4202" spans="1:14" x14ac:dyDescent="0.35">
      <c r="A4202">
        <v>4201</v>
      </c>
      <c r="B4202" t="s">
        <v>16</v>
      </c>
      <c r="C4202">
        <v>59</v>
      </c>
      <c r="D4202" t="s">
        <v>28</v>
      </c>
      <c r="E4202" t="s">
        <v>24</v>
      </c>
      <c r="F4202">
        <v>251</v>
      </c>
      <c r="G4202">
        <v>77</v>
      </c>
      <c r="H4202">
        <v>0.1</v>
      </c>
      <c r="I4202" t="s">
        <v>23</v>
      </c>
      <c r="J4202">
        <v>0</v>
      </c>
      <c r="K4202">
        <v>1</v>
      </c>
      <c r="L4202">
        <v>1</v>
      </c>
      <c r="M4202">
        <f>VLOOKUP(Table1[[#This Row],[subscription_type]],Plans!$A$1:$B$5,2,FALSE)</f>
        <v>4.99</v>
      </c>
      <c r="N4202">
        <f t="shared" si="65"/>
        <v>4.99</v>
      </c>
    </row>
    <row r="4203" spans="1:14" x14ac:dyDescent="0.35">
      <c r="A4203">
        <v>4202</v>
      </c>
      <c r="B4203" t="s">
        <v>20</v>
      </c>
      <c r="C4203">
        <v>45</v>
      </c>
      <c r="D4203" t="s">
        <v>29</v>
      </c>
      <c r="E4203" t="s">
        <v>18</v>
      </c>
      <c r="F4203">
        <v>284</v>
      </c>
      <c r="G4203">
        <v>90</v>
      </c>
      <c r="H4203">
        <v>0.48</v>
      </c>
      <c r="I4203" t="s">
        <v>19</v>
      </c>
      <c r="J4203">
        <v>0</v>
      </c>
      <c r="K4203">
        <v>1</v>
      </c>
      <c r="L4203">
        <v>0</v>
      </c>
      <c r="M4203">
        <f>VLOOKUP(Table1[[#This Row],[subscription_type]],Plans!$A$1:$B$5,2,FALSE)</f>
        <v>14.99</v>
      </c>
      <c r="N4203">
        <f t="shared" si="65"/>
        <v>0</v>
      </c>
    </row>
    <row r="4204" spans="1:14" x14ac:dyDescent="0.35">
      <c r="A4204">
        <v>4203</v>
      </c>
      <c r="B4204" t="s">
        <v>20</v>
      </c>
      <c r="C4204">
        <v>57</v>
      </c>
      <c r="D4204" t="s">
        <v>25</v>
      </c>
      <c r="E4204" t="s">
        <v>18</v>
      </c>
      <c r="F4204">
        <v>226</v>
      </c>
      <c r="G4204">
        <v>55</v>
      </c>
      <c r="H4204">
        <v>0.6</v>
      </c>
      <c r="I4204" t="s">
        <v>23</v>
      </c>
      <c r="J4204">
        <v>0</v>
      </c>
      <c r="K4204">
        <v>1</v>
      </c>
      <c r="L4204">
        <v>0</v>
      </c>
      <c r="M4204">
        <f>VLOOKUP(Table1[[#This Row],[subscription_type]],Plans!$A$1:$B$5,2,FALSE)</f>
        <v>14.99</v>
      </c>
      <c r="N4204">
        <f t="shared" si="65"/>
        <v>0</v>
      </c>
    </row>
    <row r="4205" spans="1:14" x14ac:dyDescent="0.35">
      <c r="A4205">
        <v>4204</v>
      </c>
      <c r="B4205" t="s">
        <v>16</v>
      </c>
      <c r="C4205">
        <v>22</v>
      </c>
      <c r="D4205" t="s">
        <v>28</v>
      </c>
      <c r="E4205" t="s">
        <v>14</v>
      </c>
      <c r="F4205">
        <v>239</v>
      </c>
      <c r="G4205">
        <v>73</v>
      </c>
      <c r="H4205">
        <v>0.46</v>
      </c>
      <c r="I4205" t="s">
        <v>19</v>
      </c>
      <c r="J4205">
        <v>45</v>
      </c>
      <c r="K4205">
        <v>0</v>
      </c>
      <c r="L4205">
        <v>1</v>
      </c>
      <c r="M4205">
        <f>VLOOKUP(Table1[[#This Row],[subscription_type]],Plans!$A$1:$B$5,2,FALSE)</f>
        <v>0</v>
      </c>
      <c r="N4205">
        <f t="shared" si="65"/>
        <v>0</v>
      </c>
    </row>
    <row r="4206" spans="1:14" x14ac:dyDescent="0.35">
      <c r="A4206">
        <v>4205</v>
      </c>
      <c r="B4206" t="s">
        <v>20</v>
      </c>
      <c r="C4206">
        <v>28</v>
      </c>
      <c r="D4206" t="s">
        <v>21</v>
      </c>
      <c r="E4206" t="s">
        <v>18</v>
      </c>
      <c r="F4206">
        <v>229</v>
      </c>
      <c r="G4206">
        <v>12</v>
      </c>
      <c r="H4206">
        <v>0.48</v>
      </c>
      <c r="I4206" t="s">
        <v>15</v>
      </c>
      <c r="J4206">
        <v>0</v>
      </c>
      <c r="K4206">
        <v>1</v>
      </c>
      <c r="L4206">
        <v>0</v>
      </c>
      <c r="M4206">
        <f>VLOOKUP(Table1[[#This Row],[subscription_type]],Plans!$A$1:$B$5,2,FALSE)</f>
        <v>14.99</v>
      </c>
      <c r="N4206">
        <f t="shared" si="65"/>
        <v>0</v>
      </c>
    </row>
    <row r="4207" spans="1:14" x14ac:dyDescent="0.35">
      <c r="A4207">
        <v>4206</v>
      </c>
      <c r="B4207" t="s">
        <v>12</v>
      </c>
      <c r="C4207">
        <v>37</v>
      </c>
      <c r="D4207" t="s">
        <v>26</v>
      </c>
      <c r="E4207" t="s">
        <v>24</v>
      </c>
      <c r="F4207">
        <v>213</v>
      </c>
      <c r="G4207">
        <v>40</v>
      </c>
      <c r="H4207">
        <v>0.56999999999999995</v>
      </c>
      <c r="I4207" t="s">
        <v>15</v>
      </c>
      <c r="J4207">
        <v>0</v>
      </c>
      <c r="K4207">
        <v>1</v>
      </c>
      <c r="L4207">
        <v>0</v>
      </c>
      <c r="M4207">
        <f>VLOOKUP(Table1[[#This Row],[subscription_type]],Plans!$A$1:$B$5,2,FALSE)</f>
        <v>4.99</v>
      </c>
      <c r="N4207">
        <f t="shared" si="65"/>
        <v>0</v>
      </c>
    </row>
    <row r="4208" spans="1:14" x14ac:dyDescent="0.35">
      <c r="A4208">
        <v>4207</v>
      </c>
      <c r="B4208" t="s">
        <v>20</v>
      </c>
      <c r="C4208">
        <v>35</v>
      </c>
      <c r="D4208" t="s">
        <v>29</v>
      </c>
      <c r="E4208" t="s">
        <v>18</v>
      </c>
      <c r="F4208">
        <v>90</v>
      </c>
      <c r="G4208">
        <v>37</v>
      </c>
      <c r="H4208">
        <v>0.21</v>
      </c>
      <c r="I4208" t="s">
        <v>23</v>
      </c>
      <c r="J4208">
        <v>0</v>
      </c>
      <c r="K4208">
        <v>1</v>
      </c>
      <c r="L4208">
        <v>0</v>
      </c>
      <c r="M4208">
        <f>VLOOKUP(Table1[[#This Row],[subscription_type]],Plans!$A$1:$B$5,2,FALSE)</f>
        <v>14.99</v>
      </c>
      <c r="N4208">
        <f t="shared" si="65"/>
        <v>0</v>
      </c>
    </row>
    <row r="4209" spans="1:14" x14ac:dyDescent="0.35">
      <c r="A4209">
        <v>4208</v>
      </c>
      <c r="B4209" t="s">
        <v>12</v>
      </c>
      <c r="C4209">
        <v>57</v>
      </c>
      <c r="D4209" t="s">
        <v>28</v>
      </c>
      <c r="E4209" t="s">
        <v>22</v>
      </c>
      <c r="F4209">
        <v>18</v>
      </c>
      <c r="G4209">
        <v>62</v>
      </c>
      <c r="H4209">
        <v>0.47</v>
      </c>
      <c r="I4209" t="s">
        <v>23</v>
      </c>
      <c r="J4209">
        <v>0</v>
      </c>
      <c r="K4209">
        <v>1</v>
      </c>
      <c r="L4209">
        <v>0</v>
      </c>
      <c r="M4209">
        <f>VLOOKUP(Table1[[#This Row],[subscription_type]],Plans!$A$1:$B$5,2,FALSE)</f>
        <v>9.99</v>
      </c>
      <c r="N4209">
        <f t="shared" si="65"/>
        <v>0</v>
      </c>
    </row>
    <row r="4210" spans="1:14" x14ac:dyDescent="0.35">
      <c r="A4210">
        <v>4209</v>
      </c>
      <c r="B4210" t="s">
        <v>20</v>
      </c>
      <c r="C4210">
        <v>17</v>
      </c>
      <c r="D4210" t="s">
        <v>26</v>
      </c>
      <c r="E4210" t="s">
        <v>18</v>
      </c>
      <c r="F4210">
        <v>48</v>
      </c>
      <c r="G4210">
        <v>44</v>
      </c>
      <c r="H4210">
        <v>0.59</v>
      </c>
      <c r="I4210" t="s">
        <v>19</v>
      </c>
      <c r="J4210">
        <v>0</v>
      </c>
      <c r="K4210">
        <v>1</v>
      </c>
      <c r="L4210">
        <v>1</v>
      </c>
      <c r="M4210">
        <f>VLOOKUP(Table1[[#This Row],[subscription_type]],Plans!$A$1:$B$5,2,FALSE)</f>
        <v>14.99</v>
      </c>
      <c r="N4210">
        <f t="shared" si="65"/>
        <v>14.99</v>
      </c>
    </row>
    <row r="4211" spans="1:14" x14ac:dyDescent="0.35">
      <c r="A4211">
        <v>4210</v>
      </c>
      <c r="B4211" t="s">
        <v>16</v>
      </c>
      <c r="C4211">
        <v>30</v>
      </c>
      <c r="D4211" t="s">
        <v>21</v>
      </c>
      <c r="E4211" t="s">
        <v>18</v>
      </c>
      <c r="F4211">
        <v>76</v>
      </c>
      <c r="G4211">
        <v>5</v>
      </c>
      <c r="H4211">
        <v>0.2</v>
      </c>
      <c r="I4211" t="s">
        <v>23</v>
      </c>
      <c r="J4211">
        <v>0</v>
      </c>
      <c r="K4211">
        <v>1</v>
      </c>
      <c r="L4211">
        <v>1</v>
      </c>
      <c r="M4211">
        <f>VLOOKUP(Table1[[#This Row],[subscription_type]],Plans!$A$1:$B$5,2,FALSE)</f>
        <v>14.99</v>
      </c>
      <c r="N4211">
        <f t="shared" si="65"/>
        <v>14.99</v>
      </c>
    </row>
    <row r="4212" spans="1:14" x14ac:dyDescent="0.35">
      <c r="A4212">
        <v>4211</v>
      </c>
      <c r="B4212" t="s">
        <v>12</v>
      </c>
      <c r="C4212">
        <v>33</v>
      </c>
      <c r="D4212" t="s">
        <v>17</v>
      </c>
      <c r="E4212" t="s">
        <v>22</v>
      </c>
      <c r="F4212">
        <v>202</v>
      </c>
      <c r="G4212">
        <v>21</v>
      </c>
      <c r="H4212">
        <v>0.51</v>
      </c>
      <c r="I4212" t="s">
        <v>19</v>
      </c>
      <c r="J4212">
        <v>0</v>
      </c>
      <c r="K4212">
        <v>1</v>
      </c>
      <c r="L4212">
        <v>1</v>
      </c>
      <c r="M4212">
        <f>VLOOKUP(Table1[[#This Row],[subscription_type]],Plans!$A$1:$B$5,2,FALSE)</f>
        <v>9.99</v>
      </c>
      <c r="N4212">
        <f t="shared" si="65"/>
        <v>9.99</v>
      </c>
    </row>
    <row r="4213" spans="1:14" x14ac:dyDescent="0.35">
      <c r="A4213">
        <v>4212</v>
      </c>
      <c r="B4213" t="s">
        <v>20</v>
      </c>
      <c r="C4213">
        <v>49</v>
      </c>
      <c r="D4213" t="s">
        <v>29</v>
      </c>
      <c r="E4213" t="s">
        <v>24</v>
      </c>
      <c r="F4213">
        <v>207</v>
      </c>
      <c r="G4213">
        <v>85</v>
      </c>
      <c r="H4213">
        <v>0.39</v>
      </c>
      <c r="I4213" t="s">
        <v>19</v>
      </c>
      <c r="J4213">
        <v>0</v>
      </c>
      <c r="K4213">
        <v>1</v>
      </c>
      <c r="L4213">
        <v>0</v>
      </c>
      <c r="M4213">
        <f>VLOOKUP(Table1[[#This Row],[subscription_type]],Plans!$A$1:$B$5,2,FALSE)</f>
        <v>4.99</v>
      </c>
      <c r="N4213">
        <f t="shared" si="65"/>
        <v>0</v>
      </c>
    </row>
    <row r="4214" spans="1:14" x14ac:dyDescent="0.35">
      <c r="A4214">
        <v>4213</v>
      </c>
      <c r="B4214" t="s">
        <v>20</v>
      </c>
      <c r="C4214">
        <v>25</v>
      </c>
      <c r="D4214" t="s">
        <v>26</v>
      </c>
      <c r="E4214" t="s">
        <v>22</v>
      </c>
      <c r="F4214">
        <v>115</v>
      </c>
      <c r="G4214">
        <v>35</v>
      </c>
      <c r="H4214">
        <v>0.21</v>
      </c>
      <c r="I4214" t="s">
        <v>23</v>
      </c>
      <c r="J4214">
        <v>0</v>
      </c>
      <c r="K4214">
        <v>1</v>
      </c>
      <c r="L4214">
        <v>0</v>
      </c>
      <c r="M4214">
        <f>VLOOKUP(Table1[[#This Row],[subscription_type]],Plans!$A$1:$B$5,2,FALSE)</f>
        <v>9.99</v>
      </c>
      <c r="N4214">
        <f t="shared" si="65"/>
        <v>0</v>
      </c>
    </row>
    <row r="4215" spans="1:14" x14ac:dyDescent="0.35">
      <c r="A4215">
        <v>4214</v>
      </c>
      <c r="B4215" t="s">
        <v>16</v>
      </c>
      <c r="C4215">
        <v>41</v>
      </c>
      <c r="D4215" t="s">
        <v>17</v>
      </c>
      <c r="E4215" t="s">
        <v>22</v>
      </c>
      <c r="F4215">
        <v>263</v>
      </c>
      <c r="G4215">
        <v>76</v>
      </c>
      <c r="H4215">
        <v>0.56000000000000005</v>
      </c>
      <c r="I4215" t="s">
        <v>23</v>
      </c>
      <c r="J4215">
        <v>0</v>
      </c>
      <c r="K4215">
        <v>1</v>
      </c>
      <c r="L4215">
        <v>0</v>
      </c>
      <c r="M4215">
        <f>VLOOKUP(Table1[[#This Row],[subscription_type]],Plans!$A$1:$B$5,2,FALSE)</f>
        <v>9.99</v>
      </c>
      <c r="N4215">
        <f t="shared" si="65"/>
        <v>0</v>
      </c>
    </row>
    <row r="4216" spans="1:14" x14ac:dyDescent="0.35">
      <c r="A4216">
        <v>4215</v>
      </c>
      <c r="B4216" t="s">
        <v>16</v>
      </c>
      <c r="C4216">
        <v>39</v>
      </c>
      <c r="D4216" t="s">
        <v>27</v>
      </c>
      <c r="E4216" t="s">
        <v>14</v>
      </c>
      <c r="F4216">
        <v>77</v>
      </c>
      <c r="G4216">
        <v>64</v>
      </c>
      <c r="H4216">
        <v>0.34</v>
      </c>
      <c r="I4216" t="s">
        <v>19</v>
      </c>
      <c r="J4216">
        <v>37</v>
      </c>
      <c r="K4216">
        <v>0</v>
      </c>
      <c r="L4216">
        <v>1</v>
      </c>
      <c r="M4216">
        <f>VLOOKUP(Table1[[#This Row],[subscription_type]],Plans!$A$1:$B$5,2,FALSE)</f>
        <v>0</v>
      </c>
      <c r="N4216">
        <f t="shared" si="65"/>
        <v>0</v>
      </c>
    </row>
    <row r="4217" spans="1:14" x14ac:dyDescent="0.35">
      <c r="A4217">
        <v>4216</v>
      </c>
      <c r="B4217" t="s">
        <v>20</v>
      </c>
      <c r="C4217">
        <v>47</v>
      </c>
      <c r="D4217" t="s">
        <v>21</v>
      </c>
      <c r="E4217" t="s">
        <v>22</v>
      </c>
      <c r="F4217">
        <v>115</v>
      </c>
      <c r="G4217">
        <v>90</v>
      </c>
      <c r="H4217">
        <v>0.24</v>
      </c>
      <c r="I4217" t="s">
        <v>19</v>
      </c>
      <c r="J4217">
        <v>0</v>
      </c>
      <c r="K4217">
        <v>1</v>
      </c>
      <c r="L4217">
        <v>0</v>
      </c>
      <c r="M4217">
        <f>VLOOKUP(Table1[[#This Row],[subscription_type]],Plans!$A$1:$B$5,2,FALSE)</f>
        <v>9.99</v>
      </c>
      <c r="N4217">
        <f t="shared" si="65"/>
        <v>0</v>
      </c>
    </row>
    <row r="4218" spans="1:14" x14ac:dyDescent="0.35">
      <c r="A4218">
        <v>4217</v>
      </c>
      <c r="B4218" t="s">
        <v>12</v>
      </c>
      <c r="C4218">
        <v>59</v>
      </c>
      <c r="D4218" t="s">
        <v>27</v>
      </c>
      <c r="E4218" t="s">
        <v>24</v>
      </c>
      <c r="F4218">
        <v>286</v>
      </c>
      <c r="G4218">
        <v>68</v>
      </c>
      <c r="H4218">
        <v>0.46</v>
      </c>
      <c r="I4218" t="s">
        <v>15</v>
      </c>
      <c r="J4218">
        <v>0</v>
      </c>
      <c r="K4218">
        <v>1</v>
      </c>
      <c r="L4218">
        <v>0</v>
      </c>
      <c r="M4218">
        <f>VLOOKUP(Table1[[#This Row],[subscription_type]],Plans!$A$1:$B$5,2,FALSE)</f>
        <v>4.99</v>
      </c>
      <c r="N4218">
        <f t="shared" si="65"/>
        <v>0</v>
      </c>
    </row>
    <row r="4219" spans="1:14" x14ac:dyDescent="0.35">
      <c r="A4219">
        <v>4218</v>
      </c>
      <c r="B4219" t="s">
        <v>20</v>
      </c>
      <c r="C4219">
        <v>25</v>
      </c>
      <c r="D4219" t="s">
        <v>28</v>
      </c>
      <c r="E4219" t="s">
        <v>24</v>
      </c>
      <c r="F4219">
        <v>68</v>
      </c>
      <c r="G4219">
        <v>37</v>
      </c>
      <c r="H4219">
        <v>0.2</v>
      </c>
      <c r="I4219" t="s">
        <v>15</v>
      </c>
      <c r="J4219">
        <v>0</v>
      </c>
      <c r="K4219">
        <v>1</v>
      </c>
      <c r="L4219">
        <v>1</v>
      </c>
      <c r="M4219">
        <f>VLOOKUP(Table1[[#This Row],[subscription_type]],Plans!$A$1:$B$5,2,FALSE)</f>
        <v>4.99</v>
      </c>
      <c r="N4219">
        <f t="shared" si="65"/>
        <v>4.99</v>
      </c>
    </row>
    <row r="4220" spans="1:14" x14ac:dyDescent="0.35">
      <c r="A4220">
        <v>4219</v>
      </c>
      <c r="B4220" t="s">
        <v>20</v>
      </c>
      <c r="C4220">
        <v>50</v>
      </c>
      <c r="D4220" t="s">
        <v>27</v>
      </c>
      <c r="E4220" t="s">
        <v>22</v>
      </c>
      <c r="F4220">
        <v>252</v>
      </c>
      <c r="G4220">
        <v>22</v>
      </c>
      <c r="H4220">
        <v>0.41</v>
      </c>
      <c r="I4220" t="s">
        <v>19</v>
      </c>
      <c r="J4220">
        <v>0</v>
      </c>
      <c r="K4220">
        <v>1</v>
      </c>
      <c r="L4220">
        <v>0</v>
      </c>
      <c r="M4220">
        <f>VLOOKUP(Table1[[#This Row],[subscription_type]],Plans!$A$1:$B$5,2,FALSE)</f>
        <v>9.99</v>
      </c>
      <c r="N4220">
        <f t="shared" si="65"/>
        <v>0</v>
      </c>
    </row>
    <row r="4221" spans="1:14" x14ac:dyDescent="0.35">
      <c r="A4221">
        <v>4220</v>
      </c>
      <c r="B4221" t="s">
        <v>12</v>
      </c>
      <c r="C4221">
        <v>29</v>
      </c>
      <c r="D4221" t="s">
        <v>27</v>
      </c>
      <c r="E4221" t="s">
        <v>18</v>
      </c>
      <c r="F4221">
        <v>181</v>
      </c>
      <c r="G4221">
        <v>86</v>
      </c>
      <c r="H4221">
        <v>0.5</v>
      </c>
      <c r="I4221" t="s">
        <v>15</v>
      </c>
      <c r="J4221">
        <v>0</v>
      </c>
      <c r="K4221">
        <v>1</v>
      </c>
      <c r="L4221">
        <v>1</v>
      </c>
      <c r="M4221">
        <f>VLOOKUP(Table1[[#This Row],[subscription_type]],Plans!$A$1:$B$5,2,FALSE)</f>
        <v>14.99</v>
      </c>
      <c r="N4221">
        <f t="shared" si="65"/>
        <v>14.99</v>
      </c>
    </row>
    <row r="4222" spans="1:14" x14ac:dyDescent="0.35">
      <c r="A4222">
        <v>4221</v>
      </c>
      <c r="B4222" t="s">
        <v>12</v>
      </c>
      <c r="C4222">
        <v>39</v>
      </c>
      <c r="D4222" t="s">
        <v>17</v>
      </c>
      <c r="E4222" t="s">
        <v>24</v>
      </c>
      <c r="F4222">
        <v>150</v>
      </c>
      <c r="G4222">
        <v>12</v>
      </c>
      <c r="H4222">
        <v>0.16</v>
      </c>
      <c r="I4222" t="s">
        <v>15</v>
      </c>
      <c r="J4222">
        <v>0</v>
      </c>
      <c r="K4222">
        <v>1</v>
      </c>
      <c r="L4222">
        <v>0</v>
      </c>
      <c r="M4222">
        <f>VLOOKUP(Table1[[#This Row],[subscription_type]],Plans!$A$1:$B$5,2,FALSE)</f>
        <v>4.99</v>
      </c>
      <c r="N4222">
        <f t="shared" si="65"/>
        <v>0</v>
      </c>
    </row>
    <row r="4223" spans="1:14" x14ac:dyDescent="0.35">
      <c r="A4223">
        <v>4222</v>
      </c>
      <c r="B4223" t="s">
        <v>20</v>
      </c>
      <c r="C4223">
        <v>25</v>
      </c>
      <c r="D4223" t="s">
        <v>13</v>
      </c>
      <c r="E4223" t="s">
        <v>22</v>
      </c>
      <c r="F4223">
        <v>166</v>
      </c>
      <c r="G4223">
        <v>8</v>
      </c>
      <c r="H4223">
        <v>0.56000000000000005</v>
      </c>
      <c r="I4223" t="s">
        <v>19</v>
      </c>
      <c r="J4223">
        <v>0</v>
      </c>
      <c r="K4223">
        <v>1</v>
      </c>
      <c r="L4223">
        <v>0</v>
      </c>
      <c r="M4223">
        <f>VLOOKUP(Table1[[#This Row],[subscription_type]],Plans!$A$1:$B$5,2,FALSE)</f>
        <v>9.99</v>
      </c>
      <c r="N4223">
        <f t="shared" si="65"/>
        <v>0</v>
      </c>
    </row>
    <row r="4224" spans="1:14" x14ac:dyDescent="0.35">
      <c r="A4224">
        <v>4223</v>
      </c>
      <c r="B4224" t="s">
        <v>20</v>
      </c>
      <c r="C4224">
        <v>49</v>
      </c>
      <c r="D4224" t="s">
        <v>26</v>
      </c>
      <c r="E4224" t="s">
        <v>18</v>
      </c>
      <c r="F4224">
        <v>253</v>
      </c>
      <c r="G4224">
        <v>75</v>
      </c>
      <c r="H4224">
        <v>0.13</v>
      </c>
      <c r="I4224" t="s">
        <v>23</v>
      </c>
      <c r="J4224">
        <v>0</v>
      </c>
      <c r="K4224">
        <v>1</v>
      </c>
      <c r="L4224">
        <v>1</v>
      </c>
      <c r="M4224">
        <f>VLOOKUP(Table1[[#This Row],[subscription_type]],Plans!$A$1:$B$5,2,FALSE)</f>
        <v>14.99</v>
      </c>
      <c r="N4224">
        <f t="shared" si="65"/>
        <v>14.99</v>
      </c>
    </row>
    <row r="4225" spans="1:14" x14ac:dyDescent="0.35">
      <c r="A4225">
        <v>4224</v>
      </c>
      <c r="B4225" t="s">
        <v>20</v>
      </c>
      <c r="C4225">
        <v>50</v>
      </c>
      <c r="D4225" t="s">
        <v>29</v>
      </c>
      <c r="E4225" t="s">
        <v>18</v>
      </c>
      <c r="F4225">
        <v>45</v>
      </c>
      <c r="G4225">
        <v>83</v>
      </c>
      <c r="H4225">
        <v>0.18</v>
      </c>
      <c r="I4225" t="s">
        <v>15</v>
      </c>
      <c r="J4225">
        <v>0</v>
      </c>
      <c r="K4225">
        <v>1</v>
      </c>
      <c r="L4225">
        <v>0</v>
      </c>
      <c r="M4225">
        <f>VLOOKUP(Table1[[#This Row],[subscription_type]],Plans!$A$1:$B$5,2,FALSE)</f>
        <v>14.99</v>
      </c>
      <c r="N4225">
        <f t="shared" si="65"/>
        <v>0</v>
      </c>
    </row>
    <row r="4226" spans="1:14" x14ac:dyDescent="0.35">
      <c r="A4226">
        <v>4225</v>
      </c>
      <c r="B4226" t="s">
        <v>12</v>
      </c>
      <c r="C4226">
        <v>36</v>
      </c>
      <c r="D4226" t="s">
        <v>28</v>
      </c>
      <c r="E4226" t="s">
        <v>14</v>
      </c>
      <c r="F4226">
        <v>72</v>
      </c>
      <c r="G4226">
        <v>65</v>
      </c>
      <c r="H4226">
        <v>0.43</v>
      </c>
      <c r="I4226" t="s">
        <v>23</v>
      </c>
      <c r="J4226">
        <v>24</v>
      </c>
      <c r="K4226">
        <v>0</v>
      </c>
      <c r="L4226">
        <v>0</v>
      </c>
      <c r="M4226">
        <f>VLOOKUP(Table1[[#This Row],[subscription_type]],Plans!$A$1:$B$5,2,FALSE)</f>
        <v>0</v>
      </c>
      <c r="N4226">
        <f t="shared" ref="N4226:N4289" si="66">IF(L4226=1, M4226,0)</f>
        <v>0</v>
      </c>
    </row>
    <row r="4227" spans="1:14" x14ac:dyDescent="0.35">
      <c r="A4227">
        <v>4226</v>
      </c>
      <c r="B4227" t="s">
        <v>12</v>
      </c>
      <c r="C4227">
        <v>56</v>
      </c>
      <c r="D4227" t="s">
        <v>26</v>
      </c>
      <c r="E4227" t="s">
        <v>14</v>
      </c>
      <c r="F4227">
        <v>198</v>
      </c>
      <c r="G4227">
        <v>28</v>
      </c>
      <c r="H4227">
        <v>0</v>
      </c>
      <c r="I4227" t="s">
        <v>19</v>
      </c>
      <c r="J4227">
        <v>24</v>
      </c>
      <c r="K4227">
        <v>0</v>
      </c>
      <c r="L4227">
        <v>0</v>
      </c>
      <c r="M4227">
        <f>VLOOKUP(Table1[[#This Row],[subscription_type]],Plans!$A$1:$B$5,2,FALSE)</f>
        <v>0</v>
      </c>
      <c r="N4227">
        <f t="shared" si="66"/>
        <v>0</v>
      </c>
    </row>
    <row r="4228" spans="1:14" x14ac:dyDescent="0.35">
      <c r="A4228">
        <v>4227</v>
      </c>
      <c r="B4228" t="s">
        <v>12</v>
      </c>
      <c r="C4228">
        <v>37</v>
      </c>
      <c r="D4228" t="s">
        <v>26</v>
      </c>
      <c r="E4228" t="s">
        <v>14</v>
      </c>
      <c r="F4228">
        <v>16</v>
      </c>
      <c r="G4228">
        <v>43</v>
      </c>
      <c r="H4228">
        <v>0.39</v>
      </c>
      <c r="I4228" t="s">
        <v>23</v>
      </c>
      <c r="J4228">
        <v>43</v>
      </c>
      <c r="K4228">
        <v>0</v>
      </c>
      <c r="L4228">
        <v>0</v>
      </c>
      <c r="M4228">
        <f>VLOOKUP(Table1[[#This Row],[subscription_type]],Plans!$A$1:$B$5,2,FALSE)</f>
        <v>0</v>
      </c>
      <c r="N4228">
        <f t="shared" si="66"/>
        <v>0</v>
      </c>
    </row>
    <row r="4229" spans="1:14" x14ac:dyDescent="0.35">
      <c r="A4229">
        <v>4228</v>
      </c>
      <c r="B4229" t="s">
        <v>16</v>
      </c>
      <c r="C4229">
        <v>44</v>
      </c>
      <c r="D4229" t="s">
        <v>28</v>
      </c>
      <c r="E4229" t="s">
        <v>18</v>
      </c>
      <c r="F4229">
        <v>170</v>
      </c>
      <c r="G4229">
        <v>32</v>
      </c>
      <c r="H4229">
        <v>0.3</v>
      </c>
      <c r="I4229" t="s">
        <v>23</v>
      </c>
      <c r="J4229">
        <v>0</v>
      </c>
      <c r="K4229">
        <v>1</v>
      </c>
      <c r="L4229">
        <v>1</v>
      </c>
      <c r="M4229">
        <f>VLOOKUP(Table1[[#This Row],[subscription_type]],Plans!$A$1:$B$5,2,FALSE)</f>
        <v>14.99</v>
      </c>
      <c r="N4229">
        <f t="shared" si="66"/>
        <v>14.99</v>
      </c>
    </row>
    <row r="4230" spans="1:14" x14ac:dyDescent="0.35">
      <c r="A4230">
        <v>4229</v>
      </c>
      <c r="B4230" t="s">
        <v>16</v>
      </c>
      <c r="C4230">
        <v>42</v>
      </c>
      <c r="D4230" t="s">
        <v>21</v>
      </c>
      <c r="E4230" t="s">
        <v>18</v>
      </c>
      <c r="F4230">
        <v>68</v>
      </c>
      <c r="G4230">
        <v>19</v>
      </c>
      <c r="H4230">
        <v>0.4</v>
      </c>
      <c r="I4230" t="s">
        <v>15</v>
      </c>
      <c r="J4230">
        <v>0</v>
      </c>
      <c r="K4230">
        <v>1</v>
      </c>
      <c r="L4230">
        <v>1</v>
      </c>
      <c r="M4230">
        <f>VLOOKUP(Table1[[#This Row],[subscription_type]],Plans!$A$1:$B$5,2,FALSE)</f>
        <v>14.99</v>
      </c>
      <c r="N4230">
        <f t="shared" si="66"/>
        <v>14.99</v>
      </c>
    </row>
    <row r="4231" spans="1:14" x14ac:dyDescent="0.35">
      <c r="A4231">
        <v>4230</v>
      </c>
      <c r="B4231" t="s">
        <v>12</v>
      </c>
      <c r="C4231">
        <v>19</v>
      </c>
      <c r="D4231" t="s">
        <v>25</v>
      </c>
      <c r="E4231" t="s">
        <v>22</v>
      </c>
      <c r="F4231">
        <v>218</v>
      </c>
      <c r="G4231">
        <v>18</v>
      </c>
      <c r="H4231">
        <v>0.46</v>
      </c>
      <c r="I4231" t="s">
        <v>15</v>
      </c>
      <c r="J4231">
        <v>0</v>
      </c>
      <c r="K4231">
        <v>1</v>
      </c>
      <c r="L4231">
        <v>0</v>
      </c>
      <c r="M4231">
        <f>VLOOKUP(Table1[[#This Row],[subscription_type]],Plans!$A$1:$B$5,2,FALSE)</f>
        <v>9.99</v>
      </c>
      <c r="N4231">
        <f t="shared" si="66"/>
        <v>0</v>
      </c>
    </row>
    <row r="4232" spans="1:14" x14ac:dyDescent="0.35">
      <c r="A4232">
        <v>4231</v>
      </c>
      <c r="B4232" t="s">
        <v>12</v>
      </c>
      <c r="C4232">
        <v>52</v>
      </c>
      <c r="D4232" t="s">
        <v>28</v>
      </c>
      <c r="E4232" t="s">
        <v>24</v>
      </c>
      <c r="F4232">
        <v>124</v>
      </c>
      <c r="G4232">
        <v>59</v>
      </c>
      <c r="H4232">
        <v>0.41</v>
      </c>
      <c r="I4232" t="s">
        <v>15</v>
      </c>
      <c r="J4232">
        <v>0</v>
      </c>
      <c r="K4232">
        <v>1</v>
      </c>
      <c r="L4232">
        <v>0</v>
      </c>
      <c r="M4232">
        <f>VLOOKUP(Table1[[#This Row],[subscription_type]],Plans!$A$1:$B$5,2,FALSE)</f>
        <v>4.99</v>
      </c>
      <c r="N4232">
        <f t="shared" si="66"/>
        <v>0</v>
      </c>
    </row>
    <row r="4233" spans="1:14" x14ac:dyDescent="0.35">
      <c r="A4233">
        <v>4232</v>
      </c>
      <c r="B4233" t="s">
        <v>12</v>
      </c>
      <c r="C4233">
        <v>37</v>
      </c>
      <c r="D4233" t="s">
        <v>21</v>
      </c>
      <c r="E4233" t="s">
        <v>18</v>
      </c>
      <c r="F4233">
        <v>133</v>
      </c>
      <c r="G4233">
        <v>67</v>
      </c>
      <c r="H4233">
        <v>0.17</v>
      </c>
      <c r="I4233" t="s">
        <v>15</v>
      </c>
      <c r="J4233">
        <v>0</v>
      </c>
      <c r="K4233">
        <v>1</v>
      </c>
      <c r="L4233">
        <v>0</v>
      </c>
      <c r="M4233">
        <f>VLOOKUP(Table1[[#This Row],[subscription_type]],Plans!$A$1:$B$5,2,FALSE)</f>
        <v>14.99</v>
      </c>
      <c r="N4233">
        <f t="shared" si="66"/>
        <v>0</v>
      </c>
    </row>
    <row r="4234" spans="1:14" x14ac:dyDescent="0.35">
      <c r="A4234">
        <v>4233</v>
      </c>
      <c r="B4234" t="s">
        <v>16</v>
      </c>
      <c r="C4234">
        <v>26</v>
      </c>
      <c r="D4234" t="s">
        <v>17</v>
      </c>
      <c r="E4234" t="s">
        <v>22</v>
      </c>
      <c r="F4234">
        <v>137</v>
      </c>
      <c r="G4234">
        <v>58</v>
      </c>
      <c r="H4234">
        <v>0.36</v>
      </c>
      <c r="I4234" t="s">
        <v>19</v>
      </c>
      <c r="J4234">
        <v>0</v>
      </c>
      <c r="K4234">
        <v>1</v>
      </c>
      <c r="L4234">
        <v>1</v>
      </c>
      <c r="M4234">
        <f>VLOOKUP(Table1[[#This Row],[subscription_type]],Plans!$A$1:$B$5,2,FALSE)</f>
        <v>9.99</v>
      </c>
      <c r="N4234">
        <f t="shared" si="66"/>
        <v>9.99</v>
      </c>
    </row>
    <row r="4235" spans="1:14" x14ac:dyDescent="0.35">
      <c r="A4235">
        <v>4234</v>
      </c>
      <c r="B4235" t="s">
        <v>12</v>
      </c>
      <c r="C4235">
        <v>58</v>
      </c>
      <c r="D4235" t="s">
        <v>26</v>
      </c>
      <c r="E4235" t="s">
        <v>22</v>
      </c>
      <c r="F4235">
        <v>293</v>
      </c>
      <c r="G4235">
        <v>99</v>
      </c>
      <c r="H4235">
        <v>0.31</v>
      </c>
      <c r="I4235" t="s">
        <v>23</v>
      </c>
      <c r="J4235">
        <v>0</v>
      </c>
      <c r="K4235">
        <v>1</v>
      </c>
      <c r="L4235">
        <v>1</v>
      </c>
      <c r="M4235">
        <f>VLOOKUP(Table1[[#This Row],[subscription_type]],Plans!$A$1:$B$5,2,FALSE)</f>
        <v>9.99</v>
      </c>
      <c r="N4235">
        <f t="shared" si="66"/>
        <v>9.99</v>
      </c>
    </row>
    <row r="4236" spans="1:14" x14ac:dyDescent="0.35">
      <c r="A4236">
        <v>4235</v>
      </c>
      <c r="B4236" t="s">
        <v>12</v>
      </c>
      <c r="C4236">
        <v>52</v>
      </c>
      <c r="D4236" t="s">
        <v>21</v>
      </c>
      <c r="E4236" t="s">
        <v>18</v>
      </c>
      <c r="F4236">
        <v>18</v>
      </c>
      <c r="G4236">
        <v>4</v>
      </c>
      <c r="H4236">
        <v>0.12</v>
      </c>
      <c r="I4236" t="s">
        <v>19</v>
      </c>
      <c r="J4236">
        <v>0</v>
      </c>
      <c r="K4236">
        <v>1</v>
      </c>
      <c r="L4236">
        <v>0</v>
      </c>
      <c r="M4236">
        <f>VLOOKUP(Table1[[#This Row],[subscription_type]],Plans!$A$1:$B$5,2,FALSE)</f>
        <v>14.99</v>
      </c>
      <c r="N4236">
        <f t="shared" si="66"/>
        <v>0</v>
      </c>
    </row>
    <row r="4237" spans="1:14" x14ac:dyDescent="0.35">
      <c r="A4237">
        <v>4236</v>
      </c>
      <c r="B4237" t="s">
        <v>20</v>
      </c>
      <c r="C4237">
        <v>42</v>
      </c>
      <c r="D4237" t="s">
        <v>29</v>
      </c>
      <c r="E4237" t="s">
        <v>24</v>
      </c>
      <c r="F4237">
        <v>42</v>
      </c>
      <c r="G4237">
        <v>34</v>
      </c>
      <c r="H4237">
        <v>0.6</v>
      </c>
      <c r="I4237" t="s">
        <v>19</v>
      </c>
      <c r="J4237">
        <v>0</v>
      </c>
      <c r="K4237">
        <v>1</v>
      </c>
      <c r="L4237">
        <v>1</v>
      </c>
      <c r="M4237">
        <f>VLOOKUP(Table1[[#This Row],[subscription_type]],Plans!$A$1:$B$5,2,FALSE)</f>
        <v>4.99</v>
      </c>
      <c r="N4237">
        <f t="shared" si="66"/>
        <v>4.99</v>
      </c>
    </row>
    <row r="4238" spans="1:14" x14ac:dyDescent="0.35">
      <c r="A4238">
        <v>4237</v>
      </c>
      <c r="B4238" t="s">
        <v>16</v>
      </c>
      <c r="C4238">
        <v>56</v>
      </c>
      <c r="D4238" t="s">
        <v>26</v>
      </c>
      <c r="E4238" t="s">
        <v>14</v>
      </c>
      <c r="F4238">
        <v>125</v>
      </c>
      <c r="G4238">
        <v>81</v>
      </c>
      <c r="H4238">
        <v>0.08</v>
      </c>
      <c r="I4238" t="s">
        <v>19</v>
      </c>
      <c r="J4238">
        <v>17</v>
      </c>
      <c r="K4238">
        <v>0</v>
      </c>
      <c r="L4238">
        <v>0</v>
      </c>
      <c r="M4238">
        <f>VLOOKUP(Table1[[#This Row],[subscription_type]],Plans!$A$1:$B$5,2,FALSE)</f>
        <v>0</v>
      </c>
      <c r="N4238">
        <f t="shared" si="66"/>
        <v>0</v>
      </c>
    </row>
    <row r="4239" spans="1:14" x14ac:dyDescent="0.35">
      <c r="A4239">
        <v>4238</v>
      </c>
      <c r="B4239" t="s">
        <v>20</v>
      </c>
      <c r="C4239">
        <v>47</v>
      </c>
      <c r="D4239" t="s">
        <v>13</v>
      </c>
      <c r="E4239" t="s">
        <v>18</v>
      </c>
      <c r="F4239">
        <v>266</v>
      </c>
      <c r="G4239">
        <v>52</v>
      </c>
      <c r="H4239">
        <v>0.54</v>
      </c>
      <c r="I4239" t="s">
        <v>15</v>
      </c>
      <c r="J4239">
        <v>0</v>
      </c>
      <c r="K4239">
        <v>1</v>
      </c>
      <c r="L4239">
        <v>1</v>
      </c>
      <c r="M4239">
        <f>VLOOKUP(Table1[[#This Row],[subscription_type]],Plans!$A$1:$B$5,2,FALSE)</f>
        <v>14.99</v>
      </c>
      <c r="N4239">
        <f t="shared" si="66"/>
        <v>14.99</v>
      </c>
    </row>
    <row r="4240" spans="1:14" x14ac:dyDescent="0.35">
      <c r="A4240">
        <v>4239</v>
      </c>
      <c r="B4240" t="s">
        <v>12</v>
      </c>
      <c r="C4240">
        <v>31</v>
      </c>
      <c r="D4240" t="s">
        <v>13</v>
      </c>
      <c r="E4240" t="s">
        <v>24</v>
      </c>
      <c r="F4240">
        <v>13</v>
      </c>
      <c r="G4240">
        <v>70</v>
      </c>
      <c r="H4240">
        <v>0.34</v>
      </c>
      <c r="I4240" t="s">
        <v>15</v>
      </c>
      <c r="J4240">
        <v>0</v>
      </c>
      <c r="K4240">
        <v>1</v>
      </c>
      <c r="L4240">
        <v>0</v>
      </c>
      <c r="M4240">
        <f>VLOOKUP(Table1[[#This Row],[subscription_type]],Plans!$A$1:$B$5,2,FALSE)</f>
        <v>4.99</v>
      </c>
      <c r="N4240">
        <f t="shared" si="66"/>
        <v>0</v>
      </c>
    </row>
    <row r="4241" spans="1:14" x14ac:dyDescent="0.35">
      <c r="A4241">
        <v>4240</v>
      </c>
      <c r="B4241" t="s">
        <v>12</v>
      </c>
      <c r="C4241">
        <v>41</v>
      </c>
      <c r="D4241" t="s">
        <v>13</v>
      </c>
      <c r="E4241" t="s">
        <v>24</v>
      </c>
      <c r="F4241">
        <v>57</v>
      </c>
      <c r="G4241">
        <v>72</v>
      </c>
      <c r="H4241">
        <v>0.09</v>
      </c>
      <c r="I4241" t="s">
        <v>15</v>
      </c>
      <c r="J4241">
        <v>0</v>
      </c>
      <c r="K4241">
        <v>1</v>
      </c>
      <c r="L4241">
        <v>1</v>
      </c>
      <c r="M4241">
        <f>VLOOKUP(Table1[[#This Row],[subscription_type]],Plans!$A$1:$B$5,2,FALSE)</f>
        <v>4.99</v>
      </c>
      <c r="N4241">
        <f t="shared" si="66"/>
        <v>4.99</v>
      </c>
    </row>
    <row r="4242" spans="1:14" x14ac:dyDescent="0.35">
      <c r="A4242">
        <v>4241</v>
      </c>
      <c r="B4242" t="s">
        <v>12</v>
      </c>
      <c r="C4242">
        <v>47</v>
      </c>
      <c r="D4242" t="s">
        <v>28</v>
      </c>
      <c r="E4242" t="s">
        <v>22</v>
      </c>
      <c r="F4242">
        <v>23</v>
      </c>
      <c r="G4242">
        <v>66</v>
      </c>
      <c r="H4242">
        <v>0.59</v>
      </c>
      <c r="I4242" t="s">
        <v>15</v>
      </c>
      <c r="J4242">
        <v>0</v>
      </c>
      <c r="K4242">
        <v>1</v>
      </c>
      <c r="L4242">
        <v>1</v>
      </c>
      <c r="M4242">
        <f>VLOOKUP(Table1[[#This Row],[subscription_type]],Plans!$A$1:$B$5,2,FALSE)</f>
        <v>9.99</v>
      </c>
      <c r="N4242">
        <f t="shared" si="66"/>
        <v>9.99</v>
      </c>
    </row>
    <row r="4243" spans="1:14" x14ac:dyDescent="0.35">
      <c r="A4243">
        <v>4242</v>
      </c>
      <c r="B4243" t="s">
        <v>12</v>
      </c>
      <c r="C4243">
        <v>25</v>
      </c>
      <c r="D4243" t="s">
        <v>21</v>
      </c>
      <c r="E4243" t="s">
        <v>14</v>
      </c>
      <c r="F4243">
        <v>108</v>
      </c>
      <c r="G4243">
        <v>53</v>
      </c>
      <c r="H4243">
        <v>0.14000000000000001</v>
      </c>
      <c r="I4243" t="s">
        <v>19</v>
      </c>
      <c r="J4243">
        <v>30</v>
      </c>
      <c r="K4243">
        <v>0</v>
      </c>
      <c r="L4243">
        <v>0</v>
      </c>
      <c r="M4243">
        <f>VLOOKUP(Table1[[#This Row],[subscription_type]],Plans!$A$1:$B$5,2,FALSE)</f>
        <v>0</v>
      </c>
      <c r="N4243">
        <f t="shared" si="66"/>
        <v>0</v>
      </c>
    </row>
    <row r="4244" spans="1:14" x14ac:dyDescent="0.35">
      <c r="A4244">
        <v>4243</v>
      </c>
      <c r="B4244" t="s">
        <v>20</v>
      </c>
      <c r="C4244">
        <v>20</v>
      </c>
      <c r="D4244" t="s">
        <v>29</v>
      </c>
      <c r="E4244" t="s">
        <v>14</v>
      </c>
      <c r="F4244">
        <v>102</v>
      </c>
      <c r="G4244">
        <v>85</v>
      </c>
      <c r="H4244">
        <v>0.09</v>
      </c>
      <c r="I4244" t="s">
        <v>23</v>
      </c>
      <c r="J4244">
        <v>39</v>
      </c>
      <c r="K4244">
        <v>0</v>
      </c>
      <c r="L4244">
        <v>0</v>
      </c>
      <c r="M4244">
        <f>VLOOKUP(Table1[[#This Row],[subscription_type]],Plans!$A$1:$B$5,2,FALSE)</f>
        <v>0</v>
      </c>
      <c r="N4244">
        <f t="shared" si="66"/>
        <v>0</v>
      </c>
    </row>
    <row r="4245" spans="1:14" x14ac:dyDescent="0.35">
      <c r="A4245">
        <v>4244</v>
      </c>
      <c r="B4245" t="s">
        <v>16</v>
      </c>
      <c r="C4245">
        <v>16</v>
      </c>
      <c r="D4245" t="s">
        <v>28</v>
      </c>
      <c r="E4245" t="s">
        <v>18</v>
      </c>
      <c r="F4245">
        <v>91</v>
      </c>
      <c r="G4245">
        <v>79</v>
      </c>
      <c r="H4245">
        <v>0.53</v>
      </c>
      <c r="I4245" t="s">
        <v>23</v>
      </c>
      <c r="J4245">
        <v>0</v>
      </c>
      <c r="K4245">
        <v>1</v>
      </c>
      <c r="L4245">
        <v>0</v>
      </c>
      <c r="M4245">
        <f>VLOOKUP(Table1[[#This Row],[subscription_type]],Plans!$A$1:$B$5,2,FALSE)</f>
        <v>14.99</v>
      </c>
      <c r="N4245">
        <f t="shared" si="66"/>
        <v>0</v>
      </c>
    </row>
    <row r="4246" spans="1:14" x14ac:dyDescent="0.35">
      <c r="A4246">
        <v>4245</v>
      </c>
      <c r="B4246" t="s">
        <v>20</v>
      </c>
      <c r="C4246">
        <v>34</v>
      </c>
      <c r="D4246" t="s">
        <v>29</v>
      </c>
      <c r="E4246" t="s">
        <v>22</v>
      </c>
      <c r="F4246">
        <v>74</v>
      </c>
      <c r="G4246">
        <v>40</v>
      </c>
      <c r="H4246">
        <v>0.01</v>
      </c>
      <c r="I4246" t="s">
        <v>15</v>
      </c>
      <c r="J4246">
        <v>0</v>
      </c>
      <c r="K4246">
        <v>1</v>
      </c>
      <c r="L4246">
        <v>0</v>
      </c>
      <c r="M4246">
        <f>VLOOKUP(Table1[[#This Row],[subscription_type]],Plans!$A$1:$B$5,2,FALSE)</f>
        <v>9.99</v>
      </c>
      <c r="N4246">
        <f t="shared" si="66"/>
        <v>0</v>
      </c>
    </row>
    <row r="4247" spans="1:14" x14ac:dyDescent="0.35">
      <c r="A4247">
        <v>4246</v>
      </c>
      <c r="B4247" t="s">
        <v>16</v>
      </c>
      <c r="C4247">
        <v>24</v>
      </c>
      <c r="D4247" t="s">
        <v>13</v>
      </c>
      <c r="E4247" t="s">
        <v>14</v>
      </c>
      <c r="F4247">
        <v>171</v>
      </c>
      <c r="G4247">
        <v>38</v>
      </c>
      <c r="H4247">
        <v>0.28000000000000003</v>
      </c>
      <c r="I4247" t="s">
        <v>19</v>
      </c>
      <c r="J4247">
        <v>43</v>
      </c>
      <c r="K4247">
        <v>0</v>
      </c>
      <c r="L4247">
        <v>0</v>
      </c>
      <c r="M4247">
        <f>VLOOKUP(Table1[[#This Row],[subscription_type]],Plans!$A$1:$B$5,2,FALSE)</f>
        <v>0</v>
      </c>
      <c r="N4247">
        <f t="shared" si="66"/>
        <v>0</v>
      </c>
    </row>
    <row r="4248" spans="1:14" x14ac:dyDescent="0.35">
      <c r="A4248">
        <v>4247</v>
      </c>
      <c r="B4248" t="s">
        <v>12</v>
      </c>
      <c r="C4248">
        <v>44</v>
      </c>
      <c r="D4248" t="s">
        <v>17</v>
      </c>
      <c r="E4248" t="s">
        <v>14</v>
      </c>
      <c r="F4248">
        <v>197</v>
      </c>
      <c r="G4248">
        <v>85</v>
      </c>
      <c r="H4248">
        <v>0.39</v>
      </c>
      <c r="I4248" t="s">
        <v>19</v>
      </c>
      <c r="J4248">
        <v>18</v>
      </c>
      <c r="K4248">
        <v>0</v>
      </c>
      <c r="L4248">
        <v>0</v>
      </c>
      <c r="M4248">
        <f>VLOOKUP(Table1[[#This Row],[subscription_type]],Plans!$A$1:$B$5,2,FALSE)</f>
        <v>0</v>
      </c>
      <c r="N4248">
        <f t="shared" si="66"/>
        <v>0</v>
      </c>
    </row>
    <row r="4249" spans="1:14" x14ac:dyDescent="0.35">
      <c r="A4249">
        <v>4248</v>
      </c>
      <c r="B4249" t="s">
        <v>12</v>
      </c>
      <c r="C4249">
        <v>36</v>
      </c>
      <c r="D4249" t="s">
        <v>21</v>
      </c>
      <c r="E4249" t="s">
        <v>22</v>
      </c>
      <c r="F4249">
        <v>203</v>
      </c>
      <c r="G4249">
        <v>72</v>
      </c>
      <c r="H4249">
        <v>0.19</v>
      </c>
      <c r="I4249" t="s">
        <v>19</v>
      </c>
      <c r="J4249">
        <v>0</v>
      </c>
      <c r="K4249">
        <v>1</v>
      </c>
      <c r="L4249">
        <v>0</v>
      </c>
      <c r="M4249">
        <f>VLOOKUP(Table1[[#This Row],[subscription_type]],Plans!$A$1:$B$5,2,FALSE)</f>
        <v>9.99</v>
      </c>
      <c r="N4249">
        <f t="shared" si="66"/>
        <v>0</v>
      </c>
    </row>
    <row r="4250" spans="1:14" x14ac:dyDescent="0.35">
      <c r="A4250">
        <v>4249</v>
      </c>
      <c r="B4250" t="s">
        <v>16</v>
      </c>
      <c r="C4250">
        <v>30</v>
      </c>
      <c r="D4250" t="s">
        <v>28</v>
      </c>
      <c r="E4250" t="s">
        <v>14</v>
      </c>
      <c r="F4250">
        <v>106</v>
      </c>
      <c r="G4250">
        <v>25</v>
      </c>
      <c r="H4250">
        <v>0.56999999999999995</v>
      </c>
      <c r="I4250" t="s">
        <v>19</v>
      </c>
      <c r="J4250">
        <v>11</v>
      </c>
      <c r="K4250">
        <v>0</v>
      </c>
      <c r="L4250">
        <v>1</v>
      </c>
      <c r="M4250">
        <f>VLOOKUP(Table1[[#This Row],[subscription_type]],Plans!$A$1:$B$5,2,FALSE)</f>
        <v>0</v>
      </c>
      <c r="N4250">
        <f t="shared" si="66"/>
        <v>0</v>
      </c>
    </row>
    <row r="4251" spans="1:14" x14ac:dyDescent="0.35">
      <c r="A4251">
        <v>4250</v>
      </c>
      <c r="B4251" t="s">
        <v>16</v>
      </c>
      <c r="C4251">
        <v>42</v>
      </c>
      <c r="D4251" t="s">
        <v>21</v>
      </c>
      <c r="E4251" t="s">
        <v>14</v>
      </c>
      <c r="F4251">
        <v>225</v>
      </c>
      <c r="G4251">
        <v>8</v>
      </c>
      <c r="H4251">
        <v>0.32</v>
      </c>
      <c r="I4251" t="s">
        <v>19</v>
      </c>
      <c r="J4251">
        <v>8</v>
      </c>
      <c r="K4251">
        <v>0</v>
      </c>
      <c r="L4251">
        <v>0</v>
      </c>
      <c r="M4251">
        <f>VLOOKUP(Table1[[#This Row],[subscription_type]],Plans!$A$1:$B$5,2,FALSE)</f>
        <v>0</v>
      </c>
      <c r="N4251">
        <f t="shared" si="66"/>
        <v>0</v>
      </c>
    </row>
    <row r="4252" spans="1:14" x14ac:dyDescent="0.35">
      <c r="A4252">
        <v>4251</v>
      </c>
      <c r="B4252" t="s">
        <v>20</v>
      </c>
      <c r="C4252">
        <v>25</v>
      </c>
      <c r="D4252" t="s">
        <v>21</v>
      </c>
      <c r="E4252" t="s">
        <v>22</v>
      </c>
      <c r="F4252">
        <v>280</v>
      </c>
      <c r="G4252">
        <v>26</v>
      </c>
      <c r="H4252">
        <v>0.42</v>
      </c>
      <c r="I4252" t="s">
        <v>15</v>
      </c>
      <c r="J4252">
        <v>0</v>
      </c>
      <c r="K4252">
        <v>1</v>
      </c>
      <c r="L4252">
        <v>0</v>
      </c>
      <c r="M4252">
        <f>VLOOKUP(Table1[[#This Row],[subscription_type]],Plans!$A$1:$B$5,2,FALSE)</f>
        <v>9.99</v>
      </c>
      <c r="N4252">
        <f t="shared" si="66"/>
        <v>0</v>
      </c>
    </row>
    <row r="4253" spans="1:14" x14ac:dyDescent="0.35">
      <c r="A4253">
        <v>4252</v>
      </c>
      <c r="B4253" t="s">
        <v>16</v>
      </c>
      <c r="C4253">
        <v>58</v>
      </c>
      <c r="D4253" t="s">
        <v>25</v>
      </c>
      <c r="E4253" t="s">
        <v>18</v>
      </c>
      <c r="F4253">
        <v>78</v>
      </c>
      <c r="G4253">
        <v>87</v>
      </c>
      <c r="H4253">
        <v>0</v>
      </c>
      <c r="I4253" t="s">
        <v>15</v>
      </c>
      <c r="J4253">
        <v>0</v>
      </c>
      <c r="K4253">
        <v>1</v>
      </c>
      <c r="L4253">
        <v>0</v>
      </c>
      <c r="M4253">
        <f>VLOOKUP(Table1[[#This Row],[subscription_type]],Plans!$A$1:$B$5,2,FALSE)</f>
        <v>14.99</v>
      </c>
      <c r="N4253">
        <f t="shared" si="66"/>
        <v>0</v>
      </c>
    </row>
    <row r="4254" spans="1:14" x14ac:dyDescent="0.35">
      <c r="A4254">
        <v>4253</v>
      </c>
      <c r="B4254" t="s">
        <v>16</v>
      </c>
      <c r="C4254">
        <v>53</v>
      </c>
      <c r="D4254" t="s">
        <v>17</v>
      </c>
      <c r="E4254" t="s">
        <v>24</v>
      </c>
      <c r="F4254">
        <v>176</v>
      </c>
      <c r="G4254">
        <v>6</v>
      </c>
      <c r="H4254">
        <v>0.51</v>
      </c>
      <c r="I4254" t="s">
        <v>19</v>
      </c>
      <c r="J4254">
        <v>0</v>
      </c>
      <c r="K4254">
        <v>1</v>
      </c>
      <c r="L4254">
        <v>0</v>
      </c>
      <c r="M4254">
        <f>VLOOKUP(Table1[[#This Row],[subscription_type]],Plans!$A$1:$B$5,2,FALSE)</f>
        <v>4.99</v>
      </c>
      <c r="N4254">
        <f t="shared" si="66"/>
        <v>0</v>
      </c>
    </row>
    <row r="4255" spans="1:14" x14ac:dyDescent="0.35">
      <c r="A4255">
        <v>4254</v>
      </c>
      <c r="B4255" t="s">
        <v>16</v>
      </c>
      <c r="C4255">
        <v>23</v>
      </c>
      <c r="D4255" t="s">
        <v>27</v>
      </c>
      <c r="E4255" t="s">
        <v>22</v>
      </c>
      <c r="F4255">
        <v>287</v>
      </c>
      <c r="G4255">
        <v>64</v>
      </c>
      <c r="H4255">
        <v>0.05</v>
      </c>
      <c r="I4255" t="s">
        <v>23</v>
      </c>
      <c r="J4255">
        <v>0</v>
      </c>
      <c r="K4255">
        <v>1</v>
      </c>
      <c r="L4255">
        <v>0</v>
      </c>
      <c r="M4255">
        <f>VLOOKUP(Table1[[#This Row],[subscription_type]],Plans!$A$1:$B$5,2,FALSE)</f>
        <v>9.99</v>
      </c>
      <c r="N4255">
        <f t="shared" si="66"/>
        <v>0</v>
      </c>
    </row>
    <row r="4256" spans="1:14" x14ac:dyDescent="0.35">
      <c r="A4256">
        <v>4255</v>
      </c>
      <c r="B4256" t="s">
        <v>16</v>
      </c>
      <c r="C4256">
        <v>23</v>
      </c>
      <c r="D4256" t="s">
        <v>25</v>
      </c>
      <c r="E4256" t="s">
        <v>18</v>
      </c>
      <c r="F4256">
        <v>42</v>
      </c>
      <c r="G4256">
        <v>31</v>
      </c>
      <c r="H4256">
        <v>0.32</v>
      </c>
      <c r="I4256" t="s">
        <v>15</v>
      </c>
      <c r="J4256">
        <v>0</v>
      </c>
      <c r="K4256">
        <v>1</v>
      </c>
      <c r="L4256">
        <v>0</v>
      </c>
      <c r="M4256">
        <f>VLOOKUP(Table1[[#This Row],[subscription_type]],Plans!$A$1:$B$5,2,FALSE)</f>
        <v>14.99</v>
      </c>
      <c r="N4256">
        <f t="shared" si="66"/>
        <v>0</v>
      </c>
    </row>
    <row r="4257" spans="1:14" x14ac:dyDescent="0.35">
      <c r="A4257">
        <v>4256</v>
      </c>
      <c r="B4257" t="s">
        <v>16</v>
      </c>
      <c r="C4257">
        <v>25</v>
      </c>
      <c r="D4257" t="s">
        <v>21</v>
      </c>
      <c r="E4257" t="s">
        <v>22</v>
      </c>
      <c r="F4257">
        <v>272</v>
      </c>
      <c r="G4257">
        <v>94</v>
      </c>
      <c r="H4257">
        <v>0.23</v>
      </c>
      <c r="I4257" t="s">
        <v>23</v>
      </c>
      <c r="J4257">
        <v>0</v>
      </c>
      <c r="K4257">
        <v>1</v>
      </c>
      <c r="L4257">
        <v>0</v>
      </c>
      <c r="M4257">
        <f>VLOOKUP(Table1[[#This Row],[subscription_type]],Plans!$A$1:$B$5,2,FALSE)</f>
        <v>9.99</v>
      </c>
      <c r="N4257">
        <f t="shared" si="66"/>
        <v>0</v>
      </c>
    </row>
    <row r="4258" spans="1:14" x14ac:dyDescent="0.35">
      <c r="A4258">
        <v>4257</v>
      </c>
      <c r="B4258" t="s">
        <v>20</v>
      </c>
      <c r="C4258">
        <v>46</v>
      </c>
      <c r="D4258" t="s">
        <v>21</v>
      </c>
      <c r="E4258" t="s">
        <v>22</v>
      </c>
      <c r="F4258">
        <v>10</v>
      </c>
      <c r="G4258">
        <v>99</v>
      </c>
      <c r="H4258">
        <v>0.18</v>
      </c>
      <c r="I4258" t="s">
        <v>23</v>
      </c>
      <c r="J4258">
        <v>0</v>
      </c>
      <c r="K4258">
        <v>1</v>
      </c>
      <c r="L4258">
        <v>1</v>
      </c>
      <c r="M4258">
        <f>VLOOKUP(Table1[[#This Row],[subscription_type]],Plans!$A$1:$B$5,2,FALSE)</f>
        <v>9.99</v>
      </c>
      <c r="N4258">
        <f t="shared" si="66"/>
        <v>9.99</v>
      </c>
    </row>
    <row r="4259" spans="1:14" x14ac:dyDescent="0.35">
      <c r="A4259">
        <v>4258</v>
      </c>
      <c r="B4259" t="s">
        <v>16</v>
      </c>
      <c r="C4259">
        <v>49</v>
      </c>
      <c r="D4259" t="s">
        <v>28</v>
      </c>
      <c r="E4259" t="s">
        <v>22</v>
      </c>
      <c r="F4259">
        <v>203</v>
      </c>
      <c r="G4259">
        <v>79</v>
      </c>
      <c r="H4259">
        <v>0.35</v>
      </c>
      <c r="I4259" t="s">
        <v>19</v>
      </c>
      <c r="J4259">
        <v>0</v>
      </c>
      <c r="K4259">
        <v>1</v>
      </c>
      <c r="L4259">
        <v>1</v>
      </c>
      <c r="M4259">
        <f>VLOOKUP(Table1[[#This Row],[subscription_type]],Plans!$A$1:$B$5,2,FALSE)</f>
        <v>9.99</v>
      </c>
      <c r="N4259">
        <f t="shared" si="66"/>
        <v>9.99</v>
      </c>
    </row>
    <row r="4260" spans="1:14" x14ac:dyDescent="0.35">
      <c r="A4260">
        <v>4259</v>
      </c>
      <c r="B4260" t="s">
        <v>12</v>
      </c>
      <c r="C4260">
        <v>56</v>
      </c>
      <c r="D4260" t="s">
        <v>13</v>
      </c>
      <c r="E4260" t="s">
        <v>24</v>
      </c>
      <c r="F4260">
        <v>123</v>
      </c>
      <c r="G4260">
        <v>71</v>
      </c>
      <c r="H4260">
        <v>0.5</v>
      </c>
      <c r="I4260" t="s">
        <v>15</v>
      </c>
      <c r="J4260">
        <v>0</v>
      </c>
      <c r="K4260">
        <v>1</v>
      </c>
      <c r="L4260">
        <v>0</v>
      </c>
      <c r="M4260">
        <f>VLOOKUP(Table1[[#This Row],[subscription_type]],Plans!$A$1:$B$5,2,FALSE)</f>
        <v>4.99</v>
      </c>
      <c r="N4260">
        <f t="shared" si="66"/>
        <v>0</v>
      </c>
    </row>
    <row r="4261" spans="1:14" x14ac:dyDescent="0.35">
      <c r="A4261">
        <v>4260</v>
      </c>
      <c r="B4261" t="s">
        <v>16</v>
      </c>
      <c r="C4261">
        <v>56</v>
      </c>
      <c r="D4261" t="s">
        <v>28</v>
      </c>
      <c r="E4261" t="s">
        <v>18</v>
      </c>
      <c r="F4261">
        <v>115</v>
      </c>
      <c r="G4261">
        <v>34</v>
      </c>
      <c r="H4261">
        <v>0.59</v>
      </c>
      <c r="I4261" t="s">
        <v>15</v>
      </c>
      <c r="J4261">
        <v>0</v>
      </c>
      <c r="K4261">
        <v>1</v>
      </c>
      <c r="L4261">
        <v>1</v>
      </c>
      <c r="M4261">
        <f>VLOOKUP(Table1[[#This Row],[subscription_type]],Plans!$A$1:$B$5,2,FALSE)</f>
        <v>14.99</v>
      </c>
      <c r="N4261">
        <f t="shared" si="66"/>
        <v>14.99</v>
      </c>
    </row>
    <row r="4262" spans="1:14" x14ac:dyDescent="0.35">
      <c r="A4262">
        <v>4261</v>
      </c>
      <c r="B4262" t="s">
        <v>20</v>
      </c>
      <c r="C4262">
        <v>50</v>
      </c>
      <c r="D4262" t="s">
        <v>17</v>
      </c>
      <c r="E4262" t="s">
        <v>18</v>
      </c>
      <c r="F4262">
        <v>227</v>
      </c>
      <c r="G4262">
        <v>30</v>
      </c>
      <c r="H4262">
        <v>0.04</v>
      </c>
      <c r="I4262" t="s">
        <v>23</v>
      </c>
      <c r="J4262">
        <v>0</v>
      </c>
      <c r="K4262">
        <v>1</v>
      </c>
      <c r="L4262">
        <v>0</v>
      </c>
      <c r="M4262">
        <f>VLOOKUP(Table1[[#This Row],[subscription_type]],Plans!$A$1:$B$5,2,FALSE)</f>
        <v>14.99</v>
      </c>
      <c r="N4262">
        <f t="shared" si="66"/>
        <v>0</v>
      </c>
    </row>
    <row r="4263" spans="1:14" x14ac:dyDescent="0.35">
      <c r="A4263">
        <v>4262</v>
      </c>
      <c r="B4263" t="s">
        <v>12</v>
      </c>
      <c r="C4263">
        <v>48</v>
      </c>
      <c r="D4263" t="s">
        <v>21</v>
      </c>
      <c r="E4263" t="s">
        <v>22</v>
      </c>
      <c r="F4263">
        <v>40</v>
      </c>
      <c r="G4263">
        <v>8</v>
      </c>
      <c r="H4263">
        <v>0.28999999999999998</v>
      </c>
      <c r="I4263" t="s">
        <v>23</v>
      </c>
      <c r="J4263">
        <v>0</v>
      </c>
      <c r="K4263">
        <v>1</v>
      </c>
      <c r="L4263">
        <v>1</v>
      </c>
      <c r="M4263">
        <f>VLOOKUP(Table1[[#This Row],[subscription_type]],Plans!$A$1:$B$5,2,FALSE)</f>
        <v>9.99</v>
      </c>
      <c r="N4263">
        <f t="shared" si="66"/>
        <v>9.99</v>
      </c>
    </row>
    <row r="4264" spans="1:14" x14ac:dyDescent="0.35">
      <c r="A4264">
        <v>4263</v>
      </c>
      <c r="B4264" t="s">
        <v>16</v>
      </c>
      <c r="C4264">
        <v>30</v>
      </c>
      <c r="D4264" t="s">
        <v>13</v>
      </c>
      <c r="E4264" t="s">
        <v>24</v>
      </c>
      <c r="F4264">
        <v>179</v>
      </c>
      <c r="G4264">
        <v>61</v>
      </c>
      <c r="H4264">
        <v>0.4</v>
      </c>
      <c r="I4264" t="s">
        <v>15</v>
      </c>
      <c r="J4264">
        <v>0</v>
      </c>
      <c r="K4264">
        <v>1</v>
      </c>
      <c r="L4264">
        <v>1</v>
      </c>
      <c r="M4264">
        <f>VLOOKUP(Table1[[#This Row],[subscription_type]],Plans!$A$1:$B$5,2,FALSE)</f>
        <v>4.99</v>
      </c>
      <c r="N4264">
        <f t="shared" si="66"/>
        <v>4.99</v>
      </c>
    </row>
    <row r="4265" spans="1:14" x14ac:dyDescent="0.35">
      <c r="A4265">
        <v>4264</v>
      </c>
      <c r="B4265" t="s">
        <v>12</v>
      </c>
      <c r="C4265">
        <v>23</v>
      </c>
      <c r="D4265" t="s">
        <v>28</v>
      </c>
      <c r="E4265" t="s">
        <v>24</v>
      </c>
      <c r="F4265">
        <v>290</v>
      </c>
      <c r="G4265">
        <v>74</v>
      </c>
      <c r="H4265">
        <v>0.19</v>
      </c>
      <c r="I4265" t="s">
        <v>15</v>
      </c>
      <c r="J4265">
        <v>0</v>
      </c>
      <c r="K4265">
        <v>1</v>
      </c>
      <c r="L4265">
        <v>0</v>
      </c>
      <c r="M4265">
        <f>VLOOKUP(Table1[[#This Row],[subscription_type]],Plans!$A$1:$B$5,2,FALSE)</f>
        <v>4.99</v>
      </c>
      <c r="N4265">
        <f t="shared" si="66"/>
        <v>0</v>
      </c>
    </row>
    <row r="4266" spans="1:14" x14ac:dyDescent="0.35">
      <c r="A4266">
        <v>4265</v>
      </c>
      <c r="B4266" t="s">
        <v>16</v>
      </c>
      <c r="C4266">
        <v>50</v>
      </c>
      <c r="D4266" t="s">
        <v>21</v>
      </c>
      <c r="E4266" t="s">
        <v>14</v>
      </c>
      <c r="F4266">
        <v>57</v>
      </c>
      <c r="G4266">
        <v>91</v>
      </c>
      <c r="H4266">
        <v>0.21</v>
      </c>
      <c r="I4266" t="s">
        <v>15</v>
      </c>
      <c r="J4266">
        <v>13</v>
      </c>
      <c r="K4266">
        <v>0</v>
      </c>
      <c r="L4266">
        <v>0</v>
      </c>
      <c r="M4266">
        <f>VLOOKUP(Table1[[#This Row],[subscription_type]],Plans!$A$1:$B$5,2,FALSE)</f>
        <v>0</v>
      </c>
      <c r="N4266">
        <f t="shared" si="66"/>
        <v>0</v>
      </c>
    </row>
    <row r="4267" spans="1:14" x14ac:dyDescent="0.35">
      <c r="A4267">
        <v>4266</v>
      </c>
      <c r="B4267" t="s">
        <v>12</v>
      </c>
      <c r="C4267">
        <v>57</v>
      </c>
      <c r="D4267" t="s">
        <v>13</v>
      </c>
      <c r="E4267" t="s">
        <v>22</v>
      </c>
      <c r="F4267">
        <v>10</v>
      </c>
      <c r="G4267">
        <v>72</v>
      </c>
      <c r="H4267">
        <v>0.43</v>
      </c>
      <c r="I4267" t="s">
        <v>15</v>
      </c>
      <c r="J4267">
        <v>0</v>
      </c>
      <c r="K4267">
        <v>1</v>
      </c>
      <c r="L4267">
        <v>0</v>
      </c>
      <c r="M4267">
        <f>VLOOKUP(Table1[[#This Row],[subscription_type]],Plans!$A$1:$B$5,2,FALSE)</f>
        <v>9.99</v>
      </c>
      <c r="N4267">
        <f t="shared" si="66"/>
        <v>0</v>
      </c>
    </row>
    <row r="4268" spans="1:14" x14ac:dyDescent="0.35">
      <c r="A4268">
        <v>4267</v>
      </c>
      <c r="B4268" t="s">
        <v>16</v>
      </c>
      <c r="C4268">
        <v>26</v>
      </c>
      <c r="D4268" t="s">
        <v>27</v>
      </c>
      <c r="E4268" t="s">
        <v>14</v>
      </c>
      <c r="F4268">
        <v>88</v>
      </c>
      <c r="G4268">
        <v>91</v>
      </c>
      <c r="H4268">
        <v>0.25</v>
      </c>
      <c r="I4268" t="s">
        <v>23</v>
      </c>
      <c r="J4268">
        <v>33</v>
      </c>
      <c r="K4268">
        <v>0</v>
      </c>
      <c r="L4268">
        <v>1</v>
      </c>
      <c r="M4268">
        <f>VLOOKUP(Table1[[#This Row],[subscription_type]],Plans!$A$1:$B$5,2,FALSE)</f>
        <v>0</v>
      </c>
      <c r="N4268">
        <f t="shared" si="66"/>
        <v>0</v>
      </c>
    </row>
    <row r="4269" spans="1:14" x14ac:dyDescent="0.35">
      <c r="A4269">
        <v>4268</v>
      </c>
      <c r="B4269" t="s">
        <v>12</v>
      </c>
      <c r="C4269">
        <v>18</v>
      </c>
      <c r="D4269" t="s">
        <v>21</v>
      </c>
      <c r="E4269" t="s">
        <v>24</v>
      </c>
      <c r="F4269">
        <v>237</v>
      </c>
      <c r="G4269">
        <v>76</v>
      </c>
      <c r="H4269">
        <v>0.56999999999999995</v>
      </c>
      <c r="I4269" t="s">
        <v>23</v>
      </c>
      <c r="J4269">
        <v>0</v>
      </c>
      <c r="K4269">
        <v>1</v>
      </c>
      <c r="L4269">
        <v>0</v>
      </c>
      <c r="M4269">
        <f>VLOOKUP(Table1[[#This Row],[subscription_type]],Plans!$A$1:$B$5,2,FALSE)</f>
        <v>4.99</v>
      </c>
      <c r="N4269">
        <f t="shared" si="66"/>
        <v>0</v>
      </c>
    </row>
    <row r="4270" spans="1:14" x14ac:dyDescent="0.35">
      <c r="A4270">
        <v>4269</v>
      </c>
      <c r="B4270" t="s">
        <v>16</v>
      </c>
      <c r="C4270">
        <v>28</v>
      </c>
      <c r="D4270" t="s">
        <v>17</v>
      </c>
      <c r="E4270" t="s">
        <v>24</v>
      </c>
      <c r="F4270">
        <v>268</v>
      </c>
      <c r="G4270">
        <v>39</v>
      </c>
      <c r="H4270">
        <v>0.42</v>
      </c>
      <c r="I4270" t="s">
        <v>19</v>
      </c>
      <c r="J4270">
        <v>0</v>
      </c>
      <c r="K4270">
        <v>1</v>
      </c>
      <c r="L4270">
        <v>0</v>
      </c>
      <c r="M4270">
        <f>VLOOKUP(Table1[[#This Row],[subscription_type]],Plans!$A$1:$B$5,2,FALSE)</f>
        <v>4.99</v>
      </c>
      <c r="N4270">
        <f t="shared" si="66"/>
        <v>0</v>
      </c>
    </row>
    <row r="4271" spans="1:14" x14ac:dyDescent="0.35">
      <c r="A4271">
        <v>4270</v>
      </c>
      <c r="B4271" t="s">
        <v>20</v>
      </c>
      <c r="C4271">
        <v>54</v>
      </c>
      <c r="D4271" t="s">
        <v>25</v>
      </c>
      <c r="E4271" t="s">
        <v>18</v>
      </c>
      <c r="F4271">
        <v>100</v>
      </c>
      <c r="G4271">
        <v>23</v>
      </c>
      <c r="H4271">
        <v>0.44</v>
      </c>
      <c r="I4271" t="s">
        <v>19</v>
      </c>
      <c r="J4271">
        <v>0</v>
      </c>
      <c r="K4271">
        <v>1</v>
      </c>
      <c r="L4271">
        <v>0</v>
      </c>
      <c r="M4271">
        <f>VLOOKUP(Table1[[#This Row],[subscription_type]],Plans!$A$1:$B$5,2,FALSE)</f>
        <v>14.99</v>
      </c>
      <c r="N4271">
        <f t="shared" si="66"/>
        <v>0</v>
      </c>
    </row>
    <row r="4272" spans="1:14" x14ac:dyDescent="0.35">
      <c r="A4272">
        <v>4271</v>
      </c>
      <c r="B4272" t="s">
        <v>12</v>
      </c>
      <c r="C4272">
        <v>36</v>
      </c>
      <c r="D4272" t="s">
        <v>13</v>
      </c>
      <c r="E4272" t="s">
        <v>22</v>
      </c>
      <c r="F4272">
        <v>83</v>
      </c>
      <c r="G4272">
        <v>71</v>
      </c>
      <c r="H4272">
        <v>0.08</v>
      </c>
      <c r="I4272" t="s">
        <v>23</v>
      </c>
      <c r="J4272">
        <v>0</v>
      </c>
      <c r="K4272">
        <v>1</v>
      </c>
      <c r="L4272">
        <v>0</v>
      </c>
      <c r="M4272">
        <f>VLOOKUP(Table1[[#This Row],[subscription_type]],Plans!$A$1:$B$5,2,FALSE)</f>
        <v>9.99</v>
      </c>
      <c r="N4272">
        <f t="shared" si="66"/>
        <v>0</v>
      </c>
    </row>
    <row r="4273" spans="1:14" x14ac:dyDescent="0.35">
      <c r="A4273">
        <v>4272</v>
      </c>
      <c r="B4273" t="s">
        <v>12</v>
      </c>
      <c r="C4273">
        <v>28</v>
      </c>
      <c r="D4273" t="s">
        <v>25</v>
      </c>
      <c r="E4273" t="s">
        <v>18</v>
      </c>
      <c r="F4273">
        <v>177</v>
      </c>
      <c r="G4273">
        <v>26</v>
      </c>
      <c r="H4273">
        <v>0.22</v>
      </c>
      <c r="I4273" t="s">
        <v>15</v>
      </c>
      <c r="J4273">
        <v>0</v>
      </c>
      <c r="K4273">
        <v>1</v>
      </c>
      <c r="L4273">
        <v>0</v>
      </c>
      <c r="M4273">
        <f>VLOOKUP(Table1[[#This Row],[subscription_type]],Plans!$A$1:$B$5,2,FALSE)</f>
        <v>14.99</v>
      </c>
      <c r="N4273">
        <f t="shared" si="66"/>
        <v>0</v>
      </c>
    </row>
    <row r="4274" spans="1:14" x14ac:dyDescent="0.35">
      <c r="A4274">
        <v>4273</v>
      </c>
      <c r="B4274" t="s">
        <v>16</v>
      </c>
      <c r="C4274">
        <v>40</v>
      </c>
      <c r="D4274" t="s">
        <v>26</v>
      </c>
      <c r="E4274" t="s">
        <v>22</v>
      </c>
      <c r="F4274">
        <v>146</v>
      </c>
      <c r="G4274">
        <v>93</v>
      </c>
      <c r="H4274">
        <v>0.52</v>
      </c>
      <c r="I4274" t="s">
        <v>15</v>
      </c>
      <c r="J4274">
        <v>0</v>
      </c>
      <c r="K4274">
        <v>1</v>
      </c>
      <c r="L4274">
        <v>0</v>
      </c>
      <c r="M4274">
        <f>VLOOKUP(Table1[[#This Row],[subscription_type]],Plans!$A$1:$B$5,2,FALSE)</f>
        <v>9.99</v>
      </c>
      <c r="N4274">
        <f t="shared" si="66"/>
        <v>0</v>
      </c>
    </row>
    <row r="4275" spans="1:14" x14ac:dyDescent="0.35">
      <c r="A4275">
        <v>4274</v>
      </c>
      <c r="B4275" t="s">
        <v>16</v>
      </c>
      <c r="C4275">
        <v>19</v>
      </c>
      <c r="D4275" t="s">
        <v>26</v>
      </c>
      <c r="E4275" t="s">
        <v>22</v>
      </c>
      <c r="F4275">
        <v>182</v>
      </c>
      <c r="G4275">
        <v>2</v>
      </c>
      <c r="H4275">
        <v>0.53</v>
      </c>
      <c r="I4275" t="s">
        <v>15</v>
      </c>
      <c r="J4275">
        <v>0</v>
      </c>
      <c r="K4275">
        <v>1</v>
      </c>
      <c r="L4275">
        <v>1</v>
      </c>
      <c r="M4275">
        <f>VLOOKUP(Table1[[#This Row],[subscription_type]],Plans!$A$1:$B$5,2,FALSE)</f>
        <v>9.99</v>
      </c>
      <c r="N4275">
        <f t="shared" si="66"/>
        <v>9.99</v>
      </c>
    </row>
    <row r="4276" spans="1:14" x14ac:dyDescent="0.35">
      <c r="A4276">
        <v>4275</v>
      </c>
      <c r="B4276" t="s">
        <v>12</v>
      </c>
      <c r="C4276">
        <v>33</v>
      </c>
      <c r="D4276" t="s">
        <v>13</v>
      </c>
      <c r="E4276" t="s">
        <v>22</v>
      </c>
      <c r="F4276">
        <v>180</v>
      </c>
      <c r="G4276">
        <v>32</v>
      </c>
      <c r="H4276">
        <v>0.34</v>
      </c>
      <c r="I4276" t="s">
        <v>15</v>
      </c>
      <c r="J4276">
        <v>0</v>
      </c>
      <c r="K4276">
        <v>1</v>
      </c>
      <c r="L4276">
        <v>0</v>
      </c>
      <c r="M4276">
        <f>VLOOKUP(Table1[[#This Row],[subscription_type]],Plans!$A$1:$B$5,2,FALSE)</f>
        <v>9.99</v>
      </c>
      <c r="N4276">
        <f t="shared" si="66"/>
        <v>0</v>
      </c>
    </row>
    <row r="4277" spans="1:14" x14ac:dyDescent="0.35">
      <c r="A4277">
        <v>4276</v>
      </c>
      <c r="B4277" t="s">
        <v>12</v>
      </c>
      <c r="C4277">
        <v>52</v>
      </c>
      <c r="D4277" t="s">
        <v>29</v>
      </c>
      <c r="E4277" t="s">
        <v>22</v>
      </c>
      <c r="F4277">
        <v>64</v>
      </c>
      <c r="G4277">
        <v>78</v>
      </c>
      <c r="H4277">
        <v>0.46</v>
      </c>
      <c r="I4277" t="s">
        <v>15</v>
      </c>
      <c r="J4277">
        <v>0</v>
      </c>
      <c r="K4277">
        <v>1</v>
      </c>
      <c r="L4277">
        <v>0</v>
      </c>
      <c r="M4277">
        <f>VLOOKUP(Table1[[#This Row],[subscription_type]],Plans!$A$1:$B$5,2,FALSE)</f>
        <v>9.99</v>
      </c>
      <c r="N4277">
        <f t="shared" si="66"/>
        <v>0</v>
      </c>
    </row>
    <row r="4278" spans="1:14" x14ac:dyDescent="0.35">
      <c r="A4278">
        <v>4277</v>
      </c>
      <c r="B4278" t="s">
        <v>20</v>
      </c>
      <c r="C4278">
        <v>23</v>
      </c>
      <c r="D4278" t="s">
        <v>28</v>
      </c>
      <c r="E4278" t="s">
        <v>14</v>
      </c>
      <c r="F4278">
        <v>115</v>
      </c>
      <c r="G4278">
        <v>85</v>
      </c>
      <c r="H4278">
        <v>0.16</v>
      </c>
      <c r="I4278" t="s">
        <v>19</v>
      </c>
      <c r="J4278">
        <v>23</v>
      </c>
      <c r="K4278">
        <v>0</v>
      </c>
      <c r="L4278">
        <v>1</v>
      </c>
      <c r="M4278">
        <f>VLOOKUP(Table1[[#This Row],[subscription_type]],Plans!$A$1:$B$5,2,FALSE)</f>
        <v>0</v>
      </c>
      <c r="N4278">
        <f t="shared" si="66"/>
        <v>0</v>
      </c>
    </row>
    <row r="4279" spans="1:14" x14ac:dyDescent="0.35">
      <c r="A4279">
        <v>4278</v>
      </c>
      <c r="B4279" t="s">
        <v>16</v>
      </c>
      <c r="C4279">
        <v>34</v>
      </c>
      <c r="D4279" t="s">
        <v>21</v>
      </c>
      <c r="E4279" t="s">
        <v>14</v>
      </c>
      <c r="F4279">
        <v>101</v>
      </c>
      <c r="G4279">
        <v>26</v>
      </c>
      <c r="H4279">
        <v>0.19</v>
      </c>
      <c r="I4279" t="s">
        <v>23</v>
      </c>
      <c r="J4279">
        <v>46</v>
      </c>
      <c r="K4279">
        <v>0</v>
      </c>
      <c r="L4279">
        <v>0</v>
      </c>
      <c r="M4279">
        <f>VLOOKUP(Table1[[#This Row],[subscription_type]],Plans!$A$1:$B$5,2,FALSE)</f>
        <v>0</v>
      </c>
      <c r="N4279">
        <f t="shared" si="66"/>
        <v>0</v>
      </c>
    </row>
    <row r="4280" spans="1:14" x14ac:dyDescent="0.35">
      <c r="A4280">
        <v>4279</v>
      </c>
      <c r="B4280" t="s">
        <v>20</v>
      </c>
      <c r="C4280">
        <v>22</v>
      </c>
      <c r="D4280" t="s">
        <v>29</v>
      </c>
      <c r="E4280" t="s">
        <v>24</v>
      </c>
      <c r="F4280">
        <v>185</v>
      </c>
      <c r="G4280">
        <v>11</v>
      </c>
      <c r="H4280">
        <v>0.17</v>
      </c>
      <c r="I4280" t="s">
        <v>23</v>
      </c>
      <c r="J4280">
        <v>0</v>
      </c>
      <c r="K4280">
        <v>1</v>
      </c>
      <c r="L4280">
        <v>0</v>
      </c>
      <c r="M4280">
        <f>VLOOKUP(Table1[[#This Row],[subscription_type]],Plans!$A$1:$B$5,2,FALSE)</f>
        <v>4.99</v>
      </c>
      <c r="N4280">
        <f t="shared" si="66"/>
        <v>0</v>
      </c>
    </row>
    <row r="4281" spans="1:14" x14ac:dyDescent="0.35">
      <c r="A4281">
        <v>4280</v>
      </c>
      <c r="B4281" t="s">
        <v>16</v>
      </c>
      <c r="C4281">
        <v>36</v>
      </c>
      <c r="D4281" t="s">
        <v>17</v>
      </c>
      <c r="E4281" t="s">
        <v>24</v>
      </c>
      <c r="F4281">
        <v>80</v>
      </c>
      <c r="G4281">
        <v>21</v>
      </c>
      <c r="H4281">
        <v>0.2</v>
      </c>
      <c r="I4281" t="s">
        <v>19</v>
      </c>
      <c r="J4281">
        <v>0</v>
      </c>
      <c r="K4281">
        <v>1</v>
      </c>
      <c r="L4281">
        <v>0</v>
      </c>
      <c r="M4281">
        <f>VLOOKUP(Table1[[#This Row],[subscription_type]],Plans!$A$1:$B$5,2,FALSE)</f>
        <v>4.99</v>
      </c>
      <c r="N4281">
        <f t="shared" si="66"/>
        <v>0</v>
      </c>
    </row>
    <row r="4282" spans="1:14" x14ac:dyDescent="0.35">
      <c r="A4282">
        <v>4281</v>
      </c>
      <c r="B4282" t="s">
        <v>20</v>
      </c>
      <c r="C4282">
        <v>52</v>
      </c>
      <c r="D4282" t="s">
        <v>25</v>
      </c>
      <c r="E4282" t="s">
        <v>14</v>
      </c>
      <c r="F4282">
        <v>260</v>
      </c>
      <c r="G4282">
        <v>11</v>
      </c>
      <c r="H4282">
        <v>0.12</v>
      </c>
      <c r="I4282" t="s">
        <v>19</v>
      </c>
      <c r="J4282">
        <v>11</v>
      </c>
      <c r="K4282">
        <v>0</v>
      </c>
      <c r="L4282">
        <v>0</v>
      </c>
      <c r="M4282">
        <f>VLOOKUP(Table1[[#This Row],[subscription_type]],Plans!$A$1:$B$5,2,FALSE)</f>
        <v>0</v>
      </c>
      <c r="N4282">
        <f t="shared" si="66"/>
        <v>0</v>
      </c>
    </row>
    <row r="4283" spans="1:14" x14ac:dyDescent="0.35">
      <c r="A4283">
        <v>4282</v>
      </c>
      <c r="B4283" t="s">
        <v>16</v>
      </c>
      <c r="C4283">
        <v>21</v>
      </c>
      <c r="D4283" t="s">
        <v>28</v>
      </c>
      <c r="E4283" t="s">
        <v>14</v>
      </c>
      <c r="F4283">
        <v>269</v>
      </c>
      <c r="G4283">
        <v>86</v>
      </c>
      <c r="H4283">
        <v>0.16</v>
      </c>
      <c r="I4283" t="s">
        <v>23</v>
      </c>
      <c r="J4283">
        <v>43</v>
      </c>
      <c r="K4283">
        <v>0</v>
      </c>
      <c r="L4283">
        <v>1</v>
      </c>
      <c r="M4283">
        <f>VLOOKUP(Table1[[#This Row],[subscription_type]],Plans!$A$1:$B$5,2,FALSE)</f>
        <v>0</v>
      </c>
      <c r="N4283">
        <f t="shared" si="66"/>
        <v>0</v>
      </c>
    </row>
    <row r="4284" spans="1:14" x14ac:dyDescent="0.35">
      <c r="A4284">
        <v>4283</v>
      </c>
      <c r="B4284" t="s">
        <v>12</v>
      </c>
      <c r="C4284">
        <v>30</v>
      </c>
      <c r="D4284" t="s">
        <v>29</v>
      </c>
      <c r="E4284" t="s">
        <v>14</v>
      </c>
      <c r="F4284">
        <v>141</v>
      </c>
      <c r="G4284">
        <v>1</v>
      </c>
      <c r="H4284">
        <v>0.49</v>
      </c>
      <c r="I4284" t="s">
        <v>19</v>
      </c>
      <c r="J4284">
        <v>13</v>
      </c>
      <c r="K4284">
        <v>0</v>
      </c>
      <c r="L4284">
        <v>0</v>
      </c>
      <c r="M4284">
        <f>VLOOKUP(Table1[[#This Row],[subscription_type]],Plans!$A$1:$B$5,2,FALSE)</f>
        <v>0</v>
      </c>
      <c r="N4284">
        <f t="shared" si="66"/>
        <v>0</v>
      </c>
    </row>
    <row r="4285" spans="1:14" x14ac:dyDescent="0.35">
      <c r="A4285">
        <v>4284</v>
      </c>
      <c r="B4285" t="s">
        <v>12</v>
      </c>
      <c r="C4285">
        <v>51</v>
      </c>
      <c r="D4285" t="s">
        <v>28</v>
      </c>
      <c r="E4285" t="s">
        <v>18</v>
      </c>
      <c r="F4285">
        <v>291</v>
      </c>
      <c r="G4285">
        <v>72</v>
      </c>
      <c r="H4285">
        <v>0.33</v>
      </c>
      <c r="I4285" t="s">
        <v>15</v>
      </c>
      <c r="J4285">
        <v>0</v>
      </c>
      <c r="K4285">
        <v>1</v>
      </c>
      <c r="L4285">
        <v>0</v>
      </c>
      <c r="M4285">
        <f>VLOOKUP(Table1[[#This Row],[subscription_type]],Plans!$A$1:$B$5,2,FALSE)</f>
        <v>14.99</v>
      </c>
      <c r="N4285">
        <f t="shared" si="66"/>
        <v>0</v>
      </c>
    </row>
    <row r="4286" spans="1:14" x14ac:dyDescent="0.35">
      <c r="A4286">
        <v>4285</v>
      </c>
      <c r="B4286" t="s">
        <v>20</v>
      </c>
      <c r="C4286">
        <v>18</v>
      </c>
      <c r="D4286" t="s">
        <v>27</v>
      </c>
      <c r="E4286" t="s">
        <v>24</v>
      </c>
      <c r="F4286">
        <v>111</v>
      </c>
      <c r="G4286">
        <v>14</v>
      </c>
      <c r="H4286">
        <v>0.6</v>
      </c>
      <c r="I4286" t="s">
        <v>23</v>
      </c>
      <c r="J4286">
        <v>0</v>
      </c>
      <c r="K4286">
        <v>1</v>
      </c>
      <c r="L4286">
        <v>0</v>
      </c>
      <c r="M4286">
        <f>VLOOKUP(Table1[[#This Row],[subscription_type]],Plans!$A$1:$B$5,2,FALSE)</f>
        <v>4.99</v>
      </c>
      <c r="N4286">
        <f t="shared" si="66"/>
        <v>0</v>
      </c>
    </row>
    <row r="4287" spans="1:14" x14ac:dyDescent="0.35">
      <c r="A4287">
        <v>4286</v>
      </c>
      <c r="B4287" t="s">
        <v>16</v>
      </c>
      <c r="C4287">
        <v>43</v>
      </c>
      <c r="D4287" t="s">
        <v>21</v>
      </c>
      <c r="E4287" t="s">
        <v>22</v>
      </c>
      <c r="F4287">
        <v>187</v>
      </c>
      <c r="G4287">
        <v>75</v>
      </c>
      <c r="H4287">
        <v>0.54</v>
      </c>
      <c r="I4287" t="s">
        <v>15</v>
      </c>
      <c r="J4287">
        <v>0</v>
      </c>
      <c r="K4287">
        <v>1</v>
      </c>
      <c r="L4287">
        <v>0</v>
      </c>
      <c r="M4287">
        <f>VLOOKUP(Table1[[#This Row],[subscription_type]],Plans!$A$1:$B$5,2,FALSE)</f>
        <v>9.99</v>
      </c>
      <c r="N4287">
        <f t="shared" si="66"/>
        <v>0</v>
      </c>
    </row>
    <row r="4288" spans="1:14" x14ac:dyDescent="0.35">
      <c r="A4288">
        <v>4287</v>
      </c>
      <c r="B4288" t="s">
        <v>20</v>
      </c>
      <c r="C4288">
        <v>45</v>
      </c>
      <c r="D4288" t="s">
        <v>21</v>
      </c>
      <c r="E4288" t="s">
        <v>14</v>
      </c>
      <c r="F4288">
        <v>202</v>
      </c>
      <c r="G4288">
        <v>21</v>
      </c>
      <c r="H4288">
        <v>0.14000000000000001</v>
      </c>
      <c r="I4288" t="s">
        <v>23</v>
      </c>
      <c r="J4288">
        <v>41</v>
      </c>
      <c r="K4288">
        <v>0</v>
      </c>
      <c r="L4288">
        <v>1</v>
      </c>
      <c r="M4288">
        <f>VLOOKUP(Table1[[#This Row],[subscription_type]],Plans!$A$1:$B$5,2,FALSE)</f>
        <v>0</v>
      </c>
      <c r="N4288">
        <f t="shared" si="66"/>
        <v>0</v>
      </c>
    </row>
    <row r="4289" spans="1:14" x14ac:dyDescent="0.35">
      <c r="A4289">
        <v>4288</v>
      </c>
      <c r="B4289" t="s">
        <v>16</v>
      </c>
      <c r="C4289">
        <v>31</v>
      </c>
      <c r="D4289" t="s">
        <v>29</v>
      </c>
      <c r="E4289" t="s">
        <v>14</v>
      </c>
      <c r="F4289">
        <v>82</v>
      </c>
      <c r="G4289">
        <v>54</v>
      </c>
      <c r="H4289">
        <v>0.47</v>
      </c>
      <c r="I4289" t="s">
        <v>19</v>
      </c>
      <c r="J4289">
        <v>6</v>
      </c>
      <c r="K4289">
        <v>0</v>
      </c>
      <c r="L4289">
        <v>0</v>
      </c>
      <c r="M4289">
        <f>VLOOKUP(Table1[[#This Row],[subscription_type]],Plans!$A$1:$B$5,2,FALSE)</f>
        <v>0</v>
      </c>
      <c r="N4289">
        <f t="shared" si="66"/>
        <v>0</v>
      </c>
    </row>
    <row r="4290" spans="1:14" x14ac:dyDescent="0.35">
      <c r="A4290">
        <v>4289</v>
      </c>
      <c r="B4290" t="s">
        <v>12</v>
      </c>
      <c r="C4290">
        <v>20</v>
      </c>
      <c r="D4290" t="s">
        <v>21</v>
      </c>
      <c r="E4290" t="s">
        <v>14</v>
      </c>
      <c r="F4290">
        <v>286</v>
      </c>
      <c r="G4290">
        <v>53</v>
      </c>
      <c r="H4290">
        <v>0.45</v>
      </c>
      <c r="I4290" t="s">
        <v>15</v>
      </c>
      <c r="J4290">
        <v>46</v>
      </c>
      <c r="K4290">
        <v>0</v>
      </c>
      <c r="L4290">
        <v>1</v>
      </c>
      <c r="M4290">
        <f>VLOOKUP(Table1[[#This Row],[subscription_type]],Plans!$A$1:$B$5,2,FALSE)</f>
        <v>0</v>
      </c>
      <c r="N4290">
        <f t="shared" ref="N4290:N4353" si="67">IF(L4290=1, M4290,0)</f>
        <v>0</v>
      </c>
    </row>
    <row r="4291" spans="1:14" x14ac:dyDescent="0.35">
      <c r="A4291">
        <v>4290</v>
      </c>
      <c r="B4291" t="s">
        <v>12</v>
      </c>
      <c r="C4291">
        <v>23</v>
      </c>
      <c r="D4291" t="s">
        <v>26</v>
      </c>
      <c r="E4291" t="s">
        <v>18</v>
      </c>
      <c r="F4291">
        <v>128</v>
      </c>
      <c r="G4291">
        <v>82</v>
      </c>
      <c r="H4291">
        <v>0.36</v>
      </c>
      <c r="I4291" t="s">
        <v>15</v>
      </c>
      <c r="J4291">
        <v>0</v>
      </c>
      <c r="K4291">
        <v>1</v>
      </c>
      <c r="L4291">
        <v>0</v>
      </c>
      <c r="M4291">
        <f>VLOOKUP(Table1[[#This Row],[subscription_type]],Plans!$A$1:$B$5,2,FALSE)</f>
        <v>14.99</v>
      </c>
      <c r="N4291">
        <f t="shared" si="67"/>
        <v>0</v>
      </c>
    </row>
    <row r="4292" spans="1:14" x14ac:dyDescent="0.35">
      <c r="A4292">
        <v>4291</v>
      </c>
      <c r="B4292" t="s">
        <v>16</v>
      </c>
      <c r="C4292">
        <v>18</v>
      </c>
      <c r="D4292" t="s">
        <v>13</v>
      </c>
      <c r="E4292" t="s">
        <v>14</v>
      </c>
      <c r="F4292">
        <v>235</v>
      </c>
      <c r="G4292">
        <v>36</v>
      </c>
      <c r="H4292">
        <v>0.19</v>
      </c>
      <c r="I4292" t="s">
        <v>15</v>
      </c>
      <c r="J4292">
        <v>25</v>
      </c>
      <c r="K4292">
        <v>0</v>
      </c>
      <c r="L4292">
        <v>0</v>
      </c>
      <c r="M4292">
        <f>VLOOKUP(Table1[[#This Row],[subscription_type]],Plans!$A$1:$B$5,2,FALSE)</f>
        <v>0</v>
      </c>
      <c r="N4292">
        <f t="shared" si="67"/>
        <v>0</v>
      </c>
    </row>
    <row r="4293" spans="1:14" x14ac:dyDescent="0.35">
      <c r="A4293">
        <v>4292</v>
      </c>
      <c r="B4293" t="s">
        <v>16</v>
      </c>
      <c r="C4293">
        <v>45</v>
      </c>
      <c r="D4293" t="s">
        <v>28</v>
      </c>
      <c r="E4293" t="s">
        <v>14</v>
      </c>
      <c r="F4293">
        <v>102</v>
      </c>
      <c r="G4293">
        <v>77</v>
      </c>
      <c r="H4293">
        <v>0.1</v>
      </c>
      <c r="I4293" t="s">
        <v>23</v>
      </c>
      <c r="J4293">
        <v>22</v>
      </c>
      <c r="K4293">
        <v>0</v>
      </c>
      <c r="L4293">
        <v>0</v>
      </c>
      <c r="M4293">
        <f>VLOOKUP(Table1[[#This Row],[subscription_type]],Plans!$A$1:$B$5,2,FALSE)</f>
        <v>0</v>
      </c>
      <c r="N4293">
        <f t="shared" si="67"/>
        <v>0</v>
      </c>
    </row>
    <row r="4294" spans="1:14" x14ac:dyDescent="0.35">
      <c r="A4294">
        <v>4293</v>
      </c>
      <c r="B4294" t="s">
        <v>20</v>
      </c>
      <c r="C4294">
        <v>22</v>
      </c>
      <c r="D4294" t="s">
        <v>21</v>
      </c>
      <c r="E4294" t="s">
        <v>18</v>
      </c>
      <c r="F4294">
        <v>149</v>
      </c>
      <c r="G4294">
        <v>91</v>
      </c>
      <c r="H4294">
        <v>0.48</v>
      </c>
      <c r="I4294" t="s">
        <v>15</v>
      </c>
      <c r="J4294">
        <v>0</v>
      </c>
      <c r="K4294">
        <v>1</v>
      </c>
      <c r="L4294">
        <v>0</v>
      </c>
      <c r="M4294">
        <f>VLOOKUP(Table1[[#This Row],[subscription_type]],Plans!$A$1:$B$5,2,FALSE)</f>
        <v>14.99</v>
      </c>
      <c r="N4294">
        <f t="shared" si="67"/>
        <v>0</v>
      </c>
    </row>
    <row r="4295" spans="1:14" x14ac:dyDescent="0.35">
      <c r="A4295">
        <v>4294</v>
      </c>
      <c r="B4295" t="s">
        <v>12</v>
      </c>
      <c r="C4295">
        <v>50</v>
      </c>
      <c r="D4295" t="s">
        <v>21</v>
      </c>
      <c r="E4295" t="s">
        <v>18</v>
      </c>
      <c r="F4295">
        <v>215</v>
      </c>
      <c r="G4295">
        <v>46</v>
      </c>
      <c r="H4295">
        <v>0.54</v>
      </c>
      <c r="I4295" t="s">
        <v>19</v>
      </c>
      <c r="J4295">
        <v>0</v>
      </c>
      <c r="K4295">
        <v>1</v>
      </c>
      <c r="L4295">
        <v>0</v>
      </c>
      <c r="M4295">
        <f>VLOOKUP(Table1[[#This Row],[subscription_type]],Plans!$A$1:$B$5,2,FALSE)</f>
        <v>14.99</v>
      </c>
      <c r="N4295">
        <f t="shared" si="67"/>
        <v>0</v>
      </c>
    </row>
    <row r="4296" spans="1:14" x14ac:dyDescent="0.35">
      <c r="A4296">
        <v>4295</v>
      </c>
      <c r="B4296" t="s">
        <v>16</v>
      </c>
      <c r="C4296">
        <v>49</v>
      </c>
      <c r="D4296" t="s">
        <v>29</v>
      </c>
      <c r="E4296" t="s">
        <v>22</v>
      </c>
      <c r="F4296">
        <v>66</v>
      </c>
      <c r="G4296">
        <v>25</v>
      </c>
      <c r="H4296">
        <v>0.27</v>
      </c>
      <c r="I4296" t="s">
        <v>23</v>
      </c>
      <c r="J4296">
        <v>0</v>
      </c>
      <c r="K4296">
        <v>1</v>
      </c>
      <c r="L4296">
        <v>0</v>
      </c>
      <c r="M4296">
        <f>VLOOKUP(Table1[[#This Row],[subscription_type]],Plans!$A$1:$B$5,2,FALSE)</f>
        <v>9.99</v>
      </c>
      <c r="N4296">
        <f t="shared" si="67"/>
        <v>0</v>
      </c>
    </row>
    <row r="4297" spans="1:14" x14ac:dyDescent="0.35">
      <c r="A4297">
        <v>4296</v>
      </c>
      <c r="B4297" t="s">
        <v>12</v>
      </c>
      <c r="C4297">
        <v>50</v>
      </c>
      <c r="D4297" t="s">
        <v>13</v>
      </c>
      <c r="E4297" t="s">
        <v>14</v>
      </c>
      <c r="F4297">
        <v>272</v>
      </c>
      <c r="G4297">
        <v>60</v>
      </c>
      <c r="H4297">
        <v>0.32</v>
      </c>
      <c r="I4297" t="s">
        <v>15</v>
      </c>
      <c r="J4297">
        <v>5</v>
      </c>
      <c r="K4297">
        <v>0</v>
      </c>
      <c r="L4297">
        <v>0</v>
      </c>
      <c r="M4297">
        <f>VLOOKUP(Table1[[#This Row],[subscription_type]],Plans!$A$1:$B$5,2,FALSE)</f>
        <v>0</v>
      </c>
      <c r="N4297">
        <f t="shared" si="67"/>
        <v>0</v>
      </c>
    </row>
    <row r="4298" spans="1:14" x14ac:dyDescent="0.35">
      <c r="A4298">
        <v>4297</v>
      </c>
      <c r="B4298" t="s">
        <v>20</v>
      </c>
      <c r="C4298">
        <v>43</v>
      </c>
      <c r="D4298" t="s">
        <v>17</v>
      </c>
      <c r="E4298" t="s">
        <v>18</v>
      </c>
      <c r="F4298">
        <v>194</v>
      </c>
      <c r="G4298">
        <v>21</v>
      </c>
      <c r="H4298">
        <v>0.26</v>
      </c>
      <c r="I4298" t="s">
        <v>15</v>
      </c>
      <c r="J4298">
        <v>0</v>
      </c>
      <c r="K4298">
        <v>1</v>
      </c>
      <c r="L4298">
        <v>0</v>
      </c>
      <c r="M4298">
        <f>VLOOKUP(Table1[[#This Row],[subscription_type]],Plans!$A$1:$B$5,2,FALSE)</f>
        <v>14.99</v>
      </c>
      <c r="N4298">
        <f t="shared" si="67"/>
        <v>0</v>
      </c>
    </row>
    <row r="4299" spans="1:14" x14ac:dyDescent="0.35">
      <c r="A4299">
        <v>4298</v>
      </c>
      <c r="B4299" t="s">
        <v>20</v>
      </c>
      <c r="C4299">
        <v>25</v>
      </c>
      <c r="D4299" t="s">
        <v>21</v>
      </c>
      <c r="E4299" t="s">
        <v>18</v>
      </c>
      <c r="F4299">
        <v>38</v>
      </c>
      <c r="G4299">
        <v>38</v>
      </c>
      <c r="H4299">
        <v>0.46</v>
      </c>
      <c r="I4299" t="s">
        <v>23</v>
      </c>
      <c r="J4299">
        <v>0</v>
      </c>
      <c r="K4299">
        <v>1</v>
      </c>
      <c r="L4299">
        <v>0</v>
      </c>
      <c r="M4299">
        <f>VLOOKUP(Table1[[#This Row],[subscription_type]],Plans!$A$1:$B$5,2,FALSE)</f>
        <v>14.99</v>
      </c>
      <c r="N4299">
        <f t="shared" si="67"/>
        <v>0</v>
      </c>
    </row>
    <row r="4300" spans="1:14" x14ac:dyDescent="0.35">
      <c r="A4300">
        <v>4299</v>
      </c>
      <c r="B4300" t="s">
        <v>12</v>
      </c>
      <c r="C4300">
        <v>22</v>
      </c>
      <c r="D4300" t="s">
        <v>17</v>
      </c>
      <c r="E4300" t="s">
        <v>14</v>
      </c>
      <c r="F4300">
        <v>247</v>
      </c>
      <c r="G4300">
        <v>57</v>
      </c>
      <c r="H4300">
        <v>0.42</v>
      </c>
      <c r="I4300" t="s">
        <v>15</v>
      </c>
      <c r="J4300">
        <v>31</v>
      </c>
      <c r="K4300">
        <v>0</v>
      </c>
      <c r="L4300">
        <v>1</v>
      </c>
      <c r="M4300">
        <f>VLOOKUP(Table1[[#This Row],[subscription_type]],Plans!$A$1:$B$5,2,FALSE)</f>
        <v>0</v>
      </c>
      <c r="N4300">
        <f t="shared" si="67"/>
        <v>0</v>
      </c>
    </row>
    <row r="4301" spans="1:14" x14ac:dyDescent="0.35">
      <c r="A4301">
        <v>4300</v>
      </c>
      <c r="B4301" t="s">
        <v>20</v>
      </c>
      <c r="C4301">
        <v>18</v>
      </c>
      <c r="D4301" t="s">
        <v>21</v>
      </c>
      <c r="E4301" t="s">
        <v>18</v>
      </c>
      <c r="F4301">
        <v>109</v>
      </c>
      <c r="G4301">
        <v>93</v>
      </c>
      <c r="H4301">
        <v>0.45</v>
      </c>
      <c r="I4301" t="s">
        <v>23</v>
      </c>
      <c r="J4301">
        <v>0</v>
      </c>
      <c r="K4301">
        <v>1</v>
      </c>
      <c r="L4301">
        <v>0</v>
      </c>
      <c r="M4301">
        <f>VLOOKUP(Table1[[#This Row],[subscription_type]],Plans!$A$1:$B$5,2,FALSE)</f>
        <v>14.99</v>
      </c>
      <c r="N4301">
        <f t="shared" si="67"/>
        <v>0</v>
      </c>
    </row>
    <row r="4302" spans="1:14" x14ac:dyDescent="0.35">
      <c r="A4302">
        <v>4301</v>
      </c>
      <c r="B4302" t="s">
        <v>12</v>
      </c>
      <c r="C4302">
        <v>52</v>
      </c>
      <c r="D4302" t="s">
        <v>13</v>
      </c>
      <c r="E4302" t="s">
        <v>22</v>
      </c>
      <c r="F4302">
        <v>145</v>
      </c>
      <c r="G4302">
        <v>90</v>
      </c>
      <c r="H4302">
        <v>0.14000000000000001</v>
      </c>
      <c r="I4302" t="s">
        <v>15</v>
      </c>
      <c r="J4302">
        <v>0</v>
      </c>
      <c r="K4302">
        <v>1</v>
      </c>
      <c r="L4302">
        <v>0</v>
      </c>
      <c r="M4302">
        <f>VLOOKUP(Table1[[#This Row],[subscription_type]],Plans!$A$1:$B$5,2,FALSE)</f>
        <v>9.99</v>
      </c>
      <c r="N4302">
        <f t="shared" si="67"/>
        <v>0</v>
      </c>
    </row>
    <row r="4303" spans="1:14" x14ac:dyDescent="0.35">
      <c r="A4303">
        <v>4302</v>
      </c>
      <c r="B4303" t="s">
        <v>20</v>
      </c>
      <c r="C4303">
        <v>26</v>
      </c>
      <c r="D4303" t="s">
        <v>13</v>
      </c>
      <c r="E4303" t="s">
        <v>22</v>
      </c>
      <c r="F4303">
        <v>148</v>
      </c>
      <c r="G4303">
        <v>91</v>
      </c>
      <c r="H4303">
        <v>0.01</v>
      </c>
      <c r="I4303" t="s">
        <v>19</v>
      </c>
      <c r="J4303">
        <v>0</v>
      </c>
      <c r="K4303">
        <v>1</v>
      </c>
      <c r="L4303">
        <v>0</v>
      </c>
      <c r="M4303">
        <f>VLOOKUP(Table1[[#This Row],[subscription_type]],Plans!$A$1:$B$5,2,FALSE)</f>
        <v>9.99</v>
      </c>
      <c r="N4303">
        <f t="shared" si="67"/>
        <v>0</v>
      </c>
    </row>
    <row r="4304" spans="1:14" x14ac:dyDescent="0.35">
      <c r="A4304">
        <v>4303</v>
      </c>
      <c r="B4304" t="s">
        <v>16</v>
      </c>
      <c r="C4304">
        <v>26</v>
      </c>
      <c r="D4304" t="s">
        <v>26</v>
      </c>
      <c r="E4304" t="s">
        <v>22</v>
      </c>
      <c r="F4304">
        <v>244</v>
      </c>
      <c r="G4304">
        <v>12</v>
      </c>
      <c r="H4304">
        <v>0.3</v>
      </c>
      <c r="I4304" t="s">
        <v>15</v>
      </c>
      <c r="J4304">
        <v>0</v>
      </c>
      <c r="K4304">
        <v>1</v>
      </c>
      <c r="L4304">
        <v>0</v>
      </c>
      <c r="M4304">
        <f>VLOOKUP(Table1[[#This Row],[subscription_type]],Plans!$A$1:$B$5,2,FALSE)</f>
        <v>9.99</v>
      </c>
      <c r="N4304">
        <f t="shared" si="67"/>
        <v>0</v>
      </c>
    </row>
    <row r="4305" spans="1:14" x14ac:dyDescent="0.35">
      <c r="A4305">
        <v>4304</v>
      </c>
      <c r="B4305" t="s">
        <v>16</v>
      </c>
      <c r="C4305">
        <v>41</v>
      </c>
      <c r="D4305" t="s">
        <v>13</v>
      </c>
      <c r="E4305" t="s">
        <v>18</v>
      </c>
      <c r="F4305">
        <v>192</v>
      </c>
      <c r="G4305">
        <v>81</v>
      </c>
      <c r="H4305">
        <v>0.43</v>
      </c>
      <c r="I4305" t="s">
        <v>15</v>
      </c>
      <c r="J4305">
        <v>0</v>
      </c>
      <c r="K4305">
        <v>1</v>
      </c>
      <c r="L4305">
        <v>0</v>
      </c>
      <c r="M4305">
        <f>VLOOKUP(Table1[[#This Row],[subscription_type]],Plans!$A$1:$B$5,2,FALSE)</f>
        <v>14.99</v>
      </c>
      <c r="N4305">
        <f t="shared" si="67"/>
        <v>0</v>
      </c>
    </row>
    <row r="4306" spans="1:14" x14ac:dyDescent="0.35">
      <c r="A4306">
        <v>4305</v>
      </c>
      <c r="B4306" t="s">
        <v>20</v>
      </c>
      <c r="C4306">
        <v>33</v>
      </c>
      <c r="D4306" t="s">
        <v>25</v>
      </c>
      <c r="E4306" t="s">
        <v>18</v>
      </c>
      <c r="F4306">
        <v>236</v>
      </c>
      <c r="G4306">
        <v>64</v>
      </c>
      <c r="H4306">
        <v>0.34</v>
      </c>
      <c r="I4306" t="s">
        <v>19</v>
      </c>
      <c r="J4306">
        <v>0</v>
      </c>
      <c r="K4306">
        <v>1</v>
      </c>
      <c r="L4306">
        <v>0</v>
      </c>
      <c r="M4306">
        <f>VLOOKUP(Table1[[#This Row],[subscription_type]],Plans!$A$1:$B$5,2,FALSE)</f>
        <v>14.99</v>
      </c>
      <c r="N4306">
        <f t="shared" si="67"/>
        <v>0</v>
      </c>
    </row>
    <row r="4307" spans="1:14" x14ac:dyDescent="0.35">
      <c r="A4307">
        <v>4306</v>
      </c>
      <c r="B4307" t="s">
        <v>16</v>
      </c>
      <c r="C4307">
        <v>19</v>
      </c>
      <c r="D4307" t="s">
        <v>21</v>
      </c>
      <c r="E4307" t="s">
        <v>14</v>
      </c>
      <c r="F4307">
        <v>46</v>
      </c>
      <c r="G4307">
        <v>22</v>
      </c>
      <c r="H4307">
        <v>0.11</v>
      </c>
      <c r="I4307" t="s">
        <v>23</v>
      </c>
      <c r="J4307">
        <v>48</v>
      </c>
      <c r="K4307">
        <v>0</v>
      </c>
      <c r="L4307">
        <v>0</v>
      </c>
      <c r="M4307">
        <f>VLOOKUP(Table1[[#This Row],[subscription_type]],Plans!$A$1:$B$5,2,FALSE)</f>
        <v>0</v>
      </c>
      <c r="N4307">
        <f t="shared" si="67"/>
        <v>0</v>
      </c>
    </row>
    <row r="4308" spans="1:14" x14ac:dyDescent="0.35">
      <c r="A4308">
        <v>4307</v>
      </c>
      <c r="B4308" t="s">
        <v>20</v>
      </c>
      <c r="C4308">
        <v>22</v>
      </c>
      <c r="D4308" t="s">
        <v>17</v>
      </c>
      <c r="E4308" t="s">
        <v>14</v>
      </c>
      <c r="F4308">
        <v>282</v>
      </c>
      <c r="G4308">
        <v>31</v>
      </c>
      <c r="H4308">
        <v>0.6</v>
      </c>
      <c r="I4308" t="s">
        <v>15</v>
      </c>
      <c r="J4308">
        <v>6</v>
      </c>
      <c r="K4308">
        <v>0</v>
      </c>
      <c r="L4308">
        <v>0</v>
      </c>
      <c r="M4308">
        <f>VLOOKUP(Table1[[#This Row],[subscription_type]],Plans!$A$1:$B$5,2,FALSE)</f>
        <v>0</v>
      </c>
      <c r="N4308">
        <f t="shared" si="67"/>
        <v>0</v>
      </c>
    </row>
    <row r="4309" spans="1:14" x14ac:dyDescent="0.35">
      <c r="A4309">
        <v>4308</v>
      </c>
      <c r="B4309" t="s">
        <v>20</v>
      </c>
      <c r="C4309">
        <v>49</v>
      </c>
      <c r="D4309" t="s">
        <v>17</v>
      </c>
      <c r="E4309" t="s">
        <v>18</v>
      </c>
      <c r="F4309">
        <v>286</v>
      </c>
      <c r="G4309">
        <v>60</v>
      </c>
      <c r="H4309">
        <v>0.56999999999999995</v>
      </c>
      <c r="I4309" t="s">
        <v>23</v>
      </c>
      <c r="J4309">
        <v>0</v>
      </c>
      <c r="K4309">
        <v>1</v>
      </c>
      <c r="L4309">
        <v>0</v>
      </c>
      <c r="M4309">
        <f>VLOOKUP(Table1[[#This Row],[subscription_type]],Plans!$A$1:$B$5,2,FALSE)</f>
        <v>14.99</v>
      </c>
      <c r="N4309">
        <f t="shared" si="67"/>
        <v>0</v>
      </c>
    </row>
    <row r="4310" spans="1:14" x14ac:dyDescent="0.35">
      <c r="A4310">
        <v>4309</v>
      </c>
      <c r="B4310" t="s">
        <v>20</v>
      </c>
      <c r="C4310">
        <v>46</v>
      </c>
      <c r="D4310" t="s">
        <v>27</v>
      </c>
      <c r="E4310" t="s">
        <v>18</v>
      </c>
      <c r="F4310">
        <v>49</v>
      </c>
      <c r="G4310">
        <v>74</v>
      </c>
      <c r="H4310">
        <v>0.2</v>
      </c>
      <c r="I4310" t="s">
        <v>15</v>
      </c>
      <c r="J4310">
        <v>0</v>
      </c>
      <c r="K4310">
        <v>1</v>
      </c>
      <c r="L4310">
        <v>1</v>
      </c>
      <c r="M4310">
        <f>VLOOKUP(Table1[[#This Row],[subscription_type]],Plans!$A$1:$B$5,2,FALSE)</f>
        <v>14.99</v>
      </c>
      <c r="N4310">
        <f t="shared" si="67"/>
        <v>14.99</v>
      </c>
    </row>
    <row r="4311" spans="1:14" x14ac:dyDescent="0.35">
      <c r="A4311">
        <v>4310</v>
      </c>
      <c r="B4311" t="s">
        <v>12</v>
      </c>
      <c r="C4311">
        <v>59</v>
      </c>
      <c r="D4311" t="s">
        <v>28</v>
      </c>
      <c r="E4311" t="s">
        <v>22</v>
      </c>
      <c r="F4311">
        <v>25</v>
      </c>
      <c r="G4311">
        <v>41</v>
      </c>
      <c r="H4311">
        <v>0.42</v>
      </c>
      <c r="I4311" t="s">
        <v>23</v>
      </c>
      <c r="J4311">
        <v>0</v>
      </c>
      <c r="K4311">
        <v>1</v>
      </c>
      <c r="L4311">
        <v>1</v>
      </c>
      <c r="M4311">
        <f>VLOOKUP(Table1[[#This Row],[subscription_type]],Plans!$A$1:$B$5,2,FALSE)</f>
        <v>9.99</v>
      </c>
      <c r="N4311">
        <f t="shared" si="67"/>
        <v>9.99</v>
      </c>
    </row>
    <row r="4312" spans="1:14" x14ac:dyDescent="0.35">
      <c r="A4312">
        <v>4311</v>
      </c>
      <c r="B4312" t="s">
        <v>16</v>
      </c>
      <c r="C4312">
        <v>22</v>
      </c>
      <c r="D4312" t="s">
        <v>27</v>
      </c>
      <c r="E4312" t="s">
        <v>24</v>
      </c>
      <c r="F4312">
        <v>40</v>
      </c>
      <c r="G4312">
        <v>98</v>
      </c>
      <c r="H4312">
        <v>0.44</v>
      </c>
      <c r="I4312" t="s">
        <v>15</v>
      </c>
      <c r="J4312">
        <v>0</v>
      </c>
      <c r="K4312">
        <v>1</v>
      </c>
      <c r="L4312">
        <v>0</v>
      </c>
      <c r="M4312">
        <f>VLOOKUP(Table1[[#This Row],[subscription_type]],Plans!$A$1:$B$5,2,FALSE)</f>
        <v>4.99</v>
      </c>
      <c r="N4312">
        <f t="shared" si="67"/>
        <v>0</v>
      </c>
    </row>
    <row r="4313" spans="1:14" x14ac:dyDescent="0.35">
      <c r="A4313">
        <v>4312</v>
      </c>
      <c r="B4313" t="s">
        <v>20</v>
      </c>
      <c r="C4313">
        <v>18</v>
      </c>
      <c r="D4313" t="s">
        <v>25</v>
      </c>
      <c r="E4313" t="s">
        <v>24</v>
      </c>
      <c r="F4313">
        <v>131</v>
      </c>
      <c r="G4313">
        <v>10</v>
      </c>
      <c r="H4313">
        <v>0.3</v>
      </c>
      <c r="I4313" t="s">
        <v>19</v>
      </c>
      <c r="J4313">
        <v>0</v>
      </c>
      <c r="K4313">
        <v>1</v>
      </c>
      <c r="L4313">
        <v>0</v>
      </c>
      <c r="M4313">
        <f>VLOOKUP(Table1[[#This Row],[subscription_type]],Plans!$A$1:$B$5,2,FALSE)</f>
        <v>4.99</v>
      </c>
      <c r="N4313">
        <f t="shared" si="67"/>
        <v>0</v>
      </c>
    </row>
    <row r="4314" spans="1:14" x14ac:dyDescent="0.35">
      <c r="A4314">
        <v>4313</v>
      </c>
      <c r="B4314" t="s">
        <v>20</v>
      </c>
      <c r="C4314">
        <v>30</v>
      </c>
      <c r="D4314" t="s">
        <v>25</v>
      </c>
      <c r="E4314" t="s">
        <v>14</v>
      </c>
      <c r="F4314">
        <v>103</v>
      </c>
      <c r="G4314">
        <v>11</v>
      </c>
      <c r="H4314">
        <v>0.25</v>
      </c>
      <c r="I4314" t="s">
        <v>15</v>
      </c>
      <c r="J4314">
        <v>24</v>
      </c>
      <c r="K4314">
        <v>0</v>
      </c>
      <c r="L4314">
        <v>0</v>
      </c>
      <c r="M4314">
        <f>VLOOKUP(Table1[[#This Row],[subscription_type]],Plans!$A$1:$B$5,2,FALSE)</f>
        <v>0</v>
      </c>
      <c r="N4314">
        <f t="shared" si="67"/>
        <v>0</v>
      </c>
    </row>
    <row r="4315" spans="1:14" x14ac:dyDescent="0.35">
      <c r="A4315">
        <v>4314</v>
      </c>
      <c r="B4315" t="s">
        <v>12</v>
      </c>
      <c r="C4315">
        <v>38</v>
      </c>
      <c r="D4315" t="s">
        <v>25</v>
      </c>
      <c r="E4315" t="s">
        <v>24</v>
      </c>
      <c r="F4315">
        <v>180</v>
      </c>
      <c r="G4315">
        <v>77</v>
      </c>
      <c r="H4315">
        <v>0.08</v>
      </c>
      <c r="I4315" t="s">
        <v>15</v>
      </c>
      <c r="J4315">
        <v>0</v>
      </c>
      <c r="K4315">
        <v>1</v>
      </c>
      <c r="L4315">
        <v>0</v>
      </c>
      <c r="M4315">
        <f>VLOOKUP(Table1[[#This Row],[subscription_type]],Plans!$A$1:$B$5,2,FALSE)</f>
        <v>4.99</v>
      </c>
      <c r="N4315">
        <f t="shared" si="67"/>
        <v>0</v>
      </c>
    </row>
    <row r="4316" spans="1:14" x14ac:dyDescent="0.35">
      <c r="A4316">
        <v>4315</v>
      </c>
      <c r="B4316" t="s">
        <v>12</v>
      </c>
      <c r="C4316">
        <v>28</v>
      </c>
      <c r="D4316" t="s">
        <v>21</v>
      </c>
      <c r="E4316" t="s">
        <v>24</v>
      </c>
      <c r="F4316">
        <v>45</v>
      </c>
      <c r="G4316">
        <v>97</v>
      </c>
      <c r="H4316">
        <v>0.39</v>
      </c>
      <c r="I4316" t="s">
        <v>23</v>
      </c>
      <c r="J4316">
        <v>0</v>
      </c>
      <c r="K4316">
        <v>1</v>
      </c>
      <c r="L4316">
        <v>0</v>
      </c>
      <c r="M4316">
        <f>VLOOKUP(Table1[[#This Row],[subscription_type]],Plans!$A$1:$B$5,2,FALSE)</f>
        <v>4.99</v>
      </c>
      <c r="N4316">
        <f t="shared" si="67"/>
        <v>0</v>
      </c>
    </row>
    <row r="4317" spans="1:14" x14ac:dyDescent="0.35">
      <c r="A4317">
        <v>4316</v>
      </c>
      <c r="B4317" t="s">
        <v>12</v>
      </c>
      <c r="C4317">
        <v>26</v>
      </c>
      <c r="D4317" t="s">
        <v>29</v>
      </c>
      <c r="E4317" t="s">
        <v>22</v>
      </c>
      <c r="F4317">
        <v>13</v>
      </c>
      <c r="G4317">
        <v>39</v>
      </c>
      <c r="H4317">
        <v>0.31</v>
      </c>
      <c r="I4317" t="s">
        <v>19</v>
      </c>
      <c r="J4317">
        <v>0</v>
      </c>
      <c r="K4317">
        <v>1</v>
      </c>
      <c r="L4317">
        <v>0</v>
      </c>
      <c r="M4317">
        <f>VLOOKUP(Table1[[#This Row],[subscription_type]],Plans!$A$1:$B$5,2,FALSE)</f>
        <v>9.99</v>
      </c>
      <c r="N4317">
        <f t="shared" si="67"/>
        <v>0</v>
      </c>
    </row>
    <row r="4318" spans="1:14" x14ac:dyDescent="0.35">
      <c r="A4318">
        <v>4317</v>
      </c>
      <c r="B4318" t="s">
        <v>20</v>
      </c>
      <c r="C4318">
        <v>30</v>
      </c>
      <c r="D4318" t="s">
        <v>26</v>
      </c>
      <c r="E4318" t="s">
        <v>18</v>
      </c>
      <c r="F4318">
        <v>154</v>
      </c>
      <c r="G4318">
        <v>77</v>
      </c>
      <c r="H4318">
        <v>0.28999999999999998</v>
      </c>
      <c r="I4318" t="s">
        <v>15</v>
      </c>
      <c r="J4318">
        <v>0</v>
      </c>
      <c r="K4318">
        <v>1</v>
      </c>
      <c r="L4318">
        <v>0</v>
      </c>
      <c r="M4318">
        <f>VLOOKUP(Table1[[#This Row],[subscription_type]],Plans!$A$1:$B$5,2,FALSE)</f>
        <v>14.99</v>
      </c>
      <c r="N4318">
        <f t="shared" si="67"/>
        <v>0</v>
      </c>
    </row>
    <row r="4319" spans="1:14" x14ac:dyDescent="0.35">
      <c r="A4319">
        <v>4318</v>
      </c>
      <c r="B4319" t="s">
        <v>20</v>
      </c>
      <c r="C4319">
        <v>24</v>
      </c>
      <c r="D4319" t="s">
        <v>29</v>
      </c>
      <c r="E4319" t="s">
        <v>22</v>
      </c>
      <c r="F4319">
        <v>52</v>
      </c>
      <c r="G4319">
        <v>86</v>
      </c>
      <c r="H4319">
        <v>0.28000000000000003</v>
      </c>
      <c r="I4319" t="s">
        <v>15</v>
      </c>
      <c r="J4319">
        <v>0</v>
      </c>
      <c r="K4319">
        <v>1</v>
      </c>
      <c r="L4319">
        <v>0</v>
      </c>
      <c r="M4319">
        <f>VLOOKUP(Table1[[#This Row],[subscription_type]],Plans!$A$1:$B$5,2,FALSE)</f>
        <v>9.99</v>
      </c>
      <c r="N4319">
        <f t="shared" si="67"/>
        <v>0</v>
      </c>
    </row>
    <row r="4320" spans="1:14" x14ac:dyDescent="0.35">
      <c r="A4320">
        <v>4319</v>
      </c>
      <c r="B4320" t="s">
        <v>16</v>
      </c>
      <c r="C4320">
        <v>28</v>
      </c>
      <c r="D4320" t="s">
        <v>28</v>
      </c>
      <c r="E4320" t="s">
        <v>18</v>
      </c>
      <c r="F4320">
        <v>292</v>
      </c>
      <c r="G4320">
        <v>5</v>
      </c>
      <c r="H4320">
        <v>0.41</v>
      </c>
      <c r="I4320" t="s">
        <v>23</v>
      </c>
      <c r="J4320">
        <v>0</v>
      </c>
      <c r="K4320">
        <v>1</v>
      </c>
      <c r="L4320">
        <v>0</v>
      </c>
      <c r="M4320">
        <f>VLOOKUP(Table1[[#This Row],[subscription_type]],Plans!$A$1:$B$5,2,FALSE)</f>
        <v>14.99</v>
      </c>
      <c r="N4320">
        <f t="shared" si="67"/>
        <v>0</v>
      </c>
    </row>
    <row r="4321" spans="1:14" x14ac:dyDescent="0.35">
      <c r="A4321">
        <v>4320</v>
      </c>
      <c r="B4321" t="s">
        <v>20</v>
      </c>
      <c r="C4321">
        <v>18</v>
      </c>
      <c r="D4321" t="s">
        <v>17</v>
      </c>
      <c r="E4321" t="s">
        <v>18</v>
      </c>
      <c r="F4321">
        <v>182</v>
      </c>
      <c r="G4321">
        <v>90</v>
      </c>
      <c r="H4321">
        <v>0.13</v>
      </c>
      <c r="I4321" t="s">
        <v>15</v>
      </c>
      <c r="J4321">
        <v>0</v>
      </c>
      <c r="K4321">
        <v>1</v>
      </c>
      <c r="L4321">
        <v>1</v>
      </c>
      <c r="M4321">
        <f>VLOOKUP(Table1[[#This Row],[subscription_type]],Plans!$A$1:$B$5,2,FALSE)</f>
        <v>14.99</v>
      </c>
      <c r="N4321">
        <f t="shared" si="67"/>
        <v>14.99</v>
      </c>
    </row>
    <row r="4322" spans="1:14" x14ac:dyDescent="0.35">
      <c r="A4322">
        <v>4321</v>
      </c>
      <c r="B4322" t="s">
        <v>20</v>
      </c>
      <c r="C4322">
        <v>21</v>
      </c>
      <c r="D4322" t="s">
        <v>28</v>
      </c>
      <c r="E4322" t="s">
        <v>18</v>
      </c>
      <c r="F4322">
        <v>24</v>
      </c>
      <c r="G4322">
        <v>63</v>
      </c>
      <c r="H4322">
        <v>0.26</v>
      </c>
      <c r="I4322" t="s">
        <v>15</v>
      </c>
      <c r="J4322">
        <v>0</v>
      </c>
      <c r="K4322">
        <v>1</v>
      </c>
      <c r="L4322">
        <v>0</v>
      </c>
      <c r="M4322">
        <f>VLOOKUP(Table1[[#This Row],[subscription_type]],Plans!$A$1:$B$5,2,FALSE)</f>
        <v>14.99</v>
      </c>
      <c r="N4322">
        <f t="shared" si="67"/>
        <v>0</v>
      </c>
    </row>
    <row r="4323" spans="1:14" x14ac:dyDescent="0.35">
      <c r="A4323">
        <v>4322</v>
      </c>
      <c r="B4323" t="s">
        <v>12</v>
      </c>
      <c r="C4323">
        <v>27</v>
      </c>
      <c r="D4323" t="s">
        <v>25</v>
      </c>
      <c r="E4323" t="s">
        <v>18</v>
      </c>
      <c r="F4323">
        <v>167</v>
      </c>
      <c r="G4323">
        <v>79</v>
      </c>
      <c r="H4323">
        <v>7.0000000000000007E-2</v>
      </c>
      <c r="I4323" t="s">
        <v>15</v>
      </c>
      <c r="J4323">
        <v>0</v>
      </c>
      <c r="K4323">
        <v>1</v>
      </c>
      <c r="L4323">
        <v>0</v>
      </c>
      <c r="M4323">
        <f>VLOOKUP(Table1[[#This Row],[subscription_type]],Plans!$A$1:$B$5,2,FALSE)</f>
        <v>14.99</v>
      </c>
      <c r="N4323">
        <f t="shared" si="67"/>
        <v>0</v>
      </c>
    </row>
    <row r="4324" spans="1:14" x14ac:dyDescent="0.35">
      <c r="A4324">
        <v>4323</v>
      </c>
      <c r="B4324" t="s">
        <v>20</v>
      </c>
      <c r="C4324">
        <v>55</v>
      </c>
      <c r="D4324" t="s">
        <v>29</v>
      </c>
      <c r="E4324" t="s">
        <v>18</v>
      </c>
      <c r="F4324">
        <v>139</v>
      </c>
      <c r="G4324">
        <v>7</v>
      </c>
      <c r="H4324">
        <v>0.06</v>
      </c>
      <c r="I4324" t="s">
        <v>23</v>
      </c>
      <c r="J4324">
        <v>0</v>
      </c>
      <c r="K4324">
        <v>1</v>
      </c>
      <c r="L4324">
        <v>1</v>
      </c>
      <c r="M4324">
        <f>VLOOKUP(Table1[[#This Row],[subscription_type]],Plans!$A$1:$B$5,2,FALSE)</f>
        <v>14.99</v>
      </c>
      <c r="N4324">
        <f t="shared" si="67"/>
        <v>14.99</v>
      </c>
    </row>
    <row r="4325" spans="1:14" x14ac:dyDescent="0.35">
      <c r="A4325">
        <v>4324</v>
      </c>
      <c r="B4325" t="s">
        <v>20</v>
      </c>
      <c r="C4325">
        <v>35</v>
      </c>
      <c r="D4325" t="s">
        <v>27</v>
      </c>
      <c r="E4325" t="s">
        <v>18</v>
      </c>
      <c r="F4325">
        <v>53</v>
      </c>
      <c r="G4325">
        <v>73</v>
      </c>
      <c r="H4325">
        <v>0.18</v>
      </c>
      <c r="I4325" t="s">
        <v>15</v>
      </c>
      <c r="J4325">
        <v>0</v>
      </c>
      <c r="K4325">
        <v>1</v>
      </c>
      <c r="L4325">
        <v>0</v>
      </c>
      <c r="M4325">
        <f>VLOOKUP(Table1[[#This Row],[subscription_type]],Plans!$A$1:$B$5,2,FALSE)</f>
        <v>14.99</v>
      </c>
      <c r="N4325">
        <f t="shared" si="67"/>
        <v>0</v>
      </c>
    </row>
    <row r="4326" spans="1:14" x14ac:dyDescent="0.35">
      <c r="A4326">
        <v>4325</v>
      </c>
      <c r="B4326" t="s">
        <v>20</v>
      </c>
      <c r="C4326">
        <v>38</v>
      </c>
      <c r="D4326" t="s">
        <v>28</v>
      </c>
      <c r="E4326" t="s">
        <v>22</v>
      </c>
      <c r="F4326">
        <v>253</v>
      </c>
      <c r="G4326">
        <v>47</v>
      </c>
      <c r="H4326">
        <v>0.38</v>
      </c>
      <c r="I4326" t="s">
        <v>19</v>
      </c>
      <c r="J4326">
        <v>0</v>
      </c>
      <c r="K4326">
        <v>1</v>
      </c>
      <c r="L4326">
        <v>0</v>
      </c>
      <c r="M4326">
        <f>VLOOKUP(Table1[[#This Row],[subscription_type]],Plans!$A$1:$B$5,2,FALSE)</f>
        <v>9.99</v>
      </c>
      <c r="N4326">
        <f t="shared" si="67"/>
        <v>0</v>
      </c>
    </row>
    <row r="4327" spans="1:14" x14ac:dyDescent="0.35">
      <c r="A4327">
        <v>4326</v>
      </c>
      <c r="B4327" t="s">
        <v>20</v>
      </c>
      <c r="C4327">
        <v>24</v>
      </c>
      <c r="D4327" t="s">
        <v>28</v>
      </c>
      <c r="E4327" t="s">
        <v>22</v>
      </c>
      <c r="F4327">
        <v>25</v>
      </c>
      <c r="G4327">
        <v>98</v>
      </c>
      <c r="H4327">
        <v>0.5</v>
      </c>
      <c r="I4327" t="s">
        <v>19</v>
      </c>
      <c r="J4327">
        <v>0</v>
      </c>
      <c r="K4327">
        <v>1</v>
      </c>
      <c r="L4327">
        <v>0</v>
      </c>
      <c r="M4327">
        <f>VLOOKUP(Table1[[#This Row],[subscription_type]],Plans!$A$1:$B$5,2,FALSE)</f>
        <v>9.99</v>
      </c>
      <c r="N4327">
        <f t="shared" si="67"/>
        <v>0</v>
      </c>
    </row>
    <row r="4328" spans="1:14" x14ac:dyDescent="0.35">
      <c r="A4328">
        <v>4327</v>
      </c>
      <c r="B4328" t="s">
        <v>16</v>
      </c>
      <c r="C4328">
        <v>33</v>
      </c>
      <c r="D4328" t="s">
        <v>21</v>
      </c>
      <c r="E4328" t="s">
        <v>24</v>
      </c>
      <c r="F4328">
        <v>31</v>
      </c>
      <c r="G4328">
        <v>97</v>
      </c>
      <c r="H4328">
        <v>0.26</v>
      </c>
      <c r="I4328" t="s">
        <v>15</v>
      </c>
      <c r="J4328">
        <v>0</v>
      </c>
      <c r="K4328">
        <v>1</v>
      </c>
      <c r="L4328">
        <v>1</v>
      </c>
      <c r="M4328">
        <f>VLOOKUP(Table1[[#This Row],[subscription_type]],Plans!$A$1:$B$5,2,FALSE)</f>
        <v>4.99</v>
      </c>
      <c r="N4328">
        <f t="shared" si="67"/>
        <v>4.99</v>
      </c>
    </row>
    <row r="4329" spans="1:14" x14ac:dyDescent="0.35">
      <c r="A4329">
        <v>4328</v>
      </c>
      <c r="B4329" t="s">
        <v>20</v>
      </c>
      <c r="C4329">
        <v>31</v>
      </c>
      <c r="D4329" t="s">
        <v>28</v>
      </c>
      <c r="E4329" t="s">
        <v>18</v>
      </c>
      <c r="F4329">
        <v>150</v>
      </c>
      <c r="G4329">
        <v>43</v>
      </c>
      <c r="H4329">
        <v>0.44</v>
      </c>
      <c r="I4329" t="s">
        <v>19</v>
      </c>
      <c r="J4329">
        <v>0</v>
      </c>
      <c r="K4329">
        <v>1</v>
      </c>
      <c r="L4329">
        <v>1</v>
      </c>
      <c r="M4329">
        <f>VLOOKUP(Table1[[#This Row],[subscription_type]],Plans!$A$1:$B$5,2,FALSE)</f>
        <v>14.99</v>
      </c>
      <c r="N4329">
        <f t="shared" si="67"/>
        <v>14.99</v>
      </c>
    </row>
    <row r="4330" spans="1:14" x14ac:dyDescent="0.35">
      <c r="A4330">
        <v>4329</v>
      </c>
      <c r="B4330" t="s">
        <v>16</v>
      </c>
      <c r="C4330">
        <v>57</v>
      </c>
      <c r="D4330" t="s">
        <v>21</v>
      </c>
      <c r="E4330" t="s">
        <v>22</v>
      </c>
      <c r="F4330">
        <v>123</v>
      </c>
      <c r="G4330">
        <v>8</v>
      </c>
      <c r="H4330">
        <v>0.56999999999999995</v>
      </c>
      <c r="I4330" t="s">
        <v>19</v>
      </c>
      <c r="J4330">
        <v>0</v>
      </c>
      <c r="K4330">
        <v>1</v>
      </c>
      <c r="L4330">
        <v>0</v>
      </c>
      <c r="M4330">
        <f>VLOOKUP(Table1[[#This Row],[subscription_type]],Plans!$A$1:$B$5,2,FALSE)</f>
        <v>9.99</v>
      </c>
      <c r="N4330">
        <f t="shared" si="67"/>
        <v>0</v>
      </c>
    </row>
    <row r="4331" spans="1:14" x14ac:dyDescent="0.35">
      <c r="A4331">
        <v>4330</v>
      </c>
      <c r="B4331" t="s">
        <v>20</v>
      </c>
      <c r="C4331">
        <v>45</v>
      </c>
      <c r="D4331" t="s">
        <v>17</v>
      </c>
      <c r="E4331" t="s">
        <v>22</v>
      </c>
      <c r="F4331">
        <v>248</v>
      </c>
      <c r="G4331">
        <v>14</v>
      </c>
      <c r="H4331">
        <v>0.45</v>
      </c>
      <c r="I4331" t="s">
        <v>23</v>
      </c>
      <c r="J4331">
        <v>0</v>
      </c>
      <c r="K4331">
        <v>1</v>
      </c>
      <c r="L4331">
        <v>0</v>
      </c>
      <c r="M4331">
        <f>VLOOKUP(Table1[[#This Row],[subscription_type]],Plans!$A$1:$B$5,2,FALSE)</f>
        <v>9.99</v>
      </c>
      <c r="N4331">
        <f t="shared" si="67"/>
        <v>0</v>
      </c>
    </row>
    <row r="4332" spans="1:14" x14ac:dyDescent="0.35">
      <c r="A4332">
        <v>4331</v>
      </c>
      <c r="B4332" t="s">
        <v>16</v>
      </c>
      <c r="C4332">
        <v>53</v>
      </c>
      <c r="D4332" t="s">
        <v>28</v>
      </c>
      <c r="E4332" t="s">
        <v>14</v>
      </c>
      <c r="F4332">
        <v>167</v>
      </c>
      <c r="G4332">
        <v>2</v>
      </c>
      <c r="H4332">
        <v>0.1</v>
      </c>
      <c r="I4332" t="s">
        <v>23</v>
      </c>
      <c r="J4332">
        <v>34</v>
      </c>
      <c r="K4332">
        <v>0</v>
      </c>
      <c r="L4332">
        <v>0</v>
      </c>
      <c r="M4332">
        <f>VLOOKUP(Table1[[#This Row],[subscription_type]],Plans!$A$1:$B$5,2,FALSE)</f>
        <v>0</v>
      </c>
      <c r="N4332">
        <f t="shared" si="67"/>
        <v>0</v>
      </c>
    </row>
    <row r="4333" spans="1:14" x14ac:dyDescent="0.35">
      <c r="A4333">
        <v>4332</v>
      </c>
      <c r="B4333" t="s">
        <v>16</v>
      </c>
      <c r="C4333">
        <v>45</v>
      </c>
      <c r="D4333" t="s">
        <v>17</v>
      </c>
      <c r="E4333" t="s">
        <v>14</v>
      </c>
      <c r="F4333">
        <v>219</v>
      </c>
      <c r="G4333">
        <v>68</v>
      </c>
      <c r="H4333">
        <v>0.6</v>
      </c>
      <c r="I4333" t="s">
        <v>15</v>
      </c>
      <c r="J4333">
        <v>45</v>
      </c>
      <c r="K4333">
        <v>0</v>
      </c>
      <c r="L4333">
        <v>0</v>
      </c>
      <c r="M4333">
        <f>VLOOKUP(Table1[[#This Row],[subscription_type]],Plans!$A$1:$B$5,2,FALSE)</f>
        <v>0</v>
      </c>
      <c r="N4333">
        <f t="shared" si="67"/>
        <v>0</v>
      </c>
    </row>
    <row r="4334" spans="1:14" x14ac:dyDescent="0.35">
      <c r="A4334">
        <v>4333</v>
      </c>
      <c r="B4334" t="s">
        <v>20</v>
      </c>
      <c r="C4334">
        <v>33</v>
      </c>
      <c r="D4334" t="s">
        <v>21</v>
      </c>
      <c r="E4334" t="s">
        <v>14</v>
      </c>
      <c r="F4334">
        <v>160</v>
      </c>
      <c r="G4334">
        <v>40</v>
      </c>
      <c r="H4334">
        <v>0.03</v>
      </c>
      <c r="I4334" t="s">
        <v>19</v>
      </c>
      <c r="J4334">
        <v>18</v>
      </c>
      <c r="K4334">
        <v>0</v>
      </c>
      <c r="L4334">
        <v>0</v>
      </c>
      <c r="M4334">
        <f>VLOOKUP(Table1[[#This Row],[subscription_type]],Plans!$A$1:$B$5,2,FALSE)</f>
        <v>0</v>
      </c>
      <c r="N4334">
        <f t="shared" si="67"/>
        <v>0</v>
      </c>
    </row>
    <row r="4335" spans="1:14" x14ac:dyDescent="0.35">
      <c r="A4335">
        <v>4334</v>
      </c>
      <c r="B4335" t="s">
        <v>16</v>
      </c>
      <c r="C4335">
        <v>16</v>
      </c>
      <c r="D4335" t="s">
        <v>27</v>
      </c>
      <c r="E4335" t="s">
        <v>24</v>
      </c>
      <c r="F4335">
        <v>60</v>
      </c>
      <c r="G4335">
        <v>12</v>
      </c>
      <c r="H4335">
        <v>0.19</v>
      </c>
      <c r="I4335" t="s">
        <v>15</v>
      </c>
      <c r="J4335">
        <v>0</v>
      </c>
      <c r="K4335">
        <v>1</v>
      </c>
      <c r="L4335">
        <v>0</v>
      </c>
      <c r="M4335">
        <f>VLOOKUP(Table1[[#This Row],[subscription_type]],Plans!$A$1:$B$5,2,FALSE)</f>
        <v>4.99</v>
      </c>
      <c r="N4335">
        <f t="shared" si="67"/>
        <v>0</v>
      </c>
    </row>
    <row r="4336" spans="1:14" x14ac:dyDescent="0.35">
      <c r="A4336">
        <v>4335</v>
      </c>
      <c r="B4336" t="s">
        <v>12</v>
      </c>
      <c r="C4336">
        <v>36</v>
      </c>
      <c r="D4336" t="s">
        <v>29</v>
      </c>
      <c r="E4336" t="s">
        <v>18</v>
      </c>
      <c r="F4336">
        <v>211</v>
      </c>
      <c r="G4336">
        <v>48</v>
      </c>
      <c r="H4336">
        <v>0.42</v>
      </c>
      <c r="I4336" t="s">
        <v>23</v>
      </c>
      <c r="J4336">
        <v>0</v>
      </c>
      <c r="K4336">
        <v>1</v>
      </c>
      <c r="L4336">
        <v>1</v>
      </c>
      <c r="M4336">
        <f>VLOOKUP(Table1[[#This Row],[subscription_type]],Plans!$A$1:$B$5,2,FALSE)</f>
        <v>14.99</v>
      </c>
      <c r="N4336">
        <f t="shared" si="67"/>
        <v>14.99</v>
      </c>
    </row>
    <row r="4337" spans="1:14" x14ac:dyDescent="0.35">
      <c r="A4337">
        <v>4336</v>
      </c>
      <c r="B4337" t="s">
        <v>16</v>
      </c>
      <c r="C4337">
        <v>28</v>
      </c>
      <c r="D4337" t="s">
        <v>26</v>
      </c>
      <c r="E4337" t="s">
        <v>24</v>
      </c>
      <c r="F4337">
        <v>63</v>
      </c>
      <c r="G4337">
        <v>82</v>
      </c>
      <c r="H4337">
        <v>0.17</v>
      </c>
      <c r="I4337" t="s">
        <v>15</v>
      </c>
      <c r="J4337">
        <v>0</v>
      </c>
      <c r="K4337">
        <v>1</v>
      </c>
      <c r="L4337">
        <v>1</v>
      </c>
      <c r="M4337">
        <f>VLOOKUP(Table1[[#This Row],[subscription_type]],Plans!$A$1:$B$5,2,FALSE)</f>
        <v>4.99</v>
      </c>
      <c r="N4337">
        <f t="shared" si="67"/>
        <v>4.99</v>
      </c>
    </row>
    <row r="4338" spans="1:14" x14ac:dyDescent="0.35">
      <c r="A4338">
        <v>4337</v>
      </c>
      <c r="B4338" t="s">
        <v>12</v>
      </c>
      <c r="C4338">
        <v>28</v>
      </c>
      <c r="D4338" t="s">
        <v>25</v>
      </c>
      <c r="E4338" t="s">
        <v>22</v>
      </c>
      <c r="F4338">
        <v>114</v>
      </c>
      <c r="G4338">
        <v>23</v>
      </c>
      <c r="H4338">
        <v>0.09</v>
      </c>
      <c r="I4338" t="s">
        <v>15</v>
      </c>
      <c r="J4338">
        <v>0</v>
      </c>
      <c r="K4338">
        <v>1</v>
      </c>
      <c r="L4338">
        <v>0</v>
      </c>
      <c r="M4338">
        <f>VLOOKUP(Table1[[#This Row],[subscription_type]],Plans!$A$1:$B$5,2,FALSE)</f>
        <v>9.99</v>
      </c>
      <c r="N4338">
        <f t="shared" si="67"/>
        <v>0</v>
      </c>
    </row>
    <row r="4339" spans="1:14" x14ac:dyDescent="0.35">
      <c r="A4339">
        <v>4338</v>
      </c>
      <c r="B4339" t="s">
        <v>20</v>
      </c>
      <c r="C4339">
        <v>49</v>
      </c>
      <c r="D4339" t="s">
        <v>29</v>
      </c>
      <c r="E4339" t="s">
        <v>24</v>
      </c>
      <c r="F4339">
        <v>274</v>
      </c>
      <c r="G4339">
        <v>38</v>
      </c>
      <c r="H4339">
        <v>0.1</v>
      </c>
      <c r="I4339" t="s">
        <v>15</v>
      </c>
      <c r="J4339">
        <v>0</v>
      </c>
      <c r="K4339">
        <v>1</v>
      </c>
      <c r="L4339">
        <v>0</v>
      </c>
      <c r="M4339">
        <f>VLOOKUP(Table1[[#This Row],[subscription_type]],Plans!$A$1:$B$5,2,FALSE)</f>
        <v>4.99</v>
      </c>
      <c r="N4339">
        <f t="shared" si="67"/>
        <v>0</v>
      </c>
    </row>
    <row r="4340" spans="1:14" x14ac:dyDescent="0.35">
      <c r="A4340">
        <v>4339</v>
      </c>
      <c r="B4340" t="s">
        <v>16</v>
      </c>
      <c r="C4340">
        <v>59</v>
      </c>
      <c r="D4340" t="s">
        <v>29</v>
      </c>
      <c r="E4340" t="s">
        <v>24</v>
      </c>
      <c r="F4340">
        <v>97</v>
      </c>
      <c r="G4340">
        <v>35</v>
      </c>
      <c r="H4340">
        <v>0.01</v>
      </c>
      <c r="I4340" t="s">
        <v>23</v>
      </c>
      <c r="J4340">
        <v>0</v>
      </c>
      <c r="K4340">
        <v>1</v>
      </c>
      <c r="L4340">
        <v>0</v>
      </c>
      <c r="M4340">
        <f>VLOOKUP(Table1[[#This Row],[subscription_type]],Plans!$A$1:$B$5,2,FALSE)</f>
        <v>4.99</v>
      </c>
      <c r="N4340">
        <f t="shared" si="67"/>
        <v>0</v>
      </c>
    </row>
    <row r="4341" spans="1:14" x14ac:dyDescent="0.35">
      <c r="A4341">
        <v>4340</v>
      </c>
      <c r="B4341" t="s">
        <v>20</v>
      </c>
      <c r="C4341">
        <v>53</v>
      </c>
      <c r="D4341" t="s">
        <v>25</v>
      </c>
      <c r="E4341" t="s">
        <v>22</v>
      </c>
      <c r="F4341">
        <v>244</v>
      </c>
      <c r="G4341">
        <v>82</v>
      </c>
      <c r="H4341">
        <v>0.31</v>
      </c>
      <c r="I4341" t="s">
        <v>23</v>
      </c>
      <c r="J4341">
        <v>0</v>
      </c>
      <c r="K4341">
        <v>1</v>
      </c>
      <c r="L4341">
        <v>0</v>
      </c>
      <c r="M4341">
        <f>VLOOKUP(Table1[[#This Row],[subscription_type]],Plans!$A$1:$B$5,2,FALSE)</f>
        <v>9.99</v>
      </c>
      <c r="N4341">
        <f t="shared" si="67"/>
        <v>0</v>
      </c>
    </row>
    <row r="4342" spans="1:14" x14ac:dyDescent="0.35">
      <c r="A4342">
        <v>4341</v>
      </c>
      <c r="B4342" t="s">
        <v>16</v>
      </c>
      <c r="C4342">
        <v>34</v>
      </c>
      <c r="D4342" t="s">
        <v>17</v>
      </c>
      <c r="E4342" t="s">
        <v>22</v>
      </c>
      <c r="F4342">
        <v>286</v>
      </c>
      <c r="G4342">
        <v>56</v>
      </c>
      <c r="H4342">
        <v>0.19</v>
      </c>
      <c r="I4342" t="s">
        <v>15</v>
      </c>
      <c r="J4342">
        <v>0</v>
      </c>
      <c r="K4342">
        <v>1</v>
      </c>
      <c r="L4342">
        <v>0</v>
      </c>
      <c r="M4342">
        <f>VLOOKUP(Table1[[#This Row],[subscription_type]],Plans!$A$1:$B$5,2,FALSE)</f>
        <v>9.99</v>
      </c>
      <c r="N4342">
        <f t="shared" si="67"/>
        <v>0</v>
      </c>
    </row>
    <row r="4343" spans="1:14" x14ac:dyDescent="0.35">
      <c r="A4343">
        <v>4342</v>
      </c>
      <c r="B4343" t="s">
        <v>12</v>
      </c>
      <c r="C4343">
        <v>20</v>
      </c>
      <c r="D4343" t="s">
        <v>25</v>
      </c>
      <c r="E4343" t="s">
        <v>14</v>
      </c>
      <c r="F4343">
        <v>133</v>
      </c>
      <c r="G4343">
        <v>65</v>
      </c>
      <c r="H4343">
        <v>0.04</v>
      </c>
      <c r="I4343" t="s">
        <v>15</v>
      </c>
      <c r="J4343">
        <v>29</v>
      </c>
      <c r="K4343">
        <v>0</v>
      </c>
      <c r="L4343">
        <v>0</v>
      </c>
      <c r="M4343">
        <f>VLOOKUP(Table1[[#This Row],[subscription_type]],Plans!$A$1:$B$5,2,FALSE)</f>
        <v>0</v>
      </c>
      <c r="N4343">
        <f t="shared" si="67"/>
        <v>0</v>
      </c>
    </row>
    <row r="4344" spans="1:14" x14ac:dyDescent="0.35">
      <c r="A4344">
        <v>4343</v>
      </c>
      <c r="B4344" t="s">
        <v>20</v>
      </c>
      <c r="C4344">
        <v>35</v>
      </c>
      <c r="D4344" t="s">
        <v>17</v>
      </c>
      <c r="E4344" t="s">
        <v>22</v>
      </c>
      <c r="F4344">
        <v>199</v>
      </c>
      <c r="G4344">
        <v>91</v>
      </c>
      <c r="H4344">
        <v>0.02</v>
      </c>
      <c r="I4344" t="s">
        <v>23</v>
      </c>
      <c r="J4344">
        <v>0</v>
      </c>
      <c r="K4344">
        <v>1</v>
      </c>
      <c r="L4344">
        <v>0</v>
      </c>
      <c r="M4344">
        <f>VLOOKUP(Table1[[#This Row],[subscription_type]],Plans!$A$1:$B$5,2,FALSE)</f>
        <v>9.99</v>
      </c>
      <c r="N4344">
        <f t="shared" si="67"/>
        <v>0</v>
      </c>
    </row>
    <row r="4345" spans="1:14" x14ac:dyDescent="0.35">
      <c r="A4345">
        <v>4344</v>
      </c>
      <c r="B4345" t="s">
        <v>12</v>
      </c>
      <c r="C4345">
        <v>16</v>
      </c>
      <c r="D4345" t="s">
        <v>26</v>
      </c>
      <c r="E4345" t="s">
        <v>22</v>
      </c>
      <c r="F4345">
        <v>117</v>
      </c>
      <c r="G4345">
        <v>56</v>
      </c>
      <c r="H4345">
        <v>0</v>
      </c>
      <c r="I4345" t="s">
        <v>19</v>
      </c>
      <c r="J4345">
        <v>0</v>
      </c>
      <c r="K4345">
        <v>1</v>
      </c>
      <c r="L4345">
        <v>1</v>
      </c>
      <c r="M4345">
        <f>VLOOKUP(Table1[[#This Row],[subscription_type]],Plans!$A$1:$B$5,2,FALSE)</f>
        <v>9.99</v>
      </c>
      <c r="N4345">
        <f t="shared" si="67"/>
        <v>9.99</v>
      </c>
    </row>
    <row r="4346" spans="1:14" x14ac:dyDescent="0.35">
      <c r="A4346">
        <v>4345</v>
      </c>
      <c r="B4346" t="s">
        <v>12</v>
      </c>
      <c r="C4346">
        <v>42</v>
      </c>
      <c r="D4346" t="s">
        <v>21</v>
      </c>
      <c r="E4346" t="s">
        <v>24</v>
      </c>
      <c r="F4346">
        <v>233</v>
      </c>
      <c r="G4346">
        <v>94</v>
      </c>
      <c r="H4346">
        <v>0.37</v>
      </c>
      <c r="I4346" t="s">
        <v>19</v>
      </c>
      <c r="J4346">
        <v>0</v>
      </c>
      <c r="K4346">
        <v>1</v>
      </c>
      <c r="L4346">
        <v>0</v>
      </c>
      <c r="M4346">
        <f>VLOOKUP(Table1[[#This Row],[subscription_type]],Plans!$A$1:$B$5,2,FALSE)</f>
        <v>4.99</v>
      </c>
      <c r="N4346">
        <f t="shared" si="67"/>
        <v>0</v>
      </c>
    </row>
    <row r="4347" spans="1:14" x14ac:dyDescent="0.35">
      <c r="A4347">
        <v>4346</v>
      </c>
      <c r="B4347" t="s">
        <v>20</v>
      </c>
      <c r="C4347">
        <v>39</v>
      </c>
      <c r="D4347" t="s">
        <v>28</v>
      </c>
      <c r="E4347" t="s">
        <v>14</v>
      </c>
      <c r="F4347">
        <v>132</v>
      </c>
      <c r="G4347">
        <v>69</v>
      </c>
      <c r="H4347">
        <v>0.57999999999999996</v>
      </c>
      <c r="I4347" t="s">
        <v>19</v>
      </c>
      <c r="J4347">
        <v>31</v>
      </c>
      <c r="K4347">
        <v>0</v>
      </c>
      <c r="L4347">
        <v>0</v>
      </c>
      <c r="M4347">
        <f>VLOOKUP(Table1[[#This Row],[subscription_type]],Plans!$A$1:$B$5,2,FALSE)</f>
        <v>0</v>
      </c>
      <c r="N4347">
        <f t="shared" si="67"/>
        <v>0</v>
      </c>
    </row>
    <row r="4348" spans="1:14" x14ac:dyDescent="0.35">
      <c r="A4348">
        <v>4347</v>
      </c>
      <c r="B4348" t="s">
        <v>20</v>
      </c>
      <c r="C4348">
        <v>31</v>
      </c>
      <c r="D4348" t="s">
        <v>29</v>
      </c>
      <c r="E4348" t="s">
        <v>22</v>
      </c>
      <c r="F4348">
        <v>79</v>
      </c>
      <c r="G4348">
        <v>17</v>
      </c>
      <c r="H4348">
        <v>0.3</v>
      </c>
      <c r="I4348" t="s">
        <v>15</v>
      </c>
      <c r="J4348">
        <v>0</v>
      </c>
      <c r="K4348">
        <v>1</v>
      </c>
      <c r="L4348">
        <v>0</v>
      </c>
      <c r="M4348">
        <f>VLOOKUP(Table1[[#This Row],[subscription_type]],Plans!$A$1:$B$5,2,FALSE)</f>
        <v>9.99</v>
      </c>
      <c r="N4348">
        <f t="shared" si="67"/>
        <v>0</v>
      </c>
    </row>
    <row r="4349" spans="1:14" x14ac:dyDescent="0.35">
      <c r="A4349">
        <v>4348</v>
      </c>
      <c r="B4349" t="s">
        <v>16</v>
      </c>
      <c r="C4349">
        <v>32</v>
      </c>
      <c r="D4349" t="s">
        <v>17</v>
      </c>
      <c r="E4349" t="s">
        <v>24</v>
      </c>
      <c r="F4349">
        <v>115</v>
      </c>
      <c r="G4349">
        <v>56</v>
      </c>
      <c r="H4349">
        <v>0.01</v>
      </c>
      <c r="I4349" t="s">
        <v>23</v>
      </c>
      <c r="J4349">
        <v>0</v>
      </c>
      <c r="K4349">
        <v>1</v>
      </c>
      <c r="L4349">
        <v>0</v>
      </c>
      <c r="M4349">
        <f>VLOOKUP(Table1[[#This Row],[subscription_type]],Plans!$A$1:$B$5,2,FALSE)</f>
        <v>4.99</v>
      </c>
      <c r="N4349">
        <f t="shared" si="67"/>
        <v>0</v>
      </c>
    </row>
    <row r="4350" spans="1:14" x14ac:dyDescent="0.35">
      <c r="A4350">
        <v>4349</v>
      </c>
      <c r="B4350" t="s">
        <v>20</v>
      </c>
      <c r="C4350">
        <v>16</v>
      </c>
      <c r="D4350" t="s">
        <v>13</v>
      </c>
      <c r="E4350" t="s">
        <v>22</v>
      </c>
      <c r="F4350">
        <v>214</v>
      </c>
      <c r="G4350">
        <v>6</v>
      </c>
      <c r="H4350">
        <v>0.15</v>
      </c>
      <c r="I4350" t="s">
        <v>19</v>
      </c>
      <c r="J4350">
        <v>0</v>
      </c>
      <c r="K4350">
        <v>1</v>
      </c>
      <c r="L4350">
        <v>1</v>
      </c>
      <c r="M4350">
        <f>VLOOKUP(Table1[[#This Row],[subscription_type]],Plans!$A$1:$B$5,2,FALSE)</f>
        <v>9.99</v>
      </c>
      <c r="N4350">
        <f t="shared" si="67"/>
        <v>9.99</v>
      </c>
    </row>
    <row r="4351" spans="1:14" x14ac:dyDescent="0.35">
      <c r="A4351">
        <v>4350</v>
      </c>
      <c r="B4351" t="s">
        <v>20</v>
      </c>
      <c r="C4351">
        <v>51</v>
      </c>
      <c r="D4351" t="s">
        <v>13</v>
      </c>
      <c r="E4351" t="s">
        <v>14</v>
      </c>
      <c r="F4351">
        <v>165</v>
      </c>
      <c r="G4351">
        <v>81</v>
      </c>
      <c r="H4351">
        <v>0.54</v>
      </c>
      <c r="I4351" t="s">
        <v>23</v>
      </c>
      <c r="J4351">
        <v>20</v>
      </c>
      <c r="K4351">
        <v>0</v>
      </c>
      <c r="L4351">
        <v>0</v>
      </c>
      <c r="M4351">
        <f>VLOOKUP(Table1[[#This Row],[subscription_type]],Plans!$A$1:$B$5,2,FALSE)</f>
        <v>0</v>
      </c>
      <c r="N4351">
        <f t="shared" si="67"/>
        <v>0</v>
      </c>
    </row>
    <row r="4352" spans="1:14" x14ac:dyDescent="0.35">
      <c r="A4352">
        <v>4351</v>
      </c>
      <c r="B4352" t="s">
        <v>16</v>
      </c>
      <c r="C4352">
        <v>59</v>
      </c>
      <c r="D4352" t="s">
        <v>25</v>
      </c>
      <c r="E4352" t="s">
        <v>18</v>
      </c>
      <c r="F4352">
        <v>85</v>
      </c>
      <c r="G4352">
        <v>79</v>
      </c>
      <c r="H4352">
        <v>0.09</v>
      </c>
      <c r="I4352" t="s">
        <v>23</v>
      </c>
      <c r="J4352">
        <v>0</v>
      </c>
      <c r="K4352">
        <v>1</v>
      </c>
      <c r="L4352">
        <v>0</v>
      </c>
      <c r="M4352">
        <f>VLOOKUP(Table1[[#This Row],[subscription_type]],Plans!$A$1:$B$5,2,FALSE)</f>
        <v>14.99</v>
      </c>
      <c r="N4352">
        <f t="shared" si="67"/>
        <v>0</v>
      </c>
    </row>
    <row r="4353" spans="1:14" x14ac:dyDescent="0.35">
      <c r="A4353">
        <v>4352</v>
      </c>
      <c r="B4353" t="s">
        <v>16</v>
      </c>
      <c r="C4353">
        <v>45</v>
      </c>
      <c r="D4353" t="s">
        <v>29</v>
      </c>
      <c r="E4353" t="s">
        <v>14</v>
      </c>
      <c r="F4353">
        <v>90</v>
      </c>
      <c r="G4353">
        <v>29</v>
      </c>
      <c r="H4353">
        <v>0.06</v>
      </c>
      <c r="I4353" t="s">
        <v>15</v>
      </c>
      <c r="J4353">
        <v>14</v>
      </c>
      <c r="K4353">
        <v>0</v>
      </c>
      <c r="L4353">
        <v>1</v>
      </c>
      <c r="M4353">
        <f>VLOOKUP(Table1[[#This Row],[subscription_type]],Plans!$A$1:$B$5,2,FALSE)</f>
        <v>0</v>
      </c>
      <c r="N4353">
        <f t="shared" si="67"/>
        <v>0</v>
      </c>
    </row>
    <row r="4354" spans="1:14" x14ac:dyDescent="0.35">
      <c r="A4354">
        <v>4353</v>
      </c>
      <c r="B4354" t="s">
        <v>20</v>
      </c>
      <c r="C4354">
        <v>44</v>
      </c>
      <c r="D4354" t="s">
        <v>27</v>
      </c>
      <c r="E4354" t="s">
        <v>22</v>
      </c>
      <c r="F4354">
        <v>208</v>
      </c>
      <c r="G4354">
        <v>2</v>
      </c>
      <c r="H4354">
        <v>0.51</v>
      </c>
      <c r="I4354" t="s">
        <v>23</v>
      </c>
      <c r="J4354">
        <v>0</v>
      </c>
      <c r="K4354">
        <v>1</v>
      </c>
      <c r="L4354">
        <v>0</v>
      </c>
      <c r="M4354">
        <f>VLOOKUP(Table1[[#This Row],[subscription_type]],Plans!$A$1:$B$5,2,FALSE)</f>
        <v>9.99</v>
      </c>
      <c r="N4354">
        <f t="shared" ref="N4354:N4417" si="68">IF(L4354=1, M4354,0)</f>
        <v>0</v>
      </c>
    </row>
    <row r="4355" spans="1:14" x14ac:dyDescent="0.35">
      <c r="A4355">
        <v>4354</v>
      </c>
      <c r="B4355" t="s">
        <v>16</v>
      </c>
      <c r="C4355">
        <v>50</v>
      </c>
      <c r="D4355" t="s">
        <v>29</v>
      </c>
      <c r="E4355" t="s">
        <v>22</v>
      </c>
      <c r="F4355">
        <v>94</v>
      </c>
      <c r="G4355">
        <v>89</v>
      </c>
      <c r="H4355">
        <v>0.33</v>
      </c>
      <c r="I4355" t="s">
        <v>19</v>
      </c>
      <c r="J4355">
        <v>0</v>
      </c>
      <c r="K4355">
        <v>1</v>
      </c>
      <c r="L4355">
        <v>0</v>
      </c>
      <c r="M4355">
        <f>VLOOKUP(Table1[[#This Row],[subscription_type]],Plans!$A$1:$B$5,2,FALSE)</f>
        <v>9.99</v>
      </c>
      <c r="N4355">
        <f t="shared" si="68"/>
        <v>0</v>
      </c>
    </row>
    <row r="4356" spans="1:14" x14ac:dyDescent="0.35">
      <c r="A4356">
        <v>4355</v>
      </c>
      <c r="B4356" t="s">
        <v>12</v>
      </c>
      <c r="C4356">
        <v>25</v>
      </c>
      <c r="D4356" t="s">
        <v>29</v>
      </c>
      <c r="E4356" t="s">
        <v>14</v>
      </c>
      <c r="F4356">
        <v>251</v>
      </c>
      <c r="G4356">
        <v>68</v>
      </c>
      <c r="H4356">
        <v>0.28000000000000003</v>
      </c>
      <c r="I4356" t="s">
        <v>19</v>
      </c>
      <c r="J4356">
        <v>14</v>
      </c>
      <c r="K4356">
        <v>0</v>
      </c>
      <c r="L4356">
        <v>0</v>
      </c>
      <c r="M4356">
        <f>VLOOKUP(Table1[[#This Row],[subscription_type]],Plans!$A$1:$B$5,2,FALSE)</f>
        <v>0</v>
      </c>
      <c r="N4356">
        <f t="shared" si="68"/>
        <v>0</v>
      </c>
    </row>
    <row r="4357" spans="1:14" x14ac:dyDescent="0.35">
      <c r="A4357">
        <v>4356</v>
      </c>
      <c r="B4357" t="s">
        <v>16</v>
      </c>
      <c r="C4357">
        <v>31</v>
      </c>
      <c r="D4357" t="s">
        <v>21</v>
      </c>
      <c r="E4357" t="s">
        <v>18</v>
      </c>
      <c r="F4357">
        <v>268</v>
      </c>
      <c r="G4357">
        <v>16</v>
      </c>
      <c r="H4357">
        <v>0.49</v>
      </c>
      <c r="I4357" t="s">
        <v>15</v>
      </c>
      <c r="J4357">
        <v>0</v>
      </c>
      <c r="K4357">
        <v>1</v>
      </c>
      <c r="L4357">
        <v>0</v>
      </c>
      <c r="M4357">
        <f>VLOOKUP(Table1[[#This Row],[subscription_type]],Plans!$A$1:$B$5,2,FALSE)</f>
        <v>14.99</v>
      </c>
      <c r="N4357">
        <f t="shared" si="68"/>
        <v>0</v>
      </c>
    </row>
    <row r="4358" spans="1:14" x14ac:dyDescent="0.35">
      <c r="A4358">
        <v>4357</v>
      </c>
      <c r="B4358" t="s">
        <v>12</v>
      </c>
      <c r="C4358">
        <v>55</v>
      </c>
      <c r="D4358" t="s">
        <v>29</v>
      </c>
      <c r="E4358" t="s">
        <v>14</v>
      </c>
      <c r="F4358">
        <v>133</v>
      </c>
      <c r="G4358">
        <v>75</v>
      </c>
      <c r="H4358">
        <v>0.39</v>
      </c>
      <c r="I4358" t="s">
        <v>15</v>
      </c>
      <c r="J4358">
        <v>10</v>
      </c>
      <c r="K4358">
        <v>0</v>
      </c>
      <c r="L4358">
        <v>0</v>
      </c>
      <c r="M4358">
        <f>VLOOKUP(Table1[[#This Row],[subscription_type]],Plans!$A$1:$B$5,2,FALSE)</f>
        <v>0</v>
      </c>
      <c r="N4358">
        <f t="shared" si="68"/>
        <v>0</v>
      </c>
    </row>
    <row r="4359" spans="1:14" x14ac:dyDescent="0.35">
      <c r="A4359">
        <v>4358</v>
      </c>
      <c r="B4359" t="s">
        <v>12</v>
      </c>
      <c r="C4359">
        <v>43</v>
      </c>
      <c r="D4359" t="s">
        <v>26</v>
      </c>
      <c r="E4359" t="s">
        <v>18</v>
      </c>
      <c r="F4359">
        <v>124</v>
      </c>
      <c r="G4359">
        <v>16</v>
      </c>
      <c r="H4359">
        <v>0.49</v>
      </c>
      <c r="I4359" t="s">
        <v>23</v>
      </c>
      <c r="J4359">
        <v>0</v>
      </c>
      <c r="K4359">
        <v>1</v>
      </c>
      <c r="L4359">
        <v>0</v>
      </c>
      <c r="M4359">
        <f>VLOOKUP(Table1[[#This Row],[subscription_type]],Plans!$A$1:$B$5,2,FALSE)</f>
        <v>14.99</v>
      </c>
      <c r="N4359">
        <f t="shared" si="68"/>
        <v>0</v>
      </c>
    </row>
    <row r="4360" spans="1:14" x14ac:dyDescent="0.35">
      <c r="A4360">
        <v>4359</v>
      </c>
      <c r="B4360" t="s">
        <v>12</v>
      </c>
      <c r="C4360">
        <v>51</v>
      </c>
      <c r="D4360" t="s">
        <v>27</v>
      </c>
      <c r="E4360" t="s">
        <v>14</v>
      </c>
      <c r="F4360">
        <v>17</v>
      </c>
      <c r="G4360">
        <v>2</v>
      </c>
      <c r="H4360">
        <v>0.39</v>
      </c>
      <c r="I4360" t="s">
        <v>15</v>
      </c>
      <c r="J4360">
        <v>18</v>
      </c>
      <c r="K4360">
        <v>0</v>
      </c>
      <c r="L4360">
        <v>0</v>
      </c>
      <c r="M4360">
        <f>VLOOKUP(Table1[[#This Row],[subscription_type]],Plans!$A$1:$B$5,2,FALSE)</f>
        <v>0</v>
      </c>
      <c r="N4360">
        <f t="shared" si="68"/>
        <v>0</v>
      </c>
    </row>
    <row r="4361" spans="1:14" x14ac:dyDescent="0.35">
      <c r="A4361">
        <v>4360</v>
      </c>
      <c r="B4361" t="s">
        <v>16</v>
      </c>
      <c r="C4361">
        <v>33</v>
      </c>
      <c r="D4361" t="s">
        <v>21</v>
      </c>
      <c r="E4361" t="s">
        <v>18</v>
      </c>
      <c r="F4361">
        <v>167</v>
      </c>
      <c r="G4361">
        <v>99</v>
      </c>
      <c r="H4361">
        <v>0.22</v>
      </c>
      <c r="I4361" t="s">
        <v>15</v>
      </c>
      <c r="J4361">
        <v>0</v>
      </c>
      <c r="K4361">
        <v>1</v>
      </c>
      <c r="L4361">
        <v>0</v>
      </c>
      <c r="M4361">
        <f>VLOOKUP(Table1[[#This Row],[subscription_type]],Plans!$A$1:$B$5,2,FALSE)</f>
        <v>14.99</v>
      </c>
      <c r="N4361">
        <f t="shared" si="68"/>
        <v>0</v>
      </c>
    </row>
    <row r="4362" spans="1:14" x14ac:dyDescent="0.35">
      <c r="A4362">
        <v>4361</v>
      </c>
      <c r="B4362" t="s">
        <v>12</v>
      </c>
      <c r="C4362">
        <v>47</v>
      </c>
      <c r="D4362" t="s">
        <v>26</v>
      </c>
      <c r="E4362" t="s">
        <v>24</v>
      </c>
      <c r="F4362">
        <v>98</v>
      </c>
      <c r="G4362">
        <v>3</v>
      </c>
      <c r="H4362">
        <v>0</v>
      </c>
      <c r="I4362" t="s">
        <v>19</v>
      </c>
      <c r="J4362">
        <v>0</v>
      </c>
      <c r="K4362">
        <v>1</v>
      </c>
      <c r="L4362">
        <v>0</v>
      </c>
      <c r="M4362">
        <f>VLOOKUP(Table1[[#This Row],[subscription_type]],Plans!$A$1:$B$5,2,FALSE)</f>
        <v>4.99</v>
      </c>
      <c r="N4362">
        <f t="shared" si="68"/>
        <v>0</v>
      </c>
    </row>
    <row r="4363" spans="1:14" x14ac:dyDescent="0.35">
      <c r="A4363">
        <v>4362</v>
      </c>
      <c r="B4363" t="s">
        <v>20</v>
      </c>
      <c r="C4363">
        <v>45</v>
      </c>
      <c r="D4363" t="s">
        <v>29</v>
      </c>
      <c r="E4363" t="s">
        <v>14</v>
      </c>
      <c r="F4363">
        <v>93</v>
      </c>
      <c r="G4363">
        <v>83</v>
      </c>
      <c r="H4363">
        <v>0.04</v>
      </c>
      <c r="I4363" t="s">
        <v>19</v>
      </c>
      <c r="J4363">
        <v>32</v>
      </c>
      <c r="K4363">
        <v>0</v>
      </c>
      <c r="L4363">
        <v>0</v>
      </c>
      <c r="M4363">
        <f>VLOOKUP(Table1[[#This Row],[subscription_type]],Plans!$A$1:$B$5,2,FALSE)</f>
        <v>0</v>
      </c>
      <c r="N4363">
        <f t="shared" si="68"/>
        <v>0</v>
      </c>
    </row>
    <row r="4364" spans="1:14" x14ac:dyDescent="0.35">
      <c r="A4364">
        <v>4363</v>
      </c>
      <c r="B4364" t="s">
        <v>12</v>
      </c>
      <c r="C4364">
        <v>58</v>
      </c>
      <c r="D4364" t="s">
        <v>13</v>
      </c>
      <c r="E4364" t="s">
        <v>24</v>
      </c>
      <c r="F4364">
        <v>159</v>
      </c>
      <c r="G4364">
        <v>4</v>
      </c>
      <c r="H4364">
        <v>0.14000000000000001</v>
      </c>
      <c r="I4364" t="s">
        <v>15</v>
      </c>
      <c r="J4364">
        <v>0</v>
      </c>
      <c r="K4364">
        <v>1</v>
      </c>
      <c r="L4364">
        <v>1</v>
      </c>
      <c r="M4364">
        <f>VLOOKUP(Table1[[#This Row],[subscription_type]],Plans!$A$1:$B$5,2,FALSE)</f>
        <v>4.99</v>
      </c>
      <c r="N4364">
        <f t="shared" si="68"/>
        <v>4.99</v>
      </c>
    </row>
    <row r="4365" spans="1:14" x14ac:dyDescent="0.35">
      <c r="A4365">
        <v>4364</v>
      </c>
      <c r="B4365" t="s">
        <v>12</v>
      </c>
      <c r="C4365">
        <v>32</v>
      </c>
      <c r="D4365" t="s">
        <v>25</v>
      </c>
      <c r="E4365" t="s">
        <v>22</v>
      </c>
      <c r="F4365">
        <v>147</v>
      </c>
      <c r="G4365">
        <v>88</v>
      </c>
      <c r="H4365">
        <v>0.15</v>
      </c>
      <c r="I4365" t="s">
        <v>19</v>
      </c>
      <c r="J4365">
        <v>0</v>
      </c>
      <c r="K4365">
        <v>1</v>
      </c>
      <c r="L4365">
        <v>0</v>
      </c>
      <c r="M4365">
        <f>VLOOKUP(Table1[[#This Row],[subscription_type]],Plans!$A$1:$B$5,2,FALSE)</f>
        <v>9.99</v>
      </c>
      <c r="N4365">
        <f t="shared" si="68"/>
        <v>0</v>
      </c>
    </row>
    <row r="4366" spans="1:14" x14ac:dyDescent="0.35">
      <c r="A4366">
        <v>4365</v>
      </c>
      <c r="B4366" t="s">
        <v>12</v>
      </c>
      <c r="C4366">
        <v>22</v>
      </c>
      <c r="D4366" t="s">
        <v>29</v>
      </c>
      <c r="E4366" t="s">
        <v>24</v>
      </c>
      <c r="F4366">
        <v>151</v>
      </c>
      <c r="G4366">
        <v>30</v>
      </c>
      <c r="H4366">
        <v>0.06</v>
      </c>
      <c r="I4366" t="s">
        <v>15</v>
      </c>
      <c r="J4366">
        <v>0</v>
      </c>
      <c r="K4366">
        <v>1</v>
      </c>
      <c r="L4366">
        <v>0</v>
      </c>
      <c r="M4366">
        <f>VLOOKUP(Table1[[#This Row],[subscription_type]],Plans!$A$1:$B$5,2,FALSE)</f>
        <v>4.99</v>
      </c>
      <c r="N4366">
        <f t="shared" si="68"/>
        <v>0</v>
      </c>
    </row>
    <row r="4367" spans="1:14" x14ac:dyDescent="0.35">
      <c r="A4367">
        <v>4366</v>
      </c>
      <c r="B4367" t="s">
        <v>12</v>
      </c>
      <c r="C4367">
        <v>47</v>
      </c>
      <c r="D4367" t="s">
        <v>13</v>
      </c>
      <c r="E4367" t="s">
        <v>14</v>
      </c>
      <c r="F4367">
        <v>105</v>
      </c>
      <c r="G4367">
        <v>30</v>
      </c>
      <c r="H4367">
        <v>0.51</v>
      </c>
      <c r="I4367" t="s">
        <v>23</v>
      </c>
      <c r="J4367">
        <v>5</v>
      </c>
      <c r="K4367">
        <v>0</v>
      </c>
      <c r="L4367">
        <v>0</v>
      </c>
      <c r="M4367">
        <f>VLOOKUP(Table1[[#This Row],[subscription_type]],Plans!$A$1:$B$5,2,FALSE)</f>
        <v>0</v>
      </c>
      <c r="N4367">
        <f t="shared" si="68"/>
        <v>0</v>
      </c>
    </row>
    <row r="4368" spans="1:14" x14ac:dyDescent="0.35">
      <c r="A4368">
        <v>4367</v>
      </c>
      <c r="B4368" t="s">
        <v>16</v>
      </c>
      <c r="C4368">
        <v>40</v>
      </c>
      <c r="D4368" t="s">
        <v>25</v>
      </c>
      <c r="E4368" t="s">
        <v>24</v>
      </c>
      <c r="F4368">
        <v>296</v>
      </c>
      <c r="G4368">
        <v>57</v>
      </c>
      <c r="H4368">
        <v>0.14000000000000001</v>
      </c>
      <c r="I4368" t="s">
        <v>15</v>
      </c>
      <c r="J4368">
        <v>0</v>
      </c>
      <c r="K4368">
        <v>1</v>
      </c>
      <c r="L4368">
        <v>0</v>
      </c>
      <c r="M4368">
        <f>VLOOKUP(Table1[[#This Row],[subscription_type]],Plans!$A$1:$B$5,2,FALSE)</f>
        <v>4.99</v>
      </c>
      <c r="N4368">
        <f t="shared" si="68"/>
        <v>0</v>
      </c>
    </row>
    <row r="4369" spans="1:14" x14ac:dyDescent="0.35">
      <c r="A4369">
        <v>4368</v>
      </c>
      <c r="B4369" t="s">
        <v>20</v>
      </c>
      <c r="C4369">
        <v>40</v>
      </c>
      <c r="D4369" t="s">
        <v>13</v>
      </c>
      <c r="E4369" t="s">
        <v>24</v>
      </c>
      <c r="F4369">
        <v>131</v>
      </c>
      <c r="G4369">
        <v>37</v>
      </c>
      <c r="H4369">
        <v>0.47</v>
      </c>
      <c r="I4369" t="s">
        <v>23</v>
      </c>
      <c r="J4369">
        <v>0</v>
      </c>
      <c r="K4369">
        <v>1</v>
      </c>
      <c r="L4369">
        <v>0</v>
      </c>
      <c r="M4369">
        <f>VLOOKUP(Table1[[#This Row],[subscription_type]],Plans!$A$1:$B$5,2,FALSE)</f>
        <v>4.99</v>
      </c>
      <c r="N4369">
        <f t="shared" si="68"/>
        <v>0</v>
      </c>
    </row>
    <row r="4370" spans="1:14" x14ac:dyDescent="0.35">
      <c r="A4370">
        <v>4369</v>
      </c>
      <c r="B4370" t="s">
        <v>16</v>
      </c>
      <c r="C4370">
        <v>34</v>
      </c>
      <c r="D4370" t="s">
        <v>29</v>
      </c>
      <c r="E4370" t="s">
        <v>18</v>
      </c>
      <c r="F4370">
        <v>47</v>
      </c>
      <c r="G4370">
        <v>28</v>
      </c>
      <c r="H4370">
        <v>0.17</v>
      </c>
      <c r="I4370" t="s">
        <v>19</v>
      </c>
      <c r="J4370">
        <v>0</v>
      </c>
      <c r="K4370">
        <v>1</v>
      </c>
      <c r="L4370">
        <v>0</v>
      </c>
      <c r="M4370">
        <f>VLOOKUP(Table1[[#This Row],[subscription_type]],Plans!$A$1:$B$5,2,FALSE)</f>
        <v>14.99</v>
      </c>
      <c r="N4370">
        <f t="shared" si="68"/>
        <v>0</v>
      </c>
    </row>
    <row r="4371" spans="1:14" x14ac:dyDescent="0.35">
      <c r="A4371">
        <v>4370</v>
      </c>
      <c r="B4371" t="s">
        <v>12</v>
      </c>
      <c r="C4371">
        <v>57</v>
      </c>
      <c r="D4371" t="s">
        <v>29</v>
      </c>
      <c r="E4371" t="s">
        <v>22</v>
      </c>
      <c r="F4371">
        <v>129</v>
      </c>
      <c r="G4371">
        <v>78</v>
      </c>
      <c r="H4371">
        <v>0.54</v>
      </c>
      <c r="I4371" t="s">
        <v>23</v>
      </c>
      <c r="J4371">
        <v>0</v>
      </c>
      <c r="K4371">
        <v>1</v>
      </c>
      <c r="L4371">
        <v>0</v>
      </c>
      <c r="M4371">
        <f>VLOOKUP(Table1[[#This Row],[subscription_type]],Plans!$A$1:$B$5,2,FALSE)</f>
        <v>9.99</v>
      </c>
      <c r="N4371">
        <f t="shared" si="68"/>
        <v>0</v>
      </c>
    </row>
    <row r="4372" spans="1:14" x14ac:dyDescent="0.35">
      <c r="A4372">
        <v>4371</v>
      </c>
      <c r="B4372" t="s">
        <v>16</v>
      </c>
      <c r="C4372">
        <v>30</v>
      </c>
      <c r="D4372" t="s">
        <v>21</v>
      </c>
      <c r="E4372" t="s">
        <v>18</v>
      </c>
      <c r="F4372">
        <v>217</v>
      </c>
      <c r="G4372">
        <v>27</v>
      </c>
      <c r="H4372">
        <v>0.33</v>
      </c>
      <c r="I4372" t="s">
        <v>19</v>
      </c>
      <c r="J4372">
        <v>0</v>
      </c>
      <c r="K4372">
        <v>1</v>
      </c>
      <c r="L4372">
        <v>1</v>
      </c>
      <c r="M4372">
        <f>VLOOKUP(Table1[[#This Row],[subscription_type]],Plans!$A$1:$B$5,2,FALSE)</f>
        <v>14.99</v>
      </c>
      <c r="N4372">
        <f t="shared" si="68"/>
        <v>14.99</v>
      </c>
    </row>
    <row r="4373" spans="1:14" x14ac:dyDescent="0.35">
      <c r="A4373">
        <v>4372</v>
      </c>
      <c r="B4373" t="s">
        <v>16</v>
      </c>
      <c r="C4373">
        <v>54</v>
      </c>
      <c r="D4373" t="s">
        <v>28</v>
      </c>
      <c r="E4373" t="s">
        <v>22</v>
      </c>
      <c r="F4373">
        <v>280</v>
      </c>
      <c r="G4373">
        <v>18</v>
      </c>
      <c r="H4373">
        <v>0.56000000000000005</v>
      </c>
      <c r="I4373" t="s">
        <v>15</v>
      </c>
      <c r="J4373">
        <v>0</v>
      </c>
      <c r="K4373">
        <v>1</v>
      </c>
      <c r="L4373">
        <v>0</v>
      </c>
      <c r="M4373">
        <f>VLOOKUP(Table1[[#This Row],[subscription_type]],Plans!$A$1:$B$5,2,FALSE)</f>
        <v>9.99</v>
      </c>
      <c r="N4373">
        <f t="shared" si="68"/>
        <v>0</v>
      </c>
    </row>
    <row r="4374" spans="1:14" x14ac:dyDescent="0.35">
      <c r="A4374">
        <v>4373</v>
      </c>
      <c r="B4374" t="s">
        <v>16</v>
      </c>
      <c r="C4374">
        <v>36</v>
      </c>
      <c r="D4374" t="s">
        <v>21</v>
      </c>
      <c r="E4374" t="s">
        <v>18</v>
      </c>
      <c r="F4374">
        <v>108</v>
      </c>
      <c r="G4374">
        <v>15</v>
      </c>
      <c r="H4374">
        <v>0.04</v>
      </c>
      <c r="I4374" t="s">
        <v>15</v>
      </c>
      <c r="J4374">
        <v>0</v>
      </c>
      <c r="K4374">
        <v>1</v>
      </c>
      <c r="L4374">
        <v>1</v>
      </c>
      <c r="M4374">
        <f>VLOOKUP(Table1[[#This Row],[subscription_type]],Plans!$A$1:$B$5,2,FALSE)</f>
        <v>14.99</v>
      </c>
      <c r="N4374">
        <f t="shared" si="68"/>
        <v>14.99</v>
      </c>
    </row>
    <row r="4375" spans="1:14" x14ac:dyDescent="0.35">
      <c r="A4375">
        <v>4374</v>
      </c>
      <c r="B4375" t="s">
        <v>12</v>
      </c>
      <c r="C4375">
        <v>19</v>
      </c>
      <c r="D4375" t="s">
        <v>28</v>
      </c>
      <c r="E4375" t="s">
        <v>18</v>
      </c>
      <c r="F4375">
        <v>262</v>
      </c>
      <c r="G4375">
        <v>97</v>
      </c>
      <c r="H4375">
        <v>0.6</v>
      </c>
      <c r="I4375" t="s">
        <v>19</v>
      </c>
      <c r="J4375">
        <v>0</v>
      </c>
      <c r="K4375">
        <v>1</v>
      </c>
      <c r="L4375">
        <v>0</v>
      </c>
      <c r="M4375">
        <f>VLOOKUP(Table1[[#This Row],[subscription_type]],Plans!$A$1:$B$5,2,FALSE)</f>
        <v>14.99</v>
      </c>
      <c r="N4375">
        <f t="shared" si="68"/>
        <v>0</v>
      </c>
    </row>
    <row r="4376" spans="1:14" x14ac:dyDescent="0.35">
      <c r="A4376">
        <v>4375</v>
      </c>
      <c r="B4376" t="s">
        <v>12</v>
      </c>
      <c r="C4376">
        <v>57</v>
      </c>
      <c r="D4376" t="s">
        <v>21</v>
      </c>
      <c r="E4376" t="s">
        <v>24</v>
      </c>
      <c r="F4376">
        <v>287</v>
      </c>
      <c r="G4376">
        <v>73</v>
      </c>
      <c r="H4376">
        <v>0.41</v>
      </c>
      <c r="I4376" t="s">
        <v>23</v>
      </c>
      <c r="J4376">
        <v>0</v>
      </c>
      <c r="K4376">
        <v>1</v>
      </c>
      <c r="L4376">
        <v>0</v>
      </c>
      <c r="M4376">
        <f>VLOOKUP(Table1[[#This Row],[subscription_type]],Plans!$A$1:$B$5,2,FALSE)</f>
        <v>4.99</v>
      </c>
      <c r="N4376">
        <f t="shared" si="68"/>
        <v>0</v>
      </c>
    </row>
    <row r="4377" spans="1:14" x14ac:dyDescent="0.35">
      <c r="A4377">
        <v>4376</v>
      </c>
      <c r="B4377" t="s">
        <v>16</v>
      </c>
      <c r="C4377">
        <v>18</v>
      </c>
      <c r="D4377" t="s">
        <v>25</v>
      </c>
      <c r="E4377" t="s">
        <v>24</v>
      </c>
      <c r="F4377">
        <v>118</v>
      </c>
      <c r="G4377">
        <v>66</v>
      </c>
      <c r="H4377">
        <v>0.4</v>
      </c>
      <c r="I4377" t="s">
        <v>19</v>
      </c>
      <c r="J4377">
        <v>0</v>
      </c>
      <c r="K4377">
        <v>1</v>
      </c>
      <c r="L4377">
        <v>1</v>
      </c>
      <c r="M4377">
        <f>VLOOKUP(Table1[[#This Row],[subscription_type]],Plans!$A$1:$B$5,2,FALSE)</f>
        <v>4.99</v>
      </c>
      <c r="N4377">
        <f t="shared" si="68"/>
        <v>4.99</v>
      </c>
    </row>
    <row r="4378" spans="1:14" x14ac:dyDescent="0.35">
      <c r="A4378">
        <v>4377</v>
      </c>
      <c r="B4378" t="s">
        <v>12</v>
      </c>
      <c r="C4378">
        <v>25</v>
      </c>
      <c r="D4378" t="s">
        <v>13</v>
      </c>
      <c r="E4378" t="s">
        <v>18</v>
      </c>
      <c r="F4378">
        <v>93</v>
      </c>
      <c r="G4378">
        <v>87</v>
      </c>
      <c r="H4378">
        <v>0.14000000000000001</v>
      </c>
      <c r="I4378" t="s">
        <v>23</v>
      </c>
      <c r="J4378">
        <v>0</v>
      </c>
      <c r="K4378">
        <v>1</v>
      </c>
      <c r="L4378">
        <v>0</v>
      </c>
      <c r="M4378">
        <f>VLOOKUP(Table1[[#This Row],[subscription_type]],Plans!$A$1:$B$5,2,FALSE)</f>
        <v>14.99</v>
      </c>
      <c r="N4378">
        <f t="shared" si="68"/>
        <v>0</v>
      </c>
    </row>
    <row r="4379" spans="1:14" x14ac:dyDescent="0.35">
      <c r="A4379">
        <v>4378</v>
      </c>
      <c r="B4379" t="s">
        <v>20</v>
      </c>
      <c r="C4379">
        <v>50</v>
      </c>
      <c r="D4379" t="s">
        <v>21</v>
      </c>
      <c r="E4379" t="s">
        <v>22</v>
      </c>
      <c r="F4379">
        <v>139</v>
      </c>
      <c r="G4379">
        <v>97</v>
      </c>
      <c r="H4379">
        <v>0.12</v>
      </c>
      <c r="I4379" t="s">
        <v>23</v>
      </c>
      <c r="J4379">
        <v>0</v>
      </c>
      <c r="K4379">
        <v>1</v>
      </c>
      <c r="L4379">
        <v>0</v>
      </c>
      <c r="M4379">
        <f>VLOOKUP(Table1[[#This Row],[subscription_type]],Plans!$A$1:$B$5,2,FALSE)</f>
        <v>9.99</v>
      </c>
      <c r="N4379">
        <f t="shared" si="68"/>
        <v>0</v>
      </c>
    </row>
    <row r="4380" spans="1:14" x14ac:dyDescent="0.35">
      <c r="A4380">
        <v>4379</v>
      </c>
      <c r="B4380" t="s">
        <v>20</v>
      </c>
      <c r="C4380">
        <v>16</v>
      </c>
      <c r="D4380" t="s">
        <v>28</v>
      </c>
      <c r="E4380" t="s">
        <v>14</v>
      </c>
      <c r="F4380">
        <v>259</v>
      </c>
      <c r="G4380">
        <v>88</v>
      </c>
      <c r="H4380">
        <v>0.19</v>
      </c>
      <c r="I4380" t="s">
        <v>15</v>
      </c>
      <c r="J4380">
        <v>12</v>
      </c>
      <c r="K4380">
        <v>0</v>
      </c>
      <c r="L4380">
        <v>0</v>
      </c>
      <c r="M4380">
        <f>VLOOKUP(Table1[[#This Row],[subscription_type]],Plans!$A$1:$B$5,2,FALSE)</f>
        <v>0</v>
      </c>
      <c r="N4380">
        <f t="shared" si="68"/>
        <v>0</v>
      </c>
    </row>
    <row r="4381" spans="1:14" x14ac:dyDescent="0.35">
      <c r="A4381">
        <v>4380</v>
      </c>
      <c r="B4381" t="s">
        <v>12</v>
      </c>
      <c r="C4381">
        <v>18</v>
      </c>
      <c r="D4381" t="s">
        <v>21</v>
      </c>
      <c r="E4381" t="s">
        <v>18</v>
      </c>
      <c r="F4381">
        <v>98</v>
      </c>
      <c r="G4381">
        <v>65</v>
      </c>
      <c r="H4381">
        <v>0.05</v>
      </c>
      <c r="I4381" t="s">
        <v>15</v>
      </c>
      <c r="J4381">
        <v>0</v>
      </c>
      <c r="K4381">
        <v>1</v>
      </c>
      <c r="L4381">
        <v>1</v>
      </c>
      <c r="M4381">
        <f>VLOOKUP(Table1[[#This Row],[subscription_type]],Plans!$A$1:$B$5,2,FALSE)</f>
        <v>14.99</v>
      </c>
      <c r="N4381">
        <f t="shared" si="68"/>
        <v>14.99</v>
      </c>
    </row>
    <row r="4382" spans="1:14" x14ac:dyDescent="0.35">
      <c r="A4382">
        <v>4381</v>
      </c>
      <c r="B4382" t="s">
        <v>12</v>
      </c>
      <c r="C4382">
        <v>45</v>
      </c>
      <c r="D4382" t="s">
        <v>21</v>
      </c>
      <c r="E4382" t="s">
        <v>18</v>
      </c>
      <c r="F4382">
        <v>61</v>
      </c>
      <c r="G4382">
        <v>77</v>
      </c>
      <c r="H4382">
        <v>0.21</v>
      </c>
      <c r="I4382" t="s">
        <v>23</v>
      </c>
      <c r="J4382">
        <v>0</v>
      </c>
      <c r="K4382">
        <v>1</v>
      </c>
      <c r="L4382">
        <v>0</v>
      </c>
      <c r="M4382">
        <f>VLOOKUP(Table1[[#This Row],[subscription_type]],Plans!$A$1:$B$5,2,FALSE)</f>
        <v>14.99</v>
      </c>
      <c r="N4382">
        <f t="shared" si="68"/>
        <v>0</v>
      </c>
    </row>
    <row r="4383" spans="1:14" x14ac:dyDescent="0.35">
      <c r="A4383">
        <v>4382</v>
      </c>
      <c r="B4383" t="s">
        <v>16</v>
      </c>
      <c r="C4383">
        <v>45</v>
      </c>
      <c r="D4383" t="s">
        <v>28</v>
      </c>
      <c r="E4383" t="s">
        <v>22</v>
      </c>
      <c r="F4383">
        <v>81</v>
      </c>
      <c r="G4383">
        <v>70</v>
      </c>
      <c r="H4383">
        <v>0.43</v>
      </c>
      <c r="I4383" t="s">
        <v>19</v>
      </c>
      <c r="J4383">
        <v>0</v>
      </c>
      <c r="K4383">
        <v>1</v>
      </c>
      <c r="L4383">
        <v>1</v>
      </c>
      <c r="M4383">
        <f>VLOOKUP(Table1[[#This Row],[subscription_type]],Plans!$A$1:$B$5,2,FALSE)</f>
        <v>9.99</v>
      </c>
      <c r="N4383">
        <f t="shared" si="68"/>
        <v>9.99</v>
      </c>
    </row>
    <row r="4384" spans="1:14" x14ac:dyDescent="0.35">
      <c r="A4384">
        <v>4383</v>
      </c>
      <c r="B4384" t="s">
        <v>20</v>
      </c>
      <c r="C4384">
        <v>46</v>
      </c>
      <c r="D4384" t="s">
        <v>29</v>
      </c>
      <c r="E4384" t="s">
        <v>14</v>
      </c>
      <c r="F4384">
        <v>204</v>
      </c>
      <c r="G4384">
        <v>80</v>
      </c>
      <c r="H4384">
        <v>0.25</v>
      </c>
      <c r="I4384" t="s">
        <v>15</v>
      </c>
      <c r="J4384">
        <v>47</v>
      </c>
      <c r="K4384">
        <v>0</v>
      </c>
      <c r="L4384">
        <v>0</v>
      </c>
      <c r="M4384">
        <f>VLOOKUP(Table1[[#This Row],[subscription_type]],Plans!$A$1:$B$5,2,FALSE)</f>
        <v>0</v>
      </c>
      <c r="N4384">
        <f t="shared" si="68"/>
        <v>0</v>
      </c>
    </row>
    <row r="4385" spans="1:14" x14ac:dyDescent="0.35">
      <c r="A4385">
        <v>4384</v>
      </c>
      <c r="B4385" t="s">
        <v>12</v>
      </c>
      <c r="C4385">
        <v>49</v>
      </c>
      <c r="D4385" t="s">
        <v>25</v>
      </c>
      <c r="E4385" t="s">
        <v>14</v>
      </c>
      <c r="F4385">
        <v>158</v>
      </c>
      <c r="G4385">
        <v>44</v>
      </c>
      <c r="H4385">
        <v>0.09</v>
      </c>
      <c r="I4385" t="s">
        <v>15</v>
      </c>
      <c r="J4385">
        <v>34</v>
      </c>
      <c r="K4385">
        <v>0</v>
      </c>
      <c r="L4385">
        <v>1</v>
      </c>
      <c r="M4385">
        <f>VLOOKUP(Table1[[#This Row],[subscription_type]],Plans!$A$1:$B$5,2,FALSE)</f>
        <v>0</v>
      </c>
      <c r="N4385">
        <f t="shared" si="68"/>
        <v>0</v>
      </c>
    </row>
    <row r="4386" spans="1:14" x14ac:dyDescent="0.35">
      <c r="A4386">
        <v>4385</v>
      </c>
      <c r="B4386" t="s">
        <v>12</v>
      </c>
      <c r="C4386">
        <v>21</v>
      </c>
      <c r="D4386" t="s">
        <v>28</v>
      </c>
      <c r="E4386" t="s">
        <v>14</v>
      </c>
      <c r="F4386">
        <v>174</v>
      </c>
      <c r="G4386">
        <v>8</v>
      </c>
      <c r="H4386">
        <v>0.08</v>
      </c>
      <c r="I4386" t="s">
        <v>23</v>
      </c>
      <c r="J4386">
        <v>14</v>
      </c>
      <c r="K4386">
        <v>0</v>
      </c>
      <c r="L4386">
        <v>1</v>
      </c>
      <c r="M4386">
        <f>VLOOKUP(Table1[[#This Row],[subscription_type]],Plans!$A$1:$B$5,2,FALSE)</f>
        <v>0</v>
      </c>
      <c r="N4386">
        <f t="shared" si="68"/>
        <v>0</v>
      </c>
    </row>
    <row r="4387" spans="1:14" x14ac:dyDescent="0.35">
      <c r="A4387">
        <v>4386</v>
      </c>
      <c r="B4387" t="s">
        <v>20</v>
      </c>
      <c r="C4387">
        <v>46</v>
      </c>
      <c r="D4387" t="s">
        <v>17</v>
      </c>
      <c r="E4387" t="s">
        <v>24</v>
      </c>
      <c r="F4387">
        <v>72</v>
      </c>
      <c r="G4387">
        <v>22</v>
      </c>
      <c r="H4387">
        <v>0.19</v>
      </c>
      <c r="I4387" t="s">
        <v>15</v>
      </c>
      <c r="J4387">
        <v>0</v>
      </c>
      <c r="K4387">
        <v>1</v>
      </c>
      <c r="L4387">
        <v>0</v>
      </c>
      <c r="M4387">
        <f>VLOOKUP(Table1[[#This Row],[subscription_type]],Plans!$A$1:$B$5,2,FALSE)</f>
        <v>4.99</v>
      </c>
      <c r="N4387">
        <f t="shared" si="68"/>
        <v>0</v>
      </c>
    </row>
    <row r="4388" spans="1:14" x14ac:dyDescent="0.35">
      <c r="A4388">
        <v>4387</v>
      </c>
      <c r="B4388" t="s">
        <v>20</v>
      </c>
      <c r="C4388">
        <v>32</v>
      </c>
      <c r="D4388" t="s">
        <v>28</v>
      </c>
      <c r="E4388" t="s">
        <v>24</v>
      </c>
      <c r="F4388">
        <v>22</v>
      </c>
      <c r="G4388">
        <v>81</v>
      </c>
      <c r="H4388">
        <v>0.41</v>
      </c>
      <c r="I4388" t="s">
        <v>23</v>
      </c>
      <c r="J4388">
        <v>0</v>
      </c>
      <c r="K4388">
        <v>1</v>
      </c>
      <c r="L4388">
        <v>0</v>
      </c>
      <c r="M4388">
        <f>VLOOKUP(Table1[[#This Row],[subscription_type]],Plans!$A$1:$B$5,2,FALSE)</f>
        <v>4.99</v>
      </c>
      <c r="N4388">
        <f t="shared" si="68"/>
        <v>0</v>
      </c>
    </row>
    <row r="4389" spans="1:14" x14ac:dyDescent="0.35">
      <c r="A4389">
        <v>4388</v>
      </c>
      <c r="B4389" t="s">
        <v>16</v>
      </c>
      <c r="C4389">
        <v>38</v>
      </c>
      <c r="D4389" t="s">
        <v>17</v>
      </c>
      <c r="E4389" t="s">
        <v>18</v>
      </c>
      <c r="F4389">
        <v>118</v>
      </c>
      <c r="G4389">
        <v>72</v>
      </c>
      <c r="H4389">
        <v>0.22</v>
      </c>
      <c r="I4389" t="s">
        <v>23</v>
      </c>
      <c r="J4389">
        <v>0</v>
      </c>
      <c r="K4389">
        <v>1</v>
      </c>
      <c r="L4389">
        <v>0</v>
      </c>
      <c r="M4389">
        <f>VLOOKUP(Table1[[#This Row],[subscription_type]],Plans!$A$1:$B$5,2,FALSE)</f>
        <v>14.99</v>
      </c>
      <c r="N4389">
        <f t="shared" si="68"/>
        <v>0</v>
      </c>
    </row>
    <row r="4390" spans="1:14" x14ac:dyDescent="0.35">
      <c r="A4390">
        <v>4389</v>
      </c>
      <c r="B4390" t="s">
        <v>20</v>
      </c>
      <c r="C4390">
        <v>21</v>
      </c>
      <c r="D4390" t="s">
        <v>28</v>
      </c>
      <c r="E4390" t="s">
        <v>14</v>
      </c>
      <c r="F4390">
        <v>292</v>
      </c>
      <c r="G4390">
        <v>83</v>
      </c>
      <c r="H4390">
        <v>0.3</v>
      </c>
      <c r="I4390" t="s">
        <v>15</v>
      </c>
      <c r="J4390">
        <v>44</v>
      </c>
      <c r="K4390">
        <v>0</v>
      </c>
      <c r="L4390">
        <v>1</v>
      </c>
      <c r="M4390">
        <f>VLOOKUP(Table1[[#This Row],[subscription_type]],Plans!$A$1:$B$5,2,FALSE)</f>
        <v>0</v>
      </c>
      <c r="N4390">
        <f t="shared" si="68"/>
        <v>0</v>
      </c>
    </row>
    <row r="4391" spans="1:14" x14ac:dyDescent="0.35">
      <c r="A4391">
        <v>4390</v>
      </c>
      <c r="B4391" t="s">
        <v>16</v>
      </c>
      <c r="C4391">
        <v>27</v>
      </c>
      <c r="D4391" t="s">
        <v>17</v>
      </c>
      <c r="E4391" t="s">
        <v>14</v>
      </c>
      <c r="F4391">
        <v>261</v>
      </c>
      <c r="G4391">
        <v>9</v>
      </c>
      <c r="H4391">
        <v>0.12</v>
      </c>
      <c r="I4391" t="s">
        <v>19</v>
      </c>
      <c r="J4391">
        <v>48</v>
      </c>
      <c r="K4391">
        <v>0</v>
      </c>
      <c r="L4391">
        <v>0</v>
      </c>
      <c r="M4391">
        <f>VLOOKUP(Table1[[#This Row],[subscription_type]],Plans!$A$1:$B$5,2,FALSE)</f>
        <v>0</v>
      </c>
      <c r="N4391">
        <f t="shared" si="68"/>
        <v>0</v>
      </c>
    </row>
    <row r="4392" spans="1:14" x14ac:dyDescent="0.35">
      <c r="A4392">
        <v>4391</v>
      </c>
      <c r="B4392" t="s">
        <v>12</v>
      </c>
      <c r="C4392">
        <v>35</v>
      </c>
      <c r="D4392" t="s">
        <v>21</v>
      </c>
      <c r="E4392" t="s">
        <v>24</v>
      </c>
      <c r="F4392">
        <v>15</v>
      </c>
      <c r="G4392">
        <v>33</v>
      </c>
      <c r="H4392">
        <v>0.59</v>
      </c>
      <c r="I4392" t="s">
        <v>15</v>
      </c>
      <c r="J4392">
        <v>0</v>
      </c>
      <c r="K4392">
        <v>1</v>
      </c>
      <c r="L4392">
        <v>0</v>
      </c>
      <c r="M4392">
        <f>VLOOKUP(Table1[[#This Row],[subscription_type]],Plans!$A$1:$B$5,2,FALSE)</f>
        <v>4.99</v>
      </c>
      <c r="N4392">
        <f t="shared" si="68"/>
        <v>0</v>
      </c>
    </row>
    <row r="4393" spans="1:14" x14ac:dyDescent="0.35">
      <c r="A4393">
        <v>4392</v>
      </c>
      <c r="B4393" t="s">
        <v>16</v>
      </c>
      <c r="C4393">
        <v>48</v>
      </c>
      <c r="D4393" t="s">
        <v>21</v>
      </c>
      <c r="E4393" t="s">
        <v>14</v>
      </c>
      <c r="F4393">
        <v>92</v>
      </c>
      <c r="G4393">
        <v>61</v>
      </c>
      <c r="H4393">
        <v>0.27</v>
      </c>
      <c r="I4393" t="s">
        <v>23</v>
      </c>
      <c r="J4393">
        <v>46</v>
      </c>
      <c r="K4393">
        <v>0</v>
      </c>
      <c r="L4393">
        <v>0</v>
      </c>
      <c r="M4393">
        <f>VLOOKUP(Table1[[#This Row],[subscription_type]],Plans!$A$1:$B$5,2,FALSE)</f>
        <v>0</v>
      </c>
      <c r="N4393">
        <f t="shared" si="68"/>
        <v>0</v>
      </c>
    </row>
    <row r="4394" spans="1:14" x14ac:dyDescent="0.35">
      <c r="A4394">
        <v>4393</v>
      </c>
      <c r="B4394" t="s">
        <v>12</v>
      </c>
      <c r="C4394">
        <v>52</v>
      </c>
      <c r="D4394" t="s">
        <v>17</v>
      </c>
      <c r="E4394" t="s">
        <v>18</v>
      </c>
      <c r="F4394">
        <v>50</v>
      </c>
      <c r="G4394">
        <v>55</v>
      </c>
      <c r="H4394">
        <v>0.35</v>
      </c>
      <c r="I4394" t="s">
        <v>23</v>
      </c>
      <c r="J4394">
        <v>0</v>
      </c>
      <c r="K4394">
        <v>1</v>
      </c>
      <c r="L4394">
        <v>0</v>
      </c>
      <c r="M4394">
        <f>VLOOKUP(Table1[[#This Row],[subscription_type]],Plans!$A$1:$B$5,2,FALSE)</f>
        <v>14.99</v>
      </c>
      <c r="N4394">
        <f t="shared" si="68"/>
        <v>0</v>
      </c>
    </row>
    <row r="4395" spans="1:14" x14ac:dyDescent="0.35">
      <c r="A4395">
        <v>4394</v>
      </c>
      <c r="B4395" t="s">
        <v>12</v>
      </c>
      <c r="C4395">
        <v>58</v>
      </c>
      <c r="D4395" t="s">
        <v>27</v>
      </c>
      <c r="E4395" t="s">
        <v>22</v>
      </c>
      <c r="F4395">
        <v>144</v>
      </c>
      <c r="G4395">
        <v>54</v>
      </c>
      <c r="H4395">
        <v>0.33</v>
      </c>
      <c r="I4395" t="s">
        <v>19</v>
      </c>
      <c r="J4395">
        <v>0</v>
      </c>
      <c r="K4395">
        <v>1</v>
      </c>
      <c r="L4395">
        <v>0</v>
      </c>
      <c r="M4395">
        <f>VLOOKUP(Table1[[#This Row],[subscription_type]],Plans!$A$1:$B$5,2,FALSE)</f>
        <v>9.99</v>
      </c>
      <c r="N4395">
        <f t="shared" si="68"/>
        <v>0</v>
      </c>
    </row>
    <row r="4396" spans="1:14" x14ac:dyDescent="0.35">
      <c r="A4396">
        <v>4395</v>
      </c>
      <c r="B4396" t="s">
        <v>12</v>
      </c>
      <c r="C4396">
        <v>32</v>
      </c>
      <c r="D4396" t="s">
        <v>29</v>
      </c>
      <c r="E4396" t="s">
        <v>14</v>
      </c>
      <c r="F4396">
        <v>137</v>
      </c>
      <c r="G4396">
        <v>88</v>
      </c>
      <c r="H4396">
        <v>0.21</v>
      </c>
      <c r="I4396" t="s">
        <v>23</v>
      </c>
      <c r="J4396">
        <v>35</v>
      </c>
      <c r="K4396">
        <v>0</v>
      </c>
      <c r="L4396">
        <v>0</v>
      </c>
      <c r="M4396">
        <f>VLOOKUP(Table1[[#This Row],[subscription_type]],Plans!$A$1:$B$5,2,FALSE)</f>
        <v>0</v>
      </c>
      <c r="N4396">
        <f t="shared" si="68"/>
        <v>0</v>
      </c>
    </row>
    <row r="4397" spans="1:14" x14ac:dyDescent="0.35">
      <c r="A4397">
        <v>4396</v>
      </c>
      <c r="B4397" t="s">
        <v>20</v>
      </c>
      <c r="C4397">
        <v>28</v>
      </c>
      <c r="D4397" t="s">
        <v>29</v>
      </c>
      <c r="E4397" t="s">
        <v>18</v>
      </c>
      <c r="F4397">
        <v>195</v>
      </c>
      <c r="G4397">
        <v>78</v>
      </c>
      <c r="H4397">
        <v>0.38</v>
      </c>
      <c r="I4397" t="s">
        <v>19</v>
      </c>
      <c r="J4397">
        <v>0</v>
      </c>
      <c r="K4397">
        <v>1</v>
      </c>
      <c r="L4397">
        <v>1</v>
      </c>
      <c r="M4397">
        <f>VLOOKUP(Table1[[#This Row],[subscription_type]],Plans!$A$1:$B$5,2,FALSE)</f>
        <v>14.99</v>
      </c>
      <c r="N4397">
        <f t="shared" si="68"/>
        <v>14.99</v>
      </c>
    </row>
    <row r="4398" spans="1:14" x14ac:dyDescent="0.35">
      <c r="A4398">
        <v>4397</v>
      </c>
      <c r="B4398" t="s">
        <v>20</v>
      </c>
      <c r="C4398">
        <v>41</v>
      </c>
      <c r="D4398" t="s">
        <v>27</v>
      </c>
      <c r="E4398" t="s">
        <v>14</v>
      </c>
      <c r="F4398">
        <v>61</v>
      </c>
      <c r="G4398">
        <v>1</v>
      </c>
      <c r="H4398">
        <v>0.39</v>
      </c>
      <c r="I4398" t="s">
        <v>23</v>
      </c>
      <c r="J4398">
        <v>16</v>
      </c>
      <c r="K4398">
        <v>0</v>
      </c>
      <c r="L4398">
        <v>1</v>
      </c>
      <c r="M4398">
        <f>VLOOKUP(Table1[[#This Row],[subscription_type]],Plans!$A$1:$B$5,2,FALSE)</f>
        <v>0</v>
      </c>
      <c r="N4398">
        <f t="shared" si="68"/>
        <v>0</v>
      </c>
    </row>
    <row r="4399" spans="1:14" x14ac:dyDescent="0.35">
      <c r="A4399">
        <v>4398</v>
      </c>
      <c r="B4399" t="s">
        <v>12</v>
      </c>
      <c r="C4399">
        <v>53</v>
      </c>
      <c r="D4399" t="s">
        <v>21</v>
      </c>
      <c r="E4399" t="s">
        <v>18</v>
      </c>
      <c r="F4399">
        <v>297</v>
      </c>
      <c r="G4399">
        <v>2</v>
      </c>
      <c r="H4399">
        <v>0.37</v>
      </c>
      <c r="I4399" t="s">
        <v>23</v>
      </c>
      <c r="J4399">
        <v>0</v>
      </c>
      <c r="K4399">
        <v>1</v>
      </c>
      <c r="L4399">
        <v>0</v>
      </c>
      <c r="M4399">
        <f>VLOOKUP(Table1[[#This Row],[subscription_type]],Plans!$A$1:$B$5,2,FALSE)</f>
        <v>14.99</v>
      </c>
      <c r="N4399">
        <f t="shared" si="68"/>
        <v>0</v>
      </c>
    </row>
    <row r="4400" spans="1:14" x14ac:dyDescent="0.35">
      <c r="A4400">
        <v>4399</v>
      </c>
      <c r="B4400" t="s">
        <v>20</v>
      </c>
      <c r="C4400">
        <v>47</v>
      </c>
      <c r="D4400" t="s">
        <v>28</v>
      </c>
      <c r="E4400" t="s">
        <v>24</v>
      </c>
      <c r="F4400">
        <v>73</v>
      </c>
      <c r="G4400">
        <v>34</v>
      </c>
      <c r="H4400">
        <v>0.4</v>
      </c>
      <c r="I4400" t="s">
        <v>19</v>
      </c>
      <c r="J4400">
        <v>0</v>
      </c>
      <c r="K4400">
        <v>1</v>
      </c>
      <c r="L4400">
        <v>0</v>
      </c>
      <c r="M4400">
        <f>VLOOKUP(Table1[[#This Row],[subscription_type]],Plans!$A$1:$B$5,2,FALSE)</f>
        <v>4.99</v>
      </c>
      <c r="N4400">
        <f t="shared" si="68"/>
        <v>0</v>
      </c>
    </row>
    <row r="4401" spans="1:14" x14ac:dyDescent="0.35">
      <c r="A4401">
        <v>4400</v>
      </c>
      <c r="B4401" t="s">
        <v>12</v>
      </c>
      <c r="C4401">
        <v>34</v>
      </c>
      <c r="D4401" t="s">
        <v>25</v>
      </c>
      <c r="E4401" t="s">
        <v>22</v>
      </c>
      <c r="F4401">
        <v>117</v>
      </c>
      <c r="G4401">
        <v>53</v>
      </c>
      <c r="H4401">
        <v>0.41</v>
      </c>
      <c r="I4401" t="s">
        <v>15</v>
      </c>
      <c r="J4401">
        <v>0</v>
      </c>
      <c r="K4401">
        <v>1</v>
      </c>
      <c r="L4401">
        <v>0</v>
      </c>
      <c r="M4401">
        <f>VLOOKUP(Table1[[#This Row],[subscription_type]],Plans!$A$1:$B$5,2,FALSE)</f>
        <v>9.99</v>
      </c>
      <c r="N4401">
        <f t="shared" si="68"/>
        <v>0</v>
      </c>
    </row>
    <row r="4402" spans="1:14" x14ac:dyDescent="0.35">
      <c r="A4402">
        <v>4401</v>
      </c>
      <c r="B4402" t="s">
        <v>20</v>
      </c>
      <c r="C4402">
        <v>45</v>
      </c>
      <c r="D4402" t="s">
        <v>13</v>
      </c>
      <c r="E4402" t="s">
        <v>14</v>
      </c>
      <c r="F4402">
        <v>243</v>
      </c>
      <c r="G4402">
        <v>39</v>
      </c>
      <c r="H4402">
        <v>0.31</v>
      </c>
      <c r="I4402" t="s">
        <v>15</v>
      </c>
      <c r="J4402">
        <v>47</v>
      </c>
      <c r="K4402">
        <v>0</v>
      </c>
      <c r="L4402">
        <v>0</v>
      </c>
      <c r="M4402">
        <f>VLOOKUP(Table1[[#This Row],[subscription_type]],Plans!$A$1:$B$5,2,FALSE)</f>
        <v>0</v>
      </c>
      <c r="N4402">
        <f t="shared" si="68"/>
        <v>0</v>
      </c>
    </row>
    <row r="4403" spans="1:14" x14ac:dyDescent="0.35">
      <c r="A4403">
        <v>4402</v>
      </c>
      <c r="B4403" t="s">
        <v>12</v>
      </c>
      <c r="C4403">
        <v>19</v>
      </c>
      <c r="D4403" t="s">
        <v>26</v>
      </c>
      <c r="E4403" t="s">
        <v>22</v>
      </c>
      <c r="F4403">
        <v>150</v>
      </c>
      <c r="G4403">
        <v>88</v>
      </c>
      <c r="H4403">
        <v>0.59</v>
      </c>
      <c r="I4403" t="s">
        <v>19</v>
      </c>
      <c r="J4403">
        <v>0</v>
      </c>
      <c r="K4403">
        <v>1</v>
      </c>
      <c r="L4403">
        <v>0</v>
      </c>
      <c r="M4403">
        <f>VLOOKUP(Table1[[#This Row],[subscription_type]],Plans!$A$1:$B$5,2,FALSE)</f>
        <v>9.99</v>
      </c>
      <c r="N4403">
        <f t="shared" si="68"/>
        <v>0</v>
      </c>
    </row>
    <row r="4404" spans="1:14" x14ac:dyDescent="0.35">
      <c r="A4404">
        <v>4403</v>
      </c>
      <c r="B4404" t="s">
        <v>20</v>
      </c>
      <c r="C4404">
        <v>47</v>
      </c>
      <c r="D4404" t="s">
        <v>17</v>
      </c>
      <c r="E4404" t="s">
        <v>22</v>
      </c>
      <c r="F4404">
        <v>157</v>
      </c>
      <c r="G4404">
        <v>62</v>
      </c>
      <c r="H4404">
        <v>0.06</v>
      </c>
      <c r="I4404" t="s">
        <v>15</v>
      </c>
      <c r="J4404">
        <v>0</v>
      </c>
      <c r="K4404">
        <v>1</v>
      </c>
      <c r="L4404">
        <v>0</v>
      </c>
      <c r="M4404">
        <f>VLOOKUP(Table1[[#This Row],[subscription_type]],Plans!$A$1:$B$5,2,FALSE)</f>
        <v>9.99</v>
      </c>
      <c r="N4404">
        <f t="shared" si="68"/>
        <v>0</v>
      </c>
    </row>
    <row r="4405" spans="1:14" x14ac:dyDescent="0.35">
      <c r="A4405">
        <v>4404</v>
      </c>
      <c r="B4405" t="s">
        <v>20</v>
      </c>
      <c r="C4405">
        <v>45</v>
      </c>
      <c r="D4405" t="s">
        <v>13</v>
      </c>
      <c r="E4405" t="s">
        <v>14</v>
      </c>
      <c r="F4405">
        <v>201</v>
      </c>
      <c r="G4405">
        <v>39</v>
      </c>
      <c r="H4405">
        <v>0.51</v>
      </c>
      <c r="I4405" t="s">
        <v>23</v>
      </c>
      <c r="J4405">
        <v>13</v>
      </c>
      <c r="K4405">
        <v>0</v>
      </c>
      <c r="L4405">
        <v>0</v>
      </c>
      <c r="M4405">
        <f>VLOOKUP(Table1[[#This Row],[subscription_type]],Plans!$A$1:$B$5,2,FALSE)</f>
        <v>0</v>
      </c>
      <c r="N4405">
        <f t="shared" si="68"/>
        <v>0</v>
      </c>
    </row>
    <row r="4406" spans="1:14" x14ac:dyDescent="0.35">
      <c r="A4406">
        <v>4405</v>
      </c>
      <c r="B4406" t="s">
        <v>16</v>
      </c>
      <c r="C4406">
        <v>24</v>
      </c>
      <c r="D4406" t="s">
        <v>29</v>
      </c>
      <c r="E4406" t="s">
        <v>22</v>
      </c>
      <c r="F4406">
        <v>211</v>
      </c>
      <c r="G4406">
        <v>74</v>
      </c>
      <c r="H4406">
        <v>0.15</v>
      </c>
      <c r="I4406" t="s">
        <v>15</v>
      </c>
      <c r="J4406">
        <v>0</v>
      </c>
      <c r="K4406">
        <v>1</v>
      </c>
      <c r="L4406">
        <v>0</v>
      </c>
      <c r="M4406">
        <f>VLOOKUP(Table1[[#This Row],[subscription_type]],Plans!$A$1:$B$5,2,FALSE)</f>
        <v>9.99</v>
      </c>
      <c r="N4406">
        <f t="shared" si="68"/>
        <v>0</v>
      </c>
    </row>
    <row r="4407" spans="1:14" x14ac:dyDescent="0.35">
      <c r="A4407">
        <v>4406</v>
      </c>
      <c r="B4407" t="s">
        <v>16</v>
      </c>
      <c r="C4407">
        <v>45</v>
      </c>
      <c r="D4407" t="s">
        <v>28</v>
      </c>
      <c r="E4407" t="s">
        <v>14</v>
      </c>
      <c r="F4407">
        <v>290</v>
      </c>
      <c r="G4407">
        <v>27</v>
      </c>
      <c r="H4407">
        <v>0.47</v>
      </c>
      <c r="I4407" t="s">
        <v>23</v>
      </c>
      <c r="J4407">
        <v>29</v>
      </c>
      <c r="K4407">
        <v>0</v>
      </c>
      <c r="L4407">
        <v>1</v>
      </c>
      <c r="M4407">
        <f>VLOOKUP(Table1[[#This Row],[subscription_type]],Plans!$A$1:$B$5,2,FALSE)</f>
        <v>0</v>
      </c>
      <c r="N4407">
        <f t="shared" si="68"/>
        <v>0</v>
      </c>
    </row>
    <row r="4408" spans="1:14" x14ac:dyDescent="0.35">
      <c r="A4408">
        <v>4407</v>
      </c>
      <c r="B4408" t="s">
        <v>20</v>
      </c>
      <c r="C4408">
        <v>30</v>
      </c>
      <c r="D4408" t="s">
        <v>25</v>
      </c>
      <c r="E4408" t="s">
        <v>24</v>
      </c>
      <c r="F4408">
        <v>150</v>
      </c>
      <c r="G4408">
        <v>99</v>
      </c>
      <c r="H4408">
        <v>0.5</v>
      </c>
      <c r="I4408" t="s">
        <v>15</v>
      </c>
      <c r="J4408">
        <v>0</v>
      </c>
      <c r="K4408">
        <v>1</v>
      </c>
      <c r="L4408">
        <v>0</v>
      </c>
      <c r="M4408">
        <f>VLOOKUP(Table1[[#This Row],[subscription_type]],Plans!$A$1:$B$5,2,FALSE)</f>
        <v>4.99</v>
      </c>
      <c r="N4408">
        <f t="shared" si="68"/>
        <v>0</v>
      </c>
    </row>
    <row r="4409" spans="1:14" x14ac:dyDescent="0.35">
      <c r="A4409">
        <v>4408</v>
      </c>
      <c r="B4409" t="s">
        <v>12</v>
      </c>
      <c r="C4409">
        <v>57</v>
      </c>
      <c r="D4409" t="s">
        <v>13</v>
      </c>
      <c r="E4409" t="s">
        <v>18</v>
      </c>
      <c r="F4409">
        <v>97</v>
      </c>
      <c r="G4409">
        <v>30</v>
      </c>
      <c r="H4409">
        <v>0.33</v>
      </c>
      <c r="I4409" t="s">
        <v>19</v>
      </c>
      <c r="J4409">
        <v>0</v>
      </c>
      <c r="K4409">
        <v>1</v>
      </c>
      <c r="L4409">
        <v>1</v>
      </c>
      <c r="M4409">
        <f>VLOOKUP(Table1[[#This Row],[subscription_type]],Plans!$A$1:$B$5,2,FALSE)</f>
        <v>14.99</v>
      </c>
      <c r="N4409">
        <f t="shared" si="68"/>
        <v>14.99</v>
      </c>
    </row>
    <row r="4410" spans="1:14" x14ac:dyDescent="0.35">
      <c r="A4410">
        <v>4409</v>
      </c>
      <c r="B4410" t="s">
        <v>16</v>
      </c>
      <c r="C4410">
        <v>50</v>
      </c>
      <c r="D4410" t="s">
        <v>29</v>
      </c>
      <c r="E4410" t="s">
        <v>24</v>
      </c>
      <c r="F4410">
        <v>60</v>
      </c>
      <c r="G4410">
        <v>93</v>
      </c>
      <c r="H4410">
        <v>0.34</v>
      </c>
      <c r="I4410" t="s">
        <v>15</v>
      </c>
      <c r="J4410">
        <v>0</v>
      </c>
      <c r="K4410">
        <v>1</v>
      </c>
      <c r="L4410">
        <v>0</v>
      </c>
      <c r="M4410">
        <f>VLOOKUP(Table1[[#This Row],[subscription_type]],Plans!$A$1:$B$5,2,FALSE)</f>
        <v>4.99</v>
      </c>
      <c r="N4410">
        <f t="shared" si="68"/>
        <v>0</v>
      </c>
    </row>
    <row r="4411" spans="1:14" x14ac:dyDescent="0.35">
      <c r="A4411">
        <v>4410</v>
      </c>
      <c r="B4411" t="s">
        <v>12</v>
      </c>
      <c r="C4411">
        <v>52</v>
      </c>
      <c r="D4411" t="s">
        <v>13</v>
      </c>
      <c r="E4411" t="s">
        <v>18</v>
      </c>
      <c r="F4411">
        <v>20</v>
      </c>
      <c r="G4411">
        <v>60</v>
      </c>
      <c r="H4411">
        <v>0.6</v>
      </c>
      <c r="I4411" t="s">
        <v>19</v>
      </c>
      <c r="J4411">
        <v>0</v>
      </c>
      <c r="K4411">
        <v>1</v>
      </c>
      <c r="L4411">
        <v>0</v>
      </c>
      <c r="M4411">
        <f>VLOOKUP(Table1[[#This Row],[subscription_type]],Plans!$A$1:$B$5,2,FALSE)</f>
        <v>14.99</v>
      </c>
      <c r="N4411">
        <f t="shared" si="68"/>
        <v>0</v>
      </c>
    </row>
    <row r="4412" spans="1:14" x14ac:dyDescent="0.35">
      <c r="A4412">
        <v>4411</v>
      </c>
      <c r="B4412" t="s">
        <v>12</v>
      </c>
      <c r="C4412">
        <v>24</v>
      </c>
      <c r="D4412" t="s">
        <v>21</v>
      </c>
      <c r="E4412" t="s">
        <v>22</v>
      </c>
      <c r="F4412">
        <v>249</v>
      </c>
      <c r="G4412">
        <v>5</v>
      </c>
      <c r="H4412">
        <v>0.53</v>
      </c>
      <c r="I4412" t="s">
        <v>19</v>
      </c>
      <c r="J4412">
        <v>0</v>
      </c>
      <c r="K4412">
        <v>1</v>
      </c>
      <c r="L4412">
        <v>1</v>
      </c>
      <c r="M4412">
        <f>VLOOKUP(Table1[[#This Row],[subscription_type]],Plans!$A$1:$B$5,2,FALSE)</f>
        <v>9.99</v>
      </c>
      <c r="N4412">
        <f t="shared" si="68"/>
        <v>9.99</v>
      </c>
    </row>
    <row r="4413" spans="1:14" x14ac:dyDescent="0.35">
      <c r="A4413">
        <v>4412</v>
      </c>
      <c r="B4413" t="s">
        <v>12</v>
      </c>
      <c r="C4413">
        <v>59</v>
      </c>
      <c r="D4413" t="s">
        <v>29</v>
      </c>
      <c r="E4413" t="s">
        <v>24</v>
      </c>
      <c r="F4413">
        <v>48</v>
      </c>
      <c r="G4413">
        <v>37</v>
      </c>
      <c r="H4413">
        <v>0.28999999999999998</v>
      </c>
      <c r="I4413" t="s">
        <v>23</v>
      </c>
      <c r="J4413">
        <v>0</v>
      </c>
      <c r="K4413">
        <v>1</v>
      </c>
      <c r="L4413">
        <v>1</v>
      </c>
      <c r="M4413">
        <f>VLOOKUP(Table1[[#This Row],[subscription_type]],Plans!$A$1:$B$5,2,FALSE)</f>
        <v>4.99</v>
      </c>
      <c r="N4413">
        <f t="shared" si="68"/>
        <v>4.99</v>
      </c>
    </row>
    <row r="4414" spans="1:14" x14ac:dyDescent="0.35">
      <c r="A4414">
        <v>4413</v>
      </c>
      <c r="B4414" t="s">
        <v>16</v>
      </c>
      <c r="C4414">
        <v>23</v>
      </c>
      <c r="D4414" t="s">
        <v>25</v>
      </c>
      <c r="E4414" t="s">
        <v>24</v>
      </c>
      <c r="F4414">
        <v>180</v>
      </c>
      <c r="G4414">
        <v>63</v>
      </c>
      <c r="H4414">
        <v>0.01</v>
      </c>
      <c r="I4414" t="s">
        <v>23</v>
      </c>
      <c r="J4414">
        <v>0</v>
      </c>
      <c r="K4414">
        <v>1</v>
      </c>
      <c r="L4414">
        <v>0</v>
      </c>
      <c r="M4414">
        <f>VLOOKUP(Table1[[#This Row],[subscription_type]],Plans!$A$1:$B$5,2,FALSE)</f>
        <v>4.99</v>
      </c>
      <c r="N4414">
        <f t="shared" si="68"/>
        <v>0</v>
      </c>
    </row>
    <row r="4415" spans="1:14" x14ac:dyDescent="0.35">
      <c r="A4415">
        <v>4414</v>
      </c>
      <c r="B4415" t="s">
        <v>16</v>
      </c>
      <c r="C4415">
        <v>36</v>
      </c>
      <c r="D4415" t="s">
        <v>13</v>
      </c>
      <c r="E4415" t="s">
        <v>18</v>
      </c>
      <c r="F4415">
        <v>194</v>
      </c>
      <c r="G4415">
        <v>91</v>
      </c>
      <c r="H4415">
        <v>7.0000000000000007E-2</v>
      </c>
      <c r="I4415" t="s">
        <v>19</v>
      </c>
      <c r="J4415">
        <v>0</v>
      </c>
      <c r="K4415">
        <v>1</v>
      </c>
      <c r="L4415">
        <v>1</v>
      </c>
      <c r="M4415">
        <f>VLOOKUP(Table1[[#This Row],[subscription_type]],Plans!$A$1:$B$5,2,FALSE)</f>
        <v>14.99</v>
      </c>
      <c r="N4415">
        <f t="shared" si="68"/>
        <v>14.99</v>
      </c>
    </row>
    <row r="4416" spans="1:14" x14ac:dyDescent="0.35">
      <c r="A4416">
        <v>4415</v>
      </c>
      <c r="B4416" t="s">
        <v>12</v>
      </c>
      <c r="C4416">
        <v>27</v>
      </c>
      <c r="D4416" t="s">
        <v>27</v>
      </c>
      <c r="E4416" t="s">
        <v>14</v>
      </c>
      <c r="F4416">
        <v>250</v>
      </c>
      <c r="G4416">
        <v>24</v>
      </c>
      <c r="H4416">
        <v>0.38</v>
      </c>
      <c r="I4416" t="s">
        <v>23</v>
      </c>
      <c r="J4416">
        <v>6</v>
      </c>
      <c r="K4416">
        <v>0</v>
      </c>
      <c r="L4416">
        <v>0</v>
      </c>
      <c r="M4416">
        <f>VLOOKUP(Table1[[#This Row],[subscription_type]],Plans!$A$1:$B$5,2,FALSE)</f>
        <v>0</v>
      </c>
      <c r="N4416">
        <f t="shared" si="68"/>
        <v>0</v>
      </c>
    </row>
    <row r="4417" spans="1:14" x14ac:dyDescent="0.35">
      <c r="A4417">
        <v>4416</v>
      </c>
      <c r="B4417" t="s">
        <v>12</v>
      </c>
      <c r="C4417">
        <v>21</v>
      </c>
      <c r="D4417" t="s">
        <v>17</v>
      </c>
      <c r="E4417" t="s">
        <v>14</v>
      </c>
      <c r="F4417">
        <v>195</v>
      </c>
      <c r="G4417">
        <v>55</v>
      </c>
      <c r="H4417">
        <v>7.0000000000000007E-2</v>
      </c>
      <c r="I4417" t="s">
        <v>15</v>
      </c>
      <c r="J4417">
        <v>43</v>
      </c>
      <c r="K4417">
        <v>0</v>
      </c>
      <c r="L4417">
        <v>1</v>
      </c>
      <c r="M4417">
        <f>VLOOKUP(Table1[[#This Row],[subscription_type]],Plans!$A$1:$B$5,2,FALSE)</f>
        <v>0</v>
      </c>
      <c r="N4417">
        <f t="shared" si="68"/>
        <v>0</v>
      </c>
    </row>
    <row r="4418" spans="1:14" x14ac:dyDescent="0.35">
      <c r="A4418">
        <v>4417</v>
      </c>
      <c r="B4418" t="s">
        <v>20</v>
      </c>
      <c r="C4418">
        <v>33</v>
      </c>
      <c r="D4418" t="s">
        <v>27</v>
      </c>
      <c r="E4418" t="s">
        <v>22</v>
      </c>
      <c r="F4418">
        <v>262</v>
      </c>
      <c r="G4418">
        <v>60</v>
      </c>
      <c r="H4418">
        <v>0.31</v>
      </c>
      <c r="I4418" t="s">
        <v>15</v>
      </c>
      <c r="J4418">
        <v>0</v>
      </c>
      <c r="K4418">
        <v>1</v>
      </c>
      <c r="L4418">
        <v>0</v>
      </c>
      <c r="M4418">
        <f>VLOOKUP(Table1[[#This Row],[subscription_type]],Plans!$A$1:$B$5,2,FALSE)</f>
        <v>9.99</v>
      </c>
      <c r="N4418">
        <f t="shared" ref="N4418:N4481" si="69">IF(L4418=1, M4418,0)</f>
        <v>0</v>
      </c>
    </row>
    <row r="4419" spans="1:14" x14ac:dyDescent="0.35">
      <c r="A4419">
        <v>4418</v>
      </c>
      <c r="B4419" t="s">
        <v>12</v>
      </c>
      <c r="C4419">
        <v>28</v>
      </c>
      <c r="D4419" t="s">
        <v>27</v>
      </c>
      <c r="E4419" t="s">
        <v>18</v>
      </c>
      <c r="F4419">
        <v>249</v>
      </c>
      <c r="G4419">
        <v>78</v>
      </c>
      <c r="H4419">
        <v>0.24</v>
      </c>
      <c r="I4419" t="s">
        <v>19</v>
      </c>
      <c r="J4419">
        <v>0</v>
      </c>
      <c r="K4419">
        <v>1</v>
      </c>
      <c r="L4419">
        <v>0</v>
      </c>
      <c r="M4419">
        <f>VLOOKUP(Table1[[#This Row],[subscription_type]],Plans!$A$1:$B$5,2,FALSE)</f>
        <v>14.99</v>
      </c>
      <c r="N4419">
        <f t="shared" si="69"/>
        <v>0</v>
      </c>
    </row>
    <row r="4420" spans="1:14" x14ac:dyDescent="0.35">
      <c r="A4420">
        <v>4419</v>
      </c>
      <c r="B4420" t="s">
        <v>16</v>
      </c>
      <c r="C4420">
        <v>43</v>
      </c>
      <c r="D4420" t="s">
        <v>25</v>
      </c>
      <c r="E4420" t="s">
        <v>18</v>
      </c>
      <c r="F4420">
        <v>177</v>
      </c>
      <c r="G4420">
        <v>66</v>
      </c>
      <c r="H4420">
        <v>0.24</v>
      </c>
      <c r="I4420" t="s">
        <v>15</v>
      </c>
      <c r="J4420">
        <v>0</v>
      </c>
      <c r="K4420">
        <v>1</v>
      </c>
      <c r="L4420">
        <v>0</v>
      </c>
      <c r="M4420">
        <f>VLOOKUP(Table1[[#This Row],[subscription_type]],Plans!$A$1:$B$5,2,FALSE)</f>
        <v>14.99</v>
      </c>
      <c r="N4420">
        <f t="shared" si="69"/>
        <v>0</v>
      </c>
    </row>
    <row r="4421" spans="1:14" x14ac:dyDescent="0.35">
      <c r="A4421">
        <v>4420</v>
      </c>
      <c r="B4421" t="s">
        <v>16</v>
      </c>
      <c r="C4421">
        <v>49</v>
      </c>
      <c r="D4421" t="s">
        <v>25</v>
      </c>
      <c r="E4421" t="s">
        <v>24</v>
      </c>
      <c r="F4421">
        <v>101</v>
      </c>
      <c r="G4421">
        <v>39</v>
      </c>
      <c r="H4421">
        <v>0.39</v>
      </c>
      <c r="I4421" t="s">
        <v>15</v>
      </c>
      <c r="J4421">
        <v>0</v>
      </c>
      <c r="K4421">
        <v>1</v>
      </c>
      <c r="L4421">
        <v>0</v>
      </c>
      <c r="M4421">
        <f>VLOOKUP(Table1[[#This Row],[subscription_type]],Plans!$A$1:$B$5,2,FALSE)</f>
        <v>4.99</v>
      </c>
      <c r="N4421">
        <f t="shared" si="69"/>
        <v>0</v>
      </c>
    </row>
    <row r="4422" spans="1:14" x14ac:dyDescent="0.35">
      <c r="A4422">
        <v>4421</v>
      </c>
      <c r="B4422" t="s">
        <v>12</v>
      </c>
      <c r="C4422">
        <v>23</v>
      </c>
      <c r="D4422" t="s">
        <v>21</v>
      </c>
      <c r="E4422" t="s">
        <v>24</v>
      </c>
      <c r="F4422">
        <v>84</v>
      </c>
      <c r="G4422">
        <v>23</v>
      </c>
      <c r="H4422">
        <v>0.04</v>
      </c>
      <c r="I4422" t="s">
        <v>19</v>
      </c>
      <c r="J4422">
        <v>0</v>
      </c>
      <c r="K4422">
        <v>1</v>
      </c>
      <c r="L4422">
        <v>0</v>
      </c>
      <c r="M4422">
        <f>VLOOKUP(Table1[[#This Row],[subscription_type]],Plans!$A$1:$B$5,2,FALSE)</f>
        <v>4.99</v>
      </c>
      <c r="N4422">
        <f t="shared" si="69"/>
        <v>0</v>
      </c>
    </row>
    <row r="4423" spans="1:14" x14ac:dyDescent="0.35">
      <c r="A4423">
        <v>4422</v>
      </c>
      <c r="B4423" t="s">
        <v>12</v>
      </c>
      <c r="C4423">
        <v>49</v>
      </c>
      <c r="D4423" t="s">
        <v>29</v>
      </c>
      <c r="E4423" t="s">
        <v>18</v>
      </c>
      <c r="F4423">
        <v>255</v>
      </c>
      <c r="G4423">
        <v>88</v>
      </c>
      <c r="H4423">
        <v>0.44</v>
      </c>
      <c r="I4423" t="s">
        <v>19</v>
      </c>
      <c r="J4423">
        <v>0</v>
      </c>
      <c r="K4423">
        <v>1</v>
      </c>
      <c r="L4423">
        <v>0</v>
      </c>
      <c r="M4423">
        <f>VLOOKUP(Table1[[#This Row],[subscription_type]],Plans!$A$1:$B$5,2,FALSE)</f>
        <v>14.99</v>
      </c>
      <c r="N4423">
        <f t="shared" si="69"/>
        <v>0</v>
      </c>
    </row>
    <row r="4424" spans="1:14" x14ac:dyDescent="0.35">
      <c r="A4424">
        <v>4423</v>
      </c>
      <c r="B4424" t="s">
        <v>12</v>
      </c>
      <c r="C4424">
        <v>23</v>
      </c>
      <c r="D4424" t="s">
        <v>13</v>
      </c>
      <c r="E4424" t="s">
        <v>14</v>
      </c>
      <c r="F4424">
        <v>234</v>
      </c>
      <c r="G4424">
        <v>87</v>
      </c>
      <c r="H4424">
        <v>0.27</v>
      </c>
      <c r="I4424" t="s">
        <v>15</v>
      </c>
      <c r="J4424">
        <v>25</v>
      </c>
      <c r="K4424">
        <v>0</v>
      </c>
      <c r="L4424">
        <v>0</v>
      </c>
      <c r="M4424">
        <f>VLOOKUP(Table1[[#This Row],[subscription_type]],Plans!$A$1:$B$5,2,FALSE)</f>
        <v>0</v>
      </c>
      <c r="N4424">
        <f t="shared" si="69"/>
        <v>0</v>
      </c>
    </row>
    <row r="4425" spans="1:14" x14ac:dyDescent="0.35">
      <c r="A4425">
        <v>4424</v>
      </c>
      <c r="B4425" t="s">
        <v>16</v>
      </c>
      <c r="C4425">
        <v>46</v>
      </c>
      <c r="D4425" t="s">
        <v>17</v>
      </c>
      <c r="E4425" t="s">
        <v>24</v>
      </c>
      <c r="F4425">
        <v>149</v>
      </c>
      <c r="G4425">
        <v>83</v>
      </c>
      <c r="H4425">
        <v>0.56000000000000005</v>
      </c>
      <c r="I4425" t="s">
        <v>15</v>
      </c>
      <c r="J4425">
        <v>0</v>
      </c>
      <c r="K4425">
        <v>1</v>
      </c>
      <c r="L4425">
        <v>1</v>
      </c>
      <c r="M4425">
        <f>VLOOKUP(Table1[[#This Row],[subscription_type]],Plans!$A$1:$B$5,2,FALSE)</f>
        <v>4.99</v>
      </c>
      <c r="N4425">
        <f t="shared" si="69"/>
        <v>4.99</v>
      </c>
    </row>
    <row r="4426" spans="1:14" x14ac:dyDescent="0.35">
      <c r="A4426">
        <v>4425</v>
      </c>
      <c r="B4426" t="s">
        <v>20</v>
      </c>
      <c r="C4426">
        <v>53</v>
      </c>
      <c r="D4426" t="s">
        <v>27</v>
      </c>
      <c r="E4426" t="s">
        <v>14</v>
      </c>
      <c r="F4426">
        <v>289</v>
      </c>
      <c r="G4426">
        <v>55</v>
      </c>
      <c r="H4426">
        <v>0.25</v>
      </c>
      <c r="I4426" t="s">
        <v>15</v>
      </c>
      <c r="J4426">
        <v>46</v>
      </c>
      <c r="K4426">
        <v>0</v>
      </c>
      <c r="L4426">
        <v>0</v>
      </c>
      <c r="M4426">
        <f>VLOOKUP(Table1[[#This Row],[subscription_type]],Plans!$A$1:$B$5,2,FALSE)</f>
        <v>0</v>
      </c>
      <c r="N4426">
        <f t="shared" si="69"/>
        <v>0</v>
      </c>
    </row>
    <row r="4427" spans="1:14" x14ac:dyDescent="0.35">
      <c r="A4427">
        <v>4426</v>
      </c>
      <c r="B4427" t="s">
        <v>20</v>
      </c>
      <c r="C4427">
        <v>17</v>
      </c>
      <c r="D4427" t="s">
        <v>29</v>
      </c>
      <c r="E4427" t="s">
        <v>24</v>
      </c>
      <c r="F4427">
        <v>266</v>
      </c>
      <c r="G4427">
        <v>28</v>
      </c>
      <c r="H4427">
        <v>0.47</v>
      </c>
      <c r="I4427" t="s">
        <v>15</v>
      </c>
      <c r="J4427">
        <v>0</v>
      </c>
      <c r="K4427">
        <v>1</v>
      </c>
      <c r="L4427">
        <v>1</v>
      </c>
      <c r="M4427">
        <f>VLOOKUP(Table1[[#This Row],[subscription_type]],Plans!$A$1:$B$5,2,FALSE)</f>
        <v>4.99</v>
      </c>
      <c r="N4427">
        <f t="shared" si="69"/>
        <v>4.99</v>
      </c>
    </row>
    <row r="4428" spans="1:14" x14ac:dyDescent="0.35">
      <c r="A4428">
        <v>4427</v>
      </c>
      <c r="B4428" t="s">
        <v>16</v>
      </c>
      <c r="C4428">
        <v>35</v>
      </c>
      <c r="D4428" t="s">
        <v>29</v>
      </c>
      <c r="E4428" t="s">
        <v>18</v>
      </c>
      <c r="F4428">
        <v>214</v>
      </c>
      <c r="G4428">
        <v>29</v>
      </c>
      <c r="H4428">
        <v>0.27</v>
      </c>
      <c r="I4428" t="s">
        <v>23</v>
      </c>
      <c r="J4428">
        <v>0</v>
      </c>
      <c r="K4428">
        <v>1</v>
      </c>
      <c r="L4428">
        <v>0</v>
      </c>
      <c r="M4428">
        <f>VLOOKUP(Table1[[#This Row],[subscription_type]],Plans!$A$1:$B$5,2,FALSE)</f>
        <v>14.99</v>
      </c>
      <c r="N4428">
        <f t="shared" si="69"/>
        <v>0</v>
      </c>
    </row>
    <row r="4429" spans="1:14" x14ac:dyDescent="0.35">
      <c r="A4429">
        <v>4428</v>
      </c>
      <c r="B4429" t="s">
        <v>20</v>
      </c>
      <c r="C4429">
        <v>48</v>
      </c>
      <c r="D4429" t="s">
        <v>27</v>
      </c>
      <c r="E4429" t="s">
        <v>18</v>
      </c>
      <c r="F4429">
        <v>176</v>
      </c>
      <c r="G4429">
        <v>65</v>
      </c>
      <c r="H4429">
        <v>0.11</v>
      </c>
      <c r="I4429" t="s">
        <v>23</v>
      </c>
      <c r="J4429">
        <v>0</v>
      </c>
      <c r="K4429">
        <v>1</v>
      </c>
      <c r="L4429">
        <v>0</v>
      </c>
      <c r="M4429">
        <f>VLOOKUP(Table1[[#This Row],[subscription_type]],Plans!$A$1:$B$5,2,FALSE)</f>
        <v>14.99</v>
      </c>
      <c r="N4429">
        <f t="shared" si="69"/>
        <v>0</v>
      </c>
    </row>
    <row r="4430" spans="1:14" x14ac:dyDescent="0.35">
      <c r="A4430">
        <v>4429</v>
      </c>
      <c r="B4430" t="s">
        <v>12</v>
      </c>
      <c r="C4430">
        <v>22</v>
      </c>
      <c r="D4430" t="s">
        <v>26</v>
      </c>
      <c r="E4430" t="s">
        <v>22</v>
      </c>
      <c r="F4430">
        <v>36</v>
      </c>
      <c r="G4430">
        <v>32</v>
      </c>
      <c r="H4430">
        <v>0.44</v>
      </c>
      <c r="I4430" t="s">
        <v>19</v>
      </c>
      <c r="J4430">
        <v>0</v>
      </c>
      <c r="K4430">
        <v>1</v>
      </c>
      <c r="L4430">
        <v>0</v>
      </c>
      <c r="M4430">
        <f>VLOOKUP(Table1[[#This Row],[subscription_type]],Plans!$A$1:$B$5,2,FALSE)</f>
        <v>9.99</v>
      </c>
      <c r="N4430">
        <f t="shared" si="69"/>
        <v>0</v>
      </c>
    </row>
    <row r="4431" spans="1:14" x14ac:dyDescent="0.35">
      <c r="A4431">
        <v>4430</v>
      </c>
      <c r="B4431" t="s">
        <v>20</v>
      </c>
      <c r="C4431">
        <v>22</v>
      </c>
      <c r="D4431" t="s">
        <v>27</v>
      </c>
      <c r="E4431" t="s">
        <v>14</v>
      </c>
      <c r="F4431">
        <v>291</v>
      </c>
      <c r="G4431">
        <v>43</v>
      </c>
      <c r="H4431">
        <v>0.14000000000000001</v>
      </c>
      <c r="I4431" t="s">
        <v>15</v>
      </c>
      <c r="J4431">
        <v>7</v>
      </c>
      <c r="K4431">
        <v>0</v>
      </c>
      <c r="L4431">
        <v>1</v>
      </c>
      <c r="M4431">
        <f>VLOOKUP(Table1[[#This Row],[subscription_type]],Plans!$A$1:$B$5,2,FALSE)</f>
        <v>0</v>
      </c>
      <c r="N4431">
        <f t="shared" si="69"/>
        <v>0</v>
      </c>
    </row>
    <row r="4432" spans="1:14" x14ac:dyDescent="0.35">
      <c r="A4432">
        <v>4431</v>
      </c>
      <c r="B4432" t="s">
        <v>16</v>
      </c>
      <c r="C4432">
        <v>30</v>
      </c>
      <c r="D4432" t="s">
        <v>21</v>
      </c>
      <c r="E4432" t="s">
        <v>22</v>
      </c>
      <c r="F4432">
        <v>176</v>
      </c>
      <c r="G4432">
        <v>68</v>
      </c>
      <c r="H4432">
        <v>0.56000000000000005</v>
      </c>
      <c r="I4432" t="s">
        <v>23</v>
      </c>
      <c r="J4432">
        <v>0</v>
      </c>
      <c r="K4432">
        <v>1</v>
      </c>
      <c r="L4432">
        <v>0</v>
      </c>
      <c r="M4432">
        <f>VLOOKUP(Table1[[#This Row],[subscription_type]],Plans!$A$1:$B$5,2,FALSE)</f>
        <v>9.99</v>
      </c>
      <c r="N4432">
        <f t="shared" si="69"/>
        <v>0</v>
      </c>
    </row>
    <row r="4433" spans="1:14" x14ac:dyDescent="0.35">
      <c r="A4433">
        <v>4432</v>
      </c>
      <c r="B4433" t="s">
        <v>12</v>
      </c>
      <c r="C4433">
        <v>17</v>
      </c>
      <c r="D4433" t="s">
        <v>27</v>
      </c>
      <c r="E4433" t="s">
        <v>24</v>
      </c>
      <c r="F4433">
        <v>108</v>
      </c>
      <c r="G4433">
        <v>17</v>
      </c>
      <c r="H4433">
        <v>0.17</v>
      </c>
      <c r="I4433" t="s">
        <v>23</v>
      </c>
      <c r="J4433">
        <v>0</v>
      </c>
      <c r="K4433">
        <v>1</v>
      </c>
      <c r="L4433">
        <v>0</v>
      </c>
      <c r="M4433">
        <f>VLOOKUP(Table1[[#This Row],[subscription_type]],Plans!$A$1:$B$5,2,FALSE)</f>
        <v>4.99</v>
      </c>
      <c r="N4433">
        <f t="shared" si="69"/>
        <v>0</v>
      </c>
    </row>
    <row r="4434" spans="1:14" x14ac:dyDescent="0.35">
      <c r="A4434">
        <v>4433</v>
      </c>
      <c r="B4434" t="s">
        <v>20</v>
      </c>
      <c r="C4434">
        <v>58</v>
      </c>
      <c r="D4434" t="s">
        <v>17</v>
      </c>
      <c r="E4434" t="s">
        <v>18</v>
      </c>
      <c r="F4434">
        <v>232</v>
      </c>
      <c r="G4434">
        <v>15</v>
      </c>
      <c r="H4434">
        <v>0.01</v>
      </c>
      <c r="I4434" t="s">
        <v>23</v>
      </c>
      <c r="J4434">
        <v>0</v>
      </c>
      <c r="K4434">
        <v>1</v>
      </c>
      <c r="L4434">
        <v>0</v>
      </c>
      <c r="M4434">
        <f>VLOOKUP(Table1[[#This Row],[subscription_type]],Plans!$A$1:$B$5,2,FALSE)</f>
        <v>14.99</v>
      </c>
      <c r="N4434">
        <f t="shared" si="69"/>
        <v>0</v>
      </c>
    </row>
    <row r="4435" spans="1:14" x14ac:dyDescent="0.35">
      <c r="A4435">
        <v>4434</v>
      </c>
      <c r="B4435" t="s">
        <v>12</v>
      </c>
      <c r="C4435">
        <v>58</v>
      </c>
      <c r="D4435" t="s">
        <v>17</v>
      </c>
      <c r="E4435" t="s">
        <v>24</v>
      </c>
      <c r="F4435">
        <v>13</v>
      </c>
      <c r="G4435">
        <v>78</v>
      </c>
      <c r="H4435">
        <v>0.43</v>
      </c>
      <c r="I4435" t="s">
        <v>23</v>
      </c>
      <c r="J4435">
        <v>0</v>
      </c>
      <c r="K4435">
        <v>1</v>
      </c>
      <c r="L4435">
        <v>0</v>
      </c>
      <c r="M4435">
        <f>VLOOKUP(Table1[[#This Row],[subscription_type]],Plans!$A$1:$B$5,2,FALSE)</f>
        <v>4.99</v>
      </c>
      <c r="N4435">
        <f t="shared" si="69"/>
        <v>0</v>
      </c>
    </row>
    <row r="4436" spans="1:14" x14ac:dyDescent="0.35">
      <c r="A4436">
        <v>4435</v>
      </c>
      <c r="B4436" t="s">
        <v>16</v>
      </c>
      <c r="C4436">
        <v>26</v>
      </c>
      <c r="D4436" t="s">
        <v>25</v>
      </c>
      <c r="E4436" t="s">
        <v>18</v>
      </c>
      <c r="F4436">
        <v>279</v>
      </c>
      <c r="G4436">
        <v>39</v>
      </c>
      <c r="H4436">
        <v>0.45</v>
      </c>
      <c r="I4436" t="s">
        <v>19</v>
      </c>
      <c r="J4436">
        <v>0</v>
      </c>
      <c r="K4436">
        <v>1</v>
      </c>
      <c r="L4436">
        <v>0</v>
      </c>
      <c r="M4436">
        <f>VLOOKUP(Table1[[#This Row],[subscription_type]],Plans!$A$1:$B$5,2,FALSE)</f>
        <v>14.99</v>
      </c>
      <c r="N4436">
        <f t="shared" si="69"/>
        <v>0</v>
      </c>
    </row>
    <row r="4437" spans="1:14" x14ac:dyDescent="0.35">
      <c r="A4437">
        <v>4436</v>
      </c>
      <c r="B4437" t="s">
        <v>16</v>
      </c>
      <c r="C4437">
        <v>39</v>
      </c>
      <c r="D4437" t="s">
        <v>27</v>
      </c>
      <c r="E4437" t="s">
        <v>18</v>
      </c>
      <c r="F4437">
        <v>45</v>
      </c>
      <c r="G4437">
        <v>47</v>
      </c>
      <c r="H4437">
        <v>0.53</v>
      </c>
      <c r="I4437" t="s">
        <v>23</v>
      </c>
      <c r="J4437">
        <v>0</v>
      </c>
      <c r="K4437">
        <v>1</v>
      </c>
      <c r="L4437">
        <v>0</v>
      </c>
      <c r="M4437">
        <f>VLOOKUP(Table1[[#This Row],[subscription_type]],Plans!$A$1:$B$5,2,FALSE)</f>
        <v>14.99</v>
      </c>
      <c r="N4437">
        <f t="shared" si="69"/>
        <v>0</v>
      </c>
    </row>
    <row r="4438" spans="1:14" x14ac:dyDescent="0.35">
      <c r="A4438">
        <v>4437</v>
      </c>
      <c r="B4438" t="s">
        <v>20</v>
      </c>
      <c r="C4438">
        <v>52</v>
      </c>
      <c r="D4438" t="s">
        <v>13</v>
      </c>
      <c r="E4438" t="s">
        <v>14</v>
      </c>
      <c r="F4438">
        <v>153</v>
      </c>
      <c r="G4438">
        <v>97</v>
      </c>
      <c r="H4438">
        <v>0.39</v>
      </c>
      <c r="I4438" t="s">
        <v>15</v>
      </c>
      <c r="J4438">
        <v>48</v>
      </c>
      <c r="K4438">
        <v>0</v>
      </c>
      <c r="L4438">
        <v>0</v>
      </c>
      <c r="M4438">
        <f>VLOOKUP(Table1[[#This Row],[subscription_type]],Plans!$A$1:$B$5,2,FALSE)</f>
        <v>0</v>
      </c>
      <c r="N4438">
        <f t="shared" si="69"/>
        <v>0</v>
      </c>
    </row>
    <row r="4439" spans="1:14" x14ac:dyDescent="0.35">
      <c r="A4439">
        <v>4438</v>
      </c>
      <c r="B4439" t="s">
        <v>20</v>
      </c>
      <c r="C4439">
        <v>34</v>
      </c>
      <c r="D4439" t="s">
        <v>27</v>
      </c>
      <c r="E4439" t="s">
        <v>14</v>
      </c>
      <c r="F4439">
        <v>203</v>
      </c>
      <c r="G4439">
        <v>56</v>
      </c>
      <c r="H4439">
        <v>0.04</v>
      </c>
      <c r="I4439" t="s">
        <v>19</v>
      </c>
      <c r="J4439">
        <v>19</v>
      </c>
      <c r="K4439">
        <v>0</v>
      </c>
      <c r="L4439">
        <v>0</v>
      </c>
      <c r="M4439">
        <f>VLOOKUP(Table1[[#This Row],[subscription_type]],Plans!$A$1:$B$5,2,FALSE)</f>
        <v>0</v>
      </c>
      <c r="N4439">
        <f t="shared" si="69"/>
        <v>0</v>
      </c>
    </row>
    <row r="4440" spans="1:14" x14ac:dyDescent="0.35">
      <c r="A4440">
        <v>4439</v>
      </c>
      <c r="B4440" t="s">
        <v>16</v>
      </c>
      <c r="C4440">
        <v>31</v>
      </c>
      <c r="D4440" t="s">
        <v>25</v>
      </c>
      <c r="E4440" t="s">
        <v>18</v>
      </c>
      <c r="F4440">
        <v>258</v>
      </c>
      <c r="G4440">
        <v>75</v>
      </c>
      <c r="H4440">
        <v>0.38</v>
      </c>
      <c r="I4440" t="s">
        <v>15</v>
      </c>
      <c r="J4440">
        <v>0</v>
      </c>
      <c r="K4440">
        <v>1</v>
      </c>
      <c r="L4440">
        <v>0</v>
      </c>
      <c r="M4440">
        <f>VLOOKUP(Table1[[#This Row],[subscription_type]],Plans!$A$1:$B$5,2,FALSE)</f>
        <v>14.99</v>
      </c>
      <c r="N4440">
        <f t="shared" si="69"/>
        <v>0</v>
      </c>
    </row>
    <row r="4441" spans="1:14" x14ac:dyDescent="0.35">
      <c r="A4441">
        <v>4440</v>
      </c>
      <c r="B4441" t="s">
        <v>20</v>
      </c>
      <c r="C4441">
        <v>21</v>
      </c>
      <c r="D4441" t="s">
        <v>26</v>
      </c>
      <c r="E4441" t="s">
        <v>22</v>
      </c>
      <c r="F4441">
        <v>279</v>
      </c>
      <c r="G4441">
        <v>45</v>
      </c>
      <c r="H4441">
        <v>0.16</v>
      </c>
      <c r="I4441" t="s">
        <v>19</v>
      </c>
      <c r="J4441">
        <v>0</v>
      </c>
      <c r="K4441">
        <v>1</v>
      </c>
      <c r="L4441">
        <v>0</v>
      </c>
      <c r="M4441">
        <f>VLOOKUP(Table1[[#This Row],[subscription_type]],Plans!$A$1:$B$5,2,FALSE)</f>
        <v>9.99</v>
      </c>
      <c r="N4441">
        <f t="shared" si="69"/>
        <v>0</v>
      </c>
    </row>
    <row r="4442" spans="1:14" x14ac:dyDescent="0.35">
      <c r="A4442">
        <v>4441</v>
      </c>
      <c r="B4442" t="s">
        <v>16</v>
      </c>
      <c r="C4442">
        <v>57</v>
      </c>
      <c r="D4442" t="s">
        <v>25</v>
      </c>
      <c r="E4442" t="s">
        <v>14</v>
      </c>
      <c r="F4442">
        <v>106</v>
      </c>
      <c r="G4442">
        <v>47</v>
      </c>
      <c r="H4442">
        <v>0.4</v>
      </c>
      <c r="I4442" t="s">
        <v>19</v>
      </c>
      <c r="J4442">
        <v>20</v>
      </c>
      <c r="K4442">
        <v>0</v>
      </c>
      <c r="L4442">
        <v>1</v>
      </c>
      <c r="M4442">
        <f>VLOOKUP(Table1[[#This Row],[subscription_type]],Plans!$A$1:$B$5,2,FALSE)</f>
        <v>0</v>
      </c>
      <c r="N4442">
        <f t="shared" si="69"/>
        <v>0</v>
      </c>
    </row>
    <row r="4443" spans="1:14" x14ac:dyDescent="0.35">
      <c r="A4443">
        <v>4442</v>
      </c>
      <c r="B4443" t="s">
        <v>20</v>
      </c>
      <c r="C4443">
        <v>33</v>
      </c>
      <c r="D4443" t="s">
        <v>17</v>
      </c>
      <c r="E4443" t="s">
        <v>22</v>
      </c>
      <c r="F4443">
        <v>101</v>
      </c>
      <c r="G4443">
        <v>72</v>
      </c>
      <c r="H4443">
        <v>0.19</v>
      </c>
      <c r="I4443" t="s">
        <v>23</v>
      </c>
      <c r="J4443">
        <v>0</v>
      </c>
      <c r="K4443">
        <v>1</v>
      </c>
      <c r="L4443">
        <v>0</v>
      </c>
      <c r="M4443">
        <f>VLOOKUP(Table1[[#This Row],[subscription_type]],Plans!$A$1:$B$5,2,FALSE)</f>
        <v>9.99</v>
      </c>
      <c r="N4443">
        <f t="shared" si="69"/>
        <v>0</v>
      </c>
    </row>
    <row r="4444" spans="1:14" x14ac:dyDescent="0.35">
      <c r="A4444">
        <v>4443</v>
      </c>
      <c r="B4444" t="s">
        <v>12</v>
      </c>
      <c r="C4444">
        <v>31</v>
      </c>
      <c r="D4444" t="s">
        <v>25</v>
      </c>
      <c r="E4444" t="s">
        <v>22</v>
      </c>
      <c r="F4444">
        <v>23</v>
      </c>
      <c r="G4444">
        <v>76</v>
      </c>
      <c r="H4444">
        <v>0.55000000000000004</v>
      </c>
      <c r="I4444" t="s">
        <v>15</v>
      </c>
      <c r="J4444">
        <v>0</v>
      </c>
      <c r="K4444">
        <v>1</v>
      </c>
      <c r="L4444">
        <v>0</v>
      </c>
      <c r="M4444">
        <f>VLOOKUP(Table1[[#This Row],[subscription_type]],Plans!$A$1:$B$5,2,FALSE)</f>
        <v>9.99</v>
      </c>
      <c r="N4444">
        <f t="shared" si="69"/>
        <v>0</v>
      </c>
    </row>
    <row r="4445" spans="1:14" x14ac:dyDescent="0.35">
      <c r="A4445">
        <v>4444</v>
      </c>
      <c r="B4445" t="s">
        <v>20</v>
      </c>
      <c r="C4445">
        <v>17</v>
      </c>
      <c r="D4445" t="s">
        <v>21</v>
      </c>
      <c r="E4445" t="s">
        <v>24</v>
      </c>
      <c r="F4445">
        <v>85</v>
      </c>
      <c r="G4445">
        <v>66</v>
      </c>
      <c r="H4445">
        <v>0.49</v>
      </c>
      <c r="I4445" t="s">
        <v>19</v>
      </c>
      <c r="J4445">
        <v>0</v>
      </c>
      <c r="K4445">
        <v>1</v>
      </c>
      <c r="L4445">
        <v>0</v>
      </c>
      <c r="M4445">
        <f>VLOOKUP(Table1[[#This Row],[subscription_type]],Plans!$A$1:$B$5,2,FALSE)</f>
        <v>4.99</v>
      </c>
      <c r="N4445">
        <f t="shared" si="69"/>
        <v>0</v>
      </c>
    </row>
    <row r="4446" spans="1:14" x14ac:dyDescent="0.35">
      <c r="A4446">
        <v>4445</v>
      </c>
      <c r="B4446" t="s">
        <v>12</v>
      </c>
      <c r="C4446">
        <v>19</v>
      </c>
      <c r="D4446" t="s">
        <v>13</v>
      </c>
      <c r="E4446" t="s">
        <v>14</v>
      </c>
      <c r="F4446">
        <v>150</v>
      </c>
      <c r="G4446">
        <v>20</v>
      </c>
      <c r="H4446">
        <v>0.34</v>
      </c>
      <c r="I4446" t="s">
        <v>23</v>
      </c>
      <c r="J4446">
        <v>39</v>
      </c>
      <c r="K4446">
        <v>0</v>
      </c>
      <c r="L4446">
        <v>0</v>
      </c>
      <c r="M4446">
        <f>VLOOKUP(Table1[[#This Row],[subscription_type]],Plans!$A$1:$B$5,2,FALSE)</f>
        <v>0</v>
      </c>
      <c r="N4446">
        <f t="shared" si="69"/>
        <v>0</v>
      </c>
    </row>
    <row r="4447" spans="1:14" x14ac:dyDescent="0.35">
      <c r="A4447">
        <v>4446</v>
      </c>
      <c r="B4447" t="s">
        <v>16</v>
      </c>
      <c r="C4447">
        <v>56</v>
      </c>
      <c r="D4447" t="s">
        <v>29</v>
      </c>
      <c r="E4447" t="s">
        <v>18</v>
      </c>
      <c r="F4447">
        <v>12</v>
      </c>
      <c r="G4447">
        <v>66</v>
      </c>
      <c r="H4447">
        <v>0.56000000000000005</v>
      </c>
      <c r="I4447" t="s">
        <v>19</v>
      </c>
      <c r="J4447">
        <v>0</v>
      </c>
      <c r="K4447">
        <v>1</v>
      </c>
      <c r="L4447">
        <v>1</v>
      </c>
      <c r="M4447">
        <f>VLOOKUP(Table1[[#This Row],[subscription_type]],Plans!$A$1:$B$5,2,FALSE)</f>
        <v>14.99</v>
      </c>
      <c r="N4447">
        <f t="shared" si="69"/>
        <v>14.99</v>
      </c>
    </row>
    <row r="4448" spans="1:14" x14ac:dyDescent="0.35">
      <c r="A4448">
        <v>4447</v>
      </c>
      <c r="B4448" t="s">
        <v>12</v>
      </c>
      <c r="C4448">
        <v>52</v>
      </c>
      <c r="D4448" t="s">
        <v>13</v>
      </c>
      <c r="E4448" t="s">
        <v>18</v>
      </c>
      <c r="F4448">
        <v>38</v>
      </c>
      <c r="G4448">
        <v>85</v>
      </c>
      <c r="H4448">
        <v>0.23</v>
      </c>
      <c r="I4448" t="s">
        <v>19</v>
      </c>
      <c r="J4448">
        <v>0</v>
      </c>
      <c r="K4448">
        <v>1</v>
      </c>
      <c r="L4448">
        <v>1</v>
      </c>
      <c r="M4448">
        <f>VLOOKUP(Table1[[#This Row],[subscription_type]],Plans!$A$1:$B$5,2,FALSE)</f>
        <v>14.99</v>
      </c>
      <c r="N4448">
        <f t="shared" si="69"/>
        <v>14.99</v>
      </c>
    </row>
    <row r="4449" spans="1:14" x14ac:dyDescent="0.35">
      <c r="A4449">
        <v>4448</v>
      </c>
      <c r="B4449" t="s">
        <v>16</v>
      </c>
      <c r="C4449">
        <v>48</v>
      </c>
      <c r="D4449" t="s">
        <v>17</v>
      </c>
      <c r="E4449" t="s">
        <v>24</v>
      </c>
      <c r="F4449">
        <v>44</v>
      </c>
      <c r="G4449">
        <v>68</v>
      </c>
      <c r="H4449">
        <v>0.2</v>
      </c>
      <c r="I4449" t="s">
        <v>19</v>
      </c>
      <c r="J4449">
        <v>0</v>
      </c>
      <c r="K4449">
        <v>1</v>
      </c>
      <c r="L4449">
        <v>0</v>
      </c>
      <c r="M4449">
        <f>VLOOKUP(Table1[[#This Row],[subscription_type]],Plans!$A$1:$B$5,2,FALSE)</f>
        <v>4.99</v>
      </c>
      <c r="N4449">
        <f t="shared" si="69"/>
        <v>0</v>
      </c>
    </row>
    <row r="4450" spans="1:14" x14ac:dyDescent="0.35">
      <c r="A4450">
        <v>4449</v>
      </c>
      <c r="B4450" t="s">
        <v>16</v>
      </c>
      <c r="C4450">
        <v>58</v>
      </c>
      <c r="D4450" t="s">
        <v>21</v>
      </c>
      <c r="E4450" t="s">
        <v>18</v>
      </c>
      <c r="F4450">
        <v>75</v>
      </c>
      <c r="G4450">
        <v>20</v>
      </c>
      <c r="H4450">
        <v>0.05</v>
      </c>
      <c r="I4450" t="s">
        <v>19</v>
      </c>
      <c r="J4450">
        <v>0</v>
      </c>
      <c r="K4450">
        <v>1</v>
      </c>
      <c r="L4450">
        <v>0</v>
      </c>
      <c r="M4450">
        <f>VLOOKUP(Table1[[#This Row],[subscription_type]],Plans!$A$1:$B$5,2,FALSE)</f>
        <v>14.99</v>
      </c>
      <c r="N4450">
        <f t="shared" si="69"/>
        <v>0</v>
      </c>
    </row>
    <row r="4451" spans="1:14" x14ac:dyDescent="0.35">
      <c r="A4451">
        <v>4450</v>
      </c>
      <c r="B4451" t="s">
        <v>16</v>
      </c>
      <c r="C4451">
        <v>22</v>
      </c>
      <c r="D4451" t="s">
        <v>29</v>
      </c>
      <c r="E4451" t="s">
        <v>18</v>
      </c>
      <c r="F4451">
        <v>161</v>
      </c>
      <c r="G4451">
        <v>78</v>
      </c>
      <c r="H4451">
        <v>0.28999999999999998</v>
      </c>
      <c r="I4451" t="s">
        <v>15</v>
      </c>
      <c r="J4451">
        <v>0</v>
      </c>
      <c r="K4451">
        <v>1</v>
      </c>
      <c r="L4451">
        <v>1</v>
      </c>
      <c r="M4451">
        <f>VLOOKUP(Table1[[#This Row],[subscription_type]],Plans!$A$1:$B$5,2,FALSE)</f>
        <v>14.99</v>
      </c>
      <c r="N4451">
        <f t="shared" si="69"/>
        <v>14.99</v>
      </c>
    </row>
    <row r="4452" spans="1:14" x14ac:dyDescent="0.35">
      <c r="A4452">
        <v>4451</v>
      </c>
      <c r="B4452" t="s">
        <v>20</v>
      </c>
      <c r="C4452">
        <v>22</v>
      </c>
      <c r="D4452" t="s">
        <v>25</v>
      </c>
      <c r="E4452" t="s">
        <v>24</v>
      </c>
      <c r="F4452">
        <v>66</v>
      </c>
      <c r="G4452">
        <v>52</v>
      </c>
      <c r="H4452">
        <v>0.52</v>
      </c>
      <c r="I4452" t="s">
        <v>15</v>
      </c>
      <c r="J4452">
        <v>0</v>
      </c>
      <c r="K4452">
        <v>1</v>
      </c>
      <c r="L4452">
        <v>1</v>
      </c>
      <c r="M4452">
        <f>VLOOKUP(Table1[[#This Row],[subscription_type]],Plans!$A$1:$B$5,2,FALSE)</f>
        <v>4.99</v>
      </c>
      <c r="N4452">
        <f t="shared" si="69"/>
        <v>4.99</v>
      </c>
    </row>
    <row r="4453" spans="1:14" x14ac:dyDescent="0.35">
      <c r="A4453">
        <v>4452</v>
      </c>
      <c r="B4453" t="s">
        <v>20</v>
      </c>
      <c r="C4453">
        <v>16</v>
      </c>
      <c r="D4453" t="s">
        <v>21</v>
      </c>
      <c r="E4453" t="s">
        <v>14</v>
      </c>
      <c r="F4453">
        <v>60</v>
      </c>
      <c r="G4453">
        <v>9</v>
      </c>
      <c r="H4453">
        <v>0.6</v>
      </c>
      <c r="I4453" t="s">
        <v>15</v>
      </c>
      <c r="J4453">
        <v>39</v>
      </c>
      <c r="K4453">
        <v>0</v>
      </c>
      <c r="L4453">
        <v>0</v>
      </c>
      <c r="M4453">
        <f>VLOOKUP(Table1[[#This Row],[subscription_type]],Plans!$A$1:$B$5,2,FALSE)</f>
        <v>0</v>
      </c>
      <c r="N4453">
        <f t="shared" si="69"/>
        <v>0</v>
      </c>
    </row>
    <row r="4454" spans="1:14" x14ac:dyDescent="0.35">
      <c r="A4454">
        <v>4453</v>
      </c>
      <c r="B4454" t="s">
        <v>12</v>
      </c>
      <c r="C4454">
        <v>55</v>
      </c>
      <c r="D4454" t="s">
        <v>29</v>
      </c>
      <c r="E4454" t="s">
        <v>14</v>
      </c>
      <c r="F4454">
        <v>179</v>
      </c>
      <c r="G4454">
        <v>44</v>
      </c>
      <c r="H4454">
        <v>0.3</v>
      </c>
      <c r="I4454" t="s">
        <v>19</v>
      </c>
      <c r="J4454">
        <v>20</v>
      </c>
      <c r="K4454">
        <v>0</v>
      </c>
      <c r="L4454">
        <v>0</v>
      </c>
      <c r="M4454">
        <f>VLOOKUP(Table1[[#This Row],[subscription_type]],Plans!$A$1:$B$5,2,FALSE)</f>
        <v>0</v>
      </c>
      <c r="N4454">
        <f t="shared" si="69"/>
        <v>0</v>
      </c>
    </row>
    <row r="4455" spans="1:14" x14ac:dyDescent="0.35">
      <c r="A4455">
        <v>4454</v>
      </c>
      <c r="B4455" t="s">
        <v>12</v>
      </c>
      <c r="C4455">
        <v>42</v>
      </c>
      <c r="D4455" t="s">
        <v>29</v>
      </c>
      <c r="E4455" t="s">
        <v>24</v>
      </c>
      <c r="F4455">
        <v>224</v>
      </c>
      <c r="G4455">
        <v>63</v>
      </c>
      <c r="H4455">
        <v>0.32</v>
      </c>
      <c r="I4455" t="s">
        <v>19</v>
      </c>
      <c r="J4455">
        <v>0</v>
      </c>
      <c r="K4455">
        <v>1</v>
      </c>
      <c r="L4455">
        <v>1</v>
      </c>
      <c r="M4455">
        <f>VLOOKUP(Table1[[#This Row],[subscription_type]],Plans!$A$1:$B$5,2,FALSE)</f>
        <v>4.99</v>
      </c>
      <c r="N4455">
        <f t="shared" si="69"/>
        <v>4.99</v>
      </c>
    </row>
    <row r="4456" spans="1:14" x14ac:dyDescent="0.35">
      <c r="A4456">
        <v>4455</v>
      </c>
      <c r="B4456" t="s">
        <v>20</v>
      </c>
      <c r="C4456">
        <v>54</v>
      </c>
      <c r="D4456" t="s">
        <v>26</v>
      </c>
      <c r="E4456" t="s">
        <v>22</v>
      </c>
      <c r="F4456">
        <v>225</v>
      </c>
      <c r="G4456">
        <v>24</v>
      </c>
      <c r="H4456">
        <v>0.53</v>
      </c>
      <c r="I4456" t="s">
        <v>15</v>
      </c>
      <c r="J4456">
        <v>0</v>
      </c>
      <c r="K4456">
        <v>1</v>
      </c>
      <c r="L4456">
        <v>0</v>
      </c>
      <c r="M4456">
        <f>VLOOKUP(Table1[[#This Row],[subscription_type]],Plans!$A$1:$B$5,2,FALSE)</f>
        <v>9.99</v>
      </c>
      <c r="N4456">
        <f t="shared" si="69"/>
        <v>0</v>
      </c>
    </row>
    <row r="4457" spans="1:14" x14ac:dyDescent="0.35">
      <c r="A4457">
        <v>4456</v>
      </c>
      <c r="B4457" t="s">
        <v>16</v>
      </c>
      <c r="C4457">
        <v>52</v>
      </c>
      <c r="D4457" t="s">
        <v>27</v>
      </c>
      <c r="E4457" t="s">
        <v>18</v>
      </c>
      <c r="F4457">
        <v>74</v>
      </c>
      <c r="G4457">
        <v>79</v>
      </c>
      <c r="H4457">
        <v>0.26</v>
      </c>
      <c r="I4457" t="s">
        <v>15</v>
      </c>
      <c r="J4457">
        <v>0</v>
      </c>
      <c r="K4457">
        <v>1</v>
      </c>
      <c r="L4457">
        <v>0</v>
      </c>
      <c r="M4457">
        <f>VLOOKUP(Table1[[#This Row],[subscription_type]],Plans!$A$1:$B$5,2,FALSE)</f>
        <v>14.99</v>
      </c>
      <c r="N4457">
        <f t="shared" si="69"/>
        <v>0</v>
      </c>
    </row>
    <row r="4458" spans="1:14" x14ac:dyDescent="0.35">
      <c r="A4458">
        <v>4457</v>
      </c>
      <c r="B4458" t="s">
        <v>12</v>
      </c>
      <c r="C4458">
        <v>39</v>
      </c>
      <c r="D4458" t="s">
        <v>29</v>
      </c>
      <c r="E4458" t="s">
        <v>22</v>
      </c>
      <c r="F4458">
        <v>226</v>
      </c>
      <c r="G4458">
        <v>71</v>
      </c>
      <c r="H4458">
        <v>0.02</v>
      </c>
      <c r="I4458" t="s">
        <v>23</v>
      </c>
      <c r="J4458">
        <v>0</v>
      </c>
      <c r="K4458">
        <v>1</v>
      </c>
      <c r="L4458">
        <v>0</v>
      </c>
      <c r="M4458">
        <f>VLOOKUP(Table1[[#This Row],[subscription_type]],Plans!$A$1:$B$5,2,FALSE)</f>
        <v>9.99</v>
      </c>
      <c r="N4458">
        <f t="shared" si="69"/>
        <v>0</v>
      </c>
    </row>
    <row r="4459" spans="1:14" x14ac:dyDescent="0.35">
      <c r="A4459">
        <v>4458</v>
      </c>
      <c r="B4459" t="s">
        <v>12</v>
      </c>
      <c r="C4459">
        <v>55</v>
      </c>
      <c r="D4459" t="s">
        <v>13</v>
      </c>
      <c r="E4459" t="s">
        <v>14</v>
      </c>
      <c r="F4459">
        <v>285</v>
      </c>
      <c r="G4459">
        <v>30</v>
      </c>
      <c r="H4459">
        <v>0.33</v>
      </c>
      <c r="I4459" t="s">
        <v>23</v>
      </c>
      <c r="J4459">
        <v>27</v>
      </c>
      <c r="K4459">
        <v>0</v>
      </c>
      <c r="L4459">
        <v>0</v>
      </c>
      <c r="M4459">
        <f>VLOOKUP(Table1[[#This Row],[subscription_type]],Plans!$A$1:$B$5,2,FALSE)</f>
        <v>0</v>
      </c>
      <c r="N4459">
        <f t="shared" si="69"/>
        <v>0</v>
      </c>
    </row>
    <row r="4460" spans="1:14" x14ac:dyDescent="0.35">
      <c r="A4460">
        <v>4459</v>
      </c>
      <c r="B4460" t="s">
        <v>20</v>
      </c>
      <c r="C4460">
        <v>26</v>
      </c>
      <c r="D4460" t="s">
        <v>17</v>
      </c>
      <c r="E4460" t="s">
        <v>18</v>
      </c>
      <c r="F4460">
        <v>275</v>
      </c>
      <c r="G4460">
        <v>19</v>
      </c>
      <c r="H4460">
        <v>0.17</v>
      </c>
      <c r="I4460" t="s">
        <v>15</v>
      </c>
      <c r="J4460">
        <v>0</v>
      </c>
      <c r="K4460">
        <v>1</v>
      </c>
      <c r="L4460">
        <v>0</v>
      </c>
      <c r="M4460">
        <f>VLOOKUP(Table1[[#This Row],[subscription_type]],Plans!$A$1:$B$5,2,FALSE)</f>
        <v>14.99</v>
      </c>
      <c r="N4460">
        <f t="shared" si="69"/>
        <v>0</v>
      </c>
    </row>
    <row r="4461" spans="1:14" x14ac:dyDescent="0.35">
      <c r="A4461">
        <v>4460</v>
      </c>
      <c r="B4461" t="s">
        <v>20</v>
      </c>
      <c r="C4461">
        <v>52</v>
      </c>
      <c r="D4461" t="s">
        <v>25</v>
      </c>
      <c r="E4461" t="s">
        <v>18</v>
      </c>
      <c r="F4461">
        <v>247</v>
      </c>
      <c r="G4461">
        <v>11</v>
      </c>
      <c r="H4461">
        <v>0.04</v>
      </c>
      <c r="I4461" t="s">
        <v>19</v>
      </c>
      <c r="J4461">
        <v>0</v>
      </c>
      <c r="K4461">
        <v>1</v>
      </c>
      <c r="L4461">
        <v>1</v>
      </c>
      <c r="M4461">
        <f>VLOOKUP(Table1[[#This Row],[subscription_type]],Plans!$A$1:$B$5,2,FALSE)</f>
        <v>14.99</v>
      </c>
      <c r="N4461">
        <f t="shared" si="69"/>
        <v>14.99</v>
      </c>
    </row>
    <row r="4462" spans="1:14" x14ac:dyDescent="0.35">
      <c r="A4462">
        <v>4461</v>
      </c>
      <c r="B4462" t="s">
        <v>16</v>
      </c>
      <c r="C4462">
        <v>34</v>
      </c>
      <c r="D4462" t="s">
        <v>17</v>
      </c>
      <c r="E4462" t="s">
        <v>24</v>
      </c>
      <c r="F4462">
        <v>153</v>
      </c>
      <c r="G4462">
        <v>82</v>
      </c>
      <c r="H4462">
        <v>0.47</v>
      </c>
      <c r="I4462" t="s">
        <v>15</v>
      </c>
      <c r="J4462">
        <v>0</v>
      </c>
      <c r="K4462">
        <v>1</v>
      </c>
      <c r="L4462">
        <v>0</v>
      </c>
      <c r="M4462">
        <f>VLOOKUP(Table1[[#This Row],[subscription_type]],Plans!$A$1:$B$5,2,FALSE)</f>
        <v>4.99</v>
      </c>
      <c r="N4462">
        <f t="shared" si="69"/>
        <v>0</v>
      </c>
    </row>
    <row r="4463" spans="1:14" x14ac:dyDescent="0.35">
      <c r="A4463">
        <v>4462</v>
      </c>
      <c r="B4463" t="s">
        <v>16</v>
      </c>
      <c r="C4463">
        <v>16</v>
      </c>
      <c r="D4463" t="s">
        <v>27</v>
      </c>
      <c r="E4463" t="s">
        <v>14</v>
      </c>
      <c r="F4463">
        <v>296</v>
      </c>
      <c r="G4463">
        <v>77</v>
      </c>
      <c r="H4463">
        <v>0.1</v>
      </c>
      <c r="I4463" t="s">
        <v>19</v>
      </c>
      <c r="J4463">
        <v>22</v>
      </c>
      <c r="K4463">
        <v>0</v>
      </c>
      <c r="L4463">
        <v>0</v>
      </c>
      <c r="M4463">
        <f>VLOOKUP(Table1[[#This Row],[subscription_type]],Plans!$A$1:$B$5,2,FALSE)</f>
        <v>0</v>
      </c>
      <c r="N4463">
        <f t="shared" si="69"/>
        <v>0</v>
      </c>
    </row>
    <row r="4464" spans="1:14" x14ac:dyDescent="0.35">
      <c r="A4464">
        <v>4463</v>
      </c>
      <c r="B4464" t="s">
        <v>12</v>
      </c>
      <c r="C4464">
        <v>31</v>
      </c>
      <c r="D4464" t="s">
        <v>26</v>
      </c>
      <c r="E4464" t="s">
        <v>24</v>
      </c>
      <c r="F4464">
        <v>129</v>
      </c>
      <c r="G4464">
        <v>97</v>
      </c>
      <c r="H4464">
        <v>0.21</v>
      </c>
      <c r="I4464" t="s">
        <v>15</v>
      </c>
      <c r="J4464">
        <v>0</v>
      </c>
      <c r="K4464">
        <v>1</v>
      </c>
      <c r="L4464">
        <v>0</v>
      </c>
      <c r="M4464">
        <f>VLOOKUP(Table1[[#This Row],[subscription_type]],Plans!$A$1:$B$5,2,FALSE)</f>
        <v>4.99</v>
      </c>
      <c r="N4464">
        <f t="shared" si="69"/>
        <v>0</v>
      </c>
    </row>
    <row r="4465" spans="1:14" x14ac:dyDescent="0.35">
      <c r="A4465">
        <v>4464</v>
      </c>
      <c r="B4465" t="s">
        <v>16</v>
      </c>
      <c r="C4465">
        <v>47</v>
      </c>
      <c r="D4465" t="s">
        <v>25</v>
      </c>
      <c r="E4465" t="s">
        <v>14</v>
      </c>
      <c r="F4465">
        <v>283</v>
      </c>
      <c r="G4465">
        <v>24</v>
      </c>
      <c r="H4465">
        <v>0.15</v>
      </c>
      <c r="I4465" t="s">
        <v>19</v>
      </c>
      <c r="J4465">
        <v>28</v>
      </c>
      <c r="K4465">
        <v>0</v>
      </c>
      <c r="L4465">
        <v>0</v>
      </c>
      <c r="M4465">
        <f>VLOOKUP(Table1[[#This Row],[subscription_type]],Plans!$A$1:$B$5,2,FALSE)</f>
        <v>0</v>
      </c>
      <c r="N4465">
        <f t="shared" si="69"/>
        <v>0</v>
      </c>
    </row>
    <row r="4466" spans="1:14" x14ac:dyDescent="0.35">
      <c r="A4466">
        <v>4465</v>
      </c>
      <c r="B4466" t="s">
        <v>16</v>
      </c>
      <c r="C4466">
        <v>30</v>
      </c>
      <c r="D4466" t="s">
        <v>21</v>
      </c>
      <c r="E4466" t="s">
        <v>18</v>
      </c>
      <c r="F4466">
        <v>79</v>
      </c>
      <c r="G4466">
        <v>67</v>
      </c>
      <c r="H4466">
        <v>0.22</v>
      </c>
      <c r="I4466" t="s">
        <v>15</v>
      </c>
      <c r="J4466">
        <v>0</v>
      </c>
      <c r="K4466">
        <v>1</v>
      </c>
      <c r="L4466">
        <v>1</v>
      </c>
      <c r="M4466">
        <f>VLOOKUP(Table1[[#This Row],[subscription_type]],Plans!$A$1:$B$5,2,FALSE)</f>
        <v>14.99</v>
      </c>
      <c r="N4466">
        <f t="shared" si="69"/>
        <v>14.99</v>
      </c>
    </row>
    <row r="4467" spans="1:14" x14ac:dyDescent="0.35">
      <c r="A4467">
        <v>4466</v>
      </c>
      <c r="B4467" t="s">
        <v>12</v>
      </c>
      <c r="C4467">
        <v>50</v>
      </c>
      <c r="D4467" t="s">
        <v>27</v>
      </c>
      <c r="E4467" t="s">
        <v>18</v>
      </c>
      <c r="F4467">
        <v>282</v>
      </c>
      <c r="G4467">
        <v>19</v>
      </c>
      <c r="H4467">
        <v>0.38</v>
      </c>
      <c r="I4467" t="s">
        <v>15</v>
      </c>
      <c r="J4467">
        <v>0</v>
      </c>
      <c r="K4467">
        <v>1</v>
      </c>
      <c r="L4467">
        <v>1</v>
      </c>
      <c r="M4467">
        <f>VLOOKUP(Table1[[#This Row],[subscription_type]],Plans!$A$1:$B$5,2,FALSE)</f>
        <v>14.99</v>
      </c>
      <c r="N4467">
        <f t="shared" si="69"/>
        <v>14.99</v>
      </c>
    </row>
    <row r="4468" spans="1:14" x14ac:dyDescent="0.35">
      <c r="A4468">
        <v>4467</v>
      </c>
      <c r="B4468" t="s">
        <v>12</v>
      </c>
      <c r="C4468">
        <v>30</v>
      </c>
      <c r="D4468" t="s">
        <v>27</v>
      </c>
      <c r="E4468" t="s">
        <v>14</v>
      </c>
      <c r="F4468">
        <v>159</v>
      </c>
      <c r="G4468">
        <v>57</v>
      </c>
      <c r="H4468">
        <v>0.46</v>
      </c>
      <c r="I4468" t="s">
        <v>15</v>
      </c>
      <c r="J4468">
        <v>15</v>
      </c>
      <c r="K4468">
        <v>0</v>
      </c>
      <c r="L4468">
        <v>0</v>
      </c>
      <c r="M4468">
        <f>VLOOKUP(Table1[[#This Row],[subscription_type]],Plans!$A$1:$B$5,2,FALSE)</f>
        <v>0</v>
      </c>
      <c r="N4468">
        <f t="shared" si="69"/>
        <v>0</v>
      </c>
    </row>
    <row r="4469" spans="1:14" x14ac:dyDescent="0.35">
      <c r="A4469">
        <v>4468</v>
      </c>
      <c r="B4469" t="s">
        <v>20</v>
      </c>
      <c r="C4469">
        <v>20</v>
      </c>
      <c r="D4469" t="s">
        <v>21</v>
      </c>
      <c r="E4469" t="s">
        <v>24</v>
      </c>
      <c r="F4469">
        <v>147</v>
      </c>
      <c r="G4469">
        <v>41</v>
      </c>
      <c r="H4469">
        <v>0.19</v>
      </c>
      <c r="I4469" t="s">
        <v>23</v>
      </c>
      <c r="J4469">
        <v>0</v>
      </c>
      <c r="K4469">
        <v>1</v>
      </c>
      <c r="L4469">
        <v>0</v>
      </c>
      <c r="M4469">
        <f>VLOOKUP(Table1[[#This Row],[subscription_type]],Plans!$A$1:$B$5,2,FALSE)</f>
        <v>4.99</v>
      </c>
      <c r="N4469">
        <f t="shared" si="69"/>
        <v>0</v>
      </c>
    </row>
    <row r="4470" spans="1:14" x14ac:dyDescent="0.35">
      <c r="A4470">
        <v>4469</v>
      </c>
      <c r="B4470" t="s">
        <v>20</v>
      </c>
      <c r="C4470">
        <v>29</v>
      </c>
      <c r="D4470" t="s">
        <v>29</v>
      </c>
      <c r="E4470" t="s">
        <v>14</v>
      </c>
      <c r="F4470">
        <v>92</v>
      </c>
      <c r="G4470">
        <v>96</v>
      </c>
      <c r="H4470">
        <v>0.08</v>
      </c>
      <c r="I4470" t="s">
        <v>19</v>
      </c>
      <c r="J4470">
        <v>43</v>
      </c>
      <c r="K4470">
        <v>0</v>
      </c>
      <c r="L4470">
        <v>0</v>
      </c>
      <c r="M4470">
        <f>VLOOKUP(Table1[[#This Row],[subscription_type]],Plans!$A$1:$B$5,2,FALSE)</f>
        <v>0</v>
      </c>
      <c r="N4470">
        <f t="shared" si="69"/>
        <v>0</v>
      </c>
    </row>
    <row r="4471" spans="1:14" x14ac:dyDescent="0.35">
      <c r="A4471">
        <v>4470</v>
      </c>
      <c r="B4471" t="s">
        <v>20</v>
      </c>
      <c r="C4471">
        <v>26</v>
      </c>
      <c r="D4471" t="s">
        <v>28</v>
      </c>
      <c r="E4471" t="s">
        <v>14</v>
      </c>
      <c r="F4471">
        <v>86</v>
      </c>
      <c r="G4471">
        <v>65</v>
      </c>
      <c r="H4471">
        <v>0</v>
      </c>
      <c r="I4471" t="s">
        <v>15</v>
      </c>
      <c r="J4471">
        <v>32</v>
      </c>
      <c r="K4471">
        <v>0</v>
      </c>
      <c r="L4471">
        <v>0</v>
      </c>
      <c r="M4471">
        <f>VLOOKUP(Table1[[#This Row],[subscription_type]],Plans!$A$1:$B$5,2,FALSE)</f>
        <v>0</v>
      </c>
      <c r="N4471">
        <f t="shared" si="69"/>
        <v>0</v>
      </c>
    </row>
    <row r="4472" spans="1:14" x14ac:dyDescent="0.35">
      <c r="A4472">
        <v>4471</v>
      </c>
      <c r="B4472" t="s">
        <v>16</v>
      </c>
      <c r="C4472">
        <v>45</v>
      </c>
      <c r="D4472" t="s">
        <v>21</v>
      </c>
      <c r="E4472" t="s">
        <v>14</v>
      </c>
      <c r="F4472">
        <v>209</v>
      </c>
      <c r="G4472">
        <v>81</v>
      </c>
      <c r="H4472">
        <v>0.26</v>
      </c>
      <c r="I4472" t="s">
        <v>23</v>
      </c>
      <c r="J4472">
        <v>26</v>
      </c>
      <c r="K4472">
        <v>0</v>
      </c>
      <c r="L4472">
        <v>1</v>
      </c>
      <c r="M4472">
        <f>VLOOKUP(Table1[[#This Row],[subscription_type]],Plans!$A$1:$B$5,2,FALSE)</f>
        <v>0</v>
      </c>
      <c r="N4472">
        <f t="shared" si="69"/>
        <v>0</v>
      </c>
    </row>
    <row r="4473" spans="1:14" x14ac:dyDescent="0.35">
      <c r="A4473">
        <v>4472</v>
      </c>
      <c r="B4473" t="s">
        <v>20</v>
      </c>
      <c r="C4473">
        <v>21</v>
      </c>
      <c r="D4473" t="s">
        <v>21</v>
      </c>
      <c r="E4473" t="s">
        <v>22</v>
      </c>
      <c r="F4473">
        <v>157</v>
      </c>
      <c r="G4473">
        <v>64</v>
      </c>
      <c r="H4473">
        <v>0.4</v>
      </c>
      <c r="I4473" t="s">
        <v>23</v>
      </c>
      <c r="J4473">
        <v>0</v>
      </c>
      <c r="K4473">
        <v>1</v>
      </c>
      <c r="L4473">
        <v>1</v>
      </c>
      <c r="M4473">
        <f>VLOOKUP(Table1[[#This Row],[subscription_type]],Plans!$A$1:$B$5,2,FALSE)</f>
        <v>9.99</v>
      </c>
      <c r="N4473">
        <f t="shared" si="69"/>
        <v>9.99</v>
      </c>
    </row>
    <row r="4474" spans="1:14" x14ac:dyDescent="0.35">
      <c r="A4474">
        <v>4473</v>
      </c>
      <c r="B4474" t="s">
        <v>16</v>
      </c>
      <c r="C4474">
        <v>17</v>
      </c>
      <c r="D4474" t="s">
        <v>25</v>
      </c>
      <c r="E4474" t="s">
        <v>24</v>
      </c>
      <c r="F4474">
        <v>224</v>
      </c>
      <c r="G4474">
        <v>5</v>
      </c>
      <c r="H4474">
        <v>0.25</v>
      </c>
      <c r="I4474" t="s">
        <v>19</v>
      </c>
      <c r="J4474">
        <v>0</v>
      </c>
      <c r="K4474">
        <v>1</v>
      </c>
      <c r="L4474">
        <v>0</v>
      </c>
      <c r="M4474">
        <f>VLOOKUP(Table1[[#This Row],[subscription_type]],Plans!$A$1:$B$5,2,FALSE)</f>
        <v>4.99</v>
      </c>
      <c r="N4474">
        <f t="shared" si="69"/>
        <v>0</v>
      </c>
    </row>
    <row r="4475" spans="1:14" x14ac:dyDescent="0.35">
      <c r="A4475">
        <v>4474</v>
      </c>
      <c r="B4475" t="s">
        <v>20</v>
      </c>
      <c r="C4475">
        <v>34</v>
      </c>
      <c r="D4475" t="s">
        <v>13</v>
      </c>
      <c r="E4475" t="s">
        <v>24</v>
      </c>
      <c r="F4475">
        <v>278</v>
      </c>
      <c r="G4475">
        <v>28</v>
      </c>
      <c r="H4475">
        <v>0.25</v>
      </c>
      <c r="I4475" t="s">
        <v>15</v>
      </c>
      <c r="J4475">
        <v>0</v>
      </c>
      <c r="K4475">
        <v>1</v>
      </c>
      <c r="L4475">
        <v>0</v>
      </c>
      <c r="M4475">
        <f>VLOOKUP(Table1[[#This Row],[subscription_type]],Plans!$A$1:$B$5,2,FALSE)</f>
        <v>4.99</v>
      </c>
      <c r="N4475">
        <f t="shared" si="69"/>
        <v>0</v>
      </c>
    </row>
    <row r="4476" spans="1:14" x14ac:dyDescent="0.35">
      <c r="A4476">
        <v>4475</v>
      </c>
      <c r="B4476" t="s">
        <v>16</v>
      </c>
      <c r="C4476">
        <v>41</v>
      </c>
      <c r="D4476" t="s">
        <v>26</v>
      </c>
      <c r="E4476" t="s">
        <v>24</v>
      </c>
      <c r="F4476">
        <v>183</v>
      </c>
      <c r="G4476">
        <v>66</v>
      </c>
      <c r="H4476">
        <v>0.4</v>
      </c>
      <c r="I4476" t="s">
        <v>19</v>
      </c>
      <c r="J4476">
        <v>0</v>
      </c>
      <c r="K4476">
        <v>1</v>
      </c>
      <c r="L4476">
        <v>0</v>
      </c>
      <c r="M4476">
        <f>VLOOKUP(Table1[[#This Row],[subscription_type]],Plans!$A$1:$B$5,2,FALSE)</f>
        <v>4.99</v>
      </c>
      <c r="N4476">
        <f t="shared" si="69"/>
        <v>0</v>
      </c>
    </row>
    <row r="4477" spans="1:14" x14ac:dyDescent="0.35">
      <c r="A4477">
        <v>4476</v>
      </c>
      <c r="B4477" t="s">
        <v>16</v>
      </c>
      <c r="C4477">
        <v>47</v>
      </c>
      <c r="D4477" t="s">
        <v>28</v>
      </c>
      <c r="E4477" t="s">
        <v>14</v>
      </c>
      <c r="F4477">
        <v>135</v>
      </c>
      <c r="G4477">
        <v>28</v>
      </c>
      <c r="H4477">
        <v>0.32</v>
      </c>
      <c r="I4477" t="s">
        <v>15</v>
      </c>
      <c r="J4477">
        <v>34</v>
      </c>
      <c r="K4477">
        <v>0</v>
      </c>
      <c r="L4477">
        <v>0</v>
      </c>
      <c r="M4477">
        <f>VLOOKUP(Table1[[#This Row],[subscription_type]],Plans!$A$1:$B$5,2,FALSE)</f>
        <v>0</v>
      </c>
      <c r="N4477">
        <f t="shared" si="69"/>
        <v>0</v>
      </c>
    </row>
    <row r="4478" spans="1:14" x14ac:dyDescent="0.35">
      <c r="A4478">
        <v>4477</v>
      </c>
      <c r="B4478" t="s">
        <v>16</v>
      </c>
      <c r="C4478">
        <v>21</v>
      </c>
      <c r="D4478" t="s">
        <v>25</v>
      </c>
      <c r="E4478" t="s">
        <v>24</v>
      </c>
      <c r="F4478">
        <v>36</v>
      </c>
      <c r="G4478">
        <v>1</v>
      </c>
      <c r="H4478">
        <v>0.02</v>
      </c>
      <c r="I4478" t="s">
        <v>23</v>
      </c>
      <c r="J4478">
        <v>0</v>
      </c>
      <c r="K4478">
        <v>1</v>
      </c>
      <c r="L4478">
        <v>0</v>
      </c>
      <c r="M4478">
        <f>VLOOKUP(Table1[[#This Row],[subscription_type]],Plans!$A$1:$B$5,2,FALSE)</f>
        <v>4.99</v>
      </c>
      <c r="N4478">
        <f t="shared" si="69"/>
        <v>0</v>
      </c>
    </row>
    <row r="4479" spans="1:14" x14ac:dyDescent="0.35">
      <c r="A4479">
        <v>4478</v>
      </c>
      <c r="B4479" t="s">
        <v>12</v>
      </c>
      <c r="C4479">
        <v>44</v>
      </c>
      <c r="D4479" t="s">
        <v>13</v>
      </c>
      <c r="E4479" t="s">
        <v>14</v>
      </c>
      <c r="F4479">
        <v>209</v>
      </c>
      <c r="G4479">
        <v>34</v>
      </c>
      <c r="H4479">
        <v>0.44</v>
      </c>
      <c r="I4479" t="s">
        <v>23</v>
      </c>
      <c r="J4479">
        <v>19</v>
      </c>
      <c r="K4479">
        <v>0</v>
      </c>
      <c r="L4479">
        <v>0</v>
      </c>
      <c r="M4479">
        <f>VLOOKUP(Table1[[#This Row],[subscription_type]],Plans!$A$1:$B$5,2,FALSE)</f>
        <v>0</v>
      </c>
      <c r="N4479">
        <f t="shared" si="69"/>
        <v>0</v>
      </c>
    </row>
    <row r="4480" spans="1:14" x14ac:dyDescent="0.35">
      <c r="A4480">
        <v>4479</v>
      </c>
      <c r="B4480" t="s">
        <v>16</v>
      </c>
      <c r="C4480">
        <v>32</v>
      </c>
      <c r="D4480" t="s">
        <v>17</v>
      </c>
      <c r="E4480" t="s">
        <v>18</v>
      </c>
      <c r="F4480">
        <v>159</v>
      </c>
      <c r="G4480">
        <v>88</v>
      </c>
      <c r="H4480">
        <v>0.31</v>
      </c>
      <c r="I4480" t="s">
        <v>23</v>
      </c>
      <c r="J4480">
        <v>0</v>
      </c>
      <c r="K4480">
        <v>1</v>
      </c>
      <c r="L4480">
        <v>0</v>
      </c>
      <c r="M4480">
        <f>VLOOKUP(Table1[[#This Row],[subscription_type]],Plans!$A$1:$B$5,2,FALSE)</f>
        <v>14.99</v>
      </c>
      <c r="N4480">
        <f t="shared" si="69"/>
        <v>0</v>
      </c>
    </row>
    <row r="4481" spans="1:14" x14ac:dyDescent="0.35">
      <c r="A4481">
        <v>4480</v>
      </c>
      <c r="B4481" t="s">
        <v>20</v>
      </c>
      <c r="C4481">
        <v>30</v>
      </c>
      <c r="D4481" t="s">
        <v>27</v>
      </c>
      <c r="E4481" t="s">
        <v>14</v>
      </c>
      <c r="F4481">
        <v>204</v>
      </c>
      <c r="G4481">
        <v>97</v>
      </c>
      <c r="H4481">
        <v>0.31</v>
      </c>
      <c r="I4481" t="s">
        <v>19</v>
      </c>
      <c r="J4481">
        <v>9</v>
      </c>
      <c r="K4481">
        <v>0</v>
      </c>
      <c r="L4481">
        <v>0</v>
      </c>
      <c r="M4481">
        <f>VLOOKUP(Table1[[#This Row],[subscription_type]],Plans!$A$1:$B$5,2,FALSE)</f>
        <v>0</v>
      </c>
      <c r="N4481">
        <f t="shared" si="69"/>
        <v>0</v>
      </c>
    </row>
    <row r="4482" spans="1:14" x14ac:dyDescent="0.35">
      <c r="A4482">
        <v>4481</v>
      </c>
      <c r="B4482" t="s">
        <v>20</v>
      </c>
      <c r="C4482">
        <v>19</v>
      </c>
      <c r="D4482" t="s">
        <v>17</v>
      </c>
      <c r="E4482" t="s">
        <v>24</v>
      </c>
      <c r="F4482">
        <v>235</v>
      </c>
      <c r="G4482">
        <v>86</v>
      </c>
      <c r="H4482">
        <v>0.36</v>
      </c>
      <c r="I4482" t="s">
        <v>15</v>
      </c>
      <c r="J4482">
        <v>0</v>
      </c>
      <c r="K4482">
        <v>1</v>
      </c>
      <c r="L4482">
        <v>0</v>
      </c>
      <c r="M4482">
        <f>VLOOKUP(Table1[[#This Row],[subscription_type]],Plans!$A$1:$B$5,2,FALSE)</f>
        <v>4.99</v>
      </c>
      <c r="N4482">
        <f t="shared" ref="N4482:N4545" si="70">IF(L4482=1, M4482,0)</f>
        <v>0</v>
      </c>
    </row>
    <row r="4483" spans="1:14" x14ac:dyDescent="0.35">
      <c r="A4483">
        <v>4482</v>
      </c>
      <c r="B4483" t="s">
        <v>12</v>
      </c>
      <c r="C4483">
        <v>33</v>
      </c>
      <c r="D4483" t="s">
        <v>26</v>
      </c>
      <c r="E4483" t="s">
        <v>22</v>
      </c>
      <c r="F4483">
        <v>115</v>
      </c>
      <c r="G4483">
        <v>30</v>
      </c>
      <c r="H4483">
        <v>0.57999999999999996</v>
      </c>
      <c r="I4483" t="s">
        <v>15</v>
      </c>
      <c r="J4483">
        <v>0</v>
      </c>
      <c r="K4483">
        <v>1</v>
      </c>
      <c r="L4483">
        <v>1</v>
      </c>
      <c r="M4483">
        <f>VLOOKUP(Table1[[#This Row],[subscription_type]],Plans!$A$1:$B$5,2,FALSE)</f>
        <v>9.99</v>
      </c>
      <c r="N4483">
        <f t="shared" si="70"/>
        <v>9.99</v>
      </c>
    </row>
    <row r="4484" spans="1:14" x14ac:dyDescent="0.35">
      <c r="A4484">
        <v>4483</v>
      </c>
      <c r="B4484" t="s">
        <v>16</v>
      </c>
      <c r="C4484">
        <v>43</v>
      </c>
      <c r="D4484" t="s">
        <v>13</v>
      </c>
      <c r="E4484" t="s">
        <v>14</v>
      </c>
      <c r="F4484">
        <v>201</v>
      </c>
      <c r="G4484">
        <v>37</v>
      </c>
      <c r="H4484">
        <v>0.19</v>
      </c>
      <c r="I4484" t="s">
        <v>19</v>
      </c>
      <c r="J4484">
        <v>49</v>
      </c>
      <c r="K4484">
        <v>0</v>
      </c>
      <c r="L4484">
        <v>0</v>
      </c>
      <c r="M4484">
        <f>VLOOKUP(Table1[[#This Row],[subscription_type]],Plans!$A$1:$B$5,2,FALSE)</f>
        <v>0</v>
      </c>
      <c r="N4484">
        <f t="shared" si="70"/>
        <v>0</v>
      </c>
    </row>
    <row r="4485" spans="1:14" x14ac:dyDescent="0.35">
      <c r="A4485">
        <v>4484</v>
      </c>
      <c r="B4485" t="s">
        <v>20</v>
      </c>
      <c r="C4485">
        <v>52</v>
      </c>
      <c r="D4485" t="s">
        <v>26</v>
      </c>
      <c r="E4485" t="s">
        <v>22</v>
      </c>
      <c r="F4485">
        <v>46</v>
      </c>
      <c r="G4485">
        <v>75</v>
      </c>
      <c r="H4485">
        <v>7.0000000000000007E-2</v>
      </c>
      <c r="I4485" t="s">
        <v>19</v>
      </c>
      <c r="J4485">
        <v>0</v>
      </c>
      <c r="K4485">
        <v>1</v>
      </c>
      <c r="L4485">
        <v>0</v>
      </c>
      <c r="M4485">
        <f>VLOOKUP(Table1[[#This Row],[subscription_type]],Plans!$A$1:$B$5,2,FALSE)</f>
        <v>9.99</v>
      </c>
      <c r="N4485">
        <f t="shared" si="70"/>
        <v>0</v>
      </c>
    </row>
    <row r="4486" spans="1:14" x14ac:dyDescent="0.35">
      <c r="A4486">
        <v>4485</v>
      </c>
      <c r="B4486" t="s">
        <v>20</v>
      </c>
      <c r="C4486">
        <v>21</v>
      </c>
      <c r="D4486" t="s">
        <v>28</v>
      </c>
      <c r="E4486" t="s">
        <v>18</v>
      </c>
      <c r="F4486">
        <v>83</v>
      </c>
      <c r="G4486">
        <v>67</v>
      </c>
      <c r="H4486">
        <v>0.39</v>
      </c>
      <c r="I4486" t="s">
        <v>19</v>
      </c>
      <c r="J4486">
        <v>0</v>
      </c>
      <c r="K4486">
        <v>1</v>
      </c>
      <c r="L4486">
        <v>1</v>
      </c>
      <c r="M4486">
        <f>VLOOKUP(Table1[[#This Row],[subscription_type]],Plans!$A$1:$B$5,2,FALSE)</f>
        <v>14.99</v>
      </c>
      <c r="N4486">
        <f t="shared" si="70"/>
        <v>14.99</v>
      </c>
    </row>
    <row r="4487" spans="1:14" x14ac:dyDescent="0.35">
      <c r="A4487">
        <v>4486</v>
      </c>
      <c r="B4487" t="s">
        <v>20</v>
      </c>
      <c r="C4487">
        <v>55</v>
      </c>
      <c r="D4487" t="s">
        <v>21</v>
      </c>
      <c r="E4487" t="s">
        <v>24</v>
      </c>
      <c r="F4487">
        <v>98</v>
      </c>
      <c r="G4487">
        <v>70</v>
      </c>
      <c r="H4487">
        <v>7.0000000000000007E-2</v>
      </c>
      <c r="I4487" t="s">
        <v>15</v>
      </c>
      <c r="J4487">
        <v>0</v>
      </c>
      <c r="K4487">
        <v>1</v>
      </c>
      <c r="L4487">
        <v>0</v>
      </c>
      <c r="M4487">
        <f>VLOOKUP(Table1[[#This Row],[subscription_type]],Plans!$A$1:$B$5,2,FALSE)</f>
        <v>4.99</v>
      </c>
      <c r="N4487">
        <f t="shared" si="70"/>
        <v>0</v>
      </c>
    </row>
    <row r="4488" spans="1:14" x14ac:dyDescent="0.35">
      <c r="A4488">
        <v>4487</v>
      </c>
      <c r="B4488" t="s">
        <v>20</v>
      </c>
      <c r="C4488">
        <v>59</v>
      </c>
      <c r="D4488" t="s">
        <v>17</v>
      </c>
      <c r="E4488" t="s">
        <v>22</v>
      </c>
      <c r="F4488">
        <v>251</v>
      </c>
      <c r="G4488">
        <v>21</v>
      </c>
      <c r="H4488">
        <v>0.02</v>
      </c>
      <c r="I4488" t="s">
        <v>19</v>
      </c>
      <c r="J4488">
        <v>0</v>
      </c>
      <c r="K4488">
        <v>1</v>
      </c>
      <c r="L4488">
        <v>0</v>
      </c>
      <c r="M4488">
        <f>VLOOKUP(Table1[[#This Row],[subscription_type]],Plans!$A$1:$B$5,2,FALSE)</f>
        <v>9.99</v>
      </c>
      <c r="N4488">
        <f t="shared" si="70"/>
        <v>0</v>
      </c>
    </row>
    <row r="4489" spans="1:14" x14ac:dyDescent="0.35">
      <c r="A4489">
        <v>4488</v>
      </c>
      <c r="B4489" t="s">
        <v>20</v>
      </c>
      <c r="C4489">
        <v>19</v>
      </c>
      <c r="D4489" t="s">
        <v>13</v>
      </c>
      <c r="E4489" t="s">
        <v>22</v>
      </c>
      <c r="F4489">
        <v>241</v>
      </c>
      <c r="G4489">
        <v>20</v>
      </c>
      <c r="H4489">
        <v>0.03</v>
      </c>
      <c r="I4489" t="s">
        <v>23</v>
      </c>
      <c r="J4489">
        <v>0</v>
      </c>
      <c r="K4489">
        <v>1</v>
      </c>
      <c r="L4489">
        <v>0</v>
      </c>
      <c r="M4489">
        <f>VLOOKUP(Table1[[#This Row],[subscription_type]],Plans!$A$1:$B$5,2,FALSE)</f>
        <v>9.99</v>
      </c>
      <c r="N4489">
        <f t="shared" si="70"/>
        <v>0</v>
      </c>
    </row>
    <row r="4490" spans="1:14" x14ac:dyDescent="0.35">
      <c r="A4490">
        <v>4489</v>
      </c>
      <c r="B4490" t="s">
        <v>12</v>
      </c>
      <c r="C4490">
        <v>36</v>
      </c>
      <c r="D4490" t="s">
        <v>26</v>
      </c>
      <c r="E4490" t="s">
        <v>14</v>
      </c>
      <c r="F4490">
        <v>276</v>
      </c>
      <c r="G4490">
        <v>29</v>
      </c>
      <c r="H4490">
        <v>0.56000000000000005</v>
      </c>
      <c r="I4490" t="s">
        <v>19</v>
      </c>
      <c r="J4490">
        <v>47</v>
      </c>
      <c r="K4490">
        <v>0</v>
      </c>
      <c r="L4490">
        <v>0</v>
      </c>
      <c r="M4490">
        <f>VLOOKUP(Table1[[#This Row],[subscription_type]],Plans!$A$1:$B$5,2,FALSE)</f>
        <v>0</v>
      </c>
      <c r="N4490">
        <f t="shared" si="70"/>
        <v>0</v>
      </c>
    </row>
    <row r="4491" spans="1:14" x14ac:dyDescent="0.35">
      <c r="A4491">
        <v>4490</v>
      </c>
      <c r="B4491" t="s">
        <v>12</v>
      </c>
      <c r="C4491">
        <v>33</v>
      </c>
      <c r="D4491" t="s">
        <v>27</v>
      </c>
      <c r="E4491" t="s">
        <v>22</v>
      </c>
      <c r="F4491">
        <v>41</v>
      </c>
      <c r="G4491">
        <v>90</v>
      </c>
      <c r="H4491">
        <v>0.56000000000000005</v>
      </c>
      <c r="I4491" t="s">
        <v>15</v>
      </c>
      <c r="J4491">
        <v>0</v>
      </c>
      <c r="K4491">
        <v>1</v>
      </c>
      <c r="L4491">
        <v>0</v>
      </c>
      <c r="M4491">
        <f>VLOOKUP(Table1[[#This Row],[subscription_type]],Plans!$A$1:$B$5,2,FALSE)</f>
        <v>9.99</v>
      </c>
      <c r="N4491">
        <f t="shared" si="70"/>
        <v>0</v>
      </c>
    </row>
    <row r="4492" spans="1:14" x14ac:dyDescent="0.35">
      <c r="A4492">
        <v>4491</v>
      </c>
      <c r="B4492" t="s">
        <v>16</v>
      </c>
      <c r="C4492">
        <v>57</v>
      </c>
      <c r="D4492" t="s">
        <v>17</v>
      </c>
      <c r="E4492" t="s">
        <v>24</v>
      </c>
      <c r="F4492">
        <v>57</v>
      </c>
      <c r="G4492">
        <v>42</v>
      </c>
      <c r="H4492">
        <v>0.37</v>
      </c>
      <c r="I4492" t="s">
        <v>15</v>
      </c>
      <c r="J4492">
        <v>0</v>
      </c>
      <c r="K4492">
        <v>1</v>
      </c>
      <c r="L4492">
        <v>1</v>
      </c>
      <c r="M4492">
        <f>VLOOKUP(Table1[[#This Row],[subscription_type]],Plans!$A$1:$B$5,2,FALSE)</f>
        <v>4.99</v>
      </c>
      <c r="N4492">
        <f t="shared" si="70"/>
        <v>4.99</v>
      </c>
    </row>
    <row r="4493" spans="1:14" x14ac:dyDescent="0.35">
      <c r="A4493">
        <v>4492</v>
      </c>
      <c r="B4493" t="s">
        <v>20</v>
      </c>
      <c r="C4493">
        <v>51</v>
      </c>
      <c r="D4493" t="s">
        <v>17</v>
      </c>
      <c r="E4493" t="s">
        <v>18</v>
      </c>
      <c r="F4493">
        <v>296</v>
      </c>
      <c r="G4493">
        <v>31</v>
      </c>
      <c r="H4493">
        <v>0.49</v>
      </c>
      <c r="I4493" t="s">
        <v>23</v>
      </c>
      <c r="J4493">
        <v>0</v>
      </c>
      <c r="K4493">
        <v>1</v>
      </c>
      <c r="L4493">
        <v>0</v>
      </c>
      <c r="M4493">
        <f>VLOOKUP(Table1[[#This Row],[subscription_type]],Plans!$A$1:$B$5,2,FALSE)</f>
        <v>14.99</v>
      </c>
      <c r="N4493">
        <f t="shared" si="70"/>
        <v>0</v>
      </c>
    </row>
    <row r="4494" spans="1:14" x14ac:dyDescent="0.35">
      <c r="A4494">
        <v>4493</v>
      </c>
      <c r="B4494" t="s">
        <v>20</v>
      </c>
      <c r="C4494">
        <v>51</v>
      </c>
      <c r="D4494" t="s">
        <v>29</v>
      </c>
      <c r="E4494" t="s">
        <v>24</v>
      </c>
      <c r="F4494">
        <v>223</v>
      </c>
      <c r="G4494">
        <v>55</v>
      </c>
      <c r="H4494">
        <v>0.42</v>
      </c>
      <c r="I4494" t="s">
        <v>15</v>
      </c>
      <c r="J4494">
        <v>0</v>
      </c>
      <c r="K4494">
        <v>1</v>
      </c>
      <c r="L4494">
        <v>0</v>
      </c>
      <c r="M4494">
        <f>VLOOKUP(Table1[[#This Row],[subscription_type]],Plans!$A$1:$B$5,2,FALSE)</f>
        <v>4.99</v>
      </c>
      <c r="N4494">
        <f t="shared" si="70"/>
        <v>0</v>
      </c>
    </row>
    <row r="4495" spans="1:14" x14ac:dyDescent="0.35">
      <c r="A4495">
        <v>4494</v>
      </c>
      <c r="B4495" t="s">
        <v>20</v>
      </c>
      <c r="C4495">
        <v>55</v>
      </c>
      <c r="D4495" t="s">
        <v>27</v>
      </c>
      <c r="E4495" t="s">
        <v>22</v>
      </c>
      <c r="F4495">
        <v>273</v>
      </c>
      <c r="G4495">
        <v>66</v>
      </c>
      <c r="H4495">
        <v>0.05</v>
      </c>
      <c r="I4495" t="s">
        <v>23</v>
      </c>
      <c r="J4495">
        <v>0</v>
      </c>
      <c r="K4495">
        <v>1</v>
      </c>
      <c r="L4495">
        <v>1</v>
      </c>
      <c r="M4495">
        <f>VLOOKUP(Table1[[#This Row],[subscription_type]],Plans!$A$1:$B$5,2,FALSE)</f>
        <v>9.99</v>
      </c>
      <c r="N4495">
        <f t="shared" si="70"/>
        <v>9.99</v>
      </c>
    </row>
    <row r="4496" spans="1:14" x14ac:dyDescent="0.35">
      <c r="A4496">
        <v>4495</v>
      </c>
      <c r="B4496" t="s">
        <v>20</v>
      </c>
      <c r="C4496">
        <v>30</v>
      </c>
      <c r="D4496" t="s">
        <v>21</v>
      </c>
      <c r="E4496" t="s">
        <v>14</v>
      </c>
      <c r="F4496">
        <v>150</v>
      </c>
      <c r="G4496">
        <v>9</v>
      </c>
      <c r="H4496">
        <v>0.05</v>
      </c>
      <c r="I4496" t="s">
        <v>19</v>
      </c>
      <c r="J4496">
        <v>40</v>
      </c>
      <c r="K4496">
        <v>0</v>
      </c>
      <c r="L4496">
        <v>0</v>
      </c>
      <c r="M4496">
        <f>VLOOKUP(Table1[[#This Row],[subscription_type]],Plans!$A$1:$B$5,2,FALSE)</f>
        <v>0</v>
      </c>
      <c r="N4496">
        <f t="shared" si="70"/>
        <v>0</v>
      </c>
    </row>
    <row r="4497" spans="1:14" x14ac:dyDescent="0.35">
      <c r="A4497">
        <v>4496</v>
      </c>
      <c r="B4497" t="s">
        <v>20</v>
      </c>
      <c r="C4497">
        <v>41</v>
      </c>
      <c r="D4497" t="s">
        <v>29</v>
      </c>
      <c r="E4497" t="s">
        <v>14</v>
      </c>
      <c r="F4497">
        <v>20</v>
      </c>
      <c r="G4497">
        <v>84</v>
      </c>
      <c r="H4497">
        <v>0.52</v>
      </c>
      <c r="I4497" t="s">
        <v>23</v>
      </c>
      <c r="J4497">
        <v>17</v>
      </c>
      <c r="K4497">
        <v>0</v>
      </c>
      <c r="L4497">
        <v>1</v>
      </c>
      <c r="M4497">
        <f>VLOOKUP(Table1[[#This Row],[subscription_type]],Plans!$A$1:$B$5,2,FALSE)</f>
        <v>0</v>
      </c>
      <c r="N4497">
        <f t="shared" si="70"/>
        <v>0</v>
      </c>
    </row>
    <row r="4498" spans="1:14" x14ac:dyDescent="0.35">
      <c r="A4498">
        <v>4497</v>
      </c>
      <c r="B4498" t="s">
        <v>20</v>
      </c>
      <c r="C4498">
        <v>54</v>
      </c>
      <c r="D4498" t="s">
        <v>27</v>
      </c>
      <c r="E4498" t="s">
        <v>24</v>
      </c>
      <c r="F4498">
        <v>51</v>
      </c>
      <c r="G4498">
        <v>60</v>
      </c>
      <c r="H4498">
        <v>0.18</v>
      </c>
      <c r="I4498" t="s">
        <v>23</v>
      </c>
      <c r="J4498">
        <v>0</v>
      </c>
      <c r="K4498">
        <v>1</v>
      </c>
      <c r="L4498">
        <v>0</v>
      </c>
      <c r="M4498">
        <f>VLOOKUP(Table1[[#This Row],[subscription_type]],Plans!$A$1:$B$5,2,FALSE)</f>
        <v>4.99</v>
      </c>
      <c r="N4498">
        <f t="shared" si="70"/>
        <v>0</v>
      </c>
    </row>
    <row r="4499" spans="1:14" x14ac:dyDescent="0.35">
      <c r="A4499">
        <v>4498</v>
      </c>
      <c r="B4499" t="s">
        <v>12</v>
      </c>
      <c r="C4499">
        <v>49</v>
      </c>
      <c r="D4499" t="s">
        <v>27</v>
      </c>
      <c r="E4499" t="s">
        <v>22</v>
      </c>
      <c r="F4499">
        <v>25</v>
      </c>
      <c r="G4499">
        <v>6</v>
      </c>
      <c r="H4499">
        <v>0.34</v>
      </c>
      <c r="I4499" t="s">
        <v>19</v>
      </c>
      <c r="J4499">
        <v>0</v>
      </c>
      <c r="K4499">
        <v>1</v>
      </c>
      <c r="L4499">
        <v>0</v>
      </c>
      <c r="M4499">
        <f>VLOOKUP(Table1[[#This Row],[subscription_type]],Plans!$A$1:$B$5,2,FALSE)</f>
        <v>9.99</v>
      </c>
      <c r="N4499">
        <f t="shared" si="70"/>
        <v>0</v>
      </c>
    </row>
    <row r="4500" spans="1:14" x14ac:dyDescent="0.35">
      <c r="A4500">
        <v>4499</v>
      </c>
      <c r="B4500" t="s">
        <v>20</v>
      </c>
      <c r="C4500">
        <v>27</v>
      </c>
      <c r="D4500" t="s">
        <v>17</v>
      </c>
      <c r="E4500" t="s">
        <v>14</v>
      </c>
      <c r="F4500">
        <v>297</v>
      </c>
      <c r="G4500">
        <v>18</v>
      </c>
      <c r="H4500">
        <v>0.15</v>
      </c>
      <c r="I4500" t="s">
        <v>15</v>
      </c>
      <c r="J4500">
        <v>41</v>
      </c>
      <c r="K4500">
        <v>0</v>
      </c>
      <c r="L4500">
        <v>0</v>
      </c>
      <c r="M4500">
        <f>VLOOKUP(Table1[[#This Row],[subscription_type]],Plans!$A$1:$B$5,2,FALSE)</f>
        <v>0</v>
      </c>
      <c r="N4500">
        <f t="shared" si="70"/>
        <v>0</v>
      </c>
    </row>
    <row r="4501" spans="1:14" x14ac:dyDescent="0.35">
      <c r="A4501">
        <v>4500</v>
      </c>
      <c r="B4501" t="s">
        <v>12</v>
      </c>
      <c r="C4501">
        <v>55</v>
      </c>
      <c r="D4501" t="s">
        <v>17</v>
      </c>
      <c r="E4501" t="s">
        <v>24</v>
      </c>
      <c r="F4501">
        <v>235</v>
      </c>
      <c r="G4501">
        <v>72</v>
      </c>
      <c r="H4501">
        <v>0.55000000000000004</v>
      </c>
      <c r="I4501" t="s">
        <v>23</v>
      </c>
      <c r="J4501">
        <v>0</v>
      </c>
      <c r="K4501">
        <v>1</v>
      </c>
      <c r="L4501">
        <v>0</v>
      </c>
      <c r="M4501">
        <f>VLOOKUP(Table1[[#This Row],[subscription_type]],Plans!$A$1:$B$5,2,FALSE)</f>
        <v>4.99</v>
      </c>
      <c r="N4501">
        <f t="shared" si="70"/>
        <v>0</v>
      </c>
    </row>
    <row r="4502" spans="1:14" x14ac:dyDescent="0.35">
      <c r="A4502">
        <v>4501</v>
      </c>
      <c r="B4502" t="s">
        <v>20</v>
      </c>
      <c r="C4502">
        <v>56</v>
      </c>
      <c r="D4502" t="s">
        <v>21</v>
      </c>
      <c r="E4502" t="s">
        <v>18</v>
      </c>
      <c r="F4502">
        <v>117</v>
      </c>
      <c r="G4502">
        <v>9</v>
      </c>
      <c r="H4502">
        <v>0.56000000000000005</v>
      </c>
      <c r="I4502" t="s">
        <v>19</v>
      </c>
      <c r="J4502">
        <v>0</v>
      </c>
      <c r="K4502">
        <v>1</v>
      </c>
      <c r="L4502">
        <v>0</v>
      </c>
      <c r="M4502">
        <f>VLOOKUP(Table1[[#This Row],[subscription_type]],Plans!$A$1:$B$5,2,FALSE)</f>
        <v>14.99</v>
      </c>
      <c r="N4502">
        <f t="shared" si="70"/>
        <v>0</v>
      </c>
    </row>
    <row r="4503" spans="1:14" x14ac:dyDescent="0.35">
      <c r="A4503">
        <v>4502</v>
      </c>
      <c r="B4503" t="s">
        <v>12</v>
      </c>
      <c r="C4503">
        <v>45</v>
      </c>
      <c r="D4503" t="s">
        <v>25</v>
      </c>
      <c r="E4503" t="s">
        <v>18</v>
      </c>
      <c r="F4503">
        <v>77</v>
      </c>
      <c r="G4503">
        <v>92</v>
      </c>
      <c r="H4503">
        <v>0.12</v>
      </c>
      <c r="I4503" t="s">
        <v>23</v>
      </c>
      <c r="J4503">
        <v>0</v>
      </c>
      <c r="K4503">
        <v>1</v>
      </c>
      <c r="L4503">
        <v>0</v>
      </c>
      <c r="M4503">
        <f>VLOOKUP(Table1[[#This Row],[subscription_type]],Plans!$A$1:$B$5,2,FALSE)</f>
        <v>14.99</v>
      </c>
      <c r="N4503">
        <f t="shared" si="70"/>
        <v>0</v>
      </c>
    </row>
    <row r="4504" spans="1:14" x14ac:dyDescent="0.35">
      <c r="A4504">
        <v>4503</v>
      </c>
      <c r="B4504" t="s">
        <v>12</v>
      </c>
      <c r="C4504">
        <v>46</v>
      </c>
      <c r="D4504" t="s">
        <v>29</v>
      </c>
      <c r="E4504" t="s">
        <v>14</v>
      </c>
      <c r="F4504">
        <v>296</v>
      </c>
      <c r="G4504">
        <v>52</v>
      </c>
      <c r="H4504">
        <v>0.33</v>
      </c>
      <c r="I4504" t="s">
        <v>23</v>
      </c>
      <c r="J4504">
        <v>31</v>
      </c>
      <c r="K4504">
        <v>0</v>
      </c>
      <c r="L4504">
        <v>0</v>
      </c>
      <c r="M4504">
        <f>VLOOKUP(Table1[[#This Row],[subscription_type]],Plans!$A$1:$B$5,2,FALSE)</f>
        <v>0</v>
      </c>
      <c r="N4504">
        <f t="shared" si="70"/>
        <v>0</v>
      </c>
    </row>
    <row r="4505" spans="1:14" x14ac:dyDescent="0.35">
      <c r="A4505">
        <v>4504</v>
      </c>
      <c r="B4505" t="s">
        <v>16</v>
      </c>
      <c r="C4505">
        <v>31</v>
      </c>
      <c r="D4505" t="s">
        <v>27</v>
      </c>
      <c r="E4505" t="s">
        <v>22</v>
      </c>
      <c r="F4505">
        <v>65</v>
      </c>
      <c r="G4505">
        <v>51</v>
      </c>
      <c r="H4505">
        <v>0.19</v>
      </c>
      <c r="I4505" t="s">
        <v>19</v>
      </c>
      <c r="J4505">
        <v>0</v>
      </c>
      <c r="K4505">
        <v>1</v>
      </c>
      <c r="L4505">
        <v>0</v>
      </c>
      <c r="M4505">
        <f>VLOOKUP(Table1[[#This Row],[subscription_type]],Plans!$A$1:$B$5,2,FALSE)</f>
        <v>9.99</v>
      </c>
      <c r="N4505">
        <f t="shared" si="70"/>
        <v>0</v>
      </c>
    </row>
    <row r="4506" spans="1:14" x14ac:dyDescent="0.35">
      <c r="A4506">
        <v>4505</v>
      </c>
      <c r="B4506" t="s">
        <v>12</v>
      </c>
      <c r="C4506">
        <v>33</v>
      </c>
      <c r="D4506" t="s">
        <v>29</v>
      </c>
      <c r="E4506" t="s">
        <v>22</v>
      </c>
      <c r="F4506">
        <v>133</v>
      </c>
      <c r="G4506">
        <v>11</v>
      </c>
      <c r="H4506">
        <v>0.43</v>
      </c>
      <c r="I4506" t="s">
        <v>23</v>
      </c>
      <c r="J4506">
        <v>0</v>
      </c>
      <c r="K4506">
        <v>1</v>
      </c>
      <c r="L4506">
        <v>1</v>
      </c>
      <c r="M4506">
        <f>VLOOKUP(Table1[[#This Row],[subscription_type]],Plans!$A$1:$B$5,2,FALSE)</f>
        <v>9.99</v>
      </c>
      <c r="N4506">
        <f t="shared" si="70"/>
        <v>9.99</v>
      </c>
    </row>
    <row r="4507" spans="1:14" x14ac:dyDescent="0.35">
      <c r="A4507">
        <v>4506</v>
      </c>
      <c r="B4507" t="s">
        <v>20</v>
      </c>
      <c r="C4507">
        <v>20</v>
      </c>
      <c r="D4507" t="s">
        <v>29</v>
      </c>
      <c r="E4507" t="s">
        <v>22</v>
      </c>
      <c r="F4507">
        <v>107</v>
      </c>
      <c r="G4507">
        <v>85</v>
      </c>
      <c r="H4507">
        <v>0.1</v>
      </c>
      <c r="I4507" t="s">
        <v>23</v>
      </c>
      <c r="J4507">
        <v>0</v>
      </c>
      <c r="K4507">
        <v>1</v>
      </c>
      <c r="L4507">
        <v>0</v>
      </c>
      <c r="M4507">
        <f>VLOOKUP(Table1[[#This Row],[subscription_type]],Plans!$A$1:$B$5,2,FALSE)</f>
        <v>9.99</v>
      </c>
      <c r="N4507">
        <f t="shared" si="70"/>
        <v>0</v>
      </c>
    </row>
    <row r="4508" spans="1:14" x14ac:dyDescent="0.35">
      <c r="A4508">
        <v>4507</v>
      </c>
      <c r="B4508" t="s">
        <v>12</v>
      </c>
      <c r="C4508">
        <v>26</v>
      </c>
      <c r="D4508" t="s">
        <v>25</v>
      </c>
      <c r="E4508" t="s">
        <v>18</v>
      </c>
      <c r="F4508">
        <v>75</v>
      </c>
      <c r="G4508">
        <v>73</v>
      </c>
      <c r="H4508">
        <v>0.5</v>
      </c>
      <c r="I4508" t="s">
        <v>19</v>
      </c>
      <c r="J4508">
        <v>0</v>
      </c>
      <c r="K4508">
        <v>1</v>
      </c>
      <c r="L4508">
        <v>1</v>
      </c>
      <c r="M4508">
        <f>VLOOKUP(Table1[[#This Row],[subscription_type]],Plans!$A$1:$B$5,2,FALSE)</f>
        <v>14.99</v>
      </c>
      <c r="N4508">
        <f t="shared" si="70"/>
        <v>14.99</v>
      </c>
    </row>
    <row r="4509" spans="1:14" x14ac:dyDescent="0.35">
      <c r="A4509">
        <v>4508</v>
      </c>
      <c r="B4509" t="s">
        <v>12</v>
      </c>
      <c r="C4509">
        <v>46</v>
      </c>
      <c r="D4509" t="s">
        <v>29</v>
      </c>
      <c r="E4509" t="s">
        <v>14</v>
      </c>
      <c r="F4509">
        <v>225</v>
      </c>
      <c r="G4509">
        <v>18</v>
      </c>
      <c r="H4509">
        <v>0</v>
      </c>
      <c r="I4509" t="s">
        <v>19</v>
      </c>
      <c r="J4509">
        <v>48</v>
      </c>
      <c r="K4509">
        <v>0</v>
      </c>
      <c r="L4509">
        <v>0</v>
      </c>
      <c r="M4509">
        <f>VLOOKUP(Table1[[#This Row],[subscription_type]],Plans!$A$1:$B$5,2,FALSE)</f>
        <v>0</v>
      </c>
      <c r="N4509">
        <f t="shared" si="70"/>
        <v>0</v>
      </c>
    </row>
    <row r="4510" spans="1:14" x14ac:dyDescent="0.35">
      <c r="A4510">
        <v>4509</v>
      </c>
      <c r="B4510" t="s">
        <v>16</v>
      </c>
      <c r="C4510">
        <v>31</v>
      </c>
      <c r="D4510" t="s">
        <v>26</v>
      </c>
      <c r="E4510" t="s">
        <v>24</v>
      </c>
      <c r="F4510">
        <v>147</v>
      </c>
      <c r="G4510">
        <v>27</v>
      </c>
      <c r="H4510">
        <v>0.24</v>
      </c>
      <c r="I4510" t="s">
        <v>15</v>
      </c>
      <c r="J4510">
        <v>0</v>
      </c>
      <c r="K4510">
        <v>1</v>
      </c>
      <c r="L4510">
        <v>0</v>
      </c>
      <c r="M4510">
        <f>VLOOKUP(Table1[[#This Row],[subscription_type]],Plans!$A$1:$B$5,2,FALSE)</f>
        <v>4.99</v>
      </c>
      <c r="N4510">
        <f t="shared" si="70"/>
        <v>0</v>
      </c>
    </row>
    <row r="4511" spans="1:14" x14ac:dyDescent="0.35">
      <c r="A4511">
        <v>4510</v>
      </c>
      <c r="B4511" t="s">
        <v>20</v>
      </c>
      <c r="C4511">
        <v>36</v>
      </c>
      <c r="D4511" t="s">
        <v>21</v>
      </c>
      <c r="E4511" t="s">
        <v>14</v>
      </c>
      <c r="F4511">
        <v>34</v>
      </c>
      <c r="G4511">
        <v>24</v>
      </c>
      <c r="H4511">
        <v>0.35</v>
      </c>
      <c r="I4511" t="s">
        <v>15</v>
      </c>
      <c r="J4511">
        <v>23</v>
      </c>
      <c r="K4511">
        <v>0</v>
      </c>
      <c r="L4511">
        <v>0</v>
      </c>
      <c r="M4511">
        <f>VLOOKUP(Table1[[#This Row],[subscription_type]],Plans!$A$1:$B$5,2,FALSE)</f>
        <v>0</v>
      </c>
      <c r="N4511">
        <f t="shared" si="70"/>
        <v>0</v>
      </c>
    </row>
    <row r="4512" spans="1:14" x14ac:dyDescent="0.35">
      <c r="A4512">
        <v>4511</v>
      </c>
      <c r="B4512" t="s">
        <v>20</v>
      </c>
      <c r="C4512">
        <v>24</v>
      </c>
      <c r="D4512" t="s">
        <v>13</v>
      </c>
      <c r="E4512" t="s">
        <v>22</v>
      </c>
      <c r="F4512">
        <v>267</v>
      </c>
      <c r="G4512">
        <v>54</v>
      </c>
      <c r="H4512">
        <v>0.02</v>
      </c>
      <c r="I4512" t="s">
        <v>23</v>
      </c>
      <c r="J4512">
        <v>0</v>
      </c>
      <c r="K4512">
        <v>1</v>
      </c>
      <c r="L4512">
        <v>1</v>
      </c>
      <c r="M4512">
        <f>VLOOKUP(Table1[[#This Row],[subscription_type]],Plans!$A$1:$B$5,2,FALSE)</f>
        <v>9.99</v>
      </c>
      <c r="N4512">
        <f t="shared" si="70"/>
        <v>9.99</v>
      </c>
    </row>
    <row r="4513" spans="1:14" x14ac:dyDescent="0.35">
      <c r="A4513">
        <v>4512</v>
      </c>
      <c r="B4513" t="s">
        <v>16</v>
      </c>
      <c r="C4513">
        <v>51</v>
      </c>
      <c r="D4513" t="s">
        <v>26</v>
      </c>
      <c r="E4513" t="s">
        <v>14</v>
      </c>
      <c r="F4513">
        <v>97</v>
      </c>
      <c r="G4513">
        <v>36</v>
      </c>
      <c r="H4513">
        <v>0.25</v>
      </c>
      <c r="I4513" t="s">
        <v>15</v>
      </c>
      <c r="J4513">
        <v>10</v>
      </c>
      <c r="K4513">
        <v>0</v>
      </c>
      <c r="L4513">
        <v>0</v>
      </c>
      <c r="M4513">
        <f>VLOOKUP(Table1[[#This Row],[subscription_type]],Plans!$A$1:$B$5,2,FALSE)</f>
        <v>0</v>
      </c>
      <c r="N4513">
        <f t="shared" si="70"/>
        <v>0</v>
      </c>
    </row>
    <row r="4514" spans="1:14" x14ac:dyDescent="0.35">
      <c r="A4514">
        <v>4513</v>
      </c>
      <c r="B4514" t="s">
        <v>16</v>
      </c>
      <c r="C4514">
        <v>29</v>
      </c>
      <c r="D4514" t="s">
        <v>27</v>
      </c>
      <c r="E4514" t="s">
        <v>14</v>
      </c>
      <c r="F4514">
        <v>254</v>
      </c>
      <c r="G4514">
        <v>81</v>
      </c>
      <c r="H4514">
        <v>0.59</v>
      </c>
      <c r="I4514" t="s">
        <v>23</v>
      </c>
      <c r="J4514">
        <v>27</v>
      </c>
      <c r="K4514">
        <v>0</v>
      </c>
      <c r="L4514">
        <v>0</v>
      </c>
      <c r="M4514">
        <f>VLOOKUP(Table1[[#This Row],[subscription_type]],Plans!$A$1:$B$5,2,FALSE)</f>
        <v>0</v>
      </c>
      <c r="N4514">
        <f t="shared" si="70"/>
        <v>0</v>
      </c>
    </row>
    <row r="4515" spans="1:14" x14ac:dyDescent="0.35">
      <c r="A4515">
        <v>4514</v>
      </c>
      <c r="B4515" t="s">
        <v>16</v>
      </c>
      <c r="C4515">
        <v>33</v>
      </c>
      <c r="D4515" t="s">
        <v>25</v>
      </c>
      <c r="E4515" t="s">
        <v>24</v>
      </c>
      <c r="F4515">
        <v>253</v>
      </c>
      <c r="G4515">
        <v>30</v>
      </c>
      <c r="H4515">
        <v>7.0000000000000007E-2</v>
      </c>
      <c r="I4515" t="s">
        <v>23</v>
      </c>
      <c r="J4515">
        <v>0</v>
      </c>
      <c r="K4515">
        <v>1</v>
      </c>
      <c r="L4515">
        <v>0</v>
      </c>
      <c r="M4515">
        <f>VLOOKUP(Table1[[#This Row],[subscription_type]],Plans!$A$1:$B$5,2,FALSE)</f>
        <v>4.99</v>
      </c>
      <c r="N4515">
        <f t="shared" si="70"/>
        <v>0</v>
      </c>
    </row>
    <row r="4516" spans="1:14" x14ac:dyDescent="0.35">
      <c r="A4516">
        <v>4515</v>
      </c>
      <c r="B4516" t="s">
        <v>12</v>
      </c>
      <c r="C4516">
        <v>46</v>
      </c>
      <c r="D4516" t="s">
        <v>27</v>
      </c>
      <c r="E4516" t="s">
        <v>22</v>
      </c>
      <c r="F4516">
        <v>182</v>
      </c>
      <c r="G4516">
        <v>20</v>
      </c>
      <c r="H4516">
        <v>0.47</v>
      </c>
      <c r="I4516" t="s">
        <v>15</v>
      </c>
      <c r="J4516">
        <v>0</v>
      </c>
      <c r="K4516">
        <v>1</v>
      </c>
      <c r="L4516">
        <v>0</v>
      </c>
      <c r="M4516">
        <f>VLOOKUP(Table1[[#This Row],[subscription_type]],Plans!$A$1:$B$5,2,FALSE)</f>
        <v>9.99</v>
      </c>
      <c r="N4516">
        <f t="shared" si="70"/>
        <v>0</v>
      </c>
    </row>
    <row r="4517" spans="1:14" x14ac:dyDescent="0.35">
      <c r="A4517">
        <v>4516</v>
      </c>
      <c r="B4517" t="s">
        <v>16</v>
      </c>
      <c r="C4517">
        <v>23</v>
      </c>
      <c r="D4517" t="s">
        <v>27</v>
      </c>
      <c r="E4517" t="s">
        <v>14</v>
      </c>
      <c r="F4517">
        <v>27</v>
      </c>
      <c r="G4517">
        <v>95</v>
      </c>
      <c r="H4517">
        <v>0.4</v>
      </c>
      <c r="I4517" t="s">
        <v>23</v>
      </c>
      <c r="J4517">
        <v>47</v>
      </c>
      <c r="K4517">
        <v>0</v>
      </c>
      <c r="L4517">
        <v>0</v>
      </c>
      <c r="M4517">
        <f>VLOOKUP(Table1[[#This Row],[subscription_type]],Plans!$A$1:$B$5,2,FALSE)</f>
        <v>0</v>
      </c>
      <c r="N4517">
        <f t="shared" si="70"/>
        <v>0</v>
      </c>
    </row>
    <row r="4518" spans="1:14" x14ac:dyDescent="0.35">
      <c r="A4518">
        <v>4517</v>
      </c>
      <c r="B4518" t="s">
        <v>16</v>
      </c>
      <c r="C4518">
        <v>19</v>
      </c>
      <c r="D4518" t="s">
        <v>21</v>
      </c>
      <c r="E4518" t="s">
        <v>18</v>
      </c>
      <c r="F4518">
        <v>51</v>
      </c>
      <c r="G4518">
        <v>76</v>
      </c>
      <c r="H4518">
        <v>0.04</v>
      </c>
      <c r="I4518" t="s">
        <v>15</v>
      </c>
      <c r="J4518">
        <v>0</v>
      </c>
      <c r="K4518">
        <v>1</v>
      </c>
      <c r="L4518">
        <v>0</v>
      </c>
      <c r="M4518">
        <f>VLOOKUP(Table1[[#This Row],[subscription_type]],Plans!$A$1:$B$5,2,FALSE)</f>
        <v>14.99</v>
      </c>
      <c r="N4518">
        <f t="shared" si="70"/>
        <v>0</v>
      </c>
    </row>
    <row r="4519" spans="1:14" x14ac:dyDescent="0.35">
      <c r="A4519">
        <v>4518</v>
      </c>
      <c r="B4519" t="s">
        <v>20</v>
      </c>
      <c r="C4519">
        <v>33</v>
      </c>
      <c r="D4519" t="s">
        <v>25</v>
      </c>
      <c r="E4519" t="s">
        <v>22</v>
      </c>
      <c r="F4519">
        <v>149</v>
      </c>
      <c r="G4519">
        <v>36</v>
      </c>
      <c r="H4519">
        <v>0.32</v>
      </c>
      <c r="I4519" t="s">
        <v>23</v>
      </c>
      <c r="J4519">
        <v>0</v>
      </c>
      <c r="K4519">
        <v>1</v>
      </c>
      <c r="L4519">
        <v>0</v>
      </c>
      <c r="M4519">
        <f>VLOOKUP(Table1[[#This Row],[subscription_type]],Plans!$A$1:$B$5,2,FALSE)</f>
        <v>9.99</v>
      </c>
      <c r="N4519">
        <f t="shared" si="70"/>
        <v>0</v>
      </c>
    </row>
    <row r="4520" spans="1:14" x14ac:dyDescent="0.35">
      <c r="A4520">
        <v>4519</v>
      </c>
      <c r="B4520" t="s">
        <v>16</v>
      </c>
      <c r="C4520">
        <v>24</v>
      </c>
      <c r="D4520" t="s">
        <v>28</v>
      </c>
      <c r="E4520" t="s">
        <v>14</v>
      </c>
      <c r="F4520">
        <v>271</v>
      </c>
      <c r="G4520">
        <v>7</v>
      </c>
      <c r="H4520">
        <v>0.12</v>
      </c>
      <c r="I4520" t="s">
        <v>15</v>
      </c>
      <c r="J4520">
        <v>48</v>
      </c>
      <c r="K4520">
        <v>0</v>
      </c>
      <c r="L4520">
        <v>0</v>
      </c>
      <c r="M4520">
        <f>VLOOKUP(Table1[[#This Row],[subscription_type]],Plans!$A$1:$B$5,2,FALSE)</f>
        <v>0</v>
      </c>
      <c r="N4520">
        <f t="shared" si="70"/>
        <v>0</v>
      </c>
    </row>
    <row r="4521" spans="1:14" x14ac:dyDescent="0.35">
      <c r="A4521">
        <v>4520</v>
      </c>
      <c r="B4521" t="s">
        <v>20</v>
      </c>
      <c r="C4521">
        <v>16</v>
      </c>
      <c r="D4521" t="s">
        <v>29</v>
      </c>
      <c r="E4521" t="s">
        <v>22</v>
      </c>
      <c r="F4521">
        <v>289</v>
      </c>
      <c r="G4521">
        <v>42</v>
      </c>
      <c r="H4521">
        <v>0.15</v>
      </c>
      <c r="I4521" t="s">
        <v>23</v>
      </c>
      <c r="J4521">
        <v>0</v>
      </c>
      <c r="K4521">
        <v>1</v>
      </c>
      <c r="L4521">
        <v>0</v>
      </c>
      <c r="M4521">
        <f>VLOOKUP(Table1[[#This Row],[subscription_type]],Plans!$A$1:$B$5,2,FALSE)</f>
        <v>9.99</v>
      </c>
      <c r="N4521">
        <f t="shared" si="70"/>
        <v>0</v>
      </c>
    </row>
    <row r="4522" spans="1:14" x14ac:dyDescent="0.35">
      <c r="A4522">
        <v>4521</v>
      </c>
      <c r="B4522" t="s">
        <v>16</v>
      </c>
      <c r="C4522">
        <v>28</v>
      </c>
      <c r="D4522" t="s">
        <v>13</v>
      </c>
      <c r="E4522" t="s">
        <v>24</v>
      </c>
      <c r="F4522">
        <v>293</v>
      </c>
      <c r="G4522">
        <v>40</v>
      </c>
      <c r="H4522">
        <v>0.25</v>
      </c>
      <c r="I4522" t="s">
        <v>23</v>
      </c>
      <c r="J4522">
        <v>0</v>
      </c>
      <c r="K4522">
        <v>1</v>
      </c>
      <c r="L4522">
        <v>0</v>
      </c>
      <c r="M4522">
        <f>VLOOKUP(Table1[[#This Row],[subscription_type]],Plans!$A$1:$B$5,2,FALSE)</f>
        <v>4.99</v>
      </c>
      <c r="N4522">
        <f t="shared" si="70"/>
        <v>0</v>
      </c>
    </row>
    <row r="4523" spans="1:14" x14ac:dyDescent="0.35">
      <c r="A4523">
        <v>4522</v>
      </c>
      <c r="B4523" t="s">
        <v>12</v>
      </c>
      <c r="C4523">
        <v>58</v>
      </c>
      <c r="D4523" t="s">
        <v>25</v>
      </c>
      <c r="E4523" t="s">
        <v>14</v>
      </c>
      <c r="F4523">
        <v>257</v>
      </c>
      <c r="G4523">
        <v>56</v>
      </c>
      <c r="H4523">
        <v>0.25</v>
      </c>
      <c r="I4523" t="s">
        <v>23</v>
      </c>
      <c r="J4523">
        <v>24</v>
      </c>
      <c r="K4523">
        <v>0</v>
      </c>
      <c r="L4523">
        <v>0</v>
      </c>
      <c r="M4523">
        <f>VLOOKUP(Table1[[#This Row],[subscription_type]],Plans!$A$1:$B$5,2,FALSE)</f>
        <v>0</v>
      </c>
      <c r="N4523">
        <f t="shared" si="70"/>
        <v>0</v>
      </c>
    </row>
    <row r="4524" spans="1:14" x14ac:dyDescent="0.35">
      <c r="A4524">
        <v>4523</v>
      </c>
      <c r="B4524" t="s">
        <v>16</v>
      </c>
      <c r="C4524">
        <v>52</v>
      </c>
      <c r="D4524" t="s">
        <v>27</v>
      </c>
      <c r="E4524" t="s">
        <v>14</v>
      </c>
      <c r="F4524">
        <v>63</v>
      </c>
      <c r="G4524">
        <v>99</v>
      </c>
      <c r="H4524">
        <v>0.41</v>
      </c>
      <c r="I4524" t="s">
        <v>15</v>
      </c>
      <c r="J4524">
        <v>15</v>
      </c>
      <c r="K4524">
        <v>0</v>
      </c>
      <c r="L4524">
        <v>0</v>
      </c>
      <c r="M4524">
        <f>VLOOKUP(Table1[[#This Row],[subscription_type]],Plans!$A$1:$B$5,2,FALSE)</f>
        <v>0</v>
      </c>
      <c r="N4524">
        <f t="shared" si="70"/>
        <v>0</v>
      </c>
    </row>
    <row r="4525" spans="1:14" x14ac:dyDescent="0.35">
      <c r="A4525">
        <v>4524</v>
      </c>
      <c r="B4525" t="s">
        <v>16</v>
      </c>
      <c r="C4525">
        <v>58</v>
      </c>
      <c r="D4525" t="s">
        <v>17</v>
      </c>
      <c r="E4525" t="s">
        <v>14</v>
      </c>
      <c r="F4525">
        <v>22</v>
      </c>
      <c r="G4525">
        <v>74</v>
      </c>
      <c r="H4525">
        <v>0.25</v>
      </c>
      <c r="I4525" t="s">
        <v>23</v>
      </c>
      <c r="J4525">
        <v>20</v>
      </c>
      <c r="K4525">
        <v>0</v>
      </c>
      <c r="L4525">
        <v>1</v>
      </c>
      <c r="M4525">
        <f>VLOOKUP(Table1[[#This Row],[subscription_type]],Plans!$A$1:$B$5,2,FALSE)</f>
        <v>0</v>
      </c>
      <c r="N4525">
        <f t="shared" si="70"/>
        <v>0</v>
      </c>
    </row>
    <row r="4526" spans="1:14" x14ac:dyDescent="0.35">
      <c r="A4526">
        <v>4525</v>
      </c>
      <c r="B4526" t="s">
        <v>20</v>
      </c>
      <c r="C4526">
        <v>57</v>
      </c>
      <c r="D4526" t="s">
        <v>29</v>
      </c>
      <c r="E4526" t="s">
        <v>14</v>
      </c>
      <c r="F4526">
        <v>230</v>
      </c>
      <c r="G4526">
        <v>65</v>
      </c>
      <c r="H4526">
        <v>0.49</v>
      </c>
      <c r="I4526" t="s">
        <v>15</v>
      </c>
      <c r="J4526">
        <v>15</v>
      </c>
      <c r="K4526">
        <v>0</v>
      </c>
      <c r="L4526">
        <v>1</v>
      </c>
      <c r="M4526">
        <f>VLOOKUP(Table1[[#This Row],[subscription_type]],Plans!$A$1:$B$5,2,FALSE)</f>
        <v>0</v>
      </c>
      <c r="N4526">
        <f t="shared" si="70"/>
        <v>0</v>
      </c>
    </row>
    <row r="4527" spans="1:14" x14ac:dyDescent="0.35">
      <c r="A4527">
        <v>4526</v>
      </c>
      <c r="B4527" t="s">
        <v>16</v>
      </c>
      <c r="C4527">
        <v>18</v>
      </c>
      <c r="D4527" t="s">
        <v>29</v>
      </c>
      <c r="E4527" t="s">
        <v>22</v>
      </c>
      <c r="F4527">
        <v>155</v>
      </c>
      <c r="G4527">
        <v>79</v>
      </c>
      <c r="H4527">
        <v>0.32</v>
      </c>
      <c r="I4527" t="s">
        <v>23</v>
      </c>
      <c r="J4527">
        <v>0</v>
      </c>
      <c r="K4527">
        <v>1</v>
      </c>
      <c r="L4527">
        <v>0</v>
      </c>
      <c r="M4527">
        <f>VLOOKUP(Table1[[#This Row],[subscription_type]],Plans!$A$1:$B$5,2,FALSE)</f>
        <v>9.99</v>
      </c>
      <c r="N4527">
        <f t="shared" si="70"/>
        <v>0</v>
      </c>
    </row>
    <row r="4528" spans="1:14" x14ac:dyDescent="0.35">
      <c r="A4528">
        <v>4527</v>
      </c>
      <c r="B4528" t="s">
        <v>20</v>
      </c>
      <c r="C4528">
        <v>42</v>
      </c>
      <c r="D4528" t="s">
        <v>21</v>
      </c>
      <c r="E4528" t="s">
        <v>18</v>
      </c>
      <c r="F4528">
        <v>193</v>
      </c>
      <c r="G4528">
        <v>24</v>
      </c>
      <c r="H4528">
        <v>0.56000000000000005</v>
      </c>
      <c r="I4528" t="s">
        <v>19</v>
      </c>
      <c r="J4528">
        <v>0</v>
      </c>
      <c r="K4528">
        <v>1</v>
      </c>
      <c r="L4528">
        <v>0</v>
      </c>
      <c r="M4528">
        <f>VLOOKUP(Table1[[#This Row],[subscription_type]],Plans!$A$1:$B$5,2,FALSE)</f>
        <v>14.99</v>
      </c>
      <c r="N4528">
        <f t="shared" si="70"/>
        <v>0</v>
      </c>
    </row>
    <row r="4529" spans="1:14" x14ac:dyDescent="0.35">
      <c r="A4529">
        <v>4528</v>
      </c>
      <c r="B4529" t="s">
        <v>12</v>
      </c>
      <c r="C4529">
        <v>32</v>
      </c>
      <c r="D4529" t="s">
        <v>13</v>
      </c>
      <c r="E4529" t="s">
        <v>18</v>
      </c>
      <c r="F4529">
        <v>65</v>
      </c>
      <c r="G4529">
        <v>88</v>
      </c>
      <c r="H4529">
        <v>0.06</v>
      </c>
      <c r="I4529" t="s">
        <v>19</v>
      </c>
      <c r="J4529">
        <v>0</v>
      </c>
      <c r="K4529">
        <v>1</v>
      </c>
      <c r="L4529">
        <v>0</v>
      </c>
      <c r="M4529">
        <f>VLOOKUP(Table1[[#This Row],[subscription_type]],Plans!$A$1:$B$5,2,FALSE)</f>
        <v>14.99</v>
      </c>
      <c r="N4529">
        <f t="shared" si="70"/>
        <v>0</v>
      </c>
    </row>
    <row r="4530" spans="1:14" x14ac:dyDescent="0.35">
      <c r="A4530">
        <v>4529</v>
      </c>
      <c r="B4530" t="s">
        <v>20</v>
      </c>
      <c r="C4530">
        <v>40</v>
      </c>
      <c r="D4530" t="s">
        <v>28</v>
      </c>
      <c r="E4530" t="s">
        <v>18</v>
      </c>
      <c r="F4530">
        <v>29</v>
      </c>
      <c r="G4530">
        <v>20</v>
      </c>
      <c r="H4530">
        <v>0.56999999999999995</v>
      </c>
      <c r="I4530" t="s">
        <v>19</v>
      </c>
      <c r="J4530">
        <v>0</v>
      </c>
      <c r="K4530">
        <v>1</v>
      </c>
      <c r="L4530">
        <v>0</v>
      </c>
      <c r="M4530">
        <f>VLOOKUP(Table1[[#This Row],[subscription_type]],Plans!$A$1:$B$5,2,FALSE)</f>
        <v>14.99</v>
      </c>
      <c r="N4530">
        <f t="shared" si="70"/>
        <v>0</v>
      </c>
    </row>
    <row r="4531" spans="1:14" x14ac:dyDescent="0.35">
      <c r="A4531">
        <v>4530</v>
      </c>
      <c r="B4531" t="s">
        <v>20</v>
      </c>
      <c r="C4531">
        <v>53</v>
      </c>
      <c r="D4531" t="s">
        <v>27</v>
      </c>
      <c r="E4531" t="s">
        <v>18</v>
      </c>
      <c r="F4531">
        <v>265</v>
      </c>
      <c r="G4531">
        <v>14</v>
      </c>
      <c r="H4531">
        <v>0.39</v>
      </c>
      <c r="I4531" t="s">
        <v>23</v>
      </c>
      <c r="J4531">
        <v>0</v>
      </c>
      <c r="K4531">
        <v>1</v>
      </c>
      <c r="L4531">
        <v>0</v>
      </c>
      <c r="M4531">
        <f>VLOOKUP(Table1[[#This Row],[subscription_type]],Plans!$A$1:$B$5,2,FALSE)</f>
        <v>14.99</v>
      </c>
      <c r="N4531">
        <f t="shared" si="70"/>
        <v>0</v>
      </c>
    </row>
    <row r="4532" spans="1:14" x14ac:dyDescent="0.35">
      <c r="A4532">
        <v>4531</v>
      </c>
      <c r="B4532" t="s">
        <v>20</v>
      </c>
      <c r="C4532">
        <v>25</v>
      </c>
      <c r="D4532" t="s">
        <v>27</v>
      </c>
      <c r="E4532" t="s">
        <v>22</v>
      </c>
      <c r="F4532">
        <v>43</v>
      </c>
      <c r="G4532">
        <v>6</v>
      </c>
      <c r="H4532">
        <v>0.09</v>
      </c>
      <c r="I4532" t="s">
        <v>15</v>
      </c>
      <c r="J4532">
        <v>0</v>
      </c>
      <c r="K4532">
        <v>1</v>
      </c>
      <c r="L4532">
        <v>1</v>
      </c>
      <c r="M4532">
        <f>VLOOKUP(Table1[[#This Row],[subscription_type]],Plans!$A$1:$B$5,2,FALSE)</f>
        <v>9.99</v>
      </c>
      <c r="N4532">
        <f t="shared" si="70"/>
        <v>9.99</v>
      </c>
    </row>
    <row r="4533" spans="1:14" x14ac:dyDescent="0.35">
      <c r="A4533">
        <v>4532</v>
      </c>
      <c r="B4533" t="s">
        <v>12</v>
      </c>
      <c r="C4533">
        <v>23</v>
      </c>
      <c r="D4533" t="s">
        <v>26</v>
      </c>
      <c r="E4533" t="s">
        <v>24</v>
      </c>
      <c r="F4533">
        <v>98</v>
      </c>
      <c r="G4533">
        <v>33</v>
      </c>
      <c r="H4533">
        <v>0.13</v>
      </c>
      <c r="I4533" t="s">
        <v>19</v>
      </c>
      <c r="J4533">
        <v>0</v>
      </c>
      <c r="K4533">
        <v>1</v>
      </c>
      <c r="L4533">
        <v>0</v>
      </c>
      <c r="M4533">
        <f>VLOOKUP(Table1[[#This Row],[subscription_type]],Plans!$A$1:$B$5,2,FALSE)</f>
        <v>4.99</v>
      </c>
      <c r="N4533">
        <f t="shared" si="70"/>
        <v>0</v>
      </c>
    </row>
    <row r="4534" spans="1:14" x14ac:dyDescent="0.35">
      <c r="A4534">
        <v>4533</v>
      </c>
      <c r="B4534" t="s">
        <v>20</v>
      </c>
      <c r="C4534">
        <v>40</v>
      </c>
      <c r="D4534" t="s">
        <v>13</v>
      </c>
      <c r="E4534" t="s">
        <v>14</v>
      </c>
      <c r="F4534">
        <v>86</v>
      </c>
      <c r="G4534">
        <v>18</v>
      </c>
      <c r="H4534">
        <v>0.31</v>
      </c>
      <c r="I4534" t="s">
        <v>23</v>
      </c>
      <c r="J4534">
        <v>48</v>
      </c>
      <c r="K4534">
        <v>0</v>
      </c>
      <c r="L4534">
        <v>0</v>
      </c>
      <c r="M4534">
        <f>VLOOKUP(Table1[[#This Row],[subscription_type]],Plans!$A$1:$B$5,2,FALSE)</f>
        <v>0</v>
      </c>
      <c r="N4534">
        <f t="shared" si="70"/>
        <v>0</v>
      </c>
    </row>
    <row r="4535" spans="1:14" x14ac:dyDescent="0.35">
      <c r="A4535">
        <v>4534</v>
      </c>
      <c r="B4535" t="s">
        <v>16</v>
      </c>
      <c r="C4535">
        <v>25</v>
      </c>
      <c r="D4535" t="s">
        <v>29</v>
      </c>
      <c r="E4535" t="s">
        <v>24</v>
      </c>
      <c r="F4535">
        <v>34</v>
      </c>
      <c r="G4535">
        <v>91</v>
      </c>
      <c r="H4535">
        <v>0.11</v>
      </c>
      <c r="I4535" t="s">
        <v>15</v>
      </c>
      <c r="J4535">
        <v>0</v>
      </c>
      <c r="K4535">
        <v>1</v>
      </c>
      <c r="L4535">
        <v>0</v>
      </c>
      <c r="M4535">
        <f>VLOOKUP(Table1[[#This Row],[subscription_type]],Plans!$A$1:$B$5,2,FALSE)</f>
        <v>4.99</v>
      </c>
      <c r="N4535">
        <f t="shared" si="70"/>
        <v>0</v>
      </c>
    </row>
    <row r="4536" spans="1:14" x14ac:dyDescent="0.35">
      <c r="A4536">
        <v>4535</v>
      </c>
      <c r="B4536" t="s">
        <v>16</v>
      </c>
      <c r="C4536">
        <v>49</v>
      </c>
      <c r="D4536" t="s">
        <v>21</v>
      </c>
      <c r="E4536" t="s">
        <v>24</v>
      </c>
      <c r="F4536">
        <v>113</v>
      </c>
      <c r="G4536">
        <v>42</v>
      </c>
      <c r="H4536">
        <v>0.32</v>
      </c>
      <c r="I4536" t="s">
        <v>15</v>
      </c>
      <c r="J4536">
        <v>0</v>
      </c>
      <c r="K4536">
        <v>1</v>
      </c>
      <c r="L4536">
        <v>0</v>
      </c>
      <c r="M4536">
        <f>VLOOKUP(Table1[[#This Row],[subscription_type]],Plans!$A$1:$B$5,2,FALSE)</f>
        <v>4.99</v>
      </c>
      <c r="N4536">
        <f t="shared" si="70"/>
        <v>0</v>
      </c>
    </row>
    <row r="4537" spans="1:14" x14ac:dyDescent="0.35">
      <c r="A4537">
        <v>4536</v>
      </c>
      <c r="B4537" t="s">
        <v>12</v>
      </c>
      <c r="C4537">
        <v>28</v>
      </c>
      <c r="D4537" t="s">
        <v>17</v>
      </c>
      <c r="E4537" t="s">
        <v>14</v>
      </c>
      <c r="F4537">
        <v>255</v>
      </c>
      <c r="G4537">
        <v>68</v>
      </c>
      <c r="H4537">
        <v>0.1</v>
      </c>
      <c r="I4537" t="s">
        <v>23</v>
      </c>
      <c r="J4537">
        <v>45</v>
      </c>
      <c r="K4537">
        <v>0</v>
      </c>
      <c r="L4537">
        <v>1</v>
      </c>
      <c r="M4537">
        <f>VLOOKUP(Table1[[#This Row],[subscription_type]],Plans!$A$1:$B$5,2,FALSE)</f>
        <v>0</v>
      </c>
      <c r="N4537">
        <f t="shared" si="70"/>
        <v>0</v>
      </c>
    </row>
    <row r="4538" spans="1:14" x14ac:dyDescent="0.35">
      <c r="A4538">
        <v>4537</v>
      </c>
      <c r="B4538" t="s">
        <v>16</v>
      </c>
      <c r="C4538">
        <v>59</v>
      </c>
      <c r="D4538" t="s">
        <v>13</v>
      </c>
      <c r="E4538" t="s">
        <v>18</v>
      </c>
      <c r="F4538">
        <v>38</v>
      </c>
      <c r="G4538">
        <v>30</v>
      </c>
      <c r="H4538">
        <v>0.15</v>
      </c>
      <c r="I4538" t="s">
        <v>19</v>
      </c>
      <c r="J4538">
        <v>0</v>
      </c>
      <c r="K4538">
        <v>1</v>
      </c>
      <c r="L4538">
        <v>0</v>
      </c>
      <c r="M4538">
        <f>VLOOKUP(Table1[[#This Row],[subscription_type]],Plans!$A$1:$B$5,2,FALSE)</f>
        <v>14.99</v>
      </c>
      <c r="N4538">
        <f t="shared" si="70"/>
        <v>0</v>
      </c>
    </row>
    <row r="4539" spans="1:14" x14ac:dyDescent="0.35">
      <c r="A4539">
        <v>4538</v>
      </c>
      <c r="B4539" t="s">
        <v>16</v>
      </c>
      <c r="C4539">
        <v>51</v>
      </c>
      <c r="D4539" t="s">
        <v>25</v>
      </c>
      <c r="E4539" t="s">
        <v>22</v>
      </c>
      <c r="F4539">
        <v>209</v>
      </c>
      <c r="G4539">
        <v>12</v>
      </c>
      <c r="H4539">
        <v>0.27</v>
      </c>
      <c r="I4539" t="s">
        <v>15</v>
      </c>
      <c r="J4539">
        <v>0</v>
      </c>
      <c r="K4539">
        <v>1</v>
      </c>
      <c r="L4539">
        <v>0</v>
      </c>
      <c r="M4539">
        <f>VLOOKUP(Table1[[#This Row],[subscription_type]],Plans!$A$1:$B$5,2,FALSE)</f>
        <v>9.99</v>
      </c>
      <c r="N4539">
        <f t="shared" si="70"/>
        <v>0</v>
      </c>
    </row>
    <row r="4540" spans="1:14" x14ac:dyDescent="0.35">
      <c r="A4540">
        <v>4539</v>
      </c>
      <c r="B4540" t="s">
        <v>12</v>
      </c>
      <c r="C4540">
        <v>40</v>
      </c>
      <c r="D4540" t="s">
        <v>21</v>
      </c>
      <c r="E4540" t="s">
        <v>14</v>
      </c>
      <c r="F4540">
        <v>35</v>
      </c>
      <c r="G4540">
        <v>43</v>
      </c>
      <c r="H4540">
        <v>0.12</v>
      </c>
      <c r="I4540" t="s">
        <v>23</v>
      </c>
      <c r="J4540">
        <v>38</v>
      </c>
      <c r="K4540">
        <v>0</v>
      </c>
      <c r="L4540">
        <v>0</v>
      </c>
      <c r="M4540">
        <f>VLOOKUP(Table1[[#This Row],[subscription_type]],Plans!$A$1:$B$5,2,FALSE)</f>
        <v>0</v>
      </c>
      <c r="N4540">
        <f t="shared" si="70"/>
        <v>0</v>
      </c>
    </row>
    <row r="4541" spans="1:14" x14ac:dyDescent="0.35">
      <c r="A4541">
        <v>4540</v>
      </c>
      <c r="B4541" t="s">
        <v>16</v>
      </c>
      <c r="C4541">
        <v>19</v>
      </c>
      <c r="D4541" t="s">
        <v>26</v>
      </c>
      <c r="E4541" t="s">
        <v>18</v>
      </c>
      <c r="F4541">
        <v>65</v>
      </c>
      <c r="G4541">
        <v>14</v>
      </c>
      <c r="H4541">
        <v>7.0000000000000007E-2</v>
      </c>
      <c r="I4541" t="s">
        <v>23</v>
      </c>
      <c r="J4541">
        <v>0</v>
      </c>
      <c r="K4541">
        <v>1</v>
      </c>
      <c r="L4541">
        <v>0</v>
      </c>
      <c r="M4541">
        <f>VLOOKUP(Table1[[#This Row],[subscription_type]],Plans!$A$1:$B$5,2,FALSE)</f>
        <v>14.99</v>
      </c>
      <c r="N4541">
        <f t="shared" si="70"/>
        <v>0</v>
      </c>
    </row>
    <row r="4542" spans="1:14" x14ac:dyDescent="0.35">
      <c r="A4542">
        <v>4541</v>
      </c>
      <c r="B4542" t="s">
        <v>20</v>
      </c>
      <c r="C4542">
        <v>33</v>
      </c>
      <c r="D4542" t="s">
        <v>17</v>
      </c>
      <c r="E4542" t="s">
        <v>14</v>
      </c>
      <c r="F4542">
        <v>219</v>
      </c>
      <c r="G4542">
        <v>55</v>
      </c>
      <c r="H4542">
        <v>0.52</v>
      </c>
      <c r="I4542" t="s">
        <v>19</v>
      </c>
      <c r="J4542">
        <v>7</v>
      </c>
      <c r="K4542">
        <v>0</v>
      </c>
      <c r="L4542">
        <v>0</v>
      </c>
      <c r="M4542">
        <f>VLOOKUP(Table1[[#This Row],[subscription_type]],Plans!$A$1:$B$5,2,FALSE)</f>
        <v>0</v>
      </c>
      <c r="N4542">
        <f t="shared" si="70"/>
        <v>0</v>
      </c>
    </row>
    <row r="4543" spans="1:14" x14ac:dyDescent="0.35">
      <c r="A4543">
        <v>4542</v>
      </c>
      <c r="B4543" t="s">
        <v>12</v>
      </c>
      <c r="C4543">
        <v>21</v>
      </c>
      <c r="D4543" t="s">
        <v>28</v>
      </c>
      <c r="E4543" t="s">
        <v>22</v>
      </c>
      <c r="F4543">
        <v>103</v>
      </c>
      <c r="G4543">
        <v>82</v>
      </c>
      <c r="H4543">
        <v>0.37</v>
      </c>
      <c r="I4543" t="s">
        <v>19</v>
      </c>
      <c r="J4543">
        <v>0</v>
      </c>
      <c r="K4543">
        <v>1</v>
      </c>
      <c r="L4543">
        <v>1</v>
      </c>
      <c r="M4543">
        <f>VLOOKUP(Table1[[#This Row],[subscription_type]],Plans!$A$1:$B$5,2,FALSE)</f>
        <v>9.99</v>
      </c>
      <c r="N4543">
        <f t="shared" si="70"/>
        <v>9.99</v>
      </c>
    </row>
    <row r="4544" spans="1:14" x14ac:dyDescent="0.35">
      <c r="A4544">
        <v>4543</v>
      </c>
      <c r="B4544" t="s">
        <v>12</v>
      </c>
      <c r="C4544">
        <v>17</v>
      </c>
      <c r="D4544" t="s">
        <v>26</v>
      </c>
      <c r="E4544" t="s">
        <v>14</v>
      </c>
      <c r="F4544">
        <v>204</v>
      </c>
      <c r="G4544">
        <v>6</v>
      </c>
      <c r="H4544">
        <v>0.49</v>
      </c>
      <c r="I4544" t="s">
        <v>19</v>
      </c>
      <c r="J4544">
        <v>44</v>
      </c>
      <c r="K4544">
        <v>0</v>
      </c>
      <c r="L4544">
        <v>0</v>
      </c>
      <c r="M4544">
        <f>VLOOKUP(Table1[[#This Row],[subscription_type]],Plans!$A$1:$B$5,2,FALSE)</f>
        <v>0</v>
      </c>
      <c r="N4544">
        <f t="shared" si="70"/>
        <v>0</v>
      </c>
    </row>
    <row r="4545" spans="1:14" x14ac:dyDescent="0.35">
      <c r="A4545">
        <v>4544</v>
      </c>
      <c r="B4545" t="s">
        <v>12</v>
      </c>
      <c r="C4545">
        <v>38</v>
      </c>
      <c r="D4545" t="s">
        <v>28</v>
      </c>
      <c r="E4545" t="s">
        <v>14</v>
      </c>
      <c r="F4545">
        <v>42</v>
      </c>
      <c r="G4545">
        <v>31</v>
      </c>
      <c r="H4545">
        <v>0.51</v>
      </c>
      <c r="I4545" t="s">
        <v>23</v>
      </c>
      <c r="J4545">
        <v>15</v>
      </c>
      <c r="K4545">
        <v>0</v>
      </c>
      <c r="L4545">
        <v>0</v>
      </c>
      <c r="M4545">
        <f>VLOOKUP(Table1[[#This Row],[subscription_type]],Plans!$A$1:$B$5,2,FALSE)</f>
        <v>0</v>
      </c>
      <c r="N4545">
        <f t="shared" si="70"/>
        <v>0</v>
      </c>
    </row>
    <row r="4546" spans="1:14" x14ac:dyDescent="0.35">
      <c r="A4546">
        <v>4545</v>
      </c>
      <c r="B4546" t="s">
        <v>20</v>
      </c>
      <c r="C4546">
        <v>35</v>
      </c>
      <c r="D4546" t="s">
        <v>27</v>
      </c>
      <c r="E4546" t="s">
        <v>18</v>
      </c>
      <c r="F4546">
        <v>194</v>
      </c>
      <c r="G4546">
        <v>76</v>
      </c>
      <c r="H4546">
        <v>0.12</v>
      </c>
      <c r="I4546" t="s">
        <v>15</v>
      </c>
      <c r="J4546">
        <v>0</v>
      </c>
      <c r="K4546">
        <v>1</v>
      </c>
      <c r="L4546">
        <v>0</v>
      </c>
      <c r="M4546">
        <f>VLOOKUP(Table1[[#This Row],[subscription_type]],Plans!$A$1:$B$5,2,FALSE)</f>
        <v>14.99</v>
      </c>
      <c r="N4546">
        <f t="shared" ref="N4546:N4609" si="71">IF(L4546=1, M4546,0)</f>
        <v>0</v>
      </c>
    </row>
    <row r="4547" spans="1:14" x14ac:dyDescent="0.35">
      <c r="A4547">
        <v>4546</v>
      </c>
      <c r="B4547" t="s">
        <v>12</v>
      </c>
      <c r="C4547">
        <v>30</v>
      </c>
      <c r="D4547" t="s">
        <v>13</v>
      </c>
      <c r="E4547" t="s">
        <v>18</v>
      </c>
      <c r="F4547">
        <v>32</v>
      </c>
      <c r="G4547">
        <v>35</v>
      </c>
      <c r="H4547">
        <v>0.31</v>
      </c>
      <c r="I4547" t="s">
        <v>15</v>
      </c>
      <c r="J4547">
        <v>0</v>
      </c>
      <c r="K4547">
        <v>1</v>
      </c>
      <c r="L4547">
        <v>0</v>
      </c>
      <c r="M4547">
        <f>VLOOKUP(Table1[[#This Row],[subscription_type]],Plans!$A$1:$B$5,2,FALSE)</f>
        <v>14.99</v>
      </c>
      <c r="N4547">
        <f t="shared" si="71"/>
        <v>0</v>
      </c>
    </row>
    <row r="4548" spans="1:14" x14ac:dyDescent="0.35">
      <c r="A4548">
        <v>4547</v>
      </c>
      <c r="B4548" t="s">
        <v>16</v>
      </c>
      <c r="C4548">
        <v>37</v>
      </c>
      <c r="D4548" t="s">
        <v>17</v>
      </c>
      <c r="E4548" t="s">
        <v>22</v>
      </c>
      <c r="F4548">
        <v>22</v>
      </c>
      <c r="G4548">
        <v>91</v>
      </c>
      <c r="H4548">
        <v>0.3</v>
      </c>
      <c r="I4548" t="s">
        <v>15</v>
      </c>
      <c r="J4548">
        <v>0</v>
      </c>
      <c r="K4548">
        <v>1</v>
      </c>
      <c r="L4548">
        <v>0</v>
      </c>
      <c r="M4548">
        <f>VLOOKUP(Table1[[#This Row],[subscription_type]],Plans!$A$1:$B$5,2,FALSE)</f>
        <v>9.99</v>
      </c>
      <c r="N4548">
        <f t="shared" si="71"/>
        <v>0</v>
      </c>
    </row>
    <row r="4549" spans="1:14" x14ac:dyDescent="0.35">
      <c r="A4549">
        <v>4548</v>
      </c>
      <c r="B4549" t="s">
        <v>16</v>
      </c>
      <c r="C4549">
        <v>42</v>
      </c>
      <c r="D4549" t="s">
        <v>17</v>
      </c>
      <c r="E4549" t="s">
        <v>18</v>
      </c>
      <c r="F4549">
        <v>74</v>
      </c>
      <c r="G4549">
        <v>97</v>
      </c>
      <c r="H4549">
        <v>0.02</v>
      </c>
      <c r="I4549" t="s">
        <v>15</v>
      </c>
      <c r="J4549">
        <v>0</v>
      </c>
      <c r="K4549">
        <v>1</v>
      </c>
      <c r="L4549">
        <v>0</v>
      </c>
      <c r="M4549">
        <f>VLOOKUP(Table1[[#This Row],[subscription_type]],Plans!$A$1:$B$5,2,FALSE)</f>
        <v>14.99</v>
      </c>
      <c r="N4549">
        <f t="shared" si="71"/>
        <v>0</v>
      </c>
    </row>
    <row r="4550" spans="1:14" x14ac:dyDescent="0.35">
      <c r="A4550">
        <v>4549</v>
      </c>
      <c r="B4550" t="s">
        <v>20</v>
      </c>
      <c r="C4550">
        <v>26</v>
      </c>
      <c r="D4550" t="s">
        <v>26</v>
      </c>
      <c r="E4550" t="s">
        <v>14</v>
      </c>
      <c r="F4550">
        <v>233</v>
      </c>
      <c r="G4550">
        <v>69</v>
      </c>
      <c r="H4550">
        <v>0.42</v>
      </c>
      <c r="I4550" t="s">
        <v>15</v>
      </c>
      <c r="J4550">
        <v>16</v>
      </c>
      <c r="K4550">
        <v>0</v>
      </c>
      <c r="L4550">
        <v>0</v>
      </c>
      <c r="M4550">
        <f>VLOOKUP(Table1[[#This Row],[subscription_type]],Plans!$A$1:$B$5,2,FALSE)</f>
        <v>0</v>
      </c>
      <c r="N4550">
        <f t="shared" si="71"/>
        <v>0</v>
      </c>
    </row>
    <row r="4551" spans="1:14" x14ac:dyDescent="0.35">
      <c r="A4551">
        <v>4550</v>
      </c>
      <c r="B4551" t="s">
        <v>16</v>
      </c>
      <c r="C4551">
        <v>24</v>
      </c>
      <c r="D4551" t="s">
        <v>13</v>
      </c>
      <c r="E4551" t="s">
        <v>14</v>
      </c>
      <c r="F4551">
        <v>88</v>
      </c>
      <c r="G4551">
        <v>72</v>
      </c>
      <c r="H4551">
        <v>0.3</v>
      </c>
      <c r="I4551" t="s">
        <v>19</v>
      </c>
      <c r="J4551">
        <v>41</v>
      </c>
      <c r="K4551">
        <v>0</v>
      </c>
      <c r="L4551">
        <v>0</v>
      </c>
      <c r="M4551">
        <f>VLOOKUP(Table1[[#This Row],[subscription_type]],Plans!$A$1:$B$5,2,FALSE)</f>
        <v>0</v>
      </c>
      <c r="N4551">
        <f t="shared" si="71"/>
        <v>0</v>
      </c>
    </row>
    <row r="4552" spans="1:14" x14ac:dyDescent="0.35">
      <c r="A4552">
        <v>4551</v>
      </c>
      <c r="B4552" t="s">
        <v>20</v>
      </c>
      <c r="C4552">
        <v>45</v>
      </c>
      <c r="D4552" t="s">
        <v>21</v>
      </c>
      <c r="E4552" t="s">
        <v>22</v>
      </c>
      <c r="F4552">
        <v>52</v>
      </c>
      <c r="G4552">
        <v>74</v>
      </c>
      <c r="H4552">
        <v>0.54</v>
      </c>
      <c r="I4552" t="s">
        <v>15</v>
      </c>
      <c r="J4552">
        <v>0</v>
      </c>
      <c r="K4552">
        <v>1</v>
      </c>
      <c r="L4552">
        <v>1</v>
      </c>
      <c r="M4552">
        <f>VLOOKUP(Table1[[#This Row],[subscription_type]],Plans!$A$1:$B$5,2,FALSE)</f>
        <v>9.99</v>
      </c>
      <c r="N4552">
        <f t="shared" si="71"/>
        <v>9.99</v>
      </c>
    </row>
    <row r="4553" spans="1:14" x14ac:dyDescent="0.35">
      <c r="A4553">
        <v>4552</v>
      </c>
      <c r="B4553" t="s">
        <v>12</v>
      </c>
      <c r="C4553">
        <v>23</v>
      </c>
      <c r="D4553" t="s">
        <v>28</v>
      </c>
      <c r="E4553" t="s">
        <v>24</v>
      </c>
      <c r="F4553">
        <v>232</v>
      </c>
      <c r="G4553">
        <v>30</v>
      </c>
      <c r="H4553">
        <v>0.52</v>
      </c>
      <c r="I4553" t="s">
        <v>23</v>
      </c>
      <c r="J4553">
        <v>0</v>
      </c>
      <c r="K4553">
        <v>1</v>
      </c>
      <c r="L4553">
        <v>0</v>
      </c>
      <c r="M4553">
        <f>VLOOKUP(Table1[[#This Row],[subscription_type]],Plans!$A$1:$B$5,2,FALSE)</f>
        <v>4.99</v>
      </c>
      <c r="N4553">
        <f t="shared" si="71"/>
        <v>0</v>
      </c>
    </row>
    <row r="4554" spans="1:14" x14ac:dyDescent="0.35">
      <c r="A4554">
        <v>4553</v>
      </c>
      <c r="B4554" t="s">
        <v>16</v>
      </c>
      <c r="C4554">
        <v>56</v>
      </c>
      <c r="D4554" t="s">
        <v>27</v>
      </c>
      <c r="E4554" t="s">
        <v>24</v>
      </c>
      <c r="F4554">
        <v>221</v>
      </c>
      <c r="G4554">
        <v>72</v>
      </c>
      <c r="H4554">
        <v>0.3</v>
      </c>
      <c r="I4554" t="s">
        <v>15</v>
      </c>
      <c r="J4554">
        <v>0</v>
      </c>
      <c r="K4554">
        <v>1</v>
      </c>
      <c r="L4554">
        <v>0</v>
      </c>
      <c r="M4554">
        <f>VLOOKUP(Table1[[#This Row],[subscription_type]],Plans!$A$1:$B$5,2,FALSE)</f>
        <v>4.99</v>
      </c>
      <c r="N4554">
        <f t="shared" si="71"/>
        <v>0</v>
      </c>
    </row>
    <row r="4555" spans="1:14" x14ac:dyDescent="0.35">
      <c r="A4555">
        <v>4554</v>
      </c>
      <c r="B4555" t="s">
        <v>16</v>
      </c>
      <c r="C4555">
        <v>39</v>
      </c>
      <c r="D4555" t="s">
        <v>26</v>
      </c>
      <c r="E4555" t="s">
        <v>22</v>
      </c>
      <c r="F4555">
        <v>239</v>
      </c>
      <c r="G4555">
        <v>39</v>
      </c>
      <c r="H4555">
        <v>0.1</v>
      </c>
      <c r="I4555" t="s">
        <v>23</v>
      </c>
      <c r="J4555">
        <v>0</v>
      </c>
      <c r="K4555">
        <v>1</v>
      </c>
      <c r="L4555">
        <v>0</v>
      </c>
      <c r="M4555">
        <f>VLOOKUP(Table1[[#This Row],[subscription_type]],Plans!$A$1:$B$5,2,FALSE)</f>
        <v>9.99</v>
      </c>
      <c r="N4555">
        <f t="shared" si="71"/>
        <v>0</v>
      </c>
    </row>
    <row r="4556" spans="1:14" x14ac:dyDescent="0.35">
      <c r="A4556">
        <v>4555</v>
      </c>
      <c r="B4556" t="s">
        <v>16</v>
      </c>
      <c r="C4556">
        <v>49</v>
      </c>
      <c r="D4556" t="s">
        <v>17</v>
      </c>
      <c r="E4556" t="s">
        <v>18</v>
      </c>
      <c r="F4556">
        <v>105</v>
      </c>
      <c r="G4556">
        <v>99</v>
      </c>
      <c r="H4556">
        <v>0.01</v>
      </c>
      <c r="I4556" t="s">
        <v>19</v>
      </c>
      <c r="J4556">
        <v>0</v>
      </c>
      <c r="K4556">
        <v>1</v>
      </c>
      <c r="L4556">
        <v>0</v>
      </c>
      <c r="M4556">
        <f>VLOOKUP(Table1[[#This Row],[subscription_type]],Plans!$A$1:$B$5,2,FALSE)</f>
        <v>14.99</v>
      </c>
      <c r="N4556">
        <f t="shared" si="71"/>
        <v>0</v>
      </c>
    </row>
    <row r="4557" spans="1:14" x14ac:dyDescent="0.35">
      <c r="A4557">
        <v>4556</v>
      </c>
      <c r="B4557" t="s">
        <v>16</v>
      </c>
      <c r="C4557">
        <v>20</v>
      </c>
      <c r="D4557" t="s">
        <v>27</v>
      </c>
      <c r="E4557" t="s">
        <v>18</v>
      </c>
      <c r="F4557">
        <v>186</v>
      </c>
      <c r="G4557">
        <v>26</v>
      </c>
      <c r="H4557">
        <v>0.41</v>
      </c>
      <c r="I4557" t="s">
        <v>15</v>
      </c>
      <c r="J4557">
        <v>0</v>
      </c>
      <c r="K4557">
        <v>1</v>
      </c>
      <c r="L4557">
        <v>0</v>
      </c>
      <c r="M4557">
        <f>VLOOKUP(Table1[[#This Row],[subscription_type]],Plans!$A$1:$B$5,2,FALSE)</f>
        <v>14.99</v>
      </c>
      <c r="N4557">
        <f t="shared" si="71"/>
        <v>0</v>
      </c>
    </row>
    <row r="4558" spans="1:14" x14ac:dyDescent="0.35">
      <c r="A4558">
        <v>4557</v>
      </c>
      <c r="B4558" t="s">
        <v>12</v>
      </c>
      <c r="C4558">
        <v>24</v>
      </c>
      <c r="D4558" t="s">
        <v>13</v>
      </c>
      <c r="E4558" t="s">
        <v>22</v>
      </c>
      <c r="F4558">
        <v>205</v>
      </c>
      <c r="G4558">
        <v>86</v>
      </c>
      <c r="H4558">
        <v>0.21</v>
      </c>
      <c r="I4558" t="s">
        <v>23</v>
      </c>
      <c r="J4558">
        <v>0</v>
      </c>
      <c r="K4558">
        <v>1</v>
      </c>
      <c r="L4558">
        <v>0</v>
      </c>
      <c r="M4558">
        <f>VLOOKUP(Table1[[#This Row],[subscription_type]],Plans!$A$1:$B$5,2,FALSE)</f>
        <v>9.99</v>
      </c>
      <c r="N4558">
        <f t="shared" si="71"/>
        <v>0</v>
      </c>
    </row>
    <row r="4559" spans="1:14" x14ac:dyDescent="0.35">
      <c r="A4559">
        <v>4558</v>
      </c>
      <c r="B4559" t="s">
        <v>16</v>
      </c>
      <c r="C4559">
        <v>56</v>
      </c>
      <c r="D4559" t="s">
        <v>28</v>
      </c>
      <c r="E4559" t="s">
        <v>22</v>
      </c>
      <c r="F4559">
        <v>249</v>
      </c>
      <c r="G4559">
        <v>96</v>
      </c>
      <c r="H4559">
        <v>0.19</v>
      </c>
      <c r="I4559" t="s">
        <v>15</v>
      </c>
      <c r="J4559">
        <v>0</v>
      </c>
      <c r="K4559">
        <v>1</v>
      </c>
      <c r="L4559">
        <v>1</v>
      </c>
      <c r="M4559">
        <f>VLOOKUP(Table1[[#This Row],[subscription_type]],Plans!$A$1:$B$5,2,FALSE)</f>
        <v>9.99</v>
      </c>
      <c r="N4559">
        <f t="shared" si="71"/>
        <v>9.99</v>
      </c>
    </row>
    <row r="4560" spans="1:14" x14ac:dyDescent="0.35">
      <c r="A4560">
        <v>4559</v>
      </c>
      <c r="B4560" t="s">
        <v>12</v>
      </c>
      <c r="C4560">
        <v>23</v>
      </c>
      <c r="D4560" t="s">
        <v>26</v>
      </c>
      <c r="E4560" t="s">
        <v>18</v>
      </c>
      <c r="F4560">
        <v>242</v>
      </c>
      <c r="G4560">
        <v>2</v>
      </c>
      <c r="H4560">
        <v>0.34</v>
      </c>
      <c r="I4560" t="s">
        <v>23</v>
      </c>
      <c r="J4560">
        <v>0</v>
      </c>
      <c r="K4560">
        <v>1</v>
      </c>
      <c r="L4560">
        <v>0</v>
      </c>
      <c r="M4560">
        <f>VLOOKUP(Table1[[#This Row],[subscription_type]],Plans!$A$1:$B$5,2,FALSE)</f>
        <v>14.99</v>
      </c>
      <c r="N4560">
        <f t="shared" si="71"/>
        <v>0</v>
      </c>
    </row>
    <row r="4561" spans="1:14" x14ac:dyDescent="0.35">
      <c r="A4561">
        <v>4560</v>
      </c>
      <c r="B4561" t="s">
        <v>12</v>
      </c>
      <c r="C4561">
        <v>54</v>
      </c>
      <c r="D4561" t="s">
        <v>28</v>
      </c>
      <c r="E4561" t="s">
        <v>18</v>
      </c>
      <c r="F4561">
        <v>108</v>
      </c>
      <c r="G4561">
        <v>65</v>
      </c>
      <c r="H4561">
        <v>0.26</v>
      </c>
      <c r="I4561" t="s">
        <v>19</v>
      </c>
      <c r="J4561">
        <v>0</v>
      </c>
      <c r="K4561">
        <v>1</v>
      </c>
      <c r="L4561">
        <v>0</v>
      </c>
      <c r="M4561">
        <f>VLOOKUP(Table1[[#This Row],[subscription_type]],Plans!$A$1:$B$5,2,FALSE)</f>
        <v>14.99</v>
      </c>
      <c r="N4561">
        <f t="shared" si="71"/>
        <v>0</v>
      </c>
    </row>
    <row r="4562" spans="1:14" x14ac:dyDescent="0.35">
      <c r="A4562">
        <v>4561</v>
      </c>
      <c r="B4562" t="s">
        <v>20</v>
      </c>
      <c r="C4562">
        <v>19</v>
      </c>
      <c r="D4562" t="s">
        <v>17</v>
      </c>
      <c r="E4562" t="s">
        <v>24</v>
      </c>
      <c r="F4562">
        <v>179</v>
      </c>
      <c r="G4562">
        <v>61</v>
      </c>
      <c r="H4562">
        <v>0.19</v>
      </c>
      <c r="I4562" t="s">
        <v>23</v>
      </c>
      <c r="J4562">
        <v>0</v>
      </c>
      <c r="K4562">
        <v>1</v>
      </c>
      <c r="L4562">
        <v>1</v>
      </c>
      <c r="M4562">
        <f>VLOOKUP(Table1[[#This Row],[subscription_type]],Plans!$A$1:$B$5,2,FALSE)</f>
        <v>4.99</v>
      </c>
      <c r="N4562">
        <f t="shared" si="71"/>
        <v>4.99</v>
      </c>
    </row>
    <row r="4563" spans="1:14" x14ac:dyDescent="0.35">
      <c r="A4563">
        <v>4562</v>
      </c>
      <c r="B4563" t="s">
        <v>12</v>
      </c>
      <c r="C4563">
        <v>32</v>
      </c>
      <c r="D4563" t="s">
        <v>29</v>
      </c>
      <c r="E4563" t="s">
        <v>22</v>
      </c>
      <c r="F4563">
        <v>106</v>
      </c>
      <c r="G4563">
        <v>94</v>
      </c>
      <c r="H4563">
        <v>7.0000000000000007E-2</v>
      </c>
      <c r="I4563" t="s">
        <v>15</v>
      </c>
      <c r="J4563">
        <v>0</v>
      </c>
      <c r="K4563">
        <v>1</v>
      </c>
      <c r="L4563">
        <v>0</v>
      </c>
      <c r="M4563">
        <f>VLOOKUP(Table1[[#This Row],[subscription_type]],Plans!$A$1:$B$5,2,FALSE)</f>
        <v>9.99</v>
      </c>
      <c r="N4563">
        <f t="shared" si="71"/>
        <v>0</v>
      </c>
    </row>
    <row r="4564" spans="1:14" x14ac:dyDescent="0.35">
      <c r="A4564">
        <v>4563</v>
      </c>
      <c r="B4564" t="s">
        <v>16</v>
      </c>
      <c r="C4564">
        <v>31</v>
      </c>
      <c r="D4564" t="s">
        <v>28</v>
      </c>
      <c r="E4564" t="s">
        <v>24</v>
      </c>
      <c r="F4564">
        <v>11</v>
      </c>
      <c r="G4564">
        <v>61</v>
      </c>
      <c r="H4564">
        <v>0</v>
      </c>
      <c r="I4564" t="s">
        <v>19</v>
      </c>
      <c r="J4564">
        <v>0</v>
      </c>
      <c r="K4564">
        <v>1</v>
      </c>
      <c r="L4564">
        <v>0</v>
      </c>
      <c r="M4564">
        <f>VLOOKUP(Table1[[#This Row],[subscription_type]],Plans!$A$1:$B$5,2,FALSE)</f>
        <v>4.99</v>
      </c>
      <c r="N4564">
        <f t="shared" si="71"/>
        <v>0</v>
      </c>
    </row>
    <row r="4565" spans="1:14" x14ac:dyDescent="0.35">
      <c r="A4565">
        <v>4564</v>
      </c>
      <c r="B4565" t="s">
        <v>20</v>
      </c>
      <c r="C4565">
        <v>32</v>
      </c>
      <c r="D4565" t="s">
        <v>28</v>
      </c>
      <c r="E4565" t="s">
        <v>18</v>
      </c>
      <c r="F4565">
        <v>116</v>
      </c>
      <c r="G4565">
        <v>77</v>
      </c>
      <c r="H4565">
        <v>0.56999999999999995</v>
      </c>
      <c r="I4565" t="s">
        <v>23</v>
      </c>
      <c r="J4565">
        <v>0</v>
      </c>
      <c r="K4565">
        <v>1</v>
      </c>
      <c r="L4565">
        <v>0</v>
      </c>
      <c r="M4565">
        <f>VLOOKUP(Table1[[#This Row],[subscription_type]],Plans!$A$1:$B$5,2,FALSE)</f>
        <v>14.99</v>
      </c>
      <c r="N4565">
        <f t="shared" si="71"/>
        <v>0</v>
      </c>
    </row>
    <row r="4566" spans="1:14" x14ac:dyDescent="0.35">
      <c r="A4566">
        <v>4565</v>
      </c>
      <c r="B4566" t="s">
        <v>16</v>
      </c>
      <c r="C4566">
        <v>29</v>
      </c>
      <c r="D4566" t="s">
        <v>26</v>
      </c>
      <c r="E4566" t="s">
        <v>22</v>
      </c>
      <c r="F4566">
        <v>42</v>
      </c>
      <c r="G4566">
        <v>51</v>
      </c>
      <c r="H4566">
        <v>0.6</v>
      </c>
      <c r="I4566" t="s">
        <v>23</v>
      </c>
      <c r="J4566">
        <v>0</v>
      </c>
      <c r="K4566">
        <v>1</v>
      </c>
      <c r="L4566">
        <v>0</v>
      </c>
      <c r="M4566">
        <f>VLOOKUP(Table1[[#This Row],[subscription_type]],Plans!$A$1:$B$5,2,FALSE)</f>
        <v>9.99</v>
      </c>
      <c r="N4566">
        <f t="shared" si="71"/>
        <v>0</v>
      </c>
    </row>
    <row r="4567" spans="1:14" x14ac:dyDescent="0.35">
      <c r="A4567">
        <v>4566</v>
      </c>
      <c r="B4567" t="s">
        <v>20</v>
      </c>
      <c r="C4567">
        <v>36</v>
      </c>
      <c r="D4567" t="s">
        <v>26</v>
      </c>
      <c r="E4567" t="s">
        <v>14</v>
      </c>
      <c r="F4567">
        <v>192</v>
      </c>
      <c r="G4567">
        <v>45</v>
      </c>
      <c r="H4567">
        <v>0.35</v>
      </c>
      <c r="I4567" t="s">
        <v>19</v>
      </c>
      <c r="J4567">
        <v>37</v>
      </c>
      <c r="K4567">
        <v>0</v>
      </c>
      <c r="L4567">
        <v>1</v>
      </c>
      <c r="M4567">
        <f>VLOOKUP(Table1[[#This Row],[subscription_type]],Plans!$A$1:$B$5,2,FALSE)</f>
        <v>0</v>
      </c>
      <c r="N4567">
        <f t="shared" si="71"/>
        <v>0</v>
      </c>
    </row>
    <row r="4568" spans="1:14" x14ac:dyDescent="0.35">
      <c r="A4568">
        <v>4567</v>
      </c>
      <c r="B4568" t="s">
        <v>12</v>
      </c>
      <c r="C4568">
        <v>30</v>
      </c>
      <c r="D4568" t="s">
        <v>26</v>
      </c>
      <c r="E4568" t="s">
        <v>18</v>
      </c>
      <c r="F4568">
        <v>96</v>
      </c>
      <c r="G4568">
        <v>10</v>
      </c>
      <c r="H4568">
        <v>0.39</v>
      </c>
      <c r="I4568" t="s">
        <v>15</v>
      </c>
      <c r="J4568">
        <v>0</v>
      </c>
      <c r="K4568">
        <v>1</v>
      </c>
      <c r="L4568">
        <v>0</v>
      </c>
      <c r="M4568">
        <f>VLOOKUP(Table1[[#This Row],[subscription_type]],Plans!$A$1:$B$5,2,FALSE)</f>
        <v>14.99</v>
      </c>
      <c r="N4568">
        <f t="shared" si="71"/>
        <v>0</v>
      </c>
    </row>
    <row r="4569" spans="1:14" x14ac:dyDescent="0.35">
      <c r="A4569">
        <v>4568</v>
      </c>
      <c r="B4569" t="s">
        <v>16</v>
      </c>
      <c r="C4569">
        <v>51</v>
      </c>
      <c r="D4569" t="s">
        <v>17</v>
      </c>
      <c r="E4569" t="s">
        <v>22</v>
      </c>
      <c r="F4569">
        <v>279</v>
      </c>
      <c r="G4569">
        <v>13</v>
      </c>
      <c r="H4569">
        <v>0.22</v>
      </c>
      <c r="I4569" t="s">
        <v>19</v>
      </c>
      <c r="J4569">
        <v>0</v>
      </c>
      <c r="K4569">
        <v>1</v>
      </c>
      <c r="L4569">
        <v>1</v>
      </c>
      <c r="M4569">
        <f>VLOOKUP(Table1[[#This Row],[subscription_type]],Plans!$A$1:$B$5,2,FALSE)</f>
        <v>9.99</v>
      </c>
      <c r="N4569">
        <f t="shared" si="71"/>
        <v>9.99</v>
      </c>
    </row>
    <row r="4570" spans="1:14" x14ac:dyDescent="0.35">
      <c r="A4570">
        <v>4569</v>
      </c>
      <c r="B4570" t="s">
        <v>16</v>
      </c>
      <c r="C4570">
        <v>23</v>
      </c>
      <c r="D4570" t="s">
        <v>25</v>
      </c>
      <c r="E4570" t="s">
        <v>18</v>
      </c>
      <c r="F4570">
        <v>105</v>
      </c>
      <c r="G4570">
        <v>15</v>
      </c>
      <c r="H4570">
        <v>0.49</v>
      </c>
      <c r="I4570" t="s">
        <v>15</v>
      </c>
      <c r="J4570">
        <v>0</v>
      </c>
      <c r="K4570">
        <v>1</v>
      </c>
      <c r="L4570">
        <v>1</v>
      </c>
      <c r="M4570">
        <f>VLOOKUP(Table1[[#This Row],[subscription_type]],Plans!$A$1:$B$5,2,FALSE)</f>
        <v>14.99</v>
      </c>
      <c r="N4570">
        <f t="shared" si="71"/>
        <v>14.99</v>
      </c>
    </row>
    <row r="4571" spans="1:14" x14ac:dyDescent="0.35">
      <c r="A4571">
        <v>4570</v>
      </c>
      <c r="B4571" t="s">
        <v>16</v>
      </c>
      <c r="C4571">
        <v>55</v>
      </c>
      <c r="D4571" t="s">
        <v>29</v>
      </c>
      <c r="E4571" t="s">
        <v>18</v>
      </c>
      <c r="F4571">
        <v>204</v>
      </c>
      <c r="G4571">
        <v>10</v>
      </c>
      <c r="H4571">
        <v>0.12</v>
      </c>
      <c r="I4571" t="s">
        <v>15</v>
      </c>
      <c r="J4571">
        <v>0</v>
      </c>
      <c r="K4571">
        <v>1</v>
      </c>
      <c r="L4571">
        <v>0</v>
      </c>
      <c r="M4571">
        <f>VLOOKUP(Table1[[#This Row],[subscription_type]],Plans!$A$1:$B$5,2,FALSE)</f>
        <v>14.99</v>
      </c>
      <c r="N4571">
        <f t="shared" si="71"/>
        <v>0</v>
      </c>
    </row>
    <row r="4572" spans="1:14" x14ac:dyDescent="0.35">
      <c r="A4572">
        <v>4571</v>
      </c>
      <c r="B4572" t="s">
        <v>20</v>
      </c>
      <c r="C4572">
        <v>48</v>
      </c>
      <c r="D4572" t="s">
        <v>29</v>
      </c>
      <c r="E4572" t="s">
        <v>18</v>
      </c>
      <c r="F4572">
        <v>174</v>
      </c>
      <c r="G4572">
        <v>99</v>
      </c>
      <c r="H4572">
        <v>0.39</v>
      </c>
      <c r="I4572" t="s">
        <v>19</v>
      </c>
      <c r="J4572">
        <v>0</v>
      </c>
      <c r="K4572">
        <v>1</v>
      </c>
      <c r="L4572">
        <v>0</v>
      </c>
      <c r="M4572">
        <f>VLOOKUP(Table1[[#This Row],[subscription_type]],Plans!$A$1:$B$5,2,FALSE)</f>
        <v>14.99</v>
      </c>
      <c r="N4572">
        <f t="shared" si="71"/>
        <v>0</v>
      </c>
    </row>
    <row r="4573" spans="1:14" x14ac:dyDescent="0.35">
      <c r="A4573">
        <v>4572</v>
      </c>
      <c r="B4573" t="s">
        <v>16</v>
      </c>
      <c r="C4573">
        <v>19</v>
      </c>
      <c r="D4573" t="s">
        <v>21</v>
      </c>
      <c r="E4573" t="s">
        <v>22</v>
      </c>
      <c r="F4573">
        <v>125</v>
      </c>
      <c r="G4573">
        <v>95</v>
      </c>
      <c r="H4573">
        <v>0.56999999999999995</v>
      </c>
      <c r="I4573" t="s">
        <v>15</v>
      </c>
      <c r="J4573">
        <v>0</v>
      </c>
      <c r="K4573">
        <v>1</v>
      </c>
      <c r="L4573">
        <v>1</v>
      </c>
      <c r="M4573">
        <f>VLOOKUP(Table1[[#This Row],[subscription_type]],Plans!$A$1:$B$5,2,FALSE)</f>
        <v>9.99</v>
      </c>
      <c r="N4573">
        <f t="shared" si="71"/>
        <v>9.99</v>
      </c>
    </row>
    <row r="4574" spans="1:14" x14ac:dyDescent="0.35">
      <c r="A4574">
        <v>4573</v>
      </c>
      <c r="B4574" t="s">
        <v>16</v>
      </c>
      <c r="C4574">
        <v>44</v>
      </c>
      <c r="D4574" t="s">
        <v>28</v>
      </c>
      <c r="E4574" t="s">
        <v>14</v>
      </c>
      <c r="F4574">
        <v>241</v>
      </c>
      <c r="G4574">
        <v>42</v>
      </c>
      <c r="H4574">
        <v>0.19</v>
      </c>
      <c r="I4574" t="s">
        <v>23</v>
      </c>
      <c r="J4574">
        <v>33</v>
      </c>
      <c r="K4574">
        <v>0</v>
      </c>
      <c r="L4574">
        <v>1</v>
      </c>
      <c r="M4574">
        <f>VLOOKUP(Table1[[#This Row],[subscription_type]],Plans!$A$1:$B$5,2,FALSE)</f>
        <v>0</v>
      </c>
      <c r="N4574">
        <f t="shared" si="71"/>
        <v>0</v>
      </c>
    </row>
    <row r="4575" spans="1:14" x14ac:dyDescent="0.35">
      <c r="A4575">
        <v>4574</v>
      </c>
      <c r="B4575" t="s">
        <v>20</v>
      </c>
      <c r="C4575">
        <v>59</v>
      </c>
      <c r="D4575" t="s">
        <v>17</v>
      </c>
      <c r="E4575" t="s">
        <v>18</v>
      </c>
      <c r="F4575">
        <v>195</v>
      </c>
      <c r="G4575">
        <v>21</v>
      </c>
      <c r="H4575">
        <v>0.54</v>
      </c>
      <c r="I4575" t="s">
        <v>15</v>
      </c>
      <c r="J4575">
        <v>0</v>
      </c>
      <c r="K4575">
        <v>1</v>
      </c>
      <c r="L4575">
        <v>0</v>
      </c>
      <c r="M4575">
        <f>VLOOKUP(Table1[[#This Row],[subscription_type]],Plans!$A$1:$B$5,2,FALSE)</f>
        <v>14.99</v>
      </c>
      <c r="N4575">
        <f t="shared" si="71"/>
        <v>0</v>
      </c>
    </row>
    <row r="4576" spans="1:14" x14ac:dyDescent="0.35">
      <c r="A4576">
        <v>4575</v>
      </c>
      <c r="B4576" t="s">
        <v>12</v>
      </c>
      <c r="C4576">
        <v>39</v>
      </c>
      <c r="D4576" t="s">
        <v>13</v>
      </c>
      <c r="E4576" t="s">
        <v>14</v>
      </c>
      <c r="F4576">
        <v>68</v>
      </c>
      <c r="G4576">
        <v>43</v>
      </c>
      <c r="H4576">
        <v>0.1</v>
      </c>
      <c r="I4576" t="s">
        <v>23</v>
      </c>
      <c r="J4576">
        <v>5</v>
      </c>
      <c r="K4576">
        <v>0</v>
      </c>
      <c r="L4576">
        <v>1</v>
      </c>
      <c r="M4576">
        <f>VLOOKUP(Table1[[#This Row],[subscription_type]],Plans!$A$1:$B$5,2,FALSE)</f>
        <v>0</v>
      </c>
      <c r="N4576">
        <f t="shared" si="71"/>
        <v>0</v>
      </c>
    </row>
    <row r="4577" spans="1:14" x14ac:dyDescent="0.35">
      <c r="A4577">
        <v>4576</v>
      </c>
      <c r="B4577" t="s">
        <v>20</v>
      </c>
      <c r="C4577">
        <v>59</v>
      </c>
      <c r="D4577" t="s">
        <v>28</v>
      </c>
      <c r="E4577" t="s">
        <v>22</v>
      </c>
      <c r="F4577">
        <v>187</v>
      </c>
      <c r="G4577">
        <v>79</v>
      </c>
      <c r="H4577">
        <v>0.31</v>
      </c>
      <c r="I4577" t="s">
        <v>23</v>
      </c>
      <c r="J4577">
        <v>0</v>
      </c>
      <c r="K4577">
        <v>1</v>
      </c>
      <c r="L4577">
        <v>1</v>
      </c>
      <c r="M4577">
        <f>VLOOKUP(Table1[[#This Row],[subscription_type]],Plans!$A$1:$B$5,2,FALSE)</f>
        <v>9.99</v>
      </c>
      <c r="N4577">
        <f t="shared" si="71"/>
        <v>9.99</v>
      </c>
    </row>
    <row r="4578" spans="1:14" x14ac:dyDescent="0.35">
      <c r="A4578">
        <v>4577</v>
      </c>
      <c r="B4578" t="s">
        <v>16</v>
      </c>
      <c r="C4578">
        <v>45</v>
      </c>
      <c r="D4578" t="s">
        <v>21</v>
      </c>
      <c r="E4578" t="s">
        <v>18</v>
      </c>
      <c r="F4578">
        <v>61</v>
      </c>
      <c r="G4578">
        <v>95</v>
      </c>
      <c r="H4578">
        <v>0.28999999999999998</v>
      </c>
      <c r="I4578" t="s">
        <v>19</v>
      </c>
      <c r="J4578">
        <v>0</v>
      </c>
      <c r="K4578">
        <v>1</v>
      </c>
      <c r="L4578">
        <v>1</v>
      </c>
      <c r="M4578">
        <f>VLOOKUP(Table1[[#This Row],[subscription_type]],Plans!$A$1:$B$5,2,FALSE)</f>
        <v>14.99</v>
      </c>
      <c r="N4578">
        <f t="shared" si="71"/>
        <v>14.99</v>
      </c>
    </row>
    <row r="4579" spans="1:14" x14ac:dyDescent="0.35">
      <c r="A4579">
        <v>4578</v>
      </c>
      <c r="B4579" t="s">
        <v>20</v>
      </c>
      <c r="C4579">
        <v>39</v>
      </c>
      <c r="D4579" t="s">
        <v>13</v>
      </c>
      <c r="E4579" t="s">
        <v>24</v>
      </c>
      <c r="F4579">
        <v>112</v>
      </c>
      <c r="G4579">
        <v>53</v>
      </c>
      <c r="H4579">
        <v>0.27</v>
      </c>
      <c r="I4579" t="s">
        <v>23</v>
      </c>
      <c r="J4579">
        <v>0</v>
      </c>
      <c r="K4579">
        <v>1</v>
      </c>
      <c r="L4579">
        <v>0</v>
      </c>
      <c r="M4579">
        <f>VLOOKUP(Table1[[#This Row],[subscription_type]],Plans!$A$1:$B$5,2,FALSE)</f>
        <v>4.99</v>
      </c>
      <c r="N4579">
        <f t="shared" si="71"/>
        <v>0</v>
      </c>
    </row>
    <row r="4580" spans="1:14" x14ac:dyDescent="0.35">
      <c r="A4580">
        <v>4579</v>
      </c>
      <c r="B4580" t="s">
        <v>16</v>
      </c>
      <c r="C4580">
        <v>31</v>
      </c>
      <c r="D4580" t="s">
        <v>25</v>
      </c>
      <c r="E4580" t="s">
        <v>22</v>
      </c>
      <c r="F4580">
        <v>103</v>
      </c>
      <c r="G4580">
        <v>44</v>
      </c>
      <c r="H4580">
        <v>0.52</v>
      </c>
      <c r="I4580" t="s">
        <v>15</v>
      </c>
      <c r="J4580">
        <v>0</v>
      </c>
      <c r="K4580">
        <v>1</v>
      </c>
      <c r="L4580">
        <v>0</v>
      </c>
      <c r="M4580">
        <f>VLOOKUP(Table1[[#This Row],[subscription_type]],Plans!$A$1:$B$5,2,FALSE)</f>
        <v>9.99</v>
      </c>
      <c r="N4580">
        <f t="shared" si="71"/>
        <v>0</v>
      </c>
    </row>
    <row r="4581" spans="1:14" x14ac:dyDescent="0.35">
      <c r="A4581">
        <v>4580</v>
      </c>
      <c r="B4581" t="s">
        <v>12</v>
      </c>
      <c r="C4581">
        <v>51</v>
      </c>
      <c r="D4581" t="s">
        <v>29</v>
      </c>
      <c r="E4581" t="s">
        <v>24</v>
      </c>
      <c r="F4581">
        <v>126</v>
      </c>
      <c r="G4581">
        <v>22</v>
      </c>
      <c r="H4581">
        <v>0.57999999999999996</v>
      </c>
      <c r="I4581" t="s">
        <v>23</v>
      </c>
      <c r="J4581">
        <v>0</v>
      </c>
      <c r="K4581">
        <v>1</v>
      </c>
      <c r="L4581">
        <v>0</v>
      </c>
      <c r="M4581">
        <f>VLOOKUP(Table1[[#This Row],[subscription_type]],Plans!$A$1:$B$5,2,FALSE)</f>
        <v>4.99</v>
      </c>
      <c r="N4581">
        <f t="shared" si="71"/>
        <v>0</v>
      </c>
    </row>
    <row r="4582" spans="1:14" x14ac:dyDescent="0.35">
      <c r="A4582">
        <v>4581</v>
      </c>
      <c r="B4582" t="s">
        <v>20</v>
      </c>
      <c r="C4582">
        <v>18</v>
      </c>
      <c r="D4582" t="s">
        <v>26</v>
      </c>
      <c r="E4582" t="s">
        <v>22</v>
      </c>
      <c r="F4582">
        <v>276</v>
      </c>
      <c r="G4582">
        <v>22</v>
      </c>
      <c r="H4582">
        <v>0.18</v>
      </c>
      <c r="I4582" t="s">
        <v>23</v>
      </c>
      <c r="J4582">
        <v>0</v>
      </c>
      <c r="K4582">
        <v>1</v>
      </c>
      <c r="L4582">
        <v>0</v>
      </c>
      <c r="M4582">
        <f>VLOOKUP(Table1[[#This Row],[subscription_type]],Plans!$A$1:$B$5,2,FALSE)</f>
        <v>9.99</v>
      </c>
      <c r="N4582">
        <f t="shared" si="71"/>
        <v>0</v>
      </c>
    </row>
    <row r="4583" spans="1:14" x14ac:dyDescent="0.35">
      <c r="A4583">
        <v>4582</v>
      </c>
      <c r="B4583" t="s">
        <v>12</v>
      </c>
      <c r="C4583">
        <v>58</v>
      </c>
      <c r="D4583" t="s">
        <v>17</v>
      </c>
      <c r="E4583" t="s">
        <v>22</v>
      </c>
      <c r="F4583">
        <v>225</v>
      </c>
      <c r="G4583">
        <v>82</v>
      </c>
      <c r="H4583">
        <v>0.06</v>
      </c>
      <c r="I4583" t="s">
        <v>15</v>
      </c>
      <c r="J4583">
        <v>0</v>
      </c>
      <c r="K4583">
        <v>1</v>
      </c>
      <c r="L4583">
        <v>0</v>
      </c>
      <c r="M4583">
        <f>VLOOKUP(Table1[[#This Row],[subscription_type]],Plans!$A$1:$B$5,2,FALSE)</f>
        <v>9.99</v>
      </c>
      <c r="N4583">
        <f t="shared" si="71"/>
        <v>0</v>
      </c>
    </row>
    <row r="4584" spans="1:14" x14ac:dyDescent="0.35">
      <c r="A4584">
        <v>4583</v>
      </c>
      <c r="B4584" t="s">
        <v>12</v>
      </c>
      <c r="C4584">
        <v>35</v>
      </c>
      <c r="D4584" t="s">
        <v>26</v>
      </c>
      <c r="E4584" t="s">
        <v>14</v>
      </c>
      <c r="F4584">
        <v>227</v>
      </c>
      <c r="G4584">
        <v>82</v>
      </c>
      <c r="H4584">
        <v>0.59</v>
      </c>
      <c r="I4584" t="s">
        <v>15</v>
      </c>
      <c r="J4584">
        <v>7</v>
      </c>
      <c r="K4584">
        <v>0</v>
      </c>
      <c r="L4584">
        <v>1</v>
      </c>
      <c r="M4584">
        <f>VLOOKUP(Table1[[#This Row],[subscription_type]],Plans!$A$1:$B$5,2,FALSE)</f>
        <v>0</v>
      </c>
      <c r="N4584">
        <f t="shared" si="71"/>
        <v>0</v>
      </c>
    </row>
    <row r="4585" spans="1:14" x14ac:dyDescent="0.35">
      <c r="A4585">
        <v>4584</v>
      </c>
      <c r="B4585" t="s">
        <v>16</v>
      </c>
      <c r="C4585">
        <v>45</v>
      </c>
      <c r="D4585" t="s">
        <v>25</v>
      </c>
      <c r="E4585" t="s">
        <v>14</v>
      </c>
      <c r="F4585">
        <v>181</v>
      </c>
      <c r="G4585">
        <v>87</v>
      </c>
      <c r="H4585">
        <v>0.56999999999999995</v>
      </c>
      <c r="I4585" t="s">
        <v>23</v>
      </c>
      <c r="J4585">
        <v>40</v>
      </c>
      <c r="K4585">
        <v>0</v>
      </c>
      <c r="L4585">
        <v>0</v>
      </c>
      <c r="M4585">
        <f>VLOOKUP(Table1[[#This Row],[subscription_type]],Plans!$A$1:$B$5,2,FALSE)</f>
        <v>0</v>
      </c>
      <c r="N4585">
        <f t="shared" si="71"/>
        <v>0</v>
      </c>
    </row>
    <row r="4586" spans="1:14" x14ac:dyDescent="0.35">
      <c r="A4586">
        <v>4585</v>
      </c>
      <c r="B4586" t="s">
        <v>16</v>
      </c>
      <c r="C4586">
        <v>44</v>
      </c>
      <c r="D4586" t="s">
        <v>27</v>
      </c>
      <c r="E4586" t="s">
        <v>24</v>
      </c>
      <c r="F4586">
        <v>255</v>
      </c>
      <c r="G4586">
        <v>74</v>
      </c>
      <c r="H4586">
        <v>0.43</v>
      </c>
      <c r="I4586" t="s">
        <v>15</v>
      </c>
      <c r="J4586">
        <v>0</v>
      </c>
      <c r="K4586">
        <v>1</v>
      </c>
      <c r="L4586">
        <v>0</v>
      </c>
      <c r="M4586">
        <f>VLOOKUP(Table1[[#This Row],[subscription_type]],Plans!$A$1:$B$5,2,FALSE)</f>
        <v>4.99</v>
      </c>
      <c r="N4586">
        <f t="shared" si="71"/>
        <v>0</v>
      </c>
    </row>
    <row r="4587" spans="1:14" x14ac:dyDescent="0.35">
      <c r="A4587">
        <v>4586</v>
      </c>
      <c r="B4587" t="s">
        <v>12</v>
      </c>
      <c r="C4587">
        <v>20</v>
      </c>
      <c r="D4587" t="s">
        <v>25</v>
      </c>
      <c r="E4587" t="s">
        <v>22</v>
      </c>
      <c r="F4587">
        <v>112</v>
      </c>
      <c r="G4587">
        <v>45</v>
      </c>
      <c r="H4587">
        <v>0.55000000000000004</v>
      </c>
      <c r="I4587" t="s">
        <v>19</v>
      </c>
      <c r="J4587">
        <v>0</v>
      </c>
      <c r="K4587">
        <v>1</v>
      </c>
      <c r="L4587">
        <v>0</v>
      </c>
      <c r="M4587">
        <f>VLOOKUP(Table1[[#This Row],[subscription_type]],Plans!$A$1:$B$5,2,FALSE)</f>
        <v>9.99</v>
      </c>
      <c r="N4587">
        <f t="shared" si="71"/>
        <v>0</v>
      </c>
    </row>
    <row r="4588" spans="1:14" x14ac:dyDescent="0.35">
      <c r="A4588">
        <v>4587</v>
      </c>
      <c r="B4588" t="s">
        <v>12</v>
      </c>
      <c r="C4588">
        <v>48</v>
      </c>
      <c r="D4588" t="s">
        <v>21</v>
      </c>
      <c r="E4588" t="s">
        <v>14</v>
      </c>
      <c r="F4588">
        <v>29</v>
      </c>
      <c r="G4588">
        <v>99</v>
      </c>
      <c r="H4588">
        <v>0.4</v>
      </c>
      <c r="I4588" t="s">
        <v>15</v>
      </c>
      <c r="J4588">
        <v>20</v>
      </c>
      <c r="K4588">
        <v>0</v>
      </c>
      <c r="L4588">
        <v>0</v>
      </c>
      <c r="M4588">
        <f>VLOOKUP(Table1[[#This Row],[subscription_type]],Plans!$A$1:$B$5,2,FALSE)</f>
        <v>0</v>
      </c>
      <c r="N4588">
        <f t="shared" si="71"/>
        <v>0</v>
      </c>
    </row>
    <row r="4589" spans="1:14" x14ac:dyDescent="0.35">
      <c r="A4589">
        <v>4588</v>
      </c>
      <c r="B4589" t="s">
        <v>12</v>
      </c>
      <c r="C4589">
        <v>50</v>
      </c>
      <c r="D4589" t="s">
        <v>28</v>
      </c>
      <c r="E4589" t="s">
        <v>22</v>
      </c>
      <c r="F4589">
        <v>129</v>
      </c>
      <c r="G4589">
        <v>25</v>
      </c>
      <c r="H4589">
        <v>0.34</v>
      </c>
      <c r="I4589" t="s">
        <v>23</v>
      </c>
      <c r="J4589">
        <v>0</v>
      </c>
      <c r="K4589">
        <v>1</v>
      </c>
      <c r="L4589">
        <v>0</v>
      </c>
      <c r="M4589">
        <f>VLOOKUP(Table1[[#This Row],[subscription_type]],Plans!$A$1:$B$5,2,FALSE)</f>
        <v>9.99</v>
      </c>
      <c r="N4589">
        <f t="shared" si="71"/>
        <v>0</v>
      </c>
    </row>
    <row r="4590" spans="1:14" x14ac:dyDescent="0.35">
      <c r="A4590">
        <v>4589</v>
      </c>
      <c r="B4590" t="s">
        <v>16</v>
      </c>
      <c r="C4590">
        <v>48</v>
      </c>
      <c r="D4590" t="s">
        <v>25</v>
      </c>
      <c r="E4590" t="s">
        <v>14</v>
      </c>
      <c r="F4590">
        <v>107</v>
      </c>
      <c r="G4590">
        <v>6</v>
      </c>
      <c r="H4590">
        <v>0.06</v>
      </c>
      <c r="I4590" t="s">
        <v>19</v>
      </c>
      <c r="J4590">
        <v>45</v>
      </c>
      <c r="K4590">
        <v>0</v>
      </c>
      <c r="L4590">
        <v>0</v>
      </c>
      <c r="M4590">
        <f>VLOOKUP(Table1[[#This Row],[subscription_type]],Plans!$A$1:$B$5,2,FALSE)</f>
        <v>0</v>
      </c>
      <c r="N4590">
        <f t="shared" si="71"/>
        <v>0</v>
      </c>
    </row>
    <row r="4591" spans="1:14" x14ac:dyDescent="0.35">
      <c r="A4591">
        <v>4590</v>
      </c>
      <c r="B4591" t="s">
        <v>12</v>
      </c>
      <c r="C4591">
        <v>46</v>
      </c>
      <c r="D4591" t="s">
        <v>21</v>
      </c>
      <c r="E4591" t="s">
        <v>22</v>
      </c>
      <c r="F4591">
        <v>281</v>
      </c>
      <c r="G4591">
        <v>72</v>
      </c>
      <c r="H4591">
        <v>0.11</v>
      </c>
      <c r="I4591" t="s">
        <v>19</v>
      </c>
      <c r="J4591">
        <v>0</v>
      </c>
      <c r="K4591">
        <v>1</v>
      </c>
      <c r="L4591">
        <v>1</v>
      </c>
      <c r="M4591">
        <f>VLOOKUP(Table1[[#This Row],[subscription_type]],Plans!$A$1:$B$5,2,FALSE)</f>
        <v>9.99</v>
      </c>
      <c r="N4591">
        <f t="shared" si="71"/>
        <v>9.99</v>
      </c>
    </row>
    <row r="4592" spans="1:14" x14ac:dyDescent="0.35">
      <c r="A4592">
        <v>4591</v>
      </c>
      <c r="B4592" t="s">
        <v>16</v>
      </c>
      <c r="C4592">
        <v>23</v>
      </c>
      <c r="D4592" t="s">
        <v>17</v>
      </c>
      <c r="E4592" t="s">
        <v>18</v>
      </c>
      <c r="F4592">
        <v>28</v>
      </c>
      <c r="G4592">
        <v>87</v>
      </c>
      <c r="H4592">
        <v>0.39</v>
      </c>
      <c r="I4592" t="s">
        <v>15</v>
      </c>
      <c r="J4592">
        <v>0</v>
      </c>
      <c r="K4592">
        <v>1</v>
      </c>
      <c r="L4592">
        <v>0</v>
      </c>
      <c r="M4592">
        <f>VLOOKUP(Table1[[#This Row],[subscription_type]],Plans!$A$1:$B$5,2,FALSE)</f>
        <v>14.99</v>
      </c>
      <c r="N4592">
        <f t="shared" si="71"/>
        <v>0</v>
      </c>
    </row>
    <row r="4593" spans="1:14" x14ac:dyDescent="0.35">
      <c r="A4593">
        <v>4592</v>
      </c>
      <c r="B4593" t="s">
        <v>20</v>
      </c>
      <c r="C4593">
        <v>40</v>
      </c>
      <c r="D4593" t="s">
        <v>17</v>
      </c>
      <c r="E4593" t="s">
        <v>24</v>
      </c>
      <c r="F4593">
        <v>132</v>
      </c>
      <c r="G4593">
        <v>39</v>
      </c>
      <c r="H4593">
        <v>0.09</v>
      </c>
      <c r="I4593" t="s">
        <v>15</v>
      </c>
      <c r="J4593">
        <v>0</v>
      </c>
      <c r="K4593">
        <v>1</v>
      </c>
      <c r="L4593">
        <v>0</v>
      </c>
      <c r="M4593">
        <f>VLOOKUP(Table1[[#This Row],[subscription_type]],Plans!$A$1:$B$5,2,FALSE)</f>
        <v>4.99</v>
      </c>
      <c r="N4593">
        <f t="shared" si="71"/>
        <v>0</v>
      </c>
    </row>
    <row r="4594" spans="1:14" x14ac:dyDescent="0.35">
      <c r="A4594">
        <v>4593</v>
      </c>
      <c r="B4594" t="s">
        <v>20</v>
      </c>
      <c r="C4594">
        <v>27</v>
      </c>
      <c r="D4594" t="s">
        <v>25</v>
      </c>
      <c r="E4594" t="s">
        <v>22</v>
      </c>
      <c r="F4594">
        <v>274</v>
      </c>
      <c r="G4594">
        <v>17</v>
      </c>
      <c r="H4594">
        <v>0.24</v>
      </c>
      <c r="I4594" t="s">
        <v>15</v>
      </c>
      <c r="J4594">
        <v>0</v>
      </c>
      <c r="K4594">
        <v>1</v>
      </c>
      <c r="L4594">
        <v>1</v>
      </c>
      <c r="M4594">
        <f>VLOOKUP(Table1[[#This Row],[subscription_type]],Plans!$A$1:$B$5,2,FALSE)</f>
        <v>9.99</v>
      </c>
      <c r="N4594">
        <f t="shared" si="71"/>
        <v>9.99</v>
      </c>
    </row>
    <row r="4595" spans="1:14" x14ac:dyDescent="0.35">
      <c r="A4595">
        <v>4594</v>
      </c>
      <c r="B4595" t="s">
        <v>16</v>
      </c>
      <c r="C4595">
        <v>36</v>
      </c>
      <c r="D4595" t="s">
        <v>28</v>
      </c>
      <c r="E4595" t="s">
        <v>18</v>
      </c>
      <c r="F4595">
        <v>205</v>
      </c>
      <c r="G4595">
        <v>60</v>
      </c>
      <c r="H4595">
        <v>0.43</v>
      </c>
      <c r="I4595" t="s">
        <v>23</v>
      </c>
      <c r="J4595">
        <v>0</v>
      </c>
      <c r="K4595">
        <v>1</v>
      </c>
      <c r="L4595">
        <v>0</v>
      </c>
      <c r="M4595">
        <f>VLOOKUP(Table1[[#This Row],[subscription_type]],Plans!$A$1:$B$5,2,FALSE)</f>
        <v>14.99</v>
      </c>
      <c r="N4595">
        <f t="shared" si="71"/>
        <v>0</v>
      </c>
    </row>
    <row r="4596" spans="1:14" x14ac:dyDescent="0.35">
      <c r="A4596">
        <v>4595</v>
      </c>
      <c r="B4596" t="s">
        <v>20</v>
      </c>
      <c r="C4596">
        <v>56</v>
      </c>
      <c r="D4596" t="s">
        <v>26</v>
      </c>
      <c r="E4596" t="s">
        <v>24</v>
      </c>
      <c r="F4596">
        <v>190</v>
      </c>
      <c r="G4596">
        <v>94</v>
      </c>
      <c r="H4596">
        <v>0.44</v>
      </c>
      <c r="I4596" t="s">
        <v>19</v>
      </c>
      <c r="J4596">
        <v>0</v>
      </c>
      <c r="K4596">
        <v>1</v>
      </c>
      <c r="L4596">
        <v>0</v>
      </c>
      <c r="M4596">
        <f>VLOOKUP(Table1[[#This Row],[subscription_type]],Plans!$A$1:$B$5,2,FALSE)</f>
        <v>4.99</v>
      </c>
      <c r="N4596">
        <f t="shared" si="71"/>
        <v>0</v>
      </c>
    </row>
    <row r="4597" spans="1:14" x14ac:dyDescent="0.35">
      <c r="A4597">
        <v>4596</v>
      </c>
      <c r="B4597" t="s">
        <v>20</v>
      </c>
      <c r="C4597">
        <v>43</v>
      </c>
      <c r="D4597" t="s">
        <v>29</v>
      </c>
      <c r="E4597" t="s">
        <v>18</v>
      </c>
      <c r="F4597">
        <v>163</v>
      </c>
      <c r="G4597">
        <v>36</v>
      </c>
      <c r="H4597">
        <v>0.28000000000000003</v>
      </c>
      <c r="I4597" t="s">
        <v>15</v>
      </c>
      <c r="J4597">
        <v>0</v>
      </c>
      <c r="K4597">
        <v>1</v>
      </c>
      <c r="L4597">
        <v>0</v>
      </c>
      <c r="M4597">
        <f>VLOOKUP(Table1[[#This Row],[subscription_type]],Plans!$A$1:$B$5,2,FALSE)</f>
        <v>14.99</v>
      </c>
      <c r="N4597">
        <f t="shared" si="71"/>
        <v>0</v>
      </c>
    </row>
    <row r="4598" spans="1:14" x14ac:dyDescent="0.35">
      <c r="A4598">
        <v>4597</v>
      </c>
      <c r="B4598" t="s">
        <v>16</v>
      </c>
      <c r="C4598">
        <v>18</v>
      </c>
      <c r="D4598" t="s">
        <v>17</v>
      </c>
      <c r="E4598" t="s">
        <v>24</v>
      </c>
      <c r="F4598">
        <v>143</v>
      </c>
      <c r="G4598">
        <v>93</v>
      </c>
      <c r="H4598">
        <v>0.59</v>
      </c>
      <c r="I4598" t="s">
        <v>15</v>
      </c>
      <c r="J4598">
        <v>0</v>
      </c>
      <c r="K4598">
        <v>1</v>
      </c>
      <c r="L4598">
        <v>0</v>
      </c>
      <c r="M4598">
        <f>VLOOKUP(Table1[[#This Row],[subscription_type]],Plans!$A$1:$B$5,2,FALSE)</f>
        <v>4.99</v>
      </c>
      <c r="N4598">
        <f t="shared" si="71"/>
        <v>0</v>
      </c>
    </row>
    <row r="4599" spans="1:14" x14ac:dyDescent="0.35">
      <c r="A4599">
        <v>4598</v>
      </c>
      <c r="B4599" t="s">
        <v>20</v>
      </c>
      <c r="C4599">
        <v>23</v>
      </c>
      <c r="D4599" t="s">
        <v>26</v>
      </c>
      <c r="E4599" t="s">
        <v>14</v>
      </c>
      <c r="F4599">
        <v>20</v>
      </c>
      <c r="G4599">
        <v>90</v>
      </c>
      <c r="H4599">
        <v>0.01</v>
      </c>
      <c r="I4599" t="s">
        <v>19</v>
      </c>
      <c r="J4599">
        <v>44</v>
      </c>
      <c r="K4599">
        <v>0</v>
      </c>
      <c r="L4599">
        <v>1</v>
      </c>
      <c r="M4599">
        <f>VLOOKUP(Table1[[#This Row],[subscription_type]],Plans!$A$1:$B$5,2,FALSE)</f>
        <v>0</v>
      </c>
      <c r="N4599">
        <f t="shared" si="71"/>
        <v>0</v>
      </c>
    </row>
    <row r="4600" spans="1:14" x14ac:dyDescent="0.35">
      <c r="A4600">
        <v>4599</v>
      </c>
      <c r="B4600" t="s">
        <v>20</v>
      </c>
      <c r="C4600">
        <v>55</v>
      </c>
      <c r="D4600" t="s">
        <v>28</v>
      </c>
      <c r="E4600" t="s">
        <v>22</v>
      </c>
      <c r="F4600">
        <v>234</v>
      </c>
      <c r="G4600">
        <v>75</v>
      </c>
      <c r="H4600">
        <v>0.54</v>
      </c>
      <c r="I4600" t="s">
        <v>19</v>
      </c>
      <c r="J4600">
        <v>0</v>
      </c>
      <c r="K4600">
        <v>1</v>
      </c>
      <c r="L4600">
        <v>0</v>
      </c>
      <c r="M4600">
        <f>VLOOKUP(Table1[[#This Row],[subscription_type]],Plans!$A$1:$B$5,2,FALSE)</f>
        <v>9.99</v>
      </c>
      <c r="N4600">
        <f t="shared" si="71"/>
        <v>0</v>
      </c>
    </row>
    <row r="4601" spans="1:14" x14ac:dyDescent="0.35">
      <c r="A4601">
        <v>4600</v>
      </c>
      <c r="B4601" t="s">
        <v>12</v>
      </c>
      <c r="C4601">
        <v>44</v>
      </c>
      <c r="D4601" t="s">
        <v>17</v>
      </c>
      <c r="E4601" t="s">
        <v>18</v>
      </c>
      <c r="F4601">
        <v>59</v>
      </c>
      <c r="G4601">
        <v>6</v>
      </c>
      <c r="H4601">
        <v>0.56999999999999995</v>
      </c>
      <c r="I4601" t="s">
        <v>15</v>
      </c>
      <c r="J4601">
        <v>0</v>
      </c>
      <c r="K4601">
        <v>1</v>
      </c>
      <c r="L4601">
        <v>1</v>
      </c>
      <c r="M4601">
        <f>VLOOKUP(Table1[[#This Row],[subscription_type]],Plans!$A$1:$B$5,2,FALSE)</f>
        <v>14.99</v>
      </c>
      <c r="N4601">
        <f t="shared" si="71"/>
        <v>14.99</v>
      </c>
    </row>
    <row r="4602" spans="1:14" x14ac:dyDescent="0.35">
      <c r="A4602">
        <v>4601</v>
      </c>
      <c r="B4602" t="s">
        <v>20</v>
      </c>
      <c r="C4602">
        <v>42</v>
      </c>
      <c r="D4602" t="s">
        <v>21</v>
      </c>
      <c r="E4602" t="s">
        <v>18</v>
      </c>
      <c r="F4602">
        <v>172</v>
      </c>
      <c r="G4602">
        <v>28</v>
      </c>
      <c r="H4602">
        <v>0.56000000000000005</v>
      </c>
      <c r="I4602" t="s">
        <v>23</v>
      </c>
      <c r="J4602">
        <v>0</v>
      </c>
      <c r="K4602">
        <v>1</v>
      </c>
      <c r="L4602">
        <v>0</v>
      </c>
      <c r="M4602">
        <f>VLOOKUP(Table1[[#This Row],[subscription_type]],Plans!$A$1:$B$5,2,FALSE)</f>
        <v>14.99</v>
      </c>
      <c r="N4602">
        <f t="shared" si="71"/>
        <v>0</v>
      </c>
    </row>
    <row r="4603" spans="1:14" x14ac:dyDescent="0.35">
      <c r="A4603">
        <v>4602</v>
      </c>
      <c r="B4603" t="s">
        <v>12</v>
      </c>
      <c r="C4603">
        <v>17</v>
      </c>
      <c r="D4603" t="s">
        <v>28</v>
      </c>
      <c r="E4603" t="s">
        <v>24</v>
      </c>
      <c r="F4603">
        <v>206</v>
      </c>
      <c r="G4603">
        <v>61</v>
      </c>
      <c r="H4603">
        <v>0.1</v>
      </c>
      <c r="I4603" t="s">
        <v>23</v>
      </c>
      <c r="J4603">
        <v>0</v>
      </c>
      <c r="K4603">
        <v>1</v>
      </c>
      <c r="L4603">
        <v>1</v>
      </c>
      <c r="M4603">
        <f>VLOOKUP(Table1[[#This Row],[subscription_type]],Plans!$A$1:$B$5,2,FALSE)</f>
        <v>4.99</v>
      </c>
      <c r="N4603">
        <f t="shared" si="71"/>
        <v>4.99</v>
      </c>
    </row>
    <row r="4604" spans="1:14" x14ac:dyDescent="0.35">
      <c r="A4604">
        <v>4603</v>
      </c>
      <c r="B4604" t="s">
        <v>16</v>
      </c>
      <c r="C4604">
        <v>36</v>
      </c>
      <c r="D4604" t="s">
        <v>27</v>
      </c>
      <c r="E4604" t="s">
        <v>22</v>
      </c>
      <c r="F4604">
        <v>226</v>
      </c>
      <c r="G4604">
        <v>24</v>
      </c>
      <c r="H4604">
        <v>0.08</v>
      </c>
      <c r="I4604" t="s">
        <v>15</v>
      </c>
      <c r="J4604">
        <v>0</v>
      </c>
      <c r="K4604">
        <v>1</v>
      </c>
      <c r="L4604">
        <v>1</v>
      </c>
      <c r="M4604">
        <f>VLOOKUP(Table1[[#This Row],[subscription_type]],Plans!$A$1:$B$5,2,FALSE)</f>
        <v>9.99</v>
      </c>
      <c r="N4604">
        <f t="shared" si="71"/>
        <v>9.99</v>
      </c>
    </row>
    <row r="4605" spans="1:14" x14ac:dyDescent="0.35">
      <c r="A4605">
        <v>4604</v>
      </c>
      <c r="B4605" t="s">
        <v>12</v>
      </c>
      <c r="C4605">
        <v>44</v>
      </c>
      <c r="D4605" t="s">
        <v>28</v>
      </c>
      <c r="E4605" t="s">
        <v>18</v>
      </c>
      <c r="F4605">
        <v>41</v>
      </c>
      <c r="G4605">
        <v>46</v>
      </c>
      <c r="H4605">
        <v>0.25</v>
      </c>
      <c r="I4605" t="s">
        <v>23</v>
      </c>
      <c r="J4605">
        <v>0</v>
      </c>
      <c r="K4605">
        <v>1</v>
      </c>
      <c r="L4605">
        <v>0</v>
      </c>
      <c r="M4605">
        <f>VLOOKUP(Table1[[#This Row],[subscription_type]],Plans!$A$1:$B$5,2,FALSE)</f>
        <v>14.99</v>
      </c>
      <c r="N4605">
        <f t="shared" si="71"/>
        <v>0</v>
      </c>
    </row>
    <row r="4606" spans="1:14" x14ac:dyDescent="0.35">
      <c r="A4606">
        <v>4605</v>
      </c>
      <c r="B4606" t="s">
        <v>20</v>
      </c>
      <c r="C4606">
        <v>20</v>
      </c>
      <c r="D4606" t="s">
        <v>21</v>
      </c>
      <c r="E4606" t="s">
        <v>24</v>
      </c>
      <c r="F4606">
        <v>215</v>
      </c>
      <c r="G4606">
        <v>71</v>
      </c>
      <c r="H4606">
        <v>0.56000000000000005</v>
      </c>
      <c r="I4606" t="s">
        <v>23</v>
      </c>
      <c r="J4606">
        <v>0</v>
      </c>
      <c r="K4606">
        <v>1</v>
      </c>
      <c r="L4606">
        <v>0</v>
      </c>
      <c r="M4606">
        <f>VLOOKUP(Table1[[#This Row],[subscription_type]],Plans!$A$1:$B$5,2,FALSE)</f>
        <v>4.99</v>
      </c>
      <c r="N4606">
        <f t="shared" si="71"/>
        <v>0</v>
      </c>
    </row>
    <row r="4607" spans="1:14" x14ac:dyDescent="0.35">
      <c r="A4607">
        <v>4606</v>
      </c>
      <c r="B4607" t="s">
        <v>16</v>
      </c>
      <c r="C4607">
        <v>55</v>
      </c>
      <c r="D4607" t="s">
        <v>26</v>
      </c>
      <c r="E4607" t="s">
        <v>24</v>
      </c>
      <c r="F4607">
        <v>108</v>
      </c>
      <c r="G4607">
        <v>66</v>
      </c>
      <c r="H4607">
        <v>0.35</v>
      </c>
      <c r="I4607" t="s">
        <v>19</v>
      </c>
      <c r="J4607">
        <v>0</v>
      </c>
      <c r="K4607">
        <v>1</v>
      </c>
      <c r="L4607">
        <v>0</v>
      </c>
      <c r="M4607">
        <f>VLOOKUP(Table1[[#This Row],[subscription_type]],Plans!$A$1:$B$5,2,FALSE)</f>
        <v>4.99</v>
      </c>
      <c r="N4607">
        <f t="shared" si="71"/>
        <v>0</v>
      </c>
    </row>
    <row r="4608" spans="1:14" x14ac:dyDescent="0.35">
      <c r="A4608">
        <v>4607</v>
      </c>
      <c r="B4608" t="s">
        <v>16</v>
      </c>
      <c r="C4608">
        <v>28</v>
      </c>
      <c r="D4608" t="s">
        <v>29</v>
      </c>
      <c r="E4608" t="s">
        <v>14</v>
      </c>
      <c r="F4608">
        <v>108</v>
      </c>
      <c r="G4608">
        <v>68</v>
      </c>
      <c r="H4608">
        <v>0</v>
      </c>
      <c r="I4608" t="s">
        <v>15</v>
      </c>
      <c r="J4608">
        <v>21</v>
      </c>
      <c r="K4608">
        <v>0</v>
      </c>
      <c r="L4608">
        <v>1</v>
      </c>
      <c r="M4608">
        <f>VLOOKUP(Table1[[#This Row],[subscription_type]],Plans!$A$1:$B$5,2,FALSE)</f>
        <v>0</v>
      </c>
      <c r="N4608">
        <f t="shared" si="71"/>
        <v>0</v>
      </c>
    </row>
    <row r="4609" spans="1:14" x14ac:dyDescent="0.35">
      <c r="A4609">
        <v>4608</v>
      </c>
      <c r="B4609" t="s">
        <v>12</v>
      </c>
      <c r="C4609">
        <v>35</v>
      </c>
      <c r="D4609" t="s">
        <v>28</v>
      </c>
      <c r="E4609" t="s">
        <v>22</v>
      </c>
      <c r="F4609">
        <v>283</v>
      </c>
      <c r="G4609">
        <v>39</v>
      </c>
      <c r="H4609">
        <v>0.12</v>
      </c>
      <c r="I4609" t="s">
        <v>23</v>
      </c>
      <c r="J4609">
        <v>0</v>
      </c>
      <c r="K4609">
        <v>1</v>
      </c>
      <c r="L4609">
        <v>0</v>
      </c>
      <c r="M4609">
        <f>VLOOKUP(Table1[[#This Row],[subscription_type]],Plans!$A$1:$B$5,2,FALSE)</f>
        <v>9.99</v>
      </c>
      <c r="N4609">
        <f t="shared" si="71"/>
        <v>0</v>
      </c>
    </row>
    <row r="4610" spans="1:14" x14ac:dyDescent="0.35">
      <c r="A4610">
        <v>4609</v>
      </c>
      <c r="B4610" t="s">
        <v>20</v>
      </c>
      <c r="C4610">
        <v>30</v>
      </c>
      <c r="D4610" t="s">
        <v>25</v>
      </c>
      <c r="E4610" t="s">
        <v>18</v>
      </c>
      <c r="F4610">
        <v>36</v>
      </c>
      <c r="G4610">
        <v>6</v>
      </c>
      <c r="H4610">
        <v>0.06</v>
      </c>
      <c r="I4610" t="s">
        <v>19</v>
      </c>
      <c r="J4610">
        <v>0</v>
      </c>
      <c r="K4610">
        <v>1</v>
      </c>
      <c r="L4610">
        <v>1</v>
      </c>
      <c r="M4610">
        <f>VLOOKUP(Table1[[#This Row],[subscription_type]],Plans!$A$1:$B$5,2,FALSE)</f>
        <v>14.99</v>
      </c>
      <c r="N4610">
        <f t="shared" ref="N4610:N4673" si="72">IF(L4610=1, M4610,0)</f>
        <v>14.99</v>
      </c>
    </row>
    <row r="4611" spans="1:14" x14ac:dyDescent="0.35">
      <c r="A4611">
        <v>4610</v>
      </c>
      <c r="B4611" t="s">
        <v>12</v>
      </c>
      <c r="C4611">
        <v>59</v>
      </c>
      <c r="D4611" t="s">
        <v>29</v>
      </c>
      <c r="E4611" t="s">
        <v>24</v>
      </c>
      <c r="F4611">
        <v>276</v>
      </c>
      <c r="G4611">
        <v>23</v>
      </c>
      <c r="H4611">
        <v>0.45</v>
      </c>
      <c r="I4611" t="s">
        <v>15</v>
      </c>
      <c r="J4611">
        <v>0</v>
      </c>
      <c r="K4611">
        <v>1</v>
      </c>
      <c r="L4611">
        <v>1</v>
      </c>
      <c r="M4611">
        <f>VLOOKUP(Table1[[#This Row],[subscription_type]],Plans!$A$1:$B$5,2,FALSE)</f>
        <v>4.99</v>
      </c>
      <c r="N4611">
        <f t="shared" si="72"/>
        <v>4.99</v>
      </c>
    </row>
    <row r="4612" spans="1:14" x14ac:dyDescent="0.35">
      <c r="A4612">
        <v>4611</v>
      </c>
      <c r="B4612" t="s">
        <v>20</v>
      </c>
      <c r="C4612">
        <v>47</v>
      </c>
      <c r="D4612" t="s">
        <v>28</v>
      </c>
      <c r="E4612" t="s">
        <v>22</v>
      </c>
      <c r="F4612">
        <v>73</v>
      </c>
      <c r="G4612">
        <v>59</v>
      </c>
      <c r="H4612">
        <v>0.42</v>
      </c>
      <c r="I4612" t="s">
        <v>23</v>
      </c>
      <c r="J4612">
        <v>0</v>
      </c>
      <c r="K4612">
        <v>1</v>
      </c>
      <c r="L4612">
        <v>0</v>
      </c>
      <c r="M4612">
        <f>VLOOKUP(Table1[[#This Row],[subscription_type]],Plans!$A$1:$B$5,2,FALSE)</f>
        <v>9.99</v>
      </c>
      <c r="N4612">
        <f t="shared" si="72"/>
        <v>0</v>
      </c>
    </row>
    <row r="4613" spans="1:14" x14ac:dyDescent="0.35">
      <c r="A4613">
        <v>4612</v>
      </c>
      <c r="B4613" t="s">
        <v>16</v>
      </c>
      <c r="C4613">
        <v>46</v>
      </c>
      <c r="D4613" t="s">
        <v>28</v>
      </c>
      <c r="E4613" t="s">
        <v>14</v>
      </c>
      <c r="F4613">
        <v>10</v>
      </c>
      <c r="G4613">
        <v>41</v>
      </c>
      <c r="H4613">
        <v>0.52</v>
      </c>
      <c r="I4613" t="s">
        <v>15</v>
      </c>
      <c r="J4613">
        <v>20</v>
      </c>
      <c r="K4613">
        <v>0</v>
      </c>
      <c r="L4613">
        <v>1</v>
      </c>
      <c r="M4613">
        <f>VLOOKUP(Table1[[#This Row],[subscription_type]],Plans!$A$1:$B$5,2,FALSE)</f>
        <v>0</v>
      </c>
      <c r="N4613">
        <f t="shared" si="72"/>
        <v>0</v>
      </c>
    </row>
    <row r="4614" spans="1:14" x14ac:dyDescent="0.35">
      <c r="A4614">
        <v>4613</v>
      </c>
      <c r="B4614" t="s">
        <v>20</v>
      </c>
      <c r="C4614">
        <v>37</v>
      </c>
      <c r="D4614" t="s">
        <v>29</v>
      </c>
      <c r="E4614" t="s">
        <v>18</v>
      </c>
      <c r="F4614">
        <v>110</v>
      </c>
      <c r="G4614">
        <v>38</v>
      </c>
      <c r="H4614">
        <v>0.56999999999999995</v>
      </c>
      <c r="I4614" t="s">
        <v>19</v>
      </c>
      <c r="J4614">
        <v>0</v>
      </c>
      <c r="K4614">
        <v>1</v>
      </c>
      <c r="L4614">
        <v>1</v>
      </c>
      <c r="M4614">
        <f>VLOOKUP(Table1[[#This Row],[subscription_type]],Plans!$A$1:$B$5,2,FALSE)</f>
        <v>14.99</v>
      </c>
      <c r="N4614">
        <f t="shared" si="72"/>
        <v>14.99</v>
      </c>
    </row>
    <row r="4615" spans="1:14" x14ac:dyDescent="0.35">
      <c r="A4615">
        <v>4614</v>
      </c>
      <c r="B4615" t="s">
        <v>12</v>
      </c>
      <c r="C4615">
        <v>52</v>
      </c>
      <c r="D4615" t="s">
        <v>25</v>
      </c>
      <c r="E4615" t="s">
        <v>18</v>
      </c>
      <c r="F4615">
        <v>177</v>
      </c>
      <c r="G4615">
        <v>83</v>
      </c>
      <c r="H4615">
        <v>0.45</v>
      </c>
      <c r="I4615" t="s">
        <v>15</v>
      </c>
      <c r="J4615">
        <v>0</v>
      </c>
      <c r="K4615">
        <v>1</v>
      </c>
      <c r="L4615">
        <v>0</v>
      </c>
      <c r="M4615">
        <f>VLOOKUP(Table1[[#This Row],[subscription_type]],Plans!$A$1:$B$5,2,FALSE)</f>
        <v>14.99</v>
      </c>
      <c r="N4615">
        <f t="shared" si="72"/>
        <v>0</v>
      </c>
    </row>
    <row r="4616" spans="1:14" x14ac:dyDescent="0.35">
      <c r="A4616">
        <v>4615</v>
      </c>
      <c r="B4616" t="s">
        <v>16</v>
      </c>
      <c r="C4616">
        <v>23</v>
      </c>
      <c r="D4616" t="s">
        <v>17</v>
      </c>
      <c r="E4616" t="s">
        <v>14</v>
      </c>
      <c r="F4616">
        <v>155</v>
      </c>
      <c r="G4616">
        <v>88</v>
      </c>
      <c r="H4616">
        <v>0.34</v>
      </c>
      <c r="I4616" t="s">
        <v>19</v>
      </c>
      <c r="J4616">
        <v>9</v>
      </c>
      <c r="K4616">
        <v>0</v>
      </c>
      <c r="L4616">
        <v>0</v>
      </c>
      <c r="M4616">
        <f>VLOOKUP(Table1[[#This Row],[subscription_type]],Plans!$A$1:$B$5,2,FALSE)</f>
        <v>0</v>
      </c>
      <c r="N4616">
        <f t="shared" si="72"/>
        <v>0</v>
      </c>
    </row>
    <row r="4617" spans="1:14" x14ac:dyDescent="0.35">
      <c r="A4617">
        <v>4616</v>
      </c>
      <c r="B4617" t="s">
        <v>12</v>
      </c>
      <c r="C4617">
        <v>54</v>
      </c>
      <c r="D4617" t="s">
        <v>26</v>
      </c>
      <c r="E4617" t="s">
        <v>14</v>
      </c>
      <c r="F4617">
        <v>33</v>
      </c>
      <c r="G4617">
        <v>61</v>
      </c>
      <c r="H4617">
        <v>0.59</v>
      </c>
      <c r="I4617" t="s">
        <v>23</v>
      </c>
      <c r="J4617">
        <v>29</v>
      </c>
      <c r="K4617">
        <v>0</v>
      </c>
      <c r="L4617">
        <v>1</v>
      </c>
      <c r="M4617">
        <f>VLOOKUP(Table1[[#This Row],[subscription_type]],Plans!$A$1:$B$5,2,FALSE)</f>
        <v>0</v>
      </c>
      <c r="N4617">
        <f t="shared" si="72"/>
        <v>0</v>
      </c>
    </row>
    <row r="4618" spans="1:14" x14ac:dyDescent="0.35">
      <c r="A4618">
        <v>4617</v>
      </c>
      <c r="B4618" t="s">
        <v>12</v>
      </c>
      <c r="C4618">
        <v>49</v>
      </c>
      <c r="D4618" t="s">
        <v>13</v>
      </c>
      <c r="E4618" t="s">
        <v>14</v>
      </c>
      <c r="F4618">
        <v>121</v>
      </c>
      <c r="G4618">
        <v>19</v>
      </c>
      <c r="H4618">
        <v>0.24</v>
      </c>
      <c r="I4618" t="s">
        <v>19</v>
      </c>
      <c r="J4618">
        <v>46</v>
      </c>
      <c r="K4618">
        <v>0</v>
      </c>
      <c r="L4618">
        <v>0</v>
      </c>
      <c r="M4618">
        <f>VLOOKUP(Table1[[#This Row],[subscription_type]],Plans!$A$1:$B$5,2,FALSE)</f>
        <v>0</v>
      </c>
      <c r="N4618">
        <f t="shared" si="72"/>
        <v>0</v>
      </c>
    </row>
    <row r="4619" spans="1:14" x14ac:dyDescent="0.35">
      <c r="A4619">
        <v>4618</v>
      </c>
      <c r="B4619" t="s">
        <v>20</v>
      </c>
      <c r="C4619">
        <v>53</v>
      </c>
      <c r="D4619" t="s">
        <v>27</v>
      </c>
      <c r="E4619" t="s">
        <v>18</v>
      </c>
      <c r="F4619">
        <v>205</v>
      </c>
      <c r="G4619">
        <v>60</v>
      </c>
      <c r="H4619">
        <v>0.37</v>
      </c>
      <c r="I4619" t="s">
        <v>15</v>
      </c>
      <c r="J4619">
        <v>0</v>
      </c>
      <c r="K4619">
        <v>1</v>
      </c>
      <c r="L4619">
        <v>0</v>
      </c>
      <c r="M4619">
        <f>VLOOKUP(Table1[[#This Row],[subscription_type]],Plans!$A$1:$B$5,2,FALSE)</f>
        <v>14.99</v>
      </c>
      <c r="N4619">
        <f t="shared" si="72"/>
        <v>0</v>
      </c>
    </row>
    <row r="4620" spans="1:14" x14ac:dyDescent="0.35">
      <c r="A4620">
        <v>4619</v>
      </c>
      <c r="B4620" t="s">
        <v>12</v>
      </c>
      <c r="C4620">
        <v>29</v>
      </c>
      <c r="D4620" t="s">
        <v>28</v>
      </c>
      <c r="E4620" t="s">
        <v>14</v>
      </c>
      <c r="F4620">
        <v>114</v>
      </c>
      <c r="G4620">
        <v>32</v>
      </c>
      <c r="H4620">
        <v>0.1</v>
      </c>
      <c r="I4620" t="s">
        <v>19</v>
      </c>
      <c r="J4620">
        <v>12</v>
      </c>
      <c r="K4620">
        <v>0</v>
      </c>
      <c r="L4620">
        <v>0</v>
      </c>
      <c r="M4620">
        <f>VLOOKUP(Table1[[#This Row],[subscription_type]],Plans!$A$1:$B$5,2,FALSE)</f>
        <v>0</v>
      </c>
      <c r="N4620">
        <f t="shared" si="72"/>
        <v>0</v>
      </c>
    </row>
    <row r="4621" spans="1:14" x14ac:dyDescent="0.35">
      <c r="A4621">
        <v>4620</v>
      </c>
      <c r="B4621" t="s">
        <v>16</v>
      </c>
      <c r="C4621">
        <v>33</v>
      </c>
      <c r="D4621" t="s">
        <v>21</v>
      </c>
      <c r="E4621" t="s">
        <v>18</v>
      </c>
      <c r="F4621">
        <v>50</v>
      </c>
      <c r="G4621">
        <v>79</v>
      </c>
      <c r="H4621">
        <v>0.14000000000000001</v>
      </c>
      <c r="I4621" t="s">
        <v>15</v>
      </c>
      <c r="J4621">
        <v>0</v>
      </c>
      <c r="K4621">
        <v>1</v>
      </c>
      <c r="L4621">
        <v>1</v>
      </c>
      <c r="M4621">
        <f>VLOOKUP(Table1[[#This Row],[subscription_type]],Plans!$A$1:$B$5,2,FALSE)</f>
        <v>14.99</v>
      </c>
      <c r="N4621">
        <f t="shared" si="72"/>
        <v>14.99</v>
      </c>
    </row>
    <row r="4622" spans="1:14" x14ac:dyDescent="0.35">
      <c r="A4622">
        <v>4621</v>
      </c>
      <c r="B4622" t="s">
        <v>20</v>
      </c>
      <c r="C4622">
        <v>58</v>
      </c>
      <c r="D4622" t="s">
        <v>26</v>
      </c>
      <c r="E4622" t="s">
        <v>22</v>
      </c>
      <c r="F4622">
        <v>145</v>
      </c>
      <c r="G4622">
        <v>15</v>
      </c>
      <c r="H4622">
        <v>0.32</v>
      </c>
      <c r="I4622" t="s">
        <v>19</v>
      </c>
      <c r="J4622">
        <v>0</v>
      </c>
      <c r="K4622">
        <v>1</v>
      </c>
      <c r="L4622">
        <v>0</v>
      </c>
      <c r="M4622">
        <f>VLOOKUP(Table1[[#This Row],[subscription_type]],Plans!$A$1:$B$5,2,FALSE)</f>
        <v>9.99</v>
      </c>
      <c r="N4622">
        <f t="shared" si="72"/>
        <v>0</v>
      </c>
    </row>
    <row r="4623" spans="1:14" x14ac:dyDescent="0.35">
      <c r="A4623">
        <v>4622</v>
      </c>
      <c r="B4623" t="s">
        <v>12</v>
      </c>
      <c r="C4623">
        <v>47</v>
      </c>
      <c r="D4623" t="s">
        <v>21</v>
      </c>
      <c r="E4623" t="s">
        <v>24</v>
      </c>
      <c r="F4623">
        <v>137</v>
      </c>
      <c r="G4623">
        <v>70</v>
      </c>
      <c r="H4623">
        <v>0.1</v>
      </c>
      <c r="I4623" t="s">
        <v>23</v>
      </c>
      <c r="J4623">
        <v>0</v>
      </c>
      <c r="K4623">
        <v>1</v>
      </c>
      <c r="L4623">
        <v>0</v>
      </c>
      <c r="M4623">
        <f>VLOOKUP(Table1[[#This Row],[subscription_type]],Plans!$A$1:$B$5,2,FALSE)</f>
        <v>4.99</v>
      </c>
      <c r="N4623">
        <f t="shared" si="72"/>
        <v>0</v>
      </c>
    </row>
    <row r="4624" spans="1:14" x14ac:dyDescent="0.35">
      <c r="A4624">
        <v>4623</v>
      </c>
      <c r="B4624" t="s">
        <v>20</v>
      </c>
      <c r="C4624">
        <v>22</v>
      </c>
      <c r="D4624" t="s">
        <v>29</v>
      </c>
      <c r="E4624" t="s">
        <v>18</v>
      </c>
      <c r="F4624">
        <v>265</v>
      </c>
      <c r="G4624">
        <v>30</v>
      </c>
      <c r="H4624">
        <v>0.36</v>
      </c>
      <c r="I4624" t="s">
        <v>23</v>
      </c>
      <c r="J4624">
        <v>0</v>
      </c>
      <c r="K4624">
        <v>1</v>
      </c>
      <c r="L4624">
        <v>0</v>
      </c>
      <c r="M4624">
        <f>VLOOKUP(Table1[[#This Row],[subscription_type]],Plans!$A$1:$B$5,2,FALSE)</f>
        <v>14.99</v>
      </c>
      <c r="N4624">
        <f t="shared" si="72"/>
        <v>0</v>
      </c>
    </row>
    <row r="4625" spans="1:14" x14ac:dyDescent="0.35">
      <c r="A4625">
        <v>4624</v>
      </c>
      <c r="B4625" t="s">
        <v>16</v>
      </c>
      <c r="C4625">
        <v>36</v>
      </c>
      <c r="D4625" t="s">
        <v>13</v>
      </c>
      <c r="E4625" t="s">
        <v>14</v>
      </c>
      <c r="F4625">
        <v>106</v>
      </c>
      <c r="G4625">
        <v>30</v>
      </c>
      <c r="H4625">
        <v>0.47</v>
      </c>
      <c r="I4625" t="s">
        <v>15</v>
      </c>
      <c r="J4625">
        <v>35</v>
      </c>
      <c r="K4625">
        <v>0</v>
      </c>
      <c r="L4625">
        <v>0</v>
      </c>
      <c r="M4625">
        <f>VLOOKUP(Table1[[#This Row],[subscription_type]],Plans!$A$1:$B$5,2,FALSE)</f>
        <v>0</v>
      </c>
      <c r="N4625">
        <f t="shared" si="72"/>
        <v>0</v>
      </c>
    </row>
    <row r="4626" spans="1:14" x14ac:dyDescent="0.35">
      <c r="A4626">
        <v>4625</v>
      </c>
      <c r="B4626" t="s">
        <v>16</v>
      </c>
      <c r="C4626">
        <v>40</v>
      </c>
      <c r="D4626" t="s">
        <v>17</v>
      </c>
      <c r="E4626" t="s">
        <v>22</v>
      </c>
      <c r="F4626">
        <v>176</v>
      </c>
      <c r="G4626">
        <v>16</v>
      </c>
      <c r="H4626">
        <v>0.18</v>
      </c>
      <c r="I4626" t="s">
        <v>19</v>
      </c>
      <c r="J4626">
        <v>0</v>
      </c>
      <c r="K4626">
        <v>1</v>
      </c>
      <c r="L4626">
        <v>0</v>
      </c>
      <c r="M4626">
        <f>VLOOKUP(Table1[[#This Row],[subscription_type]],Plans!$A$1:$B$5,2,FALSE)</f>
        <v>9.99</v>
      </c>
      <c r="N4626">
        <f t="shared" si="72"/>
        <v>0</v>
      </c>
    </row>
    <row r="4627" spans="1:14" x14ac:dyDescent="0.35">
      <c r="A4627">
        <v>4626</v>
      </c>
      <c r="B4627" t="s">
        <v>16</v>
      </c>
      <c r="C4627">
        <v>28</v>
      </c>
      <c r="D4627" t="s">
        <v>17</v>
      </c>
      <c r="E4627" t="s">
        <v>18</v>
      </c>
      <c r="F4627">
        <v>32</v>
      </c>
      <c r="G4627">
        <v>92</v>
      </c>
      <c r="H4627">
        <v>0.37</v>
      </c>
      <c r="I4627" t="s">
        <v>23</v>
      </c>
      <c r="J4627">
        <v>0</v>
      </c>
      <c r="K4627">
        <v>1</v>
      </c>
      <c r="L4627">
        <v>1</v>
      </c>
      <c r="M4627">
        <f>VLOOKUP(Table1[[#This Row],[subscription_type]],Plans!$A$1:$B$5,2,FALSE)</f>
        <v>14.99</v>
      </c>
      <c r="N4627">
        <f t="shared" si="72"/>
        <v>14.99</v>
      </c>
    </row>
    <row r="4628" spans="1:14" x14ac:dyDescent="0.35">
      <c r="A4628">
        <v>4627</v>
      </c>
      <c r="B4628" t="s">
        <v>12</v>
      </c>
      <c r="C4628">
        <v>35</v>
      </c>
      <c r="D4628" t="s">
        <v>21</v>
      </c>
      <c r="E4628" t="s">
        <v>24</v>
      </c>
      <c r="F4628">
        <v>161</v>
      </c>
      <c r="G4628">
        <v>95</v>
      </c>
      <c r="H4628">
        <v>0.53</v>
      </c>
      <c r="I4628" t="s">
        <v>19</v>
      </c>
      <c r="J4628">
        <v>0</v>
      </c>
      <c r="K4628">
        <v>1</v>
      </c>
      <c r="L4628">
        <v>0</v>
      </c>
      <c r="M4628">
        <f>VLOOKUP(Table1[[#This Row],[subscription_type]],Plans!$A$1:$B$5,2,FALSE)</f>
        <v>4.99</v>
      </c>
      <c r="N4628">
        <f t="shared" si="72"/>
        <v>0</v>
      </c>
    </row>
    <row r="4629" spans="1:14" x14ac:dyDescent="0.35">
      <c r="A4629">
        <v>4628</v>
      </c>
      <c r="B4629" t="s">
        <v>20</v>
      </c>
      <c r="C4629">
        <v>51</v>
      </c>
      <c r="D4629" t="s">
        <v>25</v>
      </c>
      <c r="E4629" t="s">
        <v>22</v>
      </c>
      <c r="F4629">
        <v>85</v>
      </c>
      <c r="G4629">
        <v>90</v>
      </c>
      <c r="H4629">
        <v>0.33</v>
      </c>
      <c r="I4629" t="s">
        <v>19</v>
      </c>
      <c r="J4629">
        <v>0</v>
      </c>
      <c r="K4629">
        <v>1</v>
      </c>
      <c r="L4629">
        <v>1</v>
      </c>
      <c r="M4629">
        <f>VLOOKUP(Table1[[#This Row],[subscription_type]],Plans!$A$1:$B$5,2,FALSE)</f>
        <v>9.99</v>
      </c>
      <c r="N4629">
        <f t="shared" si="72"/>
        <v>9.99</v>
      </c>
    </row>
    <row r="4630" spans="1:14" x14ac:dyDescent="0.35">
      <c r="A4630">
        <v>4629</v>
      </c>
      <c r="B4630" t="s">
        <v>12</v>
      </c>
      <c r="C4630">
        <v>43</v>
      </c>
      <c r="D4630" t="s">
        <v>21</v>
      </c>
      <c r="E4630" t="s">
        <v>22</v>
      </c>
      <c r="F4630">
        <v>216</v>
      </c>
      <c r="G4630">
        <v>55</v>
      </c>
      <c r="H4630">
        <v>0.5</v>
      </c>
      <c r="I4630" t="s">
        <v>23</v>
      </c>
      <c r="J4630">
        <v>0</v>
      </c>
      <c r="K4630">
        <v>1</v>
      </c>
      <c r="L4630">
        <v>0</v>
      </c>
      <c r="M4630">
        <f>VLOOKUP(Table1[[#This Row],[subscription_type]],Plans!$A$1:$B$5,2,FALSE)</f>
        <v>9.99</v>
      </c>
      <c r="N4630">
        <f t="shared" si="72"/>
        <v>0</v>
      </c>
    </row>
    <row r="4631" spans="1:14" x14ac:dyDescent="0.35">
      <c r="A4631">
        <v>4630</v>
      </c>
      <c r="B4631" t="s">
        <v>20</v>
      </c>
      <c r="C4631">
        <v>21</v>
      </c>
      <c r="D4631" t="s">
        <v>25</v>
      </c>
      <c r="E4631" t="s">
        <v>24</v>
      </c>
      <c r="F4631">
        <v>40</v>
      </c>
      <c r="G4631">
        <v>99</v>
      </c>
      <c r="H4631">
        <v>0.51</v>
      </c>
      <c r="I4631" t="s">
        <v>15</v>
      </c>
      <c r="J4631">
        <v>0</v>
      </c>
      <c r="K4631">
        <v>1</v>
      </c>
      <c r="L4631">
        <v>1</v>
      </c>
      <c r="M4631">
        <f>VLOOKUP(Table1[[#This Row],[subscription_type]],Plans!$A$1:$B$5,2,FALSE)</f>
        <v>4.99</v>
      </c>
      <c r="N4631">
        <f t="shared" si="72"/>
        <v>4.99</v>
      </c>
    </row>
    <row r="4632" spans="1:14" x14ac:dyDescent="0.35">
      <c r="A4632">
        <v>4631</v>
      </c>
      <c r="B4632" t="s">
        <v>16</v>
      </c>
      <c r="C4632">
        <v>53</v>
      </c>
      <c r="D4632" t="s">
        <v>27</v>
      </c>
      <c r="E4632" t="s">
        <v>24</v>
      </c>
      <c r="F4632">
        <v>270</v>
      </c>
      <c r="G4632">
        <v>7</v>
      </c>
      <c r="H4632">
        <v>0.41</v>
      </c>
      <c r="I4632" t="s">
        <v>15</v>
      </c>
      <c r="J4632">
        <v>0</v>
      </c>
      <c r="K4632">
        <v>1</v>
      </c>
      <c r="L4632">
        <v>0</v>
      </c>
      <c r="M4632">
        <f>VLOOKUP(Table1[[#This Row],[subscription_type]],Plans!$A$1:$B$5,2,FALSE)</f>
        <v>4.99</v>
      </c>
      <c r="N4632">
        <f t="shared" si="72"/>
        <v>0</v>
      </c>
    </row>
    <row r="4633" spans="1:14" x14ac:dyDescent="0.35">
      <c r="A4633">
        <v>4632</v>
      </c>
      <c r="B4633" t="s">
        <v>20</v>
      </c>
      <c r="C4633">
        <v>57</v>
      </c>
      <c r="D4633" t="s">
        <v>21</v>
      </c>
      <c r="E4633" t="s">
        <v>24</v>
      </c>
      <c r="F4633">
        <v>237</v>
      </c>
      <c r="G4633">
        <v>29</v>
      </c>
      <c r="H4633">
        <v>0.56000000000000005</v>
      </c>
      <c r="I4633" t="s">
        <v>23</v>
      </c>
      <c r="J4633">
        <v>0</v>
      </c>
      <c r="K4633">
        <v>1</v>
      </c>
      <c r="L4633">
        <v>0</v>
      </c>
      <c r="M4633">
        <f>VLOOKUP(Table1[[#This Row],[subscription_type]],Plans!$A$1:$B$5,2,FALSE)</f>
        <v>4.99</v>
      </c>
      <c r="N4633">
        <f t="shared" si="72"/>
        <v>0</v>
      </c>
    </row>
    <row r="4634" spans="1:14" x14ac:dyDescent="0.35">
      <c r="A4634">
        <v>4633</v>
      </c>
      <c r="B4634" t="s">
        <v>20</v>
      </c>
      <c r="C4634">
        <v>27</v>
      </c>
      <c r="D4634" t="s">
        <v>13</v>
      </c>
      <c r="E4634" t="s">
        <v>14</v>
      </c>
      <c r="F4634">
        <v>61</v>
      </c>
      <c r="G4634">
        <v>63</v>
      </c>
      <c r="H4634">
        <v>0.11</v>
      </c>
      <c r="I4634" t="s">
        <v>19</v>
      </c>
      <c r="J4634">
        <v>13</v>
      </c>
      <c r="K4634">
        <v>0</v>
      </c>
      <c r="L4634">
        <v>0</v>
      </c>
      <c r="M4634">
        <f>VLOOKUP(Table1[[#This Row],[subscription_type]],Plans!$A$1:$B$5,2,FALSE)</f>
        <v>0</v>
      </c>
      <c r="N4634">
        <f t="shared" si="72"/>
        <v>0</v>
      </c>
    </row>
    <row r="4635" spans="1:14" x14ac:dyDescent="0.35">
      <c r="A4635">
        <v>4634</v>
      </c>
      <c r="B4635" t="s">
        <v>12</v>
      </c>
      <c r="C4635">
        <v>34</v>
      </c>
      <c r="D4635" t="s">
        <v>13</v>
      </c>
      <c r="E4635" t="s">
        <v>24</v>
      </c>
      <c r="F4635">
        <v>189</v>
      </c>
      <c r="G4635">
        <v>94</v>
      </c>
      <c r="H4635">
        <v>0.28999999999999998</v>
      </c>
      <c r="I4635" t="s">
        <v>23</v>
      </c>
      <c r="J4635">
        <v>0</v>
      </c>
      <c r="K4635">
        <v>1</v>
      </c>
      <c r="L4635">
        <v>0</v>
      </c>
      <c r="M4635">
        <f>VLOOKUP(Table1[[#This Row],[subscription_type]],Plans!$A$1:$B$5,2,FALSE)</f>
        <v>4.99</v>
      </c>
      <c r="N4635">
        <f t="shared" si="72"/>
        <v>0</v>
      </c>
    </row>
    <row r="4636" spans="1:14" x14ac:dyDescent="0.35">
      <c r="A4636">
        <v>4635</v>
      </c>
      <c r="B4636" t="s">
        <v>20</v>
      </c>
      <c r="C4636">
        <v>47</v>
      </c>
      <c r="D4636" t="s">
        <v>27</v>
      </c>
      <c r="E4636" t="s">
        <v>14</v>
      </c>
      <c r="F4636">
        <v>287</v>
      </c>
      <c r="G4636">
        <v>80</v>
      </c>
      <c r="H4636">
        <v>0.43</v>
      </c>
      <c r="I4636" t="s">
        <v>19</v>
      </c>
      <c r="J4636">
        <v>24</v>
      </c>
      <c r="K4636">
        <v>0</v>
      </c>
      <c r="L4636">
        <v>1</v>
      </c>
      <c r="M4636">
        <f>VLOOKUP(Table1[[#This Row],[subscription_type]],Plans!$A$1:$B$5,2,FALSE)</f>
        <v>0</v>
      </c>
      <c r="N4636">
        <f t="shared" si="72"/>
        <v>0</v>
      </c>
    </row>
    <row r="4637" spans="1:14" x14ac:dyDescent="0.35">
      <c r="A4637">
        <v>4636</v>
      </c>
      <c r="B4637" t="s">
        <v>20</v>
      </c>
      <c r="C4637">
        <v>38</v>
      </c>
      <c r="D4637" t="s">
        <v>25</v>
      </c>
      <c r="E4637" t="s">
        <v>24</v>
      </c>
      <c r="F4637">
        <v>107</v>
      </c>
      <c r="G4637">
        <v>80</v>
      </c>
      <c r="H4637">
        <v>0.5</v>
      </c>
      <c r="I4637" t="s">
        <v>15</v>
      </c>
      <c r="J4637">
        <v>0</v>
      </c>
      <c r="K4637">
        <v>1</v>
      </c>
      <c r="L4637">
        <v>0</v>
      </c>
      <c r="M4637">
        <f>VLOOKUP(Table1[[#This Row],[subscription_type]],Plans!$A$1:$B$5,2,FALSE)</f>
        <v>4.99</v>
      </c>
      <c r="N4637">
        <f t="shared" si="72"/>
        <v>0</v>
      </c>
    </row>
    <row r="4638" spans="1:14" x14ac:dyDescent="0.35">
      <c r="A4638">
        <v>4637</v>
      </c>
      <c r="B4638" t="s">
        <v>20</v>
      </c>
      <c r="C4638">
        <v>21</v>
      </c>
      <c r="D4638" t="s">
        <v>27</v>
      </c>
      <c r="E4638" t="s">
        <v>14</v>
      </c>
      <c r="F4638">
        <v>121</v>
      </c>
      <c r="G4638">
        <v>15</v>
      </c>
      <c r="H4638">
        <v>0.01</v>
      </c>
      <c r="I4638" t="s">
        <v>19</v>
      </c>
      <c r="J4638">
        <v>17</v>
      </c>
      <c r="K4638">
        <v>0</v>
      </c>
      <c r="L4638">
        <v>0</v>
      </c>
      <c r="M4638">
        <f>VLOOKUP(Table1[[#This Row],[subscription_type]],Plans!$A$1:$B$5,2,FALSE)</f>
        <v>0</v>
      </c>
      <c r="N4638">
        <f t="shared" si="72"/>
        <v>0</v>
      </c>
    </row>
    <row r="4639" spans="1:14" x14ac:dyDescent="0.35">
      <c r="A4639">
        <v>4638</v>
      </c>
      <c r="B4639" t="s">
        <v>20</v>
      </c>
      <c r="C4639">
        <v>17</v>
      </c>
      <c r="D4639" t="s">
        <v>13</v>
      </c>
      <c r="E4639" t="s">
        <v>22</v>
      </c>
      <c r="F4639">
        <v>264</v>
      </c>
      <c r="G4639">
        <v>61</v>
      </c>
      <c r="H4639">
        <v>0.51</v>
      </c>
      <c r="I4639" t="s">
        <v>15</v>
      </c>
      <c r="J4639">
        <v>0</v>
      </c>
      <c r="K4639">
        <v>1</v>
      </c>
      <c r="L4639">
        <v>0</v>
      </c>
      <c r="M4639">
        <f>VLOOKUP(Table1[[#This Row],[subscription_type]],Plans!$A$1:$B$5,2,FALSE)</f>
        <v>9.99</v>
      </c>
      <c r="N4639">
        <f t="shared" si="72"/>
        <v>0</v>
      </c>
    </row>
    <row r="4640" spans="1:14" x14ac:dyDescent="0.35">
      <c r="A4640">
        <v>4639</v>
      </c>
      <c r="B4640" t="s">
        <v>20</v>
      </c>
      <c r="C4640">
        <v>52</v>
      </c>
      <c r="D4640" t="s">
        <v>26</v>
      </c>
      <c r="E4640" t="s">
        <v>14</v>
      </c>
      <c r="F4640">
        <v>253</v>
      </c>
      <c r="G4640">
        <v>43</v>
      </c>
      <c r="H4640">
        <v>0.41</v>
      </c>
      <c r="I4640" t="s">
        <v>15</v>
      </c>
      <c r="J4640">
        <v>43</v>
      </c>
      <c r="K4640">
        <v>0</v>
      </c>
      <c r="L4640">
        <v>0</v>
      </c>
      <c r="M4640">
        <f>VLOOKUP(Table1[[#This Row],[subscription_type]],Plans!$A$1:$B$5,2,FALSE)</f>
        <v>0</v>
      </c>
      <c r="N4640">
        <f t="shared" si="72"/>
        <v>0</v>
      </c>
    </row>
    <row r="4641" spans="1:14" x14ac:dyDescent="0.35">
      <c r="A4641">
        <v>4640</v>
      </c>
      <c r="B4641" t="s">
        <v>12</v>
      </c>
      <c r="C4641">
        <v>31</v>
      </c>
      <c r="D4641" t="s">
        <v>21</v>
      </c>
      <c r="E4641" t="s">
        <v>14</v>
      </c>
      <c r="F4641">
        <v>159</v>
      </c>
      <c r="G4641">
        <v>52</v>
      </c>
      <c r="H4641">
        <v>0</v>
      </c>
      <c r="I4641" t="s">
        <v>23</v>
      </c>
      <c r="J4641">
        <v>41</v>
      </c>
      <c r="K4641">
        <v>0</v>
      </c>
      <c r="L4641">
        <v>1</v>
      </c>
      <c r="M4641">
        <f>VLOOKUP(Table1[[#This Row],[subscription_type]],Plans!$A$1:$B$5,2,FALSE)</f>
        <v>0</v>
      </c>
      <c r="N4641">
        <f t="shared" si="72"/>
        <v>0</v>
      </c>
    </row>
    <row r="4642" spans="1:14" x14ac:dyDescent="0.35">
      <c r="A4642">
        <v>4641</v>
      </c>
      <c r="B4642" t="s">
        <v>16</v>
      </c>
      <c r="C4642">
        <v>28</v>
      </c>
      <c r="D4642" t="s">
        <v>21</v>
      </c>
      <c r="E4642" t="s">
        <v>14</v>
      </c>
      <c r="F4642">
        <v>26</v>
      </c>
      <c r="G4642">
        <v>36</v>
      </c>
      <c r="H4642">
        <v>0.47</v>
      </c>
      <c r="I4642" t="s">
        <v>15</v>
      </c>
      <c r="J4642">
        <v>35</v>
      </c>
      <c r="K4642">
        <v>0</v>
      </c>
      <c r="L4642">
        <v>0</v>
      </c>
      <c r="M4642">
        <f>VLOOKUP(Table1[[#This Row],[subscription_type]],Plans!$A$1:$B$5,2,FALSE)</f>
        <v>0</v>
      </c>
      <c r="N4642">
        <f t="shared" si="72"/>
        <v>0</v>
      </c>
    </row>
    <row r="4643" spans="1:14" x14ac:dyDescent="0.35">
      <c r="A4643">
        <v>4642</v>
      </c>
      <c r="B4643" t="s">
        <v>12</v>
      </c>
      <c r="C4643">
        <v>21</v>
      </c>
      <c r="D4643" t="s">
        <v>26</v>
      </c>
      <c r="E4643" t="s">
        <v>18</v>
      </c>
      <c r="F4643">
        <v>40</v>
      </c>
      <c r="G4643">
        <v>61</v>
      </c>
      <c r="H4643">
        <v>0.06</v>
      </c>
      <c r="I4643" t="s">
        <v>15</v>
      </c>
      <c r="J4643">
        <v>0</v>
      </c>
      <c r="K4643">
        <v>1</v>
      </c>
      <c r="L4643">
        <v>0</v>
      </c>
      <c r="M4643">
        <f>VLOOKUP(Table1[[#This Row],[subscription_type]],Plans!$A$1:$B$5,2,FALSE)</f>
        <v>14.99</v>
      </c>
      <c r="N4643">
        <f t="shared" si="72"/>
        <v>0</v>
      </c>
    </row>
    <row r="4644" spans="1:14" x14ac:dyDescent="0.35">
      <c r="A4644">
        <v>4643</v>
      </c>
      <c r="B4644" t="s">
        <v>12</v>
      </c>
      <c r="C4644">
        <v>52</v>
      </c>
      <c r="D4644" t="s">
        <v>29</v>
      </c>
      <c r="E4644" t="s">
        <v>18</v>
      </c>
      <c r="F4644">
        <v>64</v>
      </c>
      <c r="G4644">
        <v>85</v>
      </c>
      <c r="H4644">
        <v>0.17</v>
      </c>
      <c r="I4644" t="s">
        <v>23</v>
      </c>
      <c r="J4644">
        <v>0</v>
      </c>
      <c r="K4644">
        <v>1</v>
      </c>
      <c r="L4644">
        <v>0</v>
      </c>
      <c r="M4644">
        <f>VLOOKUP(Table1[[#This Row],[subscription_type]],Plans!$A$1:$B$5,2,FALSE)</f>
        <v>14.99</v>
      </c>
      <c r="N4644">
        <f t="shared" si="72"/>
        <v>0</v>
      </c>
    </row>
    <row r="4645" spans="1:14" x14ac:dyDescent="0.35">
      <c r="A4645">
        <v>4644</v>
      </c>
      <c r="B4645" t="s">
        <v>16</v>
      </c>
      <c r="C4645">
        <v>22</v>
      </c>
      <c r="D4645" t="s">
        <v>27</v>
      </c>
      <c r="E4645" t="s">
        <v>24</v>
      </c>
      <c r="F4645">
        <v>241</v>
      </c>
      <c r="G4645">
        <v>40</v>
      </c>
      <c r="H4645">
        <v>0.31</v>
      </c>
      <c r="I4645" t="s">
        <v>23</v>
      </c>
      <c r="J4645">
        <v>0</v>
      </c>
      <c r="K4645">
        <v>1</v>
      </c>
      <c r="L4645">
        <v>1</v>
      </c>
      <c r="M4645">
        <f>VLOOKUP(Table1[[#This Row],[subscription_type]],Plans!$A$1:$B$5,2,FALSE)</f>
        <v>4.99</v>
      </c>
      <c r="N4645">
        <f t="shared" si="72"/>
        <v>4.99</v>
      </c>
    </row>
    <row r="4646" spans="1:14" x14ac:dyDescent="0.35">
      <c r="A4646">
        <v>4645</v>
      </c>
      <c r="B4646" t="s">
        <v>12</v>
      </c>
      <c r="C4646">
        <v>50</v>
      </c>
      <c r="D4646" t="s">
        <v>25</v>
      </c>
      <c r="E4646" t="s">
        <v>22</v>
      </c>
      <c r="F4646">
        <v>289</v>
      </c>
      <c r="G4646">
        <v>16</v>
      </c>
      <c r="H4646">
        <v>0.31</v>
      </c>
      <c r="I4646" t="s">
        <v>15</v>
      </c>
      <c r="J4646">
        <v>0</v>
      </c>
      <c r="K4646">
        <v>1</v>
      </c>
      <c r="L4646">
        <v>0</v>
      </c>
      <c r="M4646">
        <f>VLOOKUP(Table1[[#This Row],[subscription_type]],Plans!$A$1:$B$5,2,FALSE)</f>
        <v>9.99</v>
      </c>
      <c r="N4646">
        <f t="shared" si="72"/>
        <v>0</v>
      </c>
    </row>
    <row r="4647" spans="1:14" x14ac:dyDescent="0.35">
      <c r="A4647">
        <v>4646</v>
      </c>
      <c r="B4647" t="s">
        <v>16</v>
      </c>
      <c r="C4647">
        <v>23</v>
      </c>
      <c r="D4647" t="s">
        <v>27</v>
      </c>
      <c r="E4647" t="s">
        <v>18</v>
      </c>
      <c r="F4647">
        <v>292</v>
      </c>
      <c r="G4647">
        <v>74</v>
      </c>
      <c r="H4647">
        <v>0.35</v>
      </c>
      <c r="I4647" t="s">
        <v>15</v>
      </c>
      <c r="J4647">
        <v>0</v>
      </c>
      <c r="K4647">
        <v>1</v>
      </c>
      <c r="L4647">
        <v>0</v>
      </c>
      <c r="M4647">
        <f>VLOOKUP(Table1[[#This Row],[subscription_type]],Plans!$A$1:$B$5,2,FALSE)</f>
        <v>14.99</v>
      </c>
      <c r="N4647">
        <f t="shared" si="72"/>
        <v>0</v>
      </c>
    </row>
    <row r="4648" spans="1:14" x14ac:dyDescent="0.35">
      <c r="A4648">
        <v>4647</v>
      </c>
      <c r="B4648" t="s">
        <v>16</v>
      </c>
      <c r="C4648">
        <v>36</v>
      </c>
      <c r="D4648" t="s">
        <v>26</v>
      </c>
      <c r="E4648" t="s">
        <v>22</v>
      </c>
      <c r="F4648">
        <v>226</v>
      </c>
      <c r="G4648">
        <v>2</v>
      </c>
      <c r="H4648">
        <v>0.13</v>
      </c>
      <c r="I4648" t="s">
        <v>23</v>
      </c>
      <c r="J4648">
        <v>0</v>
      </c>
      <c r="K4648">
        <v>1</v>
      </c>
      <c r="L4648">
        <v>1</v>
      </c>
      <c r="M4648">
        <f>VLOOKUP(Table1[[#This Row],[subscription_type]],Plans!$A$1:$B$5,2,FALSE)</f>
        <v>9.99</v>
      </c>
      <c r="N4648">
        <f t="shared" si="72"/>
        <v>9.99</v>
      </c>
    </row>
    <row r="4649" spans="1:14" x14ac:dyDescent="0.35">
      <c r="A4649">
        <v>4648</v>
      </c>
      <c r="B4649" t="s">
        <v>16</v>
      </c>
      <c r="C4649">
        <v>46</v>
      </c>
      <c r="D4649" t="s">
        <v>27</v>
      </c>
      <c r="E4649" t="s">
        <v>14</v>
      </c>
      <c r="F4649">
        <v>238</v>
      </c>
      <c r="G4649">
        <v>29</v>
      </c>
      <c r="H4649">
        <v>0.45</v>
      </c>
      <c r="I4649" t="s">
        <v>23</v>
      </c>
      <c r="J4649">
        <v>26</v>
      </c>
      <c r="K4649">
        <v>0</v>
      </c>
      <c r="L4649">
        <v>0</v>
      </c>
      <c r="M4649">
        <f>VLOOKUP(Table1[[#This Row],[subscription_type]],Plans!$A$1:$B$5,2,FALSE)</f>
        <v>0</v>
      </c>
      <c r="N4649">
        <f t="shared" si="72"/>
        <v>0</v>
      </c>
    </row>
    <row r="4650" spans="1:14" x14ac:dyDescent="0.35">
      <c r="A4650">
        <v>4649</v>
      </c>
      <c r="B4650" t="s">
        <v>12</v>
      </c>
      <c r="C4650">
        <v>51</v>
      </c>
      <c r="D4650" t="s">
        <v>29</v>
      </c>
      <c r="E4650" t="s">
        <v>24</v>
      </c>
      <c r="F4650">
        <v>128</v>
      </c>
      <c r="G4650">
        <v>40</v>
      </c>
      <c r="H4650">
        <v>0.41</v>
      </c>
      <c r="I4650" t="s">
        <v>15</v>
      </c>
      <c r="J4650">
        <v>0</v>
      </c>
      <c r="K4650">
        <v>1</v>
      </c>
      <c r="L4650">
        <v>0</v>
      </c>
      <c r="M4650">
        <f>VLOOKUP(Table1[[#This Row],[subscription_type]],Plans!$A$1:$B$5,2,FALSE)</f>
        <v>4.99</v>
      </c>
      <c r="N4650">
        <f t="shared" si="72"/>
        <v>0</v>
      </c>
    </row>
    <row r="4651" spans="1:14" x14ac:dyDescent="0.35">
      <c r="A4651">
        <v>4650</v>
      </c>
      <c r="B4651" t="s">
        <v>20</v>
      </c>
      <c r="C4651">
        <v>50</v>
      </c>
      <c r="D4651" t="s">
        <v>28</v>
      </c>
      <c r="E4651" t="s">
        <v>14</v>
      </c>
      <c r="F4651">
        <v>184</v>
      </c>
      <c r="G4651">
        <v>30</v>
      </c>
      <c r="H4651">
        <v>0.01</v>
      </c>
      <c r="I4651" t="s">
        <v>19</v>
      </c>
      <c r="J4651">
        <v>39</v>
      </c>
      <c r="K4651">
        <v>0</v>
      </c>
      <c r="L4651">
        <v>0</v>
      </c>
      <c r="M4651">
        <f>VLOOKUP(Table1[[#This Row],[subscription_type]],Plans!$A$1:$B$5,2,FALSE)</f>
        <v>0</v>
      </c>
      <c r="N4651">
        <f t="shared" si="72"/>
        <v>0</v>
      </c>
    </row>
    <row r="4652" spans="1:14" x14ac:dyDescent="0.35">
      <c r="A4652">
        <v>4651</v>
      </c>
      <c r="B4652" t="s">
        <v>12</v>
      </c>
      <c r="C4652">
        <v>33</v>
      </c>
      <c r="D4652" t="s">
        <v>21</v>
      </c>
      <c r="E4652" t="s">
        <v>24</v>
      </c>
      <c r="F4652">
        <v>66</v>
      </c>
      <c r="G4652">
        <v>53</v>
      </c>
      <c r="H4652">
        <v>0.03</v>
      </c>
      <c r="I4652" t="s">
        <v>19</v>
      </c>
      <c r="J4652">
        <v>0</v>
      </c>
      <c r="K4652">
        <v>1</v>
      </c>
      <c r="L4652">
        <v>0</v>
      </c>
      <c r="M4652">
        <f>VLOOKUP(Table1[[#This Row],[subscription_type]],Plans!$A$1:$B$5,2,FALSE)</f>
        <v>4.99</v>
      </c>
      <c r="N4652">
        <f t="shared" si="72"/>
        <v>0</v>
      </c>
    </row>
    <row r="4653" spans="1:14" x14ac:dyDescent="0.35">
      <c r="A4653">
        <v>4652</v>
      </c>
      <c r="B4653" t="s">
        <v>16</v>
      </c>
      <c r="C4653">
        <v>28</v>
      </c>
      <c r="D4653" t="s">
        <v>27</v>
      </c>
      <c r="E4653" t="s">
        <v>24</v>
      </c>
      <c r="F4653">
        <v>53</v>
      </c>
      <c r="G4653">
        <v>8</v>
      </c>
      <c r="H4653">
        <v>0.53</v>
      </c>
      <c r="I4653" t="s">
        <v>19</v>
      </c>
      <c r="J4653">
        <v>0</v>
      </c>
      <c r="K4653">
        <v>1</v>
      </c>
      <c r="L4653">
        <v>0</v>
      </c>
      <c r="M4653">
        <f>VLOOKUP(Table1[[#This Row],[subscription_type]],Plans!$A$1:$B$5,2,FALSE)</f>
        <v>4.99</v>
      </c>
      <c r="N4653">
        <f t="shared" si="72"/>
        <v>0</v>
      </c>
    </row>
    <row r="4654" spans="1:14" x14ac:dyDescent="0.35">
      <c r="A4654">
        <v>4653</v>
      </c>
      <c r="B4654" t="s">
        <v>20</v>
      </c>
      <c r="C4654">
        <v>44</v>
      </c>
      <c r="D4654" t="s">
        <v>17</v>
      </c>
      <c r="E4654" t="s">
        <v>24</v>
      </c>
      <c r="F4654">
        <v>180</v>
      </c>
      <c r="G4654">
        <v>39</v>
      </c>
      <c r="H4654">
        <v>0.51</v>
      </c>
      <c r="I4654" t="s">
        <v>23</v>
      </c>
      <c r="J4654">
        <v>0</v>
      </c>
      <c r="K4654">
        <v>1</v>
      </c>
      <c r="L4654">
        <v>1</v>
      </c>
      <c r="M4654">
        <f>VLOOKUP(Table1[[#This Row],[subscription_type]],Plans!$A$1:$B$5,2,FALSE)</f>
        <v>4.99</v>
      </c>
      <c r="N4654">
        <f t="shared" si="72"/>
        <v>4.99</v>
      </c>
    </row>
    <row r="4655" spans="1:14" x14ac:dyDescent="0.35">
      <c r="A4655">
        <v>4654</v>
      </c>
      <c r="B4655" t="s">
        <v>12</v>
      </c>
      <c r="C4655">
        <v>37</v>
      </c>
      <c r="D4655" t="s">
        <v>28</v>
      </c>
      <c r="E4655" t="s">
        <v>22</v>
      </c>
      <c r="F4655">
        <v>110</v>
      </c>
      <c r="G4655">
        <v>1</v>
      </c>
      <c r="H4655">
        <v>0.05</v>
      </c>
      <c r="I4655" t="s">
        <v>15</v>
      </c>
      <c r="J4655">
        <v>0</v>
      </c>
      <c r="K4655">
        <v>1</v>
      </c>
      <c r="L4655">
        <v>0</v>
      </c>
      <c r="M4655">
        <f>VLOOKUP(Table1[[#This Row],[subscription_type]],Plans!$A$1:$B$5,2,FALSE)</f>
        <v>9.99</v>
      </c>
      <c r="N4655">
        <f t="shared" si="72"/>
        <v>0</v>
      </c>
    </row>
    <row r="4656" spans="1:14" x14ac:dyDescent="0.35">
      <c r="A4656">
        <v>4655</v>
      </c>
      <c r="B4656" t="s">
        <v>16</v>
      </c>
      <c r="C4656">
        <v>31</v>
      </c>
      <c r="D4656" t="s">
        <v>26</v>
      </c>
      <c r="E4656" t="s">
        <v>18</v>
      </c>
      <c r="F4656">
        <v>212</v>
      </c>
      <c r="G4656">
        <v>24</v>
      </c>
      <c r="H4656">
        <v>0.44</v>
      </c>
      <c r="I4656" t="s">
        <v>23</v>
      </c>
      <c r="J4656">
        <v>0</v>
      </c>
      <c r="K4656">
        <v>1</v>
      </c>
      <c r="L4656">
        <v>0</v>
      </c>
      <c r="M4656">
        <f>VLOOKUP(Table1[[#This Row],[subscription_type]],Plans!$A$1:$B$5,2,FALSE)</f>
        <v>14.99</v>
      </c>
      <c r="N4656">
        <f t="shared" si="72"/>
        <v>0</v>
      </c>
    </row>
    <row r="4657" spans="1:14" x14ac:dyDescent="0.35">
      <c r="A4657">
        <v>4656</v>
      </c>
      <c r="B4657" t="s">
        <v>16</v>
      </c>
      <c r="C4657">
        <v>49</v>
      </c>
      <c r="D4657" t="s">
        <v>26</v>
      </c>
      <c r="E4657" t="s">
        <v>14</v>
      </c>
      <c r="F4657">
        <v>78</v>
      </c>
      <c r="G4657">
        <v>22</v>
      </c>
      <c r="H4657">
        <v>0.48</v>
      </c>
      <c r="I4657" t="s">
        <v>23</v>
      </c>
      <c r="J4657">
        <v>48</v>
      </c>
      <c r="K4657">
        <v>0</v>
      </c>
      <c r="L4657">
        <v>1</v>
      </c>
      <c r="M4657">
        <f>VLOOKUP(Table1[[#This Row],[subscription_type]],Plans!$A$1:$B$5,2,FALSE)</f>
        <v>0</v>
      </c>
      <c r="N4657">
        <f t="shared" si="72"/>
        <v>0</v>
      </c>
    </row>
    <row r="4658" spans="1:14" x14ac:dyDescent="0.35">
      <c r="A4658">
        <v>4657</v>
      </c>
      <c r="B4658" t="s">
        <v>16</v>
      </c>
      <c r="C4658">
        <v>16</v>
      </c>
      <c r="D4658" t="s">
        <v>25</v>
      </c>
      <c r="E4658" t="s">
        <v>14</v>
      </c>
      <c r="F4658">
        <v>278</v>
      </c>
      <c r="G4658">
        <v>77</v>
      </c>
      <c r="H4658">
        <v>0.47</v>
      </c>
      <c r="I4658" t="s">
        <v>15</v>
      </c>
      <c r="J4658">
        <v>32</v>
      </c>
      <c r="K4658">
        <v>0</v>
      </c>
      <c r="L4658">
        <v>0</v>
      </c>
      <c r="M4658">
        <f>VLOOKUP(Table1[[#This Row],[subscription_type]],Plans!$A$1:$B$5,2,FALSE)</f>
        <v>0</v>
      </c>
      <c r="N4658">
        <f t="shared" si="72"/>
        <v>0</v>
      </c>
    </row>
    <row r="4659" spans="1:14" x14ac:dyDescent="0.35">
      <c r="A4659">
        <v>4658</v>
      </c>
      <c r="B4659" t="s">
        <v>16</v>
      </c>
      <c r="C4659">
        <v>31</v>
      </c>
      <c r="D4659" t="s">
        <v>28</v>
      </c>
      <c r="E4659" t="s">
        <v>14</v>
      </c>
      <c r="F4659">
        <v>170</v>
      </c>
      <c r="G4659">
        <v>16</v>
      </c>
      <c r="H4659">
        <v>0.16</v>
      </c>
      <c r="I4659" t="s">
        <v>23</v>
      </c>
      <c r="J4659">
        <v>45</v>
      </c>
      <c r="K4659">
        <v>0</v>
      </c>
      <c r="L4659">
        <v>1</v>
      </c>
      <c r="M4659">
        <f>VLOOKUP(Table1[[#This Row],[subscription_type]],Plans!$A$1:$B$5,2,FALSE)</f>
        <v>0</v>
      </c>
      <c r="N4659">
        <f t="shared" si="72"/>
        <v>0</v>
      </c>
    </row>
    <row r="4660" spans="1:14" x14ac:dyDescent="0.35">
      <c r="A4660">
        <v>4659</v>
      </c>
      <c r="B4660" t="s">
        <v>20</v>
      </c>
      <c r="C4660">
        <v>44</v>
      </c>
      <c r="D4660" t="s">
        <v>13</v>
      </c>
      <c r="E4660" t="s">
        <v>24</v>
      </c>
      <c r="F4660">
        <v>210</v>
      </c>
      <c r="G4660">
        <v>29</v>
      </c>
      <c r="H4660">
        <v>0.28999999999999998</v>
      </c>
      <c r="I4660" t="s">
        <v>15</v>
      </c>
      <c r="J4660">
        <v>0</v>
      </c>
      <c r="K4660">
        <v>1</v>
      </c>
      <c r="L4660">
        <v>0</v>
      </c>
      <c r="M4660">
        <f>VLOOKUP(Table1[[#This Row],[subscription_type]],Plans!$A$1:$B$5,2,FALSE)</f>
        <v>4.99</v>
      </c>
      <c r="N4660">
        <f t="shared" si="72"/>
        <v>0</v>
      </c>
    </row>
    <row r="4661" spans="1:14" x14ac:dyDescent="0.35">
      <c r="A4661">
        <v>4660</v>
      </c>
      <c r="B4661" t="s">
        <v>20</v>
      </c>
      <c r="C4661">
        <v>48</v>
      </c>
      <c r="D4661" t="s">
        <v>26</v>
      </c>
      <c r="E4661" t="s">
        <v>24</v>
      </c>
      <c r="F4661">
        <v>99</v>
      </c>
      <c r="G4661">
        <v>12</v>
      </c>
      <c r="H4661">
        <v>0.56999999999999995</v>
      </c>
      <c r="I4661" t="s">
        <v>15</v>
      </c>
      <c r="J4661">
        <v>0</v>
      </c>
      <c r="K4661">
        <v>1</v>
      </c>
      <c r="L4661">
        <v>0</v>
      </c>
      <c r="M4661">
        <f>VLOOKUP(Table1[[#This Row],[subscription_type]],Plans!$A$1:$B$5,2,FALSE)</f>
        <v>4.99</v>
      </c>
      <c r="N4661">
        <f t="shared" si="72"/>
        <v>0</v>
      </c>
    </row>
    <row r="4662" spans="1:14" x14ac:dyDescent="0.35">
      <c r="A4662">
        <v>4661</v>
      </c>
      <c r="B4662" t="s">
        <v>16</v>
      </c>
      <c r="C4662">
        <v>53</v>
      </c>
      <c r="D4662" t="s">
        <v>17</v>
      </c>
      <c r="E4662" t="s">
        <v>22</v>
      </c>
      <c r="F4662">
        <v>65</v>
      </c>
      <c r="G4662">
        <v>47</v>
      </c>
      <c r="H4662">
        <v>0.43</v>
      </c>
      <c r="I4662" t="s">
        <v>15</v>
      </c>
      <c r="J4662">
        <v>0</v>
      </c>
      <c r="K4662">
        <v>1</v>
      </c>
      <c r="L4662">
        <v>0</v>
      </c>
      <c r="M4662">
        <f>VLOOKUP(Table1[[#This Row],[subscription_type]],Plans!$A$1:$B$5,2,FALSE)</f>
        <v>9.99</v>
      </c>
      <c r="N4662">
        <f t="shared" si="72"/>
        <v>0</v>
      </c>
    </row>
    <row r="4663" spans="1:14" x14ac:dyDescent="0.35">
      <c r="A4663">
        <v>4662</v>
      </c>
      <c r="B4663" t="s">
        <v>16</v>
      </c>
      <c r="C4663">
        <v>48</v>
      </c>
      <c r="D4663" t="s">
        <v>25</v>
      </c>
      <c r="E4663" t="s">
        <v>24</v>
      </c>
      <c r="F4663">
        <v>138</v>
      </c>
      <c r="G4663">
        <v>38</v>
      </c>
      <c r="H4663">
        <v>0.59</v>
      </c>
      <c r="I4663" t="s">
        <v>15</v>
      </c>
      <c r="J4663">
        <v>0</v>
      </c>
      <c r="K4663">
        <v>1</v>
      </c>
      <c r="L4663">
        <v>0</v>
      </c>
      <c r="M4663">
        <f>VLOOKUP(Table1[[#This Row],[subscription_type]],Plans!$A$1:$B$5,2,FALSE)</f>
        <v>4.99</v>
      </c>
      <c r="N4663">
        <f t="shared" si="72"/>
        <v>0</v>
      </c>
    </row>
    <row r="4664" spans="1:14" x14ac:dyDescent="0.35">
      <c r="A4664">
        <v>4663</v>
      </c>
      <c r="B4664" t="s">
        <v>12</v>
      </c>
      <c r="C4664">
        <v>47</v>
      </c>
      <c r="D4664" t="s">
        <v>27</v>
      </c>
      <c r="E4664" t="s">
        <v>22</v>
      </c>
      <c r="F4664">
        <v>47</v>
      </c>
      <c r="G4664">
        <v>71</v>
      </c>
      <c r="H4664">
        <v>0.43</v>
      </c>
      <c r="I4664" t="s">
        <v>15</v>
      </c>
      <c r="J4664">
        <v>0</v>
      </c>
      <c r="K4664">
        <v>1</v>
      </c>
      <c r="L4664">
        <v>0</v>
      </c>
      <c r="M4664">
        <f>VLOOKUP(Table1[[#This Row],[subscription_type]],Plans!$A$1:$B$5,2,FALSE)</f>
        <v>9.99</v>
      </c>
      <c r="N4664">
        <f t="shared" si="72"/>
        <v>0</v>
      </c>
    </row>
    <row r="4665" spans="1:14" x14ac:dyDescent="0.35">
      <c r="A4665">
        <v>4664</v>
      </c>
      <c r="B4665" t="s">
        <v>20</v>
      </c>
      <c r="C4665">
        <v>18</v>
      </c>
      <c r="D4665" t="s">
        <v>28</v>
      </c>
      <c r="E4665" t="s">
        <v>18</v>
      </c>
      <c r="F4665">
        <v>152</v>
      </c>
      <c r="G4665">
        <v>57</v>
      </c>
      <c r="H4665">
        <v>0.38</v>
      </c>
      <c r="I4665" t="s">
        <v>19</v>
      </c>
      <c r="J4665">
        <v>0</v>
      </c>
      <c r="K4665">
        <v>1</v>
      </c>
      <c r="L4665">
        <v>0</v>
      </c>
      <c r="M4665">
        <f>VLOOKUP(Table1[[#This Row],[subscription_type]],Plans!$A$1:$B$5,2,FALSE)</f>
        <v>14.99</v>
      </c>
      <c r="N4665">
        <f t="shared" si="72"/>
        <v>0</v>
      </c>
    </row>
    <row r="4666" spans="1:14" x14ac:dyDescent="0.35">
      <c r="A4666">
        <v>4665</v>
      </c>
      <c r="B4666" t="s">
        <v>12</v>
      </c>
      <c r="C4666">
        <v>48</v>
      </c>
      <c r="D4666" t="s">
        <v>13</v>
      </c>
      <c r="E4666" t="s">
        <v>18</v>
      </c>
      <c r="F4666">
        <v>96</v>
      </c>
      <c r="G4666">
        <v>86</v>
      </c>
      <c r="H4666">
        <v>0.32</v>
      </c>
      <c r="I4666" t="s">
        <v>23</v>
      </c>
      <c r="J4666">
        <v>0</v>
      </c>
      <c r="K4666">
        <v>1</v>
      </c>
      <c r="L4666">
        <v>0</v>
      </c>
      <c r="M4666">
        <f>VLOOKUP(Table1[[#This Row],[subscription_type]],Plans!$A$1:$B$5,2,FALSE)</f>
        <v>14.99</v>
      </c>
      <c r="N4666">
        <f t="shared" si="72"/>
        <v>0</v>
      </c>
    </row>
    <row r="4667" spans="1:14" x14ac:dyDescent="0.35">
      <c r="A4667">
        <v>4666</v>
      </c>
      <c r="B4667" t="s">
        <v>12</v>
      </c>
      <c r="C4667">
        <v>22</v>
      </c>
      <c r="D4667" t="s">
        <v>27</v>
      </c>
      <c r="E4667" t="s">
        <v>18</v>
      </c>
      <c r="F4667">
        <v>261</v>
      </c>
      <c r="G4667">
        <v>32</v>
      </c>
      <c r="H4667">
        <v>0.31</v>
      </c>
      <c r="I4667" t="s">
        <v>19</v>
      </c>
      <c r="J4667">
        <v>0</v>
      </c>
      <c r="K4667">
        <v>1</v>
      </c>
      <c r="L4667">
        <v>0</v>
      </c>
      <c r="M4667">
        <f>VLOOKUP(Table1[[#This Row],[subscription_type]],Plans!$A$1:$B$5,2,FALSE)</f>
        <v>14.99</v>
      </c>
      <c r="N4667">
        <f t="shared" si="72"/>
        <v>0</v>
      </c>
    </row>
    <row r="4668" spans="1:14" x14ac:dyDescent="0.35">
      <c r="A4668">
        <v>4667</v>
      </c>
      <c r="B4668" t="s">
        <v>20</v>
      </c>
      <c r="C4668">
        <v>35</v>
      </c>
      <c r="D4668" t="s">
        <v>26</v>
      </c>
      <c r="E4668" t="s">
        <v>24</v>
      </c>
      <c r="F4668">
        <v>156</v>
      </c>
      <c r="G4668">
        <v>63</v>
      </c>
      <c r="H4668">
        <v>0.45</v>
      </c>
      <c r="I4668" t="s">
        <v>15</v>
      </c>
      <c r="J4668">
        <v>0</v>
      </c>
      <c r="K4668">
        <v>1</v>
      </c>
      <c r="L4668">
        <v>0</v>
      </c>
      <c r="M4668">
        <f>VLOOKUP(Table1[[#This Row],[subscription_type]],Plans!$A$1:$B$5,2,FALSE)</f>
        <v>4.99</v>
      </c>
      <c r="N4668">
        <f t="shared" si="72"/>
        <v>0</v>
      </c>
    </row>
    <row r="4669" spans="1:14" x14ac:dyDescent="0.35">
      <c r="A4669">
        <v>4668</v>
      </c>
      <c r="B4669" t="s">
        <v>20</v>
      </c>
      <c r="C4669">
        <v>42</v>
      </c>
      <c r="D4669" t="s">
        <v>27</v>
      </c>
      <c r="E4669" t="s">
        <v>14</v>
      </c>
      <c r="F4669">
        <v>268</v>
      </c>
      <c r="G4669">
        <v>64</v>
      </c>
      <c r="H4669">
        <v>0.22</v>
      </c>
      <c r="I4669" t="s">
        <v>23</v>
      </c>
      <c r="J4669">
        <v>44</v>
      </c>
      <c r="K4669">
        <v>0</v>
      </c>
      <c r="L4669">
        <v>0</v>
      </c>
      <c r="M4669">
        <f>VLOOKUP(Table1[[#This Row],[subscription_type]],Plans!$A$1:$B$5,2,FALSE)</f>
        <v>0</v>
      </c>
      <c r="N4669">
        <f t="shared" si="72"/>
        <v>0</v>
      </c>
    </row>
    <row r="4670" spans="1:14" x14ac:dyDescent="0.35">
      <c r="A4670">
        <v>4669</v>
      </c>
      <c r="B4670" t="s">
        <v>12</v>
      </c>
      <c r="C4670">
        <v>31</v>
      </c>
      <c r="D4670" t="s">
        <v>28</v>
      </c>
      <c r="E4670" t="s">
        <v>22</v>
      </c>
      <c r="F4670">
        <v>246</v>
      </c>
      <c r="G4670">
        <v>92</v>
      </c>
      <c r="H4670">
        <v>0.3</v>
      </c>
      <c r="I4670" t="s">
        <v>19</v>
      </c>
      <c r="J4670">
        <v>0</v>
      </c>
      <c r="K4670">
        <v>1</v>
      </c>
      <c r="L4670">
        <v>0</v>
      </c>
      <c r="M4670">
        <f>VLOOKUP(Table1[[#This Row],[subscription_type]],Plans!$A$1:$B$5,2,FALSE)</f>
        <v>9.99</v>
      </c>
      <c r="N4670">
        <f t="shared" si="72"/>
        <v>0</v>
      </c>
    </row>
    <row r="4671" spans="1:14" x14ac:dyDescent="0.35">
      <c r="A4671">
        <v>4670</v>
      </c>
      <c r="B4671" t="s">
        <v>12</v>
      </c>
      <c r="C4671">
        <v>32</v>
      </c>
      <c r="D4671" t="s">
        <v>21</v>
      </c>
      <c r="E4671" t="s">
        <v>24</v>
      </c>
      <c r="F4671">
        <v>243</v>
      </c>
      <c r="G4671">
        <v>79</v>
      </c>
      <c r="H4671">
        <v>0.36</v>
      </c>
      <c r="I4671" t="s">
        <v>15</v>
      </c>
      <c r="J4671">
        <v>0</v>
      </c>
      <c r="K4671">
        <v>1</v>
      </c>
      <c r="L4671">
        <v>1</v>
      </c>
      <c r="M4671">
        <f>VLOOKUP(Table1[[#This Row],[subscription_type]],Plans!$A$1:$B$5,2,FALSE)</f>
        <v>4.99</v>
      </c>
      <c r="N4671">
        <f t="shared" si="72"/>
        <v>4.99</v>
      </c>
    </row>
    <row r="4672" spans="1:14" x14ac:dyDescent="0.35">
      <c r="A4672">
        <v>4671</v>
      </c>
      <c r="B4672" t="s">
        <v>20</v>
      </c>
      <c r="C4672">
        <v>37</v>
      </c>
      <c r="D4672" t="s">
        <v>17</v>
      </c>
      <c r="E4672" t="s">
        <v>14</v>
      </c>
      <c r="F4672">
        <v>218</v>
      </c>
      <c r="G4672">
        <v>76</v>
      </c>
      <c r="H4672">
        <v>0.44</v>
      </c>
      <c r="I4672" t="s">
        <v>15</v>
      </c>
      <c r="J4672">
        <v>46</v>
      </c>
      <c r="K4672">
        <v>0</v>
      </c>
      <c r="L4672">
        <v>1</v>
      </c>
      <c r="M4672">
        <f>VLOOKUP(Table1[[#This Row],[subscription_type]],Plans!$A$1:$B$5,2,FALSE)</f>
        <v>0</v>
      </c>
      <c r="N4672">
        <f t="shared" si="72"/>
        <v>0</v>
      </c>
    </row>
    <row r="4673" spans="1:14" x14ac:dyDescent="0.35">
      <c r="A4673">
        <v>4672</v>
      </c>
      <c r="B4673" t="s">
        <v>20</v>
      </c>
      <c r="C4673">
        <v>24</v>
      </c>
      <c r="D4673" t="s">
        <v>21</v>
      </c>
      <c r="E4673" t="s">
        <v>18</v>
      </c>
      <c r="F4673">
        <v>68</v>
      </c>
      <c r="G4673">
        <v>27</v>
      </c>
      <c r="H4673">
        <v>0.54</v>
      </c>
      <c r="I4673" t="s">
        <v>19</v>
      </c>
      <c r="J4673">
        <v>0</v>
      </c>
      <c r="K4673">
        <v>1</v>
      </c>
      <c r="L4673">
        <v>0</v>
      </c>
      <c r="M4673">
        <f>VLOOKUP(Table1[[#This Row],[subscription_type]],Plans!$A$1:$B$5,2,FALSE)</f>
        <v>14.99</v>
      </c>
      <c r="N4673">
        <f t="shared" si="72"/>
        <v>0</v>
      </c>
    </row>
    <row r="4674" spans="1:14" x14ac:dyDescent="0.35">
      <c r="A4674">
        <v>4673</v>
      </c>
      <c r="B4674" t="s">
        <v>16</v>
      </c>
      <c r="C4674">
        <v>19</v>
      </c>
      <c r="D4674" t="s">
        <v>17</v>
      </c>
      <c r="E4674" t="s">
        <v>18</v>
      </c>
      <c r="F4674">
        <v>16</v>
      </c>
      <c r="G4674">
        <v>48</v>
      </c>
      <c r="H4674">
        <v>0.45</v>
      </c>
      <c r="I4674" t="s">
        <v>15</v>
      </c>
      <c r="J4674">
        <v>0</v>
      </c>
      <c r="K4674">
        <v>1</v>
      </c>
      <c r="L4674">
        <v>0</v>
      </c>
      <c r="M4674">
        <f>VLOOKUP(Table1[[#This Row],[subscription_type]],Plans!$A$1:$B$5,2,FALSE)</f>
        <v>14.99</v>
      </c>
      <c r="N4674">
        <f t="shared" ref="N4674:N4737" si="73">IF(L4674=1, M4674,0)</f>
        <v>0</v>
      </c>
    </row>
    <row r="4675" spans="1:14" x14ac:dyDescent="0.35">
      <c r="A4675">
        <v>4674</v>
      </c>
      <c r="B4675" t="s">
        <v>16</v>
      </c>
      <c r="C4675">
        <v>38</v>
      </c>
      <c r="D4675" t="s">
        <v>17</v>
      </c>
      <c r="E4675" t="s">
        <v>24</v>
      </c>
      <c r="F4675">
        <v>89</v>
      </c>
      <c r="G4675">
        <v>86</v>
      </c>
      <c r="H4675">
        <v>0.12</v>
      </c>
      <c r="I4675" t="s">
        <v>19</v>
      </c>
      <c r="J4675">
        <v>0</v>
      </c>
      <c r="K4675">
        <v>1</v>
      </c>
      <c r="L4675">
        <v>0</v>
      </c>
      <c r="M4675">
        <f>VLOOKUP(Table1[[#This Row],[subscription_type]],Plans!$A$1:$B$5,2,FALSE)</f>
        <v>4.99</v>
      </c>
      <c r="N4675">
        <f t="shared" si="73"/>
        <v>0</v>
      </c>
    </row>
    <row r="4676" spans="1:14" x14ac:dyDescent="0.35">
      <c r="A4676">
        <v>4675</v>
      </c>
      <c r="B4676" t="s">
        <v>16</v>
      </c>
      <c r="C4676">
        <v>44</v>
      </c>
      <c r="D4676" t="s">
        <v>28</v>
      </c>
      <c r="E4676" t="s">
        <v>14</v>
      </c>
      <c r="F4676">
        <v>11</v>
      </c>
      <c r="G4676">
        <v>82</v>
      </c>
      <c r="H4676">
        <v>0.37</v>
      </c>
      <c r="I4676" t="s">
        <v>23</v>
      </c>
      <c r="J4676">
        <v>36</v>
      </c>
      <c r="K4676">
        <v>0</v>
      </c>
      <c r="L4676">
        <v>1</v>
      </c>
      <c r="M4676">
        <f>VLOOKUP(Table1[[#This Row],[subscription_type]],Plans!$A$1:$B$5,2,FALSE)</f>
        <v>0</v>
      </c>
      <c r="N4676">
        <f t="shared" si="73"/>
        <v>0</v>
      </c>
    </row>
    <row r="4677" spans="1:14" x14ac:dyDescent="0.35">
      <c r="A4677">
        <v>4676</v>
      </c>
      <c r="B4677" t="s">
        <v>16</v>
      </c>
      <c r="C4677">
        <v>48</v>
      </c>
      <c r="D4677" t="s">
        <v>21</v>
      </c>
      <c r="E4677" t="s">
        <v>18</v>
      </c>
      <c r="F4677">
        <v>169</v>
      </c>
      <c r="G4677">
        <v>93</v>
      </c>
      <c r="H4677">
        <v>0.15</v>
      </c>
      <c r="I4677" t="s">
        <v>19</v>
      </c>
      <c r="J4677">
        <v>0</v>
      </c>
      <c r="K4677">
        <v>1</v>
      </c>
      <c r="L4677">
        <v>0</v>
      </c>
      <c r="M4677">
        <f>VLOOKUP(Table1[[#This Row],[subscription_type]],Plans!$A$1:$B$5,2,FALSE)</f>
        <v>14.99</v>
      </c>
      <c r="N4677">
        <f t="shared" si="73"/>
        <v>0</v>
      </c>
    </row>
    <row r="4678" spans="1:14" x14ac:dyDescent="0.35">
      <c r="A4678">
        <v>4677</v>
      </c>
      <c r="B4678" t="s">
        <v>12</v>
      </c>
      <c r="C4678">
        <v>56</v>
      </c>
      <c r="D4678" t="s">
        <v>25</v>
      </c>
      <c r="E4678" t="s">
        <v>14</v>
      </c>
      <c r="F4678">
        <v>225</v>
      </c>
      <c r="G4678">
        <v>53</v>
      </c>
      <c r="H4678">
        <v>0.27</v>
      </c>
      <c r="I4678" t="s">
        <v>15</v>
      </c>
      <c r="J4678">
        <v>47</v>
      </c>
      <c r="K4678">
        <v>0</v>
      </c>
      <c r="L4678">
        <v>0</v>
      </c>
      <c r="M4678">
        <f>VLOOKUP(Table1[[#This Row],[subscription_type]],Plans!$A$1:$B$5,2,FALSE)</f>
        <v>0</v>
      </c>
      <c r="N4678">
        <f t="shared" si="73"/>
        <v>0</v>
      </c>
    </row>
    <row r="4679" spans="1:14" x14ac:dyDescent="0.35">
      <c r="A4679">
        <v>4678</v>
      </c>
      <c r="B4679" t="s">
        <v>16</v>
      </c>
      <c r="C4679">
        <v>30</v>
      </c>
      <c r="D4679" t="s">
        <v>13</v>
      </c>
      <c r="E4679" t="s">
        <v>24</v>
      </c>
      <c r="F4679">
        <v>21</v>
      </c>
      <c r="G4679">
        <v>67</v>
      </c>
      <c r="H4679">
        <v>0.37</v>
      </c>
      <c r="I4679" t="s">
        <v>19</v>
      </c>
      <c r="J4679">
        <v>0</v>
      </c>
      <c r="K4679">
        <v>1</v>
      </c>
      <c r="L4679">
        <v>0</v>
      </c>
      <c r="M4679">
        <f>VLOOKUP(Table1[[#This Row],[subscription_type]],Plans!$A$1:$B$5,2,FALSE)</f>
        <v>4.99</v>
      </c>
      <c r="N4679">
        <f t="shared" si="73"/>
        <v>0</v>
      </c>
    </row>
    <row r="4680" spans="1:14" x14ac:dyDescent="0.35">
      <c r="A4680">
        <v>4679</v>
      </c>
      <c r="B4680" t="s">
        <v>20</v>
      </c>
      <c r="C4680">
        <v>17</v>
      </c>
      <c r="D4680" t="s">
        <v>17</v>
      </c>
      <c r="E4680" t="s">
        <v>24</v>
      </c>
      <c r="F4680">
        <v>164</v>
      </c>
      <c r="G4680">
        <v>18</v>
      </c>
      <c r="H4680">
        <v>0.13</v>
      </c>
      <c r="I4680" t="s">
        <v>23</v>
      </c>
      <c r="J4680">
        <v>0</v>
      </c>
      <c r="K4680">
        <v>1</v>
      </c>
      <c r="L4680">
        <v>0</v>
      </c>
      <c r="M4680">
        <f>VLOOKUP(Table1[[#This Row],[subscription_type]],Plans!$A$1:$B$5,2,FALSE)</f>
        <v>4.99</v>
      </c>
      <c r="N4680">
        <f t="shared" si="73"/>
        <v>0</v>
      </c>
    </row>
    <row r="4681" spans="1:14" x14ac:dyDescent="0.35">
      <c r="A4681">
        <v>4680</v>
      </c>
      <c r="B4681" t="s">
        <v>12</v>
      </c>
      <c r="C4681">
        <v>28</v>
      </c>
      <c r="D4681" t="s">
        <v>28</v>
      </c>
      <c r="E4681" t="s">
        <v>14</v>
      </c>
      <c r="F4681">
        <v>240</v>
      </c>
      <c r="G4681">
        <v>28</v>
      </c>
      <c r="H4681">
        <v>0.22</v>
      </c>
      <c r="I4681" t="s">
        <v>19</v>
      </c>
      <c r="J4681">
        <v>16</v>
      </c>
      <c r="K4681">
        <v>0</v>
      </c>
      <c r="L4681">
        <v>0</v>
      </c>
      <c r="M4681">
        <f>VLOOKUP(Table1[[#This Row],[subscription_type]],Plans!$A$1:$B$5,2,FALSE)</f>
        <v>0</v>
      </c>
      <c r="N4681">
        <f t="shared" si="73"/>
        <v>0</v>
      </c>
    </row>
    <row r="4682" spans="1:14" x14ac:dyDescent="0.35">
      <c r="A4682">
        <v>4681</v>
      </c>
      <c r="B4682" t="s">
        <v>16</v>
      </c>
      <c r="C4682">
        <v>32</v>
      </c>
      <c r="D4682" t="s">
        <v>25</v>
      </c>
      <c r="E4682" t="s">
        <v>18</v>
      </c>
      <c r="F4682">
        <v>58</v>
      </c>
      <c r="G4682">
        <v>97</v>
      </c>
      <c r="H4682">
        <v>0.27</v>
      </c>
      <c r="I4682" t="s">
        <v>23</v>
      </c>
      <c r="J4682">
        <v>0</v>
      </c>
      <c r="K4682">
        <v>1</v>
      </c>
      <c r="L4682">
        <v>1</v>
      </c>
      <c r="M4682">
        <f>VLOOKUP(Table1[[#This Row],[subscription_type]],Plans!$A$1:$B$5,2,FALSE)</f>
        <v>14.99</v>
      </c>
      <c r="N4682">
        <f t="shared" si="73"/>
        <v>14.99</v>
      </c>
    </row>
    <row r="4683" spans="1:14" x14ac:dyDescent="0.35">
      <c r="A4683">
        <v>4682</v>
      </c>
      <c r="B4683" t="s">
        <v>16</v>
      </c>
      <c r="C4683">
        <v>24</v>
      </c>
      <c r="D4683" t="s">
        <v>27</v>
      </c>
      <c r="E4683" t="s">
        <v>18</v>
      </c>
      <c r="F4683">
        <v>243</v>
      </c>
      <c r="G4683">
        <v>64</v>
      </c>
      <c r="H4683">
        <v>0.1</v>
      </c>
      <c r="I4683" t="s">
        <v>15</v>
      </c>
      <c r="J4683">
        <v>0</v>
      </c>
      <c r="K4683">
        <v>1</v>
      </c>
      <c r="L4683">
        <v>0</v>
      </c>
      <c r="M4683">
        <f>VLOOKUP(Table1[[#This Row],[subscription_type]],Plans!$A$1:$B$5,2,FALSE)</f>
        <v>14.99</v>
      </c>
      <c r="N4683">
        <f t="shared" si="73"/>
        <v>0</v>
      </c>
    </row>
    <row r="4684" spans="1:14" x14ac:dyDescent="0.35">
      <c r="A4684">
        <v>4683</v>
      </c>
      <c r="B4684" t="s">
        <v>16</v>
      </c>
      <c r="C4684">
        <v>26</v>
      </c>
      <c r="D4684" t="s">
        <v>26</v>
      </c>
      <c r="E4684" t="s">
        <v>24</v>
      </c>
      <c r="F4684">
        <v>133</v>
      </c>
      <c r="G4684">
        <v>91</v>
      </c>
      <c r="H4684">
        <v>0.14000000000000001</v>
      </c>
      <c r="I4684" t="s">
        <v>15</v>
      </c>
      <c r="J4684">
        <v>0</v>
      </c>
      <c r="K4684">
        <v>1</v>
      </c>
      <c r="L4684">
        <v>1</v>
      </c>
      <c r="M4684">
        <f>VLOOKUP(Table1[[#This Row],[subscription_type]],Plans!$A$1:$B$5,2,FALSE)</f>
        <v>4.99</v>
      </c>
      <c r="N4684">
        <f t="shared" si="73"/>
        <v>4.99</v>
      </c>
    </row>
    <row r="4685" spans="1:14" x14ac:dyDescent="0.35">
      <c r="A4685">
        <v>4684</v>
      </c>
      <c r="B4685" t="s">
        <v>12</v>
      </c>
      <c r="C4685">
        <v>22</v>
      </c>
      <c r="D4685" t="s">
        <v>21</v>
      </c>
      <c r="E4685" t="s">
        <v>18</v>
      </c>
      <c r="F4685">
        <v>201</v>
      </c>
      <c r="G4685">
        <v>43</v>
      </c>
      <c r="H4685">
        <v>0.11</v>
      </c>
      <c r="I4685" t="s">
        <v>15</v>
      </c>
      <c r="J4685">
        <v>0</v>
      </c>
      <c r="K4685">
        <v>1</v>
      </c>
      <c r="L4685">
        <v>0</v>
      </c>
      <c r="M4685">
        <f>VLOOKUP(Table1[[#This Row],[subscription_type]],Plans!$A$1:$B$5,2,FALSE)</f>
        <v>14.99</v>
      </c>
      <c r="N4685">
        <f t="shared" si="73"/>
        <v>0</v>
      </c>
    </row>
    <row r="4686" spans="1:14" x14ac:dyDescent="0.35">
      <c r="A4686">
        <v>4685</v>
      </c>
      <c r="B4686" t="s">
        <v>16</v>
      </c>
      <c r="C4686">
        <v>27</v>
      </c>
      <c r="D4686" t="s">
        <v>17</v>
      </c>
      <c r="E4686" t="s">
        <v>22</v>
      </c>
      <c r="F4686">
        <v>291</v>
      </c>
      <c r="G4686">
        <v>11</v>
      </c>
      <c r="H4686">
        <v>0.51</v>
      </c>
      <c r="I4686" t="s">
        <v>19</v>
      </c>
      <c r="J4686">
        <v>0</v>
      </c>
      <c r="K4686">
        <v>1</v>
      </c>
      <c r="L4686">
        <v>1</v>
      </c>
      <c r="M4686">
        <f>VLOOKUP(Table1[[#This Row],[subscription_type]],Plans!$A$1:$B$5,2,FALSE)</f>
        <v>9.99</v>
      </c>
      <c r="N4686">
        <f t="shared" si="73"/>
        <v>9.99</v>
      </c>
    </row>
    <row r="4687" spans="1:14" x14ac:dyDescent="0.35">
      <c r="A4687">
        <v>4686</v>
      </c>
      <c r="B4687" t="s">
        <v>12</v>
      </c>
      <c r="C4687">
        <v>50</v>
      </c>
      <c r="D4687" t="s">
        <v>26</v>
      </c>
      <c r="E4687" t="s">
        <v>22</v>
      </c>
      <c r="F4687">
        <v>291</v>
      </c>
      <c r="G4687">
        <v>18</v>
      </c>
      <c r="H4687">
        <v>0.55000000000000004</v>
      </c>
      <c r="I4687" t="s">
        <v>23</v>
      </c>
      <c r="J4687">
        <v>0</v>
      </c>
      <c r="K4687">
        <v>1</v>
      </c>
      <c r="L4687">
        <v>0</v>
      </c>
      <c r="M4687">
        <f>VLOOKUP(Table1[[#This Row],[subscription_type]],Plans!$A$1:$B$5,2,FALSE)</f>
        <v>9.99</v>
      </c>
      <c r="N4687">
        <f t="shared" si="73"/>
        <v>0</v>
      </c>
    </row>
    <row r="4688" spans="1:14" x14ac:dyDescent="0.35">
      <c r="A4688">
        <v>4687</v>
      </c>
      <c r="B4688" t="s">
        <v>20</v>
      </c>
      <c r="C4688">
        <v>37</v>
      </c>
      <c r="D4688" t="s">
        <v>17</v>
      </c>
      <c r="E4688" t="s">
        <v>24</v>
      </c>
      <c r="F4688">
        <v>96</v>
      </c>
      <c r="G4688">
        <v>23</v>
      </c>
      <c r="H4688">
        <v>0.36</v>
      </c>
      <c r="I4688" t="s">
        <v>23</v>
      </c>
      <c r="J4688">
        <v>0</v>
      </c>
      <c r="K4688">
        <v>1</v>
      </c>
      <c r="L4688">
        <v>0</v>
      </c>
      <c r="M4688">
        <f>VLOOKUP(Table1[[#This Row],[subscription_type]],Plans!$A$1:$B$5,2,FALSE)</f>
        <v>4.99</v>
      </c>
      <c r="N4688">
        <f t="shared" si="73"/>
        <v>0</v>
      </c>
    </row>
    <row r="4689" spans="1:14" x14ac:dyDescent="0.35">
      <c r="A4689">
        <v>4688</v>
      </c>
      <c r="B4689" t="s">
        <v>20</v>
      </c>
      <c r="C4689">
        <v>49</v>
      </c>
      <c r="D4689" t="s">
        <v>28</v>
      </c>
      <c r="E4689" t="s">
        <v>18</v>
      </c>
      <c r="F4689">
        <v>34</v>
      </c>
      <c r="G4689">
        <v>93</v>
      </c>
      <c r="H4689">
        <v>0.37</v>
      </c>
      <c r="I4689" t="s">
        <v>23</v>
      </c>
      <c r="J4689">
        <v>0</v>
      </c>
      <c r="K4689">
        <v>1</v>
      </c>
      <c r="L4689">
        <v>0</v>
      </c>
      <c r="M4689">
        <f>VLOOKUP(Table1[[#This Row],[subscription_type]],Plans!$A$1:$B$5,2,FALSE)</f>
        <v>14.99</v>
      </c>
      <c r="N4689">
        <f t="shared" si="73"/>
        <v>0</v>
      </c>
    </row>
    <row r="4690" spans="1:14" x14ac:dyDescent="0.35">
      <c r="A4690">
        <v>4689</v>
      </c>
      <c r="B4690" t="s">
        <v>20</v>
      </c>
      <c r="C4690">
        <v>48</v>
      </c>
      <c r="D4690" t="s">
        <v>25</v>
      </c>
      <c r="E4690" t="s">
        <v>24</v>
      </c>
      <c r="F4690">
        <v>33</v>
      </c>
      <c r="G4690">
        <v>52</v>
      </c>
      <c r="H4690">
        <v>0.43</v>
      </c>
      <c r="I4690" t="s">
        <v>19</v>
      </c>
      <c r="J4690">
        <v>0</v>
      </c>
      <c r="K4690">
        <v>1</v>
      </c>
      <c r="L4690">
        <v>1</v>
      </c>
      <c r="M4690">
        <f>VLOOKUP(Table1[[#This Row],[subscription_type]],Plans!$A$1:$B$5,2,FALSE)</f>
        <v>4.99</v>
      </c>
      <c r="N4690">
        <f t="shared" si="73"/>
        <v>4.99</v>
      </c>
    </row>
    <row r="4691" spans="1:14" x14ac:dyDescent="0.35">
      <c r="A4691">
        <v>4690</v>
      </c>
      <c r="B4691" t="s">
        <v>12</v>
      </c>
      <c r="C4691">
        <v>45</v>
      </c>
      <c r="D4691" t="s">
        <v>21</v>
      </c>
      <c r="E4691" t="s">
        <v>24</v>
      </c>
      <c r="F4691">
        <v>166</v>
      </c>
      <c r="G4691">
        <v>59</v>
      </c>
      <c r="H4691">
        <v>0.56000000000000005</v>
      </c>
      <c r="I4691" t="s">
        <v>15</v>
      </c>
      <c r="J4691">
        <v>0</v>
      </c>
      <c r="K4691">
        <v>1</v>
      </c>
      <c r="L4691">
        <v>0</v>
      </c>
      <c r="M4691">
        <f>VLOOKUP(Table1[[#This Row],[subscription_type]],Plans!$A$1:$B$5,2,FALSE)</f>
        <v>4.99</v>
      </c>
      <c r="N4691">
        <f t="shared" si="73"/>
        <v>0</v>
      </c>
    </row>
    <row r="4692" spans="1:14" x14ac:dyDescent="0.35">
      <c r="A4692">
        <v>4691</v>
      </c>
      <c r="B4692" t="s">
        <v>16</v>
      </c>
      <c r="C4692">
        <v>58</v>
      </c>
      <c r="D4692" t="s">
        <v>28</v>
      </c>
      <c r="E4692" t="s">
        <v>18</v>
      </c>
      <c r="F4692">
        <v>297</v>
      </c>
      <c r="G4692">
        <v>56</v>
      </c>
      <c r="H4692">
        <v>0.53</v>
      </c>
      <c r="I4692" t="s">
        <v>15</v>
      </c>
      <c r="J4692">
        <v>0</v>
      </c>
      <c r="K4692">
        <v>1</v>
      </c>
      <c r="L4692">
        <v>1</v>
      </c>
      <c r="M4692">
        <f>VLOOKUP(Table1[[#This Row],[subscription_type]],Plans!$A$1:$B$5,2,FALSE)</f>
        <v>14.99</v>
      </c>
      <c r="N4692">
        <f t="shared" si="73"/>
        <v>14.99</v>
      </c>
    </row>
    <row r="4693" spans="1:14" x14ac:dyDescent="0.35">
      <c r="A4693">
        <v>4692</v>
      </c>
      <c r="B4693" t="s">
        <v>16</v>
      </c>
      <c r="C4693">
        <v>35</v>
      </c>
      <c r="D4693" t="s">
        <v>25</v>
      </c>
      <c r="E4693" t="s">
        <v>22</v>
      </c>
      <c r="F4693">
        <v>204</v>
      </c>
      <c r="G4693">
        <v>40</v>
      </c>
      <c r="H4693">
        <v>0.17</v>
      </c>
      <c r="I4693" t="s">
        <v>23</v>
      </c>
      <c r="J4693">
        <v>0</v>
      </c>
      <c r="K4693">
        <v>1</v>
      </c>
      <c r="L4693">
        <v>0</v>
      </c>
      <c r="M4693">
        <f>VLOOKUP(Table1[[#This Row],[subscription_type]],Plans!$A$1:$B$5,2,FALSE)</f>
        <v>9.99</v>
      </c>
      <c r="N4693">
        <f t="shared" si="73"/>
        <v>0</v>
      </c>
    </row>
    <row r="4694" spans="1:14" x14ac:dyDescent="0.35">
      <c r="A4694">
        <v>4693</v>
      </c>
      <c r="B4694" t="s">
        <v>20</v>
      </c>
      <c r="C4694">
        <v>36</v>
      </c>
      <c r="D4694" t="s">
        <v>28</v>
      </c>
      <c r="E4694" t="s">
        <v>22</v>
      </c>
      <c r="F4694">
        <v>182</v>
      </c>
      <c r="G4694">
        <v>81</v>
      </c>
      <c r="H4694">
        <v>0.26</v>
      </c>
      <c r="I4694" t="s">
        <v>15</v>
      </c>
      <c r="J4694">
        <v>0</v>
      </c>
      <c r="K4694">
        <v>1</v>
      </c>
      <c r="L4694">
        <v>0</v>
      </c>
      <c r="M4694">
        <f>VLOOKUP(Table1[[#This Row],[subscription_type]],Plans!$A$1:$B$5,2,FALSE)</f>
        <v>9.99</v>
      </c>
      <c r="N4694">
        <f t="shared" si="73"/>
        <v>0</v>
      </c>
    </row>
    <row r="4695" spans="1:14" x14ac:dyDescent="0.35">
      <c r="A4695">
        <v>4694</v>
      </c>
      <c r="B4695" t="s">
        <v>12</v>
      </c>
      <c r="C4695">
        <v>33</v>
      </c>
      <c r="D4695" t="s">
        <v>27</v>
      </c>
      <c r="E4695" t="s">
        <v>18</v>
      </c>
      <c r="F4695">
        <v>102</v>
      </c>
      <c r="G4695">
        <v>18</v>
      </c>
      <c r="H4695">
        <v>0.09</v>
      </c>
      <c r="I4695" t="s">
        <v>19</v>
      </c>
      <c r="J4695">
        <v>0</v>
      </c>
      <c r="K4695">
        <v>1</v>
      </c>
      <c r="L4695">
        <v>0</v>
      </c>
      <c r="M4695">
        <f>VLOOKUP(Table1[[#This Row],[subscription_type]],Plans!$A$1:$B$5,2,FALSE)</f>
        <v>14.99</v>
      </c>
      <c r="N4695">
        <f t="shared" si="73"/>
        <v>0</v>
      </c>
    </row>
    <row r="4696" spans="1:14" x14ac:dyDescent="0.35">
      <c r="A4696">
        <v>4695</v>
      </c>
      <c r="B4696" t="s">
        <v>20</v>
      </c>
      <c r="C4696">
        <v>28</v>
      </c>
      <c r="D4696" t="s">
        <v>21</v>
      </c>
      <c r="E4696" t="s">
        <v>22</v>
      </c>
      <c r="F4696">
        <v>119</v>
      </c>
      <c r="G4696">
        <v>25</v>
      </c>
      <c r="H4696">
        <v>0.52</v>
      </c>
      <c r="I4696" t="s">
        <v>23</v>
      </c>
      <c r="J4696">
        <v>0</v>
      </c>
      <c r="K4696">
        <v>1</v>
      </c>
      <c r="L4696">
        <v>0</v>
      </c>
      <c r="M4696">
        <f>VLOOKUP(Table1[[#This Row],[subscription_type]],Plans!$A$1:$B$5,2,FALSE)</f>
        <v>9.99</v>
      </c>
      <c r="N4696">
        <f t="shared" si="73"/>
        <v>0</v>
      </c>
    </row>
    <row r="4697" spans="1:14" x14ac:dyDescent="0.35">
      <c r="A4697">
        <v>4696</v>
      </c>
      <c r="B4697" t="s">
        <v>20</v>
      </c>
      <c r="C4697">
        <v>32</v>
      </c>
      <c r="D4697" t="s">
        <v>27</v>
      </c>
      <c r="E4697" t="s">
        <v>18</v>
      </c>
      <c r="F4697">
        <v>274</v>
      </c>
      <c r="G4697">
        <v>62</v>
      </c>
      <c r="H4697">
        <v>0.51</v>
      </c>
      <c r="I4697" t="s">
        <v>23</v>
      </c>
      <c r="J4697">
        <v>0</v>
      </c>
      <c r="K4697">
        <v>1</v>
      </c>
      <c r="L4697">
        <v>1</v>
      </c>
      <c r="M4697">
        <f>VLOOKUP(Table1[[#This Row],[subscription_type]],Plans!$A$1:$B$5,2,FALSE)</f>
        <v>14.99</v>
      </c>
      <c r="N4697">
        <f t="shared" si="73"/>
        <v>14.99</v>
      </c>
    </row>
    <row r="4698" spans="1:14" x14ac:dyDescent="0.35">
      <c r="A4698">
        <v>4697</v>
      </c>
      <c r="B4698" t="s">
        <v>20</v>
      </c>
      <c r="C4698">
        <v>34</v>
      </c>
      <c r="D4698" t="s">
        <v>27</v>
      </c>
      <c r="E4698" t="s">
        <v>18</v>
      </c>
      <c r="F4698">
        <v>177</v>
      </c>
      <c r="G4698">
        <v>11</v>
      </c>
      <c r="H4698">
        <v>0.34</v>
      </c>
      <c r="I4698" t="s">
        <v>19</v>
      </c>
      <c r="J4698">
        <v>0</v>
      </c>
      <c r="K4698">
        <v>1</v>
      </c>
      <c r="L4698">
        <v>0</v>
      </c>
      <c r="M4698">
        <f>VLOOKUP(Table1[[#This Row],[subscription_type]],Plans!$A$1:$B$5,2,FALSE)</f>
        <v>14.99</v>
      </c>
      <c r="N4698">
        <f t="shared" si="73"/>
        <v>0</v>
      </c>
    </row>
    <row r="4699" spans="1:14" x14ac:dyDescent="0.35">
      <c r="A4699">
        <v>4698</v>
      </c>
      <c r="B4699" t="s">
        <v>16</v>
      </c>
      <c r="C4699">
        <v>20</v>
      </c>
      <c r="D4699" t="s">
        <v>28</v>
      </c>
      <c r="E4699" t="s">
        <v>18</v>
      </c>
      <c r="F4699">
        <v>163</v>
      </c>
      <c r="G4699">
        <v>96</v>
      </c>
      <c r="H4699">
        <v>0.11</v>
      </c>
      <c r="I4699" t="s">
        <v>23</v>
      </c>
      <c r="J4699">
        <v>0</v>
      </c>
      <c r="K4699">
        <v>1</v>
      </c>
      <c r="L4699">
        <v>0</v>
      </c>
      <c r="M4699">
        <f>VLOOKUP(Table1[[#This Row],[subscription_type]],Plans!$A$1:$B$5,2,FALSE)</f>
        <v>14.99</v>
      </c>
      <c r="N4699">
        <f t="shared" si="73"/>
        <v>0</v>
      </c>
    </row>
    <row r="4700" spans="1:14" x14ac:dyDescent="0.35">
      <c r="A4700">
        <v>4699</v>
      </c>
      <c r="B4700" t="s">
        <v>16</v>
      </c>
      <c r="C4700">
        <v>58</v>
      </c>
      <c r="D4700" t="s">
        <v>26</v>
      </c>
      <c r="E4700" t="s">
        <v>22</v>
      </c>
      <c r="F4700">
        <v>103</v>
      </c>
      <c r="G4700">
        <v>54</v>
      </c>
      <c r="H4700">
        <v>0.28000000000000003</v>
      </c>
      <c r="I4700" t="s">
        <v>23</v>
      </c>
      <c r="J4700">
        <v>0</v>
      </c>
      <c r="K4700">
        <v>1</v>
      </c>
      <c r="L4700">
        <v>1</v>
      </c>
      <c r="M4700">
        <f>VLOOKUP(Table1[[#This Row],[subscription_type]],Plans!$A$1:$B$5,2,FALSE)</f>
        <v>9.99</v>
      </c>
      <c r="N4700">
        <f t="shared" si="73"/>
        <v>9.99</v>
      </c>
    </row>
    <row r="4701" spans="1:14" x14ac:dyDescent="0.35">
      <c r="A4701">
        <v>4700</v>
      </c>
      <c r="B4701" t="s">
        <v>16</v>
      </c>
      <c r="C4701">
        <v>30</v>
      </c>
      <c r="D4701" t="s">
        <v>27</v>
      </c>
      <c r="E4701" t="s">
        <v>24</v>
      </c>
      <c r="F4701">
        <v>136</v>
      </c>
      <c r="G4701">
        <v>16</v>
      </c>
      <c r="H4701">
        <v>0.22</v>
      </c>
      <c r="I4701" t="s">
        <v>23</v>
      </c>
      <c r="J4701">
        <v>0</v>
      </c>
      <c r="K4701">
        <v>1</v>
      </c>
      <c r="L4701">
        <v>0</v>
      </c>
      <c r="M4701">
        <f>VLOOKUP(Table1[[#This Row],[subscription_type]],Plans!$A$1:$B$5,2,FALSE)</f>
        <v>4.99</v>
      </c>
      <c r="N4701">
        <f t="shared" si="73"/>
        <v>0</v>
      </c>
    </row>
    <row r="4702" spans="1:14" x14ac:dyDescent="0.35">
      <c r="A4702">
        <v>4701</v>
      </c>
      <c r="B4702" t="s">
        <v>12</v>
      </c>
      <c r="C4702">
        <v>33</v>
      </c>
      <c r="D4702" t="s">
        <v>25</v>
      </c>
      <c r="E4702" t="s">
        <v>22</v>
      </c>
      <c r="F4702">
        <v>266</v>
      </c>
      <c r="G4702">
        <v>45</v>
      </c>
      <c r="H4702">
        <v>0.39</v>
      </c>
      <c r="I4702" t="s">
        <v>23</v>
      </c>
      <c r="J4702">
        <v>0</v>
      </c>
      <c r="K4702">
        <v>1</v>
      </c>
      <c r="L4702">
        <v>1</v>
      </c>
      <c r="M4702">
        <f>VLOOKUP(Table1[[#This Row],[subscription_type]],Plans!$A$1:$B$5,2,FALSE)</f>
        <v>9.99</v>
      </c>
      <c r="N4702">
        <f t="shared" si="73"/>
        <v>9.99</v>
      </c>
    </row>
    <row r="4703" spans="1:14" x14ac:dyDescent="0.35">
      <c r="A4703">
        <v>4702</v>
      </c>
      <c r="B4703" t="s">
        <v>16</v>
      </c>
      <c r="C4703">
        <v>34</v>
      </c>
      <c r="D4703" t="s">
        <v>21</v>
      </c>
      <c r="E4703" t="s">
        <v>18</v>
      </c>
      <c r="F4703">
        <v>29</v>
      </c>
      <c r="G4703">
        <v>43</v>
      </c>
      <c r="H4703">
        <v>0.53</v>
      </c>
      <c r="I4703" t="s">
        <v>19</v>
      </c>
      <c r="J4703">
        <v>0</v>
      </c>
      <c r="K4703">
        <v>1</v>
      </c>
      <c r="L4703">
        <v>0</v>
      </c>
      <c r="M4703">
        <f>VLOOKUP(Table1[[#This Row],[subscription_type]],Plans!$A$1:$B$5,2,FALSE)</f>
        <v>14.99</v>
      </c>
      <c r="N4703">
        <f t="shared" si="73"/>
        <v>0</v>
      </c>
    </row>
    <row r="4704" spans="1:14" x14ac:dyDescent="0.35">
      <c r="A4704">
        <v>4703</v>
      </c>
      <c r="B4704" t="s">
        <v>20</v>
      </c>
      <c r="C4704">
        <v>20</v>
      </c>
      <c r="D4704" t="s">
        <v>27</v>
      </c>
      <c r="E4704" t="s">
        <v>14</v>
      </c>
      <c r="F4704">
        <v>266</v>
      </c>
      <c r="G4704">
        <v>36</v>
      </c>
      <c r="H4704">
        <v>0.46</v>
      </c>
      <c r="I4704" t="s">
        <v>15</v>
      </c>
      <c r="J4704">
        <v>34</v>
      </c>
      <c r="K4704">
        <v>0</v>
      </c>
      <c r="L4704">
        <v>0</v>
      </c>
      <c r="M4704">
        <f>VLOOKUP(Table1[[#This Row],[subscription_type]],Plans!$A$1:$B$5,2,FALSE)</f>
        <v>0</v>
      </c>
      <c r="N4704">
        <f t="shared" si="73"/>
        <v>0</v>
      </c>
    </row>
    <row r="4705" spans="1:14" x14ac:dyDescent="0.35">
      <c r="A4705">
        <v>4704</v>
      </c>
      <c r="B4705" t="s">
        <v>12</v>
      </c>
      <c r="C4705">
        <v>39</v>
      </c>
      <c r="D4705" t="s">
        <v>29</v>
      </c>
      <c r="E4705" t="s">
        <v>14</v>
      </c>
      <c r="F4705">
        <v>172</v>
      </c>
      <c r="G4705">
        <v>58</v>
      </c>
      <c r="H4705">
        <v>0.45</v>
      </c>
      <c r="I4705" t="s">
        <v>15</v>
      </c>
      <c r="J4705">
        <v>12</v>
      </c>
      <c r="K4705">
        <v>0</v>
      </c>
      <c r="L4705">
        <v>0</v>
      </c>
      <c r="M4705">
        <f>VLOOKUP(Table1[[#This Row],[subscription_type]],Plans!$A$1:$B$5,2,FALSE)</f>
        <v>0</v>
      </c>
      <c r="N4705">
        <f t="shared" si="73"/>
        <v>0</v>
      </c>
    </row>
    <row r="4706" spans="1:14" x14ac:dyDescent="0.35">
      <c r="A4706">
        <v>4705</v>
      </c>
      <c r="B4706" t="s">
        <v>20</v>
      </c>
      <c r="C4706">
        <v>28</v>
      </c>
      <c r="D4706" t="s">
        <v>29</v>
      </c>
      <c r="E4706" t="s">
        <v>18</v>
      </c>
      <c r="F4706">
        <v>33</v>
      </c>
      <c r="G4706">
        <v>28</v>
      </c>
      <c r="H4706">
        <v>0.18</v>
      </c>
      <c r="I4706" t="s">
        <v>19</v>
      </c>
      <c r="J4706">
        <v>0</v>
      </c>
      <c r="K4706">
        <v>1</v>
      </c>
      <c r="L4706">
        <v>1</v>
      </c>
      <c r="M4706">
        <f>VLOOKUP(Table1[[#This Row],[subscription_type]],Plans!$A$1:$B$5,2,FALSE)</f>
        <v>14.99</v>
      </c>
      <c r="N4706">
        <f t="shared" si="73"/>
        <v>14.99</v>
      </c>
    </row>
    <row r="4707" spans="1:14" x14ac:dyDescent="0.35">
      <c r="A4707">
        <v>4706</v>
      </c>
      <c r="B4707" t="s">
        <v>16</v>
      </c>
      <c r="C4707">
        <v>32</v>
      </c>
      <c r="D4707" t="s">
        <v>28</v>
      </c>
      <c r="E4707" t="s">
        <v>14</v>
      </c>
      <c r="F4707">
        <v>110</v>
      </c>
      <c r="G4707">
        <v>50</v>
      </c>
      <c r="H4707">
        <v>0.01</v>
      </c>
      <c r="I4707" t="s">
        <v>23</v>
      </c>
      <c r="J4707">
        <v>13</v>
      </c>
      <c r="K4707">
        <v>0</v>
      </c>
      <c r="L4707">
        <v>0</v>
      </c>
      <c r="M4707">
        <f>VLOOKUP(Table1[[#This Row],[subscription_type]],Plans!$A$1:$B$5,2,FALSE)</f>
        <v>0</v>
      </c>
      <c r="N4707">
        <f t="shared" si="73"/>
        <v>0</v>
      </c>
    </row>
    <row r="4708" spans="1:14" x14ac:dyDescent="0.35">
      <c r="A4708">
        <v>4707</v>
      </c>
      <c r="B4708" t="s">
        <v>20</v>
      </c>
      <c r="C4708">
        <v>48</v>
      </c>
      <c r="D4708" t="s">
        <v>13</v>
      </c>
      <c r="E4708" t="s">
        <v>22</v>
      </c>
      <c r="F4708">
        <v>69</v>
      </c>
      <c r="G4708">
        <v>79</v>
      </c>
      <c r="H4708">
        <v>0.45</v>
      </c>
      <c r="I4708" t="s">
        <v>19</v>
      </c>
      <c r="J4708">
        <v>0</v>
      </c>
      <c r="K4708">
        <v>1</v>
      </c>
      <c r="L4708">
        <v>0</v>
      </c>
      <c r="M4708">
        <f>VLOOKUP(Table1[[#This Row],[subscription_type]],Plans!$A$1:$B$5,2,FALSE)</f>
        <v>9.99</v>
      </c>
      <c r="N4708">
        <f t="shared" si="73"/>
        <v>0</v>
      </c>
    </row>
    <row r="4709" spans="1:14" x14ac:dyDescent="0.35">
      <c r="A4709">
        <v>4708</v>
      </c>
      <c r="B4709" t="s">
        <v>20</v>
      </c>
      <c r="C4709">
        <v>49</v>
      </c>
      <c r="D4709" t="s">
        <v>17</v>
      </c>
      <c r="E4709" t="s">
        <v>14</v>
      </c>
      <c r="F4709">
        <v>191</v>
      </c>
      <c r="G4709">
        <v>48</v>
      </c>
      <c r="H4709">
        <v>0.03</v>
      </c>
      <c r="I4709" t="s">
        <v>23</v>
      </c>
      <c r="J4709">
        <v>36</v>
      </c>
      <c r="K4709">
        <v>0</v>
      </c>
      <c r="L4709">
        <v>1</v>
      </c>
      <c r="M4709">
        <f>VLOOKUP(Table1[[#This Row],[subscription_type]],Plans!$A$1:$B$5,2,FALSE)</f>
        <v>0</v>
      </c>
      <c r="N4709">
        <f t="shared" si="73"/>
        <v>0</v>
      </c>
    </row>
    <row r="4710" spans="1:14" x14ac:dyDescent="0.35">
      <c r="A4710">
        <v>4709</v>
      </c>
      <c r="B4710" t="s">
        <v>20</v>
      </c>
      <c r="C4710">
        <v>59</v>
      </c>
      <c r="D4710" t="s">
        <v>21</v>
      </c>
      <c r="E4710" t="s">
        <v>22</v>
      </c>
      <c r="F4710">
        <v>229</v>
      </c>
      <c r="G4710">
        <v>96</v>
      </c>
      <c r="H4710">
        <v>0.35</v>
      </c>
      <c r="I4710" t="s">
        <v>15</v>
      </c>
      <c r="J4710">
        <v>0</v>
      </c>
      <c r="K4710">
        <v>1</v>
      </c>
      <c r="L4710">
        <v>0</v>
      </c>
      <c r="M4710">
        <f>VLOOKUP(Table1[[#This Row],[subscription_type]],Plans!$A$1:$B$5,2,FALSE)</f>
        <v>9.99</v>
      </c>
      <c r="N4710">
        <f t="shared" si="73"/>
        <v>0</v>
      </c>
    </row>
    <row r="4711" spans="1:14" x14ac:dyDescent="0.35">
      <c r="A4711">
        <v>4710</v>
      </c>
      <c r="B4711" t="s">
        <v>16</v>
      </c>
      <c r="C4711">
        <v>21</v>
      </c>
      <c r="D4711" t="s">
        <v>21</v>
      </c>
      <c r="E4711" t="s">
        <v>22</v>
      </c>
      <c r="F4711">
        <v>286</v>
      </c>
      <c r="G4711">
        <v>5</v>
      </c>
      <c r="H4711">
        <v>0.31</v>
      </c>
      <c r="I4711" t="s">
        <v>23</v>
      </c>
      <c r="J4711">
        <v>0</v>
      </c>
      <c r="K4711">
        <v>1</v>
      </c>
      <c r="L4711">
        <v>0</v>
      </c>
      <c r="M4711">
        <f>VLOOKUP(Table1[[#This Row],[subscription_type]],Plans!$A$1:$B$5,2,FALSE)</f>
        <v>9.99</v>
      </c>
      <c r="N4711">
        <f t="shared" si="73"/>
        <v>0</v>
      </c>
    </row>
    <row r="4712" spans="1:14" x14ac:dyDescent="0.35">
      <c r="A4712">
        <v>4711</v>
      </c>
      <c r="B4712" t="s">
        <v>12</v>
      </c>
      <c r="C4712">
        <v>18</v>
      </c>
      <c r="D4712" t="s">
        <v>17</v>
      </c>
      <c r="E4712" t="s">
        <v>18</v>
      </c>
      <c r="F4712">
        <v>158</v>
      </c>
      <c r="G4712">
        <v>89</v>
      </c>
      <c r="H4712">
        <v>0.26</v>
      </c>
      <c r="I4712" t="s">
        <v>15</v>
      </c>
      <c r="J4712">
        <v>0</v>
      </c>
      <c r="K4712">
        <v>1</v>
      </c>
      <c r="L4712">
        <v>0</v>
      </c>
      <c r="M4712">
        <f>VLOOKUP(Table1[[#This Row],[subscription_type]],Plans!$A$1:$B$5,2,FALSE)</f>
        <v>14.99</v>
      </c>
      <c r="N4712">
        <f t="shared" si="73"/>
        <v>0</v>
      </c>
    </row>
    <row r="4713" spans="1:14" x14ac:dyDescent="0.35">
      <c r="A4713">
        <v>4712</v>
      </c>
      <c r="B4713" t="s">
        <v>20</v>
      </c>
      <c r="C4713">
        <v>55</v>
      </c>
      <c r="D4713" t="s">
        <v>28</v>
      </c>
      <c r="E4713" t="s">
        <v>24</v>
      </c>
      <c r="F4713">
        <v>136</v>
      </c>
      <c r="G4713">
        <v>64</v>
      </c>
      <c r="H4713">
        <v>0.28000000000000003</v>
      </c>
      <c r="I4713" t="s">
        <v>19</v>
      </c>
      <c r="J4713">
        <v>0</v>
      </c>
      <c r="K4713">
        <v>1</v>
      </c>
      <c r="L4713">
        <v>1</v>
      </c>
      <c r="M4713">
        <f>VLOOKUP(Table1[[#This Row],[subscription_type]],Plans!$A$1:$B$5,2,FALSE)</f>
        <v>4.99</v>
      </c>
      <c r="N4713">
        <f t="shared" si="73"/>
        <v>4.99</v>
      </c>
    </row>
    <row r="4714" spans="1:14" x14ac:dyDescent="0.35">
      <c r="A4714">
        <v>4713</v>
      </c>
      <c r="B4714" t="s">
        <v>16</v>
      </c>
      <c r="C4714">
        <v>48</v>
      </c>
      <c r="D4714" t="s">
        <v>25</v>
      </c>
      <c r="E4714" t="s">
        <v>24</v>
      </c>
      <c r="F4714">
        <v>102</v>
      </c>
      <c r="G4714">
        <v>51</v>
      </c>
      <c r="H4714">
        <v>0.36</v>
      </c>
      <c r="I4714" t="s">
        <v>19</v>
      </c>
      <c r="J4714">
        <v>0</v>
      </c>
      <c r="K4714">
        <v>1</v>
      </c>
      <c r="L4714">
        <v>0</v>
      </c>
      <c r="M4714">
        <f>VLOOKUP(Table1[[#This Row],[subscription_type]],Plans!$A$1:$B$5,2,FALSE)</f>
        <v>4.99</v>
      </c>
      <c r="N4714">
        <f t="shared" si="73"/>
        <v>0</v>
      </c>
    </row>
    <row r="4715" spans="1:14" x14ac:dyDescent="0.35">
      <c r="A4715">
        <v>4714</v>
      </c>
      <c r="B4715" t="s">
        <v>20</v>
      </c>
      <c r="C4715">
        <v>17</v>
      </c>
      <c r="D4715" t="s">
        <v>25</v>
      </c>
      <c r="E4715" t="s">
        <v>24</v>
      </c>
      <c r="F4715">
        <v>227</v>
      </c>
      <c r="G4715">
        <v>41</v>
      </c>
      <c r="H4715">
        <v>0.47</v>
      </c>
      <c r="I4715" t="s">
        <v>15</v>
      </c>
      <c r="J4715">
        <v>0</v>
      </c>
      <c r="K4715">
        <v>1</v>
      </c>
      <c r="L4715">
        <v>0</v>
      </c>
      <c r="M4715">
        <f>VLOOKUP(Table1[[#This Row],[subscription_type]],Plans!$A$1:$B$5,2,FALSE)</f>
        <v>4.99</v>
      </c>
      <c r="N4715">
        <f t="shared" si="73"/>
        <v>0</v>
      </c>
    </row>
    <row r="4716" spans="1:14" x14ac:dyDescent="0.35">
      <c r="A4716">
        <v>4715</v>
      </c>
      <c r="B4716" t="s">
        <v>12</v>
      </c>
      <c r="C4716">
        <v>36</v>
      </c>
      <c r="D4716" t="s">
        <v>26</v>
      </c>
      <c r="E4716" t="s">
        <v>22</v>
      </c>
      <c r="F4716">
        <v>40</v>
      </c>
      <c r="G4716">
        <v>37</v>
      </c>
      <c r="H4716">
        <v>0.52</v>
      </c>
      <c r="I4716" t="s">
        <v>23</v>
      </c>
      <c r="J4716">
        <v>0</v>
      </c>
      <c r="K4716">
        <v>1</v>
      </c>
      <c r="L4716">
        <v>0</v>
      </c>
      <c r="M4716">
        <f>VLOOKUP(Table1[[#This Row],[subscription_type]],Plans!$A$1:$B$5,2,FALSE)</f>
        <v>9.99</v>
      </c>
      <c r="N4716">
        <f t="shared" si="73"/>
        <v>0</v>
      </c>
    </row>
    <row r="4717" spans="1:14" x14ac:dyDescent="0.35">
      <c r="A4717">
        <v>4716</v>
      </c>
      <c r="B4717" t="s">
        <v>12</v>
      </c>
      <c r="C4717">
        <v>27</v>
      </c>
      <c r="D4717" t="s">
        <v>26</v>
      </c>
      <c r="E4717" t="s">
        <v>14</v>
      </c>
      <c r="F4717">
        <v>138</v>
      </c>
      <c r="G4717">
        <v>40</v>
      </c>
      <c r="H4717">
        <v>0.28000000000000003</v>
      </c>
      <c r="I4717" t="s">
        <v>19</v>
      </c>
      <c r="J4717">
        <v>27</v>
      </c>
      <c r="K4717">
        <v>0</v>
      </c>
      <c r="L4717">
        <v>0</v>
      </c>
      <c r="M4717">
        <f>VLOOKUP(Table1[[#This Row],[subscription_type]],Plans!$A$1:$B$5,2,FALSE)</f>
        <v>0</v>
      </c>
      <c r="N4717">
        <f t="shared" si="73"/>
        <v>0</v>
      </c>
    </row>
    <row r="4718" spans="1:14" x14ac:dyDescent="0.35">
      <c r="A4718">
        <v>4717</v>
      </c>
      <c r="B4718" t="s">
        <v>16</v>
      </c>
      <c r="C4718">
        <v>48</v>
      </c>
      <c r="D4718" t="s">
        <v>28</v>
      </c>
      <c r="E4718" t="s">
        <v>24</v>
      </c>
      <c r="F4718">
        <v>251</v>
      </c>
      <c r="G4718">
        <v>11</v>
      </c>
      <c r="H4718">
        <v>0.24</v>
      </c>
      <c r="I4718" t="s">
        <v>15</v>
      </c>
      <c r="J4718">
        <v>0</v>
      </c>
      <c r="K4718">
        <v>1</v>
      </c>
      <c r="L4718">
        <v>0</v>
      </c>
      <c r="M4718">
        <f>VLOOKUP(Table1[[#This Row],[subscription_type]],Plans!$A$1:$B$5,2,FALSE)</f>
        <v>4.99</v>
      </c>
      <c r="N4718">
        <f t="shared" si="73"/>
        <v>0</v>
      </c>
    </row>
    <row r="4719" spans="1:14" x14ac:dyDescent="0.35">
      <c r="A4719">
        <v>4718</v>
      </c>
      <c r="B4719" t="s">
        <v>12</v>
      </c>
      <c r="C4719">
        <v>20</v>
      </c>
      <c r="D4719" t="s">
        <v>27</v>
      </c>
      <c r="E4719" t="s">
        <v>22</v>
      </c>
      <c r="F4719">
        <v>174</v>
      </c>
      <c r="G4719">
        <v>70</v>
      </c>
      <c r="H4719">
        <v>0.32</v>
      </c>
      <c r="I4719" t="s">
        <v>23</v>
      </c>
      <c r="J4719">
        <v>0</v>
      </c>
      <c r="K4719">
        <v>1</v>
      </c>
      <c r="L4719">
        <v>0</v>
      </c>
      <c r="M4719">
        <f>VLOOKUP(Table1[[#This Row],[subscription_type]],Plans!$A$1:$B$5,2,FALSE)</f>
        <v>9.99</v>
      </c>
      <c r="N4719">
        <f t="shared" si="73"/>
        <v>0</v>
      </c>
    </row>
    <row r="4720" spans="1:14" x14ac:dyDescent="0.35">
      <c r="A4720">
        <v>4719</v>
      </c>
      <c r="B4720" t="s">
        <v>16</v>
      </c>
      <c r="C4720">
        <v>49</v>
      </c>
      <c r="D4720" t="s">
        <v>27</v>
      </c>
      <c r="E4720" t="s">
        <v>14</v>
      </c>
      <c r="F4720">
        <v>23</v>
      </c>
      <c r="G4720">
        <v>7</v>
      </c>
      <c r="H4720">
        <v>0.43</v>
      </c>
      <c r="I4720" t="s">
        <v>23</v>
      </c>
      <c r="J4720">
        <v>40</v>
      </c>
      <c r="K4720">
        <v>0</v>
      </c>
      <c r="L4720">
        <v>0</v>
      </c>
      <c r="M4720">
        <f>VLOOKUP(Table1[[#This Row],[subscription_type]],Plans!$A$1:$B$5,2,FALSE)</f>
        <v>0</v>
      </c>
      <c r="N4720">
        <f t="shared" si="73"/>
        <v>0</v>
      </c>
    </row>
    <row r="4721" spans="1:14" x14ac:dyDescent="0.35">
      <c r="A4721">
        <v>4720</v>
      </c>
      <c r="B4721" t="s">
        <v>12</v>
      </c>
      <c r="C4721">
        <v>22</v>
      </c>
      <c r="D4721" t="s">
        <v>28</v>
      </c>
      <c r="E4721" t="s">
        <v>24</v>
      </c>
      <c r="F4721">
        <v>280</v>
      </c>
      <c r="G4721">
        <v>10</v>
      </c>
      <c r="H4721">
        <v>0.32</v>
      </c>
      <c r="I4721" t="s">
        <v>15</v>
      </c>
      <c r="J4721">
        <v>0</v>
      </c>
      <c r="K4721">
        <v>1</v>
      </c>
      <c r="L4721">
        <v>0</v>
      </c>
      <c r="M4721">
        <f>VLOOKUP(Table1[[#This Row],[subscription_type]],Plans!$A$1:$B$5,2,FALSE)</f>
        <v>4.99</v>
      </c>
      <c r="N4721">
        <f t="shared" si="73"/>
        <v>0</v>
      </c>
    </row>
    <row r="4722" spans="1:14" x14ac:dyDescent="0.35">
      <c r="A4722">
        <v>4721</v>
      </c>
      <c r="B4722" t="s">
        <v>16</v>
      </c>
      <c r="C4722">
        <v>54</v>
      </c>
      <c r="D4722" t="s">
        <v>28</v>
      </c>
      <c r="E4722" t="s">
        <v>22</v>
      </c>
      <c r="F4722">
        <v>242</v>
      </c>
      <c r="G4722">
        <v>23</v>
      </c>
      <c r="H4722">
        <v>0.15</v>
      </c>
      <c r="I4722" t="s">
        <v>15</v>
      </c>
      <c r="J4722">
        <v>0</v>
      </c>
      <c r="K4722">
        <v>1</v>
      </c>
      <c r="L4722">
        <v>0</v>
      </c>
      <c r="M4722">
        <f>VLOOKUP(Table1[[#This Row],[subscription_type]],Plans!$A$1:$B$5,2,FALSE)</f>
        <v>9.99</v>
      </c>
      <c r="N4722">
        <f t="shared" si="73"/>
        <v>0</v>
      </c>
    </row>
    <row r="4723" spans="1:14" x14ac:dyDescent="0.35">
      <c r="A4723">
        <v>4722</v>
      </c>
      <c r="B4723" t="s">
        <v>12</v>
      </c>
      <c r="C4723">
        <v>55</v>
      </c>
      <c r="D4723" t="s">
        <v>27</v>
      </c>
      <c r="E4723" t="s">
        <v>22</v>
      </c>
      <c r="F4723">
        <v>28</v>
      </c>
      <c r="G4723">
        <v>33</v>
      </c>
      <c r="H4723">
        <v>0.23</v>
      </c>
      <c r="I4723" t="s">
        <v>19</v>
      </c>
      <c r="J4723">
        <v>0</v>
      </c>
      <c r="K4723">
        <v>1</v>
      </c>
      <c r="L4723">
        <v>1</v>
      </c>
      <c r="M4723">
        <f>VLOOKUP(Table1[[#This Row],[subscription_type]],Plans!$A$1:$B$5,2,FALSE)</f>
        <v>9.99</v>
      </c>
      <c r="N4723">
        <f t="shared" si="73"/>
        <v>9.99</v>
      </c>
    </row>
    <row r="4724" spans="1:14" x14ac:dyDescent="0.35">
      <c r="A4724">
        <v>4723</v>
      </c>
      <c r="B4724" t="s">
        <v>20</v>
      </c>
      <c r="C4724">
        <v>25</v>
      </c>
      <c r="D4724" t="s">
        <v>17</v>
      </c>
      <c r="E4724" t="s">
        <v>18</v>
      </c>
      <c r="F4724">
        <v>173</v>
      </c>
      <c r="G4724">
        <v>71</v>
      </c>
      <c r="H4724">
        <v>0.38</v>
      </c>
      <c r="I4724" t="s">
        <v>15</v>
      </c>
      <c r="J4724">
        <v>0</v>
      </c>
      <c r="K4724">
        <v>1</v>
      </c>
      <c r="L4724">
        <v>0</v>
      </c>
      <c r="M4724">
        <f>VLOOKUP(Table1[[#This Row],[subscription_type]],Plans!$A$1:$B$5,2,FALSE)</f>
        <v>14.99</v>
      </c>
      <c r="N4724">
        <f t="shared" si="73"/>
        <v>0</v>
      </c>
    </row>
    <row r="4725" spans="1:14" x14ac:dyDescent="0.35">
      <c r="A4725">
        <v>4724</v>
      </c>
      <c r="B4725" t="s">
        <v>12</v>
      </c>
      <c r="C4725">
        <v>36</v>
      </c>
      <c r="D4725" t="s">
        <v>21</v>
      </c>
      <c r="E4725" t="s">
        <v>18</v>
      </c>
      <c r="F4725">
        <v>108</v>
      </c>
      <c r="G4725">
        <v>57</v>
      </c>
      <c r="H4725">
        <v>0.35</v>
      </c>
      <c r="I4725" t="s">
        <v>15</v>
      </c>
      <c r="J4725">
        <v>0</v>
      </c>
      <c r="K4725">
        <v>1</v>
      </c>
      <c r="L4725">
        <v>0</v>
      </c>
      <c r="M4725">
        <f>VLOOKUP(Table1[[#This Row],[subscription_type]],Plans!$A$1:$B$5,2,FALSE)</f>
        <v>14.99</v>
      </c>
      <c r="N4725">
        <f t="shared" si="73"/>
        <v>0</v>
      </c>
    </row>
    <row r="4726" spans="1:14" x14ac:dyDescent="0.35">
      <c r="A4726">
        <v>4725</v>
      </c>
      <c r="B4726" t="s">
        <v>12</v>
      </c>
      <c r="C4726">
        <v>32</v>
      </c>
      <c r="D4726" t="s">
        <v>26</v>
      </c>
      <c r="E4726" t="s">
        <v>14</v>
      </c>
      <c r="F4726">
        <v>161</v>
      </c>
      <c r="G4726">
        <v>20</v>
      </c>
      <c r="H4726">
        <v>0.01</v>
      </c>
      <c r="I4726" t="s">
        <v>15</v>
      </c>
      <c r="J4726">
        <v>16</v>
      </c>
      <c r="K4726">
        <v>0</v>
      </c>
      <c r="L4726">
        <v>1</v>
      </c>
      <c r="M4726">
        <f>VLOOKUP(Table1[[#This Row],[subscription_type]],Plans!$A$1:$B$5,2,FALSE)</f>
        <v>0</v>
      </c>
      <c r="N4726">
        <f t="shared" si="73"/>
        <v>0</v>
      </c>
    </row>
    <row r="4727" spans="1:14" x14ac:dyDescent="0.35">
      <c r="A4727">
        <v>4726</v>
      </c>
      <c r="B4727" t="s">
        <v>16</v>
      </c>
      <c r="C4727">
        <v>33</v>
      </c>
      <c r="D4727" t="s">
        <v>21</v>
      </c>
      <c r="E4727" t="s">
        <v>24</v>
      </c>
      <c r="F4727">
        <v>204</v>
      </c>
      <c r="G4727">
        <v>88</v>
      </c>
      <c r="H4727">
        <v>0.13</v>
      </c>
      <c r="I4727" t="s">
        <v>15</v>
      </c>
      <c r="J4727">
        <v>0</v>
      </c>
      <c r="K4727">
        <v>1</v>
      </c>
      <c r="L4727">
        <v>0</v>
      </c>
      <c r="M4727">
        <f>VLOOKUP(Table1[[#This Row],[subscription_type]],Plans!$A$1:$B$5,2,FALSE)</f>
        <v>4.99</v>
      </c>
      <c r="N4727">
        <f t="shared" si="73"/>
        <v>0</v>
      </c>
    </row>
    <row r="4728" spans="1:14" x14ac:dyDescent="0.35">
      <c r="A4728">
        <v>4727</v>
      </c>
      <c r="B4728" t="s">
        <v>16</v>
      </c>
      <c r="C4728">
        <v>58</v>
      </c>
      <c r="D4728" t="s">
        <v>25</v>
      </c>
      <c r="E4728" t="s">
        <v>18</v>
      </c>
      <c r="F4728">
        <v>208</v>
      </c>
      <c r="G4728">
        <v>68</v>
      </c>
      <c r="H4728">
        <v>0.19</v>
      </c>
      <c r="I4728" t="s">
        <v>15</v>
      </c>
      <c r="J4728">
        <v>0</v>
      </c>
      <c r="K4728">
        <v>1</v>
      </c>
      <c r="L4728">
        <v>1</v>
      </c>
      <c r="M4728">
        <f>VLOOKUP(Table1[[#This Row],[subscription_type]],Plans!$A$1:$B$5,2,FALSE)</f>
        <v>14.99</v>
      </c>
      <c r="N4728">
        <f t="shared" si="73"/>
        <v>14.99</v>
      </c>
    </row>
    <row r="4729" spans="1:14" x14ac:dyDescent="0.35">
      <c r="A4729">
        <v>4728</v>
      </c>
      <c r="B4729" t="s">
        <v>20</v>
      </c>
      <c r="C4729">
        <v>32</v>
      </c>
      <c r="D4729" t="s">
        <v>17</v>
      </c>
      <c r="E4729" t="s">
        <v>24</v>
      </c>
      <c r="F4729">
        <v>157</v>
      </c>
      <c r="G4729">
        <v>43</v>
      </c>
      <c r="H4729">
        <v>0.26</v>
      </c>
      <c r="I4729" t="s">
        <v>19</v>
      </c>
      <c r="J4729">
        <v>0</v>
      </c>
      <c r="K4729">
        <v>1</v>
      </c>
      <c r="L4729">
        <v>0</v>
      </c>
      <c r="M4729">
        <f>VLOOKUP(Table1[[#This Row],[subscription_type]],Plans!$A$1:$B$5,2,FALSE)</f>
        <v>4.99</v>
      </c>
      <c r="N4729">
        <f t="shared" si="73"/>
        <v>0</v>
      </c>
    </row>
    <row r="4730" spans="1:14" x14ac:dyDescent="0.35">
      <c r="A4730">
        <v>4729</v>
      </c>
      <c r="B4730" t="s">
        <v>20</v>
      </c>
      <c r="C4730">
        <v>41</v>
      </c>
      <c r="D4730" t="s">
        <v>28</v>
      </c>
      <c r="E4730" t="s">
        <v>24</v>
      </c>
      <c r="F4730">
        <v>273</v>
      </c>
      <c r="G4730">
        <v>57</v>
      </c>
      <c r="H4730">
        <v>0.46</v>
      </c>
      <c r="I4730" t="s">
        <v>15</v>
      </c>
      <c r="J4730">
        <v>0</v>
      </c>
      <c r="K4730">
        <v>1</v>
      </c>
      <c r="L4730">
        <v>1</v>
      </c>
      <c r="M4730">
        <f>VLOOKUP(Table1[[#This Row],[subscription_type]],Plans!$A$1:$B$5,2,FALSE)</f>
        <v>4.99</v>
      </c>
      <c r="N4730">
        <f t="shared" si="73"/>
        <v>4.99</v>
      </c>
    </row>
    <row r="4731" spans="1:14" x14ac:dyDescent="0.35">
      <c r="A4731">
        <v>4730</v>
      </c>
      <c r="B4731" t="s">
        <v>12</v>
      </c>
      <c r="C4731">
        <v>39</v>
      </c>
      <c r="D4731" t="s">
        <v>28</v>
      </c>
      <c r="E4731" t="s">
        <v>14</v>
      </c>
      <c r="F4731">
        <v>251</v>
      </c>
      <c r="G4731">
        <v>3</v>
      </c>
      <c r="H4731">
        <v>0.27</v>
      </c>
      <c r="I4731" t="s">
        <v>15</v>
      </c>
      <c r="J4731">
        <v>9</v>
      </c>
      <c r="K4731">
        <v>0</v>
      </c>
      <c r="L4731">
        <v>1</v>
      </c>
      <c r="M4731">
        <f>VLOOKUP(Table1[[#This Row],[subscription_type]],Plans!$A$1:$B$5,2,FALSE)</f>
        <v>0</v>
      </c>
      <c r="N4731">
        <f t="shared" si="73"/>
        <v>0</v>
      </c>
    </row>
    <row r="4732" spans="1:14" x14ac:dyDescent="0.35">
      <c r="A4732">
        <v>4731</v>
      </c>
      <c r="B4732" t="s">
        <v>12</v>
      </c>
      <c r="C4732">
        <v>29</v>
      </c>
      <c r="D4732" t="s">
        <v>25</v>
      </c>
      <c r="E4732" t="s">
        <v>22</v>
      </c>
      <c r="F4732">
        <v>215</v>
      </c>
      <c r="G4732">
        <v>38</v>
      </c>
      <c r="H4732">
        <v>0.55000000000000004</v>
      </c>
      <c r="I4732" t="s">
        <v>19</v>
      </c>
      <c r="J4732">
        <v>0</v>
      </c>
      <c r="K4732">
        <v>1</v>
      </c>
      <c r="L4732">
        <v>1</v>
      </c>
      <c r="M4732">
        <f>VLOOKUP(Table1[[#This Row],[subscription_type]],Plans!$A$1:$B$5,2,FALSE)</f>
        <v>9.99</v>
      </c>
      <c r="N4732">
        <f t="shared" si="73"/>
        <v>9.99</v>
      </c>
    </row>
    <row r="4733" spans="1:14" x14ac:dyDescent="0.35">
      <c r="A4733">
        <v>4732</v>
      </c>
      <c r="B4733" t="s">
        <v>12</v>
      </c>
      <c r="C4733">
        <v>42</v>
      </c>
      <c r="D4733" t="s">
        <v>28</v>
      </c>
      <c r="E4733" t="s">
        <v>22</v>
      </c>
      <c r="F4733">
        <v>206</v>
      </c>
      <c r="G4733">
        <v>47</v>
      </c>
      <c r="H4733">
        <v>0.35</v>
      </c>
      <c r="I4733" t="s">
        <v>19</v>
      </c>
      <c r="J4733">
        <v>0</v>
      </c>
      <c r="K4733">
        <v>1</v>
      </c>
      <c r="L4733">
        <v>0</v>
      </c>
      <c r="M4733">
        <f>VLOOKUP(Table1[[#This Row],[subscription_type]],Plans!$A$1:$B$5,2,FALSE)</f>
        <v>9.99</v>
      </c>
      <c r="N4733">
        <f t="shared" si="73"/>
        <v>0</v>
      </c>
    </row>
    <row r="4734" spans="1:14" x14ac:dyDescent="0.35">
      <c r="A4734">
        <v>4733</v>
      </c>
      <c r="B4734" t="s">
        <v>20</v>
      </c>
      <c r="C4734">
        <v>56</v>
      </c>
      <c r="D4734" t="s">
        <v>28</v>
      </c>
      <c r="E4734" t="s">
        <v>24</v>
      </c>
      <c r="F4734">
        <v>162</v>
      </c>
      <c r="G4734">
        <v>29</v>
      </c>
      <c r="H4734">
        <v>0.32</v>
      </c>
      <c r="I4734" t="s">
        <v>19</v>
      </c>
      <c r="J4734">
        <v>0</v>
      </c>
      <c r="K4734">
        <v>1</v>
      </c>
      <c r="L4734">
        <v>1</v>
      </c>
      <c r="M4734">
        <f>VLOOKUP(Table1[[#This Row],[subscription_type]],Plans!$A$1:$B$5,2,FALSE)</f>
        <v>4.99</v>
      </c>
      <c r="N4734">
        <f t="shared" si="73"/>
        <v>4.99</v>
      </c>
    </row>
    <row r="4735" spans="1:14" x14ac:dyDescent="0.35">
      <c r="A4735">
        <v>4734</v>
      </c>
      <c r="B4735" t="s">
        <v>12</v>
      </c>
      <c r="C4735">
        <v>29</v>
      </c>
      <c r="D4735" t="s">
        <v>17</v>
      </c>
      <c r="E4735" t="s">
        <v>14</v>
      </c>
      <c r="F4735">
        <v>254</v>
      </c>
      <c r="G4735">
        <v>30</v>
      </c>
      <c r="H4735">
        <v>0.4</v>
      </c>
      <c r="I4735" t="s">
        <v>23</v>
      </c>
      <c r="J4735">
        <v>7</v>
      </c>
      <c r="K4735">
        <v>0</v>
      </c>
      <c r="L4735">
        <v>0</v>
      </c>
      <c r="M4735">
        <f>VLOOKUP(Table1[[#This Row],[subscription_type]],Plans!$A$1:$B$5,2,FALSE)</f>
        <v>0</v>
      </c>
      <c r="N4735">
        <f t="shared" si="73"/>
        <v>0</v>
      </c>
    </row>
    <row r="4736" spans="1:14" x14ac:dyDescent="0.35">
      <c r="A4736">
        <v>4735</v>
      </c>
      <c r="B4736" t="s">
        <v>16</v>
      </c>
      <c r="C4736">
        <v>48</v>
      </c>
      <c r="D4736" t="s">
        <v>28</v>
      </c>
      <c r="E4736" t="s">
        <v>14</v>
      </c>
      <c r="F4736">
        <v>171</v>
      </c>
      <c r="G4736">
        <v>56</v>
      </c>
      <c r="H4736">
        <v>0.41</v>
      </c>
      <c r="I4736" t="s">
        <v>19</v>
      </c>
      <c r="J4736">
        <v>20</v>
      </c>
      <c r="K4736">
        <v>0</v>
      </c>
      <c r="L4736">
        <v>0</v>
      </c>
      <c r="M4736">
        <f>VLOOKUP(Table1[[#This Row],[subscription_type]],Plans!$A$1:$B$5,2,FALSE)</f>
        <v>0</v>
      </c>
      <c r="N4736">
        <f t="shared" si="73"/>
        <v>0</v>
      </c>
    </row>
    <row r="4737" spans="1:14" x14ac:dyDescent="0.35">
      <c r="A4737">
        <v>4736</v>
      </c>
      <c r="B4737" t="s">
        <v>16</v>
      </c>
      <c r="C4737">
        <v>24</v>
      </c>
      <c r="D4737" t="s">
        <v>26</v>
      </c>
      <c r="E4737" t="s">
        <v>22</v>
      </c>
      <c r="F4737">
        <v>131</v>
      </c>
      <c r="G4737">
        <v>38</v>
      </c>
      <c r="H4737">
        <v>0.27</v>
      </c>
      <c r="I4737" t="s">
        <v>23</v>
      </c>
      <c r="J4737">
        <v>0</v>
      </c>
      <c r="K4737">
        <v>1</v>
      </c>
      <c r="L4737">
        <v>0</v>
      </c>
      <c r="M4737">
        <f>VLOOKUP(Table1[[#This Row],[subscription_type]],Plans!$A$1:$B$5,2,FALSE)</f>
        <v>9.99</v>
      </c>
      <c r="N4737">
        <f t="shared" si="73"/>
        <v>0</v>
      </c>
    </row>
    <row r="4738" spans="1:14" x14ac:dyDescent="0.35">
      <c r="A4738">
        <v>4737</v>
      </c>
      <c r="B4738" t="s">
        <v>16</v>
      </c>
      <c r="C4738">
        <v>44</v>
      </c>
      <c r="D4738" t="s">
        <v>21</v>
      </c>
      <c r="E4738" t="s">
        <v>24</v>
      </c>
      <c r="F4738">
        <v>250</v>
      </c>
      <c r="G4738">
        <v>21</v>
      </c>
      <c r="H4738">
        <v>0.48</v>
      </c>
      <c r="I4738" t="s">
        <v>15</v>
      </c>
      <c r="J4738">
        <v>0</v>
      </c>
      <c r="K4738">
        <v>1</v>
      </c>
      <c r="L4738">
        <v>0</v>
      </c>
      <c r="M4738">
        <f>VLOOKUP(Table1[[#This Row],[subscription_type]],Plans!$A$1:$B$5,2,FALSE)</f>
        <v>4.99</v>
      </c>
      <c r="N4738">
        <f t="shared" ref="N4738:N4801" si="74">IF(L4738=1, M4738,0)</f>
        <v>0</v>
      </c>
    </row>
    <row r="4739" spans="1:14" x14ac:dyDescent="0.35">
      <c r="A4739">
        <v>4738</v>
      </c>
      <c r="B4739" t="s">
        <v>20</v>
      </c>
      <c r="C4739">
        <v>21</v>
      </c>
      <c r="D4739" t="s">
        <v>28</v>
      </c>
      <c r="E4739" t="s">
        <v>14</v>
      </c>
      <c r="F4739">
        <v>37</v>
      </c>
      <c r="G4739">
        <v>55</v>
      </c>
      <c r="H4739">
        <v>0.28999999999999998</v>
      </c>
      <c r="I4739" t="s">
        <v>19</v>
      </c>
      <c r="J4739">
        <v>36</v>
      </c>
      <c r="K4739">
        <v>0</v>
      </c>
      <c r="L4739">
        <v>0</v>
      </c>
      <c r="M4739">
        <f>VLOOKUP(Table1[[#This Row],[subscription_type]],Plans!$A$1:$B$5,2,FALSE)</f>
        <v>0</v>
      </c>
      <c r="N4739">
        <f t="shared" si="74"/>
        <v>0</v>
      </c>
    </row>
    <row r="4740" spans="1:14" x14ac:dyDescent="0.35">
      <c r="A4740">
        <v>4739</v>
      </c>
      <c r="B4740" t="s">
        <v>20</v>
      </c>
      <c r="C4740">
        <v>44</v>
      </c>
      <c r="D4740" t="s">
        <v>17</v>
      </c>
      <c r="E4740" t="s">
        <v>22</v>
      </c>
      <c r="F4740">
        <v>263</v>
      </c>
      <c r="G4740">
        <v>36</v>
      </c>
      <c r="H4740">
        <v>0.14000000000000001</v>
      </c>
      <c r="I4740" t="s">
        <v>23</v>
      </c>
      <c r="J4740">
        <v>0</v>
      </c>
      <c r="K4740">
        <v>1</v>
      </c>
      <c r="L4740">
        <v>0</v>
      </c>
      <c r="M4740">
        <f>VLOOKUP(Table1[[#This Row],[subscription_type]],Plans!$A$1:$B$5,2,FALSE)</f>
        <v>9.99</v>
      </c>
      <c r="N4740">
        <f t="shared" si="74"/>
        <v>0</v>
      </c>
    </row>
    <row r="4741" spans="1:14" x14ac:dyDescent="0.35">
      <c r="A4741">
        <v>4740</v>
      </c>
      <c r="B4741" t="s">
        <v>12</v>
      </c>
      <c r="C4741">
        <v>25</v>
      </c>
      <c r="D4741" t="s">
        <v>25</v>
      </c>
      <c r="E4741" t="s">
        <v>18</v>
      </c>
      <c r="F4741">
        <v>123</v>
      </c>
      <c r="G4741">
        <v>20</v>
      </c>
      <c r="H4741">
        <v>0.2</v>
      </c>
      <c r="I4741" t="s">
        <v>15</v>
      </c>
      <c r="J4741">
        <v>0</v>
      </c>
      <c r="K4741">
        <v>1</v>
      </c>
      <c r="L4741">
        <v>1</v>
      </c>
      <c r="M4741">
        <f>VLOOKUP(Table1[[#This Row],[subscription_type]],Plans!$A$1:$B$5,2,FALSE)</f>
        <v>14.99</v>
      </c>
      <c r="N4741">
        <f t="shared" si="74"/>
        <v>14.99</v>
      </c>
    </row>
    <row r="4742" spans="1:14" x14ac:dyDescent="0.35">
      <c r="A4742">
        <v>4741</v>
      </c>
      <c r="B4742" t="s">
        <v>20</v>
      </c>
      <c r="C4742">
        <v>56</v>
      </c>
      <c r="D4742" t="s">
        <v>25</v>
      </c>
      <c r="E4742" t="s">
        <v>22</v>
      </c>
      <c r="F4742">
        <v>294</v>
      </c>
      <c r="G4742">
        <v>99</v>
      </c>
      <c r="H4742">
        <v>0.01</v>
      </c>
      <c r="I4742" t="s">
        <v>15</v>
      </c>
      <c r="J4742">
        <v>0</v>
      </c>
      <c r="K4742">
        <v>1</v>
      </c>
      <c r="L4742">
        <v>0</v>
      </c>
      <c r="M4742">
        <f>VLOOKUP(Table1[[#This Row],[subscription_type]],Plans!$A$1:$B$5,2,FALSE)</f>
        <v>9.99</v>
      </c>
      <c r="N4742">
        <f t="shared" si="74"/>
        <v>0</v>
      </c>
    </row>
    <row r="4743" spans="1:14" x14ac:dyDescent="0.35">
      <c r="A4743">
        <v>4742</v>
      </c>
      <c r="B4743" t="s">
        <v>16</v>
      </c>
      <c r="C4743">
        <v>46</v>
      </c>
      <c r="D4743" t="s">
        <v>29</v>
      </c>
      <c r="E4743" t="s">
        <v>24</v>
      </c>
      <c r="F4743">
        <v>150</v>
      </c>
      <c r="G4743">
        <v>77</v>
      </c>
      <c r="H4743">
        <v>0.5</v>
      </c>
      <c r="I4743" t="s">
        <v>23</v>
      </c>
      <c r="J4743">
        <v>0</v>
      </c>
      <c r="K4743">
        <v>1</v>
      </c>
      <c r="L4743">
        <v>0</v>
      </c>
      <c r="M4743">
        <f>VLOOKUP(Table1[[#This Row],[subscription_type]],Plans!$A$1:$B$5,2,FALSE)</f>
        <v>4.99</v>
      </c>
      <c r="N4743">
        <f t="shared" si="74"/>
        <v>0</v>
      </c>
    </row>
    <row r="4744" spans="1:14" x14ac:dyDescent="0.35">
      <c r="A4744">
        <v>4743</v>
      </c>
      <c r="B4744" t="s">
        <v>20</v>
      </c>
      <c r="C4744">
        <v>47</v>
      </c>
      <c r="D4744" t="s">
        <v>28</v>
      </c>
      <c r="E4744" t="s">
        <v>18</v>
      </c>
      <c r="F4744">
        <v>248</v>
      </c>
      <c r="G4744">
        <v>23</v>
      </c>
      <c r="H4744">
        <v>0.35</v>
      </c>
      <c r="I4744" t="s">
        <v>15</v>
      </c>
      <c r="J4744">
        <v>0</v>
      </c>
      <c r="K4744">
        <v>1</v>
      </c>
      <c r="L4744">
        <v>0</v>
      </c>
      <c r="M4744">
        <f>VLOOKUP(Table1[[#This Row],[subscription_type]],Plans!$A$1:$B$5,2,FALSE)</f>
        <v>14.99</v>
      </c>
      <c r="N4744">
        <f t="shared" si="74"/>
        <v>0</v>
      </c>
    </row>
    <row r="4745" spans="1:14" x14ac:dyDescent="0.35">
      <c r="A4745">
        <v>4744</v>
      </c>
      <c r="B4745" t="s">
        <v>12</v>
      </c>
      <c r="C4745">
        <v>18</v>
      </c>
      <c r="D4745" t="s">
        <v>25</v>
      </c>
      <c r="E4745" t="s">
        <v>22</v>
      </c>
      <c r="F4745">
        <v>221</v>
      </c>
      <c r="G4745">
        <v>99</v>
      </c>
      <c r="H4745">
        <v>0.15</v>
      </c>
      <c r="I4745" t="s">
        <v>19</v>
      </c>
      <c r="J4745">
        <v>0</v>
      </c>
      <c r="K4745">
        <v>1</v>
      </c>
      <c r="L4745">
        <v>0</v>
      </c>
      <c r="M4745">
        <f>VLOOKUP(Table1[[#This Row],[subscription_type]],Plans!$A$1:$B$5,2,FALSE)</f>
        <v>9.99</v>
      </c>
      <c r="N4745">
        <f t="shared" si="74"/>
        <v>0</v>
      </c>
    </row>
    <row r="4746" spans="1:14" x14ac:dyDescent="0.35">
      <c r="A4746">
        <v>4745</v>
      </c>
      <c r="B4746" t="s">
        <v>12</v>
      </c>
      <c r="C4746">
        <v>21</v>
      </c>
      <c r="D4746" t="s">
        <v>17</v>
      </c>
      <c r="E4746" t="s">
        <v>14</v>
      </c>
      <c r="F4746">
        <v>167</v>
      </c>
      <c r="G4746">
        <v>48</v>
      </c>
      <c r="H4746">
        <v>0.21</v>
      </c>
      <c r="I4746" t="s">
        <v>19</v>
      </c>
      <c r="J4746">
        <v>32</v>
      </c>
      <c r="K4746">
        <v>0</v>
      </c>
      <c r="L4746">
        <v>0</v>
      </c>
      <c r="M4746">
        <f>VLOOKUP(Table1[[#This Row],[subscription_type]],Plans!$A$1:$B$5,2,FALSE)</f>
        <v>0</v>
      </c>
      <c r="N4746">
        <f t="shared" si="74"/>
        <v>0</v>
      </c>
    </row>
    <row r="4747" spans="1:14" x14ac:dyDescent="0.35">
      <c r="A4747">
        <v>4746</v>
      </c>
      <c r="B4747" t="s">
        <v>20</v>
      </c>
      <c r="C4747">
        <v>56</v>
      </c>
      <c r="D4747" t="s">
        <v>28</v>
      </c>
      <c r="E4747" t="s">
        <v>14</v>
      </c>
      <c r="F4747">
        <v>242</v>
      </c>
      <c r="G4747">
        <v>85</v>
      </c>
      <c r="H4747">
        <v>0.1</v>
      </c>
      <c r="I4747" t="s">
        <v>23</v>
      </c>
      <c r="J4747">
        <v>21</v>
      </c>
      <c r="K4747">
        <v>0</v>
      </c>
      <c r="L4747">
        <v>0</v>
      </c>
      <c r="M4747">
        <f>VLOOKUP(Table1[[#This Row],[subscription_type]],Plans!$A$1:$B$5,2,FALSE)</f>
        <v>0</v>
      </c>
      <c r="N4747">
        <f t="shared" si="74"/>
        <v>0</v>
      </c>
    </row>
    <row r="4748" spans="1:14" x14ac:dyDescent="0.35">
      <c r="A4748">
        <v>4747</v>
      </c>
      <c r="B4748" t="s">
        <v>12</v>
      </c>
      <c r="C4748">
        <v>56</v>
      </c>
      <c r="D4748" t="s">
        <v>13</v>
      </c>
      <c r="E4748" t="s">
        <v>24</v>
      </c>
      <c r="F4748">
        <v>295</v>
      </c>
      <c r="G4748">
        <v>26</v>
      </c>
      <c r="H4748">
        <v>0.53</v>
      </c>
      <c r="I4748" t="s">
        <v>23</v>
      </c>
      <c r="J4748">
        <v>0</v>
      </c>
      <c r="K4748">
        <v>1</v>
      </c>
      <c r="L4748">
        <v>0</v>
      </c>
      <c r="M4748">
        <f>VLOOKUP(Table1[[#This Row],[subscription_type]],Plans!$A$1:$B$5,2,FALSE)</f>
        <v>4.99</v>
      </c>
      <c r="N4748">
        <f t="shared" si="74"/>
        <v>0</v>
      </c>
    </row>
    <row r="4749" spans="1:14" x14ac:dyDescent="0.35">
      <c r="A4749">
        <v>4748</v>
      </c>
      <c r="B4749" t="s">
        <v>20</v>
      </c>
      <c r="C4749">
        <v>21</v>
      </c>
      <c r="D4749" t="s">
        <v>28</v>
      </c>
      <c r="E4749" t="s">
        <v>22</v>
      </c>
      <c r="F4749">
        <v>282</v>
      </c>
      <c r="G4749">
        <v>21</v>
      </c>
      <c r="H4749">
        <v>0.02</v>
      </c>
      <c r="I4749" t="s">
        <v>19</v>
      </c>
      <c r="J4749">
        <v>0</v>
      </c>
      <c r="K4749">
        <v>1</v>
      </c>
      <c r="L4749">
        <v>0</v>
      </c>
      <c r="M4749">
        <f>VLOOKUP(Table1[[#This Row],[subscription_type]],Plans!$A$1:$B$5,2,FALSE)</f>
        <v>9.99</v>
      </c>
      <c r="N4749">
        <f t="shared" si="74"/>
        <v>0</v>
      </c>
    </row>
    <row r="4750" spans="1:14" x14ac:dyDescent="0.35">
      <c r="A4750">
        <v>4749</v>
      </c>
      <c r="B4750" t="s">
        <v>12</v>
      </c>
      <c r="C4750">
        <v>48</v>
      </c>
      <c r="D4750" t="s">
        <v>21</v>
      </c>
      <c r="E4750" t="s">
        <v>14</v>
      </c>
      <c r="F4750">
        <v>31</v>
      </c>
      <c r="G4750">
        <v>46</v>
      </c>
      <c r="H4750">
        <v>0.08</v>
      </c>
      <c r="I4750" t="s">
        <v>19</v>
      </c>
      <c r="J4750">
        <v>47</v>
      </c>
      <c r="K4750">
        <v>0</v>
      </c>
      <c r="L4750">
        <v>1</v>
      </c>
      <c r="M4750">
        <f>VLOOKUP(Table1[[#This Row],[subscription_type]],Plans!$A$1:$B$5,2,FALSE)</f>
        <v>0</v>
      </c>
      <c r="N4750">
        <f t="shared" si="74"/>
        <v>0</v>
      </c>
    </row>
    <row r="4751" spans="1:14" x14ac:dyDescent="0.35">
      <c r="A4751">
        <v>4750</v>
      </c>
      <c r="B4751" t="s">
        <v>12</v>
      </c>
      <c r="C4751">
        <v>59</v>
      </c>
      <c r="D4751" t="s">
        <v>29</v>
      </c>
      <c r="E4751" t="s">
        <v>24</v>
      </c>
      <c r="F4751">
        <v>71</v>
      </c>
      <c r="G4751">
        <v>45</v>
      </c>
      <c r="H4751">
        <v>0.22</v>
      </c>
      <c r="I4751" t="s">
        <v>19</v>
      </c>
      <c r="J4751">
        <v>0</v>
      </c>
      <c r="K4751">
        <v>1</v>
      </c>
      <c r="L4751">
        <v>0</v>
      </c>
      <c r="M4751">
        <f>VLOOKUP(Table1[[#This Row],[subscription_type]],Plans!$A$1:$B$5,2,FALSE)</f>
        <v>4.99</v>
      </c>
      <c r="N4751">
        <f t="shared" si="74"/>
        <v>0</v>
      </c>
    </row>
    <row r="4752" spans="1:14" x14ac:dyDescent="0.35">
      <c r="A4752">
        <v>4751</v>
      </c>
      <c r="B4752" t="s">
        <v>12</v>
      </c>
      <c r="C4752">
        <v>37</v>
      </c>
      <c r="D4752" t="s">
        <v>21</v>
      </c>
      <c r="E4752" t="s">
        <v>24</v>
      </c>
      <c r="F4752">
        <v>10</v>
      </c>
      <c r="G4752">
        <v>90</v>
      </c>
      <c r="H4752">
        <v>0.09</v>
      </c>
      <c r="I4752" t="s">
        <v>15</v>
      </c>
      <c r="J4752">
        <v>0</v>
      </c>
      <c r="K4752">
        <v>1</v>
      </c>
      <c r="L4752">
        <v>0</v>
      </c>
      <c r="M4752">
        <f>VLOOKUP(Table1[[#This Row],[subscription_type]],Plans!$A$1:$B$5,2,FALSE)</f>
        <v>4.99</v>
      </c>
      <c r="N4752">
        <f t="shared" si="74"/>
        <v>0</v>
      </c>
    </row>
    <row r="4753" spans="1:14" x14ac:dyDescent="0.35">
      <c r="A4753">
        <v>4752</v>
      </c>
      <c r="B4753" t="s">
        <v>12</v>
      </c>
      <c r="C4753">
        <v>44</v>
      </c>
      <c r="D4753" t="s">
        <v>29</v>
      </c>
      <c r="E4753" t="s">
        <v>22</v>
      </c>
      <c r="F4753">
        <v>269</v>
      </c>
      <c r="G4753">
        <v>9</v>
      </c>
      <c r="H4753">
        <v>0.44</v>
      </c>
      <c r="I4753" t="s">
        <v>23</v>
      </c>
      <c r="J4753">
        <v>0</v>
      </c>
      <c r="K4753">
        <v>1</v>
      </c>
      <c r="L4753">
        <v>0</v>
      </c>
      <c r="M4753">
        <f>VLOOKUP(Table1[[#This Row],[subscription_type]],Plans!$A$1:$B$5,2,FALSE)</f>
        <v>9.99</v>
      </c>
      <c r="N4753">
        <f t="shared" si="74"/>
        <v>0</v>
      </c>
    </row>
    <row r="4754" spans="1:14" x14ac:dyDescent="0.35">
      <c r="A4754">
        <v>4753</v>
      </c>
      <c r="B4754" t="s">
        <v>16</v>
      </c>
      <c r="C4754">
        <v>20</v>
      </c>
      <c r="D4754" t="s">
        <v>25</v>
      </c>
      <c r="E4754" t="s">
        <v>22</v>
      </c>
      <c r="F4754">
        <v>105</v>
      </c>
      <c r="G4754">
        <v>80</v>
      </c>
      <c r="H4754">
        <v>0.4</v>
      </c>
      <c r="I4754" t="s">
        <v>23</v>
      </c>
      <c r="J4754">
        <v>0</v>
      </c>
      <c r="K4754">
        <v>1</v>
      </c>
      <c r="L4754">
        <v>0</v>
      </c>
      <c r="M4754">
        <f>VLOOKUP(Table1[[#This Row],[subscription_type]],Plans!$A$1:$B$5,2,FALSE)</f>
        <v>9.99</v>
      </c>
      <c r="N4754">
        <f t="shared" si="74"/>
        <v>0</v>
      </c>
    </row>
    <row r="4755" spans="1:14" x14ac:dyDescent="0.35">
      <c r="A4755">
        <v>4754</v>
      </c>
      <c r="B4755" t="s">
        <v>16</v>
      </c>
      <c r="C4755">
        <v>50</v>
      </c>
      <c r="D4755" t="s">
        <v>17</v>
      </c>
      <c r="E4755" t="s">
        <v>24</v>
      </c>
      <c r="F4755">
        <v>98</v>
      </c>
      <c r="G4755">
        <v>4</v>
      </c>
      <c r="H4755">
        <v>0.52</v>
      </c>
      <c r="I4755" t="s">
        <v>23</v>
      </c>
      <c r="J4755">
        <v>0</v>
      </c>
      <c r="K4755">
        <v>1</v>
      </c>
      <c r="L4755">
        <v>0</v>
      </c>
      <c r="M4755">
        <f>VLOOKUP(Table1[[#This Row],[subscription_type]],Plans!$A$1:$B$5,2,FALSE)</f>
        <v>4.99</v>
      </c>
      <c r="N4755">
        <f t="shared" si="74"/>
        <v>0</v>
      </c>
    </row>
    <row r="4756" spans="1:14" x14ac:dyDescent="0.35">
      <c r="A4756">
        <v>4755</v>
      </c>
      <c r="B4756" t="s">
        <v>12</v>
      </c>
      <c r="C4756">
        <v>22</v>
      </c>
      <c r="D4756" t="s">
        <v>26</v>
      </c>
      <c r="E4756" t="s">
        <v>14</v>
      </c>
      <c r="F4756">
        <v>97</v>
      </c>
      <c r="G4756">
        <v>62</v>
      </c>
      <c r="H4756">
        <v>0.33</v>
      </c>
      <c r="I4756" t="s">
        <v>19</v>
      </c>
      <c r="J4756">
        <v>45</v>
      </c>
      <c r="K4756">
        <v>0</v>
      </c>
      <c r="L4756">
        <v>1</v>
      </c>
      <c r="M4756">
        <f>VLOOKUP(Table1[[#This Row],[subscription_type]],Plans!$A$1:$B$5,2,FALSE)</f>
        <v>0</v>
      </c>
      <c r="N4756">
        <f t="shared" si="74"/>
        <v>0</v>
      </c>
    </row>
    <row r="4757" spans="1:14" x14ac:dyDescent="0.35">
      <c r="A4757">
        <v>4756</v>
      </c>
      <c r="B4757" t="s">
        <v>20</v>
      </c>
      <c r="C4757">
        <v>47</v>
      </c>
      <c r="D4757" t="s">
        <v>13</v>
      </c>
      <c r="E4757" t="s">
        <v>14</v>
      </c>
      <c r="F4757">
        <v>52</v>
      </c>
      <c r="G4757">
        <v>43</v>
      </c>
      <c r="H4757">
        <v>0.04</v>
      </c>
      <c r="I4757" t="s">
        <v>15</v>
      </c>
      <c r="J4757">
        <v>48</v>
      </c>
      <c r="K4757">
        <v>0</v>
      </c>
      <c r="L4757">
        <v>0</v>
      </c>
      <c r="M4757">
        <f>VLOOKUP(Table1[[#This Row],[subscription_type]],Plans!$A$1:$B$5,2,FALSE)</f>
        <v>0</v>
      </c>
      <c r="N4757">
        <f t="shared" si="74"/>
        <v>0</v>
      </c>
    </row>
    <row r="4758" spans="1:14" x14ac:dyDescent="0.35">
      <c r="A4758">
        <v>4757</v>
      </c>
      <c r="B4758" t="s">
        <v>12</v>
      </c>
      <c r="C4758">
        <v>37</v>
      </c>
      <c r="D4758" t="s">
        <v>29</v>
      </c>
      <c r="E4758" t="s">
        <v>14</v>
      </c>
      <c r="F4758">
        <v>242</v>
      </c>
      <c r="G4758">
        <v>23</v>
      </c>
      <c r="H4758">
        <v>0.56000000000000005</v>
      </c>
      <c r="I4758" t="s">
        <v>19</v>
      </c>
      <c r="J4758">
        <v>21</v>
      </c>
      <c r="K4758">
        <v>0</v>
      </c>
      <c r="L4758">
        <v>0</v>
      </c>
      <c r="M4758">
        <f>VLOOKUP(Table1[[#This Row],[subscription_type]],Plans!$A$1:$B$5,2,FALSE)</f>
        <v>0</v>
      </c>
      <c r="N4758">
        <f t="shared" si="74"/>
        <v>0</v>
      </c>
    </row>
    <row r="4759" spans="1:14" x14ac:dyDescent="0.35">
      <c r="A4759">
        <v>4758</v>
      </c>
      <c r="B4759" t="s">
        <v>12</v>
      </c>
      <c r="C4759">
        <v>48</v>
      </c>
      <c r="D4759" t="s">
        <v>17</v>
      </c>
      <c r="E4759" t="s">
        <v>14</v>
      </c>
      <c r="F4759">
        <v>44</v>
      </c>
      <c r="G4759">
        <v>56</v>
      </c>
      <c r="H4759">
        <v>0.5</v>
      </c>
      <c r="I4759" t="s">
        <v>15</v>
      </c>
      <c r="J4759">
        <v>26</v>
      </c>
      <c r="K4759">
        <v>0</v>
      </c>
      <c r="L4759">
        <v>0</v>
      </c>
      <c r="M4759">
        <f>VLOOKUP(Table1[[#This Row],[subscription_type]],Plans!$A$1:$B$5,2,FALSE)</f>
        <v>0</v>
      </c>
      <c r="N4759">
        <f t="shared" si="74"/>
        <v>0</v>
      </c>
    </row>
    <row r="4760" spans="1:14" x14ac:dyDescent="0.35">
      <c r="A4760">
        <v>4759</v>
      </c>
      <c r="B4760" t="s">
        <v>20</v>
      </c>
      <c r="C4760">
        <v>22</v>
      </c>
      <c r="D4760" t="s">
        <v>21</v>
      </c>
      <c r="E4760" t="s">
        <v>14</v>
      </c>
      <c r="F4760">
        <v>180</v>
      </c>
      <c r="G4760">
        <v>23</v>
      </c>
      <c r="H4760">
        <v>0</v>
      </c>
      <c r="I4760" t="s">
        <v>23</v>
      </c>
      <c r="J4760">
        <v>9</v>
      </c>
      <c r="K4760">
        <v>0</v>
      </c>
      <c r="L4760">
        <v>0</v>
      </c>
      <c r="M4760">
        <f>VLOOKUP(Table1[[#This Row],[subscription_type]],Plans!$A$1:$B$5,2,FALSE)</f>
        <v>0</v>
      </c>
      <c r="N4760">
        <f t="shared" si="74"/>
        <v>0</v>
      </c>
    </row>
    <row r="4761" spans="1:14" x14ac:dyDescent="0.35">
      <c r="A4761">
        <v>4760</v>
      </c>
      <c r="B4761" t="s">
        <v>12</v>
      </c>
      <c r="C4761">
        <v>58</v>
      </c>
      <c r="D4761" t="s">
        <v>13</v>
      </c>
      <c r="E4761" t="s">
        <v>14</v>
      </c>
      <c r="F4761">
        <v>255</v>
      </c>
      <c r="G4761">
        <v>90</v>
      </c>
      <c r="H4761">
        <v>0</v>
      </c>
      <c r="I4761" t="s">
        <v>23</v>
      </c>
      <c r="J4761">
        <v>8</v>
      </c>
      <c r="K4761">
        <v>0</v>
      </c>
      <c r="L4761">
        <v>0</v>
      </c>
      <c r="M4761">
        <f>VLOOKUP(Table1[[#This Row],[subscription_type]],Plans!$A$1:$B$5,2,FALSE)</f>
        <v>0</v>
      </c>
      <c r="N4761">
        <f t="shared" si="74"/>
        <v>0</v>
      </c>
    </row>
    <row r="4762" spans="1:14" x14ac:dyDescent="0.35">
      <c r="A4762">
        <v>4761</v>
      </c>
      <c r="B4762" t="s">
        <v>20</v>
      </c>
      <c r="C4762">
        <v>32</v>
      </c>
      <c r="D4762" t="s">
        <v>27</v>
      </c>
      <c r="E4762" t="s">
        <v>18</v>
      </c>
      <c r="F4762">
        <v>65</v>
      </c>
      <c r="G4762">
        <v>25</v>
      </c>
      <c r="H4762">
        <v>0.02</v>
      </c>
      <c r="I4762" t="s">
        <v>19</v>
      </c>
      <c r="J4762">
        <v>0</v>
      </c>
      <c r="K4762">
        <v>1</v>
      </c>
      <c r="L4762">
        <v>1</v>
      </c>
      <c r="M4762">
        <f>VLOOKUP(Table1[[#This Row],[subscription_type]],Plans!$A$1:$B$5,2,FALSE)</f>
        <v>14.99</v>
      </c>
      <c r="N4762">
        <f t="shared" si="74"/>
        <v>14.99</v>
      </c>
    </row>
    <row r="4763" spans="1:14" x14ac:dyDescent="0.35">
      <c r="A4763">
        <v>4762</v>
      </c>
      <c r="B4763" t="s">
        <v>20</v>
      </c>
      <c r="C4763">
        <v>21</v>
      </c>
      <c r="D4763" t="s">
        <v>28</v>
      </c>
      <c r="E4763" t="s">
        <v>24</v>
      </c>
      <c r="F4763">
        <v>131</v>
      </c>
      <c r="G4763">
        <v>55</v>
      </c>
      <c r="H4763">
        <v>0.21</v>
      </c>
      <c r="I4763" t="s">
        <v>19</v>
      </c>
      <c r="J4763">
        <v>0</v>
      </c>
      <c r="K4763">
        <v>1</v>
      </c>
      <c r="L4763">
        <v>0</v>
      </c>
      <c r="M4763">
        <f>VLOOKUP(Table1[[#This Row],[subscription_type]],Plans!$A$1:$B$5,2,FALSE)</f>
        <v>4.99</v>
      </c>
      <c r="N4763">
        <f t="shared" si="74"/>
        <v>0</v>
      </c>
    </row>
    <row r="4764" spans="1:14" x14ac:dyDescent="0.35">
      <c r="A4764">
        <v>4763</v>
      </c>
      <c r="B4764" t="s">
        <v>16</v>
      </c>
      <c r="C4764">
        <v>28</v>
      </c>
      <c r="D4764" t="s">
        <v>21</v>
      </c>
      <c r="E4764" t="s">
        <v>18</v>
      </c>
      <c r="F4764">
        <v>98</v>
      </c>
      <c r="G4764">
        <v>25</v>
      </c>
      <c r="H4764">
        <v>0.59</v>
      </c>
      <c r="I4764" t="s">
        <v>15</v>
      </c>
      <c r="J4764">
        <v>0</v>
      </c>
      <c r="K4764">
        <v>1</v>
      </c>
      <c r="L4764">
        <v>1</v>
      </c>
      <c r="M4764">
        <f>VLOOKUP(Table1[[#This Row],[subscription_type]],Plans!$A$1:$B$5,2,FALSE)</f>
        <v>14.99</v>
      </c>
      <c r="N4764">
        <f t="shared" si="74"/>
        <v>14.99</v>
      </c>
    </row>
    <row r="4765" spans="1:14" x14ac:dyDescent="0.35">
      <c r="A4765">
        <v>4764</v>
      </c>
      <c r="B4765" t="s">
        <v>20</v>
      </c>
      <c r="C4765">
        <v>46</v>
      </c>
      <c r="D4765" t="s">
        <v>27</v>
      </c>
      <c r="E4765" t="s">
        <v>14</v>
      </c>
      <c r="F4765">
        <v>116</v>
      </c>
      <c r="G4765">
        <v>10</v>
      </c>
      <c r="H4765">
        <v>0.54</v>
      </c>
      <c r="I4765" t="s">
        <v>23</v>
      </c>
      <c r="J4765">
        <v>20</v>
      </c>
      <c r="K4765">
        <v>0</v>
      </c>
      <c r="L4765">
        <v>1</v>
      </c>
      <c r="M4765">
        <f>VLOOKUP(Table1[[#This Row],[subscription_type]],Plans!$A$1:$B$5,2,FALSE)</f>
        <v>0</v>
      </c>
      <c r="N4765">
        <f t="shared" si="74"/>
        <v>0</v>
      </c>
    </row>
    <row r="4766" spans="1:14" x14ac:dyDescent="0.35">
      <c r="A4766">
        <v>4765</v>
      </c>
      <c r="B4766" t="s">
        <v>16</v>
      </c>
      <c r="C4766">
        <v>43</v>
      </c>
      <c r="D4766" t="s">
        <v>21</v>
      </c>
      <c r="E4766" t="s">
        <v>24</v>
      </c>
      <c r="F4766">
        <v>256</v>
      </c>
      <c r="G4766">
        <v>4</v>
      </c>
      <c r="H4766">
        <v>0.42</v>
      </c>
      <c r="I4766" t="s">
        <v>15</v>
      </c>
      <c r="J4766">
        <v>0</v>
      </c>
      <c r="K4766">
        <v>1</v>
      </c>
      <c r="L4766">
        <v>0</v>
      </c>
      <c r="M4766">
        <f>VLOOKUP(Table1[[#This Row],[subscription_type]],Plans!$A$1:$B$5,2,FALSE)</f>
        <v>4.99</v>
      </c>
      <c r="N4766">
        <f t="shared" si="74"/>
        <v>0</v>
      </c>
    </row>
    <row r="4767" spans="1:14" x14ac:dyDescent="0.35">
      <c r="A4767">
        <v>4766</v>
      </c>
      <c r="B4767" t="s">
        <v>20</v>
      </c>
      <c r="C4767">
        <v>22</v>
      </c>
      <c r="D4767" t="s">
        <v>13</v>
      </c>
      <c r="E4767" t="s">
        <v>18</v>
      </c>
      <c r="F4767">
        <v>169</v>
      </c>
      <c r="G4767">
        <v>41</v>
      </c>
      <c r="H4767">
        <v>0.47</v>
      </c>
      <c r="I4767" t="s">
        <v>23</v>
      </c>
      <c r="J4767">
        <v>0</v>
      </c>
      <c r="K4767">
        <v>1</v>
      </c>
      <c r="L4767">
        <v>0</v>
      </c>
      <c r="M4767">
        <f>VLOOKUP(Table1[[#This Row],[subscription_type]],Plans!$A$1:$B$5,2,FALSE)</f>
        <v>14.99</v>
      </c>
      <c r="N4767">
        <f t="shared" si="74"/>
        <v>0</v>
      </c>
    </row>
    <row r="4768" spans="1:14" x14ac:dyDescent="0.35">
      <c r="A4768">
        <v>4767</v>
      </c>
      <c r="B4768" t="s">
        <v>12</v>
      </c>
      <c r="C4768">
        <v>58</v>
      </c>
      <c r="D4768" t="s">
        <v>27</v>
      </c>
      <c r="E4768" t="s">
        <v>24</v>
      </c>
      <c r="F4768">
        <v>99</v>
      </c>
      <c r="G4768">
        <v>12</v>
      </c>
      <c r="H4768">
        <v>0.51</v>
      </c>
      <c r="I4768" t="s">
        <v>23</v>
      </c>
      <c r="J4768">
        <v>0</v>
      </c>
      <c r="K4768">
        <v>1</v>
      </c>
      <c r="L4768">
        <v>1</v>
      </c>
      <c r="M4768">
        <f>VLOOKUP(Table1[[#This Row],[subscription_type]],Plans!$A$1:$B$5,2,FALSE)</f>
        <v>4.99</v>
      </c>
      <c r="N4768">
        <f t="shared" si="74"/>
        <v>4.99</v>
      </c>
    </row>
    <row r="4769" spans="1:14" x14ac:dyDescent="0.35">
      <c r="A4769">
        <v>4768</v>
      </c>
      <c r="B4769" t="s">
        <v>16</v>
      </c>
      <c r="C4769">
        <v>16</v>
      </c>
      <c r="D4769" t="s">
        <v>17</v>
      </c>
      <c r="E4769" t="s">
        <v>18</v>
      </c>
      <c r="F4769">
        <v>110</v>
      </c>
      <c r="G4769">
        <v>24</v>
      </c>
      <c r="H4769">
        <v>0.45</v>
      </c>
      <c r="I4769" t="s">
        <v>23</v>
      </c>
      <c r="J4769">
        <v>0</v>
      </c>
      <c r="K4769">
        <v>1</v>
      </c>
      <c r="L4769">
        <v>0</v>
      </c>
      <c r="M4769">
        <f>VLOOKUP(Table1[[#This Row],[subscription_type]],Plans!$A$1:$B$5,2,FALSE)</f>
        <v>14.99</v>
      </c>
      <c r="N4769">
        <f t="shared" si="74"/>
        <v>0</v>
      </c>
    </row>
    <row r="4770" spans="1:14" x14ac:dyDescent="0.35">
      <c r="A4770">
        <v>4769</v>
      </c>
      <c r="B4770" t="s">
        <v>12</v>
      </c>
      <c r="C4770">
        <v>55</v>
      </c>
      <c r="D4770" t="s">
        <v>21</v>
      </c>
      <c r="E4770" t="s">
        <v>24</v>
      </c>
      <c r="F4770">
        <v>178</v>
      </c>
      <c r="G4770">
        <v>86</v>
      </c>
      <c r="H4770">
        <v>0.24</v>
      </c>
      <c r="I4770" t="s">
        <v>19</v>
      </c>
      <c r="J4770">
        <v>0</v>
      </c>
      <c r="K4770">
        <v>1</v>
      </c>
      <c r="L4770">
        <v>0</v>
      </c>
      <c r="M4770">
        <f>VLOOKUP(Table1[[#This Row],[subscription_type]],Plans!$A$1:$B$5,2,FALSE)</f>
        <v>4.99</v>
      </c>
      <c r="N4770">
        <f t="shared" si="74"/>
        <v>0</v>
      </c>
    </row>
    <row r="4771" spans="1:14" x14ac:dyDescent="0.35">
      <c r="A4771">
        <v>4770</v>
      </c>
      <c r="B4771" t="s">
        <v>16</v>
      </c>
      <c r="C4771">
        <v>47</v>
      </c>
      <c r="D4771" t="s">
        <v>17</v>
      </c>
      <c r="E4771" t="s">
        <v>14</v>
      </c>
      <c r="F4771">
        <v>104</v>
      </c>
      <c r="G4771">
        <v>39</v>
      </c>
      <c r="H4771">
        <v>0.21</v>
      </c>
      <c r="I4771" t="s">
        <v>15</v>
      </c>
      <c r="J4771">
        <v>13</v>
      </c>
      <c r="K4771">
        <v>0</v>
      </c>
      <c r="L4771">
        <v>0</v>
      </c>
      <c r="M4771">
        <f>VLOOKUP(Table1[[#This Row],[subscription_type]],Plans!$A$1:$B$5,2,FALSE)</f>
        <v>0</v>
      </c>
      <c r="N4771">
        <f t="shared" si="74"/>
        <v>0</v>
      </c>
    </row>
    <row r="4772" spans="1:14" x14ac:dyDescent="0.35">
      <c r="A4772">
        <v>4771</v>
      </c>
      <c r="B4772" t="s">
        <v>16</v>
      </c>
      <c r="C4772">
        <v>31</v>
      </c>
      <c r="D4772" t="s">
        <v>28</v>
      </c>
      <c r="E4772" t="s">
        <v>24</v>
      </c>
      <c r="F4772">
        <v>79</v>
      </c>
      <c r="G4772">
        <v>57</v>
      </c>
      <c r="H4772">
        <v>0.47</v>
      </c>
      <c r="I4772" t="s">
        <v>19</v>
      </c>
      <c r="J4772">
        <v>0</v>
      </c>
      <c r="K4772">
        <v>1</v>
      </c>
      <c r="L4772">
        <v>0</v>
      </c>
      <c r="M4772">
        <f>VLOOKUP(Table1[[#This Row],[subscription_type]],Plans!$A$1:$B$5,2,FALSE)</f>
        <v>4.99</v>
      </c>
      <c r="N4772">
        <f t="shared" si="74"/>
        <v>0</v>
      </c>
    </row>
    <row r="4773" spans="1:14" x14ac:dyDescent="0.35">
      <c r="A4773">
        <v>4772</v>
      </c>
      <c r="B4773" t="s">
        <v>12</v>
      </c>
      <c r="C4773">
        <v>58</v>
      </c>
      <c r="D4773" t="s">
        <v>29</v>
      </c>
      <c r="E4773" t="s">
        <v>18</v>
      </c>
      <c r="F4773">
        <v>70</v>
      </c>
      <c r="G4773">
        <v>54</v>
      </c>
      <c r="H4773">
        <v>0.1</v>
      </c>
      <c r="I4773" t="s">
        <v>23</v>
      </c>
      <c r="J4773">
        <v>0</v>
      </c>
      <c r="K4773">
        <v>1</v>
      </c>
      <c r="L4773">
        <v>1</v>
      </c>
      <c r="M4773">
        <f>VLOOKUP(Table1[[#This Row],[subscription_type]],Plans!$A$1:$B$5,2,FALSE)</f>
        <v>14.99</v>
      </c>
      <c r="N4773">
        <f t="shared" si="74"/>
        <v>14.99</v>
      </c>
    </row>
    <row r="4774" spans="1:14" x14ac:dyDescent="0.35">
      <c r="A4774">
        <v>4773</v>
      </c>
      <c r="B4774" t="s">
        <v>12</v>
      </c>
      <c r="C4774">
        <v>44</v>
      </c>
      <c r="D4774" t="s">
        <v>17</v>
      </c>
      <c r="E4774" t="s">
        <v>18</v>
      </c>
      <c r="F4774">
        <v>199</v>
      </c>
      <c r="G4774">
        <v>90</v>
      </c>
      <c r="H4774">
        <v>0.53</v>
      </c>
      <c r="I4774" t="s">
        <v>15</v>
      </c>
      <c r="J4774">
        <v>0</v>
      </c>
      <c r="K4774">
        <v>1</v>
      </c>
      <c r="L4774">
        <v>0</v>
      </c>
      <c r="M4774">
        <f>VLOOKUP(Table1[[#This Row],[subscription_type]],Plans!$A$1:$B$5,2,FALSE)</f>
        <v>14.99</v>
      </c>
      <c r="N4774">
        <f t="shared" si="74"/>
        <v>0</v>
      </c>
    </row>
    <row r="4775" spans="1:14" x14ac:dyDescent="0.35">
      <c r="A4775">
        <v>4774</v>
      </c>
      <c r="B4775" t="s">
        <v>12</v>
      </c>
      <c r="C4775">
        <v>37</v>
      </c>
      <c r="D4775" t="s">
        <v>29</v>
      </c>
      <c r="E4775" t="s">
        <v>24</v>
      </c>
      <c r="F4775">
        <v>262</v>
      </c>
      <c r="G4775">
        <v>30</v>
      </c>
      <c r="H4775">
        <v>0.42</v>
      </c>
      <c r="I4775" t="s">
        <v>15</v>
      </c>
      <c r="J4775">
        <v>0</v>
      </c>
      <c r="K4775">
        <v>1</v>
      </c>
      <c r="L4775">
        <v>0</v>
      </c>
      <c r="M4775">
        <f>VLOOKUP(Table1[[#This Row],[subscription_type]],Plans!$A$1:$B$5,2,FALSE)</f>
        <v>4.99</v>
      </c>
      <c r="N4775">
        <f t="shared" si="74"/>
        <v>0</v>
      </c>
    </row>
    <row r="4776" spans="1:14" x14ac:dyDescent="0.35">
      <c r="A4776">
        <v>4775</v>
      </c>
      <c r="B4776" t="s">
        <v>20</v>
      </c>
      <c r="C4776">
        <v>23</v>
      </c>
      <c r="D4776" t="s">
        <v>17</v>
      </c>
      <c r="E4776" t="s">
        <v>24</v>
      </c>
      <c r="F4776">
        <v>294</v>
      </c>
      <c r="G4776">
        <v>27</v>
      </c>
      <c r="H4776">
        <v>0.37</v>
      </c>
      <c r="I4776" t="s">
        <v>15</v>
      </c>
      <c r="J4776">
        <v>0</v>
      </c>
      <c r="K4776">
        <v>1</v>
      </c>
      <c r="L4776">
        <v>1</v>
      </c>
      <c r="M4776">
        <f>VLOOKUP(Table1[[#This Row],[subscription_type]],Plans!$A$1:$B$5,2,FALSE)</f>
        <v>4.99</v>
      </c>
      <c r="N4776">
        <f t="shared" si="74"/>
        <v>4.99</v>
      </c>
    </row>
    <row r="4777" spans="1:14" x14ac:dyDescent="0.35">
      <c r="A4777">
        <v>4776</v>
      </c>
      <c r="B4777" t="s">
        <v>12</v>
      </c>
      <c r="C4777">
        <v>50</v>
      </c>
      <c r="D4777" t="s">
        <v>13</v>
      </c>
      <c r="E4777" t="s">
        <v>14</v>
      </c>
      <c r="F4777">
        <v>74</v>
      </c>
      <c r="G4777">
        <v>80</v>
      </c>
      <c r="H4777">
        <v>0.59</v>
      </c>
      <c r="I4777" t="s">
        <v>15</v>
      </c>
      <c r="J4777">
        <v>25</v>
      </c>
      <c r="K4777">
        <v>0</v>
      </c>
      <c r="L4777">
        <v>0</v>
      </c>
      <c r="M4777">
        <f>VLOOKUP(Table1[[#This Row],[subscription_type]],Plans!$A$1:$B$5,2,FALSE)</f>
        <v>0</v>
      </c>
      <c r="N4777">
        <f t="shared" si="74"/>
        <v>0</v>
      </c>
    </row>
    <row r="4778" spans="1:14" x14ac:dyDescent="0.35">
      <c r="A4778">
        <v>4777</v>
      </c>
      <c r="B4778" t="s">
        <v>16</v>
      </c>
      <c r="C4778">
        <v>47</v>
      </c>
      <c r="D4778" t="s">
        <v>27</v>
      </c>
      <c r="E4778" t="s">
        <v>18</v>
      </c>
      <c r="F4778">
        <v>45</v>
      </c>
      <c r="G4778">
        <v>95</v>
      </c>
      <c r="H4778">
        <v>0.43</v>
      </c>
      <c r="I4778" t="s">
        <v>19</v>
      </c>
      <c r="J4778">
        <v>0</v>
      </c>
      <c r="K4778">
        <v>1</v>
      </c>
      <c r="L4778">
        <v>0</v>
      </c>
      <c r="M4778">
        <f>VLOOKUP(Table1[[#This Row],[subscription_type]],Plans!$A$1:$B$5,2,FALSE)</f>
        <v>14.99</v>
      </c>
      <c r="N4778">
        <f t="shared" si="74"/>
        <v>0</v>
      </c>
    </row>
    <row r="4779" spans="1:14" x14ac:dyDescent="0.35">
      <c r="A4779">
        <v>4778</v>
      </c>
      <c r="B4779" t="s">
        <v>20</v>
      </c>
      <c r="C4779">
        <v>50</v>
      </c>
      <c r="D4779" t="s">
        <v>21</v>
      </c>
      <c r="E4779" t="s">
        <v>22</v>
      </c>
      <c r="F4779">
        <v>131</v>
      </c>
      <c r="G4779">
        <v>27</v>
      </c>
      <c r="H4779">
        <v>0.56999999999999995</v>
      </c>
      <c r="I4779" t="s">
        <v>19</v>
      </c>
      <c r="J4779">
        <v>0</v>
      </c>
      <c r="K4779">
        <v>1</v>
      </c>
      <c r="L4779">
        <v>0</v>
      </c>
      <c r="M4779">
        <f>VLOOKUP(Table1[[#This Row],[subscription_type]],Plans!$A$1:$B$5,2,FALSE)</f>
        <v>9.99</v>
      </c>
      <c r="N4779">
        <f t="shared" si="74"/>
        <v>0</v>
      </c>
    </row>
    <row r="4780" spans="1:14" x14ac:dyDescent="0.35">
      <c r="A4780">
        <v>4779</v>
      </c>
      <c r="B4780" t="s">
        <v>12</v>
      </c>
      <c r="C4780">
        <v>43</v>
      </c>
      <c r="D4780" t="s">
        <v>29</v>
      </c>
      <c r="E4780" t="s">
        <v>22</v>
      </c>
      <c r="F4780">
        <v>165</v>
      </c>
      <c r="G4780">
        <v>14</v>
      </c>
      <c r="H4780">
        <v>0.06</v>
      </c>
      <c r="I4780" t="s">
        <v>15</v>
      </c>
      <c r="J4780">
        <v>0</v>
      </c>
      <c r="K4780">
        <v>1</v>
      </c>
      <c r="L4780">
        <v>1</v>
      </c>
      <c r="M4780">
        <f>VLOOKUP(Table1[[#This Row],[subscription_type]],Plans!$A$1:$B$5,2,FALSE)</f>
        <v>9.99</v>
      </c>
      <c r="N4780">
        <f t="shared" si="74"/>
        <v>9.99</v>
      </c>
    </row>
    <row r="4781" spans="1:14" x14ac:dyDescent="0.35">
      <c r="A4781">
        <v>4780</v>
      </c>
      <c r="B4781" t="s">
        <v>16</v>
      </c>
      <c r="C4781">
        <v>46</v>
      </c>
      <c r="D4781" t="s">
        <v>27</v>
      </c>
      <c r="E4781" t="s">
        <v>18</v>
      </c>
      <c r="F4781">
        <v>27</v>
      </c>
      <c r="G4781">
        <v>26</v>
      </c>
      <c r="H4781">
        <v>0.22</v>
      </c>
      <c r="I4781" t="s">
        <v>15</v>
      </c>
      <c r="J4781">
        <v>0</v>
      </c>
      <c r="K4781">
        <v>1</v>
      </c>
      <c r="L4781">
        <v>0</v>
      </c>
      <c r="M4781">
        <f>VLOOKUP(Table1[[#This Row],[subscription_type]],Plans!$A$1:$B$5,2,FALSE)</f>
        <v>14.99</v>
      </c>
      <c r="N4781">
        <f t="shared" si="74"/>
        <v>0</v>
      </c>
    </row>
    <row r="4782" spans="1:14" x14ac:dyDescent="0.35">
      <c r="A4782">
        <v>4781</v>
      </c>
      <c r="B4782" t="s">
        <v>20</v>
      </c>
      <c r="C4782">
        <v>36</v>
      </c>
      <c r="D4782" t="s">
        <v>28</v>
      </c>
      <c r="E4782" t="s">
        <v>22</v>
      </c>
      <c r="F4782">
        <v>199</v>
      </c>
      <c r="G4782">
        <v>97</v>
      </c>
      <c r="H4782">
        <v>0.52</v>
      </c>
      <c r="I4782" t="s">
        <v>15</v>
      </c>
      <c r="J4782">
        <v>0</v>
      </c>
      <c r="K4782">
        <v>1</v>
      </c>
      <c r="L4782">
        <v>0</v>
      </c>
      <c r="M4782">
        <f>VLOOKUP(Table1[[#This Row],[subscription_type]],Plans!$A$1:$B$5,2,FALSE)</f>
        <v>9.99</v>
      </c>
      <c r="N4782">
        <f t="shared" si="74"/>
        <v>0</v>
      </c>
    </row>
    <row r="4783" spans="1:14" x14ac:dyDescent="0.35">
      <c r="A4783">
        <v>4782</v>
      </c>
      <c r="B4783" t="s">
        <v>20</v>
      </c>
      <c r="C4783">
        <v>41</v>
      </c>
      <c r="D4783" t="s">
        <v>29</v>
      </c>
      <c r="E4783" t="s">
        <v>24</v>
      </c>
      <c r="F4783">
        <v>107</v>
      </c>
      <c r="G4783">
        <v>59</v>
      </c>
      <c r="H4783">
        <v>0.4</v>
      </c>
      <c r="I4783" t="s">
        <v>15</v>
      </c>
      <c r="J4783">
        <v>0</v>
      </c>
      <c r="K4783">
        <v>1</v>
      </c>
      <c r="L4783">
        <v>0</v>
      </c>
      <c r="M4783">
        <f>VLOOKUP(Table1[[#This Row],[subscription_type]],Plans!$A$1:$B$5,2,FALSE)</f>
        <v>4.99</v>
      </c>
      <c r="N4783">
        <f t="shared" si="74"/>
        <v>0</v>
      </c>
    </row>
    <row r="4784" spans="1:14" x14ac:dyDescent="0.35">
      <c r="A4784">
        <v>4783</v>
      </c>
      <c r="B4784" t="s">
        <v>12</v>
      </c>
      <c r="C4784">
        <v>39</v>
      </c>
      <c r="D4784" t="s">
        <v>13</v>
      </c>
      <c r="E4784" t="s">
        <v>24</v>
      </c>
      <c r="F4784">
        <v>49</v>
      </c>
      <c r="G4784">
        <v>84</v>
      </c>
      <c r="H4784">
        <v>0.3</v>
      </c>
      <c r="I4784" t="s">
        <v>19</v>
      </c>
      <c r="J4784">
        <v>0</v>
      </c>
      <c r="K4784">
        <v>1</v>
      </c>
      <c r="L4784">
        <v>0</v>
      </c>
      <c r="M4784">
        <f>VLOOKUP(Table1[[#This Row],[subscription_type]],Plans!$A$1:$B$5,2,FALSE)</f>
        <v>4.99</v>
      </c>
      <c r="N4784">
        <f t="shared" si="74"/>
        <v>0</v>
      </c>
    </row>
    <row r="4785" spans="1:14" x14ac:dyDescent="0.35">
      <c r="A4785">
        <v>4784</v>
      </c>
      <c r="B4785" t="s">
        <v>20</v>
      </c>
      <c r="C4785">
        <v>50</v>
      </c>
      <c r="D4785" t="s">
        <v>29</v>
      </c>
      <c r="E4785" t="s">
        <v>22</v>
      </c>
      <c r="F4785">
        <v>265</v>
      </c>
      <c r="G4785">
        <v>77</v>
      </c>
      <c r="H4785">
        <v>0.44</v>
      </c>
      <c r="I4785" t="s">
        <v>23</v>
      </c>
      <c r="J4785">
        <v>0</v>
      </c>
      <c r="K4785">
        <v>1</v>
      </c>
      <c r="L4785">
        <v>0</v>
      </c>
      <c r="M4785">
        <f>VLOOKUP(Table1[[#This Row],[subscription_type]],Plans!$A$1:$B$5,2,FALSE)</f>
        <v>9.99</v>
      </c>
      <c r="N4785">
        <f t="shared" si="74"/>
        <v>0</v>
      </c>
    </row>
    <row r="4786" spans="1:14" x14ac:dyDescent="0.35">
      <c r="A4786">
        <v>4785</v>
      </c>
      <c r="B4786" t="s">
        <v>12</v>
      </c>
      <c r="C4786">
        <v>22</v>
      </c>
      <c r="D4786" t="s">
        <v>25</v>
      </c>
      <c r="E4786" t="s">
        <v>24</v>
      </c>
      <c r="F4786">
        <v>106</v>
      </c>
      <c r="G4786">
        <v>76</v>
      </c>
      <c r="H4786">
        <v>7.0000000000000007E-2</v>
      </c>
      <c r="I4786" t="s">
        <v>15</v>
      </c>
      <c r="J4786">
        <v>0</v>
      </c>
      <c r="K4786">
        <v>1</v>
      </c>
      <c r="L4786">
        <v>0</v>
      </c>
      <c r="M4786">
        <f>VLOOKUP(Table1[[#This Row],[subscription_type]],Plans!$A$1:$B$5,2,FALSE)</f>
        <v>4.99</v>
      </c>
      <c r="N4786">
        <f t="shared" si="74"/>
        <v>0</v>
      </c>
    </row>
    <row r="4787" spans="1:14" x14ac:dyDescent="0.35">
      <c r="A4787">
        <v>4786</v>
      </c>
      <c r="B4787" t="s">
        <v>16</v>
      </c>
      <c r="C4787">
        <v>49</v>
      </c>
      <c r="D4787" t="s">
        <v>25</v>
      </c>
      <c r="E4787" t="s">
        <v>24</v>
      </c>
      <c r="F4787">
        <v>103</v>
      </c>
      <c r="G4787">
        <v>34</v>
      </c>
      <c r="H4787">
        <v>0.18</v>
      </c>
      <c r="I4787" t="s">
        <v>19</v>
      </c>
      <c r="J4787">
        <v>0</v>
      </c>
      <c r="K4787">
        <v>1</v>
      </c>
      <c r="L4787">
        <v>0</v>
      </c>
      <c r="M4787">
        <f>VLOOKUP(Table1[[#This Row],[subscription_type]],Plans!$A$1:$B$5,2,FALSE)</f>
        <v>4.99</v>
      </c>
      <c r="N4787">
        <f t="shared" si="74"/>
        <v>0</v>
      </c>
    </row>
    <row r="4788" spans="1:14" x14ac:dyDescent="0.35">
      <c r="A4788">
        <v>4787</v>
      </c>
      <c r="B4788" t="s">
        <v>16</v>
      </c>
      <c r="C4788">
        <v>59</v>
      </c>
      <c r="D4788" t="s">
        <v>27</v>
      </c>
      <c r="E4788" t="s">
        <v>14</v>
      </c>
      <c r="F4788">
        <v>224</v>
      </c>
      <c r="G4788">
        <v>92</v>
      </c>
      <c r="H4788">
        <v>0.36</v>
      </c>
      <c r="I4788" t="s">
        <v>19</v>
      </c>
      <c r="J4788">
        <v>10</v>
      </c>
      <c r="K4788">
        <v>0</v>
      </c>
      <c r="L4788">
        <v>0</v>
      </c>
      <c r="M4788">
        <f>VLOOKUP(Table1[[#This Row],[subscription_type]],Plans!$A$1:$B$5,2,FALSE)</f>
        <v>0</v>
      </c>
      <c r="N4788">
        <f t="shared" si="74"/>
        <v>0</v>
      </c>
    </row>
    <row r="4789" spans="1:14" x14ac:dyDescent="0.35">
      <c r="A4789">
        <v>4788</v>
      </c>
      <c r="B4789" t="s">
        <v>12</v>
      </c>
      <c r="C4789">
        <v>57</v>
      </c>
      <c r="D4789" t="s">
        <v>17</v>
      </c>
      <c r="E4789" t="s">
        <v>18</v>
      </c>
      <c r="F4789">
        <v>243</v>
      </c>
      <c r="G4789">
        <v>42</v>
      </c>
      <c r="H4789">
        <v>0.32</v>
      </c>
      <c r="I4789" t="s">
        <v>15</v>
      </c>
      <c r="J4789">
        <v>0</v>
      </c>
      <c r="K4789">
        <v>1</v>
      </c>
      <c r="L4789">
        <v>0</v>
      </c>
      <c r="M4789">
        <f>VLOOKUP(Table1[[#This Row],[subscription_type]],Plans!$A$1:$B$5,2,FALSE)</f>
        <v>14.99</v>
      </c>
      <c r="N4789">
        <f t="shared" si="74"/>
        <v>0</v>
      </c>
    </row>
    <row r="4790" spans="1:14" x14ac:dyDescent="0.35">
      <c r="A4790">
        <v>4789</v>
      </c>
      <c r="B4790" t="s">
        <v>20</v>
      </c>
      <c r="C4790">
        <v>34</v>
      </c>
      <c r="D4790" t="s">
        <v>21</v>
      </c>
      <c r="E4790" t="s">
        <v>14</v>
      </c>
      <c r="F4790">
        <v>17</v>
      </c>
      <c r="G4790">
        <v>82</v>
      </c>
      <c r="H4790">
        <v>0.48</v>
      </c>
      <c r="I4790" t="s">
        <v>15</v>
      </c>
      <c r="J4790">
        <v>19</v>
      </c>
      <c r="K4790">
        <v>0</v>
      </c>
      <c r="L4790">
        <v>0</v>
      </c>
      <c r="M4790">
        <f>VLOOKUP(Table1[[#This Row],[subscription_type]],Plans!$A$1:$B$5,2,FALSE)</f>
        <v>0</v>
      </c>
      <c r="N4790">
        <f t="shared" si="74"/>
        <v>0</v>
      </c>
    </row>
    <row r="4791" spans="1:14" x14ac:dyDescent="0.35">
      <c r="A4791">
        <v>4790</v>
      </c>
      <c r="B4791" t="s">
        <v>16</v>
      </c>
      <c r="C4791">
        <v>51</v>
      </c>
      <c r="D4791" t="s">
        <v>26</v>
      </c>
      <c r="E4791" t="s">
        <v>22</v>
      </c>
      <c r="F4791">
        <v>173</v>
      </c>
      <c r="G4791">
        <v>61</v>
      </c>
      <c r="H4791">
        <v>0.35</v>
      </c>
      <c r="I4791" t="s">
        <v>19</v>
      </c>
      <c r="J4791">
        <v>0</v>
      </c>
      <c r="K4791">
        <v>1</v>
      </c>
      <c r="L4791">
        <v>1</v>
      </c>
      <c r="M4791">
        <f>VLOOKUP(Table1[[#This Row],[subscription_type]],Plans!$A$1:$B$5,2,FALSE)</f>
        <v>9.99</v>
      </c>
      <c r="N4791">
        <f t="shared" si="74"/>
        <v>9.99</v>
      </c>
    </row>
    <row r="4792" spans="1:14" x14ac:dyDescent="0.35">
      <c r="A4792">
        <v>4791</v>
      </c>
      <c r="B4792" t="s">
        <v>16</v>
      </c>
      <c r="C4792">
        <v>46</v>
      </c>
      <c r="D4792" t="s">
        <v>28</v>
      </c>
      <c r="E4792" t="s">
        <v>22</v>
      </c>
      <c r="F4792">
        <v>97</v>
      </c>
      <c r="G4792">
        <v>56</v>
      </c>
      <c r="H4792">
        <v>0.26</v>
      </c>
      <c r="I4792" t="s">
        <v>15</v>
      </c>
      <c r="J4792">
        <v>0</v>
      </c>
      <c r="K4792">
        <v>1</v>
      </c>
      <c r="L4792">
        <v>0</v>
      </c>
      <c r="M4792">
        <f>VLOOKUP(Table1[[#This Row],[subscription_type]],Plans!$A$1:$B$5,2,FALSE)</f>
        <v>9.99</v>
      </c>
      <c r="N4792">
        <f t="shared" si="74"/>
        <v>0</v>
      </c>
    </row>
    <row r="4793" spans="1:14" x14ac:dyDescent="0.35">
      <c r="A4793">
        <v>4792</v>
      </c>
      <c r="B4793" t="s">
        <v>20</v>
      </c>
      <c r="C4793">
        <v>22</v>
      </c>
      <c r="D4793" t="s">
        <v>28</v>
      </c>
      <c r="E4793" t="s">
        <v>14</v>
      </c>
      <c r="F4793">
        <v>162</v>
      </c>
      <c r="G4793">
        <v>44</v>
      </c>
      <c r="H4793">
        <v>0.01</v>
      </c>
      <c r="I4793" t="s">
        <v>23</v>
      </c>
      <c r="J4793">
        <v>15</v>
      </c>
      <c r="K4793">
        <v>0</v>
      </c>
      <c r="L4793">
        <v>0</v>
      </c>
      <c r="M4793">
        <f>VLOOKUP(Table1[[#This Row],[subscription_type]],Plans!$A$1:$B$5,2,FALSE)</f>
        <v>0</v>
      </c>
      <c r="N4793">
        <f t="shared" si="74"/>
        <v>0</v>
      </c>
    </row>
    <row r="4794" spans="1:14" x14ac:dyDescent="0.35">
      <c r="A4794">
        <v>4793</v>
      </c>
      <c r="B4794" t="s">
        <v>16</v>
      </c>
      <c r="C4794">
        <v>52</v>
      </c>
      <c r="D4794" t="s">
        <v>17</v>
      </c>
      <c r="E4794" t="s">
        <v>14</v>
      </c>
      <c r="F4794">
        <v>147</v>
      </c>
      <c r="G4794">
        <v>9</v>
      </c>
      <c r="H4794">
        <v>0.11</v>
      </c>
      <c r="I4794" t="s">
        <v>19</v>
      </c>
      <c r="J4794">
        <v>21</v>
      </c>
      <c r="K4794">
        <v>0</v>
      </c>
      <c r="L4794">
        <v>0</v>
      </c>
      <c r="M4794">
        <f>VLOOKUP(Table1[[#This Row],[subscription_type]],Plans!$A$1:$B$5,2,FALSE)</f>
        <v>0</v>
      </c>
      <c r="N4794">
        <f t="shared" si="74"/>
        <v>0</v>
      </c>
    </row>
    <row r="4795" spans="1:14" x14ac:dyDescent="0.35">
      <c r="A4795">
        <v>4794</v>
      </c>
      <c r="B4795" t="s">
        <v>12</v>
      </c>
      <c r="C4795">
        <v>50</v>
      </c>
      <c r="D4795" t="s">
        <v>25</v>
      </c>
      <c r="E4795" t="s">
        <v>24</v>
      </c>
      <c r="F4795">
        <v>27</v>
      </c>
      <c r="G4795">
        <v>55</v>
      </c>
      <c r="H4795">
        <v>0.08</v>
      </c>
      <c r="I4795" t="s">
        <v>23</v>
      </c>
      <c r="J4795">
        <v>0</v>
      </c>
      <c r="K4795">
        <v>1</v>
      </c>
      <c r="L4795">
        <v>0</v>
      </c>
      <c r="M4795">
        <f>VLOOKUP(Table1[[#This Row],[subscription_type]],Plans!$A$1:$B$5,2,FALSE)</f>
        <v>4.99</v>
      </c>
      <c r="N4795">
        <f t="shared" si="74"/>
        <v>0</v>
      </c>
    </row>
    <row r="4796" spans="1:14" x14ac:dyDescent="0.35">
      <c r="A4796">
        <v>4795</v>
      </c>
      <c r="B4796" t="s">
        <v>20</v>
      </c>
      <c r="C4796">
        <v>27</v>
      </c>
      <c r="D4796" t="s">
        <v>25</v>
      </c>
      <c r="E4796" t="s">
        <v>14</v>
      </c>
      <c r="F4796">
        <v>88</v>
      </c>
      <c r="G4796">
        <v>52</v>
      </c>
      <c r="H4796">
        <v>0.1</v>
      </c>
      <c r="I4796" t="s">
        <v>19</v>
      </c>
      <c r="J4796">
        <v>10</v>
      </c>
      <c r="K4796">
        <v>0</v>
      </c>
      <c r="L4796">
        <v>0</v>
      </c>
      <c r="M4796">
        <f>VLOOKUP(Table1[[#This Row],[subscription_type]],Plans!$A$1:$B$5,2,FALSE)</f>
        <v>0</v>
      </c>
      <c r="N4796">
        <f t="shared" si="74"/>
        <v>0</v>
      </c>
    </row>
    <row r="4797" spans="1:14" x14ac:dyDescent="0.35">
      <c r="A4797">
        <v>4796</v>
      </c>
      <c r="B4797" t="s">
        <v>20</v>
      </c>
      <c r="C4797">
        <v>38</v>
      </c>
      <c r="D4797" t="s">
        <v>13</v>
      </c>
      <c r="E4797" t="s">
        <v>24</v>
      </c>
      <c r="F4797">
        <v>294</v>
      </c>
      <c r="G4797">
        <v>55</v>
      </c>
      <c r="H4797">
        <v>0.31</v>
      </c>
      <c r="I4797" t="s">
        <v>15</v>
      </c>
      <c r="J4797">
        <v>0</v>
      </c>
      <c r="K4797">
        <v>1</v>
      </c>
      <c r="L4797">
        <v>0</v>
      </c>
      <c r="M4797">
        <f>VLOOKUP(Table1[[#This Row],[subscription_type]],Plans!$A$1:$B$5,2,FALSE)</f>
        <v>4.99</v>
      </c>
      <c r="N4797">
        <f t="shared" si="74"/>
        <v>0</v>
      </c>
    </row>
    <row r="4798" spans="1:14" x14ac:dyDescent="0.35">
      <c r="A4798">
        <v>4797</v>
      </c>
      <c r="B4798" t="s">
        <v>20</v>
      </c>
      <c r="C4798">
        <v>59</v>
      </c>
      <c r="D4798" t="s">
        <v>21</v>
      </c>
      <c r="E4798" t="s">
        <v>18</v>
      </c>
      <c r="F4798">
        <v>235</v>
      </c>
      <c r="G4798">
        <v>46</v>
      </c>
      <c r="H4798">
        <v>0.3</v>
      </c>
      <c r="I4798" t="s">
        <v>23</v>
      </c>
      <c r="J4798">
        <v>0</v>
      </c>
      <c r="K4798">
        <v>1</v>
      </c>
      <c r="L4798">
        <v>1</v>
      </c>
      <c r="M4798">
        <f>VLOOKUP(Table1[[#This Row],[subscription_type]],Plans!$A$1:$B$5,2,FALSE)</f>
        <v>14.99</v>
      </c>
      <c r="N4798">
        <f t="shared" si="74"/>
        <v>14.99</v>
      </c>
    </row>
    <row r="4799" spans="1:14" x14ac:dyDescent="0.35">
      <c r="A4799">
        <v>4798</v>
      </c>
      <c r="B4799" t="s">
        <v>16</v>
      </c>
      <c r="C4799">
        <v>45</v>
      </c>
      <c r="D4799" t="s">
        <v>21</v>
      </c>
      <c r="E4799" t="s">
        <v>24</v>
      </c>
      <c r="F4799">
        <v>296</v>
      </c>
      <c r="G4799">
        <v>5</v>
      </c>
      <c r="H4799">
        <v>0.39</v>
      </c>
      <c r="I4799" t="s">
        <v>23</v>
      </c>
      <c r="J4799">
        <v>0</v>
      </c>
      <c r="K4799">
        <v>1</v>
      </c>
      <c r="L4799">
        <v>1</v>
      </c>
      <c r="M4799">
        <f>VLOOKUP(Table1[[#This Row],[subscription_type]],Plans!$A$1:$B$5,2,FALSE)</f>
        <v>4.99</v>
      </c>
      <c r="N4799">
        <f t="shared" si="74"/>
        <v>4.99</v>
      </c>
    </row>
    <row r="4800" spans="1:14" x14ac:dyDescent="0.35">
      <c r="A4800">
        <v>4799</v>
      </c>
      <c r="B4800" t="s">
        <v>16</v>
      </c>
      <c r="C4800">
        <v>31</v>
      </c>
      <c r="D4800" t="s">
        <v>26</v>
      </c>
      <c r="E4800" t="s">
        <v>22</v>
      </c>
      <c r="F4800">
        <v>249</v>
      </c>
      <c r="G4800">
        <v>86</v>
      </c>
      <c r="H4800">
        <v>0.56999999999999995</v>
      </c>
      <c r="I4800" t="s">
        <v>19</v>
      </c>
      <c r="J4800">
        <v>0</v>
      </c>
      <c r="K4800">
        <v>1</v>
      </c>
      <c r="L4800">
        <v>0</v>
      </c>
      <c r="M4800">
        <f>VLOOKUP(Table1[[#This Row],[subscription_type]],Plans!$A$1:$B$5,2,FALSE)</f>
        <v>9.99</v>
      </c>
      <c r="N4800">
        <f t="shared" si="74"/>
        <v>0</v>
      </c>
    </row>
    <row r="4801" spans="1:14" x14ac:dyDescent="0.35">
      <c r="A4801">
        <v>4800</v>
      </c>
      <c r="B4801" t="s">
        <v>20</v>
      </c>
      <c r="C4801">
        <v>22</v>
      </c>
      <c r="D4801" t="s">
        <v>29</v>
      </c>
      <c r="E4801" t="s">
        <v>18</v>
      </c>
      <c r="F4801">
        <v>197</v>
      </c>
      <c r="G4801">
        <v>85</v>
      </c>
      <c r="H4801">
        <v>0.03</v>
      </c>
      <c r="I4801" t="s">
        <v>23</v>
      </c>
      <c r="J4801">
        <v>0</v>
      </c>
      <c r="K4801">
        <v>1</v>
      </c>
      <c r="L4801">
        <v>0</v>
      </c>
      <c r="M4801">
        <f>VLOOKUP(Table1[[#This Row],[subscription_type]],Plans!$A$1:$B$5,2,FALSE)</f>
        <v>14.99</v>
      </c>
      <c r="N4801">
        <f t="shared" si="74"/>
        <v>0</v>
      </c>
    </row>
    <row r="4802" spans="1:14" x14ac:dyDescent="0.35">
      <c r="A4802">
        <v>4801</v>
      </c>
      <c r="B4802" t="s">
        <v>16</v>
      </c>
      <c r="C4802">
        <v>24</v>
      </c>
      <c r="D4802" t="s">
        <v>29</v>
      </c>
      <c r="E4802" t="s">
        <v>22</v>
      </c>
      <c r="F4802">
        <v>221</v>
      </c>
      <c r="G4802">
        <v>67</v>
      </c>
      <c r="H4802">
        <v>0.57999999999999996</v>
      </c>
      <c r="I4802" t="s">
        <v>23</v>
      </c>
      <c r="J4802">
        <v>0</v>
      </c>
      <c r="K4802">
        <v>1</v>
      </c>
      <c r="L4802">
        <v>0</v>
      </c>
      <c r="M4802">
        <f>VLOOKUP(Table1[[#This Row],[subscription_type]],Plans!$A$1:$B$5,2,FALSE)</f>
        <v>9.99</v>
      </c>
      <c r="N4802">
        <f t="shared" ref="N4802:N4865" si="75">IF(L4802=1, M4802,0)</f>
        <v>0</v>
      </c>
    </row>
    <row r="4803" spans="1:14" x14ac:dyDescent="0.35">
      <c r="A4803">
        <v>4802</v>
      </c>
      <c r="B4803" t="s">
        <v>12</v>
      </c>
      <c r="C4803">
        <v>44</v>
      </c>
      <c r="D4803" t="s">
        <v>28</v>
      </c>
      <c r="E4803" t="s">
        <v>14</v>
      </c>
      <c r="F4803">
        <v>46</v>
      </c>
      <c r="G4803">
        <v>20</v>
      </c>
      <c r="H4803">
        <v>0.23</v>
      </c>
      <c r="I4803" t="s">
        <v>15</v>
      </c>
      <c r="J4803">
        <v>32</v>
      </c>
      <c r="K4803">
        <v>0</v>
      </c>
      <c r="L4803">
        <v>0</v>
      </c>
      <c r="M4803">
        <f>VLOOKUP(Table1[[#This Row],[subscription_type]],Plans!$A$1:$B$5,2,FALSE)</f>
        <v>0</v>
      </c>
      <c r="N4803">
        <f t="shared" si="75"/>
        <v>0</v>
      </c>
    </row>
    <row r="4804" spans="1:14" x14ac:dyDescent="0.35">
      <c r="A4804">
        <v>4803</v>
      </c>
      <c r="B4804" t="s">
        <v>12</v>
      </c>
      <c r="C4804">
        <v>59</v>
      </c>
      <c r="D4804" t="s">
        <v>25</v>
      </c>
      <c r="E4804" t="s">
        <v>24</v>
      </c>
      <c r="F4804">
        <v>18</v>
      </c>
      <c r="G4804">
        <v>95</v>
      </c>
      <c r="H4804">
        <v>0.46</v>
      </c>
      <c r="I4804" t="s">
        <v>15</v>
      </c>
      <c r="J4804">
        <v>0</v>
      </c>
      <c r="K4804">
        <v>1</v>
      </c>
      <c r="L4804">
        <v>0</v>
      </c>
      <c r="M4804">
        <f>VLOOKUP(Table1[[#This Row],[subscription_type]],Plans!$A$1:$B$5,2,FALSE)</f>
        <v>4.99</v>
      </c>
      <c r="N4804">
        <f t="shared" si="75"/>
        <v>0</v>
      </c>
    </row>
    <row r="4805" spans="1:14" x14ac:dyDescent="0.35">
      <c r="A4805">
        <v>4804</v>
      </c>
      <c r="B4805" t="s">
        <v>16</v>
      </c>
      <c r="C4805">
        <v>34</v>
      </c>
      <c r="D4805" t="s">
        <v>28</v>
      </c>
      <c r="E4805" t="s">
        <v>22</v>
      </c>
      <c r="F4805">
        <v>105</v>
      </c>
      <c r="G4805">
        <v>24</v>
      </c>
      <c r="H4805">
        <v>0.57999999999999996</v>
      </c>
      <c r="I4805" t="s">
        <v>23</v>
      </c>
      <c r="J4805">
        <v>0</v>
      </c>
      <c r="K4805">
        <v>1</v>
      </c>
      <c r="L4805">
        <v>0</v>
      </c>
      <c r="M4805">
        <f>VLOOKUP(Table1[[#This Row],[subscription_type]],Plans!$A$1:$B$5,2,FALSE)</f>
        <v>9.99</v>
      </c>
      <c r="N4805">
        <f t="shared" si="75"/>
        <v>0</v>
      </c>
    </row>
    <row r="4806" spans="1:14" x14ac:dyDescent="0.35">
      <c r="A4806">
        <v>4805</v>
      </c>
      <c r="B4806" t="s">
        <v>20</v>
      </c>
      <c r="C4806">
        <v>28</v>
      </c>
      <c r="D4806" t="s">
        <v>25</v>
      </c>
      <c r="E4806" t="s">
        <v>24</v>
      </c>
      <c r="F4806">
        <v>256</v>
      </c>
      <c r="G4806">
        <v>84</v>
      </c>
      <c r="H4806">
        <v>0.21</v>
      </c>
      <c r="I4806" t="s">
        <v>23</v>
      </c>
      <c r="J4806">
        <v>0</v>
      </c>
      <c r="K4806">
        <v>1</v>
      </c>
      <c r="L4806">
        <v>0</v>
      </c>
      <c r="M4806">
        <f>VLOOKUP(Table1[[#This Row],[subscription_type]],Plans!$A$1:$B$5,2,FALSE)</f>
        <v>4.99</v>
      </c>
      <c r="N4806">
        <f t="shared" si="75"/>
        <v>0</v>
      </c>
    </row>
    <row r="4807" spans="1:14" x14ac:dyDescent="0.35">
      <c r="A4807">
        <v>4806</v>
      </c>
      <c r="B4807" t="s">
        <v>16</v>
      </c>
      <c r="C4807">
        <v>40</v>
      </c>
      <c r="D4807" t="s">
        <v>26</v>
      </c>
      <c r="E4807" t="s">
        <v>14</v>
      </c>
      <c r="F4807">
        <v>253</v>
      </c>
      <c r="G4807">
        <v>55</v>
      </c>
      <c r="H4807">
        <v>0.09</v>
      </c>
      <c r="I4807" t="s">
        <v>19</v>
      </c>
      <c r="J4807">
        <v>25</v>
      </c>
      <c r="K4807">
        <v>0</v>
      </c>
      <c r="L4807">
        <v>0</v>
      </c>
      <c r="M4807">
        <f>VLOOKUP(Table1[[#This Row],[subscription_type]],Plans!$A$1:$B$5,2,FALSE)</f>
        <v>0</v>
      </c>
      <c r="N4807">
        <f t="shared" si="75"/>
        <v>0</v>
      </c>
    </row>
    <row r="4808" spans="1:14" x14ac:dyDescent="0.35">
      <c r="A4808">
        <v>4807</v>
      </c>
      <c r="B4808" t="s">
        <v>12</v>
      </c>
      <c r="C4808">
        <v>33</v>
      </c>
      <c r="D4808" t="s">
        <v>13</v>
      </c>
      <c r="E4808" t="s">
        <v>14</v>
      </c>
      <c r="F4808">
        <v>27</v>
      </c>
      <c r="G4808">
        <v>66</v>
      </c>
      <c r="H4808">
        <v>0.4</v>
      </c>
      <c r="I4808" t="s">
        <v>15</v>
      </c>
      <c r="J4808">
        <v>28</v>
      </c>
      <c r="K4808">
        <v>0</v>
      </c>
      <c r="L4808">
        <v>1</v>
      </c>
      <c r="M4808">
        <f>VLOOKUP(Table1[[#This Row],[subscription_type]],Plans!$A$1:$B$5,2,FALSE)</f>
        <v>0</v>
      </c>
      <c r="N4808">
        <f t="shared" si="75"/>
        <v>0</v>
      </c>
    </row>
    <row r="4809" spans="1:14" x14ac:dyDescent="0.35">
      <c r="A4809">
        <v>4808</v>
      </c>
      <c r="B4809" t="s">
        <v>16</v>
      </c>
      <c r="C4809">
        <v>27</v>
      </c>
      <c r="D4809" t="s">
        <v>28</v>
      </c>
      <c r="E4809" t="s">
        <v>24</v>
      </c>
      <c r="F4809">
        <v>224</v>
      </c>
      <c r="G4809">
        <v>88</v>
      </c>
      <c r="H4809">
        <v>0.01</v>
      </c>
      <c r="I4809" t="s">
        <v>23</v>
      </c>
      <c r="J4809">
        <v>0</v>
      </c>
      <c r="K4809">
        <v>1</v>
      </c>
      <c r="L4809">
        <v>0</v>
      </c>
      <c r="M4809">
        <f>VLOOKUP(Table1[[#This Row],[subscription_type]],Plans!$A$1:$B$5,2,FALSE)</f>
        <v>4.99</v>
      </c>
      <c r="N4809">
        <f t="shared" si="75"/>
        <v>0</v>
      </c>
    </row>
    <row r="4810" spans="1:14" x14ac:dyDescent="0.35">
      <c r="A4810">
        <v>4809</v>
      </c>
      <c r="B4810" t="s">
        <v>16</v>
      </c>
      <c r="C4810">
        <v>56</v>
      </c>
      <c r="D4810" t="s">
        <v>17</v>
      </c>
      <c r="E4810" t="s">
        <v>24</v>
      </c>
      <c r="F4810">
        <v>24</v>
      </c>
      <c r="G4810">
        <v>29</v>
      </c>
      <c r="H4810">
        <v>0.16</v>
      </c>
      <c r="I4810" t="s">
        <v>19</v>
      </c>
      <c r="J4810">
        <v>0</v>
      </c>
      <c r="K4810">
        <v>1</v>
      </c>
      <c r="L4810">
        <v>0</v>
      </c>
      <c r="M4810">
        <f>VLOOKUP(Table1[[#This Row],[subscription_type]],Plans!$A$1:$B$5,2,FALSE)</f>
        <v>4.99</v>
      </c>
      <c r="N4810">
        <f t="shared" si="75"/>
        <v>0</v>
      </c>
    </row>
    <row r="4811" spans="1:14" x14ac:dyDescent="0.35">
      <c r="A4811">
        <v>4810</v>
      </c>
      <c r="B4811" t="s">
        <v>20</v>
      </c>
      <c r="C4811">
        <v>26</v>
      </c>
      <c r="D4811" t="s">
        <v>25</v>
      </c>
      <c r="E4811" t="s">
        <v>14</v>
      </c>
      <c r="F4811">
        <v>102</v>
      </c>
      <c r="G4811">
        <v>2</v>
      </c>
      <c r="H4811">
        <v>0.04</v>
      </c>
      <c r="I4811" t="s">
        <v>15</v>
      </c>
      <c r="J4811">
        <v>19</v>
      </c>
      <c r="K4811">
        <v>0</v>
      </c>
      <c r="L4811">
        <v>0</v>
      </c>
      <c r="M4811">
        <f>VLOOKUP(Table1[[#This Row],[subscription_type]],Plans!$A$1:$B$5,2,FALSE)</f>
        <v>0</v>
      </c>
      <c r="N4811">
        <f t="shared" si="75"/>
        <v>0</v>
      </c>
    </row>
    <row r="4812" spans="1:14" x14ac:dyDescent="0.35">
      <c r="A4812">
        <v>4811</v>
      </c>
      <c r="B4812" t="s">
        <v>12</v>
      </c>
      <c r="C4812">
        <v>54</v>
      </c>
      <c r="D4812" t="s">
        <v>28</v>
      </c>
      <c r="E4812" t="s">
        <v>22</v>
      </c>
      <c r="F4812">
        <v>231</v>
      </c>
      <c r="G4812">
        <v>41</v>
      </c>
      <c r="H4812">
        <v>0.15</v>
      </c>
      <c r="I4812" t="s">
        <v>23</v>
      </c>
      <c r="J4812">
        <v>0</v>
      </c>
      <c r="K4812">
        <v>1</v>
      </c>
      <c r="L4812">
        <v>0</v>
      </c>
      <c r="M4812">
        <f>VLOOKUP(Table1[[#This Row],[subscription_type]],Plans!$A$1:$B$5,2,FALSE)</f>
        <v>9.99</v>
      </c>
      <c r="N4812">
        <f t="shared" si="75"/>
        <v>0</v>
      </c>
    </row>
    <row r="4813" spans="1:14" x14ac:dyDescent="0.35">
      <c r="A4813">
        <v>4812</v>
      </c>
      <c r="B4813" t="s">
        <v>12</v>
      </c>
      <c r="C4813">
        <v>32</v>
      </c>
      <c r="D4813" t="s">
        <v>21</v>
      </c>
      <c r="E4813" t="s">
        <v>18</v>
      </c>
      <c r="F4813">
        <v>275</v>
      </c>
      <c r="G4813">
        <v>95</v>
      </c>
      <c r="H4813">
        <v>0.1</v>
      </c>
      <c r="I4813" t="s">
        <v>19</v>
      </c>
      <c r="J4813">
        <v>0</v>
      </c>
      <c r="K4813">
        <v>1</v>
      </c>
      <c r="L4813">
        <v>0</v>
      </c>
      <c r="M4813">
        <f>VLOOKUP(Table1[[#This Row],[subscription_type]],Plans!$A$1:$B$5,2,FALSE)</f>
        <v>14.99</v>
      </c>
      <c r="N4813">
        <f t="shared" si="75"/>
        <v>0</v>
      </c>
    </row>
    <row r="4814" spans="1:14" x14ac:dyDescent="0.35">
      <c r="A4814">
        <v>4813</v>
      </c>
      <c r="B4814" t="s">
        <v>12</v>
      </c>
      <c r="C4814">
        <v>26</v>
      </c>
      <c r="D4814" t="s">
        <v>29</v>
      </c>
      <c r="E4814" t="s">
        <v>14</v>
      </c>
      <c r="F4814">
        <v>70</v>
      </c>
      <c r="G4814">
        <v>7</v>
      </c>
      <c r="H4814">
        <v>0.5</v>
      </c>
      <c r="I4814" t="s">
        <v>15</v>
      </c>
      <c r="J4814">
        <v>30</v>
      </c>
      <c r="K4814">
        <v>0</v>
      </c>
      <c r="L4814">
        <v>0</v>
      </c>
      <c r="M4814">
        <f>VLOOKUP(Table1[[#This Row],[subscription_type]],Plans!$A$1:$B$5,2,FALSE)</f>
        <v>0</v>
      </c>
      <c r="N4814">
        <f t="shared" si="75"/>
        <v>0</v>
      </c>
    </row>
    <row r="4815" spans="1:14" x14ac:dyDescent="0.35">
      <c r="A4815">
        <v>4814</v>
      </c>
      <c r="B4815" t="s">
        <v>20</v>
      </c>
      <c r="C4815">
        <v>45</v>
      </c>
      <c r="D4815" t="s">
        <v>21</v>
      </c>
      <c r="E4815" t="s">
        <v>14</v>
      </c>
      <c r="F4815">
        <v>247</v>
      </c>
      <c r="G4815">
        <v>79</v>
      </c>
      <c r="H4815">
        <v>0.06</v>
      </c>
      <c r="I4815" t="s">
        <v>19</v>
      </c>
      <c r="J4815">
        <v>13</v>
      </c>
      <c r="K4815">
        <v>0</v>
      </c>
      <c r="L4815">
        <v>0</v>
      </c>
      <c r="M4815">
        <f>VLOOKUP(Table1[[#This Row],[subscription_type]],Plans!$A$1:$B$5,2,FALSE)</f>
        <v>0</v>
      </c>
      <c r="N4815">
        <f t="shared" si="75"/>
        <v>0</v>
      </c>
    </row>
    <row r="4816" spans="1:14" x14ac:dyDescent="0.35">
      <c r="A4816">
        <v>4815</v>
      </c>
      <c r="B4816" t="s">
        <v>12</v>
      </c>
      <c r="C4816">
        <v>58</v>
      </c>
      <c r="D4816" t="s">
        <v>13</v>
      </c>
      <c r="E4816" t="s">
        <v>14</v>
      </c>
      <c r="F4816">
        <v>290</v>
      </c>
      <c r="G4816">
        <v>49</v>
      </c>
      <c r="H4816">
        <v>0.14000000000000001</v>
      </c>
      <c r="I4816" t="s">
        <v>23</v>
      </c>
      <c r="J4816">
        <v>44</v>
      </c>
      <c r="K4816">
        <v>0</v>
      </c>
      <c r="L4816">
        <v>1</v>
      </c>
      <c r="M4816">
        <f>VLOOKUP(Table1[[#This Row],[subscription_type]],Plans!$A$1:$B$5,2,FALSE)</f>
        <v>0</v>
      </c>
      <c r="N4816">
        <f t="shared" si="75"/>
        <v>0</v>
      </c>
    </row>
    <row r="4817" spans="1:14" x14ac:dyDescent="0.35">
      <c r="A4817">
        <v>4816</v>
      </c>
      <c r="B4817" t="s">
        <v>20</v>
      </c>
      <c r="C4817">
        <v>32</v>
      </c>
      <c r="D4817" t="s">
        <v>29</v>
      </c>
      <c r="E4817" t="s">
        <v>18</v>
      </c>
      <c r="F4817">
        <v>50</v>
      </c>
      <c r="G4817">
        <v>80</v>
      </c>
      <c r="H4817">
        <v>7.0000000000000007E-2</v>
      </c>
      <c r="I4817" t="s">
        <v>15</v>
      </c>
      <c r="J4817">
        <v>0</v>
      </c>
      <c r="K4817">
        <v>1</v>
      </c>
      <c r="L4817">
        <v>0</v>
      </c>
      <c r="M4817">
        <f>VLOOKUP(Table1[[#This Row],[subscription_type]],Plans!$A$1:$B$5,2,FALSE)</f>
        <v>14.99</v>
      </c>
      <c r="N4817">
        <f t="shared" si="75"/>
        <v>0</v>
      </c>
    </row>
    <row r="4818" spans="1:14" x14ac:dyDescent="0.35">
      <c r="A4818">
        <v>4817</v>
      </c>
      <c r="B4818" t="s">
        <v>20</v>
      </c>
      <c r="C4818">
        <v>40</v>
      </c>
      <c r="D4818" t="s">
        <v>28</v>
      </c>
      <c r="E4818" t="s">
        <v>18</v>
      </c>
      <c r="F4818">
        <v>50</v>
      </c>
      <c r="G4818">
        <v>39</v>
      </c>
      <c r="H4818">
        <v>0.2</v>
      </c>
      <c r="I4818" t="s">
        <v>23</v>
      </c>
      <c r="J4818">
        <v>0</v>
      </c>
      <c r="K4818">
        <v>1</v>
      </c>
      <c r="L4818">
        <v>0</v>
      </c>
      <c r="M4818">
        <f>VLOOKUP(Table1[[#This Row],[subscription_type]],Plans!$A$1:$B$5,2,FALSE)</f>
        <v>14.99</v>
      </c>
      <c r="N4818">
        <f t="shared" si="75"/>
        <v>0</v>
      </c>
    </row>
    <row r="4819" spans="1:14" x14ac:dyDescent="0.35">
      <c r="A4819">
        <v>4818</v>
      </c>
      <c r="B4819" t="s">
        <v>16</v>
      </c>
      <c r="C4819">
        <v>44</v>
      </c>
      <c r="D4819" t="s">
        <v>17</v>
      </c>
      <c r="E4819" t="s">
        <v>24</v>
      </c>
      <c r="F4819">
        <v>254</v>
      </c>
      <c r="G4819">
        <v>33</v>
      </c>
      <c r="H4819">
        <v>0.04</v>
      </c>
      <c r="I4819" t="s">
        <v>19</v>
      </c>
      <c r="J4819">
        <v>0</v>
      </c>
      <c r="K4819">
        <v>1</v>
      </c>
      <c r="L4819">
        <v>1</v>
      </c>
      <c r="M4819">
        <f>VLOOKUP(Table1[[#This Row],[subscription_type]],Plans!$A$1:$B$5,2,FALSE)</f>
        <v>4.99</v>
      </c>
      <c r="N4819">
        <f t="shared" si="75"/>
        <v>4.99</v>
      </c>
    </row>
    <row r="4820" spans="1:14" x14ac:dyDescent="0.35">
      <c r="A4820">
        <v>4819</v>
      </c>
      <c r="B4820" t="s">
        <v>20</v>
      </c>
      <c r="C4820">
        <v>17</v>
      </c>
      <c r="D4820" t="s">
        <v>26</v>
      </c>
      <c r="E4820" t="s">
        <v>24</v>
      </c>
      <c r="F4820">
        <v>166</v>
      </c>
      <c r="G4820">
        <v>53</v>
      </c>
      <c r="H4820">
        <v>0.32</v>
      </c>
      <c r="I4820" t="s">
        <v>15</v>
      </c>
      <c r="J4820">
        <v>0</v>
      </c>
      <c r="K4820">
        <v>1</v>
      </c>
      <c r="L4820">
        <v>0</v>
      </c>
      <c r="M4820">
        <f>VLOOKUP(Table1[[#This Row],[subscription_type]],Plans!$A$1:$B$5,2,FALSE)</f>
        <v>4.99</v>
      </c>
      <c r="N4820">
        <f t="shared" si="75"/>
        <v>0</v>
      </c>
    </row>
    <row r="4821" spans="1:14" x14ac:dyDescent="0.35">
      <c r="A4821">
        <v>4820</v>
      </c>
      <c r="B4821" t="s">
        <v>16</v>
      </c>
      <c r="C4821">
        <v>29</v>
      </c>
      <c r="D4821" t="s">
        <v>13</v>
      </c>
      <c r="E4821" t="s">
        <v>14</v>
      </c>
      <c r="F4821">
        <v>262</v>
      </c>
      <c r="G4821">
        <v>28</v>
      </c>
      <c r="H4821">
        <v>0.4</v>
      </c>
      <c r="I4821" t="s">
        <v>15</v>
      </c>
      <c r="J4821">
        <v>9</v>
      </c>
      <c r="K4821">
        <v>0</v>
      </c>
      <c r="L4821">
        <v>0</v>
      </c>
      <c r="M4821">
        <f>VLOOKUP(Table1[[#This Row],[subscription_type]],Plans!$A$1:$B$5,2,FALSE)</f>
        <v>0</v>
      </c>
      <c r="N4821">
        <f t="shared" si="75"/>
        <v>0</v>
      </c>
    </row>
    <row r="4822" spans="1:14" x14ac:dyDescent="0.35">
      <c r="A4822">
        <v>4821</v>
      </c>
      <c r="B4822" t="s">
        <v>12</v>
      </c>
      <c r="C4822">
        <v>47</v>
      </c>
      <c r="D4822" t="s">
        <v>28</v>
      </c>
      <c r="E4822" t="s">
        <v>22</v>
      </c>
      <c r="F4822">
        <v>208</v>
      </c>
      <c r="G4822">
        <v>48</v>
      </c>
      <c r="H4822">
        <v>0.38</v>
      </c>
      <c r="I4822" t="s">
        <v>23</v>
      </c>
      <c r="J4822">
        <v>0</v>
      </c>
      <c r="K4822">
        <v>1</v>
      </c>
      <c r="L4822">
        <v>1</v>
      </c>
      <c r="M4822">
        <f>VLOOKUP(Table1[[#This Row],[subscription_type]],Plans!$A$1:$B$5,2,FALSE)</f>
        <v>9.99</v>
      </c>
      <c r="N4822">
        <f t="shared" si="75"/>
        <v>9.99</v>
      </c>
    </row>
    <row r="4823" spans="1:14" x14ac:dyDescent="0.35">
      <c r="A4823">
        <v>4822</v>
      </c>
      <c r="B4823" t="s">
        <v>12</v>
      </c>
      <c r="C4823">
        <v>24</v>
      </c>
      <c r="D4823" t="s">
        <v>26</v>
      </c>
      <c r="E4823" t="s">
        <v>18</v>
      </c>
      <c r="F4823">
        <v>36</v>
      </c>
      <c r="G4823">
        <v>47</v>
      </c>
      <c r="H4823">
        <v>0.08</v>
      </c>
      <c r="I4823" t="s">
        <v>15</v>
      </c>
      <c r="J4823">
        <v>0</v>
      </c>
      <c r="K4823">
        <v>1</v>
      </c>
      <c r="L4823">
        <v>0</v>
      </c>
      <c r="M4823">
        <f>VLOOKUP(Table1[[#This Row],[subscription_type]],Plans!$A$1:$B$5,2,FALSE)</f>
        <v>14.99</v>
      </c>
      <c r="N4823">
        <f t="shared" si="75"/>
        <v>0</v>
      </c>
    </row>
    <row r="4824" spans="1:14" x14ac:dyDescent="0.35">
      <c r="A4824">
        <v>4823</v>
      </c>
      <c r="B4824" t="s">
        <v>20</v>
      </c>
      <c r="C4824">
        <v>59</v>
      </c>
      <c r="D4824" t="s">
        <v>21</v>
      </c>
      <c r="E4824" t="s">
        <v>24</v>
      </c>
      <c r="F4824">
        <v>207</v>
      </c>
      <c r="G4824">
        <v>9</v>
      </c>
      <c r="H4824">
        <v>0.06</v>
      </c>
      <c r="I4824" t="s">
        <v>23</v>
      </c>
      <c r="J4824">
        <v>0</v>
      </c>
      <c r="K4824">
        <v>1</v>
      </c>
      <c r="L4824">
        <v>0</v>
      </c>
      <c r="M4824">
        <f>VLOOKUP(Table1[[#This Row],[subscription_type]],Plans!$A$1:$B$5,2,FALSE)</f>
        <v>4.99</v>
      </c>
      <c r="N4824">
        <f t="shared" si="75"/>
        <v>0</v>
      </c>
    </row>
    <row r="4825" spans="1:14" x14ac:dyDescent="0.35">
      <c r="A4825">
        <v>4824</v>
      </c>
      <c r="B4825" t="s">
        <v>16</v>
      </c>
      <c r="C4825">
        <v>21</v>
      </c>
      <c r="D4825" t="s">
        <v>13</v>
      </c>
      <c r="E4825" t="s">
        <v>14</v>
      </c>
      <c r="F4825">
        <v>281</v>
      </c>
      <c r="G4825">
        <v>84</v>
      </c>
      <c r="H4825">
        <v>0.34</v>
      </c>
      <c r="I4825" t="s">
        <v>23</v>
      </c>
      <c r="J4825">
        <v>5</v>
      </c>
      <c r="K4825">
        <v>0</v>
      </c>
      <c r="L4825">
        <v>0</v>
      </c>
      <c r="M4825">
        <f>VLOOKUP(Table1[[#This Row],[subscription_type]],Plans!$A$1:$B$5,2,FALSE)</f>
        <v>0</v>
      </c>
      <c r="N4825">
        <f t="shared" si="75"/>
        <v>0</v>
      </c>
    </row>
    <row r="4826" spans="1:14" x14ac:dyDescent="0.35">
      <c r="A4826">
        <v>4825</v>
      </c>
      <c r="B4826" t="s">
        <v>12</v>
      </c>
      <c r="C4826">
        <v>17</v>
      </c>
      <c r="D4826" t="s">
        <v>28</v>
      </c>
      <c r="E4826" t="s">
        <v>24</v>
      </c>
      <c r="F4826">
        <v>50</v>
      </c>
      <c r="G4826">
        <v>19</v>
      </c>
      <c r="H4826">
        <v>0.32</v>
      </c>
      <c r="I4826" t="s">
        <v>15</v>
      </c>
      <c r="J4826">
        <v>0</v>
      </c>
      <c r="K4826">
        <v>1</v>
      </c>
      <c r="L4826">
        <v>0</v>
      </c>
      <c r="M4826">
        <f>VLOOKUP(Table1[[#This Row],[subscription_type]],Plans!$A$1:$B$5,2,FALSE)</f>
        <v>4.99</v>
      </c>
      <c r="N4826">
        <f t="shared" si="75"/>
        <v>0</v>
      </c>
    </row>
    <row r="4827" spans="1:14" x14ac:dyDescent="0.35">
      <c r="A4827">
        <v>4826</v>
      </c>
      <c r="B4827" t="s">
        <v>20</v>
      </c>
      <c r="C4827">
        <v>42</v>
      </c>
      <c r="D4827" t="s">
        <v>26</v>
      </c>
      <c r="E4827" t="s">
        <v>24</v>
      </c>
      <c r="F4827">
        <v>80</v>
      </c>
      <c r="G4827">
        <v>71</v>
      </c>
      <c r="H4827">
        <v>0.34</v>
      </c>
      <c r="I4827" t="s">
        <v>15</v>
      </c>
      <c r="J4827">
        <v>0</v>
      </c>
      <c r="K4827">
        <v>1</v>
      </c>
      <c r="L4827">
        <v>1</v>
      </c>
      <c r="M4827">
        <f>VLOOKUP(Table1[[#This Row],[subscription_type]],Plans!$A$1:$B$5,2,FALSE)</f>
        <v>4.99</v>
      </c>
      <c r="N4827">
        <f t="shared" si="75"/>
        <v>4.99</v>
      </c>
    </row>
    <row r="4828" spans="1:14" x14ac:dyDescent="0.35">
      <c r="A4828">
        <v>4827</v>
      </c>
      <c r="B4828" t="s">
        <v>12</v>
      </c>
      <c r="C4828">
        <v>24</v>
      </c>
      <c r="D4828" t="s">
        <v>27</v>
      </c>
      <c r="E4828" t="s">
        <v>22</v>
      </c>
      <c r="F4828">
        <v>17</v>
      </c>
      <c r="G4828">
        <v>88</v>
      </c>
      <c r="H4828">
        <v>0</v>
      </c>
      <c r="I4828" t="s">
        <v>15</v>
      </c>
      <c r="J4828">
        <v>0</v>
      </c>
      <c r="K4828">
        <v>1</v>
      </c>
      <c r="L4828">
        <v>0</v>
      </c>
      <c r="M4828">
        <f>VLOOKUP(Table1[[#This Row],[subscription_type]],Plans!$A$1:$B$5,2,FALSE)</f>
        <v>9.99</v>
      </c>
      <c r="N4828">
        <f t="shared" si="75"/>
        <v>0</v>
      </c>
    </row>
    <row r="4829" spans="1:14" x14ac:dyDescent="0.35">
      <c r="A4829">
        <v>4828</v>
      </c>
      <c r="B4829" t="s">
        <v>20</v>
      </c>
      <c r="C4829">
        <v>28</v>
      </c>
      <c r="D4829" t="s">
        <v>29</v>
      </c>
      <c r="E4829" t="s">
        <v>18</v>
      </c>
      <c r="F4829">
        <v>267</v>
      </c>
      <c r="G4829">
        <v>64</v>
      </c>
      <c r="H4829">
        <v>0.02</v>
      </c>
      <c r="I4829" t="s">
        <v>15</v>
      </c>
      <c r="J4829">
        <v>0</v>
      </c>
      <c r="K4829">
        <v>1</v>
      </c>
      <c r="L4829">
        <v>1</v>
      </c>
      <c r="M4829">
        <f>VLOOKUP(Table1[[#This Row],[subscription_type]],Plans!$A$1:$B$5,2,FALSE)</f>
        <v>14.99</v>
      </c>
      <c r="N4829">
        <f t="shared" si="75"/>
        <v>14.99</v>
      </c>
    </row>
    <row r="4830" spans="1:14" x14ac:dyDescent="0.35">
      <c r="A4830">
        <v>4829</v>
      </c>
      <c r="B4830" t="s">
        <v>12</v>
      </c>
      <c r="C4830">
        <v>26</v>
      </c>
      <c r="D4830" t="s">
        <v>28</v>
      </c>
      <c r="E4830" t="s">
        <v>18</v>
      </c>
      <c r="F4830">
        <v>126</v>
      </c>
      <c r="G4830">
        <v>41</v>
      </c>
      <c r="H4830">
        <v>0.2</v>
      </c>
      <c r="I4830" t="s">
        <v>23</v>
      </c>
      <c r="J4830">
        <v>0</v>
      </c>
      <c r="K4830">
        <v>1</v>
      </c>
      <c r="L4830">
        <v>0</v>
      </c>
      <c r="M4830">
        <f>VLOOKUP(Table1[[#This Row],[subscription_type]],Plans!$A$1:$B$5,2,FALSE)</f>
        <v>14.99</v>
      </c>
      <c r="N4830">
        <f t="shared" si="75"/>
        <v>0</v>
      </c>
    </row>
    <row r="4831" spans="1:14" x14ac:dyDescent="0.35">
      <c r="A4831">
        <v>4830</v>
      </c>
      <c r="B4831" t="s">
        <v>20</v>
      </c>
      <c r="C4831">
        <v>50</v>
      </c>
      <c r="D4831" t="s">
        <v>27</v>
      </c>
      <c r="E4831" t="s">
        <v>14</v>
      </c>
      <c r="F4831">
        <v>53</v>
      </c>
      <c r="G4831">
        <v>5</v>
      </c>
      <c r="H4831">
        <v>0.36</v>
      </c>
      <c r="I4831" t="s">
        <v>23</v>
      </c>
      <c r="J4831">
        <v>11</v>
      </c>
      <c r="K4831">
        <v>0</v>
      </c>
      <c r="L4831">
        <v>1</v>
      </c>
      <c r="M4831">
        <f>VLOOKUP(Table1[[#This Row],[subscription_type]],Plans!$A$1:$B$5,2,FALSE)</f>
        <v>0</v>
      </c>
      <c r="N4831">
        <f t="shared" si="75"/>
        <v>0</v>
      </c>
    </row>
    <row r="4832" spans="1:14" x14ac:dyDescent="0.35">
      <c r="A4832">
        <v>4831</v>
      </c>
      <c r="B4832" t="s">
        <v>20</v>
      </c>
      <c r="C4832">
        <v>21</v>
      </c>
      <c r="D4832" t="s">
        <v>25</v>
      </c>
      <c r="E4832" t="s">
        <v>14</v>
      </c>
      <c r="F4832">
        <v>113</v>
      </c>
      <c r="G4832">
        <v>70</v>
      </c>
      <c r="H4832">
        <v>7.0000000000000007E-2</v>
      </c>
      <c r="I4832" t="s">
        <v>19</v>
      </c>
      <c r="J4832">
        <v>9</v>
      </c>
      <c r="K4832">
        <v>0</v>
      </c>
      <c r="L4832">
        <v>0</v>
      </c>
      <c r="M4832">
        <f>VLOOKUP(Table1[[#This Row],[subscription_type]],Plans!$A$1:$B$5,2,FALSE)</f>
        <v>0</v>
      </c>
      <c r="N4832">
        <f t="shared" si="75"/>
        <v>0</v>
      </c>
    </row>
    <row r="4833" spans="1:14" x14ac:dyDescent="0.35">
      <c r="A4833">
        <v>4832</v>
      </c>
      <c r="B4833" t="s">
        <v>16</v>
      </c>
      <c r="C4833">
        <v>51</v>
      </c>
      <c r="D4833" t="s">
        <v>29</v>
      </c>
      <c r="E4833" t="s">
        <v>24</v>
      </c>
      <c r="F4833">
        <v>165</v>
      </c>
      <c r="G4833">
        <v>43</v>
      </c>
      <c r="H4833">
        <v>0.39</v>
      </c>
      <c r="I4833" t="s">
        <v>19</v>
      </c>
      <c r="J4833">
        <v>0</v>
      </c>
      <c r="K4833">
        <v>1</v>
      </c>
      <c r="L4833">
        <v>1</v>
      </c>
      <c r="M4833">
        <f>VLOOKUP(Table1[[#This Row],[subscription_type]],Plans!$A$1:$B$5,2,FALSE)</f>
        <v>4.99</v>
      </c>
      <c r="N4833">
        <f t="shared" si="75"/>
        <v>4.99</v>
      </c>
    </row>
    <row r="4834" spans="1:14" x14ac:dyDescent="0.35">
      <c r="A4834">
        <v>4833</v>
      </c>
      <c r="B4834" t="s">
        <v>20</v>
      </c>
      <c r="C4834">
        <v>30</v>
      </c>
      <c r="D4834" t="s">
        <v>21</v>
      </c>
      <c r="E4834" t="s">
        <v>22</v>
      </c>
      <c r="F4834">
        <v>43</v>
      </c>
      <c r="G4834">
        <v>99</v>
      </c>
      <c r="H4834">
        <v>0.51</v>
      </c>
      <c r="I4834" t="s">
        <v>19</v>
      </c>
      <c r="J4834">
        <v>0</v>
      </c>
      <c r="K4834">
        <v>1</v>
      </c>
      <c r="L4834">
        <v>0</v>
      </c>
      <c r="M4834">
        <f>VLOOKUP(Table1[[#This Row],[subscription_type]],Plans!$A$1:$B$5,2,FALSE)</f>
        <v>9.99</v>
      </c>
      <c r="N4834">
        <f t="shared" si="75"/>
        <v>0</v>
      </c>
    </row>
    <row r="4835" spans="1:14" x14ac:dyDescent="0.35">
      <c r="A4835">
        <v>4834</v>
      </c>
      <c r="B4835" t="s">
        <v>16</v>
      </c>
      <c r="C4835">
        <v>48</v>
      </c>
      <c r="D4835" t="s">
        <v>25</v>
      </c>
      <c r="E4835" t="s">
        <v>18</v>
      </c>
      <c r="F4835">
        <v>243</v>
      </c>
      <c r="G4835">
        <v>65</v>
      </c>
      <c r="H4835">
        <v>0.23</v>
      </c>
      <c r="I4835" t="s">
        <v>19</v>
      </c>
      <c r="J4835">
        <v>0</v>
      </c>
      <c r="K4835">
        <v>1</v>
      </c>
      <c r="L4835">
        <v>0</v>
      </c>
      <c r="M4835">
        <f>VLOOKUP(Table1[[#This Row],[subscription_type]],Plans!$A$1:$B$5,2,FALSE)</f>
        <v>14.99</v>
      </c>
      <c r="N4835">
        <f t="shared" si="75"/>
        <v>0</v>
      </c>
    </row>
    <row r="4836" spans="1:14" x14ac:dyDescent="0.35">
      <c r="A4836">
        <v>4835</v>
      </c>
      <c r="B4836" t="s">
        <v>12</v>
      </c>
      <c r="C4836">
        <v>19</v>
      </c>
      <c r="D4836" t="s">
        <v>26</v>
      </c>
      <c r="E4836" t="s">
        <v>22</v>
      </c>
      <c r="F4836">
        <v>192</v>
      </c>
      <c r="G4836">
        <v>79</v>
      </c>
      <c r="H4836">
        <v>0.22</v>
      </c>
      <c r="I4836" t="s">
        <v>19</v>
      </c>
      <c r="J4836">
        <v>0</v>
      </c>
      <c r="K4836">
        <v>1</v>
      </c>
      <c r="L4836">
        <v>0</v>
      </c>
      <c r="M4836">
        <f>VLOOKUP(Table1[[#This Row],[subscription_type]],Plans!$A$1:$B$5,2,FALSE)</f>
        <v>9.99</v>
      </c>
      <c r="N4836">
        <f t="shared" si="75"/>
        <v>0</v>
      </c>
    </row>
    <row r="4837" spans="1:14" x14ac:dyDescent="0.35">
      <c r="A4837">
        <v>4836</v>
      </c>
      <c r="B4837" t="s">
        <v>16</v>
      </c>
      <c r="C4837">
        <v>53</v>
      </c>
      <c r="D4837" t="s">
        <v>21</v>
      </c>
      <c r="E4837" t="s">
        <v>24</v>
      </c>
      <c r="F4837">
        <v>151</v>
      </c>
      <c r="G4837">
        <v>22</v>
      </c>
      <c r="H4837">
        <v>0.54</v>
      </c>
      <c r="I4837" t="s">
        <v>23</v>
      </c>
      <c r="J4837">
        <v>0</v>
      </c>
      <c r="K4837">
        <v>1</v>
      </c>
      <c r="L4837">
        <v>1</v>
      </c>
      <c r="M4837">
        <f>VLOOKUP(Table1[[#This Row],[subscription_type]],Plans!$A$1:$B$5,2,FALSE)</f>
        <v>4.99</v>
      </c>
      <c r="N4837">
        <f t="shared" si="75"/>
        <v>4.99</v>
      </c>
    </row>
    <row r="4838" spans="1:14" x14ac:dyDescent="0.35">
      <c r="A4838">
        <v>4837</v>
      </c>
      <c r="B4838" t="s">
        <v>20</v>
      </c>
      <c r="C4838">
        <v>30</v>
      </c>
      <c r="D4838" t="s">
        <v>26</v>
      </c>
      <c r="E4838" t="s">
        <v>18</v>
      </c>
      <c r="F4838">
        <v>23</v>
      </c>
      <c r="G4838">
        <v>55</v>
      </c>
      <c r="H4838">
        <v>0.12</v>
      </c>
      <c r="I4838" t="s">
        <v>23</v>
      </c>
      <c r="J4838">
        <v>0</v>
      </c>
      <c r="K4838">
        <v>1</v>
      </c>
      <c r="L4838">
        <v>0</v>
      </c>
      <c r="M4838">
        <f>VLOOKUP(Table1[[#This Row],[subscription_type]],Plans!$A$1:$B$5,2,FALSE)</f>
        <v>14.99</v>
      </c>
      <c r="N4838">
        <f t="shared" si="75"/>
        <v>0</v>
      </c>
    </row>
    <row r="4839" spans="1:14" x14ac:dyDescent="0.35">
      <c r="A4839">
        <v>4838</v>
      </c>
      <c r="B4839" t="s">
        <v>12</v>
      </c>
      <c r="C4839">
        <v>16</v>
      </c>
      <c r="D4839" t="s">
        <v>28</v>
      </c>
      <c r="E4839" t="s">
        <v>18</v>
      </c>
      <c r="F4839">
        <v>188</v>
      </c>
      <c r="G4839">
        <v>95</v>
      </c>
      <c r="H4839">
        <v>0.25</v>
      </c>
      <c r="I4839" t="s">
        <v>15</v>
      </c>
      <c r="J4839">
        <v>0</v>
      </c>
      <c r="K4839">
        <v>1</v>
      </c>
      <c r="L4839">
        <v>0</v>
      </c>
      <c r="M4839">
        <f>VLOOKUP(Table1[[#This Row],[subscription_type]],Plans!$A$1:$B$5,2,FALSE)</f>
        <v>14.99</v>
      </c>
      <c r="N4839">
        <f t="shared" si="75"/>
        <v>0</v>
      </c>
    </row>
    <row r="4840" spans="1:14" x14ac:dyDescent="0.35">
      <c r="A4840">
        <v>4839</v>
      </c>
      <c r="B4840" t="s">
        <v>20</v>
      </c>
      <c r="C4840">
        <v>39</v>
      </c>
      <c r="D4840" t="s">
        <v>28</v>
      </c>
      <c r="E4840" t="s">
        <v>22</v>
      </c>
      <c r="F4840">
        <v>125</v>
      </c>
      <c r="G4840">
        <v>43</v>
      </c>
      <c r="H4840">
        <v>0.42</v>
      </c>
      <c r="I4840" t="s">
        <v>23</v>
      </c>
      <c r="J4840">
        <v>0</v>
      </c>
      <c r="K4840">
        <v>1</v>
      </c>
      <c r="L4840">
        <v>1</v>
      </c>
      <c r="M4840">
        <f>VLOOKUP(Table1[[#This Row],[subscription_type]],Plans!$A$1:$B$5,2,FALSE)</f>
        <v>9.99</v>
      </c>
      <c r="N4840">
        <f t="shared" si="75"/>
        <v>9.99</v>
      </c>
    </row>
    <row r="4841" spans="1:14" x14ac:dyDescent="0.35">
      <c r="A4841">
        <v>4840</v>
      </c>
      <c r="B4841" t="s">
        <v>16</v>
      </c>
      <c r="C4841">
        <v>51</v>
      </c>
      <c r="D4841" t="s">
        <v>21</v>
      </c>
      <c r="E4841" t="s">
        <v>22</v>
      </c>
      <c r="F4841">
        <v>264</v>
      </c>
      <c r="G4841">
        <v>94</v>
      </c>
      <c r="H4841">
        <v>0.49</v>
      </c>
      <c r="I4841" t="s">
        <v>23</v>
      </c>
      <c r="J4841">
        <v>0</v>
      </c>
      <c r="K4841">
        <v>1</v>
      </c>
      <c r="L4841">
        <v>1</v>
      </c>
      <c r="M4841">
        <f>VLOOKUP(Table1[[#This Row],[subscription_type]],Plans!$A$1:$B$5,2,FALSE)</f>
        <v>9.99</v>
      </c>
      <c r="N4841">
        <f t="shared" si="75"/>
        <v>9.99</v>
      </c>
    </row>
    <row r="4842" spans="1:14" x14ac:dyDescent="0.35">
      <c r="A4842">
        <v>4841</v>
      </c>
      <c r="B4842" t="s">
        <v>20</v>
      </c>
      <c r="C4842">
        <v>33</v>
      </c>
      <c r="D4842" t="s">
        <v>13</v>
      </c>
      <c r="E4842" t="s">
        <v>14</v>
      </c>
      <c r="F4842">
        <v>253</v>
      </c>
      <c r="G4842">
        <v>67</v>
      </c>
      <c r="H4842">
        <v>0.54</v>
      </c>
      <c r="I4842" t="s">
        <v>23</v>
      </c>
      <c r="J4842">
        <v>34</v>
      </c>
      <c r="K4842">
        <v>0</v>
      </c>
      <c r="L4842">
        <v>0</v>
      </c>
      <c r="M4842">
        <f>VLOOKUP(Table1[[#This Row],[subscription_type]],Plans!$A$1:$B$5,2,FALSE)</f>
        <v>0</v>
      </c>
      <c r="N4842">
        <f t="shared" si="75"/>
        <v>0</v>
      </c>
    </row>
    <row r="4843" spans="1:14" x14ac:dyDescent="0.35">
      <c r="A4843">
        <v>4842</v>
      </c>
      <c r="B4843" t="s">
        <v>20</v>
      </c>
      <c r="C4843">
        <v>34</v>
      </c>
      <c r="D4843" t="s">
        <v>28</v>
      </c>
      <c r="E4843" t="s">
        <v>24</v>
      </c>
      <c r="F4843">
        <v>48</v>
      </c>
      <c r="G4843">
        <v>87</v>
      </c>
      <c r="H4843">
        <v>0.04</v>
      </c>
      <c r="I4843" t="s">
        <v>19</v>
      </c>
      <c r="J4843">
        <v>0</v>
      </c>
      <c r="K4843">
        <v>1</v>
      </c>
      <c r="L4843">
        <v>0</v>
      </c>
      <c r="M4843">
        <f>VLOOKUP(Table1[[#This Row],[subscription_type]],Plans!$A$1:$B$5,2,FALSE)</f>
        <v>4.99</v>
      </c>
      <c r="N4843">
        <f t="shared" si="75"/>
        <v>0</v>
      </c>
    </row>
    <row r="4844" spans="1:14" x14ac:dyDescent="0.35">
      <c r="A4844">
        <v>4843</v>
      </c>
      <c r="B4844" t="s">
        <v>20</v>
      </c>
      <c r="C4844">
        <v>41</v>
      </c>
      <c r="D4844" t="s">
        <v>13</v>
      </c>
      <c r="E4844" t="s">
        <v>18</v>
      </c>
      <c r="F4844">
        <v>17</v>
      </c>
      <c r="G4844">
        <v>95</v>
      </c>
      <c r="H4844">
        <v>0.23</v>
      </c>
      <c r="I4844" t="s">
        <v>23</v>
      </c>
      <c r="J4844">
        <v>0</v>
      </c>
      <c r="K4844">
        <v>1</v>
      </c>
      <c r="L4844">
        <v>0</v>
      </c>
      <c r="M4844">
        <f>VLOOKUP(Table1[[#This Row],[subscription_type]],Plans!$A$1:$B$5,2,FALSE)</f>
        <v>14.99</v>
      </c>
      <c r="N4844">
        <f t="shared" si="75"/>
        <v>0</v>
      </c>
    </row>
    <row r="4845" spans="1:14" x14ac:dyDescent="0.35">
      <c r="A4845">
        <v>4844</v>
      </c>
      <c r="B4845" t="s">
        <v>16</v>
      </c>
      <c r="C4845">
        <v>57</v>
      </c>
      <c r="D4845" t="s">
        <v>25</v>
      </c>
      <c r="E4845" t="s">
        <v>24</v>
      </c>
      <c r="F4845">
        <v>76</v>
      </c>
      <c r="G4845">
        <v>92</v>
      </c>
      <c r="H4845">
        <v>0.51</v>
      </c>
      <c r="I4845" t="s">
        <v>23</v>
      </c>
      <c r="J4845">
        <v>0</v>
      </c>
      <c r="K4845">
        <v>1</v>
      </c>
      <c r="L4845">
        <v>0</v>
      </c>
      <c r="M4845">
        <f>VLOOKUP(Table1[[#This Row],[subscription_type]],Plans!$A$1:$B$5,2,FALSE)</f>
        <v>4.99</v>
      </c>
      <c r="N4845">
        <f t="shared" si="75"/>
        <v>0</v>
      </c>
    </row>
    <row r="4846" spans="1:14" x14ac:dyDescent="0.35">
      <c r="A4846">
        <v>4845</v>
      </c>
      <c r="B4846" t="s">
        <v>20</v>
      </c>
      <c r="C4846">
        <v>24</v>
      </c>
      <c r="D4846" t="s">
        <v>21</v>
      </c>
      <c r="E4846" t="s">
        <v>14</v>
      </c>
      <c r="F4846">
        <v>239</v>
      </c>
      <c r="G4846">
        <v>37</v>
      </c>
      <c r="H4846">
        <v>0.27</v>
      </c>
      <c r="I4846" t="s">
        <v>15</v>
      </c>
      <c r="J4846">
        <v>36</v>
      </c>
      <c r="K4846">
        <v>0</v>
      </c>
      <c r="L4846">
        <v>1</v>
      </c>
      <c r="M4846">
        <f>VLOOKUP(Table1[[#This Row],[subscription_type]],Plans!$A$1:$B$5,2,FALSE)</f>
        <v>0</v>
      </c>
      <c r="N4846">
        <f t="shared" si="75"/>
        <v>0</v>
      </c>
    </row>
    <row r="4847" spans="1:14" x14ac:dyDescent="0.35">
      <c r="A4847">
        <v>4846</v>
      </c>
      <c r="B4847" t="s">
        <v>20</v>
      </c>
      <c r="C4847">
        <v>24</v>
      </c>
      <c r="D4847" t="s">
        <v>27</v>
      </c>
      <c r="E4847" t="s">
        <v>22</v>
      </c>
      <c r="F4847">
        <v>98</v>
      </c>
      <c r="G4847">
        <v>36</v>
      </c>
      <c r="H4847">
        <v>0.28999999999999998</v>
      </c>
      <c r="I4847" t="s">
        <v>15</v>
      </c>
      <c r="J4847">
        <v>0</v>
      </c>
      <c r="K4847">
        <v>1</v>
      </c>
      <c r="L4847">
        <v>0</v>
      </c>
      <c r="M4847">
        <f>VLOOKUP(Table1[[#This Row],[subscription_type]],Plans!$A$1:$B$5,2,FALSE)</f>
        <v>9.99</v>
      </c>
      <c r="N4847">
        <f t="shared" si="75"/>
        <v>0</v>
      </c>
    </row>
    <row r="4848" spans="1:14" x14ac:dyDescent="0.35">
      <c r="A4848">
        <v>4847</v>
      </c>
      <c r="B4848" t="s">
        <v>16</v>
      </c>
      <c r="C4848">
        <v>26</v>
      </c>
      <c r="D4848" t="s">
        <v>21</v>
      </c>
      <c r="E4848" t="s">
        <v>14</v>
      </c>
      <c r="F4848">
        <v>229</v>
      </c>
      <c r="G4848">
        <v>61</v>
      </c>
      <c r="H4848">
        <v>0.28999999999999998</v>
      </c>
      <c r="I4848" t="s">
        <v>15</v>
      </c>
      <c r="J4848">
        <v>15</v>
      </c>
      <c r="K4848">
        <v>0</v>
      </c>
      <c r="L4848">
        <v>0</v>
      </c>
      <c r="M4848">
        <f>VLOOKUP(Table1[[#This Row],[subscription_type]],Plans!$A$1:$B$5,2,FALSE)</f>
        <v>0</v>
      </c>
      <c r="N4848">
        <f t="shared" si="75"/>
        <v>0</v>
      </c>
    </row>
    <row r="4849" spans="1:14" x14ac:dyDescent="0.35">
      <c r="A4849">
        <v>4848</v>
      </c>
      <c r="B4849" t="s">
        <v>16</v>
      </c>
      <c r="C4849">
        <v>17</v>
      </c>
      <c r="D4849" t="s">
        <v>17</v>
      </c>
      <c r="E4849" t="s">
        <v>18</v>
      </c>
      <c r="F4849">
        <v>296</v>
      </c>
      <c r="G4849">
        <v>80</v>
      </c>
      <c r="H4849">
        <v>0.02</v>
      </c>
      <c r="I4849" t="s">
        <v>23</v>
      </c>
      <c r="J4849">
        <v>0</v>
      </c>
      <c r="K4849">
        <v>1</v>
      </c>
      <c r="L4849">
        <v>0</v>
      </c>
      <c r="M4849">
        <f>VLOOKUP(Table1[[#This Row],[subscription_type]],Plans!$A$1:$B$5,2,FALSE)</f>
        <v>14.99</v>
      </c>
      <c r="N4849">
        <f t="shared" si="75"/>
        <v>0</v>
      </c>
    </row>
    <row r="4850" spans="1:14" x14ac:dyDescent="0.35">
      <c r="A4850">
        <v>4849</v>
      </c>
      <c r="B4850" t="s">
        <v>12</v>
      </c>
      <c r="C4850">
        <v>26</v>
      </c>
      <c r="D4850" t="s">
        <v>13</v>
      </c>
      <c r="E4850" t="s">
        <v>18</v>
      </c>
      <c r="F4850">
        <v>235</v>
      </c>
      <c r="G4850">
        <v>51</v>
      </c>
      <c r="H4850">
        <v>0.08</v>
      </c>
      <c r="I4850" t="s">
        <v>23</v>
      </c>
      <c r="J4850">
        <v>0</v>
      </c>
      <c r="K4850">
        <v>1</v>
      </c>
      <c r="L4850">
        <v>0</v>
      </c>
      <c r="M4850">
        <f>VLOOKUP(Table1[[#This Row],[subscription_type]],Plans!$A$1:$B$5,2,FALSE)</f>
        <v>14.99</v>
      </c>
      <c r="N4850">
        <f t="shared" si="75"/>
        <v>0</v>
      </c>
    </row>
    <row r="4851" spans="1:14" x14ac:dyDescent="0.35">
      <c r="A4851">
        <v>4850</v>
      </c>
      <c r="B4851" t="s">
        <v>20</v>
      </c>
      <c r="C4851">
        <v>45</v>
      </c>
      <c r="D4851" t="s">
        <v>27</v>
      </c>
      <c r="E4851" t="s">
        <v>22</v>
      </c>
      <c r="F4851">
        <v>49</v>
      </c>
      <c r="G4851">
        <v>96</v>
      </c>
      <c r="H4851">
        <v>0.14000000000000001</v>
      </c>
      <c r="I4851" t="s">
        <v>15</v>
      </c>
      <c r="J4851">
        <v>0</v>
      </c>
      <c r="K4851">
        <v>1</v>
      </c>
      <c r="L4851">
        <v>1</v>
      </c>
      <c r="M4851">
        <f>VLOOKUP(Table1[[#This Row],[subscription_type]],Plans!$A$1:$B$5,2,FALSE)</f>
        <v>9.99</v>
      </c>
      <c r="N4851">
        <f t="shared" si="75"/>
        <v>9.99</v>
      </c>
    </row>
    <row r="4852" spans="1:14" x14ac:dyDescent="0.35">
      <c r="A4852">
        <v>4851</v>
      </c>
      <c r="B4852" t="s">
        <v>12</v>
      </c>
      <c r="C4852">
        <v>49</v>
      </c>
      <c r="D4852" t="s">
        <v>27</v>
      </c>
      <c r="E4852" t="s">
        <v>24</v>
      </c>
      <c r="F4852">
        <v>221</v>
      </c>
      <c r="G4852">
        <v>82</v>
      </c>
      <c r="H4852">
        <v>0.59</v>
      </c>
      <c r="I4852" t="s">
        <v>23</v>
      </c>
      <c r="J4852">
        <v>0</v>
      </c>
      <c r="K4852">
        <v>1</v>
      </c>
      <c r="L4852">
        <v>1</v>
      </c>
      <c r="M4852">
        <f>VLOOKUP(Table1[[#This Row],[subscription_type]],Plans!$A$1:$B$5,2,FALSE)</f>
        <v>4.99</v>
      </c>
      <c r="N4852">
        <f t="shared" si="75"/>
        <v>4.99</v>
      </c>
    </row>
    <row r="4853" spans="1:14" x14ac:dyDescent="0.35">
      <c r="A4853">
        <v>4852</v>
      </c>
      <c r="B4853" t="s">
        <v>20</v>
      </c>
      <c r="C4853">
        <v>48</v>
      </c>
      <c r="D4853" t="s">
        <v>17</v>
      </c>
      <c r="E4853" t="s">
        <v>18</v>
      </c>
      <c r="F4853">
        <v>103</v>
      </c>
      <c r="G4853">
        <v>80</v>
      </c>
      <c r="H4853">
        <v>0.24</v>
      </c>
      <c r="I4853" t="s">
        <v>15</v>
      </c>
      <c r="J4853">
        <v>0</v>
      </c>
      <c r="K4853">
        <v>1</v>
      </c>
      <c r="L4853">
        <v>0</v>
      </c>
      <c r="M4853">
        <f>VLOOKUP(Table1[[#This Row],[subscription_type]],Plans!$A$1:$B$5,2,FALSE)</f>
        <v>14.99</v>
      </c>
      <c r="N4853">
        <f t="shared" si="75"/>
        <v>0</v>
      </c>
    </row>
    <row r="4854" spans="1:14" x14ac:dyDescent="0.35">
      <c r="A4854">
        <v>4853</v>
      </c>
      <c r="B4854" t="s">
        <v>20</v>
      </c>
      <c r="C4854">
        <v>18</v>
      </c>
      <c r="D4854" t="s">
        <v>17</v>
      </c>
      <c r="E4854" t="s">
        <v>22</v>
      </c>
      <c r="F4854">
        <v>72</v>
      </c>
      <c r="G4854">
        <v>11</v>
      </c>
      <c r="H4854">
        <v>0.46</v>
      </c>
      <c r="I4854" t="s">
        <v>19</v>
      </c>
      <c r="J4854">
        <v>0</v>
      </c>
      <c r="K4854">
        <v>1</v>
      </c>
      <c r="L4854">
        <v>1</v>
      </c>
      <c r="M4854">
        <f>VLOOKUP(Table1[[#This Row],[subscription_type]],Plans!$A$1:$B$5,2,FALSE)</f>
        <v>9.99</v>
      </c>
      <c r="N4854">
        <f t="shared" si="75"/>
        <v>9.99</v>
      </c>
    </row>
    <row r="4855" spans="1:14" x14ac:dyDescent="0.35">
      <c r="A4855">
        <v>4854</v>
      </c>
      <c r="B4855" t="s">
        <v>16</v>
      </c>
      <c r="C4855">
        <v>23</v>
      </c>
      <c r="D4855" t="s">
        <v>27</v>
      </c>
      <c r="E4855" t="s">
        <v>14</v>
      </c>
      <c r="F4855">
        <v>256</v>
      </c>
      <c r="G4855">
        <v>3</v>
      </c>
      <c r="H4855">
        <v>0.38</v>
      </c>
      <c r="I4855" t="s">
        <v>23</v>
      </c>
      <c r="J4855">
        <v>11</v>
      </c>
      <c r="K4855">
        <v>0</v>
      </c>
      <c r="L4855">
        <v>0</v>
      </c>
      <c r="M4855">
        <f>VLOOKUP(Table1[[#This Row],[subscription_type]],Plans!$A$1:$B$5,2,FALSE)</f>
        <v>0</v>
      </c>
      <c r="N4855">
        <f t="shared" si="75"/>
        <v>0</v>
      </c>
    </row>
    <row r="4856" spans="1:14" x14ac:dyDescent="0.35">
      <c r="A4856">
        <v>4855</v>
      </c>
      <c r="B4856" t="s">
        <v>12</v>
      </c>
      <c r="C4856">
        <v>45</v>
      </c>
      <c r="D4856" t="s">
        <v>27</v>
      </c>
      <c r="E4856" t="s">
        <v>18</v>
      </c>
      <c r="F4856">
        <v>18</v>
      </c>
      <c r="G4856">
        <v>79</v>
      </c>
      <c r="H4856">
        <v>0.3</v>
      </c>
      <c r="I4856" t="s">
        <v>23</v>
      </c>
      <c r="J4856">
        <v>0</v>
      </c>
      <c r="K4856">
        <v>1</v>
      </c>
      <c r="L4856">
        <v>0</v>
      </c>
      <c r="M4856">
        <f>VLOOKUP(Table1[[#This Row],[subscription_type]],Plans!$A$1:$B$5,2,FALSE)</f>
        <v>14.99</v>
      </c>
      <c r="N4856">
        <f t="shared" si="75"/>
        <v>0</v>
      </c>
    </row>
    <row r="4857" spans="1:14" x14ac:dyDescent="0.35">
      <c r="A4857">
        <v>4856</v>
      </c>
      <c r="B4857" t="s">
        <v>16</v>
      </c>
      <c r="C4857">
        <v>58</v>
      </c>
      <c r="D4857" t="s">
        <v>27</v>
      </c>
      <c r="E4857" t="s">
        <v>24</v>
      </c>
      <c r="F4857">
        <v>204</v>
      </c>
      <c r="G4857">
        <v>98</v>
      </c>
      <c r="H4857">
        <v>0.09</v>
      </c>
      <c r="I4857" t="s">
        <v>19</v>
      </c>
      <c r="J4857">
        <v>0</v>
      </c>
      <c r="K4857">
        <v>1</v>
      </c>
      <c r="L4857">
        <v>0</v>
      </c>
      <c r="M4857">
        <f>VLOOKUP(Table1[[#This Row],[subscription_type]],Plans!$A$1:$B$5,2,FALSE)</f>
        <v>4.99</v>
      </c>
      <c r="N4857">
        <f t="shared" si="75"/>
        <v>0</v>
      </c>
    </row>
    <row r="4858" spans="1:14" x14ac:dyDescent="0.35">
      <c r="A4858">
        <v>4857</v>
      </c>
      <c r="B4858" t="s">
        <v>20</v>
      </c>
      <c r="C4858">
        <v>28</v>
      </c>
      <c r="D4858" t="s">
        <v>13</v>
      </c>
      <c r="E4858" t="s">
        <v>22</v>
      </c>
      <c r="F4858">
        <v>22</v>
      </c>
      <c r="G4858">
        <v>59</v>
      </c>
      <c r="H4858">
        <v>0.22</v>
      </c>
      <c r="I4858" t="s">
        <v>19</v>
      </c>
      <c r="J4858">
        <v>0</v>
      </c>
      <c r="K4858">
        <v>1</v>
      </c>
      <c r="L4858">
        <v>0</v>
      </c>
      <c r="M4858">
        <f>VLOOKUP(Table1[[#This Row],[subscription_type]],Plans!$A$1:$B$5,2,FALSE)</f>
        <v>9.99</v>
      </c>
      <c r="N4858">
        <f t="shared" si="75"/>
        <v>0</v>
      </c>
    </row>
    <row r="4859" spans="1:14" x14ac:dyDescent="0.35">
      <c r="A4859">
        <v>4858</v>
      </c>
      <c r="B4859" t="s">
        <v>20</v>
      </c>
      <c r="C4859">
        <v>48</v>
      </c>
      <c r="D4859" t="s">
        <v>26</v>
      </c>
      <c r="E4859" t="s">
        <v>18</v>
      </c>
      <c r="F4859">
        <v>68</v>
      </c>
      <c r="G4859">
        <v>35</v>
      </c>
      <c r="H4859">
        <v>0.28999999999999998</v>
      </c>
      <c r="I4859" t="s">
        <v>19</v>
      </c>
      <c r="J4859">
        <v>0</v>
      </c>
      <c r="K4859">
        <v>1</v>
      </c>
      <c r="L4859">
        <v>0</v>
      </c>
      <c r="M4859">
        <f>VLOOKUP(Table1[[#This Row],[subscription_type]],Plans!$A$1:$B$5,2,FALSE)</f>
        <v>14.99</v>
      </c>
      <c r="N4859">
        <f t="shared" si="75"/>
        <v>0</v>
      </c>
    </row>
    <row r="4860" spans="1:14" x14ac:dyDescent="0.35">
      <c r="A4860">
        <v>4859</v>
      </c>
      <c r="B4860" t="s">
        <v>20</v>
      </c>
      <c r="C4860">
        <v>18</v>
      </c>
      <c r="D4860" t="s">
        <v>25</v>
      </c>
      <c r="E4860" t="s">
        <v>24</v>
      </c>
      <c r="F4860">
        <v>23</v>
      </c>
      <c r="G4860">
        <v>58</v>
      </c>
      <c r="H4860">
        <v>0.5</v>
      </c>
      <c r="I4860" t="s">
        <v>15</v>
      </c>
      <c r="J4860">
        <v>0</v>
      </c>
      <c r="K4860">
        <v>1</v>
      </c>
      <c r="L4860">
        <v>0</v>
      </c>
      <c r="M4860">
        <f>VLOOKUP(Table1[[#This Row],[subscription_type]],Plans!$A$1:$B$5,2,FALSE)</f>
        <v>4.99</v>
      </c>
      <c r="N4860">
        <f t="shared" si="75"/>
        <v>0</v>
      </c>
    </row>
    <row r="4861" spans="1:14" x14ac:dyDescent="0.35">
      <c r="A4861">
        <v>4860</v>
      </c>
      <c r="B4861" t="s">
        <v>20</v>
      </c>
      <c r="C4861">
        <v>47</v>
      </c>
      <c r="D4861" t="s">
        <v>26</v>
      </c>
      <c r="E4861" t="s">
        <v>14</v>
      </c>
      <c r="F4861">
        <v>75</v>
      </c>
      <c r="G4861">
        <v>72</v>
      </c>
      <c r="H4861">
        <v>0</v>
      </c>
      <c r="I4861" t="s">
        <v>15</v>
      </c>
      <c r="J4861">
        <v>38</v>
      </c>
      <c r="K4861">
        <v>0</v>
      </c>
      <c r="L4861">
        <v>0</v>
      </c>
      <c r="M4861">
        <f>VLOOKUP(Table1[[#This Row],[subscription_type]],Plans!$A$1:$B$5,2,FALSE)</f>
        <v>0</v>
      </c>
      <c r="N4861">
        <f t="shared" si="75"/>
        <v>0</v>
      </c>
    </row>
    <row r="4862" spans="1:14" x14ac:dyDescent="0.35">
      <c r="A4862">
        <v>4861</v>
      </c>
      <c r="B4862" t="s">
        <v>12</v>
      </c>
      <c r="C4862">
        <v>48</v>
      </c>
      <c r="D4862" t="s">
        <v>29</v>
      </c>
      <c r="E4862" t="s">
        <v>18</v>
      </c>
      <c r="F4862">
        <v>131</v>
      </c>
      <c r="G4862">
        <v>45</v>
      </c>
      <c r="H4862">
        <v>0.28999999999999998</v>
      </c>
      <c r="I4862" t="s">
        <v>19</v>
      </c>
      <c r="J4862">
        <v>0</v>
      </c>
      <c r="K4862">
        <v>1</v>
      </c>
      <c r="L4862">
        <v>0</v>
      </c>
      <c r="M4862">
        <f>VLOOKUP(Table1[[#This Row],[subscription_type]],Plans!$A$1:$B$5,2,FALSE)</f>
        <v>14.99</v>
      </c>
      <c r="N4862">
        <f t="shared" si="75"/>
        <v>0</v>
      </c>
    </row>
    <row r="4863" spans="1:14" x14ac:dyDescent="0.35">
      <c r="A4863">
        <v>4862</v>
      </c>
      <c r="B4863" t="s">
        <v>20</v>
      </c>
      <c r="C4863">
        <v>22</v>
      </c>
      <c r="D4863" t="s">
        <v>25</v>
      </c>
      <c r="E4863" t="s">
        <v>24</v>
      </c>
      <c r="F4863">
        <v>42</v>
      </c>
      <c r="G4863">
        <v>78</v>
      </c>
      <c r="H4863">
        <v>0.26</v>
      </c>
      <c r="I4863" t="s">
        <v>19</v>
      </c>
      <c r="J4863">
        <v>0</v>
      </c>
      <c r="K4863">
        <v>1</v>
      </c>
      <c r="L4863">
        <v>0</v>
      </c>
      <c r="M4863">
        <f>VLOOKUP(Table1[[#This Row],[subscription_type]],Plans!$A$1:$B$5,2,FALSE)</f>
        <v>4.99</v>
      </c>
      <c r="N4863">
        <f t="shared" si="75"/>
        <v>0</v>
      </c>
    </row>
    <row r="4864" spans="1:14" x14ac:dyDescent="0.35">
      <c r="A4864">
        <v>4863</v>
      </c>
      <c r="B4864" t="s">
        <v>20</v>
      </c>
      <c r="C4864">
        <v>38</v>
      </c>
      <c r="D4864" t="s">
        <v>21</v>
      </c>
      <c r="E4864" t="s">
        <v>22</v>
      </c>
      <c r="F4864">
        <v>96</v>
      </c>
      <c r="G4864">
        <v>90</v>
      </c>
      <c r="H4864">
        <v>7.0000000000000007E-2</v>
      </c>
      <c r="I4864" t="s">
        <v>15</v>
      </c>
      <c r="J4864">
        <v>0</v>
      </c>
      <c r="K4864">
        <v>1</v>
      </c>
      <c r="L4864">
        <v>0</v>
      </c>
      <c r="M4864">
        <f>VLOOKUP(Table1[[#This Row],[subscription_type]],Plans!$A$1:$B$5,2,FALSE)</f>
        <v>9.99</v>
      </c>
      <c r="N4864">
        <f t="shared" si="75"/>
        <v>0</v>
      </c>
    </row>
    <row r="4865" spans="1:14" x14ac:dyDescent="0.35">
      <c r="A4865">
        <v>4864</v>
      </c>
      <c r="B4865" t="s">
        <v>20</v>
      </c>
      <c r="C4865">
        <v>24</v>
      </c>
      <c r="D4865" t="s">
        <v>25</v>
      </c>
      <c r="E4865" t="s">
        <v>14</v>
      </c>
      <c r="F4865">
        <v>114</v>
      </c>
      <c r="G4865">
        <v>88</v>
      </c>
      <c r="H4865">
        <v>0.35</v>
      </c>
      <c r="I4865" t="s">
        <v>23</v>
      </c>
      <c r="J4865">
        <v>33</v>
      </c>
      <c r="K4865">
        <v>0</v>
      </c>
      <c r="L4865">
        <v>0</v>
      </c>
      <c r="M4865">
        <f>VLOOKUP(Table1[[#This Row],[subscription_type]],Plans!$A$1:$B$5,2,FALSE)</f>
        <v>0</v>
      </c>
      <c r="N4865">
        <f t="shared" si="75"/>
        <v>0</v>
      </c>
    </row>
    <row r="4866" spans="1:14" x14ac:dyDescent="0.35">
      <c r="A4866">
        <v>4865</v>
      </c>
      <c r="B4866" t="s">
        <v>12</v>
      </c>
      <c r="C4866">
        <v>26</v>
      </c>
      <c r="D4866" t="s">
        <v>29</v>
      </c>
      <c r="E4866" t="s">
        <v>24</v>
      </c>
      <c r="F4866">
        <v>12</v>
      </c>
      <c r="G4866">
        <v>97</v>
      </c>
      <c r="H4866">
        <v>0.14000000000000001</v>
      </c>
      <c r="I4866" t="s">
        <v>19</v>
      </c>
      <c r="J4866">
        <v>0</v>
      </c>
      <c r="K4866">
        <v>1</v>
      </c>
      <c r="L4866">
        <v>1</v>
      </c>
      <c r="M4866">
        <f>VLOOKUP(Table1[[#This Row],[subscription_type]],Plans!$A$1:$B$5,2,FALSE)</f>
        <v>4.99</v>
      </c>
      <c r="N4866">
        <f t="shared" ref="N4866:N4929" si="76">IF(L4866=1, M4866,0)</f>
        <v>4.99</v>
      </c>
    </row>
    <row r="4867" spans="1:14" x14ac:dyDescent="0.35">
      <c r="A4867">
        <v>4866</v>
      </c>
      <c r="B4867" t="s">
        <v>16</v>
      </c>
      <c r="C4867">
        <v>40</v>
      </c>
      <c r="D4867" t="s">
        <v>25</v>
      </c>
      <c r="E4867" t="s">
        <v>22</v>
      </c>
      <c r="F4867">
        <v>295</v>
      </c>
      <c r="G4867">
        <v>82</v>
      </c>
      <c r="H4867">
        <v>0.41</v>
      </c>
      <c r="I4867" t="s">
        <v>19</v>
      </c>
      <c r="J4867">
        <v>0</v>
      </c>
      <c r="K4867">
        <v>1</v>
      </c>
      <c r="L4867">
        <v>1</v>
      </c>
      <c r="M4867">
        <f>VLOOKUP(Table1[[#This Row],[subscription_type]],Plans!$A$1:$B$5,2,FALSE)</f>
        <v>9.99</v>
      </c>
      <c r="N4867">
        <f t="shared" si="76"/>
        <v>9.99</v>
      </c>
    </row>
    <row r="4868" spans="1:14" x14ac:dyDescent="0.35">
      <c r="A4868">
        <v>4867</v>
      </c>
      <c r="B4868" t="s">
        <v>20</v>
      </c>
      <c r="C4868">
        <v>53</v>
      </c>
      <c r="D4868" t="s">
        <v>26</v>
      </c>
      <c r="E4868" t="s">
        <v>18</v>
      </c>
      <c r="F4868">
        <v>79</v>
      </c>
      <c r="G4868">
        <v>25</v>
      </c>
      <c r="H4868">
        <v>0.39</v>
      </c>
      <c r="I4868" t="s">
        <v>15</v>
      </c>
      <c r="J4868">
        <v>0</v>
      </c>
      <c r="K4868">
        <v>1</v>
      </c>
      <c r="L4868">
        <v>0</v>
      </c>
      <c r="M4868">
        <f>VLOOKUP(Table1[[#This Row],[subscription_type]],Plans!$A$1:$B$5,2,FALSE)</f>
        <v>14.99</v>
      </c>
      <c r="N4868">
        <f t="shared" si="76"/>
        <v>0</v>
      </c>
    </row>
    <row r="4869" spans="1:14" x14ac:dyDescent="0.35">
      <c r="A4869">
        <v>4868</v>
      </c>
      <c r="B4869" t="s">
        <v>20</v>
      </c>
      <c r="C4869">
        <v>21</v>
      </c>
      <c r="D4869" t="s">
        <v>26</v>
      </c>
      <c r="E4869" t="s">
        <v>14</v>
      </c>
      <c r="F4869">
        <v>41</v>
      </c>
      <c r="G4869">
        <v>32</v>
      </c>
      <c r="H4869">
        <v>0.46</v>
      </c>
      <c r="I4869" t="s">
        <v>15</v>
      </c>
      <c r="J4869">
        <v>44</v>
      </c>
      <c r="K4869">
        <v>0</v>
      </c>
      <c r="L4869">
        <v>0</v>
      </c>
      <c r="M4869">
        <f>VLOOKUP(Table1[[#This Row],[subscription_type]],Plans!$A$1:$B$5,2,FALSE)</f>
        <v>0</v>
      </c>
      <c r="N4869">
        <f t="shared" si="76"/>
        <v>0</v>
      </c>
    </row>
    <row r="4870" spans="1:14" x14ac:dyDescent="0.35">
      <c r="A4870">
        <v>4869</v>
      </c>
      <c r="B4870" t="s">
        <v>20</v>
      </c>
      <c r="C4870">
        <v>39</v>
      </c>
      <c r="D4870" t="s">
        <v>25</v>
      </c>
      <c r="E4870" t="s">
        <v>18</v>
      </c>
      <c r="F4870">
        <v>273</v>
      </c>
      <c r="G4870">
        <v>10</v>
      </c>
      <c r="H4870">
        <v>0.53</v>
      </c>
      <c r="I4870" t="s">
        <v>19</v>
      </c>
      <c r="J4870">
        <v>0</v>
      </c>
      <c r="K4870">
        <v>1</v>
      </c>
      <c r="L4870">
        <v>0</v>
      </c>
      <c r="M4870">
        <f>VLOOKUP(Table1[[#This Row],[subscription_type]],Plans!$A$1:$B$5,2,FALSE)</f>
        <v>14.99</v>
      </c>
      <c r="N4870">
        <f t="shared" si="76"/>
        <v>0</v>
      </c>
    </row>
    <row r="4871" spans="1:14" x14ac:dyDescent="0.35">
      <c r="A4871">
        <v>4870</v>
      </c>
      <c r="B4871" t="s">
        <v>12</v>
      </c>
      <c r="C4871">
        <v>52</v>
      </c>
      <c r="D4871" t="s">
        <v>29</v>
      </c>
      <c r="E4871" t="s">
        <v>18</v>
      </c>
      <c r="F4871">
        <v>241</v>
      </c>
      <c r="G4871">
        <v>20</v>
      </c>
      <c r="H4871">
        <v>0</v>
      </c>
      <c r="I4871" t="s">
        <v>23</v>
      </c>
      <c r="J4871">
        <v>0</v>
      </c>
      <c r="K4871">
        <v>1</v>
      </c>
      <c r="L4871">
        <v>0</v>
      </c>
      <c r="M4871">
        <f>VLOOKUP(Table1[[#This Row],[subscription_type]],Plans!$A$1:$B$5,2,FALSE)</f>
        <v>14.99</v>
      </c>
      <c r="N4871">
        <f t="shared" si="76"/>
        <v>0</v>
      </c>
    </row>
    <row r="4872" spans="1:14" x14ac:dyDescent="0.35">
      <c r="A4872">
        <v>4871</v>
      </c>
      <c r="B4872" t="s">
        <v>16</v>
      </c>
      <c r="C4872">
        <v>40</v>
      </c>
      <c r="D4872" t="s">
        <v>26</v>
      </c>
      <c r="E4872" t="s">
        <v>18</v>
      </c>
      <c r="F4872">
        <v>242</v>
      </c>
      <c r="G4872">
        <v>18</v>
      </c>
      <c r="H4872">
        <v>0.37</v>
      </c>
      <c r="I4872" t="s">
        <v>15</v>
      </c>
      <c r="J4872">
        <v>0</v>
      </c>
      <c r="K4872">
        <v>1</v>
      </c>
      <c r="L4872">
        <v>0</v>
      </c>
      <c r="M4872">
        <f>VLOOKUP(Table1[[#This Row],[subscription_type]],Plans!$A$1:$B$5,2,FALSE)</f>
        <v>14.99</v>
      </c>
      <c r="N4872">
        <f t="shared" si="76"/>
        <v>0</v>
      </c>
    </row>
    <row r="4873" spans="1:14" x14ac:dyDescent="0.35">
      <c r="A4873">
        <v>4872</v>
      </c>
      <c r="B4873" t="s">
        <v>16</v>
      </c>
      <c r="C4873">
        <v>52</v>
      </c>
      <c r="D4873" t="s">
        <v>29</v>
      </c>
      <c r="E4873" t="s">
        <v>14</v>
      </c>
      <c r="F4873">
        <v>149</v>
      </c>
      <c r="G4873">
        <v>6</v>
      </c>
      <c r="H4873">
        <v>0.39</v>
      </c>
      <c r="I4873" t="s">
        <v>19</v>
      </c>
      <c r="J4873">
        <v>47</v>
      </c>
      <c r="K4873">
        <v>0</v>
      </c>
      <c r="L4873">
        <v>0</v>
      </c>
      <c r="M4873">
        <f>VLOOKUP(Table1[[#This Row],[subscription_type]],Plans!$A$1:$B$5,2,FALSE)</f>
        <v>0</v>
      </c>
      <c r="N4873">
        <f t="shared" si="76"/>
        <v>0</v>
      </c>
    </row>
    <row r="4874" spans="1:14" x14ac:dyDescent="0.35">
      <c r="A4874">
        <v>4873</v>
      </c>
      <c r="B4874" t="s">
        <v>16</v>
      </c>
      <c r="C4874">
        <v>17</v>
      </c>
      <c r="D4874" t="s">
        <v>13</v>
      </c>
      <c r="E4874" t="s">
        <v>18</v>
      </c>
      <c r="F4874">
        <v>232</v>
      </c>
      <c r="G4874">
        <v>88</v>
      </c>
      <c r="H4874">
        <v>0.22</v>
      </c>
      <c r="I4874" t="s">
        <v>15</v>
      </c>
      <c r="J4874">
        <v>0</v>
      </c>
      <c r="K4874">
        <v>1</v>
      </c>
      <c r="L4874">
        <v>1</v>
      </c>
      <c r="M4874">
        <f>VLOOKUP(Table1[[#This Row],[subscription_type]],Plans!$A$1:$B$5,2,FALSE)</f>
        <v>14.99</v>
      </c>
      <c r="N4874">
        <f t="shared" si="76"/>
        <v>14.99</v>
      </c>
    </row>
    <row r="4875" spans="1:14" x14ac:dyDescent="0.35">
      <c r="A4875">
        <v>4874</v>
      </c>
      <c r="B4875" t="s">
        <v>16</v>
      </c>
      <c r="C4875">
        <v>19</v>
      </c>
      <c r="D4875" t="s">
        <v>13</v>
      </c>
      <c r="E4875" t="s">
        <v>18</v>
      </c>
      <c r="F4875">
        <v>286</v>
      </c>
      <c r="G4875">
        <v>67</v>
      </c>
      <c r="H4875">
        <v>0.16</v>
      </c>
      <c r="I4875" t="s">
        <v>15</v>
      </c>
      <c r="J4875">
        <v>0</v>
      </c>
      <c r="K4875">
        <v>1</v>
      </c>
      <c r="L4875">
        <v>0</v>
      </c>
      <c r="M4875">
        <f>VLOOKUP(Table1[[#This Row],[subscription_type]],Plans!$A$1:$B$5,2,FALSE)</f>
        <v>14.99</v>
      </c>
      <c r="N4875">
        <f t="shared" si="76"/>
        <v>0</v>
      </c>
    </row>
    <row r="4876" spans="1:14" x14ac:dyDescent="0.35">
      <c r="A4876">
        <v>4875</v>
      </c>
      <c r="B4876" t="s">
        <v>12</v>
      </c>
      <c r="C4876">
        <v>16</v>
      </c>
      <c r="D4876" t="s">
        <v>13</v>
      </c>
      <c r="E4876" t="s">
        <v>18</v>
      </c>
      <c r="F4876">
        <v>12</v>
      </c>
      <c r="G4876">
        <v>98</v>
      </c>
      <c r="H4876">
        <v>0.22</v>
      </c>
      <c r="I4876" t="s">
        <v>15</v>
      </c>
      <c r="J4876">
        <v>0</v>
      </c>
      <c r="K4876">
        <v>1</v>
      </c>
      <c r="L4876">
        <v>0</v>
      </c>
      <c r="M4876">
        <f>VLOOKUP(Table1[[#This Row],[subscription_type]],Plans!$A$1:$B$5,2,FALSE)</f>
        <v>14.99</v>
      </c>
      <c r="N4876">
        <f t="shared" si="76"/>
        <v>0</v>
      </c>
    </row>
    <row r="4877" spans="1:14" x14ac:dyDescent="0.35">
      <c r="A4877">
        <v>4876</v>
      </c>
      <c r="B4877" t="s">
        <v>16</v>
      </c>
      <c r="C4877">
        <v>46</v>
      </c>
      <c r="D4877" t="s">
        <v>25</v>
      </c>
      <c r="E4877" t="s">
        <v>18</v>
      </c>
      <c r="F4877">
        <v>231</v>
      </c>
      <c r="G4877">
        <v>72</v>
      </c>
      <c r="H4877">
        <v>0.25</v>
      </c>
      <c r="I4877" t="s">
        <v>15</v>
      </c>
      <c r="J4877">
        <v>0</v>
      </c>
      <c r="K4877">
        <v>1</v>
      </c>
      <c r="L4877">
        <v>0</v>
      </c>
      <c r="M4877">
        <f>VLOOKUP(Table1[[#This Row],[subscription_type]],Plans!$A$1:$B$5,2,FALSE)</f>
        <v>14.99</v>
      </c>
      <c r="N4877">
        <f t="shared" si="76"/>
        <v>0</v>
      </c>
    </row>
    <row r="4878" spans="1:14" x14ac:dyDescent="0.35">
      <c r="A4878">
        <v>4877</v>
      </c>
      <c r="B4878" t="s">
        <v>12</v>
      </c>
      <c r="C4878">
        <v>29</v>
      </c>
      <c r="D4878" t="s">
        <v>25</v>
      </c>
      <c r="E4878" t="s">
        <v>14</v>
      </c>
      <c r="F4878">
        <v>49</v>
      </c>
      <c r="G4878">
        <v>30</v>
      </c>
      <c r="H4878">
        <v>0.34</v>
      </c>
      <c r="I4878" t="s">
        <v>15</v>
      </c>
      <c r="J4878">
        <v>10</v>
      </c>
      <c r="K4878">
        <v>0</v>
      </c>
      <c r="L4878">
        <v>0</v>
      </c>
      <c r="M4878">
        <f>VLOOKUP(Table1[[#This Row],[subscription_type]],Plans!$A$1:$B$5,2,FALSE)</f>
        <v>0</v>
      </c>
      <c r="N4878">
        <f t="shared" si="76"/>
        <v>0</v>
      </c>
    </row>
    <row r="4879" spans="1:14" x14ac:dyDescent="0.35">
      <c r="A4879">
        <v>4878</v>
      </c>
      <c r="B4879" t="s">
        <v>12</v>
      </c>
      <c r="C4879">
        <v>26</v>
      </c>
      <c r="D4879" t="s">
        <v>21</v>
      </c>
      <c r="E4879" t="s">
        <v>22</v>
      </c>
      <c r="F4879">
        <v>237</v>
      </c>
      <c r="G4879">
        <v>33</v>
      </c>
      <c r="H4879">
        <v>0.16</v>
      </c>
      <c r="I4879" t="s">
        <v>23</v>
      </c>
      <c r="J4879">
        <v>0</v>
      </c>
      <c r="K4879">
        <v>1</v>
      </c>
      <c r="L4879">
        <v>0</v>
      </c>
      <c r="M4879">
        <f>VLOOKUP(Table1[[#This Row],[subscription_type]],Plans!$A$1:$B$5,2,FALSE)</f>
        <v>9.99</v>
      </c>
      <c r="N4879">
        <f t="shared" si="76"/>
        <v>0</v>
      </c>
    </row>
    <row r="4880" spans="1:14" x14ac:dyDescent="0.35">
      <c r="A4880">
        <v>4879</v>
      </c>
      <c r="B4880" t="s">
        <v>20</v>
      </c>
      <c r="C4880">
        <v>27</v>
      </c>
      <c r="D4880" t="s">
        <v>27</v>
      </c>
      <c r="E4880" t="s">
        <v>24</v>
      </c>
      <c r="F4880">
        <v>284</v>
      </c>
      <c r="G4880">
        <v>76</v>
      </c>
      <c r="H4880">
        <v>0.41</v>
      </c>
      <c r="I4880" t="s">
        <v>23</v>
      </c>
      <c r="J4880">
        <v>0</v>
      </c>
      <c r="K4880">
        <v>1</v>
      </c>
      <c r="L4880">
        <v>1</v>
      </c>
      <c r="M4880">
        <f>VLOOKUP(Table1[[#This Row],[subscription_type]],Plans!$A$1:$B$5,2,FALSE)</f>
        <v>4.99</v>
      </c>
      <c r="N4880">
        <f t="shared" si="76"/>
        <v>4.99</v>
      </c>
    </row>
    <row r="4881" spans="1:14" x14ac:dyDescent="0.35">
      <c r="A4881">
        <v>4880</v>
      </c>
      <c r="B4881" t="s">
        <v>16</v>
      </c>
      <c r="C4881">
        <v>57</v>
      </c>
      <c r="D4881" t="s">
        <v>13</v>
      </c>
      <c r="E4881" t="s">
        <v>22</v>
      </c>
      <c r="F4881">
        <v>109</v>
      </c>
      <c r="G4881">
        <v>69</v>
      </c>
      <c r="H4881">
        <v>0.3</v>
      </c>
      <c r="I4881" t="s">
        <v>23</v>
      </c>
      <c r="J4881">
        <v>0</v>
      </c>
      <c r="K4881">
        <v>1</v>
      </c>
      <c r="L4881">
        <v>0</v>
      </c>
      <c r="M4881">
        <f>VLOOKUP(Table1[[#This Row],[subscription_type]],Plans!$A$1:$B$5,2,FALSE)</f>
        <v>9.99</v>
      </c>
      <c r="N4881">
        <f t="shared" si="76"/>
        <v>0</v>
      </c>
    </row>
    <row r="4882" spans="1:14" x14ac:dyDescent="0.35">
      <c r="A4882">
        <v>4881</v>
      </c>
      <c r="B4882" t="s">
        <v>12</v>
      </c>
      <c r="C4882">
        <v>20</v>
      </c>
      <c r="D4882" t="s">
        <v>21</v>
      </c>
      <c r="E4882" t="s">
        <v>22</v>
      </c>
      <c r="F4882">
        <v>156</v>
      </c>
      <c r="G4882">
        <v>49</v>
      </c>
      <c r="H4882">
        <v>0.36</v>
      </c>
      <c r="I4882" t="s">
        <v>19</v>
      </c>
      <c r="J4882">
        <v>0</v>
      </c>
      <c r="K4882">
        <v>1</v>
      </c>
      <c r="L4882">
        <v>0</v>
      </c>
      <c r="M4882">
        <f>VLOOKUP(Table1[[#This Row],[subscription_type]],Plans!$A$1:$B$5,2,FALSE)</f>
        <v>9.99</v>
      </c>
      <c r="N4882">
        <f t="shared" si="76"/>
        <v>0</v>
      </c>
    </row>
    <row r="4883" spans="1:14" x14ac:dyDescent="0.35">
      <c r="A4883">
        <v>4882</v>
      </c>
      <c r="B4883" t="s">
        <v>20</v>
      </c>
      <c r="C4883">
        <v>36</v>
      </c>
      <c r="D4883" t="s">
        <v>17</v>
      </c>
      <c r="E4883" t="s">
        <v>24</v>
      </c>
      <c r="F4883">
        <v>123</v>
      </c>
      <c r="G4883">
        <v>62</v>
      </c>
      <c r="H4883">
        <v>0.05</v>
      </c>
      <c r="I4883" t="s">
        <v>19</v>
      </c>
      <c r="J4883">
        <v>0</v>
      </c>
      <c r="K4883">
        <v>1</v>
      </c>
      <c r="L4883">
        <v>1</v>
      </c>
      <c r="M4883">
        <f>VLOOKUP(Table1[[#This Row],[subscription_type]],Plans!$A$1:$B$5,2,FALSE)</f>
        <v>4.99</v>
      </c>
      <c r="N4883">
        <f t="shared" si="76"/>
        <v>4.99</v>
      </c>
    </row>
    <row r="4884" spans="1:14" x14ac:dyDescent="0.35">
      <c r="A4884">
        <v>4883</v>
      </c>
      <c r="B4884" t="s">
        <v>16</v>
      </c>
      <c r="C4884">
        <v>32</v>
      </c>
      <c r="D4884" t="s">
        <v>27</v>
      </c>
      <c r="E4884" t="s">
        <v>22</v>
      </c>
      <c r="F4884">
        <v>87</v>
      </c>
      <c r="G4884">
        <v>48</v>
      </c>
      <c r="H4884">
        <v>7.0000000000000007E-2</v>
      </c>
      <c r="I4884" t="s">
        <v>19</v>
      </c>
      <c r="J4884">
        <v>0</v>
      </c>
      <c r="K4884">
        <v>1</v>
      </c>
      <c r="L4884">
        <v>0</v>
      </c>
      <c r="M4884">
        <f>VLOOKUP(Table1[[#This Row],[subscription_type]],Plans!$A$1:$B$5,2,FALSE)</f>
        <v>9.99</v>
      </c>
      <c r="N4884">
        <f t="shared" si="76"/>
        <v>0</v>
      </c>
    </row>
    <row r="4885" spans="1:14" x14ac:dyDescent="0.35">
      <c r="A4885">
        <v>4884</v>
      </c>
      <c r="B4885" t="s">
        <v>20</v>
      </c>
      <c r="C4885">
        <v>47</v>
      </c>
      <c r="D4885" t="s">
        <v>29</v>
      </c>
      <c r="E4885" t="s">
        <v>18</v>
      </c>
      <c r="F4885">
        <v>59</v>
      </c>
      <c r="G4885">
        <v>53</v>
      </c>
      <c r="H4885">
        <v>0.37</v>
      </c>
      <c r="I4885" t="s">
        <v>19</v>
      </c>
      <c r="J4885">
        <v>0</v>
      </c>
      <c r="K4885">
        <v>1</v>
      </c>
      <c r="L4885">
        <v>0</v>
      </c>
      <c r="M4885">
        <f>VLOOKUP(Table1[[#This Row],[subscription_type]],Plans!$A$1:$B$5,2,FALSE)</f>
        <v>14.99</v>
      </c>
      <c r="N4885">
        <f t="shared" si="76"/>
        <v>0</v>
      </c>
    </row>
    <row r="4886" spans="1:14" x14ac:dyDescent="0.35">
      <c r="A4886">
        <v>4885</v>
      </c>
      <c r="B4886" t="s">
        <v>20</v>
      </c>
      <c r="C4886">
        <v>25</v>
      </c>
      <c r="D4886" t="s">
        <v>26</v>
      </c>
      <c r="E4886" t="s">
        <v>24</v>
      </c>
      <c r="F4886">
        <v>170</v>
      </c>
      <c r="G4886">
        <v>97</v>
      </c>
      <c r="H4886">
        <v>0.31</v>
      </c>
      <c r="I4886" t="s">
        <v>15</v>
      </c>
      <c r="J4886">
        <v>0</v>
      </c>
      <c r="K4886">
        <v>1</v>
      </c>
      <c r="L4886">
        <v>0</v>
      </c>
      <c r="M4886">
        <f>VLOOKUP(Table1[[#This Row],[subscription_type]],Plans!$A$1:$B$5,2,FALSE)</f>
        <v>4.99</v>
      </c>
      <c r="N4886">
        <f t="shared" si="76"/>
        <v>0</v>
      </c>
    </row>
    <row r="4887" spans="1:14" x14ac:dyDescent="0.35">
      <c r="A4887">
        <v>4886</v>
      </c>
      <c r="B4887" t="s">
        <v>12</v>
      </c>
      <c r="C4887">
        <v>36</v>
      </c>
      <c r="D4887" t="s">
        <v>25</v>
      </c>
      <c r="E4887" t="s">
        <v>18</v>
      </c>
      <c r="F4887">
        <v>190</v>
      </c>
      <c r="G4887">
        <v>49</v>
      </c>
      <c r="H4887">
        <v>0.15</v>
      </c>
      <c r="I4887" t="s">
        <v>15</v>
      </c>
      <c r="J4887">
        <v>0</v>
      </c>
      <c r="K4887">
        <v>1</v>
      </c>
      <c r="L4887">
        <v>0</v>
      </c>
      <c r="M4887">
        <f>VLOOKUP(Table1[[#This Row],[subscription_type]],Plans!$A$1:$B$5,2,FALSE)</f>
        <v>14.99</v>
      </c>
      <c r="N4887">
        <f t="shared" si="76"/>
        <v>0</v>
      </c>
    </row>
    <row r="4888" spans="1:14" x14ac:dyDescent="0.35">
      <c r="A4888">
        <v>4887</v>
      </c>
      <c r="B4888" t="s">
        <v>20</v>
      </c>
      <c r="C4888">
        <v>22</v>
      </c>
      <c r="D4888" t="s">
        <v>17</v>
      </c>
      <c r="E4888" t="s">
        <v>14</v>
      </c>
      <c r="F4888">
        <v>170</v>
      </c>
      <c r="G4888">
        <v>10</v>
      </c>
      <c r="H4888">
        <v>0.19</v>
      </c>
      <c r="I4888" t="s">
        <v>19</v>
      </c>
      <c r="J4888">
        <v>16</v>
      </c>
      <c r="K4888">
        <v>0</v>
      </c>
      <c r="L4888">
        <v>0</v>
      </c>
      <c r="M4888">
        <f>VLOOKUP(Table1[[#This Row],[subscription_type]],Plans!$A$1:$B$5,2,FALSE)</f>
        <v>0</v>
      </c>
      <c r="N4888">
        <f t="shared" si="76"/>
        <v>0</v>
      </c>
    </row>
    <row r="4889" spans="1:14" x14ac:dyDescent="0.35">
      <c r="A4889">
        <v>4888</v>
      </c>
      <c r="B4889" t="s">
        <v>16</v>
      </c>
      <c r="C4889">
        <v>58</v>
      </c>
      <c r="D4889" t="s">
        <v>29</v>
      </c>
      <c r="E4889" t="s">
        <v>24</v>
      </c>
      <c r="F4889">
        <v>71</v>
      </c>
      <c r="G4889">
        <v>11</v>
      </c>
      <c r="H4889">
        <v>0.57999999999999996</v>
      </c>
      <c r="I4889" t="s">
        <v>19</v>
      </c>
      <c r="J4889">
        <v>0</v>
      </c>
      <c r="K4889">
        <v>1</v>
      </c>
      <c r="L4889">
        <v>0</v>
      </c>
      <c r="M4889">
        <f>VLOOKUP(Table1[[#This Row],[subscription_type]],Plans!$A$1:$B$5,2,FALSE)</f>
        <v>4.99</v>
      </c>
      <c r="N4889">
        <f t="shared" si="76"/>
        <v>0</v>
      </c>
    </row>
    <row r="4890" spans="1:14" x14ac:dyDescent="0.35">
      <c r="A4890">
        <v>4889</v>
      </c>
      <c r="B4890" t="s">
        <v>20</v>
      </c>
      <c r="C4890">
        <v>50</v>
      </c>
      <c r="D4890" t="s">
        <v>27</v>
      </c>
      <c r="E4890" t="s">
        <v>22</v>
      </c>
      <c r="F4890">
        <v>213</v>
      </c>
      <c r="G4890">
        <v>16</v>
      </c>
      <c r="H4890">
        <v>0.49</v>
      </c>
      <c r="I4890" t="s">
        <v>23</v>
      </c>
      <c r="J4890">
        <v>0</v>
      </c>
      <c r="K4890">
        <v>1</v>
      </c>
      <c r="L4890">
        <v>0</v>
      </c>
      <c r="M4890">
        <f>VLOOKUP(Table1[[#This Row],[subscription_type]],Plans!$A$1:$B$5,2,FALSE)</f>
        <v>9.99</v>
      </c>
      <c r="N4890">
        <f t="shared" si="76"/>
        <v>0</v>
      </c>
    </row>
    <row r="4891" spans="1:14" x14ac:dyDescent="0.35">
      <c r="A4891">
        <v>4890</v>
      </c>
      <c r="B4891" t="s">
        <v>12</v>
      </c>
      <c r="C4891">
        <v>20</v>
      </c>
      <c r="D4891" t="s">
        <v>21</v>
      </c>
      <c r="E4891" t="s">
        <v>22</v>
      </c>
      <c r="F4891">
        <v>115</v>
      </c>
      <c r="G4891">
        <v>74</v>
      </c>
      <c r="H4891">
        <v>0.12</v>
      </c>
      <c r="I4891" t="s">
        <v>15</v>
      </c>
      <c r="J4891">
        <v>0</v>
      </c>
      <c r="K4891">
        <v>1</v>
      </c>
      <c r="L4891">
        <v>0</v>
      </c>
      <c r="M4891">
        <f>VLOOKUP(Table1[[#This Row],[subscription_type]],Plans!$A$1:$B$5,2,FALSE)</f>
        <v>9.99</v>
      </c>
      <c r="N4891">
        <f t="shared" si="76"/>
        <v>0</v>
      </c>
    </row>
    <row r="4892" spans="1:14" x14ac:dyDescent="0.35">
      <c r="A4892">
        <v>4891</v>
      </c>
      <c r="B4892" t="s">
        <v>20</v>
      </c>
      <c r="C4892">
        <v>20</v>
      </c>
      <c r="D4892" t="s">
        <v>26</v>
      </c>
      <c r="E4892" t="s">
        <v>22</v>
      </c>
      <c r="F4892">
        <v>99</v>
      </c>
      <c r="G4892">
        <v>58</v>
      </c>
      <c r="H4892">
        <v>0.17</v>
      </c>
      <c r="I4892" t="s">
        <v>15</v>
      </c>
      <c r="J4892">
        <v>0</v>
      </c>
      <c r="K4892">
        <v>1</v>
      </c>
      <c r="L4892">
        <v>1</v>
      </c>
      <c r="M4892">
        <f>VLOOKUP(Table1[[#This Row],[subscription_type]],Plans!$A$1:$B$5,2,FALSE)</f>
        <v>9.99</v>
      </c>
      <c r="N4892">
        <f t="shared" si="76"/>
        <v>9.99</v>
      </c>
    </row>
    <row r="4893" spans="1:14" x14ac:dyDescent="0.35">
      <c r="A4893">
        <v>4892</v>
      </c>
      <c r="B4893" t="s">
        <v>20</v>
      </c>
      <c r="C4893">
        <v>53</v>
      </c>
      <c r="D4893" t="s">
        <v>13</v>
      </c>
      <c r="E4893" t="s">
        <v>22</v>
      </c>
      <c r="F4893">
        <v>14</v>
      </c>
      <c r="G4893">
        <v>47</v>
      </c>
      <c r="H4893">
        <v>0.08</v>
      </c>
      <c r="I4893" t="s">
        <v>15</v>
      </c>
      <c r="J4893">
        <v>0</v>
      </c>
      <c r="K4893">
        <v>1</v>
      </c>
      <c r="L4893">
        <v>0</v>
      </c>
      <c r="M4893">
        <f>VLOOKUP(Table1[[#This Row],[subscription_type]],Plans!$A$1:$B$5,2,FALSE)</f>
        <v>9.99</v>
      </c>
      <c r="N4893">
        <f t="shared" si="76"/>
        <v>0</v>
      </c>
    </row>
    <row r="4894" spans="1:14" x14ac:dyDescent="0.35">
      <c r="A4894">
        <v>4893</v>
      </c>
      <c r="B4894" t="s">
        <v>12</v>
      </c>
      <c r="C4894">
        <v>22</v>
      </c>
      <c r="D4894" t="s">
        <v>25</v>
      </c>
      <c r="E4894" t="s">
        <v>24</v>
      </c>
      <c r="F4894">
        <v>211</v>
      </c>
      <c r="G4894">
        <v>19</v>
      </c>
      <c r="H4894">
        <v>0.24</v>
      </c>
      <c r="I4894" t="s">
        <v>23</v>
      </c>
      <c r="J4894">
        <v>0</v>
      </c>
      <c r="K4894">
        <v>1</v>
      </c>
      <c r="L4894">
        <v>1</v>
      </c>
      <c r="M4894">
        <f>VLOOKUP(Table1[[#This Row],[subscription_type]],Plans!$A$1:$B$5,2,FALSE)</f>
        <v>4.99</v>
      </c>
      <c r="N4894">
        <f t="shared" si="76"/>
        <v>4.99</v>
      </c>
    </row>
    <row r="4895" spans="1:14" x14ac:dyDescent="0.35">
      <c r="A4895">
        <v>4894</v>
      </c>
      <c r="B4895" t="s">
        <v>16</v>
      </c>
      <c r="C4895">
        <v>58</v>
      </c>
      <c r="D4895" t="s">
        <v>28</v>
      </c>
      <c r="E4895" t="s">
        <v>22</v>
      </c>
      <c r="F4895">
        <v>17</v>
      </c>
      <c r="G4895">
        <v>17</v>
      </c>
      <c r="H4895">
        <v>0.21</v>
      </c>
      <c r="I4895" t="s">
        <v>23</v>
      </c>
      <c r="J4895">
        <v>0</v>
      </c>
      <c r="K4895">
        <v>1</v>
      </c>
      <c r="L4895">
        <v>1</v>
      </c>
      <c r="M4895">
        <f>VLOOKUP(Table1[[#This Row],[subscription_type]],Plans!$A$1:$B$5,2,FALSE)</f>
        <v>9.99</v>
      </c>
      <c r="N4895">
        <f t="shared" si="76"/>
        <v>9.99</v>
      </c>
    </row>
    <row r="4896" spans="1:14" x14ac:dyDescent="0.35">
      <c r="A4896">
        <v>4895</v>
      </c>
      <c r="B4896" t="s">
        <v>20</v>
      </c>
      <c r="C4896">
        <v>28</v>
      </c>
      <c r="D4896" t="s">
        <v>25</v>
      </c>
      <c r="E4896" t="s">
        <v>18</v>
      </c>
      <c r="F4896">
        <v>122</v>
      </c>
      <c r="G4896">
        <v>36</v>
      </c>
      <c r="H4896">
        <v>0.04</v>
      </c>
      <c r="I4896" t="s">
        <v>19</v>
      </c>
      <c r="J4896">
        <v>0</v>
      </c>
      <c r="K4896">
        <v>1</v>
      </c>
      <c r="L4896">
        <v>1</v>
      </c>
      <c r="M4896">
        <f>VLOOKUP(Table1[[#This Row],[subscription_type]],Plans!$A$1:$B$5,2,FALSE)</f>
        <v>14.99</v>
      </c>
      <c r="N4896">
        <f t="shared" si="76"/>
        <v>14.99</v>
      </c>
    </row>
    <row r="4897" spans="1:14" x14ac:dyDescent="0.35">
      <c r="A4897">
        <v>4896</v>
      </c>
      <c r="B4897" t="s">
        <v>12</v>
      </c>
      <c r="C4897">
        <v>37</v>
      </c>
      <c r="D4897" t="s">
        <v>29</v>
      </c>
      <c r="E4897" t="s">
        <v>24</v>
      </c>
      <c r="F4897">
        <v>263</v>
      </c>
      <c r="G4897">
        <v>20</v>
      </c>
      <c r="H4897">
        <v>0.3</v>
      </c>
      <c r="I4897" t="s">
        <v>23</v>
      </c>
      <c r="J4897">
        <v>0</v>
      </c>
      <c r="K4897">
        <v>1</v>
      </c>
      <c r="L4897">
        <v>1</v>
      </c>
      <c r="M4897">
        <f>VLOOKUP(Table1[[#This Row],[subscription_type]],Plans!$A$1:$B$5,2,FALSE)</f>
        <v>4.99</v>
      </c>
      <c r="N4897">
        <f t="shared" si="76"/>
        <v>4.99</v>
      </c>
    </row>
    <row r="4898" spans="1:14" x14ac:dyDescent="0.35">
      <c r="A4898">
        <v>4897</v>
      </c>
      <c r="B4898" t="s">
        <v>20</v>
      </c>
      <c r="C4898">
        <v>57</v>
      </c>
      <c r="D4898" t="s">
        <v>29</v>
      </c>
      <c r="E4898" t="s">
        <v>24</v>
      </c>
      <c r="F4898">
        <v>162</v>
      </c>
      <c r="G4898">
        <v>41</v>
      </c>
      <c r="H4898">
        <v>0.56000000000000005</v>
      </c>
      <c r="I4898" t="s">
        <v>23</v>
      </c>
      <c r="J4898">
        <v>0</v>
      </c>
      <c r="K4898">
        <v>1</v>
      </c>
      <c r="L4898">
        <v>0</v>
      </c>
      <c r="M4898">
        <f>VLOOKUP(Table1[[#This Row],[subscription_type]],Plans!$A$1:$B$5,2,FALSE)</f>
        <v>4.99</v>
      </c>
      <c r="N4898">
        <f t="shared" si="76"/>
        <v>0</v>
      </c>
    </row>
    <row r="4899" spans="1:14" x14ac:dyDescent="0.35">
      <c r="A4899">
        <v>4898</v>
      </c>
      <c r="B4899" t="s">
        <v>20</v>
      </c>
      <c r="C4899">
        <v>29</v>
      </c>
      <c r="D4899" t="s">
        <v>29</v>
      </c>
      <c r="E4899" t="s">
        <v>14</v>
      </c>
      <c r="F4899">
        <v>81</v>
      </c>
      <c r="G4899">
        <v>90</v>
      </c>
      <c r="H4899">
        <v>0.28999999999999998</v>
      </c>
      <c r="I4899" t="s">
        <v>15</v>
      </c>
      <c r="J4899">
        <v>8</v>
      </c>
      <c r="K4899">
        <v>0</v>
      </c>
      <c r="L4899">
        <v>0</v>
      </c>
      <c r="M4899">
        <f>VLOOKUP(Table1[[#This Row],[subscription_type]],Plans!$A$1:$B$5,2,FALSE)</f>
        <v>0</v>
      </c>
      <c r="N4899">
        <f t="shared" si="76"/>
        <v>0</v>
      </c>
    </row>
    <row r="4900" spans="1:14" x14ac:dyDescent="0.35">
      <c r="A4900">
        <v>4899</v>
      </c>
      <c r="B4900" t="s">
        <v>12</v>
      </c>
      <c r="C4900">
        <v>32</v>
      </c>
      <c r="D4900" t="s">
        <v>17</v>
      </c>
      <c r="E4900" t="s">
        <v>14</v>
      </c>
      <c r="F4900">
        <v>223</v>
      </c>
      <c r="G4900">
        <v>31</v>
      </c>
      <c r="H4900">
        <v>0.01</v>
      </c>
      <c r="I4900" t="s">
        <v>15</v>
      </c>
      <c r="J4900">
        <v>40</v>
      </c>
      <c r="K4900">
        <v>0</v>
      </c>
      <c r="L4900">
        <v>0</v>
      </c>
      <c r="M4900">
        <f>VLOOKUP(Table1[[#This Row],[subscription_type]],Plans!$A$1:$B$5,2,FALSE)</f>
        <v>0</v>
      </c>
      <c r="N4900">
        <f t="shared" si="76"/>
        <v>0</v>
      </c>
    </row>
    <row r="4901" spans="1:14" x14ac:dyDescent="0.35">
      <c r="A4901">
        <v>4900</v>
      </c>
      <c r="B4901" t="s">
        <v>20</v>
      </c>
      <c r="C4901">
        <v>37</v>
      </c>
      <c r="D4901" t="s">
        <v>28</v>
      </c>
      <c r="E4901" t="s">
        <v>18</v>
      </c>
      <c r="F4901">
        <v>209</v>
      </c>
      <c r="G4901">
        <v>37</v>
      </c>
      <c r="H4901">
        <v>0.02</v>
      </c>
      <c r="I4901" t="s">
        <v>23</v>
      </c>
      <c r="J4901">
        <v>0</v>
      </c>
      <c r="K4901">
        <v>1</v>
      </c>
      <c r="L4901">
        <v>0</v>
      </c>
      <c r="M4901">
        <f>VLOOKUP(Table1[[#This Row],[subscription_type]],Plans!$A$1:$B$5,2,FALSE)</f>
        <v>14.99</v>
      </c>
      <c r="N4901">
        <f t="shared" si="76"/>
        <v>0</v>
      </c>
    </row>
    <row r="4902" spans="1:14" x14ac:dyDescent="0.35">
      <c r="A4902">
        <v>4901</v>
      </c>
      <c r="B4902" t="s">
        <v>16</v>
      </c>
      <c r="C4902">
        <v>17</v>
      </c>
      <c r="D4902" t="s">
        <v>27</v>
      </c>
      <c r="E4902" t="s">
        <v>18</v>
      </c>
      <c r="F4902">
        <v>90</v>
      </c>
      <c r="G4902">
        <v>1</v>
      </c>
      <c r="H4902">
        <v>7.0000000000000007E-2</v>
      </c>
      <c r="I4902" t="s">
        <v>15</v>
      </c>
      <c r="J4902">
        <v>0</v>
      </c>
      <c r="K4902">
        <v>1</v>
      </c>
      <c r="L4902">
        <v>0</v>
      </c>
      <c r="M4902">
        <f>VLOOKUP(Table1[[#This Row],[subscription_type]],Plans!$A$1:$B$5,2,FALSE)</f>
        <v>14.99</v>
      </c>
      <c r="N4902">
        <f t="shared" si="76"/>
        <v>0</v>
      </c>
    </row>
    <row r="4903" spans="1:14" x14ac:dyDescent="0.35">
      <c r="A4903">
        <v>4902</v>
      </c>
      <c r="B4903" t="s">
        <v>16</v>
      </c>
      <c r="C4903">
        <v>35</v>
      </c>
      <c r="D4903" t="s">
        <v>26</v>
      </c>
      <c r="E4903" t="s">
        <v>24</v>
      </c>
      <c r="F4903">
        <v>162</v>
      </c>
      <c r="G4903">
        <v>61</v>
      </c>
      <c r="H4903">
        <v>0.13</v>
      </c>
      <c r="I4903" t="s">
        <v>15</v>
      </c>
      <c r="J4903">
        <v>0</v>
      </c>
      <c r="K4903">
        <v>1</v>
      </c>
      <c r="L4903">
        <v>1</v>
      </c>
      <c r="M4903">
        <f>VLOOKUP(Table1[[#This Row],[subscription_type]],Plans!$A$1:$B$5,2,FALSE)</f>
        <v>4.99</v>
      </c>
      <c r="N4903">
        <f t="shared" si="76"/>
        <v>4.99</v>
      </c>
    </row>
    <row r="4904" spans="1:14" x14ac:dyDescent="0.35">
      <c r="A4904">
        <v>4903</v>
      </c>
      <c r="B4904" t="s">
        <v>12</v>
      </c>
      <c r="C4904">
        <v>52</v>
      </c>
      <c r="D4904" t="s">
        <v>27</v>
      </c>
      <c r="E4904" t="s">
        <v>18</v>
      </c>
      <c r="F4904">
        <v>117</v>
      </c>
      <c r="G4904">
        <v>42</v>
      </c>
      <c r="H4904">
        <v>0.06</v>
      </c>
      <c r="I4904" t="s">
        <v>15</v>
      </c>
      <c r="J4904">
        <v>0</v>
      </c>
      <c r="K4904">
        <v>1</v>
      </c>
      <c r="L4904">
        <v>0</v>
      </c>
      <c r="M4904">
        <f>VLOOKUP(Table1[[#This Row],[subscription_type]],Plans!$A$1:$B$5,2,FALSE)</f>
        <v>14.99</v>
      </c>
      <c r="N4904">
        <f t="shared" si="76"/>
        <v>0</v>
      </c>
    </row>
    <row r="4905" spans="1:14" x14ac:dyDescent="0.35">
      <c r="A4905">
        <v>4904</v>
      </c>
      <c r="B4905" t="s">
        <v>20</v>
      </c>
      <c r="C4905">
        <v>50</v>
      </c>
      <c r="D4905" t="s">
        <v>25</v>
      </c>
      <c r="E4905" t="s">
        <v>22</v>
      </c>
      <c r="F4905">
        <v>191</v>
      </c>
      <c r="G4905">
        <v>46</v>
      </c>
      <c r="H4905">
        <v>0.28000000000000003</v>
      </c>
      <c r="I4905" t="s">
        <v>19</v>
      </c>
      <c r="J4905">
        <v>0</v>
      </c>
      <c r="K4905">
        <v>1</v>
      </c>
      <c r="L4905">
        <v>0</v>
      </c>
      <c r="M4905">
        <f>VLOOKUP(Table1[[#This Row],[subscription_type]],Plans!$A$1:$B$5,2,FALSE)</f>
        <v>9.99</v>
      </c>
      <c r="N4905">
        <f t="shared" si="76"/>
        <v>0</v>
      </c>
    </row>
    <row r="4906" spans="1:14" x14ac:dyDescent="0.35">
      <c r="A4906">
        <v>4905</v>
      </c>
      <c r="B4906" t="s">
        <v>20</v>
      </c>
      <c r="C4906">
        <v>23</v>
      </c>
      <c r="D4906" t="s">
        <v>28</v>
      </c>
      <c r="E4906" t="s">
        <v>18</v>
      </c>
      <c r="F4906">
        <v>215</v>
      </c>
      <c r="G4906">
        <v>98</v>
      </c>
      <c r="H4906">
        <v>0.21</v>
      </c>
      <c r="I4906" t="s">
        <v>15</v>
      </c>
      <c r="J4906">
        <v>0</v>
      </c>
      <c r="K4906">
        <v>1</v>
      </c>
      <c r="L4906">
        <v>0</v>
      </c>
      <c r="M4906">
        <f>VLOOKUP(Table1[[#This Row],[subscription_type]],Plans!$A$1:$B$5,2,FALSE)</f>
        <v>14.99</v>
      </c>
      <c r="N4906">
        <f t="shared" si="76"/>
        <v>0</v>
      </c>
    </row>
    <row r="4907" spans="1:14" x14ac:dyDescent="0.35">
      <c r="A4907">
        <v>4906</v>
      </c>
      <c r="B4907" t="s">
        <v>12</v>
      </c>
      <c r="C4907">
        <v>50</v>
      </c>
      <c r="D4907" t="s">
        <v>28</v>
      </c>
      <c r="E4907" t="s">
        <v>14</v>
      </c>
      <c r="F4907">
        <v>239</v>
      </c>
      <c r="G4907">
        <v>76</v>
      </c>
      <c r="H4907">
        <v>0.3</v>
      </c>
      <c r="I4907" t="s">
        <v>19</v>
      </c>
      <c r="J4907">
        <v>11</v>
      </c>
      <c r="K4907">
        <v>0</v>
      </c>
      <c r="L4907">
        <v>0</v>
      </c>
      <c r="M4907">
        <f>VLOOKUP(Table1[[#This Row],[subscription_type]],Plans!$A$1:$B$5,2,FALSE)</f>
        <v>0</v>
      </c>
      <c r="N4907">
        <f t="shared" si="76"/>
        <v>0</v>
      </c>
    </row>
    <row r="4908" spans="1:14" x14ac:dyDescent="0.35">
      <c r="A4908">
        <v>4907</v>
      </c>
      <c r="B4908" t="s">
        <v>20</v>
      </c>
      <c r="C4908">
        <v>51</v>
      </c>
      <c r="D4908" t="s">
        <v>21</v>
      </c>
      <c r="E4908" t="s">
        <v>14</v>
      </c>
      <c r="F4908">
        <v>37</v>
      </c>
      <c r="G4908">
        <v>87</v>
      </c>
      <c r="H4908">
        <v>0.44</v>
      </c>
      <c r="I4908" t="s">
        <v>19</v>
      </c>
      <c r="J4908">
        <v>48</v>
      </c>
      <c r="K4908">
        <v>0</v>
      </c>
      <c r="L4908">
        <v>0</v>
      </c>
      <c r="M4908">
        <f>VLOOKUP(Table1[[#This Row],[subscription_type]],Plans!$A$1:$B$5,2,FALSE)</f>
        <v>0</v>
      </c>
      <c r="N4908">
        <f t="shared" si="76"/>
        <v>0</v>
      </c>
    </row>
    <row r="4909" spans="1:14" x14ac:dyDescent="0.35">
      <c r="A4909">
        <v>4908</v>
      </c>
      <c r="B4909" t="s">
        <v>12</v>
      </c>
      <c r="C4909">
        <v>59</v>
      </c>
      <c r="D4909" t="s">
        <v>25</v>
      </c>
      <c r="E4909" t="s">
        <v>18</v>
      </c>
      <c r="F4909">
        <v>179</v>
      </c>
      <c r="G4909">
        <v>54</v>
      </c>
      <c r="H4909">
        <v>0.17</v>
      </c>
      <c r="I4909" t="s">
        <v>15</v>
      </c>
      <c r="J4909">
        <v>0</v>
      </c>
      <c r="K4909">
        <v>1</v>
      </c>
      <c r="L4909">
        <v>0</v>
      </c>
      <c r="M4909">
        <f>VLOOKUP(Table1[[#This Row],[subscription_type]],Plans!$A$1:$B$5,2,FALSE)</f>
        <v>14.99</v>
      </c>
      <c r="N4909">
        <f t="shared" si="76"/>
        <v>0</v>
      </c>
    </row>
    <row r="4910" spans="1:14" x14ac:dyDescent="0.35">
      <c r="A4910">
        <v>4909</v>
      </c>
      <c r="B4910" t="s">
        <v>16</v>
      </c>
      <c r="C4910">
        <v>39</v>
      </c>
      <c r="D4910" t="s">
        <v>17</v>
      </c>
      <c r="E4910" t="s">
        <v>24</v>
      </c>
      <c r="F4910">
        <v>215</v>
      </c>
      <c r="G4910">
        <v>48</v>
      </c>
      <c r="H4910">
        <v>7.0000000000000007E-2</v>
      </c>
      <c r="I4910" t="s">
        <v>15</v>
      </c>
      <c r="J4910">
        <v>0</v>
      </c>
      <c r="K4910">
        <v>1</v>
      </c>
      <c r="L4910">
        <v>1</v>
      </c>
      <c r="M4910">
        <f>VLOOKUP(Table1[[#This Row],[subscription_type]],Plans!$A$1:$B$5,2,FALSE)</f>
        <v>4.99</v>
      </c>
      <c r="N4910">
        <f t="shared" si="76"/>
        <v>4.99</v>
      </c>
    </row>
    <row r="4911" spans="1:14" x14ac:dyDescent="0.35">
      <c r="A4911">
        <v>4910</v>
      </c>
      <c r="B4911" t="s">
        <v>12</v>
      </c>
      <c r="C4911">
        <v>39</v>
      </c>
      <c r="D4911" t="s">
        <v>25</v>
      </c>
      <c r="E4911" t="s">
        <v>24</v>
      </c>
      <c r="F4911">
        <v>255</v>
      </c>
      <c r="G4911">
        <v>8</v>
      </c>
      <c r="H4911">
        <v>0.42</v>
      </c>
      <c r="I4911" t="s">
        <v>23</v>
      </c>
      <c r="J4911">
        <v>0</v>
      </c>
      <c r="K4911">
        <v>1</v>
      </c>
      <c r="L4911">
        <v>0</v>
      </c>
      <c r="M4911">
        <f>VLOOKUP(Table1[[#This Row],[subscription_type]],Plans!$A$1:$B$5,2,FALSE)</f>
        <v>4.99</v>
      </c>
      <c r="N4911">
        <f t="shared" si="76"/>
        <v>0</v>
      </c>
    </row>
    <row r="4912" spans="1:14" x14ac:dyDescent="0.35">
      <c r="A4912">
        <v>4911</v>
      </c>
      <c r="B4912" t="s">
        <v>20</v>
      </c>
      <c r="C4912">
        <v>37</v>
      </c>
      <c r="D4912" t="s">
        <v>28</v>
      </c>
      <c r="E4912" t="s">
        <v>22</v>
      </c>
      <c r="F4912">
        <v>94</v>
      </c>
      <c r="G4912">
        <v>76</v>
      </c>
      <c r="H4912">
        <v>0.57999999999999996</v>
      </c>
      <c r="I4912" t="s">
        <v>19</v>
      </c>
      <c r="J4912">
        <v>0</v>
      </c>
      <c r="K4912">
        <v>1</v>
      </c>
      <c r="L4912">
        <v>0</v>
      </c>
      <c r="M4912">
        <f>VLOOKUP(Table1[[#This Row],[subscription_type]],Plans!$A$1:$B$5,2,FALSE)</f>
        <v>9.99</v>
      </c>
      <c r="N4912">
        <f t="shared" si="76"/>
        <v>0</v>
      </c>
    </row>
    <row r="4913" spans="1:14" x14ac:dyDescent="0.35">
      <c r="A4913">
        <v>4912</v>
      </c>
      <c r="B4913" t="s">
        <v>16</v>
      </c>
      <c r="C4913">
        <v>42</v>
      </c>
      <c r="D4913" t="s">
        <v>21</v>
      </c>
      <c r="E4913" t="s">
        <v>22</v>
      </c>
      <c r="F4913">
        <v>280</v>
      </c>
      <c r="G4913">
        <v>84</v>
      </c>
      <c r="H4913">
        <v>0.56000000000000005</v>
      </c>
      <c r="I4913" t="s">
        <v>23</v>
      </c>
      <c r="J4913">
        <v>0</v>
      </c>
      <c r="K4913">
        <v>1</v>
      </c>
      <c r="L4913">
        <v>1</v>
      </c>
      <c r="M4913">
        <f>VLOOKUP(Table1[[#This Row],[subscription_type]],Plans!$A$1:$B$5,2,FALSE)</f>
        <v>9.99</v>
      </c>
      <c r="N4913">
        <f t="shared" si="76"/>
        <v>9.99</v>
      </c>
    </row>
    <row r="4914" spans="1:14" x14ac:dyDescent="0.35">
      <c r="A4914">
        <v>4913</v>
      </c>
      <c r="B4914" t="s">
        <v>16</v>
      </c>
      <c r="C4914">
        <v>57</v>
      </c>
      <c r="D4914" t="s">
        <v>28</v>
      </c>
      <c r="E4914" t="s">
        <v>14</v>
      </c>
      <c r="F4914">
        <v>186</v>
      </c>
      <c r="G4914">
        <v>30</v>
      </c>
      <c r="H4914">
        <v>0.03</v>
      </c>
      <c r="I4914" t="s">
        <v>19</v>
      </c>
      <c r="J4914">
        <v>49</v>
      </c>
      <c r="K4914">
        <v>0</v>
      </c>
      <c r="L4914">
        <v>1</v>
      </c>
      <c r="M4914">
        <f>VLOOKUP(Table1[[#This Row],[subscription_type]],Plans!$A$1:$B$5,2,FALSE)</f>
        <v>0</v>
      </c>
      <c r="N4914">
        <f t="shared" si="76"/>
        <v>0</v>
      </c>
    </row>
    <row r="4915" spans="1:14" x14ac:dyDescent="0.35">
      <c r="A4915">
        <v>4914</v>
      </c>
      <c r="B4915" t="s">
        <v>20</v>
      </c>
      <c r="C4915">
        <v>16</v>
      </c>
      <c r="D4915" t="s">
        <v>17</v>
      </c>
      <c r="E4915" t="s">
        <v>22</v>
      </c>
      <c r="F4915">
        <v>66</v>
      </c>
      <c r="G4915">
        <v>39</v>
      </c>
      <c r="H4915">
        <v>0.15</v>
      </c>
      <c r="I4915" t="s">
        <v>15</v>
      </c>
      <c r="J4915">
        <v>0</v>
      </c>
      <c r="K4915">
        <v>1</v>
      </c>
      <c r="L4915">
        <v>0</v>
      </c>
      <c r="M4915">
        <f>VLOOKUP(Table1[[#This Row],[subscription_type]],Plans!$A$1:$B$5,2,FALSE)</f>
        <v>9.99</v>
      </c>
      <c r="N4915">
        <f t="shared" si="76"/>
        <v>0</v>
      </c>
    </row>
    <row r="4916" spans="1:14" x14ac:dyDescent="0.35">
      <c r="A4916">
        <v>4915</v>
      </c>
      <c r="B4916" t="s">
        <v>12</v>
      </c>
      <c r="C4916">
        <v>52</v>
      </c>
      <c r="D4916" t="s">
        <v>13</v>
      </c>
      <c r="E4916" t="s">
        <v>18</v>
      </c>
      <c r="F4916">
        <v>232</v>
      </c>
      <c r="G4916">
        <v>22</v>
      </c>
      <c r="H4916">
        <v>0.51</v>
      </c>
      <c r="I4916" t="s">
        <v>15</v>
      </c>
      <c r="J4916">
        <v>0</v>
      </c>
      <c r="K4916">
        <v>1</v>
      </c>
      <c r="L4916">
        <v>1</v>
      </c>
      <c r="M4916">
        <f>VLOOKUP(Table1[[#This Row],[subscription_type]],Plans!$A$1:$B$5,2,FALSE)</f>
        <v>14.99</v>
      </c>
      <c r="N4916">
        <f t="shared" si="76"/>
        <v>14.99</v>
      </c>
    </row>
    <row r="4917" spans="1:14" x14ac:dyDescent="0.35">
      <c r="A4917">
        <v>4916</v>
      </c>
      <c r="B4917" t="s">
        <v>16</v>
      </c>
      <c r="C4917">
        <v>41</v>
      </c>
      <c r="D4917" t="s">
        <v>13</v>
      </c>
      <c r="E4917" t="s">
        <v>14</v>
      </c>
      <c r="F4917">
        <v>246</v>
      </c>
      <c r="G4917">
        <v>25</v>
      </c>
      <c r="H4917">
        <v>0.28999999999999998</v>
      </c>
      <c r="I4917" t="s">
        <v>23</v>
      </c>
      <c r="J4917">
        <v>21</v>
      </c>
      <c r="K4917">
        <v>0</v>
      </c>
      <c r="L4917">
        <v>0</v>
      </c>
      <c r="M4917">
        <f>VLOOKUP(Table1[[#This Row],[subscription_type]],Plans!$A$1:$B$5,2,FALSE)</f>
        <v>0</v>
      </c>
      <c r="N4917">
        <f t="shared" si="76"/>
        <v>0</v>
      </c>
    </row>
    <row r="4918" spans="1:14" x14ac:dyDescent="0.35">
      <c r="A4918">
        <v>4917</v>
      </c>
      <c r="B4918" t="s">
        <v>20</v>
      </c>
      <c r="C4918">
        <v>19</v>
      </c>
      <c r="D4918" t="s">
        <v>27</v>
      </c>
      <c r="E4918" t="s">
        <v>14</v>
      </c>
      <c r="F4918">
        <v>67</v>
      </c>
      <c r="G4918">
        <v>9</v>
      </c>
      <c r="H4918">
        <v>0.43</v>
      </c>
      <c r="I4918" t="s">
        <v>23</v>
      </c>
      <c r="J4918">
        <v>10</v>
      </c>
      <c r="K4918">
        <v>0</v>
      </c>
      <c r="L4918">
        <v>1</v>
      </c>
      <c r="M4918">
        <f>VLOOKUP(Table1[[#This Row],[subscription_type]],Plans!$A$1:$B$5,2,FALSE)</f>
        <v>0</v>
      </c>
      <c r="N4918">
        <f t="shared" si="76"/>
        <v>0</v>
      </c>
    </row>
    <row r="4919" spans="1:14" x14ac:dyDescent="0.35">
      <c r="A4919">
        <v>4918</v>
      </c>
      <c r="B4919" t="s">
        <v>20</v>
      </c>
      <c r="C4919">
        <v>58</v>
      </c>
      <c r="D4919" t="s">
        <v>21</v>
      </c>
      <c r="E4919" t="s">
        <v>22</v>
      </c>
      <c r="F4919">
        <v>269</v>
      </c>
      <c r="G4919">
        <v>67</v>
      </c>
      <c r="H4919">
        <v>0.57999999999999996</v>
      </c>
      <c r="I4919" t="s">
        <v>19</v>
      </c>
      <c r="J4919">
        <v>0</v>
      </c>
      <c r="K4919">
        <v>1</v>
      </c>
      <c r="L4919">
        <v>0</v>
      </c>
      <c r="M4919">
        <f>VLOOKUP(Table1[[#This Row],[subscription_type]],Plans!$A$1:$B$5,2,FALSE)</f>
        <v>9.99</v>
      </c>
      <c r="N4919">
        <f t="shared" si="76"/>
        <v>0</v>
      </c>
    </row>
    <row r="4920" spans="1:14" x14ac:dyDescent="0.35">
      <c r="A4920">
        <v>4919</v>
      </c>
      <c r="B4920" t="s">
        <v>20</v>
      </c>
      <c r="C4920">
        <v>21</v>
      </c>
      <c r="D4920" t="s">
        <v>26</v>
      </c>
      <c r="E4920" t="s">
        <v>14</v>
      </c>
      <c r="F4920">
        <v>235</v>
      </c>
      <c r="G4920">
        <v>9</v>
      </c>
      <c r="H4920">
        <v>0.3</v>
      </c>
      <c r="I4920" t="s">
        <v>15</v>
      </c>
      <c r="J4920">
        <v>15</v>
      </c>
      <c r="K4920">
        <v>0</v>
      </c>
      <c r="L4920">
        <v>1</v>
      </c>
      <c r="M4920">
        <f>VLOOKUP(Table1[[#This Row],[subscription_type]],Plans!$A$1:$B$5,2,FALSE)</f>
        <v>0</v>
      </c>
      <c r="N4920">
        <f t="shared" si="76"/>
        <v>0</v>
      </c>
    </row>
    <row r="4921" spans="1:14" x14ac:dyDescent="0.35">
      <c r="A4921">
        <v>4920</v>
      </c>
      <c r="B4921" t="s">
        <v>16</v>
      </c>
      <c r="C4921">
        <v>45</v>
      </c>
      <c r="D4921" t="s">
        <v>13</v>
      </c>
      <c r="E4921" t="s">
        <v>18</v>
      </c>
      <c r="F4921">
        <v>99</v>
      </c>
      <c r="G4921">
        <v>96</v>
      </c>
      <c r="H4921">
        <v>0.47</v>
      </c>
      <c r="I4921" t="s">
        <v>23</v>
      </c>
      <c r="J4921">
        <v>0</v>
      </c>
      <c r="K4921">
        <v>1</v>
      </c>
      <c r="L4921">
        <v>1</v>
      </c>
      <c r="M4921">
        <f>VLOOKUP(Table1[[#This Row],[subscription_type]],Plans!$A$1:$B$5,2,FALSE)</f>
        <v>14.99</v>
      </c>
      <c r="N4921">
        <f t="shared" si="76"/>
        <v>14.99</v>
      </c>
    </row>
    <row r="4922" spans="1:14" x14ac:dyDescent="0.35">
      <c r="A4922">
        <v>4921</v>
      </c>
      <c r="B4922" t="s">
        <v>20</v>
      </c>
      <c r="C4922">
        <v>42</v>
      </c>
      <c r="D4922" t="s">
        <v>27</v>
      </c>
      <c r="E4922" t="s">
        <v>18</v>
      </c>
      <c r="F4922">
        <v>281</v>
      </c>
      <c r="G4922">
        <v>69</v>
      </c>
      <c r="H4922">
        <v>0.08</v>
      </c>
      <c r="I4922" t="s">
        <v>15</v>
      </c>
      <c r="J4922">
        <v>0</v>
      </c>
      <c r="K4922">
        <v>1</v>
      </c>
      <c r="L4922">
        <v>0</v>
      </c>
      <c r="M4922">
        <f>VLOOKUP(Table1[[#This Row],[subscription_type]],Plans!$A$1:$B$5,2,FALSE)</f>
        <v>14.99</v>
      </c>
      <c r="N4922">
        <f t="shared" si="76"/>
        <v>0</v>
      </c>
    </row>
    <row r="4923" spans="1:14" x14ac:dyDescent="0.35">
      <c r="A4923">
        <v>4922</v>
      </c>
      <c r="B4923" t="s">
        <v>12</v>
      </c>
      <c r="C4923">
        <v>20</v>
      </c>
      <c r="D4923" t="s">
        <v>29</v>
      </c>
      <c r="E4923" t="s">
        <v>14</v>
      </c>
      <c r="F4923">
        <v>95</v>
      </c>
      <c r="G4923">
        <v>67</v>
      </c>
      <c r="H4923">
        <v>0.25</v>
      </c>
      <c r="I4923" t="s">
        <v>23</v>
      </c>
      <c r="J4923">
        <v>17</v>
      </c>
      <c r="K4923">
        <v>0</v>
      </c>
      <c r="L4923">
        <v>0</v>
      </c>
      <c r="M4923">
        <f>VLOOKUP(Table1[[#This Row],[subscription_type]],Plans!$A$1:$B$5,2,FALSE)</f>
        <v>0</v>
      </c>
      <c r="N4923">
        <f t="shared" si="76"/>
        <v>0</v>
      </c>
    </row>
    <row r="4924" spans="1:14" x14ac:dyDescent="0.35">
      <c r="A4924">
        <v>4923</v>
      </c>
      <c r="B4924" t="s">
        <v>12</v>
      </c>
      <c r="C4924">
        <v>33</v>
      </c>
      <c r="D4924" t="s">
        <v>25</v>
      </c>
      <c r="E4924" t="s">
        <v>22</v>
      </c>
      <c r="F4924">
        <v>105</v>
      </c>
      <c r="G4924">
        <v>30</v>
      </c>
      <c r="H4924">
        <v>0.43</v>
      </c>
      <c r="I4924" t="s">
        <v>15</v>
      </c>
      <c r="J4924">
        <v>0</v>
      </c>
      <c r="K4924">
        <v>1</v>
      </c>
      <c r="L4924">
        <v>1</v>
      </c>
      <c r="M4924">
        <f>VLOOKUP(Table1[[#This Row],[subscription_type]],Plans!$A$1:$B$5,2,FALSE)</f>
        <v>9.99</v>
      </c>
      <c r="N4924">
        <f t="shared" si="76"/>
        <v>9.99</v>
      </c>
    </row>
    <row r="4925" spans="1:14" x14ac:dyDescent="0.35">
      <c r="A4925">
        <v>4924</v>
      </c>
      <c r="B4925" t="s">
        <v>16</v>
      </c>
      <c r="C4925">
        <v>42</v>
      </c>
      <c r="D4925" t="s">
        <v>21</v>
      </c>
      <c r="E4925" t="s">
        <v>18</v>
      </c>
      <c r="F4925">
        <v>241</v>
      </c>
      <c r="G4925">
        <v>69</v>
      </c>
      <c r="H4925">
        <v>0.34</v>
      </c>
      <c r="I4925" t="s">
        <v>19</v>
      </c>
      <c r="J4925">
        <v>0</v>
      </c>
      <c r="K4925">
        <v>1</v>
      </c>
      <c r="L4925">
        <v>0</v>
      </c>
      <c r="M4925">
        <f>VLOOKUP(Table1[[#This Row],[subscription_type]],Plans!$A$1:$B$5,2,FALSE)</f>
        <v>14.99</v>
      </c>
      <c r="N4925">
        <f t="shared" si="76"/>
        <v>0</v>
      </c>
    </row>
    <row r="4926" spans="1:14" x14ac:dyDescent="0.35">
      <c r="A4926">
        <v>4925</v>
      </c>
      <c r="B4926" t="s">
        <v>20</v>
      </c>
      <c r="C4926">
        <v>49</v>
      </c>
      <c r="D4926" t="s">
        <v>21</v>
      </c>
      <c r="E4926" t="s">
        <v>24</v>
      </c>
      <c r="F4926">
        <v>265</v>
      </c>
      <c r="G4926">
        <v>31</v>
      </c>
      <c r="H4926">
        <v>0.56000000000000005</v>
      </c>
      <c r="I4926" t="s">
        <v>15</v>
      </c>
      <c r="J4926">
        <v>0</v>
      </c>
      <c r="K4926">
        <v>1</v>
      </c>
      <c r="L4926">
        <v>0</v>
      </c>
      <c r="M4926">
        <f>VLOOKUP(Table1[[#This Row],[subscription_type]],Plans!$A$1:$B$5,2,FALSE)</f>
        <v>4.99</v>
      </c>
      <c r="N4926">
        <f t="shared" si="76"/>
        <v>0</v>
      </c>
    </row>
    <row r="4927" spans="1:14" x14ac:dyDescent="0.35">
      <c r="A4927">
        <v>4926</v>
      </c>
      <c r="B4927" t="s">
        <v>20</v>
      </c>
      <c r="C4927">
        <v>40</v>
      </c>
      <c r="D4927" t="s">
        <v>25</v>
      </c>
      <c r="E4927" t="s">
        <v>14</v>
      </c>
      <c r="F4927">
        <v>30</v>
      </c>
      <c r="G4927">
        <v>4</v>
      </c>
      <c r="H4927">
        <v>0.16</v>
      </c>
      <c r="I4927" t="s">
        <v>15</v>
      </c>
      <c r="J4927">
        <v>16</v>
      </c>
      <c r="K4927">
        <v>0</v>
      </c>
      <c r="L4927">
        <v>0</v>
      </c>
      <c r="M4927">
        <f>VLOOKUP(Table1[[#This Row],[subscription_type]],Plans!$A$1:$B$5,2,FALSE)</f>
        <v>0</v>
      </c>
      <c r="N4927">
        <f t="shared" si="76"/>
        <v>0</v>
      </c>
    </row>
    <row r="4928" spans="1:14" x14ac:dyDescent="0.35">
      <c r="A4928">
        <v>4927</v>
      </c>
      <c r="B4928" t="s">
        <v>12</v>
      </c>
      <c r="C4928">
        <v>44</v>
      </c>
      <c r="D4928" t="s">
        <v>13</v>
      </c>
      <c r="E4928" t="s">
        <v>24</v>
      </c>
      <c r="F4928">
        <v>77</v>
      </c>
      <c r="G4928">
        <v>52</v>
      </c>
      <c r="H4928">
        <v>0.01</v>
      </c>
      <c r="I4928" t="s">
        <v>15</v>
      </c>
      <c r="J4928">
        <v>0</v>
      </c>
      <c r="K4928">
        <v>1</v>
      </c>
      <c r="L4928">
        <v>0</v>
      </c>
      <c r="M4928">
        <f>VLOOKUP(Table1[[#This Row],[subscription_type]],Plans!$A$1:$B$5,2,FALSE)</f>
        <v>4.99</v>
      </c>
      <c r="N4928">
        <f t="shared" si="76"/>
        <v>0</v>
      </c>
    </row>
    <row r="4929" spans="1:14" x14ac:dyDescent="0.35">
      <c r="A4929">
        <v>4928</v>
      </c>
      <c r="B4929" t="s">
        <v>16</v>
      </c>
      <c r="C4929">
        <v>28</v>
      </c>
      <c r="D4929" t="s">
        <v>21</v>
      </c>
      <c r="E4929" t="s">
        <v>24</v>
      </c>
      <c r="F4929">
        <v>115</v>
      </c>
      <c r="G4929">
        <v>22</v>
      </c>
      <c r="H4929">
        <v>0.48</v>
      </c>
      <c r="I4929" t="s">
        <v>15</v>
      </c>
      <c r="J4929">
        <v>0</v>
      </c>
      <c r="K4929">
        <v>1</v>
      </c>
      <c r="L4929">
        <v>1</v>
      </c>
      <c r="M4929">
        <f>VLOOKUP(Table1[[#This Row],[subscription_type]],Plans!$A$1:$B$5,2,FALSE)</f>
        <v>4.99</v>
      </c>
      <c r="N4929">
        <f t="shared" si="76"/>
        <v>4.99</v>
      </c>
    </row>
    <row r="4930" spans="1:14" x14ac:dyDescent="0.35">
      <c r="A4930">
        <v>4929</v>
      </c>
      <c r="B4930" t="s">
        <v>16</v>
      </c>
      <c r="C4930">
        <v>48</v>
      </c>
      <c r="D4930" t="s">
        <v>27</v>
      </c>
      <c r="E4930" t="s">
        <v>22</v>
      </c>
      <c r="F4930">
        <v>205</v>
      </c>
      <c r="G4930">
        <v>51</v>
      </c>
      <c r="H4930">
        <v>0.19</v>
      </c>
      <c r="I4930" t="s">
        <v>23</v>
      </c>
      <c r="J4930">
        <v>0</v>
      </c>
      <c r="K4930">
        <v>1</v>
      </c>
      <c r="L4930">
        <v>1</v>
      </c>
      <c r="M4930">
        <f>VLOOKUP(Table1[[#This Row],[subscription_type]],Plans!$A$1:$B$5,2,FALSE)</f>
        <v>9.99</v>
      </c>
      <c r="N4930">
        <f t="shared" ref="N4930:N4993" si="77">IF(L4930=1, M4930,0)</f>
        <v>9.99</v>
      </c>
    </row>
    <row r="4931" spans="1:14" x14ac:dyDescent="0.35">
      <c r="A4931">
        <v>4930</v>
      </c>
      <c r="B4931" t="s">
        <v>12</v>
      </c>
      <c r="C4931">
        <v>35</v>
      </c>
      <c r="D4931" t="s">
        <v>26</v>
      </c>
      <c r="E4931" t="s">
        <v>18</v>
      </c>
      <c r="F4931">
        <v>199</v>
      </c>
      <c r="G4931">
        <v>33</v>
      </c>
      <c r="H4931">
        <v>0.59</v>
      </c>
      <c r="I4931" t="s">
        <v>23</v>
      </c>
      <c r="J4931">
        <v>0</v>
      </c>
      <c r="K4931">
        <v>1</v>
      </c>
      <c r="L4931">
        <v>0</v>
      </c>
      <c r="M4931">
        <f>VLOOKUP(Table1[[#This Row],[subscription_type]],Plans!$A$1:$B$5,2,FALSE)</f>
        <v>14.99</v>
      </c>
      <c r="N4931">
        <f t="shared" si="77"/>
        <v>0</v>
      </c>
    </row>
    <row r="4932" spans="1:14" x14ac:dyDescent="0.35">
      <c r="A4932">
        <v>4931</v>
      </c>
      <c r="B4932" t="s">
        <v>16</v>
      </c>
      <c r="C4932">
        <v>54</v>
      </c>
      <c r="D4932" t="s">
        <v>17</v>
      </c>
      <c r="E4932" t="s">
        <v>18</v>
      </c>
      <c r="F4932">
        <v>200</v>
      </c>
      <c r="G4932">
        <v>48</v>
      </c>
      <c r="H4932">
        <v>0.34</v>
      </c>
      <c r="I4932" t="s">
        <v>23</v>
      </c>
      <c r="J4932">
        <v>0</v>
      </c>
      <c r="K4932">
        <v>1</v>
      </c>
      <c r="L4932">
        <v>0</v>
      </c>
      <c r="M4932">
        <f>VLOOKUP(Table1[[#This Row],[subscription_type]],Plans!$A$1:$B$5,2,FALSE)</f>
        <v>14.99</v>
      </c>
      <c r="N4932">
        <f t="shared" si="77"/>
        <v>0</v>
      </c>
    </row>
    <row r="4933" spans="1:14" x14ac:dyDescent="0.35">
      <c r="A4933">
        <v>4932</v>
      </c>
      <c r="B4933" t="s">
        <v>20</v>
      </c>
      <c r="C4933">
        <v>38</v>
      </c>
      <c r="D4933" t="s">
        <v>27</v>
      </c>
      <c r="E4933" t="s">
        <v>22</v>
      </c>
      <c r="F4933">
        <v>210</v>
      </c>
      <c r="G4933">
        <v>4</v>
      </c>
      <c r="H4933">
        <v>0.41</v>
      </c>
      <c r="I4933" t="s">
        <v>19</v>
      </c>
      <c r="J4933">
        <v>0</v>
      </c>
      <c r="K4933">
        <v>1</v>
      </c>
      <c r="L4933">
        <v>0</v>
      </c>
      <c r="M4933">
        <f>VLOOKUP(Table1[[#This Row],[subscription_type]],Plans!$A$1:$B$5,2,FALSE)</f>
        <v>9.99</v>
      </c>
      <c r="N4933">
        <f t="shared" si="77"/>
        <v>0</v>
      </c>
    </row>
    <row r="4934" spans="1:14" x14ac:dyDescent="0.35">
      <c r="A4934">
        <v>4933</v>
      </c>
      <c r="B4934" t="s">
        <v>12</v>
      </c>
      <c r="C4934">
        <v>47</v>
      </c>
      <c r="D4934" t="s">
        <v>25</v>
      </c>
      <c r="E4934" t="s">
        <v>14</v>
      </c>
      <c r="F4934">
        <v>139</v>
      </c>
      <c r="G4934">
        <v>31</v>
      </c>
      <c r="H4934">
        <v>0.05</v>
      </c>
      <c r="I4934" t="s">
        <v>23</v>
      </c>
      <c r="J4934">
        <v>44</v>
      </c>
      <c r="K4934">
        <v>0</v>
      </c>
      <c r="L4934">
        <v>1</v>
      </c>
      <c r="M4934">
        <f>VLOOKUP(Table1[[#This Row],[subscription_type]],Plans!$A$1:$B$5,2,FALSE)</f>
        <v>0</v>
      </c>
      <c r="N4934">
        <f t="shared" si="77"/>
        <v>0</v>
      </c>
    </row>
    <row r="4935" spans="1:14" x14ac:dyDescent="0.35">
      <c r="A4935">
        <v>4934</v>
      </c>
      <c r="B4935" t="s">
        <v>20</v>
      </c>
      <c r="C4935">
        <v>59</v>
      </c>
      <c r="D4935" t="s">
        <v>29</v>
      </c>
      <c r="E4935" t="s">
        <v>18</v>
      </c>
      <c r="F4935">
        <v>248</v>
      </c>
      <c r="G4935">
        <v>4</v>
      </c>
      <c r="H4935">
        <v>0.5</v>
      </c>
      <c r="I4935" t="s">
        <v>15</v>
      </c>
      <c r="J4935">
        <v>0</v>
      </c>
      <c r="K4935">
        <v>1</v>
      </c>
      <c r="L4935">
        <v>0</v>
      </c>
      <c r="M4935">
        <f>VLOOKUP(Table1[[#This Row],[subscription_type]],Plans!$A$1:$B$5,2,FALSE)</f>
        <v>14.99</v>
      </c>
      <c r="N4935">
        <f t="shared" si="77"/>
        <v>0</v>
      </c>
    </row>
    <row r="4936" spans="1:14" x14ac:dyDescent="0.35">
      <c r="A4936">
        <v>4935</v>
      </c>
      <c r="B4936" t="s">
        <v>16</v>
      </c>
      <c r="C4936">
        <v>55</v>
      </c>
      <c r="D4936" t="s">
        <v>28</v>
      </c>
      <c r="E4936" t="s">
        <v>14</v>
      </c>
      <c r="F4936">
        <v>41</v>
      </c>
      <c r="G4936">
        <v>5</v>
      </c>
      <c r="H4936">
        <v>0.48</v>
      </c>
      <c r="I4936" t="s">
        <v>15</v>
      </c>
      <c r="J4936">
        <v>25</v>
      </c>
      <c r="K4936">
        <v>0</v>
      </c>
      <c r="L4936">
        <v>0</v>
      </c>
      <c r="M4936">
        <f>VLOOKUP(Table1[[#This Row],[subscription_type]],Plans!$A$1:$B$5,2,FALSE)</f>
        <v>0</v>
      </c>
      <c r="N4936">
        <f t="shared" si="77"/>
        <v>0</v>
      </c>
    </row>
    <row r="4937" spans="1:14" x14ac:dyDescent="0.35">
      <c r="A4937">
        <v>4936</v>
      </c>
      <c r="B4937" t="s">
        <v>16</v>
      </c>
      <c r="C4937">
        <v>49</v>
      </c>
      <c r="D4937" t="s">
        <v>28</v>
      </c>
      <c r="E4937" t="s">
        <v>24</v>
      </c>
      <c r="F4937">
        <v>201</v>
      </c>
      <c r="G4937">
        <v>39</v>
      </c>
      <c r="H4937">
        <v>0.12</v>
      </c>
      <c r="I4937" t="s">
        <v>19</v>
      </c>
      <c r="J4937">
        <v>0</v>
      </c>
      <c r="K4937">
        <v>1</v>
      </c>
      <c r="L4937">
        <v>0</v>
      </c>
      <c r="M4937">
        <f>VLOOKUP(Table1[[#This Row],[subscription_type]],Plans!$A$1:$B$5,2,FALSE)</f>
        <v>4.99</v>
      </c>
      <c r="N4937">
        <f t="shared" si="77"/>
        <v>0</v>
      </c>
    </row>
    <row r="4938" spans="1:14" x14ac:dyDescent="0.35">
      <c r="A4938">
        <v>4937</v>
      </c>
      <c r="B4938" t="s">
        <v>12</v>
      </c>
      <c r="C4938">
        <v>35</v>
      </c>
      <c r="D4938" t="s">
        <v>25</v>
      </c>
      <c r="E4938" t="s">
        <v>14</v>
      </c>
      <c r="F4938">
        <v>47</v>
      </c>
      <c r="G4938">
        <v>94</v>
      </c>
      <c r="H4938">
        <v>0</v>
      </c>
      <c r="I4938" t="s">
        <v>19</v>
      </c>
      <c r="J4938">
        <v>27</v>
      </c>
      <c r="K4938">
        <v>0</v>
      </c>
      <c r="L4938">
        <v>0</v>
      </c>
      <c r="M4938">
        <f>VLOOKUP(Table1[[#This Row],[subscription_type]],Plans!$A$1:$B$5,2,FALSE)</f>
        <v>0</v>
      </c>
      <c r="N4938">
        <f t="shared" si="77"/>
        <v>0</v>
      </c>
    </row>
    <row r="4939" spans="1:14" x14ac:dyDescent="0.35">
      <c r="A4939">
        <v>4938</v>
      </c>
      <c r="B4939" t="s">
        <v>20</v>
      </c>
      <c r="C4939">
        <v>53</v>
      </c>
      <c r="D4939" t="s">
        <v>17</v>
      </c>
      <c r="E4939" t="s">
        <v>14</v>
      </c>
      <c r="F4939">
        <v>39</v>
      </c>
      <c r="G4939">
        <v>37</v>
      </c>
      <c r="H4939">
        <v>0.17</v>
      </c>
      <c r="I4939" t="s">
        <v>19</v>
      </c>
      <c r="J4939">
        <v>29</v>
      </c>
      <c r="K4939">
        <v>0</v>
      </c>
      <c r="L4939">
        <v>1</v>
      </c>
      <c r="M4939">
        <f>VLOOKUP(Table1[[#This Row],[subscription_type]],Plans!$A$1:$B$5,2,FALSE)</f>
        <v>0</v>
      </c>
      <c r="N4939">
        <f t="shared" si="77"/>
        <v>0</v>
      </c>
    </row>
    <row r="4940" spans="1:14" x14ac:dyDescent="0.35">
      <c r="A4940">
        <v>4939</v>
      </c>
      <c r="B4940" t="s">
        <v>16</v>
      </c>
      <c r="C4940">
        <v>32</v>
      </c>
      <c r="D4940" t="s">
        <v>17</v>
      </c>
      <c r="E4940" t="s">
        <v>14</v>
      </c>
      <c r="F4940">
        <v>172</v>
      </c>
      <c r="G4940">
        <v>50</v>
      </c>
      <c r="H4940">
        <v>0.57999999999999996</v>
      </c>
      <c r="I4940" t="s">
        <v>23</v>
      </c>
      <c r="J4940">
        <v>10</v>
      </c>
      <c r="K4940">
        <v>0</v>
      </c>
      <c r="L4940">
        <v>0</v>
      </c>
      <c r="M4940">
        <f>VLOOKUP(Table1[[#This Row],[subscription_type]],Plans!$A$1:$B$5,2,FALSE)</f>
        <v>0</v>
      </c>
      <c r="N4940">
        <f t="shared" si="77"/>
        <v>0</v>
      </c>
    </row>
    <row r="4941" spans="1:14" x14ac:dyDescent="0.35">
      <c r="A4941">
        <v>4940</v>
      </c>
      <c r="B4941" t="s">
        <v>12</v>
      </c>
      <c r="C4941">
        <v>50</v>
      </c>
      <c r="D4941" t="s">
        <v>17</v>
      </c>
      <c r="E4941" t="s">
        <v>24</v>
      </c>
      <c r="F4941">
        <v>233</v>
      </c>
      <c r="G4941">
        <v>85</v>
      </c>
      <c r="H4941">
        <v>0.02</v>
      </c>
      <c r="I4941" t="s">
        <v>15</v>
      </c>
      <c r="J4941">
        <v>0</v>
      </c>
      <c r="K4941">
        <v>1</v>
      </c>
      <c r="L4941">
        <v>0</v>
      </c>
      <c r="M4941">
        <f>VLOOKUP(Table1[[#This Row],[subscription_type]],Plans!$A$1:$B$5,2,FALSE)</f>
        <v>4.99</v>
      </c>
      <c r="N4941">
        <f t="shared" si="77"/>
        <v>0</v>
      </c>
    </row>
    <row r="4942" spans="1:14" x14ac:dyDescent="0.35">
      <c r="A4942">
        <v>4941</v>
      </c>
      <c r="B4942" t="s">
        <v>16</v>
      </c>
      <c r="C4942">
        <v>41</v>
      </c>
      <c r="D4942" t="s">
        <v>29</v>
      </c>
      <c r="E4942" t="s">
        <v>18</v>
      </c>
      <c r="F4942">
        <v>284</v>
      </c>
      <c r="G4942">
        <v>16</v>
      </c>
      <c r="H4942">
        <v>0.35</v>
      </c>
      <c r="I4942" t="s">
        <v>19</v>
      </c>
      <c r="J4942">
        <v>0</v>
      </c>
      <c r="K4942">
        <v>1</v>
      </c>
      <c r="L4942">
        <v>0</v>
      </c>
      <c r="M4942">
        <f>VLOOKUP(Table1[[#This Row],[subscription_type]],Plans!$A$1:$B$5,2,FALSE)</f>
        <v>14.99</v>
      </c>
      <c r="N4942">
        <f t="shared" si="77"/>
        <v>0</v>
      </c>
    </row>
    <row r="4943" spans="1:14" x14ac:dyDescent="0.35">
      <c r="A4943">
        <v>4942</v>
      </c>
      <c r="B4943" t="s">
        <v>12</v>
      </c>
      <c r="C4943">
        <v>24</v>
      </c>
      <c r="D4943" t="s">
        <v>26</v>
      </c>
      <c r="E4943" t="s">
        <v>22</v>
      </c>
      <c r="F4943">
        <v>205</v>
      </c>
      <c r="G4943">
        <v>86</v>
      </c>
      <c r="H4943">
        <v>0.08</v>
      </c>
      <c r="I4943" t="s">
        <v>23</v>
      </c>
      <c r="J4943">
        <v>0</v>
      </c>
      <c r="K4943">
        <v>1</v>
      </c>
      <c r="L4943">
        <v>0</v>
      </c>
      <c r="M4943">
        <f>VLOOKUP(Table1[[#This Row],[subscription_type]],Plans!$A$1:$B$5,2,FALSE)</f>
        <v>9.99</v>
      </c>
      <c r="N4943">
        <f t="shared" si="77"/>
        <v>0</v>
      </c>
    </row>
    <row r="4944" spans="1:14" x14ac:dyDescent="0.35">
      <c r="A4944">
        <v>4943</v>
      </c>
      <c r="B4944" t="s">
        <v>16</v>
      </c>
      <c r="C4944">
        <v>46</v>
      </c>
      <c r="D4944" t="s">
        <v>27</v>
      </c>
      <c r="E4944" t="s">
        <v>18</v>
      </c>
      <c r="F4944">
        <v>260</v>
      </c>
      <c r="G4944">
        <v>31</v>
      </c>
      <c r="H4944">
        <v>0.49</v>
      </c>
      <c r="I4944" t="s">
        <v>19</v>
      </c>
      <c r="J4944">
        <v>0</v>
      </c>
      <c r="K4944">
        <v>1</v>
      </c>
      <c r="L4944">
        <v>0</v>
      </c>
      <c r="M4944">
        <f>VLOOKUP(Table1[[#This Row],[subscription_type]],Plans!$A$1:$B$5,2,FALSE)</f>
        <v>14.99</v>
      </c>
      <c r="N4944">
        <f t="shared" si="77"/>
        <v>0</v>
      </c>
    </row>
    <row r="4945" spans="1:14" x14ac:dyDescent="0.35">
      <c r="A4945">
        <v>4944</v>
      </c>
      <c r="B4945" t="s">
        <v>16</v>
      </c>
      <c r="C4945">
        <v>42</v>
      </c>
      <c r="D4945" t="s">
        <v>28</v>
      </c>
      <c r="E4945" t="s">
        <v>22</v>
      </c>
      <c r="F4945">
        <v>14</v>
      </c>
      <c r="G4945">
        <v>20</v>
      </c>
      <c r="H4945">
        <v>0.16</v>
      </c>
      <c r="I4945" t="s">
        <v>15</v>
      </c>
      <c r="J4945">
        <v>0</v>
      </c>
      <c r="K4945">
        <v>1</v>
      </c>
      <c r="L4945">
        <v>0</v>
      </c>
      <c r="M4945">
        <f>VLOOKUP(Table1[[#This Row],[subscription_type]],Plans!$A$1:$B$5,2,FALSE)</f>
        <v>9.99</v>
      </c>
      <c r="N4945">
        <f t="shared" si="77"/>
        <v>0</v>
      </c>
    </row>
    <row r="4946" spans="1:14" x14ac:dyDescent="0.35">
      <c r="A4946">
        <v>4945</v>
      </c>
      <c r="B4946" t="s">
        <v>20</v>
      </c>
      <c r="C4946">
        <v>23</v>
      </c>
      <c r="D4946" t="s">
        <v>28</v>
      </c>
      <c r="E4946" t="s">
        <v>18</v>
      </c>
      <c r="F4946">
        <v>190</v>
      </c>
      <c r="G4946">
        <v>83</v>
      </c>
      <c r="H4946">
        <v>0.41</v>
      </c>
      <c r="I4946" t="s">
        <v>15</v>
      </c>
      <c r="J4946">
        <v>0</v>
      </c>
      <c r="K4946">
        <v>1</v>
      </c>
      <c r="L4946">
        <v>1</v>
      </c>
      <c r="M4946">
        <f>VLOOKUP(Table1[[#This Row],[subscription_type]],Plans!$A$1:$B$5,2,FALSE)</f>
        <v>14.99</v>
      </c>
      <c r="N4946">
        <f t="shared" si="77"/>
        <v>14.99</v>
      </c>
    </row>
    <row r="4947" spans="1:14" x14ac:dyDescent="0.35">
      <c r="A4947">
        <v>4946</v>
      </c>
      <c r="B4947" t="s">
        <v>20</v>
      </c>
      <c r="C4947">
        <v>42</v>
      </c>
      <c r="D4947" t="s">
        <v>21</v>
      </c>
      <c r="E4947" t="s">
        <v>24</v>
      </c>
      <c r="F4947">
        <v>189</v>
      </c>
      <c r="G4947">
        <v>39</v>
      </c>
      <c r="H4947">
        <v>7.0000000000000007E-2</v>
      </c>
      <c r="I4947" t="s">
        <v>19</v>
      </c>
      <c r="J4947">
        <v>0</v>
      </c>
      <c r="K4947">
        <v>1</v>
      </c>
      <c r="L4947">
        <v>0</v>
      </c>
      <c r="M4947">
        <f>VLOOKUP(Table1[[#This Row],[subscription_type]],Plans!$A$1:$B$5,2,FALSE)</f>
        <v>4.99</v>
      </c>
      <c r="N4947">
        <f t="shared" si="77"/>
        <v>0</v>
      </c>
    </row>
    <row r="4948" spans="1:14" x14ac:dyDescent="0.35">
      <c r="A4948">
        <v>4947</v>
      </c>
      <c r="B4948" t="s">
        <v>20</v>
      </c>
      <c r="C4948">
        <v>36</v>
      </c>
      <c r="D4948" t="s">
        <v>27</v>
      </c>
      <c r="E4948" t="s">
        <v>18</v>
      </c>
      <c r="F4948">
        <v>193</v>
      </c>
      <c r="G4948">
        <v>57</v>
      </c>
      <c r="H4948">
        <v>0.34</v>
      </c>
      <c r="I4948" t="s">
        <v>23</v>
      </c>
      <c r="J4948">
        <v>0</v>
      </c>
      <c r="K4948">
        <v>1</v>
      </c>
      <c r="L4948">
        <v>0</v>
      </c>
      <c r="M4948">
        <f>VLOOKUP(Table1[[#This Row],[subscription_type]],Plans!$A$1:$B$5,2,FALSE)</f>
        <v>14.99</v>
      </c>
      <c r="N4948">
        <f t="shared" si="77"/>
        <v>0</v>
      </c>
    </row>
    <row r="4949" spans="1:14" x14ac:dyDescent="0.35">
      <c r="A4949">
        <v>4948</v>
      </c>
      <c r="B4949" t="s">
        <v>16</v>
      </c>
      <c r="C4949">
        <v>31</v>
      </c>
      <c r="D4949" t="s">
        <v>25</v>
      </c>
      <c r="E4949" t="s">
        <v>14</v>
      </c>
      <c r="F4949">
        <v>145</v>
      </c>
      <c r="G4949">
        <v>62</v>
      </c>
      <c r="H4949">
        <v>0.04</v>
      </c>
      <c r="I4949" t="s">
        <v>15</v>
      </c>
      <c r="J4949">
        <v>30</v>
      </c>
      <c r="K4949">
        <v>0</v>
      </c>
      <c r="L4949">
        <v>1</v>
      </c>
      <c r="M4949">
        <f>VLOOKUP(Table1[[#This Row],[subscription_type]],Plans!$A$1:$B$5,2,FALSE)</f>
        <v>0</v>
      </c>
      <c r="N4949">
        <f t="shared" si="77"/>
        <v>0</v>
      </c>
    </row>
    <row r="4950" spans="1:14" x14ac:dyDescent="0.35">
      <c r="A4950">
        <v>4949</v>
      </c>
      <c r="B4950" t="s">
        <v>12</v>
      </c>
      <c r="C4950">
        <v>41</v>
      </c>
      <c r="D4950" t="s">
        <v>28</v>
      </c>
      <c r="E4950" t="s">
        <v>14</v>
      </c>
      <c r="F4950">
        <v>92</v>
      </c>
      <c r="G4950">
        <v>55</v>
      </c>
      <c r="H4950">
        <v>0.56000000000000005</v>
      </c>
      <c r="I4950" t="s">
        <v>23</v>
      </c>
      <c r="J4950">
        <v>8</v>
      </c>
      <c r="K4950">
        <v>0</v>
      </c>
      <c r="L4950">
        <v>1</v>
      </c>
      <c r="M4950">
        <f>VLOOKUP(Table1[[#This Row],[subscription_type]],Plans!$A$1:$B$5,2,FALSE)</f>
        <v>0</v>
      </c>
      <c r="N4950">
        <f t="shared" si="77"/>
        <v>0</v>
      </c>
    </row>
    <row r="4951" spans="1:14" x14ac:dyDescent="0.35">
      <c r="A4951">
        <v>4950</v>
      </c>
      <c r="B4951" t="s">
        <v>12</v>
      </c>
      <c r="C4951">
        <v>44</v>
      </c>
      <c r="D4951" t="s">
        <v>26</v>
      </c>
      <c r="E4951" t="s">
        <v>18</v>
      </c>
      <c r="F4951">
        <v>248</v>
      </c>
      <c r="G4951">
        <v>45</v>
      </c>
      <c r="H4951">
        <v>0.02</v>
      </c>
      <c r="I4951" t="s">
        <v>19</v>
      </c>
      <c r="J4951">
        <v>0</v>
      </c>
      <c r="K4951">
        <v>1</v>
      </c>
      <c r="L4951">
        <v>0</v>
      </c>
      <c r="M4951">
        <f>VLOOKUP(Table1[[#This Row],[subscription_type]],Plans!$A$1:$B$5,2,FALSE)</f>
        <v>14.99</v>
      </c>
      <c r="N4951">
        <f t="shared" si="77"/>
        <v>0</v>
      </c>
    </row>
    <row r="4952" spans="1:14" x14ac:dyDescent="0.35">
      <c r="A4952">
        <v>4951</v>
      </c>
      <c r="B4952" t="s">
        <v>20</v>
      </c>
      <c r="C4952">
        <v>50</v>
      </c>
      <c r="D4952" t="s">
        <v>13</v>
      </c>
      <c r="E4952" t="s">
        <v>18</v>
      </c>
      <c r="F4952">
        <v>238</v>
      </c>
      <c r="G4952">
        <v>70</v>
      </c>
      <c r="H4952">
        <v>0.42</v>
      </c>
      <c r="I4952" t="s">
        <v>23</v>
      </c>
      <c r="J4952">
        <v>0</v>
      </c>
      <c r="K4952">
        <v>1</v>
      </c>
      <c r="L4952">
        <v>0</v>
      </c>
      <c r="M4952">
        <f>VLOOKUP(Table1[[#This Row],[subscription_type]],Plans!$A$1:$B$5,2,FALSE)</f>
        <v>14.99</v>
      </c>
      <c r="N4952">
        <f t="shared" si="77"/>
        <v>0</v>
      </c>
    </row>
    <row r="4953" spans="1:14" x14ac:dyDescent="0.35">
      <c r="A4953">
        <v>4952</v>
      </c>
      <c r="B4953" t="s">
        <v>16</v>
      </c>
      <c r="C4953">
        <v>54</v>
      </c>
      <c r="D4953" t="s">
        <v>29</v>
      </c>
      <c r="E4953" t="s">
        <v>18</v>
      </c>
      <c r="F4953">
        <v>74</v>
      </c>
      <c r="G4953">
        <v>33</v>
      </c>
      <c r="H4953">
        <v>0.09</v>
      </c>
      <c r="I4953" t="s">
        <v>19</v>
      </c>
      <c r="J4953">
        <v>0</v>
      </c>
      <c r="K4953">
        <v>1</v>
      </c>
      <c r="L4953">
        <v>1</v>
      </c>
      <c r="M4953">
        <f>VLOOKUP(Table1[[#This Row],[subscription_type]],Plans!$A$1:$B$5,2,FALSE)</f>
        <v>14.99</v>
      </c>
      <c r="N4953">
        <f t="shared" si="77"/>
        <v>14.99</v>
      </c>
    </row>
    <row r="4954" spans="1:14" x14ac:dyDescent="0.35">
      <c r="A4954">
        <v>4953</v>
      </c>
      <c r="B4954" t="s">
        <v>20</v>
      </c>
      <c r="C4954">
        <v>38</v>
      </c>
      <c r="D4954" t="s">
        <v>21</v>
      </c>
      <c r="E4954" t="s">
        <v>24</v>
      </c>
      <c r="F4954">
        <v>264</v>
      </c>
      <c r="G4954">
        <v>71</v>
      </c>
      <c r="H4954">
        <v>0.27</v>
      </c>
      <c r="I4954" t="s">
        <v>15</v>
      </c>
      <c r="J4954">
        <v>0</v>
      </c>
      <c r="K4954">
        <v>1</v>
      </c>
      <c r="L4954">
        <v>0</v>
      </c>
      <c r="M4954">
        <f>VLOOKUP(Table1[[#This Row],[subscription_type]],Plans!$A$1:$B$5,2,FALSE)</f>
        <v>4.99</v>
      </c>
      <c r="N4954">
        <f t="shared" si="77"/>
        <v>0</v>
      </c>
    </row>
    <row r="4955" spans="1:14" x14ac:dyDescent="0.35">
      <c r="A4955">
        <v>4954</v>
      </c>
      <c r="B4955" t="s">
        <v>12</v>
      </c>
      <c r="C4955">
        <v>57</v>
      </c>
      <c r="D4955" t="s">
        <v>26</v>
      </c>
      <c r="E4955" t="s">
        <v>22</v>
      </c>
      <c r="F4955">
        <v>288</v>
      </c>
      <c r="G4955">
        <v>99</v>
      </c>
      <c r="H4955">
        <v>0.31</v>
      </c>
      <c r="I4955" t="s">
        <v>15</v>
      </c>
      <c r="J4955">
        <v>0</v>
      </c>
      <c r="K4955">
        <v>1</v>
      </c>
      <c r="L4955">
        <v>1</v>
      </c>
      <c r="M4955">
        <f>VLOOKUP(Table1[[#This Row],[subscription_type]],Plans!$A$1:$B$5,2,FALSE)</f>
        <v>9.99</v>
      </c>
      <c r="N4955">
        <f t="shared" si="77"/>
        <v>9.99</v>
      </c>
    </row>
    <row r="4956" spans="1:14" x14ac:dyDescent="0.35">
      <c r="A4956">
        <v>4955</v>
      </c>
      <c r="B4956" t="s">
        <v>12</v>
      </c>
      <c r="C4956">
        <v>57</v>
      </c>
      <c r="D4956" t="s">
        <v>21</v>
      </c>
      <c r="E4956" t="s">
        <v>18</v>
      </c>
      <c r="F4956">
        <v>83</v>
      </c>
      <c r="G4956">
        <v>40</v>
      </c>
      <c r="H4956">
        <v>0.51</v>
      </c>
      <c r="I4956" t="s">
        <v>19</v>
      </c>
      <c r="J4956">
        <v>0</v>
      </c>
      <c r="K4956">
        <v>1</v>
      </c>
      <c r="L4956">
        <v>0</v>
      </c>
      <c r="M4956">
        <f>VLOOKUP(Table1[[#This Row],[subscription_type]],Plans!$A$1:$B$5,2,FALSE)</f>
        <v>14.99</v>
      </c>
      <c r="N4956">
        <f t="shared" si="77"/>
        <v>0</v>
      </c>
    </row>
    <row r="4957" spans="1:14" x14ac:dyDescent="0.35">
      <c r="A4957">
        <v>4956</v>
      </c>
      <c r="B4957" t="s">
        <v>20</v>
      </c>
      <c r="C4957">
        <v>22</v>
      </c>
      <c r="D4957" t="s">
        <v>26</v>
      </c>
      <c r="E4957" t="s">
        <v>24</v>
      </c>
      <c r="F4957">
        <v>65</v>
      </c>
      <c r="G4957">
        <v>64</v>
      </c>
      <c r="H4957">
        <v>0.15</v>
      </c>
      <c r="I4957" t="s">
        <v>15</v>
      </c>
      <c r="J4957">
        <v>0</v>
      </c>
      <c r="K4957">
        <v>1</v>
      </c>
      <c r="L4957">
        <v>0</v>
      </c>
      <c r="M4957">
        <f>VLOOKUP(Table1[[#This Row],[subscription_type]],Plans!$A$1:$B$5,2,FALSE)</f>
        <v>4.99</v>
      </c>
      <c r="N4957">
        <f t="shared" si="77"/>
        <v>0</v>
      </c>
    </row>
    <row r="4958" spans="1:14" x14ac:dyDescent="0.35">
      <c r="A4958">
        <v>4957</v>
      </c>
      <c r="B4958" t="s">
        <v>16</v>
      </c>
      <c r="C4958">
        <v>18</v>
      </c>
      <c r="D4958" t="s">
        <v>21</v>
      </c>
      <c r="E4958" t="s">
        <v>14</v>
      </c>
      <c r="F4958">
        <v>194</v>
      </c>
      <c r="G4958">
        <v>68</v>
      </c>
      <c r="H4958">
        <v>0.56999999999999995</v>
      </c>
      <c r="I4958" t="s">
        <v>19</v>
      </c>
      <c r="J4958">
        <v>38</v>
      </c>
      <c r="K4958">
        <v>0</v>
      </c>
      <c r="L4958">
        <v>0</v>
      </c>
      <c r="M4958">
        <f>VLOOKUP(Table1[[#This Row],[subscription_type]],Plans!$A$1:$B$5,2,FALSE)</f>
        <v>0</v>
      </c>
      <c r="N4958">
        <f t="shared" si="77"/>
        <v>0</v>
      </c>
    </row>
    <row r="4959" spans="1:14" x14ac:dyDescent="0.35">
      <c r="A4959">
        <v>4958</v>
      </c>
      <c r="B4959" t="s">
        <v>20</v>
      </c>
      <c r="C4959">
        <v>19</v>
      </c>
      <c r="D4959" t="s">
        <v>27</v>
      </c>
      <c r="E4959" t="s">
        <v>18</v>
      </c>
      <c r="F4959">
        <v>83</v>
      </c>
      <c r="G4959">
        <v>85</v>
      </c>
      <c r="H4959">
        <v>0.45</v>
      </c>
      <c r="I4959" t="s">
        <v>15</v>
      </c>
      <c r="J4959">
        <v>0</v>
      </c>
      <c r="K4959">
        <v>1</v>
      </c>
      <c r="L4959">
        <v>0</v>
      </c>
      <c r="M4959">
        <f>VLOOKUP(Table1[[#This Row],[subscription_type]],Plans!$A$1:$B$5,2,FALSE)</f>
        <v>14.99</v>
      </c>
      <c r="N4959">
        <f t="shared" si="77"/>
        <v>0</v>
      </c>
    </row>
    <row r="4960" spans="1:14" x14ac:dyDescent="0.35">
      <c r="A4960">
        <v>4959</v>
      </c>
      <c r="B4960" t="s">
        <v>12</v>
      </c>
      <c r="C4960">
        <v>20</v>
      </c>
      <c r="D4960" t="s">
        <v>29</v>
      </c>
      <c r="E4960" t="s">
        <v>22</v>
      </c>
      <c r="F4960">
        <v>153</v>
      </c>
      <c r="G4960">
        <v>92</v>
      </c>
      <c r="H4960">
        <v>0.3</v>
      </c>
      <c r="I4960" t="s">
        <v>23</v>
      </c>
      <c r="J4960">
        <v>0</v>
      </c>
      <c r="K4960">
        <v>1</v>
      </c>
      <c r="L4960">
        <v>1</v>
      </c>
      <c r="M4960">
        <f>VLOOKUP(Table1[[#This Row],[subscription_type]],Plans!$A$1:$B$5,2,FALSE)</f>
        <v>9.99</v>
      </c>
      <c r="N4960">
        <f t="shared" si="77"/>
        <v>9.99</v>
      </c>
    </row>
    <row r="4961" spans="1:14" x14ac:dyDescent="0.35">
      <c r="A4961">
        <v>4960</v>
      </c>
      <c r="B4961" t="s">
        <v>16</v>
      </c>
      <c r="C4961">
        <v>38</v>
      </c>
      <c r="D4961" t="s">
        <v>26</v>
      </c>
      <c r="E4961" t="s">
        <v>22</v>
      </c>
      <c r="F4961">
        <v>67</v>
      </c>
      <c r="G4961">
        <v>68</v>
      </c>
      <c r="H4961">
        <v>0.32</v>
      </c>
      <c r="I4961" t="s">
        <v>23</v>
      </c>
      <c r="J4961">
        <v>0</v>
      </c>
      <c r="K4961">
        <v>1</v>
      </c>
      <c r="L4961">
        <v>0</v>
      </c>
      <c r="M4961">
        <f>VLOOKUP(Table1[[#This Row],[subscription_type]],Plans!$A$1:$B$5,2,FALSE)</f>
        <v>9.99</v>
      </c>
      <c r="N4961">
        <f t="shared" si="77"/>
        <v>0</v>
      </c>
    </row>
    <row r="4962" spans="1:14" x14ac:dyDescent="0.35">
      <c r="A4962">
        <v>4961</v>
      </c>
      <c r="B4962" t="s">
        <v>12</v>
      </c>
      <c r="C4962">
        <v>54</v>
      </c>
      <c r="D4962" t="s">
        <v>25</v>
      </c>
      <c r="E4962" t="s">
        <v>14</v>
      </c>
      <c r="F4962">
        <v>142</v>
      </c>
      <c r="G4962">
        <v>46</v>
      </c>
      <c r="H4962">
        <v>0.35</v>
      </c>
      <c r="I4962" t="s">
        <v>19</v>
      </c>
      <c r="J4962">
        <v>28</v>
      </c>
      <c r="K4962">
        <v>0</v>
      </c>
      <c r="L4962">
        <v>0</v>
      </c>
      <c r="M4962">
        <f>VLOOKUP(Table1[[#This Row],[subscription_type]],Plans!$A$1:$B$5,2,FALSE)</f>
        <v>0</v>
      </c>
      <c r="N4962">
        <f t="shared" si="77"/>
        <v>0</v>
      </c>
    </row>
    <row r="4963" spans="1:14" x14ac:dyDescent="0.35">
      <c r="A4963">
        <v>4962</v>
      </c>
      <c r="B4963" t="s">
        <v>20</v>
      </c>
      <c r="C4963">
        <v>23</v>
      </c>
      <c r="D4963" t="s">
        <v>13</v>
      </c>
      <c r="E4963" t="s">
        <v>18</v>
      </c>
      <c r="F4963">
        <v>248</v>
      </c>
      <c r="G4963">
        <v>89</v>
      </c>
      <c r="H4963">
        <v>0.24</v>
      </c>
      <c r="I4963" t="s">
        <v>15</v>
      </c>
      <c r="J4963">
        <v>0</v>
      </c>
      <c r="K4963">
        <v>1</v>
      </c>
      <c r="L4963">
        <v>1</v>
      </c>
      <c r="M4963">
        <f>VLOOKUP(Table1[[#This Row],[subscription_type]],Plans!$A$1:$B$5,2,FALSE)</f>
        <v>14.99</v>
      </c>
      <c r="N4963">
        <f t="shared" si="77"/>
        <v>14.99</v>
      </c>
    </row>
    <row r="4964" spans="1:14" x14ac:dyDescent="0.35">
      <c r="A4964">
        <v>4963</v>
      </c>
      <c r="B4964" t="s">
        <v>12</v>
      </c>
      <c r="C4964">
        <v>49</v>
      </c>
      <c r="D4964" t="s">
        <v>25</v>
      </c>
      <c r="E4964" t="s">
        <v>18</v>
      </c>
      <c r="F4964">
        <v>139</v>
      </c>
      <c r="G4964">
        <v>39</v>
      </c>
      <c r="H4964">
        <v>0.01</v>
      </c>
      <c r="I4964" t="s">
        <v>23</v>
      </c>
      <c r="J4964">
        <v>0</v>
      </c>
      <c r="K4964">
        <v>1</v>
      </c>
      <c r="L4964">
        <v>1</v>
      </c>
      <c r="M4964">
        <f>VLOOKUP(Table1[[#This Row],[subscription_type]],Plans!$A$1:$B$5,2,FALSE)</f>
        <v>14.99</v>
      </c>
      <c r="N4964">
        <f t="shared" si="77"/>
        <v>14.99</v>
      </c>
    </row>
    <row r="4965" spans="1:14" x14ac:dyDescent="0.35">
      <c r="A4965">
        <v>4964</v>
      </c>
      <c r="B4965" t="s">
        <v>16</v>
      </c>
      <c r="C4965">
        <v>56</v>
      </c>
      <c r="D4965" t="s">
        <v>29</v>
      </c>
      <c r="E4965" t="s">
        <v>22</v>
      </c>
      <c r="F4965">
        <v>29</v>
      </c>
      <c r="G4965">
        <v>21</v>
      </c>
      <c r="H4965">
        <v>0.18</v>
      </c>
      <c r="I4965" t="s">
        <v>19</v>
      </c>
      <c r="J4965">
        <v>0</v>
      </c>
      <c r="K4965">
        <v>1</v>
      </c>
      <c r="L4965">
        <v>1</v>
      </c>
      <c r="M4965">
        <f>VLOOKUP(Table1[[#This Row],[subscription_type]],Plans!$A$1:$B$5,2,FALSE)</f>
        <v>9.99</v>
      </c>
      <c r="N4965">
        <f t="shared" si="77"/>
        <v>9.99</v>
      </c>
    </row>
    <row r="4966" spans="1:14" x14ac:dyDescent="0.35">
      <c r="A4966">
        <v>4965</v>
      </c>
      <c r="B4966" t="s">
        <v>20</v>
      </c>
      <c r="C4966">
        <v>39</v>
      </c>
      <c r="D4966" t="s">
        <v>25</v>
      </c>
      <c r="E4966" t="s">
        <v>22</v>
      </c>
      <c r="F4966">
        <v>144</v>
      </c>
      <c r="G4966">
        <v>70</v>
      </c>
      <c r="H4966">
        <v>0.35</v>
      </c>
      <c r="I4966" t="s">
        <v>19</v>
      </c>
      <c r="J4966">
        <v>0</v>
      </c>
      <c r="K4966">
        <v>1</v>
      </c>
      <c r="L4966">
        <v>0</v>
      </c>
      <c r="M4966">
        <f>VLOOKUP(Table1[[#This Row],[subscription_type]],Plans!$A$1:$B$5,2,FALSE)</f>
        <v>9.99</v>
      </c>
      <c r="N4966">
        <f t="shared" si="77"/>
        <v>0</v>
      </c>
    </row>
    <row r="4967" spans="1:14" x14ac:dyDescent="0.35">
      <c r="A4967">
        <v>4966</v>
      </c>
      <c r="B4967" t="s">
        <v>20</v>
      </c>
      <c r="C4967">
        <v>57</v>
      </c>
      <c r="D4967" t="s">
        <v>17</v>
      </c>
      <c r="E4967" t="s">
        <v>18</v>
      </c>
      <c r="F4967">
        <v>172</v>
      </c>
      <c r="G4967">
        <v>56</v>
      </c>
      <c r="H4967">
        <v>0.47</v>
      </c>
      <c r="I4967" t="s">
        <v>19</v>
      </c>
      <c r="J4967">
        <v>0</v>
      </c>
      <c r="K4967">
        <v>1</v>
      </c>
      <c r="L4967">
        <v>0</v>
      </c>
      <c r="M4967">
        <f>VLOOKUP(Table1[[#This Row],[subscription_type]],Plans!$A$1:$B$5,2,FALSE)</f>
        <v>14.99</v>
      </c>
      <c r="N4967">
        <f t="shared" si="77"/>
        <v>0</v>
      </c>
    </row>
    <row r="4968" spans="1:14" x14ac:dyDescent="0.35">
      <c r="A4968">
        <v>4967</v>
      </c>
      <c r="B4968" t="s">
        <v>20</v>
      </c>
      <c r="C4968">
        <v>54</v>
      </c>
      <c r="D4968" t="s">
        <v>27</v>
      </c>
      <c r="E4968" t="s">
        <v>24</v>
      </c>
      <c r="F4968">
        <v>65</v>
      </c>
      <c r="G4968">
        <v>4</v>
      </c>
      <c r="H4968">
        <v>0.35</v>
      </c>
      <c r="I4968" t="s">
        <v>15</v>
      </c>
      <c r="J4968">
        <v>0</v>
      </c>
      <c r="K4968">
        <v>1</v>
      </c>
      <c r="L4968">
        <v>1</v>
      </c>
      <c r="M4968">
        <f>VLOOKUP(Table1[[#This Row],[subscription_type]],Plans!$A$1:$B$5,2,FALSE)</f>
        <v>4.99</v>
      </c>
      <c r="N4968">
        <f t="shared" si="77"/>
        <v>4.99</v>
      </c>
    </row>
    <row r="4969" spans="1:14" x14ac:dyDescent="0.35">
      <c r="A4969">
        <v>4968</v>
      </c>
      <c r="B4969" t="s">
        <v>16</v>
      </c>
      <c r="C4969">
        <v>40</v>
      </c>
      <c r="D4969" t="s">
        <v>21</v>
      </c>
      <c r="E4969" t="s">
        <v>22</v>
      </c>
      <c r="F4969">
        <v>31</v>
      </c>
      <c r="G4969">
        <v>34</v>
      </c>
      <c r="H4969">
        <v>0.28999999999999998</v>
      </c>
      <c r="I4969" t="s">
        <v>15</v>
      </c>
      <c r="J4969">
        <v>0</v>
      </c>
      <c r="K4969">
        <v>1</v>
      </c>
      <c r="L4969">
        <v>0</v>
      </c>
      <c r="M4969">
        <f>VLOOKUP(Table1[[#This Row],[subscription_type]],Plans!$A$1:$B$5,2,FALSE)</f>
        <v>9.99</v>
      </c>
      <c r="N4969">
        <f t="shared" si="77"/>
        <v>0</v>
      </c>
    </row>
    <row r="4970" spans="1:14" x14ac:dyDescent="0.35">
      <c r="A4970">
        <v>4969</v>
      </c>
      <c r="B4970" t="s">
        <v>20</v>
      </c>
      <c r="C4970">
        <v>22</v>
      </c>
      <c r="D4970" t="s">
        <v>21</v>
      </c>
      <c r="E4970" t="s">
        <v>22</v>
      </c>
      <c r="F4970">
        <v>293</v>
      </c>
      <c r="G4970">
        <v>98</v>
      </c>
      <c r="H4970">
        <v>0.35</v>
      </c>
      <c r="I4970" t="s">
        <v>19</v>
      </c>
      <c r="J4970">
        <v>0</v>
      </c>
      <c r="K4970">
        <v>1</v>
      </c>
      <c r="L4970">
        <v>1</v>
      </c>
      <c r="M4970">
        <f>VLOOKUP(Table1[[#This Row],[subscription_type]],Plans!$A$1:$B$5,2,FALSE)</f>
        <v>9.99</v>
      </c>
      <c r="N4970">
        <f t="shared" si="77"/>
        <v>9.99</v>
      </c>
    </row>
    <row r="4971" spans="1:14" x14ac:dyDescent="0.35">
      <c r="A4971">
        <v>4970</v>
      </c>
      <c r="B4971" t="s">
        <v>12</v>
      </c>
      <c r="C4971">
        <v>30</v>
      </c>
      <c r="D4971" t="s">
        <v>25</v>
      </c>
      <c r="E4971" t="s">
        <v>22</v>
      </c>
      <c r="F4971">
        <v>77</v>
      </c>
      <c r="G4971">
        <v>56</v>
      </c>
      <c r="H4971">
        <v>0.28999999999999998</v>
      </c>
      <c r="I4971" t="s">
        <v>19</v>
      </c>
      <c r="J4971">
        <v>0</v>
      </c>
      <c r="K4971">
        <v>1</v>
      </c>
      <c r="L4971">
        <v>1</v>
      </c>
      <c r="M4971">
        <f>VLOOKUP(Table1[[#This Row],[subscription_type]],Plans!$A$1:$B$5,2,FALSE)</f>
        <v>9.99</v>
      </c>
      <c r="N4971">
        <f t="shared" si="77"/>
        <v>9.99</v>
      </c>
    </row>
    <row r="4972" spans="1:14" x14ac:dyDescent="0.35">
      <c r="A4972">
        <v>4971</v>
      </c>
      <c r="B4972" t="s">
        <v>16</v>
      </c>
      <c r="C4972">
        <v>23</v>
      </c>
      <c r="D4972" t="s">
        <v>26</v>
      </c>
      <c r="E4972" t="s">
        <v>14</v>
      </c>
      <c r="F4972">
        <v>43</v>
      </c>
      <c r="G4972">
        <v>75</v>
      </c>
      <c r="H4972">
        <v>0.57999999999999996</v>
      </c>
      <c r="I4972" t="s">
        <v>15</v>
      </c>
      <c r="J4972">
        <v>16</v>
      </c>
      <c r="K4972">
        <v>0</v>
      </c>
      <c r="L4972">
        <v>0</v>
      </c>
      <c r="M4972">
        <f>VLOOKUP(Table1[[#This Row],[subscription_type]],Plans!$A$1:$B$5,2,FALSE)</f>
        <v>0</v>
      </c>
      <c r="N4972">
        <f t="shared" si="77"/>
        <v>0</v>
      </c>
    </row>
    <row r="4973" spans="1:14" x14ac:dyDescent="0.35">
      <c r="A4973">
        <v>4972</v>
      </c>
      <c r="B4973" t="s">
        <v>12</v>
      </c>
      <c r="C4973">
        <v>58</v>
      </c>
      <c r="D4973" t="s">
        <v>25</v>
      </c>
      <c r="E4973" t="s">
        <v>24</v>
      </c>
      <c r="F4973">
        <v>147</v>
      </c>
      <c r="G4973">
        <v>81</v>
      </c>
      <c r="H4973">
        <v>0.1</v>
      </c>
      <c r="I4973" t="s">
        <v>23</v>
      </c>
      <c r="J4973">
        <v>0</v>
      </c>
      <c r="K4973">
        <v>1</v>
      </c>
      <c r="L4973">
        <v>0</v>
      </c>
      <c r="M4973">
        <f>VLOOKUP(Table1[[#This Row],[subscription_type]],Plans!$A$1:$B$5,2,FALSE)</f>
        <v>4.99</v>
      </c>
      <c r="N4973">
        <f t="shared" si="77"/>
        <v>0</v>
      </c>
    </row>
    <row r="4974" spans="1:14" x14ac:dyDescent="0.35">
      <c r="A4974">
        <v>4973</v>
      </c>
      <c r="B4974" t="s">
        <v>12</v>
      </c>
      <c r="C4974">
        <v>47</v>
      </c>
      <c r="D4974" t="s">
        <v>21</v>
      </c>
      <c r="E4974" t="s">
        <v>24</v>
      </c>
      <c r="F4974">
        <v>250</v>
      </c>
      <c r="G4974">
        <v>75</v>
      </c>
      <c r="H4974">
        <v>0.03</v>
      </c>
      <c r="I4974" t="s">
        <v>23</v>
      </c>
      <c r="J4974">
        <v>0</v>
      </c>
      <c r="K4974">
        <v>1</v>
      </c>
      <c r="L4974">
        <v>0</v>
      </c>
      <c r="M4974">
        <f>VLOOKUP(Table1[[#This Row],[subscription_type]],Plans!$A$1:$B$5,2,FALSE)</f>
        <v>4.99</v>
      </c>
      <c r="N4974">
        <f t="shared" si="77"/>
        <v>0</v>
      </c>
    </row>
    <row r="4975" spans="1:14" x14ac:dyDescent="0.35">
      <c r="A4975">
        <v>4974</v>
      </c>
      <c r="B4975" t="s">
        <v>16</v>
      </c>
      <c r="C4975">
        <v>44</v>
      </c>
      <c r="D4975" t="s">
        <v>27</v>
      </c>
      <c r="E4975" t="s">
        <v>18</v>
      </c>
      <c r="F4975">
        <v>105</v>
      </c>
      <c r="G4975">
        <v>49</v>
      </c>
      <c r="H4975">
        <v>0</v>
      </c>
      <c r="I4975" t="s">
        <v>15</v>
      </c>
      <c r="J4975">
        <v>0</v>
      </c>
      <c r="K4975">
        <v>1</v>
      </c>
      <c r="L4975">
        <v>0</v>
      </c>
      <c r="M4975">
        <f>VLOOKUP(Table1[[#This Row],[subscription_type]],Plans!$A$1:$B$5,2,FALSE)</f>
        <v>14.99</v>
      </c>
      <c r="N4975">
        <f t="shared" si="77"/>
        <v>0</v>
      </c>
    </row>
    <row r="4976" spans="1:14" x14ac:dyDescent="0.35">
      <c r="A4976">
        <v>4975</v>
      </c>
      <c r="B4976" t="s">
        <v>20</v>
      </c>
      <c r="C4976">
        <v>56</v>
      </c>
      <c r="D4976" t="s">
        <v>25</v>
      </c>
      <c r="E4976" t="s">
        <v>24</v>
      </c>
      <c r="F4976">
        <v>231</v>
      </c>
      <c r="G4976">
        <v>4</v>
      </c>
      <c r="H4976">
        <v>0.56000000000000005</v>
      </c>
      <c r="I4976" t="s">
        <v>19</v>
      </c>
      <c r="J4976">
        <v>0</v>
      </c>
      <c r="K4976">
        <v>1</v>
      </c>
      <c r="L4976">
        <v>0</v>
      </c>
      <c r="M4976">
        <f>VLOOKUP(Table1[[#This Row],[subscription_type]],Plans!$A$1:$B$5,2,FALSE)</f>
        <v>4.99</v>
      </c>
      <c r="N4976">
        <f t="shared" si="77"/>
        <v>0</v>
      </c>
    </row>
    <row r="4977" spans="1:14" x14ac:dyDescent="0.35">
      <c r="A4977">
        <v>4976</v>
      </c>
      <c r="B4977" t="s">
        <v>12</v>
      </c>
      <c r="C4977">
        <v>56</v>
      </c>
      <c r="D4977" t="s">
        <v>27</v>
      </c>
      <c r="E4977" t="s">
        <v>22</v>
      </c>
      <c r="F4977">
        <v>285</v>
      </c>
      <c r="G4977">
        <v>96</v>
      </c>
      <c r="H4977">
        <v>0.2</v>
      </c>
      <c r="I4977" t="s">
        <v>23</v>
      </c>
      <c r="J4977">
        <v>0</v>
      </c>
      <c r="K4977">
        <v>1</v>
      </c>
      <c r="L4977">
        <v>0</v>
      </c>
      <c r="M4977">
        <f>VLOOKUP(Table1[[#This Row],[subscription_type]],Plans!$A$1:$B$5,2,FALSE)</f>
        <v>9.99</v>
      </c>
      <c r="N4977">
        <f t="shared" si="77"/>
        <v>0</v>
      </c>
    </row>
    <row r="4978" spans="1:14" x14ac:dyDescent="0.35">
      <c r="A4978">
        <v>4977</v>
      </c>
      <c r="B4978" t="s">
        <v>20</v>
      </c>
      <c r="C4978">
        <v>21</v>
      </c>
      <c r="D4978" t="s">
        <v>17</v>
      </c>
      <c r="E4978" t="s">
        <v>24</v>
      </c>
      <c r="F4978">
        <v>108</v>
      </c>
      <c r="G4978">
        <v>61</v>
      </c>
      <c r="H4978">
        <v>0.44</v>
      </c>
      <c r="I4978" t="s">
        <v>23</v>
      </c>
      <c r="J4978">
        <v>0</v>
      </c>
      <c r="K4978">
        <v>1</v>
      </c>
      <c r="L4978">
        <v>0</v>
      </c>
      <c r="M4978">
        <f>VLOOKUP(Table1[[#This Row],[subscription_type]],Plans!$A$1:$B$5,2,FALSE)</f>
        <v>4.99</v>
      </c>
      <c r="N4978">
        <f t="shared" si="77"/>
        <v>0</v>
      </c>
    </row>
    <row r="4979" spans="1:14" x14ac:dyDescent="0.35">
      <c r="A4979">
        <v>4978</v>
      </c>
      <c r="B4979" t="s">
        <v>12</v>
      </c>
      <c r="C4979">
        <v>17</v>
      </c>
      <c r="D4979" t="s">
        <v>25</v>
      </c>
      <c r="E4979" t="s">
        <v>18</v>
      </c>
      <c r="F4979">
        <v>150</v>
      </c>
      <c r="G4979">
        <v>68</v>
      </c>
      <c r="H4979">
        <v>7.0000000000000007E-2</v>
      </c>
      <c r="I4979" t="s">
        <v>23</v>
      </c>
      <c r="J4979">
        <v>0</v>
      </c>
      <c r="K4979">
        <v>1</v>
      </c>
      <c r="L4979">
        <v>1</v>
      </c>
      <c r="M4979">
        <f>VLOOKUP(Table1[[#This Row],[subscription_type]],Plans!$A$1:$B$5,2,FALSE)</f>
        <v>14.99</v>
      </c>
      <c r="N4979">
        <f t="shared" si="77"/>
        <v>14.99</v>
      </c>
    </row>
    <row r="4980" spans="1:14" x14ac:dyDescent="0.35">
      <c r="A4980">
        <v>4979</v>
      </c>
      <c r="B4980" t="s">
        <v>12</v>
      </c>
      <c r="C4980">
        <v>54</v>
      </c>
      <c r="D4980" t="s">
        <v>25</v>
      </c>
      <c r="E4980" t="s">
        <v>24</v>
      </c>
      <c r="F4980">
        <v>105</v>
      </c>
      <c r="G4980">
        <v>78</v>
      </c>
      <c r="H4980">
        <v>0.11</v>
      </c>
      <c r="I4980" t="s">
        <v>23</v>
      </c>
      <c r="J4980">
        <v>0</v>
      </c>
      <c r="K4980">
        <v>1</v>
      </c>
      <c r="L4980">
        <v>0</v>
      </c>
      <c r="M4980">
        <f>VLOOKUP(Table1[[#This Row],[subscription_type]],Plans!$A$1:$B$5,2,FALSE)</f>
        <v>4.99</v>
      </c>
      <c r="N4980">
        <f t="shared" si="77"/>
        <v>0</v>
      </c>
    </row>
    <row r="4981" spans="1:14" x14ac:dyDescent="0.35">
      <c r="A4981">
        <v>4980</v>
      </c>
      <c r="B4981" t="s">
        <v>12</v>
      </c>
      <c r="C4981">
        <v>50</v>
      </c>
      <c r="D4981" t="s">
        <v>25</v>
      </c>
      <c r="E4981" t="s">
        <v>18</v>
      </c>
      <c r="F4981">
        <v>263</v>
      </c>
      <c r="G4981">
        <v>13</v>
      </c>
      <c r="H4981">
        <v>0.12</v>
      </c>
      <c r="I4981" t="s">
        <v>19</v>
      </c>
      <c r="J4981">
        <v>0</v>
      </c>
      <c r="K4981">
        <v>1</v>
      </c>
      <c r="L4981">
        <v>0</v>
      </c>
      <c r="M4981">
        <f>VLOOKUP(Table1[[#This Row],[subscription_type]],Plans!$A$1:$B$5,2,FALSE)</f>
        <v>14.99</v>
      </c>
      <c r="N4981">
        <f t="shared" si="77"/>
        <v>0</v>
      </c>
    </row>
    <row r="4982" spans="1:14" x14ac:dyDescent="0.35">
      <c r="A4982">
        <v>4981</v>
      </c>
      <c r="B4982" t="s">
        <v>20</v>
      </c>
      <c r="C4982">
        <v>17</v>
      </c>
      <c r="D4982" t="s">
        <v>26</v>
      </c>
      <c r="E4982" t="s">
        <v>14</v>
      </c>
      <c r="F4982">
        <v>78</v>
      </c>
      <c r="G4982">
        <v>2</v>
      </c>
      <c r="H4982">
        <v>0.32</v>
      </c>
      <c r="I4982" t="s">
        <v>19</v>
      </c>
      <c r="J4982">
        <v>9</v>
      </c>
      <c r="K4982">
        <v>0</v>
      </c>
      <c r="L4982">
        <v>0</v>
      </c>
      <c r="M4982">
        <f>VLOOKUP(Table1[[#This Row],[subscription_type]],Plans!$A$1:$B$5,2,FALSE)</f>
        <v>0</v>
      </c>
      <c r="N4982">
        <f t="shared" si="77"/>
        <v>0</v>
      </c>
    </row>
    <row r="4983" spans="1:14" x14ac:dyDescent="0.35">
      <c r="A4983">
        <v>4982</v>
      </c>
      <c r="B4983" t="s">
        <v>20</v>
      </c>
      <c r="C4983">
        <v>20</v>
      </c>
      <c r="D4983" t="s">
        <v>29</v>
      </c>
      <c r="E4983" t="s">
        <v>22</v>
      </c>
      <c r="F4983">
        <v>200</v>
      </c>
      <c r="G4983">
        <v>52</v>
      </c>
      <c r="H4983">
        <v>0.46</v>
      </c>
      <c r="I4983" t="s">
        <v>15</v>
      </c>
      <c r="J4983">
        <v>0</v>
      </c>
      <c r="K4983">
        <v>1</v>
      </c>
      <c r="L4983">
        <v>1</v>
      </c>
      <c r="M4983">
        <f>VLOOKUP(Table1[[#This Row],[subscription_type]],Plans!$A$1:$B$5,2,FALSE)</f>
        <v>9.99</v>
      </c>
      <c r="N4983">
        <f t="shared" si="77"/>
        <v>9.99</v>
      </c>
    </row>
    <row r="4984" spans="1:14" x14ac:dyDescent="0.35">
      <c r="A4984">
        <v>4983</v>
      </c>
      <c r="B4984" t="s">
        <v>20</v>
      </c>
      <c r="C4984">
        <v>44</v>
      </c>
      <c r="D4984" t="s">
        <v>28</v>
      </c>
      <c r="E4984" t="s">
        <v>24</v>
      </c>
      <c r="F4984">
        <v>218</v>
      </c>
      <c r="G4984">
        <v>16</v>
      </c>
      <c r="H4984">
        <v>0.26</v>
      </c>
      <c r="I4984" t="s">
        <v>19</v>
      </c>
      <c r="J4984">
        <v>0</v>
      </c>
      <c r="K4984">
        <v>1</v>
      </c>
      <c r="L4984">
        <v>0</v>
      </c>
      <c r="M4984">
        <f>VLOOKUP(Table1[[#This Row],[subscription_type]],Plans!$A$1:$B$5,2,FALSE)</f>
        <v>4.99</v>
      </c>
      <c r="N4984">
        <f t="shared" si="77"/>
        <v>0</v>
      </c>
    </row>
    <row r="4985" spans="1:14" x14ac:dyDescent="0.35">
      <c r="A4985">
        <v>4984</v>
      </c>
      <c r="B4985" t="s">
        <v>12</v>
      </c>
      <c r="C4985">
        <v>27</v>
      </c>
      <c r="D4985" t="s">
        <v>28</v>
      </c>
      <c r="E4985" t="s">
        <v>24</v>
      </c>
      <c r="F4985">
        <v>22</v>
      </c>
      <c r="G4985">
        <v>58</v>
      </c>
      <c r="H4985">
        <v>0.33</v>
      </c>
      <c r="I4985" t="s">
        <v>23</v>
      </c>
      <c r="J4985">
        <v>0</v>
      </c>
      <c r="K4985">
        <v>1</v>
      </c>
      <c r="L4985">
        <v>0</v>
      </c>
      <c r="M4985">
        <f>VLOOKUP(Table1[[#This Row],[subscription_type]],Plans!$A$1:$B$5,2,FALSE)</f>
        <v>4.99</v>
      </c>
      <c r="N4985">
        <f t="shared" si="77"/>
        <v>0</v>
      </c>
    </row>
    <row r="4986" spans="1:14" x14ac:dyDescent="0.35">
      <c r="A4986">
        <v>4985</v>
      </c>
      <c r="B4986" t="s">
        <v>16</v>
      </c>
      <c r="C4986">
        <v>44</v>
      </c>
      <c r="D4986" t="s">
        <v>13</v>
      </c>
      <c r="E4986" t="s">
        <v>18</v>
      </c>
      <c r="F4986">
        <v>67</v>
      </c>
      <c r="G4986">
        <v>34</v>
      </c>
      <c r="H4986">
        <v>0.4</v>
      </c>
      <c r="I4986" t="s">
        <v>19</v>
      </c>
      <c r="J4986">
        <v>0</v>
      </c>
      <c r="K4986">
        <v>1</v>
      </c>
      <c r="L4986">
        <v>1</v>
      </c>
      <c r="M4986">
        <f>VLOOKUP(Table1[[#This Row],[subscription_type]],Plans!$A$1:$B$5,2,FALSE)</f>
        <v>14.99</v>
      </c>
      <c r="N4986">
        <f t="shared" si="77"/>
        <v>14.99</v>
      </c>
    </row>
    <row r="4987" spans="1:14" x14ac:dyDescent="0.35">
      <c r="A4987">
        <v>4986</v>
      </c>
      <c r="B4987" t="s">
        <v>16</v>
      </c>
      <c r="C4987">
        <v>40</v>
      </c>
      <c r="D4987" t="s">
        <v>21</v>
      </c>
      <c r="E4987" t="s">
        <v>18</v>
      </c>
      <c r="F4987">
        <v>12</v>
      </c>
      <c r="G4987">
        <v>93</v>
      </c>
      <c r="H4987">
        <v>0.19</v>
      </c>
      <c r="I4987" t="s">
        <v>19</v>
      </c>
      <c r="J4987">
        <v>0</v>
      </c>
      <c r="K4987">
        <v>1</v>
      </c>
      <c r="L4987">
        <v>0</v>
      </c>
      <c r="M4987">
        <f>VLOOKUP(Table1[[#This Row],[subscription_type]],Plans!$A$1:$B$5,2,FALSE)</f>
        <v>14.99</v>
      </c>
      <c r="N4987">
        <f t="shared" si="77"/>
        <v>0</v>
      </c>
    </row>
    <row r="4988" spans="1:14" x14ac:dyDescent="0.35">
      <c r="A4988">
        <v>4987</v>
      </c>
      <c r="B4988" t="s">
        <v>20</v>
      </c>
      <c r="C4988">
        <v>41</v>
      </c>
      <c r="D4988" t="s">
        <v>21</v>
      </c>
      <c r="E4988" t="s">
        <v>22</v>
      </c>
      <c r="F4988">
        <v>37</v>
      </c>
      <c r="G4988">
        <v>72</v>
      </c>
      <c r="H4988">
        <v>0.3</v>
      </c>
      <c r="I4988" t="s">
        <v>15</v>
      </c>
      <c r="J4988">
        <v>0</v>
      </c>
      <c r="K4988">
        <v>1</v>
      </c>
      <c r="L4988">
        <v>1</v>
      </c>
      <c r="M4988">
        <f>VLOOKUP(Table1[[#This Row],[subscription_type]],Plans!$A$1:$B$5,2,FALSE)</f>
        <v>9.99</v>
      </c>
      <c r="N4988">
        <f t="shared" si="77"/>
        <v>9.99</v>
      </c>
    </row>
    <row r="4989" spans="1:14" x14ac:dyDescent="0.35">
      <c r="A4989">
        <v>4988</v>
      </c>
      <c r="B4989" t="s">
        <v>20</v>
      </c>
      <c r="C4989">
        <v>23</v>
      </c>
      <c r="D4989" t="s">
        <v>26</v>
      </c>
      <c r="E4989" t="s">
        <v>18</v>
      </c>
      <c r="F4989">
        <v>297</v>
      </c>
      <c r="G4989">
        <v>20</v>
      </c>
      <c r="H4989">
        <v>0.26</v>
      </c>
      <c r="I4989" t="s">
        <v>23</v>
      </c>
      <c r="J4989">
        <v>0</v>
      </c>
      <c r="K4989">
        <v>1</v>
      </c>
      <c r="L4989">
        <v>1</v>
      </c>
      <c r="M4989">
        <f>VLOOKUP(Table1[[#This Row],[subscription_type]],Plans!$A$1:$B$5,2,FALSE)</f>
        <v>14.99</v>
      </c>
      <c r="N4989">
        <f t="shared" si="77"/>
        <v>14.99</v>
      </c>
    </row>
    <row r="4990" spans="1:14" x14ac:dyDescent="0.35">
      <c r="A4990">
        <v>4989</v>
      </c>
      <c r="B4990" t="s">
        <v>20</v>
      </c>
      <c r="C4990">
        <v>37</v>
      </c>
      <c r="D4990" t="s">
        <v>28</v>
      </c>
      <c r="E4990" t="s">
        <v>14</v>
      </c>
      <c r="F4990">
        <v>231</v>
      </c>
      <c r="G4990">
        <v>33</v>
      </c>
      <c r="H4990">
        <v>0.2</v>
      </c>
      <c r="I4990" t="s">
        <v>15</v>
      </c>
      <c r="J4990">
        <v>17</v>
      </c>
      <c r="K4990">
        <v>0</v>
      </c>
      <c r="L4990">
        <v>0</v>
      </c>
      <c r="M4990">
        <f>VLOOKUP(Table1[[#This Row],[subscription_type]],Plans!$A$1:$B$5,2,FALSE)</f>
        <v>0</v>
      </c>
      <c r="N4990">
        <f t="shared" si="77"/>
        <v>0</v>
      </c>
    </row>
    <row r="4991" spans="1:14" x14ac:dyDescent="0.35">
      <c r="A4991">
        <v>4990</v>
      </c>
      <c r="B4991" t="s">
        <v>16</v>
      </c>
      <c r="C4991">
        <v>40</v>
      </c>
      <c r="D4991" t="s">
        <v>27</v>
      </c>
      <c r="E4991" t="s">
        <v>24</v>
      </c>
      <c r="F4991">
        <v>178</v>
      </c>
      <c r="G4991">
        <v>11</v>
      </c>
      <c r="H4991">
        <v>0.18</v>
      </c>
      <c r="I4991" t="s">
        <v>15</v>
      </c>
      <c r="J4991">
        <v>0</v>
      </c>
      <c r="K4991">
        <v>1</v>
      </c>
      <c r="L4991">
        <v>0</v>
      </c>
      <c r="M4991">
        <f>VLOOKUP(Table1[[#This Row],[subscription_type]],Plans!$A$1:$B$5,2,FALSE)</f>
        <v>4.99</v>
      </c>
      <c r="N4991">
        <f t="shared" si="77"/>
        <v>0</v>
      </c>
    </row>
    <row r="4992" spans="1:14" x14ac:dyDescent="0.35">
      <c r="A4992">
        <v>4991</v>
      </c>
      <c r="B4992" t="s">
        <v>20</v>
      </c>
      <c r="C4992">
        <v>57</v>
      </c>
      <c r="D4992" t="s">
        <v>25</v>
      </c>
      <c r="E4992" t="s">
        <v>18</v>
      </c>
      <c r="F4992">
        <v>280</v>
      </c>
      <c r="G4992">
        <v>30</v>
      </c>
      <c r="H4992">
        <v>0.14000000000000001</v>
      </c>
      <c r="I4992" t="s">
        <v>19</v>
      </c>
      <c r="J4992">
        <v>0</v>
      </c>
      <c r="K4992">
        <v>1</v>
      </c>
      <c r="L4992">
        <v>0</v>
      </c>
      <c r="M4992">
        <f>VLOOKUP(Table1[[#This Row],[subscription_type]],Plans!$A$1:$B$5,2,FALSE)</f>
        <v>14.99</v>
      </c>
      <c r="N4992">
        <f t="shared" si="77"/>
        <v>0</v>
      </c>
    </row>
    <row r="4993" spans="1:14" x14ac:dyDescent="0.35">
      <c r="A4993">
        <v>4992</v>
      </c>
      <c r="B4993" t="s">
        <v>16</v>
      </c>
      <c r="C4993">
        <v>36</v>
      </c>
      <c r="D4993" t="s">
        <v>26</v>
      </c>
      <c r="E4993" t="s">
        <v>24</v>
      </c>
      <c r="F4993">
        <v>254</v>
      </c>
      <c r="G4993">
        <v>73</v>
      </c>
      <c r="H4993">
        <v>0.24</v>
      </c>
      <c r="I4993" t="s">
        <v>19</v>
      </c>
      <c r="J4993">
        <v>0</v>
      </c>
      <c r="K4993">
        <v>1</v>
      </c>
      <c r="L4993">
        <v>0</v>
      </c>
      <c r="M4993">
        <f>VLOOKUP(Table1[[#This Row],[subscription_type]],Plans!$A$1:$B$5,2,FALSE)</f>
        <v>4.99</v>
      </c>
      <c r="N4993">
        <f t="shared" si="77"/>
        <v>0</v>
      </c>
    </row>
    <row r="4994" spans="1:14" x14ac:dyDescent="0.35">
      <c r="A4994">
        <v>4993</v>
      </c>
      <c r="B4994" t="s">
        <v>20</v>
      </c>
      <c r="C4994">
        <v>25</v>
      </c>
      <c r="D4994" t="s">
        <v>29</v>
      </c>
      <c r="E4994" t="s">
        <v>14</v>
      </c>
      <c r="F4994">
        <v>54</v>
      </c>
      <c r="G4994">
        <v>73</v>
      </c>
      <c r="H4994">
        <v>0.51</v>
      </c>
      <c r="I4994" t="s">
        <v>15</v>
      </c>
      <c r="J4994">
        <v>45</v>
      </c>
      <c r="K4994">
        <v>0</v>
      </c>
      <c r="L4994">
        <v>1</v>
      </c>
      <c r="M4994">
        <f>VLOOKUP(Table1[[#This Row],[subscription_type]],Plans!$A$1:$B$5,2,FALSE)</f>
        <v>0</v>
      </c>
      <c r="N4994">
        <f t="shared" ref="N4994:N5057" si="78">IF(L4994=1, M4994,0)</f>
        <v>0</v>
      </c>
    </row>
    <row r="4995" spans="1:14" x14ac:dyDescent="0.35">
      <c r="A4995">
        <v>4994</v>
      </c>
      <c r="B4995" t="s">
        <v>16</v>
      </c>
      <c r="C4995">
        <v>57</v>
      </c>
      <c r="D4995" t="s">
        <v>21</v>
      </c>
      <c r="E4995" t="s">
        <v>14</v>
      </c>
      <c r="F4995">
        <v>276</v>
      </c>
      <c r="G4995">
        <v>11</v>
      </c>
      <c r="H4995">
        <v>0.25</v>
      </c>
      <c r="I4995" t="s">
        <v>15</v>
      </c>
      <c r="J4995">
        <v>34</v>
      </c>
      <c r="K4995">
        <v>0</v>
      </c>
      <c r="L4995">
        <v>1</v>
      </c>
      <c r="M4995">
        <f>VLOOKUP(Table1[[#This Row],[subscription_type]],Plans!$A$1:$B$5,2,FALSE)</f>
        <v>0</v>
      </c>
      <c r="N4995">
        <f t="shared" si="78"/>
        <v>0</v>
      </c>
    </row>
    <row r="4996" spans="1:14" x14ac:dyDescent="0.35">
      <c r="A4996">
        <v>4995</v>
      </c>
      <c r="B4996" t="s">
        <v>12</v>
      </c>
      <c r="C4996">
        <v>23</v>
      </c>
      <c r="D4996" t="s">
        <v>17</v>
      </c>
      <c r="E4996" t="s">
        <v>22</v>
      </c>
      <c r="F4996">
        <v>230</v>
      </c>
      <c r="G4996">
        <v>18</v>
      </c>
      <c r="H4996">
        <v>0.1</v>
      </c>
      <c r="I4996" t="s">
        <v>19</v>
      </c>
      <c r="J4996">
        <v>0</v>
      </c>
      <c r="K4996">
        <v>1</v>
      </c>
      <c r="L4996">
        <v>0</v>
      </c>
      <c r="M4996">
        <f>VLOOKUP(Table1[[#This Row],[subscription_type]],Plans!$A$1:$B$5,2,FALSE)</f>
        <v>9.99</v>
      </c>
      <c r="N4996">
        <f t="shared" si="78"/>
        <v>0</v>
      </c>
    </row>
    <row r="4997" spans="1:14" x14ac:dyDescent="0.35">
      <c r="A4997">
        <v>4996</v>
      </c>
      <c r="B4997" t="s">
        <v>16</v>
      </c>
      <c r="C4997">
        <v>43</v>
      </c>
      <c r="D4997" t="s">
        <v>27</v>
      </c>
      <c r="E4997" t="s">
        <v>14</v>
      </c>
      <c r="F4997">
        <v>252</v>
      </c>
      <c r="G4997">
        <v>94</v>
      </c>
      <c r="H4997">
        <v>7.0000000000000007E-2</v>
      </c>
      <c r="I4997" t="s">
        <v>23</v>
      </c>
      <c r="J4997">
        <v>26</v>
      </c>
      <c r="K4997">
        <v>0</v>
      </c>
      <c r="L4997">
        <v>1</v>
      </c>
      <c r="M4997">
        <f>VLOOKUP(Table1[[#This Row],[subscription_type]],Plans!$A$1:$B$5,2,FALSE)</f>
        <v>0</v>
      </c>
      <c r="N4997">
        <f t="shared" si="78"/>
        <v>0</v>
      </c>
    </row>
    <row r="4998" spans="1:14" x14ac:dyDescent="0.35">
      <c r="A4998">
        <v>4997</v>
      </c>
      <c r="B4998" t="s">
        <v>12</v>
      </c>
      <c r="C4998">
        <v>40</v>
      </c>
      <c r="D4998" t="s">
        <v>27</v>
      </c>
      <c r="E4998" t="s">
        <v>22</v>
      </c>
      <c r="F4998">
        <v>136</v>
      </c>
      <c r="G4998">
        <v>36</v>
      </c>
      <c r="H4998">
        <v>0.24</v>
      </c>
      <c r="I4998" t="s">
        <v>19</v>
      </c>
      <c r="J4998">
        <v>0</v>
      </c>
      <c r="K4998">
        <v>1</v>
      </c>
      <c r="L4998">
        <v>0</v>
      </c>
      <c r="M4998">
        <f>VLOOKUP(Table1[[#This Row],[subscription_type]],Plans!$A$1:$B$5,2,FALSE)</f>
        <v>9.99</v>
      </c>
      <c r="N4998">
        <f t="shared" si="78"/>
        <v>0</v>
      </c>
    </row>
    <row r="4999" spans="1:14" x14ac:dyDescent="0.35">
      <c r="A4999">
        <v>4998</v>
      </c>
      <c r="B4999" t="s">
        <v>12</v>
      </c>
      <c r="C4999">
        <v>16</v>
      </c>
      <c r="D4999" t="s">
        <v>21</v>
      </c>
      <c r="E4999" t="s">
        <v>18</v>
      </c>
      <c r="F4999">
        <v>163</v>
      </c>
      <c r="G4999">
        <v>71</v>
      </c>
      <c r="H4999">
        <v>0.49</v>
      </c>
      <c r="I4999" t="s">
        <v>15</v>
      </c>
      <c r="J4999">
        <v>0</v>
      </c>
      <c r="K4999">
        <v>1</v>
      </c>
      <c r="L4999">
        <v>0</v>
      </c>
      <c r="M4999">
        <f>VLOOKUP(Table1[[#This Row],[subscription_type]],Plans!$A$1:$B$5,2,FALSE)</f>
        <v>14.99</v>
      </c>
      <c r="N4999">
        <f t="shared" si="78"/>
        <v>0</v>
      </c>
    </row>
    <row r="5000" spans="1:14" x14ac:dyDescent="0.35">
      <c r="A5000">
        <v>4999</v>
      </c>
      <c r="B5000" t="s">
        <v>12</v>
      </c>
      <c r="C5000">
        <v>21</v>
      </c>
      <c r="D5000" t="s">
        <v>13</v>
      </c>
      <c r="E5000" t="s">
        <v>22</v>
      </c>
      <c r="F5000">
        <v>138</v>
      </c>
      <c r="G5000">
        <v>18</v>
      </c>
      <c r="H5000">
        <v>0.28000000000000003</v>
      </c>
      <c r="I5000" t="s">
        <v>23</v>
      </c>
      <c r="J5000">
        <v>0</v>
      </c>
      <c r="K5000">
        <v>1</v>
      </c>
      <c r="L5000">
        <v>0</v>
      </c>
      <c r="M5000">
        <f>VLOOKUP(Table1[[#This Row],[subscription_type]],Plans!$A$1:$B$5,2,FALSE)</f>
        <v>9.99</v>
      </c>
      <c r="N5000">
        <f t="shared" si="78"/>
        <v>0</v>
      </c>
    </row>
    <row r="5001" spans="1:14" x14ac:dyDescent="0.35">
      <c r="A5001">
        <v>5000</v>
      </c>
      <c r="B5001" t="s">
        <v>12</v>
      </c>
      <c r="C5001">
        <v>24</v>
      </c>
      <c r="D5001" t="s">
        <v>26</v>
      </c>
      <c r="E5001" t="s">
        <v>24</v>
      </c>
      <c r="F5001">
        <v>179</v>
      </c>
      <c r="G5001">
        <v>25</v>
      </c>
      <c r="H5001">
        <v>0.31</v>
      </c>
      <c r="I5001" t="s">
        <v>15</v>
      </c>
      <c r="J5001">
        <v>0</v>
      </c>
      <c r="K5001">
        <v>1</v>
      </c>
      <c r="L5001">
        <v>0</v>
      </c>
      <c r="M5001">
        <f>VLOOKUP(Table1[[#This Row],[subscription_type]],Plans!$A$1:$B$5,2,FALSE)</f>
        <v>4.99</v>
      </c>
      <c r="N5001">
        <f t="shared" si="78"/>
        <v>0</v>
      </c>
    </row>
    <row r="5002" spans="1:14" x14ac:dyDescent="0.35">
      <c r="A5002">
        <v>5001</v>
      </c>
      <c r="B5002" t="s">
        <v>16</v>
      </c>
      <c r="C5002">
        <v>19</v>
      </c>
      <c r="D5002" t="s">
        <v>27</v>
      </c>
      <c r="E5002" t="s">
        <v>22</v>
      </c>
      <c r="F5002">
        <v>230</v>
      </c>
      <c r="G5002">
        <v>82</v>
      </c>
      <c r="H5002">
        <v>0.26</v>
      </c>
      <c r="I5002" t="s">
        <v>19</v>
      </c>
      <c r="J5002">
        <v>0</v>
      </c>
      <c r="K5002">
        <v>1</v>
      </c>
      <c r="L5002">
        <v>0</v>
      </c>
      <c r="M5002">
        <f>VLOOKUP(Table1[[#This Row],[subscription_type]],Plans!$A$1:$B$5,2,FALSE)</f>
        <v>9.99</v>
      </c>
      <c r="N5002">
        <f t="shared" si="78"/>
        <v>0</v>
      </c>
    </row>
    <row r="5003" spans="1:14" x14ac:dyDescent="0.35">
      <c r="A5003">
        <v>5002</v>
      </c>
      <c r="B5003" t="s">
        <v>16</v>
      </c>
      <c r="C5003">
        <v>31</v>
      </c>
      <c r="D5003" t="s">
        <v>29</v>
      </c>
      <c r="E5003" t="s">
        <v>18</v>
      </c>
      <c r="F5003">
        <v>18</v>
      </c>
      <c r="G5003">
        <v>57</v>
      </c>
      <c r="H5003">
        <v>0.28999999999999998</v>
      </c>
      <c r="I5003" t="s">
        <v>23</v>
      </c>
      <c r="J5003">
        <v>0</v>
      </c>
      <c r="K5003">
        <v>1</v>
      </c>
      <c r="L5003">
        <v>1</v>
      </c>
      <c r="M5003">
        <f>VLOOKUP(Table1[[#This Row],[subscription_type]],Plans!$A$1:$B$5,2,FALSE)</f>
        <v>14.99</v>
      </c>
      <c r="N5003">
        <f t="shared" si="78"/>
        <v>14.99</v>
      </c>
    </row>
    <row r="5004" spans="1:14" x14ac:dyDescent="0.35">
      <c r="A5004">
        <v>5003</v>
      </c>
      <c r="B5004" t="s">
        <v>20</v>
      </c>
      <c r="C5004">
        <v>17</v>
      </c>
      <c r="D5004" t="s">
        <v>29</v>
      </c>
      <c r="E5004" t="s">
        <v>24</v>
      </c>
      <c r="F5004">
        <v>110</v>
      </c>
      <c r="G5004">
        <v>23</v>
      </c>
      <c r="H5004">
        <v>0.34</v>
      </c>
      <c r="I5004" t="s">
        <v>23</v>
      </c>
      <c r="J5004">
        <v>0</v>
      </c>
      <c r="K5004">
        <v>1</v>
      </c>
      <c r="L5004">
        <v>0</v>
      </c>
      <c r="M5004">
        <f>VLOOKUP(Table1[[#This Row],[subscription_type]],Plans!$A$1:$B$5,2,FALSE)</f>
        <v>4.99</v>
      </c>
      <c r="N5004">
        <f t="shared" si="78"/>
        <v>0</v>
      </c>
    </row>
    <row r="5005" spans="1:14" x14ac:dyDescent="0.35">
      <c r="A5005">
        <v>5004</v>
      </c>
      <c r="B5005" t="s">
        <v>20</v>
      </c>
      <c r="C5005">
        <v>59</v>
      </c>
      <c r="D5005" t="s">
        <v>17</v>
      </c>
      <c r="E5005" t="s">
        <v>22</v>
      </c>
      <c r="F5005">
        <v>44</v>
      </c>
      <c r="G5005">
        <v>93</v>
      </c>
      <c r="H5005">
        <v>0.54</v>
      </c>
      <c r="I5005" t="s">
        <v>15</v>
      </c>
      <c r="J5005">
        <v>0</v>
      </c>
      <c r="K5005">
        <v>1</v>
      </c>
      <c r="L5005">
        <v>0</v>
      </c>
      <c r="M5005">
        <f>VLOOKUP(Table1[[#This Row],[subscription_type]],Plans!$A$1:$B$5,2,FALSE)</f>
        <v>9.99</v>
      </c>
      <c r="N5005">
        <f t="shared" si="78"/>
        <v>0</v>
      </c>
    </row>
    <row r="5006" spans="1:14" x14ac:dyDescent="0.35">
      <c r="A5006">
        <v>5005</v>
      </c>
      <c r="B5006" t="s">
        <v>20</v>
      </c>
      <c r="C5006">
        <v>24</v>
      </c>
      <c r="D5006" t="s">
        <v>28</v>
      </c>
      <c r="E5006" t="s">
        <v>24</v>
      </c>
      <c r="F5006">
        <v>66</v>
      </c>
      <c r="G5006">
        <v>37</v>
      </c>
      <c r="H5006">
        <v>0.09</v>
      </c>
      <c r="I5006" t="s">
        <v>15</v>
      </c>
      <c r="J5006">
        <v>0</v>
      </c>
      <c r="K5006">
        <v>1</v>
      </c>
      <c r="L5006">
        <v>0</v>
      </c>
      <c r="M5006">
        <f>VLOOKUP(Table1[[#This Row],[subscription_type]],Plans!$A$1:$B$5,2,FALSE)</f>
        <v>4.99</v>
      </c>
      <c r="N5006">
        <f t="shared" si="78"/>
        <v>0</v>
      </c>
    </row>
    <row r="5007" spans="1:14" x14ac:dyDescent="0.35">
      <c r="A5007">
        <v>5006</v>
      </c>
      <c r="B5007" t="s">
        <v>12</v>
      </c>
      <c r="C5007">
        <v>34</v>
      </c>
      <c r="D5007" t="s">
        <v>17</v>
      </c>
      <c r="E5007" t="s">
        <v>18</v>
      </c>
      <c r="F5007">
        <v>56</v>
      </c>
      <c r="G5007">
        <v>36</v>
      </c>
      <c r="H5007">
        <v>0.35</v>
      </c>
      <c r="I5007" t="s">
        <v>23</v>
      </c>
      <c r="J5007">
        <v>0</v>
      </c>
      <c r="K5007">
        <v>1</v>
      </c>
      <c r="L5007">
        <v>0</v>
      </c>
      <c r="M5007">
        <f>VLOOKUP(Table1[[#This Row],[subscription_type]],Plans!$A$1:$B$5,2,FALSE)</f>
        <v>14.99</v>
      </c>
      <c r="N5007">
        <f t="shared" si="78"/>
        <v>0</v>
      </c>
    </row>
    <row r="5008" spans="1:14" x14ac:dyDescent="0.35">
      <c r="A5008">
        <v>5007</v>
      </c>
      <c r="B5008" t="s">
        <v>20</v>
      </c>
      <c r="C5008">
        <v>21</v>
      </c>
      <c r="D5008" t="s">
        <v>17</v>
      </c>
      <c r="E5008" t="s">
        <v>22</v>
      </c>
      <c r="F5008">
        <v>74</v>
      </c>
      <c r="G5008">
        <v>98</v>
      </c>
      <c r="H5008">
        <v>0.23</v>
      </c>
      <c r="I5008" t="s">
        <v>19</v>
      </c>
      <c r="J5008">
        <v>0</v>
      </c>
      <c r="K5008">
        <v>1</v>
      </c>
      <c r="L5008">
        <v>1</v>
      </c>
      <c r="M5008">
        <f>VLOOKUP(Table1[[#This Row],[subscription_type]],Plans!$A$1:$B$5,2,FALSE)</f>
        <v>9.99</v>
      </c>
      <c r="N5008">
        <f t="shared" si="78"/>
        <v>9.99</v>
      </c>
    </row>
    <row r="5009" spans="1:14" x14ac:dyDescent="0.35">
      <c r="A5009">
        <v>5008</v>
      </c>
      <c r="B5009" t="s">
        <v>12</v>
      </c>
      <c r="C5009">
        <v>32</v>
      </c>
      <c r="D5009" t="s">
        <v>21</v>
      </c>
      <c r="E5009" t="s">
        <v>24</v>
      </c>
      <c r="F5009">
        <v>72</v>
      </c>
      <c r="G5009">
        <v>64</v>
      </c>
      <c r="H5009">
        <v>0.47</v>
      </c>
      <c r="I5009" t="s">
        <v>15</v>
      </c>
      <c r="J5009">
        <v>0</v>
      </c>
      <c r="K5009">
        <v>1</v>
      </c>
      <c r="L5009">
        <v>0</v>
      </c>
      <c r="M5009">
        <f>VLOOKUP(Table1[[#This Row],[subscription_type]],Plans!$A$1:$B$5,2,FALSE)</f>
        <v>4.99</v>
      </c>
      <c r="N5009">
        <f t="shared" si="78"/>
        <v>0</v>
      </c>
    </row>
    <row r="5010" spans="1:14" x14ac:dyDescent="0.35">
      <c r="A5010">
        <v>5009</v>
      </c>
      <c r="B5010" t="s">
        <v>12</v>
      </c>
      <c r="C5010">
        <v>32</v>
      </c>
      <c r="D5010" t="s">
        <v>29</v>
      </c>
      <c r="E5010" t="s">
        <v>18</v>
      </c>
      <c r="F5010">
        <v>210</v>
      </c>
      <c r="G5010">
        <v>70</v>
      </c>
      <c r="H5010">
        <v>0.34</v>
      </c>
      <c r="I5010" t="s">
        <v>15</v>
      </c>
      <c r="J5010">
        <v>0</v>
      </c>
      <c r="K5010">
        <v>1</v>
      </c>
      <c r="L5010">
        <v>0</v>
      </c>
      <c r="M5010">
        <f>VLOOKUP(Table1[[#This Row],[subscription_type]],Plans!$A$1:$B$5,2,FALSE)</f>
        <v>14.99</v>
      </c>
      <c r="N5010">
        <f t="shared" si="78"/>
        <v>0</v>
      </c>
    </row>
    <row r="5011" spans="1:14" x14ac:dyDescent="0.35">
      <c r="A5011">
        <v>5010</v>
      </c>
      <c r="B5011" t="s">
        <v>12</v>
      </c>
      <c r="C5011">
        <v>58</v>
      </c>
      <c r="D5011" t="s">
        <v>26</v>
      </c>
      <c r="E5011" t="s">
        <v>18</v>
      </c>
      <c r="F5011">
        <v>95</v>
      </c>
      <c r="G5011">
        <v>4</v>
      </c>
      <c r="H5011">
        <v>0.14000000000000001</v>
      </c>
      <c r="I5011" t="s">
        <v>19</v>
      </c>
      <c r="J5011">
        <v>0</v>
      </c>
      <c r="K5011">
        <v>1</v>
      </c>
      <c r="L5011">
        <v>0</v>
      </c>
      <c r="M5011">
        <f>VLOOKUP(Table1[[#This Row],[subscription_type]],Plans!$A$1:$B$5,2,FALSE)</f>
        <v>14.99</v>
      </c>
      <c r="N5011">
        <f t="shared" si="78"/>
        <v>0</v>
      </c>
    </row>
    <row r="5012" spans="1:14" x14ac:dyDescent="0.35">
      <c r="A5012">
        <v>5011</v>
      </c>
      <c r="B5012" t="s">
        <v>12</v>
      </c>
      <c r="C5012">
        <v>21</v>
      </c>
      <c r="D5012" t="s">
        <v>17</v>
      </c>
      <c r="E5012" t="s">
        <v>24</v>
      </c>
      <c r="F5012">
        <v>46</v>
      </c>
      <c r="G5012">
        <v>27</v>
      </c>
      <c r="H5012">
        <v>0.47</v>
      </c>
      <c r="I5012" t="s">
        <v>19</v>
      </c>
      <c r="J5012">
        <v>0</v>
      </c>
      <c r="K5012">
        <v>1</v>
      </c>
      <c r="L5012">
        <v>0</v>
      </c>
      <c r="M5012">
        <f>VLOOKUP(Table1[[#This Row],[subscription_type]],Plans!$A$1:$B$5,2,FALSE)</f>
        <v>4.99</v>
      </c>
      <c r="N5012">
        <f t="shared" si="78"/>
        <v>0</v>
      </c>
    </row>
    <row r="5013" spans="1:14" x14ac:dyDescent="0.35">
      <c r="A5013">
        <v>5012</v>
      </c>
      <c r="B5013" t="s">
        <v>20</v>
      </c>
      <c r="C5013">
        <v>43</v>
      </c>
      <c r="D5013" t="s">
        <v>17</v>
      </c>
      <c r="E5013" t="s">
        <v>14</v>
      </c>
      <c r="F5013">
        <v>118</v>
      </c>
      <c r="G5013">
        <v>93</v>
      </c>
      <c r="H5013">
        <v>0.12</v>
      </c>
      <c r="I5013" t="s">
        <v>23</v>
      </c>
      <c r="J5013">
        <v>46</v>
      </c>
      <c r="K5013">
        <v>0</v>
      </c>
      <c r="L5013">
        <v>0</v>
      </c>
      <c r="M5013">
        <f>VLOOKUP(Table1[[#This Row],[subscription_type]],Plans!$A$1:$B$5,2,FALSE)</f>
        <v>0</v>
      </c>
      <c r="N5013">
        <f t="shared" si="78"/>
        <v>0</v>
      </c>
    </row>
    <row r="5014" spans="1:14" x14ac:dyDescent="0.35">
      <c r="A5014">
        <v>5013</v>
      </c>
      <c r="B5014" t="s">
        <v>12</v>
      </c>
      <c r="C5014">
        <v>41</v>
      </c>
      <c r="D5014" t="s">
        <v>26</v>
      </c>
      <c r="E5014" t="s">
        <v>24</v>
      </c>
      <c r="F5014">
        <v>218</v>
      </c>
      <c r="G5014">
        <v>12</v>
      </c>
      <c r="H5014">
        <v>0.41</v>
      </c>
      <c r="I5014" t="s">
        <v>15</v>
      </c>
      <c r="J5014">
        <v>0</v>
      </c>
      <c r="K5014">
        <v>1</v>
      </c>
      <c r="L5014">
        <v>0</v>
      </c>
      <c r="M5014">
        <f>VLOOKUP(Table1[[#This Row],[subscription_type]],Plans!$A$1:$B$5,2,FALSE)</f>
        <v>4.99</v>
      </c>
      <c r="N5014">
        <f t="shared" si="78"/>
        <v>0</v>
      </c>
    </row>
    <row r="5015" spans="1:14" x14ac:dyDescent="0.35">
      <c r="A5015">
        <v>5014</v>
      </c>
      <c r="B5015" t="s">
        <v>12</v>
      </c>
      <c r="C5015">
        <v>17</v>
      </c>
      <c r="D5015" t="s">
        <v>17</v>
      </c>
      <c r="E5015" t="s">
        <v>22</v>
      </c>
      <c r="F5015">
        <v>269</v>
      </c>
      <c r="G5015">
        <v>45</v>
      </c>
      <c r="H5015">
        <v>0.53</v>
      </c>
      <c r="I5015" t="s">
        <v>15</v>
      </c>
      <c r="J5015">
        <v>0</v>
      </c>
      <c r="K5015">
        <v>1</v>
      </c>
      <c r="L5015">
        <v>0</v>
      </c>
      <c r="M5015">
        <f>VLOOKUP(Table1[[#This Row],[subscription_type]],Plans!$A$1:$B$5,2,FALSE)</f>
        <v>9.99</v>
      </c>
      <c r="N5015">
        <f t="shared" si="78"/>
        <v>0</v>
      </c>
    </row>
    <row r="5016" spans="1:14" x14ac:dyDescent="0.35">
      <c r="A5016">
        <v>5015</v>
      </c>
      <c r="B5016" t="s">
        <v>16</v>
      </c>
      <c r="C5016">
        <v>37</v>
      </c>
      <c r="D5016" t="s">
        <v>28</v>
      </c>
      <c r="E5016" t="s">
        <v>22</v>
      </c>
      <c r="F5016">
        <v>276</v>
      </c>
      <c r="G5016">
        <v>13</v>
      </c>
      <c r="H5016">
        <v>0.41</v>
      </c>
      <c r="I5016" t="s">
        <v>19</v>
      </c>
      <c r="J5016">
        <v>0</v>
      </c>
      <c r="K5016">
        <v>1</v>
      </c>
      <c r="L5016">
        <v>0</v>
      </c>
      <c r="M5016">
        <f>VLOOKUP(Table1[[#This Row],[subscription_type]],Plans!$A$1:$B$5,2,FALSE)</f>
        <v>9.99</v>
      </c>
      <c r="N5016">
        <f t="shared" si="78"/>
        <v>0</v>
      </c>
    </row>
    <row r="5017" spans="1:14" x14ac:dyDescent="0.35">
      <c r="A5017">
        <v>5016</v>
      </c>
      <c r="B5017" t="s">
        <v>20</v>
      </c>
      <c r="C5017">
        <v>20</v>
      </c>
      <c r="D5017" t="s">
        <v>28</v>
      </c>
      <c r="E5017" t="s">
        <v>14</v>
      </c>
      <c r="F5017">
        <v>105</v>
      </c>
      <c r="G5017">
        <v>82</v>
      </c>
      <c r="H5017">
        <v>0.5</v>
      </c>
      <c r="I5017" t="s">
        <v>15</v>
      </c>
      <c r="J5017">
        <v>13</v>
      </c>
      <c r="K5017">
        <v>0</v>
      </c>
      <c r="L5017">
        <v>1</v>
      </c>
      <c r="M5017">
        <f>VLOOKUP(Table1[[#This Row],[subscription_type]],Plans!$A$1:$B$5,2,FALSE)</f>
        <v>0</v>
      </c>
      <c r="N5017">
        <f t="shared" si="78"/>
        <v>0</v>
      </c>
    </row>
    <row r="5018" spans="1:14" x14ac:dyDescent="0.35">
      <c r="A5018">
        <v>5017</v>
      </c>
      <c r="B5018" t="s">
        <v>20</v>
      </c>
      <c r="C5018">
        <v>38</v>
      </c>
      <c r="D5018" t="s">
        <v>26</v>
      </c>
      <c r="E5018" t="s">
        <v>24</v>
      </c>
      <c r="F5018">
        <v>160</v>
      </c>
      <c r="G5018">
        <v>56</v>
      </c>
      <c r="H5018">
        <v>0.11</v>
      </c>
      <c r="I5018" t="s">
        <v>19</v>
      </c>
      <c r="J5018">
        <v>0</v>
      </c>
      <c r="K5018">
        <v>1</v>
      </c>
      <c r="L5018">
        <v>1</v>
      </c>
      <c r="M5018">
        <f>VLOOKUP(Table1[[#This Row],[subscription_type]],Plans!$A$1:$B$5,2,FALSE)</f>
        <v>4.99</v>
      </c>
      <c r="N5018">
        <f t="shared" si="78"/>
        <v>4.99</v>
      </c>
    </row>
    <row r="5019" spans="1:14" x14ac:dyDescent="0.35">
      <c r="A5019">
        <v>5018</v>
      </c>
      <c r="B5019" t="s">
        <v>12</v>
      </c>
      <c r="C5019">
        <v>23</v>
      </c>
      <c r="D5019" t="s">
        <v>25</v>
      </c>
      <c r="E5019" t="s">
        <v>14</v>
      </c>
      <c r="F5019">
        <v>13</v>
      </c>
      <c r="G5019">
        <v>56</v>
      </c>
      <c r="H5019">
        <v>0.24</v>
      </c>
      <c r="I5019" t="s">
        <v>23</v>
      </c>
      <c r="J5019">
        <v>29</v>
      </c>
      <c r="K5019">
        <v>0</v>
      </c>
      <c r="L5019">
        <v>0</v>
      </c>
      <c r="M5019">
        <f>VLOOKUP(Table1[[#This Row],[subscription_type]],Plans!$A$1:$B$5,2,FALSE)</f>
        <v>0</v>
      </c>
      <c r="N5019">
        <f t="shared" si="78"/>
        <v>0</v>
      </c>
    </row>
    <row r="5020" spans="1:14" x14ac:dyDescent="0.35">
      <c r="A5020">
        <v>5019</v>
      </c>
      <c r="B5020" t="s">
        <v>16</v>
      </c>
      <c r="C5020">
        <v>20</v>
      </c>
      <c r="D5020" t="s">
        <v>21</v>
      </c>
      <c r="E5020" t="s">
        <v>22</v>
      </c>
      <c r="F5020">
        <v>90</v>
      </c>
      <c r="G5020">
        <v>6</v>
      </c>
      <c r="H5020">
        <v>0.28000000000000003</v>
      </c>
      <c r="I5020" t="s">
        <v>15</v>
      </c>
      <c r="J5020">
        <v>0</v>
      </c>
      <c r="K5020">
        <v>1</v>
      </c>
      <c r="L5020">
        <v>1</v>
      </c>
      <c r="M5020">
        <f>VLOOKUP(Table1[[#This Row],[subscription_type]],Plans!$A$1:$B$5,2,FALSE)</f>
        <v>9.99</v>
      </c>
      <c r="N5020">
        <f t="shared" si="78"/>
        <v>9.99</v>
      </c>
    </row>
    <row r="5021" spans="1:14" x14ac:dyDescent="0.35">
      <c r="A5021">
        <v>5020</v>
      </c>
      <c r="B5021" t="s">
        <v>16</v>
      </c>
      <c r="C5021">
        <v>43</v>
      </c>
      <c r="D5021" t="s">
        <v>29</v>
      </c>
      <c r="E5021" t="s">
        <v>18</v>
      </c>
      <c r="F5021">
        <v>150</v>
      </c>
      <c r="G5021">
        <v>66</v>
      </c>
      <c r="H5021">
        <v>0.3</v>
      </c>
      <c r="I5021" t="s">
        <v>23</v>
      </c>
      <c r="J5021">
        <v>0</v>
      </c>
      <c r="K5021">
        <v>1</v>
      </c>
      <c r="L5021">
        <v>0</v>
      </c>
      <c r="M5021">
        <f>VLOOKUP(Table1[[#This Row],[subscription_type]],Plans!$A$1:$B$5,2,FALSE)</f>
        <v>14.99</v>
      </c>
      <c r="N5021">
        <f t="shared" si="78"/>
        <v>0</v>
      </c>
    </row>
    <row r="5022" spans="1:14" x14ac:dyDescent="0.35">
      <c r="A5022">
        <v>5021</v>
      </c>
      <c r="B5022" t="s">
        <v>12</v>
      </c>
      <c r="C5022">
        <v>47</v>
      </c>
      <c r="D5022" t="s">
        <v>17</v>
      </c>
      <c r="E5022" t="s">
        <v>22</v>
      </c>
      <c r="F5022">
        <v>117</v>
      </c>
      <c r="G5022">
        <v>12</v>
      </c>
      <c r="H5022">
        <v>0.36</v>
      </c>
      <c r="I5022" t="s">
        <v>19</v>
      </c>
      <c r="J5022">
        <v>0</v>
      </c>
      <c r="K5022">
        <v>1</v>
      </c>
      <c r="L5022">
        <v>0</v>
      </c>
      <c r="M5022">
        <f>VLOOKUP(Table1[[#This Row],[subscription_type]],Plans!$A$1:$B$5,2,FALSE)</f>
        <v>9.99</v>
      </c>
      <c r="N5022">
        <f t="shared" si="78"/>
        <v>0</v>
      </c>
    </row>
    <row r="5023" spans="1:14" x14ac:dyDescent="0.35">
      <c r="A5023">
        <v>5022</v>
      </c>
      <c r="B5023" t="s">
        <v>20</v>
      </c>
      <c r="C5023">
        <v>38</v>
      </c>
      <c r="D5023" t="s">
        <v>13</v>
      </c>
      <c r="E5023" t="s">
        <v>14</v>
      </c>
      <c r="F5023">
        <v>55</v>
      </c>
      <c r="G5023">
        <v>26</v>
      </c>
      <c r="H5023">
        <v>0.23</v>
      </c>
      <c r="I5023" t="s">
        <v>15</v>
      </c>
      <c r="J5023">
        <v>45</v>
      </c>
      <c r="K5023">
        <v>0</v>
      </c>
      <c r="L5023">
        <v>1</v>
      </c>
      <c r="M5023">
        <f>VLOOKUP(Table1[[#This Row],[subscription_type]],Plans!$A$1:$B$5,2,FALSE)</f>
        <v>0</v>
      </c>
      <c r="N5023">
        <f t="shared" si="78"/>
        <v>0</v>
      </c>
    </row>
    <row r="5024" spans="1:14" x14ac:dyDescent="0.35">
      <c r="A5024">
        <v>5023</v>
      </c>
      <c r="B5024" t="s">
        <v>20</v>
      </c>
      <c r="C5024">
        <v>49</v>
      </c>
      <c r="D5024" t="s">
        <v>27</v>
      </c>
      <c r="E5024" t="s">
        <v>24</v>
      </c>
      <c r="F5024">
        <v>105</v>
      </c>
      <c r="G5024">
        <v>83</v>
      </c>
      <c r="H5024">
        <v>0.01</v>
      </c>
      <c r="I5024" t="s">
        <v>15</v>
      </c>
      <c r="J5024">
        <v>0</v>
      </c>
      <c r="K5024">
        <v>1</v>
      </c>
      <c r="L5024">
        <v>0</v>
      </c>
      <c r="M5024">
        <f>VLOOKUP(Table1[[#This Row],[subscription_type]],Plans!$A$1:$B$5,2,FALSE)</f>
        <v>4.99</v>
      </c>
      <c r="N5024">
        <f t="shared" si="78"/>
        <v>0</v>
      </c>
    </row>
    <row r="5025" spans="1:14" x14ac:dyDescent="0.35">
      <c r="A5025">
        <v>5024</v>
      </c>
      <c r="B5025" t="s">
        <v>20</v>
      </c>
      <c r="C5025">
        <v>45</v>
      </c>
      <c r="D5025" t="s">
        <v>28</v>
      </c>
      <c r="E5025" t="s">
        <v>22</v>
      </c>
      <c r="F5025">
        <v>229</v>
      </c>
      <c r="G5025">
        <v>68</v>
      </c>
      <c r="H5025">
        <v>0.05</v>
      </c>
      <c r="I5025" t="s">
        <v>19</v>
      </c>
      <c r="J5025">
        <v>0</v>
      </c>
      <c r="K5025">
        <v>1</v>
      </c>
      <c r="L5025">
        <v>0</v>
      </c>
      <c r="M5025">
        <f>VLOOKUP(Table1[[#This Row],[subscription_type]],Plans!$A$1:$B$5,2,FALSE)</f>
        <v>9.99</v>
      </c>
      <c r="N5025">
        <f t="shared" si="78"/>
        <v>0</v>
      </c>
    </row>
    <row r="5026" spans="1:14" x14ac:dyDescent="0.35">
      <c r="A5026">
        <v>5025</v>
      </c>
      <c r="B5026" t="s">
        <v>20</v>
      </c>
      <c r="C5026">
        <v>19</v>
      </c>
      <c r="D5026" t="s">
        <v>21</v>
      </c>
      <c r="E5026" t="s">
        <v>14</v>
      </c>
      <c r="F5026">
        <v>267</v>
      </c>
      <c r="G5026">
        <v>99</v>
      </c>
      <c r="H5026">
        <v>0.51</v>
      </c>
      <c r="I5026" t="s">
        <v>19</v>
      </c>
      <c r="J5026">
        <v>35</v>
      </c>
      <c r="K5026">
        <v>0</v>
      </c>
      <c r="L5026">
        <v>0</v>
      </c>
      <c r="M5026">
        <f>VLOOKUP(Table1[[#This Row],[subscription_type]],Plans!$A$1:$B$5,2,FALSE)</f>
        <v>0</v>
      </c>
      <c r="N5026">
        <f t="shared" si="78"/>
        <v>0</v>
      </c>
    </row>
    <row r="5027" spans="1:14" x14ac:dyDescent="0.35">
      <c r="A5027">
        <v>5026</v>
      </c>
      <c r="B5027" t="s">
        <v>20</v>
      </c>
      <c r="C5027">
        <v>19</v>
      </c>
      <c r="D5027" t="s">
        <v>17</v>
      </c>
      <c r="E5027" t="s">
        <v>22</v>
      </c>
      <c r="F5027">
        <v>59</v>
      </c>
      <c r="G5027">
        <v>85</v>
      </c>
      <c r="H5027">
        <v>0.12</v>
      </c>
      <c r="I5027" t="s">
        <v>15</v>
      </c>
      <c r="J5027">
        <v>0</v>
      </c>
      <c r="K5027">
        <v>1</v>
      </c>
      <c r="L5027">
        <v>0</v>
      </c>
      <c r="M5027">
        <f>VLOOKUP(Table1[[#This Row],[subscription_type]],Plans!$A$1:$B$5,2,FALSE)</f>
        <v>9.99</v>
      </c>
      <c r="N5027">
        <f t="shared" si="78"/>
        <v>0</v>
      </c>
    </row>
    <row r="5028" spans="1:14" x14ac:dyDescent="0.35">
      <c r="A5028">
        <v>5027</v>
      </c>
      <c r="B5028" t="s">
        <v>16</v>
      </c>
      <c r="C5028">
        <v>33</v>
      </c>
      <c r="D5028" t="s">
        <v>27</v>
      </c>
      <c r="E5028" t="s">
        <v>14</v>
      </c>
      <c r="F5028">
        <v>90</v>
      </c>
      <c r="G5028">
        <v>7</v>
      </c>
      <c r="H5028">
        <v>0.22</v>
      </c>
      <c r="I5028" t="s">
        <v>15</v>
      </c>
      <c r="J5028">
        <v>39</v>
      </c>
      <c r="K5028">
        <v>0</v>
      </c>
      <c r="L5028">
        <v>1</v>
      </c>
      <c r="M5028">
        <f>VLOOKUP(Table1[[#This Row],[subscription_type]],Plans!$A$1:$B$5,2,FALSE)</f>
        <v>0</v>
      </c>
      <c r="N5028">
        <f t="shared" si="78"/>
        <v>0</v>
      </c>
    </row>
    <row r="5029" spans="1:14" x14ac:dyDescent="0.35">
      <c r="A5029">
        <v>5028</v>
      </c>
      <c r="B5029" t="s">
        <v>20</v>
      </c>
      <c r="C5029">
        <v>22</v>
      </c>
      <c r="D5029" t="s">
        <v>25</v>
      </c>
      <c r="E5029" t="s">
        <v>22</v>
      </c>
      <c r="F5029">
        <v>269</v>
      </c>
      <c r="G5029">
        <v>11</v>
      </c>
      <c r="H5029">
        <v>0.06</v>
      </c>
      <c r="I5029" t="s">
        <v>23</v>
      </c>
      <c r="J5029">
        <v>0</v>
      </c>
      <c r="K5029">
        <v>1</v>
      </c>
      <c r="L5029">
        <v>0</v>
      </c>
      <c r="M5029">
        <f>VLOOKUP(Table1[[#This Row],[subscription_type]],Plans!$A$1:$B$5,2,FALSE)</f>
        <v>9.99</v>
      </c>
      <c r="N5029">
        <f t="shared" si="78"/>
        <v>0</v>
      </c>
    </row>
    <row r="5030" spans="1:14" x14ac:dyDescent="0.35">
      <c r="A5030">
        <v>5029</v>
      </c>
      <c r="B5030" t="s">
        <v>20</v>
      </c>
      <c r="C5030">
        <v>24</v>
      </c>
      <c r="D5030" t="s">
        <v>25</v>
      </c>
      <c r="E5030" t="s">
        <v>14</v>
      </c>
      <c r="F5030">
        <v>133</v>
      </c>
      <c r="G5030">
        <v>58</v>
      </c>
      <c r="H5030">
        <v>0.54</v>
      </c>
      <c r="I5030" t="s">
        <v>23</v>
      </c>
      <c r="J5030">
        <v>36</v>
      </c>
      <c r="K5030">
        <v>0</v>
      </c>
      <c r="L5030">
        <v>1</v>
      </c>
      <c r="M5030">
        <f>VLOOKUP(Table1[[#This Row],[subscription_type]],Plans!$A$1:$B$5,2,FALSE)</f>
        <v>0</v>
      </c>
      <c r="N5030">
        <f t="shared" si="78"/>
        <v>0</v>
      </c>
    </row>
    <row r="5031" spans="1:14" x14ac:dyDescent="0.35">
      <c r="A5031">
        <v>5030</v>
      </c>
      <c r="B5031" t="s">
        <v>16</v>
      </c>
      <c r="C5031">
        <v>21</v>
      </c>
      <c r="D5031" t="s">
        <v>27</v>
      </c>
      <c r="E5031" t="s">
        <v>22</v>
      </c>
      <c r="F5031">
        <v>89</v>
      </c>
      <c r="G5031">
        <v>9</v>
      </c>
      <c r="H5031">
        <v>0.43</v>
      </c>
      <c r="I5031" t="s">
        <v>23</v>
      </c>
      <c r="J5031">
        <v>0</v>
      </c>
      <c r="K5031">
        <v>1</v>
      </c>
      <c r="L5031">
        <v>0</v>
      </c>
      <c r="M5031">
        <f>VLOOKUP(Table1[[#This Row],[subscription_type]],Plans!$A$1:$B$5,2,FALSE)</f>
        <v>9.99</v>
      </c>
      <c r="N5031">
        <f t="shared" si="78"/>
        <v>0</v>
      </c>
    </row>
    <row r="5032" spans="1:14" x14ac:dyDescent="0.35">
      <c r="A5032">
        <v>5031</v>
      </c>
      <c r="B5032" t="s">
        <v>16</v>
      </c>
      <c r="C5032">
        <v>51</v>
      </c>
      <c r="D5032" t="s">
        <v>13</v>
      </c>
      <c r="E5032" t="s">
        <v>22</v>
      </c>
      <c r="F5032">
        <v>253</v>
      </c>
      <c r="G5032">
        <v>19</v>
      </c>
      <c r="H5032">
        <v>0.15</v>
      </c>
      <c r="I5032" t="s">
        <v>23</v>
      </c>
      <c r="J5032">
        <v>0</v>
      </c>
      <c r="K5032">
        <v>1</v>
      </c>
      <c r="L5032">
        <v>0</v>
      </c>
      <c r="M5032">
        <f>VLOOKUP(Table1[[#This Row],[subscription_type]],Plans!$A$1:$B$5,2,FALSE)</f>
        <v>9.99</v>
      </c>
      <c r="N5032">
        <f t="shared" si="78"/>
        <v>0</v>
      </c>
    </row>
    <row r="5033" spans="1:14" x14ac:dyDescent="0.35">
      <c r="A5033">
        <v>5032</v>
      </c>
      <c r="B5033" t="s">
        <v>12</v>
      </c>
      <c r="C5033">
        <v>18</v>
      </c>
      <c r="D5033" t="s">
        <v>28</v>
      </c>
      <c r="E5033" t="s">
        <v>14</v>
      </c>
      <c r="F5033">
        <v>14</v>
      </c>
      <c r="G5033">
        <v>82</v>
      </c>
      <c r="H5033">
        <v>0.04</v>
      </c>
      <c r="I5033" t="s">
        <v>19</v>
      </c>
      <c r="J5033">
        <v>31</v>
      </c>
      <c r="K5033">
        <v>0</v>
      </c>
      <c r="L5033">
        <v>0</v>
      </c>
      <c r="M5033">
        <f>VLOOKUP(Table1[[#This Row],[subscription_type]],Plans!$A$1:$B$5,2,FALSE)</f>
        <v>0</v>
      </c>
      <c r="N5033">
        <f t="shared" si="78"/>
        <v>0</v>
      </c>
    </row>
    <row r="5034" spans="1:14" x14ac:dyDescent="0.35">
      <c r="A5034">
        <v>5033</v>
      </c>
      <c r="B5034" t="s">
        <v>20</v>
      </c>
      <c r="C5034">
        <v>43</v>
      </c>
      <c r="D5034" t="s">
        <v>21</v>
      </c>
      <c r="E5034" t="s">
        <v>14</v>
      </c>
      <c r="F5034">
        <v>297</v>
      </c>
      <c r="G5034">
        <v>38</v>
      </c>
      <c r="H5034">
        <v>0.41</v>
      </c>
      <c r="I5034" t="s">
        <v>19</v>
      </c>
      <c r="J5034">
        <v>18</v>
      </c>
      <c r="K5034">
        <v>0</v>
      </c>
      <c r="L5034">
        <v>0</v>
      </c>
      <c r="M5034">
        <f>VLOOKUP(Table1[[#This Row],[subscription_type]],Plans!$A$1:$B$5,2,FALSE)</f>
        <v>0</v>
      </c>
      <c r="N5034">
        <f t="shared" si="78"/>
        <v>0</v>
      </c>
    </row>
    <row r="5035" spans="1:14" x14ac:dyDescent="0.35">
      <c r="A5035">
        <v>5034</v>
      </c>
      <c r="B5035" t="s">
        <v>16</v>
      </c>
      <c r="C5035">
        <v>16</v>
      </c>
      <c r="D5035" t="s">
        <v>25</v>
      </c>
      <c r="E5035" t="s">
        <v>14</v>
      </c>
      <c r="F5035">
        <v>263</v>
      </c>
      <c r="G5035">
        <v>10</v>
      </c>
      <c r="H5035">
        <v>0.55000000000000004</v>
      </c>
      <c r="I5035" t="s">
        <v>19</v>
      </c>
      <c r="J5035">
        <v>11</v>
      </c>
      <c r="K5035">
        <v>0</v>
      </c>
      <c r="L5035">
        <v>1</v>
      </c>
      <c r="M5035">
        <f>VLOOKUP(Table1[[#This Row],[subscription_type]],Plans!$A$1:$B$5,2,FALSE)</f>
        <v>0</v>
      </c>
      <c r="N5035">
        <f t="shared" si="78"/>
        <v>0</v>
      </c>
    </row>
    <row r="5036" spans="1:14" x14ac:dyDescent="0.35">
      <c r="A5036">
        <v>5035</v>
      </c>
      <c r="B5036" t="s">
        <v>12</v>
      </c>
      <c r="C5036">
        <v>22</v>
      </c>
      <c r="D5036" t="s">
        <v>17</v>
      </c>
      <c r="E5036" t="s">
        <v>14</v>
      </c>
      <c r="F5036">
        <v>22</v>
      </c>
      <c r="G5036">
        <v>99</v>
      </c>
      <c r="H5036">
        <v>0.21</v>
      </c>
      <c r="I5036" t="s">
        <v>23</v>
      </c>
      <c r="J5036">
        <v>10</v>
      </c>
      <c r="K5036">
        <v>0</v>
      </c>
      <c r="L5036">
        <v>0</v>
      </c>
      <c r="M5036">
        <f>VLOOKUP(Table1[[#This Row],[subscription_type]],Plans!$A$1:$B$5,2,FALSE)</f>
        <v>0</v>
      </c>
      <c r="N5036">
        <f t="shared" si="78"/>
        <v>0</v>
      </c>
    </row>
    <row r="5037" spans="1:14" x14ac:dyDescent="0.35">
      <c r="A5037">
        <v>5036</v>
      </c>
      <c r="B5037" t="s">
        <v>16</v>
      </c>
      <c r="C5037">
        <v>38</v>
      </c>
      <c r="D5037" t="s">
        <v>17</v>
      </c>
      <c r="E5037" t="s">
        <v>22</v>
      </c>
      <c r="F5037">
        <v>256</v>
      </c>
      <c r="G5037">
        <v>73</v>
      </c>
      <c r="H5037">
        <v>0.3</v>
      </c>
      <c r="I5037" t="s">
        <v>19</v>
      </c>
      <c r="J5037">
        <v>0</v>
      </c>
      <c r="K5037">
        <v>1</v>
      </c>
      <c r="L5037">
        <v>0</v>
      </c>
      <c r="M5037">
        <f>VLOOKUP(Table1[[#This Row],[subscription_type]],Plans!$A$1:$B$5,2,FALSE)</f>
        <v>9.99</v>
      </c>
      <c r="N5037">
        <f t="shared" si="78"/>
        <v>0</v>
      </c>
    </row>
    <row r="5038" spans="1:14" x14ac:dyDescent="0.35">
      <c r="A5038">
        <v>5037</v>
      </c>
      <c r="B5038" t="s">
        <v>20</v>
      </c>
      <c r="C5038">
        <v>37</v>
      </c>
      <c r="D5038" t="s">
        <v>25</v>
      </c>
      <c r="E5038" t="s">
        <v>22</v>
      </c>
      <c r="F5038">
        <v>144</v>
      </c>
      <c r="G5038">
        <v>40</v>
      </c>
      <c r="H5038">
        <v>0.27</v>
      </c>
      <c r="I5038" t="s">
        <v>15</v>
      </c>
      <c r="J5038">
        <v>0</v>
      </c>
      <c r="K5038">
        <v>1</v>
      </c>
      <c r="L5038">
        <v>0</v>
      </c>
      <c r="M5038">
        <f>VLOOKUP(Table1[[#This Row],[subscription_type]],Plans!$A$1:$B$5,2,FALSE)</f>
        <v>9.99</v>
      </c>
      <c r="N5038">
        <f t="shared" si="78"/>
        <v>0</v>
      </c>
    </row>
    <row r="5039" spans="1:14" x14ac:dyDescent="0.35">
      <c r="A5039">
        <v>5038</v>
      </c>
      <c r="B5039" t="s">
        <v>12</v>
      </c>
      <c r="C5039">
        <v>37</v>
      </c>
      <c r="D5039" t="s">
        <v>21</v>
      </c>
      <c r="E5039" t="s">
        <v>24</v>
      </c>
      <c r="F5039">
        <v>89</v>
      </c>
      <c r="G5039">
        <v>18</v>
      </c>
      <c r="H5039">
        <v>0.48</v>
      </c>
      <c r="I5039" t="s">
        <v>15</v>
      </c>
      <c r="J5039">
        <v>0</v>
      </c>
      <c r="K5039">
        <v>1</v>
      </c>
      <c r="L5039">
        <v>1</v>
      </c>
      <c r="M5039">
        <f>VLOOKUP(Table1[[#This Row],[subscription_type]],Plans!$A$1:$B$5,2,FALSE)</f>
        <v>4.99</v>
      </c>
      <c r="N5039">
        <f t="shared" si="78"/>
        <v>4.99</v>
      </c>
    </row>
    <row r="5040" spans="1:14" x14ac:dyDescent="0.35">
      <c r="A5040">
        <v>5039</v>
      </c>
      <c r="B5040" t="s">
        <v>20</v>
      </c>
      <c r="C5040">
        <v>34</v>
      </c>
      <c r="D5040" t="s">
        <v>28</v>
      </c>
      <c r="E5040" t="s">
        <v>24</v>
      </c>
      <c r="F5040">
        <v>94</v>
      </c>
      <c r="G5040">
        <v>61</v>
      </c>
      <c r="H5040">
        <v>0.12</v>
      </c>
      <c r="I5040" t="s">
        <v>15</v>
      </c>
      <c r="J5040">
        <v>0</v>
      </c>
      <c r="K5040">
        <v>1</v>
      </c>
      <c r="L5040">
        <v>0</v>
      </c>
      <c r="M5040">
        <f>VLOOKUP(Table1[[#This Row],[subscription_type]],Plans!$A$1:$B$5,2,FALSE)</f>
        <v>4.99</v>
      </c>
      <c r="N5040">
        <f t="shared" si="78"/>
        <v>0</v>
      </c>
    </row>
    <row r="5041" spans="1:14" x14ac:dyDescent="0.35">
      <c r="A5041">
        <v>5040</v>
      </c>
      <c r="B5041" t="s">
        <v>16</v>
      </c>
      <c r="C5041">
        <v>21</v>
      </c>
      <c r="D5041" t="s">
        <v>25</v>
      </c>
      <c r="E5041" t="s">
        <v>14</v>
      </c>
      <c r="F5041">
        <v>205</v>
      </c>
      <c r="G5041">
        <v>25</v>
      </c>
      <c r="H5041">
        <v>0.41</v>
      </c>
      <c r="I5041" t="s">
        <v>19</v>
      </c>
      <c r="J5041">
        <v>45</v>
      </c>
      <c r="K5041">
        <v>0</v>
      </c>
      <c r="L5041">
        <v>0</v>
      </c>
      <c r="M5041">
        <f>VLOOKUP(Table1[[#This Row],[subscription_type]],Plans!$A$1:$B$5,2,FALSE)</f>
        <v>0</v>
      </c>
      <c r="N5041">
        <f t="shared" si="78"/>
        <v>0</v>
      </c>
    </row>
    <row r="5042" spans="1:14" x14ac:dyDescent="0.35">
      <c r="A5042">
        <v>5041</v>
      </c>
      <c r="B5042" t="s">
        <v>20</v>
      </c>
      <c r="C5042">
        <v>55</v>
      </c>
      <c r="D5042" t="s">
        <v>17</v>
      </c>
      <c r="E5042" t="s">
        <v>18</v>
      </c>
      <c r="F5042">
        <v>14</v>
      </c>
      <c r="G5042">
        <v>68</v>
      </c>
      <c r="H5042">
        <v>0.42</v>
      </c>
      <c r="I5042" t="s">
        <v>15</v>
      </c>
      <c r="J5042">
        <v>0</v>
      </c>
      <c r="K5042">
        <v>1</v>
      </c>
      <c r="L5042">
        <v>0</v>
      </c>
      <c r="M5042">
        <f>VLOOKUP(Table1[[#This Row],[subscription_type]],Plans!$A$1:$B$5,2,FALSE)</f>
        <v>14.99</v>
      </c>
      <c r="N5042">
        <f t="shared" si="78"/>
        <v>0</v>
      </c>
    </row>
    <row r="5043" spans="1:14" x14ac:dyDescent="0.35">
      <c r="A5043">
        <v>5042</v>
      </c>
      <c r="B5043" t="s">
        <v>16</v>
      </c>
      <c r="C5043">
        <v>42</v>
      </c>
      <c r="D5043" t="s">
        <v>28</v>
      </c>
      <c r="E5043" t="s">
        <v>24</v>
      </c>
      <c r="F5043">
        <v>220</v>
      </c>
      <c r="G5043">
        <v>96</v>
      </c>
      <c r="H5043">
        <v>0.23</v>
      </c>
      <c r="I5043" t="s">
        <v>19</v>
      </c>
      <c r="J5043">
        <v>0</v>
      </c>
      <c r="K5043">
        <v>1</v>
      </c>
      <c r="L5043">
        <v>0</v>
      </c>
      <c r="M5043">
        <f>VLOOKUP(Table1[[#This Row],[subscription_type]],Plans!$A$1:$B$5,2,FALSE)</f>
        <v>4.99</v>
      </c>
      <c r="N5043">
        <f t="shared" si="78"/>
        <v>0</v>
      </c>
    </row>
    <row r="5044" spans="1:14" x14ac:dyDescent="0.35">
      <c r="A5044">
        <v>5043</v>
      </c>
      <c r="B5044" t="s">
        <v>16</v>
      </c>
      <c r="C5044">
        <v>57</v>
      </c>
      <c r="D5044" t="s">
        <v>26</v>
      </c>
      <c r="E5044" t="s">
        <v>24</v>
      </c>
      <c r="F5044">
        <v>80</v>
      </c>
      <c r="G5044">
        <v>93</v>
      </c>
      <c r="H5044">
        <v>0.24</v>
      </c>
      <c r="I5044" t="s">
        <v>23</v>
      </c>
      <c r="J5044">
        <v>0</v>
      </c>
      <c r="K5044">
        <v>1</v>
      </c>
      <c r="L5044">
        <v>1</v>
      </c>
      <c r="M5044">
        <f>VLOOKUP(Table1[[#This Row],[subscription_type]],Plans!$A$1:$B$5,2,FALSE)</f>
        <v>4.99</v>
      </c>
      <c r="N5044">
        <f t="shared" si="78"/>
        <v>4.99</v>
      </c>
    </row>
    <row r="5045" spans="1:14" x14ac:dyDescent="0.35">
      <c r="A5045">
        <v>5044</v>
      </c>
      <c r="B5045" t="s">
        <v>20</v>
      </c>
      <c r="C5045">
        <v>21</v>
      </c>
      <c r="D5045" t="s">
        <v>25</v>
      </c>
      <c r="E5045" t="s">
        <v>24</v>
      </c>
      <c r="F5045">
        <v>55</v>
      </c>
      <c r="G5045">
        <v>79</v>
      </c>
      <c r="H5045">
        <v>0.19</v>
      </c>
      <c r="I5045" t="s">
        <v>23</v>
      </c>
      <c r="J5045">
        <v>0</v>
      </c>
      <c r="K5045">
        <v>1</v>
      </c>
      <c r="L5045">
        <v>0</v>
      </c>
      <c r="M5045">
        <f>VLOOKUP(Table1[[#This Row],[subscription_type]],Plans!$A$1:$B$5,2,FALSE)</f>
        <v>4.99</v>
      </c>
      <c r="N5045">
        <f t="shared" si="78"/>
        <v>0</v>
      </c>
    </row>
    <row r="5046" spans="1:14" x14ac:dyDescent="0.35">
      <c r="A5046">
        <v>5045</v>
      </c>
      <c r="B5046" t="s">
        <v>12</v>
      </c>
      <c r="C5046">
        <v>19</v>
      </c>
      <c r="D5046" t="s">
        <v>28</v>
      </c>
      <c r="E5046" t="s">
        <v>22</v>
      </c>
      <c r="F5046">
        <v>47</v>
      </c>
      <c r="G5046">
        <v>56</v>
      </c>
      <c r="H5046">
        <v>0.02</v>
      </c>
      <c r="I5046" t="s">
        <v>15</v>
      </c>
      <c r="J5046">
        <v>0</v>
      </c>
      <c r="K5046">
        <v>1</v>
      </c>
      <c r="L5046">
        <v>0</v>
      </c>
      <c r="M5046">
        <f>VLOOKUP(Table1[[#This Row],[subscription_type]],Plans!$A$1:$B$5,2,FALSE)</f>
        <v>9.99</v>
      </c>
      <c r="N5046">
        <f t="shared" si="78"/>
        <v>0</v>
      </c>
    </row>
    <row r="5047" spans="1:14" x14ac:dyDescent="0.35">
      <c r="A5047">
        <v>5046</v>
      </c>
      <c r="B5047" t="s">
        <v>20</v>
      </c>
      <c r="C5047">
        <v>52</v>
      </c>
      <c r="D5047" t="s">
        <v>27</v>
      </c>
      <c r="E5047" t="s">
        <v>22</v>
      </c>
      <c r="F5047">
        <v>126</v>
      </c>
      <c r="G5047">
        <v>95</v>
      </c>
      <c r="H5047">
        <v>0.38</v>
      </c>
      <c r="I5047" t="s">
        <v>15</v>
      </c>
      <c r="J5047">
        <v>0</v>
      </c>
      <c r="K5047">
        <v>1</v>
      </c>
      <c r="L5047">
        <v>0</v>
      </c>
      <c r="M5047">
        <f>VLOOKUP(Table1[[#This Row],[subscription_type]],Plans!$A$1:$B$5,2,FALSE)</f>
        <v>9.99</v>
      </c>
      <c r="N5047">
        <f t="shared" si="78"/>
        <v>0</v>
      </c>
    </row>
    <row r="5048" spans="1:14" x14ac:dyDescent="0.35">
      <c r="A5048">
        <v>5047</v>
      </c>
      <c r="B5048" t="s">
        <v>20</v>
      </c>
      <c r="C5048">
        <v>22</v>
      </c>
      <c r="D5048" t="s">
        <v>21</v>
      </c>
      <c r="E5048" t="s">
        <v>24</v>
      </c>
      <c r="F5048">
        <v>70</v>
      </c>
      <c r="G5048">
        <v>18</v>
      </c>
      <c r="H5048">
        <v>0.28000000000000003</v>
      </c>
      <c r="I5048" t="s">
        <v>19</v>
      </c>
      <c r="J5048">
        <v>0</v>
      </c>
      <c r="K5048">
        <v>1</v>
      </c>
      <c r="L5048">
        <v>0</v>
      </c>
      <c r="M5048">
        <f>VLOOKUP(Table1[[#This Row],[subscription_type]],Plans!$A$1:$B$5,2,FALSE)</f>
        <v>4.99</v>
      </c>
      <c r="N5048">
        <f t="shared" si="78"/>
        <v>0</v>
      </c>
    </row>
    <row r="5049" spans="1:14" x14ac:dyDescent="0.35">
      <c r="A5049">
        <v>5048</v>
      </c>
      <c r="B5049" t="s">
        <v>16</v>
      </c>
      <c r="C5049">
        <v>20</v>
      </c>
      <c r="D5049" t="s">
        <v>17</v>
      </c>
      <c r="E5049" t="s">
        <v>18</v>
      </c>
      <c r="F5049">
        <v>132</v>
      </c>
      <c r="G5049">
        <v>80</v>
      </c>
      <c r="H5049">
        <v>0.35</v>
      </c>
      <c r="I5049" t="s">
        <v>23</v>
      </c>
      <c r="J5049">
        <v>0</v>
      </c>
      <c r="K5049">
        <v>1</v>
      </c>
      <c r="L5049">
        <v>1</v>
      </c>
      <c r="M5049">
        <f>VLOOKUP(Table1[[#This Row],[subscription_type]],Plans!$A$1:$B$5,2,FALSE)</f>
        <v>14.99</v>
      </c>
      <c r="N5049">
        <f t="shared" si="78"/>
        <v>14.99</v>
      </c>
    </row>
    <row r="5050" spans="1:14" x14ac:dyDescent="0.35">
      <c r="A5050">
        <v>5049</v>
      </c>
      <c r="B5050" t="s">
        <v>16</v>
      </c>
      <c r="C5050">
        <v>49</v>
      </c>
      <c r="D5050" t="s">
        <v>21</v>
      </c>
      <c r="E5050" t="s">
        <v>24</v>
      </c>
      <c r="F5050">
        <v>53</v>
      </c>
      <c r="G5050">
        <v>99</v>
      </c>
      <c r="H5050">
        <v>0.22</v>
      </c>
      <c r="I5050" t="s">
        <v>23</v>
      </c>
      <c r="J5050">
        <v>0</v>
      </c>
      <c r="K5050">
        <v>1</v>
      </c>
      <c r="L5050">
        <v>1</v>
      </c>
      <c r="M5050">
        <f>VLOOKUP(Table1[[#This Row],[subscription_type]],Plans!$A$1:$B$5,2,FALSE)</f>
        <v>4.99</v>
      </c>
      <c r="N5050">
        <f t="shared" si="78"/>
        <v>4.99</v>
      </c>
    </row>
    <row r="5051" spans="1:14" x14ac:dyDescent="0.35">
      <c r="A5051">
        <v>5050</v>
      </c>
      <c r="B5051" t="s">
        <v>20</v>
      </c>
      <c r="C5051">
        <v>33</v>
      </c>
      <c r="D5051" t="s">
        <v>25</v>
      </c>
      <c r="E5051" t="s">
        <v>24</v>
      </c>
      <c r="F5051">
        <v>162</v>
      </c>
      <c r="G5051">
        <v>70</v>
      </c>
      <c r="H5051">
        <v>0.51</v>
      </c>
      <c r="I5051" t="s">
        <v>19</v>
      </c>
      <c r="J5051">
        <v>0</v>
      </c>
      <c r="K5051">
        <v>1</v>
      </c>
      <c r="L5051">
        <v>0</v>
      </c>
      <c r="M5051">
        <f>VLOOKUP(Table1[[#This Row],[subscription_type]],Plans!$A$1:$B$5,2,FALSE)</f>
        <v>4.99</v>
      </c>
      <c r="N5051">
        <f t="shared" si="78"/>
        <v>0</v>
      </c>
    </row>
    <row r="5052" spans="1:14" x14ac:dyDescent="0.35">
      <c r="A5052">
        <v>5051</v>
      </c>
      <c r="B5052" t="s">
        <v>20</v>
      </c>
      <c r="C5052">
        <v>44</v>
      </c>
      <c r="D5052" t="s">
        <v>25</v>
      </c>
      <c r="E5052" t="s">
        <v>18</v>
      </c>
      <c r="F5052">
        <v>274</v>
      </c>
      <c r="G5052">
        <v>76</v>
      </c>
      <c r="H5052">
        <v>7.0000000000000007E-2</v>
      </c>
      <c r="I5052" t="s">
        <v>19</v>
      </c>
      <c r="J5052">
        <v>0</v>
      </c>
      <c r="K5052">
        <v>1</v>
      </c>
      <c r="L5052">
        <v>0</v>
      </c>
      <c r="M5052">
        <f>VLOOKUP(Table1[[#This Row],[subscription_type]],Plans!$A$1:$B$5,2,FALSE)</f>
        <v>14.99</v>
      </c>
      <c r="N5052">
        <f t="shared" si="78"/>
        <v>0</v>
      </c>
    </row>
    <row r="5053" spans="1:14" x14ac:dyDescent="0.35">
      <c r="A5053">
        <v>5052</v>
      </c>
      <c r="B5053" t="s">
        <v>12</v>
      </c>
      <c r="C5053">
        <v>36</v>
      </c>
      <c r="D5053" t="s">
        <v>27</v>
      </c>
      <c r="E5053" t="s">
        <v>24</v>
      </c>
      <c r="F5053">
        <v>290</v>
      </c>
      <c r="G5053">
        <v>88</v>
      </c>
      <c r="H5053">
        <v>0.43</v>
      </c>
      <c r="I5053" t="s">
        <v>15</v>
      </c>
      <c r="J5053">
        <v>0</v>
      </c>
      <c r="K5053">
        <v>1</v>
      </c>
      <c r="L5053">
        <v>0</v>
      </c>
      <c r="M5053">
        <f>VLOOKUP(Table1[[#This Row],[subscription_type]],Plans!$A$1:$B$5,2,FALSE)</f>
        <v>4.99</v>
      </c>
      <c r="N5053">
        <f t="shared" si="78"/>
        <v>0</v>
      </c>
    </row>
    <row r="5054" spans="1:14" x14ac:dyDescent="0.35">
      <c r="A5054">
        <v>5053</v>
      </c>
      <c r="B5054" t="s">
        <v>12</v>
      </c>
      <c r="C5054">
        <v>37</v>
      </c>
      <c r="D5054" t="s">
        <v>13</v>
      </c>
      <c r="E5054" t="s">
        <v>14</v>
      </c>
      <c r="F5054">
        <v>100</v>
      </c>
      <c r="G5054">
        <v>93</v>
      </c>
      <c r="H5054">
        <v>0.33</v>
      </c>
      <c r="I5054" t="s">
        <v>15</v>
      </c>
      <c r="J5054">
        <v>27</v>
      </c>
      <c r="K5054">
        <v>0</v>
      </c>
      <c r="L5054">
        <v>0</v>
      </c>
      <c r="M5054">
        <f>VLOOKUP(Table1[[#This Row],[subscription_type]],Plans!$A$1:$B$5,2,FALSE)</f>
        <v>0</v>
      </c>
      <c r="N5054">
        <f t="shared" si="78"/>
        <v>0</v>
      </c>
    </row>
    <row r="5055" spans="1:14" x14ac:dyDescent="0.35">
      <c r="A5055">
        <v>5054</v>
      </c>
      <c r="B5055" t="s">
        <v>12</v>
      </c>
      <c r="C5055">
        <v>58</v>
      </c>
      <c r="D5055" t="s">
        <v>21</v>
      </c>
      <c r="E5055" t="s">
        <v>22</v>
      </c>
      <c r="F5055">
        <v>38</v>
      </c>
      <c r="G5055">
        <v>21</v>
      </c>
      <c r="H5055">
        <v>0.16</v>
      </c>
      <c r="I5055" t="s">
        <v>15</v>
      </c>
      <c r="J5055">
        <v>0</v>
      </c>
      <c r="K5055">
        <v>1</v>
      </c>
      <c r="L5055">
        <v>0</v>
      </c>
      <c r="M5055">
        <f>VLOOKUP(Table1[[#This Row],[subscription_type]],Plans!$A$1:$B$5,2,FALSE)</f>
        <v>9.99</v>
      </c>
      <c r="N5055">
        <f t="shared" si="78"/>
        <v>0</v>
      </c>
    </row>
    <row r="5056" spans="1:14" x14ac:dyDescent="0.35">
      <c r="A5056">
        <v>5055</v>
      </c>
      <c r="B5056" t="s">
        <v>20</v>
      </c>
      <c r="C5056">
        <v>39</v>
      </c>
      <c r="D5056" t="s">
        <v>28</v>
      </c>
      <c r="E5056" t="s">
        <v>18</v>
      </c>
      <c r="F5056">
        <v>204</v>
      </c>
      <c r="G5056">
        <v>48</v>
      </c>
      <c r="H5056">
        <v>0.36</v>
      </c>
      <c r="I5056" t="s">
        <v>19</v>
      </c>
      <c r="J5056">
        <v>0</v>
      </c>
      <c r="K5056">
        <v>1</v>
      </c>
      <c r="L5056">
        <v>1</v>
      </c>
      <c r="M5056">
        <f>VLOOKUP(Table1[[#This Row],[subscription_type]],Plans!$A$1:$B$5,2,FALSE)</f>
        <v>14.99</v>
      </c>
      <c r="N5056">
        <f t="shared" si="78"/>
        <v>14.99</v>
      </c>
    </row>
    <row r="5057" spans="1:14" x14ac:dyDescent="0.35">
      <c r="A5057">
        <v>5056</v>
      </c>
      <c r="B5057" t="s">
        <v>20</v>
      </c>
      <c r="C5057">
        <v>23</v>
      </c>
      <c r="D5057" t="s">
        <v>17</v>
      </c>
      <c r="E5057" t="s">
        <v>18</v>
      </c>
      <c r="F5057">
        <v>96</v>
      </c>
      <c r="G5057">
        <v>90</v>
      </c>
      <c r="H5057">
        <v>0.48</v>
      </c>
      <c r="I5057" t="s">
        <v>15</v>
      </c>
      <c r="J5057">
        <v>0</v>
      </c>
      <c r="K5057">
        <v>1</v>
      </c>
      <c r="L5057">
        <v>0</v>
      </c>
      <c r="M5057">
        <f>VLOOKUP(Table1[[#This Row],[subscription_type]],Plans!$A$1:$B$5,2,FALSE)</f>
        <v>14.99</v>
      </c>
      <c r="N5057">
        <f t="shared" si="78"/>
        <v>0</v>
      </c>
    </row>
    <row r="5058" spans="1:14" x14ac:dyDescent="0.35">
      <c r="A5058">
        <v>5057</v>
      </c>
      <c r="B5058" t="s">
        <v>12</v>
      </c>
      <c r="C5058">
        <v>17</v>
      </c>
      <c r="D5058" t="s">
        <v>17</v>
      </c>
      <c r="E5058" t="s">
        <v>14</v>
      </c>
      <c r="F5058">
        <v>125</v>
      </c>
      <c r="G5058">
        <v>18</v>
      </c>
      <c r="H5058">
        <v>0.35</v>
      </c>
      <c r="I5058" t="s">
        <v>19</v>
      </c>
      <c r="J5058">
        <v>45</v>
      </c>
      <c r="K5058">
        <v>0</v>
      </c>
      <c r="L5058">
        <v>0</v>
      </c>
      <c r="M5058">
        <f>VLOOKUP(Table1[[#This Row],[subscription_type]],Plans!$A$1:$B$5,2,FALSE)</f>
        <v>0</v>
      </c>
      <c r="N5058">
        <f t="shared" ref="N5058:N5121" si="79">IF(L5058=1, M5058,0)</f>
        <v>0</v>
      </c>
    </row>
    <row r="5059" spans="1:14" x14ac:dyDescent="0.35">
      <c r="A5059">
        <v>5058</v>
      </c>
      <c r="B5059" t="s">
        <v>12</v>
      </c>
      <c r="C5059">
        <v>24</v>
      </c>
      <c r="D5059" t="s">
        <v>29</v>
      </c>
      <c r="E5059" t="s">
        <v>24</v>
      </c>
      <c r="F5059">
        <v>50</v>
      </c>
      <c r="G5059">
        <v>50</v>
      </c>
      <c r="H5059">
        <v>0.47</v>
      </c>
      <c r="I5059" t="s">
        <v>23</v>
      </c>
      <c r="J5059">
        <v>0</v>
      </c>
      <c r="K5059">
        <v>1</v>
      </c>
      <c r="L5059">
        <v>1</v>
      </c>
      <c r="M5059">
        <f>VLOOKUP(Table1[[#This Row],[subscription_type]],Plans!$A$1:$B$5,2,FALSE)</f>
        <v>4.99</v>
      </c>
      <c r="N5059">
        <f t="shared" si="79"/>
        <v>4.99</v>
      </c>
    </row>
    <row r="5060" spans="1:14" x14ac:dyDescent="0.35">
      <c r="A5060">
        <v>5059</v>
      </c>
      <c r="B5060" t="s">
        <v>16</v>
      </c>
      <c r="C5060">
        <v>18</v>
      </c>
      <c r="D5060" t="s">
        <v>29</v>
      </c>
      <c r="E5060" t="s">
        <v>14</v>
      </c>
      <c r="F5060">
        <v>188</v>
      </c>
      <c r="G5060">
        <v>79</v>
      </c>
      <c r="H5060">
        <v>0.22</v>
      </c>
      <c r="I5060" t="s">
        <v>23</v>
      </c>
      <c r="J5060">
        <v>19</v>
      </c>
      <c r="K5060">
        <v>0</v>
      </c>
      <c r="L5060">
        <v>0</v>
      </c>
      <c r="M5060">
        <f>VLOOKUP(Table1[[#This Row],[subscription_type]],Plans!$A$1:$B$5,2,FALSE)</f>
        <v>0</v>
      </c>
      <c r="N5060">
        <f t="shared" si="79"/>
        <v>0</v>
      </c>
    </row>
    <row r="5061" spans="1:14" x14ac:dyDescent="0.35">
      <c r="A5061">
        <v>5060</v>
      </c>
      <c r="B5061" t="s">
        <v>12</v>
      </c>
      <c r="C5061">
        <v>38</v>
      </c>
      <c r="D5061" t="s">
        <v>21</v>
      </c>
      <c r="E5061" t="s">
        <v>22</v>
      </c>
      <c r="F5061">
        <v>32</v>
      </c>
      <c r="G5061">
        <v>44</v>
      </c>
      <c r="H5061">
        <v>0.19</v>
      </c>
      <c r="I5061" t="s">
        <v>15</v>
      </c>
      <c r="J5061">
        <v>0</v>
      </c>
      <c r="K5061">
        <v>1</v>
      </c>
      <c r="L5061">
        <v>0</v>
      </c>
      <c r="M5061">
        <f>VLOOKUP(Table1[[#This Row],[subscription_type]],Plans!$A$1:$B$5,2,FALSE)</f>
        <v>9.99</v>
      </c>
      <c r="N5061">
        <f t="shared" si="79"/>
        <v>0</v>
      </c>
    </row>
    <row r="5062" spans="1:14" x14ac:dyDescent="0.35">
      <c r="A5062">
        <v>5061</v>
      </c>
      <c r="B5062" t="s">
        <v>20</v>
      </c>
      <c r="C5062">
        <v>44</v>
      </c>
      <c r="D5062" t="s">
        <v>29</v>
      </c>
      <c r="E5062" t="s">
        <v>18</v>
      </c>
      <c r="F5062">
        <v>40</v>
      </c>
      <c r="G5062">
        <v>29</v>
      </c>
      <c r="H5062">
        <v>0.5</v>
      </c>
      <c r="I5062" t="s">
        <v>15</v>
      </c>
      <c r="J5062">
        <v>0</v>
      </c>
      <c r="K5062">
        <v>1</v>
      </c>
      <c r="L5062">
        <v>0</v>
      </c>
      <c r="M5062">
        <f>VLOOKUP(Table1[[#This Row],[subscription_type]],Plans!$A$1:$B$5,2,FALSE)</f>
        <v>14.99</v>
      </c>
      <c r="N5062">
        <f t="shared" si="79"/>
        <v>0</v>
      </c>
    </row>
    <row r="5063" spans="1:14" x14ac:dyDescent="0.35">
      <c r="A5063">
        <v>5062</v>
      </c>
      <c r="B5063" t="s">
        <v>20</v>
      </c>
      <c r="C5063">
        <v>23</v>
      </c>
      <c r="D5063" t="s">
        <v>27</v>
      </c>
      <c r="E5063" t="s">
        <v>18</v>
      </c>
      <c r="F5063">
        <v>169</v>
      </c>
      <c r="G5063">
        <v>76</v>
      </c>
      <c r="H5063">
        <v>0.49</v>
      </c>
      <c r="I5063" t="s">
        <v>23</v>
      </c>
      <c r="J5063">
        <v>0</v>
      </c>
      <c r="K5063">
        <v>1</v>
      </c>
      <c r="L5063">
        <v>1</v>
      </c>
      <c r="M5063">
        <f>VLOOKUP(Table1[[#This Row],[subscription_type]],Plans!$A$1:$B$5,2,FALSE)</f>
        <v>14.99</v>
      </c>
      <c r="N5063">
        <f t="shared" si="79"/>
        <v>14.99</v>
      </c>
    </row>
    <row r="5064" spans="1:14" x14ac:dyDescent="0.35">
      <c r="A5064">
        <v>5063</v>
      </c>
      <c r="B5064" t="s">
        <v>16</v>
      </c>
      <c r="C5064">
        <v>37</v>
      </c>
      <c r="D5064" t="s">
        <v>27</v>
      </c>
      <c r="E5064" t="s">
        <v>14</v>
      </c>
      <c r="F5064">
        <v>291</v>
      </c>
      <c r="G5064">
        <v>24</v>
      </c>
      <c r="H5064">
        <v>0.36</v>
      </c>
      <c r="I5064" t="s">
        <v>15</v>
      </c>
      <c r="J5064">
        <v>30</v>
      </c>
      <c r="K5064">
        <v>0</v>
      </c>
      <c r="L5064">
        <v>0</v>
      </c>
      <c r="M5064">
        <f>VLOOKUP(Table1[[#This Row],[subscription_type]],Plans!$A$1:$B$5,2,FALSE)</f>
        <v>0</v>
      </c>
      <c r="N5064">
        <f t="shared" si="79"/>
        <v>0</v>
      </c>
    </row>
    <row r="5065" spans="1:14" x14ac:dyDescent="0.35">
      <c r="A5065">
        <v>5064</v>
      </c>
      <c r="B5065" t="s">
        <v>12</v>
      </c>
      <c r="C5065">
        <v>17</v>
      </c>
      <c r="D5065" t="s">
        <v>17</v>
      </c>
      <c r="E5065" t="s">
        <v>14</v>
      </c>
      <c r="F5065">
        <v>203</v>
      </c>
      <c r="G5065">
        <v>57</v>
      </c>
      <c r="H5065">
        <v>0</v>
      </c>
      <c r="I5065" t="s">
        <v>15</v>
      </c>
      <c r="J5065">
        <v>41</v>
      </c>
      <c r="K5065">
        <v>0</v>
      </c>
      <c r="L5065">
        <v>1</v>
      </c>
      <c r="M5065">
        <f>VLOOKUP(Table1[[#This Row],[subscription_type]],Plans!$A$1:$B$5,2,FALSE)</f>
        <v>0</v>
      </c>
      <c r="N5065">
        <f t="shared" si="79"/>
        <v>0</v>
      </c>
    </row>
    <row r="5066" spans="1:14" x14ac:dyDescent="0.35">
      <c r="A5066">
        <v>5065</v>
      </c>
      <c r="B5066" t="s">
        <v>16</v>
      </c>
      <c r="C5066">
        <v>22</v>
      </c>
      <c r="D5066" t="s">
        <v>13</v>
      </c>
      <c r="E5066" t="s">
        <v>24</v>
      </c>
      <c r="F5066">
        <v>185</v>
      </c>
      <c r="G5066">
        <v>21</v>
      </c>
      <c r="H5066">
        <v>0.51</v>
      </c>
      <c r="I5066" t="s">
        <v>23</v>
      </c>
      <c r="J5066">
        <v>0</v>
      </c>
      <c r="K5066">
        <v>1</v>
      </c>
      <c r="L5066">
        <v>1</v>
      </c>
      <c r="M5066">
        <f>VLOOKUP(Table1[[#This Row],[subscription_type]],Plans!$A$1:$B$5,2,FALSE)</f>
        <v>4.99</v>
      </c>
      <c r="N5066">
        <f t="shared" si="79"/>
        <v>4.99</v>
      </c>
    </row>
    <row r="5067" spans="1:14" x14ac:dyDescent="0.35">
      <c r="A5067">
        <v>5066</v>
      </c>
      <c r="B5067" t="s">
        <v>12</v>
      </c>
      <c r="C5067">
        <v>23</v>
      </c>
      <c r="D5067" t="s">
        <v>25</v>
      </c>
      <c r="E5067" t="s">
        <v>18</v>
      </c>
      <c r="F5067">
        <v>101</v>
      </c>
      <c r="G5067">
        <v>56</v>
      </c>
      <c r="H5067">
        <v>0.21</v>
      </c>
      <c r="I5067" t="s">
        <v>23</v>
      </c>
      <c r="J5067">
        <v>0</v>
      </c>
      <c r="K5067">
        <v>1</v>
      </c>
      <c r="L5067">
        <v>0</v>
      </c>
      <c r="M5067">
        <f>VLOOKUP(Table1[[#This Row],[subscription_type]],Plans!$A$1:$B$5,2,FALSE)</f>
        <v>14.99</v>
      </c>
      <c r="N5067">
        <f t="shared" si="79"/>
        <v>0</v>
      </c>
    </row>
    <row r="5068" spans="1:14" x14ac:dyDescent="0.35">
      <c r="A5068">
        <v>5067</v>
      </c>
      <c r="B5068" t="s">
        <v>20</v>
      </c>
      <c r="C5068">
        <v>20</v>
      </c>
      <c r="D5068" t="s">
        <v>29</v>
      </c>
      <c r="E5068" t="s">
        <v>18</v>
      </c>
      <c r="F5068">
        <v>250</v>
      </c>
      <c r="G5068">
        <v>97</v>
      </c>
      <c r="H5068">
        <v>0.24</v>
      </c>
      <c r="I5068" t="s">
        <v>23</v>
      </c>
      <c r="J5068">
        <v>0</v>
      </c>
      <c r="K5068">
        <v>1</v>
      </c>
      <c r="L5068">
        <v>0</v>
      </c>
      <c r="M5068">
        <f>VLOOKUP(Table1[[#This Row],[subscription_type]],Plans!$A$1:$B$5,2,FALSE)</f>
        <v>14.99</v>
      </c>
      <c r="N5068">
        <f t="shared" si="79"/>
        <v>0</v>
      </c>
    </row>
    <row r="5069" spans="1:14" x14ac:dyDescent="0.35">
      <c r="A5069">
        <v>5068</v>
      </c>
      <c r="B5069" t="s">
        <v>16</v>
      </c>
      <c r="C5069">
        <v>20</v>
      </c>
      <c r="D5069" t="s">
        <v>17</v>
      </c>
      <c r="E5069" t="s">
        <v>14</v>
      </c>
      <c r="F5069">
        <v>224</v>
      </c>
      <c r="G5069">
        <v>68</v>
      </c>
      <c r="H5069">
        <v>0.44</v>
      </c>
      <c r="I5069" t="s">
        <v>19</v>
      </c>
      <c r="J5069">
        <v>5</v>
      </c>
      <c r="K5069">
        <v>0</v>
      </c>
      <c r="L5069">
        <v>0</v>
      </c>
      <c r="M5069">
        <f>VLOOKUP(Table1[[#This Row],[subscription_type]],Plans!$A$1:$B$5,2,FALSE)</f>
        <v>0</v>
      </c>
      <c r="N5069">
        <f t="shared" si="79"/>
        <v>0</v>
      </c>
    </row>
    <row r="5070" spans="1:14" x14ac:dyDescent="0.35">
      <c r="A5070">
        <v>5069</v>
      </c>
      <c r="B5070" t="s">
        <v>12</v>
      </c>
      <c r="C5070">
        <v>59</v>
      </c>
      <c r="D5070" t="s">
        <v>26</v>
      </c>
      <c r="E5070" t="s">
        <v>18</v>
      </c>
      <c r="F5070">
        <v>34</v>
      </c>
      <c r="G5070">
        <v>78</v>
      </c>
      <c r="H5070">
        <v>0.17</v>
      </c>
      <c r="I5070" t="s">
        <v>23</v>
      </c>
      <c r="J5070">
        <v>0</v>
      </c>
      <c r="K5070">
        <v>1</v>
      </c>
      <c r="L5070">
        <v>0</v>
      </c>
      <c r="M5070">
        <f>VLOOKUP(Table1[[#This Row],[subscription_type]],Plans!$A$1:$B$5,2,FALSE)</f>
        <v>14.99</v>
      </c>
      <c r="N5070">
        <f t="shared" si="79"/>
        <v>0</v>
      </c>
    </row>
    <row r="5071" spans="1:14" x14ac:dyDescent="0.35">
      <c r="A5071">
        <v>5070</v>
      </c>
      <c r="B5071" t="s">
        <v>16</v>
      </c>
      <c r="C5071">
        <v>42</v>
      </c>
      <c r="D5071" t="s">
        <v>26</v>
      </c>
      <c r="E5071" t="s">
        <v>22</v>
      </c>
      <c r="F5071">
        <v>77</v>
      </c>
      <c r="G5071">
        <v>15</v>
      </c>
      <c r="H5071">
        <v>0.18</v>
      </c>
      <c r="I5071" t="s">
        <v>23</v>
      </c>
      <c r="J5071">
        <v>0</v>
      </c>
      <c r="K5071">
        <v>1</v>
      </c>
      <c r="L5071">
        <v>0</v>
      </c>
      <c r="M5071">
        <f>VLOOKUP(Table1[[#This Row],[subscription_type]],Plans!$A$1:$B$5,2,FALSE)</f>
        <v>9.99</v>
      </c>
      <c r="N5071">
        <f t="shared" si="79"/>
        <v>0</v>
      </c>
    </row>
    <row r="5072" spans="1:14" x14ac:dyDescent="0.35">
      <c r="A5072">
        <v>5071</v>
      </c>
      <c r="B5072" t="s">
        <v>16</v>
      </c>
      <c r="C5072">
        <v>21</v>
      </c>
      <c r="D5072" t="s">
        <v>13</v>
      </c>
      <c r="E5072" t="s">
        <v>24</v>
      </c>
      <c r="F5072">
        <v>81</v>
      </c>
      <c r="G5072">
        <v>51</v>
      </c>
      <c r="H5072">
        <v>0.24</v>
      </c>
      <c r="I5072" t="s">
        <v>15</v>
      </c>
      <c r="J5072">
        <v>0</v>
      </c>
      <c r="K5072">
        <v>1</v>
      </c>
      <c r="L5072">
        <v>0</v>
      </c>
      <c r="M5072">
        <f>VLOOKUP(Table1[[#This Row],[subscription_type]],Plans!$A$1:$B$5,2,FALSE)</f>
        <v>4.99</v>
      </c>
      <c r="N5072">
        <f t="shared" si="79"/>
        <v>0</v>
      </c>
    </row>
    <row r="5073" spans="1:14" x14ac:dyDescent="0.35">
      <c r="A5073">
        <v>5072</v>
      </c>
      <c r="B5073" t="s">
        <v>16</v>
      </c>
      <c r="C5073">
        <v>47</v>
      </c>
      <c r="D5073" t="s">
        <v>26</v>
      </c>
      <c r="E5073" t="s">
        <v>14</v>
      </c>
      <c r="F5073">
        <v>216</v>
      </c>
      <c r="G5073">
        <v>75</v>
      </c>
      <c r="H5073">
        <v>0.19</v>
      </c>
      <c r="I5073" t="s">
        <v>19</v>
      </c>
      <c r="J5073">
        <v>19</v>
      </c>
      <c r="K5073">
        <v>0</v>
      </c>
      <c r="L5073">
        <v>0</v>
      </c>
      <c r="M5073">
        <f>VLOOKUP(Table1[[#This Row],[subscription_type]],Plans!$A$1:$B$5,2,FALSE)</f>
        <v>0</v>
      </c>
      <c r="N5073">
        <f t="shared" si="79"/>
        <v>0</v>
      </c>
    </row>
    <row r="5074" spans="1:14" x14ac:dyDescent="0.35">
      <c r="A5074">
        <v>5073</v>
      </c>
      <c r="B5074" t="s">
        <v>16</v>
      </c>
      <c r="C5074">
        <v>30</v>
      </c>
      <c r="D5074" t="s">
        <v>26</v>
      </c>
      <c r="E5074" t="s">
        <v>18</v>
      </c>
      <c r="F5074">
        <v>154</v>
      </c>
      <c r="G5074">
        <v>13</v>
      </c>
      <c r="H5074">
        <v>0.33</v>
      </c>
      <c r="I5074" t="s">
        <v>23</v>
      </c>
      <c r="J5074">
        <v>0</v>
      </c>
      <c r="K5074">
        <v>1</v>
      </c>
      <c r="L5074">
        <v>0</v>
      </c>
      <c r="M5074">
        <f>VLOOKUP(Table1[[#This Row],[subscription_type]],Plans!$A$1:$B$5,2,FALSE)</f>
        <v>14.99</v>
      </c>
      <c r="N5074">
        <f t="shared" si="79"/>
        <v>0</v>
      </c>
    </row>
    <row r="5075" spans="1:14" x14ac:dyDescent="0.35">
      <c r="A5075">
        <v>5074</v>
      </c>
      <c r="B5075" t="s">
        <v>20</v>
      </c>
      <c r="C5075">
        <v>40</v>
      </c>
      <c r="D5075" t="s">
        <v>17</v>
      </c>
      <c r="E5075" t="s">
        <v>22</v>
      </c>
      <c r="F5075">
        <v>137</v>
      </c>
      <c r="G5075">
        <v>5</v>
      </c>
      <c r="H5075">
        <v>0.57999999999999996</v>
      </c>
      <c r="I5075" t="s">
        <v>19</v>
      </c>
      <c r="J5075">
        <v>0</v>
      </c>
      <c r="K5075">
        <v>1</v>
      </c>
      <c r="L5075">
        <v>0</v>
      </c>
      <c r="M5075">
        <f>VLOOKUP(Table1[[#This Row],[subscription_type]],Plans!$A$1:$B$5,2,FALSE)</f>
        <v>9.99</v>
      </c>
      <c r="N5075">
        <f t="shared" si="79"/>
        <v>0</v>
      </c>
    </row>
    <row r="5076" spans="1:14" x14ac:dyDescent="0.35">
      <c r="A5076">
        <v>5075</v>
      </c>
      <c r="B5076" t="s">
        <v>20</v>
      </c>
      <c r="C5076">
        <v>24</v>
      </c>
      <c r="D5076" t="s">
        <v>21</v>
      </c>
      <c r="E5076" t="s">
        <v>24</v>
      </c>
      <c r="F5076">
        <v>160</v>
      </c>
      <c r="G5076">
        <v>42</v>
      </c>
      <c r="H5076">
        <v>0.05</v>
      </c>
      <c r="I5076" t="s">
        <v>15</v>
      </c>
      <c r="J5076">
        <v>0</v>
      </c>
      <c r="K5076">
        <v>1</v>
      </c>
      <c r="L5076">
        <v>0</v>
      </c>
      <c r="M5076">
        <f>VLOOKUP(Table1[[#This Row],[subscription_type]],Plans!$A$1:$B$5,2,FALSE)</f>
        <v>4.99</v>
      </c>
      <c r="N5076">
        <f t="shared" si="79"/>
        <v>0</v>
      </c>
    </row>
    <row r="5077" spans="1:14" x14ac:dyDescent="0.35">
      <c r="A5077">
        <v>5076</v>
      </c>
      <c r="B5077" t="s">
        <v>16</v>
      </c>
      <c r="C5077">
        <v>20</v>
      </c>
      <c r="D5077" t="s">
        <v>29</v>
      </c>
      <c r="E5077" t="s">
        <v>14</v>
      </c>
      <c r="F5077">
        <v>13</v>
      </c>
      <c r="G5077">
        <v>48</v>
      </c>
      <c r="H5077">
        <v>0.52</v>
      </c>
      <c r="I5077" t="s">
        <v>15</v>
      </c>
      <c r="J5077">
        <v>40</v>
      </c>
      <c r="K5077">
        <v>0</v>
      </c>
      <c r="L5077">
        <v>0</v>
      </c>
      <c r="M5077">
        <f>VLOOKUP(Table1[[#This Row],[subscription_type]],Plans!$A$1:$B$5,2,FALSE)</f>
        <v>0</v>
      </c>
      <c r="N5077">
        <f t="shared" si="79"/>
        <v>0</v>
      </c>
    </row>
    <row r="5078" spans="1:14" x14ac:dyDescent="0.35">
      <c r="A5078">
        <v>5077</v>
      </c>
      <c r="B5078" t="s">
        <v>16</v>
      </c>
      <c r="C5078">
        <v>55</v>
      </c>
      <c r="D5078" t="s">
        <v>27</v>
      </c>
      <c r="E5078" t="s">
        <v>24</v>
      </c>
      <c r="F5078">
        <v>180</v>
      </c>
      <c r="G5078">
        <v>55</v>
      </c>
      <c r="H5078">
        <v>0.34</v>
      </c>
      <c r="I5078" t="s">
        <v>15</v>
      </c>
      <c r="J5078">
        <v>0</v>
      </c>
      <c r="K5078">
        <v>1</v>
      </c>
      <c r="L5078">
        <v>0</v>
      </c>
      <c r="M5078">
        <f>VLOOKUP(Table1[[#This Row],[subscription_type]],Plans!$A$1:$B$5,2,FALSE)</f>
        <v>4.99</v>
      </c>
      <c r="N5078">
        <f t="shared" si="79"/>
        <v>0</v>
      </c>
    </row>
    <row r="5079" spans="1:14" x14ac:dyDescent="0.35">
      <c r="A5079">
        <v>5078</v>
      </c>
      <c r="B5079" t="s">
        <v>16</v>
      </c>
      <c r="C5079">
        <v>30</v>
      </c>
      <c r="D5079" t="s">
        <v>29</v>
      </c>
      <c r="E5079" t="s">
        <v>22</v>
      </c>
      <c r="F5079">
        <v>285</v>
      </c>
      <c r="G5079">
        <v>39</v>
      </c>
      <c r="H5079">
        <v>0.35</v>
      </c>
      <c r="I5079" t="s">
        <v>23</v>
      </c>
      <c r="J5079">
        <v>0</v>
      </c>
      <c r="K5079">
        <v>1</v>
      </c>
      <c r="L5079">
        <v>0</v>
      </c>
      <c r="M5079">
        <f>VLOOKUP(Table1[[#This Row],[subscription_type]],Plans!$A$1:$B$5,2,FALSE)</f>
        <v>9.99</v>
      </c>
      <c r="N5079">
        <f t="shared" si="79"/>
        <v>0</v>
      </c>
    </row>
    <row r="5080" spans="1:14" x14ac:dyDescent="0.35">
      <c r="A5080">
        <v>5079</v>
      </c>
      <c r="B5080" t="s">
        <v>20</v>
      </c>
      <c r="C5080">
        <v>22</v>
      </c>
      <c r="D5080" t="s">
        <v>13</v>
      </c>
      <c r="E5080" t="s">
        <v>22</v>
      </c>
      <c r="F5080">
        <v>192</v>
      </c>
      <c r="G5080">
        <v>78</v>
      </c>
      <c r="H5080">
        <v>0.11</v>
      </c>
      <c r="I5080" t="s">
        <v>15</v>
      </c>
      <c r="J5080">
        <v>0</v>
      </c>
      <c r="K5080">
        <v>1</v>
      </c>
      <c r="L5080">
        <v>0</v>
      </c>
      <c r="M5080">
        <f>VLOOKUP(Table1[[#This Row],[subscription_type]],Plans!$A$1:$B$5,2,FALSE)</f>
        <v>9.99</v>
      </c>
      <c r="N5080">
        <f t="shared" si="79"/>
        <v>0</v>
      </c>
    </row>
    <row r="5081" spans="1:14" x14ac:dyDescent="0.35">
      <c r="A5081">
        <v>5080</v>
      </c>
      <c r="B5081" t="s">
        <v>16</v>
      </c>
      <c r="C5081">
        <v>34</v>
      </c>
      <c r="D5081" t="s">
        <v>13</v>
      </c>
      <c r="E5081" t="s">
        <v>18</v>
      </c>
      <c r="F5081">
        <v>113</v>
      </c>
      <c r="G5081">
        <v>8</v>
      </c>
      <c r="H5081">
        <v>0.56000000000000005</v>
      </c>
      <c r="I5081" t="s">
        <v>23</v>
      </c>
      <c r="J5081">
        <v>0</v>
      </c>
      <c r="K5081">
        <v>1</v>
      </c>
      <c r="L5081">
        <v>0</v>
      </c>
      <c r="M5081">
        <f>VLOOKUP(Table1[[#This Row],[subscription_type]],Plans!$A$1:$B$5,2,FALSE)</f>
        <v>14.99</v>
      </c>
      <c r="N5081">
        <f t="shared" si="79"/>
        <v>0</v>
      </c>
    </row>
    <row r="5082" spans="1:14" x14ac:dyDescent="0.35">
      <c r="A5082">
        <v>5081</v>
      </c>
      <c r="B5082" t="s">
        <v>20</v>
      </c>
      <c r="C5082">
        <v>39</v>
      </c>
      <c r="D5082" t="s">
        <v>21</v>
      </c>
      <c r="E5082" t="s">
        <v>22</v>
      </c>
      <c r="F5082">
        <v>158</v>
      </c>
      <c r="G5082">
        <v>90</v>
      </c>
      <c r="H5082">
        <v>0.3</v>
      </c>
      <c r="I5082" t="s">
        <v>15</v>
      </c>
      <c r="J5082">
        <v>0</v>
      </c>
      <c r="K5082">
        <v>1</v>
      </c>
      <c r="L5082">
        <v>1</v>
      </c>
      <c r="M5082">
        <f>VLOOKUP(Table1[[#This Row],[subscription_type]],Plans!$A$1:$B$5,2,FALSE)</f>
        <v>9.99</v>
      </c>
      <c r="N5082">
        <f t="shared" si="79"/>
        <v>9.99</v>
      </c>
    </row>
    <row r="5083" spans="1:14" x14ac:dyDescent="0.35">
      <c r="A5083">
        <v>5082</v>
      </c>
      <c r="B5083" t="s">
        <v>12</v>
      </c>
      <c r="C5083">
        <v>36</v>
      </c>
      <c r="D5083" t="s">
        <v>21</v>
      </c>
      <c r="E5083" t="s">
        <v>14</v>
      </c>
      <c r="F5083">
        <v>231</v>
      </c>
      <c r="G5083">
        <v>91</v>
      </c>
      <c r="H5083">
        <v>0.22</v>
      </c>
      <c r="I5083" t="s">
        <v>19</v>
      </c>
      <c r="J5083">
        <v>29</v>
      </c>
      <c r="K5083">
        <v>0</v>
      </c>
      <c r="L5083">
        <v>0</v>
      </c>
      <c r="M5083">
        <f>VLOOKUP(Table1[[#This Row],[subscription_type]],Plans!$A$1:$B$5,2,FALSE)</f>
        <v>0</v>
      </c>
      <c r="N5083">
        <f t="shared" si="79"/>
        <v>0</v>
      </c>
    </row>
    <row r="5084" spans="1:14" x14ac:dyDescent="0.35">
      <c r="A5084">
        <v>5083</v>
      </c>
      <c r="B5084" t="s">
        <v>12</v>
      </c>
      <c r="C5084">
        <v>40</v>
      </c>
      <c r="D5084" t="s">
        <v>21</v>
      </c>
      <c r="E5084" t="s">
        <v>22</v>
      </c>
      <c r="F5084">
        <v>99</v>
      </c>
      <c r="G5084">
        <v>15</v>
      </c>
      <c r="H5084">
        <v>0.57999999999999996</v>
      </c>
      <c r="I5084" t="s">
        <v>23</v>
      </c>
      <c r="J5084">
        <v>0</v>
      </c>
      <c r="K5084">
        <v>1</v>
      </c>
      <c r="L5084">
        <v>0</v>
      </c>
      <c r="M5084">
        <f>VLOOKUP(Table1[[#This Row],[subscription_type]],Plans!$A$1:$B$5,2,FALSE)</f>
        <v>9.99</v>
      </c>
      <c r="N5084">
        <f t="shared" si="79"/>
        <v>0</v>
      </c>
    </row>
    <row r="5085" spans="1:14" x14ac:dyDescent="0.35">
      <c r="A5085">
        <v>5084</v>
      </c>
      <c r="B5085" t="s">
        <v>12</v>
      </c>
      <c r="C5085">
        <v>57</v>
      </c>
      <c r="D5085" t="s">
        <v>17</v>
      </c>
      <c r="E5085" t="s">
        <v>24</v>
      </c>
      <c r="F5085">
        <v>117</v>
      </c>
      <c r="G5085">
        <v>38</v>
      </c>
      <c r="H5085">
        <v>0.53</v>
      </c>
      <c r="I5085" t="s">
        <v>23</v>
      </c>
      <c r="J5085">
        <v>0</v>
      </c>
      <c r="K5085">
        <v>1</v>
      </c>
      <c r="L5085">
        <v>0</v>
      </c>
      <c r="M5085">
        <f>VLOOKUP(Table1[[#This Row],[subscription_type]],Plans!$A$1:$B$5,2,FALSE)</f>
        <v>4.99</v>
      </c>
      <c r="N5085">
        <f t="shared" si="79"/>
        <v>0</v>
      </c>
    </row>
    <row r="5086" spans="1:14" x14ac:dyDescent="0.35">
      <c r="A5086">
        <v>5085</v>
      </c>
      <c r="B5086" t="s">
        <v>12</v>
      </c>
      <c r="C5086">
        <v>54</v>
      </c>
      <c r="D5086" t="s">
        <v>25</v>
      </c>
      <c r="E5086" t="s">
        <v>14</v>
      </c>
      <c r="F5086">
        <v>73</v>
      </c>
      <c r="G5086">
        <v>48</v>
      </c>
      <c r="H5086">
        <v>7.0000000000000007E-2</v>
      </c>
      <c r="I5086" t="s">
        <v>23</v>
      </c>
      <c r="J5086">
        <v>40</v>
      </c>
      <c r="K5086">
        <v>0</v>
      </c>
      <c r="L5086">
        <v>1</v>
      </c>
      <c r="M5086">
        <f>VLOOKUP(Table1[[#This Row],[subscription_type]],Plans!$A$1:$B$5,2,FALSE)</f>
        <v>0</v>
      </c>
      <c r="N5086">
        <f t="shared" si="79"/>
        <v>0</v>
      </c>
    </row>
    <row r="5087" spans="1:14" x14ac:dyDescent="0.35">
      <c r="A5087">
        <v>5086</v>
      </c>
      <c r="B5087" t="s">
        <v>16</v>
      </c>
      <c r="C5087">
        <v>21</v>
      </c>
      <c r="D5087" t="s">
        <v>26</v>
      </c>
      <c r="E5087" t="s">
        <v>14</v>
      </c>
      <c r="F5087">
        <v>21</v>
      </c>
      <c r="G5087">
        <v>20</v>
      </c>
      <c r="H5087">
        <v>0.18</v>
      </c>
      <c r="I5087" t="s">
        <v>19</v>
      </c>
      <c r="J5087">
        <v>22</v>
      </c>
      <c r="K5087">
        <v>0</v>
      </c>
      <c r="L5087">
        <v>0</v>
      </c>
      <c r="M5087">
        <f>VLOOKUP(Table1[[#This Row],[subscription_type]],Plans!$A$1:$B$5,2,FALSE)</f>
        <v>0</v>
      </c>
      <c r="N5087">
        <f t="shared" si="79"/>
        <v>0</v>
      </c>
    </row>
    <row r="5088" spans="1:14" x14ac:dyDescent="0.35">
      <c r="A5088">
        <v>5087</v>
      </c>
      <c r="B5088" t="s">
        <v>16</v>
      </c>
      <c r="C5088">
        <v>40</v>
      </c>
      <c r="D5088" t="s">
        <v>29</v>
      </c>
      <c r="E5088" t="s">
        <v>24</v>
      </c>
      <c r="F5088">
        <v>154</v>
      </c>
      <c r="G5088">
        <v>67</v>
      </c>
      <c r="H5088">
        <v>0.26</v>
      </c>
      <c r="I5088" t="s">
        <v>23</v>
      </c>
      <c r="J5088">
        <v>0</v>
      </c>
      <c r="K5088">
        <v>1</v>
      </c>
      <c r="L5088">
        <v>0</v>
      </c>
      <c r="M5088">
        <f>VLOOKUP(Table1[[#This Row],[subscription_type]],Plans!$A$1:$B$5,2,FALSE)</f>
        <v>4.99</v>
      </c>
      <c r="N5088">
        <f t="shared" si="79"/>
        <v>0</v>
      </c>
    </row>
    <row r="5089" spans="1:14" x14ac:dyDescent="0.35">
      <c r="A5089">
        <v>5088</v>
      </c>
      <c r="B5089" t="s">
        <v>12</v>
      </c>
      <c r="C5089">
        <v>47</v>
      </c>
      <c r="D5089" t="s">
        <v>21</v>
      </c>
      <c r="E5089" t="s">
        <v>22</v>
      </c>
      <c r="F5089">
        <v>136</v>
      </c>
      <c r="G5089">
        <v>82</v>
      </c>
      <c r="H5089">
        <v>0.17</v>
      </c>
      <c r="I5089" t="s">
        <v>15</v>
      </c>
      <c r="J5089">
        <v>0</v>
      </c>
      <c r="K5089">
        <v>1</v>
      </c>
      <c r="L5089">
        <v>0</v>
      </c>
      <c r="M5089">
        <f>VLOOKUP(Table1[[#This Row],[subscription_type]],Plans!$A$1:$B$5,2,FALSE)</f>
        <v>9.99</v>
      </c>
      <c r="N5089">
        <f t="shared" si="79"/>
        <v>0</v>
      </c>
    </row>
    <row r="5090" spans="1:14" x14ac:dyDescent="0.35">
      <c r="A5090">
        <v>5089</v>
      </c>
      <c r="B5090" t="s">
        <v>16</v>
      </c>
      <c r="C5090">
        <v>33</v>
      </c>
      <c r="D5090" t="s">
        <v>27</v>
      </c>
      <c r="E5090" t="s">
        <v>18</v>
      </c>
      <c r="F5090">
        <v>107</v>
      </c>
      <c r="G5090">
        <v>55</v>
      </c>
      <c r="H5090">
        <v>0.37</v>
      </c>
      <c r="I5090" t="s">
        <v>15</v>
      </c>
      <c r="J5090">
        <v>0</v>
      </c>
      <c r="K5090">
        <v>1</v>
      </c>
      <c r="L5090">
        <v>1</v>
      </c>
      <c r="M5090">
        <f>VLOOKUP(Table1[[#This Row],[subscription_type]],Plans!$A$1:$B$5,2,FALSE)</f>
        <v>14.99</v>
      </c>
      <c r="N5090">
        <f t="shared" si="79"/>
        <v>14.99</v>
      </c>
    </row>
    <row r="5091" spans="1:14" x14ac:dyDescent="0.35">
      <c r="A5091">
        <v>5090</v>
      </c>
      <c r="B5091" t="s">
        <v>12</v>
      </c>
      <c r="C5091">
        <v>37</v>
      </c>
      <c r="D5091" t="s">
        <v>13</v>
      </c>
      <c r="E5091" t="s">
        <v>24</v>
      </c>
      <c r="F5091">
        <v>87</v>
      </c>
      <c r="G5091">
        <v>84</v>
      </c>
      <c r="H5091">
        <v>0.25</v>
      </c>
      <c r="I5091" t="s">
        <v>23</v>
      </c>
      <c r="J5091">
        <v>0</v>
      </c>
      <c r="K5091">
        <v>1</v>
      </c>
      <c r="L5091">
        <v>0</v>
      </c>
      <c r="M5091">
        <f>VLOOKUP(Table1[[#This Row],[subscription_type]],Plans!$A$1:$B$5,2,FALSE)</f>
        <v>4.99</v>
      </c>
      <c r="N5091">
        <f t="shared" si="79"/>
        <v>0</v>
      </c>
    </row>
    <row r="5092" spans="1:14" x14ac:dyDescent="0.35">
      <c r="A5092">
        <v>5091</v>
      </c>
      <c r="B5092" t="s">
        <v>12</v>
      </c>
      <c r="C5092">
        <v>33</v>
      </c>
      <c r="D5092" t="s">
        <v>26</v>
      </c>
      <c r="E5092" t="s">
        <v>22</v>
      </c>
      <c r="F5092">
        <v>186</v>
      </c>
      <c r="G5092">
        <v>37</v>
      </c>
      <c r="H5092">
        <v>0.11</v>
      </c>
      <c r="I5092" t="s">
        <v>23</v>
      </c>
      <c r="J5092">
        <v>0</v>
      </c>
      <c r="K5092">
        <v>1</v>
      </c>
      <c r="L5092">
        <v>0</v>
      </c>
      <c r="M5092">
        <f>VLOOKUP(Table1[[#This Row],[subscription_type]],Plans!$A$1:$B$5,2,FALSE)</f>
        <v>9.99</v>
      </c>
      <c r="N5092">
        <f t="shared" si="79"/>
        <v>0</v>
      </c>
    </row>
    <row r="5093" spans="1:14" x14ac:dyDescent="0.35">
      <c r="A5093">
        <v>5092</v>
      </c>
      <c r="B5093" t="s">
        <v>12</v>
      </c>
      <c r="C5093">
        <v>16</v>
      </c>
      <c r="D5093" t="s">
        <v>21</v>
      </c>
      <c r="E5093" t="s">
        <v>22</v>
      </c>
      <c r="F5093">
        <v>51</v>
      </c>
      <c r="G5093">
        <v>85</v>
      </c>
      <c r="H5093">
        <v>0.17</v>
      </c>
      <c r="I5093" t="s">
        <v>19</v>
      </c>
      <c r="J5093">
        <v>0</v>
      </c>
      <c r="K5093">
        <v>1</v>
      </c>
      <c r="L5093">
        <v>0</v>
      </c>
      <c r="M5093">
        <f>VLOOKUP(Table1[[#This Row],[subscription_type]],Plans!$A$1:$B$5,2,FALSE)</f>
        <v>9.99</v>
      </c>
      <c r="N5093">
        <f t="shared" si="79"/>
        <v>0</v>
      </c>
    </row>
    <row r="5094" spans="1:14" x14ac:dyDescent="0.35">
      <c r="A5094">
        <v>5093</v>
      </c>
      <c r="B5094" t="s">
        <v>16</v>
      </c>
      <c r="C5094">
        <v>53</v>
      </c>
      <c r="D5094" t="s">
        <v>27</v>
      </c>
      <c r="E5094" t="s">
        <v>24</v>
      </c>
      <c r="F5094">
        <v>285</v>
      </c>
      <c r="G5094">
        <v>30</v>
      </c>
      <c r="H5094">
        <v>0.46</v>
      </c>
      <c r="I5094" t="s">
        <v>15</v>
      </c>
      <c r="J5094">
        <v>0</v>
      </c>
      <c r="K5094">
        <v>1</v>
      </c>
      <c r="L5094">
        <v>0</v>
      </c>
      <c r="M5094">
        <f>VLOOKUP(Table1[[#This Row],[subscription_type]],Plans!$A$1:$B$5,2,FALSE)</f>
        <v>4.99</v>
      </c>
      <c r="N5094">
        <f t="shared" si="79"/>
        <v>0</v>
      </c>
    </row>
    <row r="5095" spans="1:14" x14ac:dyDescent="0.35">
      <c r="A5095">
        <v>5094</v>
      </c>
      <c r="B5095" t="s">
        <v>20</v>
      </c>
      <c r="C5095">
        <v>23</v>
      </c>
      <c r="D5095" t="s">
        <v>28</v>
      </c>
      <c r="E5095" t="s">
        <v>22</v>
      </c>
      <c r="F5095">
        <v>207</v>
      </c>
      <c r="G5095">
        <v>86</v>
      </c>
      <c r="H5095">
        <v>0.06</v>
      </c>
      <c r="I5095" t="s">
        <v>19</v>
      </c>
      <c r="J5095">
        <v>0</v>
      </c>
      <c r="K5095">
        <v>1</v>
      </c>
      <c r="L5095">
        <v>0</v>
      </c>
      <c r="M5095">
        <f>VLOOKUP(Table1[[#This Row],[subscription_type]],Plans!$A$1:$B$5,2,FALSE)</f>
        <v>9.99</v>
      </c>
      <c r="N5095">
        <f t="shared" si="79"/>
        <v>0</v>
      </c>
    </row>
    <row r="5096" spans="1:14" x14ac:dyDescent="0.35">
      <c r="A5096">
        <v>5095</v>
      </c>
      <c r="B5096" t="s">
        <v>12</v>
      </c>
      <c r="C5096">
        <v>46</v>
      </c>
      <c r="D5096" t="s">
        <v>25</v>
      </c>
      <c r="E5096" t="s">
        <v>14</v>
      </c>
      <c r="F5096">
        <v>252</v>
      </c>
      <c r="G5096">
        <v>85</v>
      </c>
      <c r="H5096">
        <v>0.53</v>
      </c>
      <c r="I5096" t="s">
        <v>23</v>
      </c>
      <c r="J5096">
        <v>47</v>
      </c>
      <c r="K5096">
        <v>0</v>
      </c>
      <c r="L5096">
        <v>0</v>
      </c>
      <c r="M5096">
        <f>VLOOKUP(Table1[[#This Row],[subscription_type]],Plans!$A$1:$B$5,2,FALSE)</f>
        <v>0</v>
      </c>
      <c r="N5096">
        <f t="shared" si="79"/>
        <v>0</v>
      </c>
    </row>
    <row r="5097" spans="1:14" x14ac:dyDescent="0.35">
      <c r="A5097">
        <v>5096</v>
      </c>
      <c r="B5097" t="s">
        <v>16</v>
      </c>
      <c r="C5097">
        <v>16</v>
      </c>
      <c r="D5097" t="s">
        <v>27</v>
      </c>
      <c r="E5097" t="s">
        <v>24</v>
      </c>
      <c r="F5097">
        <v>40</v>
      </c>
      <c r="G5097">
        <v>89</v>
      </c>
      <c r="H5097">
        <v>0.21</v>
      </c>
      <c r="I5097" t="s">
        <v>19</v>
      </c>
      <c r="J5097">
        <v>0</v>
      </c>
      <c r="K5097">
        <v>1</v>
      </c>
      <c r="L5097">
        <v>0</v>
      </c>
      <c r="M5097">
        <f>VLOOKUP(Table1[[#This Row],[subscription_type]],Plans!$A$1:$B$5,2,FALSE)</f>
        <v>4.99</v>
      </c>
      <c r="N5097">
        <f t="shared" si="79"/>
        <v>0</v>
      </c>
    </row>
    <row r="5098" spans="1:14" x14ac:dyDescent="0.35">
      <c r="A5098">
        <v>5097</v>
      </c>
      <c r="B5098" t="s">
        <v>16</v>
      </c>
      <c r="C5098">
        <v>51</v>
      </c>
      <c r="D5098" t="s">
        <v>29</v>
      </c>
      <c r="E5098" t="s">
        <v>14</v>
      </c>
      <c r="F5098">
        <v>41</v>
      </c>
      <c r="G5098">
        <v>85</v>
      </c>
      <c r="H5098">
        <v>0.48</v>
      </c>
      <c r="I5098" t="s">
        <v>23</v>
      </c>
      <c r="J5098">
        <v>30</v>
      </c>
      <c r="K5098">
        <v>0</v>
      </c>
      <c r="L5098">
        <v>0</v>
      </c>
      <c r="M5098">
        <f>VLOOKUP(Table1[[#This Row],[subscription_type]],Plans!$A$1:$B$5,2,FALSE)</f>
        <v>0</v>
      </c>
      <c r="N5098">
        <f t="shared" si="79"/>
        <v>0</v>
      </c>
    </row>
    <row r="5099" spans="1:14" x14ac:dyDescent="0.35">
      <c r="A5099">
        <v>5098</v>
      </c>
      <c r="B5099" t="s">
        <v>16</v>
      </c>
      <c r="C5099">
        <v>39</v>
      </c>
      <c r="D5099" t="s">
        <v>17</v>
      </c>
      <c r="E5099" t="s">
        <v>22</v>
      </c>
      <c r="F5099">
        <v>159</v>
      </c>
      <c r="G5099">
        <v>77</v>
      </c>
      <c r="H5099">
        <v>0.15</v>
      </c>
      <c r="I5099" t="s">
        <v>23</v>
      </c>
      <c r="J5099">
        <v>0</v>
      </c>
      <c r="K5099">
        <v>1</v>
      </c>
      <c r="L5099">
        <v>1</v>
      </c>
      <c r="M5099">
        <f>VLOOKUP(Table1[[#This Row],[subscription_type]],Plans!$A$1:$B$5,2,FALSE)</f>
        <v>9.99</v>
      </c>
      <c r="N5099">
        <f t="shared" si="79"/>
        <v>9.99</v>
      </c>
    </row>
    <row r="5100" spans="1:14" x14ac:dyDescent="0.35">
      <c r="A5100">
        <v>5099</v>
      </c>
      <c r="B5100" t="s">
        <v>12</v>
      </c>
      <c r="C5100">
        <v>39</v>
      </c>
      <c r="D5100" t="s">
        <v>17</v>
      </c>
      <c r="E5100" t="s">
        <v>22</v>
      </c>
      <c r="F5100">
        <v>29</v>
      </c>
      <c r="G5100">
        <v>87</v>
      </c>
      <c r="H5100">
        <v>0.03</v>
      </c>
      <c r="I5100" t="s">
        <v>15</v>
      </c>
      <c r="J5100">
        <v>0</v>
      </c>
      <c r="K5100">
        <v>1</v>
      </c>
      <c r="L5100">
        <v>0</v>
      </c>
      <c r="M5100">
        <f>VLOOKUP(Table1[[#This Row],[subscription_type]],Plans!$A$1:$B$5,2,FALSE)</f>
        <v>9.99</v>
      </c>
      <c r="N5100">
        <f t="shared" si="79"/>
        <v>0</v>
      </c>
    </row>
    <row r="5101" spans="1:14" x14ac:dyDescent="0.35">
      <c r="A5101">
        <v>5100</v>
      </c>
      <c r="B5101" t="s">
        <v>12</v>
      </c>
      <c r="C5101">
        <v>26</v>
      </c>
      <c r="D5101" t="s">
        <v>29</v>
      </c>
      <c r="E5101" t="s">
        <v>18</v>
      </c>
      <c r="F5101">
        <v>234</v>
      </c>
      <c r="G5101">
        <v>31</v>
      </c>
      <c r="H5101">
        <v>0.41</v>
      </c>
      <c r="I5101" t="s">
        <v>19</v>
      </c>
      <c r="J5101">
        <v>0</v>
      </c>
      <c r="K5101">
        <v>1</v>
      </c>
      <c r="L5101">
        <v>0</v>
      </c>
      <c r="M5101">
        <f>VLOOKUP(Table1[[#This Row],[subscription_type]],Plans!$A$1:$B$5,2,FALSE)</f>
        <v>14.99</v>
      </c>
      <c r="N5101">
        <f t="shared" si="79"/>
        <v>0</v>
      </c>
    </row>
    <row r="5102" spans="1:14" x14ac:dyDescent="0.35">
      <c r="A5102">
        <v>5101</v>
      </c>
      <c r="B5102" t="s">
        <v>12</v>
      </c>
      <c r="C5102">
        <v>17</v>
      </c>
      <c r="D5102" t="s">
        <v>26</v>
      </c>
      <c r="E5102" t="s">
        <v>22</v>
      </c>
      <c r="F5102">
        <v>283</v>
      </c>
      <c r="G5102">
        <v>32</v>
      </c>
      <c r="H5102">
        <v>0.06</v>
      </c>
      <c r="I5102" t="s">
        <v>23</v>
      </c>
      <c r="J5102">
        <v>0</v>
      </c>
      <c r="K5102">
        <v>1</v>
      </c>
      <c r="L5102">
        <v>0</v>
      </c>
      <c r="M5102">
        <f>VLOOKUP(Table1[[#This Row],[subscription_type]],Plans!$A$1:$B$5,2,FALSE)</f>
        <v>9.99</v>
      </c>
      <c r="N5102">
        <f t="shared" si="79"/>
        <v>0</v>
      </c>
    </row>
    <row r="5103" spans="1:14" x14ac:dyDescent="0.35">
      <c r="A5103">
        <v>5102</v>
      </c>
      <c r="B5103" t="s">
        <v>12</v>
      </c>
      <c r="C5103">
        <v>19</v>
      </c>
      <c r="D5103" t="s">
        <v>28</v>
      </c>
      <c r="E5103" t="s">
        <v>24</v>
      </c>
      <c r="F5103">
        <v>261</v>
      </c>
      <c r="G5103">
        <v>49</v>
      </c>
      <c r="H5103">
        <v>0.06</v>
      </c>
      <c r="I5103" t="s">
        <v>23</v>
      </c>
      <c r="J5103">
        <v>0</v>
      </c>
      <c r="K5103">
        <v>1</v>
      </c>
      <c r="L5103">
        <v>0</v>
      </c>
      <c r="M5103">
        <f>VLOOKUP(Table1[[#This Row],[subscription_type]],Plans!$A$1:$B$5,2,FALSE)</f>
        <v>4.99</v>
      </c>
      <c r="N5103">
        <f t="shared" si="79"/>
        <v>0</v>
      </c>
    </row>
    <row r="5104" spans="1:14" x14ac:dyDescent="0.35">
      <c r="A5104">
        <v>5103</v>
      </c>
      <c r="B5104" t="s">
        <v>20</v>
      </c>
      <c r="C5104">
        <v>59</v>
      </c>
      <c r="D5104" t="s">
        <v>13</v>
      </c>
      <c r="E5104" t="s">
        <v>22</v>
      </c>
      <c r="F5104">
        <v>100</v>
      </c>
      <c r="G5104">
        <v>66</v>
      </c>
      <c r="H5104">
        <v>0.43</v>
      </c>
      <c r="I5104" t="s">
        <v>15</v>
      </c>
      <c r="J5104">
        <v>0</v>
      </c>
      <c r="K5104">
        <v>1</v>
      </c>
      <c r="L5104">
        <v>0</v>
      </c>
      <c r="M5104">
        <f>VLOOKUP(Table1[[#This Row],[subscription_type]],Plans!$A$1:$B$5,2,FALSE)</f>
        <v>9.99</v>
      </c>
      <c r="N5104">
        <f t="shared" si="79"/>
        <v>0</v>
      </c>
    </row>
    <row r="5105" spans="1:14" x14ac:dyDescent="0.35">
      <c r="A5105">
        <v>5104</v>
      </c>
      <c r="B5105" t="s">
        <v>16</v>
      </c>
      <c r="C5105">
        <v>54</v>
      </c>
      <c r="D5105" t="s">
        <v>27</v>
      </c>
      <c r="E5105" t="s">
        <v>22</v>
      </c>
      <c r="F5105">
        <v>12</v>
      </c>
      <c r="G5105">
        <v>19</v>
      </c>
      <c r="H5105">
        <v>0.46</v>
      </c>
      <c r="I5105" t="s">
        <v>23</v>
      </c>
      <c r="J5105">
        <v>0</v>
      </c>
      <c r="K5105">
        <v>1</v>
      </c>
      <c r="L5105">
        <v>0</v>
      </c>
      <c r="M5105">
        <f>VLOOKUP(Table1[[#This Row],[subscription_type]],Plans!$A$1:$B$5,2,FALSE)</f>
        <v>9.99</v>
      </c>
      <c r="N5105">
        <f t="shared" si="79"/>
        <v>0</v>
      </c>
    </row>
    <row r="5106" spans="1:14" x14ac:dyDescent="0.35">
      <c r="A5106">
        <v>5105</v>
      </c>
      <c r="B5106" t="s">
        <v>12</v>
      </c>
      <c r="C5106">
        <v>25</v>
      </c>
      <c r="D5106" t="s">
        <v>25</v>
      </c>
      <c r="E5106" t="s">
        <v>22</v>
      </c>
      <c r="F5106">
        <v>215</v>
      </c>
      <c r="G5106">
        <v>82</v>
      </c>
      <c r="H5106">
        <v>0.42</v>
      </c>
      <c r="I5106" t="s">
        <v>15</v>
      </c>
      <c r="J5106">
        <v>0</v>
      </c>
      <c r="K5106">
        <v>1</v>
      </c>
      <c r="L5106">
        <v>1</v>
      </c>
      <c r="M5106">
        <f>VLOOKUP(Table1[[#This Row],[subscription_type]],Plans!$A$1:$B$5,2,FALSE)</f>
        <v>9.99</v>
      </c>
      <c r="N5106">
        <f t="shared" si="79"/>
        <v>9.99</v>
      </c>
    </row>
    <row r="5107" spans="1:14" x14ac:dyDescent="0.35">
      <c r="A5107">
        <v>5106</v>
      </c>
      <c r="B5107" t="s">
        <v>20</v>
      </c>
      <c r="C5107">
        <v>49</v>
      </c>
      <c r="D5107" t="s">
        <v>13</v>
      </c>
      <c r="E5107" t="s">
        <v>24</v>
      </c>
      <c r="F5107">
        <v>163</v>
      </c>
      <c r="G5107">
        <v>48</v>
      </c>
      <c r="H5107">
        <v>0.56000000000000005</v>
      </c>
      <c r="I5107" t="s">
        <v>15</v>
      </c>
      <c r="J5107">
        <v>0</v>
      </c>
      <c r="K5107">
        <v>1</v>
      </c>
      <c r="L5107">
        <v>0</v>
      </c>
      <c r="M5107">
        <f>VLOOKUP(Table1[[#This Row],[subscription_type]],Plans!$A$1:$B$5,2,FALSE)</f>
        <v>4.99</v>
      </c>
      <c r="N5107">
        <f t="shared" si="79"/>
        <v>0</v>
      </c>
    </row>
    <row r="5108" spans="1:14" x14ac:dyDescent="0.35">
      <c r="A5108">
        <v>5107</v>
      </c>
      <c r="B5108" t="s">
        <v>12</v>
      </c>
      <c r="C5108">
        <v>56</v>
      </c>
      <c r="D5108" t="s">
        <v>17</v>
      </c>
      <c r="E5108" t="s">
        <v>18</v>
      </c>
      <c r="F5108">
        <v>31</v>
      </c>
      <c r="G5108">
        <v>19</v>
      </c>
      <c r="H5108">
        <v>0.45</v>
      </c>
      <c r="I5108" t="s">
        <v>19</v>
      </c>
      <c r="J5108">
        <v>0</v>
      </c>
      <c r="K5108">
        <v>1</v>
      </c>
      <c r="L5108">
        <v>0</v>
      </c>
      <c r="M5108">
        <f>VLOOKUP(Table1[[#This Row],[subscription_type]],Plans!$A$1:$B$5,2,FALSE)</f>
        <v>14.99</v>
      </c>
      <c r="N5108">
        <f t="shared" si="79"/>
        <v>0</v>
      </c>
    </row>
    <row r="5109" spans="1:14" x14ac:dyDescent="0.35">
      <c r="A5109">
        <v>5108</v>
      </c>
      <c r="B5109" t="s">
        <v>12</v>
      </c>
      <c r="C5109">
        <v>31</v>
      </c>
      <c r="D5109" t="s">
        <v>26</v>
      </c>
      <c r="E5109" t="s">
        <v>22</v>
      </c>
      <c r="F5109">
        <v>230</v>
      </c>
      <c r="G5109">
        <v>54</v>
      </c>
      <c r="H5109">
        <v>0.31</v>
      </c>
      <c r="I5109" t="s">
        <v>19</v>
      </c>
      <c r="J5109">
        <v>0</v>
      </c>
      <c r="K5109">
        <v>1</v>
      </c>
      <c r="L5109">
        <v>1</v>
      </c>
      <c r="M5109">
        <f>VLOOKUP(Table1[[#This Row],[subscription_type]],Plans!$A$1:$B$5,2,FALSE)</f>
        <v>9.99</v>
      </c>
      <c r="N5109">
        <f t="shared" si="79"/>
        <v>9.99</v>
      </c>
    </row>
    <row r="5110" spans="1:14" x14ac:dyDescent="0.35">
      <c r="A5110">
        <v>5109</v>
      </c>
      <c r="B5110" t="s">
        <v>12</v>
      </c>
      <c r="C5110">
        <v>59</v>
      </c>
      <c r="D5110" t="s">
        <v>27</v>
      </c>
      <c r="E5110" t="s">
        <v>14</v>
      </c>
      <c r="F5110">
        <v>136</v>
      </c>
      <c r="G5110">
        <v>62</v>
      </c>
      <c r="H5110">
        <v>0.39</v>
      </c>
      <c r="I5110" t="s">
        <v>23</v>
      </c>
      <c r="J5110">
        <v>23</v>
      </c>
      <c r="K5110">
        <v>0</v>
      </c>
      <c r="L5110">
        <v>1</v>
      </c>
      <c r="M5110">
        <f>VLOOKUP(Table1[[#This Row],[subscription_type]],Plans!$A$1:$B$5,2,FALSE)</f>
        <v>0</v>
      </c>
      <c r="N5110">
        <f t="shared" si="79"/>
        <v>0</v>
      </c>
    </row>
    <row r="5111" spans="1:14" x14ac:dyDescent="0.35">
      <c r="A5111">
        <v>5110</v>
      </c>
      <c r="B5111" t="s">
        <v>16</v>
      </c>
      <c r="C5111">
        <v>41</v>
      </c>
      <c r="D5111" t="s">
        <v>13</v>
      </c>
      <c r="E5111" t="s">
        <v>24</v>
      </c>
      <c r="F5111">
        <v>173</v>
      </c>
      <c r="G5111">
        <v>71</v>
      </c>
      <c r="H5111">
        <v>0.33</v>
      </c>
      <c r="I5111" t="s">
        <v>23</v>
      </c>
      <c r="J5111">
        <v>0</v>
      </c>
      <c r="K5111">
        <v>1</v>
      </c>
      <c r="L5111">
        <v>0</v>
      </c>
      <c r="M5111">
        <f>VLOOKUP(Table1[[#This Row],[subscription_type]],Plans!$A$1:$B$5,2,FALSE)</f>
        <v>4.99</v>
      </c>
      <c r="N5111">
        <f t="shared" si="79"/>
        <v>0</v>
      </c>
    </row>
    <row r="5112" spans="1:14" x14ac:dyDescent="0.35">
      <c r="A5112">
        <v>5111</v>
      </c>
      <c r="B5112" t="s">
        <v>12</v>
      </c>
      <c r="C5112">
        <v>44</v>
      </c>
      <c r="D5112" t="s">
        <v>17</v>
      </c>
      <c r="E5112" t="s">
        <v>24</v>
      </c>
      <c r="F5112">
        <v>149</v>
      </c>
      <c r="G5112">
        <v>54</v>
      </c>
      <c r="H5112">
        <v>0.17</v>
      </c>
      <c r="I5112" t="s">
        <v>23</v>
      </c>
      <c r="J5112">
        <v>0</v>
      </c>
      <c r="K5112">
        <v>1</v>
      </c>
      <c r="L5112">
        <v>0</v>
      </c>
      <c r="M5112">
        <f>VLOOKUP(Table1[[#This Row],[subscription_type]],Plans!$A$1:$B$5,2,FALSE)</f>
        <v>4.99</v>
      </c>
      <c r="N5112">
        <f t="shared" si="79"/>
        <v>0</v>
      </c>
    </row>
    <row r="5113" spans="1:14" x14ac:dyDescent="0.35">
      <c r="A5113">
        <v>5112</v>
      </c>
      <c r="B5113" t="s">
        <v>12</v>
      </c>
      <c r="C5113">
        <v>40</v>
      </c>
      <c r="D5113" t="s">
        <v>25</v>
      </c>
      <c r="E5113" t="s">
        <v>24</v>
      </c>
      <c r="F5113">
        <v>212</v>
      </c>
      <c r="G5113">
        <v>75</v>
      </c>
      <c r="H5113">
        <v>0.3</v>
      </c>
      <c r="I5113" t="s">
        <v>19</v>
      </c>
      <c r="J5113">
        <v>0</v>
      </c>
      <c r="K5113">
        <v>1</v>
      </c>
      <c r="L5113">
        <v>0</v>
      </c>
      <c r="M5113">
        <f>VLOOKUP(Table1[[#This Row],[subscription_type]],Plans!$A$1:$B$5,2,FALSE)</f>
        <v>4.99</v>
      </c>
      <c r="N5113">
        <f t="shared" si="79"/>
        <v>0</v>
      </c>
    </row>
    <row r="5114" spans="1:14" x14ac:dyDescent="0.35">
      <c r="A5114">
        <v>5113</v>
      </c>
      <c r="B5114" t="s">
        <v>12</v>
      </c>
      <c r="C5114">
        <v>19</v>
      </c>
      <c r="D5114" t="s">
        <v>13</v>
      </c>
      <c r="E5114" t="s">
        <v>18</v>
      </c>
      <c r="F5114">
        <v>276</v>
      </c>
      <c r="G5114">
        <v>59</v>
      </c>
      <c r="H5114">
        <v>0.27</v>
      </c>
      <c r="I5114" t="s">
        <v>15</v>
      </c>
      <c r="J5114">
        <v>0</v>
      </c>
      <c r="K5114">
        <v>1</v>
      </c>
      <c r="L5114">
        <v>0</v>
      </c>
      <c r="M5114">
        <f>VLOOKUP(Table1[[#This Row],[subscription_type]],Plans!$A$1:$B$5,2,FALSE)</f>
        <v>14.99</v>
      </c>
      <c r="N5114">
        <f t="shared" si="79"/>
        <v>0</v>
      </c>
    </row>
    <row r="5115" spans="1:14" x14ac:dyDescent="0.35">
      <c r="A5115">
        <v>5114</v>
      </c>
      <c r="B5115" t="s">
        <v>20</v>
      </c>
      <c r="C5115">
        <v>50</v>
      </c>
      <c r="D5115" t="s">
        <v>28</v>
      </c>
      <c r="E5115" t="s">
        <v>14</v>
      </c>
      <c r="F5115">
        <v>47</v>
      </c>
      <c r="G5115">
        <v>62</v>
      </c>
      <c r="H5115">
        <v>0.41</v>
      </c>
      <c r="I5115" t="s">
        <v>23</v>
      </c>
      <c r="J5115">
        <v>39</v>
      </c>
      <c r="K5115">
        <v>0</v>
      </c>
      <c r="L5115">
        <v>0</v>
      </c>
      <c r="M5115">
        <f>VLOOKUP(Table1[[#This Row],[subscription_type]],Plans!$A$1:$B$5,2,FALSE)</f>
        <v>0</v>
      </c>
      <c r="N5115">
        <f t="shared" si="79"/>
        <v>0</v>
      </c>
    </row>
    <row r="5116" spans="1:14" x14ac:dyDescent="0.35">
      <c r="A5116">
        <v>5115</v>
      </c>
      <c r="B5116" t="s">
        <v>20</v>
      </c>
      <c r="C5116">
        <v>30</v>
      </c>
      <c r="D5116" t="s">
        <v>21</v>
      </c>
      <c r="E5116" t="s">
        <v>24</v>
      </c>
      <c r="F5116">
        <v>200</v>
      </c>
      <c r="G5116">
        <v>80</v>
      </c>
      <c r="H5116">
        <v>0.28000000000000003</v>
      </c>
      <c r="I5116" t="s">
        <v>15</v>
      </c>
      <c r="J5116">
        <v>0</v>
      </c>
      <c r="K5116">
        <v>1</v>
      </c>
      <c r="L5116">
        <v>0</v>
      </c>
      <c r="M5116">
        <f>VLOOKUP(Table1[[#This Row],[subscription_type]],Plans!$A$1:$B$5,2,FALSE)</f>
        <v>4.99</v>
      </c>
      <c r="N5116">
        <f t="shared" si="79"/>
        <v>0</v>
      </c>
    </row>
    <row r="5117" spans="1:14" x14ac:dyDescent="0.35">
      <c r="A5117">
        <v>5116</v>
      </c>
      <c r="B5117" t="s">
        <v>12</v>
      </c>
      <c r="C5117">
        <v>54</v>
      </c>
      <c r="D5117" t="s">
        <v>13</v>
      </c>
      <c r="E5117" t="s">
        <v>24</v>
      </c>
      <c r="F5117">
        <v>238</v>
      </c>
      <c r="G5117">
        <v>57</v>
      </c>
      <c r="H5117">
        <v>0.51</v>
      </c>
      <c r="I5117" t="s">
        <v>19</v>
      </c>
      <c r="J5117">
        <v>0</v>
      </c>
      <c r="K5117">
        <v>1</v>
      </c>
      <c r="L5117">
        <v>0</v>
      </c>
      <c r="M5117">
        <f>VLOOKUP(Table1[[#This Row],[subscription_type]],Plans!$A$1:$B$5,2,FALSE)</f>
        <v>4.99</v>
      </c>
      <c r="N5117">
        <f t="shared" si="79"/>
        <v>0</v>
      </c>
    </row>
    <row r="5118" spans="1:14" x14ac:dyDescent="0.35">
      <c r="A5118">
        <v>5117</v>
      </c>
      <c r="B5118" t="s">
        <v>12</v>
      </c>
      <c r="C5118">
        <v>34</v>
      </c>
      <c r="D5118" t="s">
        <v>27</v>
      </c>
      <c r="E5118" t="s">
        <v>22</v>
      </c>
      <c r="F5118">
        <v>75</v>
      </c>
      <c r="G5118">
        <v>92</v>
      </c>
      <c r="H5118">
        <v>0.43</v>
      </c>
      <c r="I5118" t="s">
        <v>23</v>
      </c>
      <c r="J5118">
        <v>0</v>
      </c>
      <c r="K5118">
        <v>1</v>
      </c>
      <c r="L5118">
        <v>0</v>
      </c>
      <c r="M5118">
        <f>VLOOKUP(Table1[[#This Row],[subscription_type]],Plans!$A$1:$B$5,2,FALSE)</f>
        <v>9.99</v>
      </c>
      <c r="N5118">
        <f t="shared" si="79"/>
        <v>0</v>
      </c>
    </row>
    <row r="5119" spans="1:14" x14ac:dyDescent="0.35">
      <c r="A5119">
        <v>5118</v>
      </c>
      <c r="B5119" t="s">
        <v>16</v>
      </c>
      <c r="C5119">
        <v>35</v>
      </c>
      <c r="D5119" t="s">
        <v>13</v>
      </c>
      <c r="E5119" t="s">
        <v>24</v>
      </c>
      <c r="F5119">
        <v>60</v>
      </c>
      <c r="G5119">
        <v>45</v>
      </c>
      <c r="H5119">
        <v>0.27</v>
      </c>
      <c r="I5119" t="s">
        <v>23</v>
      </c>
      <c r="J5119">
        <v>0</v>
      </c>
      <c r="K5119">
        <v>1</v>
      </c>
      <c r="L5119">
        <v>0</v>
      </c>
      <c r="M5119">
        <f>VLOOKUP(Table1[[#This Row],[subscription_type]],Plans!$A$1:$B$5,2,FALSE)</f>
        <v>4.99</v>
      </c>
      <c r="N5119">
        <f t="shared" si="79"/>
        <v>0</v>
      </c>
    </row>
    <row r="5120" spans="1:14" x14ac:dyDescent="0.35">
      <c r="A5120">
        <v>5119</v>
      </c>
      <c r="B5120" t="s">
        <v>20</v>
      </c>
      <c r="C5120">
        <v>56</v>
      </c>
      <c r="D5120" t="s">
        <v>13</v>
      </c>
      <c r="E5120" t="s">
        <v>22</v>
      </c>
      <c r="F5120">
        <v>140</v>
      </c>
      <c r="G5120">
        <v>37</v>
      </c>
      <c r="H5120">
        <v>0.6</v>
      </c>
      <c r="I5120" t="s">
        <v>19</v>
      </c>
      <c r="J5120">
        <v>0</v>
      </c>
      <c r="K5120">
        <v>1</v>
      </c>
      <c r="L5120">
        <v>0</v>
      </c>
      <c r="M5120">
        <f>VLOOKUP(Table1[[#This Row],[subscription_type]],Plans!$A$1:$B$5,2,FALSE)</f>
        <v>9.99</v>
      </c>
      <c r="N5120">
        <f t="shared" si="79"/>
        <v>0</v>
      </c>
    </row>
    <row r="5121" spans="1:14" x14ac:dyDescent="0.35">
      <c r="A5121">
        <v>5120</v>
      </c>
      <c r="B5121" t="s">
        <v>20</v>
      </c>
      <c r="C5121">
        <v>31</v>
      </c>
      <c r="D5121" t="s">
        <v>21</v>
      </c>
      <c r="E5121" t="s">
        <v>22</v>
      </c>
      <c r="F5121">
        <v>222</v>
      </c>
      <c r="G5121">
        <v>39</v>
      </c>
      <c r="H5121">
        <v>0.17</v>
      </c>
      <c r="I5121" t="s">
        <v>23</v>
      </c>
      <c r="J5121">
        <v>0</v>
      </c>
      <c r="K5121">
        <v>1</v>
      </c>
      <c r="L5121">
        <v>0</v>
      </c>
      <c r="M5121">
        <f>VLOOKUP(Table1[[#This Row],[subscription_type]],Plans!$A$1:$B$5,2,FALSE)</f>
        <v>9.99</v>
      </c>
      <c r="N5121">
        <f t="shared" si="79"/>
        <v>0</v>
      </c>
    </row>
    <row r="5122" spans="1:14" x14ac:dyDescent="0.35">
      <c r="A5122">
        <v>5121</v>
      </c>
      <c r="B5122" t="s">
        <v>12</v>
      </c>
      <c r="C5122">
        <v>22</v>
      </c>
      <c r="D5122" t="s">
        <v>21</v>
      </c>
      <c r="E5122" t="s">
        <v>14</v>
      </c>
      <c r="F5122">
        <v>215</v>
      </c>
      <c r="G5122">
        <v>32</v>
      </c>
      <c r="H5122">
        <v>0.44</v>
      </c>
      <c r="I5122" t="s">
        <v>19</v>
      </c>
      <c r="J5122">
        <v>22</v>
      </c>
      <c r="K5122">
        <v>0</v>
      </c>
      <c r="L5122">
        <v>0</v>
      </c>
      <c r="M5122">
        <f>VLOOKUP(Table1[[#This Row],[subscription_type]],Plans!$A$1:$B$5,2,FALSE)</f>
        <v>0</v>
      </c>
      <c r="N5122">
        <f t="shared" ref="N5122:N5185" si="80">IF(L5122=1, M5122,0)</f>
        <v>0</v>
      </c>
    </row>
    <row r="5123" spans="1:14" x14ac:dyDescent="0.35">
      <c r="A5123">
        <v>5122</v>
      </c>
      <c r="B5123" t="s">
        <v>12</v>
      </c>
      <c r="C5123">
        <v>49</v>
      </c>
      <c r="D5123" t="s">
        <v>27</v>
      </c>
      <c r="E5123" t="s">
        <v>22</v>
      </c>
      <c r="F5123">
        <v>214</v>
      </c>
      <c r="G5123">
        <v>41</v>
      </c>
      <c r="H5123">
        <v>0.59</v>
      </c>
      <c r="I5123" t="s">
        <v>15</v>
      </c>
      <c r="J5123">
        <v>0</v>
      </c>
      <c r="K5123">
        <v>1</v>
      </c>
      <c r="L5123">
        <v>1</v>
      </c>
      <c r="M5123">
        <f>VLOOKUP(Table1[[#This Row],[subscription_type]],Plans!$A$1:$B$5,2,FALSE)</f>
        <v>9.99</v>
      </c>
      <c r="N5123">
        <f t="shared" si="80"/>
        <v>9.99</v>
      </c>
    </row>
    <row r="5124" spans="1:14" x14ac:dyDescent="0.35">
      <c r="A5124">
        <v>5123</v>
      </c>
      <c r="B5124" t="s">
        <v>16</v>
      </c>
      <c r="C5124">
        <v>51</v>
      </c>
      <c r="D5124" t="s">
        <v>26</v>
      </c>
      <c r="E5124" t="s">
        <v>18</v>
      </c>
      <c r="F5124">
        <v>16</v>
      </c>
      <c r="G5124">
        <v>64</v>
      </c>
      <c r="H5124">
        <v>0.36</v>
      </c>
      <c r="I5124" t="s">
        <v>23</v>
      </c>
      <c r="J5124">
        <v>0</v>
      </c>
      <c r="K5124">
        <v>1</v>
      </c>
      <c r="L5124">
        <v>1</v>
      </c>
      <c r="M5124">
        <f>VLOOKUP(Table1[[#This Row],[subscription_type]],Plans!$A$1:$B$5,2,FALSE)</f>
        <v>14.99</v>
      </c>
      <c r="N5124">
        <f t="shared" si="80"/>
        <v>14.99</v>
      </c>
    </row>
    <row r="5125" spans="1:14" x14ac:dyDescent="0.35">
      <c r="A5125">
        <v>5124</v>
      </c>
      <c r="B5125" t="s">
        <v>16</v>
      </c>
      <c r="C5125">
        <v>24</v>
      </c>
      <c r="D5125" t="s">
        <v>26</v>
      </c>
      <c r="E5125" t="s">
        <v>18</v>
      </c>
      <c r="F5125">
        <v>224</v>
      </c>
      <c r="G5125">
        <v>60</v>
      </c>
      <c r="H5125">
        <v>0.2</v>
      </c>
      <c r="I5125" t="s">
        <v>23</v>
      </c>
      <c r="J5125">
        <v>0</v>
      </c>
      <c r="K5125">
        <v>1</v>
      </c>
      <c r="L5125">
        <v>0</v>
      </c>
      <c r="M5125">
        <f>VLOOKUP(Table1[[#This Row],[subscription_type]],Plans!$A$1:$B$5,2,FALSE)</f>
        <v>14.99</v>
      </c>
      <c r="N5125">
        <f t="shared" si="80"/>
        <v>0</v>
      </c>
    </row>
    <row r="5126" spans="1:14" x14ac:dyDescent="0.35">
      <c r="A5126">
        <v>5125</v>
      </c>
      <c r="B5126" t="s">
        <v>20</v>
      </c>
      <c r="C5126">
        <v>44</v>
      </c>
      <c r="D5126" t="s">
        <v>13</v>
      </c>
      <c r="E5126" t="s">
        <v>18</v>
      </c>
      <c r="F5126">
        <v>89</v>
      </c>
      <c r="G5126">
        <v>34</v>
      </c>
      <c r="H5126">
        <v>0.46</v>
      </c>
      <c r="I5126" t="s">
        <v>15</v>
      </c>
      <c r="J5126">
        <v>0</v>
      </c>
      <c r="K5126">
        <v>1</v>
      </c>
      <c r="L5126">
        <v>0</v>
      </c>
      <c r="M5126">
        <f>VLOOKUP(Table1[[#This Row],[subscription_type]],Plans!$A$1:$B$5,2,FALSE)</f>
        <v>14.99</v>
      </c>
      <c r="N5126">
        <f t="shared" si="80"/>
        <v>0</v>
      </c>
    </row>
    <row r="5127" spans="1:14" x14ac:dyDescent="0.35">
      <c r="A5127">
        <v>5126</v>
      </c>
      <c r="B5127" t="s">
        <v>20</v>
      </c>
      <c r="C5127">
        <v>18</v>
      </c>
      <c r="D5127" t="s">
        <v>21</v>
      </c>
      <c r="E5127" t="s">
        <v>18</v>
      </c>
      <c r="F5127">
        <v>156</v>
      </c>
      <c r="G5127">
        <v>32</v>
      </c>
      <c r="H5127">
        <v>0.21</v>
      </c>
      <c r="I5127" t="s">
        <v>23</v>
      </c>
      <c r="J5127">
        <v>0</v>
      </c>
      <c r="K5127">
        <v>1</v>
      </c>
      <c r="L5127">
        <v>0</v>
      </c>
      <c r="M5127">
        <f>VLOOKUP(Table1[[#This Row],[subscription_type]],Plans!$A$1:$B$5,2,FALSE)</f>
        <v>14.99</v>
      </c>
      <c r="N5127">
        <f t="shared" si="80"/>
        <v>0</v>
      </c>
    </row>
    <row r="5128" spans="1:14" x14ac:dyDescent="0.35">
      <c r="A5128">
        <v>5127</v>
      </c>
      <c r="B5128" t="s">
        <v>20</v>
      </c>
      <c r="C5128">
        <v>57</v>
      </c>
      <c r="D5128" t="s">
        <v>29</v>
      </c>
      <c r="E5128" t="s">
        <v>22</v>
      </c>
      <c r="F5128">
        <v>149</v>
      </c>
      <c r="G5128">
        <v>14</v>
      </c>
      <c r="H5128">
        <v>0.4</v>
      </c>
      <c r="I5128" t="s">
        <v>23</v>
      </c>
      <c r="J5128">
        <v>0</v>
      </c>
      <c r="K5128">
        <v>1</v>
      </c>
      <c r="L5128">
        <v>0</v>
      </c>
      <c r="M5128">
        <f>VLOOKUP(Table1[[#This Row],[subscription_type]],Plans!$A$1:$B$5,2,FALSE)</f>
        <v>9.99</v>
      </c>
      <c r="N5128">
        <f t="shared" si="80"/>
        <v>0</v>
      </c>
    </row>
    <row r="5129" spans="1:14" x14ac:dyDescent="0.35">
      <c r="A5129">
        <v>5128</v>
      </c>
      <c r="B5129" t="s">
        <v>16</v>
      </c>
      <c r="C5129">
        <v>38</v>
      </c>
      <c r="D5129" t="s">
        <v>25</v>
      </c>
      <c r="E5129" t="s">
        <v>24</v>
      </c>
      <c r="F5129">
        <v>20</v>
      </c>
      <c r="G5129">
        <v>93</v>
      </c>
      <c r="H5129">
        <v>0.32</v>
      </c>
      <c r="I5129" t="s">
        <v>23</v>
      </c>
      <c r="J5129">
        <v>0</v>
      </c>
      <c r="K5129">
        <v>1</v>
      </c>
      <c r="L5129">
        <v>1</v>
      </c>
      <c r="M5129">
        <f>VLOOKUP(Table1[[#This Row],[subscription_type]],Plans!$A$1:$B$5,2,FALSE)</f>
        <v>4.99</v>
      </c>
      <c r="N5129">
        <f t="shared" si="80"/>
        <v>4.99</v>
      </c>
    </row>
    <row r="5130" spans="1:14" x14ac:dyDescent="0.35">
      <c r="A5130">
        <v>5129</v>
      </c>
      <c r="B5130" t="s">
        <v>16</v>
      </c>
      <c r="C5130">
        <v>16</v>
      </c>
      <c r="D5130" t="s">
        <v>28</v>
      </c>
      <c r="E5130" t="s">
        <v>18</v>
      </c>
      <c r="F5130">
        <v>255</v>
      </c>
      <c r="G5130">
        <v>71</v>
      </c>
      <c r="H5130">
        <v>0.02</v>
      </c>
      <c r="I5130" t="s">
        <v>19</v>
      </c>
      <c r="J5130">
        <v>0</v>
      </c>
      <c r="K5130">
        <v>1</v>
      </c>
      <c r="L5130">
        <v>1</v>
      </c>
      <c r="M5130">
        <f>VLOOKUP(Table1[[#This Row],[subscription_type]],Plans!$A$1:$B$5,2,FALSE)</f>
        <v>14.99</v>
      </c>
      <c r="N5130">
        <f t="shared" si="80"/>
        <v>14.99</v>
      </c>
    </row>
    <row r="5131" spans="1:14" x14ac:dyDescent="0.35">
      <c r="A5131">
        <v>5130</v>
      </c>
      <c r="B5131" t="s">
        <v>12</v>
      </c>
      <c r="C5131">
        <v>40</v>
      </c>
      <c r="D5131" t="s">
        <v>28</v>
      </c>
      <c r="E5131" t="s">
        <v>14</v>
      </c>
      <c r="F5131">
        <v>152</v>
      </c>
      <c r="G5131">
        <v>7</v>
      </c>
      <c r="H5131">
        <v>0.44</v>
      </c>
      <c r="I5131" t="s">
        <v>23</v>
      </c>
      <c r="J5131">
        <v>34</v>
      </c>
      <c r="K5131">
        <v>0</v>
      </c>
      <c r="L5131">
        <v>0</v>
      </c>
      <c r="M5131">
        <f>VLOOKUP(Table1[[#This Row],[subscription_type]],Plans!$A$1:$B$5,2,FALSE)</f>
        <v>0</v>
      </c>
      <c r="N5131">
        <f t="shared" si="80"/>
        <v>0</v>
      </c>
    </row>
    <row r="5132" spans="1:14" x14ac:dyDescent="0.35">
      <c r="A5132">
        <v>5131</v>
      </c>
      <c r="B5132" t="s">
        <v>20</v>
      </c>
      <c r="C5132">
        <v>39</v>
      </c>
      <c r="D5132" t="s">
        <v>13</v>
      </c>
      <c r="E5132" t="s">
        <v>24</v>
      </c>
      <c r="F5132">
        <v>224</v>
      </c>
      <c r="G5132">
        <v>35</v>
      </c>
      <c r="H5132">
        <v>0.52</v>
      </c>
      <c r="I5132" t="s">
        <v>19</v>
      </c>
      <c r="J5132">
        <v>0</v>
      </c>
      <c r="K5132">
        <v>1</v>
      </c>
      <c r="L5132">
        <v>1</v>
      </c>
      <c r="M5132">
        <f>VLOOKUP(Table1[[#This Row],[subscription_type]],Plans!$A$1:$B$5,2,FALSE)</f>
        <v>4.99</v>
      </c>
      <c r="N5132">
        <f t="shared" si="80"/>
        <v>4.99</v>
      </c>
    </row>
    <row r="5133" spans="1:14" x14ac:dyDescent="0.35">
      <c r="A5133">
        <v>5132</v>
      </c>
      <c r="B5133" t="s">
        <v>12</v>
      </c>
      <c r="C5133">
        <v>32</v>
      </c>
      <c r="D5133" t="s">
        <v>29</v>
      </c>
      <c r="E5133" t="s">
        <v>24</v>
      </c>
      <c r="F5133">
        <v>214</v>
      </c>
      <c r="G5133">
        <v>99</v>
      </c>
      <c r="H5133">
        <v>0.46</v>
      </c>
      <c r="I5133" t="s">
        <v>15</v>
      </c>
      <c r="J5133">
        <v>0</v>
      </c>
      <c r="K5133">
        <v>1</v>
      </c>
      <c r="L5133">
        <v>1</v>
      </c>
      <c r="M5133">
        <f>VLOOKUP(Table1[[#This Row],[subscription_type]],Plans!$A$1:$B$5,2,FALSE)</f>
        <v>4.99</v>
      </c>
      <c r="N5133">
        <f t="shared" si="80"/>
        <v>4.99</v>
      </c>
    </row>
    <row r="5134" spans="1:14" x14ac:dyDescent="0.35">
      <c r="A5134">
        <v>5133</v>
      </c>
      <c r="B5134" t="s">
        <v>16</v>
      </c>
      <c r="C5134">
        <v>51</v>
      </c>
      <c r="D5134" t="s">
        <v>28</v>
      </c>
      <c r="E5134" t="s">
        <v>14</v>
      </c>
      <c r="F5134">
        <v>295</v>
      </c>
      <c r="G5134">
        <v>27</v>
      </c>
      <c r="H5134">
        <v>0.04</v>
      </c>
      <c r="I5134" t="s">
        <v>19</v>
      </c>
      <c r="J5134">
        <v>34</v>
      </c>
      <c r="K5134">
        <v>0</v>
      </c>
      <c r="L5134">
        <v>1</v>
      </c>
      <c r="M5134">
        <f>VLOOKUP(Table1[[#This Row],[subscription_type]],Plans!$A$1:$B$5,2,FALSE)</f>
        <v>0</v>
      </c>
      <c r="N5134">
        <f t="shared" si="80"/>
        <v>0</v>
      </c>
    </row>
    <row r="5135" spans="1:14" x14ac:dyDescent="0.35">
      <c r="A5135">
        <v>5134</v>
      </c>
      <c r="B5135" t="s">
        <v>20</v>
      </c>
      <c r="C5135">
        <v>59</v>
      </c>
      <c r="D5135" t="s">
        <v>28</v>
      </c>
      <c r="E5135" t="s">
        <v>18</v>
      </c>
      <c r="F5135">
        <v>149</v>
      </c>
      <c r="G5135">
        <v>46</v>
      </c>
      <c r="H5135">
        <v>0.53</v>
      </c>
      <c r="I5135" t="s">
        <v>23</v>
      </c>
      <c r="J5135">
        <v>0</v>
      </c>
      <c r="K5135">
        <v>1</v>
      </c>
      <c r="L5135">
        <v>0</v>
      </c>
      <c r="M5135">
        <f>VLOOKUP(Table1[[#This Row],[subscription_type]],Plans!$A$1:$B$5,2,FALSE)</f>
        <v>14.99</v>
      </c>
      <c r="N5135">
        <f t="shared" si="80"/>
        <v>0</v>
      </c>
    </row>
    <row r="5136" spans="1:14" x14ac:dyDescent="0.35">
      <c r="A5136">
        <v>5135</v>
      </c>
      <c r="B5136" t="s">
        <v>20</v>
      </c>
      <c r="C5136">
        <v>52</v>
      </c>
      <c r="D5136" t="s">
        <v>25</v>
      </c>
      <c r="E5136" t="s">
        <v>22</v>
      </c>
      <c r="F5136">
        <v>167</v>
      </c>
      <c r="G5136">
        <v>29</v>
      </c>
      <c r="H5136">
        <v>0.09</v>
      </c>
      <c r="I5136" t="s">
        <v>23</v>
      </c>
      <c r="J5136">
        <v>0</v>
      </c>
      <c r="K5136">
        <v>1</v>
      </c>
      <c r="L5136">
        <v>0</v>
      </c>
      <c r="M5136">
        <f>VLOOKUP(Table1[[#This Row],[subscription_type]],Plans!$A$1:$B$5,2,FALSE)</f>
        <v>9.99</v>
      </c>
      <c r="N5136">
        <f t="shared" si="80"/>
        <v>0</v>
      </c>
    </row>
    <row r="5137" spans="1:14" x14ac:dyDescent="0.35">
      <c r="A5137">
        <v>5136</v>
      </c>
      <c r="B5137" t="s">
        <v>12</v>
      </c>
      <c r="C5137">
        <v>59</v>
      </c>
      <c r="D5137" t="s">
        <v>13</v>
      </c>
      <c r="E5137" t="s">
        <v>22</v>
      </c>
      <c r="F5137">
        <v>182</v>
      </c>
      <c r="G5137">
        <v>3</v>
      </c>
      <c r="H5137">
        <v>0.24</v>
      </c>
      <c r="I5137" t="s">
        <v>15</v>
      </c>
      <c r="J5137">
        <v>0</v>
      </c>
      <c r="K5137">
        <v>1</v>
      </c>
      <c r="L5137">
        <v>0</v>
      </c>
      <c r="M5137">
        <f>VLOOKUP(Table1[[#This Row],[subscription_type]],Plans!$A$1:$B$5,2,FALSE)</f>
        <v>9.99</v>
      </c>
      <c r="N5137">
        <f t="shared" si="80"/>
        <v>0</v>
      </c>
    </row>
    <row r="5138" spans="1:14" x14ac:dyDescent="0.35">
      <c r="A5138">
        <v>5137</v>
      </c>
      <c r="B5138" t="s">
        <v>20</v>
      </c>
      <c r="C5138">
        <v>16</v>
      </c>
      <c r="D5138" t="s">
        <v>21</v>
      </c>
      <c r="E5138" t="s">
        <v>14</v>
      </c>
      <c r="F5138">
        <v>157</v>
      </c>
      <c r="G5138">
        <v>46</v>
      </c>
      <c r="H5138">
        <v>0.14000000000000001</v>
      </c>
      <c r="I5138" t="s">
        <v>23</v>
      </c>
      <c r="J5138">
        <v>32</v>
      </c>
      <c r="K5138">
        <v>0</v>
      </c>
      <c r="L5138">
        <v>0</v>
      </c>
      <c r="M5138">
        <f>VLOOKUP(Table1[[#This Row],[subscription_type]],Plans!$A$1:$B$5,2,FALSE)</f>
        <v>0</v>
      </c>
      <c r="N5138">
        <f t="shared" si="80"/>
        <v>0</v>
      </c>
    </row>
    <row r="5139" spans="1:14" x14ac:dyDescent="0.35">
      <c r="A5139">
        <v>5138</v>
      </c>
      <c r="B5139" t="s">
        <v>12</v>
      </c>
      <c r="C5139">
        <v>22</v>
      </c>
      <c r="D5139" t="s">
        <v>27</v>
      </c>
      <c r="E5139" t="s">
        <v>22</v>
      </c>
      <c r="F5139">
        <v>15</v>
      </c>
      <c r="G5139">
        <v>49</v>
      </c>
      <c r="H5139">
        <v>0.22</v>
      </c>
      <c r="I5139" t="s">
        <v>19</v>
      </c>
      <c r="J5139">
        <v>0</v>
      </c>
      <c r="K5139">
        <v>1</v>
      </c>
      <c r="L5139">
        <v>0</v>
      </c>
      <c r="M5139">
        <f>VLOOKUP(Table1[[#This Row],[subscription_type]],Plans!$A$1:$B$5,2,FALSE)</f>
        <v>9.99</v>
      </c>
      <c r="N5139">
        <f t="shared" si="80"/>
        <v>0</v>
      </c>
    </row>
    <row r="5140" spans="1:14" x14ac:dyDescent="0.35">
      <c r="A5140">
        <v>5139</v>
      </c>
      <c r="B5140" t="s">
        <v>20</v>
      </c>
      <c r="C5140">
        <v>41</v>
      </c>
      <c r="D5140" t="s">
        <v>25</v>
      </c>
      <c r="E5140" t="s">
        <v>22</v>
      </c>
      <c r="F5140">
        <v>199</v>
      </c>
      <c r="G5140">
        <v>10</v>
      </c>
      <c r="H5140">
        <v>0.49</v>
      </c>
      <c r="I5140" t="s">
        <v>15</v>
      </c>
      <c r="J5140">
        <v>0</v>
      </c>
      <c r="K5140">
        <v>1</v>
      </c>
      <c r="L5140">
        <v>0</v>
      </c>
      <c r="M5140">
        <f>VLOOKUP(Table1[[#This Row],[subscription_type]],Plans!$A$1:$B$5,2,FALSE)</f>
        <v>9.99</v>
      </c>
      <c r="N5140">
        <f t="shared" si="80"/>
        <v>0</v>
      </c>
    </row>
    <row r="5141" spans="1:14" x14ac:dyDescent="0.35">
      <c r="A5141">
        <v>5140</v>
      </c>
      <c r="B5141" t="s">
        <v>12</v>
      </c>
      <c r="C5141">
        <v>49</v>
      </c>
      <c r="D5141" t="s">
        <v>27</v>
      </c>
      <c r="E5141" t="s">
        <v>14</v>
      </c>
      <c r="F5141">
        <v>201</v>
      </c>
      <c r="G5141">
        <v>48</v>
      </c>
      <c r="H5141">
        <v>0.22</v>
      </c>
      <c r="I5141" t="s">
        <v>23</v>
      </c>
      <c r="J5141">
        <v>11</v>
      </c>
      <c r="K5141">
        <v>0</v>
      </c>
      <c r="L5141">
        <v>0</v>
      </c>
      <c r="M5141">
        <f>VLOOKUP(Table1[[#This Row],[subscription_type]],Plans!$A$1:$B$5,2,FALSE)</f>
        <v>0</v>
      </c>
      <c r="N5141">
        <f t="shared" si="80"/>
        <v>0</v>
      </c>
    </row>
    <row r="5142" spans="1:14" x14ac:dyDescent="0.35">
      <c r="A5142">
        <v>5141</v>
      </c>
      <c r="B5142" t="s">
        <v>12</v>
      </c>
      <c r="C5142">
        <v>24</v>
      </c>
      <c r="D5142" t="s">
        <v>25</v>
      </c>
      <c r="E5142" t="s">
        <v>14</v>
      </c>
      <c r="F5142">
        <v>183</v>
      </c>
      <c r="G5142">
        <v>76</v>
      </c>
      <c r="H5142">
        <v>0.04</v>
      </c>
      <c r="I5142" t="s">
        <v>19</v>
      </c>
      <c r="J5142">
        <v>29</v>
      </c>
      <c r="K5142">
        <v>0</v>
      </c>
      <c r="L5142">
        <v>0</v>
      </c>
      <c r="M5142">
        <f>VLOOKUP(Table1[[#This Row],[subscription_type]],Plans!$A$1:$B$5,2,FALSE)</f>
        <v>0</v>
      </c>
      <c r="N5142">
        <f t="shared" si="80"/>
        <v>0</v>
      </c>
    </row>
    <row r="5143" spans="1:14" x14ac:dyDescent="0.35">
      <c r="A5143">
        <v>5142</v>
      </c>
      <c r="B5143" t="s">
        <v>16</v>
      </c>
      <c r="C5143">
        <v>38</v>
      </c>
      <c r="D5143" t="s">
        <v>27</v>
      </c>
      <c r="E5143" t="s">
        <v>18</v>
      </c>
      <c r="F5143">
        <v>240</v>
      </c>
      <c r="G5143">
        <v>78</v>
      </c>
      <c r="H5143">
        <v>0.41</v>
      </c>
      <c r="I5143" t="s">
        <v>19</v>
      </c>
      <c r="J5143">
        <v>0</v>
      </c>
      <c r="K5143">
        <v>1</v>
      </c>
      <c r="L5143">
        <v>0</v>
      </c>
      <c r="M5143">
        <f>VLOOKUP(Table1[[#This Row],[subscription_type]],Plans!$A$1:$B$5,2,FALSE)</f>
        <v>14.99</v>
      </c>
      <c r="N5143">
        <f t="shared" si="80"/>
        <v>0</v>
      </c>
    </row>
    <row r="5144" spans="1:14" x14ac:dyDescent="0.35">
      <c r="A5144">
        <v>5143</v>
      </c>
      <c r="B5144" t="s">
        <v>20</v>
      </c>
      <c r="C5144">
        <v>40</v>
      </c>
      <c r="D5144" t="s">
        <v>26</v>
      </c>
      <c r="E5144" t="s">
        <v>22</v>
      </c>
      <c r="F5144">
        <v>114</v>
      </c>
      <c r="G5144">
        <v>12</v>
      </c>
      <c r="H5144">
        <v>0.23</v>
      </c>
      <c r="I5144" t="s">
        <v>23</v>
      </c>
      <c r="J5144">
        <v>0</v>
      </c>
      <c r="K5144">
        <v>1</v>
      </c>
      <c r="L5144">
        <v>0</v>
      </c>
      <c r="M5144">
        <f>VLOOKUP(Table1[[#This Row],[subscription_type]],Plans!$A$1:$B$5,2,FALSE)</f>
        <v>9.99</v>
      </c>
      <c r="N5144">
        <f t="shared" si="80"/>
        <v>0</v>
      </c>
    </row>
    <row r="5145" spans="1:14" x14ac:dyDescent="0.35">
      <c r="A5145">
        <v>5144</v>
      </c>
      <c r="B5145" t="s">
        <v>12</v>
      </c>
      <c r="C5145">
        <v>16</v>
      </c>
      <c r="D5145" t="s">
        <v>26</v>
      </c>
      <c r="E5145" t="s">
        <v>14</v>
      </c>
      <c r="F5145">
        <v>150</v>
      </c>
      <c r="G5145">
        <v>71</v>
      </c>
      <c r="H5145">
        <v>0.1</v>
      </c>
      <c r="I5145" t="s">
        <v>23</v>
      </c>
      <c r="J5145">
        <v>48</v>
      </c>
      <c r="K5145">
        <v>0</v>
      </c>
      <c r="L5145">
        <v>1</v>
      </c>
      <c r="M5145">
        <f>VLOOKUP(Table1[[#This Row],[subscription_type]],Plans!$A$1:$B$5,2,FALSE)</f>
        <v>0</v>
      </c>
      <c r="N5145">
        <f t="shared" si="80"/>
        <v>0</v>
      </c>
    </row>
    <row r="5146" spans="1:14" x14ac:dyDescent="0.35">
      <c r="A5146">
        <v>5145</v>
      </c>
      <c r="B5146" t="s">
        <v>20</v>
      </c>
      <c r="C5146">
        <v>28</v>
      </c>
      <c r="D5146" t="s">
        <v>25</v>
      </c>
      <c r="E5146" t="s">
        <v>14</v>
      </c>
      <c r="F5146">
        <v>61</v>
      </c>
      <c r="G5146">
        <v>92</v>
      </c>
      <c r="H5146">
        <v>0.55000000000000004</v>
      </c>
      <c r="I5146" t="s">
        <v>19</v>
      </c>
      <c r="J5146">
        <v>25</v>
      </c>
      <c r="K5146">
        <v>0</v>
      </c>
      <c r="L5146">
        <v>0</v>
      </c>
      <c r="M5146">
        <f>VLOOKUP(Table1[[#This Row],[subscription_type]],Plans!$A$1:$B$5,2,FALSE)</f>
        <v>0</v>
      </c>
      <c r="N5146">
        <f t="shared" si="80"/>
        <v>0</v>
      </c>
    </row>
    <row r="5147" spans="1:14" x14ac:dyDescent="0.35">
      <c r="A5147">
        <v>5146</v>
      </c>
      <c r="B5147" t="s">
        <v>20</v>
      </c>
      <c r="C5147">
        <v>51</v>
      </c>
      <c r="D5147" t="s">
        <v>26</v>
      </c>
      <c r="E5147" t="s">
        <v>22</v>
      </c>
      <c r="F5147">
        <v>51</v>
      </c>
      <c r="G5147">
        <v>59</v>
      </c>
      <c r="H5147">
        <v>0.14000000000000001</v>
      </c>
      <c r="I5147" t="s">
        <v>23</v>
      </c>
      <c r="J5147">
        <v>0</v>
      </c>
      <c r="K5147">
        <v>1</v>
      </c>
      <c r="L5147">
        <v>0</v>
      </c>
      <c r="M5147">
        <f>VLOOKUP(Table1[[#This Row],[subscription_type]],Plans!$A$1:$B$5,2,FALSE)</f>
        <v>9.99</v>
      </c>
      <c r="N5147">
        <f t="shared" si="80"/>
        <v>0</v>
      </c>
    </row>
    <row r="5148" spans="1:14" x14ac:dyDescent="0.35">
      <c r="A5148">
        <v>5147</v>
      </c>
      <c r="B5148" t="s">
        <v>16</v>
      </c>
      <c r="C5148">
        <v>48</v>
      </c>
      <c r="D5148" t="s">
        <v>27</v>
      </c>
      <c r="E5148" t="s">
        <v>18</v>
      </c>
      <c r="F5148">
        <v>239</v>
      </c>
      <c r="G5148">
        <v>49</v>
      </c>
      <c r="H5148">
        <v>0.23</v>
      </c>
      <c r="I5148" t="s">
        <v>15</v>
      </c>
      <c r="J5148">
        <v>0</v>
      </c>
      <c r="K5148">
        <v>1</v>
      </c>
      <c r="L5148">
        <v>0</v>
      </c>
      <c r="M5148">
        <f>VLOOKUP(Table1[[#This Row],[subscription_type]],Plans!$A$1:$B$5,2,FALSE)</f>
        <v>14.99</v>
      </c>
      <c r="N5148">
        <f t="shared" si="80"/>
        <v>0</v>
      </c>
    </row>
    <row r="5149" spans="1:14" x14ac:dyDescent="0.35">
      <c r="A5149">
        <v>5148</v>
      </c>
      <c r="B5149" t="s">
        <v>20</v>
      </c>
      <c r="C5149">
        <v>54</v>
      </c>
      <c r="D5149" t="s">
        <v>27</v>
      </c>
      <c r="E5149" t="s">
        <v>18</v>
      </c>
      <c r="F5149">
        <v>113</v>
      </c>
      <c r="G5149">
        <v>26</v>
      </c>
      <c r="H5149">
        <v>0.31</v>
      </c>
      <c r="I5149" t="s">
        <v>23</v>
      </c>
      <c r="J5149">
        <v>0</v>
      </c>
      <c r="K5149">
        <v>1</v>
      </c>
      <c r="L5149">
        <v>1</v>
      </c>
      <c r="M5149">
        <f>VLOOKUP(Table1[[#This Row],[subscription_type]],Plans!$A$1:$B$5,2,FALSE)</f>
        <v>14.99</v>
      </c>
      <c r="N5149">
        <f t="shared" si="80"/>
        <v>14.99</v>
      </c>
    </row>
    <row r="5150" spans="1:14" x14ac:dyDescent="0.35">
      <c r="A5150">
        <v>5149</v>
      </c>
      <c r="B5150" t="s">
        <v>16</v>
      </c>
      <c r="C5150">
        <v>26</v>
      </c>
      <c r="D5150" t="s">
        <v>27</v>
      </c>
      <c r="E5150" t="s">
        <v>22</v>
      </c>
      <c r="F5150">
        <v>237</v>
      </c>
      <c r="G5150">
        <v>33</v>
      </c>
      <c r="H5150">
        <v>0.03</v>
      </c>
      <c r="I5150" t="s">
        <v>19</v>
      </c>
      <c r="J5150">
        <v>0</v>
      </c>
      <c r="K5150">
        <v>1</v>
      </c>
      <c r="L5150">
        <v>0</v>
      </c>
      <c r="M5150">
        <f>VLOOKUP(Table1[[#This Row],[subscription_type]],Plans!$A$1:$B$5,2,FALSE)</f>
        <v>9.99</v>
      </c>
      <c r="N5150">
        <f t="shared" si="80"/>
        <v>0</v>
      </c>
    </row>
    <row r="5151" spans="1:14" x14ac:dyDescent="0.35">
      <c r="A5151">
        <v>5150</v>
      </c>
      <c r="B5151" t="s">
        <v>16</v>
      </c>
      <c r="C5151">
        <v>44</v>
      </c>
      <c r="D5151" t="s">
        <v>25</v>
      </c>
      <c r="E5151" t="s">
        <v>24</v>
      </c>
      <c r="F5151">
        <v>194</v>
      </c>
      <c r="G5151">
        <v>17</v>
      </c>
      <c r="H5151">
        <v>0.49</v>
      </c>
      <c r="I5151" t="s">
        <v>15</v>
      </c>
      <c r="J5151">
        <v>0</v>
      </c>
      <c r="K5151">
        <v>1</v>
      </c>
      <c r="L5151">
        <v>0</v>
      </c>
      <c r="M5151">
        <f>VLOOKUP(Table1[[#This Row],[subscription_type]],Plans!$A$1:$B$5,2,FALSE)</f>
        <v>4.99</v>
      </c>
      <c r="N5151">
        <f t="shared" si="80"/>
        <v>0</v>
      </c>
    </row>
    <row r="5152" spans="1:14" x14ac:dyDescent="0.35">
      <c r="A5152">
        <v>5151</v>
      </c>
      <c r="B5152" t="s">
        <v>20</v>
      </c>
      <c r="C5152">
        <v>46</v>
      </c>
      <c r="D5152" t="s">
        <v>27</v>
      </c>
      <c r="E5152" t="s">
        <v>24</v>
      </c>
      <c r="F5152">
        <v>212</v>
      </c>
      <c r="G5152">
        <v>50</v>
      </c>
      <c r="H5152">
        <v>0.51</v>
      </c>
      <c r="I5152" t="s">
        <v>15</v>
      </c>
      <c r="J5152">
        <v>0</v>
      </c>
      <c r="K5152">
        <v>1</v>
      </c>
      <c r="L5152">
        <v>1</v>
      </c>
      <c r="M5152">
        <f>VLOOKUP(Table1[[#This Row],[subscription_type]],Plans!$A$1:$B$5,2,FALSE)</f>
        <v>4.99</v>
      </c>
      <c r="N5152">
        <f t="shared" si="80"/>
        <v>4.99</v>
      </c>
    </row>
    <row r="5153" spans="1:14" x14ac:dyDescent="0.35">
      <c r="A5153">
        <v>5152</v>
      </c>
      <c r="B5153" t="s">
        <v>12</v>
      </c>
      <c r="C5153">
        <v>27</v>
      </c>
      <c r="D5153" t="s">
        <v>25</v>
      </c>
      <c r="E5153" t="s">
        <v>22</v>
      </c>
      <c r="F5153">
        <v>62</v>
      </c>
      <c r="G5153">
        <v>3</v>
      </c>
      <c r="H5153">
        <v>7.0000000000000007E-2</v>
      </c>
      <c r="I5153" t="s">
        <v>23</v>
      </c>
      <c r="J5153">
        <v>0</v>
      </c>
      <c r="K5153">
        <v>1</v>
      </c>
      <c r="L5153">
        <v>0</v>
      </c>
      <c r="M5153">
        <f>VLOOKUP(Table1[[#This Row],[subscription_type]],Plans!$A$1:$B$5,2,FALSE)</f>
        <v>9.99</v>
      </c>
      <c r="N5153">
        <f t="shared" si="80"/>
        <v>0</v>
      </c>
    </row>
    <row r="5154" spans="1:14" x14ac:dyDescent="0.35">
      <c r="A5154">
        <v>5153</v>
      </c>
      <c r="B5154" t="s">
        <v>20</v>
      </c>
      <c r="C5154">
        <v>25</v>
      </c>
      <c r="D5154" t="s">
        <v>17</v>
      </c>
      <c r="E5154" t="s">
        <v>18</v>
      </c>
      <c r="F5154">
        <v>270</v>
      </c>
      <c r="G5154">
        <v>54</v>
      </c>
      <c r="H5154">
        <v>0.18</v>
      </c>
      <c r="I5154" t="s">
        <v>15</v>
      </c>
      <c r="J5154">
        <v>0</v>
      </c>
      <c r="K5154">
        <v>1</v>
      </c>
      <c r="L5154">
        <v>0</v>
      </c>
      <c r="M5154">
        <f>VLOOKUP(Table1[[#This Row],[subscription_type]],Plans!$A$1:$B$5,2,FALSE)</f>
        <v>14.99</v>
      </c>
      <c r="N5154">
        <f t="shared" si="80"/>
        <v>0</v>
      </c>
    </row>
    <row r="5155" spans="1:14" x14ac:dyDescent="0.35">
      <c r="A5155">
        <v>5154</v>
      </c>
      <c r="B5155" t="s">
        <v>20</v>
      </c>
      <c r="C5155">
        <v>30</v>
      </c>
      <c r="D5155" t="s">
        <v>13</v>
      </c>
      <c r="E5155" t="s">
        <v>24</v>
      </c>
      <c r="F5155">
        <v>71</v>
      </c>
      <c r="G5155">
        <v>46</v>
      </c>
      <c r="H5155">
        <v>0.25</v>
      </c>
      <c r="I5155" t="s">
        <v>19</v>
      </c>
      <c r="J5155">
        <v>0</v>
      </c>
      <c r="K5155">
        <v>1</v>
      </c>
      <c r="L5155">
        <v>0</v>
      </c>
      <c r="M5155">
        <f>VLOOKUP(Table1[[#This Row],[subscription_type]],Plans!$A$1:$B$5,2,FALSE)</f>
        <v>4.99</v>
      </c>
      <c r="N5155">
        <f t="shared" si="80"/>
        <v>0</v>
      </c>
    </row>
    <row r="5156" spans="1:14" x14ac:dyDescent="0.35">
      <c r="A5156">
        <v>5155</v>
      </c>
      <c r="B5156" t="s">
        <v>12</v>
      </c>
      <c r="C5156">
        <v>18</v>
      </c>
      <c r="D5156" t="s">
        <v>21</v>
      </c>
      <c r="E5156" t="s">
        <v>22</v>
      </c>
      <c r="F5156">
        <v>209</v>
      </c>
      <c r="G5156">
        <v>2</v>
      </c>
      <c r="H5156">
        <v>0.11</v>
      </c>
      <c r="I5156" t="s">
        <v>23</v>
      </c>
      <c r="J5156">
        <v>0</v>
      </c>
      <c r="K5156">
        <v>1</v>
      </c>
      <c r="L5156">
        <v>0</v>
      </c>
      <c r="M5156">
        <f>VLOOKUP(Table1[[#This Row],[subscription_type]],Plans!$A$1:$B$5,2,FALSE)</f>
        <v>9.99</v>
      </c>
      <c r="N5156">
        <f t="shared" si="80"/>
        <v>0</v>
      </c>
    </row>
    <row r="5157" spans="1:14" x14ac:dyDescent="0.35">
      <c r="A5157">
        <v>5156</v>
      </c>
      <c r="B5157" t="s">
        <v>12</v>
      </c>
      <c r="C5157">
        <v>31</v>
      </c>
      <c r="D5157" t="s">
        <v>25</v>
      </c>
      <c r="E5157" t="s">
        <v>22</v>
      </c>
      <c r="F5157">
        <v>120</v>
      </c>
      <c r="G5157">
        <v>42</v>
      </c>
      <c r="H5157">
        <v>0.16</v>
      </c>
      <c r="I5157" t="s">
        <v>19</v>
      </c>
      <c r="J5157">
        <v>0</v>
      </c>
      <c r="K5157">
        <v>1</v>
      </c>
      <c r="L5157">
        <v>0</v>
      </c>
      <c r="M5157">
        <f>VLOOKUP(Table1[[#This Row],[subscription_type]],Plans!$A$1:$B$5,2,FALSE)</f>
        <v>9.99</v>
      </c>
      <c r="N5157">
        <f t="shared" si="80"/>
        <v>0</v>
      </c>
    </row>
    <row r="5158" spans="1:14" x14ac:dyDescent="0.35">
      <c r="A5158">
        <v>5157</v>
      </c>
      <c r="B5158" t="s">
        <v>20</v>
      </c>
      <c r="C5158">
        <v>30</v>
      </c>
      <c r="D5158" t="s">
        <v>13</v>
      </c>
      <c r="E5158" t="s">
        <v>24</v>
      </c>
      <c r="F5158">
        <v>277</v>
      </c>
      <c r="G5158">
        <v>85</v>
      </c>
      <c r="H5158">
        <v>0.2</v>
      </c>
      <c r="I5158" t="s">
        <v>23</v>
      </c>
      <c r="J5158">
        <v>0</v>
      </c>
      <c r="K5158">
        <v>1</v>
      </c>
      <c r="L5158">
        <v>1</v>
      </c>
      <c r="M5158">
        <f>VLOOKUP(Table1[[#This Row],[subscription_type]],Plans!$A$1:$B$5,2,FALSE)</f>
        <v>4.99</v>
      </c>
      <c r="N5158">
        <f t="shared" si="80"/>
        <v>4.99</v>
      </c>
    </row>
    <row r="5159" spans="1:14" x14ac:dyDescent="0.35">
      <c r="A5159">
        <v>5158</v>
      </c>
      <c r="B5159" t="s">
        <v>12</v>
      </c>
      <c r="C5159">
        <v>35</v>
      </c>
      <c r="D5159" t="s">
        <v>21</v>
      </c>
      <c r="E5159" t="s">
        <v>14</v>
      </c>
      <c r="F5159">
        <v>248</v>
      </c>
      <c r="G5159">
        <v>92</v>
      </c>
      <c r="H5159">
        <v>0.18</v>
      </c>
      <c r="I5159" t="s">
        <v>19</v>
      </c>
      <c r="J5159">
        <v>35</v>
      </c>
      <c r="K5159">
        <v>0</v>
      </c>
      <c r="L5159">
        <v>1</v>
      </c>
      <c r="M5159">
        <f>VLOOKUP(Table1[[#This Row],[subscription_type]],Plans!$A$1:$B$5,2,FALSE)</f>
        <v>0</v>
      </c>
      <c r="N5159">
        <f t="shared" si="80"/>
        <v>0</v>
      </c>
    </row>
    <row r="5160" spans="1:14" x14ac:dyDescent="0.35">
      <c r="A5160">
        <v>5159</v>
      </c>
      <c r="B5160" t="s">
        <v>16</v>
      </c>
      <c r="C5160">
        <v>42</v>
      </c>
      <c r="D5160" t="s">
        <v>17</v>
      </c>
      <c r="E5160" t="s">
        <v>22</v>
      </c>
      <c r="F5160">
        <v>163</v>
      </c>
      <c r="G5160">
        <v>3</v>
      </c>
      <c r="H5160">
        <v>0.46</v>
      </c>
      <c r="I5160" t="s">
        <v>23</v>
      </c>
      <c r="J5160">
        <v>0</v>
      </c>
      <c r="K5160">
        <v>1</v>
      </c>
      <c r="L5160">
        <v>0</v>
      </c>
      <c r="M5160">
        <f>VLOOKUP(Table1[[#This Row],[subscription_type]],Plans!$A$1:$B$5,2,FALSE)</f>
        <v>9.99</v>
      </c>
      <c r="N5160">
        <f t="shared" si="80"/>
        <v>0</v>
      </c>
    </row>
    <row r="5161" spans="1:14" x14ac:dyDescent="0.35">
      <c r="A5161">
        <v>5160</v>
      </c>
      <c r="B5161" t="s">
        <v>20</v>
      </c>
      <c r="C5161">
        <v>44</v>
      </c>
      <c r="D5161" t="s">
        <v>29</v>
      </c>
      <c r="E5161" t="s">
        <v>18</v>
      </c>
      <c r="F5161">
        <v>117</v>
      </c>
      <c r="G5161">
        <v>15</v>
      </c>
      <c r="H5161">
        <v>0.12</v>
      </c>
      <c r="I5161" t="s">
        <v>19</v>
      </c>
      <c r="J5161">
        <v>0</v>
      </c>
      <c r="K5161">
        <v>1</v>
      </c>
      <c r="L5161">
        <v>0</v>
      </c>
      <c r="M5161">
        <f>VLOOKUP(Table1[[#This Row],[subscription_type]],Plans!$A$1:$B$5,2,FALSE)</f>
        <v>14.99</v>
      </c>
      <c r="N5161">
        <f t="shared" si="80"/>
        <v>0</v>
      </c>
    </row>
    <row r="5162" spans="1:14" x14ac:dyDescent="0.35">
      <c r="A5162">
        <v>5161</v>
      </c>
      <c r="B5162" t="s">
        <v>16</v>
      </c>
      <c r="C5162">
        <v>42</v>
      </c>
      <c r="D5162" t="s">
        <v>17</v>
      </c>
      <c r="E5162" t="s">
        <v>14</v>
      </c>
      <c r="F5162">
        <v>235</v>
      </c>
      <c r="G5162">
        <v>61</v>
      </c>
      <c r="H5162">
        <v>0.48</v>
      </c>
      <c r="I5162" t="s">
        <v>15</v>
      </c>
      <c r="J5162">
        <v>37</v>
      </c>
      <c r="K5162">
        <v>0</v>
      </c>
      <c r="L5162">
        <v>0</v>
      </c>
      <c r="M5162">
        <f>VLOOKUP(Table1[[#This Row],[subscription_type]],Plans!$A$1:$B$5,2,FALSE)</f>
        <v>0</v>
      </c>
      <c r="N5162">
        <f t="shared" si="80"/>
        <v>0</v>
      </c>
    </row>
    <row r="5163" spans="1:14" x14ac:dyDescent="0.35">
      <c r="A5163">
        <v>5162</v>
      </c>
      <c r="B5163" t="s">
        <v>20</v>
      </c>
      <c r="C5163">
        <v>27</v>
      </c>
      <c r="D5163" t="s">
        <v>21</v>
      </c>
      <c r="E5163" t="s">
        <v>14</v>
      </c>
      <c r="F5163">
        <v>255</v>
      </c>
      <c r="G5163">
        <v>22</v>
      </c>
      <c r="H5163">
        <v>0.01</v>
      </c>
      <c r="I5163" t="s">
        <v>15</v>
      </c>
      <c r="J5163">
        <v>25</v>
      </c>
      <c r="K5163">
        <v>0</v>
      </c>
      <c r="L5163">
        <v>0</v>
      </c>
      <c r="M5163">
        <f>VLOOKUP(Table1[[#This Row],[subscription_type]],Plans!$A$1:$B$5,2,FALSE)</f>
        <v>0</v>
      </c>
      <c r="N5163">
        <f t="shared" si="80"/>
        <v>0</v>
      </c>
    </row>
    <row r="5164" spans="1:14" x14ac:dyDescent="0.35">
      <c r="A5164">
        <v>5163</v>
      </c>
      <c r="B5164" t="s">
        <v>12</v>
      </c>
      <c r="C5164">
        <v>39</v>
      </c>
      <c r="D5164" t="s">
        <v>25</v>
      </c>
      <c r="E5164" t="s">
        <v>18</v>
      </c>
      <c r="F5164">
        <v>191</v>
      </c>
      <c r="G5164">
        <v>16</v>
      </c>
      <c r="H5164">
        <v>0.31</v>
      </c>
      <c r="I5164" t="s">
        <v>15</v>
      </c>
      <c r="J5164">
        <v>0</v>
      </c>
      <c r="K5164">
        <v>1</v>
      </c>
      <c r="L5164">
        <v>0</v>
      </c>
      <c r="M5164">
        <f>VLOOKUP(Table1[[#This Row],[subscription_type]],Plans!$A$1:$B$5,2,FALSE)</f>
        <v>14.99</v>
      </c>
      <c r="N5164">
        <f t="shared" si="80"/>
        <v>0</v>
      </c>
    </row>
    <row r="5165" spans="1:14" x14ac:dyDescent="0.35">
      <c r="A5165">
        <v>5164</v>
      </c>
      <c r="B5165" t="s">
        <v>16</v>
      </c>
      <c r="C5165">
        <v>32</v>
      </c>
      <c r="D5165" t="s">
        <v>28</v>
      </c>
      <c r="E5165" t="s">
        <v>22</v>
      </c>
      <c r="F5165">
        <v>113</v>
      </c>
      <c r="G5165">
        <v>90</v>
      </c>
      <c r="H5165">
        <v>0.48</v>
      </c>
      <c r="I5165" t="s">
        <v>23</v>
      </c>
      <c r="J5165">
        <v>0</v>
      </c>
      <c r="K5165">
        <v>1</v>
      </c>
      <c r="L5165">
        <v>0</v>
      </c>
      <c r="M5165">
        <f>VLOOKUP(Table1[[#This Row],[subscription_type]],Plans!$A$1:$B$5,2,FALSE)</f>
        <v>9.99</v>
      </c>
      <c r="N5165">
        <f t="shared" si="80"/>
        <v>0</v>
      </c>
    </row>
    <row r="5166" spans="1:14" x14ac:dyDescent="0.35">
      <c r="A5166">
        <v>5165</v>
      </c>
      <c r="B5166" t="s">
        <v>16</v>
      </c>
      <c r="C5166">
        <v>57</v>
      </c>
      <c r="D5166" t="s">
        <v>26</v>
      </c>
      <c r="E5166" t="s">
        <v>18</v>
      </c>
      <c r="F5166">
        <v>86</v>
      </c>
      <c r="G5166">
        <v>39</v>
      </c>
      <c r="H5166">
        <v>0.53</v>
      </c>
      <c r="I5166" t="s">
        <v>19</v>
      </c>
      <c r="J5166">
        <v>0</v>
      </c>
      <c r="K5166">
        <v>1</v>
      </c>
      <c r="L5166">
        <v>1</v>
      </c>
      <c r="M5166">
        <f>VLOOKUP(Table1[[#This Row],[subscription_type]],Plans!$A$1:$B$5,2,FALSE)</f>
        <v>14.99</v>
      </c>
      <c r="N5166">
        <f t="shared" si="80"/>
        <v>14.99</v>
      </c>
    </row>
    <row r="5167" spans="1:14" x14ac:dyDescent="0.35">
      <c r="A5167">
        <v>5166</v>
      </c>
      <c r="B5167" t="s">
        <v>12</v>
      </c>
      <c r="C5167">
        <v>54</v>
      </c>
      <c r="D5167" t="s">
        <v>17</v>
      </c>
      <c r="E5167" t="s">
        <v>18</v>
      </c>
      <c r="F5167">
        <v>97</v>
      </c>
      <c r="G5167">
        <v>94</v>
      </c>
      <c r="H5167">
        <v>0.3</v>
      </c>
      <c r="I5167" t="s">
        <v>23</v>
      </c>
      <c r="J5167">
        <v>0</v>
      </c>
      <c r="K5167">
        <v>1</v>
      </c>
      <c r="L5167">
        <v>0</v>
      </c>
      <c r="M5167">
        <f>VLOOKUP(Table1[[#This Row],[subscription_type]],Plans!$A$1:$B$5,2,FALSE)</f>
        <v>14.99</v>
      </c>
      <c r="N5167">
        <f t="shared" si="80"/>
        <v>0</v>
      </c>
    </row>
    <row r="5168" spans="1:14" x14ac:dyDescent="0.35">
      <c r="A5168">
        <v>5167</v>
      </c>
      <c r="B5168" t="s">
        <v>20</v>
      </c>
      <c r="C5168">
        <v>19</v>
      </c>
      <c r="D5168" t="s">
        <v>28</v>
      </c>
      <c r="E5168" t="s">
        <v>14</v>
      </c>
      <c r="F5168">
        <v>254</v>
      </c>
      <c r="G5168">
        <v>52</v>
      </c>
      <c r="H5168">
        <v>0.1</v>
      </c>
      <c r="I5168" t="s">
        <v>23</v>
      </c>
      <c r="J5168">
        <v>24</v>
      </c>
      <c r="K5168">
        <v>0</v>
      </c>
      <c r="L5168">
        <v>0</v>
      </c>
      <c r="M5168">
        <f>VLOOKUP(Table1[[#This Row],[subscription_type]],Plans!$A$1:$B$5,2,FALSE)</f>
        <v>0</v>
      </c>
      <c r="N5168">
        <f t="shared" si="80"/>
        <v>0</v>
      </c>
    </row>
    <row r="5169" spans="1:14" x14ac:dyDescent="0.35">
      <c r="A5169">
        <v>5168</v>
      </c>
      <c r="B5169" t="s">
        <v>20</v>
      </c>
      <c r="C5169">
        <v>32</v>
      </c>
      <c r="D5169" t="s">
        <v>21</v>
      </c>
      <c r="E5169" t="s">
        <v>18</v>
      </c>
      <c r="F5169">
        <v>290</v>
      </c>
      <c r="G5169">
        <v>54</v>
      </c>
      <c r="H5169">
        <v>0.28000000000000003</v>
      </c>
      <c r="I5169" t="s">
        <v>23</v>
      </c>
      <c r="J5169">
        <v>0</v>
      </c>
      <c r="K5169">
        <v>1</v>
      </c>
      <c r="L5169">
        <v>1</v>
      </c>
      <c r="M5169">
        <f>VLOOKUP(Table1[[#This Row],[subscription_type]],Plans!$A$1:$B$5,2,FALSE)</f>
        <v>14.99</v>
      </c>
      <c r="N5169">
        <f t="shared" si="80"/>
        <v>14.99</v>
      </c>
    </row>
    <row r="5170" spans="1:14" x14ac:dyDescent="0.35">
      <c r="A5170">
        <v>5169</v>
      </c>
      <c r="B5170" t="s">
        <v>12</v>
      </c>
      <c r="C5170">
        <v>58</v>
      </c>
      <c r="D5170" t="s">
        <v>27</v>
      </c>
      <c r="E5170" t="s">
        <v>22</v>
      </c>
      <c r="F5170">
        <v>241</v>
      </c>
      <c r="G5170">
        <v>64</v>
      </c>
      <c r="H5170">
        <v>0.28000000000000003</v>
      </c>
      <c r="I5170" t="s">
        <v>23</v>
      </c>
      <c r="J5170">
        <v>0</v>
      </c>
      <c r="K5170">
        <v>1</v>
      </c>
      <c r="L5170">
        <v>0</v>
      </c>
      <c r="M5170">
        <f>VLOOKUP(Table1[[#This Row],[subscription_type]],Plans!$A$1:$B$5,2,FALSE)</f>
        <v>9.99</v>
      </c>
      <c r="N5170">
        <f t="shared" si="80"/>
        <v>0</v>
      </c>
    </row>
    <row r="5171" spans="1:14" x14ac:dyDescent="0.35">
      <c r="A5171">
        <v>5170</v>
      </c>
      <c r="B5171" t="s">
        <v>12</v>
      </c>
      <c r="C5171">
        <v>38</v>
      </c>
      <c r="D5171" t="s">
        <v>27</v>
      </c>
      <c r="E5171" t="s">
        <v>14</v>
      </c>
      <c r="F5171">
        <v>182</v>
      </c>
      <c r="G5171">
        <v>49</v>
      </c>
      <c r="H5171">
        <v>0.05</v>
      </c>
      <c r="I5171" t="s">
        <v>15</v>
      </c>
      <c r="J5171">
        <v>49</v>
      </c>
      <c r="K5171">
        <v>0</v>
      </c>
      <c r="L5171">
        <v>0</v>
      </c>
      <c r="M5171">
        <f>VLOOKUP(Table1[[#This Row],[subscription_type]],Plans!$A$1:$B$5,2,FALSE)</f>
        <v>0</v>
      </c>
      <c r="N5171">
        <f t="shared" si="80"/>
        <v>0</v>
      </c>
    </row>
    <row r="5172" spans="1:14" x14ac:dyDescent="0.35">
      <c r="A5172">
        <v>5171</v>
      </c>
      <c r="B5172" t="s">
        <v>12</v>
      </c>
      <c r="C5172">
        <v>37</v>
      </c>
      <c r="D5172" t="s">
        <v>27</v>
      </c>
      <c r="E5172" t="s">
        <v>18</v>
      </c>
      <c r="F5172">
        <v>172</v>
      </c>
      <c r="G5172">
        <v>45</v>
      </c>
      <c r="H5172">
        <v>0.51</v>
      </c>
      <c r="I5172" t="s">
        <v>19</v>
      </c>
      <c r="J5172">
        <v>0</v>
      </c>
      <c r="K5172">
        <v>1</v>
      </c>
      <c r="L5172">
        <v>0</v>
      </c>
      <c r="M5172">
        <f>VLOOKUP(Table1[[#This Row],[subscription_type]],Plans!$A$1:$B$5,2,FALSE)</f>
        <v>14.99</v>
      </c>
      <c r="N5172">
        <f t="shared" si="80"/>
        <v>0</v>
      </c>
    </row>
    <row r="5173" spans="1:14" x14ac:dyDescent="0.35">
      <c r="A5173">
        <v>5172</v>
      </c>
      <c r="B5173" t="s">
        <v>16</v>
      </c>
      <c r="C5173">
        <v>18</v>
      </c>
      <c r="D5173" t="s">
        <v>29</v>
      </c>
      <c r="E5173" t="s">
        <v>14</v>
      </c>
      <c r="F5173">
        <v>73</v>
      </c>
      <c r="G5173">
        <v>38</v>
      </c>
      <c r="H5173">
        <v>0.6</v>
      </c>
      <c r="I5173" t="s">
        <v>23</v>
      </c>
      <c r="J5173">
        <v>15</v>
      </c>
      <c r="K5173">
        <v>0</v>
      </c>
      <c r="L5173">
        <v>1</v>
      </c>
      <c r="M5173">
        <f>VLOOKUP(Table1[[#This Row],[subscription_type]],Plans!$A$1:$B$5,2,FALSE)</f>
        <v>0</v>
      </c>
      <c r="N5173">
        <f t="shared" si="80"/>
        <v>0</v>
      </c>
    </row>
    <row r="5174" spans="1:14" x14ac:dyDescent="0.35">
      <c r="A5174">
        <v>5173</v>
      </c>
      <c r="B5174" t="s">
        <v>20</v>
      </c>
      <c r="C5174">
        <v>32</v>
      </c>
      <c r="D5174" t="s">
        <v>26</v>
      </c>
      <c r="E5174" t="s">
        <v>14</v>
      </c>
      <c r="F5174">
        <v>152</v>
      </c>
      <c r="G5174">
        <v>51</v>
      </c>
      <c r="H5174">
        <v>0.28999999999999998</v>
      </c>
      <c r="I5174" t="s">
        <v>19</v>
      </c>
      <c r="J5174">
        <v>27</v>
      </c>
      <c r="K5174">
        <v>0</v>
      </c>
      <c r="L5174">
        <v>0</v>
      </c>
      <c r="M5174">
        <f>VLOOKUP(Table1[[#This Row],[subscription_type]],Plans!$A$1:$B$5,2,FALSE)</f>
        <v>0</v>
      </c>
      <c r="N5174">
        <f t="shared" si="80"/>
        <v>0</v>
      </c>
    </row>
    <row r="5175" spans="1:14" x14ac:dyDescent="0.35">
      <c r="A5175">
        <v>5174</v>
      </c>
      <c r="B5175" t="s">
        <v>20</v>
      </c>
      <c r="C5175">
        <v>35</v>
      </c>
      <c r="D5175" t="s">
        <v>13</v>
      </c>
      <c r="E5175" t="s">
        <v>14</v>
      </c>
      <c r="F5175">
        <v>37</v>
      </c>
      <c r="G5175">
        <v>48</v>
      </c>
      <c r="H5175">
        <v>0</v>
      </c>
      <c r="I5175" t="s">
        <v>23</v>
      </c>
      <c r="J5175">
        <v>10</v>
      </c>
      <c r="K5175">
        <v>0</v>
      </c>
      <c r="L5175">
        <v>0</v>
      </c>
      <c r="M5175">
        <f>VLOOKUP(Table1[[#This Row],[subscription_type]],Plans!$A$1:$B$5,2,FALSE)</f>
        <v>0</v>
      </c>
      <c r="N5175">
        <f t="shared" si="80"/>
        <v>0</v>
      </c>
    </row>
    <row r="5176" spans="1:14" x14ac:dyDescent="0.35">
      <c r="A5176">
        <v>5175</v>
      </c>
      <c r="B5176" t="s">
        <v>12</v>
      </c>
      <c r="C5176">
        <v>47</v>
      </c>
      <c r="D5176" t="s">
        <v>29</v>
      </c>
      <c r="E5176" t="s">
        <v>22</v>
      </c>
      <c r="F5176">
        <v>292</v>
      </c>
      <c r="G5176">
        <v>48</v>
      </c>
      <c r="H5176">
        <v>0.13</v>
      </c>
      <c r="I5176" t="s">
        <v>19</v>
      </c>
      <c r="J5176">
        <v>0</v>
      </c>
      <c r="K5176">
        <v>1</v>
      </c>
      <c r="L5176">
        <v>1</v>
      </c>
      <c r="M5176">
        <f>VLOOKUP(Table1[[#This Row],[subscription_type]],Plans!$A$1:$B$5,2,FALSE)</f>
        <v>9.99</v>
      </c>
      <c r="N5176">
        <f t="shared" si="80"/>
        <v>9.99</v>
      </c>
    </row>
    <row r="5177" spans="1:14" x14ac:dyDescent="0.35">
      <c r="A5177">
        <v>5176</v>
      </c>
      <c r="B5177" t="s">
        <v>20</v>
      </c>
      <c r="C5177">
        <v>45</v>
      </c>
      <c r="D5177" t="s">
        <v>27</v>
      </c>
      <c r="E5177" t="s">
        <v>14</v>
      </c>
      <c r="F5177">
        <v>62</v>
      </c>
      <c r="G5177">
        <v>31</v>
      </c>
      <c r="H5177">
        <v>0.36</v>
      </c>
      <c r="I5177" t="s">
        <v>15</v>
      </c>
      <c r="J5177">
        <v>20</v>
      </c>
      <c r="K5177">
        <v>0</v>
      </c>
      <c r="L5177">
        <v>0</v>
      </c>
      <c r="M5177">
        <f>VLOOKUP(Table1[[#This Row],[subscription_type]],Plans!$A$1:$B$5,2,FALSE)</f>
        <v>0</v>
      </c>
      <c r="N5177">
        <f t="shared" si="80"/>
        <v>0</v>
      </c>
    </row>
    <row r="5178" spans="1:14" x14ac:dyDescent="0.35">
      <c r="A5178">
        <v>5177</v>
      </c>
      <c r="B5178" t="s">
        <v>20</v>
      </c>
      <c r="C5178">
        <v>31</v>
      </c>
      <c r="D5178" t="s">
        <v>29</v>
      </c>
      <c r="E5178" t="s">
        <v>14</v>
      </c>
      <c r="F5178">
        <v>263</v>
      </c>
      <c r="G5178">
        <v>43</v>
      </c>
      <c r="H5178">
        <v>0.06</v>
      </c>
      <c r="I5178" t="s">
        <v>19</v>
      </c>
      <c r="J5178">
        <v>23</v>
      </c>
      <c r="K5178">
        <v>0</v>
      </c>
      <c r="L5178">
        <v>1</v>
      </c>
      <c r="M5178">
        <f>VLOOKUP(Table1[[#This Row],[subscription_type]],Plans!$A$1:$B$5,2,FALSE)</f>
        <v>0</v>
      </c>
      <c r="N5178">
        <f t="shared" si="80"/>
        <v>0</v>
      </c>
    </row>
    <row r="5179" spans="1:14" x14ac:dyDescent="0.35">
      <c r="A5179">
        <v>5178</v>
      </c>
      <c r="B5179" t="s">
        <v>12</v>
      </c>
      <c r="C5179">
        <v>20</v>
      </c>
      <c r="D5179" t="s">
        <v>29</v>
      </c>
      <c r="E5179" t="s">
        <v>18</v>
      </c>
      <c r="F5179">
        <v>58</v>
      </c>
      <c r="G5179">
        <v>48</v>
      </c>
      <c r="H5179">
        <v>0.35</v>
      </c>
      <c r="I5179" t="s">
        <v>19</v>
      </c>
      <c r="J5179">
        <v>0</v>
      </c>
      <c r="K5179">
        <v>1</v>
      </c>
      <c r="L5179">
        <v>0</v>
      </c>
      <c r="M5179">
        <f>VLOOKUP(Table1[[#This Row],[subscription_type]],Plans!$A$1:$B$5,2,FALSE)</f>
        <v>14.99</v>
      </c>
      <c r="N5179">
        <f t="shared" si="80"/>
        <v>0</v>
      </c>
    </row>
    <row r="5180" spans="1:14" x14ac:dyDescent="0.35">
      <c r="A5180">
        <v>5179</v>
      </c>
      <c r="B5180" t="s">
        <v>16</v>
      </c>
      <c r="C5180">
        <v>52</v>
      </c>
      <c r="D5180" t="s">
        <v>28</v>
      </c>
      <c r="E5180" t="s">
        <v>24</v>
      </c>
      <c r="F5180">
        <v>113</v>
      </c>
      <c r="G5180">
        <v>35</v>
      </c>
      <c r="H5180">
        <v>0.23</v>
      </c>
      <c r="I5180" t="s">
        <v>15</v>
      </c>
      <c r="J5180">
        <v>0</v>
      </c>
      <c r="K5180">
        <v>1</v>
      </c>
      <c r="L5180">
        <v>0</v>
      </c>
      <c r="M5180">
        <f>VLOOKUP(Table1[[#This Row],[subscription_type]],Plans!$A$1:$B$5,2,FALSE)</f>
        <v>4.99</v>
      </c>
      <c r="N5180">
        <f t="shared" si="80"/>
        <v>0</v>
      </c>
    </row>
    <row r="5181" spans="1:14" x14ac:dyDescent="0.35">
      <c r="A5181">
        <v>5180</v>
      </c>
      <c r="B5181" t="s">
        <v>16</v>
      </c>
      <c r="C5181">
        <v>50</v>
      </c>
      <c r="D5181" t="s">
        <v>21</v>
      </c>
      <c r="E5181" t="s">
        <v>22</v>
      </c>
      <c r="F5181">
        <v>40</v>
      </c>
      <c r="G5181">
        <v>91</v>
      </c>
      <c r="H5181">
        <v>0.52</v>
      </c>
      <c r="I5181" t="s">
        <v>19</v>
      </c>
      <c r="J5181">
        <v>0</v>
      </c>
      <c r="K5181">
        <v>1</v>
      </c>
      <c r="L5181">
        <v>1</v>
      </c>
      <c r="M5181">
        <f>VLOOKUP(Table1[[#This Row],[subscription_type]],Plans!$A$1:$B$5,2,FALSE)</f>
        <v>9.99</v>
      </c>
      <c r="N5181">
        <f t="shared" si="80"/>
        <v>9.99</v>
      </c>
    </row>
    <row r="5182" spans="1:14" x14ac:dyDescent="0.35">
      <c r="A5182">
        <v>5181</v>
      </c>
      <c r="B5182" t="s">
        <v>16</v>
      </c>
      <c r="C5182">
        <v>20</v>
      </c>
      <c r="D5182" t="s">
        <v>28</v>
      </c>
      <c r="E5182" t="s">
        <v>22</v>
      </c>
      <c r="F5182">
        <v>216</v>
      </c>
      <c r="G5182">
        <v>17</v>
      </c>
      <c r="H5182">
        <v>0.19</v>
      </c>
      <c r="I5182" t="s">
        <v>19</v>
      </c>
      <c r="J5182">
        <v>0</v>
      </c>
      <c r="K5182">
        <v>1</v>
      </c>
      <c r="L5182">
        <v>1</v>
      </c>
      <c r="M5182">
        <f>VLOOKUP(Table1[[#This Row],[subscription_type]],Plans!$A$1:$B$5,2,FALSE)</f>
        <v>9.99</v>
      </c>
      <c r="N5182">
        <f t="shared" si="80"/>
        <v>9.99</v>
      </c>
    </row>
    <row r="5183" spans="1:14" x14ac:dyDescent="0.35">
      <c r="A5183">
        <v>5182</v>
      </c>
      <c r="B5183" t="s">
        <v>16</v>
      </c>
      <c r="C5183">
        <v>36</v>
      </c>
      <c r="D5183" t="s">
        <v>13</v>
      </c>
      <c r="E5183" t="s">
        <v>22</v>
      </c>
      <c r="F5183">
        <v>35</v>
      </c>
      <c r="G5183">
        <v>18</v>
      </c>
      <c r="H5183">
        <v>0.52</v>
      </c>
      <c r="I5183" t="s">
        <v>23</v>
      </c>
      <c r="J5183">
        <v>0</v>
      </c>
      <c r="K5183">
        <v>1</v>
      </c>
      <c r="L5183">
        <v>0</v>
      </c>
      <c r="M5183">
        <f>VLOOKUP(Table1[[#This Row],[subscription_type]],Plans!$A$1:$B$5,2,FALSE)</f>
        <v>9.99</v>
      </c>
      <c r="N5183">
        <f t="shared" si="80"/>
        <v>0</v>
      </c>
    </row>
    <row r="5184" spans="1:14" x14ac:dyDescent="0.35">
      <c r="A5184">
        <v>5183</v>
      </c>
      <c r="B5184" t="s">
        <v>20</v>
      </c>
      <c r="C5184">
        <v>17</v>
      </c>
      <c r="D5184" t="s">
        <v>17</v>
      </c>
      <c r="E5184" t="s">
        <v>14</v>
      </c>
      <c r="F5184">
        <v>289</v>
      </c>
      <c r="G5184">
        <v>85</v>
      </c>
      <c r="H5184">
        <v>0.56999999999999995</v>
      </c>
      <c r="I5184" t="s">
        <v>15</v>
      </c>
      <c r="J5184">
        <v>10</v>
      </c>
      <c r="K5184">
        <v>0</v>
      </c>
      <c r="L5184">
        <v>0</v>
      </c>
      <c r="M5184">
        <f>VLOOKUP(Table1[[#This Row],[subscription_type]],Plans!$A$1:$B$5,2,FALSE)</f>
        <v>0</v>
      </c>
      <c r="N5184">
        <f t="shared" si="80"/>
        <v>0</v>
      </c>
    </row>
    <row r="5185" spans="1:14" x14ac:dyDescent="0.35">
      <c r="A5185">
        <v>5184</v>
      </c>
      <c r="B5185" t="s">
        <v>16</v>
      </c>
      <c r="C5185">
        <v>28</v>
      </c>
      <c r="D5185" t="s">
        <v>27</v>
      </c>
      <c r="E5185" t="s">
        <v>14</v>
      </c>
      <c r="F5185">
        <v>255</v>
      </c>
      <c r="G5185">
        <v>24</v>
      </c>
      <c r="H5185">
        <v>0.15</v>
      </c>
      <c r="I5185" t="s">
        <v>15</v>
      </c>
      <c r="J5185">
        <v>6</v>
      </c>
      <c r="K5185">
        <v>0</v>
      </c>
      <c r="L5185">
        <v>0</v>
      </c>
      <c r="M5185">
        <f>VLOOKUP(Table1[[#This Row],[subscription_type]],Plans!$A$1:$B$5,2,FALSE)</f>
        <v>0</v>
      </c>
      <c r="N5185">
        <f t="shared" si="80"/>
        <v>0</v>
      </c>
    </row>
    <row r="5186" spans="1:14" x14ac:dyDescent="0.35">
      <c r="A5186">
        <v>5185</v>
      </c>
      <c r="B5186" t="s">
        <v>16</v>
      </c>
      <c r="C5186">
        <v>29</v>
      </c>
      <c r="D5186" t="s">
        <v>28</v>
      </c>
      <c r="E5186" t="s">
        <v>24</v>
      </c>
      <c r="F5186">
        <v>277</v>
      </c>
      <c r="G5186">
        <v>8</v>
      </c>
      <c r="H5186">
        <v>0.18</v>
      </c>
      <c r="I5186" t="s">
        <v>19</v>
      </c>
      <c r="J5186">
        <v>0</v>
      </c>
      <c r="K5186">
        <v>1</v>
      </c>
      <c r="L5186">
        <v>0</v>
      </c>
      <c r="M5186">
        <f>VLOOKUP(Table1[[#This Row],[subscription_type]],Plans!$A$1:$B$5,2,FALSE)</f>
        <v>4.99</v>
      </c>
      <c r="N5186">
        <f t="shared" ref="N5186:N5249" si="81">IF(L5186=1, M5186,0)</f>
        <v>0</v>
      </c>
    </row>
    <row r="5187" spans="1:14" x14ac:dyDescent="0.35">
      <c r="A5187">
        <v>5186</v>
      </c>
      <c r="B5187" t="s">
        <v>12</v>
      </c>
      <c r="C5187">
        <v>43</v>
      </c>
      <c r="D5187" t="s">
        <v>28</v>
      </c>
      <c r="E5187" t="s">
        <v>18</v>
      </c>
      <c r="F5187">
        <v>161</v>
      </c>
      <c r="G5187">
        <v>82</v>
      </c>
      <c r="H5187">
        <v>0.47</v>
      </c>
      <c r="I5187" t="s">
        <v>15</v>
      </c>
      <c r="J5187">
        <v>0</v>
      </c>
      <c r="K5187">
        <v>1</v>
      </c>
      <c r="L5187">
        <v>0</v>
      </c>
      <c r="M5187">
        <f>VLOOKUP(Table1[[#This Row],[subscription_type]],Plans!$A$1:$B$5,2,FALSE)</f>
        <v>14.99</v>
      </c>
      <c r="N5187">
        <f t="shared" si="81"/>
        <v>0</v>
      </c>
    </row>
    <row r="5188" spans="1:14" x14ac:dyDescent="0.35">
      <c r="A5188">
        <v>5187</v>
      </c>
      <c r="B5188" t="s">
        <v>20</v>
      </c>
      <c r="C5188">
        <v>48</v>
      </c>
      <c r="D5188" t="s">
        <v>21</v>
      </c>
      <c r="E5188" t="s">
        <v>22</v>
      </c>
      <c r="F5188">
        <v>113</v>
      </c>
      <c r="G5188">
        <v>94</v>
      </c>
      <c r="H5188">
        <v>0.18</v>
      </c>
      <c r="I5188" t="s">
        <v>19</v>
      </c>
      <c r="J5188">
        <v>0</v>
      </c>
      <c r="K5188">
        <v>1</v>
      </c>
      <c r="L5188">
        <v>0</v>
      </c>
      <c r="M5188">
        <f>VLOOKUP(Table1[[#This Row],[subscription_type]],Plans!$A$1:$B$5,2,FALSE)</f>
        <v>9.99</v>
      </c>
      <c r="N5188">
        <f t="shared" si="81"/>
        <v>0</v>
      </c>
    </row>
    <row r="5189" spans="1:14" x14ac:dyDescent="0.35">
      <c r="A5189">
        <v>5188</v>
      </c>
      <c r="B5189" t="s">
        <v>16</v>
      </c>
      <c r="C5189">
        <v>40</v>
      </c>
      <c r="D5189" t="s">
        <v>17</v>
      </c>
      <c r="E5189" t="s">
        <v>14</v>
      </c>
      <c r="F5189">
        <v>277</v>
      </c>
      <c r="G5189">
        <v>21</v>
      </c>
      <c r="H5189">
        <v>0.41</v>
      </c>
      <c r="I5189" t="s">
        <v>15</v>
      </c>
      <c r="J5189">
        <v>12</v>
      </c>
      <c r="K5189">
        <v>0</v>
      </c>
      <c r="L5189">
        <v>0</v>
      </c>
      <c r="M5189">
        <f>VLOOKUP(Table1[[#This Row],[subscription_type]],Plans!$A$1:$B$5,2,FALSE)</f>
        <v>0</v>
      </c>
      <c r="N5189">
        <f t="shared" si="81"/>
        <v>0</v>
      </c>
    </row>
    <row r="5190" spans="1:14" x14ac:dyDescent="0.35">
      <c r="A5190">
        <v>5189</v>
      </c>
      <c r="B5190" t="s">
        <v>16</v>
      </c>
      <c r="C5190">
        <v>51</v>
      </c>
      <c r="D5190" t="s">
        <v>28</v>
      </c>
      <c r="E5190" t="s">
        <v>24</v>
      </c>
      <c r="F5190">
        <v>190</v>
      </c>
      <c r="G5190">
        <v>90</v>
      </c>
      <c r="H5190">
        <v>0.54</v>
      </c>
      <c r="I5190" t="s">
        <v>23</v>
      </c>
      <c r="J5190">
        <v>0</v>
      </c>
      <c r="K5190">
        <v>1</v>
      </c>
      <c r="L5190">
        <v>1</v>
      </c>
      <c r="M5190">
        <f>VLOOKUP(Table1[[#This Row],[subscription_type]],Plans!$A$1:$B$5,2,FALSE)</f>
        <v>4.99</v>
      </c>
      <c r="N5190">
        <f t="shared" si="81"/>
        <v>4.99</v>
      </c>
    </row>
    <row r="5191" spans="1:14" x14ac:dyDescent="0.35">
      <c r="A5191">
        <v>5190</v>
      </c>
      <c r="B5191" t="s">
        <v>12</v>
      </c>
      <c r="C5191">
        <v>19</v>
      </c>
      <c r="D5191" t="s">
        <v>17</v>
      </c>
      <c r="E5191" t="s">
        <v>14</v>
      </c>
      <c r="F5191">
        <v>256</v>
      </c>
      <c r="G5191">
        <v>46</v>
      </c>
      <c r="H5191">
        <v>0.42</v>
      </c>
      <c r="I5191" t="s">
        <v>15</v>
      </c>
      <c r="J5191">
        <v>37</v>
      </c>
      <c r="K5191">
        <v>0</v>
      </c>
      <c r="L5191">
        <v>1</v>
      </c>
      <c r="M5191">
        <f>VLOOKUP(Table1[[#This Row],[subscription_type]],Plans!$A$1:$B$5,2,FALSE)</f>
        <v>0</v>
      </c>
      <c r="N5191">
        <f t="shared" si="81"/>
        <v>0</v>
      </c>
    </row>
    <row r="5192" spans="1:14" x14ac:dyDescent="0.35">
      <c r="A5192">
        <v>5191</v>
      </c>
      <c r="B5192" t="s">
        <v>20</v>
      </c>
      <c r="C5192">
        <v>57</v>
      </c>
      <c r="D5192" t="s">
        <v>21</v>
      </c>
      <c r="E5192" t="s">
        <v>22</v>
      </c>
      <c r="F5192">
        <v>294</v>
      </c>
      <c r="G5192">
        <v>88</v>
      </c>
      <c r="H5192">
        <v>0.12</v>
      </c>
      <c r="I5192" t="s">
        <v>23</v>
      </c>
      <c r="J5192">
        <v>0</v>
      </c>
      <c r="K5192">
        <v>1</v>
      </c>
      <c r="L5192">
        <v>0</v>
      </c>
      <c r="M5192">
        <f>VLOOKUP(Table1[[#This Row],[subscription_type]],Plans!$A$1:$B$5,2,FALSE)</f>
        <v>9.99</v>
      </c>
      <c r="N5192">
        <f t="shared" si="81"/>
        <v>0</v>
      </c>
    </row>
    <row r="5193" spans="1:14" x14ac:dyDescent="0.35">
      <c r="A5193">
        <v>5192</v>
      </c>
      <c r="B5193" t="s">
        <v>12</v>
      </c>
      <c r="C5193">
        <v>26</v>
      </c>
      <c r="D5193" t="s">
        <v>25</v>
      </c>
      <c r="E5193" t="s">
        <v>18</v>
      </c>
      <c r="F5193">
        <v>97</v>
      </c>
      <c r="G5193">
        <v>41</v>
      </c>
      <c r="H5193">
        <v>0.22</v>
      </c>
      <c r="I5193" t="s">
        <v>23</v>
      </c>
      <c r="J5193">
        <v>0</v>
      </c>
      <c r="K5193">
        <v>1</v>
      </c>
      <c r="L5193">
        <v>0</v>
      </c>
      <c r="M5193">
        <f>VLOOKUP(Table1[[#This Row],[subscription_type]],Plans!$A$1:$B$5,2,FALSE)</f>
        <v>14.99</v>
      </c>
      <c r="N5193">
        <f t="shared" si="81"/>
        <v>0</v>
      </c>
    </row>
    <row r="5194" spans="1:14" x14ac:dyDescent="0.35">
      <c r="A5194">
        <v>5193</v>
      </c>
      <c r="B5194" t="s">
        <v>16</v>
      </c>
      <c r="C5194">
        <v>49</v>
      </c>
      <c r="D5194" t="s">
        <v>29</v>
      </c>
      <c r="E5194" t="s">
        <v>18</v>
      </c>
      <c r="F5194">
        <v>39</v>
      </c>
      <c r="G5194">
        <v>26</v>
      </c>
      <c r="H5194">
        <v>0.22</v>
      </c>
      <c r="I5194" t="s">
        <v>23</v>
      </c>
      <c r="J5194">
        <v>0</v>
      </c>
      <c r="K5194">
        <v>1</v>
      </c>
      <c r="L5194">
        <v>0</v>
      </c>
      <c r="M5194">
        <f>VLOOKUP(Table1[[#This Row],[subscription_type]],Plans!$A$1:$B$5,2,FALSE)</f>
        <v>14.99</v>
      </c>
      <c r="N5194">
        <f t="shared" si="81"/>
        <v>0</v>
      </c>
    </row>
    <row r="5195" spans="1:14" x14ac:dyDescent="0.35">
      <c r="A5195">
        <v>5194</v>
      </c>
      <c r="B5195" t="s">
        <v>12</v>
      </c>
      <c r="C5195">
        <v>56</v>
      </c>
      <c r="D5195" t="s">
        <v>27</v>
      </c>
      <c r="E5195" t="s">
        <v>18</v>
      </c>
      <c r="F5195">
        <v>264</v>
      </c>
      <c r="G5195">
        <v>91</v>
      </c>
      <c r="H5195">
        <v>0.47</v>
      </c>
      <c r="I5195" t="s">
        <v>23</v>
      </c>
      <c r="J5195">
        <v>0</v>
      </c>
      <c r="K5195">
        <v>1</v>
      </c>
      <c r="L5195">
        <v>0</v>
      </c>
      <c r="M5195">
        <f>VLOOKUP(Table1[[#This Row],[subscription_type]],Plans!$A$1:$B$5,2,FALSE)</f>
        <v>14.99</v>
      </c>
      <c r="N5195">
        <f t="shared" si="81"/>
        <v>0</v>
      </c>
    </row>
    <row r="5196" spans="1:14" x14ac:dyDescent="0.35">
      <c r="A5196">
        <v>5195</v>
      </c>
      <c r="B5196" t="s">
        <v>20</v>
      </c>
      <c r="C5196">
        <v>33</v>
      </c>
      <c r="D5196" t="s">
        <v>17</v>
      </c>
      <c r="E5196" t="s">
        <v>22</v>
      </c>
      <c r="F5196">
        <v>285</v>
      </c>
      <c r="G5196">
        <v>94</v>
      </c>
      <c r="H5196">
        <v>7.0000000000000007E-2</v>
      </c>
      <c r="I5196" t="s">
        <v>15</v>
      </c>
      <c r="J5196">
        <v>0</v>
      </c>
      <c r="K5196">
        <v>1</v>
      </c>
      <c r="L5196">
        <v>0</v>
      </c>
      <c r="M5196">
        <f>VLOOKUP(Table1[[#This Row],[subscription_type]],Plans!$A$1:$B$5,2,FALSE)</f>
        <v>9.99</v>
      </c>
      <c r="N5196">
        <f t="shared" si="81"/>
        <v>0</v>
      </c>
    </row>
    <row r="5197" spans="1:14" x14ac:dyDescent="0.35">
      <c r="A5197">
        <v>5196</v>
      </c>
      <c r="B5197" t="s">
        <v>20</v>
      </c>
      <c r="C5197">
        <v>44</v>
      </c>
      <c r="D5197" t="s">
        <v>25</v>
      </c>
      <c r="E5197" t="s">
        <v>22</v>
      </c>
      <c r="F5197">
        <v>78</v>
      </c>
      <c r="G5197">
        <v>36</v>
      </c>
      <c r="H5197">
        <v>0.16</v>
      </c>
      <c r="I5197" t="s">
        <v>19</v>
      </c>
      <c r="J5197">
        <v>0</v>
      </c>
      <c r="K5197">
        <v>1</v>
      </c>
      <c r="L5197">
        <v>0</v>
      </c>
      <c r="M5197">
        <f>VLOOKUP(Table1[[#This Row],[subscription_type]],Plans!$A$1:$B$5,2,FALSE)</f>
        <v>9.99</v>
      </c>
      <c r="N5197">
        <f t="shared" si="81"/>
        <v>0</v>
      </c>
    </row>
    <row r="5198" spans="1:14" x14ac:dyDescent="0.35">
      <c r="A5198">
        <v>5197</v>
      </c>
      <c r="B5198" t="s">
        <v>20</v>
      </c>
      <c r="C5198">
        <v>54</v>
      </c>
      <c r="D5198" t="s">
        <v>29</v>
      </c>
      <c r="E5198" t="s">
        <v>14</v>
      </c>
      <c r="F5198">
        <v>144</v>
      </c>
      <c r="G5198">
        <v>77</v>
      </c>
      <c r="H5198">
        <v>0.05</v>
      </c>
      <c r="I5198" t="s">
        <v>23</v>
      </c>
      <c r="J5198">
        <v>37</v>
      </c>
      <c r="K5198">
        <v>0</v>
      </c>
      <c r="L5198">
        <v>0</v>
      </c>
      <c r="M5198">
        <f>VLOOKUP(Table1[[#This Row],[subscription_type]],Plans!$A$1:$B$5,2,FALSE)</f>
        <v>0</v>
      </c>
      <c r="N5198">
        <f t="shared" si="81"/>
        <v>0</v>
      </c>
    </row>
    <row r="5199" spans="1:14" x14ac:dyDescent="0.35">
      <c r="A5199">
        <v>5198</v>
      </c>
      <c r="B5199" t="s">
        <v>20</v>
      </c>
      <c r="C5199">
        <v>19</v>
      </c>
      <c r="D5199" t="s">
        <v>25</v>
      </c>
      <c r="E5199" t="s">
        <v>18</v>
      </c>
      <c r="F5199">
        <v>239</v>
      </c>
      <c r="G5199">
        <v>21</v>
      </c>
      <c r="H5199">
        <v>0.59</v>
      </c>
      <c r="I5199" t="s">
        <v>15</v>
      </c>
      <c r="J5199">
        <v>0</v>
      </c>
      <c r="K5199">
        <v>1</v>
      </c>
      <c r="L5199">
        <v>1</v>
      </c>
      <c r="M5199">
        <f>VLOOKUP(Table1[[#This Row],[subscription_type]],Plans!$A$1:$B$5,2,FALSE)</f>
        <v>14.99</v>
      </c>
      <c r="N5199">
        <f t="shared" si="81"/>
        <v>14.99</v>
      </c>
    </row>
    <row r="5200" spans="1:14" x14ac:dyDescent="0.35">
      <c r="A5200">
        <v>5199</v>
      </c>
      <c r="B5200" t="s">
        <v>16</v>
      </c>
      <c r="C5200">
        <v>24</v>
      </c>
      <c r="D5200" t="s">
        <v>17</v>
      </c>
      <c r="E5200" t="s">
        <v>18</v>
      </c>
      <c r="F5200">
        <v>122</v>
      </c>
      <c r="G5200">
        <v>54</v>
      </c>
      <c r="H5200">
        <v>0.11</v>
      </c>
      <c r="I5200" t="s">
        <v>15</v>
      </c>
      <c r="J5200">
        <v>0</v>
      </c>
      <c r="K5200">
        <v>1</v>
      </c>
      <c r="L5200">
        <v>0</v>
      </c>
      <c r="M5200">
        <f>VLOOKUP(Table1[[#This Row],[subscription_type]],Plans!$A$1:$B$5,2,FALSE)</f>
        <v>14.99</v>
      </c>
      <c r="N5200">
        <f t="shared" si="81"/>
        <v>0</v>
      </c>
    </row>
    <row r="5201" spans="1:14" x14ac:dyDescent="0.35">
      <c r="A5201">
        <v>5200</v>
      </c>
      <c r="B5201" t="s">
        <v>20</v>
      </c>
      <c r="C5201">
        <v>43</v>
      </c>
      <c r="D5201" t="s">
        <v>28</v>
      </c>
      <c r="E5201" t="s">
        <v>14</v>
      </c>
      <c r="F5201">
        <v>142</v>
      </c>
      <c r="G5201">
        <v>83</v>
      </c>
      <c r="H5201">
        <v>0.55000000000000004</v>
      </c>
      <c r="I5201" t="s">
        <v>15</v>
      </c>
      <c r="J5201">
        <v>25</v>
      </c>
      <c r="K5201">
        <v>0</v>
      </c>
      <c r="L5201">
        <v>0</v>
      </c>
      <c r="M5201">
        <f>VLOOKUP(Table1[[#This Row],[subscription_type]],Plans!$A$1:$B$5,2,FALSE)</f>
        <v>0</v>
      </c>
      <c r="N5201">
        <f t="shared" si="81"/>
        <v>0</v>
      </c>
    </row>
    <row r="5202" spans="1:14" x14ac:dyDescent="0.35">
      <c r="A5202">
        <v>5201</v>
      </c>
      <c r="B5202" t="s">
        <v>20</v>
      </c>
      <c r="C5202">
        <v>24</v>
      </c>
      <c r="D5202" t="s">
        <v>28</v>
      </c>
      <c r="E5202" t="s">
        <v>22</v>
      </c>
      <c r="F5202">
        <v>133</v>
      </c>
      <c r="G5202">
        <v>60</v>
      </c>
      <c r="H5202">
        <v>0.18</v>
      </c>
      <c r="I5202" t="s">
        <v>19</v>
      </c>
      <c r="J5202">
        <v>0</v>
      </c>
      <c r="K5202">
        <v>1</v>
      </c>
      <c r="L5202">
        <v>0</v>
      </c>
      <c r="M5202">
        <f>VLOOKUP(Table1[[#This Row],[subscription_type]],Plans!$A$1:$B$5,2,FALSE)</f>
        <v>9.99</v>
      </c>
      <c r="N5202">
        <f t="shared" si="81"/>
        <v>0</v>
      </c>
    </row>
    <row r="5203" spans="1:14" x14ac:dyDescent="0.35">
      <c r="A5203">
        <v>5202</v>
      </c>
      <c r="B5203" t="s">
        <v>20</v>
      </c>
      <c r="C5203">
        <v>17</v>
      </c>
      <c r="D5203" t="s">
        <v>13</v>
      </c>
      <c r="E5203" t="s">
        <v>14</v>
      </c>
      <c r="F5203">
        <v>259</v>
      </c>
      <c r="G5203">
        <v>90</v>
      </c>
      <c r="H5203">
        <v>0.39</v>
      </c>
      <c r="I5203" t="s">
        <v>23</v>
      </c>
      <c r="J5203">
        <v>41</v>
      </c>
      <c r="K5203">
        <v>0</v>
      </c>
      <c r="L5203">
        <v>0</v>
      </c>
      <c r="M5203">
        <f>VLOOKUP(Table1[[#This Row],[subscription_type]],Plans!$A$1:$B$5,2,FALSE)</f>
        <v>0</v>
      </c>
      <c r="N5203">
        <f t="shared" si="81"/>
        <v>0</v>
      </c>
    </row>
    <row r="5204" spans="1:14" x14ac:dyDescent="0.35">
      <c r="A5204">
        <v>5203</v>
      </c>
      <c r="B5204" t="s">
        <v>12</v>
      </c>
      <c r="C5204">
        <v>41</v>
      </c>
      <c r="D5204" t="s">
        <v>21</v>
      </c>
      <c r="E5204" t="s">
        <v>18</v>
      </c>
      <c r="F5204">
        <v>161</v>
      </c>
      <c r="G5204">
        <v>83</v>
      </c>
      <c r="H5204">
        <v>0.05</v>
      </c>
      <c r="I5204" t="s">
        <v>23</v>
      </c>
      <c r="J5204">
        <v>0</v>
      </c>
      <c r="K5204">
        <v>1</v>
      </c>
      <c r="L5204">
        <v>0</v>
      </c>
      <c r="M5204">
        <f>VLOOKUP(Table1[[#This Row],[subscription_type]],Plans!$A$1:$B$5,2,FALSE)</f>
        <v>14.99</v>
      </c>
      <c r="N5204">
        <f t="shared" si="81"/>
        <v>0</v>
      </c>
    </row>
    <row r="5205" spans="1:14" x14ac:dyDescent="0.35">
      <c r="A5205">
        <v>5204</v>
      </c>
      <c r="B5205" t="s">
        <v>12</v>
      </c>
      <c r="C5205">
        <v>43</v>
      </c>
      <c r="D5205" t="s">
        <v>25</v>
      </c>
      <c r="E5205" t="s">
        <v>22</v>
      </c>
      <c r="F5205">
        <v>218</v>
      </c>
      <c r="G5205">
        <v>63</v>
      </c>
      <c r="H5205">
        <v>0.14000000000000001</v>
      </c>
      <c r="I5205" t="s">
        <v>23</v>
      </c>
      <c r="J5205">
        <v>0</v>
      </c>
      <c r="K5205">
        <v>1</v>
      </c>
      <c r="L5205">
        <v>1</v>
      </c>
      <c r="M5205">
        <f>VLOOKUP(Table1[[#This Row],[subscription_type]],Plans!$A$1:$B$5,2,FALSE)</f>
        <v>9.99</v>
      </c>
      <c r="N5205">
        <f t="shared" si="81"/>
        <v>9.99</v>
      </c>
    </row>
    <row r="5206" spans="1:14" x14ac:dyDescent="0.35">
      <c r="A5206">
        <v>5205</v>
      </c>
      <c r="B5206" t="s">
        <v>16</v>
      </c>
      <c r="C5206">
        <v>51</v>
      </c>
      <c r="D5206" t="s">
        <v>29</v>
      </c>
      <c r="E5206" t="s">
        <v>24</v>
      </c>
      <c r="F5206">
        <v>51</v>
      </c>
      <c r="G5206">
        <v>78</v>
      </c>
      <c r="H5206">
        <v>0.28999999999999998</v>
      </c>
      <c r="I5206" t="s">
        <v>23</v>
      </c>
      <c r="J5206">
        <v>0</v>
      </c>
      <c r="K5206">
        <v>1</v>
      </c>
      <c r="L5206">
        <v>1</v>
      </c>
      <c r="M5206">
        <f>VLOOKUP(Table1[[#This Row],[subscription_type]],Plans!$A$1:$B$5,2,FALSE)</f>
        <v>4.99</v>
      </c>
      <c r="N5206">
        <f t="shared" si="81"/>
        <v>4.99</v>
      </c>
    </row>
    <row r="5207" spans="1:14" x14ac:dyDescent="0.35">
      <c r="A5207">
        <v>5206</v>
      </c>
      <c r="B5207" t="s">
        <v>12</v>
      </c>
      <c r="C5207">
        <v>48</v>
      </c>
      <c r="D5207" t="s">
        <v>26</v>
      </c>
      <c r="E5207" t="s">
        <v>14</v>
      </c>
      <c r="F5207">
        <v>282</v>
      </c>
      <c r="G5207">
        <v>11</v>
      </c>
      <c r="H5207">
        <v>0.2</v>
      </c>
      <c r="I5207" t="s">
        <v>23</v>
      </c>
      <c r="J5207">
        <v>29</v>
      </c>
      <c r="K5207">
        <v>0</v>
      </c>
      <c r="L5207">
        <v>1</v>
      </c>
      <c r="M5207">
        <f>VLOOKUP(Table1[[#This Row],[subscription_type]],Plans!$A$1:$B$5,2,FALSE)</f>
        <v>0</v>
      </c>
      <c r="N5207">
        <f t="shared" si="81"/>
        <v>0</v>
      </c>
    </row>
    <row r="5208" spans="1:14" x14ac:dyDescent="0.35">
      <c r="A5208">
        <v>5207</v>
      </c>
      <c r="B5208" t="s">
        <v>12</v>
      </c>
      <c r="C5208">
        <v>57</v>
      </c>
      <c r="D5208" t="s">
        <v>26</v>
      </c>
      <c r="E5208" t="s">
        <v>22</v>
      </c>
      <c r="F5208">
        <v>277</v>
      </c>
      <c r="G5208">
        <v>61</v>
      </c>
      <c r="H5208">
        <v>0.08</v>
      </c>
      <c r="I5208" t="s">
        <v>19</v>
      </c>
      <c r="J5208">
        <v>0</v>
      </c>
      <c r="K5208">
        <v>1</v>
      </c>
      <c r="L5208">
        <v>0</v>
      </c>
      <c r="M5208">
        <f>VLOOKUP(Table1[[#This Row],[subscription_type]],Plans!$A$1:$B$5,2,FALSE)</f>
        <v>9.99</v>
      </c>
      <c r="N5208">
        <f t="shared" si="81"/>
        <v>0</v>
      </c>
    </row>
    <row r="5209" spans="1:14" x14ac:dyDescent="0.35">
      <c r="A5209">
        <v>5208</v>
      </c>
      <c r="B5209" t="s">
        <v>12</v>
      </c>
      <c r="C5209">
        <v>30</v>
      </c>
      <c r="D5209" t="s">
        <v>27</v>
      </c>
      <c r="E5209" t="s">
        <v>22</v>
      </c>
      <c r="F5209">
        <v>242</v>
      </c>
      <c r="G5209">
        <v>28</v>
      </c>
      <c r="H5209">
        <v>0.38</v>
      </c>
      <c r="I5209" t="s">
        <v>15</v>
      </c>
      <c r="J5209">
        <v>0</v>
      </c>
      <c r="K5209">
        <v>1</v>
      </c>
      <c r="L5209">
        <v>1</v>
      </c>
      <c r="M5209">
        <f>VLOOKUP(Table1[[#This Row],[subscription_type]],Plans!$A$1:$B$5,2,FALSE)</f>
        <v>9.99</v>
      </c>
      <c r="N5209">
        <f t="shared" si="81"/>
        <v>9.99</v>
      </c>
    </row>
    <row r="5210" spans="1:14" x14ac:dyDescent="0.35">
      <c r="A5210">
        <v>5209</v>
      </c>
      <c r="B5210" t="s">
        <v>20</v>
      </c>
      <c r="C5210">
        <v>27</v>
      </c>
      <c r="D5210" t="s">
        <v>17</v>
      </c>
      <c r="E5210" t="s">
        <v>14</v>
      </c>
      <c r="F5210">
        <v>11</v>
      </c>
      <c r="G5210">
        <v>50</v>
      </c>
      <c r="H5210">
        <v>0.32</v>
      </c>
      <c r="I5210" t="s">
        <v>23</v>
      </c>
      <c r="J5210">
        <v>33</v>
      </c>
      <c r="K5210">
        <v>0</v>
      </c>
      <c r="L5210">
        <v>0</v>
      </c>
      <c r="M5210">
        <f>VLOOKUP(Table1[[#This Row],[subscription_type]],Plans!$A$1:$B$5,2,FALSE)</f>
        <v>0</v>
      </c>
      <c r="N5210">
        <f t="shared" si="81"/>
        <v>0</v>
      </c>
    </row>
    <row r="5211" spans="1:14" x14ac:dyDescent="0.35">
      <c r="A5211">
        <v>5210</v>
      </c>
      <c r="B5211" t="s">
        <v>20</v>
      </c>
      <c r="C5211">
        <v>51</v>
      </c>
      <c r="D5211" t="s">
        <v>21</v>
      </c>
      <c r="E5211" t="s">
        <v>18</v>
      </c>
      <c r="F5211">
        <v>90</v>
      </c>
      <c r="G5211">
        <v>56</v>
      </c>
      <c r="H5211">
        <v>0.2</v>
      </c>
      <c r="I5211" t="s">
        <v>19</v>
      </c>
      <c r="J5211">
        <v>0</v>
      </c>
      <c r="K5211">
        <v>1</v>
      </c>
      <c r="L5211">
        <v>0</v>
      </c>
      <c r="M5211">
        <f>VLOOKUP(Table1[[#This Row],[subscription_type]],Plans!$A$1:$B$5,2,FALSE)</f>
        <v>14.99</v>
      </c>
      <c r="N5211">
        <f t="shared" si="81"/>
        <v>0</v>
      </c>
    </row>
    <row r="5212" spans="1:14" x14ac:dyDescent="0.35">
      <c r="A5212">
        <v>5211</v>
      </c>
      <c r="B5212" t="s">
        <v>20</v>
      </c>
      <c r="C5212">
        <v>39</v>
      </c>
      <c r="D5212" t="s">
        <v>28</v>
      </c>
      <c r="E5212" t="s">
        <v>22</v>
      </c>
      <c r="F5212">
        <v>152</v>
      </c>
      <c r="G5212">
        <v>1</v>
      </c>
      <c r="H5212">
        <v>0.4</v>
      </c>
      <c r="I5212" t="s">
        <v>15</v>
      </c>
      <c r="J5212">
        <v>0</v>
      </c>
      <c r="K5212">
        <v>1</v>
      </c>
      <c r="L5212">
        <v>0</v>
      </c>
      <c r="M5212">
        <f>VLOOKUP(Table1[[#This Row],[subscription_type]],Plans!$A$1:$B$5,2,FALSE)</f>
        <v>9.99</v>
      </c>
      <c r="N5212">
        <f t="shared" si="81"/>
        <v>0</v>
      </c>
    </row>
    <row r="5213" spans="1:14" x14ac:dyDescent="0.35">
      <c r="A5213">
        <v>5212</v>
      </c>
      <c r="B5213" t="s">
        <v>16</v>
      </c>
      <c r="C5213">
        <v>29</v>
      </c>
      <c r="D5213" t="s">
        <v>29</v>
      </c>
      <c r="E5213" t="s">
        <v>22</v>
      </c>
      <c r="F5213">
        <v>235</v>
      </c>
      <c r="G5213">
        <v>86</v>
      </c>
      <c r="H5213">
        <v>0.48</v>
      </c>
      <c r="I5213" t="s">
        <v>19</v>
      </c>
      <c r="J5213">
        <v>0</v>
      </c>
      <c r="K5213">
        <v>1</v>
      </c>
      <c r="L5213">
        <v>0</v>
      </c>
      <c r="M5213">
        <f>VLOOKUP(Table1[[#This Row],[subscription_type]],Plans!$A$1:$B$5,2,FALSE)</f>
        <v>9.99</v>
      </c>
      <c r="N5213">
        <f t="shared" si="81"/>
        <v>0</v>
      </c>
    </row>
    <row r="5214" spans="1:14" x14ac:dyDescent="0.35">
      <c r="A5214">
        <v>5213</v>
      </c>
      <c r="B5214" t="s">
        <v>12</v>
      </c>
      <c r="C5214">
        <v>29</v>
      </c>
      <c r="D5214" t="s">
        <v>21</v>
      </c>
      <c r="E5214" t="s">
        <v>24</v>
      </c>
      <c r="F5214">
        <v>256</v>
      </c>
      <c r="G5214">
        <v>47</v>
      </c>
      <c r="H5214">
        <v>0.57999999999999996</v>
      </c>
      <c r="I5214" t="s">
        <v>15</v>
      </c>
      <c r="J5214">
        <v>0</v>
      </c>
      <c r="K5214">
        <v>1</v>
      </c>
      <c r="L5214">
        <v>0</v>
      </c>
      <c r="M5214">
        <f>VLOOKUP(Table1[[#This Row],[subscription_type]],Plans!$A$1:$B$5,2,FALSE)</f>
        <v>4.99</v>
      </c>
      <c r="N5214">
        <f t="shared" si="81"/>
        <v>0</v>
      </c>
    </row>
    <row r="5215" spans="1:14" x14ac:dyDescent="0.35">
      <c r="A5215">
        <v>5214</v>
      </c>
      <c r="B5215" t="s">
        <v>12</v>
      </c>
      <c r="C5215">
        <v>19</v>
      </c>
      <c r="D5215" t="s">
        <v>17</v>
      </c>
      <c r="E5215" t="s">
        <v>22</v>
      </c>
      <c r="F5215">
        <v>232</v>
      </c>
      <c r="G5215">
        <v>21</v>
      </c>
      <c r="H5215">
        <v>0.16</v>
      </c>
      <c r="I5215" t="s">
        <v>19</v>
      </c>
      <c r="J5215">
        <v>0</v>
      </c>
      <c r="K5215">
        <v>1</v>
      </c>
      <c r="L5215">
        <v>1</v>
      </c>
      <c r="M5215">
        <f>VLOOKUP(Table1[[#This Row],[subscription_type]],Plans!$A$1:$B$5,2,FALSE)</f>
        <v>9.99</v>
      </c>
      <c r="N5215">
        <f t="shared" si="81"/>
        <v>9.99</v>
      </c>
    </row>
    <row r="5216" spans="1:14" x14ac:dyDescent="0.35">
      <c r="A5216">
        <v>5215</v>
      </c>
      <c r="B5216" t="s">
        <v>16</v>
      </c>
      <c r="C5216">
        <v>33</v>
      </c>
      <c r="D5216" t="s">
        <v>25</v>
      </c>
      <c r="E5216" t="s">
        <v>24</v>
      </c>
      <c r="F5216">
        <v>237</v>
      </c>
      <c r="G5216">
        <v>62</v>
      </c>
      <c r="H5216">
        <v>0.41</v>
      </c>
      <c r="I5216" t="s">
        <v>15</v>
      </c>
      <c r="J5216">
        <v>0</v>
      </c>
      <c r="K5216">
        <v>1</v>
      </c>
      <c r="L5216">
        <v>0</v>
      </c>
      <c r="M5216">
        <f>VLOOKUP(Table1[[#This Row],[subscription_type]],Plans!$A$1:$B$5,2,FALSE)</f>
        <v>4.99</v>
      </c>
      <c r="N5216">
        <f t="shared" si="81"/>
        <v>0</v>
      </c>
    </row>
    <row r="5217" spans="1:14" x14ac:dyDescent="0.35">
      <c r="A5217">
        <v>5216</v>
      </c>
      <c r="B5217" t="s">
        <v>16</v>
      </c>
      <c r="C5217">
        <v>21</v>
      </c>
      <c r="D5217" t="s">
        <v>13</v>
      </c>
      <c r="E5217" t="s">
        <v>14</v>
      </c>
      <c r="F5217">
        <v>207</v>
      </c>
      <c r="G5217">
        <v>62</v>
      </c>
      <c r="H5217">
        <v>0.2</v>
      </c>
      <c r="I5217" t="s">
        <v>23</v>
      </c>
      <c r="J5217">
        <v>33</v>
      </c>
      <c r="K5217">
        <v>0</v>
      </c>
      <c r="L5217">
        <v>0</v>
      </c>
      <c r="M5217">
        <f>VLOOKUP(Table1[[#This Row],[subscription_type]],Plans!$A$1:$B$5,2,FALSE)</f>
        <v>0</v>
      </c>
      <c r="N5217">
        <f t="shared" si="81"/>
        <v>0</v>
      </c>
    </row>
    <row r="5218" spans="1:14" x14ac:dyDescent="0.35">
      <c r="A5218">
        <v>5217</v>
      </c>
      <c r="B5218" t="s">
        <v>20</v>
      </c>
      <c r="C5218">
        <v>21</v>
      </c>
      <c r="D5218" t="s">
        <v>26</v>
      </c>
      <c r="E5218" t="s">
        <v>14</v>
      </c>
      <c r="F5218">
        <v>101</v>
      </c>
      <c r="G5218">
        <v>30</v>
      </c>
      <c r="H5218">
        <v>0.52</v>
      </c>
      <c r="I5218" t="s">
        <v>15</v>
      </c>
      <c r="J5218">
        <v>45</v>
      </c>
      <c r="K5218">
        <v>0</v>
      </c>
      <c r="L5218">
        <v>1</v>
      </c>
      <c r="M5218">
        <f>VLOOKUP(Table1[[#This Row],[subscription_type]],Plans!$A$1:$B$5,2,FALSE)</f>
        <v>0</v>
      </c>
      <c r="N5218">
        <f t="shared" si="81"/>
        <v>0</v>
      </c>
    </row>
    <row r="5219" spans="1:14" x14ac:dyDescent="0.35">
      <c r="A5219">
        <v>5218</v>
      </c>
      <c r="B5219" t="s">
        <v>16</v>
      </c>
      <c r="C5219">
        <v>57</v>
      </c>
      <c r="D5219" t="s">
        <v>29</v>
      </c>
      <c r="E5219" t="s">
        <v>24</v>
      </c>
      <c r="F5219">
        <v>291</v>
      </c>
      <c r="G5219">
        <v>51</v>
      </c>
      <c r="H5219">
        <v>0.42</v>
      </c>
      <c r="I5219" t="s">
        <v>19</v>
      </c>
      <c r="J5219">
        <v>0</v>
      </c>
      <c r="K5219">
        <v>1</v>
      </c>
      <c r="L5219">
        <v>0</v>
      </c>
      <c r="M5219">
        <f>VLOOKUP(Table1[[#This Row],[subscription_type]],Plans!$A$1:$B$5,2,FALSE)</f>
        <v>4.99</v>
      </c>
      <c r="N5219">
        <f t="shared" si="81"/>
        <v>0</v>
      </c>
    </row>
    <row r="5220" spans="1:14" x14ac:dyDescent="0.35">
      <c r="A5220">
        <v>5219</v>
      </c>
      <c r="B5220" t="s">
        <v>12</v>
      </c>
      <c r="C5220">
        <v>18</v>
      </c>
      <c r="D5220" t="s">
        <v>21</v>
      </c>
      <c r="E5220" t="s">
        <v>18</v>
      </c>
      <c r="F5220">
        <v>135</v>
      </c>
      <c r="G5220">
        <v>16</v>
      </c>
      <c r="H5220">
        <v>0.54</v>
      </c>
      <c r="I5220" t="s">
        <v>15</v>
      </c>
      <c r="J5220">
        <v>0</v>
      </c>
      <c r="K5220">
        <v>1</v>
      </c>
      <c r="L5220">
        <v>0</v>
      </c>
      <c r="M5220">
        <f>VLOOKUP(Table1[[#This Row],[subscription_type]],Plans!$A$1:$B$5,2,FALSE)</f>
        <v>14.99</v>
      </c>
      <c r="N5220">
        <f t="shared" si="81"/>
        <v>0</v>
      </c>
    </row>
    <row r="5221" spans="1:14" x14ac:dyDescent="0.35">
      <c r="A5221">
        <v>5220</v>
      </c>
      <c r="B5221" t="s">
        <v>20</v>
      </c>
      <c r="C5221">
        <v>56</v>
      </c>
      <c r="D5221" t="s">
        <v>26</v>
      </c>
      <c r="E5221" t="s">
        <v>18</v>
      </c>
      <c r="F5221">
        <v>238</v>
      </c>
      <c r="G5221">
        <v>75</v>
      </c>
      <c r="H5221">
        <v>0.33</v>
      </c>
      <c r="I5221" t="s">
        <v>19</v>
      </c>
      <c r="J5221">
        <v>0</v>
      </c>
      <c r="K5221">
        <v>1</v>
      </c>
      <c r="L5221">
        <v>0</v>
      </c>
      <c r="M5221">
        <f>VLOOKUP(Table1[[#This Row],[subscription_type]],Plans!$A$1:$B$5,2,FALSE)</f>
        <v>14.99</v>
      </c>
      <c r="N5221">
        <f t="shared" si="81"/>
        <v>0</v>
      </c>
    </row>
    <row r="5222" spans="1:14" x14ac:dyDescent="0.35">
      <c r="A5222">
        <v>5221</v>
      </c>
      <c r="B5222" t="s">
        <v>12</v>
      </c>
      <c r="C5222">
        <v>37</v>
      </c>
      <c r="D5222" t="s">
        <v>26</v>
      </c>
      <c r="E5222" t="s">
        <v>18</v>
      </c>
      <c r="F5222">
        <v>53</v>
      </c>
      <c r="G5222">
        <v>32</v>
      </c>
      <c r="H5222">
        <v>0.24</v>
      </c>
      <c r="I5222" t="s">
        <v>15</v>
      </c>
      <c r="J5222">
        <v>0</v>
      </c>
      <c r="K5222">
        <v>1</v>
      </c>
      <c r="L5222">
        <v>1</v>
      </c>
      <c r="M5222">
        <f>VLOOKUP(Table1[[#This Row],[subscription_type]],Plans!$A$1:$B$5,2,FALSE)</f>
        <v>14.99</v>
      </c>
      <c r="N5222">
        <f t="shared" si="81"/>
        <v>14.99</v>
      </c>
    </row>
    <row r="5223" spans="1:14" x14ac:dyDescent="0.35">
      <c r="A5223">
        <v>5222</v>
      </c>
      <c r="B5223" t="s">
        <v>12</v>
      </c>
      <c r="C5223">
        <v>31</v>
      </c>
      <c r="D5223" t="s">
        <v>29</v>
      </c>
      <c r="E5223" t="s">
        <v>22</v>
      </c>
      <c r="F5223">
        <v>105</v>
      </c>
      <c r="G5223">
        <v>67</v>
      </c>
      <c r="H5223">
        <v>0.19</v>
      </c>
      <c r="I5223" t="s">
        <v>19</v>
      </c>
      <c r="J5223">
        <v>0</v>
      </c>
      <c r="K5223">
        <v>1</v>
      </c>
      <c r="L5223">
        <v>0</v>
      </c>
      <c r="M5223">
        <f>VLOOKUP(Table1[[#This Row],[subscription_type]],Plans!$A$1:$B$5,2,FALSE)</f>
        <v>9.99</v>
      </c>
      <c r="N5223">
        <f t="shared" si="81"/>
        <v>0</v>
      </c>
    </row>
    <row r="5224" spans="1:14" x14ac:dyDescent="0.35">
      <c r="A5224">
        <v>5223</v>
      </c>
      <c r="B5224" t="s">
        <v>20</v>
      </c>
      <c r="C5224">
        <v>26</v>
      </c>
      <c r="D5224" t="s">
        <v>13</v>
      </c>
      <c r="E5224" t="s">
        <v>18</v>
      </c>
      <c r="F5224">
        <v>211</v>
      </c>
      <c r="G5224">
        <v>48</v>
      </c>
      <c r="H5224">
        <v>0.17</v>
      </c>
      <c r="I5224" t="s">
        <v>15</v>
      </c>
      <c r="J5224">
        <v>0</v>
      </c>
      <c r="K5224">
        <v>1</v>
      </c>
      <c r="L5224">
        <v>0</v>
      </c>
      <c r="M5224">
        <f>VLOOKUP(Table1[[#This Row],[subscription_type]],Plans!$A$1:$B$5,2,FALSE)</f>
        <v>14.99</v>
      </c>
      <c r="N5224">
        <f t="shared" si="81"/>
        <v>0</v>
      </c>
    </row>
    <row r="5225" spans="1:14" x14ac:dyDescent="0.35">
      <c r="A5225">
        <v>5224</v>
      </c>
      <c r="B5225" t="s">
        <v>12</v>
      </c>
      <c r="C5225">
        <v>48</v>
      </c>
      <c r="D5225" t="s">
        <v>25</v>
      </c>
      <c r="E5225" t="s">
        <v>18</v>
      </c>
      <c r="F5225">
        <v>137</v>
      </c>
      <c r="G5225">
        <v>8</v>
      </c>
      <c r="H5225">
        <v>0.15</v>
      </c>
      <c r="I5225" t="s">
        <v>23</v>
      </c>
      <c r="J5225">
        <v>0</v>
      </c>
      <c r="K5225">
        <v>1</v>
      </c>
      <c r="L5225">
        <v>0</v>
      </c>
      <c r="M5225">
        <f>VLOOKUP(Table1[[#This Row],[subscription_type]],Plans!$A$1:$B$5,2,FALSE)</f>
        <v>14.99</v>
      </c>
      <c r="N5225">
        <f t="shared" si="81"/>
        <v>0</v>
      </c>
    </row>
    <row r="5226" spans="1:14" x14ac:dyDescent="0.35">
      <c r="A5226">
        <v>5225</v>
      </c>
      <c r="B5226" t="s">
        <v>16</v>
      </c>
      <c r="C5226">
        <v>34</v>
      </c>
      <c r="D5226" t="s">
        <v>21</v>
      </c>
      <c r="E5226" t="s">
        <v>22</v>
      </c>
      <c r="F5226">
        <v>16</v>
      </c>
      <c r="G5226">
        <v>47</v>
      </c>
      <c r="H5226">
        <v>0.28000000000000003</v>
      </c>
      <c r="I5226" t="s">
        <v>19</v>
      </c>
      <c r="J5226">
        <v>0</v>
      </c>
      <c r="K5226">
        <v>1</v>
      </c>
      <c r="L5226">
        <v>1</v>
      </c>
      <c r="M5226">
        <f>VLOOKUP(Table1[[#This Row],[subscription_type]],Plans!$A$1:$B$5,2,FALSE)</f>
        <v>9.99</v>
      </c>
      <c r="N5226">
        <f t="shared" si="81"/>
        <v>9.99</v>
      </c>
    </row>
    <row r="5227" spans="1:14" x14ac:dyDescent="0.35">
      <c r="A5227">
        <v>5226</v>
      </c>
      <c r="B5227" t="s">
        <v>20</v>
      </c>
      <c r="C5227">
        <v>57</v>
      </c>
      <c r="D5227" t="s">
        <v>25</v>
      </c>
      <c r="E5227" t="s">
        <v>14</v>
      </c>
      <c r="F5227">
        <v>120</v>
      </c>
      <c r="G5227">
        <v>14</v>
      </c>
      <c r="H5227">
        <v>0.03</v>
      </c>
      <c r="I5227" t="s">
        <v>15</v>
      </c>
      <c r="J5227">
        <v>44</v>
      </c>
      <c r="K5227">
        <v>0</v>
      </c>
      <c r="L5227">
        <v>0</v>
      </c>
      <c r="M5227">
        <f>VLOOKUP(Table1[[#This Row],[subscription_type]],Plans!$A$1:$B$5,2,FALSE)</f>
        <v>0</v>
      </c>
      <c r="N5227">
        <f t="shared" si="81"/>
        <v>0</v>
      </c>
    </row>
    <row r="5228" spans="1:14" x14ac:dyDescent="0.35">
      <c r="A5228">
        <v>5227</v>
      </c>
      <c r="B5228" t="s">
        <v>12</v>
      </c>
      <c r="C5228">
        <v>16</v>
      </c>
      <c r="D5228" t="s">
        <v>26</v>
      </c>
      <c r="E5228" t="s">
        <v>24</v>
      </c>
      <c r="F5228">
        <v>260</v>
      </c>
      <c r="G5228">
        <v>56</v>
      </c>
      <c r="H5228">
        <v>0.4</v>
      </c>
      <c r="I5228" t="s">
        <v>15</v>
      </c>
      <c r="J5228">
        <v>0</v>
      </c>
      <c r="K5228">
        <v>1</v>
      </c>
      <c r="L5228">
        <v>1</v>
      </c>
      <c r="M5228">
        <f>VLOOKUP(Table1[[#This Row],[subscription_type]],Plans!$A$1:$B$5,2,FALSE)</f>
        <v>4.99</v>
      </c>
      <c r="N5228">
        <f t="shared" si="81"/>
        <v>4.99</v>
      </c>
    </row>
    <row r="5229" spans="1:14" x14ac:dyDescent="0.35">
      <c r="A5229">
        <v>5228</v>
      </c>
      <c r="B5229" t="s">
        <v>16</v>
      </c>
      <c r="C5229">
        <v>25</v>
      </c>
      <c r="D5229" t="s">
        <v>29</v>
      </c>
      <c r="E5229" t="s">
        <v>18</v>
      </c>
      <c r="F5229">
        <v>100</v>
      </c>
      <c r="G5229">
        <v>41</v>
      </c>
      <c r="H5229">
        <v>0.25</v>
      </c>
      <c r="I5229" t="s">
        <v>23</v>
      </c>
      <c r="J5229">
        <v>0</v>
      </c>
      <c r="K5229">
        <v>1</v>
      </c>
      <c r="L5229">
        <v>0</v>
      </c>
      <c r="M5229">
        <f>VLOOKUP(Table1[[#This Row],[subscription_type]],Plans!$A$1:$B$5,2,FALSE)</f>
        <v>14.99</v>
      </c>
      <c r="N5229">
        <f t="shared" si="81"/>
        <v>0</v>
      </c>
    </row>
    <row r="5230" spans="1:14" x14ac:dyDescent="0.35">
      <c r="A5230">
        <v>5229</v>
      </c>
      <c r="B5230" t="s">
        <v>12</v>
      </c>
      <c r="C5230">
        <v>23</v>
      </c>
      <c r="D5230" t="s">
        <v>13</v>
      </c>
      <c r="E5230" t="s">
        <v>22</v>
      </c>
      <c r="F5230">
        <v>249</v>
      </c>
      <c r="G5230">
        <v>69</v>
      </c>
      <c r="H5230">
        <v>0.16</v>
      </c>
      <c r="I5230" t="s">
        <v>15</v>
      </c>
      <c r="J5230">
        <v>0</v>
      </c>
      <c r="K5230">
        <v>1</v>
      </c>
      <c r="L5230">
        <v>0</v>
      </c>
      <c r="M5230">
        <f>VLOOKUP(Table1[[#This Row],[subscription_type]],Plans!$A$1:$B$5,2,FALSE)</f>
        <v>9.99</v>
      </c>
      <c r="N5230">
        <f t="shared" si="81"/>
        <v>0</v>
      </c>
    </row>
    <row r="5231" spans="1:14" x14ac:dyDescent="0.35">
      <c r="A5231">
        <v>5230</v>
      </c>
      <c r="B5231" t="s">
        <v>16</v>
      </c>
      <c r="C5231">
        <v>20</v>
      </c>
      <c r="D5231" t="s">
        <v>26</v>
      </c>
      <c r="E5231" t="s">
        <v>18</v>
      </c>
      <c r="F5231">
        <v>111</v>
      </c>
      <c r="G5231">
        <v>13</v>
      </c>
      <c r="H5231">
        <v>0.5</v>
      </c>
      <c r="I5231" t="s">
        <v>23</v>
      </c>
      <c r="J5231">
        <v>0</v>
      </c>
      <c r="K5231">
        <v>1</v>
      </c>
      <c r="L5231">
        <v>0</v>
      </c>
      <c r="M5231">
        <f>VLOOKUP(Table1[[#This Row],[subscription_type]],Plans!$A$1:$B$5,2,FALSE)</f>
        <v>14.99</v>
      </c>
      <c r="N5231">
        <f t="shared" si="81"/>
        <v>0</v>
      </c>
    </row>
    <row r="5232" spans="1:14" x14ac:dyDescent="0.35">
      <c r="A5232">
        <v>5231</v>
      </c>
      <c r="B5232" t="s">
        <v>20</v>
      </c>
      <c r="C5232">
        <v>27</v>
      </c>
      <c r="D5232" t="s">
        <v>13</v>
      </c>
      <c r="E5232" t="s">
        <v>24</v>
      </c>
      <c r="F5232">
        <v>196</v>
      </c>
      <c r="G5232">
        <v>25</v>
      </c>
      <c r="H5232">
        <v>0.57999999999999996</v>
      </c>
      <c r="I5232" t="s">
        <v>19</v>
      </c>
      <c r="J5232">
        <v>0</v>
      </c>
      <c r="K5232">
        <v>1</v>
      </c>
      <c r="L5232">
        <v>0</v>
      </c>
      <c r="M5232">
        <f>VLOOKUP(Table1[[#This Row],[subscription_type]],Plans!$A$1:$B$5,2,FALSE)</f>
        <v>4.99</v>
      </c>
      <c r="N5232">
        <f t="shared" si="81"/>
        <v>0</v>
      </c>
    </row>
    <row r="5233" spans="1:14" x14ac:dyDescent="0.35">
      <c r="A5233">
        <v>5232</v>
      </c>
      <c r="B5233" t="s">
        <v>12</v>
      </c>
      <c r="C5233">
        <v>28</v>
      </c>
      <c r="D5233" t="s">
        <v>27</v>
      </c>
      <c r="E5233" t="s">
        <v>22</v>
      </c>
      <c r="F5233">
        <v>164</v>
      </c>
      <c r="G5233">
        <v>79</v>
      </c>
      <c r="H5233">
        <v>0.42</v>
      </c>
      <c r="I5233" t="s">
        <v>15</v>
      </c>
      <c r="J5233">
        <v>0</v>
      </c>
      <c r="K5233">
        <v>1</v>
      </c>
      <c r="L5233">
        <v>0</v>
      </c>
      <c r="M5233">
        <f>VLOOKUP(Table1[[#This Row],[subscription_type]],Plans!$A$1:$B$5,2,FALSE)</f>
        <v>9.99</v>
      </c>
      <c r="N5233">
        <f t="shared" si="81"/>
        <v>0</v>
      </c>
    </row>
    <row r="5234" spans="1:14" x14ac:dyDescent="0.35">
      <c r="A5234">
        <v>5233</v>
      </c>
      <c r="B5234" t="s">
        <v>12</v>
      </c>
      <c r="C5234">
        <v>22</v>
      </c>
      <c r="D5234" t="s">
        <v>28</v>
      </c>
      <c r="E5234" t="s">
        <v>24</v>
      </c>
      <c r="F5234">
        <v>230</v>
      </c>
      <c r="G5234">
        <v>57</v>
      </c>
      <c r="H5234">
        <v>0.12</v>
      </c>
      <c r="I5234" t="s">
        <v>23</v>
      </c>
      <c r="J5234">
        <v>0</v>
      </c>
      <c r="K5234">
        <v>1</v>
      </c>
      <c r="L5234">
        <v>0</v>
      </c>
      <c r="M5234">
        <f>VLOOKUP(Table1[[#This Row],[subscription_type]],Plans!$A$1:$B$5,2,FALSE)</f>
        <v>4.99</v>
      </c>
      <c r="N5234">
        <f t="shared" si="81"/>
        <v>0</v>
      </c>
    </row>
    <row r="5235" spans="1:14" x14ac:dyDescent="0.35">
      <c r="A5235">
        <v>5234</v>
      </c>
      <c r="B5235" t="s">
        <v>20</v>
      </c>
      <c r="C5235">
        <v>49</v>
      </c>
      <c r="D5235" t="s">
        <v>25</v>
      </c>
      <c r="E5235" t="s">
        <v>14</v>
      </c>
      <c r="F5235">
        <v>128</v>
      </c>
      <c r="G5235">
        <v>4</v>
      </c>
      <c r="H5235">
        <v>0.49</v>
      </c>
      <c r="I5235" t="s">
        <v>23</v>
      </c>
      <c r="J5235">
        <v>10</v>
      </c>
      <c r="K5235">
        <v>0</v>
      </c>
      <c r="L5235">
        <v>0</v>
      </c>
      <c r="M5235">
        <f>VLOOKUP(Table1[[#This Row],[subscription_type]],Plans!$A$1:$B$5,2,FALSE)</f>
        <v>0</v>
      </c>
      <c r="N5235">
        <f t="shared" si="81"/>
        <v>0</v>
      </c>
    </row>
    <row r="5236" spans="1:14" x14ac:dyDescent="0.35">
      <c r="A5236">
        <v>5235</v>
      </c>
      <c r="B5236" t="s">
        <v>16</v>
      </c>
      <c r="C5236">
        <v>50</v>
      </c>
      <c r="D5236" t="s">
        <v>28</v>
      </c>
      <c r="E5236" t="s">
        <v>24</v>
      </c>
      <c r="F5236">
        <v>59</v>
      </c>
      <c r="G5236">
        <v>55</v>
      </c>
      <c r="H5236">
        <v>0.26</v>
      </c>
      <c r="I5236" t="s">
        <v>23</v>
      </c>
      <c r="J5236">
        <v>0</v>
      </c>
      <c r="K5236">
        <v>1</v>
      </c>
      <c r="L5236">
        <v>0</v>
      </c>
      <c r="M5236">
        <f>VLOOKUP(Table1[[#This Row],[subscription_type]],Plans!$A$1:$B$5,2,FALSE)</f>
        <v>4.99</v>
      </c>
      <c r="N5236">
        <f t="shared" si="81"/>
        <v>0</v>
      </c>
    </row>
    <row r="5237" spans="1:14" x14ac:dyDescent="0.35">
      <c r="A5237">
        <v>5236</v>
      </c>
      <c r="B5237" t="s">
        <v>16</v>
      </c>
      <c r="C5237">
        <v>59</v>
      </c>
      <c r="D5237" t="s">
        <v>27</v>
      </c>
      <c r="E5237" t="s">
        <v>18</v>
      </c>
      <c r="F5237">
        <v>87</v>
      </c>
      <c r="G5237">
        <v>99</v>
      </c>
      <c r="H5237">
        <v>0.31</v>
      </c>
      <c r="I5237" t="s">
        <v>23</v>
      </c>
      <c r="J5237">
        <v>0</v>
      </c>
      <c r="K5237">
        <v>1</v>
      </c>
      <c r="L5237">
        <v>0</v>
      </c>
      <c r="M5237">
        <f>VLOOKUP(Table1[[#This Row],[subscription_type]],Plans!$A$1:$B$5,2,FALSE)</f>
        <v>14.99</v>
      </c>
      <c r="N5237">
        <f t="shared" si="81"/>
        <v>0</v>
      </c>
    </row>
    <row r="5238" spans="1:14" x14ac:dyDescent="0.35">
      <c r="A5238">
        <v>5237</v>
      </c>
      <c r="B5238" t="s">
        <v>20</v>
      </c>
      <c r="C5238">
        <v>46</v>
      </c>
      <c r="D5238" t="s">
        <v>25</v>
      </c>
      <c r="E5238" t="s">
        <v>24</v>
      </c>
      <c r="F5238">
        <v>229</v>
      </c>
      <c r="G5238">
        <v>33</v>
      </c>
      <c r="H5238">
        <v>0.13</v>
      </c>
      <c r="I5238" t="s">
        <v>23</v>
      </c>
      <c r="J5238">
        <v>0</v>
      </c>
      <c r="K5238">
        <v>1</v>
      </c>
      <c r="L5238">
        <v>0</v>
      </c>
      <c r="M5238">
        <f>VLOOKUP(Table1[[#This Row],[subscription_type]],Plans!$A$1:$B$5,2,FALSE)</f>
        <v>4.99</v>
      </c>
      <c r="N5238">
        <f t="shared" si="81"/>
        <v>0</v>
      </c>
    </row>
    <row r="5239" spans="1:14" x14ac:dyDescent="0.35">
      <c r="A5239">
        <v>5238</v>
      </c>
      <c r="B5239" t="s">
        <v>16</v>
      </c>
      <c r="C5239">
        <v>46</v>
      </c>
      <c r="D5239" t="s">
        <v>21</v>
      </c>
      <c r="E5239" t="s">
        <v>18</v>
      </c>
      <c r="F5239">
        <v>220</v>
      </c>
      <c r="G5239">
        <v>63</v>
      </c>
      <c r="H5239">
        <v>0.1</v>
      </c>
      <c r="I5239" t="s">
        <v>19</v>
      </c>
      <c r="J5239">
        <v>0</v>
      </c>
      <c r="K5239">
        <v>1</v>
      </c>
      <c r="L5239">
        <v>0</v>
      </c>
      <c r="M5239">
        <f>VLOOKUP(Table1[[#This Row],[subscription_type]],Plans!$A$1:$B$5,2,FALSE)</f>
        <v>14.99</v>
      </c>
      <c r="N5239">
        <f t="shared" si="81"/>
        <v>0</v>
      </c>
    </row>
    <row r="5240" spans="1:14" x14ac:dyDescent="0.35">
      <c r="A5240">
        <v>5239</v>
      </c>
      <c r="B5240" t="s">
        <v>20</v>
      </c>
      <c r="C5240">
        <v>59</v>
      </c>
      <c r="D5240" t="s">
        <v>13</v>
      </c>
      <c r="E5240" t="s">
        <v>24</v>
      </c>
      <c r="F5240">
        <v>208</v>
      </c>
      <c r="G5240">
        <v>84</v>
      </c>
      <c r="H5240">
        <v>0.15</v>
      </c>
      <c r="I5240" t="s">
        <v>19</v>
      </c>
      <c r="J5240">
        <v>0</v>
      </c>
      <c r="K5240">
        <v>1</v>
      </c>
      <c r="L5240">
        <v>0</v>
      </c>
      <c r="M5240">
        <f>VLOOKUP(Table1[[#This Row],[subscription_type]],Plans!$A$1:$B$5,2,FALSE)</f>
        <v>4.99</v>
      </c>
      <c r="N5240">
        <f t="shared" si="81"/>
        <v>0</v>
      </c>
    </row>
    <row r="5241" spans="1:14" x14ac:dyDescent="0.35">
      <c r="A5241">
        <v>5240</v>
      </c>
      <c r="B5241" t="s">
        <v>20</v>
      </c>
      <c r="C5241">
        <v>46</v>
      </c>
      <c r="D5241" t="s">
        <v>25</v>
      </c>
      <c r="E5241" t="s">
        <v>24</v>
      </c>
      <c r="F5241">
        <v>108</v>
      </c>
      <c r="G5241">
        <v>14</v>
      </c>
      <c r="H5241">
        <v>0.38</v>
      </c>
      <c r="I5241" t="s">
        <v>23</v>
      </c>
      <c r="J5241">
        <v>0</v>
      </c>
      <c r="K5241">
        <v>1</v>
      </c>
      <c r="L5241">
        <v>0</v>
      </c>
      <c r="M5241">
        <f>VLOOKUP(Table1[[#This Row],[subscription_type]],Plans!$A$1:$B$5,2,FALSE)</f>
        <v>4.99</v>
      </c>
      <c r="N5241">
        <f t="shared" si="81"/>
        <v>0</v>
      </c>
    </row>
    <row r="5242" spans="1:14" x14ac:dyDescent="0.35">
      <c r="A5242">
        <v>5241</v>
      </c>
      <c r="B5242" t="s">
        <v>20</v>
      </c>
      <c r="C5242">
        <v>25</v>
      </c>
      <c r="D5242" t="s">
        <v>13</v>
      </c>
      <c r="E5242" t="s">
        <v>14</v>
      </c>
      <c r="F5242">
        <v>13</v>
      </c>
      <c r="G5242">
        <v>86</v>
      </c>
      <c r="H5242">
        <v>0.47</v>
      </c>
      <c r="I5242" t="s">
        <v>23</v>
      </c>
      <c r="J5242">
        <v>34</v>
      </c>
      <c r="K5242">
        <v>0</v>
      </c>
      <c r="L5242">
        <v>0</v>
      </c>
      <c r="M5242">
        <f>VLOOKUP(Table1[[#This Row],[subscription_type]],Plans!$A$1:$B$5,2,FALSE)</f>
        <v>0</v>
      </c>
      <c r="N5242">
        <f t="shared" si="81"/>
        <v>0</v>
      </c>
    </row>
    <row r="5243" spans="1:14" x14ac:dyDescent="0.35">
      <c r="A5243">
        <v>5242</v>
      </c>
      <c r="B5243" t="s">
        <v>12</v>
      </c>
      <c r="C5243">
        <v>58</v>
      </c>
      <c r="D5243" t="s">
        <v>29</v>
      </c>
      <c r="E5243" t="s">
        <v>14</v>
      </c>
      <c r="F5243">
        <v>118</v>
      </c>
      <c r="G5243">
        <v>52</v>
      </c>
      <c r="H5243">
        <v>0.3</v>
      </c>
      <c r="I5243" t="s">
        <v>19</v>
      </c>
      <c r="J5243">
        <v>26</v>
      </c>
      <c r="K5243">
        <v>0</v>
      </c>
      <c r="L5243">
        <v>0</v>
      </c>
      <c r="M5243">
        <f>VLOOKUP(Table1[[#This Row],[subscription_type]],Plans!$A$1:$B$5,2,FALSE)</f>
        <v>0</v>
      </c>
      <c r="N5243">
        <f t="shared" si="81"/>
        <v>0</v>
      </c>
    </row>
    <row r="5244" spans="1:14" x14ac:dyDescent="0.35">
      <c r="A5244">
        <v>5243</v>
      </c>
      <c r="B5244" t="s">
        <v>20</v>
      </c>
      <c r="C5244">
        <v>29</v>
      </c>
      <c r="D5244" t="s">
        <v>25</v>
      </c>
      <c r="E5244" t="s">
        <v>24</v>
      </c>
      <c r="F5244">
        <v>169</v>
      </c>
      <c r="G5244">
        <v>71</v>
      </c>
      <c r="H5244">
        <v>0.57999999999999996</v>
      </c>
      <c r="I5244" t="s">
        <v>23</v>
      </c>
      <c r="J5244">
        <v>0</v>
      </c>
      <c r="K5244">
        <v>1</v>
      </c>
      <c r="L5244">
        <v>0</v>
      </c>
      <c r="M5244">
        <f>VLOOKUP(Table1[[#This Row],[subscription_type]],Plans!$A$1:$B$5,2,FALSE)</f>
        <v>4.99</v>
      </c>
      <c r="N5244">
        <f t="shared" si="81"/>
        <v>0</v>
      </c>
    </row>
    <row r="5245" spans="1:14" x14ac:dyDescent="0.35">
      <c r="A5245">
        <v>5244</v>
      </c>
      <c r="B5245" t="s">
        <v>20</v>
      </c>
      <c r="C5245">
        <v>32</v>
      </c>
      <c r="D5245" t="s">
        <v>28</v>
      </c>
      <c r="E5245" t="s">
        <v>18</v>
      </c>
      <c r="F5245">
        <v>267</v>
      </c>
      <c r="G5245">
        <v>66</v>
      </c>
      <c r="H5245">
        <v>0.28999999999999998</v>
      </c>
      <c r="I5245" t="s">
        <v>15</v>
      </c>
      <c r="J5245">
        <v>0</v>
      </c>
      <c r="K5245">
        <v>1</v>
      </c>
      <c r="L5245">
        <v>1</v>
      </c>
      <c r="M5245">
        <f>VLOOKUP(Table1[[#This Row],[subscription_type]],Plans!$A$1:$B$5,2,FALSE)</f>
        <v>14.99</v>
      </c>
      <c r="N5245">
        <f t="shared" si="81"/>
        <v>14.99</v>
      </c>
    </row>
    <row r="5246" spans="1:14" x14ac:dyDescent="0.35">
      <c r="A5246">
        <v>5245</v>
      </c>
      <c r="B5246" t="s">
        <v>12</v>
      </c>
      <c r="C5246">
        <v>46</v>
      </c>
      <c r="D5246" t="s">
        <v>29</v>
      </c>
      <c r="E5246" t="s">
        <v>14</v>
      </c>
      <c r="F5246">
        <v>28</v>
      </c>
      <c r="G5246">
        <v>19</v>
      </c>
      <c r="H5246">
        <v>0.25</v>
      </c>
      <c r="I5246" t="s">
        <v>15</v>
      </c>
      <c r="J5246">
        <v>19</v>
      </c>
      <c r="K5246">
        <v>0</v>
      </c>
      <c r="L5246">
        <v>1</v>
      </c>
      <c r="M5246">
        <f>VLOOKUP(Table1[[#This Row],[subscription_type]],Plans!$A$1:$B$5,2,FALSE)</f>
        <v>0</v>
      </c>
      <c r="N5246">
        <f t="shared" si="81"/>
        <v>0</v>
      </c>
    </row>
    <row r="5247" spans="1:14" x14ac:dyDescent="0.35">
      <c r="A5247">
        <v>5246</v>
      </c>
      <c r="B5247" t="s">
        <v>12</v>
      </c>
      <c r="C5247">
        <v>30</v>
      </c>
      <c r="D5247" t="s">
        <v>28</v>
      </c>
      <c r="E5247" t="s">
        <v>22</v>
      </c>
      <c r="F5247">
        <v>244</v>
      </c>
      <c r="G5247">
        <v>64</v>
      </c>
      <c r="H5247">
        <v>0.21</v>
      </c>
      <c r="I5247" t="s">
        <v>15</v>
      </c>
      <c r="J5247">
        <v>0</v>
      </c>
      <c r="K5247">
        <v>1</v>
      </c>
      <c r="L5247">
        <v>0</v>
      </c>
      <c r="M5247">
        <f>VLOOKUP(Table1[[#This Row],[subscription_type]],Plans!$A$1:$B$5,2,FALSE)</f>
        <v>9.99</v>
      </c>
      <c r="N5247">
        <f t="shared" si="81"/>
        <v>0</v>
      </c>
    </row>
    <row r="5248" spans="1:14" x14ac:dyDescent="0.35">
      <c r="A5248">
        <v>5247</v>
      </c>
      <c r="B5248" t="s">
        <v>20</v>
      </c>
      <c r="C5248">
        <v>21</v>
      </c>
      <c r="D5248" t="s">
        <v>13</v>
      </c>
      <c r="E5248" t="s">
        <v>22</v>
      </c>
      <c r="F5248">
        <v>284</v>
      </c>
      <c r="G5248">
        <v>91</v>
      </c>
      <c r="H5248">
        <v>0.53</v>
      </c>
      <c r="I5248" t="s">
        <v>15</v>
      </c>
      <c r="J5248">
        <v>0</v>
      </c>
      <c r="K5248">
        <v>1</v>
      </c>
      <c r="L5248">
        <v>0</v>
      </c>
      <c r="M5248">
        <f>VLOOKUP(Table1[[#This Row],[subscription_type]],Plans!$A$1:$B$5,2,FALSE)</f>
        <v>9.99</v>
      </c>
      <c r="N5248">
        <f t="shared" si="81"/>
        <v>0</v>
      </c>
    </row>
    <row r="5249" spans="1:14" x14ac:dyDescent="0.35">
      <c r="A5249">
        <v>5248</v>
      </c>
      <c r="B5249" t="s">
        <v>12</v>
      </c>
      <c r="C5249">
        <v>18</v>
      </c>
      <c r="D5249" t="s">
        <v>21</v>
      </c>
      <c r="E5249" t="s">
        <v>14</v>
      </c>
      <c r="F5249">
        <v>226</v>
      </c>
      <c r="G5249">
        <v>64</v>
      </c>
      <c r="H5249">
        <v>0.46</v>
      </c>
      <c r="I5249" t="s">
        <v>23</v>
      </c>
      <c r="J5249">
        <v>28</v>
      </c>
      <c r="K5249">
        <v>0</v>
      </c>
      <c r="L5249">
        <v>0</v>
      </c>
      <c r="M5249">
        <f>VLOOKUP(Table1[[#This Row],[subscription_type]],Plans!$A$1:$B$5,2,FALSE)</f>
        <v>0</v>
      </c>
      <c r="N5249">
        <f t="shared" si="81"/>
        <v>0</v>
      </c>
    </row>
    <row r="5250" spans="1:14" x14ac:dyDescent="0.35">
      <c r="A5250">
        <v>5249</v>
      </c>
      <c r="B5250" t="s">
        <v>12</v>
      </c>
      <c r="C5250">
        <v>28</v>
      </c>
      <c r="D5250" t="s">
        <v>28</v>
      </c>
      <c r="E5250" t="s">
        <v>24</v>
      </c>
      <c r="F5250">
        <v>243</v>
      </c>
      <c r="G5250">
        <v>8</v>
      </c>
      <c r="H5250">
        <v>0.15</v>
      </c>
      <c r="I5250" t="s">
        <v>15</v>
      </c>
      <c r="J5250">
        <v>0</v>
      </c>
      <c r="K5250">
        <v>1</v>
      </c>
      <c r="L5250">
        <v>0</v>
      </c>
      <c r="M5250">
        <f>VLOOKUP(Table1[[#This Row],[subscription_type]],Plans!$A$1:$B$5,2,FALSE)</f>
        <v>4.99</v>
      </c>
      <c r="N5250">
        <f t="shared" ref="N5250:N5313" si="82">IF(L5250=1, M5250,0)</f>
        <v>0</v>
      </c>
    </row>
    <row r="5251" spans="1:14" x14ac:dyDescent="0.35">
      <c r="A5251">
        <v>5250</v>
      </c>
      <c r="B5251" t="s">
        <v>20</v>
      </c>
      <c r="C5251">
        <v>31</v>
      </c>
      <c r="D5251" t="s">
        <v>25</v>
      </c>
      <c r="E5251" t="s">
        <v>24</v>
      </c>
      <c r="F5251">
        <v>253</v>
      </c>
      <c r="G5251">
        <v>83</v>
      </c>
      <c r="H5251">
        <v>0.09</v>
      </c>
      <c r="I5251" t="s">
        <v>23</v>
      </c>
      <c r="J5251">
        <v>0</v>
      </c>
      <c r="K5251">
        <v>1</v>
      </c>
      <c r="L5251">
        <v>0</v>
      </c>
      <c r="M5251">
        <f>VLOOKUP(Table1[[#This Row],[subscription_type]],Plans!$A$1:$B$5,2,FALSE)</f>
        <v>4.99</v>
      </c>
      <c r="N5251">
        <f t="shared" si="82"/>
        <v>0</v>
      </c>
    </row>
    <row r="5252" spans="1:14" x14ac:dyDescent="0.35">
      <c r="A5252">
        <v>5251</v>
      </c>
      <c r="B5252" t="s">
        <v>16</v>
      </c>
      <c r="C5252">
        <v>55</v>
      </c>
      <c r="D5252" t="s">
        <v>13</v>
      </c>
      <c r="E5252" t="s">
        <v>24</v>
      </c>
      <c r="F5252">
        <v>265</v>
      </c>
      <c r="G5252">
        <v>85</v>
      </c>
      <c r="H5252">
        <v>7.0000000000000007E-2</v>
      </c>
      <c r="I5252" t="s">
        <v>15</v>
      </c>
      <c r="J5252">
        <v>0</v>
      </c>
      <c r="K5252">
        <v>1</v>
      </c>
      <c r="L5252">
        <v>0</v>
      </c>
      <c r="M5252">
        <f>VLOOKUP(Table1[[#This Row],[subscription_type]],Plans!$A$1:$B$5,2,FALSE)</f>
        <v>4.99</v>
      </c>
      <c r="N5252">
        <f t="shared" si="82"/>
        <v>0</v>
      </c>
    </row>
    <row r="5253" spans="1:14" x14ac:dyDescent="0.35">
      <c r="A5253">
        <v>5252</v>
      </c>
      <c r="B5253" t="s">
        <v>20</v>
      </c>
      <c r="C5253">
        <v>16</v>
      </c>
      <c r="D5253" t="s">
        <v>29</v>
      </c>
      <c r="E5253" t="s">
        <v>24</v>
      </c>
      <c r="F5253">
        <v>165</v>
      </c>
      <c r="G5253">
        <v>96</v>
      </c>
      <c r="H5253">
        <v>0.28999999999999998</v>
      </c>
      <c r="I5253" t="s">
        <v>19</v>
      </c>
      <c r="J5253">
        <v>0</v>
      </c>
      <c r="K5253">
        <v>1</v>
      </c>
      <c r="L5253">
        <v>0</v>
      </c>
      <c r="M5253">
        <f>VLOOKUP(Table1[[#This Row],[subscription_type]],Plans!$A$1:$B$5,2,FALSE)</f>
        <v>4.99</v>
      </c>
      <c r="N5253">
        <f t="shared" si="82"/>
        <v>0</v>
      </c>
    </row>
    <row r="5254" spans="1:14" x14ac:dyDescent="0.35">
      <c r="A5254">
        <v>5253</v>
      </c>
      <c r="B5254" t="s">
        <v>12</v>
      </c>
      <c r="C5254">
        <v>36</v>
      </c>
      <c r="D5254" t="s">
        <v>29</v>
      </c>
      <c r="E5254" t="s">
        <v>24</v>
      </c>
      <c r="F5254">
        <v>205</v>
      </c>
      <c r="G5254">
        <v>21</v>
      </c>
      <c r="H5254">
        <v>0.36</v>
      </c>
      <c r="I5254" t="s">
        <v>23</v>
      </c>
      <c r="J5254">
        <v>0</v>
      </c>
      <c r="K5254">
        <v>1</v>
      </c>
      <c r="L5254">
        <v>0</v>
      </c>
      <c r="M5254">
        <f>VLOOKUP(Table1[[#This Row],[subscription_type]],Plans!$A$1:$B$5,2,FALSE)</f>
        <v>4.99</v>
      </c>
      <c r="N5254">
        <f t="shared" si="82"/>
        <v>0</v>
      </c>
    </row>
    <row r="5255" spans="1:14" x14ac:dyDescent="0.35">
      <c r="A5255">
        <v>5254</v>
      </c>
      <c r="B5255" t="s">
        <v>16</v>
      </c>
      <c r="C5255">
        <v>55</v>
      </c>
      <c r="D5255" t="s">
        <v>13</v>
      </c>
      <c r="E5255" t="s">
        <v>14</v>
      </c>
      <c r="F5255">
        <v>97</v>
      </c>
      <c r="G5255">
        <v>5</v>
      </c>
      <c r="H5255">
        <v>0.28000000000000003</v>
      </c>
      <c r="I5255" t="s">
        <v>23</v>
      </c>
      <c r="J5255">
        <v>8</v>
      </c>
      <c r="K5255">
        <v>0</v>
      </c>
      <c r="L5255">
        <v>0</v>
      </c>
      <c r="M5255">
        <f>VLOOKUP(Table1[[#This Row],[subscription_type]],Plans!$A$1:$B$5,2,FALSE)</f>
        <v>0</v>
      </c>
      <c r="N5255">
        <f t="shared" si="82"/>
        <v>0</v>
      </c>
    </row>
    <row r="5256" spans="1:14" x14ac:dyDescent="0.35">
      <c r="A5256">
        <v>5255</v>
      </c>
      <c r="B5256" t="s">
        <v>12</v>
      </c>
      <c r="C5256">
        <v>35</v>
      </c>
      <c r="D5256" t="s">
        <v>27</v>
      </c>
      <c r="E5256" t="s">
        <v>22</v>
      </c>
      <c r="F5256">
        <v>25</v>
      </c>
      <c r="G5256">
        <v>85</v>
      </c>
      <c r="H5256">
        <v>7.0000000000000007E-2</v>
      </c>
      <c r="I5256" t="s">
        <v>23</v>
      </c>
      <c r="J5256">
        <v>0</v>
      </c>
      <c r="K5256">
        <v>1</v>
      </c>
      <c r="L5256">
        <v>0</v>
      </c>
      <c r="M5256">
        <f>VLOOKUP(Table1[[#This Row],[subscription_type]],Plans!$A$1:$B$5,2,FALSE)</f>
        <v>9.99</v>
      </c>
      <c r="N5256">
        <f t="shared" si="82"/>
        <v>0</v>
      </c>
    </row>
    <row r="5257" spans="1:14" x14ac:dyDescent="0.35">
      <c r="A5257">
        <v>5256</v>
      </c>
      <c r="B5257" t="s">
        <v>12</v>
      </c>
      <c r="C5257">
        <v>32</v>
      </c>
      <c r="D5257" t="s">
        <v>27</v>
      </c>
      <c r="E5257" t="s">
        <v>24</v>
      </c>
      <c r="F5257">
        <v>38</v>
      </c>
      <c r="G5257">
        <v>88</v>
      </c>
      <c r="H5257">
        <v>0.53</v>
      </c>
      <c r="I5257" t="s">
        <v>15</v>
      </c>
      <c r="J5257">
        <v>0</v>
      </c>
      <c r="K5257">
        <v>1</v>
      </c>
      <c r="L5257">
        <v>0</v>
      </c>
      <c r="M5257">
        <f>VLOOKUP(Table1[[#This Row],[subscription_type]],Plans!$A$1:$B$5,2,FALSE)</f>
        <v>4.99</v>
      </c>
      <c r="N5257">
        <f t="shared" si="82"/>
        <v>0</v>
      </c>
    </row>
    <row r="5258" spans="1:14" x14ac:dyDescent="0.35">
      <c r="A5258">
        <v>5257</v>
      </c>
      <c r="B5258" t="s">
        <v>16</v>
      </c>
      <c r="C5258">
        <v>54</v>
      </c>
      <c r="D5258" t="s">
        <v>26</v>
      </c>
      <c r="E5258" t="s">
        <v>14</v>
      </c>
      <c r="F5258">
        <v>152</v>
      </c>
      <c r="G5258">
        <v>88</v>
      </c>
      <c r="H5258">
        <v>0.21</v>
      </c>
      <c r="I5258" t="s">
        <v>19</v>
      </c>
      <c r="J5258">
        <v>15</v>
      </c>
      <c r="K5258">
        <v>0</v>
      </c>
      <c r="L5258">
        <v>0</v>
      </c>
      <c r="M5258">
        <f>VLOOKUP(Table1[[#This Row],[subscription_type]],Plans!$A$1:$B$5,2,FALSE)</f>
        <v>0</v>
      </c>
      <c r="N5258">
        <f t="shared" si="82"/>
        <v>0</v>
      </c>
    </row>
    <row r="5259" spans="1:14" x14ac:dyDescent="0.35">
      <c r="A5259">
        <v>5258</v>
      </c>
      <c r="B5259" t="s">
        <v>12</v>
      </c>
      <c r="C5259">
        <v>31</v>
      </c>
      <c r="D5259" t="s">
        <v>25</v>
      </c>
      <c r="E5259" t="s">
        <v>22</v>
      </c>
      <c r="F5259">
        <v>100</v>
      </c>
      <c r="G5259">
        <v>32</v>
      </c>
      <c r="H5259">
        <v>0.13</v>
      </c>
      <c r="I5259" t="s">
        <v>19</v>
      </c>
      <c r="J5259">
        <v>0</v>
      </c>
      <c r="K5259">
        <v>1</v>
      </c>
      <c r="L5259">
        <v>1</v>
      </c>
      <c r="M5259">
        <f>VLOOKUP(Table1[[#This Row],[subscription_type]],Plans!$A$1:$B$5,2,FALSE)</f>
        <v>9.99</v>
      </c>
      <c r="N5259">
        <f t="shared" si="82"/>
        <v>9.99</v>
      </c>
    </row>
    <row r="5260" spans="1:14" x14ac:dyDescent="0.35">
      <c r="A5260">
        <v>5259</v>
      </c>
      <c r="B5260" t="s">
        <v>12</v>
      </c>
      <c r="C5260">
        <v>43</v>
      </c>
      <c r="D5260" t="s">
        <v>25</v>
      </c>
      <c r="E5260" t="s">
        <v>22</v>
      </c>
      <c r="F5260">
        <v>225</v>
      </c>
      <c r="G5260">
        <v>4</v>
      </c>
      <c r="H5260">
        <v>0.37</v>
      </c>
      <c r="I5260" t="s">
        <v>23</v>
      </c>
      <c r="J5260">
        <v>0</v>
      </c>
      <c r="K5260">
        <v>1</v>
      </c>
      <c r="L5260">
        <v>0</v>
      </c>
      <c r="M5260">
        <f>VLOOKUP(Table1[[#This Row],[subscription_type]],Plans!$A$1:$B$5,2,FALSE)</f>
        <v>9.99</v>
      </c>
      <c r="N5260">
        <f t="shared" si="82"/>
        <v>0</v>
      </c>
    </row>
    <row r="5261" spans="1:14" x14ac:dyDescent="0.35">
      <c r="A5261">
        <v>5260</v>
      </c>
      <c r="B5261" t="s">
        <v>16</v>
      </c>
      <c r="C5261">
        <v>17</v>
      </c>
      <c r="D5261" t="s">
        <v>13</v>
      </c>
      <c r="E5261" t="s">
        <v>24</v>
      </c>
      <c r="F5261">
        <v>13</v>
      </c>
      <c r="G5261">
        <v>54</v>
      </c>
      <c r="H5261">
        <v>0.39</v>
      </c>
      <c r="I5261" t="s">
        <v>23</v>
      </c>
      <c r="J5261">
        <v>0</v>
      </c>
      <c r="K5261">
        <v>1</v>
      </c>
      <c r="L5261">
        <v>1</v>
      </c>
      <c r="M5261">
        <f>VLOOKUP(Table1[[#This Row],[subscription_type]],Plans!$A$1:$B$5,2,FALSE)</f>
        <v>4.99</v>
      </c>
      <c r="N5261">
        <f t="shared" si="82"/>
        <v>4.99</v>
      </c>
    </row>
    <row r="5262" spans="1:14" x14ac:dyDescent="0.35">
      <c r="A5262">
        <v>5261</v>
      </c>
      <c r="B5262" t="s">
        <v>20</v>
      </c>
      <c r="C5262">
        <v>45</v>
      </c>
      <c r="D5262" t="s">
        <v>28</v>
      </c>
      <c r="E5262" t="s">
        <v>14</v>
      </c>
      <c r="F5262">
        <v>27</v>
      </c>
      <c r="G5262">
        <v>63</v>
      </c>
      <c r="H5262">
        <v>0.1</v>
      </c>
      <c r="I5262" t="s">
        <v>15</v>
      </c>
      <c r="J5262">
        <v>34</v>
      </c>
      <c r="K5262">
        <v>0</v>
      </c>
      <c r="L5262">
        <v>0</v>
      </c>
      <c r="M5262">
        <f>VLOOKUP(Table1[[#This Row],[subscription_type]],Plans!$A$1:$B$5,2,FALSE)</f>
        <v>0</v>
      </c>
      <c r="N5262">
        <f t="shared" si="82"/>
        <v>0</v>
      </c>
    </row>
    <row r="5263" spans="1:14" x14ac:dyDescent="0.35">
      <c r="A5263">
        <v>5262</v>
      </c>
      <c r="B5263" t="s">
        <v>16</v>
      </c>
      <c r="C5263">
        <v>59</v>
      </c>
      <c r="D5263" t="s">
        <v>29</v>
      </c>
      <c r="E5263" t="s">
        <v>24</v>
      </c>
      <c r="F5263">
        <v>246</v>
      </c>
      <c r="G5263">
        <v>87</v>
      </c>
      <c r="H5263">
        <v>0.32</v>
      </c>
      <c r="I5263" t="s">
        <v>23</v>
      </c>
      <c r="J5263">
        <v>0</v>
      </c>
      <c r="K5263">
        <v>1</v>
      </c>
      <c r="L5263">
        <v>1</v>
      </c>
      <c r="M5263">
        <f>VLOOKUP(Table1[[#This Row],[subscription_type]],Plans!$A$1:$B$5,2,FALSE)</f>
        <v>4.99</v>
      </c>
      <c r="N5263">
        <f t="shared" si="82"/>
        <v>4.99</v>
      </c>
    </row>
    <row r="5264" spans="1:14" x14ac:dyDescent="0.35">
      <c r="A5264">
        <v>5263</v>
      </c>
      <c r="B5264" t="s">
        <v>12</v>
      </c>
      <c r="C5264">
        <v>30</v>
      </c>
      <c r="D5264" t="s">
        <v>21</v>
      </c>
      <c r="E5264" t="s">
        <v>14</v>
      </c>
      <c r="F5264">
        <v>27</v>
      </c>
      <c r="G5264">
        <v>92</v>
      </c>
      <c r="H5264">
        <v>0.08</v>
      </c>
      <c r="I5264" t="s">
        <v>23</v>
      </c>
      <c r="J5264">
        <v>6</v>
      </c>
      <c r="K5264">
        <v>0</v>
      </c>
      <c r="L5264">
        <v>1</v>
      </c>
      <c r="M5264">
        <f>VLOOKUP(Table1[[#This Row],[subscription_type]],Plans!$A$1:$B$5,2,FALSE)</f>
        <v>0</v>
      </c>
      <c r="N5264">
        <f t="shared" si="82"/>
        <v>0</v>
      </c>
    </row>
    <row r="5265" spans="1:14" x14ac:dyDescent="0.35">
      <c r="A5265">
        <v>5264</v>
      </c>
      <c r="B5265" t="s">
        <v>16</v>
      </c>
      <c r="C5265">
        <v>16</v>
      </c>
      <c r="D5265" t="s">
        <v>27</v>
      </c>
      <c r="E5265" t="s">
        <v>14</v>
      </c>
      <c r="F5265">
        <v>56</v>
      </c>
      <c r="G5265">
        <v>20</v>
      </c>
      <c r="H5265">
        <v>0.01</v>
      </c>
      <c r="I5265" t="s">
        <v>19</v>
      </c>
      <c r="J5265">
        <v>16</v>
      </c>
      <c r="K5265">
        <v>0</v>
      </c>
      <c r="L5265">
        <v>0</v>
      </c>
      <c r="M5265">
        <f>VLOOKUP(Table1[[#This Row],[subscription_type]],Plans!$A$1:$B$5,2,FALSE)</f>
        <v>0</v>
      </c>
      <c r="N5265">
        <f t="shared" si="82"/>
        <v>0</v>
      </c>
    </row>
    <row r="5266" spans="1:14" x14ac:dyDescent="0.35">
      <c r="A5266">
        <v>5265</v>
      </c>
      <c r="B5266" t="s">
        <v>20</v>
      </c>
      <c r="C5266">
        <v>38</v>
      </c>
      <c r="D5266" t="s">
        <v>26</v>
      </c>
      <c r="E5266" t="s">
        <v>22</v>
      </c>
      <c r="F5266">
        <v>273</v>
      </c>
      <c r="G5266">
        <v>28</v>
      </c>
      <c r="H5266">
        <v>0.25</v>
      </c>
      <c r="I5266" t="s">
        <v>23</v>
      </c>
      <c r="J5266">
        <v>0</v>
      </c>
      <c r="K5266">
        <v>1</v>
      </c>
      <c r="L5266">
        <v>0</v>
      </c>
      <c r="M5266">
        <f>VLOOKUP(Table1[[#This Row],[subscription_type]],Plans!$A$1:$B$5,2,FALSE)</f>
        <v>9.99</v>
      </c>
      <c r="N5266">
        <f t="shared" si="82"/>
        <v>0</v>
      </c>
    </row>
    <row r="5267" spans="1:14" x14ac:dyDescent="0.35">
      <c r="A5267">
        <v>5266</v>
      </c>
      <c r="B5267" t="s">
        <v>20</v>
      </c>
      <c r="C5267">
        <v>30</v>
      </c>
      <c r="D5267" t="s">
        <v>25</v>
      </c>
      <c r="E5267" t="s">
        <v>22</v>
      </c>
      <c r="F5267">
        <v>185</v>
      </c>
      <c r="G5267">
        <v>36</v>
      </c>
      <c r="H5267">
        <v>0.15</v>
      </c>
      <c r="I5267" t="s">
        <v>19</v>
      </c>
      <c r="J5267">
        <v>0</v>
      </c>
      <c r="K5267">
        <v>1</v>
      </c>
      <c r="L5267">
        <v>1</v>
      </c>
      <c r="M5267">
        <f>VLOOKUP(Table1[[#This Row],[subscription_type]],Plans!$A$1:$B$5,2,FALSE)</f>
        <v>9.99</v>
      </c>
      <c r="N5267">
        <f t="shared" si="82"/>
        <v>9.99</v>
      </c>
    </row>
    <row r="5268" spans="1:14" x14ac:dyDescent="0.35">
      <c r="A5268">
        <v>5267</v>
      </c>
      <c r="B5268" t="s">
        <v>12</v>
      </c>
      <c r="C5268">
        <v>52</v>
      </c>
      <c r="D5268" t="s">
        <v>21</v>
      </c>
      <c r="E5268" t="s">
        <v>22</v>
      </c>
      <c r="F5268">
        <v>132</v>
      </c>
      <c r="G5268">
        <v>44</v>
      </c>
      <c r="H5268">
        <v>0.33</v>
      </c>
      <c r="I5268" t="s">
        <v>23</v>
      </c>
      <c r="J5268">
        <v>0</v>
      </c>
      <c r="K5268">
        <v>1</v>
      </c>
      <c r="L5268">
        <v>0</v>
      </c>
      <c r="M5268">
        <f>VLOOKUP(Table1[[#This Row],[subscription_type]],Plans!$A$1:$B$5,2,FALSE)</f>
        <v>9.99</v>
      </c>
      <c r="N5268">
        <f t="shared" si="82"/>
        <v>0</v>
      </c>
    </row>
    <row r="5269" spans="1:14" x14ac:dyDescent="0.35">
      <c r="A5269">
        <v>5268</v>
      </c>
      <c r="B5269" t="s">
        <v>16</v>
      </c>
      <c r="C5269">
        <v>30</v>
      </c>
      <c r="D5269" t="s">
        <v>17</v>
      </c>
      <c r="E5269" t="s">
        <v>14</v>
      </c>
      <c r="F5269">
        <v>108</v>
      </c>
      <c r="G5269">
        <v>89</v>
      </c>
      <c r="H5269">
        <v>0.09</v>
      </c>
      <c r="I5269" t="s">
        <v>23</v>
      </c>
      <c r="J5269">
        <v>49</v>
      </c>
      <c r="K5269">
        <v>0</v>
      </c>
      <c r="L5269">
        <v>0</v>
      </c>
      <c r="M5269">
        <f>VLOOKUP(Table1[[#This Row],[subscription_type]],Plans!$A$1:$B$5,2,FALSE)</f>
        <v>0</v>
      </c>
      <c r="N5269">
        <f t="shared" si="82"/>
        <v>0</v>
      </c>
    </row>
    <row r="5270" spans="1:14" x14ac:dyDescent="0.35">
      <c r="A5270">
        <v>5269</v>
      </c>
      <c r="B5270" t="s">
        <v>20</v>
      </c>
      <c r="C5270">
        <v>37</v>
      </c>
      <c r="D5270" t="s">
        <v>29</v>
      </c>
      <c r="E5270" t="s">
        <v>18</v>
      </c>
      <c r="F5270">
        <v>214</v>
      </c>
      <c r="G5270">
        <v>68</v>
      </c>
      <c r="H5270">
        <v>0.39</v>
      </c>
      <c r="I5270" t="s">
        <v>23</v>
      </c>
      <c r="J5270">
        <v>0</v>
      </c>
      <c r="K5270">
        <v>1</v>
      </c>
      <c r="L5270">
        <v>0</v>
      </c>
      <c r="M5270">
        <f>VLOOKUP(Table1[[#This Row],[subscription_type]],Plans!$A$1:$B$5,2,FALSE)</f>
        <v>14.99</v>
      </c>
      <c r="N5270">
        <f t="shared" si="82"/>
        <v>0</v>
      </c>
    </row>
    <row r="5271" spans="1:14" x14ac:dyDescent="0.35">
      <c r="A5271">
        <v>5270</v>
      </c>
      <c r="B5271" t="s">
        <v>20</v>
      </c>
      <c r="C5271">
        <v>19</v>
      </c>
      <c r="D5271" t="s">
        <v>17</v>
      </c>
      <c r="E5271" t="s">
        <v>18</v>
      </c>
      <c r="F5271">
        <v>159</v>
      </c>
      <c r="G5271">
        <v>60</v>
      </c>
      <c r="H5271">
        <v>0.04</v>
      </c>
      <c r="I5271" t="s">
        <v>15</v>
      </c>
      <c r="J5271">
        <v>0</v>
      </c>
      <c r="K5271">
        <v>1</v>
      </c>
      <c r="L5271">
        <v>0</v>
      </c>
      <c r="M5271">
        <f>VLOOKUP(Table1[[#This Row],[subscription_type]],Plans!$A$1:$B$5,2,FALSE)</f>
        <v>14.99</v>
      </c>
      <c r="N5271">
        <f t="shared" si="82"/>
        <v>0</v>
      </c>
    </row>
    <row r="5272" spans="1:14" x14ac:dyDescent="0.35">
      <c r="A5272">
        <v>5271</v>
      </c>
      <c r="B5272" t="s">
        <v>16</v>
      </c>
      <c r="C5272">
        <v>57</v>
      </c>
      <c r="D5272" t="s">
        <v>13</v>
      </c>
      <c r="E5272" t="s">
        <v>22</v>
      </c>
      <c r="F5272">
        <v>91</v>
      </c>
      <c r="G5272">
        <v>22</v>
      </c>
      <c r="H5272">
        <v>0.03</v>
      </c>
      <c r="I5272" t="s">
        <v>19</v>
      </c>
      <c r="J5272">
        <v>0</v>
      </c>
      <c r="K5272">
        <v>1</v>
      </c>
      <c r="L5272">
        <v>0</v>
      </c>
      <c r="M5272">
        <f>VLOOKUP(Table1[[#This Row],[subscription_type]],Plans!$A$1:$B$5,2,FALSE)</f>
        <v>9.99</v>
      </c>
      <c r="N5272">
        <f t="shared" si="82"/>
        <v>0</v>
      </c>
    </row>
    <row r="5273" spans="1:14" x14ac:dyDescent="0.35">
      <c r="A5273">
        <v>5272</v>
      </c>
      <c r="B5273" t="s">
        <v>12</v>
      </c>
      <c r="C5273">
        <v>49</v>
      </c>
      <c r="D5273" t="s">
        <v>26</v>
      </c>
      <c r="E5273" t="s">
        <v>22</v>
      </c>
      <c r="F5273">
        <v>56</v>
      </c>
      <c r="G5273">
        <v>51</v>
      </c>
      <c r="H5273">
        <v>0.31</v>
      </c>
      <c r="I5273" t="s">
        <v>23</v>
      </c>
      <c r="J5273">
        <v>0</v>
      </c>
      <c r="K5273">
        <v>1</v>
      </c>
      <c r="L5273">
        <v>0</v>
      </c>
      <c r="M5273">
        <f>VLOOKUP(Table1[[#This Row],[subscription_type]],Plans!$A$1:$B$5,2,FALSE)</f>
        <v>9.99</v>
      </c>
      <c r="N5273">
        <f t="shared" si="82"/>
        <v>0</v>
      </c>
    </row>
    <row r="5274" spans="1:14" x14ac:dyDescent="0.35">
      <c r="A5274">
        <v>5273</v>
      </c>
      <c r="B5274" t="s">
        <v>16</v>
      </c>
      <c r="C5274">
        <v>50</v>
      </c>
      <c r="D5274" t="s">
        <v>26</v>
      </c>
      <c r="E5274" t="s">
        <v>14</v>
      </c>
      <c r="F5274">
        <v>125</v>
      </c>
      <c r="G5274">
        <v>7</v>
      </c>
      <c r="H5274">
        <v>0.14000000000000001</v>
      </c>
      <c r="I5274" t="s">
        <v>23</v>
      </c>
      <c r="J5274">
        <v>49</v>
      </c>
      <c r="K5274">
        <v>0</v>
      </c>
      <c r="L5274">
        <v>0</v>
      </c>
      <c r="M5274">
        <f>VLOOKUP(Table1[[#This Row],[subscription_type]],Plans!$A$1:$B$5,2,FALSE)</f>
        <v>0</v>
      </c>
      <c r="N5274">
        <f t="shared" si="82"/>
        <v>0</v>
      </c>
    </row>
    <row r="5275" spans="1:14" x14ac:dyDescent="0.35">
      <c r="A5275">
        <v>5274</v>
      </c>
      <c r="B5275" t="s">
        <v>20</v>
      </c>
      <c r="C5275">
        <v>36</v>
      </c>
      <c r="D5275" t="s">
        <v>29</v>
      </c>
      <c r="E5275" t="s">
        <v>22</v>
      </c>
      <c r="F5275">
        <v>148</v>
      </c>
      <c r="G5275">
        <v>49</v>
      </c>
      <c r="H5275">
        <v>0.01</v>
      </c>
      <c r="I5275" t="s">
        <v>19</v>
      </c>
      <c r="J5275">
        <v>0</v>
      </c>
      <c r="K5275">
        <v>1</v>
      </c>
      <c r="L5275">
        <v>0</v>
      </c>
      <c r="M5275">
        <f>VLOOKUP(Table1[[#This Row],[subscription_type]],Plans!$A$1:$B$5,2,FALSE)</f>
        <v>9.99</v>
      </c>
      <c r="N5275">
        <f t="shared" si="82"/>
        <v>0</v>
      </c>
    </row>
    <row r="5276" spans="1:14" x14ac:dyDescent="0.35">
      <c r="A5276">
        <v>5275</v>
      </c>
      <c r="B5276" t="s">
        <v>12</v>
      </c>
      <c r="C5276">
        <v>32</v>
      </c>
      <c r="D5276" t="s">
        <v>13</v>
      </c>
      <c r="E5276" t="s">
        <v>18</v>
      </c>
      <c r="F5276">
        <v>99</v>
      </c>
      <c r="G5276">
        <v>62</v>
      </c>
      <c r="H5276">
        <v>0.22</v>
      </c>
      <c r="I5276" t="s">
        <v>19</v>
      </c>
      <c r="J5276">
        <v>0</v>
      </c>
      <c r="K5276">
        <v>1</v>
      </c>
      <c r="L5276">
        <v>1</v>
      </c>
      <c r="M5276">
        <f>VLOOKUP(Table1[[#This Row],[subscription_type]],Plans!$A$1:$B$5,2,FALSE)</f>
        <v>14.99</v>
      </c>
      <c r="N5276">
        <f t="shared" si="82"/>
        <v>14.99</v>
      </c>
    </row>
    <row r="5277" spans="1:14" x14ac:dyDescent="0.35">
      <c r="A5277">
        <v>5276</v>
      </c>
      <c r="B5277" t="s">
        <v>20</v>
      </c>
      <c r="C5277">
        <v>20</v>
      </c>
      <c r="D5277" t="s">
        <v>27</v>
      </c>
      <c r="E5277" t="s">
        <v>22</v>
      </c>
      <c r="F5277">
        <v>248</v>
      </c>
      <c r="G5277">
        <v>78</v>
      </c>
      <c r="H5277">
        <v>0.27</v>
      </c>
      <c r="I5277" t="s">
        <v>15</v>
      </c>
      <c r="J5277">
        <v>0</v>
      </c>
      <c r="K5277">
        <v>1</v>
      </c>
      <c r="L5277">
        <v>1</v>
      </c>
      <c r="M5277">
        <f>VLOOKUP(Table1[[#This Row],[subscription_type]],Plans!$A$1:$B$5,2,FALSE)</f>
        <v>9.99</v>
      </c>
      <c r="N5277">
        <f t="shared" si="82"/>
        <v>9.99</v>
      </c>
    </row>
    <row r="5278" spans="1:14" x14ac:dyDescent="0.35">
      <c r="A5278">
        <v>5277</v>
      </c>
      <c r="B5278" t="s">
        <v>12</v>
      </c>
      <c r="C5278">
        <v>54</v>
      </c>
      <c r="D5278" t="s">
        <v>27</v>
      </c>
      <c r="E5278" t="s">
        <v>24</v>
      </c>
      <c r="F5278">
        <v>169</v>
      </c>
      <c r="G5278">
        <v>38</v>
      </c>
      <c r="H5278">
        <v>0.15</v>
      </c>
      <c r="I5278" t="s">
        <v>19</v>
      </c>
      <c r="J5278">
        <v>0</v>
      </c>
      <c r="K5278">
        <v>1</v>
      </c>
      <c r="L5278">
        <v>0</v>
      </c>
      <c r="M5278">
        <f>VLOOKUP(Table1[[#This Row],[subscription_type]],Plans!$A$1:$B$5,2,FALSE)</f>
        <v>4.99</v>
      </c>
      <c r="N5278">
        <f t="shared" si="82"/>
        <v>0</v>
      </c>
    </row>
    <row r="5279" spans="1:14" x14ac:dyDescent="0.35">
      <c r="A5279">
        <v>5278</v>
      </c>
      <c r="B5279" t="s">
        <v>12</v>
      </c>
      <c r="C5279">
        <v>32</v>
      </c>
      <c r="D5279" t="s">
        <v>28</v>
      </c>
      <c r="E5279" t="s">
        <v>24</v>
      </c>
      <c r="F5279">
        <v>126</v>
      </c>
      <c r="G5279">
        <v>57</v>
      </c>
      <c r="H5279">
        <v>0.02</v>
      </c>
      <c r="I5279" t="s">
        <v>23</v>
      </c>
      <c r="J5279">
        <v>0</v>
      </c>
      <c r="K5279">
        <v>1</v>
      </c>
      <c r="L5279">
        <v>1</v>
      </c>
      <c r="M5279">
        <f>VLOOKUP(Table1[[#This Row],[subscription_type]],Plans!$A$1:$B$5,2,FALSE)</f>
        <v>4.99</v>
      </c>
      <c r="N5279">
        <f t="shared" si="82"/>
        <v>4.99</v>
      </c>
    </row>
    <row r="5280" spans="1:14" x14ac:dyDescent="0.35">
      <c r="A5280">
        <v>5279</v>
      </c>
      <c r="B5280" t="s">
        <v>20</v>
      </c>
      <c r="C5280">
        <v>32</v>
      </c>
      <c r="D5280" t="s">
        <v>13</v>
      </c>
      <c r="E5280" t="s">
        <v>18</v>
      </c>
      <c r="F5280">
        <v>189</v>
      </c>
      <c r="G5280">
        <v>95</v>
      </c>
      <c r="H5280">
        <v>0.17</v>
      </c>
      <c r="I5280" t="s">
        <v>15</v>
      </c>
      <c r="J5280">
        <v>0</v>
      </c>
      <c r="K5280">
        <v>1</v>
      </c>
      <c r="L5280">
        <v>1</v>
      </c>
      <c r="M5280">
        <f>VLOOKUP(Table1[[#This Row],[subscription_type]],Plans!$A$1:$B$5,2,FALSE)</f>
        <v>14.99</v>
      </c>
      <c r="N5280">
        <f t="shared" si="82"/>
        <v>14.99</v>
      </c>
    </row>
    <row r="5281" spans="1:14" x14ac:dyDescent="0.35">
      <c r="A5281">
        <v>5280</v>
      </c>
      <c r="B5281" t="s">
        <v>16</v>
      </c>
      <c r="C5281">
        <v>31</v>
      </c>
      <c r="D5281" t="s">
        <v>26</v>
      </c>
      <c r="E5281" t="s">
        <v>24</v>
      </c>
      <c r="F5281">
        <v>81</v>
      </c>
      <c r="G5281">
        <v>36</v>
      </c>
      <c r="H5281">
        <v>0.43</v>
      </c>
      <c r="I5281" t="s">
        <v>23</v>
      </c>
      <c r="J5281">
        <v>0</v>
      </c>
      <c r="K5281">
        <v>1</v>
      </c>
      <c r="L5281">
        <v>0</v>
      </c>
      <c r="M5281">
        <f>VLOOKUP(Table1[[#This Row],[subscription_type]],Plans!$A$1:$B$5,2,FALSE)</f>
        <v>4.99</v>
      </c>
      <c r="N5281">
        <f t="shared" si="82"/>
        <v>0</v>
      </c>
    </row>
    <row r="5282" spans="1:14" x14ac:dyDescent="0.35">
      <c r="A5282">
        <v>5281</v>
      </c>
      <c r="B5282" t="s">
        <v>12</v>
      </c>
      <c r="C5282">
        <v>31</v>
      </c>
      <c r="D5282" t="s">
        <v>17</v>
      </c>
      <c r="E5282" t="s">
        <v>14</v>
      </c>
      <c r="F5282">
        <v>75</v>
      </c>
      <c r="G5282">
        <v>15</v>
      </c>
      <c r="H5282">
        <v>0.23</v>
      </c>
      <c r="I5282" t="s">
        <v>15</v>
      </c>
      <c r="J5282">
        <v>41</v>
      </c>
      <c r="K5282">
        <v>0</v>
      </c>
      <c r="L5282">
        <v>0</v>
      </c>
      <c r="M5282">
        <f>VLOOKUP(Table1[[#This Row],[subscription_type]],Plans!$A$1:$B$5,2,FALSE)</f>
        <v>0</v>
      </c>
      <c r="N5282">
        <f t="shared" si="82"/>
        <v>0</v>
      </c>
    </row>
    <row r="5283" spans="1:14" x14ac:dyDescent="0.35">
      <c r="A5283">
        <v>5282</v>
      </c>
      <c r="B5283" t="s">
        <v>12</v>
      </c>
      <c r="C5283">
        <v>42</v>
      </c>
      <c r="D5283" t="s">
        <v>17</v>
      </c>
      <c r="E5283" t="s">
        <v>14</v>
      </c>
      <c r="F5283">
        <v>98</v>
      </c>
      <c r="G5283">
        <v>29</v>
      </c>
      <c r="H5283">
        <v>0.34</v>
      </c>
      <c r="I5283" t="s">
        <v>19</v>
      </c>
      <c r="J5283">
        <v>39</v>
      </c>
      <c r="K5283">
        <v>0</v>
      </c>
      <c r="L5283">
        <v>0</v>
      </c>
      <c r="M5283">
        <f>VLOOKUP(Table1[[#This Row],[subscription_type]],Plans!$A$1:$B$5,2,FALSE)</f>
        <v>0</v>
      </c>
      <c r="N5283">
        <f t="shared" si="82"/>
        <v>0</v>
      </c>
    </row>
    <row r="5284" spans="1:14" x14ac:dyDescent="0.35">
      <c r="A5284">
        <v>5283</v>
      </c>
      <c r="B5284" t="s">
        <v>20</v>
      </c>
      <c r="C5284">
        <v>53</v>
      </c>
      <c r="D5284" t="s">
        <v>13</v>
      </c>
      <c r="E5284" t="s">
        <v>22</v>
      </c>
      <c r="F5284">
        <v>24</v>
      </c>
      <c r="G5284">
        <v>7</v>
      </c>
      <c r="H5284">
        <v>0.32</v>
      </c>
      <c r="I5284" t="s">
        <v>15</v>
      </c>
      <c r="J5284">
        <v>0</v>
      </c>
      <c r="K5284">
        <v>1</v>
      </c>
      <c r="L5284">
        <v>1</v>
      </c>
      <c r="M5284">
        <f>VLOOKUP(Table1[[#This Row],[subscription_type]],Plans!$A$1:$B$5,2,FALSE)</f>
        <v>9.99</v>
      </c>
      <c r="N5284">
        <f t="shared" si="82"/>
        <v>9.99</v>
      </c>
    </row>
    <row r="5285" spans="1:14" x14ac:dyDescent="0.35">
      <c r="A5285">
        <v>5284</v>
      </c>
      <c r="B5285" t="s">
        <v>16</v>
      </c>
      <c r="C5285">
        <v>19</v>
      </c>
      <c r="D5285" t="s">
        <v>25</v>
      </c>
      <c r="E5285" t="s">
        <v>22</v>
      </c>
      <c r="F5285">
        <v>75</v>
      </c>
      <c r="G5285">
        <v>76</v>
      </c>
      <c r="H5285">
        <v>0.28000000000000003</v>
      </c>
      <c r="I5285" t="s">
        <v>15</v>
      </c>
      <c r="J5285">
        <v>0</v>
      </c>
      <c r="K5285">
        <v>1</v>
      </c>
      <c r="L5285">
        <v>0</v>
      </c>
      <c r="M5285">
        <f>VLOOKUP(Table1[[#This Row],[subscription_type]],Plans!$A$1:$B$5,2,FALSE)</f>
        <v>9.99</v>
      </c>
      <c r="N5285">
        <f t="shared" si="82"/>
        <v>0</v>
      </c>
    </row>
    <row r="5286" spans="1:14" x14ac:dyDescent="0.35">
      <c r="A5286">
        <v>5285</v>
      </c>
      <c r="B5286" t="s">
        <v>12</v>
      </c>
      <c r="C5286">
        <v>51</v>
      </c>
      <c r="D5286" t="s">
        <v>26</v>
      </c>
      <c r="E5286" t="s">
        <v>14</v>
      </c>
      <c r="F5286">
        <v>140</v>
      </c>
      <c r="G5286">
        <v>21</v>
      </c>
      <c r="H5286">
        <v>0.4</v>
      </c>
      <c r="I5286" t="s">
        <v>15</v>
      </c>
      <c r="J5286">
        <v>33</v>
      </c>
      <c r="K5286">
        <v>0</v>
      </c>
      <c r="L5286">
        <v>0</v>
      </c>
      <c r="M5286">
        <f>VLOOKUP(Table1[[#This Row],[subscription_type]],Plans!$A$1:$B$5,2,FALSE)</f>
        <v>0</v>
      </c>
      <c r="N5286">
        <f t="shared" si="82"/>
        <v>0</v>
      </c>
    </row>
    <row r="5287" spans="1:14" x14ac:dyDescent="0.35">
      <c r="A5287">
        <v>5286</v>
      </c>
      <c r="B5287" t="s">
        <v>20</v>
      </c>
      <c r="C5287">
        <v>18</v>
      </c>
      <c r="D5287" t="s">
        <v>21</v>
      </c>
      <c r="E5287" t="s">
        <v>24</v>
      </c>
      <c r="F5287">
        <v>210</v>
      </c>
      <c r="G5287">
        <v>89</v>
      </c>
      <c r="H5287">
        <v>0.56999999999999995</v>
      </c>
      <c r="I5287" t="s">
        <v>19</v>
      </c>
      <c r="J5287">
        <v>0</v>
      </c>
      <c r="K5287">
        <v>1</v>
      </c>
      <c r="L5287">
        <v>1</v>
      </c>
      <c r="M5287">
        <f>VLOOKUP(Table1[[#This Row],[subscription_type]],Plans!$A$1:$B$5,2,FALSE)</f>
        <v>4.99</v>
      </c>
      <c r="N5287">
        <f t="shared" si="82"/>
        <v>4.99</v>
      </c>
    </row>
    <row r="5288" spans="1:14" x14ac:dyDescent="0.35">
      <c r="A5288">
        <v>5287</v>
      </c>
      <c r="B5288" t="s">
        <v>12</v>
      </c>
      <c r="C5288">
        <v>51</v>
      </c>
      <c r="D5288" t="s">
        <v>25</v>
      </c>
      <c r="E5288" t="s">
        <v>22</v>
      </c>
      <c r="F5288">
        <v>54</v>
      </c>
      <c r="G5288">
        <v>53</v>
      </c>
      <c r="H5288">
        <v>0.1</v>
      </c>
      <c r="I5288" t="s">
        <v>15</v>
      </c>
      <c r="J5288">
        <v>0</v>
      </c>
      <c r="K5288">
        <v>1</v>
      </c>
      <c r="L5288">
        <v>0</v>
      </c>
      <c r="M5288">
        <f>VLOOKUP(Table1[[#This Row],[subscription_type]],Plans!$A$1:$B$5,2,FALSE)</f>
        <v>9.99</v>
      </c>
      <c r="N5288">
        <f t="shared" si="82"/>
        <v>0</v>
      </c>
    </row>
    <row r="5289" spans="1:14" x14ac:dyDescent="0.35">
      <c r="A5289">
        <v>5288</v>
      </c>
      <c r="B5289" t="s">
        <v>12</v>
      </c>
      <c r="C5289">
        <v>27</v>
      </c>
      <c r="D5289" t="s">
        <v>27</v>
      </c>
      <c r="E5289" t="s">
        <v>14</v>
      </c>
      <c r="F5289">
        <v>26</v>
      </c>
      <c r="G5289">
        <v>95</v>
      </c>
      <c r="H5289">
        <v>0.17</v>
      </c>
      <c r="I5289" t="s">
        <v>19</v>
      </c>
      <c r="J5289">
        <v>47</v>
      </c>
      <c r="K5289">
        <v>0</v>
      </c>
      <c r="L5289">
        <v>1</v>
      </c>
      <c r="M5289">
        <f>VLOOKUP(Table1[[#This Row],[subscription_type]],Plans!$A$1:$B$5,2,FALSE)</f>
        <v>0</v>
      </c>
      <c r="N5289">
        <f t="shared" si="82"/>
        <v>0</v>
      </c>
    </row>
    <row r="5290" spans="1:14" x14ac:dyDescent="0.35">
      <c r="A5290">
        <v>5289</v>
      </c>
      <c r="B5290" t="s">
        <v>20</v>
      </c>
      <c r="C5290">
        <v>29</v>
      </c>
      <c r="D5290" t="s">
        <v>21</v>
      </c>
      <c r="E5290" t="s">
        <v>22</v>
      </c>
      <c r="F5290">
        <v>203</v>
      </c>
      <c r="G5290">
        <v>72</v>
      </c>
      <c r="H5290">
        <v>0.57999999999999996</v>
      </c>
      <c r="I5290" t="s">
        <v>23</v>
      </c>
      <c r="J5290">
        <v>0</v>
      </c>
      <c r="K5290">
        <v>1</v>
      </c>
      <c r="L5290">
        <v>0</v>
      </c>
      <c r="M5290">
        <f>VLOOKUP(Table1[[#This Row],[subscription_type]],Plans!$A$1:$B$5,2,FALSE)</f>
        <v>9.99</v>
      </c>
      <c r="N5290">
        <f t="shared" si="82"/>
        <v>0</v>
      </c>
    </row>
    <row r="5291" spans="1:14" x14ac:dyDescent="0.35">
      <c r="A5291">
        <v>5290</v>
      </c>
      <c r="B5291" t="s">
        <v>12</v>
      </c>
      <c r="C5291">
        <v>16</v>
      </c>
      <c r="D5291" t="s">
        <v>25</v>
      </c>
      <c r="E5291" t="s">
        <v>14</v>
      </c>
      <c r="F5291">
        <v>268</v>
      </c>
      <c r="G5291">
        <v>98</v>
      </c>
      <c r="H5291">
        <v>0.59</v>
      </c>
      <c r="I5291" t="s">
        <v>23</v>
      </c>
      <c r="J5291">
        <v>8</v>
      </c>
      <c r="K5291">
        <v>0</v>
      </c>
      <c r="L5291">
        <v>1</v>
      </c>
      <c r="M5291">
        <f>VLOOKUP(Table1[[#This Row],[subscription_type]],Plans!$A$1:$B$5,2,FALSE)</f>
        <v>0</v>
      </c>
      <c r="N5291">
        <f t="shared" si="82"/>
        <v>0</v>
      </c>
    </row>
    <row r="5292" spans="1:14" x14ac:dyDescent="0.35">
      <c r="A5292">
        <v>5291</v>
      </c>
      <c r="B5292" t="s">
        <v>16</v>
      </c>
      <c r="C5292">
        <v>52</v>
      </c>
      <c r="D5292" t="s">
        <v>28</v>
      </c>
      <c r="E5292" t="s">
        <v>14</v>
      </c>
      <c r="F5292">
        <v>36</v>
      </c>
      <c r="G5292">
        <v>77</v>
      </c>
      <c r="H5292">
        <v>0.52</v>
      </c>
      <c r="I5292" t="s">
        <v>19</v>
      </c>
      <c r="J5292">
        <v>13</v>
      </c>
      <c r="K5292">
        <v>0</v>
      </c>
      <c r="L5292">
        <v>0</v>
      </c>
      <c r="M5292">
        <f>VLOOKUP(Table1[[#This Row],[subscription_type]],Plans!$A$1:$B$5,2,FALSE)</f>
        <v>0</v>
      </c>
      <c r="N5292">
        <f t="shared" si="82"/>
        <v>0</v>
      </c>
    </row>
    <row r="5293" spans="1:14" x14ac:dyDescent="0.35">
      <c r="A5293">
        <v>5292</v>
      </c>
      <c r="B5293" t="s">
        <v>12</v>
      </c>
      <c r="C5293">
        <v>47</v>
      </c>
      <c r="D5293" t="s">
        <v>17</v>
      </c>
      <c r="E5293" t="s">
        <v>24</v>
      </c>
      <c r="F5293">
        <v>268</v>
      </c>
      <c r="G5293">
        <v>20</v>
      </c>
      <c r="H5293">
        <v>0.12</v>
      </c>
      <c r="I5293" t="s">
        <v>15</v>
      </c>
      <c r="J5293">
        <v>0</v>
      </c>
      <c r="K5293">
        <v>1</v>
      </c>
      <c r="L5293">
        <v>0</v>
      </c>
      <c r="M5293">
        <f>VLOOKUP(Table1[[#This Row],[subscription_type]],Plans!$A$1:$B$5,2,FALSE)</f>
        <v>4.99</v>
      </c>
      <c r="N5293">
        <f t="shared" si="82"/>
        <v>0</v>
      </c>
    </row>
    <row r="5294" spans="1:14" x14ac:dyDescent="0.35">
      <c r="A5294">
        <v>5293</v>
      </c>
      <c r="B5294" t="s">
        <v>12</v>
      </c>
      <c r="C5294">
        <v>21</v>
      </c>
      <c r="D5294" t="s">
        <v>21</v>
      </c>
      <c r="E5294" t="s">
        <v>18</v>
      </c>
      <c r="F5294">
        <v>24</v>
      </c>
      <c r="G5294">
        <v>31</v>
      </c>
      <c r="H5294">
        <v>0.3</v>
      </c>
      <c r="I5294" t="s">
        <v>23</v>
      </c>
      <c r="J5294">
        <v>0</v>
      </c>
      <c r="K5294">
        <v>1</v>
      </c>
      <c r="L5294">
        <v>1</v>
      </c>
      <c r="M5294">
        <f>VLOOKUP(Table1[[#This Row],[subscription_type]],Plans!$A$1:$B$5,2,FALSE)</f>
        <v>14.99</v>
      </c>
      <c r="N5294">
        <f t="shared" si="82"/>
        <v>14.99</v>
      </c>
    </row>
    <row r="5295" spans="1:14" x14ac:dyDescent="0.35">
      <c r="A5295">
        <v>5294</v>
      </c>
      <c r="B5295" t="s">
        <v>16</v>
      </c>
      <c r="C5295">
        <v>25</v>
      </c>
      <c r="D5295" t="s">
        <v>29</v>
      </c>
      <c r="E5295" t="s">
        <v>18</v>
      </c>
      <c r="F5295">
        <v>54</v>
      </c>
      <c r="G5295">
        <v>43</v>
      </c>
      <c r="H5295">
        <v>0</v>
      </c>
      <c r="I5295" t="s">
        <v>15</v>
      </c>
      <c r="J5295">
        <v>0</v>
      </c>
      <c r="K5295">
        <v>1</v>
      </c>
      <c r="L5295">
        <v>0</v>
      </c>
      <c r="M5295">
        <f>VLOOKUP(Table1[[#This Row],[subscription_type]],Plans!$A$1:$B$5,2,FALSE)</f>
        <v>14.99</v>
      </c>
      <c r="N5295">
        <f t="shared" si="82"/>
        <v>0</v>
      </c>
    </row>
    <row r="5296" spans="1:14" x14ac:dyDescent="0.35">
      <c r="A5296">
        <v>5295</v>
      </c>
      <c r="B5296" t="s">
        <v>20</v>
      </c>
      <c r="C5296">
        <v>20</v>
      </c>
      <c r="D5296" t="s">
        <v>27</v>
      </c>
      <c r="E5296" t="s">
        <v>22</v>
      </c>
      <c r="F5296">
        <v>190</v>
      </c>
      <c r="G5296">
        <v>41</v>
      </c>
      <c r="H5296">
        <v>0.38</v>
      </c>
      <c r="I5296" t="s">
        <v>19</v>
      </c>
      <c r="J5296">
        <v>0</v>
      </c>
      <c r="K5296">
        <v>1</v>
      </c>
      <c r="L5296">
        <v>1</v>
      </c>
      <c r="M5296">
        <f>VLOOKUP(Table1[[#This Row],[subscription_type]],Plans!$A$1:$B$5,2,FALSE)</f>
        <v>9.99</v>
      </c>
      <c r="N5296">
        <f t="shared" si="82"/>
        <v>9.99</v>
      </c>
    </row>
    <row r="5297" spans="1:14" x14ac:dyDescent="0.35">
      <c r="A5297">
        <v>5296</v>
      </c>
      <c r="B5297" t="s">
        <v>20</v>
      </c>
      <c r="C5297">
        <v>59</v>
      </c>
      <c r="D5297" t="s">
        <v>27</v>
      </c>
      <c r="E5297" t="s">
        <v>22</v>
      </c>
      <c r="F5297">
        <v>285</v>
      </c>
      <c r="G5297">
        <v>72</v>
      </c>
      <c r="H5297">
        <v>0.34</v>
      </c>
      <c r="I5297" t="s">
        <v>15</v>
      </c>
      <c r="J5297">
        <v>0</v>
      </c>
      <c r="K5297">
        <v>1</v>
      </c>
      <c r="L5297">
        <v>0</v>
      </c>
      <c r="M5297">
        <f>VLOOKUP(Table1[[#This Row],[subscription_type]],Plans!$A$1:$B$5,2,FALSE)</f>
        <v>9.99</v>
      </c>
      <c r="N5297">
        <f t="shared" si="82"/>
        <v>0</v>
      </c>
    </row>
    <row r="5298" spans="1:14" x14ac:dyDescent="0.35">
      <c r="A5298">
        <v>5297</v>
      </c>
      <c r="B5298" t="s">
        <v>16</v>
      </c>
      <c r="C5298">
        <v>54</v>
      </c>
      <c r="D5298" t="s">
        <v>13</v>
      </c>
      <c r="E5298" t="s">
        <v>22</v>
      </c>
      <c r="F5298">
        <v>271</v>
      </c>
      <c r="G5298">
        <v>82</v>
      </c>
      <c r="H5298">
        <v>0.11</v>
      </c>
      <c r="I5298" t="s">
        <v>15</v>
      </c>
      <c r="J5298">
        <v>0</v>
      </c>
      <c r="K5298">
        <v>1</v>
      </c>
      <c r="L5298">
        <v>0</v>
      </c>
      <c r="M5298">
        <f>VLOOKUP(Table1[[#This Row],[subscription_type]],Plans!$A$1:$B$5,2,FALSE)</f>
        <v>9.99</v>
      </c>
      <c r="N5298">
        <f t="shared" si="82"/>
        <v>0</v>
      </c>
    </row>
    <row r="5299" spans="1:14" x14ac:dyDescent="0.35">
      <c r="A5299">
        <v>5298</v>
      </c>
      <c r="B5299" t="s">
        <v>16</v>
      </c>
      <c r="C5299">
        <v>34</v>
      </c>
      <c r="D5299" t="s">
        <v>25</v>
      </c>
      <c r="E5299" t="s">
        <v>22</v>
      </c>
      <c r="F5299">
        <v>58</v>
      </c>
      <c r="G5299">
        <v>54</v>
      </c>
      <c r="H5299">
        <v>0.13</v>
      </c>
      <c r="I5299" t="s">
        <v>19</v>
      </c>
      <c r="J5299">
        <v>0</v>
      </c>
      <c r="K5299">
        <v>1</v>
      </c>
      <c r="L5299">
        <v>0</v>
      </c>
      <c r="M5299">
        <f>VLOOKUP(Table1[[#This Row],[subscription_type]],Plans!$A$1:$B$5,2,FALSE)</f>
        <v>9.99</v>
      </c>
      <c r="N5299">
        <f t="shared" si="82"/>
        <v>0</v>
      </c>
    </row>
    <row r="5300" spans="1:14" x14ac:dyDescent="0.35">
      <c r="A5300">
        <v>5299</v>
      </c>
      <c r="B5300" t="s">
        <v>12</v>
      </c>
      <c r="C5300">
        <v>46</v>
      </c>
      <c r="D5300" t="s">
        <v>13</v>
      </c>
      <c r="E5300" t="s">
        <v>18</v>
      </c>
      <c r="F5300">
        <v>68</v>
      </c>
      <c r="G5300">
        <v>80</v>
      </c>
      <c r="H5300">
        <v>0.02</v>
      </c>
      <c r="I5300" t="s">
        <v>23</v>
      </c>
      <c r="J5300">
        <v>0</v>
      </c>
      <c r="K5300">
        <v>1</v>
      </c>
      <c r="L5300">
        <v>0</v>
      </c>
      <c r="M5300">
        <f>VLOOKUP(Table1[[#This Row],[subscription_type]],Plans!$A$1:$B$5,2,FALSE)</f>
        <v>14.99</v>
      </c>
      <c r="N5300">
        <f t="shared" si="82"/>
        <v>0</v>
      </c>
    </row>
    <row r="5301" spans="1:14" x14ac:dyDescent="0.35">
      <c r="A5301">
        <v>5300</v>
      </c>
      <c r="B5301" t="s">
        <v>12</v>
      </c>
      <c r="C5301">
        <v>50</v>
      </c>
      <c r="D5301" t="s">
        <v>25</v>
      </c>
      <c r="E5301" t="s">
        <v>14</v>
      </c>
      <c r="F5301">
        <v>245</v>
      </c>
      <c r="G5301">
        <v>50</v>
      </c>
      <c r="H5301">
        <v>7.0000000000000007E-2</v>
      </c>
      <c r="I5301" t="s">
        <v>23</v>
      </c>
      <c r="J5301">
        <v>7</v>
      </c>
      <c r="K5301">
        <v>0</v>
      </c>
      <c r="L5301">
        <v>0</v>
      </c>
      <c r="M5301">
        <f>VLOOKUP(Table1[[#This Row],[subscription_type]],Plans!$A$1:$B$5,2,FALSE)</f>
        <v>0</v>
      </c>
      <c r="N5301">
        <f t="shared" si="82"/>
        <v>0</v>
      </c>
    </row>
    <row r="5302" spans="1:14" x14ac:dyDescent="0.35">
      <c r="A5302">
        <v>5301</v>
      </c>
      <c r="B5302" t="s">
        <v>12</v>
      </c>
      <c r="C5302">
        <v>19</v>
      </c>
      <c r="D5302" t="s">
        <v>26</v>
      </c>
      <c r="E5302" t="s">
        <v>24</v>
      </c>
      <c r="F5302">
        <v>257</v>
      </c>
      <c r="G5302">
        <v>43</v>
      </c>
      <c r="H5302">
        <v>0.33</v>
      </c>
      <c r="I5302" t="s">
        <v>15</v>
      </c>
      <c r="J5302">
        <v>0</v>
      </c>
      <c r="K5302">
        <v>1</v>
      </c>
      <c r="L5302">
        <v>1</v>
      </c>
      <c r="M5302">
        <f>VLOOKUP(Table1[[#This Row],[subscription_type]],Plans!$A$1:$B$5,2,FALSE)</f>
        <v>4.99</v>
      </c>
      <c r="N5302">
        <f t="shared" si="82"/>
        <v>4.99</v>
      </c>
    </row>
    <row r="5303" spans="1:14" x14ac:dyDescent="0.35">
      <c r="A5303">
        <v>5302</v>
      </c>
      <c r="B5303" t="s">
        <v>20</v>
      </c>
      <c r="C5303">
        <v>37</v>
      </c>
      <c r="D5303" t="s">
        <v>28</v>
      </c>
      <c r="E5303" t="s">
        <v>22</v>
      </c>
      <c r="F5303">
        <v>53</v>
      </c>
      <c r="G5303">
        <v>59</v>
      </c>
      <c r="H5303">
        <v>0.13</v>
      </c>
      <c r="I5303" t="s">
        <v>19</v>
      </c>
      <c r="J5303">
        <v>0</v>
      </c>
      <c r="K5303">
        <v>1</v>
      </c>
      <c r="L5303">
        <v>0</v>
      </c>
      <c r="M5303">
        <f>VLOOKUP(Table1[[#This Row],[subscription_type]],Plans!$A$1:$B$5,2,FALSE)</f>
        <v>9.99</v>
      </c>
      <c r="N5303">
        <f t="shared" si="82"/>
        <v>0</v>
      </c>
    </row>
    <row r="5304" spans="1:14" x14ac:dyDescent="0.35">
      <c r="A5304">
        <v>5303</v>
      </c>
      <c r="B5304" t="s">
        <v>16</v>
      </c>
      <c r="C5304">
        <v>53</v>
      </c>
      <c r="D5304" t="s">
        <v>21</v>
      </c>
      <c r="E5304" t="s">
        <v>22</v>
      </c>
      <c r="F5304">
        <v>13</v>
      </c>
      <c r="G5304">
        <v>39</v>
      </c>
      <c r="H5304">
        <v>0.44</v>
      </c>
      <c r="I5304" t="s">
        <v>23</v>
      </c>
      <c r="J5304">
        <v>0</v>
      </c>
      <c r="K5304">
        <v>1</v>
      </c>
      <c r="L5304">
        <v>0</v>
      </c>
      <c r="M5304">
        <f>VLOOKUP(Table1[[#This Row],[subscription_type]],Plans!$A$1:$B$5,2,FALSE)</f>
        <v>9.99</v>
      </c>
      <c r="N5304">
        <f t="shared" si="82"/>
        <v>0</v>
      </c>
    </row>
    <row r="5305" spans="1:14" x14ac:dyDescent="0.35">
      <c r="A5305">
        <v>5304</v>
      </c>
      <c r="B5305" t="s">
        <v>12</v>
      </c>
      <c r="C5305">
        <v>53</v>
      </c>
      <c r="D5305" t="s">
        <v>17</v>
      </c>
      <c r="E5305" t="s">
        <v>18</v>
      </c>
      <c r="F5305">
        <v>58</v>
      </c>
      <c r="G5305">
        <v>96</v>
      </c>
      <c r="H5305">
        <v>0.43</v>
      </c>
      <c r="I5305" t="s">
        <v>15</v>
      </c>
      <c r="J5305">
        <v>0</v>
      </c>
      <c r="K5305">
        <v>1</v>
      </c>
      <c r="L5305">
        <v>0</v>
      </c>
      <c r="M5305">
        <f>VLOOKUP(Table1[[#This Row],[subscription_type]],Plans!$A$1:$B$5,2,FALSE)</f>
        <v>14.99</v>
      </c>
      <c r="N5305">
        <f t="shared" si="82"/>
        <v>0</v>
      </c>
    </row>
    <row r="5306" spans="1:14" x14ac:dyDescent="0.35">
      <c r="A5306">
        <v>5305</v>
      </c>
      <c r="B5306" t="s">
        <v>12</v>
      </c>
      <c r="C5306">
        <v>54</v>
      </c>
      <c r="D5306" t="s">
        <v>17</v>
      </c>
      <c r="E5306" t="s">
        <v>18</v>
      </c>
      <c r="F5306">
        <v>174</v>
      </c>
      <c r="G5306">
        <v>89</v>
      </c>
      <c r="H5306">
        <v>0.3</v>
      </c>
      <c r="I5306" t="s">
        <v>23</v>
      </c>
      <c r="J5306">
        <v>0</v>
      </c>
      <c r="K5306">
        <v>1</v>
      </c>
      <c r="L5306">
        <v>1</v>
      </c>
      <c r="M5306">
        <f>VLOOKUP(Table1[[#This Row],[subscription_type]],Plans!$A$1:$B$5,2,FALSE)</f>
        <v>14.99</v>
      </c>
      <c r="N5306">
        <f t="shared" si="82"/>
        <v>14.99</v>
      </c>
    </row>
    <row r="5307" spans="1:14" x14ac:dyDescent="0.35">
      <c r="A5307">
        <v>5306</v>
      </c>
      <c r="B5307" t="s">
        <v>20</v>
      </c>
      <c r="C5307">
        <v>33</v>
      </c>
      <c r="D5307" t="s">
        <v>13</v>
      </c>
      <c r="E5307" t="s">
        <v>14</v>
      </c>
      <c r="F5307">
        <v>29</v>
      </c>
      <c r="G5307">
        <v>54</v>
      </c>
      <c r="H5307">
        <v>0.04</v>
      </c>
      <c r="I5307" t="s">
        <v>19</v>
      </c>
      <c r="J5307">
        <v>5</v>
      </c>
      <c r="K5307">
        <v>0</v>
      </c>
      <c r="L5307">
        <v>1</v>
      </c>
      <c r="M5307">
        <f>VLOOKUP(Table1[[#This Row],[subscription_type]],Plans!$A$1:$B$5,2,FALSE)</f>
        <v>0</v>
      </c>
      <c r="N5307">
        <f t="shared" si="82"/>
        <v>0</v>
      </c>
    </row>
    <row r="5308" spans="1:14" x14ac:dyDescent="0.35">
      <c r="A5308">
        <v>5307</v>
      </c>
      <c r="B5308" t="s">
        <v>16</v>
      </c>
      <c r="C5308">
        <v>49</v>
      </c>
      <c r="D5308" t="s">
        <v>27</v>
      </c>
      <c r="E5308" t="s">
        <v>24</v>
      </c>
      <c r="F5308">
        <v>280</v>
      </c>
      <c r="G5308">
        <v>51</v>
      </c>
      <c r="H5308">
        <v>0.37</v>
      </c>
      <c r="I5308" t="s">
        <v>15</v>
      </c>
      <c r="J5308">
        <v>0</v>
      </c>
      <c r="K5308">
        <v>1</v>
      </c>
      <c r="L5308">
        <v>0</v>
      </c>
      <c r="M5308">
        <f>VLOOKUP(Table1[[#This Row],[subscription_type]],Plans!$A$1:$B$5,2,FALSE)</f>
        <v>4.99</v>
      </c>
      <c r="N5308">
        <f t="shared" si="82"/>
        <v>0</v>
      </c>
    </row>
    <row r="5309" spans="1:14" x14ac:dyDescent="0.35">
      <c r="A5309">
        <v>5308</v>
      </c>
      <c r="B5309" t="s">
        <v>12</v>
      </c>
      <c r="C5309">
        <v>39</v>
      </c>
      <c r="D5309" t="s">
        <v>21</v>
      </c>
      <c r="E5309" t="s">
        <v>24</v>
      </c>
      <c r="F5309">
        <v>277</v>
      </c>
      <c r="G5309">
        <v>91</v>
      </c>
      <c r="H5309">
        <v>0.11</v>
      </c>
      <c r="I5309" t="s">
        <v>15</v>
      </c>
      <c r="J5309">
        <v>0</v>
      </c>
      <c r="K5309">
        <v>1</v>
      </c>
      <c r="L5309">
        <v>0</v>
      </c>
      <c r="M5309">
        <f>VLOOKUP(Table1[[#This Row],[subscription_type]],Plans!$A$1:$B$5,2,FALSE)</f>
        <v>4.99</v>
      </c>
      <c r="N5309">
        <f t="shared" si="82"/>
        <v>0</v>
      </c>
    </row>
    <row r="5310" spans="1:14" x14ac:dyDescent="0.35">
      <c r="A5310">
        <v>5309</v>
      </c>
      <c r="B5310" t="s">
        <v>16</v>
      </c>
      <c r="C5310">
        <v>32</v>
      </c>
      <c r="D5310" t="s">
        <v>21</v>
      </c>
      <c r="E5310" t="s">
        <v>22</v>
      </c>
      <c r="F5310">
        <v>296</v>
      </c>
      <c r="G5310">
        <v>1</v>
      </c>
      <c r="H5310">
        <v>0.02</v>
      </c>
      <c r="I5310" t="s">
        <v>23</v>
      </c>
      <c r="J5310">
        <v>0</v>
      </c>
      <c r="K5310">
        <v>1</v>
      </c>
      <c r="L5310">
        <v>0</v>
      </c>
      <c r="M5310">
        <f>VLOOKUP(Table1[[#This Row],[subscription_type]],Plans!$A$1:$B$5,2,FALSE)</f>
        <v>9.99</v>
      </c>
      <c r="N5310">
        <f t="shared" si="82"/>
        <v>0</v>
      </c>
    </row>
    <row r="5311" spans="1:14" x14ac:dyDescent="0.35">
      <c r="A5311">
        <v>5310</v>
      </c>
      <c r="B5311" t="s">
        <v>16</v>
      </c>
      <c r="C5311">
        <v>37</v>
      </c>
      <c r="D5311" t="s">
        <v>26</v>
      </c>
      <c r="E5311" t="s">
        <v>14</v>
      </c>
      <c r="F5311">
        <v>171</v>
      </c>
      <c r="G5311">
        <v>42</v>
      </c>
      <c r="H5311">
        <v>0.15</v>
      </c>
      <c r="I5311" t="s">
        <v>15</v>
      </c>
      <c r="J5311">
        <v>32</v>
      </c>
      <c r="K5311">
        <v>0</v>
      </c>
      <c r="L5311">
        <v>0</v>
      </c>
      <c r="M5311">
        <f>VLOOKUP(Table1[[#This Row],[subscription_type]],Plans!$A$1:$B$5,2,FALSE)</f>
        <v>0</v>
      </c>
      <c r="N5311">
        <f t="shared" si="82"/>
        <v>0</v>
      </c>
    </row>
    <row r="5312" spans="1:14" x14ac:dyDescent="0.35">
      <c r="A5312">
        <v>5311</v>
      </c>
      <c r="B5312" t="s">
        <v>20</v>
      </c>
      <c r="C5312">
        <v>28</v>
      </c>
      <c r="D5312" t="s">
        <v>26</v>
      </c>
      <c r="E5312" t="s">
        <v>22</v>
      </c>
      <c r="F5312">
        <v>270</v>
      </c>
      <c r="G5312">
        <v>5</v>
      </c>
      <c r="H5312">
        <v>0.09</v>
      </c>
      <c r="I5312" t="s">
        <v>19</v>
      </c>
      <c r="J5312">
        <v>0</v>
      </c>
      <c r="K5312">
        <v>1</v>
      </c>
      <c r="L5312">
        <v>0</v>
      </c>
      <c r="M5312">
        <f>VLOOKUP(Table1[[#This Row],[subscription_type]],Plans!$A$1:$B$5,2,FALSE)</f>
        <v>9.99</v>
      </c>
      <c r="N5312">
        <f t="shared" si="82"/>
        <v>0</v>
      </c>
    </row>
    <row r="5313" spans="1:14" x14ac:dyDescent="0.35">
      <c r="A5313">
        <v>5312</v>
      </c>
      <c r="B5313" t="s">
        <v>16</v>
      </c>
      <c r="C5313">
        <v>36</v>
      </c>
      <c r="D5313" t="s">
        <v>17</v>
      </c>
      <c r="E5313" t="s">
        <v>18</v>
      </c>
      <c r="F5313">
        <v>29</v>
      </c>
      <c r="G5313">
        <v>55</v>
      </c>
      <c r="H5313">
        <v>0.27</v>
      </c>
      <c r="I5313" t="s">
        <v>23</v>
      </c>
      <c r="J5313">
        <v>0</v>
      </c>
      <c r="K5313">
        <v>1</v>
      </c>
      <c r="L5313">
        <v>0</v>
      </c>
      <c r="M5313">
        <f>VLOOKUP(Table1[[#This Row],[subscription_type]],Plans!$A$1:$B$5,2,FALSE)</f>
        <v>14.99</v>
      </c>
      <c r="N5313">
        <f t="shared" si="82"/>
        <v>0</v>
      </c>
    </row>
    <row r="5314" spans="1:14" x14ac:dyDescent="0.35">
      <c r="A5314">
        <v>5313</v>
      </c>
      <c r="B5314" t="s">
        <v>16</v>
      </c>
      <c r="C5314">
        <v>42</v>
      </c>
      <c r="D5314" t="s">
        <v>25</v>
      </c>
      <c r="E5314" t="s">
        <v>14</v>
      </c>
      <c r="F5314">
        <v>65</v>
      </c>
      <c r="G5314">
        <v>87</v>
      </c>
      <c r="H5314">
        <v>0.24</v>
      </c>
      <c r="I5314" t="s">
        <v>15</v>
      </c>
      <c r="J5314">
        <v>23</v>
      </c>
      <c r="K5314">
        <v>0</v>
      </c>
      <c r="L5314">
        <v>0</v>
      </c>
      <c r="M5314">
        <f>VLOOKUP(Table1[[#This Row],[subscription_type]],Plans!$A$1:$B$5,2,FALSE)</f>
        <v>0</v>
      </c>
      <c r="N5314">
        <f t="shared" ref="N5314:N5377" si="83">IF(L5314=1, M5314,0)</f>
        <v>0</v>
      </c>
    </row>
    <row r="5315" spans="1:14" x14ac:dyDescent="0.35">
      <c r="A5315">
        <v>5314</v>
      </c>
      <c r="B5315" t="s">
        <v>12</v>
      </c>
      <c r="C5315">
        <v>22</v>
      </c>
      <c r="D5315" t="s">
        <v>13</v>
      </c>
      <c r="E5315" t="s">
        <v>14</v>
      </c>
      <c r="F5315">
        <v>232</v>
      </c>
      <c r="G5315">
        <v>70</v>
      </c>
      <c r="H5315">
        <v>0.55000000000000004</v>
      </c>
      <c r="I5315" t="s">
        <v>19</v>
      </c>
      <c r="J5315">
        <v>12</v>
      </c>
      <c r="K5315">
        <v>0</v>
      </c>
      <c r="L5315">
        <v>1</v>
      </c>
      <c r="M5315">
        <f>VLOOKUP(Table1[[#This Row],[subscription_type]],Plans!$A$1:$B$5,2,FALSE)</f>
        <v>0</v>
      </c>
      <c r="N5315">
        <f t="shared" si="83"/>
        <v>0</v>
      </c>
    </row>
    <row r="5316" spans="1:14" x14ac:dyDescent="0.35">
      <c r="A5316">
        <v>5315</v>
      </c>
      <c r="B5316" t="s">
        <v>12</v>
      </c>
      <c r="C5316">
        <v>21</v>
      </c>
      <c r="D5316" t="s">
        <v>25</v>
      </c>
      <c r="E5316" t="s">
        <v>24</v>
      </c>
      <c r="F5316">
        <v>90</v>
      </c>
      <c r="G5316">
        <v>65</v>
      </c>
      <c r="H5316">
        <v>0.4</v>
      </c>
      <c r="I5316" t="s">
        <v>19</v>
      </c>
      <c r="J5316">
        <v>0</v>
      </c>
      <c r="K5316">
        <v>1</v>
      </c>
      <c r="L5316">
        <v>0</v>
      </c>
      <c r="M5316">
        <f>VLOOKUP(Table1[[#This Row],[subscription_type]],Plans!$A$1:$B$5,2,FALSE)</f>
        <v>4.99</v>
      </c>
      <c r="N5316">
        <f t="shared" si="83"/>
        <v>0</v>
      </c>
    </row>
    <row r="5317" spans="1:14" x14ac:dyDescent="0.35">
      <c r="A5317">
        <v>5316</v>
      </c>
      <c r="B5317" t="s">
        <v>12</v>
      </c>
      <c r="C5317">
        <v>54</v>
      </c>
      <c r="D5317" t="s">
        <v>29</v>
      </c>
      <c r="E5317" t="s">
        <v>22</v>
      </c>
      <c r="F5317">
        <v>182</v>
      </c>
      <c r="G5317">
        <v>78</v>
      </c>
      <c r="H5317">
        <v>0.25</v>
      </c>
      <c r="I5317" t="s">
        <v>23</v>
      </c>
      <c r="J5317">
        <v>0</v>
      </c>
      <c r="K5317">
        <v>1</v>
      </c>
      <c r="L5317">
        <v>1</v>
      </c>
      <c r="M5317">
        <f>VLOOKUP(Table1[[#This Row],[subscription_type]],Plans!$A$1:$B$5,2,FALSE)</f>
        <v>9.99</v>
      </c>
      <c r="N5317">
        <f t="shared" si="83"/>
        <v>9.99</v>
      </c>
    </row>
    <row r="5318" spans="1:14" x14ac:dyDescent="0.35">
      <c r="A5318">
        <v>5317</v>
      </c>
      <c r="B5318" t="s">
        <v>16</v>
      </c>
      <c r="C5318">
        <v>58</v>
      </c>
      <c r="D5318" t="s">
        <v>26</v>
      </c>
      <c r="E5318" t="s">
        <v>18</v>
      </c>
      <c r="F5318">
        <v>47</v>
      </c>
      <c r="G5318">
        <v>96</v>
      </c>
      <c r="H5318">
        <v>0.35</v>
      </c>
      <c r="I5318" t="s">
        <v>23</v>
      </c>
      <c r="J5318">
        <v>0</v>
      </c>
      <c r="K5318">
        <v>1</v>
      </c>
      <c r="L5318">
        <v>1</v>
      </c>
      <c r="M5318">
        <f>VLOOKUP(Table1[[#This Row],[subscription_type]],Plans!$A$1:$B$5,2,FALSE)</f>
        <v>14.99</v>
      </c>
      <c r="N5318">
        <f t="shared" si="83"/>
        <v>14.99</v>
      </c>
    </row>
    <row r="5319" spans="1:14" x14ac:dyDescent="0.35">
      <c r="A5319">
        <v>5318</v>
      </c>
      <c r="B5319" t="s">
        <v>12</v>
      </c>
      <c r="C5319">
        <v>25</v>
      </c>
      <c r="D5319" t="s">
        <v>28</v>
      </c>
      <c r="E5319" t="s">
        <v>14</v>
      </c>
      <c r="F5319">
        <v>107</v>
      </c>
      <c r="G5319">
        <v>83</v>
      </c>
      <c r="H5319">
        <v>0.13</v>
      </c>
      <c r="I5319" t="s">
        <v>23</v>
      </c>
      <c r="J5319">
        <v>17</v>
      </c>
      <c r="K5319">
        <v>0</v>
      </c>
      <c r="L5319">
        <v>0</v>
      </c>
      <c r="M5319">
        <f>VLOOKUP(Table1[[#This Row],[subscription_type]],Plans!$A$1:$B$5,2,FALSE)</f>
        <v>0</v>
      </c>
      <c r="N5319">
        <f t="shared" si="83"/>
        <v>0</v>
      </c>
    </row>
    <row r="5320" spans="1:14" x14ac:dyDescent="0.35">
      <c r="A5320">
        <v>5319</v>
      </c>
      <c r="B5320" t="s">
        <v>20</v>
      </c>
      <c r="C5320">
        <v>37</v>
      </c>
      <c r="D5320" t="s">
        <v>29</v>
      </c>
      <c r="E5320" t="s">
        <v>14</v>
      </c>
      <c r="F5320">
        <v>12</v>
      </c>
      <c r="G5320">
        <v>87</v>
      </c>
      <c r="H5320">
        <v>0.42</v>
      </c>
      <c r="I5320" t="s">
        <v>15</v>
      </c>
      <c r="J5320">
        <v>30</v>
      </c>
      <c r="K5320">
        <v>0</v>
      </c>
      <c r="L5320">
        <v>0</v>
      </c>
      <c r="M5320">
        <f>VLOOKUP(Table1[[#This Row],[subscription_type]],Plans!$A$1:$B$5,2,FALSE)</f>
        <v>0</v>
      </c>
      <c r="N5320">
        <f t="shared" si="83"/>
        <v>0</v>
      </c>
    </row>
    <row r="5321" spans="1:14" x14ac:dyDescent="0.35">
      <c r="A5321">
        <v>5320</v>
      </c>
      <c r="B5321" t="s">
        <v>12</v>
      </c>
      <c r="C5321">
        <v>33</v>
      </c>
      <c r="D5321" t="s">
        <v>21</v>
      </c>
      <c r="E5321" t="s">
        <v>18</v>
      </c>
      <c r="F5321">
        <v>204</v>
      </c>
      <c r="G5321">
        <v>96</v>
      </c>
      <c r="H5321">
        <v>0.5</v>
      </c>
      <c r="I5321" t="s">
        <v>15</v>
      </c>
      <c r="J5321">
        <v>0</v>
      </c>
      <c r="K5321">
        <v>1</v>
      </c>
      <c r="L5321">
        <v>0</v>
      </c>
      <c r="M5321">
        <f>VLOOKUP(Table1[[#This Row],[subscription_type]],Plans!$A$1:$B$5,2,FALSE)</f>
        <v>14.99</v>
      </c>
      <c r="N5321">
        <f t="shared" si="83"/>
        <v>0</v>
      </c>
    </row>
    <row r="5322" spans="1:14" x14ac:dyDescent="0.35">
      <c r="A5322">
        <v>5321</v>
      </c>
      <c r="B5322" t="s">
        <v>16</v>
      </c>
      <c r="C5322">
        <v>57</v>
      </c>
      <c r="D5322" t="s">
        <v>25</v>
      </c>
      <c r="E5322" t="s">
        <v>22</v>
      </c>
      <c r="F5322">
        <v>292</v>
      </c>
      <c r="G5322">
        <v>23</v>
      </c>
      <c r="H5322">
        <v>7.0000000000000007E-2</v>
      </c>
      <c r="I5322" t="s">
        <v>15</v>
      </c>
      <c r="J5322">
        <v>0</v>
      </c>
      <c r="K5322">
        <v>1</v>
      </c>
      <c r="L5322">
        <v>0</v>
      </c>
      <c r="M5322">
        <f>VLOOKUP(Table1[[#This Row],[subscription_type]],Plans!$A$1:$B$5,2,FALSE)</f>
        <v>9.99</v>
      </c>
      <c r="N5322">
        <f t="shared" si="83"/>
        <v>0</v>
      </c>
    </row>
    <row r="5323" spans="1:14" x14ac:dyDescent="0.35">
      <c r="A5323">
        <v>5322</v>
      </c>
      <c r="B5323" t="s">
        <v>12</v>
      </c>
      <c r="C5323">
        <v>44</v>
      </c>
      <c r="D5323" t="s">
        <v>17</v>
      </c>
      <c r="E5323" t="s">
        <v>18</v>
      </c>
      <c r="F5323">
        <v>213</v>
      </c>
      <c r="G5323">
        <v>56</v>
      </c>
      <c r="H5323">
        <v>0.06</v>
      </c>
      <c r="I5323" t="s">
        <v>19</v>
      </c>
      <c r="J5323">
        <v>0</v>
      </c>
      <c r="K5323">
        <v>1</v>
      </c>
      <c r="L5323">
        <v>1</v>
      </c>
      <c r="M5323">
        <f>VLOOKUP(Table1[[#This Row],[subscription_type]],Plans!$A$1:$B$5,2,FALSE)</f>
        <v>14.99</v>
      </c>
      <c r="N5323">
        <f t="shared" si="83"/>
        <v>14.99</v>
      </c>
    </row>
    <row r="5324" spans="1:14" x14ac:dyDescent="0.35">
      <c r="A5324">
        <v>5323</v>
      </c>
      <c r="B5324" t="s">
        <v>20</v>
      </c>
      <c r="C5324">
        <v>37</v>
      </c>
      <c r="D5324" t="s">
        <v>26</v>
      </c>
      <c r="E5324" t="s">
        <v>24</v>
      </c>
      <c r="F5324">
        <v>286</v>
      </c>
      <c r="G5324">
        <v>75</v>
      </c>
      <c r="H5324">
        <v>0.21</v>
      </c>
      <c r="I5324" t="s">
        <v>19</v>
      </c>
      <c r="J5324">
        <v>0</v>
      </c>
      <c r="K5324">
        <v>1</v>
      </c>
      <c r="L5324">
        <v>0</v>
      </c>
      <c r="M5324">
        <f>VLOOKUP(Table1[[#This Row],[subscription_type]],Plans!$A$1:$B$5,2,FALSE)</f>
        <v>4.99</v>
      </c>
      <c r="N5324">
        <f t="shared" si="83"/>
        <v>0</v>
      </c>
    </row>
    <row r="5325" spans="1:14" x14ac:dyDescent="0.35">
      <c r="A5325">
        <v>5324</v>
      </c>
      <c r="B5325" t="s">
        <v>12</v>
      </c>
      <c r="C5325">
        <v>46</v>
      </c>
      <c r="D5325" t="s">
        <v>29</v>
      </c>
      <c r="E5325" t="s">
        <v>18</v>
      </c>
      <c r="F5325">
        <v>116</v>
      </c>
      <c r="G5325">
        <v>49</v>
      </c>
      <c r="H5325">
        <v>0.45</v>
      </c>
      <c r="I5325" t="s">
        <v>23</v>
      </c>
      <c r="J5325">
        <v>0</v>
      </c>
      <c r="K5325">
        <v>1</v>
      </c>
      <c r="L5325">
        <v>0</v>
      </c>
      <c r="M5325">
        <f>VLOOKUP(Table1[[#This Row],[subscription_type]],Plans!$A$1:$B$5,2,FALSE)</f>
        <v>14.99</v>
      </c>
      <c r="N5325">
        <f t="shared" si="83"/>
        <v>0</v>
      </c>
    </row>
    <row r="5326" spans="1:14" x14ac:dyDescent="0.35">
      <c r="A5326">
        <v>5325</v>
      </c>
      <c r="B5326" t="s">
        <v>20</v>
      </c>
      <c r="C5326">
        <v>57</v>
      </c>
      <c r="D5326" t="s">
        <v>29</v>
      </c>
      <c r="E5326" t="s">
        <v>14</v>
      </c>
      <c r="F5326">
        <v>266</v>
      </c>
      <c r="G5326">
        <v>19</v>
      </c>
      <c r="H5326">
        <v>0.36</v>
      </c>
      <c r="I5326" t="s">
        <v>19</v>
      </c>
      <c r="J5326">
        <v>35</v>
      </c>
      <c r="K5326">
        <v>0</v>
      </c>
      <c r="L5326">
        <v>0</v>
      </c>
      <c r="M5326">
        <f>VLOOKUP(Table1[[#This Row],[subscription_type]],Plans!$A$1:$B$5,2,FALSE)</f>
        <v>0</v>
      </c>
      <c r="N5326">
        <f t="shared" si="83"/>
        <v>0</v>
      </c>
    </row>
    <row r="5327" spans="1:14" x14ac:dyDescent="0.35">
      <c r="A5327">
        <v>5326</v>
      </c>
      <c r="B5327" t="s">
        <v>12</v>
      </c>
      <c r="C5327">
        <v>42</v>
      </c>
      <c r="D5327" t="s">
        <v>17</v>
      </c>
      <c r="E5327" t="s">
        <v>14</v>
      </c>
      <c r="F5327">
        <v>74</v>
      </c>
      <c r="G5327">
        <v>96</v>
      </c>
      <c r="H5327">
        <v>0.42</v>
      </c>
      <c r="I5327" t="s">
        <v>19</v>
      </c>
      <c r="J5327">
        <v>49</v>
      </c>
      <c r="K5327">
        <v>0</v>
      </c>
      <c r="L5327">
        <v>0</v>
      </c>
      <c r="M5327">
        <f>VLOOKUP(Table1[[#This Row],[subscription_type]],Plans!$A$1:$B$5,2,FALSE)</f>
        <v>0</v>
      </c>
      <c r="N5327">
        <f t="shared" si="83"/>
        <v>0</v>
      </c>
    </row>
    <row r="5328" spans="1:14" x14ac:dyDescent="0.35">
      <c r="A5328">
        <v>5327</v>
      </c>
      <c r="B5328" t="s">
        <v>20</v>
      </c>
      <c r="C5328">
        <v>25</v>
      </c>
      <c r="D5328" t="s">
        <v>25</v>
      </c>
      <c r="E5328" t="s">
        <v>14</v>
      </c>
      <c r="F5328">
        <v>171</v>
      </c>
      <c r="G5328">
        <v>52</v>
      </c>
      <c r="H5328">
        <v>0.36</v>
      </c>
      <c r="I5328" t="s">
        <v>19</v>
      </c>
      <c r="J5328">
        <v>11</v>
      </c>
      <c r="K5328">
        <v>0</v>
      </c>
      <c r="L5328">
        <v>0</v>
      </c>
      <c r="M5328">
        <f>VLOOKUP(Table1[[#This Row],[subscription_type]],Plans!$A$1:$B$5,2,FALSE)</f>
        <v>0</v>
      </c>
      <c r="N5328">
        <f t="shared" si="83"/>
        <v>0</v>
      </c>
    </row>
    <row r="5329" spans="1:14" x14ac:dyDescent="0.35">
      <c r="A5329">
        <v>5328</v>
      </c>
      <c r="B5329" t="s">
        <v>16</v>
      </c>
      <c r="C5329">
        <v>36</v>
      </c>
      <c r="D5329" t="s">
        <v>21</v>
      </c>
      <c r="E5329" t="s">
        <v>14</v>
      </c>
      <c r="F5329">
        <v>164</v>
      </c>
      <c r="G5329">
        <v>66</v>
      </c>
      <c r="H5329">
        <v>0.1</v>
      </c>
      <c r="I5329" t="s">
        <v>19</v>
      </c>
      <c r="J5329">
        <v>48</v>
      </c>
      <c r="K5329">
        <v>0</v>
      </c>
      <c r="L5329">
        <v>0</v>
      </c>
      <c r="M5329">
        <f>VLOOKUP(Table1[[#This Row],[subscription_type]],Plans!$A$1:$B$5,2,FALSE)</f>
        <v>0</v>
      </c>
      <c r="N5329">
        <f t="shared" si="83"/>
        <v>0</v>
      </c>
    </row>
    <row r="5330" spans="1:14" x14ac:dyDescent="0.35">
      <c r="A5330">
        <v>5329</v>
      </c>
      <c r="B5330" t="s">
        <v>12</v>
      </c>
      <c r="C5330">
        <v>56</v>
      </c>
      <c r="D5330" t="s">
        <v>21</v>
      </c>
      <c r="E5330" t="s">
        <v>18</v>
      </c>
      <c r="F5330">
        <v>216</v>
      </c>
      <c r="G5330">
        <v>73</v>
      </c>
      <c r="H5330">
        <v>0.56000000000000005</v>
      </c>
      <c r="I5330" t="s">
        <v>23</v>
      </c>
      <c r="J5330">
        <v>0</v>
      </c>
      <c r="K5330">
        <v>1</v>
      </c>
      <c r="L5330">
        <v>0</v>
      </c>
      <c r="M5330">
        <f>VLOOKUP(Table1[[#This Row],[subscription_type]],Plans!$A$1:$B$5,2,FALSE)</f>
        <v>14.99</v>
      </c>
      <c r="N5330">
        <f t="shared" si="83"/>
        <v>0</v>
      </c>
    </row>
    <row r="5331" spans="1:14" x14ac:dyDescent="0.35">
      <c r="A5331">
        <v>5330</v>
      </c>
      <c r="B5331" t="s">
        <v>20</v>
      </c>
      <c r="C5331">
        <v>25</v>
      </c>
      <c r="D5331" t="s">
        <v>13</v>
      </c>
      <c r="E5331" t="s">
        <v>14</v>
      </c>
      <c r="F5331">
        <v>26</v>
      </c>
      <c r="G5331">
        <v>24</v>
      </c>
      <c r="H5331">
        <v>0.01</v>
      </c>
      <c r="I5331" t="s">
        <v>23</v>
      </c>
      <c r="J5331">
        <v>42</v>
      </c>
      <c r="K5331">
        <v>0</v>
      </c>
      <c r="L5331">
        <v>0</v>
      </c>
      <c r="M5331">
        <f>VLOOKUP(Table1[[#This Row],[subscription_type]],Plans!$A$1:$B$5,2,FALSE)</f>
        <v>0</v>
      </c>
      <c r="N5331">
        <f t="shared" si="83"/>
        <v>0</v>
      </c>
    </row>
    <row r="5332" spans="1:14" x14ac:dyDescent="0.35">
      <c r="A5332">
        <v>5331</v>
      </c>
      <c r="B5332" t="s">
        <v>12</v>
      </c>
      <c r="C5332">
        <v>42</v>
      </c>
      <c r="D5332" t="s">
        <v>13</v>
      </c>
      <c r="E5332" t="s">
        <v>22</v>
      </c>
      <c r="F5332">
        <v>129</v>
      </c>
      <c r="G5332">
        <v>77</v>
      </c>
      <c r="H5332">
        <v>0.55000000000000004</v>
      </c>
      <c r="I5332" t="s">
        <v>15</v>
      </c>
      <c r="J5332">
        <v>0</v>
      </c>
      <c r="K5332">
        <v>1</v>
      </c>
      <c r="L5332">
        <v>1</v>
      </c>
      <c r="M5332">
        <f>VLOOKUP(Table1[[#This Row],[subscription_type]],Plans!$A$1:$B$5,2,FALSE)</f>
        <v>9.99</v>
      </c>
      <c r="N5332">
        <f t="shared" si="83"/>
        <v>9.99</v>
      </c>
    </row>
    <row r="5333" spans="1:14" x14ac:dyDescent="0.35">
      <c r="A5333">
        <v>5332</v>
      </c>
      <c r="B5333" t="s">
        <v>20</v>
      </c>
      <c r="C5333">
        <v>36</v>
      </c>
      <c r="D5333" t="s">
        <v>13</v>
      </c>
      <c r="E5333" t="s">
        <v>18</v>
      </c>
      <c r="F5333">
        <v>94</v>
      </c>
      <c r="G5333">
        <v>99</v>
      </c>
      <c r="H5333">
        <v>0.32</v>
      </c>
      <c r="I5333" t="s">
        <v>19</v>
      </c>
      <c r="J5333">
        <v>0</v>
      </c>
      <c r="K5333">
        <v>1</v>
      </c>
      <c r="L5333">
        <v>0</v>
      </c>
      <c r="M5333">
        <f>VLOOKUP(Table1[[#This Row],[subscription_type]],Plans!$A$1:$B$5,2,FALSE)</f>
        <v>14.99</v>
      </c>
      <c r="N5333">
        <f t="shared" si="83"/>
        <v>0</v>
      </c>
    </row>
    <row r="5334" spans="1:14" x14ac:dyDescent="0.35">
      <c r="A5334">
        <v>5333</v>
      </c>
      <c r="B5334" t="s">
        <v>20</v>
      </c>
      <c r="C5334">
        <v>59</v>
      </c>
      <c r="D5334" t="s">
        <v>17</v>
      </c>
      <c r="E5334" t="s">
        <v>18</v>
      </c>
      <c r="F5334">
        <v>117</v>
      </c>
      <c r="G5334">
        <v>12</v>
      </c>
      <c r="H5334">
        <v>0.48</v>
      </c>
      <c r="I5334" t="s">
        <v>23</v>
      </c>
      <c r="J5334">
        <v>0</v>
      </c>
      <c r="K5334">
        <v>1</v>
      </c>
      <c r="L5334">
        <v>0</v>
      </c>
      <c r="M5334">
        <f>VLOOKUP(Table1[[#This Row],[subscription_type]],Plans!$A$1:$B$5,2,FALSE)</f>
        <v>14.99</v>
      </c>
      <c r="N5334">
        <f t="shared" si="83"/>
        <v>0</v>
      </c>
    </row>
    <row r="5335" spans="1:14" x14ac:dyDescent="0.35">
      <c r="A5335">
        <v>5334</v>
      </c>
      <c r="B5335" t="s">
        <v>12</v>
      </c>
      <c r="C5335">
        <v>46</v>
      </c>
      <c r="D5335" t="s">
        <v>26</v>
      </c>
      <c r="E5335" t="s">
        <v>14</v>
      </c>
      <c r="F5335">
        <v>298</v>
      </c>
      <c r="G5335">
        <v>18</v>
      </c>
      <c r="H5335">
        <v>0.27</v>
      </c>
      <c r="I5335" t="s">
        <v>19</v>
      </c>
      <c r="J5335">
        <v>35</v>
      </c>
      <c r="K5335">
        <v>0</v>
      </c>
      <c r="L5335">
        <v>0</v>
      </c>
      <c r="M5335">
        <f>VLOOKUP(Table1[[#This Row],[subscription_type]],Plans!$A$1:$B$5,2,FALSE)</f>
        <v>0</v>
      </c>
      <c r="N5335">
        <f t="shared" si="83"/>
        <v>0</v>
      </c>
    </row>
    <row r="5336" spans="1:14" x14ac:dyDescent="0.35">
      <c r="A5336">
        <v>5335</v>
      </c>
      <c r="B5336" t="s">
        <v>12</v>
      </c>
      <c r="C5336">
        <v>33</v>
      </c>
      <c r="D5336" t="s">
        <v>13</v>
      </c>
      <c r="E5336" t="s">
        <v>18</v>
      </c>
      <c r="F5336">
        <v>151</v>
      </c>
      <c r="G5336">
        <v>69</v>
      </c>
      <c r="H5336">
        <v>0.51</v>
      </c>
      <c r="I5336" t="s">
        <v>15</v>
      </c>
      <c r="J5336">
        <v>0</v>
      </c>
      <c r="K5336">
        <v>1</v>
      </c>
      <c r="L5336">
        <v>0</v>
      </c>
      <c r="M5336">
        <f>VLOOKUP(Table1[[#This Row],[subscription_type]],Plans!$A$1:$B$5,2,FALSE)</f>
        <v>14.99</v>
      </c>
      <c r="N5336">
        <f t="shared" si="83"/>
        <v>0</v>
      </c>
    </row>
    <row r="5337" spans="1:14" x14ac:dyDescent="0.35">
      <c r="A5337">
        <v>5336</v>
      </c>
      <c r="B5337" t="s">
        <v>12</v>
      </c>
      <c r="C5337">
        <v>53</v>
      </c>
      <c r="D5337" t="s">
        <v>25</v>
      </c>
      <c r="E5337" t="s">
        <v>22</v>
      </c>
      <c r="F5337">
        <v>111</v>
      </c>
      <c r="G5337">
        <v>65</v>
      </c>
      <c r="H5337">
        <v>0.28000000000000003</v>
      </c>
      <c r="I5337" t="s">
        <v>15</v>
      </c>
      <c r="J5337">
        <v>0</v>
      </c>
      <c r="K5337">
        <v>1</v>
      </c>
      <c r="L5337">
        <v>0</v>
      </c>
      <c r="M5337">
        <f>VLOOKUP(Table1[[#This Row],[subscription_type]],Plans!$A$1:$B$5,2,FALSE)</f>
        <v>9.99</v>
      </c>
      <c r="N5337">
        <f t="shared" si="83"/>
        <v>0</v>
      </c>
    </row>
    <row r="5338" spans="1:14" x14ac:dyDescent="0.35">
      <c r="A5338">
        <v>5337</v>
      </c>
      <c r="B5338" t="s">
        <v>20</v>
      </c>
      <c r="C5338">
        <v>58</v>
      </c>
      <c r="D5338" t="s">
        <v>13</v>
      </c>
      <c r="E5338" t="s">
        <v>22</v>
      </c>
      <c r="F5338">
        <v>135</v>
      </c>
      <c r="G5338">
        <v>34</v>
      </c>
      <c r="H5338">
        <v>0.22</v>
      </c>
      <c r="I5338" t="s">
        <v>19</v>
      </c>
      <c r="J5338">
        <v>0</v>
      </c>
      <c r="K5338">
        <v>1</v>
      </c>
      <c r="L5338">
        <v>0</v>
      </c>
      <c r="M5338">
        <f>VLOOKUP(Table1[[#This Row],[subscription_type]],Plans!$A$1:$B$5,2,FALSE)</f>
        <v>9.99</v>
      </c>
      <c r="N5338">
        <f t="shared" si="83"/>
        <v>0</v>
      </c>
    </row>
    <row r="5339" spans="1:14" x14ac:dyDescent="0.35">
      <c r="A5339">
        <v>5338</v>
      </c>
      <c r="B5339" t="s">
        <v>12</v>
      </c>
      <c r="C5339">
        <v>48</v>
      </c>
      <c r="D5339" t="s">
        <v>17</v>
      </c>
      <c r="E5339" t="s">
        <v>14</v>
      </c>
      <c r="F5339">
        <v>179</v>
      </c>
      <c r="G5339">
        <v>36</v>
      </c>
      <c r="H5339">
        <v>0.34</v>
      </c>
      <c r="I5339" t="s">
        <v>19</v>
      </c>
      <c r="J5339">
        <v>32</v>
      </c>
      <c r="K5339">
        <v>0</v>
      </c>
      <c r="L5339">
        <v>0</v>
      </c>
      <c r="M5339">
        <f>VLOOKUP(Table1[[#This Row],[subscription_type]],Plans!$A$1:$B$5,2,FALSE)</f>
        <v>0</v>
      </c>
      <c r="N5339">
        <f t="shared" si="83"/>
        <v>0</v>
      </c>
    </row>
    <row r="5340" spans="1:14" x14ac:dyDescent="0.35">
      <c r="A5340">
        <v>5339</v>
      </c>
      <c r="B5340" t="s">
        <v>16</v>
      </c>
      <c r="C5340">
        <v>44</v>
      </c>
      <c r="D5340" t="s">
        <v>25</v>
      </c>
      <c r="E5340" t="s">
        <v>22</v>
      </c>
      <c r="F5340">
        <v>142</v>
      </c>
      <c r="G5340">
        <v>51</v>
      </c>
      <c r="H5340">
        <v>0.09</v>
      </c>
      <c r="I5340" t="s">
        <v>15</v>
      </c>
      <c r="J5340">
        <v>0</v>
      </c>
      <c r="K5340">
        <v>1</v>
      </c>
      <c r="L5340">
        <v>1</v>
      </c>
      <c r="M5340">
        <f>VLOOKUP(Table1[[#This Row],[subscription_type]],Plans!$A$1:$B$5,2,FALSE)</f>
        <v>9.99</v>
      </c>
      <c r="N5340">
        <f t="shared" si="83"/>
        <v>9.99</v>
      </c>
    </row>
    <row r="5341" spans="1:14" x14ac:dyDescent="0.35">
      <c r="A5341">
        <v>5340</v>
      </c>
      <c r="B5341" t="s">
        <v>12</v>
      </c>
      <c r="C5341">
        <v>39</v>
      </c>
      <c r="D5341" t="s">
        <v>28</v>
      </c>
      <c r="E5341" t="s">
        <v>22</v>
      </c>
      <c r="F5341">
        <v>61</v>
      </c>
      <c r="G5341">
        <v>42</v>
      </c>
      <c r="H5341">
        <v>0.27</v>
      </c>
      <c r="I5341" t="s">
        <v>23</v>
      </c>
      <c r="J5341">
        <v>0</v>
      </c>
      <c r="K5341">
        <v>1</v>
      </c>
      <c r="L5341">
        <v>1</v>
      </c>
      <c r="M5341">
        <f>VLOOKUP(Table1[[#This Row],[subscription_type]],Plans!$A$1:$B$5,2,FALSE)</f>
        <v>9.99</v>
      </c>
      <c r="N5341">
        <f t="shared" si="83"/>
        <v>9.99</v>
      </c>
    </row>
    <row r="5342" spans="1:14" x14ac:dyDescent="0.35">
      <c r="A5342">
        <v>5341</v>
      </c>
      <c r="B5342" t="s">
        <v>20</v>
      </c>
      <c r="C5342">
        <v>57</v>
      </c>
      <c r="D5342" t="s">
        <v>25</v>
      </c>
      <c r="E5342" t="s">
        <v>18</v>
      </c>
      <c r="F5342">
        <v>123</v>
      </c>
      <c r="G5342">
        <v>62</v>
      </c>
      <c r="H5342">
        <v>0.04</v>
      </c>
      <c r="I5342" t="s">
        <v>19</v>
      </c>
      <c r="J5342">
        <v>0</v>
      </c>
      <c r="K5342">
        <v>1</v>
      </c>
      <c r="L5342">
        <v>0</v>
      </c>
      <c r="M5342">
        <f>VLOOKUP(Table1[[#This Row],[subscription_type]],Plans!$A$1:$B$5,2,FALSE)</f>
        <v>14.99</v>
      </c>
      <c r="N5342">
        <f t="shared" si="83"/>
        <v>0</v>
      </c>
    </row>
    <row r="5343" spans="1:14" x14ac:dyDescent="0.35">
      <c r="A5343">
        <v>5342</v>
      </c>
      <c r="B5343" t="s">
        <v>20</v>
      </c>
      <c r="C5343">
        <v>28</v>
      </c>
      <c r="D5343" t="s">
        <v>13</v>
      </c>
      <c r="E5343" t="s">
        <v>22</v>
      </c>
      <c r="F5343">
        <v>89</v>
      </c>
      <c r="G5343">
        <v>22</v>
      </c>
      <c r="H5343">
        <v>0.13</v>
      </c>
      <c r="I5343" t="s">
        <v>19</v>
      </c>
      <c r="J5343">
        <v>0</v>
      </c>
      <c r="K5343">
        <v>1</v>
      </c>
      <c r="L5343">
        <v>0</v>
      </c>
      <c r="M5343">
        <f>VLOOKUP(Table1[[#This Row],[subscription_type]],Plans!$A$1:$B$5,2,FALSE)</f>
        <v>9.99</v>
      </c>
      <c r="N5343">
        <f t="shared" si="83"/>
        <v>0</v>
      </c>
    </row>
    <row r="5344" spans="1:14" x14ac:dyDescent="0.35">
      <c r="A5344">
        <v>5343</v>
      </c>
      <c r="B5344" t="s">
        <v>12</v>
      </c>
      <c r="C5344">
        <v>33</v>
      </c>
      <c r="D5344" t="s">
        <v>21</v>
      </c>
      <c r="E5344" t="s">
        <v>22</v>
      </c>
      <c r="F5344">
        <v>56</v>
      </c>
      <c r="G5344">
        <v>87</v>
      </c>
      <c r="H5344">
        <v>0.44</v>
      </c>
      <c r="I5344" t="s">
        <v>23</v>
      </c>
      <c r="J5344">
        <v>0</v>
      </c>
      <c r="K5344">
        <v>1</v>
      </c>
      <c r="L5344">
        <v>0</v>
      </c>
      <c r="M5344">
        <f>VLOOKUP(Table1[[#This Row],[subscription_type]],Plans!$A$1:$B$5,2,FALSE)</f>
        <v>9.99</v>
      </c>
      <c r="N5344">
        <f t="shared" si="83"/>
        <v>0</v>
      </c>
    </row>
    <row r="5345" spans="1:14" x14ac:dyDescent="0.35">
      <c r="A5345">
        <v>5344</v>
      </c>
      <c r="B5345" t="s">
        <v>16</v>
      </c>
      <c r="C5345">
        <v>17</v>
      </c>
      <c r="D5345" t="s">
        <v>25</v>
      </c>
      <c r="E5345" t="s">
        <v>24</v>
      </c>
      <c r="F5345">
        <v>181</v>
      </c>
      <c r="G5345">
        <v>73</v>
      </c>
      <c r="H5345">
        <v>0.13</v>
      </c>
      <c r="I5345" t="s">
        <v>15</v>
      </c>
      <c r="J5345">
        <v>0</v>
      </c>
      <c r="K5345">
        <v>1</v>
      </c>
      <c r="L5345">
        <v>0</v>
      </c>
      <c r="M5345">
        <f>VLOOKUP(Table1[[#This Row],[subscription_type]],Plans!$A$1:$B$5,2,FALSE)</f>
        <v>4.99</v>
      </c>
      <c r="N5345">
        <f t="shared" si="83"/>
        <v>0</v>
      </c>
    </row>
    <row r="5346" spans="1:14" x14ac:dyDescent="0.35">
      <c r="A5346">
        <v>5345</v>
      </c>
      <c r="B5346" t="s">
        <v>20</v>
      </c>
      <c r="C5346">
        <v>49</v>
      </c>
      <c r="D5346" t="s">
        <v>27</v>
      </c>
      <c r="E5346" t="s">
        <v>14</v>
      </c>
      <c r="F5346">
        <v>170</v>
      </c>
      <c r="G5346">
        <v>2</v>
      </c>
      <c r="H5346">
        <v>0.17</v>
      </c>
      <c r="I5346" t="s">
        <v>19</v>
      </c>
      <c r="J5346">
        <v>43</v>
      </c>
      <c r="K5346">
        <v>0</v>
      </c>
      <c r="L5346">
        <v>1</v>
      </c>
      <c r="M5346">
        <f>VLOOKUP(Table1[[#This Row],[subscription_type]],Plans!$A$1:$B$5,2,FALSE)</f>
        <v>0</v>
      </c>
      <c r="N5346">
        <f t="shared" si="83"/>
        <v>0</v>
      </c>
    </row>
    <row r="5347" spans="1:14" x14ac:dyDescent="0.35">
      <c r="A5347">
        <v>5346</v>
      </c>
      <c r="B5347" t="s">
        <v>20</v>
      </c>
      <c r="C5347">
        <v>48</v>
      </c>
      <c r="D5347" t="s">
        <v>21</v>
      </c>
      <c r="E5347" t="s">
        <v>22</v>
      </c>
      <c r="F5347">
        <v>249</v>
      </c>
      <c r="G5347">
        <v>5</v>
      </c>
      <c r="H5347">
        <v>0.36</v>
      </c>
      <c r="I5347" t="s">
        <v>15</v>
      </c>
      <c r="J5347">
        <v>0</v>
      </c>
      <c r="K5347">
        <v>1</v>
      </c>
      <c r="L5347">
        <v>0</v>
      </c>
      <c r="M5347">
        <f>VLOOKUP(Table1[[#This Row],[subscription_type]],Plans!$A$1:$B$5,2,FALSE)</f>
        <v>9.99</v>
      </c>
      <c r="N5347">
        <f t="shared" si="83"/>
        <v>0</v>
      </c>
    </row>
    <row r="5348" spans="1:14" x14ac:dyDescent="0.35">
      <c r="A5348">
        <v>5347</v>
      </c>
      <c r="B5348" t="s">
        <v>12</v>
      </c>
      <c r="C5348">
        <v>27</v>
      </c>
      <c r="D5348" t="s">
        <v>21</v>
      </c>
      <c r="E5348" t="s">
        <v>18</v>
      </c>
      <c r="F5348">
        <v>246</v>
      </c>
      <c r="G5348">
        <v>60</v>
      </c>
      <c r="H5348">
        <v>0.14000000000000001</v>
      </c>
      <c r="I5348" t="s">
        <v>19</v>
      </c>
      <c r="J5348">
        <v>0</v>
      </c>
      <c r="K5348">
        <v>1</v>
      </c>
      <c r="L5348">
        <v>0</v>
      </c>
      <c r="M5348">
        <f>VLOOKUP(Table1[[#This Row],[subscription_type]],Plans!$A$1:$B$5,2,FALSE)</f>
        <v>14.99</v>
      </c>
      <c r="N5348">
        <f t="shared" si="83"/>
        <v>0</v>
      </c>
    </row>
    <row r="5349" spans="1:14" x14ac:dyDescent="0.35">
      <c r="A5349">
        <v>5348</v>
      </c>
      <c r="B5349" t="s">
        <v>16</v>
      </c>
      <c r="C5349">
        <v>38</v>
      </c>
      <c r="D5349" t="s">
        <v>13</v>
      </c>
      <c r="E5349" t="s">
        <v>22</v>
      </c>
      <c r="F5349">
        <v>226</v>
      </c>
      <c r="G5349">
        <v>61</v>
      </c>
      <c r="H5349">
        <v>0.17</v>
      </c>
      <c r="I5349" t="s">
        <v>19</v>
      </c>
      <c r="J5349">
        <v>0</v>
      </c>
      <c r="K5349">
        <v>1</v>
      </c>
      <c r="L5349">
        <v>1</v>
      </c>
      <c r="M5349">
        <f>VLOOKUP(Table1[[#This Row],[subscription_type]],Plans!$A$1:$B$5,2,FALSE)</f>
        <v>9.99</v>
      </c>
      <c r="N5349">
        <f t="shared" si="83"/>
        <v>9.99</v>
      </c>
    </row>
    <row r="5350" spans="1:14" x14ac:dyDescent="0.35">
      <c r="A5350">
        <v>5349</v>
      </c>
      <c r="B5350" t="s">
        <v>16</v>
      </c>
      <c r="C5350">
        <v>54</v>
      </c>
      <c r="D5350" t="s">
        <v>13</v>
      </c>
      <c r="E5350" t="s">
        <v>24</v>
      </c>
      <c r="F5350">
        <v>274</v>
      </c>
      <c r="G5350">
        <v>32</v>
      </c>
      <c r="H5350">
        <v>0.03</v>
      </c>
      <c r="I5350" t="s">
        <v>19</v>
      </c>
      <c r="J5350">
        <v>0</v>
      </c>
      <c r="K5350">
        <v>1</v>
      </c>
      <c r="L5350">
        <v>0</v>
      </c>
      <c r="M5350">
        <f>VLOOKUP(Table1[[#This Row],[subscription_type]],Plans!$A$1:$B$5,2,FALSE)</f>
        <v>4.99</v>
      </c>
      <c r="N5350">
        <f t="shared" si="83"/>
        <v>0</v>
      </c>
    </row>
    <row r="5351" spans="1:14" x14ac:dyDescent="0.35">
      <c r="A5351">
        <v>5350</v>
      </c>
      <c r="B5351" t="s">
        <v>20</v>
      </c>
      <c r="C5351">
        <v>44</v>
      </c>
      <c r="D5351" t="s">
        <v>26</v>
      </c>
      <c r="E5351" t="s">
        <v>22</v>
      </c>
      <c r="F5351">
        <v>293</v>
      </c>
      <c r="G5351">
        <v>95</v>
      </c>
      <c r="H5351">
        <v>0.45</v>
      </c>
      <c r="I5351" t="s">
        <v>19</v>
      </c>
      <c r="J5351">
        <v>0</v>
      </c>
      <c r="K5351">
        <v>1</v>
      </c>
      <c r="L5351">
        <v>0</v>
      </c>
      <c r="M5351">
        <f>VLOOKUP(Table1[[#This Row],[subscription_type]],Plans!$A$1:$B$5,2,FALSE)</f>
        <v>9.99</v>
      </c>
      <c r="N5351">
        <f t="shared" si="83"/>
        <v>0</v>
      </c>
    </row>
    <row r="5352" spans="1:14" x14ac:dyDescent="0.35">
      <c r="A5352">
        <v>5351</v>
      </c>
      <c r="B5352" t="s">
        <v>12</v>
      </c>
      <c r="C5352">
        <v>30</v>
      </c>
      <c r="D5352" t="s">
        <v>29</v>
      </c>
      <c r="E5352" t="s">
        <v>18</v>
      </c>
      <c r="F5352">
        <v>150</v>
      </c>
      <c r="G5352">
        <v>78</v>
      </c>
      <c r="H5352">
        <v>0.47</v>
      </c>
      <c r="I5352" t="s">
        <v>23</v>
      </c>
      <c r="J5352">
        <v>0</v>
      </c>
      <c r="K5352">
        <v>1</v>
      </c>
      <c r="L5352">
        <v>0</v>
      </c>
      <c r="M5352">
        <f>VLOOKUP(Table1[[#This Row],[subscription_type]],Plans!$A$1:$B$5,2,FALSE)</f>
        <v>14.99</v>
      </c>
      <c r="N5352">
        <f t="shared" si="83"/>
        <v>0</v>
      </c>
    </row>
    <row r="5353" spans="1:14" x14ac:dyDescent="0.35">
      <c r="A5353">
        <v>5352</v>
      </c>
      <c r="B5353" t="s">
        <v>12</v>
      </c>
      <c r="C5353">
        <v>52</v>
      </c>
      <c r="D5353" t="s">
        <v>29</v>
      </c>
      <c r="E5353" t="s">
        <v>24</v>
      </c>
      <c r="F5353">
        <v>44</v>
      </c>
      <c r="G5353">
        <v>43</v>
      </c>
      <c r="H5353">
        <v>0.03</v>
      </c>
      <c r="I5353" t="s">
        <v>23</v>
      </c>
      <c r="J5353">
        <v>0</v>
      </c>
      <c r="K5353">
        <v>1</v>
      </c>
      <c r="L5353">
        <v>0</v>
      </c>
      <c r="M5353">
        <f>VLOOKUP(Table1[[#This Row],[subscription_type]],Plans!$A$1:$B$5,2,FALSE)</f>
        <v>4.99</v>
      </c>
      <c r="N5353">
        <f t="shared" si="83"/>
        <v>0</v>
      </c>
    </row>
    <row r="5354" spans="1:14" x14ac:dyDescent="0.35">
      <c r="A5354">
        <v>5353</v>
      </c>
      <c r="B5354" t="s">
        <v>20</v>
      </c>
      <c r="C5354">
        <v>53</v>
      </c>
      <c r="D5354" t="s">
        <v>26</v>
      </c>
      <c r="E5354" t="s">
        <v>24</v>
      </c>
      <c r="F5354">
        <v>27</v>
      </c>
      <c r="G5354">
        <v>2</v>
      </c>
      <c r="H5354">
        <v>0.08</v>
      </c>
      <c r="I5354" t="s">
        <v>15</v>
      </c>
      <c r="J5354">
        <v>0</v>
      </c>
      <c r="K5354">
        <v>1</v>
      </c>
      <c r="L5354">
        <v>0</v>
      </c>
      <c r="M5354">
        <f>VLOOKUP(Table1[[#This Row],[subscription_type]],Plans!$A$1:$B$5,2,FALSE)</f>
        <v>4.99</v>
      </c>
      <c r="N5354">
        <f t="shared" si="83"/>
        <v>0</v>
      </c>
    </row>
    <row r="5355" spans="1:14" x14ac:dyDescent="0.35">
      <c r="A5355">
        <v>5354</v>
      </c>
      <c r="B5355" t="s">
        <v>20</v>
      </c>
      <c r="C5355">
        <v>17</v>
      </c>
      <c r="D5355" t="s">
        <v>13</v>
      </c>
      <c r="E5355" t="s">
        <v>14</v>
      </c>
      <c r="F5355">
        <v>233</v>
      </c>
      <c r="G5355">
        <v>93</v>
      </c>
      <c r="H5355">
        <v>0.3</v>
      </c>
      <c r="I5355" t="s">
        <v>23</v>
      </c>
      <c r="J5355">
        <v>12</v>
      </c>
      <c r="K5355">
        <v>0</v>
      </c>
      <c r="L5355">
        <v>1</v>
      </c>
      <c r="M5355">
        <f>VLOOKUP(Table1[[#This Row],[subscription_type]],Plans!$A$1:$B$5,2,FALSE)</f>
        <v>0</v>
      </c>
      <c r="N5355">
        <f t="shared" si="83"/>
        <v>0</v>
      </c>
    </row>
    <row r="5356" spans="1:14" x14ac:dyDescent="0.35">
      <c r="A5356">
        <v>5355</v>
      </c>
      <c r="B5356" t="s">
        <v>12</v>
      </c>
      <c r="C5356">
        <v>20</v>
      </c>
      <c r="D5356" t="s">
        <v>17</v>
      </c>
      <c r="E5356" t="s">
        <v>14</v>
      </c>
      <c r="F5356">
        <v>166</v>
      </c>
      <c r="G5356">
        <v>37</v>
      </c>
      <c r="H5356">
        <v>0.44</v>
      </c>
      <c r="I5356" t="s">
        <v>19</v>
      </c>
      <c r="J5356">
        <v>20</v>
      </c>
      <c r="K5356">
        <v>0</v>
      </c>
      <c r="L5356">
        <v>0</v>
      </c>
      <c r="M5356">
        <f>VLOOKUP(Table1[[#This Row],[subscription_type]],Plans!$A$1:$B$5,2,FALSE)</f>
        <v>0</v>
      </c>
      <c r="N5356">
        <f t="shared" si="83"/>
        <v>0</v>
      </c>
    </row>
    <row r="5357" spans="1:14" x14ac:dyDescent="0.35">
      <c r="A5357">
        <v>5356</v>
      </c>
      <c r="B5357" t="s">
        <v>12</v>
      </c>
      <c r="C5357">
        <v>27</v>
      </c>
      <c r="D5357" t="s">
        <v>27</v>
      </c>
      <c r="E5357" t="s">
        <v>22</v>
      </c>
      <c r="F5357">
        <v>63</v>
      </c>
      <c r="G5357">
        <v>4</v>
      </c>
      <c r="H5357">
        <v>0.01</v>
      </c>
      <c r="I5357" t="s">
        <v>15</v>
      </c>
      <c r="J5357">
        <v>0</v>
      </c>
      <c r="K5357">
        <v>1</v>
      </c>
      <c r="L5357">
        <v>0</v>
      </c>
      <c r="M5357">
        <f>VLOOKUP(Table1[[#This Row],[subscription_type]],Plans!$A$1:$B$5,2,FALSE)</f>
        <v>9.99</v>
      </c>
      <c r="N5357">
        <f t="shared" si="83"/>
        <v>0</v>
      </c>
    </row>
    <row r="5358" spans="1:14" x14ac:dyDescent="0.35">
      <c r="A5358">
        <v>5357</v>
      </c>
      <c r="B5358" t="s">
        <v>20</v>
      </c>
      <c r="C5358">
        <v>28</v>
      </c>
      <c r="D5358" t="s">
        <v>26</v>
      </c>
      <c r="E5358" t="s">
        <v>22</v>
      </c>
      <c r="F5358">
        <v>208</v>
      </c>
      <c r="G5358">
        <v>96</v>
      </c>
      <c r="H5358">
        <v>0.26</v>
      </c>
      <c r="I5358" t="s">
        <v>19</v>
      </c>
      <c r="J5358">
        <v>0</v>
      </c>
      <c r="K5358">
        <v>1</v>
      </c>
      <c r="L5358">
        <v>0</v>
      </c>
      <c r="M5358">
        <f>VLOOKUP(Table1[[#This Row],[subscription_type]],Plans!$A$1:$B$5,2,FALSE)</f>
        <v>9.99</v>
      </c>
      <c r="N5358">
        <f t="shared" si="83"/>
        <v>0</v>
      </c>
    </row>
    <row r="5359" spans="1:14" x14ac:dyDescent="0.35">
      <c r="A5359">
        <v>5358</v>
      </c>
      <c r="B5359" t="s">
        <v>12</v>
      </c>
      <c r="C5359">
        <v>35</v>
      </c>
      <c r="D5359" t="s">
        <v>28</v>
      </c>
      <c r="E5359" t="s">
        <v>18</v>
      </c>
      <c r="F5359">
        <v>276</v>
      </c>
      <c r="G5359">
        <v>25</v>
      </c>
      <c r="H5359">
        <v>0.49</v>
      </c>
      <c r="I5359" t="s">
        <v>19</v>
      </c>
      <c r="J5359">
        <v>0</v>
      </c>
      <c r="K5359">
        <v>1</v>
      </c>
      <c r="L5359">
        <v>0</v>
      </c>
      <c r="M5359">
        <f>VLOOKUP(Table1[[#This Row],[subscription_type]],Plans!$A$1:$B$5,2,FALSE)</f>
        <v>14.99</v>
      </c>
      <c r="N5359">
        <f t="shared" si="83"/>
        <v>0</v>
      </c>
    </row>
    <row r="5360" spans="1:14" x14ac:dyDescent="0.35">
      <c r="A5360">
        <v>5359</v>
      </c>
      <c r="B5360" t="s">
        <v>20</v>
      </c>
      <c r="C5360">
        <v>41</v>
      </c>
      <c r="D5360" t="s">
        <v>29</v>
      </c>
      <c r="E5360" t="s">
        <v>24</v>
      </c>
      <c r="F5360">
        <v>200</v>
      </c>
      <c r="G5360">
        <v>70</v>
      </c>
      <c r="H5360">
        <v>0.38</v>
      </c>
      <c r="I5360" t="s">
        <v>23</v>
      </c>
      <c r="J5360">
        <v>0</v>
      </c>
      <c r="K5360">
        <v>1</v>
      </c>
      <c r="L5360">
        <v>1</v>
      </c>
      <c r="M5360">
        <f>VLOOKUP(Table1[[#This Row],[subscription_type]],Plans!$A$1:$B$5,2,FALSE)</f>
        <v>4.99</v>
      </c>
      <c r="N5360">
        <f t="shared" si="83"/>
        <v>4.99</v>
      </c>
    </row>
    <row r="5361" spans="1:14" x14ac:dyDescent="0.35">
      <c r="A5361">
        <v>5360</v>
      </c>
      <c r="B5361" t="s">
        <v>12</v>
      </c>
      <c r="C5361">
        <v>51</v>
      </c>
      <c r="D5361" t="s">
        <v>28</v>
      </c>
      <c r="E5361" t="s">
        <v>22</v>
      </c>
      <c r="F5361">
        <v>143</v>
      </c>
      <c r="G5361">
        <v>6</v>
      </c>
      <c r="H5361">
        <v>0.34</v>
      </c>
      <c r="I5361" t="s">
        <v>23</v>
      </c>
      <c r="J5361">
        <v>0</v>
      </c>
      <c r="K5361">
        <v>1</v>
      </c>
      <c r="L5361">
        <v>1</v>
      </c>
      <c r="M5361">
        <f>VLOOKUP(Table1[[#This Row],[subscription_type]],Plans!$A$1:$B$5,2,FALSE)</f>
        <v>9.99</v>
      </c>
      <c r="N5361">
        <f t="shared" si="83"/>
        <v>9.99</v>
      </c>
    </row>
    <row r="5362" spans="1:14" x14ac:dyDescent="0.35">
      <c r="A5362">
        <v>5361</v>
      </c>
      <c r="B5362" t="s">
        <v>12</v>
      </c>
      <c r="C5362">
        <v>19</v>
      </c>
      <c r="D5362" t="s">
        <v>25</v>
      </c>
      <c r="E5362" t="s">
        <v>24</v>
      </c>
      <c r="F5362">
        <v>206</v>
      </c>
      <c r="G5362">
        <v>66</v>
      </c>
      <c r="H5362">
        <v>0.55000000000000004</v>
      </c>
      <c r="I5362" t="s">
        <v>19</v>
      </c>
      <c r="J5362">
        <v>0</v>
      </c>
      <c r="K5362">
        <v>1</v>
      </c>
      <c r="L5362">
        <v>0</v>
      </c>
      <c r="M5362">
        <f>VLOOKUP(Table1[[#This Row],[subscription_type]],Plans!$A$1:$B$5,2,FALSE)</f>
        <v>4.99</v>
      </c>
      <c r="N5362">
        <f t="shared" si="83"/>
        <v>0</v>
      </c>
    </row>
    <row r="5363" spans="1:14" x14ac:dyDescent="0.35">
      <c r="A5363">
        <v>5362</v>
      </c>
      <c r="B5363" t="s">
        <v>12</v>
      </c>
      <c r="C5363">
        <v>18</v>
      </c>
      <c r="D5363" t="s">
        <v>17</v>
      </c>
      <c r="E5363" t="s">
        <v>24</v>
      </c>
      <c r="F5363">
        <v>19</v>
      </c>
      <c r="G5363">
        <v>74</v>
      </c>
      <c r="H5363">
        <v>0.31</v>
      </c>
      <c r="I5363" t="s">
        <v>15</v>
      </c>
      <c r="J5363">
        <v>0</v>
      </c>
      <c r="K5363">
        <v>1</v>
      </c>
      <c r="L5363">
        <v>0</v>
      </c>
      <c r="M5363">
        <f>VLOOKUP(Table1[[#This Row],[subscription_type]],Plans!$A$1:$B$5,2,FALSE)</f>
        <v>4.99</v>
      </c>
      <c r="N5363">
        <f t="shared" si="83"/>
        <v>0</v>
      </c>
    </row>
    <row r="5364" spans="1:14" x14ac:dyDescent="0.35">
      <c r="A5364">
        <v>5363</v>
      </c>
      <c r="B5364" t="s">
        <v>12</v>
      </c>
      <c r="C5364">
        <v>51</v>
      </c>
      <c r="D5364" t="s">
        <v>26</v>
      </c>
      <c r="E5364" t="s">
        <v>14</v>
      </c>
      <c r="F5364">
        <v>230</v>
      </c>
      <c r="G5364">
        <v>72</v>
      </c>
      <c r="H5364">
        <v>0.05</v>
      </c>
      <c r="I5364" t="s">
        <v>15</v>
      </c>
      <c r="J5364">
        <v>32</v>
      </c>
      <c r="K5364">
        <v>0</v>
      </c>
      <c r="L5364">
        <v>0</v>
      </c>
      <c r="M5364">
        <f>VLOOKUP(Table1[[#This Row],[subscription_type]],Plans!$A$1:$B$5,2,FALSE)</f>
        <v>0</v>
      </c>
      <c r="N5364">
        <f t="shared" si="83"/>
        <v>0</v>
      </c>
    </row>
    <row r="5365" spans="1:14" x14ac:dyDescent="0.35">
      <c r="A5365">
        <v>5364</v>
      </c>
      <c r="B5365" t="s">
        <v>20</v>
      </c>
      <c r="C5365">
        <v>49</v>
      </c>
      <c r="D5365" t="s">
        <v>21</v>
      </c>
      <c r="E5365" t="s">
        <v>22</v>
      </c>
      <c r="F5365">
        <v>130</v>
      </c>
      <c r="G5365">
        <v>69</v>
      </c>
      <c r="H5365">
        <v>0.43</v>
      </c>
      <c r="I5365" t="s">
        <v>19</v>
      </c>
      <c r="J5365">
        <v>0</v>
      </c>
      <c r="K5365">
        <v>1</v>
      </c>
      <c r="L5365">
        <v>0</v>
      </c>
      <c r="M5365">
        <f>VLOOKUP(Table1[[#This Row],[subscription_type]],Plans!$A$1:$B$5,2,FALSE)</f>
        <v>9.99</v>
      </c>
      <c r="N5365">
        <f t="shared" si="83"/>
        <v>0</v>
      </c>
    </row>
    <row r="5366" spans="1:14" x14ac:dyDescent="0.35">
      <c r="A5366">
        <v>5365</v>
      </c>
      <c r="B5366" t="s">
        <v>16</v>
      </c>
      <c r="C5366">
        <v>46</v>
      </c>
      <c r="D5366" t="s">
        <v>29</v>
      </c>
      <c r="E5366" t="s">
        <v>14</v>
      </c>
      <c r="F5366">
        <v>239</v>
      </c>
      <c r="G5366">
        <v>64</v>
      </c>
      <c r="H5366">
        <v>0.56999999999999995</v>
      </c>
      <c r="I5366" t="s">
        <v>19</v>
      </c>
      <c r="J5366">
        <v>40</v>
      </c>
      <c r="K5366">
        <v>0</v>
      </c>
      <c r="L5366">
        <v>0</v>
      </c>
      <c r="M5366">
        <f>VLOOKUP(Table1[[#This Row],[subscription_type]],Plans!$A$1:$B$5,2,FALSE)</f>
        <v>0</v>
      </c>
      <c r="N5366">
        <f t="shared" si="83"/>
        <v>0</v>
      </c>
    </row>
    <row r="5367" spans="1:14" x14ac:dyDescent="0.35">
      <c r="A5367">
        <v>5366</v>
      </c>
      <c r="B5367" t="s">
        <v>20</v>
      </c>
      <c r="C5367">
        <v>31</v>
      </c>
      <c r="D5367" t="s">
        <v>13</v>
      </c>
      <c r="E5367" t="s">
        <v>22</v>
      </c>
      <c r="F5367">
        <v>104</v>
      </c>
      <c r="G5367">
        <v>69</v>
      </c>
      <c r="H5367">
        <v>0.4</v>
      </c>
      <c r="I5367" t="s">
        <v>15</v>
      </c>
      <c r="J5367">
        <v>0</v>
      </c>
      <c r="K5367">
        <v>1</v>
      </c>
      <c r="L5367">
        <v>0</v>
      </c>
      <c r="M5367">
        <f>VLOOKUP(Table1[[#This Row],[subscription_type]],Plans!$A$1:$B$5,2,FALSE)</f>
        <v>9.99</v>
      </c>
      <c r="N5367">
        <f t="shared" si="83"/>
        <v>0</v>
      </c>
    </row>
    <row r="5368" spans="1:14" x14ac:dyDescent="0.35">
      <c r="A5368">
        <v>5367</v>
      </c>
      <c r="B5368" t="s">
        <v>20</v>
      </c>
      <c r="C5368">
        <v>49</v>
      </c>
      <c r="D5368" t="s">
        <v>13</v>
      </c>
      <c r="E5368" t="s">
        <v>18</v>
      </c>
      <c r="F5368">
        <v>76</v>
      </c>
      <c r="G5368">
        <v>97</v>
      </c>
      <c r="H5368">
        <v>0.09</v>
      </c>
      <c r="I5368" t="s">
        <v>15</v>
      </c>
      <c r="J5368">
        <v>0</v>
      </c>
      <c r="K5368">
        <v>1</v>
      </c>
      <c r="L5368">
        <v>0</v>
      </c>
      <c r="M5368">
        <f>VLOOKUP(Table1[[#This Row],[subscription_type]],Plans!$A$1:$B$5,2,FALSE)</f>
        <v>14.99</v>
      </c>
      <c r="N5368">
        <f t="shared" si="83"/>
        <v>0</v>
      </c>
    </row>
    <row r="5369" spans="1:14" x14ac:dyDescent="0.35">
      <c r="A5369">
        <v>5368</v>
      </c>
      <c r="B5369" t="s">
        <v>16</v>
      </c>
      <c r="C5369">
        <v>47</v>
      </c>
      <c r="D5369" t="s">
        <v>28</v>
      </c>
      <c r="E5369" t="s">
        <v>24</v>
      </c>
      <c r="F5369">
        <v>191</v>
      </c>
      <c r="G5369">
        <v>44</v>
      </c>
      <c r="H5369">
        <v>0.53</v>
      </c>
      <c r="I5369" t="s">
        <v>23</v>
      </c>
      <c r="J5369">
        <v>0</v>
      </c>
      <c r="K5369">
        <v>1</v>
      </c>
      <c r="L5369">
        <v>0</v>
      </c>
      <c r="M5369">
        <f>VLOOKUP(Table1[[#This Row],[subscription_type]],Plans!$A$1:$B$5,2,FALSE)</f>
        <v>4.99</v>
      </c>
      <c r="N5369">
        <f t="shared" si="83"/>
        <v>0</v>
      </c>
    </row>
    <row r="5370" spans="1:14" x14ac:dyDescent="0.35">
      <c r="A5370">
        <v>5369</v>
      </c>
      <c r="B5370" t="s">
        <v>12</v>
      </c>
      <c r="C5370">
        <v>21</v>
      </c>
      <c r="D5370" t="s">
        <v>21</v>
      </c>
      <c r="E5370" t="s">
        <v>22</v>
      </c>
      <c r="F5370">
        <v>208</v>
      </c>
      <c r="G5370">
        <v>91</v>
      </c>
      <c r="H5370">
        <v>0.2</v>
      </c>
      <c r="I5370" t="s">
        <v>15</v>
      </c>
      <c r="J5370">
        <v>0</v>
      </c>
      <c r="K5370">
        <v>1</v>
      </c>
      <c r="L5370">
        <v>1</v>
      </c>
      <c r="M5370">
        <f>VLOOKUP(Table1[[#This Row],[subscription_type]],Plans!$A$1:$B$5,2,FALSE)</f>
        <v>9.99</v>
      </c>
      <c r="N5370">
        <f t="shared" si="83"/>
        <v>9.99</v>
      </c>
    </row>
    <row r="5371" spans="1:14" x14ac:dyDescent="0.35">
      <c r="A5371">
        <v>5370</v>
      </c>
      <c r="B5371" t="s">
        <v>16</v>
      </c>
      <c r="C5371">
        <v>20</v>
      </c>
      <c r="D5371" t="s">
        <v>27</v>
      </c>
      <c r="E5371" t="s">
        <v>24</v>
      </c>
      <c r="F5371">
        <v>111</v>
      </c>
      <c r="G5371">
        <v>55</v>
      </c>
      <c r="H5371">
        <v>0.3</v>
      </c>
      <c r="I5371" t="s">
        <v>23</v>
      </c>
      <c r="J5371">
        <v>0</v>
      </c>
      <c r="K5371">
        <v>1</v>
      </c>
      <c r="L5371">
        <v>0</v>
      </c>
      <c r="M5371">
        <f>VLOOKUP(Table1[[#This Row],[subscription_type]],Plans!$A$1:$B$5,2,FALSE)</f>
        <v>4.99</v>
      </c>
      <c r="N5371">
        <f t="shared" si="83"/>
        <v>0</v>
      </c>
    </row>
    <row r="5372" spans="1:14" x14ac:dyDescent="0.35">
      <c r="A5372">
        <v>5371</v>
      </c>
      <c r="B5372" t="s">
        <v>16</v>
      </c>
      <c r="C5372">
        <v>35</v>
      </c>
      <c r="D5372" t="s">
        <v>29</v>
      </c>
      <c r="E5372" t="s">
        <v>14</v>
      </c>
      <c r="F5372">
        <v>287</v>
      </c>
      <c r="G5372">
        <v>72</v>
      </c>
      <c r="H5372">
        <v>0.37</v>
      </c>
      <c r="I5372" t="s">
        <v>23</v>
      </c>
      <c r="J5372">
        <v>26</v>
      </c>
      <c r="K5372">
        <v>0</v>
      </c>
      <c r="L5372">
        <v>0</v>
      </c>
      <c r="M5372">
        <f>VLOOKUP(Table1[[#This Row],[subscription_type]],Plans!$A$1:$B$5,2,FALSE)</f>
        <v>0</v>
      </c>
      <c r="N5372">
        <f t="shared" si="83"/>
        <v>0</v>
      </c>
    </row>
    <row r="5373" spans="1:14" x14ac:dyDescent="0.35">
      <c r="A5373">
        <v>5372</v>
      </c>
      <c r="B5373" t="s">
        <v>16</v>
      </c>
      <c r="C5373">
        <v>37</v>
      </c>
      <c r="D5373" t="s">
        <v>25</v>
      </c>
      <c r="E5373" t="s">
        <v>18</v>
      </c>
      <c r="F5373">
        <v>38</v>
      </c>
      <c r="G5373">
        <v>32</v>
      </c>
      <c r="H5373">
        <v>0.04</v>
      </c>
      <c r="I5373" t="s">
        <v>15</v>
      </c>
      <c r="J5373">
        <v>0</v>
      </c>
      <c r="K5373">
        <v>1</v>
      </c>
      <c r="L5373">
        <v>1</v>
      </c>
      <c r="M5373">
        <f>VLOOKUP(Table1[[#This Row],[subscription_type]],Plans!$A$1:$B$5,2,FALSE)</f>
        <v>14.99</v>
      </c>
      <c r="N5373">
        <f t="shared" si="83"/>
        <v>14.99</v>
      </c>
    </row>
    <row r="5374" spans="1:14" x14ac:dyDescent="0.35">
      <c r="A5374">
        <v>5373</v>
      </c>
      <c r="B5374" t="s">
        <v>20</v>
      </c>
      <c r="C5374">
        <v>45</v>
      </c>
      <c r="D5374" t="s">
        <v>13</v>
      </c>
      <c r="E5374" t="s">
        <v>24</v>
      </c>
      <c r="F5374">
        <v>160</v>
      </c>
      <c r="G5374">
        <v>98</v>
      </c>
      <c r="H5374">
        <v>0.31</v>
      </c>
      <c r="I5374" t="s">
        <v>15</v>
      </c>
      <c r="J5374">
        <v>0</v>
      </c>
      <c r="K5374">
        <v>1</v>
      </c>
      <c r="L5374">
        <v>0</v>
      </c>
      <c r="M5374">
        <f>VLOOKUP(Table1[[#This Row],[subscription_type]],Plans!$A$1:$B$5,2,FALSE)</f>
        <v>4.99</v>
      </c>
      <c r="N5374">
        <f t="shared" si="83"/>
        <v>0</v>
      </c>
    </row>
    <row r="5375" spans="1:14" x14ac:dyDescent="0.35">
      <c r="A5375">
        <v>5374</v>
      </c>
      <c r="B5375" t="s">
        <v>16</v>
      </c>
      <c r="C5375">
        <v>49</v>
      </c>
      <c r="D5375" t="s">
        <v>25</v>
      </c>
      <c r="E5375" t="s">
        <v>18</v>
      </c>
      <c r="F5375">
        <v>150</v>
      </c>
      <c r="G5375">
        <v>85</v>
      </c>
      <c r="H5375">
        <v>0.04</v>
      </c>
      <c r="I5375" t="s">
        <v>19</v>
      </c>
      <c r="J5375">
        <v>0</v>
      </c>
      <c r="K5375">
        <v>1</v>
      </c>
      <c r="L5375">
        <v>0</v>
      </c>
      <c r="M5375">
        <f>VLOOKUP(Table1[[#This Row],[subscription_type]],Plans!$A$1:$B$5,2,FALSE)</f>
        <v>14.99</v>
      </c>
      <c r="N5375">
        <f t="shared" si="83"/>
        <v>0</v>
      </c>
    </row>
    <row r="5376" spans="1:14" x14ac:dyDescent="0.35">
      <c r="A5376">
        <v>5375</v>
      </c>
      <c r="B5376" t="s">
        <v>12</v>
      </c>
      <c r="C5376">
        <v>50</v>
      </c>
      <c r="D5376" t="s">
        <v>26</v>
      </c>
      <c r="E5376" t="s">
        <v>24</v>
      </c>
      <c r="F5376">
        <v>286</v>
      </c>
      <c r="G5376">
        <v>10</v>
      </c>
      <c r="H5376">
        <v>0.57999999999999996</v>
      </c>
      <c r="I5376" t="s">
        <v>23</v>
      </c>
      <c r="J5376">
        <v>0</v>
      </c>
      <c r="K5376">
        <v>1</v>
      </c>
      <c r="L5376">
        <v>0</v>
      </c>
      <c r="M5376">
        <f>VLOOKUP(Table1[[#This Row],[subscription_type]],Plans!$A$1:$B$5,2,FALSE)</f>
        <v>4.99</v>
      </c>
      <c r="N5376">
        <f t="shared" si="83"/>
        <v>0</v>
      </c>
    </row>
    <row r="5377" spans="1:14" x14ac:dyDescent="0.35">
      <c r="A5377">
        <v>5376</v>
      </c>
      <c r="B5377" t="s">
        <v>20</v>
      </c>
      <c r="C5377">
        <v>39</v>
      </c>
      <c r="D5377" t="s">
        <v>26</v>
      </c>
      <c r="E5377" t="s">
        <v>22</v>
      </c>
      <c r="F5377">
        <v>216</v>
      </c>
      <c r="G5377">
        <v>74</v>
      </c>
      <c r="H5377">
        <v>0.3</v>
      </c>
      <c r="I5377" t="s">
        <v>23</v>
      </c>
      <c r="J5377">
        <v>0</v>
      </c>
      <c r="K5377">
        <v>1</v>
      </c>
      <c r="L5377">
        <v>0</v>
      </c>
      <c r="M5377">
        <f>VLOOKUP(Table1[[#This Row],[subscription_type]],Plans!$A$1:$B$5,2,FALSE)</f>
        <v>9.99</v>
      </c>
      <c r="N5377">
        <f t="shared" si="83"/>
        <v>0</v>
      </c>
    </row>
    <row r="5378" spans="1:14" x14ac:dyDescent="0.35">
      <c r="A5378">
        <v>5377</v>
      </c>
      <c r="B5378" t="s">
        <v>12</v>
      </c>
      <c r="C5378">
        <v>20</v>
      </c>
      <c r="D5378" t="s">
        <v>29</v>
      </c>
      <c r="E5378" t="s">
        <v>22</v>
      </c>
      <c r="F5378">
        <v>80</v>
      </c>
      <c r="G5378">
        <v>67</v>
      </c>
      <c r="H5378">
        <v>0.31</v>
      </c>
      <c r="I5378" t="s">
        <v>15</v>
      </c>
      <c r="J5378">
        <v>0</v>
      </c>
      <c r="K5378">
        <v>1</v>
      </c>
      <c r="L5378">
        <v>0</v>
      </c>
      <c r="M5378">
        <f>VLOOKUP(Table1[[#This Row],[subscription_type]],Plans!$A$1:$B$5,2,FALSE)</f>
        <v>9.99</v>
      </c>
      <c r="N5378">
        <f t="shared" ref="N5378:N5441" si="84">IF(L5378=1, M5378,0)</f>
        <v>0</v>
      </c>
    </row>
    <row r="5379" spans="1:14" x14ac:dyDescent="0.35">
      <c r="A5379">
        <v>5378</v>
      </c>
      <c r="B5379" t="s">
        <v>20</v>
      </c>
      <c r="C5379">
        <v>50</v>
      </c>
      <c r="D5379" t="s">
        <v>17</v>
      </c>
      <c r="E5379" t="s">
        <v>22</v>
      </c>
      <c r="F5379">
        <v>38</v>
      </c>
      <c r="G5379">
        <v>19</v>
      </c>
      <c r="H5379">
        <v>0.42</v>
      </c>
      <c r="I5379" t="s">
        <v>23</v>
      </c>
      <c r="J5379">
        <v>0</v>
      </c>
      <c r="K5379">
        <v>1</v>
      </c>
      <c r="L5379">
        <v>0</v>
      </c>
      <c r="M5379">
        <f>VLOOKUP(Table1[[#This Row],[subscription_type]],Plans!$A$1:$B$5,2,FALSE)</f>
        <v>9.99</v>
      </c>
      <c r="N5379">
        <f t="shared" si="84"/>
        <v>0</v>
      </c>
    </row>
    <row r="5380" spans="1:14" x14ac:dyDescent="0.35">
      <c r="A5380">
        <v>5379</v>
      </c>
      <c r="B5380" t="s">
        <v>12</v>
      </c>
      <c r="C5380">
        <v>39</v>
      </c>
      <c r="D5380" t="s">
        <v>25</v>
      </c>
      <c r="E5380" t="s">
        <v>14</v>
      </c>
      <c r="F5380">
        <v>184</v>
      </c>
      <c r="G5380">
        <v>77</v>
      </c>
      <c r="H5380">
        <v>0.21</v>
      </c>
      <c r="I5380" t="s">
        <v>23</v>
      </c>
      <c r="J5380">
        <v>7</v>
      </c>
      <c r="K5380">
        <v>0</v>
      </c>
      <c r="L5380">
        <v>0</v>
      </c>
      <c r="M5380">
        <f>VLOOKUP(Table1[[#This Row],[subscription_type]],Plans!$A$1:$B$5,2,FALSE)</f>
        <v>0</v>
      </c>
      <c r="N5380">
        <f t="shared" si="84"/>
        <v>0</v>
      </c>
    </row>
    <row r="5381" spans="1:14" x14ac:dyDescent="0.35">
      <c r="A5381">
        <v>5380</v>
      </c>
      <c r="B5381" t="s">
        <v>20</v>
      </c>
      <c r="C5381">
        <v>35</v>
      </c>
      <c r="D5381" t="s">
        <v>29</v>
      </c>
      <c r="E5381" t="s">
        <v>18</v>
      </c>
      <c r="F5381">
        <v>70</v>
      </c>
      <c r="G5381">
        <v>23</v>
      </c>
      <c r="H5381">
        <v>0.28000000000000003</v>
      </c>
      <c r="I5381" t="s">
        <v>19</v>
      </c>
      <c r="J5381">
        <v>0</v>
      </c>
      <c r="K5381">
        <v>1</v>
      </c>
      <c r="L5381">
        <v>0</v>
      </c>
      <c r="M5381">
        <f>VLOOKUP(Table1[[#This Row],[subscription_type]],Plans!$A$1:$B$5,2,FALSE)</f>
        <v>14.99</v>
      </c>
      <c r="N5381">
        <f t="shared" si="84"/>
        <v>0</v>
      </c>
    </row>
    <row r="5382" spans="1:14" x14ac:dyDescent="0.35">
      <c r="A5382">
        <v>5381</v>
      </c>
      <c r="B5382" t="s">
        <v>12</v>
      </c>
      <c r="C5382">
        <v>40</v>
      </c>
      <c r="D5382" t="s">
        <v>26</v>
      </c>
      <c r="E5382" t="s">
        <v>18</v>
      </c>
      <c r="F5382">
        <v>267</v>
      </c>
      <c r="G5382">
        <v>17</v>
      </c>
      <c r="H5382">
        <v>0.14000000000000001</v>
      </c>
      <c r="I5382" t="s">
        <v>19</v>
      </c>
      <c r="J5382">
        <v>0</v>
      </c>
      <c r="K5382">
        <v>1</v>
      </c>
      <c r="L5382">
        <v>0</v>
      </c>
      <c r="M5382">
        <f>VLOOKUP(Table1[[#This Row],[subscription_type]],Plans!$A$1:$B$5,2,FALSE)</f>
        <v>14.99</v>
      </c>
      <c r="N5382">
        <f t="shared" si="84"/>
        <v>0</v>
      </c>
    </row>
    <row r="5383" spans="1:14" x14ac:dyDescent="0.35">
      <c r="A5383">
        <v>5382</v>
      </c>
      <c r="B5383" t="s">
        <v>16</v>
      </c>
      <c r="C5383">
        <v>19</v>
      </c>
      <c r="D5383" t="s">
        <v>25</v>
      </c>
      <c r="E5383" t="s">
        <v>18</v>
      </c>
      <c r="F5383">
        <v>256</v>
      </c>
      <c r="G5383">
        <v>59</v>
      </c>
      <c r="H5383">
        <v>0.41</v>
      </c>
      <c r="I5383" t="s">
        <v>19</v>
      </c>
      <c r="J5383">
        <v>0</v>
      </c>
      <c r="K5383">
        <v>1</v>
      </c>
      <c r="L5383">
        <v>0</v>
      </c>
      <c r="M5383">
        <f>VLOOKUP(Table1[[#This Row],[subscription_type]],Plans!$A$1:$B$5,2,FALSE)</f>
        <v>14.99</v>
      </c>
      <c r="N5383">
        <f t="shared" si="84"/>
        <v>0</v>
      </c>
    </row>
    <row r="5384" spans="1:14" x14ac:dyDescent="0.35">
      <c r="A5384">
        <v>5383</v>
      </c>
      <c r="B5384" t="s">
        <v>12</v>
      </c>
      <c r="C5384">
        <v>52</v>
      </c>
      <c r="D5384" t="s">
        <v>27</v>
      </c>
      <c r="E5384" t="s">
        <v>24</v>
      </c>
      <c r="F5384">
        <v>166</v>
      </c>
      <c r="G5384">
        <v>91</v>
      </c>
      <c r="H5384">
        <v>0.04</v>
      </c>
      <c r="I5384" t="s">
        <v>23</v>
      </c>
      <c r="J5384">
        <v>0</v>
      </c>
      <c r="K5384">
        <v>1</v>
      </c>
      <c r="L5384">
        <v>0</v>
      </c>
      <c r="M5384">
        <f>VLOOKUP(Table1[[#This Row],[subscription_type]],Plans!$A$1:$B$5,2,FALSE)</f>
        <v>4.99</v>
      </c>
      <c r="N5384">
        <f t="shared" si="84"/>
        <v>0</v>
      </c>
    </row>
    <row r="5385" spans="1:14" x14ac:dyDescent="0.35">
      <c r="A5385">
        <v>5384</v>
      </c>
      <c r="B5385" t="s">
        <v>20</v>
      </c>
      <c r="C5385">
        <v>29</v>
      </c>
      <c r="D5385" t="s">
        <v>28</v>
      </c>
      <c r="E5385" t="s">
        <v>22</v>
      </c>
      <c r="F5385">
        <v>49</v>
      </c>
      <c r="G5385">
        <v>12</v>
      </c>
      <c r="H5385">
        <v>0.34</v>
      </c>
      <c r="I5385" t="s">
        <v>19</v>
      </c>
      <c r="J5385">
        <v>0</v>
      </c>
      <c r="K5385">
        <v>1</v>
      </c>
      <c r="L5385">
        <v>0</v>
      </c>
      <c r="M5385">
        <f>VLOOKUP(Table1[[#This Row],[subscription_type]],Plans!$A$1:$B$5,2,FALSE)</f>
        <v>9.99</v>
      </c>
      <c r="N5385">
        <f t="shared" si="84"/>
        <v>0</v>
      </c>
    </row>
    <row r="5386" spans="1:14" x14ac:dyDescent="0.35">
      <c r="A5386">
        <v>5385</v>
      </c>
      <c r="B5386" t="s">
        <v>12</v>
      </c>
      <c r="C5386">
        <v>22</v>
      </c>
      <c r="D5386" t="s">
        <v>26</v>
      </c>
      <c r="E5386" t="s">
        <v>24</v>
      </c>
      <c r="F5386">
        <v>166</v>
      </c>
      <c r="G5386">
        <v>97</v>
      </c>
      <c r="H5386">
        <v>0.54</v>
      </c>
      <c r="I5386" t="s">
        <v>19</v>
      </c>
      <c r="J5386">
        <v>0</v>
      </c>
      <c r="K5386">
        <v>1</v>
      </c>
      <c r="L5386">
        <v>0</v>
      </c>
      <c r="M5386">
        <f>VLOOKUP(Table1[[#This Row],[subscription_type]],Plans!$A$1:$B$5,2,FALSE)</f>
        <v>4.99</v>
      </c>
      <c r="N5386">
        <f t="shared" si="84"/>
        <v>0</v>
      </c>
    </row>
    <row r="5387" spans="1:14" x14ac:dyDescent="0.35">
      <c r="A5387">
        <v>5386</v>
      </c>
      <c r="B5387" t="s">
        <v>16</v>
      </c>
      <c r="C5387">
        <v>45</v>
      </c>
      <c r="D5387" t="s">
        <v>26</v>
      </c>
      <c r="E5387" t="s">
        <v>14</v>
      </c>
      <c r="F5387">
        <v>131</v>
      </c>
      <c r="G5387">
        <v>78</v>
      </c>
      <c r="H5387">
        <v>0.13</v>
      </c>
      <c r="I5387" t="s">
        <v>15</v>
      </c>
      <c r="J5387">
        <v>39</v>
      </c>
      <c r="K5387">
        <v>0</v>
      </c>
      <c r="L5387">
        <v>1</v>
      </c>
      <c r="M5387">
        <f>VLOOKUP(Table1[[#This Row],[subscription_type]],Plans!$A$1:$B$5,2,FALSE)</f>
        <v>0</v>
      </c>
      <c r="N5387">
        <f t="shared" si="84"/>
        <v>0</v>
      </c>
    </row>
    <row r="5388" spans="1:14" x14ac:dyDescent="0.35">
      <c r="A5388">
        <v>5387</v>
      </c>
      <c r="B5388" t="s">
        <v>16</v>
      </c>
      <c r="C5388">
        <v>55</v>
      </c>
      <c r="D5388" t="s">
        <v>27</v>
      </c>
      <c r="E5388" t="s">
        <v>14</v>
      </c>
      <c r="F5388">
        <v>190</v>
      </c>
      <c r="G5388">
        <v>68</v>
      </c>
      <c r="H5388">
        <v>0.13</v>
      </c>
      <c r="I5388" t="s">
        <v>23</v>
      </c>
      <c r="J5388">
        <v>31</v>
      </c>
      <c r="K5388">
        <v>0</v>
      </c>
      <c r="L5388">
        <v>1</v>
      </c>
      <c r="M5388">
        <f>VLOOKUP(Table1[[#This Row],[subscription_type]],Plans!$A$1:$B$5,2,FALSE)</f>
        <v>0</v>
      </c>
      <c r="N5388">
        <f t="shared" si="84"/>
        <v>0</v>
      </c>
    </row>
    <row r="5389" spans="1:14" x14ac:dyDescent="0.35">
      <c r="A5389">
        <v>5388</v>
      </c>
      <c r="B5389" t="s">
        <v>12</v>
      </c>
      <c r="C5389">
        <v>30</v>
      </c>
      <c r="D5389" t="s">
        <v>17</v>
      </c>
      <c r="E5389" t="s">
        <v>18</v>
      </c>
      <c r="F5389">
        <v>211</v>
      </c>
      <c r="G5389">
        <v>57</v>
      </c>
      <c r="H5389">
        <v>0.15</v>
      </c>
      <c r="I5389" t="s">
        <v>19</v>
      </c>
      <c r="J5389">
        <v>0</v>
      </c>
      <c r="K5389">
        <v>1</v>
      </c>
      <c r="L5389">
        <v>0</v>
      </c>
      <c r="M5389">
        <f>VLOOKUP(Table1[[#This Row],[subscription_type]],Plans!$A$1:$B$5,2,FALSE)</f>
        <v>14.99</v>
      </c>
      <c r="N5389">
        <f t="shared" si="84"/>
        <v>0</v>
      </c>
    </row>
    <row r="5390" spans="1:14" x14ac:dyDescent="0.35">
      <c r="A5390">
        <v>5389</v>
      </c>
      <c r="B5390" t="s">
        <v>20</v>
      </c>
      <c r="C5390">
        <v>55</v>
      </c>
      <c r="D5390" t="s">
        <v>21</v>
      </c>
      <c r="E5390" t="s">
        <v>14</v>
      </c>
      <c r="F5390">
        <v>248</v>
      </c>
      <c r="G5390">
        <v>54</v>
      </c>
      <c r="H5390">
        <v>0.48</v>
      </c>
      <c r="I5390" t="s">
        <v>15</v>
      </c>
      <c r="J5390">
        <v>7</v>
      </c>
      <c r="K5390">
        <v>0</v>
      </c>
      <c r="L5390">
        <v>0</v>
      </c>
      <c r="M5390">
        <f>VLOOKUP(Table1[[#This Row],[subscription_type]],Plans!$A$1:$B$5,2,FALSE)</f>
        <v>0</v>
      </c>
      <c r="N5390">
        <f t="shared" si="84"/>
        <v>0</v>
      </c>
    </row>
    <row r="5391" spans="1:14" x14ac:dyDescent="0.35">
      <c r="A5391">
        <v>5390</v>
      </c>
      <c r="B5391" t="s">
        <v>16</v>
      </c>
      <c r="C5391">
        <v>54</v>
      </c>
      <c r="D5391" t="s">
        <v>27</v>
      </c>
      <c r="E5391" t="s">
        <v>22</v>
      </c>
      <c r="F5391">
        <v>206</v>
      </c>
      <c r="G5391">
        <v>21</v>
      </c>
      <c r="H5391">
        <v>0.56000000000000005</v>
      </c>
      <c r="I5391" t="s">
        <v>15</v>
      </c>
      <c r="J5391">
        <v>0</v>
      </c>
      <c r="K5391">
        <v>1</v>
      </c>
      <c r="L5391">
        <v>0</v>
      </c>
      <c r="M5391">
        <f>VLOOKUP(Table1[[#This Row],[subscription_type]],Plans!$A$1:$B$5,2,FALSE)</f>
        <v>9.99</v>
      </c>
      <c r="N5391">
        <f t="shared" si="84"/>
        <v>0</v>
      </c>
    </row>
    <row r="5392" spans="1:14" x14ac:dyDescent="0.35">
      <c r="A5392">
        <v>5391</v>
      </c>
      <c r="B5392" t="s">
        <v>16</v>
      </c>
      <c r="C5392">
        <v>42</v>
      </c>
      <c r="D5392" t="s">
        <v>21</v>
      </c>
      <c r="E5392" t="s">
        <v>24</v>
      </c>
      <c r="F5392">
        <v>293</v>
      </c>
      <c r="G5392">
        <v>9</v>
      </c>
      <c r="H5392">
        <v>0.35</v>
      </c>
      <c r="I5392" t="s">
        <v>15</v>
      </c>
      <c r="J5392">
        <v>0</v>
      </c>
      <c r="K5392">
        <v>1</v>
      </c>
      <c r="L5392">
        <v>0</v>
      </c>
      <c r="M5392">
        <f>VLOOKUP(Table1[[#This Row],[subscription_type]],Plans!$A$1:$B$5,2,FALSE)</f>
        <v>4.99</v>
      </c>
      <c r="N5392">
        <f t="shared" si="84"/>
        <v>0</v>
      </c>
    </row>
    <row r="5393" spans="1:14" x14ac:dyDescent="0.35">
      <c r="A5393">
        <v>5392</v>
      </c>
      <c r="B5393" t="s">
        <v>12</v>
      </c>
      <c r="C5393">
        <v>42</v>
      </c>
      <c r="D5393" t="s">
        <v>17</v>
      </c>
      <c r="E5393" t="s">
        <v>24</v>
      </c>
      <c r="F5393">
        <v>15</v>
      </c>
      <c r="G5393">
        <v>27</v>
      </c>
      <c r="H5393">
        <v>0.14000000000000001</v>
      </c>
      <c r="I5393" t="s">
        <v>23</v>
      </c>
      <c r="J5393">
        <v>0</v>
      </c>
      <c r="K5393">
        <v>1</v>
      </c>
      <c r="L5393">
        <v>1</v>
      </c>
      <c r="M5393">
        <f>VLOOKUP(Table1[[#This Row],[subscription_type]],Plans!$A$1:$B$5,2,FALSE)</f>
        <v>4.99</v>
      </c>
      <c r="N5393">
        <f t="shared" si="84"/>
        <v>4.99</v>
      </c>
    </row>
    <row r="5394" spans="1:14" x14ac:dyDescent="0.35">
      <c r="A5394">
        <v>5393</v>
      </c>
      <c r="B5394" t="s">
        <v>16</v>
      </c>
      <c r="C5394">
        <v>50</v>
      </c>
      <c r="D5394" t="s">
        <v>28</v>
      </c>
      <c r="E5394" t="s">
        <v>22</v>
      </c>
      <c r="F5394">
        <v>115</v>
      </c>
      <c r="G5394">
        <v>68</v>
      </c>
      <c r="H5394">
        <v>0.19</v>
      </c>
      <c r="I5394" t="s">
        <v>23</v>
      </c>
      <c r="J5394">
        <v>0</v>
      </c>
      <c r="K5394">
        <v>1</v>
      </c>
      <c r="L5394">
        <v>0</v>
      </c>
      <c r="M5394">
        <f>VLOOKUP(Table1[[#This Row],[subscription_type]],Plans!$A$1:$B$5,2,FALSE)</f>
        <v>9.99</v>
      </c>
      <c r="N5394">
        <f t="shared" si="84"/>
        <v>0</v>
      </c>
    </row>
    <row r="5395" spans="1:14" x14ac:dyDescent="0.35">
      <c r="A5395">
        <v>5394</v>
      </c>
      <c r="B5395" t="s">
        <v>20</v>
      </c>
      <c r="C5395">
        <v>48</v>
      </c>
      <c r="D5395" t="s">
        <v>21</v>
      </c>
      <c r="E5395" t="s">
        <v>18</v>
      </c>
      <c r="F5395">
        <v>189</v>
      </c>
      <c r="G5395">
        <v>5</v>
      </c>
      <c r="H5395">
        <v>0.54</v>
      </c>
      <c r="I5395" t="s">
        <v>15</v>
      </c>
      <c r="J5395">
        <v>0</v>
      </c>
      <c r="K5395">
        <v>1</v>
      </c>
      <c r="L5395">
        <v>1</v>
      </c>
      <c r="M5395">
        <f>VLOOKUP(Table1[[#This Row],[subscription_type]],Plans!$A$1:$B$5,2,FALSE)</f>
        <v>14.99</v>
      </c>
      <c r="N5395">
        <f t="shared" si="84"/>
        <v>14.99</v>
      </c>
    </row>
    <row r="5396" spans="1:14" x14ac:dyDescent="0.35">
      <c r="A5396">
        <v>5395</v>
      </c>
      <c r="B5396" t="s">
        <v>20</v>
      </c>
      <c r="C5396">
        <v>56</v>
      </c>
      <c r="D5396" t="s">
        <v>26</v>
      </c>
      <c r="E5396" t="s">
        <v>24</v>
      </c>
      <c r="F5396">
        <v>117</v>
      </c>
      <c r="G5396">
        <v>82</v>
      </c>
      <c r="H5396">
        <v>0.22</v>
      </c>
      <c r="I5396" t="s">
        <v>19</v>
      </c>
      <c r="J5396">
        <v>0</v>
      </c>
      <c r="K5396">
        <v>1</v>
      </c>
      <c r="L5396">
        <v>0</v>
      </c>
      <c r="M5396">
        <f>VLOOKUP(Table1[[#This Row],[subscription_type]],Plans!$A$1:$B$5,2,FALSE)</f>
        <v>4.99</v>
      </c>
      <c r="N5396">
        <f t="shared" si="84"/>
        <v>0</v>
      </c>
    </row>
    <row r="5397" spans="1:14" x14ac:dyDescent="0.35">
      <c r="A5397">
        <v>5396</v>
      </c>
      <c r="B5397" t="s">
        <v>20</v>
      </c>
      <c r="C5397">
        <v>32</v>
      </c>
      <c r="D5397" t="s">
        <v>17</v>
      </c>
      <c r="E5397" t="s">
        <v>14</v>
      </c>
      <c r="F5397">
        <v>72</v>
      </c>
      <c r="G5397">
        <v>57</v>
      </c>
      <c r="H5397">
        <v>0.52</v>
      </c>
      <c r="I5397" t="s">
        <v>19</v>
      </c>
      <c r="J5397">
        <v>25</v>
      </c>
      <c r="K5397">
        <v>0</v>
      </c>
      <c r="L5397">
        <v>0</v>
      </c>
      <c r="M5397">
        <f>VLOOKUP(Table1[[#This Row],[subscription_type]],Plans!$A$1:$B$5,2,FALSE)</f>
        <v>0</v>
      </c>
      <c r="N5397">
        <f t="shared" si="84"/>
        <v>0</v>
      </c>
    </row>
    <row r="5398" spans="1:14" x14ac:dyDescent="0.35">
      <c r="A5398">
        <v>5397</v>
      </c>
      <c r="B5398" t="s">
        <v>12</v>
      </c>
      <c r="C5398">
        <v>43</v>
      </c>
      <c r="D5398" t="s">
        <v>26</v>
      </c>
      <c r="E5398" t="s">
        <v>22</v>
      </c>
      <c r="F5398">
        <v>180</v>
      </c>
      <c r="G5398">
        <v>15</v>
      </c>
      <c r="H5398">
        <v>0.13</v>
      </c>
      <c r="I5398" t="s">
        <v>15</v>
      </c>
      <c r="J5398">
        <v>0</v>
      </c>
      <c r="K5398">
        <v>1</v>
      </c>
      <c r="L5398">
        <v>1</v>
      </c>
      <c r="M5398">
        <f>VLOOKUP(Table1[[#This Row],[subscription_type]],Plans!$A$1:$B$5,2,FALSE)</f>
        <v>9.99</v>
      </c>
      <c r="N5398">
        <f t="shared" si="84"/>
        <v>9.99</v>
      </c>
    </row>
    <row r="5399" spans="1:14" x14ac:dyDescent="0.35">
      <c r="A5399">
        <v>5398</v>
      </c>
      <c r="B5399" t="s">
        <v>12</v>
      </c>
      <c r="C5399">
        <v>57</v>
      </c>
      <c r="D5399" t="s">
        <v>26</v>
      </c>
      <c r="E5399" t="s">
        <v>18</v>
      </c>
      <c r="F5399">
        <v>294</v>
      </c>
      <c r="G5399">
        <v>9</v>
      </c>
      <c r="H5399">
        <v>0.37</v>
      </c>
      <c r="I5399" t="s">
        <v>23</v>
      </c>
      <c r="J5399">
        <v>0</v>
      </c>
      <c r="K5399">
        <v>1</v>
      </c>
      <c r="L5399">
        <v>0</v>
      </c>
      <c r="M5399">
        <f>VLOOKUP(Table1[[#This Row],[subscription_type]],Plans!$A$1:$B$5,2,FALSE)</f>
        <v>14.99</v>
      </c>
      <c r="N5399">
        <f t="shared" si="84"/>
        <v>0</v>
      </c>
    </row>
    <row r="5400" spans="1:14" x14ac:dyDescent="0.35">
      <c r="A5400">
        <v>5399</v>
      </c>
      <c r="B5400" t="s">
        <v>12</v>
      </c>
      <c r="C5400">
        <v>23</v>
      </c>
      <c r="D5400" t="s">
        <v>29</v>
      </c>
      <c r="E5400" t="s">
        <v>24</v>
      </c>
      <c r="F5400">
        <v>177</v>
      </c>
      <c r="G5400">
        <v>47</v>
      </c>
      <c r="H5400">
        <v>0.41</v>
      </c>
      <c r="I5400" t="s">
        <v>15</v>
      </c>
      <c r="J5400">
        <v>0</v>
      </c>
      <c r="K5400">
        <v>1</v>
      </c>
      <c r="L5400">
        <v>1</v>
      </c>
      <c r="M5400">
        <f>VLOOKUP(Table1[[#This Row],[subscription_type]],Plans!$A$1:$B$5,2,FALSE)</f>
        <v>4.99</v>
      </c>
      <c r="N5400">
        <f t="shared" si="84"/>
        <v>4.99</v>
      </c>
    </row>
    <row r="5401" spans="1:14" x14ac:dyDescent="0.35">
      <c r="A5401">
        <v>5400</v>
      </c>
      <c r="B5401" t="s">
        <v>20</v>
      </c>
      <c r="C5401">
        <v>49</v>
      </c>
      <c r="D5401" t="s">
        <v>13</v>
      </c>
      <c r="E5401" t="s">
        <v>22</v>
      </c>
      <c r="F5401">
        <v>85</v>
      </c>
      <c r="G5401">
        <v>25</v>
      </c>
      <c r="H5401">
        <v>0.14000000000000001</v>
      </c>
      <c r="I5401" t="s">
        <v>19</v>
      </c>
      <c r="J5401">
        <v>0</v>
      </c>
      <c r="K5401">
        <v>1</v>
      </c>
      <c r="L5401">
        <v>1</v>
      </c>
      <c r="M5401">
        <f>VLOOKUP(Table1[[#This Row],[subscription_type]],Plans!$A$1:$B$5,2,FALSE)</f>
        <v>9.99</v>
      </c>
      <c r="N5401">
        <f t="shared" si="84"/>
        <v>9.99</v>
      </c>
    </row>
    <row r="5402" spans="1:14" x14ac:dyDescent="0.35">
      <c r="A5402">
        <v>5401</v>
      </c>
      <c r="B5402" t="s">
        <v>20</v>
      </c>
      <c r="C5402">
        <v>44</v>
      </c>
      <c r="D5402" t="s">
        <v>28</v>
      </c>
      <c r="E5402" t="s">
        <v>24</v>
      </c>
      <c r="F5402">
        <v>269</v>
      </c>
      <c r="G5402">
        <v>51</v>
      </c>
      <c r="H5402">
        <v>0.47</v>
      </c>
      <c r="I5402" t="s">
        <v>15</v>
      </c>
      <c r="J5402">
        <v>0</v>
      </c>
      <c r="K5402">
        <v>1</v>
      </c>
      <c r="L5402">
        <v>1</v>
      </c>
      <c r="M5402">
        <f>VLOOKUP(Table1[[#This Row],[subscription_type]],Plans!$A$1:$B$5,2,FALSE)</f>
        <v>4.99</v>
      </c>
      <c r="N5402">
        <f t="shared" si="84"/>
        <v>4.99</v>
      </c>
    </row>
    <row r="5403" spans="1:14" x14ac:dyDescent="0.35">
      <c r="A5403">
        <v>5402</v>
      </c>
      <c r="B5403" t="s">
        <v>12</v>
      </c>
      <c r="C5403">
        <v>16</v>
      </c>
      <c r="D5403" t="s">
        <v>29</v>
      </c>
      <c r="E5403" t="s">
        <v>24</v>
      </c>
      <c r="F5403">
        <v>27</v>
      </c>
      <c r="G5403">
        <v>19</v>
      </c>
      <c r="H5403">
        <v>0.03</v>
      </c>
      <c r="I5403" t="s">
        <v>15</v>
      </c>
      <c r="J5403">
        <v>0</v>
      </c>
      <c r="K5403">
        <v>1</v>
      </c>
      <c r="L5403">
        <v>1</v>
      </c>
      <c r="M5403">
        <f>VLOOKUP(Table1[[#This Row],[subscription_type]],Plans!$A$1:$B$5,2,FALSE)</f>
        <v>4.99</v>
      </c>
      <c r="N5403">
        <f t="shared" si="84"/>
        <v>4.99</v>
      </c>
    </row>
    <row r="5404" spans="1:14" x14ac:dyDescent="0.35">
      <c r="A5404">
        <v>5403</v>
      </c>
      <c r="B5404" t="s">
        <v>12</v>
      </c>
      <c r="C5404">
        <v>27</v>
      </c>
      <c r="D5404" t="s">
        <v>27</v>
      </c>
      <c r="E5404" t="s">
        <v>24</v>
      </c>
      <c r="F5404">
        <v>38</v>
      </c>
      <c r="G5404">
        <v>38</v>
      </c>
      <c r="H5404">
        <v>0.38</v>
      </c>
      <c r="I5404" t="s">
        <v>15</v>
      </c>
      <c r="J5404">
        <v>0</v>
      </c>
      <c r="K5404">
        <v>1</v>
      </c>
      <c r="L5404">
        <v>0</v>
      </c>
      <c r="M5404">
        <f>VLOOKUP(Table1[[#This Row],[subscription_type]],Plans!$A$1:$B$5,2,FALSE)</f>
        <v>4.99</v>
      </c>
      <c r="N5404">
        <f t="shared" si="84"/>
        <v>0</v>
      </c>
    </row>
    <row r="5405" spans="1:14" x14ac:dyDescent="0.35">
      <c r="A5405">
        <v>5404</v>
      </c>
      <c r="B5405" t="s">
        <v>12</v>
      </c>
      <c r="C5405">
        <v>37</v>
      </c>
      <c r="D5405" t="s">
        <v>21</v>
      </c>
      <c r="E5405" t="s">
        <v>14</v>
      </c>
      <c r="F5405">
        <v>216</v>
      </c>
      <c r="G5405">
        <v>57</v>
      </c>
      <c r="H5405">
        <v>0.12</v>
      </c>
      <c r="I5405" t="s">
        <v>23</v>
      </c>
      <c r="J5405">
        <v>44</v>
      </c>
      <c r="K5405">
        <v>0</v>
      </c>
      <c r="L5405">
        <v>1</v>
      </c>
      <c r="M5405">
        <f>VLOOKUP(Table1[[#This Row],[subscription_type]],Plans!$A$1:$B$5,2,FALSE)</f>
        <v>0</v>
      </c>
      <c r="N5405">
        <f t="shared" si="84"/>
        <v>0</v>
      </c>
    </row>
    <row r="5406" spans="1:14" x14ac:dyDescent="0.35">
      <c r="A5406">
        <v>5405</v>
      </c>
      <c r="B5406" t="s">
        <v>16</v>
      </c>
      <c r="C5406">
        <v>46</v>
      </c>
      <c r="D5406" t="s">
        <v>27</v>
      </c>
      <c r="E5406" t="s">
        <v>18</v>
      </c>
      <c r="F5406">
        <v>202</v>
      </c>
      <c r="G5406">
        <v>84</v>
      </c>
      <c r="H5406">
        <v>0.48</v>
      </c>
      <c r="I5406" t="s">
        <v>15</v>
      </c>
      <c r="J5406">
        <v>0</v>
      </c>
      <c r="K5406">
        <v>1</v>
      </c>
      <c r="L5406">
        <v>1</v>
      </c>
      <c r="M5406">
        <f>VLOOKUP(Table1[[#This Row],[subscription_type]],Plans!$A$1:$B$5,2,FALSE)</f>
        <v>14.99</v>
      </c>
      <c r="N5406">
        <f t="shared" si="84"/>
        <v>14.99</v>
      </c>
    </row>
    <row r="5407" spans="1:14" x14ac:dyDescent="0.35">
      <c r="A5407">
        <v>5406</v>
      </c>
      <c r="B5407" t="s">
        <v>16</v>
      </c>
      <c r="C5407">
        <v>45</v>
      </c>
      <c r="D5407" t="s">
        <v>13</v>
      </c>
      <c r="E5407" t="s">
        <v>24</v>
      </c>
      <c r="F5407">
        <v>103</v>
      </c>
      <c r="G5407">
        <v>82</v>
      </c>
      <c r="H5407">
        <v>0.25</v>
      </c>
      <c r="I5407" t="s">
        <v>15</v>
      </c>
      <c r="J5407">
        <v>0</v>
      </c>
      <c r="K5407">
        <v>1</v>
      </c>
      <c r="L5407">
        <v>0</v>
      </c>
      <c r="M5407">
        <f>VLOOKUP(Table1[[#This Row],[subscription_type]],Plans!$A$1:$B$5,2,FALSE)</f>
        <v>4.99</v>
      </c>
      <c r="N5407">
        <f t="shared" si="84"/>
        <v>0</v>
      </c>
    </row>
    <row r="5408" spans="1:14" x14ac:dyDescent="0.35">
      <c r="A5408">
        <v>5407</v>
      </c>
      <c r="B5408" t="s">
        <v>20</v>
      </c>
      <c r="C5408">
        <v>19</v>
      </c>
      <c r="D5408" t="s">
        <v>27</v>
      </c>
      <c r="E5408" t="s">
        <v>24</v>
      </c>
      <c r="F5408">
        <v>85</v>
      </c>
      <c r="G5408">
        <v>98</v>
      </c>
      <c r="H5408">
        <v>0.23</v>
      </c>
      <c r="I5408" t="s">
        <v>23</v>
      </c>
      <c r="J5408">
        <v>0</v>
      </c>
      <c r="K5408">
        <v>1</v>
      </c>
      <c r="L5408">
        <v>0</v>
      </c>
      <c r="M5408">
        <f>VLOOKUP(Table1[[#This Row],[subscription_type]],Plans!$A$1:$B$5,2,FALSE)</f>
        <v>4.99</v>
      </c>
      <c r="N5408">
        <f t="shared" si="84"/>
        <v>0</v>
      </c>
    </row>
    <row r="5409" spans="1:14" x14ac:dyDescent="0.35">
      <c r="A5409">
        <v>5408</v>
      </c>
      <c r="B5409" t="s">
        <v>12</v>
      </c>
      <c r="C5409">
        <v>19</v>
      </c>
      <c r="D5409" t="s">
        <v>29</v>
      </c>
      <c r="E5409" t="s">
        <v>22</v>
      </c>
      <c r="F5409">
        <v>283</v>
      </c>
      <c r="G5409">
        <v>3</v>
      </c>
      <c r="H5409">
        <v>0.49</v>
      </c>
      <c r="I5409" t="s">
        <v>15</v>
      </c>
      <c r="J5409">
        <v>0</v>
      </c>
      <c r="K5409">
        <v>1</v>
      </c>
      <c r="L5409">
        <v>0</v>
      </c>
      <c r="M5409">
        <f>VLOOKUP(Table1[[#This Row],[subscription_type]],Plans!$A$1:$B$5,2,FALSE)</f>
        <v>9.99</v>
      </c>
      <c r="N5409">
        <f t="shared" si="84"/>
        <v>0</v>
      </c>
    </row>
    <row r="5410" spans="1:14" x14ac:dyDescent="0.35">
      <c r="A5410">
        <v>5409</v>
      </c>
      <c r="B5410" t="s">
        <v>16</v>
      </c>
      <c r="C5410">
        <v>44</v>
      </c>
      <c r="D5410" t="s">
        <v>27</v>
      </c>
      <c r="E5410" t="s">
        <v>24</v>
      </c>
      <c r="F5410">
        <v>203</v>
      </c>
      <c r="G5410">
        <v>69</v>
      </c>
      <c r="H5410">
        <v>0.2</v>
      </c>
      <c r="I5410" t="s">
        <v>23</v>
      </c>
      <c r="J5410">
        <v>0</v>
      </c>
      <c r="K5410">
        <v>1</v>
      </c>
      <c r="L5410">
        <v>0</v>
      </c>
      <c r="M5410">
        <f>VLOOKUP(Table1[[#This Row],[subscription_type]],Plans!$A$1:$B$5,2,FALSE)</f>
        <v>4.99</v>
      </c>
      <c r="N5410">
        <f t="shared" si="84"/>
        <v>0</v>
      </c>
    </row>
    <row r="5411" spans="1:14" x14ac:dyDescent="0.35">
      <c r="A5411">
        <v>5410</v>
      </c>
      <c r="B5411" t="s">
        <v>16</v>
      </c>
      <c r="C5411">
        <v>27</v>
      </c>
      <c r="D5411" t="s">
        <v>25</v>
      </c>
      <c r="E5411" t="s">
        <v>22</v>
      </c>
      <c r="F5411">
        <v>77</v>
      </c>
      <c r="G5411">
        <v>5</v>
      </c>
      <c r="H5411">
        <v>0.49</v>
      </c>
      <c r="I5411" t="s">
        <v>19</v>
      </c>
      <c r="J5411">
        <v>0</v>
      </c>
      <c r="K5411">
        <v>1</v>
      </c>
      <c r="L5411">
        <v>0</v>
      </c>
      <c r="M5411">
        <f>VLOOKUP(Table1[[#This Row],[subscription_type]],Plans!$A$1:$B$5,2,FALSE)</f>
        <v>9.99</v>
      </c>
      <c r="N5411">
        <f t="shared" si="84"/>
        <v>0</v>
      </c>
    </row>
    <row r="5412" spans="1:14" x14ac:dyDescent="0.35">
      <c r="A5412">
        <v>5411</v>
      </c>
      <c r="B5412" t="s">
        <v>16</v>
      </c>
      <c r="C5412">
        <v>37</v>
      </c>
      <c r="D5412" t="s">
        <v>21</v>
      </c>
      <c r="E5412" t="s">
        <v>14</v>
      </c>
      <c r="F5412">
        <v>100</v>
      </c>
      <c r="G5412">
        <v>99</v>
      </c>
      <c r="H5412">
        <v>0.15</v>
      </c>
      <c r="I5412" t="s">
        <v>23</v>
      </c>
      <c r="J5412">
        <v>26</v>
      </c>
      <c r="K5412">
        <v>0</v>
      </c>
      <c r="L5412">
        <v>0</v>
      </c>
      <c r="M5412">
        <f>VLOOKUP(Table1[[#This Row],[subscription_type]],Plans!$A$1:$B$5,2,FALSE)</f>
        <v>0</v>
      </c>
      <c r="N5412">
        <f t="shared" si="84"/>
        <v>0</v>
      </c>
    </row>
    <row r="5413" spans="1:14" x14ac:dyDescent="0.35">
      <c r="A5413">
        <v>5412</v>
      </c>
      <c r="B5413" t="s">
        <v>20</v>
      </c>
      <c r="C5413">
        <v>16</v>
      </c>
      <c r="D5413" t="s">
        <v>21</v>
      </c>
      <c r="E5413" t="s">
        <v>18</v>
      </c>
      <c r="F5413">
        <v>113</v>
      </c>
      <c r="G5413">
        <v>43</v>
      </c>
      <c r="H5413">
        <v>0.37</v>
      </c>
      <c r="I5413" t="s">
        <v>15</v>
      </c>
      <c r="J5413">
        <v>0</v>
      </c>
      <c r="K5413">
        <v>1</v>
      </c>
      <c r="L5413">
        <v>0</v>
      </c>
      <c r="M5413">
        <f>VLOOKUP(Table1[[#This Row],[subscription_type]],Plans!$A$1:$B$5,2,FALSE)</f>
        <v>14.99</v>
      </c>
      <c r="N5413">
        <f t="shared" si="84"/>
        <v>0</v>
      </c>
    </row>
    <row r="5414" spans="1:14" x14ac:dyDescent="0.35">
      <c r="A5414">
        <v>5413</v>
      </c>
      <c r="B5414" t="s">
        <v>16</v>
      </c>
      <c r="C5414">
        <v>48</v>
      </c>
      <c r="D5414" t="s">
        <v>17</v>
      </c>
      <c r="E5414" t="s">
        <v>22</v>
      </c>
      <c r="F5414">
        <v>175</v>
      </c>
      <c r="G5414">
        <v>23</v>
      </c>
      <c r="H5414">
        <v>0.59</v>
      </c>
      <c r="I5414" t="s">
        <v>19</v>
      </c>
      <c r="J5414">
        <v>0</v>
      </c>
      <c r="K5414">
        <v>1</v>
      </c>
      <c r="L5414">
        <v>1</v>
      </c>
      <c r="M5414">
        <f>VLOOKUP(Table1[[#This Row],[subscription_type]],Plans!$A$1:$B$5,2,FALSE)</f>
        <v>9.99</v>
      </c>
      <c r="N5414">
        <f t="shared" si="84"/>
        <v>9.99</v>
      </c>
    </row>
    <row r="5415" spans="1:14" x14ac:dyDescent="0.35">
      <c r="A5415">
        <v>5414</v>
      </c>
      <c r="B5415" t="s">
        <v>12</v>
      </c>
      <c r="C5415">
        <v>44</v>
      </c>
      <c r="D5415" t="s">
        <v>21</v>
      </c>
      <c r="E5415" t="s">
        <v>22</v>
      </c>
      <c r="F5415">
        <v>90</v>
      </c>
      <c r="G5415">
        <v>47</v>
      </c>
      <c r="H5415">
        <v>0.59</v>
      </c>
      <c r="I5415" t="s">
        <v>23</v>
      </c>
      <c r="J5415">
        <v>0</v>
      </c>
      <c r="K5415">
        <v>1</v>
      </c>
      <c r="L5415">
        <v>0</v>
      </c>
      <c r="M5415">
        <f>VLOOKUP(Table1[[#This Row],[subscription_type]],Plans!$A$1:$B$5,2,FALSE)</f>
        <v>9.99</v>
      </c>
      <c r="N5415">
        <f t="shared" si="84"/>
        <v>0</v>
      </c>
    </row>
    <row r="5416" spans="1:14" x14ac:dyDescent="0.35">
      <c r="A5416">
        <v>5415</v>
      </c>
      <c r="B5416" t="s">
        <v>20</v>
      </c>
      <c r="C5416">
        <v>56</v>
      </c>
      <c r="D5416" t="s">
        <v>17</v>
      </c>
      <c r="E5416" t="s">
        <v>18</v>
      </c>
      <c r="F5416">
        <v>47</v>
      </c>
      <c r="G5416">
        <v>49</v>
      </c>
      <c r="H5416">
        <v>0.54</v>
      </c>
      <c r="I5416" t="s">
        <v>15</v>
      </c>
      <c r="J5416">
        <v>0</v>
      </c>
      <c r="K5416">
        <v>1</v>
      </c>
      <c r="L5416">
        <v>0</v>
      </c>
      <c r="M5416">
        <f>VLOOKUP(Table1[[#This Row],[subscription_type]],Plans!$A$1:$B$5,2,FALSE)</f>
        <v>14.99</v>
      </c>
      <c r="N5416">
        <f t="shared" si="84"/>
        <v>0</v>
      </c>
    </row>
    <row r="5417" spans="1:14" x14ac:dyDescent="0.35">
      <c r="A5417">
        <v>5416</v>
      </c>
      <c r="B5417" t="s">
        <v>12</v>
      </c>
      <c r="C5417">
        <v>44</v>
      </c>
      <c r="D5417" t="s">
        <v>17</v>
      </c>
      <c r="E5417" t="s">
        <v>14</v>
      </c>
      <c r="F5417">
        <v>94</v>
      </c>
      <c r="G5417">
        <v>13</v>
      </c>
      <c r="H5417">
        <v>0.23</v>
      </c>
      <c r="I5417" t="s">
        <v>19</v>
      </c>
      <c r="J5417">
        <v>47</v>
      </c>
      <c r="K5417">
        <v>0</v>
      </c>
      <c r="L5417">
        <v>0</v>
      </c>
      <c r="M5417">
        <f>VLOOKUP(Table1[[#This Row],[subscription_type]],Plans!$A$1:$B$5,2,FALSE)</f>
        <v>0</v>
      </c>
      <c r="N5417">
        <f t="shared" si="84"/>
        <v>0</v>
      </c>
    </row>
    <row r="5418" spans="1:14" x14ac:dyDescent="0.35">
      <c r="A5418">
        <v>5417</v>
      </c>
      <c r="B5418" t="s">
        <v>20</v>
      </c>
      <c r="C5418">
        <v>22</v>
      </c>
      <c r="D5418" t="s">
        <v>21</v>
      </c>
      <c r="E5418" t="s">
        <v>18</v>
      </c>
      <c r="F5418">
        <v>11</v>
      </c>
      <c r="G5418">
        <v>89</v>
      </c>
      <c r="H5418">
        <v>0.52</v>
      </c>
      <c r="I5418" t="s">
        <v>15</v>
      </c>
      <c r="J5418">
        <v>0</v>
      </c>
      <c r="K5418">
        <v>1</v>
      </c>
      <c r="L5418">
        <v>0</v>
      </c>
      <c r="M5418">
        <f>VLOOKUP(Table1[[#This Row],[subscription_type]],Plans!$A$1:$B$5,2,FALSE)</f>
        <v>14.99</v>
      </c>
      <c r="N5418">
        <f t="shared" si="84"/>
        <v>0</v>
      </c>
    </row>
    <row r="5419" spans="1:14" x14ac:dyDescent="0.35">
      <c r="A5419">
        <v>5418</v>
      </c>
      <c r="B5419" t="s">
        <v>20</v>
      </c>
      <c r="C5419">
        <v>18</v>
      </c>
      <c r="D5419" t="s">
        <v>29</v>
      </c>
      <c r="E5419" t="s">
        <v>14</v>
      </c>
      <c r="F5419">
        <v>299</v>
      </c>
      <c r="G5419">
        <v>3</v>
      </c>
      <c r="H5419">
        <v>0.23</v>
      </c>
      <c r="I5419" t="s">
        <v>19</v>
      </c>
      <c r="J5419">
        <v>48</v>
      </c>
      <c r="K5419">
        <v>0</v>
      </c>
      <c r="L5419">
        <v>0</v>
      </c>
      <c r="M5419">
        <f>VLOOKUP(Table1[[#This Row],[subscription_type]],Plans!$A$1:$B$5,2,FALSE)</f>
        <v>0</v>
      </c>
      <c r="N5419">
        <f t="shared" si="84"/>
        <v>0</v>
      </c>
    </row>
    <row r="5420" spans="1:14" x14ac:dyDescent="0.35">
      <c r="A5420">
        <v>5419</v>
      </c>
      <c r="B5420" t="s">
        <v>20</v>
      </c>
      <c r="C5420">
        <v>57</v>
      </c>
      <c r="D5420" t="s">
        <v>27</v>
      </c>
      <c r="E5420" t="s">
        <v>14</v>
      </c>
      <c r="F5420">
        <v>191</v>
      </c>
      <c r="G5420">
        <v>28</v>
      </c>
      <c r="H5420">
        <v>0.12</v>
      </c>
      <c r="I5420" t="s">
        <v>23</v>
      </c>
      <c r="J5420">
        <v>11</v>
      </c>
      <c r="K5420">
        <v>0</v>
      </c>
      <c r="L5420">
        <v>0</v>
      </c>
      <c r="M5420">
        <f>VLOOKUP(Table1[[#This Row],[subscription_type]],Plans!$A$1:$B$5,2,FALSE)</f>
        <v>0</v>
      </c>
      <c r="N5420">
        <f t="shared" si="84"/>
        <v>0</v>
      </c>
    </row>
    <row r="5421" spans="1:14" x14ac:dyDescent="0.35">
      <c r="A5421">
        <v>5420</v>
      </c>
      <c r="B5421" t="s">
        <v>20</v>
      </c>
      <c r="C5421">
        <v>48</v>
      </c>
      <c r="D5421" t="s">
        <v>27</v>
      </c>
      <c r="E5421" t="s">
        <v>18</v>
      </c>
      <c r="F5421">
        <v>250</v>
      </c>
      <c r="G5421">
        <v>40</v>
      </c>
      <c r="H5421">
        <v>0.13</v>
      </c>
      <c r="I5421" t="s">
        <v>15</v>
      </c>
      <c r="J5421">
        <v>0</v>
      </c>
      <c r="K5421">
        <v>1</v>
      </c>
      <c r="L5421">
        <v>0</v>
      </c>
      <c r="M5421">
        <f>VLOOKUP(Table1[[#This Row],[subscription_type]],Plans!$A$1:$B$5,2,FALSE)</f>
        <v>14.99</v>
      </c>
      <c r="N5421">
        <f t="shared" si="84"/>
        <v>0</v>
      </c>
    </row>
    <row r="5422" spans="1:14" x14ac:dyDescent="0.35">
      <c r="A5422">
        <v>5421</v>
      </c>
      <c r="B5422" t="s">
        <v>20</v>
      </c>
      <c r="C5422">
        <v>33</v>
      </c>
      <c r="D5422" t="s">
        <v>13</v>
      </c>
      <c r="E5422" t="s">
        <v>22</v>
      </c>
      <c r="F5422">
        <v>298</v>
      </c>
      <c r="G5422">
        <v>34</v>
      </c>
      <c r="H5422">
        <v>0.15</v>
      </c>
      <c r="I5422" t="s">
        <v>15</v>
      </c>
      <c r="J5422">
        <v>0</v>
      </c>
      <c r="K5422">
        <v>1</v>
      </c>
      <c r="L5422">
        <v>0</v>
      </c>
      <c r="M5422">
        <f>VLOOKUP(Table1[[#This Row],[subscription_type]],Plans!$A$1:$B$5,2,FALSE)</f>
        <v>9.99</v>
      </c>
      <c r="N5422">
        <f t="shared" si="84"/>
        <v>0</v>
      </c>
    </row>
    <row r="5423" spans="1:14" x14ac:dyDescent="0.35">
      <c r="A5423">
        <v>5422</v>
      </c>
      <c r="B5423" t="s">
        <v>12</v>
      </c>
      <c r="C5423">
        <v>29</v>
      </c>
      <c r="D5423" t="s">
        <v>26</v>
      </c>
      <c r="E5423" t="s">
        <v>24</v>
      </c>
      <c r="F5423">
        <v>286</v>
      </c>
      <c r="G5423">
        <v>83</v>
      </c>
      <c r="H5423">
        <v>0.5</v>
      </c>
      <c r="I5423" t="s">
        <v>19</v>
      </c>
      <c r="J5423">
        <v>0</v>
      </c>
      <c r="K5423">
        <v>1</v>
      </c>
      <c r="L5423">
        <v>0</v>
      </c>
      <c r="M5423">
        <f>VLOOKUP(Table1[[#This Row],[subscription_type]],Plans!$A$1:$B$5,2,FALSE)</f>
        <v>4.99</v>
      </c>
      <c r="N5423">
        <f t="shared" si="84"/>
        <v>0</v>
      </c>
    </row>
    <row r="5424" spans="1:14" x14ac:dyDescent="0.35">
      <c r="A5424">
        <v>5423</v>
      </c>
      <c r="B5424" t="s">
        <v>12</v>
      </c>
      <c r="C5424">
        <v>42</v>
      </c>
      <c r="D5424" t="s">
        <v>29</v>
      </c>
      <c r="E5424" t="s">
        <v>22</v>
      </c>
      <c r="F5424">
        <v>58</v>
      </c>
      <c r="G5424">
        <v>55</v>
      </c>
      <c r="H5424">
        <v>0.33</v>
      </c>
      <c r="I5424" t="s">
        <v>23</v>
      </c>
      <c r="J5424">
        <v>0</v>
      </c>
      <c r="K5424">
        <v>1</v>
      </c>
      <c r="L5424">
        <v>0</v>
      </c>
      <c r="M5424">
        <f>VLOOKUP(Table1[[#This Row],[subscription_type]],Plans!$A$1:$B$5,2,FALSE)</f>
        <v>9.99</v>
      </c>
      <c r="N5424">
        <f t="shared" si="84"/>
        <v>0</v>
      </c>
    </row>
    <row r="5425" spans="1:14" x14ac:dyDescent="0.35">
      <c r="A5425">
        <v>5424</v>
      </c>
      <c r="B5425" t="s">
        <v>12</v>
      </c>
      <c r="C5425">
        <v>16</v>
      </c>
      <c r="D5425" t="s">
        <v>28</v>
      </c>
      <c r="E5425" t="s">
        <v>14</v>
      </c>
      <c r="F5425">
        <v>172</v>
      </c>
      <c r="G5425">
        <v>66</v>
      </c>
      <c r="H5425">
        <v>0.54</v>
      </c>
      <c r="I5425" t="s">
        <v>23</v>
      </c>
      <c r="J5425">
        <v>5</v>
      </c>
      <c r="K5425">
        <v>0</v>
      </c>
      <c r="L5425">
        <v>0</v>
      </c>
      <c r="M5425">
        <f>VLOOKUP(Table1[[#This Row],[subscription_type]],Plans!$A$1:$B$5,2,FALSE)</f>
        <v>0</v>
      </c>
      <c r="N5425">
        <f t="shared" si="84"/>
        <v>0</v>
      </c>
    </row>
    <row r="5426" spans="1:14" x14ac:dyDescent="0.35">
      <c r="A5426">
        <v>5425</v>
      </c>
      <c r="B5426" t="s">
        <v>20</v>
      </c>
      <c r="C5426">
        <v>26</v>
      </c>
      <c r="D5426" t="s">
        <v>25</v>
      </c>
      <c r="E5426" t="s">
        <v>14</v>
      </c>
      <c r="F5426">
        <v>14</v>
      </c>
      <c r="G5426">
        <v>16</v>
      </c>
      <c r="H5426">
        <v>0.34</v>
      </c>
      <c r="I5426" t="s">
        <v>15</v>
      </c>
      <c r="J5426">
        <v>18</v>
      </c>
      <c r="K5426">
        <v>0</v>
      </c>
      <c r="L5426">
        <v>0</v>
      </c>
      <c r="M5426">
        <f>VLOOKUP(Table1[[#This Row],[subscription_type]],Plans!$A$1:$B$5,2,FALSE)</f>
        <v>0</v>
      </c>
      <c r="N5426">
        <f t="shared" si="84"/>
        <v>0</v>
      </c>
    </row>
    <row r="5427" spans="1:14" x14ac:dyDescent="0.35">
      <c r="A5427">
        <v>5426</v>
      </c>
      <c r="B5427" t="s">
        <v>20</v>
      </c>
      <c r="C5427">
        <v>16</v>
      </c>
      <c r="D5427" t="s">
        <v>29</v>
      </c>
      <c r="E5427" t="s">
        <v>14</v>
      </c>
      <c r="F5427">
        <v>93</v>
      </c>
      <c r="G5427">
        <v>58</v>
      </c>
      <c r="H5427">
        <v>0.45</v>
      </c>
      <c r="I5427" t="s">
        <v>23</v>
      </c>
      <c r="J5427">
        <v>26</v>
      </c>
      <c r="K5427">
        <v>0</v>
      </c>
      <c r="L5427">
        <v>0</v>
      </c>
      <c r="M5427">
        <f>VLOOKUP(Table1[[#This Row],[subscription_type]],Plans!$A$1:$B$5,2,FALSE)</f>
        <v>0</v>
      </c>
      <c r="N5427">
        <f t="shared" si="84"/>
        <v>0</v>
      </c>
    </row>
    <row r="5428" spans="1:14" x14ac:dyDescent="0.35">
      <c r="A5428">
        <v>5427</v>
      </c>
      <c r="B5428" t="s">
        <v>20</v>
      </c>
      <c r="C5428">
        <v>57</v>
      </c>
      <c r="D5428" t="s">
        <v>17</v>
      </c>
      <c r="E5428" t="s">
        <v>24</v>
      </c>
      <c r="F5428">
        <v>175</v>
      </c>
      <c r="G5428">
        <v>96</v>
      </c>
      <c r="H5428">
        <v>0.03</v>
      </c>
      <c r="I5428" t="s">
        <v>23</v>
      </c>
      <c r="J5428">
        <v>0</v>
      </c>
      <c r="K5428">
        <v>1</v>
      </c>
      <c r="L5428">
        <v>0</v>
      </c>
      <c r="M5428">
        <f>VLOOKUP(Table1[[#This Row],[subscription_type]],Plans!$A$1:$B$5,2,FALSE)</f>
        <v>4.99</v>
      </c>
      <c r="N5428">
        <f t="shared" si="84"/>
        <v>0</v>
      </c>
    </row>
    <row r="5429" spans="1:14" x14ac:dyDescent="0.35">
      <c r="A5429">
        <v>5428</v>
      </c>
      <c r="B5429" t="s">
        <v>16</v>
      </c>
      <c r="C5429">
        <v>57</v>
      </c>
      <c r="D5429" t="s">
        <v>28</v>
      </c>
      <c r="E5429" t="s">
        <v>14</v>
      </c>
      <c r="F5429">
        <v>272</v>
      </c>
      <c r="G5429">
        <v>65</v>
      </c>
      <c r="H5429">
        <v>0.17</v>
      </c>
      <c r="I5429" t="s">
        <v>15</v>
      </c>
      <c r="J5429">
        <v>42</v>
      </c>
      <c r="K5429">
        <v>0</v>
      </c>
      <c r="L5429">
        <v>0</v>
      </c>
      <c r="M5429">
        <f>VLOOKUP(Table1[[#This Row],[subscription_type]],Plans!$A$1:$B$5,2,FALSE)</f>
        <v>0</v>
      </c>
      <c r="N5429">
        <f t="shared" si="84"/>
        <v>0</v>
      </c>
    </row>
    <row r="5430" spans="1:14" x14ac:dyDescent="0.35">
      <c r="A5430">
        <v>5429</v>
      </c>
      <c r="B5430" t="s">
        <v>20</v>
      </c>
      <c r="C5430">
        <v>33</v>
      </c>
      <c r="D5430" t="s">
        <v>13</v>
      </c>
      <c r="E5430" t="s">
        <v>22</v>
      </c>
      <c r="F5430">
        <v>242</v>
      </c>
      <c r="G5430">
        <v>99</v>
      </c>
      <c r="H5430">
        <v>0.03</v>
      </c>
      <c r="I5430" t="s">
        <v>23</v>
      </c>
      <c r="J5430">
        <v>0</v>
      </c>
      <c r="K5430">
        <v>1</v>
      </c>
      <c r="L5430">
        <v>1</v>
      </c>
      <c r="M5430">
        <f>VLOOKUP(Table1[[#This Row],[subscription_type]],Plans!$A$1:$B$5,2,FALSE)</f>
        <v>9.99</v>
      </c>
      <c r="N5430">
        <f t="shared" si="84"/>
        <v>9.99</v>
      </c>
    </row>
    <row r="5431" spans="1:14" x14ac:dyDescent="0.35">
      <c r="A5431">
        <v>5430</v>
      </c>
      <c r="B5431" t="s">
        <v>20</v>
      </c>
      <c r="C5431">
        <v>23</v>
      </c>
      <c r="D5431" t="s">
        <v>21</v>
      </c>
      <c r="E5431" t="s">
        <v>14</v>
      </c>
      <c r="F5431">
        <v>40</v>
      </c>
      <c r="G5431">
        <v>24</v>
      </c>
      <c r="H5431">
        <v>0.28000000000000003</v>
      </c>
      <c r="I5431" t="s">
        <v>19</v>
      </c>
      <c r="J5431">
        <v>23</v>
      </c>
      <c r="K5431">
        <v>0</v>
      </c>
      <c r="L5431">
        <v>0</v>
      </c>
      <c r="M5431">
        <f>VLOOKUP(Table1[[#This Row],[subscription_type]],Plans!$A$1:$B$5,2,FALSE)</f>
        <v>0</v>
      </c>
      <c r="N5431">
        <f t="shared" si="84"/>
        <v>0</v>
      </c>
    </row>
    <row r="5432" spans="1:14" x14ac:dyDescent="0.35">
      <c r="A5432">
        <v>5431</v>
      </c>
      <c r="B5432" t="s">
        <v>20</v>
      </c>
      <c r="C5432">
        <v>37</v>
      </c>
      <c r="D5432" t="s">
        <v>27</v>
      </c>
      <c r="E5432" t="s">
        <v>14</v>
      </c>
      <c r="F5432">
        <v>273</v>
      </c>
      <c r="G5432">
        <v>15</v>
      </c>
      <c r="H5432">
        <v>0.45</v>
      </c>
      <c r="I5432" t="s">
        <v>23</v>
      </c>
      <c r="J5432">
        <v>12</v>
      </c>
      <c r="K5432">
        <v>0</v>
      </c>
      <c r="L5432">
        <v>0</v>
      </c>
      <c r="M5432">
        <f>VLOOKUP(Table1[[#This Row],[subscription_type]],Plans!$A$1:$B$5,2,FALSE)</f>
        <v>0</v>
      </c>
      <c r="N5432">
        <f t="shared" si="84"/>
        <v>0</v>
      </c>
    </row>
    <row r="5433" spans="1:14" x14ac:dyDescent="0.35">
      <c r="A5433">
        <v>5432</v>
      </c>
      <c r="B5433" t="s">
        <v>16</v>
      </c>
      <c r="C5433">
        <v>46</v>
      </c>
      <c r="D5433" t="s">
        <v>26</v>
      </c>
      <c r="E5433" t="s">
        <v>22</v>
      </c>
      <c r="F5433">
        <v>280</v>
      </c>
      <c r="G5433">
        <v>76</v>
      </c>
      <c r="H5433">
        <v>0.03</v>
      </c>
      <c r="I5433" t="s">
        <v>19</v>
      </c>
      <c r="J5433">
        <v>0</v>
      </c>
      <c r="K5433">
        <v>1</v>
      </c>
      <c r="L5433">
        <v>0</v>
      </c>
      <c r="M5433">
        <f>VLOOKUP(Table1[[#This Row],[subscription_type]],Plans!$A$1:$B$5,2,FALSE)</f>
        <v>9.99</v>
      </c>
      <c r="N5433">
        <f t="shared" si="84"/>
        <v>0</v>
      </c>
    </row>
    <row r="5434" spans="1:14" x14ac:dyDescent="0.35">
      <c r="A5434">
        <v>5433</v>
      </c>
      <c r="B5434" t="s">
        <v>12</v>
      </c>
      <c r="C5434">
        <v>16</v>
      </c>
      <c r="D5434" t="s">
        <v>17</v>
      </c>
      <c r="E5434" t="s">
        <v>14</v>
      </c>
      <c r="F5434">
        <v>30</v>
      </c>
      <c r="G5434">
        <v>40</v>
      </c>
      <c r="H5434">
        <v>0.32</v>
      </c>
      <c r="I5434" t="s">
        <v>23</v>
      </c>
      <c r="J5434">
        <v>37</v>
      </c>
      <c r="K5434">
        <v>0</v>
      </c>
      <c r="L5434">
        <v>0</v>
      </c>
      <c r="M5434">
        <f>VLOOKUP(Table1[[#This Row],[subscription_type]],Plans!$A$1:$B$5,2,FALSE)</f>
        <v>0</v>
      </c>
      <c r="N5434">
        <f t="shared" si="84"/>
        <v>0</v>
      </c>
    </row>
    <row r="5435" spans="1:14" x14ac:dyDescent="0.35">
      <c r="A5435">
        <v>5434</v>
      </c>
      <c r="B5435" t="s">
        <v>12</v>
      </c>
      <c r="C5435">
        <v>28</v>
      </c>
      <c r="D5435" t="s">
        <v>17</v>
      </c>
      <c r="E5435" t="s">
        <v>24</v>
      </c>
      <c r="F5435">
        <v>215</v>
      </c>
      <c r="G5435">
        <v>29</v>
      </c>
      <c r="H5435">
        <v>0.02</v>
      </c>
      <c r="I5435" t="s">
        <v>23</v>
      </c>
      <c r="J5435">
        <v>0</v>
      </c>
      <c r="K5435">
        <v>1</v>
      </c>
      <c r="L5435">
        <v>0</v>
      </c>
      <c r="M5435">
        <f>VLOOKUP(Table1[[#This Row],[subscription_type]],Plans!$A$1:$B$5,2,FALSE)</f>
        <v>4.99</v>
      </c>
      <c r="N5435">
        <f t="shared" si="84"/>
        <v>0</v>
      </c>
    </row>
    <row r="5436" spans="1:14" x14ac:dyDescent="0.35">
      <c r="A5436">
        <v>5435</v>
      </c>
      <c r="B5436" t="s">
        <v>20</v>
      </c>
      <c r="C5436">
        <v>25</v>
      </c>
      <c r="D5436" t="s">
        <v>26</v>
      </c>
      <c r="E5436" t="s">
        <v>14</v>
      </c>
      <c r="F5436">
        <v>231</v>
      </c>
      <c r="G5436">
        <v>2</v>
      </c>
      <c r="H5436">
        <v>0.59</v>
      </c>
      <c r="I5436" t="s">
        <v>15</v>
      </c>
      <c r="J5436">
        <v>49</v>
      </c>
      <c r="K5436">
        <v>0</v>
      </c>
      <c r="L5436">
        <v>0</v>
      </c>
      <c r="M5436">
        <f>VLOOKUP(Table1[[#This Row],[subscription_type]],Plans!$A$1:$B$5,2,FALSE)</f>
        <v>0</v>
      </c>
      <c r="N5436">
        <f t="shared" si="84"/>
        <v>0</v>
      </c>
    </row>
    <row r="5437" spans="1:14" x14ac:dyDescent="0.35">
      <c r="A5437">
        <v>5436</v>
      </c>
      <c r="B5437" t="s">
        <v>16</v>
      </c>
      <c r="C5437">
        <v>21</v>
      </c>
      <c r="D5437" t="s">
        <v>13</v>
      </c>
      <c r="E5437" t="s">
        <v>24</v>
      </c>
      <c r="F5437">
        <v>26</v>
      </c>
      <c r="G5437">
        <v>17</v>
      </c>
      <c r="H5437">
        <v>0.12</v>
      </c>
      <c r="I5437" t="s">
        <v>15</v>
      </c>
      <c r="J5437">
        <v>0</v>
      </c>
      <c r="K5437">
        <v>1</v>
      </c>
      <c r="L5437">
        <v>0</v>
      </c>
      <c r="M5437">
        <f>VLOOKUP(Table1[[#This Row],[subscription_type]],Plans!$A$1:$B$5,2,FALSE)</f>
        <v>4.99</v>
      </c>
      <c r="N5437">
        <f t="shared" si="84"/>
        <v>0</v>
      </c>
    </row>
    <row r="5438" spans="1:14" x14ac:dyDescent="0.35">
      <c r="A5438">
        <v>5437</v>
      </c>
      <c r="B5438" t="s">
        <v>20</v>
      </c>
      <c r="C5438">
        <v>22</v>
      </c>
      <c r="D5438" t="s">
        <v>28</v>
      </c>
      <c r="E5438" t="s">
        <v>14</v>
      </c>
      <c r="F5438">
        <v>55</v>
      </c>
      <c r="G5438">
        <v>45</v>
      </c>
      <c r="H5438">
        <v>0.1</v>
      </c>
      <c r="I5438" t="s">
        <v>15</v>
      </c>
      <c r="J5438">
        <v>38</v>
      </c>
      <c r="K5438">
        <v>0</v>
      </c>
      <c r="L5438">
        <v>0</v>
      </c>
      <c r="M5438">
        <f>VLOOKUP(Table1[[#This Row],[subscription_type]],Plans!$A$1:$B$5,2,FALSE)</f>
        <v>0</v>
      </c>
      <c r="N5438">
        <f t="shared" si="84"/>
        <v>0</v>
      </c>
    </row>
    <row r="5439" spans="1:14" x14ac:dyDescent="0.35">
      <c r="A5439">
        <v>5438</v>
      </c>
      <c r="B5439" t="s">
        <v>16</v>
      </c>
      <c r="C5439">
        <v>33</v>
      </c>
      <c r="D5439" t="s">
        <v>28</v>
      </c>
      <c r="E5439" t="s">
        <v>24</v>
      </c>
      <c r="F5439">
        <v>171</v>
      </c>
      <c r="G5439">
        <v>13</v>
      </c>
      <c r="H5439">
        <v>0.49</v>
      </c>
      <c r="I5439" t="s">
        <v>23</v>
      </c>
      <c r="J5439">
        <v>0</v>
      </c>
      <c r="K5439">
        <v>1</v>
      </c>
      <c r="L5439">
        <v>0</v>
      </c>
      <c r="M5439">
        <f>VLOOKUP(Table1[[#This Row],[subscription_type]],Plans!$A$1:$B$5,2,FALSE)</f>
        <v>4.99</v>
      </c>
      <c r="N5439">
        <f t="shared" si="84"/>
        <v>0</v>
      </c>
    </row>
    <row r="5440" spans="1:14" x14ac:dyDescent="0.35">
      <c r="A5440">
        <v>5439</v>
      </c>
      <c r="B5440" t="s">
        <v>20</v>
      </c>
      <c r="C5440">
        <v>41</v>
      </c>
      <c r="D5440" t="s">
        <v>26</v>
      </c>
      <c r="E5440" t="s">
        <v>24</v>
      </c>
      <c r="F5440">
        <v>90</v>
      </c>
      <c r="G5440">
        <v>7</v>
      </c>
      <c r="H5440">
        <v>0.45</v>
      </c>
      <c r="I5440" t="s">
        <v>15</v>
      </c>
      <c r="J5440">
        <v>0</v>
      </c>
      <c r="K5440">
        <v>1</v>
      </c>
      <c r="L5440">
        <v>0</v>
      </c>
      <c r="M5440">
        <f>VLOOKUP(Table1[[#This Row],[subscription_type]],Plans!$A$1:$B$5,2,FALSE)</f>
        <v>4.99</v>
      </c>
      <c r="N5440">
        <f t="shared" si="84"/>
        <v>0</v>
      </c>
    </row>
    <row r="5441" spans="1:14" x14ac:dyDescent="0.35">
      <c r="A5441">
        <v>5440</v>
      </c>
      <c r="B5441" t="s">
        <v>12</v>
      </c>
      <c r="C5441">
        <v>20</v>
      </c>
      <c r="D5441" t="s">
        <v>29</v>
      </c>
      <c r="E5441" t="s">
        <v>18</v>
      </c>
      <c r="F5441">
        <v>39</v>
      </c>
      <c r="G5441">
        <v>94</v>
      </c>
      <c r="H5441">
        <v>0.53</v>
      </c>
      <c r="I5441" t="s">
        <v>23</v>
      </c>
      <c r="J5441">
        <v>0</v>
      </c>
      <c r="K5441">
        <v>1</v>
      </c>
      <c r="L5441">
        <v>0</v>
      </c>
      <c r="M5441">
        <f>VLOOKUP(Table1[[#This Row],[subscription_type]],Plans!$A$1:$B$5,2,FALSE)</f>
        <v>14.99</v>
      </c>
      <c r="N5441">
        <f t="shared" si="84"/>
        <v>0</v>
      </c>
    </row>
    <row r="5442" spans="1:14" x14ac:dyDescent="0.35">
      <c r="A5442">
        <v>5441</v>
      </c>
      <c r="B5442" t="s">
        <v>12</v>
      </c>
      <c r="C5442">
        <v>17</v>
      </c>
      <c r="D5442" t="s">
        <v>28</v>
      </c>
      <c r="E5442" t="s">
        <v>14</v>
      </c>
      <c r="F5442">
        <v>256</v>
      </c>
      <c r="G5442">
        <v>61</v>
      </c>
      <c r="H5442">
        <v>0.39</v>
      </c>
      <c r="I5442" t="s">
        <v>19</v>
      </c>
      <c r="J5442">
        <v>19</v>
      </c>
      <c r="K5442">
        <v>0</v>
      </c>
      <c r="L5442">
        <v>0</v>
      </c>
      <c r="M5442">
        <f>VLOOKUP(Table1[[#This Row],[subscription_type]],Plans!$A$1:$B$5,2,FALSE)</f>
        <v>0</v>
      </c>
      <c r="N5442">
        <f t="shared" ref="N5442:N5505" si="85">IF(L5442=1, M5442,0)</f>
        <v>0</v>
      </c>
    </row>
    <row r="5443" spans="1:14" x14ac:dyDescent="0.35">
      <c r="A5443">
        <v>5442</v>
      </c>
      <c r="B5443" t="s">
        <v>16</v>
      </c>
      <c r="C5443">
        <v>50</v>
      </c>
      <c r="D5443" t="s">
        <v>21</v>
      </c>
      <c r="E5443" t="s">
        <v>14</v>
      </c>
      <c r="F5443">
        <v>33</v>
      </c>
      <c r="G5443">
        <v>88</v>
      </c>
      <c r="H5443">
        <v>0.11</v>
      </c>
      <c r="I5443" t="s">
        <v>15</v>
      </c>
      <c r="J5443">
        <v>24</v>
      </c>
      <c r="K5443">
        <v>0</v>
      </c>
      <c r="L5443">
        <v>0</v>
      </c>
      <c r="M5443">
        <f>VLOOKUP(Table1[[#This Row],[subscription_type]],Plans!$A$1:$B$5,2,FALSE)</f>
        <v>0</v>
      </c>
      <c r="N5443">
        <f t="shared" si="85"/>
        <v>0</v>
      </c>
    </row>
    <row r="5444" spans="1:14" x14ac:dyDescent="0.35">
      <c r="A5444">
        <v>5443</v>
      </c>
      <c r="B5444" t="s">
        <v>16</v>
      </c>
      <c r="C5444">
        <v>37</v>
      </c>
      <c r="D5444" t="s">
        <v>17</v>
      </c>
      <c r="E5444" t="s">
        <v>22</v>
      </c>
      <c r="F5444">
        <v>281</v>
      </c>
      <c r="G5444">
        <v>16</v>
      </c>
      <c r="H5444">
        <v>0.33</v>
      </c>
      <c r="I5444" t="s">
        <v>23</v>
      </c>
      <c r="J5444">
        <v>0</v>
      </c>
      <c r="K5444">
        <v>1</v>
      </c>
      <c r="L5444">
        <v>0</v>
      </c>
      <c r="M5444">
        <f>VLOOKUP(Table1[[#This Row],[subscription_type]],Plans!$A$1:$B$5,2,FALSE)</f>
        <v>9.99</v>
      </c>
      <c r="N5444">
        <f t="shared" si="85"/>
        <v>0</v>
      </c>
    </row>
    <row r="5445" spans="1:14" x14ac:dyDescent="0.35">
      <c r="A5445">
        <v>5444</v>
      </c>
      <c r="B5445" t="s">
        <v>16</v>
      </c>
      <c r="C5445">
        <v>49</v>
      </c>
      <c r="D5445" t="s">
        <v>25</v>
      </c>
      <c r="E5445" t="s">
        <v>14</v>
      </c>
      <c r="F5445">
        <v>57</v>
      </c>
      <c r="G5445">
        <v>82</v>
      </c>
      <c r="H5445">
        <v>0.18</v>
      </c>
      <c r="I5445" t="s">
        <v>15</v>
      </c>
      <c r="J5445">
        <v>30</v>
      </c>
      <c r="K5445">
        <v>0</v>
      </c>
      <c r="L5445">
        <v>0</v>
      </c>
      <c r="M5445">
        <f>VLOOKUP(Table1[[#This Row],[subscription_type]],Plans!$A$1:$B$5,2,FALSE)</f>
        <v>0</v>
      </c>
      <c r="N5445">
        <f t="shared" si="85"/>
        <v>0</v>
      </c>
    </row>
    <row r="5446" spans="1:14" x14ac:dyDescent="0.35">
      <c r="A5446">
        <v>5445</v>
      </c>
      <c r="B5446" t="s">
        <v>16</v>
      </c>
      <c r="C5446">
        <v>16</v>
      </c>
      <c r="D5446" t="s">
        <v>21</v>
      </c>
      <c r="E5446" t="s">
        <v>22</v>
      </c>
      <c r="F5446">
        <v>41</v>
      </c>
      <c r="G5446">
        <v>4</v>
      </c>
      <c r="H5446">
        <v>0.45</v>
      </c>
      <c r="I5446" t="s">
        <v>15</v>
      </c>
      <c r="J5446">
        <v>0</v>
      </c>
      <c r="K5446">
        <v>1</v>
      </c>
      <c r="L5446">
        <v>0</v>
      </c>
      <c r="M5446">
        <f>VLOOKUP(Table1[[#This Row],[subscription_type]],Plans!$A$1:$B$5,2,FALSE)</f>
        <v>9.99</v>
      </c>
      <c r="N5446">
        <f t="shared" si="85"/>
        <v>0</v>
      </c>
    </row>
    <row r="5447" spans="1:14" x14ac:dyDescent="0.35">
      <c r="A5447">
        <v>5446</v>
      </c>
      <c r="B5447" t="s">
        <v>20</v>
      </c>
      <c r="C5447">
        <v>48</v>
      </c>
      <c r="D5447" t="s">
        <v>27</v>
      </c>
      <c r="E5447" t="s">
        <v>14</v>
      </c>
      <c r="F5447">
        <v>58</v>
      </c>
      <c r="G5447">
        <v>14</v>
      </c>
      <c r="H5447">
        <v>0.32</v>
      </c>
      <c r="I5447" t="s">
        <v>15</v>
      </c>
      <c r="J5447">
        <v>20</v>
      </c>
      <c r="K5447">
        <v>0</v>
      </c>
      <c r="L5447">
        <v>0</v>
      </c>
      <c r="M5447">
        <f>VLOOKUP(Table1[[#This Row],[subscription_type]],Plans!$A$1:$B$5,2,FALSE)</f>
        <v>0</v>
      </c>
      <c r="N5447">
        <f t="shared" si="85"/>
        <v>0</v>
      </c>
    </row>
    <row r="5448" spans="1:14" x14ac:dyDescent="0.35">
      <c r="A5448">
        <v>5447</v>
      </c>
      <c r="B5448" t="s">
        <v>16</v>
      </c>
      <c r="C5448">
        <v>50</v>
      </c>
      <c r="D5448" t="s">
        <v>13</v>
      </c>
      <c r="E5448" t="s">
        <v>18</v>
      </c>
      <c r="F5448">
        <v>132</v>
      </c>
      <c r="G5448">
        <v>14</v>
      </c>
      <c r="H5448">
        <v>0.5</v>
      </c>
      <c r="I5448" t="s">
        <v>19</v>
      </c>
      <c r="J5448">
        <v>0</v>
      </c>
      <c r="K5448">
        <v>1</v>
      </c>
      <c r="L5448">
        <v>1</v>
      </c>
      <c r="M5448">
        <f>VLOOKUP(Table1[[#This Row],[subscription_type]],Plans!$A$1:$B$5,2,FALSE)</f>
        <v>14.99</v>
      </c>
      <c r="N5448">
        <f t="shared" si="85"/>
        <v>14.99</v>
      </c>
    </row>
    <row r="5449" spans="1:14" x14ac:dyDescent="0.35">
      <c r="A5449">
        <v>5448</v>
      </c>
      <c r="B5449" t="s">
        <v>16</v>
      </c>
      <c r="C5449">
        <v>18</v>
      </c>
      <c r="D5449" t="s">
        <v>28</v>
      </c>
      <c r="E5449" t="s">
        <v>24</v>
      </c>
      <c r="F5449">
        <v>169</v>
      </c>
      <c r="G5449">
        <v>45</v>
      </c>
      <c r="H5449">
        <v>0.04</v>
      </c>
      <c r="I5449" t="s">
        <v>23</v>
      </c>
      <c r="J5449">
        <v>0</v>
      </c>
      <c r="K5449">
        <v>1</v>
      </c>
      <c r="L5449">
        <v>0</v>
      </c>
      <c r="M5449">
        <f>VLOOKUP(Table1[[#This Row],[subscription_type]],Plans!$A$1:$B$5,2,FALSE)</f>
        <v>4.99</v>
      </c>
      <c r="N5449">
        <f t="shared" si="85"/>
        <v>0</v>
      </c>
    </row>
    <row r="5450" spans="1:14" x14ac:dyDescent="0.35">
      <c r="A5450">
        <v>5449</v>
      </c>
      <c r="B5450" t="s">
        <v>12</v>
      </c>
      <c r="C5450">
        <v>53</v>
      </c>
      <c r="D5450" t="s">
        <v>26</v>
      </c>
      <c r="E5450" t="s">
        <v>24</v>
      </c>
      <c r="F5450">
        <v>258</v>
      </c>
      <c r="G5450">
        <v>73</v>
      </c>
      <c r="H5450">
        <v>0.19</v>
      </c>
      <c r="I5450" t="s">
        <v>19</v>
      </c>
      <c r="J5450">
        <v>0</v>
      </c>
      <c r="K5450">
        <v>1</v>
      </c>
      <c r="L5450">
        <v>0</v>
      </c>
      <c r="M5450">
        <f>VLOOKUP(Table1[[#This Row],[subscription_type]],Plans!$A$1:$B$5,2,FALSE)</f>
        <v>4.99</v>
      </c>
      <c r="N5450">
        <f t="shared" si="85"/>
        <v>0</v>
      </c>
    </row>
    <row r="5451" spans="1:14" x14ac:dyDescent="0.35">
      <c r="A5451">
        <v>5450</v>
      </c>
      <c r="B5451" t="s">
        <v>16</v>
      </c>
      <c r="C5451">
        <v>17</v>
      </c>
      <c r="D5451" t="s">
        <v>13</v>
      </c>
      <c r="E5451" t="s">
        <v>24</v>
      </c>
      <c r="F5451">
        <v>197</v>
      </c>
      <c r="G5451">
        <v>26</v>
      </c>
      <c r="H5451">
        <v>0.48</v>
      </c>
      <c r="I5451" t="s">
        <v>23</v>
      </c>
      <c r="J5451">
        <v>0</v>
      </c>
      <c r="K5451">
        <v>1</v>
      </c>
      <c r="L5451">
        <v>1</v>
      </c>
      <c r="M5451">
        <f>VLOOKUP(Table1[[#This Row],[subscription_type]],Plans!$A$1:$B$5,2,FALSE)</f>
        <v>4.99</v>
      </c>
      <c r="N5451">
        <f t="shared" si="85"/>
        <v>4.99</v>
      </c>
    </row>
    <row r="5452" spans="1:14" x14ac:dyDescent="0.35">
      <c r="A5452">
        <v>5451</v>
      </c>
      <c r="B5452" t="s">
        <v>20</v>
      </c>
      <c r="C5452">
        <v>52</v>
      </c>
      <c r="D5452" t="s">
        <v>28</v>
      </c>
      <c r="E5452" t="s">
        <v>18</v>
      </c>
      <c r="F5452">
        <v>173</v>
      </c>
      <c r="G5452">
        <v>19</v>
      </c>
      <c r="H5452">
        <v>0.25</v>
      </c>
      <c r="I5452" t="s">
        <v>15</v>
      </c>
      <c r="J5452">
        <v>0</v>
      </c>
      <c r="K5452">
        <v>1</v>
      </c>
      <c r="L5452">
        <v>0</v>
      </c>
      <c r="M5452">
        <f>VLOOKUP(Table1[[#This Row],[subscription_type]],Plans!$A$1:$B$5,2,FALSE)</f>
        <v>14.99</v>
      </c>
      <c r="N5452">
        <f t="shared" si="85"/>
        <v>0</v>
      </c>
    </row>
    <row r="5453" spans="1:14" x14ac:dyDescent="0.35">
      <c r="A5453">
        <v>5452</v>
      </c>
      <c r="B5453" t="s">
        <v>12</v>
      </c>
      <c r="C5453">
        <v>48</v>
      </c>
      <c r="D5453" t="s">
        <v>26</v>
      </c>
      <c r="E5453" t="s">
        <v>24</v>
      </c>
      <c r="F5453">
        <v>63</v>
      </c>
      <c r="G5453">
        <v>19</v>
      </c>
      <c r="H5453">
        <v>0.56999999999999995</v>
      </c>
      <c r="I5453" t="s">
        <v>15</v>
      </c>
      <c r="J5453">
        <v>0</v>
      </c>
      <c r="K5453">
        <v>1</v>
      </c>
      <c r="L5453">
        <v>0</v>
      </c>
      <c r="M5453">
        <f>VLOOKUP(Table1[[#This Row],[subscription_type]],Plans!$A$1:$B$5,2,FALSE)</f>
        <v>4.99</v>
      </c>
      <c r="N5453">
        <f t="shared" si="85"/>
        <v>0</v>
      </c>
    </row>
    <row r="5454" spans="1:14" x14ac:dyDescent="0.35">
      <c r="A5454">
        <v>5453</v>
      </c>
      <c r="B5454" t="s">
        <v>16</v>
      </c>
      <c r="C5454">
        <v>53</v>
      </c>
      <c r="D5454" t="s">
        <v>25</v>
      </c>
      <c r="E5454" t="s">
        <v>22</v>
      </c>
      <c r="F5454">
        <v>44</v>
      </c>
      <c r="G5454">
        <v>78</v>
      </c>
      <c r="H5454">
        <v>0.16</v>
      </c>
      <c r="I5454" t="s">
        <v>15</v>
      </c>
      <c r="J5454">
        <v>0</v>
      </c>
      <c r="K5454">
        <v>1</v>
      </c>
      <c r="L5454">
        <v>0</v>
      </c>
      <c r="M5454">
        <f>VLOOKUP(Table1[[#This Row],[subscription_type]],Plans!$A$1:$B$5,2,FALSE)</f>
        <v>9.99</v>
      </c>
      <c r="N5454">
        <f t="shared" si="85"/>
        <v>0</v>
      </c>
    </row>
    <row r="5455" spans="1:14" x14ac:dyDescent="0.35">
      <c r="A5455">
        <v>5454</v>
      </c>
      <c r="B5455" t="s">
        <v>20</v>
      </c>
      <c r="C5455">
        <v>37</v>
      </c>
      <c r="D5455" t="s">
        <v>26</v>
      </c>
      <c r="E5455" t="s">
        <v>22</v>
      </c>
      <c r="F5455">
        <v>257</v>
      </c>
      <c r="G5455">
        <v>63</v>
      </c>
      <c r="H5455">
        <v>0.09</v>
      </c>
      <c r="I5455" t="s">
        <v>15</v>
      </c>
      <c r="J5455">
        <v>0</v>
      </c>
      <c r="K5455">
        <v>1</v>
      </c>
      <c r="L5455">
        <v>0</v>
      </c>
      <c r="M5455">
        <f>VLOOKUP(Table1[[#This Row],[subscription_type]],Plans!$A$1:$B$5,2,FALSE)</f>
        <v>9.99</v>
      </c>
      <c r="N5455">
        <f t="shared" si="85"/>
        <v>0</v>
      </c>
    </row>
    <row r="5456" spans="1:14" x14ac:dyDescent="0.35">
      <c r="A5456">
        <v>5455</v>
      </c>
      <c r="B5456" t="s">
        <v>16</v>
      </c>
      <c r="C5456">
        <v>55</v>
      </c>
      <c r="D5456" t="s">
        <v>27</v>
      </c>
      <c r="E5456" t="s">
        <v>14</v>
      </c>
      <c r="F5456">
        <v>79</v>
      </c>
      <c r="G5456">
        <v>26</v>
      </c>
      <c r="H5456">
        <v>0.08</v>
      </c>
      <c r="I5456" t="s">
        <v>19</v>
      </c>
      <c r="J5456">
        <v>9</v>
      </c>
      <c r="K5456">
        <v>0</v>
      </c>
      <c r="L5456">
        <v>1</v>
      </c>
      <c r="M5456">
        <f>VLOOKUP(Table1[[#This Row],[subscription_type]],Plans!$A$1:$B$5,2,FALSE)</f>
        <v>0</v>
      </c>
      <c r="N5456">
        <f t="shared" si="85"/>
        <v>0</v>
      </c>
    </row>
    <row r="5457" spans="1:14" x14ac:dyDescent="0.35">
      <c r="A5457">
        <v>5456</v>
      </c>
      <c r="B5457" t="s">
        <v>12</v>
      </c>
      <c r="C5457">
        <v>44</v>
      </c>
      <c r="D5457" t="s">
        <v>25</v>
      </c>
      <c r="E5457" t="s">
        <v>18</v>
      </c>
      <c r="F5457">
        <v>189</v>
      </c>
      <c r="G5457">
        <v>1</v>
      </c>
      <c r="H5457">
        <v>0.42</v>
      </c>
      <c r="I5457" t="s">
        <v>15</v>
      </c>
      <c r="J5457">
        <v>0</v>
      </c>
      <c r="K5457">
        <v>1</v>
      </c>
      <c r="L5457">
        <v>1</v>
      </c>
      <c r="M5457">
        <f>VLOOKUP(Table1[[#This Row],[subscription_type]],Plans!$A$1:$B$5,2,FALSE)</f>
        <v>14.99</v>
      </c>
      <c r="N5457">
        <f t="shared" si="85"/>
        <v>14.99</v>
      </c>
    </row>
    <row r="5458" spans="1:14" x14ac:dyDescent="0.35">
      <c r="A5458">
        <v>5457</v>
      </c>
      <c r="B5458" t="s">
        <v>16</v>
      </c>
      <c r="C5458">
        <v>42</v>
      </c>
      <c r="D5458" t="s">
        <v>27</v>
      </c>
      <c r="E5458" t="s">
        <v>14</v>
      </c>
      <c r="F5458">
        <v>166</v>
      </c>
      <c r="G5458">
        <v>8</v>
      </c>
      <c r="H5458">
        <v>0.44</v>
      </c>
      <c r="I5458" t="s">
        <v>19</v>
      </c>
      <c r="J5458">
        <v>34</v>
      </c>
      <c r="K5458">
        <v>0</v>
      </c>
      <c r="L5458">
        <v>0</v>
      </c>
      <c r="M5458">
        <f>VLOOKUP(Table1[[#This Row],[subscription_type]],Plans!$A$1:$B$5,2,FALSE)</f>
        <v>0</v>
      </c>
      <c r="N5458">
        <f t="shared" si="85"/>
        <v>0</v>
      </c>
    </row>
    <row r="5459" spans="1:14" x14ac:dyDescent="0.35">
      <c r="A5459">
        <v>5458</v>
      </c>
      <c r="B5459" t="s">
        <v>12</v>
      </c>
      <c r="C5459">
        <v>21</v>
      </c>
      <c r="D5459" t="s">
        <v>17</v>
      </c>
      <c r="E5459" t="s">
        <v>22</v>
      </c>
      <c r="F5459">
        <v>142</v>
      </c>
      <c r="G5459">
        <v>80</v>
      </c>
      <c r="H5459">
        <v>0.01</v>
      </c>
      <c r="I5459" t="s">
        <v>19</v>
      </c>
      <c r="J5459">
        <v>0</v>
      </c>
      <c r="K5459">
        <v>1</v>
      </c>
      <c r="L5459">
        <v>0</v>
      </c>
      <c r="M5459">
        <f>VLOOKUP(Table1[[#This Row],[subscription_type]],Plans!$A$1:$B$5,2,FALSE)</f>
        <v>9.99</v>
      </c>
      <c r="N5459">
        <f t="shared" si="85"/>
        <v>0</v>
      </c>
    </row>
    <row r="5460" spans="1:14" x14ac:dyDescent="0.35">
      <c r="A5460">
        <v>5459</v>
      </c>
      <c r="B5460" t="s">
        <v>12</v>
      </c>
      <c r="C5460">
        <v>50</v>
      </c>
      <c r="D5460" t="s">
        <v>28</v>
      </c>
      <c r="E5460" t="s">
        <v>22</v>
      </c>
      <c r="F5460">
        <v>200</v>
      </c>
      <c r="G5460">
        <v>73</v>
      </c>
      <c r="H5460">
        <v>0.43</v>
      </c>
      <c r="I5460" t="s">
        <v>19</v>
      </c>
      <c r="J5460">
        <v>0</v>
      </c>
      <c r="K5460">
        <v>1</v>
      </c>
      <c r="L5460">
        <v>0</v>
      </c>
      <c r="M5460">
        <f>VLOOKUP(Table1[[#This Row],[subscription_type]],Plans!$A$1:$B$5,2,FALSE)</f>
        <v>9.99</v>
      </c>
      <c r="N5460">
        <f t="shared" si="85"/>
        <v>0</v>
      </c>
    </row>
    <row r="5461" spans="1:14" x14ac:dyDescent="0.35">
      <c r="A5461">
        <v>5460</v>
      </c>
      <c r="B5461" t="s">
        <v>20</v>
      </c>
      <c r="C5461">
        <v>28</v>
      </c>
      <c r="D5461" t="s">
        <v>25</v>
      </c>
      <c r="E5461" t="s">
        <v>22</v>
      </c>
      <c r="F5461">
        <v>39</v>
      </c>
      <c r="G5461">
        <v>83</v>
      </c>
      <c r="H5461">
        <v>0.5</v>
      </c>
      <c r="I5461" t="s">
        <v>23</v>
      </c>
      <c r="J5461">
        <v>0</v>
      </c>
      <c r="K5461">
        <v>1</v>
      </c>
      <c r="L5461">
        <v>0</v>
      </c>
      <c r="M5461">
        <f>VLOOKUP(Table1[[#This Row],[subscription_type]],Plans!$A$1:$B$5,2,FALSE)</f>
        <v>9.99</v>
      </c>
      <c r="N5461">
        <f t="shared" si="85"/>
        <v>0</v>
      </c>
    </row>
    <row r="5462" spans="1:14" x14ac:dyDescent="0.35">
      <c r="A5462">
        <v>5461</v>
      </c>
      <c r="B5462" t="s">
        <v>20</v>
      </c>
      <c r="C5462">
        <v>33</v>
      </c>
      <c r="D5462" t="s">
        <v>26</v>
      </c>
      <c r="E5462" t="s">
        <v>14</v>
      </c>
      <c r="F5462">
        <v>51</v>
      </c>
      <c r="G5462">
        <v>67</v>
      </c>
      <c r="H5462">
        <v>0.41</v>
      </c>
      <c r="I5462" t="s">
        <v>19</v>
      </c>
      <c r="J5462">
        <v>36</v>
      </c>
      <c r="K5462">
        <v>0</v>
      </c>
      <c r="L5462">
        <v>0</v>
      </c>
      <c r="M5462">
        <f>VLOOKUP(Table1[[#This Row],[subscription_type]],Plans!$A$1:$B$5,2,FALSE)</f>
        <v>0</v>
      </c>
      <c r="N5462">
        <f t="shared" si="85"/>
        <v>0</v>
      </c>
    </row>
    <row r="5463" spans="1:14" x14ac:dyDescent="0.35">
      <c r="A5463">
        <v>5462</v>
      </c>
      <c r="B5463" t="s">
        <v>20</v>
      </c>
      <c r="C5463">
        <v>44</v>
      </c>
      <c r="D5463" t="s">
        <v>28</v>
      </c>
      <c r="E5463" t="s">
        <v>22</v>
      </c>
      <c r="F5463">
        <v>278</v>
      </c>
      <c r="G5463">
        <v>37</v>
      </c>
      <c r="H5463">
        <v>0.52</v>
      </c>
      <c r="I5463" t="s">
        <v>19</v>
      </c>
      <c r="J5463">
        <v>0</v>
      </c>
      <c r="K5463">
        <v>1</v>
      </c>
      <c r="L5463">
        <v>0</v>
      </c>
      <c r="M5463">
        <f>VLOOKUP(Table1[[#This Row],[subscription_type]],Plans!$A$1:$B$5,2,FALSE)</f>
        <v>9.99</v>
      </c>
      <c r="N5463">
        <f t="shared" si="85"/>
        <v>0</v>
      </c>
    </row>
    <row r="5464" spans="1:14" x14ac:dyDescent="0.35">
      <c r="A5464">
        <v>5463</v>
      </c>
      <c r="B5464" t="s">
        <v>16</v>
      </c>
      <c r="C5464">
        <v>41</v>
      </c>
      <c r="D5464" t="s">
        <v>29</v>
      </c>
      <c r="E5464" t="s">
        <v>22</v>
      </c>
      <c r="F5464">
        <v>166</v>
      </c>
      <c r="G5464">
        <v>18</v>
      </c>
      <c r="H5464">
        <v>0.01</v>
      </c>
      <c r="I5464" t="s">
        <v>19</v>
      </c>
      <c r="J5464">
        <v>0</v>
      </c>
      <c r="K5464">
        <v>1</v>
      </c>
      <c r="L5464">
        <v>0</v>
      </c>
      <c r="M5464">
        <f>VLOOKUP(Table1[[#This Row],[subscription_type]],Plans!$A$1:$B$5,2,FALSE)</f>
        <v>9.99</v>
      </c>
      <c r="N5464">
        <f t="shared" si="85"/>
        <v>0</v>
      </c>
    </row>
    <row r="5465" spans="1:14" x14ac:dyDescent="0.35">
      <c r="A5465">
        <v>5464</v>
      </c>
      <c r="B5465" t="s">
        <v>16</v>
      </c>
      <c r="C5465">
        <v>21</v>
      </c>
      <c r="D5465" t="s">
        <v>28</v>
      </c>
      <c r="E5465" t="s">
        <v>22</v>
      </c>
      <c r="F5465">
        <v>282</v>
      </c>
      <c r="G5465">
        <v>51</v>
      </c>
      <c r="H5465">
        <v>0.05</v>
      </c>
      <c r="I5465" t="s">
        <v>23</v>
      </c>
      <c r="J5465">
        <v>0</v>
      </c>
      <c r="K5465">
        <v>1</v>
      </c>
      <c r="L5465">
        <v>0</v>
      </c>
      <c r="M5465">
        <f>VLOOKUP(Table1[[#This Row],[subscription_type]],Plans!$A$1:$B$5,2,FALSE)</f>
        <v>9.99</v>
      </c>
      <c r="N5465">
        <f t="shared" si="85"/>
        <v>0</v>
      </c>
    </row>
    <row r="5466" spans="1:14" x14ac:dyDescent="0.35">
      <c r="A5466">
        <v>5465</v>
      </c>
      <c r="B5466" t="s">
        <v>16</v>
      </c>
      <c r="C5466">
        <v>28</v>
      </c>
      <c r="D5466" t="s">
        <v>28</v>
      </c>
      <c r="E5466" t="s">
        <v>14</v>
      </c>
      <c r="F5466">
        <v>179</v>
      </c>
      <c r="G5466">
        <v>62</v>
      </c>
      <c r="H5466">
        <v>0.37</v>
      </c>
      <c r="I5466" t="s">
        <v>19</v>
      </c>
      <c r="J5466">
        <v>46</v>
      </c>
      <c r="K5466">
        <v>0</v>
      </c>
      <c r="L5466">
        <v>0</v>
      </c>
      <c r="M5466">
        <f>VLOOKUP(Table1[[#This Row],[subscription_type]],Plans!$A$1:$B$5,2,FALSE)</f>
        <v>0</v>
      </c>
      <c r="N5466">
        <f t="shared" si="85"/>
        <v>0</v>
      </c>
    </row>
    <row r="5467" spans="1:14" x14ac:dyDescent="0.35">
      <c r="A5467">
        <v>5466</v>
      </c>
      <c r="B5467" t="s">
        <v>12</v>
      </c>
      <c r="C5467">
        <v>56</v>
      </c>
      <c r="D5467" t="s">
        <v>27</v>
      </c>
      <c r="E5467" t="s">
        <v>22</v>
      </c>
      <c r="F5467">
        <v>208</v>
      </c>
      <c r="G5467">
        <v>54</v>
      </c>
      <c r="H5467">
        <v>0.46</v>
      </c>
      <c r="I5467" t="s">
        <v>19</v>
      </c>
      <c r="J5467">
        <v>0</v>
      </c>
      <c r="K5467">
        <v>1</v>
      </c>
      <c r="L5467">
        <v>1</v>
      </c>
      <c r="M5467">
        <f>VLOOKUP(Table1[[#This Row],[subscription_type]],Plans!$A$1:$B$5,2,FALSE)</f>
        <v>9.99</v>
      </c>
      <c r="N5467">
        <f t="shared" si="85"/>
        <v>9.99</v>
      </c>
    </row>
    <row r="5468" spans="1:14" x14ac:dyDescent="0.35">
      <c r="A5468">
        <v>5467</v>
      </c>
      <c r="B5468" t="s">
        <v>16</v>
      </c>
      <c r="C5468">
        <v>40</v>
      </c>
      <c r="D5468" t="s">
        <v>25</v>
      </c>
      <c r="E5468" t="s">
        <v>24</v>
      </c>
      <c r="F5468">
        <v>63</v>
      </c>
      <c r="G5468">
        <v>54</v>
      </c>
      <c r="H5468">
        <v>0.31</v>
      </c>
      <c r="I5468" t="s">
        <v>23</v>
      </c>
      <c r="J5468">
        <v>0</v>
      </c>
      <c r="K5468">
        <v>1</v>
      </c>
      <c r="L5468">
        <v>0</v>
      </c>
      <c r="M5468">
        <f>VLOOKUP(Table1[[#This Row],[subscription_type]],Plans!$A$1:$B$5,2,FALSE)</f>
        <v>4.99</v>
      </c>
      <c r="N5468">
        <f t="shared" si="85"/>
        <v>0</v>
      </c>
    </row>
    <row r="5469" spans="1:14" x14ac:dyDescent="0.35">
      <c r="A5469">
        <v>5468</v>
      </c>
      <c r="B5469" t="s">
        <v>16</v>
      </c>
      <c r="C5469">
        <v>24</v>
      </c>
      <c r="D5469" t="s">
        <v>21</v>
      </c>
      <c r="E5469" t="s">
        <v>22</v>
      </c>
      <c r="F5469">
        <v>163</v>
      </c>
      <c r="G5469">
        <v>55</v>
      </c>
      <c r="H5469">
        <v>0.2</v>
      </c>
      <c r="I5469" t="s">
        <v>15</v>
      </c>
      <c r="J5469">
        <v>0</v>
      </c>
      <c r="K5469">
        <v>1</v>
      </c>
      <c r="L5469">
        <v>0</v>
      </c>
      <c r="M5469">
        <f>VLOOKUP(Table1[[#This Row],[subscription_type]],Plans!$A$1:$B$5,2,FALSE)</f>
        <v>9.99</v>
      </c>
      <c r="N5469">
        <f t="shared" si="85"/>
        <v>0</v>
      </c>
    </row>
    <row r="5470" spans="1:14" x14ac:dyDescent="0.35">
      <c r="A5470">
        <v>5469</v>
      </c>
      <c r="B5470" t="s">
        <v>16</v>
      </c>
      <c r="C5470">
        <v>22</v>
      </c>
      <c r="D5470" t="s">
        <v>21</v>
      </c>
      <c r="E5470" t="s">
        <v>14</v>
      </c>
      <c r="F5470">
        <v>111</v>
      </c>
      <c r="G5470">
        <v>80</v>
      </c>
      <c r="H5470">
        <v>0.14000000000000001</v>
      </c>
      <c r="I5470" t="s">
        <v>23</v>
      </c>
      <c r="J5470">
        <v>16</v>
      </c>
      <c r="K5470">
        <v>0</v>
      </c>
      <c r="L5470">
        <v>0</v>
      </c>
      <c r="M5470">
        <f>VLOOKUP(Table1[[#This Row],[subscription_type]],Plans!$A$1:$B$5,2,FALSE)</f>
        <v>0</v>
      </c>
      <c r="N5470">
        <f t="shared" si="85"/>
        <v>0</v>
      </c>
    </row>
    <row r="5471" spans="1:14" x14ac:dyDescent="0.35">
      <c r="A5471">
        <v>5470</v>
      </c>
      <c r="B5471" t="s">
        <v>12</v>
      </c>
      <c r="C5471">
        <v>26</v>
      </c>
      <c r="D5471" t="s">
        <v>26</v>
      </c>
      <c r="E5471" t="s">
        <v>14</v>
      </c>
      <c r="F5471">
        <v>60</v>
      </c>
      <c r="G5471">
        <v>12</v>
      </c>
      <c r="H5471">
        <v>0.5</v>
      </c>
      <c r="I5471" t="s">
        <v>15</v>
      </c>
      <c r="J5471">
        <v>22</v>
      </c>
      <c r="K5471">
        <v>0</v>
      </c>
      <c r="L5471">
        <v>0</v>
      </c>
      <c r="M5471">
        <f>VLOOKUP(Table1[[#This Row],[subscription_type]],Plans!$A$1:$B$5,2,FALSE)</f>
        <v>0</v>
      </c>
      <c r="N5471">
        <f t="shared" si="85"/>
        <v>0</v>
      </c>
    </row>
    <row r="5472" spans="1:14" x14ac:dyDescent="0.35">
      <c r="A5472">
        <v>5471</v>
      </c>
      <c r="B5472" t="s">
        <v>20</v>
      </c>
      <c r="C5472">
        <v>18</v>
      </c>
      <c r="D5472" t="s">
        <v>26</v>
      </c>
      <c r="E5472" t="s">
        <v>24</v>
      </c>
      <c r="F5472">
        <v>183</v>
      </c>
      <c r="G5472">
        <v>74</v>
      </c>
      <c r="H5472">
        <v>0.27</v>
      </c>
      <c r="I5472" t="s">
        <v>19</v>
      </c>
      <c r="J5472">
        <v>0</v>
      </c>
      <c r="K5472">
        <v>1</v>
      </c>
      <c r="L5472">
        <v>0</v>
      </c>
      <c r="M5472">
        <f>VLOOKUP(Table1[[#This Row],[subscription_type]],Plans!$A$1:$B$5,2,FALSE)</f>
        <v>4.99</v>
      </c>
      <c r="N5472">
        <f t="shared" si="85"/>
        <v>0</v>
      </c>
    </row>
    <row r="5473" spans="1:14" x14ac:dyDescent="0.35">
      <c r="A5473">
        <v>5472</v>
      </c>
      <c r="B5473" t="s">
        <v>20</v>
      </c>
      <c r="C5473">
        <v>54</v>
      </c>
      <c r="D5473" t="s">
        <v>21</v>
      </c>
      <c r="E5473" t="s">
        <v>24</v>
      </c>
      <c r="F5473">
        <v>175</v>
      </c>
      <c r="G5473">
        <v>6</v>
      </c>
      <c r="H5473">
        <v>0.54</v>
      </c>
      <c r="I5473" t="s">
        <v>23</v>
      </c>
      <c r="J5473">
        <v>0</v>
      </c>
      <c r="K5473">
        <v>1</v>
      </c>
      <c r="L5473">
        <v>1</v>
      </c>
      <c r="M5473">
        <f>VLOOKUP(Table1[[#This Row],[subscription_type]],Plans!$A$1:$B$5,2,FALSE)</f>
        <v>4.99</v>
      </c>
      <c r="N5473">
        <f t="shared" si="85"/>
        <v>4.99</v>
      </c>
    </row>
    <row r="5474" spans="1:14" x14ac:dyDescent="0.35">
      <c r="A5474">
        <v>5473</v>
      </c>
      <c r="B5474" t="s">
        <v>16</v>
      </c>
      <c r="C5474">
        <v>27</v>
      </c>
      <c r="D5474" t="s">
        <v>29</v>
      </c>
      <c r="E5474" t="s">
        <v>22</v>
      </c>
      <c r="F5474">
        <v>197</v>
      </c>
      <c r="G5474">
        <v>29</v>
      </c>
      <c r="H5474">
        <v>0.21</v>
      </c>
      <c r="I5474" t="s">
        <v>15</v>
      </c>
      <c r="J5474">
        <v>0</v>
      </c>
      <c r="K5474">
        <v>1</v>
      </c>
      <c r="L5474">
        <v>0</v>
      </c>
      <c r="M5474">
        <f>VLOOKUP(Table1[[#This Row],[subscription_type]],Plans!$A$1:$B$5,2,FALSE)</f>
        <v>9.99</v>
      </c>
      <c r="N5474">
        <f t="shared" si="85"/>
        <v>0</v>
      </c>
    </row>
    <row r="5475" spans="1:14" x14ac:dyDescent="0.35">
      <c r="A5475">
        <v>5474</v>
      </c>
      <c r="B5475" t="s">
        <v>16</v>
      </c>
      <c r="C5475">
        <v>46</v>
      </c>
      <c r="D5475" t="s">
        <v>26</v>
      </c>
      <c r="E5475" t="s">
        <v>24</v>
      </c>
      <c r="F5475">
        <v>283</v>
      </c>
      <c r="G5475">
        <v>61</v>
      </c>
      <c r="H5475">
        <v>0.19</v>
      </c>
      <c r="I5475" t="s">
        <v>15</v>
      </c>
      <c r="J5475">
        <v>0</v>
      </c>
      <c r="K5475">
        <v>1</v>
      </c>
      <c r="L5475">
        <v>0</v>
      </c>
      <c r="M5475">
        <f>VLOOKUP(Table1[[#This Row],[subscription_type]],Plans!$A$1:$B$5,2,FALSE)</f>
        <v>4.99</v>
      </c>
      <c r="N5475">
        <f t="shared" si="85"/>
        <v>0</v>
      </c>
    </row>
    <row r="5476" spans="1:14" x14ac:dyDescent="0.35">
      <c r="A5476">
        <v>5475</v>
      </c>
      <c r="B5476" t="s">
        <v>20</v>
      </c>
      <c r="C5476">
        <v>21</v>
      </c>
      <c r="D5476" t="s">
        <v>29</v>
      </c>
      <c r="E5476" t="s">
        <v>22</v>
      </c>
      <c r="F5476">
        <v>58</v>
      </c>
      <c r="G5476">
        <v>37</v>
      </c>
      <c r="H5476">
        <v>7.0000000000000007E-2</v>
      </c>
      <c r="I5476" t="s">
        <v>15</v>
      </c>
      <c r="J5476">
        <v>0</v>
      </c>
      <c r="K5476">
        <v>1</v>
      </c>
      <c r="L5476">
        <v>0</v>
      </c>
      <c r="M5476">
        <f>VLOOKUP(Table1[[#This Row],[subscription_type]],Plans!$A$1:$B$5,2,FALSE)</f>
        <v>9.99</v>
      </c>
      <c r="N5476">
        <f t="shared" si="85"/>
        <v>0</v>
      </c>
    </row>
    <row r="5477" spans="1:14" x14ac:dyDescent="0.35">
      <c r="A5477">
        <v>5476</v>
      </c>
      <c r="B5477" t="s">
        <v>20</v>
      </c>
      <c r="C5477">
        <v>31</v>
      </c>
      <c r="D5477" t="s">
        <v>21</v>
      </c>
      <c r="E5477" t="s">
        <v>22</v>
      </c>
      <c r="F5477">
        <v>190</v>
      </c>
      <c r="G5477">
        <v>66</v>
      </c>
      <c r="H5477">
        <v>0.13</v>
      </c>
      <c r="I5477" t="s">
        <v>15</v>
      </c>
      <c r="J5477">
        <v>0</v>
      </c>
      <c r="K5477">
        <v>1</v>
      </c>
      <c r="L5477">
        <v>1</v>
      </c>
      <c r="M5477">
        <f>VLOOKUP(Table1[[#This Row],[subscription_type]],Plans!$A$1:$B$5,2,FALSE)</f>
        <v>9.99</v>
      </c>
      <c r="N5477">
        <f t="shared" si="85"/>
        <v>9.99</v>
      </c>
    </row>
    <row r="5478" spans="1:14" x14ac:dyDescent="0.35">
      <c r="A5478">
        <v>5477</v>
      </c>
      <c r="B5478" t="s">
        <v>16</v>
      </c>
      <c r="C5478">
        <v>31</v>
      </c>
      <c r="D5478" t="s">
        <v>26</v>
      </c>
      <c r="E5478" t="s">
        <v>22</v>
      </c>
      <c r="F5478">
        <v>64</v>
      </c>
      <c r="G5478">
        <v>25</v>
      </c>
      <c r="H5478">
        <v>0.11</v>
      </c>
      <c r="I5478" t="s">
        <v>19</v>
      </c>
      <c r="J5478">
        <v>0</v>
      </c>
      <c r="K5478">
        <v>1</v>
      </c>
      <c r="L5478">
        <v>0</v>
      </c>
      <c r="M5478">
        <f>VLOOKUP(Table1[[#This Row],[subscription_type]],Plans!$A$1:$B$5,2,FALSE)</f>
        <v>9.99</v>
      </c>
      <c r="N5478">
        <f t="shared" si="85"/>
        <v>0</v>
      </c>
    </row>
    <row r="5479" spans="1:14" x14ac:dyDescent="0.35">
      <c r="A5479">
        <v>5478</v>
      </c>
      <c r="B5479" t="s">
        <v>20</v>
      </c>
      <c r="C5479">
        <v>53</v>
      </c>
      <c r="D5479" t="s">
        <v>17</v>
      </c>
      <c r="E5479" t="s">
        <v>24</v>
      </c>
      <c r="F5479">
        <v>29</v>
      </c>
      <c r="G5479">
        <v>57</v>
      </c>
      <c r="H5479">
        <v>0.21</v>
      </c>
      <c r="I5479" t="s">
        <v>15</v>
      </c>
      <c r="J5479">
        <v>0</v>
      </c>
      <c r="K5479">
        <v>1</v>
      </c>
      <c r="L5479">
        <v>0</v>
      </c>
      <c r="M5479">
        <f>VLOOKUP(Table1[[#This Row],[subscription_type]],Plans!$A$1:$B$5,2,FALSE)</f>
        <v>4.99</v>
      </c>
      <c r="N5479">
        <f t="shared" si="85"/>
        <v>0</v>
      </c>
    </row>
    <row r="5480" spans="1:14" x14ac:dyDescent="0.35">
      <c r="A5480">
        <v>5479</v>
      </c>
      <c r="B5480" t="s">
        <v>20</v>
      </c>
      <c r="C5480">
        <v>33</v>
      </c>
      <c r="D5480" t="s">
        <v>25</v>
      </c>
      <c r="E5480" t="s">
        <v>24</v>
      </c>
      <c r="F5480">
        <v>241</v>
      </c>
      <c r="G5480">
        <v>29</v>
      </c>
      <c r="H5480">
        <v>0.2</v>
      </c>
      <c r="I5480" t="s">
        <v>15</v>
      </c>
      <c r="J5480">
        <v>0</v>
      </c>
      <c r="K5480">
        <v>1</v>
      </c>
      <c r="L5480">
        <v>1</v>
      </c>
      <c r="M5480">
        <f>VLOOKUP(Table1[[#This Row],[subscription_type]],Plans!$A$1:$B$5,2,FALSE)</f>
        <v>4.99</v>
      </c>
      <c r="N5480">
        <f t="shared" si="85"/>
        <v>4.99</v>
      </c>
    </row>
    <row r="5481" spans="1:14" x14ac:dyDescent="0.35">
      <c r="A5481">
        <v>5480</v>
      </c>
      <c r="B5481" t="s">
        <v>20</v>
      </c>
      <c r="C5481">
        <v>52</v>
      </c>
      <c r="D5481" t="s">
        <v>27</v>
      </c>
      <c r="E5481" t="s">
        <v>24</v>
      </c>
      <c r="F5481">
        <v>40</v>
      </c>
      <c r="G5481">
        <v>84</v>
      </c>
      <c r="H5481">
        <v>0.08</v>
      </c>
      <c r="I5481" t="s">
        <v>15</v>
      </c>
      <c r="J5481">
        <v>0</v>
      </c>
      <c r="K5481">
        <v>1</v>
      </c>
      <c r="L5481">
        <v>0</v>
      </c>
      <c r="M5481">
        <f>VLOOKUP(Table1[[#This Row],[subscription_type]],Plans!$A$1:$B$5,2,FALSE)</f>
        <v>4.99</v>
      </c>
      <c r="N5481">
        <f t="shared" si="85"/>
        <v>0</v>
      </c>
    </row>
    <row r="5482" spans="1:14" x14ac:dyDescent="0.35">
      <c r="A5482">
        <v>5481</v>
      </c>
      <c r="B5482" t="s">
        <v>12</v>
      </c>
      <c r="C5482">
        <v>18</v>
      </c>
      <c r="D5482" t="s">
        <v>17</v>
      </c>
      <c r="E5482" t="s">
        <v>18</v>
      </c>
      <c r="F5482">
        <v>154</v>
      </c>
      <c r="G5482">
        <v>71</v>
      </c>
      <c r="H5482">
        <v>0.24</v>
      </c>
      <c r="I5482" t="s">
        <v>15</v>
      </c>
      <c r="J5482">
        <v>0</v>
      </c>
      <c r="K5482">
        <v>1</v>
      </c>
      <c r="L5482">
        <v>0</v>
      </c>
      <c r="M5482">
        <f>VLOOKUP(Table1[[#This Row],[subscription_type]],Plans!$A$1:$B$5,2,FALSE)</f>
        <v>14.99</v>
      </c>
      <c r="N5482">
        <f t="shared" si="85"/>
        <v>0</v>
      </c>
    </row>
    <row r="5483" spans="1:14" x14ac:dyDescent="0.35">
      <c r="A5483">
        <v>5482</v>
      </c>
      <c r="B5483" t="s">
        <v>20</v>
      </c>
      <c r="C5483">
        <v>33</v>
      </c>
      <c r="D5483" t="s">
        <v>21</v>
      </c>
      <c r="E5483" t="s">
        <v>22</v>
      </c>
      <c r="F5483">
        <v>105</v>
      </c>
      <c r="G5483">
        <v>67</v>
      </c>
      <c r="H5483">
        <v>0.56999999999999995</v>
      </c>
      <c r="I5483" t="s">
        <v>23</v>
      </c>
      <c r="J5483">
        <v>0</v>
      </c>
      <c r="K5483">
        <v>1</v>
      </c>
      <c r="L5483">
        <v>1</v>
      </c>
      <c r="M5483">
        <f>VLOOKUP(Table1[[#This Row],[subscription_type]],Plans!$A$1:$B$5,2,FALSE)</f>
        <v>9.99</v>
      </c>
      <c r="N5483">
        <f t="shared" si="85"/>
        <v>9.99</v>
      </c>
    </row>
    <row r="5484" spans="1:14" x14ac:dyDescent="0.35">
      <c r="A5484">
        <v>5483</v>
      </c>
      <c r="B5484" t="s">
        <v>20</v>
      </c>
      <c r="C5484">
        <v>55</v>
      </c>
      <c r="D5484" t="s">
        <v>21</v>
      </c>
      <c r="E5484" t="s">
        <v>14</v>
      </c>
      <c r="F5484">
        <v>197</v>
      </c>
      <c r="G5484">
        <v>12</v>
      </c>
      <c r="H5484">
        <v>0.37</v>
      </c>
      <c r="I5484" t="s">
        <v>19</v>
      </c>
      <c r="J5484">
        <v>19</v>
      </c>
      <c r="K5484">
        <v>0</v>
      </c>
      <c r="L5484">
        <v>0</v>
      </c>
      <c r="M5484">
        <f>VLOOKUP(Table1[[#This Row],[subscription_type]],Plans!$A$1:$B$5,2,FALSE)</f>
        <v>0</v>
      </c>
      <c r="N5484">
        <f t="shared" si="85"/>
        <v>0</v>
      </c>
    </row>
    <row r="5485" spans="1:14" x14ac:dyDescent="0.35">
      <c r="A5485">
        <v>5484</v>
      </c>
      <c r="B5485" t="s">
        <v>12</v>
      </c>
      <c r="C5485">
        <v>48</v>
      </c>
      <c r="D5485" t="s">
        <v>13</v>
      </c>
      <c r="E5485" t="s">
        <v>24</v>
      </c>
      <c r="F5485">
        <v>123</v>
      </c>
      <c r="G5485">
        <v>60</v>
      </c>
      <c r="H5485">
        <v>0.11</v>
      </c>
      <c r="I5485" t="s">
        <v>15</v>
      </c>
      <c r="J5485">
        <v>0</v>
      </c>
      <c r="K5485">
        <v>1</v>
      </c>
      <c r="L5485">
        <v>1</v>
      </c>
      <c r="M5485">
        <f>VLOOKUP(Table1[[#This Row],[subscription_type]],Plans!$A$1:$B$5,2,FALSE)</f>
        <v>4.99</v>
      </c>
      <c r="N5485">
        <f t="shared" si="85"/>
        <v>4.99</v>
      </c>
    </row>
    <row r="5486" spans="1:14" x14ac:dyDescent="0.35">
      <c r="A5486">
        <v>5485</v>
      </c>
      <c r="B5486" t="s">
        <v>12</v>
      </c>
      <c r="C5486">
        <v>19</v>
      </c>
      <c r="D5486" t="s">
        <v>21</v>
      </c>
      <c r="E5486" t="s">
        <v>24</v>
      </c>
      <c r="F5486">
        <v>169</v>
      </c>
      <c r="G5486">
        <v>43</v>
      </c>
      <c r="H5486">
        <v>7.0000000000000007E-2</v>
      </c>
      <c r="I5486" t="s">
        <v>15</v>
      </c>
      <c r="J5486">
        <v>0</v>
      </c>
      <c r="K5486">
        <v>1</v>
      </c>
      <c r="L5486">
        <v>0</v>
      </c>
      <c r="M5486">
        <f>VLOOKUP(Table1[[#This Row],[subscription_type]],Plans!$A$1:$B$5,2,FALSE)</f>
        <v>4.99</v>
      </c>
      <c r="N5486">
        <f t="shared" si="85"/>
        <v>0</v>
      </c>
    </row>
    <row r="5487" spans="1:14" x14ac:dyDescent="0.35">
      <c r="A5487">
        <v>5486</v>
      </c>
      <c r="B5487" t="s">
        <v>20</v>
      </c>
      <c r="C5487">
        <v>58</v>
      </c>
      <c r="D5487" t="s">
        <v>28</v>
      </c>
      <c r="E5487" t="s">
        <v>24</v>
      </c>
      <c r="F5487">
        <v>298</v>
      </c>
      <c r="G5487">
        <v>85</v>
      </c>
      <c r="H5487">
        <v>0.35</v>
      </c>
      <c r="I5487" t="s">
        <v>15</v>
      </c>
      <c r="J5487">
        <v>0</v>
      </c>
      <c r="K5487">
        <v>1</v>
      </c>
      <c r="L5487">
        <v>0</v>
      </c>
      <c r="M5487">
        <f>VLOOKUP(Table1[[#This Row],[subscription_type]],Plans!$A$1:$B$5,2,FALSE)</f>
        <v>4.99</v>
      </c>
      <c r="N5487">
        <f t="shared" si="85"/>
        <v>0</v>
      </c>
    </row>
    <row r="5488" spans="1:14" x14ac:dyDescent="0.35">
      <c r="A5488">
        <v>5487</v>
      </c>
      <c r="B5488" t="s">
        <v>20</v>
      </c>
      <c r="C5488">
        <v>32</v>
      </c>
      <c r="D5488" t="s">
        <v>29</v>
      </c>
      <c r="E5488" t="s">
        <v>24</v>
      </c>
      <c r="F5488">
        <v>96</v>
      </c>
      <c r="G5488">
        <v>35</v>
      </c>
      <c r="H5488">
        <v>0.03</v>
      </c>
      <c r="I5488" t="s">
        <v>23</v>
      </c>
      <c r="J5488">
        <v>0</v>
      </c>
      <c r="K5488">
        <v>1</v>
      </c>
      <c r="L5488">
        <v>1</v>
      </c>
      <c r="M5488">
        <f>VLOOKUP(Table1[[#This Row],[subscription_type]],Plans!$A$1:$B$5,2,FALSE)</f>
        <v>4.99</v>
      </c>
      <c r="N5488">
        <f t="shared" si="85"/>
        <v>4.99</v>
      </c>
    </row>
    <row r="5489" spans="1:14" x14ac:dyDescent="0.35">
      <c r="A5489">
        <v>5488</v>
      </c>
      <c r="B5489" t="s">
        <v>20</v>
      </c>
      <c r="C5489">
        <v>53</v>
      </c>
      <c r="D5489" t="s">
        <v>25</v>
      </c>
      <c r="E5489" t="s">
        <v>24</v>
      </c>
      <c r="F5489">
        <v>292</v>
      </c>
      <c r="G5489">
        <v>72</v>
      </c>
      <c r="H5489">
        <v>0.28999999999999998</v>
      </c>
      <c r="I5489" t="s">
        <v>15</v>
      </c>
      <c r="J5489">
        <v>0</v>
      </c>
      <c r="K5489">
        <v>1</v>
      </c>
      <c r="L5489">
        <v>1</v>
      </c>
      <c r="M5489">
        <f>VLOOKUP(Table1[[#This Row],[subscription_type]],Plans!$A$1:$B$5,2,FALSE)</f>
        <v>4.99</v>
      </c>
      <c r="N5489">
        <f t="shared" si="85"/>
        <v>4.99</v>
      </c>
    </row>
    <row r="5490" spans="1:14" x14ac:dyDescent="0.35">
      <c r="A5490">
        <v>5489</v>
      </c>
      <c r="B5490" t="s">
        <v>20</v>
      </c>
      <c r="C5490">
        <v>51</v>
      </c>
      <c r="D5490" t="s">
        <v>27</v>
      </c>
      <c r="E5490" t="s">
        <v>14</v>
      </c>
      <c r="F5490">
        <v>159</v>
      </c>
      <c r="G5490">
        <v>73</v>
      </c>
      <c r="H5490">
        <v>0.47</v>
      </c>
      <c r="I5490" t="s">
        <v>15</v>
      </c>
      <c r="J5490">
        <v>6</v>
      </c>
      <c r="K5490">
        <v>0</v>
      </c>
      <c r="L5490">
        <v>0</v>
      </c>
      <c r="M5490">
        <f>VLOOKUP(Table1[[#This Row],[subscription_type]],Plans!$A$1:$B$5,2,FALSE)</f>
        <v>0</v>
      </c>
      <c r="N5490">
        <f t="shared" si="85"/>
        <v>0</v>
      </c>
    </row>
    <row r="5491" spans="1:14" x14ac:dyDescent="0.35">
      <c r="A5491">
        <v>5490</v>
      </c>
      <c r="B5491" t="s">
        <v>16</v>
      </c>
      <c r="C5491">
        <v>52</v>
      </c>
      <c r="D5491" t="s">
        <v>25</v>
      </c>
      <c r="E5491" t="s">
        <v>14</v>
      </c>
      <c r="F5491">
        <v>29</v>
      </c>
      <c r="G5491">
        <v>23</v>
      </c>
      <c r="H5491">
        <v>0.11</v>
      </c>
      <c r="I5491" t="s">
        <v>19</v>
      </c>
      <c r="J5491">
        <v>30</v>
      </c>
      <c r="K5491">
        <v>0</v>
      </c>
      <c r="L5491">
        <v>0</v>
      </c>
      <c r="M5491">
        <f>VLOOKUP(Table1[[#This Row],[subscription_type]],Plans!$A$1:$B$5,2,FALSE)</f>
        <v>0</v>
      </c>
      <c r="N5491">
        <f t="shared" si="85"/>
        <v>0</v>
      </c>
    </row>
    <row r="5492" spans="1:14" x14ac:dyDescent="0.35">
      <c r="A5492">
        <v>5491</v>
      </c>
      <c r="B5492" t="s">
        <v>12</v>
      </c>
      <c r="C5492">
        <v>51</v>
      </c>
      <c r="D5492" t="s">
        <v>21</v>
      </c>
      <c r="E5492" t="s">
        <v>22</v>
      </c>
      <c r="F5492">
        <v>143</v>
      </c>
      <c r="G5492">
        <v>7</v>
      </c>
      <c r="H5492">
        <v>0.31</v>
      </c>
      <c r="I5492" t="s">
        <v>15</v>
      </c>
      <c r="J5492">
        <v>0</v>
      </c>
      <c r="K5492">
        <v>1</v>
      </c>
      <c r="L5492">
        <v>1</v>
      </c>
      <c r="M5492">
        <f>VLOOKUP(Table1[[#This Row],[subscription_type]],Plans!$A$1:$B$5,2,FALSE)</f>
        <v>9.99</v>
      </c>
      <c r="N5492">
        <f t="shared" si="85"/>
        <v>9.99</v>
      </c>
    </row>
    <row r="5493" spans="1:14" x14ac:dyDescent="0.35">
      <c r="A5493">
        <v>5492</v>
      </c>
      <c r="B5493" t="s">
        <v>16</v>
      </c>
      <c r="C5493">
        <v>17</v>
      </c>
      <c r="D5493" t="s">
        <v>29</v>
      </c>
      <c r="E5493" t="s">
        <v>24</v>
      </c>
      <c r="F5493">
        <v>154</v>
      </c>
      <c r="G5493">
        <v>37</v>
      </c>
      <c r="H5493">
        <v>0.03</v>
      </c>
      <c r="I5493" t="s">
        <v>15</v>
      </c>
      <c r="J5493">
        <v>0</v>
      </c>
      <c r="K5493">
        <v>1</v>
      </c>
      <c r="L5493">
        <v>0</v>
      </c>
      <c r="M5493">
        <f>VLOOKUP(Table1[[#This Row],[subscription_type]],Plans!$A$1:$B$5,2,FALSE)</f>
        <v>4.99</v>
      </c>
      <c r="N5493">
        <f t="shared" si="85"/>
        <v>0</v>
      </c>
    </row>
    <row r="5494" spans="1:14" x14ac:dyDescent="0.35">
      <c r="A5494">
        <v>5493</v>
      </c>
      <c r="B5494" t="s">
        <v>16</v>
      </c>
      <c r="C5494">
        <v>50</v>
      </c>
      <c r="D5494" t="s">
        <v>17</v>
      </c>
      <c r="E5494" t="s">
        <v>22</v>
      </c>
      <c r="F5494">
        <v>107</v>
      </c>
      <c r="G5494">
        <v>76</v>
      </c>
      <c r="H5494">
        <v>0.02</v>
      </c>
      <c r="I5494" t="s">
        <v>15</v>
      </c>
      <c r="J5494">
        <v>0</v>
      </c>
      <c r="K5494">
        <v>1</v>
      </c>
      <c r="L5494">
        <v>1</v>
      </c>
      <c r="M5494">
        <f>VLOOKUP(Table1[[#This Row],[subscription_type]],Plans!$A$1:$B$5,2,FALSE)</f>
        <v>9.99</v>
      </c>
      <c r="N5494">
        <f t="shared" si="85"/>
        <v>9.99</v>
      </c>
    </row>
    <row r="5495" spans="1:14" x14ac:dyDescent="0.35">
      <c r="A5495">
        <v>5494</v>
      </c>
      <c r="B5495" t="s">
        <v>16</v>
      </c>
      <c r="C5495">
        <v>41</v>
      </c>
      <c r="D5495" t="s">
        <v>26</v>
      </c>
      <c r="E5495" t="s">
        <v>14</v>
      </c>
      <c r="F5495">
        <v>86</v>
      </c>
      <c r="G5495">
        <v>19</v>
      </c>
      <c r="H5495">
        <v>0.26</v>
      </c>
      <c r="I5495" t="s">
        <v>23</v>
      </c>
      <c r="J5495">
        <v>9</v>
      </c>
      <c r="K5495">
        <v>0</v>
      </c>
      <c r="L5495">
        <v>0</v>
      </c>
      <c r="M5495">
        <f>VLOOKUP(Table1[[#This Row],[subscription_type]],Plans!$A$1:$B$5,2,FALSE)</f>
        <v>0</v>
      </c>
      <c r="N5495">
        <f t="shared" si="85"/>
        <v>0</v>
      </c>
    </row>
    <row r="5496" spans="1:14" x14ac:dyDescent="0.35">
      <c r="A5496">
        <v>5495</v>
      </c>
      <c r="B5496" t="s">
        <v>20</v>
      </c>
      <c r="C5496">
        <v>29</v>
      </c>
      <c r="D5496" t="s">
        <v>25</v>
      </c>
      <c r="E5496" t="s">
        <v>24</v>
      </c>
      <c r="F5496">
        <v>52</v>
      </c>
      <c r="G5496">
        <v>23</v>
      </c>
      <c r="H5496">
        <v>0.27</v>
      </c>
      <c r="I5496" t="s">
        <v>15</v>
      </c>
      <c r="J5496">
        <v>0</v>
      </c>
      <c r="K5496">
        <v>1</v>
      </c>
      <c r="L5496">
        <v>0</v>
      </c>
      <c r="M5496">
        <f>VLOOKUP(Table1[[#This Row],[subscription_type]],Plans!$A$1:$B$5,2,FALSE)</f>
        <v>4.99</v>
      </c>
      <c r="N5496">
        <f t="shared" si="85"/>
        <v>0</v>
      </c>
    </row>
    <row r="5497" spans="1:14" x14ac:dyDescent="0.35">
      <c r="A5497">
        <v>5496</v>
      </c>
      <c r="B5497" t="s">
        <v>20</v>
      </c>
      <c r="C5497">
        <v>40</v>
      </c>
      <c r="D5497" t="s">
        <v>29</v>
      </c>
      <c r="E5497" t="s">
        <v>18</v>
      </c>
      <c r="F5497">
        <v>83</v>
      </c>
      <c r="G5497">
        <v>68</v>
      </c>
      <c r="H5497">
        <v>0.39</v>
      </c>
      <c r="I5497" t="s">
        <v>19</v>
      </c>
      <c r="J5497">
        <v>0</v>
      </c>
      <c r="K5497">
        <v>1</v>
      </c>
      <c r="L5497">
        <v>1</v>
      </c>
      <c r="M5497">
        <f>VLOOKUP(Table1[[#This Row],[subscription_type]],Plans!$A$1:$B$5,2,FALSE)</f>
        <v>14.99</v>
      </c>
      <c r="N5497">
        <f t="shared" si="85"/>
        <v>14.99</v>
      </c>
    </row>
    <row r="5498" spans="1:14" x14ac:dyDescent="0.35">
      <c r="A5498">
        <v>5497</v>
      </c>
      <c r="B5498" t="s">
        <v>12</v>
      </c>
      <c r="C5498">
        <v>18</v>
      </c>
      <c r="D5498" t="s">
        <v>21</v>
      </c>
      <c r="E5498" t="s">
        <v>24</v>
      </c>
      <c r="F5498">
        <v>247</v>
      </c>
      <c r="G5498">
        <v>26</v>
      </c>
      <c r="H5498">
        <v>0.4</v>
      </c>
      <c r="I5498" t="s">
        <v>23</v>
      </c>
      <c r="J5498">
        <v>0</v>
      </c>
      <c r="K5498">
        <v>1</v>
      </c>
      <c r="L5498">
        <v>1</v>
      </c>
      <c r="M5498">
        <f>VLOOKUP(Table1[[#This Row],[subscription_type]],Plans!$A$1:$B$5,2,FALSE)</f>
        <v>4.99</v>
      </c>
      <c r="N5498">
        <f t="shared" si="85"/>
        <v>4.99</v>
      </c>
    </row>
    <row r="5499" spans="1:14" x14ac:dyDescent="0.35">
      <c r="A5499">
        <v>5498</v>
      </c>
      <c r="B5499" t="s">
        <v>20</v>
      </c>
      <c r="C5499">
        <v>48</v>
      </c>
      <c r="D5499" t="s">
        <v>27</v>
      </c>
      <c r="E5499" t="s">
        <v>14</v>
      </c>
      <c r="F5499">
        <v>89</v>
      </c>
      <c r="G5499">
        <v>90</v>
      </c>
      <c r="H5499">
        <v>0.34</v>
      </c>
      <c r="I5499" t="s">
        <v>15</v>
      </c>
      <c r="J5499">
        <v>22</v>
      </c>
      <c r="K5499">
        <v>0</v>
      </c>
      <c r="L5499">
        <v>1</v>
      </c>
      <c r="M5499">
        <f>VLOOKUP(Table1[[#This Row],[subscription_type]],Plans!$A$1:$B$5,2,FALSE)</f>
        <v>0</v>
      </c>
      <c r="N5499">
        <f t="shared" si="85"/>
        <v>0</v>
      </c>
    </row>
    <row r="5500" spans="1:14" x14ac:dyDescent="0.35">
      <c r="A5500">
        <v>5499</v>
      </c>
      <c r="B5500" t="s">
        <v>12</v>
      </c>
      <c r="C5500">
        <v>29</v>
      </c>
      <c r="D5500" t="s">
        <v>17</v>
      </c>
      <c r="E5500" t="s">
        <v>24</v>
      </c>
      <c r="F5500">
        <v>290</v>
      </c>
      <c r="G5500">
        <v>28</v>
      </c>
      <c r="H5500">
        <v>0.39</v>
      </c>
      <c r="I5500" t="s">
        <v>15</v>
      </c>
      <c r="J5500">
        <v>0</v>
      </c>
      <c r="K5500">
        <v>1</v>
      </c>
      <c r="L5500">
        <v>1</v>
      </c>
      <c r="M5500">
        <f>VLOOKUP(Table1[[#This Row],[subscription_type]],Plans!$A$1:$B$5,2,FALSE)</f>
        <v>4.99</v>
      </c>
      <c r="N5500">
        <f t="shared" si="85"/>
        <v>4.99</v>
      </c>
    </row>
    <row r="5501" spans="1:14" x14ac:dyDescent="0.35">
      <c r="A5501">
        <v>5500</v>
      </c>
      <c r="B5501" t="s">
        <v>12</v>
      </c>
      <c r="C5501">
        <v>30</v>
      </c>
      <c r="D5501" t="s">
        <v>25</v>
      </c>
      <c r="E5501" t="s">
        <v>14</v>
      </c>
      <c r="F5501">
        <v>251</v>
      </c>
      <c r="G5501">
        <v>54</v>
      </c>
      <c r="H5501">
        <v>0.2</v>
      </c>
      <c r="I5501" t="s">
        <v>15</v>
      </c>
      <c r="J5501">
        <v>37</v>
      </c>
      <c r="K5501">
        <v>0</v>
      </c>
      <c r="L5501">
        <v>0</v>
      </c>
      <c r="M5501">
        <f>VLOOKUP(Table1[[#This Row],[subscription_type]],Plans!$A$1:$B$5,2,FALSE)</f>
        <v>0</v>
      </c>
      <c r="N5501">
        <f t="shared" si="85"/>
        <v>0</v>
      </c>
    </row>
    <row r="5502" spans="1:14" x14ac:dyDescent="0.35">
      <c r="A5502">
        <v>5501</v>
      </c>
      <c r="B5502" t="s">
        <v>16</v>
      </c>
      <c r="C5502">
        <v>37</v>
      </c>
      <c r="D5502" t="s">
        <v>29</v>
      </c>
      <c r="E5502" t="s">
        <v>18</v>
      </c>
      <c r="F5502">
        <v>242</v>
      </c>
      <c r="G5502">
        <v>36</v>
      </c>
      <c r="H5502">
        <v>0.13</v>
      </c>
      <c r="I5502" t="s">
        <v>19</v>
      </c>
      <c r="J5502">
        <v>0</v>
      </c>
      <c r="K5502">
        <v>1</v>
      </c>
      <c r="L5502">
        <v>0</v>
      </c>
      <c r="M5502">
        <f>VLOOKUP(Table1[[#This Row],[subscription_type]],Plans!$A$1:$B$5,2,FALSE)</f>
        <v>14.99</v>
      </c>
      <c r="N5502">
        <f t="shared" si="85"/>
        <v>0</v>
      </c>
    </row>
    <row r="5503" spans="1:14" x14ac:dyDescent="0.35">
      <c r="A5503">
        <v>5502</v>
      </c>
      <c r="B5503" t="s">
        <v>16</v>
      </c>
      <c r="C5503">
        <v>59</v>
      </c>
      <c r="D5503" t="s">
        <v>29</v>
      </c>
      <c r="E5503" t="s">
        <v>24</v>
      </c>
      <c r="F5503">
        <v>152</v>
      </c>
      <c r="G5503">
        <v>80</v>
      </c>
      <c r="H5503">
        <v>7.0000000000000007E-2</v>
      </c>
      <c r="I5503" t="s">
        <v>19</v>
      </c>
      <c r="J5503">
        <v>0</v>
      </c>
      <c r="K5503">
        <v>1</v>
      </c>
      <c r="L5503">
        <v>1</v>
      </c>
      <c r="M5503">
        <f>VLOOKUP(Table1[[#This Row],[subscription_type]],Plans!$A$1:$B$5,2,FALSE)</f>
        <v>4.99</v>
      </c>
      <c r="N5503">
        <f t="shared" si="85"/>
        <v>4.99</v>
      </c>
    </row>
    <row r="5504" spans="1:14" x14ac:dyDescent="0.35">
      <c r="A5504">
        <v>5503</v>
      </c>
      <c r="B5504" t="s">
        <v>20</v>
      </c>
      <c r="C5504">
        <v>48</v>
      </c>
      <c r="D5504" t="s">
        <v>21</v>
      </c>
      <c r="E5504" t="s">
        <v>18</v>
      </c>
      <c r="F5504">
        <v>260</v>
      </c>
      <c r="G5504">
        <v>41</v>
      </c>
      <c r="H5504">
        <v>0.45</v>
      </c>
      <c r="I5504" t="s">
        <v>15</v>
      </c>
      <c r="J5504">
        <v>0</v>
      </c>
      <c r="K5504">
        <v>1</v>
      </c>
      <c r="L5504">
        <v>1</v>
      </c>
      <c r="M5504">
        <f>VLOOKUP(Table1[[#This Row],[subscription_type]],Plans!$A$1:$B$5,2,FALSE)</f>
        <v>14.99</v>
      </c>
      <c r="N5504">
        <f t="shared" si="85"/>
        <v>14.99</v>
      </c>
    </row>
    <row r="5505" spans="1:14" x14ac:dyDescent="0.35">
      <c r="A5505">
        <v>5504</v>
      </c>
      <c r="B5505" t="s">
        <v>20</v>
      </c>
      <c r="C5505">
        <v>56</v>
      </c>
      <c r="D5505" t="s">
        <v>29</v>
      </c>
      <c r="E5505" t="s">
        <v>14</v>
      </c>
      <c r="F5505">
        <v>263</v>
      </c>
      <c r="G5505">
        <v>52</v>
      </c>
      <c r="H5505">
        <v>0.3</v>
      </c>
      <c r="I5505" t="s">
        <v>19</v>
      </c>
      <c r="J5505">
        <v>41</v>
      </c>
      <c r="K5505">
        <v>0</v>
      </c>
      <c r="L5505">
        <v>0</v>
      </c>
      <c r="M5505">
        <f>VLOOKUP(Table1[[#This Row],[subscription_type]],Plans!$A$1:$B$5,2,FALSE)</f>
        <v>0</v>
      </c>
      <c r="N5505">
        <f t="shared" si="85"/>
        <v>0</v>
      </c>
    </row>
    <row r="5506" spans="1:14" x14ac:dyDescent="0.35">
      <c r="A5506">
        <v>5505</v>
      </c>
      <c r="B5506" t="s">
        <v>20</v>
      </c>
      <c r="C5506">
        <v>45</v>
      </c>
      <c r="D5506" t="s">
        <v>26</v>
      </c>
      <c r="E5506" t="s">
        <v>18</v>
      </c>
      <c r="F5506">
        <v>37</v>
      </c>
      <c r="G5506">
        <v>92</v>
      </c>
      <c r="H5506">
        <v>0.47</v>
      </c>
      <c r="I5506" t="s">
        <v>19</v>
      </c>
      <c r="J5506">
        <v>0</v>
      </c>
      <c r="K5506">
        <v>1</v>
      </c>
      <c r="L5506">
        <v>0</v>
      </c>
      <c r="M5506">
        <f>VLOOKUP(Table1[[#This Row],[subscription_type]],Plans!$A$1:$B$5,2,FALSE)</f>
        <v>14.99</v>
      </c>
      <c r="N5506">
        <f t="shared" ref="N5506:N5569" si="86">IF(L5506=1, M5506,0)</f>
        <v>0</v>
      </c>
    </row>
    <row r="5507" spans="1:14" x14ac:dyDescent="0.35">
      <c r="A5507">
        <v>5506</v>
      </c>
      <c r="B5507" t="s">
        <v>20</v>
      </c>
      <c r="C5507">
        <v>36</v>
      </c>
      <c r="D5507" t="s">
        <v>13</v>
      </c>
      <c r="E5507" t="s">
        <v>18</v>
      </c>
      <c r="F5507">
        <v>27</v>
      </c>
      <c r="G5507">
        <v>89</v>
      </c>
      <c r="H5507">
        <v>0.51</v>
      </c>
      <c r="I5507" t="s">
        <v>15</v>
      </c>
      <c r="J5507">
        <v>0</v>
      </c>
      <c r="K5507">
        <v>1</v>
      </c>
      <c r="L5507">
        <v>0</v>
      </c>
      <c r="M5507">
        <f>VLOOKUP(Table1[[#This Row],[subscription_type]],Plans!$A$1:$B$5,2,FALSE)</f>
        <v>14.99</v>
      </c>
      <c r="N5507">
        <f t="shared" si="86"/>
        <v>0</v>
      </c>
    </row>
    <row r="5508" spans="1:14" x14ac:dyDescent="0.35">
      <c r="A5508">
        <v>5507</v>
      </c>
      <c r="B5508" t="s">
        <v>16</v>
      </c>
      <c r="C5508">
        <v>44</v>
      </c>
      <c r="D5508" t="s">
        <v>29</v>
      </c>
      <c r="E5508" t="s">
        <v>14</v>
      </c>
      <c r="F5508">
        <v>198</v>
      </c>
      <c r="G5508">
        <v>41</v>
      </c>
      <c r="H5508">
        <v>0.53</v>
      </c>
      <c r="I5508" t="s">
        <v>19</v>
      </c>
      <c r="J5508">
        <v>43</v>
      </c>
      <c r="K5508">
        <v>0</v>
      </c>
      <c r="L5508">
        <v>0</v>
      </c>
      <c r="M5508">
        <f>VLOOKUP(Table1[[#This Row],[subscription_type]],Plans!$A$1:$B$5,2,FALSE)</f>
        <v>0</v>
      </c>
      <c r="N5508">
        <f t="shared" si="86"/>
        <v>0</v>
      </c>
    </row>
    <row r="5509" spans="1:14" x14ac:dyDescent="0.35">
      <c r="A5509">
        <v>5508</v>
      </c>
      <c r="B5509" t="s">
        <v>12</v>
      </c>
      <c r="C5509">
        <v>58</v>
      </c>
      <c r="D5509" t="s">
        <v>29</v>
      </c>
      <c r="E5509" t="s">
        <v>22</v>
      </c>
      <c r="F5509">
        <v>269</v>
      </c>
      <c r="G5509">
        <v>92</v>
      </c>
      <c r="H5509">
        <v>0.59</v>
      </c>
      <c r="I5509" t="s">
        <v>19</v>
      </c>
      <c r="J5509">
        <v>0</v>
      </c>
      <c r="K5509">
        <v>1</v>
      </c>
      <c r="L5509">
        <v>0</v>
      </c>
      <c r="M5509">
        <f>VLOOKUP(Table1[[#This Row],[subscription_type]],Plans!$A$1:$B$5,2,FALSE)</f>
        <v>9.99</v>
      </c>
      <c r="N5509">
        <f t="shared" si="86"/>
        <v>0</v>
      </c>
    </row>
    <row r="5510" spans="1:14" x14ac:dyDescent="0.35">
      <c r="A5510">
        <v>5509</v>
      </c>
      <c r="B5510" t="s">
        <v>20</v>
      </c>
      <c r="C5510">
        <v>25</v>
      </c>
      <c r="D5510" t="s">
        <v>21</v>
      </c>
      <c r="E5510" t="s">
        <v>18</v>
      </c>
      <c r="F5510">
        <v>30</v>
      </c>
      <c r="G5510">
        <v>74</v>
      </c>
      <c r="H5510">
        <v>0.26</v>
      </c>
      <c r="I5510" t="s">
        <v>15</v>
      </c>
      <c r="J5510">
        <v>0</v>
      </c>
      <c r="K5510">
        <v>1</v>
      </c>
      <c r="L5510">
        <v>1</v>
      </c>
      <c r="M5510">
        <f>VLOOKUP(Table1[[#This Row],[subscription_type]],Plans!$A$1:$B$5,2,FALSE)</f>
        <v>14.99</v>
      </c>
      <c r="N5510">
        <f t="shared" si="86"/>
        <v>14.99</v>
      </c>
    </row>
    <row r="5511" spans="1:14" x14ac:dyDescent="0.35">
      <c r="A5511">
        <v>5510</v>
      </c>
      <c r="B5511" t="s">
        <v>20</v>
      </c>
      <c r="C5511">
        <v>47</v>
      </c>
      <c r="D5511" t="s">
        <v>25</v>
      </c>
      <c r="E5511" t="s">
        <v>24</v>
      </c>
      <c r="F5511">
        <v>112</v>
      </c>
      <c r="G5511">
        <v>73</v>
      </c>
      <c r="H5511">
        <v>0.11</v>
      </c>
      <c r="I5511" t="s">
        <v>19</v>
      </c>
      <c r="J5511">
        <v>0</v>
      </c>
      <c r="K5511">
        <v>1</v>
      </c>
      <c r="L5511">
        <v>0</v>
      </c>
      <c r="M5511">
        <f>VLOOKUP(Table1[[#This Row],[subscription_type]],Plans!$A$1:$B$5,2,FALSE)</f>
        <v>4.99</v>
      </c>
      <c r="N5511">
        <f t="shared" si="86"/>
        <v>0</v>
      </c>
    </row>
    <row r="5512" spans="1:14" x14ac:dyDescent="0.35">
      <c r="A5512">
        <v>5511</v>
      </c>
      <c r="B5512" t="s">
        <v>12</v>
      </c>
      <c r="C5512">
        <v>25</v>
      </c>
      <c r="D5512" t="s">
        <v>13</v>
      </c>
      <c r="E5512" t="s">
        <v>24</v>
      </c>
      <c r="F5512">
        <v>128</v>
      </c>
      <c r="G5512">
        <v>77</v>
      </c>
      <c r="H5512">
        <v>0.03</v>
      </c>
      <c r="I5512" t="s">
        <v>19</v>
      </c>
      <c r="J5512">
        <v>0</v>
      </c>
      <c r="K5512">
        <v>1</v>
      </c>
      <c r="L5512">
        <v>1</v>
      </c>
      <c r="M5512">
        <f>VLOOKUP(Table1[[#This Row],[subscription_type]],Plans!$A$1:$B$5,2,FALSE)</f>
        <v>4.99</v>
      </c>
      <c r="N5512">
        <f t="shared" si="86"/>
        <v>4.99</v>
      </c>
    </row>
    <row r="5513" spans="1:14" x14ac:dyDescent="0.35">
      <c r="A5513">
        <v>5512</v>
      </c>
      <c r="B5513" t="s">
        <v>12</v>
      </c>
      <c r="C5513">
        <v>26</v>
      </c>
      <c r="D5513" t="s">
        <v>17</v>
      </c>
      <c r="E5513" t="s">
        <v>24</v>
      </c>
      <c r="F5513">
        <v>185</v>
      </c>
      <c r="G5513">
        <v>76</v>
      </c>
      <c r="H5513">
        <v>0.3</v>
      </c>
      <c r="I5513" t="s">
        <v>23</v>
      </c>
      <c r="J5513">
        <v>0</v>
      </c>
      <c r="K5513">
        <v>1</v>
      </c>
      <c r="L5513">
        <v>0</v>
      </c>
      <c r="M5513">
        <f>VLOOKUP(Table1[[#This Row],[subscription_type]],Plans!$A$1:$B$5,2,FALSE)</f>
        <v>4.99</v>
      </c>
      <c r="N5513">
        <f t="shared" si="86"/>
        <v>0</v>
      </c>
    </row>
    <row r="5514" spans="1:14" x14ac:dyDescent="0.35">
      <c r="A5514">
        <v>5513</v>
      </c>
      <c r="B5514" t="s">
        <v>12</v>
      </c>
      <c r="C5514">
        <v>59</v>
      </c>
      <c r="D5514" t="s">
        <v>17</v>
      </c>
      <c r="E5514" t="s">
        <v>22</v>
      </c>
      <c r="F5514">
        <v>296</v>
      </c>
      <c r="G5514">
        <v>16</v>
      </c>
      <c r="H5514">
        <v>0.54</v>
      </c>
      <c r="I5514" t="s">
        <v>23</v>
      </c>
      <c r="J5514">
        <v>0</v>
      </c>
      <c r="K5514">
        <v>1</v>
      </c>
      <c r="L5514">
        <v>0</v>
      </c>
      <c r="M5514">
        <f>VLOOKUP(Table1[[#This Row],[subscription_type]],Plans!$A$1:$B$5,2,FALSE)</f>
        <v>9.99</v>
      </c>
      <c r="N5514">
        <f t="shared" si="86"/>
        <v>0</v>
      </c>
    </row>
    <row r="5515" spans="1:14" x14ac:dyDescent="0.35">
      <c r="A5515">
        <v>5514</v>
      </c>
      <c r="B5515" t="s">
        <v>16</v>
      </c>
      <c r="C5515">
        <v>41</v>
      </c>
      <c r="D5515" t="s">
        <v>27</v>
      </c>
      <c r="E5515" t="s">
        <v>22</v>
      </c>
      <c r="F5515">
        <v>65</v>
      </c>
      <c r="G5515">
        <v>92</v>
      </c>
      <c r="H5515">
        <v>0.21</v>
      </c>
      <c r="I5515" t="s">
        <v>23</v>
      </c>
      <c r="J5515">
        <v>0</v>
      </c>
      <c r="K5515">
        <v>1</v>
      </c>
      <c r="L5515">
        <v>0</v>
      </c>
      <c r="M5515">
        <f>VLOOKUP(Table1[[#This Row],[subscription_type]],Plans!$A$1:$B$5,2,FALSE)</f>
        <v>9.99</v>
      </c>
      <c r="N5515">
        <f t="shared" si="86"/>
        <v>0</v>
      </c>
    </row>
    <row r="5516" spans="1:14" x14ac:dyDescent="0.35">
      <c r="A5516">
        <v>5515</v>
      </c>
      <c r="B5516" t="s">
        <v>16</v>
      </c>
      <c r="C5516">
        <v>39</v>
      </c>
      <c r="D5516" t="s">
        <v>27</v>
      </c>
      <c r="E5516" t="s">
        <v>14</v>
      </c>
      <c r="F5516">
        <v>91</v>
      </c>
      <c r="G5516">
        <v>44</v>
      </c>
      <c r="H5516">
        <v>0.08</v>
      </c>
      <c r="I5516" t="s">
        <v>19</v>
      </c>
      <c r="J5516">
        <v>43</v>
      </c>
      <c r="K5516">
        <v>0</v>
      </c>
      <c r="L5516">
        <v>0</v>
      </c>
      <c r="M5516">
        <f>VLOOKUP(Table1[[#This Row],[subscription_type]],Plans!$A$1:$B$5,2,FALSE)</f>
        <v>0</v>
      </c>
      <c r="N5516">
        <f t="shared" si="86"/>
        <v>0</v>
      </c>
    </row>
    <row r="5517" spans="1:14" x14ac:dyDescent="0.35">
      <c r="A5517">
        <v>5516</v>
      </c>
      <c r="B5517" t="s">
        <v>16</v>
      </c>
      <c r="C5517">
        <v>42</v>
      </c>
      <c r="D5517" t="s">
        <v>29</v>
      </c>
      <c r="E5517" t="s">
        <v>22</v>
      </c>
      <c r="F5517">
        <v>95</v>
      </c>
      <c r="G5517">
        <v>77</v>
      </c>
      <c r="H5517">
        <v>0.44</v>
      </c>
      <c r="I5517" t="s">
        <v>15</v>
      </c>
      <c r="J5517">
        <v>0</v>
      </c>
      <c r="K5517">
        <v>1</v>
      </c>
      <c r="L5517">
        <v>0</v>
      </c>
      <c r="M5517">
        <f>VLOOKUP(Table1[[#This Row],[subscription_type]],Plans!$A$1:$B$5,2,FALSE)</f>
        <v>9.99</v>
      </c>
      <c r="N5517">
        <f t="shared" si="86"/>
        <v>0</v>
      </c>
    </row>
    <row r="5518" spans="1:14" x14ac:dyDescent="0.35">
      <c r="A5518">
        <v>5517</v>
      </c>
      <c r="B5518" t="s">
        <v>16</v>
      </c>
      <c r="C5518">
        <v>37</v>
      </c>
      <c r="D5518" t="s">
        <v>13</v>
      </c>
      <c r="E5518" t="s">
        <v>22</v>
      </c>
      <c r="F5518">
        <v>43</v>
      </c>
      <c r="G5518">
        <v>54</v>
      </c>
      <c r="H5518">
        <v>0.39</v>
      </c>
      <c r="I5518" t="s">
        <v>15</v>
      </c>
      <c r="J5518">
        <v>0</v>
      </c>
      <c r="K5518">
        <v>1</v>
      </c>
      <c r="L5518">
        <v>0</v>
      </c>
      <c r="M5518">
        <f>VLOOKUP(Table1[[#This Row],[subscription_type]],Plans!$A$1:$B$5,2,FALSE)</f>
        <v>9.99</v>
      </c>
      <c r="N5518">
        <f t="shared" si="86"/>
        <v>0</v>
      </c>
    </row>
    <row r="5519" spans="1:14" x14ac:dyDescent="0.35">
      <c r="A5519">
        <v>5518</v>
      </c>
      <c r="B5519" t="s">
        <v>16</v>
      </c>
      <c r="C5519">
        <v>27</v>
      </c>
      <c r="D5519" t="s">
        <v>13</v>
      </c>
      <c r="E5519" t="s">
        <v>18</v>
      </c>
      <c r="F5519">
        <v>232</v>
      </c>
      <c r="G5519">
        <v>65</v>
      </c>
      <c r="H5519">
        <v>0.44</v>
      </c>
      <c r="I5519" t="s">
        <v>23</v>
      </c>
      <c r="J5519">
        <v>0</v>
      </c>
      <c r="K5519">
        <v>1</v>
      </c>
      <c r="L5519">
        <v>0</v>
      </c>
      <c r="M5519">
        <f>VLOOKUP(Table1[[#This Row],[subscription_type]],Plans!$A$1:$B$5,2,FALSE)</f>
        <v>14.99</v>
      </c>
      <c r="N5519">
        <f t="shared" si="86"/>
        <v>0</v>
      </c>
    </row>
    <row r="5520" spans="1:14" x14ac:dyDescent="0.35">
      <c r="A5520">
        <v>5519</v>
      </c>
      <c r="B5520" t="s">
        <v>16</v>
      </c>
      <c r="C5520">
        <v>44</v>
      </c>
      <c r="D5520" t="s">
        <v>25</v>
      </c>
      <c r="E5520" t="s">
        <v>14</v>
      </c>
      <c r="F5520">
        <v>57</v>
      </c>
      <c r="G5520">
        <v>63</v>
      </c>
      <c r="H5520">
        <v>0.52</v>
      </c>
      <c r="I5520" t="s">
        <v>19</v>
      </c>
      <c r="J5520">
        <v>27</v>
      </c>
      <c r="K5520">
        <v>0</v>
      </c>
      <c r="L5520">
        <v>0</v>
      </c>
      <c r="M5520">
        <f>VLOOKUP(Table1[[#This Row],[subscription_type]],Plans!$A$1:$B$5,2,FALSE)</f>
        <v>0</v>
      </c>
      <c r="N5520">
        <f t="shared" si="86"/>
        <v>0</v>
      </c>
    </row>
    <row r="5521" spans="1:14" x14ac:dyDescent="0.35">
      <c r="A5521">
        <v>5520</v>
      </c>
      <c r="B5521" t="s">
        <v>20</v>
      </c>
      <c r="C5521">
        <v>38</v>
      </c>
      <c r="D5521" t="s">
        <v>26</v>
      </c>
      <c r="E5521" t="s">
        <v>18</v>
      </c>
      <c r="F5521">
        <v>130</v>
      </c>
      <c r="G5521">
        <v>4</v>
      </c>
      <c r="H5521">
        <v>0.52</v>
      </c>
      <c r="I5521" t="s">
        <v>23</v>
      </c>
      <c r="J5521">
        <v>0</v>
      </c>
      <c r="K5521">
        <v>1</v>
      </c>
      <c r="L5521">
        <v>1</v>
      </c>
      <c r="M5521">
        <f>VLOOKUP(Table1[[#This Row],[subscription_type]],Plans!$A$1:$B$5,2,FALSE)</f>
        <v>14.99</v>
      </c>
      <c r="N5521">
        <f t="shared" si="86"/>
        <v>14.99</v>
      </c>
    </row>
    <row r="5522" spans="1:14" x14ac:dyDescent="0.35">
      <c r="A5522">
        <v>5521</v>
      </c>
      <c r="B5522" t="s">
        <v>20</v>
      </c>
      <c r="C5522">
        <v>57</v>
      </c>
      <c r="D5522" t="s">
        <v>27</v>
      </c>
      <c r="E5522" t="s">
        <v>22</v>
      </c>
      <c r="F5522">
        <v>225</v>
      </c>
      <c r="G5522">
        <v>9</v>
      </c>
      <c r="H5522">
        <v>0.03</v>
      </c>
      <c r="I5522" t="s">
        <v>23</v>
      </c>
      <c r="J5522">
        <v>0</v>
      </c>
      <c r="K5522">
        <v>1</v>
      </c>
      <c r="L5522">
        <v>1</v>
      </c>
      <c r="M5522">
        <f>VLOOKUP(Table1[[#This Row],[subscription_type]],Plans!$A$1:$B$5,2,FALSE)</f>
        <v>9.99</v>
      </c>
      <c r="N5522">
        <f t="shared" si="86"/>
        <v>9.99</v>
      </c>
    </row>
    <row r="5523" spans="1:14" x14ac:dyDescent="0.35">
      <c r="A5523">
        <v>5522</v>
      </c>
      <c r="B5523" t="s">
        <v>12</v>
      </c>
      <c r="C5523">
        <v>47</v>
      </c>
      <c r="D5523" t="s">
        <v>13</v>
      </c>
      <c r="E5523" t="s">
        <v>22</v>
      </c>
      <c r="F5523">
        <v>180</v>
      </c>
      <c r="G5523">
        <v>62</v>
      </c>
      <c r="H5523">
        <v>0.24</v>
      </c>
      <c r="I5523" t="s">
        <v>23</v>
      </c>
      <c r="J5523">
        <v>0</v>
      </c>
      <c r="K5523">
        <v>1</v>
      </c>
      <c r="L5523">
        <v>0</v>
      </c>
      <c r="M5523">
        <f>VLOOKUP(Table1[[#This Row],[subscription_type]],Plans!$A$1:$B$5,2,FALSE)</f>
        <v>9.99</v>
      </c>
      <c r="N5523">
        <f t="shared" si="86"/>
        <v>0</v>
      </c>
    </row>
    <row r="5524" spans="1:14" x14ac:dyDescent="0.35">
      <c r="A5524">
        <v>5523</v>
      </c>
      <c r="B5524" t="s">
        <v>12</v>
      </c>
      <c r="C5524">
        <v>31</v>
      </c>
      <c r="D5524" t="s">
        <v>25</v>
      </c>
      <c r="E5524" t="s">
        <v>24</v>
      </c>
      <c r="F5524">
        <v>275</v>
      </c>
      <c r="G5524">
        <v>61</v>
      </c>
      <c r="H5524">
        <v>0.34</v>
      </c>
      <c r="I5524" t="s">
        <v>15</v>
      </c>
      <c r="J5524">
        <v>0</v>
      </c>
      <c r="K5524">
        <v>1</v>
      </c>
      <c r="L5524">
        <v>0</v>
      </c>
      <c r="M5524">
        <f>VLOOKUP(Table1[[#This Row],[subscription_type]],Plans!$A$1:$B$5,2,FALSE)</f>
        <v>4.99</v>
      </c>
      <c r="N5524">
        <f t="shared" si="86"/>
        <v>0</v>
      </c>
    </row>
    <row r="5525" spans="1:14" x14ac:dyDescent="0.35">
      <c r="A5525">
        <v>5524</v>
      </c>
      <c r="B5525" t="s">
        <v>12</v>
      </c>
      <c r="C5525">
        <v>38</v>
      </c>
      <c r="D5525" t="s">
        <v>27</v>
      </c>
      <c r="E5525" t="s">
        <v>14</v>
      </c>
      <c r="F5525">
        <v>262</v>
      </c>
      <c r="G5525">
        <v>39</v>
      </c>
      <c r="H5525">
        <v>0.34</v>
      </c>
      <c r="I5525" t="s">
        <v>19</v>
      </c>
      <c r="J5525">
        <v>43</v>
      </c>
      <c r="K5525">
        <v>0</v>
      </c>
      <c r="L5525">
        <v>0</v>
      </c>
      <c r="M5525">
        <f>VLOOKUP(Table1[[#This Row],[subscription_type]],Plans!$A$1:$B$5,2,FALSE)</f>
        <v>0</v>
      </c>
      <c r="N5525">
        <f t="shared" si="86"/>
        <v>0</v>
      </c>
    </row>
    <row r="5526" spans="1:14" x14ac:dyDescent="0.35">
      <c r="A5526">
        <v>5525</v>
      </c>
      <c r="B5526" t="s">
        <v>20</v>
      </c>
      <c r="C5526">
        <v>55</v>
      </c>
      <c r="D5526" t="s">
        <v>25</v>
      </c>
      <c r="E5526" t="s">
        <v>18</v>
      </c>
      <c r="F5526">
        <v>39</v>
      </c>
      <c r="G5526">
        <v>25</v>
      </c>
      <c r="H5526">
        <v>0.21</v>
      </c>
      <c r="I5526" t="s">
        <v>15</v>
      </c>
      <c r="J5526">
        <v>0</v>
      </c>
      <c r="K5526">
        <v>1</v>
      </c>
      <c r="L5526">
        <v>0</v>
      </c>
      <c r="M5526">
        <f>VLOOKUP(Table1[[#This Row],[subscription_type]],Plans!$A$1:$B$5,2,FALSE)</f>
        <v>14.99</v>
      </c>
      <c r="N5526">
        <f t="shared" si="86"/>
        <v>0</v>
      </c>
    </row>
    <row r="5527" spans="1:14" x14ac:dyDescent="0.35">
      <c r="A5527">
        <v>5526</v>
      </c>
      <c r="B5527" t="s">
        <v>20</v>
      </c>
      <c r="C5527">
        <v>24</v>
      </c>
      <c r="D5527" t="s">
        <v>29</v>
      </c>
      <c r="E5527" t="s">
        <v>24</v>
      </c>
      <c r="F5527">
        <v>191</v>
      </c>
      <c r="G5527">
        <v>54</v>
      </c>
      <c r="H5527">
        <v>0.57999999999999996</v>
      </c>
      <c r="I5527" t="s">
        <v>15</v>
      </c>
      <c r="J5527">
        <v>0</v>
      </c>
      <c r="K5527">
        <v>1</v>
      </c>
      <c r="L5527">
        <v>0</v>
      </c>
      <c r="M5527">
        <f>VLOOKUP(Table1[[#This Row],[subscription_type]],Plans!$A$1:$B$5,2,FALSE)</f>
        <v>4.99</v>
      </c>
      <c r="N5527">
        <f t="shared" si="86"/>
        <v>0</v>
      </c>
    </row>
    <row r="5528" spans="1:14" x14ac:dyDescent="0.35">
      <c r="A5528">
        <v>5527</v>
      </c>
      <c r="B5528" t="s">
        <v>16</v>
      </c>
      <c r="C5528">
        <v>57</v>
      </c>
      <c r="D5528" t="s">
        <v>17</v>
      </c>
      <c r="E5528" t="s">
        <v>14</v>
      </c>
      <c r="F5528">
        <v>58</v>
      </c>
      <c r="G5528">
        <v>41</v>
      </c>
      <c r="H5528">
        <v>0</v>
      </c>
      <c r="I5528" t="s">
        <v>23</v>
      </c>
      <c r="J5528">
        <v>27</v>
      </c>
      <c r="K5528">
        <v>0</v>
      </c>
      <c r="L5528">
        <v>0</v>
      </c>
      <c r="M5528">
        <f>VLOOKUP(Table1[[#This Row],[subscription_type]],Plans!$A$1:$B$5,2,FALSE)</f>
        <v>0</v>
      </c>
      <c r="N5528">
        <f t="shared" si="86"/>
        <v>0</v>
      </c>
    </row>
    <row r="5529" spans="1:14" x14ac:dyDescent="0.35">
      <c r="A5529">
        <v>5528</v>
      </c>
      <c r="B5529" t="s">
        <v>20</v>
      </c>
      <c r="C5529">
        <v>21</v>
      </c>
      <c r="D5529" t="s">
        <v>25</v>
      </c>
      <c r="E5529" t="s">
        <v>18</v>
      </c>
      <c r="F5529">
        <v>283</v>
      </c>
      <c r="G5529">
        <v>45</v>
      </c>
      <c r="H5529">
        <v>0.42</v>
      </c>
      <c r="I5529" t="s">
        <v>19</v>
      </c>
      <c r="J5529">
        <v>0</v>
      </c>
      <c r="K5529">
        <v>1</v>
      </c>
      <c r="L5529">
        <v>0</v>
      </c>
      <c r="M5529">
        <f>VLOOKUP(Table1[[#This Row],[subscription_type]],Plans!$A$1:$B$5,2,FALSE)</f>
        <v>14.99</v>
      </c>
      <c r="N5529">
        <f t="shared" si="86"/>
        <v>0</v>
      </c>
    </row>
    <row r="5530" spans="1:14" x14ac:dyDescent="0.35">
      <c r="A5530">
        <v>5529</v>
      </c>
      <c r="B5530" t="s">
        <v>16</v>
      </c>
      <c r="C5530">
        <v>46</v>
      </c>
      <c r="D5530" t="s">
        <v>25</v>
      </c>
      <c r="E5530" t="s">
        <v>22</v>
      </c>
      <c r="F5530">
        <v>24</v>
      </c>
      <c r="G5530">
        <v>1</v>
      </c>
      <c r="H5530">
        <v>0.34</v>
      </c>
      <c r="I5530" t="s">
        <v>15</v>
      </c>
      <c r="J5530">
        <v>0</v>
      </c>
      <c r="K5530">
        <v>1</v>
      </c>
      <c r="L5530">
        <v>1</v>
      </c>
      <c r="M5530">
        <f>VLOOKUP(Table1[[#This Row],[subscription_type]],Plans!$A$1:$B$5,2,FALSE)</f>
        <v>9.99</v>
      </c>
      <c r="N5530">
        <f t="shared" si="86"/>
        <v>9.99</v>
      </c>
    </row>
    <row r="5531" spans="1:14" x14ac:dyDescent="0.35">
      <c r="A5531">
        <v>5530</v>
      </c>
      <c r="B5531" t="s">
        <v>20</v>
      </c>
      <c r="C5531">
        <v>58</v>
      </c>
      <c r="D5531" t="s">
        <v>27</v>
      </c>
      <c r="E5531" t="s">
        <v>18</v>
      </c>
      <c r="F5531">
        <v>130</v>
      </c>
      <c r="G5531">
        <v>80</v>
      </c>
      <c r="H5531">
        <v>0.17</v>
      </c>
      <c r="I5531" t="s">
        <v>15</v>
      </c>
      <c r="J5531">
        <v>0</v>
      </c>
      <c r="K5531">
        <v>1</v>
      </c>
      <c r="L5531">
        <v>0</v>
      </c>
      <c r="M5531">
        <f>VLOOKUP(Table1[[#This Row],[subscription_type]],Plans!$A$1:$B$5,2,FALSE)</f>
        <v>14.99</v>
      </c>
      <c r="N5531">
        <f t="shared" si="86"/>
        <v>0</v>
      </c>
    </row>
    <row r="5532" spans="1:14" x14ac:dyDescent="0.35">
      <c r="A5532">
        <v>5531</v>
      </c>
      <c r="B5532" t="s">
        <v>16</v>
      </c>
      <c r="C5532">
        <v>28</v>
      </c>
      <c r="D5532" t="s">
        <v>27</v>
      </c>
      <c r="E5532" t="s">
        <v>14</v>
      </c>
      <c r="F5532">
        <v>119</v>
      </c>
      <c r="G5532">
        <v>9</v>
      </c>
      <c r="H5532">
        <v>0.5</v>
      </c>
      <c r="I5532" t="s">
        <v>23</v>
      </c>
      <c r="J5532">
        <v>25</v>
      </c>
      <c r="K5532">
        <v>0</v>
      </c>
      <c r="L5532">
        <v>1</v>
      </c>
      <c r="M5532">
        <f>VLOOKUP(Table1[[#This Row],[subscription_type]],Plans!$A$1:$B$5,2,FALSE)</f>
        <v>0</v>
      </c>
      <c r="N5532">
        <f t="shared" si="86"/>
        <v>0</v>
      </c>
    </row>
    <row r="5533" spans="1:14" x14ac:dyDescent="0.35">
      <c r="A5533">
        <v>5532</v>
      </c>
      <c r="B5533" t="s">
        <v>16</v>
      </c>
      <c r="C5533">
        <v>20</v>
      </c>
      <c r="D5533" t="s">
        <v>26</v>
      </c>
      <c r="E5533" t="s">
        <v>18</v>
      </c>
      <c r="F5533">
        <v>38</v>
      </c>
      <c r="G5533">
        <v>11</v>
      </c>
      <c r="H5533">
        <v>0.47</v>
      </c>
      <c r="I5533" t="s">
        <v>19</v>
      </c>
      <c r="J5533">
        <v>0</v>
      </c>
      <c r="K5533">
        <v>1</v>
      </c>
      <c r="L5533">
        <v>0</v>
      </c>
      <c r="M5533">
        <f>VLOOKUP(Table1[[#This Row],[subscription_type]],Plans!$A$1:$B$5,2,FALSE)</f>
        <v>14.99</v>
      </c>
      <c r="N5533">
        <f t="shared" si="86"/>
        <v>0</v>
      </c>
    </row>
    <row r="5534" spans="1:14" x14ac:dyDescent="0.35">
      <c r="A5534">
        <v>5533</v>
      </c>
      <c r="B5534" t="s">
        <v>20</v>
      </c>
      <c r="C5534">
        <v>26</v>
      </c>
      <c r="D5534" t="s">
        <v>17</v>
      </c>
      <c r="E5534" t="s">
        <v>24</v>
      </c>
      <c r="F5534">
        <v>292</v>
      </c>
      <c r="G5534">
        <v>13</v>
      </c>
      <c r="H5534">
        <v>0.26</v>
      </c>
      <c r="I5534" t="s">
        <v>19</v>
      </c>
      <c r="J5534">
        <v>0</v>
      </c>
      <c r="K5534">
        <v>1</v>
      </c>
      <c r="L5534">
        <v>0</v>
      </c>
      <c r="M5534">
        <f>VLOOKUP(Table1[[#This Row],[subscription_type]],Plans!$A$1:$B$5,2,FALSE)</f>
        <v>4.99</v>
      </c>
      <c r="N5534">
        <f t="shared" si="86"/>
        <v>0</v>
      </c>
    </row>
    <row r="5535" spans="1:14" x14ac:dyDescent="0.35">
      <c r="A5535">
        <v>5534</v>
      </c>
      <c r="B5535" t="s">
        <v>16</v>
      </c>
      <c r="C5535">
        <v>23</v>
      </c>
      <c r="D5535" t="s">
        <v>28</v>
      </c>
      <c r="E5535" t="s">
        <v>18</v>
      </c>
      <c r="F5535">
        <v>173</v>
      </c>
      <c r="G5535">
        <v>83</v>
      </c>
      <c r="H5535">
        <v>0.24</v>
      </c>
      <c r="I5535" t="s">
        <v>15</v>
      </c>
      <c r="J5535">
        <v>0</v>
      </c>
      <c r="K5535">
        <v>1</v>
      </c>
      <c r="L5535">
        <v>1</v>
      </c>
      <c r="M5535">
        <f>VLOOKUP(Table1[[#This Row],[subscription_type]],Plans!$A$1:$B$5,2,FALSE)</f>
        <v>14.99</v>
      </c>
      <c r="N5535">
        <f t="shared" si="86"/>
        <v>14.99</v>
      </c>
    </row>
    <row r="5536" spans="1:14" x14ac:dyDescent="0.35">
      <c r="A5536">
        <v>5535</v>
      </c>
      <c r="B5536" t="s">
        <v>20</v>
      </c>
      <c r="C5536">
        <v>21</v>
      </c>
      <c r="D5536" t="s">
        <v>13</v>
      </c>
      <c r="E5536" t="s">
        <v>18</v>
      </c>
      <c r="F5536">
        <v>120</v>
      </c>
      <c r="G5536">
        <v>70</v>
      </c>
      <c r="H5536">
        <v>0.08</v>
      </c>
      <c r="I5536" t="s">
        <v>15</v>
      </c>
      <c r="J5536">
        <v>0</v>
      </c>
      <c r="K5536">
        <v>1</v>
      </c>
      <c r="L5536">
        <v>0</v>
      </c>
      <c r="M5536">
        <f>VLOOKUP(Table1[[#This Row],[subscription_type]],Plans!$A$1:$B$5,2,FALSE)</f>
        <v>14.99</v>
      </c>
      <c r="N5536">
        <f t="shared" si="86"/>
        <v>0</v>
      </c>
    </row>
    <row r="5537" spans="1:14" x14ac:dyDescent="0.35">
      <c r="A5537">
        <v>5536</v>
      </c>
      <c r="B5537" t="s">
        <v>12</v>
      </c>
      <c r="C5537">
        <v>36</v>
      </c>
      <c r="D5537" t="s">
        <v>13</v>
      </c>
      <c r="E5537" t="s">
        <v>14</v>
      </c>
      <c r="F5537">
        <v>236</v>
      </c>
      <c r="G5537">
        <v>41</v>
      </c>
      <c r="H5537">
        <v>0.46</v>
      </c>
      <c r="I5537" t="s">
        <v>15</v>
      </c>
      <c r="J5537">
        <v>32</v>
      </c>
      <c r="K5537">
        <v>0</v>
      </c>
      <c r="L5537">
        <v>1</v>
      </c>
      <c r="M5537">
        <f>VLOOKUP(Table1[[#This Row],[subscription_type]],Plans!$A$1:$B$5,2,FALSE)</f>
        <v>0</v>
      </c>
      <c r="N5537">
        <f t="shared" si="86"/>
        <v>0</v>
      </c>
    </row>
    <row r="5538" spans="1:14" x14ac:dyDescent="0.35">
      <c r="A5538">
        <v>5537</v>
      </c>
      <c r="B5538" t="s">
        <v>16</v>
      </c>
      <c r="C5538">
        <v>37</v>
      </c>
      <c r="D5538" t="s">
        <v>25</v>
      </c>
      <c r="E5538" t="s">
        <v>22</v>
      </c>
      <c r="F5538">
        <v>18</v>
      </c>
      <c r="G5538">
        <v>18</v>
      </c>
      <c r="H5538">
        <v>0.16</v>
      </c>
      <c r="I5538" t="s">
        <v>19</v>
      </c>
      <c r="J5538">
        <v>0</v>
      </c>
      <c r="K5538">
        <v>1</v>
      </c>
      <c r="L5538">
        <v>0</v>
      </c>
      <c r="M5538">
        <f>VLOOKUP(Table1[[#This Row],[subscription_type]],Plans!$A$1:$B$5,2,FALSE)</f>
        <v>9.99</v>
      </c>
      <c r="N5538">
        <f t="shared" si="86"/>
        <v>0</v>
      </c>
    </row>
    <row r="5539" spans="1:14" x14ac:dyDescent="0.35">
      <c r="A5539">
        <v>5538</v>
      </c>
      <c r="B5539" t="s">
        <v>16</v>
      </c>
      <c r="C5539">
        <v>28</v>
      </c>
      <c r="D5539" t="s">
        <v>21</v>
      </c>
      <c r="E5539" t="s">
        <v>14</v>
      </c>
      <c r="F5539">
        <v>62</v>
      </c>
      <c r="G5539">
        <v>61</v>
      </c>
      <c r="H5539">
        <v>0.5</v>
      </c>
      <c r="I5539" t="s">
        <v>23</v>
      </c>
      <c r="J5539">
        <v>45</v>
      </c>
      <c r="K5539">
        <v>0</v>
      </c>
      <c r="L5539">
        <v>0</v>
      </c>
      <c r="M5539">
        <f>VLOOKUP(Table1[[#This Row],[subscription_type]],Plans!$A$1:$B$5,2,FALSE)</f>
        <v>0</v>
      </c>
      <c r="N5539">
        <f t="shared" si="86"/>
        <v>0</v>
      </c>
    </row>
    <row r="5540" spans="1:14" x14ac:dyDescent="0.35">
      <c r="A5540">
        <v>5539</v>
      </c>
      <c r="B5540" t="s">
        <v>16</v>
      </c>
      <c r="C5540">
        <v>50</v>
      </c>
      <c r="D5540" t="s">
        <v>25</v>
      </c>
      <c r="E5540" t="s">
        <v>14</v>
      </c>
      <c r="F5540">
        <v>231</v>
      </c>
      <c r="G5540">
        <v>86</v>
      </c>
      <c r="H5540">
        <v>0.57999999999999996</v>
      </c>
      <c r="I5540" t="s">
        <v>23</v>
      </c>
      <c r="J5540">
        <v>35</v>
      </c>
      <c r="K5540">
        <v>0</v>
      </c>
      <c r="L5540">
        <v>0</v>
      </c>
      <c r="M5540">
        <f>VLOOKUP(Table1[[#This Row],[subscription_type]],Plans!$A$1:$B$5,2,FALSE)</f>
        <v>0</v>
      </c>
      <c r="N5540">
        <f t="shared" si="86"/>
        <v>0</v>
      </c>
    </row>
    <row r="5541" spans="1:14" x14ac:dyDescent="0.35">
      <c r="A5541">
        <v>5540</v>
      </c>
      <c r="B5541" t="s">
        <v>12</v>
      </c>
      <c r="C5541">
        <v>52</v>
      </c>
      <c r="D5541" t="s">
        <v>21</v>
      </c>
      <c r="E5541" t="s">
        <v>14</v>
      </c>
      <c r="F5541">
        <v>79</v>
      </c>
      <c r="G5541">
        <v>24</v>
      </c>
      <c r="H5541">
        <v>0.13</v>
      </c>
      <c r="I5541" t="s">
        <v>19</v>
      </c>
      <c r="J5541">
        <v>32</v>
      </c>
      <c r="K5541">
        <v>0</v>
      </c>
      <c r="L5541">
        <v>0</v>
      </c>
      <c r="M5541">
        <f>VLOOKUP(Table1[[#This Row],[subscription_type]],Plans!$A$1:$B$5,2,FALSE)</f>
        <v>0</v>
      </c>
      <c r="N5541">
        <f t="shared" si="86"/>
        <v>0</v>
      </c>
    </row>
    <row r="5542" spans="1:14" x14ac:dyDescent="0.35">
      <c r="A5542">
        <v>5541</v>
      </c>
      <c r="B5542" t="s">
        <v>16</v>
      </c>
      <c r="C5542">
        <v>43</v>
      </c>
      <c r="D5542" t="s">
        <v>13</v>
      </c>
      <c r="E5542" t="s">
        <v>24</v>
      </c>
      <c r="F5542">
        <v>146</v>
      </c>
      <c r="G5542">
        <v>83</v>
      </c>
      <c r="H5542">
        <v>0.59</v>
      </c>
      <c r="I5542" t="s">
        <v>19</v>
      </c>
      <c r="J5542">
        <v>0</v>
      </c>
      <c r="K5542">
        <v>1</v>
      </c>
      <c r="L5542">
        <v>0</v>
      </c>
      <c r="M5542">
        <f>VLOOKUP(Table1[[#This Row],[subscription_type]],Plans!$A$1:$B$5,2,FALSE)</f>
        <v>4.99</v>
      </c>
      <c r="N5542">
        <f t="shared" si="86"/>
        <v>0</v>
      </c>
    </row>
    <row r="5543" spans="1:14" x14ac:dyDescent="0.35">
      <c r="A5543">
        <v>5542</v>
      </c>
      <c r="B5543" t="s">
        <v>12</v>
      </c>
      <c r="C5543">
        <v>54</v>
      </c>
      <c r="D5543" t="s">
        <v>26</v>
      </c>
      <c r="E5543" t="s">
        <v>22</v>
      </c>
      <c r="F5543">
        <v>36</v>
      </c>
      <c r="G5543">
        <v>68</v>
      </c>
      <c r="H5543">
        <v>0.35</v>
      </c>
      <c r="I5543" t="s">
        <v>23</v>
      </c>
      <c r="J5543">
        <v>0</v>
      </c>
      <c r="K5543">
        <v>1</v>
      </c>
      <c r="L5543">
        <v>1</v>
      </c>
      <c r="M5543">
        <f>VLOOKUP(Table1[[#This Row],[subscription_type]],Plans!$A$1:$B$5,2,FALSE)</f>
        <v>9.99</v>
      </c>
      <c r="N5543">
        <f t="shared" si="86"/>
        <v>9.99</v>
      </c>
    </row>
    <row r="5544" spans="1:14" x14ac:dyDescent="0.35">
      <c r="A5544">
        <v>5543</v>
      </c>
      <c r="B5544" t="s">
        <v>20</v>
      </c>
      <c r="C5544">
        <v>47</v>
      </c>
      <c r="D5544" t="s">
        <v>28</v>
      </c>
      <c r="E5544" t="s">
        <v>22</v>
      </c>
      <c r="F5544">
        <v>195</v>
      </c>
      <c r="G5544">
        <v>53</v>
      </c>
      <c r="H5544">
        <v>0.37</v>
      </c>
      <c r="I5544" t="s">
        <v>15</v>
      </c>
      <c r="J5544">
        <v>0</v>
      </c>
      <c r="K5544">
        <v>1</v>
      </c>
      <c r="L5544">
        <v>1</v>
      </c>
      <c r="M5544">
        <f>VLOOKUP(Table1[[#This Row],[subscription_type]],Plans!$A$1:$B$5,2,FALSE)</f>
        <v>9.99</v>
      </c>
      <c r="N5544">
        <f t="shared" si="86"/>
        <v>9.99</v>
      </c>
    </row>
    <row r="5545" spans="1:14" x14ac:dyDescent="0.35">
      <c r="A5545">
        <v>5544</v>
      </c>
      <c r="B5545" t="s">
        <v>20</v>
      </c>
      <c r="C5545">
        <v>17</v>
      </c>
      <c r="D5545" t="s">
        <v>29</v>
      </c>
      <c r="E5545" t="s">
        <v>22</v>
      </c>
      <c r="F5545">
        <v>115</v>
      </c>
      <c r="G5545">
        <v>80</v>
      </c>
      <c r="H5545">
        <v>0.1</v>
      </c>
      <c r="I5545" t="s">
        <v>19</v>
      </c>
      <c r="J5545">
        <v>0</v>
      </c>
      <c r="K5545">
        <v>1</v>
      </c>
      <c r="L5545">
        <v>0</v>
      </c>
      <c r="M5545">
        <f>VLOOKUP(Table1[[#This Row],[subscription_type]],Plans!$A$1:$B$5,2,FALSE)</f>
        <v>9.99</v>
      </c>
      <c r="N5545">
        <f t="shared" si="86"/>
        <v>0</v>
      </c>
    </row>
    <row r="5546" spans="1:14" x14ac:dyDescent="0.35">
      <c r="A5546">
        <v>5545</v>
      </c>
      <c r="B5546" t="s">
        <v>20</v>
      </c>
      <c r="C5546">
        <v>18</v>
      </c>
      <c r="D5546" t="s">
        <v>21</v>
      </c>
      <c r="E5546" t="s">
        <v>14</v>
      </c>
      <c r="F5546">
        <v>109</v>
      </c>
      <c r="G5546">
        <v>20</v>
      </c>
      <c r="H5546">
        <v>0.04</v>
      </c>
      <c r="I5546" t="s">
        <v>19</v>
      </c>
      <c r="J5546">
        <v>26</v>
      </c>
      <c r="K5546">
        <v>0</v>
      </c>
      <c r="L5546">
        <v>1</v>
      </c>
      <c r="M5546">
        <f>VLOOKUP(Table1[[#This Row],[subscription_type]],Plans!$A$1:$B$5,2,FALSE)</f>
        <v>0</v>
      </c>
      <c r="N5546">
        <f t="shared" si="86"/>
        <v>0</v>
      </c>
    </row>
    <row r="5547" spans="1:14" x14ac:dyDescent="0.35">
      <c r="A5547">
        <v>5546</v>
      </c>
      <c r="B5547" t="s">
        <v>20</v>
      </c>
      <c r="C5547">
        <v>43</v>
      </c>
      <c r="D5547" t="s">
        <v>17</v>
      </c>
      <c r="E5547" t="s">
        <v>18</v>
      </c>
      <c r="F5547">
        <v>159</v>
      </c>
      <c r="G5547">
        <v>75</v>
      </c>
      <c r="H5547">
        <v>0.24</v>
      </c>
      <c r="I5547" t="s">
        <v>19</v>
      </c>
      <c r="J5547">
        <v>0</v>
      </c>
      <c r="K5547">
        <v>1</v>
      </c>
      <c r="L5547">
        <v>0</v>
      </c>
      <c r="M5547">
        <f>VLOOKUP(Table1[[#This Row],[subscription_type]],Plans!$A$1:$B$5,2,FALSE)</f>
        <v>14.99</v>
      </c>
      <c r="N5547">
        <f t="shared" si="86"/>
        <v>0</v>
      </c>
    </row>
    <row r="5548" spans="1:14" x14ac:dyDescent="0.35">
      <c r="A5548">
        <v>5547</v>
      </c>
      <c r="B5548" t="s">
        <v>16</v>
      </c>
      <c r="C5548">
        <v>20</v>
      </c>
      <c r="D5548" t="s">
        <v>25</v>
      </c>
      <c r="E5548" t="s">
        <v>22</v>
      </c>
      <c r="F5548">
        <v>215</v>
      </c>
      <c r="G5548">
        <v>41</v>
      </c>
      <c r="H5548">
        <v>0.57999999999999996</v>
      </c>
      <c r="I5548" t="s">
        <v>19</v>
      </c>
      <c r="J5548">
        <v>0</v>
      </c>
      <c r="K5548">
        <v>1</v>
      </c>
      <c r="L5548">
        <v>0</v>
      </c>
      <c r="M5548">
        <f>VLOOKUP(Table1[[#This Row],[subscription_type]],Plans!$A$1:$B$5,2,FALSE)</f>
        <v>9.99</v>
      </c>
      <c r="N5548">
        <f t="shared" si="86"/>
        <v>0</v>
      </c>
    </row>
    <row r="5549" spans="1:14" x14ac:dyDescent="0.35">
      <c r="A5549">
        <v>5548</v>
      </c>
      <c r="B5549" t="s">
        <v>12</v>
      </c>
      <c r="C5549">
        <v>38</v>
      </c>
      <c r="D5549" t="s">
        <v>13</v>
      </c>
      <c r="E5549" t="s">
        <v>22</v>
      </c>
      <c r="F5549">
        <v>136</v>
      </c>
      <c r="G5549">
        <v>53</v>
      </c>
      <c r="H5549">
        <v>0.3</v>
      </c>
      <c r="I5549" t="s">
        <v>15</v>
      </c>
      <c r="J5549">
        <v>0</v>
      </c>
      <c r="K5549">
        <v>1</v>
      </c>
      <c r="L5549">
        <v>0</v>
      </c>
      <c r="M5549">
        <f>VLOOKUP(Table1[[#This Row],[subscription_type]],Plans!$A$1:$B$5,2,FALSE)</f>
        <v>9.99</v>
      </c>
      <c r="N5549">
        <f t="shared" si="86"/>
        <v>0</v>
      </c>
    </row>
    <row r="5550" spans="1:14" x14ac:dyDescent="0.35">
      <c r="A5550">
        <v>5549</v>
      </c>
      <c r="B5550" t="s">
        <v>20</v>
      </c>
      <c r="C5550">
        <v>56</v>
      </c>
      <c r="D5550" t="s">
        <v>25</v>
      </c>
      <c r="E5550" t="s">
        <v>18</v>
      </c>
      <c r="F5550">
        <v>52</v>
      </c>
      <c r="G5550">
        <v>2</v>
      </c>
      <c r="H5550">
        <v>0.17</v>
      </c>
      <c r="I5550" t="s">
        <v>23</v>
      </c>
      <c r="J5550">
        <v>0</v>
      </c>
      <c r="K5550">
        <v>1</v>
      </c>
      <c r="L5550">
        <v>0</v>
      </c>
      <c r="M5550">
        <f>VLOOKUP(Table1[[#This Row],[subscription_type]],Plans!$A$1:$B$5,2,FALSE)</f>
        <v>14.99</v>
      </c>
      <c r="N5550">
        <f t="shared" si="86"/>
        <v>0</v>
      </c>
    </row>
    <row r="5551" spans="1:14" x14ac:dyDescent="0.35">
      <c r="A5551">
        <v>5550</v>
      </c>
      <c r="B5551" t="s">
        <v>20</v>
      </c>
      <c r="C5551">
        <v>32</v>
      </c>
      <c r="D5551" t="s">
        <v>29</v>
      </c>
      <c r="E5551" t="s">
        <v>24</v>
      </c>
      <c r="F5551">
        <v>61</v>
      </c>
      <c r="G5551">
        <v>91</v>
      </c>
      <c r="H5551">
        <v>0.47</v>
      </c>
      <c r="I5551" t="s">
        <v>23</v>
      </c>
      <c r="J5551">
        <v>0</v>
      </c>
      <c r="K5551">
        <v>1</v>
      </c>
      <c r="L5551">
        <v>0</v>
      </c>
      <c r="M5551">
        <f>VLOOKUP(Table1[[#This Row],[subscription_type]],Plans!$A$1:$B$5,2,FALSE)</f>
        <v>4.99</v>
      </c>
      <c r="N5551">
        <f t="shared" si="86"/>
        <v>0</v>
      </c>
    </row>
    <row r="5552" spans="1:14" x14ac:dyDescent="0.35">
      <c r="A5552">
        <v>5551</v>
      </c>
      <c r="B5552" t="s">
        <v>20</v>
      </c>
      <c r="C5552">
        <v>31</v>
      </c>
      <c r="D5552" t="s">
        <v>21</v>
      </c>
      <c r="E5552" t="s">
        <v>24</v>
      </c>
      <c r="F5552">
        <v>117</v>
      </c>
      <c r="G5552">
        <v>84</v>
      </c>
      <c r="H5552">
        <v>0.48</v>
      </c>
      <c r="I5552" t="s">
        <v>15</v>
      </c>
      <c r="J5552">
        <v>0</v>
      </c>
      <c r="K5552">
        <v>1</v>
      </c>
      <c r="L5552">
        <v>0</v>
      </c>
      <c r="M5552">
        <f>VLOOKUP(Table1[[#This Row],[subscription_type]],Plans!$A$1:$B$5,2,FALSE)</f>
        <v>4.99</v>
      </c>
      <c r="N5552">
        <f t="shared" si="86"/>
        <v>0</v>
      </c>
    </row>
    <row r="5553" spans="1:14" x14ac:dyDescent="0.35">
      <c r="A5553">
        <v>5552</v>
      </c>
      <c r="B5553" t="s">
        <v>12</v>
      </c>
      <c r="C5553">
        <v>53</v>
      </c>
      <c r="D5553" t="s">
        <v>25</v>
      </c>
      <c r="E5553" t="s">
        <v>14</v>
      </c>
      <c r="F5553">
        <v>77</v>
      </c>
      <c r="G5553">
        <v>47</v>
      </c>
      <c r="H5553">
        <v>0.31</v>
      </c>
      <c r="I5553" t="s">
        <v>19</v>
      </c>
      <c r="J5553">
        <v>38</v>
      </c>
      <c r="K5553">
        <v>0</v>
      </c>
      <c r="L5553">
        <v>0</v>
      </c>
      <c r="M5553">
        <f>VLOOKUP(Table1[[#This Row],[subscription_type]],Plans!$A$1:$B$5,2,FALSE)</f>
        <v>0</v>
      </c>
      <c r="N5553">
        <f t="shared" si="86"/>
        <v>0</v>
      </c>
    </row>
    <row r="5554" spans="1:14" x14ac:dyDescent="0.35">
      <c r="A5554">
        <v>5553</v>
      </c>
      <c r="B5554" t="s">
        <v>16</v>
      </c>
      <c r="C5554">
        <v>43</v>
      </c>
      <c r="D5554" t="s">
        <v>17</v>
      </c>
      <c r="E5554" t="s">
        <v>18</v>
      </c>
      <c r="F5554">
        <v>154</v>
      </c>
      <c r="G5554">
        <v>74</v>
      </c>
      <c r="H5554">
        <v>0.49</v>
      </c>
      <c r="I5554" t="s">
        <v>19</v>
      </c>
      <c r="J5554">
        <v>0</v>
      </c>
      <c r="K5554">
        <v>1</v>
      </c>
      <c r="L5554">
        <v>0</v>
      </c>
      <c r="M5554">
        <f>VLOOKUP(Table1[[#This Row],[subscription_type]],Plans!$A$1:$B$5,2,FALSE)</f>
        <v>14.99</v>
      </c>
      <c r="N5554">
        <f t="shared" si="86"/>
        <v>0</v>
      </c>
    </row>
    <row r="5555" spans="1:14" x14ac:dyDescent="0.35">
      <c r="A5555">
        <v>5554</v>
      </c>
      <c r="B5555" t="s">
        <v>20</v>
      </c>
      <c r="C5555">
        <v>27</v>
      </c>
      <c r="D5555" t="s">
        <v>25</v>
      </c>
      <c r="E5555" t="s">
        <v>14</v>
      </c>
      <c r="F5555">
        <v>207</v>
      </c>
      <c r="G5555">
        <v>78</v>
      </c>
      <c r="H5555">
        <v>0.37</v>
      </c>
      <c r="I5555" t="s">
        <v>19</v>
      </c>
      <c r="J5555">
        <v>7</v>
      </c>
      <c r="K5555">
        <v>0</v>
      </c>
      <c r="L5555">
        <v>0</v>
      </c>
      <c r="M5555">
        <f>VLOOKUP(Table1[[#This Row],[subscription_type]],Plans!$A$1:$B$5,2,FALSE)</f>
        <v>0</v>
      </c>
      <c r="N5555">
        <f t="shared" si="86"/>
        <v>0</v>
      </c>
    </row>
    <row r="5556" spans="1:14" x14ac:dyDescent="0.35">
      <c r="A5556">
        <v>5555</v>
      </c>
      <c r="B5556" t="s">
        <v>12</v>
      </c>
      <c r="C5556">
        <v>22</v>
      </c>
      <c r="D5556" t="s">
        <v>25</v>
      </c>
      <c r="E5556" t="s">
        <v>22</v>
      </c>
      <c r="F5556">
        <v>36</v>
      </c>
      <c r="G5556">
        <v>20</v>
      </c>
      <c r="H5556">
        <v>0.27</v>
      </c>
      <c r="I5556" t="s">
        <v>19</v>
      </c>
      <c r="J5556">
        <v>0</v>
      </c>
      <c r="K5556">
        <v>1</v>
      </c>
      <c r="L5556">
        <v>1</v>
      </c>
      <c r="M5556">
        <f>VLOOKUP(Table1[[#This Row],[subscription_type]],Plans!$A$1:$B$5,2,FALSE)</f>
        <v>9.99</v>
      </c>
      <c r="N5556">
        <f t="shared" si="86"/>
        <v>9.99</v>
      </c>
    </row>
    <row r="5557" spans="1:14" x14ac:dyDescent="0.35">
      <c r="A5557">
        <v>5556</v>
      </c>
      <c r="B5557" t="s">
        <v>12</v>
      </c>
      <c r="C5557">
        <v>51</v>
      </c>
      <c r="D5557" t="s">
        <v>25</v>
      </c>
      <c r="E5557" t="s">
        <v>14</v>
      </c>
      <c r="F5557">
        <v>179</v>
      </c>
      <c r="G5557">
        <v>35</v>
      </c>
      <c r="H5557">
        <v>0.02</v>
      </c>
      <c r="I5557" t="s">
        <v>23</v>
      </c>
      <c r="J5557">
        <v>39</v>
      </c>
      <c r="K5557">
        <v>0</v>
      </c>
      <c r="L5557">
        <v>0</v>
      </c>
      <c r="M5557">
        <f>VLOOKUP(Table1[[#This Row],[subscription_type]],Plans!$A$1:$B$5,2,FALSE)</f>
        <v>0</v>
      </c>
      <c r="N5557">
        <f t="shared" si="86"/>
        <v>0</v>
      </c>
    </row>
    <row r="5558" spans="1:14" x14ac:dyDescent="0.35">
      <c r="A5558">
        <v>5557</v>
      </c>
      <c r="B5558" t="s">
        <v>12</v>
      </c>
      <c r="C5558">
        <v>54</v>
      </c>
      <c r="D5558" t="s">
        <v>25</v>
      </c>
      <c r="E5558" t="s">
        <v>24</v>
      </c>
      <c r="F5558">
        <v>19</v>
      </c>
      <c r="G5558">
        <v>53</v>
      </c>
      <c r="H5558">
        <v>0.28999999999999998</v>
      </c>
      <c r="I5558" t="s">
        <v>15</v>
      </c>
      <c r="J5558">
        <v>0</v>
      </c>
      <c r="K5558">
        <v>1</v>
      </c>
      <c r="L5558">
        <v>1</v>
      </c>
      <c r="M5558">
        <f>VLOOKUP(Table1[[#This Row],[subscription_type]],Plans!$A$1:$B$5,2,FALSE)</f>
        <v>4.99</v>
      </c>
      <c r="N5558">
        <f t="shared" si="86"/>
        <v>4.99</v>
      </c>
    </row>
    <row r="5559" spans="1:14" x14ac:dyDescent="0.35">
      <c r="A5559">
        <v>5558</v>
      </c>
      <c r="B5559" t="s">
        <v>20</v>
      </c>
      <c r="C5559">
        <v>22</v>
      </c>
      <c r="D5559" t="s">
        <v>26</v>
      </c>
      <c r="E5559" t="s">
        <v>22</v>
      </c>
      <c r="F5559">
        <v>73</v>
      </c>
      <c r="G5559">
        <v>20</v>
      </c>
      <c r="H5559">
        <v>0.09</v>
      </c>
      <c r="I5559" t="s">
        <v>23</v>
      </c>
      <c r="J5559">
        <v>0</v>
      </c>
      <c r="K5559">
        <v>1</v>
      </c>
      <c r="L5559">
        <v>0</v>
      </c>
      <c r="M5559">
        <f>VLOOKUP(Table1[[#This Row],[subscription_type]],Plans!$A$1:$B$5,2,FALSE)</f>
        <v>9.99</v>
      </c>
      <c r="N5559">
        <f t="shared" si="86"/>
        <v>0</v>
      </c>
    </row>
    <row r="5560" spans="1:14" x14ac:dyDescent="0.35">
      <c r="A5560">
        <v>5559</v>
      </c>
      <c r="B5560" t="s">
        <v>20</v>
      </c>
      <c r="C5560">
        <v>51</v>
      </c>
      <c r="D5560" t="s">
        <v>27</v>
      </c>
      <c r="E5560" t="s">
        <v>14</v>
      </c>
      <c r="F5560">
        <v>230</v>
      </c>
      <c r="G5560">
        <v>84</v>
      </c>
      <c r="H5560">
        <v>0.43</v>
      </c>
      <c r="I5560" t="s">
        <v>15</v>
      </c>
      <c r="J5560">
        <v>43</v>
      </c>
      <c r="K5560">
        <v>0</v>
      </c>
      <c r="L5560">
        <v>1</v>
      </c>
      <c r="M5560">
        <f>VLOOKUP(Table1[[#This Row],[subscription_type]],Plans!$A$1:$B$5,2,FALSE)</f>
        <v>0</v>
      </c>
      <c r="N5560">
        <f t="shared" si="86"/>
        <v>0</v>
      </c>
    </row>
    <row r="5561" spans="1:14" x14ac:dyDescent="0.35">
      <c r="A5561">
        <v>5560</v>
      </c>
      <c r="B5561" t="s">
        <v>20</v>
      </c>
      <c r="C5561">
        <v>58</v>
      </c>
      <c r="D5561" t="s">
        <v>25</v>
      </c>
      <c r="E5561" t="s">
        <v>18</v>
      </c>
      <c r="F5561">
        <v>253</v>
      </c>
      <c r="G5561">
        <v>98</v>
      </c>
      <c r="H5561">
        <v>0.17</v>
      </c>
      <c r="I5561" t="s">
        <v>19</v>
      </c>
      <c r="J5561">
        <v>0</v>
      </c>
      <c r="K5561">
        <v>1</v>
      </c>
      <c r="L5561">
        <v>0</v>
      </c>
      <c r="M5561">
        <f>VLOOKUP(Table1[[#This Row],[subscription_type]],Plans!$A$1:$B$5,2,FALSE)</f>
        <v>14.99</v>
      </c>
      <c r="N5561">
        <f t="shared" si="86"/>
        <v>0</v>
      </c>
    </row>
    <row r="5562" spans="1:14" x14ac:dyDescent="0.35">
      <c r="A5562">
        <v>5561</v>
      </c>
      <c r="B5562" t="s">
        <v>12</v>
      </c>
      <c r="C5562">
        <v>57</v>
      </c>
      <c r="D5562" t="s">
        <v>28</v>
      </c>
      <c r="E5562" t="s">
        <v>22</v>
      </c>
      <c r="F5562">
        <v>295</v>
      </c>
      <c r="G5562">
        <v>76</v>
      </c>
      <c r="H5562">
        <v>0.39</v>
      </c>
      <c r="I5562" t="s">
        <v>23</v>
      </c>
      <c r="J5562">
        <v>0</v>
      </c>
      <c r="K5562">
        <v>1</v>
      </c>
      <c r="L5562">
        <v>1</v>
      </c>
      <c r="M5562">
        <f>VLOOKUP(Table1[[#This Row],[subscription_type]],Plans!$A$1:$B$5,2,FALSE)</f>
        <v>9.99</v>
      </c>
      <c r="N5562">
        <f t="shared" si="86"/>
        <v>9.99</v>
      </c>
    </row>
    <row r="5563" spans="1:14" x14ac:dyDescent="0.35">
      <c r="A5563">
        <v>5562</v>
      </c>
      <c r="B5563" t="s">
        <v>12</v>
      </c>
      <c r="C5563">
        <v>19</v>
      </c>
      <c r="D5563" t="s">
        <v>28</v>
      </c>
      <c r="E5563" t="s">
        <v>18</v>
      </c>
      <c r="F5563">
        <v>120</v>
      </c>
      <c r="G5563">
        <v>43</v>
      </c>
      <c r="H5563">
        <v>0.15</v>
      </c>
      <c r="I5563" t="s">
        <v>15</v>
      </c>
      <c r="J5563">
        <v>0</v>
      </c>
      <c r="K5563">
        <v>1</v>
      </c>
      <c r="L5563">
        <v>0</v>
      </c>
      <c r="M5563">
        <f>VLOOKUP(Table1[[#This Row],[subscription_type]],Plans!$A$1:$B$5,2,FALSE)</f>
        <v>14.99</v>
      </c>
      <c r="N5563">
        <f t="shared" si="86"/>
        <v>0</v>
      </c>
    </row>
    <row r="5564" spans="1:14" x14ac:dyDescent="0.35">
      <c r="A5564">
        <v>5563</v>
      </c>
      <c r="B5564" t="s">
        <v>16</v>
      </c>
      <c r="C5564">
        <v>45</v>
      </c>
      <c r="D5564" t="s">
        <v>26</v>
      </c>
      <c r="E5564" t="s">
        <v>14</v>
      </c>
      <c r="F5564">
        <v>137</v>
      </c>
      <c r="G5564">
        <v>5</v>
      </c>
      <c r="H5564">
        <v>0.41</v>
      </c>
      <c r="I5564" t="s">
        <v>19</v>
      </c>
      <c r="J5564">
        <v>26</v>
      </c>
      <c r="K5564">
        <v>0</v>
      </c>
      <c r="L5564">
        <v>0</v>
      </c>
      <c r="M5564">
        <f>VLOOKUP(Table1[[#This Row],[subscription_type]],Plans!$A$1:$B$5,2,FALSE)</f>
        <v>0</v>
      </c>
      <c r="N5564">
        <f t="shared" si="86"/>
        <v>0</v>
      </c>
    </row>
    <row r="5565" spans="1:14" x14ac:dyDescent="0.35">
      <c r="A5565">
        <v>5564</v>
      </c>
      <c r="B5565" t="s">
        <v>12</v>
      </c>
      <c r="C5565">
        <v>28</v>
      </c>
      <c r="D5565" t="s">
        <v>28</v>
      </c>
      <c r="E5565" t="s">
        <v>14</v>
      </c>
      <c r="F5565">
        <v>157</v>
      </c>
      <c r="G5565">
        <v>91</v>
      </c>
      <c r="H5565">
        <v>0.59</v>
      </c>
      <c r="I5565" t="s">
        <v>15</v>
      </c>
      <c r="J5565">
        <v>38</v>
      </c>
      <c r="K5565">
        <v>0</v>
      </c>
      <c r="L5565">
        <v>1</v>
      </c>
      <c r="M5565">
        <f>VLOOKUP(Table1[[#This Row],[subscription_type]],Plans!$A$1:$B$5,2,FALSE)</f>
        <v>0</v>
      </c>
      <c r="N5565">
        <f t="shared" si="86"/>
        <v>0</v>
      </c>
    </row>
    <row r="5566" spans="1:14" x14ac:dyDescent="0.35">
      <c r="A5566">
        <v>5565</v>
      </c>
      <c r="B5566" t="s">
        <v>20</v>
      </c>
      <c r="C5566">
        <v>54</v>
      </c>
      <c r="D5566" t="s">
        <v>26</v>
      </c>
      <c r="E5566" t="s">
        <v>22</v>
      </c>
      <c r="F5566">
        <v>144</v>
      </c>
      <c r="G5566">
        <v>49</v>
      </c>
      <c r="H5566">
        <v>0.27</v>
      </c>
      <c r="I5566" t="s">
        <v>15</v>
      </c>
      <c r="J5566">
        <v>0</v>
      </c>
      <c r="K5566">
        <v>1</v>
      </c>
      <c r="L5566">
        <v>1</v>
      </c>
      <c r="M5566">
        <f>VLOOKUP(Table1[[#This Row],[subscription_type]],Plans!$A$1:$B$5,2,FALSE)</f>
        <v>9.99</v>
      </c>
      <c r="N5566">
        <f t="shared" si="86"/>
        <v>9.99</v>
      </c>
    </row>
    <row r="5567" spans="1:14" x14ac:dyDescent="0.35">
      <c r="A5567">
        <v>5566</v>
      </c>
      <c r="B5567" t="s">
        <v>20</v>
      </c>
      <c r="C5567">
        <v>55</v>
      </c>
      <c r="D5567" t="s">
        <v>28</v>
      </c>
      <c r="E5567" t="s">
        <v>18</v>
      </c>
      <c r="F5567">
        <v>34</v>
      </c>
      <c r="G5567">
        <v>70</v>
      </c>
      <c r="H5567">
        <v>0.38</v>
      </c>
      <c r="I5567" t="s">
        <v>23</v>
      </c>
      <c r="J5567">
        <v>0</v>
      </c>
      <c r="K5567">
        <v>1</v>
      </c>
      <c r="L5567">
        <v>0</v>
      </c>
      <c r="M5567">
        <f>VLOOKUP(Table1[[#This Row],[subscription_type]],Plans!$A$1:$B$5,2,FALSE)</f>
        <v>14.99</v>
      </c>
      <c r="N5567">
        <f t="shared" si="86"/>
        <v>0</v>
      </c>
    </row>
    <row r="5568" spans="1:14" x14ac:dyDescent="0.35">
      <c r="A5568">
        <v>5567</v>
      </c>
      <c r="B5568" t="s">
        <v>20</v>
      </c>
      <c r="C5568">
        <v>31</v>
      </c>
      <c r="D5568" t="s">
        <v>28</v>
      </c>
      <c r="E5568" t="s">
        <v>14</v>
      </c>
      <c r="F5568">
        <v>56</v>
      </c>
      <c r="G5568">
        <v>96</v>
      </c>
      <c r="H5568">
        <v>0.47</v>
      </c>
      <c r="I5568" t="s">
        <v>19</v>
      </c>
      <c r="J5568">
        <v>46</v>
      </c>
      <c r="K5568">
        <v>0</v>
      </c>
      <c r="L5568">
        <v>1</v>
      </c>
      <c r="M5568">
        <f>VLOOKUP(Table1[[#This Row],[subscription_type]],Plans!$A$1:$B$5,2,FALSE)</f>
        <v>0</v>
      </c>
      <c r="N5568">
        <f t="shared" si="86"/>
        <v>0</v>
      </c>
    </row>
    <row r="5569" spans="1:14" x14ac:dyDescent="0.35">
      <c r="A5569">
        <v>5568</v>
      </c>
      <c r="B5569" t="s">
        <v>12</v>
      </c>
      <c r="C5569">
        <v>44</v>
      </c>
      <c r="D5569" t="s">
        <v>17</v>
      </c>
      <c r="E5569" t="s">
        <v>14</v>
      </c>
      <c r="F5569">
        <v>191</v>
      </c>
      <c r="G5569">
        <v>25</v>
      </c>
      <c r="H5569">
        <v>0.26</v>
      </c>
      <c r="I5569" t="s">
        <v>23</v>
      </c>
      <c r="J5569">
        <v>11</v>
      </c>
      <c r="K5569">
        <v>0</v>
      </c>
      <c r="L5569">
        <v>0</v>
      </c>
      <c r="M5569">
        <f>VLOOKUP(Table1[[#This Row],[subscription_type]],Plans!$A$1:$B$5,2,FALSE)</f>
        <v>0</v>
      </c>
      <c r="N5569">
        <f t="shared" si="86"/>
        <v>0</v>
      </c>
    </row>
    <row r="5570" spans="1:14" x14ac:dyDescent="0.35">
      <c r="A5570">
        <v>5569</v>
      </c>
      <c r="B5570" t="s">
        <v>20</v>
      </c>
      <c r="C5570">
        <v>17</v>
      </c>
      <c r="D5570" t="s">
        <v>25</v>
      </c>
      <c r="E5570" t="s">
        <v>24</v>
      </c>
      <c r="F5570">
        <v>291</v>
      </c>
      <c r="G5570">
        <v>4</v>
      </c>
      <c r="H5570">
        <v>0.02</v>
      </c>
      <c r="I5570" t="s">
        <v>15</v>
      </c>
      <c r="J5570">
        <v>0</v>
      </c>
      <c r="K5570">
        <v>1</v>
      </c>
      <c r="L5570">
        <v>0</v>
      </c>
      <c r="M5570">
        <f>VLOOKUP(Table1[[#This Row],[subscription_type]],Plans!$A$1:$B$5,2,FALSE)</f>
        <v>4.99</v>
      </c>
      <c r="N5570">
        <f t="shared" ref="N5570:N5633" si="87">IF(L5570=1, M5570,0)</f>
        <v>0</v>
      </c>
    </row>
    <row r="5571" spans="1:14" x14ac:dyDescent="0.35">
      <c r="A5571">
        <v>5570</v>
      </c>
      <c r="B5571" t="s">
        <v>12</v>
      </c>
      <c r="C5571">
        <v>45</v>
      </c>
      <c r="D5571" t="s">
        <v>29</v>
      </c>
      <c r="E5571" t="s">
        <v>24</v>
      </c>
      <c r="F5571">
        <v>151</v>
      </c>
      <c r="G5571">
        <v>51</v>
      </c>
      <c r="H5571">
        <v>0.55000000000000004</v>
      </c>
      <c r="I5571" t="s">
        <v>19</v>
      </c>
      <c r="J5571">
        <v>0</v>
      </c>
      <c r="K5571">
        <v>1</v>
      </c>
      <c r="L5571">
        <v>0</v>
      </c>
      <c r="M5571">
        <f>VLOOKUP(Table1[[#This Row],[subscription_type]],Plans!$A$1:$B$5,2,FALSE)</f>
        <v>4.99</v>
      </c>
      <c r="N5571">
        <f t="shared" si="87"/>
        <v>0</v>
      </c>
    </row>
    <row r="5572" spans="1:14" x14ac:dyDescent="0.35">
      <c r="A5572">
        <v>5571</v>
      </c>
      <c r="B5572" t="s">
        <v>16</v>
      </c>
      <c r="C5572">
        <v>26</v>
      </c>
      <c r="D5572" t="s">
        <v>25</v>
      </c>
      <c r="E5572" t="s">
        <v>22</v>
      </c>
      <c r="F5572">
        <v>200</v>
      </c>
      <c r="G5572">
        <v>82</v>
      </c>
      <c r="H5572">
        <v>0.5</v>
      </c>
      <c r="I5572" t="s">
        <v>15</v>
      </c>
      <c r="J5572">
        <v>0</v>
      </c>
      <c r="K5572">
        <v>1</v>
      </c>
      <c r="L5572">
        <v>1</v>
      </c>
      <c r="M5572">
        <f>VLOOKUP(Table1[[#This Row],[subscription_type]],Plans!$A$1:$B$5,2,FALSE)</f>
        <v>9.99</v>
      </c>
      <c r="N5572">
        <f t="shared" si="87"/>
        <v>9.99</v>
      </c>
    </row>
    <row r="5573" spans="1:14" x14ac:dyDescent="0.35">
      <c r="A5573">
        <v>5572</v>
      </c>
      <c r="B5573" t="s">
        <v>16</v>
      </c>
      <c r="C5573">
        <v>52</v>
      </c>
      <c r="D5573" t="s">
        <v>27</v>
      </c>
      <c r="E5573" t="s">
        <v>18</v>
      </c>
      <c r="F5573">
        <v>224</v>
      </c>
      <c r="G5573">
        <v>76</v>
      </c>
      <c r="H5573">
        <v>0.16</v>
      </c>
      <c r="I5573" t="s">
        <v>23</v>
      </c>
      <c r="J5573">
        <v>0</v>
      </c>
      <c r="K5573">
        <v>1</v>
      </c>
      <c r="L5573">
        <v>0</v>
      </c>
      <c r="M5573">
        <f>VLOOKUP(Table1[[#This Row],[subscription_type]],Plans!$A$1:$B$5,2,FALSE)</f>
        <v>14.99</v>
      </c>
      <c r="N5573">
        <f t="shared" si="87"/>
        <v>0</v>
      </c>
    </row>
    <row r="5574" spans="1:14" x14ac:dyDescent="0.35">
      <c r="A5574">
        <v>5573</v>
      </c>
      <c r="B5574" t="s">
        <v>16</v>
      </c>
      <c r="C5574">
        <v>30</v>
      </c>
      <c r="D5574" t="s">
        <v>29</v>
      </c>
      <c r="E5574" t="s">
        <v>24</v>
      </c>
      <c r="F5574">
        <v>211</v>
      </c>
      <c r="G5574">
        <v>41</v>
      </c>
      <c r="H5574">
        <v>0.3</v>
      </c>
      <c r="I5574" t="s">
        <v>15</v>
      </c>
      <c r="J5574">
        <v>0</v>
      </c>
      <c r="K5574">
        <v>1</v>
      </c>
      <c r="L5574">
        <v>0</v>
      </c>
      <c r="M5574">
        <f>VLOOKUP(Table1[[#This Row],[subscription_type]],Plans!$A$1:$B$5,2,FALSE)</f>
        <v>4.99</v>
      </c>
      <c r="N5574">
        <f t="shared" si="87"/>
        <v>0</v>
      </c>
    </row>
    <row r="5575" spans="1:14" x14ac:dyDescent="0.35">
      <c r="A5575">
        <v>5574</v>
      </c>
      <c r="B5575" t="s">
        <v>20</v>
      </c>
      <c r="C5575">
        <v>57</v>
      </c>
      <c r="D5575" t="s">
        <v>26</v>
      </c>
      <c r="E5575" t="s">
        <v>24</v>
      </c>
      <c r="F5575">
        <v>45</v>
      </c>
      <c r="G5575">
        <v>59</v>
      </c>
      <c r="H5575">
        <v>0.12</v>
      </c>
      <c r="I5575" t="s">
        <v>23</v>
      </c>
      <c r="J5575">
        <v>0</v>
      </c>
      <c r="K5575">
        <v>1</v>
      </c>
      <c r="L5575">
        <v>0</v>
      </c>
      <c r="M5575">
        <f>VLOOKUP(Table1[[#This Row],[subscription_type]],Plans!$A$1:$B$5,2,FALSE)</f>
        <v>4.99</v>
      </c>
      <c r="N5575">
        <f t="shared" si="87"/>
        <v>0</v>
      </c>
    </row>
    <row r="5576" spans="1:14" x14ac:dyDescent="0.35">
      <c r="A5576">
        <v>5575</v>
      </c>
      <c r="B5576" t="s">
        <v>16</v>
      </c>
      <c r="C5576">
        <v>44</v>
      </c>
      <c r="D5576" t="s">
        <v>29</v>
      </c>
      <c r="E5576" t="s">
        <v>22</v>
      </c>
      <c r="F5576">
        <v>95</v>
      </c>
      <c r="G5576">
        <v>71</v>
      </c>
      <c r="H5576">
        <v>0.38</v>
      </c>
      <c r="I5576" t="s">
        <v>15</v>
      </c>
      <c r="J5576">
        <v>0</v>
      </c>
      <c r="K5576">
        <v>1</v>
      </c>
      <c r="L5576">
        <v>1</v>
      </c>
      <c r="M5576">
        <f>VLOOKUP(Table1[[#This Row],[subscription_type]],Plans!$A$1:$B$5,2,FALSE)</f>
        <v>9.99</v>
      </c>
      <c r="N5576">
        <f t="shared" si="87"/>
        <v>9.99</v>
      </c>
    </row>
    <row r="5577" spans="1:14" x14ac:dyDescent="0.35">
      <c r="A5577">
        <v>5576</v>
      </c>
      <c r="B5577" t="s">
        <v>12</v>
      </c>
      <c r="C5577">
        <v>29</v>
      </c>
      <c r="D5577" t="s">
        <v>21</v>
      </c>
      <c r="E5577" t="s">
        <v>22</v>
      </c>
      <c r="F5577">
        <v>33</v>
      </c>
      <c r="G5577">
        <v>1</v>
      </c>
      <c r="H5577">
        <v>0.49</v>
      </c>
      <c r="I5577" t="s">
        <v>15</v>
      </c>
      <c r="J5577">
        <v>0</v>
      </c>
      <c r="K5577">
        <v>1</v>
      </c>
      <c r="L5577">
        <v>0</v>
      </c>
      <c r="M5577">
        <f>VLOOKUP(Table1[[#This Row],[subscription_type]],Plans!$A$1:$B$5,2,FALSE)</f>
        <v>9.99</v>
      </c>
      <c r="N5577">
        <f t="shared" si="87"/>
        <v>0</v>
      </c>
    </row>
    <row r="5578" spans="1:14" x14ac:dyDescent="0.35">
      <c r="A5578">
        <v>5577</v>
      </c>
      <c r="B5578" t="s">
        <v>12</v>
      </c>
      <c r="C5578">
        <v>42</v>
      </c>
      <c r="D5578" t="s">
        <v>13</v>
      </c>
      <c r="E5578" t="s">
        <v>24</v>
      </c>
      <c r="F5578">
        <v>101</v>
      </c>
      <c r="G5578">
        <v>49</v>
      </c>
      <c r="H5578">
        <v>0.31</v>
      </c>
      <c r="I5578" t="s">
        <v>23</v>
      </c>
      <c r="J5578">
        <v>0</v>
      </c>
      <c r="K5578">
        <v>1</v>
      </c>
      <c r="L5578">
        <v>0</v>
      </c>
      <c r="M5578">
        <f>VLOOKUP(Table1[[#This Row],[subscription_type]],Plans!$A$1:$B$5,2,FALSE)</f>
        <v>4.99</v>
      </c>
      <c r="N5578">
        <f t="shared" si="87"/>
        <v>0</v>
      </c>
    </row>
    <row r="5579" spans="1:14" x14ac:dyDescent="0.35">
      <c r="A5579">
        <v>5578</v>
      </c>
      <c r="B5579" t="s">
        <v>20</v>
      </c>
      <c r="C5579">
        <v>21</v>
      </c>
      <c r="D5579" t="s">
        <v>26</v>
      </c>
      <c r="E5579" t="s">
        <v>18</v>
      </c>
      <c r="F5579">
        <v>52</v>
      </c>
      <c r="G5579">
        <v>94</v>
      </c>
      <c r="H5579">
        <v>0.05</v>
      </c>
      <c r="I5579" t="s">
        <v>23</v>
      </c>
      <c r="J5579">
        <v>0</v>
      </c>
      <c r="K5579">
        <v>1</v>
      </c>
      <c r="L5579">
        <v>0</v>
      </c>
      <c r="M5579">
        <f>VLOOKUP(Table1[[#This Row],[subscription_type]],Plans!$A$1:$B$5,2,FALSE)</f>
        <v>14.99</v>
      </c>
      <c r="N5579">
        <f t="shared" si="87"/>
        <v>0</v>
      </c>
    </row>
    <row r="5580" spans="1:14" x14ac:dyDescent="0.35">
      <c r="A5580">
        <v>5579</v>
      </c>
      <c r="B5580" t="s">
        <v>12</v>
      </c>
      <c r="C5580">
        <v>23</v>
      </c>
      <c r="D5580" t="s">
        <v>21</v>
      </c>
      <c r="E5580" t="s">
        <v>24</v>
      </c>
      <c r="F5580">
        <v>254</v>
      </c>
      <c r="G5580">
        <v>35</v>
      </c>
      <c r="H5580">
        <v>0.56999999999999995</v>
      </c>
      <c r="I5580" t="s">
        <v>23</v>
      </c>
      <c r="J5580">
        <v>0</v>
      </c>
      <c r="K5580">
        <v>1</v>
      </c>
      <c r="L5580">
        <v>0</v>
      </c>
      <c r="M5580">
        <f>VLOOKUP(Table1[[#This Row],[subscription_type]],Plans!$A$1:$B$5,2,FALSE)</f>
        <v>4.99</v>
      </c>
      <c r="N5580">
        <f t="shared" si="87"/>
        <v>0</v>
      </c>
    </row>
    <row r="5581" spans="1:14" x14ac:dyDescent="0.35">
      <c r="A5581">
        <v>5580</v>
      </c>
      <c r="B5581" t="s">
        <v>12</v>
      </c>
      <c r="C5581">
        <v>39</v>
      </c>
      <c r="D5581" t="s">
        <v>17</v>
      </c>
      <c r="E5581" t="s">
        <v>14</v>
      </c>
      <c r="F5581">
        <v>31</v>
      </c>
      <c r="G5581">
        <v>85</v>
      </c>
      <c r="H5581">
        <v>0.13</v>
      </c>
      <c r="I5581" t="s">
        <v>19</v>
      </c>
      <c r="J5581">
        <v>25</v>
      </c>
      <c r="K5581">
        <v>0</v>
      </c>
      <c r="L5581">
        <v>0</v>
      </c>
      <c r="M5581">
        <f>VLOOKUP(Table1[[#This Row],[subscription_type]],Plans!$A$1:$B$5,2,FALSE)</f>
        <v>0</v>
      </c>
      <c r="N5581">
        <f t="shared" si="87"/>
        <v>0</v>
      </c>
    </row>
    <row r="5582" spans="1:14" x14ac:dyDescent="0.35">
      <c r="A5582">
        <v>5581</v>
      </c>
      <c r="B5582" t="s">
        <v>12</v>
      </c>
      <c r="C5582">
        <v>19</v>
      </c>
      <c r="D5582" t="s">
        <v>17</v>
      </c>
      <c r="E5582" t="s">
        <v>22</v>
      </c>
      <c r="F5582">
        <v>114</v>
      </c>
      <c r="G5582">
        <v>35</v>
      </c>
      <c r="H5582">
        <v>0.04</v>
      </c>
      <c r="I5582" t="s">
        <v>19</v>
      </c>
      <c r="J5582">
        <v>0</v>
      </c>
      <c r="K5582">
        <v>1</v>
      </c>
      <c r="L5582">
        <v>0</v>
      </c>
      <c r="M5582">
        <f>VLOOKUP(Table1[[#This Row],[subscription_type]],Plans!$A$1:$B$5,2,FALSE)</f>
        <v>9.99</v>
      </c>
      <c r="N5582">
        <f t="shared" si="87"/>
        <v>0</v>
      </c>
    </row>
    <row r="5583" spans="1:14" x14ac:dyDescent="0.35">
      <c r="A5583">
        <v>5582</v>
      </c>
      <c r="B5583" t="s">
        <v>12</v>
      </c>
      <c r="C5583">
        <v>34</v>
      </c>
      <c r="D5583" t="s">
        <v>29</v>
      </c>
      <c r="E5583" t="s">
        <v>14</v>
      </c>
      <c r="F5583">
        <v>55</v>
      </c>
      <c r="G5583">
        <v>3</v>
      </c>
      <c r="H5583">
        <v>0.34</v>
      </c>
      <c r="I5583" t="s">
        <v>23</v>
      </c>
      <c r="J5583">
        <v>34</v>
      </c>
      <c r="K5583">
        <v>0</v>
      </c>
      <c r="L5583">
        <v>0</v>
      </c>
      <c r="M5583">
        <f>VLOOKUP(Table1[[#This Row],[subscription_type]],Plans!$A$1:$B$5,2,FALSE)</f>
        <v>0</v>
      </c>
      <c r="N5583">
        <f t="shared" si="87"/>
        <v>0</v>
      </c>
    </row>
    <row r="5584" spans="1:14" x14ac:dyDescent="0.35">
      <c r="A5584">
        <v>5583</v>
      </c>
      <c r="B5584" t="s">
        <v>16</v>
      </c>
      <c r="C5584">
        <v>56</v>
      </c>
      <c r="D5584" t="s">
        <v>26</v>
      </c>
      <c r="E5584" t="s">
        <v>14</v>
      </c>
      <c r="F5584">
        <v>50</v>
      </c>
      <c r="G5584">
        <v>99</v>
      </c>
      <c r="H5584">
        <v>0.32</v>
      </c>
      <c r="I5584" t="s">
        <v>19</v>
      </c>
      <c r="J5584">
        <v>34</v>
      </c>
      <c r="K5584">
        <v>0</v>
      </c>
      <c r="L5584">
        <v>1</v>
      </c>
      <c r="M5584">
        <f>VLOOKUP(Table1[[#This Row],[subscription_type]],Plans!$A$1:$B$5,2,FALSE)</f>
        <v>0</v>
      </c>
      <c r="N5584">
        <f t="shared" si="87"/>
        <v>0</v>
      </c>
    </row>
    <row r="5585" spans="1:14" x14ac:dyDescent="0.35">
      <c r="A5585">
        <v>5584</v>
      </c>
      <c r="B5585" t="s">
        <v>16</v>
      </c>
      <c r="C5585">
        <v>42</v>
      </c>
      <c r="D5585" t="s">
        <v>25</v>
      </c>
      <c r="E5585" t="s">
        <v>14</v>
      </c>
      <c r="F5585">
        <v>181</v>
      </c>
      <c r="G5585">
        <v>65</v>
      </c>
      <c r="H5585">
        <v>0.14000000000000001</v>
      </c>
      <c r="I5585" t="s">
        <v>19</v>
      </c>
      <c r="J5585">
        <v>36</v>
      </c>
      <c r="K5585">
        <v>0</v>
      </c>
      <c r="L5585">
        <v>1</v>
      </c>
      <c r="M5585">
        <f>VLOOKUP(Table1[[#This Row],[subscription_type]],Plans!$A$1:$B$5,2,FALSE)</f>
        <v>0</v>
      </c>
      <c r="N5585">
        <f t="shared" si="87"/>
        <v>0</v>
      </c>
    </row>
    <row r="5586" spans="1:14" x14ac:dyDescent="0.35">
      <c r="A5586">
        <v>5585</v>
      </c>
      <c r="B5586" t="s">
        <v>16</v>
      </c>
      <c r="C5586">
        <v>28</v>
      </c>
      <c r="D5586" t="s">
        <v>27</v>
      </c>
      <c r="E5586" t="s">
        <v>24</v>
      </c>
      <c r="F5586">
        <v>176</v>
      </c>
      <c r="G5586">
        <v>26</v>
      </c>
      <c r="H5586">
        <v>0.16</v>
      </c>
      <c r="I5586" t="s">
        <v>19</v>
      </c>
      <c r="J5586">
        <v>0</v>
      </c>
      <c r="K5586">
        <v>1</v>
      </c>
      <c r="L5586">
        <v>0</v>
      </c>
      <c r="M5586">
        <f>VLOOKUP(Table1[[#This Row],[subscription_type]],Plans!$A$1:$B$5,2,FALSE)</f>
        <v>4.99</v>
      </c>
      <c r="N5586">
        <f t="shared" si="87"/>
        <v>0</v>
      </c>
    </row>
    <row r="5587" spans="1:14" x14ac:dyDescent="0.35">
      <c r="A5587">
        <v>5586</v>
      </c>
      <c r="B5587" t="s">
        <v>20</v>
      </c>
      <c r="C5587">
        <v>19</v>
      </c>
      <c r="D5587" t="s">
        <v>13</v>
      </c>
      <c r="E5587" t="s">
        <v>14</v>
      </c>
      <c r="F5587">
        <v>71</v>
      </c>
      <c r="G5587">
        <v>1</v>
      </c>
      <c r="H5587">
        <v>0.19</v>
      </c>
      <c r="I5587" t="s">
        <v>15</v>
      </c>
      <c r="J5587">
        <v>24</v>
      </c>
      <c r="K5587">
        <v>0</v>
      </c>
      <c r="L5587">
        <v>0</v>
      </c>
      <c r="M5587">
        <f>VLOOKUP(Table1[[#This Row],[subscription_type]],Plans!$A$1:$B$5,2,FALSE)</f>
        <v>0</v>
      </c>
      <c r="N5587">
        <f t="shared" si="87"/>
        <v>0</v>
      </c>
    </row>
    <row r="5588" spans="1:14" x14ac:dyDescent="0.35">
      <c r="A5588">
        <v>5587</v>
      </c>
      <c r="B5588" t="s">
        <v>16</v>
      </c>
      <c r="C5588">
        <v>56</v>
      </c>
      <c r="D5588" t="s">
        <v>28</v>
      </c>
      <c r="E5588" t="s">
        <v>18</v>
      </c>
      <c r="F5588">
        <v>119</v>
      </c>
      <c r="G5588">
        <v>92</v>
      </c>
      <c r="H5588">
        <v>0.14000000000000001</v>
      </c>
      <c r="I5588" t="s">
        <v>23</v>
      </c>
      <c r="J5588">
        <v>0</v>
      </c>
      <c r="K5588">
        <v>1</v>
      </c>
      <c r="L5588">
        <v>0</v>
      </c>
      <c r="M5588">
        <f>VLOOKUP(Table1[[#This Row],[subscription_type]],Plans!$A$1:$B$5,2,FALSE)</f>
        <v>14.99</v>
      </c>
      <c r="N5588">
        <f t="shared" si="87"/>
        <v>0</v>
      </c>
    </row>
    <row r="5589" spans="1:14" x14ac:dyDescent="0.35">
      <c r="A5589">
        <v>5588</v>
      </c>
      <c r="B5589" t="s">
        <v>12</v>
      </c>
      <c r="C5589">
        <v>43</v>
      </c>
      <c r="D5589" t="s">
        <v>17</v>
      </c>
      <c r="E5589" t="s">
        <v>22</v>
      </c>
      <c r="F5589">
        <v>266</v>
      </c>
      <c r="G5589">
        <v>9</v>
      </c>
      <c r="H5589">
        <v>7.0000000000000007E-2</v>
      </c>
      <c r="I5589" t="s">
        <v>23</v>
      </c>
      <c r="J5589">
        <v>0</v>
      </c>
      <c r="K5589">
        <v>1</v>
      </c>
      <c r="L5589">
        <v>0</v>
      </c>
      <c r="M5589">
        <f>VLOOKUP(Table1[[#This Row],[subscription_type]],Plans!$A$1:$B$5,2,FALSE)</f>
        <v>9.99</v>
      </c>
      <c r="N5589">
        <f t="shared" si="87"/>
        <v>0</v>
      </c>
    </row>
    <row r="5590" spans="1:14" x14ac:dyDescent="0.35">
      <c r="A5590">
        <v>5589</v>
      </c>
      <c r="B5590" t="s">
        <v>16</v>
      </c>
      <c r="C5590">
        <v>55</v>
      </c>
      <c r="D5590" t="s">
        <v>21</v>
      </c>
      <c r="E5590" t="s">
        <v>24</v>
      </c>
      <c r="F5590">
        <v>83</v>
      </c>
      <c r="G5590">
        <v>43</v>
      </c>
      <c r="H5590">
        <v>0.53</v>
      </c>
      <c r="I5590" t="s">
        <v>19</v>
      </c>
      <c r="J5590">
        <v>0</v>
      </c>
      <c r="K5590">
        <v>1</v>
      </c>
      <c r="L5590">
        <v>1</v>
      </c>
      <c r="M5590">
        <f>VLOOKUP(Table1[[#This Row],[subscription_type]],Plans!$A$1:$B$5,2,FALSE)</f>
        <v>4.99</v>
      </c>
      <c r="N5590">
        <f t="shared" si="87"/>
        <v>4.99</v>
      </c>
    </row>
    <row r="5591" spans="1:14" x14ac:dyDescent="0.35">
      <c r="A5591">
        <v>5590</v>
      </c>
      <c r="B5591" t="s">
        <v>16</v>
      </c>
      <c r="C5591">
        <v>16</v>
      </c>
      <c r="D5591" t="s">
        <v>21</v>
      </c>
      <c r="E5591" t="s">
        <v>24</v>
      </c>
      <c r="F5591">
        <v>240</v>
      </c>
      <c r="G5591">
        <v>94</v>
      </c>
      <c r="H5591">
        <v>0.09</v>
      </c>
      <c r="I5591" t="s">
        <v>15</v>
      </c>
      <c r="J5591">
        <v>0</v>
      </c>
      <c r="K5591">
        <v>1</v>
      </c>
      <c r="L5591">
        <v>0</v>
      </c>
      <c r="M5591">
        <f>VLOOKUP(Table1[[#This Row],[subscription_type]],Plans!$A$1:$B$5,2,FALSE)</f>
        <v>4.99</v>
      </c>
      <c r="N5591">
        <f t="shared" si="87"/>
        <v>0</v>
      </c>
    </row>
    <row r="5592" spans="1:14" x14ac:dyDescent="0.35">
      <c r="A5592">
        <v>5591</v>
      </c>
      <c r="B5592" t="s">
        <v>20</v>
      </c>
      <c r="C5592">
        <v>54</v>
      </c>
      <c r="D5592" t="s">
        <v>21</v>
      </c>
      <c r="E5592" t="s">
        <v>22</v>
      </c>
      <c r="F5592">
        <v>118</v>
      </c>
      <c r="G5592">
        <v>25</v>
      </c>
      <c r="H5592">
        <v>0.16</v>
      </c>
      <c r="I5592" t="s">
        <v>23</v>
      </c>
      <c r="J5592">
        <v>0</v>
      </c>
      <c r="K5592">
        <v>1</v>
      </c>
      <c r="L5592">
        <v>1</v>
      </c>
      <c r="M5592">
        <f>VLOOKUP(Table1[[#This Row],[subscription_type]],Plans!$A$1:$B$5,2,FALSE)</f>
        <v>9.99</v>
      </c>
      <c r="N5592">
        <f t="shared" si="87"/>
        <v>9.99</v>
      </c>
    </row>
    <row r="5593" spans="1:14" x14ac:dyDescent="0.35">
      <c r="A5593">
        <v>5592</v>
      </c>
      <c r="B5593" t="s">
        <v>12</v>
      </c>
      <c r="C5593">
        <v>32</v>
      </c>
      <c r="D5593" t="s">
        <v>25</v>
      </c>
      <c r="E5593" t="s">
        <v>14</v>
      </c>
      <c r="F5593">
        <v>276</v>
      </c>
      <c r="G5593">
        <v>23</v>
      </c>
      <c r="H5593">
        <v>0.38</v>
      </c>
      <c r="I5593" t="s">
        <v>19</v>
      </c>
      <c r="J5593">
        <v>9</v>
      </c>
      <c r="K5593">
        <v>0</v>
      </c>
      <c r="L5593">
        <v>0</v>
      </c>
      <c r="M5593">
        <f>VLOOKUP(Table1[[#This Row],[subscription_type]],Plans!$A$1:$B$5,2,FALSE)</f>
        <v>0</v>
      </c>
      <c r="N5593">
        <f t="shared" si="87"/>
        <v>0</v>
      </c>
    </row>
    <row r="5594" spans="1:14" x14ac:dyDescent="0.35">
      <c r="A5594">
        <v>5593</v>
      </c>
      <c r="B5594" t="s">
        <v>16</v>
      </c>
      <c r="C5594">
        <v>42</v>
      </c>
      <c r="D5594" t="s">
        <v>26</v>
      </c>
      <c r="E5594" t="s">
        <v>18</v>
      </c>
      <c r="F5594">
        <v>112</v>
      </c>
      <c r="G5594">
        <v>34</v>
      </c>
      <c r="H5594">
        <v>0.53</v>
      </c>
      <c r="I5594" t="s">
        <v>19</v>
      </c>
      <c r="J5594">
        <v>0</v>
      </c>
      <c r="K5594">
        <v>1</v>
      </c>
      <c r="L5594">
        <v>1</v>
      </c>
      <c r="M5594">
        <f>VLOOKUP(Table1[[#This Row],[subscription_type]],Plans!$A$1:$B$5,2,FALSE)</f>
        <v>14.99</v>
      </c>
      <c r="N5594">
        <f t="shared" si="87"/>
        <v>14.99</v>
      </c>
    </row>
    <row r="5595" spans="1:14" x14ac:dyDescent="0.35">
      <c r="A5595">
        <v>5594</v>
      </c>
      <c r="B5595" t="s">
        <v>12</v>
      </c>
      <c r="C5595">
        <v>55</v>
      </c>
      <c r="D5595" t="s">
        <v>17</v>
      </c>
      <c r="E5595" t="s">
        <v>18</v>
      </c>
      <c r="F5595">
        <v>10</v>
      </c>
      <c r="G5595">
        <v>82</v>
      </c>
      <c r="H5595">
        <v>0.56000000000000005</v>
      </c>
      <c r="I5595" t="s">
        <v>19</v>
      </c>
      <c r="J5595">
        <v>0</v>
      </c>
      <c r="K5595">
        <v>1</v>
      </c>
      <c r="L5595">
        <v>1</v>
      </c>
      <c r="M5595">
        <f>VLOOKUP(Table1[[#This Row],[subscription_type]],Plans!$A$1:$B$5,2,FALSE)</f>
        <v>14.99</v>
      </c>
      <c r="N5595">
        <f t="shared" si="87"/>
        <v>14.99</v>
      </c>
    </row>
    <row r="5596" spans="1:14" x14ac:dyDescent="0.35">
      <c r="A5596">
        <v>5595</v>
      </c>
      <c r="B5596" t="s">
        <v>20</v>
      </c>
      <c r="C5596">
        <v>29</v>
      </c>
      <c r="D5596" t="s">
        <v>29</v>
      </c>
      <c r="E5596" t="s">
        <v>22</v>
      </c>
      <c r="F5596">
        <v>113</v>
      </c>
      <c r="G5596">
        <v>97</v>
      </c>
      <c r="H5596">
        <v>0.23</v>
      </c>
      <c r="I5596" t="s">
        <v>23</v>
      </c>
      <c r="J5596">
        <v>0</v>
      </c>
      <c r="K5596">
        <v>1</v>
      </c>
      <c r="L5596">
        <v>0</v>
      </c>
      <c r="M5596">
        <f>VLOOKUP(Table1[[#This Row],[subscription_type]],Plans!$A$1:$B$5,2,FALSE)</f>
        <v>9.99</v>
      </c>
      <c r="N5596">
        <f t="shared" si="87"/>
        <v>0</v>
      </c>
    </row>
    <row r="5597" spans="1:14" x14ac:dyDescent="0.35">
      <c r="A5597">
        <v>5596</v>
      </c>
      <c r="B5597" t="s">
        <v>20</v>
      </c>
      <c r="C5597">
        <v>33</v>
      </c>
      <c r="D5597" t="s">
        <v>25</v>
      </c>
      <c r="E5597" t="s">
        <v>24</v>
      </c>
      <c r="F5597">
        <v>262</v>
      </c>
      <c r="G5597">
        <v>42</v>
      </c>
      <c r="H5597">
        <v>0.41</v>
      </c>
      <c r="I5597" t="s">
        <v>15</v>
      </c>
      <c r="J5597">
        <v>0</v>
      </c>
      <c r="K5597">
        <v>1</v>
      </c>
      <c r="L5597">
        <v>1</v>
      </c>
      <c r="M5597">
        <f>VLOOKUP(Table1[[#This Row],[subscription_type]],Plans!$A$1:$B$5,2,FALSE)</f>
        <v>4.99</v>
      </c>
      <c r="N5597">
        <f t="shared" si="87"/>
        <v>4.99</v>
      </c>
    </row>
    <row r="5598" spans="1:14" x14ac:dyDescent="0.35">
      <c r="A5598">
        <v>5597</v>
      </c>
      <c r="B5598" t="s">
        <v>16</v>
      </c>
      <c r="C5598">
        <v>54</v>
      </c>
      <c r="D5598" t="s">
        <v>28</v>
      </c>
      <c r="E5598" t="s">
        <v>18</v>
      </c>
      <c r="F5598">
        <v>59</v>
      </c>
      <c r="G5598">
        <v>96</v>
      </c>
      <c r="H5598">
        <v>0.49</v>
      </c>
      <c r="I5598" t="s">
        <v>23</v>
      </c>
      <c r="J5598">
        <v>0</v>
      </c>
      <c r="K5598">
        <v>1</v>
      </c>
      <c r="L5598">
        <v>0</v>
      </c>
      <c r="M5598">
        <f>VLOOKUP(Table1[[#This Row],[subscription_type]],Plans!$A$1:$B$5,2,FALSE)</f>
        <v>14.99</v>
      </c>
      <c r="N5598">
        <f t="shared" si="87"/>
        <v>0</v>
      </c>
    </row>
    <row r="5599" spans="1:14" x14ac:dyDescent="0.35">
      <c r="A5599">
        <v>5598</v>
      </c>
      <c r="B5599" t="s">
        <v>12</v>
      </c>
      <c r="C5599">
        <v>36</v>
      </c>
      <c r="D5599" t="s">
        <v>13</v>
      </c>
      <c r="E5599" t="s">
        <v>22</v>
      </c>
      <c r="F5599">
        <v>244</v>
      </c>
      <c r="G5599">
        <v>27</v>
      </c>
      <c r="H5599">
        <v>0.51</v>
      </c>
      <c r="I5599" t="s">
        <v>23</v>
      </c>
      <c r="J5599">
        <v>0</v>
      </c>
      <c r="K5599">
        <v>1</v>
      </c>
      <c r="L5599">
        <v>1</v>
      </c>
      <c r="M5599">
        <f>VLOOKUP(Table1[[#This Row],[subscription_type]],Plans!$A$1:$B$5,2,FALSE)</f>
        <v>9.99</v>
      </c>
      <c r="N5599">
        <f t="shared" si="87"/>
        <v>9.99</v>
      </c>
    </row>
    <row r="5600" spans="1:14" x14ac:dyDescent="0.35">
      <c r="A5600">
        <v>5599</v>
      </c>
      <c r="B5600" t="s">
        <v>20</v>
      </c>
      <c r="C5600">
        <v>57</v>
      </c>
      <c r="D5600" t="s">
        <v>17</v>
      </c>
      <c r="E5600" t="s">
        <v>24</v>
      </c>
      <c r="F5600">
        <v>182</v>
      </c>
      <c r="G5600">
        <v>91</v>
      </c>
      <c r="H5600">
        <v>0.27</v>
      </c>
      <c r="I5600" t="s">
        <v>15</v>
      </c>
      <c r="J5600">
        <v>0</v>
      </c>
      <c r="K5600">
        <v>1</v>
      </c>
      <c r="L5600">
        <v>0</v>
      </c>
      <c r="M5600">
        <f>VLOOKUP(Table1[[#This Row],[subscription_type]],Plans!$A$1:$B$5,2,FALSE)</f>
        <v>4.99</v>
      </c>
      <c r="N5600">
        <f t="shared" si="87"/>
        <v>0</v>
      </c>
    </row>
    <row r="5601" spans="1:14" x14ac:dyDescent="0.35">
      <c r="A5601">
        <v>5600</v>
      </c>
      <c r="B5601" t="s">
        <v>20</v>
      </c>
      <c r="C5601">
        <v>32</v>
      </c>
      <c r="D5601" t="s">
        <v>13</v>
      </c>
      <c r="E5601" t="s">
        <v>22</v>
      </c>
      <c r="F5601">
        <v>265</v>
      </c>
      <c r="G5601">
        <v>38</v>
      </c>
      <c r="H5601">
        <v>0.08</v>
      </c>
      <c r="I5601" t="s">
        <v>15</v>
      </c>
      <c r="J5601">
        <v>0</v>
      </c>
      <c r="K5601">
        <v>1</v>
      </c>
      <c r="L5601">
        <v>0</v>
      </c>
      <c r="M5601">
        <f>VLOOKUP(Table1[[#This Row],[subscription_type]],Plans!$A$1:$B$5,2,FALSE)</f>
        <v>9.99</v>
      </c>
      <c r="N5601">
        <f t="shared" si="87"/>
        <v>0</v>
      </c>
    </row>
    <row r="5602" spans="1:14" x14ac:dyDescent="0.35">
      <c r="A5602">
        <v>5601</v>
      </c>
      <c r="B5602" t="s">
        <v>12</v>
      </c>
      <c r="C5602">
        <v>58</v>
      </c>
      <c r="D5602" t="s">
        <v>25</v>
      </c>
      <c r="E5602" t="s">
        <v>24</v>
      </c>
      <c r="F5602">
        <v>199</v>
      </c>
      <c r="G5602">
        <v>41</v>
      </c>
      <c r="H5602">
        <v>0.08</v>
      </c>
      <c r="I5602" t="s">
        <v>15</v>
      </c>
      <c r="J5602">
        <v>0</v>
      </c>
      <c r="K5602">
        <v>1</v>
      </c>
      <c r="L5602">
        <v>0</v>
      </c>
      <c r="M5602">
        <f>VLOOKUP(Table1[[#This Row],[subscription_type]],Plans!$A$1:$B$5,2,FALSE)</f>
        <v>4.99</v>
      </c>
      <c r="N5602">
        <f t="shared" si="87"/>
        <v>0</v>
      </c>
    </row>
    <row r="5603" spans="1:14" x14ac:dyDescent="0.35">
      <c r="A5603">
        <v>5602</v>
      </c>
      <c r="B5603" t="s">
        <v>16</v>
      </c>
      <c r="C5603">
        <v>34</v>
      </c>
      <c r="D5603" t="s">
        <v>25</v>
      </c>
      <c r="E5603" t="s">
        <v>24</v>
      </c>
      <c r="F5603">
        <v>295</v>
      </c>
      <c r="G5603">
        <v>81</v>
      </c>
      <c r="H5603">
        <v>0.54</v>
      </c>
      <c r="I5603" t="s">
        <v>19</v>
      </c>
      <c r="J5603">
        <v>0</v>
      </c>
      <c r="K5603">
        <v>1</v>
      </c>
      <c r="L5603">
        <v>0</v>
      </c>
      <c r="M5603">
        <f>VLOOKUP(Table1[[#This Row],[subscription_type]],Plans!$A$1:$B$5,2,FALSE)</f>
        <v>4.99</v>
      </c>
      <c r="N5603">
        <f t="shared" si="87"/>
        <v>0</v>
      </c>
    </row>
    <row r="5604" spans="1:14" x14ac:dyDescent="0.35">
      <c r="A5604">
        <v>5603</v>
      </c>
      <c r="B5604" t="s">
        <v>20</v>
      </c>
      <c r="C5604">
        <v>56</v>
      </c>
      <c r="D5604" t="s">
        <v>27</v>
      </c>
      <c r="E5604" t="s">
        <v>24</v>
      </c>
      <c r="F5604">
        <v>78</v>
      </c>
      <c r="G5604">
        <v>3</v>
      </c>
      <c r="H5604">
        <v>0.36</v>
      </c>
      <c r="I5604" t="s">
        <v>15</v>
      </c>
      <c r="J5604">
        <v>0</v>
      </c>
      <c r="K5604">
        <v>1</v>
      </c>
      <c r="L5604">
        <v>0</v>
      </c>
      <c r="M5604">
        <f>VLOOKUP(Table1[[#This Row],[subscription_type]],Plans!$A$1:$B$5,2,FALSE)</f>
        <v>4.99</v>
      </c>
      <c r="N5604">
        <f t="shared" si="87"/>
        <v>0</v>
      </c>
    </row>
    <row r="5605" spans="1:14" x14ac:dyDescent="0.35">
      <c r="A5605">
        <v>5604</v>
      </c>
      <c r="B5605" t="s">
        <v>20</v>
      </c>
      <c r="C5605">
        <v>59</v>
      </c>
      <c r="D5605" t="s">
        <v>26</v>
      </c>
      <c r="E5605" t="s">
        <v>24</v>
      </c>
      <c r="F5605">
        <v>126</v>
      </c>
      <c r="G5605">
        <v>98</v>
      </c>
      <c r="H5605">
        <v>0.13</v>
      </c>
      <c r="I5605" t="s">
        <v>15</v>
      </c>
      <c r="J5605">
        <v>0</v>
      </c>
      <c r="K5605">
        <v>1</v>
      </c>
      <c r="L5605">
        <v>0</v>
      </c>
      <c r="M5605">
        <f>VLOOKUP(Table1[[#This Row],[subscription_type]],Plans!$A$1:$B$5,2,FALSE)</f>
        <v>4.99</v>
      </c>
      <c r="N5605">
        <f t="shared" si="87"/>
        <v>0</v>
      </c>
    </row>
    <row r="5606" spans="1:14" x14ac:dyDescent="0.35">
      <c r="A5606">
        <v>5605</v>
      </c>
      <c r="B5606" t="s">
        <v>12</v>
      </c>
      <c r="C5606">
        <v>40</v>
      </c>
      <c r="D5606" t="s">
        <v>29</v>
      </c>
      <c r="E5606" t="s">
        <v>14</v>
      </c>
      <c r="F5606">
        <v>53</v>
      </c>
      <c r="G5606">
        <v>42</v>
      </c>
      <c r="H5606">
        <v>0.25</v>
      </c>
      <c r="I5606" t="s">
        <v>23</v>
      </c>
      <c r="J5606">
        <v>12</v>
      </c>
      <c r="K5606">
        <v>0</v>
      </c>
      <c r="L5606">
        <v>0</v>
      </c>
      <c r="M5606">
        <f>VLOOKUP(Table1[[#This Row],[subscription_type]],Plans!$A$1:$B$5,2,FALSE)</f>
        <v>0</v>
      </c>
      <c r="N5606">
        <f t="shared" si="87"/>
        <v>0</v>
      </c>
    </row>
    <row r="5607" spans="1:14" x14ac:dyDescent="0.35">
      <c r="A5607">
        <v>5606</v>
      </c>
      <c r="B5607" t="s">
        <v>12</v>
      </c>
      <c r="C5607">
        <v>58</v>
      </c>
      <c r="D5607" t="s">
        <v>28</v>
      </c>
      <c r="E5607" t="s">
        <v>22</v>
      </c>
      <c r="F5607">
        <v>203</v>
      </c>
      <c r="G5607">
        <v>57</v>
      </c>
      <c r="H5607">
        <v>0.47</v>
      </c>
      <c r="I5607" t="s">
        <v>15</v>
      </c>
      <c r="J5607">
        <v>0</v>
      </c>
      <c r="K5607">
        <v>1</v>
      </c>
      <c r="L5607">
        <v>1</v>
      </c>
      <c r="M5607">
        <f>VLOOKUP(Table1[[#This Row],[subscription_type]],Plans!$A$1:$B$5,2,FALSE)</f>
        <v>9.99</v>
      </c>
      <c r="N5607">
        <f t="shared" si="87"/>
        <v>9.99</v>
      </c>
    </row>
    <row r="5608" spans="1:14" x14ac:dyDescent="0.35">
      <c r="A5608">
        <v>5607</v>
      </c>
      <c r="B5608" t="s">
        <v>12</v>
      </c>
      <c r="C5608">
        <v>56</v>
      </c>
      <c r="D5608" t="s">
        <v>13</v>
      </c>
      <c r="E5608" t="s">
        <v>24</v>
      </c>
      <c r="F5608">
        <v>88</v>
      </c>
      <c r="G5608">
        <v>1</v>
      </c>
      <c r="H5608">
        <v>0.47</v>
      </c>
      <c r="I5608" t="s">
        <v>19</v>
      </c>
      <c r="J5608">
        <v>0</v>
      </c>
      <c r="K5608">
        <v>1</v>
      </c>
      <c r="L5608">
        <v>0</v>
      </c>
      <c r="M5608">
        <f>VLOOKUP(Table1[[#This Row],[subscription_type]],Plans!$A$1:$B$5,2,FALSE)</f>
        <v>4.99</v>
      </c>
      <c r="N5608">
        <f t="shared" si="87"/>
        <v>0</v>
      </c>
    </row>
    <row r="5609" spans="1:14" x14ac:dyDescent="0.35">
      <c r="A5609">
        <v>5608</v>
      </c>
      <c r="B5609" t="s">
        <v>16</v>
      </c>
      <c r="C5609">
        <v>45</v>
      </c>
      <c r="D5609" t="s">
        <v>29</v>
      </c>
      <c r="E5609" t="s">
        <v>22</v>
      </c>
      <c r="F5609">
        <v>294</v>
      </c>
      <c r="G5609">
        <v>23</v>
      </c>
      <c r="H5609">
        <v>0.21</v>
      </c>
      <c r="I5609" t="s">
        <v>23</v>
      </c>
      <c r="J5609">
        <v>0</v>
      </c>
      <c r="K5609">
        <v>1</v>
      </c>
      <c r="L5609">
        <v>0</v>
      </c>
      <c r="M5609">
        <f>VLOOKUP(Table1[[#This Row],[subscription_type]],Plans!$A$1:$B$5,2,FALSE)</f>
        <v>9.99</v>
      </c>
      <c r="N5609">
        <f t="shared" si="87"/>
        <v>0</v>
      </c>
    </row>
    <row r="5610" spans="1:14" x14ac:dyDescent="0.35">
      <c r="A5610">
        <v>5609</v>
      </c>
      <c r="B5610" t="s">
        <v>20</v>
      </c>
      <c r="C5610">
        <v>34</v>
      </c>
      <c r="D5610" t="s">
        <v>25</v>
      </c>
      <c r="E5610" t="s">
        <v>18</v>
      </c>
      <c r="F5610">
        <v>255</v>
      </c>
      <c r="G5610">
        <v>6</v>
      </c>
      <c r="H5610">
        <v>0.2</v>
      </c>
      <c r="I5610" t="s">
        <v>23</v>
      </c>
      <c r="J5610">
        <v>0</v>
      </c>
      <c r="K5610">
        <v>1</v>
      </c>
      <c r="L5610">
        <v>1</v>
      </c>
      <c r="M5610">
        <f>VLOOKUP(Table1[[#This Row],[subscription_type]],Plans!$A$1:$B$5,2,FALSE)</f>
        <v>14.99</v>
      </c>
      <c r="N5610">
        <f t="shared" si="87"/>
        <v>14.99</v>
      </c>
    </row>
    <row r="5611" spans="1:14" x14ac:dyDescent="0.35">
      <c r="A5611">
        <v>5610</v>
      </c>
      <c r="B5611" t="s">
        <v>12</v>
      </c>
      <c r="C5611">
        <v>57</v>
      </c>
      <c r="D5611" t="s">
        <v>29</v>
      </c>
      <c r="E5611" t="s">
        <v>14</v>
      </c>
      <c r="F5611">
        <v>113</v>
      </c>
      <c r="G5611">
        <v>60</v>
      </c>
      <c r="H5611">
        <v>0.21</v>
      </c>
      <c r="I5611" t="s">
        <v>15</v>
      </c>
      <c r="J5611">
        <v>39</v>
      </c>
      <c r="K5611">
        <v>0</v>
      </c>
      <c r="L5611">
        <v>0</v>
      </c>
      <c r="M5611">
        <f>VLOOKUP(Table1[[#This Row],[subscription_type]],Plans!$A$1:$B$5,2,FALSE)</f>
        <v>0</v>
      </c>
      <c r="N5611">
        <f t="shared" si="87"/>
        <v>0</v>
      </c>
    </row>
    <row r="5612" spans="1:14" x14ac:dyDescent="0.35">
      <c r="A5612">
        <v>5611</v>
      </c>
      <c r="B5612" t="s">
        <v>16</v>
      </c>
      <c r="C5612">
        <v>24</v>
      </c>
      <c r="D5612" t="s">
        <v>13</v>
      </c>
      <c r="E5612" t="s">
        <v>18</v>
      </c>
      <c r="F5612">
        <v>173</v>
      </c>
      <c r="G5612">
        <v>23</v>
      </c>
      <c r="H5612">
        <v>0.09</v>
      </c>
      <c r="I5612" t="s">
        <v>19</v>
      </c>
      <c r="J5612">
        <v>0</v>
      </c>
      <c r="K5612">
        <v>1</v>
      </c>
      <c r="L5612">
        <v>0</v>
      </c>
      <c r="M5612">
        <f>VLOOKUP(Table1[[#This Row],[subscription_type]],Plans!$A$1:$B$5,2,FALSE)</f>
        <v>14.99</v>
      </c>
      <c r="N5612">
        <f t="shared" si="87"/>
        <v>0</v>
      </c>
    </row>
    <row r="5613" spans="1:14" x14ac:dyDescent="0.35">
      <c r="A5613">
        <v>5612</v>
      </c>
      <c r="B5613" t="s">
        <v>20</v>
      </c>
      <c r="C5613">
        <v>56</v>
      </c>
      <c r="D5613" t="s">
        <v>26</v>
      </c>
      <c r="E5613" t="s">
        <v>22</v>
      </c>
      <c r="F5613">
        <v>265</v>
      </c>
      <c r="G5613">
        <v>97</v>
      </c>
      <c r="H5613">
        <v>0.28000000000000003</v>
      </c>
      <c r="I5613" t="s">
        <v>19</v>
      </c>
      <c r="J5613">
        <v>0</v>
      </c>
      <c r="K5613">
        <v>1</v>
      </c>
      <c r="L5613">
        <v>0</v>
      </c>
      <c r="M5613">
        <f>VLOOKUP(Table1[[#This Row],[subscription_type]],Plans!$A$1:$B$5,2,FALSE)</f>
        <v>9.99</v>
      </c>
      <c r="N5613">
        <f t="shared" si="87"/>
        <v>0</v>
      </c>
    </row>
    <row r="5614" spans="1:14" x14ac:dyDescent="0.35">
      <c r="A5614">
        <v>5613</v>
      </c>
      <c r="B5614" t="s">
        <v>16</v>
      </c>
      <c r="C5614">
        <v>37</v>
      </c>
      <c r="D5614" t="s">
        <v>29</v>
      </c>
      <c r="E5614" t="s">
        <v>22</v>
      </c>
      <c r="F5614">
        <v>12</v>
      </c>
      <c r="G5614">
        <v>22</v>
      </c>
      <c r="H5614">
        <v>0.32</v>
      </c>
      <c r="I5614" t="s">
        <v>19</v>
      </c>
      <c r="J5614">
        <v>0</v>
      </c>
      <c r="K5614">
        <v>1</v>
      </c>
      <c r="L5614">
        <v>1</v>
      </c>
      <c r="M5614">
        <f>VLOOKUP(Table1[[#This Row],[subscription_type]],Plans!$A$1:$B$5,2,FALSE)</f>
        <v>9.99</v>
      </c>
      <c r="N5614">
        <f t="shared" si="87"/>
        <v>9.99</v>
      </c>
    </row>
    <row r="5615" spans="1:14" x14ac:dyDescent="0.35">
      <c r="A5615">
        <v>5614</v>
      </c>
      <c r="B5615" t="s">
        <v>12</v>
      </c>
      <c r="C5615">
        <v>25</v>
      </c>
      <c r="D5615" t="s">
        <v>25</v>
      </c>
      <c r="E5615" t="s">
        <v>18</v>
      </c>
      <c r="F5615">
        <v>165</v>
      </c>
      <c r="G5615">
        <v>22</v>
      </c>
      <c r="H5615">
        <v>0.16</v>
      </c>
      <c r="I5615" t="s">
        <v>23</v>
      </c>
      <c r="J5615">
        <v>0</v>
      </c>
      <c r="K5615">
        <v>1</v>
      </c>
      <c r="L5615">
        <v>0</v>
      </c>
      <c r="M5615">
        <f>VLOOKUP(Table1[[#This Row],[subscription_type]],Plans!$A$1:$B$5,2,FALSE)</f>
        <v>14.99</v>
      </c>
      <c r="N5615">
        <f t="shared" si="87"/>
        <v>0</v>
      </c>
    </row>
    <row r="5616" spans="1:14" x14ac:dyDescent="0.35">
      <c r="A5616">
        <v>5615</v>
      </c>
      <c r="B5616" t="s">
        <v>12</v>
      </c>
      <c r="C5616">
        <v>28</v>
      </c>
      <c r="D5616" t="s">
        <v>27</v>
      </c>
      <c r="E5616" t="s">
        <v>18</v>
      </c>
      <c r="F5616">
        <v>168</v>
      </c>
      <c r="G5616">
        <v>58</v>
      </c>
      <c r="H5616">
        <v>0.09</v>
      </c>
      <c r="I5616" t="s">
        <v>15</v>
      </c>
      <c r="J5616">
        <v>0</v>
      </c>
      <c r="K5616">
        <v>1</v>
      </c>
      <c r="L5616">
        <v>0</v>
      </c>
      <c r="M5616">
        <f>VLOOKUP(Table1[[#This Row],[subscription_type]],Plans!$A$1:$B$5,2,FALSE)</f>
        <v>14.99</v>
      </c>
      <c r="N5616">
        <f t="shared" si="87"/>
        <v>0</v>
      </c>
    </row>
    <row r="5617" spans="1:14" x14ac:dyDescent="0.35">
      <c r="A5617">
        <v>5616</v>
      </c>
      <c r="B5617" t="s">
        <v>12</v>
      </c>
      <c r="C5617">
        <v>30</v>
      </c>
      <c r="D5617" t="s">
        <v>25</v>
      </c>
      <c r="E5617" t="s">
        <v>18</v>
      </c>
      <c r="F5617">
        <v>185</v>
      </c>
      <c r="G5617">
        <v>18</v>
      </c>
      <c r="H5617">
        <v>0.22</v>
      </c>
      <c r="I5617" t="s">
        <v>19</v>
      </c>
      <c r="J5617">
        <v>0</v>
      </c>
      <c r="K5617">
        <v>1</v>
      </c>
      <c r="L5617">
        <v>0</v>
      </c>
      <c r="M5617">
        <f>VLOOKUP(Table1[[#This Row],[subscription_type]],Plans!$A$1:$B$5,2,FALSE)</f>
        <v>14.99</v>
      </c>
      <c r="N5617">
        <f t="shared" si="87"/>
        <v>0</v>
      </c>
    </row>
    <row r="5618" spans="1:14" x14ac:dyDescent="0.35">
      <c r="A5618">
        <v>5617</v>
      </c>
      <c r="B5618" t="s">
        <v>16</v>
      </c>
      <c r="C5618">
        <v>25</v>
      </c>
      <c r="D5618" t="s">
        <v>21</v>
      </c>
      <c r="E5618" t="s">
        <v>22</v>
      </c>
      <c r="F5618">
        <v>136</v>
      </c>
      <c r="G5618">
        <v>52</v>
      </c>
      <c r="H5618">
        <v>0.37</v>
      </c>
      <c r="I5618" t="s">
        <v>23</v>
      </c>
      <c r="J5618">
        <v>0</v>
      </c>
      <c r="K5618">
        <v>1</v>
      </c>
      <c r="L5618">
        <v>1</v>
      </c>
      <c r="M5618">
        <f>VLOOKUP(Table1[[#This Row],[subscription_type]],Plans!$A$1:$B$5,2,FALSE)</f>
        <v>9.99</v>
      </c>
      <c r="N5618">
        <f t="shared" si="87"/>
        <v>9.99</v>
      </c>
    </row>
    <row r="5619" spans="1:14" x14ac:dyDescent="0.35">
      <c r="A5619">
        <v>5618</v>
      </c>
      <c r="B5619" t="s">
        <v>12</v>
      </c>
      <c r="C5619">
        <v>57</v>
      </c>
      <c r="D5619" t="s">
        <v>21</v>
      </c>
      <c r="E5619" t="s">
        <v>18</v>
      </c>
      <c r="F5619">
        <v>299</v>
      </c>
      <c r="G5619">
        <v>68</v>
      </c>
      <c r="H5619">
        <v>0.06</v>
      </c>
      <c r="I5619" t="s">
        <v>15</v>
      </c>
      <c r="J5619">
        <v>0</v>
      </c>
      <c r="K5619">
        <v>1</v>
      </c>
      <c r="L5619">
        <v>0</v>
      </c>
      <c r="M5619">
        <f>VLOOKUP(Table1[[#This Row],[subscription_type]],Plans!$A$1:$B$5,2,FALSE)</f>
        <v>14.99</v>
      </c>
      <c r="N5619">
        <f t="shared" si="87"/>
        <v>0</v>
      </c>
    </row>
    <row r="5620" spans="1:14" x14ac:dyDescent="0.35">
      <c r="A5620">
        <v>5619</v>
      </c>
      <c r="B5620" t="s">
        <v>12</v>
      </c>
      <c r="C5620">
        <v>30</v>
      </c>
      <c r="D5620" t="s">
        <v>29</v>
      </c>
      <c r="E5620" t="s">
        <v>22</v>
      </c>
      <c r="F5620">
        <v>59</v>
      </c>
      <c r="G5620">
        <v>47</v>
      </c>
      <c r="H5620">
        <v>0.22</v>
      </c>
      <c r="I5620" t="s">
        <v>23</v>
      </c>
      <c r="J5620">
        <v>0</v>
      </c>
      <c r="K5620">
        <v>1</v>
      </c>
      <c r="L5620">
        <v>1</v>
      </c>
      <c r="M5620">
        <f>VLOOKUP(Table1[[#This Row],[subscription_type]],Plans!$A$1:$B$5,2,FALSE)</f>
        <v>9.99</v>
      </c>
      <c r="N5620">
        <f t="shared" si="87"/>
        <v>9.99</v>
      </c>
    </row>
    <row r="5621" spans="1:14" x14ac:dyDescent="0.35">
      <c r="A5621">
        <v>5620</v>
      </c>
      <c r="B5621" t="s">
        <v>20</v>
      </c>
      <c r="C5621">
        <v>52</v>
      </c>
      <c r="D5621" t="s">
        <v>13</v>
      </c>
      <c r="E5621" t="s">
        <v>18</v>
      </c>
      <c r="F5621">
        <v>220</v>
      </c>
      <c r="G5621">
        <v>66</v>
      </c>
      <c r="H5621">
        <v>0.06</v>
      </c>
      <c r="I5621" t="s">
        <v>23</v>
      </c>
      <c r="J5621">
        <v>0</v>
      </c>
      <c r="K5621">
        <v>1</v>
      </c>
      <c r="L5621">
        <v>1</v>
      </c>
      <c r="M5621">
        <f>VLOOKUP(Table1[[#This Row],[subscription_type]],Plans!$A$1:$B$5,2,FALSE)</f>
        <v>14.99</v>
      </c>
      <c r="N5621">
        <f t="shared" si="87"/>
        <v>14.99</v>
      </c>
    </row>
    <row r="5622" spans="1:14" x14ac:dyDescent="0.35">
      <c r="A5622">
        <v>5621</v>
      </c>
      <c r="B5622" t="s">
        <v>16</v>
      </c>
      <c r="C5622">
        <v>52</v>
      </c>
      <c r="D5622" t="s">
        <v>13</v>
      </c>
      <c r="E5622" t="s">
        <v>24</v>
      </c>
      <c r="F5622">
        <v>207</v>
      </c>
      <c r="G5622">
        <v>80</v>
      </c>
      <c r="H5622">
        <v>0.11</v>
      </c>
      <c r="I5622" t="s">
        <v>23</v>
      </c>
      <c r="J5622">
        <v>0</v>
      </c>
      <c r="K5622">
        <v>1</v>
      </c>
      <c r="L5622">
        <v>0</v>
      </c>
      <c r="M5622">
        <f>VLOOKUP(Table1[[#This Row],[subscription_type]],Plans!$A$1:$B$5,2,FALSE)</f>
        <v>4.99</v>
      </c>
      <c r="N5622">
        <f t="shared" si="87"/>
        <v>0</v>
      </c>
    </row>
    <row r="5623" spans="1:14" x14ac:dyDescent="0.35">
      <c r="A5623">
        <v>5622</v>
      </c>
      <c r="B5623" t="s">
        <v>12</v>
      </c>
      <c r="C5623">
        <v>38</v>
      </c>
      <c r="D5623" t="s">
        <v>27</v>
      </c>
      <c r="E5623" t="s">
        <v>24</v>
      </c>
      <c r="F5623">
        <v>80</v>
      </c>
      <c r="G5623">
        <v>15</v>
      </c>
      <c r="H5623">
        <v>0.47</v>
      </c>
      <c r="I5623" t="s">
        <v>23</v>
      </c>
      <c r="J5623">
        <v>0</v>
      </c>
      <c r="K5623">
        <v>1</v>
      </c>
      <c r="L5623">
        <v>0</v>
      </c>
      <c r="M5623">
        <f>VLOOKUP(Table1[[#This Row],[subscription_type]],Plans!$A$1:$B$5,2,FALSE)</f>
        <v>4.99</v>
      </c>
      <c r="N5623">
        <f t="shared" si="87"/>
        <v>0</v>
      </c>
    </row>
    <row r="5624" spans="1:14" x14ac:dyDescent="0.35">
      <c r="A5624">
        <v>5623</v>
      </c>
      <c r="B5624" t="s">
        <v>20</v>
      </c>
      <c r="C5624">
        <v>28</v>
      </c>
      <c r="D5624" t="s">
        <v>17</v>
      </c>
      <c r="E5624" t="s">
        <v>18</v>
      </c>
      <c r="F5624">
        <v>262</v>
      </c>
      <c r="G5624">
        <v>25</v>
      </c>
      <c r="H5624">
        <v>0.56000000000000005</v>
      </c>
      <c r="I5624" t="s">
        <v>23</v>
      </c>
      <c r="J5624">
        <v>0</v>
      </c>
      <c r="K5624">
        <v>1</v>
      </c>
      <c r="L5624">
        <v>0</v>
      </c>
      <c r="M5624">
        <f>VLOOKUP(Table1[[#This Row],[subscription_type]],Plans!$A$1:$B$5,2,FALSE)</f>
        <v>14.99</v>
      </c>
      <c r="N5624">
        <f t="shared" si="87"/>
        <v>0</v>
      </c>
    </row>
    <row r="5625" spans="1:14" x14ac:dyDescent="0.35">
      <c r="A5625">
        <v>5624</v>
      </c>
      <c r="B5625" t="s">
        <v>12</v>
      </c>
      <c r="C5625">
        <v>28</v>
      </c>
      <c r="D5625" t="s">
        <v>13</v>
      </c>
      <c r="E5625" t="s">
        <v>24</v>
      </c>
      <c r="F5625">
        <v>299</v>
      </c>
      <c r="G5625">
        <v>93</v>
      </c>
      <c r="H5625">
        <v>0.28999999999999998</v>
      </c>
      <c r="I5625" t="s">
        <v>15</v>
      </c>
      <c r="J5625">
        <v>0</v>
      </c>
      <c r="K5625">
        <v>1</v>
      </c>
      <c r="L5625">
        <v>0</v>
      </c>
      <c r="M5625">
        <f>VLOOKUP(Table1[[#This Row],[subscription_type]],Plans!$A$1:$B$5,2,FALSE)</f>
        <v>4.99</v>
      </c>
      <c r="N5625">
        <f t="shared" si="87"/>
        <v>0</v>
      </c>
    </row>
    <row r="5626" spans="1:14" x14ac:dyDescent="0.35">
      <c r="A5626">
        <v>5625</v>
      </c>
      <c r="B5626" t="s">
        <v>20</v>
      </c>
      <c r="C5626">
        <v>56</v>
      </c>
      <c r="D5626" t="s">
        <v>28</v>
      </c>
      <c r="E5626" t="s">
        <v>14</v>
      </c>
      <c r="F5626">
        <v>261</v>
      </c>
      <c r="G5626">
        <v>83</v>
      </c>
      <c r="H5626">
        <v>0.14000000000000001</v>
      </c>
      <c r="I5626" t="s">
        <v>19</v>
      </c>
      <c r="J5626">
        <v>23</v>
      </c>
      <c r="K5626">
        <v>0</v>
      </c>
      <c r="L5626">
        <v>1</v>
      </c>
      <c r="M5626">
        <f>VLOOKUP(Table1[[#This Row],[subscription_type]],Plans!$A$1:$B$5,2,FALSE)</f>
        <v>0</v>
      </c>
      <c r="N5626">
        <f t="shared" si="87"/>
        <v>0</v>
      </c>
    </row>
    <row r="5627" spans="1:14" x14ac:dyDescent="0.35">
      <c r="A5627">
        <v>5626</v>
      </c>
      <c r="B5627" t="s">
        <v>20</v>
      </c>
      <c r="C5627">
        <v>41</v>
      </c>
      <c r="D5627" t="s">
        <v>29</v>
      </c>
      <c r="E5627" t="s">
        <v>18</v>
      </c>
      <c r="F5627">
        <v>178</v>
      </c>
      <c r="G5627">
        <v>75</v>
      </c>
      <c r="H5627">
        <v>0.22</v>
      </c>
      <c r="I5627" t="s">
        <v>15</v>
      </c>
      <c r="J5627">
        <v>0</v>
      </c>
      <c r="K5627">
        <v>1</v>
      </c>
      <c r="L5627">
        <v>0</v>
      </c>
      <c r="M5627">
        <f>VLOOKUP(Table1[[#This Row],[subscription_type]],Plans!$A$1:$B$5,2,FALSE)</f>
        <v>14.99</v>
      </c>
      <c r="N5627">
        <f t="shared" si="87"/>
        <v>0</v>
      </c>
    </row>
    <row r="5628" spans="1:14" x14ac:dyDescent="0.35">
      <c r="A5628">
        <v>5627</v>
      </c>
      <c r="B5628" t="s">
        <v>16</v>
      </c>
      <c r="C5628">
        <v>36</v>
      </c>
      <c r="D5628" t="s">
        <v>29</v>
      </c>
      <c r="E5628" t="s">
        <v>24</v>
      </c>
      <c r="F5628">
        <v>244</v>
      </c>
      <c r="G5628">
        <v>22</v>
      </c>
      <c r="H5628">
        <v>0.56000000000000005</v>
      </c>
      <c r="I5628" t="s">
        <v>23</v>
      </c>
      <c r="J5628">
        <v>0</v>
      </c>
      <c r="K5628">
        <v>1</v>
      </c>
      <c r="L5628">
        <v>0</v>
      </c>
      <c r="M5628">
        <f>VLOOKUP(Table1[[#This Row],[subscription_type]],Plans!$A$1:$B$5,2,FALSE)</f>
        <v>4.99</v>
      </c>
      <c r="N5628">
        <f t="shared" si="87"/>
        <v>0</v>
      </c>
    </row>
    <row r="5629" spans="1:14" x14ac:dyDescent="0.35">
      <c r="A5629">
        <v>5628</v>
      </c>
      <c r="B5629" t="s">
        <v>12</v>
      </c>
      <c r="C5629">
        <v>17</v>
      </c>
      <c r="D5629" t="s">
        <v>29</v>
      </c>
      <c r="E5629" t="s">
        <v>22</v>
      </c>
      <c r="F5629">
        <v>227</v>
      </c>
      <c r="G5629">
        <v>34</v>
      </c>
      <c r="H5629">
        <v>0.56999999999999995</v>
      </c>
      <c r="I5629" t="s">
        <v>19</v>
      </c>
      <c r="J5629">
        <v>0</v>
      </c>
      <c r="K5629">
        <v>1</v>
      </c>
      <c r="L5629">
        <v>0</v>
      </c>
      <c r="M5629">
        <f>VLOOKUP(Table1[[#This Row],[subscription_type]],Plans!$A$1:$B$5,2,FALSE)</f>
        <v>9.99</v>
      </c>
      <c r="N5629">
        <f t="shared" si="87"/>
        <v>0</v>
      </c>
    </row>
    <row r="5630" spans="1:14" x14ac:dyDescent="0.35">
      <c r="A5630">
        <v>5629</v>
      </c>
      <c r="B5630" t="s">
        <v>16</v>
      </c>
      <c r="C5630">
        <v>39</v>
      </c>
      <c r="D5630" t="s">
        <v>27</v>
      </c>
      <c r="E5630" t="s">
        <v>24</v>
      </c>
      <c r="F5630">
        <v>134</v>
      </c>
      <c r="G5630">
        <v>37</v>
      </c>
      <c r="H5630">
        <v>0.13</v>
      </c>
      <c r="I5630" t="s">
        <v>19</v>
      </c>
      <c r="J5630">
        <v>0</v>
      </c>
      <c r="K5630">
        <v>1</v>
      </c>
      <c r="L5630">
        <v>1</v>
      </c>
      <c r="M5630">
        <f>VLOOKUP(Table1[[#This Row],[subscription_type]],Plans!$A$1:$B$5,2,FALSE)</f>
        <v>4.99</v>
      </c>
      <c r="N5630">
        <f t="shared" si="87"/>
        <v>4.99</v>
      </c>
    </row>
    <row r="5631" spans="1:14" x14ac:dyDescent="0.35">
      <c r="A5631">
        <v>5630</v>
      </c>
      <c r="B5631" t="s">
        <v>16</v>
      </c>
      <c r="C5631">
        <v>50</v>
      </c>
      <c r="D5631" t="s">
        <v>27</v>
      </c>
      <c r="E5631" t="s">
        <v>18</v>
      </c>
      <c r="F5631">
        <v>251</v>
      </c>
      <c r="G5631">
        <v>1</v>
      </c>
      <c r="H5631">
        <v>0.03</v>
      </c>
      <c r="I5631" t="s">
        <v>15</v>
      </c>
      <c r="J5631">
        <v>0</v>
      </c>
      <c r="K5631">
        <v>1</v>
      </c>
      <c r="L5631">
        <v>1</v>
      </c>
      <c r="M5631">
        <f>VLOOKUP(Table1[[#This Row],[subscription_type]],Plans!$A$1:$B$5,2,FALSE)</f>
        <v>14.99</v>
      </c>
      <c r="N5631">
        <f t="shared" si="87"/>
        <v>14.99</v>
      </c>
    </row>
    <row r="5632" spans="1:14" x14ac:dyDescent="0.35">
      <c r="A5632">
        <v>5631</v>
      </c>
      <c r="B5632" t="s">
        <v>16</v>
      </c>
      <c r="C5632">
        <v>38</v>
      </c>
      <c r="D5632" t="s">
        <v>28</v>
      </c>
      <c r="E5632" t="s">
        <v>24</v>
      </c>
      <c r="F5632">
        <v>262</v>
      </c>
      <c r="G5632">
        <v>35</v>
      </c>
      <c r="H5632">
        <v>0.2</v>
      </c>
      <c r="I5632" t="s">
        <v>19</v>
      </c>
      <c r="J5632">
        <v>0</v>
      </c>
      <c r="K5632">
        <v>1</v>
      </c>
      <c r="L5632">
        <v>0</v>
      </c>
      <c r="M5632">
        <f>VLOOKUP(Table1[[#This Row],[subscription_type]],Plans!$A$1:$B$5,2,FALSE)</f>
        <v>4.99</v>
      </c>
      <c r="N5632">
        <f t="shared" si="87"/>
        <v>0</v>
      </c>
    </row>
    <row r="5633" spans="1:14" x14ac:dyDescent="0.35">
      <c r="A5633">
        <v>5632</v>
      </c>
      <c r="B5633" t="s">
        <v>20</v>
      </c>
      <c r="C5633">
        <v>50</v>
      </c>
      <c r="D5633" t="s">
        <v>29</v>
      </c>
      <c r="E5633" t="s">
        <v>24</v>
      </c>
      <c r="F5633">
        <v>271</v>
      </c>
      <c r="G5633">
        <v>19</v>
      </c>
      <c r="H5633">
        <v>0.19</v>
      </c>
      <c r="I5633" t="s">
        <v>19</v>
      </c>
      <c r="J5633">
        <v>0</v>
      </c>
      <c r="K5633">
        <v>1</v>
      </c>
      <c r="L5633">
        <v>0</v>
      </c>
      <c r="M5633">
        <f>VLOOKUP(Table1[[#This Row],[subscription_type]],Plans!$A$1:$B$5,2,FALSE)</f>
        <v>4.99</v>
      </c>
      <c r="N5633">
        <f t="shared" si="87"/>
        <v>0</v>
      </c>
    </row>
    <row r="5634" spans="1:14" x14ac:dyDescent="0.35">
      <c r="A5634">
        <v>5633</v>
      </c>
      <c r="B5634" t="s">
        <v>20</v>
      </c>
      <c r="C5634">
        <v>33</v>
      </c>
      <c r="D5634" t="s">
        <v>25</v>
      </c>
      <c r="E5634" t="s">
        <v>24</v>
      </c>
      <c r="F5634">
        <v>245</v>
      </c>
      <c r="G5634">
        <v>22</v>
      </c>
      <c r="H5634">
        <v>0.24</v>
      </c>
      <c r="I5634" t="s">
        <v>23</v>
      </c>
      <c r="J5634">
        <v>0</v>
      </c>
      <c r="K5634">
        <v>1</v>
      </c>
      <c r="L5634">
        <v>0</v>
      </c>
      <c r="M5634">
        <f>VLOOKUP(Table1[[#This Row],[subscription_type]],Plans!$A$1:$B$5,2,FALSE)</f>
        <v>4.99</v>
      </c>
      <c r="N5634">
        <f t="shared" ref="N5634:N5697" si="88">IF(L5634=1, M5634,0)</f>
        <v>0</v>
      </c>
    </row>
    <row r="5635" spans="1:14" x14ac:dyDescent="0.35">
      <c r="A5635">
        <v>5634</v>
      </c>
      <c r="B5635" t="s">
        <v>16</v>
      </c>
      <c r="C5635">
        <v>35</v>
      </c>
      <c r="D5635" t="s">
        <v>27</v>
      </c>
      <c r="E5635" t="s">
        <v>22</v>
      </c>
      <c r="F5635">
        <v>32</v>
      </c>
      <c r="G5635">
        <v>35</v>
      </c>
      <c r="H5635">
        <v>0.54</v>
      </c>
      <c r="I5635" t="s">
        <v>23</v>
      </c>
      <c r="J5635">
        <v>0</v>
      </c>
      <c r="K5635">
        <v>1</v>
      </c>
      <c r="L5635">
        <v>0</v>
      </c>
      <c r="M5635">
        <f>VLOOKUP(Table1[[#This Row],[subscription_type]],Plans!$A$1:$B$5,2,FALSE)</f>
        <v>9.99</v>
      </c>
      <c r="N5635">
        <f t="shared" si="88"/>
        <v>0</v>
      </c>
    </row>
    <row r="5636" spans="1:14" x14ac:dyDescent="0.35">
      <c r="A5636">
        <v>5635</v>
      </c>
      <c r="B5636" t="s">
        <v>16</v>
      </c>
      <c r="C5636">
        <v>55</v>
      </c>
      <c r="D5636" t="s">
        <v>17</v>
      </c>
      <c r="E5636" t="s">
        <v>22</v>
      </c>
      <c r="F5636">
        <v>75</v>
      </c>
      <c r="G5636">
        <v>32</v>
      </c>
      <c r="H5636">
        <v>0.1</v>
      </c>
      <c r="I5636" t="s">
        <v>19</v>
      </c>
      <c r="J5636">
        <v>0</v>
      </c>
      <c r="K5636">
        <v>1</v>
      </c>
      <c r="L5636">
        <v>1</v>
      </c>
      <c r="M5636">
        <f>VLOOKUP(Table1[[#This Row],[subscription_type]],Plans!$A$1:$B$5,2,FALSE)</f>
        <v>9.99</v>
      </c>
      <c r="N5636">
        <f t="shared" si="88"/>
        <v>9.99</v>
      </c>
    </row>
    <row r="5637" spans="1:14" x14ac:dyDescent="0.35">
      <c r="A5637">
        <v>5636</v>
      </c>
      <c r="B5637" t="s">
        <v>20</v>
      </c>
      <c r="C5637">
        <v>41</v>
      </c>
      <c r="D5637" t="s">
        <v>21</v>
      </c>
      <c r="E5637" t="s">
        <v>22</v>
      </c>
      <c r="F5637">
        <v>49</v>
      </c>
      <c r="G5637">
        <v>92</v>
      </c>
      <c r="H5637">
        <v>0.51</v>
      </c>
      <c r="I5637" t="s">
        <v>15</v>
      </c>
      <c r="J5637">
        <v>0</v>
      </c>
      <c r="K5637">
        <v>1</v>
      </c>
      <c r="L5637">
        <v>0</v>
      </c>
      <c r="M5637">
        <f>VLOOKUP(Table1[[#This Row],[subscription_type]],Plans!$A$1:$B$5,2,FALSE)</f>
        <v>9.99</v>
      </c>
      <c r="N5637">
        <f t="shared" si="88"/>
        <v>0</v>
      </c>
    </row>
    <row r="5638" spans="1:14" x14ac:dyDescent="0.35">
      <c r="A5638">
        <v>5637</v>
      </c>
      <c r="B5638" t="s">
        <v>20</v>
      </c>
      <c r="C5638">
        <v>16</v>
      </c>
      <c r="D5638" t="s">
        <v>21</v>
      </c>
      <c r="E5638" t="s">
        <v>18</v>
      </c>
      <c r="F5638">
        <v>143</v>
      </c>
      <c r="G5638">
        <v>37</v>
      </c>
      <c r="H5638">
        <v>0.11</v>
      </c>
      <c r="I5638" t="s">
        <v>19</v>
      </c>
      <c r="J5638">
        <v>0</v>
      </c>
      <c r="K5638">
        <v>1</v>
      </c>
      <c r="L5638">
        <v>1</v>
      </c>
      <c r="M5638">
        <f>VLOOKUP(Table1[[#This Row],[subscription_type]],Plans!$A$1:$B$5,2,FALSE)</f>
        <v>14.99</v>
      </c>
      <c r="N5638">
        <f t="shared" si="88"/>
        <v>14.99</v>
      </c>
    </row>
    <row r="5639" spans="1:14" x14ac:dyDescent="0.35">
      <c r="A5639">
        <v>5638</v>
      </c>
      <c r="B5639" t="s">
        <v>16</v>
      </c>
      <c r="C5639">
        <v>29</v>
      </c>
      <c r="D5639" t="s">
        <v>26</v>
      </c>
      <c r="E5639" t="s">
        <v>24</v>
      </c>
      <c r="F5639">
        <v>28</v>
      </c>
      <c r="G5639">
        <v>74</v>
      </c>
      <c r="H5639">
        <v>0.22</v>
      </c>
      <c r="I5639" t="s">
        <v>23</v>
      </c>
      <c r="J5639">
        <v>0</v>
      </c>
      <c r="K5639">
        <v>1</v>
      </c>
      <c r="L5639">
        <v>0</v>
      </c>
      <c r="M5639">
        <f>VLOOKUP(Table1[[#This Row],[subscription_type]],Plans!$A$1:$B$5,2,FALSE)</f>
        <v>4.99</v>
      </c>
      <c r="N5639">
        <f t="shared" si="88"/>
        <v>0</v>
      </c>
    </row>
    <row r="5640" spans="1:14" x14ac:dyDescent="0.35">
      <c r="A5640">
        <v>5639</v>
      </c>
      <c r="B5640" t="s">
        <v>12</v>
      </c>
      <c r="C5640">
        <v>47</v>
      </c>
      <c r="D5640" t="s">
        <v>21</v>
      </c>
      <c r="E5640" t="s">
        <v>18</v>
      </c>
      <c r="F5640">
        <v>18</v>
      </c>
      <c r="G5640">
        <v>14</v>
      </c>
      <c r="H5640">
        <v>0.02</v>
      </c>
      <c r="I5640" t="s">
        <v>19</v>
      </c>
      <c r="J5640">
        <v>0</v>
      </c>
      <c r="K5640">
        <v>1</v>
      </c>
      <c r="L5640">
        <v>0</v>
      </c>
      <c r="M5640">
        <f>VLOOKUP(Table1[[#This Row],[subscription_type]],Plans!$A$1:$B$5,2,FALSE)</f>
        <v>14.99</v>
      </c>
      <c r="N5640">
        <f t="shared" si="88"/>
        <v>0</v>
      </c>
    </row>
    <row r="5641" spans="1:14" x14ac:dyDescent="0.35">
      <c r="A5641">
        <v>5640</v>
      </c>
      <c r="B5641" t="s">
        <v>16</v>
      </c>
      <c r="C5641">
        <v>16</v>
      </c>
      <c r="D5641" t="s">
        <v>25</v>
      </c>
      <c r="E5641" t="s">
        <v>22</v>
      </c>
      <c r="F5641">
        <v>212</v>
      </c>
      <c r="G5641">
        <v>44</v>
      </c>
      <c r="H5641">
        <v>0.33</v>
      </c>
      <c r="I5641" t="s">
        <v>23</v>
      </c>
      <c r="J5641">
        <v>0</v>
      </c>
      <c r="K5641">
        <v>1</v>
      </c>
      <c r="L5641">
        <v>0</v>
      </c>
      <c r="M5641">
        <f>VLOOKUP(Table1[[#This Row],[subscription_type]],Plans!$A$1:$B$5,2,FALSE)</f>
        <v>9.99</v>
      </c>
      <c r="N5641">
        <f t="shared" si="88"/>
        <v>0</v>
      </c>
    </row>
    <row r="5642" spans="1:14" x14ac:dyDescent="0.35">
      <c r="A5642">
        <v>5641</v>
      </c>
      <c r="B5642" t="s">
        <v>16</v>
      </c>
      <c r="C5642">
        <v>54</v>
      </c>
      <c r="D5642" t="s">
        <v>13</v>
      </c>
      <c r="E5642" t="s">
        <v>22</v>
      </c>
      <c r="F5642">
        <v>180</v>
      </c>
      <c r="G5642">
        <v>16</v>
      </c>
      <c r="H5642">
        <v>0.22</v>
      </c>
      <c r="I5642" t="s">
        <v>19</v>
      </c>
      <c r="J5642">
        <v>0</v>
      </c>
      <c r="K5642">
        <v>1</v>
      </c>
      <c r="L5642">
        <v>1</v>
      </c>
      <c r="M5642">
        <f>VLOOKUP(Table1[[#This Row],[subscription_type]],Plans!$A$1:$B$5,2,FALSE)</f>
        <v>9.99</v>
      </c>
      <c r="N5642">
        <f t="shared" si="88"/>
        <v>9.99</v>
      </c>
    </row>
    <row r="5643" spans="1:14" x14ac:dyDescent="0.35">
      <c r="A5643">
        <v>5642</v>
      </c>
      <c r="B5643" t="s">
        <v>12</v>
      </c>
      <c r="C5643">
        <v>17</v>
      </c>
      <c r="D5643" t="s">
        <v>21</v>
      </c>
      <c r="E5643" t="s">
        <v>22</v>
      </c>
      <c r="F5643">
        <v>228</v>
      </c>
      <c r="G5643">
        <v>5</v>
      </c>
      <c r="H5643">
        <v>7.0000000000000007E-2</v>
      </c>
      <c r="I5643" t="s">
        <v>15</v>
      </c>
      <c r="J5643">
        <v>0</v>
      </c>
      <c r="K5643">
        <v>1</v>
      </c>
      <c r="L5643">
        <v>0</v>
      </c>
      <c r="M5643">
        <f>VLOOKUP(Table1[[#This Row],[subscription_type]],Plans!$A$1:$B$5,2,FALSE)</f>
        <v>9.99</v>
      </c>
      <c r="N5643">
        <f t="shared" si="88"/>
        <v>0</v>
      </c>
    </row>
    <row r="5644" spans="1:14" x14ac:dyDescent="0.35">
      <c r="A5644">
        <v>5643</v>
      </c>
      <c r="B5644" t="s">
        <v>16</v>
      </c>
      <c r="C5644">
        <v>42</v>
      </c>
      <c r="D5644" t="s">
        <v>29</v>
      </c>
      <c r="E5644" t="s">
        <v>14</v>
      </c>
      <c r="F5644">
        <v>150</v>
      </c>
      <c r="G5644">
        <v>59</v>
      </c>
      <c r="H5644">
        <v>0.53</v>
      </c>
      <c r="I5644" t="s">
        <v>23</v>
      </c>
      <c r="J5644">
        <v>34</v>
      </c>
      <c r="K5644">
        <v>0</v>
      </c>
      <c r="L5644">
        <v>0</v>
      </c>
      <c r="M5644">
        <f>VLOOKUP(Table1[[#This Row],[subscription_type]],Plans!$A$1:$B$5,2,FALSE)</f>
        <v>0</v>
      </c>
      <c r="N5644">
        <f t="shared" si="88"/>
        <v>0</v>
      </c>
    </row>
    <row r="5645" spans="1:14" x14ac:dyDescent="0.35">
      <c r="A5645">
        <v>5644</v>
      </c>
      <c r="B5645" t="s">
        <v>12</v>
      </c>
      <c r="C5645">
        <v>30</v>
      </c>
      <c r="D5645" t="s">
        <v>29</v>
      </c>
      <c r="E5645" t="s">
        <v>22</v>
      </c>
      <c r="F5645">
        <v>233</v>
      </c>
      <c r="G5645">
        <v>81</v>
      </c>
      <c r="H5645">
        <v>0.42</v>
      </c>
      <c r="I5645" t="s">
        <v>19</v>
      </c>
      <c r="J5645">
        <v>0</v>
      </c>
      <c r="K5645">
        <v>1</v>
      </c>
      <c r="L5645">
        <v>0</v>
      </c>
      <c r="M5645">
        <f>VLOOKUP(Table1[[#This Row],[subscription_type]],Plans!$A$1:$B$5,2,FALSE)</f>
        <v>9.99</v>
      </c>
      <c r="N5645">
        <f t="shared" si="88"/>
        <v>0</v>
      </c>
    </row>
    <row r="5646" spans="1:14" x14ac:dyDescent="0.35">
      <c r="A5646">
        <v>5645</v>
      </c>
      <c r="B5646" t="s">
        <v>20</v>
      </c>
      <c r="C5646">
        <v>53</v>
      </c>
      <c r="D5646" t="s">
        <v>25</v>
      </c>
      <c r="E5646" t="s">
        <v>18</v>
      </c>
      <c r="F5646">
        <v>250</v>
      </c>
      <c r="G5646">
        <v>18</v>
      </c>
      <c r="H5646">
        <v>0.2</v>
      </c>
      <c r="I5646" t="s">
        <v>15</v>
      </c>
      <c r="J5646">
        <v>0</v>
      </c>
      <c r="K5646">
        <v>1</v>
      </c>
      <c r="L5646">
        <v>0</v>
      </c>
      <c r="M5646">
        <f>VLOOKUP(Table1[[#This Row],[subscription_type]],Plans!$A$1:$B$5,2,FALSE)</f>
        <v>14.99</v>
      </c>
      <c r="N5646">
        <f t="shared" si="88"/>
        <v>0</v>
      </c>
    </row>
    <row r="5647" spans="1:14" x14ac:dyDescent="0.35">
      <c r="A5647">
        <v>5646</v>
      </c>
      <c r="B5647" t="s">
        <v>12</v>
      </c>
      <c r="C5647">
        <v>20</v>
      </c>
      <c r="D5647" t="s">
        <v>27</v>
      </c>
      <c r="E5647" t="s">
        <v>18</v>
      </c>
      <c r="F5647">
        <v>101</v>
      </c>
      <c r="G5647">
        <v>39</v>
      </c>
      <c r="H5647">
        <v>0.5</v>
      </c>
      <c r="I5647" t="s">
        <v>19</v>
      </c>
      <c r="J5647">
        <v>0</v>
      </c>
      <c r="K5647">
        <v>1</v>
      </c>
      <c r="L5647">
        <v>0</v>
      </c>
      <c r="M5647">
        <f>VLOOKUP(Table1[[#This Row],[subscription_type]],Plans!$A$1:$B$5,2,FALSE)</f>
        <v>14.99</v>
      </c>
      <c r="N5647">
        <f t="shared" si="88"/>
        <v>0</v>
      </c>
    </row>
    <row r="5648" spans="1:14" x14ac:dyDescent="0.35">
      <c r="A5648">
        <v>5647</v>
      </c>
      <c r="B5648" t="s">
        <v>12</v>
      </c>
      <c r="C5648">
        <v>58</v>
      </c>
      <c r="D5648" t="s">
        <v>13</v>
      </c>
      <c r="E5648" t="s">
        <v>22</v>
      </c>
      <c r="F5648">
        <v>226</v>
      </c>
      <c r="G5648">
        <v>64</v>
      </c>
      <c r="H5648">
        <v>0.41</v>
      </c>
      <c r="I5648" t="s">
        <v>19</v>
      </c>
      <c r="J5648">
        <v>0</v>
      </c>
      <c r="K5648">
        <v>1</v>
      </c>
      <c r="L5648">
        <v>0</v>
      </c>
      <c r="M5648">
        <f>VLOOKUP(Table1[[#This Row],[subscription_type]],Plans!$A$1:$B$5,2,FALSE)</f>
        <v>9.99</v>
      </c>
      <c r="N5648">
        <f t="shared" si="88"/>
        <v>0</v>
      </c>
    </row>
    <row r="5649" spans="1:14" x14ac:dyDescent="0.35">
      <c r="A5649">
        <v>5648</v>
      </c>
      <c r="B5649" t="s">
        <v>12</v>
      </c>
      <c r="C5649">
        <v>35</v>
      </c>
      <c r="D5649" t="s">
        <v>17</v>
      </c>
      <c r="E5649" t="s">
        <v>14</v>
      </c>
      <c r="F5649">
        <v>125</v>
      </c>
      <c r="G5649">
        <v>91</v>
      </c>
      <c r="H5649">
        <v>0.4</v>
      </c>
      <c r="I5649" t="s">
        <v>19</v>
      </c>
      <c r="J5649">
        <v>34</v>
      </c>
      <c r="K5649">
        <v>0</v>
      </c>
      <c r="L5649">
        <v>1</v>
      </c>
      <c r="M5649">
        <f>VLOOKUP(Table1[[#This Row],[subscription_type]],Plans!$A$1:$B$5,2,FALSE)</f>
        <v>0</v>
      </c>
      <c r="N5649">
        <f t="shared" si="88"/>
        <v>0</v>
      </c>
    </row>
    <row r="5650" spans="1:14" x14ac:dyDescent="0.35">
      <c r="A5650">
        <v>5649</v>
      </c>
      <c r="B5650" t="s">
        <v>12</v>
      </c>
      <c r="C5650">
        <v>53</v>
      </c>
      <c r="D5650" t="s">
        <v>13</v>
      </c>
      <c r="E5650" t="s">
        <v>24</v>
      </c>
      <c r="F5650">
        <v>273</v>
      </c>
      <c r="G5650">
        <v>96</v>
      </c>
      <c r="H5650">
        <v>0.39</v>
      </c>
      <c r="I5650" t="s">
        <v>15</v>
      </c>
      <c r="J5650">
        <v>0</v>
      </c>
      <c r="K5650">
        <v>1</v>
      </c>
      <c r="L5650">
        <v>0</v>
      </c>
      <c r="M5650">
        <f>VLOOKUP(Table1[[#This Row],[subscription_type]],Plans!$A$1:$B$5,2,FALSE)</f>
        <v>4.99</v>
      </c>
      <c r="N5650">
        <f t="shared" si="88"/>
        <v>0</v>
      </c>
    </row>
    <row r="5651" spans="1:14" x14ac:dyDescent="0.35">
      <c r="A5651">
        <v>5650</v>
      </c>
      <c r="B5651" t="s">
        <v>20</v>
      </c>
      <c r="C5651">
        <v>47</v>
      </c>
      <c r="D5651" t="s">
        <v>28</v>
      </c>
      <c r="E5651" t="s">
        <v>18</v>
      </c>
      <c r="F5651">
        <v>132</v>
      </c>
      <c r="G5651">
        <v>33</v>
      </c>
      <c r="H5651">
        <v>0.01</v>
      </c>
      <c r="I5651" t="s">
        <v>19</v>
      </c>
      <c r="J5651">
        <v>0</v>
      </c>
      <c r="K5651">
        <v>1</v>
      </c>
      <c r="L5651">
        <v>0</v>
      </c>
      <c r="M5651">
        <f>VLOOKUP(Table1[[#This Row],[subscription_type]],Plans!$A$1:$B$5,2,FALSE)</f>
        <v>14.99</v>
      </c>
      <c r="N5651">
        <f t="shared" si="88"/>
        <v>0</v>
      </c>
    </row>
    <row r="5652" spans="1:14" x14ac:dyDescent="0.35">
      <c r="A5652">
        <v>5651</v>
      </c>
      <c r="B5652" t="s">
        <v>20</v>
      </c>
      <c r="C5652">
        <v>24</v>
      </c>
      <c r="D5652" t="s">
        <v>17</v>
      </c>
      <c r="E5652" t="s">
        <v>18</v>
      </c>
      <c r="F5652">
        <v>250</v>
      </c>
      <c r="G5652">
        <v>15</v>
      </c>
      <c r="H5652">
        <v>0.48</v>
      </c>
      <c r="I5652" t="s">
        <v>15</v>
      </c>
      <c r="J5652">
        <v>0</v>
      </c>
      <c r="K5652">
        <v>1</v>
      </c>
      <c r="L5652">
        <v>0</v>
      </c>
      <c r="M5652">
        <f>VLOOKUP(Table1[[#This Row],[subscription_type]],Plans!$A$1:$B$5,2,FALSE)</f>
        <v>14.99</v>
      </c>
      <c r="N5652">
        <f t="shared" si="88"/>
        <v>0</v>
      </c>
    </row>
    <row r="5653" spans="1:14" x14ac:dyDescent="0.35">
      <c r="A5653">
        <v>5652</v>
      </c>
      <c r="B5653" t="s">
        <v>20</v>
      </c>
      <c r="C5653">
        <v>46</v>
      </c>
      <c r="D5653" t="s">
        <v>28</v>
      </c>
      <c r="E5653" t="s">
        <v>18</v>
      </c>
      <c r="F5653">
        <v>93</v>
      </c>
      <c r="G5653">
        <v>46</v>
      </c>
      <c r="H5653">
        <v>0.59</v>
      </c>
      <c r="I5653" t="s">
        <v>23</v>
      </c>
      <c r="J5653">
        <v>0</v>
      </c>
      <c r="K5653">
        <v>1</v>
      </c>
      <c r="L5653">
        <v>0</v>
      </c>
      <c r="M5653">
        <f>VLOOKUP(Table1[[#This Row],[subscription_type]],Plans!$A$1:$B$5,2,FALSE)</f>
        <v>14.99</v>
      </c>
      <c r="N5653">
        <f t="shared" si="88"/>
        <v>0</v>
      </c>
    </row>
    <row r="5654" spans="1:14" x14ac:dyDescent="0.35">
      <c r="A5654">
        <v>5653</v>
      </c>
      <c r="B5654" t="s">
        <v>20</v>
      </c>
      <c r="C5654">
        <v>40</v>
      </c>
      <c r="D5654" t="s">
        <v>25</v>
      </c>
      <c r="E5654" t="s">
        <v>18</v>
      </c>
      <c r="F5654">
        <v>163</v>
      </c>
      <c r="G5654">
        <v>65</v>
      </c>
      <c r="H5654">
        <v>0.49</v>
      </c>
      <c r="I5654" t="s">
        <v>23</v>
      </c>
      <c r="J5654">
        <v>0</v>
      </c>
      <c r="K5654">
        <v>1</v>
      </c>
      <c r="L5654">
        <v>1</v>
      </c>
      <c r="M5654">
        <f>VLOOKUP(Table1[[#This Row],[subscription_type]],Plans!$A$1:$B$5,2,FALSE)</f>
        <v>14.99</v>
      </c>
      <c r="N5654">
        <f t="shared" si="88"/>
        <v>14.99</v>
      </c>
    </row>
    <row r="5655" spans="1:14" x14ac:dyDescent="0.35">
      <c r="A5655">
        <v>5654</v>
      </c>
      <c r="B5655" t="s">
        <v>16</v>
      </c>
      <c r="C5655">
        <v>34</v>
      </c>
      <c r="D5655" t="s">
        <v>17</v>
      </c>
      <c r="E5655" t="s">
        <v>22</v>
      </c>
      <c r="F5655">
        <v>296</v>
      </c>
      <c r="G5655">
        <v>16</v>
      </c>
      <c r="H5655">
        <v>0.17</v>
      </c>
      <c r="I5655" t="s">
        <v>15</v>
      </c>
      <c r="J5655">
        <v>0</v>
      </c>
      <c r="K5655">
        <v>1</v>
      </c>
      <c r="L5655">
        <v>0</v>
      </c>
      <c r="M5655">
        <f>VLOOKUP(Table1[[#This Row],[subscription_type]],Plans!$A$1:$B$5,2,FALSE)</f>
        <v>9.99</v>
      </c>
      <c r="N5655">
        <f t="shared" si="88"/>
        <v>0</v>
      </c>
    </row>
    <row r="5656" spans="1:14" x14ac:dyDescent="0.35">
      <c r="A5656">
        <v>5655</v>
      </c>
      <c r="B5656" t="s">
        <v>20</v>
      </c>
      <c r="C5656">
        <v>34</v>
      </c>
      <c r="D5656" t="s">
        <v>21</v>
      </c>
      <c r="E5656" t="s">
        <v>24</v>
      </c>
      <c r="F5656">
        <v>273</v>
      </c>
      <c r="G5656">
        <v>81</v>
      </c>
      <c r="H5656">
        <v>0.35</v>
      </c>
      <c r="I5656" t="s">
        <v>15</v>
      </c>
      <c r="J5656">
        <v>0</v>
      </c>
      <c r="K5656">
        <v>1</v>
      </c>
      <c r="L5656">
        <v>0</v>
      </c>
      <c r="M5656">
        <f>VLOOKUP(Table1[[#This Row],[subscription_type]],Plans!$A$1:$B$5,2,FALSE)</f>
        <v>4.99</v>
      </c>
      <c r="N5656">
        <f t="shared" si="88"/>
        <v>0</v>
      </c>
    </row>
    <row r="5657" spans="1:14" x14ac:dyDescent="0.35">
      <c r="A5657">
        <v>5656</v>
      </c>
      <c r="B5657" t="s">
        <v>16</v>
      </c>
      <c r="C5657">
        <v>29</v>
      </c>
      <c r="D5657" t="s">
        <v>21</v>
      </c>
      <c r="E5657" t="s">
        <v>22</v>
      </c>
      <c r="F5657">
        <v>183</v>
      </c>
      <c r="G5657">
        <v>20</v>
      </c>
      <c r="H5657">
        <v>0.14000000000000001</v>
      </c>
      <c r="I5657" t="s">
        <v>23</v>
      </c>
      <c r="J5657">
        <v>0</v>
      </c>
      <c r="K5657">
        <v>1</v>
      </c>
      <c r="L5657">
        <v>1</v>
      </c>
      <c r="M5657">
        <f>VLOOKUP(Table1[[#This Row],[subscription_type]],Plans!$A$1:$B$5,2,FALSE)</f>
        <v>9.99</v>
      </c>
      <c r="N5657">
        <f t="shared" si="88"/>
        <v>9.99</v>
      </c>
    </row>
    <row r="5658" spans="1:14" x14ac:dyDescent="0.35">
      <c r="A5658">
        <v>5657</v>
      </c>
      <c r="B5658" t="s">
        <v>20</v>
      </c>
      <c r="C5658">
        <v>37</v>
      </c>
      <c r="D5658" t="s">
        <v>17</v>
      </c>
      <c r="E5658" t="s">
        <v>24</v>
      </c>
      <c r="F5658">
        <v>274</v>
      </c>
      <c r="G5658">
        <v>34</v>
      </c>
      <c r="H5658">
        <v>0.01</v>
      </c>
      <c r="I5658" t="s">
        <v>23</v>
      </c>
      <c r="J5658">
        <v>0</v>
      </c>
      <c r="K5658">
        <v>1</v>
      </c>
      <c r="L5658">
        <v>0</v>
      </c>
      <c r="M5658">
        <f>VLOOKUP(Table1[[#This Row],[subscription_type]],Plans!$A$1:$B$5,2,FALSE)</f>
        <v>4.99</v>
      </c>
      <c r="N5658">
        <f t="shared" si="88"/>
        <v>0</v>
      </c>
    </row>
    <row r="5659" spans="1:14" x14ac:dyDescent="0.35">
      <c r="A5659">
        <v>5658</v>
      </c>
      <c r="B5659" t="s">
        <v>12</v>
      </c>
      <c r="C5659">
        <v>40</v>
      </c>
      <c r="D5659" t="s">
        <v>29</v>
      </c>
      <c r="E5659" t="s">
        <v>14</v>
      </c>
      <c r="F5659">
        <v>298</v>
      </c>
      <c r="G5659">
        <v>19</v>
      </c>
      <c r="H5659">
        <v>0.06</v>
      </c>
      <c r="I5659" t="s">
        <v>23</v>
      </c>
      <c r="J5659">
        <v>11</v>
      </c>
      <c r="K5659">
        <v>0</v>
      </c>
      <c r="L5659">
        <v>1</v>
      </c>
      <c r="M5659">
        <f>VLOOKUP(Table1[[#This Row],[subscription_type]],Plans!$A$1:$B$5,2,FALSE)</f>
        <v>0</v>
      </c>
      <c r="N5659">
        <f t="shared" si="88"/>
        <v>0</v>
      </c>
    </row>
    <row r="5660" spans="1:14" x14ac:dyDescent="0.35">
      <c r="A5660">
        <v>5659</v>
      </c>
      <c r="B5660" t="s">
        <v>12</v>
      </c>
      <c r="C5660">
        <v>55</v>
      </c>
      <c r="D5660" t="s">
        <v>29</v>
      </c>
      <c r="E5660" t="s">
        <v>22</v>
      </c>
      <c r="F5660">
        <v>281</v>
      </c>
      <c r="G5660">
        <v>27</v>
      </c>
      <c r="H5660">
        <v>0.44</v>
      </c>
      <c r="I5660" t="s">
        <v>19</v>
      </c>
      <c r="J5660">
        <v>0</v>
      </c>
      <c r="K5660">
        <v>1</v>
      </c>
      <c r="L5660">
        <v>0</v>
      </c>
      <c r="M5660">
        <f>VLOOKUP(Table1[[#This Row],[subscription_type]],Plans!$A$1:$B$5,2,FALSE)</f>
        <v>9.99</v>
      </c>
      <c r="N5660">
        <f t="shared" si="88"/>
        <v>0</v>
      </c>
    </row>
    <row r="5661" spans="1:14" x14ac:dyDescent="0.35">
      <c r="A5661">
        <v>5660</v>
      </c>
      <c r="B5661" t="s">
        <v>16</v>
      </c>
      <c r="C5661">
        <v>42</v>
      </c>
      <c r="D5661" t="s">
        <v>17</v>
      </c>
      <c r="E5661" t="s">
        <v>14</v>
      </c>
      <c r="F5661">
        <v>283</v>
      </c>
      <c r="G5661">
        <v>63</v>
      </c>
      <c r="H5661">
        <v>0.51</v>
      </c>
      <c r="I5661" t="s">
        <v>19</v>
      </c>
      <c r="J5661">
        <v>35</v>
      </c>
      <c r="K5661">
        <v>0</v>
      </c>
      <c r="L5661">
        <v>0</v>
      </c>
      <c r="M5661">
        <f>VLOOKUP(Table1[[#This Row],[subscription_type]],Plans!$A$1:$B$5,2,FALSE)</f>
        <v>0</v>
      </c>
      <c r="N5661">
        <f t="shared" si="88"/>
        <v>0</v>
      </c>
    </row>
    <row r="5662" spans="1:14" x14ac:dyDescent="0.35">
      <c r="A5662">
        <v>5661</v>
      </c>
      <c r="B5662" t="s">
        <v>12</v>
      </c>
      <c r="C5662">
        <v>52</v>
      </c>
      <c r="D5662" t="s">
        <v>27</v>
      </c>
      <c r="E5662" t="s">
        <v>22</v>
      </c>
      <c r="F5662">
        <v>210</v>
      </c>
      <c r="G5662">
        <v>9</v>
      </c>
      <c r="H5662">
        <v>0.05</v>
      </c>
      <c r="I5662" t="s">
        <v>23</v>
      </c>
      <c r="J5662">
        <v>0</v>
      </c>
      <c r="K5662">
        <v>1</v>
      </c>
      <c r="L5662">
        <v>0</v>
      </c>
      <c r="M5662">
        <f>VLOOKUP(Table1[[#This Row],[subscription_type]],Plans!$A$1:$B$5,2,FALSE)</f>
        <v>9.99</v>
      </c>
      <c r="N5662">
        <f t="shared" si="88"/>
        <v>0</v>
      </c>
    </row>
    <row r="5663" spans="1:14" x14ac:dyDescent="0.35">
      <c r="A5663">
        <v>5662</v>
      </c>
      <c r="B5663" t="s">
        <v>12</v>
      </c>
      <c r="C5663">
        <v>45</v>
      </c>
      <c r="D5663" t="s">
        <v>29</v>
      </c>
      <c r="E5663" t="s">
        <v>22</v>
      </c>
      <c r="F5663">
        <v>233</v>
      </c>
      <c r="G5663">
        <v>44</v>
      </c>
      <c r="H5663">
        <v>0.46</v>
      </c>
      <c r="I5663" t="s">
        <v>19</v>
      </c>
      <c r="J5663">
        <v>0</v>
      </c>
      <c r="K5663">
        <v>1</v>
      </c>
      <c r="L5663">
        <v>0</v>
      </c>
      <c r="M5663">
        <f>VLOOKUP(Table1[[#This Row],[subscription_type]],Plans!$A$1:$B$5,2,FALSE)</f>
        <v>9.99</v>
      </c>
      <c r="N5663">
        <f t="shared" si="88"/>
        <v>0</v>
      </c>
    </row>
    <row r="5664" spans="1:14" x14ac:dyDescent="0.35">
      <c r="A5664">
        <v>5663</v>
      </c>
      <c r="B5664" t="s">
        <v>16</v>
      </c>
      <c r="C5664">
        <v>55</v>
      </c>
      <c r="D5664" t="s">
        <v>28</v>
      </c>
      <c r="E5664" t="s">
        <v>14</v>
      </c>
      <c r="F5664">
        <v>40</v>
      </c>
      <c r="G5664">
        <v>62</v>
      </c>
      <c r="H5664">
        <v>0.23</v>
      </c>
      <c r="I5664" t="s">
        <v>15</v>
      </c>
      <c r="J5664">
        <v>18</v>
      </c>
      <c r="K5664">
        <v>0</v>
      </c>
      <c r="L5664">
        <v>0</v>
      </c>
      <c r="M5664">
        <f>VLOOKUP(Table1[[#This Row],[subscription_type]],Plans!$A$1:$B$5,2,FALSE)</f>
        <v>0</v>
      </c>
      <c r="N5664">
        <f t="shared" si="88"/>
        <v>0</v>
      </c>
    </row>
    <row r="5665" spans="1:14" x14ac:dyDescent="0.35">
      <c r="A5665">
        <v>5664</v>
      </c>
      <c r="B5665" t="s">
        <v>12</v>
      </c>
      <c r="C5665">
        <v>18</v>
      </c>
      <c r="D5665" t="s">
        <v>17</v>
      </c>
      <c r="E5665" t="s">
        <v>22</v>
      </c>
      <c r="F5665">
        <v>118</v>
      </c>
      <c r="G5665">
        <v>65</v>
      </c>
      <c r="H5665">
        <v>0.36</v>
      </c>
      <c r="I5665" t="s">
        <v>19</v>
      </c>
      <c r="J5665">
        <v>0</v>
      </c>
      <c r="K5665">
        <v>1</v>
      </c>
      <c r="L5665">
        <v>0</v>
      </c>
      <c r="M5665">
        <f>VLOOKUP(Table1[[#This Row],[subscription_type]],Plans!$A$1:$B$5,2,FALSE)</f>
        <v>9.99</v>
      </c>
      <c r="N5665">
        <f t="shared" si="88"/>
        <v>0</v>
      </c>
    </row>
    <row r="5666" spans="1:14" x14ac:dyDescent="0.35">
      <c r="A5666">
        <v>5665</v>
      </c>
      <c r="B5666" t="s">
        <v>20</v>
      </c>
      <c r="C5666">
        <v>25</v>
      </c>
      <c r="D5666" t="s">
        <v>27</v>
      </c>
      <c r="E5666" t="s">
        <v>24</v>
      </c>
      <c r="F5666">
        <v>95</v>
      </c>
      <c r="G5666">
        <v>92</v>
      </c>
      <c r="H5666">
        <v>0.26</v>
      </c>
      <c r="I5666" t="s">
        <v>15</v>
      </c>
      <c r="J5666">
        <v>0</v>
      </c>
      <c r="K5666">
        <v>1</v>
      </c>
      <c r="L5666">
        <v>0</v>
      </c>
      <c r="M5666">
        <f>VLOOKUP(Table1[[#This Row],[subscription_type]],Plans!$A$1:$B$5,2,FALSE)</f>
        <v>4.99</v>
      </c>
      <c r="N5666">
        <f t="shared" si="88"/>
        <v>0</v>
      </c>
    </row>
    <row r="5667" spans="1:14" x14ac:dyDescent="0.35">
      <c r="A5667">
        <v>5666</v>
      </c>
      <c r="B5667" t="s">
        <v>16</v>
      </c>
      <c r="C5667">
        <v>21</v>
      </c>
      <c r="D5667" t="s">
        <v>17</v>
      </c>
      <c r="E5667" t="s">
        <v>14</v>
      </c>
      <c r="F5667">
        <v>227</v>
      </c>
      <c r="G5667">
        <v>80</v>
      </c>
      <c r="H5667">
        <v>0.03</v>
      </c>
      <c r="I5667" t="s">
        <v>19</v>
      </c>
      <c r="J5667">
        <v>38</v>
      </c>
      <c r="K5667">
        <v>0</v>
      </c>
      <c r="L5667">
        <v>0</v>
      </c>
      <c r="M5667">
        <f>VLOOKUP(Table1[[#This Row],[subscription_type]],Plans!$A$1:$B$5,2,FALSE)</f>
        <v>0</v>
      </c>
      <c r="N5667">
        <f t="shared" si="88"/>
        <v>0</v>
      </c>
    </row>
    <row r="5668" spans="1:14" x14ac:dyDescent="0.35">
      <c r="A5668">
        <v>5667</v>
      </c>
      <c r="B5668" t="s">
        <v>16</v>
      </c>
      <c r="C5668">
        <v>25</v>
      </c>
      <c r="D5668" t="s">
        <v>21</v>
      </c>
      <c r="E5668" t="s">
        <v>24</v>
      </c>
      <c r="F5668">
        <v>15</v>
      </c>
      <c r="G5668">
        <v>35</v>
      </c>
      <c r="H5668">
        <v>0.28000000000000003</v>
      </c>
      <c r="I5668" t="s">
        <v>23</v>
      </c>
      <c r="J5668">
        <v>0</v>
      </c>
      <c r="K5668">
        <v>1</v>
      </c>
      <c r="L5668">
        <v>0</v>
      </c>
      <c r="M5668">
        <f>VLOOKUP(Table1[[#This Row],[subscription_type]],Plans!$A$1:$B$5,2,FALSE)</f>
        <v>4.99</v>
      </c>
      <c r="N5668">
        <f t="shared" si="88"/>
        <v>0</v>
      </c>
    </row>
    <row r="5669" spans="1:14" x14ac:dyDescent="0.35">
      <c r="A5669">
        <v>5668</v>
      </c>
      <c r="B5669" t="s">
        <v>16</v>
      </c>
      <c r="C5669">
        <v>51</v>
      </c>
      <c r="D5669" t="s">
        <v>25</v>
      </c>
      <c r="E5669" t="s">
        <v>14</v>
      </c>
      <c r="F5669">
        <v>57</v>
      </c>
      <c r="G5669">
        <v>59</v>
      </c>
      <c r="H5669">
        <v>0.43</v>
      </c>
      <c r="I5669" t="s">
        <v>19</v>
      </c>
      <c r="J5669">
        <v>24</v>
      </c>
      <c r="K5669">
        <v>0</v>
      </c>
      <c r="L5669">
        <v>0</v>
      </c>
      <c r="M5669">
        <f>VLOOKUP(Table1[[#This Row],[subscription_type]],Plans!$A$1:$B$5,2,FALSE)</f>
        <v>0</v>
      </c>
      <c r="N5669">
        <f t="shared" si="88"/>
        <v>0</v>
      </c>
    </row>
    <row r="5670" spans="1:14" x14ac:dyDescent="0.35">
      <c r="A5670">
        <v>5669</v>
      </c>
      <c r="B5670" t="s">
        <v>20</v>
      </c>
      <c r="C5670">
        <v>46</v>
      </c>
      <c r="D5670" t="s">
        <v>27</v>
      </c>
      <c r="E5670" t="s">
        <v>14</v>
      </c>
      <c r="F5670">
        <v>169</v>
      </c>
      <c r="G5670">
        <v>57</v>
      </c>
      <c r="H5670">
        <v>0.46</v>
      </c>
      <c r="I5670" t="s">
        <v>15</v>
      </c>
      <c r="J5670">
        <v>40</v>
      </c>
      <c r="K5670">
        <v>0</v>
      </c>
      <c r="L5670">
        <v>1</v>
      </c>
      <c r="M5670">
        <f>VLOOKUP(Table1[[#This Row],[subscription_type]],Plans!$A$1:$B$5,2,FALSE)</f>
        <v>0</v>
      </c>
      <c r="N5670">
        <f t="shared" si="88"/>
        <v>0</v>
      </c>
    </row>
    <row r="5671" spans="1:14" x14ac:dyDescent="0.35">
      <c r="A5671">
        <v>5670</v>
      </c>
      <c r="B5671" t="s">
        <v>20</v>
      </c>
      <c r="C5671">
        <v>49</v>
      </c>
      <c r="D5671" t="s">
        <v>25</v>
      </c>
      <c r="E5671" t="s">
        <v>22</v>
      </c>
      <c r="F5671">
        <v>26</v>
      </c>
      <c r="G5671">
        <v>87</v>
      </c>
      <c r="H5671">
        <v>0.44</v>
      </c>
      <c r="I5671" t="s">
        <v>23</v>
      </c>
      <c r="J5671">
        <v>0</v>
      </c>
      <c r="K5671">
        <v>1</v>
      </c>
      <c r="L5671">
        <v>0</v>
      </c>
      <c r="M5671">
        <f>VLOOKUP(Table1[[#This Row],[subscription_type]],Plans!$A$1:$B$5,2,FALSE)</f>
        <v>9.99</v>
      </c>
      <c r="N5671">
        <f t="shared" si="88"/>
        <v>0</v>
      </c>
    </row>
    <row r="5672" spans="1:14" x14ac:dyDescent="0.35">
      <c r="A5672">
        <v>5671</v>
      </c>
      <c r="B5672" t="s">
        <v>16</v>
      </c>
      <c r="C5672">
        <v>59</v>
      </c>
      <c r="D5672" t="s">
        <v>27</v>
      </c>
      <c r="E5672" t="s">
        <v>22</v>
      </c>
      <c r="F5672">
        <v>269</v>
      </c>
      <c r="G5672">
        <v>97</v>
      </c>
      <c r="H5672">
        <v>0.34</v>
      </c>
      <c r="I5672" t="s">
        <v>15</v>
      </c>
      <c r="J5672">
        <v>0</v>
      </c>
      <c r="K5672">
        <v>1</v>
      </c>
      <c r="L5672">
        <v>0</v>
      </c>
      <c r="M5672">
        <f>VLOOKUP(Table1[[#This Row],[subscription_type]],Plans!$A$1:$B$5,2,FALSE)</f>
        <v>9.99</v>
      </c>
      <c r="N5672">
        <f t="shared" si="88"/>
        <v>0</v>
      </c>
    </row>
    <row r="5673" spans="1:14" x14ac:dyDescent="0.35">
      <c r="A5673">
        <v>5672</v>
      </c>
      <c r="B5673" t="s">
        <v>12</v>
      </c>
      <c r="C5673">
        <v>33</v>
      </c>
      <c r="D5673" t="s">
        <v>13</v>
      </c>
      <c r="E5673" t="s">
        <v>24</v>
      </c>
      <c r="F5673">
        <v>182</v>
      </c>
      <c r="G5673">
        <v>6</v>
      </c>
      <c r="H5673">
        <v>0.4</v>
      </c>
      <c r="I5673" t="s">
        <v>23</v>
      </c>
      <c r="J5673">
        <v>0</v>
      </c>
      <c r="K5673">
        <v>1</v>
      </c>
      <c r="L5673">
        <v>0</v>
      </c>
      <c r="M5673">
        <f>VLOOKUP(Table1[[#This Row],[subscription_type]],Plans!$A$1:$B$5,2,FALSE)</f>
        <v>4.99</v>
      </c>
      <c r="N5673">
        <f t="shared" si="88"/>
        <v>0</v>
      </c>
    </row>
    <row r="5674" spans="1:14" x14ac:dyDescent="0.35">
      <c r="A5674">
        <v>5673</v>
      </c>
      <c r="B5674" t="s">
        <v>16</v>
      </c>
      <c r="C5674">
        <v>43</v>
      </c>
      <c r="D5674" t="s">
        <v>21</v>
      </c>
      <c r="E5674" t="s">
        <v>24</v>
      </c>
      <c r="F5674">
        <v>78</v>
      </c>
      <c r="G5674">
        <v>15</v>
      </c>
      <c r="H5674">
        <v>0.08</v>
      </c>
      <c r="I5674" t="s">
        <v>23</v>
      </c>
      <c r="J5674">
        <v>0</v>
      </c>
      <c r="K5674">
        <v>1</v>
      </c>
      <c r="L5674">
        <v>0</v>
      </c>
      <c r="M5674">
        <f>VLOOKUP(Table1[[#This Row],[subscription_type]],Plans!$A$1:$B$5,2,FALSE)</f>
        <v>4.99</v>
      </c>
      <c r="N5674">
        <f t="shared" si="88"/>
        <v>0</v>
      </c>
    </row>
    <row r="5675" spans="1:14" x14ac:dyDescent="0.35">
      <c r="A5675">
        <v>5674</v>
      </c>
      <c r="B5675" t="s">
        <v>20</v>
      </c>
      <c r="C5675">
        <v>49</v>
      </c>
      <c r="D5675" t="s">
        <v>26</v>
      </c>
      <c r="E5675" t="s">
        <v>22</v>
      </c>
      <c r="F5675">
        <v>53</v>
      </c>
      <c r="G5675">
        <v>14</v>
      </c>
      <c r="H5675">
        <v>0.09</v>
      </c>
      <c r="I5675" t="s">
        <v>19</v>
      </c>
      <c r="J5675">
        <v>0</v>
      </c>
      <c r="K5675">
        <v>1</v>
      </c>
      <c r="L5675">
        <v>1</v>
      </c>
      <c r="M5675">
        <f>VLOOKUP(Table1[[#This Row],[subscription_type]],Plans!$A$1:$B$5,2,FALSE)</f>
        <v>9.99</v>
      </c>
      <c r="N5675">
        <f t="shared" si="88"/>
        <v>9.99</v>
      </c>
    </row>
    <row r="5676" spans="1:14" x14ac:dyDescent="0.35">
      <c r="A5676">
        <v>5675</v>
      </c>
      <c r="B5676" t="s">
        <v>20</v>
      </c>
      <c r="C5676">
        <v>34</v>
      </c>
      <c r="D5676" t="s">
        <v>21</v>
      </c>
      <c r="E5676" t="s">
        <v>22</v>
      </c>
      <c r="F5676">
        <v>288</v>
      </c>
      <c r="G5676">
        <v>63</v>
      </c>
      <c r="H5676">
        <v>0.34</v>
      </c>
      <c r="I5676" t="s">
        <v>15</v>
      </c>
      <c r="J5676">
        <v>0</v>
      </c>
      <c r="K5676">
        <v>1</v>
      </c>
      <c r="L5676">
        <v>0</v>
      </c>
      <c r="M5676">
        <f>VLOOKUP(Table1[[#This Row],[subscription_type]],Plans!$A$1:$B$5,2,FALSE)</f>
        <v>9.99</v>
      </c>
      <c r="N5676">
        <f t="shared" si="88"/>
        <v>0</v>
      </c>
    </row>
    <row r="5677" spans="1:14" x14ac:dyDescent="0.35">
      <c r="A5677">
        <v>5676</v>
      </c>
      <c r="B5677" t="s">
        <v>12</v>
      </c>
      <c r="C5677">
        <v>19</v>
      </c>
      <c r="D5677" t="s">
        <v>25</v>
      </c>
      <c r="E5677" t="s">
        <v>18</v>
      </c>
      <c r="F5677">
        <v>57</v>
      </c>
      <c r="G5677">
        <v>44</v>
      </c>
      <c r="H5677">
        <v>0.55000000000000004</v>
      </c>
      <c r="I5677" t="s">
        <v>15</v>
      </c>
      <c r="J5677">
        <v>0</v>
      </c>
      <c r="K5677">
        <v>1</v>
      </c>
      <c r="L5677">
        <v>0</v>
      </c>
      <c r="M5677">
        <f>VLOOKUP(Table1[[#This Row],[subscription_type]],Plans!$A$1:$B$5,2,FALSE)</f>
        <v>14.99</v>
      </c>
      <c r="N5677">
        <f t="shared" si="88"/>
        <v>0</v>
      </c>
    </row>
    <row r="5678" spans="1:14" x14ac:dyDescent="0.35">
      <c r="A5678">
        <v>5677</v>
      </c>
      <c r="B5678" t="s">
        <v>16</v>
      </c>
      <c r="C5678">
        <v>56</v>
      </c>
      <c r="D5678" t="s">
        <v>21</v>
      </c>
      <c r="E5678" t="s">
        <v>14</v>
      </c>
      <c r="F5678">
        <v>74</v>
      </c>
      <c r="G5678">
        <v>1</v>
      </c>
      <c r="H5678">
        <v>0.02</v>
      </c>
      <c r="I5678" t="s">
        <v>19</v>
      </c>
      <c r="J5678">
        <v>12</v>
      </c>
      <c r="K5678">
        <v>0</v>
      </c>
      <c r="L5678">
        <v>0</v>
      </c>
      <c r="M5678">
        <f>VLOOKUP(Table1[[#This Row],[subscription_type]],Plans!$A$1:$B$5,2,FALSE)</f>
        <v>0</v>
      </c>
      <c r="N5678">
        <f t="shared" si="88"/>
        <v>0</v>
      </c>
    </row>
    <row r="5679" spans="1:14" x14ac:dyDescent="0.35">
      <c r="A5679">
        <v>5678</v>
      </c>
      <c r="B5679" t="s">
        <v>16</v>
      </c>
      <c r="C5679">
        <v>47</v>
      </c>
      <c r="D5679" t="s">
        <v>28</v>
      </c>
      <c r="E5679" t="s">
        <v>24</v>
      </c>
      <c r="F5679">
        <v>66</v>
      </c>
      <c r="G5679">
        <v>62</v>
      </c>
      <c r="H5679">
        <v>0.49</v>
      </c>
      <c r="I5679" t="s">
        <v>23</v>
      </c>
      <c r="J5679">
        <v>0</v>
      </c>
      <c r="K5679">
        <v>1</v>
      </c>
      <c r="L5679">
        <v>0</v>
      </c>
      <c r="M5679">
        <f>VLOOKUP(Table1[[#This Row],[subscription_type]],Plans!$A$1:$B$5,2,FALSE)</f>
        <v>4.99</v>
      </c>
      <c r="N5679">
        <f t="shared" si="88"/>
        <v>0</v>
      </c>
    </row>
    <row r="5680" spans="1:14" x14ac:dyDescent="0.35">
      <c r="A5680">
        <v>5679</v>
      </c>
      <c r="B5680" t="s">
        <v>16</v>
      </c>
      <c r="C5680">
        <v>42</v>
      </c>
      <c r="D5680" t="s">
        <v>27</v>
      </c>
      <c r="E5680" t="s">
        <v>22</v>
      </c>
      <c r="F5680">
        <v>264</v>
      </c>
      <c r="G5680">
        <v>50</v>
      </c>
      <c r="H5680">
        <v>0.57999999999999996</v>
      </c>
      <c r="I5680" t="s">
        <v>19</v>
      </c>
      <c r="J5680">
        <v>0</v>
      </c>
      <c r="K5680">
        <v>1</v>
      </c>
      <c r="L5680">
        <v>0</v>
      </c>
      <c r="M5680">
        <f>VLOOKUP(Table1[[#This Row],[subscription_type]],Plans!$A$1:$B$5,2,FALSE)</f>
        <v>9.99</v>
      </c>
      <c r="N5680">
        <f t="shared" si="88"/>
        <v>0</v>
      </c>
    </row>
    <row r="5681" spans="1:14" x14ac:dyDescent="0.35">
      <c r="A5681">
        <v>5680</v>
      </c>
      <c r="B5681" t="s">
        <v>12</v>
      </c>
      <c r="C5681">
        <v>58</v>
      </c>
      <c r="D5681" t="s">
        <v>17</v>
      </c>
      <c r="E5681" t="s">
        <v>18</v>
      </c>
      <c r="F5681">
        <v>213</v>
      </c>
      <c r="G5681">
        <v>86</v>
      </c>
      <c r="H5681">
        <v>0.28999999999999998</v>
      </c>
      <c r="I5681" t="s">
        <v>15</v>
      </c>
      <c r="J5681">
        <v>0</v>
      </c>
      <c r="K5681">
        <v>1</v>
      </c>
      <c r="L5681">
        <v>0</v>
      </c>
      <c r="M5681">
        <f>VLOOKUP(Table1[[#This Row],[subscription_type]],Plans!$A$1:$B$5,2,FALSE)</f>
        <v>14.99</v>
      </c>
      <c r="N5681">
        <f t="shared" si="88"/>
        <v>0</v>
      </c>
    </row>
    <row r="5682" spans="1:14" x14ac:dyDescent="0.35">
      <c r="A5682">
        <v>5681</v>
      </c>
      <c r="B5682" t="s">
        <v>12</v>
      </c>
      <c r="C5682">
        <v>53</v>
      </c>
      <c r="D5682" t="s">
        <v>17</v>
      </c>
      <c r="E5682" t="s">
        <v>14</v>
      </c>
      <c r="F5682">
        <v>115</v>
      </c>
      <c r="G5682">
        <v>70</v>
      </c>
      <c r="H5682">
        <v>0.05</v>
      </c>
      <c r="I5682" t="s">
        <v>19</v>
      </c>
      <c r="J5682">
        <v>22</v>
      </c>
      <c r="K5682">
        <v>0</v>
      </c>
      <c r="L5682">
        <v>1</v>
      </c>
      <c r="M5682">
        <f>VLOOKUP(Table1[[#This Row],[subscription_type]],Plans!$A$1:$B$5,2,FALSE)</f>
        <v>0</v>
      </c>
      <c r="N5682">
        <f t="shared" si="88"/>
        <v>0</v>
      </c>
    </row>
    <row r="5683" spans="1:14" x14ac:dyDescent="0.35">
      <c r="A5683">
        <v>5682</v>
      </c>
      <c r="B5683" t="s">
        <v>20</v>
      </c>
      <c r="C5683">
        <v>45</v>
      </c>
      <c r="D5683" t="s">
        <v>28</v>
      </c>
      <c r="E5683" t="s">
        <v>24</v>
      </c>
      <c r="F5683">
        <v>23</v>
      </c>
      <c r="G5683">
        <v>18</v>
      </c>
      <c r="H5683">
        <v>0.27</v>
      </c>
      <c r="I5683" t="s">
        <v>15</v>
      </c>
      <c r="J5683">
        <v>0</v>
      </c>
      <c r="K5683">
        <v>1</v>
      </c>
      <c r="L5683">
        <v>1</v>
      </c>
      <c r="M5683">
        <f>VLOOKUP(Table1[[#This Row],[subscription_type]],Plans!$A$1:$B$5,2,FALSE)</f>
        <v>4.99</v>
      </c>
      <c r="N5683">
        <f t="shared" si="88"/>
        <v>4.99</v>
      </c>
    </row>
    <row r="5684" spans="1:14" x14ac:dyDescent="0.35">
      <c r="A5684">
        <v>5683</v>
      </c>
      <c r="B5684" t="s">
        <v>16</v>
      </c>
      <c r="C5684">
        <v>50</v>
      </c>
      <c r="D5684" t="s">
        <v>26</v>
      </c>
      <c r="E5684" t="s">
        <v>14</v>
      </c>
      <c r="F5684">
        <v>160</v>
      </c>
      <c r="G5684">
        <v>94</v>
      </c>
      <c r="H5684">
        <v>0.5</v>
      </c>
      <c r="I5684" t="s">
        <v>23</v>
      </c>
      <c r="J5684">
        <v>16</v>
      </c>
      <c r="K5684">
        <v>0</v>
      </c>
      <c r="L5684">
        <v>0</v>
      </c>
      <c r="M5684">
        <f>VLOOKUP(Table1[[#This Row],[subscription_type]],Plans!$A$1:$B$5,2,FALSE)</f>
        <v>0</v>
      </c>
      <c r="N5684">
        <f t="shared" si="88"/>
        <v>0</v>
      </c>
    </row>
    <row r="5685" spans="1:14" x14ac:dyDescent="0.35">
      <c r="A5685">
        <v>5684</v>
      </c>
      <c r="B5685" t="s">
        <v>20</v>
      </c>
      <c r="C5685">
        <v>21</v>
      </c>
      <c r="D5685" t="s">
        <v>17</v>
      </c>
      <c r="E5685" t="s">
        <v>24</v>
      </c>
      <c r="F5685">
        <v>291</v>
      </c>
      <c r="G5685">
        <v>9</v>
      </c>
      <c r="H5685">
        <v>0.44</v>
      </c>
      <c r="I5685" t="s">
        <v>15</v>
      </c>
      <c r="J5685">
        <v>0</v>
      </c>
      <c r="K5685">
        <v>1</v>
      </c>
      <c r="L5685">
        <v>1</v>
      </c>
      <c r="M5685">
        <f>VLOOKUP(Table1[[#This Row],[subscription_type]],Plans!$A$1:$B$5,2,FALSE)</f>
        <v>4.99</v>
      </c>
      <c r="N5685">
        <f t="shared" si="88"/>
        <v>4.99</v>
      </c>
    </row>
    <row r="5686" spans="1:14" x14ac:dyDescent="0.35">
      <c r="A5686">
        <v>5685</v>
      </c>
      <c r="B5686" t="s">
        <v>16</v>
      </c>
      <c r="C5686">
        <v>42</v>
      </c>
      <c r="D5686" t="s">
        <v>21</v>
      </c>
      <c r="E5686" t="s">
        <v>22</v>
      </c>
      <c r="F5686">
        <v>98</v>
      </c>
      <c r="G5686">
        <v>41</v>
      </c>
      <c r="H5686">
        <v>0.03</v>
      </c>
      <c r="I5686" t="s">
        <v>15</v>
      </c>
      <c r="J5686">
        <v>0</v>
      </c>
      <c r="K5686">
        <v>1</v>
      </c>
      <c r="L5686">
        <v>0</v>
      </c>
      <c r="M5686">
        <f>VLOOKUP(Table1[[#This Row],[subscription_type]],Plans!$A$1:$B$5,2,FALSE)</f>
        <v>9.99</v>
      </c>
      <c r="N5686">
        <f t="shared" si="88"/>
        <v>0</v>
      </c>
    </row>
    <row r="5687" spans="1:14" x14ac:dyDescent="0.35">
      <c r="A5687">
        <v>5686</v>
      </c>
      <c r="B5687" t="s">
        <v>20</v>
      </c>
      <c r="C5687">
        <v>50</v>
      </c>
      <c r="D5687" t="s">
        <v>27</v>
      </c>
      <c r="E5687" t="s">
        <v>14</v>
      </c>
      <c r="F5687">
        <v>85</v>
      </c>
      <c r="G5687">
        <v>89</v>
      </c>
      <c r="H5687">
        <v>0.47</v>
      </c>
      <c r="I5687" t="s">
        <v>23</v>
      </c>
      <c r="J5687">
        <v>16</v>
      </c>
      <c r="K5687">
        <v>0</v>
      </c>
      <c r="L5687">
        <v>1</v>
      </c>
      <c r="M5687">
        <f>VLOOKUP(Table1[[#This Row],[subscription_type]],Plans!$A$1:$B$5,2,FALSE)</f>
        <v>0</v>
      </c>
      <c r="N5687">
        <f t="shared" si="88"/>
        <v>0</v>
      </c>
    </row>
    <row r="5688" spans="1:14" x14ac:dyDescent="0.35">
      <c r="A5688">
        <v>5687</v>
      </c>
      <c r="B5688" t="s">
        <v>12</v>
      </c>
      <c r="C5688">
        <v>48</v>
      </c>
      <c r="D5688" t="s">
        <v>29</v>
      </c>
      <c r="E5688" t="s">
        <v>24</v>
      </c>
      <c r="F5688">
        <v>206</v>
      </c>
      <c r="G5688">
        <v>12</v>
      </c>
      <c r="H5688">
        <v>0.36</v>
      </c>
      <c r="I5688" t="s">
        <v>23</v>
      </c>
      <c r="J5688">
        <v>0</v>
      </c>
      <c r="K5688">
        <v>1</v>
      </c>
      <c r="L5688">
        <v>0</v>
      </c>
      <c r="M5688">
        <f>VLOOKUP(Table1[[#This Row],[subscription_type]],Plans!$A$1:$B$5,2,FALSE)</f>
        <v>4.99</v>
      </c>
      <c r="N5688">
        <f t="shared" si="88"/>
        <v>0</v>
      </c>
    </row>
    <row r="5689" spans="1:14" x14ac:dyDescent="0.35">
      <c r="A5689">
        <v>5688</v>
      </c>
      <c r="B5689" t="s">
        <v>16</v>
      </c>
      <c r="C5689">
        <v>36</v>
      </c>
      <c r="D5689" t="s">
        <v>13</v>
      </c>
      <c r="E5689" t="s">
        <v>22</v>
      </c>
      <c r="F5689">
        <v>51</v>
      </c>
      <c r="G5689">
        <v>9</v>
      </c>
      <c r="H5689">
        <v>0.41</v>
      </c>
      <c r="I5689" t="s">
        <v>23</v>
      </c>
      <c r="J5689">
        <v>0</v>
      </c>
      <c r="K5689">
        <v>1</v>
      </c>
      <c r="L5689">
        <v>0</v>
      </c>
      <c r="M5689">
        <f>VLOOKUP(Table1[[#This Row],[subscription_type]],Plans!$A$1:$B$5,2,FALSE)</f>
        <v>9.99</v>
      </c>
      <c r="N5689">
        <f t="shared" si="88"/>
        <v>0</v>
      </c>
    </row>
    <row r="5690" spans="1:14" x14ac:dyDescent="0.35">
      <c r="A5690">
        <v>5689</v>
      </c>
      <c r="B5690" t="s">
        <v>16</v>
      </c>
      <c r="C5690">
        <v>21</v>
      </c>
      <c r="D5690" t="s">
        <v>29</v>
      </c>
      <c r="E5690" t="s">
        <v>14</v>
      </c>
      <c r="F5690">
        <v>236</v>
      </c>
      <c r="G5690">
        <v>85</v>
      </c>
      <c r="H5690">
        <v>0.16</v>
      </c>
      <c r="I5690" t="s">
        <v>23</v>
      </c>
      <c r="J5690">
        <v>18</v>
      </c>
      <c r="K5690">
        <v>0</v>
      </c>
      <c r="L5690">
        <v>0</v>
      </c>
      <c r="M5690">
        <f>VLOOKUP(Table1[[#This Row],[subscription_type]],Plans!$A$1:$B$5,2,FALSE)</f>
        <v>0</v>
      </c>
      <c r="N5690">
        <f t="shared" si="88"/>
        <v>0</v>
      </c>
    </row>
    <row r="5691" spans="1:14" x14ac:dyDescent="0.35">
      <c r="A5691">
        <v>5690</v>
      </c>
      <c r="B5691" t="s">
        <v>20</v>
      </c>
      <c r="C5691">
        <v>40</v>
      </c>
      <c r="D5691" t="s">
        <v>17</v>
      </c>
      <c r="E5691" t="s">
        <v>22</v>
      </c>
      <c r="F5691">
        <v>72</v>
      </c>
      <c r="G5691">
        <v>13</v>
      </c>
      <c r="H5691">
        <v>0.6</v>
      </c>
      <c r="I5691" t="s">
        <v>19</v>
      </c>
      <c r="J5691">
        <v>0</v>
      </c>
      <c r="K5691">
        <v>1</v>
      </c>
      <c r="L5691">
        <v>0</v>
      </c>
      <c r="M5691">
        <f>VLOOKUP(Table1[[#This Row],[subscription_type]],Plans!$A$1:$B$5,2,FALSE)</f>
        <v>9.99</v>
      </c>
      <c r="N5691">
        <f t="shared" si="88"/>
        <v>0</v>
      </c>
    </row>
    <row r="5692" spans="1:14" x14ac:dyDescent="0.35">
      <c r="A5692">
        <v>5691</v>
      </c>
      <c r="B5692" t="s">
        <v>16</v>
      </c>
      <c r="C5692">
        <v>46</v>
      </c>
      <c r="D5692" t="s">
        <v>25</v>
      </c>
      <c r="E5692" t="s">
        <v>14</v>
      </c>
      <c r="F5692">
        <v>268</v>
      </c>
      <c r="G5692">
        <v>68</v>
      </c>
      <c r="H5692">
        <v>0.59</v>
      </c>
      <c r="I5692" t="s">
        <v>23</v>
      </c>
      <c r="J5692">
        <v>22</v>
      </c>
      <c r="K5692">
        <v>0</v>
      </c>
      <c r="L5692">
        <v>0</v>
      </c>
      <c r="M5692">
        <f>VLOOKUP(Table1[[#This Row],[subscription_type]],Plans!$A$1:$B$5,2,FALSE)</f>
        <v>0</v>
      </c>
      <c r="N5692">
        <f t="shared" si="88"/>
        <v>0</v>
      </c>
    </row>
    <row r="5693" spans="1:14" x14ac:dyDescent="0.35">
      <c r="A5693">
        <v>5692</v>
      </c>
      <c r="B5693" t="s">
        <v>20</v>
      </c>
      <c r="C5693">
        <v>54</v>
      </c>
      <c r="D5693" t="s">
        <v>21</v>
      </c>
      <c r="E5693" t="s">
        <v>18</v>
      </c>
      <c r="F5693">
        <v>16</v>
      </c>
      <c r="G5693">
        <v>98</v>
      </c>
      <c r="H5693">
        <v>0.56000000000000005</v>
      </c>
      <c r="I5693" t="s">
        <v>23</v>
      </c>
      <c r="J5693">
        <v>0</v>
      </c>
      <c r="K5693">
        <v>1</v>
      </c>
      <c r="L5693">
        <v>1</v>
      </c>
      <c r="M5693">
        <f>VLOOKUP(Table1[[#This Row],[subscription_type]],Plans!$A$1:$B$5,2,FALSE)</f>
        <v>14.99</v>
      </c>
      <c r="N5693">
        <f t="shared" si="88"/>
        <v>14.99</v>
      </c>
    </row>
    <row r="5694" spans="1:14" x14ac:dyDescent="0.35">
      <c r="A5694">
        <v>5693</v>
      </c>
      <c r="B5694" t="s">
        <v>16</v>
      </c>
      <c r="C5694">
        <v>21</v>
      </c>
      <c r="D5694" t="s">
        <v>13</v>
      </c>
      <c r="E5694" t="s">
        <v>14</v>
      </c>
      <c r="F5694">
        <v>65</v>
      </c>
      <c r="G5694">
        <v>63</v>
      </c>
      <c r="H5694">
        <v>0.34</v>
      </c>
      <c r="I5694" t="s">
        <v>15</v>
      </c>
      <c r="J5694">
        <v>6</v>
      </c>
      <c r="K5694">
        <v>0</v>
      </c>
      <c r="L5694">
        <v>0</v>
      </c>
      <c r="M5694">
        <f>VLOOKUP(Table1[[#This Row],[subscription_type]],Plans!$A$1:$B$5,2,FALSE)</f>
        <v>0</v>
      </c>
      <c r="N5694">
        <f t="shared" si="88"/>
        <v>0</v>
      </c>
    </row>
    <row r="5695" spans="1:14" x14ac:dyDescent="0.35">
      <c r="A5695">
        <v>5694</v>
      </c>
      <c r="B5695" t="s">
        <v>16</v>
      </c>
      <c r="C5695">
        <v>34</v>
      </c>
      <c r="D5695" t="s">
        <v>29</v>
      </c>
      <c r="E5695" t="s">
        <v>24</v>
      </c>
      <c r="F5695">
        <v>31</v>
      </c>
      <c r="G5695">
        <v>80</v>
      </c>
      <c r="H5695">
        <v>0.01</v>
      </c>
      <c r="I5695" t="s">
        <v>15</v>
      </c>
      <c r="J5695">
        <v>0</v>
      </c>
      <c r="K5695">
        <v>1</v>
      </c>
      <c r="L5695">
        <v>0</v>
      </c>
      <c r="M5695">
        <f>VLOOKUP(Table1[[#This Row],[subscription_type]],Plans!$A$1:$B$5,2,FALSE)</f>
        <v>4.99</v>
      </c>
      <c r="N5695">
        <f t="shared" si="88"/>
        <v>0</v>
      </c>
    </row>
    <row r="5696" spans="1:14" x14ac:dyDescent="0.35">
      <c r="A5696">
        <v>5695</v>
      </c>
      <c r="B5696" t="s">
        <v>20</v>
      </c>
      <c r="C5696">
        <v>45</v>
      </c>
      <c r="D5696" t="s">
        <v>29</v>
      </c>
      <c r="E5696" t="s">
        <v>22</v>
      </c>
      <c r="F5696">
        <v>97</v>
      </c>
      <c r="G5696">
        <v>63</v>
      </c>
      <c r="H5696">
        <v>0.13</v>
      </c>
      <c r="I5696" t="s">
        <v>19</v>
      </c>
      <c r="J5696">
        <v>0</v>
      </c>
      <c r="K5696">
        <v>1</v>
      </c>
      <c r="L5696">
        <v>0</v>
      </c>
      <c r="M5696">
        <f>VLOOKUP(Table1[[#This Row],[subscription_type]],Plans!$A$1:$B$5,2,FALSE)</f>
        <v>9.99</v>
      </c>
      <c r="N5696">
        <f t="shared" si="88"/>
        <v>0</v>
      </c>
    </row>
    <row r="5697" spans="1:14" x14ac:dyDescent="0.35">
      <c r="A5697">
        <v>5696</v>
      </c>
      <c r="B5697" t="s">
        <v>20</v>
      </c>
      <c r="C5697">
        <v>33</v>
      </c>
      <c r="D5697" t="s">
        <v>21</v>
      </c>
      <c r="E5697" t="s">
        <v>14</v>
      </c>
      <c r="F5697">
        <v>36</v>
      </c>
      <c r="G5697">
        <v>47</v>
      </c>
      <c r="H5697">
        <v>0.31</v>
      </c>
      <c r="I5697" t="s">
        <v>19</v>
      </c>
      <c r="J5697">
        <v>18</v>
      </c>
      <c r="K5697">
        <v>0</v>
      </c>
      <c r="L5697">
        <v>0</v>
      </c>
      <c r="M5697">
        <f>VLOOKUP(Table1[[#This Row],[subscription_type]],Plans!$A$1:$B$5,2,FALSE)</f>
        <v>0</v>
      </c>
      <c r="N5697">
        <f t="shared" si="88"/>
        <v>0</v>
      </c>
    </row>
    <row r="5698" spans="1:14" x14ac:dyDescent="0.35">
      <c r="A5698">
        <v>5697</v>
      </c>
      <c r="B5698" t="s">
        <v>12</v>
      </c>
      <c r="C5698">
        <v>32</v>
      </c>
      <c r="D5698" t="s">
        <v>17</v>
      </c>
      <c r="E5698" t="s">
        <v>24</v>
      </c>
      <c r="F5698">
        <v>109</v>
      </c>
      <c r="G5698">
        <v>84</v>
      </c>
      <c r="H5698">
        <v>0.15</v>
      </c>
      <c r="I5698" t="s">
        <v>15</v>
      </c>
      <c r="J5698">
        <v>0</v>
      </c>
      <c r="K5698">
        <v>1</v>
      </c>
      <c r="L5698">
        <v>0</v>
      </c>
      <c r="M5698">
        <f>VLOOKUP(Table1[[#This Row],[subscription_type]],Plans!$A$1:$B$5,2,FALSE)</f>
        <v>4.99</v>
      </c>
      <c r="N5698">
        <f t="shared" ref="N5698:N5761" si="89">IF(L5698=1, M5698,0)</f>
        <v>0</v>
      </c>
    </row>
    <row r="5699" spans="1:14" x14ac:dyDescent="0.35">
      <c r="A5699">
        <v>5698</v>
      </c>
      <c r="B5699" t="s">
        <v>16</v>
      </c>
      <c r="C5699">
        <v>52</v>
      </c>
      <c r="D5699" t="s">
        <v>17</v>
      </c>
      <c r="E5699" t="s">
        <v>14</v>
      </c>
      <c r="F5699">
        <v>168</v>
      </c>
      <c r="G5699">
        <v>87</v>
      </c>
      <c r="H5699">
        <v>0.22</v>
      </c>
      <c r="I5699" t="s">
        <v>15</v>
      </c>
      <c r="J5699">
        <v>34</v>
      </c>
      <c r="K5699">
        <v>0</v>
      </c>
      <c r="L5699">
        <v>0</v>
      </c>
      <c r="M5699">
        <f>VLOOKUP(Table1[[#This Row],[subscription_type]],Plans!$A$1:$B$5,2,FALSE)</f>
        <v>0</v>
      </c>
      <c r="N5699">
        <f t="shared" si="89"/>
        <v>0</v>
      </c>
    </row>
    <row r="5700" spans="1:14" x14ac:dyDescent="0.35">
      <c r="A5700">
        <v>5699</v>
      </c>
      <c r="B5700" t="s">
        <v>20</v>
      </c>
      <c r="C5700">
        <v>37</v>
      </c>
      <c r="D5700" t="s">
        <v>21</v>
      </c>
      <c r="E5700" t="s">
        <v>22</v>
      </c>
      <c r="F5700">
        <v>33</v>
      </c>
      <c r="G5700">
        <v>28</v>
      </c>
      <c r="H5700">
        <v>0.21</v>
      </c>
      <c r="I5700" t="s">
        <v>19</v>
      </c>
      <c r="J5700">
        <v>0</v>
      </c>
      <c r="K5700">
        <v>1</v>
      </c>
      <c r="L5700">
        <v>0</v>
      </c>
      <c r="M5700">
        <f>VLOOKUP(Table1[[#This Row],[subscription_type]],Plans!$A$1:$B$5,2,FALSE)</f>
        <v>9.99</v>
      </c>
      <c r="N5700">
        <f t="shared" si="89"/>
        <v>0</v>
      </c>
    </row>
    <row r="5701" spans="1:14" x14ac:dyDescent="0.35">
      <c r="A5701">
        <v>5700</v>
      </c>
      <c r="B5701" t="s">
        <v>12</v>
      </c>
      <c r="C5701">
        <v>49</v>
      </c>
      <c r="D5701" t="s">
        <v>21</v>
      </c>
      <c r="E5701" t="s">
        <v>14</v>
      </c>
      <c r="F5701">
        <v>12</v>
      </c>
      <c r="G5701">
        <v>41</v>
      </c>
      <c r="H5701">
        <v>0.41</v>
      </c>
      <c r="I5701" t="s">
        <v>23</v>
      </c>
      <c r="J5701">
        <v>38</v>
      </c>
      <c r="K5701">
        <v>0</v>
      </c>
      <c r="L5701">
        <v>0</v>
      </c>
      <c r="M5701">
        <f>VLOOKUP(Table1[[#This Row],[subscription_type]],Plans!$A$1:$B$5,2,FALSE)</f>
        <v>0</v>
      </c>
      <c r="N5701">
        <f t="shared" si="89"/>
        <v>0</v>
      </c>
    </row>
    <row r="5702" spans="1:14" x14ac:dyDescent="0.35">
      <c r="A5702">
        <v>5701</v>
      </c>
      <c r="B5702" t="s">
        <v>12</v>
      </c>
      <c r="C5702">
        <v>39</v>
      </c>
      <c r="D5702" t="s">
        <v>27</v>
      </c>
      <c r="E5702" t="s">
        <v>18</v>
      </c>
      <c r="F5702">
        <v>217</v>
      </c>
      <c r="G5702">
        <v>36</v>
      </c>
      <c r="H5702">
        <v>0.03</v>
      </c>
      <c r="I5702" t="s">
        <v>15</v>
      </c>
      <c r="J5702">
        <v>0</v>
      </c>
      <c r="K5702">
        <v>1</v>
      </c>
      <c r="L5702">
        <v>1</v>
      </c>
      <c r="M5702">
        <f>VLOOKUP(Table1[[#This Row],[subscription_type]],Plans!$A$1:$B$5,2,FALSE)</f>
        <v>14.99</v>
      </c>
      <c r="N5702">
        <f t="shared" si="89"/>
        <v>14.99</v>
      </c>
    </row>
    <row r="5703" spans="1:14" x14ac:dyDescent="0.35">
      <c r="A5703">
        <v>5702</v>
      </c>
      <c r="B5703" t="s">
        <v>20</v>
      </c>
      <c r="C5703">
        <v>58</v>
      </c>
      <c r="D5703" t="s">
        <v>26</v>
      </c>
      <c r="E5703" t="s">
        <v>22</v>
      </c>
      <c r="F5703">
        <v>258</v>
      </c>
      <c r="G5703">
        <v>79</v>
      </c>
      <c r="H5703">
        <v>0.53</v>
      </c>
      <c r="I5703" t="s">
        <v>23</v>
      </c>
      <c r="J5703">
        <v>0</v>
      </c>
      <c r="K5703">
        <v>1</v>
      </c>
      <c r="L5703">
        <v>0</v>
      </c>
      <c r="M5703">
        <f>VLOOKUP(Table1[[#This Row],[subscription_type]],Plans!$A$1:$B$5,2,FALSE)</f>
        <v>9.99</v>
      </c>
      <c r="N5703">
        <f t="shared" si="89"/>
        <v>0</v>
      </c>
    </row>
    <row r="5704" spans="1:14" x14ac:dyDescent="0.35">
      <c r="A5704">
        <v>5703</v>
      </c>
      <c r="B5704" t="s">
        <v>12</v>
      </c>
      <c r="C5704">
        <v>29</v>
      </c>
      <c r="D5704" t="s">
        <v>13</v>
      </c>
      <c r="E5704" t="s">
        <v>18</v>
      </c>
      <c r="F5704">
        <v>50</v>
      </c>
      <c r="G5704">
        <v>85</v>
      </c>
      <c r="H5704">
        <v>0.55000000000000004</v>
      </c>
      <c r="I5704" t="s">
        <v>23</v>
      </c>
      <c r="J5704">
        <v>0</v>
      </c>
      <c r="K5704">
        <v>1</v>
      </c>
      <c r="L5704">
        <v>1</v>
      </c>
      <c r="M5704">
        <f>VLOOKUP(Table1[[#This Row],[subscription_type]],Plans!$A$1:$B$5,2,FALSE)</f>
        <v>14.99</v>
      </c>
      <c r="N5704">
        <f t="shared" si="89"/>
        <v>14.99</v>
      </c>
    </row>
    <row r="5705" spans="1:14" x14ac:dyDescent="0.35">
      <c r="A5705">
        <v>5704</v>
      </c>
      <c r="B5705" t="s">
        <v>20</v>
      </c>
      <c r="C5705">
        <v>56</v>
      </c>
      <c r="D5705" t="s">
        <v>25</v>
      </c>
      <c r="E5705" t="s">
        <v>18</v>
      </c>
      <c r="F5705">
        <v>112</v>
      </c>
      <c r="G5705">
        <v>16</v>
      </c>
      <c r="H5705">
        <v>0.54</v>
      </c>
      <c r="I5705" t="s">
        <v>23</v>
      </c>
      <c r="J5705">
        <v>0</v>
      </c>
      <c r="K5705">
        <v>1</v>
      </c>
      <c r="L5705">
        <v>0</v>
      </c>
      <c r="M5705">
        <f>VLOOKUP(Table1[[#This Row],[subscription_type]],Plans!$A$1:$B$5,2,FALSE)</f>
        <v>14.99</v>
      </c>
      <c r="N5705">
        <f t="shared" si="89"/>
        <v>0</v>
      </c>
    </row>
    <row r="5706" spans="1:14" x14ac:dyDescent="0.35">
      <c r="A5706">
        <v>5705</v>
      </c>
      <c r="B5706" t="s">
        <v>20</v>
      </c>
      <c r="C5706">
        <v>38</v>
      </c>
      <c r="D5706" t="s">
        <v>29</v>
      </c>
      <c r="E5706" t="s">
        <v>14</v>
      </c>
      <c r="F5706">
        <v>93</v>
      </c>
      <c r="G5706">
        <v>91</v>
      </c>
      <c r="H5706">
        <v>0.28999999999999998</v>
      </c>
      <c r="I5706" t="s">
        <v>23</v>
      </c>
      <c r="J5706">
        <v>29</v>
      </c>
      <c r="K5706">
        <v>0</v>
      </c>
      <c r="L5706">
        <v>0</v>
      </c>
      <c r="M5706">
        <f>VLOOKUP(Table1[[#This Row],[subscription_type]],Plans!$A$1:$B$5,2,FALSE)</f>
        <v>0</v>
      </c>
      <c r="N5706">
        <f t="shared" si="89"/>
        <v>0</v>
      </c>
    </row>
    <row r="5707" spans="1:14" x14ac:dyDescent="0.35">
      <c r="A5707">
        <v>5706</v>
      </c>
      <c r="B5707" t="s">
        <v>20</v>
      </c>
      <c r="C5707">
        <v>50</v>
      </c>
      <c r="D5707" t="s">
        <v>21</v>
      </c>
      <c r="E5707" t="s">
        <v>18</v>
      </c>
      <c r="F5707">
        <v>126</v>
      </c>
      <c r="G5707">
        <v>42</v>
      </c>
      <c r="H5707">
        <v>0.46</v>
      </c>
      <c r="I5707" t="s">
        <v>23</v>
      </c>
      <c r="J5707">
        <v>0</v>
      </c>
      <c r="K5707">
        <v>1</v>
      </c>
      <c r="L5707">
        <v>0</v>
      </c>
      <c r="M5707">
        <f>VLOOKUP(Table1[[#This Row],[subscription_type]],Plans!$A$1:$B$5,2,FALSE)</f>
        <v>14.99</v>
      </c>
      <c r="N5707">
        <f t="shared" si="89"/>
        <v>0</v>
      </c>
    </row>
    <row r="5708" spans="1:14" x14ac:dyDescent="0.35">
      <c r="A5708">
        <v>5707</v>
      </c>
      <c r="B5708" t="s">
        <v>20</v>
      </c>
      <c r="C5708">
        <v>58</v>
      </c>
      <c r="D5708" t="s">
        <v>26</v>
      </c>
      <c r="E5708" t="s">
        <v>14</v>
      </c>
      <c r="F5708">
        <v>191</v>
      </c>
      <c r="G5708">
        <v>5</v>
      </c>
      <c r="H5708">
        <v>0.4</v>
      </c>
      <c r="I5708" t="s">
        <v>15</v>
      </c>
      <c r="J5708">
        <v>25</v>
      </c>
      <c r="K5708">
        <v>0</v>
      </c>
      <c r="L5708">
        <v>0</v>
      </c>
      <c r="M5708">
        <f>VLOOKUP(Table1[[#This Row],[subscription_type]],Plans!$A$1:$B$5,2,FALSE)</f>
        <v>0</v>
      </c>
      <c r="N5708">
        <f t="shared" si="89"/>
        <v>0</v>
      </c>
    </row>
    <row r="5709" spans="1:14" x14ac:dyDescent="0.35">
      <c r="A5709">
        <v>5708</v>
      </c>
      <c r="B5709" t="s">
        <v>20</v>
      </c>
      <c r="C5709">
        <v>53</v>
      </c>
      <c r="D5709" t="s">
        <v>28</v>
      </c>
      <c r="E5709" t="s">
        <v>14</v>
      </c>
      <c r="F5709">
        <v>258</v>
      </c>
      <c r="G5709">
        <v>48</v>
      </c>
      <c r="H5709">
        <v>0.15</v>
      </c>
      <c r="I5709" t="s">
        <v>23</v>
      </c>
      <c r="J5709">
        <v>42</v>
      </c>
      <c r="K5709">
        <v>0</v>
      </c>
      <c r="L5709">
        <v>1</v>
      </c>
      <c r="M5709">
        <f>VLOOKUP(Table1[[#This Row],[subscription_type]],Plans!$A$1:$B$5,2,FALSE)</f>
        <v>0</v>
      </c>
      <c r="N5709">
        <f t="shared" si="89"/>
        <v>0</v>
      </c>
    </row>
    <row r="5710" spans="1:14" x14ac:dyDescent="0.35">
      <c r="A5710">
        <v>5709</v>
      </c>
      <c r="B5710" t="s">
        <v>20</v>
      </c>
      <c r="C5710">
        <v>21</v>
      </c>
      <c r="D5710" t="s">
        <v>13</v>
      </c>
      <c r="E5710" t="s">
        <v>14</v>
      </c>
      <c r="F5710">
        <v>145</v>
      </c>
      <c r="G5710">
        <v>29</v>
      </c>
      <c r="H5710">
        <v>0.55000000000000004</v>
      </c>
      <c r="I5710" t="s">
        <v>19</v>
      </c>
      <c r="J5710">
        <v>36</v>
      </c>
      <c r="K5710">
        <v>0</v>
      </c>
      <c r="L5710">
        <v>0</v>
      </c>
      <c r="M5710">
        <f>VLOOKUP(Table1[[#This Row],[subscription_type]],Plans!$A$1:$B$5,2,FALSE)</f>
        <v>0</v>
      </c>
      <c r="N5710">
        <f t="shared" si="89"/>
        <v>0</v>
      </c>
    </row>
    <row r="5711" spans="1:14" x14ac:dyDescent="0.35">
      <c r="A5711">
        <v>5710</v>
      </c>
      <c r="B5711" t="s">
        <v>12</v>
      </c>
      <c r="C5711">
        <v>21</v>
      </c>
      <c r="D5711" t="s">
        <v>21</v>
      </c>
      <c r="E5711" t="s">
        <v>14</v>
      </c>
      <c r="F5711">
        <v>91</v>
      </c>
      <c r="G5711">
        <v>27</v>
      </c>
      <c r="H5711">
        <v>0.38</v>
      </c>
      <c r="I5711" t="s">
        <v>15</v>
      </c>
      <c r="J5711">
        <v>8</v>
      </c>
      <c r="K5711">
        <v>0</v>
      </c>
      <c r="L5711">
        <v>0</v>
      </c>
      <c r="M5711">
        <f>VLOOKUP(Table1[[#This Row],[subscription_type]],Plans!$A$1:$B$5,2,FALSE)</f>
        <v>0</v>
      </c>
      <c r="N5711">
        <f t="shared" si="89"/>
        <v>0</v>
      </c>
    </row>
    <row r="5712" spans="1:14" x14ac:dyDescent="0.35">
      <c r="A5712">
        <v>5711</v>
      </c>
      <c r="B5712" t="s">
        <v>16</v>
      </c>
      <c r="C5712">
        <v>46</v>
      </c>
      <c r="D5712" t="s">
        <v>21</v>
      </c>
      <c r="E5712" t="s">
        <v>24</v>
      </c>
      <c r="F5712">
        <v>40</v>
      </c>
      <c r="G5712">
        <v>29</v>
      </c>
      <c r="H5712">
        <v>0.24</v>
      </c>
      <c r="I5712" t="s">
        <v>19</v>
      </c>
      <c r="J5712">
        <v>0</v>
      </c>
      <c r="K5712">
        <v>1</v>
      </c>
      <c r="L5712">
        <v>0</v>
      </c>
      <c r="M5712">
        <f>VLOOKUP(Table1[[#This Row],[subscription_type]],Plans!$A$1:$B$5,2,FALSE)</f>
        <v>4.99</v>
      </c>
      <c r="N5712">
        <f t="shared" si="89"/>
        <v>0</v>
      </c>
    </row>
    <row r="5713" spans="1:14" x14ac:dyDescent="0.35">
      <c r="A5713">
        <v>5712</v>
      </c>
      <c r="B5713" t="s">
        <v>16</v>
      </c>
      <c r="C5713">
        <v>38</v>
      </c>
      <c r="D5713" t="s">
        <v>17</v>
      </c>
      <c r="E5713" t="s">
        <v>22</v>
      </c>
      <c r="F5713">
        <v>241</v>
      </c>
      <c r="G5713">
        <v>12</v>
      </c>
      <c r="H5713">
        <v>0.08</v>
      </c>
      <c r="I5713" t="s">
        <v>19</v>
      </c>
      <c r="J5713">
        <v>0</v>
      </c>
      <c r="K5713">
        <v>1</v>
      </c>
      <c r="L5713">
        <v>1</v>
      </c>
      <c r="M5713">
        <f>VLOOKUP(Table1[[#This Row],[subscription_type]],Plans!$A$1:$B$5,2,FALSE)</f>
        <v>9.99</v>
      </c>
      <c r="N5713">
        <f t="shared" si="89"/>
        <v>9.99</v>
      </c>
    </row>
    <row r="5714" spans="1:14" x14ac:dyDescent="0.35">
      <c r="A5714">
        <v>5713</v>
      </c>
      <c r="B5714" t="s">
        <v>12</v>
      </c>
      <c r="C5714">
        <v>54</v>
      </c>
      <c r="D5714" t="s">
        <v>26</v>
      </c>
      <c r="E5714" t="s">
        <v>14</v>
      </c>
      <c r="F5714">
        <v>285</v>
      </c>
      <c r="G5714">
        <v>5</v>
      </c>
      <c r="H5714">
        <v>0.36</v>
      </c>
      <c r="I5714" t="s">
        <v>19</v>
      </c>
      <c r="J5714">
        <v>36</v>
      </c>
      <c r="K5714">
        <v>0</v>
      </c>
      <c r="L5714">
        <v>0</v>
      </c>
      <c r="M5714">
        <f>VLOOKUP(Table1[[#This Row],[subscription_type]],Plans!$A$1:$B$5,2,FALSE)</f>
        <v>0</v>
      </c>
      <c r="N5714">
        <f t="shared" si="89"/>
        <v>0</v>
      </c>
    </row>
    <row r="5715" spans="1:14" x14ac:dyDescent="0.35">
      <c r="A5715">
        <v>5714</v>
      </c>
      <c r="B5715" t="s">
        <v>16</v>
      </c>
      <c r="C5715">
        <v>34</v>
      </c>
      <c r="D5715" t="s">
        <v>28</v>
      </c>
      <c r="E5715" t="s">
        <v>14</v>
      </c>
      <c r="F5715">
        <v>280</v>
      </c>
      <c r="G5715">
        <v>88</v>
      </c>
      <c r="H5715">
        <v>0.31</v>
      </c>
      <c r="I5715" t="s">
        <v>19</v>
      </c>
      <c r="J5715">
        <v>14</v>
      </c>
      <c r="K5715">
        <v>0</v>
      </c>
      <c r="L5715">
        <v>1</v>
      </c>
      <c r="M5715">
        <f>VLOOKUP(Table1[[#This Row],[subscription_type]],Plans!$A$1:$B$5,2,FALSE)</f>
        <v>0</v>
      </c>
      <c r="N5715">
        <f t="shared" si="89"/>
        <v>0</v>
      </c>
    </row>
    <row r="5716" spans="1:14" x14ac:dyDescent="0.35">
      <c r="A5716">
        <v>5715</v>
      </c>
      <c r="B5716" t="s">
        <v>20</v>
      </c>
      <c r="C5716">
        <v>23</v>
      </c>
      <c r="D5716" t="s">
        <v>17</v>
      </c>
      <c r="E5716" t="s">
        <v>18</v>
      </c>
      <c r="F5716">
        <v>15</v>
      </c>
      <c r="G5716">
        <v>43</v>
      </c>
      <c r="H5716">
        <v>0.26</v>
      </c>
      <c r="I5716" t="s">
        <v>15</v>
      </c>
      <c r="J5716">
        <v>0</v>
      </c>
      <c r="K5716">
        <v>1</v>
      </c>
      <c r="L5716">
        <v>0</v>
      </c>
      <c r="M5716">
        <f>VLOOKUP(Table1[[#This Row],[subscription_type]],Plans!$A$1:$B$5,2,FALSE)</f>
        <v>14.99</v>
      </c>
      <c r="N5716">
        <f t="shared" si="89"/>
        <v>0</v>
      </c>
    </row>
    <row r="5717" spans="1:14" x14ac:dyDescent="0.35">
      <c r="A5717">
        <v>5716</v>
      </c>
      <c r="B5717" t="s">
        <v>20</v>
      </c>
      <c r="C5717">
        <v>45</v>
      </c>
      <c r="D5717" t="s">
        <v>26</v>
      </c>
      <c r="E5717" t="s">
        <v>24</v>
      </c>
      <c r="F5717">
        <v>125</v>
      </c>
      <c r="G5717">
        <v>56</v>
      </c>
      <c r="H5717">
        <v>0.47</v>
      </c>
      <c r="I5717" t="s">
        <v>19</v>
      </c>
      <c r="J5717">
        <v>0</v>
      </c>
      <c r="K5717">
        <v>1</v>
      </c>
      <c r="L5717">
        <v>0</v>
      </c>
      <c r="M5717">
        <f>VLOOKUP(Table1[[#This Row],[subscription_type]],Plans!$A$1:$B$5,2,FALSE)</f>
        <v>4.99</v>
      </c>
      <c r="N5717">
        <f t="shared" si="89"/>
        <v>0</v>
      </c>
    </row>
    <row r="5718" spans="1:14" x14ac:dyDescent="0.35">
      <c r="A5718">
        <v>5717</v>
      </c>
      <c r="B5718" t="s">
        <v>12</v>
      </c>
      <c r="C5718">
        <v>24</v>
      </c>
      <c r="D5718" t="s">
        <v>13</v>
      </c>
      <c r="E5718" t="s">
        <v>24</v>
      </c>
      <c r="F5718">
        <v>35</v>
      </c>
      <c r="G5718">
        <v>67</v>
      </c>
      <c r="H5718">
        <v>0.37</v>
      </c>
      <c r="I5718" t="s">
        <v>19</v>
      </c>
      <c r="J5718">
        <v>0</v>
      </c>
      <c r="K5718">
        <v>1</v>
      </c>
      <c r="L5718">
        <v>0</v>
      </c>
      <c r="M5718">
        <f>VLOOKUP(Table1[[#This Row],[subscription_type]],Plans!$A$1:$B$5,2,FALSE)</f>
        <v>4.99</v>
      </c>
      <c r="N5718">
        <f t="shared" si="89"/>
        <v>0</v>
      </c>
    </row>
    <row r="5719" spans="1:14" x14ac:dyDescent="0.35">
      <c r="A5719">
        <v>5718</v>
      </c>
      <c r="B5719" t="s">
        <v>16</v>
      </c>
      <c r="C5719">
        <v>39</v>
      </c>
      <c r="D5719" t="s">
        <v>29</v>
      </c>
      <c r="E5719" t="s">
        <v>18</v>
      </c>
      <c r="F5719">
        <v>115</v>
      </c>
      <c r="G5719">
        <v>84</v>
      </c>
      <c r="H5719">
        <v>0.55000000000000004</v>
      </c>
      <c r="I5719" t="s">
        <v>15</v>
      </c>
      <c r="J5719">
        <v>0</v>
      </c>
      <c r="K5719">
        <v>1</v>
      </c>
      <c r="L5719">
        <v>0</v>
      </c>
      <c r="M5719">
        <f>VLOOKUP(Table1[[#This Row],[subscription_type]],Plans!$A$1:$B$5,2,FALSE)</f>
        <v>14.99</v>
      </c>
      <c r="N5719">
        <f t="shared" si="89"/>
        <v>0</v>
      </c>
    </row>
    <row r="5720" spans="1:14" x14ac:dyDescent="0.35">
      <c r="A5720">
        <v>5719</v>
      </c>
      <c r="B5720" t="s">
        <v>12</v>
      </c>
      <c r="C5720">
        <v>21</v>
      </c>
      <c r="D5720" t="s">
        <v>17</v>
      </c>
      <c r="E5720" t="s">
        <v>24</v>
      </c>
      <c r="F5720">
        <v>36</v>
      </c>
      <c r="G5720">
        <v>40</v>
      </c>
      <c r="H5720">
        <v>0.27</v>
      </c>
      <c r="I5720" t="s">
        <v>15</v>
      </c>
      <c r="J5720">
        <v>0</v>
      </c>
      <c r="K5720">
        <v>1</v>
      </c>
      <c r="L5720">
        <v>0</v>
      </c>
      <c r="M5720">
        <f>VLOOKUP(Table1[[#This Row],[subscription_type]],Plans!$A$1:$B$5,2,FALSE)</f>
        <v>4.99</v>
      </c>
      <c r="N5720">
        <f t="shared" si="89"/>
        <v>0</v>
      </c>
    </row>
    <row r="5721" spans="1:14" x14ac:dyDescent="0.35">
      <c r="A5721">
        <v>5720</v>
      </c>
      <c r="B5721" t="s">
        <v>12</v>
      </c>
      <c r="C5721">
        <v>16</v>
      </c>
      <c r="D5721" t="s">
        <v>13</v>
      </c>
      <c r="E5721" t="s">
        <v>14</v>
      </c>
      <c r="F5721">
        <v>65</v>
      </c>
      <c r="G5721">
        <v>95</v>
      </c>
      <c r="H5721">
        <v>0.59</v>
      </c>
      <c r="I5721" t="s">
        <v>15</v>
      </c>
      <c r="J5721">
        <v>11</v>
      </c>
      <c r="K5721">
        <v>0</v>
      </c>
      <c r="L5721">
        <v>0</v>
      </c>
      <c r="M5721">
        <f>VLOOKUP(Table1[[#This Row],[subscription_type]],Plans!$A$1:$B$5,2,FALSE)</f>
        <v>0</v>
      </c>
      <c r="N5721">
        <f t="shared" si="89"/>
        <v>0</v>
      </c>
    </row>
    <row r="5722" spans="1:14" x14ac:dyDescent="0.35">
      <c r="A5722">
        <v>5721</v>
      </c>
      <c r="B5722" t="s">
        <v>20</v>
      </c>
      <c r="C5722">
        <v>47</v>
      </c>
      <c r="D5722" t="s">
        <v>13</v>
      </c>
      <c r="E5722" t="s">
        <v>18</v>
      </c>
      <c r="F5722">
        <v>122</v>
      </c>
      <c r="G5722">
        <v>1</v>
      </c>
      <c r="H5722">
        <v>0.47</v>
      </c>
      <c r="I5722" t="s">
        <v>23</v>
      </c>
      <c r="J5722">
        <v>0</v>
      </c>
      <c r="K5722">
        <v>1</v>
      </c>
      <c r="L5722">
        <v>0</v>
      </c>
      <c r="M5722">
        <f>VLOOKUP(Table1[[#This Row],[subscription_type]],Plans!$A$1:$B$5,2,FALSE)</f>
        <v>14.99</v>
      </c>
      <c r="N5722">
        <f t="shared" si="89"/>
        <v>0</v>
      </c>
    </row>
    <row r="5723" spans="1:14" x14ac:dyDescent="0.35">
      <c r="A5723">
        <v>5722</v>
      </c>
      <c r="B5723" t="s">
        <v>16</v>
      </c>
      <c r="C5723">
        <v>47</v>
      </c>
      <c r="D5723" t="s">
        <v>27</v>
      </c>
      <c r="E5723" t="s">
        <v>22</v>
      </c>
      <c r="F5723">
        <v>82</v>
      </c>
      <c r="G5723">
        <v>72</v>
      </c>
      <c r="H5723">
        <v>0.27</v>
      </c>
      <c r="I5723" t="s">
        <v>19</v>
      </c>
      <c r="J5723">
        <v>0</v>
      </c>
      <c r="K5723">
        <v>1</v>
      </c>
      <c r="L5723">
        <v>1</v>
      </c>
      <c r="M5723">
        <f>VLOOKUP(Table1[[#This Row],[subscription_type]],Plans!$A$1:$B$5,2,FALSE)</f>
        <v>9.99</v>
      </c>
      <c r="N5723">
        <f t="shared" si="89"/>
        <v>9.99</v>
      </c>
    </row>
    <row r="5724" spans="1:14" x14ac:dyDescent="0.35">
      <c r="A5724">
        <v>5723</v>
      </c>
      <c r="B5724" t="s">
        <v>20</v>
      </c>
      <c r="C5724">
        <v>16</v>
      </c>
      <c r="D5724" t="s">
        <v>26</v>
      </c>
      <c r="E5724" t="s">
        <v>14</v>
      </c>
      <c r="F5724">
        <v>270</v>
      </c>
      <c r="G5724">
        <v>77</v>
      </c>
      <c r="H5724">
        <v>0.19</v>
      </c>
      <c r="I5724" t="s">
        <v>23</v>
      </c>
      <c r="J5724">
        <v>48</v>
      </c>
      <c r="K5724">
        <v>0</v>
      </c>
      <c r="L5724">
        <v>0</v>
      </c>
      <c r="M5724">
        <f>VLOOKUP(Table1[[#This Row],[subscription_type]],Plans!$A$1:$B$5,2,FALSE)</f>
        <v>0</v>
      </c>
      <c r="N5724">
        <f t="shared" si="89"/>
        <v>0</v>
      </c>
    </row>
    <row r="5725" spans="1:14" x14ac:dyDescent="0.35">
      <c r="A5725">
        <v>5724</v>
      </c>
      <c r="B5725" t="s">
        <v>20</v>
      </c>
      <c r="C5725">
        <v>58</v>
      </c>
      <c r="D5725" t="s">
        <v>29</v>
      </c>
      <c r="E5725" t="s">
        <v>18</v>
      </c>
      <c r="F5725">
        <v>123</v>
      </c>
      <c r="G5725">
        <v>49</v>
      </c>
      <c r="H5725">
        <v>0.17</v>
      </c>
      <c r="I5725" t="s">
        <v>19</v>
      </c>
      <c r="J5725">
        <v>0</v>
      </c>
      <c r="K5725">
        <v>1</v>
      </c>
      <c r="L5725">
        <v>0</v>
      </c>
      <c r="M5725">
        <f>VLOOKUP(Table1[[#This Row],[subscription_type]],Plans!$A$1:$B$5,2,FALSE)</f>
        <v>14.99</v>
      </c>
      <c r="N5725">
        <f t="shared" si="89"/>
        <v>0</v>
      </c>
    </row>
    <row r="5726" spans="1:14" x14ac:dyDescent="0.35">
      <c r="A5726">
        <v>5725</v>
      </c>
      <c r="B5726" t="s">
        <v>16</v>
      </c>
      <c r="C5726">
        <v>18</v>
      </c>
      <c r="D5726" t="s">
        <v>27</v>
      </c>
      <c r="E5726" t="s">
        <v>24</v>
      </c>
      <c r="F5726">
        <v>296</v>
      </c>
      <c r="G5726">
        <v>90</v>
      </c>
      <c r="H5726">
        <v>0.05</v>
      </c>
      <c r="I5726" t="s">
        <v>19</v>
      </c>
      <c r="J5726">
        <v>0</v>
      </c>
      <c r="K5726">
        <v>1</v>
      </c>
      <c r="L5726">
        <v>1</v>
      </c>
      <c r="M5726">
        <f>VLOOKUP(Table1[[#This Row],[subscription_type]],Plans!$A$1:$B$5,2,FALSE)</f>
        <v>4.99</v>
      </c>
      <c r="N5726">
        <f t="shared" si="89"/>
        <v>4.99</v>
      </c>
    </row>
    <row r="5727" spans="1:14" x14ac:dyDescent="0.35">
      <c r="A5727">
        <v>5726</v>
      </c>
      <c r="B5727" t="s">
        <v>16</v>
      </c>
      <c r="C5727">
        <v>32</v>
      </c>
      <c r="D5727" t="s">
        <v>17</v>
      </c>
      <c r="E5727" t="s">
        <v>18</v>
      </c>
      <c r="F5727">
        <v>164</v>
      </c>
      <c r="G5727">
        <v>32</v>
      </c>
      <c r="H5727">
        <v>0.21</v>
      </c>
      <c r="I5727" t="s">
        <v>15</v>
      </c>
      <c r="J5727">
        <v>0</v>
      </c>
      <c r="K5727">
        <v>1</v>
      </c>
      <c r="L5727">
        <v>0</v>
      </c>
      <c r="M5727">
        <f>VLOOKUP(Table1[[#This Row],[subscription_type]],Plans!$A$1:$B$5,2,FALSE)</f>
        <v>14.99</v>
      </c>
      <c r="N5727">
        <f t="shared" si="89"/>
        <v>0</v>
      </c>
    </row>
    <row r="5728" spans="1:14" x14ac:dyDescent="0.35">
      <c r="A5728">
        <v>5727</v>
      </c>
      <c r="B5728" t="s">
        <v>16</v>
      </c>
      <c r="C5728">
        <v>54</v>
      </c>
      <c r="D5728" t="s">
        <v>13</v>
      </c>
      <c r="E5728" t="s">
        <v>22</v>
      </c>
      <c r="F5728">
        <v>88</v>
      </c>
      <c r="G5728">
        <v>24</v>
      </c>
      <c r="H5728">
        <v>0.51</v>
      </c>
      <c r="I5728" t="s">
        <v>19</v>
      </c>
      <c r="J5728">
        <v>0</v>
      </c>
      <c r="K5728">
        <v>1</v>
      </c>
      <c r="L5728">
        <v>1</v>
      </c>
      <c r="M5728">
        <f>VLOOKUP(Table1[[#This Row],[subscription_type]],Plans!$A$1:$B$5,2,FALSE)</f>
        <v>9.99</v>
      </c>
      <c r="N5728">
        <f t="shared" si="89"/>
        <v>9.99</v>
      </c>
    </row>
    <row r="5729" spans="1:14" x14ac:dyDescent="0.35">
      <c r="A5729">
        <v>5728</v>
      </c>
      <c r="B5729" t="s">
        <v>12</v>
      </c>
      <c r="C5729">
        <v>53</v>
      </c>
      <c r="D5729" t="s">
        <v>29</v>
      </c>
      <c r="E5729" t="s">
        <v>18</v>
      </c>
      <c r="F5729">
        <v>249</v>
      </c>
      <c r="G5729">
        <v>53</v>
      </c>
      <c r="H5729">
        <v>0.28000000000000003</v>
      </c>
      <c r="I5729" t="s">
        <v>23</v>
      </c>
      <c r="J5729">
        <v>0</v>
      </c>
      <c r="K5729">
        <v>1</v>
      </c>
      <c r="L5729">
        <v>1</v>
      </c>
      <c r="M5729">
        <f>VLOOKUP(Table1[[#This Row],[subscription_type]],Plans!$A$1:$B$5,2,FALSE)</f>
        <v>14.99</v>
      </c>
      <c r="N5729">
        <f t="shared" si="89"/>
        <v>14.99</v>
      </c>
    </row>
    <row r="5730" spans="1:14" x14ac:dyDescent="0.35">
      <c r="A5730">
        <v>5729</v>
      </c>
      <c r="B5730" t="s">
        <v>20</v>
      </c>
      <c r="C5730">
        <v>36</v>
      </c>
      <c r="D5730" t="s">
        <v>13</v>
      </c>
      <c r="E5730" t="s">
        <v>24</v>
      </c>
      <c r="F5730">
        <v>51</v>
      </c>
      <c r="G5730">
        <v>91</v>
      </c>
      <c r="H5730">
        <v>0.31</v>
      </c>
      <c r="I5730" t="s">
        <v>15</v>
      </c>
      <c r="J5730">
        <v>0</v>
      </c>
      <c r="K5730">
        <v>1</v>
      </c>
      <c r="L5730">
        <v>0</v>
      </c>
      <c r="M5730">
        <f>VLOOKUP(Table1[[#This Row],[subscription_type]],Plans!$A$1:$B$5,2,FALSE)</f>
        <v>4.99</v>
      </c>
      <c r="N5730">
        <f t="shared" si="89"/>
        <v>0</v>
      </c>
    </row>
    <row r="5731" spans="1:14" x14ac:dyDescent="0.35">
      <c r="A5731">
        <v>5730</v>
      </c>
      <c r="B5731" t="s">
        <v>20</v>
      </c>
      <c r="C5731">
        <v>53</v>
      </c>
      <c r="D5731" t="s">
        <v>25</v>
      </c>
      <c r="E5731" t="s">
        <v>24</v>
      </c>
      <c r="F5731">
        <v>218</v>
      </c>
      <c r="G5731">
        <v>47</v>
      </c>
      <c r="H5731">
        <v>0.08</v>
      </c>
      <c r="I5731" t="s">
        <v>23</v>
      </c>
      <c r="J5731">
        <v>0</v>
      </c>
      <c r="K5731">
        <v>1</v>
      </c>
      <c r="L5731">
        <v>0</v>
      </c>
      <c r="M5731">
        <f>VLOOKUP(Table1[[#This Row],[subscription_type]],Plans!$A$1:$B$5,2,FALSE)</f>
        <v>4.99</v>
      </c>
      <c r="N5731">
        <f t="shared" si="89"/>
        <v>0</v>
      </c>
    </row>
    <row r="5732" spans="1:14" x14ac:dyDescent="0.35">
      <c r="A5732">
        <v>5731</v>
      </c>
      <c r="B5732" t="s">
        <v>12</v>
      </c>
      <c r="C5732">
        <v>27</v>
      </c>
      <c r="D5732" t="s">
        <v>13</v>
      </c>
      <c r="E5732" t="s">
        <v>18</v>
      </c>
      <c r="F5732">
        <v>104</v>
      </c>
      <c r="G5732">
        <v>66</v>
      </c>
      <c r="H5732">
        <v>0.45</v>
      </c>
      <c r="I5732" t="s">
        <v>15</v>
      </c>
      <c r="J5732">
        <v>0</v>
      </c>
      <c r="K5732">
        <v>1</v>
      </c>
      <c r="L5732">
        <v>0</v>
      </c>
      <c r="M5732">
        <f>VLOOKUP(Table1[[#This Row],[subscription_type]],Plans!$A$1:$B$5,2,FALSE)</f>
        <v>14.99</v>
      </c>
      <c r="N5732">
        <f t="shared" si="89"/>
        <v>0</v>
      </c>
    </row>
    <row r="5733" spans="1:14" x14ac:dyDescent="0.35">
      <c r="A5733">
        <v>5732</v>
      </c>
      <c r="B5733" t="s">
        <v>20</v>
      </c>
      <c r="C5733">
        <v>18</v>
      </c>
      <c r="D5733" t="s">
        <v>21</v>
      </c>
      <c r="E5733" t="s">
        <v>24</v>
      </c>
      <c r="F5733">
        <v>105</v>
      </c>
      <c r="G5733">
        <v>51</v>
      </c>
      <c r="H5733">
        <v>0.01</v>
      </c>
      <c r="I5733" t="s">
        <v>23</v>
      </c>
      <c r="J5733">
        <v>0</v>
      </c>
      <c r="K5733">
        <v>1</v>
      </c>
      <c r="L5733">
        <v>1</v>
      </c>
      <c r="M5733">
        <f>VLOOKUP(Table1[[#This Row],[subscription_type]],Plans!$A$1:$B$5,2,FALSE)</f>
        <v>4.99</v>
      </c>
      <c r="N5733">
        <f t="shared" si="89"/>
        <v>4.99</v>
      </c>
    </row>
    <row r="5734" spans="1:14" x14ac:dyDescent="0.35">
      <c r="A5734">
        <v>5733</v>
      </c>
      <c r="B5734" t="s">
        <v>16</v>
      </c>
      <c r="C5734">
        <v>17</v>
      </c>
      <c r="D5734" t="s">
        <v>21</v>
      </c>
      <c r="E5734" t="s">
        <v>24</v>
      </c>
      <c r="F5734">
        <v>299</v>
      </c>
      <c r="G5734">
        <v>26</v>
      </c>
      <c r="H5734">
        <v>0.16</v>
      </c>
      <c r="I5734" t="s">
        <v>23</v>
      </c>
      <c r="J5734">
        <v>0</v>
      </c>
      <c r="K5734">
        <v>1</v>
      </c>
      <c r="L5734">
        <v>0</v>
      </c>
      <c r="M5734">
        <f>VLOOKUP(Table1[[#This Row],[subscription_type]],Plans!$A$1:$B$5,2,FALSE)</f>
        <v>4.99</v>
      </c>
      <c r="N5734">
        <f t="shared" si="89"/>
        <v>0</v>
      </c>
    </row>
    <row r="5735" spans="1:14" x14ac:dyDescent="0.35">
      <c r="A5735">
        <v>5734</v>
      </c>
      <c r="B5735" t="s">
        <v>16</v>
      </c>
      <c r="C5735">
        <v>57</v>
      </c>
      <c r="D5735" t="s">
        <v>29</v>
      </c>
      <c r="E5735" t="s">
        <v>24</v>
      </c>
      <c r="F5735">
        <v>115</v>
      </c>
      <c r="G5735">
        <v>54</v>
      </c>
      <c r="H5735">
        <v>0.09</v>
      </c>
      <c r="I5735" t="s">
        <v>15</v>
      </c>
      <c r="J5735">
        <v>0</v>
      </c>
      <c r="K5735">
        <v>1</v>
      </c>
      <c r="L5735">
        <v>0</v>
      </c>
      <c r="M5735">
        <f>VLOOKUP(Table1[[#This Row],[subscription_type]],Plans!$A$1:$B$5,2,FALSE)</f>
        <v>4.99</v>
      </c>
      <c r="N5735">
        <f t="shared" si="89"/>
        <v>0</v>
      </c>
    </row>
    <row r="5736" spans="1:14" x14ac:dyDescent="0.35">
      <c r="A5736">
        <v>5735</v>
      </c>
      <c r="B5736" t="s">
        <v>20</v>
      </c>
      <c r="C5736">
        <v>25</v>
      </c>
      <c r="D5736" t="s">
        <v>25</v>
      </c>
      <c r="E5736" t="s">
        <v>14</v>
      </c>
      <c r="F5736">
        <v>68</v>
      </c>
      <c r="G5736">
        <v>13</v>
      </c>
      <c r="H5736">
        <v>0.51</v>
      </c>
      <c r="I5736" t="s">
        <v>15</v>
      </c>
      <c r="J5736">
        <v>27</v>
      </c>
      <c r="K5736">
        <v>0</v>
      </c>
      <c r="L5736">
        <v>1</v>
      </c>
      <c r="M5736">
        <f>VLOOKUP(Table1[[#This Row],[subscription_type]],Plans!$A$1:$B$5,2,FALSE)</f>
        <v>0</v>
      </c>
      <c r="N5736">
        <f t="shared" si="89"/>
        <v>0</v>
      </c>
    </row>
    <row r="5737" spans="1:14" x14ac:dyDescent="0.35">
      <c r="A5737">
        <v>5736</v>
      </c>
      <c r="B5737" t="s">
        <v>20</v>
      </c>
      <c r="C5737">
        <v>48</v>
      </c>
      <c r="D5737" t="s">
        <v>21</v>
      </c>
      <c r="E5737" t="s">
        <v>22</v>
      </c>
      <c r="F5737">
        <v>86</v>
      </c>
      <c r="G5737">
        <v>87</v>
      </c>
      <c r="H5737">
        <v>0.08</v>
      </c>
      <c r="I5737" t="s">
        <v>23</v>
      </c>
      <c r="J5737">
        <v>0</v>
      </c>
      <c r="K5737">
        <v>1</v>
      </c>
      <c r="L5737">
        <v>0</v>
      </c>
      <c r="M5737">
        <f>VLOOKUP(Table1[[#This Row],[subscription_type]],Plans!$A$1:$B$5,2,FALSE)</f>
        <v>9.99</v>
      </c>
      <c r="N5737">
        <f t="shared" si="89"/>
        <v>0</v>
      </c>
    </row>
    <row r="5738" spans="1:14" x14ac:dyDescent="0.35">
      <c r="A5738">
        <v>5737</v>
      </c>
      <c r="B5738" t="s">
        <v>12</v>
      </c>
      <c r="C5738">
        <v>41</v>
      </c>
      <c r="D5738" t="s">
        <v>21</v>
      </c>
      <c r="E5738" t="s">
        <v>18</v>
      </c>
      <c r="F5738">
        <v>188</v>
      </c>
      <c r="G5738">
        <v>92</v>
      </c>
      <c r="H5738">
        <v>0.52</v>
      </c>
      <c r="I5738" t="s">
        <v>19</v>
      </c>
      <c r="J5738">
        <v>0</v>
      </c>
      <c r="K5738">
        <v>1</v>
      </c>
      <c r="L5738">
        <v>0</v>
      </c>
      <c r="M5738">
        <f>VLOOKUP(Table1[[#This Row],[subscription_type]],Plans!$A$1:$B$5,2,FALSE)</f>
        <v>14.99</v>
      </c>
      <c r="N5738">
        <f t="shared" si="89"/>
        <v>0</v>
      </c>
    </row>
    <row r="5739" spans="1:14" x14ac:dyDescent="0.35">
      <c r="A5739">
        <v>5738</v>
      </c>
      <c r="B5739" t="s">
        <v>16</v>
      </c>
      <c r="C5739">
        <v>16</v>
      </c>
      <c r="D5739" t="s">
        <v>26</v>
      </c>
      <c r="E5739" t="s">
        <v>24</v>
      </c>
      <c r="F5739">
        <v>238</v>
      </c>
      <c r="G5739">
        <v>3</v>
      </c>
      <c r="H5739">
        <v>0.44</v>
      </c>
      <c r="I5739" t="s">
        <v>15</v>
      </c>
      <c r="J5739">
        <v>0</v>
      </c>
      <c r="K5739">
        <v>1</v>
      </c>
      <c r="L5739">
        <v>0</v>
      </c>
      <c r="M5739">
        <f>VLOOKUP(Table1[[#This Row],[subscription_type]],Plans!$A$1:$B$5,2,FALSE)</f>
        <v>4.99</v>
      </c>
      <c r="N5739">
        <f t="shared" si="89"/>
        <v>0</v>
      </c>
    </row>
    <row r="5740" spans="1:14" x14ac:dyDescent="0.35">
      <c r="A5740">
        <v>5739</v>
      </c>
      <c r="B5740" t="s">
        <v>12</v>
      </c>
      <c r="C5740">
        <v>52</v>
      </c>
      <c r="D5740" t="s">
        <v>26</v>
      </c>
      <c r="E5740" t="s">
        <v>14</v>
      </c>
      <c r="F5740">
        <v>137</v>
      </c>
      <c r="G5740">
        <v>65</v>
      </c>
      <c r="H5740">
        <v>0.33</v>
      </c>
      <c r="I5740" t="s">
        <v>15</v>
      </c>
      <c r="J5740">
        <v>46</v>
      </c>
      <c r="K5740">
        <v>0</v>
      </c>
      <c r="L5740">
        <v>1</v>
      </c>
      <c r="M5740">
        <f>VLOOKUP(Table1[[#This Row],[subscription_type]],Plans!$A$1:$B$5,2,FALSE)</f>
        <v>0</v>
      </c>
      <c r="N5740">
        <f t="shared" si="89"/>
        <v>0</v>
      </c>
    </row>
    <row r="5741" spans="1:14" x14ac:dyDescent="0.35">
      <c r="A5741">
        <v>5740</v>
      </c>
      <c r="B5741" t="s">
        <v>12</v>
      </c>
      <c r="C5741">
        <v>40</v>
      </c>
      <c r="D5741" t="s">
        <v>28</v>
      </c>
      <c r="E5741" t="s">
        <v>22</v>
      </c>
      <c r="F5741">
        <v>83</v>
      </c>
      <c r="G5741">
        <v>90</v>
      </c>
      <c r="H5741">
        <v>0.54</v>
      </c>
      <c r="I5741" t="s">
        <v>23</v>
      </c>
      <c r="J5741">
        <v>0</v>
      </c>
      <c r="K5741">
        <v>1</v>
      </c>
      <c r="L5741">
        <v>0</v>
      </c>
      <c r="M5741">
        <f>VLOOKUP(Table1[[#This Row],[subscription_type]],Plans!$A$1:$B$5,2,FALSE)</f>
        <v>9.99</v>
      </c>
      <c r="N5741">
        <f t="shared" si="89"/>
        <v>0</v>
      </c>
    </row>
    <row r="5742" spans="1:14" x14ac:dyDescent="0.35">
      <c r="A5742">
        <v>5741</v>
      </c>
      <c r="B5742" t="s">
        <v>12</v>
      </c>
      <c r="C5742">
        <v>52</v>
      </c>
      <c r="D5742" t="s">
        <v>13</v>
      </c>
      <c r="E5742" t="s">
        <v>14</v>
      </c>
      <c r="F5742">
        <v>281</v>
      </c>
      <c r="G5742">
        <v>80</v>
      </c>
      <c r="H5742">
        <v>0.56999999999999995</v>
      </c>
      <c r="I5742" t="s">
        <v>15</v>
      </c>
      <c r="J5742">
        <v>17</v>
      </c>
      <c r="K5742">
        <v>0</v>
      </c>
      <c r="L5742">
        <v>0</v>
      </c>
      <c r="M5742">
        <f>VLOOKUP(Table1[[#This Row],[subscription_type]],Plans!$A$1:$B$5,2,FALSE)</f>
        <v>0</v>
      </c>
      <c r="N5742">
        <f t="shared" si="89"/>
        <v>0</v>
      </c>
    </row>
    <row r="5743" spans="1:14" x14ac:dyDescent="0.35">
      <c r="A5743">
        <v>5742</v>
      </c>
      <c r="B5743" t="s">
        <v>16</v>
      </c>
      <c r="C5743">
        <v>49</v>
      </c>
      <c r="D5743" t="s">
        <v>17</v>
      </c>
      <c r="E5743" t="s">
        <v>14</v>
      </c>
      <c r="F5743">
        <v>290</v>
      </c>
      <c r="G5743">
        <v>2</v>
      </c>
      <c r="H5743">
        <v>0.43</v>
      </c>
      <c r="I5743" t="s">
        <v>15</v>
      </c>
      <c r="J5743">
        <v>35</v>
      </c>
      <c r="K5743">
        <v>0</v>
      </c>
      <c r="L5743">
        <v>0</v>
      </c>
      <c r="M5743">
        <f>VLOOKUP(Table1[[#This Row],[subscription_type]],Plans!$A$1:$B$5,2,FALSE)</f>
        <v>0</v>
      </c>
      <c r="N5743">
        <f t="shared" si="89"/>
        <v>0</v>
      </c>
    </row>
    <row r="5744" spans="1:14" x14ac:dyDescent="0.35">
      <c r="A5744">
        <v>5743</v>
      </c>
      <c r="B5744" t="s">
        <v>12</v>
      </c>
      <c r="C5744">
        <v>45</v>
      </c>
      <c r="D5744" t="s">
        <v>26</v>
      </c>
      <c r="E5744" t="s">
        <v>14</v>
      </c>
      <c r="F5744">
        <v>76</v>
      </c>
      <c r="G5744">
        <v>54</v>
      </c>
      <c r="H5744">
        <v>0.5</v>
      </c>
      <c r="I5744" t="s">
        <v>23</v>
      </c>
      <c r="J5744">
        <v>41</v>
      </c>
      <c r="K5744">
        <v>0</v>
      </c>
      <c r="L5744">
        <v>0</v>
      </c>
      <c r="M5744">
        <f>VLOOKUP(Table1[[#This Row],[subscription_type]],Plans!$A$1:$B$5,2,FALSE)</f>
        <v>0</v>
      </c>
      <c r="N5744">
        <f t="shared" si="89"/>
        <v>0</v>
      </c>
    </row>
    <row r="5745" spans="1:14" x14ac:dyDescent="0.35">
      <c r="A5745">
        <v>5744</v>
      </c>
      <c r="B5745" t="s">
        <v>12</v>
      </c>
      <c r="C5745">
        <v>53</v>
      </c>
      <c r="D5745" t="s">
        <v>28</v>
      </c>
      <c r="E5745" t="s">
        <v>18</v>
      </c>
      <c r="F5745">
        <v>192</v>
      </c>
      <c r="G5745">
        <v>56</v>
      </c>
      <c r="H5745">
        <v>0.43</v>
      </c>
      <c r="I5745" t="s">
        <v>19</v>
      </c>
      <c r="J5745">
        <v>0</v>
      </c>
      <c r="K5745">
        <v>1</v>
      </c>
      <c r="L5745">
        <v>0</v>
      </c>
      <c r="M5745">
        <f>VLOOKUP(Table1[[#This Row],[subscription_type]],Plans!$A$1:$B$5,2,FALSE)</f>
        <v>14.99</v>
      </c>
      <c r="N5745">
        <f t="shared" si="89"/>
        <v>0</v>
      </c>
    </row>
    <row r="5746" spans="1:14" x14ac:dyDescent="0.35">
      <c r="A5746">
        <v>5745</v>
      </c>
      <c r="B5746" t="s">
        <v>16</v>
      </c>
      <c r="C5746">
        <v>20</v>
      </c>
      <c r="D5746" t="s">
        <v>27</v>
      </c>
      <c r="E5746" t="s">
        <v>14</v>
      </c>
      <c r="F5746">
        <v>82</v>
      </c>
      <c r="G5746">
        <v>12</v>
      </c>
      <c r="H5746">
        <v>0.56000000000000005</v>
      </c>
      <c r="I5746" t="s">
        <v>19</v>
      </c>
      <c r="J5746">
        <v>37</v>
      </c>
      <c r="K5746">
        <v>0</v>
      </c>
      <c r="L5746">
        <v>0</v>
      </c>
      <c r="M5746">
        <f>VLOOKUP(Table1[[#This Row],[subscription_type]],Plans!$A$1:$B$5,2,FALSE)</f>
        <v>0</v>
      </c>
      <c r="N5746">
        <f t="shared" si="89"/>
        <v>0</v>
      </c>
    </row>
    <row r="5747" spans="1:14" x14ac:dyDescent="0.35">
      <c r="A5747">
        <v>5746</v>
      </c>
      <c r="B5747" t="s">
        <v>20</v>
      </c>
      <c r="C5747">
        <v>50</v>
      </c>
      <c r="D5747" t="s">
        <v>28</v>
      </c>
      <c r="E5747" t="s">
        <v>14</v>
      </c>
      <c r="F5747">
        <v>170</v>
      </c>
      <c r="G5747">
        <v>88</v>
      </c>
      <c r="H5747">
        <v>0.36</v>
      </c>
      <c r="I5747" t="s">
        <v>15</v>
      </c>
      <c r="J5747">
        <v>10</v>
      </c>
      <c r="K5747">
        <v>0</v>
      </c>
      <c r="L5747">
        <v>0</v>
      </c>
      <c r="M5747">
        <f>VLOOKUP(Table1[[#This Row],[subscription_type]],Plans!$A$1:$B$5,2,FALSE)</f>
        <v>0</v>
      </c>
      <c r="N5747">
        <f t="shared" si="89"/>
        <v>0</v>
      </c>
    </row>
    <row r="5748" spans="1:14" x14ac:dyDescent="0.35">
      <c r="A5748">
        <v>5747</v>
      </c>
      <c r="B5748" t="s">
        <v>12</v>
      </c>
      <c r="C5748">
        <v>39</v>
      </c>
      <c r="D5748" t="s">
        <v>29</v>
      </c>
      <c r="E5748" t="s">
        <v>22</v>
      </c>
      <c r="F5748">
        <v>286</v>
      </c>
      <c r="G5748">
        <v>7</v>
      </c>
      <c r="H5748">
        <v>0.18</v>
      </c>
      <c r="I5748" t="s">
        <v>15</v>
      </c>
      <c r="J5748">
        <v>0</v>
      </c>
      <c r="K5748">
        <v>1</v>
      </c>
      <c r="L5748">
        <v>0</v>
      </c>
      <c r="M5748">
        <f>VLOOKUP(Table1[[#This Row],[subscription_type]],Plans!$A$1:$B$5,2,FALSE)</f>
        <v>9.99</v>
      </c>
      <c r="N5748">
        <f t="shared" si="89"/>
        <v>0</v>
      </c>
    </row>
    <row r="5749" spans="1:14" x14ac:dyDescent="0.35">
      <c r="A5749">
        <v>5748</v>
      </c>
      <c r="B5749" t="s">
        <v>20</v>
      </c>
      <c r="C5749">
        <v>58</v>
      </c>
      <c r="D5749" t="s">
        <v>29</v>
      </c>
      <c r="E5749" t="s">
        <v>22</v>
      </c>
      <c r="F5749">
        <v>134</v>
      </c>
      <c r="G5749">
        <v>13</v>
      </c>
      <c r="H5749">
        <v>0.01</v>
      </c>
      <c r="I5749" t="s">
        <v>15</v>
      </c>
      <c r="J5749">
        <v>0</v>
      </c>
      <c r="K5749">
        <v>1</v>
      </c>
      <c r="L5749">
        <v>0</v>
      </c>
      <c r="M5749">
        <f>VLOOKUP(Table1[[#This Row],[subscription_type]],Plans!$A$1:$B$5,2,FALSE)</f>
        <v>9.99</v>
      </c>
      <c r="N5749">
        <f t="shared" si="89"/>
        <v>0</v>
      </c>
    </row>
    <row r="5750" spans="1:14" x14ac:dyDescent="0.35">
      <c r="A5750">
        <v>5749</v>
      </c>
      <c r="B5750" t="s">
        <v>16</v>
      </c>
      <c r="C5750">
        <v>24</v>
      </c>
      <c r="D5750" t="s">
        <v>28</v>
      </c>
      <c r="E5750" t="s">
        <v>18</v>
      </c>
      <c r="F5750">
        <v>51</v>
      </c>
      <c r="G5750">
        <v>44</v>
      </c>
      <c r="H5750">
        <v>0.46</v>
      </c>
      <c r="I5750" t="s">
        <v>19</v>
      </c>
      <c r="J5750">
        <v>0</v>
      </c>
      <c r="K5750">
        <v>1</v>
      </c>
      <c r="L5750">
        <v>0</v>
      </c>
      <c r="M5750">
        <f>VLOOKUP(Table1[[#This Row],[subscription_type]],Plans!$A$1:$B$5,2,FALSE)</f>
        <v>14.99</v>
      </c>
      <c r="N5750">
        <f t="shared" si="89"/>
        <v>0</v>
      </c>
    </row>
    <row r="5751" spans="1:14" x14ac:dyDescent="0.35">
      <c r="A5751">
        <v>5750</v>
      </c>
      <c r="B5751" t="s">
        <v>20</v>
      </c>
      <c r="C5751">
        <v>22</v>
      </c>
      <c r="D5751" t="s">
        <v>25</v>
      </c>
      <c r="E5751" t="s">
        <v>14</v>
      </c>
      <c r="F5751">
        <v>295</v>
      </c>
      <c r="G5751">
        <v>21</v>
      </c>
      <c r="H5751">
        <v>0.27</v>
      </c>
      <c r="I5751" t="s">
        <v>19</v>
      </c>
      <c r="J5751">
        <v>17</v>
      </c>
      <c r="K5751">
        <v>0</v>
      </c>
      <c r="L5751">
        <v>1</v>
      </c>
      <c r="M5751">
        <f>VLOOKUP(Table1[[#This Row],[subscription_type]],Plans!$A$1:$B$5,2,FALSE)</f>
        <v>0</v>
      </c>
      <c r="N5751">
        <f t="shared" si="89"/>
        <v>0</v>
      </c>
    </row>
    <row r="5752" spans="1:14" x14ac:dyDescent="0.35">
      <c r="A5752">
        <v>5751</v>
      </c>
      <c r="B5752" t="s">
        <v>20</v>
      </c>
      <c r="C5752">
        <v>49</v>
      </c>
      <c r="D5752" t="s">
        <v>13</v>
      </c>
      <c r="E5752" t="s">
        <v>22</v>
      </c>
      <c r="F5752">
        <v>248</v>
      </c>
      <c r="G5752">
        <v>61</v>
      </c>
      <c r="H5752">
        <v>0.49</v>
      </c>
      <c r="I5752" t="s">
        <v>23</v>
      </c>
      <c r="J5752">
        <v>0</v>
      </c>
      <c r="K5752">
        <v>1</v>
      </c>
      <c r="L5752">
        <v>0</v>
      </c>
      <c r="M5752">
        <f>VLOOKUP(Table1[[#This Row],[subscription_type]],Plans!$A$1:$B$5,2,FALSE)</f>
        <v>9.99</v>
      </c>
      <c r="N5752">
        <f t="shared" si="89"/>
        <v>0</v>
      </c>
    </row>
    <row r="5753" spans="1:14" x14ac:dyDescent="0.35">
      <c r="A5753">
        <v>5752</v>
      </c>
      <c r="B5753" t="s">
        <v>20</v>
      </c>
      <c r="C5753">
        <v>34</v>
      </c>
      <c r="D5753" t="s">
        <v>13</v>
      </c>
      <c r="E5753" t="s">
        <v>24</v>
      </c>
      <c r="F5753">
        <v>26</v>
      </c>
      <c r="G5753">
        <v>56</v>
      </c>
      <c r="H5753">
        <v>0.52</v>
      </c>
      <c r="I5753" t="s">
        <v>23</v>
      </c>
      <c r="J5753">
        <v>0</v>
      </c>
      <c r="K5753">
        <v>1</v>
      </c>
      <c r="L5753">
        <v>0</v>
      </c>
      <c r="M5753">
        <f>VLOOKUP(Table1[[#This Row],[subscription_type]],Plans!$A$1:$B$5,2,FALSE)</f>
        <v>4.99</v>
      </c>
      <c r="N5753">
        <f t="shared" si="89"/>
        <v>0</v>
      </c>
    </row>
    <row r="5754" spans="1:14" x14ac:dyDescent="0.35">
      <c r="A5754">
        <v>5753</v>
      </c>
      <c r="B5754" t="s">
        <v>12</v>
      </c>
      <c r="C5754">
        <v>32</v>
      </c>
      <c r="D5754" t="s">
        <v>25</v>
      </c>
      <c r="E5754" t="s">
        <v>24</v>
      </c>
      <c r="F5754">
        <v>153</v>
      </c>
      <c r="G5754">
        <v>78</v>
      </c>
      <c r="H5754">
        <v>0.14000000000000001</v>
      </c>
      <c r="I5754" t="s">
        <v>15</v>
      </c>
      <c r="J5754">
        <v>0</v>
      </c>
      <c r="K5754">
        <v>1</v>
      </c>
      <c r="L5754">
        <v>0</v>
      </c>
      <c r="M5754">
        <f>VLOOKUP(Table1[[#This Row],[subscription_type]],Plans!$A$1:$B$5,2,FALSE)</f>
        <v>4.99</v>
      </c>
      <c r="N5754">
        <f t="shared" si="89"/>
        <v>0</v>
      </c>
    </row>
    <row r="5755" spans="1:14" x14ac:dyDescent="0.35">
      <c r="A5755">
        <v>5754</v>
      </c>
      <c r="B5755" t="s">
        <v>20</v>
      </c>
      <c r="C5755">
        <v>29</v>
      </c>
      <c r="D5755" t="s">
        <v>27</v>
      </c>
      <c r="E5755" t="s">
        <v>24</v>
      </c>
      <c r="F5755">
        <v>270</v>
      </c>
      <c r="G5755">
        <v>71</v>
      </c>
      <c r="H5755">
        <v>0.14000000000000001</v>
      </c>
      <c r="I5755" t="s">
        <v>19</v>
      </c>
      <c r="J5755">
        <v>0</v>
      </c>
      <c r="K5755">
        <v>1</v>
      </c>
      <c r="L5755">
        <v>0</v>
      </c>
      <c r="M5755">
        <f>VLOOKUP(Table1[[#This Row],[subscription_type]],Plans!$A$1:$B$5,2,FALSE)</f>
        <v>4.99</v>
      </c>
      <c r="N5755">
        <f t="shared" si="89"/>
        <v>0</v>
      </c>
    </row>
    <row r="5756" spans="1:14" x14ac:dyDescent="0.35">
      <c r="A5756">
        <v>5755</v>
      </c>
      <c r="B5756" t="s">
        <v>16</v>
      </c>
      <c r="C5756">
        <v>20</v>
      </c>
      <c r="D5756" t="s">
        <v>21</v>
      </c>
      <c r="E5756" t="s">
        <v>22</v>
      </c>
      <c r="F5756">
        <v>226</v>
      </c>
      <c r="G5756">
        <v>85</v>
      </c>
      <c r="H5756">
        <v>0.36</v>
      </c>
      <c r="I5756" t="s">
        <v>19</v>
      </c>
      <c r="J5756">
        <v>0</v>
      </c>
      <c r="K5756">
        <v>1</v>
      </c>
      <c r="L5756">
        <v>1</v>
      </c>
      <c r="M5756">
        <f>VLOOKUP(Table1[[#This Row],[subscription_type]],Plans!$A$1:$B$5,2,FALSE)</f>
        <v>9.99</v>
      </c>
      <c r="N5756">
        <f t="shared" si="89"/>
        <v>9.99</v>
      </c>
    </row>
    <row r="5757" spans="1:14" x14ac:dyDescent="0.35">
      <c r="A5757">
        <v>5756</v>
      </c>
      <c r="B5757" t="s">
        <v>12</v>
      </c>
      <c r="C5757">
        <v>35</v>
      </c>
      <c r="D5757" t="s">
        <v>13</v>
      </c>
      <c r="E5757" t="s">
        <v>24</v>
      </c>
      <c r="F5757">
        <v>104</v>
      </c>
      <c r="G5757">
        <v>7</v>
      </c>
      <c r="H5757">
        <v>0.28000000000000003</v>
      </c>
      <c r="I5757" t="s">
        <v>15</v>
      </c>
      <c r="J5757">
        <v>0</v>
      </c>
      <c r="K5757">
        <v>1</v>
      </c>
      <c r="L5757">
        <v>0</v>
      </c>
      <c r="M5757">
        <f>VLOOKUP(Table1[[#This Row],[subscription_type]],Plans!$A$1:$B$5,2,FALSE)</f>
        <v>4.99</v>
      </c>
      <c r="N5757">
        <f t="shared" si="89"/>
        <v>0</v>
      </c>
    </row>
    <row r="5758" spans="1:14" x14ac:dyDescent="0.35">
      <c r="A5758">
        <v>5757</v>
      </c>
      <c r="B5758" t="s">
        <v>12</v>
      </c>
      <c r="C5758">
        <v>29</v>
      </c>
      <c r="D5758" t="s">
        <v>21</v>
      </c>
      <c r="E5758" t="s">
        <v>14</v>
      </c>
      <c r="F5758">
        <v>113</v>
      </c>
      <c r="G5758">
        <v>10</v>
      </c>
      <c r="H5758">
        <v>0.56000000000000005</v>
      </c>
      <c r="I5758" t="s">
        <v>15</v>
      </c>
      <c r="J5758">
        <v>44</v>
      </c>
      <c r="K5758">
        <v>0</v>
      </c>
      <c r="L5758">
        <v>0</v>
      </c>
      <c r="M5758">
        <f>VLOOKUP(Table1[[#This Row],[subscription_type]],Plans!$A$1:$B$5,2,FALSE)</f>
        <v>0</v>
      </c>
      <c r="N5758">
        <f t="shared" si="89"/>
        <v>0</v>
      </c>
    </row>
    <row r="5759" spans="1:14" x14ac:dyDescent="0.35">
      <c r="A5759">
        <v>5758</v>
      </c>
      <c r="B5759" t="s">
        <v>12</v>
      </c>
      <c r="C5759">
        <v>47</v>
      </c>
      <c r="D5759" t="s">
        <v>21</v>
      </c>
      <c r="E5759" t="s">
        <v>24</v>
      </c>
      <c r="F5759">
        <v>219</v>
      </c>
      <c r="G5759">
        <v>7</v>
      </c>
      <c r="H5759">
        <v>0.53</v>
      </c>
      <c r="I5759" t="s">
        <v>23</v>
      </c>
      <c r="J5759">
        <v>0</v>
      </c>
      <c r="K5759">
        <v>1</v>
      </c>
      <c r="L5759">
        <v>0</v>
      </c>
      <c r="M5759">
        <f>VLOOKUP(Table1[[#This Row],[subscription_type]],Plans!$A$1:$B$5,2,FALSE)</f>
        <v>4.99</v>
      </c>
      <c r="N5759">
        <f t="shared" si="89"/>
        <v>0</v>
      </c>
    </row>
    <row r="5760" spans="1:14" x14ac:dyDescent="0.35">
      <c r="A5760">
        <v>5759</v>
      </c>
      <c r="B5760" t="s">
        <v>16</v>
      </c>
      <c r="C5760">
        <v>57</v>
      </c>
      <c r="D5760" t="s">
        <v>25</v>
      </c>
      <c r="E5760" t="s">
        <v>18</v>
      </c>
      <c r="F5760">
        <v>224</v>
      </c>
      <c r="G5760">
        <v>59</v>
      </c>
      <c r="H5760">
        <v>0.55000000000000004</v>
      </c>
      <c r="I5760" t="s">
        <v>15</v>
      </c>
      <c r="J5760">
        <v>0</v>
      </c>
      <c r="K5760">
        <v>1</v>
      </c>
      <c r="L5760">
        <v>0</v>
      </c>
      <c r="M5760">
        <f>VLOOKUP(Table1[[#This Row],[subscription_type]],Plans!$A$1:$B$5,2,FALSE)</f>
        <v>14.99</v>
      </c>
      <c r="N5760">
        <f t="shared" si="89"/>
        <v>0</v>
      </c>
    </row>
    <row r="5761" spans="1:14" x14ac:dyDescent="0.35">
      <c r="A5761">
        <v>5760</v>
      </c>
      <c r="B5761" t="s">
        <v>12</v>
      </c>
      <c r="C5761">
        <v>48</v>
      </c>
      <c r="D5761" t="s">
        <v>29</v>
      </c>
      <c r="E5761" t="s">
        <v>24</v>
      </c>
      <c r="F5761">
        <v>166</v>
      </c>
      <c r="G5761">
        <v>50</v>
      </c>
      <c r="H5761">
        <v>0.39</v>
      </c>
      <c r="I5761" t="s">
        <v>19</v>
      </c>
      <c r="J5761">
        <v>0</v>
      </c>
      <c r="K5761">
        <v>1</v>
      </c>
      <c r="L5761">
        <v>1</v>
      </c>
      <c r="M5761">
        <f>VLOOKUP(Table1[[#This Row],[subscription_type]],Plans!$A$1:$B$5,2,FALSE)</f>
        <v>4.99</v>
      </c>
      <c r="N5761">
        <f t="shared" si="89"/>
        <v>4.99</v>
      </c>
    </row>
    <row r="5762" spans="1:14" x14ac:dyDescent="0.35">
      <c r="A5762">
        <v>5761</v>
      </c>
      <c r="B5762" t="s">
        <v>16</v>
      </c>
      <c r="C5762">
        <v>41</v>
      </c>
      <c r="D5762" t="s">
        <v>13</v>
      </c>
      <c r="E5762" t="s">
        <v>14</v>
      </c>
      <c r="F5762">
        <v>125</v>
      </c>
      <c r="G5762">
        <v>17</v>
      </c>
      <c r="H5762">
        <v>0.34</v>
      </c>
      <c r="I5762" t="s">
        <v>23</v>
      </c>
      <c r="J5762">
        <v>33</v>
      </c>
      <c r="K5762">
        <v>0</v>
      </c>
      <c r="L5762">
        <v>1</v>
      </c>
      <c r="M5762">
        <f>VLOOKUP(Table1[[#This Row],[subscription_type]],Plans!$A$1:$B$5,2,FALSE)</f>
        <v>0</v>
      </c>
      <c r="N5762">
        <f t="shared" ref="N5762:N5825" si="90">IF(L5762=1, M5762,0)</f>
        <v>0</v>
      </c>
    </row>
    <row r="5763" spans="1:14" x14ac:dyDescent="0.35">
      <c r="A5763">
        <v>5762</v>
      </c>
      <c r="B5763" t="s">
        <v>20</v>
      </c>
      <c r="C5763">
        <v>31</v>
      </c>
      <c r="D5763" t="s">
        <v>27</v>
      </c>
      <c r="E5763" t="s">
        <v>14</v>
      </c>
      <c r="F5763">
        <v>110</v>
      </c>
      <c r="G5763">
        <v>70</v>
      </c>
      <c r="H5763">
        <v>0.33</v>
      </c>
      <c r="I5763" t="s">
        <v>19</v>
      </c>
      <c r="J5763">
        <v>19</v>
      </c>
      <c r="K5763">
        <v>0</v>
      </c>
      <c r="L5763">
        <v>0</v>
      </c>
      <c r="M5763">
        <f>VLOOKUP(Table1[[#This Row],[subscription_type]],Plans!$A$1:$B$5,2,FALSE)</f>
        <v>0</v>
      </c>
      <c r="N5763">
        <f t="shared" si="90"/>
        <v>0</v>
      </c>
    </row>
    <row r="5764" spans="1:14" x14ac:dyDescent="0.35">
      <c r="A5764">
        <v>5763</v>
      </c>
      <c r="B5764" t="s">
        <v>16</v>
      </c>
      <c r="C5764">
        <v>42</v>
      </c>
      <c r="D5764" t="s">
        <v>13</v>
      </c>
      <c r="E5764" t="s">
        <v>18</v>
      </c>
      <c r="F5764">
        <v>272</v>
      </c>
      <c r="G5764">
        <v>5</v>
      </c>
      <c r="H5764">
        <v>0.39</v>
      </c>
      <c r="I5764" t="s">
        <v>15</v>
      </c>
      <c r="J5764">
        <v>0</v>
      </c>
      <c r="K5764">
        <v>1</v>
      </c>
      <c r="L5764">
        <v>0</v>
      </c>
      <c r="M5764">
        <f>VLOOKUP(Table1[[#This Row],[subscription_type]],Plans!$A$1:$B$5,2,FALSE)</f>
        <v>14.99</v>
      </c>
      <c r="N5764">
        <f t="shared" si="90"/>
        <v>0</v>
      </c>
    </row>
    <row r="5765" spans="1:14" x14ac:dyDescent="0.35">
      <c r="A5765">
        <v>5764</v>
      </c>
      <c r="B5765" t="s">
        <v>16</v>
      </c>
      <c r="C5765">
        <v>27</v>
      </c>
      <c r="D5765" t="s">
        <v>21</v>
      </c>
      <c r="E5765" t="s">
        <v>24</v>
      </c>
      <c r="F5765">
        <v>97</v>
      </c>
      <c r="G5765">
        <v>1</v>
      </c>
      <c r="H5765">
        <v>0.46</v>
      </c>
      <c r="I5765" t="s">
        <v>15</v>
      </c>
      <c r="J5765">
        <v>0</v>
      </c>
      <c r="K5765">
        <v>1</v>
      </c>
      <c r="L5765">
        <v>1</v>
      </c>
      <c r="M5765">
        <f>VLOOKUP(Table1[[#This Row],[subscription_type]],Plans!$A$1:$B$5,2,FALSE)</f>
        <v>4.99</v>
      </c>
      <c r="N5765">
        <f t="shared" si="90"/>
        <v>4.99</v>
      </c>
    </row>
    <row r="5766" spans="1:14" x14ac:dyDescent="0.35">
      <c r="A5766">
        <v>5765</v>
      </c>
      <c r="B5766" t="s">
        <v>12</v>
      </c>
      <c r="C5766">
        <v>51</v>
      </c>
      <c r="D5766" t="s">
        <v>29</v>
      </c>
      <c r="E5766" t="s">
        <v>18</v>
      </c>
      <c r="F5766">
        <v>207</v>
      </c>
      <c r="G5766">
        <v>92</v>
      </c>
      <c r="H5766">
        <v>0.14000000000000001</v>
      </c>
      <c r="I5766" t="s">
        <v>19</v>
      </c>
      <c r="J5766">
        <v>0</v>
      </c>
      <c r="K5766">
        <v>1</v>
      </c>
      <c r="L5766">
        <v>1</v>
      </c>
      <c r="M5766">
        <f>VLOOKUP(Table1[[#This Row],[subscription_type]],Plans!$A$1:$B$5,2,FALSE)</f>
        <v>14.99</v>
      </c>
      <c r="N5766">
        <f t="shared" si="90"/>
        <v>14.99</v>
      </c>
    </row>
    <row r="5767" spans="1:14" x14ac:dyDescent="0.35">
      <c r="A5767">
        <v>5766</v>
      </c>
      <c r="B5767" t="s">
        <v>16</v>
      </c>
      <c r="C5767">
        <v>45</v>
      </c>
      <c r="D5767" t="s">
        <v>21</v>
      </c>
      <c r="E5767" t="s">
        <v>24</v>
      </c>
      <c r="F5767">
        <v>46</v>
      </c>
      <c r="G5767">
        <v>6</v>
      </c>
      <c r="H5767">
        <v>0.28000000000000003</v>
      </c>
      <c r="I5767" t="s">
        <v>15</v>
      </c>
      <c r="J5767">
        <v>0</v>
      </c>
      <c r="K5767">
        <v>1</v>
      </c>
      <c r="L5767">
        <v>0</v>
      </c>
      <c r="M5767">
        <f>VLOOKUP(Table1[[#This Row],[subscription_type]],Plans!$A$1:$B$5,2,FALSE)</f>
        <v>4.99</v>
      </c>
      <c r="N5767">
        <f t="shared" si="90"/>
        <v>0</v>
      </c>
    </row>
    <row r="5768" spans="1:14" x14ac:dyDescent="0.35">
      <c r="A5768">
        <v>5767</v>
      </c>
      <c r="B5768" t="s">
        <v>12</v>
      </c>
      <c r="C5768">
        <v>52</v>
      </c>
      <c r="D5768" t="s">
        <v>21</v>
      </c>
      <c r="E5768" t="s">
        <v>14</v>
      </c>
      <c r="F5768">
        <v>189</v>
      </c>
      <c r="G5768">
        <v>85</v>
      </c>
      <c r="H5768">
        <v>0.37</v>
      </c>
      <c r="I5768" t="s">
        <v>19</v>
      </c>
      <c r="J5768">
        <v>13</v>
      </c>
      <c r="K5768">
        <v>0</v>
      </c>
      <c r="L5768">
        <v>0</v>
      </c>
      <c r="M5768">
        <f>VLOOKUP(Table1[[#This Row],[subscription_type]],Plans!$A$1:$B$5,2,FALSE)</f>
        <v>0</v>
      </c>
      <c r="N5768">
        <f t="shared" si="90"/>
        <v>0</v>
      </c>
    </row>
    <row r="5769" spans="1:14" x14ac:dyDescent="0.35">
      <c r="A5769">
        <v>5768</v>
      </c>
      <c r="B5769" t="s">
        <v>20</v>
      </c>
      <c r="C5769">
        <v>47</v>
      </c>
      <c r="D5769" t="s">
        <v>28</v>
      </c>
      <c r="E5769" t="s">
        <v>22</v>
      </c>
      <c r="F5769">
        <v>297</v>
      </c>
      <c r="G5769">
        <v>34</v>
      </c>
      <c r="H5769">
        <v>0.38</v>
      </c>
      <c r="I5769" t="s">
        <v>19</v>
      </c>
      <c r="J5769">
        <v>0</v>
      </c>
      <c r="K5769">
        <v>1</v>
      </c>
      <c r="L5769">
        <v>0</v>
      </c>
      <c r="M5769">
        <f>VLOOKUP(Table1[[#This Row],[subscription_type]],Plans!$A$1:$B$5,2,FALSE)</f>
        <v>9.99</v>
      </c>
      <c r="N5769">
        <f t="shared" si="90"/>
        <v>0</v>
      </c>
    </row>
    <row r="5770" spans="1:14" x14ac:dyDescent="0.35">
      <c r="A5770">
        <v>5769</v>
      </c>
      <c r="B5770" t="s">
        <v>12</v>
      </c>
      <c r="C5770">
        <v>46</v>
      </c>
      <c r="D5770" t="s">
        <v>21</v>
      </c>
      <c r="E5770" t="s">
        <v>24</v>
      </c>
      <c r="F5770">
        <v>232</v>
      </c>
      <c r="G5770">
        <v>55</v>
      </c>
      <c r="H5770">
        <v>0.01</v>
      </c>
      <c r="I5770" t="s">
        <v>19</v>
      </c>
      <c r="J5770">
        <v>0</v>
      </c>
      <c r="K5770">
        <v>1</v>
      </c>
      <c r="L5770">
        <v>1</v>
      </c>
      <c r="M5770">
        <f>VLOOKUP(Table1[[#This Row],[subscription_type]],Plans!$A$1:$B$5,2,FALSE)</f>
        <v>4.99</v>
      </c>
      <c r="N5770">
        <f t="shared" si="90"/>
        <v>4.99</v>
      </c>
    </row>
    <row r="5771" spans="1:14" x14ac:dyDescent="0.35">
      <c r="A5771">
        <v>5770</v>
      </c>
      <c r="B5771" t="s">
        <v>20</v>
      </c>
      <c r="C5771">
        <v>48</v>
      </c>
      <c r="D5771" t="s">
        <v>25</v>
      </c>
      <c r="E5771" t="s">
        <v>22</v>
      </c>
      <c r="F5771">
        <v>285</v>
      </c>
      <c r="G5771">
        <v>16</v>
      </c>
      <c r="H5771">
        <v>0.32</v>
      </c>
      <c r="I5771" t="s">
        <v>15</v>
      </c>
      <c r="J5771">
        <v>0</v>
      </c>
      <c r="K5771">
        <v>1</v>
      </c>
      <c r="L5771">
        <v>0</v>
      </c>
      <c r="M5771">
        <f>VLOOKUP(Table1[[#This Row],[subscription_type]],Plans!$A$1:$B$5,2,FALSE)</f>
        <v>9.99</v>
      </c>
      <c r="N5771">
        <f t="shared" si="90"/>
        <v>0</v>
      </c>
    </row>
    <row r="5772" spans="1:14" x14ac:dyDescent="0.35">
      <c r="A5772">
        <v>5771</v>
      </c>
      <c r="B5772" t="s">
        <v>12</v>
      </c>
      <c r="C5772">
        <v>20</v>
      </c>
      <c r="D5772" t="s">
        <v>21</v>
      </c>
      <c r="E5772" t="s">
        <v>22</v>
      </c>
      <c r="F5772">
        <v>158</v>
      </c>
      <c r="G5772">
        <v>41</v>
      </c>
      <c r="H5772">
        <v>7.0000000000000007E-2</v>
      </c>
      <c r="I5772" t="s">
        <v>23</v>
      </c>
      <c r="J5772">
        <v>0</v>
      </c>
      <c r="K5772">
        <v>1</v>
      </c>
      <c r="L5772">
        <v>1</v>
      </c>
      <c r="M5772">
        <f>VLOOKUP(Table1[[#This Row],[subscription_type]],Plans!$A$1:$B$5,2,FALSE)</f>
        <v>9.99</v>
      </c>
      <c r="N5772">
        <f t="shared" si="90"/>
        <v>9.99</v>
      </c>
    </row>
    <row r="5773" spans="1:14" x14ac:dyDescent="0.35">
      <c r="A5773">
        <v>5772</v>
      </c>
      <c r="B5773" t="s">
        <v>20</v>
      </c>
      <c r="C5773">
        <v>40</v>
      </c>
      <c r="D5773" t="s">
        <v>13</v>
      </c>
      <c r="E5773" t="s">
        <v>24</v>
      </c>
      <c r="F5773">
        <v>298</v>
      </c>
      <c r="G5773">
        <v>92</v>
      </c>
      <c r="H5773">
        <v>0.51</v>
      </c>
      <c r="I5773" t="s">
        <v>19</v>
      </c>
      <c r="J5773">
        <v>0</v>
      </c>
      <c r="K5773">
        <v>1</v>
      </c>
      <c r="L5773">
        <v>1</v>
      </c>
      <c r="M5773">
        <f>VLOOKUP(Table1[[#This Row],[subscription_type]],Plans!$A$1:$B$5,2,FALSE)</f>
        <v>4.99</v>
      </c>
      <c r="N5773">
        <f t="shared" si="90"/>
        <v>4.99</v>
      </c>
    </row>
    <row r="5774" spans="1:14" x14ac:dyDescent="0.35">
      <c r="A5774">
        <v>5773</v>
      </c>
      <c r="B5774" t="s">
        <v>16</v>
      </c>
      <c r="C5774">
        <v>36</v>
      </c>
      <c r="D5774" t="s">
        <v>21</v>
      </c>
      <c r="E5774" t="s">
        <v>22</v>
      </c>
      <c r="F5774">
        <v>90</v>
      </c>
      <c r="G5774">
        <v>45</v>
      </c>
      <c r="H5774">
        <v>0.13</v>
      </c>
      <c r="I5774" t="s">
        <v>19</v>
      </c>
      <c r="J5774">
        <v>0</v>
      </c>
      <c r="K5774">
        <v>1</v>
      </c>
      <c r="L5774">
        <v>1</v>
      </c>
      <c r="M5774">
        <f>VLOOKUP(Table1[[#This Row],[subscription_type]],Plans!$A$1:$B$5,2,FALSE)</f>
        <v>9.99</v>
      </c>
      <c r="N5774">
        <f t="shared" si="90"/>
        <v>9.99</v>
      </c>
    </row>
    <row r="5775" spans="1:14" x14ac:dyDescent="0.35">
      <c r="A5775">
        <v>5774</v>
      </c>
      <c r="B5775" t="s">
        <v>16</v>
      </c>
      <c r="C5775">
        <v>57</v>
      </c>
      <c r="D5775" t="s">
        <v>25</v>
      </c>
      <c r="E5775" t="s">
        <v>14</v>
      </c>
      <c r="F5775">
        <v>221</v>
      </c>
      <c r="G5775">
        <v>22</v>
      </c>
      <c r="H5775">
        <v>0.44</v>
      </c>
      <c r="I5775" t="s">
        <v>15</v>
      </c>
      <c r="J5775">
        <v>32</v>
      </c>
      <c r="K5775">
        <v>0</v>
      </c>
      <c r="L5775">
        <v>1</v>
      </c>
      <c r="M5775">
        <f>VLOOKUP(Table1[[#This Row],[subscription_type]],Plans!$A$1:$B$5,2,FALSE)</f>
        <v>0</v>
      </c>
      <c r="N5775">
        <f t="shared" si="90"/>
        <v>0</v>
      </c>
    </row>
    <row r="5776" spans="1:14" x14ac:dyDescent="0.35">
      <c r="A5776">
        <v>5775</v>
      </c>
      <c r="B5776" t="s">
        <v>12</v>
      </c>
      <c r="C5776">
        <v>22</v>
      </c>
      <c r="D5776" t="s">
        <v>21</v>
      </c>
      <c r="E5776" t="s">
        <v>14</v>
      </c>
      <c r="F5776">
        <v>52</v>
      </c>
      <c r="G5776">
        <v>17</v>
      </c>
      <c r="H5776">
        <v>0.2</v>
      </c>
      <c r="I5776" t="s">
        <v>23</v>
      </c>
      <c r="J5776">
        <v>32</v>
      </c>
      <c r="K5776">
        <v>0</v>
      </c>
      <c r="L5776">
        <v>0</v>
      </c>
      <c r="M5776">
        <f>VLOOKUP(Table1[[#This Row],[subscription_type]],Plans!$A$1:$B$5,2,FALSE)</f>
        <v>0</v>
      </c>
      <c r="N5776">
        <f t="shared" si="90"/>
        <v>0</v>
      </c>
    </row>
    <row r="5777" spans="1:14" x14ac:dyDescent="0.35">
      <c r="A5777">
        <v>5776</v>
      </c>
      <c r="B5777" t="s">
        <v>12</v>
      </c>
      <c r="C5777">
        <v>54</v>
      </c>
      <c r="D5777" t="s">
        <v>27</v>
      </c>
      <c r="E5777" t="s">
        <v>14</v>
      </c>
      <c r="F5777">
        <v>37</v>
      </c>
      <c r="G5777">
        <v>55</v>
      </c>
      <c r="H5777">
        <v>0.48</v>
      </c>
      <c r="I5777" t="s">
        <v>19</v>
      </c>
      <c r="J5777">
        <v>35</v>
      </c>
      <c r="K5777">
        <v>0</v>
      </c>
      <c r="L5777">
        <v>0</v>
      </c>
      <c r="M5777">
        <f>VLOOKUP(Table1[[#This Row],[subscription_type]],Plans!$A$1:$B$5,2,FALSE)</f>
        <v>0</v>
      </c>
      <c r="N5777">
        <f t="shared" si="90"/>
        <v>0</v>
      </c>
    </row>
    <row r="5778" spans="1:14" x14ac:dyDescent="0.35">
      <c r="A5778">
        <v>5777</v>
      </c>
      <c r="B5778" t="s">
        <v>16</v>
      </c>
      <c r="C5778">
        <v>20</v>
      </c>
      <c r="D5778" t="s">
        <v>28</v>
      </c>
      <c r="E5778" t="s">
        <v>18</v>
      </c>
      <c r="F5778">
        <v>219</v>
      </c>
      <c r="G5778">
        <v>94</v>
      </c>
      <c r="H5778">
        <v>0.19</v>
      </c>
      <c r="I5778" t="s">
        <v>19</v>
      </c>
      <c r="J5778">
        <v>0</v>
      </c>
      <c r="K5778">
        <v>1</v>
      </c>
      <c r="L5778">
        <v>0</v>
      </c>
      <c r="M5778">
        <f>VLOOKUP(Table1[[#This Row],[subscription_type]],Plans!$A$1:$B$5,2,FALSE)</f>
        <v>14.99</v>
      </c>
      <c r="N5778">
        <f t="shared" si="90"/>
        <v>0</v>
      </c>
    </row>
    <row r="5779" spans="1:14" x14ac:dyDescent="0.35">
      <c r="A5779">
        <v>5778</v>
      </c>
      <c r="B5779" t="s">
        <v>20</v>
      </c>
      <c r="C5779">
        <v>53</v>
      </c>
      <c r="D5779" t="s">
        <v>29</v>
      </c>
      <c r="E5779" t="s">
        <v>22</v>
      </c>
      <c r="F5779">
        <v>213</v>
      </c>
      <c r="G5779">
        <v>18</v>
      </c>
      <c r="H5779">
        <v>0.26</v>
      </c>
      <c r="I5779" t="s">
        <v>23</v>
      </c>
      <c r="J5779">
        <v>0</v>
      </c>
      <c r="K5779">
        <v>1</v>
      </c>
      <c r="L5779">
        <v>1</v>
      </c>
      <c r="M5779">
        <f>VLOOKUP(Table1[[#This Row],[subscription_type]],Plans!$A$1:$B$5,2,FALSE)</f>
        <v>9.99</v>
      </c>
      <c r="N5779">
        <f t="shared" si="90"/>
        <v>9.99</v>
      </c>
    </row>
    <row r="5780" spans="1:14" x14ac:dyDescent="0.35">
      <c r="A5780">
        <v>5779</v>
      </c>
      <c r="B5780" t="s">
        <v>12</v>
      </c>
      <c r="C5780">
        <v>26</v>
      </c>
      <c r="D5780" t="s">
        <v>28</v>
      </c>
      <c r="E5780" t="s">
        <v>24</v>
      </c>
      <c r="F5780">
        <v>56</v>
      </c>
      <c r="G5780">
        <v>44</v>
      </c>
      <c r="H5780">
        <v>0.38</v>
      </c>
      <c r="I5780" t="s">
        <v>19</v>
      </c>
      <c r="J5780">
        <v>0</v>
      </c>
      <c r="K5780">
        <v>1</v>
      </c>
      <c r="L5780">
        <v>0</v>
      </c>
      <c r="M5780">
        <f>VLOOKUP(Table1[[#This Row],[subscription_type]],Plans!$A$1:$B$5,2,FALSE)</f>
        <v>4.99</v>
      </c>
      <c r="N5780">
        <f t="shared" si="90"/>
        <v>0</v>
      </c>
    </row>
    <row r="5781" spans="1:14" x14ac:dyDescent="0.35">
      <c r="A5781">
        <v>5780</v>
      </c>
      <c r="B5781" t="s">
        <v>20</v>
      </c>
      <c r="C5781">
        <v>43</v>
      </c>
      <c r="D5781" t="s">
        <v>29</v>
      </c>
      <c r="E5781" t="s">
        <v>24</v>
      </c>
      <c r="F5781">
        <v>258</v>
      </c>
      <c r="G5781">
        <v>47</v>
      </c>
      <c r="H5781">
        <v>0.16</v>
      </c>
      <c r="I5781" t="s">
        <v>19</v>
      </c>
      <c r="J5781">
        <v>0</v>
      </c>
      <c r="K5781">
        <v>1</v>
      </c>
      <c r="L5781">
        <v>1</v>
      </c>
      <c r="M5781">
        <f>VLOOKUP(Table1[[#This Row],[subscription_type]],Plans!$A$1:$B$5,2,FALSE)</f>
        <v>4.99</v>
      </c>
      <c r="N5781">
        <f t="shared" si="90"/>
        <v>4.99</v>
      </c>
    </row>
    <row r="5782" spans="1:14" x14ac:dyDescent="0.35">
      <c r="A5782">
        <v>5781</v>
      </c>
      <c r="B5782" t="s">
        <v>20</v>
      </c>
      <c r="C5782">
        <v>37</v>
      </c>
      <c r="D5782" t="s">
        <v>26</v>
      </c>
      <c r="E5782" t="s">
        <v>14</v>
      </c>
      <c r="F5782">
        <v>65</v>
      </c>
      <c r="G5782">
        <v>56</v>
      </c>
      <c r="H5782">
        <v>0.31</v>
      </c>
      <c r="I5782" t="s">
        <v>15</v>
      </c>
      <c r="J5782">
        <v>44</v>
      </c>
      <c r="K5782">
        <v>0</v>
      </c>
      <c r="L5782">
        <v>0</v>
      </c>
      <c r="M5782">
        <f>VLOOKUP(Table1[[#This Row],[subscription_type]],Plans!$A$1:$B$5,2,FALSE)</f>
        <v>0</v>
      </c>
      <c r="N5782">
        <f t="shared" si="90"/>
        <v>0</v>
      </c>
    </row>
    <row r="5783" spans="1:14" x14ac:dyDescent="0.35">
      <c r="A5783">
        <v>5782</v>
      </c>
      <c r="B5783" t="s">
        <v>16</v>
      </c>
      <c r="C5783">
        <v>24</v>
      </c>
      <c r="D5783" t="s">
        <v>21</v>
      </c>
      <c r="E5783" t="s">
        <v>24</v>
      </c>
      <c r="F5783">
        <v>10</v>
      </c>
      <c r="G5783">
        <v>85</v>
      </c>
      <c r="H5783">
        <v>0.33</v>
      </c>
      <c r="I5783" t="s">
        <v>19</v>
      </c>
      <c r="J5783">
        <v>0</v>
      </c>
      <c r="K5783">
        <v>1</v>
      </c>
      <c r="L5783">
        <v>0</v>
      </c>
      <c r="M5783">
        <f>VLOOKUP(Table1[[#This Row],[subscription_type]],Plans!$A$1:$B$5,2,FALSE)</f>
        <v>4.99</v>
      </c>
      <c r="N5783">
        <f t="shared" si="90"/>
        <v>0</v>
      </c>
    </row>
    <row r="5784" spans="1:14" x14ac:dyDescent="0.35">
      <c r="A5784">
        <v>5783</v>
      </c>
      <c r="B5784" t="s">
        <v>12</v>
      </c>
      <c r="C5784">
        <v>24</v>
      </c>
      <c r="D5784" t="s">
        <v>27</v>
      </c>
      <c r="E5784" t="s">
        <v>18</v>
      </c>
      <c r="F5784">
        <v>42</v>
      </c>
      <c r="G5784">
        <v>39</v>
      </c>
      <c r="H5784">
        <v>0.45</v>
      </c>
      <c r="I5784" t="s">
        <v>19</v>
      </c>
      <c r="J5784">
        <v>0</v>
      </c>
      <c r="K5784">
        <v>1</v>
      </c>
      <c r="L5784">
        <v>0</v>
      </c>
      <c r="M5784">
        <f>VLOOKUP(Table1[[#This Row],[subscription_type]],Plans!$A$1:$B$5,2,FALSE)</f>
        <v>14.99</v>
      </c>
      <c r="N5784">
        <f t="shared" si="90"/>
        <v>0</v>
      </c>
    </row>
    <row r="5785" spans="1:14" x14ac:dyDescent="0.35">
      <c r="A5785">
        <v>5784</v>
      </c>
      <c r="B5785" t="s">
        <v>20</v>
      </c>
      <c r="C5785">
        <v>54</v>
      </c>
      <c r="D5785" t="s">
        <v>25</v>
      </c>
      <c r="E5785" t="s">
        <v>18</v>
      </c>
      <c r="F5785">
        <v>107</v>
      </c>
      <c r="G5785">
        <v>30</v>
      </c>
      <c r="H5785">
        <v>0.1</v>
      </c>
      <c r="I5785" t="s">
        <v>23</v>
      </c>
      <c r="J5785">
        <v>0</v>
      </c>
      <c r="K5785">
        <v>1</v>
      </c>
      <c r="L5785">
        <v>0</v>
      </c>
      <c r="M5785">
        <f>VLOOKUP(Table1[[#This Row],[subscription_type]],Plans!$A$1:$B$5,2,FALSE)</f>
        <v>14.99</v>
      </c>
      <c r="N5785">
        <f t="shared" si="90"/>
        <v>0</v>
      </c>
    </row>
    <row r="5786" spans="1:14" x14ac:dyDescent="0.35">
      <c r="A5786">
        <v>5785</v>
      </c>
      <c r="B5786" t="s">
        <v>20</v>
      </c>
      <c r="C5786">
        <v>24</v>
      </c>
      <c r="D5786" t="s">
        <v>29</v>
      </c>
      <c r="E5786" t="s">
        <v>18</v>
      </c>
      <c r="F5786">
        <v>66</v>
      </c>
      <c r="G5786">
        <v>81</v>
      </c>
      <c r="H5786">
        <v>0.5</v>
      </c>
      <c r="I5786" t="s">
        <v>19</v>
      </c>
      <c r="J5786">
        <v>0</v>
      </c>
      <c r="K5786">
        <v>1</v>
      </c>
      <c r="L5786">
        <v>0</v>
      </c>
      <c r="M5786">
        <f>VLOOKUP(Table1[[#This Row],[subscription_type]],Plans!$A$1:$B$5,2,FALSE)</f>
        <v>14.99</v>
      </c>
      <c r="N5786">
        <f t="shared" si="90"/>
        <v>0</v>
      </c>
    </row>
    <row r="5787" spans="1:14" x14ac:dyDescent="0.35">
      <c r="A5787">
        <v>5786</v>
      </c>
      <c r="B5787" t="s">
        <v>16</v>
      </c>
      <c r="C5787">
        <v>38</v>
      </c>
      <c r="D5787" t="s">
        <v>21</v>
      </c>
      <c r="E5787" t="s">
        <v>24</v>
      </c>
      <c r="F5787">
        <v>261</v>
      </c>
      <c r="G5787">
        <v>60</v>
      </c>
      <c r="H5787">
        <v>0.32</v>
      </c>
      <c r="I5787" t="s">
        <v>19</v>
      </c>
      <c r="J5787">
        <v>0</v>
      </c>
      <c r="K5787">
        <v>1</v>
      </c>
      <c r="L5787">
        <v>0</v>
      </c>
      <c r="M5787">
        <f>VLOOKUP(Table1[[#This Row],[subscription_type]],Plans!$A$1:$B$5,2,FALSE)</f>
        <v>4.99</v>
      </c>
      <c r="N5787">
        <f t="shared" si="90"/>
        <v>0</v>
      </c>
    </row>
    <row r="5788" spans="1:14" x14ac:dyDescent="0.35">
      <c r="A5788">
        <v>5787</v>
      </c>
      <c r="B5788" t="s">
        <v>12</v>
      </c>
      <c r="C5788">
        <v>44</v>
      </c>
      <c r="D5788" t="s">
        <v>25</v>
      </c>
      <c r="E5788" t="s">
        <v>18</v>
      </c>
      <c r="F5788">
        <v>193</v>
      </c>
      <c r="G5788">
        <v>85</v>
      </c>
      <c r="H5788">
        <v>0.4</v>
      </c>
      <c r="I5788" t="s">
        <v>15</v>
      </c>
      <c r="J5788">
        <v>0</v>
      </c>
      <c r="K5788">
        <v>1</v>
      </c>
      <c r="L5788">
        <v>0</v>
      </c>
      <c r="M5788">
        <f>VLOOKUP(Table1[[#This Row],[subscription_type]],Plans!$A$1:$B$5,2,FALSE)</f>
        <v>14.99</v>
      </c>
      <c r="N5788">
        <f t="shared" si="90"/>
        <v>0</v>
      </c>
    </row>
    <row r="5789" spans="1:14" x14ac:dyDescent="0.35">
      <c r="A5789">
        <v>5788</v>
      </c>
      <c r="B5789" t="s">
        <v>16</v>
      </c>
      <c r="C5789">
        <v>24</v>
      </c>
      <c r="D5789" t="s">
        <v>17</v>
      </c>
      <c r="E5789" t="s">
        <v>18</v>
      </c>
      <c r="F5789">
        <v>40</v>
      </c>
      <c r="G5789">
        <v>38</v>
      </c>
      <c r="H5789">
        <v>0.56999999999999995</v>
      </c>
      <c r="I5789" t="s">
        <v>15</v>
      </c>
      <c r="J5789">
        <v>0</v>
      </c>
      <c r="K5789">
        <v>1</v>
      </c>
      <c r="L5789">
        <v>0</v>
      </c>
      <c r="M5789">
        <f>VLOOKUP(Table1[[#This Row],[subscription_type]],Plans!$A$1:$B$5,2,FALSE)</f>
        <v>14.99</v>
      </c>
      <c r="N5789">
        <f t="shared" si="90"/>
        <v>0</v>
      </c>
    </row>
    <row r="5790" spans="1:14" x14ac:dyDescent="0.35">
      <c r="A5790">
        <v>5789</v>
      </c>
      <c r="B5790" t="s">
        <v>20</v>
      </c>
      <c r="C5790">
        <v>34</v>
      </c>
      <c r="D5790" t="s">
        <v>26</v>
      </c>
      <c r="E5790" t="s">
        <v>24</v>
      </c>
      <c r="F5790">
        <v>13</v>
      </c>
      <c r="G5790">
        <v>90</v>
      </c>
      <c r="H5790">
        <v>0.44</v>
      </c>
      <c r="I5790" t="s">
        <v>19</v>
      </c>
      <c r="J5790">
        <v>0</v>
      </c>
      <c r="K5790">
        <v>1</v>
      </c>
      <c r="L5790">
        <v>1</v>
      </c>
      <c r="M5790">
        <f>VLOOKUP(Table1[[#This Row],[subscription_type]],Plans!$A$1:$B$5,2,FALSE)</f>
        <v>4.99</v>
      </c>
      <c r="N5790">
        <f t="shared" si="90"/>
        <v>4.99</v>
      </c>
    </row>
    <row r="5791" spans="1:14" x14ac:dyDescent="0.35">
      <c r="A5791">
        <v>5790</v>
      </c>
      <c r="B5791" t="s">
        <v>16</v>
      </c>
      <c r="C5791">
        <v>48</v>
      </c>
      <c r="D5791" t="s">
        <v>29</v>
      </c>
      <c r="E5791" t="s">
        <v>14</v>
      </c>
      <c r="F5791">
        <v>23</v>
      </c>
      <c r="G5791">
        <v>76</v>
      </c>
      <c r="H5791">
        <v>0.01</v>
      </c>
      <c r="I5791" t="s">
        <v>19</v>
      </c>
      <c r="J5791">
        <v>17</v>
      </c>
      <c r="K5791">
        <v>0</v>
      </c>
      <c r="L5791">
        <v>0</v>
      </c>
      <c r="M5791">
        <f>VLOOKUP(Table1[[#This Row],[subscription_type]],Plans!$A$1:$B$5,2,FALSE)</f>
        <v>0</v>
      </c>
      <c r="N5791">
        <f t="shared" si="90"/>
        <v>0</v>
      </c>
    </row>
    <row r="5792" spans="1:14" x14ac:dyDescent="0.35">
      <c r="A5792">
        <v>5791</v>
      </c>
      <c r="B5792" t="s">
        <v>16</v>
      </c>
      <c r="C5792">
        <v>31</v>
      </c>
      <c r="D5792" t="s">
        <v>13</v>
      </c>
      <c r="E5792" t="s">
        <v>24</v>
      </c>
      <c r="F5792">
        <v>227</v>
      </c>
      <c r="G5792">
        <v>74</v>
      </c>
      <c r="H5792">
        <v>0.47</v>
      </c>
      <c r="I5792" t="s">
        <v>19</v>
      </c>
      <c r="J5792">
        <v>0</v>
      </c>
      <c r="K5792">
        <v>1</v>
      </c>
      <c r="L5792">
        <v>1</v>
      </c>
      <c r="M5792">
        <f>VLOOKUP(Table1[[#This Row],[subscription_type]],Plans!$A$1:$B$5,2,FALSE)</f>
        <v>4.99</v>
      </c>
      <c r="N5792">
        <f t="shared" si="90"/>
        <v>4.99</v>
      </c>
    </row>
    <row r="5793" spans="1:14" x14ac:dyDescent="0.35">
      <c r="A5793">
        <v>5792</v>
      </c>
      <c r="B5793" t="s">
        <v>16</v>
      </c>
      <c r="C5793">
        <v>52</v>
      </c>
      <c r="D5793" t="s">
        <v>27</v>
      </c>
      <c r="E5793" t="s">
        <v>22</v>
      </c>
      <c r="F5793">
        <v>163</v>
      </c>
      <c r="G5793">
        <v>87</v>
      </c>
      <c r="H5793">
        <v>0.45</v>
      </c>
      <c r="I5793" t="s">
        <v>23</v>
      </c>
      <c r="J5793">
        <v>0</v>
      </c>
      <c r="K5793">
        <v>1</v>
      </c>
      <c r="L5793">
        <v>0</v>
      </c>
      <c r="M5793">
        <f>VLOOKUP(Table1[[#This Row],[subscription_type]],Plans!$A$1:$B$5,2,FALSE)</f>
        <v>9.99</v>
      </c>
      <c r="N5793">
        <f t="shared" si="90"/>
        <v>0</v>
      </c>
    </row>
    <row r="5794" spans="1:14" x14ac:dyDescent="0.35">
      <c r="A5794">
        <v>5793</v>
      </c>
      <c r="B5794" t="s">
        <v>12</v>
      </c>
      <c r="C5794">
        <v>49</v>
      </c>
      <c r="D5794" t="s">
        <v>21</v>
      </c>
      <c r="E5794" t="s">
        <v>24</v>
      </c>
      <c r="F5794">
        <v>195</v>
      </c>
      <c r="G5794">
        <v>60</v>
      </c>
      <c r="H5794">
        <v>0.33</v>
      </c>
      <c r="I5794" t="s">
        <v>19</v>
      </c>
      <c r="J5794">
        <v>0</v>
      </c>
      <c r="K5794">
        <v>1</v>
      </c>
      <c r="L5794">
        <v>0</v>
      </c>
      <c r="M5794">
        <f>VLOOKUP(Table1[[#This Row],[subscription_type]],Plans!$A$1:$B$5,2,FALSE)</f>
        <v>4.99</v>
      </c>
      <c r="N5794">
        <f t="shared" si="90"/>
        <v>0</v>
      </c>
    </row>
    <row r="5795" spans="1:14" x14ac:dyDescent="0.35">
      <c r="A5795">
        <v>5794</v>
      </c>
      <c r="B5795" t="s">
        <v>12</v>
      </c>
      <c r="C5795">
        <v>25</v>
      </c>
      <c r="D5795" t="s">
        <v>17</v>
      </c>
      <c r="E5795" t="s">
        <v>22</v>
      </c>
      <c r="F5795">
        <v>270</v>
      </c>
      <c r="G5795">
        <v>35</v>
      </c>
      <c r="H5795">
        <v>0.32</v>
      </c>
      <c r="I5795" t="s">
        <v>23</v>
      </c>
      <c r="J5795">
        <v>0</v>
      </c>
      <c r="K5795">
        <v>1</v>
      </c>
      <c r="L5795">
        <v>0</v>
      </c>
      <c r="M5795">
        <f>VLOOKUP(Table1[[#This Row],[subscription_type]],Plans!$A$1:$B$5,2,FALSE)</f>
        <v>9.99</v>
      </c>
      <c r="N5795">
        <f t="shared" si="90"/>
        <v>0</v>
      </c>
    </row>
    <row r="5796" spans="1:14" x14ac:dyDescent="0.35">
      <c r="A5796">
        <v>5795</v>
      </c>
      <c r="B5796" t="s">
        <v>16</v>
      </c>
      <c r="C5796">
        <v>36</v>
      </c>
      <c r="D5796" t="s">
        <v>28</v>
      </c>
      <c r="E5796" t="s">
        <v>22</v>
      </c>
      <c r="F5796">
        <v>99</v>
      </c>
      <c r="G5796">
        <v>38</v>
      </c>
      <c r="H5796">
        <v>0.56000000000000005</v>
      </c>
      <c r="I5796" t="s">
        <v>23</v>
      </c>
      <c r="J5796">
        <v>0</v>
      </c>
      <c r="K5796">
        <v>1</v>
      </c>
      <c r="L5796">
        <v>0</v>
      </c>
      <c r="M5796">
        <f>VLOOKUP(Table1[[#This Row],[subscription_type]],Plans!$A$1:$B$5,2,FALSE)</f>
        <v>9.99</v>
      </c>
      <c r="N5796">
        <f t="shared" si="90"/>
        <v>0</v>
      </c>
    </row>
    <row r="5797" spans="1:14" x14ac:dyDescent="0.35">
      <c r="A5797">
        <v>5796</v>
      </c>
      <c r="B5797" t="s">
        <v>12</v>
      </c>
      <c r="C5797">
        <v>50</v>
      </c>
      <c r="D5797" t="s">
        <v>25</v>
      </c>
      <c r="E5797" t="s">
        <v>14</v>
      </c>
      <c r="F5797">
        <v>224</v>
      </c>
      <c r="G5797">
        <v>39</v>
      </c>
      <c r="H5797">
        <v>0.25</v>
      </c>
      <c r="I5797" t="s">
        <v>15</v>
      </c>
      <c r="J5797">
        <v>8</v>
      </c>
      <c r="K5797">
        <v>0</v>
      </c>
      <c r="L5797">
        <v>0</v>
      </c>
      <c r="M5797">
        <f>VLOOKUP(Table1[[#This Row],[subscription_type]],Plans!$A$1:$B$5,2,FALSE)</f>
        <v>0</v>
      </c>
      <c r="N5797">
        <f t="shared" si="90"/>
        <v>0</v>
      </c>
    </row>
    <row r="5798" spans="1:14" x14ac:dyDescent="0.35">
      <c r="A5798">
        <v>5797</v>
      </c>
      <c r="B5798" t="s">
        <v>12</v>
      </c>
      <c r="C5798">
        <v>37</v>
      </c>
      <c r="D5798" t="s">
        <v>17</v>
      </c>
      <c r="E5798" t="s">
        <v>22</v>
      </c>
      <c r="F5798">
        <v>116</v>
      </c>
      <c r="G5798">
        <v>29</v>
      </c>
      <c r="H5798">
        <v>0.57999999999999996</v>
      </c>
      <c r="I5798" t="s">
        <v>15</v>
      </c>
      <c r="J5798">
        <v>0</v>
      </c>
      <c r="K5798">
        <v>1</v>
      </c>
      <c r="L5798">
        <v>0</v>
      </c>
      <c r="M5798">
        <f>VLOOKUP(Table1[[#This Row],[subscription_type]],Plans!$A$1:$B$5,2,FALSE)</f>
        <v>9.99</v>
      </c>
      <c r="N5798">
        <f t="shared" si="90"/>
        <v>0</v>
      </c>
    </row>
    <row r="5799" spans="1:14" x14ac:dyDescent="0.35">
      <c r="A5799">
        <v>5798</v>
      </c>
      <c r="B5799" t="s">
        <v>16</v>
      </c>
      <c r="C5799">
        <v>38</v>
      </c>
      <c r="D5799" t="s">
        <v>17</v>
      </c>
      <c r="E5799" t="s">
        <v>18</v>
      </c>
      <c r="F5799">
        <v>278</v>
      </c>
      <c r="G5799">
        <v>3</v>
      </c>
      <c r="H5799">
        <v>0.25</v>
      </c>
      <c r="I5799" t="s">
        <v>19</v>
      </c>
      <c r="J5799">
        <v>0</v>
      </c>
      <c r="K5799">
        <v>1</v>
      </c>
      <c r="L5799">
        <v>1</v>
      </c>
      <c r="M5799">
        <f>VLOOKUP(Table1[[#This Row],[subscription_type]],Plans!$A$1:$B$5,2,FALSE)</f>
        <v>14.99</v>
      </c>
      <c r="N5799">
        <f t="shared" si="90"/>
        <v>14.99</v>
      </c>
    </row>
    <row r="5800" spans="1:14" x14ac:dyDescent="0.35">
      <c r="A5800">
        <v>5799</v>
      </c>
      <c r="B5800" t="s">
        <v>12</v>
      </c>
      <c r="C5800">
        <v>23</v>
      </c>
      <c r="D5800" t="s">
        <v>17</v>
      </c>
      <c r="E5800" t="s">
        <v>24</v>
      </c>
      <c r="F5800">
        <v>62</v>
      </c>
      <c r="G5800">
        <v>86</v>
      </c>
      <c r="H5800">
        <v>0.5</v>
      </c>
      <c r="I5800" t="s">
        <v>19</v>
      </c>
      <c r="J5800">
        <v>0</v>
      </c>
      <c r="K5800">
        <v>1</v>
      </c>
      <c r="L5800">
        <v>1</v>
      </c>
      <c r="M5800">
        <f>VLOOKUP(Table1[[#This Row],[subscription_type]],Plans!$A$1:$B$5,2,FALSE)</f>
        <v>4.99</v>
      </c>
      <c r="N5800">
        <f t="shared" si="90"/>
        <v>4.99</v>
      </c>
    </row>
    <row r="5801" spans="1:14" x14ac:dyDescent="0.35">
      <c r="A5801">
        <v>5800</v>
      </c>
      <c r="B5801" t="s">
        <v>20</v>
      </c>
      <c r="C5801">
        <v>56</v>
      </c>
      <c r="D5801" t="s">
        <v>27</v>
      </c>
      <c r="E5801" t="s">
        <v>22</v>
      </c>
      <c r="F5801">
        <v>217</v>
      </c>
      <c r="G5801">
        <v>34</v>
      </c>
      <c r="H5801">
        <v>0.15</v>
      </c>
      <c r="I5801" t="s">
        <v>15</v>
      </c>
      <c r="J5801">
        <v>0</v>
      </c>
      <c r="K5801">
        <v>1</v>
      </c>
      <c r="L5801">
        <v>0</v>
      </c>
      <c r="M5801">
        <f>VLOOKUP(Table1[[#This Row],[subscription_type]],Plans!$A$1:$B$5,2,FALSE)</f>
        <v>9.99</v>
      </c>
      <c r="N5801">
        <f t="shared" si="90"/>
        <v>0</v>
      </c>
    </row>
    <row r="5802" spans="1:14" x14ac:dyDescent="0.35">
      <c r="A5802">
        <v>5801</v>
      </c>
      <c r="B5802" t="s">
        <v>20</v>
      </c>
      <c r="C5802">
        <v>41</v>
      </c>
      <c r="D5802" t="s">
        <v>17</v>
      </c>
      <c r="E5802" t="s">
        <v>24</v>
      </c>
      <c r="F5802">
        <v>126</v>
      </c>
      <c r="G5802">
        <v>66</v>
      </c>
      <c r="H5802">
        <v>0.59</v>
      </c>
      <c r="I5802" t="s">
        <v>19</v>
      </c>
      <c r="J5802">
        <v>0</v>
      </c>
      <c r="K5802">
        <v>1</v>
      </c>
      <c r="L5802">
        <v>1</v>
      </c>
      <c r="M5802">
        <f>VLOOKUP(Table1[[#This Row],[subscription_type]],Plans!$A$1:$B$5,2,FALSE)</f>
        <v>4.99</v>
      </c>
      <c r="N5802">
        <f t="shared" si="90"/>
        <v>4.99</v>
      </c>
    </row>
    <row r="5803" spans="1:14" x14ac:dyDescent="0.35">
      <c r="A5803">
        <v>5802</v>
      </c>
      <c r="B5803" t="s">
        <v>16</v>
      </c>
      <c r="C5803">
        <v>59</v>
      </c>
      <c r="D5803" t="s">
        <v>28</v>
      </c>
      <c r="E5803" t="s">
        <v>24</v>
      </c>
      <c r="F5803">
        <v>116</v>
      </c>
      <c r="G5803">
        <v>90</v>
      </c>
      <c r="H5803">
        <v>0.14000000000000001</v>
      </c>
      <c r="I5803" t="s">
        <v>23</v>
      </c>
      <c r="J5803">
        <v>0</v>
      </c>
      <c r="K5803">
        <v>1</v>
      </c>
      <c r="L5803">
        <v>0</v>
      </c>
      <c r="M5803">
        <f>VLOOKUP(Table1[[#This Row],[subscription_type]],Plans!$A$1:$B$5,2,FALSE)</f>
        <v>4.99</v>
      </c>
      <c r="N5803">
        <f t="shared" si="90"/>
        <v>0</v>
      </c>
    </row>
    <row r="5804" spans="1:14" x14ac:dyDescent="0.35">
      <c r="A5804">
        <v>5803</v>
      </c>
      <c r="B5804" t="s">
        <v>16</v>
      </c>
      <c r="C5804">
        <v>16</v>
      </c>
      <c r="D5804" t="s">
        <v>26</v>
      </c>
      <c r="E5804" t="s">
        <v>22</v>
      </c>
      <c r="F5804">
        <v>79</v>
      </c>
      <c r="G5804">
        <v>61</v>
      </c>
      <c r="H5804">
        <v>0.48</v>
      </c>
      <c r="I5804" t="s">
        <v>23</v>
      </c>
      <c r="J5804">
        <v>0</v>
      </c>
      <c r="K5804">
        <v>1</v>
      </c>
      <c r="L5804">
        <v>0</v>
      </c>
      <c r="M5804">
        <f>VLOOKUP(Table1[[#This Row],[subscription_type]],Plans!$A$1:$B$5,2,FALSE)</f>
        <v>9.99</v>
      </c>
      <c r="N5804">
        <f t="shared" si="90"/>
        <v>0</v>
      </c>
    </row>
    <row r="5805" spans="1:14" x14ac:dyDescent="0.35">
      <c r="A5805">
        <v>5804</v>
      </c>
      <c r="B5805" t="s">
        <v>12</v>
      </c>
      <c r="C5805">
        <v>21</v>
      </c>
      <c r="D5805" t="s">
        <v>26</v>
      </c>
      <c r="E5805" t="s">
        <v>24</v>
      </c>
      <c r="F5805">
        <v>206</v>
      </c>
      <c r="G5805">
        <v>30</v>
      </c>
      <c r="H5805">
        <v>0.38</v>
      </c>
      <c r="I5805" t="s">
        <v>15</v>
      </c>
      <c r="J5805">
        <v>0</v>
      </c>
      <c r="K5805">
        <v>1</v>
      </c>
      <c r="L5805">
        <v>0</v>
      </c>
      <c r="M5805">
        <f>VLOOKUP(Table1[[#This Row],[subscription_type]],Plans!$A$1:$B$5,2,FALSE)</f>
        <v>4.99</v>
      </c>
      <c r="N5805">
        <f t="shared" si="90"/>
        <v>0</v>
      </c>
    </row>
    <row r="5806" spans="1:14" x14ac:dyDescent="0.35">
      <c r="A5806">
        <v>5805</v>
      </c>
      <c r="B5806" t="s">
        <v>16</v>
      </c>
      <c r="C5806">
        <v>22</v>
      </c>
      <c r="D5806" t="s">
        <v>28</v>
      </c>
      <c r="E5806" t="s">
        <v>18</v>
      </c>
      <c r="F5806">
        <v>53</v>
      </c>
      <c r="G5806">
        <v>51</v>
      </c>
      <c r="H5806">
        <v>0.44</v>
      </c>
      <c r="I5806" t="s">
        <v>23</v>
      </c>
      <c r="J5806">
        <v>0</v>
      </c>
      <c r="K5806">
        <v>1</v>
      </c>
      <c r="L5806">
        <v>0</v>
      </c>
      <c r="M5806">
        <f>VLOOKUP(Table1[[#This Row],[subscription_type]],Plans!$A$1:$B$5,2,FALSE)</f>
        <v>14.99</v>
      </c>
      <c r="N5806">
        <f t="shared" si="90"/>
        <v>0</v>
      </c>
    </row>
    <row r="5807" spans="1:14" x14ac:dyDescent="0.35">
      <c r="A5807">
        <v>5806</v>
      </c>
      <c r="B5807" t="s">
        <v>20</v>
      </c>
      <c r="C5807">
        <v>58</v>
      </c>
      <c r="D5807" t="s">
        <v>25</v>
      </c>
      <c r="E5807" t="s">
        <v>22</v>
      </c>
      <c r="F5807">
        <v>43</v>
      </c>
      <c r="G5807">
        <v>18</v>
      </c>
      <c r="H5807">
        <v>0.15</v>
      </c>
      <c r="I5807" t="s">
        <v>19</v>
      </c>
      <c r="J5807">
        <v>0</v>
      </c>
      <c r="K5807">
        <v>1</v>
      </c>
      <c r="L5807">
        <v>1</v>
      </c>
      <c r="M5807">
        <f>VLOOKUP(Table1[[#This Row],[subscription_type]],Plans!$A$1:$B$5,2,FALSE)</f>
        <v>9.99</v>
      </c>
      <c r="N5807">
        <f t="shared" si="90"/>
        <v>9.99</v>
      </c>
    </row>
    <row r="5808" spans="1:14" x14ac:dyDescent="0.35">
      <c r="A5808">
        <v>5807</v>
      </c>
      <c r="B5808" t="s">
        <v>16</v>
      </c>
      <c r="C5808">
        <v>28</v>
      </c>
      <c r="D5808" t="s">
        <v>28</v>
      </c>
      <c r="E5808" t="s">
        <v>24</v>
      </c>
      <c r="F5808">
        <v>145</v>
      </c>
      <c r="G5808">
        <v>90</v>
      </c>
      <c r="H5808">
        <v>0.28000000000000003</v>
      </c>
      <c r="I5808" t="s">
        <v>15</v>
      </c>
      <c r="J5808">
        <v>0</v>
      </c>
      <c r="K5808">
        <v>1</v>
      </c>
      <c r="L5808">
        <v>0</v>
      </c>
      <c r="M5808">
        <f>VLOOKUP(Table1[[#This Row],[subscription_type]],Plans!$A$1:$B$5,2,FALSE)</f>
        <v>4.99</v>
      </c>
      <c r="N5808">
        <f t="shared" si="90"/>
        <v>0</v>
      </c>
    </row>
    <row r="5809" spans="1:14" x14ac:dyDescent="0.35">
      <c r="A5809">
        <v>5808</v>
      </c>
      <c r="B5809" t="s">
        <v>12</v>
      </c>
      <c r="C5809">
        <v>16</v>
      </c>
      <c r="D5809" t="s">
        <v>13</v>
      </c>
      <c r="E5809" t="s">
        <v>18</v>
      </c>
      <c r="F5809">
        <v>57</v>
      </c>
      <c r="G5809">
        <v>74</v>
      </c>
      <c r="H5809">
        <v>0.51</v>
      </c>
      <c r="I5809" t="s">
        <v>19</v>
      </c>
      <c r="J5809">
        <v>0</v>
      </c>
      <c r="K5809">
        <v>1</v>
      </c>
      <c r="L5809">
        <v>0</v>
      </c>
      <c r="M5809">
        <f>VLOOKUP(Table1[[#This Row],[subscription_type]],Plans!$A$1:$B$5,2,FALSE)</f>
        <v>14.99</v>
      </c>
      <c r="N5809">
        <f t="shared" si="90"/>
        <v>0</v>
      </c>
    </row>
    <row r="5810" spans="1:14" x14ac:dyDescent="0.35">
      <c r="A5810">
        <v>5809</v>
      </c>
      <c r="B5810" t="s">
        <v>20</v>
      </c>
      <c r="C5810">
        <v>25</v>
      </c>
      <c r="D5810" t="s">
        <v>28</v>
      </c>
      <c r="E5810" t="s">
        <v>24</v>
      </c>
      <c r="F5810">
        <v>149</v>
      </c>
      <c r="G5810">
        <v>92</v>
      </c>
      <c r="H5810">
        <v>0.33</v>
      </c>
      <c r="I5810" t="s">
        <v>15</v>
      </c>
      <c r="J5810">
        <v>0</v>
      </c>
      <c r="K5810">
        <v>1</v>
      </c>
      <c r="L5810">
        <v>1</v>
      </c>
      <c r="M5810">
        <f>VLOOKUP(Table1[[#This Row],[subscription_type]],Plans!$A$1:$B$5,2,FALSE)</f>
        <v>4.99</v>
      </c>
      <c r="N5810">
        <f t="shared" si="90"/>
        <v>4.99</v>
      </c>
    </row>
    <row r="5811" spans="1:14" x14ac:dyDescent="0.35">
      <c r="A5811">
        <v>5810</v>
      </c>
      <c r="B5811" t="s">
        <v>12</v>
      </c>
      <c r="C5811">
        <v>54</v>
      </c>
      <c r="D5811" t="s">
        <v>29</v>
      </c>
      <c r="E5811" t="s">
        <v>22</v>
      </c>
      <c r="F5811">
        <v>85</v>
      </c>
      <c r="G5811">
        <v>19</v>
      </c>
      <c r="H5811">
        <v>0.34</v>
      </c>
      <c r="I5811" t="s">
        <v>19</v>
      </c>
      <c r="J5811">
        <v>0</v>
      </c>
      <c r="K5811">
        <v>1</v>
      </c>
      <c r="L5811">
        <v>0</v>
      </c>
      <c r="M5811">
        <f>VLOOKUP(Table1[[#This Row],[subscription_type]],Plans!$A$1:$B$5,2,FALSE)</f>
        <v>9.99</v>
      </c>
      <c r="N5811">
        <f t="shared" si="90"/>
        <v>0</v>
      </c>
    </row>
    <row r="5812" spans="1:14" x14ac:dyDescent="0.35">
      <c r="A5812">
        <v>5811</v>
      </c>
      <c r="B5812" t="s">
        <v>20</v>
      </c>
      <c r="C5812">
        <v>17</v>
      </c>
      <c r="D5812" t="s">
        <v>13</v>
      </c>
      <c r="E5812" t="s">
        <v>18</v>
      </c>
      <c r="F5812">
        <v>70</v>
      </c>
      <c r="G5812">
        <v>5</v>
      </c>
      <c r="H5812">
        <v>0.6</v>
      </c>
      <c r="I5812" t="s">
        <v>23</v>
      </c>
      <c r="J5812">
        <v>0</v>
      </c>
      <c r="K5812">
        <v>1</v>
      </c>
      <c r="L5812">
        <v>0</v>
      </c>
      <c r="M5812">
        <f>VLOOKUP(Table1[[#This Row],[subscription_type]],Plans!$A$1:$B$5,2,FALSE)</f>
        <v>14.99</v>
      </c>
      <c r="N5812">
        <f t="shared" si="90"/>
        <v>0</v>
      </c>
    </row>
    <row r="5813" spans="1:14" x14ac:dyDescent="0.35">
      <c r="A5813">
        <v>5812</v>
      </c>
      <c r="B5813" t="s">
        <v>16</v>
      </c>
      <c r="C5813">
        <v>34</v>
      </c>
      <c r="D5813" t="s">
        <v>13</v>
      </c>
      <c r="E5813" t="s">
        <v>14</v>
      </c>
      <c r="F5813">
        <v>135</v>
      </c>
      <c r="G5813">
        <v>31</v>
      </c>
      <c r="H5813">
        <v>0.2</v>
      </c>
      <c r="I5813" t="s">
        <v>23</v>
      </c>
      <c r="J5813">
        <v>46</v>
      </c>
      <c r="K5813">
        <v>0</v>
      </c>
      <c r="L5813">
        <v>0</v>
      </c>
      <c r="M5813">
        <f>VLOOKUP(Table1[[#This Row],[subscription_type]],Plans!$A$1:$B$5,2,FALSE)</f>
        <v>0</v>
      </c>
      <c r="N5813">
        <f t="shared" si="90"/>
        <v>0</v>
      </c>
    </row>
    <row r="5814" spans="1:14" x14ac:dyDescent="0.35">
      <c r="A5814">
        <v>5813</v>
      </c>
      <c r="B5814" t="s">
        <v>20</v>
      </c>
      <c r="C5814">
        <v>32</v>
      </c>
      <c r="D5814" t="s">
        <v>25</v>
      </c>
      <c r="E5814" t="s">
        <v>22</v>
      </c>
      <c r="F5814">
        <v>204</v>
      </c>
      <c r="G5814">
        <v>16</v>
      </c>
      <c r="H5814">
        <v>0.53</v>
      </c>
      <c r="I5814" t="s">
        <v>15</v>
      </c>
      <c r="J5814">
        <v>0</v>
      </c>
      <c r="K5814">
        <v>1</v>
      </c>
      <c r="L5814">
        <v>1</v>
      </c>
      <c r="M5814">
        <f>VLOOKUP(Table1[[#This Row],[subscription_type]],Plans!$A$1:$B$5,2,FALSE)</f>
        <v>9.99</v>
      </c>
      <c r="N5814">
        <f t="shared" si="90"/>
        <v>9.99</v>
      </c>
    </row>
    <row r="5815" spans="1:14" x14ac:dyDescent="0.35">
      <c r="A5815">
        <v>5814</v>
      </c>
      <c r="B5815" t="s">
        <v>16</v>
      </c>
      <c r="C5815">
        <v>29</v>
      </c>
      <c r="D5815" t="s">
        <v>21</v>
      </c>
      <c r="E5815" t="s">
        <v>14</v>
      </c>
      <c r="F5815">
        <v>177</v>
      </c>
      <c r="G5815">
        <v>96</v>
      </c>
      <c r="H5815">
        <v>0.18</v>
      </c>
      <c r="I5815" t="s">
        <v>19</v>
      </c>
      <c r="J5815">
        <v>17</v>
      </c>
      <c r="K5815">
        <v>0</v>
      </c>
      <c r="L5815">
        <v>1</v>
      </c>
      <c r="M5815">
        <f>VLOOKUP(Table1[[#This Row],[subscription_type]],Plans!$A$1:$B$5,2,FALSE)</f>
        <v>0</v>
      </c>
      <c r="N5815">
        <f t="shared" si="90"/>
        <v>0</v>
      </c>
    </row>
    <row r="5816" spans="1:14" x14ac:dyDescent="0.35">
      <c r="A5816">
        <v>5815</v>
      </c>
      <c r="B5816" t="s">
        <v>20</v>
      </c>
      <c r="C5816">
        <v>26</v>
      </c>
      <c r="D5816" t="s">
        <v>27</v>
      </c>
      <c r="E5816" t="s">
        <v>24</v>
      </c>
      <c r="F5816">
        <v>238</v>
      </c>
      <c r="G5816">
        <v>1</v>
      </c>
      <c r="H5816">
        <v>0.05</v>
      </c>
      <c r="I5816" t="s">
        <v>23</v>
      </c>
      <c r="J5816">
        <v>0</v>
      </c>
      <c r="K5816">
        <v>1</v>
      </c>
      <c r="L5816">
        <v>0</v>
      </c>
      <c r="M5816">
        <f>VLOOKUP(Table1[[#This Row],[subscription_type]],Plans!$A$1:$B$5,2,FALSE)</f>
        <v>4.99</v>
      </c>
      <c r="N5816">
        <f t="shared" si="90"/>
        <v>0</v>
      </c>
    </row>
    <row r="5817" spans="1:14" x14ac:dyDescent="0.35">
      <c r="A5817">
        <v>5816</v>
      </c>
      <c r="B5817" t="s">
        <v>20</v>
      </c>
      <c r="C5817">
        <v>52</v>
      </c>
      <c r="D5817" t="s">
        <v>26</v>
      </c>
      <c r="E5817" t="s">
        <v>24</v>
      </c>
      <c r="F5817">
        <v>151</v>
      </c>
      <c r="G5817">
        <v>54</v>
      </c>
      <c r="H5817">
        <v>0.19</v>
      </c>
      <c r="I5817" t="s">
        <v>15</v>
      </c>
      <c r="J5817">
        <v>0</v>
      </c>
      <c r="K5817">
        <v>1</v>
      </c>
      <c r="L5817">
        <v>0</v>
      </c>
      <c r="M5817">
        <f>VLOOKUP(Table1[[#This Row],[subscription_type]],Plans!$A$1:$B$5,2,FALSE)</f>
        <v>4.99</v>
      </c>
      <c r="N5817">
        <f t="shared" si="90"/>
        <v>0</v>
      </c>
    </row>
    <row r="5818" spans="1:14" x14ac:dyDescent="0.35">
      <c r="A5818">
        <v>5817</v>
      </c>
      <c r="B5818" t="s">
        <v>20</v>
      </c>
      <c r="C5818">
        <v>24</v>
      </c>
      <c r="D5818" t="s">
        <v>29</v>
      </c>
      <c r="E5818" t="s">
        <v>14</v>
      </c>
      <c r="F5818">
        <v>136</v>
      </c>
      <c r="G5818">
        <v>50</v>
      </c>
      <c r="H5818">
        <v>0.4</v>
      </c>
      <c r="I5818" t="s">
        <v>15</v>
      </c>
      <c r="J5818">
        <v>6</v>
      </c>
      <c r="K5818">
        <v>0</v>
      </c>
      <c r="L5818">
        <v>0</v>
      </c>
      <c r="M5818">
        <f>VLOOKUP(Table1[[#This Row],[subscription_type]],Plans!$A$1:$B$5,2,FALSE)</f>
        <v>0</v>
      </c>
      <c r="N5818">
        <f t="shared" si="90"/>
        <v>0</v>
      </c>
    </row>
    <row r="5819" spans="1:14" x14ac:dyDescent="0.35">
      <c r="A5819">
        <v>5818</v>
      </c>
      <c r="B5819" t="s">
        <v>12</v>
      </c>
      <c r="C5819">
        <v>20</v>
      </c>
      <c r="D5819" t="s">
        <v>13</v>
      </c>
      <c r="E5819" t="s">
        <v>18</v>
      </c>
      <c r="F5819">
        <v>74</v>
      </c>
      <c r="G5819">
        <v>10</v>
      </c>
      <c r="H5819">
        <v>0.09</v>
      </c>
      <c r="I5819" t="s">
        <v>23</v>
      </c>
      <c r="J5819">
        <v>0</v>
      </c>
      <c r="K5819">
        <v>1</v>
      </c>
      <c r="L5819">
        <v>1</v>
      </c>
      <c r="M5819">
        <f>VLOOKUP(Table1[[#This Row],[subscription_type]],Plans!$A$1:$B$5,2,FALSE)</f>
        <v>14.99</v>
      </c>
      <c r="N5819">
        <f t="shared" si="90"/>
        <v>14.99</v>
      </c>
    </row>
    <row r="5820" spans="1:14" x14ac:dyDescent="0.35">
      <c r="A5820">
        <v>5819</v>
      </c>
      <c r="B5820" t="s">
        <v>16</v>
      </c>
      <c r="C5820">
        <v>56</v>
      </c>
      <c r="D5820" t="s">
        <v>29</v>
      </c>
      <c r="E5820" t="s">
        <v>14</v>
      </c>
      <c r="F5820">
        <v>232</v>
      </c>
      <c r="G5820">
        <v>63</v>
      </c>
      <c r="H5820">
        <v>0.01</v>
      </c>
      <c r="I5820" t="s">
        <v>23</v>
      </c>
      <c r="J5820">
        <v>35</v>
      </c>
      <c r="K5820">
        <v>0</v>
      </c>
      <c r="L5820">
        <v>0</v>
      </c>
      <c r="M5820">
        <f>VLOOKUP(Table1[[#This Row],[subscription_type]],Plans!$A$1:$B$5,2,FALSE)</f>
        <v>0</v>
      </c>
      <c r="N5820">
        <f t="shared" si="90"/>
        <v>0</v>
      </c>
    </row>
    <row r="5821" spans="1:14" x14ac:dyDescent="0.35">
      <c r="A5821">
        <v>5820</v>
      </c>
      <c r="B5821" t="s">
        <v>20</v>
      </c>
      <c r="C5821">
        <v>34</v>
      </c>
      <c r="D5821" t="s">
        <v>26</v>
      </c>
      <c r="E5821" t="s">
        <v>22</v>
      </c>
      <c r="F5821">
        <v>138</v>
      </c>
      <c r="G5821">
        <v>41</v>
      </c>
      <c r="H5821">
        <v>0.04</v>
      </c>
      <c r="I5821" t="s">
        <v>19</v>
      </c>
      <c r="J5821">
        <v>0</v>
      </c>
      <c r="K5821">
        <v>1</v>
      </c>
      <c r="L5821">
        <v>0</v>
      </c>
      <c r="M5821">
        <f>VLOOKUP(Table1[[#This Row],[subscription_type]],Plans!$A$1:$B$5,2,FALSE)</f>
        <v>9.99</v>
      </c>
      <c r="N5821">
        <f t="shared" si="90"/>
        <v>0</v>
      </c>
    </row>
    <row r="5822" spans="1:14" x14ac:dyDescent="0.35">
      <c r="A5822">
        <v>5821</v>
      </c>
      <c r="B5822" t="s">
        <v>12</v>
      </c>
      <c r="C5822">
        <v>50</v>
      </c>
      <c r="D5822" t="s">
        <v>13</v>
      </c>
      <c r="E5822" t="s">
        <v>14</v>
      </c>
      <c r="F5822">
        <v>297</v>
      </c>
      <c r="G5822">
        <v>44</v>
      </c>
      <c r="H5822">
        <v>0.34</v>
      </c>
      <c r="I5822" t="s">
        <v>15</v>
      </c>
      <c r="J5822">
        <v>26</v>
      </c>
      <c r="K5822">
        <v>0</v>
      </c>
      <c r="L5822">
        <v>1</v>
      </c>
      <c r="M5822">
        <f>VLOOKUP(Table1[[#This Row],[subscription_type]],Plans!$A$1:$B$5,2,FALSE)</f>
        <v>0</v>
      </c>
      <c r="N5822">
        <f t="shared" si="90"/>
        <v>0</v>
      </c>
    </row>
    <row r="5823" spans="1:14" x14ac:dyDescent="0.35">
      <c r="A5823">
        <v>5822</v>
      </c>
      <c r="B5823" t="s">
        <v>12</v>
      </c>
      <c r="C5823">
        <v>36</v>
      </c>
      <c r="D5823" t="s">
        <v>28</v>
      </c>
      <c r="E5823" t="s">
        <v>18</v>
      </c>
      <c r="F5823">
        <v>19</v>
      </c>
      <c r="G5823">
        <v>81</v>
      </c>
      <c r="H5823">
        <v>0.52</v>
      </c>
      <c r="I5823" t="s">
        <v>23</v>
      </c>
      <c r="J5823">
        <v>0</v>
      </c>
      <c r="K5823">
        <v>1</v>
      </c>
      <c r="L5823">
        <v>0</v>
      </c>
      <c r="M5823">
        <f>VLOOKUP(Table1[[#This Row],[subscription_type]],Plans!$A$1:$B$5,2,FALSE)</f>
        <v>14.99</v>
      </c>
      <c r="N5823">
        <f t="shared" si="90"/>
        <v>0</v>
      </c>
    </row>
    <row r="5824" spans="1:14" x14ac:dyDescent="0.35">
      <c r="A5824">
        <v>5823</v>
      </c>
      <c r="B5824" t="s">
        <v>12</v>
      </c>
      <c r="C5824">
        <v>56</v>
      </c>
      <c r="D5824" t="s">
        <v>28</v>
      </c>
      <c r="E5824" t="s">
        <v>14</v>
      </c>
      <c r="F5824">
        <v>264</v>
      </c>
      <c r="G5824">
        <v>28</v>
      </c>
      <c r="H5824">
        <v>0.3</v>
      </c>
      <c r="I5824" t="s">
        <v>23</v>
      </c>
      <c r="J5824">
        <v>8</v>
      </c>
      <c r="K5824">
        <v>0</v>
      </c>
      <c r="L5824">
        <v>0</v>
      </c>
      <c r="M5824">
        <f>VLOOKUP(Table1[[#This Row],[subscription_type]],Plans!$A$1:$B$5,2,FALSE)</f>
        <v>0</v>
      </c>
      <c r="N5824">
        <f t="shared" si="90"/>
        <v>0</v>
      </c>
    </row>
    <row r="5825" spans="1:14" x14ac:dyDescent="0.35">
      <c r="A5825">
        <v>5824</v>
      </c>
      <c r="B5825" t="s">
        <v>16</v>
      </c>
      <c r="C5825">
        <v>22</v>
      </c>
      <c r="D5825" t="s">
        <v>17</v>
      </c>
      <c r="E5825" t="s">
        <v>18</v>
      </c>
      <c r="F5825">
        <v>203</v>
      </c>
      <c r="G5825">
        <v>92</v>
      </c>
      <c r="H5825">
        <v>0.35</v>
      </c>
      <c r="I5825" t="s">
        <v>23</v>
      </c>
      <c r="J5825">
        <v>0</v>
      </c>
      <c r="K5825">
        <v>1</v>
      </c>
      <c r="L5825">
        <v>0</v>
      </c>
      <c r="M5825">
        <f>VLOOKUP(Table1[[#This Row],[subscription_type]],Plans!$A$1:$B$5,2,FALSE)</f>
        <v>14.99</v>
      </c>
      <c r="N5825">
        <f t="shared" si="90"/>
        <v>0</v>
      </c>
    </row>
    <row r="5826" spans="1:14" x14ac:dyDescent="0.35">
      <c r="A5826">
        <v>5825</v>
      </c>
      <c r="B5826" t="s">
        <v>12</v>
      </c>
      <c r="C5826">
        <v>25</v>
      </c>
      <c r="D5826" t="s">
        <v>21</v>
      </c>
      <c r="E5826" t="s">
        <v>14</v>
      </c>
      <c r="F5826">
        <v>104</v>
      </c>
      <c r="G5826">
        <v>51</v>
      </c>
      <c r="H5826">
        <v>0.2</v>
      </c>
      <c r="I5826" t="s">
        <v>15</v>
      </c>
      <c r="J5826">
        <v>28</v>
      </c>
      <c r="K5826">
        <v>0</v>
      </c>
      <c r="L5826">
        <v>0</v>
      </c>
      <c r="M5826">
        <f>VLOOKUP(Table1[[#This Row],[subscription_type]],Plans!$A$1:$B$5,2,FALSE)</f>
        <v>0</v>
      </c>
      <c r="N5826">
        <f t="shared" ref="N5826:N5889" si="91">IF(L5826=1, M5826,0)</f>
        <v>0</v>
      </c>
    </row>
    <row r="5827" spans="1:14" x14ac:dyDescent="0.35">
      <c r="A5827">
        <v>5826</v>
      </c>
      <c r="B5827" t="s">
        <v>20</v>
      </c>
      <c r="C5827">
        <v>41</v>
      </c>
      <c r="D5827" t="s">
        <v>21</v>
      </c>
      <c r="E5827" t="s">
        <v>22</v>
      </c>
      <c r="F5827">
        <v>272</v>
      </c>
      <c r="G5827">
        <v>3</v>
      </c>
      <c r="H5827">
        <v>0.47</v>
      </c>
      <c r="I5827" t="s">
        <v>15</v>
      </c>
      <c r="J5827">
        <v>0</v>
      </c>
      <c r="K5827">
        <v>1</v>
      </c>
      <c r="L5827">
        <v>0</v>
      </c>
      <c r="M5827">
        <f>VLOOKUP(Table1[[#This Row],[subscription_type]],Plans!$A$1:$B$5,2,FALSE)</f>
        <v>9.99</v>
      </c>
      <c r="N5827">
        <f t="shared" si="91"/>
        <v>0</v>
      </c>
    </row>
    <row r="5828" spans="1:14" x14ac:dyDescent="0.35">
      <c r="A5828">
        <v>5827</v>
      </c>
      <c r="B5828" t="s">
        <v>20</v>
      </c>
      <c r="C5828">
        <v>52</v>
      </c>
      <c r="D5828" t="s">
        <v>27</v>
      </c>
      <c r="E5828" t="s">
        <v>24</v>
      </c>
      <c r="F5828">
        <v>299</v>
      </c>
      <c r="G5828">
        <v>56</v>
      </c>
      <c r="H5828">
        <v>0.59</v>
      </c>
      <c r="I5828" t="s">
        <v>15</v>
      </c>
      <c r="J5828">
        <v>0</v>
      </c>
      <c r="K5828">
        <v>1</v>
      </c>
      <c r="L5828">
        <v>0</v>
      </c>
      <c r="M5828">
        <f>VLOOKUP(Table1[[#This Row],[subscription_type]],Plans!$A$1:$B$5,2,FALSE)</f>
        <v>4.99</v>
      </c>
      <c r="N5828">
        <f t="shared" si="91"/>
        <v>0</v>
      </c>
    </row>
    <row r="5829" spans="1:14" x14ac:dyDescent="0.35">
      <c r="A5829">
        <v>5828</v>
      </c>
      <c r="B5829" t="s">
        <v>16</v>
      </c>
      <c r="C5829">
        <v>35</v>
      </c>
      <c r="D5829" t="s">
        <v>28</v>
      </c>
      <c r="E5829" t="s">
        <v>18</v>
      </c>
      <c r="F5829">
        <v>249</v>
      </c>
      <c r="G5829">
        <v>64</v>
      </c>
      <c r="H5829">
        <v>0.56000000000000005</v>
      </c>
      <c r="I5829" t="s">
        <v>19</v>
      </c>
      <c r="J5829">
        <v>0</v>
      </c>
      <c r="K5829">
        <v>1</v>
      </c>
      <c r="L5829">
        <v>0</v>
      </c>
      <c r="M5829">
        <f>VLOOKUP(Table1[[#This Row],[subscription_type]],Plans!$A$1:$B$5,2,FALSE)</f>
        <v>14.99</v>
      </c>
      <c r="N5829">
        <f t="shared" si="91"/>
        <v>0</v>
      </c>
    </row>
    <row r="5830" spans="1:14" x14ac:dyDescent="0.35">
      <c r="A5830">
        <v>5829</v>
      </c>
      <c r="B5830" t="s">
        <v>16</v>
      </c>
      <c r="C5830">
        <v>39</v>
      </c>
      <c r="D5830" t="s">
        <v>28</v>
      </c>
      <c r="E5830" t="s">
        <v>24</v>
      </c>
      <c r="F5830">
        <v>201</v>
      </c>
      <c r="G5830">
        <v>60</v>
      </c>
      <c r="H5830">
        <v>0.51</v>
      </c>
      <c r="I5830" t="s">
        <v>19</v>
      </c>
      <c r="J5830">
        <v>0</v>
      </c>
      <c r="K5830">
        <v>1</v>
      </c>
      <c r="L5830">
        <v>1</v>
      </c>
      <c r="M5830">
        <f>VLOOKUP(Table1[[#This Row],[subscription_type]],Plans!$A$1:$B$5,2,FALSE)</f>
        <v>4.99</v>
      </c>
      <c r="N5830">
        <f t="shared" si="91"/>
        <v>4.99</v>
      </c>
    </row>
    <row r="5831" spans="1:14" x14ac:dyDescent="0.35">
      <c r="A5831">
        <v>5830</v>
      </c>
      <c r="B5831" t="s">
        <v>20</v>
      </c>
      <c r="C5831">
        <v>40</v>
      </c>
      <c r="D5831" t="s">
        <v>27</v>
      </c>
      <c r="E5831" t="s">
        <v>14</v>
      </c>
      <c r="F5831">
        <v>103</v>
      </c>
      <c r="G5831">
        <v>85</v>
      </c>
      <c r="H5831">
        <v>0.38</v>
      </c>
      <c r="I5831" t="s">
        <v>23</v>
      </c>
      <c r="J5831">
        <v>33</v>
      </c>
      <c r="K5831">
        <v>0</v>
      </c>
      <c r="L5831">
        <v>1</v>
      </c>
      <c r="M5831">
        <f>VLOOKUP(Table1[[#This Row],[subscription_type]],Plans!$A$1:$B$5,2,FALSE)</f>
        <v>0</v>
      </c>
      <c r="N5831">
        <f t="shared" si="91"/>
        <v>0</v>
      </c>
    </row>
    <row r="5832" spans="1:14" x14ac:dyDescent="0.35">
      <c r="A5832">
        <v>5831</v>
      </c>
      <c r="B5832" t="s">
        <v>16</v>
      </c>
      <c r="C5832">
        <v>24</v>
      </c>
      <c r="D5832" t="s">
        <v>26</v>
      </c>
      <c r="E5832" t="s">
        <v>14</v>
      </c>
      <c r="F5832">
        <v>226</v>
      </c>
      <c r="G5832">
        <v>98</v>
      </c>
      <c r="H5832">
        <v>0.1</v>
      </c>
      <c r="I5832" t="s">
        <v>19</v>
      </c>
      <c r="J5832">
        <v>20</v>
      </c>
      <c r="K5832">
        <v>0</v>
      </c>
      <c r="L5832">
        <v>0</v>
      </c>
      <c r="M5832">
        <f>VLOOKUP(Table1[[#This Row],[subscription_type]],Plans!$A$1:$B$5,2,FALSE)</f>
        <v>0</v>
      </c>
      <c r="N5832">
        <f t="shared" si="91"/>
        <v>0</v>
      </c>
    </row>
    <row r="5833" spans="1:14" x14ac:dyDescent="0.35">
      <c r="A5833">
        <v>5832</v>
      </c>
      <c r="B5833" t="s">
        <v>20</v>
      </c>
      <c r="C5833">
        <v>44</v>
      </c>
      <c r="D5833" t="s">
        <v>21</v>
      </c>
      <c r="E5833" t="s">
        <v>18</v>
      </c>
      <c r="F5833">
        <v>137</v>
      </c>
      <c r="G5833">
        <v>38</v>
      </c>
      <c r="H5833">
        <v>0.2</v>
      </c>
      <c r="I5833" t="s">
        <v>15</v>
      </c>
      <c r="J5833">
        <v>0</v>
      </c>
      <c r="K5833">
        <v>1</v>
      </c>
      <c r="L5833">
        <v>0</v>
      </c>
      <c r="M5833">
        <f>VLOOKUP(Table1[[#This Row],[subscription_type]],Plans!$A$1:$B$5,2,FALSE)</f>
        <v>14.99</v>
      </c>
      <c r="N5833">
        <f t="shared" si="91"/>
        <v>0</v>
      </c>
    </row>
    <row r="5834" spans="1:14" x14ac:dyDescent="0.35">
      <c r="A5834">
        <v>5833</v>
      </c>
      <c r="B5834" t="s">
        <v>20</v>
      </c>
      <c r="C5834">
        <v>54</v>
      </c>
      <c r="D5834" t="s">
        <v>21</v>
      </c>
      <c r="E5834" t="s">
        <v>22</v>
      </c>
      <c r="F5834">
        <v>43</v>
      </c>
      <c r="G5834">
        <v>26</v>
      </c>
      <c r="H5834">
        <v>0.59</v>
      </c>
      <c r="I5834" t="s">
        <v>23</v>
      </c>
      <c r="J5834">
        <v>0</v>
      </c>
      <c r="K5834">
        <v>1</v>
      </c>
      <c r="L5834">
        <v>1</v>
      </c>
      <c r="M5834">
        <f>VLOOKUP(Table1[[#This Row],[subscription_type]],Plans!$A$1:$B$5,2,FALSE)</f>
        <v>9.99</v>
      </c>
      <c r="N5834">
        <f t="shared" si="91"/>
        <v>9.99</v>
      </c>
    </row>
    <row r="5835" spans="1:14" x14ac:dyDescent="0.35">
      <c r="A5835">
        <v>5834</v>
      </c>
      <c r="B5835" t="s">
        <v>16</v>
      </c>
      <c r="C5835">
        <v>46</v>
      </c>
      <c r="D5835" t="s">
        <v>29</v>
      </c>
      <c r="E5835" t="s">
        <v>18</v>
      </c>
      <c r="F5835">
        <v>81</v>
      </c>
      <c r="G5835">
        <v>38</v>
      </c>
      <c r="H5835">
        <v>0.33</v>
      </c>
      <c r="I5835" t="s">
        <v>23</v>
      </c>
      <c r="J5835">
        <v>0</v>
      </c>
      <c r="K5835">
        <v>1</v>
      </c>
      <c r="L5835">
        <v>0</v>
      </c>
      <c r="M5835">
        <f>VLOOKUP(Table1[[#This Row],[subscription_type]],Plans!$A$1:$B$5,2,FALSE)</f>
        <v>14.99</v>
      </c>
      <c r="N5835">
        <f t="shared" si="91"/>
        <v>0</v>
      </c>
    </row>
    <row r="5836" spans="1:14" x14ac:dyDescent="0.35">
      <c r="A5836">
        <v>5835</v>
      </c>
      <c r="B5836" t="s">
        <v>20</v>
      </c>
      <c r="C5836">
        <v>21</v>
      </c>
      <c r="D5836" t="s">
        <v>29</v>
      </c>
      <c r="E5836" t="s">
        <v>22</v>
      </c>
      <c r="F5836">
        <v>137</v>
      </c>
      <c r="G5836">
        <v>75</v>
      </c>
      <c r="H5836">
        <v>0.05</v>
      </c>
      <c r="I5836" t="s">
        <v>23</v>
      </c>
      <c r="J5836">
        <v>0</v>
      </c>
      <c r="K5836">
        <v>1</v>
      </c>
      <c r="L5836">
        <v>0</v>
      </c>
      <c r="M5836">
        <f>VLOOKUP(Table1[[#This Row],[subscription_type]],Plans!$A$1:$B$5,2,FALSE)</f>
        <v>9.99</v>
      </c>
      <c r="N5836">
        <f t="shared" si="91"/>
        <v>0</v>
      </c>
    </row>
    <row r="5837" spans="1:14" x14ac:dyDescent="0.35">
      <c r="A5837">
        <v>5836</v>
      </c>
      <c r="B5837" t="s">
        <v>20</v>
      </c>
      <c r="C5837">
        <v>20</v>
      </c>
      <c r="D5837" t="s">
        <v>27</v>
      </c>
      <c r="E5837" t="s">
        <v>22</v>
      </c>
      <c r="F5837">
        <v>248</v>
      </c>
      <c r="G5837">
        <v>79</v>
      </c>
      <c r="H5837">
        <v>7.0000000000000007E-2</v>
      </c>
      <c r="I5837" t="s">
        <v>15</v>
      </c>
      <c r="J5837">
        <v>0</v>
      </c>
      <c r="K5837">
        <v>1</v>
      </c>
      <c r="L5837">
        <v>0</v>
      </c>
      <c r="M5837">
        <f>VLOOKUP(Table1[[#This Row],[subscription_type]],Plans!$A$1:$B$5,2,FALSE)</f>
        <v>9.99</v>
      </c>
      <c r="N5837">
        <f t="shared" si="91"/>
        <v>0</v>
      </c>
    </row>
    <row r="5838" spans="1:14" x14ac:dyDescent="0.35">
      <c r="A5838">
        <v>5837</v>
      </c>
      <c r="B5838" t="s">
        <v>12</v>
      </c>
      <c r="C5838">
        <v>24</v>
      </c>
      <c r="D5838" t="s">
        <v>17</v>
      </c>
      <c r="E5838" t="s">
        <v>18</v>
      </c>
      <c r="F5838">
        <v>151</v>
      </c>
      <c r="G5838">
        <v>30</v>
      </c>
      <c r="H5838">
        <v>0.16</v>
      </c>
      <c r="I5838" t="s">
        <v>23</v>
      </c>
      <c r="J5838">
        <v>0</v>
      </c>
      <c r="K5838">
        <v>1</v>
      </c>
      <c r="L5838">
        <v>1</v>
      </c>
      <c r="M5838">
        <f>VLOOKUP(Table1[[#This Row],[subscription_type]],Plans!$A$1:$B$5,2,FALSE)</f>
        <v>14.99</v>
      </c>
      <c r="N5838">
        <f t="shared" si="91"/>
        <v>14.99</v>
      </c>
    </row>
    <row r="5839" spans="1:14" x14ac:dyDescent="0.35">
      <c r="A5839">
        <v>5838</v>
      </c>
      <c r="B5839" t="s">
        <v>16</v>
      </c>
      <c r="C5839">
        <v>46</v>
      </c>
      <c r="D5839" t="s">
        <v>28</v>
      </c>
      <c r="E5839" t="s">
        <v>18</v>
      </c>
      <c r="F5839">
        <v>32</v>
      </c>
      <c r="G5839">
        <v>29</v>
      </c>
      <c r="H5839">
        <v>0.19</v>
      </c>
      <c r="I5839" t="s">
        <v>15</v>
      </c>
      <c r="J5839">
        <v>0</v>
      </c>
      <c r="K5839">
        <v>1</v>
      </c>
      <c r="L5839">
        <v>0</v>
      </c>
      <c r="M5839">
        <f>VLOOKUP(Table1[[#This Row],[subscription_type]],Plans!$A$1:$B$5,2,FALSE)</f>
        <v>14.99</v>
      </c>
      <c r="N5839">
        <f t="shared" si="91"/>
        <v>0</v>
      </c>
    </row>
    <row r="5840" spans="1:14" x14ac:dyDescent="0.35">
      <c r="A5840">
        <v>5839</v>
      </c>
      <c r="B5840" t="s">
        <v>16</v>
      </c>
      <c r="C5840">
        <v>25</v>
      </c>
      <c r="D5840" t="s">
        <v>26</v>
      </c>
      <c r="E5840" t="s">
        <v>14</v>
      </c>
      <c r="F5840">
        <v>36</v>
      </c>
      <c r="G5840">
        <v>16</v>
      </c>
      <c r="H5840">
        <v>0.5</v>
      </c>
      <c r="I5840" t="s">
        <v>23</v>
      </c>
      <c r="J5840">
        <v>11</v>
      </c>
      <c r="K5840">
        <v>0</v>
      </c>
      <c r="L5840">
        <v>0</v>
      </c>
      <c r="M5840">
        <f>VLOOKUP(Table1[[#This Row],[subscription_type]],Plans!$A$1:$B$5,2,FALSE)</f>
        <v>0</v>
      </c>
      <c r="N5840">
        <f t="shared" si="91"/>
        <v>0</v>
      </c>
    </row>
    <row r="5841" spans="1:14" x14ac:dyDescent="0.35">
      <c r="A5841">
        <v>5840</v>
      </c>
      <c r="B5841" t="s">
        <v>16</v>
      </c>
      <c r="C5841">
        <v>34</v>
      </c>
      <c r="D5841" t="s">
        <v>21</v>
      </c>
      <c r="E5841" t="s">
        <v>14</v>
      </c>
      <c r="F5841">
        <v>262</v>
      </c>
      <c r="G5841">
        <v>17</v>
      </c>
      <c r="H5841">
        <v>0.18</v>
      </c>
      <c r="I5841" t="s">
        <v>15</v>
      </c>
      <c r="J5841">
        <v>27</v>
      </c>
      <c r="K5841">
        <v>0</v>
      </c>
      <c r="L5841">
        <v>0</v>
      </c>
      <c r="M5841">
        <f>VLOOKUP(Table1[[#This Row],[subscription_type]],Plans!$A$1:$B$5,2,FALSE)</f>
        <v>0</v>
      </c>
      <c r="N5841">
        <f t="shared" si="91"/>
        <v>0</v>
      </c>
    </row>
    <row r="5842" spans="1:14" x14ac:dyDescent="0.35">
      <c r="A5842">
        <v>5841</v>
      </c>
      <c r="B5842" t="s">
        <v>20</v>
      </c>
      <c r="C5842">
        <v>36</v>
      </c>
      <c r="D5842" t="s">
        <v>26</v>
      </c>
      <c r="E5842" t="s">
        <v>14</v>
      </c>
      <c r="F5842">
        <v>54</v>
      </c>
      <c r="G5842">
        <v>37</v>
      </c>
      <c r="H5842">
        <v>0.52</v>
      </c>
      <c r="I5842" t="s">
        <v>23</v>
      </c>
      <c r="J5842">
        <v>27</v>
      </c>
      <c r="K5842">
        <v>0</v>
      </c>
      <c r="L5842">
        <v>0</v>
      </c>
      <c r="M5842">
        <f>VLOOKUP(Table1[[#This Row],[subscription_type]],Plans!$A$1:$B$5,2,FALSE)</f>
        <v>0</v>
      </c>
      <c r="N5842">
        <f t="shared" si="91"/>
        <v>0</v>
      </c>
    </row>
    <row r="5843" spans="1:14" x14ac:dyDescent="0.35">
      <c r="A5843">
        <v>5842</v>
      </c>
      <c r="B5843" t="s">
        <v>20</v>
      </c>
      <c r="C5843">
        <v>37</v>
      </c>
      <c r="D5843" t="s">
        <v>25</v>
      </c>
      <c r="E5843" t="s">
        <v>24</v>
      </c>
      <c r="F5843">
        <v>52</v>
      </c>
      <c r="G5843">
        <v>41</v>
      </c>
      <c r="H5843">
        <v>0.28000000000000003</v>
      </c>
      <c r="I5843" t="s">
        <v>23</v>
      </c>
      <c r="J5843">
        <v>0</v>
      </c>
      <c r="K5843">
        <v>1</v>
      </c>
      <c r="L5843">
        <v>0</v>
      </c>
      <c r="M5843">
        <f>VLOOKUP(Table1[[#This Row],[subscription_type]],Plans!$A$1:$B$5,2,FALSE)</f>
        <v>4.99</v>
      </c>
      <c r="N5843">
        <f t="shared" si="91"/>
        <v>0</v>
      </c>
    </row>
    <row r="5844" spans="1:14" x14ac:dyDescent="0.35">
      <c r="A5844">
        <v>5843</v>
      </c>
      <c r="B5844" t="s">
        <v>12</v>
      </c>
      <c r="C5844">
        <v>31</v>
      </c>
      <c r="D5844" t="s">
        <v>28</v>
      </c>
      <c r="E5844" t="s">
        <v>14</v>
      </c>
      <c r="F5844">
        <v>145</v>
      </c>
      <c r="G5844">
        <v>7</v>
      </c>
      <c r="H5844">
        <v>0.01</v>
      </c>
      <c r="I5844" t="s">
        <v>19</v>
      </c>
      <c r="J5844">
        <v>41</v>
      </c>
      <c r="K5844">
        <v>0</v>
      </c>
      <c r="L5844">
        <v>0</v>
      </c>
      <c r="M5844">
        <f>VLOOKUP(Table1[[#This Row],[subscription_type]],Plans!$A$1:$B$5,2,FALSE)</f>
        <v>0</v>
      </c>
      <c r="N5844">
        <f t="shared" si="91"/>
        <v>0</v>
      </c>
    </row>
    <row r="5845" spans="1:14" x14ac:dyDescent="0.35">
      <c r="A5845">
        <v>5844</v>
      </c>
      <c r="B5845" t="s">
        <v>16</v>
      </c>
      <c r="C5845">
        <v>17</v>
      </c>
      <c r="D5845" t="s">
        <v>17</v>
      </c>
      <c r="E5845" t="s">
        <v>22</v>
      </c>
      <c r="F5845">
        <v>32</v>
      </c>
      <c r="G5845">
        <v>71</v>
      </c>
      <c r="H5845">
        <v>0.27</v>
      </c>
      <c r="I5845" t="s">
        <v>15</v>
      </c>
      <c r="J5845">
        <v>0</v>
      </c>
      <c r="K5845">
        <v>1</v>
      </c>
      <c r="L5845">
        <v>0</v>
      </c>
      <c r="M5845">
        <f>VLOOKUP(Table1[[#This Row],[subscription_type]],Plans!$A$1:$B$5,2,FALSE)</f>
        <v>9.99</v>
      </c>
      <c r="N5845">
        <f t="shared" si="91"/>
        <v>0</v>
      </c>
    </row>
    <row r="5846" spans="1:14" x14ac:dyDescent="0.35">
      <c r="A5846">
        <v>5845</v>
      </c>
      <c r="B5846" t="s">
        <v>20</v>
      </c>
      <c r="C5846">
        <v>58</v>
      </c>
      <c r="D5846" t="s">
        <v>17</v>
      </c>
      <c r="E5846" t="s">
        <v>18</v>
      </c>
      <c r="F5846">
        <v>295</v>
      </c>
      <c r="G5846">
        <v>12</v>
      </c>
      <c r="H5846">
        <v>0.49</v>
      </c>
      <c r="I5846" t="s">
        <v>19</v>
      </c>
      <c r="J5846">
        <v>0</v>
      </c>
      <c r="K5846">
        <v>1</v>
      </c>
      <c r="L5846">
        <v>0</v>
      </c>
      <c r="M5846">
        <f>VLOOKUP(Table1[[#This Row],[subscription_type]],Plans!$A$1:$B$5,2,FALSE)</f>
        <v>14.99</v>
      </c>
      <c r="N5846">
        <f t="shared" si="91"/>
        <v>0</v>
      </c>
    </row>
    <row r="5847" spans="1:14" x14ac:dyDescent="0.35">
      <c r="A5847">
        <v>5846</v>
      </c>
      <c r="B5847" t="s">
        <v>12</v>
      </c>
      <c r="C5847">
        <v>18</v>
      </c>
      <c r="D5847" t="s">
        <v>21</v>
      </c>
      <c r="E5847" t="s">
        <v>22</v>
      </c>
      <c r="F5847">
        <v>139</v>
      </c>
      <c r="G5847">
        <v>55</v>
      </c>
      <c r="H5847">
        <v>0.44</v>
      </c>
      <c r="I5847" t="s">
        <v>23</v>
      </c>
      <c r="J5847">
        <v>0</v>
      </c>
      <c r="K5847">
        <v>1</v>
      </c>
      <c r="L5847">
        <v>0</v>
      </c>
      <c r="M5847">
        <f>VLOOKUP(Table1[[#This Row],[subscription_type]],Plans!$A$1:$B$5,2,FALSE)</f>
        <v>9.99</v>
      </c>
      <c r="N5847">
        <f t="shared" si="91"/>
        <v>0</v>
      </c>
    </row>
    <row r="5848" spans="1:14" x14ac:dyDescent="0.35">
      <c r="A5848">
        <v>5847</v>
      </c>
      <c r="B5848" t="s">
        <v>12</v>
      </c>
      <c r="C5848">
        <v>57</v>
      </c>
      <c r="D5848" t="s">
        <v>21</v>
      </c>
      <c r="E5848" t="s">
        <v>22</v>
      </c>
      <c r="F5848">
        <v>125</v>
      </c>
      <c r="G5848">
        <v>60</v>
      </c>
      <c r="H5848">
        <v>0.26</v>
      </c>
      <c r="I5848" t="s">
        <v>19</v>
      </c>
      <c r="J5848">
        <v>0</v>
      </c>
      <c r="K5848">
        <v>1</v>
      </c>
      <c r="L5848">
        <v>1</v>
      </c>
      <c r="M5848">
        <f>VLOOKUP(Table1[[#This Row],[subscription_type]],Plans!$A$1:$B$5,2,FALSE)</f>
        <v>9.99</v>
      </c>
      <c r="N5848">
        <f t="shared" si="91"/>
        <v>9.99</v>
      </c>
    </row>
    <row r="5849" spans="1:14" x14ac:dyDescent="0.35">
      <c r="A5849">
        <v>5848</v>
      </c>
      <c r="B5849" t="s">
        <v>20</v>
      </c>
      <c r="C5849">
        <v>31</v>
      </c>
      <c r="D5849" t="s">
        <v>17</v>
      </c>
      <c r="E5849" t="s">
        <v>14</v>
      </c>
      <c r="F5849">
        <v>151</v>
      </c>
      <c r="G5849">
        <v>46</v>
      </c>
      <c r="H5849">
        <v>0.6</v>
      </c>
      <c r="I5849" t="s">
        <v>15</v>
      </c>
      <c r="J5849">
        <v>18</v>
      </c>
      <c r="K5849">
        <v>0</v>
      </c>
      <c r="L5849">
        <v>0</v>
      </c>
      <c r="M5849">
        <f>VLOOKUP(Table1[[#This Row],[subscription_type]],Plans!$A$1:$B$5,2,FALSE)</f>
        <v>0</v>
      </c>
      <c r="N5849">
        <f t="shared" si="91"/>
        <v>0</v>
      </c>
    </row>
    <row r="5850" spans="1:14" x14ac:dyDescent="0.35">
      <c r="A5850">
        <v>5849</v>
      </c>
      <c r="B5850" t="s">
        <v>12</v>
      </c>
      <c r="C5850">
        <v>43</v>
      </c>
      <c r="D5850" t="s">
        <v>27</v>
      </c>
      <c r="E5850" t="s">
        <v>24</v>
      </c>
      <c r="F5850">
        <v>275</v>
      </c>
      <c r="G5850">
        <v>38</v>
      </c>
      <c r="H5850">
        <v>0.59</v>
      </c>
      <c r="I5850" t="s">
        <v>19</v>
      </c>
      <c r="J5850">
        <v>0</v>
      </c>
      <c r="K5850">
        <v>1</v>
      </c>
      <c r="L5850">
        <v>0</v>
      </c>
      <c r="M5850">
        <f>VLOOKUP(Table1[[#This Row],[subscription_type]],Plans!$A$1:$B$5,2,FALSE)</f>
        <v>4.99</v>
      </c>
      <c r="N5850">
        <f t="shared" si="91"/>
        <v>0</v>
      </c>
    </row>
    <row r="5851" spans="1:14" x14ac:dyDescent="0.35">
      <c r="A5851">
        <v>5850</v>
      </c>
      <c r="B5851" t="s">
        <v>12</v>
      </c>
      <c r="C5851">
        <v>37</v>
      </c>
      <c r="D5851" t="s">
        <v>25</v>
      </c>
      <c r="E5851" t="s">
        <v>18</v>
      </c>
      <c r="F5851">
        <v>204</v>
      </c>
      <c r="G5851">
        <v>59</v>
      </c>
      <c r="H5851">
        <v>0.39</v>
      </c>
      <c r="I5851" t="s">
        <v>23</v>
      </c>
      <c r="J5851">
        <v>0</v>
      </c>
      <c r="K5851">
        <v>1</v>
      </c>
      <c r="L5851">
        <v>1</v>
      </c>
      <c r="M5851">
        <f>VLOOKUP(Table1[[#This Row],[subscription_type]],Plans!$A$1:$B$5,2,FALSE)</f>
        <v>14.99</v>
      </c>
      <c r="N5851">
        <f t="shared" si="91"/>
        <v>14.99</v>
      </c>
    </row>
    <row r="5852" spans="1:14" x14ac:dyDescent="0.35">
      <c r="A5852">
        <v>5851</v>
      </c>
      <c r="B5852" t="s">
        <v>16</v>
      </c>
      <c r="C5852">
        <v>27</v>
      </c>
      <c r="D5852" t="s">
        <v>27</v>
      </c>
      <c r="E5852" t="s">
        <v>18</v>
      </c>
      <c r="F5852">
        <v>234</v>
      </c>
      <c r="G5852">
        <v>56</v>
      </c>
      <c r="H5852">
        <v>0.15</v>
      </c>
      <c r="I5852" t="s">
        <v>19</v>
      </c>
      <c r="J5852">
        <v>0</v>
      </c>
      <c r="K5852">
        <v>1</v>
      </c>
      <c r="L5852">
        <v>0</v>
      </c>
      <c r="M5852">
        <f>VLOOKUP(Table1[[#This Row],[subscription_type]],Plans!$A$1:$B$5,2,FALSE)</f>
        <v>14.99</v>
      </c>
      <c r="N5852">
        <f t="shared" si="91"/>
        <v>0</v>
      </c>
    </row>
    <row r="5853" spans="1:14" x14ac:dyDescent="0.35">
      <c r="A5853">
        <v>5852</v>
      </c>
      <c r="B5853" t="s">
        <v>20</v>
      </c>
      <c r="C5853">
        <v>30</v>
      </c>
      <c r="D5853" t="s">
        <v>21</v>
      </c>
      <c r="E5853" t="s">
        <v>18</v>
      </c>
      <c r="F5853">
        <v>267</v>
      </c>
      <c r="G5853">
        <v>45</v>
      </c>
      <c r="H5853">
        <v>0.17</v>
      </c>
      <c r="I5853" t="s">
        <v>23</v>
      </c>
      <c r="J5853">
        <v>0</v>
      </c>
      <c r="K5853">
        <v>1</v>
      </c>
      <c r="L5853">
        <v>1</v>
      </c>
      <c r="M5853">
        <f>VLOOKUP(Table1[[#This Row],[subscription_type]],Plans!$A$1:$B$5,2,FALSE)</f>
        <v>14.99</v>
      </c>
      <c r="N5853">
        <f t="shared" si="91"/>
        <v>14.99</v>
      </c>
    </row>
    <row r="5854" spans="1:14" x14ac:dyDescent="0.35">
      <c r="A5854">
        <v>5853</v>
      </c>
      <c r="B5854" t="s">
        <v>20</v>
      </c>
      <c r="C5854">
        <v>51</v>
      </c>
      <c r="D5854" t="s">
        <v>27</v>
      </c>
      <c r="E5854" t="s">
        <v>14</v>
      </c>
      <c r="F5854">
        <v>263</v>
      </c>
      <c r="G5854">
        <v>83</v>
      </c>
      <c r="H5854">
        <v>0.03</v>
      </c>
      <c r="I5854" t="s">
        <v>15</v>
      </c>
      <c r="J5854">
        <v>42</v>
      </c>
      <c r="K5854">
        <v>0</v>
      </c>
      <c r="L5854">
        <v>1</v>
      </c>
      <c r="M5854">
        <f>VLOOKUP(Table1[[#This Row],[subscription_type]],Plans!$A$1:$B$5,2,FALSE)</f>
        <v>0</v>
      </c>
      <c r="N5854">
        <f t="shared" si="91"/>
        <v>0</v>
      </c>
    </row>
    <row r="5855" spans="1:14" x14ac:dyDescent="0.35">
      <c r="A5855">
        <v>5854</v>
      </c>
      <c r="B5855" t="s">
        <v>20</v>
      </c>
      <c r="C5855">
        <v>30</v>
      </c>
      <c r="D5855" t="s">
        <v>21</v>
      </c>
      <c r="E5855" t="s">
        <v>18</v>
      </c>
      <c r="F5855">
        <v>78</v>
      </c>
      <c r="G5855">
        <v>65</v>
      </c>
      <c r="H5855">
        <v>0.08</v>
      </c>
      <c r="I5855" t="s">
        <v>15</v>
      </c>
      <c r="J5855">
        <v>0</v>
      </c>
      <c r="K5855">
        <v>1</v>
      </c>
      <c r="L5855">
        <v>1</v>
      </c>
      <c r="M5855">
        <f>VLOOKUP(Table1[[#This Row],[subscription_type]],Plans!$A$1:$B$5,2,FALSE)</f>
        <v>14.99</v>
      </c>
      <c r="N5855">
        <f t="shared" si="91"/>
        <v>14.99</v>
      </c>
    </row>
    <row r="5856" spans="1:14" x14ac:dyDescent="0.35">
      <c r="A5856">
        <v>5855</v>
      </c>
      <c r="B5856" t="s">
        <v>20</v>
      </c>
      <c r="C5856">
        <v>37</v>
      </c>
      <c r="D5856" t="s">
        <v>25</v>
      </c>
      <c r="E5856" t="s">
        <v>24</v>
      </c>
      <c r="F5856">
        <v>199</v>
      </c>
      <c r="G5856">
        <v>55</v>
      </c>
      <c r="H5856">
        <v>0.28000000000000003</v>
      </c>
      <c r="I5856" t="s">
        <v>23</v>
      </c>
      <c r="J5856">
        <v>0</v>
      </c>
      <c r="K5856">
        <v>1</v>
      </c>
      <c r="L5856">
        <v>0</v>
      </c>
      <c r="M5856">
        <f>VLOOKUP(Table1[[#This Row],[subscription_type]],Plans!$A$1:$B$5,2,FALSE)</f>
        <v>4.99</v>
      </c>
      <c r="N5856">
        <f t="shared" si="91"/>
        <v>0</v>
      </c>
    </row>
    <row r="5857" spans="1:14" x14ac:dyDescent="0.35">
      <c r="A5857">
        <v>5856</v>
      </c>
      <c r="B5857" t="s">
        <v>16</v>
      </c>
      <c r="C5857">
        <v>23</v>
      </c>
      <c r="D5857" t="s">
        <v>25</v>
      </c>
      <c r="E5857" t="s">
        <v>14</v>
      </c>
      <c r="F5857">
        <v>103</v>
      </c>
      <c r="G5857">
        <v>10</v>
      </c>
      <c r="H5857">
        <v>0.57999999999999996</v>
      </c>
      <c r="I5857" t="s">
        <v>23</v>
      </c>
      <c r="J5857">
        <v>38</v>
      </c>
      <c r="K5857">
        <v>0</v>
      </c>
      <c r="L5857">
        <v>0</v>
      </c>
      <c r="M5857">
        <f>VLOOKUP(Table1[[#This Row],[subscription_type]],Plans!$A$1:$B$5,2,FALSE)</f>
        <v>0</v>
      </c>
      <c r="N5857">
        <f t="shared" si="91"/>
        <v>0</v>
      </c>
    </row>
    <row r="5858" spans="1:14" x14ac:dyDescent="0.35">
      <c r="A5858">
        <v>5857</v>
      </c>
      <c r="B5858" t="s">
        <v>20</v>
      </c>
      <c r="C5858">
        <v>32</v>
      </c>
      <c r="D5858" t="s">
        <v>27</v>
      </c>
      <c r="E5858" t="s">
        <v>22</v>
      </c>
      <c r="F5858">
        <v>114</v>
      </c>
      <c r="G5858">
        <v>62</v>
      </c>
      <c r="H5858">
        <v>0.59</v>
      </c>
      <c r="I5858" t="s">
        <v>15</v>
      </c>
      <c r="J5858">
        <v>0</v>
      </c>
      <c r="K5858">
        <v>1</v>
      </c>
      <c r="L5858">
        <v>1</v>
      </c>
      <c r="M5858">
        <f>VLOOKUP(Table1[[#This Row],[subscription_type]],Plans!$A$1:$B$5,2,FALSE)</f>
        <v>9.99</v>
      </c>
      <c r="N5858">
        <f t="shared" si="91"/>
        <v>9.99</v>
      </c>
    </row>
    <row r="5859" spans="1:14" x14ac:dyDescent="0.35">
      <c r="A5859">
        <v>5858</v>
      </c>
      <c r="B5859" t="s">
        <v>16</v>
      </c>
      <c r="C5859">
        <v>50</v>
      </c>
      <c r="D5859" t="s">
        <v>13</v>
      </c>
      <c r="E5859" t="s">
        <v>22</v>
      </c>
      <c r="F5859">
        <v>25</v>
      </c>
      <c r="G5859">
        <v>28</v>
      </c>
      <c r="H5859">
        <v>0.11</v>
      </c>
      <c r="I5859" t="s">
        <v>23</v>
      </c>
      <c r="J5859">
        <v>0</v>
      </c>
      <c r="K5859">
        <v>1</v>
      </c>
      <c r="L5859">
        <v>0</v>
      </c>
      <c r="M5859">
        <f>VLOOKUP(Table1[[#This Row],[subscription_type]],Plans!$A$1:$B$5,2,FALSE)</f>
        <v>9.99</v>
      </c>
      <c r="N5859">
        <f t="shared" si="91"/>
        <v>0</v>
      </c>
    </row>
    <row r="5860" spans="1:14" x14ac:dyDescent="0.35">
      <c r="A5860">
        <v>5859</v>
      </c>
      <c r="B5860" t="s">
        <v>12</v>
      </c>
      <c r="C5860">
        <v>37</v>
      </c>
      <c r="D5860" t="s">
        <v>21</v>
      </c>
      <c r="E5860" t="s">
        <v>24</v>
      </c>
      <c r="F5860">
        <v>148</v>
      </c>
      <c r="G5860">
        <v>84</v>
      </c>
      <c r="H5860">
        <v>0.02</v>
      </c>
      <c r="I5860" t="s">
        <v>19</v>
      </c>
      <c r="J5860">
        <v>0</v>
      </c>
      <c r="K5860">
        <v>1</v>
      </c>
      <c r="L5860">
        <v>0</v>
      </c>
      <c r="M5860">
        <f>VLOOKUP(Table1[[#This Row],[subscription_type]],Plans!$A$1:$B$5,2,FALSE)</f>
        <v>4.99</v>
      </c>
      <c r="N5860">
        <f t="shared" si="91"/>
        <v>0</v>
      </c>
    </row>
    <row r="5861" spans="1:14" x14ac:dyDescent="0.35">
      <c r="A5861">
        <v>5860</v>
      </c>
      <c r="B5861" t="s">
        <v>16</v>
      </c>
      <c r="C5861">
        <v>37</v>
      </c>
      <c r="D5861" t="s">
        <v>27</v>
      </c>
      <c r="E5861" t="s">
        <v>22</v>
      </c>
      <c r="F5861">
        <v>244</v>
      </c>
      <c r="G5861">
        <v>13</v>
      </c>
      <c r="H5861">
        <v>0.31</v>
      </c>
      <c r="I5861" t="s">
        <v>23</v>
      </c>
      <c r="J5861">
        <v>0</v>
      </c>
      <c r="K5861">
        <v>1</v>
      </c>
      <c r="L5861">
        <v>0</v>
      </c>
      <c r="M5861">
        <f>VLOOKUP(Table1[[#This Row],[subscription_type]],Plans!$A$1:$B$5,2,FALSE)</f>
        <v>9.99</v>
      </c>
      <c r="N5861">
        <f t="shared" si="91"/>
        <v>0</v>
      </c>
    </row>
    <row r="5862" spans="1:14" x14ac:dyDescent="0.35">
      <c r="A5862">
        <v>5861</v>
      </c>
      <c r="B5862" t="s">
        <v>12</v>
      </c>
      <c r="C5862">
        <v>38</v>
      </c>
      <c r="D5862" t="s">
        <v>13</v>
      </c>
      <c r="E5862" t="s">
        <v>14</v>
      </c>
      <c r="F5862">
        <v>55</v>
      </c>
      <c r="G5862">
        <v>33</v>
      </c>
      <c r="H5862">
        <v>0.18</v>
      </c>
      <c r="I5862" t="s">
        <v>23</v>
      </c>
      <c r="J5862">
        <v>49</v>
      </c>
      <c r="K5862">
        <v>0</v>
      </c>
      <c r="L5862">
        <v>0</v>
      </c>
      <c r="M5862">
        <f>VLOOKUP(Table1[[#This Row],[subscription_type]],Plans!$A$1:$B$5,2,FALSE)</f>
        <v>0</v>
      </c>
      <c r="N5862">
        <f t="shared" si="91"/>
        <v>0</v>
      </c>
    </row>
    <row r="5863" spans="1:14" x14ac:dyDescent="0.35">
      <c r="A5863">
        <v>5862</v>
      </c>
      <c r="B5863" t="s">
        <v>12</v>
      </c>
      <c r="C5863">
        <v>24</v>
      </c>
      <c r="D5863" t="s">
        <v>13</v>
      </c>
      <c r="E5863" t="s">
        <v>22</v>
      </c>
      <c r="F5863">
        <v>141</v>
      </c>
      <c r="G5863">
        <v>56</v>
      </c>
      <c r="H5863">
        <v>0.43</v>
      </c>
      <c r="I5863" t="s">
        <v>15</v>
      </c>
      <c r="J5863">
        <v>0</v>
      </c>
      <c r="K5863">
        <v>1</v>
      </c>
      <c r="L5863">
        <v>0</v>
      </c>
      <c r="M5863">
        <f>VLOOKUP(Table1[[#This Row],[subscription_type]],Plans!$A$1:$B$5,2,FALSE)</f>
        <v>9.99</v>
      </c>
      <c r="N5863">
        <f t="shared" si="91"/>
        <v>0</v>
      </c>
    </row>
    <row r="5864" spans="1:14" x14ac:dyDescent="0.35">
      <c r="A5864">
        <v>5863</v>
      </c>
      <c r="B5864" t="s">
        <v>20</v>
      </c>
      <c r="C5864">
        <v>42</v>
      </c>
      <c r="D5864" t="s">
        <v>26</v>
      </c>
      <c r="E5864" t="s">
        <v>22</v>
      </c>
      <c r="F5864">
        <v>133</v>
      </c>
      <c r="G5864">
        <v>3</v>
      </c>
      <c r="H5864">
        <v>0.1</v>
      </c>
      <c r="I5864" t="s">
        <v>19</v>
      </c>
      <c r="J5864">
        <v>0</v>
      </c>
      <c r="K5864">
        <v>1</v>
      </c>
      <c r="L5864">
        <v>0</v>
      </c>
      <c r="M5864">
        <f>VLOOKUP(Table1[[#This Row],[subscription_type]],Plans!$A$1:$B$5,2,FALSE)</f>
        <v>9.99</v>
      </c>
      <c r="N5864">
        <f t="shared" si="91"/>
        <v>0</v>
      </c>
    </row>
    <row r="5865" spans="1:14" x14ac:dyDescent="0.35">
      <c r="A5865">
        <v>5864</v>
      </c>
      <c r="B5865" t="s">
        <v>20</v>
      </c>
      <c r="C5865">
        <v>37</v>
      </c>
      <c r="D5865" t="s">
        <v>13</v>
      </c>
      <c r="E5865" t="s">
        <v>18</v>
      </c>
      <c r="F5865">
        <v>166</v>
      </c>
      <c r="G5865">
        <v>38</v>
      </c>
      <c r="H5865">
        <v>0.17</v>
      </c>
      <c r="I5865" t="s">
        <v>15</v>
      </c>
      <c r="J5865">
        <v>0</v>
      </c>
      <c r="K5865">
        <v>1</v>
      </c>
      <c r="L5865">
        <v>0</v>
      </c>
      <c r="M5865">
        <f>VLOOKUP(Table1[[#This Row],[subscription_type]],Plans!$A$1:$B$5,2,FALSE)</f>
        <v>14.99</v>
      </c>
      <c r="N5865">
        <f t="shared" si="91"/>
        <v>0</v>
      </c>
    </row>
    <row r="5866" spans="1:14" x14ac:dyDescent="0.35">
      <c r="A5866">
        <v>5865</v>
      </c>
      <c r="B5866" t="s">
        <v>12</v>
      </c>
      <c r="C5866">
        <v>44</v>
      </c>
      <c r="D5866" t="s">
        <v>28</v>
      </c>
      <c r="E5866" t="s">
        <v>14</v>
      </c>
      <c r="F5866">
        <v>113</v>
      </c>
      <c r="G5866">
        <v>14</v>
      </c>
      <c r="H5866">
        <v>0.56999999999999995</v>
      </c>
      <c r="I5866" t="s">
        <v>15</v>
      </c>
      <c r="J5866">
        <v>26</v>
      </c>
      <c r="K5866">
        <v>0</v>
      </c>
      <c r="L5866">
        <v>0</v>
      </c>
      <c r="M5866">
        <f>VLOOKUP(Table1[[#This Row],[subscription_type]],Plans!$A$1:$B$5,2,FALSE)</f>
        <v>0</v>
      </c>
      <c r="N5866">
        <f t="shared" si="91"/>
        <v>0</v>
      </c>
    </row>
    <row r="5867" spans="1:14" x14ac:dyDescent="0.35">
      <c r="A5867">
        <v>5866</v>
      </c>
      <c r="B5867" t="s">
        <v>16</v>
      </c>
      <c r="C5867">
        <v>18</v>
      </c>
      <c r="D5867" t="s">
        <v>26</v>
      </c>
      <c r="E5867" t="s">
        <v>24</v>
      </c>
      <c r="F5867">
        <v>113</v>
      </c>
      <c r="G5867">
        <v>5</v>
      </c>
      <c r="H5867">
        <v>0.27</v>
      </c>
      <c r="I5867" t="s">
        <v>19</v>
      </c>
      <c r="J5867">
        <v>0</v>
      </c>
      <c r="K5867">
        <v>1</v>
      </c>
      <c r="L5867">
        <v>1</v>
      </c>
      <c r="M5867">
        <f>VLOOKUP(Table1[[#This Row],[subscription_type]],Plans!$A$1:$B$5,2,FALSE)</f>
        <v>4.99</v>
      </c>
      <c r="N5867">
        <f t="shared" si="91"/>
        <v>4.99</v>
      </c>
    </row>
    <row r="5868" spans="1:14" x14ac:dyDescent="0.35">
      <c r="A5868">
        <v>5867</v>
      </c>
      <c r="B5868" t="s">
        <v>16</v>
      </c>
      <c r="C5868">
        <v>41</v>
      </c>
      <c r="D5868" t="s">
        <v>25</v>
      </c>
      <c r="E5868" t="s">
        <v>18</v>
      </c>
      <c r="F5868">
        <v>147</v>
      </c>
      <c r="G5868">
        <v>59</v>
      </c>
      <c r="H5868">
        <v>0.36</v>
      </c>
      <c r="I5868" t="s">
        <v>15</v>
      </c>
      <c r="J5868">
        <v>0</v>
      </c>
      <c r="K5868">
        <v>1</v>
      </c>
      <c r="L5868">
        <v>1</v>
      </c>
      <c r="M5868">
        <f>VLOOKUP(Table1[[#This Row],[subscription_type]],Plans!$A$1:$B$5,2,FALSE)</f>
        <v>14.99</v>
      </c>
      <c r="N5868">
        <f t="shared" si="91"/>
        <v>14.99</v>
      </c>
    </row>
    <row r="5869" spans="1:14" x14ac:dyDescent="0.35">
      <c r="A5869">
        <v>5868</v>
      </c>
      <c r="B5869" t="s">
        <v>20</v>
      </c>
      <c r="C5869">
        <v>16</v>
      </c>
      <c r="D5869" t="s">
        <v>13</v>
      </c>
      <c r="E5869" t="s">
        <v>22</v>
      </c>
      <c r="F5869">
        <v>203</v>
      </c>
      <c r="G5869">
        <v>38</v>
      </c>
      <c r="H5869">
        <v>0.35</v>
      </c>
      <c r="I5869" t="s">
        <v>19</v>
      </c>
      <c r="J5869">
        <v>0</v>
      </c>
      <c r="K5869">
        <v>1</v>
      </c>
      <c r="L5869">
        <v>0</v>
      </c>
      <c r="M5869">
        <f>VLOOKUP(Table1[[#This Row],[subscription_type]],Plans!$A$1:$B$5,2,FALSE)</f>
        <v>9.99</v>
      </c>
      <c r="N5869">
        <f t="shared" si="91"/>
        <v>0</v>
      </c>
    </row>
    <row r="5870" spans="1:14" x14ac:dyDescent="0.35">
      <c r="A5870">
        <v>5869</v>
      </c>
      <c r="B5870" t="s">
        <v>12</v>
      </c>
      <c r="C5870">
        <v>49</v>
      </c>
      <c r="D5870" t="s">
        <v>21</v>
      </c>
      <c r="E5870" t="s">
        <v>24</v>
      </c>
      <c r="F5870">
        <v>188</v>
      </c>
      <c r="G5870">
        <v>45</v>
      </c>
      <c r="H5870">
        <v>0.31</v>
      </c>
      <c r="I5870" t="s">
        <v>23</v>
      </c>
      <c r="J5870">
        <v>0</v>
      </c>
      <c r="K5870">
        <v>1</v>
      </c>
      <c r="L5870">
        <v>0</v>
      </c>
      <c r="M5870">
        <f>VLOOKUP(Table1[[#This Row],[subscription_type]],Plans!$A$1:$B$5,2,FALSE)</f>
        <v>4.99</v>
      </c>
      <c r="N5870">
        <f t="shared" si="91"/>
        <v>0</v>
      </c>
    </row>
    <row r="5871" spans="1:14" x14ac:dyDescent="0.35">
      <c r="A5871">
        <v>5870</v>
      </c>
      <c r="B5871" t="s">
        <v>12</v>
      </c>
      <c r="C5871">
        <v>31</v>
      </c>
      <c r="D5871" t="s">
        <v>26</v>
      </c>
      <c r="E5871" t="s">
        <v>18</v>
      </c>
      <c r="F5871">
        <v>131</v>
      </c>
      <c r="G5871">
        <v>76</v>
      </c>
      <c r="H5871">
        <v>0.57999999999999996</v>
      </c>
      <c r="I5871" t="s">
        <v>19</v>
      </c>
      <c r="J5871">
        <v>0</v>
      </c>
      <c r="K5871">
        <v>1</v>
      </c>
      <c r="L5871">
        <v>0</v>
      </c>
      <c r="M5871">
        <f>VLOOKUP(Table1[[#This Row],[subscription_type]],Plans!$A$1:$B$5,2,FALSE)</f>
        <v>14.99</v>
      </c>
      <c r="N5871">
        <f t="shared" si="91"/>
        <v>0</v>
      </c>
    </row>
    <row r="5872" spans="1:14" x14ac:dyDescent="0.35">
      <c r="A5872">
        <v>5871</v>
      </c>
      <c r="B5872" t="s">
        <v>20</v>
      </c>
      <c r="C5872">
        <v>23</v>
      </c>
      <c r="D5872" t="s">
        <v>13</v>
      </c>
      <c r="E5872" t="s">
        <v>18</v>
      </c>
      <c r="F5872">
        <v>78</v>
      </c>
      <c r="G5872">
        <v>48</v>
      </c>
      <c r="H5872">
        <v>0.43</v>
      </c>
      <c r="I5872" t="s">
        <v>23</v>
      </c>
      <c r="J5872">
        <v>0</v>
      </c>
      <c r="K5872">
        <v>1</v>
      </c>
      <c r="L5872">
        <v>0</v>
      </c>
      <c r="M5872">
        <f>VLOOKUP(Table1[[#This Row],[subscription_type]],Plans!$A$1:$B$5,2,FALSE)</f>
        <v>14.99</v>
      </c>
      <c r="N5872">
        <f t="shared" si="91"/>
        <v>0</v>
      </c>
    </row>
    <row r="5873" spans="1:14" x14ac:dyDescent="0.35">
      <c r="A5873">
        <v>5872</v>
      </c>
      <c r="B5873" t="s">
        <v>20</v>
      </c>
      <c r="C5873">
        <v>54</v>
      </c>
      <c r="D5873" t="s">
        <v>27</v>
      </c>
      <c r="E5873" t="s">
        <v>24</v>
      </c>
      <c r="F5873">
        <v>243</v>
      </c>
      <c r="G5873">
        <v>93</v>
      </c>
      <c r="H5873">
        <v>0.51</v>
      </c>
      <c r="I5873" t="s">
        <v>23</v>
      </c>
      <c r="J5873">
        <v>0</v>
      </c>
      <c r="K5873">
        <v>1</v>
      </c>
      <c r="L5873">
        <v>0</v>
      </c>
      <c r="M5873">
        <f>VLOOKUP(Table1[[#This Row],[subscription_type]],Plans!$A$1:$B$5,2,FALSE)</f>
        <v>4.99</v>
      </c>
      <c r="N5873">
        <f t="shared" si="91"/>
        <v>0</v>
      </c>
    </row>
    <row r="5874" spans="1:14" x14ac:dyDescent="0.35">
      <c r="A5874">
        <v>5873</v>
      </c>
      <c r="B5874" t="s">
        <v>16</v>
      </c>
      <c r="C5874">
        <v>35</v>
      </c>
      <c r="D5874" t="s">
        <v>27</v>
      </c>
      <c r="E5874" t="s">
        <v>18</v>
      </c>
      <c r="F5874">
        <v>230</v>
      </c>
      <c r="G5874">
        <v>60</v>
      </c>
      <c r="H5874">
        <v>0.09</v>
      </c>
      <c r="I5874" t="s">
        <v>23</v>
      </c>
      <c r="J5874">
        <v>0</v>
      </c>
      <c r="K5874">
        <v>1</v>
      </c>
      <c r="L5874">
        <v>1</v>
      </c>
      <c r="M5874">
        <f>VLOOKUP(Table1[[#This Row],[subscription_type]],Plans!$A$1:$B$5,2,FALSE)</f>
        <v>14.99</v>
      </c>
      <c r="N5874">
        <f t="shared" si="91"/>
        <v>14.99</v>
      </c>
    </row>
    <row r="5875" spans="1:14" x14ac:dyDescent="0.35">
      <c r="A5875">
        <v>5874</v>
      </c>
      <c r="B5875" t="s">
        <v>20</v>
      </c>
      <c r="C5875">
        <v>33</v>
      </c>
      <c r="D5875" t="s">
        <v>27</v>
      </c>
      <c r="E5875" t="s">
        <v>22</v>
      </c>
      <c r="F5875">
        <v>127</v>
      </c>
      <c r="G5875">
        <v>60</v>
      </c>
      <c r="H5875">
        <v>7.0000000000000007E-2</v>
      </c>
      <c r="I5875" t="s">
        <v>19</v>
      </c>
      <c r="J5875">
        <v>0</v>
      </c>
      <c r="K5875">
        <v>1</v>
      </c>
      <c r="L5875">
        <v>0</v>
      </c>
      <c r="M5875">
        <f>VLOOKUP(Table1[[#This Row],[subscription_type]],Plans!$A$1:$B$5,2,FALSE)</f>
        <v>9.99</v>
      </c>
      <c r="N5875">
        <f t="shared" si="91"/>
        <v>0</v>
      </c>
    </row>
    <row r="5876" spans="1:14" x14ac:dyDescent="0.35">
      <c r="A5876">
        <v>5875</v>
      </c>
      <c r="B5876" t="s">
        <v>20</v>
      </c>
      <c r="C5876">
        <v>21</v>
      </c>
      <c r="D5876" t="s">
        <v>28</v>
      </c>
      <c r="E5876" t="s">
        <v>22</v>
      </c>
      <c r="F5876">
        <v>210</v>
      </c>
      <c r="G5876">
        <v>29</v>
      </c>
      <c r="H5876">
        <v>0.35</v>
      </c>
      <c r="I5876" t="s">
        <v>19</v>
      </c>
      <c r="J5876">
        <v>0</v>
      </c>
      <c r="K5876">
        <v>1</v>
      </c>
      <c r="L5876">
        <v>0</v>
      </c>
      <c r="M5876">
        <f>VLOOKUP(Table1[[#This Row],[subscription_type]],Plans!$A$1:$B$5,2,FALSE)</f>
        <v>9.99</v>
      </c>
      <c r="N5876">
        <f t="shared" si="91"/>
        <v>0</v>
      </c>
    </row>
    <row r="5877" spans="1:14" x14ac:dyDescent="0.35">
      <c r="A5877">
        <v>5876</v>
      </c>
      <c r="B5877" t="s">
        <v>16</v>
      </c>
      <c r="C5877">
        <v>59</v>
      </c>
      <c r="D5877" t="s">
        <v>29</v>
      </c>
      <c r="E5877" t="s">
        <v>14</v>
      </c>
      <c r="F5877">
        <v>32</v>
      </c>
      <c r="G5877">
        <v>88</v>
      </c>
      <c r="H5877">
        <v>0.12</v>
      </c>
      <c r="I5877" t="s">
        <v>19</v>
      </c>
      <c r="J5877">
        <v>17</v>
      </c>
      <c r="K5877">
        <v>0</v>
      </c>
      <c r="L5877">
        <v>0</v>
      </c>
      <c r="M5877">
        <f>VLOOKUP(Table1[[#This Row],[subscription_type]],Plans!$A$1:$B$5,2,FALSE)</f>
        <v>0</v>
      </c>
      <c r="N5877">
        <f t="shared" si="91"/>
        <v>0</v>
      </c>
    </row>
    <row r="5878" spans="1:14" x14ac:dyDescent="0.35">
      <c r="A5878">
        <v>5877</v>
      </c>
      <c r="B5878" t="s">
        <v>16</v>
      </c>
      <c r="C5878">
        <v>39</v>
      </c>
      <c r="D5878" t="s">
        <v>26</v>
      </c>
      <c r="E5878" t="s">
        <v>22</v>
      </c>
      <c r="F5878">
        <v>44</v>
      </c>
      <c r="G5878">
        <v>54</v>
      </c>
      <c r="H5878">
        <v>0.52</v>
      </c>
      <c r="I5878" t="s">
        <v>23</v>
      </c>
      <c r="J5878">
        <v>0</v>
      </c>
      <c r="K5878">
        <v>1</v>
      </c>
      <c r="L5878">
        <v>0</v>
      </c>
      <c r="M5878">
        <f>VLOOKUP(Table1[[#This Row],[subscription_type]],Plans!$A$1:$B$5,2,FALSE)</f>
        <v>9.99</v>
      </c>
      <c r="N5878">
        <f t="shared" si="91"/>
        <v>0</v>
      </c>
    </row>
    <row r="5879" spans="1:14" x14ac:dyDescent="0.35">
      <c r="A5879">
        <v>5878</v>
      </c>
      <c r="B5879" t="s">
        <v>12</v>
      </c>
      <c r="C5879">
        <v>23</v>
      </c>
      <c r="D5879" t="s">
        <v>29</v>
      </c>
      <c r="E5879" t="s">
        <v>18</v>
      </c>
      <c r="F5879">
        <v>238</v>
      </c>
      <c r="G5879">
        <v>91</v>
      </c>
      <c r="H5879">
        <v>0.2</v>
      </c>
      <c r="I5879" t="s">
        <v>23</v>
      </c>
      <c r="J5879">
        <v>0</v>
      </c>
      <c r="K5879">
        <v>1</v>
      </c>
      <c r="L5879">
        <v>0</v>
      </c>
      <c r="M5879">
        <f>VLOOKUP(Table1[[#This Row],[subscription_type]],Plans!$A$1:$B$5,2,FALSE)</f>
        <v>14.99</v>
      </c>
      <c r="N5879">
        <f t="shared" si="91"/>
        <v>0</v>
      </c>
    </row>
    <row r="5880" spans="1:14" x14ac:dyDescent="0.35">
      <c r="A5880">
        <v>5879</v>
      </c>
      <c r="B5880" t="s">
        <v>16</v>
      </c>
      <c r="C5880">
        <v>16</v>
      </c>
      <c r="D5880" t="s">
        <v>13</v>
      </c>
      <c r="E5880" t="s">
        <v>24</v>
      </c>
      <c r="F5880">
        <v>171</v>
      </c>
      <c r="G5880">
        <v>7</v>
      </c>
      <c r="H5880">
        <v>0.27</v>
      </c>
      <c r="I5880" t="s">
        <v>23</v>
      </c>
      <c r="J5880">
        <v>0</v>
      </c>
      <c r="K5880">
        <v>1</v>
      </c>
      <c r="L5880">
        <v>1</v>
      </c>
      <c r="M5880">
        <f>VLOOKUP(Table1[[#This Row],[subscription_type]],Plans!$A$1:$B$5,2,FALSE)</f>
        <v>4.99</v>
      </c>
      <c r="N5880">
        <f t="shared" si="91"/>
        <v>4.99</v>
      </c>
    </row>
    <row r="5881" spans="1:14" x14ac:dyDescent="0.35">
      <c r="A5881">
        <v>5880</v>
      </c>
      <c r="B5881" t="s">
        <v>20</v>
      </c>
      <c r="C5881">
        <v>57</v>
      </c>
      <c r="D5881" t="s">
        <v>17</v>
      </c>
      <c r="E5881" t="s">
        <v>14</v>
      </c>
      <c r="F5881">
        <v>79</v>
      </c>
      <c r="G5881">
        <v>12</v>
      </c>
      <c r="H5881">
        <v>0.08</v>
      </c>
      <c r="I5881" t="s">
        <v>19</v>
      </c>
      <c r="J5881">
        <v>47</v>
      </c>
      <c r="K5881">
        <v>0</v>
      </c>
      <c r="L5881">
        <v>0</v>
      </c>
      <c r="M5881">
        <f>VLOOKUP(Table1[[#This Row],[subscription_type]],Plans!$A$1:$B$5,2,FALSE)</f>
        <v>0</v>
      </c>
      <c r="N5881">
        <f t="shared" si="91"/>
        <v>0</v>
      </c>
    </row>
    <row r="5882" spans="1:14" x14ac:dyDescent="0.35">
      <c r="A5882">
        <v>5881</v>
      </c>
      <c r="B5882" t="s">
        <v>12</v>
      </c>
      <c r="C5882">
        <v>52</v>
      </c>
      <c r="D5882" t="s">
        <v>28</v>
      </c>
      <c r="E5882" t="s">
        <v>18</v>
      </c>
      <c r="F5882">
        <v>88</v>
      </c>
      <c r="G5882">
        <v>13</v>
      </c>
      <c r="H5882">
        <v>0.03</v>
      </c>
      <c r="I5882" t="s">
        <v>15</v>
      </c>
      <c r="J5882">
        <v>0</v>
      </c>
      <c r="K5882">
        <v>1</v>
      </c>
      <c r="L5882">
        <v>0</v>
      </c>
      <c r="M5882">
        <f>VLOOKUP(Table1[[#This Row],[subscription_type]],Plans!$A$1:$B$5,2,FALSE)</f>
        <v>14.99</v>
      </c>
      <c r="N5882">
        <f t="shared" si="91"/>
        <v>0</v>
      </c>
    </row>
    <row r="5883" spans="1:14" x14ac:dyDescent="0.35">
      <c r="A5883">
        <v>5882</v>
      </c>
      <c r="B5883" t="s">
        <v>20</v>
      </c>
      <c r="C5883">
        <v>46</v>
      </c>
      <c r="D5883" t="s">
        <v>26</v>
      </c>
      <c r="E5883" t="s">
        <v>22</v>
      </c>
      <c r="F5883">
        <v>273</v>
      </c>
      <c r="G5883">
        <v>3</v>
      </c>
      <c r="H5883">
        <v>0.22</v>
      </c>
      <c r="I5883" t="s">
        <v>23</v>
      </c>
      <c r="J5883">
        <v>0</v>
      </c>
      <c r="K5883">
        <v>1</v>
      </c>
      <c r="L5883">
        <v>0</v>
      </c>
      <c r="M5883">
        <f>VLOOKUP(Table1[[#This Row],[subscription_type]],Plans!$A$1:$B$5,2,FALSE)</f>
        <v>9.99</v>
      </c>
      <c r="N5883">
        <f t="shared" si="91"/>
        <v>0</v>
      </c>
    </row>
    <row r="5884" spans="1:14" x14ac:dyDescent="0.35">
      <c r="A5884">
        <v>5883</v>
      </c>
      <c r="B5884" t="s">
        <v>20</v>
      </c>
      <c r="C5884">
        <v>42</v>
      </c>
      <c r="D5884" t="s">
        <v>13</v>
      </c>
      <c r="E5884" t="s">
        <v>18</v>
      </c>
      <c r="F5884">
        <v>35</v>
      </c>
      <c r="G5884">
        <v>50</v>
      </c>
      <c r="H5884">
        <v>0.06</v>
      </c>
      <c r="I5884" t="s">
        <v>23</v>
      </c>
      <c r="J5884">
        <v>0</v>
      </c>
      <c r="K5884">
        <v>1</v>
      </c>
      <c r="L5884">
        <v>1</v>
      </c>
      <c r="M5884">
        <f>VLOOKUP(Table1[[#This Row],[subscription_type]],Plans!$A$1:$B$5,2,FALSE)</f>
        <v>14.99</v>
      </c>
      <c r="N5884">
        <f t="shared" si="91"/>
        <v>14.99</v>
      </c>
    </row>
    <row r="5885" spans="1:14" x14ac:dyDescent="0.35">
      <c r="A5885">
        <v>5884</v>
      </c>
      <c r="B5885" t="s">
        <v>12</v>
      </c>
      <c r="C5885">
        <v>25</v>
      </c>
      <c r="D5885" t="s">
        <v>28</v>
      </c>
      <c r="E5885" t="s">
        <v>14</v>
      </c>
      <c r="F5885">
        <v>16</v>
      </c>
      <c r="G5885">
        <v>83</v>
      </c>
      <c r="H5885">
        <v>0.35</v>
      </c>
      <c r="I5885" t="s">
        <v>23</v>
      </c>
      <c r="J5885">
        <v>24</v>
      </c>
      <c r="K5885">
        <v>0</v>
      </c>
      <c r="L5885">
        <v>0</v>
      </c>
      <c r="M5885">
        <f>VLOOKUP(Table1[[#This Row],[subscription_type]],Plans!$A$1:$B$5,2,FALSE)</f>
        <v>0</v>
      </c>
      <c r="N5885">
        <f t="shared" si="91"/>
        <v>0</v>
      </c>
    </row>
    <row r="5886" spans="1:14" x14ac:dyDescent="0.35">
      <c r="A5886">
        <v>5885</v>
      </c>
      <c r="B5886" t="s">
        <v>20</v>
      </c>
      <c r="C5886">
        <v>38</v>
      </c>
      <c r="D5886" t="s">
        <v>25</v>
      </c>
      <c r="E5886" t="s">
        <v>22</v>
      </c>
      <c r="F5886">
        <v>89</v>
      </c>
      <c r="G5886">
        <v>54</v>
      </c>
      <c r="H5886">
        <v>0.28000000000000003</v>
      </c>
      <c r="I5886" t="s">
        <v>23</v>
      </c>
      <c r="J5886">
        <v>0</v>
      </c>
      <c r="K5886">
        <v>1</v>
      </c>
      <c r="L5886">
        <v>0</v>
      </c>
      <c r="M5886">
        <f>VLOOKUP(Table1[[#This Row],[subscription_type]],Plans!$A$1:$B$5,2,FALSE)</f>
        <v>9.99</v>
      </c>
      <c r="N5886">
        <f t="shared" si="91"/>
        <v>0</v>
      </c>
    </row>
    <row r="5887" spans="1:14" x14ac:dyDescent="0.35">
      <c r="A5887">
        <v>5886</v>
      </c>
      <c r="B5887" t="s">
        <v>20</v>
      </c>
      <c r="C5887">
        <v>25</v>
      </c>
      <c r="D5887" t="s">
        <v>28</v>
      </c>
      <c r="E5887" t="s">
        <v>18</v>
      </c>
      <c r="F5887">
        <v>220</v>
      </c>
      <c r="G5887">
        <v>64</v>
      </c>
      <c r="H5887">
        <v>0.56999999999999995</v>
      </c>
      <c r="I5887" t="s">
        <v>15</v>
      </c>
      <c r="J5887">
        <v>0</v>
      </c>
      <c r="K5887">
        <v>1</v>
      </c>
      <c r="L5887">
        <v>0</v>
      </c>
      <c r="M5887">
        <f>VLOOKUP(Table1[[#This Row],[subscription_type]],Plans!$A$1:$B$5,2,FALSE)</f>
        <v>14.99</v>
      </c>
      <c r="N5887">
        <f t="shared" si="91"/>
        <v>0</v>
      </c>
    </row>
    <row r="5888" spans="1:14" x14ac:dyDescent="0.35">
      <c r="A5888">
        <v>5887</v>
      </c>
      <c r="B5888" t="s">
        <v>20</v>
      </c>
      <c r="C5888">
        <v>47</v>
      </c>
      <c r="D5888" t="s">
        <v>13</v>
      </c>
      <c r="E5888" t="s">
        <v>22</v>
      </c>
      <c r="F5888">
        <v>129</v>
      </c>
      <c r="G5888">
        <v>85</v>
      </c>
      <c r="H5888">
        <v>0.27</v>
      </c>
      <c r="I5888" t="s">
        <v>23</v>
      </c>
      <c r="J5888">
        <v>0</v>
      </c>
      <c r="K5888">
        <v>1</v>
      </c>
      <c r="L5888">
        <v>0</v>
      </c>
      <c r="M5888">
        <f>VLOOKUP(Table1[[#This Row],[subscription_type]],Plans!$A$1:$B$5,2,FALSE)</f>
        <v>9.99</v>
      </c>
      <c r="N5888">
        <f t="shared" si="91"/>
        <v>0</v>
      </c>
    </row>
    <row r="5889" spans="1:14" x14ac:dyDescent="0.35">
      <c r="A5889">
        <v>5888</v>
      </c>
      <c r="B5889" t="s">
        <v>12</v>
      </c>
      <c r="C5889">
        <v>38</v>
      </c>
      <c r="D5889" t="s">
        <v>21</v>
      </c>
      <c r="E5889" t="s">
        <v>18</v>
      </c>
      <c r="F5889">
        <v>185</v>
      </c>
      <c r="G5889">
        <v>2</v>
      </c>
      <c r="H5889">
        <v>0.05</v>
      </c>
      <c r="I5889" t="s">
        <v>23</v>
      </c>
      <c r="J5889">
        <v>0</v>
      </c>
      <c r="K5889">
        <v>1</v>
      </c>
      <c r="L5889">
        <v>0</v>
      </c>
      <c r="M5889">
        <f>VLOOKUP(Table1[[#This Row],[subscription_type]],Plans!$A$1:$B$5,2,FALSE)</f>
        <v>14.99</v>
      </c>
      <c r="N5889">
        <f t="shared" si="91"/>
        <v>0</v>
      </c>
    </row>
    <row r="5890" spans="1:14" x14ac:dyDescent="0.35">
      <c r="A5890">
        <v>5889</v>
      </c>
      <c r="B5890" t="s">
        <v>20</v>
      </c>
      <c r="C5890">
        <v>32</v>
      </c>
      <c r="D5890" t="s">
        <v>29</v>
      </c>
      <c r="E5890" t="s">
        <v>18</v>
      </c>
      <c r="F5890">
        <v>286</v>
      </c>
      <c r="G5890">
        <v>39</v>
      </c>
      <c r="H5890">
        <v>0.01</v>
      </c>
      <c r="I5890" t="s">
        <v>23</v>
      </c>
      <c r="J5890">
        <v>0</v>
      </c>
      <c r="K5890">
        <v>1</v>
      </c>
      <c r="L5890">
        <v>0</v>
      </c>
      <c r="M5890">
        <f>VLOOKUP(Table1[[#This Row],[subscription_type]],Plans!$A$1:$B$5,2,FALSE)</f>
        <v>14.99</v>
      </c>
      <c r="N5890">
        <f t="shared" ref="N5890:N5953" si="92">IF(L5890=1, M5890,0)</f>
        <v>0</v>
      </c>
    </row>
    <row r="5891" spans="1:14" x14ac:dyDescent="0.35">
      <c r="A5891">
        <v>5890</v>
      </c>
      <c r="B5891" t="s">
        <v>20</v>
      </c>
      <c r="C5891">
        <v>58</v>
      </c>
      <c r="D5891" t="s">
        <v>26</v>
      </c>
      <c r="E5891" t="s">
        <v>24</v>
      </c>
      <c r="F5891">
        <v>83</v>
      </c>
      <c r="G5891">
        <v>8</v>
      </c>
      <c r="H5891">
        <v>0.09</v>
      </c>
      <c r="I5891" t="s">
        <v>15</v>
      </c>
      <c r="J5891">
        <v>0</v>
      </c>
      <c r="K5891">
        <v>1</v>
      </c>
      <c r="L5891">
        <v>0</v>
      </c>
      <c r="M5891">
        <f>VLOOKUP(Table1[[#This Row],[subscription_type]],Plans!$A$1:$B$5,2,FALSE)</f>
        <v>4.99</v>
      </c>
      <c r="N5891">
        <f t="shared" si="92"/>
        <v>0</v>
      </c>
    </row>
    <row r="5892" spans="1:14" x14ac:dyDescent="0.35">
      <c r="A5892">
        <v>5891</v>
      </c>
      <c r="B5892" t="s">
        <v>12</v>
      </c>
      <c r="C5892">
        <v>27</v>
      </c>
      <c r="D5892" t="s">
        <v>28</v>
      </c>
      <c r="E5892" t="s">
        <v>18</v>
      </c>
      <c r="F5892">
        <v>242</v>
      </c>
      <c r="G5892">
        <v>1</v>
      </c>
      <c r="H5892">
        <v>0</v>
      </c>
      <c r="I5892" t="s">
        <v>15</v>
      </c>
      <c r="J5892">
        <v>0</v>
      </c>
      <c r="K5892">
        <v>1</v>
      </c>
      <c r="L5892">
        <v>1</v>
      </c>
      <c r="M5892">
        <f>VLOOKUP(Table1[[#This Row],[subscription_type]],Plans!$A$1:$B$5,2,FALSE)</f>
        <v>14.99</v>
      </c>
      <c r="N5892">
        <f t="shared" si="92"/>
        <v>14.99</v>
      </c>
    </row>
    <row r="5893" spans="1:14" x14ac:dyDescent="0.35">
      <c r="A5893">
        <v>5892</v>
      </c>
      <c r="B5893" t="s">
        <v>20</v>
      </c>
      <c r="C5893">
        <v>58</v>
      </c>
      <c r="D5893" t="s">
        <v>25</v>
      </c>
      <c r="E5893" t="s">
        <v>24</v>
      </c>
      <c r="F5893">
        <v>134</v>
      </c>
      <c r="G5893">
        <v>67</v>
      </c>
      <c r="H5893">
        <v>0.27</v>
      </c>
      <c r="I5893" t="s">
        <v>19</v>
      </c>
      <c r="J5893">
        <v>0</v>
      </c>
      <c r="K5893">
        <v>1</v>
      </c>
      <c r="L5893">
        <v>0</v>
      </c>
      <c r="M5893">
        <f>VLOOKUP(Table1[[#This Row],[subscription_type]],Plans!$A$1:$B$5,2,FALSE)</f>
        <v>4.99</v>
      </c>
      <c r="N5893">
        <f t="shared" si="92"/>
        <v>0</v>
      </c>
    </row>
    <row r="5894" spans="1:14" x14ac:dyDescent="0.35">
      <c r="A5894">
        <v>5893</v>
      </c>
      <c r="B5894" t="s">
        <v>12</v>
      </c>
      <c r="C5894">
        <v>57</v>
      </c>
      <c r="D5894" t="s">
        <v>21</v>
      </c>
      <c r="E5894" t="s">
        <v>18</v>
      </c>
      <c r="F5894">
        <v>180</v>
      </c>
      <c r="G5894">
        <v>45</v>
      </c>
      <c r="H5894">
        <v>0.54</v>
      </c>
      <c r="I5894" t="s">
        <v>19</v>
      </c>
      <c r="J5894">
        <v>0</v>
      </c>
      <c r="K5894">
        <v>1</v>
      </c>
      <c r="L5894">
        <v>0</v>
      </c>
      <c r="M5894">
        <f>VLOOKUP(Table1[[#This Row],[subscription_type]],Plans!$A$1:$B$5,2,FALSE)</f>
        <v>14.99</v>
      </c>
      <c r="N5894">
        <f t="shared" si="92"/>
        <v>0</v>
      </c>
    </row>
    <row r="5895" spans="1:14" x14ac:dyDescent="0.35">
      <c r="A5895">
        <v>5894</v>
      </c>
      <c r="B5895" t="s">
        <v>12</v>
      </c>
      <c r="C5895">
        <v>39</v>
      </c>
      <c r="D5895" t="s">
        <v>13</v>
      </c>
      <c r="E5895" t="s">
        <v>18</v>
      </c>
      <c r="F5895">
        <v>206</v>
      </c>
      <c r="G5895">
        <v>37</v>
      </c>
      <c r="H5895">
        <v>0.54</v>
      </c>
      <c r="I5895" t="s">
        <v>19</v>
      </c>
      <c r="J5895">
        <v>0</v>
      </c>
      <c r="K5895">
        <v>1</v>
      </c>
      <c r="L5895">
        <v>0</v>
      </c>
      <c r="M5895">
        <f>VLOOKUP(Table1[[#This Row],[subscription_type]],Plans!$A$1:$B$5,2,FALSE)</f>
        <v>14.99</v>
      </c>
      <c r="N5895">
        <f t="shared" si="92"/>
        <v>0</v>
      </c>
    </row>
    <row r="5896" spans="1:14" x14ac:dyDescent="0.35">
      <c r="A5896">
        <v>5895</v>
      </c>
      <c r="B5896" t="s">
        <v>12</v>
      </c>
      <c r="C5896">
        <v>55</v>
      </c>
      <c r="D5896" t="s">
        <v>13</v>
      </c>
      <c r="E5896" t="s">
        <v>24</v>
      </c>
      <c r="F5896">
        <v>97</v>
      </c>
      <c r="G5896">
        <v>25</v>
      </c>
      <c r="H5896">
        <v>0.39</v>
      </c>
      <c r="I5896" t="s">
        <v>15</v>
      </c>
      <c r="J5896">
        <v>0</v>
      </c>
      <c r="K5896">
        <v>1</v>
      </c>
      <c r="L5896">
        <v>0</v>
      </c>
      <c r="M5896">
        <f>VLOOKUP(Table1[[#This Row],[subscription_type]],Plans!$A$1:$B$5,2,FALSE)</f>
        <v>4.99</v>
      </c>
      <c r="N5896">
        <f t="shared" si="92"/>
        <v>0</v>
      </c>
    </row>
    <row r="5897" spans="1:14" x14ac:dyDescent="0.35">
      <c r="A5897">
        <v>5896</v>
      </c>
      <c r="B5897" t="s">
        <v>20</v>
      </c>
      <c r="C5897">
        <v>21</v>
      </c>
      <c r="D5897" t="s">
        <v>21</v>
      </c>
      <c r="E5897" t="s">
        <v>14</v>
      </c>
      <c r="F5897">
        <v>236</v>
      </c>
      <c r="G5897">
        <v>88</v>
      </c>
      <c r="H5897">
        <v>0.27</v>
      </c>
      <c r="I5897" t="s">
        <v>23</v>
      </c>
      <c r="J5897">
        <v>27</v>
      </c>
      <c r="K5897">
        <v>0</v>
      </c>
      <c r="L5897">
        <v>0</v>
      </c>
      <c r="M5897">
        <f>VLOOKUP(Table1[[#This Row],[subscription_type]],Plans!$A$1:$B$5,2,FALSE)</f>
        <v>0</v>
      </c>
      <c r="N5897">
        <f t="shared" si="92"/>
        <v>0</v>
      </c>
    </row>
    <row r="5898" spans="1:14" x14ac:dyDescent="0.35">
      <c r="A5898">
        <v>5897</v>
      </c>
      <c r="B5898" t="s">
        <v>20</v>
      </c>
      <c r="C5898">
        <v>18</v>
      </c>
      <c r="D5898" t="s">
        <v>29</v>
      </c>
      <c r="E5898" t="s">
        <v>22</v>
      </c>
      <c r="F5898">
        <v>226</v>
      </c>
      <c r="G5898">
        <v>7</v>
      </c>
      <c r="H5898">
        <v>0.32</v>
      </c>
      <c r="I5898" t="s">
        <v>19</v>
      </c>
      <c r="J5898">
        <v>0</v>
      </c>
      <c r="K5898">
        <v>1</v>
      </c>
      <c r="L5898">
        <v>0</v>
      </c>
      <c r="M5898">
        <f>VLOOKUP(Table1[[#This Row],[subscription_type]],Plans!$A$1:$B$5,2,FALSE)</f>
        <v>9.99</v>
      </c>
      <c r="N5898">
        <f t="shared" si="92"/>
        <v>0</v>
      </c>
    </row>
    <row r="5899" spans="1:14" x14ac:dyDescent="0.35">
      <c r="A5899">
        <v>5898</v>
      </c>
      <c r="B5899" t="s">
        <v>16</v>
      </c>
      <c r="C5899">
        <v>24</v>
      </c>
      <c r="D5899" t="s">
        <v>25</v>
      </c>
      <c r="E5899" t="s">
        <v>14</v>
      </c>
      <c r="F5899">
        <v>60</v>
      </c>
      <c r="G5899">
        <v>93</v>
      </c>
      <c r="H5899">
        <v>0.47</v>
      </c>
      <c r="I5899" t="s">
        <v>15</v>
      </c>
      <c r="J5899">
        <v>35</v>
      </c>
      <c r="K5899">
        <v>0</v>
      </c>
      <c r="L5899">
        <v>0</v>
      </c>
      <c r="M5899">
        <f>VLOOKUP(Table1[[#This Row],[subscription_type]],Plans!$A$1:$B$5,2,FALSE)</f>
        <v>0</v>
      </c>
      <c r="N5899">
        <f t="shared" si="92"/>
        <v>0</v>
      </c>
    </row>
    <row r="5900" spans="1:14" x14ac:dyDescent="0.35">
      <c r="A5900">
        <v>5899</v>
      </c>
      <c r="B5900" t="s">
        <v>20</v>
      </c>
      <c r="C5900">
        <v>36</v>
      </c>
      <c r="D5900" t="s">
        <v>29</v>
      </c>
      <c r="E5900" t="s">
        <v>22</v>
      </c>
      <c r="F5900">
        <v>270</v>
      </c>
      <c r="G5900">
        <v>73</v>
      </c>
      <c r="H5900">
        <v>0.42</v>
      </c>
      <c r="I5900" t="s">
        <v>15</v>
      </c>
      <c r="J5900">
        <v>0</v>
      </c>
      <c r="K5900">
        <v>1</v>
      </c>
      <c r="L5900">
        <v>1</v>
      </c>
      <c r="M5900">
        <f>VLOOKUP(Table1[[#This Row],[subscription_type]],Plans!$A$1:$B$5,2,FALSE)</f>
        <v>9.99</v>
      </c>
      <c r="N5900">
        <f t="shared" si="92"/>
        <v>9.99</v>
      </c>
    </row>
    <row r="5901" spans="1:14" x14ac:dyDescent="0.35">
      <c r="A5901">
        <v>5900</v>
      </c>
      <c r="B5901" t="s">
        <v>12</v>
      </c>
      <c r="C5901">
        <v>50</v>
      </c>
      <c r="D5901" t="s">
        <v>17</v>
      </c>
      <c r="E5901" t="s">
        <v>14</v>
      </c>
      <c r="F5901">
        <v>128</v>
      </c>
      <c r="G5901">
        <v>9</v>
      </c>
      <c r="H5901">
        <v>0.26</v>
      </c>
      <c r="I5901" t="s">
        <v>15</v>
      </c>
      <c r="J5901">
        <v>35</v>
      </c>
      <c r="K5901">
        <v>0</v>
      </c>
      <c r="L5901">
        <v>0</v>
      </c>
      <c r="M5901">
        <f>VLOOKUP(Table1[[#This Row],[subscription_type]],Plans!$A$1:$B$5,2,FALSE)</f>
        <v>0</v>
      </c>
      <c r="N5901">
        <f t="shared" si="92"/>
        <v>0</v>
      </c>
    </row>
    <row r="5902" spans="1:14" x14ac:dyDescent="0.35">
      <c r="A5902">
        <v>5901</v>
      </c>
      <c r="B5902" t="s">
        <v>16</v>
      </c>
      <c r="C5902">
        <v>26</v>
      </c>
      <c r="D5902" t="s">
        <v>29</v>
      </c>
      <c r="E5902" t="s">
        <v>14</v>
      </c>
      <c r="F5902">
        <v>171</v>
      </c>
      <c r="G5902">
        <v>49</v>
      </c>
      <c r="H5902">
        <v>0.21</v>
      </c>
      <c r="I5902" t="s">
        <v>23</v>
      </c>
      <c r="J5902">
        <v>40</v>
      </c>
      <c r="K5902">
        <v>0</v>
      </c>
      <c r="L5902">
        <v>0</v>
      </c>
      <c r="M5902">
        <f>VLOOKUP(Table1[[#This Row],[subscription_type]],Plans!$A$1:$B$5,2,FALSE)</f>
        <v>0</v>
      </c>
      <c r="N5902">
        <f t="shared" si="92"/>
        <v>0</v>
      </c>
    </row>
    <row r="5903" spans="1:14" x14ac:dyDescent="0.35">
      <c r="A5903">
        <v>5902</v>
      </c>
      <c r="B5903" t="s">
        <v>12</v>
      </c>
      <c r="C5903">
        <v>28</v>
      </c>
      <c r="D5903" t="s">
        <v>25</v>
      </c>
      <c r="E5903" t="s">
        <v>24</v>
      </c>
      <c r="F5903">
        <v>299</v>
      </c>
      <c r="G5903">
        <v>96</v>
      </c>
      <c r="H5903">
        <v>0.49</v>
      </c>
      <c r="I5903" t="s">
        <v>15</v>
      </c>
      <c r="J5903">
        <v>0</v>
      </c>
      <c r="K5903">
        <v>1</v>
      </c>
      <c r="L5903">
        <v>1</v>
      </c>
      <c r="M5903">
        <f>VLOOKUP(Table1[[#This Row],[subscription_type]],Plans!$A$1:$B$5,2,FALSE)</f>
        <v>4.99</v>
      </c>
      <c r="N5903">
        <f t="shared" si="92"/>
        <v>4.99</v>
      </c>
    </row>
    <row r="5904" spans="1:14" x14ac:dyDescent="0.35">
      <c r="A5904">
        <v>5903</v>
      </c>
      <c r="B5904" t="s">
        <v>20</v>
      </c>
      <c r="C5904">
        <v>45</v>
      </c>
      <c r="D5904" t="s">
        <v>28</v>
      </c>
      <c r="E5904" t="s">
        <v>14</v>
      </c>
      <c r="F5904">
        <v>227</v>
      </c>
      <c r="G5904">
        <v>14</v>
      </c>
      <c r="H5904">
        <v>0.28000000000000003</v>
      </c>
      <c r="I5904" t="s">
        <v>15</v>
      </c>
      <c r="J5904">
        <v>17</v>
      </c>
      <c r="K5904">
        <v>0</v>
      </c>
      <c r="L5904">
        <v>1</v>
      </c>
      <c r="M5904">
        <f>VLOOKUP(Table1[[#This Row],[subscription_type]],Plans!$A$1:$B$5,2,FALSE)</f>
        <v>0</v>
      </c>
      <c r="N5904">
        <f t="shared" si="92"/>
        <v>0</v>
      </c>
    </row>
    <row r="5905" spans="1:14" x14ac:dyDescent="0.35">
      <c r="A5905">
        <v>5904</v>
      </c>
      <c r="B5905" t="s">
        <v>20</v>
      </c>
      <c r="C5905">
        <v>47</v>
      </c>
      <c r="D5905" t="s">
        <v>25</v>
      </c>
      <c r="E5905" t="s">
        <v>18</v>
      </c>
      <c r="F5905">
        <v>165</v>
      </c>
      <c r="G5905">
        <v>22</v>
      </c>
      <c r="H5905">
        <v>0.14000000000000001</v>
      </c>
      <c r="I5905" t="s">
        <v>23</v>
      </c>
      <c r="J5905">
        <v>0</v>
      </c>
      <c r="K5905">
        <v>1</v>
      </c>
      <c r="L5905">
        <v>0</v>
      </c>
      <c r="M5905">
        <f>VLOOKUP(Table1[[#This Row],[subscription_type]],Plans!$A$1:$B$5,2,FALSE)</f>
        <v>14.99</v>
      </c>
      <c r="N5905">
        <f t="shared" si="92"/>
        <v>0</v>
      </c>
    </row>
    <row r="5906" spans="1:14" x14ac:dyDescent="0.35">
      <c r="A5906">
        <v>5905</v>
      </c>
      <c r="B5906" t="s">
        <v>20</v>
      </c>
      <c r="C5906">
        <v>36</v>
      </c>
      <c r="D5906" t="s">
        <v>17</v>
      </c>
      <c r="E5906" t="s">
        <v>22</v>
      </c>
      <c r="F5906">
        <v>22</v>
      </c>
      <c r="G5906">
        <v>44</v>
      </c>
      <c r="H5906">
        <v>0.33</v>
      </c>
      <c r="I5906" t="s">
        <v>23</v>
      </c>
      <c r="J5906">
        <v>0</v>
      </c>
      <c r="K5906">
        <v>1</v>
      </c>
      <c r="L5906">
        <v>0</v>
      </c>
      <c r="M5906">
        <f>VLOOKUP(Table1[[#This Row],[subscription_type]],Plans!$A$1:$B$5,2,FALSE)</f>
        <v>9.99</v>
      </c>
      <c r="N5906">
        <f t="shared" si="92"/>
        <v>0</v>
      </c>
    </row>
    <row r="5907" spans="1:14" x14ac:dyDescent="0.35">
      <c r="A5907">
        <v>5906</v>
      </c>
      <c r="B5907" t="s">
        <v>20</v>
      </c>
      <c r="C5907">
        <v>41</v>
      </c>
      <c r="D5907" t="s">
        <v>17</v>
      </c>
      <c r="E5907" t="s">
        <v>18</v>
      </c>
      <c r="F5907">
        <v>118</v>
      </c>
      <c r="G5907">
        <v>94</v>
      </c>
      <c r="H5907">
        <v>0.53</v>
      </c>
      <c r="I5907" t="s">
        <v>19</v>
      </c>
      <c r="J5907">
        <v>0</v>
      </c>
      <c r="K5907">
        <v>1</v>
      </c>
      <c r="L5907">
        <v>1</v>
      </c>
      <c r="M5907">
        <f>VLOOKUP(Table1[[#This Row],[subscription_type]],Plans!$A$1:$B$5,2,FALSE)</f>
        <v>14.99</v>
      </c>
      <c r="N5907">
        <f t="shared" si="92"/>
        <v>14.99</v>
      </c>
    </row>
    <row r="5908" spans="1:14" x14ac:dyDescent="0.35">
      <c r="A5908">
        <v>5907</v>
      </c>
      <c r="B5908" t="s">
        <v>16</v>
      </c>
      <c r="C5908">
        <v>53</v>
      </c>
      <c r="D5908" t="s">
        <v>27</v>
      </c>
      <c r="E5908" t="s">
        <v>14</v>
      </c>
      <c r="F5908">
        <v>221</v>
      </c>
      <c r="G5908">
        <v>50</v>
      </c>
      <c r="H5908">
        <v>0.36</v>
      </c>
      <c r="I5908" t="s">
        <v>23</v>
      </c>
      <c r="J5908">
        <v>5</v>
      </c>
      <c r="K5908">
        <v>0</v>
      </c>
      <c r="L5908">
        <v>0</v>
      </c>
      <c r="M5908">
        <f>VLOOKUP(Table1[[#This Row],[subscription_type]],Plans!$A$1:$B$5,2,FALSE)</f>
        <v>0</v>
      </c>
      <c r="N5908">
        <f t="shared" si="92"/>
        <v>0</v>
      </c>
    </row>
    <row r="5909" spans="1:14" x14ac:dyDescent="0.35">
      <c r="A5909">
        <v>5908</v>
      </c>
      <c r="B5909" t="s">
        <v>12</v>
      </c>
      <c r="C5909">
        <v>50</v>
      </c>
      <c r="D5909" t="s">
        <v>17</v>
      </c>
      <c r="E5909" t="s">
        <v>14</v>
      </c>
      <c r="F5909">
        <v>94</v>
      </c>
      <c r="G5909">
        <v>64</v>
      </c>
      <c r="H5909">
        <v>0.49</v>
      </c>
      <c r="I5909" t="s">
        <v>15</v>
      </c>
      <c r="J5909">
        <v>47</v>
      </c>
      <c r="K5909">
        <v>0</v>
      </c>
      <c r="L5909">
        <v>1</v>
      </c>
      <c r="M5909">
        <f>VLOOKUP(Table1[[#This Row],[subscription_type]],Plans!$A$1:$B$5,2,FALSE)</f>
        <v>0</v>
      </c>
      <c r="N5909">
        <f t="shared" si="92"/>
        <v>0</v>
      </c>
    </row>
    <row r="5910" spans="1:14" x14ac:dyDescent="0.35">
      <c r="A5910">
        <v>5909</v>
      </c>
      <c r="B5910" t="s">
        <v>20</v>
      </c>
      <c r="C5910">
        <v>25</v>
      </c>
      <c r="D5910" t="s">
        <v>25</v>
      </c>
      <c r="E5910" t="s">
        <v>22</v>
      </c>
      <c r="F5910">
        <v>165</v>
      </c>
      <c r="G5910">
        <v>60</v>
      </c>
      <c r="H5910">
        <v>0.57999999999999996</v>
      </c>
      <c r="I5910" t="s">
        <v>23</v>
      </c>
      <c r="J5910">
        <v>0</v>
      </c>
      <c r="K5910">
        <v>1</v>
      </c>
      <c r="L5910">
        <v>0</v>
      </c>
      <c r="M5910">
        <f>VLOOKUP(Table1[[#This Row],[subscription_type]],Plans!$A$1:$B$5,2,FALSE)</f>
        <v>9.99</v>
      </c>
      <c r="N5910">
        <f t="shared" si="92"/>
        <v>0</v>
      </c>
    </row>
    <row r="5911" spans="1:14" x14ac:dyDescent="0.35">
      <c r="A5911">
        <v>5910</v>
      </c>
      <c r="B5911" t="s">
        <v>16</v>
      </c>
      <c r="C5911">
        <v>40</v>
      </c>
      <c r="D5911" t="s">
        <v>26</v>
      </c>
      <c r="E5911" t="s">
        <v>14</v>
      </c>
      <c r="F5911">
        <v>239</v>
      </c>
      <c r="G5911">
        <v>57</v>
      </c>
      <c r="H5911">
        <v>0.53</v>
      </c>
      <c r="I5911" t="s">
        <v>23</v>
      </c>
      <c r="J5911">
        <v>29</v>
      </c>
      <c r="K5911">
        <v>0</v>
      </c>
      <c r="L5911">
        <v>0</v>
      </c>
      <c r="M5911">
        <f>VLOOKUP(Table1[[#This Row],[subscription_type]],Plans!$A$1:$B$5,2,FALSE)</f>
        <v>0</v>
      </c>
      <c r="N5911">
        <f t="shared" si="92"/>
        <v>0</v>
      </c>
    </row>
    <row r="5912" spans="1:14" x14ac:dyDescent="0.35">
      <c r="A5912">
        <v>5911</v>
      </c>
      <c r="B5912" t="s">
        <v>16</v>
      </c>
      <c r="C5912">
        <v>33</v>
      </c>
      <c r="D5912" t="s">
        <v>26</v>
      </c>
      <c r="E5912" t="s">
        <v>22</v>
      </c>
      <c r="F5912">
        <v>146</v>
      </c>
      <c r="G5912">
        <v>25</v>
      </c>
      <c r="H5912">
        <v>0.43</v>
      </c>
      <c r="I5912" t="s">
        <v>15</v>
      </c>
      <c r="J5912">
        <v>0</v>
      </c>
      <c r="K5912">
        <v>1</v>
      </c>
      <c r="L5912">
        <v>0</v>
      </c>
      <c r="M5912">
        <f>VLOOKUP(Table1[[#This Row],[subscription_type]],Plans!$A$1:$B$5,2,FALSE)</f>
        <v>9.99</v>
      </c>
      <c r="N5912">
        <f t="shared" si="92"/>
        <v>0</v>
      </c>
    </row>
    <row r="5913" spans="1:14" x14ac:dyDescent="0.35">
      <c r="A5913">
        <v>5912</v>
      </c>
      <c r="B5913" t="s">
        <v>16</v>
      </c>
      <c r="C5913">
        <v>19</v>
      </c>
      <c r="D5913" t="s">
        <v>28</v>
      </c>
      <c r="E5913" t="s">
        <v>22</v>
      </c>
      <c r="F5913">
        <v>118</v>
      </c>
      <c r="G5913">
        <v>87</v>
      </c>
      <c r="H5913">
        <v>0.46</v>
      </c>
      <c r="I5913" t="s">
        <v>15</v>
      </c>
      <c r="J5913">
        <v>0</v>
      </c>
      <c r="K5913">
        <v>1</v>
      </c>
      <c r="L5913">
        <v>0</v>
      </c>
      <c r="M5913">
        <f>VLOOKUP(Table1[[#This Row],[subscription_type]],Plans!$A$1:$B$5,2,FALSE)</f>
        <v>9.99</v>
      </c>
      <c r="N5913">
        <f t="shared" si="92"/>
        <v>0</v>
      </c>
    </row>
    <row r="5914" spans="1:14" x14ac:dyDescent="0.35">
      <c r="A5914">
        <v>5913</v>
      </c>
      <c r="B5914" t="s">
        <v>16</v>
      </c>
      <c r="C5914">
        <v>36</v>
      </c>
      <c r="D5914" t="s">
        <v>25</v>
      </c>
      <c r="E5914" t="s">
        <v>24</v>
      </c>
      <c r="F5914">
        <v>128</v>
      </c>
      <c r="G5914">
        <v>22</v>
      </c>
      <c r="H5914">
        <v>0.6</v>
      </c>
      <c r="I5914" t="s">
        <v>15</v>
      </c>
      <c r="J5914">
        <v>0</v>
      </c>
      <c r="K5914">
        <v>1</v>
      </c>
      <c r="L5914">
        <v>0</v>
      </c>
      <c r="M5914">
        <f>VLOOKUP(Table1[[#This Row],[subscription_type]],Plans!$A$1:$B$5,2,FALSE)</f>
        <v>4.99</v>
      </c>
      <c r="N5914">
        <f t="shared" si="92"/>
        <v>0</v>
      </c>
    </row>
    <row r="5915" spans="1:14" x14ac:dyDescent="0.35">
      <c r="A5915">
        <v>5914</v>
      </c>
      <c r="B5915" t="s">
        <v>12</v>
      </c>
      <c r="C5915">
        <v>28</v>
      </c>
      <c r="D5915" t="s">
        <v>17</v>
      </c>
      <c r="E5915" t="s">
        <v>18</v>
      </c>
      <c r="F5915">
        <v>251</v>
      </c>
      <c r="G5915">
        <v>38</v>
      </c>
      <c r="H5915">
        <v>0.1</v>
      </c>
      <c r="I5915" t="s">
        <v>23</v>
      </c>
      <c r="J5915">
        <v>0</v>
      </c>
      <c r="K5915">
        <v>1</v>
      </c>
      <c r="L5915">
        <v>0</v>
      </c>
      <c r="M5915">
        <f>VLOOKUP(Table1[[#This Row],[subscription_type]],Plans!$A$1:$B$5,2,FALSE)</f>
        <v>14.99</v>
      </c>
      <c r="N5915">
        <f t="shared" si="92"/>
        <v>0</v>
      </c>
    </row>
    <row r="5916" spans="1:14" x14ac:dyDescent="0.35">
      <c r="A5916">
        <v>5915</v>
      </c>
      <c r="B5916" t="s">
        <v>20</v>
      </c>
      <c r="C5916">
        <v>50</v>
      </c>
      <c r="D5916" t="s">
        <v>25</v>
      </c>
      <c r="E5916" t="s">
        <v>18</v>
      </c>
      <c r="F5916">
        <v>228</v>
      </c>
      <c r="G5916">
        <v>33</v>
      </c>
      <c r="H5916">
        <v>7.0000000000000007E-2</v>
      </c>
      <c r="I5916" t="s">
        <v>15</v>
      </c>
      <c r="J5916">
        <v>0</v>
      </c>
      <c r="K5916">
        <v>1</v>
      </c>
      <c r="L5916">
        <v>1</v>
      </c>
      <c r="M5916">
        <f>VLOOKUP(Table1[[#This Row],[subscription_type]],Plans!$A$1:$B$5,2,FALSE)</f>
        <v>14.99</v>
      </c>
      <c r="N5916">
        <f t="shared" si="92"/>
        <v>14.99</v>
      </c>
    </row>
    <row r="5917" spans="1:14" x14ac:dyDescent="0.35">
      <c r="A5917">
        <v>5916</v>
      </c>
      <c r="B5917" t="s">
        <v>12</v>
      </c>
      <c r="C5917">
        <v>38</v>
      </c>
      <c r="D5917" t="s">
        <v>28</v>
      </c>
      <c r="E5917" t="s">
        <v>22</v>
      </c>
      <c r="F5917">
        <v>222</v>
      </c>
      <c r="G5917">
        <v>62</v>
      </c>
      <c r="H5917">
        <v>0.31</v>
      </c>
      <c r="I5917" t="s">
        <v>19</v>
      </c>
      <c r="J5917">
        <v>0</v>
      </c>
      <c r="K5917">
        <v>1</v>
      </c>
      <c r="L5917">
        <v>0</v>
      </c>
      <c r="M5917">
        <f>VLOOKUP(Table1[[#This Row],[subscription_type]],Plans!$A$1:$B$5,2,FALSE)</f>
        <v>9.99</v>
      </c>
      <c r="N5917">
        <f t="shared" si="92"/>
        <v>0</v>
      </c>
    </row>
    <row r="5918" spans="1:14" x14ac:dyDescent="0.35">
      <c r="A5918">
        <v>5917</v>
      </c>
      <c r="B5918" t="s">
        <v>12</v>
      </c>
      <c r="C5918">
        <v>55</v>
      </c>
      <c r="D5918" t="s">
        <v>29</v>
      </c>
      <c r="E5918" t="s">
        <v>18</v>
      </c>
      <c r="F5918">
        <v>124</v>
      </c>
      <c r="G5918">
        <v>69</v>
      </c>
      <c r="H5918">
        <v>0.43</v>
      </c>
      <c r="I5918" t="s">
        <v>15</v>
      </c>
      <c r="J5918">
        <v>0</v>
      </c>
      <c r="K5918">
        <v>1</v>
      </c>
      <c r="L5918">
        <v>1</v>
      </c>
      <c r="M5918">
        <f>VLOOKUP(Table1[[#This Row],[subscription_type]],Plans!$A$1:$B$5,2,FALSE)</f>
        <v>14.99</v>
      </c>
      <c r="N5918">
        <f t="shared" si="92"/>
        <v>14.99</v>
      </c>
    </row>
    <row r="5919" spans="1:14" x14ac:dyDescent="0.35">
      <c r="A5919">
        <v>5918</v>
      </c>
      <c r="B5919" t="s">
        <v>20</v>
      </c>
      <c r="C5919">
        <v>18</v>
      </c>
      <c r="D5919" t="s">
        <v>13</v>
      </c>
      <c r="E5919" t="s">
        <v>18</v>
      </c>
      <c r="F5919">
        <v>203</v>
      </c>
      <c r="G5919">
        <v>12</v>
      </c>
      <c r="H5919">
        <v>0.24</v>
      </c>
      <c r="I5919" t="s">
        <v>23</v>
      </c>
      <c r="J5919">
        <v>0</v>
      </c>
      <c r="K5919">
        <v>1</v>
      </c>
      <c r="L5919">
        <v>1</v>
      </c>
      <c r="M5919">
        <f>VLOOKUP(Table1[[#This Row],[subscription_type]],Plans!$A$1:$B$5,2,FALSE)</f>
        <v>14.99</v>
      </c>
      <c r="N5919">
        <f t="shared" si="92"/>
        <v>14.99</v>
      </c>
    </row>
    <row r="5920" spans="1:14" x14ac:dyDescent="0.35">
      <c r="A5920">
        <v>5919</v>
      </c>
      <c r="B5920" t="s">
        <v>12</v>
      </c>
      <c r="C5920">
        <v>28</v>
      </c>
      <c r="D5920" t="s">
        <v>13</v>
      </c>
      <c r="E5920" t="s">
        <v>18</v>
      </c>
      <c r="F5920">
        <v>292</v>
      </c>
      <c r="G5920">
        <v>28</v>
      </c>
      <c r="H5920">
        <v>0.08</v>
      </c>
      <c r="I5920" t="s">
        <v>15</v>
      </c>
      <c r="J5920">
        <v>0</v>
      </c>
      <c r="K5920">
        <v>1</v>
      </c>
      <c r="L5920">
        <v>0</v>
      </c>
      <c r="M5920">
        <f>VLOOKUP(Table1[[#This Row],[subscription_type]],Plans!$A$1:$B$5,2,FALSE)</f>
        <v>14.99</v>
      </c>
      <c r="N5920">
        <f t="shared" si="92"/>
        <v>0</v>
      </c>
    </row>
    <row r="5921" spans="1:14" x14ac:dyDescent="0.35">
      <c r="A5921">
        <v>5920</v>
      </c>
      <c r="B5921" t="s">
        <v>12</v>
      </c>
      <c r="C5921">
        <v>47</v>
      </c>
      <c r="D5921" t="s">
        <v>13</v>
      </c>
      <c r="E5921" t="s">
        <v>24</v>
      </c>
      <c r="F5921">
        <v>235</v>
      </c>
      <c r="G5921">
        <v>10</v>
      </c>
      <c r="H5921">
        <v>0.1</v>
      </c>
      <c r="I5921" t="s">
        <v>23</v>
      </c>
      <c r="J5921">
        <v>0</v>
      </c>
      <c r="K5921">
        <v>1</v>
      </c>
      <c r="L5921">
        <v>0</v>
      </c>
      <c r="M5921">
        <f>VLOOKUP(Table1[[#This Row],[subscription_type]],Plans!$A$1:$B$5,2,FALSE)</f>
        <v>4.99</v>
      </c>
      <c r="N5921">
        <f t="shared" si="92"/>
        <v>0</v>
      </c>
    </row>
    <row r="5922" spans="1:14" x14ac:dyDescent="0.35">
      <c r="A5922">
        <v>5921</v>
      </c>
      <c r="B5922" t="s">
        <v>16</v>
      </c>
      <c r="C5922">
        <v>25</v>
      </c>
      <c r="D5922" t="s">
        <v>21</v>
      </c>
      <c r="E5922" t="s">
        <v>22</v>
      </c>
      <c r="F5922">
        <v>69</v>
      </c>
      <c r="G5922">
        <v>32</v>
      </c>
      <c r="H5922">
        <v>0.28999999999999998</v>
      </c>
      <c r="I5922" t="s">
        <v>15</v>
      </c>
      <c r="J5922">
        <v>0</v>
      </c>
      <c r="K5922">
        <v>1</v>
      </c>
      <c r="L5922">
        <v>0</v>
      </c>
      <c r="M5922">
        <f>VLOOKUP(Table1[[#This Row],[subscription_type]],Plans!$A$1:$B$5,2,FALSE)</f>
        <v>9.99</v>
      </c>
      <c r="N5922">
        <f t="shared" si="92"/>
        <v>0</v>
      </c>
    </row>
    <row r="5923" spans="1:14" x14ac:dyDescent="0.35">
      <c r="A5923">
        <v>5922</v>
      </c>
      <c r="B5923" t="s">
        <v>20</v>
      </c>
      <c r="C5923">
        <v>48</v>
      </c>
      <c r="D5923" t="s">
        <v>27</v>
      </c>
      <c r="E5923" t="s">
        <v>24</v>
      </c>
      <c r="F5923">
        <v>137</v>
      </c>
      <c r="G5923">
        <v>43</v>
      </c>
      <c r="H5923">
        <v>0.24</v>
      </c>
      <c r="I5923" t="s">
        <v>19</v>
      </c>
      <c r="J5923">
        <v>0</v>
      </c>
      <c r="K5923">
        <v>1</v>
      </c>
      <c r="L5923">
        <v>1</v>
      </c>
      <c r="M5923">
        <f>VLOOKUP(Table1[[#This Row],[subscription_type]],Plans!$A$1:$B$5,2,FALSE)</f>
        <v>4.99</v>
      </c>
      <c r="N5923">
        <f t="shared" si="92"/>
        <v>4.99</v>
      </c>
    </row>
    <row r="5924" spans="1:14" x14ac:dyDescent="0.35">
      <c r="A5924">
        <v>5923</v>
      </c>
      <c r="B5924" t="s">
        <v>16</v>
      </c>
      <c r="C5924">
        <v>43</v>
      </c>
      <c r="D5924" t="s">
        <v>28</v>
      </c>
      <c r="E5924" t="s">
        <v>18</v>
      </c>
      <c r="F5924">
        <v>59</v>
      </c>
      <c r="G5924">
        <v>65</v>
      </c>
      <c r="H5924">
        <v>0.28000000000000003</v>
      </c>
      <c r="I5924" t="s">
        <v>15</v>
      </c>
      <c r="J5924">
        <v>0</v>
      </c>
      <c r="K5924">
        <v>1</v>
      </c>
      <c r="L5924">
        <v>0</v>
      </c>
      <c r="M5924">
        <f>VLOOKUP(Table1[[#This Row],[subscription_type]],Plans!$A$1:$B$5,2,FALSE)</f>
        <v>14.99</v>
      </c>
      <c r="N5924">
        <f t="shared" si="92"/>
        <v>0</v>
      </c>
    </row>
    <row r="5925" spans="1:14" x14ac:dyDescent="0.35">
      <c r="A5925">
        <v>5924</v>
      </c>
      <c r="B5925" t="s">
        <v>20</v>
      </c>
      <c r="C5925">
        <v>36</v>
      </c>
      <c r="D5925" t="s">
        <v>13</v>
      </c>
      <c r="E5925" t="s">
        <v>14</v>
      </c>
      <c r="F5925">
        <v>233</v>
      </c>
      <c r="G5925">
        <v>76</v>
      </c>
      <c r="H5925">
        <v>0.55000000000000004</v>
      </c>
      <c r="I5925" t="s">
        <v>15</v>
      </c>
      <c r="J5925">
        <v>33</v>
      </c>
      <c r="K5925">
        <v>0</v>
      </c>
      <c r="L5925">
        <v>1</v>
      </c>
      <c r="M5925">
        <f>VLOOKUP(Table1[[#This Row],[subscription_type]],Plans!$A$1:$B$5,2,FALSE)</f>
        <v>0</v>
      </c>
      <c r="N5925">
        <f t="shared" si="92"/>
        <v>0</v>
      </c>
    </row>
    <row r="5926" spans="1:14" x14ac:dyDescent="0.35">
      <c r="A5926">
        <v>5925</v>
      </c>
      <c r="B5926" t="s">
        <v>16</v>
      </c>
      <c r="C5926">
        <v>33</v>
      </c>
      <c r="D5926" t="s">
        <v>25</v>
      </c>
      <c r="E5926" t="s">
        <v>22</v>
      </c>
      <c r="F5926">
        <v>140</v>
      </c>
      <c r="G5926">
        <v>77</v>
      </c>
      <c r="H5926">
        <v>0.37</v>
      </c>
      <c r="I5926" t="s">
        <v>15</v>
      </c>
      <c r="J5926">
        <v>0</v>
      </c>
      <c r="K5926">
        <v>1</v>
      </c>
      <c r="L5926">
        <v>0</v>
      </c>
      <c r="M5926">
        <f>VLOOKUP(Table1[[#This Row],[subscription_type]],Plans!$A$1:$B$5,2,FALSE)</f>
        <v>9.99</v>
      </c>
      <c r="N5926">
        <f t="shared" si="92"/>
        <v>0</v>
      </c>
    </row>
    <row r="5927" spans="1:14" x14ac:dyDescent="0.35">
      <c r="A5927">
        <v>5926</v>
      </c>
      <c r="B5927" t="s">
        <v>12</v>
      </c>
      <c r="C5927">
        <v>55</v>
      </c>
      <c r="D5927" t="s">
        <v>21</v>
      </c>
      <c r="E5927" t="s">
        <v>18</v>
      </c>
      <c r="F5927">
        <v>213</v>
      </c>
      <c r="G5927">
        <v>36</v>
      </c>
      <c r="H5927">
        <v>0.46</v>
      </c>
      <c r="I5927" t="s">
        <v>19</v>
      </c>
      <c r="J5927">
        <v>0</v>
      </c>
      <c r="K5927">
        <v>1</v>
      </c>
      <c r="L5927">
        <v>0</v>
      </c>
      <c r="M5927">
        <f>VLOOKUP(Table1[[#This Row],[subscription_type]],Plans!$A$1:$B$5,2,FALSE)</f>
        <v>14.99</v>
      </c>
      <c r="N5927">
        <f t="shared" si="92"/>
        <v>0</v>
      </c>
    </row>
    <row r="5928" spans="1:14" x14ac:dyDescent="0.35">
      <c r="A5928">
        <v>5927</v>
      </c>
      <c r="B5928" t="s">
        <v>12</v>
      </c>
      <c r="C5928">
        <v>46</v>
      </c>
      <c r="D5928" t="s">
        <v>28</v>
      </c>
      <c r="E5928" t="s">
        <v>18</v>
      </c>
      <c r="F5928">
        <v>139</v>
      </c>
      <c r="G5928">
        <v>44</v>
      </c>
      <c r="H5928">
        <v>0.21</v>
      </c>
      <c r="I5928" t="s">
        <v>23</v>
      </c>
      <c r="J5928">
        <v>0</v>
      </c>
      <c r="K5928">
        <v>1</v>
      </c>
      <c r="L5928">
        <v>0</v>
      </c>
      <c r="M5928">
        <f>VLOOKUP(Table1[[#This Row],[subscription_type]],Plans!$A$1:$B$5,2,FALSE)</f>
        <v>14.99</v>
      </c>
      <c r="N5928">
        <f t="shared" si="92"/>
        <v>0</v>
      </c>
    </row>
    <row r="5929" spans="1:14" x14ac:dyDescent="0.35">
      <c r="A5929">
        <v>5928</v>
      </c>
      <c r="B5929" t="s">
        <v>20</v>
      </c>
      <c r="C5929">
        <v>45</v>
      </c>
      <c r="D5929" t="s">
        <v>17</v>
      </c>
      <c r="E5929" t="s">
        <v>14</v>
      </c>
      <c r="F5929">
        <v>53</v>
      </c>
      <c r="G5929">
        <v>18</v>
      </c>
      <c r="H5929">
        <v>0.38</v>
      </c>
      <c r="I5929" t="s">
        <v>23</v>
      </c>
      <c r="J5929">
        <v>22</v>
      </c>
      <c r="K5929">
        <v>0</v>
      </c>
      <c r="L5929">
        <v>1</v>
      </c>
      <c r="M5929">
        <f>VLOOKUP(Table1[[#This Row],[subscription_type]],Plans!$A$1:$B$5,2,FALSE)</f>
        <v>0</v>
      </c>
      <c r="N5929">
        <f t="shared" si="92"/>
        <v>0</v>
      </c>
    </row>
    <row r="5930" spans="1:14" x14ac:dyDescent="0.35">
      <c r="A5930">
        <v>5929</v>
      </c>
      <c r="B5930" t="s">
        <v>12</v>
      </c>
      <c r="C5930">
        <v>51</v>
      </c>
      <c r="D5930" t="s">
        <v>26</v>
      </c>
      <c r="E5930" t="s">
        <v>24</v>
      </c>
      <c r="F5930">
        <v>268</v>
      </c>
      <c r="G5930">
        <v>9</v>
      </c>
      <c r="H5930">
        <v>0.3</v>
      </c>
      <c r="I5930" t="s">
        <v>15</v>
      </c>
      <c r="J5930">
        <v>0</v>
      </c>
      <c r="K5930">
        <v>1</v>
      </c>
      <c r="L5930">
        <v>0</v>
      </c>
      <c r="M5930">
        <f>VLOOKUP(Table1[[#This Row],[subscription_type]],Plans!$A$1:$B$5,2,FALSE)</f>
        <v>4.99</v>
      </c>
      <c r="N5930">
        <f t="shared" si="92"/>
        <v>0</v>
      </c>
    </row>
    <row r="5931" spans="1:14" x14ac:dyDescent="0.35">
      <c r="A5931">
        <v>5930</v>
      </c>
      <c r="B5931" t="s">
        <v>12</v>
      </c>
      <c r="C5931">
        <v>20</v>
      </c>
      <c r="D5931" t="s">
        <v>28</v>
      </c>
      <c r="E5931" t="s">
        <v>14</v>
      </c>
      <c r="F5931">
        <v>74</v>
      </c>
      <c r="G5931">
        <v>10</v>
      </c>
      <c r="H5931">
        <v>0.27</v>
      </c>
      <c r="I5931" t="s">
        <v>23</v>
      </c>
      <c r="J5931">
        <v>25</v>
      </c>
      <c r="K5931">
        <v>0</v>
      </c>
      <c r="L5931">
        <v>0</v>
      </c>
      <c r="M5931">
        <f>VLOOKUP(Table1[[#This Row],[subscription_type]],Plans!$A$1:$B$5,2,FALSE)</f>
        <v>0</v>
      </c>
      <c r="N5931">
        <f t="shared" si="92"/>
        <v>0</v>
      </c>
    </row>
    <row r="5932" spans="1:14" x14ac:dyDescent="0.35">
      <c r="A5932">
        <v>5931</v>
      </c>
      <c r="B5932" t="s">
        <v>20</v>
      </c>
      <c r="C5932">
        <v>30</v>
      </c>
      <c r="D5932" t="s">
        <v>21</v>
      </c>
      <c r="E5932" t="s">
        <v>14</v>
      </c>
      <c r="F5932">
        <v>51</v>
      </c>
      <c r="G5932">
        <v>93</v>
      </c>
      <c r="H5932">
        <v>0.2</v>
      </c>
      <c r="I5932" t="s">
        <v>23</v>
      </c>
      <c r="J5932">
        <v>45</v>
      </c>
      <c r="K5932">
        <v>0</v>
      </c>
      <c r="L5932">
        <v>0</v>
      </c>
      <c r="M5932">
        <f>VLOOKUP(Table1[[#This Row],[subscription_type]],Plans!$A$1:$B$5,2,FALSE)</f>
        <v>0</v>
      </c>
      <c r="N5932">
        <f t="shared" si="92"/>
        <v>0</v>
      </c>
    </row>
    <row r="5933" spans="1:14" x14ac:dyDescent="0.35">
      <c r="A5933">
        <v>5932</v>
      </c>
      <c r="B5933" t="s">
        <v>20</v>
      </c>
      <c r="C5933">
        <v>58</v>
      </c>
      <c r="D5933" t="s">
        <v>26</v>
      </c>
      <c r="E5933" t="s">
        <v>22</v>
      </c>
      <c r="F5933">
        <v>222</v>
      </c>
      <c r="G5933">
        <v>68</v>
      </c>
      <c r="H5933">
        <v>0.26</v>
      </c>
      <c r="I5933" t="s">
        <v>15</v>
      </c>
      <c r="J5933">
        <v>0</v>
      </c>
      <c r="K5933">
        <v>1</v>
      </c>
      <c r="L5933">
        <v>1</v>
      </c>
      <c r="M5933">
        <f>VLOOKUP(Table1[[#This Row],[subscription_type]],Plans!$A$1:$B$5,2,FALSE)</f>
        <v>9.99</v>
      </c>
      <c r="N5933">
        <f t="shared" si="92"/>
        <v>9.99</v>
      </c>
    </row>
    <row r="5934" spans="1:14" x14ac:dyDescent="0.35">
      <c r="A5934">
        <v>5933</v>
      </c>
      <c r="B5934" t="s">
        <v>20</v>
      </c>
      <c r="C5934">
        <v>51</v>
      </c>
      <c r="D5934" t="s">
        <v>27</v>
      </c>
      <c r="E5934" t="s">
        <v>24</v>
      </c>
      <c r="F5934">
        <v>144</v>
      </c>
      <c r="G5934">
        <v>59</v>
      </c>
      <c r="H5934">
        <v>0.16</v>
      </c>
      <c r="I5934" t="s">
        <v>23</v>
      </c>
      <c r="J5934">
        <v>0</v>
      </c>
      <c r="K5934">
        <v>1</v>
      </c>
      <c r="L5934">
        <v>0</v>
      </c>
      <c r="M5934">
        <f>VLOOKUP(Table1[[#This Row],[subscription_type]],Plans!$A$1:$B$5,2,FALSE)</f>
        <v>4.99</v>
      </c>
      <c r="N5934">
        <f t="shared" si="92"/>
        <v>0</v>
      </c>
    </row>
    <row r="5935" spans="1:14" x14ac:dyDescent="0.35">
      <c r="A5935">
        <v>5934</v>
      </c>
      <c r="B5935" t="s">
        <v>16</v>
      </c>
      <c r="C5935">
        <v>37</v>
      </c>
      <c r="D5935" t="s">
        <v>21</v>
      </c>
      <c r="E5935" t="s">
        <v>14</v>
      </c>
      <c r="F5935">
        <v>180</v>
      </c>
      <c r="G5935">
        <v>11</v>
      </c>
      <c r="H5935">
        <v>0.32</v>
      </c>
      <c r="I5935" t="s">
        <v>19</v>
      </c>
      <c r="J5935">
        <v>9</v>
      </c>
      <c r="K5935">
        <v>0</v>
      </c>
      <c r="L5935">
        <v>0</v>
      </c>
      <c r="M5935">
        <f>VLOOKUP(Table1[[#This Row],[subscription_type]],Plans!$A$1:$B$5,2,FALSE)</f>
        <v>0</v>
      </c>
      <c r="N5935">
        <f t="shared" si="92"/>
        <v>0</v>
      </c>
    </row>
    <row r="5936" spans="1:14" x14ac:dyDescent="0.35">
      <c r="A5936">
        <v>5935</v>
      </c>
      <c r="B5936" t="s">
        <v>12</v>
      </c>
      <c r="C5936">
        <v>16</v>
      </c>
      <c r="D5936" t="s">
        <v>25</v>
      </c>
      <c r="E5936" t="s">
        <v>22</v>
      </c>
      <c r="F5936">
        <v>62</v>
      </c>
      <c r="G5936">
        <v>53</v>
      </c>
      <c r="H5936">
        <v>0.53</v>
      </c>
      <c r="I5936" t="s">
        <v>15</v>
      </c>
      <c r="J5936">
        <v>0</v>
      </c>
      <c r="K5936">
        <v>1</v>
      </c>
      <c r="L5936">
        <v>1</v>
      </c>
      <c r="M5936">
        <f>VLOOKUP(Table1[[#This Row],[subscription_type]],Plans!$A$1:$B$5,2,FALSE)</f>
        <v>9.99</v>
      </c>
      <c r="N5936">
        <f t="shared" si="92"/>
        <v>9.99</v>
      </c>
    </row>
    <row r="5937" spans="1:14" x14ac:dyDescent="0.35">
      <c r="A5937">
        <v>5936</v>
      </c>
      <c r="B5937" t="s">
        <v>12</v>
      </c>
      <c r="C5937">
        <v>36</v>
      </c>
      <c r="D5937" t="s">
        <v>21</v>
      </c>
      <c r="E5937" t="s">
        <v>24</v>
      </c>
      <c r="F5937">
        <v>70</v>
      </c>
      <c r="G5937">
        <v>61</v>
      </c>
      <c r="H5937">
        <v>0.28999999999999998</v>
      </c>
      <c r="I5937" t="s">
        <v>23</v>
      </c>
      <c r="J5937">
        <v>0</v>
      </c>
      <c r="K5937">
        <v>1</v>
      </c>
      <c r="L5937">
        <v>0</v>
      </c>
      <c r="M5937">
        <f>VLOOKUP(Table1[[#This Row],[subscription_type]],Plans!$A$1:$B$5,2,FALSE)</f>
        <v>4.99</v>
      </c>
      <c r="N5937">
        <f t="shared" si="92"/>
        <v>0</v>
      </c>
    </row>
    <row r="5938" spans="1:14" x14ac:dyDescent="0.35">
      <c r="A5938">
        <v>5937</v>
      </c>
      <c r="B5938" t="s">
        <v>12</v>
      </c>
      <c r="C5938">
        <v>19</v>
      </c>
      <c r="D5938" t="s">
        <v>29</v>
      </c>
      <c r="E5938" t="s">
        <v>18</v>
      </c>
      <c r="F5938">
        <v>165</v>
      </c>
      <c r="G5938">
        <v>12</v>
      </c>
      <c r="H5938">
        <v>0.48</v>
      </c>
      <c r="I5938" t="s">
        <v>15</v>
      </c>
      <c r="J5938">
        <v>0</v>
      </c>
      <c r="K5938">
        <v>1</v>
      </c>
      <c r="L5938">
        <v>0</v>
      </c>
      <c r="M5938">
        <f>VLOOKUP(Table1[[#This Row],[subscription_type]],Plans!$A$1:$B$5,2,FALSE)</f>
        <v>14.99</v>
      </c>
      <c r="N5938">
        <f t="shared" si="92"/>
        <v>0</v>
      </c>
    </row>
    <row r="5939" spans="1:14" x14ac:dyDescent="0.35">
      <c r="A5939">
        <v>5938</v>
      </c>
      <c r="B5939" t="s">
        <v>16</v>
      </c>
      <c r="C5939">
        <v>38</v>
      </c>
      <c r="D5939" t="s">
        <v>26</v>
      </c>
      <c r="E5939" t="s">
        <v>22</v>
      </c>
      <c r="F5939">
        <v>229</v>
      </c>
      <c r="G5939">
        <v>54</v>
      </c>
      <c r="H5939">
        <v>0.26</v>
      </c>
      <c r="I5939" t="s">
        <v>23</v>
      </c>
      <c r="J5939">
        <v>0</v>
      </c>
      <c r="K5939">
        <v>1</v>
      </c>
      <c r="L5939">
        <v>0</v>
      </c>
      <c r="M5939">
        <f>VLOOKUP(Table1[[#This Row],[subscription_type]],Plans!$A$1:$B$5,2,FALSE)</f>
        <v>9.99</v>
      </c>
      <c r="N5939">
        <f t="shared" si="92"/>
        <v>0</v>
      </c>
    </row>
    <row r="5940" spans="1:14" x14ac:dyDescent="0.35">
      <c r="A5940">
        <v>5939</v>
      </c>
      <c r="B5940" t="s">
        <v>20</v>
      </c>
      <c r="C5940">
        <v>22</v>
      </c>
      <c r="D5940" t="s">
        <v>13</v>
      </c>
      <c r="E5940" t="s">
        <v>24</v>
      </c>
      <c r="F5940">
        <v>180</v>
      </c>
      <c r="G5940">
        <v>77</v>
      </c>
      <c r="H5940">
        <v>0.1</v>
      </c>
      <c r="I5940" t="s">
        <v>15</v>
      </c>
      <c r="J5940">
        <v>0</v>
      </c>
      <c r="K5940">
        <v>1</v>
      </c>
      <c r="L5940">
        <v>0</v>
      </c>
      <c r="M5940">
        <f>VLOOKUP(Table1[[#This Row],[subscription_type]],Plans!$A$1:$B$5,2,FALSE)</f>
        <v>4.99</v>
      </c>
      <c r="N5940">
        <f t="shared" si="92"/>
        <v>0</v>
      </c>
    </row>
    <row r="5941" spans="1:14" x14ac:dyDescent="0.35">
      <c r="A5941">
        <v>5940</v>
      </c>
      <c r="B5941" t="s">
        <v>20</v>
      </c>
      <c r="C5941">
        <v>56</v>
      </c>
      <c r="D5941" t="s">
        <v>21</v>
      </c>
      <c r="E5941" t="s">
        <v>24</v>
      </c>
      <c r="F5941">
        <v>173</v>
      </c>
      <c r="G5941">
        <v>83</v>
      </c>
      <c r="H5941">
        <v>0.01</v>
      </c>
      <c r="I5941" t="s">
        <v>19</v>
      </c>
      <c r="J5941">
        <v>0</v>
      </c>
      <c r="K5941">
        <v>1</v>
      </c>
      <c r="L5941">
        <v>0</v>
      </c>
      <c r="M5941">
        <f>VLOOKUP(Table1[[#This Row],[subscription_type]],Plans!$A$1:$B$5,2,FALSE)</f>
        <v>4.99</v>
      </c>
      <c r="N5941">
        <f t="shared" si="92"/>
        <v>0</v>
      </c>
    </row>
    <row r="5942" spans="1:14" x14ac:dyDescent="0.35">
      <c r="A5942">
        <v>5941</v>
      </c>
      <c r="B5942" t="s">
        <v>12</v>
      </c>
      <c r="C5942">
        <v>40</v>
      </c>
      <c r="D5942" t="s">
        <v>21</v>
      </c>
      <c r="E5942" t="s">
        <v>22</v>
      </c>
      <c r="F5942">
        <v>152</v>
      </c>
      <c r="G5942">
        <v>8</v>
      </c>
      <c r="H5942">
        <v>0.09</v>
      </c>
      <c r="I5942" t="s">
        <v>19</v>
      </c>
      <c r="J5942">
        <v>0</v>
      </c>
      <c r="K5942">
        <v>1</v>
      </c>
      <c r="L5942">
        <v>1</v>
      </c>
      <c r="M5942">
        <f>VLOOKUP(Table1[[#This Row],[subscription_type]],Plans!$A$1:$B$5,2,FALSE)</f>
        <v>9.99</v>
      </c>
      <c r="N5942">
        <f t="shared" si="92"/>
        <v>9.99</v>
      </c>
    </row>
    <row r="5943" spans="1:14" x14ac:dyDescent="0.35">
      <c r="A5943">
        <v>5942</v>
      </c>
      <c r="B5943" t="s">
        <v>16</v>
      </c>
      <c r="C5943">
        <v>58</v>
      </c>
      <c r="D5943" t="s">
        <v>25</v>
      </c>
      <c r="E5943" t="s">
        <v>14</v>
      </c>
      <c r="F5943">
        <v>214</v>
      </c>
      <c r="G5943">
        <v>80</v>
      </c>
      <c r="H5943">
        <v>0.21</v>
      </c>
      <c r="I5943" t="s">
        <v>15</v>
      </c>
      <c r="J5943">
        <v>47</v>
      </c>
      <c r="K5943">
        <v>0</v>
      </c>
      <c r="L5943">
        <v>1</v>
      </c>
      <c r="M5943">
        <f>VLOOKUP(Table1[[#This Row],[subscription_type]],Plans!$A$1:$B$5,2,FALSE)</f>
        <v>0</v>
      </c>
      <c r="N5943">
        <f t="shared" si="92"/>
        <v>0</v>
      </c>
    </row>
    <row r="5944" spans="1:14" x14ac:dyDescent="0.35">
      <c r="A5944">
        <v>5943</v>
      </c>
      <c r="B5944" t="s">
        <v>12</v>
      </c>
      <c r="C5944">
        <v>48</v>
      </c>
      <c r="D5944" t="s">
        <v>13</v>
      </c>
      <c r="E5944" t="s">
        <v>24</v>
      </c>
      <c r="F5944">
        <v>286</v>
      </c>
      <c r="G5944">
        <v>61</v>
      </c>
      <c r="H5944">
        <v>0.08</v>
      </c>
      <c r="I5944" t="s">
        <v>23</v>
      </c>
      <c r="J5944">
        <v>0</v>
      </c>
      <c r="K5944">
        <v>1</v>
      </c>
      <c r="L5944">
        <v>1</v>
      </c>
      <c r="M5944">
        <f>VLOOKUP(Table1[[#This Row],[subscription_type]],Plans!$A$1:$B$5,2,FALSE)</f>
        <v>4.99</v>
      </c>
      <c r="N5944">
        <f t="shared" si="92"/>
        <v>4.99</v>
      </c>
    </row>
    <row r="5945" spans="1:14" x14ac:dyDescent="0.35">
      <c r="A5945">
        <v>5944</v>
      </c>
      <c r="B5945" t="s">
        <v>12</v>
      </c>
      <c r="C5945">
        <v>42</v>
      </c>
      <c r="D5945" t="s">
        <v>28</v>
      </c>
      <c r="E5945" t="s">
        <v>22</v>
      </c>
      <c r="F5945">
        <v>188</v>
      </c>
      <c r="G5945">
        <v>35</v>
      </c>
      <c r="H5945">
        <v>0.15</v>
      </c>
      <c r="I5945" t="s">
        <v>15</v>
      </c>
      <c r="J5945">
        <v>0</v>
      </c>
      <c r="K5945">
        <v>1</v>
      </c>
      <c r="L5945">
        <v>0</v>
      </c>
      <c r="M5945">
        <f>VLOOKUP(Table1[[#This Row],[subscription_type]],Plans!$A$1:$B$5,2,FALSE)</f>
        <v>9.99</v>
      </c>
      <c r="N5945">
        <f t="shared" si="92"/>
        <v>0</v>
      </c>
    </row>
    <row r="5946" spans="1:14" x14ac:dyDescent="0.35">
      <c r="A5946">
        <v>5945</v>
      </c>
      <c r="B5946" t="s">
        <v>12</v>
      </c>
      <c r="C5946">
        <v>43</v>
      </c>
      <c r="D5946" t="s">
        <v>21</v>
      </c>
      <c r="E5946" t="s">
        <v>24</v>
      </c>
      <c r="F5946">
        <v>29</v>
      </c>
      <c r="G5946">
        <v>5</v>
      </c>
      <c r="H5946">
        <v>0.25</v>
      </c>
      <c r="I5946" t="s">
        <v>15</v>
      </c>
      <c r="J5946">
        <v>0</v>
      </c>
      <c r="K5946">
        <v>1</v>
      </c>
      <c r="L5946">
        <v>0</v>
      </c>
      <c r="M5946">
        <f>VLOOKUP(Table1[[#This Row],[subscription_type]],Plans!$A$1:$B$5,2,FALSE)</f>
        <v>4.99</v>
      </c>
      <c r="N5946">
        <f t="shared" si="92"/>
        <v>0</v>
      </c>
    </row>
    <row r="5947" spans="1:14" x14ac:dyDescent="0.35">
      <c r="A5947">
        <v>5946</v>
      </c>
      <c r="B5947" t="s">
        <v>20</v>
      </c>
      <c r="C5947">
        <v>20</v>
      </c>
      <c r="D5947" t="s">
        <v>25</v>
      </c>
      <c r="E5947" t="s">
        <v>18</v>
      </c>
      <c r="F5947">
        <v>161</v>
      </c>
      <c r="G5947">
        <v>59</v>
      </c>
      <c r="H5947">
        <v>0.44</v>
      </c>
      <c r="I5947" t="s">
        <v>23</v>
      </c>
      <c r="J5947">
        <v>0</v>
      </c>
      <c r="K5947">
        <v>1</v>
      </c>
      <c r="L5947">
        <v>0</v>
      </c>
      <c r="M5947">
        <f>VLOOKUP(Table1[[#This Row],[subscription_type]],Plans!$A$1:$B$5,2,FALSE)</f>
        <v>14.99</v>
      </c>
      <c r="N5947">
        <f t="shared" si="92"/>
        <v>0</v>
      </c>
    </row>
    <row r="5948" spans="1:14" x14ac:dyDescent="0.35">
      <c r="A5948">
        <v>5947</v>
      </c>
      <c r="B5948" t="s">
        <v>20</v>
      </c>
      <c r="C5948">
        <v>39</v>
      </c>
      <c r="D5948" t="s">
        <v>27</v>
      </c>
      <c r="E5948" t="s">
        <v>24</v>
      </c>
      <c r="F5948">
        <v>123</v>
      </c>
      <c r="G5948">
        <v>6</v>
      </c>
      <c r="H5948">
        <v>0.53</v>
      </c>
      <c r="I5948" t="s">
        <v>23</v>
      </c>
      <c r="J5948">
        <v>0</v>
      </c>
      <c r="K5948">
        <v>1</v>
      </c>
      <c r="L5948">
        <v>0</v>
      </c>
      <c r="M5948">
        <f>VLOOKUP(Table1[[#This Row],[subscription_type]],Plans!$A$1:$B$5,2,FALSE)</f>
        <v>4.99</v>
      </c>
      <c r="N5948">
        <f t="shared" si="92"/>
        <v>0</v>
      </c>
    </row>
    <row r="5949" spans="1:14" x14ac:dyDescent="0.35">
      <c r="A5949">
        <v>5948</v>
      </c>
      <c r="B5949" t="s">
        <v>20</v>
      </c>
      <c r="C5949">
        <v>53</v>
      </c>
      <c r="D5949" t="s">
        <v>25</v>
      </c>
      <c r="E5949" t="s">
        <v>24</v>
      </c>
      <c r="F5949">
        <v>107</v>
      </c>
      <c r="G5949">
        <v>6</v>
      </c>
      <c r="H5949">
        <v>0.53</v>
      </c>
      <c r="I5949" t="s">
        <v>15</v>
      </c>
      <c r="J5949">
        <v>0</v>
      </c>
      <c r="K5949">
        <v>1</v>
      </c>
      <c r="L5949">
        <v>0</v>
      </c>
      <c r="M5949">
        <f>VLOOKUP(Table1[[#This Row],[subscription_type]],Plans!$A$1:$B$5,2,FALSE)</f>
        <v>4.99</v>
      </c>
      <c r="N5949">
        <f t="shared" si="92"/>
        <v>0</v>
      </c>
    </row>
    <row r="5950" spans="1:14" x14ac:dyDescent="0.35">
      <c r="A5950">
        <v>5949</v>
      </c>
      <c r="B5950" t="s">
        <v>12</v>
      </c>
      <c r="C5950">
        <v>34</v>
      </c>
      <c r="D5950" t="s">
        <v>27</v>
      </c>
      <c r="E5950" t="s">
        <v>24</v>
      </c>
      <c r="F5950">
        <v>99</v>
      </c>
      <c r="G5950">
        <v>60</v>
      </c>
      <c r="H5950">
        <v>0.19</v>
      </c>
      <c r="I5950" t="s">
        <v>15</v>
      </c>
      <c r="J5950">
        <v>0</v>
      </c>
      <c r="K5950">
        <v>1</v>
      </c>
      <c r="L5950">
        <v>1</v>
      </c>
      <c r="M5950">
        <f>VLOOKUP(Table1[[#This Row],[subscription_type]],Plans!$A$1:$B$5,2,FALSE)</f>
        <v>4.99</v>
      </c>
      <c r="N5950">
        <f t="shared" si="92"/>
        <v>4.99</v>
      </c>
    </row>
    <row r="5951" spans="1:14" x14ac:dyDescent="0.35">
      <c r="A5951">
        <v>5950</v>
      </c>
      <c r="B5951" t="s">
        <v>12</v>
      </c>
      <c r="C5951">
        <v>59</v>
      </c>
      <c r="D5951" t="s">
        <v>28</v>
      </c>
      <c r="E5951" t="s">
        <v>24</v>
      </c>
      <c r="F5951">
        <v>270</v>
      </c>
      <c r="G5951">
        <v>89</v>
      </c>
      <c r="H5951">
        <v>0.23</v>
      </c>
      <c r="I5951" t="s">
        <v>15</v>
      </c>
      <c r="J5951">
        <v>0</v>
      </c>
      <c r="K5951">
        <v>1</v>
      </c>
      <c r="L5951">
        <v>1</v>
      </c>
      <c r="M5951">
        <f>VLOOKUP(Table1[[#This Row],[subscription_type]],Plans!$A$1:$B$5,2,FALSE)</f>
        <v>4.99</v>
      </c>
      <c r="N5951">
        <f t="shared" si="92"/>
        <v>4.99</v>
      </c>
    </row>
    <row r="5952" spans="1:14" x14ac:dyDescent="0.35">
      <c r="A5952">
        <v>5951</v>
      </c>
      <c r="B5952" t="s">
        <v>12</v>
      </c>
      <c r="C5952">
        <v>28</v>
      </c>
      <c r="D5952" t="s">
        <v>27</v>
      </c>
      <c r="E5952" t="s">
        <v>22</v>
      </c>
      <c r="F5952">
        <v>220</v>
      </c>
      <c r="G5952">
        <v>96</v>
      </c>
      <c r="H5952">
        <v>0.01</v>
      </c>
      <c r="I5952" t="s">
        <v>15</v>
      </c>
      <c r="J5952">
        <v>0</v>
      </c>
      <c r="K5952">
        <v>1</v>
      </c>
      <c r="L5952">
        <v>0</v>
      </c>
      <c r="M5952">
        <f>VLOOKUP(Table1[[#This Row],[subscription_type]],Plans!$A$1:$B$5,2,FALSE)</f>
        <v>9.99</v>
      </c>
      <c r="N5952">
        <f t="shared" si="92"/>
        <v>0</v>
      </c>
    </row>
    <row r="5953" spans="1:14" x14ac:dyDescent="0.35">
      <c r="A5953">
        <v>5952</v>
      </c>
      <c r="B5953" t="s">
        <v>20</v>
      </c>
      <c r="C5953">
        <v>54</v>
      </c>
      <c r="D5953" t="s">
        <v>21</v>
      </c>
      <c r="E5953" t="s">
        <v>18</v>
      </c>
      <c r="F5953">
        <v>129</v>
      </c>
      <c r="G5953">
        <v>54</v>
      </c>
      <c r="H5953">
        <v>0.26</v>
      </c>
      <c r="I5953" t="s">
        <v>15</v>
      </c>
      <c r="J5953">
        <v>0</v>
      </c>
      <c r="K5953">
        <v>1</v>
      </c>
      <c r="L5953">
        <v>0</v>
      </c>
      <c r="M5953">
        <f>VLOOKUP(Table1[[#This Row],[subscription_type]],Plans!$A$1:$B$5,2,FALSE)</f>
        <v>14.99</v>
      </c>
      <c r="N5953">
        <f t="shared" si="92"/>
        <v>0</v>
      </c>
    </row>
    <row r="5954" spans="1:14" x14ac:dyDescent="0.35">
      <c r="A5954">
        <v>5953</v>
      </c>
      <c r="B5954" t="s">
        <v>20</v>
      </c>
      <c r="C5954">
        <v>22</v>
      </c>
      <c r="D5954" t="s">
        <v>25</v>
      </c>
      <c r="E5954" t="s">
        <v>14</v>
      </c>
      <c r="F5954">
        <v>145</v>
      </c>
      <c r="G5954">
        <v>21</v>
      </c>
      <c r="H5954">
        <v>0.44</v>
      </c>
      <c r="I5954" t="s">
        <v>15</v>
      </c>
      <c r="J5954">
        <v>26</v>
      </c>
      <c r="K5954">
        <v>0</v>
      </c>
      <c r="L5954">
        <v>0</v>
      </c>
      <c r="M5954">
        <f>VLOOKUP(Table1[[#This Row],[subscription_type]],Plans!$A$1:$B$5,2,FALSE)</f>
        <v>0</v>
      </c>
      <c r="N5954">
        <f t="shared" ref="N5954:N6017" si="93">IF(L5954=1, M5954,0)</f>
        <v>0</v>
      </c>
    </row>
    <row r="5955" spans="1:14" x14ac:dyDescent="0.35">
      <c r="A5955">
        <v>5954</v>
      </c>
      <c r="B5955" t="s">
        <v>12</v>
      </c>
      <c r="C5955">
        <v>52</v>
      </c>
      <c r="D5955" t="s">
        <v>17</v>
      </c>
      <c r="E5955" t="s">
        <v>14</v>
      </c>
      <c r="F5955">
        <v>248</v>
      </c>
      <c r="G5955">
        <v>66</v>
      </c>
      <c r="H5955">
        <v>0.02</v>
      </c>
      <c r="I5955" t="s">
        <v>15</v>
      </c>
      <c r="J5955">
        <v>5</v>
      </c>
      <c r="K5955">
        <v>0</v>
      </c>
      <c r="L5955">
        <v>1</v>
      </c>
      <c r="M5955">
        <f>VLOOKUP(Table1[[#This Row],[subscription_type]],Plans!$A$1:$B$5,2,FALSE)</f>
        <v>0</v>
      </c>
      <c r="N5955">
        <f t="shared" si="93"/>
        <v>0</v>
      </c>
    </row>
    <row r="5956" spans="1:14" x14ac:dyDescent="0.35">
      <c r="A5956">
        <v>5955</v>
      </c>
      <c r="B5956" t="s">
        <v>16</v>
      </c>
      <c r="C5956">
        <v>28</v>
      </c>
      <c r="D5956" t="s">
        <v>13</v>
      </c>
      <c r="E5956" t="s">
        <v>22</v>
      </c>
      <c r="F5956">
        <v>168</v>
      </c>
      <c r="G5956">
        <v>15</v>
      </c>
      <c r="H5956">
        <v>0.48</v>
      </c>
      <c r="I5956" t="s">
        <v>23</v>
      </c>
      <c r="J5956">
        <v>0</v>
      </c>
      <c r="K5956">
        <v>1</v>
      </c>
      <c r="L5956">
        <v>0</v>
      </c>
      <c r="M5956">
        <f>VLOOKUP(Table1[[#This Row],[subscription_type]],Plans!$A$1:$B$5,2,FALSE)</f>
        <v>9.99</v>
      </c>
      <c r="N5956">
        <f t="shared" si="93"/>
        <v>0</v>
      </c>
    </row>
    <row r="5957" spans="1:14" x14ac:dyDescent="0.35">
      <c r="A5957">
        <v>5956</v>
      </c>
      <c r="B5957" t="s">
        <v>16</v>
      </c>
      <c r="C5957">
        <v>30</v>
      </c>
      <c r="D5957" t="s">
        <v>13</v>
      </c>
      <c r="E5957" t="s">
        <v>18</v>
      </c>
      <c r="F5957">
        <v>15</v>
      </c>
      <c r="G5957">
        <v>81</v>
      </c>
      <c r="H5957">
        <v>0.26</v>
      </c>
      <c r="I5957" t="s">
        <v>15</v>
      </c>
      <c r="J5957">
        <v>0</v>
      </c>
      <c r="K5957">
        <v>1</v>
      </c>
      <c r="L5957">
        <v>0</v>
      </c>
      <c r="M5957">
        <f>VLOOKUP(Table1[[#This Row],[subscription_type]],Plans!$A$1:$B$5,2,FALSE)</f>
        <v>14.99</v>
      </c>
      <c r="N5957">
        <f t="shared" si="93"/>
        <v>0</v>
      </c>
    </row>
    <row r="5958" spans="1:14" x14ac:dyDescent="0.35">
      <c r="A5958">
        <v>5957</v>
      </c>
      <c r="B5958" t="s">
        <v>16</v>
      </c>
      <c r="C5958">
        <v>25</v>
      </c>
      <c r="D5958" t="s">
        <v>21</v>
      </c>
      <c r="E5958" t="s">
        <v>24</v>
      </c>
      <c r="F5958">
        <v>208</v>
      </c>
      <c r="G5958">
        <v>70</v>
      </c>
      <c r="H5958">
        <v>0.09</v>
      </c>
      <c r="I5958" t="s">
        <v>19</v>
      </c>
      <c r="J5958">
        <v>0</v>
      </c>
      <c r="K5958">
        <v>1</v>
      </c>
      <c r="L5958">
        <v>0</v>
      </c>
      <c r="M5958">
        <f>VLOOKUP(Table1[[#This Row],[subscription_type]],Plans!$A$1:$B$5,2,FALSE)</f>
        <v>4.99</v>
      </c>
      <c r="N5958">
        <f t="shared" si="93"/>
        <v>0</v>
      </c>
    </row>
    <row r="5959" spans="1:14" x14ac:dyDescent="0.35">
      <c r="A5959">
        <v>5958</v>
      </c>
      <c r="B5959" t="s">
        <v>12</v>
      </c>
      <c r="C5959">
        <v>17</v>
      </c>
      <c r="D5959" t="s">
        <v>26</v>
      </c>
      <c r="E5959" t="s">
        <v>22</v>
      </c>
      <c r="F5959">
        <v>188</v>
      </c>
      <c r="G5959">
        <v>45</v>
      </c>
      <c r="H5959">
        <v>0.28000000000000003</v>
      </c>
      <c r="I5959" t="s">
        <v>15</v>
      </c>
      <c r="J5959">
        <v>0</v>
      </c>
      <c r="K5959">
        <v>1</v>
      </c>
      <c r="L5959">
        <v>0</v>
      </c>
      <c r="M5959">
        <f>VLOOKUP(Table1[[#This Row],[subscription_type]],Plans!$A$1:$B$5,2,FALSE)</f>
        <v>9.99</v>
      </c>
      <c r="N5959">
        <f t="shared" si="93"/>
        <v>0</v>
      </c>
    </row>
    <row r="5960" spans="1:14" x14ac:dyDescent="0.35">
      <c r="A5960">
        <v>5959</v>
      </c>
      <c r="B5960" t="s">
        <v>20</v>
      </c>
      <c r="C5960">
        <v>51</v>
      </c>
      <c r="D5960" t="s">
        <v>29</v>
      </c>
      <c r="E5960" t="s">
        <v>22</v>
      </c>
      <c r="F5960">
        <v>13</v>
      </c>
      <c r="G5960">
        <v>93</v>
      </c>
      <c r="H5960">
        <v>0.02</v>
      </c>
      <c r="I5960" t="s">
        <v>15</v>
      </c>
      <c r="J5960">
        <v>0</v>
      </c>
      <c r="K5960">
        <v>1</v>
      </c>
      <c r="L5960">
        <v>0</v>
      </c>
      <c r="M5960">
        <f>VLOOKUP(Table1[[#This Row],[subscription_type]],Plans!$A$1:$B$5,2,FALSE)</f>
        <v>9.99</v>
      </c>
      <c r="N5960">
        <f t="shared" si="93"/>
        <v>0</v>
      </c>
    </row>
    <row r="5961" spans="1:14" x14ac:dyDescent="0.35">
      <c r="A5961">
        <v>5960</v>
      </c>
      <c r="B5961" t="s">
        <v>20</v>
      </c>
      <c r="C5961">
        <v>23</v>
      </c>
      <c r="D5961" t="s">
        <v>21</v>
      </c>
      <c r="E5961" t="s">
        <v>22</v>
      </c>
      <c r="F5961">
        <v>49</v>
      </c>
      <c r="G5961">
        <v>33</v>
      </c>
      <c r="H5961">
        <v>0.28000000000000003</v>
      </c>
      <c r="I5961" t="s">
        <v>15</v>
      </c>
      <c r="J5961">
        <v>0</v>
      </c>
      <c r="K5961">
        <v>1</v>
      </c>
      <c r="L5961">
        <v>0</v>
      </c>
      <c r="M5961">
        <f>VLOOKUP(Table1[[#This Row],[subscription_type]],Plans!$A$1:$B$5,2,FALSE)</f>
        <v>9.99</v>
      </c>
      <c r="N5961">
        <f t="shared" si="93"/>
        <v>0</v>
      </c>
    </row>
    <row r="5962" spans="1:14" x14ac:dyDescent="0.35">
      <c r="A5962">
        <v>5961</v>
      </c>
      <c r="B5962" t="s">
        <v>16</v>
      </c>
      <c r="C5962">
        <v>43</v>
      </c>
      <c r="D5962" t="s">
        <v>29</v>
      </c>
      <c r="E5962" t="s">
        <v>14</v>
      </c>
      <c r="F5962">
        <v>241</v>
      </c>
      <c r="G5962">
        <v>38</v>
      </c>
      <c r="H5962">
        <v>0.24</v>
      </c>
      <c r="I5962" t="s">
        <v>15</v>
      </c>
      <c r="J5962">
        <v>15</v>
      </c>
      <c r="K5962">
        <v>0</v>
      </c>
      <c r="L5962">
        <v>0</v>
      </c>
      <c r="M5962">
        <f>VLOOKUP(Table1[[#This Row],[subscription_type]],Plans!$A$1:$B$5,2,FALSE)</f>
        <v>0</v>
      </c>
      <c r="N5962">
        <f t="shared" si="93"/>
        <v>0</v>
      </c>
    </row>
    <row r="5963" spans="1:14" x14ac:dyDescent="0.35">
      <c r="A5963">
        <v>5962</v>
      </c>
      <c r="B5963" t="s">
        <v>12</v>
      </c>
      <c r="C5963">
        <v>25</v>
      </c>
      <c r="D5963" t="s">
        <v>28</v>
      </c>
      <c r="E5963" t="s">
        <v>14</v>
      </c>
      <c r="F5963">
        <v>287</v>
      </c>
      <c r="G5963">
        <v>23</v>
      </c>
      <c r="H5963">
        <v>0.51</v>
      </c>
      <c r="I5963" t="s">
        <v>19</v>
      </c>
      <c r="J5963">
        <v>43</v>
      </c>
      <c r="K5963">
        <v>0</v>
      </c>
      <c r="L5963">
        <v>0</v>
      </c>
      <c r="M5963">
        <f>VLOOKUP(Table1[[#This Row],[subscription_type]],Plans!$A$1:$B$5,2,FALSE)</f>
        <v>0</v>
      </c>
      <c r="N5963">
        <f t="shared" si="93"/>
        <v>0</v>
      </c>
    </row>
    <row r="5964" spans="1:14" x14ac:dyDescent="0.35">
      <c r="A5964">
        <v>5963</v>
      </c>
      <c r="B5964" t="s">
        <v>20</v>
      </c>
      <c r="C5964">
        <v>58</v>
      </c>
      <c r="D5964" t="s">
        <v>13</v>
      </c>
      <c r="E5964" t="s">
        <v>18</v>
      </c>
      <c r="F5964">
        <v>141</v>
      </c>
      <c r="G5964">
        <v>84</v>
      </c>
      <c r="H5964">
        <v>0.27</v>
      </c>
      <c r="I5964" t="s">
        <v>15</v>
      </c>
      <c r="J5964">
        <v>0</v>
      </c>
      <c r="K5964">
        <v>1</v>
      </c>
      <c r="L5964">
        <v>0</v>
      </c>
      <c r="M5964">
        <f>VLOOKUP(Table1[[#This Row],[subscription_type]],Plans!$A$1:$B$5,2,FALSE)</f>
        <v>14.99</v>
      </c>
      <c r="N5964">
        <f t="shared" si="93"/>
        <v>0</v>
      </c>
    </row>
    <row r="5965" spans="1:14" x14ac:dyDescent="0.35">
      <c r="A5965">
        <v>5964</v>
      </c>
      <c r="B5965" t="s">
        <v>12</v>
      </c>
      <c r="C5965">
        <v>49</v>
      </c>
      <c r="D5965" t="s">
        <v>17</v>
      </c>
      <c r="E5965" t="s">
        <v>14</v>
      </c>
      <c r="F5965">
        <v>287</v>
      </c>
      <c r="G5965">
        <v>52</v>
      </c>
      <c r="H5965">
        <v>0.27</v>
      </c>
      <c r="I5965" t="s">
        <v>23</v>
      </c>
      <c r="J5965">
        <v>34</v>
      </c>
      <c r="K5965">
        <v>0</v>
      </c>
      <c r="L5965">
        <v>0</v>
      </c>
      <c r="M5965">
        <f>VLOOKUP(Table1[[#This Row],[subscription_type]],Plans!$A$1:$B$5,2,FALSE)</f>
        <v>0</v>
      </c>
      <c r="N5965">
        <f t="shared" si="93"/>
        <v>0</v>
      </c>
    </row>
    <row r="5966" spans="1:14" x14ac:dyDescent="0.35">
      <c r="A5966">
        <v>5965</v>
      </c>
      <c r="B5966" t="s">
        <v>16</v>
      </c>
      <c r="C5966">
        <v>34</v>
      </c>
      <c r="D5966" t="s">
        <v>13</v>
      </c>
      <c r="E5966" t="s">
        <v>24</v>
      </c>
      <c r="F5966">
        <v>25</v>
      </c>
      <c r="G5966">
        <v>76</v>
      </c>
      <c r="H5966">
        <v>0.45</v>
      </c>
      <c r="I5966" t="s">
        <v>19</v>
      </c>
      <c r="J5966">
        <v>0</v>
      </c>
      <c r="K5966">
        <v>1</v>
      </c>
      <c r="L5966">
        <v>0</v>
      </c>
      <c r="M5966">
        <f>VLOOKUP(Table1[[#This Row],[subscription_type]],Plans!$A$1:$B$5,2,FALSE)</f>
        <v>4.99</v>
      </c>
      <c r="N5966">
        <f t="shared" si="93"/>
        <v>0</v>
      </c>
    </row>
    <row r="5967" spans="1:14" x14ac:dyDescent="0.35">
      <c r="A5967">
        <v>5966</v>
      </c>
      <c r="B5967" t="s">
        <v>16</v>
      </c>
      <c r="C5967">
        <v>59</v>
      </c>
      <c r="D5967" t="s">
        <v>29</v>
      </c>
      <c r="E5967" t="s">
        <v>22</v>
      </c>
      <c r="F5967">
        <v>135</v>
      </c>
      <c r="G5967">
        <v>99</v>
      </c>
      <c r="H5967">
        <v>0.56999999999999995</v>
      </c>
      <c r="I5967" t="s">
        <v>15</v>
      </c>
      <c r="J5967">
        <v>0</v>
      </c>
      <c r="K5967">
        <v>1</v>
      </c>
      <c r="L5967">
        <v>1</v>
      </c>
      <c r="M5967">
        <f>VLOOKUP(Table1[[#This Row],[subscription_type]],Plans!$A$1:$B$5,2,FALSE)</f>
        <v>9.99</v>
      </c>
      <c r="N5967">
        <f t="shared" si="93"/>
        <v>9.99</v>
      </c>
    </row>
    <row r="5968" spans="1:14" x14ac:dyDescent="0.35">
      <c r="A5968">
        <v>5967</v>
      </c>
      <c r="B5968" t="s">
        <v>12</v>
      </c>
      <c r="C5968">
        <v>28</v>
      </c>
      <c r="D5968" t="s">
        <v>27</v>
      </c>
      <c r="E5968" t="s">
        <v>18</v>
      </c>
      <c r="F5968">
        <v>146</v>
      </c>
      <c r="G5968">
        <v>88</v>
      </c>
      <c r="H5968">
        <v>0.35</v>
      </c>
      <c r="I5968" t="s">
        <v>19</v>
      </c>
      <c r="J5968">
        <v>0</v>
      </c>
      <c r="K5968">
        <v>1</v>
      </c>
      <c r="L5968">
        <v>1</v>
      </c>
      <c r="M5968">
        <f>VLOOKUP(Table1[[#This Row],[subscription_type]],Plans!$A$1:$B$5,2,FALSE)</f>
        <v>14.99</v>
      </c>
      <c r="N5968">
        <f t="shared" si="93"/>
        <v>14.99</v>
      </c>
    </row>
    <row r="5969" spans="1:14" x14ac:dyDescent="0.35">
      <c r="A5969">
        <v>5968</v>
      </c>
      <c r="B5969" t="s">
        <v>12</v>
      </c>
      <c r="C5969">
        <v>31</v>
      </c>
      <c r="D5969" t="s">
        <v>17</v>
      </c>
      <c r="E5969" t="s">
        <v>22</v>
      </c>
      <c r="F5969">
        <v>94</v>
      </c>
      <c r="G5969">
        <v>97</v>
      </c>
      <c r="H5969">
        <v>0.04</v>
      </c>
      <c r="I5969" t="s">
        <v>15</v>
      </c>
      <c r="J5969">
        <v>0</v>
      </c>
      <c r="K5969">
        <v>1</v>
      </c>
      <c r="L5969">
        <v>0</v>
      </c>
      <c r="M5969">
        <f>VLOOKUP(Table1[[#This Row],[subscription_type]],Plans!$A$1:$B$5,2,FALSE)</f>
        <v>9.99</v>
      </c>
      <c r="N5969">
        <f t="shared" si="93"/>
        <v>0</v>
      </c>
    </row>
    <row r="5970" spans="1:14" x14ac:dyDescent="0.35">
      <c r="A5970">
        <v>5969</v>
      </c>
      <c r="B5970" t="s">
        <v>16</v>
      </c>
      <c r="C5970">
        <v>43</v>
      </c>
      <c r="D5970" t="s">
        <v>21</v>
      </c>
      <c r="E5970" t="s">
        <v>22</v>
      </c>
      <c r="F5970">
        <v>227</v>
      </c>
      <c r="G5970">
        <v>37</v>
      </c>
      <c r="H5970">
        <v>0.13</v>
      </c>
      <c r="I5970" t="s">
        <v>15</v>
      </c>
      <c r="J5970">
        <v>0</v>
      </c>
      <c r="K5970">
        <v>1</v>
      </c>
      <c r="L5970">
        <v>0</v>
      </c>
      <c r="M5970">
        <f>VLOOKUP(Table1[[#This Row],[subscription_type]],Plans!$A$1:$B$5,2,FALSE)</f>
        <v>9.99</v>
      </c>
      <c r="N5970">
        <f t="shared" si="93"/>
        <v>0</v>
      </c>
    </row>
    <row r="5971" spans="1:14" x14ac:dyDescent="0.35">
      <c r="A5971">
        <v>5970</v>
      </c>
      <c r="B5971" t="s">
        <v>20</v>
      </c>
      <c r="C5971">
        <v>24</v>
      </c>
      <c r="D5971" t="s">
        <v>27</v>
      </c>
      <c r="E5971" t="s">
        <v>14</v>
      </c>
      <c r="F5971">
        <v>255</v>
      </c>
      <c r="G5971">
        <v>45</v>
      </c>
      <c r="H5971">
        <v>0.05</v>
      </c>
      <c r="I5971" t="s">
        <v>23</v>
      </c>
      <c r="J5971">
        <v>40</v>
      </c>
      <c r="K5971">
        <v>0</v>
      </c>
      <c r="L5971">
        <v>0</v>
      </c>
      <c r="M5971">
        <f>VLOOKUP(Table1[[#This Row],[subscription_type]],Plans!$A$1:$B$5,2,FALSE)</f>
        <v>0</v>
      </c>
      <c r="N5971">
        <f t="shared" si="93"/>
        <v>0</v>
      </c>
    </row>
    <row r="5972" spans="1:14" x14ac:dyDescent="0.35">
      <c r="A5972">
        <v>5971</v>
      </c>
      <c r="B5972" t="s">
        <v>16</v>
      </c>
      <c r="C5972">
        <v>55</v>
      </c>
      <c r="D5972" t="s">
        <v>17</v>
      </c>
      <c r="E5972" t="s">
        <v>18</v>
      </c>
      <c r="F5972">
        <v>191</v>
      </c>
      <c r="G5972">
        <v>88</v>
      </c>
      <c r="H5972">
        <v>0.12</v>
      </c>
      <c r="I5972" t="s">
        <v>19</v>
      </c>
      <c r="J5972">
        <v>0</v>
      </c>
      <c r="K5972">
        <v>1</v>
      </c>
      <c r="L5972">
        <v>0</v>
      </c>
      <c r="M5972">
        <f>VLOOKUP(Table1[[#This Row],[subscription_type]],Plans!$A$1:$B$5,2,FALSE)</f>
        <v>14.99</v>
      </c>
      <c r="N5972">
        <f t="shared" si="93"/>
        <v>0</v>
      </c>
    </row>
    <row r="5973" spans="1:14" x14ac:dyDescent="0.35">
      <c r="A5973">
        <v>5972</v>
      </c>
      <c r="B5973" t="s">
        <v>12</v>
      </c>
      <c r="C5973">
        <v>37</v>
      </c>
      <c r="D5973" t="s">
        <v>29</v>
      </c>
      <c r="E5973" t="s">
        <v>14</v>
      </c>
      <c r="F5973">
        <v>239</v>
      </c>
      <c r="G5973">
        <v>39</v>
      </c>
      <c r="H5973">
        <v>0.22</v>
      </c>
      <c r="I5973" t="s">
        <v>23</v>
      </c>
      <c r="J5973">
        <v>46</v>
      </c>
      <c r="K5973">
        <v>0</v>
      </c>
      <c r="L5973">
        <v>1</v>
      </c>
      <c r="M5973">
        <f>VLOOKUP(Table1[[#This Row],[subscription_type]],Plans!$A$1:$B$5,2,FALSE)</f>
        <v>0</v>
      </c>
      <c r="N5973">
        <f t="shared" si="93"/>
        <v>0</v>
      </c>
    </row>
    <row r="5974" spans="1:14" x14ac:dyDescent="0.35">
      <c r="A5974">
        <v>5973</v>
      </c>
      <c r="B5974" t="s">
        <v>12</v>
      </c>
      <c r="C5974">
        <v>42</v>
      </c>
      <c r="D5974" t="s">
        <v>21</v>
      </c>
      <c r="E5974" t="s">
        <v>24</v>
      </c>
      <c r="F5974">
        <v>205</v>
      </c>
      <c r="G5974">
        <v>13</v>
      </c>
      <c r="H5974">
        <v>0.12</v>
      </c>
      <c r="I5974" t="s">
        <v>19</v>
      </c>
      <c r="J5974">
        <v>0</v>
      </c>
      <c r="K5974">
        <v>1</v>
      </c>
      <c r="L5974">
        <v>1</v>
      </c>
      <c r="M5974">
        <f>VLOOKUP(Table1[[#This Row],[subscription_type]],Plans!$A$1:$B$5,2,FALSE)</f>
        <v>4.99</v>
      </c>
      <c r="N5974">
        <f t="shared" si="93"/>
        <v>4.99</v>
      </c>
    </row>
    <row r="5975" spans="1:14" x14ac:dyDescent="0.35">
      <c r="A5975">
        <v>5974</v>
      </c>
      <c r="B5975" t="s">
        <v>20</v>
      </c>
      <c r="C5975">
        <v>35</v>
      </c>
      <c r="D5975" t="s">
        <v>13</v>
      </c>
      <c r="E5975" t="s">
        <v>24</v>
      </c>
      <c r="F5975">
        <v>110</v>
      </c>
      <c r="G5975">
        <v>96</v>
      </c>
      <c r="H5975">
        <v>0.41</v>
      </c>
      <c r="I5975" t="s">
        <v>19</v>
      </c>
      <c r="J5975">
        <v>0</v>
      </c>
      <c r="K5975">
        <v>1</v>
      </c>
      <c r="L5975">
        <v>1</v>
      </c>
      <c r="M5975">
        <f>VLOOKUP(Table1[[#This Row],[subscription_type]],Plans!$A$1:$B$5,2,FALSE)</f>
        <v>4.99</v>
      </c>
      <c r="N5975">
        <f t="shared" si="93"/>
        <v>4.99</v>
      </c>
    </row>
    <row r="5976" spans="1:14" x14ac:dyDescent="0.35">
      <c r="A5976">
        <v>5975</v>
      </c>
      <c r="B5976" t="s">
        <v>16</v>
      </c>
      <c r="C5976">
        <v>25</v>
      </c>
      <c r="D5976" t="s">
        <v>26</v>
      </c>
      <c r="E5976" t="s">
        <v>22</v>
      </c>
      <c r="F5976">
        <v>146</v>
      </c>
      <c r="G5976">
        <v>37</v>
      </c>
      <c r="H5976">
        <v>0.1</v>
      </c>
      <c r="I5976" t="s">
        <v>19</v>
      </c>
      <c r="J5976">
        <v>0</v>
      </c>
      <c r="K5976">
        <v>1</v>
      </c>
      <c r="L5976">
        <v>1</v>
      </c>
      <c r="M5976">
        <f>VLOOKUP(Table1[[#This Row],[subscription_type]],Plans!$A$1:$B$5,2,FALSE)</f>
        <v>9.99</v>
      </c>
      <c r="N5976">
        <f t="shared" si="93"/>
        <v>9.99</v>
      </c>
    </row>
    <row r="5977" spans="1:14" x14ac:dyDescent="0.35">
      <c r="A5977">
        <v>5976</v>
      </c>
      <c r="B5977" t="s">
        <v>16</v>
      </c>
      <c r="C5977">
        <v>38</v>
      </c>
      <c r="D5977" t="s">
        <v>27</v>
      </c>
      <c r="E5977" t="s">
        <v>14</v>
      </c>
      <c r="F5977">
        <v>86</v>
      </c>
      <c r="G5977">
        <v>59</v>
      </c>
      <c r="H5977">
        <v>0.52</v>
      </c>
      <c r="I5977" t="s">
        <v>15</v>
      </c>
      <c r="J5977">
        <v>8</v>
      </c>
      <c r="K5977">
        <v>0</v>
      </c>
      <c r="L5977">
        <v>0</v>
      </c>
      <c r="M5977">
        <f>VLOOKUP(Table1[[#This Row],[subscription_type]],Plans!$A$1:$B$5,2,FALSE)</f>
        <v>0</v>
      </c>
      <c r="N5977">
        <f t="shared" si="93"/>
        <v>0</v>
      </c>
    </row>
    <row r="5978" spans="1:14" x14ac:dyDescent="0.35">
      <c r="A5978">
        <v>5977</v>
      </c>
      <c r="B5978" t="s">
        <v>20</v>
      </c>
      <c r="C5978">
        <v>56</v>
      </c>
      <c r="D5978" t="s">
        <v>26</v>
      </c>
      <c r="E5978" t="s">
        <v>22</v>
      </c>
      <c r="F5978">
        <v>110</v>
      </c>
      <c r="G5978">
        <v>94</v>
      </c>
      <c r="H5978">
        <v>0.33</v>
      </c>
      <c r="I5978" t="s">
        <v>19</v>
      </c>
      <c r="J5978">
        <v>0</v>
      </c>
      <c r="K5978">
        <v>1</v>
      </c>
      <c r="L5978">
        <v>0</v>
      </c>
      <c r="M5978">
        <f>VLOOKUP(Table1[[#This Row],[subscription_type]],Plans!$A$1:$B$5,2,FALSE)</f>
        <v>9.99</v>
      </c>
      <c r="N5978">
        <f t="shared" si="93"/>
        <v>0</v>
      </c>
    </row>
    <row r="5979" spans="1:14" x14ac:dyDescent="0.35">
      <c r="A5979">
        <v>5978</v>
      </c>
      <c r="B5979" t="s">
        <v>12</v>
      </c>
      <c r="C5979">
        <v>54</v>
      </c>
      <c r="D5979" t="s">
        <v>28</v>
      </c>
      <c r="E5979" t="s">
        <v>18</v>
      </c>
      <c r="F5979">
        <v>49</v>
      </c>
      <c r="G5979">
        <v>25</v>
      </c>
      <c r="H5979">
        <v>0.01</v>
      </c>
      <c r="I5979" t="s">
        <v>19</v>
      </c>
      <c r="J5979">
        <v>0</v>
      </c>
      <c r="K5979">
        <v>1</v>
      </c>
      <c r="L5979">
        <v>1</v>
      </c>
      <c r="M5979">
        <f>VLOOKUP(Table1[[#This Row],[subscription_type]],Plans!$A$1:$B$5,2,FALSE)</f>
        <v>14.99</v>
      </c>
      <c r="N5979">
        <f t="shared" si="93"/>
        <v>14.99</v>
      </c>
    </row>
    <row r="5980" spans="1:14" x14ac:dyDescent="0.35">
      <c r="A5980">
        <v>5979</v>
      </c>
      <c r="B5980" t="s">
        <v>20</v>
      </c>
      <c r="C5980">
        <v>56</v>
      </c>
      <c r="D5980" t="s">
        <v>13</v>
      </c>
      <c r="E5980" t="s">
        <v>24</v>
      </c>
      <c r="F5980">
        <v>75</v>
      </c>
      <c r="G5980">
        <v>68</v>
      </c>
      <c r="H5980">
        <v>0.44</v>
      </c>
      <c r="I5980" t="s">
        <v>23</v>
      </c>
      <c r="J5980">
        <v>0</v>
      </c>
      <c r="K5980">
        <v>1</v>
      </c>
      <c r="L5980">
        <v>1</v>
      </c>
      <c r="M5980">
        <f>VLOOKUP(Table1[[#This Row],[subscription_type]],Plans!$A$1:$B$5,2,FALSE)</f>
        <v>4.99</v>
      </c>
      <c r="N5980">
        <f t="shared" si="93"/>
        <v>4.99</v>
      </c>
    </row>
    <row r="5981" spans="1:14" x14ac:dyDescent="0.35">
      <c r="A5981">
        <v>5980</v>
      </c>
      <c r="B5981" t="s">
        <v>16</v>
      </c>
      <c r="C5981">
        <v>46</v>
      </c>
      <c r="D5981" t="s">
        <v>21</v>
      </c>
      <c r="E5981" t="s">
        <v>24</v>
      </c>
      <c r="F5981">
        <v>173</v>
      </c>
      <c r="G5981">
        <v>44</v>
      </c>
      <c r="H5981">
        <v>0.56999999999999995</v>
      </c>
      <c r="I5981" t="s">
        <v>19</v>
      </c>
      <c r="J5981">
        <v>0</v>
      </c>
      <c r="K5981">
        <v>1</v>
      </c>
      <c r="L5981">
        <v>0</v>
      </c>
      <c r="M5981">
        <f>VLOOKUP(Table1[[#This Row],[subscription_type]],Plans!$A$1:$B$5,2,FALSE)</f>
        <v>4.99</v>
      </c>
      <c r="N5981">
        <f t="shared" si="93"/>
        <v>0</v>
      </c>
    </row>
    <row r="5982" spans="1:14" x14ac:dyDescent="0.35">
      <c r="A5982">
        <v>5981</v>
      </c>
      <c r="B5982" t="s">
        <v>20</v>
      </c>
      <c r="C5982">
        <v>55</v>
      </c>
      <c r="D5982" t="s">
        <v>28</v>
      </c>
      <c r="E5982" t="s">
        <v>22</v>
      </c>
      <c r="F5982">
        <v>94</v>
      </c>
      <c r="G5982">
        <v>72</v>
      </c>
      <c r="H5982">
        <v>0.28999999999999998</v>
      </c>
      <c r="I5982" t="s">
        <v>15</v>
      </c>
      <c r="J5982">
        <v>0</v>
      </c>
      <c r="K5982">
        <v>1</v>
      </c>
      <c r="L5982">
        <v>0</v>
      </c>
      <c r="M5982">
        <f>VLOOKUP(Table1[[#This Row],[subscription_type]],Plans!$A$1:$B$5,2,FALSE)</f>
        <v>9.99</v>
      </c>
      <c r="N5982">
        <f t="shared" si="93"/>
        <v>0</v>
      </c>
    </row>
    <row r="5983" spans="1:14" x14ac:dyDescent="0.35">
      <c r="A5983">
        <v>5982</v>
      </c>
      <c r="B5983" t="s">
        <v>12</v>
      </c>
      <c r="C5983">
        <v>55</v>
      </c>
      <c r="D5983" t="s">
        <v>21</v>
      </c>
      <c r="E5983" t="s">
        <v>24</v>
      </c>
      <c r="F5983">
        <v>279</v>
      </c>
      <c r="G5983">
        <v>24</v>
      </c>
      <c r="H5983">
        <v>0.23</v>
      </c>
      <c r="I5983" t="s">
        <v>15</v>
      </c>
      <c r="J5983">
        <v>0</v>
      </c>
      <c r="K5983">
        <v>1</v>
      </c>
      <c r="L5983">
        <v>1</v>
      </c>
      <c r="M5983">
        <f>VLOOKUP(Table1[[#This Row],[subscription_type]],Plans!$A$1:$B$5,2,FALSE)</f>
        <v>4.99</v>
      </c>
      <c r="N5983">
        <f t="shared" si="93"/>
        <v>4.99</v>
      </c>
    </row>
    <row r="5984" spans="1:14" x14ac:dyDescent="0.35">
      <c r="A5984">
        <v>5983</v>
      </c>
      <c r="B5984" t="s">
        <v>20</v>
      </c>
      <c r="C5984">
        <v>21</v>
      </c>
      <c r="D5984" t="s">
        <v>27</v>
      </c>
      <c r="E5984" t="s">
        <v>14</v>
      </c>
      <c r="F5984">
        <v>226</v>
      </c>
      <c r="G5984">
        <v>80</v>
      </c>
      <c r="H5984">
        <v>0.43</v>
      </c>
      <c r="I5984" t="s">
        <v>19</v>
      </c>
      <c r="J5984">
        <v>37</v>
      </c>
      <c r="K5984">
        <v>0</v>
      </c>
      <c r="L5984">
        <v>0</v>
      </c>
      <c r="M5984">
        <f>VLOOKUP(Table1[[#This Row],[subscription_type]],Plans!$A$1:$B$5,2,FALSE)</f>
        <v>0</v>
      </c>
      <c r="N5984">
        <f t="shared" si="93"/>
        <v>0</v>
      </c>
    </row>
    <row r="5985" spans="1:14" x14ac:dyDescent="0.35">
      <c r="A5985">
        <v>5984</v>
      </c>
      <c r="B5985" t="s">
        <v>12</v>
      </c>
      <c r="C5985">
        <v>49</v>
      </c>
      <c r="D5985" t="s">
        <v>21</v>
      </c>
      <c r="E5985" t="s">
        <v>14</v>
      </c>
      <c r="F5985">
        <v>210</v>
      </c>
      <c r="G5985">
        <v>11</v>
      </c>
      <c r="H5985">
        <v>7.0000000000000007E-2</v>
      </c>
      <c r="I5985" t="s">
        <v>23</v>
      </c>
      <c r="J5985">
        <v>8</v>
      </c>
      <c r="K5985">
        <v>0</v>
      </c>
      <c r="L5985">
        <v>0</v>
      </c>
      <c r="M5985">
        <f>VLOOKUP(Table1[[#This Row],[subscription_type]],Plans!$A$1:$B$5,2,FALSE)</f>
        <v>0</v>
      </c>
      <c r="N5985">
        <f t="shared" si="93"/>
        <v>0</v>
      </c>
    </row>
    <row r="5986" spans="1:14" x14ac:dyDescent="0.35">
      <c r="A5986">
        <v>5985</v>
      </c>
      <c r="B5986" t="s">
        <v>20</v>
      </c>
      <c r="C5986">
        <v>24</v>
      </c>
      <c r="D5986" t="s">
        <v>28</v>
      </c>
      <c r="E5986" t="s">
        <v>22</v>
      </c>
      <c r="F5986">
        <v>256</v>
      </c>
      <c r="G5986">
        <v>11</v>
      </c>
      <c r="H5986">
        <v>0.3</v>
      </c>
      <c r="I5986" t="s">
        <v>15</v>
      </c>
      <c r="J5986">
        <v>0</v>
      </c>
      <c r="K5986">
        <v>1</v>
      </c>
      <c r="L5986">
        <v>0</v>
      </c>
      <c r="M5986">
        <f>VLOOKUP(Table1[[#This Row],[subscription_type]],Plans!$A$1:$B$5,2,FALSE)</f>
        <v>9.99</v>
      </c>
      <c r="N5986">
        <f t="shared" si="93"/>
        <v>0</v>
      </c>
    </row>
    <row r="5987" spans="1:14" x14ac:dyDescent="0.35">
      <c r="A5987">
        <v>5986</v>
      </c>
      <c r="B5987" t="s">
        <v>16</v>
      </c>
      <c r="C5987">
        <v>23</v>
      </c>
      <c r="D5987" t="s">
        <v>27</v>
      </c>
      <c r="E5987" t="s">
        <v>14</v>
      </c>
      <c r="F5987">
        <v>77</v>
      </c>
      <c r="G5987">
        <v>12</v>
      </c>
      <c r="H5987">
        <v>7.0000000000000007E-2</v>
      </c>
      <c r="I5987" t="s">
        <v>15</v>
      </c>
      <c r="J5987">
        <v>8</v>
      </c>
      <c r="K5987">
        <v>0</v>
      </c>
      <c r="L5987">
        <v>1</v>
      </c>
      <c r="M5987">
        <f>VLOOKUP(Table1[[#This Row],[subscription_type]],Plans!$A$1:$B$5,2,FALSE)</f>
        <v>0</v>
      </c>
      <c r="N5987">
        <f t="shared" si="93"/>
        <v>0</v>
      </c>
    </row>
    <row r="5988" spans="1:14" x14ac:dyDescent="0.35">
      <c r="A5988">
        <v>5987</v>
      </c>
      <c r="B5988" t="s">
        <v>20</v>
      </c>
      <c r="C5988">
        <v>25</v>
      </c>
      <c r="D5988" t="s">
        <v>17</v>
      </c>
      <c r="E5988" t="s">
        <v>14</v>
      </c>
      <c r="F5988">
        <v>249</v>
      </c>
      <c r="G5988">
        <v>33</v>
      </c>
      <c r="H5988">
        <v>7.0000000000000007E-2</v>
      </c>
      <c r="I5988" t="s">
        <v>19</v>
      </c>
      <c r="J5988">
        <v>18</v>
      </c>
      <c r="K5988">
        <v>0</v>
      </c>
      <c r="L5988">
        <v>0</v>
      </c>
      <c r="M5988">
        <f>VLOOKUP(Table1[[#This Row],[subscription_type]],Plans!$A$1:$B$5,2,FALSE)</f>
        <v>0</v>
      </c>
      <c r="N5988">
        <f t="shared" si="93"/>
        <v>0</v>
      </c>
    </row>
    <row r="5989" spans="1:14" x14ac:dyDescent="0.35">
      <c r="A5989">
        <v>5988</v>
      </c>
      <c r="B5989" t="s">
        <v>12</v>
      </c>
      <c r="C5989">
        <v>56</v>
      </c>
      <c r="D5989" t="s">
        <v>21</v>
      </c>
      <c r="E5989" t="s">
        <v>14</v>
      </c>
      <c r="F5989">
        <v>184</v>
      </c>
      <c r="G5989">
        <v>19</v>
      </c>
      <c r="H5989">
        <v>0.1</v>
      </c>
      <c r="I5989" t="s">
        <v>15</v>
      </c>
      <c r="J5989">
        <v>27</v>
      </c>
      <c r="K5989">
        <v>0</v>
      </c>
      <c r="L5989">
        <v>0</v>
      </c>
      <c r="M5989">
        <f>VLOOKUP(Table1[[#This Row],[subscription_type]],Plans!$A$1:$B$5,2,FALSE)</f>
        <v>0</v>
      </c>
      <c r="N5989">
        <f t="shared" si="93"/>
        <v>0</v>
      </c>
    </row>
    <row r="5990" spans="1:14" x14ac:dyDescent="0.35">
      <c r="A5990">
        <v>5989</v>
      </c>
      <c r="B5990" t="s">
        <v>20</v>
      </c>
      <c r="C5990">
        <v>54</v>
      </c>
      <c r="D5990" t="s">
        <v>28</v>
      </c>
      <c r="E5990" t="s">
        <v>22</v>
      </c>
      <c r="F5990">
        <v>224</v>
      </c>
      <c r="G5990">
        <v>60</v>
      </c>
      <c r="H5990">
        <v>0.4</v>
      </c>
      <c r="I5990" t="s">
        <v>15</v>
      </c>
      <c r="J5990">
        <v>0</v>
      </c>
      <c r="K5990">
        <v>1</v>
      </c>
      <c r="L5990">
        <v>0</v>
      </c>
      <c r="M5990">
        <f>VLOOKUP(Table1[[#This Row],[subscription_type]],Plans!$A$1:$B$5,2,FALSE)</f>
        <v>9.99</v>
      </c>
      <c r="N5990">
        <f t="shared" si="93"/>
        <v>0</v>
      </c>
    </row>
    <row r="5991" spans="1:14" x14ac:dyDescent="0.35">
      <c r="A5991">
        <v>5990</v>
      </c>
      <c r="B5991" t="s">
        <v>16</v>
      </c>
      <c r="C5991">
        <v>46</v>
      </c>
      <c r="D5991" t="s">
        <v>27</v>
      </c>
      <c r="E5991" t="s">
        <v>22</v>
      </c>
      <c r="F5991">
        <v>206</v>
      </c>
      <c r="G5991">
        <v>23</v>
      </c>
      <c r="H5991">
        <v>0.49</v>
      </c>
      <c r="I5991" t="s">
        <v>15</v>
      </c>
      <c r="J5991">
        <v>0</v>
      </c>
      <c r="K5991">
        <v>1</v>
      </c>
      <c r="L5991">
        <v>0</v>
      </c>
      <c r="M5991">
        <f>VLOOKUP(Table1[[#This Row],[subscription_type]],Plans!$A$1:$B$5,2,FALSE)</f>
        <v>9.99</v>
      </c>
      <c r="N5991">
        <f t="shared" si="93"/>
        <v>0</v>
      </c>
    </row>
    <row r="5992" spans="1:14" x14ac:dyDescent="0.35">
      <c r="A5992">
        <v>5991</v>
      </c>
      <c r="B5992" t="s">
        <v>20</v>
      </c>
      <c r="C5992">
        <v>22</v>
      </c>
      <c r="D5992" t="s">
        <v>17</v>
      </c>
      <c r="E5992" t="s">
        <v>24</v>
      </c>
      <c r="F5992">
        <v>118</v>
      </c>
      <c r="G5992">
        <v>74</v>
      </c>
      <c r="H5992">
        <v>0.48</v>
      </c>
      <c r="I5992" t="s">
        <v>19</v>
      </c>
      <c r="J5992">
        <v>0</v>
      </c>
      <c r="K5992">
        <v>1</v>
      </c>
      <c r="L5992">
        <v>0</v>
      </c>
      <c r="M5992">
        <f>VLOOKUP(Table1[[#This Row],[subscription_type]],Plans!$A$1:$B$5,2,FALSE)</f>
        <v>4.99</v>
      </c>
      <c r="N5992">
        <f t="shared" si="93"/>
        <v>0</v>
      </c>
    </row>
    <row r="5993" spans="1:14" x14ac:dyDescent="0.35">
      <c r="A5993">
        <v>5992</v>
      </c>
      <c r="B5993" t="s">
        <v>20</v>
      </c>
      <c r="C5993">
        <v>55</v>
      </c>
      <c r="D5993" t="s">
        <v>26</v>
      </c>
      <c r="E5993" t="s">
        <v>22</v>
      </c>
      <c r="F5993">
        <v>63</v>
      </c>
      <c r="G5993">
        <v>46</v>
      </c>
      <c r="H5993">
        <v>0.53</v>
      </c>
      <c r="I5993" t="s">
        <v>23</v>
      </c>
      <c r="J5993">
        <v>0</v>
      </c>
      <c r="K5993">
        <v>1</v>
      </c>
      <c r="L5993">
        <v>1</v>
      </c>
      <c r="M5993">
        <f>VLOOKUP(Table1[[#This Row],[subscription_type]],Plans!$A$1:$B$5,2,FALSE)</f>
        <v>9.99</v>
      </c>
      <c r="N5993">
        <f t="shared" si="93"/>
        <v>9.99</v>
      </c>
    </row>
    <row r="5994" spans="1:14" x14ac:dyDescent="0.35">
      <c r="A5994">
        <v>5993</v>
      </c>
      <c r="B5994" t="s">
        <v>20</v>
      </c>
      <c r="C5994">
        <v>40</v>
      </c>
      <c r="D5994" t="s">
        <v>27</v>
      </c>
      <c r="E5994" t="s">
        <v>18</v>
      </c>
      <c r="F5994">
        <v>110</v>
      </c>
      <c r="G5994">
        <v>16</v>
      </c>
      <c r="H5994">
        <v>0.09</v>
      </c>
      <c r="I5994" t="s">
        <v>19</v>
      </c>
      <c r="J5994">
        <v>0</v>
      </c>
      <c r="K5994">
        <v>1</v>
      </c>
      <c r="L5994">
        <v>0</v>
      </c>
      <c r="M5994">
        <f>VLOOKUP(Table1[[#This Row],[subscription_type]],Plans!$A$1:$B$5,2,FALSE)</f>
        <v>14.99</v>
      </c>
      <c r="N5994">
        <f t="shared" si="93"/>
        <v>0</v>
      </c>
    </row>
    <row r="5995" spans="1:14" x14ac:dyDescent="0.35">
      <c r="A5995">
        <v>5994</v>
      </c>
      <c r="B5995" t="s">
        <v>12</v>
      </c>
      <c r="C5995">
        <v>17</v>
      </c>
      <c r="D5995" t="s">
        <v>17</v>
      </c>
      <c r="E5995" t="s">
        <v>14</v>
      </c>
      <c r="F5995">
        <v>209</v>
      </c>
      <c r="G5995">
        <v>49</v>
      </c>
      <c r="H5995">
        <v>0.51</v>
      </c>
      <c r="I5995" t="s">
        <v>19</v>
      </c>
      <c r="J5995">
        <v>15</v>
      </c>
      <c r="K5995">
        <v>0</v>
      </c>
      <c r="L5995">
        <v>0</v>
      </c>
      <c r="M5995">
        <f>VLOOKUP(Table1[[#This Row],[subscription_type]],Plans!$A$1:$B$5,2,FALSE)</f>
        <v>0</v>
      </c>
      <c r="N5995">
        <f t="shared" si="93"/>
        <v>0</v>
      </c>
    </row>
    <row r="5996" spans="1:14" x14ac:dyDescent="0.35">
      <c r="A5996">
        <v>5995</v>
      </c>
      <c r="B5996" t="s">
        <v>16</v>
      </c>
      <c r="C5996">
        <v>49</v>
      </c>
      <c r="D5996" t="s">
        <v>13</v>
      </c>
      <c r="E5996" t="s">
        <v>18</v>
      </c>
      <c r="F5996">
        <v>168</v>
      </c>
      <c r="G5996">
        <v>87</v>
      </c>
      <c r="H5996">
        <v>0.48</v>
      </c>
      <c r="I5996" t="s">
        <v>19</v>
      </c>
      <c r="J5996">
        <v>0</v>
      </c>
      <c r="K5996">
        <v>1</v>
      </c>
      <c r="L5996">
        <v>0</v>
      </c>
      <c r="M5996">
        <f>VLOOKUP(Table1[[#This Row],[subscription_type]],Plans!$A$1:$B$5,2,FALSE)</f>
        <v>14.99</v>
      </c>
      <c r="N5996">
        <f t="shared" si="93"/>
        <v>0</v>
      </c>
    </row>
    <row r="5997" spans="1:14" x14ac:dyDescent="0.35">
      <c r="A5997">
        <v>5996</v>
      </c>
      <c r="B5997" t="s">
        <v>12</v>
      </c>
      <c r="C5997">
        <v>26</v>
      </c>
      <c r="D5997" t="s">
        <v>29</v>
      </c>
      <c r="E5997" t="s">
        <v>22</v>
      </c>
      <c r="F5997">
        <v>85</v>
      </c>
      <c r="G5997">
        <v>75</v>
      </c>
      <c r="H5997">
        <v>0.52</v>
      </c>
      <c r="I5997" t="s">
        <v>19</v>
      </c>
      <c r="J5997">
        <v>0</v>
      </c>
      <c r="K5997">
        <v>1</v>
      </c>
      <c r="L5997">
        <v>1</v>
      </c>
      <c r="M5997">
        <f>VLOOKUP(Table1[[#This Row],[subscription_type]],Plans!$A$1:$B$5,2,FALSE)</f>
        <v>9.99</v>
      </c>
      <c r="N5997">
        <f t="shared" si="93"/>
        <v>9.99</v>
      </c>
    </row>
    <row r="5998" spans="1:14" x14ac:dyDescent="0.35">
      <c r="A5998">
        <v>5997</v>
      </c>
      <c r="B5998" t="s">
        <v>12</v>
      </c>
      <c r="C5998">
        <v>25</v>
      </c>
      <c r="D5998" t="s">
        <v>21</v>
      </c>
      <c r="E5998" t="s">
        <v>22</v>
      </c>
      <c r="F5998">
        <v>26</v>
      </c>
      <c r="G5998">
        <v>88</v>
      </c>
      <c r="H5998">
        <v>0.11</v>
      </c>
      <c r="I5998" t="s">
        <v>15</v>
      </c>
      <c r="J5998">
        <v>0</v>
      </c>
      <c r="K5998">
        <v>1</v>
      </c>
      <c r="L5998">
        <v>0</v>
      </c>
      <c r="M5998">
        <f>VLOOKUP(Table1[[#This Row],[subscription_type]],Plans!$A$1:$B$5,2,FALSE)</f>
        <v>9.99</v>
      </c>
      <c r="N5998">
        <f t="shared" si="93"/>
        <v>0</v>
      </c>
    </row>
    <row r="5999" spans="1:14" x14ac:dyDescent="0.35">
      <c r="A5999">
        <v>5998</v>
      </c>
      <c r="B5999" t="s">
        <v>20</v>
      </c>
      <c r="C5999">
        <v>57</v>
      </c>
      <c r="D5999" t="s">
        <v>26</v>
      </c>
      <c r="E5999" t="s">
        <v>14</v>
      </c>
      <c r="F5999">
        <v>213</v>
      </c>
      <c r="G5999">
        <v>85</v>
      </c>
      <c r="H5999">
        <v>0.05</v>
      </c>
      <c r="I5999" t="s">
        <v>15</v>
      </c>
      <c r="J5999">
        <v>15</v>
      </c>
      <c r="K5999">
        <v>0</v>
      </c>
      <c r="L5999">
        <v>0</v>
      </c>
      <c r="M5999">
        <f>VLOOKUP(Table1[[#This Row],[subscription_type]],Plans!$A$1:$B$5,2,FALSE)</f>
        <v>0</v>
      </c>
      <c r="N5999">
        <f t="shared" si="93"/>
        <v>0</v>
      </c>
    </row>
    <row r="6000" spans="1:14" x14ac:dyDescent="0.35">
      <c r="A6000">
        <v>5999</v>
      </c>
      <c r="B6000" t="s">
        <v>16</v>
      </c>
      <c r="C6000">
        <v>28</v>
      </c>
      <c r="D6000" t="s">
        <v>25</v>
      </c>
      <c r="E6000" t="s">
        <v>14</v>
      </c>
      <c r="F6000">
        <v>45</v>
      </c>
      <c r="G6000">
        <v>62</v>
      </c>
      <c r="H6000">
        <v>0.54</v>
      </c>
      <c r="I6000" t="s">
        <v>19</v>
      </c>
      <c r="J6000">
        <v>24</v>
      </c>
      <c r="K6000">
        <v>0</v>
      </c>
      <c r="L6000">
        <v>1</v>
      </c>
      <c r="M6000">
        <f>VLOOKUP(Table1[[#This Row],[subscription_type]],Plans!$A$1:$B$5,2,FALSE)</f>
        <v>0</v>
      </c>
      <c r="N6000">
        <f t="shared" si="93"/>
        <v>0</v>
      </c>
    </row>
    <row r="6001" spans="1:14" x14ac:dyDescent="0.35">
      <c r="A6001">
        <v>6000</v>
      </c>
      <c r="B6001" t="s">
        <v>12</v>
      </c>
      <c r="C6001">
        <v>21</v>
      </c>
      <c r="D6001" t="s">
        <v>28</v>
      </c>
      <c r="E6001" t="s">
        <v>18</v>
      </c>
      <c r="F6001">
        <v>93</v>
      </c>
      <c r="G6001">
        <v>31</v>
      </c>
      <c r="H6001">
        <v>0.37</v>
      </c>
      <c r="I6001" t="s">
        <v>15</v>
      </c>
      <c r="J6001">
        <v>0</v>
      </c>
      <c r="K6001">
        <v>1</v>
      </c>
      <c r="L6001">
        <v>0</v>
      </c>
      <c r="M6001">
        <f>VLOOKUP(Table1[[#This Row],[subscription_type]],Plans!$A$1:$B$5,2,FALSE)</f>
        <v>14.99</v>
      </c>
      <c r="N6001">
        <f t="shared" si="93"/>
        <v>0</v>
      </c>
    </row>
    <row r="6002" spans="1:14" x14ac:dyDescent="0.35">
      <c r="A6002">
        <v>6001</v>
      </c>
      <c r="B6002" t="s">
        <v>12</v>
      </c>
      <c r="C6002">
        <v>53</v>
      </c>
      <c r="D6002" t="s">
        <v>21</v>
      </c>
      <c r="E6002" t="s">
        <v>14</v>
      </c>
      <c r="F6002">
        <v>96</v>
      </c>
      <c r="G6002">
        <v>10</v>
      </c>
      <c r="H6002">
        <v>0.59</v>
      </c>
      <c r="I6002" t="s">
        <v>23</v>
      </c>
      <c r="J6002">
        <v>15</v>
      </c>
      <c r="K6002">
        <v>0</v>
      </c>
      <c r="L6002">
        <v>1</v>
      </c>
      <c r="M6002">
        <f>VLOOKUP(Table1[[#This Row],[subscription_type]],Plans!$A$1:$B$5,2,FALSE)</f>
        <v>0</v>
      </c>
      <c r="N6002">
        <f t="shared" si="93"/>
        <v>0</v>
      </c>
    </row>
    <row r="6003" spans="1:14" x14ac:dyDescent="0.35">
      <c r="A6003">
        <v>6002</v>
      </c>
      <c r="B6003" t="s">
        <v>20</v>
      </c>
      <c r="C6003">
        <v>32</v>
      </c>
      <c r="D6003" t="s">
        <v>17</v>
      </c>
      <c r="E6003" t="s">
        <v>24</v>
      </c>
      <c r="F6003">
        <v>233</v>
      </c>
      <c r="G6003">
        <v>57</v>
      </c>
      <c r="H6003">
        <v>0.51</v>
      </c>
      <c r="I6003" t="s">
        <v>23</v>
      </c>
      <c r="J6003">
        <v>0</v>
      </c>
      <c r="K6003">
        <v>1</v>
      </c>
      <c r="L6003">
        <v>1</v>
      </c>
      <c r="M6003">
        <f>VLOOKUP(Table1[[#This Row],[subscription_type]],Plans!$A$1:$B$5,2,FALSE)</f>
        <v>4.99</v>
      </c>
      <c r="N6003">
        <f t="shared" si="93"/>
        <v>4.99</v>
      </c>
    </row>
    <row r="6004" spans="1:14" x14ac:dyDescent="0.35">
      <c r="A6004">
        <v>6003</v>
      </c>
      <c r="B6004" t="s">
        <v>20</v>
      </c>
      <c r="C6004">
        <v>28</v>
      </c>
      <c r="D6004" t="s">
        <v>26</v>
      </c>
      <c r="E6004" t="s">
        <v>14</v>
      </c>
      <c r="F6004">
        <v>61</v>
      </c>
      <c r="G6004">
        <v>31</v>
      </c>
      <c r="H6004">
        <v>0.56999999999999995</v>
      </c>
      <c r="I6004" t="s">
        <v>23</v>
      </c>
      <c r="J6004">
        <v>48</v>
      </c>
      <c r="K6004">
        <v>0</v>
      </c>
      <c r="L6004">
        <v>1</v>
      </c>
      <c r="M6004">
        <f>VLOOKUP(Table1[[#This Row],[subscription_type]],Plans!$A$1:$B$5,2,FALSE)</f>
        <v>0</v>
      </c>
      <c r="N6004">
        <f t="shared" si="93"/>
        <v>0</v>
      </c>
    </row>
    <row r="6005" spans="1:14" x14ac:dyDescent="0.35">
      <c r="A6005">
        <v>6004</v>
      </c>
      <c r="B6005" t="s">
        <v>20</v>
      </c>
      <c r="C6005">
        <v>16</v>
      </c>
      <c r="D6005" t="s">
        <v>13</v>
      </c>
      <c r="E6005" t="s">
        <v>24</v>
      </c>
      <c r="F6005">
        <v>206</v>
      </c>
      <c r="G6005">
        <v>58</v>
      </c>
      <c r="H6005">
        <v>0.28999999999999998</v>
      </c>
      <c r="I6005" t="s">
        <v>15</v>
      </c>
      <c r="J6005">
        <v>0</v>
      </c>
      <c r="K6005">
        <v>1</v>
      </c>
      <c r="L6005">
        <v>0</v>
      </c>
      <c r="M6005">
        <f>VLOOKUP(Table1[[#This Row],[subscription_type]],Plans!$A$1:$B$5,2,FALSE)</f>
        <v>4.99</v>
      </c>
      <c r="N6005">
        <f t="shared" si="93"/>
        <v>0</v>
      </c>
    </row>
    <row r="6006" spans="1:14" x14ac:dyDescent="0.35">
      <c r="A6006">
        <v>6005</v>
      </c>
      <c r="B6006" t="s">
        <v>12</v>
      </c>
      <c r="C6006">
        <v>41</v>
      </c>
      <c r="D6006" t="s">
        <v>13</v>
      </c>
      <c r="E6006" t="s">
        <v>14</v>
      </c>
      <c r="F6006">
        <v>151</v>
      </c>
      <c r="G6006">
        <v>3</v>
      </c>
      <c r="H6006">
        <v>0.32</v>
      </c>
      <c r="I6006" t="s">
        <v>23</v>
      </c>
      <c r="J6006">
        <v>10</v>
      </c>
      <c r="K6006">
        <v>0</v>
      </c>
      <c r="L6006">
        <v>0</v>
      </c>
      <c r="M6006">
        <f>VLOOKUP(Table1[[#This Row],[subscription_type]],Plans!$A$1:$B$5,2,FALSE)</f>
        <v>0</v>
      </c>
      <c r="N6006">
        <f t="shared" si="93"/>
        <v>0</v>
      </c>
    </row>
    <row r="6007" spans="1:14" x14ac:dyDescent="0.35">
      <c r="A6007">
        <v>6006</v>
      </c>
      <c r="B6007" t="s">
        <v>16</v>
      </c>
      <c r="C6007">
        <v>45</v>
      </c>
      <c r="D6007" t="s">
        <v>17</v>
      </c>
      <c r="E6007" t="s">
        <v>22</v>
      </c>
      <c r="F6007">
        <v>196</v>
      </c>
      <c r="G6007">
        <v>42</v>
      </c>
      <c r="H6007">
        <v>0.13</v>
      </c>
      <c r="I6007" t="s">
        <v>15</v>
      </c>
      <c r="J6007">
        <v>0</v>
      </c>
      <c r="K6007">
        <v>1</v>
      </c>
      <c r="L6007">
        <v>0</v>
      </c>
      <c r="M6007">
        <f>VLOOKUP(Table1[[#This Row],[subscription_type]],Plans!$A$1:$B$5,2,FALSE)</f>
        <v>9.99</v>
      </c>
      <c r="N6007">
        <f t="shared" si="93"/>
        <v>0</v>
      </c>
    </row>
    <row r="6008" spans="1:14" x14ac:dyDescent="0.35">
      <c r="A6008">
        <v>6007</v>
      </c>
      <c r="B6008" t="s">
        <v>16</v>
      </c>
      <c r="C6008">
        <v>54</v>
      </c>
      <c r="D6008" t="s">
        <v>29</v>
      </c>
      <c r="E6008" t="s">
        <v>18</v>
      </c>
      <c r="F6008">
        <v>242</v>
      </c>
      <c r="G6008">
        <v>1</v>
      </c>
      <c r="H6008">
        <v>0.35</v>
      </c>
      <c r="I6008" t="s">
        <v>15</v>
      </c>
      <c r="J6008">
        <v>0</v>
      </c>
      <c r="K6008">
        <v>1</v>
      </c>
      <c r="L6008">
        <v>0</v>
      </c>
      <c r="M6008">
        <f>VLOOKUP(Table1[[#This Row],[subscription_type]],Plans!$A$1:$B$5,2,FALSE)</f>
        <v>14.99</v>
      </c>
      <c r="N6008">
        <f t="shared" si="93"/>
        <v>0</v>
      </c>
    </row>
    <row r="6009" spans="1:14" x14ac:dyDescent="0.35">
      <c r="A6009">
        <v>6008</v>
      </c>
      <c r="B6009" t="s">
        <v>20</v>
      </c>
      <c r="C6009">
        <v>16</v>
      </c>
      <c r="D6009" t="s">
        <v>21</v>
      </c>
      <c r="E6009" t="s">
        <v>22</v>
      </c>
      <c r="F6009">
        <v>215</v>
      </c>
      <c r="G6009">
        <v>30</v>
      </c>
      <c r="H6009">
        <v>0.36</v>
      </c>
      <c r="I6009" t="s">
        <v>15</v>
      </c>
      <c r="J6009">
        <v>0</v>
      </c>
      <c r="K6009">
        <v>1</v>
      </c>
      <c r="L6009">
        <v>0</v>
      </c>
      <c r="M6009">
        <f>VLOOKUP(Table1[[#This Row],[subscription_type]],Plans!$A$1:$B$5,2,FALSE)</f>
        <v>9.99</v>
      </c>
      <c r="N6009">
        <f t="shared" si="93"/>
        <v>0</v>
      </c>
    </row>
    <row r="6010" spans="1:14" x14ac:dyDescent="0.35">
      <c r="A6010">
        <v>6009</v>
      </c>
      <c r="B6010" t="s">
        <v>16</v>
      </c>
      <c r="C6010">
        <v>46</v>
      </c>
      <c r="D6010" t="s">
        <v>29</v>
      </c>
      <c r="E6010" t="s">
        <v>18</v>
      </c>
      <c r="F6010">
        <v>14</v>
      </c>
      <c r="G6010">
        <v>23</v>
      </c>
      <c r="H6010">
        <v>0.19</v>
      </c>
      <c r="I6010" t="s">
        <v>15</v>
      </c>
      <c r="J6010">
        <v>0</v>
      </c>
      <c r="K6010">
        <v>1</v>
      </c>
      <c r="L6010">
        <v>0</v>
      </c>
      <c r="M6010">
        <f>VLOOKUP(Table1[[#This Row],[subscription_type]],Plans!$A$1:$B$5,2,FALSE)</f>
        <v>14.99</v>
      </c>
      <c r="N6010">
        <f t="shared" si="93"/>
        <v>0</v>
      </c>
    </row>
    <row r="6011" spans="1:14" x14ac:dyDescent="0.35">
      <c r="A6011">
        <v>6010</v>
      </c>
      <c r="B6011" t="s">
        <v>16</v>
      </c>
      <c r="C6011">
        <v>34</v>
      </c>
      <c r="D6011" t="s">
        <v>17</v>
      </c>
      <c r="E6011" t="s">
        <v>14</v>
      </c>
      <c r="F6011">
        <v>221</v>
      </c>
      <c r="G6011">
        <v>71</v>
      </c>
      <c r="H6011">
        <v>0.16</v>
      </c>
      <c r="I6011" t="s">
        <v>23</v>
      </c>
      <c r="J6011">
        <v>13</v>
      </c>
      <c r="K6011">
        <v>0</v>
      </c>
      <c r="L6011">
        <v>1</v>
      </c>
      <c r="M6011">
        <f>VLOOKUP(Table1[[#This Row],[subscription_type]],Plans!$A$1:$B$5,2,FALSE)</f>
        <v>0</v>
      </c>
      <c r="N6011">
        <f t="shared" si="93"/>
        <v>0</v>
      </c>
    </row>
    <row r="6012" spans="1:14" x14ac:dyDescent="0.35">
      <c r="A6012">
        <v>6011</v>
      </c>
      <c r="B6012" t="s">
        <v>16</v>
      </c>
      <c r="C6012">
        <v>44</v>
      </c>
      <c r="D6012" t="s">
        <v>28</v>
      </c>
      <c r="E6012" t="s">
        <v>14</v>
      </c>
      <c r="F6012">
        <v>157</v>
      </c>
      <c r="G6012">
        <v>15</v>
      </c>
      <c r="H6012">
        <v>0.01</v>
      </c>
      <c r="I6012" t="s">
        <v>19</v>
      </c>
      <c r="J6012">
        <v>18</v>
      </c>
      <c r="K6012">
        <v>0</v>
      </c>
      <c r="L6012">
        <v>0</v>
      </c>
      <c r="M6012">
        <f>VLOOKUP(Table1[[#This Row],[subscription_type]],Plans!$A$1:$B$5,2,FALSE)</f>
        <v>0</v>
      </c>
      <c r="N6012">
        <f t="shared" si="93"/>
        <v>0</v>
      </c>
    </row>
    <row r="6013" spans="1:14" x14ac:dyDescent="0.35">
      <c r="A6013">
        <v>6012</v>
      </c>
      <c r="B6013" t="s">
        <v>16</v>
      </c>
      <c r="C6013">
        <v>18</v>
      </c>
      <c r="D6013" t="s">
        <v>25</v>
      </c>
      <c r="E6013" t="s">
        <v>14</v>
      </c>
      <c r="F6013">
        <v>224</v>
      </c>
      <c r="G6013">
        <v>19</v>
      </c>
      <c r="H6013">
        <v>0.57999999999999996</v>
      </c>
      <c r="I6013" t="s">
        <v>15</v>
      </c>
      <c r="J6013">
        <v>40</v>
      </c>
      <c r="K6013">
        <v>0</v>
      </c>
      <c r="L6013">
        <v>1</v>
      </c>
      <c r="M6013">
        <f>VLOOKUP(Table1[[#This Row],[subscription_type]],Plans!$A$1:$B$5,2,FALSE)</f>
        <v>0</v>
      </c>
      <c r="N6013">
        <f t="shared" si="93"/>
        <v>0</v>
      </c>
    </row>
    <row r="6014" spans="1:14" x14ac:dyDescent="0.35">
      <c r="A6014">
        <v>6013</v>
      </c>
      <c r="B6014" t="s">
        <v>16</v>
      </c>
      <c r="C6014">
        <v>47</v>
      </c>
      <c r="D6014" t="s">
        <v>21</v>
      </c>
      <c r="E6014" t="s">
        <v>24</v>
      </c>
      <c r="F6014">
        <v>233</v>
      </c>
      <c r="G6014">
        <v>32</v>
      </c>
      <c r="H6014">
        <v>0.11</v>
      </c>
      <c r="I6014" t="s">
        <v>23</v>
      </c>
      <c r="J6014">
        <v>0</v>
      </c>
      <c r="K6014">
        <v>1</v>
      </c>
      <c r="L6014">
        <v>0</v>
      </c>
      <c r="M6014">
        <f>VLOOKUP(Table1[[#This Row],[subscription_type]],Plans!$A$1:$B$5,2,FALSE)</f>
        <v>4.99</v>
      </c>
      <c r="N6014">
        <f t="shared" si="93"/>
        <v>0</v>
      </c>
    </row>
    <row r="6015" spans="1:14" x14ac:dyDescent="0.35">
      <c r="A6015">
        <v>6014</v>
      </c>
      <c r="B6015" t="s">
        <v>16</v>
      </c>
      <c r="C6015">
        <v>48</v>
      </c>
      <c r="D6015" t="s">
        <v>13</v>
      </c>
      <c r="E6015" t="s">
        <v>18</v>
      </c>
      <c r="F6015">
        <v>19</v>
      </c>
      <c r="G6015">
        <v>47</v>
      </c>
      <c r="H6015">
        <v>0.43</v>
      </c>
      <c r="I6015" t="s">
        <v>23</v>
      </c>
      <c r="J6015">
        <v>0</v>
      </c>
      <c r="K6015">
        <v>1</v>
      </c>
      <c r="L6015">
        <v>1</v>
      </c>
      <c r="M6015">
        <f>VLOOKUP(Table1[[#This Row],[subscription_type]],Plans!$A$1:$B$5,2,FALSE)</f>
        <v>14.99</v>
      </c>
      <c r="N6015">
        <f t="shared" si="93"/>
        <v>14.99</v>
      </c>
    </row>
    <row r="6016" spans="1:14" x14ac:dyDescent="0.35">
      <c r="A6016">
        <v>6015</v>
      </c>
      <c r="B6016" t="s">
        <v>20</v>
      </c>
      <c r="C6016">
        <v>56</v>
      </c>
      <c r="D6016" t="s">
        <v>26</v>
      </c>
      <c r="E6016" t="s">
        <v>18</v>
      </c>
      <c r="F6016">
        <v>159</v>
      </c>
      <c r="G6016">
        <v>21</v>
      </c>
      <c r="H6016">
        <v>0.17</v>
      </c>
      <c r="I6016" t="s">
        <v>23</v>
      </c>
      <c r="J6016">
        <v>0</v>
      </c>
      <c r="K6016">
        <v>1</v>
      </c>
      <c r="L6016">
        <v>0</v>
      </c>
      <c r="M6016">
        <f>VLOOKUP(Table1[[#This Row],[subscription_type]],Plans!$A$1:$B$5,2,FALSE)</f>
        <v>14.99</v>
      </c>
      <c r="N6016">
        <f t="shared" si="93"/>
        <v>0</v>
      </c>
    </row>
    <row r="6017" spans="1:14" x14ac:dyDescent="0.35">
      <c r="A6017">
        <v>6016</v>
      </c>
      <c r="B6017" t="s">
        <v>12</v>
      </c>
      <c r="C6017">
        <v>40</v>
      </c>
      <c r="D6017" t="s">
        <v>25</v>
      </c>
      <c r="E6017" t="s">
        <v>18</v>
      </c>
      <c r="F6017">
        <v>167</v>
      </c>
      <c r="G6017">
        <v>60</v>
      </c>
      <c r="H6017">
        <v>0.37</v>
      </c>
      <c r="I6017" t="s">
        <v>23</v>
      </c>
      <c r="J6017">
        <v>0</v>
      </c>
      <c r="K6017">
        <v>1</v>
      </c>
      <c r="L6017">
        <v>1</v>
      </c>
      <c r="M6017">
        <f>VLOOKUP(Table1[[#This Row],[subscription_type]],Plans!$A$1:$B$5,2,FALSE)</f>
        <v>14.99</v>
      </c>
      <c r="N6017">
        <f t="shared" si="93"/>
        <v>14.99</v>
      </c>
    </row>
    <row r="6018" spans="1:14" x14ac:dyDescent="0.35">
      <c r="A6018">
        <v>6017</v>
      </c>
      <c r="B6018" t="s">
        <v>20</v>
      </c>
      <c r="C6018">
        <v>55</v>
      </c>
      <c r="D6018" t="s">
        <v>26</v>
      </c>
      <c r="E6018" t="s">
        <v>24</v>
      </c>
      <c r="F6018">
        <v>84</v>
      </c>
      <c r="G6018">
        <v>46</v>
      </c>
      <c r="H6018">
        <v>0.21</v>
      </c>
      <c r="I6018" t="s">
        <v>19</v>
      </c>
      <c r="J6018">
        <v>0</v>
      </c>
      <c r="K6018">
        <v>1</v>
      </c>
      <c r="L6018">
        <v>0</v>
      </c>
      <c r="M6018">
        <f>VLOOKUP(Table1[[#This Row],[subscription_type]],Plans!$A$1:$B$5,2,FALSE)</f>
        <v>4.99</v>
      </c>
      <c r="N6018">
        <f t="shared" ref="N6018:N6081" si="94">IF(L6018=1, M6018,0)</f>
        <v>0</v>
      </c>
    </row>
    <row r="6019" spans="1:14" x14ac:dyDescent="0.35">
      <c r="A6019">
        <v>6018</v>
      </c>
      <c r="B6019" t="s">
        <v>16</v>
      </c>
      <c r="C6019">
        <v>49</v>
      </c>
      <c r="D6019" t="s">
        <v>29</v>
      </c>
      <c r="E6019" t="s">
        <v>18</v>
      </c>
      <c r="F6019">
        <v>264</v>
      </c>
      <c r="G6019">
        <v>89</v>
      </c>
      <c r="H6019">
        <v>0.23</v>
      </c>
      <c r="I6019" t="s">
        <v>23</v>
      </c>
      <c r="J6019">
        <v>0</v>
      </c>
      <c r="K6019">
        <v>1</v>
      </c>
      <c r="L6019">
        <v>0</v>
      </c>
      <c r="M6019">
        <f>VLOOKUP(Table1[[#This Row],[subscription_type]],Plans!$A$1:$B$5,2,FALSE)</f>
        <v>14.99</v>
      </c>
      <c r="N6019">
        <f t="shared" si="94"/>
        <v>0</v>
      </c>
    </row>
    <row r="6020" spans="1:14" x14ac:dyDescent="0.35">
      <c r="A6020">
        <v>6019</v>
      </c>
      <c r="B6020" t="s">
        <v>16</v>
      </c>
      <c r="C6020">
        <v>53</v>
      </c>
      <c r="D6020" t="s">
        <v>17</v>
      </c>
      <c r="E6020" t="s">
        <v>14</v>
      </c>
      <c r="F6020">
        <v>219</v>
      </c>
      <c r="G6020">
        <v>92</v>
      </c>
      <c r="H6020">
        <v>0.13</v>
      </c>
      <c r="I6020" t="s">
        <v>19</v>
      </c>
      <c r="J6020">
        <v>6</v>
      </c>
      <c r="K6020">
        <v>0</v>
      </c>
      <c r="L6020">
        <v>0</v>
      </c>
      <c r="M6020">
        <f>VLOOKUP(Table1[[#This Row],[subscription_type]],Plans!$A$1:$B$5,2,FALSE)</f>
        <v>0</v>
      </c>
      <c r="N6020">
        <f t="shared" si="94"/>
        <v>0</v>
      </c>
    </row>
    <row r="6021" spans="1:14" x14ac:dyDescent="0.35">
      <c r="A6021">
        <v>6020</v>
      </c>
      <c r="B6021" t="s">
        <v>16</v>
      </c>
      <c r="C6021">
        <v>48</v>
      </c>
      <c r="D6021" t="s">
        <v>27</v>
      </c>
      <c r="E6021" t="s">
        <v>24</v>
      </c>
      <c r="F6021">
        <v>206</v>
      </c>
      <c r="G6021">
        <v>85</v>
      </c>
      <c r="H6021">
        <v>0.19</v>
      </c>
      <c r="I6021" t="s">
        <v>15</v>
      </c>
      <c r="J6021">
        <v>0</v>
      </c>
      <c r="K6021">
        <v>1</v>
      </c>
      <c r="L6021">
        <v>0</v>
      </c>
      <c r="M6021">
        <f>VLOOKUP(Table1[[#This Row],[subscription_type]],Plans!$A$1:$B$5,2,FALSE)</f>
        <v>4.99</v>
      </c>
      <c r="N6021">
        <f t="shared" si="94"/>
        <v>0</v>
      </c>
    </row>
    <row r="6022" spans="1:14" x14ac:dyDescent="0.35">
      <c r="A6022">
        <v>6021</v>
      </c>
      <c r="B6022" t="s">
        <v>16</v>
      </c>
      <c r="C6022">
        <v>56</v>
      </c>
      <c r="D6022" t="s">
        <v>17</v>
      </c>
      <c r="E6022" t="s">
        <v>14</v>
      </c>
      <c r="F6022">
        <v>260</v>
      </c>
      <c r="G6022">
        <v>21</v>
      </c>
      <c r="H6022">
        <v>0.06</v>
      </c>
      <c r="I6022" t="s">
        <v>15</v>
      </c>
      <c r="J6022">
        <v>45</v>
      </c>
      <c r="K6022">
        <v>0</v>
      </c>
      <c r="L6022">
        <v>1</v>
      </c>
      <c r="M6022">
        <f>VLOOKUP(Table1[[#This Row],[subscription_type]],Plans!$A$1:$B$5,2,FALSE)</f>
        <v>0</v>
      </c>
      <c r="N6022">
        <f t="shared" si="94"/>
        <v>0</v>
      </c>
    </row>
    <row r="6023" spans="1:14" x14ac:dyDescent="0.35">
      <c r="A6023">
        <v>6022</v>
      </c>
      <c r="B6023" t="s">
        <v>12</v>
      </c>
      <c r="C6023">
        <v>57</v>
      </c>
      <c r="D6023" t="s">
        <v>17</v>
      </c>
      <c r="E6023" t="s">
        <v>22</v>
      </c>
      <c r="F6023">
        <v>125</v>
      </c>
      <c r="G6023">
        <v>96</v>
      </c>
      <c r="H6023">
        <v>0.46</v>
      </c>
      <c r="I6023" t="s">
        <v>23</v>
      </c>
      <c r="J6023">
        <v>0</v>
      </c>
      <c r="K6023">
        <v>1</v>
      </c>
      <c r="L6023">
        <v>1</v>
      </c>
      <c r="M6023">
        <f>VLOOKUP(Table1[[#This Row],[subscription_type]],Plans!$A$1:$B$5,2,FALSE)</f>
        <v>9.99</v>
      </c>
      <c r="N6023">
        <f t="shared" si="94"/>
        <v>9.99</v>
      </c>
    </row>
    <row r="6024" spans="1:14" x14ac:dyDescent="0.35">
      <c r="A6024">
        <v>6023</v>
      </c>
      <c r="B6024" t="s">
        <v>20</v>
      </c>
      <c r="C6024">
        <v>58</v>
      </c>
      <c r="D6024" t="s">
        <v>13</v>
      </c>
      <c r="E6024" t="s">
        <v>14</v>
      </c>
      <c r="F6024">
        <v>83</v>
      </c>
      <c r="G6024">
        <v>80</v>
      </c>
      <c r="H6024">
        <v>0.05</v>
      </c>
      <c r="I6024" t="s">
        <v>23</v>
      </c>
      <c r="J6024">
        <v>16</v>
      </c>
      <c r="K6024">
        <v>0</v>
      </c>
      <c r="L6024">
        <v>0</v>
      </c>
      <c r="M6024">
        <f>VLOOKUP(Table1[[#This Row],[subscription_type]],Plans!$A$1:$B$5,2,FALSE)</f>
        <v>0</v>
      </c>
      <c r="N6024">
        <f t="shared" si="94"/>
        <v>0</v>
      </c>
    </row>
    <row r="6025" spans="1:14" x14ac:dyDescent="0.35">
      <c r="A6025">
        <v>6024</v>
      </c>
      <c r="B6025" t="s">
        <v>12</v>
      </c>
      <c r="C6025">
        <v>37</v>
      </c>
      <c r="D6025" t="s">
        <v>27</v>
      </c>
      <c r="E6025" t="s">
        <v>24</v>
      </c>
      <c r="F6025">
        <v>22</v>
      </c>
      <c r="G6025">
        <v>95</v>
      </c>
      <c r="H6025">
        <v>0.41</v>
      </c>
      <c r="I6025" t="s">
        <v>15</v>
      </c>
      <c r="J6025">
        <v>0</v>
      </c>
      <c r="K6025">
        <v>1</v>
      </c>
      <c r="L6025">
        <v>1</v>
      </c>
      <c r="M6025">
        <f>VLOOKUP(Table1[[#This Row],[subscription_type]],Plans!$A$1:$B$5,2,FALSE)</f>
        <v>4.99</v>
      </c>
      <c r="N6025">
        <f t="shared" si="94"/>
        <v>4.99</v>
      </c>
    </row>
    <row r="6026" spans="1:14" x14ac:dyDescent="0.35">
      <c r="A6026">
        <v>6025</v>
      </c>
      <c r="B6026" t="s">
        <v>16</v>
      </c>
      <c r="C6026">
        <v>18</v>
      </c>
      <c r="D6026" t="s">
        <v>27</v>
      </c>
      <c r="E6026" t="s">
        <v>22</v>
      </c>
      <c r="F6026">
        <v>274</v>
      </c>
      <c r="G6026">
        <v>64</v>
      </c>
      <c r="H6026">
        <v>0.51</v>
      </c>
      <c r="I6026" t="s">
        <v>19</v>
      </c>
      <c r="J6026">
        <v>0</v>
      </c>
      <c r="K6026">
        <v>1</v>
      </c>
      <c r="L6026">
        <v>0</v>
      </c>
      <c r="M6026">
        <f>VLOOKUP(Table1[[#This Row],[subscription_type]],Plans!$A$1:$B$5,2,FALSE)</f>
        <v>9.99</v>
      </c>
      <c r="N6026">
        <f t="shared" si="94"/>
        <v>0</v>
      </c>
    </row>
    <row r="6027" spans="1:14" x14ac:dyDescent="0.35">
      <c r="A6027">
        <v>6026</v>
      </c>
      <c r="B6027" t="s">
        <v>16</v>
      </c>
      <c r="C6027">
        <v>30</v>
      </c>
      <c r="D6027" t="s">
        <v>21</v>
      </c>
      <c r="E6027" t="s">
        <v>22</v>
      </c>
      <c r="F6027">
        <v>158</v>
      </c>
      <c r="G6027">
        <v>52</v>
      </c>
      <c r="H6027">
        <v>0.54</v>
      </c>
      <c r="I6027" t="s">
        <v>23</v>
      </c>
      <c r="J6027">
        <v>0</v>
      </c>
      <c r="K6027">
        <v>1</v>
      </c>
      <c r="L6027">
        <v>0</v>
      </c>
      <c r="M6027">
        <f>VLOOKUP(Table1[[#This Row],[subscription_type]],Plans!$A$1:$B$5,2,FALSE)</f>
        <v>9.99</v>
      </c>
      <c r="N6027">
        <f t="shared" si="94"/>
        <v>0</v>
      </c>
    </row>
    <row r="6028" spans="1:14" x14ac:dyDescent="0.35">
      <c r="A6028">
        <v>6027</v>
      </c>
      <c r="B6028" t="s">
        <v>20</v>
      </c>
      <c r="C6028">
        <v>38</v>
      </c>
      <c r="D6028" t="s">
        <v>25</v>
      </c>
      <c r="E6028" t="s">
        <v>24</v>
      </c>
      <c r="F6028">
        <v>28</v>
      </c>
      <c r="G6028">
        <v>51</v>
      </c>
      <c r="H6028">
        <v>0.09</v>
      </c>
      <c r="I6028" t="s">
        <v>19</v>
      </c>
      <c r="J6028">
        <v>0</v>
      </c>
      <c r="K6028">
        <v>1</v>
      </c>
      <c r="L6028">
        <v>0</v>
      </c>
      <c r="M6028">
        <f>VLOOKUP(Table1[[#This Row],[subscription_type]],Plans!$A$1:$B$5,2,FALSE)</f>
        <v>4.99</v>
      </c>
      <c r="N6028">
        <f t="shared" si="94"/>
        <v>0</v>
      </c>
    </row>
    <row r="6029" spans="1:14" x14ac:dyDescent="0.35">
      <c r="A6029">
        <v>6028</v>
      </c>
      <c r="B6029" t="s">
        <v>16</v>
      </c>
      <c r="C6029">
        <v>16</v>
      </c>
      <c r="D6029" t="s">
        <v>27</v>
      </c>
      <c r="E6029" t="s">
        <v>14</v>
      </c>
      <c r="F6029">
        <v>124</v>
      </c>
      <c r="G6029">
        <v>51</v>
      </c>
      <c r="H6029">
        <v>0.13</v>
      </c>
      <c r="I6029" t="s">
        <v>19</v>
      </c>
      <c r="J6029">
        <v>16</v>
      </c>
      <c r="K6029">
        <v>0</v>
      </c>
      <c r="L6029">
        <v>0</v>
      </c>
      <c r="M6029">
        <f>VLOOKUP(Table1[[#This Row],[subscription_type]],Plans!$A$1:$B$5,2,FALSE)</f>
        <v>0</v>
      </c>
      <c r="N6029">
        <f t="shared" si="94"/>
        <v>0</v>
      </c>
    </row>
    <row r="6030" spans="1:14" x14ac:dyDescent="0.35">
      <c r="A6030">
        <v>6029</v>
      </c>
      <c r="B6030" t="s">
        <v>16</v>
      </c>
      <c r="C6030">
        <v>49</v>
      </c>
      <c r="D6030" t="s">
        <v>27</v>
      </c>
      <c r="E6030" t="s">
        <v>24</v>
      </c>
      <c r="F6030">
        <v>166</v>
      </c>
      <c r="G6030">
        <v>69</v>
      </c>
      <c r="H6030">
        <v>0.14000000000000001</v>
      </c>
      <c r="I6030" t="s">
        <v>15</v>
      </c>
      <c r="J6030">
        <v>0</v>
      </c>
      <c r="K6030">
        <v>1</v>
      </c>
      <c r="L6030">
        <v>0</v>
      </c>
      <c r="M6030">
        <f>VLOOKUP(Table1[[#This Row],[subscription_type]],Plans!$A$1:$B$5,2,FALSE)</f>
        <v>4.99</v>
      </c>
      <c r="N6030">
        <f t="shared" si="94"/>
        <v>0</v>
      </c>
    </row>
    <row r="6031" spans="1:14" x14ac:dyDescent="0.35">
      <c r="A6031">
        <v>6030</v>
      </c>
      <c r="B6031" t="s">
        <v>12</v>
      </c>
      <c r="C6031">
        <v>32</v>
      </c>
      <c r="D6031" t="s">
        <v>29</v>
      </c>
      <c r="E6031" t="s">
        <v>24</v>
      </c>
      <c r="F6031">
        <v>154</v>
      </c>
      <c r="G6031">
        <v>70</v>
      </c>
      <c r="H6031">
        <v>0.56999999999999995</v>
      </c>
      <c r="I6031" t="s">
        <v>23</v>
      </c>
      <c r="J6031">
        <v>0</v>
      </c>
      <c r="K6031">
        <v>1</v>
      </c>
      <c r="L6031">
        <v>0</v>
      </c>
      <c r="M6031">
        <f>VLOOKUP(Table1[[#This Row],[subscription_type]],Plans!$A$1:$B$5,2,FALSE)</f>
        <v>4.99</v>
      </c>
      <c r="N6031">
        <f t="shared" si="94"/>
        <v>0</v>
      </c>
    </row>
    <row r="6032" spans="1:14" x14ac:dyDescent="0.35">
      <c r="A6032">
        <v>6031</v>
      </c>
      <c r="B6032" t="s">
        <v>16</v>
      </c>
      <c r="C6032">
        <v>27</v>
      </c>
      <c r="D6032" t="s">
        <v>26</v>
      </c>
      <c r="E6032" t="s">
        <v>22</v>
      </c>
      <c r="F6032">
        <v>23</v>
      </c>
      <c r="G6032">
        <v>42</v>
      </c>
      <c r="H6032">
        <v>0.39</v>
      </c>
      <c r="I6032" t="s">
        <v>19</v>
      </c>
      <c r="J6032">
        <v>0</v>
      </c>
      <c r="K6032">
        <v>1</v>
      </c>
      <c r="L6032">
        <v>0</v>
      </c>
      <c r="M6032">
        <f>VLOOKUP(Table1[[#This Row],[subscription_type]],Plans!$A$1:$B$5,2,FALSE)</f>
        <v>9.99</v>
      </c>
      <c r="N6032">
        <f t="shared" si="94"/>
        <v>0</v>
      </c>
    </row>
    <row r="6033" spans="1:14" x14ac:dyDescent="0.35">
      <c r="A6033">
        <v>6032</v>
      </c>
      <c r="B6033" t="s">
        <v>20</v>
      </c>
      <c r="C6033">
        <v>17</v>
      </c>
      <c r="D6033" t="s">
        <v>28</v>
      </c>
      <c r="E6033" t="s">
        <v>22</v>
      </c>
      <c r="F6033">
        <v>239</v>
      </c>
      <c r="G6033">
        <v>42</v>
      </c>
      <c r="H6033">
        <v>0.01</v>
      </c>
      <c r="I6033" t="s">
        <v>15</v>
      </c>
      <c r="J6033">
        <v>0</v>
      </c>
      <c r="K6033">
        <v>1</v>
      </c>
      <c r="L6033">
        <v>0</v>
      </c>
      <c r="M6033">
        <f>VLOOKUP(Table1[[#This Row],[subscription_type]],Plans!$A$1:$B$5,2,FALSE)</f>
        <v>9.99</v>
      </c>
      <c r="N6033">
        <f t="shared" si="94"/>
        <v>0</v>
      </c>
    </row>
    <row r="6034" spans="1:14" x14ac:dyDescent="0.35">
      <c r="A6034">
        <v>6033</v>
      </c>
      <c r="B6034" t="s">
        <v>20</v>
      </c>
      <c r="C6034">
        <v>54</v>
      </c>
      <c r="D6034" t="s">
        <v>25</v>
      </c>
      <c r="E6034" t="s">
        <v>14</v>
      </c>
      <c r="F6034">
        <v>133</v>
      </c>
      <c r="G6034">
        <v>47</v>
      </c>
      <c r="H6034">
        <v>0.08</v>
      </c>
      <c r="I6034" t="s">
        <v>15</v>
      </c>
      <c r="J6034">
        <v>41</v>
      </c>
      <c r="K6034">
        <v>0</v>
      </c>
      <c r="L6034">
        <v>0</v>
      </c>
      <c r="M6034">
        <f>VLOOKUP(Table1[[#This Row],[subscription_type]],Plans!$A$1:$B$5,2,FALSE)</f>
        <v>0</v>
      </c>
      <c r="N6034">
        <f t="shared" si="94"/>
        <v>0</v>
      </c>
    </row>
    <row r="6035" spans="1:14" x14ac:dyDescent="0.35">
      <c r="A6035">
        <v>6034</v>
      </c>
      <c r="B6035" t="s">
        <v>12</v>
      </c>
      <c r="C6035">
        <v>25</v>
      </c>
      <c r="D6035" t="s">
        <v>28</v>
      </c>
      <c r="E6035" t="s">
        <v>24</v>
      </c>
      <c r="F6035">
        <v>77</v>
      </c>
      <c r="G6035">
        <v>20</v>
      </c>
      <c r="H6035">
        <v>0.15</v>
      </c>
      <c r="I6035" t="s">
        <v>15</v>
      </c>
      <c r="J6035">
        <v>0</v>
      </c>
      <c r="K6035">
        <v>1</v>
      </c>
      <c r="L6035">
        <v>0</v>
      </c>
      <c r="M6035">
        <f>VLOOKUP(Table1[[#This Row],[subscription_type]],Plans!$A$1:$B$5,2,FALSE)</f>
        <v>4.99</v>
      </c>
      <c r="N6035">
        <f t="shared" si="94"/>
        <v>0</v>
      </c>
    </row>
    <row r="6036" spans="1:14" x14ac:dyDescent="0.35">
      <c r="A6036">
        <v>6035</v>
      </c>
      <c r="B6036" t="s">
        <v>20</v>
      </c>
      <c r="C6036">
        <v>30</v>
      </c>
      <c r="D6036" t="s">
        <v>28</v>
      </c>
      <c r="E6036" t="s">
        <v>24</v>
      </c>
      <c r="F6036">
        <v>75</v>
      </c>
      <c r="G6036">
        <v>42</v>
      </c>
      <c r="H6036">
        <v>0.28000000000000003</v>
      </c>
      <c r="I6036" t="s">
        <v>23</v>
      </c>
      <c r="J6036">
        <v>0</v>
      </c>
      <c r="K6036">
        <v>1</v>
      </c>
      <c r="L6036">
        <v>1</v>
      </c>
      <c r="M6036">
        <f>VLOOKUP(Table1[[#This Row],[subscription_type]],Plans!$A$1:$B$5,2,FALSE)</f>
        <v>4.99</v>
      </c>
      <c r="N6036">
        <f t="shared" si="94"/>
        <v>4.99</v>
      </c>
    </row>
    <row r="6037" spans="1:14" x14ac:dyDescent="0.35">
      <c r="A6037">
        <v>6036</v>
      </c>
      <c r="B6037" t="s">
        <v>16</v>
      </c>
      <c r="C6037">
        <v>53</v>
      </c>
      <c r="D6037" t="s">
        <v>25</v>
      </c>
      <c r="E6037" t="s">
        <v>24</v>
      </c>
      <c r="F6037">
        <v>113</v>
      </c>
      <c r="G6037">
        <v>59</v>
      </c>
      <c r="H6037">
        <v>0.35</v>
      </c>
      <c r="I6037" t="s">
        <v>15</v>
      </c>
      <c r="J6037">
        <v>0</v>
      </c>
      <c r="K6037">
        <v>1</v>
      </c>
      <c r="L6037">
        <v>0</v>
      </c>
      <c r="M6037">
        <f>VLOOKUP(Table1[[#This Row],[subscription_type]],Plans!$A$1:$B$5,2,FALSE)</f>
        <v>4.99</v>
      </c>
      <c r="N6037">
        <f t="shared" si="94"/>
        <v>0</v>
      </c>
    </row>
    <row r="6038" spans="1:14" x14ac:dyDescent="0.35">
      <c r="A6038">
        <v>6037</v>
      </c>
      <c r="B6038" t="s">
        <v>12</v>
      </c>
      <c r="C6038">
        <v>18</v>
      </c>
      <c r="D6038" t="s">
        <v>25</v>
      </c>
      <c r="E6038" t="s">
        <v>24</v>
      </c>
      <c r="F6038">
        <v>56</v>
      </c>
      <c r="G6038">
        <v>24</v>
      </c>
      <c r="H6038">
        <v>0.46</v>
      </c>
      <c r="I6038" t="s">
        <v>19</v>
      </c>
      <c r="J6038">
        <v>0</v>
      </c>
      <c r="K6038">
        <v>1</v>
      </c>
      <c r="L6038">
        <v>0</v>
      </c>
      <c r="M6038">
        <f>VLOOKUP(Table1[[#This Row],[subscription_type]],Plans!$A$1:$B$5,2,FALSE)</f>
        <v>4.99</v>
      </c>
      <c r="N6038">
        <f t="shared" si="94"/>
        <v>0</v>
      </c>
    </row>
    <row r="6039" spans="1:14" x14ac:dyDescent="0.35">
      <c r="A6039">
        <v>6038</v>
      </c>
      <c r="B6039" t="s">
        <v>20</v>
      </c>
      <c r="C6039">
        <v>59</v>
      </c>
      <c r="D6039" t="s">
        <v>27</v>
      </c>
      <c r="E6039" t="s">
        <v>22</v>
      </c>
      <c r="F6039">
        <v>141</v>
      </c>
      <c r="G6039">
        <v>99</v>
      </c>
      <c r="H6039">
        <v>7.0000000000000007E-2</v>
      </c>
      <c r="I6039" t="s">
        <v>23</v>
      </c>
      <c r="J6039">
        <v>0</v>
      </c>
      <c r="K6039">
        <v>1</v>
      </c>
      <c r="L6039">
        <v>0</v>
      </c>
      <c r="M6039">
        <f>VLOOKUP(Table1[[#This Row],[subscription_type]],Plans!$A$1:$B$5,2,FALSE)</f>
        <v>9.99</v>
      </c>
      <c r="N6039">
        <f t="shared" si="94"/>
        <v>0</v>
      </c>
    </row>
    <row r="6040" spans="1:14" x14ac:dyDescent="0.35">
      <c r="A6040">
        <v>6039</v>
      </c>
      <c r="B6040" t="s">
        <v>20</v>
      </c>
      <c r="C6040">
        <v>20</v>
      </c>
      <c r="D6040" t="s">
        <v>27</v>
      </c>
      <c r="E6040" t="s">
        <v>14</v>
      </c>
      <c r="F6040">
        <v>114</v>
      </c>
      <c r="G6040">
        <v>44</v>
      </c>
      <c r="H6040">
        <v>0.47</v>
      </c>
      <c r="I6040" t="s">
        <v>23</v>
      </c>
      <c r="J6040">
        <v>16</v>
      </c>
      <c r="K6040">
        <v>0</v>
      </c>
      <c r="L6040">
        <v>0</v>
      </c>
      <c r="M6040">
        <f>VLOOKUP(Table1[[#This Row],[subscription_type]],Plans!$A$1:$B$5,2,FALSE)</f>
        <v>0</v>
      </c>
      <c r="N6040">
        <f t="shared" si="94"/>
        <v>0</v>
      </c>
    </row>
    <row r="6041" spans="1:14" x14ac:dyDescent="0.35">
      <c r="A6041">
        <v>6040</v>
      </c>
      <c r="B6041" t="s">
        <v>20</v>
      </c>
      <c r="C6041">
        <v>16</v>
      </c>
      <c r="D6041" t="s">
        <v>25</v>
      </c>
      <c r="E6041" t="s">
        <v>14</v>
      </c>
      <c r="F6041">
        <v>131</v>
      </c>
      <c r="G6041">
        <v>40</v>
      </c>
      <c r="H6041">
        <v>0.34</v>
      </c>
      <c r="I6041" t="s">
        <v>19</v>
      </c>
      <c r="J6041">
        <v>47</v>
      </c>
      <c r="K6041">
        <v>0</v>
      </c>
      <c r="L6041">
        <v>0</v>
      </c>
      <c r="M6041">
        <f>VLOOKUP(Table1[[#This Row],[subscription_type]],Plans!$A$1:$B$5,2,FALSE)</f>
        <v>0</v>
      </c>
      <c r="N6041">
        <f t="shared" si="94"/>
        <v>0</v>
      </c>
    </row>
    <row r="6042" spans="1:14" x14ac:dyDescent="0.35">
      <c r="A6042">
        <v>6041</v>
      </c>
      <c r="B6042" t="s">
        <v>12</v>
      </c>
      <c r="C6042">
        <v>21</v>
      </c>
      <c r="D6042" t="s">
        <v>26</v>
      </c>
      <c r="E6042" t="s">
        <v>22</v>
      </c>
      <c r="F6042">
        <v>49</v>
      </c>
      <c r="G6042">
        <v>46</v>
      </c>
      <c r="H6042">
        <v>0.16</v>
      </c>
      <c r="I6042" t="s">
        <v>15</v>
      </c>
      <c r="J6042">
        <v>0</v>
      </c>
      <c r="K6042">
        <v>1</v>
      </c>
      <c r="L6042">
        <v>0</v>
      </c>
      <c r="M6042">
        <f>VLOOKUP(Table1[[#This Row],[subscription_type]],Plans!$A$1:$B$5,2,FALSE)</f>
        <v>9.99</v>
      </c>
      <c r="N6042">
        <f t="shared" si="94"/>
        <v>0</v>
      </c>
    </row>
    <row r="6043" spans="1:14" x14ac:dyDescent="0.35">
      <c r="A6043">
        <v>6042</v>
      </c>
      <c r="B6043" t="s">
        <v>16</v>
      </c>
      <c r="C6043">
        <v>59</v>
      </c>
      <c r="D6043" t="s">
        <v>29</v>
      </c>
      <c r="E6043" t="s">
        <v>14</v>
      </c>
      <c r="F6043">
        <v>203</v>
      </c>
      <c r="G6043">
        <v>11</v>
      </c>
      <c r="H6043">
        <v>0.21</v>
      </c>
      <c r="I6043" t="s">
        <v>23</v>
      </c>
      <c r="J6043">
        <v>45</v>
      </c>
      <c r="K6043">
        <v>0</v>
      </c>
      <c r="L6043">
        <v>1</v>
      </c>
      <c r="M6043">
        <f>VLOOKUP(Table1[[#This Row],[subscription_type]],Plans!$A$1:$B$5,2,FALSE)</f>
        <v>0</v>
      </c>
      <c r="N6043">
        <f t="shared" si="94"/>
        <v>0</v>
      </c>
    </row>
    <row r="6044" spans="1:14" x14ac:dyDescent="0.35">
      <c r="A6044">
        <v>6043</v>
      </c>
      <c r="B6044" t="s">
        <v>16</v>
      </c>
      <c r="C6044">
        <v>59</v>
      </c>
      <c r="D6044" t="s">
        <v>25</v>
      </c>
      <c r="E6044" t="s">
        <v>22</v>
      </c>
      <c r="F6044">
        <v>179</v>
      </c>
      <c r="G6044">
        <v>26</v>
      </c>
      <c r="H6044">
        <v>0.3</v>
      </c>
      <c r="I6044" t="s">
        <v>19</v>
      </c>
      <c r="J6044">
        <v>0</v>
      </c>
      <c r="K6044">
        <v>1</v>
      </c>
      <c r="L6044">
        <v>0</v>
      </c>
      <c r="M6044">
        <f>VLOOKUP(Table1[[#This Row],[subscription_type]],Plans!$A$1:$B$5,2,FALSE)</f>
        <v>9.99</v>
      </c>
      <c r="N6044">
        <f t="shared" si="94"/>
        <v>0</v>
      </c>
    </row>
    <row r="6045" spans="1:14" x14ac:dyDescent="0.35">
      <c r="A6045">
        <v>6044</v>
      </c>
      <c r="B6045" t="s">
        <v>20</v>
      </c>
      <c r="C6045">
        <v>59</v>
      </c>
      <c r="D6045" t="s">
        <v>29</v>
      </c>
      <c r="E6045" t="s">
        <v>18</v>
      </c>
      <c r="F6045">
        <v>126</v>
      </c>
      <c r="G6045">
        <v>21</v>
      </c>
      <c r="H6045">
        <v>0.05</v>
      </c>
      <c r="I6045" t="s">
        <v>19</v>
      </c>
      <c r="J6045">
        <v>0</v>
      </c>
      <c r="K6045">
        <v>1</v>
      </c>
      <c r="L6045">
        <v>1</v>
      </c>
      <c r="M6045">
        <f>VLOOKUP(Table1[[#This Row],[subscription_type]],Plans!$A$1:$B$5,2,FALSE)</f>
        <v>14.99</v>
      </c>
      <c r="N6045">
        <f t="shared" si="94"/>
        <v>14.99</v>
      </c>
    </row>
    <row r="6046" spans="1:14" x14ac:dyDescent="0.35">
      <c r="A6046">
        <v>6045</v>
      </c>
      <c r="B6046" t="s">
        <v>20</v>
      </c>
      <c r="C6046">
        <v>31</v>
      </c>
      <c r="D6046" t="s">
        <v>26</v>
      </c>
      <c r="E6046" t="s">
        <v>14</v>
      </c>
      <c r="F6046">
        <v>237</v>
      </c>
      <c r="G6046">
        <v>50</v>
      </c>
      <c r="H6046">
        <v>0.54</v>
      </c>
      <c r="I6046" t="s">
        <v>23</v>
      </c>
      <c r="J6046">
        <v>11</v>
      </c>
      <c r="K6046">
        <v>0</v>
      </c>
      <c r="L6046">
        <v>0</v>
      </c>
      <c r="M6046">
        <f>VLOOKUP(Table1[[#This Row],[subscription_type]],Plans!$A$1:$B$5,2,FALSE)</f>
        <v>0</v>
      </c>
      <c r="N6046">
        <f t="shared" si="94"/>
        <v>0</v>
      </c>
    </row>
    <row r="6047" spans="1:14" x14ac:dyDescent="0.35">
      <c r="A6047">
        <v>6046</v>
      </c>
      <c r="B6047" t="s">
        <v>12</v>
      </c>
      <c r="C6047">
        <v>23</v>
      </c>
      <c r="D6047" t="s">
        <v>29</v>
      </c>
      <c r="E6047" t="s">
        <v>22</v>
      </c>
      <c r="F6047">
        <v>99</v>
      </c>
      <c r="G6047">
        <v>74</v>
      </c>
      <c r="H6047">
        <v>0.26</v>
      </c>
      <c r="I6047" t="s">
        <v>23</v>
      </c>
      <c r="J6047">
        <v>0</v>
      </c>
      <c r="K6047">
        <v>1</v>
      </c>
      <c r="L6047">
        <v>0</v>
      </c>
      <c r="M6047">
        <f>VLOOKUP(Table1[[#This Row],[subscription_type]],Plans!$A$1:$B$5,2,FALSE)</f>
        <v>9.99</v>
      </c>
      <c r="N6047">
        <f t="shared" si="94"/>
        <v>0</v>
      </c>
    </row>
    <row r="6048" spans="1:14" x14ac:dyDescent="0.35">
      <c r="A6048">
        <v>6047</v>
      </c>
      <c r="B6048" t="s">
        <v>20</v>
      </c>
      <c r="C6048">
        <v>56</v>
      </c>
      <c r="D6048" t="s">
        <v>25</v>
      </c>
      <c r="E6048" t="s">
        <v>14</v>
      </c>
      <c r="F6048">
        <v>205</v>
      </c>
      <c r="G6048">
        <v>64</v>
      </c>
      <c r="H6048">
        <v>0.47</v>
      </c>
      <c r="I6048" t="s">
        <v>19</v>
      </c>
      <c r="J6048">
        <v>9</v>
      </c>
      <c r="K6048">
        <v>0</v>
      </c>
      <c r="L6048">
        <v>0</v>
      </c>
      <c r="M6048">
        <f>VLOOKUP(Table1[[#This Row],[subscription_type]],Plans!$A$1:$B$5,2,FALSE)</f>
        <v>0</v>
      </c>
      <c r="N6048">
        <f t="shared" si="94"/>
        <v>0</v>
      </c>
    </row>
    <row r="6049" spans="1:14" x14ac:dyDescent="0.35">
      <c r="A6049">
        <v>6048</v>
      </c>
      <c r="B6049" t="s">
        <v>12</v>
      </c>
      <c r="C6049">
        <v>52</v>
      </c>
      <c r="D6049" t="s">
        <v>29</v>
      </c>
      <c r="E6049" t="s">
        <v>24</v>
      </c>
      <c r="F6049">
        <v>297</v>
      </c>
      <c r="G6049">
        <v>63</v>
      </c>
      <c r="H6049">
        <v>0.1</v>
      </c>
      <c r="I6049" t="s">
        <v>23</v>
      </c>
      <c r="J6049">
        <v>0</v>
      </c>
      <c r="K6049">
        <v>1</v>
      </c>
      <c r="L6049">
        <v>0</v>
      </c>
      <c r="M6049">
        <f>VLOOKUP(Table1[[#This Row],[subscription_type]],Plans!$A$1:$B$5,2,FALSE)</f>
        <v>4.99</v>
      </c>
      <c r="N6049">
        <f t="shared" si="94"/>
        <v>0</v>
      </c>
    </row>
    <row r="6050" spans="1:14" x14ac:dyDescent="0.35">
      <c r="A6050">
        <v>6049</v>
      </c>
      <c r="B6050" t="s">
        <v>16</v>
      </c>
      <c r="C6050">
        <v>44</v>
      </c>
      <c r="D6050" t="s">
        <v>26</v>
      </c>
      <c r="E6050" t="s">
        <v>18</v>
      </c>
      <c r="F6050">
        <v>242</v>
      </c>
      <c r="G6050">
        <v>96</v>
      </c>
      <c r="H6050">
        <v>0.32</v>
      </c>
      <c r="I6050" t="s">
        <v>15</v>
      </c>
      <c r="J6050">
        <v>0</v>
      </c>
      <c r="K6050">
        <v>1</v>
      </c>
      <c r="L6050">
        <v>0</v>
      </c>
      <c r="M6050">
        <f>VLOOKUP(Table1[[#This Row],[subscription_type]],Plans!$A$1:$B$5,2,FALSE)</f>
        <v>14.99</v>
      </c>
      <c r="N6050">
        <f t="shared" si="94"/>
        <v>0</v>
      </c>
    </row>
    <row r="6051" spans="1:14" x14ac:dyDescent="0.35">
      <c r="A6051">
        <v>6050</v>
      </c>
      <c r="B6051" t="s">
        <v>20</v>
      </c>
      <c r="C6051">
        <v>29</v>
      </c>
      <c r="D6051" t="s">
        <v>25</v>
      </c>
      <c r="E6051" t="s">
        <v>18</v>
      </c>
      <c r="F6051">
        <v>121</v>
      </c>
      <c r="G6051">
        <v>8</v>
      </c>
      <c r="H6051">
        <v>0.12</v>
      </c>
      <c r="I6051" t="s">
        <v>15</v>
      </c>
      <c r="J6051">
        <v>0</v>
      </c>
      <c r="K6051">
        <v>1</v>
      </c>
      <c r="L6051">
        <v>0</v>
      </c>
      <c r="M6051">
        <f>VLOOKUP(Table1[[#This Row],[subscription_type]],Plans!$A$1:$B$5,2,FALSE)</f>
        <v>14.99</v>
      </c>
      <c r="N6051">
        <f t="shared" si="94"/>
        <v>0</v>
      </c>
    </row>
    <row r="6052" spans="1:14" x14ac:dyDescent="0.35">
      <c r="A6052">
        <v>6051</v>
      </c>
      <c r="B6052" t="s">
        <v>16</v>
      </c>
      <c r="C6052">
        <v>44</v>
      </c>
      <c r="D6052" t="s">
        <v>28</v>
      </c>
      <c r="E6052" t="s">
        <v>22</v>
      </c>
      <c r="F6052">
        <v>48</v>
      </c>
      <c r="G6052">
        <v>72</v>
      </c>
      <c r="H6052">
        <v>0.51</v>
      </c>
      <c r="I6052" t="s">
        <v>15</v>
      </c>
      <c r="J6052">
        <v>0</v>
      </c>
      <c r="K6052">
        <v>1</v>
      </c>
      <c r="L6052">
        <v>0</v>
      </c>
      <c r="M6052">
        <f>VLOOKUP(Table1[[#This Row],[subscription_type]],Plans!$A$1:$B$5,2,FALSE)</f>
        <v>9.99</v>
      </c>
      <c r="N6052">
        <f t="shared" si="94"/>
        <v>0</v>
      </c>
    </row>
    <row r="6053" spans="1:14" x14ac:dyDescent="0.35">
      <c r="A6053">
        <v>6052</v>
      </c>
      <c r="B6053" t="s">
        <v>12</v>
      </c>
      <c r="C6053">
        <v>21</v>
      </c>
      <c r="D6053" t="s">
        <v>27</v>
      </c>
      <c r="E6053" t="s">
        <v>22</v>
      </c>
      <c r="F6053">
        <v>136</v>
      </c>
      <c r="G6053">
        <v>20</v>
      </c>
      <c r="H6053">
        <v>0.55000000000000004</v>
      </c>
      <c r="I6053" t="s">
        <v>19</v>
      </c>
      <c r="J6053">
        <v>0</v>
      </c>
      <c r="K6053">
        <v>1</v>
      </c>
      <c r="L6053">
        <v>1</v>
      </c>
      <c r="M6053">
        <f>VLOOKUP(Table1[[#This Row],[subscription_type]],Plans!$A$1:$B$5,2,FALSE)</f>
        <v>9.99</v>
      </c>
      <c r="N6053">
        <f t="shared" si="94"/>
        <v>9.99</v>
      </c>
    </row>
    <row r="6054" spans="1:14" x14ac:dyDescent="0.35">
      <c r="A6054">
        <v>6053</v>
      </c>
      <c r="B6054" t="s">
        <v>16</v>
      </c>
      <c r="C6054">
        <v>43</v>
      </c>
      <c r="D6054" t="s">
        <v>17</v>
      </c>
      <c r="E6054" t="s">
        <v>22</v>
      </c>
      <c r="F6054">
        <v>257</v>
      </c>
      <c r="G6054">
        <v>62</v>
      </c>
      <c r="H6054">
        <v>0.51</v>
      </c>
      <c r="I6054" t="s">
        <v>19</v>
      </c>
      <c r="J6054">
        <v>0</v>
      </c>
      <c r="K6054">
        <v>1</v>
      </c>
      <c r="L6054">
        <v>0</v>
      </c>
      <c r="M6054">
        <f>VLOOKUP(Table1[[#This Row],[subscription_type]],Plans!$A$1:$B$5,2,FALSE)</f>
        <v>9.99</v>
      </c>
      <c r="N6054">
        <f t="shared" si="94"/>
        <v>0</v>
      </c>
    </row>
    <row r="6055" spans="1:14" x14ac:dyDescent="0.35">
      <c r="A6055">
        <v>6054</v>
      </c>
      <c r="B6055" t="s">
        <v>16</v>
      </c>
      <c r="C6055">
        <v>34</v>
      </c>
      <c r="D6055" t="s">
        <v>13</v>
      </c>
      <c r="E6055" t="s">
        <v>22</v>
      </c>
      <c r="F6055">
        <v>256</v>
      </c>
      <c r="G6055">
        <v>46</v>
      </c>
      <c r="H6055">
        <v>0.06</v>
      </c>
      <c r="I6055" t="s">
        <v>23</v>
      </c>
      <c r="J6055">
        <v>0</v>
      </c>
      <c r="K6055">
        <v>1</v>
      </c>
      <c r="L6055">
        <v>0</v>
      </c>
      <c r="M6055">
        <f>VLOOKUP(Table1[[#This Row],[subscription_type]],Plans!$A$1:$B$5,2,FALSE)</f>
        <v>9.99</v>
      </c>
      <c r="N6055">
        <f t="shared" si="94"/>
        <v>0</v>
      </c>
    </row>
    <row r="6056" spans="1:14" x14ac:dyDescent="0.35">
      <c r="A6056">
        <v>6055</v>
      </c>
      <c r="B6056" t="s">
        <v>16</v>
      </c>
      <c r="C6056">
        <v>18</v>
      </c>
      <c r="D6056" t="s">
        <v>27</v>
      </c>
      <c r="E6056" t="s">
        <v>22</v>
      </c>
      <c r="F6056">
        <v>132</v>
      </c>
      <c r="G6056">
        <v>38</v>
      </c>
      <c r="H6056">
        <v>0.35</v>
      </c>
      <c r="I6056" t="s">
        <v>19</v>
      </c>
      <c r="J6056">
        <v>0</v>
      </c>
      <c r="K6056">
        <v>1</v>
      </c>
      <c r="L6056">
        <v>0</v>
      </c>
      <c r="M6056">
        <f>VLOOKUP(Table1[[#This Row],[subscription_type]],Plans!$A$1:$B$5,2,FALSE)</f>
        <v>9.99</v>
      </c>
      <c r="N6056">
        <f t="shared" si="94"/>
        <v>0</v>
      </c>
    </row>
    <row r="6057" spans="1:14" x14ac:dyDescent="0.35">
      <c r="A6057">
        <v>6056</v>
      </c>
      <c r="B6057" t="s">
        <v>16</v>
      </c>
      <c r="C6057">
        <v>35</v>
      </c>
      <c r="D6057" t="s">
        <v>28</v>
      </c>
      <c r="E6057" t="s">
        <v>22</v>
      </c>
      <c r="F6057">
        <v>126</v>
      </c>
      <c r="G6057">
        <v>17</v>
      </c>
      <c r="H6057">
        <v>0.45</v>
      </c>
      <c r="I6057" t="s">
        <v>19</v>
      </c>
      <c r="J6057">
        <v>0</v>
      </c>
      <c r="K6057">
        <v>1</v>
      </c>
      <c r="L6057">
        <v>0</v>
      </c>
      <c r="M6057">
        <f>VLOOKUP(Table1[[#This Row],[subscription_type]],Plans!$A$1:$B$5,2,FALSE)</f>
        <v>9.99</v>
      </c>
      <c r="N6057">
        <f t="shared" si="94"/>
        <v>0</v>
      </c>
    </row>
    <row r="6058" spans="1:14" x14ac:dyDescent="0.35">
      <c r="A6058">
        <v>6057</v>
      </c>
      <c r="B6058" t="s">
        <v>20</v>
      </c>
      <c r="C6058">
        <v>58</v>
      </c>
      <c r="D6058" t="s">
        <v>26</v>
      </c>
      <c r="E6058" t="s">
        <v>14</v>
      </c>
      <c r="F6058">
        <v>67</v>
      </c>
      <c r="G6058">
        <v>78</v>
      </c>
      <c r="H6058">
        <v>0.15</v>
      </c>
      <c r="I6058" t="s">
        <v>23</v>
      </c>
      <c r="J6058">
        <v>44</v>
      </c>
      <c r="K6058">
        <v>0</v>
      </c>
      <c r="L6058">
        <v>0</v>
      </c>
      <c r="M6058">
        <f>VLOOKUP(Table1[[#This Row],[subscription_type]],Plans!$A$1:$B$5,2,FALSE)</f>
        <v>0</v>
      </c>
      <c r="N6058">
        <f t="shared" si="94"/>
        <v>0</v>
      </c>
    </row>
    <row r="6059" spans="1:14" x14ac:dyDescent="0.35">
      <c r="A6059">
        <v>6058</v>
      </c>
      <c r="B6059" t="s">
        <v>12</v>
      </c>
      <c r="C6059">
        <v>35</v>
      </c>
      <c r="D6059" t="s">
        <v>28</v>
      </c>
      <c r="E6059" t="s">
        <v>14</v>
      </c>
      <c r="F6059">
        <v>80</v>
      </c>
      <c r="G6059">
        <v>77</v>
      </c>
      <c r="H6059">
        <v>0.52</v>
      </c>
      <c r="I6059" t="s">
        <v>15</v>
      </c>
      <c r="J6059">
        <v>26</v>
      </c>
      <c r="K6059">
        <v>0</v>
      </c>
      <c r="L6059">
        <v>0</v>
      </c>
      <c r="M6059">
        <f>VLOOKUP(Table1[[#This Row],[subscription_type]],Plans!$A$1:$B$5,2,FALSE)</f>
        <v>0</v>
      </c>
      <c r="N6059">
        <f t="shared" si="94"/>
        <v>0</v>
      </c>
    </row>
    <row r="6060" spans="1:14" x14ac:dyDescent="0.35">
      <c r="A6060">
        <v>6059</v>
      </c>
      <c r="B6060" t="s">
        <v>16</v>
      </c>
      <c r="C6060">
        <v>47</v>
      </c>
      <c r="D6060" t="s">
        <v>17</v>
      </c>
      <c r="E6060" t="s">
        <v>14</v>
      </c>
      <c r="F6060">
        <v>26</v>
      </c>
      <c r="G6060">
        <v>42</v>
      </c>
      <c r="H6060">
        <v>0.35</v>
      </c>
      <c r="I6060" t="s">
        <v>23</v>
      </c>
      <c r="J6060">
        <v>30</v>
      </c>
      <c r="K6060">
        <v>0</v>
      </c>
      <c r="L6060">
        <v>1</v>
      </c>
      <c r="M6060">
        <f>VLOOKUP(Table1[[#This Row],[subscription_type]],Plans!$A$1:$B$5,2,FALSE)</f>
        <v>0</v>
      </c>
      <c r="N6060">
        <f t="shared" si="94"/>
        <v>0</v>
      </c>
    </row>
    <row r="6061" spans="1:14" x14ac:dyDescent="0.35">
      <c r="A6061">
        <v>6060</v>
      </c>
      <c r="B6061" t="s">
        <v>20</v>
      </c>
      <c r="C6061">
        <v>18</v>
      </c>
      <c r="D6061" t="s">
        <v>13</v>
      </c>
      <c r="E6061" t="s">
        <v>14</v>
      </c>
      <c r="F6061">
        <v>17</v>
      </c>
      <c r="G6061">
        <v>94</v>
      </c>
      <c r="H6061">
        <v>0.52</v>
      </c>
      <c r="I6061" t="s">
        <v>15</v>
      </c>
      <c r="J6061">
        <v>45</v>
      </c>
      <c r="K6061">
        <v>0</v>
      </c>
      <c r="L6061">
        <v>0</v>
      </c>
      <c r="M6061">
        <f>VLOOKUP(Table1[[#This Row],[subscription_type]],Plans!$A$1:$B$5,2,FALSE)</f>
        <v>0</v>
      </c>
      <c r="N6061">
        <f t="shared" si="94"/>
        <v>0</v>
      </c>
    </row>
    <row r="6062" spans="1:14" x14ac:dyDescent="0.35">
      <c r="A6062">
        <v>6061</v>
      </c>
      <c r="B6062" t="s">
        <v>16</v>
      </c>
      <c r="C6062">
        <v>19</v>
      </c>
      <c r="D6062" t="s">
        <v>13</v>
      </c>
      <c r="E6062" t="s">
        <v>22</v>
      </c>
      <c r="F6062">
        <v>149</v>
      </c>
      <c r="G6062">
        <v>55</v>
      </c>
      <c r="H6062">
        <v>0.43</v>
      </c>
      <c r="I6062" t="s">
        <v>23</v>
      </c>
      <c r="J6062">
        <v>0</v>
      </c>
      <c r="K6062">
        <v>1</v>
      </c>
      <c r="L6062">
        <v>0</v>
      </c>
      <c r="M6062">
        <f>VLOOKUP(Table1[[#This Row],[subscription_type]],Plans!$A$1:$B$5,2,FALSE)</f>
        <v>9.99</v>
      </c>
      <c r="N6062">
        <f t="shared" si="94"/>
        <v>0</v>
      </c>
    </row>
    <row r="6063" spans="1:14" x14ac:dyDescent="0.35">
      <c r="A6063">
        <v>6062</v>
      </c>
      <c r="B6063" t="s">
        <v>16</v>
      </c>
      <c r="C6063">
        <v>28</v>
      </c>
      <c r="D6063" t="s">
        <v>21</v>
      </c>
      <c r="E6063" t="s">
        <v>22</v>
      </c>
      <c r="F6063">
        <v>247</v>
      </c>
      <c r="G6063">
        <v>13</v>
      </c>
      <c r="H6063">
        <v>0.18</v>
      </c>
      <c r="I6063" t="s">
        <v>15</v>
      </c>
      <c r="J6063">
        <v>0</v>
      </c>
      <c r="K6063">
        <v>1</v>
      </c>
      <c r="L6063">
        <v>0</v>
      </c>
      <c r="M6063">
        <f>VLOOKUP(Table1[[#This Row],[subscription_type]],Plans!$A$1:$B$5,2,FALSE)</f>
        <v>9.99</v>
      </c>
      <c r="N6063">
        <f t="shared" si="94"/>
        <v>0</v>
      </c>
    </row>
    <row r="6064" spans="1:14" x14ac:dyDescent="0.35">
      <c r="A6064">
        <v>6063</v>
      </c>
      <c r="B6064" t="s">
        <v>12</v>
      </c>
      <c r="C6064">
        <v>25</v>
      </c>
      <c r="D6064" t="s">
        <v>26</v>
      </c>
      <c r="E6064" t="s">
        <v>22</v>
      </c>
      <c r="F6064">
        <v>12</v>
      </c>
      <c r="G6064">
        <v>40</v>
      </c>
      <c r="H6064">
        <v>0.06</v>
      </c>
      <c r="I6064" t="s">
        <v>23</v>
      </c>
      <c r="J6064">
        <v>0</v>
      </c>
      <c r="K6064">
        <v>1</v>
      </c>
      <c r="L6064">
        <v>0</v>
      </c>
      <c r="M6064">
        <f>VLOOKUP(Table1[[#This Row],[subscription_type]],Plans!$A$1:$B$5,2,FALSE)</f>
        <v>9.99</v>
      </c>
      <c r="N6064">
        <f t="shared" si="94"/>
        <v>0</v>
      </c>
    </row>
    <row r="6065" spans="1:14" x14ac:dyDescent="0.35">
      <c r="A6065">
        <v>6064</v>
      </c>
      <c r="B6065" t="s">
        <v>20</v>
      </c>
      <c r="C6065">
        <v>26</v>
      </c>
      <c r="D6065" t="s">
        <v>13</v>
      </c>
      <c r="E6065" t="s">
        <v>14</v>
      </c>
      <c r="F6065">
        <v>244</v>
      </c>
      <c r="G6065">
        <v>73</v>
      </c>
      <c r="H6065">
        <v>0.32</v>
      </c>
      <c r="I6065" t="s">
        <v>23</v>
      </c>
      <c r="J6065">
        <v>45</v>
      </c>
      <c r="K6065">
        <v>0</v>
      </c>
      <c r="L6065">
        <v>1</v>
      </c>
      <c r="M6065">
        <f>VLOOKUP(Table1[[#This Row],[subscription_type]],Plans!$A$1:$B$5,2,FALSE)</f>
        <v>0</v>
      </c>
      <c r="N6065">
        <f t="shared" si="94"/>
        <v>0</v>
      </c>
    </row>
    <row r="6066" spans="1:14" x14ac:dyDescent="0.35">
      <c r="A6066">
        <v>6065</v>
      </c>
      <c r="B6066" t="s">
        <v>16</v>
      </c>
      <c r="C6066">
        <v>39</v>
      </c>
      <c r="D6066" t="s">
        <v>25</v>
      </c>
      <c r="E6066" t="s">
        <v>24</v>
      </c>
      <c r="F6066">
        <v>41</v>
      </c>
      <c r="G6066">
        <v>92</v>
      </c>
      <c r="H6066">
        <v>0.44</v>
      </c>
      <c r="I6066" t="s">
        <v>19</v>
      </c>
      <c r="J6066">
        <v>0</v>
      </c>
      <c r="K6066">
        <v>1</v>
      </c>
      <c r="L6066">
        <v>0</v>
      </c>
      <c r="M6066">
        <f>VLOOKUP(Table1[[#This Row],[subscription_type]],Plans!$A$1:$B$5,2,FALSE)</f>
        <v>4.99</v>
      </c>
      <c r="N6066">
        <f t="shared" si="94"/>
        <v>0</v>
      </c>
    </row>
    <row r="6067" spans="1:14" x14ac:dyDescent="0.35">
      <c r="A6067">
        <v>6066</v>
      </c>
      <c r="B6067" t="s">
        <v>12</v>
      </c>
      <c r="C6067">
        <v>32</v>
      </c>
      <c r="D6067" t="s">
        <v>13</v>
      </c>
      <c r="E6067" t="s">
        <v>24</v>
      </c>
      <c r="F6067">
        <v>32</v>
      </c>
      <c r="G6067">
        <v>90</v>
      </c>
      <c r="H6067">
        <v>0.53</v>
      </c>
      <c r="I6067" t="s">
        <v>15</v>
      </c>
      <c r="J6067">
        <v>0</v>
      </c>
      <c r="K6067">
        <v>1</v>
      </c>
      <c r="L6067">
        <v>0</v>
      </c>
      <c r="M6067">
        <f>VLOOKUP(Table1[[#This Row],[subscription_type]],Plans!$A$1:$B$5,2,FALSE)</f>
        <v>4.99</v>
      </c>
      <c r="N6067">
        <f t="shared" si="94"/>
        <v>0</v>
      </c>
    </row>
    <row r="6068" spans="1:14" x14ac:dyDescent="0.35">
      <c r="A6068">
        <v>6067</v>
      </c>
      <c r="B6068" t="s">
        <v>16</v>
      </c>
      <c r="C6068">
        <v>18</v>
      </c>
      <c r="D6068" t="s">
        <v>13</v>
      </c>
      <c r="E6068" t="s">
        <v>22</v>
      </c>
      <c r="F6068">
        <v>263</v>
      </c>
      <c r="G6068">
        <v>73</v>
      </c>
      <c r="H6068">
        <v>0.45</v>
      </c>
      <c r="I6068" t="s">
        <v>15</v>
      </c>
      <c r="J6068">
        <v>0</v>
      </c>
      <c r="K6068">
        <v>1</v>
      </c>
      <c r="L6068">
        <v>0</v>
      </c>
      <c r="M6068">
        <f>VLOOKUP(Table1[[#This Row],[subscription_type]],Plans!$A$1:$B$5,2,FALSE)</f>
        <v>9.99</v>
      </c>
      <c r="N6068">
        <f t="shared" si="94"/>
        <v>0</v>
      </c>
    </row>
    <row r="6069" spans="1:14" x14ac:dyDescent="0.35">
      <c r="A6069">
        <v>6068</v>
      </c>
      <c r="B6069" t="s">
        <v>16</v>
      </c>
      <c r="C6069">
        <v>50</v>
      </c>
      <c r="D6069" t="s">
        <v>17</v>
      </c>
      <c r="E6069" t="s">
        <v>14</v>
      </c>
      <c r="F6069">
        <v>85</v>
      </c>
      <c r="G6069">
        <v>7</v>
      </c>
      <c r="H6069">
        <v>0.47</v>
      </c>
      <c r="I6069" t="s">
        <v>23</v>
      </c>
      <c r="J6069">
        <v>49</v>
      </c>
      <c r="K6069">
        <v>0</v>
      </c>
      <c r="L6069">
        <v>1</v>
      </c>
      <c r="M6069">
        <f>VLOOKUP(Table1[[#This Row],[subscription_type]],Plans!$A$1:$B$5,2,FALSE)</f>
        <v>0</v>
      </c>
      <c r="N6069">
        <f t="shared" si="94"/>
        <v>0</v>
      </c>
    </row>
    <row r="6070" spans="1:14" x14ac:dyDescent="0.35">
      <c r="A6070">
        <v>6069</v>
      </c>
      <c r="B6070" t="s">
        <v>16</v>
      </c>
      <c r="C6070">
        <v>29</v>
      </c>
      <c r="D6070" t="s">
        <v>21</v>
      </c>
      <c r="E6070" t="s">
        <v>22</v>
      </c>
      <c r="F6070">
        <v>88</v>
      </c>
      <c r="G6070">
        <v>6</v>
      </c>
      <c r="H6070">
        <v>0.3</v>
      </c>
      <c r="I6070" t="s">
        <v>15</v>
      </c>
      <c r="J6070">
        <v>0</v>
      </c>
      <c r="K6070">
        <v>1</v>
      </c>
      <c r="L6070">
        <v>1</v>
      </c>
      <c r="M6070">
        <f>VLOOKUP(Table1[[#This Row],[subscription_type]],Plans!$A$1:$B$5,2,FALSE)</f>
        <v>9.99</v>
      </c>
      <c r="N6070">
        <f t="shared" si="94"/>
        <v>9.99</v>
      </c>
    </row>
    <row r="6071" spans="1:14" x14ac:dyDescent="0.35">
      <c r="A6071">
        <v>6070</v>
      </c>
      <c r="B6071" t="s">
        <v>12</v>
      </c>
      <c r="C6071">
        <v>54</v>
      </c>
      <c r="D6071" t="s">
        <v>17</v>
      </c>
      <c r="E6071" t="s">
        <v>18</v>
      </c>
      <c r="F6071">
        <v>264</v>
      </c>
      <c r="G6071">
        <v>67</v>
      </c>
      <c r="H6071">
        <v>0.27</v>
      </c>
      <c r="I6071" t="s">
        <v>23</v>
      </c>
      <c r="J6071">
        <v>0</v>
      </c>
      <c r="K6071">
        <v>1</v>
      </c>
      <c r="L6071">
        <v>0</v>
      </c>
      <c r="M6071">
        <f>VLOOKUP(Table1[[#This Row],[subscription_type]],Plans!$A$1:$B$5,2,FALSE)</f>
        <v>14.99</v>
      </c>
      <c r="N6071">
        <f t="shared" si="94"/>
        <v>0</v>
      </c>
    </row>
    <row r="6072" spans="1:14" x14ac:dyDescent="0.35">
      <c r="A6072">
        <v>6071</v>
      </c>
      <c r="B6072" t="s">
        <v>16</v>
      </c>
      <c r="C6072">
        <v>51</v>
      </c>
      <c r="D6072" t="s">
        <v>29</v>
      </c>
      <c r="E6072" t="s">
        <v>22</v>
      </c>
      <c r="F6072">
        <v>151</v>
      </c>
      <c r="G6072">
        <v>86</v>
      </c>
      <c r="H6072">
        <v>0.34</v>
      </c>
      <c r="I6072" t="s">
        <v>15</v>
      </c>
      <c r="J6072">
        <v>0</v>
      </c>
      <c r="K6072">
        <v>1</v>
      </c>
      <c r="L6072">
        <v>1</v>
      </c>
      <c r="M6072">
        <f>VLOOKUP(Table1[[#This Row],[subscription_type]],Plans!$A$1:$B$5,2,FALSE)</f>
        <v>9.99</v>
      </c>
      <c r="N6072">
        <f t="shared" si="94"/>
        <v>9.99</v>
      </c>
    </row>
    <row r="6073" spans="1:14" x14ac:dyDescent="0.35">
      <c r="A6073">
        <v>6072</v>
      </c>
      <c r="B6073" t="s">
        <v>16</v>
      </c>
      <c r="C6073">
        <v>40</v>
      </c>
      <c r="D6073" t="s">
        <v>26</v>
      </c>
      <c r="E6073" t="s">
        <v>14</v>
      </c>
      <c r="F6073">
        <v>58</v>
      </c>
      <c r="G6073">
        <v>78</v>
      </c>
      <c r="H6073">
        <v>0.21</v>
      </c>
      <c r="I6073" t="s">
        <v>15</v>
      </c>
      <c r="J6073">
        <v>42</v>
      </c>
      <c r="K6073">
        <v>0</v>
      </c>
      <c r="L6073">
        <v>0</v>
      </c>
      <c r="M6073">
        <f>VLOOKUP(Table1[[#This Row],[subscription_type]],Plans!$A$1:$B$5,2,FALSE)</f>
        <v>0</v>
      </c>
      <c r="N6073">
        <f t="shared" si="94"/>
        <v>0</v>
      </c>
    </row>
    <row r="6074" spans="1:14" x14ac:dyDescent="0.35">
      <c r="A6074">
        <v>6073</v>
      </c>
      <c r="B6074" t="s">
        <v>20</v>
      </c>
      <c r="C6074">
        <v>48</v>
      </c>
      <c r="D6074" t="s">
        <v>28</v>
      </c>
      <c r="E6074" t="s">
        <v>14</v>
      </c>
      <c r="F6074">
        <v>128</v>
      </c>
      <c r="G6074">
        <v>5</v>
      </c>
      <c r="H6074">
        <v>0.28999999999999998</v>
      </c>
      <c r="I6074" t="s">
        <v>23</v>
      </c>
      <c r="J6074">
        <v>47</v>
      </c>
      <c r="K6074">
        <v>0</v>
      </c>
      <c r="L6074">
        <v>1</v>
      </c>
      <c r="M6074">
        <f>VLOOKUP(Table1[[#This Row],[subscription_type]],Plans!$A$1:$B$5,2,FALSE)</f>
        <v>0</v>
      </c>
      <c r="N6074">
        <f t="shared" si="94"/>
        <v>0</v>
      </c>
    </row>
    <row r="6075" spans="1:14" x14ac:dyDescent="0.35">
      <c r="A6075">
        <v>6074</v>
      </c>
      <c r="B6075" t="s">
        <v>16</v>
      </c>
      <c r="C6075">
        <v>37</v>
      </c>
      <c r="D6075" t="s">
        <v>21</v>
      </c>
      <c r="E6075" t="s">
        <v>14</v>
      </c>
      <c r="F6075">
        <v>75</v>
      </c>
      <c r="G6075">
        <v>13</v>
      </c>
      <c r="H6075">
        <v>0.18</v>
      </c>
      <c r="I6075" t="s">
        <v>15</v>
      </c>
      <c r="J6075">
        <v>36</v>
      </c>
      <c r="K6075">
        <v>0</v>
      </c>
      <c r="L6075">
        <v>0</v>
      </c>
      <c r="M6075">
        <f>VLOOKUP(Table1[[#This Row],[subscription_type]],Plans!$A$1:$B$5,2,FALSE)</f>
        <v>0</v>
      </c>
      <c r="N6075">
        <f t="shared" si="94"/>
        <v>0</v>
      </c>
    </row>
    <row r="6076" spans="1:14" x14ac:dyDescent="0.35">
      <c r="A6076">
        <v>6075</v>
      </c>
      <c r="B6076" t="s">
        <v>16</v>
      </c>
      <c r="C6076">
        <v>40</v>
      </c>
      <c r="D6076" t="s">
        <v>13</v>
      </c>
      <c r="E6076" t="s">
        <v>18</v>
      </c>
      <c r="F6076">
        <v>80</v>
      </c>
      <c r="G6076">
        <v>46</v>
      </c>
      <c r="H6076">
        <v>0.39</v>
      </c>
      <c r="I6076" t="s">
        <v>15</v>
      </c>
      <c r="J6076">
        <v>0</v>
      </c>
      <c r="K6076">
        <v>1</v>
      </c>
      <c r="L6076">
        <v>0</v>
      </c>
      <c r="M6076">
        <f>VLOOKUP(Table1[[#This Row],[subscription_type]],Plans!$A$1:$B$5,2,FALSE)</f>
        <v>14.99</v>
      </c>
      <c r="N6076">
        <f t="shared" si="94"/>
        <v>0</v>
      </c>
    </row>
    <row r="6077" spans="1:14" x14ac:dyDescent="0.35">
      <c r="A6077">
        <v>6076</v>
      </c>
      <c r="B6077" t="s">
        <v>20</v>
      </c>
      <c r="C6077">
        <v>23</v>
      </c>
      <c r="D6077" t="s">
        <v>13</v>
      </c>
      <c r="E6077" t="s">
        <v>22</v>
      </c>
      <c r="F6077">
        <v>298</v>
      </c>
      <c r="G6077">
        <v>23</v>
      </c>
      <c r="H6077">
        <v>0.28999999999999998</v>
      </c>
      <c r="I6077" t="s">
        <v>15</v>
      </c>
      <c r="J6077">
        <v>0</v>
      </c>
      <c r="K6077">
        <v>1</v>
      </c>
      <c r="L6077">
        <v>0</v>
      </c>
      <c r="M6077">
        <f>VLOOKUP(Table1[[#This Row],[subscription_type]],Plans!$A$1:$B$5,2,FALSE)</f>
        <v>9.99</v>
      </c>
      <c r="N6077">
        <f t="shared" si="94"/>
        <v>0</v>
      </c>
    </row>
    <row r="6078" spans="1:14" x14ac:dyDescent="0.35">
      <c r="A6078">
        <v>6077</v>
      </c>
      <c r="B6078" t="s">
        <v>16</v>
      </c>
      <c r="C6078">
        <v>37</v>
      </c>
      <c r="D6078" t="s">
        <v>27</v>
      </c>
      <c r="E6078" t="s">
        <v>22</v>
      </c>
      <c r="F6078">
        <v>101</v>
      </c>
      <c r="G6078">
        <v>26</v>
      </c>
      <c r="H6078">
        <v>0.25</v>
      </c>
      <c r="I6078" t="s">
        <v>19</v>
      </c>
      <c r="J6078">
        <v>0</v>
      </c>
      <c r="K6078">
        <v>1</v>
      </c>
      <c r="L6078">
        <v>0</v>
      </c>
      <c r="M6078">
        <f>VLOOKUP(Table1[[#This Row],[subscription_type]],Plans!$A$1:$B$5,2,FALSE)</f>
        <v>9.99</v>
      </c>
      <c r="N6078">
        <f t="shared" si="94"/>
        <v>0</v>
      </c>
    </row>
    <row r="6079" spans="1:14" x14ac:dyDescent="0.35">
      <c r="A6079">
        <v>6078</v>
      </c>
      <c r="B6079" t="s">
        <v>16</v>
      </c>
      <c r="C6079">
        <v>20</v>
      </c>
      <c r="D6079" t="s">
        <v>26</v>
      </c>
      <c r="E6079" t="s">
        <v>18</v>
      </c>
      <c r="F6079">
        <v>281</v>
      </c>
      <c r="G6079">
        <v>37</v>
      </c>
      <c r="H6079">
        <v>0.41</v>
      </c>
      <c r="I6079" t="s">
        <v>23</v>
      </c>
      <c r="J6079">
        <v>0</v>
      </c>
      <c r="K6079">
        <v>1</v>
      </c>
      <c r="L6079">
        <v>0</v>
      </c>
      <c r="M6079">
        <f>VLOOKUP(Table1[[#This Row],[subscription_type]],Plans!$A$1:$B$5,2,FALSE)</f>
        <v>14.99</v>
      </c>
      <c r="N6079">
        <f t="shared" si="94"/>
        <v>0</v>
      </c>
    </row>
    <row r="6080" spans="1:14" x14ac:dyDescent="0.35">
      <c r="A6080">
        <v>6079</v>
      </c>
      <c r="B6080" t="s">
        <v>16</v>
      </c>
      <c r="C6080">
        <v>43</v>
      </c>
      <c r="D6080" t="s">
        <v>26</v>
      </c>
      <c r="E6080" t="s">
        <v>22</v>
      </c>
      <c r="F6080">
        <v>292</v>
      </c>
      <c r="G6080">
        <v>19</v>
      </c>
      <c r="H6080">
        <v>0.32</v>
      </c>
      <c r="I6080" t="s">
        <v>23</v>
      </c>
      <c r="J6080">
        <v>0</v>
      </c>
      <c r="K6080">
        <v>1</v>
      </c>
      <c r="L6080">
        <v>1</v>
      </c>
      <c r="M6080">
        <f>VLOOKUP(Table1[[#This Row],[subscription_type]],Plans!$A$1:$B$5,2,FALSE)</f>
        <v>9.99</v>
      </c>
      <c r="N6080">
        <f t="shared" si="94"/>
        <v>9.99</v>
      </c>
    </row>
    <row r="6081" spans="1:14" x14ac:dyDescent="0.35">
      <c r="A6081">
        <v>6080</v>
      </c>
      <c r="B6081" t="s">
        <v>16</v>
      </c>
      <c r="C6081">
        <v>27</v>
      </c>
      <c r="D6081" t="s">
        <v>25</v>
      </c>
      <c r="E6081" t="s">
        <v>24</v>
      </c>
      <c r="F6081">
        <v>50</v>
      </c>
      <c r="G6081">
        <v>89</v>
      </c>
      <c r="H6081">
        <v>0.02</v>
      </c>
      <c r="I6081" t="s">
        <v>19</v>
      </c>
      <c r="J6081">
        <v>0</v>
      </c>
      <c r="K6081">
        <v>1</v>
      </c>
      <c r="L6081">
        <v>0</v>
      </c>
      <c r="M6081">
        <f>VLOOKUP(Table1[[#This Row],[subscription_type]],Plans!$A$1:$B$5,2,FALSE)</f>
        <v>4.99</v>
      </c>
      <c r="N6081">
        <f t="shared" si="94"/>
        <v>0</v>
      </c>
    </row>
    <row r="6082" spans="1:14" x14ac:dyDescent="0.35">
      <c r="A6082">
        <v>6081</v>
      </c>
      <c r="B6082" t="s">
        <v>16</v>
      </c>
      <c r="C6082">
        <v>24</v>
      </c>
      <c r="D6082" t="s">
        <v>21</v>
      </c>
      <c r="E6082" t="s">
        <v>22</v>
      </c>
      <c r="F6082">
        <v>287</v>
      </c>
      <c r="G6082">
        <v>70</v>
      </c>
      <c r="H6082">
        <v>0.37</v>
      </c>
      <c r="I6082" t="s">
        <v>23</v>
      </c>
      <c r="J6082">
        <v>0</v>
      </c>
      <c r="K6082">
        <v>1</v>
      </c>
      <c r="L6082">
        <v>0</v>
      </c>
      <c r="M6082">
        <f>VLOOKUP(Table1[[#This Row],[subscription_type]],Plans!$A$1:$B$5,2,FALSE)</f>
        <v>9.99</v>
      </c>
      <c r="N6082">
        <f t="shared" ref="N6082:N6145" si="95">IF(L6082=1, M6082,0)</f>
        <v>0</v>
      </c>
    </row>
    <row r="6083" spans="1:14" x14ac:dyDescent="0.35">
      <c r="A6083">
        <v>6082</v>
      </c>
      <c r="B6083" t="s">
        <v>16</v>
      </c>
      <c r="C6083">
        <v>36</v>
      </c>
      <c r="D6083" t="s">
        <v>25</v>
      </c>
      <c r="E6083" t="s">
        <v>18</v>
      </c>
      <c r="F6083">
        <v>248</v>
      </c>
      <c r="G6083">
        <v>92</v>
      </c>
      <c r="H6083">
        <v>0.39</v>
      </c>
      <c r="I6083" t="s">
        <v>15</v>
      </c>
      <c r="J6083">
        <v>0</v>
      </c>
      <c r="K6083">
        <v>1</v>
      </c>
      <c r="L6083">
        <v>0</v>
      </c>
      <c r="M6083">
        <f>VLOOKUP(Table1[[#This Row],[subscription_type]],Plans!$A$1:$B$5,2,FALSE)</f>
        <v>14.99</v>
      </c>
      <c r="N6083">
        <f t="shared" si="95"/>
        <v>0</v>
      </c>
    </row>
    <row r="6084" spans="1:14" x14ac:dyDescent="0.35">
      <c r="A6084">
        <v>6083</v>
      </c>
      <c r="B6084" t="s">
        <v>16</v>
      </c>
      <c r="C6084">
        <v>23</v>
      </c>
      <c r="D6084" t="s">
        <v>28</v>
      </c>
      <c r="E6084" t="s">
        <v>18</v>
      </c>
      <c r="F6084">
        <v>273</v>
      </c>
      <c r="G6084">
        <v>37</v>
      </c>
      <c r="H6084">
        <v>0.32</v>
      </c>
      <c r="I6084" t="s">
        <v>23</v>
      </c>
      <c r="J6084">
        <v>0</v>
      </c>
      <c r="K6084">
        <v>1</v>
      </c>
      <c r="L6084">
        <v>1</v>
      </c>
      <c r="M6084">
        <f>VLOOKUP(Table1[[#This Row],[subscription_type]],Plans!$A$1:$B$5,2,FALSE)</f>
        <v>14.99</v>
      </c>
      <c r="N6084">
        <f t="shared" si="95"/>
        <v>14.99</v>
      </c>
    </row>
    <row r="6085" spans="1:14" x14ac:dyDescent="0.35">
      <c r="A6085">
        <v>6084</v>
      </c>
      <c r="B6085" t="s">
        <v>12</v>
      </c>
      <c r="C6085">
        <v>31</v>
      </c>
      <c r="D6085" t="s">
        <v>27</v>
      </c>
      <c r="E6085" t="s">
        <v>14</v>
      </c>
      <c r="F6085">
        <v>88</v>
      </c>
      <c r="G6085">
        <v>91</v>
      </c>
      <c r="H6085">
        <v>0.48</v>
      </c>
      <c r="I6085" t="s">
        <v>19</v>
      </c>
      <c r="J6085">
        <v>9</v>
      </c>
      <c r="K6085">
        <v>0</v>
      </c>
      <c r="L6085">
        <v>0</v>
      </c>
      <c r="M6085">
        <f>VLOOKUP(Table1[[#This Row],[subscription_type]],Plans!$A$1:$B$5,2,FALSE)</f>
        <v>0</v>
      </c>
      <c r="N6085">
        <f t="shared" si="95"/>
        <v>0</v>
      </c>
    </row>
    <row r="6086" spans="1:14" x14ac:dyDescent="0.35">
      <c r="A6086">
        <v>6085</v>
      </c>
      <c r="B6086" t="s">
        <v>16</v>
      </c>
      <c r="C6086">
        <v>46</v>
      </c>
      <c r="D6086" t="s">
        <v>28</v>
      </c>
      <c r="E6086" t="s">
        <v>24</v>
      </c>
      <c r="F6086">
        <v>70</v>
      </c>
      <c r="G6086">
        <v>98</v>
      </c>
      <c r="H6086">
        <v>0.21</v>
      </c>
      <c r="I6086" t="s">
        <v>19</v>
      </c>
      <c r="J6086">
        <v>0</v>
      </c>
      <c r="K6086">
        <v>1</v>
      </c>
      <c r="L6086">
        <v>1</v>
      </c>
      <c r="M6086">
        <f>VLOOKUP(Table1[[#This Row],[subscription_type]],Plans!$A$1:$B$5,2,FALSE)</f>
        <v>4.99</v>
      </c>
      <c r="N6086">
        <f t="shared" si="95"/>
        <v>4.99</v>
      </c>
    </row>
    <row r="6087" spans="1:14" x14ac:dyDescent="0.35">
      <c r="A6087">
        <v>6086</v>
      </c>
      <c r="B6087" t="s">
        <v>12</v>
      </c>
      <c r="C6087">
        <v>40</v>
      </c>
      <c r="D6087" t="s">
        <v>27</v>
      </c>
      <c r="E6087" t="s">
        <v>24</v>
      </c>
      <c r="F6087">
        <v>265</v>
      </c>
      <c r="G6087">
        <v>31</v>
      </c>
      <c r="H6087">
        <v>0.54</v>
      </c>
      <c r="I6087" t="s">
        <v>19</v>
      </c>
      <c r="J6087">
        <v>0</v>
      </c>
      <c r="K6087">
        <v>1</v>
      </c>
      <c r="L6087">
        <v>0</v>
      </c>
      <c r="M6087">
        <f>VLOOKUP(Table1[[#This Row],[subscription_type]],Plans!$A$1:$B$5,2,FALSE)</f>
        <v>4.99</v>
      </c>
      <c r="N6087">
        <f t="shared" si="95"/>
        <v>0</v>
      </c>
    </row>
    <row r="6088" spans="1:14" x14ac:dyDescent="0.35">
      <c r="A6088">
        <v>6087</v>
      </c>
      <c r="B6088" t="s">
        <v>20</v>
      </c>
      <c r="C6088">
        <v>57</v>
      </c>
      <c r="D6088" t="s">
        <v>25</v>
      </c>
      <c r="E6088" t="s">
        <v>24</v>
      </c>
      <c r="F6088">
        <v>188</v>
      </c>
      <c r="G6088">
        <v>92</v>
      </c>
      <c r="H6088">
        <v>0.1</v>
      </c>
      <c r="I6088" t="s">
        <v>23</v>
      </c>
      <c r="J6088">
        <v>0</v>
      </c>
      <c r="K6088">
        <v>1</v>
      </c>
      <c r="L6088">
        <v>0</v>
      </c>
      <c r="M6088">
        <f>VLOOKUP(Table1[[#This Row],[subscription_type]],Plans!$A$1:$B$5,2,FALSE)</f>
        <v>4.99</v>
      </c>
      <c r="N6088">
        <f t="shared" si="95"/>
        <v>0</v>
      </c>
    </row>
    <row r="6089" spans="1:14" x14ac:dyDescent="0.35">
      <c r="A6089">
        <v>6088</v>
      </c>
      <c r="B6089" t="s">
        <v>16</v>
      </c>
      <c r="C6089">
        <v>59</v>
      </c>
      <c r="D6089" t="s">
        <v>25</v>
      </c>
      <c r="E6089" t="s">
        <v>14</v>
      </c>
      <c r="F6089">
        <v>15</v>
      </c>
      <c r="G6089">
        <v>42</v>
      </c>
      <c r="H6089">
        <v>0.49</v>
      </c>
      <c r="I6089" t="s">
        <v>15</v>
      </c>
      <c r="J6089">
        <v>6</v>
      </c>
      <c r="K6089">
        <v>0</v>
      </c>
      <c r="L6089">
        <v>1</v>
      </c>
      <c r="M6089">
        <f>VLOOKUP(Table1[[#This Row],[subscription_type]],Plans!$A$1:$B$5,2,FALSE)</f>
        <v>0</v>
      </c>
      <c r="N6089">
        <f t="shared" si="95"/>
        <v>0</v>
      </c>
    </row>
    <row r="6090" spans="1:14" x14ac:dyDescent="0.35">
      <c r="A6090">
        <v>6089</v>
      </c>
      <c r="B6090" t="s">
        <v>20</v>
      </c>
      <c r="C6090">
        <v>42</v>
      </c>
      <c r="D6090" t="s">
        <v>25</v>
      </c>
      <c r="E6090" t="s">
        <v>14</v>
      </c>
      <c r="F6090">
        <v>199</v>
      </c>
      <c r="G6090">
        <v>44</v>
      </c>
      <c r="H6090">
        <v>0.19</v>
      </c>
      <c r="I6090" t="s">
        <v>23</v>
      </c>
      <c r="J6090">
        <v>44</v>
      </c>
      <c r="K6090">
        <v>0</v>
      </c>
      <c r="L6090">
        <v>0</v>
      </c>
      <c r="M6090">
        <f>VLOOKUP(Table1[[#This Row],[subscription_type]],Plans!$A$1:$B$5,2,FALSE)</f>
        <v>0</v>
      </c>
      <c r="N6090">
        <f t="shared" si="95"/>
        <v>0</v>
      </c>
    </row>
    <row r="6091" spans="1:14" x14ac:dyDescent="0.35">
      <c r="A6091">
        <v>6090</v>
      </c>
      <c r="B6091" t="s">
        <v>12</v>
      </c>
      <c r="C6091">
        <v>56</v>
      </c>
      <c r="D6091" t="s">
        <v>21</v>
      </c>
      <c r="E6091" t="s">
        <v>18</v>
      </c>
      <c r="F6091">
        <v>80</v>
      </c>
      <c r="G6091">
        <v>56</v>
      </c>
      <c r="H6091">
        <v>0.4</v>
      </c>
      <c r="I6091" t="s">
        <v>19</v>
      </c>
      <c r="J6091">
        <v>0</v>
      </c>
      <c r="K6091">
        <v>1</v>
      </c>
      <c r="L6091">
        <v>1</v>
      </c>
      <c r="M6091">
        <f>VLOOKUP(Table1[[#This Row],[subscription_type]],Plans!$A$1:$B$5,2,FALSE)</f>
        <v>14.99</v>
      </c>
      <c r="N6091">
        <f t="shared" si="95"/>
        <v>14.99</v>
      </c>
    </row>
    <row r="6092" spans="1:14" x14ac:dyDescent="0.35">
      <c r="A6092">
        <v>6091</v>
      </c>
      <c r="B6092" t="s">
        <v>20</v>
      </c>
      <c r="C6092">
        <v>53</v>
      </c>
      <c r="D6092" t="s">
        <v>28</v>
      </c>
      <c r="E6092" t="s">
        <v>22</v>
      </c>
      <c r="F6092">
        <v>266</v>
      </c>
      <c r="G6092">
        <v>4</v>
      </c>
      <c r="H6092">
        <v>0.17</v>
      </c>
      <c r="I6092" t="s">
        <v>15</v>
      </c>
      <c r="J6092">
        <v>0</v>
      </c>
      <c r="K6092">
        <v>1</v>
      </c>
      <c r="L6092">
        <v>0</v>
      </c>
      <c r="M6092">
        <f>VLOOKUP(Table1[[#This Row],[subscription_type]],Plans!$A$1:$B$5,2,FALSE)</f>
        <v>9.99</v>
      </c>
      <c r="N6092">
        <f t="shared" si="95"/>
        <v>0</v>
      </c>
    </row>
    <row r="6093" spans="1:14" x14ac:dyDescent="0.35">
      <c r="A6093">
        <v>6092</v>
      </c>
      <c r="B6093" t="s">
        <v>20</v>
      </c>
      <c r="C6093">
        <v>59</v>
      </c>
      <c r="D6093" t="s">
        <v>27</v>
      </c>
      <c r="E6093" t="s">
        <v>22</v>
      </c>
      <c r="F6093">
        <v>37</v>
      </c>
      <c r="G6093">
        <v>39</v>
      </c>
      <c r="H6093">
        <v>0.15</v>
      </c>
      <c r="I6093" t="s">
        <v>19</v>
      </c>
      <c r="J6093">
        <v>0</v>
      </c>
      <c r="K6093">
        <v>1</v>
      </c>
      <c r="L6093">
        <v>0</v>
      </c>
      <c r="M6093">
        <f>VLOOKUP(Table1[[#This Row],[subscription_type]],Plans!$A$1:$B$5,2,FALSE)</f>
        <v>9.99</v>
      </c>
      <c r="N6093">
        <f t="shared" si="95"/>
        <v>0</v>
      </c>
    </row>
    <row r="6094" spans="1:14" x14ac:dyDescent="0.35">
      <c r="A6094">
        <v>6093</v>
      </c>
      <c r="B6094" t="s">
        <v>16</v>
      </c>
      <c r="C6094">
        <v>41</v>
      </c>
      <c r="D6094" t="s">
        <v>21</v>
      </c>
      <c r="E6094" t="s">
        <v>24</v>
      </c>
      <c r="F6094">
        <v>69</v>
      </c>
      <c r="G6094">
        <v>77</v>
      </c>
      <c r="H6094">
        <v>0.1</v>
      </c>
      <c r="I6094" t="s">
        <v>15</v>
      </c>
      <c r="J6094">
        <v>0</v>
      </c>
      <c r="K6094">
        <v>1</v>
      </c>
      <c r="L6094">
        <v>1</v>
      </c>
      <c r="M6094">
        <f>VLOOKUP(Table1[[#This Row],[subscription_type]],Plans!$A$1:$B$5,2,FALSE)</f>
        <v>4.99</v>
      </c>
      <c r="N6094">
        <f t="shared" si="95"/>
        <v>4.99</v>
      </c>
    </row>
    <row r="6095" spans="1:14" x14ac:dyDescent="0.35">
      <c r="A6095">
        <v>6094</v>
      </c>
      <c r="B6095" t="s">
        <v>16</v>
      </c>
      <c r="C6095">
        <v>31</v>
      </c>
      <c r="D6095" t="s">
        <v>28</v>
      </c>
      <c r="E6095" t="s">
        <v>14</v>
      </c>
      <c r="F6095">
        <v>290</v>
      </c>
      <c r="G6095">
        <v>51</v>
      </c>
      <c r="H6095">
        <v>0.38</v>
      </c>
      <c r="I6095" t="s">
        <v>23</v>
      </c>
      <c r="J6095">
        <v>33</v>
      </c>
      <c r="K6095">
        <v>0</v>
      </c>
      <c r="L6095">
        <v>1</v>
      </c>
      <c r="M6095">
        <f>VLOOKUP(Table1[[#This Row],[subscription_type]],Plans!$A$1:$B$5,2,FALSE)</f>
        <v>0</v>
      </c>
      <c r="N6095">
        <f t="shared" si="95"/>
        <v>0</v>
      </c>
    </row>
    <row r="6096" spans="1:14" x14ac:dyDescent="0.35">
      <c r="A6096">
        <v>6095</v>
      </c>
      <c r="B6096" t="s">
        <v>20</v>
      </c>
      <c r="C6096">
        <v>41</v>
      </c>
      <c r="D6096" t="s">
        <v>21</v>
      </c>
      <c r="E6096" t="s">
        <v>24</v>
      </c>
      <c r="F6096">
        <v>25</v>
      </c>
      <c r="G6096">
        <v>52</v>
      </c>
      <c r="H6096">
        <v>0.33</v>
      </c>
      <c r="I6096" t="s">
        <v>23</v>
      </c>
      <c r="J6096">
        <v>0</v>
      </c>
      <c r="K6096">
        <v>1</v>
      </c>
      <c r="L6096">
        <v>0</v>
      </c>
      <c r="M6096">
        <f>VLOOKUP(Table1[[#This Row],[subscription_type]],Plans!$A$1:$B$5,2,FALSE)</f>
        <v>4.99</v>
      </c>
      <c r="N6096">
        <f t="shared" si="95"/>
        <v>0</v>
      </c>
    </row>
    <row r="6097" spans="1:14" x14ac:dyDescent="0.35">
      <c r="A6097">
        <v>6096</v>
      </c>
      <c r="B6097" t="s">
        <v>20</v>
      </c>
      <c r="C6097">
        <v>23</v>
      </c>
      <c r="D6097" t="s">
        <v>29</v>
      </c>
      <c r="E6097" t="s">
        <v>24</v>
      </c>
      <c r="F6097">
        <v>37</v>
      </c>
      <c r="G6097">
        <v>59</v>
      </c>
      <c r="H6097">
        <v>0.28000000000000003</v>
      </c>
      <c r="I6097" t="s">
        <v>15</v>
      </c>
      <c r="J6097">
        <v>0</v>
      </c>
      <c r="K6097">
        <v>1</v>
      </c>
      <c r="L6097">
        <v>1</v>
      </c>
      <c r="M6097">
        <f>VLOOKUP(Table1[[#This Row],[subscription_type]],Plans!$A$1:$B$5,2,FALSE)</f>
        <v>4.99</v>
      </c>
      <c r="N6097">
        <f t="shared" si="95"/>
        <v>4.99</v>
      </c>
    </row>
    <row r="6098" spans="1:14" x14ac:dyDescent="0.35">
      <c r="A6098">
        <v>6097</v>
      </c>
      <c r="B6098" t="s">
        <v>12</v>
      </c>
      <c r="C6098">
        <v>54</v>
      </c>
      <c r="D6098" t="s">
        <v>13</v>
      </c>
      <c r="E6098" t="s">
        <v>18</v>
      </c>
      <c r="F6098">
        <v>180</v>
      </c>
      <c r="G6098">
        <v>74</v>
      </c>
      <c r="H6098">
        <v>0.2</v>
      </c>
      <c r="I6098" t="s">
        <v>19</v>
      </c>
      <c r="J6098">
        <v>0</v>
      </c>
      <c r="K6098">
        <v>1</v>
      </c>
      <c r="L6098">
        <v>0</v>
      </c>
      <c r="M6098">
        <f>VLOOKUP(Table1[[#This Row],[subscription_type]],Plans!$A$1:$B$5,2,FALSE)</f>
        <v>14.99</v>
      </c>
      <c r="N6098">
        <f t="shared" si="95"/>
        <v>0</v>
      </c>
    </row>
    <row r="6099" spans="1:14" x14ac:dyDescent="0.35">
      <c r="A6099">
        <v>6098</v>
      </c>
      <c r="B6099" t="s">
        <v>20</v>
      </c>
      <c r="C6099">
        <v>26</v>
      </c>
      <c r="D6099" t="s">
        <v>13</v>
      </c>
      <c r="E6099" t="s">
        <v>18</v>
      </c>
      <c r="F6099">
        <v>53</v>
      </c>
      <c r="G6099">
        <v>61</v>
      </c>
      <c r="H6099">
        <v>0.14000000000000001</v>
      </c>
      <c r="I6099" t="s">
        <v>23</v>
      </c>
      <c r="J6099">
        <v>0</v>
      </c>
      <c r="K6099">
        <v>1</v>
      </c>
      <c r="L6099">
        <v>1</v>
      </c>
      <c r="M6099">
        <f>VLOOKUP(Table1[[#This Row],[subscription_type]],Plans!$A$1:$B$5,2,FALSE)</f>
        <v>14.99</v>
      </c>
      <c r="N6099">
        <f t="shared" si="95"/>
        <v>14.99</v>
      </c>
    </row>
    <row r="6100" spans="1:14" x14ac:dyDescent="0.35">
      <c r="A6100">
        <v>6099</v>
      </c>
      <c r="B6100" t="s">
        <v>16</v>
      </c>
      <c r="C6100">
        <v>48</v>
      </c>
      <c r="D6100" t="s">
        <v>21</v>
      </c>
      <c r="E6100" t="s">
        <v>18</v>
      </c>
      <c r="F6100">
        <v>91</v>
      </c>
      <c r="G6100">
        <v>85</v>
      </c>
      <c r="H6100">
        <v>0.02</v>
      </c>
      <c r="I6100" t="s">
        <v>19</v>
      </c>
      <c r="J6100">
        <v>0</v>
      </c>
      <c r="K6100">
        <v>1</v>
      </c>
      <c r="L6100">
        <v>1</v>
      </c>
      <c r="M6100">
        <f>VLOOKUP(Table1[[#This Row],[subscription_type]],Plans!$A$1:$B$5,2,FALSE)</f>
        <v>14.99</v>
      </c>
      <c r="N6100">
        <f t="shared" si="95"/>
        <v>14.99</v>
      </c>
    </row>
    <row r="6101" spans="1:14" x14ac:dyDescent="0.35">
      <c r="A6101">
        <v>6100</v>
      </c>
      <c r="B6101" t="s">
        <v>20</v>
      </c>
      <c r="C6101">
        <v>49</v>
      </c>
      <c r="D6101" t="s">
        <v>25</v>
      </c>
      <c r="E6101" t="s">
        <v>14</v>
      </c>
      <c r="F6101">
        <v>211</v>
      </c>
      <c r="G6101">
        <v>56</v>
      </c>
      <c r="H6101">
        <v>0.03</v>
      </c>
      <c r="I6101" t="s">
        <v>19</v>
      </c>
      <c r="J6101">
        <v>34</v>
      </c>
      <c r="K6101">
        <v>0</v>
      </c>
      <c r="L6101">
        <v>1</v>
      </c>
      <c r="M6101">
        <f>VLOOKUP(Table1[[#This Row],[subscription_type]],Plans!$A$1:$B$5,2,FALSE)</f>
        <v>0</v>
      </c>
      <c r="N6101">
        <f t="shared" si="95"/>
        <v>0</v>
      </c>
    </row>
    <row r="6102" spans="1:14" x14ac:dyDescent="0.35">
      <c r="A6102">
        <v>6101</v>
      </c>
      <c r="B6102" t="s">
        <v>16</v>
      </c>
      <c r="C6102">
        <v>22</v>
      </c>
      <c r="D6102" t="s">
        <v>21</v>
      </c>
      <c r="E6102" t="s">
        <v>14</v>
      </c>
      <c r="F6102">
        <v>139</v>
      </c>
      <c r="G6102">
        <v>65</v>
      </c>
      <c r="H6102">
        <v>0.56999999999999995</v>
      </c>
      <c r="I6102" t="s">
        <v>15</v>
      </c>
      <c r="J6102">
        <v>11</v>
      </c>
      <c r="K6102">
        <v>0</v>
      </c>
      <c r="L6102">
        <v>1</v>
      </c>
      <c r="M6102">
        <f>VLOOKUP(Table1[[#This Row],[subscription_type]],Plans!$A$1:$B$5,2,FALSE)</f>
        <v>0</v>
      </c>
      <c r="N6102">
        <f t="shared" si="95"/>
        <v>0</v>
      </c>
    </row>
    <row r="6103" spans="1:14" x14ac:dyDescent="0.35">
      <c r="A6103">
        <v>6102</v>
      </c>
      <c r="B6103" t="s">
        <v>16</v>
      </c>
      <c r="C6103">
        <v>33</v>
      </c>
      <c r="D6103" t="s">
        <v>17</v>
      </c>
      <c r="E6103" t="s">
        <v>14</v>
      </c>
      <c r="F6103">
        <v>42</v>
      </c>
      <c r="G6103">
        <v>63</v>
      </c>
      <c r="H6103">
        <v>0.53</v>
      </c>
      <c r="I6103" t="s">
        <v>23</v>
      </c>
      <c r="J6103">
        <v>48</v>
      </c>
      <c r="K6103">
        <v>0</v>
      </c>
      <c r="L6103">
        <v>0</v>
      </c>
      <c r="M6103">
        <f>VLOOKUP(Table1[[#This Row],[subscription_type]],Plans!$A$1:$B$5,2,FALSE)</f>
        <v>0</v>
      </c>
      <c r="N6103">
        <f t="shared" si="95"/>
        <v>0</v>
      </c>
    </row>
    <row r="6104" spans="1:14" x14ac:dyDescent="0.35">
      <c r="A6104">
        <v>6103</v>
      </c>
      <c r="B6104" t="s">
        <v>12</v>
      </c>
      <c r="C6104">
        <v>18</v>
      </c>
      <c r="D6104" t="s">
        <v>21</v>
      </c>
      <c r="E6104" t="s">
        <v>24</v>
      </c>
      <c r="F6104">
        <v>200</v>
      </c>
      <c r="G6104">
        <v>31</v>
      </c>
      <c r="H6104">
        <v>0.49</v>
      </c>
      <c r="I6104" t="s">
        <v>15</v>
      </c>
      <c r="J6104">
        <v>0</v>
      </c>
      <c r="K6104">
        <v>1</v>
      </c>
      <c r="L6104">
        <v>0</v>
      </c>
      <c r="M6104">
        <f>VLOOKUP(Table1[[#This Row],[subscription_type]],Plans!$A$1:$B$5,2,FALSE)</f>
        <v>4.99</v>
      </c>
      <c r="N6104">
        <f t="shared" si="95"/>
        <v>0</v>
      </c>
    </row>
    <row r="6105" spans="1:14" x14ac:dyDescent="0.35">
      <c r="A6105">
        <v>6104</v>
      </c>
      <c r="B6105" t="s">
        <v>12</v>
      </c>
      <c r="C6105">
        <v>57</v>
      </c>
      <c r="D6105" t="s">
        <v>29</v>
      </c>
      <c r="E6105" t="s">
        <v>22</v>
      </c>
      <c r="F6105">
        <v>261</v>
      </c>
      <c r="G6105">
        <v>5</v>
      </c>
      <c r="H6105">
        <v>0.52</v>
      </c>
      <c r="I6105" t="s">
        <v>15</v>
      </c>
      <c r="J6105">
        <v>0</v>
      </c>
      <c r="K6105">
        <v>1</v>
      </c>
      <c r="L6105">
        <v>0</v>
      </c>
      <c r="M6105">
        <f>VLOOKUP(Table1[[#This Row],[subscription_type]],Plans!$A$1:$B$5,2,FALSE)</f>
        <v>9.99</v>
      </c>
      <c r="N6105">
        <f t="shared" si="95"/>
        <v>0</v>
      </c>
    </row>
    <row r="6106" spans="1:14" x14ac:dyDescent="0.35">
      <c r="A6106">
        <v>6105</v>
      </c>
      <c r="B6106" t="s">
        <v>16</v>
      </c>
      <c r="C6106">
        <v>46</v>
      </c>
      <c r="D6106" t="s">
        <v>26</v>
      </c>
      <c r="E6106" t="s">
        <v>24</v>
      </c>
      <c r="F6106">
        <v>65</v>
      </c>
      <c r="G6106">
        <v>88</v>
      </c>
      <c r="H6106">
        <v>0.43</v>
      </c>
      <c r="I6106" t="s">
        <v>23</v>
      </c>
      <c r="J6106">
        <v>0</v>
      </c>
      <c r="K6106">
        <v>1</v>
      </c>
      <c r="L6106">
        <v>0</v>
      </c>
      <c r="M6106">
        <f>VLOOKUP(Table1[[#This Row],[subscription_type]],Plans!$A$1:$B$5,2,FALSE)</f>
        <v>4.99</v>
      </c>
      <c r="N6106">
        <f t="shared" si="95"/>
        <v>0</v>
      </c>
    </row>
    <row r="6107" spans="1:14" x14ac:dyDescent="0.35">
      <c r="A6107">
        <v>6106</v>
      </c>
      <c r="B6107" t="s">
        <v>12</v>
      </c>
      <c r="C6107">
        <v>34</v>
      </c>
      <c r="D6107" t="s">
        <v>17</v>
      </c>
      <c r="E6107" t="s">
        <v>24</v>
      </c>
      <c r="F6107">
        <v>103</v>
      </c>
      <c r="G6107">
        <v>15</v>
      </c>
      <c r="H6107">
        <v>0.39</v>
      </c>
      <c r="I6107" t="s">
        <v>15</v>
      </c>
      <c r="J6107">
        <v>0</v>
      </c>
      <c r="K6107">
        <v>1</v>
      </c>
      <c r="L6107">
        <v>1</v>
      </c>
      <c r="M6107">
        <f>VLOOKUP(Table1[[#This Row],[subscription_type]],Plans!$A$1:$B$5,2,FALSE)</f>
        <v>4.99</v>
      </c>
      <c r="N6107">
        <f t="shared" si="95"/>
        <v>4.99</v>
      </c>
    </row>
    <row r="6108" spans="1:14" x14ac:dyDescent="0.35">
      <c r="A6108">
        <v>6107</v>
      </c>
      <c r="B6108" t="s">
        <v>12</v>
      </c>
      <c r="C6108">
        <v>38</v>
      </c>
      <c r="D6108" t="s">
        <v>13</v>
      </c>
      <c r="E6108" t="s">
        <v>14</v>
      </c>
      <c r="F6108">
        <v>105</v>
      </c>
      <c r="G6108">
        <v>28</v>
      </c>
      <c r="H6108">
        <v>0.45</v>
      </c>
      <c r="I6108" t="s">
        <v>15</v>
      </c>
      <c r="J6108">
        <v>40</v>
      </c>
      <c r="K6108">
        <v>0</v>
      </c>
      <c r="L6108">
        <v>0</v>
      </c>
      <c r="M6108">
        <f>VLOOKUP(Table1[[#This Row],[subscription_type]],Plans!$A$1:$B$5,2,FALSE)</f>
        <v>0</v>
      </c>
      <c r="N6108">
        <f t="shared" si="95"/>
        <v>0</v>
      </c>
    </row>
    <row r="6109" spans="1:14" x14ac:dyDescent="0.35">
      <c r="A6109">
        <v>6108</v>
      </c>
      <c r="B6109" t="s">
        <v>16</v>
      </c>
      <c r="C6109">
        <v>50</v>
      </c>
      <c r="D6109" t="s">
        <v>29</v>
      </c>
      <c r="E6109" t="s">
        <v>22</v>
      </c>
      <c r="F6109">
        <v>253</v>
      </c>
      <c r="G6109">
        <v>92</v>
      </c>
      <c r="H6109">
        <v>0.23</v>
      </c>
      <c r="I6109" t="s">
        <v>19</v>
      </c>
      <c r="J6109">
        <v>0</v>
      </c>
      <c r="K6109">
        <v>1</v>
      </c>
      <c r="L6109">
        <v>0</v>
      </c>
      <c r="M6109">
        <f>VLOOKUP(Table1[[#This Row],[subscription_type]],Plans!$A$1:$B$5,2,FALSE)</f>
        <v>9.99</v>
      </c>
      <c r="N6109">
        <f t="shared" si="95"/>
        <v>0</v>
      </c>
    </row>
    <row r="6110" spans="1:14" x14ac:dyDescent="0.35">
      <c r="A6110">
        <v>6109</v>
      </c>
      <c r="B6110" t="s">
        <v>20</v>
      </c>
      <c r="C6110">
        <v>21</v>
      </c>
      <c r="D6110" t="s">
        <v>21</v>
      </c>
      <c r="E6110" t="s">
        <v>22</v>
      </c>
      <c r="F6110">
        <v>33</v>
      </c>
      <c r="G6110">
        <v>30</v>
      </c>
      <c r="H6110">
        <v>0.57999999999999996</v>
      </c>
      <c r="I6110" t="s">
        <v>23</v>
      </c>
      <c r="J6110">
        <v>0</v>
      </c>
      <c r="K6110">
        <v>1</v>
      </c>
      <c r="L6110">
        <v>0</v>
      </c>
      <c r="M6110">
        <f>VLOOKUP(Table1[[#This Row],[subscription_type]],Plans!$A$1:$B$5,2,FALSE)</f>
        <v>9.99</v>
      </c>
      <c r="N6110">
        <f t="shared" si="95"/>
        <v>0</v>
      </c>
    </row>
    <row r="6111" spans="1:14" x14ac:dyDescent="0.35">
      <c r="A6111">
        <v>6110</v>
      </c>
      <c r="B6111" t="s">
        <v>16</v>
      </c>
      <c r="C6111">
        <v>16</v>
      </c>
      <c r="D6111" t="s">
        <v>25</v>
      </c>
      <c r="E6111" t="s">
        <v>14</v>
      </c>
      <c r="F6111">
        <v>239</v>
      </c>
      <c r="G6111">
        <v>36</v>
      </c>
      <c r="H6111">
        <v>0.17</v>
      </c>
      <c r="I6111" t="s">
        <v>19</v>
      </c>
      <c r="J6111">
        <v>13</v>
      </c>
      <c r="K6111">
        <v>0</v>
      </c>
      <c r="L6111">
        <v>0</v>
      </c>
      <c r="M6111">
        <f>VLOOKUP(Table1[[#This Row],[subscription_type]],Plans!$A$1:$B$5,2,FALSE)</f>
        <v>0</v>
      </c>
      <c r="N6111">
        <f t="shared" si="95"/>
        <v>0</v>
      </c>
    </row>
    <row r="6112" spans="1:14" x14ac:dyDescent="0.35">
      <c r="A6112">
        <v>6111</v>
      </c>
      <c r="B6112" t="s">
        <v>20</v>
      </c>
      <c r="C6112">
        <v>54</v>
      </c>
      <c r="D6112" t="s">
        <v>17</v>
      </c>
      <c r="E6112" t="s">
        <v>22</v>
      </c>
      <c r="F6112">
        <v>179</v>
      </c>
      <c r="G6112">
        <v>85</v>
      </c>
      <c r="H6112">
        <v>0.13</v>
      </c>
      <c r="I6112" t="s">
        <v>19</v>
      </c>
      <c r="J6112">
        <v>0</v>
      </c>
      <c r="K6112">
        <v>1</v>
      </c>
      <c r="L6112">
        <v>1</v>
      </c>
      <c r="M6112">
        <f>VLOOKUP(Table1[[#This Row],[subscription_type]],Plans!$A$1:$B$5,2,FALSE)</f>
        <v>9.99</v>
      </c>
      <c r="N6112">
        <f t="shared" si="95"/>
        <v>9.99</v>
      </c>
    </row>
    <row r="6113" spans="1:14" x14ac:dyDescent="0.35">
      <c r="A6113">
        <v>6112</v>
      </c>
      <c r="B6113" t="s">
        <v>16</v>
      </c>
      <c r="C6113">
        <v>28</v>
      </c>
      <c r="D6113" t="s">
        <v>13</v>
      </c>
      <c r="E6113" t="s">
        <v>14</v>
      </c>
      <c r="F6113">
        <v>123</v>
      </c>
      <c r="G6113">
        <v>71</v>
      </c>
      <c r="H6113">
        <v>0.43</v>
      </c>
      <c r="I6113" t="s">
        <v>19</v>
      </c>
      <c r="J6113">
        <v>31</v>
      </c>
      <c r="K6113">
        <v>0</v>
      </c>
      <c r="L6113">
        <v>0</v>
      </c>
      <c r="M6113">
        <f>VLOOKUP(Table1[[#This Row],[subscription_type]],Plans!$A$1:$B$5,2,FALSE)</f>
        <v>0</v>
      </c>
      <c r="N6113">
        <f t="shared" si="95"/>
        <v>0</v>
      </c>
    </row>
    <row r="6114" spans="1:14" x14ac:dyDescent="0.35">
      <c r="A6114">
        <v>6113</v>
      </c>
      <c r="B6114" t="s">
        <v>20</v>
      </c>
      <c r="C6114">
        <v>30</v>
      </c>
      <c r="D6114" t="s">
        <v>29</v>
      </c>
      <c r="E6114" t="s">
        <v>14</v>
      </c>
      <c r="F6114">
        <v>287</v>
      </c>
      <c r="G6114">
        <v>60</v>
      </c>
      <c r="H6114">
        <v>0.15</v>
      </c>
      <c r="I6114" t="s">
        <v>19</v>
      </c>
      <c r="J6114">
        <v>36</v>
      </c>
      <c r="K6114">
        <v>0</v>
      </c>
      <c r="L6114">
        <v>1</v>
      </c>
      <c r="M6114">
        <f>VLOOKUP(Table1[[#This Row],[subscription_type]],Plans!$A$1:$B$5,2,FALSE)</f>
        <v>0</v>
      </c>
      <c r="N6114">
        <f t="shared" si="95"/>
        <v>0</v>
      </c>
    </row>
    <row r="6115" spans="1:14" x14ac:dyDescent="0.35">
      <c r="A6115">
        <v>6114</v>
      </c>
      <c r="B6115" t="s">
        <v>16</v>
      </c>
      <c r="C6115">
        <v>16</v>
      </c>
      <c r="D6115" t="s">
        <v>27</v>
      </c>
      <c r="E6115" t="s">
        <v>24</v>
      </c>
      <c r="F6115">
        <v>255</v>
      </c>
      <c r="G6115">
        <v>63</v>
      </c>
      <c r="H6115">
        <v>7.0000000000000007E-2</v>
      </c>
      <c r="I6115" t="s">
        <v>19</v>
      </c>
      <c r="J6115">
        <v>0</v>
      </c>
      <c r="K6115">
        <v>1</v>
      </c>
      <c r="L6115">
        <v>0</v>
      </c>
      <c r="M6115">
        <f>VLOOKUP(Table1[[#This Row],[subscription_type]],Plans!$A$1:$B$5,2,FALSE)</f>
        <v>4.99</v>
      </c>
      <c r="N6115">
        <f t="shared" si="95"/>
        <v>0</v>
      </c>
    </row>
    <row r="6116" spans="1:14" x14ac:dyDescent="0.35">
      <c r="A6116">
        <v>6115</v>
      </c>
      <c r="B6116" t="s">
        <v>12</v>
      </c>
      <c r="C6116">
        <v>23</v>
      </c>
      <c r="D6116" t="s">
        <v>21</v>
      </c>
      <c r="E6116" t="s">
        <v>24</v>
      </c>
      <c r="F6116">
        <v>230</v>
      </c>
      <c r="G6116">
        <v>3</v>
      </c>
      <c r="H6116">
        <v>0.41</v>
      </c>
      <c r="I6116" t="s">
        <v>23</v>
      </c>
      <c r="J6116">
        <v>0</v>
      </c>
      <c r="K6116">
        <v>1</v>
      </c>
      <c r="L6116">
        <v>1</v>
      </c>
      <c r="M6116">
        <f>VLOOKUP(Table1[[#This Row],[subscription_type]],Plans!$A$1:$B$5,2,FALSE)</f>
        <v>4.99</v>
      </c>
      <c r="N6116">
        <f t="shared" si="95"/>
        <v>4.99</v>
      </c>
    </row>
    <row r="6117" spans="1:14" x14ac:dyDescent="0.35">
      <c r="A6117">
        <v>6116</v>
      </c>
      <c r="B6117" t="s">
        <v>16</v>
      </c>
      <c r="C6117">
        <v>56</v>
      </c>
      <c r="D6117" t="s">
        <v>17</v>
      </c>
      <c r="E6117" t="s">
        <v>14</v>
      </c>
      <c r="F6117">
        <v>40</v>
      </c>
      <c r="G6117">
        <v>29</v>
      </c>
      <c r="H6117">
        <v>0.37</v>
      </c>
      <c r="I6117" t="s">
        <v>15</v>
      </c>
      <c r="J6117">
        <v>44</v>
      </c>
      <c r="K6117">
        <v>0</v>
      </c>
      <c r="L6117">
        <v>1</v>
      </c>
      <c r="M6117">
        <f>VLOOKUP(Table1[[#This Row],[subscription_type]],Plans!$A$1:$B$5,2,FALSE)</f>
        <v>0</v>
      </c>
      <c r="N6117">
        <f t="shared" si="95"/>
        <v>0</v>
      </c>
    </row>
    <row r="6118" spans="1:14" x14ac:dyDescent="0.35">
      <c r="A6118">
        <v>6117</v>
      </c>
      <c r="B6118" t="s">
        <v>20</v>
      </c>
      <c r="C6118">
        <v>55</v>
      </c>
      <c r="D6118" t="s">
        <v>13</v>
      </c>
      <c r="E6118" t="s">
        <v>18</v>
      </c>
      <c r="F6118">
        <v>130</v>
      </c>
      <c r="G6118">
        <v>81</v>
      </c>
      <c r="H6118">
        <v>0.31</v>
      </c>
      <c r="I6118" t="s">
        <v>19</v>
      </c>
      <c r="J6118">
        <v>0</v>
      </c>
      <c r="K6118">
        <v>1</v>
      </c>
      <c r="L6118">
        <v>0</v>
      </c>
      <c r="M6118">
        <f>VLOOKUP(Table1[[#This Row],[subscription_type]],Plans!$A$1:$B$5,2,FALSE)</f>
        <v>14.99</v>
      </c>
      <c r="N6118">
        <f t="shared" si="95"/>
        <v>0</v>
      </c>
    </row>
    <row r="6119" spans="1:14" x14ac:dyDescent="0.35">
      <c r="A6119">
        <v>6118</v>
      </c>
      <c r="B6119" t="s">
        <v>12</v>
      </c>
      <c r="C6119">
        <v>23</v>
      </c>
      <c r="D6119" t="s">
        <v>28</v>
      </c>
      <c r="E6119" t="s">
        <v>24</v>
      </c>
      <c r="F6119">
        <v>175</v>
      </c>
      <c r="G6119">
        <v>87</v>
      </c>
      <c r="H6119">
        <v>0.02</v>
      </c>
      <c r="I6119" t="s">
        <v>15</v>
      </c>
      <c r="J6119">
        <v>0</v>
      </c>
      <c r="K6119">
        <v>1</v>
      </c>
      <c r="L6119">
        <v>0</v>
      </c>
      <c r="M6119">
        <f>VLOOKUP(Table1[[#This Row],[subscription_type]],Plans!$A$1:$B$5,2,FALSE)</f>
        <v>4.99</v>
      </c>
      <c r="N6119">
        <f t="shared" si="95"/>
        <v>0</v>
      </c>
    </row>
    <row r="6120" spans="1:14" x14ac:dyDescent="0.35">
      <c r="A6120">
        <v>6119</v>
      </c>
      <c r="B6120" t="s">
        <v>20</v>
      </c>
      <c r="C6120">
        <v>38</v>
      </c>
      <c r="D6120" t="s">
        <v>28</v>
      </c>
      <c r="E6120" t="s">
        <v>24</v>
      </c>
      <c r="F6120">
        <v>10</v>
      </c>
      <c r="G6120">
        <v>23</v>
      </c>
      <c r="H6120">
        <v>0.56999999999999995</v>
      </c>
      <c r="I6120" t="s">
        <v>15</v>
      </c>
      <c r="J6120">
        <v>0</v>
      </c>
      <c r="K6120">
        <v>1</v>
      </c>
      <c r="L6120">
        <v>0</v>
      </c>
      <c r="M6120">
        <f>VLOOKUP(Table1[[#This Row],[subscription_type]],Plans!$A$1:$B$5,2,FALSE)</f>
        <v>4.99</v>
      </c>
      <c r="N6120">
        <f t="shared" si="95"/>
        <v>0</v>
      </c>
    </row>
    <row r="6121" spans="1:14" x14ac:dyDescent="0.35">
      <c r="A6121">
        <v>6120</v>
      </c>
      <c r="B6121" t="s">
        <v>20</v>
      </c>
      <c r="C6121">
        <v>17</v>
      </c>
      <c r="D6121" t="s">
        <v>27</v>
      </c>
      <c r="E6121" t="s">
        <v>24</v>
      </c>
      <c r="F6121">
        <v>294</v>
      </c>
      <c r="G6121">
        <v>97</v>
      </c>
      <c r="H6121">
        <v>0.18</v>
      </c>
      <c r="I6121" t="s">
        <v>19</v>
      </c>
      <c r="J6121">
        <v>0</v>
      </c>
      <c r="K6121">
        <v>1</v>
      </c>
      <c r="L6121">
        <v>0</v>
      </c>
      <c r="M6121">
        <f>VLOOKUP(Table1[[#This Row],[subscription_type]],Plans!$A$1:$B$5,2,FALSE)</f>
        <v>4.99</v>
      </c>
      <c r="N6121">
        <f t="shared" si="95"/>
        <v>0</v>
      </c>
    </row>
    <row r="6122" spans="1:14" x14ac:dyDescent="0.35">
      <c r="A6122">
        <v>6121</v>
      </c>
      <c r="B6122" t="s">
        <v>20</v>
      </c>
      <c r="C6122">
        <v>42</v>
      </c>
      <c r="D6122" t="s">
        <v>13</v>
      </c>
      <c r="E6122" t="s">
        <v>18</v>
      </c>
      <c r="F6122">
        <v>132</v>
      </c>
      <c r="G6122">
        <v>62</v>
      </c>
      <c r="H6122">
        <v>0.44</v>
      </c>
      <c r="I6122" t="s">
        <v>23</v>
      </c>
      <c r="J6122">
        <v>0</v>
      </c>
      <c r="K6122">
        <v>1</v>
      </c>
      <c r="L6122">
        <v>0</v>
      </c>
      <c r="M6122">
        <f>VLOOKUP(Table1[[#This Row],[subscription_type]],Plans!$A$1:$B$5,2,FALSE)</f>
        <v>14.99</v>
      </c>
      <c r="N6122">
        <f t="shared" si="95"/>
        <v>0</v>
      </c>
    </row>
    <row r="6123" spans="1:14" x14ac:dyDescent="0.35">
      <c r="A6123">
        <v>6122</v>
      </c>
      <c r="B6123" t="s">
        <v>20</v>
      </c>
      <c r="C6123">
        <v>19</v>
      </c>
      <c r="D6123" t="s">
        <v>29</v>
      </c>
      <c r="E6123" t="s">
        <v>14</v>
      </c>
      <c r="F6123">
        <v>251</v>
      </c>
      <c r="G6123">
        <v>96</v>
      </c>
      <c r="H6123">
        <v>0.11</v>
      </c>
      <c r="I6123" t="s">
        <v>15</v>
      </c>
      <c r="J6123">
        <v>40</v>
      </c>
      <c r="K6123">
        <v>0</v>
      </c>
      <c r="L6123">
        <v>1</v>
      </c>
      <c r="M6123">
        <f>VLOOKUP(Table1[[#This Row],[subscription_type]],Plans!$A$1:$B$5,2,FALSE)</f>
        <v>0</v>
      </c>
      <c r="N6123">
        <f t="shared" si="95"/>
        <v>0</v>
      </c>
    </row>
    <row r="6124" spans="1:14" x14ac:dyDescent="0.35">
      <c r="A6124">
        <v>6123</v>
      </c>
      <c r="B6124" t="s">
        <v>20</v>
      </c>
      <c r="C6124">
        <v>40</v>
      </c>
      <c r="D6124" t="s">
        <v>17</v>
      </c>
      <c r="E6124" t="s">
        <v>24</v>
      </c>
      <c r="F6124">
        <v>168</v>
      </c>
      <c r="G6124">
        <v>64</v>
      </c>
      <c r="H6124">
        <v>0.19</v>
      </c>
      <c r="I6124" t="s">
        <v>19</v>
      </c>
      <c r="J6124">
        <v>0</v>
      </c>
      <c r="K6124">
        <v>1</v>
      </c>
      <c r="L6124">
        <v>0</v>
      </c>
      <c r="M6124">
        <f>VLOOKUP(Table1[[#This Row],[subscription_type]],Plans!$A$1:$B$5,2,FALSE)</f>
        <v>4.99</v>
      </c>
      <c r="N6124">
        <f t="shared" si="95"/>
        <v>0</v>
      </c>
    </row>
    <row r="6125" spans="1:14" x14ac:dyDescent="0.35">
      <c r="A6125">
        <v>6124</v>
      </c>
      <c r="B6125" t="s">
        <v>12</v>
      </c>
      <c r="C6125">
        <v>22</v>
      </c>
      <c r="D6125" t="s">
        <v>28</v>
      </c>
      <c r="E6125" t="s">
        <v>14</v>
      </c>
      <c r="F6125">
        <v>283</v>
      </c>
      <c r="G6125">
        <v>33</v>
      </c>
      <c r="H6125">
        <v>0.51</v>
      </c>
      <c r="I6125" t="s">
        <v>15</v>
      </c>
      <c r="J6125">
        <v>18</v>
      </c>
      <c r="K6125">
        <v>0</v>
      </c>
      <c r="L6125">
        <v>1</v>
      </c>
      <c r="M6125">
        <f>VLOOKUP(Table1[[#This Row],[subscription_type]],Plans!$A$1:$B$5,2,FALSE)</f>
        <v>0</v>
      </c>
      <c r="N6125">
        <f t="shared" si="95"/>
        <v>0</v>
      </c>
    </row>
    <row r="6126" spans="1:14" x14ac:dyDescent="0.35">
      <c r="A6126">
        <v>6125</v>
      </c>
      <c r="B6126" t="s">
        <v>20</v>
      </c>
      <c r="C6126">
        <v>56</v>
      </c>
      <c r="D6126" t="s">
        <v>26</v>
      </c>
      <c r="E6126" t="s">
        <v>18</v>
      </c>
      <c r="F6126">
        <v>194</v>
      </c>
      <c r="G6126">
        <v>57</v>
      </c>
      <c r="H6126">
        <v>0.41</v>
      </c>
      <c r="I6126" t="s">
        <v>15</v>
      </c>
      <c r="J6126">
        <v>0</v>
      </c>
      <c r="K6126">
        <v>1</v>
      </c>
      <c r="L6126">
        <v>0</v>
      </c>
      <c r="M6126">
        <f>VLOOKUP(Table1[[#This Row],[subscription_type]],Plans!$A$1:$B$5,2,FALSE)</f>
        <v>14.99</v>
      </c>
      <c r="N6126">
        <f t="shared" si="95"/>
        <v>0</v>
      </c>
    </row>
    <row r="6127" spans="1:14" x14ac:dyDescent="0.35">
      <c r="A6127">
        <v>6126</v>
      </c>
      <c r="B6127" t="s">
        <v>12</v>
      </c>
      <c r="C6127">
        <v>18</v>
      </c>
      <c r="D6127" t="s">
        <v>26</v>
      </c>
      <c r="E6127" t="s">
        <v>24</v>
      </c>
      <c r="F6127">
        <v>263</v>
      </c>
      <c r="G6127">
        <v>39</v>
      </c>
      <c r="H6127">
        <v>0.35</v>
      </c>
      <c r="I6127" t="s">
        <v>23</v>
      </c>
      <c r="J6127">
        <v>0</v>
      </c>
      <c r="K6127">
        <v>1</v>
      </c>
      <c r="L6127">
        <v>0</v>
      </c>
      <c r="M6127">
        <f>VLOOKUP(Table1[[#This Row],[subscription_type]],Plans!$A$1:$B$5,2,FALSE)</f>
        <v>4.99</v>
      </c>
      <c r="N6127">
        <f t="shared" si="95"/>
        <v>0</v>
      </c>
    </row>
    <row r="6128" spans="1:14" x14ac:dyDescent="0.35">
      <c r="A6128">
        <v>6127</v>
      </c>
      <c r="B6128" t="s">
        <v>16</v>
      </c>
      <c r="C6128">
        <v>17</v>
      </c>
      <c r="D6128" t="s">
        <v>26</v>
      </c>
      <c r="E6128" t="s">
        <v>18</v>
      </c>
      <c r="F6128">
        <v>184</v>
      </c>
      <c r="G6128">
        <v>20</v>
      </c>
      <c r="H6128">
        <v>0.47</v>
      </c>
      <c r="I6128" t="s">
        <v>15</v>
      </c>
      <c r="J6128">
        <v>0</v>
      </c>
      <c r="K6128">
        <v>1</v>
      </c>
      <c r="L6128">
        <v>0</v>
      </c>
      <c r="M6128">
        <f>VLOOKUP(Table1[[#This Row],[subscription_type]],Plans!$A$1:$B$5,2,FALSE)</f>
        <v>14.99</v>
      </c>
      <c r="N6128">
        <f t="shared" si="95"/>
        <v>0</v>
      </c>
    </row>
    <row r="6129" spans="1:14" x14ac:dyDescent="0.35">
      <c r="A6129">
        <v>6128</v>
      </c>
      <c r="B6129" t="s">
        <v>12</v>
      </c>
      <c r="C6129">
        <v>32</v>
      </c>
      <c r="D6129" t="s">
        <v>13</v>
      </c>
      <c r="E6129" t="s">
        <v>14</v>
      </c>
      <c r="F6129">
        <v>111</v>
      </c>
      <c r="G6129">
        <v>94</v>
      </c>
      <c r="H6129">
        <v>0.28999999999999998</v>
      </c>
      <c r="I6129" t="s">
        <v>15</v>
      </c>
      <c r="J6129">
        <v>20</v>
      </c>
      <c r="K6129">
        <v>0</v>
      </c>
      <c r="L6129">
        <v>0</v>
      </c>
      <c r="M6129">
        <f>VLOOKUP(Table1[[#This Row],[subscription_type]],Plans!$A$1:$B$5,2,FALSE)</f>
        <v>0</v>
      </c>
      <c r="N6129">
        <f t="shared" si="95"/>
        <v>0</v>
      </c>
    </row>
    <row r="6130" spans="1:14" x14ac:dyDescent="0.35">
      <c r="A6130">
        <v>6129</v>
      </c>
      <c r="B6130" t="s">
        <v>20</v>
      </c>
      <c r="C6130">
        <v>49</v>
      </c>
      <c r="D6130" t="s">
        <v>25</v>
      </c>
      <c r="E6130" t="s">
        <v>14</v>
      </c>
      <c r="F6130">
        <v>230</v>
      </c>
      <c r="G6130">
        <v>78</v>
      </c>
      <c r="H6130">
        <v>0.06</v>
      </c>
      <c r="I6130" t="s">
        <v>15</v>
      </c>
      <c r="J6130">
        <v>39</v>
      </c>
      <c r="K6130">
        <v>0</v>
      </c>
      <c r="L6130">
        <v>0</v>
      </c>
      <c r="M6130">
        <f>VLOOKUP(Table1[[#This Row],[subscription_type]],Plans!$A$1:$B$5,2,FALSE)</f>
        <v>0</v>
      </c>
      <c r="N6130">
        <f t="shared" si="95"/>
        <v>0</v>
      </c>
    </row>
    <row r="6131" spans="1:14" x14ac:dyDescent="0.35">
      <c r="A6131">
        <v>6130</v>
      </c>
      <c r="B6131" t="s">
        <v>20</v>
      </c>
      <c r="C6131">
        <v>34</v>
      </c>
      <c r="D6131" t="s">
        <v>17</v>
      </c>
      <c r="E6131" t="s">
        <v>24</v>
      </c>
      <c r="F6131">
        <v>204</v>
      </c>
      <c r="G6131">
        <v>11</v>
      </c>
      <c r="H6131">
        <v>0.03</v>
      </c>
      <c r="I6131" t="s">
        <v>23</v>
      </c>
      <c r="J6131">
        <v>0</v>
      </c>
      <c r="K6131">
        <v>1</v>
      </c>
      <c r="L6131">
        <v>0</v>
      </c>
      <c r="M6131">
        <f>VLOOKUP(Table1[[#This Row],[subscription_type]],Plans!$A$1:$B$5,2,FALSE)</f>
        <v>4.99</v>
      </c>
      <c r="N6131">
        <f t="shared" si="95"/>
        <v>0</v>
      </c>
    </row>
    <row r="6132" spans="1:14" x14ac:dyDescent="0.35">
      <c r="A6132">
        <v>6131</v>
      </c>
      <c r="B6132" t="s">
        <v>16</v>
      </c>
      <c r="C6132">
        <v>18</v>
      </c>
      <c r="D6132" t="s">
        <v>17</v>
      </c>
      <c r="E6132" t="s">
        <v>24</v>
      </c>
      <c r="F6132">
        <v>284</v>
      </c>
      <c r="G6132">
        <v>71</v>
      </c>
      <c r="H6132">
        <v>0.05</v>
      </c>
      <c r="I6132" t="s">
        <v>19</v>
      </c>
      <c r="J6132">
        <v>0</v>
      </c>
      <c r="K6132">
        <v>1</v>
      </c>
      <c r="L6132">
        <v>1</v>
      </c>
      <c r="M6132">
        <f>VLOOKUP(Table1[[#This Row],[subscription_type]],Plans!$A$1:$B$5,2,FALSE)</f>
        <v>4.99</v>
      </c>
      <c r="N6132">
        <f t="shared" si="95"/>
        <v>4.99</v>
      </c>
    </row>
    <row r="6133" spans="1:14" x14ac:dyDescent="0.35">
      <c r="A6133">
        <v>6132</v>
      </c>
      <c r="B6133" t="s">
        <v>12</v>
      </c>
      <c r="C6133">
        <v>41</v>
      </c>
      <c r="D6133" t="s">
        <v>21</v>
      </c>
      <c r="E6133" t="s">
        <v>14</v>
      </c>
      <c r="F6133">
        <v>201</v>
      </c>
      <c r="G6133">
        <v>47</v>
      </c>
      <c r="H6133">
        <v>0.04</v>
      </c>
      <c r="I6133" t="s">
        <v>19</v>
      </c>
      <c r="J6133">
        <v>49</v>
      </c>
      <c r="K6133">
        <v>0</v>
      </c>
      <c r="L6133">
        <v>0</v>
      </c>
      <c r="M6133">
        <f>VLOOKUP(Table1[[#This Row],[subscription_type]],Plans!$A$1:$B$5,2,FALSE)</f>
        <v>0</v>
      </c>
      <c r="N6133">
        <f t="shared" si="95"/>
        <v>0</v>
      </c>
    </row>
    <row r="6134" spans="1:14" x14ac:dyDescent="0.35">
      <c r="A6134">
        <v>6133</v>
      </c>
      <c r="B6134" t="s">
        <v>12</v>
      </c>
      <c r="C6134">
        <v>26</v>
      </c>
      <c r="D6134" t="s">
        <v>17</v>
      </c>
      <c r="E6134" t="s">
        <v>24</v>
      </c>
      <c r="F6134">
        <v>67</v>
      </c>
      <c r="G6134">
        <v>7</v>
      </c>
      <c r="H6134">
        <v>0.02</v>
      </c>
      <c r="I6134" t="s">
        <v>19</v>
      </c>
      <c r="J6134">
        <v>0</v>
      </c>
      <c r="K6134">
        <v>1</v>
      </c>
      <c r="L6134">
        <v>0</v>
      </c>
      <c r="M6134">
        <f>VLOOKUP(Table1[[#This Row],[subscription_type]],Plans!$A$1:$B$5,2,FALSE)</f>
        <v>4.99</v>
      </c>
      <c r="N6134">
        <f t="shared" si="95"/>
        <v>0</v>
      </c>
    </row>
    <row r="6135" spans="1:14" x14ac:dyDescent="0.35">
      <c r="A6135">
        <v>6134</v>
      </c>
      <c r="B6135" t="s">
        <v>16</v>
      </c>
      <c r="C6135">
        <v>34</v>
      </c>
      <c r="D6135" t="s">
        <v>17</v>
      </c>
      <c r="E6135" t="s">
        <v>22</v>
      </c>
      <c r="F6135">
        <v>293</v>
      </c>
      <c r="G6135">
        <v>33</v>
      </c>
      <c r="H6135">
        <v>0.35</v>
      </c>
      <c r="I6135" t="s">
        <v>15</v>
      </c>
      <c r="J6135">
        <v>0</v>
      </c>
      <c r="K6135">
        <v>1</v>
      </c>
      <c r="L6135">
        <v>0</v>
      </c>
      <c r="M6135">
        <f>VLOOKUP(Table1[[#This Row],[subscription_type]],Plans!$A$1:$B$5,2,FALSE)</f>
        <v>9.99</v>
      </c>
      <c r="N6135">
        <f t="shared" si="95"/>
        <v>0</v>
      </c>
    </row>
    <row r="6136" spans="1:14" x14ac:dyDescent="0.35">
      <c r="A6136">
        <v>6135</v>
      </c>
      <c r="B6136" t="s">
        <v>12</v>
      </c>
      <c r="C6136">
        <v>22</v>
      </c>
      <c r="D6136" t="s">
        <v>27</v>
      </c>
      <c r="E6136" t="s">
        <v>22</v>
      </c>
      <c r="F6136">
        <v>98</v>
      </c>
      <c r="G6136">
        <v>37</v>
      </c>
      <c r="H6136">
        <v>0.39</v>
      </c>
      <c r="I6136" t="s">
        <v>15</v>
      </c>
      <c r="J6136">
        <v>0</v>
      </c>
      <c r="K6136">
        <v>1</v>
      </c>
      <c r="L6136">
        <v>0</v>
      </c>
      <c r="M6136">
        <f>VLOOKUP(Table1[[#This Row],[subscription_type]],Plans!$A$1:$B$5,2,FALSE)</f>
        <v>9.99</v>
      </c>
      <c r="N6136">
        <f t="shared" si="95"/>
        <v>0</v>
      </c>
    </row>
    <row r="6137" spans="1:14" x14ac:dyDescent="0.35">
      <c r="A6137">
        <v>6136</v>
      </c>
      <c r="B6137" t="s">
        <v>16</v>
      </c>
      <c r="C6137">
        <v>49</v>
      </c>
      <c r="D6137" t="s">
        <v>13</v>
      </c>
      <c r="E6137" t="s">
        <v>18</v>
      </c>
      <c r="F6137">
        <v>112</v>
      </c>
      <c r="G6137">
        <v>71</v>
      </c>
      <c r="H6137">
        <v>0.19</v>
      </c>
      <c r="I6137" t="s">
        <v>15</v>
      </c>
      <c r="J6137">
        <v>0</v>
      </c>
      <c r="K6137">
        <v>1</v>
      </c>
      <c r="L6137">
        <v>0</v>
      </c>
      <c r="M6137">
        <f>VLOOKUP(Table1[[#This Row],[subscription_type]],Plans!$A$1:$B$5,2,FALSE)</f>
        <v>14.99</v>
      </c>
      <c r="N6137">
        <f t="shared" si="95"/>
        <v>0</v>
      </c>
    </row>
    <row r="6138" spans="1:14" x14ac:dyDescent="0.35">
      <c r="A6138">
        <v>6137</v>
      </c>
      <c r="B6138" t="s">
        <v>16</v>
      </c>
      <c r="C6138">
        <v>30</v>
      </c>
      <c r="D6138" t="s">
        <v>27</v>
      </c>
      <c r="E6138" t="s">
        <v>22</v>
      </c>
      <c r="F6138">
        <v>229</v>
      </c>
      <c r="G6138">
        <v>27</v>
      </c>
      <c r="H6138">
        <v>0.09</v>
      </c>
      <c r="I6138" t="s">
        <v>19</v>
      </c>
      <c r="J6138">
        <v>0</v>
      </c>
      <c r="K6138">
        <v>1</v>
      </c>
      <c r="L6138">
        <v>1</v>
      </c>
      <c r="M6138">
        <f>VLOOKUP(Table1[[#This Row],[subscription_type]],Plans!$A$1:$B$5,2,FALSE)</f>
        <v>9.99</v>
      </c>
      <c r="N6138">
        <f t="shared" si="95"/>
        <v>9.99</v>
      </c>
    </row>
    <row r="6139" spans="1:14" x14ac:dyDescent="0.35">
      <c r="A6139">
        <v>6138</v>
      </c>
      <c r="B6139" t="s">
        <v>16</v>
      </c>
      <c r="C6139">
        <v>40</v>
      </c>
      <c r="D6139" t="s">
        <v>26</v>
      </c>
      <c r="E6139" t="s">
        <v>24</v>
      </c>
      <c r="F6139">
        <v>67</v>
      </c>
      <c r="G6139">
        <v>41</v>
      </c>
      <c r="H6139">
        <v>0.53</v>
      </c>
      <c r="I6139" t="s">
        <v>23</v>
      </c>
      <c r="J6139">
        <v>0</v>
      </c>
      <c r="K6139">
        <v>1</v>
      </c>
      <c r="L6139">
        <v>0</v>
      </c>
      <c r="M6139">
        <f>VLOOKUP(Table1[[#This Row],[subscription_type]],Plans!$A$1:$B$5,2,FALSE)</f>
        <v>4.99</v>
      </c>
      <c r="N6139">
        <f t="shared" si="95"/>
        <v>0</v>
      </c>
    </row>
    <row r="6140" spans="1:14" x14ac:dyDescent="0.35">
      <c r="A6140">
        <v>6139</v>
      </c>
      <c r="B6140" t="s">
        <v>20</v>
      </c>
      <c r="C6140">
        <v>46</v>
      </c>
      <c r="D6140" t="s">
        <v>25</v>
      </c>
      <c r="E6140" t="s">
        <v>18</v>
      </c>
      <c r="F6140">
        <v>53</v>
      </c>
      <c r="G6140">
        <v>76</v>
      </c>
      <c r="H6140">
        <v>0.39</v>
      </c>
      <c r="I6140" t="s">
        <v>19</v>
      </c>
      <c r="J6140">
        <v>0</v>
      </c>
      <c r="K6140">
        <v>1</v>
      </c>
      <c r="L6140">
        <v>0</v>
      </c>
      <c r="M6140">
        <f>VLOOKUP(Table1[[#This Row],[subscription_type]],Plans!$A$1:$B$5,2,FALSE)</f>
        <v>14.99</v>
      </c>
      <c r="N6140">
        <f t="shared" si="95"/>
        <v>0</v>
      </c>
    </row>
    <row r="6141" spans="1:14" x14ac:dyDescent="0.35">
      <c r="A6141">
        <v>6140</v>
      </c>
      <c r="B6141" t="s">
        <v>12</v>
      </c>
      <c r="C6141">
        <v>37</v>
      </c>
      <c r="D6141" t="s">
        <v>29</v>
      </c>
      <c r="E6141" t="s">
        <v>22</v>
      </c>
      <c r="F6141">
        <v>169</v>
      </c>
      <c r="G6141">
        <v>37</v>
      </c>
      <c r="H6141">
        <v>0.38</v>
      </c>
      <c r="I6141" t="s">
        <v>15</v>
      </c>
      <c r="J6141">
        <v>0</v>
      </c>
      <c r="K6141">
        <v>1</v>
      </c>
      <c r="L6141">
        <v>1</v>
      </c>
      <c r="M6141">
        <f>VLOOKUP(Table1[[#This Row],[subscription_type]],Plans!$A$1:$B$5,2,FALSE)</f>
        <v>9.99</v>
      </c>
      <c r="N6141">
        <f t="shared" si="95"/>
        <v>9.99</v>
      </c>
    </row>
    <row r="6142" spans="1:14" x14ac:dyDescent="0.35">
      <c r="A6142">
        <v>6141</v>
      </c>
      <c r="B6142" t="s">
        <v>16</v>
      </c>
      <c r="C6142">
        <v>34</v>
      </c>
      <c r="D6142" t="s">
        <v>13</v>
      </c>
      <c r="E6142" t="s">
        <v>24</v>
      </c>
      <c r="F6142">
        <v>55</v>
      </c>
      <c r="G6142">
        <v>79</v>
      </c>
      <c r="H6142">
        <v>0.24</v>
      </c>
      <c r="I6142" t="s">
        <v>15</v>
      </c>
      <c r="J6142">
        <v>0</v>
      </c>
      <c r="K6142">
        <v>1</v>
      </c>
      <c r="L6142">
        <v>1</v>
      </c>
      <c r="M6142">
        <f>VLOOKUP(Table1[[#This Row],[subscription_type]],Plans!$A$1:$B$5,2,FALSE)</f>
        <v>4.99</v>
      </c>
      <c r="N6142">
        <f t="shared" si="95"/>
        <v>4.99</v>
      </c>
    </row>
    <row r="6143" spans="1:14" x14ac:dyDescent="0.35">
      <c r="A6143">
        <v>6142</v>
      </c>
      <c r="B6143" t="s">
        <v>12</v>
      </c>
      <c r="C6143">
        <v>22</v>
      </c>
      <c r="D6143" t="s">
        <v>28</v>
      </c>
      <c r="E6143" t="s">
        <v>24</v>
      </c>
      <c r="F6143">
        <v>298</v>
      </c>
      <c r="G6143">
        <v>5</v>
      </c>
      <c r="H6143">
        <v>0.31</v>
      </c>
      <c r="I6143" t="s">
        <v>19</v>
      </c>
      <c r="J6143">
        <v>0</v>
      </c>
      <c r="K6143">
        <v>1</v>
      </c>
      <c r="L6143">
        <v>0</v>
      </c>
      <c r="M6143">
        <f>VLOOKUP(Table1[[#This Row],[subscription_type]],Plans!$A$1:$B$5,2,FALSE)</f>
        <v>4.99</v>
      </c>
      <c r="N6143">
        <f t="shared" si="95"/>
        <v>0</v>
      </c>
    </row>
    <row r="6144" spans="1:14" x14ac:dyDescent="0.35">
      <c r="A6144">
        <v>6143</v>
      </c>
      <c r="B6144" t="s">
        <v>12</v>
      </c>
      <c r="C6144">
        <v>36</v>
      </c>
      <c r="D6144" t="s">
        <v>13</v>
      </c>
      <c r="E6144" t="s">
        <v>24</v>
      </c>
      <c r="F6144">
        <v>127</v>
      </c>
      <c r="G6144">
        <v>17</v>
      </c>
      <c r="H6144">
        <v>0.1</v>
      </c>
      <c r="I6144" t="s">
        <v>15</v>
      </c>
      <c r="J6144">
        <v>0</v>
      </c>
      <c r="K6144">
        <v>1</v>
      </c>
      <c r="L6144">
        <v>0</v>
      </c>
      <c r="M6144">
        <f>VLOOKUP(Table1[[#This Row],[subscription_type]],Plans!$A$1:$B$5,2,FALSE)</f>
        <v>4.99</v>
      </c>
      <c r="N6144">
        <f t="shared" si="95"/>
        <v>0</v>
      </c>
    </row>
    <row r="6145" spans="1:14" x14ac:dyDescent="0.35">
      <c r="A6145">
        <v>6144</v>
      </c>
      <c r="B6145" t="s">
        <v>12</v>
      </c>
      <c r="C6145">
        <v>35</v>
      </c>
      <c r="D6145" t="s">
        <v>25</v>
      </c>
      <c r="E6145" t="s">
        <v>22</v>
      </c>
      <c r="F6145">
        <v>208</v>
      </c>
      <c r="G6145">
        <v>55</v>
      </c>
      <c r="H6145">
        <v>0.28999999999999998</v>
      </c>
      <c r="I6145" t="s">
        <v>23</v>
      </c>
      <c r="J6145">
        <v>0</v>
      </c>
      <c r="K6145">
        <v>1</v>
      </c>
      <c r="L6145">
        <v>0</v>
      </c>
      <c r="M6145">
        <f>VLOOKUP(Table1[[#This Row],[subscription_type]],Plans!$A$1:$B$5,2,FALSE)</f>
        <v>9.99</v>
      </c>
      <c r="N6145">
        <f t="shared" si="95"/>
        <v>0</v>
      </c>
    </row>
    <row r="6146" spans="1:14" x14ac:dyDescent="0.35">
      <c r="A6146">
        <v>6145</v>
      </c>
      <c r="B6146" t="s">
        <v>16</v>
      </c>
      <c r="C6146">
        <v>55</v>
      </c>
      <c r="D6146" t="s">
        <v>26</v>
      </c>
      <c r="E6146" t="s">
        <v>24</v>
      </c>
      <c r="F6146">
        <v>103</v>
      </c>
      <c r="G6146">
        <v>43</v>
      </c>
      <c r="H6146">
        <v>0.55000000000000004</v>
      </c>
      <c r="I6146" t="s">
        <v>15</v>
      </c>
      <c r="J6146">
        <v>0</v>
      </c>
      <c r="K6146">
        <v>1</v>
      </c>
      <c r="L6146">
        <v>0</v>
      </c>
      <c r="M6146">
        <f>VLOOKUP(Table1[[#This Row],[subscription_type]],Plans!$A$1:$B$5,2,FALSE)</f>
        <v>4.99</v>
      </c>
      <c r="N6146">
        <f t="shared" ref="N6146:N6209" si="96">IF(L6146=1, M6146,0)</f>
        <v>0</v>
      </c>
    </row>
    <row r="6147" spans="1:14" x14ac:dyDescent="0.35">
      <c r="A6147">
        <v>6146</v>
      </c>
      <c r="B6147" t="s">
        <v>20</v>
      </c>
      <c r="C6147">
        <v>45</v>
      </c>
      <c r="D6147" t="s">
        <v>27</v>
      </c>
      <c r="E6147" t="s">
        <v>24</v>
      </c>
      <c r="F6147">
        <v>133</v>
      </c>
      <c r="G6147">
        <v>54</v>
      </c>
      <c r="H6147">
        <v>0.3</v>
      </c>
      <c r="I6147" t="s">
        <v>23</v>
      </c>
      <c r="J6147">
        <v>0</v>
      </c>
      <c r="K6147">
        <v>1</v>
      </c>
      <c r="L6147">
        <v>0</v>
      </c>
      <c r="M6147">
        <f>VLOOKUP(Table1[[#This Row],[subscription_type]],Plans!$A$1:$B$5,2,FALSE)</f>
        <v>4.99</v>
      </c>
      <c r="N6147">
        <f t="shared" si="96"/>
        <v>0</v>
      </c>
    </row>
    <row r="6148" spans="1:14" x14ac:dyDescent="0.35">
      <c r="A6148">
        <v>6147</v>
      </c>
      <c r="B6148" t="s">
        <v>12</v>
      </c>
      <c r="C6148">
        <v>32</v>
      </c>
      <c r="D6148" t="s">
        <v>25</v>
      </c>
      <c r="E6148" t="s">
        <v>18</v>
      </c>
      <c r="F6148">
        <v>284</v>
      </c>
      <c r="G6148">
        <v>39</v>
      </c>
      <c r="H6148">
        <v>0.44</v>
      </c>
      <c r="I6148" t="s">
        <v>23</v>
      </c>
      <c r="J6148">
        <v>0</v>
      </c>
      <c r="K6148">
        <v>1</v>
      </c>
      <c r="L6148">
        <v>1</v>
      </c>
      <c r="M6148">
        <f>VLOOKUP(Table1[[#This Row],[subscription_type]],Plans!$A$1:$B$5,2,FALSE)</f>
        <v>14.99</v>
      </c>
      <c r="N6148">
        <f t="shared" si="96"/>
        <v>14.99</v>
      </c>
    </row>
    <row r="6149" spans="1:14" x14ac:dyDescent="0.35">
      <c r="A6149">
        <v>6148</v>
      </c>
      <c r="B6149" t="s">
        <v>16</v>
      </c>
      <c r="C6149">
        <v>43</v>
      </c>
      <c r="D6149" t="s">
        <v>13</v>
      </c>
      <c r="E6149" t="s">
        <v>18</v>
      </c>
      <c r="F6149">
        <v>156</v>
      </c>
      <c r="G6149">
        <v>89</v>
      </c>
      <c r="H6149">
        <v>0.59</v>
      </c>
      <c r="I6149" t="s">
        <v>19</v>
      </c>
      <c r="J6149">
        <v>0</v>
      </c>
      <c r="K6149">
        <v>1</v>
      </c>
      <c r="L6149">
        <v>1</v>
      </c>
      <c r="M6149">
        <f>VLOOKUP(Table1[[#This Row],[subscription_type]],Plans!$A$1:$B$5,2,FALSE)</f>
        <v>14.99</v>
      </c>
      <c r="N6149">
        <f t="shared" si="96"/>
        <v>14.99</v>
      </c>
    </row>
    <row r="6150" spans="1:14" x14ac:dyDescent="0.35">
      <c r="A6150">
        <v>6149</v>
      </c>
      <c r="B6150" t="s">
        <v>16</v>
      </c>
      <c r="C6150">
        <v>52</v>
      </c>
      <c r="D6150" t="s">
        <v>27</v>
      </c>
      <c r="E6150" t="s">
        <v>14</v>
      </c>
      <c r="F6150">
        <v>273</v>
      </c>
      <c r="G6150">
        <v>15</v>
      </c>
      <c r="H6150">
        <v>0.09</v>
      </c>
      <c r="I6150" t="s">
        <v>19</v>
      </c>
      <c r="J6150">
        <v>20</v>
      </c>
      <c r="K6150">
        <v>0</v>
      </c>
      <c r="L6150">
        <v>0</v>
      </c>
      <c r="M6150">
        <f>VLOOKUP(Table1[[#This Row],[subscription_type]],Plans!$A$1:$B$5,2,FALSE)</f>
        <v>0</v>
      </c>
      <c r="N6150">
        <f t="shared" si="96"/>
        <v>0</v>
      </c>
    </row>
    <row r="6151" spans="1:14" x14ac:dyDescent="0.35">
      <c r="A6151">
        <v>6150</v>
      </c>
      <c r="B6151" t="s">
        <v>20</v>
      </c>
      <c r="C6151">
        <v>17</v>
      </c>
      <c r="D6151" t="s">
        <v>21</v>
      </c>
      <c r="E6151" t="s">
        <v>14</v>
      </c>
      <c r="F6151">
        <v>48</v>
      </c>
      <c r="G6151">
        <v>10</v>
      </c>
      <c r="H6151">
        <v>0.24</v>
      </c>
      <c r="I6151" t="s">
        <v>15</v>
      </c>
      <c r="J6151">
        <v>22</v>
      </c>
      <c r="K6151">
        <v>0</v>
      </c>
      <c r="L6151">
        <v>0</v>
      </c>
      <c r="M6151">
        <f>VLOOKUP(Table1[[#This Row],[subscription_type]],Plans!$A$1:$B$5,2,FALSE)</f>
        <v>0</v>
      </c>
      <c r="N6151">
        <f t="shared" si="96"/>
        <v>0</v>
      </c>
    </row>
    <row r="6152" spans="1:14" x14ac:dyDescent="0.35">
      <c r="A6152">
        <v>6151</v>
      </c>
      <c r="B6152" t="s">
        <v>12</v>
      </c>
      <c r="C6152">
        <v>50</v>
      </c>
      <c r="D6152" t="s">
        <v>25</v>
      </c>
      <c r="E6152" t="s">
        <v>18</v>
      </c>
      <c r="F6152">
        <v>75</v>
      </c>
      <c r="G6152">
        <v>73</v>
      </c>
      <c r="H6152">
        <v>0.39</v>
      </c>
      <c r="I6152" t="s">
        <v>23</v>
      </c>
      <c r="J6152">
        <v>0</v>
      </c>
      <c r="K6152">
        <v>1</v>
      </c>
      <c r="L6152">
        <v>1</v>
      </c>
      <c r="M6152">
        <f>VLOOKUP(Table1[[#This Row],[subscription_type]],Plans!$A$1:$B$5,2,FALSE)</f>
        <v>14.99</v>
      </c>
      <c r="N6152">
        <f t="shared" si="96"/>
        <v>14.99</v>
      </c>
    </row>
    <row r="6153" spans="1:14" x14ac:dyDescent="0.35">
      <c r="A6153">
        <v>6152</v>
      </c>
      <c r="B6153" t="s">
        <v>16</v>
      </c>
      <c r="C6153">
        <v>21</v>
      </c>
      <c r="D6153" t="s">
        <v>27</v>
      </c>
      <c r="E6153" t="s">
        <v>24</v>
      </c>
      <c r="F6153">
        <v>187</v>
      </c>
      <c r="G6153">
        <v>88</v>
      </c>
      <c r="H6153">
        <v>0.3</v>
      </c>
      <c r="I6153" t="s">
        <v>15</v>
      </c>
      <c r="J6153">
        <v>0</v>
      </c>
      <c r="K6153">
        <v>1</v>
      </c>
      <c r="L6153">
        <v>0</v>
      </c>
      <c r="M6153">
        <f>VLOOKUP(Table1[[#This Row],[subscription_type]],Plans!$A$1:$B$5,2,FALSE)</f>
        <v>4.99</v>
      </c>
      <c r="N6153">
        <f t="shared" si="96"/>
        <v>0</v>
      </c>
    </row>
    <row r="6154" spans="1:14" x14ac:dyDescent="0.35">
      <c r="A6154">
        <v>6153</v>
      </c>
      <c r="B6154" t="s">
        <v>12</v>
      </c>
      <c r="C6154">
        <v>36</v>
      </c>
      <c r="D6154" t="s">
        <v>21</v>
      </c>
      <c r="E6154" t="s">
        <v>24</v>
      </c>
      <c r="F6154">
        <v>296</v>
      </c>
      <c r="G6154">
        <v>75</v>
      </c>
      <c r="H6154">
        <v>0.37</v>
      </c>
      <c r="I6154" t="s">
        <v>19</v>
      </c>
      <c r="J6154">
        <v>0</v>
      </c>
      <c r="K6154">
        <v>1</v>
      </c>
      <c r="L6154">
        <v>1</v>
      </c>
      <c r="M6154">
        <f>VLOOKUP(Table1[[#This Row],[subscription_type]],Plans!$A$1:$B$5,2,FALSE)</f>
        <v>4.99</v>
      </c>
      <c r="N6154">
        <f t="shared" si="96"/>
        <v>4.99</v>
      </c>
    </row>
    <row r="6155" spans="1:14" x14ac:dyDescent="0.35">
      <c r="A6155">
        <v>6154</v>
      </c>
      <c r="B6155" t="s">
        <v>20</v>
      </c>
      <c r="C6155">
        <v>48</v>
      </c>
      <c r="D6155" t="s">
        <v>13</v>
      </c>
      <c r="E6155" t="s">
        <v>18</v>
      </c>
      <c r="F6155">
        <v>40</v>
      </c>
      <c r="G6155">
        <v>69</v>
      </c>
      <c r="H6155">
        <v>0.38</v>
      </c>
      <c r="I6155" t="s">
        <v>19</v>
      </c>
      <c r="J6155">
        <v>0</v>
      </c>
      <c r="K6155">
        <v>1</v>
      </c>
      <c r="L6155">
        <v>1</v>
      </c>
      <c r="M6155">
        <f>VLOOKUP(Table1[[#This Row],[subscription_type]],Plans!$A$1:$B$5,2,FALSE)</f>
        <v>14.99</v>
      </c>
      <c r="N6155">
        <f t="shared" si="96"/>
        <v>14.99</v>
      </c>
    </row>
    <row r="6156" spans="1:14" x14ac:dyDescent="0.35">
      <c r="A6156">
        <v>6155</v>
      </c>
      <c r="B6156" t="s">
        <v>20</v>
      </c>
      <c r="C6156">
        <v>28</v>
      </c>
      <c r="D6156" t="s">
        <v>13</v>
      </c>
      <c r="E6156" t="s">
        <v>18</v>
      </c>
      <c r="F6156">
        <v>123</v>
      </c>
      <c r="G6156">
        <v>73</v>
      </c>
      <c r="H6156">
        <v>0.59</v>
      </c>
      <c r="I6156" t="s">
        <v>23</v>
      </c>
      <c r="J6156">
        <v>0</v>
      </c>
      <c r="K6156">
        <v>1</v>
      </c>
      <c r="L6156">
        <v>0</v>
      </c>
      <c r="M6156">
        <f>VLOOKUP(Table1[[#This Row],[subscription_type]],Plans!$A$1:$B$5,2,FALSE)</f>
        <v>14.99</v>
      </c>
      <c r="N6156">
        <f t="shared" si="96"/>
        <v>0</v>
      </c>
    </row>
    <row r="6157" spans="1:14" x14ac:dyDescent="0.35">
      <c r="A6157">
        <v>6156</v>
      </c>
      <c r="B6157" t="s">
        <v>16</v>
      </c>
      <c r="C6157">
        <v>26</v>
      </c>
      <c r="D6157" t="s">
        <v>26</v>
      </c>
      <c r="E6157" t="s">
        <v>18</v>
      </c>
      <c r="F6157">
        <v>247</v>
      </c>
      <c r="G6157">
        <v>49</v>
      </c>
      <c r="H6157">
        <v>0.46</v>
      </c>
      <c r="I6157" t="s">
        <v>15</v>
      </c>
      <c r="J6157">
        <v>0</v>
      </c>
      <c r="K6157">
        <v>1</v>
      </c>
      <c r="L6157">
        <v>0</v>
      </c>
      <c r="M6157">
        <f>VLOOKUP(Table1[[#This Row],[subscription_type]],Plans!$A$1:$B$5,2,FALSE)</f>
        <v>14.99</v>
      </c>
      <c r="N6157">
        <f t="shared" si="96"/>
        <v>0</v>
      </c>
    </row>
    <row r="6158" spans="1:14" x14ac:dyDescent="0.35">
      <c r="A6158">
        <v>6157</v>
      </c>
      <c r="B6158" t="s">
        <v>12</v>
      </c>
      <c r="C6158">
        <v>36</v>
      </c>
      <c r="D6158" t="s">
        <v>21</v>
      </c>
      <c r="E6158" t="s">
        <v>22</v>
      </c>
      <c r="F6158">
        <v>174</v>
      </c>
      <c r="G6158">
        <v>42</v>
      </c>
      <c r="H6158">
        <v>0.16</v>
      </c>
      <c r="I6158" t="s">
        <v>15</v>
      </c>
      <c r="J6158">
        <v>0</v>
      </c>
      <c r="K6158">
        <v>1</v>
      </c>
      <c r="L6158">
        <v>0</v>
      </c>
      <c r="M6158">
        <f>VLOOKUP(Table1[[#This Row],[subscription_type]],Plans!$A$1:$B$5,2,FALSE)</f>
        <v>9.99</v>
      </c>
      <c r="N6158">
        <f t="shared" si="96"/>
        <v>0</v>
      </c>
    </row>
    <row r="6159" spans="1:14" x14ac:dyDescent="0.35">
      <c r="A6159">
        <v>6158</v>
      </c>
      <c r="B6159" t="s">
        <v>20</v>
      </c>
      <c r="C6159">
        <v>52</v>
      </c>
      <c r="D6159" t="s">
        <v>13</v>
      </c>
      <c r="E6159" t="s">
        <v>14</v>
      </c>
      <c r="F6159">
        <v>112</v>
      </c>
      <c r="G6159">
        <v>84</v>
      </c>
      <c r="H6159">
        <v>0.48</v>
      </c>
      <c r="I6159" t="s">
        <v>23</v>
      </c>
      <c r="J6159">
        <v>23</v>
      </c>
      <c r="K6159">
        <v>0</v>
      </c>
      <c r="L6159">
        <v>1</v>
      </c>
      <c r="M6159">
        <f>VLOOKUP(Table1[[#This Row],[subscription_type]],Plans!$A$1:$B$5,2,FALSE)</f>
        <v>0</v>
      </c>
      <c r="N6159">
        <f t="shared" si="96"/>
        <v>0</v>
      </c>
    </row>
    <row r="6160" spans="1:14" x14ac:dyDescent="0.35">
      <c r="A6160">
        <v>6159</v>
      </c>
      <c r="B6160" t="s">
        <v>20</v>
      </c>
      <c r="C6160">
        <v>37</v>
      </c>
      <c r="D6160" t="s">
        <v>25</v>
      </c>
      <c r="E6160" t="s">
        <v>22</v>
      </c>
      <c r="F6160">
        <v>25</v>
      </c>
      <c r="G6160">
        <v>1</v>
      </c>
      <c r="H6160">
        <v>0.28000000000000003</v>
      </c>
      <c r="I6160" t="s">
        <v>23</v>
      </c>
      <c r="J6160">
        <v>0</v>
      </c>
      <c r="K6160">
        <v>1</v>
      </c>
      <c r="L6160">
        <v>0</v>
      </c>
      <c r="M6160">
        <f>VLOOKUP(Table1[[#This Row],[subscription_type]],Plans!$A$1:$B$5,2,FALSE)</f>
        <v>9.99</v>
      </c>
      <c r="N6160">
        <f t="shared" si="96"/>
        <v>0</v>
      </c>
    </row>
    <row r="6161" spans="1:14" x14ac:dyDescent="0.35">
      <c r="A6161">
        <v>6160</v>
      </c>
      <c r="B6161" t="s">
        <v>20</v>
      </c>
      <c r="C6161">
        <v>26</v>
      </c>
      <c r="D6161" t="s">
        <v>17</v>
      </c>
      <c r="E6161" t="s">
        <v>18</v>
      </c>
      <c r="F6161">
        <v>193</v>
      </c>
      <c r="G6161">
        <v>89</v>
      </c>
      <c r="H6161">
        <v>0.55000000000000004</v>
      </c>
      <c r="I6161" t="s">
        <v>23</v>
      </c>
      <c r="J6161">
        <v>0</v>
      </c>
      <c r="K6161">
        <v>1</v>
      </c>
      <c r="L6161">
        <v>0</v>
      </c>
      <c r="M6161">
        <f>VLOOKUP(Table1[[#This Row],[subscription_type]],Plans!$A$1:$B$5,2,FALSE)</f>
        <v>14.99</v>
      </c>
      <c r="N6161">
        <f t="shared" si="96"/>
        <v>0</v>
      </c>
    </row>
    <row r="6162" spans="1:14" x14ac:dyDescent="0.35">
      <c r="A6162">
        <v>6161</v>
      </c>
      <c r="B6162" t="s">
        <v>16</v>
      </c>
      <c r="C6162">
        <v>20</v>
      </c>
      <c r="D6162" t="s">
        <v>27</v>
      </c>
      <c r="E6162" t="s">
        <v>22</v>
      </c>
      <c r="F6162">
        <v>183</v>
      </c>
      <c r="G6162">
        <v>30</v>
      </c>
      <c r="H6162">
        <v>0.3</v>
      </c>
      <c r="I6162" t="s">
        <v>19</v>
      </c>
      <c r="J6162">
        <v>0</v>
      </c>
      <c r="K6162">
        <v>1</v>
      </c>
      <c r="L6162">
        <v>0</v>
      </c>
      <c r="M6162">
        <f>VLOOKUP(Table1[[#This Row],[subscription_type]],Plans!$A$1:$B$5,2,FALSE)</f>
        <v>9.99</v>
      </c>
      <c r="N6162">
        <f t="shared" si="96"/>
        <v>0</v>
      </c>
    </row>
    <row r="6163" spans="1:14" x14ac:dyDescent="0.35">
      <c r="A6163">
        <v>6162</v>
      </c>
      <c r="B6163" t="s">
        <v>20</v>
      </c>
      <c r="C6163">
        <v>53</v>
      </c>
      <c r="D6163" t="s">
        <v>13</v>
      </c>
      <c r="E6163" t="s">
        <v>14</v>
      </c>
      <c r="F6163">
        <v>127</v>
      </c>
      <c r="G6163">
        <v>86</v>
      </c>
      <c r="H6163">
        <v>0.44</v>
      </c>
      <c r="I6163" t="s">
        <v>15</v>
      </c>
      <c r="J6163">
        <v>20</v>
      </c>
      <c r="K6163">
        <v>0</v>
      </c>
      <c r="L6163">
        <v>0</v>
      </c>
      <c r="M6163">
        <f>VLOOKUP(Table1[[#This Row],[subscription_type]],Plans!$A$1:$B$5,2,FALSE)</f>
        <v>0</v>
      </c>
      <c r="N6163">
        <f t="shared" si="96"/>
        <v>0</v>
      </c>
    </row>
    <row r="6164" spans="1:14" x14ac:dyDescent="0.35">
      <c r="A6164">
        <v>6163</v>
      </c>
      <c r="B6164" t="s">
        <v>20</v>
      </c>
      <c r="C6164">
        <v>21</v>
      </c>
      <c r="D6164" t="s">
        <v>29</v>
      </c>
      <c r="E6164" t="s">
        <v>24</v>
      </c>
      <c r="F6164">
        <v>289</v>
      </c>
      <c r="G6164">
        <v>93</v>
      </c>
      <c r="H6164">
        <v>0.39</v>
      </c>
      <c r="I6164" t="s">
        <v>15</v>
      </c>
      <c r="J6164">
        <v>0</v>
      </c>
      <c r="K6164">
        <v>1</v>
      </c>
      <c r="L6164">
        <v>1</v>
      </c>
      <c r="M6164">
        <f>VLOOKUP(Table1[[#This Row],[subscription_type]],Plans!$A$1:$B$5,2,FALSE)</f>
        <v>4.99</v>
      </c>
      <c r="N6164">
        <f t="shared" si="96"/>
        <v>4.99</v>
      </c>
    </row>
    <row r="6165" spans="1:14" x14ac:dyDescent="0.35">
      <c r="A6165">
        <v>6164</v>
      </c>
      <c r="B6165" t="s">
        <v>16</v>
      </c>
      <c r="C6165">
        <v>52</v>
      </c>
      <c r="D6165" t="s">
        <v>17</v>
      </c>
      <c r="E6165" t="s">
        <v>14</v>
      </c>
      <c r="F6165">
        <v>262</v>
      </c>
      <c r="G6165">
        <v>84</v>
      </c>
      <c r="H6165">
        <v>0.36</v>
      </c>
      <c r="I6165" t="s">
        <v>19</v>
      </c>
      <c r="J6165">
        <v>40</v>
      </c>
      <c r="K6165">
        <v>0</v>
      </c>
      <c r="L6165">
        <v>1</v>
      </c>
      <c r="M6165">
        <f>VLOOKUP(Table1[[#This Row],[subscription_type]],Plans!$A$1:$B$5,2,FALSE)</f>
        <v>0</v>
      </c>
      <c r="N6165">
        <f t="shared" si="96"/>
        <v>0</v>
      </c>
    </row>
    <row r="6166" spans="1:14" x14ac:dyDescent="0.35">
      <c r="A6166">
        <v>6165</v>
      </c>
      <c r="B6166" t="s">
        <v>20</v>
      </c>
      <c r="C6166">
        <v>54</v>
      </c>
      <c r="D6166" t="s">
        <v>17</v>
      </c>
      <c r="E6166" t="s">
        <v>14</v>
      </c>
      <c r="F6166">
        <v>192</v>
      </c>
      <c r="G6166">
        <v>77</v>
      </c>
      <c r="H6166">
        <v>0.45</v>
      </c>
      <c r="I6166" t="s">
        <v>19</v>
      </c>
      <c r="J6166">
        <v>38</v>
      </c>
      <c r="K6166">
        <v>0</v>
      </c>
      <c r="L6166">
        <v>0</v>
      </c>
      <c r="M6166">
        <f>VLOOKUP(Table1[[#This Row],[subscription_type]],Plans!$A$1:$B$5,2,FALSE)</f>
        <v>0</v>
      </c>
      <c r="N6166">
        <f t="shared" si="96"/>
        <v>0</v>
      </c>
    </row>
    <row r="6167" spans="1:14" x14ac:dyDescent="0.35">
      <c r="A6167">
        <v>6166</v>
      </c>
      <c r="B6167" t="s">
        <v>16</v>
      </c>
      <c r="C6167">
        <v>49</v>
      </c>
      <c r="D6167" t="s">
        <v>27</v>
      </c>
      <c r="E6167" t="s">
        <v>24</v>
      </c>
      <c r="F6167">
        <v>22</v>
      </c>
      <c r="G6167">
        <v>55</v>
      </c>
      <c r="H6167">
        <v>0.57999999999999996</v>
      </c>
      <c r="I6167" t="s">
        <v>19</v>
      </c>
      <c r="J6167">
        <v>0</v>
      </c>
      <c r="K6167">
        <v>1</v>
      </c>
      <c r="L6167">
        <v>1</v>
      </c>
      <c r="M6167">
        <f>VLOOKUP(Table1[[#This Row],[subscription_type]],Plans!$A$1:$B$5,2,FALSE)</f>
        <v>4.99</v>
      </c>
      <c r="N6167">
        <f t="shared" si="96"/>
        <v>4.99</v>
      </c>
    </row>
    <row r="6168" spans="1:14" x14ac:dyDescent="0.35">
      <c r="A6168">
        <v>6167</v>
      </c>
      <c r="B6168" t="s">
        <v>20</v>
      </c>
      <c r="C6168">
        <v>33</v>
      </c>
      <c r="D6168" t="s">
        <v>27</v>
      </c>
      <c r="E6168" t="s">
        <v>22</v>
      </c>
      <c r="F6168">
        <v>195</v>
      </c>
      <c r="G6168">
        <v>33</v>
      </c>
      <c r="H6168">
        <v>0</v>
      </c>
      <c r="I6168" t="s">
        <v>23</v>
      </c>
      <c r="J6168">
        <v>0</v>
      </c>
      <c r="K6168">
        <v>1</v>
      </c>
      <c r="L6168">
        <v>0</v>
      </c>
      <c r="M6168">
        <f>VLOOKUP(Table1[[#This Row],[subscription_type]],Plans!$A$1:$B$5,2,FALSE)</f>
        <v>9.99</v>
      </c>
      <c r="N6168">
        <f t="shared" si="96"/>
        <v>0</v>
      </c>
    </row>
    <row r="6169" spans="1:14" x14ac:dyDescent="0.35">
      <c r="A6169">
        <v>6168</v>
      </c>
      <c r="B6169" t="s">
        <v>20</v>
      </c>
      <c r="C6169">
        <v>47</v>
      </c>
      <c r="D6169" t="s">
        <v>13</v>
      </c>
      <c r="E6169" t="s">
        <v>24</v>
      </c>
      <c r="F6169">
        <v>238</v>
      </c>
      <c r="G6169">
        <v>3</v>
      </c>
      <c r="H6169">
        <v>0.15</v>
      </c>
      <c r="I6169" t="s">
        <v>15</v>
      </c>
      <c r="J6169">
        <v>0</v>
      </c>
      <c r="K6169">
        <v>1</v>
      </c>
      <c r="L6169">
        <v>0</v>
      </c>
      <c r="M6169">
        <f>VLOOKUP(Table1[[#This Row],[subscription_type]],Plans!$A$1:$B$5,2,FALSE)</f>
        <v>4.99</v>
      </c>
      <c r="N6169">
        <f t="shared" si="96"/>
        <v>0</v>
      </c>
    </row>
    <row r="6170" spans="1:14" x14ac:dyDescent="0.35">
      <c r="A6170">
        <v>6169</v>
      </c>
      <c r="B6170" t="s">
        <v>12</v>
      </c>
      <c r="C6170">
        <v>58</v>
      </c>
      <c r="D6170" t="s">
        <v>25</v>
      </c>
      <c r="E6170" t="s">
        <v>24</v>
      </c>
      <c r="F6170">
        <v>36</v>
      </c>
      <c r="G6170">
        <v>86</v>
      </c>
      <c r="H6170">
        <v>0.34</v>
      </c>
      <c r="I6170" t="s">
        <v>15</v>
      </c>
      <c r="J6170">
        <v>0</v>
      </c>
      <c r="K6170">
        <v>1</v>
      </c>
      <c r="L6170">
        <v>0</v>
      </c>
      <c r="M6170">
        <f>VLOOKUP(Table1[[#This Row],[subscription_type]],Plans!$A$1:$B$5,2,FALSE)</f>
        <v>4.99</v>
      </c>
      <c r="N6170">
        <f t="shared" si="96"/>
        <v>0</v>
      </c>
    </row>
    <row r="6171" spans="1:14" x14ac:dyDescent="0.35">
      <c r="A6171">
        <v>6170</v>
      </c>
      <c r="B6171" t="s">
        <v>20</v>
      </c>
      <c r="C6171">
        <v>43</v>
      </c>
      <c r="D6171" t="s">
        <v>25</v>
      </c>
      <c r="E6171" t="s">
        <v>14</v>
      </c>
      <c r="F6171">
        <v>255</v>
      </c>
      <c r="G6171">
        <v>61</v>
      </c>
      <c r="H6171">
        <v>0.09</v>
      </c>
      <c r="I6171" t="s">
        <v>15</v>
      </c>
      <c r="J6171">
        <v>49</v>
      </c>
      <c r="K6171">
        <v>0</v>
      </c>
      <c r="L6171">
        <v>0</v>
      </c>
      <c r="M6171">
        <f>VLOOKUP(Table1[[#This Row],[subscription_type]],Plans!$A$1:$B$5,2,FALSE)</f>
        <v>0</v>
      </c>
      <c r="N6171">
        <f t="shared" si="96"/>
        <v>0</v>
      </c>
    </row>
    <row r="6172" spans="1:14" x14ac:dyDescent="0.35">
      <c r="A6172">
        <v>6171</v>
      </c>
      <c r="B6172" t="s">
        <v>16</v>
      </c>
      <c r="C6172">
        <v>40</v>
      </c>
      <c r="D6172" t="s">
        <v>13</v>
      </c>
      <c r="E6172" t="s">
        <v>14</v>
      </c>
      <c r="F6172">
        <v>219</v>
      </c>
      <c r="G6172">
        <v>98</v>
      </c>
      <c r="H6172">
        <v>0.34</v>
      </c>
      <c r="I6172" t="s">
        <v>23</v>
      </c>
      <c r="J6172">
        <v>27</v>
      </c>
      <c r="K6172">
        <v>0</v>
      </c>
      <c r="L6172">
        <v>0</v>
      </c>
      <c r="M6172">
        <f>VLOOKUP(Table1[[#This Row],[subscription_type]],Plans!$A$1:$B$5,2,FALSE)</f>
        <v>0</v>
      </c>
      <c r="N6172">
        <f t="shared" si="96"/>
        <v>0</v>
      </c>
    </row>
    <row r="6173" spans="1:14" x14ac:dyDescent="0.35">
      <c r="A6173">
        <v>6172</v>
      </c>
      <c r="B6173" t="s">
        <v>16</v>
      </c>
      <c r="C6173">
        <v>42</v>
      </c>
      <c r="D6173" t="s">
        <v>25</v>
      </c>
      <c r="E6173" t="s">
        <v>22</v>
      </c>
      <c r="F6173">
        <v>81</v>
      </c>
      <c r="G6173">
        <v>68</v>
      </c>
      <c r="H6173">
        <v>0.23</v>
      </c>
      <c r="I6173" t="s">
        <v>19</v>
      </c>
      <c r="J6173">
        <v>0</v>
      </c>
      <c r="K6173">
        <v>1</v>
      </c>
      <c r="L6173">
        <v>1</v>
      </c>
      <c r="M6173">
        <f>VLOOKUP(Table1[[#This Row],[subscription_type]],Plans!$A$1:$B$5,2,FALSE)</f>
        <v>9.99</v>
      </c>
      <c r="N6173">
        <f t="shared" si="96"/>
        <v>9.99</v>
      </c>
    </row>
    <row r="6174" spans="1:14" x14ac:dyDescent="0.35">
      <c r="A6174">
        <v>6173</v>
      </c>
      <c r="B6174" t="s">
        <v>12</v>
      </c>
      <c r="C6174">
        <v>27</v>
      </c>
      <c r="D6174" t="s">
        <v>26</v>
      </c>
      <c r="E6174" t="s">
        <v>24</v>
      </c>
      <c r="F6174">
        <v>76</v>
      </c>
      <c r="G6174">
        <v>34</v>
      </c>
      <c r="H6174">
        <v>0.18</v>
      </c>
      <c r="I6174" t="s">
        <v>15</v>
      </c>
      <c r="J6174">
        <v>0</v>
      </c>
      <c r="K6174">
        <v>1</v>
      </c>
      <c r="L6174">
        <v>0</v>
      </c>
      <c r="M6174">
        <f>VLOOKUP(Table1[[#This Row],[subscription_type]],Plans!$A$1:$B$5,2,FALSE)</f>
        <v>4.99</v>
      </c>
      <c r="N6174">
        <f t="shared" si="96"/>
        <v>0</v>
      </c>
    </row>
    <row r="6175" spans="1:14" x14ac:dyDescent="0.35">
      <c r="A6175">
        <v>6174</v>
      </c>
      <c r="B6175" t="s">
        <v>12</v>
      </c>
      <c r="C6175">
        <v>49</v>
      </c>
      <c r="D6175" t="s">
        <v>29</v>
      </c>
      <c r="E6175" t="s">
        <v>18</v>
      </c>
      <c r="F6175">
        <v>263</v>
      </c>
      <c r="G6175">
        <v>43</v>
      </c>
      <c r="H6175">
        <v>0.52</v>
      </c>
      <c r="I6175" t="s">
        <v>15</v>
      </c>
      <c r="J6175">
        <v>0</v>
      </c>
      <c r="K6175">
        <v>1</v>
      </c>
      <c r="L6175">
        <v>0</v>
      </c>
      <c r="M6175">
        <f>VLOOKUP(Table1[[#This Row],[subscription_type]],Plans!$A$1:$B$5,2,FALSE)</f>
        <v>14.99</v>
      </c>
      <c r="N6175">
        <f t="shared" si="96"/>
        <v>0</v>
      </c>
    </row>
    <row r="6176" spans="1:14" x14ac:dyDescent="0.35">
      <c r="A6176">
        <v>6175</v>
      </c>
      <c r="B6176" t="s">
        <v>12</v>
      </c>
      <c r="C6176">
        <v>40</v>
      </c>
      <c r="D6176" t="s">
        <v>26</v>
      </c>
      <c r="E6176" t="s">
        <v>24</v>
      </c>
      <c r="F6176">
        <v>73</v>
      </c>
      <c r="G6176">
        <v>15</v>
      </c>
      <c r="H6176">
        <v>0.04</v>
      </c>
      <c r="I6176" t="s">
        <v>15</v>
      </c>
      <c r="J6176">
        <v>0</v>
      </c>
      <c r="K6176">
        <v>1</v>
      </c>
      <c r="L6176">
        <v>0</v>
      </c>
      <c r="M6176">
        <f>VLOOKUP(Table1[[#This Row],[subscription_type]],Plans!$A$1:$B$5,2,FALSE)</f>
        <v>4.99</v>
      </c>
      <c r="N6176">
        <f t="shared" si="96"/>
        <v>0</v>
      </c>
    </row>
    <row r="6177" spans="1:14" x14ac:dyDescent="0.35">
      <c r="A6177">
        <v>6176</v>
      </c>
      <c r="B6177" t="s">
        <v>16</v>
      </c>
      <c r="C6177">
        <v>17</v>
      </c>
      <c r="D6177" t="s">
        <v>13</v>
      </c>
      <c r="E6177" t="s">
        <v>24</v>
      </c>
      <c r="F6177">
        <v>249</v>
      </c>
      <c r="G6177">
        <v>72</v>
      </c>
      <c r="H6177">
        <v>0.22</v>
      </c>
      <c r="I6177" t="s">
        <v>23</v>
      </c>
      <c r="J6177">
        <v>0</v>
      </c>
      <c r="K6177">
        <v>1</v>
      </c>
      <c r="L6177">
        <v>1</v>
      </c>
      <c r="M6177">
        <f>VLOOKUP(Table1[[#This Row],[subscription_type]],Plans!$A$1:$B$5,2,FALSE)</f>
        <v>4.99</v>
      </c>
      <c r="N6177">
        <f t="shared" si="96"/>
        <v>4.99</v>
      </c>
    </row>
    <row r="6178" spans="1:14" x14ac:dyDescent="0.35">
      <c r="A6178">
        <v>6177</v>
      </c>
      <c r="B6178" t="s">
        <v>20</v>
      </c>
      <c r="C6178">
        <v>16</v>
      </c>
      <c r="D6178" t="s">
        <v>21</v>
      </c>
      <c r="E6178" t="s">
        <v>22</v>
      </c>
      <c r="F6178">
        <v>182</v>
      </c>
      <c r="G6178">
        <v>52</v>
      </c>
      <c r="H6178">
        <v>0.45</v>
      </c>
      <c r="I6178" t="s">
        <v>15</v>
      </c>
      <c r="J6178">
        <v>0</v>
      </c>
      <c r="K6178">
        <v>1</v>
      </c>
      <c r="L6178">
        <v>0</v>
      </c>
      <c r="M6178">
        <f>VLOOKUP(Table1[[#This Row],[subscription_type]],Plans!$A$1:$B$5,2,FALSE)</f>
        <v>9.99</v>
      </c>
      <c r="N6178">
        <f t="shared" si="96"/>
        <v>0</v>
      </c>
    </row>
    <row r="6179" spans="1:14" x14ac:dyDescent="0.35">
      <c r="A6179">
        <v>6178</v>
      </c>
      <c r="B6179" t="s">
        <v>16</v>
      </c>
      <c r="C6179">
        <v>48</v>
      </c>
      <c r="D6179" t="s">
        <v>25</v>
      </c>
      <c r="E6179" t="s">
        <v>24</v>
      </c>
      <c r="F6179">
        <v>193</v>
      </c>
      <c r="G6179">
        <v>74</v>
      </c>
      <c r="H6179">
        <v>0.46</v>
      </c>
      <c r="I6179" t="s">
        <v>15</v>
      </c>
      <c r="J6179">
        <v>0</v>
      </c>
      <c r="K6179">
        <v>1</v>
      </c>
      <c r="L6179">
        <v>0</v>
      </c>
      <c r="M6179">
        <f>VLOOKUP(Table1[[#This Row],[subscription_type]],Plans!$A$1:$B$5,2,FALSE)</f>
        <v>4.99</v>
      </c>
      <c r="N6179">
        <f t="shared" si="96"/>
        <v>0</v>
      </c>
    </row>
    <row r="6180" spans="1:14" x14ac:dyDescent="0.35">
      <c r="A6180">
        <v>6179</v>
      </c>
      <c r="B6180" t="s">
        <v>12</v>
      </c>
      <c r="C6180">
        <v>39</v>
      </c>
      <c r="D6180" t="s">
        <v>21</v>
      </c>
      <c r="E6180" t="s">
        <v>24</v>
      </c>
      <c r="F6180">
        <v>179</v>
      </c>
      <c r="G6180">
        <v>93</v>
      </c>
      <c r="H6180">
        <v>0.15</v>
      </c>
      <c r="I6180" t="s">
        <v>23</v>
      </c>
      <c r="J6180">
        <v>0</v>
      </c>
      <c r="K6180">
        <v>1</v>
      </c>
      <c r="L6180">
        <v>0</v>
      </c>
      <c r="M6180">
        <f>VLOOKUP(Table1[[#This Row],[subscription_type]],Plans!$A$1:$B$5,2,FALSE)</f>
        <v>4.99</v>
      </c>
      <c r="N6180">
        <f t="shared" si="96"/>
        <v>0</v>
      </c>
    </row>
    <row r="6181" spans="1:14" x14ac:dyDescent="0.35">
      <c r="A6181">
        <v>6180</v>
      </c>
      <c r="B6181" t="s">
        <v>16</v>
      </c>
      <c r="C6181">
        <v>33</v>
      </c>
      <c r="D6181" t="s">
        <v>29</v>
      </c>
      <c r="E6181" t="s">
        <v>22</v>
      </c>
      <c r="F6181">
        <v>40</v>
      </c>
      <c r="G6181">
        <v>51</v>
      </c>
      <c r="H6181">
        <v>0.28999999999999998</v>
      </c>
      <c r="I6181" t="s">
        <v>15</v>
      </c>
      <c r="J6181">
        <v>0</v>
      </c>
      <c r="K6181">
        <v>1</v>
      </c>
      <c r="L6181">
        <v>0</v>
      </c>
      <c r="M6181">
        <f>VLOOKUP(Table1[[#This Row],[subscription_type]],Plans!$A$1:$B$5,2,FALSE)</f>
        <v>9.99</v>
      </c>
      <c r="N6181">
        <f t="shared" si="96"/>
        <v>0</v>
      </c>
    </row>
    <row r="6182" spans="1:14" x14ac:dyDescent="0.35">
      <c r="A6182">
        <v>6181</v>
      </c>
      <c r="B6182" t="s">
        <v>12</v>
      </c>
      <c r="C6182">
        <v>50</v>
      </c>
      <c r="D6182" t="s">
        <v>21</v>
      </c>
      <c r="E6182" t="s">
        <v>24</v>
      </c>
      <c r="F6182">
        <v>82</v>
      </c>
      <c r="G6182">
        <v>45</v>
      </c>
      <c r="H6182">
        <v>0.15</v>
      </c>
      <c r="I6182" t="s">
        <v>19</v>
      </c>
      <c r="J6182">
        <v>0</v>
      </c>
      <c r="K6182">
        <v>1</v>
      </c>
      <c r="L6182">
        <v>0</v>
      </c>
      <c r="M6182">
        <f>VLOOKUP(Table1[[#This Row],[subscription_type]],Plans!$A$1:$B$5,2,FALSE)</f>
        <v>4.99</v>
      </c>
      <c r="N6182">
        <f t="shared" si="96"/>
        <v>0</v>
      </c>
    </row>
    <row r="6183" spans="1:14" x14ac:dyDescent="0.35">
      <c r="A6183">
        <v>6182</v>
      </c>
      <c r="B6183" t="s">
        <v>12</v>
      </c>
      <c r="C6183">
        <v>38</v>
      </c>
      <c r="D6183" t="s">
        <v>17</v>
      </c>
      <c r="E6183" t="s">
        <v>22</v>
      </c>
      <c r="F6183">
        <v>278</v>
      </c>
      <c r="G6183">
        <v>86</v>
      </c>
      <c r="H6183">
        <v>0.55000000000000004</v>
      </c>
      <c r="I6183" t="s">
        <v>15</v>
      </c>
      <c r="J6183">
        <v>0</v>
      </c>
      <c r="K6183">
        <v>1</v>
      </c>
      <c r="L6183">
        <v>1</v>
      </c>
      <c r="M6183">
        <f>VLOOKUP(Table1[[#This Row],[subscription_type]],Plans!$A$1:$B$5,2,FALSE)</f>
        <v>9.99</v>
      </c>
      <c r="N6183">
        <f t="shared" si="96"/>
        <v>9.99</v>
      </c>
    </row>
    <row r="6184" spans="1:14" x14ac:dyDescent="0.35">
      <c r="A6184">
        <v>6183</v>
      </c>
      <c r="B6184" t="s">
        <v>20</v>
      </c>
      <c r="C6184">
        <v>23</v>
      </c>
      <c r="D6184" t="s">
        <v>28</v>
      </c>
      <c r="E6184" t="s">
        <v>24</v>
      </c>
      <c r="F6184">
        <v>197</v>
      </c>
      <c r="G6184">
        <v>71</v>
      </c>
      <c r="H6184">
        <v>0.11</v>
      </c>
      <c r="I6184" t="s">
        <v>15</v>
      </c>
      <c r="J6184">
        <v>0</v>
      </c>
      <c r="K6184">
        <v>1</v>
      </c>
      <c r="L6184">
        <v>1</v>
      </c>
      <c r="M6184">
        <f>VLOOKUP(Table1[[#This Row],[subscription_type]],Plans!$A$1:$B$5,2,FALSE)</f>
        <v>4.99</v>
      </c>
      <c r="N6184">
        <f t="shared" si="96"/>
        <v>4.99</v>
      </c>
    </row>
    <row r="6185" spans="1:14" x14ac:dyDescent="0.35">
      <c r="A6185">
        <v>6184</v>
      </c>
      <c r="B6185" t="s">
        <v>12</v>
      </c>
      <c r="C6185">
        <v>21</v>
      </c>
      <c r="D6185" t="s">
        <v>26</v>
      </c>
      <c r="E6185" t="s">
        <v>22</v>
      </c>
      <c r="F6185">
        <v>153</v>
      </c>
      <c r="G6185">
        <v>41</v>
      </c>
      <c r="H6185">
        <v>0.41</v>
      </c>
      <c r="I6185" t="s">
        <v>15</v>
      </c>
      <c r="J6185">
        <v>0</v>
      </c>
      <c r="K6185">
        <v>1</v>
      </c>
      <c r="L6185">
        <v>1</v>
      </c>
      <c r="M6185">
        <f>VLOOKUP(Table1[[#This Row],[subscription_type]],Plans!$A$1:$B$5,2,FALSE)</f>
        <v>9.99</v>
      </c>
      <c r="N6185">
        <f t="shared" si="96"/>
        <v>9.99</v>
      </c>
    </row>
    <row r="6186" spans="1:14" x14ac:dyDescent="0.35">
      <c r="A6186">
        <v>6185</v>
      </c>
      <c r="B6186" t="s">
        <v>16</v>
      </c>
      <c r="C6186">
        <v>33</v>
      </c>
      <c r="D6186" t="s">
        <v>28</v>
      </c>
      <c r="E6186" t="s">
        <v>14</v>
      </c>
      <c r="F6186">
        <v>127</v>
      </c>
      <c r="G6186">
        <v>33</v>
      </c>
      <c r="H6186">
        <v>0.09</v>
      </c>
      <c r="I6186" t="s">
        <v>19</v>
      </c>
      <c r="J6186">
        <v>48</v>
      </c>
      <c r="K6186">
        <v>0</v>
      </c>
      <c r="L6186">
        <v>0</v>
      </c>
      <c r="M6186">
        <f>VLOOKUP(Table1[[#This Row],[subscription_type]],Plans!$A$1:$B$5,2,FALSE)</f>
        <v>0</v>
      </c>
      <c r="N6186">
        <f t="shared" si="96"/>
        <v>0</v>
      </c>
    </row>
    <row r="6187" spans="1:14" x14ac:dyDescent="0.35">
      <c r="A6187">
        <v>6186</v>
      </c>
      <c r="B6187" t="s">
        <v>20</v>
      </c>
      <c r="C6187">
        <v>32</v>
      </c>
      <c r="D6187" t="s">
        <v>29</v>
      </c>
      <c r="E6187" t="s">
        <v>22</v>
      </c>
      <c r="F6187">
        <v>12</v>
      </c>
      <c r="G6187">
        <v>96</v>
      </c>
      <c r="H6187">
        <v>0.47</v>
      </c>
      <c r="I6187" t="s">
        <v>19</v>
      </c>
      <c r="J6187">
        <v>0</v>
      </c>
      <c r="K6187">
        <v>1</v>
      </c>
      <c r="L6187">
        <v>1</v>
      </c>
      <c r="M6187">
        <f>VLOOKUP(Table1[[#This Row],[subscription_type]],Plans!$A$1:$B$5,2,FALSE)</f>
        <v>9.99</v>
      </c>
      <c r="N6187">
        <f t="shared" si="96"/>
        <v>9.99</v>
      </c>
    </row>
    <row r="6188" spans="1:14" x14ac:dyDescent="0.35">
      <c r="A6188">
        <v>6187</v>
      </c>
      <c r="B6188" t="s">
        <v>12</v>
      </c>
      <c r="C6188">
        <v>46</v>
      </c>
      <c r="D6188" t="s">
        <v>28</v>
      </c>
      <c r="E6188" t="s">
        <v>24</v>
      </c>
      <c r="F6188">
        <v>164</v>
      </c>
      <c r="G6188">
        <v>92</v>
      </c>
      <c r="H6188">
        <v>0.1</v>
      </c>
      <c r="I6188" t="s">
        <v>23</v>
      </c>
      <c r="J6188">
        <v>0</v>
      </c>
      <c r="K6188">
        <v>1</v>
      </c>
      <c r="L6188">
        <v>0</v>
      </c>
      <c r="M6188">
        <f>VLOOKUP(Table1[[#This Row],[subscription_type]],Plans!$A$1:$B$5,2,FALSE)</f>
        <v>4.99</v>
      </c>
      <c r="N6188">
        <f t="shared" si="96"/>
        <v>0</v>
      </c>
    </row>
    <row r="6189" spans="1:14" x14ac:dyDescent="0.35">
      <c r="A6189">
        <v>6188</v>
      </c>
      <c r="B6189" t="s">
        <v>16</v>
      </c>
      <c r="C6189">
        <v>34</v>
      </c>
      <c r="D6189" t="s">
        <v>17</v>
      </c>
      <c r="E6189" t="s">
        <v>22</v>
      </c>
      <c r="F6189">
        <v>113</v>
      </c>
      <c r="G6189">
        <v>92</v>
      </c>
      <c r="H6189">
        <v>0.34</v>
      </c>
      <c r="I6189" t="s">
        <v>23</v>
      </c>
      <c r="J6189">
        <v>0</v>
      </c>
      <c r="K6189">
        <v>1</v>
      </c>
      <c r="L6189">
        <v>1</v>
      </c>
      <c r="M6189">
        <f>VLOOKUP(Table1[[#This Row],[subscription_type]],Plans!$A$1:$B$5,2,FALSE)</f>
        <v>9.99</v>
      </c>
      <c r="N6189">
        <f t="shared" si="96"/>
        <v>9.99</v>
      </c>
    </row>
    <row r="6190" spans="1:14" x14ac:dyDescent="0.35">
      <c r="A6190">
        <v>6189</v>
      </c>
      <c r="B6190" t="s">
        <v>16</v>
      </c>
      <c r="C6190">
        <v>16</v>
      </c>
      <c r="D6190" t="s">
        <v>27</v>
      </c>
      <c r="E6190" t="s">
        <v>18</v>
      </c>
      <c r="F6190">
        <v>72</v>
      </c>
      <c r="G6190">
        <v>62</v>
      </c>
      <c r="H6190">
        <v>0.32</v>
      </c>
      <c r="I6190" t="s">
        <v>23</v>
      </c>
      <c r="J6190">
        <v>0</v>
      </c>
      <c r="K6190">
        <v>1</v>
      </c>
      <c r="L6190">
        <v>0</v>
      </c>
      <c r="M6190">
        <f>VLOOKUP(Table1[[#This Row],[subscription_type]],Plans!$A$1:$B$5,2,FALSE)</f>
        <v>14.99</v>
      </c>
      <c r="N6190">
        <f t="shared" si="96"/>
        <v>0</v>
      </c>
    </row>
    <row r="6191" spans="1:14" x14ac:dyDescent="0.35">
      <c r="A6191">
        <v>6190</v>
      </c>
      <c r="B6191" t="s">
        <v>16</v>
      </c>
      <c r="C6191">
        <v>31</v>
      </c>
      <c r="D6191" t="s">
        <v>21</v>
      </c>
      <c r="E6191" t="s">
        <v>14</v>
      </c>
      <c r="F6191">
        <v>135</v>
      </c>
      <c r="G6191">
        <v>83</v>
      </c>
      <c r="H6191">
        <v>0.04</v>
      </c>
      <c r="I6191" t="s">
        <v>23</v>
      </c>
      <c r="J6191">
        <v>33</v>
      </c>
      <c r="K6191">
        <v>0</v>
      </c>
      <c r="L6191">
        <v>0</v>
      </c>
      <c r="M6191">
        <f>VLOOKUP(Table1[[#This Row],[subscription_type]],Plans!$A$1:$B$5,2,FALSE)</f>
        <v>0</v>
      </c>
      <c r="N6191">
        <f t="shared" si="96"/>
        <v>0</v>
      </c>
    </row>
    <row r="6192" spans="1:14" x14ac:dyDescent="0.35">
      <c r="A6192">
        <v>6191</v>
      </c>
      <c r="B6192" t="s">
        <v>16</v>
      </c>
      <c r="C6192">
        <v>38</v>
      </c>
      <c r="D6192" t="s">
        <v>17</v>
      </c>
      <c r="E6192" t="s">
        <v>22</v>
      </c>
      <c r="F6192">
        <v>135</v>
      </c>
      <c r="G6192">
        <v>12</v>
      </c>
      <c r="H6192">
        <v>0.04</v>
      </c>
      <c r="I6192" t="s">
        <v>19</v>
      </c>
      <c r="J6192">
        <v>0</v>
      </c>
      <c r="K6192">
        <v>1</v>
      </c>
      <c r="L6192">
        <v>0</v>
      </c>
      <c r="M6192">
        <f>VLOOKUP(Table1[[#This Row],[subscription_type]],Plans!$A$1:$B$5,2,FALSE)</f>
        <v>9.99</v>
      </c>
      <c r="N6192">
        <f t="shared" si="96"/>
        <v>0</v>
      </c>
    </row>
    <row r="6193" spans="1:14" x14ac:dyDescent="0.35">
      <c r="A6193">
        <v>6192</v>
      </c>
      <c r="B6193" t="s">
        <v>20</v>
      </c>
      <c r="C6193">
        <v>54</v>
      </c>
      <c r="D6193" t="s">
        <v>26</v>
      </c>
      <c r="E6193" t="s">
        <v>18</v>
      </c>
      <c r="F6193">
        <v>189</v>
      </c>
      <c r="G6193">
        <v>20</v>
      </c>
      <c r="H6193">
        <v>0.09</v>
      </c>
      <c r="I6193" t="s">
        <v>23</v>
      </c>
      <c r="J6193">
        <v>0</v>
      </c>
      <c r="K6193">
        <v>1</v>
      </c>
      <c r="L6193">
        <v>0</v>
      </c>
      <c r="M6193">
        <f>VLOOKUP(Table1[[#This Row],[subscription_type]],Plans!$A$1:$B$5,2,FALSE)</f>
        <v>14.99</v>
      </c>
      <c r="N6193">
        <f t="shared" si="96"/>
        <v>0</v>
      </c>
    </row>
    <row r="6194" spans="1:14" x14ac:dyDescent="0.35">
      <c r="A6194">
        <v>6193</v>
      </c>
      <c r="B6194" t="s">
        <v>20</v>
      </c>
      <c r="C6194">
        <v>30</v>
      </c>
      <c r="D6194" t="s">
        <v>28</v>
      </c>
      <c r="E6194" t="s">
        <v>22</v>
      </c>
      <c r="F6194">
        <v>57</v>
      </c>
      <c r="G6194">
        <v>24</v>
      </c>
      <c r="H6194">
        <v>0.31</v>
      </c>
      <c r="I6194" t="s">
        <v>15</v>
      </c>
      <c r="J6194">
        <v>0</v>
      </c>
      <c r="K6194">
        <v>1</v>
      </c>
      <c r="L6194">
        <v>0</v>
      </c>
      <c r="M6194">
        <f>VLOOKUP(Table1[[#This Row],[subscription_type]],Plans!$A$1:$B$5,2,FALSE)</f>
        <v>9.99</v>
      </c>
      <c r="N6194">
        <f t="shared" si="96"/>
        <v>0</v>
      </c>
    </row>
    <row r="6195" spans="1:14" x14ac:dyDescent="0.35">
      <c r="A6195">
        <v>6194</v>
      </c>
      <c r="B6195" t="s">
        <v>16</v>
      </c>
      <c r="C6195">
        <v>50</v>
      </c>
      <c r="D6195" t="s">
        <v>13</v>
      </c>
      <c r="E6195" t="s">
        <v>24</v>
      </c>
      <c r="F6195">
        <v>167</v>
      </c>
      <c r="G6195">
        <v>3</v>
      </c>
      <c r="H6195">
        <v>0.25</v>
      </c>
      <c r="I6195" t="s">
        <v>15</v>
      </c>
      <c r="J6195">
        <v>0</v>
      </c>
      <c r="K6195">
        <v>1</v>
      </c>
      <c r="L6195">
        <v>0</v>
      </c>
      <c r="M6195">
        <f>VLOOKUP(Table1[[#This Row],[subscription_type]],Plans!$A$1:$B$5,2,FALSE)</f>
        <v>4.99</v>
      </c>
      <c r="N6195">
        <f t="shared" si="96"/>
        <v>0</v>
      </c>
    </row>
    <row r="6196" spans="1:14" x14ac:dyDescent="0.35">
      <c r="A6196">
        <v>6195</v>
      </c>
      <c r="B6196" t="s">
        <v>12</v>
      </c>
      <c r="C6196">
        <v>42</v>
      </c>
      <c r="D6196" t="s">
        <v>17</v>
      </c>
      <c r="E6196" t="s">
        <v>18</v>
      </c>
      <c r="F6196">
        <v>13</v>
      </c>
      <c r="G6196">
        <v>28</v>
      </c>
      <c r="H6196">
        <v>0.26</v>
      </c>
      <c r="I6196" t="s">
        <v>19</v>
      </c>
      <c r="J6196">
        <v>0</v>
      </c>
      <c r="K6196">
        <v>1</v>
      </c>
      <c r="L6196">
        <v>0</v>
      </c>
      <c r="M6196">
        <f>VLOOKUP(Table1[[#This Row],[subscription_type]],Plans!$A$1:$B$5,2,FALSE)</f>
        <v>14.99</v>
      </c>
      <c r="N6196">
        <f t="shared" si="96"/>
        <v>0</v>
      </c>
    </row>
    <row r="6197" spans="1:14" x14ac:dyDescent="0.35">
      <c r="A6197">
        <v>6196</v>
      </c>
      <c r="B6197" t="s">
        <v>20</v>
      </c>
      <c r="C6197">
        <v>38</v>
      </c>
      <c r="D6197" t="s">
        <v>25</v>
      </c>
      <c r="E6197" t="s">
        <v>22</v>
      </c>
      <c r="F6197">
        <v>172</v>
      </c>
      <c r="G6197">
        <v>11</v>
      </c>
      <c r="H6197">
        <v>0.32</v>
      </c>
      <c r="I6197" t="s">
        <v>23</v>
      </c>
      <c r="J6197">
        <v>0</v>
      </c>
      <c r="K6197">
        <v>1</v>
      </c>
      <c r="L6197">
        <v>0</v>
      </c>
      <c r="M6197">
        <f>VLOOKUP(Table1[[#This Row],[subscription_type]],Plans!$A$1:$B$5,2,FALSE)</f>
        <v>9.99</v>
      </c>
      <c r="N6197">
        <f t="shared" si="96"/>
        <v>0</v>
      </c>
    </row>
    <row r="6198" spans="1:14" x14ac:dyDescent="0.35">
      <c r="A6198">
        <v>6197</v>
      </c>
      <c r="B6198" t="s">
        <v>16</v>
      </c>
      <c r="C6198">
        <v>25</v>
      </c>
      <c r="D6198" t="s">
        <v>25</v>
      </c>
      <c r="E6198" t="s">
        <v>14</v>
      </c>
      <c r="F6198">
        <v>296</v>
      </c>
      <c r="G6198">
        <v>69</v>
      </c>
      <c r="H6198">
        <v>0.52</v>
      </c>
      <c r="I6198" t="s">
        <v>23</v>
      </c>
      <c r="J6198">
        <v>12</v>
      </c>
      <c r="K6198">
        <v>0</v>
      </c>
      <c r="L6198">
        <v>1</v>
      </c>
      <c r="M6198">
        <f>VLOOKUP(Table1[[#This Row],[subscription_type]],Plans!$A$1:$B$5,2,FALSE)</f>
        <v>0</v>
      </c>
      <c r="N6198">
        <f t="shared" si="96"/>
        <v>0</v>
      </c>
    </row>
    <row r="6199" spans="1:14" x14ac:dyDescent="0.35">
      <c r="A6199">
        <v>6198</v>
      </c>
      <c r="B6199" t="s">
        <v>20</v>
      </c>
      <c r="C6199">
        <v>42</v>
      </c>
      <c r="D6199" t="s">
        <v>25</v>
      </c>
      <c r="E6199" t="s">
        <v>24</v>
      </c>
      <c r="F6199">
        <v>73</v>
      </c>
      <c r="G6199">
        <v>16</v>
      </c>
      <c r="H6199">
        <v>0.2</v>
      </c>
      <c r="I6199" t="s">
        <v>15</v>
      </c>
      <c r="J6199">
        <v>0</v>
      </c>
      <c r="K6199">
        <v>1</v>
      </c>
      <c r="L6199">
        <v>0</v>
      </c>
      <c r="M6199">
        <f>VLOOKUP(Table1[[#This Row],[subscription_type]],Plans!$A$1:$B$5,2,FALSE)</f>
        <v>4.99</v>
      </c>
      <c r="N6199">
        <f t="shared" si="96"/>
        <v>0</v>
      </c>
    </row>
    <row r="6200" spans="1:14" x14ac:dyDescent="0.35">
      <c r="A6200">
        <v>6199</v>
      </c>
      <c r="B6200" t="s">
        <v>12</v>
      </c>
      <c r="C6200">
        <v>43</v>
      </c>
      <c r="D6200" t="s">
        <v>21</v>
      </c>
      <c r="E6200" t="s">
        <v>22</v>
      </c>
      <c r="F6200">
        <v>231</v>
      </c>
      <c r="G6200">
        <v>49</v>
      </c>
      <c r="H6200">
        <v>0.56000000000000005</v>
      </c>
      <c r="I6200" t="s">
        <v>23</v>
      </c>
      <c r="J6200">
        <v>0</v>
      </c>
      <c r="K6200">
        <v>1</v>
      </c>
      <c r="L6200">
        <v>0</v>
      </c>
      <c r="M6200">
        <f>VLOOKUP(Table1[[#This Row],[subscription_type]],Plans!$A$1:$B$5,2,FALSE)</f>
        <v>9.99</v>
      </c>
      <c r="N6200">
        <f t="shared" si="96"/>
        <v>0</v>
      </c>
    </row>
    <row r="6201" spans="1:14" x14ac:dyDescent="0.35">
      <c r="A6201">
        <v>6200</v>
      </c>
      <c r="B6201" t="s">
        <v>20</v>
      </c>
      <c r="C6201">
        <v>52</v>
      </c>
      <c r="D6201" t="s">
        <v>28</v>
      </c>
      <c r="E6201" t="s">
        <v>22</v>
      </c>
      <c r="F6201">
        <v>161</v>
      </c>
      <c r="G6201">
        <v>7</v>
      </c>
      <c r="H6201">
        <v>0.46</v>
      </c>
      <c r="I6201" t="s">
        <v>19</v>
      </c>
      <c r="J6201">
        <v>0</v>
      </c>
      <c r="K6201">
        <v>1</v>
      </c>
      <c r="L6201">
        <v>1</v>
      </c>
      <c r="M6201">
        <f>VLOOKUP(Table1[[#This Row],[subscription_type]],Plans!$A$1:$B$5,2,FALSE)</f>
        <v>9.99</v>
      </c>
      <c r="N6201">
        <f t="shared" si="96"/>
        <v>9.99</v>
      </c>
    </row>
    <row r="6202" spans="1:14" x14ac:dyDescent="0.35">
      <c r="A6202">
        <v>6201</v>
      </c>
      <c r="B6202" t="s">
        <v>20</v>
      </c>
      <c r="C6202">
        <v>37</v>
      </c>
      <c r="D6202" t="s">
        <v>29</v>
      </c>
      <c r="E6202" t="s">
        <v>18</v>
      </c>
      <c r="F6202">
        <v>79</v>
      </c>
      <c r="G6202">
        <v>27</v>
      </c>
      <c r="H6202">
        <v>0.13</v>
      </c>
      <c r="I6202" t="s">
        <v>19</v>
      </c>
      <c r="J6202">
        <v>0</v>
      </c>
      <c r="K6202">
        <v>1</v>
      </c>
      <c r="L6202">
        <v>0</v>
      </c>
      <c r="M6202">
        <f>VLOOKUP(Table1[[#This Row],[subscription_type]],Plans!$A$1:$B$5,2,FALSE)</f>
        <v>14.99</v>
      </c>
      <c r="N6202">
        <f t="shared" si="96"/>
        <v>0</v>
      </c>
    </row>
    <row r="6203" spans="1:14" x14ac:dyDescent="0.35">
      <c r="A6203">
        <v>6202</v>
      </c>
      <c r="B6203" t="s">
        <v>16</v>
      </c>
      <c r="C6203">
        <v>29</v>
      </c>
      <c r="D6203" t="s">
        <v>29</v>
      </c>
      <c r="E6203" t="s">
        <v>24</v>
      </c>
      <c r="F6203">
        <v>66</v>
      </c>
      <c r="G6203">
        <v>89</v>
      </c>
      <c r="H6203">
        <v>0.14000000000000001</v>
      </c>
      <c r="I6203" t="s">
        <v>15</v>
      </c>
      <c r="J6203">
        <v>0</v>
      </c>
      <c r="K6203">
        <v>1</v>
      </c>
      <c r="L6203">
        <v>0</v>
      </c>
      <c r="M6203">
        <f>VLOOKUP(Table1[[#This Row],[subscription_type]],Plans!$A$1:$B$5,2,FALSE)</f>
        <v>4.99</v>
      </c>
      <c r="N6203">
        <f t="shared" si="96"/>
        <v>0</v>
      </c>
    </row>
    <row r="6204" spans="1:14" x14ac:dyDescent="0.35">
      <c r="A6204">
        <v>6203</v>
      </c>
      <c r="B6204" t="s">
        <v>12</v>
      </c>
      <c r="C6204">
        <v>52</v>
      </c>
      <c r="D6204" t="s">
        <v>26</v>
      </c>
      <c r="E6204" t="s">
        <v>24</v>
      </c>
      <c r="F6204">
        <v>180</v>
      </c>
      <c r="G6204">
        <v>86</v>
      </c>
      <c r="H6204">
        <v>0.13</v>
      </c>
      <c r="I6204" t="s">
        <v>19</v>
      </c>
      <c r="J6204">
        <v>0</v>
      </c>
      <c r="K6204">
        <v>1</v>
      </c>
      <c r="L6204">
        <v>0</v>
      </c>
      <c r="M6204">
        <f>VLOOKUP(Table1[[#This Row],[subscription_type]],Plans!$A$1:$B$5,2,FALSE)</f>
        <v>4.99</v>
      </c>
      <c r="N6204">
        <f t="shared" si="96"/>
        <v>0</v>
      </c>
    </row>
    <row r="6205" spans="1:14" x14ac:dyDescent="0.35">
      <c r="A6205">
        <v>6204</v>
      </c>
      <c r="B6205" t="s">
        <v>12</v>
      </c>
      <c r="C6205">
        <v>45</v>
      </c>
      <c r="D6205" t="s">
        <v>27</v>
      </c>
      <c r="E6205" t="s">
        <v>24</v>
      </c>
      <c r="F6205">
        <v>214</v>
      </c>
      <c r="G6205">
        <v>9</v>
      </c>
      <c r="H6205">
        <v>0.18</v>
      </c>
      <c r="I6205" t="s">
        <v>23</v>
      </c>
      <c r="J6205">
        <v>0</v>
      </c>
      <c r="K6205">
        <v>1</v>
      </c>
      <c r="L6205">
        <v>0</v>
      </c>
      <c r="M6205">
        <f>VLOOKUP(Table1[[#This Row],[subscription_type]],Plans!$A$1:$B$5,2,FALSE)</f>
        <v>4.99</v>
      </c>
      <c r="N6205">
        <f t="shared" si="96"/>
        <v>0</v>
      </c>
    </row>
    <row r="6206" spans="1:14" x14ac:dyDescent="0.35">
      <c r="A6206">
        <v>6205</v>
      </c>
      <c r="B6206" t="s">
        <v>12</v>
      </c>
      <c r="C6206">
        <v>17</v>
      </c>
      <c r="D6206" t="s">
        <v>17</v>
      </c>
      <c r="E6206" t="s">
        <v>14</v>
      </c>
      <c r="F6206">
        <v>115</v>
      </c>
      <c r="G6206">
        <v>8</v>
      </c>
      <c r="H6206">
        <v>0.2</v>
      </c>
      <c r="I6206" t="s">
        <v>23</v>
      </c>
      <c r="J6206">
        <v>42</v>
      </c>
      <c r="K6206">
        <v>0</v>
      </c>
      <c r="L6206">
        <v>0</v>
      </c>
      <c r="M6206">
        <f>VLOOKUP(Table1[[#This Row],[subscription_type]],Plans!$A$1:$B$5,2,FALSE)</f>
        <v>0</v>
      </c>
      <c r="N6206">
        <f t="shared" si="96"/>
        <v>0</v>
      </c>
    </row>
    <row r="6207" spans="1:14" x14ac:dyDescent="0.35">
      <c r="A6207">
        <v>6206</v>
      </c>
      <c r="B6207" t="s">
        <v>20</v>
      </c>
      <c r="C6207">
        <v>52</v>
      </c>
      <c r="D6207" t="s">
        <v>13</v>
      </c>
      <c r="E6207" t="s">
        <v>24</v>
      </c>
      <c r="F6207">
        <v>204</v>
      </c>
      <c r="G6207">
        <v>58</v>
      </c>
      <c r="H6207">
        <v>0.11</v>
      </c>
      <c r="I6207" t="s">
        <v>19</v>
      </c>
      <c r="J6207">
        <v>0</v>
      </c>
      <c r="K6207">
        <v>1</v>
      </c>
      <c r="L6207">
        <v>0</v>
      </c>
      <c r="M6207">
        <f>VLOOKUP(Table1[[#This Row],[subscription_type]],Plans!$A$1:$B$5,2,FALSE)</f>
        <v>4.99</v>
      </c>
      <c r="N6207">
        <f t="shared" si="96"/>
        <v>0</v>
      </c>
    </row>
    <row r="6208" spans="1:14" x14ac:dyDescent="0.35">
      <c r="A6208">
        <v>6207</v>
      </c>
      <c r="B6208" t="s">
        <v>12</v>
      </c>
      <c r="C6208">
        <v>53</v>
      </c>
      <c r="D6208" t="s">
        <v>27</v>
      </c>
      <c r="E6208" t="s">
        <v>18</v>
      </c>
      <c r="F6208">
        <v>32</v>
      </c>
      <c r="G6208">
        <v>54</v>
      </c>
      <c r="H6208">
        <v>0.28999999999999998</v>
      </c>
      <c r="I6208" t="s">
        <v>15</v>
      </c>
      <c r="J6208">
        <v>0</v>
      </c>
      <c r="K6208">
        <v>1</v>
      </c>
      <c r="L6208">
        <v>0</v>
      </c>
      <c r="M6208">
        <f>VLOOKUP(Table1[[#This Row],[subscription_type]],Plans!$A$1:$B$5,2,FALSE)</f>
        <v>14.99</v>
      </c>
      <c r="N6208">
        <f t="shared" si="96"/>
        <v>0</v>
      </c>
    </row>
    <row r="6209" spans="1:14" x14ac:dyDescent="0.35">
      <c r="A6209">
        <v>6208</v>
      </c>
      <c r="B6209" t="s">
        <v>12</v>
      </c>
      <c r="C6209">
        <v>49</v>
      </c>
      <c r="D6209" t="s">
        <v>21</v>
      </c>
      <c r="E6209" t="s">
        <v>18</v>
      </c>
      <c r="F6209">
        <v>173</v>
      </c>
      <c r="G6209">
        <v>5</v>
      </c>
      <c r="H6209">
        <v>0.39</v>
      </c>
      <c r="I6209" t="s">
        <v>19</v>
      </c>
      <c r="J6209">
        <v>0</v>
      </c>
      <c r="K6209">
        <v>1</v>
      </c>
      <c r="L6209">
        <v>0</v>
      </c>
      <c r="M6209">
        <f>VLOOKUP(Table1[[#This Row],[subscription_type]],Plans!$A$1:$B$5,2,FALSE)</f>
        <v>14.99</v>
      </c>
      <c r="N6209">
        <f t="shared" si="96"/>
        <v>0</v>
      </c>
    </row>
    <row r="6210" spans="1:14" x14ac:dyDescent="0.35">
      <c r="A6210">
        <v>6209</v>
      </c>
      <c r="B6210" t="s">
        <v>20</v>
      </c>
      <c r="C6210">
        <v>50</v>
      </c>
      <c r="D6210" t="s">
        <v>28</v>
      </c>
      <c r="E6210" t="s">
        <v>14</v>
      </c>
      <c r="F6210">
        <v>269</v>
      </c>
      <c r="G6210">
        <v>52</v>
      </c>
      <c r="H6210">
        <v>0.17</v>
      </c>
      <c r="I6210" t="s">
        <v>19</v>
      </c>
      <c r="J6210">
        <v>8</v>
      </c>
      <c r="K6210">
        <v>0</v>
      </c>
      <c r="L6210">
        <v>0</v>
      </c>
      <c r="M6210">
        <f>VLOOKUP(Table1[[#This Row],[subscription_type]],Plans!$A$1:$B$5,2,FALSE)</f>
        <v>0</v>
      </c>
      <c r="N6210">
        <f t="shared" ref="N6210:N6273" si="97">IF(L6210=1, M6210,0)</f>
        <v>0</v>
      </c>
    </row>
    <row r="6211" spans="1:14" x14ac:dyDescent="0.35">
      <c r="A6211">
        <v>6210</v>
      </c>
      <c r="B6211" t="s">
        <v>12</v>
      </c>
      <c r="C6211">
        <v>50</v>
      </c>
      <c r="D6211" t="s">
        <v>26</v>
      </c>
      <c r="E6211" t="s">
        <v>24</v>
      </c>
      <c r="F6211">
        <v>281</v>
      </c>
      <c r="G6211">
        <v>40</v>
      </c>
      <c r="H6211">
        <v>0.31</v>
      </c>
      <c r="I6211" t="s">
        <v>19</v>
      </c>
      <c r="J6211">
        <v>0</v>
      </c>
      <c r="K6211">
        <v>1</v>
      </c>
      <c r="L6211">
        <v>0</v>
      </c>
      <c r="M6211">
        <f>VLOOKUP(Table1[[#This Row],[subscription_type]],Plans!$A$1:$B$5,2,FALSE)</f>
        <v>4.99</v>
      </c>
      <c r="N6211">
        <f t="shared" si="97"/>
        <v>0</v>
      </c>
    </row>
    <row r="6212" spans="1:14" x14ac:dyDescent="0.35">
      <c r="A6212">
        <v>6211</v>
      </c>
      <c r="B6212" t="s">
        <v>16</v>
      </c>
      <c r="C6212">
        <v>48</v>
      </c>
      <c r="D6212" t="s">
        <v>27</v>
      </c>
      <c r="E6212" t="s">
        <v>24</v>
      </c>
      <c r="F6212">
        <v>226</v>
      </c>
      <c r="G6212">
        <v>45</v>
      </c>
      <c r="H6212">
        <v>0.44</v>
      </c>
      <c r="I6212" t="s">
        <v>19</v>
      </c>
      <c r="J6212">
        <v>0</v>
      </c>
      <c r="K6212">
        <v>1</v>
      </c>
      <c r="L6212">
        <v>0</v>
      </c>
      <c r="M6212">
        <f>VLOOKUP(Table1[[#This Row],[subscription_type]],Plans!$A$1:$B$5,2,FALSE)</f>
        <v>4.99</v>
      </c>
      <c r="N6212">
        <f t="shared" si="97"/>
        <v>0</v>
      </c>
    </row>
    <row r="6213" spans="1:14" x14ac:dyDescent="0.35">
      <c r="A6213">
        <v>6212</v>
      </c>
      <c r="B6213" t="s">
        <v>12</v>
      </c>
      <c r="C6213">
        <v>24</v>
      </c>
      <c r="D6213" t="s">
        <v>21</v>
      </c>
      <c r="E6213" t="s">
        <v>14</v>
      </c>
      <c r="F6213">
        <v>165</v>
      </c>
      <c r="G6213">
        <v>71</v>
      </c>
      <c r="H6213">
        <v>0.22</v>
      </c>
      <c r="I6213" t="s">
        <v>19</v>
      </c>
      <c r="J6213">
        <v>33</v>
      </c>
      <c r="K6213">
        <v>0</v>
      </c>
      <c r="L6213">
        <v>0</v>
      </c>
      <c r="M6213">
        <f>VLOOKUP(Table1[[#This Row],[subscription_type]],Plans!$A$1:$B$5,2,FALSE)</f>
        <v>0</v>
      </c>
      <c r="N6213">
        <f t="shared" si="97"/>
        <v>0</v>
      </c>
    </row>
    <row r="6214" spans="1:14" x14ac:dyDescent="0.35">
      <c r="A6214">
        <v>6213</v>
      </c>
      <c r="B6214" t="s">
        <v>20</v>
      </c>
      <c r="C6214">
        <v>44</v>
      </c>
      <c r="D6214" t="s">
        <v>29</v>
      </c>
      <c r="E6214" t="s">
        <v>14</v>
      </c>
      <c r="F6214">
        <v>155</v>
      </c>
      <c r="G6214">
        <v>97</v>
      </c>
      <c r="H6214">
        <v>0.2</v>
      </c>
      <c r="I6214" t="s">
        <v>23</v>
      </c>
      <c r="J6214">
        <v>34</v>
      </c>
      <c r="K6214">
        <v>0</v>
      </c>
      <c r="L6214">
        <v>0</v>
      </c>
      <c r="M6214">
        <f>VLOOKUP(Table1[[#This Row],[subscription_type]],Plans!$A$1:$B$5,2,FALSE)</f>
        <v>0</v>
      </c>
      <c r="N6214">
        <f t="shared" si="97"/>
        <v>0</v>
      </c>
    </row>
    <row r="6215" spans="1:14" x14ac:dyDescent="0.35">
      <c r="A6215">
        <v>6214</v>
      </c>
      <c r="B6215" t="s">
        <v>16</v>
      </c>
      <c r="C6215">
        <v>38</v>
      </c>
      <c r="D6215" t="s">
        <v>13</v>
      </c>
      <c r="E6215" t="s">
        <v>24</v>
      </c>
      <c r="F6215">
        <v>161</v>
      </c>
      <c r="G6215">
        <v>66</v>
      </c>
      <c r="H6215">
        <v>0.52</v>
      </c>
      <c r="I6215" t="s">
        <v>19</v>
      </c>
      <c r="J6215">
        <v>0</v>
      </c>
      <c r="K6215">
        <v>1</v>
      </c>
      <c r="L6215">
        <v>1</v>
      </c>
      <c r="M6215">
        <f>VLOOKUP(Table1[[#This Row],[subscription_type]],Plans!$A$1:$B$5,2,FALSE)</f>
        <v>4.99</v>
      </c>
      <c r="N6215">
        <f t="shared" si="97"/>
        <v>4.99</v>
      </c>
    </row>
    <row r="6216" spans="1:14" x14ac:dyDescent="0.35">
      <c r="A6216">
        <v>6215</v>
      </c>
      <c r="B6216" t="s">
        <v>16</v>
      </c>
      <c r="C6216">
        <v>30</v>
      </c>
      <c r="D6216" t="s">
        <v>26</v>
      </c>
      <c r="E6216" t="s">
        <v>14</v>
      </c>
      <c r="F6216">
        <v>15</v>
      </c>
      <c r="G6216">
        <v>24</v>
      </c>
      <c r="H6216">
        <v>0</v>
      </c>
      <c r="I6216" t="s">
        <v>23</v>
      </c>
      <c r="J6216">
        <v>38</v>
      </c>
      <c r="K6216">
        <v>0</v>
      </c>
      <c r="L6216">
        <v>0</v>
      </c>
      <c r="M6216">
        <f>VLOOKUP(Table1[[#This Row],[subscription_type]],Plans!$A$1:$B$5,2,FALSE)</f>
        <v>0</v>
      </c>
      <c r="N6216">
        <f t="shared" si="97"/>
        <v>0</v>
      </c>
    </row>
    <row r="6217" spans="1:14" x14ac:dyDescent="0.35">
      <c r="A6217">
        <v>6216</v>
      </c>
      <c r="B6217" t="s">
        <v>16</v>
      </c>
      <c r="C6217">
        <v>19</v>
      </c>
      <c r="D6217" t="s">
        <v>17</v>
      </c>
      <c r="E6217" t="s">
        <v>14</v>
      </c>
      <c r="F6217">
        <v>288</v>
      </c>
      <c r="G6217">
        <v>1</v>
      </c>
      <c r="H6217">
        <v>0.19</v>
      </c>
      <c r="I6217" t="s">
        <v>15</v>
      </c>
      <c r="J6217">
        <v>47</v>
      </c>
      <c r="K6217">
        <v>0</v>
      </c>
      <c r="L6217">
        <v>0</v>
      </c>
      <c r="M6217">
        <f>VLOOKUP(Table1[[#This Row],[subscription_type]],Plans!$A$1:$B$5,2,FALSE)</f>
        <v>0</v>
      </c>
      <c r="N6217">
        <f t="shared" si="97"/>
        <v>0</v>
      </c>
    </row>
    <row r="6218" spans="1:14" x14ac:dyDescent="0.35">
      <c r="A6218">
        <v>6217</v>
      </c>
      <c r="B6218" t="s">
        <v>20</v>
      </c>
      <c r="C6218">
        <v>24</v>
      </c>
      <c r="D6218" t="s">
        <v>26</v>
      </c>
      <c r="E6218" t="s">
        <v>18</v>
      </c>
      <c r="F6218">
        <v>16</v>
      </c>
      <c r="G6218">
        <v>27</v>
      </c>
      <c r="H6218">
        <v>0.1</v>
      </c>
      <c r="I6218" t="s">
        <v>15</v>
      </c>
      <c r="J6218">
        <v>0</v>
      </c>
      <c r="K6218">
        <v>1</v>
      </c>
      <c r="L6218">
        <v>1</v>
      </c>
      <c r="M6218">
        <f>VLOOKUP(Table1[[#This Row],[subscription_type]],Plans!$A$1:$B$5,2,FALSE)</f>
        <v>14.99</v>
      </c>
      <c r="N6218">
        <f t="shared" si="97"/>
        <v>14.99</v>
      </c>
    </row>
    <row r="6219" spans="1:14" x14ac:dyDescent="0.35">
      <c r="A6219">
        <v>6218</v>
      </c>
      <c r="B6219" t="s">
        <v>12</v>
      </c>
      <c r="C6219">
        <v>53</v>
      </c>
      <c r="D6219" t="s">
        <v>26</v>
      </c>
      <c r="E6219" t="s">
        <v>14</v>
      </c>
      <c r="F6219">
        <v>101</v>
      </c>
      <c r="G6219">
        <v>64</v>
      </c>
      <c r="H6219">
        <v>0.35</v>
      </c>
      <c r="I6219" t="s">
        <v>23</v>
      </c>
      <c r="J6219">
        <v>20</v>
      </c>
      <c r="K6219">
        <v>0</v>
      </c>
      <c r="L6219">
        <v>0</v>
      </c>
      <c r="M6219">
        <f>VLOOKUP(Table1[[#This Row],[subscription_type]],Plans!$A$1:$B$5,2,FALSE)</f>
        <v>0</v>
      </c>
      <c r="N6219">
        <f t="shared" si="97"/>
        <v>0</v>
      </c>
    </row>
    <row r="6220" spans="1:14" x14ac:dyDescent="0.35">
      <c r="A6220">
        <v>6219</v>
      </c>
      <c r="B6220" t="s">
        <v>20</v>
      </c>
      <c r="C6220">
        <v>46</v>
      </c>
      <c r="D6220" t="s">
        <v>26</v>
      </c>
      <c r="E6220" t="s">
        <v>22</v>
      </c>
      <c r="F6220">
        <v>100</v>
      </c>
      <c r="G6220">
        <v>46</v>
      </c>
      <c r="H6220">
        <v>0.56000000000000005</v>
      </c>
      <c r="I6220" t="s">
        <v>15</v>
      </c>
      <c r="J6220">
        <v>0</v>
      </c>
      <c r="K6220">
        <v>1</v>
      </c>
      <c r="L6220">
        <v>0</v>
      </c>
      <c r="M6220">
        <f>VLOOKUP(Table1[[#This Row],[subscription_type]],Plans!$A$1:$B$5,2,FALSE)</f>
        <v>9.99</v>
      </c>
      <c r="N6220">
        <f t="shared" si="97"/>
        <v>0</v>
      </c>
    </row>
    <row r="6221" spans="1:14" x14ac:dyDescent="0.35">
      <c r="A6221">
        <v>6220</v>
      </c>
      <c r="B6221" t="s">
        <v>12</v>
      </c>
      <c r="C6221">
        <v>56</v>
      </c>
      <c r="D6221" t="s">
        <v>28</v>
      </c>
      <c r="E6221" t="s">
        <v>18</v>
      </c>
      <c r="F6221">
        <v>50</v>
      </c>
      <c r="G6221">
        <v>5</v>
      </c>
      <c r="H6221">
        <v>0.57999999999999996</v>
      </c>
      <c r="I6221" t="s">
        <v>19</v>
      </c>
      <c r="J6221">
        <v>0</v>
      </c>
      <c r="K6221">
        <v>1</v>
      </c>
      <c r="L6221">
        <v>0</v>
      </c>
      <c r="M6221">
        <f>VLOOKUP(Table1[[#This Row],[subscription_type]],Plans!$A$1:$B$5,2,FALSE)</f>
        <v>14.99</v>
      </c>
      <c r="N6221">
        <f t="shared" si="97"/>
        <v>0</v>
      </c>
    </row>
    <row r="6222" spans="1:14" x14ac:dyDescent="0.35">
      <c r="A6222">
        <v>6221</v>
      </c>
      <c r="B6222" t="s">
        <v>16</v>
      </c>
      <c r="C6222">
        <v>50</v>
      </c>
      <c r="D6222" t="s">
        <v>13</v>
      </c>
      <c r="E6222" t="s">
        <v>14</v>
      </c>
      <c r="F6222">
        <v>97</v>
      </c>
      <c r="G6222">
        <v>74</v>
      </c>
      <c r="H6222">
        <v>0.32</v>
      </c>
      <c r="I6222" t="s">
        <v>19</v>
      </c>
      <c r="J6222">
        <v>29</v>
      </c>
      <c r="K6222">
        <v>0</v>
      </c>
      <c r="L6222">
        <v>0</v>
      </c>
      <c r="M6222">
        <f>VLOOKUP(Table1[[#This Row],[subscription_type]],Plans!$A$1:$B$5,2,FALSE)</f>
        <v>0</v>
      </c>
      <c r="N6222">
        <f t="shared" si="97"/>
        <v>0</v>
      </c>
    </row>
    <row r="6223" spans="1:14" x14ac:dyDescent="0.35">
      <c r="A6223">
        <v>6222</v>
      </c>
      <c r="B6223" t="s">
        <v>12</v>
      </c>
      <c r="C6223">
        <v>40</v>
      </c>
      <c r="D6223" t="s">
        <v>25</v>
      </c>
      <c r="E6223" t="s">
        <v>18</v>
      </c>
      <c r="F6223">
        <v>49</v>
      </c>
      <c r="G6223">
        <v>1</v>
      </c>
      <c r="H6223">
        <v>0.47</v>
      </c>
      <c r="I6223" t="s">
        <v>19</v>
      </c>
      <c r="J6223">
        <v>0</v>
      </c>
      <c r="K6223">
        <v>1</v>
      </c>
      <c r="L6223">
        <v>1</v>
      </c>
      <c r="M6223">
        <f>VLOOKUP(Table1[[#This Row],[subscription_type]],Plans!$A$1:$B$5,2,FALSE)</f>
        <v>14.99</v>
      </c>
      <c r="N6223">
        <f t="shared" si="97"/>
        <v>14.99</v>
      </c>
    </row>
    <row r="6224" spans="1:14" x14ac:dyDescent="0.35">
      <c r="A6224">
        <v>6223</v>
      </c>
      <c r="B6224" t="s">
        <v>12</v>
      </c>
      <c r="C6224">
        <v>36</v>
      </c>
      <c r="D6224" t="s">
        <v>26</v>
      </c>
      <c r="E6224" t="s">
        <v>24</v>
      </c>
      <c r="F6224">
        <v>211</v>
      </c>
      <c r="G6224">
        <v>44</v>
      </c>
      <c r="H6224">
        <v>0.54</v>
      </c>
      <c r="I6224" t="s">
        <v>19</v>
      </c>
      <c r="J6224">
        <v>0</v>
      </c>
      <c r="K6224">
        <v>1</v>
      </c>
      <c r="L6224">
        <v>1</v>
      </c>
      <c r="M6224">
        <f>VLOOKUP(Table1[[#This Row],[subscription_type]],Plans!$A$1:$B$5,2,FALSE)</f>
        <v>4.99</v>
      </c>
      <c r="N6224">
        <f t="shared" si="97"/>
        <v>4.99</v>
      </c>
    </row>
    <row r="6225" spans="1:14" x14ac:dyDescent="0.35">
      <c r="A6225">
        <v>6224</v>
      </c>
      <c r="B6225" t="s">
        <v>16</v>
      </c>
      <c r="C6225">
        <v>20</v>
      </c>
      <c r="D6225" t="s">
        <v>29</v>
      </c>
      <c r="E6225" t="s">
        <v>22</v>
      </c>
      <c r="F6225">
        <v>60</v>
      </c>
      <c r="G6225">
        <v>15</v>
      </c>
      <c r="H6225">
        <v>0.49</v>
      </c>
      <c r="I6225" t="s">
        <v>19</v>
      </c>
      <c r="J6225">
        <v>0</v>
      </c>
      <c r="K6225">
        <v>1</v>
      </c>
      <c r="L6225">
        <v>0</v>
      </c>
      <c r="M6225">
        <f>VLOOKUP(Table1[[#This Row],[subscription_type]],Plans!$A$1:$B$5,2,FALSE)</f>
        <v>9.99</v>
      </c>
      <c r="N6225">
        <f t="shared" si="97"/>
        <v>0</v>
      </c>
    </row>
    <row r="6226" spans="1:14" x14ac:dyDescent="0.35">
      <c r="A6226">
        <v>6225</v>
      </c>
      <c r="B6226" t="s">
        <v>16</v>
      </c>
      <c r="C6226">
        <v>18</v>
      </c>
      <c r="D6226" t="s">
        <v>13</v>
      </c>
      <c r="E6226" t="s">
        <v>22</v>
      </c>
      <c r="F6226">
        <v>23</v>
      </c>
      <c r="G6226">
        <v>39</v>
      </c>
      <c r="H6226">
        <v>0.22</v>
      </c>
      <c r="I6226" t="s">
        <v>23</v>
      </c>
      <c r="J6226">
        <v>0</v>
      </c>
      <c r="K6226">
        <v>1</v>
      </c>
      <c r="L6226">
        <v>1</v>
      </c>
      <c r="M6226">
        <f>VLOOKUP(Table1[[#This Row],[subscription_type]],Plans!$A$1:$B$5,2,FALSE)</f>
        <v>9.99</v>
      </c>
      <c r="N6226">
        <f t="shared" si="97"/>
        <v>9.99</v>
      </c>
    </row>
    <row r="6227" spans="1:14" x14ac:dyDescent="0.35">
      <c r="A6227">
        <v>6226</v>
      </c>
      <c r="B6227" t="s">
        <v>16</v>
      </c>
      <c r="C6227">
        <v>20</v>
      </c>
      <c r="D6227" t="s">
        <v>21</v>
      </c>
      <c r="E6227" t="s">
        <v>24</v>
      </c>
      <c r="F6227">
        <v>140</v>
      </c>
      <c r="G6227">
        <v>48</v>
      </c>
      <c r="H6227">
        <v>0.45</v>
      </c>
      <c r="I6227" t="s">
        <v>19</v>
      </c>
      <c r="J6227">
        <v>0</v>
      </c>
      <c r="K6227">
        <v>1</v>
      </c>
      <c r="L6227">
        <v>0</v>
      </c>
      <c r="M6227">
        <f>VLOOKUP(Table1[[#This Row],[subscription_type]],Plans!$A$1:$B$5,2,FALSE)</f>
        <v>4.99</v>
      </c>
      <c r="N6227">
        <f t="shared" si="97"/>
        <v>0</v>
      </c>
    </row>
    <row r="6228" spans="1:14" x14ac:dyDescent="0.35">
      <c r="A6228">
        <v>6227</v>
      </c>
      <c r="B6228" t="s">
        <v>20</v>
      </c>
      <c r="C6228">
        <v>53</v>
      </c>
      <c r="D6228" t="s">
        <v>17</v>
      </c>
      <c r="E6228" t="s">
        <v>18</v>
      </c>
      <c r="F6228">
        <v>211</v>
      </c>
      <c r="G6228">
        <v>60</v>
      </c>
      <c r="H6228">
        <v>0.46</v>
      </c>
      <c r="I6228" t="s">
        <v>19</v>
      </c>
      <c r="J6228">
        <v>0</v>
      </c>
      <c r="K6228">
        <v>1</v>
      </c>
      <c r="L6228">
        <v>1</v>
      </c>
      <c r="M6228">
        <f>VLOOKUP(Table1[[#This Row],[subscription_type]],Plans!$A$1:$B$5,2,FALSE)</f>
        <v>14.99</v>
      </c>
      <c r="N6228">
        <f t="shared" si="97"/>
        <v>14.99</v>
      </c>
    </row>
    <row r="6229" spans="1:14" x14ac:dyDescent="0.35">
      <c r="A6229">
        <v>6228</v>
      </c>
      <c r="B6229" t="s">
        <v>16</v>
      </c>
      <c r="C6229">
        <v>29</v>
      </c>
      <c r="D6229" t="s">
        <v>27</v>
      </c>
      <c r="E6229" t="s">
        <v>18</v>
      </c>
      <c r="F6229">
        <v>119</v>
      </c>
      <c r="G6229">
        <v>90</v>
      </c>
      <c r="H6229">
        <v>0.42</v>
      </c>
      <c r="I6229" t="s">
        <v>15</v>
      </c>
      <c r="J6229">
        <v>0</v>
      </c>
      <c r="K6229">
        <v>1</v>
      </c>
      <c r="L6229">
        <v>0</v>
      </c>
      <c r="M6229">
        <f>VLOOKUP(Table1[[#This Row],[subscription_type]],Plans!$A$1:$B$5,2,FALSE)</f>
        <v>14.99</v>
      </c>
      <c r="N6229">
        <f t="shared" si="97"/>
        <v>0</v>
      </c>
    </row>
    <row r="6230" spans="1:14" x14ac:dyDescent="0.35">
      <c r="A6230">
        <v>6229</v>
      </c>
      <c r="B6230" t="s">
        <v>16</v>
      </c>
      <c r="C6230">
        <v>52</v>
      </c>
      <c r="D6230" t="s">
        <v>13</v>
      </c>
      <c r="E6230" t="s">
        <v>22</v>
      </c>
      <c r="F6230">
        <v>117</v>
      </c>
      <c r="G6230">
        <v>83</v>
      </c>
      <c r="H6230">
        <v>0.56000000000000005</v>
      </c>
      <c r="I6230" t="s">
        <v>19</v>
      </c>
      <c r="J6230">
        <v>0</v>
      </c>
      <c r="K6230">
        <v>1</v>
      </c>
      <c r="L6230">
        <v>1</v>
      </c>
      <c r="M6230">
        <f>VLOOKUP(Table1[[#This Row],[subscription_type]],Plans!$A$1:$B$5,2,FALSE)</f>
        <v>9.99</v>
      </c>
      <c r="N6230">
        <f t="shared" si="97"/>
        <v>9.99</v>
      </c>
    </row>
    <row r="6231" spans="1:14" x14ac:dyDescent="0.35">
      <c r="A6231">
        <v>6230</v>
      </c>
      <c r="B6231" t="s">
        <v>20</v>
      </c>
      <c r="C6231">
        <v>23</v>
      </c>
      <c r="D6231" t="s">
        <v>27</v>
      </c>
      <c r="E6231" t="s">
        <v>22</v>
      </c>
      <c r="F6231">
        <v>215</v>
      </c>
      <c r="G6231">
        <v>42</v>
      </c>
      <c r="H6231">
        <v>0.33</v>
      </c>
      <c r="I6231" t="s">
        <v>19</v>
      </c>
      <c r="J6231">
        <v>0</v>
      </c>
      <c r="K6231">
        <v>1</v>
      </c>
      <c r="L6231">
        <v>0</v>
      </c>
      <c r="M6231">
        <f>VLOOKUP(Table1[[#This Row],[subscription_type]],Plans!$A$1:$B$5,2,FALSE)</f>
        <v>9.99</v>
      </c>
      <c r="N6231">
        <f t="shared" si="97"/>
        <v>0</v>
      </c>
    </row>
    <row r="6232" spans="1:14" x14ac:dyDescent="0.35">
      <c r="A6232">
        <v>6231</v>
      </c>
      <c r="B6232" t="s">
        <v>12</v>
      </c>
      <c r="C6232">
        <v>41</v>
      </c>
      <c r="D6232" t="s">
        <v>28</v>
      </c>
      <c r="E6232" t="s">
        <v>24</v>
      </c>
      <c r="F6232">
        <v>66</v>
      </c>
      <c r="G6232">
        <v>3</v>
      </c>
      <c r="H6232">
        <v>0.55000000000000004</v>
      </c>
      <c r="I6232" t="s">
        <v>19</v>
      </c>
      <c r="J6232">
        <v>0</v>
      </c>
      <c r="K6232">
        <v>1</v>
      </c>
      <c r="L6232">
        <v>0</v>
      </c>
      <c r="M6232">
        <f>VLOOKUP(Table1[[#This Row],[subscription_type]],Plans!$A$1:$B$5,2,FALSE)</f>
        <v>4.99</v>
      </c>
      <c r="N6232">
        <f t="shared" si="97"/>
        <v>0</v>
      </c>
    </row>
    <row r="6233" spans="1:14" x14ac:dyDescent="0.35">
      <c r="A6233">
        <v>6232</v>
      </c>
      <c r="B6233" t="s">
        <v>20</v>
      </c>
      <c r="C6233">
        <v>31</v>
      </c>
      <c r="D6233" t="s">
        <v>25</v>
      </c>
      <c r="E6233" t="s">
        <v>14</v>
      </c>
      <c r="F6233">
        <v>17</v>
      </c>
      <c r="G6233">
        <v>97</v>
      </c>
      <c r="H6233">
        <v>7.0000000000000007E-2</v>
      </c>
      <c r="I6233" t="s">
        <v>19</v>
      </c>
      <c r="J6233">
        <v>30</v>
      </c>
      <c r="K6233">
        <v>0</v>
      </c>
      <c r="L6233">
        <v>0</v>
      </c>
      <c r="M6233">
        <f>VLOOKUP(Table1[[#This Row],[subscription_type]],Plans!$A$1:$B$5,2,FALSE)</f>
        <v>0</v>
      </c>
      <c r="N6233">
        <f t="shared" si="97"/>
        <v>0</v>
      </c>
    </row>
    <row r="6234" spans="1:14" x14ac:dyDescent="0.35">
      <c r="A6234">
        <v>6233</v>
      </c>
      <c r="B6234" t="s">
        <v>20</v>
      </c>
      <c r="C6234">
        <v>23</v>
      </c>
      <c r="D6234" t="s">
        <v>27</v>
      </c>
      <c r="E6234" t="s">
        <v>18</v>
      </c>
      <c r="F6234">
        <v>219</v>
      </c>
      <c r="G6234">
        <v>79</v>
      </c>
      <c r="H6234">
        <v>0.28000000000000003</v>
      </c>
      <c r="I6234" t="s">
        <v>19</v>
      </c>
      <c r="J6234">
        <v>0</v>
      </c>
      <c r="K6234">
        <v>1</v>
      </c>
      <c r="L6234">
        <v>0</v>
      </c>
      <c r="M6234">
        <f>VLOOKUP(Table1[[#This Row],[subscription_type]],Plans!$A$1:$B$5,2,FALSE)</f>
        <v>14.99</v>
      </c>
      <c r="N6234">
        <f t="shared" si="97"/>
        <v>0</v>
      </c>
    </row>
    <row r="6235" spans="1:14" x14ac:dyDescent="0.35">
      <c r="A6235">
        <v>6234</v>
      </c>
      <c r="B6235" t="s">
        <v>12</v>
      </c>
      <c r="C6235">
        <v>45</v>
      </c>
      <c r="D6235" t="s">
        <v>25</v>
      </c>
      <c r="E6235" t="s">
        <v>14</v>
      </c>
      <c r="F6235">
        <v>246</v>
      </c>
      <c r="G6235">
        <v>6</v>
      </c>
      <c r="H6235">
        <v>0.22</v>
      </c>
      <c r="I6235" t="s">
        <v>19</v>
      </c>
      <c r="J6235">
        <v>45</v>
      </c>
      <c r="K6235">
        <v>0</v>
      </c>
      <c r="L6235">
        <v>1</v>
      </c>
      <c r="M6235">
        <f>VLOOKUP(Table1[[#This Row],[subscription_type]],Plans!$A$1:$B$5,2,FALSE)</f>
        <v>0</v>
      </c>
      <c r="N6235">
        <f t="shared" si="97"/>
        <v>0</v>
      </c>
    </row>
    <row r="6236" spans="1:14" x14ac:dyDescent="0.35">
      <c r="A6236">
        <v>6235</v>
      </c>
      <c r="B6236" t="s">
        <v>20</v>
      </c>
      <c r="C6236">
        <v>38</v>
      </c>
      <c r="D6236" t="s">
        <v>29</v>
      </c>
      <c r="E6236" t="s">
        <v>14</v>
      </c>
      <c r="F6236">
        <v>30</v>
      </c>
      <c r="G6236">
        <v>64</v>
      </c>
      <c r="H6236">
        <v>0.04</v>
      </c>
      <c r="I6236" t="s">
        <v>23</v>
      </c>
      <c r="J6236">
        <v>42</v>
      </c>
      <c r="K6236">
        <v>0</v>
      </c>
      <c r="L6236">
        <v>0</v>
      </c>
      <c r="M6236">
        <f>VLOOKUP(Table1[[#This Row],[subscription_type]],Plans!$A$1:$B$5,2,FALSE)</f>
        <v>0</v>
      </c>
      <c r="N6236">
        <f t="shared" si="97"/>
        <v>0</v>
      </c>
    </row>
    <row r="6237" spans="1:14" x14ac:dyDescent="0.35">
      <c r="A6237">
        <v>6236</v>
      </c>
      <c r="B6237" t="s">
        <v>16</v>
      </c>
      <c r="C6237">
        <v>44</v>
      </c>
      <c r="D6237" t="s">
        <v>17</v>
      </c>
      <c r="E6237" t="s">
        <v>18</v>
      </c>
      <c r="F6237">
        <v>141</v>
      </c>
      <c r="G6237">
        <v>72</v>
      </c>
      <c r="H6237">
        <v>0.17</v>
      </c>
      <c r="I6237" t="s">
        <v>23</v>
      </c>
      <c r="J6237">
        <v>0</v>
      </c>
      <c r="K6237">
        <v>1</v>
      </c>
      <c r="L6237">
        <v>0</v>
      </c>
      <c r="M6237">
        <f>VLOOKUP(Table1[[#This Row],[subscription_type]],Plans!$A$1:$B$5,2,FALSE)</f>
        <v>14.99</v>
      </c>
      <c r="N6237">
        <f t="shared" si="97"/>
        <v>0</v>
      </c>
    </row>
    <row r="6238" spans="1:14" x14ac:dyDescent="0.35">
      <c r="A6238">
        <v>6237</v>
      </c>
      <c r="B6238" t="s">
        <v>16</v>
      </c>
      <c r="C6238">
        <v>51</v>
      </c>
      <c r="D6238" t="s">
        <v>13</v>
      </c>
      <c r="E6238" t="s">
        <v>14</v>
      </c>
      <c r="F6238">
        <v>42</v>
      </c>
      <c r="G6238">
        <v>22</v>
      </c>
      <c r="H6238">
        <v>0.43</v>
      </c>
      <c r="I6238" t="s">
        <v>15</v>
      </c>
      <c r="J6238">
        <v>39</v>
      </c>
      <c r="K6238">
        <v>0</v>
      </c>
      <c r="L6238">
        <v>0</v>
      </c>
      <c r="M6238">
        <f>VLOOKUP(Table1[[#This Row],[subscription_type]],Plans!$A$1:$B$5,2,FALSE)</f>
        <v>0</v>
      </c>
      <c r="N6238">
        <f t="shared" si="97"/>
        <v>0</v>
      </c>
    </row>
    <row r="6239" spans="1:14" x14ac:dyDescent="0.35">
      <c r="A6239">
        <v>6238</v>
      </c>
      <c r="B6239" t="s">
        <v>20</v>
      </c>
      <c r="C6239">
        <v>20</v>
      </c>
      <c r="D6239" t="s">
        <v>28</v>
      </c>
      <c r="E6239" t="s">
        <v>22</v>
      </c>
      <c r="F6239">
        <v>188</v>
      </c>
      <c r="G6239">
        <v>32</v>
      </c>
      <c r="H6239">
        <v>0.48</v>
      </c>
      <c r="I6239" t="s">
        <v>23</v>
      </c>
      <c r="J6239">
        <v>0</v>
      </c>
      <c r="K6239">
        <v>1</v>
      </c>
      <c r="L6239">
        <v>0</v>
      </c>
      <c r="M6239">
        <f>VLOOKUP(Table1[[#This Row],[subscription_type]],Plans!$A$1:$B$5,2,FALSE)</f>
        <v>9.99</v>
      </c>
      <c r="N6239">
        <f t="shared" si="97"/>
        <v>0</v>
      </c>
    </row>
    <row r="6240" spans="1:14" x14ac:dyDescent="0.35">
      <c r="A6240">
        <v>6239</v>
      </c>
      <c r="B6240" t="s">
        <v>12</v>
      </c>
      <c r="C6240">
        <v>46</v>
      </c>
      <c r="D6240" t="s">
        <v>26</v>
      </c>
      <c r="E6240" t="s">
        <v>22</v>
      </c>
      <c r="F6240">
        <v>56</v>
      </c>
      <c r="G6240">
        <v>96</v>
      </c>
      <c r="H6240">
        <v>0.57999999999999996</v>
      </c>
      <c r="I6240" t="s">
        <v>15</v>
      </c>
      <c r="J6240">
        <v>0</v>
      </c>
      <c r="K6240">
        <v>1</v>
      </c>
      <c r="L6240">
        <v>0</v>
      </c>
      <c r="M6240">
        <f>VLOOKUP(Table1[[#This Row],[subscription_type]],Plans!$A$1:$B$5,2,FALSE)</f>
        <v>9.99</v>
      </c>
      <c r="N6240">
        <f t="shared" si="97"/>
        <v>0</v>
      </c>
    </row>
    <row r="6241" spans="1:14" x14ac:dyDescent="0.35">
      <c r="A6241">
        <v>6240</v>
      </c>
      <c r="B6241" t="s">
        <v>20</v>
      </c>
      <c r="C6241">
        <v>21</v>
      </c>
      <c r="D6241" t="s">
        <v>13</v>
      </c>
      <c r="E6241" t="s">
        <v>14</v>
      </c>
      <c r="F6241">
        <v>93</v>
      </c>
      <c r="G6241">
        <v>99</v>
      </c>
      <c r="H6241">
        <v>0.1</v>
      </c>
      <c r="I6241" t="s">
        <v>15</v>
      </c>
      <c r="J6241">
        <v>22</v>
      </c>
      <c r="K6241">
        <v>0</v>
      </c>
      <c r="L6241">
        <v>0</v>
      </c>
      <c r="M6241">
        <f>VLOOKUP(Table1[[#This Row],[subscription_type]],Plans!$A$1:$B$5,2,FALSE)</f>
        <v>0</v>
      </c>
      <c r="N6241">
        <f t="shared" si="97"/>
        <v>0</v>
      </c>
    </row>
    <row r="6242" spans="1:14" x14ac:dyDescent="0.35">
      <c r="A6242">
        <v>6241</v>
      </c>
      <c r="B6242" t="s">
        <v>20</v>
      </c>
      <c r="C6242">
        <v>19</v>
      </c>
      <c r="D6242" t="s">
        <v>27</v>
      </c>
      <c r="E6242" t="s">
        <v>24</v>
      </c>
      <c r="F6242">
        <v>89</v>
      </c>
      <c r="G6242">
        <v>74</v>
      </c>
      <c r="H6242">
        <v>0.33</v>
      </c>
      <c r="I6242" t="s">
        <v>23</v>
      </c>
      <c r="J6242">
        <v>0</v>
      </c>
      <c r="K6242">
        <v>1</v>
      </c>
      <c r="L6242">
        <v>0</v>
      </c>
      <c r="M6242">
        <f>VLOOKUP(Table1[[#This Row],[subscription_type]],Plans!$A$1:$B$5,2,FALSE)</f>
        <v>4.99</v>
      </c>
      <c r="N6242">
        <f t="shared" si="97"/>
        <v>0</v>
      </c>
    </row>
    <row r="6243" spans="1:14" x14ac:dyDescent="0.35">
      <c r="A6243">
        <v>6242</v>
      </c>
      <c r="B6243" t="s">
        <v>12</v>
      </c>
      <c r="C6243">
        <v>36</v>
      </c>
      <c r="D6243" t="s">
        <v>25</v>
      </c>
      <c r="E6243" t="s">
        <v>18</v>
      </c>
      <c r="F6243">
        <v>133</v>
      </c>
      <c r="G6243">
        <v>6</v>
      </c>
      <c r="H6243">
        <v>0.59</v>
      </c>
      <c r="I6243" t="s">
        <v>23</v>
      </c>
      <c r="J6243">
        <v>0</v>
      </c>
      <c r="K6243">
        <v>1</v>
      </c>
      <c r="L6243">
        <v>0</v>
      </c>
      <c r="M6243">
        <f>VLOOKUP(Table1[[#This Row],[subscription_type]],Plans!$A$1:$B$5,2,FALSE)</f>
        <v>14.99</v>
      </c>
      <c r="N6243">
        <f t="shared" si="97"/>
        <v>0</v>
      </c>
    </row>
    <row r="6244" spans="1:14" x14ac:dyDescent="0.35">
      <c r="A6244">
        <v>6243</v>
      </c>
      <c r="B6244" t="s">
        <v>12</v>
      </c>
      <c r="C6244">
        <v>41</v>
      </c>
      <c r="D6244" t="s">
        <v>29</v>
      </c>
      <c r="E6244" t="s">
        <v>14</v>
      </c>
      <c r="F6244">
        <v>201</v>
      </c>
      <c r="G6244">
        <v>54</v>
      </c>
      <c r="H6244">
        <v>0.55000000000000004</v>
      </c>
      <c r="I6244" t="s">
        <v>23</v>
      </c>
      <c r="J6244">
        <v>35</v>
      </c>
      <c r="K6244">
        <v>0</v>
      </c>
      <c r="L6244">
        <v>1</v>
      </c>
      <c r="M6244">
        <f>VLOOKUP(Table1[[#This Row],[subscription_type]],Plans!$A$1:$B$5,2,FALSE)</f>
        <v>0</v>
      </c>
      <c r="N6244">
        <f t="shared" si="97"/>
        <v>0</v>
      </c>
    </row>
    <row r="6245" spans="1:14" x14ac:dyDescent="0.35">
      <c r="A6245">
        <v>6244</v>
      </c>
      <c r="B6245" t="s">
        <v>16</v>
      </c>
      <c r="C6245">
        <v>29</v>
      </c>
      <c r="D6245" t="s">
        <v>25</v>
      </c>
      <c r="E6245" t="s">
        <v>18</v>
      </c>
      <c r="F6245">
        <v>279</v>
      </c>
      <c r="G6245">
        <v>6</v>
      </c>
      <c r="H6245">
        <v>0.46</v>
      </c>
      <c r="I6245" t="s">
        <v>19</v>
      </c>
      <c r="J6245">
        <v>0</v>
      </c>
      <c r="K6245">
        <v>1</v>
      </c>
      <c r="L6245">
        <v>0</v>
      </c>
      <c r="M6245">
        <f>VLOOKUP(Table1[[#This Row],[subscription_type]],Plans!$A$1:$B$5,2,FALSE)</f>
        <v>14.99</v>
      </c>
      <c r="N6245">
        <f t="shared" si="97"/>
        <v>0</v>
      </c>
    </row>
    <row r="6246" spans="1:14" x14ac:dyDescent="0.35">
      <c r="A6246">
        <v>6245</v>
      </c>
      <c r="B6246" t="s">
        <v>16</v>
      </c>
      <c r="C6246">
        <v>46</v>
      </c>
      <c r="D6246" t="s">
        <v>17</v>
      </c>
      <c r="E6246" t="s">
        <v>18</v>
      </c>
      <c r="F6246">
        <v>101</v>
      </c>
      <c r="G6246">
        <v>13</v>
      </c>
      <c r="H6246">
        <v>0.08</v>
      </c>
      <c r="I6246" t="s">
        <v>23</v>
      </c>
      <c r="J6246">
        <v>0</v>
      </c>
      <c r="K6246">
        <v>1</v>
      </c>
      <c r="L6246">
        <v>0</v>
      </c>
      <c r="M6246">
        <f>VLOOKUP(Table1[[#This Row],[subscription_type]],Plans!$A$1:$B$5,2,FALSE)</f>
        <v>14.99</v>
      </c>
      <c r="N6246">
        <f t="shared" si="97"/>
        <v>0</v>
      </c>
    </row>
    <row r="6247" spans="1:14" x14ac:dyDescent="0.35">
      <c r="A6247">
        <v>6246</v>
      </c>
      <c r="B6247" t="s">
        <v>12</v>
      </c>
      <c r="C6247">
        <v>59</v>
      </c>
      <c r="D6247" t="s">
        <v>25</v>
      </c>
      <c r="E6247" t="s">
        <v>18</v>
      </c>
      <c r="F6247">
        <v>259</v>
      </c>
      <c r="G6247">
        <v>59</v>
      </c>
      <c r="H6247">
        <v>0.05</v>
      </c>
      <c r="I6247" t="s">
        <v>15</v>
      </c>
      <c r="J6247">
        <v>0</v>
      </c>
      <c r="K6247">
        <v>1</v>
      </c>
      <c r="L6247">
        <v>0</v>
      </c>
      <c r="M6247">
        <f>VLOOKUP(Table1[[#This Row],[subscription_type]],Plans!$A$1:$B$5,2,FALSE)</f>
        <v>14.99</v>
      </c>
      <c r="N6247">
        <f t="shared" si="97"/>
        <v>0</v>
      </c>
    </row>
    <row r="6248" spans="1:14" x14ac:dyDescent="0.35">
      <c r="A6248">
        <v>6247</v>
      </c>
      <c r="B6248" t="s">
        <v>20</v>
      </c>
      <c r="C6248">
        <v>29</v>
      </c>
      <c r="D6248" t="s">
        <v>13</v>
      </c>
      <c r="E6248" t="s">
        <v>24</v>
      </c>
      <c r="F6248">
        <v>181</v>
      </c>
      <c r="G6248">
        <v>28</v>
      </c>
      <c r="H6248">
        <v>0.28000000000000003</v>
      </c>
      <c r="I6248" t="s">
        <v>23</v>
      </c>
      <c r="J6248">
        <v>0</v>
      </c>
      <c r="K6248">
        <v>1</v>
      </c>
      <c r="L6248">
        <v>1</v>
      </c>
      <c r="M6248">
        <f>VLOOKUP(Table1[[#This Row],[subscription_type]],Plans!$A$1:$B$5,2,FALSE)</f>
        <v>4.99</v>
      </c>
      <c r="N6248">
        <f t="shared" si="97"/>
        <v>4.99</v>
      </c>
    </row>
    <row r="6249" spans="1:14" x14ac:dyDescent="0.35">
      <c r="A6249">
        <v>6248</v>
      </c>
      <c r="B6249" t="s">
        <v>12</v>
      </c>
      <c r="C6249">
        <v>47</v>
      </c>
      <c r="D6249" t="s">
        <v>17</v>
      </c>
      <c r="E6249" t="s">
        <v>22</v>
      </c>
      <c r="F6249">
        <v>158</v>
      </c>
      <c r="G6249">
        <v>36</v>
      </c>
      <c r="H6249">
        <v>0.53</v>
      </c>
      <c r="I6249" t="s">
        <v>19</v>
      </c>
      <c r="J6249">
        <v>0</v>
      </c>
      <c r="K6249">
        <v>1</v>
      </c>
      <c r="L6249">
        <v>0</v>
      </c>
      <c r="M6249">
        <f>VLOOKUP(Table1[[#This Row],[subscription_type]],Plans!$A$1:$B$5,2,FALSE)</f>
        <v>9.99</v>
      </c>
      <c r="N6249">
        <f t="shared" si="97"/>
        <v>0</v>
      </c>
    </row>
    <row r="6250" spans="1:14" x14ac:dyDescent="0.35">
      <c r="A6250">
        <v>6249</v>
      </c>
      <c r="B6250" t="s">
        <v>16</v>
      </c>
      <c r="C6250">
        <v>41</v>
      </c>
      <c r="D6250" t="s">
        <v>29</v>
      </c>
      <c r="E6250" t="s">
        <v>24</v>
      </c>
      <c r="F6250">
        <v>236</v>
      </c>
      <c r="G6250">
        <v>9</v>
      </c>
      <c r="H6250">
        <v>0.08</v>
      </c>
      <c r="I6250" t="s">
        <v>15</v>
      </c>
      <c r="J6250">
        <v>0</v>
      </c>
      <c r="K6250">
        <v>1</v>
      </c>
      <c r="L6250">
        <v>1</v>
      </c>
      <c r="M6250">
        <f>VLOOKUP(Table1[[#This Row],[subscription_type]],Plans!$A$1:$B$5,2,FALSE)</f>
        <v>4.99</v>
      </c>
      <c r="N6250">
        <f t="shared" si="97"/>
        <v>4.99</v>
      </c>
    </row>
    <row r="6251" spans="1:14" x14ac:dyDescent="0.35">
      <c r="A6251">
        <v>6250</v>
      </c>
      <c r="B6251" t="s">
        <v>16</v>
      </c>
      <c r="C6251">
        <v>50</v>
      </c>
      <c r="D6251" t="s">
        <v>13</v>
      </c>
      <c r="E6251" t="s">
        <v>18</v>
      </c>
      <c r="F6251">
        <v>235</v>
      </c>
      <c r="G6251">
        <v>3</v>
      </c>
      <c r="H6251">
        <v>0.55000000000000004</v>
      </c>
      <c r="I6251" t="s">
        <v>19</v>
      </c>
      <c r="J6251">
        <v>0</v>
      </c>
      <c r="K6251">
        <v>1</v>
      </c>
      <c r="L6251">
        <v>1</v>
      </c>
      <c r="M6251">
        <f>VLOOKUP(Table1[[#This Row],[subscription_type]],Plans!$A$1:$B$5,2,FALSE)</f>
        <v>14.99</v>
      </c>
      <c r="N6251">
        <f t="shared" si="97"/>
        <v>14.99</v>
      </c>
    </row>
    <row r="6252" spans="1:14" x14ac:dyDescent="0.35">
      <c r="A6252">
        <v>6251</v>
      </c>
      <c r="B6252" t="s">
        <v>12</v>
      </c>
      <c r="C6252">
        <v>16</v>
      </c>
      <c r="D6252" t="s">
        <v>17</v>
      </c>
      <c r="E6252" t="s">
        <v>22</v>
      </c>
      <c r="F6252">
        <v>32</v>
      </c>
      <c r="G6252">
        <v>68</v>
      </c>
      <c r="H6252">
        <v>0.44</v>
      </c>
      <c r="I6252" t="s">
        <v>23</v>
      </c>
      <c r="J6252">
        <v>0</v>
      </c>
      <c r="K6252">
        <v>1</v>
      </c>
      <c r="L6252">
        <v>0</v>
      </c>
      <c r="M6252">
        <f>VLOOKUP(Table1[[#This Row],[subscription_type]],Plans!$A$1:$B$5,2,FALSE)</f>
        <v>9.99</v>
      </c>
      <c r="N6252">
        <f t="shared" si="97"/>
        <v>0</v>
      </c>
    </row>
    <row r="6253" spans="1:14" x14ac:dyDescent="0.35">
      <c r="A6253">
        <v>6252</v>
      </c>
      <c r="B6253" t="s">
        <v>16</v>
      </c>
      <c r="C6253">
        <v>38</v>
      </c>
      <c r="D6253" t="s">
        <v>29</v>
      </c>
      <c r="E6253" t="s">
        <v>14</v>
      </c>
      <c r="F6253">
        <v>45</v>
      </c>
      <c r="G6253">
        <v>97</v>
      </c>
      <c r="H6253">
        <v>0.56000000000000005</v>
      </c>
      <c r="I6253" t="s">
        <v>23</v>
      </c>
      <c r="J6253">
        <v>13</v>
      </c>
      <c r="K6253">
        <v>0</v>
      </c>
      <c r="L6253">
        <v>0</v>
      </c>
      <c r="M6253">
        <f>VLOOKUP(Table1[[#This Row],[subscription_type]],Plans!$A$1:$B$5,2,FALSE)</f>
        <v>0</v>
      </c>
      <c r="N6253">
        <f t="shared" si="97"/>
        <v>0</v>
      </c>
    </row>
    <row r="6254" spans="1:14" x14ac:dyDescent="0.35">
      <c r="A6254">
        <v>6253</v>
      </c>
      <c r="B6254" t="s">
        <v>12</v>
      </c>
      <c r="C6254">
        <v>56</v>
      </c>
      <c r="D6254" t="s">
        <v>29</v>
      </c>
      <c r="E6254" t="s">
        <v>24</v>
      </c>
      <c r="F6254">
        <v>20</v>
      </c>
      <c r="G6254">
        <v>55</v>
      </c>
      <c r="H6254">
        <v>0.38</v>
      </c>
      <c r="I6254" t="s">
        <v>23</v>
      </c>
      <c r="J6254">
        <v>0</v>
      </c>
      <c r="K6254">
        <v>1</v>
      </c>
      <c r="L6254">
        <v>1</v>
      </c>
      <c r="M6254">
        <f>VLOOKUP(Table1[[#This Row],[subscription_type]],Plans!$A$1:$B$5,2,FALSE)</f>
        <v>4.99</v>
      </c>
      <c r="N6254">
        <f t="shared" si="97"/>
        <v>4.99</v>
      </c>
    </row>
    <row r="6255" spans="1:14" x14ac:dyDescent="0.35">
      <c r="A6255">
        <v>6254</v>
      </c>
      <c r="B6255" t="s">
        <v>16</v>
      </c>
      <c r="C6255">
        <v>19</v>
      </c>
      <c r="D6255" t="s">
        <v>27</v>
      </c>
      <c r="E6255" t="s">
        <v>22</v>
      </c>
      <c r="F6255">
        <v>11</v>
      </c>
      <c r="G6255">
        <v>41</v>
      </c>
      <c r="H6255">
        <v>0.05</v>
      </c>
      <c r="I6255" t="s">
        <v>23</v>
      </c>
      <c r="J6255">
        <v>0</v>
      </c>
      <c r="K6255">
        <v>1</v>
      </c>
      <c r="L6255">
        <v>0</v>
      </c>
      <c r="M6255">
        <f>VLOOKUP(Table1[[#This Row],[subscription_type]],Plans!$A$1:$B$5,2,FALSE)</f>
        <v>9.99</v>
      </c>
      <c r="N6255">
        <f t="shared" si="97"/>
        <v>0</v>
      </c>
    </row>
    <row r="6256" spans="1:14" x14ac:dyDescent="0.35">
      <c r="A6256">
        <v>6255</v>
      </c>
      <c r="B6256" t="s">
        <v>16</v>
      </c>
      <c r="C6256">
        <v>57</v>
      </c>
      <c r="D6256" t="s">
        <v>25</v>
      </c>
      <c r="E6256" t="s">
        <v>22</v>
      </c>
      <c r="F6256">
        <v>33</v>
      </c>
      <c r="G6256">
        <v>48</v>
      </c>
      <c r="H6256">
        <v>0.48</v>
      </c>
      <c r="I6256" t="s">
        <v>19</v>
      </c>
      <c r="J6256">
        <v>0</v>
      </c>
      <c r="K6256">
        <v>1</v>
      </c>
      <c r="L6256">
        <v>0</v>
      </c>
      <c r="M6256">
        <f>VLOOKUP(Table1[[#This Row],[subscription_type]],Plans!$A$1:$B$5,2,FALSE)</f>
        <v>9.99</v>
      </c>
      <c r="N6256">
        <f t="shared" si="97"/>
        <v>0</v>
      </c>
    </row>
    <row r="6257" spans="1:14" x14ac:dyDescent="0.35">
      <c r="A6257">
        <v>6256</v>
      </c>
      <c r="B6257" t="s">
        <v>16</v>
      </c>
      <c r="C6257">
        <v>27</v>
      </c>
      <c r="D6257" t="s">
        <v>13</v>
      </c>
      <c r="E6257" t="s">
        <v>24</v>
      </c>
      <c r="F6257">
        <v>213</v>
      </c>
      <c r="G6257">
        <v>98</v>
      </c>
      <c r="H6257">
        <v>0.15</v>
      </c>
      <c r="I6257" t="s">
        <v>19</v>
      </c>
      <c r="J6257">
        <v>0</v>
      </c>
      <c r="K6257">
        <v>1</v>
      </c>
      <c r="L6257">
        <v>0</v>
      </c>
      <c r="M6257">
        <f>VLOOKUP(Table1[[#This Row],[subscription_type]],Plans!$A$1:$B$5,2,FALSE)</f>
        <v>4.99</v>
      </c>
      <c r="N6257">
        <f t="shared" si="97"/>
        <v>0</v>
      </c>
    </row>
    <row r="6258" spans="1:14" x14ac:dyDescent="0.35">
      <c r="A6258">
        <v>6257</v>
      </c>
      <c r="B6258" t="s">
        <v>12</v>
      </c>
      <c r="C6258">
        <v>40</v>
      </c>
      <c r="D6258" t="s">
        <v>28</v>
      </c>
      <c r="E6258" t="s">
        <v>22</v>
      </c>
      <c r="F6258">
        <v>262</v>
      </c>
      <c r="G6258">
        <v>64</v>
      </c>
      <c r="H6258">
        <v>0.15</v>
      </c>
      <c r="I6258" t="s">
        <v>23</v>
      </c>
      <c r="J6258">
        <v>0</v>
      </c>
      <c r="K6258">
        <v>1</v>
      </c>
      <c r="L6258">
        <v>1</v>
      </c>
      <c r="M6258">
        <f>VLOOKUP(Table1[[#This Row],[subscription_type]],Plans!$A$1:$B$5,2,FALSE)</f>
        <v>9.99</v>
      </c>
      <c r="N6258">
        <f t="shared" si="97"/>
        <v>9.99</v>
      </c>
    </row>
    <row r="6259" spans="1:14" x14ac:dyDescent="0.35">
      <c r="A6259">
        <v>6258</v>
      </c>
      <c r="B6259" t="s">
        <v>12</v>
      </c>
      <c r="C6259">
        <v>32</v>
      </c>
      <c r="D6259" t="s">
        <v>28</v>
      </c>
      <c r="E6259" t="s">
        <v>24</v>
      </c>
      <c r="F6259">
        <v>80</v>
      </c>
      <c r="G6259">
        <v>85</v>
      </c>
      <c r="H6259">
        <v>0.34</v>
      </c>
      <c r="I6259" t="s">
        <v>23</v>
      </c>
      <c r="J6259">
        <v>0</v>
      </c>
      <c r="K6259">
        <v>1</v>
      </c>
      <c r="L6259">
        <v>0</v>
      </c>
      <c r="M6259">
        <f>VLOOKUP(Table1[[#This Row],[subscription_type]],Plans!$A$1:$B$5,2,FALSE)</f>
        <v>4.99</v>
      </c>
      <c r="N6259">
        <f t="shared" si="97"/>
        <v>0</v>
      </c>
    </row>
    <row r="6260" spans="1:14" x14ac:dyDescent="0.35">
      <c r="A6260">
        <v>6259</v>
      </c>
      <c r="B6260" t="s">
        <v>12</v>
      </c>
      <c r="C6260">
        <v>16</v>
      </c>
      <c r="D6260" t="s">
        <v>26</v>
      </c>
      <c r="E6260" t="s">
        <v>24</v>
      </c>
      <c r="F6260">
        <v>68</v>
      </c>
      <c r="G6260">
        <v>51</v>
      </c>
      <c r="H6260">
        <v>0.43</v>
      </c>
      <c r="I6260" t="s">
        <v>19</v>
      </c>
      <c r="J6260">
        <v>0</v>
      </c>
      <c r="K6260">
        <v>1</v>
      </c>
      <c r="L6260">
        <v>0</v>
      </c>
      <c r="M6260">
        <f>VLOOKUP(Table1[[#This Row],[subscription_type]],Plans!$A$1:$B$5,2,FALSE)</f>
        <v>4.99</v>
      </c>
      <c r="N6260">
        <f t="shared" si="97"/>
        <v>0</v>
      </c>
    </row>
    <row r="6261" spans="1:14" x14ac:dyDescent="0.35">
      <c r="A6261">
        <v>6260</v>
      </c>
      <c r="B6261" t="s">
        <v>12</v>
      </c>
      <c r="C6261">
        <v>34</v>
      </c>
      <c r="D6261" t="s">
        <v>28</v>
      </c>
      <c r="E6261" t="s">
        <v>24</v>
      </c>
      <c r="F6261">
        <v>102</v>
      </c>
      <c r="G6261">
        <v>56</v>
      </c>
      <c r="H6261">
        <v>0.12</v>
      </c>
      <c r="I6261" t="s">
        <v>19</v>
      </c>
      <c r="J6261">
        <v>0</v>
      </c>
      <c r="K6261">
        <v>1</v>
      </c>
      <c r="L6261">
        <v>0</v>
      </c>
      <c r="M6261">
        <f>VLOOKUP(Table1[[#This Row],[subscription_type]],Plans!$A$1:$B$5,2,FALSE)</f>
        <v>4.99</v>
      </c>
      <c r="N6261">
        <f t="shared" si="97"/>
        <v>0</v>
      </c>
    </row>
    <row r="6262" spans="1:14" x14ac:dyDescent="0.35">
      <c r="A6262">
        <v>6261</v>
      </c>
      <c r="B6262" t="s">
        <v>12</v>
      </c>
      <c r="C6262">
        <v>17</v>
      </c>
      <c r="D6262" t="s">
        <v>25</v>
      </c>
      <c r="E6262" t="s">
        <v>24</v>
      </c>
      <c r="F6262">
        <v>298</v>
      </c>
      <c r="G6262">
        <v>37</v>
      </c>
      <c r="H6262">
        <v>0.22</v>
      </c>
      <c r="I6262" t="s">
        <v>15</v>
      </c>
      <c r="J6262">
        <v>0</v>
      </c>
      <c r="K6262">
        <v>1</v>
      </c>
      <c r="L6262">
        <v>1</v>
      </c>
      <c r="M6262">
        <f>VLOOKUP(Table1[[#This Row],[subscription_type]],Plans!$A$1:$B$5,2,FALSE)</f>
        <v>4.99</v>
      </c>
      <c r="N6262">
        <f t="shared" si="97"/>
        <v>4.99</v>
      </c>
    </row>
    <row r="6263" spans="1:14" x14ac:dyDescent="0.35">
      <c r="A6263">
        <v>6262</v>
      </c>
      <c r="B6263" t="s">
        <v>12</v>
      </c>
      <c r="C6263">
        <v>45</v>
      </c>
      <c r="D6263" t="s">
        <v>26</v>
      </c>
      <c r="E6263" t="s">
        <v>22</v>
      </c>
      <c r="F6263">
        <v>192</v>
      </c>
      <c r="G6263">
        <v>85</v>
      </c>
      <c r="H6263">
        <v>0.05</v>
      </c>
      <c r="I6263" t="s">
        <v>15</v>
      </c>
      <c r="J6263">
        <v>0</v>
      </c>
      <c r="K6263">
        <v>1</v>
      </c>
      <c r="L6263">
        <v>0</v>
      </c>
      <c r="M6263">
        <f>VLOOKUP(Table1[[#This Row],[subscription_type]],Plans!$A$1:$B$5,2,FALSE)</f>
        <v>9.99</v>
      </c>
      <c r="N6263">
        <f t="shared" si="97"/>
        <v>0</v>
      </c>
    </row>
    <row r="6264" spans="1:14" x14ac:dyDescent="0.35">
      <c r="A6264">
        <v>6263</v>
      </c>
      <c r="B6264" t="s">
        <v>20</v>
      </c>
      <c r="C6264">
        <v>52</v>
      </c>
      <c r="D6264" t="s">
        <v>29</v>
      </c>
      <c r="E6264" t="s">
        <v>18</v>
      </c>
      <c r="F6264">
        <v>174</v>
      </c>
      <c r="G6264">
        <v>18</v>
      </c>
      <c r="H6264">
        <v>0.53</v>
      </c>
      <c r="I6264" t="s">
        <v>23</v>
      </c>
      <c r="J6264">
        <v>0</v>
      </c>
      <c r="K6264">
        <v>1</v>
      </c>
      <c r="L6264">
        <v>0</v>
      </c>
      <c r="M6264">
        <f>VLOOKUP(Table1[[#This Row],[subscription_type]],Plans!$A$1:$B$5,2,FALSE)</f>
        <v>14.99</v>
      </c>
      <c r="N6264">
        <f t="shared" si="97"/>
        <v>0</v>
      </c>
    </row>
    <row r="6265" spans="1:14" x14ac:dyDescent="0.35">
      <c r="A6265">
        <v>6264</v>
      </c>
      <c r="B6265" t="s">
        <v>12</v>
      </c>
      <c r="C6265">
        <v>22</v>
      </c>
      <c r="D6265" t="s">
        <v>26</v>
      </c>
      <c r="E6265" t="s">
        <v>14</v>
      </c>
      <c r="F6265">
        <v>273</v>
      </c>
      <c r="G6265">
        <v>35</v>
      </c>
      <c r="H6265">
        <v>0.16</v>
      </c>
      <c r="I6265" t="s">
        <v>19</v>
      </c>
      <c r="J6265">
        <v>36</v>
      </c>
      <c r="K6265">
        <v>0</v>
      </c>
      <c r="L6265">
        <v>0</v>
      </c>
      <c r="M6265">
        <f>VLOOKUP(Table1[[#This Row],[subscription_type]],Plans!$A$1:$B$5,2,FALSE)</f>
        <v>0</v>
      </c>
      <c r="N6265">
        <f t="shared" si="97"/>
        <v>0</v>
      </c>
    </row>
    <row r="6266" spans="1:14" x14ac:dyDescent="0.35">
      <c r="A6266">
        <v>6265</v>
      </c>
      <c r="B6266" t="s">
        <v>20</v>
      </c>
      <c r="C6266">
        <v>38</v>
      </c>
      <c r="D6266" t="s">
        <v>29</v>
      </c>
      <c r="E6266" t="s">
        <v>18</v>
      </c>
      <c r="F6266">
        <v>277</v>
      </c>
      <c r="G6266">
        <v>90</v>
      </c>
      <c r="H6266">
        <v>0.26</v>
      </c>
      <c r="I6266" t="s">
        <v>15</v>
      </c>
      <c r="J6266">
        <v>0</v>
      </c>
      <c r="K6266">
        <v>1</v>
      </c>
      <c r="L6266">
        <v>0</v>
      </c>
      <c r="M6266">
        <f>VLOOKUP(Table1[[#This Row],[subscription_type]],Plans!$A$1:$B$5,2,FALSE)</f>
        <v>14.99</v>
      </c>
      <c r="N6266">
        <f t="shared" si="97"/>
        <v>0</v>
      </c>
    </row>
    <row r="6267" spans="1:14" x14ac:dyDescent="0.35">
      <c r="A6267">
        <v>6266</v>
      </c>
      <c r="B6267" t="s">
        <v>16</v>
      </c>
      <c r="C6267">
        <v>44</v>
      </c>
      <c r="D6267" t="s">
        <v>25</v>
      </c>
      <c r="E6267" t="s">
        <v>24</v>
      </c>
      <c r="F6267">
        <v>204</v>
      </c>
      <c r="G6267">
        <v>72</v>
      </c>
      <c r="H6267">
        <v>0.34</v>
      </c>
      <c r="I6267" t="s">
        <v>19</v>
      </c>
      <c r="J6267">
        <v>0</v>
      </c>
      <c r="K6267">
        <v>1</v>
      </c>
      <c r="L6267">
        <v>0</v>
      </c>
      <c r="M6267">
        <f>VLOOKUP(Table1[[#This Row],[subscription_type]],Plans!$A$1:$B$5,2,FALSE)</f>
        <v>4.99</v>
      </c>
      <c r="N6267">
        <f t="shared" si="97"/>
        <v>0</v>
      </c>
    </row>
    <row r="6268" spans="1:14" x14ac:dyDescent="0.35">
      <c r="A6268">
        <v>6267</v>
      </c>
      <c r="B6268" t="s">
        <v>20</v>
      </c>
      <c r="C6268">
        <v>59</v>
      </c>
      <c r="D6268" t="s">
        <v>13</v>
      </c>
      <c r="E6268" t="s">
        <v>24</v>
      </c>
      <c r="F6268">
        <v>23</v>
      </c>
      <c r="G6268">
        <v>14</v>
      </c>
      <c r="H6268">
        <v>0.47</v>
      </c>
      <c r="I6268" t="s">
        <v>15</v>
      </c>
      <c r="J6268">
        <v>0</v>
      </c>
      <c r="K6268">
        <v>1</v>
      </c>
      <c r="L6268">
        <v>0</v>
      </c>
      <c r="M6268">
        <f>VLOOKUP(Table1[[#This Row],[subscription_type]],Plans!$A$1:$B$5,2,FALSE)</f>
        <v>4.99</v>
      </c>
      <c r="N6268">
        <f t="shared" si="97"/>
        <v>0</v>
      </c>
    </row>
    <row r="6269" spans="1:14" x14ac:dyDescent="0.35">
      <c r="A6269">
        <v>6268</v>
      </c>
      <c r="B6269" t="s">
        <v>12</v>
      </c>
      <c r="C6269">
        <v>52</v>
      </c>
      <c r="D6269" t="s">
        <v>17</v>
      </c>
      <c r="E6269" t="s">
        <v>22</v>
      </c>
      <c r="F6269">
        <v>273</v>
      </c>
      <c r="G6269">
        <v>61</v>
      </c>
      <c r="H6269">
        <v>0.49</v>
      </c>
      <c r="I6269" t="s">
        <v>15</v>
      </c>
      <c r="J6269">
        <v>0</v>
      </c>
      <c r="K6269">
        <v>1</v>
      </c>
      <c r="L6269">
        <v>0</v>
      </c>
      <c r="M6269">
        <f>VLOOKUP(Table1[[#This Row],[subscription_type]],Plans!$A$1:$B$5,2,FALSE)</f>
        <v>9.99</v>
      </c>
      <c r="N6269">
        <f t="shared" si="97"/>
        <v>0</v>
      </c>
    </row>
    <row r="6270" spans="1:14" x14ac:dyDescent="0.35">
      <c r="A6270">
        <v>6269</v>
      </c>
      <c r="B6270" t="s">
        <v>16</v>
      </c>
      <c r="C6270">
        <v>54</v>
      </c>
      <c r="D6270" t="s">
        <v>25</v>
      </c>
      <c r="E6270" t="s">
        <v>18</v>
      </c>
      <c r="F6270">
        <v>109</v>
      </c>
      <c r="G6270">
        <v>32</v>
      </c>
      <c r="H6270">
        <v>0.54</v>
      </c>
      <c r="I6270" t="s">
        <v>19</v>
      </c>
      <c r="J6270">
        <v>0</v>
      </c>
      <c r="K6270">
        <v>1</v>
      </c>
      <c r="L6270">
        <v>0</v>
      </c>
      <c r="M6270">
        <f>VLOOKUP(Table1[[#This Row],[subscription_type]],Plans!$A$1:$B$5,2,FALSE)</f>
        <v>14.99</v>
      </c>
      <c r="N6270">
        <f t="shared" si="97"/>
        <v>0</v>
      </c>
    </row>
    <row r="6271" spans="1:14" x14ac:dyDescent="0.35">
      <c r="A6271">
        <v>6270</v>
      </c>
      <c r="B6271" t="s">
        <v>20</v>
      </c>
      <c r="C6271">
        <v>40</v>
      </c>
      <c r="D6271" t="s">
        <v>27</v>
      </c>
      <c r="E6271" t="s">
        <v>24</v>
      </c>
      <c r="F6271">
        <v>57</v>
      </c>
      <c r="G6271">
        <v>56</v>
      </c>
      <c r="H6271">
        <v>0.06</v>
      </c>
      <c r="I6271" t="s">
        <v>23</v>
      </c>
      <c r="J6271">
        <v>0</v>
      </c>
      <c r="K6271">
        <v>1</v>
      </c>
      <c r="L6271">
        <v>0</v>
      </c>
      <c r="M6271">
        <f>VLOOKUP(Table1[[#This Row],[subscription_type]],Plans!$A$1:$B$5,2,FALSE)</f>
        <v>4.99</v>
      </c>
      <c r="N6271">
        <f t="shared" si="97"/>
        <v>0</v>
      </c>
    </row>
    <row r="6272" spans="1:14" x14ac:dyDescent="0.35">
      <c r="A6272">
        <v>6271</v>
      </c>
      <c r="B6272" t="s">
        <v>20</v>
      </c>
      <c r="C6272">
        <v>55</v>
      </c>
      <c r="D6272" t="s">
        <v>13</v>
      </c>
      <c r="E6272" t="s">
        <v>24</v>
      </c>
      <c r="F6272">
        <v>294</v>
      </c>
      <c r="G6272">
        <v>96</v>
      </c>
      <c r="H6272">
        <v>0.14000000000000001</v>
      </c>
      <c r="I6272" t="s">
        <v>19</v>
      </c>
      <c r="J6272">
        <v>0</v>
      </c>
      <c r="K6272">
        <v>1</v>
      </c>
      <c r="L6272">
        <v>0</v>
      </c>
      <c r="M6272">
        <f>VLOOKUP(Table1[[#This Row],[subscription_type]],Plans!$A$1:$B$5,2,FALSE)</f>
        <v>4.99</v>
      </c>
      <c r="N6272">
        <f t="shared" si="97"/>
        <v>0</v>
      </c>
    </row>
    <row r="6273" spans="1:14" x14ac:dyDescent="0.35">
      <c r="A6273">
        <v>6272</v>
      </c>
      <c r="B6273" t="s">
        <v>12</v>
      </c>
      <c r="C6273">
        <v>20</v>
      </c>
      <c r="D6273" t="s">
        <v>17</v>
      </c>
      <c r="E6273" t="s">
        <v>14</v>
      </c>
      <c r="F6273">
        <v>88</v>
      </c>
      <c r="G6273">
        <v>83</v>
      </c>
      <c r="H6273">
        <v>0.55000000000000004</v>
      </c>
      <c r="I6273" t="s">
        <v>23</v>
      </c>
      <c r="J6273">
        <v>32</v>
      </c>
      <c r="K6273">
        <v>0</v>
      </c>
      <c r="L6273">
        <v>1</v>
      </c>
      <c r="M6273">
        <f>VLOOKUP(Table1[[#This Row],[subscription_type]],Plans!$A$1:$B$5,2,FALSE)</f>
        <v>0</v>
      </c>
      <c r="N6273">
        <f t="shared" si="97"/>
        <v>0</v>
      </c>
    </row>
    <row r="6274" spans="1:14" x14ac:dyDescent="0.35">
      <c r="A6274">
        <v>6273</v>
      </c>
      <c r="B6274" t="s">
        <v>12</v>
      </c>
      <c r="C6274">
        <v>51</v>
      </c>
      <c r="D6274" t="s">
        <v>13</v>
      </c>
      <c r="E6274" t="s">
        <v>22</v>
      </c>
      <c r="F6274">
        <v>274</v>
      </c>
      <c r="G6274">
        <v>70</v>
      </c>
      <c r="H6274">
        <v>0.44</v>
      </c>
      <c r="I6274" t="s">
        <v>15</v>
      </c>
      <c r="J6274">
        <v>0</v>
      </c>
      <c r="K6274">
        <v>1</v>
      </c>
      <c r="L6274">
        <v>0</v>
      </c>
      <c r="M6274">
        <f>VLOOKUP(Table1[[#This Row],[subscription_type]],Plans!$A$1:$B$5,2,FALSE)</f>
        <v>9.99</v>
      </c>
      <c r="N6274">
        <f t="shared" ref="N6274:N6337" si="98">IF(L6274=1, M6274,0)</f>
        <v>0</v>
      </c>
    </row>
    <row r="6275" spans="1:14" x14ac:dyDescent="0.35">
      <c r="A6275">
        <v>6274</v>
      </c>
      <c r="B6275" t="s">
        <v>16</v>
      </c>
      <c r="C6275">
        <v>32</v>
      </c>
      <c r="D6275" t="s">
        <v>17</v>
      </c>
      <c r="E6275" t="s">
        <v>24</v>
      </c>
      <c r="F6275">
        <v>41</v>
      </c>
      <c r="G6275">
        <v>47</v>
      </c>
      <c r="H6275">
        <v>0.48</v>
      </c>
      <c r="I6275" t="s">
        <v>19</v>
      </c>
      <c r="J6275">
        <v>0</v>
      </c>
      <c r="K6275">
        <v>1</v>
      </c>
      <c r="L6275">
        <v>1</v>
      </c>
      <c r="M6275">
        <f>VLOOKUP(Table1[[#This Row],[subscription_type]],Plans!$A$1:$B$5,2,FALSE)</f>
        <v>4.99</v>
      </c>
      <c r="N6275">
        <f t="shared" si="98"/>
        <v>4.99</v>
      </c>
    </row>
    <row r="6276" spans="1:14" x14ac:dyDescent="0.35">
      <c r="A6276">
        <v>6275</v>
      </c>
      <c r="B6276" t="s">
        <v>12</v>
      </c>
      <c r="C6276">
        <v>47</v>
      </c>
      <c r="D6276" t="s">
        <v>13</v>
      </c>
      <c r="E6276" t="s">
        <v>18</v>
      </c>
      <c r="F6276">
        <v>108</v>
      </c>
      <c r="G6276">
        <v>69</v>
      </c>
      <c r="H6276">
        <v>0.04</v>
      </c>
      <c r="I6276" t="s">
        <v>19</v>
      </c>
      <c r="J6276">
        <v>0</v>
      </c>
      <c r="K6276">
        <v>1</v>
      </c>
      <c r="L6276">
        <v>1</v>
      </c>
      <c r="M6276">
        <f>VLOOKUP(Table1[[#This Row],[subscription_type]],Plans!$A$1:$B$5,2,FALSE)</f>
        <v>14.99</v>
      </c>
      <c r="N6276">
        <f t="shared" si="98"/>
        <v>14.99</v>
      </c>
    </row>
    <row r="6277" spans="1:14" x14ac:dyDescent="0.35">
      <c r="A6277">
        <v>6276</v>
      </c>
      <c r="B6277" t="s">
        <v>16</v>
      </c>
      <c r="C6277">
        <v>27</v>
      </c>
      <c r="D6277" t="s">
        <v>28</v>
      </c>
      <c r="E6277" t="s">
        <v>14</v>
      </c>
      <c r="F6277">
        <v>139</v>
      </c>
      <c r="G6277">
        <v>80</v>
      </c>
      <c r="H6277">
        <v>0.23</v>
      </c>
      <c r="I6277" t="s">
        <v>19</v>
      </c>
      <c r="J6277">
        <v>39</v>
      </c>
      <c r="K6277">
        <v>0</v>
      </c>
      <c r="L6277">
        <v>0</v>
      </c>
      <c r="M6277">
        <f>VLOOKUP(Table1[[#This Row],[subscription_type]],Plans!$A$1:$B$5,2,FALSE)</f>
        <v>0</v>
      </c>
      <c r="N6277">
        <f t="shared" si="98"/>
        <v>0</v>
      </c>
    </row>
    <row r="6278" spans="1:14" x14ac:dyDescent="0.35">
      <c r="A6278">
        <v>6277</v>
      </c>
      <c r="B6278" t="s">
        <v>16</v>
      </c>
      <c r="C6278">
        <v>18</v>
      </c>
      <c r="D6278" t="s">
        <v>29</v>
      </c>
      <c r="E6278" t="s">
        <v>14</v>
      </c>
      <c r="F6278">
        <v>123</v>
      </c>
      <c r="G6278">
        <v>81</v>
      </c>
      <c r="H6278">
        <v>0.34</v>
      </c>
      <c r="I6278" t="s">
        <v>19</v>
      </c>
      <c r="J6278">
        <v>28</v>
      </c>
      <c r="K6278">
        <v>0</v>
      </c>
      <c r="L6278">
        <v>0</v>
      </c>
      <c r="M6278">
        <f>VLOOKUP(Table1[[#This Row],[subscription_type]],Plans!$A$1:$B$5,2,FALSE)</f>
        <v>0</v>
      </c>
      <c r="N6278">
        <f t="shared" si="98"/>
        <v>0</v>
      </c>
    </row>
    <row r="6279" spans="1:14" x14ac:dyDescent="0.35">
      <c r="A6279">
        <v>6278</v>
      </c>
      <c r="B6279" t="s">
        <v>20</v>
      </c>
      <c r="C6279">
        <v>30</v>
      </c>
      <c r="D6279" t="s">
        <v>26</v>
      </c>
      <c r="E6279" t="s">
        <v>22</v>
      </c>
      <c r="F6279">
        <v>164</v>
      </c>
      <c r="G6279">
        <v>69</v>
      </c>
      <c r="H6279">
        <v>0.19</v>
      </c>
      <c r="I6279" t="s">
        <v>15</v>
      </c>
      <c r="J6279">
        <v>0</v>
      </c>
      <c r="K6279">
        <v>1</v>
      </c>
      <c r="L6279">
        <v>0</v>
      </c>
      <c r="M6279">
        <f>VLOOKUP(Table1[[#This Row],[subscription_type]],Plans!$A$1:$B$5,2,FALSE)</f>
        <v>9.99</v>
      </c>
      <c r="N6279">
        <f t="shared" si="98"/>
        <v>0</v>
      </c>
    </row>
    <row r="6280" spans="1:14" x14ac:dyDescent="0.35">
      <c r="A6280">
        <v>6279</v>
      </c>
      <c r="B6280" t="s">
        <v>20</v>
      </c>
      <c r="C6280">
        <v>33</v>
      </c>
      <c r="D6280" t="s">
        <v>25</v>
      </c>
      <c r="E6280" t="s">
        <v>24</v>
      </c>
      <c r="F6280">
        <v>28</v>
      </c>
      <c r="G6280">
        <v>59</v>
      </c>
      <c r="H6280">
        <v>0.31</v>
      </c>
      <c r="I6280" t="s">
        <v>23</v>
      </c>
      <c r="J6280">
        <v>0</v>
      </c>
      <c r="K6280">
        <v>1</v>
      </c>
      <c r="L6280">
        <v>0</v>
      </c>
      <c r="M6280">
        <f>VLOOKUP(Table1[[#This Row],[subscription_type]],Plans!$A$1:$B$5,2,FALSE)</f>
        <v>4.99</v>
      </c>
      <c r="N6280">
        <f t="shared" si="98"/>
        <v>0</v>
      </c>
    </row>
    <row r="6281" spans="1:14" x14ac:dyDescent="0.35">
      <c r="A6281">
        <v>6280</v>
      </c>
      <c r="B6281" t="s">
        <v>16</v>
      </c>
      <c r="C6281">
        <v>53</v>
      </c>
      <c r="D6281" t="s">
        <v>26</v>
      </c>
      <c r="E6281" t="s">
        <v>18</v>
      </c>
      <c r="F6281">
        <v>289</v>
      </c>
      <c r="G6281">
        <v>10</v>
      </c>
      <c r="H6281">
        <v>0.39</v>
      </c>
      <c r="I6281" t="s">
        <v>15</v>
      </c>
      <c r="J6281">
        <v>0</v>
      </c>
      <c r="K6281">
        <v>1</v>
      </c>
      <c r="L6281">
        <v>0</v>
      </c>
      <c r="M6281">
        <f>VLOOKUP(Table1[[#This Row],[subscription_type]],Plans!$A$1:$B$5,2,FALSE)</f>
        <v>14.99</v>
      </c>
      <c r="N6281">
        <f t="shared" si="98"/>
        <v>0</v>
      </c>
    </row>
    <row r="6282" spans="1:14" x14ac:dyDescent="0.35">
      <c r="A6282">
        <v>6281</v>
      </c>
      <c r="B6282" t="s">
        <v>12</v>
      </c>
      <c r="C6282">
        <v>42</v>
      </c>
      <c r="D6282" t="s">
        <v>13</v>
      </c>
      <c r="E6282" t="s">
        <v>14</v>
      </c>
      <c r="F6282">
        <v>195</v>
      </c>
      <c r="G6282">
        <v>29</v>
      </c>
      <c r="H6282">
        <v>0.43</v>
      </c>
      <c r="I6282" t="s">
        <v>23</v>
      </c>
      <c r="J6282">
        <v>40</v>
      </c>
      <c r="K6282">
        <v>0</v>
      </c>
      <c r="L6282">
        <v>0</v>
      </c>
      <c r="M6282">
        <f>VLOOKUP(Table1[[#This Row],[subscription_type]],Plans!$A$1:$B$5,2,FALSE)</f>
        <v>0</v>
      </c>
      <c r="N6282">
        <f t="shared" si="98"/>
        <v>0</v>
      </c>
    </row>
    <row r="6283" spans="1:14" x14ac:dyDescent="0.35">
      <c r="A6283">
        <v>6282</v>
      </c>
      <c r="B6283" t="s">
        <v>12</v>
      </c>
      <c r="C6283">
        <v>50</v>
      </c>
      <c r="D6283" t="s">
        <v>25</v>
      </c>
      <c r="E6283" t="s">
        <v>14</v>
      </c>
      <c r="F6283">
        <v>170</v>
      </c>
      <c r="G6283">
        <v>64</v>
      </c>
      <c r="H6283">
        <v>0.01</v>
      </c>
      <c r="I6283" t="s">
        <v>23</v>
      </c>
      <c r="J6283">
        <v>25</v>
      </c>
      <c r="K6283">
        <v>0</v>
      </c>
      <c r="L6283">
        <v>0</v>
      </c>
      <c r="M6283">
        <f>VLOOKUP(Table1[[#This Row],[subscription_type]],Plans!$A$1:$B$5,2,FALSE)</f>
        <v>0</v>
      </c>
      <c r="N6283">
        <f t="shared" si="98"/>
        <v>0</v>
      </c>
    </row>
    <row r="6284" spans="1:14" x14ac:dyDescent="0.35">
      <c r="A6284">
        <v>6283</v>
      </c>
      <c r="B6284" t="s">
        <v>12</v>
      </c>
      <c r="C6284">
        <v>30</v>
      </c>
      <c r="D6284" t="s">
        <v>17</v>
      </c>
      <c r="E6284" t="s">
        <v>14</v>
      </c>
      <c r="F6284">
        <v>103</v>
      </c>
      <c r="G6284">
        <v>35</v>
      </c>
      <c r="H6284">
        <v>0.38</v>
      </c>
      <c r="I6284" t="s">
        <v>19</v>
      </c>
      <c r="J6284">
        <v>33</v>
      </c>
      <c r="K6284">
        <v>0</v>
      </c>
      <c r="L6284">
        <v>1</v>
      </c>
      <c r="M6284">
        <f>VLOOKUP(Table1[[#This Row],[subscription_type]],Plans!$A$1:$B$5,2,FALSE)</f>
        <v>0</v>
      </c>
      <c r="N6284">
        <f t="shared" si="98"/>
        <v>0</v>
      </c>
    </row>
    <row r="6285" spans="1:14" x14ac:dyDescent="0.35">
      <c r="A6285">
        <v>6284</v>
      </c>
      <c r="B6285" t="s">
        <v>12</v>
      </c>
      <c r="C6285">
        <v>38</v>
      </c>
      <c r="D6285" t="s">
        <v>26</v>
      </c>
      <c r="E6285" t="s">
        <v>14</v>
      </c>
      <c r="F6285">
        <v>87</v>
      </c>
      <c r="G6285">
        <v>14</v>
      </c>
      <c r="H6285">
        <v>0.38</v>
      </c>
      <c r="I6285" t="s">
        <v>23</v>
      </c>
      <c r="J6285">
        <v>18</v>
      </c>
      <c r="K6285">
        <v>0</v>
      </c>
      <c r="L6285">
        <v>0</v>
      </c>
      <c r="M6285">
        <f>VLOOKUP(Table1[[#This Row],[subscription_type]],Plans!$A$1:$B$5,2,FALSE)</f>
        <v>0</v>
      </c>
      <c r="N6285">
        <f t="shared" si="98"/>
        <v>0</v>
      </c>
    </row>
    <row r="6286" spans="1:14" x14ac:dyDescent="0.35">
      <c r="A6286">
        <v>6285</v>
      </c>
      <c r="B6286" t="s">
        <v>16</v>
      </c>
      <c r="C6286">
        <v>50</v>
      </c>
      <c r="D6286" t="s">
        <v>13</v>
      </c>
      <c r="E6286" t="s">
        <v>18</v>
      </c>
      <c r="F6286">
        <v>36</v>
      </c>
      <c r="G6286">
        <v>21</v>
      </c>
      <c r="H6286">
        <v>0.03</v>
      </c>
      <c r="I6286" t="s">
        <v>19</v>
      </c>
      <c r="J6286">
        <v>0</v>
      </c>
      <c r="K6286">
        <v>1</v>
      </c>
      <c r="L6286">
        <v>1</v>
      </c>
      <c r="M6286">
        <f>VLOOKUP(Table1[[#This Row],[subscription_type]],Plans!$A$1:$B$5,2,FALSE)</f>
        <v>14.99</v>
      </c>
      <c r="N6286">
        <f t="shared" si="98"/>
        <v>14.99</v>
      </c>
    </row>
    <row r="6287" spans="1:14" x14ac:dyDescent="0.35">
      <c r="A6287">
        <v>6286</v>
      </c>
      <c r="B6287" t="s">
        <v>16</v>
      </c>
      <c r="C6287">
        <v>20</v>
      </c>
      <c r="D6287" t="s">
        <v>17</v>
      </c>
      <c r="E6287" t="s">
        <v>18</v>
      </c>
      <c r="F6287">
        <v>172</v>
      </c>
      <c r="G6287">
        <v>70</v>
      </c>
      <c r="H6287">
        <v>0.19</v>
      </c>
      <c r="I6287" t="s">
        <v>15</v>
      </c>
      <c r="J6287">
        <v>0</v>
      </c>
      <c r="K6287">
        <v>1</v>
      </c>
      <c r="L6287">
        <v>0</v>
      </c>
      <c r="M6287">
        <f>VLOOKUP(Table1[[#This Row],[subscription_type]],Plans!$A$1:$B$5,2,FALSE)</f>
        <v>14.99</v>
      </c>
      <c r="N6287">
        <f t="shared" si="98"/>
        <v>0</v>
      </c>
    </row>
    <row r="6288" spans="1:14" x14ac:dyDescent="0.35">
      <c r="A6288">
        <v>6287</v>
      </c>
      <c r="B6288" t="s">
        <v>20</v>
      </c>
      <c r="C6288">
        <v>18</v>
      </c>
      <c r="D6288" t="s">
        <v>29</v>
      </c>
      <c r="E6288" t="s">
        <v>14</v>
      </c>
      <c r="F6288">
        <v>245</v>
      </c>
      <c r="G6288">
        <v>95</v>
      </c>
      <c r="H6288">
        <v>0.54</v>
      </c>
      <c r="I6288" t="s">
        <v>23</v>
      </c>
      <c r="J6288">
        <v>17</v>
      </c>
      <c r="K6288">
        <v>0</v>
      </c>
      <c r="L6288">
        <v>0</v>
      </c>
      <c r="M6288">
        <f>VLOOKUP(Table1[[#This Row],[subscription_type]],Plans!$A$1:$B$5,2,FALSE)</f>
        <v>0</v>
      </c>
      <c r="N6288">
        <f t="shared" si="98"/>
        <v>0</v>
      </c>
    </row>
    <row r="6289" spans="1:14" x14ac:dyDescent="0.35">
      <c r="A6289">
        <v>6288</v>
      </c>
      <c r="B6289" t="s">
        <v>12</v>
      </c>
      <c r="C6289">
        <v>48</v>
      </c>
      <c r="D6289" t="s">
        <v>21</v>
      </c>
      <c r="E6289" t="s">
        <v>22</v>
      </c>
      <c r="F6289">
        <v>240</v>
      </c>
      <c r="G6289">
        <v>26</v>
      </c>
      <c r="H6289">
        <v>0.32</v>
      </c>
      <c r="I6289" t="s">
        <v>15</v>
      </c>
      <c r="J6289">
        <v>0</v>
      </c>
      <c r="K6289">
        <v>1</v>
      </c>
      <c r="L6289">
        <v>1</v>
      </c>
      <c r="M6289">
        <f>VLOOKUP(Table1[[#This Row],[subscription_type]],Plans!$A$1:$B$5,2,FALSE)</f>
        <v>9.99</v>
      </c>
      <c r="N6289">
        <f t="shared" si="98"/>
        <v>9.99</v>
      </c>
    </row>
    <row r="6290" spans="1:14" x14ac:dyDescent="0.35">
      <c r="A6290">
        <v>6289</v>
      </c>
      <c r="B6290" t="s">
        <v>12</v>
      </c>
      <c r="C6290">
        <v>51</v>
      </c>
      <c r="D6290" t="s">
        <v>28</v>
      </c>
      <c r="E6290" t="s">
        <v>18</v>
      </c>
      <c r="F6290">
        <v>32</v>
      </c>
      <c r="G6290">
        <v>25</v>
      </c>
      <c r="H6290">
        <v>0.49</v>
      </c>
      <c r="I6290" t="s">
        <v>19</v>
      </c>
      <c r="J6290">
        <v>0</v>
      </c>
      <c r="K6290">
        <v>1</v>
      </c>
      <c r="L6290">
        <v>0</v>
      </c>
      <c r="M6290">
        <f>VLOOKUP(Table1[[#This Row],[subscription_type]],Plans!$A$1:$B$5,2,FALSE)</f>
        <v>14.99</v>
      </c>
      <c r="N6290">
        <f t="shared" si="98"/>
        <v>0</v>
      </c>
    </row>
    <row r="6291" spans="1:14" x14ac:dyDescent="0.35">
      <c r="A6291">
        <v>6290</v>
      </c>
      <c r="B6291" t="s">
        <v>12</v>
      </c>
      <c r="C6291">
        <v>57</v>
      </c>
      <c r="D6291" t="s">
        <v>26</v>
      </c>
      <c r="E6291" t="s">
        <v>22</v>
      </c>
      <c r="F6291">
        <v>294</v>
      </c>
      <c r="G6291">
        <v>54</v>
      </c>
      <c r="H6291">
        <v>0.57999999999999996</v>
      </c>
      <c r="I6291" t="s">
        <v>23</v>
      </c>
      <c r="J6291">
        <v>0</v>
      </c>
      <c r="K6291">
        <v>1</v>
      </c>
      <c r="L6291">
        <v>0</v>
      </c>
      <c r="M6291">
        <f>VLOOKUP(Table1[[#This Row],[subscription_type]],Plans!$A$1:$B$5,2,FALSE)</f>
        <v>9.99</v>
      </c>
      <c r="N6291">
        <f t="shared" si="98"/>
        <v>0</v>
      </c>
    </row>
    <row r="6292" spans="1:14" x14ac:dyDescent="0.35">
      <c r="A6292">
        <v>6291</v>
      </c>
      <c r="B6292" t="s">
        <v>16</v>
      </c>
      <c r="C6292">
        <v>32</v>
      </c>
      <c r="D6292" t="s">
        <v>29</v>
      </c>
      <c r="E6292" t="s">
        <v>24</v>
      </c>
      <c r="F6292">
        <v>217</v>
      </c>
      <c r="G6292">
        <v>77</v>
      </c>
      <c r="H6292">
        <v>0.34</v>
      </c>
      <c r="I6292" t="s">
        <v>19</v>
      </c>
      <c r="J6292">
        <v>0</v>
      </c>
      <c r="K6292">
        <v>1</v>
      </c>
      <c r="L6292">
        <v>0</v>
      </c>
      <c r="M6292">
        <f>VLOOKUP(Table1[[#This Row],[subscription_type]],Plans!$A$1:$B$5,2,FALSE)</f>
        <v>4.99</v>
      </c>
      <c r="N6292">
        <f t="shared" si="98"/>
        <v>0</v>
      </c>
    </row>
    <row r="6293" spans="1:14" x14ac:dyDescent="0.35">
      <c r="A6293">
        <v>6292</v>
      </c>
      <c r="B6293" t="s">
        <v>12</v>
      </c>
      <c r="C6293">
        <v>26</v>
      </c>
      <c r="D6293" t="s">
        <v>13</v>
      </c>
      <c r="E6293" t="s">
        <v>18</v>
      </c>
      <c r="F6293">
        <v>82</v>
      </c>
      <c r="G6293">
        <v>46</v>
      </c>
      <c r="H6293">
        <v>0.45</v>
      </c>
      <c r="I6293" t="s">
        <v>19</v>
      </c>
      <c r="J6293">
        <v>0</v>
      </c>
      <c r="K6293">
        <v>1</v>
      </c>
      <c r="L6293">
        <v>0</v>
      </c>
      <c r="M6293">
        <f>VLOOKUP(Table1[[#This Row],[subscription_type]],Plans!$A$1:$B$5,2,FALSE)</f>
        <v>14.99</v>
      </c>
      <c r="N6293">
        <f t="shared" si="98"/>
        <v>0</v>
      </c>
    </row>
    <row r="6294" spans="1:14" x14ac:dyDescent="0.35">
      <c r="A6294">
        <v>6293</v>
      </c>
      <c r="B6294" t="s">
        <v>16</v>
      </c>
      <c r="C6294">
        <v>46</v>
      </c>
      <c r="D6294" t="s">
        <v>29</v>
      </c>
      <c r="E6294" t="s">
        <v>18</v>
      </c>
      <c r="F6294">
        <v>196</v>
      </c>
      <c r="G6294">
        <v>77</v>
      </c>
      <c r="H6294">
        <v>0.51</v>
      </c>
      <c r="I6294" t="s">
        <v>23</v>
      </c>
      <c r="J6294">
        <v>0</v>
      </c>
      <c r="K6294">
        <v>1</v>
      </c>
      <c r="L6294">
        <v>0</v>
      </c>
      <c r="M6294">
        <f>VLOOKUP(Table1[[#This Row],[subscription_type]],Plans!$A$1:$B$5,2,FALSE)</f>
        <v>14.99</v>
      </c>
      <c r="N6294">
        <f t="shared" si="98"/>
        <v>0</v>
      </c>
    </row>
    <row r="6295" spans="1:14" x14ac:dyDescent="0.35">
      <c r="A6295">
        <v>6294</v>
      </c>
      <c r="B6295" t="s">
        <v>20</v>
      </c>
      <c r="C6295">
        <v>41</v>
      </c>
      <c r="D6295" t="s">
        <v>27</v>
      </c>
      <c r="E6295" t="s">
        <v>24</v>
      </c>
      <c r="F6295">
        <v>177</v>
      </c>
      <c r="G6295">
        <v>25</v>
      </c>
      <c r="H6295">
        <v>0.42</v>
      </c>
      <c r="I6295" t="s">
        <v>19</v>
      </c>
      <c r="J6295">
        <v>0</v>
      </c>
      <c r="K6295">
        <v>1</v>
      </c>
      <c r="L6295">
        <v>1</v>
      </c>
      <c r="M6295">
        <f>VLOOKUP(Table1[[#This Row],[subscription_type]],Plans!$A$1:$B$5,2,FALSE)</f>
        <v>4.99</v>
      </c>
      <c r="N6295">
        <f t="shared" si="98"/>
        <v>4.99</v>
      </c>
    </row>
    <row r="6296" spans="1:14" x14ac:dyDescent="0.35">
      <c r="A6296">
        <v>6295</v>
      </c>
      <c r="B6296" t="s">
        <v>16</v>
      </c>
      <c r="C6296">
        <v>27</v>
      </c>
      <c r="D6296" t="s">
        <v>27</v>
      </c>
      <c r="E6296" t="s">
        <v>22</v>
      </c>
      <c r="F6296">
        <v>223</v>
      </c>
      <c r="G6296">
        <v>39</v>
      </c>
      <c r="H6296">
        <v>0.17</v>
      </c>
      <c r="I6296" t="s">
        <v>19</v>
      </c>
      <c r="J6296">
        <v>0</v>
      </c>
      <c r="K6296">
        <v>1</v>
      </c>
      <c r="L6296">
        <v>0</v>
      </c>
      <c r="M6296">
        <f>VLOOKUP(Table1[[#This Row],[subscription_type]],Plans!$A$1:$B$5,2,FALSE)</f>
        <v>9.99</v>
      </c>
      <c r="N6296">
        <f t="shared" si="98"/>
        <v>0</v>
      </c>
    </row>
    <row r="6297" spans="1:14" x14ac:dyDescent="0.35">
      <c r="A6297">
        <v>6296</v>
      </c>
      <c r="B6297" t="s">
        <v>12</v>
      </c>
      <c r="C6297">
        <v>30</v>
      </c>
      <c r="D6297" t="s">
        <v>29</v>
      </c>
      <c r="E6297" t="s">
        <v>22</v>
      </c>
      <c r="F6297">
        <v>272</v>
      </c>
      <c r="G6297">
        <v>46</v>
      </c>
      <c r="H6297">
        <v>0.27</v>
      </c>
      <c r="I6297" t="s">
        <v>15</v>
      </c>
      <c r="J6297">
        <v>0</v>
      </c>
      <c r="K6297">
        <v>1</v>
      </c>
      <c r="L6297">
        <v>0</v>
      </c>
      <c r="M6297">
        <f>VLOOKUP(Table1[[#This Row],[subscription_type]],Plans!$A$1:$B$5,2,FALSE)</f>
        <v>9.99</v>
      </c>
      <c r="N6297">
        <f t="shared" si="98"/>
        <v>0</v>
      </c>
    </row>
    <row r="6298" spans="1:14" x14ac:dyDescent="0.35">
      <c r="A6298">
        <v>6297</v>
      </c>
      <c r="B6298" t="s">
        <v>16</v>
      </c>
      <c r="C6298">
        <v>31</v>
      </c>
      <c r="D6298" t="s">
        <v>13</v>
      </c>
      <c r="E6298" t="s">
        <v>22</v>
      </c>
      <c r="F6298">
        <v>11</v>
      </c>
      <c r="G6298">
        <v>4</v>
      </c>
      <c r="H6298">
        <v>0.5</v>
      </c>
      <c r="I6298" t="s">
        <v>23</v>
      </c>
      <c r="J6298">
        <v>0</v>
      </c>
      <c r="K6298">
        <v>1</v>
      </c>
      <c r="L6298">
        <v>0</v>
      </c>
      <c r="M6298">
        <f>VLOOKUP(Table1[[#This Row],[subscription_type]],Plans!$A$1:$B$5,2,FALSE)</f>
        <v>9.99</v>
      </c>
      <c r="N6298">
        <f t="shared" si="98"/>
        <v>0</v>
      </c>
    </row>
    <row r="6299" spans="1:14" x14ac:dyDescent="0.35">
      <c r="A6299">
        <v>6298</v>
      </c>
      <c r="B6299" t="s">
        <v>20</v>
      </c>
      <c r="C6299">
        <v>20</v>
      </c>
      <c r="D6299" t="s">
        <v>21</v>
      </c>
      <c r="E6299" t="s">
        <v>24</v>
      </c>
      <c r="F6299">
        <v>10</v>
      </c>
      <c r="G6299">
        <v>76</v>
      </c>
      <c r="H6299">
        <v>0.49</v>
      </c>
      <c r="I6299" t="s">
        <v>15</v>
      </c>
      <c r="J6299">
        <v>0</v>
      </c>
      <c r="K6299">
        <v>1</v>
      </c>
      <c r="L6299">
        <v>0</v>
      </c>
      <c r="M6299">
        <f>VLOOKUP(Table1[[#This Row],[subscription_type]],Plans!$A$1:$B$5,2,FALSE)</f>
        <v>4.99</v>
      </c>
      <c r="N6299">
        <f t="shared" si="98"/>
        <v>0</v>
      </c>
    </row>
    <row r="6300" spans="1:14" x14ac:dyDescent="0.35">
      <c r="A6300">
        <v>6299</v>
      </c>
      <c r="B6300" t="s">
        <v>16</v>
      </c>
      <c r="C6300">
        <v>45</v>
      </c>
      <c r="D6300" t="s">
        <v>28</v>
      </c>
      <c r="E6300" t="s">
        <v>14</v>
      </c>
      <c r="F6300">
        <v>154</v>
      </c>
      <c r="G6300">
        <v>88</v>
      </c>
      <c r="H6300">
        <v>0.23</v>
      </c>
      <c r="I6300" t="s">
        <v>23</v>
      </c>
      <c r="J6300">
        <v>44</v>
      </c>
      <c r="K6300">
        <v>0</v>
      </c>
      <c r="L6300">
        <v>0</v>
      </c>
      <c r="M6300">
        <f>VLOOKUP(Table1[[#This Row],[subscription_type]],Plans!$A$1:$B$5,2,FALSE)</f>
        <v>0</v>
      </c>
      <c r="N6300">
        <f t="shared" si="98"/>
        <v>0</v>
      </c>
    </row>
    <row r="6301" spans="1:14" x14ac:dyDescent="0.35">
      <c r="A6301">
        <v>6300</v>
      </c>
      <c r="B6301" t="s">
        <v>16</v>
      </c>
      <c r="C6301">
        <v>37</v>
      </c>
      <c r="D6301" t="s">
        <v>13</v>
      </c>
      <c r="E6301" t="s">
        <v>14</v>
      </c>
      <c r="F6301">
        <v>145</v>
      </c>
      <c r="G6301">
        <v>82</v>
      </c>
      <c r="H6301">
        <v>0.13</v>
      </c>
      <c r="I6301" t="s">
        <v>19</v>
      </c>
      <c r="J6301">
        <v>42</v>
      </c>
      <c r="K6301">
        <v>0</v>
      </c>
      <c r="L6301">
        <v>0</v>
      </c>
      <c r="M6301">
        <f>VLOOKUP(Table1[[#This Row],[subscription_type]],Plans!$A$1:$B$5,2,FALSE)</f>
        <v>0</v>
      </c>
      <c r="N6301">
        <f t="shared" si="98"/>
        <v>0</v>
      </c>
    </row>
    <row r="6302" spans="1:14" x14ac:dyDescent="0.35">
      <c r="A6302">
        <v>6301</v>
      </c>
      <c r="B6302" t="s">
        <v>20</v>
      </c>
      <c r="C6302">
        <v>55</v>
      </c>
      <c r="D6302" t="s">
        <v>28</v>
      </c>
      <c r="E6302" t="s">
        <v>24</v>
      </c>
      <c r="F6302">
        <v>239</v>
      </c>
      <c r="G6302">
        <v>66</v>
      </c>
      <c r="H6302">
        <v>0.1</v>
      </c>
      <c r="I6302" t="s">
        <v>19</v>
      </c>
      <c r="J6302">
        <v>0</v>
      </c>
      <c r="K6302">
        <v>1</v>
      </c>
      <c r="L6302">
        <v>0</v>
      </c>
      <c r="M6302">
        <f>VLOOKUP(Table1[[#This Row],[subscription_type]],Plans!$A$1:$B$5,2,FALSE)</f>
        <v>4.99</v>
      </c>
      <c r="N6302">
        <f t="shared" si="98"/>
        <v>0</v>
      </c>
    </row>
    <row r="6303" spans="1:14" x14ac:dyDescent="0.35">
      <c r="A6303">
        <v>6302</v>
      </c>
      <c r="B6303" t="s">
        <v>20</v>
      </c>
      <c r="C6303">
        <v>29</v>
      </c>
      <c r="D6303" t="s">
        <v>17</v>
      </c>
      <c r="E6303" t="s">
        <v>24</v>
      </c>
      <c r="F6303">
        <v>217</v>
      </c>
      <c r="G6303">
        <v>93</v>
      </c>
      <c r="H6303">
        <v>0.52</v>
      </c>
      <c r="I6303" t="s">
        <v>15</v>
      </c>
      <c r="J6303">
        <v>0</v>
      </c>
      <c r="K6303">
        <v>1</v>
      </c>
      <c r="L6303">
        <v>1</v>
      </c>
      <c r="M6303">
        <f>VLOOKUP(Table1[[#This Row],[subscription_type]],Plans!$A$1:$B$5,2,FALSE)</f>
        <v>4.99</v>
      </c>
      <c r="N6303">
        <f t="shared" si="98"/>
        <v>4.99</v>
      </c>
    </row>
    <row r="6304" spans="1:14" x14ac:dyDescent="0.35">
      <c r="A6304">
        <v>6303</v>
      </c>
      <c r="B6304" t="s">
        <v>16</v>
      </c>
      <c r="C6304">
        <v>41</v>
      </c>
      <c r="D6304" t="s">
        <v>27</v>
      </c>
      <c r="E6304" t="s">
        <v>18</v>
      </c>
      <c r="F6304">
        <v>297</v>
      </c>
      <c r="G6304">
        <v>2</v>
      </c>
      <c r="H6304">
        <v>0.3</v>
      </c>
      <c r="I6304" t="s">
        <v>15</v>
      </c>
      <c r="J6304">
        <v>0</v>
      </c>
      <c r="K6304">
        <v>1</v>
      </c>
      <c r="L6304">
        <v>0</v>
      </c>
      <c r="M6304">
        <f>VLOOKUP(Table1[[#This Row],[subscription_type]],Plans!$A$1:$B$5,2,FALSE)</f>
        <v>14.99</v>
      </c>
      <c r="N6304">
        <f t="shared" si="98"/>
        <v>0</v>
      </c>
    </row>
    <row r="6305" spans="1:14" x14ac:dyDescent="0.35">
      <c r="A6305">
        <v>6304</v>
      </c>
      <c r="B6305" t="s">
        <v>20</v>
      </c>
      <c r="C6305">
        <v>54</v>
      </c>
      <c r="D6305" t="s">
        <v>13</v>
      </c>
      <c r="E6305" t="s">
        <v>22</v>
      </c>
      <c r="F6305">
        <v>257</v>
      </c>
      <c r="G6305">
        <v>87</v>
      </c>
      <c r="H6305">
        <v>0.28000000000000003</v>
      </c>
      <c r="I6305" t="s">
        <v>23</v>
      </c>
      <c r="J6305">
        <v>0</v>
      </c>
      <c r="K6305">
        <v>1</v>
      </c>
      <c r="L6305">
        <v>0</v>
      </c>
      <c r="M6305">
        <f>VLOOKUP(Table1[[#This Row],[subscription_type]],Plans!$A$1:$B$5,2,FALSE)</f>
        <v>9.99</v>
      </c>
      <c r="N6305">
        <f t="shared" si="98"/>
        <v>0</v>
      </c>
    </row>
    <row r="6306" spans="1:14" x14ac:dyDescent="0.35">
      <c r="A6306">
        <v>6305</v>
      </c>
      <c r="B6306" t="s">
        <v>16</v>
      </c>
      <c r="C6306">
        <v>45</v>
      </c>
      <c r="D6306" t="s">
        <v>28</v>
      </c>
      <c r="E6306" t="s">
        <v>24</v>
      </c>
      <c r="F6306">
        <v>203</v>
      </c>
      <c r="G6306">
        <v>58</v>
      </c>
      <c r="H6306">
        <v>0.32</v>
      </c>
      <c r="I6306" t="s">
        <v>19</v>
      </c>
      <c r="J6306">
        <v>0</v>
      </c>
      <c r="K6306">
        <v>1</v>
      </c>
      <c r="L6306">
        <v>1</v>
      </c>
      <c r="M6306">
        <f>VLOOKUP(Table1[[#This Row],[subscription_type]],Plans!$A$1:$B$5,2,FALSE)</f>
        <v>4.99</v>
      </c>
      <c r="N6306">
        <f t="shared" si="98"/>
        <v>4.99</v>
      </c>
    </row>
    <row r="6307" spans="1:14" x14ac:dyDescent="0.35">
      <c r="A6307">
        <v>6306</v>
      </c>
      <c r="B6307" t="s">
        <v>12</v>
      </c>
      <c r="C6307">
        <v>26</v>
      </c>
      <c r="D6307" t="s">
        <v>25</v>
      </c>
      <c r="E6307" t="s">
        <v>24</v>
      </c>
      <c r="F6307">
        <v>143</v>
      </c>
      <c r="G6307">
        <v>9</v>
      </c>
      <c r="H6307">
        <v>0.23</v>
      </c>
      <c r="I6307" t="s">
        <v>19</v>
      </c>
      <c r="J6307">
        <v>0</v>
      </c>
      <c r="K6307">
        <v>1</v>
      </c>
      <c r="L6307">
        <v>0</v>
      </c>
      <c r="M6307">
        <f>VLOOKUP(Table1[[#This Row],[subscription_type]],Plans!$A$1:$B$5,2,FALSE)</f>
        <v>4.99</v>
      </c>
      <c r="N6307">
        <f t="shared" si="98"/>
        <v>0</v>
      </c>
    </row>
    <row r="6308" spans="1:14" x14ac:dyDescent="0.35">
      <c r="A6308">
        <v>6307</v>
      </c>
      <c r="B6308" t="s">
        <v>20</v>
      </c>
      <c r="C6308">
        <v>53</v>
      </c>
      <c r="D6308" t="s">
        <v>27</v>
      </c>
      <c r="E6308" t="s">
        <v>14</v>
      </c>
      <c r="F6308">
        <v>256</v>
      </c>
      <c r="G6308">
        <v>60</v>
      </c>
      <c r="H6308">
        <v>0.06</v>
      </c>
      <c r="I6308" t="s">
        <v>15</v>
      </c>
      <c r="J6308">
        <v>35</v>
      </c>
      <c r="K6308">
        <v>0</v>
      </c>
      <c r="L6308">
        <v>1</v>
      </c>
      <c r="M6308">
        <f>VLOOKUP(Table1[[#This Row],[subscription_type]],Plans!$A$1:$B$5,2,FALSE)</f>
        <v>0</v>
      </c>
      <c r="N6308">
        <f t="shared" si="98"/>
        <v>0</v>
      </c>
    </row>
    <row r="6309" spans="1:14" x14ac:dyDescent="0.35">
      <c r="A6309">
        <v>6308</v>
      </c>
      <c r="B6309" t="s">
        <v>12</v>
      </c>
      <c r="C6309">
        <v>45</v>
      </c>
      <c r="D6309" t="s">
        <v>27</v>
      </c>
      <c r="E6309" t="s">
        <v>14</v>
      </c>
      <c r="F6309">
        <v>294</v>
      </c>
      <c r="G6309">
        <v>43</v>
      </c>
      <c r="H6309">
        <v>0.51</v>
      </c>
      <c r="I6309" t="s">
        <v>19</v>
      </c>
      <c r="J6309">
        <v>27</v>
      </c>
      <c r="K6309">
        <v>0</v>
      </c>
      <c r="L6309">
        <v>0</v>
      </c>
      <c r="M6309">
        <f>VLOOKUP(Table1[[#This Row],[subscription_type]],Plans!$A$1:$B$5,2,FALSE)</f>
        <v>0</v>
      </c>
      <c r="N6309">
        <f t="shared" si="98"/>
        <v>0</v>
      </c>
    </row>
    <row r="6310" spans="1:14" x14ac:dyDescent="0.35">
      <c r="A6310">
        <v>6309</v>
      </c>
      <c r="B6310" t="s">
        <v>16</v>
      </c>
      <c r="C6310">
        <v>42</v>
      </c>
      <c r="D6310" t="s">
        <v>25</v>
      </c>
      <c r="E6310" t="s">
        <v>18</v>
      </c>
      <c r="F6310">
        <v>270</v>
      </c>
      <c r="G6310">
        <v>77</v>
      </c>
      <c r="H6310">
        <v>0.25</v>
      </c>
      <c r="I6310" t="s">
        <v>19</v>
      </c>
      <c r="J6310">
        <v>0</v>
      </c>
      <c r="K6310">
        <v>1</v>
      </c>
      <c r="L6310">
        <v>0</v>
      </c>
      <c r="M6310">
        <f>VLOOKUP(Table1[[#This Row],[subscription_type]],Plans!$A$1:$B$5,2,FALSE)</f>
        <v>14.99</v>
      </c>
      <c r="N6310">
        <f t="shared" si="98"/>
        <v>0</v>
      </c>
    </row>
    <row r="6311" spans="1:14" x14ac:dyDescent="0.35">
      <c r="A6311">
        <v>6310</v>
      </c>
      <c r="B6311" t="s">
        <v>16</v>
      </c>
      <c r="C6311">
        <v>18</v>
      </c>
      <c r="D6311" t="s">
        <v>25</v>
      </c>
      <c r="E6311" t="s">
        <v>18</v>
      </c>
      <c r="F6311">
        <v>194</v>
      </c>
      <c r="G6311">
        <v>4</v>
      </c>
      <c r="H6311">
        <v>0.5</v>
      </c>
      <c r="I6311" t="s">
        <v>23</v>
      </c>
      <c r="J6311">
        <v>0</v>
      </c>
      <c r="K6311">
        <v>1</v>
      </c>
      <c r="L6311">
        <v>1</v>
      </c>
      <c r="M6311">
        <f>VLOOKUP(Table1[[#This Row],[subscription_type]],Plans!$A$1:$B$5,2,FALSE)</f>
        <v>14.99</v>
      </c>
      <c r="N6311">
        <f t="shared" si="98"/>
        <v>14.99</v>
      </c>
    </row>
    <row r="6312" spans="1:14" x14ac:dyDescent="0.35">
      <c r="A6312">
        <v>6311</v>
      </c>
      <c r="B6312" t="s">
        <v>20</v>
      </c>
      <c r="C6312">
        <v>52</v>
      </c>
      <c r="D6312" t="s">
        <v>13</v>
      </c>
      <c r="E6312" t="s">
        <v>22</v>
      </c>
      <c r="F6312">
        <v>195</v>
      </c>
      <c r="G6312">
        <v>76</v>
      </c>
      <c r="H6312">
        <v>0.15</v>
      </c>
      <c r="I6312" t="s">
        <v>15</v>
      </c>
      <c r="J6312">
        <v>0</v>
      </c>
      <c r="K6312">
        <v>1</v>
      </c>
      <c r="L6312">
        <v>0</v>
      </c>
      <c r="M6312">
        <f>VLOOKUP(Table1[[#This Row],[subscription_type]],Plans!$A$1:$B$5,2,FALSE)</f>
        <v>9.99</v>
      </c>
      <c r="N6312">
        <f t="shared" si="98"/>
        <v>0</v>
      </c>
    </row>
    <row r="6313" spans="1:14" x14ac:dyDescent="0.35">
      <c r="A6313">
        <v>6312</v>
      </c>
      <c r="B6313" t="s">
        <v>16</v>
      </c>
      <c r="C6313">
        <v>45</v>
      </c>
      <c r="D6313" t="s">
        <v>13</v>
      </c>
      <c r="E6313" t="s">
        <v>18</v>
      </c>
      <c r="F6313">
        <v>113</v>
      </c>
      <c r="G6313">
        <v>62</v>
      </c>
      <c r="H6313">
        <v>0.11</v>
      </c>
      <c r="I6313" t="s">
        <v>15</v>
      </c>
      <c r="J6313">
        <v>0</v>
      </c>
      <c r="K6313">
        <v>1</v>
      </c>
      <c r="L6313">
        <v>0</v>
      </c>
      <c r="M6313">
        <f>VLOOKUP(Table1[[#This Row],[subscription_type]],Plans!$A$1:$B$5,2,FALSE)</f>
        <v>14.99</v>
      </c>
      <c r="N6313">
        <f t="shared" si="98"/>
        <v>0</v>
      </c>
    </row>
    <row r="6314" spans="1:14" x14ac:dyDescent="0.35">
      <c r="A6314">
        <v>6313</v>
      </c>
      <c r="B6314" t="s">
        <v>20</v>
      </c>
      <c r="C6314">
        <v>18</v>
      </c>
      <c r="D6314" t="s">
        <v>25</v>
      </c>
      <c r="E6314" t="s">
        <v>14</v>
      </c>
      <c r="F6314">
        <v>230</v>
      </c>
      <c r="G6314">
        <v>42</v>
      </c>
      <c r="H6314">
        <v>0.26</v>
      </c>
      <c r="I6314" t="s">
        <v>23</v>
      </c>
      <c r="J6314">
        <v>28</v>
      </c>
      <c r="K6314">
        <v>0</v>
      </c>
      <c r="L6314">
        <v>0</v>
      </c>
      <c r="M6314">
        <f>VLOOKUP(Table1[[#This Row],[subscription_type]],Plans!$A$1:$B$5,2,FALSE)</f>
        <v>0</v>
      </c>
      <c r="N6314">
        <f t="shared" si="98"/>
        <v>0</v>
      </c>
    </row>
    <row r="6315" spans="1:14" x14ac:dyDescent="0.35">
      <c r="A6315">
        <v>6314</v>
      </c>
      <c r="B6315" t="s">
        <v>20</v>
      </c>
      <c r="C6315">
        <v>25</v>
      </c>
      <c r="D6315" t="s">
        <v>25</v>
      </c>
      <c r="E6315" t="s">
        <v>18</v>
      </c>
      <c r="F6315">
        <v>238</v>
      </c>
      <c r="G6315">
        <v>25</v>
      </c>
      <c r="H6315">
        <v>0.13</v>
      </c>
      <c r="I6315" t="s">
        <v>19</v>
      </c>
      <c r="J6315">
        <v>0</v>
      </c>
      <c r="K6315">
        <v>1</v>
      </c>
      <c r="L6315">
        <v>0</v>
      </c>
      <c r="M6315">
        <f>VLOOKUP(Table1[[#This Row],[subscription_type]],Plans!$A$1:$B$5,2,FALSE)</f>
        <v>14.99</v>
      </c>
      <c r="N6315">
        <f t="shared" si="98"/>
        <v>0</v>
      </c>
    </row>
    <row r="6316" spans="1:14" x14ac:dyDescent="0.35">
      <c r="A6316">
        <v>6315</v>
      </c>
      <c r="B6316" t="s">
        <v>12</v>
      </c>
      <c r="C6316">
        <v>50</v>
      </c>
      <c r="D6316" t="s">
        <v>27</v>
      </c>
      <c r="E6316" t="s">
        <v>14</v>
      </c>
      <c r="F6316">
        <v>181</v>
      </c>
      <c r="G6316">
        <v>2</v>
      </c>
      <c r="H6316">
        <v>0.12</v>
      </c>
      <c r="I6316" t="s">
        <v>19</v>
      </c>
      <c r="J6316">
        <v>20</v>
      </c>
      <c r="K6316">
        <v>0</v>
      </c>
      <c r="L6316">
        <v>0</v>
      </c>
      <c r="M6316">
        <f>VLOOKUP(Table1[[#This Row],[subscription_type]],Plans!$A$1:$B$5,2,FALSE)</f>
        <v>0</v>
      </c>
      <c r="N6316">
        <f t="shared" si="98"/>
        <v>0</v>
      </c>
    </row>
    <row r="6317" spans="1:14" x14ac:dyDescent="0.35">
      <c r="A6317">
        <v>6316</v>
      </c>
      <c r="B6317" t="s">
        <v>20</v>
      </c>
      <c r="C6317">
        <v>55</v>
      </c>
      <c r="D6317" t="s">
        <v>17</v>
      </c>
      <c r="E6317" t="s">
        <v>14</v>
      </c>
      <c r="F6317">
        <v>65</v>
      </c>
      <c r="G6317">
        <v>69</v>
      </c>
      <c r="H6317">
        <v>0.47</v>
      </c>
      <c r="I6317" t="s">
        <v>15</v>
      </c>
      <c r="J6317">
        <v>49</v>
      </c>
      <c r="K6317">
        <v>0</v>
      </c>
      <c r="L6317">
        <v>1</v>
      </c>
      <c r="M6317">
        <f>VLOOKUP(Table1[[#This Row],[subscription_type]],Plans!$A$1:$B$5,2,FALSE)</f>
        <v>0</v>
      </c>
      <c r="N6317">
        <f t="shared" si="98"/>
        <v>0</v>
      </c>
    </row>
    <row r="6318" spans="1:14" x14ac:dyDescent="0.35">
      <c r="A6318">
        <v>6317</v>
      </c>
      <c r="B6318" t="s">
        <v>20</v>
      </c>
      <c r="C6318">
        <v>37</v>
      </c>
      <c r="D6318" t="s">
        <v>17</v>
      </c>
      <c r="E6318" t="s">
        <v>22</v>
      </c>
      <c r="F6318">
        <v>149</v>
      </c>
      <c r="G6318">
        <v>52</v>
      </c>
      <c r="H6318">
        <v>0.48</v>
      </c>
      <c r="I6318" t="s">
        <v>19</v>
      </c>
      <c r="J6318">
        <v>0</v>
      </c>
      <c r="K6318">
        <v>1</v>
      </c>
      <c r="L6318">
        <v>0</v>
      </c>
      <c r="M6318">
        <f>VLOOKUP(Table1[[#This Row],[subscription_type]],Plans!$A$1:$B$5,2,FALSE)</f>
        <v>9.99</v>
      </c>
      <c r="N6318">
        <f t="shared" si="98"/>
        <v>0</v>
      </c>
    </row>
    <row r="6319" spans="1:14" x14ac:dyDescent="0.35">
      <c r="A6319">
        <v>6318</v>
      </c>
      <c r="B6319" t="s">
        <v>12</v>
      </c>
      <c r="C6319">
        <v>42</v>
      </c>
      <c r="D6319" t="s">
        <v>17</v>
      </c>
      <c r="E6319" t="s">
        <v>18</v>
      </c>
      <c r="F6319">
        <v>197</v>
      </c>
      <c r="G6319">
        <v>86</v>
      </c>
      <c r="H6319">
        <v>0.35</v>
      </c>
      <c r="I6319" t="s">
        <v>15</v>
      </c>
      <c r="J6319">
        <v>0</v>
      </c>
      <c r="K6319">
        <v>1</v>
      </c>
      <c r="L6319">
        <v>0</v>
      </c>
      <c r="M6319">
        <f>VLOOKUP(Table1[[#This Row],[subscription_type]],Plans!$A$1:$B$5,2,FALSE)</f>
        <v>14.99</v>
      </c>
      <c r="N6319">
        <f t="shared" si="98"/>
        <v>0</v>
      </c>
    </row>
    <row r="6320" spans="1:14" x14ac:dyDescent="0.35">
      <c r="A6320">
        <v>6319</v>
      </c>
      <c r="B6320" t="s">
        <v>12</v>
      </c>
      <c r="C6320">
        <v>17</v>
      </c>
      <c r="D6320" t="s">
        <v>17</v>
      </c>
      <c r="E6320" t="s">
        <v>14</v>
      </c>
      <c r="F6320">
        <v>214</v>
      </c>
      <c r="G6320">
        <v>78</v>
      </c>
      <c r="H6320">
        <v>0.57999999999999996</v>
      </c>
      <c r="I6320" t="s">
        <v>15</v>
      </c>
      <c r="J6320">
        <v>43</v>
      </c>
      <c r="K6320">
        <v>0</v>
      </c>
      <c r="L6320">
        <v>0</v>
      </c>
      <c r="M6320">
        <f>VLOOKUP(Table1[[#This Row],[subscription_type]],Plans!$A$1:$B$5,2,FALSE)</f>
        <v>0</v>
      </c>
      <c r="N6320">
        <f t="shared" si="98"/>
        <v>0</v>
      </c>
    </row>
    <row r="6321" spans="1:14" x14ac:dyDescent="0.35">
      <c r="A6321">
        <v>6320</v>
      </c>
      <c r="B6321" t="s">
        <v>16</v>
      </c>
      <c r="C6321">
        <v>35</v>
      </c>
      <c r="D6321" t="s">
        <v>21</v>
      </c>
      <c r="E6321" t="s">
        <v>22</v>
      </c>
      <c r="F6321">
        <v>207</v>
      </c>
      <c r="G6321">
        <v>33</v>
      </c>
      <c r="H6321">
        <v>0.28999999999999998</v>
      </c>
      <c r="I6321" t="s">
        <v>19</v>
      </c>
      <c r="J6321">
        <v>0</v>
      </c>
      <c r="K6321">
        <v>1</v>
      </c>
      <c r="L6321">
        <v>1</v>
      </c>
      <c r="M6321">
        <f>VLOOKUP(Table1[[#This Row],[subscription_type]],Plans!$A$1:$B$5,2,FALSE)</f>
        <v>9.99</v>
      </c>
      <c r="N6321">
        <f t="shared" si="98"/>
        <v>9.99</v>
      </c>
    </row>
    <row r="6322" spans="1:14" x14ac:dyDescent="0.35">
      <c r="A6322">
        <v>6321</v>
      </c>
      <c r="B6322" t="s">
        <v>20</v>
      </c>
      <c r="C6322">
        <v>39</v>
      </c>
      <c r="D6322" t="s">
        <v>25</v>
      </c>
      <c r="E6322" t="s">
        <v>18</v>
      </c>
      <c r="F6322">
        <v>245</v>
      </c>
      <c r="G6322">
        <v>16</v>
      </c>
      <c r="H6322">
        <v>0.5</v>
      </c>
      <c r="I6322" t="s">
        <v>15</v>
      </c>
      <c r="J6322">
        <v>0</v>
      </c>
      <c r="K6322">
        <v>1</v>
      </c>
      <c r="L6322">
        <v>0</v>
      </c>
      <c r="M6322">
        <f>VLOOKUP(Table1[[#This Row],[subscription_type]],Plans!$A$1:$B$5,2,FALSE)</f>
        <v>14.99</v>
      </c>
      <c r="N6322">
        <f t="shared" si="98"/>
        <v>0</v>
      </c>
    </row>
    <row r="6323" spans="1:14" x14ac:dyDescent="0.35">
      <c r="A6323">
        <v>6322</v>
      </c>
      <c r="B6323" t="s">
        <v>12</v>
      </c>
      <c r="C6323">
        <v>31</v>
      </c>
      <c r="D6323" t="s">
        <v>29</v>
      </c>
      <c r="E6323" t="s">
        <v>22</v>
      </c>
      <c r="F6323">
        <v>111</v>
      </c>
      <c r="G6323">
        <v>11</v>
      </c>
      <c r="H6323">
        <v>0.28000000000000003</v>
      </c>
      <c r="I6323" t="s">
        <v>15</v>
      </c>
      <c r="J6323">
        <v>0</v>
      </c>
      <c r="K6323">
        <v>1</v>
      </c>
      <c r="L6323">
        <v>1</v>
      </c>
      <c r="M6323">
        <f>VLOOKUP(Table1[[#This Row],[subscription_type]],Plans!$A$1:$B$5,2,FALSE)</f>
        <v>9.99</v>
      </c>
      <c r="N6323">
        <f t="shared" si="98"/>
        <v>9.99</v>
      </c>
    </row>
    <row r="6324" spans="1:14" x14ac:dyDescent="0.35">
      <c r="A6324">
        <v>6323</v>
      </c>
      <c r="B6324" t="s">
        <v>20</v>
      </c>
      <c r="C6324">
        <v>57</v>
      </c>
      <c r="D6324" t="s">
        <v>13</v>
      </c>
      <c r="E6324" t="s">
        <v>14</v>
      </c>
      <c r="F6324">
        <v>269</v>
      </c>
      <c r="G6324">
        <v>97</v>
      </c>
      <c r="H6324">
        <v>0.08</v>
      </c>
      <c r="I6324" t="s">
        <v>15</v>
      </c>
      <c r="J6324">
        <v>15</v>
      </c>
      <c r="K6324">
        <v>0</v>
      </c>
      <c r="L6324">
        <v>0</v>
      </c>
      <c r="M6324">
        <f>VLOOKUP(Table1[[#This Row],[subscription_type]],Plans!$A$1:$B$5,2,FALSE)</f>
        <v>0</v>
      </c>
      <c r="N6324">
        <f t="shared" si="98"/>
        <v>0</v>
      </c>
    </row>
    <row r="6325" spans="1:14" x14ac:dyDescent="0.35">
      <c r="A6325">
        <v>6324</v>
      </c>
      <c r="B6325" t="s">
        <v>20</v>
      </c>
      <c r="C6325">
        <v>52</v>
      </c>
      <c r="D6325" t="s">
        <v>25</v>
      </c>
      <c r="E6325" t="s">
        <v>22</v>
      </c>
      <c r="F6325">
        <v>299</v>
      </c>
      <c r="G6325">
        <v>56</v>
      </c>
      <c r="H6325">
        <v>0.56000000000000005</v>
      </c>
      <c r="I6325" t="s">
        <v>19</v>
      </c>
      <c r="J6325">
        <v>0</v>
      </c>
      <c r="K6325">
        <v>1</v>
      </c>
      <c r="L6325">
        <v>0</v>
      </c>
      <c r="M6325">
        <f>VLOOKUP(Table1[[#This Row],[subscription_type]],Plans!$A$1:$B$5,2,FALSE)</f>
        <v>9.99</v>
      </c>
      <c r="N6325">
        <f t="shared" si="98"/>
        <v>0</v>
      </c>
    </row>
    <row r="6326" spans="1:14" x14ac:dyDescent="0.35">
      <c r="A6326">
        <v>6325</v>
      </c>
      <c r="B6326" t="s">
        <v>16</v>
      </c>
      <c r="C6326">
        <v>31</v>
      </c>
      <c r="D6326" t="s">
        <v>17</v>
      </c>
      <c r="E6326" t="s">
        <v>22</v>
      </c>
      <c r="F6326">
        <v>65</v>
      </c>
      <c r="G6326">
        <v>54</v>
      </c>
      <c r="H6326">
        <v>0.23</v>
      </c>
      <c r="I6326" t="s">
        <v>15</v>
      </c>
      <c r="J6326">
        <v>0</v>
      </c>
      <c r="K6326">
        <v>1</v>
      </c>
      <c r="L6326">
        <v>0</v>
      </c>
      <c r="M6326">
        <f>VLOOKUP(Table1[[#This Row],[subscription_type]],Plans!$A$1:$B$5,2,FALSE)</f>
        <v>9.99</v>
      </c>
      <c r="N6326">
        <f t="shared" si="98"/>
        <v>0</v>
      </c>
    </row>
    <row r="6327" spans="1:14" x14ac:dyDescent="0.35">
      <c r="A6327">
        <v>6326</v>
      </c>
      <c r="B6327" t="s">
        <v>12</v>
      </c>
      <c r="C6327">
        <v>20</v>
      </c>
      <c r="D6327" t="s">
        <v>17</v>
      </c>
      <c r="E6327" t="s">
        <v>14</v>
      </c>
      <c r="F6327">
        <v>219</v>
      </c>
      <c r="G6327">
        <v>76</v>
      </c>
      <c r="H6327">
        <v>0.32</v>
      </c>
      <c r="I6327" t="s">
        <v>23</v>
      </c>
      <c r="J6327">
        <v>44</v>
      </c>
      <c r="K6327">
        <v>0</v>
      </c>
      <c r="L6327">
        <v>0</v>
      </c>
      <c r="M6327">
        <f>VLOOKUP(Table1[[#This Row],[subscription_type]],Plans!$A$1:$B$5,2,FALSE)</f>
        <v>0</v>
      </c>
      <c r="N6327">
        <f t="shared" si="98"/>
        <v>0</v>
      </c>
    </row>
    <row r="6328" spans="1:14" x14ac:dyDescent="0.35">
      <c r="A6328">
        <v>6327</v>
      </c>
      <c r="B6328" t="s">
        <v>12</v>
      </c>
      <c r="C6328">
        <v>57</v>
      </c>
      <c r="D6328" t="s">
        <v>13</v>
      </c>
      <c r="E6328" t="s">
        <v>14</v>
      </c>
      <c r="F6328">
        <v>103</v>
      </c>
      <c r="G6328">
        <v>83</v>
      </c>
      <c r="H6328">
        <v>0.17</v>
      </c>
      <c r="I6328" t="s">
        <v>23</v>
      </c>
      <c r="J6328">
        <v>21</v>
      </c>
      <c r="K6328">
        <v>0</v>
      </c>
      <c r="L6328">
        <v>1</v>
      </c>
      <c r="M6328">
        <f>VLOOKUP(Table1[[#This Row],[subscription_type]],Plans!$A$1:$B$5,2,FALSE)</f>
        <v>0</v>
      </c>
      <c r="N6328">
        <f t="shared" si="98"/>
        <v>0</v>
      </c>
    </row>
    <row r="6329" spans="1:14" x14ac:dyDescent="0.35">
      <c r="A6329">
        <v>6328</v>
      </c>
      <c r="B6329" t="s">
        <v>16</v>
      </c>
      <c r="C6329">
        <v>33</v>
      </c>
      <c r="D6329" t="s">
        <v>28</v>
      </c>
      <c r="E6329" t="s">
        <v>22</v>
      </c>
      <c r="F6329">
        <v>285</v>
      </c>
      <c r="G6329">
        <v>65</v>
      </c>
      <c r="H6329">
        <v>0.49</v>
      </c>
      <c r="I6329" t="s">
        <v>23</v>
      </c>
      <c r="J6329">
        <v>0</v>
      </c>
      <c r="K6329">
        <v>1</v>
      </c>
      <c r="L6329">
        <v>0</v>
      </c>
      <c r="M6329">
        <f>VLOOKUP(Table1[[#This Row],[subscription_type]],Plans!$A$1:$B$5,2,FALSE)</f>
        <v>9.99</v>
      </c>
      <c r="N6329">
        <f t="shared" si="98"/>
        <v>0</v>
      </c>
    </row>
    <row r="6330" spans="1:14" x14ac:dyDescent="0.35">
      <c r="A6330">
        <v>6329</v>
      </c>
      <c r="B6330" t="s">
        <v>16</v>
      </c>
      <c r="C6330">
        <v>54</v>
      </c>
      <c r="D6330" t="s">
        <v>17</v>
      </c>
      <c r="E6330" t="s">
        <v>14</v>
      </c>
      <c r="F6330">
        <v>19</v>
      </c>
      <c r="G6330">
        <v>62</v>
      </c>
      <c r="H6330">
        <v>0.34</v>
      </c>
      <c r="I6330" t="s">
        <v>15</v>
      </c>
      <c r="J6330">
        <v>39</v>
      </c>
      <c r="K6330">
        <v>0</v>
      </c>
      <c r="L6330">
        <v>0</v>
      </c>
      <c r="M6330">
        <f>VLOOKUP(Table1[[#This Row],[subscription_type]],Plans!$A$1:$B$5,2,FALSE)</f>
        <v>0</v>
      </c>
      <c r="N6330">
        <f t="shared" si="98"/>
        <v>0</v>
      </c>
    </row>
    <row r="6331" spans="1:14" x14ac:dyDescent="0.35">
      <c r="A6331">
        <v>6330</v>
      </c>
      <c r="B6331" t="s">
        <v>20</v>
      </c>
      <c r="C6331">
        <v>51</v>
      </c>
      <c r="D6331" t="s">
        <v>21</v>
      </c>
      <c r="E6331" t="s">
        <v>22</v>
      </c>
      <c r="F6331">
        <v>160</v>
      </c>
      <c r="G6331">
        <v>10</v>
      </c>
      <c r="H6331">
        <v>0.31</v>
      </c>
      <c r="I6331" t="s">
        <v>15</v>
      </c>
      <c r="J6331">
        <v>0</v>
      </c>
      <c r="K6331">
        <v>1</v>
      </c>
      <c r="L6331">
        <v>0</v>
      </c>
      <c r="M6331">
        <f>VLOOKUP(Table1[[#This Row],[subscription_type]],Plans!$A$1:$B$5,2,FALSE)</f>
        <v>9.99</v>
      </c>
      <c r="N6331">
        <f t="shared" si="98"/>
        <v>0</v>
      </c>
    </row>
    <row r="6332" spans="1:14" x14ac:dyDescent="0.35">
      <c r="A6332">
        <v>6331</v>
      </c>
      <c r="B6332" t="s">
        <v>12</v>
      </c>
      <c r="C6332">
        <v>54</v>
      </c>
      <c r="D6332" t="s">
        <v>17</v>
      </c>
      <c r="E6332" t="s">
        <v>24</v>
      </c>
      <c r="F6332">
        <v>228</v>
      </c>
      <c r="G6332">
        <v>53</v>
      </c>
      <c r="H6332">
        <v>0.54</v>
      </c>
      <c r="I6332" t="s">
        <v>15</v>
      </c>
      <c r="J6332">
        <v>0</v>
      </c>
      <c r="K6332">
        <v>1</v>
      </c>
      <c r="L6332">
        <v>0</v>
      </c>
      <c r="M6332">
        <f>VLOOKUP(Table1[[#This Row],[subscription_type]],Plans!$A$1:$B$5,2,FALSE)</f>
        <v>4.99</v>
      </c>
      <c r="N6332">
        <f t="shared" si="98"/>
        <v>0</v>
      </c>
    </row>
    <row r="6333" spans="1:14" x14ac:dyDescent="0.35">
      <c r="A6333">
        <v>6332</v>
      </c>
      <c r="B6333" t="s">
        <v>20</v>
      </c>
      <c r="C6333">
        <v>49</v>
      </c>
      <c r="D6333" t="s">
        <v>29</v>
      </c>
      <c r="E6333" t="s">
        <v>18</v>
      </c>
      <c r="F6333">
        <v>48</v>
      </c>
      <c r="G6333">
        <v>43</v>
      </c>
      <c r="H6333">
        <v>0.46</v>
      </c>
      <c r="I6333" t="s">
        <v>15</v>
      </c>
      <c r="J6333">
        <v>0</v>
      </c>
      <c r="K6333">
        <v>1</v>
      </c>
      <c r="L6333">
        <v>0</v>
      </c>
      <c r="M6333">
        <f>VLOOKUP(Table1[[#This Row],[subscription_type]],Plans!$A$1:$B$5,2,FALSE)</f>
        <v>14.99</v>
      </c>
      <c r="N6333">
        <f t="shared" si="98"/>
        <v>0</v>
      </c>
    </row>
    <row r="6334" spans="1:14" x14ac:dyDescent="0.35">
      <c r="A6334">
        <v>6333</v>
      </c>
      <c r="B6334" t="s">
        <v>12</v>
      </c>
      <c r="C6334">
        <v>28</v>
      </c>
      <c r="D6334" t="s">
        <v>21</v>
      </c>
      <c r="E6334" t="s">
        <v>24</v>
      </c>
      <c r="F6334">
        <v>155</v>
      </c>
      <c r="G6334">
        <v>74</v>
      </c>
      <c r="H6334">
        <v>0.53</v>
      </c>
      <c r="I6334" t="s">
        <v>19</v>
      </c>
      <c r="J6334">
        <v>0</v>
      </c>
      <c r="K6334">
        <v>1</v>
      </c>
      <c r="L6334">
        <v>0</v>
      </c>
      <c r="M6334">
        <f>VLOOKUP(Table1[[#This Row],[subscription_type]],Plans!$A$1:$B$5,2,FALSE)</f>
        <v>4.99</v>
      </c>
      <c r="N6334">
        <f t="shared" si="98"/>
        <v>0</v>
      </c>
    </row>
    <row r="6335" spans="1:14" x14ac:dyDescent="0.35">
      <c r="A6335">
        <v>6334</v>
      </c>
      <c r="B6335" t="s">
        <v>12</v>
      </c>
      <c r="C6335">
        <v>38</v>
      </c>
      <c r="D6335" t="s">
        <v>28</v>
      </c>
      <c r="E6335" t="s">
        <v>14</v>
      </c>
      <c r="F6335">
        <v>294</v>
      </c>
      <c r="G6335">
        <v>63</v>
      </c>
      <c r="H6335">
        <v>0.21</v>
      </c>
      <c r="I6335" t="s">
        <v>23</v>
      </c>
      <c r="J6335">
        <v>35</v>
      </c>
      <c r="K6335">
        <v>0</v>
      </c>
      <c r="L6335">
        <v>0</v>
      </c>
      <c r="M6335">
        <f>VLOOKUP(Table1[[#This Row],[subscription_type]],Plans!$A$1:$B$5,2,FALSE)</f>
        <v>0</v>
      </c>
      <c r="N6335">
        <f t="shared" si="98"/>
        <v>0</v>
      </c>
    </row>
    <row r="6336" spans="1:14" x14ac:dyDescent="0.35">
      <c r="A6336">
        <v>6335</v>
      </c>
      <c r="B6336" t="s">
        <v>16</v>
      </c>
      <c r="C6336">
        <v>34</v>
      </c>
      <c r="D6336" t="s">
        <v>13</v>
      </c>
      <c r="E6336" t="s">
        <v>18</v>
      </c>
      <c r="F6336">
        <v>69</v>
      </c>
      <c r="G6336">
        <v>40</v>
      </c>
      <c r="H6336">
        <v>0.28999999999999998</v>
      </c>
      <c r="I6336" t="s">
        <v>23</v>
      </c>
      <c r="J6336">
        <v>0</v>
      </c>
      <c r="K6336">
        <v>1</v>
      </c>
      <c r="L6336">
        <v>0</v>
      </c>
      <c r="M6336">
        <f>VLOOKUP(Table1[[#This Row],[subscription_type]],Plans!$A$1:$B$5,2,FALSE)</f>
        <v>14.99</v>
      </c>
      <c r="N6336">
        <f t="shared" si="98"/>
        <v>0</v>
      </c>
    </row>
    <row r="6337" spans="1:14" x14ac:dyDescent="0.35">
      <c r="A6337">
        <v>6336</v>
      </c>
      <c r="B6337" t="s">
        <v>16</v>
      </c>
      <c r="C6337">
        <v>24</v>
      </c>
      <c r="D6337" t="s">
        <v>29</v>
      </c>
      <c r="E6337" t="s">
        <v>24</v>
      </c>
      <c r="F6337">
        <v>175</v>
      </c>
      <c r="G6337">
        <v>51</v>
      </c>
      <c r="H6337">
        <v>0.15</v>
      </c>
      <c r="I6337" t="s">
        <v>19</v>
      </c>
      <c r="J6337">
        <v>0</v>
      </c>
      <c r="K6337">
        <v>1</v>
      </c>
      <c r="L6337">
        <v>1</v>
      </c>
      <c r="M6337">
        <f>VLOOKUP(Table1[[#This Row],[subscription_type]],Plans!$A$1:$B$5,2,FALSE)</f>
        <v>4.99</v>
      </c>
      <c r="N6337">
        <f t="shared" si="98"/>
        <v>4.99</v>
      </c>
    </row>
    <row r="6338" spans="1:14" x14ac:dyDescent="0.35">
      <c r="A6338">
        <v>6337</v>
      </c>
      <c r="B6338" t="s">
        <v>16</v>
      </c>
      <c r="C6338">
        <v>57</v>
      </c>
      <c r="D6338" t="s">
        <v>27</v>
      </c>
      <c r="E6338" t="s">
        <v>18</v>
      </c>
      <c r="F6338">
        <v>154</v>
      </c>
      <c r="G6338">
        <v>98</v>
      </c>
      <c r="H6338">
        <v>0.56000000000000005</v>
      </c>
      <c r="I6338" t="s">
        <v>23</v>
      </c>
      <c r="J6338">
        <v>0</v>
      </c>
      <c r="K6338">
        <v>1</v>
      </c>
      <c r="L6338">
        <v>0</v>
      </c>
      <c r="M6338">
        <f>VLOOKUP(Table1[[#This Row],[subscription_type]],Plans!$A$1:$B$5,2,FALSE)</f>
        <v>14.99</v>
      </c>
      <c r="N6338">
        <f t="shared" ref="N6338:N6401" si="99">IF(L6338=1, M6338,0)</f>
        <v>0</v>
      </c>
    </row>
    <row r="6339" spans="1:14" x14ac:dyDescent="0.35">
      <c r="A6339">
        <v>6338</v>
      </c>
      <c r="B6339" t="s">
        <v>16</v>
      </c>
      <c r="C6339">
        <v>45</v>
      </c>
      <c r="D6339" t="s">
        <v>27</v>
      </c>
      <c r="E6339" t="s">
        <v>22</v>
      </c>
      <c r="F6339">
        <v>89</v>
      </c>
      <c r="G6339">
        <v>51</v>
      </c>
      <c r="H6339">
        <v>0.57999999999999996</v>
      </c>
      <c r="I6339" t="s">
        <v>23</v>
      </c>
      <c r="J6339">
        <v>0</v>
      </c>
      <c r="K6339">
        <v>1</v>
      </c>
      <c r="L6339">
        <v>0</v>
      </c>
      <c r="M6339">
        <f>VLOOKUP(Table1[[#This Row],[subscription_type]],Plans!$A$1:$B$5,2,FALSE)</f>
        <v>9.99</v>
      </c>
      <c r="N6339">
        <f t="shared" si="99"/>
        <v>0</v>
      </c>
    </row>
    <row r="6340" spans="1:14" x14ac:dyDescent="0.35">
      <c r="A6340">
        <v>6339</v>
      </c>
      <c r="B6340" t="s">
        <v>16</v>
      </c>
      <c r="C6340">
        <v>41</v>
      </c>
      <c r="D6340" t="s">
        <v>26</v>
      </c>
      <c r="E6340" t="s">
        <v>24</v>
      </c>
      <c r="F6340">
        <v>176</v>
      </c>
      <c r="G6340">
        <v>81</v>
      </c>
      <c r="H6340">
        <v>0.41</v>
      </c>
      <c r="I6340" t="s">
        <v>19</v>
      </c>
      <c r="J6340">
        <v>0</v>
      </c>
      <c r="K6340">
        <v>1</v>
      </c>
      <c r="L6340">
        <v>0</v>
      </c>
      <c r="M6340">
        <f>VLOOKUP(Table1[[#This Row],[subscription_type]],Plans!$A$1:$B$5,2,FALSE)</f>
        <v>4.99</v>
      </c>
      <c r="N6340">
        <f t="shared" si="99"/>
        <v>0</v>
      </c>
    </row>
    <row r="6341" spans="1:14" x14ac:dyDescent="0.35">
      <c r="A6341">
        <v>6340</v>
      </c>
      <c r="B6341" t="s">
        <v>16</v>
      </c>
      <c r="C6341">
        <v>37</v>
      </c>
      <c r="D6341" t="s">
        <v>27</v>
      </c>
      <c r="E6341" t="s">
        <v>14</v>
      </c>
      <c r="F6341">
        <v>106</v>
      </c>
      <c r="G6341">
        <v>38</v>
      </c>
      <c r="H6341">
        <v>0.57999999999999996</v>
      </c>
      <c r="I6341" t="s">
        <v>19</v>
      </c>
      <c r="J6341">
        <v>7</v>
      </c>
      <c r="K6341">
        <v>0</v>
      </c>
      <c r="L6341">
        <v>0</v>
      </c>
      <c r="M6341">
        <f>VLOOKUP(Table1[[#This Row],[subscription_type]],Plans!$A$1:$B$5,2,FALSE)</f>
        <v>0</v>
      </c>
      <c r="N6341">
        <f t="shared" si="99"/>
        <v>0</v>
      </c>
    </row>
    <row r="6342" spans="1:14" x14ac:dyDescent="0.35">
      <c r="A6342">
        <v>6341</v>
      </c>
      <c r="B6342" t="s">
        <v>20</v>
      </c>
      <c r="C6342">
        <v>25</v>
      </c>
      <c r="D6342" t="s">
        <v>21</v>
      </c>
      <c r="E6342" t="s">
        <v>18</v>
      </c>
      <c r="F6342">
        <v>45</v>
      </c>
      <c r="G6342">
        <v>42</v>
      </c>
      <c r="H6342">
        <v>0.17</v>
      </c>
      <c r="I6342" t="s">
        <v>19</v>
      </c>
      <c r="J6342">
        <v>0</v>
      </c>
      <c r="K6342">
        <v>1</v>
      </c>
      <c r="L6342">
        <v>0</v>
      </c>
      <c r="M6342">
        <f>VLOOKUP(Table1[[#This Row],[subscription_type]],Plans!$A$1:$B$5,2,FALSE)</f>
        <v>14.99</v>
      </c>
      <c r="N6342">
        <f t="shared" si="99"/>
        <v>0</v>
      </c>
    </row>
    <row r="6343" spans="1:14" x14ac:dyDescent="0.35">
      <c r="A6343">
        <v>6342</v>
      </c>
      <c r="B6343" t="s">
        <v>16</v>
      </c>
      <c r="C6343">
        <v>24</v>
      </c>
      <c r="D6343" t="s">
        <v>28</v>
      </c>
      <c r="E6343" t="s">
        <v>24</v>
      </c>
      <c r="F6343">
        <v>241</v>
      </c>
      <c r="G6343">
        <v>75</v>
      </c>
      <c r="H6343">
        <v>0.25</v>
      </c>
      <c r="I6343" t="s">
        <v>19</v>
      </c>
      <c r="J6343">
        <v>0</v>
      </c>
      <c r="K6343">
        <v>1</v>
      </c>
      <c r="L6343">
        <v>1</v>
      </c>
      <c r="M6343">
        <f>VLOOKUP(Table1[[#This Row],[subscription_type]],Plans!$A$1:$B$5,2,FALSE)</f>
        <v>4.99</v>
      </c>
      <c r="N6343">
        <f t="shared" si="99"/>
        <v>4.99</v>
      </c>
    </row>
    <row r="6344" spans="1:14" x14ac:dyDescent="0.35">
      <c r="A6344">
        <v>6343</v>
      </c>
      <c r="B6344" t="s">
        <v>16</v>
      </c>
      <c r="C6344">
        <v>27</v>
      </c>
      <c r="D6344" t="s">
        <v>25</v>
      </c>
      <c r="E6344" t="s">
        <v>22</v>
      </c>
      <c r="F6344">
        <v>134</v>
      </c>
      <c r="G6344">
        <v>86</v>
      </c>
      <c r="H6344">
        <v>0.25</v>
      </c>
      <c r="I6344" t="s">
        <v>19</v>
      </c>
      <c r="J6344">
        <v>0</v>
      </c>
      <c r="K6344">
        <v>1</v>
      </c>
      <c r="L6344">
        <v>0</v>
      </c>
      <c r="M6344">
        <f>VLOOKUP(Table1[[#This Row],[subscription_type]],Plans!$A$1:$B$5,2,FALSE)</f>
        <v>9.99</v>
      </c>
      <c r="N6344">
        <f t="shared" si="99"/>
        <v>0</v>
      </c>
    </row>
    <row r="6345" spans="1:14" x14ac:dyDescent="0.35">
      <c r="A6345">
        <v>6344</v>
      </c>
      <c r="B6345" t="s">
        <v>16</v>
      </c>
      <c r="C6345">
        <v>58</v>
      </c>
      <c r="D6345" t="s">
        <v>21</v>
      </c>
      <c r="E6345" t="s">
        <v>22</v>
      </c>
      <c r="F6345">
        <v>146</v>
      </c>
      <c r="G6345">
        <v>31</v>
      </c>
      <c r="H6345">
        <v>0.46</v>
      </c>
      <c r="I6345" t="s">
        <v>15</v>
      </c>
      <c r="J6345">
        <v>0</v>
      </c>
      <c r="K6345">
        <v>1</v>
      </c>
      <c r="L6345">
        <v>1</v>
      </c>
      <c r="M6345">
        <f>VLOOKUP(Table1[[#This Row],[subscription_type]],Plans!$A$1:$B$5,2,FALSE)</f>
        <v>9.99</v>
      </c>
      <c r="N6345">
        <f t="shared" si="99"/>
        <v>9.99</v>
      </c>
    </row>
    <row r="6346" spans="1:14" x14ac:dyDescent="0.35">
      <c r="A6346">
        <v>6345</v>
      </c>
      <c r="B6346" t="s">
        <v>20</v>
      </c>
      <c r="C6346">
        <v>39</v>
      </c>
      <c r="D6346" t="s">
        <v>17</v>
      </c>
      <c r="E6346" t="s">
        <v>22</v>
      </c>
      <c r="F6346">
        <v>74</v>
      </c>
      <c r="G6346">
        <v>63</v>
      </c>
      <c r="H6346">
        <v>0.4</v>
      </c>
      <c r="I6346" t="s">
        <v>19</v>
      </c>
      <c r="J6346">
        <v>0</v>
      </c>
      <c r="K6346">
        <v>1</v>
      </c>
      <c r="L6346">
        <v>0</v>
      </c>
      <c r="M6346">
        <f>VLOOKUP(Table1[[#This Row],[subscription_type]],Plans!$A$1:$B$5,2,FALSE)</f>
        <v>9.99</v>
      </c>
      <c r="N6346">
        <f t="shared" si="99"/>
        <v>0</v>
      </c>
    </row>
    <row r="6347" spans="1:14" x14ac:dyDescent="0.35">
      <c r="A6347">
        <v>6346</v>
      </c>
      <c r="B6347" t="s">
        <v>20</v>
      </c>
      <c r="C6347">
        <v>32</v>
      </c>
      <c r="D6347" t="s">
        <v>27</v>
      </c>
      <c r="E6347" t="s">
        <v>18</v>
      </c>
      <c r="F6347">
        <v>123</v>
      </c>
      <c r="G6347">
        <v>52</v>
      </c>
      <c r="H6347">
        <v>0.13</v>
      </c>
      <c r="I6347" t="s">
        <v>23</v>
      </c>
      <c r="J6347">
        <v>0</v>
      </c>
      <c r="K6347">
        <v>1</v>
      </c>
      <c r="L6347">
        <v>0</v>
      </c>
      <c r="M6347">
        <f>VLOOKUP(Table1[[#This Row],[subscription_type]],Plans!$A$1:$B$5,2,FALSE)</f>
        <v>14.99</v>
      </c>
      <c r="N6347">
        <f t="shared" si="99"/>
        <v>0</v>
      </c>
    </row>
    <row r="6348" spans="1:14" x14ac:dyDescent="0.35">
      <c r="A6348">
        <v>6347</v>
      </c>
      <c r="B6348" t="s">
        <v>16</v>
      </c>
      <c r="C6348">
        <v>26</v>
      </c>
      <c r="D6348" t="s">
        <v>13</v>
      </c>
      <c r="E6348" t="s">
        <v>24</v>
      </c>
      <c r="F6348">
        <v>267</v>
      </c>
      <c r="G6348">
        <v>40</v>
      </c>
      <c r="H6348">
        <v>0.45</v>
      </c>
      <c r="I6348" t="s">
        <v>23</v>
      </c>
      <c r="J6348">
        <v>0</v>
      </c>
      <c r="K6348">
        <v>1</v>
      </c>
      <c r="L6348">
        <v>0</v>
      </c>
      <c r="M6348">
        <f>VLOOKUP(Table1[[#This Row],[subscription_type]],Plans!$A$1:$B$5,2,FALSE)</f>
        <v>4.99</v>
      </c>
      <c r="N6348">
        <f t="shared" si="99"/>
        <v>0</v>
      </c>
    </row>
    <row r="6349" spans="1:14" x14ac:dyDescent="0.35">
      <c r="A6349">
        <v>6348</v>
      </c>
      <c r="B6349" t="s">
        <v>20</v>
      </c>
      <c r="C6349">
        <v>20</v>
      </c>
      <c r="D6349" t="s">
        <v>17</v>
      </c>
      <c r="E6349" t="s">
        <v>22</v>
      </c>
      <c r="F6349">
        <v>196</v>
      </c>
      <c r="G6349">
        <v>77</v>
      </c>
      <c r="H6349">
        <v>0.27</v>
      </c>
      <c r="I6349" t="s">
        <v>23</v>
      </c>
      <c r="J6349">
        <v>0</v>
      </c>
      <c r="K6349">
        <v>1</v>
      </c>
      <c r="L6349">
        <v>0</v>
      </c>
      <c r="M6349">
        <f>VLOOKUP(Table1[[#This Row],[subscription_type]],Plans!$A$1:$B$5,2,FALSE)</f>
        <v>9.99</v>
      </c>
      <c r="N6349">
        <f t="shared" si="99"/>
        <v>0</v>
      </c>
    </row>
    <row r="6350" spans="1:14" x14ac:dyDescent="0.35">
      <c r="A6350">
        <v>6349</v>
      </c>
      <c r="B6350" t="s">
        <v>12</v>
      </c>
      <c r="C6350">
        <v>18</v>
      </c>
      <c r="D6350" t="s">
        <v>27</v>
      </c>
      <c r="E6350" t="s">
        <v>14</v>
      </c>
      <c r="F6350">
        <v>95</v>
      </c>
      <c r="G6350">
        <v>37</v>
      </c>
      <c r="H6350">
        <v>0.24</v>
      </c>
      <c r="I6350" t="s">
        <v>23</v>
      </c>
      <c r="J6350">
        <v>7</v>
      </c>
      <c r="K6350">
        <v>0</v>
      </c>
      <c r="L6350">
        <v>1</v>
      </c>
      <c r="M6350">
        <f>VLOOKUP(Table1[[#This Row],[subscription_type]],Plans!$A$1:$B$5,2,FALSE)</f>
        <v>0</v>
      </c>
      <c r="N6350">
        <f t="shared" si="99"/>
        <v>0</v>
      </c>
    </row>
    <row r="6351" spans="1:14" x14ac:dyDescent="0.35">
      <c r="A6351">
        <v>6350</v>
      </c>
      <c r="B6351" t="s">
        <v>12</v>
      </c>
      <c r="C6351">
        <v>56</v>
      </c>
      <c r="D6351" t="s">
        <v>25</v>
      </c>
      <c r="E6351" t="s">
        <v>14</v>
      </c>
      <c r="F6351">
        <v>33</v>
      </c>
      <c r="G6351">
        <v>24</v>
      </c>
      <c r="H6351">
        <v>0.44</v>
      </c>
      <c r="I6351" t="s">
        <v>23</v>
      </c>
      <c r="J6351">
        <v>33</v>
      </c>
      <c r="K6351">
        <v>0</v>
      </c>
      <c r="L6351">
        <v>1</v>
      </c>
      <c r="M6351">
        <f>VLOOKUP(Table1[[#This Row],[subscription_type]],Plans!$A$1:$B$5,2,FALSE)</f>
        <v>0</v>
      </c>
      <c r="N6351">
        <f t="shared" si="99"/>
        <v>0</v>
      </c>
    </row>
    <row r="6352" spans="1:14" x14ac:dyDescent="0.35">
      <c r="A6352">
        <v>6351</v>
      </c>
      <c r="B6352" t="s">
        <v>20</v>
      </c>
      <c r="C6352">
        <v>47</v>
      </c>
      <c r="D6352" t="s">
        <v>25</v>
      </c>
      <c r="E6352" t="s">
        <v>14</v>
      </c>
      <c r="F6352">
        <v>281</v>
      </c>
      <c r="G6352">
        <v>5</v>
      </c>
      <c r="H6352">
        <v>0.5</v>
      </c>
      <c r="I6352" t="s">
        <v>15</v>
      </c>
      <c r="J6352">
        <v>39</v>
      </c>
      <c r="K6352">
        <v>0</v>
      </c>
      <c r="L6352">
        <v>1</v>
      </c>
      <c r="M6352">
        <f>VLOOKUP(Table1[[#This Row],[subscription_type]],Plans!$A$1:$B$5,2,FALSE)</f>
        <v>0</v>
      </c>
      <c r="N6352">
        <f t="shared" si="99"/>
        <v>0</v>
      </c>
    </row>
    <row r="6353" spans="1:14" x14ac:dyDescent="0.35">
      <c r="A6353">
        <v>6352</v>
      </c>
      <c r="B6353" t="s">
        <v>20</v>
      </c>
      <c r="C6353">
        <v>18</v>
      </c>
      <c r="D6353" t="s">
        <v>17</v>
      </c>
      <c r="E6353" t="s">
        <v>22</v>
      </c>
      <c r="F6353">
        <v>34</v>
      </c>
      <c r="G6353">
        <v>44</v>
      </c>
      <c r="H6353">
        <v>0.15</v>
      </c>
      <c r="I6353" t="s">
        <v>23</v>
      </c>
      <c r="J6353">
        <v>0</v>
      </c>
      <c r="K6353">
        <v>1</v>
      </c>
      <c r="L6353">
        <v>1</v>
      </c>
      <c r="M6353">
        <f>VLOOKUP(Table1[[#This Row],[subscription_type]],Plans!$A$1:$B$5,2,FALSE)</f>
        <v>9.99</v>
      </c>
      <c r="N6353">
        <f t="shared" si="99"/>
        <v>9.99</v>
      </c>
    </row>
    <row r="6354" spans="1:14" x14ac:dyDescent="0.35">
      <c r="A6354">
        <v>6353</v>
      </c>
      <c r="B6354" t="s">
        <v>16</v>
      </c>
      <c r="C6354">
        <v>42</v>
      </c>
      <c r="D6354" t="s">
        <v>27</v>
      </c>
      <c r="E6354" t="s">
        <v>22</v>
      </c>
      <c r="F6354">
        <v>104</v>
      </c>
      <c r="G6354">
        <v>27</v>
      </c>
      <c r="H6354">
        <v>0.34</v>
      </c>
      <c r="I6354" t="s">
        <v>19</v>
      </c>
      <c r="J6354">
        <v>0</v>
      </c>
      <c r="K6354">
        <v>1</v>
      </c>
      <c r="L6354">
        <v>0</v>
      </c>
      <c r="M6354">
        <f>VLOOKUP(Table1[[#This Row],[subscription_type]],Plans!$A$1:$B$5,2,FALSE)</f>
        <v>9.99</v>
      </c>
      <c r="N6354">
        <f t="shared" si="99"/>
        <v>0</v>
      </c>
    </row>
    <row r="6355" spans="1:14" x14ac:dyDescent="0.35">
      <c r="A6355">
        <v>6354</v>
      </c>
      <c r="B6355" t="s">
        <v>16</v>
      </c>
      <c r="C6355">
        <v>51</v>
      </c>
      <c r="D6355" t="s">
        <v>28</v>
      </c>
      <c r="E6355" t="s">
        <v>18</v>
      </c>
      <c r="F6355">
        <v>238</v>
      </c>
      <c r="G6355">
        <v>35</v>
      </c>
      <c r="H6355">
        <v>0.12</v>
      </c>
      <c r="I6355" t="s">
        <v>15</v>
      </c>
      <c r="J6355">
        <v>0</v>
      </c>
      <c r="K6355">
        <v>1</v>
      </c>
      <c r="L6355">
        <v>0</v>
      </c>
      <c r="M6355">
        <f>VLOOKUP(Table1[[#This Row],[subscription_type]],Plans!$A$1:$B$5,2,FALSE)</f>
        <v>14.99</v>
      </c>
      <c r="N6355">
        <f t="shared" si="99"/>
        <v>0</v>
      </c>
    </row>
    <row r="6356" spans="1:14" x14ac:dyDescent="0.35">
      <c r="A6356">
        <v>6355</v>
      </c>
      <c r="B6356" t="s">
        <v>20</v>
      </c>
      <c r="C6356">
        <v>23</v>
      </c>
      <c r="D6356" t="s">
        <v>28</v>
      </c>
      <c r="E6356" t="s">
        <v>22</v>
      </c>
      <c r="F6356">
        <v>246</v>
      </c>
      <c r="G6356">
        <v>24</v>
      </c>
      <c r="H6356">
        <v>0.28000000000000003</v>
      </c>
      <c r="I6356" t="s">
        <v>15</v>
      </c>
      <c r="J6356">
        <v>0</v>
      </c>
      <c r="K6356">
        <v>1</v>
      </c>
      <c r="L6356">
        <v>1</v>
      </c>
      <c r="M6356">
        <f>VLOOKUP(Table1[[#This Row],[subscription_type]],Plans!$A$1:$B$5,2,FALSE)</f>
        <v>9.99</v>
      </c>
      <c r="N6356">
        <f t="shared" si="99"/>
        <v>9.99</v>
      </c>
    </row>
    <row r="6357" spans="1:14" x14ac:dyDescent="0.35">
      <c r="A6357">
        <v>6356</v>
      </c>
      <c r="B6357" t="s">
        <v>16</v>
      </c>
      <c r="C6357">
        <v>39</v>
      </c>
      <c r="D6357" t="s">
        <v>25</v>
      </c>
      <c r="E6357" t="s">
        <v>14</v>
      </c>
      <c r="F6357">
        <v>229</v>
      </c>
      <c r="G6357">
        <v>41</v>
      </c>
      <c r="H6357">
        <v>0.13</v>
      </c>
      <c r="I6357" t="s">
        <v>19</v>
      </c>
      <c r="J6357">
        <v>34</v>
      </c>
      <c r="K6357">
        <v>0</v>
      </c>
      <c r="L6357">
        <v>0</v>
      </c>
      <c r="M6357">
        <f>VLOOKUP(Table1[[#This Row],[subscription_type]],Plans!$A$1:$B$5,2,FALSE)</f>
        <v>0</v>
      </c>
      <c r="N6357">
        <f t="shared" si="99"/>
        <v>0</v>
      </c>
    </row>
    <row r="6358" spans="1:14" x14ac:dyDescent="0.35">
      <c r="A6358">
        <v>6357</v>
      </c>
      <c r="B6358" t="s">
        <v>12</v>
      </c>
      <c r="C6358">
        <v>17</v>
      </c>
      <c r="D6358" t="s">
        <v>13</v>
      </c>
      <c r="E6358" t="s">
        <v>22</v>
      </c>
      <c r="F6358">
        <v>272</v>
      </c>
      <c r="G6358">
        <v>96</v>
      </c>
      <c r="H6358">
        <v>0.24</v>
      </c>
      <c r="I6358" t="s">
        <v>15</v>
      </c>
      <c r="J6358">
        <v>0</v>
      </c>
      <c r="K6358">
        <v>1</v>
      </c>
      <c r="L6358">
        <v>0</v>
      </c>
      <c r="M6358">
        <f>VLOOKUP(Table1[[#This Row],[subscription_type]],Plans!$A$1:$B$5,2,FALSE)</f>
        <v>9.99</v>
      </c>
      <c r="N6358">
        <f t="shared" si="99"/>
        <v>0</v>
      </c>
    </row>
    <row r="6359" spans="1:14" x14ac:dyDescent="0.35">
      <c r="A6359">
        <v>6358</v>
      </c>
      <c r="B6359" t="s">
        <v>20</v>
      </c>
      <c r="C6359">
        <v>42</v>
      </c>
      <c r="D6359" t="s">
        <v>13</v>
      </c>
      <c r="E6359" t="s">
        <v>24</v>
      </c>
      <c r="F6359">
        <v>107</v>
      </c>
      <c r="G6359">
        <v>76</v>
      </c>
      <c r="H6359">
        <v>0.22</v>
      </c>
      <c r="I6359" t="s">
        <v>23</v>
      </c>
      <c r="J6359">
        <v>0</v>
      </c>
      <c r="K6359">
        <v>1</v>
      </c>
      <c r="L6359">
        <v>0</v>
      </c>
      <c r="M6359">
        <f>VLOOKUP(Table1[[#This Row],[subscription_type]],Plans!$A$1:$B$5,2,FALSE)</f>
        <v>4.99</v>
      </c>
      <c r="N6359">
        <f t="shared" si="99"/>
        <v>0</v>
      </c>
    </row>
    <row r="6360" spans="1:14" x14ac:dyDescent="0.35">
      <c r="A6360">
        <v>6359</v>
      </c>
      <c r="B6360" t="s">
        <v>16</v>
      </c>
      <c r="C6360">
        <v>42</v>
      </c>
      <c r="D6360" t="s">
        <v>26</v>
      </c>
      <c r="E6360" t="s">
        <v>18</v>
      </c>
      <c r="F6360">
        <v>57</v>
      </c>
      <c r="G6360">
        <v>97</v>
      </c>
      <c r="H6360">
        <v>0.09</v>
      </c>
      <c r="I6360" t="s">
        <v>19</v>
      </c>
      <c r="J6360">
        <v>0</v>
      </c>
      <c r="K6360">
        <v>1</v>
      </c>
      <c r="L6360">
        <v>0</v>
      </c>
      <c r="M6360">
        <f>VLOOKUP(Table1[[#This Row],[subscription_type]],Plans!$A$1:$B$5,2,FALSE)</f>
        <v>14.99</v>
      </c>
      <c r="N6360">
        <f t="shared" si="99"/>
        <v>0</v>
      </c>
    </row>
    <row r="6361" spans="1:14" x14ac:dyDescent="0.35">
      <c r="A6361">
        <v>6360</v>
      </c>
      <c r="B6361" t="s">
        <v>16</v>
      </c>
      <c r="C6361">
        <v>27</v>
      </c>
      <c r="D6361" t="s">
        <v>21</v>
      </c>
      <c r="E6361" t="s">
        <v>22</v>
      </c>
      <c r="F6361">
        <v>81</v>
      </c>
      <c r="G6361">
        <v>52</v>
      </c>
      <c r="H6361">
        <v>0.5</v>
      </c>
      <c r="I6361" t="s">
        <v>23</v>
      </c>
      <c r="J6361">
        <v>0</v>
      </c>
      <c r="K6361">
        <v>1</v>
      </c>
      <c r="L6361">
        <v>0</v>
      </c>
      <c r="M6361">
        <f>VLOOKUP(Table1[[#This Row],[subscription_type]],Plans!$A$1:$B$5,2,FALSE)</f>
        <v>9.99</v>
      </c>
      <c r="N6361">
        <f t="shared" si="99"/>
        <v>0</v>
      </c>
    </row>
    <row r="6362" spans="1:14" x14ac:dyDescent="0.35">
      <c r="A6362">
        <v>6361</v>
      </c>
      <c r="B6362" t="s">
        <v>20</v>
      </c>
      <c r="C6362">
        <v>57</v>
      </c>
      <c r="D6362" t="s">
        <v>26</v>
      </c>
      <c r="E6362" t="s">
        <v>18</v>
      </c>
      <c r="F6362">
        <v>24</v>
      </c>
      <c r="G6362">
        <v>35</v>
      </c>
      <c r="H6362">
        <v>0.3</v>
      </c>
      <c r="I6362" t="s">
        <v>23</v>
      </c>
      <c r="J6362">
        <v>0</v>
      </c>
      <c r="K6362">
        <v>1</v>
      </c>
      <c r="L6362">
        <v>0</v>
      </c>
      <c r="M6362">
        <f>VLOOKUP(Table1[[#This Row],[subscription_type]],Plans!$A$1:$B$5,2,FALSE)</f>
        <v>14.99</v>
      </c>
      <c r="N6362">
        <f t="shared" si="99"/>
        <v>0</v>
      </c>
    </row>
    <row r="6363" spans="1:14" x14ac:dyDescent="0.35">
      <c r="A6363">
        <v>6362</v>
      </c>
      <c r="B6363" t="s">
        <v>20</v>
      </c>
      <c r="C6363">
        <v>18</v>
      </c>
      <c r="D6363" t="s">
        <v>29</v>
      </c>
      <c r="E6363" t="s">
        <v>14</v>
      </c>
      <c r="F6363">
        <v>195</v>
      </c>
      <c r="G6363">
        <v>95</v>
      </c>
      <c r="H6363">
        <v>0.06</v>
      </c>
      <c r="I6363" t="s">
        <v>15</v>
      </c>
      <c r="J6363">
        <v>6</v>
      </c>
      <c r="K6363">
        <v>0</v>
      </c>
      <c r="L6363">
        <v>0</v>
      </c>
      <c r="M6363">
        <f>VLOOKUP(Table1[[#This Row],[subscription_type]],Plans!$A$1:$B$5,2,FALSE)</f>
        <v>0</v>
      </c>
      <c r="N6363">
        <f t="shared" si="99"/>
        <v>0</v>
      </c>
    </row>
    <row r="6364" spans="1:14" x14ac:dyDescent="0.35">
      <c r="A6364">
        <v>6363</v>
      </c>
      <c r="B6364" t="s">
        <v>16</v>
      </c>
      <c r="C6364">
        <v>55</v>
      </c>
      <c r="D6364" t="s">
        <v>17</v>
      </c>
      <c r="E6364" t="s">
        <v>18</v>
      </c>
      <c r="F6364">
        <v>21</v>
      </c>
      <c r="G6364">
        <v>71</v>
      </c>
      <c r="H6364">
        <v>0.3</v>
      </c>
      <c r="I6364" t="s">
        <v>23</v>
      </c>
      <c r="J6364">
        <v>0</v>
      </c>
      <c r="K6364">
        <v>1</v>
      </c>
      <c r="L6364">
        <v>0</v>
      </c>
      <c r="M6364">
        <f>VLOOKUP(Table1[[#This Row],[subscription_type]],Plans!$A$1:$B$5,2,FALSE)</f>
        <v>14.99</v>
      </c>
      <c r="N6364">
        <f t="shared" si="99"/>
        <v>0</v>
      </c>
    </row>
    <row r="6365" spans="1:14" x14ac:dyDescent="0.35">
      <c r="A6365">
        <v>6364</v>
      </c>
      <c r="B6365" t="s">
        <v>16</v>
      </c>
      <c r="C6365">
        <v>43</v>
      </c>
      <c r="D6365" t="s">
        <v>21</v>
      </c>
      <c r="E6365" t="s">
        <v>18</v>
      </c>
      <c r="F6365">
        <v>155</v>
      </c>
      <c r="G6365">
        <v>58</v>
      </c>
      <c r="H6365">
        <v>0.27</v>
      </c>
      <c r="I6365" t="s">
        <v>15</v>
      </c>
      <c r="J6365">
        <v>0</v>
      </c>
      <c r="K6365">
        <v>1</v>
      </c>
      <c r="L6365">
        <v>0</v>
      </c>
      <c r="M6365">
        <f>VLOOKUP(Table1[[#This Row],[subscription_type]],Plans!$A$1:$B$5,2,FALSE)</f>
        <v>14.99</v>
      </c>
      <c r="N6365">
        <f t="shared" si="99"/>
        <v>0</v>
      </c>
    </row>
    <row r="6366" spans="1:14" x14ac:dyDescent="0.35">
      <c r="A6366">
        <v>6365</v>
      </c>
      <c r="B6366" t="s">
        <v>12</v>
      </c>
      <c r="C6366">
        <v>36</v>
      </c>
      <c r="D6366" t="s">
        <v>25</v>
      </c>
      <c r="E6366" t="s">
        <v>22</v>
      </c>
      <c r="F6366">
        <v>180</v>
      </c>
      <c r="G6366">
        <v>78</v>
      </c>
      <c r="H6366">
        <v>0.28000000000000003</v>
      </c>
      <c r="I6366" t="s">
        <v>23</v>
      </c>
      <c r="J6366">
        <v>0</v>
      </c>
      <c r="K6366">
        <v>1</v>
      </c>
      <c r="L6366">
        <v>0</v>
      </c>
      <c r="M6366">
        <f>VLOOKUP(Table1[[#This Row],[subscription_type]],Plans!$A$1:$B$5,2,FALSE)</f>
        <v>9.99</v>
      </c>
      <c r="N6366">
        <f t="shared" si="99"/>
        <v>0</v>
      </c>
    </row>
    <row r="6367" spans="1:14" x14ac:dyDescent="0.35">
      <c r="A6367">
        <v>6366</v>
      </c>
      <c r="B6367" t="s">
        <v>16</v>
      </c>
      <c r="C6367">
        <v>35</v>
      </c>
      <c r="D6367" t="s">
        <v>21</v>
      </c>
      <c r="E6367" t="s">
        <v>18</v>
      </c>
      <c r="F6367">
        <v>55</v>
      </c>
      <c r="G6367">
        <v>86</v>
      </c>
      <c r="H6367">
        <v>0.19</v>
      </c>
      <c r="I6367" t="s">
        <v>19</v>
      </c>
      <c r="J6367">
        <v>0</v>
      </c>
      <c r="K6367">
        <v>1</v>
      </c>
      <c r="L6367">
        <v>1</v>
      </c>
      <c r="M6367">
        <f>VLOOKUP(Table1[[#This Row],[subscription_type]],Plans!$A$1:$B$5,2,FALSE)</f>
        <v>14.99</v>
      </c>
      <c r="N6367">
        <f t="shared" si="99"/>
        <v>14.99</v>
      </c>
    </row>
    <row r="6368" spans="1:14" x14ac:dyDescent="0.35">
      <c r="A6368">
        <v>6367</v>
      </c>
      <c r="B6368" t="s">
        <v>12</v>
      </c>
      <c r="C6368">
        <v>57</v>
      </c>
      <c r="D6368" t="s">
        <v>29</v>
      </c>
      <c r="E6368" t="s">
        <v>18</v>
      </c>
      <c r="F6368">
        <v>31</v>
      </c>
      <c r="G6368">
        <v>12</v>
      </c>
      <c r="H6368">
        <v>0.54</v>
      </c>
      <c r="I6368" t="s">
        <v>19</v>
      </c>
      <c r="J6368">
        <v>0</v>
      </c>
      <c r="K6368">
        <v>1</v>
      </c>
      <c r="L6368">
        <v>0</v>
      </c>
      <c r="M6368">
        <f>VLOOKUP(Table1[[#This Row],[subscription_type]],Plans!$A$1:$B$5,2,FALSE)</f>
        <v>14.99</v>
      </c>
      <c r="N6368">
        <f t="shared" si="99"/>
        <v>0</v>
      </c>
    </row>
    <row r="6369" spans="1:14" x14ac:dyDescent="0.35">
      <c r="A6369">
        <v>6368</v>
      </c>
      <c r="B6369" t="s">
        <v>16</v>
      </c>
      <c r="C6369">
        <v>51</v>
      </c>
      <c r="D6369" t="s">
        <v>29</v>
      </c>
      <c r="E6369" t="s">
        <v>18</v>
      </c>
      <c r="F6369">
        <v>63</v>
      </c>
      <c r="G6369">
        <v>63</v>
      </c>
      <c r="H6369">
        <v>0.34</v>
      </c>
      <c r="I6369" t="s">
        <v>19</v>
      </c>
      <c r="J6369">
        <v>0</v>
      </c>
      <c r="K6369">
        <v>1</v>
      </c>
      <c r="L6369">
        <v>1</v>
      </c>
      <c r="M6369">
        <f>VLOOKUP(Table1[[#This Row],[subscription_type]],Plans!$A$1:$B$5,2,FALSE)</f>
        <v>14.99</v>
      </c>
      <c r="N6369">
        <f t="shared" si="99"/>
        <v>14.99</v>
      </c>
    </row>
    <row r="6370" spans="1:14" x14ac:dyDescent="0.35">
      <c r="A6370">
        <v>6369</v>
      </c>
      <c r="B6370" t="s">
        <v>20</v>
      </c>
      <c r="C6370">
        <v>56</v>
      </c>
      <c r="D6370" t="s">
        <v>17</v>
      </c>
      <c r="E6370" t="s">
        <v>18</v>
      </c>
      <c r="F6370">
        <v>292</v>
      </c>
      <c r="G6370">
        <v>90</v>
      </c>
      <c r="H6370">
        <v>0.1</v>
      </c>
      <c r="I6370" t="s">
        <v>23</v>
      </c>
      <c r="J6370">
        <v>0</v>
      </c>
      <c r="K6370">
        <v>1</v>
      </c>
      <c r="L6370">
        <v>0</v>
      </c>
      <c r="M6370">
        <f>VLOOKUP(Table1[[#This Row],[subscription_type]],Plans!$A$1:$B$5,2,FALSE)</f>
        <v>14.99</v>
      </c>
      <c r="N6370">
        <f t="shared" si="99"/>
        <v>0</v>
      </c>
    </row>
    <row r="6371" spans="1:14" x14ac:dyDescent="0.35">
      <c r="A6371">
        <v>6370</v>
      </c>
      <c r="B6371" t="s">
        <v>16</v>
      </c>
      <c r="C6371">
        <v>28</v>
      </c>
      <c r="D6371" t="s">
        <v>13</v>
      </c>
      <c r="E6371" t="s">
        <v>14</v>
      </c>
      <c r="F6371">
        <v>159</v>
      </c>
      <c r="G6371">
        <v>71</v>
      </c>
      <c r="H6371">
        <v>0.44</v>
      </c>
      <c r="I6371" t="s">
        <v>23</v>
      </c>
      <c r="J6371">
        <v>25</v>
      </c>
      <c r="K6371">
        <v>0</v>
      </c>
      <c r="L6371">
        <v>1</v>
      </c>
      <c r="M6371">
        <f>VLOOKUP(Table1[[#This Row],[subscription_type]],Plans!$A$1:$B$5,2,FALSE)</f>
        <v>0</v>
      </c>
      <c r="N6371">
        <f t="shared" si="99"/>
        <v>0</v>
      </c>
    </row>
    <row r="6372" spans="1:14" x14ac:dyDescent="0.35">
      <c r="A6372">
        <v>6371</v>
      </c>
      <c r="B6372" t="s">
        <v>20</v>
      </c>
      <c r="C6372">
        <v>59</v>
      </c>
      <c r="D6372" t="s">
        <v>17</v>
      </c>
      <c r="E6372" t="s">
        <v>18</v>
      </c>
      <c r="F6372">
        <v>128</v>
      </c>
      <c r="G6372">
        <v>50</v>
      </c>
      <c r="H6372">
        <v>0.56000000000000005</v>
      </c>
      <c r="I6372" t="s">
        <v>15</v>
      </c>
      <c r="J6372">
        <v>0</v>
      </c>
      <c r="K6372">
        <v>1</v>
      </c>
      <c r="L6372">
        <v>1</v>
      </c>
      <c r="M6372">
        <f>VLOOKUP(Table1[[#This Row],[subscription_type]],Plans!$A$1:$B$5,2,FALSE)</f>
        <v>14.99</v>
      </c>
      <c r="N6372">
        <f t="shared" si="99"/>
        <v>14.99</v>
      </c>
    </row>
    <row r="6373" spans="1:14" x14ac:dyDescent="0.35">
      <c r="A6373">
        <v>6372</v>
      </c>
      <c r="B6373" t="s">
        <v>16</v>
      </c>
      <c r="C6373">
        <v>36</v>
      </c>
      <c r="D6373" t="s">
        <v>27</v>
      </c>
      <c r="E6373" t="s">
        <v>22</v>
      </c>
      <c r="F6373">
        <v>246</v>
      </c>
      <c r="G6373">
        <v>4</v>
      </c>
      <c r="H6373">
        <v>0.56999999999999995</v>
      </c>
      <c r="I6373" t="s">
        <v>15</v>
      </c>
      <c r="J6373">
        <v>0</v>
      </c>
      <c r="K6373">
        <v>1</v>
      </c>
      <c r="L6373">
        <v>0</v>
      </c>
      <c r="M6373">
        <f>VLOOKUP(Table1[[#This Row],[subscription_type]],Plans!$A$1:$B$5,2,FALSE)</f>
        <v>9.99</v>
      </c>
      <c r="N6373">
        <f t="shared" si="99"/>
        <v>0</v>
      </c>
    </row>
    <row r="6374" spans="1:14" x14ac:dyDescent="0.35">
      <c r="A6374">
        <v>6373</v>
      </c>
      <c r="B6374" t="s">
        <v>20</v>
      </c>
      <c r="C6374">
        <v>59</v>
      </c>
      <c r="D6374" t="s">
        <v>21</v>
      </c>
      <c r="E6374" t="s">
        <v>14</v>
      </c>
      <c r="F6374">
        <v>20</v>
      </c>
      <c r="G6374">
        <v>98</v>
      </c>
      <c r="H6374">
        <v>0.37</v>
      </c>
      <c r="I6374" t="s">
        <v>23</v>
      </c>
      <c r="J6374">
        <v>42</v>
      </c>
      <c r="K6374">
        <v>0</v>
      </c>
      <c r="L6374">
        <v>0</v>
      </c>
      <c r="M6374">
        <f>VLOOKUP(Table1[[#This Row],[subscription_type]],Plans!$A$1:$B$5,2,FALSE)</f>
        <v>0</v>
      </c>
      <c r="N6374">
        <f t="shared" si="99"/>
        <v>0</v>
      </c>
    </row>
    <row r="6375" spans="1:14" x14ac:dyDescent="0.35">
      <c r="A6375">
        <v>6374</v>
      </c>
      <c r="B6375" t="s">
        <v>20</v>
      </c>
      <c r="C6375">
        <v>53</v>
      </c>
      <c r="D6375" t="s">
        <v>13</v>
      </c>
      <c r="E6375" t="s">
        <v>22</v>
      </c>
      <c r="F6375">
        <v>110</v>
      </c>
      <c r="G6375">
        <v>53</v>
      </c>
      <c r="H6375">
        <v>0.48</v>
      </c>
      <c r="I6375" t="s">
        <v>19</v>
      </c>
      <c r="J6375">
        <v>0</v>
      </c>
      <c r="K6375">
        <v>1</v>
      </c>
      <c r="L6375">
        <v>0</v>
      </c>
      <c r="M6375">
        <f>VLOOKUP(Table1[[#This Row],[subscription_type]],Plans!$A$1:$B$5,2,FALSE)</f>
        <v>9.99</v>
      </c>
      <c r="N6375">
        <f t="shared" si="99"/>
        <v>0</v>
      </c>
    </row>
    <row r="6376" spans="1:14" x14ac:dyDescent="0.35">
      <c r="A6376">
        <v>6375</v>
      </c>
      <c r="B6376" t="s">
        <v>20</v>
      </c>
      <c r="C6376">
        <v>57</v>
      </c>
      <c r="D6376" t="s">
        <v>29</v>
      </c>
      <c r="E6376" t="s">
        <v>18</v>
      </c>
      <c r="F6376">
        <v>295</v>
      </c>
      <c r="G6376">
        <v>7</v>
      </c>
      <c r="H6376">
        <v>0.44</v>
      </c>
      <c r="I6376" t="s">
        <v>15</v>
      </c>
      <c r="J6376">
        <v>0</v>
      </c>
      <c r="K6376">
        <v>1</v>
      </c>
      <c r="L6376">
        <v>0</v>
      </c>
      <c r="M6376">
        <f>VLOOKUP(Table1[[#This Row],[subscription_type]],Plans!$A$1:$B$5,2,FALSE)</f>
        <v>14.99</v>
      </c>
      <c r="N6376">
        <f t="shared" si="99"/>
        <v>0</v>
      </c>
    </row>
    <row r="6377" spans="1:14" x14ac:dyDescent="0.35">
      <c r="A6377">
        <v>6376</v>
      </c>
      <c r="B6377" t="s">
        <v>12</v>
      </c>
      <c r="C6377">
        <v>24</v>
      </c>
      <c r="D6377" t="s">
        <v>13</v>
      </c>
      <c r="E6377" t="s">
        <v>22</v>
      </c>
      <c r="F6377">
        <v>27</v>
      </c>
      <c r="G6377">
        <v>50</v>
      </c>
      <c r="H6377">
        <v>0.56000000000000005</v>
      </c>
      <c r="I6377" t="s">
        <v>23</v>
      </c>
      <c r="J6377">
        <v>0</v>
      </c>
      <c r="K6377">
        <v>1</v>
      </c>
      <c r="L6377">
        <v>0</v>
      </c>
      <c r="M6377">
        <f>VLOOKUP(Table1[[#This Row],[subscription_type]],Plans!$A$1:$B$5,2,FALSE)</f>
        <v>9.99</v>
      </c>
      <c r="N6377">
        <f t="shared" si="99"/>
        <v>0</v>
      </c>
    </row>
    <row r="6378" spans="1:14" x14ac:dyDescent="0.35">
      <c r="A6378">
        <v>6377</v>
      </c>
      <c r="B6378" t="s">
        <v>12</v>
      </c>
      <c r="C6378">
        <v>38</v>
      </c>
      <c r="D6378" t="s">
        <v>27</v>
      </c>
      <c r="E6378" t="s">
        <v>14</v>
      </c>
      <c r="F6378">
        <v>101</v>
      </c>
      <c r="G6378">
        <v>47</v>
      </c>
      <c r="H6378">
        <v>0.06</v>
      </c>
      <c r="I6378" t="s">
        <v>23</v>
      </c>
      <c r="J6378">
        <v>39</v>
      </c>
      <c r="K6378">
        <v>0</v>
      </c>
      <c r="L6378">
        <v>1</v>
      </c>
      <c r="M6378">
        <f>VLOOKUP(Table1[[#This Row],[subscription_type]],Plans!$A$1:$B$5,2,FALSE)</f>
        <v>0</v>
      </c>
      <c r="N6378">
        <f t="shared" si="99"/>
        <v>0</v>
      </c>
    </row>
    <row r="6379" spans="1:14" x14ac:dyDescent="0.35">
      <c r="A6379">
        <v>6378</v>
      </c>
      <c r="B6379" t="s">
        <v>20</v>
      </c>
      <c r="C6379">
        <v>53</v>
      </c>
      <c r="D6379" t="s">
        <v>28</v>
      </c>
      <c r="E6379" t="s">
        <v>14</v>
      </c>
      <c r="F6379">
        <v>96</v>
      </c>
      <c r="G6379">
        <v>60</v>
      </c>
      <c r="H6379">
        <v>0.5</v>
      </c>
      <c r="I6379" t="s">
        <v>19</v>
      </c>
      <c r="J6379">
        <v>25</v>
      </c>
      <c r="K6379">
        <v>0</v>
      </c>
      <c r="L6379">
        <v>0</v>
      </c>
      <c r="M6379">
        <f>VLOOKUP(Table1[[#This Row],[subscription_type]],Plans!$A$1:$B$5,2,FALSE)</f>
        <v>0</v>
      </c>
      <c r="N6379">
        <f t="shared" si="99"/>
        <v>0</v>
      </c>
    </row>
    <row r="6380" spans="1:14" x14ac:dyDescent="0.35">
      <c r="A6380">
        <v>6379</v>
      </c>
      <c r="B6380" t="s">
        <v>20</v>
      </c>
      <c r="C6380">
        <v>37</v>
      </c>
      <c r="D6380" t="s">
        <v>26</v>
      </c>
      <c r="E6380" t="s">
        <v>18</v>
      </c>
      <c r="F6380">
        <v>270</v>
      </c>
      <c r="G6380">
        <v>37</v>
      </c>
      <c r="H6380">
        <v>0.18</v>
      </c>
      <c r="I6380" t="s">
        <v>19</v>
      </c>
      <c r="J6380">
        <v>0</v>
      </c>
      <c r="K6380">
        <v>1</v>
      </c>
      <c r="L6380">
        <v>0</v>
      </c>
      <c r="M6380">
        <f>VLOOKUP(Table1[[#This Row],[subscription_type]],Plans!$A$1:$B$5,2,FALSE)</f>
        <v>14.99</v>
      </c>
      <c r="N6380">
        <f t="shared" si="99"/>
        <v>0</v>
      </c>
    </row>
    <row r="6381" spans="1:14" x14ac:dyDescent="0.35">
      <c r="A6381">
        <v>6380</v>
      </c>
      <c r="B6381" t="s">
        <v>12</v>
      </c>
      <c r="C6381">
        <v>26</v>
      </c>
      <c r="D6381" t="s">
        <v>26</v>
      </c>
      <c r="E6381" t="s">
        <v>22</v>
      </c>
      <c r="F6381">
        <v>60</v>
      </c>
      <c r="G6381">
        <v>14</v>
      </c>
      <c r="H6381">
        <v>0.13</v>
      </c>
      <c r="I6381" t="s">
        <v>15</v>
      </c>
      <c r="J6381">
        <v>0</v>
      </c>
      <c r="K6381">
        <v>1</v>
      </c>
      <c r="L6381">
        <v>0</v>
      </c>
      <c r="M6381">
        <f>VLOOKUP(Table1[[#This Row],[subscription_type]],Plans!$A$1:$B$5,2,FALSE)</f>
        <v>9.99</v>
      </c>
      <c r="N6381">
        <f t="shared" si="99"/>
        <v>0</v>
      </c>
    </row>
    <row r="6382" spans="1:14" x14ac:dyDescent="0.35">
      <c r="A6382">
        <v>6381</v>
      </c>
      <c r="B6382" t="s">
        <v>16</v>
      </c>
      <c r="C6382">
        <v>31</v>
      </c>
      <c r="D6382" t="s">
        <v>13</v>
      </c>
      <c r="E6382" t="s">
        <v>14</v>
      </c>
      <c r="F6382">
        <v>110</v>
      </c>
      <c r="G6382">
        <v>34</v>
      </c>
      <c r="H6382">
        <v>0.06</v>
      </c>
      <c r="I6382" t="s">
        <v>15</v>
      </c>
      <c r="J6382">
        <v>49</v>
      </c>
      <c r="K6382">
        <v>0</v>
      </c>
      <c r="L6382">
        <v>0</v>
      </c>
      <c r="M6382">
        <f>VLOOKUP(Table1[[#This Row],[subscription_type]],Plans!$A$1:$B$5,2,FALSE)</f>
        <v>0</v>
      </c>
      <c r="N6382">
        <f t="shared" si="99"/>
        <v>0</v>
      </c>
    </row>
    <row r="6383" spans="1:14" x14ac:dyDescent="0.35">
      <c r="A6383">
        <v>6382</v>
      </c>
      <c r="B6383" t="s">
        <v>16</v>
      </c>
      <c r="C6383">
        <v>38</v>
      </c>
      <c r="D6383" t="s">
        <v>26</v>
      </c>
      <c r="E6383" t="s">
        <v>18</v>
      </c>
      <c r="F6383">
        <v>129</v>
      </c>
      <c r="G6383">
        <v>50</v>
      </c>
      <c r="H6383">
        <v>0.59</v>
      </c>
      <c r="I6383" t="s">
        <v>23</v>
      </c>
      <c r="J6383">
        <v>0</v>
      </c>
      <c r="K6383">
        <v>1</v>
      </c>
      <c r="L6383">
        <v>0</v>
      </c>
      <c r="M6383">
        <f>VLOOKUP(Table1[[#This Row],[subscription_type]],Plans!$A$1:$B$5,2,FALSE)</f>
        <v>14.99</v>
      </c>
      <c r="N6383">
        <f t="shared" si="99"/>
        <v>0</v>
      </c>
    </row>
    <row r="6384" spans="1:14" x14ac:dyDescent="0.35">
      <c r="A6384">
        <v>6383</v>
      </c>
      <c r="B6384" t="s">
        <v>20</v>
      </c>
      <c r="C6384">
        <v>33</v>
      </c>
      <c r="D6384" t="s">
        <v>25</v>
      </c>
      <c r="E6384" t="s">
        <v>24</v>
      </c>
      <c r="F6384">
        <v>112</v>
      </c>
      <c r="G6384">
        <v>17</v>
      </c>
      <c r="H6384">
        <v>0.15</v>
      </c>
      <c r="I6384" t="s">
        <v>19</v>
      </c>
      <c r="J6384">
        <v>0</v>
      </c>
      <c r="K6384">
        <v>1</v>
      </c>
      <c r="L6384">
        <v>0</v>
      </c>
      <c r="M6384">
        <f>VLOOKUP(Table1[[#This Row],[subscription_type]],Plans!$A$1:$B$5,2,FALSE)</f>
        <v>4.99</v>
      </c>
      <c r="N6384">
        <f t="shared" si="99"/>
        <v>0</v>
      </c>
    </row>
    <row r="6385" spans="1:14" x14ac:dyDescent="0.35">
      <c r="A6385">
        <v>6384</v>
      </c>
      <c r="B6385" t="s">
        <v>12</v>
      </c>
      <c r="C6385">
        <v>55</v>
      </c>
      <c r="D6385" t="s">
        <v>29</v>
      </c>
      <c r="E6385" t="s">
        <v>24</v>
      </c>
      <c r="F6385">
        <v>102</v>
      </c>
      <c r="G6385">
        <v>63</v>
      </c>
      <c r="H6385">
        <v>0.24</v>
      </c>
      <c r="I6385" t="s">
        <v>23</v>
      </c>
      <c r="J6385">
        <v>0</v>
      </c>
      <c r="K6385">
        <v>1</v>
      </c>
      <c r="L6385">
        <v>0</v>
      </c>
      <c r="M6385">
        <f>VLOOKUP(Table1[[#This Row],[subscription_type]],Plans!$A$1:$B$5,2,FALSE)</f>
        <v>4.99</v>
      </c>
      <c r="N6385">
        <f t="shared" si="99"/>
        <v>0</v>
      </c>
    </row>
    <row r="6386" spans="1:14" x14ac:dyDescent="0.35">
      <c r="A6386">
        <v>6385</v>
      </c>
      <c r="B6386" t="s">
        <v>20</v>
      </c>
      <c r="C6386">
        <v>30</v>
      </c>
      <c r="D6386" t="s">
        <v>29</v>
      </c>
      <c r="E6386" t="s">
        <v>22</v>
      </c>
      <c r="F6386">
        <v>192</v>
      </c>
      <c r="G6386">
        <v>73</v>
      </c>
      <c r="H6386">
        <v>0.31</v>
      </c>
      <c r="I6386" t="s">
        <v>23</v>
      </c>
      <c r="J6386">
        <v>0</v>
      </c>
      <c r="K6386">
        <v>1</v>
      </c>
      <c r="L6386">
        <v>1</v>
      </c>
      <c r="M6386">
        <f>VLOOKUP(Table1[[#This Row],[subscription_type]],Plans!$A$1:$B$5,2,FALSE)</f>
        <v>9.99</v>
      </c>
      <c r="N6386">
        <f t="shared" si="99"/>
        <v>9.99</v>
      </c>
    </row>
    <row r="6387" spans="1:14" x14ac:dyDescent="0.35">
      <c r="A6387">
        <v>6386</v>
      </c>
      <c r="B6387" t="s">
        <v>20</v>
      </c>
      <c r="C6387">
        <v>43</v>
      </c>
      <c r="D6387" t="s">
        <v>28</v>
      </c>
      <c r="E6387" t="s">
        <v>22</v>
      </c>
      <c r="F6387">
        <v>299</v>
      </c>
      <c r="G6387">
        <v>97</v>
      </c>
      <c r="H6387">
        <v>0.06</v>
      </c>
      <c r="I6387" t="s">
        <v>15</v>
      </c>
      <c r="J6387">
        <v>0</v>
      </c>
      <c r="K6387">
        <v>1</v>
      </c>
      <c r="L6387">
        <v>0</v>
      </c>
      <c r="M6387">
        <f>VLOOKUP(Table1[[#This Row],[subscription_type]],Plans!$A$1:$B$5,2,FALSE)</f>
        <v>9.99</v>
      </c>
      <c r="N6387">
        <f t="shared" si="99"/>
        <v>0</v>
      </c>
    </row>
    <row r="6388" spans="1:14" x14ac:dyDescent="0.35">
      <c r="A6388">
        <v>6387</v>
      </c>
      <c r="B6388" t="s">
        <v>12</v>
      </c>
      <c r="C6388">
        <v>26</v>
      </c>
      <c r="D6388" t="s">
        <v>28</v>
      </c>
      <c r="E6388" t="s">
        <v>14</v>
      </c>
      <c r="F6388">
        <v>80</v>
      </c>
      <c r="G6388">
        <v>73</v>
      </c>
      <c r="H6388">
        <v>0.4</v>
      </c>
      <c r="I6388" t="s">
        <v>23</v>
      </c>
      <c r="J6388">
        <v>5</v>
      </c>
      <c r="K6388">
        <v>0</v>
      </c>
      <c r="L6388">
        <v>0</v>
      </c>
      <c r="M6388">
        <f>VLOOKUP(Table1[[#This Row],[subscription_type]],Plans!$A$1:$B$5,2,FALSE)</f>
        <v>0</v>
      </c>
      <c r="N6388">
        <f t="shared" si="99"/>
        <v>0</v>
      </c>
    </row>
    <row r="6389" spans="1:14" x14ac:dyDescent="0.35">
      <c r="A6389">
        <v>6388</v>
      </c>
      <c r="B6389" t="s">
        <v>20</v>
      </c>
      <c r="C6389">
        <v>57</v>
      </c>
      <c r="D6389" t="s">
        <v>27</v>
      </c>
      <c r="E6389" t="s">
        <v>22</v>
      </c>
      <c r="F6389">
        <v>213</v>
      </c>
      <c r="G6389">
        <v>89</v>
      </c>
      <c r="H6389">
        <v>0.12</v>
      </c>
      <c r="I6389" t="s">
        <v>23</v>
      </c>
      <c r="J6389">
        <v>0</v>
      </c>
      <c r="K6389">
        <v>1</v>
      </c>
      <c r="L6389">
        <v>1</v>
      </c>
      <c r="M6389">
        <f>VLOOKUP(Table1[[#This Row],[subscription_type]],Plans!$A$1:$B$5,2,FALSE)</f>
        <v>9.99</v>
      </c>
      <c r="N6389">
        <f t="shared" si="99"/>
        <v>9.99</v>
      </c>
    </row>
    <row r="6390" spans="1:14" x14ac:dyDescent="0.35">
      <c r="A6390">
        <v>6389</v>
      </c>
      <c r="B6390" t="s">
        <v>16</v>
      </c>
      <c r="C6390">
        <v>28</v>
      </c>
      <c r="D6390" t="s">
        <v>13</v>
      </c>
      <c r="E6390" t="s">
        <v>22</v>
      </c>
      <c r="F6390">
        <v>189</v>
      </c>
      <c r="G6390">
        <v>93</v>
      </c>
      <c r="H6390">
        <v>0.46</v>
      </c>
      <c r="I6390" t="s">
        <v>19</v>
      </c>
      <c r="J6390">
        <v>0</v>
      </c>
      <c r="K6390">
        <v>1</v>
      </c>
      <c r="L6390">
        <v>1</v>
      </c>
      <c r="M6390">
        <f>VLOOKUP(Table1[[#This Row],[subscription_type]],Plans!$A$1:$B$5,2,FALSE)</f>
        <v>9.99</v>
      </c>
      <c r="N6390">
        <f t="shared" si="99"/>
        <v>9.99</v>
      </c>
    </row>
    <row r="6391" spans="1:14" x14ac:dyDescent="0.35">
      <c r="A6391">
        <v>6390</v>
      </c>
      <c r="B6391" t="s">
        <v>12</v>
      </c>
      <c r="C6391">
        <v>32</v>
      </c>
      <c r="D6391" t="s">
        <v>27</v>
      </c>
      <c r="E6391" t="s">
        <v>22</v>
      </c>
      <c r="F6391">
        <v>167</v>
      </c>
      <c r="G6391">
        <v>26</v>
      </c>
      <c r="H6391">
        <v>0.06</v>
      </c>
      <c r="I6391" t="s">
        <v>23</v>
      </c>
      <c r="J6391">
        <v>0</v>
      </c>
      <c r="K6391">
        <v>1</v>
      </c>
      <c r="L6391">
        <v>1</v>
      </c>
      <c r="M6391">
        <f>VLOOKUP(Table1[[#This Row],[subscription_type]],Plans!$A$1:$B$5,2,FALSE)</f>
        <v>9.99</v>
      </c>
      <c r="N6391">
        <f t="shared" si="99"/>
        <v>9.99</v>
      </c>
    </row>
    <row r="6392" spans="1:14" x14ac:dyDescent="0.35">
      <c r="A6392">
        <v>6391</v>
      </c>
      <c r="B6392" t="s">
        <v>16</v>
      </c>
      <c r="C6392">
        <v>56</v>
      </c>
      <c r="D6392" t="s">
        <v>27</v>
      </c>
      <c r="E6392" t="s">
        <v>24</v>
      </c>
      <c r="F6392">
        <v>18</v>
      </c>
      <c r="G6392">
        <v>41</v>
      </c>
      <c r="H6392">
        <v>0.33</v>
      </c>
      <c r="I6392" t="s">
        <v>15</v>
      </c>
      <c r="J6392">
        <v>0</v>
      </c>
      <c r="K6392">
        <v>1</v>
      </c>
      <c r="L6392">
        <v>0</v>
      </c>
      <c r="M6392">
        <f>VLOOKUP(Table1[[#This Row],[subscription_type]],Plans!$A$1:$B$5,2,FALSE)</f>
        <v>4.99</v>
      </c>
      <c r="N6392">
        <f t="shared" si="99"/>
        <v>0</v>
      </c>
    </row>
    <row r="6393" spans="1:14" x14ac:dyDescent="0.35">
      <c r="A6393">
        <v>6392</v>
      </c>
      <c r="B6393" t="s">
        <v>16</v>
      </c>
      <c r="C6393">
        <v>18</v>
      </c>
      <c r="D6393" t="s">
        <v>13</v>
      </c>
      <c r="E6393" t="s">
        <v>14</v>
      </c>
      <c r="F6393">
        <v>255</v>
      </c>
      <c r="G6393">
        <v>33</v>
      </c>
      <c r="H6393">
        <v>0.55000000000000004</v>
      </c>
      <c r="I6393" t="s">
        <v>19</v>
      </c>
      <c r="J6393">
        <v>45</v>
      </c>
      <c r="K6393">
        <v>0</v>
      </c>
      <c r="L6393">
        <v>0</v>
      </c>
      <c r="M6393">
        <f>VLOOKUP(Table1[[#This Row],[subscription_type]],Plans!$A$1:$B$5,2,FALSE)</f>
        <v>0</v>
      </c>
      <c r="N6393">
        <f t="shared" si="99"/>
        <v>0</v>
      </c>
    </row>
    <row r="6394" spans="1:14" x14ac:dyDescent="0.35">
      <c r="A6394">
        <v>6393</v>
      </c>
      <c r="B6394" t="s">
        <v>12</v>
      </c>
      <c r="C6394">
        <v>47</v>
      </c>
      <c r="D6394" t="s">
        <v>13</v>
      </c>
      <c r="E6394" t="s">
        <v>14</v>
      </c>
      <c r="F6394">
        <v>88</v>
      </c>
      <c r="G6394">
        <v>87</v>
      </c>
      <c r="H6394">
        <v>0.56000000000000005</v>
      </c>
      <c r="I6394" t="s">
        <v>19</v>
      </c>
      <c r="J6394">
        <v>24</v>
      </c>
      <c r="K6394">
        <v>0</v>
      </c>
      <c r="L6394">
        <v>0</v>
      </c>
      <c r="M6394">
        <f>VLOOKUP(Table1[[#This Row],[subscription_type]],Plans!$A$1:$B$5,2,FALSE)</f>
        <v>0</v>
      </c>
      <c r="N6394">
        <f t="shared" si="99"/>
        <v>0</v>
      </c>
    </row>
    <row r="6395" spans="1:14" x14ac:dyDescent="0.35">
      <c r="A6395">
        <v>6394</v>
      </c>
      <c r="B6395" t="s">
        <v>12</v>
      </c>
      <c r="C6395">
        <v>35</v>
      </c>
      <c r="D6395" t="s">
        <v>27</v>
      </c>
      <c r="E6395" t="s">
        <v>24</v>
      </c>
      <c r="F6395">
        <v>68</v>
      </c>
      <c r="G6395">
        <v>78</v>
      </c>
      <c r="H6395">
        <v>0.59</v>
      </c>
      <c r="I6395" t="s">
        <v>19</v>
      </c>
      <c r="J6395">
        <v>0</v>
      </c>
      <c r="K6395">
        <v>1</v>
      </c>
      <c r="L6395">
        <v>0</v>
      </c>
      <c r="M6395">
        <f>VLOOKUP(Table1[[#This Row],[subscription_type]],Plans!$A$1:$B$5,2,FALSE)</f>
        <v>4.99</v>
      </c>
      <c r="N6395">
        <f t="shared" si="99"/>
        <v>0</v>
      </c>
    </row>
    <row r="6396" spans="1:14" x14ac:dyDescent="0.35">
      <c r="A6396">
        <v>6395</v>
      </c>
      <c r="B6396" t="s">
        <v>20</v>
      </c>
      <c r="C6396">
        <v>47</v>
      </c>
      <c r="D6396" t="s">
        <v>28</v>
      </c>
      <c r="E6396" t="s">
        <v>22</v>
      </c>
      <c r="F6396">
        <v>46</v>
      </c>
      <c r="G6396">
        <v>54</v>
      </c>
      <c r="H6396">
        <v>0.2</v>
      </c>
      <c r="I6396" t="s">
        <v>15</v>
      </c>
      <c r="J6396">
        <v>0</v>
      </c>
      <c r="K6396">
        <v>1</v>
      </c>
      <c r="L6396">
        <v>1</v>
      </c>
      <c r="M6396">
        <f>VLOOKUP(Table1[[#This Row],[subscription_type]],Plans!$A$1:$B$5,2,FALSE)</f>
        <v>9.99</v>
      </c>
      <c r="N6396">
        <f t="shared" si="99"/>
        <v>9.99</v>
      </c>
    </row>
    <row r="6397" spans="1:14" x14ac:dyDescent="0.35">
      <c r="A6397">
        <v>6396</v>
      </c>
      <c r="B6397" t="s">
        <v>12</v>
      </c>
      <c r="C6397">
        <v>42</v>
      </c>
      <c r="D6397" t="s">
        <v>29</v>
      </c>
      <c r="E6397" t="s">
        <v>14</v>
      </c>
      <c r="F6397">
        <v>284</v>
      </c>
      <c r="G6397">
        <v>70</v>
      </c>
      <c r="H6397">
        <v>0.52</v>
      </c>
      <c r="I6397" t="s">
        <v>19</v>
      </c>
      <c r="J6397">
        <v>33</v>
      </c>
      <c r="K6397">
        <v>0</v>
      </c>
      <c r="L6397">
        <v>0</v>
      </c>
      <c r="M6397">
        <f>VLOOKUP(Table1[[#This Row],[subscription_type]],Plans!$A$1:$B$5,2,FALSE)</f>
        <v>0</v>
      </c>
      <c r="N6397">
        <f t="shared" si="99"/>
        <v>0</v>
      </c>
    </row>
    <row r="6398" spans="1:14" x14ac:dyDescent="0.35">
      <c r="A6398">
        <v>6397</v>
      </c>
      <c r="B6398" t="s">
        <v>16</v>
      </c>
      <c r="C6398">
        <v>44</v>
      </c>
      <c r="D6398" t="s">
        <v>25</v>
      </c>
      <c r="E6398" t="s">
        <v>24</v>
      </c>
      <c r="F6398">
        <v>118</v>
      </c>
      <c r="G6398">
        <v>3</v>
      </c>
      <c r="H6398">
        <v>0.25</v>
      </c>
      <c r="I6398" t="s">
        <v>15</v>
      </c>
      <c r="J6398">
        <v>0</v>
      </c>
      <c r="K6398">
        <v>1</v>
      </c>
      <c r="L6398">
        <v>0</v>
      </c>
      <c r="M6398">
        <f>VLOOKUP(Table1[[#This Row],[subscription_type]],Plans!$A$1:$B$5,2,FALSE)</f>
        <v>4.99</v>
      </c>
      <c r="N6398">
        <f t="shared" si="99"/>
        <v>0</v>
      </c>
    </row>
    <row r="6399" spans="1:14" x14ac:dyDescent="0.35">
      <c r="A6399">
        <v>6398</v>
      </c>
      <c r="B6399" t="s">
        <v>16</v>
      </c>
      <c r="C6399">
        <v>48</v>
      </c>
      <c r="D6399" t="s">
        <v>28</v>
      </c>
      <c r="E6399" t="s">
        <v>22</v>
      </c>
      <c r="F6399">
        <v>72</v>
      </c>
      <c r="G6399">
        <v>26</v>
      </c>
      <c r="H6399">
        <v>0.55000000000000004</v>
      </c>
      <c r="I6399" t="s">
        <v>19</v>
      </c>
      <c r="J6399">
        <v>0</v>
      </c>
      <c r="K6399">
        <v>1</v>
      </c>
      <c r="L6399">
        <v>1</v>
      </c>
      <c r="M6399">
        <f>VLOOKUP(Table1[[#This Row],[subscription_type]],Plans!$A$1:$B$5,2,FALSE)</f>
        <v>9.99</v>
      </c>
      <c r="N6399">
        <f t="shared" si="99"/>
        <v>9.99</v>
      </c>
    </row>
    <row r="6400" spans="1:14" x14ac:dyDescent="0.35">
      <c r="A6400">
        <v>6399</v>
      </c>
      <c r="B6400" t="s">
        <v>20</v>
      </c>
      <c r="C6400">
        <v>48</v>
      </c>
      <c r="D6400" t="s">
        <v>17</v>
      </c>
      <c r="E6400" t="s">
        <v>14</v>
      </c>
      <c r="F6400">
        <v>278</v>
      </c>
      <c r="G6400">
        <v>34</v>
      </c>
      <c r="H6400">
        <v>0.09</v>
      </c>
      <c r="I6400" t="s">
        <v>23</v>
      </c>
      <c r="J6400">
        <v>13</v>
      </c>
      <c r="K6400">
        <v>0</v>
      </c>
      <c r="L6400">
        <v>1</v>
      </c>
      <c r="M6400">
        <f>VLOOKUP(Table1[[#This Row],[subscription_type]],Plans!$A$1:$B$5,2,FALSE)</f>
        <v>0</v>
      </c>
      <c r="N6400">
        <f t="shared" si="99"/>
        <v>0</v>
      </c>
    </row>
    <row r="6401" spans="1:14" x14ac:dyDescent="0.35">
      <c r="A6401">
        <v>6400</v>
      </c>
      <c r="B6401" t="s">
        <v>16</v>
      </c>
      <c r="C6401">
        <v>49</v>
      </c>
      <c r="D6401" t="s">
        <v>29</v>
      </c>
      <c r="E6401" t="s">
        <v>18</v>
      </c>
      <c r="F6401">
        <v>173</v>
      </c>
      <c r="G6401">
        <v>98</v>
      </c>
      <c r="H6401">
        <v>0.19</v>
      </c>
      <c r="I6401" t="s">
        <v>23</v>
      </c>
      <c r="J6401">
        <v>0</v>
      </c>
      <c r="K6401">
        <v>1</v>
      </c>
      <c r="L6401">
        <v>1</v>
      </c>
      <c r="M6401">
        <f>VLOOKUP(Table1[[#This Row],[subscription_type]],Plans!$A$1:$B$5,2,FALSE)</f>
        <v>14.99</v>
      </c>
      <c r="N6401">
        <f t="shared" si="99"/>
        <v>14.99</v>
      </c>
    </row>
    <row r="6402" spans="1:14" x14ac:dyDescent="0.35">
      <c r="A6402">
        <v>6401</v>
      </c>
      <c r="B6402" t="s">
        <v>20</v>
      </c>
      <c r="C6402">
        <v>47</v>
      </c>
      <c r="D6402" t="s">
        <v>21</v>
      </c>
      <c r="E6402" t="s">
        <v>18</v>
      </c>
      <c r="F6402">
        <v>295</v>
      </c>
      <c r="G6402">
        <v>60</v>
      </c>
      <c r="H6402">
        <v>0.12</v>
      </c>
      <c r="I6402" t="s">
        <v>19</v>
      </c>
      <c r="J6402">
        <v>0</v>
      </c>
      <c r="K6402">
        <v>1</v>
      </c>
      <c r="L6402">
        <v>0</v>
      </c>
      <c r="M6402">
        <f>VLOOKUP(Table1[[#This Row],[subscription_type]],Plans!$A$1:$B$5,2,FALSE)</f>
        <v>14.99</v>
      </c>
      <c r="N6402">
        <f t="shared" ref="N6402:N6465" si="100">IF(L6402=1, M6402,0)</f>
        <v>0</v>
      </c>
    </row>
    <row r="6403" spans="1:14" x14ac:dyDescent="0.35">
      <c r="A6403">
        <v>6402</v>
      </c>
      <c r="B6403" t="s">
        <v>16</v>
      </c>
      <c r="C6403">
        <v>58</v>
      </c>
      <c r="D6403" t="s">
        <v>25</v>
      </c>
      <c r="E6403" t="s">
        <v>18</v>
      </c>
      <c r="F6403">
        <v>251</v>
      </c>
      <c r="G6403">
        <v>82</v>
      </c>
      <c r="H6403">
        <v>0.18</v>
      </c>
      <c r="I6403" t="s">
        <v>15</v>
      </c>
      <c r="J6403">
        <v>0</v>
      </c>
      <c r="K6403">
        <v>1</v>
      </c>
      <c r="L6403">
        <v>0</v>
      </c>
      <c r="M6403">
        <f>VLOOKUP(Table1[[#This Row],[subscription_type]],Plans!$A$1:$B$5,2,FALSE)</f>
        <v>14.99</v>
      </c>
      <c r="N6403">
        <f t="shared" si="100"/>
        <v>0</v>
      </c>
    </row>
    <row r="6404" spans="1:14" x14ac:dyDescent="0.35">
      <c r="A6404">
        <v>6403</v>
      </c>
      <c r="B6404" t="s">
        <v>20</v>
      </c>
      <c r="C6404">
        <v>20</v>
      </c>
      <c r="D6404" t="s">
        <v>17</v>
      </c>
      <c r="E6404" t="s">
        <v>18</v>
      </c>
      <c r="F6404">
        <v>138</v>
      </c>
      <c r="G6404">
        <v>6</v>
      </c>
      <c r="H6404">
        <v>0.44</v>
      </c>
      <c r="I6404" t="s">
        <v>19</v>
      </c>
      <c r="J6404">
        <v>0</v>
      </c>
      <c r="K6404">
        <v>1</v>
      </c>
      <c r="L6404">
        <v>0</v>
      </c>
      <c r="M6404">
        <f>VLOOKUP(Table1[[#This Row],[subscription_type]],Plans!$A$1:$B$5,2,FALSE)</f>
        <v>14.99</v>
      </c>
      <c r="N6404">
        <f t="shared" si="100"/>
        <v>0</v>
      </c>
    </row>
    <row r="6405" spans="1:14" x14ac:dyDescent="0.35">
      <c r="A6405">
        <v>6404</v>
      </c>
      <c r="B6405" t="s">
        <v>20</v>
      </c>
      <c r="C6405">
        <v>47</v>
      </c>
      <c r="D6405" t="s">
        <v>26</v>
      </c>
      <c r="E6405" t="s">
        <v>14</v>
      </c>
      <c r="F6405">
        <v>119</v>
      </c>
      <c r="G6405">
        <v>24</v>
      </c>
      <c r="H6405">
        <v>0.47</v>
      </c>
      <c r="I6405" t="s">
        <v>15</v>
      </c>
      <c r="J6405">
        <v>14</v>
      </c>
      <c r="K6405">
        <v>0</v>
      </c>
      <c r="L6405">
        <v>0</v>
      </c>
      <c r="M6405">
        <f>VLOOKUP(Table1[[#This Row],[subscription_type]],Plans!$A$1:$B$5,2,FALSE)</f>
        <v>0</v>
      </c>
      <c r="N6405">
        <f t="shared" si="100"/>
        <v>0</v>
      </c>
    </row>
    <row r="6406" spans="1:14" x14ac:dyDescent="0.35">
      <c r="A6406">
        <v>6405</v>
      </c>
      <c r="B6406" t="s">
        <v>12</v>
      </c>
      <c r="C6406">
        <v>44</v>
      </c>
      <c r="D6406" t="s">
        <v>21</v>
      </c>
      <c r="E6406" t="s">
        <v>22</v>
      </c>
      <c r="F6406">
        <v>43</v>
      </c>
      <c r="G6406">
        <v>82</v>
      </c>
      <c r="H6406">
        <v>0.48</v>
      </c>
      <c r="I6406" t="s">
        <v>23</v>
      </c>
      <c r="J6406">
        <v>0</v>
      </c>
      <c r="K6406">
        <v>1</v>
      </c>
      <c r="L6406">
        <v>1</v>
      </c>
      <c r="M6406">
        <f>VLOOKUP(Table1[[#This Row],[subscription_type]],Plans!$A$1:$B$5,2,FALSE)</f>
        <v>9.99</v>
      </c>
      <c r="N6406">
        <f t="shared" si="100"/>
        <v>9.99</v>
      </c>
    </row>
    <row r="6407" spans="1:14" x14ac:dyDescent="0.35">
      <c r="A6407">
        <v>6406</v>
      </c>
      <c r="B6407" t="s">
        <v>16</v>
      </c>
      <c r="C6407">
        <v>34</v>
      </c>
      <c r="D6407" t="s">
        <v>28</v>
      </c>
      <c r="E6407" t="s">
        <v>14</v>
      </c>
      <c r="F6407">
        <v>152</v>
      </c>
      <c r="G6407">
        <v>22</v>
      </c>
      <c r="H6407">
        <v>0.04</v>
      </c>
      <c r="I6407" t="s">
        <v>19</v>
      </c>
      <c r="J6407">
        <v>14</v>
      </c>
      <c r="K6407">
        <v>0</v>
      </c>
      <c r="L6407">
        <v>0</v>
      </c>
      <c r="M6407">
        <f>VLOOKUP(Table1[[#This Row],[subscription_type]],Plans!$A$1:$B$5,2,FALSE)</f>
        <v>0</v>
      </c>
      <c r="N6407">
        <f t="shared" si="100"/>
        <v>0</v>
      </c>
    </row>
    <row r="6408" spans="1:14" x14ac:dyDescent="0.35">
      <c r="A6408">
        <v>6407</v>
      </c>
      <c r="B6408" t="s">
        <v>16</v>
      </c>
      <c r="C6408">
        <v>24</v>
      </c>
      <c r="D6408" t="s">
        <v>26</v>
      </c>
      <c r="E6408" t="s">
        <v>24</v>
      </c>
      <c r="F6408">
        <v>75</v>
      </c>
      <c r="G6408">
        <v>29</v>
      </c>
      <c r="H6408">
        <v>0.26</v>
      </c>
      <c r="I6408" t="s">
        <v>23</v>
      </c>
      <c r="J6408">
        <v>0</v>
      </c>
      <c r="K6408">
        <v>1</v>
      </c>
      <c r="L6408">
        <v>0</v>
      </c>
      <c r="M6408">
        <f>VLOOKUP(Table1[[#This Row],[subscription_type]],Plans!$A$1:$B$5,2,FALSE)</f>
        <v>4.99</v>
      </c>
      <c r="N6408">
        <f t="shared" si="100"/>
        <v>0</v>
      </c>
    </row>
    <row r="6409" spans="1:14" x14ac:dyDescent="0.35">
      <c r="A6409">
        <v>6408</v>
      </c>
      <c r="B6409" t="s">
        <v>12</v>
      </c>
      <c r="C6409">
        <v>21</v>
      </c>
      <c r="D6409" t="s">
        <v>28</v>
      </c>
      <c r="E6409" t="s">
        <v>22</v>
      </c>
      <c r="F6409">
        <v>108</v>
      </c>
      <c r="G6409">
        <v>93</v>
      </c>
      <c r="H6409">
        <v>0.24</v>
      </c>
      <c r="I6409" t="s">
        <v>19</v>
      </c>
      <c r="J6409">
        <v>0</v>
      </c>
      <c r="K6409">
        <v>1</v>
      </c>
      <c r="L6409">
        <v>0</v>
      </c>
      <c r="M6409">
        <f>VLOOKUP(Table1[[#This Row],[subscription_type]],Plans!$A$1:$B$5,2,FALSE)</f>
        <v>9.99</v>
      </c>
      <c r="N6409">
        <f t="shared" si="100"/>
        <v>0</v>
      </c>
    </row>
    <row r="6410" spans="1:14" x14ac:dyDescent="0.35">
      <c r="A6410">
        <v>6409</v>
      </c>
      <c r="B6410" t="s">
        <v>12</v>
      </c>
      <c r="C6410">
        <v>21</v>
      </c>
      <c r="D6410" t="s">
        <v>25</v>
      </c>
      <c r="E6410" t="s">
        <v>18</v>
      </c>
      <c r="F6410">
        <v>126</v>
      </c>
      <c r="G6410">
        <v>96</v>
      </c>
      <c r="H6410">
        <v>0.02</v>
      </c>
      <c r="I6410" t="s">
        <v>23</v>
      </c>
      <c r="J6410">
        <v>0</v>
      </c>
      <c r="K6410">
        <v>1</v>
      </c>
      <c r="L6410">
        <v>0</v>
      </c>
      <c r="M6410">
        <f>VLOOKUP(Table1[[#This Row],[subscription_type]],Plans!$A$1:$B$5,2,FALSE)</f>
        <v>14.99</v>
      </c>
      <c r="N6410">
        <f t="shared" si="100"/>
        <v>0</v>
      </c>
    </row>
    <row r="6411" spans="1:14" x14ac:dyDescent="0.35">
      <c r="A6411">
        <v>6410</v>
      </c>
      <c r="B6411" t="s">
        <v>20</v>
      </c>
      <c r="C6411">
        <v>55</v>
      </c>
      <c r="D6411" t="s">
        <v>29</v>
      </c>
      <c r="E6411" t="s">
        <v>18</v>
      </c>
      <c r="F6411">
        <v>160</v>
      </c>
      <c r="G6411">
        <v>81</v>
      </c>
      <c r="H6411">
        <v>0.42</v>
      </c>
      <c r="I6411" t="s">
        <v>23</v>
      </c>
      <c r="J6411">
        <v>0</v>
      </c>
      <c r="K6411">
        <v>1</v>
      </c>
      <c r="L6411">
        <v>1</v>
      </c>
      <c r="M6411">
        <f>VLOOKUP(Table1[[#This Row],[subscription_type]],Plans!$A$1:$B$5,2,FALSE)</f>
        <v>14.99</v>
      </c>
      <c r="N6411">
        <f t="shared" si="100"/>
        <v>14.99</v>
      </c>
    </row>
    <row r="6412" spans="1:14" x14ac:dyDescent="0.35">
      <c r="A6412">
        <v>6411</v>
      </c>
      <c r="B6412" t="s">
        <v>20</v>
      </c>
      <c r="C6412">
        <v>30</v>
      </c>
      <c r="D6412" t="s">
        <v>21</v>
      </c>
      <c r="E6412" t="s">
        <v>14</v>
      </c>
      <c r="F6412">
        <v>26</v>
      </c>
      <c r="G6412">
        <v>15</v>
      </c>
      <c r="H6412">
        <v>0.59</v>
      </c>
      <c r="I6412" t="s">
        <v>23</v>
      </c>
      <c r="J6412">
        <v>27</v>
      </c>
      <c r="K6412">
        <v>0</v>
      </c>
      <c r="L6412">
        <v>0</v>
      </c>
      <c r="M6412">
        <f>VLOOKUP(Table1[[#This Row],[subscription_type]],Plans!$A$1:$B$5,2,FALSE)</f>
        <v>0</v>
      </c>
      <c r="N6412">
        <f t="shared" si="100"/>
        <v>0</v>
      </c>
    </row>
    <row r="6413" spans="1:14" x14ac:dyDescent="0.35">
      <c r="A6413">
        <v>6412</v>
      </c>
      <c r="B6413" t="s">
        <v>20</v>
      </c>
      <c r="C6413">
        <v>41</v>
      </c>
      <c r="D6413" t="s">
        <v>13</v>
      </c>
      <c r="E6413" t="s">
        <v>24</v>
      </c>
      <c r="F6413">
        <v>64</v>
      </c>
      <c r="G6413">
        <v>88</v>
      </c>
      <c r="H6413">
        <v>0.33</v>
      </c>
      <c r="I6413" t="s">
        <v>19</v>
      </c>
      <c r="J6413">
        <v>0</v>
      </c>
      <c r="K6413">
        <v>1</v>
      </c>
      <c r="L6413">
        <v>1</v>
      </c>
      <c r="M6413">
        <f>VLOOKUP(Table1[[#This Row],[subscription_type]],Plans!$A$1:$B$5,2,FALSE)</f>
        <v>4.99</v>
      </c>
      <c r="N6413">
        <f t="shared" si="100"/>
        <v>4.99</v>
      </c>
    </row>
    <row r="6414" spans="1:14" x14ac:dyDescent="0.35">
      <c r="A6414">
        <v>6413</v>
      </c>
      <c r="B6414" t="s">
        <v>16</v>
      </c>
      <c r="C6414">
        <v>31</v>
      </c>
      <c r="D6414" t="s">
        <v>28</v>
      </c>
      <c r="E6414" t="s">
        <v>24</v>
      </c>
      <c r="F6414">
        <v>299</v>
      </c>
      <c r="G6414">
        <v>52</v>
      </c>
      <c r="H6414">
        <v>0.21</v>
      </c>
      <c r="I6414" t="s">
        <v>15</v>
      </c>
      <c r="J6414">
        <v>0</v>
      </c>
      <c r="K6414">
        <v>1</v>
      </c>
      <c r="L6414">
        <v>0</v>
      </c>
      <c r="M6414">
        <f>VLOOKUP(Table1[[#This Row],[subscription_type]],Plans!$A$1:$B$5,2,FALSE)</f>
        <v>4.99</v>
      </c>
      <c r="N6414">
        <f t="shared" si="100"/>
        <v>0</v>
      </c>
    </row>
    <row r="6415" spans="1:14" x14ac:dyDescent="0.35">
      <c r="A6415">
        <v>6414</v>
      </c>
      <c r="B6415" t="s">
        <v>12</v>
      </c>
      <c r="C6415">
        <v>26</v>
      </c>
      <c r="D6415" t="s">
        <v>26</v>
      </c>
      <c r="E6415" t="s">
        <v>14</v>
      </c>
      <c r="F6415">
        <v>94</v>
      </c>
      <c r="G6415">
        <v>34</v>
      </c>
      <c r="H6415">
        <v>0.12</v>
      </c>
      <c r="I6415" t="s">
        <v>19</v>
      </c>
      <c r="J6415">
        <v>15</v>
      </c>
      <c r="K6415">
        <v>0</v>
      </c>
      <c r="L6415">
        <v>1</v>
      </c>
      <c r="M6415">
        <f>VLOOKUP(Table1[[#This Row],[subscription_type]],Plans!$A$1:$B$5,2,FALSE)</f>
        <v>0</v>
      </c>
      <c r="N6415">
        <f t="shared" si="100"/>
        <v>0</v>
      </c>
    </row>
    <row r="6416" spans="1:14" x14ac:dyDescent="0.35">
      <c r="A6416">
        <v>6415</v>
      </c>
      <c r="B6416" t="s">
        <v>20</v>
      </c>
      <c r="C6416">
        <v>17</v>
      </c>
      <c r="D6416" t="s">
        <v>17</v>
      </c>
      <c r="E6416" t="s">
        <v>18</v>
      </c>
      <c r="F6416">
        <v>191</v>
      </c>
      <c r="G6416">
        <v>24</v>
      </c>
      <c r="H6416">
        <v>0.02</v>
      </c>
      <c r="I6416" t="s">
        <v>19</v>
      </c>
      <c r="J6416">
        <v>0</v>
      </c>
      <c r="K6416">
        <v>1</v>
      </c>
      <c r="L6416">
        <v>0</v>
      </c>
      <c r="M6416">
        <f>VLOOKUP(Table1[[#This Row],[subscription_type]],Plans!$A$1:$B$5,2,FALSE)</f>
        <v>14.99</v>
      </c>
      <c r="N6416">
        <f t="shared" si="100"/>
        <v>0</v>
      </c>
    </row>
    <row r="6417" spans="1:14" x14ac:dyDescent="0.35">
      <c r="A6417">
        <v>6416</v>
      </c>
      <c r="B6417" t="s">
        <v>12</v>
      </c>
      <c r="C6417">
        <v>49</v>
      </c>
      <c r="D6417" t="s">
        <v>28</v>
      </c>
      <c r="E6417" t="s">
        <v>18</v>
      </c>
      <c r="F6417">
        <v>133</v>
      </c>
      <c r="G6417">
        <v>38</v>
      </c>
      <c r="H6417">
        <v>0.33</v>
      </c>
      <c r="I6417" t="s">
        <v>15</v>
      </c>
      <c r="J6417">
        <v>0</v>
      </c>
      <c r="K6417">
        <v>1</v>
      </c>
      <c r="L6417">
        <v>0</v>
      </c>
      <c r="M6417">
        <f>VLOOKUP(Table1[[#This Row],[subscription_type]],Plans!$A$1:$B$5,2,FALSE)</f>
        <v>14.99</v>
      </c>
      <c r="N6417">
        <f t="shared" si="100"/>
        <v>0</v>
      </c>
    </row>
    <row r="6418" spans="1:14" x14ac:dyDescent="0.35">
      <c r="A6418">
        <v>6417</v>
      </c>
      <c r="B6418" t="s">
        <v>20</v>
      </c>
      <c r="C6418">
        <v>51</v>
      </c>
      <c r="D6418" t="s">
        <v>28</v>
      </c>
      <c r="E6418" t="s">
        <v>18</v>
      </c>
      <c r="F6418">
        <v>92</v>
      </c>
      <c r="G6418">
        <v>58</v>
      </c>
      <c r="H6418">
        <v>0</v>
      </c>
      <c r="I6418" t="s">
        <v>15</v>
      </c>
      <c r="J6418">
        <v>0</v>
      </c>
      <c r="K6418">
        <v>1</v>
      </c>
      <c r="L6418">
        <v>0</v>
      </c>
      <c r="M6418">
        <f>VLOOKUP(Table1[[#This Row],[subscription_type]],Plans!$A$1:$B$5,2,FALSE)</f>
        <v>14.99</v>
      </c>
      <c r="N6418">
        <f t="shared" si="100"/>
        <v>0</v>
      </c>
    </row>
    <row r="6419" spans="1:14" x14ac:dyDescent="0.35">
      <c r="A6419">
        <v>6418</v>
      </c>
      <c r="B6419" t="s">
        <v>20</v>
      </c>
      <c r="C6419">
        <v>32</v>
      </c>
      <c r="D6419" t="s">
        <v>25</v>
      </c>
      <c r="E6419" t="s">
        <v>14</v>
      </c>
      <c r="F6419">
        <v>28</v>
      </c>
      <c r="G6419">
        <v>11</v>
      </c>
      <c r="H6419">
        <v>0.19</v>
      </c>
      <c r="I6419" t="s">
        <v>23</v>
      </c>
      <c r="J6419">
        <v>41</v>
      </c>
      <c r="K6419">
        <v>0</v>
      </c>
      <c r="L6419">
        <v>0</v>
      </c>
      <c r="M6419">
        <f>VLOOKUP(Table1[[#This Row],[subscription_type]],Plans!$A$1:$B$5,2,FALSE)</f>
        <v>0</v>
      </c>
      <c r="N6419">
        <f t="shared" si="100"/>
        <v>0</v>
      </c>
    </row>
    <row r="6420" spans="1:14" x14ac:dyDescent="0.35">
      <c r="A6420">
        <v>6419</v>
      </c>
      <c r="B6420" t="s">
        <v>16</v>
      </c>
      <c r="C6420">
        <v>57</v>
      </c>
      <c r="D6420" t="s">
        <v>28</v>
      </c>
      <c r="E6420" t="s">
        <v>22</v>
      </c>
      <c r="F6420">
        <v>22</v>
      </c>
      <c r="G6420">
        <v>2</v>
      </c>
      <c r="H6420">
        <v>0.18</v>
      </c>
      <c r="I6420" t="s">
        <v>19</v>
      </c>
      <c r="J6420">
        <v>0</v>
      </c>
      <c r="K6420">
        <v>1</v>
      </c>
      <c r="L6420">
        <v>0</v>
      </c>
      <c r="M6420">
        <f>VLOOKUP(Table1[[#This Row],[subscription_type]],Plans!$A$1:$B$5,2,FALSE)</f>
        <v>9.99</v>
      </c>
      <c r="N6420">
        <f t="shared" si="100"/>
        <v>0</v>
      </c>
    </row>
    <row r="6421" spans="1:14" x14ac:dyDescent="0.35">
      <c r="A6421">
        <v>6420</v>
      </c>
      <c r="B6421" t="s">
        <v>12</v>
      </c>
      <c r="C6421">
        <v>59</v>
      </c>
      <c r="D6421" t="s">
        <v>29</v>
      </c>
      <c r="E6421" t="s">
        <v>22</v>
      </c>
      <c r="F6421">
        <v>146</v>
      </c>
      <c r="G6421">
        <v>70</v>
      </c>
      <c r="H6421">
        <v>0.57999999999999996</v>
      </c>
      <c r="I6421" t="s">
        <v>15</v>
      </c>
      <c r="J6421">
        <v>0</v>
      </c>
      <c r="K6421">
        <v>1</v>
      </c>
      <c r="L6421">
        <v>0</v>
      </c>
      <c r="M6421">
        <f>VLOOKUP(Table1[[#This Row],[subscription_type]],Plans!$A$1:$B$5,2,FALSE)</f>
        <v>9.99</v>
      </c>
      <c r="N6421">
        <f t="shared" si="100"/>
        <v>0</v>
      </c>
    </row>
    <row r="6422" spans="1:14" x14ac:dyDescent="0.35">
      <c r="A6422">
        <v>6421</v>
      </c>
      <c r="B6422" t="s">
        <v>16</v>
      </c>
      <c r="C6422">
        <v>53</v>
      </c>
      <c r="D6422" t="s">
        <v>25</v>
      </c>
      <c r="E6422" t="s">
        <v>18</v>
      </c>
      <c r="F6422">
        <v>201</v>
      </c>
      <c r="G6422">
        <v>19</v>
      </c>
      <c r="H6422">
        <v>0.15</v>
      </c>
      <c r="I6422" t="s">
        <v>19</v>
      </c>
      <c r="J6422">
        <v>0</v>
      </c>
      <c r="K6422">
        <v>1</v>
      </c>
      <c r="L6422">
        <v>0</v>
      </c>
      <c r="M6422">
        <f>VLOOKUP(Table1[[#This Row],[subscription_type]],Plans!$A$1:$B$5,2,FALSE)</f>
        <v>14.99</v>
      </c>
      <c r="N6422">
        <f t="shared" si="100"/>
        <v>0</v>
      </c>
    </row>
    <row r="6423" spans="1:14" x14ac:dyDescent="0.35">
      <c r="A6423">
        <v>6422</v>
      </c>
      <c r="B6423" t="s">
        <v>20</v>
      </c>
      <c r="C6423">
        <v>57</v>
      </c>
      <c r="D6423" t="s">
        <v>13</v>
      </c>
      <c r="E6423" t="s">
        <v>24</v>
      </c>
      <c r="F6423">
        <v>211</v>
      </c>
      <c r="G6423">
        <v>7</v>
      </c>
      <c r="H6423">
        <v>0.6</v>
      </c>
      <c r="I6423" t="s">
        <v>19</v>
      </c>
      <c r="J6423">
        <v>0</v>
      </c>
      <c r="K6423">
        <v>1</v>
      </c>
      <c r="L6423">
        <v>0</v>
      </c>
      <c r="M6423">
        <f>VLOOKUP(Table1[[#This Row],[subscription_type]],Plans!$A$1:$B$5,2,FALSE)</f>
        <v>4.99</v>
      </c>
      <c r="N6423">
        <f t="shared" si="100"/>
        <v>0</v>
      </c>
    </row>
    <row r="6424" spans="1:14" x14ac:dyDescent="0.35">
      <c r="A6424">
        <v>6423</v>
      </c>
      <c r="B6424" t="s">
        <v>20</v>
      </c>
      <c r="C6424">
        <v>54</v>
      </c>
      <c r="D6424" t="s">
        <v>26</v>
      </c>
      <c r="E6424" t="s">
        <v>14</v>
      </c>
      <c r="F6424">
        <v>185</v>
      </c>
      <c r="G6424">
        <v>20</v>
      </c>
      <c r="H6424">
        <v>0.02</v>
      </c>
      <c r="I6424" t="s">
        <v>19</v>
      </c>
      <c r="J6424">
        <v>24</v>
      </c>
      <c r="K6424">
        <v>0</v>
      </c>
      <c r="L6424">
        <v>0</v>
      </c>
      <c r="M6424">
        <f>VLOOKUP(Table1[[#This Row],[subscription_type]],Plans!$A$1:$B$5,2,FALSE)</f>
        <v>0</v>
      </c>
      <c r="N6424">
        <f t="shared" si="100"/>
        <v>0</v>
      </c>
    </row>
    <row r="6425" spans="1:14" x14ac:dyDescent="0.35">
      <c r="A6425">
        <v>6424</v>
      </c>
      <c r="B6425" t="s">
        <v>16</v>
      </c>
      <c r="C6425">
        <v>21</v>
      </c>
      <c r="D6425" t="s">
        <v>26</v>
      </c>
      <c r="E6425" t="s">
        <v>24</v>
      </c>
      <c r="F6425">
        <v>61</v>
      </c>
      <c r="G6425">
        <v>13</v>
      </c>
      <c r="H6425">
        <v>0.6</v>
      </c>
      <c r="I6425" t="s">
        <v>15</v>
      </c>
      <c r="J6425">
        <v>0</v>
      </c>
      <c r="K6425">
        <v>1</v>
      </c>
      <c r="L6425">
        <v>0</v>
      </c>
      <c r="M6425">
        <f>VLOOKUP(Table1[[#This Row],[subscription_type]],Plans!$A$1:$B$5,2,FALSE)</f>
        <v>4.99</v>
      </c>
      <c r="N6425">
        <f t="shared" si="100"/>
        <v>0</v>
      </c>
    </row>
    <row r="6426" spans="1:14" x14ac:dyDescent="0.35">
      <c r="A6426">
        <v>6425</v>
      </c>
      <c r="B6426" t="s">
        <v>12</v>
      </c>
      <c r="C6426">
        <v>31</v>
      </c>
      <c r="D6426" t="s">
        <v>21</v>
      </c>
      <c r="E6426" t="s">
        <v>22</v>
      </c>
      <c r="F6426">
        <v>56</v>
      </c>
      <c r="G6426">
        <v>19</v>
      </c>
      <c r="H6426">
        <v>0.47</v>
      </c>
      <c r="I6426" t="s">
        <v>19</v>
      </c>
      <c r="J6426">
        <v>0</v>
      </c>
      <c r="K6426">
        <v>1</v>
      </c>
      <c r="L6426">
        <v>1</v>
      </c>
      <c r="M6426">
        <f>VLOOKUP(Table1[[#This Row],[subscription_type]],Plans!$A$1:$B$5,2,FALSE)</f>
        <v>9.99</v>
      </c>
      <c r="N6426">
        <f t="shared" si="100"/>
        <v>9.99</v>
      </c>
    </row>
    <row r="6427" spans="1:14" x14ac:dyDescent="0.35">
      <c r="A6427">
        <v>6426</v>
      </c>
      <c r="B6427" t="s">
        <v>12</v>
      </c>
      <c r="C6427">
        <v>28</v>
      </c>
      <c r="D6427" t="s">
        <v>28</v>
      </c>
      <c r="E6427" t="s">
        <v>18</v>
      </c>
      <c r="F6427">
        <v>225</v>
      </c>
      <c r="G6427">
        <v>73</v>
      </c>
      <c r="H6427">
        <v>0.35</v>
      </c>
      <c r="I6427" t="s">
        <v>23</v>
      </c>
      <c r="J6427">
        <v>0</v>
      </c>
      <c r="K6427">
        <v>1</v>
      </c>
      <c r="L6427">
        <v>1</v>
      </c>
      <c r="M6427">
        <f>VLOOKUP(Table1[[#This Row],[subscription_type]],Plans!$A$1:$B$5,2,FALSE)</f>
        <v>14.99</v>
      </c>
      <c r="N6427">
        <f t="shared" si="100"/>
        <v>14.99</v>
      </c>
    </row>
    <row r="6428" spans="1:14" x14ac:dyDescent="0.35">
      <c r="A6428">
        <v>6427</v>
      </c>
      <c r="B6428" t="s">
        <v>16</v>
      </c>
      <c r="C6428">
        <v>46</v>
      </c>
      <c r="D6428" t="s">
        <v>26</v>
      </c>
      <c r="E6428" t="s">
        <v>14</v>
      </c>
      <c r="F6428">
        <v>126</v>
      </c>
      <c r="G6428">
        <v>98</v>
      </c>
      <c r="H6428">
        <v>0.03</v>
      </c>
      <c r="I6428" t="s">
        <v>19</v>
      </c>
      <c r="J6428">
        <v>9</v>
      </c>
      <c r="K6428">
        <v>0</v>
      </c>
      <c r="L6428">
        <v>0</v>
      </c>
      <c r="M6428">
        <f>VLOOKUP(Table1[[#This Row],[subscription_type]],Plans!$A$1:$B$5,2,FALSE)</f>
        <v>0</v>
      </c>
      <c r="N6428">
        <f t="shared" si="100"/>
        <v>0</v>
      </c>
    </row>
    <row r="6429" spans="1:14" x14ac:dyDescent="0.35">
      <c r="A6429">
        <v>6428</v>
      </c>
      <c r="B6429" t="s">
        <v>12</v>
      </c>
      <c r="C6429">
        <v>23</v>
      </c>
      <c r="D6429" t="s">
        <v>25</v>
      </c>
      <c r="E6429" t="s">
        <v>14</v>
      </c>
      <c r="F6429">
        <v>203</v>
      </c>
      <c r="G6429">
        <v>32</v>
      </c>
      <c r="H6429">
        <v>0.35</v>
      </c>
      <c r="I6429" t="s">
        <v>15</v>
      </c>
      <c r="J6429">
        <v>48</v>
      </c>
      <c r="K6429">
        <v>0</v>
      </c>
      <c r="L6429">
        <v>0</v>
      </c>
      <c r="M6429">
        <f>VLOOKUP(Table1[[#This Row],[subscription_type]],Plans!$A$1:$B$5,2,FALSE)</f>
        <v>0</v>
      </c>
      <c r="N6429">
        <f t="shared" si="100"/>
        <v>0</v>
      </c>
    </row>
    <row r="6430" spans="1:14" x14ac:dyDescent="0.35">
      <c r="A6430">
        <v>6429</v>
      </c>
      <c r="B6430" t="s">
        <v>12</v>
      </c>
      <c r="C6430">
        <v>47</v>
      </c>
      <c r="D6430" t="s">
        <v>29</v>
      </c>
      <c r="E6430" t="s">
        <v>14</v>
      </c>
      <c r="F6430">
        <v>114</v>
      </c>
      <c r="G6430">
        <v>86</v>
      </c>
      <c r="H6430">
        <v>0.16</v>
      </c>
      <c r="I6430" t="s">
        <v>23</v>
      </c>
      <c r="J6430">
        <v>20</v>
      </c>
      <c r="K6430">
        <v>0</v>
      </c>
      <c r="L6430">
        <v>0</v>
      </c>
      <c r="M6430">
        <f>VLOOKUP(Table1[[#This Row],[subscription_type]],Plans!$A$1:$B$5,2,FALSE)</f>
        <v>0</v>
      </c>
      <c r="N6430">
        <f t="shared" si="100"/>
        <v>0</v>
      </c>
    </row>
    <row r="6431" spans="1:14" x14ac:dyDescent="0.35">
      <c r="A6431">
        <v>6430</v>
      </c>
      <c r="B6431" t="s">
        <v>16</v>
      </c>
      <c r="C6431">
        <v>38</v>
      </c>
      <c r="D6431" t="s">
        <v>13</v>
      </c>
      <c r="E6431" t="s">
        <v>14</v>
      </c>
      <c r="F6431">
        <v>279</v>
      </c>
      <c r="G6431">
        <v>83</v>
      </c>
      <c r="H6431">
        <v>0.55000000000000004</v>
      </c>
      <c r="I6431" t="s">
        <v>23</v>
      </c>
      <c r="J6431">
        <v>18</v>
      </c>
      <c r="K6431">
        <v>0</v>
      </c>
      <c r="L6431">
        <v>0</v>
      </c>
      <c r="M6431">
        <f>VLOOKUP(Table1[[#This Row],[subscription_type]],Plans!$A$1:$B$5,2,FALSE)</f>
        <v>0</v>
      </c>
      <c r="N6431">
        <f t="shared" si="100"/>
        <v>0</v>
      </c>
    </row>
    <row r="6432" spans="1:14" x14ac:dyDescent="0.35">
      <c r="A6432">
        <v>6431</v>
      </c>
      <c r="B6432" t="s">
        <v>12</v>
      </c>
      <c r="C6432">
        <v>45</v>
      </c>
      <c r="D6432" t="s">
        <v>21</v>
      </c>
      <c r="E6432" t="s">
        <v>22</v>
      </c>
      <c r="F6432">
        <v>83</v>
      </c>
      <c r="G6432">
        <v>40</v>
      </c>
      <c r="H6432">
        <v>0.52</v>
      </c>
      <c r="I6432" t="s">
        <v>19</v>
      </c>
      <c r="J6432">
        <v>0</v>
      </c>
      <c r="K6432">
        <v>1</v>
      </c>
      <c r="L6432">
        <v>0</v>
      </c>
      <c r="M6432">
        <f>VLOOKUP(Table1[[#This Row],[subscription_type]],Plans!$A$1:$B$5,2,FALSE)</f>
        <v>9.99</v>
      </c>
      <c r="N6432">
        <f t="shared" si="100"/>
        <v>0</v>
      </c>
    </row>
    <row r="6433" spans="1:14" x14ac:dyDescent="0.35">
      <c r="A6433">
        <v>6432</v>
      </c>
      <c r="B6433" t="s">
        <v>12</v>
      </c>
      <c r="C6433">
        <v>49</v>
      </c>
      <c r="D6433" t="s">
        <v>21</v>
      </c>
      <c r="E6433" t="s">
        <v>18</v>
      </c>
      <c r="F6433">
        <v>55</v>
      </c>
      <c r="G6433">
        <v>12</v>
      </c>
      <c r="H6433">
        <v>0.21</v>
      </c>
      <c r="I6433" t="s">
        <v>19</v>
      </c>
      <c r="J6433">
        <v>0</v>
      </c>
      <c r="K6433">
        <v>1</v>
      </c>
      <c r="L6433">
        <v>0</v>
      </c>
      <c r="M6433">
        <f>VLOOKUP(Table1[[#This Row],[subscription_type]],Plans!$A$1:$B$5,2,FALSE)</f>
        <v>14.99</v>
      </c>
      <c r="N6433">
        <f t="shared" si="100"/>
        <v>0</v>
      </c>
    </row>
    <row r="6434" spans="1:14" x14ac:dyDescent="0.35">
      <c r="A6434">
        <v>6433</v>
      </c>
      <c r="B6434" t="s">
        <v>20</v>
      </c>
      <c r="C6434">
        <v>43</v>
      </c>
      <c r="D6434" t="s">
        <v>27</v>
      </c>
      <c r="E6434" t="s">
        <v>14</v>
      </c>
      <c r="F6434">
        <v>205</v>
      </c>
      <c r="G6434">
        <v>12</v>
      </c>
      <c r="H6434">
        <v>0.08</v>
      </c>
      <c r="I6434" t="s">
        <v>19</v>
      </c>
      <c r="J6434">
        <v>26</v>
      </c>
      <c r="K6434">
        <v>0</v>
      </c>
      <c r="L6434">
        <v>1</v>
      </c>
      <c r="M6434">
        <f>VLOOKUP(Table1[[#This Row],[subscription_type]],Plans!$A$1:$B$5,2,FALSE)</f>
        <v>0</v>
      </c>
      <c r="N6434">
        <f t="shared" si="100"/>
        <v>0</v>
      </c>
    </row>
    <row r="6435" spans="1:14" x14ac:dyDescent="0.35">
      <c r="A6435">
        <v>6434</v>
      </c>
      <c r="B6435" t="s">
        <v>16</v>
      </c>
      <c r="C6435">
        <v>45</v>
      </c>
      <c r="D6435" t="s">
        <v>21</v>
      </c>
      <c r="E6435" t="s">
        <v>24</v>
      </c>
      <c r="F6435">
        <v>93</v>
      </c>
      <c r="G6435">
        <v>96</v>
      </c>
      <c r="H6435">
        <v>0.5</v>
      </c>
      <c r="I6435" t="s">
        <v>23</v>
      </c>
      <c r="J6435">
        <v>0</v>
      </c>
      <c r="K6435">
        <v>1</v>
      </c>
      <c r="L6435">
        <v>0</v>
      </c>
      <c r="M6435">
        <f>VLOOKUP(Table1[[#This Row],[subscription_type]],Plans!$A$1:$B$5,2,FALSE)</f>
        <v>4.99</v>
      </c>
      <c r="N6435">
        <f t="shared" si="100"/>
        <v>0</v>
      </c>
    </row>
    <row r="6436" spans="1:14" x14ac:dyDescent="0.35">
      <c r="A6436">
        <v>6435</v>
      </c>
      <c r="B6436" t="s">
        <v>12</v>
      </c>
      <c r="C6436">
        <v>57</v>
      </c>
      <c r="D6436" t="s">
        <v>13</v>
      </c>
      <c r="E6436" t="s">
        <v>14</v>
      </c>
      <c r="F6436">
        <v>247</v>
      </c>
      <c r="G6436">
        <v>32</v>
      </c>
      <c r="H6436">
        <v>0.32</v>
      </c>
      <c r="I6436" t="s">
        <v>15</v>
      </c>
      <c r="J6436">
        <v>36</v>
      </c>
      <c r="K6436">
        <v>0</v>
      </c>
      <c r="L6436">
        <v>1</v>
      </c>
      <c r="M6436">
        <f>VLOOKUP(Table1[[#This Row],[subscription_type]],Plans!$A$1:$B$5,2,FALSE)</f>
        <v>0</v>
      </c>
      <c r="N6436">
        <f t="shared" si="100"/>
        <v>0</v>
      </c>
    </row>
    <row r="6437" spans="1:14" x14ac:dyDescent="0.35">
      <c r="A6437">
        <v>6436</v>
      </c>
      <c r="B6437" t="s">
        <v>16</v>
      </c>
      <c r="C6437">
        <v>17</v>
      </c>
      <c r="D6437" t="s">
        <v>25</v>
      </c>
      <c r="E6437" t="s">
        <v>14</v>
      </c>
      <c r="F6437">
        <v>23</v>
      </c>
      <c r="G6437">
        <v>75</v>
      </c>
      <c r="H6437">
        <v>0.16</v>
      </c>
      <c r="I6437" t="s">
        <v>23</v>
      </c>
      <c r="J6437">
        <v>46</v>
      </c>
      <c r="K6437">
        <v>0</v>
      </c>
      <c r="L6437">
        <v>0</v>
      </c>
      <c r="M6437">
        <f>VLOOKUP(Table1[[#This Row],[subscription_type]],Plans!$A$1:$B$5,2,FALSE)</f>
        <v>0</v>
      </c>
      <c r="N6437">
        <f t="shared" si="100"/>
        <v>0</v>
      </c>
    </row>
    <row r="6438" spans="1:14" x14ac:dyDescent="0.35">
      <c r="A6438">
        <v>6437</v>
      </c>
      <c r="B6438" t="s">
        <v>16</v>
      </c>
      <c r="C6438">
        <v>46</v>
      </c>
      <c r="D6438" t="s">
        <v>21</v>
      </c>
      <c r="E6438" t="s">
        <v>14</v>
      </c>
      <c r="F6438">
        <v>68</v>
      </c>
      <c r="G6438">
        <v>92</v>
      </c>
      <c r="H6438">
        <v>0.43</v>
      </c>
      <c r="I6438" t="s">
        <v>15</v>
      </c>
      <c r="J6438">
        <v>34</v>
      </c>
      <c r="K6438">
        <v>0</v>
      </c>
      <c r="L6438">
        <v>1</v>
      </c>
      <c r="M6438">
        <f>VLOOKUP(Table1[[#This Row],[subscription_type]],Plans!$A$1:$B$5,2,FALSE)</f>
        <v>0</v>
      </c>
      <c r="N6438">
        <f t="shared" si="100"/>
        <v>0</v>
      </c>
    </row>
    <row r="6439" spans="1:14" x14ac:dyDescent="0.35">
      <c r="A6439">
        <v>6438</v>
      </c>
      <c r="B6439" t="s">
        <v>16</v>
      </c>
      <c r="C6439">
        <v>59</v>
      </c>
      <c r="D6439" t="s">
        <v>25</v>
      </c>
      <c r="E6439" t="s">
        <v>22</v>
      </c>
      <c r="F6439">
        <v>137</v>
      </c>
      <c r="G6439">
        <v>33</v>
      </c>
      <c r="H6439">
        <v>0</v>
      </c>
      <c r="I6439" t="s">
        <v>23</v>
      </c>
      <c r="J6439">
        <v>0</v>
      </c>
      <c r="K6439">
        <v>1</v>
      </c>
      <c r="L6439">
        <v>0</v>
      </c>
      <c r="M6439">
        <f>VLOOKUP(Table1[[#This Row],[subscription_type]],Plans!$A$1:$B$5,2,FALSE)</f>
        <v>9.99</v>
      </c>
      <c r="N6439">
        <f t="shared" si="100"/>
        <v>0</v>
      </c>
    </row>
    <row r="6440" spans="1:14" x14ac:dyDescent="0.35">
      <c r="A6440">
        <v>6439</v>
      </c>
      <c r="B6440" t="s">
        <v>20</v>
      </c>
      <c r="C6440">
        <v>29</v>
      </c>
      <c r="D6440" t="s">
        <v>27</v>
      </c>
      <c r="E6440" t="s">
        <v>18</v>
      </c>
      <c r="F6440">
        <v>31</v>
      </c>
      <c r="G6440">
        <v>32</v>
      </c>
      <c r="H6440">
        <v>0.09</v>
      </c>
      <c r="I6440" t="s">
        <v>19</v>
      </c>
      <c r="J6440">
        <v>0</v>
      </c>
      <c r="K6440">
        <v>1</v>
      </c>
      <c r="L6440">
        <v>0</v>
      </c>
      <c r="M6440">
        <f>VLOOKUP(Table1[[#This Row],[subscription_type]],Plans!$A$1:$B$5,2,FALSE)</f>
        <v>14.99</v>
      </c>
      <c r="N6440">
        <f t="shared" si="100"/>
        <v>0</v>
      </c>
    </row>
    <row r="6441" spans="1:14" x14ac:dyDescent="0.35">
      <c r="A6441">
        <v>6440</v>
      </c>
      <c r="B6441" t="s">
        <v>20</v>
      </c>
      <c r="C6441">
        <v>51</v>
      </c>
      <c r="D6441" t="s">
        <v>25</v>
      </c>
      <c r="E6441" t="s">
        <v>14</v>
      </c>
      <c r="F6441">
        <v>30</v>
      </c>
      <c r="G6441">
        <v>46</v>
      </c>
      <c r="H6441">
        <v>0.34</v>
      </c>
      <c r="I6441" t="s">
        <v>19</v>
      </c>
      <c r="J6441">
        <v>28</v>
      </c>
      <c r="K6441">
        <v>0</v>
      </c>
      <c r="L6441">
        <v>0</v>
      </c>
      <c r="M6441">
        <f>VLOOKUP(Table1[[#This Row],[subscription_type]],Plans!$A$1:$B$5,2,FALSE)</f>
        <v>0</v>
      </c>
      <c r="N6441">
        <f t="shared" si="100"/>
        <v>0</v>
      </c>
    </row>
    <row r="6442" spans="1:14" x14ac:dyDescent="0.35">
      <c r="A6442">
        <v>6441</v>
      </c>
      <c r="B6442" t="s">
        <v>20</v>
      </c>
      <c r="C6442">
        <v>32</v>
      </c>
      <c r="D6442" t="s">
        <v>17</v>
      </c>
      <c r="E6442" t="s">
        <v>14</v>
      </c>
      <c r="F6442">
        <v>62</v>
      </c>
      <c r="G6442">
        <v>43</v>
      </c>
      <c r="H6442">
        <v>0.01</v>
      </c>
      <c r="I6442" t="s">
        <v>15</v>
      </c>
      <c r="J6442">
        <v>47</v>
      </c>
      <c r="K6442">
        <v>0</v>
      </c>
      <c r="L6442">
        <v>0</v>
      </c>
      <c r="M6442">
        <f>VLOOKUP(Table1[[#This Row],[subscription_type]],Plans!$A$1:$B$5,2,FALSE)</f>
        <v>0</v>
      </c>
      <c r="N6442">
        <f t="shared" si="100"/>
        <v>0</v>
      </c>
    </row>
    <row r="6443" spans="1:14" x14ac:dyDescent="0.35">
      <c r="A6443">
        <v>6442</v>
      </c>
      <c r="B6443" t="s">
        <v>16</v>
      </c>
      <c r="C6443">
        <v>21</v>
      </c>
      <c r="D6443" t="s">
        <v>21</v>
      </c>
      <c r="E6443" t="s">
        <v>24</v>
      </c>
      <c r="F6443">
        <v>143</v>
      </c>
      <c r="G6443">
        <v>6</v>
      </c>
      <c r="H6443">
        <v>0.36</v>
      </c>
      <c r="I6443" t="s">
        <v>19</v>
      </c>
      <c r="J6443">
        <v>0</v>
      </c>
      <c r="K6443">
        <v>1</v>
      </c>
      <c r="L6443">
        <v>0</v>
      </c>
      <c r="M6443">
        <f>VLOOKUP(Table1[[#This Row],[subscription_type]],Plans!$A$1:$B$5,2,FALSE)</f>
        <v>4.99</v>
      </c>
      <c r="N6443">
        <f t="shared" si="100"/>
        <v>0</v>
      </c>
    </row>
    <row r="6444" spans="1:14" x14ac:dyDescent="0.35">
      <c r="A6444">
        <v>6443</v>
      </c>
      <c r="B6444" t="s">
        <v>12</v>
      </c>
      <c r="C6444">
        <v>39</v>
      </c>
      <c r="D6444" t="s">
        <v>13</v>
      </c>
      <c r="E6444" t="s">
        <v>14</v>
      </c>
      <c r="F6444">
        <v>112</v>
      </c>
      <c r="G6444">
        <v>35</v>
      </c>
      <c r="H6444">
        <v>0.56000000000000005</v>
      </c>
      <c r="I6444" t="s">
        <v>23</v>
      </c>
      <c r="J6444">
        <v>16</v>
      </c>
      <c r="K6444">
        <v>0</v>
      </c>
      <c r="L6444">
        <v>0</v>
      </c>
      <c r="M6444">
        <f>VLOOKUP(Table1[[#This Row],[subscription_type]],Plans!$A$1:$B$5,2,FALSE)</f>
        <v>0</v>
      </c>
      <c r="N6444">
        <f t="shared" si="100"/>
        <v>0</v>
      </c>
    </row>
    <row r="6445" spans="1:14" x14ac:dyDescent="0.35">
      <c r="A6445">
        <v>6444</v>
      </c>
      <c r="B6445" t="s">
        <v>16</v>
      </c>
      <c r="C6445">
        <v>52</v>
      </c>
      <c r="D6445" t="s">
        <v>28</v>
      </c>
      <c r="E6445" t="s">
        <v>18</v>
      </c>
      <c r="F6445">
        <v>98</v>
      </c>
      <c r="G6445">
        <v>35</v>
      </c>
      <c r="H6445">
        <v>0.23</v>
      </c>
      <c r="I6445" t="s">
        <v>23</v>
      </c>
      <c r="J6445">
        <v>0</v>
      </c>
      <c r="K6445">
        <v>1</v>
      </c>
      <c r="L6445">
        <v>0</v>
      </c>
      <c r="M6445">
        <f>VLOOKUP(Table1[[#This Row],[subscription_type]],Plans!$A$1:$B$5,2,FALSE)</f>
        <v>14.99</v>
      </c>
      <c r="N6445">
        <f t="shared" si="100"/>
        <v>0</v>
      </c>
    </row>
    <row r="6446" spans="1:14" x14ac:dyDescent="0.35">
      <c r="A6446">
        <v>6445</v>
      </c>
      <c r="B6446" t="s">
        <v>16</v>
      </c>
      <c r="C6446">
        <v>25</v>
      </c>
      <c r="D6446" t="s">
        <v>28</v>
      </c>
      <c r="E6446" t="s">
        <v>18</v>
      </c>
      <c r="F6446">
        <v>81</v>
      </c>
      <c r="G6446">
        <v>99</v>
      </c>
      <c r="H6446">
        <v>0.39</v>
      </c>
      <c r="I6446" t="s">
        <v>23</v>
      </c>
      <c r="J6446">
        <v>0</v>
      </c>
      <c r="K6446">
        <v>1</v>
      </c>
      <c r="L6446">
        <v>0</v>
      </c>
      <c r="M6446">
        <f>VLOOKUP(Table1[[#This Row],[subscription_type]],Plans!$A$1:$B$5,2,FALSE)</f>
        <v>14.99</v>
      </c>
      <c r="N6446">
        <f t="shared" si="100"/>
        <v>0</v>
      </c>
    </row>
    <row r="6447" spans="1:14" x14ac:dyDescent="0.35">
      <c r="A6447">
        <v>6446</v>
      </c>
      <c r="B6447" t="s">
        <v>16</v>
      </c>
      <c r="C6447">
        <v>46</v>
      </c>
      <c r="D6447" t="s">
        <v>28</v>
      </c>
      <c r="E6447" t="s">
        <v>24</v>
      </c>
      <c r="F6447">
        <v>165</v>
      </c>
      <c r="G6447">
        <v>87</v>
      </c>
      <c r="H6447">
        <v>0.56999999999999995</v>
      </c>
      <c r="I6447" t="s">
        <v>15</v>
      </c>
      <c r="J6447">
        <v>0</v>
      </c>
      <c r="K6447">
        <v>1</v>
      </c>
      <c r="L6447">
        <v>0</v>
      </c>
      <c r="M6447">
        <f>VLOOKUP(Table1[[#This Row],[subscription_type]],Plans!$A$1:$B$5,2,FALSE)</f>
        <v>4.99</v>
      </c>
      <c r="N6447">
        <f t="shared" si="100"/>
        <v>0</v>
      </c>
    </row>
    <row r="6448" spans="1:14" x14ac:dyDescent="0.35">
      <c r="A6448">
        <v>6447</v>
      </c>
      <c r="B6448" t="s">
        <v>12</v>
      </c>
      <c r="C6448">
        <v>31</v>
      </c>
      <c r="D6448" t="s">
        <v>29</v>
      </c>
      <c r="E6448" t="s">
        <v>18</v>
      </c>
      <c r="F6448">
        <v>151</v>
      </c>
      <c r="G6448">
        <v>93</v>
      </c>
      <c r="H6448">
        <v>0.08</v>
      </c>
      <c r="I6448" t="s">
        <v>19</v>
      </c>
      <c r="J6448">
        <v>0</v>
      </c>
      <c r="K6448">
        <v>1</v>
      </c>
      <c r="L6448">
        <v>0</v>
      </c>
      <c r="M6448">
        <f>VLOOKUP(Table1[[#This Row],[subscription_type]],Plans!$A$1:$B$5,2,FALSE)</f>
        <v>14.99</v>
      </c>
      <c r="N6448">
        <f t="shared" si="100"/>
        <v>0</v>
      </c>
    </row>
    <row r="6449" spans="1:14" x14ac:dyDescent="0.35">
      <c r="A6449">
        <v>6448</v>
      </c>
      <c r="B6449" t="s">
        <v>20</v>
      </c>
      <c r="C6449">
        <v>45</v>
      </c>
      <c r="D6449" t="s">
        <v>27</v>
      </c>
      <c r="E6449" t="s">
        <v>18</v>
      </c>
      <c r="F6449">
        <v>123</v>
      </c>
      <c r="G6449">
        <v>97</v>
      </c>
      <c r="H6449">
        <v>0.02</v>
      </c>
      <c r="I6449" t="s">
        <v>23</v>
      </c>
      <c r="J6449">
        <v>0</v>
      </c>
      <c r="K6449">
        <v>1</v>
      </c>
      <c r="L6449">
        <v>0</v>
      </c>
      <c r="M6449">
        <f>VLOOKUP(Table1[[#This Row],[subscription_type]],Plans!$A$1:$B$5,2,FALSE)</f>
        <v>14.99</v>
      </c>
      <c r="N6449">
        <f t="shared" si="100"/>
        <v>0</v>
      </c>
    </row>
    <row r="6450" spans="1:14" x14ac:dyDescent="0.35">
      <c r="A6450">
        <v>6449</v>
      </c>
      <c r="B6450" t="s">
        <v>16</v>
      </c>
      <c r="C6450">
        <v>29</v>
      </c>
      <c r="D6450" t="s">
        <v>25</v>
      </c>
      <c r="E6450" t="s">
        <v>14</v>
      </c>
      <c r="F6450">
        <v>216</v>
      </c>
      <c r="G6450">
        <v>86</v>
      </c>
      <c r="H6450">
        <v>0.53</v>
      </c>
      <c r="I6450" t="s">
        <v>19</v>
      </c>
      <c r="J6450">
        <v>28</v>
      </c>
      <c r="K6450">
        <v>0</v>
      </c>
      <c r="L6450">
        <v>1</v>
      </c>
      <c r="M6450">
        <f>VLOOKUP(Table1[[#This Row],[subscription_type]],Plans!$A$1:$B$5,2,FALSE)</f>
        <v>0</v>
      </c>
      <c r="N6450">
        <f t="shared" si="100"/>
        <v>0</v>
      </c>
    </row>
    <row r="6451" spans="1:14" x14ac:dyDescent="0.35">
      <c r="A6451">
        <v>6450</v>
      </c>
      <c r="B6451" t="s">
        <v>12</v>
      </c>
      <c r="C6451">
        <v>20</v>
      </c>
      <c r="D6451" t="s">
        <v>17</v>
      </c>
      <c r="E6451" t="s">
        <v>24</v>
      </c>
      <c r="F6451">
        <v>293</v>
      </c>
      <c r="G6451">
        <v>17</v>
      </c>
      <c r="H6451">
        <v>0.2</v>
      </c>
      <c r="I6451" t="s">
        <v>19</v>
      </c>
      <c r="J6451">
        <v>0</v>
      </c>
      <c r="K6451">
        <v>1</v>
      </c>
      <c r="L6451">
        <v>1</v>
      </c>
      <c r="M6451">
        <f>VLOOKUP(Table1[[#This Row],[subscription_type]],Plans!$A$1:$B$5,2,FALSE)</f>
        <v>4.99</v>
      </c>
      <c r="N6451">
        <f t="shared" si="100"/>
        <v>4.99</v>
      </c>
    </row>
    <row r="6452" spans="1:14" x14ac:dyDescent="0.35">
      <c r="A6452">
        <v>6451</v>
      </c>
      <c r="B6452" t="s">
        <v>16</v>
      </c>
      <c r="C6452">
        <v>36</v>
      </c>
      <c r="D6452" t="s">
        <v>13</v>
      </c>
      <c r="E6452" t="s">
        <v>22</v>
      </c>
      <c r="F6452">
        <v>262</v>
      </c>
      <c r="G6452">
        <v>90</v>
      </c>
      <c r="H6452">
        <v>0.39</v>
      </c>
      <c r="I6452" t="s">
        <v>15</v>
      </c>
      <c r="J6452">
        <v>0</v>
      </c>
      <c r="K6452">
        <v>1</v>
      </c>
      <c r="L6452">
        <v>1</v>
      </c>
      <c r="M6452">
        <f>VLOOKUP(Table1[[#This Row],[subscription_type]],Plans!$A$1:$B$5,2,FALSE)</f>
        <v>9.99</v>
      </c>
      <c r="N6452">
        <f t="shared" si="100"/>
        <v>9.99</v>
      </c>
    </row>
    <row r="6453" spans="1:14" x14ac:dyDescent="0.35">
      <c r="A6453">
        <v>6452</v>
      </c>
      <c r="B6453" t="s">
        <v>20</v>
      </c>
      <c r="C6453">
        <v>38</v>
      </c>
      <c r="D6453" t="s">
        <v>21</v>
      </c>
      <c r="E6453" t="s">
        <v>14</v>
      </c>
      <c r="F6453">
        <v>196</v>
      </c>
      <c r="G6453">
        <v>83</v>
      </c>
      <c r="H6453">
        <v>0.03</v>
      </c>
      <c r="I6453" t="s">
        <v>15</v>
      </c>
      <c r="J6453">
        <v>31</v>
      </c>
      <c r="K6453">
        <v>0</v>
      </c>
      <c r="L6453">
        <v>0</v>
      </c>
      <c r="M6453">
        <f>VLOOKUP(Table1[[#This Row],[subscription_type]],Plans!$A$1:$B$5,2,FALSE)</f>
        <v>0</v>
      </c>
      <c r="N6453">
        <f t="shared" si="100"/>
        <v>0</v>
      </c>
    </row>
    <row r="6454" spans="1:14" x14ac:dyDescent="0.35">
      <c r="A6454">
        <v>6453</v>
      </c>
      <c r="B6454" t="s">
        <v>12</v>
      </c>
      <c r="C6454">
        <v>41</v>
      </c>
      <c r="D6454" t="s">
        <v>26</v>
      </c>
      <c r="E6454" t="s">
        <v>18</v>
      </c>
      <c r="F6454">
        <v>190</v>
      </c>
      <c r="G6454">
        <v>24</v>
      </c>
      <c r="H6454">
        <v>0.5</v>
      </c>
      <c r="I6454" t="s">
        <v>23</v>
      </c>
      <c r="J6454">
        <v>0</v>
      </c>
      <c r="K6454">
        <v>1</v>
      </c>
      <c r="L6454">
        <v>0</v>
      </c>
      <c r="M6454">
        <f>VLOOKUP(Table1[[#This Row],[subscription_type]],Plans!$A$1:$B$5,2,FALSE)</f>
        <v>14.99</v>
      </c>
      <c r="N6454">
        <f t="shared" si="100"/>
        <v>0</v>
      </c>
    </row>
    <row r="6455" spans="1:14" x14ac:dyDescent="0.35">
      <c r="A6455">
        <v>6454</v>
      </c>
      <c r="B6455" t="s">
        <v>16</v>
      </c>
      <c r="C6455">
        <v>50</v>
      </c>
      <c r="D6455" t="s">
        <v>21</v>
      </c>
      <c r="E6455" t="s">
        <v>24</v>
      </c>
      <c r="F6455">
        <v>266</v>
      </c>
      <c r="G6455">
        <v>49</v>
      </c>
      <c r="H6455">
        <v>0.35</v>
      </c>
      <c r="I6455" t="s">
        <v>15</v>
      </c>
      <c r="J6455">
        <v>0</v>
      </c>
      <c r="K6455">
        <v>1</v>
      </c>
      <c r="L6455">
        <v>0</v>
      </c>
      <c r="M6455">
        <f>VLOOKUP(Table1[[#This Row],[subscription_type]],Plans!$A$1:$B$5,2,FALSE)</f>
        <v>4.99</v>
      </c>
      <c r="N6455">
        <f t="shared" si="100"/>
        <v>0</v>
      </c>
    </row>
    <row r="6456" spans="1:14" x14ac:dyDescent="0.35">
      <c r="A6456">
        <v>6455</v>
      </c>
      <c r="B6456" t="s">
        <v>16</v>
      </c>
      <c r="C6456">
        <v>19</v>
      </c>
      <c r="D6456" t="s">
        <v>17</v>
      </c>
      <c r="E6456" t="s">
        <v>22</v>
      </c>
      <c r="F6456">
        <v>200</v>
      </c>
      <c r="G6456">
        <v>34</v>
      </c>
      <c r="H6456">
        <v>0.14000000000000001</v>
      </c>
      <c r="I6456" t="s">
        <v>19</v>
      </c>
      <c r="J6456">
        <v>0</v>
      </c>
      <c r="K6456">
        <v>1</v>
      </c>
      <c r="L6456">
        <v>1</v>
      </c>
      <c r="M6456">
        <f>VLOOKUP(Table1[[#This Row],[subscription_type]],Plans!$A$1:$B$5,2,FALSE)</f>
        <v>9.99</v>
      </c>
      <c r="N6456">
        <f t="shared" si="100"/>
        <v>9.99</v>
      </c>
    </row>
    <row r="6457" spans="1:14" x14ac:dyDescent="0.35">
      <c r="A6457">
        <v>6456</v>
      </c>
      <c r="B6457" t="s">
        <v>16</v>
      </c>
      <c r="C6457">
        <v>54</v>
      </c>
      <c r="D6457" t="s">
        <v>27</v>
      </c>
      <c r="E6457" t="s">
        <v>14</v>
      </c>
      <c r="F6457">
        <v>60</v>
      </c>
      <c r="G6457">
        <v>46</v>
      </c>
      <c r="H6457">
        <v>0.52</v>
      </c>
      <c r="I6457" t="s">
        <v>15</v>
      </c>
      <c r="J6457">
        <v>25</v>
      </c>
      <c r="K6457">
        <v>0</v>
      </c>
      <c r="L6457">
        <v>1</v>
      </c>
      <c r="M6457">
        <f>VLOOKUP(Table1[[#This Row],[subscription_type]],Plans!$A$1:$B$5,2,FALSE)</f>
        <v>0</v>
      </c>
      <c r="N6457">
        <f t="shared" si="100"/>
        <v>0</v>
      </c>
    </row>
    <row r="6458" spans="1:14" x14ac:dyDescent="0.35">
      <c r="A6458">
        <v>6457</v>
      </c>
      <c r="B6458" t="s">
        <v>16</v>
      </c>
      <c r="C6458">
        <v>46</v>
      </c>
      <c r="D6458" t="s">
        <v>26</v>
      </c>
      <c r="E6458" t="s">
        <v>14</v>
      </c>
      <c r="F6458">
        <v>154</v>
      </c>
      <c r="G6458">
        <v>38</v>
      </c>
      <c r="H6458">
        <v>0.25</v>
      </c>
      <c r="I6458" t="s">
        <v>19</v>
      </c>
      <c r="J6458">
        <v>6</v>
      </c>
      <c r="K6458">
        <v>0</v>
      </c>
      <c r="L6458">
        <v>0</v>
      </c>
      <c r="M6458">
        <f>VLOOKUP(Table1[[#This Row],[subscription_type]],Plans!$A$1:$B$5,2,FALSE)</f>
        <v>0</v>
      </c>
      <c r="N6458">
        <f t="shared" si="100"/>
        <v>0</v>
      </c>
    </row>
    <row r="6459" spans="1:14" x14ac:dyDescent="0.35">
      <c r="A6459">
        <v>6458</v>
      </c>
      <c r="B6459" t="s">
        <v>12</v>
      </c>
      <c r="C6459">
        <v>30</v>
      </c>
      <c r="D6459" t="s">
        <v>25</v>
      </c>
      <c r="E6459" t="s">
        <v>18</v>
      </c>
      <c r="F6459">
        <v>91</v>
      </c>
      <c r="G6459">
        <v>47</v>
      </c>
      <c r="H6459">
        <v>0.33</v>
      </c>
      <c r="I6459" t="s">
        <v>23</v>
      </c>
      <c r="J6459">
        <v>0</v>
      </c>
      <c r="K6459">
        <v>1</v>
      </c>
      <c r="L6459">
        <v>0</v>
      </c>
      <c r="M6459">
        <f>VLOOKUP(Table1[[#This Row],[subscription_type]],Plans!$A$1:$B$5,2,FALSE)</f>
        <v>14.99</v>
      </c>
      <c r="N6459">
        <f t="shared" si="100"/>
        <v>0</v>
      </c>
    </row>
    <row r="6460" spans="1:14" x14ac:dyDescent="0.35">
      <c r="A6460">
        <v>6459</v>
      </c>
      <c r="B6460" t="s">
        <v>20</v>
      </c>
      <c r="C6460">
        <v>16</v>
      </c>
      <c r="D6460" t="s">
        <v>26</v>
      </c>
      <c r="E6460" t="s">
        <v>14</v>
      </c>
      <c r="F6460">
        <v>104</v>
      </c>
      <c r="G6460">
        <v>99</v>
      </c>
      <c r="H6460">
        <v>0.11</v>
      </c>
      <c r="I6460" t="s">
        <v>23</v>
      </c>
      <c r="J6460">
        <v>11</v>
      </c>
      <c r="K6460">
        <v>0</v>
      </c>
      <c r="L6460">
        <v>0</v>
      </c>
      <c r="M6460">
        <f>VLOOKUP(Table1[[#This Row],[subscription_type]],Plans!$A$1:$B$5,2,FALSE)</f>
        <v>0</v>
      </c>
      <c r="N6460">
        <f t="shared" si="100"/>
        <v>0</v>
      </c>
    </row>
    <row r="6461" spans="1:14" x14ac:dyDescent="0.35">
      <c r="A6461">
        <v>6460</v>
      </c>
      <c r="B6461" t="s">
        <v>16</v>
      </c>
      <c r="C6461">
        <v>33</v>
      </c>
      <c r="D6461" t="s">
        <v>25</v>
      </c>
      <c r="E6461" t="s">
        <v>18</v>
      </c>
      <c r="F6461">
        <v>217</v>
      </c>
      <c r="G6461">
        <v>16</v>
      </c>
      <c r="H6461">
        <v>0.39</v>
      </c>
      <c r="I6461" t="s">
        <v>23</v>
      </c>
      <c r="J6461">
        <v>0</v>
      </c>
      <c r="K6461">
        <v>1</v>
      </c>
      <c r="L6461">
        <v>0</v>
      </c>
      <c r="M6461">
        <f>VLOOKUP(Table1[[#This Row],[subscription_type]],Plans!$A$1:$B$5,2,FALSE)</f>
        <v>14.99</v>
      </c>
      <c r="N6461">
        <f t="shared" si="100"/>
        <v>0</v>
      </c>
    </row>
    <row r="6462" spans="1:14" x14ac:dyDescent="0.35">
      <c r="A6462">
        <v>6461</v>
      </c>
      <c r="B6462" t="s">
        <v>16</v>
      </c>
      <c r="C6462">
        <v>47</v>
      </c>
      <c r="D6462" t="s">
        <v>29</v>
      </c>
      <c r="E6462" t="s">
        <v>24</v>
      </c>
      <c r="F6462">
        <v>187</v>
      </c>
      <c r="G6462">
        <v>99</v>
      </c>
      <c r="H6462">
        <v>0.48</v>
      </c>
      <c r="I6462" t="s">
        <v>19</v>
      </c>
      <c r="J6462">
        <v>0</v>
      </c>
      <c r="K6462">
        <v>1</v>
      </c>
      <c r="L6462">
        <v>0</v>
      </c>
      <c r="M6462">
        <f>VLOOKUP(Table1[[#This Row],[subscription_type]],Plans!$A$1:$B$5,2,FALSE)</f>
        <v>4.99</v>
      </c>
      <c r="N6462">
        <f t="shared" si="100"/>
        <v>0</v>
      </c>
    </row>
    <row r="6463" spans="1:14" x14ac:dyDescent="0.35">
      <c r="A6463">
        <v>6462</v>
      </c>
      <c r="B6463" t="s">
        <v>20</v>
      </c>
      <c r="C6463">
        <v>38</v>
      </c>
      <c r="D6463" t="s">
        <v>28</v>
      </c>
      <c r="E6463" t="s">
        <v>18</v>
      </c>
      <c r="F6463">
        <v>98</v>
      </c>
      <c r="G6463">
        <v>7</v>
      </c>
      <c r="H6463">
        <v>0.55000000000000004</v>
      </c>
      <c r="I6463" t="s">
        <v>15</v>
      </c>
      <c r="J6463">
        <v>0</v>
      </c>
      <c r="K6463">
        <v>1</v>
      </c>
      <c r="L6463">
        <v>1</v>
      </c>
      <c r="M6463">
        <f>VLOOKUP(Table1[[#This Row],[subscription_type]],Plans!$A$1:$B$5,2,FALSE)</f>
        <v>14.99</v>
      </c>
      <c r="N6463">
        <f t="shared" si="100"/>
        <v>14.99</v>
      </c>
    </row>
    <row r="6464" spans="1:14" x14ac:dyDescent="0.35">
      <c r="A6464">
        <v>6463</v>
      </c>
      <c r="B6464" t="s">
        <v>16</v>
      </c>
      <c r="C6464">
        <v>43</v>
      </c>
      <c r="D6464" t="s">
        <v>28</v>
      </c>
      <c r="E6464" t="s">
        <v>18</v>
      </c>
      <c r="F6464">
        <v>188</v>
      </c>
      <c r="G6464">
        <v>85</v>
      </c>
      <c r="H6464">
        <v>0.22</v>
      </c>
      <c r="I6464" t="s">
        <v>19</v>
      </c>
      <c r="J6464">
        <v>0</v>
      </c>
      <c r="K6464">
        <v>1</v>
      </c>
      <c r="L6464">
        <v>1</v>
      </c>
      <c r="M6464">
        <f>VLOOKUP(Table1[[#This Row],[subscription_type]],Plans!$A$1:$B$5,2,FALSE)</f>
        <v>14.99</v>
      </c>
      <c r="N6464">
        <f t="shared" si="100"/>
        <v>14.99</v>
      </c>
    </row>
    <row r="6465" spans="1:14" x14ac:dyDescent="0.35">
      <c r="A6465">
        <v>6464</v>
      </c>
      <c r="B6465" t="s">
        <v>12</v>
      </c>
      <c r="C6465">
        <v>33</v>
      </c>
      <c r="D6465" t="s">
        <v>27</v>
      </c>
      <c r="E6465" t="s">
        <v>14</v>
      </c>
      <c r="F6465">
        <v>244</v>
      </c>
      <c r="G6465">
        <v>57</v>
      </c>
      <c r="H6465">
        <v>0.42</v>
      </c>
      <c r="I6465" t="s">
        <v>15</v>
      </c>
      <c r="J6465">
        <v>28</v>
      </c>
      <c r="K6465">
        <v>0</v>
      </c>
      <c r="L6465">
        <v>1</v>
      </c>
      <c r="M6465">
        <f>VLOOKUP(Table1[[#This Row],[subscription_type]],Plans!$A$1:$B$5,2,FALSE)</f>
        <v>0</v>
      </c>
      <c r="N6465">
        <f t="shared" si="100"/>
        <v>0</v>
      </c>
    </row>
    <row r="6466" spans="1:14" x14ac:dyDescent="0.35">
      <c r="A6466">
        <v>6465</v>
      </c>
      <c r="B6466" t="s">
        <v>12</v>
      </c>
      <c r="C6466">
        <v>49</v>
      </c>
      <c r="D6466" t="s">
        <v>28</v>
      </c>
      <c r="E6466" t="s">
        <v>14</v>
      </c>
      <c r="F6466">
        <v>164</v>
      </c>
      <c r="G6466">
        <v>84</v>
      </c>
      <c r="H6466">
        <v>0.05</v>
      </c>
      <c r="I6466" t="s">
        <v>23</v>
      </c>
      <c r="J6466">
        <v>7</v>
      </c>
      <c r="K6466">
        <v>0</v>
      </c>
      <c r="L6466">
        <v>0</v>
      </c>
      <c r="M6466">
        <f>VLOOKUP(Table1[[#This Row],[subscription_type]],Plans!$A$1:$B$5,2,FALSE)</f>
        <v>0</v>
      </c>
      <c r="N6466">
        <f t="shared" ref="N6466:N6529" si="101">IF(L6466=1, M6466,0)</f>
        <v>0</v>
      </c>
    </row>
    <row r="6467" spans="1:14" x14ac:dyDescent="0.35">
      <c r="A6467">
        <v>6466</v>
      </c>
      <c r="B6467" t="s">
        <v>12</v>
      </c>
      <c r="C6467">
        <v>50</v>
      </c>
      <c r="D6467" t="s">
        <v>21</v>
      </c>
      <c r="E6467" t="s">
        <v>18</v>
      </c>
      <c r="F6467">
        <v>295</v>
      </c>
      <c r="G6467">
        <v>61</v>
      </c>
      <c r="H6467">
        <v>0.1</v>
      </c>
      <c r="I6467" t="s">
        <v>15</v>
      </c>
      <c r="J6467">
        <v>0</v>
      </c>
      <c r="K6467">
        <v>1</v>
      </c>
      <c r="L6467">
        <v>0</v>
      </c>
      <c r="M6467">
        <f>VLOOKUP(Table1[[#This Row],[subscription_type]],Plans!$A$1:$B$5,2,FALSE)</f>
        <v>14.99</v>
      </c>
      <c r="N6467">
        <f t="shared" si="101"/>
        <v>0</v>
      </c>
    </row>
    <row r="6468" spans="1:14" x14ac:dyDescent="0.35">
      <c r="A6468">
        <v>6467</v>
      </c>
      <c r="B6468" t="s">
        <v>16</v>
      </c>
      <c r="C6468">
        <v>55</v>
      </c>
      <c r="D6468" t="s">
        <v>17</v>
      </c>
      <c r="E6468" t="s">
        <v>14</v>
      </c>
      <c r="F6468">
        <v>220</v>
      </c>
      <c r="G6468">
        <v>13</v>
      </c>
      <c r="H6468">
        <v>0.26</v>
      </c>
      <c r="I6468" t="s">
        <v>23</v>
      </c>
      <c r="J6468">
        <v>21</v>
      </c>
      <c r="K6468">
        <v>0</v>
      </c>
      <c r="L6468">
        <v>1</v>
      </c>
      <c r="M6468">
        <f>VLOOKUP(Table1[[#This Row],[subscription_type]],Plans!$A$1:$B$5,2,FALSE)</f>
        <v>0</v>
      </c>
      <c r="N6468">
        <f t="shared" si="101"/>
        <v>0</v>
      </c>
    </row>
    <row r="6469" spans="1:14" x14ac:dyDescent="0.35">
      <c r="A6469">
        <v>6468</v>
      </c>
      <c r="B6469" t="s">
        <v>20</v>
      </c>
      <c r="C6469">
        <v>48</v>
      </c>
      <c r="D6469" t="s">
        <v>28</v>
      </c>
      <c r="E6469" t="s">
        <v>14</v>
      </c>
      <c r="F6469">
        <v>46</v>
      </c>
      <c r="G6469">
        <v>58</v>
      </c>
      <c r="H6469">
        <v>0.56999999999999995</v>
      </c>
      <c r="I6469" t="s">
        <v>19</v>
      </c>
      <c r="J6469">
        <v>21</v>
      </c>
      <c r="K6469">
        <v>0</v>
      </c>
      <c r="L6469">
        <v>1</v>
      </c>
      <c r="M6469">
        <f>VLOOKUP(Table1[[#This Row],[subscription_type]],Plans!$A$1:$B$5,2,FALSE)</f>
        <v>0</v>
      </c>
      <c r="N6469">
        <f t="shared" si="101"/>
        <v>0</v>
      </c>
    </row>
    <row r="6470" spans="1:14" x14ac:dyDescent="0.35">
      <c r="A6470">
        <v>6469</v>
      </c>
      <c r="B6470" t="s">
        <v>20</v>
      </c>
      <c r="C6470">
        <v>51</v>
      </c>
      <c r="D6470" t="s">
        <v>29</v>
      </c>
      <c r="E6470" t="s">
        <v>18</v>
      </c>
      <c r="F6470">
        <v>127</v>
      </c>
      <c r="G6470">
        <v>59</v>
      </c>
      <c r="H6470">
        <v>0.21</v>
      </c>
      <c r="I6470" t="s">
        <v>19</v>
      </c>
      <c r="J6470">
        <v>0</v>
      </c>
      <c r="K6470">
        <v>1</v>
      </c>
      <c r="L6470">
        <v>0</v>
      </c>
      <c r="M6470">
        <f>VLOOKUP(Table1[[#This Row],[subscription_type]],Plans!$A$1:$B$5,2,FALSE)</f>
        <v>14.99</v>
      </c>
      <c r="N6470">
        <f t="shared" si="101"/>
        <v>0</v>
      </c>
    </row>
    <row r="6471" spans="1:14" x14ac:dyDescent="0.35">
      <c r="A6471">
        <v>6470</v>
      </c>
      <c r="B6471" t="s">
        <v>16</v>
      </c>
      <c r="C6471">
        <v>23</v>
      </c>
      <c r="D6471" t="s">
        <v>21</v>
      </c>
      <c r="E6471" t="s">
        <v>18</v>
      </c>
      <c r="F6471">
        <v>270</v>
      </c>
      <c r="G6471">
        <v>72</v>
      </c>
      <c r="H6471">
        <v>0.21</v>
      </c>
      <c r="I6471" t="s">
        <v>19</v>
      </c>
      <c r="J6471">
        <v>0</v>
      </c>
      <c r="K6471">
        <v>1</v>
      </c>
      <c r="L6471">
        <v>1</v>
      </c>
      <c r="M6471">
        <f>VLOOKUP(Table1[[#This Row],[subscription_type]],Plans!$A$1:$B$5,2,FALSE)</f>
        <v>14.99</v>
      </c>
      <c r="N6471">
        <f t="shared" si="101"/>
        <v>14.99</v>
      </c>
    </row>
    <row r="6472" spans="1:14" x14ac:dyDescent="0.35">
      <c r="A6472">
        <v>6471</v>
      </c>
      <c r="B6472" t="s">
        <v>20</v>
      </c>
      <c r="C6472">
        <v>47</v>
      </c>
      <c r="D6472" t="s">
        <v>17</v>
      </c>
      <c r="E6472" t="s">
        <v>14</v>
      </c>
      <c r="F6472">
        <v>151</v>
      </c>
      <c r="G6472">
        <v>88</v>
      </c>
      <c r="H6472">
        <v>0.44</v>
      </c>
      <c r="I6472" t="s">
        <v>19</v>
      </c>
      <c r="J6472">
        <v>31</v>
      </c>
      <c r="K6472">
        <v>0</v>
      </c>
      <c r="L6472">
        <v>0</v>
      </c>
      <c r="M6472">
        <f>VLOOKUP(Table1[[#This Row],[subscription_type]],Plans!$A$1:$B$5,2,FALSE)</f>
        <v>0</v>
      </c>
      <c r="N6472">
        <f t="shared" si="101"/>
        <v>0</v>
      </c>
    </row>
    <row r="6473" spans="1:14" x14ac:dyDescent="0.35">
      <c r="A6473">
        <v>6472</v>
      </c>
      <c r="B6473" t="s">
        <v>12</v>
      </c>
      <c r="C6473">
        <v>42</v>
      </c>
      <c r="D6473" t="s">
        <v>28</v>
      </c>
      <c r="E6473" t="s">
        <v>14</v>
      </c>
      <c r="F6473">
        <v>122</v>
      </c>
      <c r="G6473">
        <v>17</v>
      </c>
      <c r="H6473">
        <v>0.4</v>
      </c>
      <c r="I6473" t="s">
        <v>19</v>
      </c>
      <c r="J6473">
        <v>24</v>
      </c>
      <c r="K6473">
        <v>0</v>
      </c>
      <c r="L6473">
        <v>0</v>
      </c>
      <c r="M6473">
        <f>VLOOKUP(Table1[[#This Row],[subscription_type]],Plans!$A$1:$B$5,2,FALSE)</f>
        <v>0</v>
      </c>
      <c r="N6473">
        <f t="shared" si="101"/>
        <v>0</v>
      </c>
    </row>
    <row r="6474" spans="1:14" x14ac:dyDescent="0.35">
      <c r="A6474">
        <v>6473</v>
      </c>
      <c r="B6474" t="s">
        <v>12</v>
      </c>
      <c r="C6474">
        <v>23</v>
      </c>
      <c r="D6474" t="s">
        <v>21</v>
      </c>
      <c r="E6474" t="s">
        <v>24</v>
      </c>
      <c r="F6474">
        <v>170</v>
      </c>
      <c r="G6474">
        <v>17</v>
      </c>
      <c r="H6474">
        <v>0.14000000000000001</v>
      </c>
      <c r="I6474" t="s">
        <v>15</v>
      </c>
      <c r="J6474">
        <v>0</v>
      </c>
      <c r="K6474">
        <v>1</v>
      </c>
      <c r="L6474">
        <v>0</v>
      </c>
      <c r="M6474">
        <f>VLOOKUP(Table1[[#This Row],[subscription_type]],Plans!$A$1:$B$5,2,FALSE)</f>
        <v>4.99</v>
      </c>
      <c r="N6474">
        <f t="shared" si="101"/>
        <v>0</v>
      </c>
    </row>
    <row r="6475" spans="1:14" x14ac:dyDescent="0.35">
      <c r="A6475">
        <v>6474</v>
      </c>
      <c r="B6475" t="s">
        <v>12</v>
      </c>
      <c r="C6475">
        <v>42</v>
      </c>
      <c r="D6475" t="s">
        <v>21</v>
      </c>
      <c r="E6475" t="s">
        <v>24</v>
      </c>
      <c r="F6475">
        <v>294</v>
      </c>
      <c r="G6475">
        <v>79</v>
      </c>
      <c r="H6475">
        <v>0.45</v>
      </c>
      <c r="I6475" t="s">
        <v>23</v>
      </c>
      <c r="J6475">
        <v>0</v>
      </c>
      <c r="K6475">
        <v>1</v>
      </c>
      <c r="L6475">
        <v>0</v>
      </c>
      <c r="M6475">
        <f>VLOOKUP(Table1[[#This Row],[subscription_type]],Plans!$A$1:$B$5,2,FALSE)</f>
        <v>4.99</v>
      </c>
      <c r="N6475">
        <f t="shared" si="101"/>
        <v>0</v>
      </c>
    </row>
    <row r="6476" spans="1:14" x14ac:dyDescent="0.35">
      <c r="A6476">
        <v>6475</v>
      </c>
      <c r="B6476" t="s">
        <v>12</v>
      </c>
      <c r="C6476">
        <v>28</v>
      </c>
      <c r="D6476" t="s">
        <v>13</v>
      </c>
      <c r="E6476" t="s">
        <v>14</v>
      </c>
      <c r="F6476">
        <v>29</v>
      </c>
      <c r="G6476">
        <v>72</v>
      </c>
      <c r="H6476">
        <v>0.34</v>
      </c>
      <c r="I6476" t="s">
        <v>15</v>
      </c>
      <c r="J6476">
        <v>41</v>
      </c>
      <c r="K6476">
        <v>0</v>
      </c>
      <c r="L6476">
        <v>0</v>
      </c>
      <c r="M6476">
        <f>VLOOKUP(Table1[[#This Row],[subscription_type]],Plans!$A$1:$B$5,2,FALSE)</f>
        <v>0</v>
      </c>
      <c r="N6476">
        <f t="shared" si="101"/>
        <v>0</v>
      </c>
    </row>
    <row r="6477" spans="1:14" x14ac:dyDescent="0.35">
      <c r="A6477">
        <v>6476</v>
      </c>
      <c r="B6477" t="s">
        <v>20</v>
      </c>
      <c r="C6477">
        <v>33</v>
      </c>
      <c r="D6477" t="s">
        <v>27</v>
      </c>
      <c r="E6477" t="s">
        <v>24</v>
      </c>
      <c r="F6477">
        <v>77</v>
      </c>
      <c r="G6477">
        <v>56</v>
      </c>
      <c r="H6477">
        <v>0.34</v>
      </c>
      <c r="I6477" t="s">
        <v>19</v>
      </c>
      <c r="J6477">
        <v>0</v>
      </c>
      <c r="K6477">
        <v>1</v>
      </c>
      <c r="L6477">
        <v>0</v>
      </c>
      <c r="M6477">
        <f>VLOOKUP(Table1[[#This Row],[subscription_type]],Plans!$A$1:$B$5,2,FALSE)</f>
        <v>4.99</v>
      </c>
      <c r="N6477">
        <f t="shared" si="101"/>
        <v>0</v>
      </c>
    </row>
    <row r="6478" spans="1:14" x14ac:dyDescent="0.35">
      <c r="A6478">
        <v>6477</v>
      </c>
      <c r="B6478" t="s">
        <v>20</v>
      </c>
      <c r="C6478">
        <v>20</v>
      </c>
      <c r="D6478" t="s">
        <v>13</v>
      </c>
      <c r="E6478" t="s">
        <v>18</v>
      </c>
      <c r="F6478">
        <v>10</v>
      </c>
      <c r="G6478">
        <v>1</v>
      </c>
      <c r="H6478">
        <v>0.56000000000000005</v>
      </c>
      <c r="I6478" t="s">
        <v>23</v>
      </c>
      <c r="J6478">
        <v>0</v>
      </c>
      <c r="K6478">
        <v>1</v>
      </c>
      <c r="L6478">
        <v>0</v>
      </c>
      <c r="M6478">
        <f>VLOOKUP(Table1[[#This Row],[subscription_type]],Plans!$A$1:$B$5,2,FALSE)</f>
        <v>14.99</v>
      </c>
      <c r="N6478">
        <f t="shared" si="101"/>
        <v>0</v>
      </c>
    </row>
    <row r="6479" spans="1:14" x14ac:dyDescent="0.35">
      <c r="A6479">
        <v>6478</v>
      </c>
      <c r="B6479" t="s">
        <v>12</v>
      </c>
      <c r="C6479">
        <v>47</v>
      </c>
      <c r="D6479" t="s">
        <v>17</v>
      </c>
      <c r="E6479" t="s">
        <v>14</v>
      </c>
      <c r="F6479">
        <v>34</v>
      </c>
      <c r="G6479">
        <v>14</v>
      </c>
      <c r="H6479">
        <v>0.44</v>
      </c>
      <c r="I6479" t="s">
        <v>15</v>
      </c>
      <c r="J6479">
        <v>34</v>
      </c>
      <c r="K6479">
        <v>0</v>
      </c>
      <c r="L6479">
        <v>0</v>
      </c>
      <c r="M6479">
        <f>VLOOKUP(Table1[[#This Row],[subscription_type]],Plans!$A$1:$B$5,2,FALSE)</f>
        <v>0</v>
      </c>
      <c r="N6479">
        <f t="shared" si="101"/>
        <v>0</v>
      </c>
    </row>
    <row r="6480" spans="1:14" x14ac:dyDescent="0.35">
      <c r="A6480">
        <v>6479</v>
      </c>
      <c r="B6480" t="s">
        <v>20</v>
      </c>
      <c r="C6480">
        <v>35</v>
      </c>
      <c r="D6480" t="s">
        <v>29</v>
      </c>
      <c r="E6480" t="s">
        <v>22</v>
      </c>
      <c r="F6480">
        <v>172</v>
      </c>
      <c r="G6480">
        <v>25</v>
      </c>
      <c r="H6480">
        <v>0.42</v>
      </c>
      <c r="I6480" t="s">
        <v>19</v>
      </c>
      <c r="J6480">
        <v>0</v>
      </c>
      <c r="K6480">
        <v>1</v>
      </c>
      <c r="L6480">
        <v>1</v>
      </c>
      <c r="M6480">
        <f>VLOOKUP(Table1[[#This Row],[subscription_type]],Plans!$A$1:$B$5,2,FALSE)</f>
        <v>9.99</v>
      </c>
      <c r="N6480">
        <f t="shared" si="101"/>
        <v>9.99</v>
      </c>
    </row>
    <row r="6481" spans="1:14" x14ac:dyDescent="0.35">
      <c r="A6481">
        <v>6480</v>
      </c>
      <c r="B6481" t="s">
        <v>20</v>
      </c>
      <c r="C6481">
        <v>35</v>
      </c>
      <c r="D6481" t="s">
        <v>29</v>
      </c>
      <c r="E6481" t="s">
        <v>24</v>
      </c>
      <c r="F6481">
        <v>78</v>
      </c>
      <c r="G6481">
        <v>8</v>
      </c>
      <c r="H6481">
        <v>0.05</v>
      </c>
      <c r="I6481" t="s">
        <v>23</v>
      </c>
      <c r="J6481">
        <v>0</v>
      </c>
      <c r="K6481">
        <v>1</v>
      </c>
      <c r="L6481">
        <v>1</v>
      </c>
      <c r="M6481">
        <f>VLOOKUP(Table1[[#This Row],[subscription_type]],Plans!$A$1:$B$5,2,FALSE)</f>
        <v>4.99</v>
      </c>
      <c r="N6481">
        <f t="shared" si="101"/>
        <v>4.99</v>
      </c>
    </row>
    <row r="6482" spans="1:14" x14ac:dyDescent="0.35">
      <c r="A6482">
        <v>6481</v>
      </c>
      <c r="B6482" t="s">
        <v>20</v>
      </c>
      <c r="C6482">
        <v>54</v>
      </c>
      <c r="D6482" t="s">
        <v>29</v>
      </c>
      <c r="E6482" t="s">
        <v>18</v>
      </c>
      <c r="F6482">
        <v>297</v>
      </c>
      <c r="G6482">
        <v>53</v>
      </c>
      <c r="H6482">
        <v>0.34</v>
      </c>
      <c r="I6482" t="s">
        <v>19</v>
      </c>
      <c r="J6482">
        <v>0</v>
      </c>
      <c r="K6482">
        <v>1</v>
      </c>
      <c r="L6482">
        <v>1</v>
      </c>
      <c r="M6482">
        <f>VLOOKUP(Table1[[#This Row],[subscription_type]],Plans!$A$1:$B$5,2,FALSE)</f>
        <v>14.99</v>
      </c>
      <c r="N6482">
        <f t="shared" si="101"/>
        <v>14.99</v>
      </c>
    </row>
    <row r="6483" spans="1:14" x14ac:dyDescent="0.35">
      <c r="A6483">
        <v>6482</v>
      </c>
      <c r="B6483" t="s">
        <v>20</v>
      </c>
      <c r="C6483">
        <v>47</v>
      </c>
      <c r="D6483" t="s">
        <v>26</v>
      </c>
      <c r="E6483" t="s">
        <v>14</v>
      </c>
      <c r="F6483">
        <v>18</v>
      </c>
      <c r="G6483">
        <v>22</v>
      </c>
      <c r="H6483">
        <v>0.59</v>
      </c>
      <c r="I6483" t="s">
        <v>23</v>
      </c>
      <c r="J6483">
        <v>43</v>
      </c>
      <c r="K6483">
        <v>0</v>
      </c>
      <c r="L6483">
        <v>0</v>
      </c>
      <c r="M6483">
        <f>VLOOKUP(Table1[[#This Row],[subscription_type]],Plans!$A$1:$B$5,2,FALSE)</f>
        <v>0</v>
      </c>
      <c r="N6483">
        <f t="shared" si="101"/>
        <v>0</v>
      </c>
    </row>
    <row r="6484" spans="1:14" x14ac:dyDescent="0.35">
      <c r="A6484">
        <v>6483</v>
      </c>
      <c r="B6484" t="s">
        <v>16</v>
      </c>
      <c r="C6484">
        <v>49</v>
      </c>
      <c r="D6484" t="s">
        <v>17</v>
      </c>
      <c r="E6484" t="s">
        <v>18</v>
      </c>
      <c r="F6484">
        <v>75</v>
      </c>
      <c r="G6484">
        <v>81</v>
      </c>
      <c r="H6484">
        <v>0.56999999999999995</v>
      </c>
      <c r="I6484" t="s">
        <v>23</v>
      </c>
      <c r="J6484">
        <v>0</v>
      </c>
      <c r="K6484">
        <v>1</v>
      </c>
      <c r="L6484">
        <v>1</v>
      </c>
      <c r="M6484">
        <f>VLOOKUP(Table1[[#This Row],[subscription_type]],Plans!$A$1:$B$5,2,FALSE)</f>
        <v>14.99</v>
      </c>
      <c r="N6484">
        <f t="shared" si="101"/>
        <v>14.99</v>
      </c>
    </row>
    <row r="6485" spans="1:14" x14ac:dyDescent="0.35">
      <c r="A6485">
        <v>6484</v>
      </c>
      <c r="B6485" t="s">
        <v>12</v>
      </c>
      <c r="C6485">
        <v>44</v>
      </c>
      <c r="D6485" t="s">
        <v>29</v>
      </c>
      <c r="E6485" t="s">
        <v>14</v>
      </c>
      <c r="F6485">
        <v>75</v>
      </c>
      <c r="G6485">
        <v>21</v>
      </c>
      <c r="H6485">
        <v>0.17</v>
      </c>
      <c r="I6485" t="s">
        <v>23</v>
      </c>
      <c r="J6485">
        <v>19</v>
      </c>
      <c r="K6485">
        <v>0</v>
      </c>
      <c r="L6485">
        <v>0</v>
      </c>
      <c r="M6485">
        <f>VLOOKUP(Table1[[#This Row],[subscription_type]],Plans!$A$1:$B$5,2,FALSE)</f>
        <v>0</v>
      </c>
      <c r="N6485">
        <f t="shared" si="101"/>
        <v>0</v>
      </c>
    </row>
    <row r="6486" spans="1:14" x14ac:dyDescent="0.35">
      <c r="A6486">
        <v>6485</v>
      </c>
      <c r="B6486" t="s">
        <v>16</v>
      </c>
      <c r="C6486">
        <v>21</v>
      </c>
      <c r="D6486" t="s">
        <v>29</v>
      </c>
      <c r="E6486" t="s">
        <v>22</v>
      </c>
      <c r="F6486">
        <v>82</v>
      </c>
      <c r="G6486">
        <v>73</v>
      </c>
      <c r="H6486">
        <v>0.26</v>
      </c>
      <c r="I6486" t="s">
        <v>23</v>
      </c>
      <c r="J6486">
        <v>0</v>
      </c>
      <c r="K6486">
        <v>1</v>
      </c>
      <c r="L6486">
        <v>1</v>
      </c>
      <c r="M6486">
        <f>VLOOKUP(Table1[[#This Row],[subscription_type]],Plans!$A$1:$B$5,2,FALSE)</f>
        <v>9.99</v>
      </c>
      <c r="N6486">
        <f t="shared" si="101"/>
        <v>9.99</v>
      </c>
    </row>
    <row r="6487" spans="1:14" x14ac:dyDescent="0.35">
      <c r="A6487">
        <v>6486</v>
      </c>
      <c r="B6487" t="s">
        <v>12</v>
      </c>
      <c r="C6487">
        <v>44</v>
      </c>
      <c r="D6487" t="s">
        <v>21</v>
      </c>
      <c r="E6487" t="s">
        <v>18</v>
      </c>
      <c r="F6487">
        <v>89</v>
      </c>
      <c r="G6487">
        <v>80</v>
      </c>
      <c r="H6487">
        <v>0.32</v>
      </c>
      <c r="I6487" t="s">
        <v>19</v>
      </c>
      <c r="J6487">
        <v>0</v>
      </c>
      <c r="K6487">
        <v>1</v>
      </c>
      <c r="L6487">
        <v>0</v>
      </c>
      <c r="M6487">
        <f>VLOOKUP(Table1[[#This Row],[subscription_type]],Plans!$A$1:$B$5,2,FALSE)</f>
        <v>14.99</v>
      </c>
      <c r="N6487">
        <f t="shared" si="101"/>
        <v>0</v>
      </c>
    </row>
    <row r="6488" spans="1:14" x14ac:dyDescent="0.35">
      <c r="A6488">
        <v>6487</v>
      </c>
      <c r="B6488" t="s">
        <v>16</v>
      </c>
      <c r="C6488">
        <v>49</v>
      </c>
      <c r="D6488" t="s">
        <v>17</v>
      </c>
      <c r="E6488" t="s">
        <v>18</v>
      </c>
      <c r="F6488">
        <v>242</v>
      </c>
      <c r="G6488">
        <v>93</v>
      </c>
      <c r="H6488">
        <v>0.28999999999999998</v>
      </c>
      <c r="I6488" t="s">
        <v>23</v>
      </c>
      <c r="J6488">
        <v>0</v>
      </c>
      <c r="K6488">
        <v>1</v>
      </c>
      <c r="L6488">
        <v>0</v>
      </c>
      <c r="M6488">
        <f>VLOOKUP(Table1[[#This Row],[subscription_type]],Plans!$A$1:$B$5,2,FALSE)</f>
        <v>14.99</v>
      </c>
      <c r="N6488">
        <f t="shared" si="101"/>
        <v>0</v>
      </c>
    </row>
    <row r="6489" spans="1:14" x14ac:dyDescent="0.35">
      <c r="A6489">
        <v>6488</v>
      </c>
      <c r="B6489" t="s">
        <v>16</v>
      </c>
      <c r="C6489">
        <v>30</v>
      </c>
      <c r="D6489" t="s">
        <v>17</v>
      </c>
      <c r="E6489" t="s">
        <v>24</v>
      </c>
      <c r="F6489">
        <v>50</v>
      </c>
      <c r="G6489">
        <v>29</v>
      </c>
      <c r="H6489">
        <v>0.16</v>
      </c>
      <c r="I6489" t="s">
        <v>23</v>
      </c>
      <c r="J6489">
        <v>0</v>
      </c>
      <c r="K6489">
        <v>1</v>
      </c>
      <c r="L6489">
        <v>0</v>
      </c>
      <c r="M6489">
        <f>VLOOKUP(Table1[[#This Row],[subscription_type]],Plans!$A$1:$B$5,2,FALSE)</f>
        <v>4.99</v>
      </c>
      <c r="N6489">
        <f t="shared" si="101"/>
        <v>0</v>
      </c>
    </row>
    <row r="6490" spans="1:14" x14ac:dyDescent="0.35">
      <c r="A6490">
        <v>6489</v>
      </c>
      <c r="B6490" t="s">
        <v>12</v>
      </c>
      <c r="C6490">
        <v>48</v>
      </c>
      <c r="D6490" t="s">
        <v>21</v>
      </c>
      <c r="E6490" t="s">
        <v>14</v>
      </c>
      <c r="F6490">
        <v>168</v>
      </c>
      <c r="G6490">
        <v>25</v>
      </c>
      <c r="H6490">
        <v>0.19</v>
      </c>
      <c r="I6490" t="s">
        <v>19</v>
      </c>
      <c r="J6490">
        <v>38</v>
      </c>
      <c r="K6490">
        <v>0</v>
      </c>
      <c r="L6490">
        <v>0</v>
      </c>
      <c r="M6490">
        <f>VLOOKUP(Table1[[#This Row],[subscription_type]],Plans!$A$1:$B$5,2,FALSE)</f>
        <v>0</v>
      </c>
      <c r="N6490">
        <f t="shared" si="101"/>
        <v>0</v>
      </c>
    </row>
    <row r="6491" spans="1:14" x14ac:dyDescent="0.35">
      <c r="A6491">
        <v>6490</v>
      </c>
      <c r="B6491" t="s">
        <v>16</v>
      </c>
      <c r="C6491">
        <v>38</v>
      </c>
      <c r="D6491" t="s">
        <v>29</v>
      </c>
      <c r="E6491" t="s">
        <v>18</v>
      </c>
      <c r="F6491">
        <v>217</v>
      </c>
      <c r="G6491">
        <v>38</v>
      </c>
      <c r="H6491">
        <v>0.34</v>
      </c>
      <c r="I6491" t="s">
        <v>15</v>
      </c>
      <c r="J6491">
        <v>0</v>
      </c>
      <c r="K6491">
        <v>1</v>
      </c>
      <c r="L6491">
        <v>0</v>
      </c>
      <c r="M6491">
        <f>VLOOKUP(Table1[[#This Row],[subscription_type]],Plans!$A$1:$B$5,2,FALSE)</f>
        <v>14.99</v>
      </c>
      <c r="N6491">
        <f t="shared" si="101"/>
        <v>0</v>
      </c>
    </row>
    <row r="6492" spans="1:14" x14ac:dyDescent="0.35">
      <c r="A6492">
        <v>6491</v>
      </c>
      <c r="B6492" t="s">
        <v>12</v>
      </c>
      <c r="C6492">
        <v>48</v>
      </c>
      <c r="D6492" t="s">
        <v>13</v>
      </c>
      <c r="E6492" t="s">
        <v>24</v>
      </c>
      <c r="F6492">
        <v>254</v>
      </c>
      <c r="G6492">
        <v>16</v>
      </c>
      <c r="H6492">
        <v>0.45</v>
      </c>
      <c r="I6492" t="s">
        <v>23</v>
      </c>
      <c r="J6492">
        <v>0</v>
      </c>
      <c r="K6492">
        <v>1</v>
      </c>
      <c r="L6492">
        <v>0</v>
      </c>
      <c r="M6492">
        <f>VLOOKUP(Table1[[#This Row],[subscription_type]],Plans!$A$1:$B$5,2,FALSE)</f>
        <v>4.99</v>
      </c>
      <c r="N6492">
        <f t="shared" si="101"/>
        <v>0</v>
      </c>
    </row>
    <row r="6493" spans="1:14" x14ac:dyDescent="0.35">
      <c r="A6493">
        <v>6492</v>
      </c>
      <c r="B6493" t="s">
        <v>12</v>
      </c>
      <c r="C6493">
        <v>44</v>
      </c>
      <c r="D6493" t="s">
        <v>29</v>
      </c>
      <c r="E6493" t="s">
        <v>24</v>
      </c>
      <c r="F6493">
        <v>190</v>
      </c>
      <c r="G6493">
        <v>36</v>
      </c>
      <c r="H6493">
        <v>0.27</v>
      </c>
      <c r="I6493" t="s">
        <v>19</v>
      </c>
      <c r="J6493">
        <v>0</v>
      </c>
      <c r="K6493">
        <v>1</v>
      </c>
      <c r="L6493">
        <v>0</v>
      </c>
      <c r="M6493">
        <f>VLOOKUP(Table1[[#This Row],[subscription_type]],Plans!$A$1:$B$5,2,FALSE)</f>
        <v>4.99</v>
      </c>
      <c r="N6493">
        <f t="shared" si="101"/>
        <v>0</v>
      </c>
    </row>
    <row r="6494" spans="1:14" x14ac:dyDescent="0.35">
      <c r="A6494">
        <v>6493</v>
      </c>
      <c r="B6494" t="s">
        <v>12</v>
      </c>
      <c r="C6494">
        <v>26</v>
      </c>
      <c r="D6494" t="s">
        <v>29</v>
      </c>
      <c r="E6494" t="s">
        <v>18</v>
      </c>
      <c r="F6494">
        <v>123</v>
      </c>
      <c r="G6494">
        <v>19</v>
      </c>
      <c r="H6494">
        <v>0.13</v>
      </c>
      <c r="I6494" t="s">
        <v>19</v>
      </c>
      <c r="J6494">
        <v>0</v>
      </c>
      <c r="K6494">
        <v>1</v>
      </c>
      <c r="L6494">
        <v>1</v>
      </c>
      <c r="M6494">
        <f>VLOOKUP(Table1[[#This Row],[subscription_type]],Plans!$A$1:$B$5,2,FALSE)</f>
        <v>14.99</v>
      </c>
      <c r="N6494">
        <f t="shared" si="101"/>
        <v>14.99</v>
      </c>
    </row>
    <row r="6495" spans="1:14" x14ac:dyDescent="0.35">
      <c r="A6495">
        <v>6494</v>
      </c>
      <c r="B6495" t="s">
        <v>20</v>
      </c>
      <c r="C6495">
        <v>34</v>
      </c>
      <c r="D6495" t="s">
        <v>13</v>
      </c>
      <c r="E6495" t="s">
        <v>18</v>
      </c>
      <c r="F6495">
        <v>47</v>
      </c>
      <c r="G6495">
        <v>58</v>
      </c>
      <c r="H6495">
        <v>0.59</v>
      </c>
      <c r="I6495" t="s">
        <v>19</v>
      </c>
      <c r="J6495">
        <v>0</v>
      </c>
      <c r="K6495">
        <v>1</v>
      </c>
      <c r="L6495">
        <v>1</v>
      </c>
      <c r="M6495">
        <f>VLOOKUP(Table1[[#This Row],[subscription_type]],Plans!$A$1:$B$5,2,FALSE)</f>
        <v>14.99</v>
      </c>
      <c r="N6495">
        <f t="shared" si="101"/>
        <v>14.99</v>
      </c>
    </row>
    <row r="6496" spans="1:14" x14ac:dyDescent="0.35">
      <c r="A6496">
        <v>6495</v>
      </c>
      <c r="B6496" t="s">
        <v>12</v>
      </c>
      <c r="C6496">
        <v>41</v>
      </c>
      <c r="D6496" t="s">
        <v>26</v>
      </c>
      <c r="E6496" t="s">
        <v>22</v>
      </c>
      <c r="F6496">
        <v>194</v>
      </c>
      <c r="G6496">
        <v>82</v>
      </c>
      <c r="H6496">
        <v>0.17</v>
      </c>
      <c r="I6496" t="s">
        <v>19</v>
      </c>
      <c r="J6496">
        <v>0</v>
      </c>
      <c r="K6496">
        <v>1</v>
      </c>
      <c r="L6496">
        <v>0</v>
      </c>
      <c r="M6496">
        <f>VLOOKUP(Table1[[#This Row],[subscription_type]],Plans!$A$1:$B$5,2,FALSE)</f>
        <v>9.99</v>
      </c>
      <c r="N6496">
        <f t="shared" si="101"/>
        <v>0</v>
      </c>
    </row>
    <row r="6497" spans="1:14" x14ac:dyDescent="0.35">
      <c r="A6497">
        <v>6496</v>
      </c>
      <c r="B6497" t="s">
        <v>20</v>
      </c>
      <c r="C6497">
        <v>44</v>
      </c>
      <c r="D6497" t="s">
        <v>28</v>
      </c>
      <c r="E6497" t="s">
        <v>18</v>
      </c>
      <c r="F6497">
        <v>67</v>
      </c>
      <c r="G6497">
        <v>66</v>
      </c>
      <c r="H6497">
        <v>0.53</v>
      </c>
      <c r="I6497" t="s">
        <v>23</v>
      </c>
      <c r="J6497">
        <v>0</v>
      </c>
      <c r="K6497">
        <v>1</v>
      </c>
      <c r="L6497">
        <v>0</v>
      </c>
      <c r="M6497">
        <f>VLOOKUP(Table1[[#This Row],[subscription_type]],Plans!$A$1:$B$5,2,FALSE)</f>
        <v>14.99</v>
      </c>
      <c r="N6497">
        <f t="shared" si="101"/>
        <v>0</v>
      </c>
    </row>
    <row r="6498" spans="1:14" x14ac:dyDescent="0.35">
      <c r="A6498">
        <v>6497</v>
      </c>
      <c r="B6498" t="s">
        <v>20</v>
      </c>
      <c r="C6498">
        <v>40</v>
      </c>
      <c r="D6498" t="s">
        <v>21</v>
      </c>
      <c r="E6498" t="s">
        <v>14</v>
      </c>
      <c r="F6498">
        <v>296</v>
      </c>
      <c r="G6498">
        <v>41</v>
      </c>
      <c r="H6498">
        <v>0.23</v>
      </c>
      <c r="I6498" t="s">
        <v>15</v>
      </c>
      <c r="J6498">
        <v>13</v>
      </c>
      <c r="K6498">
        <v>0</v>
      </c>
      <c r="L6498">
        <v>0</v>
      </c>
      <c r="M6498">
        <f>VLOOKUP(Table1[[#This Row],[subscription_type]],Plans!$A$1:$B$5,2,FALSE)</f>
        <v>0</v>
      </c>
      <c r="N6498">
        <f t="shared" si="101"/>
        <v>0</v>
      </c>
    </row>
    <row r="6499" spans="1:14" x14ac:dyDescent="0.35">
      <c r="A6499">
        <v>6498</v>
      </c>
      <c r="B6499" t="s">
        <v>12</v>
      </c>
      <c r="C6499">
        <v>51</v>
      </c>
      <c r="D6499" t="s">
        <v>28</v>
      </c>
      <c r="E6499" t="s">
        <v>22</v>
      </c>
      <c r="F6499">
        <v>118</v>
      </c>
      <c r="G6499">
        <v>80</v>
      </c>
      <c r="H6499">
        <v>0.23</v>
      </c>
      <c r="I6499" t="s">
        <v>19</v>
      </c>
      <c r="J6499">
        <v>0</v>
      </c>
      <c r="K6499">
        <v>1</v>
      </c>
      <c r="L6499">
        <v>0</v>
      </c>
      <c r="M6499">
        <f>VLOOKUP(Table1[[#This Row],[subscription_type]],Plans!$A$1:$B$5,2,FALSE)</f>
        <v>9.99</v>
      </c>
      <c r="N6499">
        <f t="shared" si="101"/>
        <v>0</v>
      </c>
    </row>
    <row r="6500" spans="1:14" x14ac:dyDescent="0.35">
      <c r="A6500">
        <v>6499</v>
      </c>
      <c r="B6500" t="s">
        <v>16</v>
      </c>
      <c r="C6500">
        <v>48</v>
      </c>
      <c r="D6500" t="s">
        <v>26</v>
      </c>
      <c r="E6500" t="s">
        <v>18</v>
      </c>
      <c r="F6500">
        <v>284</v>
      </c>
      <c r="G6500">
        <v>97</v>
      </c>
      <c r="H6500">
        <v>0.15</v>
      </c>
      <c r="I6500" t="s">
        <v>15</v>
      </c>
      <c r="J6500">
        <v>0</v>
      </c>
      <c r="K6500">
        <v>1</v>
      </c>
      <c r="L6500">
        <v>0</v>
      </c>
      <c r="M6500">
        <f>VLOOKUP(Table1[[#This Row],[subscription_type]],Plans!$A$1:$B$5,2,FALSE)</f>
        <v>14.99</v>
      </c>
      <c r="N6500">
        <f t="shared" si="101"/>
        <v>0</v>
      </c>
    </row>
    <row r="6501" spans="1:14" x14ac:dyDescent="0.35">
      <c r="A6501">
        <v>6500</v>
      </c>
      <c r="B6501" t="s">
        <v>12</v>
      </c>
      <c r="C6501">
        <v>56</v>
      </c>
      <c r="D6501" t="s">
        <v>29</v>
      </c>
      <c r="E6501" t="s">
        <v>24</v>
      </c>
      <c r="F6501">
        <v>245</v>
      </c>
      <c r="G6501">
        <v>10</v>
      </c>
      <c r="H6501">
        <v>0.5</v>
      </c>
      <c r="I6501" t="s">
        <v>19</v>
      </c>
      <c r="J6501">
        <v>0</v>
      </c>
      <c r="K6501">
        <v>1</v>
      </c>
      <c r="L6501">
        <v>0</v>
      </c>
      <c r="M6501">
        <f>VLOOKUP(Table1[[#This Row],[subscription_type]],Plans!$A$1:$B$5,2,FALSE)</f>
        <v>4.99</v>
      </c>
      <c r="N6501">
        <f t="shared" si="101"/>
        <v>0</v>
      </c>
    </row>
    <row r="6502" spans="1:14" x14ac:dyDescent="0.35">
      <c r="A6502">
        <v>6501</v>
      </c>
      <c r="B6502" t="s">
        <v>12</v>
      </c>
      <c r="C6502">
        <v>43</v>
      </c>
      <c r="D6502" t="s">
        <v>28</v>
      </c>
      <c r="E6502" t="s">
        <v>22</v>
      </c>
      <c r="F6502">
        <v>149</v>
      </c>
      <c r="G6502">
        <v>37</v>
      </c>
      <c r="H6502">
        <v>0.26</v>
      </c>
      <c r="I6502" t="s">
        <v>15</v>
      </c>
      <c r="J6502">
        <v>0</v>
      </c>
      <c r="K6502">
        <v>1</v>
      </c>
      <c r="L6502">
        <v>1</v>
      </c>
      <c r="M6502">
        <f>VLOOKUP(Table1[[#This Row],[subscription_type]],Plans!$A$1:$B$5,2,FALSE)</f>
        <v>9.99</v>
      </c>
      <c r="N6502">
        <f t="shared" si="101"/>
        <v>9.99</v>
      </c>
    </row>
    <row r="6503" spans="1:14" x14ac:dyDescent="0.35">
      <c r="A6503">
        <v>6502</v>
      </c>
      <c r="B6503" t="s">
        <v>16</v>
      </c>
      <c r="C6503">
        <v>47</v>
      </c>
      <c r="D6503" t="s">
        <v>17</v>
      </c>
      <c r="E6503" t="s">
        <v>18</v>
      </c>
      <c r="F6503">
        <v>281</v>
      </c>
      <c r="G6503">
        <v>31</v>
      </c>
      <c r="H6503">
        <v>0.19</v>
      </c>
      <c r="I6503" t="s">
        <v>23</v>
      </c>
      <c r="J6503">
        <v>0</v>
      </c>
      <c r="K6503">
        <v>1</v>
      </c>
      <c r="L6503">
        <v>0</v>
      </c>
      <c r="M6503">
        <f>VLOOKUP(Table1[[#This Row],[subscription_type]],Plans!$A$1:$B$5,2,FALSE)</f>
        <v>14.99</v>
      </c>
      <c r="N6503">
        <f t="shared" si="101"/>
        <v>0</v>
      </c>
    </row>
    <row r="6504" spans="1:14" x14ac:dyDescent="0.35">
      <c r="A6504">
        <v>6503</v>
      </c>
      <c r="B6504" t="s">
        <v>20</v>
      </c>
      <c r="C6504">
        <v>36</v>
      </c>
      <c r="D6504" t="s">
        <v>13</v>
      </c>
      <c r="E6504" t="s">
        <v>18</v>
      </c>
      <c r="F6504">
        <v>265</v>
      </c>
      <c r="G6504">
        <v>69</v>
      </c>
      <c r="H6504">
        <v>0.16</v>
      </c>
      <c r="I6504" t="s">
        <v>15</v>
      </c>
      <c r="J6504">
        <v>0</v>
      </c>
      <c r="K6504">
        <v>1</v>
      </c>
      <c r="L6504">
        <v>0</v>
      </c>
      <c r="M6504">
        <f>VLOOKUP(Table1[[#This Row],[subscription_type]],Plans!$A$1:$B$5,2,FALSE)</f>
        <v>14.99</v>
      </c>
      <c r="N6504">
        <f t="shared" si="101"/>
        <v>0</v>
      </c>
    </row>
    <row r="6505" spans="1:14" x14ac:dyDescent="0.35">
      <c r="A6505">
        <v>6504</v>
      </c>
      <c r="B6505" t="s">
        <v>20</v>
      </c>
      <c r="C6505">
        <v>27</v>
      </c>
      <c r="D6505" t="s">
        <v>28</v>
      </c>
      <c r="E6505" t="s">
        <v>24</v>
      </c>
      <c r="F6505">
        <v>56</v>
      </c>
      <c r="G6505">
        <v>31</v>
      </c>
      <c r="H6505">
        <v>0.16</v>
      </c>
      <c r="I6505" t="s">
        <v>15</v>
      </c>
      <c r="J6505">
        <v>0</v>
      </c>
      <c r="K6505">
        <v>1</v>
      </c>
      <c r="L6505">
        <v>0</v>
      </c>
      <c r="M6505">
        <f>VLOOKUP(Table1[[#This Row],[subscription_type]],Plans!$A$1:$B$5,2,FALSE)</f>
        <v>4.99</v>
      </c>
      <c r="N6505">
        <f t="shared" si="101"/>
        <v>0</v>
      </c>
    </row>
    <row r="6506" spans="1:14" x14ac:dyDescent="0.35">
      <c r="A6506">
        <v>6505</v>
      </c>
      <c r="B6506" t="s">
        <v>20</v>
      </c>
      <c r="C6506">
        <v>53</v>
      </c>
      <c r="D6506" t="s">
        <v>27</v>
      </c>
      <c r="E6506" t="s">
        <v>24</v>
      </c>
      <c r="F6506">
        <v>43</v>
      </c>
      <c r="G6506">
        <v>89</v>
      </c>
      <c r="H6506">
        <v>0.53</v>
      </c>
      <c r="I6506" t="s">
        <v>15</v>
      </c>
      <c r="J6506">
        <v>0</v>
      </c>
      <c r="K6506">
        <v>1</v>
      </c>
      <c r="L6506">
        <v>0</v>
      </c>
      <c r="M6506">
        <f>VLOOKUP(Table1[[#This Row],[subscription_type]],Plans!$A$1:$B$5,2,FALSE)</f>
        <v>4.99</v>
      </c>
      <c r="N6506">
        <f t="shared" si="101"/>
        <v>0</v>
      </c>
    </row>
    <row r="6507" spans="1:14" x14ac:dyDescent="0.35">
      <c r="A6507">
        <v>6506</v>
      </c>
      <c r="B6507" t="s">
        <v>12</v>
      </c>
      <c r="C6507">
        <v>27</v>
      </c>
      <c r="D6507" t="s">
        <v>28</v>
      </c>
      <c r="E6507" t="s">
        <v>24</v>
      </c>
      <c r="F6507">
        <v>220</v>
      </c>
      <c r="G6507">
        <v>93</v>
      </c>
      <c r="H6507">
        <v>0.34</v>
      </c>
      <c r="I6507" t="s">
        <v>23</v>
      </c>
      <c r="J6507">
        <v>0</v>
      </c>
      <c r="K6507">
        <v>1</v>
      </c>
      <c r="L6507">
        <v>0</v>
      </c>
      <c r="M6507">
        <f>VLOOKUP(Table1[[#This Row],[subscription_type]],Plans!$A$1:$B$5,2,FALSE)</f>
        <v>4.99</v>
      </c>
      <c r="N6507">
        <f t="shared" si="101"/>
        <v>0</v>
      </c>
    </row>
    <row r="6508" spans="1:14" x14ac:dyDescent="0.35">
      <c r="A6508">
        <v>6507</v>
      </c>
      <c r="B6508" t="s">
        <v>12</v>
      </c>
      <c r="C6508">
        <v>39</v>
      </c>
      <c r="D6508" t="s">
        <v>21</v>
      </c>
      <c r="E6508" t="s">
        <v>18</v>
      </c>
      <c r="F6508">
        <v>53</v>
      </c>
      <c r="G6508">
        <v>39</v>
      </c>
      <c r="H6508">
        <v>0.01</v>
      </c>
      <c r="I6508" t="s">
        <v>19</v>
      </c>
      <c r="J6508">
        <v>0</v>
      </c>
      <c r="K6508">
        <v>1</v>
      </c>
      <c r="L6508">
        <v>0</v>
      </c>
      <c r="M6508">
        <f>VLOOKUP(Table1[[#This Row],[subscription_type]],Plans!$A$1:$B$5,2,FALSE)</f>
        <v>14.99</v>
      </c>
      <c r="N6508">
        <f t="shared" si="101"/>
        <v>0</v>
      </c>
    </row>
    <row r="6509" spans="1:14" x14ac:dyDescent="0.35">
      <c r="A6509">
        <v>6508</v>
      </c>
      <c r="B6509" t="s">
        <v>20</v>
      </c>
      <c r="C6509">
        <v>39</v>
      </c>
      <c r="D6509" t="s">
        <v>27</v>
      </c>
      <c r="E6509" t="s">
        <v>18</v>
      </c>
      <c r="F6509">
        <v>146</v>
      </c>
      <c r="G6509">
        <v>32</v>
      </c>
      <c r="H6509">
        <v>0.41</v>
      </c>
      <c r="I6509" t="s">
        <v>23</v>
      </c>
      <c r="J6509">
        <v>0</v>
      </c>
      <c r="K6509">
        <v>1</v>
      </c>
      <c r="L6509">
        <v>0</v>
      </c>
      <c r="M6509">
        <f>VLOOKUP(Table1[[#This Row],[subscription_type]],Plans!$A$1:$B$5,2,FALSE)</f>
        <v>14.99</v>
      </c>
      <c r="N6509">
        <f t="shared" si="101"/>
        <v>0</v>
      </c>
    </row>
    <row r="6510" spans="1:14" x14ac:dyDescent="0.35">
      <c r="A6510">
        <v>6509</v>
      </c>
      <c r="B6510" t="s">
        <v>12</v>
      </c>
      <c r="C6510">
        <v>53</v>
      </c>
      <c r="D6510" t="s">
        <v>27</v>
      </c>
      <c r="E6510" t="s">
        <v>14</v>
      </c>
      <c r="F6510">
        <v>12</v>
      </c>
      <c r="G6510">
        <v>90</v>
      </c>
      <c r="H6510">
        <v>0.09</v>
      </c>
      <c r="I6510" t="s">
        <v>23</v>
      </c>
      <c r="J6510">
        <v>39</v>
      </c>
      <c r="K6510">
        <v>0</v>
      </c>
      <c r="L6510">
        <v>0</v>
      </c>
      <c r="M6510">
        <f>VLOOKUP(Table1[[#This Row],[subscription_type]],Plans!$A$1:$B$5,2,FALSE)</f>
        <v>0</v>
      </c>
      <c r="N6510">
        <f t="shared" si="101"/>
        <v>0</v>
      </c>
    </row>
    <row r="6511" spans="1:14" x14ac:dyDescent="0.35">
      <c r="A6511">
        <v>6510</v>
      </c>
      <c r="B6511" t="s">
        <v>16</v>
      </c>
      <c r="C6511">
        <v>18</v>
      </c>
      <c r="D6511" t="s">
        <v>26</v>
      </c>
      <c r="E6511" t="s">
        <v>18</v>
      </c>
      <c r="F6511">
        <v>256</v>
      </c>
      <c r="G6511">
        <v>17</v>
      </c>
      <c r="H6511">
        <v>0.1</v>
      </c>
      <c r="I6511" t="s">
        <v>15</v>
      </c>
      <c r="J6511">
        <v>0</v>
      </c>
      <c r="K6511">
        <v>1</v>
      </c>
      <c r="L6511">
        <v>1</v>
      </c>
      <c r="M6511">
        <f>VLOOKUP(Table1[[#This Row],[subscription_type]],Plans!$A$1:$B$5,2,FALSE)</f>
        <v>14.99</v>
      </c>
      <c r="N6511">
        <f t="shared" si="101"/>
        <v>14.99</v>
      </c>
    </row>
    <row r="6512" spans="1:14" x14ac:dyDescent="0.35">
      <c r="A6512">
        <v>6511</v>
      </c>
      <c r="B6512" t="s">
        <v>16</v>
      </c>
      <c r="C6512">
        <v>20</v>
      </c>
      <c r="D6512" t="s">
        <v>25</v>
      </c>
      <c r="E6512" t="s">
        <v>14</v>
      </c>
      <c r="F6512">
        <v>290</v>
      </c>
      <c r="G6512">
        <v>44</v>
      </c>
      <c r="H6512">
        <v>0.05</v>
      </c>
      <c r="I6512" t="s">
        <v>19</v>
      </c>
      <c r="J6512">
        <v>20</v>
      </c>
      <c r="K6512">
        <v>0</v>
      </c>
      <c r="L6512">
        <v>0</v>
      </c>
      <c r="M6512">
        <f>VLOOKUP(Table1[[#This Row],[subscription_type]],Plans!$A$1:$B$5,2,FALSE)</f>
        <v>0</v>
      </c>
      <c r="N6512">
        <f t="shared" si="101"/>
        <v>0</v>
      </c>
    </row>
    <row r="6513" spans="1:14" x14ac:dyDescent="0.35">
      <c r="A6513">
        <v>6512</v>
      </c>
      <c r="B6513" t="s">
        <v>16</v>
      </c>
      <c r="C6513">
        <v>20</v>
      </c>
      <c r="D6513" t="s">
        <v>25</v>
      </c>
      <c r="E6513" t="s">
        <v>14</v>
      </c>
      <c r="F6513">
        <v>123</v>
      </c>
      <c r="G6513">
        <v>80</v>
      </c>
      <c r="H6513">
        <v>0.33</v>
      </c>
      <c r="I6513" t="s">
        <v>19</v>
      </c>
      <c r="J6513">
        <v>22</v>
      </c>
      <c r="K6513">
        <v>0</v>
      </c>
      <c r="L6513">
        <v>0</v>
      </c>
      <c r="M6513">
        <f>VLOOKUP(Table1[[#This Row],[subscription_type]],Plans!$A$1:$B$5,2,FALSE)</f>
        <v>0</v>
      </c>
      <c r="N6513">
        <f t="shared" si="101"/>
        <v>0</v>
      </c>
    </row>
    <row r="6514" spans="1:14" x14ac:dyDescent="0.35">
      <c r="A6514">
        <v>6513</v>
      </c>
      <c r="B6514" t="s">
        <v>12</v>
      </c>
      <c r="C6514">
        <v>40</v>
      </c>
      <c r="D6514" t="s">
        <v>28</v>
      </c>
      <c r="E6514" t="s">
        <v>14</v>
      </c>
      <c r="F6514">
        <v>174</v>
      </c>
      <c r="G6514">
        <v>12</v>
      </c>
      <c r="H6514">
        <v>0.2</v>
      </c>
      <c r="I6514" t="s">
        <v>15</v>
      </c>
      <c r="J6514">
        <v>15</v>
      </c>
      <c r="K6514">
        <v>0</v>
      </c>
      <c r="L6514">
        <v>1</v>
      </c>
      <c r="M6514">
        <f>VLOOKUP(Table1[[#This Row],[subscription_type]],Plans!$A$1:$B$5,2,FALSE)</f>
        <v>0</v>
      </c>
      <c r="N6514">
        <f t="shared" si="101"/>
        <v>0</v>
      </c>
    </row>
    <row r="6515" spans="1:14" x14ac:dyDescent="0.35">
      <c r="A6515">
        <v>6514</v>
      </c>
      <c r="B6515" t="s">
        <v>12</v>
      </c>
      <c r="C6515">
        <v>18</v>
      </c>
      <c r="D6515" t="s">
        <v>27</v>
      </c>
      <c r="E6515" t="s">
        <v>18</v>
      </c>
      <c r="F6515">
        <v>64</v>
      </c>
      <c r="G6515">
        <v>41</v>
      </c>
      <c r="H6515">
        <v>0.54</v>
      </c>
      <c r="I6515" t="s">
        <v>15</v>
      </c>
      <c r="J6515">
        <v>0</v>
      </c>
      <c r="K6515">
        <v>1</v>
      </c>
      <c r="L6515">
        <v>0</v>
      </c>
      <c r="M6515">
        <f>VLOOKUP(Table1[[#This Row],[subscription_type]],Plans!$A$1:$B$5,2,FALSE)</f>
        <v>14.99</v>
      </c>
      <c r="N6515">
        <f t="shared" si="101"/>
        <v>0</v>
      </c>
    </row>
    <row r="6516" spans="1:14" x14ac:dyDescent="0.35">
      <c r="A6516">
        <v>6515</v>
      </c>
      <c r="B6516" t="s">
        <v>16</v>
      </c>
      <c r="C6516">
        <v>37</v>
      </c>
      <c r="D6516" t="s">
        <v>26</v>
      </c>
      <c r="E6516" t="s">
        <v>22</v>
      </c>
      <c r="F6516">
        <v>185</v>
      </c>
      <c r="G6516">
        <v>65</v>
      </c>
      <c r="H6516">
        <v>0.19</v>
      </c>
      <c r="I6516" t="s">
        <v>19</v>
      </c>
      <c r="J6516">
        <v>0</v>
      </c>
      <c r="K6516">
        <v>1</v>
      </c>
      <c r="L6516">
        <v>0</v>
      </c>
      <c r="M6516">
        <f>VLOOKUP(Table1[[#This Row],[subscription_type]],Plans!$A$1:$B$5,2,FALSE)</f>
        <v>9.99</v>
      </c>
      <c r="N6516">
        <f t="shared" si="101"/>
        <v>0</v>
      </c>
    </row>
    <row r="6517" spans="1:14" x14ac:dyDescent="0.35">
      <c r="A6517">
        <v>6516</v>
      </c>
      <c r="B6517" t="s">
        <v>16</v>
      </c>
      <c r="C6517">
        <v>31</v>
      </c>
      <c r="D6517" t="s">
        <v>17</v>
      </c>
      <c r="E6517" t="s">
        <v>22</v>
      </c>
      <c r="F6517">
        <v>85</v>
      </c>
      <c r="G6517">
        <v>92</v>
      </c>
      <c r="H6517">
        <v>0.18</v>
      </c>
      <c r="I6517" t="s">
        <v>15</v>
      </c>
      <c r="J6517">
        <v>0</v>
      </c>
      <c r="K6517">
        <v>1</v>
      </c>
      <c r="L6517">
        <v>0</v>
      </c>
      <c r="M6517">
        <f>VLOOKUP(Table1[[#This Row],[subscription_type]],Plans!$A$1:$B$5,2,FALSE)</f>
        <v>9.99</v>
      </c>
      <c r="N6517">
        <f t="shared" si="101"/>
        <v>0</v>
      </c>
    </row>
    <row r="6518" spans="1:14" x14ac:dyDescent="0.35">
      <c r="A6518">
        <v>6517</v>
      </c>
      <c r="B6518" t="s">
        <v>20</v>
      </c>
      <c r="C6518">
        <v>18</v>
      </c>
      <c r="D6518" t="s">
        <v>27</v>
      </c>
      <c r="E6518" t="s">
        <v>22</v>
      </c>
      <c r="F6518">
        <v>255</v>
      </c>
      <c r="G6518">
        <v>75</v>
      </c>
      <c r="H6518">
        <v>0.56999999999999995</v>
      </c>
      <c r="I6518" t="s">
        <v>23</v>
      </c>
      <c r="J6518">
        <v>0</v>
      </c>
      <c r="K6518">
        <v>1</v>
      </c>
      <c r="L6518">
        <v>0</v>
      </c>
      <c r="M6518">
        <f>VLOOKUP(Table1[[#This Row],[subscription_type]],Plans!$A$1:$B$5,2,FALSE)</f>
        <v>9.99</v>
      </c>
      <c r="N6518">
        <f t="shared" si="101"/>
        <v>0</v>
      </c>
    </row>
    <row r="6519" spans="1:14" x14ac:dyDescent="0.35">
      <c r="A6519">
        <v>6518</v>
      </c>
      <c r="B6519" t="s">
        <v>12</v>
      </c>
      <c r="C6519">
        <v>48</v>
      </c>
      <c r="D6519" t="s">
        <v>29</v>
      </c>
      <c r="E6519" t="s">
        <v>18</v>
      </c>
      <c r="F6519">
        <v>162</v>
      </c>
      <c r="G6519">
        <v>24</v>
      </c>
      <c r="H6519">
        <v>0.15</v>
      </c>
      <c r="I6519" t="s">
        <v>15</v>
      </c>
      <c r="J6519">
        <v>0</v>
      </c>
      <c r="K6519">
        <v>1</v>
      </c>
      <c r="L6519">
        <v>0</v>
      </c>
      <c r="M6519">
        <f>VLOOKUP(Table1[[#This Row],[subscription_type]],Plans!$A$1:$B$5,2,FALSE)</f>
        <v>14.99</v>
      </c>
      <c r="N6519">
        <f t="shared" si="101"/>
        <v>0</v>
      </c>
    </row>
    <row r="6520" spans="1:14" x14ac:dyDescent="0.35">
      <c r="A6520">
        <v>6519</v>
      </c>
      <c r="B6520" t="s">
        <v>12</v>
      </c>
      <c r="C6520">
        <v>37</v>
      </c>
      <c r="D6520" t="s">
        <v>13</v>
      </c>
      <c r="E6520" t="s">
        <v>18</v>
      </c>
      <c r="F6520">
        <v>262</v>
      </c>
      <c r="G6520">
        <v>53</v>
      </c>
      <c r="H6520">
        <v>0.55000000000000004</v>
      </c>
      <c r="I6520" t="s">
        <v>15</v>
      </c>
      <c r="J6520">
        <v>0</v>
      </c>
      <c r="K6520">
        <v>1</v>
      </c>
      <c r="L6520">
        <v>0</v>
      </c>
      <c r="M6520">
        <f>VLOOKUP(Table1[[#This Row],[subscription_type]],Plans!$A$1:$B$5,2,FALSE)</f>
        <v>14.99</v>
      </c>
      <c r="N6520">
        <f t="shared" si="101"/>
        <v>0</v>
      </c>
    </row>
    <row r="6521" spans="1:14" x14ac:dyDescent="0.35">
      <c r="A6521">
        <v>6520</v>
      </c>
      <c r="B6521" t="s">
        <v>16</v>
      </c>
      <c r="C6521">
        <v>21</v>
      </c>
      <c r="D6521" t="s">
        <v>29</v>
      </c>
      <c r="E6521" t="s">
        <v>22</v>
      </c>
      <c r="F6521">
        <v>230</v>
      </c>
      <c r="G6521">
        <v>46</v>
      </c>
      <c r="H6521">
        <v>0.44</v>
      </c>
      <c r="I6521" t="s">
        <v>23</v>
      </c>
      <c r="J6521">
        <v>0</v>
      </c>
      <c r="K6521">
        <v>1</v>
      </c>
      <c r="L6521">
        <v>0</v>
      </c>
      <c r="M6521">
        <f>VLOOKUP(Table1[[#This Row],[subscription_type]],Plans!$A$1:$B$5,2,FALSE)</f>
        <v>9.99</v>
      </c>
      <c r="N6521">
        <f t="shared" si="101"/>
        <v>0</v>
      </c>
    </row>
    <row r="6522" spans="1:14" x14ac:dyDescent="0.35">
      <c r="A6522">
        <v>6521</v>
      </c>
      <c r="B6522" t="s">
        <v>16</v>
      </c>
      <c r="C6522">
        <v>38</v>
      </c>
      <c r="D6522" t="s">
        <v>13</v>
      </c>
      <c r="E6522" t="s">
        <v>18</v>
      </c>
      <c r="F6522">
        <v>294</v>
      </c>
      <c r="G6522">
        <v>33</v>
      </c>
      <c r="H6522">
        <v>7.0000000000000007E-2</v>
      </c>
      <c r="I6522" t="s">
        <v>15</v>
      </c>
      <c r="J6522">
        <v>0</v>
      </c>
      <c r="K6522">
        <v>1</v>
      </c>
      <c r="L6522">
        <v>0</v>
      </c>
      <c r="M6522">
        <f>VLOOKUP(Table1[[#This Row],[subscription_type]],Plans!$A$1:$B$5,2,FALSE)</f>
        <v>14.99</v>
      </c>
      <c r="N6522">
        <f t="shared" si="101"/>
        <v>0</v>
      </c>
    </row>
    <row r="6523" spans="1:14" x14ac:dyDescent="0.35">
      <c r="A6523">
        <v>6522</v>
      </c>
      <c r="B6523" t="s">
        <v>12</v>
      </c>
      <c r="C6523">
        <v>18</v>
      </c>
      <c r="D6523" t="s">
        <v>29</v>
      </c>
      <c r="E6523" t="s">
        <v>14</v>
      </c>
      <c r="F6523">
        <v>146</v>
      </c>
      <c r="G6523">
        <v>85</v>
      </c>
      <c r="H6523">
        <v>0.51</v>
      </c>
      <c r="I6523" t="s">
        <v>15</v>
      </c>
      <c r="J6523">
        <v>19</v>
      </c>
      <c r="K6523">
        <v>0</v>
      </c>
      <c r="L6523">
        <v>0</v>
      </c>
      <c r="M6523">
        <f>VLOOKUP(Table1[[#This Row],[subscription_type]],Plans!$A$1:$B$5,2,FALSE)</f>
        <v>0</v>
      </c>
      <c r="N6523">
        <f t="shared" si="101"/>
        <v>0</v>
      </c>
    </row>
    <row r="6524" spans="1:14" x14ac:dyDescent="0.35">
      <c r="A6524">
        <v>6523</v>
      </c>
      <c r="B6524" t="s">
        <v>16</v>
      </c>
      <c r="C6524">
        <v>43</v>
      </c>
      <c r="D6524" t="s">
        <v>27</v>
      </c>
      <c r="E6524" t="s">
        <v>14</v>
      </c>
      <c r="F6524">
        <v>105</v>
      </c>
      <c r="G6524">
        <v>66</v>
      </c>
      <c r="H6524">
        <v>0.48</v>
      </c>
      <c r="I6524" t="s">
        <v>15</v>
      </c>
      <c r="J6524">
        <v>36</v>
      </c>
      <c r="K6524">
        <v>0</v>
      </c>
      <c r="L6524">
        <v>0</v>
      </c>
      <c r="M6524">
        <f>VLOOKUP(Table1[[#This Row],[subscription_type]],Plans!$A$1:$B$5,2,FALSE)</f>
        <v>0</v>
      </c>
      <c r="N6524">
        <f t="shared" si="101"/>
        <v>0</v>
      </c>
    </row>
    <row r="6525" spans="1:14" x14ac:dyDescent="0.35">
      <c r="A6525">
        <v>6524</v>
      </c>
      <c r="B6525" t="s">
        <v>16</v>
      </c>
      <c r="C6525">
        <v>51</v>
      </c>
      <c r="D6525" t="s">
        <v>28</v>
      </c>
      <c r="E6525" t="s">
        <v>22</v>
      </c>
      <c r="F6525">
        <v>147</v>
      </c>
      <c r="G6525">
        <v>77</v>
      </c>
      <c r="H6525">
        <v>0.09</v>
      </c>
      <c r="I6525" t="s">
        <v>19</v>
      </c>
      <c r="J6525">
        <v>0</v>
      </c>
      <c r="K6525">
        <v>1</v>
      </c>
      <c r="L6525">
        <v>0</v>
      </c>
      <c r="M6525">
        <f>VLOOKUP(Table1[[#This Row],[subscription_type]],Plans!$A$1:$B$5,2,FALSE)</f>
        <v>9.99</v>
      </c>
      <c r="N6525">
        <f t="shared" si="101"/>
        <v>0</v>
      </c>
    </row>
    <row r="6526" spans="1:14" x14ac:dyDescent="0.35">
      <c r="A6526">
        <v>6525</v>
      </c>
      <c r="B6526" t="s">
        <v>20</v>
      </c>
      <c r="C6526">
        <v>22</v>
      </c>
      <c r="D6526" t="s">
        <v>13</v>
      </c>
      <c r="E6526" t="s">
        <v>18</v>
      </c>
      <c r="F6526">
        <v>275</v>
      </c>
      <c r="G6526">
        <v>18</v>
      </c>
      <c r="H6526">
        <v>0.12</v>
      </c>
      <c r="I6526" t="s">
        <v>15</v>
      </c>
      <c r="J6526">
        <v>0</v>
      </c>
      <c r="K6526">
        <v>1</v>
      </c>
      <c r="L6526">
        <v>0</v>
      </c>
      <c r="M6526">
        <f>VLOOKUP(Table1[[#This Row],[subscription_type]],Plans!$A$1:$B$5,2,FALSE)</f>
        <v>14.99</v>
      </c>
      <c r="N6526">
        <f t="shared" si="101"/>
        <v>0</v>
      </c>
    </row>
    <row r="6527" spans="1:14" x14ac:dyDescent="0.35">
      <c r="A6527">
        <v>6526</v>
      </c>
      <c r="B6527" t="s">
        <v>12</v>
      </c>
      <c r="C6527">
        <v>43</v>
      </c>
      <c r="D6527" t="s">
        <v>21</v>
      </c>
      <c r="E6527" t="s">
        <v>24</v>
      </c>
      <c r="F6527">
        <v>299</v>
      </c>
      <c r="G6527">
        <v>39</v>
      </c>
      <c r="H6527">
        <v>0.12</v>
      </c>
      <c r="I6527" t="s">
        <v>15</v>
      </c>
      <c r="J6527">
        <v>0</v>
      </c>
      <c r="K6527">
        <v>1</v>
      </c>
      <c r="L6527">
        <v>0</v>
      </c>
      <c r="M6527">
        <f>VLOOKUP(Table1[[#This Row],[subscription_type]],Plans!$A$1:$B$5,2,FALSE)</f>
        <v>4.99</v>
      </c>
      <c r="N6527">
        <f t="shared" si="101"/>
        <v>0</v>
      </c>
    </row>
    <row r="6528" spans="1:14" x14ac:dyDescent="0.35">
      <c r="A6528">
        <v>6527</v>
      </c>
      <c r="B6528" t="s">
        <v>20</v>
      </c>
      <c r="C6528">
        <v>33</v>
      </c>
      <c r="D6528" t="s">
        <v>28</v>
      </c>
      <c r="E6528" t="s">
        <v>18</v>
      </c>
      <c r="F6528">
        <v>220</v>
      </c>
      <c r="G6528">
        <v>81</v>
      </c>
      <c r="H6528">
        <v>0.16</v>
      </c>
      <c r="I6528" t="s">
        <v>23</v>
      </c>
      <c r="J6528">
        <v>0</v>
      </c>
      <c r="K6528">
        <v>1</v>
      </c>
      <c r="L6528">
        <v>0</v>
      </c>
      <c r="M6528">
        <f>VLOOKUP(Table1[[#This Row],[subscription_type]],Plans!$A$1:$B$5,2,FALSE)</f>
        <v>14.99</v>
      </c>
      <c r="N6528">
        <f t="shared" si="101"/>
        <v>0</v>
      </c>
    </row>
    <row r="6529" spans="1:14" x14ac:dyDescent="0.35">
      <c r="A6529">
        <v>6528</v>
      </c>
      <c r="B6529" t="s">
        <v>20</v>
      </c>
      <c r="C6529">
        <v>54</v>
      </c>
      <c r="D6529" t="s">
        <v>13</v>
      </c>
      <c r="E6529" t="s">
        <v>24</v>
      </c>
      <c r="F6529">
        <v>272</v>
      </c>
      <c r="G6529">
        <v>98</v>
      </c>
      <c r="H6529">
        <v>0.57999999999999996</v>
      </c>
      <c r="I6529" t="s">
        <v>19</v>
      </c>
      <c r="J6529">
        <v>0</v>
      </c>
      <c r="K6529">
        <v>1</v>
      </c>
      <c r="L6529">
        <v>0</v>
      </c>
      <c r="M6529">
        <f>VLOOKUP(Table1[[#This Row],[subscription_type]],Plans!$A$1:$B$5,2,FALSE)</f>
        <v>4.99</v>
      </c>
      <c r="N6529">
        <f t="shared" si="101"/>
        <v>0</v>
      </c>
    </row>
    <row r="6530" spans="1:14" x14ac:dyDescent="0.35">
      <c r="A6530">
        <v>6529</v>
      </c>
      <c r="B6530" t="s">
        <v>12</v>
      </c>
      <c r="C6530">
        <v>20</v>
      </c>
      <c r="D6530" t="s">
        <v>29</v>
      </c>
      <c r="E6530" t="s">
        <v>24</v>
      </c>
      <c r="F6530">
        <v>264</v>
      </c>
      <c r="G6530">
        <v>80</v>
      </c>
      <c r="H6530">
        <v>0.3</v>
      </c>
      <c r="I6530" t="s">
        <v>19</v>
      </c>
      <c r="J6530">
        <v>0</v>
      </c>
      <c r="K6530">
        <v>1</v>
      </c>
      <c r="L6530">
        <v>1</v>
      </c>
      <c r="M6530">
        <f>VLOOKUP(Table1[[#This Row],[subscription_type]],Plans!$A$1:$B$5,2,FALSE)</f>
        <v>4.99</v>
      </c>
      <c r="N6530">
        <f t="shared" ref="N6530:N6593" si="102">IF(L6530=1, M6530,0)</f>
        <v>4.99</v>
      </c>
    </row>
    <row r="6531" spans="1:14" x14ac:dyDescent="0.35">
      <c r="A6531">
        <v>6530</v>
      </c>
      <c r="B6531" t="s">
        <v>12</v>
      </c>
      <c r="C6531">
        <v>18</v>
      </c>
      <c r="D6531" t="s">
        <v>13</v>
      </c>
      <c r="E6531" t="s">
        <v>14</v>
      </c>
      <c r="F6531">
        <v>54</v>
      </c>
      <c r="G6531">
        <v>38</v>
      </c>
      <c r="H6531">
        <v>0.56000000000000005</v>
      </c>
      <c r="I6531" t="s">
        <v>23</v>
      </c>
      <c r="J6531">
        <v>30</v>
      </c>
      <c r="K6531">
        <v>0</v>
      </c>
      <c r="L6531">
        <v>0</v>
      </c>
      <c r="M6531">
        <f>VLOOKUP(Table1[[#This Row],[subscription_type]],Plans!$A$1:$B$5,2,FALSE)</f>
        <v>0</v>
      </c>
      <c r="N6531">
        <f t="shared" si="102"/>
        <v>0</v>
      </c>
    </row>
    <row r="6532" spans="1:14" x14ac:dyDescent="0.35">
      <c r="A6532">
        <v>6531</v>
      </c>
      <c r="B6532" t="s">
        <v>16</v>
      </c>
      <c r="C6532">
        <v>26</v>
      </c>
      <c r="D6532" t="s">
        <v>13</v>
      </c>
      <c r="E6532" t="s">
        <v>14</v>
      </c>
      <c r="F6532">
        <v>23</v>
      </c>
      <c r="G6532">
        <v>87</v>
      </c>
      <c r="H6532">
        <v>0.11</v>
      </c>
      <c r="I6532" t="s">
        <v>23</v>
      </c>
      <c r="J6532">
        <v>27</v>
      </c>
      <c r="K6532">
        <v>0</v>
      </c>
      <c r="L6532">
        <v>0</v>
      </c>
      <c r="M6532">
        <f>VLOOKUP(Table1[[#This Row],[subscription_type]],Plans!$A$1:$B$5,2,FALSE)</f>
        <v>0</v>
      </c>
      <c r="N6532">
        <f t="shared" si="102"/>
        <v>0</v>
      </c>
    </row>
    <row r="6533" spans="1:14" x14ac:dyDescent="0.35">
      <c r="A6533">
        <v>6532</v>
      </c>
      <c r="B6533" t="s">
        <v>16</v>
      </c>
      <c r="C6533">
        <v>30</v>
      </c>
      <c r="D6533" t="s">
        <v>13</v>
      </c>
      <c r="E6533" t="s">
        <v>24</v>
      </c>
      <c r="F6533">
        <v>43</v>
      </c>
      <c r="G6533">
        <v>43</v>
      </c>
      <c r="H6533">
        <v>0.08</v>
      </c>
      <c r="I6533" t="s">
        <v>19</v>
      </c>
      <c r="J6533">
        <v>0</v>
      </c>
      <c r="K6533">
        <v>1</v>
      </c>
      <c r="L6533">
        <v>0</v>
      </c>
      <c r="M6533">
        <f>VLOOKUP(Table1[[#This Row],[subscription_type]],Plans!$A$1:$B$5,2,FALSE)</f>
        <v>4.99</v>
      </c>
      <c r="N6533">
        <f t="shared" si="102"/>
        <v>0</v>
      </c>
    </row>
    <row r="6534" spans="1:14" x14ac:dyDescent="0.35">
      <c r="A6534">
        <v>6533</v>
      </c>
      <c r="B6534" t="s">
        <v>20</v>
      </c>
      <c r="C6534">
        <v>22</v>
      </c>
      <c r="D6534" t="s">
        <v>13</v>
      </c>
      <c r="E6534" t="s">
        <v>22</v>
      </c>
      <c r="F6534">
        <v>169</v>
      </c>
      <c r="G6534">
        <v>28</v>
      </c>
      <c r="H6534">
        <v>0.4</v>
      </c>
      <c r="I6534" t="s">
        <v>23</v>
      </c>
      <c r="J6534">
        <v>0</v>
      </c>
      <c r="K6534">
        <v>1</v>
      </c>
      <c r="L6534">
        <v>1</v>
      </c>
      <c r="M6534">
        <f>VLOOKUP(Table1[[#This Row],[subscription_type]],Plans!$A$1:$B$5,2,FALSE)</f>
        <v>9.99</v>
      </c>
      <c r="N6534">
        <f t="shared" si="102"/>
        <v>9.99</v>
      </c>
    </row>
    <row r="6535" spans="1:14" x14ac:dyDescent="0.35">
      <c r="A6535">
        <v>6534</v>
      </c>
      <c r="B6535" t="s">
        <v>20</v>
      </c>
      <c r="C6535">
        <v>24</v>
      </c>
      <c r="D6535" t="s">
        <v>17</v>
      </c>
      <c r="E6535" t="s">
        <v>14</v>
      </c>
      <c r="F6535">
        <v>52</v>
      </c>
      <c r="G6535">
        <v>21</v>
      </c>
      <c r="H6535">
        <v>0.52</v>
      </c>
      <c r="I6535" t="s">
        <v>23</v>
      </c>
      <c r="J6535">
        <v>5</v>
      </c>
      <c r="K6535">
        <v>0</v>
      </c>
      <c r="L6535">
        <v>0</v>
      </c>
      <c r="M6535">
        <f>VLOOKUP(Table1[[#This Row],[subscription_type]],Plans!$A$1:$B$5,2,FALSE)</f>
        <v>0</v>
      </c>
      <c r="N6535">
        <f t="shared" si="102"/>
        <v>0</v>
      </c>
    </row>
    <row r="6536" spans="1:14" x14ac:dyDescent="0.35">
      <c r="A6536">
        <v>6535</v>
      </c>
      <c r="B6536" t="s">
        <v>12</v>
      </c>
      <c r="C6536">
        <v>48</v>
      </c>
      <c r="D6536" t="s">
        <v>17</v>
      </c>
      <c r="E6536" t="s">
        <v>18</v>
      </c>
      <c r="F6536">
        <v>189</v>
      </c>
      <c r="G6536">
        <v>92</v>
      </c>
      <c r="H6536">
        <v>0.23</v>
      </c>
      <c r="I6536" t="s">
        <v>19</v>
      </c>
      <c r="J6536">
        <v>0</v>
      </c>
      <c r="K6536">
        <v>1</v>
      </c>
      <c r="L6536">
        <v>0</v>
      </c>
      <c r="M6536">
        <f>VLOOKUP(Table1[[#This Row],[subscription_type]],Plans!$A$1:$B$5,2,FALSE)</f>
        <v>14.99</v>
      </c>
      <c r="N6536">
        <f t="shared" si="102"/>
        <v>0</v>
      </c>
    </row>
    <row r="6537" spans="1:14" x14ac:dyDescent="0.35">
      <c r="A6537">
        <v>6536</v>
      </c>
      <c r="B6537" t="s">
        <v>20</v>
      </c>
      <c r="C6537">
        <v>31</v>
      </c>
      <c r="D6537" t="s">
        <v>25</v>
      </c>
      <c r="E6537" t="s">
        <v>22</v>
      </c>
      <c r="F6537">
        <v>14</v>
      </c>
      <c r="G6537">
        <v>92</v>
      </c>
      <c r="H6537">
        <v>0.31</v>
      </c>
      <c r="I6537" t="s">
        <v>15</v>
      </c>
      <c r="J6537">
        <v>0</v>
      </c>
      <c r="K6537">
        <v>1</v>
      </c>
      <c r="L6537">
        <v>0</v>
      </c>
      <c r="M6537">
        <f>VLOOKUP(Table1[[#This Row],[subscription_type]],Plans!$A$1:$B$5,2,FALSE)</f>
        <v>9.99</v>
      </c>
      <c r="N6537">
        <f t="shared" si="102"/>
        <v>0</v>
      </c>
    </row>
    <row r="6538" spans="1:14" x14ac:dyDescent="0.35">
      <c r="A6538">
        <v>6537</v>
      </c>
      <c r="B6538" t="s">
        <v>20</v>
      </c>
      <c r="C6538">
        <v>23</v>
      </c>
      <c r="D6538" t="s">
        <v>25</v>
      </c>
      <c r="E6538" t="s">
        <v>22</v>
      </c>
      <c r="F6538">
        <v>51</v>
      </c>
      <c r="G6538">
        <v>63</v>
      </c>
      <c r="H6538">
        <v>0.15</v>
      </c>
      <c r="I6538" t="s">
        <v>19</v>
      </c>
      <c r="J6538">
        <v>0</v>
      </c>
      <c r="K6538">
        <v>1</v>
      </c>
      <c r="L6538">
        <v>0</v>
      </c>
      <c r="M6538">
        <f>VLOOKUP(Table1[[#This Row],[subscription_type]],Plans!$A$1:$B$5,2,FALSE)</f>
        <v>9.99</v>
      </c>
      <c r="N6538">
        <f t="shared" si="102"/>
        <v>0</v>
      </c>
    </row>
    <row r="6539" spans="1:14" x14ac:dyDescent="0.35">
      <c r="A6539">
        <v>6538</v>
      </c>
      <c r="B6539" t="s">
        <v>20</v>
      </c>
      <c r="C6539">
        <v>33</v>
      </c>
      <c r="D6539" t="s">
        <v>13</v>
      </c>
      <c r="E6539" t="s">
        <v>24</v>
      </c>
      <c r="F6539">
        <v>41</v>
      </c>
      <c r="G6539">
        <v>22</v>
      </c>
      <c r="H6539">
        <v>0.55000000000000004</v>
      </c>
      <c r="I6539" t="s">
        <v>15</v>
      </c>
      <c r="J6539">
        <v>0</v>
      </c>
      <c r="K6539">
        <v>1</v>
      </c>
      <c r="L6539">
        <v>1</v>
      </c>
      <c r="M6539">
        <f>VLOOKUP(Table1[[#This Row],[subscription_type]],Plans!$A$1:$B$5,2,FALSE)</f>
        <v>4.99</v>
      </c>
      <c r="N6539">
        <f t="shared" si="102"/>
        <v>4.99</v>
      </c>
    </row>
    <row r="6540" spans="1:14" x14ac:dyDescent="0.35">
      <c r="A6540">
        <v>6539</v>
      </c>
      <c r="B6540" t="s">
        <v>20</v>
      </c>
      <c r="C6540">
        <v>38</v>
      </c>
      <c r="D6540" t="s">
        <v>25</v>
      </c>
      <c r="E6540" t="s">
        <v>18</v>
      </c>
      <c r="F6540">
        <v>98</v>
      </c>
      <c r="G6540">
        <v>19</v>
      </c>
      <c r="H6540">
        <v>0.42</v>
      </c>
      <c r="I6540" t="s">
        <v>23</v>
      </c>
      <c r="J6540">
        <v>0</v>
      </c>
      <c r="K6540">
        <v>1</v>
      </c>
      <c r="L6540">
        <v>0</v>
      </c>
      <c r="M6540">
        <f>VLOOKUP(Table1[[#This Row],[subscription_type]],Plans!$A$1:$B$5,2,FALSE)</f>
        <v>14.99</v>
      </c>
      <c r="N6540">
        <f t="shared" si="102"/>
        <v>0</v>
      </c>
    </row>
    <row r="6541" spans="1:14" x14ac:dyDescent="0.35">
      <c r="A6541">
        <v>6540</v>
      </c>
      <c r="B6541" t="s">
        <v>12</v>
      </c>
      <c r="C6541">
        <v>35</v>
      </c>
      <c r="D6541" t="s">
        <v>28</v>
      </c>
      <c r="E6541" t="s">
        <v>22</v>
      </c>
      <c r="F6541">
        <v>94</v>
      </c>
      <c r="G6541">
        <v>33</v>
      </c>
      <c r="H6541">
        <v>0.54</v>
      </c>
      <c r="I6541" t="s">
        <v>23</v>
      </c>
      <c r="J6541">
        <v>0</v>
      </c>
      <c r="K6541">
        <v>1</v>
      </c>
      <c r="L6541">
        <v>1</v>
      </c>
      <c r="M6541">
        <f>VLOOKUP(Table1[[#This Row],[subscription_type]],Plans!$A$1:$B$5,2,FALSE)</f>
        <v>9.99</v>
      </c>
      <c r="N6541">
        <f t="shared" si="102"/>
        <v>9.99</v>
      </c>
    </row>
    <row r="6542" spans="1:14" x14ac:dyDescent="0.35">
      <c r="A6542">
        <v>6541</v>
      </c>
      <c r="B6542" t="s">
        <v>20</v>
      </c>
      <c r="C6542">
        <v>23</v>
      </c>
      <c r="D6542" t="s">
        <v>17</v>
      </c>
      <c r="E6542" t="s">
        <v>24</v>
      </c>
      <c r="F6542">
        <v>261</v>
      </c>
      <c r="G6542">
        <v>60</v>
      </c>
      <c r="H6542">
        <v>0.4</v>
      </c>
      <c r="I6542" t="s">
        <v>15</v>
      </c>
      <c r="J6542">
        <v>0</v>
      </c>
      <c r="K6542">
        <v>1</v>
      </c>
      <c r="L6542">
        <v>0</v>
      </c>
      <c r="M6542">
        <f>VLOOKUP(Table1[[#This Row],[subscription_type]],Plans!$A$1:$B$5,2,FALSE)</f>
        <v>4.99</v>
      </c>
      <c r="N6542">
        <f t="shared" si="102"/>
        <v>0</v>
      </c>
    </row>
    <row r="6543" spans="1:14" x14ac:dyDescent="0.35">
      <c r="A6543">
        <v>6542</v>
      </c>
      <c r="B6543" t="s">
        <v>20</v>
      </c>
      <c r="C6543">
        <v>19</v>
      </c>
      <c r="D6543" t="s">
        <v>13</v>
      </c>
      <c r="E6543" t="s">
        <v>22</v>
      </c>
      <c r="F6543">
        <v>180</v>
      </c>
      <c r="G6543">
        <v>40</v>
      </c>
      <c r="H6543">
        <v>0.32</v>
      </c>
      <c r="I6543" t="s">
        <v>19</v>
      </c>
      <c r="J6543">
        <v>0</v>
      </c>
      <c r="K6543">
        <v>1</v>
      </c>
      <c r="L6543">
        <v>0</v>
      </c>
      <c r="M6543">
        <f>VLOOKUP(Table1[[#This Row],[subscription_type]],Plans!$A$1:$B$5,2,FALSE)</f>
        <v>9.99</v>
      </c>
      <c r="N6543">
        <f t="shared" si="102"/>
        <v>0</v>
      </c>
    </row>
    <row r="6544" spans="1:14" x14ac:dyDescent="0.35">
      <c r="A6544">
        <v>6543</v>
      </c>
      <c r="B6544" t="s">
        <v>16</v>
      </c>
      <c r="C6544">
        <v>26</v>
      </c>
      <c r="D6544" t="s">
        <v>13</v>
      </c>
      <c r="E6544" t="s">
        <v>18</v>
      </c>
      <c r="F6544">
        <v>178</v>
      </c>
      <c r="G6544">
        <v>53</v>
      </c>
      <c r="H6544">
        <v>0.52</v>
      </c>
      <c r="I6544" t="s">
        <v>23</v>
      </c>
      <c r="J6544">
        <v>0</v>
      </c>
      <c r="K6544">
        <v>1</v>
      </c>
      <c r="L6544">
        <v>0</v>
      </c>
      <c r="M6544">
        <f>VLOOKUP(Table1[[#This Row],[subscription_type]],Plans!$A$1:$B$5,2,FALSE)</f>
        <v>14.99</v>
      </c>
      <c r="N6544">
        <f t="shared" si="102"/>
        <v>0</v>
      </c>
    </row>
    <row r="6545" spans="1:14" x14ac:dyDescent="0.35">
      <c r="A6545">
        <v>6544</v>
      </c>
      <c r="B6545" t="s">
        <v>16</v>
      </c>
      <c r="C6545">
        <v>50</v>
      </c>
      <c r="D6545" t="s">
        <v>21</v>
      </c>
      <c r="E6545" t="s">
        <v>24</v>
      </c>
      <c r="F6545">
        <v>31</v>
      </c>
      <c r="G6545">
        <v>39</v>
      </c>
      <c r="H6545">
        <v>0.57999999999999996</v>
      </c>
      <c r="I6545" t="s">
        <v>23</v>
      </c>
      <c r="J6545">
        <v>0</v>
      </c>
      <c r="K6545">
        <v>1</v>
      </c>
      <c r="L6545">
        <v>1</v>
      </c>
      <c r="M6545">
        <f>VLOOKUP(Table1[[#This Row],[subscription_type]],Plans!$A$1:$B$5,2,FALSE)</f>
        <v>4.99</v>
      </c>
      <c r="N6545">
        <f t="shared" si="102"/>
        <v>4.99</v>
      </c>
    </row>
    <row r="6546" spans="1:14" x14ac:dyDescent="0.35">
      <c r="A6546">
        <v>6545</v>
      </c>
      <c r="B6546" t="s">
        <v>16</v>
      </c>
      <c r="C6546">
        <v>25</v>
      </c>
      <c r="D6546" t="s">
        <v>28</v>
      </c>
      <c r="E6546" t="s">
        <v>18</v>
      </c>
      <c r="F6546">
        <v>299</v>
      </c>
      <c r="G6546">
        <v>99</v>
      </c>
      <c r="H6546">
        <v>0.3</v>
      </c>
      <c r="I6546" t="s">
        <v>15</v>
      </c>
      <c r="J6546">
        <v>0</v>
      </c>
      <c r="K6546">
        <v>1</v>
      </c>
      <c r="L6546">
        <v>0</v>
      </c>
      <c r="M6546">
        <f>VLOOKUP(Table1[[#This Row],[subscription_type]],Plans!$A$1:$B$5,2,FALSE)</f>
        <v>14.99</v>
      </c>
      <c r="N6546">
        <f t="shared" si="102"/>
        <v>0</v>
      </c>
    </row>
    <row r="6547" spans="1:14" x14ac:dyDescent="0.35">
      <c r="A6547">
        <v>6546</v>
      </c>
      <c r="B6547" t="s">
        <v>12</v>
      </c>
      <c r="C6547">
        <v>41</v>
      </c>
      <c r="D6547" t="s">
        <v>13</v>
      </c>
      <c r="E6547" t="s">
        <v>22</v>
      </c>
      <c r="F6547">
        <v>240</v>
      </c>
      <c r="G6547">
        <v>58</v>
      </c>
      <c r="H6547">
        <v>0.14000000000000001</v>
      </c>
      <c r="I6547" t="s">
        <v>15</v>
      </c>
      <c r="J6547">
        <v>0</v>
      </c>
      <c r="K6547">
        <v>1</v>
      </c>
      <c r="L6547">
        <v>1</v>
      </c>
      <c r="M6547">
        <f>VLOOKUP(Table1[[#This Row],[subscription_type]],Plans!$A$1:$B$5,2,FALSE)</f>
        <v>9.99</v>
      </c>
      <c r="N6547">
        <f t="shared" si="102"/>
        <v>9.99</v>
      </c>
    </row>
    <row r="6548" spans="1:14" x14ac:dyDescent="0.35">
      <c r="A6548">
        <v>6547</v>
      </c>
      <c r="B6548" t="s">
        <v>20</v>
      </c>
      <c r="C6548">
        <v>42</v>
      </c>
      <c r="D6548" t="s">
        <v>17</v>
      </c>
      <c r="E6548" t="s">
        <v>18</v>
      </c>
      <c r="F6548">
        <v>233</v>
      </c>
      <c r="G6548">
        <v>45</v>
      </c>
      <c r="H6548">
        <v>0.02</v>
      </c>
      <c r="I6548" t="s">
        <v>15</v>
      </c>
      <c r="J6548">
        <v>0</v>
      </c>
      <c r="K6548">
        <v>1</v>
      </c>
      <c r="L6548">
        <v>0</v>
      </c>
      <c r="M6548">
        <f>VLOOKUP(Table1[[#This Row],[subscription_type]],Plans!$A$1:$B$5,2,FALSE)</f>
        <v>14.99</v>
      </c>
      <c r="N6548">
        <f t="shared" si="102"/>
        <v>0</v>
      </c>
    </row>
    <row r="6549" spans="1:14" x14ac:dyDescent="0.35">
      <c r="A6549">
        <v>6548</v>
      </c>
      <c r="B6549" t="s">
        <v>12</v>
      </c>
      <c r="C6549">
        <v>53</v>
      </c>
      <c r="D6549" t="s">
        <v>27</v>
      </c>
      <c r="E6549" t="s">
        <v>14</v>
      </c>
      <c r="F6549">
        <v>95</v>
      </c>
      <c r="G6549">
        <v>88</v>
      </c>
      <c r="H6549">
        <v>0.31</v>
      </c>
      <c r="I6549" t="s">
        <v>23</v>
      </c>
      <c r="J6549">
        <v>13</v>
      </c>
      <c r="K6549">
        <v>0</v>
      </c>
      <c r="L6549">
        <v>0</v>
      </c>
      <c r="M6549">
        <f>VLOOKUP(Table1[[#This Row],[subscription_type]],Plans!$A$1:$B$5,2,FALSE)</f>
        <v>0</v>
      </c>
      <c r="N6549">
        <f t="shared" si="102"/>
        <v>0</v>
      </c>
    </row>
    <row r="6550" spans="1:14" x14ac:dyDescent="0.35">
      <c r="A6550">
        <v>6549</v>
      </c>
      <c r="B6550" t="s">
        <v>16</v>
      </c>
      <c r="C6550">
        <v>34</v>
      </c>
      <c r="D6550" t="s">
        <v>21</v>
      </c>
      <c r="E6550" t="s">
        <v>24</v>
      </c>
      <c r="F6550">
        <v>155</v>
      </c>
      <c r="G6550">
        <v>21</v>
      </c>
      <c r="H6550">
        <v>0.35</v>
      </c>
      <c r="I6550" t="s">
        <v>23</v>
      </c>
      <c r="J6550">
        <v>0</v>
      </c>
      <c r="K6550">
        <v>1</v>
      </c>
      <c r="L6550">
        <v>1</v>
      </c>
      <c r="M6550">
        <f>VLOOKUP(Table1[[#This Row],[subscription_type]],Plans!$A$1:$B$5,2,FALSE)</f>
        <v>4.99</v>
      </c>
      <c r="N6550">
        <f t="shared" si="102"/>
        <v>4.99</v>
      </c>
    </row>
    <row r="6551" spans="1:14" x14ac:dyDescent="0.35">
      <c r="A6551">
        <v>6550</v>
      </c>
      <c r="B6551" t="s">
        <v>16</v>
      </c>
      <c r="C6551">
        <v>56</v>
      </c>
      <c r="D6551" t="s">
        <v>27</v>
      </c>
      <c r="E6551" t="s">
        <v>18</v>
      </c>
      <c r="F6551">
        <v>65</v>
      </c>
      <c r="G6551">
        <v>68</v>
      </c>
      <c r="H6551">
        <v>0.05</v>
      </c>
      <c r="I6551" t="s">
        <v>19</v>
      </c>
      <c r="J6551">
        <v>0</v>
      </c>
      <c r="K6551">
        <v>1</v>
      </c>
      <c r="L6551">
        <v>1</v>
      </c>
      <c r="M6551">
        <f>VLOOKUP(Table1[[#This Row],[subscription_type]],Plans!$A$1:$B$5,2,FALSE)</f>
        <v>14.99</v>
      </c>
      <c r="N6551">
        <f t="shared" si="102"/>
        <v>14.99</v>
      </c>
    </row>
    <row r="6552" spans="1:14" x14ac:dyDescent="0.35">
      <c r="A6552">
        <v>6551</v>
      </c>
      <c r="B6552" t="s">
        <v>16</v>
      </c>
      <c r="C6552">
        <v>31</v>
      </c>
      <c r="D6552" t="s">
        <v>26</v>
      </c>
      <c r="E6552" t="s">
        <v>14</v>
      </c>
      <c r="F6552">
        <v>160</v>
      </c>
      <c r="G6552">
        <v>35</v>
      </c>
      <c r="H6552">
        <v>0.52</v>
      </c>
      <c r="I6552" t="s">
        <v>15</v>
      </c>
      <c r="J6552">
        <v>8</v>
      </c>
      <c r="K6552">
        <v>0</v>
      </c>
      <c r="L6552">
        <v>0</v>
      </c>
      <c r="M6552">
        <f>VLOOKUP(Table1[[#This Row],[subscription_type]],Plans!$A$1:$B$5,2,FALSE)</f>
        <v>0</v>
      </c>
      <c r="N6552">
        <f t="shared" si="102"/>
        <v>0</v>
      </c>
    </row>
    <row r="6553" spans="1:14" x14ac:dyDescent="0.35">
      <c r="A6553">
        <v>6552</v>
      </c>
      <c r="B6553" t="s">
        <v>12</v>
      </c>
      <c r="C6553">
        <v>40</v>
      </c>
      <c r="D6553" t="s">
        <v>25</v>
      </c>
      <c r="E6553" t="s">
        <v>24</v>
      </c>
      <c r="F6553">
        <v>129</v>
      </c>
      <c r="G6553">
        <v>29</v>
      </c>
      <c r="H6553">
        <v>0.12</v>
      </c>
      <c r="I6553" t="s">
        <v>19</v>
      </c>
      <c r="J6553">
        <v>0</v>
      </c>
      <c r="K6553">
        <v>1</v>
      </c>
      <c r="L6553">
        <v>0</v>
      </c>
      <c r="M6553">
        <f>VLOOKUP(Table1[[#This Row],[subscription_type]],Plans!$A$1:$B$5,2,FALSE)</f>
        <v>4.99</v>
      </c>
      <c r="N6553">
        <f t="shared" si="102"/>
        <v>0</v>
      </c>
    </row>
    <row r="6554" spans="1:14" x14ac:dyDescent="0.35">
      <c r="A6554">
        <v>6553</v>
      </c>
      <c r="B6554" t="s">
        <v>16</v>
      </c>
      <c r="C6554">
        <v>20</v>
      </c>
      <c r="D6554" t="s">
        <v>21</v>
      </c>
      <c r="E6554" t="s">
        <v>24</v>
      </c>
      <c r="F6554">
        <v>290</v>
      </c>
      <c r="G6554">
        <v>46</v>
      </c>
      <c r="H6554">
        <v>0.4</v>
      </c>
      <c r="I6554" t="s">
        <v>15</v>
      </c>
      <c r="J6554">
        <v>0</v>
      </c>
      <c r="K6554">
        <v>1</v>
      </c>
      <c r="L6554">
        <v>0</v>
      </c>
      <c r="M6554">
        <f>VLOOKUP(Table1[[#This Row],[subscription_type]],Plans!$A$1:$B$5,2,FALSE)</f>
        <v>4.99</v>
      </c>
      <c r="N6554">
        <f t="shared" si="102"/>
        <v>0</v>
      </c>
    </row>
    <row r="6555" spans="1:14" x14ac:dyDescent="0.35">
      <c r="A6555">
        <v>6554</v>
      </c>
      <c r="B6555" t="s">
        <v>16</v>
      </c>
      <c r="C6555">
        <v>53</v>
      </c>
      <c r="D6555" t="s">
        <v>29</v>
      </c>
      <c r="E6555" t="s">
        <v>14</v>
      </c>
      <c r="F6555">
        <v>49</v>
      </c>
      <c r="G6555">
        <v>70</v>
      </c>
      <c r="H6555">
        <v>0.11</v>
      </c>
      <c r="I6555" t="s">
        <v>15</v>
      </c>
      <c r="J6555">
        <v>24</v>
      </c>
      <c r="K6555">
        <v>0</v>
      </c>
      <c r="L6555">
        <v>0</v>
      </c>
      <c r="M6555">
        <f>VLOOKUP(Table1[[#This Row],[subscription_type]],Plans!$A$1:$B$5,2,FALSE)</f>
        <v>0</v>
      </c>
      <c r="N6555">
        <f t="shared" si="102"/>
        <v>0</v>
      </c>
    </row>
    <row r="6556" spans="1:14" x14ac:dyDescent="0.35">
      <c r="A6556">
        <v>6555</v>
      </c>
      <c r="B6556" t="s">
        <v>16</v>
      </c>
      <c r="C6556">
        <v>21</v>
      </c>
      <c r="D6556" t="s">
        <v>13</v>
      </c>
      <c r="E6556" t="s">
        <v>18</v>
      </c>
      <c r="F6556">
        <v>51</v>
      </c>
      <c r="G6556">
        <v>86</v>
      </c>
      <c r="H6556">
        <v>0.03</v>
      </c>
      <c r="I6556" t="s">
        <v>19</v>
      </c>
      <c r="J6556">
        <v>0</v>
      </c>
      <c r="K6556">
        <v>1</v>
      </c>
      <c r="L6556">
        <v>0</v>
      </c>
      <c r="M6556">
        <f>VLOOKUP(Table1[[#This Row],[subscription_type]],Plans!$A$1:$B$5,2,FALSE)</f>
        <v>14.99</v>
      </c>
      <c r="N6556">
        <f t="shared" si="102"/>
        <v>0</v>
      </c>
    </row>
    <row r="6557" spans="1:14" x14ac:dyDescent="0.35">
      <c r="A6557">
        <v>6556</v>
      </c>
      <c r="B6557" t="s">
        <v>20</v>
      </c>
      <c r="C6557">
        <v>30</v>
      </c>
      <c r="D6557" t="s">
        <v>25</v>
      </c>
      <c r="E6557" t="s">
        <v>14</v>
      </c>
      <c r="F6557">
        <v>81</v>
      </c>
      <c r="G6557">
        <v>30</v>
      </c>
      <c r="H6557">
        <v>0.35</v>
      </c>
      <c r="I6557" t="s">
        <v>19</v>
      </c>
      <c r="J6557">
        <v>42</v>
      </c>
      <c r="K6557">
        <v>0</v>
      </c>
      <c r="L6557">
        <v>0</v>
      </c>
      <c r="M6557">
        <f>VLOOKUP(Table1[[#This Row],[subscription_type]],Plans!$A$1:$B$5,2,FALSE)</f>
        <v>0</v>
      </c>
      <c r="N6557">
        <f t="shared" si="102"/>
        <v>0</v>
      </c>
    </row>
    <row r="6558" spans="1:14" x14ac:dyDescent="0.35">
      <c r="A6558">
        <v>6557</v>
      </c>
      <c r="B6558" t="s">
        <v>16</v>
      </c>
      <c r="C6558">
        <v>45</v>
      </c>
      <c r="D6558" t="s">
        <v>28</v>
      </c>
      <c r="E6558" t="s">
        <v>22</v>
      </c>
      <c r="F6558">
        <v>124</v>
      </c>
      <c r="G6558">
        <v>5</v>
      </c>
      <c r="H6558">
        <v>0.18</v>
      </c>
      <c r="I6558" t="s">
        <v>15</v>
      </c>
      <c r="J6558">
        <v>0</v>
      </c>
      <c r="K6558">
        <v>1</v>
      </c>
      <c r="L6558">
        <v>1</v>
      </c>
      <c r="M6558">
        <f>VLOOKUP(Table1[[#This Row],[subscription_type]],Plans!$A$1:$B$5,2,FALSE)</f>
        <v>9.99</v>
      </c>
      <c r="N6558">
        <f t="shared" si="102"/>
        <v>9.99</v>
      </c>
    </row>
    <row r="6559" spans="1:14" x14ac:dyDescent="0.35">
      <c r="A6559">
        <v>6558</v>
      </c>
      <c r="B6559" t="s">
        <v>16</v>
      </c>
      <c r="C6559">
        <v>18</v>
      </c>
      <c r="D6559" t="s">
        <v>21</v>
      </c>
      <c r="E6559" t="s">
        <v>18</v>
      </c>
      <c r="F6559">
        <v>200</v>
      </c>
      <c r="G6559">
        <v>75</v>
      </c>
      <c r="H6559">
        <v>0.26</v>
      </c>
      <c r="I6559" t="s">
        <v>19</v>
      </c>
      <c r="J6559">
        <v>0</v>
      </c>
      <c r="K6559">
        <v>1</v>
      </c>
      <c r="L6559">
        <v>1</v>
      </c>
      <c r="M6559">
        <f>VLOOKUP(Table1[[#This Row],[subscription_type]],Plans!$A$1:$B$5,2,FALSE)</f>
        <v>14.99</v>
      </c>
      <c r="N6559">
        <f t="shared" si="102"/>
        <v>14.99</v>
      </c>
    </row>
    <row r="6560" spans="1:14" x14ac:dyDescent="0.35">
      <c r="A6560">
        <v>6559</v>
      </c>
      <c r="B6560" t="s">
        <v>16</v>
      </c>
      <c r="C6560">
        <v>48</v>
      </c>
      <c r="D6560" t="s">
        <v>27</v>
      </c>
      <c r="E6560" t="s">
        <v>18</v>
      </c>
      <c r="F6560">
        <v>70</v>
      </c>
      <c r="G6560">
        <v>70</v>
      </c>
      <c r="H6560">
        <v>0.06</v>
      </c>
      <c r="I6560" t="s">
        <v>15</v>
      </c>
      <c r="J6560">
        <v>0</v>
      </c>
      <c r="K6560">
        <v>1</v>
      </c>
      <c r="L6560">
        <v>0</v>
      </c>
      <c r="M6560">
        <f>VLOOKUP(Table1[[#This Row],[subscription_type]],Plans!$A$1:$B$5,2,FALSE)</f>
        <v>14.99</v>
      </c>
      <c r="N6560">
        <f t="shared" si="102"/>
        <v>0</v>
      </c>
    </row>
    <row r="6561" spans="1:14" x14ac:dyDescent="0.35">
      <c r="A6561">
        <v>6560</v>
      </c>
      <c r="B6561" t="s">
        <v>20</v>
      </c>
      <c r="C6561">
        <v>52</v>
      </c>
      <c r="D6561" t="s">
        <v>27</v>
      </c>
      <c r="E6561" t="s">
        <v>24</v>
      </c>
      <c r="F6561">
        <v>99</v>
      </c>
      <c r="G6561">
        <v>41</v>
      </c>
      <c r="H6561">
        <v>0.49</v>
      </c>
      <c r="I6561" t="s">
        <v>19</v>
      </c>
      <c r="J6561">
        <v>0</v>
      </c>
      <c r="K6561">
        <v>1</v>
      </c>
      <c r="L6561">
        <v>1</v>
      </c>
      <c r="M6561">
        <f>VLOOKUP(Table1[[#This Row],[subscription_type]],Plans!$A$1:$B$5,2,FALSE)</f>
        <v>4.99</v>
      </c>
      <c r="N6561">
        <f t="shared" si="102"/>
        <v>4.99</v>
      </c>
    </row>
    <row r="6562" spans="1:14" x14ac:dyDescent="0.35">
      <c r="A6562">
        <v>6561</v>
      </c>
      <c r="B6562" t="s">
        <v>12</v>
      </c>
      <c r="C6562">
        <v>28</v>
      </c>
      <c r="D6562" t="s">
        <v>17</v>
      </c>
      <c r="E6562" t="s">
        <v>18</v>
      </c>
      <c r="F6562">
        <v>202</v>
      </c>
      <c r="G6562">
        <v>44</v>
      </c>
      <c r="H6562">
        <v>0.1</v>
      </c>
      <c r="I6562" t="s">
        <v>19</v>
      </c>
      <c r="J6562">
        <v>0</v>
      </c>
      <c r="K6562">
        <v>1</v>
      </c>
      <c r="L6562">
        <v>0</v>
      </c>
      <c r="M6562">
        <f>VLOOKUP(Table1[[#This Row],[subscription_type]],Plans!$A$1:$B$5,2,FALSE)</f>
        <v>14.99</v>
      </c>
      <c r="N6562">
        <f t="shared" si="102"/>
        <v>0</v>
      </c>
    </row>
    <row r="6563" spans="1:14" x14ac:dyDescent="0.35">
      <c r="A6563">
        <v>6562</v>
      </c>
      <c r="B6563" t="s">
        <v>16</v>
      </c>
      <c r="C6563">
        <v>18</v>
      </c>
      <c r="D6563" t="s">
        <v>29</v>
      </c>
      <c r="E6563" t="s">
        <v>22</v>
      </c>
      <c r="F6563">
        <v>105</v>
      </c>
      <c r="G6563">
        <v>82</v>
      </c>
      <c r="H6563">
        <v>0.37</v>
      </c>
      <c r="I6563" t="s">
        <v>15</v>
      </c>
      <c r="J6563">
        <v>0</v>
      </c>
      <c r="K6563">
        <v>1</v>
      </c>
      <c r="L6563">
        <v>0</v>
      </c>
      <c r="M6563">
        <f>VLOOKUP(Table1[[#This Row],[subscription_type]],Plans!$A$1:$B$5,2,FALSE)</f>
        <v>9.99</v>
      </c>
      <c r="N6563">
        <f t="shared" si="102"/>
        <v>0</v>
      </c>
    </row>
    <row r="6564" spans="1:14" x14ac:dyDescent="0.35">
      <c r="A6564">
        <v>6563</v>
      </c>
      <c r="B6564" t="s">
        <v>12</v>
      </c>
      <c r="C6564">
        <v>57</v>
      </c>
      <c r="D6564" t="s">
        <v>21</v>
      </c>
      <c r="E6564" t="s">
        <v>24</v>
      </c>
      <c r="F6564">
        <v>57</v>
      </c>
      <c r="G6564">
        <v>93</v>
      </c>
      <c r="H6564">
        <v>0.1</v>
      </c>
      <c r="I6564" t="s">
        <v>15</v>
      </c>
      <c r="J6564">
        <v>0</v>
      </c>
      <c r="K6564">
        <v>1</v>
      </c>
      <c r="L6564">
        <v>0</v>
      </c>
      <c r="M6564">
        <f>VLOOKUP(Table1[[#This Row],[subscription_type]],Plans!$A$1:$B$5,2,FALSE)</f>
        <v>4.99</v>
      </c>
      <c r="N6564">
        <f t="shared" si="102"/>
        <v>0</v>
      </c>
    </row>
    <row r="6565" spans="1:14" x14ac:dyDescent="0.35">
      <c r="A6565">
        <v>6564</v>
      </c>
      <c r="B6565" t="s">
        <v>12</v>
      </c>
      <c r="C6565">
        <v>26</v>
      </c>
      <c r="D6565" t="s">
        <v>28</v>
      </c>
      <c r="E6565" t="s">
        <v>24</v>
      </c>
      <c r="F6565">
        <v>248</v>
      </c>
      <c r="G6565">
        <v>67</v>
      </c>
      <c r="H6565">
        <v>0.09</v>
      </c>
      <c r="I6565" t="s">
        <v>15</v>
      </c>
      <c r="J6565">
        <v>0</v>
      </c>
      <c r="K6565">
        <v>1</v>
      </c>
      <c r="L6565">
        <v>0</v>
      </c>
      <c r="M6565">
        <f>VLOOKUP(Table1[[#This Row],[subscription_type]],Plans!$A$1:$B$5,2,FALSE)</f>
        <v>4.99</v>
      </c>
      <c r="N6565">
        <f t="shared" si="102"/>
        <v>0</v>
      </c>
    </row>
    <row r="6566" spans="1:14" x14ac:dyDescent="0.35">
      <c r="A6566">
        <v>6565</v>
      </c>
      <c r="B6566" t="s">
        <v>20</v>
      </c>
      <c r="C6566">
        <v>25</v>
      </c>
      <c r="D6566" t="s">
        <v>26</v>
      </c>
      <c r="E6566" t="s">
        <v>14</v>
      </c>
      <c r="F6566">
        <v>164</v>
      </c>
      <c r="G6566">
        <v>32</v>
      </c>
      <c r="H6566">
        <v>0.2</v>
      </c>
      <c r="I6566" t="s">
        <v>23</v>
      </c>
      <c r="J6566">
        <v>25</v>
      </c>
      <c r="K6566">
        <v>0</v>
      </c>
      <c r="L6566">
        <v>0</v>
      </c>
      <c r="M6566">
        <f>VLOOKUP(Table1[[#This Row],[subscription_type]],Plans!$A$1:$B$5,2,FALSE)</f>
        <v>0</v>
      </c>
      <c r="N6566">
        <f t="shared" si="102"/>
        <v>0</v>
      </c>
    </row>
    <row r="6567" spans="1:14" x14ac:dyDescent="0.35">
      <c r="A6567">
        <v>6566</v>
      </c>
      <c r="B6567" t="s">
        <v>20</v>
      </c>
      <c r="C6567">
        <v>54</v>
      </c>
      <c r="D6567" t="s">
        <v>27</v>
      </c>
      <c r="E6567" t="s">
        <v>22</v>
      </c>
      <c r="F6567">
        <v>85</v>
      </c>
      <c r="G6567">
        <v>69</v>
      </c>
      <c r="H6567">
        <v>0.39</v>
      </c>
      <c r="I6567" t="s">
        <v>19</v>
      </c>
      <c r="J6567">
        <v>0</v>
      </c>
      <c r="K6567">
        <v>1</v>
      </c>
      <c r="L6567">
        <v>0</v>
      </c>
      <c r="M6567">
        <f>VLOOKUP(Table1[[#This Row],[subscription_type]],Plans!$A$1:$B$5,2,FALSE)</f>
        <v>9.99</v>
      </c>
      <c r="N6567">
        <f t="shared" si="102"/>
        <v>0</v>
      </c>
    </row>
    <row r="6568" spans="1:14" x14ac:dyDescent="0.35">
      <c r="A6568">
        <v>6567</v>
      </c>
      <c r="B6568" t="s">
        <v>20</v>
      </c>
      <c r="C6568">
        <v>20</v>
      </c>
      <c r="D6568" t="s">
        <v>13</v>
      </c>
      <c r="E6568" t="s">
        <v>24</v>
      </c>
      <c r="F6568">
        <v>26</v>
      </c>
      <c r="G6568">
        <v>81</v>
      </c>
      <c r="H6568">
        <v>0.54</v>
      </c>
      <c r="I6568" t="s">
        <v>15</v>
      </c>
      <c r="J6568">
        <v>0</v>
      </c>
      <c r="K6568">
        <v>1</v>
      </c>
      <c r="L6568">
        <v>0</v>
      </c>
      <c r="M6568">
        <f>VLOOKUP(Table1[[#This Row],[subscription_type]],Plans!$A$1:$B$5,2,FALSE)</f>
        <v>4.99</v>
      </c>
      <c r="N6568">
        <f t="shared" si="102"/>
        <v>0</v>
      </c>
    </row>
    <row r="6569" spans="1:14" x14ac:dyDescent="0.35">
      <c r="A6569">
        <v>6568</v>
      </c>
      <c r="B6569" t="s">
        <v>20</v>
      </c>
      <c r="C6569">
        <v>32</v>
      </c>
      <c r="D6569" t="s">
        <v>28</v>
      </c>
      <c r="E6569" t="s">
        <v>18</v>
      </c>
      <c r="F6569">
        <v>208</v>
      </c>
      <c r="G6569">
        <v>56</v>
      </c>
      <c r="H6569">
        <v>0.15</v>
      </c>
      <c r="I6569" t="s">
        <v>19</v>
      </c>
      <c r="J6569">
        <v>0</v>
      </c>
      <c r="K6569">
        <v>1</v>
      </c>
      <c r="L6569">
        <v>0</v>
      </c>
      <c r="M6569">
        <f>VLOOKUP(Table1[[#This Row],[subscription_type]],Plans!$A$1:$B$5,2,FALSE)</f>
        <v>14.99</v>
      </c>
      <c r="N6569">
        <f t="shared" si="102"/>
        <v>0</v>
      </c>
    </row>
    <row r="6570" spans="1:14" x14ac:dyDescent="0.35">
      <c r="A6570">
        <v>6569</v>
      </c>
      <c r="B6570" t="s">
        <v>16</v>
      </c>
      <c r="C6570">
        <v>47</v>
      </c>
      <c r="D6570" t="s">
        <v>13</v>
      </c>
      <c r="E6570" t="s">
        <v>18</v>
      </c>
      <c r="F6570">
        <v>28</v>
      </c>
      <c r="G6570">
        <v>25</v>
      </c>
      <c r="H6570">
        <v>0.5</v>
      </c>
      <c r="I6570" t="s">
        <v>19</v>
      </c>
      <c r="J6570">
        <v>0</v>
      </c>
      <c r="K6570">
        <v>1</v>
      </c>
      <c r="L6570">
        <v>0</v>
      </c>
      <c r="M6570">
        <f>VLOOKUP(Table1[[#This Row],[subscription_type]],Plans!$A$1:$B$5,2,FALSE)</f>
        <v>14.99</v>
      </c>
      <c r="N6570">
        <f t="shared" si="102"/>
        <v>0</v>
      </c>
    </row>
    <row r="6571" spans="1:14" x14ac:dyDescent="0.35">
      <c r="A6571">
        <v>6570</v>
      </c>
      <c r="B6571" t="s">
        <v>20</v>
      </c>
      <c r="C6571">
        <v>32</v>
      </c>
      <c r="D6571" t="s">
        <v>13</v>
      </c>
      <c r="E6571" t="s">
        <v>22</v>
      </c>
      <c r="F6571">
        <v>10</v>
      </c>
      <c r="G6571">
        <v>24</v>
      </c>
      <c r="H6571">
        <v>0.47</v>
      </c>
      <c r="I6571" t="s">
        <v>19</v>
      </c>
      <c r="J6571">
        <v>0</v>
      </c>
      <c r="K6571">
        <v>1</v>
      </c>
      <c r="L6571">
        <v>0</v>
      </c>
      <c r="M6571">
        <f>VLOOKUP(Table1[[#This Row],[subscription_type]],Plans!$A$1:$B$5,2,FALSE)</f>
        <v>9.99</v>
      </c>
      <c r="N6571">
        <f t="shared" si="102"/>
        <v>0</v>
      </c>
    </row>
    <row r="6572" spans="1:14" x14ac:dyDescent="0.35">
      <c r="A6572">
        <v>6571</v>
      </c>
      <c r="B6572" t="s">
        <v>20</v>
      </c>
      <c r="C6572">
        <v>18</v>
      </c>
      <c r="D6572" t="s">
        <v>17</v>
      </c>
      <c r="E6572" t="s">
        <v>24</v>
      </c>
      <c r="F6572">
        <v>290</v>
      </c>
      <c r="G6572">
        <v>31</v>
      </c>
      <c r="H6572">
        <v>0.45</v>
      </c>
      <c r="I6572" t="s">
        <v>15</v>
      </c>
      <c r="J6572">
        <v>0</v>
      </c>
      <c r="K6572">
        <v>1</v>
      </c>
      <c r="L6572">
        <v>0</v>
      </c>
      <c r="M6572">
        <f>VLOOKUP(Table1[[#This Row],[subscription_type]],Plans!$A$1:$B$5,2,FALSE)</f>
        <v>4.99</v>
      </c>
      <c r="N6572">
        <f t="shared" si="102"/>
        <v>0</v>
      </c>
    </row>
    <row r="6573" spans="1:14" x14ac:dyDescent="0.35">
      <c r="A6573">
        <v>6572</v>
      </c>
      <c r="B6573" t="s">
        <v>20</v>
      </c>
      <c r="C6573">
        <v>51</v>
      </c>
      <c r="D6573" t="s">
        <v>25</v>
      </c>
      <c r="E6573" t="s">
        <v>24</v>
      </c>
      <c r="F6573">
        <v>153</v>
      </c>
      <c r="G6573">
        <v>62</v>
      </c>
      <c r="H6573">
        <v>0.42</v>
      </c>
      <c r="I6573" t="s">
        <v>15</v>
      </c>
      <c r="J6573">
        <v>0</v>
      </c>
      <c r="K6573">
        <v>1</v>
      </c>
      <c r="L6573">
        <v>0</v>
      </c>
      <c r="M6573">
        <f>VLOOKUP(Table1[[#This Row],[subscription_type]],Plans!$A$1:$B$5,2,FALSE)</f>
        <v>4.99</v>
      </c>
      <c r="N6573">
        <f t="shared" si="102"/>
        <v>0</v>
      </c>
    </row>
    <row r="6574" spans="1:14" x14ac:dyDescent="0.35">
      <c r="A6574">
        <v>6573</v>
      </c>
      <c r="B6574" t="s">
        <v>20</v>
      </c>
      <c r="C6574">
        <v>57</v>
      </c>
      <c r="D6574" t="s">
        <v>17</v>
      </c>
      <c r="E6574" t="s">
        <v>22</v>
      </c>
      <c r="F6574">
        <v>200</v>
      </c>
      <c r="G6574">
        <v>88</v>
      </c>
      <c r="H6574">
        <v>0.41</v>
      </c>
      <c r="I6574" t="s">
        <v>15</v>
      </c>
      <c r="J6574">
        <v>0</v>
      </c>
      <c r="K6574">
        <v>1</v>
      </c>
      <c r="L6574">
        <v>0</v>
      </c>
      <c r="M6574">
        <f>VLOOKUP(Table1[[#This Row],[subscription_type]],Plans!$A$1:$B$5,2,FALSE)</f>
        <v>9.99</v>
      </c>
      <c r="N6574">
        <f t="shared" si="102"/>
        <v>0</v>
      </c>
    </row>
    <row r="6575" spans="1:14" x14ac:dyDescent="0.35">
      <c r="A6575">
        <v>6574</v>
      </c>
      <c r="B6575" t="s">
        <v>16</v>
      </c>
      <c r="C6575">
        <v>46</v>
      </c>
      <c r="D6575" t="s">
        <v>17</v>
      </c>
      <c r="E6575" t="s">
        <v>14</v>
      </c>
      <c r="F6575">
        <v>273</v>
      </c>
      <c r="G6575">
        <v>61</v>
      </c>
      <c r="H6575">
        <v>0.15</v>
      </c>
      <c r="I6575" t="s">
        <v>23</v>
      </c>
      <c r="J6575">
        <v>9</v>
      </c>
      <c r="K6575">
        <v>0</v>
      </c>
      <c r="L6575">
        <v>0</v>
      </c>
      <c r="M6575">
        <f>VLOOKUP(Table1[[#This Row],[subscription_type]],Plans!$A$1:$B$5,2,FALSE)</f>
        <v>0</v>
      </c>
      <c r="N6575">
        <f t="shared" si="102"/>
        <v>0</v>
      </c>
    </row>
    <row r="6576" spans="1:14" x14ac:dyDescent="0.35">
      <c r="A6576">
        <v>6575</v>
      </c>
      <c r="B6576" t="s">
        <v>20</v>
      </c>
      <c r="C6576">
        <v>20</v>
      </c>
      <c r="D6576" t="s">
        <v>25</v>
      </c>
      <c r="E6576" t="s">
        <v>22</v>
      </c>
      <c r="F6576">
        <v>254</v>
      </c>
      <c r="G6576">
        <v>96</v>
      </c>
      <c r="H6576">
        <v>0.38</v>
      </c>
      <c r="I6576" t="s">
        <v>15</v>
      </c>
      <c r="J6576">
        <v>0</v>
      </c>
      <c r="K6576">
        <v>1</v>
      </c>
      <c r="L6576">
        <v>0</v>
      </c>
      <c r="M6576">
        <f>VLOOKUP(Table1[[#This Row],[subscription_type]],Plans!$A$1:$B$5,2,FALSE)</f>
        <v>9.99</v>
      </c>
      <c r="N6576">
        <f t="shared" si="102"/>
        <v>0</v>
      </c>
    </row>
    <row r="6577" spans="1:14" x14ac:dyDescent="0.35">
      <c r="A6577">
        <v>6576</v>
      </c>
      <c r="B6577" t="s">
        <v>16</v>
      </c>
      <c r="C6577">
        <v>57</v>
      </c>
      <c r="D6577" t="s">
        <v>28</v>
      </c>
      <c r="E6577" t="s">
        <v>22</v>
      </c>
      <c r="F6577">
        <v>298</v>
      </c>
      <c r="G6577">
        <v>39</v>
      </c>
      <c r="H6577">
        <v>0.09</v>
      </c>
      <c r="I6577" t="s">
        <v>23</v>
      </c>
      <c r="J6577">
        <v>0</v>
      </c>
      <c r="K6577">
        <v>1</v>
      </c>
      <c r="L6577">
        <v>1</v>
      </c>
      <c r="M6577">
        <f>VLOOKUP(Table1[[#This Row],[subscription_type]],Plans!$A$1:$B$5,2,FALSE)</f>
        <v>9.99</v>
      </c>
      <c r="N6577">
        <f t="shared" si="102"/>
        <v>9.99</v>
      </c>
    </row>
    <row r="6578" spans="1:14" x14ac:dyDescent="0.35">
      <c r="A6578">
        <v>6577</v>
      </c>
      <c r="B6578" t="s">
        <v>16</v>
      </c>
      <c r="C6578">
        <v>53</v>
      </c>
      <c r="D6578" t="s">
        <v>26</v>
      </c>
      <c r="E6578" t="s">
        <v>22</v>
      </c>
      <c r="F6578">
        <v>146</v>
      </c>
      <c r="G6578">
        <v>97</v>
      </c>
      <c r="H6578">
        <v>0.05</v>
      </c>
      <c r="I6578" t="s">
        <v>15</v>
      </c>
      <c r="J6578">
        <v>0</v>
      </c>
      <c r="K6578">
        <v>1</v>
      </c>
      <c r="L6578">
        <v>0</v>
      </c>
      <c r="M6578">
        <f>VLOOKUP(Table1[[#This Row],[subscription_type]],Plans!$A$1:$B$5,2,FALSE)</f>
        <v>9.99</v>
      </c>
      <c r="N6578">
        <f t="shared" si="102"/>
        <v>0</v>
      </c>
    </row>
    <row r="6579" spans="1:14" x14ac:dyDescent="0.35">
      <c r="A6579">
        <v>6578</v>
      </c>
      <c r="B6579" t="s">
        <v>16</v>
      </c>
      <c r="C6579">
        <v>44</v>
      </c>
      <c r="D6579" t="s">
        <v>13</v>
      </c>
      <c r="E6579" t="s">
        <v>22</v>
      </c>
      <c r="F6579">
        <v>84</v>
      </c>
      <c r="G6579">
        <v>68</v>
      </c>
      <c r="H6579">
        <v>0.04</v>
      </c>
      <c r="I6579" t="s">
        <v>23</v>
      </c>
      <c r="J6579">
        <v>0</v>
      </c>
      <c r="K6579">
        <v>1</v>
      </c>
      <c r="L6579">
        <v>0</v>
      </c>
      <c r="M6579">
        <f>VLOOKUP(Table1[[#This Row],[subscription_type]],Plans!$A$1:$B$5,2,FALSE)</f>
        <v>9.99</v>
      </c>
      <c r="N6579">
        <f t="shared" si="102"/>
        <v>0</v>
      </c>
    </row>
    <row r="6580" spans="1:14" x14ac:dyDescent="0.35">
      <c r="A6580">
        <v>6579</v>
      </c>
      <c r="B6580" t="s">
        <v>16</v>
      </c>
      <c r="C6580">
        <v>48</v>
      </c>
      <c r="D6580" t="s">
        <v>29</v>
      </c>
      <c r="E6580" t="s">
        <v>18</v>
      </c>
      <c r="F6580">
        <v>134</v>
      </c>
      <c r="G6580">
        <v>81</v>
      </c>
      <c r="H6580">
        <v>0.24</v>
      </c>
      <c r="I6580" t="s">
        <v>23</v>
      </c>
      <c r="J6580">
        <v>0</v>
      </c>
      <c r="K6580">
        <v>1</v>
      </c>
      <c r="L6580">
        <v>0</v>
      </c>
      <c r="M6580">
        <f>VLOOKUP(Table1[[#This Row],[subscription_type]],Plans!$A$1:$B$5,2,FALSE)</f>
        <v>14.99</v>
      </c>
      <c r="N6580">
        <f t="shared" si="102"/>
        <v>0</v>
      </c>
    </row>
    <row r="6581" spans="1:14" x14ac:dyDescent="0.35">
      <c r="A6581">
        <v>6580</v>
      </c>
      <c r="B6581" t="s">
        <v>16</v>
      </c>
      <c r="C6581">
        <v>54</v>
      </c>
      <c r="D6581" t="s">
        <v>21</v>
      </c>
      <c r="E6581" t="s">
        <v>24</v>
      </c>
      <c r="F6581">
        <v>125</v>
      </c>
      <c r="G6581">
        <v>11</v>
      </c>
      <c r="H6581">
        <v>0.21</v>
      </c>
      <c r="I6581" t="s">
        <v>15</v>
      </c>
      <c r="J6581">
        <v>0</v>
      </c>
      <c r="K6581">
        <v>1</v>
      </c>
      <c r="L6581">
        <v>0</v>
      </c>
      <c r="M6581">
        <f>VLOOKUP(Table1[[#This Row],[subscription_type]],Plans!$A$1:$B$5,2,FALSE)</f>
        <v>4.99</v>
      </c>
      <c r="N6581">
        <f t="shared" si="102"/>
        <v>0</v>
      </c>
    </row>
    <row r="6582" spans="1:14" x14ac:dyDescent="0.35">
      <c r="A6582">
        <v>6581</v>
      </c>
      <c r="B6582" t="s">
        <v>20</v>
      </c>
      <c r="C6582">
        <v>48</v>
      </c>
      <c r="D6582" t="s">
        <v>25</v>
      </c>
      <c r="E6582" t="s">
        <v>22</v>
      </c>
      <c r="F6582">
        <v>72</v>
      </c>
      <c r="G6582">
        <v>65</v>
      </c>
      <c r="H6582">
        <v>0.11</v>
      </c>
      <c r="I6582" t="s">
        <v>15</v>
      </c>
      <c r="J6582">
        <v>0</v>
      </c>
      <c r="K6582">
        <v>1</v>
      </c>
      <c r="L6582">
        <v>1</v>
      </c>
      <c r="M6582">
        <f>VLOOKUP(Table1[[#This Row],[subscription_type]],Plans!$A$1:$B$5,2,FALSE)</f>
        <v>9.99</v>
      </c>
      <c r="N6582">
        <f t="shared" si="102"/>
        <v>9.99</v>
      </c>
    </row>
    <row r="6583" spans="1:14" x14ac:dyDescent="0.35">
      <c r="A6583">
        <v>6582</v>
      </c>
      <c r="B6583" t="s">
        <v>16</v>
      </c>
      <c r="C6583">
        <v>48</v>
      </c>
      <c r="D6583" t="s">
        <v>21</v>
      </c>
      <c r="E6583" t="s">
        <v>22</v>
      </c>
      <c r="F6583">
        <v>264</v>
      </c>
      <c r="G6583">
        <v>85</v>
      </c>
      <c r="H6583">
        <v>0.57999999999999996</v>
      </c>
      <c r="I6583" t="s">
        <v>19</v>
      </c>
      <c r="J6583">
        <v>0</v>
      </c>
      <c r="K6583">
        <v>1</v>
      </c>
      <c r="L6583">
        <v>0</v>
      </c>
      <c r="M6583">
        <f>VLOOKUP(Table1[[#This Row],[subscription_type]],Plans!$A$1:$B$5,2,FALSE)</f>
        <v>9.99</v>
      </c>
      <c r="N6583">
        <f t="shared" si="102"/>
        <v>0</v>
      </c>
    </row>
    <row r="6584" spans="1:14" x14ac:dyDescent="0.35">
      <c r="A6584">
        <v>6583</v>
      </c>
      <c r="B6584" t="s">
        <v>20</v>
      </c>
      <c r="C6584">
        <v>35</v>
      </c>
      <c r="D6584" t="s">
        <v>27</v>
      </c>
      <c r="E6584" t="s">
        <v>22</v>
      </c>
      <c r="F6584">
        <v>67</v>
      </c>
      <c r="G6584">
        <v>38</v>
      </c>
      <c r="H6584">
        <v>0.19</v>
      </c>
      <c r="I6584" t="s">
        <v>15</v>
      </c>
      <c r="J6584">
        <v>0</v>
      </c>
      <c r="K6584">
        <v>1</v>
      </c>
      <c r="L6584">
        <v>0</v>
      </c>
      <c r="M6584">
        <f>VLOOKUP(Table1[[#This Row],[subscription_type]],Plans!$A$1:$B$5,2,FALSE)</f>
        <v>9.99</v>
      </c>
      <c r="N6584">
        <f t="shared" si="102"/>
        <v>0</v>
      </c>
    </row>
    <row r="6585" spans="1:14" x14ac:dyDescent="0.35">
      <c r="A6585">
        <v>6584</v>
      </c>
      <c r="B6585" t="s">
        <v>20</v>
      </c>
      <c r="C6585">
        <v>33</v>
      </c>
      <c r="D6585" t="s">
        <v>28</v>
      </c>
      <c r="E6585" t="s">
        <v>18</v>
      </c>
      <c r="F6585">
        <v>187</v>
      </c>
      <c r="G6585">
        <v>81</v>
      </c>
      <c r="H6585">
        <v>0.44</v>
      </c>
      <c r="I6585" t="s">
        <v>15</v>
      </c>
      <c r="J6585">
        <v>0</v>
      </c>
      <c r="K6585">
        <v>1</v>
      </c>
      <c r="L6585">
        <v>0</v>
      </c>
      <c r="M6585">
        <f>VLOOKUP(Table1[[#This Row],[subscription_type]],Plans!$A$1:$B$5,2,FALSE)</f>
        <v>14.99</v>
      </c>
      <c r="N6585">
        <f t="shared" si="102"/>
        <v>0</v>
      </c>
    </row>
    <row r="6586" spans="1:14" x14ac:dyDescent="0.35">
      <c r="A6586">
        <v>6585</v>
      </c>
      <c r="B6586" t="s">
        <v>20</v>
      </c>
      <c r="C6586">
        <v>21</v>
      </c>
      <c r="D6586" t="s">
        <v>25</v>
      </c>
      <c r="E6586" t="s">
        <v>24</v>
      </c>
      <c r="F6586">
        <v>24</v>
      </c>
      <c r="G6586">
        <v>6</v>
      </c>
      <c r="H6586">
        <v>0.59</v>
      </c>
      <c r="I6586" t="s">
        <v>15</v>
      </c>
      <c r="J6586">
        <v>0</v>
      </c>
      <c r="K6586">
        <v>1</v>
      </c>
      <c r="L6586">
        <v>0</v>
      </c>
      <c r="M6586">
        <f>VLOOKUP(Table1[[#This Row],[subscription_type]],Plans!$A$1:$B$5,2,FALSE)</f>
        <v>4.99</v>
      </c>
      <c r="N6586">
        <f t="shared" si="102"/>
        <v>0</v>
      </c>
    </row>
    <row r="6587" spans="1:14" x14ac:dyDescent="0.35">
      <c r="A6587">
        <v>6586</v>
      </c>
      <c r="B6587" t="s">
        <v>16</v>
      </c>
      <c r="C6587">
        <v>59</v>
      </c>
      <c r="D6587" t="s">
        <v>29</v>
      </c>
      <c r="E6587" t="s">
        <v>18</v>
      </c>
      <c r="F6587">
        <v>29</v>
      </c>
      <c r="G6587">
        <v>79</v>
      </c>
      <c r="H6587">
        <v>0.45</v>
      </c>
      <c r="I6587" t="s">
        <v>19</v>
      </c>
      <c r="J6587">
        <v>0</v>
      </c>
      <c r="K6587">
        <v>1</v>
      </c>
      <c r="L6587">
        <v>0</v>
      </c>
      <c r="M6587">
        <f>VLOOKUP(Table1[[#This Row],[subscription_type]],Plans!$A$1:$B$5,2,FALSE)</f>
        <v>14.99</v>
      </c>
      <c r="N6587">
        <f t="shared" si="102"/>
        <v>0</v>
      </c>
    </row>
    <row r="6588" spans="1:14" x14ac:dyDescent="0.35">
      <c r="A6588">
        <v>6587</v>
      </c>
      <c r="B6588" t="s">
        <v>16</v>
      </c>
      <c r="C6588">
        <v>58</v>
      </c>
      <c r="D6588" t="s">
        <v>28</v>
      </c>
      <c r="E6588" t="s">
        <v>24</v>
      </c>
      <c r="F6588">
        <v>125</v>
      </c>
      <c r="G6588">
        <v>49</v>
      </c>
      <c r="H6588">
        <v>0.12</v>
      </c>
      <c r="I6588" t="s">
        <v>15</v>
      </c>
      <c r="J6588">
        <v>0</v>
      </c>
      <c r="K6588">
        <v>1</v>
      </c>
      <c r="L6588">
        <v>0</v>
      </c>
      <c r="M6588">
        <f>VLOOKUP(Table1[[#This Row],[subscription_type]],Plans!$A$1:$B$5,2,FALSE)</f>
        <v>4.99</v>
      </c>
      <c r="N6588">
        <f t="shared" si="102"/>
        <v>0</v>
      </c>
    </row>
    <row r="6589" spans="1:14" x14ac:dyDescent="0.35">
      <c r="A6589">
        <v>6588</v>
      </c>
      <c r="B6589" t="s">
        <v>16</v>
      </c>
      <c r="C6589">
        <v>23</v>
      </c>
      <c r="D6589" t="s">
        <v>28</v>
      </c>
      <c r="E6589" t="s">
        <v>24</v>
      </c>
      <c r="F6589">
        <v>201</v>
      </c>
      <c r="G6589">
        <v>57</v>
      </c>
      <c r="H6589">
        <v>0.42</v>
      </c>
      <c r="I6589" t="s">
        <v>15</v>
      </c>
      <c r="J6589">
        <v>0</v>
      </c>
      <c r="K6589">
        <v>1</v>
      </c>
      <c r="L6589">
        <v>0</v>
      </c>
      <c r="M6589">
        <f>VLOOKUP(Table1[[#This Row],[subscription_type]],Plans!$A$1:$B$5,2,FALSE)</f>
        <v>4.99</v>
      </c>
      <c r="N6589">
        <f t="shared" si="102"/>
        <v>0</v>
      </c>
    </row>
    <row r="6590" spans="1:14" x14ac:dyDescent="0.35">
      <c r="A6590">
        <v>6589</v>
      </c>
      <c r="B6590" t="s">
        <v>20</v>
      </c>
      <c r="C6590">
        <v>59</v>
      </c>
      <c r="D6590" t="s">
        <v>26</v>
      </c>
      <c r="E6590" t="s">
        <v>24</v>
      </c>
      <c r="F6590">
        <v>186</v>
      </c>
      <c r="G6590">
        <v>92</v>
      </c>
      <c r="H6590">
        <v>0.12</v>
      </c>
      <c r="I6590" t="s">
        <v>23</v>
      </c>
      <c r="J6590">
        <v>0</v>
      </c>
      <c r="K6590">
        <v>1</v>
      </c>
      <c r="L6590">
        <v>1</v>
      </c>
      <c r="M6590">
        <f>VLOOKUP(Table1[[#This Row],[subscription_type]],Plans!$A$1:$B$5,2,FALSE)</f>
        <v>4.99</v>
      </c>
      <c r="N6590">
        <f t="shared" si="102"/>
        <v>4.99</v>
      </c>
    </row>
    <row r="6591" spans="1:14" x14ac:dyDescent="0.35">
      <c r="A6591">
        <v>6590</v>
      </c>
      <c r="B6591" t="s">
        <v>20</v>
      </c>
      <c r="C6591">
        <v>22</v>
      </c>
      <c r="D6591" t="s">
        <v>13</v>
      </c>
      <c r="E6591" t="s">
        <v>24</v>
      </c>
      <c r="F6591">
        <v>54</v>
      </c>
      <c r="G6591">
        <v>84</v>
      </c>
      <c r="H6591">
        <v>0.14000000000000001</v>
      </c>
      <c r="I6591" t="s">
        <v>23</v>
      </c>
      <c r="J6591">
        <v>0</v>
      </c>
      <c r="K6591">
        <v>1</v>
      </c>
      <c r="L6591">
        <v>0</v>
      </c>
      <c r="M6591">
        <f>VLOOKUP(Table1[[#This Row],[subscription_type]],Plans!$A$1:$B$5,2,FALSE)</f>
        <v>4.99</v>
      </c>
      <c r="N6591">
        <f t="shared" si="102"/>
        <v>0</v>
      </c>
    </row>
    <row r="6592" spans="1:14" x14ac:dyDescent="0.35">
      <c r="A6592">
        <v>6591</v>
      </c>
      <c r="B6592" t="s">
        <v>20</v>
      </c>
      <c r="C6592">
        <v>55</v>
      </c>
      <c r="D6592" t="s">
        <v>17</v>
      </c>
      <c r="E6592" t="s">
        <v>14</v>
      </c>
      <c r="F6592">
        <v>236</v>
      </c>
      <c r="G6592">
        <v>48</v>
      </c>
      <c r="H6592">
        <v>0.25</v>
      </c>
      <c r="I6592" t="s">
        <v>19</v>
      </c>
      <c r="J6592">
        <v>8</v>
      </c>
      <c r="K6592">
        <v>0</v>
      </c>
      <c r="L6592">
        <v>0</v>
      </c>
      <c r="M6592">
        <f>VLOOKUP(Table1[[#This Row],[subscription_type]],Plans!$A$1:$B$5,2,FALSE)</f>
        <v>0</v>
      </c>
      <c r="N6592">
        <f t="shared" si="102"/>
        <v>0</v>
      </c>
    </row>
    <row r="6593" spans="1:14" x14ac:dyDescent="0.35">
      <c r="A6593">
        <v>6592</v>
      </c>
      <c r="B6593" t="s">
        <v>12</v>
      </c>
      <c r="C6593">
        <v>40</v>
      </c>
      <c r="D6593" t="s">
        <v>21</v>
      </c>
      <c r="E6593" t="s">
        <v>22</v>
      </c>
      <c r="F6593">
        <v>114</v>
      </c>
      <c r="G6593">
        <v>88</v>
      </c>
      <c r="H6593">
        <v>0.55000000000000004</v>
      </c>
      <c r="I6593" t="s">
        <v>23</v>
      </c>
      <c r="J6593">
        <v>0</v>
      </c>
      <c r="K6593">
        <v>1</v>
      </c>
      <c r="L6593">
        <v>0</v>
      </c>
      <c r="M6593">
        <f>VLOOKUP(Table1[[#This Row],[subscription_type]],Plans!$A$1:$B$5,2,FALSE)</f>
        <v>9.99</v>
      </c>
      <c r="N6593">
        <f t="shared" si="102"/>
        <v>0</v>
      </c>
    </row>
    <row r="6594" spans="1:14" x14ac:dyDescent="0.35">
      <c r="A6594">
        <v>6593</v>
      </c>
      <c r="B6594" t="s">
        <v>20</v>
      </c>
      <c r="C6594">
        <v>36</v>
      </c>
      <c r="D6594" t="s">
        <v>28</v>
      </c>
      <c r="E6594" t="s">
        <v>18</v>
      </c>
      <c r="F6594">
        <v>176</v>
      </c>
      <c r="G6594">
        <v>67</v>
      </c>
      <c r="H6594">
        <v>0.46</v>
      </c>
      <c r="I6594" t="s">
        <v>19</v>
      </c>
      <c r="J6594">
        <v>0</v>
      </c>
      <c r="K6594">
        <v>1</v>
      </c>
      <c r="L6594">
        <v>0</v>
      </c>
      <c r="M6594">
        <f>VLOOKUP(Table1[[#This Row],[subscription_type]],Plans!$A$1:$B$5,2,FALSE)</f>
        <v>14.99</v>
      </c>
      <c r="N6594">
        <f t="shared" ref="N6594:N6657" si="103">IF(L6594=1, M6594,0)</f>
        <v>0</v>
      </c>
    </row>
    <row r="6595" spans="1:14" x14ac:dyDescent="0.35">
      <c r="A6595">
        <v>6594</v>
      </c>
      <c r="B6595" t="s">
        <v>16</v>
      </c>
      <c r="C6595">
        <v>46</v>
      </c>
      <c r="D6595" t="s">
        <v>17</v>
      </c>
      <c r="E6595" t="s">
        <v>22</v>
      </c>
      <c r="F6595">
        <v>251</v>
      </c>
      <c r="G6595">
        <v>69</v>
      </c>
      <c r="H6595">
        <v>0.59</v>
      </c>
      <c r="I6595" t="s">
        <v>15</v>
      </c>
      <c r="J6595">
        <v>0</v>
      </c>
      <c r="K6595">
        <v>1</v>
      </c>
      <c r="L6595">
        <v>0</v>
      </c>
      <c r="M6595">
        <f>VLOOKUP(Table1[[#This Row],[subscription_type]],Plans!$A$1:$B$5,2,FALSE)</f>
        <v>9.99</v>
      </c>
      <c r="N6595">
        <f t="shared" si="103"/>
        <v>0</v>
      </c>
    </row>
    <row r="6596" spans="1:14" x14ac:dyDescent="0.35">
      <c r="A6596">
        <v>6595</v>
      </c>
      <c r="B6596" t="s">
        <v>20</v>
      </c>
      <c r="C6596">
        <v>56</v>
      </c>
      <c r="D6596" t="s">
        <v>13</v>
      </c>
      <c r="E6596" t="s">
        <v>22</v>
      </c>
      <c r="F6596">
        <v>129</v>
      </c>
      <c r="G6596">
        <v>25</v>
      </c>
      <c r="H6596">
        <v>0.48</v>
      </c>
      <c r="I6596" t="s">
        <v>19</v>
      </c>
      <c r="J6596">
        <v>0</v>
      </c>
      <c r="K6596">
        <v>1</v>
      </c>
      <c r="L6596">
        <v>0</v>
      </c>
      <c r="M6596">
        <f>VLOOKUP(Table1[[#This Row],[subscription_type]],Plans!$A$1:$B$5,2,FALSE)</f>
        <v>9.99</v>
      </c>
      <c r="N6596">
        <f t="shared" si="103"/>
        <v>0</v>
      </c>
    </row>
    <row r="6597" spans="1:14" x14ac:dyDescent="0.35">
      <c r="A6597">
        <v>6596</v>
      </c>
      <c r="B6597" t="s">
        <v>16</v>
      </c>
      <c r="C6597">
        <v>28</v>
      </c>
      <c r="D6597" t="s">
        <v>29</v>
      </c>
      <c r="E6597" t="s">
        <v>18</v>
      </c>
      <c r="F6597">
        <v>201</v>
      </c>
      <c r="G6597">
        <v>95</v>
      </c>
      <c r="H6597">
        <v>0.24</v>
      </c>
      <c r="I6597" t="s">
        <v>19</v>
      </c>
      <c r="J6597">
        <v>0</v>
      </c>
      <c r="K6597">
        <v>1</v>
      </c>
      <c r="L6597">
        <v>1</v>
      </c>
      <c r="M6597">
        <f>VLOOKUP(Table1[[#This Row],[subscription_type]],Plans!$A$1:$B$5,2,FALSE)</f>
        <v>14.99</v>
      </c>
      <c r="N6597">
        <f t="shared" si="103"/>
        <v>14.99</v>
      </c>
    </row>
    <row r="6598" spans="1:14" x14ac:dyDescent="0.35">
      <c r="A6598">
        <v>6597</v>
      </c>
      <c r="B6598" t="s">
        <v>12</v>
      </c>
      <c r="C6598">
        <v>59</v>
      </c>
      <c r="D6598" t="s">
        <v>28</v>
      </c>
      <c r="E6598" t="s">
        <v>22</v>
      </c>
      <c r="F6598">
        <v>49</v>
      </c>
      <c r="G6598">
        <v>42</v>
      </c>
      <c r="H6598">
        <v>0.3</v>
      </c>
      <c r="I6598" t="s">
        <v>23</v>
      </c>
      <c r="J6598">
        <v>0</v>
      </c>
      <c r="K6598">
        <v>1</v>
      </c>
      <c r="L6598">
        <v>0</v>
      </c>
      <c r="M6598">
        <f>VLOOKUP(Table1[[#This Row],[subscription_type]],Plans!$A$1:$B$5,2,FALSE)</f>
        <v>9.99</v>
      </c>
      <c r="N6598">
        <f t="shared" si="103"/>
        <v>0</v>
      </c>
    </row>
    <row r="6599" spans="1:14" x14ac:dyDescent="0.35">
      <c r="A6599">
        <v>6598</v>
      </c>
      <c r="B6599" t="s">
        <v>16</v>
      </c>
      <c r="C6599">
        <v>51</v>
      </c>
      <c r="D6599" t="s">
        <v>26</v>
      </c>
      <c r="E6599" t="s">
        <v>24</v>
      </c>
      <c r="F6599">
        <v>239</v>
      </c>
      <c r="G6599">
        <v>73</v>
      </c>
      <c r="H6599">
        <v>0.03</v>
      </c>
      <c r="I6599" t="s">
        <v>15</v>
      </c>
      <c r="J6599">
        <v>0</v>
      </c>
      <c r="K6599">
        <v>1</v>
      </c>
      <c r="L6599">
        <v>0</v>
      </c>
      <c r="M6599">
        <f>VLOOKUP(Table1[[#This Row],[subscription_type]],Plans!$A$1:$B$5,2,FALSE)</f>
        <v>4.99</v>
      </c>
      <c r="N6599">
        <f t="shared" si="103"/>
        <v>0</v>
      </c>
    </row>
    <row r="6600" spans="1:14" x14ac:dyDescent="0.35">
      <c r="A6600">
        <v>6599</v>
      </c>
      <c r="B6600" t="s">
        <v>20</v>
      </c>
      <c r="C6600">
        <v>27</v>
      </c>
      <c r="D6600" t="s">
        <v>13</v>
      </c>
      <c r="E6600" t="s">
        <v>22</v>
      </c>
      <c r="F6600">
        <v>30</v>
      </c>
      <c r="G6600">
        <v>63</v>
      </c>
      <c r="H6600">
        <v>0.41</v>
      </c>
      <c r="I6600" t="s">
        <v>15</v>
      </c>
      <c r="J6600">
        <v>0</v>
      </c>
      <c r="K6600">
        <v>1</v>
      </c>
      <c r="L6600">
        <v>0</v>
      </c>
      <c r="M6600">
        <f>VLOOKUP(Table1[[#This Row],[subscription_type]],Plans!$A$1:$B$5,2,FALSE)</f>
        <v>9.99</v>
      </c>
      <c r="N6600">
        <f t="shared" si="103"/>
        <v>0</v>
      </c>
    </row>
    <row r="6601" spans="1:14" x14ac:dyDescent="0.35">
      <c r="A6601">
        <v>6600</v>
      </c>
      <c r="B6601" t="s">
        <v>20</v>
      </c>
      <c r="C6601">
        <v>54</v>
      </c>
      <c r="D6601" t="s">
        <v>17</v>
      </c>
      <c r="E6601" t="s">
        <v>22</v>
      </c>
      <c r="F6601">
        <v>237</v>
      </c>
      <c r="G6601">
        <v>72</v>
      </c>
      <c r="H6601">
        <v>0.1</v>
      </c>
      <c r="I6601" t="s">
        <v>23</v>
      </c>
      <c r="J6601">
        <v>0</v>
      </c>
      <c r="K6601">
        <v>1</v>
      </c>
      <c r="L6601">
        <v>0</v>
      </c>
      <c r="M6601">
        <f>VLOOKUP(Table1[[#This Row],[subscription_type]],Plans!$A$1:$B$5,2,FALSE)</f>
        <v>9.99</v>
      </c>
      <c r="N6601">
        <f t="shared" si="103"/>
        <v>0</v>
      </c>
    </row>
    <row r="6602" spans="1:14" x14ac:dyDescent="0.35">
      <c r="A6602">
        <v>6601</v>
      </c>
      <c r="B6602" t="s">
        <v>20</v>
      </c>
      <c r="C6602">
        <v>16</v>
      </c>
      <c r="D6602" t="s">
        <v>13</v>
      </c>
      <c r="E6602" t="s">
        <v>14</v>
      </c>
      <c r="F6602">
        <v>97</v>
      </c>
      <c r="G6602">
        <v>5</v>
      </c>
      <c r="H6602">
        <v>0.6</v>
      </c>
      <c r="I6602" t="s">
        <v>23</v>
      </c>
      <c r="J6602">
        <v>32</v>
      </c>
      <c r="K6602">
        <v>0</v>
      </c>
      <c r="L6602">
        <v>0</v>
      </c>
      <c r="M6602">
        <f>VLOOKUP(Table1[[#This Row],[subscription_type]],Plans!$A$1:$B$5,2,FALSE)</f>
        <v>0</v>
      </c>
      <c r="N6602">
        <f t="shared" si="103"/>
        <v>0</v>
      </c>
    </row>
    <row r="6603" spans="1:14" x14ac:dyDescent="0.35">
      <c r="A6603">
        <v>6602</v>
      </c>
      <c r="B6603" t="s">
        <v>12</v>
      </c>
      <c r="C6603">
        <v>18</v>
      </c>
      <c r="D6603" t="s">
        <v>28</v>
      </c>
      <c r="E6603" t="s">
        <v>18</v>
      </c>
      <c r="F6603">
        <v>178</v>
      </c>
      <c r="G6603">
        <v>59</v>
      </c>
      <c r="H6603">
        <v>0.27</v>
      </c>
      <c r="I6603" t="s">
        <v>23</v>
      </c>
      <c r="J6603">
        <v>0</v>
      </c>
      <c r="K6603">
        <v>1</v>
      </c>
      <c r="L6603">
        <v>0</v>
      </c>
      <c r="M6603">
        <f>VLOOKUP(Table1[[#This Row],[subscription_type]],Plans!$A$1:$B$5,2,FALSE)</f>
        <v>14.99</v>
      </c>
      <c r="N6603">
        <f t="shared" si="103"/>
        <v>0</v>
      </c>
    </row>
    <row r="6604" spans="1:14" x14ac:dyDescent="0.35">
      <c r="A6604">
        <v>6603</v>
      </c>
      <c r="B6604" t="s">
        <v>12</v>
      </c>
      <c r="C6604">
        <v>36</v>
      </c>
      <c r="D6604" t="s">
        <v>25</v>
      </c>
      <c r="E6604" t="s">
        <v>14</v>
      </c>
      <c r="F6604">
        <v>133</v>
      </c>
      <c r="G6604">
        <v>88</v>
      </c>
      <c r="H6604">
        <v>0.5</v>
      </c>
      <c r="I6604" t="s">
        <v>15</v>
      </c>
      <c r="J6604">
        <v>49</v>
      </c>
      <c r="K6604">
        <v>0</v>
      </c>
      <c r="L6604">
        <v>0</v>
      </c>
      <c r="M6604">
        <f>VLOOKUP(Table1[[#This Row],[subscription_type]],Plans!$A$1:$B$5,2,FALSE)</f>
        <v>0</v>
      </c>
      <c r="N6604">
        <f t="shared" si="103"/>
        <v>0</v>
      </c>
    </row>
    <row r="6605" spans="1:14" x14ac:dyDescent="0.35">
      <c r="A6605">
        <v>6604</v>
      </c>
      <c r="B6605" t="s">
        <v>20</v>
      </c>
      <c r="C6605">
        <v>50</v>
      </c>
      <c r="D6605" t="s">
        <v>29</v>
      </c>
      <c r="E6605" t="s">
        <v>18</v>
      </c>
      <c r="F6605">
        <v>169</v>
      </c>
      <c r="G6605">
        <v>50</v>
      </c>
      <c r="H6605">
        <v>0.2</v>
      </c>
      <c r="I6605" t="s">
        <v>23</v>
      </c>
      <c r="J6605">
        <v>0</v>
      </c>
      <c r="K6605">
        <v>1</v>
      </c>
      <c r="L6605">
        <v>0</v>
      </c>
      <c r="M6605">
        <f>VLOOKUP(Table1[[#This Row],[subscription_type]],Plans!$A$1:$B$5,2,FALSE)</f>
        <v>14.99</v>
      </c>
      <c r="N6605">
        <f t="shared" si="103"/>
        <v>0</v>
      </c>
    </row>
    <row r="6606" spans="1:14" x14ac:dyDescent="0.35">
      <c r="A6606">
        <v>6605</v>
      </c>
      <c r="B6606" t="s">
        <v>20</v>
      </c>
      <c r="C6606">
        <v>41</v>
      </c>
      <c r="D6606" t="s">
        <v>26</v>
      </c>
      <c r="E6606" t="s">
        <v>24</v>
      </c>
      <c r="F6606">
        <v>291</v>
      </c>
      <c r="G6606">
        <v>52</v>
      </c>
      <c r="H6606">
        <v>0.41</v>
      </c>
      <c r="I6606" t="s">
        <v>19</v>
      </c>
      <c r="J6606">
        <v>0</v>
      </c>
      <c r="K6606">
        <v>1</v>
      </c>
      <c r="L6606">
        <v>0</v>
      </c>
      <c r="M6606">
        <f>VLOOKUP(Table1[[#This Row],[subscription_type]],Plans!$A$1:$B$5,2,FALSE)</f>
        <v>4.99</v>
      </c>
      <c r="N6606">
        <f t="shared" si="103"/>
        <v>0</v>
      </c>
    </row>
    <row r="6607" spans="1:14" x14ac:dyDescent="0.35">
      <c r="A6607">
        <v>6606</v>
      </c>
      <c r="B6607" t="s">
        <v>20</v>
      </c>
      <c r="C6607">
        <v>41</v>
      </c>
      <c r="D6607" t="s">
        <v>29</v>
      </c>
      <c r="E6607" t="s">
        <v>24</v>
      </c>
      <c r="F6607">
        <v>276</v>
      </c>
      <c r="G6607">
        <v>69</v>
      </c>
      <c r="H6607">
        <v>7.0000000000000007E-2</v>
      </c>
      <c r="I6607" t="s">
        <v>19</v>
      </c>
      <c r="J6607">
        <v>0</v>
      </c>
      <c r="K6607">
        <v>1</v>
      </c>
      <c r="L6607">
        <v>0</v>
      </c>
      <c r="M6607">
        <f>VLOOKUP(Table1[[#This Row],[subscription_type]],Plans!$A$1:$B$5,2,FALSE)</f>
        <v>4.99</v>
      </c>
      <c r="N6607">
        <f t="shared" si="103"/>
        <v>0</v>
      </c>
    </row>
    <row r="6608" spans="1:14" x14ac:dyDescent="0.35">
      <c r="A6608">
        <v>6607</v>
      </c>
      <c r="B6608" t="s">
        <v>12</v>
      </c>
      <c r="C6608">
        <v>25</v>
      </c>
      <c r="D6608" t="s">
        <v>21</v>
      </c>
      <c r="E6608" t="s">
        <v>22</v>
      </c>
      <c r="F6608">
        <v>46</v>
      </c>
      <c r="G6608">
        <v>69</v>
      </c>
      <c r="H6608">
        <v>0.04</v>
      </c>
      <c r="I6608" t="s">
        <v>19</v>
      </c>
      <c r="J6608">
        <v>0</v>
      </c>
      <c r="K6608">
        <v>1</v>
      </c>
      <c r="L6608">
        <v>0</v>
      </c>
      <c r="M6608">
        <f>VLOOKUP(Table1[[#This Row],[subscription_type]],Plans!$A$1:$B$5,2,FALSE)</f>
        <v>9.99</v>
      </c>
      <c r="N6608">
        <f t="shared" si="103"/>
        <v>0</v>
      </c>
    </row>
    <row r="6609" spans="1:14" x14ac:dyDescent="0.35">
      <c r="A6609">
        <v>6608</v>
      </c>
      <c r="B6609" t="s">
        <v>20</v>
      </c>
      <c r="C6609">
        <v>57</v>
      </c>
      <c r="D6609" t="s">
        <v>13</v>
      </c>
      <c r="E6609" t="s">
        <v>18</v>
      </c>
      <c r="F6609">
        <v>53</v>
      </c>
      <c r="G6609">
        <v>50</v>
      </c>
      <c r="H6609">
        <v>0.45</v>
      </c>
      <c r="I6609" t="s">
        <v>15</v>
      </c>
      <c r="J6609">
        <v>0</v>
      </c>
      <c r="K6609">
        <v>1</v>
      </c>
      <c r="L6609">
        <v>0</v>
      </c>
      <c r="M6609">
        <f>VLOOKUP(Table1[[#This Row],[subscription_type]],Plans!$A$1:$B$5,2,FALSE)</f>
        <v>14.99</v>
      </c>
      <c r="N6609">
        <f t="shared" si="103"/>
        <v>0</v>
      </c>
    </row>
    <row r="6610" spans="1:14" x14ac:dyDescent="0.35">
      <c r="A6610">
        <v>6609</v>
      </c>
      <c r="B6610" t="s">
        <v>20</v>
      </c>
      <c r="C6610">
        <v>46</v>
      </c>
      <c r="D6610" t="s">
        <v>27</v>
      </c>
      <c r="E6610" t="s">
        <v>22</v>
      </c>
      <c r="F6610">
        <v>201</v>
      </c>
      <c r="G6610">
        <v>74</v>
      </c>
      <c r="H6610">
        <v>0.39</v>
      </c>
      <c r="I6610" t="s">
        <v>15</v>
      </c>
      <c r="J6610">
        <v>0</v>
      </c>
      <c r="K6610">
        <v>1</v>
      </c>
      <c r="L6610">
        <v>0</v>
      </c>
      <c r="M6610">
        <f>VLOOKUP(Table1[[#This Row],[subscription_type]],Plans!$A$1:$B$5,2,FALSE)</f>
        <v>9.99</v>
      </c>
      <c r="N6610">
        <f t="shared" si="103"/>
        <v>0</v>
      </c>
    </row>
    <row r="6611" spans="1:14" x14ac:dyDescent="0.35">
      <c r="A6611">
        <v>6610</v>
      </c>
      <c r="B6611" t="s">
        <v>16</v>
      </c>
      <c r="C6611">
        <v>53</v>
      </c>
      <c r="D6611" t="s">
        <v>29</v>
      </c>
      <c r="E6611" t="s">
        <v>18</v>
      </c>
      <c r="F6611">
        <v>164</v>
      </c>
      <c r="G6611">
        <v>82</v>
      </c>
      <c r="H6611">
        <v>0.28999999999999998</v>
      </c>
      <c r="I6611" t="s">
        <v>15</v>
      </c>
      <c r="J6611">
        <v>0</v>
      </c>
      <c r="K6611">
        <v>1</v>
      </c>
      <c r="L6611">
        <v>1</v>
      </c>
      <c r="M6611">
        <f>VLOOKUP(Table1[[#This Row],[subscription_type]],Plans!$A$1:$B$5,2,FALSE)</f>
        <v>14.99</v>
      </c>
      <c r="N6611">
        <f t="shared" si="103"/>
        <v>14.99</v>
      </c>
    </row>
    <row r="6612" spans="1:14" x14ac:dyDescent="0.35">
      <c r="A6612">
        <v>6611</v>
      </c>
      <c r="B6612" t="s">
        <v>16</v>
      </c>
      <c r="C6612">
        <v>44</v>
      </c>
      <c r="D6612" t="s">
        <v>27</v>
      </c>
      <c r="E6612" t="s">
        <v>22</v>
      </c>
      <c r="F6612">
        <v>259</v>
      </c>
      <c r="G6612">
        <v>15</v>
      </c>
      <c r="H6612">
        <v>0.44</v>
      </c>
      <c r="I6612" t="s">
        <v>19</v>
      </c>
      <c r="J6612">
        <v>0</v>
      </c>
      <c r="K6612">
        <v>1</v>
      </c>
      <c r="L6612">
        <v>0</v>
      </c>
      <c r="M6612">
        <f>VLOOKUP(Table1[[#This Row],[subscription_type]],Plans!$A$1:$B$5,2,FALSE)</f>
        <v>9.99</v>
      </c>
      <c r="N6612">
        <f t="shared" si="103"/>
        <v>0</v>
      </c>
    </row>
    <row r="6613" spans="1:14" x14ac:dyDescent="0.35">
      <c r="A6613">
        <v>6612</v>
      </c>
      <c r="B6613" t="s">
        <v>16</v>
      </c>
      <c r="C6613">
        <v>55</v>
      </c>
      <c r="D6613" t="s">
        <v>26</v>
      </c>
      <c r="E6613" t="s">
        <v>24</v>
      </c>
      <c r="F6613">
        <v>128</v>
      </c>
      <c r="G6613">
        <v>11</v>
      </c>
      <c r="H6613">
        <v>0.03</v>
      </c>
      <c r="I6613" t="s">
        <v>23</v>
      </c>
      <c r="J6613">
        <v>0</v>
      </c>
      <c r="K6613">
        <v>1</v>
      </c>
      <c r="L6613">
        <v>0</v>
      </c>
      <c r="M6613">
        <f>VLOOKUP(Table1[[#This Row],[subscription_type]],Plans!$A$1:$B$5,2,FALSE)</f>
        <v>4.99</v>
      </c>
      <c r="N6613">
        <f t="shared" si="103"/>
        <v>0</v>
      </c>
    </row>
    <row r="6614" spans="1:14" x14ac:dyDescent="0.35">
      <c r="A6614">
        <v>6613</v>
      </c>
      <c r="B6614" t="s">
        <v>20</v>
      </c>
      <c r="C6614">
        <v>58</v>
      </c>
      <c r="D6614" t="s">
        <v>27</v>
      </c>
      <c r="E6614" t="s">
        <v>22</v>
      </c>
      <c r="F6614">
        <v>42</v>
      </c>
      <c r="G6614">
        <v>45</v>
      </c>
      <c r="H6614">
        <v>0.21</v>
      </c>
      <c r="I6614" t="s">
        <v>23</v>
      </c>
      <c r="J6614">
        <v>0</v>
      </c>
      <c r="K6614">
        <v>1</v>
      </c>
      <c r="L6614">
        <v>0</v>
      </c>
      <c r="M6614">
        <f>VLOOKUP(Table1[[#This Row],[subscription_type]],Plans!$A$1:$B$5,2,FALSE)</f>
        <v>9.99</v>
      </c>
      <c r="N6614">
        <f t="shared" si="103"/>
        <v>0</v>
      </c>
    </row>
    <row r="6615" spans="1:14" x14ac:dyDescent="0.35">
      <c r="A6615">
        <v>6614</v>
      </c>
      <c r="B6615" t="s">
        <v>20</v>
      </c>
      <c r="C6615">
        <v>20</v>
      </c>
      <c r="D6615" t="s">
        <v>21</v>
      </c>
      <c r="E6615" t="s">
        <v>18</v>
      </c>
      <c r="F6615">
        <v>258</v>
      </c>
      <c r="G6615">
        <v>59</v>
      </c>
      <c r="H6615">
        <v>0.48</v>
      </c>
      <c r="I6615" t="s">
        <v>15</v>
      </c>
      <c r="J6615">
        <v>0</v>
      </c>
      <c r="K6615">
        <v>1</v>
      </c>
      <c r="L6615">
        <v>0</v>
      </c>
      <c r="M6615">
        <f>VLOOKUP(Table1[[#This Row],[subscription_type]],Plans!$A$1:$B$5,2,FALSE)</f>
        <v>14.99</v>
      </c>
      <c r="N6615">
        <f t="shared" si="103"/>
        <v>0</v>
      </c>
    </row>
    <row r="6616" spans="1:14" x14ac:dyDescent="0.35">
      <c r="A6616">
        <v>6615</v>
      </c>
      <c r="B6616" t="s">
        <v>16</v>
      </c>
      <c r="C6616">
        <v>31</v>
      </c>
      <c r="D6616" t="s">
        <v>27</v>
      </c>
      <c r="E6616" t="s">
        <v>18</v>
      </c>
      <c r="F6616">
        <v>263</v>
      </c>
      <c r="G6616">
        <v>8</v>
      </c>
      <c r="H6616">
        <v>0.38</v>
      </c>
      <c r="I6616" t="s">
        <v>23</v>
      </c>
      <c r="J6616">
        <v>0</v>
      </c>
      <c r="K6616">
        <v>1</v>
      </c>
      <c r="L6616">
        <v>0</v>
      </c>
      <c r="M6616">
        <f>VLOOKUP(Table1[[#This Row],[subscription_type]],Plans!$A$1:$B$5,2,FALSE)</f>
        <v>14.99</v>
      </c>
      <c r="N6616">
        <f t="shared" si="103"/>
        <v>0</v>
      </c>
    </row>
    <row r="6617" spans="1:14" x14ac:dyDescent="0.35">
      <c r="A6617">
        <v>6616</v>
      </c>
      <c r="B6617" t="s">
        <v>16</v>
      </c>
      <c r="C6617">
        <v>49</v>
      </c>
      <c r="D6617" t="s">
        <v>28</v>
      </c>
      <c r="E6617" t="s">
        <v>18</v>
      </c>
      <c r="F6617">
        <v>45</v>
      </c>
      <c r="G6617">
        <v>15</v>
      </c>
      <c r="H6617">
        <v>0.34</v>
      </c>
      <c r="I6617" t="s">
        <v>19</v>
      </c>
      <c r="J6617">
        <v>0</v>
      </c>
      <c r="K6617">
        <v>1</v>
      </c>
      <c r="L6617">
        <v>1</v>
      </c>
      <c r="M6617">
        <f>VLOOKUP(Table1[[#This Row],[subscription_type]],Plans!$A$1:$B$5,2,FALSE)</f>
        <v>14.99</v>
      </c>
      <c r="N6617">
        <f t="shared" si="103"/>
        <v>14.99</v>
      </c>
    </row>
    <row r="6618" spans="1:14" x14ac:dyDescent="0.35">
      <c r="A6618">
        <v>6617</v>
      </c>
      <c r="B6618" t="s">
        <v>20</v>
      </c>
      <c r="C6618">
        <v>19</v>
      </c>
      <c r="D6618" t="s">
        <v>26</v>
      </c>
      <c r="E6618" t="s">
        <v>14</v>
      </c>
      <c r="F6618">
        <v>24</v>
      </c>
      <c r="G6618">
        <v>60</v>
      </c>
      <c r="H6618">
        <v>0.1</v>
      </c>
      <c r="I6618" t="s">
        <v>23</v>
      </c>
      <c r="J6618">
        <v>26</v>
      </c>
      <c r="K6618">
        <v>0</v>
      </c>
      <c r="L6618">
        <v>0</v>
      </c>
      <c r="M6618">
        <f>VLOOKUP(Table1[[#This Row],[subscription_type]],Plans!$A$1:$B$5,2,FALSE)</f>
        <v>0</v>
      </c>
      <c r="N6618">
        <f t="shared" si="103"/>
        <v>0</v>
      </c>
    </row>
    <row r="6619" spans="1:14" x14ac:dyDescent="0.35">
      <c r="A6619">
        <v>6618</v>
      </c>
      <c r="B6619" t="s">
        <v>20</v>
      </c>
      <c r="C6619">
        <v>19</v>
      </c>
      <c r="D6619" t="s">
        <v>26</v>
      </c>
      <c r="E6619" t="s">
        <v>14</v>
      </c>
      <c r="F6619">
        <v>241</v>
      </c>
      <c r="G6619">
        <v>20</v>
      </c>
      <c r="H6619">
        <v>0.56999999999999995</v>
      </c>
      <c r="I6619" t="s">
        <v>23</v>
      </c>
      <c r="J6619">
        <v>26</v>
      </c>
      <c r="K6619">
        <v>0</v>
      </c>
      <c r="L6619">
        <v>0</v>
      </c>
      <c r="M6619">
        <f>VLOOKUP(Table1[[#This Row],[subscription_type]],Plans!$A$1:$B$5,2,FALSE)</f>
        <v>0</v>
      </c>
      <c r="N6619">
        <f t="shared" si="103"/>
        <v>0</v>
      </c>
    </row>
    <row r="6620" spans="1:14" x14ac:dyDescent="0.35">
      <c r="A6620">
        <v>6619</v>
      </c>
      <c r="B6620" t="s">
        <v>16</v>
      </c>
      <c r="C6620">
        <v>35</v>
      </c>
      <c r="D6620" t="s">
        <v>21</v>
      </c>
      <c r="E6620" t="s">
        <v>24</v>
      </c>
      <c r="F6620">
        <v>41</v>
      </c>
      <c r="G6620">
        <v>8</v>
      </c>
      <c r="H6620">
        <v>0.17</v>
      </c>
      <c r="I6620" t="s">
        <v>19</v>
      </c>
      <c r="J6620">
        <v>0</v>
      </c>
      <c r="K6620">
        <v>1</v>
      </c>
      <c r="L6620">
        <v>1</v>
      </c>
      <c r="M6620">
        <f>VLOOKUP(Table1[[#This Row],[subscription_type]],Plans!$A$1:$B$5,2,FALSE)</f>
        <v>4.99</v>
      </c>
      <c r="N6620">
        <f t="shared" si="103"/>
        <v>4.99</v>
      </c>
    </row>
    <row r="6621" spans="1:14" x14ac:dyDescent="0.35">
      <c r="A6621">
        <v>6620</v>
      </c>
      <c r="B6621" t="s">
        <v>20</v>
      </c>
      <c r="C6621">
        <v>36</v>
      </c>
      <c r="D6621" t="s">
        <v>27</v>
      </c>
      <c r="E6621" t="s">
        <v>22</v>
      </c>
      <c r="F6621">
        <v>252</v>
      </c>
      <c r="G6621">
        <v>85</v>
      </c>
      <c r="H6621">
        <v>0.55000000000000004</v>
      </c>
      <c r="I6621" t="s">
        <v>23</v>
      </c>
      <c r="J6621">
        <v>0</v>
      </c>
      <c r="K6621">
        <v>1</v>
      </c>
      <c r="L6621">
        <v>0</v>
      </c>
      <c r="M6621">
        <f>VLOOKUP(Table1[[#This Row],[subscription_type]],Plans!$A$1:$B$5,2,FALSE)</f>
        <v>9.99</v>
      </c>
      <c r="N6621">
        <f t="shared" si="103"/>
        <v>0</v>
      </c>
    </row>
    <row r="6622" spans="1:14" x14ac:dyDescent="0.35">
      <c r="A6622">
        <v>6621</v>
      </c>
      <c r="B6622" t="s">
        <v>20</v>
      </c>
      <c r="C6622">
        <v>37</v>
      </c>
      <c r="D6622" t="s">
        <v>25</v>
      </c>
      <c r="E6622" t="s">
        <v>24</v>
      </c>
      <c r="F6622">
        <v>236</v>
      </c>
      <c r="G6622">
        <v>60</v>
      </c>
      <c r="H6622">
        <v>0.15</v>
      </c>
      <c r="I6622" t="s">
        <v>19</v>
      </c>
      <c r="J6622">
        <v>0</v>
      </c>
      <c r="K6622">
        <v>1</v>
      </c>
      <c r="L6622">
        <v>0</v>
      </c>
      <c r="M6622">
        <f>VLOOKUP(Table1[[#This Row],[subscription_type]],Plans!$A$1:$B$5,2,FALSE)</f>
        <v>4.99</v>
      </c>
      <c r="N6622">
        <f t="shared" si="103"/>
        <v>0</v>
      </c>
    </row>
    <row r="6623" spans="1:14" x14ac:dyDescent="0.35">
      <c r="A6623">
        <v>6622</v>
      </c>
      <c r="B6623" t="s">
        <v>16</v>
      </c>
      <c r="C6623">
        <v>46</v>
      </c>
      <c r="D6623" t="s">
        <v>25</v>
      </c>
      <c r="E6623" t="s">
        <v>24</v>
      </c>
      <c r="F6623">
        <v>173</v>
      </c>
      <c r="G6623">
        <v>68</v>
      </c>
      <c r="H6623">
        <v>0.51</v>
      </c>
      <c r="I6623" t="s">
        <v>19</v>
      </c>
      <c r="J6623">
        <v>0</v>
      </c>
      <c r="K6623">
        <v>1</v>
      </c>
      <c r="L6623">
        <v>0</v>
      </c>
      <c r="M6623">
        <f>VLOOKUP(Table1[[#This Row],[subscription_type]],Plans!$A$1:$B$5,2,FALSE)</f>
        <v>4.99</v>
      </c>
      <c r="N6623">
        <f t="shared" si="103"/>
        <v>0</v>
      </c>
    </row>
    <row r="6624" spans="1:14" x14ac:dyDescent="0.35">
      <c r="A6624">
        <v>6623</v>
      </c>
      <c r="B6624" t="s">
        <v>16</v>
      </c>
      <c r="C6624">
        <v>24</v>
      </c>
      <c r="D6624" t="s">
        <v>17</v>
      </c>
      <c r="E6624" t="s">
        <v>24</v>
      </c>
      <c r="F6624">
        <v>279</v>
      </c>
      <c r="G6624">
        <v>60</v>
      </c>
      <c r="H6624">
        <v>0.24</v>
      </c>
      <c r="I6624" t="s">
        <v>23</v>
      </c>
      <c r="J6624">
        <v>0</v>
      </c>
      <c r="K6624">
        <v>1</v>
      </c>
      <c r="L6624">
        <v>1</v>
      </c>
      <c r="M6624">
        <f>VLOOKUP(Table1[[#This Row],[subscription_type]],Plans!$A$1:$B$5,2,FALSE)</f>
        <v>4.99</v>
      </c>
      <c r="N6624">
        <f t="shared" si="103"/>
        <v>4.99</v>
      </c>
    </row>
    <row r="6625" spans="1:14" x14ac:dyDescent="0.35">
      <c r="A6625">
        <v>6624</v>
      </c>
      <c r="B6625" t="s">
        <v>20</v>
      </c>
      <c r="C6625">
        <v>57</v>
      </c>
      <c r="D6625" t="s">
        <v>21</v>
      </c>
      <c r="E6625" t="s">
        <v>18</v>
      </c>
      <c r="F6625">
        <v>286</v>
      </c>
      <c r="G6625">
        <v>47</v>
      </c>
      <c r="H6625">
        <v>0.25</v>
      </c>
      <c r="I6625" t="s">
        <v>19</v>
      </c>
      <c r="J6625">
        <v>0</v>
      </c>
      <c r="K6625">
        <v>1</v>
      </c>
      <c r="L6625">
        <v>0</v>
      </c>
      <c r="M6625">
        <f>VLOOKUP(Table1[[#This Row],[subscription_type]],Plans!$A$1:$B$5,2,FALSE)</f>
        <v>14.99</v>
      </c>
      <c r="N6625">
        <f t="shared" si="103"/>
        <v>0</v>
      </c>
    </row>
    <row r="6626" spans="1:14" x14ac:dyDescent="0.35">
      <c r="A6626">
        <v>6625</v>
      </c>
      <c r="B6626" t="s">
        <v>12</v>
      </c>
      <c r="C6626">
        <v>46</v>
      </c>
      <c r="D6626" t="s">
        <v>13</v>
      </c>
      <c r="E6626" t="s">
        <v>22</v>
      </c>
      <c r="F6626">
        <v>170</v>
      </c>
      <c r="G6626">
        <v>38</v>
      </c>
      <c r="H6626">
        <v>0.6</v>
      </c>
      <c r="I6626" t="s">
        <v>19</v>
      </c>
      <c r="J6626">
        <v>0</v>
      </c>
      <c r="K6626">
        <v>1</v>
      </c>
      <c r="L6626">
        <v>0</v>
      </c>
      <c r="M6626">
        <f>VLOOKUP(Table1[[#This Row],[subscription_type]],Plans!$A$1:$B$5,2,FALSE)</f>
        <v>9.99</v>
      </c>
      <c r="N6626">
        <f t="shared" si="103"/>
        <v>0</v>
      </c>
    </row>
    <row r="6627" spans="1:14" x14ac:dyDescent="0.35">
      <c r="A6627">
        <v>6626</v>
      </c>
      <c r="B6627" t="s">
        <v>12</v>
      </c>
      <c r="C6627">
        <v>41</v>
      </c>
      <c r="D6627" t="s">
        <v>13</v>
      </c>
      <c r="E6627" t="s">
        <v>24</v>
      </c>
      <c r="F6627">
        <v>98</v>
      </c>
      <c r="G6627">
        <v>20</v>
      </c>
      <c r="H6627">
        <v>0.5</v>
      </c>
      <c r="I6627" t="s">
        <v>19</v>
      </c>
      <c r="J6627">
        <v>0</v>
      </c>
      <c r="K6627">
        <v>1</v>
      </c>
      <c r="L6627">
        <v>1</v>
      </c>
      <c r="M6627">
        <f>VLOOKUP(Table1[[#This Row],[subscription_type]],Plans!$A$1:$B$5,2,FALSE)</f>
        <v>4.99</v>
      </c>
      <c r="N6627">
        <f t="shared" si="103"/>
        <v>4.99</v>
      </c>
    </row>
    <row r="6628" spans="1:14" x14ac:dyDescent="0.35">
      <c r="A6628">
        <v>6627</v>
      </c>
      <c r="B6628" t="s">
        <v>20</v>
      </c>
      <c r="C6628">
        <v>43</v>
      </c>
      <c r="D6628" t="s">
        <v>13</v>
      </c>
      <c r="E6628" t="s">
        <v>24</v>
      </c>
      <c r="F6628">
        <v>150</v>
      </c>
      <c r="G6628">
        <v>37</v>
      </c>
      <c r="H6628">
        <v>0.23</v>
      </c>
      <c r="I6628" t="s">
        <v>15</v>
      </c>
      <c r="J6628">
        <v>0</v>
      </c>
      <c r="K6628">
        <v>1</v>
      </c>
      <c r="L6628">
        <v>0</v>
      </c>
      <c r="M6628">
        <f>VLOOKUP(Table1[[#This Row],[subscription_type]],Plans!$A$1:$B$5,2,FALSE)</f>
        <v>4.99</v>
      </c>
      <c r="N6628">
        <f t="shared" si="103"/>
        <v>0</v>
      </c>
    </row>
    <row r="6629" spans="1:14" x14ac:dyDescent="0.35">
      <c r="A6629">
        <v>6628</v>
      </c>
      <c r="B6629" t="s">
        <v>16</v>
      </c>
      <c r="C6629">
        <v>25</v>
      </c>
      <c r="D6629" t="s">
        <v>26</v>
      </c>
      <c r="E6629" t="s">
        <v>22</v>
      </c>
      <c r="F6629">
        <v>139</v>
      </c>
      <c r="G6629">
        <v>8</v>
      </c>
      <c r="H6629">
        <v>0.48</v>
      </c>
      <c r="I6629" t="s">
        <v>23</v>
      </c>
      <c r="J6629">
        <v>0</v>
      </c>
      <c r="K6629">
        <v>1</v>
      </c>
      <c r="L6629">
        <v>1</v>
      </c>
      <c r="M6629">
        <f>VLOOKUP(Table1[[#This Row],[subscription_type]],Plans!$A$1:$B$5,2,FALSE)</f>
        <v>9.99</v>
      </c>
      <c r="N6629">
        <f t="shared" si="103"/>
        <v>9.99</v>
      </c>
    </row>
    <row r="6630" spans="1:14" x14ac:dyDescent="0.35">
      <c r="A6630">
        <v>6629</v>
      </c>
      <c r="B6630" t="s">
        <v>20</v>
      </c>
      <c r="C6630">
        <v>35</v>
      </c>
      <c r="D6630" t="s">
        <v>29</v>
      </c>
      <c r="E6630" t="s">
        <v>18</v>
      </c>
      <c r="F6630">
        <v>39</v>
      </c>
      <c r="G6630">
        <v>81</v>
      </c>
      <c r="H6630">
        <v>0.16</v>
      </c>
      <c r="I6630" t="s">
        <v>15</v>
      </c>
      <c r="J6630">
        <v>0</v>
      </c>
      <c r="K6630">
        <v>1</v>
      </c>
      <c r="L6630">
        <v>0</v>
      </c>
      <c r="M6630">
        <f>VLOOKUP(Table1[[#This Row],[subscription_type]],Plans!$A$1:$B$5,2,FALSE)</f>
        <v>14.99</v>
      </c>
      <c r="N6630">
        <f t="shared" si="103"/>
        <v>0</v>
      </c>
    </row>
    <row r="6631" spans="1:14" x14ac:dyDescent="0.35">
      <c r="A6631">
        <v>6630</v>
      </c>
      <c r="B6631" t="s">
        <v>16</v>
      </c>
      <c r="C6631">
        <v>36</v>
      </c>
      <c r="D6631" t="s">
        <v>13</v>
      </c>
      <c r="E6631" t="s">
        <v>18</v>
      </c>
      <c r="F6631">
        <v>164</v>
      </c>
      <c r="G6631">
        <v>90</v>
      </c>
      <c r="H6631">
        <v>0.26</v>
      </c>
      <c r="I6631" t="s">
        <v>23</v>
      </c>
      <c r="J6631">
        <v>0</v>
      </c>
      <c r="K6631">
        <v>1</v>
      </c>
      <c r="L6631">
        <v>0</v>
      </c>
      <c r="M6631">
        <f>VLOOKUP(Table1[[#This Row],[subscription_type]],Plans!$A$1:$B$5,2,FALSE)</f>
        <v>14.99</v>
      </c>
      <c r="N6631">
        <f t="shared" si="103"/>
        <v>0</v>
      </c>
    </row>
    <row r="6632" spans="1:14" x14ac:dyDescent="0.35">
      <c r="A6632">
        <v>6631</v>
      </c>
      <c r="B6632" t="s">
        <v>12</v>
      </c>
      <c r="C6632">
        <v>46</v>
      </c>
      <c r="D6632" t="s">
        <v>17</v>
      </c>
      <c r="E6632" t="s">
        <v>18</v>
      </c>
      <c r="F6632">
        <v>282</v>
      </c>
      <c r="G6632">
        <v>7</v>
      </c>
      <c r="H6632">
        <v>0.25</v>
      </c>
      <c r="I6632" t="s">
        <v>15</v>
      </c>
      <c r="J6632">
        <v>0</v>
      </c>
      <c r="K6632">
        <v>1</v>
      </c>
      <c r="L6632">
        <v>0</v>
      </c>
      <c r="M6632">
        <f>VLOOKUP(Table1[[#This Row],[subscription_type]],Plans!$A$1:$B$5,2,FALSE)</f>
        <v>14.99</v>
      </c>
      <c r="N6632">
        <f t="shared" si="103"/>
        <v>0</v>
      </c>
    </row>
    <row r="6633" spans="1:14" x14ac:dyDescent="0.35">
      <c r="A6633">
        <v>6632</v>
      </c>
      <c r="B6633" t="s">
        <v>20</v>
      </c>
      <c r="C6633">
        <v>26</v>
      </c>
      <c r="D6633" t="s">
        <v>13</v>
      </c>
      <c r="E6633" t="s">
        <v>22</v>
      </c>
      <c r="F6633">
        <v>175</v>
      </c>
      <c r="G6633">
        <v>52</v>
      </c>
      <c r="H6633">
        <v>0.48</v>
      </c>
      <c r="I6633" t="s">
        <v>23</v>
      </c>
      <c r="J6633">
        <v>0</v>
      </c>
      <c r="K6633">
        <v>1</v>
      </c>
      <c r="L6633">
        <v>1</v>
      </c>
      <c r="M6633">
        <f>VLOOKUP(Table1[[#This Row],[subscription_type]],Plans!$A$1:$B$5,2,FALSE)</f>
        <v>9.99</v>
      </c>
      <c r="N6633">
        <f t="shared" si="103"/>
        <v>9.99</v>
      </c>
    </row>
    <row r="6634" spans="1:14" x14ac:dyDescent="0.35">
      <c r="A6634">
        <v>6633</v>
      </c>
      <c r="B6634" t="s">
        <v>16</v>
      </c>
      <c r="C6634">
        <v>22</v>
      </c>
      <c r="D6634" t="s">
        <v>28</v>
      </c>
      <c r="E6634" t="s">
        <v>22</v>
      </c>
      <c r="F6634">
        <v>271</v>
      </c>
      <c r="G6634">
        <v>14</v>
      </c>
      <c r="H6634">
        <v>0.41</v>
      </c>
      <c r="I6634" t="s">
        <v>19</v>
      </c>
      <c r="J6634">
        <v>0</v>
      </c>
      <c r="K6634">
        <v>1</v>
      </c>
      <c r="L6634">
        <v>0</v>
      </c>
      <c r="M6634">
        <f>VLOOKUP(Table1[[#This Row],[subscription_type]],Plans!$A$1:$B$5,2,FALSE)</f>
        <v>9.99</v>
      </c>
      <c r="N6634">
        <f t="shared" si="103"/>
        <v>0</v>
      </c>
    </row>
    <row r="6635" spans="1:14" x14ac:dyDescent="0.35">
      <c r="A6635">
        <v>6634</v>
      </c>
      <c r="B6635" t="s">
        <v>20</v>
      </c>
      <c r="C6635">
        <v>48</v>
      </c>
      <c r="D6635" t="s">
        <v>26</v>
      </c>
      <c r="E6635" t="s">
        <v>24</v>
      </c>
      <c r="F6635">
        <v>268</v>
      </c>
      <c r="G6635">
        <v>11</v>
      </c>
      <c r="H6635">
        <v>0.19</v>
      </c>
      <c r="I6635" t="s">
        <v>23</v>
      </c>
      <c r="J6635">
        <v>0</v>
      </c>
      <c r="K6635">
        <v>1</v>
      </c>
      <c r="L6635">
        <v>0</v>
      </c>
      <c r="M6635">
        <f>VLOOKUP(Table1[[#This Row],[subscription_type]],Plans!$A$1:$B$5,2,FALSE)</f>
        <v>4.99</v>
      </c>
      <c r="N6635">
        <f t="shared" si="103"/>
        <v>0</v>
      </c>
    </row>
    <row r="6636" spans="1:14" x14ac:dyDescent="0.35">
      <c r="A6636">
        <v>6635</v>
      </c>
      <c r="B6636" t="s">
        <v>12</v>
      </c>
      <c r="C6636">
        <v>30</v>
      </c>
      <c r="D6636" t="s">
        <v>13</v>
      </c>
      <c r="E6636" t="s">
        <v>14</v>
      </c>
      <c r="F6636">
        <v>146</v>
      </c>
      <c r="G6636">
        <v>93</v>
      </c>
      <c r="H6636">
        <v>0.33</v>
      </c>
      <c r="I6636" t="s">
        <v>19</v>
      </c>
      <c r="J6636">
        <v>28</v>
      </c>
      <c r="K6636">
        <v>0</v>
      </c>
      <c r="L6636">
        <v>0</v>
      </c>
      <c r="M6636">
        <f>VLOOKUP(Table1[[#This Row],[subscription_type]],Plans!$A$1:$B$5,2,FALSE)</f>
        <v>0</v>
      </c>
      <c r="N6636">
        <f t="shared" si="103"/>
        <v>0</v>
      </c>
    </row>
    <row r="6637" spans="1:14" x14ac:dyDescent="0.35">
      <c r="A6637">
        <v>6636</v>
      </c>
      <c r="B6637" t="s">
        <v>16</v>
      </c>
      <c r="C6637">
        <v>52</v>
      </c>
      <c r="D6637" t="s">
        <v>25</v>
      </c>
      <c r="E6637" t="s">
        <v>18</v>
      </c>
      <c r="F6637">
        <v>134</v>
      </c>
      <c r="G6637">
        <v>73</v>
      </c>
      <c r="H6637">
        <v>0.55000000000000004</v>
      </c>
      <c r="I6637" t="s">
        <v>15</v>
      </c>
      <c r="J6637">
        <v>0</v>
      </c>
      <c r="K6637">
        <v>1</v>
      </c>
      <c r="L6637">
        <v>0</v>
      </c>
      <c r="M6637">
        <f>VLOOKUP(Table1[[#This Row],[subscription_type]],Plans!$A$1:$B$5,2,FALSE)</f>
        <v>14.99</v>
      </c>
      <c r="N6637">
        <f t="shared" si="103"/>
        <v>0</v>
      </c>
    </row>
    <row r="6638" spans="1:14" x14ac:dyDescent="0.35">
      <c r="A6638">
        <v>6637</v>
      </c>
      <c r="B6638" t="s">
        <v>16</v>
      </c>
      <c r="C6638">
        <v>39</v>
      </c>
      <c r="D6638" t="s">
        <v>27</v>
      </c>
      <c r="E6638" t="s">
        <v>22</v>
      </c>
      <c r="F6638">
        <v>283</v>
      </c>
      <c r="G6638">
        <v>57</v>
      </c>
      <c r="H6638">
        <v>0.11</v>
      </c>
      <c r="I6638" t="s">
        <v>19</v>
      </c>
      <c r="J6638">
        <v>0</v>
      </c>
      <c r="K6638">
        <v>1</v>
      </c>
      <c r="L6638">
        <v>0</v>
      </c>
      <c r="M6638">
        <f>VLOOKUP(Table1[[#This Row],[subscription_type]],Plans!$A$1:$B$5,2,FALSE)</f>
        <v>9.99</v>
      </c>
      <c r="N6638">
        <f t="shared" si="103"/>
        <v>0</v>
      </c>
    </row>
    <row r="6639" spans="1:14" x14ac:dyDescent="0.35">
      <c r="A6639">
        <v>6638</v>
      </c>
      <c r="B6639" t="s">
        <v>16</v>
      </c>
      <c r="C6639">
        <v>40</v>
      </c>
      <c r="D6639" t="s">
        <v>25</v>
      </c>
      <c r="E6639" t="s">
        <v>24</v>
      </c>
      <c r="F6639">
        <v>181</v>
      </c>
      <c r="G6639">
        <v>91</v>
      </c>
      <c r="H6639">
        <v>0.56999999999999995</v>
      </c>
      <c r="I6639" t="s">
        <v>23</v>
      </c>
      <c r="J6639">
        <v>0</v>
      </c>
      <c r="K6639">
        <v>1</v>
      </c>
      <c r="L6639">
        <v>0</v>
      </c>
      <c r="M6639">
        <f>VLOOKUP(Table1[[#This Row],[subscription_type]],Plans!$A$1:$B$5,2,FALSE)</f>
        <v>4.99</v>
      </c>
      <c r="N6639">
        <f t="shared" si="103"/>
        <v>0</v>
      </c>
    </row>
    <row r="6640" spans="1:14" x14ac:dyDescent="0.35">
      <c r="A6640">
        <v>6639</v>
      </c>
      <c r="B6640" t="s">
        <v>20</v>
      </c>
      <c r="C6640">
        <v>36</v>
      </c>
      <c r="D6640" t="s">
        <v>21</v>
      </c>
      <c r="E6640" t="s">
        <v>18</v>
      </c>
      <c r="F6640">
        <v>213</v>
      </c>
      <c r="G6640">
        <v>29</v>
      </c>
      <c r="H6640">
        <v>0.34</v>
      </c>
      <c r="I6640" t="s">
        <v>15</v>
      </c>
      <c r="J6640">
        <v>0</v>
      </c>
      <c r="K6640">
        <v>1</v>
      </c>
      <c r="L6640">
        <v>0</v>
      </c>
      <c r="M6640">
        <f>VLOOKUP(Table1[[#This Row],[subscription_type]],Plans!$A$1:$B$5,2,FALSE)</f>
        <v>14.99</v>
      </c>
      <c r="N6640">
        <f t="shared" si="103"/>
        <v>0</v>
      </c>
    </row>
    <row r="6641" spans="1:14" x14ac:dyDescent="0.35">
      <c r="A6641">
        <v>6640</v>
      </c>
      <c r="B6641" t="s">
        <v>20</v>
      </c>
      <c r="C6641">
        <v>58</v>
      </c>
      <c r="D6641" t="s">
        <v>17</v>
      </c>
      <c r="E6641" t="s">
        <v>14</v>
      </c>
      <c r="F6641">
        <v>206</v>
      </c>
      <c r="G6641">
        <v>11</v>
      </c>
      <c r="H6641">
        <v>0.56000000000000005</v>
      </c>
      <c r="I6641" t="s">
        <v>15</v>
      </c>
      <c r="J6641">
        <v>8</v>
      </c>
      <c r="K6641">
        <v>0</v>
      </c>
      <c r="L6641">
        <v>0</v>
      </c>
      <c r="M6641">
        <f>VLOOKUP(Table1[[#This Row],[subscription_type]],Plans!$A$1:$B$5,2,FALSE)</f>
        <v>0</v>
      </c>
      <c r="N6641">
        <f t="shared" si="103"/>
        <v>0</v>
      </c>
    </row>
    <row r="6642" spans="1:14" x14ac:dyDescent="0.35">
      <c r="A6642">
        <v>6641</v>
      </c>
      <c r="B6642" t="s">
        <v>12</v>
      </c>
      <c r="C6642">
        <v>55</v>
      </c>
      <c r="D6642" t="s">
        <v>29</v>
      </c>
      <c r="E6642" t="s">
        <v>14</v>
      </c>
      <c r="F6642">
        <v>127</v>
      </c>
      <c r="G6642">
        <v>81</v>
      </c>
      <c r="H6642">
        <v>0</v>
      </c>
      <c r="I6642" t="s">
        <v>23</v>
      </c>
      <c r="J6642">
        <v>47</v>
      </c>
      <c r="K6642">
        <v>0</v>
      </c>
      <c r="L6642">
        <v>0</v>
      </c>
      <c r="M6642">
        <f>VLOOKUP(Table1[[#This Row],[subscription_type]],Plans!$A$1:$B$5,2,FALSE)</f>
        <v>0</v>
      </c>
      <c r="N6642">
        <f t="shared" si="103"/>
        <v>0</v>
      </c>
    </row>
    <row r="6643" spans="1:14" x14ac:dyDescent="0.35">
      <c r="A6643">
        <v>6642</v>
      </c>
      <c r="B6643" t="s">
        <v>16</v>
      </c>
      <c r="C6643">
        <v>49</v>
      </c>
      <c r="D6643" t="s">
        <v>17</v>
      </c>
      <c r="E6643" t="s">
        <v>18</v>
      </c>
      <c r="F6643">
        <v>169</v>
      </c>
      <c r="G6643">
        <v>31</v>
      </c>
      <c r="H6643">
        <v>0.08</v>
      </c>
      <c r="I6643" t="s">
        <v>23</v>
      </c>
      <c r="J6643">
        <v>0</v>
      </c>
      <c r="K6643">
        <v>1</v>
      </c>
      <c r="L6643">
        <v>0</v>
      </c>
      <c r="M6643">
        <f>VLOOKUP(Table1[[#This Row],[subscription_type]],Plans!$A$1:$B$5,2,FALSE)</f>
        <v>14.99</v>
      </c>
      <c r="N6643">
        <f t="shared" si="103"/>
        <v>0</v>
      </c>
    </row>
    <row r="6644" spans="1:14" x14ac:dyDescent="0.35">
      <c r="A6644">
        <v>6643</v>
      </c>
      <c r="B6644" t="s">
        <v>12</v>
      </c>
      <c r="C6644">
        <v>28</v>
      </c>
      <c r="D6644" t="s">
        <v>17</v>
      </c>
      <c r="E6644" t="s">
        <v>22</v>
      </c>
      <c r="F6644">
        <v>60</v>
      </c>
      <c r="G6644">
        <v>65</v>
      </c>
      <c r="H6644">
        <v>0.01</v>
      </c>
      <c r="I6644" t="s">
        <v>23</v>
      </c>
      <c r="J6644">
        <v>0</v>
      </c>
      <c r="K6644">
        <v>1</v>
      </c>
      <c r="L6644">
        <v>0</v>
      </c>
      <c r="M6644">
        <f>VLOOKUP(Table1[[#This Row],[subscription_type]],Plans!$A$1:$B$5,2,FALSE)</f>
        <v>9.99</v>
      </c>
      <c r="N6644">
        <f t="shared" si="103"/>
        <v>0</v>
      </c>
    </row>
    <row r="6645" spans="1:14" x14ac:dyDescent="0.35">
      <c r="A6645">
        <v>6644</v>
      </c>
      <c r="B6645" t="s">
        <v>16</v>
      </c>
      <c r="C6645">
        <v>24</v>
      </c>
      <c r="D6645" t="s">
        <v>28</v>
      </c>
      <c r="E6645" t="s">
        <v>18</v>
      </c>
      <c r="F6645">
        <v>95</v>
      </c>
      <c r="G6645">
        <v>51</v>
      </c>
      <c r="H6645">
        <v>0.31</v>
      </c>
      <c r="I6645" t="s">
        <v>15</v>
      </c>
      <c r="J6645">
        <v>0</v>
      </c>
      <c r="K6645">
        <v>1</v>
      </c>
      <c r="L6645">
        <v>0</v>
      </c>
      <c r="M6645">
        <f>VLOOKUP(Table1[[#This Row],[subscription_type]],Plans!$A$1:$B$5,2,FALSE)</f>
        <v>14.99</v>
      </c>
      <c r="N6645">
        <f t="shared" si="103"/>
        <v>0</v>
      </c>
    </row>
    <row r="6646" spans="1:14" x14ac:dyDescent="0.35">
      <c r="A6646">
        <v>6645</v>
      </c>
      <c r="B6646" t="s">
        <v>16</v>
      </c>
      <c r="C6646">
        <v>41</v>
      </c>
      <c r="D6646" t="s">
        <v>29</v>
      </c>
      <c r="E6646" t="s">
        <v>22</v>
      </c>
      <c r="F6646">
        <v>33</v>
      </c>
      <c r="G6646">
        <v>91</v>
      </c>
      <c r="H6646">
        <v>0.16</v>
      </c>
      <c r="I6646" t="s">
        <v>23</v>
      </c>
      <c r="J6646">
        <v>0</v>
      </c>
      <c r="K6646">
        <v>1</v>
      </c>
      <c r="L6646">
        <v>0</v>
      </c>
      <c r="M6646">
        <f>VLOOKUP(Table1[[#This Row],[subscription_type]],Plans!$A$1:$B$5,2,FALSE)</f>
        <v>9.99</v>
      </c>
      <c r="N6646">
        <f t="shared" si="103"/>
        <v>0</v>
      </c>
    </row>
    <row r="6647" spans="1:14" x14ac:dyDescent="0.35">
      <c r="A6647">
        <v>6646</v>
      </c>
      <c r="B6647" t="s">
        <v>20</v>
      </c>
      <c r="C6647">
        <v>33</v>
      </c>
      <c r="D6647" t="s">
        <v>13</v>
      </c>
      <c r="E6647" t="s">
        <v>24</v>
      </c>
      <c r="F6647">
        <v>241</v>
      </c>
      <c r="G6647">
        <v>99</v>
      </c>
      <c r="H6647">
        <v>0.53</v>
      </c>
      <c r="I6647" t="s">
        <v>15</v>
      </c>
      <c r="J6647">
        <v>0</v>
      </c>
      <c r="K6647">
        <v>1</v>
      </c>
      <c r="L6647">
        <v>0</v>
      </c>
      <c r="M6647">
        <f>VLOOKUP(Table1[[#This Row],[subscription_type]],Plans!$A$1:$B$5,2,FALSE)</f>
        <v>4.99</v>
      </c>
      <c r="N6647">
        <f t="shared" si="103"/>
        <v>0</v>
      </c>
    </row>
    <row r="6648" spans="1:14" x14ac:dyDescent="0.35">
      <c r="A6648">
        <v>6647</v>
      </c>
      <c r="B6648" t="s">
        <v>12</v>
      </c>
      <c r="C6648">
        <v>56</v>
      </c>
      <c r="D6648" t="s">
        <v>26</v>
      </c>
      <c r="E6648" t="s">
        <v>24</v>
      </c>
      <c r="F6648">
        <v>105</v>
      </c>
      <c r="G6648">
        <v>52</v>
      </c>
      <c r="H6648">
        <v>0.2</v>
      </c>
      <c r="I6648" t="s">
        <v>23</v>
      </c>
      <c r="J6648">
        <v>0</v>
      </c>
      <c r="K6648">
        <v>1</v>
      </c>
      <c r="L6648">
        <v>1</v>
      </c>
      <c r="M6648">
        <f>VLOOKUP(Table1[[#This Row],[subscription_type]],Plans!$A$1:$B$5,2,FALSE)</f>
        <v>4.99</v>
      </c>
      <c r="N6648">
        <f t="shared" si="103"/>
        <v>4.99</v>
      </c>
    </row>
    <row r="6649" spans="1:14" x14ac:dyDescent="0.35">
      <c r="A6649">
        <v>6648</v>
      </c>
      <c r="B6649" t="s">
        <v>20</v>
      </c>
      <c r="C6649">
        <v>26</v>
      </c>
      <c r="D6649" t="s">
        <v>21</v>
      </c>
      <c r="E6649" t="s">
        <v>14</v>
      </c>
      <c r="F6649">
        <v>210</v>
      </c>
      <c r="G6649">
        <v>81</v>
      </c>
      <c r="H6649">
        <v>0.53</v>
      </c>
      <c r="I6649" t="s">
        <v>19</v>
      </c>
      <c r="J6649">
        <v>14</v>
      </c>
      <c r="K6649">
        <v>0</v>
      </c>
      <c r="L6649">
        <v>0</v>
      </c>
      <c r="M6649">
        <f>VLOOKUP(Table1[[#This Row],[subscription_type]],Plans!$A$1:$B$5,2,FALSE)</f>
        <v>0</v>
      </c>
      <c r="N6649">
        <f t="shared" si="103"/>
        <v>0</v>
      </c>
    </row>
    <row r="6650" spans="1:14" x14ac:dyDescent="0.35">
      <c r="A6650">
        <v>6649</v>
      </c>
      <c r="B6650" t="s">
        <v>16</v>
      </c>
      <c r="C6650">
        <v>19</v>
      </c>
      <c r="D6650" t="s">
        <v>25</v>
      </c>
      <c r="E6650" t="s">
        <v>22</v>
      </c>
      <c r="F6650">
        <v>277</v>
      </c>
      <c r="G6650">
        <v>33</v>
      </c>
      <c r="H6650">
        <v>0.31</v>
      </c>
      <c r="I6650" t="s">
        <v>19</v>
      </c>
      <c r="J6650">
        <v>0</v>
      </c>
      <c r="K6650">
        <v>1</v>
      </c>
      <c r="L6650">
        <v>0</v>
      </c>
      <c r="M6650">
        <f>VLOOKUP(Table1[[#This Row],[subscription_type]],Plans!$A$1:$B$5,2,FALSE)</f>
        <v>9.99</v>
      </c>
      <c r="N6650">
        <f t="shared" si="103"/>
        <v>0</v>
      </c>
    </row>
    <row r="6651" spans="1:14" x14ac:dyDescent="0.35">
      <c r="A6651">
        <v>6650</v>
      </c>
      <c r="B6651" t="s">
        <v>12</v>
      </c>
      <c r="C6651">
        <v>50</v>
      </c>
      <c r="D6651" t="s">
        <v>21</v>
      </c>
      <c r="E6651" t="s">
        <v>22</v>
      </c>
      <c r="F6651">
        <v>168</v>
      </c>
      <c r="G6651">
        <v>76</v>
      </c>
      <c r="H6651">
        <v>0.38</v>
      </c>
      <c r="I6651" t="s">
        <v>15</v>
      </c>
      <c r="J6651">
        <v>0</v>
      </c>
      <c r="K6651">
        <v>1</v>
      </c>
      <c r="L6651">
        <v>0</v>
      </c>
      <c r="M6651">
        <f>VLOOKUP(Table1[[#This Row],[subscription_type]],Plans!$A$1:$B$5,2,FALSE)</f>
        <v>9.99</v>
      </c>
      <c r="N6651">
        <f t="shared" si="103"/>
        <v>0</v>
      </c>
    </row>
    <row r="6652" spans="1:14" x14ac:dyDescent="0.35">
      <c r="A6652">
        <v>6651</v>
      </c>
      <c r="B6652" t="s">
        <v>20</v>
      </c>
      <c r="C6652">
        <v>28</v>
      </c>
      <c r="D6652" t="s">
        <v>27</v>
      </c>
      <c r="E6652" t="s">
        <v>24</v>
      </c>
      <c r="F6652">
        <v>54</v>
      </c>
      <c r="G6652">
        <v>44</v>
      </c>
      <c r="H6652">
        <v>0.03</v>
      </c>
      <c r="I6652" t="s">
        <v>19</v>
      </c>
      <c r="J6652">
        <v>0</v>
      </c>
      <c r="K6652">
        <v>1</v>
      </c>
      <c r="L6652">
        <v>0</v>
      </c>
      <c r="M6652">
        <f>VLOOKUP(Table1[[#This Row],[subscription_type]],Plans!$A$1:$B$5,2,FALSE)</f>
        <v>4.99</v>
      </c>
      <c r="N6652">
        <f t="shared" si="103"/>
        <v>0</v>
      </c>
    </row>
    <row r="6653" spans="1:14" x14ac:dyDescent="0.35">
      <c r="A6653">
        <v>6652</v>
      </c>
      <c r="B6653" t="s">
        <v>16</v>
      </c>
      <c r="C6653">
        <v>28</v>
      </c>
      <c r="D6653" t="s">
        <v>27</v>
      </c>
      <c r="E6653" t="s">
        <v>14</v>
      </c>
      <c r="F6653">
        <v>268</v>
      </c>
      <c r="G6653">
        <v>48</v>
      </c>
      <c r="H6653">
        <v>7.0000000000000007E-2</v>
      </c>
      <c r="I6653" t="s">
        <v>15</v>
      </c>
      <c r="J6653">
        <v>43</v>
      </c>
      <c r="K6653">
        <v>0</v>
      </c>
      <c r="L6653">
        <v>0</v>
      </c>
      <c r="M6653">
        <f>VLOOKUP(Table1[[#This Row],[subscription_type]],Plans!$A$1:$B$5,2,FALSE)</f>
        <v>0</v>
      </c>
      <c r="N6653">
        <f t="shared" si="103"/>
        <v>0</v>
      </c>
    </row>
    <row r="6654" spans="1:14" x14ac:dyDescent="0.35">
      <c r="A6654">
        <v>6653</v>
      </c>
      <c r="B6654" t="s">
        <v>16</v>
      </c>
      <c r="C6654">
        <v>55</v>
      </c>
      <c r="D6654" t="s">
        <v>13</v>
      </c>
      <c r="E6654" t="s">
        <v>24</v>
      </c>
      <c r="F6654">
        <v>190</v>
      </c>
      <c r="G6654">
        <v>44</v>
      </c>
      <c r="H6654">
        <v>0.48</v>
      </c>
      <c r="I6654" t="s">
        <v>15</v>
      </c>
      <c r="J6654">
        <v>0</v>
      </c>
      <c r="K6654">
        <v>1</v>
      </c>
      <c r="L6654">
        <v>0</v>
      </c>
      <c r="M6654">
        <f>VLOOKUP(Table1[[#This Row],[subscription_type]],Plans!$A$1:$B$5,2,FALSE)</f>
        <v>4.99</v>
      </c>
      <c r="N6654">
        <f t="shared" si="103"/>
        <v>0</v>
      </c>
    </row>
    <row r="6655" spans="1:14" x14ac:dyDescent="0.35">
      <c r="A6655">
        <v>6654</v>
      </c>
      <c r="B6655" t="s">
        <v>16</v>
      </c>
      <c r="C6655">
        <v>49</v>
      </c>
      <c r="D6655" t="s">
        <v>13</v>
      </c>
      <c r="E6655" t="s">
        <v>18</v>
      </c>
      <c r="F6655">
        <v>291</v>
      </c>
      <c r="G6655">
        <v>13</v>
      </c>
      <c r="H6655">
        <v>0.2</v>
      </c>
      <c r="I6655" t="s">
        <v>19</v>
      </c>
      <c r="J6655">
        <v>0</v>
      </c>
      <c r="K6655">
        <v>1</v>
      </c>
      <c r="L6655">
        <v>1</v>
      </c>
      <c r="M6655">
        <f>VLOOKUP(Table1[[#This Row],[subscription_type]],Plans!$A$1:$B$5,2,FALSE)</f>
        <v>14.99</v>
      </c>
      <c r="N6655">
        <f t="shared" si="103"/>
        <v>14.99</v>
      </c>
    </row>
    <row r="6656" spans="1:14" x14ac:dyDescent="0.35">
      <c r="A6656">
        <v>6655</v>
      </c>
      <c r="B6656" t="s">
        <v>12</v>
      </c>
      <c r="C6656">
        <v>31</v>
      </c>
      <c r="D6656" t="s">
        <v>13</v>
      </c>
      <c r="E6656" t="s">
        <v>24</v>
      </c>
      <c r="F6656">
        <v>249</v>
      </c>
      <c r="G6656">
        <v>6</v>
      </c>
      <c r="H6656">
        <v>0.31</v>
      </c>
      <c r="I6656" t="s">
        <v>19</v>
      </c>
      <c r="J6656">
        <v>0</v>
      </c>
      <c r="K6656">
        <v>1</v>
      </c>
      <c r="L6656">
        <v>0</v>
      </c>
      <c r="M6656">
        <f>VLOOKUP(Table1[[#This Row],[subscription_type]],Plans!$A$1:$B$5,2,FALSE)</f>
        <v>4.99</v>
      </c>
      <c r="N6656">
        <f t="shared" si="103"/>
        <v>0</v>
      </c>
    </row>
    <row r="6657" spans="1:14" x14ac:dyDescent="0.35">
      <c r="A6657">
        <v>6656</v>
      </c>
      <c r="B6657" t="s">
        <v>20</v>
      </c>
      <c r="C6657">
        <v>19</v>
      </c>
      <c r="D6657" t="s">
        <v>17</v>
      </c>
      <c r="E6657" t="s">
        <v>24</v>
      </c>
      <c r="F6657">
        <v>53</v>
      </c>
      <c r="G6657">
        <v>72</v>
      </c>
      <c r="H6657">
        <v>0.56000000000000005</v>
      </c>
      <c r="I6657" t="s">
        <v>19</v>
      </c>
      <c r="J6657">
        <v>0</v>
      </c>
      <c r="K6657">
        <v>1</v>
      </c>
      <c r="L6657">
        <v>0</v>
      </c>
      <c r="M6657">
        <f>VLOOKUP(Table1[[#This Row],[subscription_type]],Plans!$A$1:$B$5,2,FALSE)</f>
        <v>4.99</v>
      </c>
      <c r="N6657">
        <f t="shared" si="103"/>
        <v>0</v>
      </c>
    </row>
    <row r="6658" spans="1:14" x14ac:dyDescent="0.35">
      <c r="A6658">
        <v>6657</v>
      </c>
      <c r="B6658" t="s">
        <v>12</v>
      </c>
      <c r="C6658">
        <v>37</v>
      </c>
      <c r="D6658" t="s">
        <v>26</v>
      </c>
      <c r="E6658" t="s">
        <v>24</v>
      </c>
      <c r="F6658">
        <v>88</v>
      </c>
      <c r="G6658">
        <v>86</v>
      </c>
      <c r="H6658">
        <v>0.19</v>
      </c>
      <c r="I6658" t="s">
        <v>19</v>
      </c>
      <c r="J6658">
        <v>0</v>
      </c>
      <c r="K6658">
        <v>1</v>
      </c>
      <c r="L6658">
        <v>0</v>
      </c>
      <c r="M6658">
        <f>VLOOKUP(Table1[[#This Row],[subscription_type]],Plans!$A$1:$B$5,2,FALSE)</f>
        <v>4.99</v>
      </c>
      <c r="N6658">
        <f t="shared" ref="N6658:N6721" si="104">IF(L6658=1, M6658,0)</f>
        <v>0</v>
      </c>
    </row>
    <row r="6659" spans="1:14" x14ac:dyDescent="0.35">
      <c r="A6659">
        <v>6658</v>
      </c>
      <c r="B6659" t="s">
        <v>16</v>
      </c>
      <c r="C6659">
        <v>19</v>
      </c>
      <c r="D6659" t="s">
        <v>27</v>
      </c>
      <c r="E6659" t="s">
        <v>24</v>
      </c>
      <c r="F6659">
        <v>158</v>
      </c>
      <c r="G6659">
        <v>8</v>
      </c>
      <c r="H6659">
        <v>0.28999999999999998</v>
      </c>
      <c r="I6659" t="s">
        <v>19</v>
      </c>
      <c r="J6659">
        <v>0</v>
      </c>
      <c r="K6659">
        <v>1</v>
      </c>
      <c r="L6659">
        <v>0</v>
      </c>
      <c r="M6659">
        <f>VLOOKUP(Table1[[#This Row],[subscription_type]],Plans!$A$1:$B$5,2,FALSE)</f>
        <v>4.99</v>
      </c>
      <c r="N6659">
        <f t="shared" si="104"/>
        <v>0</v>
      </c>
    </row>
    <row r="6660" spans="1:14" x14ac:dyDescent="0.35">
      <c r="A6660">
        <v>6659</v>
      </c>
      <c r="B6660" t="s">
        <v>20</v>
      </c>
      <c r="C6660">
        <v>44</v>
      </c>
      <c r="D6660" t="s">
        <v>28</v>
      </c>
      <c r="E6660" t="s">
        <v>22</v>
      </c>
      <c r="F6660">
        <v>23</v>
      </c>
      <c r="G6660">
        <v>94</v>
      </c>
      <c r="H6660">
        <v>0.47</v>
      </c>
      <c r="I6660" t="s">
        <v>19</v>
      </c>
      <c r="J6660">
        <v>0</v>
      </c>
      <c r="K6660">
        <v>1</v>
      </c>
      <c r="L6660">
        <v>0</v>
      </c>
      <c r="M6660">
        <f>VLOOKUP(Table1[[#This Row],[subscription_type]],Plans!$A$1:$B$5,2,FALSE)</f>
        <v>9.99</v>
      </c>
      <c r="N6660">
        <f t="shared" si="104"/>
        <v>0</v>
      </c>
    </row>
    <row r="6661" spans="1:14" x14ac:dyDescent="0.35">
      <c r="A6661">
        <v>6660</v>
      </c>
      <c r="B6661" t="s">
        <v>20</v>
      </c>
      <c r="C6661">
        <v>17</v>
      </c>
      <c r="D6661" t="s">
        <v>17</v>
      </c>
      <c r="E6661" t="s">
        <v>22</v>
      </c>
      <c r="F6661">
        <v>163</v>
      </c>
      <c r="G6661">
        <v>30</v>
      </c>
      <c r="H6661">
        <v>0.36</v>
      </c>
      <c r="I6661" t="s">
        <v>23</v>
      </c>
      <c r="J6661">
        <v>0</v>
      </c>
      <c r="K6661">
        <v>1</v>
      </c>
      <c r="L6661">
        <v>0</v>
      </c>
      <c r="M6661">
        <f>VLOOKUP(Table1[[#This Row],[subscription_type]],Plans!$A$1:$B$5,2,FALSE)</f>
        <v>9.99</v>
      </c>
      <c r="N6661">
        <f t="shared" si="104"/>
        <v>0</v>
      </c>
    </row>
    <row r="6662" spans="1:14" x14ac:dyDescent="0.35">
      <c r="A6662">
        <v>6661</v>
      </c>
      <c r="B6662" t="s">
        <v>12</v>
      </c>
      <c r="C6662">
        <v>32</v>
      </c>
      <c r="D6662" t="s">
        <v>17</v>
      </c>
      <c r="E6662" t="s">
        <v>14</v>
      </c>
      <c r="F6662">
        <v>100</v>
      </c>
      <c r="G6662">
        <v>37</v>
      </c>
      <c r="H6662">
        <v>0.04</v>
      </c>
      <c r="I6662" t="s">
        <v>15</v>
      </c>
      <c r="J6662">
        <v>21</v>
      </c>
      <c r="K6662">
        <v>0</v>
      </c>
      <c r="L6662">
        <v>1</v>
      </c>
      <c r="M6662">
        <f>VLOOKUP(Table1[[#This Row],[subscription_type]],Plans!$A$1:$B$5,2,FALSE)</f>
        <v>0</v>
      </c>
      <c r="N6662">
        <f t="shared" si="104"/>
        <v>0</v>
      </c>
    </row>
    <row r="6663" spans="1:14" x14ac:dyDescent="0.35">
      <c r="A6663">
        <v>6662</v>
      </c>
      <c r="B6663" t="s">
        <v>12</v>
      </c>
      <c r="C6663">
        <v>35</v>
      </c>
      <c r="D6663" t="s">
        <v>21</v>
      </c>
      <c r="E6663" t="s">
        <v>22</v>
      </c>
      <c r="F6663">
        <v>104</v>
      </c>
      <c r="G6663">
        <v>72</v>
      </c>
      <c r="H6663">
        <v>0.34</v>
      </c>
      <c r="I6663" t="s">
        <v>15</v>
      </c>
      <c r="J6663">
        <v>0</v>
      </c>
      <c r="K6663">
        <v>1</v>
      </c>
      <c r="L6663">
        <v>0</v>
      </c>
      <c r="M6663">
        <f>VLOOKUP(Table1[[#This Row],[subscription_type]],Plans!$A$1:$B$5,2,FALSE)</f>
        <v>9.99</v>
      </c>
      <c r="N6663">
        <f t="shared" si="104"/>
        <v>0</v>
      </c>
    </row>
    <row r="6664" spans="1:14" x14ac:dyDescent="0.35">
      <c r="A6664">
        <v>6663</v>
      </c>
      <c r="B6664" t="s">
        <v>12</v>
      </c>
      <c r="C6664">
        <v>58</v>
      </c>
      <c r="D6664" t="s">
        <v>26</v>
      </c>
      <c r="E6664" t="s">
        <v>24</v>
      </c>
      <c r="F6664">
        <v>58</v>
      </c>
      <c r="G6664">
        <v>22</v>
      </c>
      <c r="H6664">
        <v>0.15</v>
      </c>
      <c r="I6664" t="s">
        <v>23</v>
      </c>
      <c r="J6664">
        <v>0</v>
      </c>
      <c r="K6664">
        <v>1</v>
      </c>
      <c r="L6664">
        <v>0</v>
      </c>
      <c r="M6664">
        <f>VLOOKUP(Table1[[#This Row],[subscription_type]],Plans!$A$1:$B$5,2,FALSE)</f>
        <v>4.99</v>
      </c>
      <c r="N6664">
        <f t="shared" si="104"/>
        <v>0</v>
      </c>
    </row>
    <row r="6665" spans="1:14" x14ac:dyDescent="0.35">
      <c r="A6665">
        <v>6664</v>
      </c>
      <c r="B6665" t="s">
        <v>20</v>
      </c>
      <c r="C6665">
        <v>47</v>
      </c>
      <c r="D6665" t="s">
        <v>26</v>
      </c>
      <c r="E6665" t="s">
        <v>18</v>
      </c>
      <c r="F6665">
        <v>88</v>
      </c>
      <c r="G6665">
        <v>2</v>
      </c>
      <c r="H6665">
        <v>0.33</v>
      </c>
      <c r="I6665" t="s">
        <v>23</v>
      </c>
      <c r="J6665">
        <v>0</v>
      </c>
      <c r="K6665">
        <v>1</v>
      </c>
      <c r="L6665">
        <v>0</v>
      </c>
      <c r="M6665">
        <f>VLOOKUP(Table1[[#This Row],[subscription_type]],Plans!$A$1:$B$5,2,FALSE)</f>
        <v>14.99</v>
      </c>
      <c r="N6665">
        <f t="shared" si="104"/>
        <v>0</v>
      </c>
    </row>
    <row r="6666" spans="1:14" x14ac:dyDescent="0.35">
      <c r="A6666">
        <v>6665</v>
      </c>
      <c r="B6666" t="s">
        <v>12</v>
      </c>
      <c r="C6666">
        <v>58</v>
      </c>
      <c r="D6666" t="s">
        <v>26</v>
      </c>
      <c r="E6666" t="s">
        <v>14</v>
      </c>
      <c r="F6666">
        <v>25</v>
      </c>
      <c r="G6666">
        <v>94</v>
      </c>
      <c r="H6666">
        <v>0.08</v>
      </c>
      <c r="I6666" t="s">
        <v>15</v>
      </c>
      <c r="J6666">
        <v>42</v>
      </c>
      <c r="K6666">
        <v>0</v>
      </c>
      <c r="L6666">
        <v>0</v>
      </c>
      <c r="M6666">
        <f>VLOOKUP(Table1[[#This Row],[subscription_type]],Plans!$A$1:$B$5,2,FALSE)</f>
        <v>0</v>
      </c>
      <c r="N6666">
        <f t="shared" si="104"/>
        <v>0</v>
      </c>
    </row>
    <row r="6667" spans="1:14" x14ac:dyDescent="0.35">
      <c r="A6667">
        <v>6666</v>
      </c>
      <c r="B6667" t="s">
        <v>16</v>
      </c>
      <c r="C6667">
        <v>37</v>
      </c>
      <c r="D6667" t="s">
        <v>17</v>
      </c>
      <c r="E6667" t="s">
        <v>14</v>
      </c>
      <c r="F6667">
        <v>296</v>
      </c>
      <c r="G6667">
        <v>34</v>
      </c>
      <c r="H6667">
        <v>0.01</v>
      </c>
      <c r="I6667" t="s">
        <v>15</v>
      </c>
      <c r="J6667">
        <v>46</v>
      </c>
      <c r="K6667">
        <v>0</v>
      </c>
      <c r="L6667">
        <v>1</v>
      </c>
      <c r="M6667">
        <f>VLOOKUP(Table1[[#This Row],[subscription_type]],Plans!$A$1:$B$5,2,FALSE)</f>
        <v>0</v>
      </c>
      <c r="N6667">
        <f t="shared" si="104"/>
        <v>0</v>
      </c>
    </row>
    <row r="6668" spans="1:14" x14ac:dyDescent="0.35">
      <c r="A6668">
        <v>6667</v>
      </c>
      <c r="B6668" t="s">
        <v>16</v>
      </c>
      <c r="C6668">
        <v>27</v>
      </c>
      <c r="D6668" t="s">
        <v>29</v>
      </c>
      <c r="E6668" t="s">
        <v>22</v>
      </c>
      <c r="F6668">
        <v>262</v>
      </c>
      <c r="G6668">
        <v>88</v>
      </c>
      <c r="H6668">
        <v>0.02</v>
      </c>
      <c r="I6668" t="s">
        <v>19</v>
      </c>
      <c r="J6668">
        <v>0</v>
      </c>
      <c r="K6668">
        <v>1</v>
      </c>
      <c r="L6668">
        <v>0</v>
      </c>
      <c r="M6668">
        <f>VLOOKUP(Table1[[#This Row],[subscription_type]],Plans!$A$1:$B$5,2,FALSE)</f>
        <v>9.99</v>
      </c>
      <c r="N6668">
        <f t="shared" si="104"/>
        <v>0</v>
      </c>
    </row>
    <row r="6669" spans="1:14" x14ac:dyDescent="0.35">
      <c r="A6669">
        <v>6668</v>
      </c>
      <c r="B6669" t="s">
        <v>16</v>
      </c>
      <c r="C6669">
        <v>46</v>
      </c>
      <c r="D6669" t="s">
        <v>17</v>
      </c>
      <c r="E6669" t="s">
        <v>18</v>
      </c>
      <c r="F6669">
        <v>264</v>
      </c>
      <c r="G6669">
        <v>85</v>
      </c>
      <c r="H6669">
        <v>0.27</v>
      </c>
      <c r="I6669" t="s">
        <v>19</v>
      </c>
      <c r="J6669">
        <v>0</v>
      </c>
      <c r="K6669">
        <v>1</v>
      </c>
      <c r="L6669">
        <v>0</v>
      </c>
      <c r="M6669">
        <f>VLOOKUP(Table1[[#This Row],[subscription_type]],Plans!$A$1:$B$5,2,FALSE)</f>
        <v>14.99</v>
      </c>
      <c r="N6669">
        <f t="shared" si="104"/>
        <v>0</v>
      </c>
    </row>
    <row r="6670" spans="1:14" x14ac:dyDescent="0.35">
      <c r="A6670">
        <v>6669</v>
      </c>
      <c r="B6670" t="s">
        <v>20</v>
      </c>
      <c r="C6670">
        <v>18</v>
      </c>
      <c r="D6670" t="s">
        <v>28</v>
      </c>
      <c r="E6670" t="s">
        <v>22</v>
      </c>
      <c r="F6670">
        <v>58</v>
      </c>
      <c r="G6670">
        <v>88</v>
      </c>
      <c r="H6670">
        <v>0.53</v>
      </c>
      <c r="I6670" t="s">
        <v>19</v>
      </c>
      <c r="J6670">
        <v>0</v>
      </c>
      <c r="K6670">
        <v>1</v>
      </c>
      <c r="L6670">
        <v>0</v>
      </c>
      <c r="M6670">
        <f>VLOOKUP(Table1[[#This Row],[subscription_type]],Plans!$A$1:$B$5,2,FALSE)</f>
        <v>9.99</v>
      </c>
      <c r="N6670">
        <f t="shared" si="104"/>
        <v>0</v>
      </c>
    </row>
    <row r="6671" spans="1:14" x14ac:dyDescent="0.35">
      <c r="A6671">
        <v>6670</v>
      </c>
      <c r="B6671" t="s">
        <v>20</v>
      </c>
      <c r="C6671">
        <v>46</v>
      </c>
      <c r="D6671" t="s">
        <v>13</v>
      </c>
      <c r="E6671" t="s">
        <v>18</v>
      </c>
      <c r="F6671">
        <v>249</v>
      </c>
      <c r="G6671">
        <v>66</v>
      </c>
      <c r="H6671">
        <v>0</v>
      </c>
      <c r="I6671" t="s">
        <v>15</v>
      </c>
      <c r="J6671">
        <v>0</v>
      </c>
      <c r="K6671">
        <v>1</v>
      </c>
      <c r="L6671">
        <v>0</v>
      </c>
      <c r="M6671">
        <f>VLOOKUP(Table1[[#This Row],[subscription_type]],Plans!$A$1:$B$5,2,FALSE)</f>
        <v>14.99</v>
      </c>
      <c r="N6671">
        <f t="shared" si="104"/>
        <v>0</v>
      </c>
    </row>
    <row r="6672" spans="1:14" x14ac:dyDescent="0.35">
      <c r="A6672">
        <v>6671</v>
      </c>
      <c r="B6672" t="s">
        <v>20</v>
      </c>
      <c r="C6672">
        <v>43</v>
      </c>
      <c r="D6672" t="s">
        <v>25</v>
      </c>
      <c r="E6672" t="s">
        <v>14</v>
      </c>
      <c r="F6672">
        <v>208</v>
      </c>
      <c r="G6672">
        <v>29</v>
      </c>
      <c r="H6672">
        <v>0.4</v>
      </c>
      <c r="I6672" t="s">
        <v>15</v>
      </c>
      <c r="J6672">
        <v>9</v>
      </c>
      <c r="K6672">
        <v>0</v>
      </c>
      <c r="L6672">
        <v>0</v>
      </c>
      <c r="M6672">
        <f>VLOOKUP(Table1[[#This Row],[subscription_type]],Plans!$A$1:$B$5,2,FALSE)</f>
        <v>0</v>
      </c>
      <c r="N6672">
        <f t="shared" si="104"/>
        <v>0</v>
      </c>
    </row>
    <row r="6673" spans="1:14" x14ac:dyDescent="0.35">
      <c r="A6673">
        <v>6672</v>
      </c>
      <c r="B6673" t="s">
        <v>12</v>
      </c>
      <c r="C6673">
        <v>20</v>
      </c>
      <c r="D6673" t="s">
        <v>27</v>
      </c>
      <c r="E6673" t="s">
        <v>14</v>
      </c>
      <c r="F6673">
        <v>278</v>
      </c>
      <c r="G6673">
        <v>16</v>
      </c>
      <c r="H6673">
        <v>0.01</v>
      </c>
      <c r="I6673" t="s">
        <v>23</v>
      </c>
      <c r="J6673">
        <v>28</v>
      </c>
      <c r="K6673">
        <v>0</v>
      </c>
      <c r="L6673">
        <v>0</v>
      </c>
      <c r="M6673">
        <f>VLOOKUP(Table1[[#This Row],[subscription_type]],Plans!$A$1:$B$5,2,FALSE)</f>
        <v>0</v>
      </c>
      <c r="N6673">
        <f t="shared" si="104"/>
        <v>0</v>
      </c>
    </row>
    <row r="6674" spans="1:14" x14ac:dyDescent="0.35">
      <c r="A6674">
        <v>6673</v>
      </c>
      <c r="B6674" t="s">
        <v>20</v>
      </c>
      <c r="C6674">
        <v>53</v>
      </c>
      <c r="D6674" t="s">
        <v>17</v>
      </c>
      <c r="E6674" t="s">
        <v>14</v>
      </c>
      <c r="F6674">
        <v>15</v>
      </c>
      <c r="G6674">
        <v>27</v>
      </c>
      <c r="H6674">
        <v>0.46</v>
      </c>
      <c r="I6674" t="s">
        <v>23</v>
      </c>
      <c r="J6674">
        <v>43</v>
      </c>
      <c r="K6674">
        <v>0</v>
      </c>
      <c r="L6674">
        <v>1</v>
      </c>
      <c r="M6674">
        <f>VLOOKUP(Table1[[#This Row],[subscription_type]],Plans!$A$1:$B$5,2,FALSE)</f>
        <v>0</v>
      </c>
      <c r="N6674">
        <f t="shared" si="104"/>
        <v>0</v>
      </c>
    </row>
    <row r="6675" spans="1:14" x14ac:dyDescent="0.35">
      <c r="A6675">
        <v>6674</v>
      </c>
      <c r="B6675" t="s">
        <v>12</v>
      </c>
      <c r="C6675">
        <v>48</v>
      </c>
      <c r="D6675" t="s">
        <v>21</v>
      </c>
      <c r="E6675" t="s">
        <v>22</v>
      </c>
      <c r="F6675">
        <v>165</v>
      </c>
      <c r="G6675">
        <v>54</v>
      </c>
      <c r="H6675">
        <v>0.22</v>
      </c>
      <c r="I6675" t="s">
        <v>15</v>
      </c>
      <c r="J6675">
        <v>0</v>
      </c>
      <c r="K6675">
        <v>1</v>
      </c>
      <c r="L6675">
        <v>1</v>
      </c>
      <c r="M6675">
        <f>VLOOKUP(Table1[[#This Row],[subscription_type]],Plans!$A$1:$B$5,2,FALSE)</f>
        <v>9.99</v>
      </c>
      <c r="N6675">
        <f t="shared" si="104"/>
        <v>9.99</v>
      </c>
    </row>
    <row r="6676" spans="1:14" x14ac:dyDescent="0.35">
      <c r="A6676">
        <v>6675</v>
      </c>
      <c r="B6676" t="s">
        <v>12</v>
      </c>
      <c r="C6676">
        <v>18</v>
      </c>
      <c r="D6676" t="s">
        <v>26</v>
      </c>
      <c r="E6676" t="s">
        <v>14</v>
      </c>
      <c r="F6676">
        <v>144</v>
      </c>
      <c r="G6676">
        <v>88</v>
      </c>
      <c r="H6676">
        <v>0.55000000000000004</v>
      </c>
      <c r="I6676" t="s">
        <v>23</v>
      </c>
      <c r="J6676">
        <v>23</v>
      </c>
      <c r="K6676">
        <v>0</v>
      </c>
      <c r="L6676">
        <v>0</v>
      </c>
      <c r="M6676">
        <f>VLOOKUP(Table1[[#This Row],[subscription_type]],Plans!$A$1:$B$5,2,FALSE)</f>
        <v>0</v>
      </c>
      <c r="N6676">
        <f t="shared" si="104"/>
        <v>0</v>
      </c>
    </row>
    <row r="6677" spans="1:14" x14ac:dyDescent="0.35">
      <c r="A6677">
        <v>6676</v>
      </c>
      <c r="B6677" t="s">
        <v>16</v>
      </c>
      <c r="C6677">
        <v>39</v>
      </c>
      <c r="D6677" t="s">
        <v>13</v>
      </c>
      <c r="E6677" t="s">
        <v>24</v>
      </c>
      <c r="F6677">
        <v>163</v>
      </c>
      <c r="G6677">
        <v>13</v>
      </c>
      <c r="H6677">
        <v>0.26</v>
      </c>
      <c r="I6677" t="s">
        <v>19</v>
      </c>
      <c r="J6677">
        <v>0</v>
      </c>
      <c r="K6677">
        <v>1</v>
      </c>
      <c r="L6677">
        <v>0</v>
      </c>
      <c r="M6677">
        <f>VLOOKUP(Table1[[#This Row],[subscription_type]],Plans!$A$1:$B$5,2,FALSE)</f>
        <v>4.99</v>
      </c>
      <c r="N6677">
        <f t="shared" si="104"/>
        <v>0</v>
      </c>
    </row>
    <row r="6678" spans="1:14" x14ac:dyDescent="0.35">
      <c r="A6678">
        <v>6677</v>
      </c>
      <c r="B6678" t="s">
        <v>12</v>
      </c>
      <c r="C6678">
        <v>51</v>
      </c>
      <c r="D6678" t="s">
        <v>21</v>
      </c>
      <c r="E6678" t="s">
        <v>22</v>
      </c>
      <c r="F6678">
        <v>28</v>
      </c>
      <c r="G6678">
        <v>48</v>
      </c>
      <c r="H6678">
        <v>0.09</v>
      </c>
      <c r="I6678" t="s">
        <v>23</v>
      </c>
      <c r="J6678">
        <v>0</v>
      </c>
      <c r="K6678">
        <v>1</v>
      </c>
      <c r="L6678">
        <v>1</v>
      </c>
      <c r="M6678">
        <f>VLOOKUP(Table1[[#This Row],[subscription_type]],Plans!$A$1:$B$5,2,FALSE)</f>
        <v>9.99</v>
      </c>
      <c r="N6678">
        <f t="shared" si="104"/>
        <v>9.99</v>
      </c>
    </row>
    <row r="6679" spans="1:14" x14ac:dyDescent="0.35">
      <c r="A6679">
        <v>6678</v>
      </c>
      <c r="B6679" t="s">
        <v>20</v>
      </c>
      <c r="C6679">
        <v>21</v>
      </c>
      <c r="D6679" t="s">
        <v>21</v>
      </c>
      <c r="E6679" t="s">
        <v>24</v>
      </c>
      <c r="F6679">
        <v>77</v>
      </c>
      <c r="G6679">
        <v>13</v>
      </c>
      <c r="H6679">
        <v>0.21</v>
      </c>
      <c r="I6679" t="s">
        <v>15</v>
      </c>
      <c r="J6679">
        <v>0</v>
      </c>
      <c r="K6679">
        <v>1</v>
      </c>
      <c r="L6679">
        <v>0</v>
      </c>
      <c r="M6679">
        <f>VLOOKUP(Table1[[#This Row],[subscription_type]],Plans!$A$1:$B$5,2,FALSE)</f>
        <v>4.99</v>
      </c>
      <c r="N6679">
        <f t="shared" si="104"/>
        <v>0</v>
      </c>
    </row>
    <row r="6680" spans="1:14" x14ac:dyDescent="0.35">
      <c r="A6680">
        <v>6679</v>
      </c>
      <c r="B6680" t="s">
        <v>12</v>
      </c>
      <c r="C6680">
        <v>47</v>
      </c>
      <c r="D6680" t="s">
        <v>27</v>
      </c>
      <c r="E6680" t="s">
        <v>22</v>
      </c>
      <c r="F6680">
        <v>243</v>
      </c>
      <c r="G6680">
        <v>80</v>
      </c>
      <c r="H6680">
        <v>0.48</v>
      </c>
      <c r="I6680" t="s">
        <v>19</v>
      </c>
      <c r="J6680">
        <v>0</v>
      </c>
      <c r="K6680">
        <v>1</v>
      </c>
      <c r="L6680">
        <v>0</v>
      </c>
      <c r="M6680">
        <f>VLOOKUP(Table1[[#This Row],[subscription_type]],Plans!$A$1:$B$5,2,FALSE)</f>
        <v>9.99</v>
      </c>
      <c r="N6680">
        <f t="shared" si="104"/>
        <v>0</v>
      </c>
    </row>
    <row r="6681" spans="1:14" x14ac:dyDescent="0.35">
      <c r="A6681">
        <v>6680</v>
      </c>
      <c r="B6681" t="s">
        <v>20</v>
      </c>
      <c r="C6681">
        <v>55</v>
      </c>
      <c r="D6681" t="s">
        <v>21</v>
      </c>
      <c r="E6681" t="s">
        <v>24</v>
      </c>
      <c r="F6681">
        <v>119</v>
      </c>
      <c r="G6681">
        <v>72</v>
      </c>
      <c r="H6681">
        <v>0.35</v>
      </c>
      <c r="I6681" t="s">
        <v>19</v>
      </c>
      <c r="J6681">
        <v>0</v>
      </c>
      <c r="K6681">
        <v>1</v>
      </c>
      <c r="L6681">
        <v>0</v>
      </c>
      <c r="M6681">
        <f>VLOOKUP(Table1[[#This Row],[subscription_type]],Plans!$A$1:$B$5,2,FALSE)</f>
        <v>4.99</v>
      </c>
      <c r="N6681">
        <f t="shared" si="104"/>
        <v>0</v>
      </c>
    </row>
    <row r="6682" spans="1:14" x14ac:dyDescent="0.35">
      <c r="A6682">
        <v>6681</v>
      </c>
      <c r="B6682" t="s">
        <v>20</v>
      </c>
      <c r="C6682">
        <v>32</v>
      </c>
      <c r="D6682" t="s">
        <v>25</v>
      </c>
      <c r="E6682" t="s">
        <v>22</v>
      </c>
      <c r="F6682">
        <v>197</v>
      </c>
      <c r="G6682">
        <v>97</v>
      </c>
      <c r="H6682">
        <v>0.01</v>
      </c>
      <c r="I6682" t="s">
        <v>15</v>
      </c>
      <c r="J6682">
        <v>0</v>
      </c>
      <c r="K6682">
        <v>1</v>
      </c>
      <c r="L6682">
        <v>1</v>
      </c>
      <c r="M6682">
        <f>VLOOKUP(Table1[[#This Row],[subscription_type]],Plans!$A$1:$B$5,2,FALSE)</f>
        <v>9.99</v>
      </c>
      <c r="N6682">
        <f t="shared" si="104"/>
        <v>9.99</v>
      </c>
    </row>
    <row r="6683" spans="1:14" x14ac:dyDescent="0.35">
      <c r="A6683">
        <v>6682</v>
      </c>
      <c r="B6683" t="s">
        <v>12</v>
      </c>
      <c r="C6683">
        <v>59</v>
      </c>
      <c r="D6683" t="s">
        <v>29</v>
      </c>
      <c r="E6683" t="s">
        <v>22</v>
      </c>
      <c r="F6683">
        <v>39</v>
      </c>
      <c r="G6683">
        <v>5</v>
      </c>
      <c r="H6683">
        <v>0.37</v>
      </c>
      <c r="I6683" t="s">
        <v>19</v>
      </c>
      <c r="J6683">
        <v>0</v>
      </c>
      <c r="K6683">
        <v>1</v>
      </c>
      <c r="L6683">
        <v>0</v>
      </c>
      <c r="M6683">
        <f>VLOOKUP(Table1[[#This Row],[subscription_type]],Plans!$A$1:$B$5,2,FALSE)</f>
        <v>9.99</v>
      </c>
      <c r="N6683">
        <f t="shared" si="104"/>
        <v>0</v>
      </c>
    </row>
    <row r="6684" spans="1:14" x14ac:dyDescent="0.35">
      <c r="A6684">
        <v>6683</v>
      </c>
      <c r="B6684" t="s">
        <v>20</v>
      </c>
      <c r="C6684">
        <v>59</v>
      </c>
      <c r="D6684" t="s">
        <v>28</v>
      </c>
      <c r="E6684" t="s">
        <v>14</v>
      </c>
      <c r="F6684">
        <v>14</v>
      </c>
      <c r="G6684">
        <v>98</v>
      </c>
      <c r="H6684">
        <v>0.42</v>
      </c>
      <c r="I6684" t="s">
        <v>15</v>
      </c>
      <c r="J6684">
        <v>16</v>
      </c>
      <c r="K6684">
        <v>0</v>
      </c>
      <c r="L6684">
        <v>1</v>
      </c>
      <c r="M6684">
        <f>VLOOKUP(Table1[[#This Row],[subscription_type]],Plans!$A$1:$B$5,2,FALSE)</f>
        <v>0</v>
      </c>
      <c r="N6684">
        <f t="shared" si="104"/>
        <v>0</v>
      </c>
    </row>
    <row r="6685" spans="1:14" x14ac:dyDescent="0.35">
      <c r="A6685">
        <v>6684</v>
      </c>
      <c r="B6685" t="s">
        <v>20</v>
      </c>
      <c r="C6685">
        <v>26</v>
      </c>
      <c r="D6685" t="s">
        <v>28</v>
      </c>
      <c r="E6685" t="s">
        <v>24</v>
      </c>
      <c r="F6685">
        <v>193</v>
      </c>
      <c r="G6685">
        <v>17</v>
      </c>
      <c r="H6685">
        <v>0.55000000000000004</v>
      </c>
      <c r="I6685" t="s">
        <v>19</v>
      </c>
      <c r="J6685">
        <v>0</v>
      </c>
      <c r="K6685">
        <v>1</v>
      </c>
      <c r="L6685">
        <v>0</v>
      </c>
      <c r="M6685">
        <f>VLOOKUP(Table1[[#This Row],[subscription_type]],Plans!$A$1:$B$5,2,FALSE)</f>
        <v>4.99</v>
      </c>
      <c r="N6685">
        <f t="shared" si="104"/>
        <v>0</v>
      </c>
    </row>
    <row r="6686" spans="1:14" x14ac:dyDescent="0.35">
      <c r="A6686">
        <v>6685</v>
      </c>
      <c r="B6686" t="s">
        <v>20</v>
      </c>
      <c r="C6686">
        <v>36</v>
      </c>
      <c r="D6686" t="s">
        <v>27</v>
      </c>
      <c r="E6686" t="s">
        <v>22</v>
      </c>
      <c r="F6686">
        <v>60</v>
      </c>
      <c r="G6686">
        <v>41</v>
      </c>
      <c r="H6686">
        <v>0.38</v>
      </c>
      <c r="I6686" t="s">
        <v>15</v>
      </c>
      <c r="J6686">
        <v>0</v>
      </c>
      <c r="K6686">
        <v>1</v>
      </c>
      <c r="L6686">
        <v>0</v>
      </c>
      <c r="M6686">
        <f>VLOOKUP(Table1[[#This Row],[subscription_type]],Plans!$A$1:$B$5,2,FALSE)</f>
        <v>9.99</v>
      </c>
      <c r="N6686">
        <f t="shared" si="104"/>
        <v>0</v>
      </c>
    </row>
    <row r="6687" spans="1:14" x14ac:dyDescent="0.35">
      <c r="A6687">
        <v>6686</v>
      </c>
      <c r="B6687" t="s">
        <v>20</v>
      </c>
      <c r="C6687">
        <v>44</v>
      </c>
      <c r="D6687" t="s">
        <v>21</v>
      </c>
      <c r="E6687" t="s">
        <v>14</v>
      </c>
      <c r="F6687">
        <v>270</v>
      </c>
      <c r="G6687">
        <v>55</v>
      </c>
      <c r="H6687">
        <v>0.51</v>
      </c>
      <c r="I6687" t="s">
        <v>19</v>
      </c>
      <c r="J6687">
        <v>43</v>
      </c>
      <c r="K6687">
        <v>0</v>
      </c>
      <c r="L6687">
        <v>0</v>
      </c>
      <c r="M6687">
        <f>VLOOKUP(Table1[[#This Row],[subscription_type]],Plans!$A$1:$B$5,2,FALSE)</f>
        <v>0</v>
      </c>
      <c r="N6687">
        <f t="shared" si="104"/>
        <v>0</v>
      </c>
    </row>
    <row r="6688" spans="1:14" x14ac:dyDescent="0.35">
      <c r="A6688">
        <v>6687</v>
      </c>
      <c r="B6688" t="s">
        <v>12</v>
      </c>
      <c r="C6688">
        <v>47</v>
      </c>
      <c r="D6688" t="s">
        <v>13</v>
      </c>
      <c r="E6688" t="s">
        <v>18</v>
      </c>
      <c r="F6688">
        <v>227</v>
      </c>
      <c r="G6688">
        <v>6</v>
      </c>
      <c r="H6688">
        <v>0.13</v>
      </c>
      <c r="I6688" t="s">
        <v>15</v>
      </c>
      <c r="J6688">
        <v>0</v>
      </c>
      <c r="K6688">
        <v>1</v>
      </c>
      <c r="L6688">
        <v>0</v>
      </c>
      <c r="M6688">
        <f>VLOOKUP(Table1[[#This Row],[subscription_type]],Plans!$A$1:$B$5,2,FALSE)</f>
        <v>14.99</v>
      </c>
      <c r="N6688">
        <f t="shared" si="104"/>
        <v>0</v>
      </c>
    </row>
    <row r="6689" spans="1:14" x14ac:dyDescent="0.35">
      <c r="A6689">
        <v>6688</v>
      </c>
      <c r="B6689" t="s">
        <v>12</v>
      </c>
      <c r="C6689">
        <v>25</v>
      </c>
      <c r="D6689" t="s">
        <v>26</v>
      </c>
      <c r="E6689" t="s">
        <v>14</v>
      </c>
      <c r="F6689">
        <v>69</v>
      </c>
      <c r="G6689">
        <v>94</v>
      </c>
      <c r="H6689">
        <v>0.16</v>
      </c>
      <c r="I6689" t="s">
        <v>15</v>
      </c>
      <c r="J6689">
        <v>18</v>
      </c>
      <c r="K6689">
        <v>0</v>
      </c>
      <c r="L6689">
        <v>0</v>
      </c>
      <c r="M6689">
        <f>VLOOKUP(Table1[[#This Row],[subscription_type]],Plans!$A$1:$B$5,2,FALSE)</f>
        <v>0</v>
      </c>
      <c r="N6689">
        <f t="shared" si="104"/>
        <v>0</v>
      </c>
    </row>
    <row r="6690" spans="1:14" x14ac:dyDescent="0.35">
      <c r="A6690">
        <v>6689</v>
      </c>
      <c r="B6690" t="s">
        <v>20</v>
      </c>
      <c r="C6690">
        <v>40</v>
      </c>
      <c r="D6690" t="s">
        <v>25</v>
      </c>
      <c r="E6690" t="s">
        <v>22</v>
      </c>
      <c r="F6690">
        <v>62</v>
      </c>
      <c r="G6690">
        <v>13</v>
      </c>
      <c r="H6690">
        <v>0.43</v>
      </c>
      <c r="I6690" t="s">
        <v>23</v>
      </c>
      <c r="J6690">
        <v>0</v>
      </c>
      <c r="K6690">
        <v>1</v>
      </c>
      <c r="L6690">
        <v>0</v>
      </c>
      <c r="M6690">
        <f>VLOOKUP(Table1[[#This Row],[subscription_type]],Plans!$A$1:$B$5,2,FALSE)</f>
        <v>9.99</v>
      </c>
      <c r="N6690">
        <f t="shared" si="104"/>
        <v>0</v>
      </c>
    </row>
    <row r="6691" spans="1:14" x14ac:dyDescent="0.35">
      <c r="A6691">
        <v>6690</v>
      </c>
      <c r="B6691" t="s">
        <v>20</v>
      </c>
      <c r="C6691">
        <v>39</v>
      </c>
      <c r="D6691" t="s">
        <v>27</v>
      </c>
      <c r="E6691" t="s">
        <v>14</v>
      </c>
      <c r="F6691">
        <v>67</v>
      </c>
      <c r="G6691">
        <v>38</v>
      </c>
      <c r="H6691">
        <v>0.53</v>
      </c>
      <c r="I6691" t="s">
        <v>19</v>
      </c>
      <c r="J6691">
        <v>36</v>
      </c>
      <c r="K6691">
        <v>0</v>
      </c>
      <c r="L6691">
        <v>0</v>
      </c>
      <c r="M6691">
        <f>VLOOKUP(Table1[[#This Row],[subscription_type]],Plans!$A$1:$B$5,2,FALSE)</f>
        <v>0</v>
      </c>
      <c r="N6691">
        <f t="shared" si="104"/>
        <v>0</v>
      </c>
    </row>
    <row r="6692" spans="1:14" x14ac:dyDescent="0.35">
      <c r="A6692">
        <v>6691</v>
      </c>
      <c r="B6692" t="s">
        <v>16</v>
      </c>
      <c r="C6692">
        <v>21</v>
      </c>
      <c r="D6692" t="s">
        <v>28</v>
      </c>
      <c r="E6692" t="s">
        <v>22</v>
      </c>
      <c r="F6692">
        <v>208</v>
      </c>
      <c r="G6692">
        <v>21</v>
      </c>
      <c r="H6692">
        <v>0.04</v>
      </c>
      <c r="I6692" t="s">
        <v>23</v>
      </c>
      <c r="J6692">
        <v>0</v>
      </c>
      <c r="K6692">
        <v>1</v>
      </c>
      <c r="L6692">
        <v>1</v>
      </c>
      <c r="M6692">
        <f>VLOOKUP(Table1[[#This Row],[subscription_type]],Plans!$A$1:$B$5,2,FALSE)</f>
        <v>9.99</v>
      </c>
      <c r="N6692">
        <f t="shared" si="104"/>
        <v>9.99</v>
      </c>
    </row>
    <row r="6693" spans="1:14" x14ac:dyDescent="0.35">
      <c r="A6693">
        <v>6692</v>
      </c>
      <c r="B6693" t="s">
        <v>16</v>
      </c>
      <c r="C6693">
        <v>56</v>
      </c>
      <c r="D6693" t="s">
        <v>28</v>
      </c>
      <c r="E6693" t="s">
        <v>14</v>
      </c>
      <c r="F6693">
        <v>63</v>
      </c>
      <c r="G6693">
        <v>64</v>
      </c>
      <c r="H6693">
        <v>0.56000000000000005</v>
      </c>
      <c r="I6693" t="s">
        <v>15</v>
      </c>
      <c r="J6693">
        <v>46</v>
      </c>
      <c r="K6693">
        <v>0</v>
      </c>
      <c r="L6693">
        <v>0</v>
      </c>
      <c r="M6693">
        <f>VLOOKUP(Table1[[#This Row],[subscription_type]],Plans!$A$1:$B$5,2,FALSE)</f>
        <v>0</v>
      </c>
      <c r="N6693">
        <f t="shared" si="104"/>
        <v>0</v>
      </c>
    </row>
    <row r="6694" spans="1:14" x14ac:dyDescent="0.35">
      <c r="A6694">
        <v>6693</v>
      </c>
      <c r="B6694" t="s">
        <v>16</v>
      </c>
      <c r="C6694">
        <v>42</v>
      </c>
      <c r="D6694" t="s">
        <v>26</v>
      </c>
      <c r="E6694" t="s">
        <v>14</v>
      </c>
      <c r="F6694">
        <v>169</v>
      </c>
      <c r="G6694">
        <v>69</v>
      </c>
      <c r="H6694">
        <v>0.49</v>
      </c>
      <c r="I6694" t="s">
        <v>19</v>
      </c>
      <c r="J6694">
        <v>48</v>
      </c>
      <c r="K6694">
        <v>0</v>
      </c>
      <c r="L6694">
        <v>0</v>
      </c>
      <c r="M6694">
        <f>VLOOKUP(Table1[[#This Row],[subscription_type]],Plans!$A$1:$B$5,2,FALSE)</f>
        <v>0</v>
      </c>
      <c r="N6694">
        <f t="shared" si="104"/>
        <v>0</v>
      </c>
    </row>
    <row r="6695" spans="1:14" x14ac:dyDescent="0.35">
      <c r="A6695">
        <v>6694</v>
      </c>
      <c r="B6695" t="s">
        <v>20</v>
      </c>
      <c r="C6695">
        <v>30</v>
      </c>
      <c r="D6695" t="s">
        <v>17</v>
      </c>
      <c r="E6695" t="s">
        <v>14</v>
      </c>
      <c r="F6695">
        <v>206</v>
      </c>
      <c r="G6695">
        <v>88</v>
      </c>
      <c r="H6695">
        <v>0.22</v>
      </c>
      <c r="I6695" t="s">
        <v>19</v>
      </c>
      <c r="J6695">
        <v>39</v>
      </c>
      <c r="K6695">
        <v>0</v>
      </c>
      <c r="L6695">
        <v>0</v>
      </c>
      <c r="M6695">
        <f>VLOOKUP(Table1[[#This Row],[subscription_type]],Plans!$A$1:$B$5,2,FALSE)</f>
        <v>0</v>
      </c>
      <c r="N6695">
        <f t="shared" si="104"/>
        <v>0</v>
      </c>
    </row>
    <row r="6696" spans="1:14" x14ac:dyDescent="0.35">
      <c r="A6696">
        <v>6695</v>
      </c>
      <c r="B6696" t="s">
        <v>16</v>
      </c>
      <c r="C6696">
        <v>19</v>
      </c>
      <c r="D6696" t="s">
        <v>27</v>
      </c>
      <c r="E6696" t="s">
        <v>18</v>
      </c>
      <c r="F6696">
        <v>110</v>
      </c>
      <c r="G6696">
        <v>71</v>
      </c>
      <c r="H6696">
        <v>0.16</v>
      </c>
      <c r="I6696" t="s">
        <v>23</v>
      </c>
      <c r="J6696">
        <v>0</v>
      </c>
      <c r="K6696">
        <v>1</v>
      </c>
      <c r="L6696">
        <v>0</v>
      </c>
      <c r="M6696">
        <f>VLOOKUP(Table1[[#This Row],[subscription_type]],Plans!$A$1:$B$5,2,FALSE)</f>
        <v>14.99</v>
      </c>
      <c r="N6696">
        <f t="shared" si="104"/>
        <v>0</v>
      </c>
    </row>
    <row r="6697" spans="1:14" x14ac:dyDescent="0.35">
      <c r="A6697">
        <v>6696</v>
      </c>
      <c r="B6697" t="s">
        <v>20</v>
      </c>
      <c r="C6697">
        <v>20</v>
      </c>
      <c r="D6697" t="s">
        <v>21</v>
      </c>
      <c r="E6697" t="s">
        <v>18</v>
      </c>
      <c r="F6697">
        <v>60</v>
      </c>
      <c r="G6697">
        <v>9</v>
      </c>
      <c r="H6697">
        <v>0.15</v>
      </c>
      <c r="I6697" t="s">
        <v>15</v>
      </c>
      <c r="J6697">
        <v>0</v>
      </c>
      <c r="K6697">
        <v>1</v>
      </c>
      <c r="L6697">
        <v>0</v>
      </c>
      <c r="M6697">
        <f>VLOOKUP(Table1[[#This Row],[subscription_type]],Plans!$A$1:$B$5,2,FALSE)</f>
        <v>14.99</v>
      </c>
      <c r="N6697">
        <f t="shared" si="104"/>
        <v>0</v>
      </c>
    </row>
    <row r="6698" spans="1:14" x14ac:dyDescent="0.35">
      <c r="A6698">
        <v>6697</v>
      </c>
      <c r="B6698" t="s">
        <v>12</v>
      </c>
      <c r="C6698">
        <v>23</v>
      </c>
      <c r="D6698" t="s">
        <v>28</v>
      </c>
      <c r="E6698" t="s">
        <v>22</v>
      </c>
      <c r="F6698">
        <v>247</v>
      </c>
      <c r="G6698">
        <v>27</v>
      </c>
      <c r="H6698">
        <v>0.18</v>
      </c>
      <c r="I6698" t="s">
        <v>19</v>
      </c>
      <c r="J6698">
        <v>0</v>
      </c>
      <c r="K6698">
        <v>1</v>
      </c>
      <c r="L6698">
        <v>0</v>
      </c>
      <c r="M6698">
        <f>VLOOKUP(Table1[[#This Row],[subscription_type]],Plans!$A$1:$B$5,2,FALSE)</f>
        <v>9.99</v>
      </c>
      <c r="N6698">
        <f t="shared" si="104"/>
        <v>0</v>
      </c>
    </row>
    <row r="6699" spans="1:14" x14ac:dyDescent="0.35">
      <c r="A6699">
        <v>6698</v>
      </c>
      <c r="B6699" t="s">
        <v>16</v>
      </c>
      <c r="C6699">
        <v>24</v>
      </c>
      <c r="D6699" t="s">
        <v>17</v>
      </c>
      <c r="E6699" t="s">
        <v>22</v>
      </c>
      <c r="F6699">
        <v>98</v>
      </c>
      <c r="G6699">
        <v>17</v>
      </c>
      <c r="H6699">
        <v>0.17</v>
      </c>
      <c r="I6699" t="s">
        <v>23</v>
      </c>
      <c r="J6699">
        <v>0</v>
      </c>
      <c r="K6699">
        <v>1</v>
      </c>
      <c r="L6699">
        <v>0</v>
      </c>
      <c r="M6699">
        <f>VLOOKUP(Table1[[#This Row],[subscription_type]],Plans!$A$1:$B$5,2,FALSE)</f>
        <v>9.99</v>
      </c>
      <c r="N6699">
        <f t="shared" si="104"/>
        <v>0</v>
      </c>
    </row>
    <row r="6700" spans="1:14" x14ac:dyDescent="0.35">
      <c r="A6700">
        <v>6699</v>
      </c>
      <c r="B6700" t="s">
        <v>16</v>
      </c>
      <c r="C6700">
        <v>55</v>
      </c>
      <c r="D6700" t="s">
        <v>27</v>
      </c>
      <c r="E6700" t="s">
        <v>24</v>
      </c>
      <c r="F6700">
        <v>214</v>
      </c>
      <c r="G6700">
        <v>68</v>
      </c>
      <c r="H6700">
        <v>0.48</v>
      </c>
      <c r="I6700" t="s">
        <v>15</v>
      </c>
      <c r="J6700">
        <v>0</v>
      </c>
      <c r="K6700">
        <v>1</v>
      </c>
      <c r="L6700">
        <v>0</v>
      </c>
      <c r="M6700">
        <f>VLOOKUP(Table1[[#This Row],[subscription_type]],Plans!$A$1:$B$5,2,FALSE)</f>
        <v>4.99</v>
      </c>
      <c r="N6700">
        <f t="shared" si="104"/>
        <v>0</v>
      </c>
    </row>
    <row r="6701" spans="1:14" x14ac:dyDescent="0.35">
      <c r="A6701">
        <v>6700</v>
      </c>
      <c r="B6701" t="s">
        <v>12</v>
      </c>
      <c r="C6701">
        <v>32</v>
      </c>
      <c r="D6701" t="s">
        <v>21</v>
      </c>
      <c r="E6701" t="s">
        <v>22</v>
      </c>
      <c r="F6701">
        <v>69</v>
      </c>
      <c r="G6701">
        <v>76</v>
      </c>
      <c r="H6701">
        <v>0.06</v>
      </c>
      <c r="I6701" t="s">
        <v>19</v>
      </c>
      <c r="J6701">
        <v>0</v>
      </c>
      <c r="K6701">
        <v>1</v>
      </c>
      <c r="L6701">
        <v>0</v>
      </c>
      <c r="M6701">
        <f>VLOOKUP(Table1[[#This Row],[subscription_type]],Plans!$A$1:$B$5,2,FALSE)</f>
        <v>9.99</v>
      </c>
      <c r="N6701">
        <f t="shared" si="104"/>
        <v>0</v>
      </c>
    </row>
    <row r="6702" spans="1:14" x14ac:dyDescent="0.35">
      <c r="A6702">
        <v>6701</v>
      </c>
      <c r="B6702" t="s">
        <v>12</v>
      </c>
      <c r="C6702">
        <v>38</v>
      </c>
      <c r="D6702" t="s">
        <v>21</v>
      </c>
      <c r="E6702" t="s">
        <v>22</v>
      </c>
      <c r="F6702">
        <v>163</v>
      </c>
      <c r="G6702">
        <v>77</v>
      </c>
      <c r="H6702">
        <v>0.05</v>
      </c>
      <c r="I6702" t="s">
        <v>19</v>
      </c>
      <c r="J6702">
        <v>0</v>
      </c>
      <c r="K6702">
        <v>1</v>
      </c>
      <c r="L6702">
        <v>0</v>
      </c>
      <c r="M6702">
        <f>VLOOKUP(Table1[[#This Row],[subscription_type]],Plans!$A$1:$B$5,2,FALSE)</f>
        <v>9.99</v>
      </c>
      <c r="N6702">
        <f t="shared" si="104"/>
        <v>0</v>
      </c>
    </row>
    <row r="6703" spans="1:14" x14ac:dyDescent="0.35">
      <c r="A6703">
        <v>6702</v>
      </c>
      <c r="B6703" t="s">
        <v>12</v>
      </c>
      <c r="C6703">
        <v>18</v>
      </c>
      <c r="D6703" t="s">
        <v>25</v>
      </c>
      <c r="E6703" t="s">
        <v>18</v>
      </c>
      <c r="F6703">
        <v>106</v>
      </c>
      <c r="G6703">
        <v>52</v>
      </c>
      <c r="H6703">
        <v>0.13</v>
      </c>
      <c r="I6703" t="s">
        <v>15</v>
      </c>
      <c r="J6703">
        <v>0</v>
      </c>
      <c r="K6703">
        <v>1</v>
      </c>
      <c r="L6703">
        <v>1</v>
      </c>
      <c r="M6703">
        <f>VLOOKUP(Table1[[#This Row],[subscription_type]],Plans!$A$1:$B$5,2,FALSE)</f>
        <v>14.99</v>
      </c>
      <c r="N6703">
        <f t="shared" si="104"/>
        <v>14.99</v>
      </c>
    </row>
    <row r="6704" spans="1:14" x14ac:dyDescent="0.35">
      <c r="A6704">
        <v>6703</v>
      </c>
      <c r="B6704" t="s">
        <v>16</v>
      </c>
      <c r="C6704">
        <v>59</v>
      </c>
      <c r="D6704" t="s">
        <v>28</v>
      </c>
      <c r="E6704" t="s">
        <v>22</v>
      </c>
      <c r="F6704">
        <v>119</v>
      </c>
      <c r="G6704">
        <v>77</v>
      </c>
      <c r="H6704">
        <v>0.25</v>
      </c>
      <c r="I6704" t="s">
        <v>23</v>
      </c>
      <c r="J6704">
        <v>0</v>
      </c>
      <c r="K6704">
        <v>1</v>
      </c>
      <c r="L6704">
        <v>0</v>
      </c>
      <c r="M6704">
        <f>VLOOKUP(Table1[[#This Row],[subscription_type]],Plans!$A$1:$B$5,2,FALSE)</f>
        <v>9.99</v>
      </c>
      <c r="N6704">
        <f t="shared" si="104"/>
        <v>0</v>
      </c>
    </row>
    <row r="6705" spans="1:14" x14ac:dyDescent="0.35">
      <c r="A6705">
        <v>6704</v>
      </c>
      <c r="B6705" t="s">
        <v>12</v>
      </c>
      <c r="C6705">
        <v>27</v>
      </c>
      <c r="D6705" t="s">
        <v>29</v>
      </c>
      <c r="E6705" t="s">
        <v>22</v>
      </c>
      <c r="F6705">
        <v>180</v>
      </c>
      <c r="G6705">
        <v>83</v>
      </c>
      <c r="H6705">
        <v>0.54</v>
      </c>
      <c r="I6705" t="s">
        <v>19</v>
      </c>
      <c r="J6705">
        <v>0</v>
      </c>
      <c r="K6705">
        <v>1</v>
      </c>
      <c r="L6705">
        <v>0</v>
      </c>
      <c r="M6705">
        <f>VLOOKUP(Table1[[#This Row],[subscription_type]],Plans!$A$1:$B$5,2,FALSE)</f>
        <v>9.99</v>
      </c>
      <c r="N6705">
        <f t="shared" si="104"/>
        <v>0</v>
      </c>
    </row>
    <row r="6706" spans="1:14" x14ac:dyDescent="0.35">
      <c r="A6706">
        <v>6705</v>
      </c>
      <c r="B6706" t="s">
        <v>16</v>
      </c>
      <c r="C6706">
        <v>16</v>
      </c>
      <c r="D6706" t="s">
        <v>27</v>
      </c>
      <c r="E6706" t="s">
        <v>14</v>
      </c>
      <c r="F6706">
        <v>93</v>
      </c>
      <c r="G6706">
        <v>71</v>
      </c>
      <c r="H6706">
        <v>0.43</v>
      </c>
      <c r="I6706" t="s">
        <v>19</v>
      </c>
      <c r="J6706">
        <v>21</v>
      </c>
      <c r="K6706">
        <v>0</v>
      </c>
      <c r="L6706">
        <v>0</v>
      </c>
      <c r="M6706">
        <f>VLOOKUP(Table1[[#This Row],[subscription_type]],Plans!$A$1:$B$5,2,FALSE)</f>
        <v>0</v>
      </c>
      <c r="N6706">
        <f t="shared" si="104"/>
        <v>0</v>
      </c>
    </row>
    <row r="6707" spans="1:14" x14ac:dyDescent="0.35">
      <c r="A6707">
        <v>6706</v>
      </c>
      <c r="B6707" t="s">
        <v>16</v>
      </c>
      <c r="C6707">
        <v>40</v>
      </c>
      <c r="D6707" t="s">
        <v>28</v>
      </c>
      <c r="E6707" t="s">
        <v>22</v>
      </c>
      <c r="F6707">
        <v>58</v>
      </c>
      <c r="G6707">
        <v>83</v>
      </c>
      <c r="H6707">
        <v>0.27</v>
      </c>
      <c r="I6707" t="s">
        <v>23</v>
      </c>
      <c r="J6707">
        <v>0</v>
      </c>
      <c r="K6707">
        <v>1</v>
      </c>
      <c r="L6707">
        <v>0</v>
      </c>
      <c r="M6707">
        <f>VLOOKUP(Table1[[#This Row],[subscription_type]],Plans!$A$1:$B$5,2,FALSE)</f>
        <v>9.99</v>
      </c>
      <c r="N6707">
        <f t="shared" si="104"/>
        <v>0</v>
      </c>
    </row>
    <row r="6708" spans="1:14" x14ac:dyDescent="0.35">
      <c r="A6708">
        <v>6707</v>
      </c>
      <c r="B6708" t="s">
        <v>16</v>
      </c>
      <c r="C6708">
        <v>19</v>
      </c>
      <c r="D6708" t="s">
        <v>13</v>
      </c>
      <c r="E6708" t="s">
        <v>18</v>
      </c>
      <c r="F6708">
        <v>219</v>
      </c>
      <c r="G6708">
        <v>90</v>
      </c>
      <c r="H6708">
        <v>0.32</v>
      </c>
      <c r="I6708" t="s">
        <v>15</v>
      </c>
      <c r="J6708">
        <v>0</v>
      </c>
      <c r="K6708">
        <v>1</v>
      </c>
      <c r="L6708">
        <v>0</v>
      </c>
      <c r="M6708">
        <f>VLOOKUP(Table1[[#This Row],[subscription_type]],Plans!$A$1:$B$5,2,FALSE)</f>
        <v>14.99</v>
      </c>
      <c r="N6708">
        <f t="shared" si="104"/>
        <v>0</v>
      </c>
    </row>
    <row r="6709" spans="1:14" x14ac:dyDescent="0.35">
      <c r="A6709">
        <v>6708</v>
      </c>
      <c r="B6709" t="s">
        <v>16</v>
      </c>
      <c r="C6709">
        <v>55</v>
      </c>
      <c r="D6709" t="s">
        <v>26</v>
      </c>
      <c r="E6709" t="s">
        <v>14</v>
      </c>
      <c r="F6709">
        <v>92</v>
      </c>
      <c r="G6709">
        <v>66</v>
      </c>
      <c r="H6709">
        <v>0.49</v>
      </c>
      <c r="I6709" t="s">
        <v>15</v>
      </c>
      <c r="J6709">
        <v>30</v>
      </c>
      <c r="K6709">
        <v>0</v>
      </c>
      <c r="L6709">
        <v>0</v>
      </c>
      <c r="M6709">
        <f>VLOOKUP(Table1[[#This Row],[subscription_type]],Plans!$A$1:$B$5,2,FALSE)</f>
        <v>0</v>
      </c>
      <c r="N6709">
        <f t="shared" si="104"/>
        <v>0</v>
      </c>
    </row>
    <row r="6710" spans="1:14" x14ac:dyDescent="0.35">
      <c r="A6710">
        <v>6709</v>
      </c>
      <c r="B6710" t="s">
        <v>16</v>
      </c>
      <c r="C6710">
        <v>51</v>
      </c>
      <c r="D6710" t="s">
        <v>13</v>
      </c>
      <c r="E6710" t="s">
        <v>14</v>
      </c>
      <c r="F6710">
        <v>25</v>
      </c>
      <c r="G6710">
        <v>88</v>
      </c>
      <c r="H6710">
        <v>0.36</v>
      </c>
      <c r="I6710" t="s">
        <v>23</v>
      </c>
      <c r="J6710">
        <v>37</v>
      </c>
      <c r="K6710">
        <v>0</v>
      </c>
      <c r="L6710">
        <v>0</v>
      </c>
      <c r="M6710">
        <f>VLOOKUP(Table1[[#This Row],[subscription_type]],Plans!$A$1:$B$5,2,FALSE)</f>
        <v>0</v>
      </c>
      <c r="N6710">
        <f t="shared" si="104"/>
        <v>0</v>
      </c>
    </row>
    <row r="6711" spans="1:14" x14ac:dyDescent="0.35">
      <c r="A6711">
        <v>6710</v>
      </c>
      <c r="B6711" t="s">
        <v>12</v>
      </c>
      <c r="C6711">
        <v>52</v>
      </c>
      <c r="D6711" t="s">
        <v>13</v>
      </c>
      <c r="E6711" t="s">
        <v>14</v>
      </c>
      <c r="F6711">
        <v>37</v>
      </c>
      <c r="G6711">
        <v>18</v>
      </c>
      <c r="H6711">
        <v>0.42</v>
      </c>
      <c r="I6711" t="s">
        <v>19</v>
      </c>
      <c r="J6711">
        <v>10</v>
      </c>
      <c r="K6711">
        <v>0</v>
      </c>
      <c r="L6711">
        <v>0</v>
      </c>
      <c r="M6711">
        <f>VLOOKUP(Table1[[#This Row],[subscription_type]],Plans!$A$1:$B$5,2,FALSE)</f>
        <v>0</v>
      </c>
      <c r="N6711">
        <f t="shared" si="104"/>
        <v>0</v>
      </c>
    </row>
    <row r="6712" spans="1:14" x14ac:dyDescent="0.35">
      <c r="A6712">
        <v>6711</v>
      </c>
      <c r="B6712" t="s">
        <v>12</v>
      </c>
      <c r="C6712">
        <v>18</v>
      </c>
      <c r="D6712" t="s">
        <v>17</v>
      </c>
      <c r="E6712" t="s">
        <v>14</v>
      </c>
      <c r="F6712">
        <v>298</v>
      </c>
      <c r="G6712">
        <v>12</v>
      </c>
      <c r="H6712">
        <v>0.18</v>
      </c>
      <c r="I6712" t="s">
        <v>15</v>
      </c>
      <c r="J6712">
        <v>47</v>
      </c>
      <c r="K6712">
        <v>0</v>
      </c>
      <c r="L6712">
        <v>1</v>
      </c>
      <c r="M6712">
        <f>VLOOKUP(Table1[[#This Row],[subscription_type]],Plans!$A$1:$B$5,2,FALSE)</f>
        <v>0</v>
      </c>
      <c r="N6712">
        <f t="shared" si="104"/>
        <v>0</v>
      </c>
    </row>
    <row r="6713" spans="1:14" x14ac:dyDescent="0.35">
      <c r="A6713">
        <v>6712</v>
      </c>
      <c r="B6713" t="s">
        <v>12</v>
      </c>
      <c r="C6713">
        <v>53</v>
      </c>
      <c r="D6713" t="s">
        <v>29</v>
      </c>
      <c r="E6713" t="s">
        <v>24</v>
      </c>
      <c r="F6713">
        <v>267</v>
      </c>
      <c r="G6713">
        <v>47</v>
      </c>
      <c r="H6713">
        <v>0.49</v>
      </c>
      <c r="I6713" t="s">
        <v>15</v>
      </c>
      <c r="J6713">
        <v>0</v>
      </c>
      <c r="K6713">
        <v>1</v>
      </c>
      <c r="L6713">
        <v>0</v>
      </c>
      <c r="M6713">
        <f>VLOOKUP(Table1[[#This Row],[subscription_type]],Plans!$A$1:$B$5,2,FALSE)</f>
        <v>4.99</v>
      </c>
      <c r="N6713">
        <f t="shared" si="104"/>
        <v>0</v>
      </c>
    </row>
    <row r="6714" spans="1:14" x14ac:dyDescent="0.35">
      <c r="A6714">
        <v>6713</v>
      </c>
      <c r="B6714" t="s">
        <v>16</v>
      </c>
      <c r="C6714">
        <v>44</v>
      </c>
      <c r="D6714" t="s">
        <v>28</v>
      </c>
      <c r="E6714" t="s">
        <v>14</v>
      </c>
      <c r="F6714">
        <v>80</v>
      </c>
      <c r="G6714">
        <v>82</v>
      </c>
      <c r="H6714">
        <v>0.43</v>
      </c>
      <c r="I6714" t="s">
        <v>23</v>
      </c>
      <c r="J6714">
        <v>27</v>
      </c>
      <c r="K6714">
        <v>0</v>
      </c>
      <c r="L6714">
        <v>0</v>
      </c>
      <c r="M6714">
        <f>VLOOKUP(Table1[[#This Row],[subscription_type]],Plans!$A$1:$B$5,2,FALSE)</f>
        <v>0</v>
      </c>
      <c r="N6714">
        <f t="shared" si="104"/>
        <v>0</v>
      </c>
    </row>
    <row r="6715" spans="1:14" x14ac:dyDescent="0.35">
      <c r="A6715">
        <v>6714</v>
      </c>
      <c r="B6715" t="s">
        <v>16</v>
      </c>
      <c r="C6715">
        <v>56</v>
      </c>
      <c r="D6715" t="s">
        <v>21</v>
      </c>
      <c r="E6715" t="s">
        <v>18</v>
      </c>
      <c r="F6715">
        <v>87</v>
      </c>
      <c r="G6715">
        <v>24</v>
      </c>
      <c r="H6715">
        <v>0.3</v>
      </c>
      <c r="I6715" t="s">
        <v>23</v>
      </c>
      <c r="J6715">
        <v>0</v>
      </c>
      <c r="K6715">
        <v>1</v>
      </c>
      <c r="L6715">
        <v>1</v>
      </c>
      <c r="M6715">
        <f>VLOOKUP(Table1[[#This Row],[subscription_type]],Plans!$A$1:$B$5,2,FALSE)</f>
        <v>14.99</v>
      </c>
      <c r="N6715">
        <f t="shared" si="104"/>
        <v>14.99</v>
      </c>
    </row>
    <row r="6716" spans="1:14" x14ac:dyDescent="0.35">
      <c r="A6716">
        <v>6715</v>
      </c>
      <c r="B6716" t="s">
        <v>16</v>
      </c>
      <c r="C6716">
        <v>38</v>
      </c>
      <c r="D6716" t="s">
        <v>21</v>
      </c>
      <c r="E6716" t="s">
        <v>14</v>
      </c>
      <c r="F6716">
        <v>186</v>
      </c>
      <c r="G6716">
        <v>43</v>
      </c>
      <c r="H6716">
        <v>0.54</v>
      </c>
      <c r="I6716" t="s">
        <v>15</v>
      </c>
      <c r="J6716">
        <v>8</v>
      </c>
      <c r="K6716">
        <v>0</v>
      </c>
      <c r="L6716">
        <v>0</v>
      </c>
      <c r="M6716">
        <f>VLOOKUP(Table1[[#This Row],[subscription_type]],Plans!$A$1:$B$5,2,FALSE)</f>
        <v>0</v>
      </c>
      <c r="N6716">
        <f t="shared" si="104"/>
        <v>0</v>
      </c>
    </row>
    <row r="6717" spans="1:14" x14ac:dyDescent="0.35">
      <c r="A6717">
        <v>6716</v>
      </c>
      <c r="B6717" t="s">
        <v>16</v>
      </c>
      <c r="C6717">
        <v>26</v>
      </c>
      <c r="D6717" t="s">
        <v>26</v>
      </c>
      <c r="E6717" t="s">
        <v>22</v>
      </c>
      <c r="F6717">
        <v>245</v>
      </c>
      <c r="G6717">
        <v>61</v>
      </c>
      <c r="H6717">
        <v>0.48</v>
      </c>
      <c r="I6717" t="s">
        <v>15</v>
      </c>
      <c r="J6717">
        <v>0</v>
      </c>
      <c r="K6717">
        <v>1</v>
      </c>
      <c r="L6717">
        <v>0</v>
      </c>
      <c r="M6717">
        <f>VLOOKUP(Table1[[#This Row],[subscription_type]],Plans!$A$1:$B$5,2,FALSE)</f>
        <v>9.99</v>
      </c>
      <c r="N6717">
        <f t="shared" si="104"/>
        <v>0</v>
      </c>
    </row>
    <row r="6718" spans="1:14" x14ac:dyDescent="0.35">
      <c r="A6718">
        <v>6717</v>
      </c>
      <c r="B6718" t="s">
        <v>12</v>
      </c>
      <c r="C6718">
        <v>38</v>
      </c>
      <c r="D6718" t="s">
        <v>29</v>
      </c>
      <c r="E6718" t="s">
        <v>14</v>
      </c>
      <c r="F6718">
        <v>28</v>
      </c>
      <c r="G6718">
        <v>74</v>
      </c>
      <c r="H6718">
        <v>0.03</v>
      </c>
      <c r="I6718" t="s">
        <v>19</v>
      </c>
      <c r="J6718">
        <v>20</v>
      </c>
      <c r="K6718">
        <v>0</v>
      </c>
      <c r="L6718">
        <v>0</v>
      </c>
      <c r="M6718">
        <f>VLOOKUP(Table1[[#This Row],[subscription_type]],Plans!$A$1:$B$5,2,FALSE)</f>
        <v>0</v>
      </c>
      <c r="N6718">
        <f t="shared" si="104"/>
        <v>0</v>
      </c>
    </row>
    <row r="6719" spans="1:14" x14ac:dyDescent="0.35">
      <c r="A6719">
        <v>6718</v>
      </c>
      <c r="B6719" t="s">
        <v>12</v>
      </c>
      <c r="C6719">
        <v>29</v>
      </c>
      <c r="D6719" t="s">
        <v>29</v>
      </c>
      <c r="E6719" t="s">
        <v>22</v>
      </c>
      <c r="F6719">
        <v>80</v>
      </c>
      <c r="G6719">
        <v>52</v>
      </c>
      <c r="H6719">
        <v>0.53</v>
      </c>
      <c r="I6719" t="s">
        <v>23</v>
      </c>
      <c r="J6719">
        <v>0</v>
      </c>
      <c r="K6719">
        <v>1</v>
      </c>
      <c r="L6719">
        <v>0</v>
      </c>
      <c r="M6719">
        <f>VLOOKUP(Table1[[#This Row],[subscription_type]],Plans!$A$1:$B$5,2,FALSE)</f>
        <v>9.99</v>
      </c>
      <c r="N6719">
        <f t="shared" si="104"/>
        <v>0</v>
      </c>
    </row>
    <row r="6720" spans="1:14" x14ac:dyDescent="0.35">
      <c r="A6720">
        <v>6719</v>
      </c>
      <c r="B6720" t="s">
        <v>12</v>
      </c>
      <c r="C6720">
        <v>19</v>
      </c>
      <c r="D6720" t="s">
        <v>28</v>
      </c>
      <c r="E6720" t="s">
        <v>14</v>
      </c>
      <c r="F6720">
        <v>119</v>
      </c>
      <c r="G6720">
        <v>99</v>
      </c>
      <c r="H6720">
        <v>0.38</v>
      </c>
      <c r="I6720" t="s">
        <v>23</v>
      </c>
      <c r="J6720">
        <v>36</v>
      </c>
      <c r="K6720">
        <v>0</v>
      </c>
      <c r="L6720">
        <v>0</v>
      </c>
      <c r="M6720">
        <f>VLOOKUP(Table1[[#This Row],[subscription_type]],Plans!$A$1:$B$5,2,FALSE)</f>
        <v>0</v>
      </c>
      <c r="N6720">
        <f t="shared" si="104"/>
        <v>0</v>
      </c>
    </row>
    <row r="6721" spans="1:14" x14ac:dyDescent="0.35">
      <c r="A6721">
        <v>6720</v>
      </c>
      <c r="B6721" t="s">
        <v>20</v>
      </c>
      <c r="C6721">
        <v>17</v>
      </c>
      <c r="D6721" t="s">
        <v>25</v>
      </c>
      <c r="E6721" t="s">
        <v>24</v>
      </c>
      <c r="F6721">
        <v>126</v>
      </c>
      <c r="G6721">
        <v>68</v>
      </c>
      <c r="H6721">
        <v>0.49</v>
      </c>
      <c r="I6721" t="s">
        <v>19</v>
      </c>
      <c r="J6721">
        <v>0</v>
      </c>
      <c r="K6721">
        <v>1</v>
      </c>
      <c r="L6721">
        <v>0</v>
      </c>
      <c r="M6721">
        <f>VLOOKUP(Table1[[#This Row],[subscription_type]],Plans!$A$1:$B$5,2,FALSE)</f>
        <v>4.99</v>
      </c>
      <c r="N6721">
        <f t="shared" si="104"/>
        <v>0</v>
      </c>
    </row>
    <row r="6722" spans="1:14" x14ac:dyDescent="0.35">
      <c r="A6722">
        <v>6721</v>
      </c>
      <c r="B6722" t="s">
        <v>20</v>
      </c>
      <c r="C6722">
        <v>49</v>
      </c>
      <c r="D6722" t="s">
        <v>25</v>
      </c>
      <c r="E6722" t="s">
        <v>14</v>
      </c>
      <c r="F6722">
        <v>28</v>
      </c>
      <c r="G6722">
        <v>18</v>
      </c>
      <c r="H6722">
        <v>0.01</v>
      </c>
      <c r="I6722" t="s">
        <v>15</v>
      </c>
      <c r="J6722">
        <v>22</v>
      </c>
      <c r="K6722">
        <v>0</v>
      </c>
      <c r="L6722">
        <v>1</v>
      </c>
      <c r="M6722">
        <f>VLOOKUP(Table1[[#This Row],[subscription_type]],Plans!$A$1:$B$5,2,FALSE)</f>
        <v>0</v>
      </c>
      <c r="N6722">
        <f t="shared" ref="N6722:N6785" si="105">IF(L6722=1, M6722,0)</f>
        <v>0</v>
      </c>
    </row>
    <row r="6723" spans="1:14" x14ac:dyDescent="0.35">
      <c r="A6723">
        <v>6722</v>
      </c>
      <c r="B6723" t="s">
        <v>20</v>
      </c>
      <c r="C6723">
        <v>46</v>
      </c>
      <c r="D6723" t="s">
        <v>29</v>
      </c>
      <c r="E6723" t="s">
        <v>18</v>
      </c>
      <c r="F6723">
        <v>96</v>
      </c>
      <c r="G6723">
        <v>91</v>
      </c>
      <c r="H6723">
        <v>0.37</v>
      </c>
      <c r="I6723" t="s">
        <v>15</v>
      </c>
      <c r="J6723">
        <v>0</v>
      </c>
      <c r="K6723">
        <v>1</v>
      </c>
      <c r="L6723">
        <v>1</v>
      </c>
      <c r="M6723">
        <f>VLOOKUP(Table1[[#This Row],[subscription_type]],Plans!$A$1:$B$5,2,FALSE)</f>
        <v>14.99</v>
      </c>
      <c r="N6723">
        <f t="shared" si="105"/>
        <v>14.99</v>
      </c>
    </row>
    <row r="6724" spans="1:14" x14ac:dyDescent="0.35">
      <c r="A6724">
        <v>6723</v>
      </c>
      <c r="B6724" t="s">
        <v>16</v>
      </c>
      <c r="C6724">
        <v>53</v>
      </c>
      <c r="D6724" t="s">
        <v>25</v>
      </c>
      <c r="E6724" t="s">
        <v>22</v>
      </c>
      <c r="F6724">
        <v>14</v>
      </c>
      <c r="G6724">
        <v>96</v>
      </c>
      <c r="H6724">
        <v>0.14000000000000001</v>
      </c>
      <c r="I6724" t="s">
        <v>19</v>
      </c>
      <c r="J6724">
        <v>0</v>
      </c>
      <c r="K6724">
        <v>1</v>
      </c>
      <c r="L6724">
        <v>1</v>
      </c>
      <c r="M6724">
        <f>VLOOKUP(Table1[[#This Row],[subscription_type]],Plans!$A$1:$B$5,2,FALSE)</f>
        <v>9.99</v>
      </c>
      <c r="N6724">
        <f t="shared" si="105"/>
        <v>9.99</v>
      </c>
    </row>
    <row r="6725" spans="1:14" x14ac:dyDescent="0.35">
      <c r="A6725">
        <v>6724</v>
      </c>
      <c r="B6725" t="s">
        <v>12</v>
      </c>
      <c r="C6725">
        <v>33</v>
      </c>
      <c r="D6725" t="s">
        <v>21</v>
      </c>
      <c r="E6725" t="s">
        <v>24</v>
      </c>
      <c r="F6725">
        <v>155</v>
      </c>
      <c r="G6725">
        <v>17</v>
      </c>
      <c r="H6725">
        <v>0.57999999999999996</v>
      </c>
      <c r="I6725" t="s">
        <v>23</v>
      </c>
      <c r="J6725">
        <v>0</v>
      </c>
      <c r="K6725">
        <v>1</v>
      </c>
      <c r="L6725">
        <v>0</v>
      </c>
      <c r="M6725">
        <f>VLOOKUP(Table1[[#This Row],[subscription_type]],Plans!$A$1:$B$5,2,FALSE)</f>
        <v>4.99</v>
      </c>
      <c r="N6725">
        <f t="shared" si="105"/>
        <v>0</v>
      </c>
    </row>
    <row r="6726" spans="1:14" x14ac:dyDescent="0.35">
      <c r="A6726">
        <v>6725</v>
      </c>
      <c r="B6726" t="s">
        <v>16</v>
      </c>
      <c r="C6726">
        <v>23</v>
      </c>
      <c r="D6726" t="s">
        <v>13</v>
      </c>
      <c r="E6726" t="s">
        <v>18</v>
      </c>
      <c r="F6726">
        <v>213</v>
      </c>
      <c r="G6726">
        <v>71</v>
      </c>
      <c r="H6726">
        <v>0.45</v>
      </c>
      <c r="I6726" t="s">
        <v>23</v>
      </c>
      <c r="J6726">
        <v>0</v>
      </c>
      <c r="K6726">
        <v>1</v>
      </c>
      <c r="L6726">
        <v>0</v>
      </c>
      <c r="M6726">
        <f>VLOOKUP(Table1[[#This Row],[subscription_type]],Plans!$A$1:$B$5,2,FALSE)</f>
        <v>14.99</v>
      </c>
      <c r="N6726">
        <f t="shared" si="105"/>
        <v>0</v>
      </c>
    </row>
    <row r="6727" spans="1:14" x14ac:dyDescent="0.35">
      <c r="A6727">
        <v>6726</v>
      </c>
      <c r="B6727" t="s">
        <v>12</v>
      </c>
      <c r="C6727">
        <v>30</v>
      </c>
      <c r="D6727" t="s">
        <v>29</v>
      </c>
      <c r="E6727" t="s">
        <v>24</v>
      </c>
      <c r="F6727">
        <v>173</v>
      </c>
      <c r="G6727">
        <v>92</v>
      </c>
      <c r="H6727">
        <v>0.38</v>
      </c>
      <c r="I6727" t="s">
        <v>19</v>
      </c>
      <c r="J6727">
        <v>0</v>
      </c>
      <c r="K6727">
        <v>1</v>
      </c>
      <c r="L6727">
        <v>0</v>
      </c>
      <c r="M6727">
        <f>VLOOKUP(Table1[[#This Row],[subscription_type]],Plans!$A$1:$B$5,2,FALSE)</f>
        <v>4.99</v>
      </c>
      <c r="N6727">
        <f t="shared" si="105"/>
        <v>0</v>
      </c>
    </row>
    <row r="6728" spans="1:14" x14ac:dyDescent="0.35">
      <c r="A6728">
        <v>6727</v>
      </c>
      <c r="B6728" t="s">
        <v>12</v>
      </c>
      <c r="C6728">
        <v>57</v>
      </c>
      <c r="D6728" t="s">
        <v>25</v>
      </c>
      <c r="E6728" t="s">
        <v>24</v>
      </c>
      <c r="F6728">
        <v>294</v>
      </c>
      <c r="G6728">
        <v>44</v>
      </c>
      <c r="H6728">
        <v>0.2</v>
      </c>
      <c r="I6728" t="s">
        <v>15</v>
      </c>
      <c r="J6728">
        <v>0</v>
      </c>
      <c r="K6728">
        <v>1</v>
      </c>
      <c r="L6728">
        <v>0</v>
      </c>
      <c r="M6728">
        <f>VLOOKUP(Table1[[#This Row],[subscription_type]],Plans!$A$1:$B$5,2,FALSE)</f>
        <v>4.99</v>
      </c>
      <c r="N6728">
        <f t="shared" si="105"/>
        <v>0</v>
      </c>
    </row>
    <row r="6729" spans="1:14" x14ac:dyDescent="0.35">
      <c r="A6729">
        <v>6728</v>
      </c>
      <c r="B6729" t="s">
        <v>16</v>
      </c>
      <c r="C6729">
        <v>23</v>
      </c>
      <c r="D6729" t="s">
        <v>28</v>
      </c>
      <c r="E6729" t="s">
        <v>22</v>
      </c>
      <c r="F6729">
        <v>83</v>
      </c>
      <c r="G6729">
        <v>14</v>
      </c>
      <c r="H6729">
        <v>0.15</v>
      </c>
      <c r="I6729" t="s">
        <v>23</v>
      </c>
      <c r="J6729">
        <v>0</v>
      </c>
      <c r="K6729">
        <v>1</v>
      </c>
      <c r="L6729">
        <v>1</v>
      </c>
      <c r="M6729">
        <f>VLOOKUP(Table1[[#This Row],[subscription_type]],Plans!$A$1:$B$5,2,FALSE)</f>
        <v>9.99</v>
      </c>
      <c r="N6729">
        <f t="shared" si="105"/>
        <v>9.99</v>
      </c>
    </row>
    <row r="6730" spans="1:14" x14ac:dyDescent="0.35">
      <c r="A6730">
        <v>6729</v>
      </c>
      <c r="B6730" t="s">
        <v>16</v>
      </c>
      <c r="C6730">
        <v>17</v>
      </c>
      <c r="D6730" t="s">
        <v>13</v>
      </c>
      <c r="E6730" t="s">
        <v>22</v>
      </c>
      <c r="F6730">
        <v>156</v>
      </c>
      <c r="G6730">
        <v>52</v>
      </c>
      <c r="H6730">
        <v>0.44</v>
      </c>
      <c r="I6730" t="s">
        <v>23</v>
      </c>
      <c r="J6730">
        <v>0</v>
      </c>
      <c r="K6730">
        <v>1</v>
      </c>
      <c r="L6730">
        <v>0</v>
      </c>
      <c r="M6730">
        <f>VLOOKUP(Table1[[#This Row],[subscription_type]],Plans!$A$1:$B$5,2,FALSE)</f>
        <v>9.99</v>
      </c>
      <c r="N6730">
        <f t="shared" si="105"/>
        <v>0</v>
      </c>
    </row>
    <row r="6731" spans="1:14" x14ac:dyDescent="0.35">
      <c r="A6731">
        <v>6730</v>
      </c>
      <c r="B6731" t="s">
        <v>12</v>
      </c>
      <c r="C6731">
        <v>40</v>
      </c>
      <c r="D6731" t="s">
        <v>28</v>
      </c>
      <c r="E6731" t="s">
        <v>18</v>
      </c>
      <c r="F6731">
        <v>214</v>
      </c>
      <c r="G6731">
        <v>11</v>
      </c>
      <c r="H6731">
        <v>0.1</v>
      </c>
      <c r="I6731" t="s">
        <v>19</v>
      </c>
      <c r="J6731">
        <v>0</v>
      </c>
      <c r="K6731">
        <v>1</v>
      </c>
      <c r="L6731">
        <v>0</v>
      </c>
      <c r="M6731">
        <f>VLOOKUP(Table1[[#This Row],[subscription_type]],Plans!$A$1:$B$5,2,FALSE)</f>
        <v>14.99</v>
      </c>
      <c r="N6731">
        <f t="shared" si="105"/>
        <v>0</v>
      </c>
    </row>
    <row r="6732" spans="1:14" x14ac:dyDescent="0.35">
      <c r="A6732">
        <v>6731</v>
      </c>
      <c r="B6732" t="s">
        <v>12</v>
      </c>
      <c r="C6732">
        <v>19</v>
      </c>
      <c r="D6732" t="s">
        <v>27</v>
      </c>
      <c r="E6732" t="s">
        <v>14</v>
      </c>
      <c r="F6732">
        <v>229</v>
      </c>
      <c r="G6732">
        <v>7</v>
      </c>
      <c r="H6732">
        <v>0.6</v>
      </c>
      <c r="I6732" t="s">
        <v>19</v>
      </c>
      <c r="J6732">
        <v>37</v>
      </c>
      <c r="K6732">
        <v>0</v>
      </c>
      <c r="L6732">
        <v>0</v>
      </c>
      <c r="M6732">
        <f>VLOOKUP(Table1[[#This Row],[subscription_type]],Plans!$A$1:$B$5,2,FALSE)</f>
        <v>0</v>
      </c>
      <c r="N6732">
        <f t="shared" si="105"/>
        <v>0</v>
      </c>
    </row>
    <row r="6733" spans="1:14" x14ac:dyDescent="0.35">
      <c r="A6733">
        <v>6732</v>
      </c>
      <c r="B6733" t="s">
        <v>20</v>
      </c>
      <c r="C6733">
        <v>44</v>
      </c>
      <c r="D6733" t="s">
        <v>27</v>
      </c>
      <c r="E6733" t="s">
        <v>24</v>
      </c>
      <c r="F6733">
        <v>170</v>
      </c>
      <c r="G6733">
        <v>55</v>
      </c>
      <c r="H6733">
        <v>0.28000000000000003</v>
      </c>
      <c r="I6733" t="s">
        <v>15</v>
      </c>
      <c r="J6733">
        <v>0</v>
      </c>
      <c r="K6733">
        <v>1</v>
      </c>
      <c r="L6733">
        <v>0</v>
      </c>
      <c r="M6733">
        <f>VLOOKUP(Table1[[#This Row],[subscription_type]],Plans!$A$1:$B$5,2,FALSE)</f>
        <v>4.99</v>
      </c>
      <c r="N6733">
        <f t="shared" si="105"/>
        <v>0</v>
      </c>
    </row>
    <row r="6734" spans="1:14" x14ac:dyDescent="0.35">
      <c r="A6734">
        <v>6733</v>
      </c>
      <c r="B6734" t="s">
        <v>16</v>
      </c>
      <c r="C6734">
        <v>57</v>
      </c>
      <c r="D6734" t="s">
        <v>28</v>
      </c>
      <c r="E6734" t="s">
        <v>14</v>
      </c>
      <c r="F6734">
        <v>270</v>
      </c>
      <c r="G6734">
        <v>75</v>
      </c>
      <c r="H6734">
        <v>0.13</v>
      </c>
      <c r="I6734" t="s">
        <v>23</v>
      </c>
      <c r="J6734">
        <v>18</v>
      </c>
      <c r="K6734">
        <v>0</v>
      </c>
      <c r="L6734">
        <v>0</v>
      </c>
      <c r="M6734">
        <f>VLOOKUP(Table1[[#This Row],[subscription_type]],Plans!$A$1:$B$5,2,FALSE)</f>
        <v>0</v>
      </c>
      <c r="N6734">
        <f t="shared" si="105"/>
        <v>0</v>
      </c>
    </row>
    <row r="6735" spans="1:14" x14ac:dyDescent="0.35">
      <c r="A6735">
        <v>6734</v>
      </c>
      <c r="B6735" t="s">
        <v>20</v>
      </c>
      <c r="C6735">
        <v>26</v>
      </c>
      <c r="D6735" t="s">
        <v>28</v>
      </c>
      <c r="E6735" t="s">
        <v>18</v>
      </c>
      <c r="F6735">
        <v>158</v>
      </c>
      <c r="G6735">
        <v>57</v>
      </c>
      <c r="H6735">
        <v>0.46</v>
      </c>
      <c r="I6735" t="s">
        <v>19</v>
      </c>
      <c r="J6735">
        <v>0</v>
      </c>
      <c r="K6735">
        <v>1</v>
      </c>
      <c r="L6735">
        <v>0</v>
      </c>
      <c r="M6735">
        <f>VLOOKUP(Table1[[#This Row],[subscription_type]],Plans!$A$1:$B$5,2,FALSE)</f>
        <v>14.99</v>
      </c>
      <c r="N6735">
        <f t="shared" si="105"/>
        <v>0</v>
      </c>
    </row>
    <row r="6736" spans="1:14" x14ac:dyDescent="0.35">
      <c r="A6736">
        <v>6735</v>
      </c>
      <c r="B6736" t="s">
        <v>16</v>
      </c>
      <c r="C6736">
        <v>48</v>
      </c>
      <c r="D6736" t="s">
        <v>26</v>
      </c>
      <c r="E6736" t="s">
        <v>18</v>
      </c>
      <c r="F6736">
        <v>10</v>
      </c>
      <c r="G6736">
        <v>5</v>
      </c>
      <c r="H6736">
        <v>0.33</v>
      </c>
      <c r="I6736" t="s">
        <v>19</v>
      </c>
      <c r="J6736">
        <v>0</v>
      </c>
      <c r="K6736">
        <v>1</v>
      </c>
      <c r="L6736">
        <v>0</v>
      </c>
      <c r="M6736">
        <f>VLOOKUP(Table1[[#This Row],[subscription_type]],Plans!$A$1:$B$5,2,FALSE)</f>
        <v>14.99</v>
      </c>
      <c r="N6736">
        <f t="shared" si="105"/>
        <v>0</v>
      </c>
    </row>
    <row r="6737" spans="1:14" x14ac:dyDescent="0.35">
      <c r="A6737">
        <v>6736</v>
      </c>
      <c r="B6737" t="s">
        <v>16</v>
      </c>
      <c r="C6737">
        <v>37</v>
      </c>
      <c r="D6737" t="s">
        <v>29</v>
      </c>
      <c r="E6737" t="s">
        <v>24</v>
      </c>
      <c r="F6737">
        <v>252</v>
      </c>
      <c r="G6737">
        <v>34</v>
      </c>
      <c r="H6737">
        <v>0.43</v>
      </c>
      <c r="I6737" t="s">
        <v>23</v>
      </c>
      <c r="J6737">
        <v>0</v>
      </c>
      <c r="K6737">
        <v>1</v>
      </c>
      <c r="L6737">
        <v>1</v>
      </c>
      <c r="M6737">
        <f>VLOOKUP(Table1[[#This Row],[subscription_type]],Plans!$A$1:$B$5,2,FALSE)</f>
        <v>4.99</v>
      </c>
      <c r="N6737">
        <f t="shared" si="105"/>
        <v>4.99</v>
      </c>
    </row>
    <row r="6738" spans="1:14" x14ac:dyDescent="0.35">
      <c r="A6738">
        <v>6737</v>
      </c>
      <c r="B6738" t="s">
        <v>16</v>
      </c>
      <c r="C6738">
        <v>31</v>
      </c>
      <c r="D6738" t="s">
        <v>25</v>
      </c>
      <c r="E6738" t="s">
        <v>18</v>
      </c>
      <c r="F6738">
        <v>139</v>
      </c>
      <c r="G6738">
        <v>5</v>
      </c>
      <c r="H6738">
        <v>0.5</v>
      </c>
      <c r="I6738" t="s">
        <v>23</v>
      </c>
      <c r="J6738">
        <v>0</v>
      </c>
      <c r="K6738">
        <v>1</v>
      </c>
      <c r="L6738">
        <v>1</v>
      </c>
      <c r="M6738">
        <f>VLOOKUP(Table1[[#This Row],[subscription_type]],Plans!$A$1:$B$5,2,FALSE)</f>
        <v>14.99</v>
      </c>
      <c r="N6738">
        <f t="shared" si="105"/>
        <v>14.99</v>
      </c>
    </row>
    <row r="6739" spans="1:14" x14ac:dyDescent="0.35">
      <c r="A6739">
        <v>6738</v>
      </c>
      <c r="B6739" t="s">
        <v>12</v>
      </c>
      <c r="C6739">
        <v>58</v>
      </c>
      <c r="D6739" t="s">
        <v>13</v>
      </c>
      <c r="E6739" t="s">
        <v>22</v>
      </c>
      <c r="F6739">
        <v>227</v>
      </c>
      <c r="G6739">
        <v>88</v>
      </c>
      <c r="H6739">
        <v>0.27</v>
      </c>
      <c r="I6739" t="s">
        <v>19</v>
      </c>
      <c r="J6739">
        <v>0</v>
      </c>
      <c r="K6739">
        <v>1</v>
      </c>
      <c r="L6739">
        <v>0</v>
      </c>
      <c r="M6739">
        <f>VLOOKUP(Table1[[#This Row],[subscription_type]],Plans!$A$1:$B$5,2,FALSE)</f>
        <v>9.99</v>
      </c>
      <c r="N6739">
        <f t="shared" si="105"/>
        <v>0</v>
      </c>
    </row>
    <row r="6740" spans="1:14" x14ac:dyDescent="0.35">
      <c r="A6740">
        <v>6739</v>
      </c>
      <c r="B6740" t="s">
        <v>12</v>
      </c>
      <c r="C6740">
        <v>52</v>
      </c>
      <c r="D6740" t="s">
        <v>21</v>
      </c>
      <c r="E6740" t="s">
        <v>24</v>
      </c>
      <c r="F6740">
        <v>155</v>
      </c>
      <c r="G6740">
        <v>39</v>
      </c>
      <c r="H6740">
        <v>0.34</v>
      </c>
      <c r="I6740" t="s">
        <v>23</v>
      </c>
      <c r="J6740">
        <v>0</v>
      </c>
      <c r="K6740">
        <v>1</v>
      </c>
      <c r="L6740">
        <v>1</v>
      </c>
      <c r="M6740">
        <f>VLOOKUP(Table1[[#This Row],[subscription_type]],Plans!$A$1:$B$5,2,FALSE)</f>
        <v>4.99</v>
      </c>
      <c r="N6740">
        <f t="shared" si="105"/>
        <v>4.99</v>
      </c>
    </row>
    <row r="6741" spans="1:14" x14ac:dyDescent="0.35">
      <c r="A6741">
        <v>6740</v>
      </c>
      <c r="B6741" t="s">
        <v>16</v>
      </c>
      <c r="C6741">
        <v>41</v>
      </c>
      <c r="D6741" t="s">
        <v>27</v>
      </c>
      <c r="E6741" t="s">
        <v>22</v>
      </c>
      <c r="F6741">
        <v>201</v>
      </c>
      <c r="G6741">
        <v>46</v>
      </c>
      <c r="H6741">
        <v>0.13</v>
      </c>
      <c r="I6741" t="s">
        <v>23</v>
      </c>
      <c r="J6741">
        <v>0</v>
      </c>
      <c r="K6741">
        <v>1</v>
      </c>
      <c r="L6741">
        <v>0</v>
      </c>
      <c r="M6741">
        <f>VLOOKUP(Table1[[#This Row],[subscription_type]],Plans!$A$1:$B$5,2,FALSE)</f>
        <v>9.99</v>
      </c>
      <c r="N6741">
        <f t="shared" si="105"/>
        <v>0</v>
      </c>
    </row>
    <row r="6742" spans="1:14" x14ac:dyDescent="0.35">
      <c r="A6742">
        <v>6741</v>
      </c>
      <c r="B6742" t="s">
        <v>20</v>
      </c>
      <c r="C6742">
        <v>20</v>
      </c>
      <c r="D6742" t="s">
        <v>13</v>
      </c>
      <c r="E6742" t="s">
        <v>24</v>
      </c>
      <c r="F6742">
        <v>146</v>
      </c>
      <c r="G6742">
        <v>73</v>
      </c>
      <c r="H6742">
        <v>0.34</v>
      </c>
      <c r="I6742" t="s">
        <v>19</v>
      </c>
      <c r="J6742">
        <v>0</v>
      </c>
      <c r="K6742">
        <v>1</v>
      </c>
      <c r="L6742">
        <v>1</v>
      </c>
      <c r="M6742">
        <f>VLOOKUP(Table1[[#This Row],[subscription_type]],Plans!$A$1:$B$5,2,FALSE)</f>
        <v>4.99</v>
      </c>
      <c r="N6742">
        <f t="shared" si="105"/>
        <v>4.99</v>
      </c>
    </row>
    <row r="6743" spans="1:14" x14ac:dyDescent="0.35">
      <c r="A6743">
        <v>6742</v>
      </c>
      <c r="B6743" t="s">
        <v>16</v>
      </c>
      <c r="C6743">
        <v>20</v>
      </c>
      <c r="D6743" t="s">
        <v>29</v>
      </c>
      <c r="E6743" t="s">
        <v>18</v>
      </c>
      <c r="F6743">
        <v>81</v>
      </c>
      <c r="G6743">
        <v>41</v>
      </c>
      <c r="H6743">
        <v>0.28999999999999998</v>
      </c>
      <c r="I6743" t="s">
        <v>23</v>
      </c>
      <c r="J6743">
        <v>0</v>
      </c>
      <c r="K6743">
        <v>1</v>
      </c>
      <c r="L6743">
        <v>0</v>
      </c>
      <c r="M6743">
        <f>VLOOKUP(Table1[[#This Row],[subscription_type]],Plans!$A$1:$B$5,2,FALSE)</f>
        <v>14.99</v>
      </c>
      <c r="N6743">
        <f t="shared" si="105"/>
        <v>0</v>
      </c>
    </row>
    <row r="6744" spans="1:14" x14ac:dyDescent="0.35">
      <c r="A6744">
        <v>6743</v>
      </c>
      <c r="B6744" t="s">
        <v>12</v>
      </c>
      <c r="C6744">
        <v>52</v>
      </c>
      <c r="D6744" t="s">
        <v>27</v>
      </c>
      <c r="E6744" t="s">
        <v>14</v>
      </c>
      <c r="F6744">
        <v>252</v>
      </c>
      <c r="G6744">
        <v>63</v>
      </c>
      <c r="H6744">
        <v>0.34</v>
      </c>
      <c r="I6744" t="s">
        <v>19</v>
      </c>
      <c r="J6744">
        <v>29</v>
      </c>
      <c r="K6744">
        <v>0</v>
      </c>
      <c r="L6744">
        <v>0</v>
      </c>
      <c r="M6744">
        <f>VLOOKUP(Table1[[#This Row],[subscription_type]],Plans!$A$1:$B$5,2,FALSE)</f>
        <v>0</v>
      </c>
      <c r="N6744">
        <f t="shared" si="105"/>
        <v>0</v>
      </c>
    </row>
    <row r="6745" spans="1:14" x14ac:dyDescent="0.35">
      <c r="A6745">
        <v>6744</v>
      </c>
      <c r="B6745" t="s">
        <v>20</v>
      </c>
      <c r="C6745">
        <v>43</v>
      </c>
      <c r="D6745" t="s">
        <v>26</v>
      </c>
      <c r="E6745" t="s">
        <v>22</v>
      </c>
      <c r="F6745">
        <v>167</v>
      </c>
      <c r="G6745">
        <v>59</v>
      </c>
      <c r="H6745">
        <v>0.45</v>
      </c>
      <c r="I6745" t="s">
        <v>19</v>
      </c>
      <c r="J6745">
        <v>0</v>
      </c>
      <c r="K6745">
        <v>1</v>
      </c>
      <c r="L6745">
        <v>0</v>
      </c>
      <c r="M6745">
        <f>VLOOKUP(Table1[[#This Row],[subscription_type]],Plans!$A$1:$B$5,2,FALSE)</f>
        <v>9.99</v>
      </c>
      <c r="N6745">
        <f t="shared" si="105"/>
        <v>0</v>
      </c>
    </row>
    <row r="6746" spans="1:14" x14ac:dyDescent="0.35">
      <c r="A6746">
        <v>6745</v>
      </c>
      <c r="B6746" t="s">
        <v>12</v>
      </c>
      <c r="C6746">
        <v>24</v>
      </c>
      <c r="D6746" t="s">
        <v>27</v>
      </c>
      <c r="E6746" t="s">
        <v>18</v>
      </c>
      <c r="F6746">
        <v>261</v>
      </c>
      <c r="G6746">
        <v>63</v>
      </c>
      <c r="H6746">
        <v>0.17</v>
      </c>
      <c r="I6746" t="s">
        <v>23</v>
      </c>
      <c r="J6746">
        <v>0</v>
      </c>
      <c r="K6746">
        <v>1</v>
      </c>
      <c r="L6746">
        <v>0</v>
      </c>
      <c r="M6746">
        <f>VLOOKUP(Table1[[#This Row],[subscription_type]],Plans!$A$1:$B$5,2,FALSE)</f>
        <v>14.99</v>
      </c>
      <c r="N6746">
        <f t="shared" si="105"/>
        <v>0</v>
      </c>
    </row>
    <row r="6747" spans="1:14" x14ac:dyDescent="0.35">
      <c r="A6747">
        <v>6746</v>
      </c>
      <c r="B6747" t="s">
        <v>12</v>
      </c>
      <c r="C6747">
        <v>36</v>
      </c>
      <c r="D6747" t="s">
        <v>17</v>
      </c>
      <c r="E6747" t="s">
        <v>22</v>
      </c>
      <c r="F6747">
        <v>43</v>
      </c>
      <c r="G6747">
        <v>28</v>
      </c>
      <c r="H6747">
        <v>0.45</v>
      </c>
      <c r="I6747" t="s">
        <v>23</v>
      </c>
      <c r="J6747">
        <v>0</v>
      </c>
      <c r="K6747">
        <v>1</v>
      </c>
      <c r="L6747">
        <v>0</v>
      </c>
      <c r="M6747">
        <f>VLOOKUP(Table1[[#This Row],[subscription_type]],Plans!$A$1:$B$5,2,FALSE)</f>
        <v>9.99</v>
      </c>
      <c r="N6747">
        <f t="shared" si="105"/>
        <v>0</v>
      </c>
    </row>
    <row r="6748" spans="1:14" x14ac:dyDescent="0.35">
      <c r="A6748">
        <v>6747</v>
      </c>
      <c r="B6748" t="s">
        <v>20</v>
      </c>
      <c r="C6748">
        <v>53</v>
      </c>
      <c r="D6748" t="s">
        <v>17</v>
      </c>
      <c r="E6748" t="s">
        <v>24</v>
      </c>
      <c r="F6748">
        <v>232</v>
      </c>
      <c r="G6748">
        <v>94</v>
      </c>
      <c r="H6748">
        <v>0.12</v>
      </c>
      <c r="I6748" t="s">
        <v>23</v>
      </c>
      <c r="J6748">
        <v>0</v>
      </c>
      <c r="K6748">
        <v>1</v>
      </c>
      <c r="L6748">
        <v>1</v>
      </c>
      <c r="M6748">
        <f>VLOOKUP(Table1[[#This Row],[subscription_type]],Plans!$A$1:$B$5,2,FALSE)</f>
        <v>4.99</v>
      </c>
      <c r="N6748">
        <f t="shared" si="105"/>
        <v>4.99</v>
      </c>
    </row>
    <row r="6749" spans="1:14" x14ac:dyDescent="0.35">
      <c r="A6749">
        <v>6748</v>
      </c>
      <c r="B6749" t="s">
        <v>12</v>
      </c>
      <c r="C6749">
        <v>49</v>
      </c>
      <c r="D6749" t="s">
        <v>25</v>
      </c>
      <c r="E6749" t="s">
        <v>24</v>
      </c>
      <c r="F6749">
        <v>204</v>
      </c>
      <c r="G6749">
        <v>41</v>
      </c>
      <c r="H6749">
        <v>7.0000000000000007E-2</v>
      </c>
      <c r="I6749" t="s">
        <v>15</v>
      </c>
      <c r="J6749">
        <v>0</v>
      </c>
      <c r="K6749">
        <v>1</v>
      </c>
      <c r="L6749">
        <v>1</v>
      </c>
      <c r="M6749">
        <f>VLOOKUP(Table1[[#This Row],[subscription_type]],Plans!$A$1:$B$5,2,FALSE)</f>
        <v>4.99</v>
      </c>
      <c r="N6749">
        <f t="shared" si="105"/>
        <v>4.99</v>
      </c>
    </row>
    <row r="6750" spans="1:14" x14ac:dyDescent="0.35">
      <c r="A6750">
        <v>6749</v>
      </c>
      <c r="B6750" t="s">
        <v>16</v>
      </c>
      <c r="C6750">
        <v>26</v>
      </c>
      <c r="D6750" t="s">
        <v>26</v>
      </c>
      <c r="E6750" t="s">
        <v>18</v>
      </c>
      <c r="F6750">
        <v>274</v>
      </c>
      <c r="G6750">
        <v>48</v>
      </c>
      <c r="H6750">
        <v>0.59</v>
      </c>
      <c r="I6750" t="s">
        <v>15</v>
      </c>
      <c r="J6750">
        <v>0</v>
      </c>
      <c r="K6750">
        <v>1</v>
      </c>
      <c r="L6750">
        <v>1</v>
      </c>
      <c r="M6750">
        <f>VLOOKUP(Table1[[#This Row],[subscription_type]],Plans!$A$1:$B$5,2,FALSE)</f>
        <v>14.99</v>
      </c>
      <c r="N6750">
        <f t="shared" si="105"/>
        <v>14.99</v>
      </c>
    </row>
    <row r="6751" spans="1:14" x14ac:dyDescent="0.35">
      <c r="A6751">
        <v>6750</v>
      </c>
      <c r="B6751" t="s">
        <v>16</v>
      </c>
      <c r="C6751">
        <v>54</v>
      </c>
      <c r="D6751" t="s">
        <v>21</v>
      </c>
      <c r="E6751" t="s">
        <v>14</v>
      </c>
      <c r="F6751">
        <v>296</v>
      </c>
      <c r="G6751">
        <v>74</v>
      </c>
      <c r="H6751">
        <v>0.22</v>
      </c>
      <c r="I6751" t="s">
        <v>15</v>
      </c>
      <c r="J6751">
        <v>10</v>
      </c>
      <c r="K6751">
        <v>0</v>
      </c>
      <c r="L6751">
        <v>0</v>
      </c>
      <c r="M6751">
        <f>VLOOKUP(Table1[[#This Row],[subscription_type]],Plans!$A$1:$B$5,2,FALSE)</f>
        <v>0</v>
      </c>
      <c r="N6751">
        <f t="shared" si="105"/>
        <v>0</v>
      </c>
    </row>
    <row r="6752" spans="1:14" x14ac:dyDescent="0.35">
      <c r="A6752">
        <v>6751</v>
      </c>
      <c r="B6752" t="s">
        <v>20</v>
      </c>
      <c r="C6752">
        <v>35</v>
      </c>
      <c r="D6752" t="s">
        <v>25</v>
      </c>
      <c r="E6752" t="s">
        <v>14</v>
      </c>
      <c r="F6752">
        <v>223</v>
      </c>
      <c r="G6752">
        <v>97</v>
      </c>
      <c r="H6752">
        <v>0.08</v>
      </c>
      <c r="I6752" t="s">
        <v>23</v>
      </c>
      <c r="J6752">
        <v>27</v>
      </c>
      <c r="K6752">
        <v>0</v>
      </c>
      <c r="L6752">
        <v>0</v>
      </c>
      <c r="M6752">
        <f>VLOOKUP(Table1[[#This Row],[subscription_type]],Plans!$A$1:$B$5,2,FALSE)</f>
        <v>0</v>
      </c>
      <c r="N6752">
        <f t="shared" si="105"/>
        <v>0</v>
      </c>
    </row>
    <row r="6753" spans="1:14" x14ac:dyDescent="0.35">
      <c r="A6753">
        <v>6752</v>
      </c>
      <c r="B6753" t="s">
        <v>12</v>
      </c>
      <c r="C6753">
        <v>26</v>
      </c>
      <c r="D6753" t="s">
        <v>17</v>
      </c>
      <c r="E6753" t="s">
        <v>22</v>
      </c>
      <c r="F6753">
        <v>292</v>
      </c>
      <c r="G6753">
        <v>78</v>
      </c>
      <c r="H6753">
        <v>0.37</v>
      </c>
      <c r="I6753" t="s">
        <v>15</v>
      </c>
      <c r="J6753">
        <v>0</v>
      </c>
      <c r="K6753">
        <v>1</v>
      </c>
      <c r="L6753">
        <v>1</v>
      </c>
      <c r="M6753">
        <f>VLOOKUP(Table1[[#This Row],[subscription_type]],Plans!$A$1:$B$5,2,FALSE)</f>
        <v>9.99</v>
      </c>
      <c r="N6753">
        <f t="shared" si="105"/>
        <v>9.99</v>
      </c>
    </row>
    <row r="6754" spans="1:14" x14ac:dyDescent="0.35">
      <c r="A6754">
        <v>6753</v>
      </c>
      <c r="B6754" t="s">
        <v>12</v>
      </c>
      <c r="C6754">
        <v>30</v>
      </c>
      <c r="D6754" t="s">
        <v>28</v>
      </c>
      <c r="E6754" t="s">
        <v>22</v>
      </c>
      <c r="F6754">
        <v>18</v>
      </c>
      <c r="G6754">
        <v>95</v>
      </c>
      <c r="H6754">
        <v>0.47</v>
      </c>
      <c r="I6754" t="s">
        <v>19</v>
      </c>
      <c r="J6754">
        <v>0</v>
      </c>
      <c r="K6754">
        <v>1</v>
      </c>
      <c r="L6754">
        <v>0</v>
      </c>
      <c r="M6754">
        <f>VLOOKUP(Table1[[#This Row],[subscription_type]],Plans!$A$1:$B$5,2,FALSE)</f>
        <v>9.99</v>
      </c>
      <c r="N6754">
        <f t="shared" si="105"/>
        <v>0</v>
      </c>
    </row>
    <row r="6755" spans="1:14" x14ac:dyDescent="0.35">
      <c r="A6755">
        <v>6754</v>
      </c>
      <c r="B6755" t="s">
        <v>12</v>
      </c>
      <c r="C6755">
        <v>28</v>
      </c>
      <c r="D6755" t="s">
        <v>28</v>
      </c>
      <c r="E6755" t="s">
        <v>14</v>
      </c>
      <c r="F6755">
        <v>250</v>
      </c>
      <c r="G6755">
        <v>58</v>
      </c>
      <c r="H6755">
        <v>0.44</v>
      </c>
      <c r="I6755" t="s">
        <v>19</v>
      </c>
      <c r="J6755">
        <v>6</v>
      </c>
      <c r="K6755">
        <v>0</v>
      </c>
      <c r="L6755">
        <v>0</v>
      </c>
      <c r="M6755">
        <f>VLOOKUP(Table1[[#This Row],[subscription_type]],Plans!$A$1:$B$5,2,FALSE)</f>
        <v>0</v>
      </c>
      <c r="N6755">
        <f t="shared" si="105"/>
        <v>0</v>
      </c>
    </row>
    <row r="6756" spans="1:14" x14ac:dyDescent="0.35">
      <c r="A6756">
        <v>6755</v>
      </c>
      <c r="B6756" t="s">
        <v>20</v>
      </c>
      <c r="C6756">
        <v>35</v>
      </c>
      <c r="D6756" t="s">
        <v>21</v>
      </c>
      <c r="E6756" t="s">
        <v>18</v>
      </c>
      <c r="F6756">
        <v>158</v>
      </c>
      <c r="G6756">
        <v>78</v>
      </c>
      <c r="H6756">
        <v>0.2</v>
      </c>
      <c r="I6756" t="s">
        <v>15</v>
      </c>
      <c r="J6756">
        <v>0</v>
      </c>
      <c r="K6756">
        <v>1</v>
      </c>
      <c r="L6756">
        <v>0</v>
      </c>
      <c r="M6756">
        <f>VLOOKUP(Table1[[#This Row],[subscription_type]],Plans!$A$1:$B$5,2,FALSE)</f>
        <v>14.99</v>
      </c>
      <c r="N6756">
        <f t="shared" si="105"/>
        <v>0</v>
      </c>
    </row>
    <row r="6757" spans="1:14" x14ac:dyDescent="0.35">
      <c r="A6757">
        <v>6756</v>
      </c>
      <c r="B6757" t="s">
        <v>12</v>
      </c>
      <c r="C6757">
        <v>57</v>
      </c>
      <c r="D6757" t="s">
        <v>28</v>
      </c>
      <c r="E6757" t="s">
        <v>14</v>
      </c>
      <c r="F6757">
        <v>256</v>
      </c>
      <c r="G6757">
        <v>62</v>
      </c>
      <c r="H6757">
        <v>0.56000000000000005</v>
      </c>
      <c r="I6757" t="s">
        <v>23</v>
      </c>
      <c r="J6757">
        <v>49</v>
      </c>
      <c r="K6757">
        <v>0</v>
      </c>
      <c r="L6757">
        <v>0</v>
      </c>
      <c r="M6757">
        <f>VLOOKUP(Table1[[#This Row],[subscription_type]],Plans!$A$1:$B$5,2,FALSE)</f>
        <v>0</v>
      </c>
      <c r="N6757">
        <f t="shared" si="105"/>
        <v>0</v>
      </c>
    </row>
    <row r="6758" spans="1:14" x14ac:dyDescent="0.35">
      <c r="A6758">
        <v>6757</v>
      </c>
      <c r="B6758" t="s">
        <v>20</v>
      </c>
      <c r="C6758">
        <v>30</v>
      </c>
      <c r="D6758" t="s">
        <v>29</v>
      </c>
      <c r="E6758" t="s">
        <v>18</v>
      </c>
      <c r="F6758">
        <v>54</v>
      </c>
      <c r="G6758">
        <v>68</v>
      </c>
      <c r="H6758">
        <v>0.01</v>
      </c>
      <c r="I6758" t="s">
        <v>23</v>
      </c>
      <c r="J6758">
        <v>0</v>
      </c>
      <c r="K6758">
        <v>1</v>
      </c>
      <c r="L6758">
        <v>0</v>
      </c>
      <c r="M6758">
        <f>VLOOKUP(Table1[[#This Row],[subscription_type]],Plans!$A$1:$B$5,2,FALSE)</f>
        <v>14.99</v>
      </c>
      <c r="N6758">
        <f t="shared" si="105"/>
        <v>0</v>
      </c>
    </row>
    <row r="6759" spans="1:14" x14ac:dyDescent="0.35">
      <c r="A6759">
        <v>6758</v>
      </c>
      <c r="B6759" t="s">
        <v>20</v>
      </c>
      <c r="C6759">
        <v>46</v>
      </c>
      <c r="D6759" t="s">
        <v>28</v>
      </c>
      <c r="E6759" t="s">
        <v>24</v>
      </c>
      <c r="F6759">
        <v>156</v>
      </c>
      <c r="G6759">
        <v>29</v>
      </c>
      <c r="H6759">
        <v>0.52</v>
      </c>
      <c r="I6759" t="s">
        <v>23</v>
      </c>
      <c r="J6759">
        <v>0</v>
      </c>
      <c r="K6759">
        <v>1</v>
      </c>
      <c r="L6759">
        <v>0</v>
      </c>
      <c r="M6759">
        <f>VLOOKUP(Table1[[#This Row],[subscription_type]],Plans!$A$1:$B$5,2,FALSE)</f>
        <v>4.99</v>
      </c>
      <c r="N6759">
        <f t="shared" si="105"/>
        <v>0</v>
      </c>
    </row>
    <row r="6760" spans="1:14" x14ac:dyDescent="0.35">
      <c r="A6760">
        <v>6759</v>
      </c>
      <c r="B6760" t="s">
        <v>12</v>
      </c>
      <c r="C6760">
        <v>48</v>
      </c>
      <c r="D6760" t="s">
        <v>21</v>
      </c>
      <c r="E6760" t="s">
        <v>22</v>
      </c>
      <c r="F6760">
        <v>126</v>
      </c>
      <c r="G6760">
        <v>59</v>
      </c>
      <c r="H6760">
        <v>0.26</v>
      </c>
      <c r="I6760" t="s">
        <v>19</v>
      </c>
      <c r="J6760">
        <v>0</v>
      </c>
      <c r="K6760">
        <v>1</v>
      </c>
      <c r="L6760">
        <v>0</v>
      </c>
      <c r="M6760">
        <f>VLOOKUP(Table1[[#This Row],[subscription_type]],Plans!$A$1:$B$5,2,FALSE)</f>
        <v>9.99</v>
      </c>
      <c r="N6760">
        <f t="shared" si="105"/>
        <v>0</v>
      </c>
    </row>
    <row r="6761" spans="1:14" x14ac:dyDescent="0.35">
      <c r="A6761">
        <v>6760</v>
      </c>
      <c r="B6761" t="s">
        <v>20</v>
      </c>
      <c r="C6761">
        <v>28</v>
      </c>
      <c r="D6761" t="s">
        <v>26</v>
      </c>
      <c r="E6761" t="s">
        <v>24</v>
      </c>
      <c r="F6761">
        <v>240</v>
      </c>
      <c r="G6761">
        <v>31</v>
      </c>
      <c r="H6761">
        <v>0.56000000000000005</v>
      </c>
      <c r="I6761" t="s">
        <v>23</v>
      </c>
      <c r="J6761">
        <v>0</v>
      </c>
      <c r="K6761">
        <v>1</v>
      </c>
      <c r="L6761">
        <v>0</v>
      </c>
      <c r="M6761">
        <f>VLOOKUP(Table1[[#This Row],[subscription_type]],Plans!$A$1:$B$5,2,FALSE)</f>
        <v>4.99</v>
      </c>
      <c r="N6761">
        <f t="shared" si="105"/>
        <v>0</v>
      </c>
    </row>
    <row r="6762" spans="1:14" x14ac:dyDescent="0.35">
      <c r="A6762">
        <v>6761</v>
      </c>
      <c r="B6762" t="s">
        <v>12</v>
      </c>
      <c r="C6762">
        <v>43</v>
      </c>
      <c r="D6762" t="s">
        <v>27</v>
      </c>
      <c r="E6762" t="s">
        <v>18</v>
      </c>
      <c r="F6762">
        <v>82</v>
      </c>
      <c r="G6762">
        <v>11</v>
      </c>
      <c r="H6762">
        <v>0.49</v>
      </c>
      <c r="I6762" t="s">
        <v>15</v>
      </c>
      <c r="J6762">
        <v>0</v>
      </c>
      <c r="K6762">
        <v>1</v>
      </c>
      <c r="L6762">
        <v>0</v>
      </c>
      <c r="M6762">
        <f>VLOOKUP(Table1[[#This Row],[subscription_type]],Plans!$A$1:$B$5,2,FALSE)</f>
        <v>14.99</v>
      </c>
      <c r="N6762">
        <f t="shared" si="105"/>
        <v>0</v>
      </c>
    </row>
    <row r="6763" spans="1:14" x14ac:dyDescent="0.35">
      <c r="A6763">
        <v>6762</v>
      </c>
      <c r="B6763" t="s">
        <v>16</v>
      </c>
      <c r="C6763">
        <v>43</v>
      </c>
      <c r="D6763" t="s">
        <v>13</v>
      </c>
      <c r="E6763" t="s">
        <v>22</v>
      </c>
      <c r="F6763">
        <v>251</v>
      </c>
      <c r="G6763">
        <v>21</v>
      </c>
      <c r="H6763">
        <v>0.34</v>
      </c>
      <c r="I6763" t="s">
        <v>15</v>
      </c>
      <c r="J6763">
        <v>0</v>
      </c>
      <c r="K6763">
        <v>1</v>
      </c>
      <c r="L6763">
        <v>0</v>
      </c>
      <c r="M6763">
        <f>VLOOKUP(Table1[[#This Row],[subscription_type]],Plans!$A$1:$B$5,2,FALSE)</f>
        <v>9.99</v>
      </c>
      <c r="N6763">
        <f t="shared" si="105"/>
        <v>0</v>
      </c>
    </row>
    <row r="6764" spans="1:14" x14ac:dyDescent="0.35">
      <c r="A6764">
        <v>6763</v>
      </c>
      <c r="B6764" t="s">
        <v>12</v>
      </c>
      <c r="C6764">
        <v>33</v>
      </c>
      <c r="D6764" t="s">
        <v>17</v>
      </c>
      <c r="E6764" t="s">
        <v>24</v>
      </c>
      <c r="F6764">
        <v>43</v>
      </c>
      <c r="G6764">
        <v>59</v>
      </c>
      <c r="H6764">
        <v>0.51</v>
      </c>
      <c r="I6764" t="s">
        <v>15</v>
      </c>
      <c r="J6764">
        <v>0</v>
      </c>
      <c r="K6764">
        <v>1</v>
      </c>
      <c r="L6764">
        <v>0</v>
      </c>
      <c r="M6764">
        <f>VLOOKUP(Table1[[#This Row],[subscription_type]],Plans!$A$1:$B$5,2,FALSE)</f>
        <v>4.99</v>
      </c>
      <c r="N6764">
        <f t="shared" si="105"/>
        <v>0</v>
      </c>
    </row>
    <row r="6765" spans="1:14" x14ac:dyDescent="0.35">
      <c r="A6765">
        <v>6764</v>
      </c>
      <c r="B6765" t="s">
        <v>16</v>
      </c>
      <c r="C6765">
        <v>59</v>
      </c>
      <c r="D6765" t="s">
        <v>13</v>
      </c>
      <c r="E6765" t="s">
        <v>24</v>
      </c>
      <c r="F6765">
        <v>270</v>
      </c>
      <c r="G6765">
        <v>86</v>
      </c>
      <c r="H6765">
        <v>0.43</v>
      </c>
      <c r="I6765" t="s">
        <v>23</v>
      </c>
      <c r="J6765">
        <v>0</v>
      </c>
      <c r="K6765">
        <v>1</v>
      </c>
      <c r="L6765">
        <v>1</v>
      </c>
      <c r="M6765">
        <f>VLOOKUP(Table1[[#This Row],[subscription_type]],Plans!$A$1:$B$5,2,FALSE)</f>
        <v>4.99</v>
      </c>
      <c r="N6765">
        <f t="shared" si="105"/>
        <v>4.99</v>
      </c>
    </row>
    <row r="6766" spans="1:14" x14ac:dyDescent="0.35">
      <c r="A6766">
        <v>6765</v>
      </c>
      <c r="B6766" t="s">
        <v>20</v>
      </c>
      <c r="C6766">
        <v>28</v>
      </c>
      <c r="D6766" t="s">
        <v>21</v>
      </c>
      <c r="E6766" t="s">
        <v>22</v>
      </c>
      <c r="F6766">
        <v>160</v>
      </c>
      <c r="G6766">
        <v>2</v>
      </c>
      <c r="H6766">
        <v>0.24</v>
      </c>
      <c r="I6766" t="s">
        <v>23</v>
      </c>
      <c r="J6766">
        <v>0</v>
      </c>
      <c r="K6766">
        <v>1</v>
      </c>
      <c r="L6766">
        <v>0</v>
      </c>
      <c r="M6766">
        <f>VLOOKUP(Table1[[#This Row],[subscription_type]],Plans!$A$1:$B$5,2,FALSE)</f>
        <v>9.99</v>
      </c>
      <c r="N6766">
        <f t="shared" si="105"/>
        <v>0</v>
      </c>
    </row>
    <row r="6767" spans="1:14" x14ac:dyDescent="0.35">
      <c r="A6767">
        <v>6766</v>
      </c>
      <c r="B6767" t="s">
        <v>12</v>
      </c>
      <c r="C6767">
        <v>23</v>
      </c>
      <c r="D6767" t="s">
        <v>29</v>
      </c>
      <c r="E6767" t="s">
        <v>22</v>
      </c>
      <c r="F6767">
        <v>266</v>
      </c>
      <c r="G6767">
        <v>60</v>
      </c>
      <c r="H6767">
        <v>0</v>
      </c>
      <c r="I6767" t="s">
        <v>19</v>
      </c>
      <c r="J6767">
        <v>0</v>
      </c>
      <c r="K6767">
        <v>1</v>
      </c>
      <c r="L6767">
        <v>0</v>
      </c>
      <c r="M6767">
        <f>VLOOKUP(Table1[[#This Row],[subscription_type]],Plans!$A$1:$B$5,2,FALSE)</f>
        <v>9.99</v>
      </c>
      <c r="N6767">
        <f t="shared" si="105"/>
        <v>0</v>
      </c>
    </row>
    <row r="6768" spans="1:14" x14ac:dyDescent="0.35">
      <c r="A6768">
        <v>6767</v>
      </c>
      <c r="B6768" t="s">
        <v>16</v>
      </c>
      <c r="C6768">
        <v>30</v>
      </c>
      <c r="D6768" t="s">
        <v>17</v>
      </c>
      <c r="E6768" t="s">
        <v>14</v>
      </c>
      <c r="F6768">
        <v>171</v>
      </c>
      <c r="G6768">
        <v>50</v>
      </c>
      <c r="H6768">
        <v>0.33</v>
      </c>
      <c r="I6768" t="s">
        <v>19</v>
      </c>
      <c r="J6768">
        <v>24</v>
      </c>
      <c r="K6768">
        <v>0</v>
      </c>
      <c r="L6768">
        <v>0</v>
      </c>
      <c r="M6768">
        <f>VLOOKUP(Table1[[#This Row],[subscription_type]],Plans!$A$1:$B$5,2,FALSE)</f>
        <v>0</v>
      </c>
      <c r="N6768">
        <f t="shared" si="105"/>
        <v>0</v>
      </c>
    </row>
    <row r="6769" spans="1:14" x14ac:dyDescent="0.35">
      <c r="A6769">
        <v>6768</v>
      </c>
      <c r="B6769" t="s">
        <v>12</v>
      </c>
      <c r="C6769">
        <v>21</v>
      </c>
      <c r="D6769" t="s">
        <v>25</v>
      </c>
      <c r="E6769" t="s">
        <v>18</v>
      </c>
      <c r="F6769">
        <v>154</v>
      </c>
      <c r="G6769">
        <v>8</v>
      </c>
      <c r="H6769">
        <v>0.35</v>
      </c>
      <c r="I6769" t="s">
        <v>19</v>
      </c>
      <c r="J6769">
        <v>0</v>
      </c>
      <c r="K6769">
        <v>1</v>
      </c>
      <c r="L6769">
        <v>0</v>
      </c>
      <c r="M6769">
        <f>VLOOKUP(Table1[[#This Row],[subscription_type]],Plans!$A$1:$B$5,2,FALSE)</f>
        <v>14.99</v>
      </c>
      <c r="N6769">
        <f t="shared" si="105"/>
        <v>0</v>
      </c>
    </row>
    <row r="6770" spans="1:14" x14ac:dyDescent="0.35">
      <c r="A6770">
        <v>6769</v>
      </c>
      <c r="B6770" t="s">
        <v>20</v>
      </c>
      <c r="C6770">
        <v>43</v>
      </c>
      <c r="D6770" t="s">
        <v>27</v>
      </c>
      <c r="E6770" t="s">
        <v>14</v>
      </c>
      <c r="F6770">
        <v>164</v>
      </c>
      <c r="G6770">
        <v>42</v>
      </c>
      <c r="H6770">
        <v>0.49</v>
      </c>
      <c r="I6770" t="s">
        <v>15</v>
      </c>
      <c r="J6770">
        <v>6</v>
      </c>
      <c r="K6770">
        <v>0</v>
      </c>
      <c r="L6770">
        <v>1</v>
      </c>
      <c r="M6770">
        <f>VLOOKUP(Table1[[#This Row],[subscription_type]],Plans!$A$1:$B$5,2,FALSE)</f>
        <v>0</v>
      </c>
      <c r="N6770">
        <f t="shared" si="105"/>
        <v>0</v>
      </c>
    </row>
    <row r="6771" spans="1:14" x14ac:dyDescent="0.35">
      <c r="A6771">
        <v>6770</v>
      </c>
      <c r="B6771" t="s">
        <v>12</v>
      </c>
      <c r="C6771">
        <v>56</v>
      </c>
      <c r="D6771" t="s">
        <v>25</v>
      </c>
      <c r="E6771" t="s">
        <v>14</v>
      </c>
      <c r="F6771">
        <v>294</v>
      </c>
      <c r="G6771">
        <v>20</v>
      </c>
      <c r="H6771">
        <v>0.1</v>
      </c>
      <c r="I6771" t="s">
        <v>19</v>
      </c>
      <c r="J6771">
        <v>7</v>
      </c>
      <c r="K6771">
        <v>0</v>
      </c>
      <c r="L6771">
        <v>1</v>
      </c>
      <c r="M6771">
        <f>VLOOKUP(Table1[[#This Row],[subscription_type]],Plans!$A$1:$B$5,2,FALSE)</f>
        <v>0</v>
      </c>
      <c r="N6771">
        <f t="shared" si="105"/>
        <v>0</v>
      </c>
    </row>
    <row r="6772" spans="1:14" x14ac:dyDescent="0.35">
      <c r="A6772">
        <v>6771</v>
      </c>
      <c r="B6772" t="s">
        <v>16</v>
      </c>
      <c r="C6772">
        <v>37</v>
      </c>
      <c r="D6772" t="s">
        <v>17</v>
      </c>
      <c r="E6772" t="s">
        <v>22</v>
      </c>
      <c r="F6772">
        <v>18</v>
      </c>
      <c r="G6772">
        <v>60</v>
      </c>
      <c r="H6772">
        <v>0.1</v>
      </c>
      <c r="I6772" t="s">
        <v>23</v>
      </c>
      <c r="J6772">
        <v>0</v>
      </c>
      <c r="K6772">
        <v>1</v>
      </c>
      <c r="L6772">
        <v>0</v>
      </c>
      <c r="M6772">
        <f>VLOOKUP(Table1[[#This Row],[subscription_type]],Plans!$A$1:$B$5,2,FALSE)</f>
        <v>9.99</v>
      </c>
      <c r="N6772">
        <f t="shared" si="105"/>
        <v>0</v>
      </c>
    </row>
    <row r="6773" spans="1:14" x14ac:dyDescent="0.35">
      <c r="A6773">
        <v>6772</v>
      </c>
      <c r="B6773" t="s">
        <v>16</v>
      </c>
      <c r="C6773">
        <v>36</v>
      </c>
      <c r="D6773" t="s">
        <v>17</v>
      </c>
      <c r="E6773" t="s">
        <v>14</v>
      </c>
      <c r="F6773">
        <v>190</v>
      </c>
      <c r="G6773">
        <v>45</v>
      </c>
      <c r="H6773">
        <v>0.36</v>
      </c>
      <c r="I6773" t="s">
        <v>23</v>
      </c>
      <c r="J6773">
        <v>24</v>
      </c>
      <c r="K6773">
        <v>0</v>
      </c>
      <c r="L6773">
        <v>0</v>
      </c>
      <c r="M6773">
        <f>VLOOKUP(Table1[[#This Row],[subscription_type]],Plans!$A$1:$B$5,2,FALSE)</f>
        <v>0</v>
      </c>
      <c r="N6773">
        <f t="shared" si="105"/>
        <v>0</v>
      </c>
    </row>
    <row r="6774" spans="1:14" x14ac:dyDescent="0.35">
      <c r="A6774">
        <v>6773</v>
      </c>
      <c r="B6774" t="s">
        <v>12</v>
      </c>
      <c r="C6774">
        <v>56</v>
      </c>
      <c r="D6774" t="s">
        <v>13</v>
      </c>
      <c r="E6774" t="s">
        <v>22</v>
      </c>
      <c r="F6774">
        <v>74</v>
      </c>
      <c r="G6774">
        <v>86</v>
      </c>
      <c r="H6774">
        <v>0.08</v>
      </c>
      <c r="I6774" t="s">
        <v>23</v>
      </c>
      <c r="J6774">
        <v>0</v>
      </c>
      <c r="K6774">
        <v>1</v>
      </c>
      <c r="L6774">
        <v>1</v>
      </c>
      <c r="M6774">
        <f>VLOOKUP(Table1[[#This Row],[subscription_type]],Plans!$A$1:$B$5,2,FALSE)</f>
        <v>9.99</v>
      </c>
      <c r="N6774">
        <f t="shared" si="105"/>
        <v>9.99</v>
      </c>
    </row>
    <row r="6775" spans="1:14" x14ac:dyDescent="0.35">
      <c r="A6775">
        <v>6774</v>
      </c>
      <c r="B6775" t="s">
        <v>20</v>
      </c>
      <c r="C6775">
        <v>25</v>
      </c>
      <c r="D6775" t="s">
        <v>21</v>
      </c>
      <c r="E6775" t="s">
        <v>14</v>
      </c>
      <c r="F6775">
        <v>93</v>
      </c>
      <c r="G6775">
        <v>6</v>
      </c>
      <c r="H6775">
        <v>0.47</v>
      </c>
      <c r="I6775" t="s">
        <v>15</v>
      </c>
      <c r="J6775">
        <v>39</v>
      </c>
      <c r="K6775">
        <v>0</v>
      </c>
      <c r="L6775">
        <v>0</v>
      </c>
      <c r="M6775">
        <f>VLOOKUP(Table1[[#This Row],[subscription_type]],Plans!$A$1:$B$5,2,FALSE)</f>
        <v>0</v>
      </c>
      <c r="N6775">
        <f t="shared" si="105"/>
        <v>0</v>
      </c>
    </row>
    <row r="6776" spans="1:14" x14ac:dyDescent="0.35">
      <c r="A6776">
        <v>6775</v>
      </c>
      <c r="B6776" t="s">
        <v>16</v>
      </c>
      <c r="C6776">
        <v>42</v>
      </c>
      <c r="D6776" t="s">
        <v>28</v>
      </c>
      <c r="E6776" t="s">
        <v>18</v>
      </c>
      <c r="F6776">
        <v>205</v>
      </c>
      <c r="G6776">
        <v>5</v>
      </c>
      <c r="H6776">
        <v>0.42</v>
      </c>
      <c r="I6776" t="s">
        <v>15</v>
      </c>
      <c r="J6776">
        <v>0</v>
      </c>
      <c r="K6776">
        <v>1</v>
      </c>
      <c r="L6776">
        <v>0</v>
      </c>
      <c r="M6776">
        <f>VLOOKUP(Table1[[#This Row],[subscription_type]],Plans!$A$1:$B$5,2,FALSE)</f>
        <v>14.99</v>
      </c>
      <c r="N6776">
        <f t="shared" si="105"/>
        <v>0</v>
      </c>
    </row>
    <row r="6777" spans="1:14" x14ac:dyDescent="0.35">
      <c r="A6777">
        <v>6776</v>
      </c>
      <c r="B6777" t="s">
        <v>16</v>
      </c>
      <c r="C6777">
        <v>50</v>
      </c>
      <c r="D6777" t="s">
        <v>29</v>
      </c>
      <c r="E6777" t="s">
        <v>18</v>
      </c>
      <c r="F6777">
        <v>170</v>
      </c>
      <c r="G6777">
        <v>39</v>
      </c>
      <c r="H6777">
        <v>0.26</v>
      </c>
      <c r="I6777" t="s">
        <v>23</v>
      </c>
      <c r="J6777">
        <v>0</v>
      </c>
      <c r="K6777">
        <v>1</v>
      </c>
      <c r="L6777">
        <v>0</v>
      </c>
      <c r="M6777">
        <f>VLOOKUP(Table1[[#This Row],[subscription_type]],Plans!$A$1:$B$5,2,FALSE)</f>
        <v>14.99</v>
      </c>
      <c r="N6777">
        <f t="shared" si="105"/>
        <v>0</v>
      </c>
    </row>
    <row r="6778" spans="1:14" x14ac:dyDescent="0.35">
      <c r="A6778">
        <v>6777</v>
      </c>
      <c r="B6778" t="s">
        <v>12</v>
      </c>
      <c r="C6778">
        <v>35</v>
      </c>
      <c r="D6778" t="s">
        <v>25</v>
      </c>
      <c r="E6778" t="s">
        <v>18</v>
      </c>
      <c r="F6778">
        <v>33</v>
      </c>
      <c r="G6778">
        <v>29</v>
      </c>
      <c r="H6778">
        <v>0.16</v>
      </c>
      <c r="I6778" t="s">
        <v>15</v>
      </c>
      <c r="J6778">
        <v>0</v>
      </c>
      <c r="K6778">
        <v>1</v>
      </c>
      <c r="L6778">
        <v>0</v>
      </c>
      <c r="M6778">
        <f>VLOOKUP(Table1[[#This Row],[subscription_type]],Plans!$A$1:$B$5,2,FALSE)</f>
        <v>14.99</v>
      </c>
      <c r="N6778">
        <f t="shared" si="105"/>
        <v>0</v>
      </c>
    </row>
    <row r="6779" spans="1:14" x14ac:dyDescent="0.35">
      <c r="A6779">
        <v>6778</v>
      </c>
      <c r="B6779" t="s">
        <v>12</v>
      </c>
      <c r="C6779">
        <v>52</v>
      </c>
      <c r="D6779" t="s">
        <v>29</v>
      </c>
      <c r="E6779" t="s">
        <v>14</v>
      </c>
      <c r="F6779">
        <v>188</v>
      </c>
      <c r="G6779">
        <v>86</v>
      </c>
      <c r="H6779">
        <v>0.54</v>
      </c>
      <c r="I6779" t="s">
        <v>15</v>
      </c>
      <c r="J6779">
        <v>29</v>
      </c>
      <c r="K6779">
        <v>0</v>
      </c>
      <c r="L6779">
        <v>0</v>
      </c>
      <c r="M6779">
        <f>VLOOKUP(Table1[[#This Row],[subscription_type]],Plans!$A$1:$B$5,2,FALSE)</f>
        <v>0</v>
      </c>
      <c r="N6779">
        <f t="shared" si="105"/>
        <v>0</v>
      </c>
    </row>
    <row r="6780" spans="1:14" x14ac:dyDescent="0.35">
      <c r="A6780">
        <v>6779</v>
      </c>
      <c r="B6780" t="s">
        <v>16</v>
      </c>
      <c r="C6780">
        <v>16</v>
      </c>
      <c r="D6780" t="s">
        <v>27</v>
      </c>
      <c r="E6780" t="s">
        <v>14</v>
      </c>
      <c r="F6780">
        <v>72</v>
      </c>
      <c r="G6780">
        <v>95</v>
      </c>
      <c r="H6780">
        <v>0.17</v>
      </c>
      <c r="I6780" t="s">
        <v>19</v>
      </c>
      <c r="J6780">
        <v>43</v>
      </c>
      <c r="K6780">
        <v>0</v>
      </c>
      <c r="L6780">
        <v>0</v>
      </c>
      <c r="M6780">
        <f>VLOOKUP(Table1[[#This Row],[subscription_type]],Plans!$A$1:$B$5,2,FALSE)</f>
        <v>0</v>
      </c>
      <c r="N6780">
        <f t="shared" si="105"/>
        <v>0</v>
      </c>
    </row>
    <row r="6781" spans="1:14" x14ac:dyDescent="0.35">
      <c r="A6781">
        <v>6780</v>
      </c>
      <c r="B6781" t="s">
        <v>20</v>
      </c>
      <c r="C6781">
        <v>53</v>
      </c>
      <c r="D6781" t="s">
        <v>25</v>
      </c>
      <c r="E6781" t="s">
        <v>14</v>
      </c>
      <c r="F6781">
        <v>167</v>
      </c>
      <c r="G6781">
        <v>80</v>
      </c>
      <c r="H6781">
        <v>0.13</v>
      </c>
      <c r="I6781" t="s">
        <v>23</v>
      </c>
      <c r="J6781">
        <v>40</v>
      </c>
      <c r="K6781">
        <v>0</v>
      </c>
      <c r="L6781">
        <v>0</v>
      </c>
      <c r="M6781">
        <f>VLOOKUP(Table1[[#This Row],[subscription_type]],Plans!$A$1:$B$5,2,FALSE)</f>
        <v>0</v>
      </c>
      <c r="N6781">
        <f t="shared" si="105"/>
        <v>0</v>
      </c>
    </row>
    <row r="6782" spans="1:14" x14ac:dyDescent="0.35">
      <c r="A6782">
        <v>6781</v>
      </c>
      <c r="B6782" t="s">
        <v>12</v>
      </c>
      <c r="C6782">
        <v>52</v>
      </c>
      <c r="D6782" t="s">
        <v>17</v>
      </c>
      <c r="E6782" t="s">
        <v>24</v>
      </c>
      <c r="F6782">
        <v>126</v>
      </c>
      <c r="G6782">
        <v>59</v>
      </c>
      <c r="H6782">
        <v>0.45</v>
      </c>
      <c r="I6782" t="s">
        <v>19</v>
      </c>
      <c r="J6782">
        <v>0</v>
      </c>
      <c r="K6782">
        <v>1</v>
      </c>
      <c r="L6782">
        <v>1</v>
      </c>
      <c r="M6782">
        <f>VLOOKUP(Table1[[#This Row],[subscription_type]],Plans!$A$1:$B$5,2,FALSE)</f>
        <v>4.99</v>
      </c>
      <c r="N6782">
        <f t="shared" si="105"/>
        <v>4.99</v>
      </c>
    </row>
    <row r="6783" spans="1:14" x14ac:dyDescent="0.35">
      <c r="A6783">
        <v>6782</v>
      </c>
      <c r="B6783" t="s">
        <v>16</v>
      </c>
      <c r="C6783">
        <v>42</v>
      </c>
      <c r="D6783" t="s">
        <v>25</v>
      </c>
      <c r="E6783" t="s">
        <v>18</v>
      </c>
      <c r="F6783">
        <v>75</v>
      </c>
      <c r="G6783">
        <v>8</v>
      </c>
      <c r="H6783">
        <v>0.52</v>
      </c>
      <c r="I6783" t="s">
        <v>15</v>
      </c>
      <c r="J6783">
        <v>0</v>
      </c>
      <c r="K6783">
        <v>1</v>
      </c>
      <c r="L6783">
        <v>1</v>
      </c>
      <c r="M6783">
        <f>VLOOKUP(Table1[[#This Row],[subscription_type]],Plans!$A$1:$B$5,2,FALSE)</f>
        <v>14.99</v>
      </c>
      <c r="N6783">
        <f t="shared" si="105"/>
        <v>14.99</v>
      </c>
    </row>
    <row r="6784" spans="1:14" x14ac:dyDescent="0.35">
      <c r="A6784">
        <v>6783</v>
      </c>
      <c r="B6784" t="s">
        <v>16</v>
      </c>
      <c r="C6784">
        <v>34</v>
      </c>
      <c r="D6784" t="s">
        <v>21</v>
      </c>
      <c r="E6784" t="s">
        <v>14</v>
      </c>
      <c r="F6784">
        <v>167</v>
      </c>
      <c r="G6784">
        <v>31</v>
      </c>
      <c r="H6784">
        <v>0.32</v>
      </c>
      <c r="I6784" t="s">
        <v>23</v>
      </c>
      <c r="J6784">
        <v>41</v>
      </c>
      <c r="K6784">
        <v>0</v>
      </c>
      <c r="L6784">
        <v>0</v>
      </c>
      <c r="M6784">
        <f>VLOOKUP(Table1[[#This Row],[subscription_type]],Plans!$A$1:$B$5,2,FALSE)</f>
        <v>0</v>
      </c>
      <c r="N6784">
        <f t="shared" si="105"/>
        <v>0</v>
      </c>
    </row>
    <row r="6785" spans="1:14" x14ac:dyDescent="0.35">
      <c r="A6785">
        <v>6784</v>
      </c>
      <c r="B6785" t="s">
        <v>12</v>
      </c>
      <c r="C6785">
        <v>27</v>
      </c>
      <c r="D6785" t="s">
        <v>26</v>
      </c>
      <c r="E6785" t="s">
        <v>24</v>
      </c>
      <c r="F6785">
        <v>158</v>
      </c>
      <c r="G6785">
        <v>77</v>
      </c>
      <c r="H6785">
        <v>0.55000000000000004</v>
      </c>
      <c r="I6785" t="s">
        <v>23</v>
      </c>
      <c r="J6785">
        <v>0</v>
      </c>
      <c r="K6785">
        <v>1</v>
      </c>
      <c r="L6785">
        <v>0</v>
      </c>
      <c r="M6785">
        <f>VLOOKUP(Table1[[#This Row],[subscription_type]],Plans!$A$1:$B$5,2,FALSE)</f>
        <v>4.99</v>
      </c>
      <c r="N6785">
        <f t="shared" si="105"/>
        <v>0</v>
      </c>
    </row>
    <row r="6786" spans="1:14" x14ac:dyDescent="0.35">
      <c r="A6786">
        <v>6785</v>
      </c>
      <c r="B6786" t="s">
        <v>20</v>
      </c>
      <c r="C6786">
        <v>33</v>
      </c>
      <c r="D6786" t="s">
        <v>13</v>
      </c>
      <c r="E6786" t="s">
        <v>18</v>
      </c>
      <c r="F6786">
        <v>225</v>
      </c>
      <c r="G6786">
        <v>23</v>
      </c>
      <c r="H6786">
        <v>0.25</v>
      </c>
      <c r="I6786" t="s">
        <v>23</v>
      </c>
      <c r="J6786">
        <v>0</v>
      </c>
      <c r="K6786">
        <v>1</v>
      </c>
      <c r="L6786">
        <v>0</v>
      </c>
      <c r="M6786">
        <f>VLOOKUP(Table1[[#This Row],[subscription_type]],Plans!$A$1:$B$5,2,FALSE)</f>
        <v>14.99</v>
      </c>
      <c r="N6786">
        <f t="shared" ref="N6786:N6849" si="106">IF(L6786=1, M6786,0)</f>
        <v>0</v>
      </c>
    </row>
    <row r="6787" spans="1:14" x14ac:dyDescent="0.35">
      <c r="A6787">
        <v>6786</v>
      </c>
      <c r="B6787" t="s">
        <v>20</v>
      </c>
      <c r="C6787">
        <v>17</v>
      </c>
      <c r="D6787" t="s">
        <v>25</v>
      </c>
      <c r="E6787" t="s">
        <v>24</v>
      </c>
      <c r="F6787">
        <v>196</v>
      </c>
      <c r="G6787">
        <v>21</v>
      </c>
      <c r="H6787">
        <v>0.54</v>
      </c>
      <c r="I6787" t="s">
        <v>23</v>
      </c>
      <c r="J6787">
        <v>0</v>
      </c>
      <c r="K6787">
        <v>1</v>
      </c>
      <c r="L6787">
        <v>0</v>
      </c>
      <c r="M6787">
        <f>VLOOKUP(Table1[[#This Row],[subscription_type]],Plans!$A$1:$B$5,2,FALSE)</f>
        <v>4.99</v>
      </c>
      <c r="N6787">
        <f t="shared" si="106"/>
        <v>0</v>
      </c>
    </row>
    <row r="6788" spans="1:14" x14ac:dyDescent="0.35">
      <c r="A6788">
        <v>6787</v>
      </c>
      <c r="B6788" t="s">
        <v>20</v>
      </c>
      <c r="C6788">
        <v>25</v>
      </c>
      <c r="D6788" t="s">
        <v>13</v>
      </c>
      <c r="E6788" t="s">
        <v>14</v>
      </c>
      <c r="F6788">
        <v>163</v>
      </c>
      <c r="G6788">
        <v>92</v>
      </c>
      <c r="H6788">
        <v>0.21</v>
      </c>
      <c r="I6788" t="s">
        <v>15</v>
      </c>
      <c r="J6788">
        <v>8</v>
      </c>
      <c r="K6788">
        <v>0</v>
      </c>
      <c r="L6788">
        <v>0</v>
      </c>
      <c r="M6788">
        <f>VLOOKUP(Table1[[#This Row],[subscription_type]],Plans!$A$1:$B$5,2,FALSE)</f>
        <v>0</v>
      </c>
      <c r="N6788">
        <f t="shared" si="106"/>
        <v>0</v>
      </c>
    </row>
    <row r="6789" spans="1:14" x14ac:dyDescent="0.35">
      <c r="A6789">
        <v>6788</v>
      </c>
      <c r="B6789" t="s">
        <v>20</v>
      </c>
      <c r="C6789">
        <v>57</v>
      </c>
      <c r="D6789" t="s">
        <v>26</v>
      </c>
      <c r="E6789" t="s">
        <v>22</v>
      </c>
      <c r="F6789">
        <v>125</v>
      </c>
      <c r="G6789">
        <v>20</v>
      </c>
      <c r="H6789">
        <v>0.1</v>
      </c>
      <c r="I6789" t="s">
        <v>19</v>
      </c>
      <c r="J6789">
        <v>0</v>
      </c>
      <c r="K6789">
        <v>1</v>
      </c>
      <c r="L6789">
        <v>0</v>
      </c>
      <c r="M6789">
        <f>VLOOKUP(Table1[[#This Row],[subscription_type]],Plans!$A$1:$B$5,2,FALSE)</f>
        <v>9.99</v>
      </c>
      <c r="N6789">
        <f t="shared" si="106"/>
        <v>0</v>
      </c>
    </row>
    <row r="6790" spans="1:14" x14ac:dyDescent="0.35">
      <c r="A6790">
        <v>6789</v>
      </c>
      <c r="B6790" t="s">
        <v>12</v>
      </c>
      <c r="C6790">
        <v>18</v>
      </c>
      <c r="D6790" t="s">
        <v>25</v>
      </c>
      <c r="E6790" t="s">
        <v>14</v>
      </c>
      <c r="F6790">
        <v>240</v>
      </c>
      <c r="G6790">
        <v>74</v>
      </c>
      <c r="H6790">
        <v>0.18</v>
      </c>
      <c r="I6790" t="s">
        <v>15</v>
      </c>
      <c r="J6790">
        <v>46</v>
      </c>
      <c r="K6790">
        <v>0</v>
      </c>
      <c r="L6790">
        <v>0</v>
      </c>
      <c r="M6790">
        <f>VLOOKUP(Table1[[#This Row],[subscription_type]],Plans!$A$1:$B$5,2,FALSE)</f>
        <v>0</v>
      </c>
      <c r="N6790">
        <f t="shared" si="106"/>
        <v>0</v>
      </c>
    </row>
    <row r="6791" spans="1:14" x14ac:dyDescent="0.35">
      <c r="A6791">
        <v>6790</v>
      </c>
      <c r="B6791" t="s">
        <v>20</v>
      </c>
      <c r="C6791">
        <v>31</v>
      </c>
      <c r="D6791" t="s">
        <v>28</v>
      </c>
      <c r="E6791" t="s">
        <v>14</v>
      </c>
      <c r="F6791">
        <v>166</v>
      </c>
      <c r="G6791">
        <v>72</v>
      </c>
      <c r="H6791">
        <v>0.45</v>
      </c>
      <c r="I6791" t="s">
        <v>23</v>
      </c>
      <c r="J6791">
        <v>20</v>
      </c>
      <c r="K6791">
        <v>0</v>
      </c>
      <c r="L6791">
        <v>0</v>
      </c>
      <c r="M6791">
        <f>VLOOKUP(Table1[[#This Row],[subscription_type]],Plans!$A$1:$B$5,2,FALSE)</f>
        <v>0</v>
      </c>
      <c r="N6791">
        <f t="shared" si="106"/>
        <v>0</v>
      </c>
    </row>
    <row r="6792" spans="1:14" x14ac:dyDescent="0.35">
      <c r="A6792">
        <v>6791</v>
      </c>
      <c r="B6792" t="s">
        <v>12</v>
      </c>
      <c r="C6792">
        <v>17</v>
      </c>
      <c r="D6792" t="s">
        <v>21</v>
      </c>
      <c r="E6792" t="s">
        <v>24</v>
      </c>
      <c r="F6792">
        <v>119</v>
      </c>
      <c r="G6792">
        <v>35</v>
      </c>
      <c r="H6792">
        <v>0.11</v>
      </c>
      <c r="I6792" t="s">
        <v>15</v>
      </c>
      <c r="J6792">
        <v>0</v>
      </c>
      <c r="K6792">
        <v>1</v>
      </c>
      <c r="L6792">
        <v>0</v>
      </c>
      <c r="M6792">
        <f>VLOOKUP(Table1[[#This Row],[subscription_type]],Plans!$A$1:$B$5,2,FALSE)</f>
        <v>4.99</v>
      </c>
      <c r="N6792">
        <f t="shared" si="106"/>
        <v>0</v>
      </c>
    </row>
    <row r="6793" spans="1:14" x14ac:dyDescent="0.35">
      <c r="A6793">
        <v>6792</v>
      </c>
      <c r="B6793" t="s">
        <v>16</v>
      </c>
      <c r="C6793">
        <v>30</v>
      </c>
      <c r="D6793" t="s">
        <v>27</v>
      </c>
      <c r="E6793" t="s">
        <v>14</v>
      </c>
      <c r="F6793">
        <v>183</v>
      </c>
      <c r="G6793">
        <v>61</v>
      </c>
      <c r="H6793">
        <v>0.32</v>
      </c>
      <c r="I6793" t="s">
        <v>15</v>
      </c>
      <c r="J6793">
        <v>36</v>
      </c>
      <c r="K6793">
        <v>0</v>
      </c>
      <c r="L6793">
        <v>0</v>
      </c>
      <c r="M6793">
        <f>VLOOKUP(Table1[[#This Row],[subscription_type]],Plans!$A$1:$B$5,2,FALSE)</f>
        <v>0</v>
      </c>
      <c r="N6793">
        <f t="shared" si="106"/>
        <v>0</v>
      </c>
    </row>
    <row r="6794" spans="1:14" x14ac:dyDescent="0.35">
      <c r="A6794">
        <v>6793</v>
      </c>
      <c r="B6794" t="s">
        <v>16</v>
      </c>
      <c r="C6794">
        <v>35</v>
      </c>
      <c r="D6794" t="s">
        <v>21</v>
      </c>
      <c r="E6794" t="s">
        <v>14</v>
      </c>
      <c r="F6794">
        <v>55</v>
      </c>
      <c r="G6794">
        <v>51</v>
      </c>
      <c r="H6794">
        <v>0.16</v>
      </c>
      <c r="I6794" t="s">
        <v>23</v>
      </c>
      <c r="J6794">
        <v>12</v>
      </c>
      <c r="K6794">
        <v>0</v>
      </c>
      <c r="L6794">
        <v>0</v>
      </c>
      <c r="M6794">
        <f>VLOOKUP(Table1[[#This Row],[subscription_type]],Plans!$A$1:$B$5,2,FALSE)</f>
        <v>0</v>
      </c>
      <c r="N6794">
        <f t="shared" si="106"/>
        <v>0</v>
      </c>
    </row>
    <row r="6795" spans="1:14" x14ac:dyDescent="0.35">
      <c r="A6795">
        <v>6794</v>
      </c>
      <c r="B6795" t="s">
        <v>20</v>
      </c>
      <c r="C6795">
        <v>56</v>
      </c>
      <c r="D6795" t="s">
        <v>28</v>
      </c>
      <c r="E6795" t="s">
        <v>22</v>
      </c>
      <c r="F6795">
        <v>280</v>
      </c>
      <c r="G6795">
        <v>4</v>
      </c>
      <c r="H6795">
        <v>0.14000000000000001</v>
      </c>
      <c r="I6795" t="s">
        <v>15</v>
      </c>
      <c r="J6795">
        <v>0</v>
      </c>
      <c r="K6795">
        <v>1</v>
      </c>
      <c r="L6795">
        <v>0</v>
      </c>
      <c r="M6795">
        <f>VLOOKUP(Table1[[#This Row],[subscription_type]],Plans!$A$1:$B$5,2,FALSE)</f>
        <v>9.99</v>
      </c>
      <c r="N6795">
        <f t="shared" si="106"/>
        <v>0</v>
      </c>
    </row>
    <row r="6796" spans="1:14" x14ac:dyDescent="0.35">
      <c r="A6796">
        <v>6795</v>
      </c>
      <c r="B6796" t="s">
        <v>16</v>
      </c>
      <c r="C6796">
        <v>46</v>
      </c>
      <c r="D6796" t="s">
        <v>26</v>
      </c>
      <c r="E6796" t="s">
        <v>18</v>
      </c>
      <c r="F6796">
        <v>283</v>
      </c>
      <c r="G6796">
        <v>33</v>
      </c>
      <c r="H6796">
        <v>0.4</v>
      </c>
      <c r="I6796" t="s">
        <v>15</v>
      </c>
      <c r="J6796">
        <v>0</v>
      </c>
      <c r="K6796">
        <v>1</v>
      </c>
      <c r="L6796">
        <v>0</v>
      </c>
      <c r="M6796">
        <f>VLOOKUP(Table1[[#This Row],[subscription_type]],Plans!$A$1:$B$5,2,FALSE)</f>
        <v>14.99</v>
      </c>
      <c r="N6796">
        <f t="shared" si="106"/>
        <v>0</v>
      </c>
    </row>
    <row r="6797" spans="1:14" x14ac:dyDescent="0.35">
      <c r="A6797">
        <v>6796</v>
      </c>
      <c r="B6797" t="s">
        <v>16</v>
      </c>
      <c r="C6797">
        <v>27</v>
      </c>
      <c r="D6797" t="s">
        <v>13</v>
      </c>
      <c r="E6797" t="s">
        <v>18</v>
      </c>
      <c r="F6797">
        <v>261</v>
      </c>
      <c r="G6797">
        <v>74</v>
      </c>
      <c r="H6797">
        <v>0.09</v>
      </c>
      <c r="I6797" t="s">
        <v>15</v>
      </c>
      <c r="J6797">
        <v>0</v>
      </c>
      <c r="K6797">
        <v>1</v>
      </c>
      <c r="L6797">
        <v>0</v>
      </c>
      <c r="M6797">
        <f>VLOOKUP(Table1[[#This Row],[subscription_type]],Plans!$A$1:$B$5,2,FALSE)</f>
        <v>14.99</v>
      </c>
      <c r="N6797">
        <f t="shared" si="106"/>
        <v>0</v>
      </c>
    </row>
    <row r="6798" spans="1:14" x14ac:dyDescent="0.35">
      <c r="A6798">
        <v>6797</v>
      </c>
      <c r="B6798" t="s">
        <v>12</v>
      </c>
      <c r="C6798">
        <v>31</v>
      </c>
      <c r="D6798" t="s">
        <v>21</v>
      </c>
      <c r="E6798" t="s">
        <v>18</v>
      </c>
      <c r="F6798">
        <v>205</v>
      </c>
      <c r="G6798">
        <v>53</v>
      </c>
      <c r="H6798">
        <v>0.13</v>
      </c>
      <c r="I6798" t="s">
        <v>19</v>
      </c>
      <c r="J6798">
        <v>0</v>
      </c>
      <c r="K6798">
        <v>1</v>
      </c>
      <c r="L6798">
        <v>1</v>
      </c>
      <c r="M6798">
        <f>VLOOKUP(Table1[[#This Row],[subscription_type]],Plans!$A$1:$B$5,2,FALSE)</f>
        <v>14.99</v>
      </c>
      <c r="N6798">
        <f t="shared" si="106"/>
        <v>14.99</v>
      </c>
    </row>
    <row r="6799" spans="1:14" x14ac:dyDescent="0.35">
      <c r="A6799">
        <v>6798</v>
      </c>
      <c r="B6799" t="s">
        <v>20</v>
      </c>
      <c r="C6799">
        <v>19</v>
      </c>
      <c r="D6799" t="s">
        <v>21</v>
      </c>
      <c r="E6799" t="s">
        <v>22</v>
      </c>
      <c r="F6799">
        <v>84</v>
      </c>
      <c r="G6799">
        <v>78</v>
      </c>
      <c r="H6799">
        <v>0.04</v>
      </c>
      <c r="I6799" t="s">
        <v>23</v>
      </c>
      <c r="J6799">
        <v>0</v>
      </c>
      <c r="K6799">
        <v>1</v>
      </c>
      <c r="L6799">
        <v>0</v>
      </c>
      <c r="M6799">
        <f>VLOOKUP(Table1[[#This Row],[subscription_type]],Plans!$A$1:$B$5,2,FALSE)</f>
        <v>9.99</v>
      </c>
      <c r="N6799">
        <f t="shared" si="106"/>
        <v>0</v>
      </c>
    </row>
    <row r="6800" spans="1:14" x14ac:dyDescent="0.35">
      <c r="A6800">
        <v>6799</v>
      </c>
      <c r="B6800" t="s">
        <v>12</v>
      </c>
      <c r="C6800">
        <v>40</v>
      </c>
      <c r="D6800" t="s">
        <v>28</v>
      </c>
      <c r="E6800" t="s">
        <v>24</v>
      </c>
      <c r="F6800">
        <v>167</v>
      </c>
      <c r="G6800">
        <v>81</v>
      </c>
      <c r="H6800">
        <v>0.53</v>
      </c>
      <c r="I6800" t="s">
        <v>23</v>
      </c>
      <c r="J6800">
        <v>0</v>
      </c>
      <c r="K6800">
        <v>1</v>
      </c>
      <c r="L6800">
        <v>0</v>
      </c>
      <c r="M6800">
        <f>VLOOKUP(Table1[[#This Row],[subscription_type]],Plans!$A$1:$B$5,2,FALSE)</f>
        <v>4.99</v>
      </c>
      <c r="N6800">
        <f t="shared" si="106"/>
        <v>0</v>
      </c>
    </row>
    <row r="6801" spans="1:14" x14ac:dyDescent="0.35">
      <c r="A6801">
        <v>6800</v>
      </c>
      <c r="B6801" t="s">
        <v>20</v>
      </c>
      <c r="C6801">
        <v>26</v>
      </c>
      <c r="D6801" t="s">
        <v>28</v>
      </c>
      <c r="E6801" t="s">
        <v>14</v>
      </c>
      <c r="F6801">
        <v>35</v>
      </c>
      <c r="G6801">
        <v>18</v>
      </c>
      <c r="H6801">
        <v>0.23</v>
      </c>
      <c r="I6801" t="s">
        <v>19</v>
      </c>
      <c r="J6801">
        <v>41</v>
      </c>
      <c r="K6801">
        <v>0</v>
      </c>
      <c r="L6801">
        <v>0</v>
      </c>
      <c r="M6801">
        <f>VLOOKUP(Table1[[#This Row],[subscription_type]],Plans!$A$1:$B$5,2,FALSE)</f>
        <v>0</v>
      </c>
      <c r="N6801">
        <f t="shared" si="106"/>
        <v>0</v>
      </c>
    </row>
    <row r="6802" spans="1:14" x14ac:dyDescent="0.35">
      <c r="A6802">
        <v>6801</v>
      </c>
      <c r="B6802" t="s">
        <v>12</v>
      </c>
      <c r="C6802">
        <v>42</v>
      </c>
      <c r="D6802" t="s">
        <v>28</v>
      </c>
      <c r="E6802" t="s">
        <v>24</v>
      </c>
      <c r="F6802">
        <v>73</v>
      </c>
      <c r="G6802">
        <v>32</v>
      </c>
      <c r="H6802">
        <v>0.25</v>
      </c>
      <c r="I6802" t="s">
        <v>15</v>
      </c>
      <c r="J6802">
        <v>0</v>
      </c>
      <c r="K6802">
        <v>1</v>
      </c>
      <c r="L6802">
        <v>1</v>
      </c>
      <c r="M6802">
        <f>VLOOKUP(Table1[[#This Row],[subscription_type]],Plans!$A$1:$B$5,2,FALSE)</f>
        <v>4.99</v>
      </c>
      <c r="N6802">
        <f t="shared" si="106"/>
        <v>4.99</v>
      </c>
    </row>
    <row r="6803" spans="1:14" x14ac:dyDescent="0.35">
      <c r="A6803">
        <v>6802</v>
      </c>
      <c r="B6803" t="s">
        <v>20</v>
      </c>
      <c r="C6803">
        <v>33</v>
      </c>
      <c r="D6803" t="s">
        <v>26</v>
      </c>
      <c r="E6803" t="s">
        <v>22</v>
      </c>
      <c r="F6803">
        <v>54</v>
      </c>
      <c r="G6803">
        <v>44</v>
      </c>
      <c r="H6803">
        <v>0.5</v>
      </c>
      <c r="I6803" t="s">
        <v>19</v>
      </c>
      <c r="J6803">
        <v>0</v>
      </c>
      <c r="K6803">
        <v>1</v>
      </c>
      <c r="L6803">
        <v>0</v>
      </c>
      <c r="M6803">
        <f>VLOOKUP(Table1[[#This Row],[subscription_type]],Plans!$A$1:$B$5,2,FALSE)</f>
        <v>9.99</v>
      </c>
      <c r="N6803">
        <f t="shared" si="106"/>
        <v>0</v>
      </c>
    </row>
    <row r="6804" spans="1:14" x14ac:dyDescent="0.35">
      <c r="A6804">
        <v>6803</v>
      </c>
      <c r="B6804" t="s">
        <v>16</v>
      </c>
      <c r="C6804">
        <v>59</v>
      </c>
      <c r="D6804" t="s">
        <v>21</v>
      </c>
      <c r="E6804" t="s">
        <v>22</v>
      </c>
      <c r="F6804">
        <v>106</v>
      </c>
      <c r="G6804">
        <v>37</v>
      </c>
      <c r="H6804">
        <v>0.53</v>
      </c>
      <c r="I6804" t="s">
        <v>23</v>
      </c>
      <c r="J6804">
        <v>0</v>
      </c>
      <c r="K6804">
        <v>1</v>
      </c>
      <c r="L6804">
        <v>0</v>
      </c>
      <c r="M6804">
        <f>VLOOKUP(Table1[[#This Row],[subscription_type]],Plans!$A$1:$B$5,2,FALSE)</f>
        <v>9.99</v>
      </c>
      <c r="N6804">
        <f t="shared" si="106"/>
        <v>0</v>
      </c>
    </row>
    <row r="6805" spans="1:14" x14ac:dyDescent="0.35">
      <c r="A6805">
        <v>6804</v>
      </c>
      <c r="B6805" t="s">
        <v>20</v>
      </c>
      <c r="C6805">
        <v>41</v>
      </c>
      <c r="D6805" t="s">
        <v>13</v>
      </c>
      <c r="E6805" t="s">
        <v>18</v>
      </c>
      <c r="F6805">
        <v>140</v>
      </c>
      <c r="G6805">
        <v>82</v>
      </c>
      <c r="H6805">
        <v>0.43</v>
      </c>
      <c r="I6805" t="s">
        <v>23</v>
      </c>
      <c r="J6805">
        <v>0</v>
      </c>
      <c r="K6805">
        <v>1</v>
      </c>
      <c r="L6805">
        <v>1</v>
      </c>
      <c r="M6805">
        <f>VLOOKUP(Table1[[#This Row],[subscription_type]],Plans!$A$1:$B$5,2,FALSE)</f>
        <v>14.99</v>
      </c>
      <c r="N6805">
        <f t="shared" si="106"/>
        <v>14.99</v>
      </c>
    </row>
    <row r="6806" spans="1:14" x14ac:dyDescent="0.35">
      <c r="A6806">
        <v>6805</v>
      </c>
      <c r="B6806" t="s">
        <v>16</v>
      </c>
      <c r="C6806">
        <v>31</v>
      </c>
      <c r="D6806" t="s">
        <v>13</v>
      </c>
      <c r="E6806" t="s">
        <v>18</v>
      </c>
      <c r="F6806">
        <v>200</v>
      </c>
      <c r="G6806">
        <v>24</v>
      </c>
      <c r="H6806">
        <v>0.15</v>
      </c>
      <c r="I6806" t="s">
        <v>15</v>
      </c>
      <c r="J6806">
        <v>0</v>
      </c>
      <c r="K6806">
        <v>1</v>
      </c>
      <c r="L6806">
        <v>0</v>
      </c>
      <c r="M6806">
        <f>VLOOKUP(Table1[[#This Row],[subscription_type]],Plans!$A$1:$B$5,2,FALSE)</f>
        <v>14.99</v>
      </c>
      <c r="N6806">
        <f t="shared" si="106"/>
        <v>0</v>
      </c>
    </row>
    <row r="6807" spans="1:14" x14ac:dyDescent="0.35">
      <c r="A6807">
        <v>6806</v>
      </c>
      <c r="B6807" t="s">
        <v>20</v>
      </c>
      <c r="C6807">
        <v>31</v>
      </c>
      <c r="D6807" t="s">
        <v>27</v>
      </c>
      <c r="E6807" t="s">
        <v>18</v>
      </c>
      <c r="F6807">
        <v>274</v>
      </c>
      <c r="G6807">
        <v>36</v>
      </c>
      <c r="H6807">
        <v>0.13</v>
      </c>
      <c r="I6807" t="s">
        <v>15</v>
      </c>
      <c r="J6807">
        <v>0</v>
      </c>
      <c r="K6807">
        <v>1</v>
      </c>
      <c r="L6807">
        <v>0</v>
      </c>
      <c r="M6807">
        <f>VLOOKUP(Table1[[#This Row],[subscription_type]],Plans!$A$1:$B$5,2,FALSE)</f>
        <v>14.99</v>
      </c>
      <c r="N6807">
        <f t="shared" si="106"/>
        <v>0</v>
      </c>
    </row>
    <row r="6808" spans="1:14" x14ac:dyDescent="0.35">
      <c r="A6808">
        <v>6807</v>
      </c>
      <c r="B6808" t="s">
        <v>20</v>
      </c>
      <c r="C6808">
        <v>43</v>
      </c>
      <c r="D6808" t="s">
        <v>27</v>
      </c>
      <c r="E6808" t="s">
        <v>22</v>
      </c>
      <c r="F6808">
        <v>75</v>
      </c>
      <c r="G6808">
        <v>43</v>
      </c>
      <c r="H6808">
        <v>0.56999999999999995</v>
      </c>
      <c r="I6808" t="s">
        <v>15</v>
      </c>
      <c r="J6808">
        <v>0</v>
      </c>
      <c r="K6808">
        <v>1</v>
      </c>
      <c r="L6808">
        <v>1</v>
      </c>
      <c r="M6808">
        <f>VLOOKUP(Table1[[#This Row],[subscription_type]],Plans!$A$1:$B$5,2,FALSE)</f>
        <v>9.99</v>
      </c>
      <c r="N6808">
        <f t="shared" si="106"/>
        <v>9.99</v>
      </c>
    </row>
    <row r="6809" spans="1:14" x14ac:dyDescent="0.35">
      <c r="A6809">
        <v>6808</v>
      </c>
      <c r="B6809" t="s">
        <v>12</v>
      </c>
      <c r="C6809">
        <v>51</v>
      </c>
      <c r="D6809" t="s">
        <v>29</v>
      </c>
      <c r="E6809" t="s">
        <v>22</v>
      </c>
      <c r="F6809">
        <v>166</v>
      </c>
      <c r="G6809">
        <v>77</v>
      </c>
      <c r="H6809">
        <v>0.28999999999999998</v>
      </c>
      <c r="I6809" t="s">
        <v>19</v>
      </c>
      <c r="J6809">
        <v>0</v>
      </c>
      <c r="K6809">
        <v>1</v>
      </c>
      <c r="L6809">
        <v>0</v>
      </c>
      <c r="M6809">
        <f>VLOOKUP(Table1[[#This Row],[subscription_type]],Plans!$A$1:$B$5,2,FALSE)</f>
        <v>9.99</v>
      </c>
      <c r="N6809">
        <f t="shared" si="106"/>
        <v>0</v>
      </c>
    </row>
    <row r="6810" spans="1:14" x14ac:dyDescent="0.35">
      <c r="A6810">
        <v>6809</v>
      </c>
      <c r="B6810" t="s">
        <v>12</v>
      </c>
      <c r="C6810">
        <v>45</v>
      </c>
      <c r="D6810" t="s">
        <v>21</v>
      </c>
      <c r="E6810" t="s">
        <v>22</v>
      </c>
      <c r="F6810">
        <v>203</v>
      </c>
      <c r="G6810">
        <v>88</v>
      </c>
      <c r="H6810">
        <v>0.33</v>
      </c>
      <c r="I6810" t="s">
        <v>23</v>
      </c>
      <c r="J6810">
        <v>0</v>
      </c>
      <c r="K6810">
        <v>1</v>
      </c>
      <c r="L6810">
        <v>0</v>
      </c>
      <c r="M6810">
        <f>VLOOKUP(Table1[[#This Row],[subscription_type]],Plans!$A$1:$B$5,2,FALSE)</f>
        <v>9.99</v>
      </c>
      <c r="N6810">
        <f t="shared" si="106"/>
        <v>0</v>
      </c>
    </row>
    <row r="6811" spans="1:14" x14ac:dyDescent="0.35">
      <c r="A6811">
        <v>6810</v>
      </c>
      <c r="B6811" t="s">
        <v>12</v>
      </c>
      <c r="C6811">
        <v>35</v>
      </c>
      <c r="D6811" t="s">
        <v>29</v>
      </c>
      <c r="E6811" t="s">
        <v>18</v>
      </c>
      <c r="F6811">
        <v>18</v>
      </c>
      <c r="G6811">
        <v>35</v>
      </c>
      <c r="H6811">
        <v>0.19</v>
      </c>
      <c r="I6811" t="s">
        <v>15</v>
      </c>
      <c r="J6811">
        <v>0</v>
      </c>
      <c r="K6811">
        <v>1</v>
      </c>
      <c r="L6811">
        <v>0</v>
      </c>
      <c r="M6811">
        <f>VLOOKUP(Table1[[#This Row],[subscription_type]],Plans!$A$1:$B$5,2,FALSE)</f>
        <v>14.99</v>
      </c>
      <c r="N6811">
        <f t="shared" si="106"/>
        <v>0</v>
      </c>
    </row>
    <row r="6812" spans="1:14" x14ac:dyDescent="0.35">
      <c r="A6812">
        <v>6811</v>
      </c>
      <c r="B6812" t="s">
        <v>12</v>
      </c>
      <c r="C6812">
        <v>17</v>
      </c>
      <c r="D6812" t="s">
        <v>21</v>
      </c>
      <c r="E6812" t="s">
        <v>18</v>
      </c>
      <c r="F6812">
        <v>127</v>
      </c>
      <c r="G6812">
        <v>75</v>
      </c>
      <c r="H6812">
        <v>0.09</v>
      </c>
      <c r="I6812" t="s">
        <v>23</v>
      </c>
      <c r="J6812">
        <v>0</v>
      </c>
      <c r="K6812">
        <v>1</v>
      </c>
      <c r="L6812">
        <v>1</v>
      </c>
      <c r="M6812">
        <f>VLOOKUP(Table1[[#This Row],[subscription_type]],Plans!$A$1:$B$5,2,FALSE)</f>
        <v>14.99</v>
      </c>
      <c r="N6812">
        <f t="shared" si="106"/>
        <v>14.99</v>
      </c>
    </row>
    <row r="6813" spans="1:14" x14ac:dyDescent="0.35">
      <c r="A6813">
        <v>6812</v>
      </c>
      <c r="B6813" t="s">
        <v>20</v>
      </c>
      <c r="C6813">
        <v>32</v>
      </c>
      <c r="D6813" t="s">
        <v>28</v>
      </c>
      <c r="E6813" t="s">
        <v>24</v>
      </c>
      <c r="F6813">
        <v>198</v>
      </c>
      <c r="G6813">
        <v>5</v>
      </c>
      <c r="H6813">
        <v>0.21</v>
      </c>
      <c r="I6813" t="s">
        <v>23</v>
      </c>
      <c r="J6813">
        <v>0</v>
      </c>
      <c r="K6813">
        <v>1</v>
      </c>
      <c r="L6813">
        <v>0</v>
      </c>
      <c r="M6813">
        <f>VLOOKUP(Table1[[#This Row],[subscription_type]],Plans!$A$1:$B$5,2,FALSE)</f>
        <v>4.99</v>
      </c>
      <c r="N6813">
        <f t="shared" si="106"/>
        <v>0</v>
      </c>
    </row>
    <row r="6814" spans="1:14" x14ac:dyDescent="0.35">
      <c r="A6814">
        <v>6813</v>
      </c>
      <c r="B6814" t="s">
        <v>16</v>
      </c>
      <c r="C6814">
        <v>21</v>
      </c>
      <c r="D6814" t="s">
        <v>29</v>
      </c>
      <c r="E6814" t="s">
        <v>22</v>
      </c>
      <c r="F6814">
        <v>265</v>
      </c>
      <c r="G6814">
        <v>68</v>
      </c>
      <c r="H6814">
        <v>0.56999999999999995</v>
      </c>
      <c r="I6814" t="s">
        <v>15</v>
      </c>
      <c r="J6814">
        <v>0</v>
      </c>
      <c r="K6814">
        <v>1</v>
      </c>
      <c r="L6814">
        <v>0</v>
      </c>
      <c r="M6814">
        <f>VLOOKUP(Table1[[#This Row],[subscription_type]],Plans!$A$1:$B$5,2,FALSE)</f>
        <v>9.99</v>
      </c>
      <c r="N6814">
        <f t="shared" si="106"/>
        <v>0</v>
      </c>
    </row>
    <row r="6815" spans="1:14" x14ac:dyDescent="0.35">
      <c r="A6815">
        <v>6814</v>
      </c>
      <c r="B6815" t="s">
        <v>20</v>
      </c>
      <c r="C6815">
        <v>37</v>
      </c>
      <c r="D6815" t="s">
        <v>26</v>
      </c>
      <c r="E6815" t="s">
        <v>24</v>
      </c>
      <c r="F6815">
        <v>119</v>
      </c>
      <c r="G6815">
        <v>57</v>
      </c>
      <c r="H6815">
        <v>0.1</v>
      </c>
      <c r="I6815" t="s">
        <v>19</v>
      </c>
      <c r="J6815">
        <v>0</v>
      </c>
      <c r="K6815">
        <v>1</v>
      </c>
      <c r="L6815">
        <v>0</v>
      </c>
      <c r="M6815">
        <f>VLOOKUP(Table1[[#This Row],[subscription_type]],Plans!$A$1:$B$5,2,FALSE)</f>
        <v>4.99</v>
      </c>
      <c r="N6815">
        <f t="shared" si="106"/>
        <v>0</v>
      </c>
    </row>
    <row r="6816" spans="1:14" x14ac:dyDescent="0.35">
      <c r="A6816">
        <v>6815</v>
      </c>
      <c r="B6816" t="s">
        <v>12</v>
      </c>
      <c r="C6816">
        <v>25</v>
      </c>
      <c r="D6816" t="s">
        <v>21</v>
      </c>
      <c r="E6816" t="s">
        <v>24</v>
      </c>
      <c r="F6816">
        <v>55</v>
      </c>
      <c r="G6816">
        <v>93</v>
      </c>
      <c r="H6816">
        <v>0.57999999999999996</v>
      </c>
      <c r="I6816" t="s">
        <v>23</v>
      </c>
      <c r="J6816">
        <v>0</v>
      </c>
      <c r="K6816">
        <v>1</v>
      </c>
      <c r="L6816">
        <v>0</v>
      </c>
      <c r="M6816">
        <f>VLOOKUP(Table1[[#This Row],[subscription_type]],Plans!$A$1:$B$5,2,FALSE)</f>
        <v>4.99</v>
      </c>
      <c r="N6816">
        <f t="shared" si="106"/>
        <v>0</v>
      </c>
    </row>
    <row r="6817" spans="1:14" x14ac:dyDescent="0.35">
      <c r="A6817">
        <v>6816</v>
      </c>
      <c r="B6817" t="s">
        <v>16</v>
      </c>
      <c r="C6817">
        <v>56</v>
      </c>
      <c r="D6817" t="s">
        <v>28</v>
      </c>
      <c r="E6817" t="s">
        <v>14</v>
      </c>
      <c r="F6817">
        <v>298</v>
      </c>
      <c r="G6817">
        <v>74</v>
      </c>
      <c r="H6817">
        <v>0.41</v>
      </c>
      <c r="I6817" t="s">
        <v>19</v>
      </c>
      <c r="J6817">
        <v>12</v>
      </c>
      <c r="K6817">
        <v>0</v>
      </c>
      <c r="L6817">
        <v>0</v>
      </c>
      <c r="M6817">
        <f>VLOOKUP(Table1[[#This Row],[subscription_type]],Plans!$A$1:$B$5,2,FALSE)</f>
        <v>0</v>
      </c>
      <c r="N6817">
        <f t="shared" si="106"/>
        <v>0</v>
      </c>
    </row>
    <row r="6818" spans="1:14" x14ac:dyDescent="0.35">
      <c r="A6818">
        <v>6817</v>
      </c>
      <c r="B6818" t="s">
        <v>16</v>
      </c>
      <c r="C6818">
        <v>37</v>
      </c>
      <c r="D6818" t="s">
        <v>29</v>
      </c>
      <c r="E6818" t="s">
        <v>22</v>
      </c>
      <c r="F6818">
        <v>189</v>
      </c>
      <c r="G6818">
        <v>30</v>
      </c>
      <c r="H6818">
        <v>0.53</v>
      </c>
      <c r="I6818" t="s">
        <v>23</v>
      </c>
      <c r="J6818">
        <v>0</v>
      </c>
      <c r="K6818">
        <v>1</v>
      </c>
      <c r="L6818">
        <v>1</v>
      </c>
      <c r="M6818">
        <f>VLOOKUP(Table1[[#This Row],[subscription_type]],Plans!$A$1:$B$5,2,FALSE)</f>
        <v>9.99</v>
      </c>
      <c r="N6818">
        <f t="shared" si="106"/>
        <v>9.99</v>
      </c>
    </row>
    <row r="6819" spans="1:14" x14ac:dyDescent="0.35">
      <c r="A6819">
        <v>6818</v>
      </c>
      <c r="B6819" t="s">
        <v>20</v>
      </c>
      <c r="C6819">
        <v>31</v>
      </c>
      <c r="D6819" t="s">
        <v>13</v>
      </c>
      <c r="E6819" t="s">
        <v>14</v>
      </c>
      <c r="F6819">
        <v>139</v>
      </c>
      <c r="G6819">
        <v>65</v>
      </c>
      <c r="H6819">
        <v>0.56000000000000005</v>
      </c>
      <c r="I6819" t="s">
        <v>23</v>
      </c>
      <c r="J6819">
        <v>9</v>
      </c>
      <c r="K6819">
        <v>0</v>
      </c>
      <c r="L6819">
        <v>0</v>
      </c>
      <c r="M6819">
        <f>VLOOKUP(Table1[[#This Row],[subscription_type]],Plans!$A$1:$B$5,2,FALSE)</f>
        <v>0</v>
      </c>
      <c r="N6819">
        <f t="shared" si="106"/>
        <v>0</v>
      </c>
    </row>
    <row r="6820" spans="1:14" x14ac:dyDescent="0.35">
      <c r="A6820">
        <v>6819</v>
      </c>
      <c r="B6820" t="s">
        <v>16</v>
      </c>
      <c r="C6820">
        <v>23</v>
      </c>
      <c r="D6820" t="s">
        <v>25</v>
      </c>
      <c r="E6820" t="s">
        <v>24</v>
      </c>
      <c r="F6820">
        <v>167</v>
      </c>
      <c r="G6820">
        <v>91</v>
      </c>
      <c r="H6820">
        <v>0.22</v>
      </c>
      <c r="I6820" t="s">
        <v>23</v>
      </c>
      <c r="J6820">
        <v>0</v>
      </c>
      <c r="K6820">
        <v>1</v>
      </c>
      <c r="L6820">
        <v>1</v>
      </c>
      <c r="M6820">
        <f>VLOOKUP(Table1[[#This Row],[subscription_type]],Plans!$A$1:$B$5,2,FALSE)</f>
        <v>4.99</v>
      </c>
      <c r="N6820">
        <f t="shared" si="106"/>
        <v>4.99</v>
      </c>
    </row>
    <row r="6821" spans="1:14" x14ac:dyDescent="0.35">
      <c r="A6821">
        <v>6820</v>
      </c>
      <c r="B6821" t="s">
        <v>16</v>
      </c>
      <c r="C6821">
        <v>31</v>
      </c>
      <c r="D6821" t="s">
        <v>25</v>
      </c>
      <c r="E6821" t="s">
        <v>14</v>
      </c>
      <c r="F6821">
        <v>19</v>
      </c>
      <c r="G6821">
        <v>27</v>
      </c>
      <c r="H6821">
        <v>0.53</v>
      </c>
      <c r="I6821" t="s">
        <v>23</v>
      </c>
      <c r="J6821">
        <v>16</v>
      </c>
      <c r="K6821">
        <v>0</v>
      </c>
      <c r="L6821">
        <v>0</v>
      </c>
      <c r="M6821">
        <f>VLOOKUP(Table1[[#This Row],[subscription_type]],Plans!$A$1:$B$5,2,FALSE)</f>
        <v>0</v>
      </c>
      <c r="N6821">
        <f t="shared" si="106"/>
        <v>0</v>
      </c>
    </row>
    <row r="6822" spans="1:14" x14ac:dyDescent="0.35">
      <c r="A6822">
        <v>6821</v>
      </c>
      <c r="B6822" t="s">
        <v>20</v>
      </c>
      <c r="C6822">
        <v>58</v>
      </c>
      <c r="D6822" t="s">
        <v>21</v>
      </c>
      <c r="E6822" t="s">
        <v>24</v>
      </c>
      <c r="F6822">
        <v>298</v>
      </c>
      <c r="G6822">
        <v>82</v>
      </c>
      <c r="H6822">
        <v>0.36</v>
      </c>
      <c r="I6822" t="s">
        <v>15</v>
      </c>
      <c r="J6822">
        <v>0</v>
      </c>
      <c r="K6822">
        <v>1</v>
      </c>
      <c r="L6822">
        <v>0</v>
      </c>
      <c r="M6822">
        <f>VLOOKUP(Table1[[#This Row],[subscription_type]],Plans!$A$1:$B$5,2,FALSE)</f>
        <v>4.99</v>
      </c>
      <c r="N6822">
        <f t="shared" si="106"/>
        <v>0</v>
      </c>
    </row>
    <row r="6823" spans="1:14" x14ac:dyDescent="0.35">
      <c r="A6823">
        <v>6822</v>
      </c>
      <c r="B6823" t="s">
        <v>16</v>
      </c>
      <c r="C6823">
        <v>43</v>
      </c>
      <c r="D6823" t="s">
        <v>26</v>
      </c>
      <c r="E6823" t="s">
        <v>22</v>
      </c>
      <c r="F6823">
        <v>54</v>
      </c>
      <c r="G6823">
        <v>36</v>
      </c>
      <c r="H6823">
        <v>0.3</v>
      </c>
      <c r="I6823" t="s">
        <v>15</v>
      </c>
      <c r="J6823">
        <v>0</v>
      </c>
      <c r="K6823">
        <v>1</v>
      </c>
      <c r="L6823">
        <v>0</v>
      </c>
      <c r="M6823">
        <f>VLOOKUP(Table1[[#This Row],[subscription_type]],Plans!$A$1:$B$5,2,FALSE)</f>
        <v>9.99</v>
      </c>
      <c r="N6823">
        <f t="shared" si="106"/>
        <v>0</v>
      </c>
    </row>
    <row r="6824" spans="1:14" x14ac:dyDescent="0.35">
      <c r="A6824">
        <v>6823</v>
      </c>
      <c r="B6824" t="s">
        <v>20</v>
      </c>
      <c r="C6824">
        <v>17</v>
      </c>
      <c r="D6824" t="s">
        <v>21</v>
      </c>
      <c r="E6824" t="s">
        <v>14</v>
      </c>
      <c r="F6824">
        <v>89</v>
      </c>
      <c r="G6824">
        <v>15</v>
      </c>
      <c r="H6824">
        <v>0.19</v>
      </c>
      <c r="I6824" t="s">
        <v>23</v>
      </c>
      <c r="J6824">
        <v>40</v>
      </c>
      <c r="K6824">
        <v>0</v>
      </c>
      <c r="L6824">
        <v>1</v>
      </c>
      <c r="M6824">
        <f>VLOOKUP(Table1[[#This Row],[subscription_type]],Plans!$A$1:$B$5,2,FALSE)</f>
        <v>0</v>
      </c>
      <c r="N6824">
        <f t="shared" si="106"/>
        <v>0</v>
      </c>
    </row>
    <row r="6825" spans="1:14" x14ac:dyDescent="0.35">
      <c r="A6825">
        <v>6824</v>
      </c>
      <c r="B6825" t="s">
        <v>12</v>
      </c>
      <c r="C6825">
        <v>33</v>
      </c>
      <c r="D6825" t="s">
        <v>27</v>
      </c>
      <c r="E6825" t="s">
        <v>22</v>
      </c>
      <c r="F6825">
        <v>57</v>
      </c>
      <c r="G6825">
        <v>16</v>
      </c>
      <c r="H6825">
        <v>0.08</v>
      </c>
      <c r="I6825" t="s">
        <v>19</v>
      </c>
      <c r="J6825">
        <v>0</v>
      </c>
      <c r="K6825">
        <v>1</v>
      </c>
      <c r="L6825">
        <v>0</v>
      </c>
      <c r="M6825">
        <f>VLOOKUP(Table1[[#This Row],[subscription_type]],Plans!$A$1:$B$5,2,FALSE)</f>
        <v>9.99</v>
      </c>
      <c r="N6825">
        <f t="shared" si="106"/>
        <v>0</v>
      </c>
    </row>
    <row r="6826" spans="1:14" x14ac:dyDescent="0.35">
      <c r="A6826">
        <v>6825</v>
      </c>
      <c r="B6826" t="s">
        <v>16</v>
      </c>
      <c r="C6826">
        <v>32</v>
      </c>
      <c r="D6826" t="s">
        <v>26</v>
      </c>
      <c r="E6826" t="s">
        <v>18</v>
      </c>
      <c r="F6826">
        <v>105</v>
      </c>
      <c r="G6826">
        <v>17</v>
      </c>
      <c r="H6826">
        <v>0.17</v>
      </c>
      <c r="I6826" t="s">
        <v>19</v>
      </c>
      <c r="J6826">
        <v>0</v>
      </c>
      <c r="K6826">
        <v>1</v>
      </c>
      <c r="L6826">
        <v>0</v>
      </c>
      <c r="M6826">
        <f>VLOOKUP(Table1[[#This Row],[subscription_type]],Plans!$A$1:$B$5,2,FALSE)</f>
        <v>14.99</v>
      </c>
      <c r="N6826">
        <f t="shared" si="106"/>
        <v>0</v>
      </c>
    </row>
    <row r="6827" spans="1:14" x14ac:dyDescent="0.35">
      <c r="A6827">
        <v>6826</v>
      </c>
      <c r="B6827" t="s">
        <v>12</v>
      </c>
      <c r="C6827">
        <v>19</v>
      </c>
      <c r="D6827" t="s">
        <v>28</v>
      </c>
      <c r="E6827" t="s">
        <v>22</v>
      </c>
      <c r="F6827">
        <v>85</v>
      </c>
      <c r="G6827">
        <v>65</v>
      </c>
      <c r="H6827">
        <v>0.01</v>
      </c>
      <c r="I6827" t="s">
        <v>15</v>
      </c>
      <c r="J6827">
        <v>0</v>
      </c>
      <c r="K6827">
        <v>1</v>
      </c>
      <c r="L6827">
        <v>0</v>
      </c>
      <c r="M6827">
        <f>VLOOKUP(Table1[[#This Row],[subscription_type]],Plans!$A$1:$B$5,2,FALSE)</f>
        <v>9.99</v>
      </c>
      <c r="N6827">
        <f t="shared" si="106"/>
        <v>0</v>
      </c>
    </row>
    <row r="6828" spans="1:14" x14ac:dyDescent="0.35">
      <c r="A6828">
        <v>6827</v>
      </c>
      <c r="B6828" t="s">
        <v>12</v>
      </c>
      <c r="C6828">
        <v>47</v>
      </c>
      <c r="D6828" t="s">
        <v>21</v>
      </c>
      <c r="E6828" t="s">
        <v>22</v>
      </c>
      <c r="F6828">
        <v>144</v>
      </c>
      <c r="G6828">
        <v>6</v>
      </c>
      <c r="H6828">
        <v>0.46</v>
      </c>
      <c r="I6828" t="s">
        <v>23</v>
      </c>
      <c r="J6828">
        <v>0</v>
      </c>
      <c r="K6828">
        <v>1</v>
      </c>
      <c r="L6828">
        <v>1</v>
      </c>
      <c r="M6828">
        <f>VLOOKUP(Table1[[#This Row],[subscription_type]],Plans!$A$1:$B$5,2,FALSE)</f>
        <v>9.99</v>
      </c>
      <c r="N6828">
        <f t="shared" si="106"/>
        <v>9.99</v>
      </c>
    </row>
    <row r="6829" spans="1:14" x14ac:dyDescent="0.35">
      <c r="A6829">
        <v>6828</v>
      </c>
      <c r="B6829" t="s">
        <v>20</v>
      </c>
      <c r="C6829">
        <v>44</v>
      </c>
      <c r="D6829" t="s">
        <v>21</v>
      </c>
      <c r="E6829" t="s">
        <v>14</v>
      </c>
      <c r="F6829">
        <v>24</v>
      </c>
      <c r="G6829">
        <v>95</v>
      </c>
      <c r="H6829">
        <v>0.15</v>
      </c>
      <c r="I6829" t="s">
        <v>23</v>
      </c>
      <c r="J6829">
        <v>7</v>
      </c>
      <c r="K6829">
        <v>0</v>
      </c>
      <c r="L6829">
        <v>0</v>
      </c>
      <c r="M6829">
        <f>VLOOKUP(Table1[[#This Row],[subscription_type]],Plans!$A$1:$B$5,2,FALSE)</f>
        <v>0</v>
      </c>
      <c r="N6829">
        <f t="shared" si="106"/>
        <v>0</v>
      </c>
    </row>
    <row r="6830" spans="1:14" x14ac:dyDescent="0.35">
      <c r="A6830">
        <v>6829</v>
      </c>
      <c r="B6830" t="s">
        <v>16</v>
      </c>
      <c r="C6830">
        <v>33</v>
      </c>
      <c r="D6830" t="s">
        <v>13</v>
      </c>
      <c r="E6830" t="s">
        <v>24</v>
      </c>
      <c r="F6830">
        <v>287</v>
      </c>
      <c r="G6830">
        <v>53</v>
      </c>
      <c r="H6830">
        <v>0.02</v>
      </c>
      <c r="I6830" t="s">
        <v>23</v>
      </c>
      <c r="J6830">
        <v>0</v>
      </c>
      <c r="K6830">
        <v>1</v>
      </c>
      <c r="L6830">
        <v>0</v>
      </c>
      <c r="M6830">
        <f>VLOOKUP(Table1[[#This Row],[subscription_type]],Plans!$A$1:$B$5,2,FALSE)</f>
        <v>4.99</v>
      </c>
      <c r="N6830">
        <f t="shared" si="106"/>
        <v>0</v>
      </c>
    </row>
    <row r="6831" spans="1:14" x14ac:dyDescent="0.35">
      <c r="A6831">
        <v>6830</v>
      </c>
      <c r="B6831" t="s">
        <v>16</v>
      </c>
      <c r="C6831">
        <v>34</v>
      </c>
      <c r="D6831" t="s">
        <v>26</v>
      </c>
      <c r="E6831" t="s">
        <v>24</v>
      </c>
      <c r="F6831">
        <v>32</v>
      </c>
      <c r="G6831">
        <v>36</v>
      </c>
      <c r="H6831">
        <v>0.48</v>
      </c>
      <c r="I6831" t="s">
        <v>15</v>
      </c>
      <c r="J6831">
        <v>0</v>
      </c>
      <c r="K6831">
        <v>1</v>
      </c>
      <c r="L6831">
        <v>0</v>
      </c>
      <c r="M6831">
        <f>VLOOKUP(Table1[[#This Row],[subscription_type]],Plans!$A$1:$B$5,2,FALSE)</f>
        <v>4.99</v>
      </c>
      <c r="N6831">
        <f t="shared" si="106"/>
        <v>0</v>
      </c>
    </row>
    <row r="6832" spans="1:14" x14ac:dyDescent="0.35">
      <c r="A6832">
        <v>6831</v>
      </c>
      <c r="B6832" t="s">
        <v>20</v>
      </c>
      <c r="C6832">
        <v>19</v>
      </c>
      <c r="D6832" t="s">
        <v>13</v>
      </c>
      <c r="E6832" t="s">
        <v>22</v>
      </c>
      <c r="F6832">
        <v>286</v>
      </c>
      <c r="G6832">
        <v>26</v>
      </c>
      <c r="H6832">
        <v>0.08</v>
      </c>
      <c r="I6832" t="s">
        <v>15</v>
      </c>
      <c r="J6832">
        <v>0</v>
      </c>
      <c r="K6832">
        <v>1</v>
      </c>
      <c r="L6832">
        <v>0</v>
      </c>
      <c r="M6832">
        <f>VLOOKUP(Table1[[#This Row],[subscription_type]],Plans!$A$1:$B$5,2,FALSE)</f>
        <v>9.99</v>
      </c>
      <c r="N6832">
        <f t="shared" si="106"/>
        <v>0</v>
      </c>
    </row>
    <row r="6833" spans="1:14" x14ac:dyDescent="0.35">
      <c r="A6833">
        <v>6832</v>
      </c>
      <c r="B6833" t="s">
        <v>12</v>
      </c>
      <c r="C6833">
        <v>47</v>
      </c>
      <c r="D6833" t="s">
        <v>13</v>
      </c>
      <c r="E6833" t="s">
        <v>18</v>
      </c>
      <c r="F6833">
        <v>54</v>
      </c>
      <c r="G6833">
        <v>53</v>
      </c>
      <c r="H6833">
        <v>0.19</v>
      </c>
      <c r="I6833" t="s">
        <v>15</v>
      </c>
      <c r="J6833">
        <v>0</v>
      </c>
      <c r="K6833">
        <v>1</v>
      </c>
      <c r="L6833">
        <v>0</v>
      </c>
      <c r="M6833">
        <f>VLOOKUP(Table1[[#This Row],[subscription_type]],Plans!$A$1:$B$5,2,FALSE)</f>
        <v>14.99</v>
      </c>
      <c r="N6833">
        <f t="shared" si="106"/>
        <v>0</v>
      </c>
    </row>
    <row r="6834" spans="1:14" x14ac:dyDescent="0.35">
      <c r="A6834">
        <v>6833</v>
      </c>
      <c r="B6834" t="s">
        <v>20</v>
      </c>
      <c r="C6834">
        <v>40</v>
      </c>
      <c r="D6834" t="s">
        <v>28</v>
      </c>
      <c r="E6834" t="s">
        <v>24</v>
      </c>
      <c r="F6834">
        <v>14</v>
      </c>
      <c r="G6834">
        <v>51</v>
      </c>
      <c r="H6834">
        <v>0.04</v>
      </c>
      <c r="I6834" t="s">
        <v>23</v>
      </c>
      <c r="J6834">
        <v>0</v>
      </c>
      <c r="K6834">
        <v>1</v>
      </c>
      <c r="L6834">
        <v>1</v>
      </c>
      <c r="M6834">
        <f>VLOOKUP(Table1[[#This Row],[subscription_type]],Plans!$A$1:$B$5,2,FALSE)</f>
        <v>4.99</v>
      </c>
      <c r="N6834">
        <f t="shared" si="106"/>
        <v>4.99</v>
      </c>
    </row>
    <row r="6835" spans="1:14" x14ac:dyDescent="0.35">
      <c r="A6835">
        <v>6834</v>
      </c>
      <c r="B6835" t="s">
        <v>20</v>
      </c>
      <c r="C6835">
        <v>59</v>
      </c>
      <c r="D6835" t="s">
        <v>28</v>
      </c>
      <c r="E6835" t="s">
        <v>22</v>
      </c>
      <c r="F6835">
        <v>195</v>
      </c>
      <c r="G6835">
        <v>67</v>
      </c>
      <c r="H6835">
        <v>0.56999999999999995</v>
      </c>
      <c r="I6835" t="s">
        <v>15</v>
      </c>
      <c r="J6835">
        <v>0</v>
      </c>
      <c r="K6835">
        <v>1</v>
      </c>
      <c r="L6835">
        <v>0</v>
      </c>
      <c r="M6835">
        <f>VLOOKUP(Table1[[#This Row],[subscription_type]],Plans!$A$1:$B$5,2,FALSE)</f>
        <v>9.99</v>
      </c>
      <c r="N6835">
        <f t="shared" si="106"/>
        <v>0</v>
      </c>
    </row>
    <row r="6836" spans="1:14" x14ac:dyDescent="0.35">
      <c r="A6836">
        <v>6835</v>
      </c>
      <c r="B6836" t="s">
        <v>12</v>
      </c>
      <c r="C6836">
        <v>44</v>
      </c>
      <c r="D6836" t="s">
        <v>21</v>
      </c>
      <c r="E6836" t="s">
        <v>18</v>
      </c>
      <c r="F6836">
        <v>274</v>
      </c>
      <c r="G6836">
        <v>49</v>
      </c>
      <c r="H6836">
        <v>0.43</v>
      </c>
      <c r="I6836" t="s">
        <v>15</v>
      </c>
      <c r="J6836">
        <v>0</v>
      </c>
      <c r="K6836">
        <v>1</v>
      </c>
      <c r="L6836">
        <v>0</v>
      </c>
      <c r="M6836">
        <f>VLOOKUP(Table1[[#This Row],[subscription_type]],Plans!$A$1:$B$5,2,FALSE)</f>
        <v>14.99</v>
      </c>
      <c r="N6836">
        <f t="shared" si="106"/>
        <v>0</v>
      </c>
    </row>
    <row r="6837" spans="1:14" x14ac:dyDescent="0.35">
      <c r="A6837">
        <v>6836</v>
      </c>
      <c r="B6837" t="s">
        <v>16</v>
      </c>
      <c r="C6837">
        <v>41</v>
      </c>
      <c r="D6837" t="s">
        <v>25</v>
      </c>
      <c r="E6837" t="s">
        <v>24</v>
      </c>
      <c r="F6837">
        <v>232</v>
      </c>
      <c r="G6837">
        <v>94</v>
      </c>
      <c r="H6837">
        <v>0.16</v>
      </c>
      <c r="I6837" t="s">
        <v>15</v>
      </c>
      <c r="J6837">
        <v>0</v>
      </c>
      <c r="K6837">
        <v>1</v>
      </c>
      <c r="L6837">
        <v>0</v>
      </c>
      <c r="M6837">
        <f>VLOOKUP(Table1[[#This Row],[subscription_type]],Plans!$A$1:$B$5,2,FALSE)</f>
        <v>4.99</v>
      </c>
      <c r="N6837">
        <f t="shared" si="106"/>
        <v>0</v>
      </c>
    </row>
    <row r="6838" spans="1:14" x14ac:dyDescent="0.35">
      <c r="A6838">
        <v>6837</v>
      </c>
      <c r="B6838" t="s">
        <v>16</v>
      </c>
      <c r="C6838">
        <v>19</v>
      </c>
      <c r="D6838" t="s">
        <v>26</v>
      </c>
      <c r="E6838" t="s">
        <v>14</v>
      </c>
      <c r="F6838">
        <v>102</v>
      </c>
      <c r="G6838">
        <v>34</v>
      </c>
      <c r="H6838">
        <v>0.36</v>
      </c>
      <c r="I6838" t="s">
        <v>15</v>
      </c>
      <c r="J6838">
        <v>43</v>
      </c>
      <c r="K6838">
        <v>0</v>
      </c>
      <c r="L6838">
        <v>0</v>
      </c>
      <c r="M6838">
        <f>VLOOKUP(Table1[[#This Row],[subscription_type]],Plans!$A$1:$B$5,2,FALSE)</f>
        <v>0</v>
      </c>
      <c r="N6838">
        <f t="shared" si="106"/>
        <v>0</v>
      </c>
    </row>
    <row r="6839" spans="1:14" x14ac:dyDescent="0.35">
      <c r="A6839">
        <v>6838</v>
      </c>
      <c r="B6839" t="s">
        <v>20</v>
      </c>
      <c r="C6839">
        <v>47</v>
      </c>
      <c r="D6839" t="s">
        <v>13</v>
      </c>
      <c r="E6839" t="s">
        <v>22</v>
      </c>
      <c r="F6839">
        <v>123</v>
      </c>
      <c r="G6839">
        <v>42</v>
      </c>
      <c r="H6839">
        <v>0.54</v>
      </c>
      <c r="I6839" t="s">
        <v>23</v>
      </c>
      <c r="J6839">
        <v>0</v>
      </c>
      <c r="K6839">
        <v>1</v>
      </c>
      <c r="L6839">
        <v>1</v>
      </c>
      <c r="M6839">
        <f>VLOOKUP(Table1[[#This Row],[subscription_type]],Plans!$A$1:$B$5,2,FALSE)</f>
        <v>9.99</v>
      </c>
      <c r="N6839">
        <f t="shared" si="106"/>
        <v>9.99</v>
      </c>
    </row>
    <row r="6840" spans="1:14" x14ac:dyDescent="0.35">
      <c r="A6840">
        <v>6839</v>
      </c>
      <c r="B6840" t="s">
        <v>12</v>
      </c>
      <c r="C6840">
        <v>34</v>
      </c>
      <c r="D6840" t="s">
        <v>25</v>
      </c>
      <c r="E6840" t="s">
        <v>14</v>
      </c>
      <c r="F6840">
        <v>171</v>
      </c>
      <c r="G6840">
        <v>94</v>
      </c>
      <c r="H6840">
        <v>0.03</v>
      </c>
      <c r="I6840" t="s">
        <v>19</v>
      </c>
      <c r="J6840">
        <v>24</v>
      </c>
      <c r="K6840">
        <v>0</v>
      </c>
      <c r="L6840">
        <v>0</v>
      </c>
      <c r="M6840">
        <f>VLOOKUP(Table1[[#This Row],[subscription_type]],Plans!$A$1:$B$5,2,FALSE)</f>
        <v>0</v>
      </c>
      <c r="N6840">
        <f t="shared" si="106"/>
        <v>0</v>
      </c>
    </row>
    <row r="6841" spans="1:14" x14ac:dyDescent="0.35">
      <c r="A6841">
        <v>6840</v>
      </c>
      <c r="B6841" t="s">
        <v>16</v>
      </c>
      <c r="C6841">
        <v>57</v>
      </c>
      <c r="D6841" t="s">
        <v>27</v>
      </c>
      <c r="E6841" t="s">
        <v>18</v>
      </c>
      <c r="F6841">
        <v>223</v>
      </c>
      <c r="G6841">
        <v>19</v>
      </c>
      <c r="H6841">
        <v>0.46</v>
      </c>
      <c r="I6841" t="s">
        <v>23</v>
      </c>
      <c r="J6841">
        <v>0</v>
      </c>
      <c r="K6841">
        <v>1</v>
      </c>
      <c r="L6841">
        <v>0</v>
      </c>
      <c r="M6841">
        <f>VLOOKUP(Table1[[#This Row],[subscription_type]],Plans!$A$1:$B$5,2,FALSE)</f>
        <v>14.99</v>
      </c>
      <c r="N6841">
        <f t="shared" si="106"/>
        <v>0</v>
      </c>
    </row>
    <row r="6842" spans="1:14" x14ac:dyDescent="0.35">
      <c r="A6842">
        <v>6841</v>
      </c>
      <c r="B6842" t="s">
        <v>16</v>
      </c>
      <c r="C6842">
        <v>42</v>
      </c>
      <c r="D6842" t="s">
        <v>27</v>
      </c>
      <c r="E6842" t="s">
        <v>24</v>
      </c>
      <c r="F6842">
        <v>158</v>
      </c>
      <c r="G6842">
        <v>21</v>
      </c>
      <c r="H6842">
        <v>0.1</v>
      </c>
      <c r="I6842" t="s">
        <v>23</v>
      </c>
      <c r="J6842">
        <v>0</v>
      </c>
      <c r="K6842">
        <v>1</v>
      </c>
      <c r="L6842">
        <v>1</v>
      </c>
      <c r="M6842">
        <f>VLOOKUP(Table1[[#This Row],[subscription_type]],Plans!$A$1:$B$5,2,FALSE)</f>
        <v>4.99</v>
      </c>
      <c r="N6842">
        <f t="shared" si="106"/>
        <v>4.99</v>
      </c>
    </row>
    <row r="6843" spans="1:14" x14ac:dyDescent="0.35">
      <c r="A6843">
        <v>6842</v>
      </c>
      <c r="B6843" t="s">
        <v>12</v>
      </c>
      <c r="C6843">
        <v>24</v>
      </c>
      <c r="D6843" t="s">
        <v>28</v>
      </c>
      <c r="E6843" t="s">
        <v>14</v>
      </c>
      <c r="F6843">
        <v>161</v>
      </c>
      <c r="G6843">
        <v>62</v>
      </c>
      <c r="H6843">
        <v>0.2</v>
      </c>
      <c r="I6843" t="s">
        <v>15</v>
      </c>
      <c r="J6843">
        <v>26</v>
      </c>
      <c r="K6843">
        <v>0</v>
      </c>
      <c r="L6843">
        <v>0</v>
      </c>
      <c r="M6843">
        <f>VLOOKUP(Table1[[#This Row],[subscription_type]],Plans!$A$1:$B$5,2,FALSE)</f>
        <v>0</v>
      </c>
      <c r="N6843">
        <f t="shared" si="106"/>
        <v>0</v>
      </c>
    </row>
    <row r="6844" spans="1:14" x14ac:dyDescent="0.35">
      <c r="A6844">
        <v>6843</v>
      </c>
      <c r="B6844" t="s">
        <v>12</v>
      </c>
      <c r="C6844">
        <v>40</v>
      </c>
      <c r="D6844" t="s">
        <v>29</v>
      </c>
      <c r="E6844" t="s">
        <v>22</v>
      </c>
      <c r="F6844">
        <v>43</v>
      </c>
      <c r="G6844">
        <v>32</v>
      </c>
      <c r="H6844">
        <v>0.02</v>
      </c>
      <c r="I6844" t="s">
        <v>19</v>
      </c>
      <c r="J6844">
        <v>0</v>
      </c>
      <c r="K6844">
        <v>1</v>
      </c>
      <c r="L6844">
        <v>1</v>
      </c>
      <c r="M6844">
        <f>VLOOKUP(Table1[[#This Row],[subscription_type]],Plans!$A$1:$B$5,2,FALSE)</f>
        <v>9.99</v>
      </c>
      <c r="N6844">
        <f t="shared" si="106"/>
        <v>9.99</v>
      </c>
    </row>
    <row r="6845" spans="1:14" x14ac:dyDescent="0.35">
      <c r="A6845">
        <v>6844</v>
      </c>
      <c r="B6845" t="s">
        <v>20</v>
      </c>
      <c r="C6845">
        <v>58</v>
      </c>
      <c r="D6845" t="s">
        <v>29</v>
      </c>
      <c r="E6845" t="s">
        <v>22</v>
      </c>
      <c r="F6845">
        <v>35</v>
      </c>
      <c r="G6845">
        <v>4</v>
      </c>
      <c r="H6845">
        <v>0.25</v>
      </c>
      <c r="I6845" t="s">
        <v>23</v>
      </c>
      <c r="J6845">
        <v>0</v>
      </c>
      <c r="K6845">
        <v>1</v>
      </c>
      <c r="L6845">
        <v>0</v>
      </c>
      <c r="M6845">
        <f>VLOOKUP(Table1[[#This Row],[subscription_type]],Plans!$A$1:$B$5,2,FALSE)</f>
        <v>9.99</v>
      </c>
      <c r="N6845">
        <f t="shared" si="106"/>
        <v>0</v>
      </c>
    </row>
    <row r="6846" spans="1:14" x14ac:dyDescent="0.35">
      <c r="A6846">
        <v>6845</v>
      </c>
      <c r="B6846" t="s">
        <v>12</v>
      </c>
      <c r="C6846">
        <v>29</v>
      </c>
      <c r="D6846" t="s">
        <v>13</v>
      </c>
      <c r="E6846" t="s">
        <v>22</v>
      </c>
      <c r="F6846">
        <v>66</v>
      </c>
      <c r="G6846">
        <v>30</v>
      </c>
      <c r="H6846">
        <v>0.08</v>
      </c>
      <c r="I6846" t="s">
        <v>23</v>
      </c>
      <c r="J6846">
        <v>0</v>
      </c>
      <c r="K6846">
        <v>1</v>
      </c>
      <c r="L6846">
        <v>0</v>
      </c>
      <c r="M6846">
        <f>VLOOKUP(Table1[[#This Row],[subscription_type]],Plans!$A$1:$B$5,2,FALSE)</f>
        <v>9.99</v>
      </c>
      <c r="N6846">
        <f t="shared" si="106"/>
        <v>0</v>
      </c>
    </row>
    <row r="6847" spans="1:14" x14ac:dyDescent="0.35">
      <c r="A6847">
        <v>6846</v>
      </c>
      <c r="B6847" t="s">
        <v>16</v>
      </c>
      <c r="C6847">
        <v>23</v>
      </c>
      <c r="D6847" t="s">
        <v>29</v>
      </c>
      <c r="E6847" t="s">
        <v>22</v>
      </c>
      <c r="F6847">
        <v>115</v>
      </c>
      <c r="G6847">
        <v>13</v>
      </c>
      <c r="H6847">
        <v>0.16</v>
      </c>
      <c r="I6847" t="s">
        <v>23</v>
      </c>
      <c r="J6847">
        <v>0</v>
      </c>
      <c r="K6847">
        <v>1</v>
      </c>
      <c r="L6847">
        <v>0</v>
      </c>
      <c r="M6847">
        <f>VLOOKUP(Table1[[#This Row],[subscription_type]],Plans!$A$1:$B$5,2,FALSE)</f>
        <v>9.99</v>
      </c>
      <c r="N6847">
        <f t="shared" si="106"/>
        <v>0</v>
      </c>
    </row>
    <row r="6848" spans="1:14" x14ac:dyDescent="0.35">
      <c r="A6848">
        <v>6847</v>
      </c>
      <c r="B6848" t="s">
        <v>12</v>
      </c>
      <c r="C6848">
        <v>46</v>
      </c>
      <c r="D6848" t="s">
        <v>21</v>
      </c>
      <c r="E6848" t="s">
        <v>22</v>
      </c>
      <c r="F6848">
        <v>152</v>
      </c>
      <c r="G6848">
        <v>88</v>
      </c>
      <c r="H6848">
        <v>0.02</v>
      </c>
      <c r="I6848" t="s">
        <v>15</v>
      </c>
      <c r="J6848">
        <v>0</v>
      </c>
      <c r="K6848">
        <v>1</v>
      </c>
      <c r="L6848">
        <v>0</v>
      </c>
      <c r="M6848">
        <f>VLOOKUP(Table1[[#This Row],[subscription_type]],Plans!$A$1:$B$5,2,FALSE)</f>
        <v>9.99</v>
      </c>
      <c r="N6848">
        <f t="shared" si="106"/>
        <v>0</v>
      </c>
    </row>
    <row r="6849" spans="1:14" x14ac:dyDescent="0.35">
      <c r="A6849">
        <v>6848</v>
      </c>
      <c r="B6849" t="s">
        <v>12</v>
      </c>
      <c r="C6849">
        <v>44</v>
      </c>
      <c r="D6849" t="s">
        <v>17</v>
      </c>
      <c r="E6849" t="s">
        <v>18</v>
      </c>
      <c r="F6849">
        <v>44</v>
      </c>
      <c r="G6849">
        <v>86</v>
      </c>
      <c r="H6849">
        <v>0.56000000000000005</v>
      </c>
      <c r="I6849" t="s">
        <v>23</v>
      </c>
      <c r="J6849">
        <v>0</v>
      </c>
      <c r="K6849">
        <v>1</v>
      </c>
      <c r="L6849">
        <v>1</v>
      </c>
      <c r="M6849">
        <f>VLOOKUP(Table1[[#This Row],[subscription_type]],Plans!$A$1:$B$5,2,FALSE)</f>
        <v>14.99</v>
      </c>
      <c r="N6849">
        <f t="shared" si="106"/>
        <v>14.99</v>
      </c>
    </row>
    <row r="6850" spans="1:14" x14ac:dyDescent="0.35">
      <c r="A6850">
        <v>6849</v>
      </c>
      <c r="B6850" t="s">
        <v>16</v>
      </c>
      <c r="C6850">
        <v>55</v>
      </c>
      <c r="D6850" t="s">
        <v>27</v>
      </c>
      <c r="E6850" t="s">
        <v>18</v>
      </c>
      <c r="F6850">
        <v>63</v>
      </c>
      <c r="G6850">
        <v>11</v>
      </c>
      <c r="H6850">
        <v>0.24</v>
      </c>
      <c r="I6850" t="s">
        <v>15</v>
      </c>
      <c r="J6850">
        <v>0</v>
      </c>
      <c r="K6850">
        <v>1</v>
      </c>
      <c r="L6850">
        <v>1</v>
      </c>
      <c r="M6850">
        <f>VLOOKUP(Table1[[#This Row],[subscription_type]],Plans!$A$1:$B$5,2,FALSE)</f>
        <v>14.99</v>
      </c>
      <c r="N6850">
        <f t="shared" ref="N6850:N6913" si="107">IF(L6850=1, M6850,0)</f>
        <v>14.99</v>
      </c>
    </row>
    <row r="6851" spans="1:14" x14ac:dyDescent="0.35">
      <c r="A6851">
        <v>6850</v>
      </c>
      <c r="B6851" t="s">
        <v>16</v>
      </c>
      <c r="C6851">
        <v>55</v>
      </c>
      <c r="D6851" t="s">
        <v>27</v>
      </c>
      <c r="E6851" t="s">
        <v>24</v>
      </c>
      <c r="F6851">
        <v>220</v>
      </c>
      <c r="G6851">
        <v>35</v>
      </c>
      <c r="H6851">
        <v>0.31</v>
      </c>
      <c r="I6851" t="s">
        <v>15</v>
      </c>
      <c r="J6851">
        <v>0</v>
      </c>
      <c r="K6851">
        <v>1</v>
      </c>
      <c r="L6851">
        <v>0</v>
      </c>
      <c r="M6851">
        <f>VLOOKUP(Table1[[#This Row],[subscription_type]],Plans!$A$1:$B$5,2,FALSE)</f>
        <v>4.99</v>
      </c>
      <c r="N6851">
        <f t="shared" si="107"/>
        <v>0</v>
      </c>
    </row>
    <row r="6852" spans="1:14" x14ac:dyDescent="0.35">
      <c r="A6852">
        <v>6851</v>
      </c>
      <c r="B6852" t="s">
        <v>20</v>
      </c>
      <c r="C6852">
        <v>47</v>
      </c>
      <c r="D6852" t="s">
        <v>29</v>
      </c>
      <c r="E6852" t="s">
        <v>14</v>
      </c>
      <c r="F6852">
        <v>32</v>
      </c>
      <c r="G6852">
        <v>52</v>
      </c>
      <c r="H6852">
        <v>0.33</v>
      </c>
      <c r="I6852" t="s">
        <v>15</v>
      </c>
      <c r="J6852">
        <v>48</v>
      </c>
      <c r="K6852">
        <v>0</v>
      </c>
      <c r="L6852">
        <v>0</v>
      </c>
      <c r="M6852">
        <f>VLOOKUP(Table1[[#This Row],[subscription_type]],Plans!$A$1:$B$5,2,FALSE)</f>
        <v>0</v>
      </c>
      <c r="N6852">
        <f t="shared" si="107"/>
        <v>0</v>
      </c>
    </row>
    <row r="6853" spans="1:14" x14ac:dyDescent="0.35">
      <c r="A6853">
        <v>6852</v>
      </c>
      <c r="B6853" t="s">
        <v>12</v>
      </c>
      <c r="C6853">
        <v>24</v>
      </c>
      <c r="D6853" t="s">
        <v>27</v>
      </c>
      <c r="E6853" t="s">
        <v>14</v>
      </c>
      <c r="F6853">
        <v>170</v>
      </c>
      <c r="G6853">
        <v>23</v>
      </c>
      <c r="H6853">
        <v>0.37</v>
      </c>
      <c r="I6853" t="s">
        <v>15</v>
      </c>
      <c r="J6853">
        <v>23</v>
      </c>
      <c r="K6853">
        <v>0</v>
      </c>
      <c r="L6853">
        <v>0</v>
      </c>
      <c r="M6853">
        <f>VLOOKUP(Table1[[#This Row],[subscription_type]],Plans!$A$1:$B$5,2,FALSE)</f>
        <v>0</v>
      </c>
      <c r="N6853">
        <f t="shared" si="107"/>
        <v>0</v>
      </c>
    </row>
    <row r="6854" spans="1:14" x14ac:dyDescent="0.35">
      <c r="A6854">
        <v>6853</v>
      </c>
      <c r="B6854" t="s">
        <v>12</v>
      </c>
      <c r="C6854">
        <v>38</v>
      </c>
      <c r="D6854" t="s">
        <v>28</v>
      </c>
      <c r="E6854" t="s">
        <v>18</v>
      </c>
      <c r="F6854">
        <v>10</v>
      </c>
      <c r="G6854">
        <v>10</v>
      </c>
      <c r="H6854">
        <v>0.56000000000000005</v>
      </c>
      <c r="I6854" t="s">
        <v>19</v>
      </c>
      <c r="J6854">
        <v>0</v>
      </c>
      <c r="K6854">
        <v>1</v>
      </c>
      <c r="L6854">
        <v>0</v>
      </c>
      <c r="M6854">
        <f>VLOOKUP(Table1[[#This Row],[subscription_type]],Plans!$A$1:$B$5,2,FALSE)</f>
        <v>14.99</v>
      </c>
      <c r="N6854">
        <f t="shared" si="107"/>
        <v>0</v>
      </c>
    </row>
    <row r="6855" spans="1:14" x14ac:dyDescent="0.35">
      <c r="A6855">
        <v>6854</v>
      </c>
      <c r="B6855" t="s">
        <v>16</v>
      </c>
      <c r="C6855">
        <v>48</v>
      </c>
      <c r="D6855" t="s">
        <v>21</v>
      </c>
      <c r="E6855" t="s">
        <v>14</v>
      </c>
      <c r="F6855">
        <v>172</v>
      </c>
      <c r="G6855">
        <v>63</v>
      </c>
      <c r="H6855">
        <v>0.41</v>
      </c>
      <c r="I6855" t="s">
        <v>23</v>
      </c>
      <c r="J6855">
        <v>33</v>
      </c>
      <c r="K6855">
        <v>0</v>
      </c>
      <c r="L6855">
        <v>0</v>
      </c>
      <c r="M6855">
        <f>VLOOKUP(Table1[[#This Row],[subscription_type]],Plans!$A$1:$B$5,2,FALSE)</f>
        <v>0</v>
      </c>
      <c r="N6855">
        <f t="shared" si="107"/>
        <v>0</v>
      </c>
    </row>
    <row r="6856" spans="1:14" x14ac:dyDescent="0.35">
      <c r="A6856">
        <v>6855</v>
      </c>
      <c r="B6856" t="s">
        <v>20</v>
      </c>
      <c r="C6856">
        <v>47</v>
      </c>
      <c r="D6856" t="s">
        <v>28</v>
      </c>
      <c r="E6856" t="s">
        <v>14</v>
      </c>
      <c r="F6856">
        <v>192</v>
      </c>
      <c r="G6856">
        <v>11</v>
      </c>
      <c r="H6856">
        <v>0.42</v>
      </c>
      <c r="I6856" t="s">
        <v>23</v>
      </c>
      <c r="J6856">
        <v>44</v>
      </c>
      <c r="K6856">
        <v>0</v>
      </c>
      <c r="L6856">
        <v>0</v>
      </c>
      <c r="M6856">
        <f>VLOOKUP(Table1[[#This Row],[subscription_type]],Plans!$A$1:$B$5,2,FALSE)</f>
        <v>0</v>
      </c>
      <c r="N6856">
        <f t="shared" si="107"/>
        <v>0</v>
      </c>
    </row>
    <row r="6857" spans="1:14" x14ac:dyDescent="0.35">
      <c r="A6857">
        <v>6856</v>
      </c>
      <c r="B6857" t="s">
        <v>16</v>
      </c>
      <c r="C6857">
        <v>46</v>
      </c>
      <c r="D6857" t="s">
        <v>25</v>
      </c>
      <c r="E6857" t="s">
        <v>22</v>
      </c>
      <c r="F6857">
        <v>13</v>
      </c>
      <c r="G6857">
        <v>68</v>
      </c>
      <c r="H6857">
        <v>0.57999999999999996</v>
      </c>
      <c r="I6857" t="s">
        <v>19</v>
      </c>
      <c r="J6857">
        <v>0</v>
      </c>
      <c r="K6857">
        <v>1</v>
      </c>
      <c r="L6857">
        <v>0</v>
      </c>
      <c r="M6857">
        <f>VLOOKUP(Table1[[#This Row],[subscription_type]],Plans!$A$1:$B$5,2,FALSE)</f>
        <v>9.99</v>
      </c>
      <c r="N6857">
        <f t="shared" si="107"/>
        <v>0</v>
      </c>
    </row>
    <row r="6858" spans="1:14" x14ac:dyDescent="0.35">
      <c r="A6858">
        <v>6857</v>
      </c>
      <c r="B6858" t="s">
        <v>16</v>
      </c>
      <c r="C6858">
        <v>35</v>
      </c>
      <c r="D6858" t="s">
        <v>25</v>
      </c>
      <c r="E6858" t="s">
        <v>14</v>
      </c>
      <c r="F6858">
        <v>234</v>
      </c>
      <c r="G6858">
        <v>79</v>
      </c>
      <c r="H6858">
        <v>0.44</v>
      </c>
      <c r="I6858" t="s">
        <v>15</v>
      </c>
      <c r="J6858">
        <v>9</v>
      </c>
      <c r="K6858">
        <v>0</v>
      </c>
      <c r="L6858">
        <v>0</v>
      </c>
      <c r="M6858">
        <f>VLOOKUP(Table1[[#This Row],[subscription_type]],Plans!$A$1:$B$5,2,FALSE)</f>
        <v>0</v>
      </c>
      <c r="N6858">
        <f t="shared" si="107"/>
        <v>0</v>
      </c>
    </row>
    <row r="6859" spans="1:14" x14ac:dyDescent="0.35">
      <c r="A6859">
        <v>6858</v>
      </c>
      <c r="B6859" t="s">
        <v>16</v>
      </c>
      <c r="C6859">
        <v>17</v>
      </c>
      <c r="D6859" t="s">
        <v>25</v>
      </c>
      <c r="E6859" t="s">
        <v>14</v>
      </c>
      <c r="F6859">
        <v>222</v>
      </c>
      <c r="G6859">
        <v>92</v>
      </c>
      <c r="H6859">
        <v>0.56999999999999995</v>
      </c>
      <c r="I6859" t="s">
        <v>19</v>
      </c>
      <c r="J6859">
        <v>16</v>
      </c>
      <c r="K6859">
        <v>0</v>
      </c>
      <c r="L6859">
        <v>1</v>
      </c>
      <c r="M6859">
        <f>VLOOKUP(Table1[[#This Row],[subscription_type]],Plans!$A$1:$B$5,2,FALSE)</f>
        <v>0</v>
      </c>
      <c r="N6859">
        <f t="shared" si="107"/>
        <v>0</v>
      </c>
    </row>
    <row r="6860" spans="1:14" x14ac:dyDescent="0.35">
      <c r="A6860">
        <v>6859</v>
      </c>
      <c r="B6860" t="s">
        <v>16</v>
      </c>
      <c r="C6860">
        <v>52</v>
      </c>
      <c r="D6860" t="s">
        <v>28</v>
      </c>
      <c r="E6860" t="s">
        <v>18</v>
      </c>
      <c r="F6860">
        <v>223</v>
      </c>
      <c r="G6860">
        <v>47</v>
      </c>
      <c r="H6860">
        <v>0.18</v>
      </c>
      <c r="I6860" t="s">
        <v>15</v>
      </c>
      <c r="J6860">
        <v>0</v>
      </c>
      <c r="K6860">
        <v>1</v>
      </c>
      <c r="L6860">
        <v>0</v>
      </c>
      <c r="M6860">
        <f>VLOOKUP(Table1[[#This Row],[subscription_type]],Plans!$A$1:$B$5,2,FALSE)</f>
        <v>14.99</v>
      </c>
      <c r="N6860">
        <f t="shared" si="107"/>
        <v>0</v>
      </c>
    </row>
    <row r="6861" spans="1:14" x14ac:dyDescent="0.35">
      <c r="A6861">
        <v>6860</v>
      </c>
      <c r="B6861" t="s">
        <v>12</v>
      </c>
      <c r="C6861">
        <v>41</v>
      </c>
      <c r="D6861" t="s">
        <v>28</v>
      </c>
      <c r="E6861" t="s">
        <v>14</v>
      </c>
      <c r="F6861">
        <v>40</v>
      </c>
      <c r="G6861">
        <v>44</v>
      </c>
      <c r="H6861">
        <v>0.39</v>
      </c>
      <c r="I6861" t="s">
        <v>19</v>
      </c>
      <c r="J6861">
        <v>43</v>
      </c>
      <c r="K6861">
        <v>0</v>
      </c>
      <c r="L6861">
        <v>0</v>
      </c>
      <c r="M6861">
        <f>VLOOKUP(Table1[[#This Row],[subscription_type]],Plans!$A$1:$B$5,2,FALSE)</f>
        <v>0</v>
      </c>
      <c r="N6861">
        <f t="shared" si="107"/>
        <v>0</v>
      </c>
    </row>
    <row r="6862" spans="1:14" x14ac:dyDescent="0.35">
      <c r="A6862">
        <v>6861</v>
      </c>
      <c r="B6862" t="s">
        <v>20</v>
      </c>
      <c r="C6862">
        <v>23</v>
      </c>
      <c r="D6862" t="s">
        <v>27</v>
      </c>
      <c r="E6862" t="s">
        <v>18</v>
      </c>
      <c r="F6862">
        <v>242</v>
      </c>
      <c r="G6862">
        <v>14</v>
      </c>
      <c r="H6862">
        <v>0.24</v>
      </c>
      <c r="I6862" t="s">
        <v>23</v>
      </c>
      <c r="J6862">
        <v>0</v>
      </c>
      <c r="K6862">
        <v>1</v>
      </c>
      <c r="L6862">
        <v>0</v>
      </c>
      <c r="M6862">
        <f>VLOOKUP(Table1[[#This Row],[subscription_type]],Plans!$A$1:$B$5,2,FALSE)</f>
        <v>14.99</v>
      </c>
      <c r="N6862">
        <f t="shared" si="107"/>
        <v>0</v>
      </c>
    </row>
    <row r="6863" spans="1:14" x14ac:dyDescent="0.35">
      <c r="A6863">
        <v>6862</v>
      </c>
      <c r="B6863" t="s">
        <v>20</v>
      </c>
      <c r="C6863">
        <v>25</v>
      </c>
      <c r="D6863" t="s">
        <v>26</v>
      </c>
      <c r="E6863" t="s">
        <v>22</v>
      </c>
      <c r="F6863">
        <v>265</v>
      </c>
      <c r="G6863">
        <v>36</v>
      </c>
      <c r="H6863">
        <v>0.21</v>
      </c>
      <c r="I6863" t="s">
        <v>23</v>
      </c>
      <c r="J6863">
        <v>0</v>
      </c>
      <c r="K6863">
        <v>1</v>
      </c>
      <c r="L6863">
        <v>0</v>
      </c>
      <c r="M6863">
        <f>VLOOKUP(Table1[[#This Row],[subscription_type]],Plans!$A$1:$B$5,2,FALSE)</f>
        <v>9.99</v>
      </c>
      <c r="N6863">
        <f t="shared" si="107"/>
        <v>0</v>
      </c>
    </row>
    <row r="6864" spans="1:14" x14ac:dyDescent="0.35">
      <c r="A6864">
        <v>6863</v>
      </c>
      <c r="B6864" t="s">
        <v>12</v>
      </c>
      <c r="C6864">
        <v>27</v>
      </c>
      <c r="D6864" t="s">
        <v>21</v>
      </c>
      <c r="E6864" t="s">
        <v>18</v>
      </c>
      <c r="F6864">
        <v>225</v>
      </c>
      <c r="G6864">
        <v>48</v>
      </c>
      <c r="H6864">
        <v>0.19</v>
      </c>
      <c r="I6864" t="s">
        <v>19</v>
      </c>
      <c r="J6864">
        <v>0</v>
      </c>
      <c r="K6864">
        <v>1</v>
      </c>
      <c r="L6864">
        <v>0</v>
      </c>
      <c r="M6864">
        <f>VLOOKUP(Table1[[#This Row],[subscription_type]],Plans!$A$1:$B$5,2,FALSE)</f>
        <v>14.99</v>
      </c>
      <c r="N6864">
        <f t="shared" si="107"/>
        <v>0</v>
      </c>
    </row>
    <row r="6865" spans="1:14" x14ac:dyDescent="0.35">
      <c r="A6865">
        <v>6864</v>
      </c>
      <c r="B6865" t="s">
        <v>16</v>
      </c>
      <c r="C6865">
        <v>25</v>
      </c>
      <c r="D6865" t="s">
        <v>27</v>
      </c>
      <c r="E6865" t="s">
        <v>18</v>
      </c>
      <c r="F6865">
        <v>67</v>
      </c>
      <c r="G6865">
        <v>22</v>
      </c>
      <c r="H6865">
        <v>0.09</v>
      </c>
      <c r="I6865" t="s">
        <v>23</v>
      </c>
      <c r="J6865">
        <v>0</v>
      </c>
      <c r="K6865">
        <v>1</v>
      </c>
      <c r="L6865">
        <v>1</v>
      </c>
      <c r="M6865">
        <f>VLOOKUP(Table1[[#This Row],[subscription_type]],Plans!$A$1:$B$5,2,FALSE)</f>
        <v>14.99</v>
      </c>
      <c r="N6865">
        <f t="shared" si="107"/>
        <v>14.99</v>
      </c>
    </row>
    <row r="6866" spans="1:14" x14ac:dyDescent="0.35">
      <c r="A6866">
        <v>6865</v>
      </c>
      <c r="B6866" t="s">
        <v>12</v>
      </c>
      <c r="C6866">
        <v>50</v>
      </c>
      <c r="D6866" t="s">
        <v>29</v>
      </c>
      <c r="E6866" t="s">
        <v>18</v>
      </c>
      <c r="F6866">
        <v>30</v>
      </c>
      <c r="G6866">
        <v>84</v>
      </c>
      <c r="H6866">
        <v>0.41</v>
      </c>
      <c r="I6866" t="s">
        <v>23</v>
      </c>
      <c r="J6866">
        <v>0</v>
      </c>
      <c r="K6866">
        <v>1</v>
      </c>
      <c r="L6866">
        <v>1</v>
      </c>
      <c r="M6866">
        <f>VLOOKUP(Table1[[#This Row],[subscription_type]],Plans!$A$1:$B$5,2,FALSE)</f>
        <v>14.99</v>
      </c>
      <c r="N6866">
        <f t="shared" si="107"/>
        <v>14.99</v>
      </c>
    </row>
    <row r="6867" spans="1:14" x14ac:dyDescent="0.35">
      <c r="A6867">
        <v>6866</v>
      </c>
      <c r="B6867" t="s">
        <v>16</v>
      </c>
      <c r="C6867">
        <v>52</v>
      </c>
      <c r="D6867" t="s">
        <v>28</v>
      </c>
      <c r="E6867" t="s">
        <v>22</v>
      </c>
      <c r="F6867">
        <v>100</v>
      </c>
      <c r="G6867">
        <v>3</v>
      </c>
      <c r="H6867">
        <v>0.53</v>
      </c>
      <c r="I6867" t="s">
        <v>15</v>
      </c>
      <c r="J6867">
        <v>0</v>
      </c>
      <c r="K6867">
        <v>1</v>
      </c>
      <c r="L6867">
        <v>0</v>
      </c>
      <c r="M6867">
        <f>VLOOKUP(Table1[[#This Row],[subscription_type]],Plans!$A$1:$B$5,2,FALSE)</f>
        <v>9.99</v>
      </c>
      <c r="N6867">
        <f t="shared" si="107"/>
        <v>0</v>
      </c>
    </row>
    <row r="6868" spans="1:14" x14ac:dyDescent="0.35">
      <c r="A6868">
        <v>6867</v>
      </c>
      <c r="B6868" t="s">
        <v>20</v>
      </c>
      <c r="C6868">
        <v>20</v>
      </c>
      <c r="D6868" t="s">
        <v>29</v>
      </c>
      <c r="E6868" t="s">
        <v>18</v>
      </c>
      <c r="F6868">
        <v>148</v>
      </c>
      <c r="G6868">
        <v>49</v>
      </c>
      <c r="H6868">
        <v>0.04</v>
      </c>
      <c r="I6868" t="s">
        <v>19</v>
      </c>
      <c r="J6868">
        <v>0</v>
      </c>
      <c r="K6868">
        <v>1</v>
      </c>
      <c r="L6868">
        <v>0</v>
      </c>
      <c r="M6868">
        <f>VLOOKUP(Table1[[#This Row],[subscription_type]],Plans!$A$1:$B$5,2,FALSE)</f>
        <v>14.99</v>
      </c>
      <c r="N6868">
        <f t="shared" si="107"/>
        <v>0</v>
      </c>
    </row>
    <row r="6869" spans="1:14" x14ac:dyDescent="0.35">
      <c r="A6869">
        <v>6868</v>
      </c>
      <c r="B6869" t="s">
        <v>20</v>
      </c>
      <c r="C6869">
        <v>52</v>
      </c>
      <c r="D6869" t="s">
        <v>29</v>
      </c>
      <c r="E6869" t="s">
        <v>24</v>
      </c>
      <c r="F6869">
        <v>138</v>
      </c>
      <c r="G6869">
        <v>45</v>
      </c>
      <c r="H6869">
        <v>0.59</v>
      </c>
      <c r="I6869" t="s">
        <v>15</v>
      </c>
      <c r="J6869">
        <v>0</v>
      </c>
      <c r="K6869">
        <v>1</v>
      </c>
      <c r="L6869">
        <v>0</v>
      </c>
      <c r="M6869">
        <f>VLOOKUP(Table1[[#This Row],[subscription_type]],Plans!$A$1:$B$5,2,FALSE)</f>
        <v>4.99</v>
      </c>
      <c r="N6869">
        <f t="shared" si="107"/>
        <v>0</v>
      </c>
    </row>
    <row r="6870" spans="1:14" x14ac:dyDescent="0.35">
      <c r="A6870">
        <v>6869</v>
      </c>
      <c r="B6870" t="s">
        <v>12</v>
      </c>
      <c r="C6870">
        <v>21</v>
      </c>
      <c r="D6870" t="s">
        <v>21</v>
      </c>
      <c r="E6870" t="s">
        <v>24</v>
      </c>
      <c r="F6870">
        <v>297</v>
      </c>
      <c r="G6870">
        <v>40</v>
      </c>
      <c r="H6870">
        <v>0.23</v>
      </c>
      <c r="I6870" t="s">
        <v>19</v>
      </c>
      <c r="J6870">
        <v>0</v>
      </c>
      <c r="K6870">
        <v>1</v>
      </c>
      <c r="L6870">
        <v>0</v>
      </c>
      <c r="M6870">
        <f>VLOOKUP(Table1[[#This Row],[subscription_type]],Plans!$A$1:$B$5,2,FALSE)</f>
        <v>4.99</v>
      </c>
      <c r="N6870">
        <f t="shared" si="107"/>
        <v>0</v>
      </c>
    </row>
    <row r="6871" spans="1:14" x14ac:dyDescent="0.35">
      <c r="A6871">
        <v>6870</v>
      </c>
      <c r="B6871" t="s">
        <v>16</v>
      </c>
      <c r="C6871">
        <v>50</v>
      </c>
      <c r="D6871" t="s">
        <v>26</v>
      </c>
      <c r="E6871" t="s">
        <v>24</v>
      </c>
      <c r="F6871">
        <v>177</v>
      </c>
      <c r="G6871">
        <v>53</v>
      </c>
      <c r="H6871">
        <v>0.22</v>
      </c>
      <c r="I6871" t="s">
        <v>15</v>
      </c>
      <c r="J6871">
        <v>0</v>
      </c>
      <c r="K6871">
        <v>1</v>
      </c>
      <c r="L6871">
        <v>0</v>
      </c>
      <c r="M6871">
        <f>VLOOKUP(Table1[[#This Row],[subscription_type]],Plans!$A$1:$B$5,2,FALSE)</f>
        <v>4.99</v>
      </c>
      <c r="N6871">
        <f t="shared" si="107"/>
        <v>0</v>
      </c>
    </row>
    <row r="6872" spans="1:14" x14ac:dyDescent="0.35">
      <c r="A6872">
        <v>6871</v>
      </c>
      <c r="B6872" t="s">
        <v>20</v>
      </c>
      <c r="C6872">
        <v>48</v>
      </c>
      <c r="D6872" t="s">
        <v>17</v>
      </c>
      <c r="E6872" t="s">
        <v>22</v>
      </c>
      <c r="F6872">
        <v>202</v>
      </c>
      <c r="G6872">
        <v>63</v>
      </c>
      <c r="H6872">
        <v>0.54</v>
      </c>
      <c r="I6872" t="s">
        <v>15</v>
      </c>
      <c r="J6872">
        <v>0</v>
      </c>
      <c r="K6872">
        <v>1</v>
      </c>
      <c r="L6872">
        <v>0</v>
      </c>
      <c r="M6872">
        <f>VLOOKUP(Table1[[#This Row],[subscription_type]],Plans!$A$1:$B$5,2,FALSE)</f>
        <v>9.99</v>
      </c>
      <c r="N6872">
        <f t="shared" si="107"/>
        <v>0</v>
      </c>
    </row>
    <row r="6873" spans="1:14" x14ac:dyDescent="0.35">
      <c r="A6873">
        <v>6872</v>
      </c>
      <c r="B6873" t="s">
        <v>16</v>
      </c>
      <c r="C6873">
        <v>48</v>
      </c>
      <c r="D6873" t="s">
        <v>27</v>
      </c>
      <c r="E6873" t="s">
        <v>22</v>
      </c>
      <c r="F6873">
        <v>134</v>
      </c>
      <c r="G6873">
        <v>91</v>
      </c>
      <c r="H6873">
        <v>0.14000000000000001</v>
      </c>
      <c r="I6873" t="s">
        <v>15</v>
      </c>
      <c r="J6873">
        <v>0</v>
      </c>
      <c r="K6873">
        <v>1</v>
      </c>
      <c r="L6873">
        <v>0</v>
      </c>
      <c r="M6873">
        <f>VLOOKUP(Table1[[#This Row],[subscription_type]],Plans!$A$1:$B$5,2,FALSE)</f>
        <v>9.99</v>
      </c>
      <c r="N6873">
        <f t="shared" si="107"/>
        <v>0</v>
      </c>
    </row>
    <row r="6874" spans="1:14" x14ac:dyDescent="0.35">
      <c r="A6874">
        <v>6873</v>
      </c>
      <c r="B6874" t="s">
        <v>20</v>
      </c>
      <c r="C6874">
        <v>39</v>
      </c>
      <c r="D6874" t="s">
        <v>21</v>
      </c>
      <c r="E6874" t="s">
        <v>24</v>
      </c>
      <c r="F6874">
        <v>240</v>
      </c>
      <c r="G6874">
        <v>73</v>
      </c>
      <c r="H6874">
        <v>0.39</v>
      </c>
      <c r="I6874" t="s">
        <v>19</v>
      </c>
      <c r="J6874">
        <v>0</v>
      </c>
      <c r="K6874">
        <v>1</v>
      </c>
      <c r="L6874">
        <v>0</v>
      </c>
      <c r="M6874">
        <f>VLOOKUP(Table1[[#This Row],[subscription_type]],Plans!$A$1:$B$5,2,FALSE)</f>
        <v>4.99</v>
      </c>
      <c r="N6874">
        <f t="shared" si="107"/>
        <v>0</v>
      </c>
    </row>
    <row r="6875" spans="1:14" x14ac:dyDescent="0.35">
      <c r="A6875">
        <v>6874</v>
      </c>
      <c r="B6875" t="s">
        <v>16</v>
      </c>
      <c r="C6875">
        <v>33</v>
      </c>
      <c r="D6875" t="s">
        <v>27</v>
      </c>
      <c r="E6875" t="s">
        <v>24</v>
      </c>
      <c r="F6875">
        <v>71</v>
      </c>
      <c r="G6875">
        <v>73</v>
      </c>
      <c r="H6875">
        <v>0.21</v>
      </c>
      <c r="I6875" t="s">
        <v>15</v>
      </c>
      <c r="J6875">
        <v>0</v>
      </c>
      <c r="K6875">
        <v>1</v>
      </c>
      <c r="L6875">
        <v>0</v>
      </c>
      <c r="M6875">
        <f>VLOOKUP(Table1[[#This Row],[subscription_type]],Plans!$A$1:$B$5,2,FALSE)</f>
        <v>4.99</v>
      </c>
      <c r="N6875">
        <f t="shared" si="107"/>
        <v>0</v>
      </c>
    </row>
    <row r="6876" spans="1:14" x14ac:dyDescent="0.35">
      <c r="A6876">
        <v>6875</v>
      </c>
      <c r="B6876" t="s">
        <v>20</v>
      </c>
      <c r="C6876">
        <v>43</v>
      </c>
      <c r="D6876" t="s">
        <v>27</v>
      </c>
      <c r="E6876" t="s">
        <v>22</v>
      </c>
      <c r="F6876">
        <v>152</v>
      </c>
      <c r="G6876">
        <v>76</v>
      </c>
      <c r="H6876">
        <v>0.55000000000000004</v>
      </c>
      <c r="I6876" t="s">
        <v>19</v>
      </c>
      <c r="J6876">
        <v>0</v>
      </c>
      <c r="K6876">
        <v>1</v>
      </c>
      <c r="L6876">
        <v>0</v>
      </c>
      <c r="M6876">
        <f>VLOOKUP(Table1[[#This Row],[subscription_type]],Plans!$A$1:$B$5,2,FALSE)</f>
        <v>9.99</v>
      </c>
      <c r="N6876">
        <f t="shared" si="107"/>
        <v>0</v>
      </c>
    </row>
    <row r="6877" spans="1:14" x14ac:dyDescent="0.35">
      <c r="A6877">
        <v>6876</v>
      </c>
      <c r="B6877" t="s">
        <v>12</v>
      </c>
      <c r="C6877">
        <v>52</v>
      </c>
      <c r="D6877" t="s">
        <v>17</v>
      </c>
      <c r="E6877" t="s">
        <v>24</v>
      </c>
      <c r="F6877">
        <v>107</v>
      </c>
      <c r="G6877">
        <v>89</v>
      </c>
      <c r="H6877">
        <v>0.06</v>
      </c>
      <c r="I6877" t="s">
        <v>19</v>
      </c>
      <c r="J6877">
        <v>0</v>
      </c>
      <c r="K6877">
        <v>1</v>
      </c>
      <c r="L6877">
        <v>0</v>
      </c>
      <c r="M6877">
        <f>VLOOKUP(Table1[[#This Row],[subscription_type]],Plans!$A$1:$B$5,2,FALSE)</f>
        <v>4.99</v>
      </c>
      <c r="N6877">
        <f t="shared" si="107"/>
        <v>0</v>
      </c>
    </row>
    <row r="6878" spans="1:14" x14ac:dyDescent="0.35">
      <c r="A6878">
        <v>6877</v>
      </c>
      <c r="B6878" t="s">
        <v>16</v>
      </c>
      <c r="C6878">
        <v>52</v>
      </c>
      <c r="D6878" t="s">
        <v>25</v>
      </c>
      <c r="E6878" t="s">
        <v>24</v>
      </c>
      <c r="F6878">
        <v>102</v>
      </c>
      <c r="G6878">
        <v>36</v>
      </c>
      <c r="H6878">
        <v>0.45</v>
      </c>
      <c r="I6878" t="s">
        <v>23</v>
      </c>
      <c r="J6878">
        <v>0</v>
      </c>
      <c r="K6878">
        <v>1</v>
      </c>
      <c r="L6878">
        <v>0</v>
      </c>
      <c r="M6878">
        <f>VLOOKUP(Table1[[#This Row],[subscription_type]],Plans!$A$1:$B$5,2,FALSE)</f>
        <v>4.99</v>
      </c>
      <c r="N6878">
        <f t="shared" si="107"/>
        <v>0</v>
      </c>
    </row>
    <row r="6879" spans="1:14" x14ac:dyDescent="0.35">
      <c r="A6879">
        <v>6878</v>
      </c>
      <c r="B6879" t="s">
        <v>20</v>
      </c>
      <c r="C6879">
        <v>26</v>
      </c>
      <c r="D6879" t="s">
        <v>29</v>
      </c>
      <c r="E6879" t="s">
        <v>14</v>
      </c>
      <c r="F6879">
        <v>14</v>
      </c>
      <c r="G6879">
        <v>45</v>
      </c>
      <c r="H6879">
        <v>0.31</v>
      </c>
      <c r="I6879" t="s">
        <v>15</v>
      </c>
      <c r="J6879">
        <v>29</v>
      </c>
      <c r="K6879">
        <v>0</v>
      </c>
      <c r="L6879">
        <v>1</v>
      </c>
      <c r="M6879">
        <f>VLOOKUP(Table1[[#This Row],[subscription_type]],Plans!$A$1:$B$5,2,FALSE)</f>
        <v>0</v>
      </c>
      <c r="N6879">
        <f t="shared" si="107"/>
        <v>0</v>
      </c>
    </row>
    <row r="6880" spans="1:14" x14ac:dyDescent="0.35">
      <c r="A6880">
        <v>6879</v>
      </c>
      <c r="B6880" t="s">
        <v>20</v>
      </c>
      <c r="C6880">
        <v>53</v>
      </c>
      <c r="D6880" t="s">
        <v>29</v>
      </c>
      <c r="E6880" t="s">
        <v>14</v>
      </c>
      <c r="F6880">
        <v>213</v>
      </c>
      <c r="G6880">
        <v>87</v>
      </c>
      <c r="H6880">
        <v>0.6</v>
      </c>
      <c r="I6880" t="s">
        <v>19</v>
      </c>
      <c r="J6880">
        <v>20</v>
      </c>
      <c r="K6880">
        <v>0</v>
      </c>
      <c r="L6880">
        <v>0</v>
      </c>
      <c r="M6880">
        <f>VLOOKUP(Table1[[#This Row],[subscription_type]],Plans!$A$1:$B$5,2,FALSE)</f>
        <v>0</v>
      </c>
      <c r="N6880">
        <f t="shared" si="107"/>
        <v>0</v>
      </c>
    </row>
    <row r="6881" spans="1:14" x14ac:dyDescent="0.35">
      <c r="A6881">
        <v>6880</v>
      </c>
      <c r="B6881" t="s">
        <v>16</v>
      </c>
      <c r="C6881">
        <v>21</v>
      </c>
      <c r="D6881" t="s">
        <v>25</v>
      </c>
      <c r="E6881" t="s">
        <v>14</v>
      </c>
      <c r="F6881">
        <v>141</v>
      </c>
      <c r="G6881">
        <v>4</v>
      </c>
      <c r="H6881">
        <v>0.27</v>
      </c>
      <c r="I6881" t="s">
        <v>15</v>
      </c>
      <c r="J6881">
        <v>37</v>
      </c>
      <c r="K6881">
        <v>0</v>
      </c>
      <c r="L6881">
        <v>1</v>
      </c>
      <c r="M6881">
        <f>VLOOKUP(Table1[[#This Row],[subscription_type]],Plans!$A$1:$B$5,2,FALSE)</f>
        <v>0</v>
      </c>
      <c r="N6881">
        <f t="shared" si="107"/>
        <v>0</v>
      </c>
    </row>
    <row r="6882" spans="1:14" x14ac:dyDescent="0.35">
      <c r="A6882">
        <v>6881</v>
      </c>
      <c r="B6882" t="s">
        <v>20</v>
      </c>
      <c r="C6882">
        <v>18</v>
      </c>
      <c r="D6882" t="s">
        <v>26</v>
      </c>
      <c r="E6882" t="s">
        <v>24</v>
      </c>
      <c r="F6882">
        <v>132</v>
      </c>
      <c r="G6882">
        <v>92</v>
      </c>
      <c r="H6882">
        <v>0.19</v>
      </c>
      <c r="I6882" t="s">
        <v>19</v>
      </c>
      <c r="J6882">
        <v>0</v>
      </c>
      <c r="K6882">
        <v>1</v>
      </c>
      <c r="L6882">
        <v>0</v>
      </c>
      <c r="M6882">
        <f>VLOOKUP(Table1[[#This Row],[subscription_type]],Plans!$A$1:$B$5,2,FALSE)</f>
        <v>4.99</v>
      </c>
      <c r="N6882">
        <f t="shared" si="107"/>
        <v>0</v>
      </c>
    </row>
    <row r="6883" spans="1:14" x14ac:dyDescent="0.35">
      <c r="A6883">
        <v>6882</v>
      </c>
      <c r="B6883" t="s">
        <v>12</v>
      </c>
      <c r="C6883">
        <v>56</v>
      </c>
      <c r="D6883" t="s">
        <v>25</v>
      </c>
      <c r="E6883" t="s">
        <v>14</v>
      </c>
      <c r="F6883">
        <v>227</v>
      </c>
      <c r="G6883">
        <v>83</v>
      </c>
      <c r="H6883">
        <v>0.44</v>
      </c>
      <c r="I6883" t="s">
        <v>19</v>
      </c>
      <c r="J6883">
        <v>7</v>
      </c>
      <c r="K6883">
        <v>0</v>
      </c>
      <c r="L6883">
        <v>0</v>
      </c>
      <c r="M6883">
        <f>VLOOKUP(Table1[[#This Row],[subscription_type]],Plans!$A$1:$B$5,2,FALSE)</f>
        <v>0</v>
      </c>
      <c r="N6883">
        <f t="shared" si="107"/>
        <v>0</v>
      </c>
    </row>
    <row r="6884" spans="1:14" x14ac:dyDescent="0.35">
      <c r="A6884">
        <v>6883</v>
      </c>
      <c r="B6884" t="s">
        <v>20</v>
      </c>
      <c r="C6884">
        <v>57</v>
      </c>
      <c r="D6884" t="s">
        <v>21</v>
      </c>
      <c r="E6884" t="s">
        <v>18</v>
      </c>
      <c r="F6884">
        <v>284</v>
      </c>
      <c r="G6884">
        <v>52</v>
      </c>
      <c r="H6884">
        <v>0.35</v>
      </c>
      <c r="I6884" t="s">
        <v>19</v>
      </c>
      <c r="J6884">
        <v>0</v>
      </c>
      <c r="K6884">
        <v>1</v>
      </c>
      <c r="L6884">
        <v>0</v>
      </c>
      <c r="M6884">
        <f>VLOOKUP(Table1[[#This Row],[subscription_type]],Plans!$A$1:$B$5,2,FALSE)</f>
        <v>14.99</v>
      </c>
      <c r="N6884">
        <f t="shared" si="107"/>
        <v>0</v>
      </c>
    </row>
    <row r="6885" spans="1:14" x14ac:dyDescent="0.35">
      <c r="A6885">
        <v>6884</v>
      </c>
      <c r="B6885" t="s">
        <v>16</v>
      </c>
      <c r="C6885">
        <v>22</v>
      </c>
      <c r="D6885" t="s">
        <v>13</v>
      </c>
      <c r="E6885" t="s">
        <v>24</v>
      </c>
      <c r="F6885">
        <v>48</v>
      </c>
      <c r="G6885">
        <v>10</v>
      </c>
      <c r="H6885">
        <v>0.36</v>
      </c>
      <c r="I6885" t="s">
        <v>23</v>
      </c>
      <c r="J6885">
        <v>0</v>
      </c>
      <c r="K6885">
        <v>1</v>
      </c>
      <c r="L6885">
        <v>0</v>
      </c>
      <c r="M6885">
        <f>VLOOKUP(Table1[[#This Row],[subscription_type]],Plans!$A$1:$B$5,2,FALSE)</f>
        <v>4.99</v>
      </c>
      <c r="N6885">
        <f t="shared" si="107"/>
        <v>0</v>
      </c>
    </row>
    <row r="6886" spans="1:14" x14ac:dyDescent="0.35">
      <c r="A6886">
        <v>6885</v>
      </c>
      <c r="B6886" t="s">
        <v>16</v>
      </c>
      <c r="C6886">
        <v>54</v>
      </c>
      <c r="D6886" t="s">
        <v>17</v>
      </c>
      <c r="E6886" t="s">
        <v>14</v>
      </c>
      <c r="F6886">
        <v>271</v>
      </c>
      <c r="G6886">
        <v>33</v>
      </c>
      <c r="H6886">
        <v>0.57999999999999996</v>
      </c>
      <c r="I6886" t="s">
        <v>15</v>
      </c>
      <c r="J6886">
        <v>8</v>
      </c>
      <c r="K6886">
        <v>0</v>
      </c>
      <c r="L6886">
        <v>0</v>
      </c>
      <c r="M6886">
        <f>VLOOKUP(Table1[[#This Row],[subscription_type]],Plans!$A$1:$B$5,2,FALSE)</f>
        <v>0</v>
      </c>
      <c r="N6886">
        <f t="shared" si="107"/>
        <v>0</v>
      </c>
    </row>
    <row r="6887" spans="1:14" x14ac:dyDescent="0.35">
      <c r="A6887">
        <v>6886</v>
      </c>
      <c r="B6887" t="s">
        <v>12</v>
      </c>
      <c r="C6887">
        <v>38</v>
      </c>
      <c r="D6887" t="s">
        <v>28</v>
      </c>
      <c r="E6887" t="s">
        <v>24</v>
      </c>
      <c r="F6887">
        <v>53</v>
      </c>
      <c r="G6887">
        <v>82</v>
      </c>
      <c r="H6887">
        <v>0.28000000000000003</v>
      </c>
      <c r="I6887" t="s">
        <v>15</v>
      </c>
      <c r="J6887">
        <v>0</v>
      </c>
      <c r="K6887">
        <v>1</v>
      </c>
      <c r="L6887">
        <v>0</v>
      </c>
      <c r="M6887">
        <f>VLOOKUP(Table1[[#This Row],[subscription_type]],Plans!$A$1:$B$5,2,FALSE)</f>
        <v>4.99</v>
      </c>
      <c r="N6887">
        <f t="shared" si="107"/>
        <v>0</v>
      </c>
    </row>
    <row r="6888" spans="1:14" x14ac:dyDescent="0.35">
      <c r="A6888">
        <v>6887</v>
      </c>
      <c r="B6888" t="s">
        <v>12</v>
      </c>
      <c r="C6888">
        <v>35</v>
      </c>
      <c r="D6888" t="s">
        <v>27</v>
      </c>
      <c r="E6888" t="s">
        <v>22</v>
      </c>
      <c r="F6888">
        <v>16</v>
      </c>
      <c r="G6888">
        <v>16</v>
      </c>
      <c r="H6888">
        <v>0.09</v>
      </c>
      <c r="I6888" t="s">
        <v>15</v>
      </c>
      <c r="J6888">
        <v>0</v>
      </c>
      <c r="K6888">
        <v>1</v>
      </c>
      <c r="L6888">
        <v>0</v>
      </c>
      <c r="M6888">
        <f>VLOOKUP(Table1[[#This Row],[subscription_type]],Plans!$A$1:$B$5,2,FALSE)</f>
        <v>9.99</v>
      </c>
      <c r="N6888">
        <f t="shared" si="107"/>
        <v>0</v>
      </c>
    </row>
    <row r="6889" spans="1:14" x14ac:dyDescent="0.35">
      <c r="A6889">
        <v>6888</v>
      </c>
      <c r="B6889" t="s">
        <v>20</v>
      </c>
      <c r="C6889">
        <v>46</v>
      </c>
      <c r="D6889" t="s">
        <v>29</v>
      </c>
      <c r="E6889" t="s">
        <v>24</v>
      </c>
      <c r="F6889">
        <v>283</v>
      </c>
      <c r="G6889">
        <v>90</v>
      </c>
      <c r="H6889">
        <v>0.15</v>
      </c>
      <c r="I6889" t="s">
        <v>19</v>
      </c>
      <c r="J6889">
        <v>0</v>
      </c>
      <c r="K6889">
        <v>1</v>
      </c>
      <c r="L6889">
        <v>0</v>
      </c>
      <c r="M6889">
        <f>VLOOKUP(Table1[[#This Row],[subscription_type]],Plans!$A$1:$B$5,2,FALSE)</f>
        <v>4.99</v>
      </c>
      <c r="N6889">
        <f t="shared" si="107"/>
        <v>0</v>
      </c>
    </row>
    <row r="6890" spans="1:14" x14ac:dyDescent="0.35">
      <c r="A6890">
        <v>6889</v>
      </c>
      <c r="B6890" t="s">
        <v>20</v>
      </c>
      <c r="C6890">
        <v>48</v>
      </c>
      <c r="D6890" t="s">
        <v>26</v>
      </c>
      <c r="E6890" t="s">
        <v>14</v>
      </c>
      <c r="F6890">
        <v>94</v>
      </c>
      <c r="G6890">
        <v>10</v>
      </c>
      <c r="H6890">
        <v>0.18</v>
      </c>
      <c r="I6890" t="s">
        <v>23</v>
      </c>
      <c r="J6890">
        <v>9</v>
      </c>
      <c r="K6890">
        <v>0</v>
      </c>
      <c r="L6890">
        <v>0</v>
      </c>
      <c r="M6890">
        <f>VLOOKUP(Table1[[#This Row],[subscription_type]],Plans!$A$1:$B$5,2,FALSE)</f>
        <v>0</v>
      </c>
      <c r="N6890">
        <f t="shared" si="107"/>
        <v>0</v>
      </c>
    </row>
    <row r="6891" spans="1:14" x14ac:dyDescent="0.35">
      <c r="A6891">
        <v>6890</v>
      </c>
      <c r="B6891" t="s">
        <v>12</v>
      </c>
      <c r="C6891">
        <v>51</v>
      </c>
      <c r="D6891" t="s">
        <v>17</v>
      </c>
      <c r="E6891" t="s">
        <v>24</v>
      </c>
      <c r="F6891">
        <v>279</v>
      </c>
      <c r="G6891">
        <v>93</v>
      </c>
      <c r="H6891">
        <v>0.32</v>
      </c>
      <c r="I6891" t="s">
        <v>15</v>
      </c>
      <c r="J6891">
        <v>0</v>
      </c>
      <c r="K6891">
        <v>1</v>
      </c>
      <c r="L6891">
        <v>0</v>
      </c>
      <c r="M6891">
        <f>VLOOKUP(Table1[[#This Row],[subscription_type]],Plans!$A$1:$B$5,2,FALSE)</f>
        <v>4.99</v>
      </c>
      <c r="N6891">
        <f t="shared" si="107"/>
        <v>0</v>
      </c>
    </row>
    <row r="6892" spans="1:14" x14ac:dyDescent="0.35">
      <c r="A6892">
        <v>6891</v>
      </c>
      <c r="B6892" t="s">
        <v>12</v>
      </c>
      <c r="C6892">
        <v>48</v>
      </c>
      <c r="D6892" t="s">
        <v>13</v>
      </c>
      <c r="E6892" t="s">
        <v>14</v>
      </c>
      <c r="F6892">
        <v>120</v>
      </c>
      <c r="G6892">
        <v>78</v>
      </c>
      <c r="H6892">
        <v>0.54</v>
      </c>
      <c r="I6892" t="s">
        <v>23</v>
      </c>
      <c r="J6892">
        <v>41</v>
      </c>
      <c r="K6892">
        <v>0</v>
      </c>
      <c r="L6892">
        <v>1</v>
      </c>
      <c r="M6892">
        <f>VLOOKUP(Table1[[#This Row],[subscription_type]],Plans!$A$1:$B$5,2,FALSE)</f>
        <v>0</v>
      </c>
      <c r="N6892">
        <f t="shared" si="107"/>
        <v>0</v>
      </c>
    </row>
    <row r="6893" spans="1:14" x14ac:dyDescent="0.35">
      <c r="A6893">
        <v>6892</v>
      </c>
      <c r="B6893" t="s">
        <v>20</v>
      </c>
      <c r="C6893">
        <v>55</v>
      </c>
      <c r="D6893" t="s">
        <v>17</v>
      </c>
      <c r="E6893" t="s">
        <v>24</v>
      </c>
      <c r="F6893">
        <v>55</v>
      </c>
      <c r="G6893">
        <v>1</v>
      </c>
      <c r="H6893">
        <v>0.09</v>
      </c>
      <c r="I6893" t="s">
        <v>19</v>
      </c>
      <c r="J6893">
        <v>0</v>
      </c>
      <c r="K6893">
        <v>1</v>
      </c>
      <c r="L6893">
        <v>0</v>
      </c>
      <c r="M6893">
        <f>VLOOKUP(Table1[[#This Row],[subscription_type]],Plans!$A$1:$B$5,2,FALSE)</f>
        <v>4.99</v>
      </c>
      <c r="N6893">
        <f t="shared" si="107"/>
        <v>0</v>
      </c>
    </row>
    <row r="6894" spans="1:14" x14ac:dyDescent="0.35">
      <c r="A6894">
        <v>6893</v>
      </c>
      <c r="B6894" t="s">
        <v>20</v>
      </c>
      <c r="C6894">
        <v>57</v>
      </c>
      <c r="D6894" t="s">
        <v>27</v>
      </c>
      <c r="E6894" t="s">
        <v>22</v>
      </c>
      <c r="F6894">
        <v>244</v>
      </c>
      <c r="G6894">
        <v>36</v>
      </c>
      <c r="H6894">
        <v>0.26</v>
      </c>
      <c r="I6894" t="s">
        <v>15</v>
      </c>
      <c r="J6894">
        <v>0</v>
      </c>
      <c r="K6894">
        <v>1</v>
      </c>
      <c r="L6894">
        <v>0</v>
      </c>
      <c r="M6894">
        <f>VLOOKUP(Table1[[#This Row],[subscription_type]],Plans!$A$1:$B$5,2,FALSE)</f>
        <v>9.99</v>
      </c>
      <c r="N6894">
        <f t="shared" si="107"/>
        <v>0</v>
      </c>
    </row>
    <row r="6895" spans="1:14" x14ac:dyDescent="0.35">
      <c r="A6895">
        <v>6894</v>
      </c>
      <c r="B6895" t="s">
        <v>16</v>
      </c>
      <c r="C6895">
        <v>26</v>
      </c>
      <c r="D6895" t="s">
        <v>28</v>
      </c>
      <c r="E6895" t="s">
        <v>24</v>
      </c>
      <c r="F6895">
        <v>199</v>
      </c>
      <c r="G6895">
        <v>71</v>
      </c>
      <c r="H6895">
        <v>0.25</v>
      </c>
      <c r="I6895" t="s">
        <v>15</v>
      </c>
      <c r="J6895">
        <v>0</v>
      </c>
      <c r="K6895">
        <v>1</v>
      </c>
      <c r="L6895">
        <v>1</v>
      </c>
      <c r="M6895">
        <f>VLOOKUP(Table1[[#This Row],[subscription_type]],Plans!$A$1:$B$5,2,FALSE)</f>
        <v>4.99</v>
      </c>
      <c r="N6895">
        <f t="shared" si="107"/>
        <v>4.99</v>
      </c>
    </row>
    <row r="6896" spans="1:14" x14ac:dyDescent="0.35">
      <c r="A6896">
        <v>6895</v>
      </c>
      <c r="B6896" t="s">
        <v>20</v>
      </c>
      <c r="C6896">
        <v>44</v>
      </c>
      <c r="D6896" t="s">
        <v>29</v>
      </c>
      <c r="E6896" t="s">
        <v>14</v>
      </c>
      <c r="F6896">
        <v>67</v>
      </c>
      <c r="G6896">
        <v>80</v>
      </c>
      <c r="H6896">
        <v>7.0000000000000007E-2</v>
      </c>
      <c r="I6896" t="s">
        <v>15</v>
      </c>
      <c r="J6896">
        <v>35</v>
      </c>
      <c r="K6896">
        <v>0</v>
      </c>
      <c r="L6896">
        <v>0</v>
      </c>
      <c r="M6896">
        <f>VLOOKUP(Table1[[#This Row],[subscription_type]],Plans!$A$1:$B$5,2,FALSE)</f>
        <v>0</v>
      </c>
      <c r="N6896">
        <f t="shared" si="107"/>
        <v>0</v>
      </c>
    </row>
    <row r="6897" spans="1:14" x14ac:dyDescent="0.35">
      <c r="A6897">
        <v>6896</v>
      </c>
      <c r="B6897" t="s">
        <v>20</v>
      </c>
      <c r="C6897">
        <v>20</v>
      </c>
      <c r="D6897" t="s">
        <v>13</v>
      </c>
      <c r="E6897" t="s">
        <v>18</v>
      </c>
      <c r="F6897">
        <v>288</v>
      </c>
      <c r="G6897">
        <v>37</v>
      </c>
      <c r="H6897">
        <v>0.01</v>
      </c>
      <c r="I6897" t="s">
        <v>23</v>
      </c>
      <c r="J6897">
        <v>0</v>
      </c>
      <c r="K6897">
        <v>1</v>
      </c>
      <c r="L6897">
        <v>0</v>
      </c>
      <c r="M6897">
        <f>VLOOKUP(Table1[[#This Row],[subscription_type]],Plans!$A$1:$B$5,2,FALSE)</f>
        <v>14.99</v>
      </c>
      <c r="N6897">
        <f t="shared" si="107"/>
        <v>0</v>
      </c>
    </row>
    <row r="6898" spans="1:14" x14ac:dyDescent="0.35">
      <c r="A6898">
        <v>6897</v>
      </c>
      <c r="B6898" t="s">
        <v>20</v>
      </c>
      <c r="C6898">
        <v>42</v>
      </c>
      <c r="D6898" t="s">
        <v>29</v>
      </c>
      <c r="E6898" t="s">
        <v>22</v>
      </c>
      <c r="F6898">
        <v>92</v>
      </c>
      <c r="G6898">
        <v>13</v>
      </c>
      <c r="H6898">
        <v>0.09</v>
      </c>
      <c r="I6898" t="s">
        <v>23</v>
      </c>
      <c r="J6898">
        <v>0</v>
      </c>
      <c r="K6898">
        <v>1</v>
      </c>
      <c r="L6898">
        <v>0</v>
      </c>
      <c r="M6898">
        <f>VLOOKUP(Table1[[#This Row],[subscription_type]],Plans!$A$1:$B$5,2,FALSE)</f>
        <v>9.99</v>
      </c>
      <c r="N6898">
        <f t="shared" si="107"/>
        <v>0</v>
      </c>
    </row>
    <row r="6899" spans="1:14" x14ac:dyDescent="0.35">
      <c r="A6899">
        <v>6898</v>
      </c>
      <c r="B6899" t="s">
        <v>16</v>
      </c>
      <c r="C6899">
        <v>23</v>
      </c>
      <c r="D6899" t="s">
        <v>29</v>
      </c>
      <c r="E6899" t="s">
        <v>22</v>
      </c>
      <c r="F6899">
        <v>160</v>
      </c>
      <c r="G6899">
        <v>50</v>
      </c>
      <c r="H6899">
        <v>0.2</v>
      </c>
      <c r="I6899" t="s">
        <v>19</v>
      </c>
      <c r="J6899">
        <v>0</v>
      </c>
      <c r="K6899">
        <v>1</v>
      </c>
      <c r="L6899">
        <v>0</v>
      </c>
      <c r="M6899">
        <f>VLOOKUP(Table1[[#This Row],[subscription_type]],Plans!$A$1:$B$5,2,FALSE)</f>
        <v>9.99</v>
      </c>
      <c r="N6899">
        <f t="shared" si="107"/>
        <v>0</v>
      </c>
    </row>
    <row r="6900" spans="1:14" x14ac:dyDescent="0.35">
      <c r="A6900">
        <v>6899</v>
      </c>
      <c r="B6900" t="s">
        <v>20</v>
      </c>
      <c r="C6900">
        <v>50</v>
      </c>
      <c r="D6900" t="s">
        <v>13</v>
      </c>
      <c r="E6900" t="s">
        <v>24</v>
      </c>
      <c r="F6900">
        <v>138</v>
      </c>
      <c r="G6900">
        <v>11</v>
      </c>
      <c r="H6900">
        <v>0.24</v>
      </c>
      <c r="I6900" t="s">
        <v>19</v>
      </c>
      <c r="J6900">
        <v>0</v>
      </c>
      <c r="K6900">
        <v>1</v>
      </c>
      <c r="L6900">
        <v>0</v>
      </c>
      <c r="M6900">
        <f>VLOOKUP(Table1[[#This Row],[subscription_type]],Plans!$A$1:$B$5,2,FALSE)</f>
        <v>4.99</v>
      </c>
      <c r="N6900">
        <f t="shared" si="107"/>
        <v>0</v>
      </c>
    </row>
    <row r="6901" spans="1:14" x14ac:dyDescent="0.35">
      <c r="A6901">
        <v>6900</v>
      </c>
      <c r="B6901" t="s">
        <v>12</v>
      </c>
      <c r="C6901">
        <v>54</v>
      </c>
      <c r="D6901" t="s">
        <v>21</v>
      </c>
      <c r="E6901" t="s">
        <v>18</v>
      </c>
      <c r="F6901">
        <v>16</v>
      </c>
      <c r="G6901">
        <v>14</v>
      </c>
      <c r="H6901">
        <v>0.59</v>
      </c>
      <c r="I6901" t="s">
        <v>23</v>
      </c>
      <c r="J6901">
        <v>0</v>
      </c>
      <c r="K6901">
        <v>1</v>
      </c>
      <c r="L6901">
        <v>0</v>
      </c>
      <c r="M6901">
        <f>VLOOKUP(Table1[[#This Row],[subscription_type]],Plans!$A$1:$B$5,2,FALSE)</f>
        <v>14.99</v>
      </c>
      <c r="N6901">
        <f t="shared" si="107"/>
        <v>0</v>
      </c>
    </row>
    <row r="6902" spans="1:14" x14ac:dyDescent="0.35">
      <c r="A6902">
        <v>6901</v>
      </c>
      <c r="B6902" t="s">
        <v>12</v>
      </c>
      <c r="C6902">
        <v>18</v>
      </c>
      <c r="D6902" t="s">
        <v>28</v>
      </c>
      <c r="E6902" t="s">
        <v>14</v>
      </c>
      <c r="F6902">
        <v>39</v>
      </c>
      <c r="G6902">
        <v>38</v>
      </c>
      <c r="H6902">
        <v>0.25</v>
      </c>
      <c r="I6902" t="s">
        <v>15</v>
      </c>
      <c r="J6902">
        <v>41</v>
      </c>
      <c r="K6902">
        <v>0</v>
      </c>
      <c r="L6902">
        <v>1</v>
      </c>
      <c r="M6902">
        <f>VLOOKUP(Table1[[#This Row],[subscription_type]],Plans!$A$1:$B$5,2,FALSE)</f>
        <v>0</v>
      </c>
      <c r="N6902">
        <f t="shared" si="107"/>
        <v>0</v>
      </c>
    </row>
    <row r="6903" spans="1:14" x14ac:dyDescent="0.35">
      <c r="A6903">
        <v>6902</v>
      </c>
      <c r="B6903" t="s">
        <v>12</v>
      </c>
      <c r="C6903">
        <v>51</v>
      </c>
      <c r="D6903" t="s">
        <v>25</v>
      </c>
      <c r="E6903" t="s">
        <v>14</v>
      </c>
      <c r="F6903">
        <v>214</v>
      </c>
      <c r="G6903">
        <v>26</v>
      </c>
      <c r="H6903">
        <v>0.24</v>
      </c>
      <c r="I6903" t="s">
        <v>19</v>
      </c>
      <c r="J6903">
        <v>47</v>
      </c>
      <c r="K6903">
        <v>0</v>
      </c>
      <c r="L6903">
        <v>0</v>
      </c>
      <c r="M6903">
        <f>VLOOKUP(Table1[[#This Row],[subscription_type]],Plans!$A$1:$B$5,2,FALSE)</f>
        <v>0</v>
      </c>
      <c r="N6903">
        <f t="shared" si="107"/>
        <v>0</v>
      </c>
    </row>
    <row r="6904" spans="1:14" x14ac:dyDescent="0.35">
      <c r="A6904">
        <v>6903</v>
      </c>
      <c r="B6904" t="s">
        <v>16</v>
      </c>
      <c r="C6904">
        <v>34</v>
      </c>
      <c r="D6904" t="s">
        <v>13</v>
      </c>
      <c r="E6904" t="s">
        <v>14</v>
      </c>
      <c r="F6904">
        <v>138</v>
      </c>
      <c r="G6904">
        <v>36</v>
      </c>
      <c r="H6904">
        <v>0.32</v>
      </c>
      <c r="I6904" t="s">
        <v>15</v>
      </c>
      <c r="J6904">
        <v>9</v>
      </c>
      <c r="K6904">
        <v>0</v>
      </c>
      <c r="L6904">
        <v>0</v>
      </c>
      <c r="M6904">
        <f>VLOOKUP(Table1[[#This Row],[subscription_type]],Plans!$A$1:$B$5,2,FALSE)</f>
        <v>0</v>
      </c>
      <c r="N6904">
        <f t="shared" si="107"/>
        <v>0</v>
      </c>
    </row>
    <row r="6905" spans="1:14" x14ac:dyDescent="0.35">
      <c r="A6905">
        <v>6904</v>
      </c>
      <c r="B6905" t="s">
        <v>12</v>
      </c>
      <c r="C6905">
        <v>43</v>
      </c>
      <c r="D6905" t="s">
        <v>17</v>
      </c>
      <c r="E6905" t="s">
        <v>24</v>
      </c>
      <c r="F6905">
        <v>30</v>
      </c>
      <c r="G6905">
        <v>38</v>
      </c>
      <c r="H6905">
        <v>0.18</v>
      </c>
      <c r="I6905" t="s">
        <v>19</v>
      </c>
      <c r="J6905">
        <v>0</v>
      </c>
      <c r="K6905">
        <v>1</v>
      </c>
      <c r="L6905">
        <v>0</v>
      </c>
      <c r="M6905">
        <f>VLOOKUP(Table1[[#This Row],[subscription_type]],Plans!$A$1:$B$5,2,FALSE)</f>
        <v>4.99</v>
      </c>
      <c r="N6905">
        <f t="shared" si="107"/>
        <v>0</v>
      </c>
    </row>
    <row r="6906" spans="1:14" x14ac:dyDescent="0.35">
      <c r="A6906">
        <v>6905</v>
      </c>
      <c r="B6906" t="s">
        <v>12</v>
      </c>
      <c r="C6906">
        <v>30</v>
      </c>
      <c r="D6906" t="s">
        <v>26</v>
      </c>
      <c r="E6906" t="s">
        <v>22</v>
      </c>
      <c r="F6906">
        <v>187</v>
      </c>
      <c r="G6906">
        <v>56</v>
      </c>
      <c r="H6906">
        <v>0.31</v>
      </c>
      <c r="I6906" t="s">
        <v>23</v>
      </c>
      <c r="J6906">
        <v>0</v>
      </c>
      <c r="K6906">
        <v>1</v>
      </c>
      <c r="L6906">
        <v>0</v>
      </c>
      <c r="M6906">
        <f>VLOOKUP(Table1[[#This Row],[subscription_type]],Plans!$A$1:$B$5,2,FALSE)</f>
        <v>9.99</v>
      </c>
      <c r="N6906">
        <f t="shared" si="107"/>
        <v>0</v>
      </c>
    </row>
    <row r="6907" spans="1:14" x14ac:dyDescent="0.35">
      <c r="A6907">
        <v>6906</v>
      </c>
      <c r="B6907" t="s">
        <v>16</v>
      </c>
      <c r="C6907">
        <v>57</v>
      </c>
      <c r="D6907" t="s">
        <v>17</v>
      </c>
      <c r="E6907" t="s">
        <v>24</v>
      </c>
      <c r="F6907">
        <v>214</v>
      </c>
      <c r="G6907">
        <v>30</v>
      </c>
      <c r="H6907">
        <v>0.17</v>
      </c>
      <c r="I6907" t="s">
        <v>15</v>
      </c>
      <c r="J6907">
        <v>0</v>
      </c>
      <c r="K6907">
        <v>1</v>
      </c>
      <c r="L6907">
        <v>1</v>
      </c>
      <c r="M6907">
        <f>VLOOKUP(Table1[[#This Row],[subscription_type]],Plans!$A$1:$B$5,2,FALSE)</f>
        <v>4.99</v>
      </c>
      <c r="N6907">
        <f t="shared" si="107"/>
        <v>4.99</v>
      </c>
    </row>
    <row r="6908" spans="1:14" x14ac:dyDescent="0.35">
      <c r="A6908">
        <v>6907</v>
      </c>
      <c r="B6908" t="s">
        <v>12</v>
      </c>
      <c r="C6908">
        <v>59</v>
      </c>
      <c r="D6908" t="s">
        <v>25</v>
      </c>
      <c r="E6908" t="s">
        <v>22</v>
      </c>
      <c r="F6908">
        <v>238</v>
      </c>
      <c r="G6908">
        <v>95</v>
      </c>
      <c r="H6908">
        <v>0.12</v>
      </c>
      <c r="I6908" t="s">
        <v>15</v>
      </c>
      <c r="J6908">
        <v>0</v>
      </c>
      <c r="K6908">
        <v>1</v>
      </c>
      <c r="L6908">
        <v>1</v>
      </c>
      <c r="M6908">
        <f>VLOOKUP(Table1[[#This Row],[subscription_type]],Plans!$A$1:$B$5,2,FALSE)</f>
        <v>9.99</v>
      </c>
      <c r="N6908">
        <f t="shared" si="107"/>
        <v>9.99</v>
      </c>
    </row>
    <row r="6909" spans="1:14" x14ac:dyDescent="0.35">
      <c r="A6909">
        <v>6908</v>
      </c>
      <c r="B6909" t="s">
        <v>20</v>
      </c>
      <c r="C6909">
        <v>50</v>
      </c>
      <c r="D6909" t="s">
        <v>17</v>
      </c>
      <c r="E6909" t="s">
        <v>24</v>
      </c>
      <c r="F6909">
        <v>177</v>
      </c>
      <c r="G6909">
        <v>15</v>
      </c>
      <c r="H6909">
        <v>0.3</v>
      </c>
      <c r="I6909" t="s">
        <v>15</v>
      </c>
      <c r="J6909">
        <v>0</v>
      </c>
      <c r="K6909">
        <v>1</v>
      </c>
      <c r="L6909">
        <v>1</v>
      </c>
      <c r="M6909">
        <f>VLOOKUP(Table1[[#This Row],[subscription_type]],Plans!$A$1:$B$5,2,FALSE)</f>
        <v>4.99</v>
      </c>
      <c r="N6909">
        <f t="shared" si="107"/>
        <v>4.99</v>
      </c>
    </row>
    <row r="6910" spans="1:14" x14ac:dyDescent="0.35">
      <c r="A6910">
        <v>6909</v>
      </c>
      <c r="B6910" t="s">
        <v>12</v>
      </c>
      <c r="C6910">
        <v>58</v>
      </c>
      <c r="D6910" t="s">
        <v>25</v>
      </c>
      <c r="E6910" t="s">
        <v>24</v>
      </c>
      <c r="F6910">
        <v>124</v>
      </c>
      <c r="G6910">
        <v>4</v>
      </c>
      <c r="H6910">
        <v>0.46</v>
      </c>
      <c r="I6910" t="s">
        <v>19</v>
      </c>
      <c r="J6910">
        <v>0</v>
      </c>
      <c r="K6910">
        <v>1</v>
      </c>
      <c r="L6910">
        <v>1</v>
      </c>
      <c r="M6910">
        <f>VLOOKUP(Table1[[#This Row],[subscription_type]],Plans!$A$1:$B$5,2,FALSE)</f>
        <v>4.99</v>
      </c>
      <c r="N6910">
        <f t="shared" si="107"/>
        <v>4.99</v>
      </c>
    </row>
    <row r="6911" spans="1:14" x14ac:dyDescent="0.35">
      <c r="A6911">
        <v>6910</v>
      </c>
      <c r="B6911" t="s">
        <v>20</v>
      </c>
      <c r="C6911">
        <v>21</v>
      </c>
      <c r="D6911" t="s">
        <v>28</v>
      </c>
      <c r="E6911" t="s">
        <v>14</v>
      </c>
      <c r="F6911">
        <v>126</v>
      </c>
      <c r="G6911">
        <v>31</v>
      </c>
      <c r="H6911">
        <v>0.46</v>
      </c>
      <c r="I6911" t="s">
        <v>15</v>
      </c>
      <c r="J6911">
        <v>15</v>
      </c>
      <c r="K6911">
        <v>0</v>
      </c>
      <c r="L6911">
        <v>1</v>
      </c>
      <c r="M6911">
        <f>VLOOKUP(Table1[[#This Row],[subscription_type]],Plans!$A$1:$B$5,2,FALSE)</f>
        <v>0</v>
      </c>
      <c r="N6911">
        <f t="shared" si="107"/>
        <v>0</v>
      </c>
    </row>
    <row r="6912" spans="1:14" x14ac:dyDescent="0.35">
      <c r="A6912">
        <v>6911</v>
      </c>
      <c r="B6912" t="s">
        <v>12</v>
      </c>
      <c r="C6912">
        <v>28</v>
      </c>
      <c r="D6912" t="s">
        <v>27</v>
      </c>
      <c r="E6912" t="s">
        <v>22</v>
      </c>
      <c r="F6912">
        <v>115</v>
      </c>
      <c r="G6912">
        <v>46</v>
      </c>
      <c r="H6912">
        <v>0.56000000000000005</v>
      </c>
      <c r="I6912" t="s">
        <v>15</v>
      </c>
      <c r="J6912">
        <v>0</v>
      </c>
      <c r="K6912">
        <v>1</v>
      </c>
      <c r="L6912">
        <v>0</v>
      </c>
      <c r="M6912">
        <f>VLOOKUP(Table1[[#This Row],[subscription_type]],Plans!$A$1:$B$5,2,FALSE)</f>
        <v>9.99</v>
      </c>
      <c r="N6912">
        <f t="shared" si="107"/>
        <v>0</v>
      </c>
    </row>
    <row r="6913" spans="1:14" x14ac:dyDescent="0.35">
      <c r="A6913">
        <v>6912</v>
      </c>
      <c r="B6913" t="s">
        <v>20</v>
      </c>
      <c r="C6913">
        <v>52</v>
      </c>
      <c r="D6913" t="s">
        <v>27</v>
      </c>
      <c r="E6913" t="s">
        <v>14</v>
      </c>
      <c r="F6913">
        <v>191</v>
      </c>
      <c r="G6913">
        <v>39</v>
      </c>
      <c r="H6913">
        <v>0.19</v>
      </c>
      <c r="I6913" t="s">
        <v>19</v>
      </c>
      <c r="J6913">
        <v>7</v>
      </c>
      <c r="K6913">
        <v>0</v>
      </c>
      <c r="L6913">
        <v>0</v>
      </c>
      <c r="M6913">
        <f>VLOOKUP(Table1[[#This Row],[subscription_type]],Plans!$A$1:$B$5,2,FALSE)</f>
        <v>0</v>
      </c>
      <c r="N6913">
        <f t="shared" si="107"/>
        <v>0</v>
      </c>
    </row>
    <row r="6914" spans="1:14" x14ac:dyDescent="0.35">
      <c r="A6914">
        <v>6913</v>
      </c>
      <c r="B6914" t="s">
        <v>12</v>
      </c>
      <c r="C6914">
        <v>27</v>
      </c>
      <c r="D6914" t="s">
        <v>27</v>
      </c>
      <c r="E6914" t="s">
        <v>22</v>
      </c>
      <c r="F6914">
        <v>264</v>
      </c>
      <c r="G6914">
        <v>84</v>
      </c>
      <c r="H6914">
        <v>0.4</v>
      </c>
      <c r="I6914" t="s">
        <v>19</v>
      </c>
      <c r="J6914">
        <v>0</v>
      </c>
      <c r="K6914">
        <v>1</v>
      </c>
      <c r="L6914">
        <v>0</v>
      </c>
      <c r="M6914">
        <f>VLOOKUP(Table1[[#This Row],[subscription_type]],Plans!$A$1:$B$5,2,FALSE)</f>
        <v>9.99</v>
      </c>
      <c r="N6914">
        <f t="shared" ref="N6914:N6977" si="108">IF(L6914=1, M6914,0)</f>
        <v>0</v>
      </c>
    </row>
    <row r="6915" spans="1:14" x14ac:dyDescent="0.35">
      <c r="A6915">
        <v>6914</v>
      </c>
      <c r="B6915" t="s">
        <v>16</v>
      </c>
      <c r="C6915">
        <v>27</v>
      </c>
      <c r="D6915" t="s">
        <v>13</v>
      </c>
      <c r="E6915" t="s">
        <v>18</v>
      </c>
      <c r="F6915">
        <v>83</v>
      </c>
      <c r="G6915">
        <v>68</v>
      </c>
      <c r="H6915">
        <v>0.21</v>
      </c>
      <c r="I6915" t="s">
        <v>19</v>
      </c>
      <c r="J6915">
        <v>0</v>
      </c>
      <c r="K6915">
        <v>1</v>
      </c>
      <c r="L6915">
        <v>1</v>
      </c>
      <c r="M6915">
        <f>VLOOKUP(Table1[[#This Row],[subscription_type]],Plans!$A$1:$B$5,2,FALSE)</f>
        <v>14.99</v>
      </c>
      <c r="N6915">
        <f t="shared" si="108"/>
        <v>14.99</v>
      </c>
    </row>
    <row r="6916" spans="1:14" x14ac:dyDescent="0.35">
      <c r="A6916">
        <v>6915</v>
      </c>
      <c r="B6916" t="s">
        <v>20</v>
      </c>
      <c r="C6916">
        <v>40</v>
      </c>
      <c r="D6916" t="s">
        <v>27</v>
      </c>
      <c r="E6916" t="s">
        <v>14</v>
      </c>
      <c r="F6916">
        <v>151</v>
      </c>
      <c r="G6916">
        <v>96</v>
      </c>
      <c r="H6916">
        <v>0.42</v>
      </c>
      <c r="I6916" t="s">
        <v>19</v>
      </c>
      <c r="J6916">
        <v>18</v>
      </c>
      <c r="K6916">
        <v>0</v>
      </c>
      <c r="L6916">
        <v>0</v>
      </c>
      <c r="M6916">
        <f>VLOOKUP(Table1[[#This Row],[subscription_type]],Plans!$A$1:$B$5,2,FALSE)</f>
        <v>0</v>
      </c>
      <c r="N6916">
        <f t="shared" si="108"/>
        <v>0</v>
      </c>
    </row>
    <row r="6917" spans="1:14" x14ac:dyDescent="0.35">
      <c r="A6917">
        <v>6916</v>
      </c>
      <c r="B6917" t="s">
        <v>20</v>
      </c>
      <c r="C6917">
        <v>37</v>
      </c>
      <c r="D6917" t="s">
        <v>28</v>
      </c>
      <c r="E6917" t="s">
        <v>24</v>
      </c>
      <c r="F6917">
        <v>147</v>
      </c>
      <c r="G6917">
        <v>72</v>
      </c>
      <c r="H6917">
        <v>0.05</v>
      </c>
      <c r="I6917" t="s">
        <v>15</v>
      </c>
      <c r="J6917">
        <v>0</v>
      </c>
      <c r="K6917">
        <v>1</v>
      </c>
      <c r="L6917">
        <v>1</v>
      </c>
      <c r="M6917">
        <f>VLOOKUP(Table1[[#This Row],[subscription_type]],Plans!$A$1:$B$5,2,FALSE)</f>
        <v>4.99</v>
      </c>
      <c r="N6917">
        <f t="shared" si="108"/>
        <v>4.99</v>
      </c>
    </row>
    <row r="6918" spans="1:14" x14ac:dyDescent="0.35">
      <c r="A6918">
        <v>6917</v>
      </c>
      <c r="B6918" t="s">
        <v>20</v>
      </c>
      <c r="C6918">
        <v>22</v>
      </c>
      <c r="D6918" t="s">
        <v>13</v>
      </c>
      <c r="E6918" t="s">
        <v>22</v>
      </c>
      <c r="F6918">
        <v>131</v>
      </c>
      <c r="G6918">
        <v>10</v>
      </c>
      <c r="H6918">
        <v>0.12</v>
      </c>
      <c r="I6918" t="s">
        <v>23</v>
      </c>
      <c r="J6918">
        <v>0</v>
      </c>
      <c r="K6918">
        <v>1</v>
      </c>
      <c r="L6918">
        <v>0</v>
      </c>
      <c r="M6918">
        <f>VLOOKUP(Table1[[#This Row],[subscription_type]],Plans!$A$1:$B$5,2,FALSE)</f>
        <v>9.99</v>
      </c>
      <c r="N6918">
        <f t="shared" si="108"/>
        <v>0</v>
      </c>
    </row>
    <row r="6919" spans="1:14" x14ac:dyDescent="0.35">
      <c r="A6919">
        <v>6918</v>
      </c>
      <c r="B6919" t="s">
        <v>16</v>
      </c>
      <c r="C6919">
        <v>32</v>
      </c>
      <c r="D6919" t="s">
        <v>21</v>
      </c>
      <c r="E6919" t="s">
        <v>24</v>
      </c>
      <c r="F6919">
        <v>91</v>
      </c>
      <c r="G6919">
        <v>31</v>
      </c>
      <c r="H6919">
        <v>0.32</v>
      </c>
      <c r="I6919" t="s">
        <v>19</v>
      </c>
      <c r="J6919">
        <v>0</v>
      </c>
      <c r="K6919">
        <v>1</v>
      </c>
      <c r="L6919">
        <v>0</v>
      </c>
      <c r="M6919">
        <f>VLOOKUP(Table1[[#This Row],[subscription_type]],Plans!$A$1:$B$5,2,FALSE)</f>
        <v>4.99</v>
      </c>
      <c r="N6919">
        <f t="shared" si="108"/>
        <v>0</v>
      </c>
    </row>
    <row r="6920" spans="1:14" x14ac:dyDescent="0.35">
      <c r="A6920">
        <v>6919</v>
      </c>
      <c r="B6920" t="s">
        <v>20</v>
      </c>
      <c r="C6920">
        <v>33</v>
      </c>
      <c r="D6920" t="s">
        <v>28</v>
      </c>
      <c r="E6920" t="s">
        <v>24</v>
      </c>
      <c r="F6920">
        <v>62</v>
      </c>
      <c r="G6920">
        <v>14</v>
      </c>
      <c r="H6920">
        <v>0.04</v>
      </c>
      <c r="I6920" t="s">
        <v>19</v>
      </c>
      <c r="J6920">
        <v>0</v>
      </c>
      <c r="K6920">
        <v>1</v>
      </c>
      <c r="L6920">
        <v>0</v>
      </c>
      <c r="M6920">
        <f>VLOOKUP(Table1[[#This Row],[subscription_type]],Plans!$A$1:$B$5,2,FALSE)</f>
        <v>4.99</v>
      </c>
      <c r="N6920">
        <f t="shared" si="108"/>
        <v>0</v>
      </c>
    </row>
    <row r="6921" spans="1:14" x14ac:dyDescent="0.35">
      <c r="A6921">
        <v>6920</v>
      </c>
      <c r="B6921" t="s">
        <v>20</v>
      </c>
      <c r="C6921">
        <v>47</v>
      </c>
      <c r="D6921" t="s">
        <v>25</v>
      </c>
      <c r="E6921" t="s">
        <v>24</v>
      </c>
      <c r="F6921">
        <v>287</v>
      </c>
      <c r="G6921">
        <v>69</v>
      </c>
      <c r="H6921">
        <v>0.22</v>
      </c>
      <c r="I6921" t="s">
        <v>15</v>
      </c>
      <c r="J6921">
        <v>0</v>
      </c>
      <c r="K6921">
        <v>1</v>
      </c>
      <c r="L6921">
        <v>0</v>
      </c>
      <c r="M6921">
        <f>VLOOKUP(Table1[[#This Row],[subscription_type]],Plans!$A$1:$B$5,2,FALSE)</f>
        <v>4.99</v>
      </c>
      <c r="N6921">
        <f t="shared" si="108"/>
        <v>0</v>
      </c>
    </row>
    <row r="6922" spans="1:14" x14ac:dyDescent="0.35">
      <c r="A6922">
        <v>6921</v>
      </c>
      <c r="B6922" t="s">
        <v>12</v>
      </c>
      <c r="C6922">
        <v>30</v>
      </c>
      <c r="D6922" t="s">
        <v>13</v>
      </c>
      <c r="E6922" t="s">
        <v>24</v>
      </c>
      <c r="F6922">
        <v>44</v>
      </c>
      <c r="G6922">
        <v>30</v>
      </c>
      <c r="H6922">
        <v>0.57999999999999996</v>
      </c>
      <c r="I6922" t="s">
        <v>19</v>
      </c>
      <c r="J6922">
        <v>0</v>
      </c>
      <c r="K6922">
        <v>1</v>
      </c>
      <c r="L6922">
        <v>1</v>
      </c>
      <c r="M6922">
        <f>VLOOKUP(Table1[[#This Row],[subscription_type]],Plans!$A$1:$B$5,2,FALSE)</f>
        <v>4.99</v>
      </c>
      <c r="N6922">
        <f t="shared" si="108"/>
        <v>4.99</v>
      </c>
    </row>
    <row r="6923" spans="1:14" x14ac:dyDescent="0.35">
      <c r="A6923">
        <v>6922</v>
      </c>
      <c r="B6923" t="s">
        <v>12</v>
      </c>
      <c r="C6923">
        <v>52</v>
      </c>
      <c r="D6923" t="s">
        <v>25</v>
      </c>
      <c r="E6923" t="s">
        <v>14</v>
      </c>
      <c r="F6923">
        <v>239</v>
      </c>
      <c r="G6923">
        <v>59</v>
      </c>
      <c r="H6923">
        <v>0.05</v>
      </c>
      <c r="I6923" t="s">
        <v>19</v>
      </c>
      <c r="J6923">
        <v>8</v>
      </c>
      <c r="K6923">
        <v>0</v>
      </c>
      <c r="L6923">
        <v>0</v>
      </c>
      <c r="M6923">
        <f>VLOOKUP(Table1[[#This Row],[subscription_type]],Plans!$A$1:$B$5,2,FALSE)</f>
        <v>0</v>
      </c>
      <c r="N6923">
        <f t="shared" si="108"/>
        <v>0</v>
      </c>
    </row>
    <row r="6924" spans="1:14" x14ac:dyDescent="0.35">
      <c r="A6924">
        <v>6923</v>
      </c>
      <c r="B6924" t="s">
        <v>12</v>
      </c>
      <c r="C6924">
        <v>41</v>
      </c>
      <c r="D6924" t="s">
        <v>25</v>
      </c>
      <c r="E6924" t="s">
        <v>22</v>
      </c>
      <c r="F6924">
        <v>132</v>
      </c>
      <c r="G6924">
        <v>4</v>
      </c>
      <c r="H6924">
        <v>0.35</v>
      </c>
      <c r="I6924" t="s">
        <v>23</v>
      </c>
      <c r="J6924">
        <v>0</v>
      </c>
      <c r="K6924">
        <v>1</v>
      </c>
      <c r="L6924">
        <v>0</v>
      </c>
      <c r="M6924">
        <f>VLOOKUP(Table1[[#This Row],[subscription_type]],Plans!$A$1:$B$5,2,FALSE)</f>
        <v>9.99</v>
      </c>
      <c r="N6924">
        <f t="shared" si="108"/>
        <v>0</v>
      </c>
    </row>
    <row r="6925" spans="1:14" x14ac:dyDescent="0.35">
      <c r="A6925">
        <v>6924</v>
      </c>
      <c r="B6925" t="s">
        <v>12</v>
      </c>
      <c r="C6925">
        <v>40</v>
      </c>
      <c r="D6925" t="s">
        <v>29</v>
      </c>
      <c r="E6925" t="s">
        <v>24</v>
      </c>
      <c r="F6925">
        <v>211</v>
      </c>
      <c r="G6925">
        <v>43</v>
      </c>
      <c r="H6925">
        <v>0.17</v>
      </c>
      <c r="I6925" t="s">
        <v>23</v>
      </c>
      <c r="J6925">
        <v>0</v>
      </c>
      <c r="K6925">
        <v>1</v>
      </c>
      <c r="L6925">
        <v>1</v>
      </c>
      <c r="M6925">
        <f>VLOOKUP(Table1[[#This Row],[subscription_type]],Plans!$A$1:$B$5,2,FALSE)</f>
        <v>4.99</v>
      </c>
      <c r="N6925">
        <f t="shared" si="108"/>
        <v>4.99</v>
      </c>
    </row>
    <row r="6926" spans="1:14" x14ac:dyDescent="0.35">
      <c r="A6926">
        <v>6925</v>
      </c>
      <c r="B6926" t="s">
        <v>20</v>
      </c>
      <c r="C6926">
        <v>58</v>
      </c>
      <c r="D6926" t="s">
        <v>28</v>
      </c>
      <c r="E6926" t="s">
        <v>14</v>
      </c>
      <c r="F6926">
        <v>44</v>
      </c>
      <c r="G6926">
        <v>30</v>
      </c>
      <c r="H6926">
        <v>0.59</v>
      </c>
      <c r="I6926" t="s">
        <v>15</v>
      </c>
      <c r="J6926">
        <v>18</v>
      </c>
      <c r="K6926">
        <v>0</v>
      </c>
      <c r="L6926">
        <v>0</v>
      </c>
      <c r="M6926">
        <f>VLOOKUP(Table1[[#This Row],[subscription_type]],Plans!$A$1:$B$5,2,FALSE)</f>
        <v>0</v>
      </c>
      <c r="N6926">
        <f t="shared" si="108"/>
        <v>0</v>
      </c>
    </row>
    <row r="6927" spans="1:14" x14ac:dyDescent="0.35">
      <c r="A6927">
        <v>6926</v>
      </c>
      <c r="B6927" t="s">
        <v>16</v>
      </c>
      <c r="C6927">
        <v>41</v>
      </c>
      <c r="D6927" t="s">
        <v>21</v>
      </c>
      <c r="E6927" t="s">
        <v>24</v>
      </c>
      <c r="F6927">
        <v>207</v>
      </c>
      <c r="G6927">
        <v>40</v>
      </c>
      <c r="H6927">
        <v>0.37</v>
      </c>
      <c r="I6927" t="s">
        <v>15</v>
      </c>
      <c r="J6927">
        <v>0</v>
      </c>
      <c r="K6927">
        <v>1</v>
      </c>
      <c r="L6927">
        <v>0</v>
      </c>
      <c r="M6927">
        <f>VLOOKUP(Table1[[#This Row],[subscription_type]],Plans!$A$1:$B$5,2,FALSE)</f>
        <v>4.99</v>
      </c>
      <c r="N6927">
        <f t="shared" si="108"/>
        <v>0</v>
      </c>
    </row>
    <row r="6928" spans="1:14" x14ac:dyDescent="0.35">
      <c r="A6928">
        <v>6927</v>
      </c>
      <c r="B6928" t="s">
        <v>12</v>
      </c>
      <c r="C6928">
        <v>52</v>
      </c>
      <c r="D6928" t="s">
        <v>17</v>
      </c>
      <c r="E6928" t="s">
        <v>22</v>
      </c>
      <c r="F6928">
        <v>99</v>
      </c>
      <c r="G6928">
        <v>5</v>
      </c>
      <c r="H6928">
        <v>0.19</v>
      </c>
      <c r="I6928" t="s">
        <v>15</v>
      </c>
      <c r="J6928">
        <v>0</v>
      </c>
      <c r="K6928">
        <v>1</v>
      </c>
      <c r="L6928">
        <v>0</v>
      </c>
      <c r="M6928">
        <f>VLOOKUP(Table1[[#This Row],[subscription_type]],Plans!$A$1:$B$5,2,FALSE)</f>
        <v>9.99</v>
      </c>
      <c r="N6928">
        <f t="shared" si="108"/>
        <v>0</v>
      </c>
    </row>
    <row r="6929" spans="1:14" x14ac:dyDescent="0.35">
      <c r="A6929">
        <v>6928</v>
      </c>
      <c r="B6929" t="s">
        <v>16</v>
      </c>
      <c r="C6929">
        <v>37</v>
      </c>
      <c r="D6929" t="s">
        <v>17</v>
      </c>
      <c r="E6929" t="s">
        <v>22</v>
      </c>
      <c r="F6929">
        <v>292</v>
      </c>
      <c r="G6929">
        <v>15</v>
      </c>
      <c r="H6929">
        <v>0.48</v>
      </c>
      <c r="I6929" t="s">
        <v>23</v>
      </c>
      <c r="J6929">
        <v>0</v>
      </c>
      <c r="K6929">
        <v>1</v>
      </c>
      <c r="L6929">
        <v>0</v>
      </c>
      <c r="M6929">
        <f>VLOOKUP(Table1[[#This Row],[subscription_type]],Plans!$A$1:$B$5,2,FALSE)</f>
        <v>9.99</v>
      </c>
      <c r="N6929">
        <f t="shared" si="108"/>
        <v>0</v>
      </c>
    </row>
    <row r="6930" spans="1:14" x14ac:dyDescent="0.35">
      <c r="A6930">
        <v>6929</v>
      </c>
      <c r="B6930" t="s">
        <v>20</v>
      </c>
      <c r="C6930">
        <v>21</v>
      </c>
      <c r="D6930" t="s">
        <v>29</v>
      </c>
      <c r="E6930" t="s">
        <v>24</v>
      </c>
      <c r="F6930">
        <v>156</v>
      </c>
      <c r="G6930">
        <v>55</v>
      </c>
      <c r="H6930">
        <v>0.34</v>
      </c>
      <c r="I6930" t="s">
        <v>15</v>
      </c>
      <c r="J6930">
        <v>0</v>
      </c>
      <c r="K6930">
        <v>1</v>
      </c>
      <c r="L6930">
        <v>0</v>
      </c>
      <c r="M6930">
        <f>VLOOKUP(Table1[[#This Row],[subscription_type]],Plans!$A$1:$B$5,2,FALSE)</f>
        <v>4.99</v>
      </c>
      <c r="N6930">
        <f t="shared" si="108"/>
        <v>0</v>
      </c>
    </row>
    <row r="6931" spans="1:14" x14ac:dyDescent="0.35">
      <c r="A6931">
        <v>6930</v>
      </c>
      <c r="B6931" t="s">
        <v>20</v>
      </c>
      <c r="C6931">
        <v>40</v>
      </c>
      <c r="D6931" t="s">
        <v>13</v>
      </c>
      <c r="E6931" t="s">
        <v>14</v>
      </c>
      <c r="F6931">
        <v>26</v>
      </c>
      <c r="G6931">
        <v>81</v>
      </c>
      <c r="H6931">
        <v>0.45</v>
      </c>
      <c r="I6931" t="s">
        <v>15</v>
      </c>
      <c r="J6931">
        <v>7</v>
      </c>
      <c r="K6931">
        <v>0</v>
      </c>
      <c r="L6931">
        <v>1</v>
      </c>
      <c r="M6931">
        <f>VLOOKUP(Table1[[#This Row],[subscription_type]],Plans!$A$1:$B$5,2,FALSE)</f>
        <v>0</v>
      </c>
      <c r="N6931">
        <f t="shared" si="108"/>
        <v>0</v>
      </c>
    </row>
    <row r="6932" spans="1:14" x14ac:dyDescent="0.35">
      <c r="A6932">
        <v>6931</v>
      </c>
      <c r="B6932" t="s">
        <v>12</v>
      </c>
      <c r="C6932">
        <v>25</v>
      </c>
      <c r="D6932" t="s">
        <v>27</v>
      </c>
      <c r="E6932" t="s">
        <v>14</v>
      </c>
      <c r="F6932">
        <v>139</v>
      </c>
      <c r="G6932">
        <v>49</v>
      </c>
      <c r="H6932">
        <v>0.5</v>
      </c>
      <c r="I6932" t="s">
        <v>15</v>
      </c>
      <c r="J6932">
        <v>14</v>
      </c>
      <c r="K6932">
        <v>0</v>
      </c>
      <c r="L6932">
        <v>0</v>
      </c>
      <c r="M6932">
        <f>VLOOKUP(Table1[[#This Row],[subscription_type]],Plans!$A$1:$B$5,2,FALSE)</f>
        <v>0</v>
      </c>
      <c r="N6932">
        <f t="shared" si="108"/>
        <v>0</v>
      </c>
    </row>
    <row r="6933" spans="1:14" x14ac:dyDescent="0.35">
      <c r="A6933">
        <v>6932</v>
      </c>
      <c r="B6933" t="s">
        <v>12</v>
      </c>
      <c r="C6933">
        <v>35</v>
      </c>
      <c r="D6933" t="s">
        <v>13</v>
      </c>
      <c r="E6933" t="s">
        <v>22</v>
      </c>
      <c r="F6933">
        <v>267</v>
      </c>
      <c r="G6933">
        <v>30</v>
      </c>
      <c r="H6933">
        <v>0.59</v>
      </c>
      <c r="I6933" t="s">
        <v>15</v>
      </c>
      <c r="J6933">
        <v>0</v>
      </c>
      <c r="K6933">
        <v>1</v>
      </c>
      <c r="L6933">
        <v>0</v>
      </c>
      <c r="M6933">
        <f>VLOOKUP(Table1[[#This Row],[subscription_type]],Plans!$A$1:$B$5,2,FALSE)</f>
        <v>9.99</v>
      </c>
      <c r="N6933">
        <f t="shared" si="108"/>
        <v>0</v>
      </c>
    </row>
    <row r="6934" spans="1:14" x14ac:dyDescent="0.35">
      <c r="A6934">
        <v>6933</v>
      </c>
      <c r="B6934" t="s">
        <v>20</v>
      </c>
      <c r="C6934">
        <v>51</v>
      </c>
      <c r="D6934" t="s">
        <v>26</v>
      </c>
      <c r="E6934" t="s">
        <v>22</v>
      </c>
      <c r="F6934">
        <v>174</v>
      </c>
      <c r="G6934">
        <v>58</v>
      </c>
      <c r="H6934">
        <v>0.15</v>
      </c>
      <c r="I6934" t="s">
        <v>19</v>
      </c>
      <c r="J6934">
        <v>0</v>
      </c>
      <c r="K6934">
        <v>1</v>
      </c>
      <c r="L6934">
        <v>0</v>
      </c>
      <c r="M6934">
        <f>VLOOKUP(Table1[[#This Row],[subscription_type]],Plans!$A$1:$B$5,2,FALSE)</f>
        <v>9.99</v>
      </c>
      <c r="N6934">
        <f t="shared" si="108"/>
        <v>0</v>
      </c>
    </row>
    <row r="6935" spans="1:14" x14ac:dyDescent="0.35">
      <c r="A6935">
        <v>6934</v>
      </c>
      <c r="B6935" t="s">
        <v>16</v>
      </c>
      <c r="C6935">
        <v>52</v>
      </c>
      <c r="D6935" t="s">
        <v>26</v>
      </c>
      <c r="E6935" t="s">
        <v>24</v>
      </c>
      <c r="F6935">
        <v>135</v>
      </c>
      <c r="G6935">
        <v>10</v>
      </c>
      <c r="H6935">
        <v>0.47</v>
      </c>
      <c r="I6935" t="s">
        <v>15</v>
      </c>
      <c r="J6935">
        <v>0</v>
      </c>
      <c r="K6935">
        <v>1</v>
      </c>
      <c r="L6935">
        <v>1</v>
      </c>
      <c r="M6935">
        <f>VLOOKUP(Table1[[#This Row],[subscription_type]],Plans!$A$1:$B$5,2,FALSE)</f>
        <v>4.99</v>
      </c>
      <c r="N6935">
        <f t="shared" si="108"/>
        <v>4.99</v>
      </c>
    </row>
    <row r="6936" spans="1:14" x14ac:dyDescent="0.35">
      <c r="A6936">
        <v>6935</v>
      </c>
      <c r="B6936" t="s">
        <v>20</v>
      </c>
      <c r="C6936">
        <v>18</v>
      </c>
      <c r="D6936" t="s">
        <v>26</v>
      </c>
      <c r="E6936" t="s">
        <v>24</v>
      </c>
      <c r="F6936">
        <v>195</v>
      </c>
      <c r="G6936">
        <v>99</v>
      </c>
      <c r="H6936">
        <v>0.3</v>
      </c>
      <c r="I6936" t="s">
        <v>15</v>
      </c>
      <c r="J6936">
        <v>0</v>
      </c>
      <c r="K6936">
        <v>1</v>
      </c>
      <c r="L6936">
        <v>1</v>
      </c>
      <c r="M6936">
        <f>VLOOKUP(Table1[[#This Row],[subscription_type]],Plans!$A$1:$B$5,2,FALSE)</f>
        <v>4.99</v>
      </c>
      <c r="N6936">
        <f t="shared" si="108"/>
        <v>4.99</v>
      </c>
    </row>
    <row r="6937" spans="1:14" x14ac:dyDescent="0.35">
      <c r="A6937">
        <v>6936</v>
      </c>
      <c r="B6937" t="s">
        <v>12</v>
      </c>
      <c r="C6937">
        <v>32</v>
      </c>
      <c r="D6937" t="s">
        <v>29</v>
      </c>
      <c r="E6937" t="s">
        <v>24</v>
      </c>
      <c r="F6937">
        <v>242</v>
      </c>
      <c r="G6937">
        <v>9</v>
      </c>
      <c r="H6937">
        <v>0.43</v>
      </c>
      <c r="I6937" t="s">
        <v>23</v>
      </c>
      <c r="J6937">
        <v>0</v>
      </c>
      <c r="K6937">
        <v>1</v>
      </c>
      <c r="L6937">
        <v>0</v>
      </c>
      <c r="M6937">
        <f>VLOOKUP(Table1[[#This Row],[subscription_type]],Plans!$A$1:$B$5,2,FALSE)</f>
        <v>4.99</v>
      </c>
      <c r="N6937">
        <f t="shared" si="108"/>
        <v>0</v>
      </c>
    </row>
    <row r="6938" spans="1:14" x14ac:dyDescent="0.35">
      <c r="A6938">
        <v>6937</v>
      </c>
      <c r="B6938" t="s">
        <v>12</v>
      </c>
      <c r="C6938">
        <v>56</v>
      </c>
      <c r="D6938" t="s">
        <v>28</v>
      </c>
      <c r="E6938" t="s">
        <v>14</v>
      </c>
      <c r="F6938">
        <v>149</v>
      </c>
      <c r="G6938">
        <v>6</v>
      </c>
      <c r="H6938">
        <v>0.48</v>
      </c>
      <c r="I6938" t="s">
        <v>19</v>
      </c>
      <c r="J6938">
        <v>39</v>
      </c>
      <c r="K6938">
        <v>0</v>
      </c>
      <c r="L6938">
        <v>0</v>
      </c>
      <c r="M6938">
        <f>VLOOKUP(Table1[[#This Row],[subscription_type]],Plans!$A$1:$B$5,2,FALSE)</f>
        <v>0</v>
      </c>
      <c r="N6938">
        <f t="shared" si="108"/>
        <v>0</v>
      </c>
    </row>
    <row r="6939" spans="1:14" x14ac:dyDescent="0.35">
      <c r="A6939">
        <v>6938</v>
      </c>
      <c r="B6939" t="s">
        <v>16</v>
      </c>
      <c r="C6939">
        <v>16</v>
      </c>
      <c r="D6939" t="s">
        <v>27</v>
      </c>
      <c r="E6939" t="s">
        <v>18</v>
      </c>
      <c r="F6939">
        <v>220</v>
      </c>
      <c r="G6939">
        <v>4</v>
      </c>
      <c r="H6939">
        <v>0.6</v>
      </c>
      <c r="I6939" t="s">
        <v>15</v>
      </c>
      <c r="J6939">
        <v>0</v>
      </c>
      <c r="K6939">
        <v>1</v>
      </c>
      <c r="L6939">
        <v>1</v>
      </c>
      <c r="M6939">
        <f>VLOOKUP(Table1[[#This Row],[subscription_type]],Plans!$A$1:$B$5,2,FALSE)</f>
        <v>14.99</v>
      </c>
      <c r="N6939">
        <f t="shared" si="108"/>
        <v>14.99</v>
      </c>
    </row>
    <row r="6940" spans="1:14" x14ac:dyDescent="0.35">
      <c r="A6940">
        <v>6939</v>
      </c>
      <c r="B6940" t="s">
        <v>12</v>
      </c>
      <c r="C6940">
        <v>38</v>
      </c>
      <c r="D6940" t="s">
        <v>29</v>
      </c>
      <c r="E6940" t="s">
        <v>22</v>
      </c>
      <c r="F6940">
        <v>55</v>
      </c>
      <c r="G6940">
        <v>75</v>
      </c>
      <c r="H6940">
        <v>0.12</v>
      </c>
      <c r="I6940" t="s">
        <v>19</v>
      </c>
      <c r="J6940">
        <v>0</v>
      </c>
      <c r="K6940">
        <v>1</v>
      </c>
      <c r="L6940">
        <v>0</v>
      </c>
      <c r="M6940">
        <f>VLOOKUP(Table1[[#This Row],[subscription_type]],Plans!$A$1:$B$5,2,FALSE)</f>
        <v>9.99</v>
      </c>
      <c r="N6940">
        <f t="shared" si="108"/>
        <v>0</v>
      </c>
    </row>
    <row r="6941" spans="1:14" x14ac:dyDescent="0.35">
      <c r="A6941">
        <v>6940</v>
      </c>
      <c r="B6941" t="s">
        <v>12</v>
      </c>
      <c r="C6941">
        <v>20</v>
      </c>
      <c r="D6941" t="s">
        <v>28</v>
      </c>
      <c r="E6941" t="s">
        <v>24</v>
      </c>
      <c r="F6941">
        <v>179</v>
      </c>
      <c r="G6941">
        <v>67</v>
      </c>
      <c r="H6941">
        <v>0.49</v>
      </c>
      <c r="I6941" t="s">
        <v>19</v>
      </c>
      <c r="J6941">
        <v>0</v>
      </c>
      <c r="K6941">
        <v>1</v>
      </c>
      <c r="L6941">
        <v>1</v>
      </c>
      <c r="M6941">
        <f>VLOOKUP(Table1[[#This Row],[subscription_type]],Plans!$A$1:$B$5,2,FALSE)</f>
        <v>4.99</v>
      </c>
      <c r="N6941">
        <f t="shared" si="108"/>
        <v>4.99</v>
      </c>
    </row>
    <row r="6942" spans="1:14" x14ac:dyDescent="0.35">
      <c r="A6942">
        <v>6941</v>
      </c>
      <c r="B6942" t="s">
        <v>20</v>
      </c>
      <c r="C6942">
        <v>20</v>
      </c>
      <c r="D6942" t="s">
        <v>17</v>
      </c>
      <c r="E6942" t="s">
        <v>14</v>
      </c>
      <c r="F6942">
        <v>142</v>
      </c>
      <c r="G6942">
        <v>95</v>
      </c>
      <c r="H6942">
        <v>0.6</v>
      </c>
      <c r="I6942" t="s">
        <v>19</v>
      </c>
      <c r="J6942">
        <v>29</v>
      </c>
      <c r="K6942">
        <v>0</v>
      </c>
      <c r="L6942">
        <v>1</v>
      </c>
      <c r="M6942">
        <f>VLOOKUP(Table1[[#This Row],[subscription_type]],Plans!$A$1:$B$5,2,FALSE)</f>
        <v>0</v>
      </c>
      <c r="N6942">
        <f t="shared" si="108"/>
        <v>0</v>
      </c>
    </row>
    <row r="6943" spans="1:14" x14ac:dyDescent="0.35">
      <c r="A6943">
        <v>6942</v>
      </c>
      <c r="B6943" t="s">
        <v>12</v>
      </c>
      <c r="C6943">
        <v>41</v>
      </c>
      <c r="D6943" t="s">
        <v>27</v>
      </c>
      <c r="E6943" t="s">
        <v>14</v>
      </c>
      <c r="F6943">
        <v>119</v>
      </c>
      <c r="G6943">
        <v>91</v>
      </c>
      <c r="H6943">
        <v>0.14000000000000001</v>
      </c>
      <c r="I6943" t="s">
        <v>23</v>
      </c>
      <c r="J6943">
        <v>41</v>
      </c>
      <c r="K6943">
        <v>0</v>
      </c>
      <c r="L6943">
        <v>1</v>
      </c>
      <c r="M6943">
        <f>VLOOKUP(Table1[[#This Row],[subscription_type]],Plans!$A$1:$B$5,2,FALSE)</f>
        <v>0</v>
      </c>
      <c r="N6943">
        <f t="shared" si="108"/>
        <v>0</v>
      </c>
    </row>
    <row r="6944" spans="1:14" x14ac:dyDescent="0.35">
      <c r="A6944">
        <v>6943</v>
      </c>
      <c r="B6944" t="s">
        <v>20</v>
      </c>
      <c r="C6944">
        <v>54</v>
      </c>
      <c r="D6944" t="s">
        <v>13</v>
      </c>
      <c r="E6944" t="s">
        <v>24</v>
      </c>
      <c r="F6944">
        <v>77</v>
      </c>
      <c r="G6944">
        <v>8</v>
      </c>
      <c r="H6944">
        <v>0.44</v>
      </c>
      <c r="I6944" t="s">
        <v>23</v>
      </c>
      <c r="J6944">
        <v>0</v>
      </c>
      <c r="K6944">
        <v>1</v>
      </c>
      <c r="L6944">
        <v>0</v>
      </c>
      <c r="M6944">
        <f>VLOOKUP(Table1[[#This Row],[subscription_type]],Plans!$A$1:$B$5,2,FALSE)</f>
        <v>4.99</v>
      </c>
      <c r="N6944">
        <f t="shared" si="108"/>
        <v>0</v>
      </c>
    </row>
    <row r="6945" spans="1:14" x14ac:dyDescent="0.35">
      <c r="A6945">
        <v>6944</v>
      </c>
      <c r="B6945" t="s">
        <v>20</v>
      </c>
      <c r="C6945">
        <v>26</v>
      </c>
      <c r="D6945" t="s">
        <v>17</v>
      </c>
      <c r="E6945" t="s">
        <v>18</v>
      </c>
      <c r="F6945">
        <v>241</v>
      </c>
      <c r="G6945">
        <v>54</v>
      </c>
      <c r="H6945">
        <v>0.35</v>
      </c>
      <c r="I6945" t="s">
        <v>15</v>
      </c>
      <c r="J6945">
        <v>0</v>
      </c>
      <c r="K6945">
        <v>1</v>
      </c>
      <c r="L6945">
        <v>0</v>
      </c>
      <c r="M6945">
        <f>VLOOKUP(Table1[[#This Row],[subscription_type]],Plans!$A$1:$B$5,2,FALSE)</f>
        <v>14.99</v>
      </c>
      <c r="N6945">
        <f t="shared" si="108"/>
        <v>0</v>
      </c>
    </row>
    <row r="6946" spans="1:14" x14ac:dyDescent="0.35">
      <c r="A6946">
        <v>6945</v>
      </c>
      <c r="B6946" t="s">
        <v>16</v>
      </c>
      <c r="C6946">
        <v>22</v>
      </c>
      <c r="D6946" t="s">
        <v>17</v>
      </c>
      <c r="E6946" t="s">
        <v>18</v>
      </c>
      <c r="F6946">
        <v>112</v>
      </c>
      <c r="G6946">
        <v>29</v>
      </c>
      <c r="H6946">
        <v>0.28999999999999998</v>
      </c>
      <c r="I6946" t="s">
        <v>23</v>
      </c>
      <c r="J6946">
        <v>0</v>
      </c>
      <c r="K6946">
        <v>1</v>
      </c>
      <c r="L6946">
        <v>1</v>
      </c>
      <c r="M6946">
        <f>VLOOKUP(Table1[[#This Row],[subscription_type]],Plans!$A$1:$B$5,2,FALSE)</f>
        <v>14.99</v>
      </c>
      <c r="N6946">
        <f t="shared" si="108"/>
        <v>14.99</v>
      </c>
    </row>
    <row r="6947" spans="1:14" x14ac:dyDescent="0.35">
      <c r="A6947">
        <v>6946</v>
      </c>
      <c r="B6947" t="s">
        <v>20</v>
      </c>
      <c r="C6947">
        <v>34</v>
      </c>
      <c r="D6947" t="s">
        <v>13</v>
      </c>
      <c r="E6947" t="s">
        <v>14</v>
      </c>
      <c r="F6947">
        <v>140</v>
      </c>
      <c r="G6947">
        <v>43</v>
      </c>
      <c r="H6947">
        <v>0.35</v>
      </c>
      <c r="I6947" t="s">
        <v>19</v>
      </c>
      <c r="J6947">
        <v>18</v>
      </c>
      <c r="K6947">
        <v>0</v>
      </c>
      <c r="L6947">
        <v>1</v>
      </c>
      <c r="M6947">
        <f>VLOOKUP(Table1[[#This Row],[subscription_type]],Plans!$A$1:$B$5,2,FALSE)</f>
        <v>0</v>
      </c>
      <c r="N6947">
        <f t="shared" si="108"/>
        <v>0</v>
      </c>
    </row>
    <row r="6948" spans="1:14" x14ac:dyDescent="0.35">
      <c r="A6948">
        <v>6947</v>
      </c>
      <c r="B6948" t="s">
        <v>16</v>
      </c>
      <c r="C6948">
        <v>28</v>
      </c>
      <c r="D6948" t="s">
        <v>28</v>
      </c>
      <c r="E6948" t="s">
        <v>24</v>
      </c>
      <c r="F6948">
        <v>187</v>
      </c>
      <c r="G6948">
        <v>16</v>
      </c>
      <c r="H6948">
        <v>0.21</v>
      </c>
      <c r="I6948" t="s">
        <v>19</v>
      </c>
      <c r="J6948">
        <v>0</v>
      </c>
      <c r="K6948">
        <v>1</v>
      </c>
      <c r="L6948">
        <v>0</v>
      </c>
      <c r="M6948">
        <f>VLOOKUP(Table1[[#This Row],[subscription_type]],Plans!$A$1:$B$5,2,FALSE)</f>
        <v>4.99</v>
      </c>
      <c r="N6948">
        <f t="shared" si="108"/>
        <v>0</v>
      </c>
    </row>
    <row r="6949" spans="1:14" x14ac:dyDescent="0.35">
      <c r="A6949">
        <v>6948</v>
      </c>
      <c r="B6949" t="s">
        <v>16</v>
      </c>
      <c r="C6949">
        <v>57</v>
      </c>
      <c r="D6949" t="s">
        <v>13</v>
      </c>
      <c r="E6949" t="s">
        <v>14</v>
      </c>
      <c r="F6949">
        <v>118</v>
      </c>
      <c r="G6949">
        <v>65</v>
      </c>
      <c r="H6949">
        <v>0.52</v>
      </c>
      <c r="I6949" t="s">
        <v>15</v>
      </c>
      <c r="J6949">
        <v>22</v>
      </c>
      <c r="K6949">
        <v>0</v>
      </c>
      <c r="L6949">
        <v>0</v>
      </c>
      <c r="M6949">
        <f>VLOOKUP(Table1[[#This Row],[subscription_type]],Plans!$A$1:$B$5,2,FALSE)</f>
        <v>0</v>
      </c>
      <c r="N6949">
        <f t="shared" si="108"/>
        <v>0</v>
      </c>
    </row>
    <row r="6950" spans="1:14" x14ac:dyDescent="0.35">
      <c r="A6950">
        <v>6949</v>
      </c>
      <c r="B6950" t="s">
        <v>20</v>
      </c>
      <c r="C6950">
        <v>57</v>
      </c>
      <c r="D6950" t="s">
        <v>29</v>
      </c>
      <c r="E6950" t="s">
        <v>24</v>
      </c>
      <c r="F6950">
        <v>33</v>
      </c>
      <c r="G6950">
        <v>63</v>
      </c>
      <c r="H6950">
        <v>0.18</v>
      </c>
      <c r="I6950" t="s">
        <v>15</v>
      </c>
      <c r="J6950">
        <v>0</v>
      </c>
      <c r="K6950">
        <v>1</v>
      </c>
      <c r="L6950">
        <v>0</v>
      </c>
      <c r="M6950">
        <f>VLOOKUP(Table1[[#This Row],[subscription_type]],Plans!$A$1:$B$5,2,FALSE)</f>
        <v>4.99</v>
      </c>
      <c r="N6950">
        <f t="shared" si="108"/>
        <v>0</v>
      </c>
    </row>
    <row r="6951" spans="1:14" x14ac:dyDescent="0.35">
      <c r="A6951">
        <v>6950</v>
      </c>
      <c r="B6951" t="s">
        <v>16</v>
      </c>
      <c r="C6951">
        <v>59</v>
      </c>
      <c r="D6951" t="s">
        <v>21</v>
      </c>
      <c r="E6951" t="s">
        <v>18</v>
      </c>
      <c r="F6951">
        <v>279</v>
      </c>
      <c r="G6951">
        <v>25</v>
      </c>
      <c r="H6951">
        <v>0.35</v>
      </c>
      <c r="I6951" t="s">
        <v>19</v>
      </c>
      <c r="J6951">
        <v>0</v>
      </c>
      <c r="K6951">
        <v>1</v>
      </c>
      <c r="L6951">
        <v>1</v>
      </c>
      <c r="M6951">
        <f>VLOOKUP(Table1[[#This Row],[subscription_type]],Plans!$A$1:$B$5,2,FALSE)</f>
        <v>14.99</v>
      </c>
      <c r="N6951">
        <f t="shared" si="108"/>
        <v>14.99</v>
      </c>
    </row>
    <row r="6952" spans="1:14" x14ac:dyDescent="0.35">
      <c r="A6952">
        <v>6951</v>
      </c>
      <c r="B6952" t="s">
        <v>16</v>
      </c>
      <c r="C6952">
        <v>34</v>
      </c>
      <c r="D6952" t="s">
        <v>17</v>
      </c>
      <c r="E6952" t="s">
        <v>24</v>
      </c>
      <c r="F6952">
        <v>11</v>
      </c>
      <c r="G6952">
        <v>57</v>
      </c>
      <c r="H6952">
        <v>0.52</v>
      </c>
      <c r="I6952" t="s">
        <v>23</v>
      </c>
      <c r="J6952">
        <v>0</v>
      </c>
      <c r="K6952">
        <v>1</v>
      </c>
      <c r="L6952">
        <v>0</v>
      </c>
      <c r="M6952">
        <f>VLOOKUP(Table1[[#This Row],[subscription_type]],Plans!$A$1:$B$5,2,FALSE)</f>
        <v>4.99</v>
      </c>
      <c r="N6952">
        <f t="shared" si="108"/>
        <v>0</v>
      </c>
    </row>
    <row r="6953" spans="1:14" x14ac:dyDescent="0.35">
      <c r="A6953">
        <v>6952</v>
      </c>
      <c r="B6953" t="s">
        <v>16</v>
      </c>
      <c r="C6953">
        <v>31</v>
      </c>
      <c r="D6953" t="s">
        <v>13</v>
      </c>
      <c r="E6953" t="s">
        <v>24</v>
      </c>
      <c r="F6953">
        <v>241</v>
      </c>
      <c r="G6953">
        <v>27</v>
      </c>
      <c r="H6953">
        <v>0.08</v>
      </c>
      <c r="I6953" t="s">
        <v>19</v>
      </c>
      <c r="J6953">
        <v>0</v>
      </c>
      <c r="K6953">
        <v>1</v>
      </c>
      <c r="L6953">
        <v>0</v>
      </c>
      <c r="M6953">
        <f>VLOOKUP(Table1[[#This Row],[subscription_type]],Plans!$A$1:$B$5,2,FALSE)</f>
        <v>4.99</v>
      </c>
      <c r="N6953">
        <f t="shared" si="108"/>
        <v>0</v>
      </c>
    </row>
    <row r="6954" spans="1:14" x14ac:dyDescent="0.35">
      <c r="A6954">
        <v>6953</v>
      </c>
      <c r="B6954" t="s">
        <v>12</v>
      </c>
      <c r="C6954">
        <v>30</v>
      </c>
      <c r="D6954" t="s">
        <v>26</v>
      </c>
      <c r="E6954" t="s">
        <v>14</v>
      </c>
      <c r="F6954">
        <v>28</v>
      </c>
      <c r="G6954">
        <v>86</v>
      </c>
      <c r="H6954">
        <v>0.26</v>
      </c>
      <c r="I6954" t="s">
        <v>15</v>
      </c>
      <c r="J6954">
        <v>42</v>
      </c>
      <c r="K6954">
        <v>0</v>
      </c>
      <c r="L6954">
        <v>1</v>
      </c>
      <c r="M6954">
        <f>VLOOKUP(Table1[[#This Row],[subscription_type]],Plans!$A$1:$B$5,2,FALSE)</f>
        <v>0</v>
      </c>
      <c r="N6954">
        <f t="shared" si="108"/>
        <v>0</v>
      </c>
    </row>
    <row r="6955" spans="1:14" x14ac:dyDescent="0.35">
      <c r="A6955">
        <v>6954</v>
      </c>
      <c r="B6955" t="s">
        <v>16</v>
      </c>
      <c r="C6955">
        <v>36</v>
      </c>
      <c r="D6955" t="s">
        <v>21</v>
      </c>
      <c r="E6955" t="s">
        <v>18</v>
      </c>
      <c r="F6955">
        <v>86</v>
      </c>
      <c r="G6955">
        <v>85</v>
      </c>
      <c r="H6955">
        <v>0.46</v>
      </c>
      <c r="I6955" t="s">
        <v>19</v>
      </c>
      <c r="J6955">
        <v>0</v>
      </c>
      <c r="K6955">
        <v>1</v>
      </c>
      <c r="L6955">
        <v>0</v>
      </c>
      <c r="M6955">
        <f>VLOOKUP(Table1[[#This Row],[subscription_type]],Plans!$A$1:$B$5,2,FALSE)</f>
        <v>14.99</v>
      </c>
      <c r="N6955">
        <f t="shared" si="108"/>
        <v>0</v>
      </c>
    </row>
    <row r="6956" spans="1:14" x14ac:dyDescent="0.35">
      <c r="A6956">
        <v>6955</v>
      </c>
      <c r="B6956" t="s">
        <v>12</v>
      </c>
      <c r="C6956">
        <v>21</v>
      </c>
      <c r="D6956" t="s">
        <v>27</v>
      </c>
      <c r="E6956" t="s">
        <v>18</v>
      </c>
      <c r="F6956">
        <v>170</v>
      </c>
      <c r="G6956">
        <v>5</v>
      </c>
      <c r="H6956">
        <v>0.48</v>
      </c>
      <c r="I6956" t="s">
        <v>15</v>
      </c>
      <c r="J6956">
        <v>0</v>
      </c>
      <c r="K6956">
        <v>1</v>
      </c>
      <c r="L6956">
        <v>0</v>
      </c>
      <c r="M6956">
        <f>VLOOKUP(Table1[[#This Row],[subscription_type]],Plans!$A$1:$B$5,2,FALSE)</f>
        <v>14.99</v>
      </c>
      <c r="N6956">
        <f t="shared" si="108"/>
        <v>0</v>
      </c>
    </row>
    <row r="6957" spans="1:14" x14ac:dyDescent="0.35">
      <c r="A6957">
        <v>6956</v>
      </c>
      <c r="B6957" t="s">
        <v>16</v>
      </c>
      <c r="C6957">
        <v>19</v>
      </c>
      <c r="D6957" t="s">
        <v>25</v>
      </c>
      <c r="E6957" t="s">
        <v>14</v>
      </c>
      <c r="F6957">
        <v>270</v>
      </c>
      <c r="G6957">
        <v>35</v>
      </c>
      <c r="H6957">
        <v>0.2</v>
      </c>
      <c r="I6957" t="s">
        <v>23</v>
      </c>
      <c r="J6957">
        <v>22</v>
      </c>
      <c r="K6957">
        <v>0</v>
      </c>
      <c r="L6957">
        <v>0</v>
      </c>
      <c r="M6957">
        <f>VLOOKUP(Table1[[#This Row],[subscription_type]],Plans!$A$1:$B$5,2,FALSE)</f>
        <v>0</v>
      </c>
      <c r="N6957">
        <f t="shared" si="108"/>
        <v>0</v>
      </c>
    </row>
    <row r="6958" spans="1:14" x14ac:dyDescent="0.35">
      <c r="A6958">
        <v>6957</v>
      </c>
      <c r="B6958" t="s">
        <v>12</v>
      </c>
      <c r="C6958">
        <v>57</v>
      </c>
      <c r="D6958" t="s">
        <v>26</v>
      </c>
      <c r="E6958" t="s">
        <v>14</v>
      </c>
      <c r="F6958">
        <v>234</v>
      </c>
      <c r="G6958">
        <v>32</v>
      </c>
      <c r="H6958">
        <v>0.14000000000000001</v>
      </c>
      <c r="I6958" t="s">
        <v>19</v>
      </c>
      <c r="J6958">
        <v>44</v>
      </c>
      <c r="K6958">
        <v>0</v>
      </c>
      <c r="L6958">
        <v>0</v>
      </c>
      <c r="M6958">
        <f>VLOOKUP(Table1[[#This Row],[subscription_type]],Plans!$A$1:$B$5,2,FALSE)</f>
        <v>0</v>
      </c>
      <c r="N6958">
        <f t="shared" si="108"/>
        <v>0</v>
      </c>
    </row>
    <row r="6959" spans="1:14" x14ac:dyDescent="0.35">
      <c r="A6959">
        <v>6958</v>
      </c>
      <c r="B6959" t="s">
        <v>12</v>
      </c>
      <c r="C6959">
        <v>17</v>
      </c>
      <c r="D6959" t="s">
        <v>27</v>
      </c>
      <c r="E6959" t="s">
        <v>24</v>
      </c>
      <c r="F6959">
        <v>266</v>
      </c>
      <c r="G6959">
        <v>52</v>
      </c>
      <c r="H6959">
        <v>0.41</v>
      </c>
      <c r="I6959" t="s">
        <v>15</v>
      </c>
      <c r="J6959">
        <v>0</v>
      </c>
      <c r="K6959">
        <v>1</v>
      </c>
      <c r="L6959">
        <v>0</v>
      </c>
      <c r="M6959">
        <f>VLOOKUP(Table1[[#This Row],[subscription_type]],Plans!$A$1:$B$5,2,FALSE)</f>
        <v>4.99</v>
      </c>
      <c r="N6959">
        <f t="shared" si="108"/>
        <v>0</v>
      </c>
    </row>
    <row r="6960" spans="1:14" x14ac:dyDescent="0.35">
      <c r="A6960">
        <v>6959</v>
      </c>
      <c r="B6960" t="s">
        <v>16</v>
      </c>
      <c r="C6960">
        <v>43</v>
      </c>
      <c r="D6960" t="s">
        <v>25</v>
      </c>
      <c r="E6960" t="s">
        <v>24</v>
      </c>
      <c r="F6960">
        <v>75</v>
      </c>
      <c r="G6960">
        <v>72</v>
      </c>
      <c r="H6960">
        <v>0.56999999999999995</v>
      </c>
      <c r="I6960" t="s">
        <v>23</v>
      </c>
      <c r="J6960">
        <v>0</v>
      </c>
      <c r="K6960">
        <v>1</v>
      </c>
      <c r="L6960">
        <v>0</v>
      </c>
      <c r="M6960">
        <f>VLOOKUP(Table1[[#This Row],[subscription_type]],Plans!$A$1:$B$5,2,FALSE)</f>
        <v>4.99</v>
      </c>
      <c r="N6960">
        <f t="shared" si="108"/>
        <v>0</v>
      </c>
    </row>
    <row r="6961" spans="1:14" x14ac:dyDescent="0.35">
      <c r="A6961">
        <v>6960</v>
      </c>
      <c r="B6961" t="s">
        <v>12</v>
      </c>
      <c r="C6961">
        <v>41</v>
      </c>
      <c r="D6961" t="s">
        <v>27</v>
      </c>
      <c r="E6961" t="s">
        <v>18</v>
      </c>
      <c r="F6961">
        <v>259</v>
      </c>
      <c r="G6961">
        <v>50</v>
      </c>
      <c r="H6961">
        <v>7.0000000000000007E-2</v>
      </c>
      <c r="I6961" t="s">
        <v>19</v>
      </c>
      <c r="J6961">
        <v>0</v>
      </c>
      <c r="K6961">
        <v>1</v>
      </c>
      <c r="L6961">
        <v>0</v>
      </c>
      <c r="M6961">
        <f>VLOOKUP(Table1[[#This Row],[subscription_type]],Plans!$A$1:$B$5,2,FALSE)</f>
        <v>14.99</v>
      </c>
      <c r="N6961">
        <f t="shared" si="108"/>
        <v>0</v>
      </c>
    </row>
    <row r="6962" spans="1:14" x14ac:dyDescent="0.35">
      <c r="A6962">
        <v>6961</v>
      </c>
      <c r="B6962" t="s">
        <v>20</v>
      </c>
      <c r="C6962">
        <v>46</v>
      </c>
      <c r="D6962" t="s">
        <v>29</v>
      </c>
      <c r="E6962" t="s">
        <v>18</v>
      </c>
      <c r="F6962">
        <v>270</v>
      </c>
      <c r="G6962">
        <v>14</v>
      </c>
      <c r="H6962">
        <v>0.05</v>
      </c>
      <c r="I6962" t="s">
        <v>23</v>
      </c>
      <c r="J6962">
        <v>0</v>
      </c>
      <c r="K6962">
        <v>1</v>
      </c>
      <c r="L6962">
        <v>1</v>
      </c>
      <c r="M6962">
        <f>VLOOKUP(Table1[[#This Row],[subscription_type]],Plans!$A$1:$B$5,2,FALSE)</f>
        <v>14.99</v>
      </c>
      <c r="N6962">
        <f t="shared" si="108"/>
        <v>14.99</v>
      </c>
    </row>
    <row r="6963" spans="1:14" x14ac:dyDescent="0.35">
      <c r="A6963">
        <v>6962</v>
      </c>
      <c r="B6963" t="s">
        <v>16</v>
      </c>
      <c r="C6963">
        <v>44</v>
      </c>
      <c r="D6963" t="s">
        <v>17</v>
      </c>
      <c r="E6963" t="s">
        <v>18</v>
      </c>
      <c r="F6963">
        <v>173</v>
      </c>
      <c r="G6963">
        <v>36</v>
      </c>
      <c r="H6963">
        <v>0.52</v>
      </c>
      <c r="I6963" t="s">
        <v>19</v>
      </c>
      <c r="J6963">
        <v>0</v>
      </c>
      <c r="K6963">
        <v>1</v>
      </c>
      <c r="L6963">
        <v>0</v>
      </c>
      <c r="M6963">
        <f>VLOOKUP(Table1[[#This Row],[subscription_type]],Plans!$A$1:$B$5,2,FALSE)</f>
        <v>14.99</v>
      </c>
      <c r="N6963">
        <f t="shared" si="108"/>
        <v>0</v>
      </c>
    </row>
    <row r="6964" spans="1:14" x14ac:dyDescent="0.35">
      <c r="A6964">
        <v>6963</v>
      </c>
      <c r="B6964" t="s">
        <v>16</v>
      </c>
      <c r="C6964">
        <v>39</v>
      </c>
      <c r="D6964" t="s">
        <v>25</v>
      </c>
      <c r="E6964" t="s">
        <v>18</v>
      </c>
      <c r="F6964">
        <v>240</v>
      </c>
      <c r="G6964">
        <v>59</v>
      </c>
      <c r="H6964">
        <v>0.22</v>
      </c>
      <c r="I6964" t="s">
        <v>15</v>
      </c>
      <c r="J6964">
        <v>0</v>
      </c>
      <c r="K6964">
        <v>1</v>
      </c>
      <c r="L6964">
        <v>0</v>
      </c>
      <c r="M6964">
        <f>VLOOKUP(Table1[[#This Row],[subscription_type]],Plans!$A$1:$B$5,2,FALSE)</f>
        <v>14.99</v>
      </c>
      <c r="N6964">
        <f t="shared" si="108"/>
        <v>0</v>
      </c>
    </row>
    <row r="6965" spans="1:14" x14ac:dyDescent="0.35">
      <c r="A6965">
        <v>6964</v>
      </c>
      <c r="B6965" t="s">
        <v>16</v>
      </c>
      <c r="C6965">
        <v>39</v>
      </c>
      <c r="D6965" t="s">
        <v>29</v>
      </c>
      <c r="E6965" t="s">
        <v>14</v>
      </c>
      <c r="F6965">
        <v>36</v>
      </c>
      <c r="G6965">
        <v>9</v>
      </c>
      <c r="H6965">
        <v>0.57999999999999996</v>
      </c>
      <c r="I6965" t="s">
        <v>15</v>
      </c>
      <c r="J6965">
        <v>25</v>
      </c>
      <c r="K6965">
        <v>0</v>
      </c>
      <c r="L6965">
        <v>0</v>
      </c>
      <c r="M6965">
        <f>VLOOKUP(Table1[[#This Row],[subscription_type]],Plans!$A$1:$B$5,2,FALSE)</f>
        <v>0</v>
      </c>
      <c r="N6965">
        <f t="shared" si="108"/>
        <v>0</v>
      </c>
    </row>
    <row r="6966" spans="1:14" x14ac:dyDescent="0.35">
      <c r="A6966">
        <v>6965</v>
      </c>
      <c r="B6966" t="s">
        <v>16</v>
      </c>
      <c r="C6966">
        <v>50</v>
      </c>
      <c r="D6966" t="s">
        <v>27</v>
      </c>
      <c r="E6966" t="s">
        <v>22</v>
      </c>
      <c r="F6966">
        <v>26</v>
      </c>
      <c r="G6966">
        <v>68</v>
      </c>
      <c r="H6966">
        <v>0.09</v>
      </c>
      <c r="I6966" t="s">
        <v>23</v>
      </c>
      <c r="J6966">
        <v>0</v>
      </c>
      <c r="K6966">
        <v>1</v>
      </c>
      <c r="L6966">
        <v>0</v>
      </c>
      <c r="M6966">
        <f>VLOOKUP(Table1[[#This Row],[subscription_type]],Plans!$A$1:$B$5,2,FALSE)</f>
        <v>9.99</v>
      </c>
      <c r="N6966">
        <f t="shared" si="108"/>
        <v>0</v>
      </c>
    </row>
    <row r="6967" spans="1:14" x14ac:dyDescent="0.35">
      <c r="A6967">
        <v>6966</v>
      </c>
      <c r="B6967" t="s">
        <v>20</v>
      </c>
      <c r="C6967">
        <v>27</v>
      </c>
      <c r="D6967" t="s">
        <v>21</v>
      </c>
      <c r="E6967" t="s">
        <v>22</v>
      </c>
      <c r="F6967">
        <v>247</v>
      </c>
      <c r="G6967">
        <v>13</v>
      </c>
      <c r="H6967">
        <v>0.34</v>
      </c>
      <c r="I6967" t="s">
        <v>15</v>
      </c>
      <c r="J6967">
        <v>0</v>
      </c>
      <c r="K6967">
        <v>1</v>
      </c>
      <c r="L6967">
        <v>0</v>
      </c>
      <c r="M6967">
        <f>VLOOKUP(Table1[[#This Row],[subscription_type]],Plans!$A$1:$B$5,2,FALSE)</f>
        <v>9.99</v>
      </c>
      <c r="N6967">
        <f t="shared" si="108"/>
        <v>0</v>
      </c>
    </row>
    <row r="6968" spans="1:14" x14ac:dyDescent="0.35">
      <c r="A6968">
        <v>6967</v>
      </c>
      <c r="B6968" t="s">
        <v>20</v>
      </c>
      <c r="C6968">
        <v>35</v>
      </c>
      <c r="D6968" t="s">
        <v>28</v>
      </c>
      <c r="E6968" t="s">
        <v>24</v>
      </c>
      <c r="F6968">
        <v>214</v>
      </c>
      <c r="G6968">
        <v>83</v>
      </c>
      <c r="H6968">
        <v>0.45</v>
      </c>
      <c r="I6968" t="s">
        <v>15</v>
      </c>
      <c r="J6968">
        <v>0</v>
      </c>
      <c r="K6968">
        <v>1</v>
      </c>
      <c r="L6968">
        <v>1</v>
      </c>
      <c r="M6968">
        <f>VLOOKUP(Table1[[#This Row],[subscription_type]],Plans!$A$1:$B$5,2,FALSE)</f>
        <v>4.99</v>
      </c>
      <c r="N6968">
        <f t="shared" si="108"/>
        <v>4.99</v>
      </c>
    </row>
    <row r="6969" spans="1:14" x14ac:dyDescent="0.35">
      <c r="A6969">
        <v>6968</v>
      </c>
      <c r="B6969" t="s">
        <v>20</v>
      </c>
      <c r="C6969">
        <v>54</v>
      </c>
      <c r="D6969" t="s">
        <v>26</v>
      </c>
      <c r="E6969" t="s">
        <v>18</v>
      </c>
      <c r="F6969">
        <v>11</v>
      </c>
      <c r="G6969">
        <v>40</v>
      </c>
      <c r="H6969">
        <v>0.52</v>
      </c>
      <c r="I6969" t="s">
        <v>19</v>
      </c>
      <c r="J6969">
        <v>0</v>
      </c>
      <c r="K6969">
        <v>1</v>
      </c>
      <c r="L6969">
        <v>0</v>
      </c>
      <c r="M6969">
        <f>VLOOKUP(Table1[[#This Row],[subscription_type]],Plans!$A$1:$B$5,2,FALSE)</f>
        <v>14.99</v>
      </c>
      <c r="N6969">
        <f t="shared" si="108"/>
        <v>0</v>
      </c>
    </row>
    <row r="6970" spans="1:14" x14ac:dyDescent="0.35">
      <c r="A6970">
        <v>6969</v>
      </c>
      <c r="B6970" t="s">
        <v>20</v>
      </c>
      <c r="C6970">
        <v>59</v>
      </c>
      <c r="D6970" t="s">
        <v>13</v>
      </c>
      <c r="E6970" t="s">
        <v>14</v>
      </c>
      <c r="F6970">
        <v>254</v>
      </c>
      <c r="G6970">
        <v>60</v>
      </c>
      <c r="H6970">
        <v>0.25</v>
      </c>
      <c r="I6970" t="s">
        <v>23</v>
      </c>
      <c r="J6970">
        <v>41</v>
      </c>
      <c r="K6970">
        <v>0</v>
      </c>
      <c r="L6970">
        <v>0</v>
      </c>
      <c r="M6970">
        <f>VLOOKUP(Table1[[#This Row],[subscription_type]],Plans!$A$1:$B$5,2,FALSE)</f>
        <v>0</v>
      </c>
      <c r="N6970">
        <f t="shared" si="108"/>
        <v>0</v>
      </c>
    </row>
    <row r="6971" spans="1:14" x14ac:dyDescent="0.35">
      <c r="A6971">
        <v>6970</v>
      </c>
      <c r="B6971" t="s">
        <v>16</v>
      </c>
      <c r="C6971">
        <v>25</v>
      </c>
      <c r="D6971" t="s">
        <v>17</v>
      </c>
      <c r="E6971" t="s">
        <v>14</v>
      </c>
      <c r="F6971">
        <v>292</v>
      </c>
      <c r="G6971">
        <v>87</v>
      </c>
      <c r="H6971">
        <v>0.04</v>
      </c>
      <c r="I6971" t="s">
        <v>19</v>
      </c>
      <c r="J6971">
        <v>44</v>
      </c>
      <c r="K6971">
        <v>0</v>
      </c>
      <c r="L6971">
        <v>0</v>
      </c>
      <c r="M6971">
        <f>VLOOKUP(Table1[[#This Row],[subscription_type]],Plans!$A$1:$B$5,2,FALSE)</f>
        <v>0</v>
      </c>
      <c r="N6971">
        <f t="shared" si="108"/>
        <v>0</v>
      </c>
    </row>
    <row r="6972" spans="1:14" x14ac:dyDescent="0.35">
      <c r="A6972">
        <v>6971</v>
      </c>
      <c r="B6972" t="s">
        <v>12</v>
      </c>
      <c r="C6972">
        <v>26</v>
      </c>
      <c r="D6972" t="s">
        <v>28</v>
      </c>
      <c r="E6972" t="s">
        <v>22</v>
      </c>
      <c r="F6972">
        <v>213</v>
      </c>
      <c r="G6972">
        <v>78</v>
      </c>
      <c r="H6972">
        <v>0.14000000000000001</v>
      </c>
      <c r="I6972" t="s">
        <v>19</v>
      </c>
      <c r="J6972">
        <v>0</v>
      </c>
      <c r="K6972">
        <v>1</v>
      </c>
      <c r="L6972">
        <v>0</v>
      </c>
      <c r="M6972">
        <f>VLOOKUP(Table1[[#This Row],[subscription_type]],Plans!$A$1:$B$5,2,FALSE)</f>
        <v>9.99</v>
      </c>
      <c r="N6972">
        <f t="shared" si="108"/>
        <v>0</v>
      </c>
    </row>
    <row r="6973" spans="1:14" x14ac:dyDescent="0.35">
      <c r="A6973">
        <v>6972</v>
      </c>
      <c r="B6973" t="s">
        <v>16</v>
      </c>
      <c r="C6973">
        <v>49</v>
      </c>
      <c r="D6973" t="s">
        <v>27</v>
      </c>
      <c r="E6973" t="s">
        <v>24</v>
      </c>
      <c r="F6973">
        <v>137</v>
      </c>
      <c r="G6973">
        <v>75</v>
      </c>
      <c r="H6973">
        <v>0.5</v>
      </c>
      <c r="I6973" t="s">
        <v>15</v>
      </c>
      <c r="J6973">
        <v>0</v>
      </c>
      <c r="K6973">
        <v>1</v>
      </c>
      <c r="L6973">
        <v>1</v>
      </c>
      <c r="M6973">
        <f>VLOOKUP(Table1[[#This Row],[subscription_type]],Plans!$A$1:$B$5,2,FALSE)</f>
        <v>4.99</v>
      </c>
      <c r="N6973">
        <f t="shared" si="108"/>
        <v>4.99</v>
      </c>
    </row>
    <row r="6974" spans="1:14" x14ac:dyDescent="0.35">
      <c r="A6974">
        <v>6973</v>
      </c>
      <c r="B6974" t="s">
        <v>12</v>
      </c>
      <c r="C6974">
        <v>49</v>
      </c>
      <c r="D6974" t="s">
        <v>29</v>
      </c>
      <c r="E6974" t="s">
        <v>18</v>
      </c>
      <c r="F6974">
        <v>238</v>
      </c>
      <c r="G6974">
        <v>63</v>
      </c>
      <c r="H6974">
        <v>0.56999999999999995</v>
      </c>
      <c r="I6974" t="s">
        <v>23</v>
      </c>
      <c r="J6974">
        <v>0</v>
      </c>
      <c r="K6974">
        <v>1</v>
      </c>
      <c r="L6974">
        <v>0</v>
      </c>
      <c r="M6974">
        <f>VLOOKUP(Table1[[#This Row],[subscription_type]],Plans!$A$1:$B$5,2,FALSE)</f>
        <v>14.99</v>
      </c>
      <c r="N6974">
        <f t="shared" si="108"/>
        <v>0</v>
      </c>
    </row>
    <row r="6975" spans="1:14" x14ac:dyDescent="0.35">
      <c r="A6975">
        <v>6974</v>
      </c>
      <c r="B6975" t="s">
        <v>12</v>
      </c>
      <c r="C6975">
        <v>49</v>
      </c>
      <c r="D6975" t="s">
        <v>27</v>
      </c>
      <c r="E6975" t="s">
        <v>22</v>
      </c>
      <c r="F6975">
        <v>174</v>
      </c>
      <c r="G6975">
        <v>59</v>
      </c>
      <c r="H6975">
        <v>0.37</v>
      </c>
      <c r="I6975" t="s">
        <v>15</v>
      </c>
      <c r="J6975">
        <v>0</v>
      </c>
      <c r="K6975">
        <v>1</v>
      </c>
      <c r="L6975">
        <v>1</v>
      </c>
      <c r="M6975">
        <f>VLOOKUP(Table1[[#This Row],[subscription_type]],Plans!$A$1:$B$5,2,FALSE)</f>
        <v>9.99</v>
      </c>
      <c r="N6975">
        <f t="shared" si="108"/>
        <v>9.99</v>
      </c>
    </row>
    <row r="6976" spans="1:14" x14ac:dyDescent="0.35">
      <c r="A6976">
        <v>6975</v>
      </c>
      <c r="B6976" t="s">
        <v>12</v>
      </c>
      <c r="C6976">
        <v>36</v>
      </c>
      <c r="D6976" t="s">
        <v>27</v>
      </c>
      <c r="E6976" t="s">
        <v>14</v>
      </c>
      <c r="F6976">
        <v>278</v>
      </c>
      <c r="G6976">
        <v>67</v>
      </c>
      <c r="H6976">
        <v>0.46</v>
      </c>
      <c r="I6976" t="s">
        <v>15</v>
      </c>
      <c r="J6976">
        <v>22</v>
      </c>
      <c r="K6976">
        <v>0</v>
      </c>
      <c r="L6976">
        <v>0</v>
      </c>
      <c r="M6976">
        <f>VLOOKUP(Table1[[#This Row],[subscription_type]],Plans!$A$1:$B$5,2,FALSE)</f>
        <v>0</v>
      </c>
      <c r="N6976">
        <f t="shared" si="108"/>
        <v>0</v>
      </c>
    </row>
    <row r="6977" spans="1:14" x14ac:dyDescent="0.35">
      <c r="A6977">
        <v>6976</v>
      </c>
      <c r="B6977" t="s">
        <v>20</v>
      </c>
      <c r="C6977">
        <v>45</v>
      </c>
      <c r="D6977" t="s">
        <v>25</v>
      </c>
      <c r="E6977" t="s">
        <v>18</v>
      </c>
      <c r="F6977">
        <v>162</v>
      </c>
      <c r="G6977">
        <v>28</v>
      </c>
      <c r="H6977">
        <v>0.23</v>
      </c>
      <c r="I6977" t="s">
        <v>19</v>
      </c>
      <c r="J6977">
        <v>0</v>
      </c>
      <c r="K6977">
        <v>1</v>
      </c>
      <c r="L6977">
        <v>0</v>
      </c>
      <c r="M6977">
        <f>VLOOKUP(Table1[[#This Row],[subscription_type]],Plans!$A$1:$B$5,2,FALSE)</f>
        <v>14.99</v>
      </c>
      <c r="N6977">
        <f t="shared" si="108"/>
        <v>0</v>
      </c>
    </row>
    <row r="6978" spans="1:14" x14ac:dyDescent="0.35">
      <c r="A6978">
        <v>6977</v>
      </c>
      <c r="B6978" t="s">
        <v>16</v>
      </c>
      <c r="C6978">
        <v>27</v>
      </c>
      <c r="D6978" t="s">
        <v>21</v>
      </c>
      <c r="E6978" t="s">
        <v>18</v>
      </c>
      <c r="F6978">
        <v>217</v>
      </c>
      <c r="G6978">
        <v>95</v>
      </c>
      <c r="H6978">
        <v>0.34</v>
      </c>
      <c r="I6978" t="s">
        <v>19</v>
      </c>
      <c r="J6978">
        <v>0</v>
      </c>
      <c r="K6978">
        <v>1</v>
      </c>
      <c r="L6978">
        <v>0</v>
      </c>
      <c r="M6978">
        <f>VLOOKUP(Table1[[#This Row],[subscription_type]],Plans!$A$1:$B$5,2,FALSE)</f>
        <v>14.99</v>
      </c>
      <c r="N6978">
        <f t="shared" ref="N6978:N7041" si="109">IF(L6978=1, M6978,0)</f>
        <v>0</v>
      </c>
    </row>
    <row r="6979" spans="1:14" x14ac:dyDescent="0.35">
      <c r="A6979">
        <v>6978</v>
      </c>
      <c r="B6979" t="s">
        <v>16</v>
      </c>
      <c r="C6979">
        <v>39</v>
      </c>
      <c r="D6979" t="s">
        <v>28</v>
      </c>
      <c r="E6979" t="s">
        <v>24</v>
      </c>
      <c r="F6979">
        <v>264</v>
      </c>
      <c r="G6979">
        <v>21</v>
      </c>
      <c r="H6979">
        <v>0.14000000000000001</v>
      </c>
      <c r="I6979" t="s">
        <v>23</v>
      </c>
      <c r="J6979">
        <v>0</v>
      </c>
      <c r="K6979">
        <v>1</v>
      </c>
      <c r="L6979">
        <v>1</v>
      </c>
      <c r="M6979">
        <f>VLOOKUP(Table1[[#This Row],[subscription_type]],Plans!$A$1:$B$5,2,FALSE)</f>
        <v>4.99</v>
      </c>
      <c r="N6979">
        <f t="shared" si="109"/>
        <v>4.99</v>
      </c>
    </row>
    <row r="6980" spans="1:14" x14ac:dyDescent="0.35">
      <c r="A6980">
        <v>6979</v>
      </c>
      <c r="B6980" t="s">
        <v>16</v>
      </c>
      <c r="C6980">
        <v>25</v>
      </c>
      <c r="D6980" t="s">
        <v>25</v>
      </c>
      <c r="E6980" t="s">
        <v>14</v>
      </c>
      <c r="F6980">
        <v>79</v>
      </c>
      <c r="G6980">
        <v>16</v>
      </c>
      <c r="H6980">
        <v>0.55000000000000004</v>
      </c>
      <c r="I6980" t="s">
        <v>15</v>
      </c>
      <c r="J6980">
        <v>32</v>
      </c>
      <c r="K6980">
        <v>0</v>
      </c>
      <c r="L6980">
        <v>0</v>
      </c>
      <c r="M6980">
        <f>VLOOKUP(Table1[[#This Row],[subscription_type]],Plans!$A$1:$B$5,2,FALSE)</f>
        <v>0</v>
      </c>
      <c r="N6980">
        <f t="shared" si="109"/>
        <v>0</v>
      </c>
    </row>
    <row r="6981" spans="1:14" x14ac:dyDescent="0.35">
      <c r="A6981">
        <v>6980</v>
      </c>
      <c r="B6981" t="s">
        <v>12</v>
      </c>
      <c r="C6981">
        <v>40</v>
      </c>
      <c r="D6981" t="s">
        <v>13</v>
      </c>
      <c r="E6981" t="s">
        <v>22</v>
      </c>
      <c r="F6981">
        <v>23</v>
      </c>
      <c r="G6981">
        <v>7</v>
      </c>
      <c r="H6981">
        <v>0.49</v>
      </c>
      <c r="I6981" t="s">
        <v>23</v>
      </c>
      <c r="J6981">
        <v>0</v>
      </c>
      <c r="K6981">
        <v>1</v>
      </c>
      <c r="L6981">
        <v>0</v>
      </c>
      <c r="M6981">
        <f>VLOOKUP(Table1[[#This Row],[subscription_type]],Plans!$A$1:$B$5,2,FALSE)</f>
        <v>9.99</v>
      </c>
      <c r="N6981">
        <f t="shared" si="109"/>
        <v>0</v>
      </c>
    </row>
    <row r="6982" spans="1:14" x14ac:dyDescent="0.35">
      <c r="A6982">
        <v>6981</v>
      </c>
      <c r="B6982" t="s">
        <v>20</v>
      </c>
      <c r="C6982">
        <v>44</v>
      </c>
      <c r="D6982" t="s">
        <v>26</v>
      </c>
      <c r="E6982" t="s">
        <v>22</v>
      </c>
      <c r="F6982">
        <v>262</v>
      </c>
      <c r="G6982">
        <v>43</v>
      </c>
      <c r="H6982">
        <v>0.31</v>
      </c>
      <c r="I6982" t="s">
        <v>15</v>
      </c>
      <c r="J6982">
        <v>0</v>
      </c>
      <c r="K6982">
        <v>1</v>
      </c>
      <c r="L6982">
        <v>0</v>
      </c>
      <c r="M6982">
        <f>VLOOKUP(Table1[[#This Row],[subscription_type]],Plans!$A$1:$B$5,2,FALSE)</f>
        <v>9.99</v>
      </c>
      <c r="N6982">
        <f t="shared" si="109"/>
        <v>0</v>
      </c>
    </row>
    <row r="6983" spans="1:14" x14ac:dyDescent="0.35">
      <c r="A6983">
        <v>6982</v>
      </c>
      <c r="B6983" t="s">
        <v>20</v>
      </c>
      <c r="C6983">
        <v>29</v>
      </c>
      <c r="D6983" t="s">
        <v>13</v>
      </c>
      <c r="E6983" t="s">
        <v>18</v>
      </c>
      <c r="F6983">
        <v>191</v>
      </c>
      <c r="G6983">
        <v>43</v>
      </c>
      <c r="H6983">
        <v>0.11</v>
      </c>
      <c r="I6983" t="s">
        <v>15</v>
      </c>
      <c r="J6983">
        <v>0</v>
      </c>
      <c r="K6983">
        <v>1</v>
      </c>
      <c r="L6983">
        <v>0</v>
      </c>
      <c r="M6983">
        <f>VLOOKUP(Table1[[#This Row],[subscription_type]],Plans!$A$1:$B$5,2,FALSE)</f>
        <v>14.99</v>
      </c>
      <c r="N6983">
        <f t="shared" si="109"/>
        <v>0</v>
      </c>
    </row>
    <row r="6984" spans="1:14" x14ac:dyDescent="0.35">
      <c r="A6984">
        <v>6983</v>
      </c>
      <c r="B6984" t="s">
        <v>16</v>
      </c>
      <c r="C6984">
        <v>48</v>
      </c>
      <c r="D6984" t="s">
        <v>28</v>
      </c>
      <c r="E6984" t="s">
        <v>24</v>
      </c>
      <c r="F6984">
        <v>88</v>
      </c>
      <c r="G6984">
        <v>31</v>
      </c>
      <c r="H6984">
        <v>0.05</v>
      </c>
      <c r="I6984" t="s">
        <v>15</v>
      </c>
      <c r="J6984">
        <v>0</v>
      </c>
      <c r="K6984">
        <v>1</v>
      </c>
      <c r="L6984">
        <v>0</v>
      </c>
      <c r="M6984">
        <f>VLOOKUP(Table1[[#This Row],[subscription_type]],Plans!$A$1:$B$5,2,FALSE)</f>
        <v>4.99</v>
      </c>
      <c r="N6984">
        <f t="shared" si="109"/>
        <v>0</v>
      </c>
    </row>
    <row r="6985" spans="1:14" x14ac:dyDescent="0.35">
      <c r="A6985">
        <v>6984</v>
      </c>
      <c r="B6985" t="s">
        <v>20</v>
      </c>
      <c r="C6985">
        <v>41</v>
      </c>
      <c r="D6985" t="s">
        <v>29</v>
      </c>
      <c r="E6985" t="s">
        <v>22</v>
      </c>
      <c r="F6985">
        <v>204</v>
      </c>
      <c r="G6985">
        <v>65</v>
      </c>
      <c r="H6985">
        <v>0.44</v>
      </c>
      <c r="I6985" t="s">
        <v>15</v>
      </c>
      <c r="J6985">
        <v>0</v>
      </c>
      <c r="K6985">
        <v>1</v>
      </c>
      <c r="L6985">
        <v>0</v>
      </c>
      <c r="M6985">
        <f>VLOOKUP(Table1[[#This Row],[subscription_type]],Plans!$A$1:$B$5,2,FALSE)</f>
        <v>9.99</v>
      </c>
      <c r="N6985">
        <f t="shared" si="109"/>
        <v>0</v>
      </c>
    </row>
    <row r="6986" spans="1:14" x14ac:dyDescent="0.35">
      <c r="A6986">
        <v>6985</v>
      </c>
      <c r="B6986" t="s">
        <v>16</v>
      </c>
      <c r="C6986">
        <v>30</v>
      </c>
      <c r="D6986" t="s">
        <v>27</v>
      </c>
      <c r="E6986" t="s">
        <v>18</v>
      </c>
      <c r="F6986">
        <v>92</v>
      </c>
      <c r="G6986">
        <v>37</v>
      </c>
      <c r="H6986">
        <v>0.39</v>
      </c>
      <c r="I6986" t="s">
        <v>19</v>
      </c>
      <c r="J6986">
        <v>0</v>
      </c>
      <c r="K6986">
        <v>1</v>
      </c>
      <c r="L6986">
        <v>0</v>
      </c>
      <c r="M6986">
        <f>VLOOKUP(Table1[[#This Row],[subscription_type]],Plans!$A$1:$B$5,2,FALSE)</f>
        <v>14.99</v>
      </c>
      <c r="N6986">
        <f t="shared" si="109"/>
        <v>0</v>
      </c>
    </row>
    <row r="6987" spans="1:14" x14ac:dyDescent="0.35">
      <c r="A6987">
        <v>6986</v>
      </c>
      <c r="B6987" t="s">
        <v>20</v>
      </c>
      <c r="C6987">
        <v>35</v>
      </c>
      <c r="D6987" t="s">
        <v>28</v>
      </c>
      <c r="E6987" t="s">
        <v>14</v>
      </c>
      <c r="F6987">
        <v>61</v>
      </c>
      <c r="G6987">
        <v>86</v>
      </c>
      <c r="H6987">
        <v>0.52</v>
      </c>
      <c r="I6987" t="s">
        <v>19</v>
      </c>
      <c r="J6987">
        <v>19</v>
      </c>
      <c r="K6987">
        <v>0</v>
      </c>
      <c r="L6987">
        <v>0</v>
      </c>
      <c r="M6987">
        <f>VLOOKUP(Table1[[#This Row],[subscription_type]],Plans!$A$1:$B$5,2,FALSE)</f>
        <v>0</v>
      </c>
      <c r="N6987">
        <f t="shared" si="109"/>
        <v>0</v>
      </c>
    </row>
    <row r="6988" spans="1:14" x14ac:dyDescent="0.35">
      <c r="A6988">
        <v>6987</v>
      </c>
      <c r="B6988" t="s">
        <v>12</v>
      </c>
      <c r="C6988">
        <v>28</v>
      </c>
      <c r="D6988" t="s">
        <v>21</v>
      </c>
      <c r="E6988" t="s">
        <v>14</v>
      </c>
      <c r="F6988">
        <v>269</v>
      </c>
      <c r="G6988">
        <v>4</v>
      </c>
      <c r="H6988">
        <v>0.39</v>
      </c>
      <c r="I6988" t="s">
        <v>19</v>
      </c>
      <c r="J6988">
        <v>29</v>
      </c>
      <c r="K6988">
        <v>0</v>
      </c>
      <c r="L6988">
        <v>0</v>
      </c>
      <c r="M6988">
        <f>VLOOKUP(Table1[[#This Row],[subscription_type]],Plans!$A$1:$B$5,2,FALSE)</f>
        <v>0</v>
      </c>
      <c r="N6988">
        <f t="shared" si="109"/>
        <v>0</v>
      </c>
    </row>
    <row r="6989" spans="1:14" x14ac:dyDescent="0.35">
      <c r="A6989">
        <v>6988</v>
      </c>
      <c r="B6989" t="s">
        <v>16</v>
      </c>
      <c r="C6989">
        <v>36</v>
      </c>
      <c r="D6989" t="s">
        <v>29</v>
      </c>
      <c r="E6989" t="s">
        <v>14</v>
      </c>
      <c r="F6989">
        <v>298</v>
      </c>
      <c r="G6989">
        <v>51</v>
      </c>
      <c r="H6989">
        <v>0.56999999999999995</v>
      </c>
      <c r="I6989" t="s">
        <v>19</v>
      </c>
      <c r="J6989">
        <v>39</v>
      </c>
      <c r="K6989">
        <v>0</v>
      </c>
      <c r="L6989">
        <v>1</v>
      </c>
      <c r="M6989">
        <f>VLOOKUP(Table1[[#This Row],[subscription_type]],Plans!$A$1:$B$5,2,FALSE)</f>
        <v>0</v>
      </c>
      <c r="N6989">
        <f t="shared" si="109"/>
        <v>0</v>
      </c>
    </row>
    <row r="6990" spans="1:14" x14ac:dyDescent="0.35">
      <c r="A6990">
        <v>6989</v>
      </c>
      <c r="B6990" t="s">
        <v>16</v>
      </c>
      <c r="C6990">
        <v>57</v>
      </c>
      <c r="D6990" t="s">
        <v>29</v>
      </c>
      <c r="E6990" t="s">
        <v>22</v>
      </c>
      <c r="F6990">
        <v>291</v>
      </c>
      <c r="G6990">
        <v>96</v>
      </c>
      <c r="H6990">
        <v>0.06</v>
      </c>
      <c r="I6990" t="s">
        <v>23</v>
      </c>
      <c r="J6990">
        <v>0</v>
      </c>
      <c r="K6990">
        <v>1</v>
      </c>
      <c r="L6990">
        <v>0</v>
      </c>
      <c r="M6990">
        <f>VLOOKUP(Table1[[#This Row],[subscription_type]],Plans!$A$1:$B$5,2,FALSE)</f>
        <v>9.99</v>
      </c>
      <c r="N6990">
        <f t="shared" si="109"/>
        <v>0</v>
      </c>
    </row>
    <row r="6991" spans="1:14" x14ac:dyDescent="0.35">
      <c r="A6991">
        <v>6990</v>
      </c>
      <c r="B6991" t="s">
        <v>16</v>
      </c>
      <c r="C6991">
        <v>41</v>
      </c>
      <c r="D6991" t="s">
        <v>28</v>
      </c>
      <c r="E6991" t="s">
        <v>18</v>
      </c>
      <c r="F6991">
        <v>59</v>
      </c>
      <c r="G6991">
        <v>20</v>
      </c>
      <c r="H6991">
        <v>0.12</v>
      </c>
      <c r="I6991" t="s">
        <v>15</v>
      </c>
      <c r="J6991">
        <v>0</v>
      </c>
      <c r="K6991">
        <v>1</v>
      </c>
      <c r="L6991">
        <v>1</v>
      </c>
      <c r="M6991">
        <f>VLOOKUP(Table1[[#This Row],[subscription_type]],Plans!$A$1:$B$5,2,FALSE)</f>
        <v>14.99</v>
      </c>
      <c r="N6991">
        <f t="shared" si="109"/>
        <v>14.99</v>
      </c>
    </row>
    <row r="6992" spans="1:14" x14ac:dyDescent="0.35">
      <c r="A6992">
        <v>6991</v>
      </c>
      <c r="B6992" t="s">
        <v>20</v>
      </c>
      <c r="C6992">
        <v>23</v>
      </c>
      <c r="D6992" t="s">
        <v>13</v>
      </c>
      <c r="E6992" t="s">
        <v>18</v>
      </c>
      <c r="F6992">
        <v>288</v>
      </c>
      <c r="G6992">
        <v>25</v>
      </c>
      <c r="H6992">
        <v>0.2</v>
      </c>
      <c r="I6992" t="s">
        <v>23</v>
      </c>
      <c r="J6992">
        <v>0</v>
      </c>
      <c r="K6992">
        <v>1</v>
      </c>
      <c r="L6992">
        <v>0</v>
      </c>
      <c r="M6992">
        <f>VLOOKUP(Table1[[#This Row],[subscription_type]],Plans!$A$1:$B$5,2,FALSE)</f>
        <v>14.99</v>
      </c>
      <c r="N6992">
        <f t="shared" si="109"/>
        <v>0</v>
      </c>
    </row>
    <row r="6993" spans="1:14" x14ac:dyDescent="0.35">
      <c r="A6993">
        <v>6992</v>
      </c>
      <c r="B6993" t="s">
        <v>20</v>
      </c>
      <c r="C6993">
        <v>37</v>
      </c>
      <c r="D6993" t="s">
        <v>29</v>
      </c>
      <c r="E6993" t="s">
        <v>14</v>
      </c>
      <c r="F6993">
        <v>255</v>
      </c>
      <c r="G6993">
        <v>39</v>
      </c>
      <c r="H6993">
        <v>0.23</v>
      </c>
      <c r="I6993" t="s">
        <v>23</v>
      </c>
      <c r="J6993">
        <v>49</v>
      </c>
      <c r="K6993">
        <v>0</v>
      </c>
      <c r="L6993">
        <v>0</v>
      </c>
      <c r="M6993">
        <f>VLOOKUP(Table1[[#This Row],[subscription_type]],Plans!$A$1:$B$5,2,FALSE)</f>
        <v>0</v>
      </c>
      <c r="N6993">
        <f t="shared" si="109"/>
        <v>0</v>
      </c>
    </row>
    <row r="6994" spans="1:14" x14ac:dyDescent="0.35">
      <c r="A6994">
        <v>6993</v>
      </c>
      <c r="B6994" t="s">
        <v>20</v>
      </c>
      <c r="C6994">
        <v>50</v>
      </c>
      <c r="D6994" t="s">
        <v>13</v>
      </c>
      <c r="E6994" t="s">
        <v>14</v>
      </c>
      <c r="F6994">
        <v>80</v>
      </c>
      <c r="G6994">
        <v>76</v>
      </c>
      <c r="H6994">
        <v>0.39</v>
      </c>
      <c r="I6994" t="s">
        <v>23</v>
      </c>
      <c r="J6994">
        <v>47</v>
      </c>
      <c r="K6994">
        <v>0</v>
      </c>
      <c r="L6994">
        <v>1</v>
      </c>
      <c r="M6994">
        <f>VLOOKUP(Table1[[#This Row],[subscription_type]],Plans!$A$1:$B$5,2,FALSE)</f>
        <v>0</v>
      </c>
      <c r="N6994">
        <f t="shared" si="109"/>
        <v>0</v>
      </c>
    </row>
    <row r="6995" spans="1:14" x14ac:dyDescent="0.35">
      <c r="A6995">
        <v>6994</v>
      </c>
      <c r="B6995" t="s">
        <v>16</v>
      </c>
      <c r="C6995">
        <v>54</v>
      </c>
      <c r="D6995" t="s">
        <v>29</v>
      </c>
      <c r="E6995" t="s">
        <v>24</v>
      </c>
      <c r="F6995">
        <v>199</v>
      </c>
      <c r="G6995">
        <v>17</v>
      </c>
      <c r="H6995">
        <v>0.37</v>
      </c>
      <c r="I6995" t="s">
        <v>19</v>
      </c>
      <c r="J6995">
        <v>0</v>
      </c>
      <c r="K6995">
        <v>1</v>
      </c>
      <c r="L6995">
        <v>0</v>
      </c>
      <c r="M6995">
        <f>VLOOKUP(Table1[[#This Row],[subscription_type]],Plans!$A$1:$B$5,2,FALSE)</f>
        <v>4.99</v>
      </c>
      <c r="N6995">
        <f t="shared" si="109"/>
        <v>0</v>
      </c>
    </row>
    <row r="6996" spans="1:14" x14ac:dyDescent="0.35">
      <c r="A6996">
        <v>6995</v>
      </c>
      <c r="B6996" t="s">
        <v>16</v>
      </c>
      <c r="C6996">
        <v>53</v>
      </c>
      <c r="D6996" t="s">
        <v>26</v>
      </c>
      <c r="E6996" t="s">
        <v>24</v>
      </c>
      <c r="F6996">
        <v>11</v>
      </c>
      <c r="G6996">
        <v>92</v>
      </c>
      <c r="H6996">
        <v>0.49</v>
      </c>
      <c r="I6996" t="s">
        <v>19</v>
      </c>
      <c r="J6996">
        <v>0</v>
      </c>
      <c r="K6996">
        <v>1</v>
      </c>
      <c r="L6996">
        <v>0</v>
      </c>
      <c r="M6996">
        <f>VLOOKUP(Table1[[#This Row],[subscription_type]],Plans!$A$1:$B$5,2,FALSE)</f>
        <v>4.99</v>
      </c>
      <c r="N6996">
        <f t="shared" si="109"/>
        <v>0</v>
      </c>
    </row>
    <row r="6997" spans="1:14" x14ac:dyDescent="0.35">
      <c r="A6997">
        <v>6996</v>
      </c>
      <c r="B6997" t="s">
        <v>12</v>
      </c>
      <c r="C6997">
        <v>16</v>
      </c>
      <c r="D6997" t="s">
        <v>25</v>
      </c>
      <c r="E6997" t="s">
        <v>22</v>
      </c>
      <c r="F6997">
        <v>93</v>
      </c>
      <c r="G6997">
        <v>19</v>
      </c>
      <c r="H6997">
        <v>0.26</v>
      </c>
      <c r="I6997" t="s">
        <v>15</v>
      </c>
      <c r="J6997">
        <v>0</v>
      </c>
      <c r="K6997">
        <v>1</v>
      </c>
      <c r="L6997">
        <v>0</v>
      </c>
      <c r="M6997">
        <f>VLOOKUP(Table1[[#This Row],[subscription_type]],Plans!$A$1:$B$5,2,FALSE)</f>
        <v>9.99</v>
      </c>
      <c r="N6997">
        <f t="shared" si="109"/>
        <v>0</v>
      </c>
    </row>
    <row r="6998" spans="1:14" x14ac:dyDescent="0.35">
      <c r="A6998">
        <v>6997</v>
      </c>
      <c r="B6998" t="s">
        <v>12</v>
      </c>
      <c r="C6998">
        <v>58</v>
      </c>
      <c r="D6998" t="s">
        <v>25</v>
      </c>
      <c r="E6998" t="s">
        <v>22</v>
      </c>
      <c r="F6998">
        <v>122</v>
      </c>
      <c r="G6998">
        <v>61</v>
      </c>
      <c r="H6998">
        <v>0.2</v>
      </c>
      <c r="I6998" t="s">
        <v>23</v>
      </c>
      <c r="J6998">
        <v>0</v>
      </c>
      <c r="K6998">
        <v>1</v>
      </c>
      <c r="L6998">
        <v>1</v>
      </c>
      <c r="M6998">
        <f>VLOOKUP(Table1[[#This Row],[subscription_type]],Plans!$A$1:$B$5,2,FALSE)</f>
        <v>9.99</v>
      </c>
      <c r="N6998">
        <f t="shared" si="109"/>
        <v>9.99</v>
      </c>
    </row>
    <row r="6999" spans="1:14" x14ac:dyDescent="0.35">
      <c r="A6999">
        <v>6998</v>
      </c>
      <c r="B6999" t="s">
        <v>16</v>
      </c>
      <c r="C6999">
        <v>51</v>
      </c>
      <c r="D6999" t="s">
        <v>21</v>
      </c>
      <c r="E6999" t="s">
        <v>14</v>
      </c>
      <c r="F6999">
        <v>220</v>
      </c>
      <c r="G6999">
        <v>70</v>
      </c>
      <c r="H6999">
        <v>0.34</v>
      </c>
      <c r="I6999" t="s">
        <v>19</v>
      </c>
      <c r="J6999">
        <v>44</v>
      </c>
      <c r="K6999">
        <v>0</v>
      </c>
      <c r="L6999">
        <v>0</v>
      </c>
      <c r="M6999">
        <f>VLOOKUP(Table1[[#This Row],[subscription_type]],Plans!$A$1:$B$5,2,FALSE)</f>
        <v>0</v>
      </c>
      <c r="N6999">
        <f t="shared" si="109"/>
        <v>0</v>
      </c>
    </row>
    <row r="7000" spans="1:14" x14ac:dyDescent="0.35">
      <c r="A7000">
        <v>6999</v>
      </c>
      <c r="B7000" t="s">
        <v>20</v>
      </c>
      <c r="C7000">
        <v>16</v>
      </c>
      <c r="D7000" t="s">
        <v>25</v>
      </c>
      <c r="E7000" t="s">
        <v>24</v>
      </c>
      <c r="F7000">
        <v>49</v>
      </c>
      <c r="G7000">
        <v>47</v>
      </c>
      <c r="H7000">
        <v>0.38</v>
      </c>
      <c r="I7000" t="s">
        <v>19</v>
      </c>
      <c r="J7000">
        <v>0</v>
      </c>
      <c r="K7000">
        <v>1</v>
      </c>
      <c r="L7000">
        <v>0</v>
      </c>
      <c r="M7000">
        <f>VLOOKUP(Table1[[#This Row],[subscription_type]],Plans!$A$1:$B$5,2,FALSE)</f>
        <v>4.99</v>
      </c>
      <c r="N7000">
        <f t="shared" si="109"/>
        <v>0</v>
      </c>
    </row>
    <row r="7001" spans="1:14" x14ac:dyDescent="0.35">
      <c r="A7001">
        <v>7000</v>
      </c>
      <c r="B7001" t="s">
        <v>20</v>
      </c>
      <c r="C7001">
        <v>37</v>
      </c>
      <c r="D7001" t="s">
        <v>26</v>
      </c>
      <c r="E7001" t="s">
        <v>14</v>
      </c>
      <c r="F7001">
        <v>100</v>
      </c>
      <c r="G7001">
        <v>89</v>
      </c>
      <c r="H7001">
        <v>0.11</v>
      </c>
      <c r="I7001" t="s">
        <v>19</v>
      </c>
      <c r="J7001">
        <v>13</v>
      </c>
      <c r="K7001">
        <v>0</v>
      </c>
      <c r="L7001">
        <v>0</v>
      </c>
      <c r="M7001">
        <f>VLOOKUP(Table1[[#This Row],[subscription_type]],Plans!$A$1:$B$5,2,FALSE)</f>
        <v>0</v>
      </c>
      <c r="N7001">
        <f t="shared" si="109"/>
        <v>0</v>
      </c>
    </row>
    <row r="7002" spans="1:14" x14ac:dyDescent="0.35">
      <c r="A7002">
        <v>7001</v>
      </c>
      <c r="B7002" t="s">
        <v>12</v>
      </c>
      <c r="C7002">
        <v>49</v>
      </c>
      <c r="D7002" t="s">
        <v>26</v>
      </c>
      <c r="E7002" t="s">
        <v>24</v>
      </c>
      <c r="F7002">
        <v>57</v>
      </c>
      <c r="G7002">
        <v>47</v>
      </c>
      <c r="H7002">
        <v>0.15</v>
      </c>
      <c r="I7002" t="s">
        <v>15</v>
      </c>
      <c r="J7002">
        <v>0</v>
      </c>
      <c r="K7002">
        <v>1</v>
      </c>
      <c r="L7002">
        <v>0</v>
      </c>
      <c r="M7002">
        <f>VLOOKUP(Table1[[#This Row],[subscription_type]],Plans!$A$1:$B$5,2,FALSE)</f>
        <v>4.99</v>
      </c>
      <c r="N7002">
        <f t="shared" si="109"/>
        <v>0</v>
      </c>
    </row>
    <row r="7003" spans="1:14" x14ac:dyDescent="0.35">
      <c r="A7003">
        <v>7002</v>
      </c>
      <c r="B7003" t="s">
        <v>16</v>
      </c>
      <c r="C7003">
        <v>31</v>
      </c>
      <c r="D7003" t="s">
        <v>27</v>
      </c>
      <c r="E7003" t="s">
        <v>14</v>
      </c>
      <c r="F7003">
        <v>148</v>
      </c>
      <c r="G7003">
        <v>93</v>
      </c>
      <c r="H7003">
        <v>0.55000000000000004</v>
      </c>
      <c r="I7003" t="s">
        <v>15</v>
      </c>
      <c r="J7003">
        <v>8</v>
      </c>
      <c r="K7003">
        <v>0</v>
      </c>
      <c r="L7003">
        <v>0</v>
      </c>
      <c r="M7003">
        <f>VLOOKUP(Table1[[#This Row],[subscription_type]],Plans!$A$1:$B$5,2,FALSE)</f>
        <v>0</v>
      </c>
      <c r="N7003">
        <f t="shared" si="109"/>
        <v>0</v>
      </c>
    </row>
    <row r="7004" spans="1:14" x14ac:dyDescent="0.35">
      <c r="A7004">
        <v>7003</v>
      </c>
      <c r="B7004" t="s">
        <v>16</v>
      </c>
      <c r="C7004">
        <v>33</v>
      </c>
      <c r="D7004" t="s">
        <v>21</v>
      </c>
      <c r="E7004" t="s">
        <v>18</v>
      </c>
      <c r="F7004">
        <v>244</v>
      </c>
      <c r="G7004">
        <v>54</v>
      </c>
      <c r="H7004">
        <v>0.43</v>
      </c>
      <c r="I7004" t="s">
        <v>19</v>
      </c>
      <c r="J7004">
        <v>0</v>
      </c>
      <c r="K7004">
        <v>1</v>
      </c>
      <c r="L7004">
        <v>0</v>
      </c>
      <c r="M7004">
        <f>VLOOKUP(Table1[[#This Row],[subscription_type]],Plans!$A$1:$B$5,2,FALSE)</f>
        <v>14.99</v>
      </c>
      <c r="N7004">
        <f t="shared" si="109"/>
        <v>0</v>
      </c>
    </row>
    <row r="7005" spans="1:14" x14ac:dyDescent="0.35">
      <c r="A7005">
        <v>7004</v>
      </c>
      <c r="B7005" t="s">
        <v>16</v>
      </c>
      <c r="C7005">
        <v>37</v>
      </c>
      <c r="D7005" t="s">
        <v>29</v>
      </c>
      <c r="E7005" t="s">
        <v>22</v>
      </c>
      <c r="F7005">
        <v>116</v>
      </c>
      <c r="G7005">
        <v>65</v>
      </c>
      <c r="H7005">
        <v>0.3</v>
      </c>
      <c r="I7005" t="s">
        <v>23</v>
      </c>
      <c r="J7005">
        <v>0</v>
      </c>
      <c r="K7005">
        <v>1</v>
      </c>
      <c r="L7005">
        <v>0</v>
      </c>
      <c r="M7005">
        <f>VLOOKUP(Table1[[#This Row],[subscription_type]],Plans!$A$1:$B$5,2,FALSE)</f>
        <v>9.99</v>
      </c>
      <c r="N7005">
        <f t="shared" si="109"/>
        <v>0</v>
      </c>
    </row>
    <row r="7006" spans="1:14" x14ac:dyDescent="0.35">
      <c r="A7006">
        <v>7005</v>
      </c>
      <c r="B7006" t="s">
        <v>16</v>
      </c>
      <c r="C7006">
        <v>31</v>
      </c>
      <c r="D7006" t="s">
        <v>27</v>
      </c>
      <c r="E7006" t="s">
        <v>22</v>
      </c>
      <c r="F7006">
        <v>186</v>
      </c>
      <c r="G7006">
        <v>18</v>
      </c>
      <c r="H7006">
        <v>0.27</v>
      </c>
      <c r="I7006" t="s">
        <v>19</v>
      </c>
      <c r="J7006">
        <v>0</v>
      </c>
      <c r="K7006">
        <v>1</v>
      </c>
      <c r="L7006">
        <v>0</v>
      </c>
      <c r="M7006">
        <f>VLOOKUP(Table1[[#This Row],[subscription_type]],Plans!$A$1:$B$5,2,FALSE)</f>
        <v>9.99</v>
      </c>
      <c r="N7006">
        <f t="shared" si="109"/>
        <v>0</v>
      </c>
    </row>
    <row r="7007" spans="1:14" x14ac:dyDescent="0.35">
      <c r="A7007">
        <v>7006</v>
      </c>
      <c r="B7007" t="s">
        <v>20</v>
      </c>
      <c r="C7007">
        <v>17</v>
      </c>
      <c r="D7007" t="s">
        <v>13</v>
      </c>
      <c r="E7007" t="s">
        <v>22</v>
      </c>
      <c r="F7007">
        <v>222</v>
      </c>
      <c r="G7007">
        <v>47</v>
      </c>
      <c r="H7007">
        <v>0.21</v>
      </c>
      <c r="I7007" t="s">
        <v>15</v>
      </c>
      <c r="J7007">
        <v>0</v>
      </c>
      <c r="K7007">
        <v>1</v>
      </c>
      <c r="L7007">
        <v>1</v>
      </c>
      <c r="M7007">
        <f>VLOOKUP(Table1[[#This Row],[subscription_type]],Plans!$A$1:$B$5,2,FALSE)</f>
        <v>9.99</v>
      </c>
      <c r="N7007">
        <f t="shared" si="109"/>
        <v>9.99</v>
      </c>
    </row>
    <row r="7008" spans="1:14" x14ac:dyDescent="0.35">
      <c r="A7008">
        <v>7007</v>
      </c>
      <c r="B7008" t="s">
        <v>20</v>
      </c>
      <c r="C7008">
        <v>16</v>
      </c>
      <c r="D7008" t="s">
        <v>25</v>
      </c>
      <c r="E7008" t="s">
        <v>24</v>
      </c>
      <c r="F7008">
        <v>174</v>
      </c>
      <c r="G7008">
        <v>41</v>
      </c>
      <c r="H7008">
        <v>0.46</v>
      </c>
      <c r="I7008" t="s">
        <v>19</v>
      </c>
      <c r="J7008">
        <v>0</v>
      </c>
      <c r="K7008">
        <v>1</v>
      </c>
      <c r="L7008">
        <v>0</v>
      </c>
      <c r="M7008">
        <f>VLOOKUP(Table1[[#This Row],[subscription_type]],Plans!$A$1:$B$5,2,FALSE)</f>
        <v>4.99</v>
      </c>
      <c r="N7008">
        <f t="shared" si="109"/>
        <v>0</v>
      </c>
    </row>
    <row r="7009" spans="1:14" x14ac:dyDescent="0.35">
      <c r="A7009">
        <v>7008</v>
      </c>
      <c r="B7009" t="s">
        <v>16</v>
      </c>
      <c r="C7009">
        <v>24</v>
      </c>
      <c r="D7009" t="s">
        <v>29</v>
      </c>
      <c r="E7009" t="s">
        <v>18</v>
      </c>
      <c r="F7009">
        <v>276</v>
      </c>
      <c r="G7009">
        <v>90</v>
      </c>
      <c r="H7009">
        <v>0.17</v>
      </c>
      <c r="I7009" t="s">
        <v>23</v>
      </c>
      <c r="J7009">
        <v>0</v>
      </c>
      <c r="K7009">
        <v>1</v>
      </c>
      <c r="L7009">
        <v>1</v>
      </c>
      <c r="M7009">
        <f>VLOOKUP(Table1[[#This Row],[subscription_type]],Plans!$A$1:$B$5,2,FALSE)</f>
        <v>14.99</v>
      </c>
      <c r="N7009">
        <f t="shared" si="109"/>
        <v>14.99</v>
      </c>
    </row>
    <row r="7010" spans="1:14" x14ac:dyDescent="0.35">
      <c r="A7010">
        <v>7009</v>
      </c>
      <c r="B7010" t="s">
        <v>12</v>
      </c>
      <c r="C7010">
        <v>22</v>
      </c>
      <c r="D7010" t="s">
        <v>29</v>
      </c>
      <c r="E7010" t="s">
        <v>14</v>
      </c>
      <c r="F7010">
        <v>110</v>
      </c>
      <c r="G7010">
        <v>61</v>
      </c>
      <c r="H7010">
        <v>0.51</v>
      </c>
      <c r="I7010" t="s">
        <v>23</v>
      </c>
      <c r="J7010">
        <v>38</v>
      </c>
      <c r="K7010">
        <v>0</v>
      </c>
      <c r="L7010">
        <v>1</v>
      </c>
      <c r="M7010">
        <f>VLOOKUP(Table1[[#This Row],[subscription_type]],Plans!$A$1:$B$5,2,FALSE)</f>
        <v>0</v>
      </c>
      <c r="N7010">
        <f t="shared" si="109"/>
        <v>0</v>
      </c>
    </row>
    <row r="7011" spans="1:14" x14ac:dyDescent="0.35">
      <c r="A7011">
        <v>7010</v>
      </c>
      <c r="B7011" t="s">
        <v>20</v>
      </c>
      <c r="C7011">
        <v>31</v>
      </c>
      <c r="D7011" t="s">
        <v>28</v>
      </c>
      <c r="E7011" t="s">
        <v>22</v>
      </c>
      <c r="F7011">
        <v>282</v>
      </c>
      <c r="G7011">
        <v>3</v>
      </c>
      <c r="H7011">
        <v>0.56999999999999995</v>
      </c>
      <c r="I7011" t="s">
        <v>15</v>
      </c>
      <c r="J7011">
        <v>0</v>
      </c>
      <c r="K7011">
        <v>1</v>
      </c>
      <c r="L7011">
        <v>0</v>
      </c>
      <c r="M7011">
        <f>VLOOKUP(Table1[[#This Row],[subscription_type]],Plans!$A$1:$B$5,2,FALSE)</f>
        <v>9.99</v>
      </c>
      <c r="N7011">
        <f t="shared" si="109"/>
        <v>0</v>
      </c>
    </row>
    <row r="7012" spans="1:14" x14ac:dyDescent="0.35">
      <c r="A7012">
        <v>7011</v>
      </c>
      <c r="B7012" t="s">
        <v>16</v>
      </c>
      <c r="C7012">
        <v>51</v>
      </c>
      <c r="D7012" t="s">
        <v>21</v>
      </c>
      <c r="E7012" t="s">
        <v>18</v>
      </c>
      <c r="F7012">
        <v>251</v>
      </c>
      <c r="G7012">
        <v>77</v>
      </c>
      <c r="H7012">
        <v>0.53</v>
      </c>
      <c r="I7012" t="s">
        <v>23</v>
      </c>
      <c r="J7012">
        <v>0</v>
      </c>
      <c r="K7012">
        <v>1</v>
      </c>
      <c r="L7012">
        <v>0</v>
      </c>
      <c r="M7012">
        <f>VLOOKUP(Table1[[#This Row],[subscription_type]],Plans!$A$1:$B$5,2,FALSE)</f>
        <v>14.99</v>
      </c>
      <c r="N7012">
        <f t="shared" si="109"/>
        <v>0</v>
      </c>
    </row>
    <row r="7013" spans="1:14" x14ac:dyDescent="0.35">
      <c r="A7013">
        <v>7012</v>
      </c>
      <c r="B7013" t="s">
        <v>12</v>
      </c>
      <c r="C7013">
        <v>53</v>
      </c>
      <c r="D7013" t="s">
        <v>27</v>
      </c>
      <c r="E7013" t="s">
        <v>24</v>
      </c>
      <c r="F7013">
        <v>128</v>
      </c>
      <c r="G7013">
        <v>90</v>
      </c>
      <c r="H7013">
        <v>0.3</v>
      </c>
      <c r="I7013" t="s">
        <v>23</v>
      </c>
      <c r="J7013">
        <v>0</v>
      </c>
      <c r="K7013">
        <v>1</v>
      </c>
      <c r="L7013">
        <v>0</v>
      </c>
      <c r="M7013">
        <f>VLOOKUP(Table1[[#This Row],[subscription_type]],Plans!$A$1:$B$5,2,FALSE)</f>
        <v>4.99</v>
      </c>
      <c r="N7013">
        <f t="shared" si="109"/>
        <v>0</v>
      </c>
    </row>
    <row r="7014" spans="1:14" x14ac:dyDescent="0.35">
      <c r="A7014">
        <v>7013</v>
      </c>
      <c r="B7014" t="s">
        <v>16</v>
      </c>
      <c r="C7014">
        <v>41</v>
      </c>
      <c r="D7014" t="s">
        <v>21</v>
      </c>
      <c r="E7014" t="s">
        <v>18</v>
      </c>
      <c r="F7014">
        <v>95</v>
      </c>
      <c r="G7014">
        <v>96</v>
      </c>
      <c r="H7014">
        <v>0.01</v>
      </c>
      <c r="I7014" t="s">
        <v>19</v>
      </c>
      <c r="J7014">
        <v>0</v>
      </c>
      <c r="K7014">
        <v>1</v>
      </c>
      <c r="L7014">
        <v>0</v>
      </c>
      <c r="M7014">
        <f>VLOOKUP(Table1[[#This Row],[subscription_type]],Plans!$A$1:$B$5,2,FALSE)</f>
        <v>14.99</v>
      </c>
      <c r="N7014">
        <f t="shared" si="109"/>
        <v>0</v>
      </c>
    </row>
    <row r="7015" spans="1:14" x14ac:dyDescent="0.35">
      <c r="A7015">
        <v>7014</v>
      </c>
      <c r="B7015" t="s">
        <v>20</v>
      </c>
      <c r="C7015">
        <v>50</v>
      </c>
      <c r="D7015" t="s">
        <v>29</v>
      </c>
      <c r="E7015" t="s">
        <v>22</v>
      </c>
      <c r="F7015">
        <v>210</v>
      </c>
      <c r="G7015">
        <v>26</v>
      </c>
      <c r="H7015">
        <v>0.01</v>
      </c>
      <c r="I7015" t="s">
        <v>19</v>
      </c>
      <c r="J7015">
        <v>0</v>
      </c>
      <c r="K7015">
        <v>1</v>
      </c>
      <c r="L7015">
        <v>1</v>
      </c>
      <c r="M7015">
        <f>VLOOKUP(Table1[[#This Row],[subscription_type]],Plans!$A$1:$B$5,2,FALSE)</f>
        <v>9.99</v>
      </c>
      <c r="N7015">
        <f t="shared" si="109"/>
        <v>9.99</v>
      </c>
    </row>
    <row r="7016" spans="1:14" x14ac:dyDescent="0.35">
      <c r="A7016">
        <v>7015</v>
      </c>
      <c r="B7016" t="s">
        <v>12</v>
      </c>
      <c r="C7016">
        <v>31</v>
      </c>
      <c r="D7016" t="s">
        <v>27</v>
      </c>
      <c r="E7016" t="s">
        <v>14</v>
      </c>
      <c r="F7016">
        <v>252</v>
      </c>
      <c r="G7016">
        <v>13</v>
      </c>
      <c r="H7016">
        <v>0.01</v>
      </c>
      <c r="I7016" t="s">
        <v>19</v>
      </c>
      <c r="J7016">
        <v>17</v>
      </c>
      <c r="K7016">
        <v>0</v>
      </c>
      <c r="L7016">
        <v>0</v>
      </c>
      <c r="M7016">
        <f>VLOOKUP(Table1[[#This Row],[subscription_type]],Plans!$A$1:$B$5,2,FALSE)</f>
        <v>0</v>
      </c>
      <c r="N7016">
        <f t="shared" si="109"/>
        <v>0</v>
      </c>
    </row>
    <row r="7017" spans="1:14" x14ac:dyDescent="0.35">
      <c r="A7017">
        <v>7016</v>
      </c>
      <c r="B7017" t="s">
        <v>12</v>
      </c>
      <c r="C7017">
        <v>26</v>
      </c>
      <c r="D7017" t="s">
        <v>17</v>
      </c>
      <c r="E7017" t="s">
        <v>14</v>
      </c>
      <c r="F7017">
        <v>169</v>
      </c>
      <c r="G7017">
        <v>6</v>
      </c>
      <c r="H7017">
        <v>0.32</v>
      </c>
      <c r="I7017" t="s">
        <v>19</v>
      </c>
      <c r="J7017">
        <v>26</v>
      </c>
      <c r="K7017">
        <v>0</v>
      </c>
      <c r="L7017">
        <v>0</v>
      </c>
      <c r="M7017">
        <f>VLOOKUP(Table1[[#This Row],[subscription_type]],Plans!$A$1:$B$5,2,FALSE)</f>
        <v>0</v>
      </c>
      <c r="N7017">
        <f t="shared" si="109"/>
        <v>0</v>
      </c>
    </row>
    <row r="7018" spans="1:14" x14ac:dyDescent="0.35">
      <c r="A7018">
        <v>7017</v>
      </c>
      <c r="B7018" t="s">
        <v>20</v>
      </c>
      <c r="C7018">
        <v>18</v>
      </c>
      <c r="D7018" t="s">
        <v>13</v>
      </c>
      <c r="E7018" t="s">
        <v>22</v>
      </c>
      <c r="F7018">
        <v>55</v>
      </c>
      <c r="G7018">
        <v>85</v>
      </c>
      <c r="H7018">
        <v>0.53</v>
      </c>
      <c r="I7018" t="s">
        <v>23</v>
      </c>
      <c r="J7018">
        <v>0</v>
      </c>
      <c r="K7018">
        <v>1</v>
      </c>
      <c r="L7018">
        <v>0</v>
      </c>
      <c r="M7018">
        <f>VLOOKUP(Table1[[#This Row],[subscription_type]],Plans!$A$1:$B$5,2,FALSE)</f>
        <v>9.99</v>
      </c>
      <c r="N7018">
        <f t="shared" si="109"/>
        <v>0</v>
      </c>
    </row>
    <row r="7019" spans="1:14" x14ac:dyDescent="0.35">
      <c r="A7019">
        <v>7018</v>
      </c>
      <c r="B7019" t="s">
        <v>12</v>
      </c>
      <c r="C7019">
        <v>48</v>
      </c>
      <c r="D7019" t="s">
        <v>17</v>
      </c>
      <c r="E7019" t="s">
        <v>22</v>
      </c>
      <c r="F7019">
        <v>62</v>
      </c>
      <c r="G7019">
        <v>31</v>
      </c>
      <c r="H7019">
        <v>0.59</v>
      </c>
      <c r="I7019" t="s">
        <v>23</v>
      </c>
      <c r="J7019">
        <v>0</v>
      </c>
      <c r="K7019">
        <v>1</v>
      </c>
      <c r="L7019">
        <v>1</v>
      </c>
      <c r="M7019">
        <f>VLOOKUP(Table1[[#This Row],[subscription_type]],Plans!$A$1:$B$5,2,FALSE)</f>
        <v>9.99</v>
      </c>
      <c r="N7019">
        <f t="shared" si="109"/>
        <v>9.99</v>
      </c>
    </row>
    <row r="7020" spans="1:14" x14ac:dyDescent="0.35">
      <c r="A7020">
        <v>7019</v>
      </c>
      <c r="B7020" t="s">
        <v>12</v>
      </c>
      <c r="C7020">
        <v>29</v>
      </c>
      <c r="D7020" t="s">
        <v>29</v>
      </c>
      <c r="E7020" t="s">
        <v>24</v>
      </c>
      <c r="F7020">
        <v>52</v>
      </c>
      <c r="G7020">
        <v>1</v>
      </c>
      <c r="H7020">
        <v>0.36</v>
      </c>
      <c r="I7020" t="s">
        <v>15</v>
      </c>
      <c r="J7020">
        <v>0</v>
      </c>
      <c r="K7020">
        <v>1</v>
      </c>
      <c r="L7020">
        <v>0</v>
      </c>
      <c r="M7020">
        <f>VLOOKUP(Table1[[#This Row],[subscription_type]],Plans!$A$1:$B$5,2,FALSE)</f>
        <v>4.99</v>
      </c>
      <c r="N7020">
        <f t="shared" si="109"/>
        <v>0</v>
      </c>
    </row>
    <row r="7021" spans="1:14" x14ac:dyDescent="0.35">
      <c r="A7021">
        <v>7020</v>
      </c>
      <c r="B7021" t="s">
        <v>16</v>
      </c>
      <c r="C7021">
        <v>34</v>
      </c>
      <c r="D7021" t="s">
        <v>17</v>
      </c>
      <c r="E7021" t="s">
        <v>22</v>
      </c>
      <c r="F7021">
        <v>77</v>
      </c>
      <c r="G7021">
        <v>73</v>
      </c>
      <c r="H7021">
        <v>0.03</v>
      </c>
      <c r="I7021" t="s">
        <v>23</v>
      </c>
      <c r="J7021">
        <v>0</v>
      </c>
      <c r="K7021">
        <v>1</v>
      </c>
      <c r="L7021">
        <v>0</v>
      </c>
      <c r="M7021">
        <f>VLOOKUP(Table1[[#This Row],[subscription_type]],Plans!$A$1:$B$5,2,FALSE)</f>
        <v>9.99</v>
      </c>
      <c r="N7021">
        <f t="shared" si="109"/>
        <v>0</v>
      </c>
    </row>
    <row r="7022" spans="1:14" x14ac:dyDescent="0.35">
      <c r="A7022">
        <v>7021</v>
      </c>
      <c r="B7022" t="s">
        <v>16</v>
      </c>
      <c r="C7022">
        <v>20</v>
      </c>
      <c r="D7022" t="s">
        <v>17</v>
      </c>
      <c r="E7022" t="s">
        <v>18</v>
      </c>
      <c r="F7022">
        <v>285</v>
      </c>
      <c r="G7022">
        <v>32</v>
      </c>
      <c r="H7022">
        <v>0.56999999999999995</v>
      </c>
      <c r="I7022" t="s">
        <v>19</v>
      </c>
      <c r="J7022">
        <v>0</v>
      </c>
      <c r="K7022">
        <v>1</v>
      </c>
      <c r="L7022">
        <v>0</v>
      </c>
      <c r="M7022">
        <f>VLOOKUP(Table1[[#This Row],[subscription_type]],Plans!$A$1:$B$5,2,FALSE)</f>
        <v>14.99</v>
      </c>
      <c r="N7022">
        <f t="shared" si="109"/>
        <v>0</v>
      </c>
    </row>
    <row r="7023" spans="1:14" x14ac:dyDescent="0.35">
      <c r="A7023">
        <v>7022</v>
      </c>
      <c r="B7023" t="s">
        <v>20</v>
      </c>
      <c r="C7023">
        <v>55</v>
      </c>
      <c r="D7023" t="s">
        <v>27</v>
      </c>
      <c r="E7023" t="s">
        <v>22</v>
      </c>
      <c r="F7023">
        <v>295</v>
      </c>
      <c r="G7023">
        <v>27</v>
      </c>
      <c r="H7023">
        <v>0.39</v>
      </c>
      <c r="I7023" t="s">
        <v>23</v>
      </c>
      <c r="J7023">
        <v>0</v>
      </c>
      <c r="K7023">
        <v>1</v>
      </c>
      <c r="L7023">
        <v>0</v>
      </c>
      <c r="M7023">
        <f>VLOOKUP(Table1[[#This Row],[subscription_type]],Plans!$A$1:$B$5,2,FALSE)</f>
        <v>9.99</v>
      </c>
      <c r="N7023">
        <f t="shared" si="109"/>
        <v>0</v>
      </c>
    </row>
    <row r="7024" spans="1:14" x14ac:dyDescent="0.35">
      <c r="A7024">
        <v>7023</v>
      </c>
      <c r="B7024" t="s">
        <v>16</v>
      </c>
      <c r="C7024">
        <v>54</v>
      </c>
      <c r="D7024" t="s">
        <v>29</v>
      </c>
      <c r="E7024" t="s">
        <v>18</v>
      </c>
      <c r="F7024">
        <v>268</v>
      </c>
      <c r="G7024">
        <v>46</v>
      </c>
      <c r="H7024">
        <v>0.01</v>
      </c>
      <c r="I7024" t="s">
        <v>19</v>
      </c>
      <c r="J7024">
        <v>0</v>
      </c>
      <c r="K7024">
        <v>1</v>
      </c>
      <c r="L7024">
        <v>1</v>
      </c>
      <c r="M7024">
        <f>VLOOKUP(Table1[[#This Row],[subscription_type]],Plans!$A$1:$B$5,2,FALSE)</f>
        <v>14.99</v>
      </c>
      <c r="N7024">
        <f t="shared" si="109"/>
        <v>14.99</v>
      </c>
    </row>
    <row r="7025" spans="1:14" x14ac:dyDescent="0.35">
      <c r="A7025">
        <v>7024</v>
      </c>
      <c r="B7025" t="s">
        <v>16</v>
      </c>
      <c r="C7025">
        <v>22</v>
      </c>
      <c r="D7025" t="s">
        <v>28</v>
      </c>
      <c r="E7025" t="s">
        <v>14</v>
      </c>
      <c r="F7025">
        <v>154</v>
      </c>
      <c r="G7025">
        <v>21</v>
      </c>
      <c r="H7025">
        <v>0.1</v>
      </c>
      <c r="I7025" t="s">
        <v>23</v>
      </c>
      <c r="J7025">
        <v>41</v>
      </c>
      <c r="K7025">
        <v>0</v>
      </c>
      <c r="L7025">
        <v>1</v>
      </c>
      <c r="M7025">
        <f>VLOOKUP(Table1[[#This Row],[subscription_type]],Plans!$A$1:$B$5,2,FALSE)</f>
        <v>0</v>
      </c>
      <c r="N7025">
        <f t="shared" si="109"/>
        <v>0</v>
      </c>
    </row>
    <row r="7026" spans="1:14" x14ac:dyDescent="0.35">
      <c r="A7026">
        <v>7025</v>
      </c>
      <c r="B7026" t="s">
        <v>16</v>
      </c>
      <c r="C7026">
        <v>47</v>
      </c>
      <c r="D7026" t="s">
        <v>17</v>
      </c>
      <c r="E7026" t="s">
        <v>14</v>
      </c>
      <c r="F7026">
        <v>72</v>
      </c>
      <c r="G7026">
        <v>69</v>
      </c>
      <c r="H7026">
        <v>0.49</v>
      </c>
      <c r="I7026" t="s">
        <v>23</v>
      </c>
      <c r="J7026">
        <v>27</v>
      </c>
      <c r="K7026">
        <v>0</v>
      </c>
      <c r="L7026">
        <v>0</v>
      </c>
      <c r="M7026">
        <f>VLOOKUP(Table1[[#This Row],[subscription_type]],Plans!$A$1:$B$5,2,FALSE)</f>
        <v>0</v>
      </c>
      <c r="N7026">
        <f t="shared" si="109"/>
        <v>0</v>
      </c>
    </row>
    <row r="7027" spans="1:14" x14ac:dyDescent="0.35">
      <c r="A7027">
        <v>7026</v>
      </c>
      <c r="B7027" t="s">
        <v>20</v>
      </c>
      <c r="C7027">
        <v>37</v>
      </c>
      <c r="D7027" t="s">
        <v>27</v>
      </c>
      <c r="E7027" t="s">
        <v>22</v>
      </c>
      <c r="F7027">
        <v>25</v>
      </c>
      <c r="G7027">
        <v>53</v>
      </c>
      <c r="H7027">
        <v>0.4</v>
      </c>
      <c r="I7027" t="s">
        <v>15</v>
      </c>
      <c r="J7027">
        <v>0</v>
      </c>
      <c r="K7027">
        <v>1</v>
      </c>
      <c r="L7027">
        <v>0</v>
      </c>
      <c r="M7027">
        <f>VLOOKUP(Table1[[#This Row],[subscription_type]],Plans!$A$1:$B$5,2,FALSE)</f>
        <v>9.99</v>
      </c>
      <c r="N7027">
        <f t="shared" si="109"/>
        <v>0</v>
      </c>
    </row>
    <row r="7028" spans="1:14" x14ac:dyDescent="0.35">
      <c r="A7028">
        <v>7027</v>
      </c>
      <c r="B7028" t="s">
        <v>20</v>
      </c>
      <c r="C7028">
        <v>44</v>
      </c>
      <c r="D7028" t="s">
        <v>13</v>
      </c>
      <c r="E7028" t="s">
        <v>18</v>
      </c>
      <c r="F7028">
        <v>59</v>
      </c>
      <c r="G7028">
        <v>10</v>
      </c>
      <c r="H7028">
        <v>0.2</v>
      </c>
      <c r="I7028" t="s">
        <v>19</v>
      </c>
      <c r="J7028">
        <v>0</v>
      </c>
      <c r="K7028">
        <v>1</v>
      </c>
      <c r="L7028">
        <v>0</v>
      </c>
      <c r="M7028">
        <f>VLOOKUP(Table1[[#This Row],[subscription_type]],Plans!$A$1:$B$5,2,FALSE)</f>
        <v>14.99</v>
      </c>
      <c r="N7028">
        <f t="shared" si="109"/>
        <v>0</v>
      </c>
    </row>
    <row r="7029" spans="1:14" x14ac:dyDescent="0.35">
      <c r="A7029">
        <v>7028</v>
      </c>
      <c r="B7029" t="s">
        <v>16</v>
      </c>
      <c r="C7029">
        <v>46</v>
      </c>
      <c r="D7029" t="s">
        <v>27</v>
      </c>
      <c r="E7029" t="s">
        <v>18</v>
      </c>
      <c r="F7029">
        <v>262</v>
      </c>
      <c r="G7029">
        <v>74</v>
      </c>
      <c r="H7029">
        <v>0.16</v>
      </c>
      <c r="I7029" t="s">
        <v>23</v>
      </c>
      <c r="J7029">
        <v>0</v>
      </c>
      <c r="K7029">
        <v>1</v>
      </c>
      <c r="L7029">
        <v>0</v>
      </c>
      <c r="M7029">
        <f>VLOOKUP(Table1[[#This Row],[subscription_type]],Plans!$A$1:$B$5,2,FALSE)</f>
        <v>14.99</v>
      </c>
      <c r="N7029">
        <f t="shared" si="109"/>
        <v>0</v>
      </c>
    </row>
    <row r="7030" spans="1:14" x14ac:dyDescent="0.35">
      <c r="A7030">
        <v>7029</v>
      </c>
      <c r="B7030" t="s">
        <v>16</v>
      </c>
      <c r="C7030">
        <v>57</v>
      </c>
      <c r="D7030" t="s">
        <v>25</v>
      </c>
      <c r="E7030" t="s">
        <v>18</v>
      </c>
      <c r="F7030">
        <v>59</v>
      </c>
      <c r="G7030">
        <v>10</v>
      </c>
      <c r="H7030">
        <v>0.31</v>
      </c>
      <c r="I7030" t="s">
        <v>23</v>
      </c>
      <c r="J7030">
        <v>0</v>
      </c>
      <c r="K7030">
        <v>1</v>
      </c>
      <c r="L7030">
        <v>0</v>
      </c>
      <c r="M7030">
        <f>VLOOKUP(Table1[[#This Row],[subscription_type]],Plans!$A$1:$B$5,2,FALSE)</f>
        <v>14.99</v>
      </c>
      <c r="N7030">
        <f t="shared" si="109"/>
        <v>0</v>
      </c>
    </row>
    <row r="7031" spans="1:14" x14ac:dyDescent="0.35">
      <c r="A7031">
        <v>7030</v>
      </c>
      <c r="B7031" t="s">
        <v>20</v>
      </c>
      <c r="C7031">
        <v>41</v>
      </c>
      <c r="D7031" t="s">
        <v>27</v>
      </c>
      <c r="E7031" t="s">
        <v>18</v>
      </c>
      <c r="F7031">
        <v>27</v>
      </c>
      <c r="G7031">
        <v>76</v>
      </c>
      <c r="H7031">
        <v>0.15</v>
      </c>
      <c r="I7031" t="s">
        <v>23</v>
      </c>
      <c r="J7031">
        <v>0</v>
      </c>
      <c r="K7031">
        <v>1</v>
      </c>
      <c r="L7031">
        <v>0</v>
      </c>
      <c r="M7031">
        <f>VLOOKUP(Table1[[#This Row],[subscription_type]],Plans!$A$1:$B$5,2,FALSE)</f>
        <v>14.99</v>
      </c>
      <c r="N7031">
        <f t="shared" si="109"/>
        <v>0</v>
      </c>
    </row>
    <row r="7032" spans="1:14" x14ac:dyDescent="0.35">
      <c r="A7032">
        <v>7031</v>
      </c>
      <c r="B7032" t="s">
        <v>12</v>
      </c>
      <c r="C7032">
        <v>48</v>
      </c>
      <c r="D7032" t="s">
        <v>29</v>
      </c>
      <c r="E7032" t="s">
        <v>24</v>
      </c>
      <c r="F7032">
        <v>207</v>
      </c>
      <c r="G7032">
        <v>69</v>
      </c>
      <c r="H7032">
        <v>0.08</v>
      </c>
      <c r="I7032" t="s">
        <v>15</v>
      </c>
      <c r="J7032">
        <v>0</v>
      </c>
      <c r="K7032">
        <v>1</v>
      </c>
      <c r="L7032">
        <v>0</v>
      </c>
      <c r="M7032">
        <f>VLOOKUP(Table1[[#This Row],[subscription_type]],Plans!$A$1:$B$5,2,FALSE)</f>
        <v>4.99</v>
      </c>
      <c r="N7032">
        <f t="shared" si="109"/>
        <v>0</v>
      </c>
    </row>
    <row r="7033" spans="1:14" x14ac:dyDescent="0.35">
      <c r="A7033">
        <v>7032</v>
      </c>
      <c r="B7033" t="s">
        <v>12</v>
      </c>
      <c r="C7033">
        <v>59</v>
      </c>
      <c r="D7033" t="s">
        <v>17</v>
      </c>
      <c r="E7033" t="s">
        <v>18</v>
      </c>
      <c r="F7033">
        <v>235</v>
      </c>
      <c r="G7033">
        <v>51</v>
      </c>
      <c r="H7033">
        <v>0.31</v>
      </c>
      <c r="I7033" t="s">
        <v>15</v>
      </c>
      <c r="J7033">
        <v>0</v>
      </c>
      <c r="K7033">
        <v>1</v>
      </c>
      <c r="L7033">
        <v>1</v>
      </c>
      <c r="M7033">
        <f>VLOOKUP(Table1[[#This Row],[subscription_type]],Plans!$A$1:$B$5,2,FALSE)</f>
        <v>14.99</v>
      </c>
      <c r="N7033">
        <f t="shared" si="109"/>
        <v>14.99</v>
      </c>
    </row>
    <row r="7034" spans="1:14" x14ac:dyDescent="0.35">
      <c r="A7034">
        <v>7033</v>
      </c>
      <c r="B7034" t="s">
        <v>20</v>
      </c>
      <c r="C7034">
        <v>31</v>
      </c>
      <c r="D7034" t="s">
        <v>21</v>
      </c>
      <c r="E7034" t="s">
        <v>18</v>
      </c>
      <c r="F7034">
        <v>11</v>
      </c>
      <c r="G7034">
        <v>78</v>
      </c>
      <c r="H7034">
        <v>0.08</v>
      </c>
      <c r="I7034" t="s">
        <v>19</v>
      </c>
      <c r="J7034">
        <v>0</v>
      </c>
      <c r="K7034">
        <v>1</v>
      </c>
      <c r="L7034">
        <v>1</v>
      </c>
      <c r="M7034">
        <f>VLOOKUP(Table1[[#This Row],[subscription_type]],Plans!$A$1:$B$5,2,FALSE)</f>
        <v>14.99</v>
      </c>
      <c r="N7034">
        <f t="shared" si="109"/>
        <v>14.99</v>
      </c>
    </row>
    <row r="7035" spans="1:14" x14ac:dyDescent="0.35">
      <c r="A7035">
        <v>7034</v>
      </c>
      <c r="B7035" t="s">
        <v>12</v>
      </c>
      <c r="C7035">
        <v>16</v>
      </c>
      <c r="D7035" t="s">
        <v>17</v>
      </c>
      <c r="E7035" t="s">
        <v>18</v>
      </c>
      <c r="F7035">
        <v>220</v>
      </c>
      <c r="G7035">
        <v>78</v>
      </c>
      <c r="H7035">
        <v>0.22</v>
      </c>
      <c r="I7035" t="s">
        <v>23</v>
      </c>
      <c r="J7035">
        <v>0</v>
      </c>
      <c r="K7035">
        <v>1</v>
      </c>
      <c r="L7035">
        <v>0</v>
      </c>
      <c r="M7035">
        <f>VLOOKUP(Table1[[#This Row],[subscription_type]],Plans!$A$1:$B$5,2,FALSE)</f>
        <v>14.99</v>
      </c>
      <c r="N7035">
        <f t="shared" si="109"/>
        <v>0</v>
      </c>
    </row>
    <row r="7036" spans="1:14" x14ac:dyDescent="0.35">
      <c r="A7036">
        <v>7035</v>
      </c>
      <c r="B7036" t="s">
        <v>20</v>
      </c>
      <c r="C7036">
        <v>34</v>
      </c>
      <c r="D7036" t="s">
        <v>13</v>
      </c>
      <c r="E7036" t="s">
        <v>22</v>
      </c>
      <c r="F7036">
        <v>85</v>
      </c>
      <c r="G7036">
        <v>31</v>
      </c>
      <c r="H7036">
        <v>0.38</v>
      </c>
      <c r="I7036" t="s">
        <v>15</v>
      </c>
      <c r="J7036">
        <v>0</v>
      </c>
      <c r="K7036">
        <v>1</v>
      </c>
      <c r="L7036">
        <v>0</v>
      </c>
      <c r="M7036">
        <f>VLOOKUP(Table1[[#This Row],[subscription_type]],Plans!$A$1:$B$5,2,FALSE)</f>
        <v>9.99</v>
      </c>
      <c r="N7036">
        <f t="shared" si="109"/>
        <v>0</v>
      </c>
    </row>
    <row r="7037" spans="1:14" x14ac:dyDescent="0.35">
      <c r="A7037">
        <v>7036</v>
      </c>
      <c r="B7037" t="s">
        <v>16</v>
      </c>
      <c r="C7037">
        <v>26</v>
      </c>
      <c r="D7037" t="s">
        <v>25</v>
      </c>
      <c r="E7037" t="s">
        <v>22</v>
      </c>
      <c r="F7037">
        <v>180</v>
      </c>
      <c r="G7037">
        <v>86</v>
      </c>
      <c r="H7037">
        <v>0.17</v>
      </c>
      <c r="I7037" t="s">
        <v>19</v>
      </c>
      <c r="J7037">
        <v>0</v>
      </c>
      <c r="K7037">
        <v>1</v>
      </c>
      <c r="L7037">
        <v>0</v>
      </c>
      <c r="M7037">
        <f>VLOOKUP(Table1[[#This Row],[subscription_type]],Plans!$A$1:$B$5,2,FALSE)</f>
        <v>9.99</v>
      </c>
      <c r="N7037">
        <f t="shared" si="109"/>
        <v>0</v>
      </c>
    </row>
    <row r="7038" spans="1:14" x14ac:dyDescent="0.35">
      <c r="A7038">
        <v>7037</v>
      </c>
      <c r="B7038" t="s">
        <v>16</v>
      </c>
      <c r="C7038">
        <v>30</v>
      </c>
      <c r="D7038" t="s">
        <v>28</v>
      </c>
      <c r="E7038" t="s">
        <v>22</v>
      </c>
      <c r="F7038">
        <v>46</v>
      </c>
      <c r="G7038">
        <v>60</v>
      </c>
      <c r="H7038">
        <v>0.03</v>
      </c>
      <c r="I7038" t="s">
        <v>19</v>
      </c>
      <c r="J7038">
        <v>0</v>
      </c>
      <c r="K7038">
        <v>1</v>
      </c>
      <c r="L7038">
        <v>0</v>
      </c>
      <c r="M7038">
        <f>VLOOKUP(Table1[[#This Row],[subscription_type]],Plans!$A$1:$B$5,2,FALSE)</f>
        <v>9.99</v>
      </c>
      <c r="N7038">
        <f t="shared" si="109"/>
        <v>0</v>
      </c>
    </row>
    <row r="7039" spans="1:14" x14ac:dyDescent="0.35">
      <c r="A7039">
        <v>7038</v>
      </c>
      <c r="B7039" t="s">
        <v>12</v>
      </c>
      <c r="C7039">
        <v>45</v>
      </c>
      <c r="D7039" t="s">
        <v>26</v>
      </c>
      <c r="E7039" t="s">
        <v>14</v>
      </c>
      <c r="F7039">
        <v>127</v>
      </c>
      <c r="G7039">
        <v>90</v>
      </c>
      <c r="H7039">
        <v>0.19</v>
      </c>
      <c r="I7039" t="s">
        <v>19</v>
      </c>
      <c r="J7039">
        <v>42</v>
      </c>
      <c r="K7039">
        <v>0</v>
      </c>
      <c r="L7039">
        <v>0</v>
      </c>
      <c r="M7039">
        <f>VLOOKUP(Table1[[#This Row],[subscription_type]],Plans!$A$1:$B$5,2,FALSE)</f>
        <v>0</v>
      </c>
      <c r="N7039">
        <f t="shared" si="109"/>
        <v>0</v>
      </c>
    </row>
    <row r="7040" spans="1:14" x14ac:dyDescent="0.35">
      <c r="A7040">
        <v>7039</v>
      </c>
      <c r="B7040" t="s">
        <v>16</v>
      </c>
      <c r="C7040">
        <v>36</v>
      </c>
      <c r="D7040" t="s">
        <v>21</v>
      </c>
      <c r="E7040" t="s">
        <v>22</v>
      </c>
      <c r="F7040">
        <v>74</v>
      </c>
      <c r="G7040">
        <v>7</v>
      </c>
      <c r="H7040">
        <v>0.17</v>
      </c>
      <c r="I7040" t="s">
        <v>15</v>
      </c>
      <c r="J7040">
        <v>0</v>
      </c>
      <c r="K7040">
        <v>1</v>
      </c>
      <c r="L7040">
        <v>1</v>
      </c>
      <c r="M7040">
        <f>VLOOKUP(Table1[[#This Row],[subscription_type]],Plans!$A$1:$B$5,2,FALSE)</f>
        <v>9.99</v>
      </c>
      <c r="N7040">
        <f t="shared" si="109"/>
        <v>9.99</v>
      </c>
    </row>
    <row r="7041" spans="1:14" x14ac:dyDescent="0.35">
      <c r="A7041">
        <v>7040</v>
      </c>
      <c r="B7041" t="s">
        <v>20</v>
      </c>
      <c r="C7041">
        <v>30</v>
      </c>
      <c r="D7041" t="s">
        <v>25</v>
      </c>
      <c r="E7041" t="s">
        <v>18</v>
      </c>
      <c r="F7041">
        <v>250</v>
      </c>
      <c r="G7041">
        <v>50</v>
      </c>
      <c r="H7041">
        <v>0.31</v>
      </c>
      <c r="I7041" t="s">
        <v>15</v>
      </c>
      <c r="J7041">
        <v>0</v>
      </c>
      <c r="K7041">
        <v>1</v>
      </c>
      <c r="L7041">
        <v>0</v>
      </c>
      <c r="M7041">
        <f>VLOOKUP(Table1[[#This Row],[subscription_type]],Plans!$A$1:$B$5,2,FALSE)</f>
        <v>14.99</v>
      </c>
      <c r="N7041">
        <f t="shared" si="109"/>
        <v>0</v>
      </c>
    </row>
    <row r="7042" spans="1:14" x14ac:dyDescent="0.35">
      <c r="A7042">
        <v>7041</v>
      </c>
      <c r="B7042" t="s">
        <v>16</v>
      </c>
      <c r="C7042">
        <v>23</v>
      </c>
      <c r="D7042" t="s">
        <v>29</v>
      </c>
      <c r="E7042" t="s">
        <v>24</v>
      </c>
      <c r="F7042">
        <v>108</v>
      </c>
      <c r="G7042">
        <v>4</v>
      </c>
      <c r="H7042">
        <v>0.36</v>
      </c>
      <c r="I7042" t="s">
        <v>15</v>
      </c>
      <c r="J7042">
        <v>0</v>
      </c>
      <c r="K7042">
        <v>1</v>
      </c>
      <c r="L7042">
        <v>0</v>
      </c>
      <c r="M7042">
        <f>VLOOKUP(Table1[[#This Row],[subscription_type]],Plans!$A$1:$B$5,2,FALSE)</f>
        <v>4.99</v>
      </c>
      <c r="N7042">
        <f t="shared" ref="N7042:N7105" si="110">IF(L7042=1, M7042,0)</f>
        <v>0</v>
      </c>
    </row>
    <row r="7043" spans="1:14" x14ac:dyDescent="0.35">
      <c r="A7043">
        <v>7042</v>
      </c>
      <c r="B7043" t="s">
        <v>20</v>
      </c>
      <c r="C7043">
        <v>51</v>
      </c>
      <c r="D7043" t="s">
        <v>21</v>
      </c>
      <c r="E7043" t="s">
        <v>24</v>
      </c>
      <c r="F7043">
        <v>36</v>
      </c>
      <c r="G7043">
        <v>50</v>
      </c>
      <c r="H7043">
        <v>0.41</v>
      </c>
      <c r="I7043" t="s">
        <v>23</v>
      </c>
      <c r="J7043">
        <v>0</v>
      </c>
      <c r="K7043">
        <v>1</v>
      </c>
      <c r="L7043">
        <v>0</v>
      </c>
      <c r="M7043">
        <f>VLOOKUP(Table1[[#This Row],[subscription_type]],Plans!$A$1:$B$5,2,FALSE)</f>
        <v>4.99</v>
      </c>
      <c r="N7043">
        <f t="shared" si="110"/>
        <v>0</v>
      </c>
    </row>
    <row r="7044" spans="1:14" x14ac:dyDescent="0.35">
      <c r="A7044">
        <v>7043</v>
      </c>
      <c r="B7044" t="s">
        <v>20</v>
      </c>
      <c r="C7044">
        <v>19</v>
      </c>
      <c r="D7044" t="s">
        <v>26</v>
      </c>
      <c r="E7044" t="s">
        <v>22</v>
      </c>
      <c r="F7044">
        <v>95</v>
      </c>
      <c r="G7044">
        <v>24</v>
      </c>
      <c r="H7044">
        <v>0.43</v>
      </c>
      <c r="I7044" t="s">
        <v>19</v>
      </c>
      <c r="J7044">
        <v>0</v>
      </c>
      <c r="K7044">
        <v>1</v>
      </c>
      <c r="L7044">
        <v>0</v>
      </c>
      <c r="M7044">
        <f>VLOOKUP(Table1[[#This Row],[subscription_type]],Plans!$A$1:$B$5,2,FALSE)</f>
        <v>9.99</v>
      </c>
      <c r="N7044">
        <f t="shared" si="110"/>
        <v>0</v>
      </c>
    </row>
    <row r="7045" spans="1:14" x14ac:dyDescent="0.35">
      <c r="A7045">
        <v>7044</v>
      </c>
      <c r="B7045" t="s">
        <v>12</v>
      </c>
      <c r="C7045">
        <v>50</v>
      </c>
      <c r="D7045" t="s">
        <v>13</v>
      </c>
      <c r="E7045" t="s">
        <v>14</v>
      </c>
      <c r="F7045">
        <v>248</v>
      </c>
      <c r="G7045">
        <v>13</v>
      </c>
      <c r="H7045">
        <v>0.23</v>
      </c>
      <c r="I7045" t="s">
        <v>23</v>
      </c>
      <c r="J7045">
        <v>44</v>
      </c>
      <c r="K7045">
        <v>0</v>
      </c>
      <c r="L7045">
        <v>0</v>
      </c>
      <c r="M7045">
        <f>VLOOKUP(Table1[[#This Row],[subscription_type]],Plans!$A$1:$B$5,2,FALSE)</f>
        <v>0</v>
      </c>
      <c r="N7045">
        <f t="shared" si="110"/>
        <v>0</v>
      </c>
    </row>
    <row r="7046" spans="1:14" x14ac:dyDescent="0.35">
      <c r="A7046">
        <v>7045</v>
      </c>
      <c r="B7046" t="s">
        <v>16</v>
      </c>
      <c r="C7046">
        <v>45</v>
      </c>
      <c r="D7046" t="s">
        <v>29</v>
      </c>
      <c r="E7046" t="s">
        <v>18</v>
      </c>
      <c r="F7046">
        <v>284</v>
      </c>
      <c r="G7046">
        <v>23</v>
      </c>
      <c r="H7046">
        <v>0.43</v>
      </c>
      <c r="I7046" t="s">
        <v>19</v>
      </c>
      <c r="J7046">
        <v>0</v>
      </c>
      <c r="K7046">
        <v>1</v>
      </c>
      <c r="L7046">
        <v>0</v>
      </c>
      <c r="M7046">
        <f>VLOOKUP(Table1[[#This Row],[subscription_type]],Plans!$A$1:$B$5,2,FALSE)</f>
        <v>14.99</v>
      </c>
      <c r="N7046">
        <f t="shared" si="110"/>
        <v>0</v>
      </c>
    </row>
    <row r="7047" spans="1:14" x14ac:dyDescent="0.35">
      <c r="A7047">
        <v>7046</v>
      </c>
      <c r="B7047" t="s">
        <v>12</v>
      </c>
      <c r="C7047">
        <v>34</v>
      </c>
      <c r="D7047" t="s">
        <v>29</v>
      </c>
      <c r="E7047" t="s">
        <v>24</v>
      </c>
      <c r="F7047">
        <v>90</v>
      </c>
      <c r="G7047">
        <v>59</v>
      </c>
      <c r="H7047">
        <v>7.0000000000000007E-2</v>
      </c>
      <c r="I7047" t="s">
        <v>15</v>
      </c>
      <c r="J7047">
        <v>0</v>
      </c>
      <c r="K7047">
        <v>1</v>
      </c>
      <c r="L7047">
        <v>0</v>
      </c>
      <c r="M7047">
        <f>VLOOKUP(Table1[[#This Row],[subscription_type]],Plans!$A$1:$B$5,2,FALSE)</f>
        <v>4.99</v>
      </c>
      <c r="N7047">
        <f t="shared" si="110"/>
        <v>0</v>
      </c>
    </row>
    <row r="7048" spans="1:14" x14ac:dyDescent="0.35">
      <c r="A7048">
        <v>7047</v>
      </c>
      <c r="B7048" t="s">
        <v>20</v>
      </c>
      <c r="C7048">
        <v>16</v>
      </c>
      <c r="D7048" t="s">
        <v>25</v>
      </c>
      <c r="E7048" t="s">
        <v>24</v>
      </c>
      <c r="F7048">
        <v>51</v>
      </c>
      <c r="G7048">
        <v>49</v>
      </c>
      <c r="H7048">
        <v>0.12</v>
      </c>
      <c r="I7048" t="s">
        <v>23</v>
      </c>
      <c r="J7048">
        <v>0</v>
      </c>
      <c r="K7048">
        <v>1</v>
      </c>
      <c r="L7048">
        <v>1</v>
      </c>
      <c r="M7048">
        <f>VLOOKUP(Table1[[#This Row],[subscription_type]],Plans!$A$1:$B$5,2,FALSE)</f>
        <v>4.99</v>
      </c>
      <c r="N7048">
        <f t="shared" si="110"/>
        <v>4.99</v>
      </c>
    </row>
    <row r="7049" spans="1:14" x14ac:dyDescent="0.35">
      <c r="A7049">
        <v>7048</v>
      </c>
      <c r="B7049" t="s">
        <v>16</v>
      </c>
      <c r="C7049">
        <v>57</v>
      </c>
      <c r="D7049" t="s">
        <v>27</v>
      </c>
      <c r="E7049" t="s">
        <v>24</v>
      </c>
      <c r="F7049">
        <v>264</v>
      </c>
      <c r="G7049">
        <v>91</v>
      </c>
      <c r="H7049">
        <v>0.28000000000000003</v>
      </c>
      <c r="I7049" t="s">
        <v>19</v>
      </c>
      <c r="J7049">
        <v>0</v>
      </c>
      <c r="K7049">
        <v>1</v>
      </c>
      <c r="L7049">
        <v>0</v>
      </c>
      <c r="M7049">
        <f>VLOOKUP(Table1[[#This Row],[subscription_type]],Plans!$A$1:$B$5,2,FALSE)</f>
        <v>4.99</v>
      </c>
      <c r="N7049">
        <f t="shared" si="110"/>
        <v>0</v>
      </c>
    </row>
    <row r="7050" spans="1:14" x14ac:dyDescent="0.35">
      <c r="A7050">
        <v>7049</v>
      </c>
      <c r="B7050" t="s">
        <v>12</v>
      </c>
      <c r="C7050">
        <v>39</v>
      </c>
      <c r="D7050" t="s">
        <v>28</v>
      </c>
      <c r="E7050" t="s">
        <v>22</v>
      </c>
      <c r="F7050">
        <v>136</v>
      </c>
      <c r="G7050">
        <v>41</v>
      </c>
      <c r="H7050">
        <v>0.04</v>
      </c>
      <c r="I7050" t="s">
        <v>23</v>
      </c>
      <c r="J7050">
        <v>0</v>
      </c>
      <c r="K7050">
        <v>1</v>
      </c>
      <c r="L7050">
        <v>1</v>
      </c>
      <c r="M7050">
        <f>VLOOKUP(Table1[[#This Row],[subscription_type]],Plans!$A$1:$B$5,2,FALSE)</f>
        <v>9.99</v>
      </c>
      <c r="N7050">
        <f t="shared" si="110"/>
        <v>9.99</v>
      </c>
    </row>
    <row r="7051" spans="1:14" x14ac:dyDescent="0.35">
      <c r="A7051">
        <v>7050</v>
      </c>
      <c r="B7051" t="s">
        <v>12</v>
      </c>
      <c r="C7051">
        <v>23</v>
      </c>
      <c r="D7051" t="s">
        <v>29</v>
      </c>
      <c r="E7051" t="s">
        <v>18</v>
      </c>
      <c r="F7051">
        <v>239</v>
      </c>
      <c r="G7051">
        <v>65</v>
      </c>
      <c r="H7051">
        <v>0.37</v>
      </c>
      <c r="I7051" t="s">
        <v>19</v>
      </c>
      <c r="J7051">
        <v>0</v>
      </c>
      <c r="K7051">
        <v>1</v>
      </c>
      <c r="L7051">
        <v>1</v>
      </c>
      <c r="M7051">
        <f>VLOOKUP(Table1[[#This Row],[subscription_type]],Plans!$A$1:$B$5,2,FALSE)</f>
        <v>14.99</v>
      </c>
      <c r="N7051">
        <f t="shared" si="110"/>
        <v>14.99</v>
      </c>
    </row>
    <row r="7052" spans="1:14" x14ac:dyDescent="0.35">
      <c r="A7052">
        <v>7051</v>
      </c>
      <c r="B7052" t="s">
        <v>20</v>
      </c>
      <c r="C7052">
        <v>35</v>
      </c>
      <c r="D7052" t="s">
        <v>28</v>
      </c>
      <c r="E7052" t="s">
        <v>22</v>
      </c>
      <c r="F7052">
        <v>12</v>
      </c>
      <c r="G7052">
        <v>60</v>
      </c>
      <c r="H7052">
        <v>0.28999999999999998</v>
      </c>
      <c r="I7052" t="s">
        <v>23</v>
      </c>
      <c r="J7052">
        <v>0</v>
      </c>
      <c r="K7052">
        <v>1</v>
      </c>
      <c r="L7052">
        <v>1</v>
      </c>
      <c r="M7052">
        <f>VLOOKUP(Table1[[#This Row],[subscription_type]],Plans!$A$1:$B$5,2,FALSE)</f>
        <v>9.99</v>
      </c>
      <c r="N7052">
        <f t="shared" si="110"/>
        <v>9.99</v>
      </c>
    </row>
    <row r="7053" spans="1:14" x14ac:dyDescent="0.35">
      <c r="A7053">
        <v>7052</v>
      </c>
      <c r="B7053" t="s">
        <v>16</v>
      </c>
      <c r="C7053">
        <v>28</v>
      </c>
      <c r="D7053" t="s">
        <v>26</v>
      </c>
      <c r="E7053" t="s">
        <v>24</v>
      </c>
      <c r="F7053">
        <v>155</v>
      </c>
      <c r="G7053">
        <v>93</v>
      </c>
      <c r="H7053">
        <v>0.38</v>
      </c>
      <c r="I7053" t="s">
        <v>23</v>
      </c>
      <c r="J7053">
        <v>0</v>
      </c>
      <c r="K7053">
        <v>1</v>
      </c>
      <c r="L7053">
        <v>0</v>
      </c>
      <c r="M7053">
        <f>VLOOKUP(Table1[[#This Row],[subscription_type]],Plans!$A$1:$B$5,2,FALSE)</f>
        <v>4.99</v>
      </c>
      <c r="N7053">
        <f t="shared" si="110"/>
        <v>0</v>
      </c>
    </row>
    <row r="7054" spans="1:14" x14ac:dyDescent="0.35">
      <c r="A7054">
        <v>7053</v>
      </c>
      <c r="B7054" t="s">
        <v>12</v>
      </c>
      <c r="C7054">
        <v>29</v>
      </c>
      <c r="D7054" t="s">
        <v>17</v>
      </c>
      <c r="E7054" t="s">
        <v>14</v>
      </c>
      <c r="F7054">
        <v>234</v>
      </c>
      <c r="G7054">
        <v>3</v>
      </c>
      <c r="H7054">
        <v>0.53</v>
      </c>
      <c r="I7054" t="s">
        <v>23</v>
      </c>
      <c r="J7054">
        <v>31</v>
      </c>
      <c r="K7054">
        <v>0</v>
      </c>
      <c r="L7054">
        <v>0</v>
      </c>
      <c r="M7054">
        <f>VLOOKUP(Table1[[#This Row],[subscription_type]],Plans!$A$1:$B$5,2,FALSE)</f>
        <v>0</v>
      </c>
      <c r="N7054">
        <f t="shared" si="110"/>
        <v>0</v>
      </c>
    </row>
    <row r="7055" spans="1:14" x14ac:dyDescent="0.35">
      <c r="A7055">
        <v>7054</v>
      </c>
      <c r="B7055" t="s">
        <v>20</v>
      </c>
      <c r="C7055">
        <v>37</v>
      </c>
      <c r="D7055" t="s">
        <v>13</v>
      </c>
      <c r="E7055" t="s">
        <v>14</v>
      </c>
      <c r="F7055">
        <v>287</v>
      </c>
      <c r="G7055">
        <v>82</v>
      </c>
      <c r="H7055">
        <v>0.32</v>
      </c>
      <c r="I7055" t="s">
        <v>19</v>
      </c>
      <c r="J7055">
        <v>35</v>
      </c>
      <c r="K7055">
        <v>0</v>
      </c>
      <c r="L7055">
        <v>0</v>
      </c>
      <c r="M7055">
        <f>VLOOKUP(Table1[[#This Row],[subscription_type]],Plans!$A$1:$B$5,2,FALSE)</f>
        <v>0</v>
      </c>
      <c r="N7055">
        <f t="shared" si="110"/>
        <v>0</v>
      </c>
    </row>
    <row r="7056" spans="1:14" x14ac:dyDescent="0.35">
      <c r="A7056">
        <v>7055</v>
      </c>
      <c r="B7056" t="s">
        <v>20</v>
      </c>
      <c r="C7056">
        <v>24</v>
      </c>
      <c r="D7056" t="s">
        <v>27</v>
      </c>
      <c r="E7056" t="s">
        <v>18</v>
      </c>
      <c r="F7056">
        <v>41</v>
      </c>
      <c r="G7056">
        <v>94</v>
      </c>
      <c r="H7056">
        <v>0.3</v>
      </c>
      <c r="I7056" t="s">
        <v>15</v>
      </c>
      <c r="J7056">
        <v>0</v>
      </c>
      <c r="K7056">
        <v>1</v>
      </c>
      <c r="L7056">
        <v>0</v>
      </c>
      <c r="M7056">
        <f>VLOOKUP(Table1[[#This Row],[subscription_type]],Plans!$A$1:$B$5,2,FALSE)</f>
        <v>14.99</v>
      </c>
      <c r="N7056">
        <f t="shared" si="110"/>
        <v>0</v>
      </c>
    </row>
    <row r="7057" spans="1:14" x14ac:dyDescent="0.35">
      <c r="A7057">
        <v>7056</v>
      </c>
      <c r="B7057" t="s">
        <v>16</v>
      </c>
      <c r="C7057">
        <v>46</v>
      </c>
      <c r="D7057" t="s">
        <v>28</v>
      </c>
      <c r="E7057" t="s">
        <v>22</v>
      </c>
      <c r="F7057">
        <v>201</v>
      </c>
      <c r="G7057">
        <v>37</v>
      </c>
      <c r="H7057">
        <v>0.34</v>
      </c>
      <c r="I7057" t="s">
        <v>23</v>
      </c>
      <c r="J7057">
        <v>0</v>
      </c>
      <c r="K7057">
        <v>1</v>
      </c>
      <c r="L7057">
        <v>0</v>
      </c>
      <c r="M7057">
        <f>VLOOKUP(Table1[[#This Row],[subscription_type]],Plans!$A$1:$B$5,2,FALSE)</f>
        <v>9.99</v>
      </c>
      <c r="N7057">
        <f t="shared" si="110"/>
        <v>0</v>
      </c>
    </row>
    <row r="7058" spans="1:14" x14ac:dyDescent="0.35">
      <c r="A7058">
        <v>7057</v>
      </c>
      <c r="B7058" t="s">
        <v>12</v>
      </c>
      <c r="C7058">
        <v>29</v>
      </c>
      <c r="D7058" t="s">
        <v>27</v>
      </c>
      <c r="E7058" t="s">
        <v>22</v>
      </c>
      <c r="F7058">
        <v>261</v>
      </c>
      <c r="G7058">
        <v>92</v>
      </c>
      <c r="H7058">
        <v>0.44</v>
      </c>
      <c r="I7058" t="s">
        <v>15</v>
      </c>
      <c r="J7058">
        <v>0</v>
      </c>
      <c r="K7058">
        <v>1</v>
      </c>
      <c r="L7058">
        <v>1</v>
      </c>
      <c r="M7058">
        <f>VLOOKUP(Table1[[#This Row],[subscription_type]],Plans!$A$1:$B$5,2,FALSE)</f>
        <v>9.99</v>
      </c>
      <c r="N7058">
        <f t="shared" si="110"/>
        <v>9.99</v>
      </c>
    </row>
    <row r="7059" spans="1:14" x14ac:dyDescent="0.35">
      <c r="A7059">
        <v>7058</v>
      </c>
      <c r="B7059" t="s">
        <v>20</v>
      </c>
      <c r="C7059">
        <v>24</v>
      </c>
      <c r="D7059" t="s">
        <v>25</v>
      </c>
      <c r="E7059" t="s">
        <v>24</v>
      </c>
      <c r="F7059">
        <v>205</v>
      </c>
      <c r="G7059">
        <v>29</v>
      </c>
      <c r="H7059">
        <v>0.47</v>
      </c>
      <c r="I7059" t="s">
        <v>19</v>
      </c>
      <c r="J7059">
        <v>0</v>
      </c>
      <c r="K7059">
        <v>1</v>
      </c>
      <c r="L7059">
        <v>0</v>
      </c>
      <c r="M7059">
        <f>VLOOKUP(Table1[[#This Row],[subscription_type]],Plans!$A$1:$B$5,2,FALSE)</f>
        <v>4.99</v>
      </c>
      <c r="N7059">
        <f t="shared" si="110"/>
        <v>0</v>
      </c>
    </row>
    <row r="7060" spans="1:14" x14ac:dyDescent="0.35">
      <c r="A7060">
        <v>7059</v>
      </c>
      <c r="B7060" t="s">
        <v>12</v>
      </c>
      <c r="C7060">
        <v>29</v>
      </c>
      <c r="D7060" t="s">
        <v>13</v>
      </c>
      <c r="E7060" t="s">
        <v>22</v>
      </c>
      <c r="F7060">
        <v>280</v>
      </c>
      <c r="G7060">
        <v>45</v>
      </c>
      <c r="H7060">
        <v>0.05</v>
      </c>
      <c r="I7060" t="s">
        <v>19</v>
      </c>
      <c r="J7060">
        <v>0</v>
      </c>
      <c r="K7060">
        <v>1</v>
      </c>
      <c r="L7060">
        <v>1</v>
      </c>
      <c r="M7060">
        <f>VLOOKUP(Table1[[#This Row],[subscription_type]],Plans!$A$1:$B$5,2,FALSE)</f>
        <v>9.99</v>
      </c>
      <c r="N7060">
        <f t="shared" si="110"/>
        <v>9.99</v>
      </c>
    </row>
    <row r="7061" spans="1:14" x14ac:dyDescent="0.35">
      <c r="A7061">
        <v>7060</v>
      </c>
      <c r="B7061" t="s">
        <v>16</v>
      </c>
      <c r="C7061">
        <v>22</v>
      </c>
      <c r="D7061" t="s">
        <v>29</v>
      </c>
      <c r="E7061" t="s">
        <v>22</v>
      </c>
      <c r="F7061">
        <v>178</v>
      </c>
      <c r="G7061">
        <v>97</v>
      </c>
      <c r="H7061">
        <v>0.28000000000000003</v>
      </c>
      <c r="I7061" t="s">
        <v>15</v>
      </c>
      <c r="J7061">
        <v>0</v>
      </c>
      <c r="K7061">
        <v>1</v>
      </c>
      <c r="L7061">
        <v>1</v>
      </c>
      <c r="M7061">
        <f>VLOOKUP(Table1[[#This Row],[subscription_type]],Plans!$A$1:$B$5,2,FALSE)</f>
        <v>9.99</v>
      </c>
      <c r="N7061">
        <f t="shared" si="110"/>
        <v>9.99</v>
      </c>
    </row>
    <row r="7062" spans="1:14" x14ac:dyDescent="0.35">
      <c r="A7062">
        <v>7061</v>
      </c>
      <c r="B7062" t="s">
        <v>20</v>
      </c>
      <c r="C7062">
        <v>36</v>
      </c>
      <c r="D7062" t="s">
        <v>26</v>
      </c>
      <c r="E7062" t="s">
        <v>14</v>
      </c>
      <c r="F7062">
        <v>44</v>
      </c>
      <c r="G7062">
        <v>12</v>
      </c>
      <c r="H7062">
        <v>0.36</v>
      </c>
      <c r="I7062" t="s">
        <v>19</v>
      </c>
      <c r="J7062">
        <v>35</v>
      </c>
      <c r="K7062">
        <v>0</v>
      </c>
      <c r="L7062">
        <v>0</v>
      </c>
      <c r="M7062">
        <f>VLOOKUP(Table1[[#This Row],[subscription_type]],Plans!$A$1:$B$5,2,FALSE)</f>
        <v>0</v>
      </c>
      <c r="N7062">
        <f t="shared" si="110"/>
        <v>0</v>
      </c>
    </row>
    <row r="7063" spans="1:14" x14ac:dyDescent="0.35">
      <c r="A7063">
        <v>7062</v>
      </c>
      <c r="B7063" t="s">
        <v>20</v>
      </c>
      <c r="C7063">
        <v>27</v>
      </c>
      <c r="D7063" t="s">
        <v>27</v>
      </c>
      <c r="E7063" t="s">
        <v>18</v>
      </c>
      <c r="F7063">
        <v>234</v>
      </c>
      <c r="G7063">
        <v>22</v>
      </c>
      <c r="H7063">
        <v>0.17</v>
      </c>
      <c r="I7063" t="s">
        <v>19</v>
      </c>
      <c r="J7063">
        <v>0</v>
      </c>
      <c r="K7063">
        <v>1</v>
      </c>
      <c r="L7063">
        <v>0</v>
      </c>
      <c r="M7063">
        <f>VLOOKUP(Table1[[#This Row],[subscription_type]],Plans!$A$1:$B$5,2,FALSE)</f>
        <v>14.99</v>
      </c>
      <c r="N7063">
        <f t="shared" si="110"/>
        <v>0</v>
      </c>
    </row>
    <row r="7064" spans="1:14" x14ac:dyDescent="0.35">
      <c r="A7064">
        <v>7063</v>
      </c>
      <c r="B7064" t="s">
        <v>20</v>
      </c>
      <c r="C7064">
        <v>38</v>
      </c>
      <c r="D7064" t="s">
        <v>27</v>
      </c>
      <c r="E7064" t="s">
        <v>22</v>
      </c>
      <c r="F7064">
        <v>283</v>
      </c>
      <c r="G7064">
        <v>65</v>
      </c>
      <c r="H7064">
        <v>0.33</v>
      </c>
      <c r="I7064" t="s">
        <v>15</v>
      </c>
      <c r="J7064">
        <v>0</v>
      </c>
      <c r="K7064">
        <v>1</v>
      </c>
      <c r="L7064">
        <v>1</v>
      </c>
      <c r="M7064">
        <f>VLOOKUP(Table1[[#This Row],[subscription_type]],Plans!$A$1:$B$5,2,FALSE)</f>
        <v>9.99</v>
      </c>
      <c r="N7064">
        <f t="shared" si="110"/>
        <v>9.99</v>
      </c>
    </row>
    <row r="7065" spans="1:14" x14ac:dyDescent="0.35">
      <c r="A7065">
        <v>7064</v>
      </c>
      <c r="B7065" t="s">
        <v>12</v>
      </c>
      <c r="C7065">
        <v>51</v>
      </c>
      <c r="D7065" t="s">
        <v>29</v>
      </c>
      <c r="E7065" t="s">
        <v>14</v>
      </c>
      <c r="F7065">
        <v>273</v>
      </c>
      <c r="G7065">
        <v>69</v>
      </c>
      <c r="H7065">
        <v>0.24</v>
      </c>
      <c r="I7065" t="s">
        <v>15</v>
      </c>
      <c r="J7065">
        <v>16</v>
      </c>
      <c r="K7065">
        <v>0</v>
      </c>
      <c r="L7065">
        <v>0</v>
      </c>
      <c r="M7065">
        <f>VLOOKUP(Table1[[#This Row],[subscription_type]],Plans!$A$1:$B$5,2,FALSE)</f>
        <v>0</v>
      </c>
      <c r="N7065">
        <f t="shared" si="110"/>
        <v>0</v>
      </c>
    </row>
    <row r="7066" spans="1:14" x14ac:dyDescent="0.35">
      <c r="A7066">
        <v>7065</v>
      </c>
      <c r="B7066" t="s">
        <v>20</v>
      </c>
      <c r="C7066">
        <v>58</v>
      </c>
      <c r="D7066" t="s">
        <v>25</v>
      </c>
      <c r="E7066" t="s">
        <v>22</v>
      </c>
      <c r="F7066">
        <v>269</v>
      </c>
      <c r="G7066">
        <v>23</v>
      </c>
      <c r="H7066">
        <v>0.05</v>
      </c>
      <c r="I7066" t="s">
        <v>19</v>
      </c>
      <c r="J7066">
        <v>0</v>
      </c>
      <c r="K7066">
        <v>1</v>
      </c>
      <c r="L7066">
        <v>0</v>
      </c>
      <c r="M7066">
        <f>VLOOKUP(Table1[[#This Row],[subscription_type]],Plans!$A$1:$B$5,2,FALSE)</f>
        <v>9.99</v>
      </c>
      <c r="N7066">
        <f t="shared" si="110"/>
        <v>0</v>
      </c>
    </row>
    <row r="7067" spans="1:14" x14ac:dyDescent="0.35">
      <c r="A7067">
        <v>7066</v>
      </c>
      <c r="B7067" t="s">
        <v>16</v>
      </c>
      <c r="C7067">
        <v>36</v>
      </c>
      <c r="D7067" t="s">
        <v>28</v>
      </c>
      <c r="E7067" t="s">
        <v>22</v>
      </c>
      <c r="F7067">
        <v>202</v>
      </c>
      <c r="G7067">
        <v>48</v>
      </c>
      <c r="H7067">
        <v>0.56999999999999995</v>
      </c>
      <c r="I7067" t="s">
        <v>15</v>
      </c>
      <c r="J7067">
        <v>0</v>
      </c>
      <c r="K7067">
        <v>1</v>
      </c>
      <c r="L7067">
        <v>0</v>
      </c>
      <c r="M7067">
        <f>VLOOKUP(Table1[[#This Row],[subscription_type]],Plans!$A$1:$B$5,2,FALSE)</f>
        <v>9.99</v>
      </c>
      <c r="N7067">
        <f t="shared" si="110"/>
        <v>0</v>
      </c>
    </row>
    <row r="7068" spans="1:14" x14ac:dyDescent="0.35">
      <c r="A7068">
        <v>7067</v>
      </c>
      <c r="B7068" t="s">
        <v>12</v>
      </c>
      <c r="C7068">
        <v>54</v>
      </c>
      <c r="D7068" t="s">
        <v>28</v>
      </c>
      <c r="E7068" t="s">
        <v>22</v>
      </c>
      <c r="F7068">
        <v>159</v>
      </c>
      <c r="G7068">
        <v>73</v>
      </c>
      <c r="H7068">
        <v>0.11</v>
      </c>
      <c r="I7068" t="s">
        <v>23</v>
      </c>
      <c r="J7068">
        <v>0</v>
      </c>
      <c r="K7068">
        <v>1</v>
      </c>
      <c r="L7068">
        <v>1</v>
      </c>
      <c r="M7068">
        <f>VLOOKUP(Table1[[#This Row],[subscription_type]],Plans!$A$1:$B$5,2,FALSE)</f>
        <v>9.99</v>
      </c>
      <c r="N7068">
        <f t="shared" si="110"/>
        <v>9.99</v>
      </c>
    </row>
    <row r="7069" spans="1:14" x14ac:dyDescent="0.35">
      <c r="A7069">
        <v>7068</v>
      </c>
      <c r="B7069" t="s">
        <v>20</v>
      </c>
      <c r="C7069">
        <v>25</v>
      </c>
      <c r="D7069" t="s">
        <v>21</v>
      </c>
      <c r="E7069" t="s">
        <v>14</v>
      </c>
      <c r="F7069">
        <v>69</v>
      </c>
      <c r="G7069">
        <v>95</v>
      </c>
      <c r="H7069">
        <v>0.26</v>
      </c>
      <c r="I7069" t="s">
        <v>19</v>
      </c>
      <c r="J7069">
        <v>41</v>
      </c>
      <c r="K7069">
        <v>0</v>
      </c>
      <c r="L7069">
        <v>1</v>
      </c>
      <c r="M7069">
        <f>VLOOKUP(Table1[[#This Row],[subscription_type]],Plans!$A$1:$B$5,2,FALSE)</f>
        <v>0</v>
      </c>
      <c r="N7069">
        <f t="shared" si="110"/>
        <v>0</v>
      </c>
    </row>
    <row r="7070" spans="1:14" x14ac:dyDescent="0.35">
      <c r="A7070">
        <v>7069</v>
      </c>
      <c r="B7070" t="s">
        <v>16</v>
      </c>
      <c r="C7070">
        <v>30</v>
      </c>
      <c r="D7070" t="s">
        <v>28</v>
      </c>
      <c r="E7070" t="s">
        <v>24</v>
      </c>
      <c r="F7070">
        <v>283</v>
      </c>
      <c r="G7070">
        <v>95</v>
      </c>
      <c r="H7070">
        <v>0.12</v>
      </c>
      <c r="I7070" t="s">
        <v>15</v>
      </c>
      <c r="J7070">
        <v>0</v>
      </c>
      <c r="K7070">
        <v>1</v>
      </c>
      <c r="L7070">
        <v>0</v>
      </c>
      <c r="M7070">
        <f>VLOOKUP(Table1[[#This Row],[subscription_type]],Plans!$A$1:$B$5,2,FALSE)</f>
        <v>4.99</v>
      </c>
      <c r="N7070">
        <f t="shared" si="110"/>
        <v>0</v>
      </c>
    </row>
    <row r="7071" spans="1:14" x14ac:dyDescent="0.35">
      <c r="A7071">
        <v>7070</v>
      </c>
      <c r="B7071" t="s">
        <v>16</v>
      </c>
      <c r="C7071">
        <v>47</v>
      </c>
      <c r="D7071" t="s">
        <v>25</v>
      </c>
      <c r="E7071" t="s">
        <v>14</v>
      </c>
      <c r="F7071">
        <v>100</v>
      </c>
      <c r="G7071">
        <v>20</v>
      </c>
      <c r="H7071">
        <v>0.46</v>
      </c>
      <c r="I7071" t="s">
        <v>19</v>
      </c>
      <c r="J7071">
        <v>6</v>
      </c>
      <c r="K7071">
        <v>0</v>
      </c>
      <c r="L7071">
        <v>1</v>
      </c>
      <c r="M7071">
        <f>VLOOKUP(Table1[[#This Row],[subscription_type]],Plans!$A$1:$B$5,2,FALSE)</f>
        <v>0</v>
      </c>
      <c r="N7071">
        <f t="shared" si="110"/>
        <v>0</v>
      </c>
    </row>
    <row r="7072" spans="1:14" x14ac:dyDescent="0.35">
      <c r="A7072">
        <v>7071</v>
      </c>
      <c r="B7072" t="s">
        <v>16</v>
      </c>
      <c r="C7072">
        <v>58</v>
      </c>
      <c r="D7072" t="s">
        <v>25</v>
      </c>
      <c r="E7072" t="s">
        <v>22</v>
      </c>
      <c r="F7072">
        <v>170</v>
      </c>
      <c r="G7072">
        <v>70</v>
      </c>
      <c r="H7072">
        <v>0.05</v>
      </c>
      <c r="I7072" t="s">
        <v>23</v>
      </c>
      <c r="J7072">
        <v>0</v>
      </c>
      <c r="K7072">
        <v>1</v>
      </c>
      <c r="L7072">
        <v>0</v>
      </c>
      <c r="M7072">
        <f>VLOOKUP(Table1[[#This Row],[subscription_type]],Plans!$A$1:$B$5,2,FALSE)</f>
        <v>9.99</v>
      </c>
      <c r="N7072">
        <f t="shared" si="110"/>
        <v>0</v>
      </c>
    </row>
    <row r="7073" spans="1:14" x14ac:dyDescent="0.35">
      <c r="A7073">
        <v>7072</v>
      </c>
      <c r="B7073" t="s">
        <v>12</v>
      </c>
      <c r="C7073">
        <v>43</v>
      </c>
      <c r="D7073" t="s">
        <v>29</v>
      </c>
      <c r="E7073" t="s">
        <v>18</v>
      </c>
      <c r="F7073">
        <v>293</v>
      </c>
      <c r="G7073">
        <v>94</v>
      </c>
      <c r="H7073">
        <v>0.54</v>
      </c>
      <c r="I7073" t="s">
        <v>19</v>
      </c>
      <c r="J7073">
        <v>0</v>
      </c>
      <c r="K7073">
        <v>1</v>
      </c>
      <c r="L7073">
        <v>0</v>
      </c>
      <c r="M7073">
        <f>VLOOKUP(Table1[[#This Row],[subscription_type]],Plans!$A$1:$B$5,2,FALSE)</f>
        <v>14.99</v>
      </c>
      <c r="N7073">
        <f t="shared" si="110"/>
        <v>0</v>
      </c>
    </row>
    <row r="7074" spans="1:14" x14ac:dyDescent="0.35">
      <c r="A7074">
        <v>7073</v>
      </c>
      <c r="B7074" t="s">
        <v>16</v>
      </c>
      <c r="C7074">
        <v>17</v>
      </c>
      <c r="D7074" t="s">
        <v>29</v>
      </c>
      <c r="E7074" t="s">
        <v>18</v>
      </c>
      <c r="F7074">
        <v>282</v>
      </c>
      <c r="G7074">
        <v>90</v>
      </c>
      <c r="H7074">
        <v>0.2</v>
      </c>
      <c r="I7074" t="s">
        <v>15</v>
      </c>
      <c r="J7074">
        <v>0</v>
      </c>
      <c r="K7074">
        <v>1</v>
      </c>
      <c r="L7074">
        <v>0</v>
      </c>
      <c r="M7074">
        <f>VLOOKUP(Table1[[#This Row],[subscription_type]],Plans!$A$1:$B$5,2,FALSE)</f>
        <v>14.99</v>
      </c>
      <c r="N7074">
        <f t="shared" si="110"/>
        <v>0</v>
      </c>
    </row>
    <row r="7075" spans="1:14" x14ac:dyDescent="0.35">
      <c r="A7075">
        <v>7074</v>
      </c>
      <c r="B7075" t="s">
        <v>16</v>
      </c>
      <c r="C7075">
        <v>43</v>
      </c>
      <c r="D7075" t="s">
        <v>17</v>
      </c>
      <c r="E7075" t="s">
        <v>14</v>
      </c>
      <c r="F7075">
        <v>62</v>
      </c>
      <c r="G7075">
        <v>81</v>
      </c>
      <c r="H7075">
        <v>0.22</v>
      </c>
      <c r="I7075" t="s">
        <v>15</v>
      </c>
      <c r="J7075">
        <v>18</v>
      </c>
      <c r="K7075">
        <v>0</v>
      </c>
      <c r="L7075">
        <v>0</v>
      </c>
      <c r="M7075">
        <f>VLOOKUP(Table1[[#This Row],[subscription_type]],Plans!$A$1:$B$5,2,FALSE)</f>
        <v>0</v>
      </c>
      <c r="N7075">
        <f t="shared" si="110"/>
        <v>0</v>
      </c>
    </row>
    <row r="7076" spans="1:14" x14ac:dyDescent="0.35">
      <c r="A7076">
        <v>7075</v>
      </c>
      <c r="B7076" t="s">
        <v>20</v>
      </c>
      <c r="C7076">
        <v>25</v>
      </c>
      <c r="D7076" t="s">
        <v>17</v>
      </c>
      <c r="E7076" t="s">
        <v>22</v>
      </c>
      <c r="F7076">
        <v>64</v>
      </c>
      <c r="G7076">
        <v>82</v>
      </c>
      <c r="H7076">
        <v>0.33</v>
      </c>
      <c r="I7076" t="s">
        <v>19</v>
      </c>
      <c r="J7076">
        <v>0</v>
      </c>
      <c r="K7076">
        <v>1</v>
      </c>
      <c r="L7076">
        <v>0</v>
      </c>
      <c r="M7076">
        <f>VLOOKUP(Table1[[#This Row],[subscription_type]],Plans!$A$1:$B$5,2,FALSE)</f>
        <v>9.99</v>
      </c>
      <c r="N7076">
        <f t="shared" si="110"/>
        <v>0</v>
      </c>
    </row>
    <row r="7077" spans="1:14" x14ac:dyDescent="0.35">
      <c r="A7077">
        <v>7076</v>
      </c>
      <c r="B7077" t="s">
        <v>16</v>
      </c>
      <c r="C7077">
        <v>19</v>
      </c>
      <c r="D7077" t="s">
        <v>28</v>
      </c>
      <c r="E7077" t="s">
        <v>24</v>
      </c>
      <c r="F7077">
        <v>108</v>
      </c>
      <c r="G7077">
        <v>88</v>
      </c>
      <c r="H7077">
        <v>0.19</v>
      </c>
      <c r="I7077" t="s">
        <v>15</v>
      </c>
      <c r="J7077">
        <v>0</v>
      </c>
      <c r="K7077">
        <v>1</v>
      </c>
      <c r="L7077">
        <v>0</v>
      </c>
      <c r="M7077">
        <f>VLOOKUP(Table1[[#This Row],[subscription_type]],Plans!$A$1:$B$5,2,FALSE)</f>
        <v>4.99</v>
      </c>
      <c r="N7077">
        <f t="shared" si="110"/>
        <v>0</v>
      </c>
    </row>
    <row r="7078" spans="1:14" x14ac:dyDescent="0.35">
      <c r="A7078">
        <v>7077</v>
      </c>
      <c r="B7078" t="s">
        <v>20</v>
      </c>
      <c r="C7078">
        <v>22</v>
      </c>
      <c r="D7078" t="s">
        <v>21</v>
      </c>
      <c r="E7078" t="s">
        <v>14</v>
      </c>
      <c r="F7078">
        <v>202</v>
      </c>
      <c r="G7078">
        <v>34</v>
      </c>
      <c r="H7078">
        <v>0.19</v>
      </c>
      <c r="I7078" t="s">
        <v>19</v>
      </c>
      <c r="J7078">
        <v>37</v>
      </c>
      <c r="K7078">
        <v>0</v>
      </c>
      <c r="L7078">
        <v>0</v>
      </c>
      <c r="M7078">
        <f>VLOOKUP(Table1[[#This Row],[subscription_type]],Plans!$A$1:$B$5,2,FALSE)</f>
        <v>0</v>
      </c>
      <c r="N7078">
        <f t="shared" si="110"/>
        <v>0</v>
      </c>
    </row>
    <row r="7079" spans="1:14" x14ac:dyDescent="0.35">
      <c r="A7079">
        <v>7078</v>
      </c>
      <c r="B7079" t="s">
        <v>12</v>
      </c>
      <c r="C7079">
        <v>23</v>
      </c>
      <c r="D7079" t="s">
        <v>13</v>
      </c>
      <c r="E7079" t="s">
        <v>22</v>
      </c>
      <c r="F7079">
        <v>137</v>
      </c>
      <c r="G7079">
        <v>67</v>
      </c>
      <c r="H7079">
        <v>0.35</v>
      </c>
      <c r="I7079" t="s">
        <v>15</v>
      </c>
      <c r="J7079">
        <v>0</v>
      </c>
      <c r="K7079">
        <v>1</v>
      </c>
      <c r="L7079">
        <v>0</v>
      </c>
      <c r="M7079">
        <f>VLOOKUP(Table1[[#This Row],[subscription_type]],Plans!$A$1:$B$5,2,FALSE)</f>
        <v>9.99</v>
      </c>
      <c r="N7079">
        <f t="shared" si="110"/>
        <v>0</v>
      </c>
    </row>
    <row r="7080" spans="1:14" x14ac:dyDescent="0.35">
      <c r="A7080">
        <v>7079</v>
      </c>
      <c r="B7080" t="s">
        <v>16</v>
      </c>
      <c r="C7080">
        <v>21</v>
      </c>
      <c r="D7080" t="s">
        <v>17</v>
      </c>
      <c r="E7080" t="s">
        <v>24</v>
      </c>
      <c r="F7080">
        <v>199</v>
      </c>
      <c r="G7080">
        <v>48</v>
      </c>
      <c r="H7080">
        <v>0.24</v>
      </c>
      <c r="I7080" t="s">
        <v>23</v>
      </c>
      <c r="J7080">
        <v>0</v>
      </c>
      <c r="K7080">
        <v>1</v>
      </c>
      <c r="L7080">
        <v>0</v>
      </c>
      <c r="M7080">
        <f>VLOOKUP(Table1[[#This Row],[subscription_type]],Plans!$A$1:$B$5,2,FALSE)</f>
        <v>4.99</v>
      </c>
      <c r="N7080">
        <f t="shared" si="110"/>
        <v>0</v>
      </c>
    </row>
    <row r="7081" spans="1:14" x14ac:dyDescent="0.35">
      <c r="A7081">
        <v>7080</v>
      </c>
      <c r="B7081" t="s">
        <v>12</v>
      </c>
      <c r="C7081">
        <v>42</v>
      </c>
      <c r="D7081" t="s">
        <v>27</v>
      </c>
      <c r="E7081" t="s">
        <v>24</v>
      </c>
      <c r="F7081">
        <v>109</v>
      </c>
      <c r="G7081">
        <v>20</v>
      </c>
      <c r="H7081">
        <v>0.5</v>
      </c>
      <c r="I7081" t="s">
        <v>23</v>
      </c>
      <c r="J7081">
        <v>0</v>
      </c>
      <c r="K7081">
        <v>1</v>
      </c>
      <c r="L7081">
        <v>0</v>
      </c>
      <c r="M7081">
        <f>VLOOKUP(Table1[[#This Row],[subscription_type]],Plans!$A$1:$B$5,2,FALSE)</f>
        <v>4.99</v>
      </c>
      <c r="N7081">
        <f t="shared" si="110"/>
        <v>0</v>
      </c>
    </row>
    <row r="7082" spans="1:14" x14ac:dyDescent="0.35">
      <c r="A7082">
        <v>7081</v>
      </c>
      <c r="B7082" t="s">
        <v>12</v>
      </c>
      <c r="C7082">
        <v>52</v>
      </c>
      <c r="D7082" t="s">
        <v>17</v>
      </c>
      <c r="E7082" t="s">
        <v>24</v>
      </c>
      <c r="F7082">
        <v>180</v>
      </c>
      <c r="G7082">
        <v>42</v>
      </c>
      <c r="H7082">
        <v>0.45</v>
      </c>
      <c r="I7082" t="s">
        <v>15</v>
      </c>
      <c r="J7082">
        <v>0</v>
      </c>
      <c r="K7082">
        <v>1</v>
      </c>
      <c r="L7082">
        <v>1</v>
      </c>
      <c r="M7082">
        <f>VLOOKUP(Table1[[#This Row],[subscription_type]],Plans!$A$1:$B$5,2,FALSE)</f>
        <v>4.99</v>
      </c>
      <c r="N7082">
        <f t="shared" si="110"/>
        <v>4.99</v>
      </c>
    </row>
    <row r="7083" spans="1:14" x14ac:dyDescent="0.35">
      <c r="A7083">
        <v>7082</v>
      </c>
      <c r="B7083" t="s">
        <v>16</v>
      </c>
      <c r="C7083">
        <v>28</v>
      </c>
      <c r="D7083" t="s">
        <v>28</v>
      </c>
      <c r="E7083" t="s">
        <v>24</v>
      </c>
      <c r="F7083">
        <v>139</v>
      </c>
      <c r="G7083">
        <v>26</v>
      </c>
      <c r="H7083">
        <v>0.49</v>
      </c>
      <c r="I7083" t="s">
        <v>19</v>
      </c>
      <c r="J7083">
        <v>0</v>
      </c>
      <c r="K7083">
        <v>1</v>
      </c>
      <c r="L7083">
        <v>0</v>
      </c>
      <c r="M7083">
        <f>VLOOKUP(Table1[[#This Row],[subscription_type]],Plans!$A$1:$B$5,2,FALSE)</f>
        <v>4.99</v>
      </c>
      <c r="N7083">
        <f t="shared" si="110"/>
        <v>0</v>
      </c>
    </row>
    <row r="7084" spans="1:14" x14ac:dyDescent="0.35">
      <c r="A7084">
        <v>7083</v>
      </c>
      <c r="B7084" t="s">
        <v>16</v>
      </c>
      <c r="C7084">
        <v>49</v>
      </c>
      <c r="D7084" t="s">
        <v>28</v>
      </c>
      <c r="E7084" t="s">
        <v>24</v>
      </c>
      <c r="F7084">
        <v>215</v>
      </c>
      <c r="G7084">
        <v>5</v>
      </c>
      <c r="H7084">
        <v>0.12</v>
      </c>
      <c r="I7084" t="s">
        <v>15</v>
      </c>
      <c r="J7084">
        <v>0</v>
      </c>
      <c r="K7084">
        <v>1</v>
      </c>
      <c r="L7084">
        <v>0</v>
      </c>
      <c r="M7084">
        <f>VLOOKUP(Table1[[#This Row],[subscription_type]],Plans!$A$1:$B$5,2,FALSE)</f>
        <v>4.99</v>
      </c>
      <c r="N7084">
        <f t="shared" si="110"/>
        <v>0</v>
      </c>
    </row>
    <row r="7085" spans="1:14" x14ac:dyDescent="0.35">
      <c r="A7085">
        <v>7084</v>
      </c>
      <c r="B7085" t="s">
        <v>12</v>
      </c>
      <c r="C7085">
        <v>30</v>
      </c>
      <c r="D7085" t="s">
        <v>25</v>
      </c>
      <c r="E7085" t="s">
        <v>24</v>
      </c>
      <c r="F7085">
        <v>250</v>
      </c>
      <c r="G7085">
        <v>1</v>
      </c>
      <c r="H7085">
        <v>0.35</v>
      </c>
      <c r="I7085" t="s">
        <v>23</v>
      </c>
      <c r="J7085">
        <v>0</v>
      </c>
      <c r="K7085">
        <v>1</v>
      </c>
      <c r="L7085">
        <v>1</v>
      </c>
      <c r="M7085">
        <f>VLOOKUP(Table1[[#This Row],[subscription_type]],Plans!$A$1:$B$5,2,FALSE)</f>
        <v>4.99</v>
      </c>
      <c r="N7085">
        <f t="shared" si="110"/>
        <v>4.99</v>
      </c>
    </row>
    <row r="7086" spans="1:14" x14ac:dyDescent="0.35">
      <c r="A7086">
        <v>7085</v>
      </c>
      <c r="B7086" t="s">
        <v>12</v>
      </c>
      <c r="C7086">
        <v>45</v>
      </c>
      <c r="D7086" t="s">
        <v>13</v>
      </c>
      <c r="E7086" t="s">
        <v>14</v>
      </c>
      <c r="F7086">
        <v>186</v>
      </c>
      <c r="G7086">
        <v>7</v>
      </c>
      <c r="H7086">
        <v>0.41</v>
      </c>
      <c r="I7086" t="s">
        <v>15</v>
      </c>
      <c r="J7086">
        <v>27</v>
      </c>
      <c r="K7086">
        <v>0</v>
      </c>
      <c r="L7086">
        <v>0</v>
      </c>
      <c r="M7086">
        <f>VLOOKUP(Table1[[#This Row],[subscription_type]],Plans!$A$1:$B$5,2,FALSE)</f>
        <v>0</v>
      </c>
      <c r="N7086">
        <f t="shared" si="110"/>
        <v>0</v>
      </c>
    </row>
    <row r="7087" spans="1:14" x14ac:dyDescent="0.35">
      <c r="A7087">
        <v>7086</v>
      </c>
      <c r="B7087" t="s">
        <v>20</v>
      </c>
      <c r="C7087">
        <v>30</v>
      </c>
      <c r="D7087" t="s">
        <v>28</v>
      </c>
      <c r="E7087" t="s">
        <v>22</v>
      </c>
      <c r="F7087">
        <v>80</v>
      </c>
      <c r="G7087">
        <v>30</v>
      </c>
      <c r="H7087">
        <v>0.39</v>
      </c>
      <c r="I7087" t="s">
        <v>15</v>
      </c>
      <c r="J7087">
        <v>0</v>
      </c>
      <c r="K7087">
        <v>1</v>
      </c>
      <c r="L7087">
        <v>0</v>
      </c>
      <c r="M7087">
        <f>VLOOKUP(Table1[[#This Row],[subscription_type]],Plans!$A$1:$B$5,2,FALSE)</f>
        <v>9.99</v>
      </c>
      <c r="N7087">
        <f t="shared" si="110"/>
        <v>0</v>
      </c>
    </row>
    <row r="7088" spans="1:14" x14ac:dyDescent="0.35">
      <c r="A7088">
        <v>7087</v>
      </c>
      <c r="B7088" t="s">
        <v>16</v>
      </c>
      <c r="C7088">
        <v>43</v>
      </c>
      <c r="D7088" t="s">
        <v>25</v>
      </c>
      <c r="E7088" t="s">
        <v>18</v>
      </c>
      <c r="F7088">
        <v>56</v>
      </c>
      <c r="G7088">
        <v>90</v>
      </c>
      <c r="H7088">
        <v>0.06</v>
      </c>
      <c r="I7088" t="s">
        <v>23</v>
      </c>
      <c r="J7088">
        <v>0</v>
      </c>
      <c r="K7088">
        <v>1</v>
      </c>
      <c r="L7088">
        <v>1</v>
      </c>
      <c r="M7088">
        <f>VLOOKUP(Table1[[#This Row],[subscription_type]],Plans!$A$1:$B$5,2,FALSE)</f>
        <v>14.99</v>
      </c>
      <c r="N7088">
        <f t="shared" si="110"/>
        <v>14.99</v>
      </c>
    </row>
    <row r="7089" spans="1:14" x14ac:dyDescent="0.35">
      <c r="A7089">
        <v>7088</v>
      </c>
      <c r="B7089" t="s">
        <v>20</v>
      </c>
      <c r="C7089">
        <v>21</v>
      </c>
      <c r="D7089" t="s">
        <v>28</v>
      </c>
      <c r="E7089" t="s">
        <v>14</v>
      </c>
      <c r="F7089">
        <v>193</v>
      </c>
      <c r="G7089">
        <v>99</v>
      </c>
      <c r="H7089">
        <v>0.54</v>
      </c>
      <c r="I7089" t="s">
        <v>19</v>
      </c>
      <c r="J7089">
        <v>48</v>
      </c>
      <c r="K7089">
        <v>0</v>
      </c>
      <c r="L7089">
        <v>0</v>
      </c>
      <c r="M7089">
        <f>VLOOKUP(Table1[[#This Row],[subscription_type]],Plans!$A$1:$B$5,2,FALSE)</f>
        <v>0</v>
      </c>
      <c r="N7089">
        <f t="shared" si="110"/>
        <v>0</v>
      </c>
    </row>
    <row r="7090" spans="1:14" x14ac:dyDescent="0.35">
      <c r="A7090">
        <v>7089</v>
      </c>
      <c r="B7090" t="s">
        <v>16</v>
      </c>
      <c r="C7090">
        <v>53</v>
      </c>
      <c r="D7090" t="s">
        <v>13</v>
      </c>
      <c r="E7090" t="s">
        <v>24</v>
      </c>
      <c r="F7090">
        <v>208</v>
      </c>
      <c r="G7090">
        <v>25</v>
      </c>
      <c r="H7090">
        <v>0.31</v>
      </c>
      <c r="I7090" t="s">
        <v>15</v>
      </c>
      <c r="J7090">
        <v>0</v>
      </c>
      <c r="K7090">
        <v>1</v>
      </c>
      <c r="L7090">
        <v>1</v>
      </c>
      <c r="M7090">
        <f>VLOOKUP(Table1[[#This Row],[subscription_type]],Plans!$A$1:$B$5,2,FALSE)</f>
        <v>4.99</v>
      </c>
      <c r="N7090">
        <f t="shared" si="110"/>
        <v>4.99</v>
      </c>
    </row>
    <row r="7091" spans="1:14" x14ac:dyDescent="0.35">
      <c r="A7091">
        <v>7090</v>
      </c>
      <c r="B7091" t="s">
        <v>16</v>
      </c>
      <c r="C7091">
        <v>41</v>
      </c>
      <c r="D7091" t="s">
        <v>29</v>
      </c>
      <c r="E7091" t="s">
        <v>18</v>
      </c>
      <c r="F7091">
        <v>74</v>
      </c>
      <c r="G7091">
        <v>36</v>
      </c>
      <c r="H7091">
        <v>0.26</v>
      </c>
      <c r="I7091" t="s">
        <v>15</v>
      </c>
      <c r="J7091">
        <v>0</v>
      </c>
      <c r="K7091">
        <v>1</v>
      </c>
      <c r="L7091">
        <v>0</v>
      </c>
      <c r="M7091">
        <f>VLOOKUP(Table1[[#This Row],[subscription_type]],Plans!$A$1:$B$5,2,FALSE)</f>
        <v>14.99</v>
      </c>
      <c r="N7091">
        <f t="shared" si="110"/>
        <v>0</v>
      </c>
    </row>
    <row r="7092" spans="1:14" x14ac:dyDescent="0.35">
      <c r="A7092">
        <v>7091</v>
      </c>
      <c r="B7092" t="s">
        <v>12</v>
      </c>
      <c r="C7092">
        <v>33</v>
      </c>
      <c r="D7092" t="s">
        <v>26</v>
      </c>
      <c r="E7092" t="s">
        <v>14</v>
      </c>
      <c r="F7092">
        <v>232</v>
      </c>
      <c r="G7092">
        <v>98</v>
      </c>
      <c r="H7092">
        <v>0.13</v>
      </c>
      <c r="I7092" t="s">
        <v>15</v>
      </c>
      <c r="J7092">
        <v>30</v>
      </c>
      <c r="K7092">
        <v>0</v>
      </c>
      <c r="L7092">
        <v>1</v>
      </c>
      <c r="M7092">
        <f>VLOOKUP(Table1[[#This Row],[subscription_type]],Plans!$A$1:$B$5,2,FALSE)</f>
        <v>0</v>
      </c>
      <c r="N7092">
        <f t="shared" si="110"/>
        <v>0</v>
      </c>
    </row>
    <row r="7093" spans="1:14" x14ac:dyDescent="0.35">
      <c r="A7093">
        <v>7092</v>
      </c>
      <c r="B7093" t="s">
        <v>20</v>
      </c>
      <c r="C7093">
        <v>53</v>
      </c>
      <c r="D7093" t="s">
        <v>13</v>
      </c>
      <c r="E7093" t="s">
        <v>18</v>
      </c>
      <c r="F7093">
        <v>137</v>
      </c>
      <c r="G7093">
        <v>48</v>
      </c>
      <c r="H7093">
        <v>0.34</v>
      </c>
      <c r="I7093" t="s">
        <v>15</v>
      </c>
      <c r="J7093">
        <v>0</v>
      </c>
      <c r="K7093">
        <v>1</v>
      </c>
      <c r="L7093">
        <v>0</v>
      </c>
      <c r="M7093">
        <f>VLOOKUP(Table1[[#This Row],[subscription_type]],Plans!$A$1:$B$5,2,FALSE)</f>
        <v>14.99</v>
      </c>
      <c r="N7093">
        <f t="shared" si="110"/>
        <v>0</v>
      </c>
    </row>
    <row r="7094" spans="1:14" x14ac:dyDescent="0.35">
      <c r="A7094">
        <v>7093</v>
      </c>
      <c r="B7094" t="s">
        <v>20</v>
      </c>
      <c r="C7094">
        <v>37</v>
      </c>
      <c r="D7094" t="s">
        <v>13</v>
      </c>
      <c r="E7094" t="s">
        <v>22</v>
      </c>
      <c r="F7094">
        <v>140</v>
      </c>
      <c r="G7094">
        <v>70</v>
      </c>
      <c r="H7094">
        <v>0.59</v>
      </c>
      <c r="I7094" t="s">
        <v>23</v>
      </c>
      <c r="J7094">
        <v>0</v>
      </c>
      <c r="K7094">
        <v>1</v>
      </c>
      <c r="L7094">
        <v>0</v>
      </c>
      <c r="M7094">
        <f>VLOOKUP(Table1[[#This Row],[subscription_type]],Plans!$A$1:$B$5,2,FALSE)</f>
        <v>9.99</v>
      </c>
      <c r="N7094">
        <f t="shared" si="110"/>
        <v>0</v>
      </c>
    </row>
    <row r="7095" spans="1:14" x14ac:dyDescent="0.35">
      <c r="A7095">
        <v>7094</v>
      </c>
      <c r="B7095" t="s">
        <v>20</v>
      </c>
      <c r="C7095">
        <v>42</v>
      </c>
      <c r="D7095" t="s">
        <v>26</v>
      </c>
      <c r="E7095" t="s">
        <v>14</v>
      </c>
      <c r="F7095">
        <v>19</v>
      </c>
      <c r="G7095">
        <v>8</v>
      </c>
      <c r="H7095">
        <v>0.08</v>
      </c>
      <c r="I7095" t="s">
        <v>19</v>
      </c>
      <c r="J7095">
        <v>22</v>
      </c>
      <c r="K7095">
        <v>0</v>
      </c>
      <c r="L7095">
        <v>0</v>
      </c>
      <c r="M7095">
        <f>VLOOKUP(Table1[[#This Row],[subscription_type]],Plans!$A$1:$B$5,2,FALSE)</f>
        <v>0</v>
      </c>
      <c r="N7095">
        <f t="shared" si="110"/>
        <v>0</v>
      </c>
    </row>
    <row r="7096" spans="1:14" x14ac:dyDescent="0.35">
      <c r="A7096">
        <v>7095</v>
      </c>
      <c r="B7096" t="s">
        <v>12</v>
      </c>
      <c r="C7096">
        <v>54</v>
      </c>
      <c r="D7096" t="s">
        <v>27</v>
      </c>
      <c r="E7096" t="s">
        <v>22</v>
      </c>
      <c r="F7096">
        <v>205</v>
      </c>
      <c r="G7096">
        <v>94</v>
      </c>
      <c r="H7096">
        <v>0.09</v>
      </c>
      <c r="I7096" t="s">
        <v>19</v>
      </c>
      <c r="J7096">
        <v>0</v>
      </c>
      <c r="K7096">
        <v>1</v>
      </c>
      <c r="L7096">
        <v>0</v>
      </c>
      <c r="M7096">
        <f>VLOOKUP(Table1[[#This Row],[subscription_type]],Plans!$A$1:$B$5,2,FALSE)</f>
        <v>9.99</v>
      </c>
      <c r="N7096">
        <f t="shared" si="110"/>
        <v>0</v>
      </c>
    </row>
    <row r="7097" spans="1:14" x14ac:dyDescent="0.35">
      <c r="A7097">
        <v>7096</v>
      </c>
      <c r="B7097" t="s">
        <v>16</v>
      </c>
      <c r="C7097">
        <v>36</v>
      </c>
      <c r="D7097" t="s">
        <v>25</v>
      </c>
      <c r="E7097" t="s">
        <v>24</v>
      </c>
      <c r="F7097">
        <v>181</v>
      </c>
      <c r="G7097">
        <v>9</v>
      </c>
      <c r="H7097">
        <v>0.59</v>
      </c>
      <c r="I7097" t="s">
        <v>23</v>
      </c>
      <c r="J7097">
        <v>0</v>
      </c>
      <c r="K7097">
        <v>1</v>
      </c>
      <c r="L7097">
        <v>0</v>
      </c>
      <c r="M7097">
        <f>VLOOKUP(Table1[[#This Row],[subscription_type]],Plans!$A$1:$B$5,2,FALSE)</f>
        <v>4.99</v>
      </c>
      <c r="N7097">
        <f t="shared" si="110"/>
        <v>0</v>
      </c>
    </row>
    <row r="7098" spans="1:14" x14ac:dyDescent="0.35">
      <c r="A7098">
        <v>7097</v>
      </c>
      <c r="B7098" t="s">
        <v>20</v>
      </c>
      <c r="C7098">
        <v>46</v>
      </c>
      <c r="D7098" t="s">
        <v>26</v>
      </c>
      <c r="E7098" t="s">
        <v>24</v>
      </c>
      <c r="F7098">
        <v>261</v>
      </c>
      <c r="G7098">
        <v>14</v>
      </c>
      <c r="H7098">
        <v>0.47</v>
      </c>
      <c r="I7098" t="s">
        <v>19</v>
      </c>
      <c r="J7098">
        <v>0</v>
      </c>
      <c r="K7098">
        <v>1</v>
      </c>
      <c r="L7098">
        <v>1</v>
      </c>
      <c r="M7098">
        <f>VLOOKUP(Table1[[#This Row],[subscription_type]],Plans!$A$1:$B$5,2,FALSE)</f>
        <v>4.99</v>
      </c>
      <c r="N7098">
        <f t="shared" si="110"/>
        <v>4.99</v>
      </c>
    </row>
    <row r="7099" spans="1:14" x14ac:dyDescent="0.35">
      <c r="A7099">
        <v>7098</v>
      </c>
      <c r="B7099" t="s">
        <v>12</v>
      </c>
      <c r="C7099">
        <v>23</v>
      </c>
      <c r="D7099" t="s">
        <v>29</v>
      </c>
      <c r="E7099" t="s">
        <v>14</v>
      </c>
      <c r="F7099">
        <v>224</v>
      </c>
      <c r="G7099">
        <v>71</v>
      </c>
      <c r="H7099">
        <v>0.16</v>
      </c>
      <c r="I7099" t="s">
        <v>19</v>
      </c>
      <c r="J7099">
        <v>33</v>
      </c>
      <c r="K7099">
        <v>0</v>
      </c>
      <c r="L7099">
        <v>1</v>
      </c>
      <c r="M7099">
        <f>VLOOKUP(Table1[[#This Row],[subscription_type]],Plans!$A$1:$B$5,2,FALSE)</f>
        <v>0</v>
      </c>
      <c r="N7099">
        <f t="shared" si="110"/>
        <v>0</v>
      </c>
    </row>
    <row r="7100" spans="1:14" x14ac:dyDescent="0.35">
      <c r="A7100">
        <v>7099</v>
      </c>
      <c r="B7100" t="s">
        <v>16</v>
      </c>
      <c r="C7100">
        <v>31</v>
      </c>
      <c r="D7100" t="s">
        <v>27</v>
      </c>
      <c r="E7100" t="s">
        <v>14</v>
      </c>
      <c r="F7100">
        <v>73</v>
      </c>
      <c r="G7100">
        <v>85</v>
      </c>
      <c r="H7100">
        <v>0.22</v>
      </c>
      <c r="I7100" t="s">
        <v>15</v>
      </c>
      <c r="J7100">
        <v>27</v>
      </c>
      <c r="K7100">
        <v>0</v>
      </c>
      <c r="L7100">
        <v>1</v>
      </c>
      <c r="M7100">
        <f>VLOOKUP(Table1[[#This Row],[subscription_type]],Plans!$A$1:$B$5,2,FALSE)</f>
        <v>0</v>
      </c>
      <c r="N7100">
        <f t="shared" si="110"/>
        <v>0</v>
      </c>
    </row>
    <row r="7101" spans="1:14" x14ac:dyDescent="0.35">
      <c r="A7101">
        <v>7100</v>
      </c>
      <c r="B7101" t="s">
        <v>20</v>
      </c>
      <c r="C7101">
        <v>47</v>
      </c>
      <c r="D7101" t="s">
        <v>28</v>
      </c>
      <c r="E7101" t="s">
        <v>22</v>
      </c>
      <c r="F7101">
        <v>18</v>
      </c>
      <c r="G7101">
        <v>69</v>
      </c>
      <c r="H7101">
        <v>0.23</v>
      </c>
      <c r="I7101" t="s">
        <v>19</v>
      </c>
      <c r="J7101">
        <v>0</v>
      </c>
      <c r="K7101">
        <v>1</v>
      </c>
      <c r="L7101">
        <v>1</v>
      </c>
      <c r="M7101">
        <f>VLOOKUP(Table1[[#This Row],[subscription_type]],Plans!$A$1:$B$5,2,FALSE)</f>
        <v>9.99</v>
      </c>
      <c r="N7101">
        <f t="shared" si="110"/>
        <v>9.99</v>
      </c>
    </row>
    <row r="7102" spans="1:14" x14ac:dyDescent="0.35">
      <c r="A7102">
        <v>7101</v>
      </c>
      <c r="B7102" t="s">
        <v>20</v>
      </c>
      <c r="C7102">
        <v>57</v>
      </c>
      <c r="D7102" t="s">
        <v>17</v>
      </c>
      <c r="E7102" t="s">
        <v>18</v>
      </c>
      <c r="F7102">
        <v>68</v>
      </c>
      <c r="G7102">
        <v>21</v>
      </c>
      <c r="H7102">
        <v>0.44</v>
      </c>
      <c r="I7102" t="s">
        <v>23</v>
      </c>
      <c r="J7102">
        <v>0</v>
      </c>
      <c r="K7102">
        <v>1</v>
      </c>
      <c r="L7102">
        <v>1</v>
      </c>
      <c r="M7102">
        <f>VLOOKUP(Table1[[#This Row],[subscription_type]],Plans!$A$1:$B$5,2,FALSE)</f>
        <v>14.99</v>
      </c>
      <c r="N7102">
        <f t="shared" si="110"/>
        <v>14.99</v>
      </c>
    </row>
    <row r="7103" spans="1:14" x14ac:dyDescent="0.35">
      <c r="A7103">
        <v>7102</v>
      </c>
      <c r="B7103" t="s">
        <v>12</v>
      </c>
      <c r="C7103">
        <v>40</v>
      </c>
      <c r="D7103" t="s">
        <v>25</v>
      </c>
      <c r="E7103" t="s">
        <v>18</v>
      </c>
      <c r="F7103">
        <v>97</v>
      </c>
      <c r="G7103">
        <v>97</v>
      </c>
      <c r="H7103">
        <v>0.23</v>
      </c>
      <c r="I7103" t="s">
        <v>19</v>
      </c>
      <c r="J7103">
        <v>0</v>
      </c>
      <c r="K7103">
        <v>1</v>
      </c>
      <c r="L7103">
        <v>1</v>
      </c>
      <c r="M7103">
        <f>VLOOKUP(Table1[[#This Row],[subscription_type]],Plans!$A$1:$B$5,2,FALSE)</f>
        <v>14.99</v>
      </c>
      <c r="N7103">
        <f t="shared" si="110"/>
        <v>14.99</v>
      </c>
    </row>
    <row r="7104" spans="1:14" x14ac:dyDescent="0.35">
      <c r="A7104">
        <v>7103</v>
      </c>
      <c r="B7104" t="s">
        <v>16</v>
      </c>
      <c r="C7104">
        <v>39</v>
      </c>
      <c r="D7104" t="s">
        <v>17</v>
      </c>
      <c r="E7104" t="s">
        <v>18</v>
      </c>
      <c r="F7104">
        <v>177</v>
      </c>
      <c r="G7104">
        <v>69</v>
      </c>
      <c r="H7104">
        <v>0.44</v>
      </c>
      <c r="I7104" t="s">
        <v>15</v>
      </c>
      <c r="J7104">
        <v>0</v>
      </c>
      <c r="K7104">
        <v>1</v>
      </c>
      <c r="L7104">
        <v>0</v>
      </c>
      <c r="M7104">
        <f>VLOOKUP(Table1[[#This Row],[subscription_type]],Plans!$A$1:$B$5,2,FALSE)</f>
        <v>14.99</v>
      </c>
      <c r="N7104">
        <f t="shared" si="110"/>
        <v>0</v>
      </c>
    </row>
    <row r="7105" spans="1:14" x14ac:dyDescent="0.35">
      <c r="A7105">
        <v>7104</v>
      </c>
      <c r="B7105" t="s">
        <v>20</v>
      </c>
      <c r="C7105">
        <v>26</v>
      </c>
      <c r="D7105" t="s">
        <v>25</v>
      </c>
      <c r="E7105" t="s">
        <v>22</v>
      </c>
      <c r="F7105">
        <v>246</v>
      </c>
      <c r="G7105">
        <v>52</v>
      </c>
      <c r="H7105">
        <v>0.47</v>
      </c>
      <c r="I7105" t="s">
        <v>15</v>
      </c>
      <c r="J7105">
        <v>0</v>
      </c>
      <c r="K7105">
        <v>1</v>
      </c>
      <c r="L7105">
        <v>0</v>
      </c>
      <c r="M7105">
        <f>VLOOKUP(Table1[[#This Row],[subscription_type]],Plans!$A$1:$B$5,2,FALSE)</f>
        <v>9.99</v>
      </c>
      <c r="N7105">
        <f t="shared" si="110"/>
        <v>0</v>
      </c>
    </row>
    <row r="7106" spans="1:14" x14ac:dyDescent="0.35">
      <c r="A7106">
        <v>7105</v>
      </c>
      <c r="B7106" t="s">
        <v>20</v>
      </c>
      <c r="C7106">
        <v>26</v>
      </c>
      <c r="D7106" t="s">
        <v>17</v>
      </c>
      <c r="E7106" t="s">
        <v>22</v>
      </c>
      <c r="F7106">
        <v>170</v>
      </c>
      <c r="G7106">
        <v>47</v>
      </c>
      <c r="H7106">
        <v>0.36</v>
      </c>
      <c r="I7106" t="s">
        <v>19</v>
      </c>
      <c r="J7106">
        <v>0</v>
      </c>
      <c r="K7106">
        <v>1</v>
      </c>
      <c r="L7106">
        <v>1</v>
      </c>
      <c r="M7106">
        <f>VLOOKUP(Table1[[#This Row],[subscription_type]],Plans!$A$1:$B$5,2,FALSE)</f>
        <v>9.99</v>
      </c>
      <c r="N7106">
        <f t="shared" ref="N7106:N7169" si="111">IF(L7106=1, M7106,0)</f>
        <v>9.99</v>
      </c>
    </row>
    <row r="7107" spans="1:14" x14ac:dyDescent="0.35">
      <c r="A7107">
        <v>7106</v>
      </c>
      <c r="B7107" t="s">
        <v>12</v>
      </c>
      <c r="C7107">
        <v>18</v>
      </c>
      <c r="D7107" t="s">
        <v>27</v>
      </c>
      <c r="E7107" t="s">
        <v>18</v>
      </c>
      <c r="F7107">
        <v>197</v>
      </c>
      <c r="G7107">
        <v>69</v>
      </c>
      <c r="H7107">
        <v>0.4</v>
      </c>
      <c r="I7107" t="s">
        <v>19</v>
      </c>
      <c r="J7107">
        <v>0</v>
      </c>
      <c r="K7107">
        <v>1</v>
      </c>
      <c r="L7107">
        <v>0</v>
      </c>
      <c r="M7107">
        <f>VLOOKUP(Table1[[#This Row],[subscription_type]],Plans!$A$1:$B$5,2,FALSE)</f>
        <v>14.99</v>
      </c>
      <c r="N7107">
        <f t="shared" si="111"/>
        <v>0</v>
      </c>
    </row>
    <row r="7108" spans="1:14" x14ac:dyDescent="0.35">
      <c r="A7108">
        <v>7107</v>
      </c>
      <c r="B7108" t="s">
        <v>20</v>
      </c>
      <c r="C7108">
        <v>29</v>
      </c>
      <c r="D7108" t="s">
        <v>26</v>
      </c>
      <c r="E7108" t="s">
        <v>22</v>
      </c>
      <c r="F7108">
        <v>47</v>
      </c>
      <c r="G7108">
        <v>79</v>
      </c>
      <c r="H7108">
        <v>0.5</v>
      </c>
      <c r="I7108" t="s">
        <v>15</v>
      </c>
      <c r="J7108">
        <v>0</v>
      </c>
      <c r="K7108">
        <v>1</v>
      </c>
      <c r="L7108">
        <v>0</v>
      </c>
      <c r="M7108">
        <f>VLOOKUP(Table1[[#This Row],[subscription_type]],Plans!$A$1:$B$5,2,FALSE)</f>
        <v>9.99</v>
      </c>
      <c r="N7108">
        <f t="shared" si="111"/>
        <v>0</v>
      </c>
    </row>
    <row r="7109" spans="1:14" x14ac:dyDescent="0.35">
      <c r="A7109">
        <v>7108</v>
      </c>
      <c r="B7109" t="s">
        <v>12</v>
      </c>
      <c r="C7109">
        <v>54</v>
      </c>
      <c r="D7109" t="s">
        <v>25</v>
      </c>
      <c r="E7109" t="s">
        <v>24</v>
      </c>
      <c r="F7109">
        <v>277</v>
      </c>
      <c r="G7109">
        <v>58</v>
      </c>
      <c r="H7109">
        <v>0.6</v>
      </c>
      <c r="I7109" t="s">
        <v>15</v>
      </c>
      <c r="J7109">
        <v>0</v>
      </c>
      <c r="K7109">
        <v>1</v>
      </c>
      <c r="L7109">
        <v>0</v>
      </c>
      <c r="M7109">
        <f>VLOOKUP(Table1[[#This Row],[subscription_type]],Plans!$A$1:$B$5,2,FALSE)</f>
        <v>4.99</v>
      </c>
      <c r="N7109">
        <f t="shared" si="111"/>
        <v>0</v>
      </c>
    </row>
    <row r="7110" spans="1:14" x14ac:dyDescent="0.35">
      <c r="A7110">
        <v>7109</v>
      </c>
      <c r="B7110" t="s">
        <v>20</v>
      </c>
      <c r="C7110">
        <v>55</v>
      </c>
      <c r="D7110" t="s">
        <v>26</v>
      </c>
      <c r="E7110" t="s">
        <v>22</v>
      </c>
      <c r="F7110">
        <v>33</v>
      </c>
      <c r="G7110">
        <v>64</v>
      </c>
      <c r="H7110">
        <v>0.05</v>
      </c>
      <c r="I7110" t="s">
        <v>19</v>
      </c>
      <c r="J7110">
        <v>0</v>
      </c>
      <c r="K7110">
        <v>1</v>
      </c>
      <c r="L7110">
        <v>0</v>
      </c>
      <c r="M7110">
        <f>VLOOKUP(Table1[[#This Row],[subscription_type]],Plans!$A$1:$B$5,2,FALSE)</f>
        <v>9.99</v>
      </c>
      <c r="N7110">
        <f t="shared" si="111"/>
        <v>0</v>
      </c>
    </row>
    <row r="7111" spans="1:14" x14ac:dyDescent="0.35">
      <c r="A7111">
        <v>7110</v>
      </c>
      <c r="B7111" t="s">
        <v>12</v>
      </c>
      <c r="C7111">
        <v>52</v>
      </c>
      <c r="D7111" t="s">
        <v>13</v>
      </c>
      <c r="E7111" t="s">
        <v>18</v>
      </c>
      <c r="F7111">
        <v>129</v>
      </c>
      <c r="G7111">
        <v>94</v>
      </c>
      <c r="H7111">
        <v>0.46</v>
      </c>
      <c r="I7111" t="s">
        <v>19</v>
      </c>
      <c r="J7111">
        <v>0</v>
      </c>
      <c r="K7111">
        <v>1</v>
      </c>
      <c r="L7111">
        <v>0</v>
      </c>
      <c r="M7111">
        <f>VLOOKUP(Table1[[#This Row],[subscription_type]],Plans!$A$1:$B$5,2,FALSE)</f>
        <v>14.99</v>
      </c>
      <c r="N7111">
        <f t="shared" si="111"/>
        <v>0</v>
      </c>
    </row>
    <row r="7112" spans="1:14" x14ac:dyDescent="0.35">
      <c r="A7112">
        <v>7111</v>
      </c>
      <c r="B7112" t="s">
        <v>20</v>
      </c>
      <c r="C7112">
        <v>27</v>
      </c>
      <c r="D7112" t="s">
        <v>17</v>
      </c>
      <c r="E7112" t="s">
        <v>14</v>
      </c>
      <c r="F7112">
        <v>217</v>
      </c>
      <c r="G7112">
        <v>83</v>
      </c>
      <c r="H7112">
        <v>0.5</v>
      </c>
      <c r="I7112" t="s">
        <v>15</v>
      </c>
      <c r="J7112">
        <v>49</v>
      </c>
      <c r="K7112">
        <v>0</v>
      </c>
      <c r="L7112">
        <v>0</v>
      </c>
      <c r="M7112">
        <f>VLOOKUP(Table1[[#This Row],[subscription_type]],Plans!$A$1:$B$5,2,FALSE)</f>
        <v>0</v>
      </c>
      <c r="N7112">
        <f t="shared" si="111"/>
        <v>0</v>
      </c>
    </row>
    <row r="7113" spans="1:14" x14ac:dyDescent="0.35">
      <c r="A7113">
        <v>7112</v>
      </c>
      <c r="B7113" t="s">
        <v>12</v>
      </c>
      <c r="C7113">
        <v>54</v>
      </c>
      <c r="D7113" t="s">
        <v>25</v>
      </c>
      <c r="E7113" t="s">
        <v>18</v>
      </c>
      <c r="F7113">
        <v>219</v>
      </c>
      <c r="G7113">
        <v>28</v>
      </c>
      <c r="H7113">
        <v>0.34</v>
      </c>
      <c r="I7113" t="s">
        <v>19</v>
      </c>
      <c r="J7113">
        <v>0</v>
      </c>
      <c r="K7113">
        <v>1</v>
      </c>
      <c r="L7113">
        <v>1</v>
      </c>
      <c r="M7113">
        <f>VLOOKUP(Table1[[#This Row],[subscription_type]],Plans!$A$1:$B$5,2,FALSE)</f>
        <v>14.99</v>
      </c>
      <c r="N7113">
        <f t="shared" si="111"/>
        <v>14.99</v>
      </c>
    </row>
    <row r="7114" spans="1:14" x14ac:dyDescent="0.35">
      <c r="A7114">
        <v>7113</v>
      </c>
      <c r="B7114" t="s">
        <v>16</v>
      </c>
      <c r="C7114">
        <v>17</v>
      </c>
      <c r="D7114" t="s">
        <v>21</v>
      </c>
      <c r="E7114" t="s">
        <v>24</v>
      </c>
      <c r="F7114">
        <v>14</v>
      </c>
      <c r="G7114">
        <v>52</v>
      </c>
      <c r="H7114">
        <v>0.47</v>
      </c>
      <c r="I7114" t="s">
        <v>19</v>
      </c>
      <c r="J7114">
        <v>0</v>
      </c>
      <c r="K7114">
        <v>1</v>
      </c>
      <c r="L7114">
        <v>1</v>
      </c>
      <c r="M7114">
        <f>VLOOKUP(Table1[[#This Row],[subscription_type]],Plans!$A$1:$B$5,2,FALSE)</f>
        <v>4.99</v>
      </c>
      <c r="N7114">
        <f t="shared" si="111"/>
        <v>4.99</v>
      </c>
    </row>
    <row r="7115" spans="1:14" x14ac:dyDescent="0.35">
      <c r="A7115">
        <v>7114</v>
      </c>
      <c r="B7115" t="s">
        <v>20</v>
      </c>
      <c r="C7115">
        <v>54</v>
      </c>
      <c r="D7115" t="s">
        <v>29</v>
      </c>
      <c r="E7115" t="s">
        <v>18</v>
      </c>
      <c r="F7115">
        <v>31</v>
      </c>
      <c r="G7115">
        <v>33</v>
      </c>
      <c r="H7115">
        <v>0.2</v>
      </c>
      <c r="I7115" t="s">
        <v>19</v>
      </c>
      <c r="J7115">
        <v>0</v>
      </c>
      <c r="K7115">
        <v>1</v>
      </c>
      <c r="L7115">
        <v>0</v>
      </c>
      <c r="M7115">
        <f>VLOOKUP(Table1[[#This Row],[subscription_type]],Plans!$A$1:$B$5,2,FALSE)</f>
        <v>14.99</v>
      </c>
      <c r="N7115">
        <f t="shared" si="111"/>
        <v>0</v>
      </c>
    </row>
    <row r="7116" spans="1:14" x14ac:dyDescent="0.35">
      <c r="A7116">
        <v>7115</v>
      </c>
      <c r="B7116" t="s">
        <v>12</v>
      </c>
      <c r="C7116">
        <v>40</v>
      </c>
      <c r="D7116" t="s">
        <v>29</v>
      </c>
      <c r="E7116" t="s">
        <v>18</v>
      </c>
      <c r="F7116">
        <v>105</v>
      </c>
      <c r="G7116">
        <v>35</v>
      </c>
      <c r="H7116">
        <v>0.32</v>
      </c>
      <c r="I7116" t="s">
        <v>15</v>
      </c>
      <c r="J7116">
        <v>0</v>
      </c>
      <c r="K7116">
        <v>1</v>
      </c>
      <c r="L7116">
        <v>1</v>
      </c>
      <c r="M7116">
        <f>VLOOKUP(Table1[[#This Row],[subscription_type]],Plans!$A$1:$B$5,2,FALSE)</f>
        <v>14.99</v>
      </c>
      <c r="N7116">
        <f t="shared" si="111"/>
        <v>14.99</v>
      </c>
    </row>
    <row r="7117" spans="1:14" x14ac:dyDescent="0.35">
      <c r="A7117">
        <v>7116</v>
      </c>
      <c r="B7117" t="s">
        <v>12</v>
      </c>
      <c r="C7117">
        <v>52</v>
      </c>
      <c r="D7117" t="s">
        <v>25</v>
      </c>
      <c r="E7117" t="s">
        <v>14</v>
      </c>
      <c r="F7117">
        <v>114</v>
      </c>
      <c r="G7117">
        <v>92</v>
      </c>
      <c r="H7117">
        <v>0.03</v>
      </c>
      <c r="I7117" t="s">
        <v>19</v>
      </c>
      <c r="J7117">
        <v>19</v>
      </c>
      <c r="K7117">
        <v>0</v>
      </c>
      <c r="L7117">
        <v>0</v>
      </c>
      <c r="M7117">
        <f>VLOOKUP(Table1[[#This Row],[subscription_type]],Plans!$A$1:$B$5,2,FALSE)</f>
        <v>0</v>
      </c>
      <c r="N7117">
        <f t="shared" si="111"/>
        <v>0</v>
      </c>
    </row>
    <row r="7118" spans="1:14" x14ac:dyDescent="0.35">
      <c r="A7118">
        <v>7117</v>
      </c>
      <c r="B7118" t="s">
        <v>16</v>
      </c>
      <c r="C7118">
        <v>48</v>
      </c>
      <c r="D7118" t="s">
        <v>17</v>
      </c>
      <c r="E7118" t="s">
        <v>24</v>
      </c>
      <c r="F7118">
        <v>55</v>
      </c>
      <c r="G7118">
        <v>98</v>
      </c>
      <c r="H7118">
        <v>0.13</v>
      </c>
      <c r="I7118" t="s">
        <v>23</v>
      </c>
      <c r="J7118">
        <v>0</v>
      </c>
      <c r="K7118">
        <v>1</v>
      </c>
      <c r="L7118">
        <v>0</v>
      </c>
      <c r="M7118">
        <f>VLOOKUP(Table1[[#This Row],[subscription_type]],Plans!$A$1:$B$5,2,FALSE)</f>
        <v>4.99</v>
      </c>
      <c r="N7118">
        <f t="shared" si="111"/>
        <v>0</v>
      </c>
    </row>
    <row r="7119" spans="1:14" x14ac:dyDescent="0.35">
      <c r="A7119">
        <v>7118</v>
      </c>
      <c r="B7119" t="s">
        <v>12</v>
      </c>
      <c r="C7119">
        <v>18</v>
      </c>
      <c r="D7119" t="s">
        <v>13</v>
      </c>
      <c r="E7119" t="s">
        <v>24</v>
      </c>
      <c r="F7119">
        <v>280</v>
      </c>
      <c r="G7119">
        <v>78</v>
      </c>
      <c r="H7119">
        <v>0.25</v>
      </c>
      <c r="I7119" t="s">
        <v>23</v>
      </c>
      <c r="J7119">
        <v>0</v>
      </c>
      <c r="K7119">
        <v>1</v>
      </c>
      <c r="L7119">
        <v>0</v>
      </c>
      <c r="M7119">
        <f>VLOOKUP(Table1[[#This Row],[subscription_type]],Plans!$A$1:$B$5,2,FALSE)</f>
        <v>4.99</v>
      </c>
      <c r="N7119">
        <f t="shared" si="111"/>
        <v>0</v>
      </c>
    </row>
    <row r="7120" spans="1:14" x14ac:dyDescent="0.35">
      <c r="A7120">
        <v>7119</v>
      </c>
      <c r="B7120" t="s">
        <v>16</v>
      </c>
      <c r="C7120">
        <v>18</v>
      </c>
      <c r="D7120" t="s">
        <v>29</v>
      </c>
      <c r="E7120" t="s">
        <v>14</v>
      </c>
      <c r="F7120">
        <v>238</v>
      </c>
      <c r="G7120">
        <v>88</v>
      </c>
      <c r="H7120">
        <v>0.22</v>
      </c>
      <c r="I7120" t="s">
        <v>23</v>
      </c>
      <c r="J7120">
        <v>42</v>
      </c>
      <c r="K7120">
        <v>0</v>
      </c>
      <c r="L7120">
        <v>0</v>
      </c>
      <c r="M7120">
        <f>VLOOKUP(Table1[[#This Row],[subscription_type]],Plans!$A$1:$B$5,2,FALSE)</f>
        <v>0</v>
      </c>
      <c r="N7120">
        <f t="shared" si="111"/>
        <v>0</v>
      </c>
    </row>
    <row r="7121" spans="1:14" x14ac:dyDescent="0.35">
      <c r="A7121">
        <v>7120</v>
      </c>
      <c r="B7121" t="s">
        <v>20</v>
      </c>
      <c r="C7121">
        <v>22</v>
      </c>
      <c r="D7121" t="s">
        <v>29</v>
      </c>
      <c r="E7121" t="s">
        <v>22</v>
      </c>
      <c r="F7121">
        <v>36</v>
      </c>
      <c r="G7121">
        <v>8</v>
      </c>
      <c r="H7121">
        <v>0.35</v>
      </c>
      <c r="I7121" t="s">
        <v>19</v>
      </c>
      <c r="J7121">
        <v>0</v>
      </c>
      <c r="K7121">
        <v>1</v>
      </c>
      <c r="L7121">
        <v>0</v>
      </c>
      <c r="M7121">
        <f>VLOOKUP(Table1[[#This Row],[subscription_type]],Plans!$A$1:$B$5,2,FALSE)</f>
        <v>9.99</v>
      </c>
      <c r="N7121">
        <f t="shared" si="111"/>
        <v>0</v>
      </c>
    </row>
    <row r="7122" spans="1:14" x14ac:dyDescent="0.35">
      <c r="A7122">
        <v>7121</v>
      </c>
      <c r="B7122" t="s">
        <v>16</v>
      </c>
      <c r="C7122">
        <v>38</v>
      </c>
      <c r="D7122" t="s">
        <v>21</v>
      </c>
      <c r="E7122" t="s">
        <v>24</v>
      </c>
      <c r="F7122">
        <v>78</v>
      </c>
      <c r="G7122">
        <v>50</v>
      </c>
      <c r="H7122">
        <v>0.15</v>
      </c>
      <c r="I7122" t="s">
        <v>23</v>
      </c>
      <c r="J7122">
        <v>0</v>
      </c>
      <c r="K7122">
        <v>1</v>
      </c>
      <c r="L7122">
        <v>1</v>
      </c>
      <c r="M7122">
        <f>VLOOKUP(Table1[[#This Row],[subscription_type]],Plans!$A$1:$B$5,2,FALSE)</f>
        <v>4.99</v>
      </c>
      <c r="N7122">
        <f t="shared" si="111"/>
        <v>4.99</v>
      </c>
    </row>
    <row r="7123" spans="1:14" x14ac:dyDescent="0.35">
      <c r="A7123">
        <v>7122</v>
      </c>
      <c r="B7123" t="s">
        <v>12</v>
      </c>
      <c r="C7123">
        <v>58</v>
      </c>
      <c r="D7123" t="s">
        <v>21</v>
      </c>
      <c r="E7123" t="s">
        <v>18</v>
      </c>
      <c r="F7123">
        <v>245</v>
      </c>
      <c r="G7123">
        <v>79</v>
      </c>
      <c r="H7123">
        <v>0.28999999999999998</v>
      </c>
      <c r="I7123" t="s">
        <v>15</v>
      </c>
      <c r="J7123">
        <v>0</v>
      </c>
      <c r="K7123">
        <v>1</v>
      </c>
      <c r="L7123">
        <v>0</v>
      </c>
      <c r="M7123">
        <f>VLOOKUP(Table1[[#This Row],[subscription_type]],Plans!$A$1:$B$5,2,FALSE)</f>
        <v>14.99</v>
      </c>
      <c r="N7123">
        <f t="shared" si="111"/>
        <v>0</v>
      </c>
    </row>
    <row r="7124" spans="1:14" x14ac:dyDescent="0.35">
      <c r="A7124">
        <v>7123</v>
      </c>
      <c r="B7124" t="s">
        <v>20</v>
      </c>
      <c r="C7124">
        <v>23</v>
      </c>
      <c r="D7124" t="s">
        <v>21</v>
      </c>
      <c r="E7124" t="s">
        <v>22</v>
      </c>
      <c r="F7124">
        <v>85</v>
      </c>
      <c r="G7124">
        <v>96</v>
      </c>
      <c r="H7124">
        <v>0.12</v>
      </c>
      <c r="I7124" t="s">
        <v>23</v>
      </c>
      <c r="J7124">
        <v>0</v>
      </c>
      <c r="K7124">
        <v>1</v>
      </c>
      <c r="L7124">
        <v>0</v>
      </c>
      <c r="M7124">
        <f>VLOOKUP(Table1[[#This Row],[subscription_type]],Plans!$A$1:$B$5,2,FALSE)</f>
        <v>9.99</v>
      </c>
      <c r="N7124">
        <f t="shared" si="111"/>
        <v>0</v>
      </c>
    </row>
    <row r="7125" spans="1:14" x14ac:dyDescent="0.35">
      <c r="A7125">
        <v>7124</v>
      </c>
      <c r="B7125" t="s">
        <v>20</v>
      </c>
      <c r="C7125">
        <v>29</v>
      </c>
      <c r="D7125" t="s">
        <v>29</v>
      </c>
      <c r="E7125" t="s">
        <v>14</v>
      </c>
      <c r="F7125">
        <v>90</v>
      </c>
      <c r="G7125">
        <v>75</v>
      </c>
      <c r="H7125">
        <v>0.52</v>
      </c>
      <c r="I7125" t="s">
        <v>19</v>
      </c>
      <c r="J7125">
        <v>16</v>
      </c>
      <c r="K7125">
        <v>0</v>
      </c>
      <c r="L7125">
        <v>0</v>
      </c>
      <c r="M7125">
        <f>VLOOKUP(Table1[[#This Row],[subscription_type]],Plans!$A$1:$B$5,2,FALSE)</f>
        <v>0</v>
      </c>
      <c r="N7125">
        <f t="shared" si="111"/>
        <v>0</v>
      </c>
    </row>
    <row r="7126" spans="1:14" x14ac:dyDescent="0.35">
      <c r="A7126">
        <v>7125</v>
      </c>
      <c r="B7126" t="s">
        <v>20</v>
      </c>
      <c r="C7126">
        <v>29</v>
      </c>
      <c r="D7126" t="s">
        <v>13</v>
      </c>
      <c r="E7126" t="s">
        <v>18</v>
      </c>
      <c r="F7126">
        <v>215</v>
      </c>
      <c r="G7126">
        <v>6</v>
      </c>
      <c r="H7126">
        <v>0.13</v>
      </c>
      <c r="I7126" t="s">
        <v>19</v>
      </c>
      <c r="J7126">
        <v>0</v>
      </c>
      <c r="K7126">
        <v>1</v>
      </c>
      <c r="L7126">
        <v>0</v>
      </c>
      <c r="M7126">
        <f>VLOOKUP(Table1[[#This Row],[subscription_type]],Plans!$A$1:$B$5,2,FALSE)</f>
        <v>14.99</v>
      </c>
      <c r="N7126">
        <f t="shared" si="111"/>
        <v>0</v>
      </c>
    </row>
    <row r="7127" spans="1:14" x14ac:dyDescent="0.35">
      <c r="A7127">
        <v>7126</v>
      </c>
      <c r="B7127" t="s">
        <v>12</v>
      </c>
      <c r="C7127">
        <v>56</v>
      </c>
      <c r="D7127" t="s">
        <v>25</v>
      </c>
      <c r="E7127" t="s">
        <v>24</v>
      </c>
      <c r="F7127">
        <v>63</v>
      </c>
      <c r="G7127">
        <v>83</v>
      </c>
      <c r="H7127">
        <v>0.47</v>
      </c>
      <c r="I7127" t="s">
        <v>19</v>
      </c>
      <c r="J7127">
        <v>0</v>
      </c>
      <c r="K7127">
        <v>1</v>
      </c>
      <c r="L7127">
        <v>0</v>
      </c>
      <c r="M7127">
        <f>VLOOKUP(Table1[[#This Row],[subscription_type]],Plans!$A$1:$B$5,2,FALSE)</f>
        <v>4.99</v>
      </c>
      <c r="N7127">
        <f t="shared" si="111"/>
        <v>0</v>
      </c>
    </row>
    <row r="7128" spans="1:14" x14ac:dyDescent="0.35">
      <c r="A7128">
        <v>7127</v>
      </c>
      <c r="B7128" t="s">
        <v>16</v>
      </c>
      <c r="C7128">
        <v>58</v>
      </c>
      <c r="D7128" t="s">
        <v>28</v>
      </c>
      <c r="E7128" t="s">
        <v>24</v>
      </c>
      <c r="F7128">
        <v>185</v>
      </c>
      <c r="G7128">
        <v>68</v>
      </c>
      <c r="H7128">
        <v>0.57999999999999996</v>
      </c>
      <c r="I7128" t="s">
        <v>19</v>
      </c>
      <c r="J7128">
        <v>0</v>
      </c>
      <c r="K7128">
        <v>1</v>
      </c>
      <c r="L7128">
        <v>0</v>
      </c>
      <c r="M7128">
        <f>VLOOKUP(Table1[[#This Row],[subscription_type]],Plans!$A$1:$B$5,2,FALSE)</f>
        <v>4.99</v>
      </c>
      <c r="N7128">
        <f t="shared" si="111"/>
        <v>0</v>
      </c>
    </row>
    <row r="7129" spans="1:14" x14ac:dyDescent="0.35">
      <c r="A7129">
        <v>7128</v>
      </c>
      <c r="B7129" t="s">
        <v>16</v>
      </c>
      <c r="C7129">
        <v>57</v>
      </c>
      <c r="D7129" t="s">
        <v>29</v>
      </c>
      <c r="E7129" t="s">
        <v>24</v>
      </c>
      <c r="F7129">
        <v>160</v>
      </c>
      <c r="G7129">
        <v>47</v>
      </c>
      <c r="H7129">
        <v>0.27</v>
      </c>
      <c r="I7129" t="s">
        <v>23</v>
      </c>
      <c r="J7129">
        <v>0</v>
      </c>
      <c r="K7129">
        <v>1</v>
      </c>
      <c r="L7129">
        <v>1</v>
      </c>
      <c r="M7129">
        <f>VLOOKUP(Table1[[#This Row],[subscription_type]],Plans!$A$1:$B$5,2,FALSE)</f>
        <v>4.99</v>
      </c>
      <c r="N7129">
        <f t="shared" si="111"/>
        <v>4.99</v>
      </c>
    </row>
    <row r="7130" spans="1:14" x14ac:dyDescent="0.35">
      <c r="A7130">
        <v>7129</v>
      </c>
      <c r="B7130" t="s">
        <v>20</v>
      </c>
      <c r="C7130">
        <v>47</v>
      </c>
      <c r="D7130" t="s">
        <v>13</v>
      </c>
      <c r="E7130" t="s">
        <v>22</v>
      </c>
      <c r="F7130">
        <v>151</v>
      </c>
      <c r="G7130">
        <v>36</v>
      </c>
      <c r="H7130">
        <v>0.59</v>
      </c>
      <c r="I7130" t="s">
        <v>19</v>
      </c>
      <c r="J7130">
        <v>0</v>
      </c>
      <c r="K7130">
        <v>1</v>
      </c>
      <c r="L7130">
        <v>0</v>
      </c>
      <c r="M7130">
        <f>VLOOKUP(Table1[[#This Row],[subscription_type]],Plans!$A$1:$B$5,2,FALSE)</f>
        <v>9.99</v>
      </c>
      <c r="N7130">
        <f t="shared" si="111"/>
        <v>0</v>
      </c>
    </row>
    <row r="7131" spans="1:14" x14ac:dyDescent="0.35">
      <c r="A7131">
        <v>7130</v>
      </c>
      <c r="B7131" t="s">
        <v>16</v>
      </c>
      <c r="C7131">
        <v>37</v>
      </c>
      <c r="D7131" t="s">
        <v>26</v>
      </c>
      <c r="E7131" t="s">
        <v>14</v>
      </c>
      <c r="F7131">
        <v>275</v>
      </c>
      <c r="G7131">
        <v>95</v>
      </c>
      <c r="H7131">
        <v>0.31</v>
      </c>
      <c r="I7131" t="s">
        <v>19</v>
      </c>
      <c r="J7131">
        <v>47</v>
      </c>
      <c r="K7131">
        <v>0</v>
      </c>
      <c r="L7131">
        <v>0</v>
      </c>
      <c r="M7131">
        <f>VLOOKUP(Table1[[#This Row],[subscription_type]],Plans!$A$1:$B$5,2,FALSE)</f>
        <v>0</v>
      </c>
      <c r="N7131">
        <f t="shared" si="111"/>
        <v>0</v>
      </c>
    </row>
    <row r="7132" spans="1:14" x14ac:dyDescent="0.35">
      <c r="A7132">
        <v>7131</v>
      </c>
      <c r="B7132" t="s">
        <v>20</v>
      </c>
      <c r="C7132">
        <v>27</v>
      </c>
      <c r="D7132" t="s">
        <v>27</v>
      </c>
      <c r="E7132" t="s">
        <v>24</v>
      </c>
      <c r="F7132">
        <v>31</v>
      </c>
      <c r="G7132">
        <v>45</v>
      </c>
      <c r="H7132">
        <v>0.18</v>
      </c>
      <c r="I7132" t="s">
        <v>23</v>
      </c>
      <c r="J7132">
        <v>0</v>
      </c>
      <c r="K7132">
        <v>1</v>
      </c>
      <c r="L7132">
        <v>0</v>
      </c>
      <c r="M7132">
        <f>VLOOKUP(Table1[[#This Row],[subscription_type]],Plans!$A$1:$B$5,2,FALSE)</f>
        <v>4.99</v>
      </c>
      <c r="N7132">
        <f t="shared" si="111"/>
        <v>0</v>
      </c>
    </row>
    <row r="7133" spans="1:14" x14ac:dyDescent="0.35">
      <c r="A7133">
        <v>7132</v>
      </c>
      <c r="B7133" t="s">
        <v>20</v>
      </c>
      <c r="C7133">
        <v>41</v>
      </c>
      <c r="D7133" t="s">
        <v>17</v>
      </c>
      <c r="E7133" t="s">
        <v>18</v>
      </c>
      <c r="F7133">
        <v>170</v>
      </c>
      <c r="G7133">
        <v>18</v>
      </c>
      <c r="H7133">
        <v>0.55000000000000004</v>
      </c>
      <c r="I7133" t="s">
        <v>19</v>
      </c>
      <c r="J7133">
        <v>0</v>
      </c>
      <c r="K7133">
        <v>1</v>
      </c>
      <c r="L7133">
        <v>0</v>
      </c>
      <c r="M7133">
        <f>VLOOKUP(Table1[[#This Row],[subscription_type]],Plans!$A$1:$B$5,2,FALSE)</f>
        <v>14.99</v>
      </c>
      <c r="N7133">
        <f t="shared" si="111"/>
        <v>0</v>
      </c>
    </row>
    <row r="7134" spans="1:14" x14ac:dyDescent="0.35">
      <c r="A7134">
        <v>7133</v>
      </c>
      <c r="B7134" t="s">
        <v>20</v>
      </c>
      <c r="C7134">
        <v>46</v>
      </c>
      <c r="D7134" t="s">
        <v>25</v>
      </c>
      <c r="E7134" t="s">
        <v>24</v>
      </c>
      <c r="F7134">
        <v>72</v>
      </c>
      <c r="G7134">
        <v>33</v>
      </c>
      <c r="H7134">
        <v>0.48</v>
      </c>
      <c r="I7134" t="s">
        <v>23</v>
      </c>
      <c r="J7134">
        <v>0</v>
      </c>
      <c r="K7134">
        <v>1</v>
      </c>
      <c r="L7134">
        <v>1</v>
      </c>
      <c r="M7134">
        <f>VLOOKUP(Table1[[#This Row],[subscription_type]],Plans!$A$1:$B$5,2,FALSE)</f>
        <v>4.99</v>
      </c>
      <c r="N7134">
        <f t="shared" si="111"/>
        <v>4.99</v>
      </c>
    </row>
    <row r="7135" spans="1:14" x14ac:dyDescent="0.35">
      <c r="A7135">
        <v>7134</v>
      </c>
      <c r="B7135" t="s">
        <v>16</v>
      </c>
      <c r="C7135">
        <v>47</v>
      </c>
      <c r="D7135" t="s">
        <v>21</v>
      </c>
      <c r="E7135" t="s">
        <v>22</v>
      </c>
      <c r="F7135">
        <v>277</v>
      </c>
      <c r="G7135">
        <v>13</v>
      </c>
      <c r="H7135">
        <v>0.49</v>
      </c>
      <c r="I7135" t="s">
        <v>15</v>
      </c>
      <c r="J7135">
        <v>0</v>
      </c>
      <c r="K7135">
        <v>1</v>
      </c>
      <c r="L7135">
        <v>0</v>
      </c>
      <c r="M7135">
        <f>VLOOKUP(Table1[[#This Row],[subscription_type]],Plans!$A$1:$B$5,2,FALSE)</f>
        <v>9.99</v>
      </c>
      <c r="N7135">
        <f t="shared" si="111"/>
        <v>0</v>
      </c>
    </row>
    <row r="7136" spans="1:14" x14ac:dyDescent="0.35">
      <c r="A7136">
        <v>7135</v>
      </c>
      <c r="B7136" t="s">
        <v>12</v>
      </c>
      <c r="C7136">
        <v>38</v>
      </c>
      <c r="D7136" t="s">
        <v>26</v>
      </c>
      <c r="E7136" t="s">
        <v>24</v>
      </c>
      <c r="F7136">
        <v>194</v>
      </c>
      <c r="G7136">
        <v>98</v>
      </c>
      <c r="H7136">
        <v>0.24</v>
      </c>
      <c r="I7136" t="s">
        <v>19</v>
      </c>
      <c r="J7136">
        <v>0</v>
      </c>
      <c r="K7136">
        <v>1</v>
      </c>
      <c r="L7136">
        <v>0</v>
      </c>
      <c r="M7136">
        <f>VLOOKUP(Table1[[#This Row],[subscription_type]],Plans!$A$1:$B$5,2,FALSE)</f>
        <v>4.99</v>
      </c>
      <c r="N7136">
        <f t="shared" si="111"/>
        <v>0</v>
      </c>
    </row>
    <row r="7137" spans="1:14" x14ac:dyDescent="0.35">
      <c r="A7137">
        <v>7136</v>
      </c>
      <c r="B7137" t="s">
        <v>12</v>
      </c>
      <c r="C7137">
        <v>52</v>
      </c>
      <c r="D7137" t="s">
        <v>17</v>
      </c>
      <c r="E7137" t="s">
        <v>18</v>
      </c>
      <c r="F7137">
        <v>276</v>
      </c>
      <c r="G7137">
        <v>71</v>
      </c>
      <c r="H7137">
        <v>0.02</v>
      </c>
      <c r="I7137" t="s">
        <v>15</v>
      </c>
      <c r="J7137">
        <v>0</v>
      </c>
      <c r="K7137">
        <v>1</v>
      </c>
      <c r="L7137">
        <v>1</v>
      </c>
      <c r="M7137">
        <f>VLOOKUP(Table1[[#This Row],[subscription_type]],Plans!$A$1:$B$5,2,FALSE)</f>
        <v>14.99</v>
      </c>
      <c r="N7137">
        <f t="shared" si="111"/>
        <v>14.99</v>
      </c>
    </row>
    <row r="7138" spans="1:14" x14ac:dyDescent="0.35">
      <c r="A7138">
        <v>7137</v>
      </c>
      <c r="B7138" t="s">
        <v>12</v>
      </c>
      <c r="C7138">
        <v>50</v>
      </c>
      <c r="D7138" t="s">
        <v>25</v>
      </c>
      <c r="E7138" t="s">
        <v>18</v>
      </c>
      <c r="F7138">
        <v>233</v>
      </c>
      <c r="G7138">
        <v>11</v>
      </c>
      <c r="H7138">
        <v>0.13</v>
      </c>
      <c r="I7138" t="s">
        <v>19</v>
      </c>
      <c r="J7138">
        <v>0</v>
      </c>
      <c r="K7138">
        <v>1</v>
      </c>
      <c r="L7138">
        <v>0</v>
      </c>
      <c r="M7138">
        <f>VLOOKUP(Table1[[#This Row],[subscription_type]],Plans!$A$1:$B$5,2,FALSE)</f>
        <v>14.99</v>
      </c>
      <c r="N7138">
        <f t="shared" si="111"/>
        <v>0</v>
      </c>
    </row>
    <row r="7139" spans="1:14" x14ac:dyDescent="0.35">
      <c r="A7139">
        <v>7138</v>
      </c>
      <c r="B7139" t="s">
        <v>16</v>
      </c>
      <c r="C7139">
        <v>45</v>
      </c>
      <c r="D7139" t="s">
        <v>29</v>
      </c>
      <c r="E7139" t="s">
        <v>24</v>
      </c>
      <c r="F7139">
        <v>75</v>
      </c>
      <c r="G7139">
        <v>43</v>
      </c>
      <c r="H7139">
        <v>0.41</v>
      </c>
      <c r="I7139" t="s">
        <v>15</v>
      </c>
      <c r="J7139">
        <v>0</v>
      </c>
      <c r="K7139">
        <v>1</v>
      </c>
      <c r="L7139">
        <v>0</v>
      </c>
      <c r="M7139">
        <f>VLOOKUP(Table1[[#This Row],[subscription_type]],Plans!$A$1:$B$5,2,FALSE)</f>
        <v>4.99</v>
      </c>
      <c r="N7139">
        <f t="shared" si="111"/>
        <v>0</v>
      </c>
    </row>
    <row r="7140" spans="1:14" x14ac:dyDescent="0.35">
      <c r="A7140">
        <v>7139</v>
      </c>
      <c r="B7140" t="s">
        <v>12</v>
      </c>
      <c r="C7140">
        <v>56</v>
      </c>
      <c r="D7140" t="s">
        <v>25</v>
      </c>
      <c r="E7140" t="s">
        <v>18</v>
      </c>
      <c r="F7140">
        <v>75</v>
      </c>
      <c r="G7140">
        <v>62</v>
      </c>
      <c r="H7140">
        <v>0.3</v>
      </c>
      <c r="I7140" t="s">
        <v>19</v>
      </c>
      <c r="J7140">
        <v>0</v>
      </c>
      <c r="K7140">
        <v>1</v>
      </c>
      <c r="L7140">
        <v>0</v>
      </c>
      <c r="M7140">
        <f>VLOOKUP(Table1[[#This Row],[subscription_type]],Plans!$A$1:$B$5,2,FALSE)</f>
        <v>14.99</v>
      </c>
      <c r="N7140">
        <f t="shared" si="111"/>
        <v>0</v>
      </c>
    </row>
    <row r="7141" spans="1:14" x14ac:dyDescent="0.35">
      <c r="A7141">
        <v>7140</v>
      </c>
      <c r="B7141" t="s">
        <v>20</v>
      </c>
      <c r="C7141">
        <v>30</v>
      </c>
      <c r="D7141" t="s">
        <v>26</v>
      </c>
      <c r="E7141" t="s">
        <v>24</v>
      </c>
      <c r="F7141">
        <v>21</v>
      </c>
      <c r="G7141">
        <v>62</v>
      </c>
      <c r="H7141">
        <v>0.09</v>
      </c>
      <c r="I7141" t="s">
        <v>23</v>
      </c>
      <c r="J7141">
        <v>0</v>
      </c>
      <c r="K7141">
        <v>1</v>
      </c>
      <c r="L7141">
        <v>0</v>
      </c>
      <c r="M7141">
        <f>VLOOKUP(Table1[[#This Row],[subscription_type]],Plans!$A$1:$B$5,2,FALSE)</f>
        <v>4.99</v>
      </c>
      <c r="N7141">
        <f t="shared" si="111"/>
        <v>0</v>
      </c>
    </row>
    <row r="7142" spans="1:14" x14ac:dyDescent="0.35">
      <c r="A7142">
        <v>7141</v>
      </c>
      <c r="B7142" t="s">
        <v>20</v>
      </c>
      <c r="C7142">
        <v>37</v>
      </c>
      <c r="D7142" t="s">
        <v>21</v>
      </c>
      <c r="E7142" t="s">
        <v>24</v>
      </c>
      <c r="F7142">
        <v>171</v>
      </c>
      <c r="G7142">
        <v>77</v>
      </c>
      <c r="H7142">
        <v>0.5</v>
      </c>
      <c r="I7142" t="s">
        <v>23</v>
      </c>
      <c r="J7142">
        <v>0</v>
      </c>
      <c r="K7142">
        <v>1</v>
      </c>
      <c r="L7142">
        <v>0</v>
      </c>
      <c r="M7142">
        <f>VLOOKUP(Table1[[#This Row],[subscription_type]],Plans!$A$1:$B$5,2,FALSE)</f>
        <v>4.99</v>
      </c>
      <c r="N7142">
        <f t="shared" si="111"/>
        <v>0</v>
      </c>
    </row>
    <row r="7143" spans="1:14" x14ac:dyDescent="0.35">
      <c r="A7143">
        <v>7142</v>
      </c>
      <c r="B7143" t="s">
        <v>20</v>
      </c>
      <c r="C7143">
        <v>23</v>
      </c>
      <c r="D7143" t="s">
        <v>27</v>
      </c>
      <c r="E7143" t="s">
        <v>14</v>
      </c>
      <c r="F7143">
        <v>204</v>
      </c>
      <c r="G7143">
        <v>36</v>
      </c>
      <c r="H7143">
        <v>7.0000000000000007E-2</v>
      </c>
      <c r="I7143" t="s">
        <v>19</v>
      </c>
      <c r="J7143">
        <v>35</v>
      </c>
      <c r="K7143">
        <v>0</v>
      </c>
      <c r="L7143">
        <v>0</v>
      </c>
      <c r="M7143">
        <f>VLOOKUP(Table1[[#This Row],[subscription_type]],Plans!$A$1:$B$5,2,FALSE)</f>
        <v>0</v>
      </c>
      <c r="N7143">
        <f t="shared" si="111"/>
        <v>0</v>
      </c>
    </row>
    <row r="7144" spans="1:14" x14ac:dyDescent="0.35">
      <c r="A7144">
        <v>7143</v>
      </c>
      <c r="B7144" t="s">
        <v>16</v>
      </c>
      <c r="C7144">
        <v>59</v>
      </c>
      <c r="D7144" t="s">
        <v>27</v>
      </c>
      <c r="E7144" t="s">
        <v>24</v>
      </c>
      <c r="F7144">
        <v>136</v>
      </c>
      <c r="G7144">
        <v>36</v>
      </c>
      <c r="H7144">
        <v>0.21</v>
      </c>
      <c r="I7144" t="s">
        <v>15</v>
      </c>
      <c r="J7144">
        <v>0</v>
      </c>
      <c r="K7144">
        <v>1</v>
      </c>
      <c r="L7144">
        <v>1</v>
      </c>
      <c r="M7144">
        <f>VLOOKUP(Table1[[#This Row],[subscription_type]],Plans!$A$1:$B$5,2,FALSE)</f>
        <v>4.99</v>
      </c>
      <c r="N7144">
        <f t="shared" si="111"/>
        <v>4.99</v>
      </c>
    </row>
    <row r="7145" spans="1:14" x14ac:dyDescent="0.35">
      <c r="A7145">
        <v>7144</v>
      </c>
      <c r="B7145" t="s">
        <v>16</v>
      </c>
      <c r="C7145">
        <v>24</v>
      </c>
      <c r="D7145" t="s">
        <v>17</v>
      </c>
      <c r="E7145" t="s">
        <v>14</v>
      </c>
      <c r="F7145">
        <v>42</v>
      </c>
      <c r="G7145">
        <v>28</v>
      </c>
      <c r="H7145">
        <v>0.6</v>
      </c>
      <c r="I7145" t="s">
        <v>19</v>
      </c>
      <c r="J7145">
        <v>5</v>
      </c>
      <c r="K7145">
        <v>0</v>
      </c>
      <c r="L7145">
        <v>0</v>
      </c>
      <c r="M7145">
        <f>VLOOKUP(Table1[[#This Row],[subscription_type]],Plans!$A$1:$B$5,2,FALSE)</f>
        <v>0</v>
      </c>
      <c r="N7145">
        <f t="shared" si="111"/>
        <v>0</v>
      </c>
    </row>
    <row r="7146" spans="1:14" x14ac:dyDescent="0.35">
      <c r="A7146">
        <v>7145</v>
      </c>
      <c r="B7146" t="s">
        <v>16</v>
      </c>
      <c r="C7146">
        <v>40</v>
      </c>
      <c r="D7146" t="s">
        <v>28</v>
      </c>
      <c r="E7146" t="s">
        <v>14</v>
      </c>
      <c r="F7146">
        <v>294</v>
      </c>
      <c r="G7146">
        <v>35</v>
      </c>
      <c r="H7146">
        <v>0.22</v>
      </c>
      <c r="I7146" t="s">
        <v>19</v>
      </c>
      <c r="J7146">
        <v>17</v>
      </c>
      <c r="K7146">
        <v>0</v>
      </c>
      <c r="L7146">
        <v>0</v>
      </c>
      <c r="M7146">
        <f>VLOOKUP(Table1[[#This Row],[subscription_type]],Plans!$A$1:$B$5,2,FALSE)</f>
        <v>0</v>
      </c>
      <c r="N7146">
        <f t="shared" si="111"/>
        <v>0</v>
      </c>
    </row>
    <row r="7147" spans="1:14" x14ac:dyDescent="0.35">
      <c r="A7147">
        <v>7146</v>
      </c>
      <c r="B7147" t="s">
        <v>16</v>
      </c>
      <c r="C7147">
        <v>54</v>
      </c>
      <c r="D7147" t="s">
        <v>28</v>
      </c>
      <c r="E7147" t="s">
        <v>18</v>
      </c>
      <c r="F7147">
        <v>125</v>
      </c>
      <c r="G7147">
        <v>56</v>
      </c>
      <c r="H7147">
        <v>0.05</v>
      </c>
      <c r="I7147" t="s">
        <v>19</v>
      </c>
      <c r="J7147">
        <v>0</v>
      </c>
      <c r="K7147">
        <v>1</v>
      </c>
      <c r="L7147">
        <v>0</v>
      </c>
      <c r="M7147">
        <f>VLOOKUP(Table1[[#This Row],[subscription_type]],Plans!$A$1:$B$5,2,FALSE)</f>
        <v>14.99</v>
      </c>
      <c r="N7147">
        <f t="shared" si="111"/>
        <v>0</v>
      </c>
    </row>
    <row r="7148" spans="1:14" x14ac:dyDescent="0.35">
      <c r="A7148">
        <v>7147</v>
      </c>
      <c r="B7148" t="s">
        <v>20</v>
      </c>
      <c r="C7148">
        <v>54</v>
      </c>
      <c r="D7148" t="s">
        <v>21</v>
      </c>
      <c r="E7148" t="s">
        <v>14</v>
      </c>
      <c r="F7148">
        <v>184</v>
      </c>
      <c r="G7148">
        <v>45</v>
      </c>
      <c r="H7148">
        <v>0.38</v>
      </c>
      <c r="I7148" t="s">
        <v>23</v>
      </c>
      <c r="J7148">
        <v>39</v>
      </c>
      <c r="K7148">
        <v>0</v>
      </c>
      <c r="L7148">
        <v>0</v>
      </c>
      <c r="M7148">
        <f>VLOOKUP(Table1[[#This Row],[subscription_type]],Plans!$A$1:$B$5,2,FALSE)</f>
        <v>0</v>
      </c>
      <c r="N7148">
        <f t="shared" si="111"/>
        <v>0</v>
      </c>
    </row>
    <row r="7149" spans="1:14" x14ac:dyDescent="0.35">
      <c r="A7149">
        <v>7148</v>
      </c>
      <c r="B7149" t="s">
        <v>20</v>
      </c>
      <c r="C7149">
        <v>41</v>
      </c>
      <c r="D7149" t="s">
        <v>25</v>
      </c>
      <c r="E7149" t="s">
        <v>22</v>
      </c>
      <c r="F7149">
        <v>210</v>
      </c>
      <c r="G7149">
        <v>34</v>
      </c>
      <c r="H7149">
        <v>0.04</v>
      </c>
      <c r="I7149" t="s">
        <v>19</v>
      </c>
      <c r="J7149">
        <v>0</v>
      </c>
      <c r="K7149">
        <v>1</v>
      </c>
      <c r="L7149">
        <v>0</v>
      </c>
      <c r="M7149">
        <f>VLOOKUP(Table1[[#This Row],[subscription_type]],Plans!$A$1:$B$5,2,FALSE)</f>
        <v>9.99</v>
      </c>
      <c r="N7149">
        <f t="shared" si="111"/>
        <v>0</v>
      </c>
    </row>
    <row r="7150" spans="1:14" x14ac:dyDescent="0.35">
      <c r="A7150">
        <v>7149</v>
      </c>
      <c r="B7150" t="s">
        <v>12</v>
      </c>
      <c r="C7150">
        <v>58</v>
      </c>
      <c r="D7150" t="s">
        <v>21</v>
      </c>
      <c r="E7150" t="s">
        <v>24</v>
      </c>
      <c r="F7150">
        <v>239</v>
      </c>
      <c r="G7150">
        <v>93</v>
      </c>
      <c r="H7150">
        <v>0.05</v>
      </c>
      <c r="I7150" t="s">
        <v>15</v>
      </c>
      <c r="J7150">
        <v>0</v>
      </c>
      <c r="K7150">
        <v>1</v>
      </c>
      <c r="L7150">
        <v>1</v>
      </c>
      <c r="M7150">
        <f>VLOOKUP(Table1[[#This Row],[subscription_type]],Plans!$A$1:$B$5,2,FALSE)</f>
        <v>4.99</v>
      </c>
      <c r="N7150">
        <f t="shared" si="111"/>
        <v>4.99</v>
      </c>
    </row>
    <row r="7151" spans="1:14" x14ac:dyDescent="0.35">
      <c r="A7151">
        <v>7150</v>
      </c>
      <c r="B7151" t="s">
        <v>12</v>
      </c>
      <c r="C7151">
        <v>40</v>
      </c>
      <c r="D7151" t="s">
        <v>17</v>
      </c>
      <c r="E7151" t="s">
        <v>24</v>
      </c>
      <c r="F7151">
        <v>220</v>
      </c>
      <c r="G7151">
        <v>86</v>
      </c>
      <c r="H7151">
        <v>0.42</v>
      </c>
      <c r="I7151" t="s">
        <v>19</v>
      </c>
      <c r="J7151">
        <v>0</v>
      </c>
      <c r="K7151">
        <v>1</v>
      </c>
      <c r="L7151">
        <v>1</v>
      </c>
      <c r="M7151">
        <f>VLOOKUP(Table1[[#This Row],[subscription_type]],Plans!$A$1:$B$5,2,FALSE)</f>
        <v>4.99</v>
      </c>
      <c r="N7151">
        <f t="shared" si="111"/>
        <v>4.99</v>
      </c>
    </row>
    <row r="7152" spans="1:14" x14ac:dyDescent="0.35">
      <c r="A7152">
        <v>7151</v>
      </c>
      <c r="B7152" t="s">
        <v>16</v>
      </c>
      <c r="C7152">
        <v>45</v>
      </c>
      <c r="D7152" t="s">
        <v>28</v>
      </c>
      <c r="E7152" t="s">
        <v>22</v>
      </c>
      <c r="F7152">
        <v>57</v>
      </c>
      <c r="G7152">
        <v>62</v>
      </c>
      <c r="H7152">
        <v>0.01</v>
      </c>
      <c r="I7152" t="s">
        <v>19</v>
      </c>
      <c r="J7152">
        <v>0</v>
      </c>
      <c r="K7152">
        <v>1</v>
      </c>
      <c r="L7152">
        <v>0</v>
      </c>
      <c r="M7152">
        <f>VLOOKUP(Table1[[#This Row],[subscription_type]],Plans!$A$1:$B$5,2,FALSE)</f>
        <v>9.99</v>
      </c>
      <c r="N7152">
        <f t="shared" si="111"/>
        <v>0</v>
      </c>
    </row>
    <row r="7153" spans="1:14" x14ac:dyDescent="0.35">
      <c r="A7153">
        <v>7152</v>
      </c>
      <c r="B7153" t="s">
        <v>20</v>
      </c>
      <c r="C7153">
        <v>31</v>
      </c>
      <c r="D7153" t="s">
        <v>27</v>
      </c>
      <c r="E7153" t="s">
        <v>14</v>
      </c>
      <c r="F7153">
        <v>79</v>
      </c>
      <c r="G7153">
        <v>40</v>
      </c>
      <c r="H7153">
        <v>0.18</v>
      </c>
      <c r="I7153" t="s">
        <v>19</v>
      </c>
      <c r="J7153">
        <v>23</v>
      </c>
      <c r="K7153">
        <v>0</v>
      </c>
      <c r="L7153">
        <v>1</v>
      </c>
      <c r="M7153">
        <f>VLOOKUP(Table1[[#This Row],[subscription_type]],Plans!$A$1:$B$5,2,FALSE)</f>
        <v>0</v>
      </c>
      <c r="N7153">
        <f t="shared" si="111"/>
        <v>0</v>
      </c>
    </row>
    <row r="7154" spans="1:14" x14ac:dyDescent="0.35">
      <c r="A7154">
        <v>7153</v>
      </c>
      <c r="B7154" t="s">
        <v>16</v>
      </c>
      <c r="C7154">
        <v>55</v>
      </c>
      <c r="D7154" t="s">
        <v>29</v>
      </c>
      <c r="E7154" t="s">
        <v>22</v>
      </c>
      <c r="F7154">
        <v>41</v>
      </c>
      <c r="G7154">
        <v>62</v>
      </c>
      <c r="H7154">
        <v>0.35</v>
      </c>
      <c r="I7154" t="s">
        <v>15</v>
      </c>
      <c r="J7154">
        <v>0</v>
      </c>
      <c r="K7154">
        <v>1</v>
      </c>
      <c r="L7154">
        <v>0</v>
      </c>
      <c r="M7154">
        <f>VLOOKUP(Table1[[#This Row],[subscription_type]],Plans!$A$1:$B$5,2,FALSE)</f>
        <v>9.99</v>
      </c>
      <c r="N7154">
        <f t="shared" si="111"/>
        <v>0</v>
      </c>
    </row>
    <row r="7155" spans="1:14" x14ac:dyDescent="0.35">
      <c r="A7155">
        <v>7154</v>
      </c>
      <c r="B7155" t="s">
        <v>16</v>
      </c>
      <c r="C7155">
        <v>43</v>
      </c>
      <c r="D7155" t="s">
        <v>17</v>
      </c>
      <c r="E7155" t="s">
        <v>24</v>
      </c>
      <c r="F7155">
        <v>127</v>
      </c>
      <c r="G7155">
        <v>36</v>
      </c>
      <c r="H7155">
        <v>0.4</v>
      </c>
      <c r="I7155" t="s">
        <v>15</v>
      </c>
      <c r="J7155">
        <v>0</v>
      </c>
      <c r="K7155">
        <v>1</v>
      </c>
      <c r="L7155">
        <v>0</v>
      </c>
      <c r="M7155">
        <f>VLOOKUP(Table1[[#This Row],[subscription_type]],Plans!$A$1:$B$5,2,FALSE)</f>
        <v>4.99</v>
      </c>
      <c r="N7155">
        <f t="shared" si="111"/>
        <v>0</v>
      </c>
    </row>
    <row r="7156" spans="1:14" x14ac:dyDescent="0.35">
      <c r="A7156">
        <v>7155</v>
      </c>
      <c r="B7156" t="s">
        <v>20</v>
      </c>
      <c r="C7156">
        <v>35</v>
      </c>
      <c r="D7156" t="s">
        <v>13</v>
      </c>
      <c r="E7156" t="s">
        <v>24</v>
      </c>
      <c r="F7156">
        <v>64</v>
      </c>
      <c r="G7156">
        <v>64</v>
      </c>
      <c r="H7156">
        <v>0.37</v>
      </c>
      <c r="I7156" t="s">
        <v>15</v>
      </c>
      <c r="J7156">
        <v>0</v>
      </c>
      <c r="K7156">
        <v>1</v>
      </c>
      <c r="L7156">
        <v>1</v>
      </c>
      <c r="M7156">
        <f>VLOOKUP(Table1[[#This Row],[subscription_type]],Plans!$A$1:$B$5,2,FALSE)</f>
        <v>4.99</v>
      </c>
      <c r="N7156">
        <f t="shared" si="111"/>
        <v>4.99</v>
      </c>
    </row>
    <row r="7157" spans="1:14" x14ac:dyDescent="0.35">
      <c r="A7157">
        <v>7156</v>
      </c>
      <c r="B7157" t="s">
        <v>20</v>
      </c>
      <c r="C7157">
        <v>36</v>
      </c>
      <c r="D7157" t="s">
        <v>26</v>
      </c>
      <c r="E7157" t="s">
        <v>18</v>
      </c>
      <c r="F7157">
        <v>34</v>
      </c>
      <c r="G7157">
        <v>50</v>
      </c>
      <c r="H7157">
        <v>0.54</v>
      </c>
      <c r="I7157" t="s">
        <v>23</v>
      </c>
      <c r="J7157">
        <v>0</v>
      </c>
      <c r="K7157">
        <v>1</v>
      </c>
      <c r="L7157">
        <v>0</v>
      </c>
      <c r="M7157">
        <f>VLOOKUP(Table1[[#This Row],[subscription_type]],Plans!$A$1:$B$5,2,FALSE)</f>
        <v>14.99</v>
      </c>
      <c r="N7157">
        <f t="shared" si="111"/>
        <v>0</v>
      </c>
    </row>
    <row r="7158" spans="1:14" x14ac:dyDescent="0.35">
      <c r="A7158">
        <v>7157</v>
      </c>
      <c r="B7158" t="s">
        <v>16</v>
      </c>
      <c r="C7158">
        <v>42</v>
      </c>
      <c r="D7158" t="s">
        <v>29</v>
      </c>
      <c r="E7158" t="s">
        <v>18</v>
      </c>
      <c r="F7158">
        <v>235</v>
      </c>
      <c r="G7158">
        <v>68</v>
      </c>
      <c r="H7158">
        <v>7.0000000000000007E-2</v>
      </c>
      <c r="I7158" t="s">
        <v>19</v>
      </c>
      <c r="J7158">
        <v>0</v>
      </c>
      <c r="K7158">
        <v>1</v>
      </c>
      <c r="L7158">
        <v>0</v>
      </c>
      <c r="M7158">
        <f>VLOOKUP(Table1[[#This Row],[subscription_type]],Plans!$A$1:$B$5,2,FALSE)</f>
        <v>14.99</v>
      </c>
      <c r="N7158">
        <f t="shared" si="111"/>
        <v>0</v>
      </c>
    </row>
    <row r="7159" spans="1:14" x14ac:dyDescent="0.35">
      <c r="A7159">
        <v>7158</v>
      </c>
      <c r="B7159" t="s">
        <v>16</v>
      </c>
      <c r="C7159">
        <v>46</v>
      </c>
      <c r="D7159" t="s">
        <v>29</v>
      </c>
      <c r="E7159" t="s">
        <v>18</v>
      </c>
      <c r="F7159">
        <v>297</v>
      </c>
      <c r="G7159">
        <v>88</v>
      </c>
      <c r="H7159">
        <v>0.14000000000000001</v>
      </c>
      <c r="I7159" t="s">
        <v>23</v>
      </c>
      <c r="J7159">
        <v>0</v>
      </c>
      <c r="K7159">
        <v>1</v>
      </c>
      <c r="L7159">
        <v>0</v>
      </c>
      <c r="M7159">
        <f>VLOOKUP(Table1[[#This Row],[subscription_type]],Plans!$A$1:$B$5,2,FALSE)</f>
        <v>14.99</v>
      </c>
      <c r="N7159">
        <f t="shared" si="111"/>
        <v>0</v>
      </c>
    </row>
    <row r="7160" spans="1:14" x14ac:dyDescent="0.35">
      <c r="A7160">
        <v>7159</v>
      </c>
      <c r="B7160" t="s">
        <v>16</v>
      </c>
      <c r="C7160">
        <v>40</v>
      </c>
      <c r="D7160" t="s">
        <v>29</v>
      </c>
      <c r="E7160" t="s">
        <v>14</v>
      </c>
      <c r="F7160">
        <v>20</v>
      </c>
      <c r="G7160">
        <v>40</v>
      </c>
      <c r="H7160">
        <v>0.1</v>
      </c>
      <c r="I7160" t="s">
        <v>15</v>
      </c>
      <c r="J7160">
        <v>45</v>
      </c>
      <c r="K7160">
        <v>0</v>
      </c>
      <c r="L7160">
        <v>0</v>
      </c>
      <c r="M7160">
        <f>VLOOKUP(Table1[[#This Row],[subscription_type]],Plans!$A$1:$B$5,2,FALSE)</f>
        <v>0</v>
      </c>
      <c r="N7160">
        <f t="shared" si="111"/>
        <v>0</v>
      </c>
    </row>
    <row r="7161" spans="1:14" x14ac:dyDescent="0.35">
      <c r="A7161">
        <v>7160</v>
      </c>
      <c r="B7161" t="s">
        <v>12</v>
      </c>
      <c r="C7161">
        <v>43</v>
      </c>
      <c r="D7161" t="s">
        <v>29</v>
      </c>
      <c r="E7161" t="s">
        <v>14</v>
      </c>
      <c r="F7161">
        <v>54</v>
      </c>
      <c r="G7161">
        <v>64</v>
      </c>
      <c r="H7161">
        <v>0.01</v>
      </c>
      <c r="I7161" t="s">
        <v>23</v>
      </c>
      <c r="J7161">
        <v>37</v>
      </c>
      <c r="K7161">
        <v>0</v>
      </c>
      <c r="L7161">
        <v>0</v>
      </c>
      <c r="M7161">
        <f>VLOOKUP(Table1[[#This Row],[subscription_type]],Plans!$A$1:$B$5,2,FALSE)</f>
        <v>0</v>
      </c>
      <c r="N7161">
        <f t="shared" si="111"/>
        <v>0</v>
      </c>
    </row>
    <row r="7162" spans="1:14" x14ac:dyDescent="0.35">
      <c r="A7162">
        <v>7161</v>
      </c>
      <c r="B7162" t="s">
        <v>12</v>
      </c>
      <c r="C7162">
        <v>46</v>
      </c>
      <c r="D7162" t="s">
        <v>21</v>
      </c>
      <c r="E7162" t="s">
        <v>14</v>
      </c>
      <c r="F7162">
        <v>222</v>
      </c>
      <c r="G7162">
        <v>48</v>
      </c>
      <c r="H7162">
        <v>0.57999999999999996</v>
      </c>
      <c r="I7162" t="s">
        <v>23</v>
      </c>
      <c r="J7162">
        <v>42</v>
      </c>
      <c r="K7162">
        <v>0</v>
      </c>
      <c r="L7162">
        <v>0</v>
      </c>
      <c r="M7162">
        <f>VLOOKUP(Table1[[#This Row],[subscription_type]],Plans!$A$1:$B$5,2,FALSE)</f>
        <v>0</v>
      </c>
      <c r="N7162">
        <f t="shared" si="111"/>
        <v>0</v>
      </c>
    </row>
    <row r="7163" spans="1:14" x14ac:dyDescent="0.35">
      <c r="A7163">
        <v>7162</v>
      </c>
      <c r="B7163" t="s">
        <v>12</v>
      </c>
      <c r="C7163">
        <v>39</v>
      </c>
      <c r="D7163" t="s">
        <v>17</v>
      </c>
      <c r="E7163" t="s">
        <v>18</v>
      </c>
      <c r="F7163">
        <v>297</v>
      </c>
      <c r="G7163">
        <v>33</v>
      </c>
      <c r="H7163">
        <v>0.4</v>
      </c>
      <c r="I7163" t="s">
        <v>19</v>
      </c>
      <c r="J7163">
        <v>0</v>
      </c>
      <c r="K7163">
        <v>1</v>
      </c>
      <c r="L7163">
        <v>0</v>
      </c>
      <c r="M7163">
        <f>VLOOKUP(Table1[[#This Row],[subscription_type]],Plans!$A$1:$B$5,2,FALSE)</f>
        <v>14.99</v>
      </c>
      <c r="N7163">
        <f t="shared" si="111"/>
        <v>0</v>
      </c>
    </row>
    <row r="7164" spans="1:14" x14ac:dyDescent="0.35">
      <c r="A7164">
        <v>7163</v>
      </c>
      <c r="B7164" t="s">
        <v>16</v>
      </c>
      <c r="C7164">
        <v>17</v>
      </c>
      <c r="D7164" t="s">
        <v>25</v>
      </c>
      <c r="E7164" t="s">
        <v>18</v>
      </c>
      <c r="F7164">
        <v>115</v>
      </c>
      <c r="G7164">
        <v>72</v>
      </c>
      <c r="H7164">
        <v>0.5</v>
      </c>
      <c r="I7164" t="s">
        <v>15</v>
      </c>
      <c r="J7164">
        <v>0</v>
      </c>
      <c r="K7164">
        <v>1</v>
      </c>
      <c r="L7164">
        <v>1</v>
      </c>
      <c r="M7164">
        <f>VLOOKUP(Table1[[#This Row],[subscription_type]],Plans!$A$1:$B$5,2,FALSE)</f>
        <v>14.99</v>
      </c>
      <c r="N7164">
        <f t="shared" si="111"/>
        <v>14.99</v>
      </c>
    </row>
    <row r="7165" spans="1:14" x14ac:dyDescent="0.35">
      <c r="A7165">
        <v>7164</v>
      </c>
      <c r="B7165" t="s">
        <v>20</v>
      </c>
      <c r="C7165">
        <v>40</v>
      </c>
      <c r="D7165" t="s">
        <v>27</v>
      </c>
      <c r="E7165" t="s">
        <v>14</v>
      </c>
      <c r="F7165">
        <v>284</v>
      </c>
      <c r="G7165">
        <v>99</v>
      </c>
      <c r="H7165">
        <v>0</v>
      </c>
      <c r="I7165" t="s">
        <v>15</v>
      </c>
      <c r="J7165">
        <v>7</v>
      </c>
      <c r="K7165">
        <v>0</v>
      </c>
      <c r="L7165">
        <v>0</v>
      </c>
      <c r="M7165">
        <f>VLOOKUP(Table1[[#This Row],[subscription_type]],Plans!$A$1:$B$5,2,FALSE)</f>
        <v>0</v>
      </c>
      <c r="N7165">
        <f t="shared" si="111"/>
        <v>0</v>
      </c>
    </row>
    <row r="7166" spans="1:14" x14ac:dyDescent="0.35">
      <c r="A7166">
        <v>7165</v>
      </c>
      <c r="B7166" t="s">
        <v>16</v>
      </c>
      <c r="C7166">
        <v>29</v>
      </c>
      <c r="D7166" t="s">
        <v>28</v>
      </c>
      <c r="E7166" t="s">
        <v>22</v>
      </c>
      <c r="F7166">
        <v>255</v>
      </c>
      <c r="G7166">
        <v>99</v>
      </c>
      <c r="H7166">
        <v>0.25</v>
      </c>
      <c r="I7166" t="s">
        <v>19</v>
      </c>
      <c r="J7166">
        <v>0</v>
      </c>
      <c r="K7166">
        <v>1</v>
      </c>
      <c r="L7166">
        <v>1</v>
      </c>
      <c r="M7166">
        <f>VLOOKUP(Table1[[#This Row],[subscription_type]],Plans!$A$1:$B$5,2,FALSE)</f>
        <v>9.99</v>
      </c>
      <c r="N7166">
        <f t="shared" si="111"/>
        <v>9.99</v>
      </c>
    </row>
    <row r="7167" spans="1:14" x14ac:dyDescent="0.35">
      <c r="A7167">
        <v>7166</v>
      </c>
      <c r="B7167" t="s">
        <v>16</v>
      </c>
      <c r="C7167">
        <v>23</v>
      </c>
      <c r="D7167" t="s">
        <v>17</v>
      </c>
      <c r="E7167" t="s">
        <v>18</v>
      </c>
      <c r="F7167">
        <v>112</v>
      </c>
      <c r="G7167">
        <v>53</v>
      </c>
      <c r="H7167">
        <v>0.6</v>
      </c>
      <c r="I7167" t="s">
        <v>15</v>
      </c>
      <c r="J7167">
        <v>0</v>
      </c>
      <c r="K7167">
        <v>1</v>
      </c>
      <c r="L7167">
        <v>0</v>
      </c>
      <c r="M7167">
        <f>VLOOKUP(Table1[[#This Row],[subscription_type]],Plans!$A$1:$B$5,2,FALSE)</f>
        <v>14.99</v>
      </c>
      <c r="N7167">
        <f t="shared" si="111"/>
        <v>0</v>
      </c>
    </row>
    <row r="7168" spans="1:14" x14ac:dyDescent="0.35">
      <c r="A7168">
        <v>7167</v>
      </c>
      <c r="B7168" t="s">
        <v>20</v>
      </c>
      <c r="C7168">
        <v>52</v>
      </c>
      <c r="D7168" t="s">
        <v>26</v>
      </c>
      <c r="E7168" t="s">
        <v>18</v>
      </c>
      <c r="F7168">
        <v>228</v>
      </c>
      <c r="G7168">
        <v>82</v>
      </c>
      <c r="H7168">
        <v>0.43</v>
      </c>
      <c r="I7168" t="s">
        <v>23</v>
      </c>
      <c r="J7168">
        <v>0</v>
      </c>
      <c r="K7168">
        <v>1</v>
      </c>
      <c r="L7168">
        <v>0</v>
      </c>
      <c r="M7168">
        <f>VLOOKUP(Table1[[#This Row],[subscription_type]],Plans!$A$1:$B$5,2,FALSE)</f>
        <v>14.99</v>
      </c>
      <c r="N7168">
        <f t="shared" si="111"/>
        <v>0</v>
      </c>
    </row>
    <row r="7169" spans="1:14" x14ac:dyDescent="0.35">
      <c r="A7169">
        <v>7168</v>
      </c>
      <c r="B7169" t="s">
        <v>20</v>
      </c>
      <c r="C7169">
        <v>56</v>
      </c>
      <c r="D7169" t="s">
        <v>21</v>
      </c>
      <c r="E7169" t="s">
        <v>22</v>
      </c>
      <c r="F7169">
        <v>175</v>
      </c>
      <c r="G7169">
        <v>87</v>
      </c>
      <c r="H7169">
        <v>0</v>
      </c>
      <c r="I7169" t="s">
        <v>23</v>
      </c>
      <c r="J7169">
        <v>0</v>
      </c>
      <c r="K7169">
        <v>1</v>
      </c>
      <c r="L7169">
        <v>0</v>
      </c>
      <c r="M7169">
        <f>VLOOKUP(Table1[[#This Row],[subscription_type]],Plans!$A$1:$B$5,2,FALSE)</f>
        <v>9.99</v>
      </c>
      <c r="N7169">
        <f t="shared" si="111"/>
        <v>0</v>
      </c>
    </row>
    <row r="7170" spans="1:14" x14ac:dyDescent="0.35">
      <c r="A7170">
        <v>7169</v>
      </c>
      <c r="B7170" t="s">
        <v>20</v>
      </c>
      <c r="C7170">
        <v>54</v>
      </c>
      <c r="D7170" t="s">
        <v>26</v>
      </c>
      <c r="E7170" t="s">
        <v>24</v>
      </c>
      <c r="F7170">
        <v>176</v>
      </c>
      <c r="G7170">
        <v>59</v>
      </c>
      <c r="H7170">
        <v>0.44</v>
      </c>
      <c r="I7170" t="s">
        <v>15</v>
      </c>
      <c r="J7170">
        <v>0</v>
      </c>
      <c r="K7170">
        <v>1</v>
      </c>
      <c r="L7170">
        <v>0</v>
      </c>
      <c r="M7170">
        <f>VLOOKUP(Table1[[#This Row],[subscription_type]],Plans!$A$1:$B$5,2,FALSE)</f>
        <v>4.99</v>
      </c>
      <c r="N7170">
        <f t="shared" ref="N7170:N7233" si="112">IF(L7170=1, M7170,0)</f>
        <v>0</v>
      </c>
    </row>
    <row r="7171" spans="1:14" x14ac:dyDescent="0.35">
      <c r="A7171">
        <v>7170</v>
      </c>
      <c r="B7171" t="s">
        <v>12</v>
      </c>
      <c r="C7171">
        <v>53</v>
      </c>
      <c r="D7171" t="s">
        <v>27</v>
      </c>
      <c r="E7171" t="s">
        <v>22</v>
      </c>
      <c r="F7171">
        <v>39</v>
      </c>
      <c r="G7171">
        <v>30</v>
      </c>
      <c r="H7171">
        <v>0.56000000000000005</v>
      </c>
      <c r="I7171" t="s">
        <v>23</v>
      </c>
      <c r="J7171">
        <v>0</v>
      </c>
      <c r="K7171">
        <v>1</v>
      </c>
      <c r="L7171">
        <v>0</v>
      </c>
      <c r="M7171">
        <f>VLOOKUP(Table1[[#This Row],[subscription_type]],Plans!$A$1:$B$5,2,FALSE)</f>
        <v>9.99</v>
      </c>
      <c r="N7171">
        <f t="shared" si="112"/>
        <v>0</v>
      </c>
    </row>
    <row r="7172" spans="1:14" x14ac:dyDescent="0.35">
      <c r="A7172">
        <v>7171</v>
      </c>
      <c r="B7172" t="s">
        <v>20</v>
      </c>
      <c r="C7172">
        <v>34</v>
      </c>
      <c r="D7172" t="s">
        <v>29</v>
      </c>
      <c r="E7172" t="s">
        <v>14</v>
      </c>
      <c r="F7172">
        <v>30</v>
      </c>
      <c r="G7172">
        <v>54</v>
      </c>
      <c r="H7172">
        <v>0.38</v>
      </c>
      <c r="I7172" t="s">
        <v>23</v>
      </c>
      <c r="J7172">
        <v>41</v>
      </c>
      <c r="K7172">
        <v>0</v>
      </c>
      <c r="L7172">
        <v>0</v>
      </c>
      <c r="M7172">
        <f>VLOOKUP(Table1[[#This Row],[subscription_type]],Plans!$A$1:$B$5,2,FALSE)</f>
        <v>0</v>
      </c>
      <c r="N7172">
        <f t="shared" si="112"/>
        <v>0</v>
      </c>
    </row>
    <row r="7173" spans="1:14" x14ac:dyDescent="0.35">
      <c r="A7173">
        <v>7172</v>
      </c>
      <c r="B7173" t="s">
        <v>20</v>
      </c>
      <c r="C7173">
        <v>44</v>
      </c>
      <c r="D7173" t="s">
        <v>29</v>
      </c>
      <c r="E7173" t="s">
        <v>18</v>
      </c>
      <c r="F7173">
        <v>110</v>
      </c>
      <c r="G7173">
        <v>96</v>
      </c>
      <c r="H7173">
        <v>0.31</v>
      </c>
      <c r="I7173" t="s">
        <v>15</v>
      </c>
      <c r="J7173">
        <v>0</v>
      </c>
      <c r="K7173">
        <v>1</v>
      </c>
      <c r="L7173">
        <v>0</v>
      </c>
      <c r="M7173">
        <f>VLOOKUP(Table1[[#This Row],[subscription_type]],Plans!$A$1:$B$5,2,FALSE)</f>
        <v>14.99</v>
      </c>
      <c r="N7173">
        <f t="shared" si="112"/>
        <v>0</v>
      </c>
    </row>
    <row r="7174" spans="1:14" x14ac:dyDescent="0.35">
      <c r="A7174">
        <v>7173</v>
      </c>
      <c r="B7174" t="s">
        <v>16</v>
      </c>
      <c r="C7174">
        <v>16</v>
      </c>
      <c r="D7174" t="s">
        <v>29</v>
      </c>
      <c r="E7174" t="s">
        <v>14</v>
      </c>
      <c r="F7174">
        <v>212</v>
      </c>
      <c r="G7174">
        <v>3</v>
      </c>
      <c r="H7174">
        <v>0.23</v>
      </c>
      <c r="I7174" t="s">
        <v>15</v>
      </c>
      <c r="J7174">
        <v>16</v>
      </c>
      <c r="K7174">
        <v>0</v>
      </c>
      <c r="L7174">
        <v>0</v>
      </c>
      <c r="M7174">
        <f>VLOOKUP(Table1[[#This Row],[subscription_type]],Plans!$A$1:$B$5,2,FALSE)</f>
        <v>0</v>
      </c>
      <c r="N7174">
        <f t="shared" si="112"/>
        <v>0</v>
      </c>
    </row>
    <row r="7175" spans="1:14" x14ac:dyDescent="0.35">
      <c r="A7175">
        <v>7174</v>
      </c>
      <c r="B7175" t="s">
        <v>16</v>
      </c>
      <c r="C7175">
        <v>47</v>
      </c>
      <c r="D7175" t="s">
        <v>25</v>
      </c>
      <c r="E7175" t="s">
        <v>18</v>
      </c>
      <c r="F7175">
        <v>137</v>
      </c>
      <c r="G7175">
        <v>30</v>
      </c>
      <c r="H7175">
        <v>0.28999999999999998</v>
      </c>
      <c r="I7175" t="s">
        <v>19</v>
      </c>
      <c r="J7175">
        <v>0</v>
      </c>
      <c r="K7175">
        <v>1</v>
      </c>
      <c r="L7175">
        <v>1</v>
      </c>
      <c r="M7175">
        <f>VLOOKUP(Table1[[#This Row],[subscription_type]],Plans!$A$1:$B$5,2,FALSE)</f>
        <v>14.99</v>
      </c>
      <c r="N7175">
        <f t="shared" si="112"/>
        <v>14.99</v>
      </c>
    </row>
    <row r="7176" spans="1:14" x14ac:dyDescent="0.35">
      <c r="A7176">
        <v>7175</v>
      </c>
      <c r="B7176" t="s">
        <v>16</v>
      </c>
      <c r="C7176">
        <v>39</v>
      </c>
      <c r="D7176" t="s">
        <v>25</v>
      </c>
      <c r="E7176" t="s">
        <v>18</v>
      </c>
      <c r="F7176">
        <v>270</v>
      </c>
      <c r="G7176">
        <v>80</v>
      </c>
      <c r="H7176">
        <v>0.59</v>
      </c>
      <c r="I7176" t="s">
        <v>15</v>
      </c>
      <c r="J7176">
        <v>0</v>
      </c>
      <c r="K7176">
        <v>1</v>
      </c>
      <c r="L7176">
        <v>0</v>
      </c>
      <c r="M7176">
        <f>VLOOKUP(Table1[[#This Row],[subscription_type]],Plans!$A$1:$B$5,2,FALSE)</f>
        <v>14.99</v>
      </c>
      <c r="N7176">
        <f t="shared" si="112"/>
        <v>0</v>
      </c>
    </row>
    <row r="7177" spans="1:14" x14ac:dyDescent="0.35">
      <c r="A7177">
        <v>7176</v>
      </c>
      <c r="B7177" t="s">
        <v>20</v>
      </c>
      <c r="C7177">
        <v>51</v>
      </c>
      <c r="D7177" t="s">
        <v>27</v>
      </c>
      <c r="E7177" t="s">
        <v>14</v>
      </c>
      <c r="F7177">
        <v>24</v>
      </c>
      <c r="G7177">
        <v>37</v>
      </c>
      <c r="H7177">
        <v>0.11</v>
      </c>
      <c r="I7177" t="s">
        <v>19</v>
      </c>
      <c r="J7177">
        <v>12</v>
      </c>
      <c r="K7177">
        <v>0</v>
      </c>
      <c r="L7177">
        <v>0</v>
      </c>
      <c r="M7177">
        <f>VLOOKUP(Table1[[#This Row],[subscription_type]],Plans!$A$1:$B$5,2,FALSE)</f>
        <v>0</v>
      </c>
      <c r="N7177">
        <f t="shared" si="112"/>
        <v>0</v>
      </c>
    </row>
    <row r="7178" spans="1:14" x14ac:dyDescent="0.35">
      <c r="A7178">
        <v>7177</v>
      </c>
      <c r="B7178" t="s">
        <v>12</v>
      </c>
      <c r="C7178">
        <v>59</v>
      </c>
      <c r="D7178" t="s">
        <v>29</v>
      </c>
      <c r="E7178" t="s">
        <v>22</v>
      </c>
      <c r="F7178">
        <v>26</v>
      </c>
      <c r="G7178">
        <v>37</v>
      </c>
      <c r="H7178">
        <v>0.27</v>
      </c>
      <c r="I7178" t="s">
        <v>15</v>
      </c>
      <c r="J7178">
        <v>0</v>
      </c>
      <c r="K7178">
        <v>1</v>
      </c>
      <c r="L7178">
        <v>1</v>
      </c>
      <c r="M7178">
        <f>VLOOKUP(Table1[[#This Row],[subscription_type]],Plans!$A$1:$B$5,2,FALSE)</f>
        <v>9.99</v>
      </c>
      <c r="N7178">
        <f t="shared" si="112"/>
        <v>9.99</v>
      </c>
    </row>
    <row r="7179" spans="1:14" x14ac:dyDescent="0.35">
      <c r="A7179">
        <v>7178</v>
      </c>
      <c r="B7179" t="s">
        <v>16</v>
      </c>
      <c r="C7179">
        <v>18</v>
      </c>
      <c r="D7179" t="s">
        <v>27</v>
      </c>
      <c r="E7179" t="s">
        <v>22</v>
      </c>
      <c r="F7179">
        <v>137</v>
      </c>
      <c r="G7179">
        <v>36</v>
      </c>
      <c r="H7179">
        <v>0.43</v>
      </c>
      <c r="I7179" t="s">
        <v>23</v>
      </c>
      <c r="J7179">
        <v>0</v>
      </c>
      <c r="K7179">
        <v>1</v>
      </c>
      <c r="L7179">
        <v>0</v>
      </c>
      <c r="M7179">
        <f>VLOOKUP(Table1[[#This Row],[subscription_type]],Plans!$A$1:$B$5,2,FALSE)</f>
        <v>9.99</v>
      </c>
      <c r="N7179">
        <f t="shared" si="112"/>
        <v>0</v>
      </c>
    </row>
    <row r="7180" spans="1:14" x14ac:dyDescent="0.35">
      <c r="A7180">
        <v>7179</v>
      </c>
      <c r="B7180" t="s">
        <v>20</v>
      </c>
      <c r="C7180">
        <v>56</v>
      </c>
      <c r="D7180" t="s">
        <v>26</v>
      </c>
      <c r="E7180" t="s">
        <v>14</v>
      </c>
      <c r="F7180">
        <v>28</v>
      </c>
      <c r="G7180">
        <v>15</v>
      </c>
      <c r="H7180">
        <v>0.17</v>
      </c>
      <c r="I7180" t="s">
        <v>19</v>
      </c>
      <c r="J7180">
        <v>18</v>
      </c>
      <c r="K7180">
        <v>0</v>
      </c>
      <c r="L7180">
        <v>0</v>
      </c>
      <c r="M7180">
        <f>VLOOKUP(Table1[[#This Row],[subscription_type]],Plans!$A$1:$B$5,2,FALSE)</f>
        <v>0</v>
      </c>
      <c r="N7180">
        <f t="shared" si="112"/>
        <v>0</v>
      </c>
    </row>
    <row r="7181" spans="1:14" x14ac:dyDescent="0.35">
      <c r="A7181">
        <v>7180</v>
      </c>
      <c r="B7181" t="s">
        <v>12</v>
      </c>
      <c r="C7181">
        <v>52</v>
      </c>
      <c r="D7181" t="s">
        <v>13</v>
      </c>
      <c r="E7181" t="s">
        <v>18</v>
      </c>
      <c r="F7181">
        <v>21</v>
      </c>
      <c r="G7181">
        <v>72</v>
      </c>
      <c r="H7181">
        <v>0.55000000000000004</v>
      </c>
      <c r="I7181" t="s">
        <v>23</v>
      </c>
      <c r="J7181">
        <v>0</v>
      </c>
      <c r="K7181">
        <v>1</v>
      </c>
      <c r="L7181">
        <v>0</v>
      </c>
      <c r="M7181">
        <f>VLOOKUP(Table1[[#This Row],[subscription_type]],Plans!$A$1:$B$5,2,FALSE)</f>
        <v>14.99</v>
      </c>
      <c r="N7181">
        <f t="shared" si="112"/>
        <v>0</v>
      </c>
    </row>
    <row r="7182" spans="1:14" x14ac:dyDescent="0.35">
      <c r="A7182">
        <v>7181</v>
      </c>
      <c r="B7182" t="s">
        <v>12</v>
      </c>
      <c r="C7182">
        <v>27</v>
      </c>
      <c r="D7182" t="s">
        <v>26</v>
      </c>
      <c r="E7182" t="s">
        <v>24</v>
      </c>
      <c r="F7182">
        <v>145</v>
      </c>
      <c r="G7182">
        <v>70</v>
      </c>
      <c r="H7182">
        <v>0.37</v>
      </c>
      <c r="I7182" t="s">
        <v>15</v>
      </c>
      <c r="J7182">
        <v>0</v>
      </c>
      <c r="K7182">
        <v>1</v>
      </c>
      <c r="L7182">
        <v>1</v>
      </c>
      <c r="M7182">
        <f>VLOOKUP(Table1[[#This Row],[subscription_type]],Plans!$A$1:$B$5,2,FALSE)</f>
        <v>4.99</v>
      </c>
      <c r="N7182">
        <f t="shared" si="112"/>
        <v>4.99</v>
      </c>
    </row>
    <row r="7183" spans="1:14" x14ac:dyDescent="0.35">
      <c r="A7183">
        <v>7182</v>
      </c>
      <c r="B7183" t="s">
        <v>16</v>
      </c>
      <c r="C7183">
        <v>37</v>
      </c>
      <c r="D7183" t="s">
        <v>13</v>
      </c>
      <c r="E7183" t="s">
        <v>18</v>
      </c>
      <c r="F7183">
        <v>283</v>
      </c>
      <c r="G7183">
        <v>74</v>
      </c>
      <c r="H7183">
        <v>0.13</v>
      </c>
      <c r="I7183" t="s">
        <v>15</v>
      </c>
      <c r="J7183">
        <v>0</v>
      </c>
      <c r="K7183">
        <v>1</v>
      </c>
      <c r="L7183">
        <v>1</v>
      </c>
      <c r="M7183">
        <f>VLOOKUP(Table1[[#This Row],[subscription_type]],Plans!$A$1:$B$5,2,FALSE)</f>
        <v>14.99</v>
      </c>
      <c r="N7183">
        <f t="shared" si="112"/>
        <v>14.99</v>
      </c>
    </row>
    <row r="7184" spans="1:14" x14ac:dyDescent="0.35">
      <c r="A7184">
        <v>7183</v>
      </c>
      <c r="B7184" t="s">
        <v>16</v>
      </c>
      <c r="C7184">
        <v>27</v>
      </c>
      <c r="D7184" t="s">
        <v>27</v>
      </c>
      <c r="E7184" t="s">
        <v>18</v>
      </c>
      <c r="F7184">
        <v>107</v>
      </c>
      <c r="G7184">
        <v>21</v>
      </c>
      <c r="H7184">
        <v>0.47</v>
      </c>
      <c r="I7184" t="s">
        <v>23</v>
      </c>
      <c r="J7184">
        <v>0</v>
      </c>
      <c r="K7184">
        <v>1</v>
      </c>
      <c r="L7184">
        <v>1</v>
      </c>
      <c r="M7184">
        <f>VLOOKUP(Table1[[#This Row],[subscription_type]],Plans!$A$1:$B$5,2,FALSE)</f>
        <v>14.99</v>
      </c>
      <c r="N7184">
        <f t="shared" si="112"/>
        <v>14.99</v>
      </c>
    </row>
    <row r="7185" spans="1:14" x14ac:dyDescent="0.35">
      <c r="A7185">
        <v>7184</v>
      </c>
      <c r="B7185" t="s">
        <v>12</v>
      </c>
      <c r="C7185">
        <v>33</v>
      </c>
      <c r="D7185" t="s">
        <v>25</v>
      </c>
      <c r="E7185" t="s">
        <v>14</v>
      </c>
      <c r="F7185">
        <v>277</v>
      </c>
      <c r="G7185">
        <v>49</v>
      </c>
      <c r="H7185">
        <v>0.39</v>
      </c>
      <c r="I7185" t="s">
        <v>23</v>
      </c>
      <c r="J7185">
        <v>29</v>
      </c>
      <c r="K7185">
        <v>0</v>
      </c>
      <c r="L7185">
        <v>0</v>
      </c>
      <c r="M7185">
        <f>VLOOKUP(Table1[[#This Row],[subscription_type]],Plans!$A$1:$B$5,2,FALSE)</f>
        <v>0</v>
      </c>
      <c r="N7185">
        <f t="shared" si="112"/>
        <v>0</v>
      </c>
    </row>
    <row r="7186" spans="1:14" x14ac:dyDescent="0.35">
      <c r="A7186">
        <v>7185</v>
      </c>
      <c r="B7186" t="s">
        <v>16</v>
      </c>
      <c r="C7186">
        <v>49</v>
      </c>
      <c r="D7186" t="s">
        <v>29</v>
      </c>
      <c r="E7186" t="s">
        <v>22</v>
      </c>
      <c r="F7186">
        <v>43</v>
      </c>
      <c r="G7186">
        <v>24</v>
      </c>
      <c r="H7186">
        <v>0.48</v>
      </c>
      <c r="I7186" t="s">
        <v>23</v>
      </c>
      <c r="J7186">
        <v>0</v>
      </c>
      <c r="K7186">
        <v>1</v>
      </c>
      <c r="L7186">
        <v>0</v>
      </c>
      <c r="M7186">
        <f>VLOOKUP(Table1[[#This Row],[subscription_type]],Plans!$A$1:$B$5,2,FALSE)</f>
        <v>9.99</v>
      </c>
      <c r="N7186">
        <f t="shared" si="112"/>
        <v>0</v>
      </c>
    </row>
    <row r="7187" spans="1:14" x14ac:dyDescent="0.35">
      <c r="A7187">
        <v>7186</v>
      </c>
      <c r="B7187" t="s">
        <v>12</v>
      </c>
      <c r="C7187">
        <v>45</v>
      </c>
      <c r="D7187" t="s">
        <v>25</v>
      </c>
      <c r="E7187" t="s">
        <v>24</v>
      </c>
      <c r="F7187">
        <v>233</v>
      </c>
      <c r="G7187">
        <v>78</v>
      </c>
      <c r="H7187">
        <v>0.15</v>
      </c>
      <c r="I7187" t="s">
        <v>19</v>
      </c>
      <c r="J7187">
        <v>0</v>
      </c>
      <c r="K7187">
        <v>1</v>
      </c>
      <c r="L7187">
        <v>1</v>
      </c>
      <c r="M7187">
        <f>VLOOKUP(Table1[[#This Row],[subscription_type]],Plans!$A$1:$B$5,2,FALSE)</f>
        <v>4.99</v>
      </c>
      <c r="N7187">
        <f t="shared" si="112"/>
        <v>4.99</v>
      </c>
    </row>
    <row r="7188" spans="1:14" x14ac:dyDescent="0.35">
      <c r="A7188">
        <v>7187</v>
      </c>
      <c r="B7188" t="s">
        <v>16</v>
      </c>
      <c r="C7188">
        <v>32</v>
      </c>
      <c r="D7188" t="s">
        <v>27</v>
      </c>
      <c r="E7188" t="s">
        <v>24</v>
      </c>
      <c r="F7188">
        <v>11</v>
      </c>
      <c r="G7188">
        <v>66</v>
      </c>
      <c r="H7188">
        <v>0.5</v>
      </c>
      <c r="I7188" t="s">
        <v>23</v>
      </c>
      <c r="J7188">
        <v>0</v>
      </c>
      <c r="K7188">
        <v>1</v>
      </c>
      <c r="L7188">
        <v>0</v>
      </c>
      <c r="M7188">
        <f>VLOOKUP(Table1[[#This Row],[subscription_type]],Plans!$A$1:$B$5,2,FALSE)</f>
        <v>4.99</v>
      </c>
      <c r="N7188">
        <f t="shared" si="112"/>
        <v>0</v>
      </c>
    </row>
    <row r="7189" spans="1:14" x14ac:dyDescent="0.35">
      <c r="A7189">
        <v>7188</v>
      </c>
      <c r="B7189" t="s">
        <v>16</v>
      </c>
      <c r="C7189">
        <v>40</v>
      </c>
      <c r="D7189" t="s">
        <v>26</v>
      </c>
      <c r="E7189" t="s">
        <v>24</v>
      </c>
      <c r="F7189">
        <v>193</v>
      </c>
      <c r="G7189">
        <v>70</v>
      </c>
      <c r="H7189">
        <v>0.11</v>
      </c>
      <c r="I7189" t="s">
        <v>15</v>
      </c>
      <c r="J7189">
        <v>0</v>
      </c>
      <c r="K7189">
        <v>1</v>
      </c>
      <c r="L7189">
        <v>0</v>
      </c>
      <c r="M7189">
        <f>VLOOKUP(Table1[[#This Row],[subscription_type]],Plans!$A$1:$B$5,2,FALSE)</f>
        <v>4.99</v>
      </c>
      <c r="N7189">
        <f t="shared" si="112"/>
        <v>0</v>
      </c>
    </row>
    <row r="7190" spans="1:14" x14ac:dyDescent="0.35">
      <c r="A7190">
        <v>7189</v>
      </c>
      <c r="B7190" t="s">
        <v>16</v>
      </c>
      <c r="C7190">
        <v>26</v>
      </c>
      <c r="D7190" t="s">
        <v>17</v>
      </c>
      <c r="E7190" t="s">
        <v>22</v>
      </c>
      <c r="F7190">
        <v>204</v>
      </c>
      <c r="G7190">
        <v>60</v>
      </c>
      <c r="H7190">
        <v>0.56000000000000005</v>
      </c>
      <c r="I7190" t="s">
        <v>15</v>
      </c>
      <c r="J7190">
        <v>0</v>
      </c>
      <c r="K7190">
        <v>1</v>
      </c>
      <c r="L7190">
        <v>0</v>
      </c>
      <c r="M7190">
        <f>VLOOKUP(Table1[[#This Row],[subscription_type]],Plans!$A$1:$B$5,2,FALSE)</f>
        <v>9.99</v>
      </c>
      <c r="N7190">
        <f t="shared" si="112"/>
        <v>0</v>
      </c>
    </row>
    <row r="7191" spans="1:14" x14ac:dyDescent="0.35">
      <c r="A7191">
        <v>7190</v>
      </c>
      <c r="B7191" t="s">
        <v>16</v>
      </c>
      <c r="C7191">
        <v>20</v>
      </c>
      <c r="D7191" t="s">
        <v>29</v>
      </c>
      <c r="E7191" t="s">
        <v>14</v>
      </c>
      <c r="F7191">
        <v>96</v>
      </c>
      <c r="G7191">
        <v>56</v>
      </c>
      <c r="H7191">
        <v>0.08</v>
      </c>
      <c r="I7191" t="s">
        <v>23</v>
      </c>
      <c r="J7191">
        <v>45</v>
      </c>
      <c r="K7191">
        <v>0</v>
      </c>
      <c r="L7191">
        <v>1</v>
      </c>
      <c r="M7191">
        <f>VLOOKUP(Table1[[#This Row],[subscription_type]],Plans!$A$1:$B$5,2,FALSE)</f>
        <v>0</v>
      </c>
      <c r="N7191">
        <f t="shared" si="112"/>
        <v>0</v>
      </c>
    </row>
    <row r="7192" spans="1:14" x14ac:dyDescent="0.35">
      <c r="A7192">
        <v>7191</v>
      </c>
      <c r="B7192" t="s">
        <v>20</v>
      </c>
      <c r="C7192">
        <v>59</v>
      </c>
      <c r="D7192" t="s">
        <v>29</v>
      </c>
      <c r="E7192" t="s">
        <v>22</v>
      </c>
      <c r="F7192">
        <v>79</v>
      </c>
      <c r="G7192">
        <v>70</v>
      </c>
      <c r="H7192">
        <v>0.34</v>
      </c>
      <c r="I7192" t="s">
        <v>19</v>
      </c>
      <c r="J7192">
        <v>0</v>
      </c>
      <c r="K7192">
        <v>1</v>
      </c>
      <c r="L7192">
        <v>0</v>
      </c>
      <c r="M7192">
        <f>VLOOKUP(Table1[[#This Row],[subscription_type]],Plans!$A$1:$B$5,2,FALSE)</f>
        <v>9.99</v>
      </c>
      <c r="N7192">
        <f t="shared" si="112"/>
        <v>0</v>
      </c>
    </row>
    <row r="7193" spans="1:14" x14ac:dyDescent="0.35">
      <c r="A7193">
        <v>7192</v>
      </c>
      <c r="B7193" t="s">
        <v>20</v>
      </c>
      <c r="C7193">
        <v>24</v>
      </c>
      <c r="D7193" t="s">
        <v>28</v>
      </c>
      <c r="E7193" t="s">
        <v>24</v>
      </c>
      <c r="F7193">
        <v>253</v>
      </c>
      <c r="G7193">
        <v>74</v>
      </c>
      <c r="H7193">
        <v>7.0000000000000007E-2</v>
      </c>
      <c r="I7193" t="s">
        <v>15</v>
      </c>
      <c r="J7193">
        <v>0</v>
      </c>
      <c r="K7193">
        <v>1</v>
      </c>
      <c r="L7193">
        <v>0</v>
      </c>
      <c r="M7193">
        <f>VLOOKUP(Table1[[#This Row],[subscription_type]],Plans!$A$1:$B$5,2,FALSE)</f>
        <v>4.99</v>
      </c>
      <c r="N7193">
        <f t="shared" si="112"/>
        <v>0</v>
      </c>
    </row>
    <row r="7194" spans="1:14" x14ac:dyDescent="0.35">
      <c r="A7194">
        <v>7193</v>
      </c>
      <c r="B7194" t="s">
        <v>20</v>
      </c>
      <c r="C7194">
        <v>52</v>
      </c>
      <c r="D7194" t="s">
        <v>26</v>
      </c>
      <c r="E7194" t="s">
        <v>24</v>
      </c>
      <c r="F7194">
        <v>194</v>
      </c>
      <c r="G7194">
        <v>75</v>
      </c>
      <c r="H7194">
        <v>0.42</v>
      </c>
      <c r="I7194" t="s">
        <v>23</v>
      </c>
      <c r="J7194">
        <v>0</v>
      </c>
      <c r="K7194">
        <v>1</v>
      </c>
      <c r="L7194">
        <v>0</v>
      </c>
      <c r="M7194">
        <f>VLOOKUP(Table1[[#This Row],[subscription_type]],Plans!$A$1:$B$5,2,FALSE)</f>
        <v>4.99</v>
      </c>
      <c r="N7194">
        <f t="shared" si="112"/>
        <v>0</v>
      </c>
    </row>
    <row r="7195" spans="1:14" x14ac:dyDescent="0.35">
      <c r="A7195">
        <v>7194</v>
      </c>
      <c r="B7195" t="s">
        <v>16</v>
      </c>
      <c r="C7195">
        <v>39</v>
      </c>
      <c r="D7195" t="s">
        <v>28</v>
      </c>
      <c r="E7195" t="s">
        <v>22</v>
      </c>
      <c r="F7195">
        <v>50</v>
      </c>
      <c r="G7195">
        <v>89</v>
      </c>
      <c r="H7195">
        <v>0.55000000000000004</v>
      </c>
      <c r="I7195" t="s">
        <v>15</v>
      </c>
      <c r="J7195">
        <v>0</v>
      </c>
      <c r="K7195">
        <v>1</v>
      </c>
      <c r="L7195">
        <v>1</v>
      </c>
      <c r="M7195">
        <f>VLOOKUP(Table1[[#This Row],[subscription_type]],Plans!$A$1:$B$5,2,FALSE)</f>
        <v>9.99</v>
      </c>
      <c r="N7195">
        <f t="shared" si="112"/>
        <v>9.99</v>
      </c>
    </row>
    <row r="7196" spans="1:14" x14ac:dyDescent="0.35">
      <c r="A7196">
        <v>7195</v>
      </c>
      <c r="B7196" t="s">
        <v>12</v>
      </c>
      <c r="C7196">
        <v>32</v>
      </c>
      <c r="D7196" t="s">
        <v>21</v>
      </c>
      <c r="E7196" t="s">
        <v>24</v>
      </c>
      <c r="F7196">
        <v>112</v>
      </c>
      <c r="G7196">
        <v>91</v>
      </c>
      <c r="H7196">
        <v>0.28000000000000003</v>
      </c>
      <c r="I7196" t="s">
        <v>23</v>
      </c>
      <c r="J7196">
        <v>0</v>
      </c>
      <c r="K7196">
        <v>1</v>
      </c>
      <c r="L7196">
        <v>0</v>
      </c>
      <c r="M7196">
        <f>VLOOKUP(Table1[[#This Row],[subscription_type]],Plans!$A$1:$B$5,2,FALSE)</f>
        <v>4.99</v>
      </c>
      <c r="N7196">
        <f t="shared" si="112"/>
        <v>0</v>
      </c>
    </row>
    <row r="7197" spans="1:14" x14ac:dyDescent="0.35">
      <c r="A7197">
        <v>7196</v>
      </c>
      <c r="B7197" t="s">
        <v>20</v>
      </c>
      <c r="C7197">
        <v>57</v>
      </c>
      <c r="D7197" t="s">
        <v>29</v>
      </c>
      <c r="E7197" t="s">
        <v>18</v>
      </c>
      <c r="F7197">
        <v>33</v>
      </c>
      <c r="G7197">
        <v>53</v>
      </c>
      <c r="H7197">
        <v>0.53</v>
      </c>
      <c r="I7197" t="s">
        <v>15</v>
      </c>
      <c r="J7197">
        <v>0</v>
      </c>
      <c r="K7197">
        <v>1</v>
      </c>
      <c r="L7197">
        <v>0</v>
      </c>
      <c r="M7197">
        <f>VLOOKUP(Table1[[#This Row],[subscription_type]],Plans!$A$1:$B$5,2,FALSE)</f>
        <v>14.99</v>
      </c>
      <c r="N7197">
        <f t="shared" si="112"/>
        <v>0</v>
      </c>
    </row>
    <row r="7198" spans="1:14" x14ac:dyDescent="0.35">
      <c r="A7198">
        <v>7197</v>
      </c>
      <c r="B7198" t="s">
        <v>16</v>
      </c>
      <c r="C7198">
        <v>23</v>
      </c>
      <c r="D7198" t="s">
        <v>26</v>
      </c>
      <c r="E7198" t="s">
        <v>14</v>
      </c>
      <c r="F7198">
        <v>105</v>
      </c>
      <c r="G7198">
        <v>84</v>
      </c>
      <c r="H7198">
        <v>0.36</v>
      </c>
      <c r="I7198" t="s">
        <v>15</v>
      </c>
      <c r="J7198">
        <v>30</v>
      </c>
      <c r="K7198">
        <v>0</v>
      </c>
      <c r="L7198">
        <v>0</v>
      </c>
      <c r="M7198">
        <f>VLOOKUP(Table1[[#This Row],[subscription_type]],Plans!$A$1:$B$5,2,FALSE)</f>
        <v>0</v>
      </c>
      <c r="N7198">
        <f t="shared" si="112"/>
        <v>0</v>
      </c>
    </row>
    <row r="7199" spans="1:14" x14ac:dyDescent="0.35">
      <c r="A7199">
        <v>7198</v>
      </c>
      <c r="B7199" t="s">
        <v>12</v>
      </c>
      <c r="C7199">
        <v>37</v>
      </c>
      <c r="D7199" t="s">
        <v>17</v>
      </c>
      <c r="E7199" t="s">
        <v>18</v>
      </c>
      <c r="F7199">
        <v>143</v>
      </c>
      <c r="G7199">
        <v>87</v>
      </c>
      <c r="H7199">
        <v>0.23</v>
      </c>
      <c r="I7199" t="s">
        <v>19</v>
      </c>
      <c r="J7199">
        <v>0</v>
      </c>
      <c r="K7199">
        <v>1</v>
      </c>
      <c r="L7199">
        <v>1</v>
      </c>
      <c r="M7199">
        <f>VLOOKUP(Table1[[#This Row],[subscription_type]],Plans!$A$1:$B$5,2,FALSE)</f>
        <v>14.99</v>
      </c>
      <c r="N7199">
        <f t="shared" si="112"/>
        <v>14.99</v>
      </c>
    </row>
    <row r="7200" spans="1:14" x14ac:dyDescent="0.35">
      <c r="A7200">
        <v>7199</v>
      </c>
      <c r="B7200" t="s">
        <v>12</v>
      </c>
      <c r="C7200">
        <v>52</v>
      </c>
      <c r="D7200" t="s">
        <v>29</v>
      </c>
      <c r="E7200" t="s">
        <v>14</v>
      </c>
      <c r="F7200">
        <v>167</v>
      </c>
      <c r="G7200">
        <v>59</v>
      </c>
      <c r="H7200">
        <v>0.31</v>
      </c>
      <c r="I7200" t="s">
        <v>19</v>
      </c>
      <c r="J7200">
        <v>12</v>
      </c>
      <c r="K7200">
        <v>0</v>
      </c>
      <c r="L7200">
        <v>1</v>
      </c>
      <c r="M7200">
        <f>VLOOKUP(Table1[[#This Row],[subscription_type]],Plans!$A$1:$B$5,2,FALSE)</f>
        <v>0</v>
      </c>
      <c r="N7200">
        <f t="shared" si="112"/>
        <v>0</v>
      </c>
    </row>
    <row r="7201" spans="1:14" x14ac:dyDescent="0.35">
      <c r="A7201">
        <v>7200</v>
      </c>
      <c r="B7201" t="s">
        <v>16</v>
      </c>
      <c r="C7201">
        <v>18</v>
      </c>
      <c r="D7201" t="s">
        <v>17</v>
      </c>
      <c r="E7201" t="s">
        <v>18</v>
      </c>
      <c r="F7201">
        <v>238</v>
      </c>
      <c r="G7201">
        <v>28</v>
      </c>
      <c r="H7201">
        <v>0.31</v>
      </c>
      <c r="I7201" t="s">
        <v>19</v>
      </c>
      <c r="J7201">
        <v>0</v>
      </c>
      <c r="K7201">
        <v>1</v>
      </c>
      <c r="L7201">
        <v>1</v>
      </c>
      <c r="M7201">
        <f>VLOOKUP(Table1[[#This Row],[subscription_type]],Plans!$A$1:$B$5,2,FALSE)</f>
        <v>14.99</v>
      </c>
      <c r="N7201">
        <f t="shared" si="112"/>
        <v>14.99</v>
      </c>
    </row>
    <row r="7202" spans="1:14" x14ac:dyDescent="0.35">
      <c r="A7202">
        <v>7201</v>
      </c>
      <c r="B7202" t="s">
        <v>20</v>
      </c>
      <c r="C7202">
        <v>37</v>
      </c>
      <c r="D7202" t="s">
        <v>25</v>
      </c>
      <c r="E7202" t="s">
        <v>14</v>
      </c>
      <c r="F7202">
        <v>255</v>
      </c>
      <c r="G7202">
        <v>9</v>
      </c>
      <c r="H7202">
        <v>0.56000000000000005</v>
      </c>
      <c r="I7202" t="s">
        <v>23</v>
      </c>
      <c r="J7202">
        <v>12</v>
      </c>
      <c r="K7202">
        <v>0</v>
      </c>
      <c r="L7202">
        <v>1</v>
      </c>
      <c r="M7202">
        <f>VLOOKUP(Table1[[#This Row],[subscription_type]],Plans!$A$1:$B$5,2,FALSE)</f>
        <v>0</v>
      </c>
      <c r="N7202">
        <f t="shared" si="112"/>
        <v>0</v>
      </c>
    </row>
    <row r="7203" spans="1:14" x14ac:dyDescent="0.35">
      <c r="A7203">
        <v>7202</v>
      </c>
      <c r="B7203" t="s">
        <v>12</v>
      </c>
      <c r="C7203">
        <v>39</v>
      </c>
      <c r="D7203" t="s">
        <v>29</v>
      </c>
      <c r="E7203" t="s">
        <v>24</v>
      </c>
      <c r="F7203">
        <v>282</v>
      </c>
      <c r="G7203">
        <v>97</v>
      </c>
      <c r="H7203">
        <v>0.03</v>
      </c>
      <c r="I7203" t="s">
        <v>15</v>
      </c>
      <c r="J7203">
        <v>0</v>
      </c>
      <c r="K7203">
        <v>1</v>
      </c>
      <c r="L7203">
        <v>0</v>
      </c>
      <c r="M7203">
        <f>VLOOKUP(Table1[[#This Row],[subscription_type]],Plans!$A$1:$B$5,2,FALSE)</f>
        <v>4.99</v>
      </c>
      <c r="N7203">
        <f t="shared" si="112"/>
        <v>0</v>
      </c>
    </row>
    <row r="7204" spans="1:14" x14ac:dyDescent="0.35">
      <c r="A7204">
        <v>7203</v>
      </c>
      <c r="B7204" t="s">
        <v>20</v>
      </c>
      <c r="C7204">
        <v>45</v>
      </c>
      <c r="D7204" t="s">
        <v>26</v>
      </c>
      <c r="E7204" t="s">
        <v>18</v>
      </c>
      <c r="F7204">
        <v>275</v>
      </c>
      <c r="G7204">
        <v>58</v>
      </c>
      <c r="H7204">
        <v>0.44</v>
      </c>
      <c r="I7204" t="s">
        <v>19</v>
      </c>
      <c r="J7204">
        <v>0</v>
      </c>
      <c r="K7204">
        <v>1</v>
      </c>
      <c r="L7204">
        <v>1</v>
      </c>
      <c r="M7204">
        <f>VLOOKUP(Table1[[#This Row],[subscription_type]],Plans!$A$1:$B$5,2,FALSE)</f>
        <v>14.99</v>
      </c>
      <c r="N7204">
        <f t="shared" si="112"/>
        <v>14.99</v>
      </c>
    </row>
    <row r="7205" spans="1:14" x14ac:dyDescent="0.35">
      <c r="A7205">
        <v>7204</v>
      </c>
      <c r="B7205" t="s">
        <v>16</v>
      </c>
      <c r="C7205">
        <v>51</v>
      </c>
      <c r="D7205" t="s">
        <v>17</v>
      </c>
      <c r="E7205" t="s">
        <v>22</v>
      </c>
      <c r="F7205">
        <v>217</v>
      </c>
      <c r="G7205">
        <v>44</v>
      </c>
      <c r="H7205">
        <v>0.06</v>
      </c>
      <c r="I7205" t="s">
        <v>23</v>
      </c>
      <c r="J7205">
        <v>0</v>
      </c>
      <c r="K7205">
        <v>1</v>
      </c>
      <c r="L7205">
        <v>0</v>
      </c>
      <c r="M7205">
        <f>VLOOKUP(Table1[[#This Row],[subscription_type]],Plans!$A$1:$B$5,2,FALSE)</f>
        <v>9.99</v>
      </c>
      <c r="N7205">
        <f t="shared" si="112"/>
        <v>0</v>
      </c>
    </row>
    <row r="7206" spans="1:14" x14ac:dyDescent="0.35">
      <c r="A7206">
        <v>7205</v>
      </c>
      <c r="B7206" t="s">
        <v>20</v>
      </c>
      <c r="C7206">
        <v>19</v>
      </c>
      <c r="D7206" t="s">
        <v>13</v>
      </c>
      <c r="E7206" t="s">
        <v>18</v>
      </c>
      <c r="F7206">
        <v>228</v>
      </c>
      <c r="G7206">
        <v>99</v>
      </c>
      <c r="H7206">
        <v>0.55000000000000004</v>
      </c>
      <c r="I7206" t="s">
        <v>15</v>
      </c>
      <c r="J7206">
        <v>0</v>
      </c>
      <c r="K7206">
        <v>1</v>
      </c>
      <c r="L7206">
        <v>1</v>
      </c>
      <c r="M7206">
        <f>VLOOKUP(Table1[[#This Row],[subscription_type]],Plans!$A$1:$B$5,2,FALSE)</f>
        <v>14.99</v>
      </c>
      <c r="N7206">
        <f t="shared" si="112"/>
        <v>14.99</v>
      </c>
    </row>
    <row r="7207" spans="1:14" x14ac:dyDescent="0.35">
      <c r="A7207">
        <v>7206</v>
      </c>
      <c r="B7207" t="s">
        <v>20</v>
      </c>
      <c r="C7207">
        <v>34</v>
      </c>
      <c r="D7207" t="s">
        <v>26</v>
      </c>
      <c r="E7207" t="s">
        <v>24</v>
      </c>
      <c r="F7207">
        <v>143</v>
      </c>
      <c r="G7207">
        <v>99</v>
      </c>
      <c r="H7207">
        <v>0.43</v>
      </c>
      <c r="I7207" t="s">
        <v>19</v>
      </c>
      <c r="J7207">
        <v>0</v>
      </c>
      <c r="K7207">
        <v>1</v>
      </c>
      <c r="L7207">
        <v>0</v>
      </c>
      <c r="M7207">
        <f>VLOOKUP(Table1[[#This Row],[subscription_type]],Plans!$A$1:$B$5,2,FALSE)</f>
        <v>4.99</v>
      </c>
      <c r="N7207">
        <f t="shared" si="112"/>
        <v>0</v>
      </c>
    </row>
    <row r="7208" spans="1:14" x14ac:dyDescent="0.35">
      <c r="A7208">
        <v>7207</v>
      </c>
      <c r="B7208" t="s">
        <v>12</v>
      </c>
      <c r="C7208">
        <v>21</v>
      </c>
      <c r="D7208" t="s">
        <v>17</v>
      </c>
      <c r="E7208" t="s">
        <v>24</v>
      </c>
      <c r="F7208">
        <v>259</v>
      </c>
      <c r="G7208">
        <v>80</v>
      </c>
      <c r="H7208">
        <v>0.35</v>
      </c>
      <c r="I7208" t="s">
        <v>19</v>
      </c>
      <c r="J7208">
        <v>0</v>
      </c>
      <c r="K7208">
        <v>1</v>
      </c>
      <c r="L7208">
        <v>0</v>
      </c>
      <c r="M7208">
        <f>VLOOKUP(Table1[[#This Row],[subscription_type]],Plans!$A$1:$B$5,2,FALSE)</f>
        <v>4.99</v>
      </c>
      <c r="N7208">
        <f t="shared" si="112"/>
        <v>0</v>
      </c>
    </row>
    <row r="7209" spans="1:14" x14ac:dyDescent="0.35">
      <c r="A7209">
        <v>7208</v>
      </c>
      <c r="B7209" t="s">
        <v>16</v>
      </c>
      <c r="C7209">
        <v>38</v>
      </c>
      <c r="D7209" t="s">
        <v>21</v>
      </c>
      <c r="E7209" t="s">
        <v>18</v>
      </c>
      <c r="F7209">
        <v>224</v>
      </c>
      <c r="G7209">
        <v>81</v>
      </c>
      <c r="H7209">
        <v>0.21</v>
      </c>
      <c r="I7209" t="s">
        <v>23</v>
      </c>
      <c r="J7209">
        <v>0</v>
      </c>
      <c r="K7209">
        <v>1</v>
      </c>
      <c r="L7209">
        <v>0</v>
      </c>
      <c r="M7209">
        <f>VLOOKUP(Table1[[#This Row],[subscription_type]],Plans!$A$1:$B$5,2,FALSE)</f>
        <v>14.99</v>
      </c>
      <c r="N7209">
        <f t="shared" si="112"/>
        <v>0</v>
      </c>
    </row>
    <row r="7210" spans="1:14" x14ac:dyDescent="0.35">
      <c r="A7210">
        <v>7209</v>
      </c>
      <c r="B7210" t="s">
        <v>12</v>
      </c>
      <c r="C7210">
        <v>40</v>
      </c>
      <c r="D7210" t="s">
        <v>25</v>
      </c>
      <c r="E7210" t="s">
        <v>22</v>
      </c>
      <c r="F7210">
        <v>101</v>
      </c>
      <c r="G7210">
        <v>88</v>
      </c>
      <c r="H7210">
        <v>0.06</v>
      </c>
      <c r="I7210" t="s">
        <v>23</v>
      </c>
      <c r="J7210">
        <v>0</v>
      </c>
      <c r="K7210">
        <v>1</v>
      </c>
      <c r="L7210">
        <v>0</v>
      </c>
      <c r="M7210">
        <f>VLOOKUP(Table1[[#This Row],[subscription_type]],Plans!$A$1:$B$5,2,FALSE)</f>
        <v>9.99</v>
      </c>
      <c r="N7210">
        <f t="shared" si="112"/>
        <v>0</v>
      </c>
    </row>
    <row r="7211" spans="1:14" x14ac:dyDescent="0.35">
      <c r="A7211">
        <v>7210</v>
      </c>
      <c r="B7211" t="s">
        <v>20</v>
      </c>
      <c r="C7211">
        <v>26</v>
      </c>
      <c r="D7211" t="s">
        <v>17</v>
      </c>
      <c r="E7211" t="s">
        <v>22</v>
      </c>
      <c r="F7211">
        <v>85</v>
      </c>
      <c r="G7211">
        <v>46</v>
      </c>
      <c r="H7211">
        <v>0.09</v>
      </c>
      <c r="I7211" t="s">
        <v>23</v>
      </c>
      <c r="J7211">
        <v>0</v>
      </c>
      <c r="K7211">
        <v>1</v>
      </c>
      <c r="L7211">
        <v>0</v>
      </c>
      <c r="M7211">
        <f>VLOOKUP(Table1[[#This Row],[subscription_type]],Plans!$A$1:$B$5,2,FALSE)</f>
        <v>9.99</v>
      </c>
      <c r="N7211">
        <f t="shared" si="112"/>
        <v>0</v>
      </c>
    </row>
    <row r="7212" spans="1:14" x14ac:dyDescent="0.35">
      <c r="A7212">
        <v>7211</v>
      </c>
      <c r="B7212" t="s">
        <v>16</v>
      </c>
      <c r="C7212">
        <v>43</v>
      </c>
      <c r="D7212" t="s">
        <v>27</v>
      </c>
      <c r="E7212" t="s">
        <v>22</v>
      </c>
      <c r="F7212">
        <v>207</v>
      </c>
      <c r="G7212">
        <v>67</v>
      </c>
      <c r="H7212">
        <v>0.09</v>
      </c>
      <c r="I7212" t="s">
        <v>23</v>
      </c>
      <c r="J7212">
        <v>0</v>
      </c>
      <c r="K7212">
        <v>1</v>
      </c>
      <c r="L7212">
        <v>1</v>
      </c>
      <c r="M7212">
        <f>VLOOKUP(Table1[[#This Row],[subscription_type]],Plans!$A$1:$B$5,2,FALSE)</f>
        <v>9.99</v>
      </c>
      <c r="N7212">
        <f t="shared" si="112"/>
        <v>9.99</v>
      </c>
    </row>
    <row r="7213" spans="1:14" x14ac:dyDescent="0.35">
      <c r="A7213">
        <v>7212</v>
      </c>
      <c r="B7213" t="s">
        <v>20</v>
      </c>
      <c r="C7213">
        <v>18</v>
      </c>
      <c r="D7213" t="s">
        <v>17</v>
      </c>
      <c r="E7213" t="s">
        <v>22</v>
      </c>
      <c r="F7213">
        <v>279</v>
      </c>
      <c r="G7213">
        <v>45</v>
      </c>
      <c r="H7213">
        <v>0.4</v>
      </c>
      <c r="I7213" t="s">
        <v>23</v>
      </c>
      <c r="J7213">
        <v>0</v>
      </c>
      <c r="K7213">
        <v>1</v>
      </c>
      <c r="L7213">
        <v>0</v>
      </c>
      <c r="M7213">
        <f>VLOOKUP(Table1[[#This Row],[subscription_type]],Plans!$A$1:$B$5,2,FALSE)</f>
        <v>9.99</v>
      </c>
      <c r="N7213">
        <f t="shared" si="112"/>
        <v>0</v>
      </c>
    </row>
    <row r="7214" spans="1:14" x14ac:dyDescent="0.35">
      <c r="A7214">
        <v>7213</v>
      </c>
      <c r="B7214" t="s">
        <v>16</v>
      </c>
      <c r="C7214">
        <v>54</v>
      </c>
      <c r="D7214" t="s">
        <v>21</v>
      </c>
      <c r="E7214" t="s">
        <v>14</v>
      </c>
      <c r="F7214">
        <v>133</v>
      </c>
      <c r="G7214">
        <v>99</v>
      </c>
      <c r="H7214">
        <v>0.17</v>
      </c>
      <c r="I7214" t="s">
        <v>15</v>
      </c>
      <c r="J7214">
        <v>24</v>
      </c>
      <c r="K7214">
        <v>0</v>
      </c>
      <c r="L7214">
        <v>0</v>
      </c>
      <c r="M7214">
        <f>VLOOKUP(Table1[[#This Row],[subscription_type]],Plans!$A$1:$B$5,2,FALSE)</f>
        <v>0</v>
      </c>
      <c r="N7214">
        <f t="shared" si="112"/>
        <v>0</v>
      </c>
    </row>
    <row r="7215" spans="1:14" x14ac:dyDescent="0.35">
      <c r="A7215">
        <v>7214</v>
      </c>
      <c r="B7215" t="s">
        <v>16</v>
      </c>
      <c r="C7215">
        <v>51</v>
      </c>
      <c r="D7215" t="s">
        <v>27</v>
      </c>
      <c r="E7215" t="s">
        <v>22</v>
      </c>
      <c r="F7215">
        <v>66</v>
      </c>
      <c r="G7215">
        <v>47</v>
      </c>
      <c r="H7215">
        <v>0.04</v>
      </c>
      <c r="I7215" t="s">
        <v>15</v>
      </c>
      <c r="J7215">
        <v>0</v>
      </c>
      <c r="K7215">
        <v>1</v>
      </c>
      <c r="L7215">
        <v>0</v>
      </c>
      <c r="M7215">
        <f>VLOOKUP(Table1[[#This Row],[subscription_type]],Plans!$A$1:$B$5,2,FALSE)</f>
        <v>9.99</v>
      </c>
      <c r="N7215">
        <f t="shared" si="112"/>
        <v>0</v>
      </c>
    </row>
    <row r="7216" spans="1:14" x14ac:dyDescent="0.35">
      <c r="A7216">
        <v>7215</v>
      </c>
      <c r="B7216" t="s">
        <v>20</v>
      </c>
      <c r="C7216">
        <v>54</v>
      </c>
      <c r="D7216" t="s">
        <v>26</v>
      </c>
      <c r="E7216" t="s">
        <v>18</v>
      </c>
      <c r="F7216">
        <v>104</v>
      </c>
      <c r="G7216">
        <v>45</v>
      </c>
      <c r="H7216">
        <v>0.31</v>
      </c>
      <c r="I7216" t="s">
        <v>19</v>
      </c>
      <c r="J7216">
        <v>0</v>
      </c>
      <c r="K7216">
        <v>1</v>
      </c>
      <c r="L7216">
        <v>0</v>
      </c>
      <c r="M7216">
        <f>VLOOKUP(Table1[[#This Row],[subscription_type]],Plans!$A$1:$B$5,2,FALSE)</f>
        <v>14.99</v>
      </c>
      <c r="N7216">
        <f t="shared" si="112"/>
        <v>0</v>
      </c>
    </row>
    <row r="7217" spans="1:14" x14ac:dyDescent="0.35">
      <c r="A7217">
        <v>7216</v>
      </c>
      <c r="B7217" t="s">
        <v>12</v>
      </c>
      <c r="C7217">
        <v>49</v>
      </c>
      <c r="D7217" t="s">
        <v>21</v>
      </c>
      <c r="E7217" t="s">
        <v>24</v>
      </c>
      <c r="F7217">
        <v>208</v>
      </c>
      <c r="G7217">
        <v>62</v>
      </c>
      <c r="H7217">
        <v>0.51</v>
      </c>
      <c r="I7217" t="s">
        <v>15</v>
      </c>
      <c r="J7217">
        <v>0</v>
      </c>
      <c r="K7217">
        <v>1</v>
      </c>
      <c r="L7217">
        <v>0</v>
      </c>
      <c r="M7217">
        <f>VLOOKUP(Table1[[#This Row],[subscription_type]],Plans!$A$1:$B$5,2,FALSE)</f>
        <v>4.99</v>
      </c>
      <c r="N7217">
        <f t="shared" si="112"/>
        <v>0</v>
      </c>
    </row>
    <row r="7218" spans="1:14" x14ac:dyDescent="0.35">
      <c r="A7218">
        <v>7217</v>
      </c>
      <c r="B7218" t="s">
        <v>20</v>
      </c>
      <c r="C7218">
        <v>16</v>
      </c>
      <c r="D7218" t="s">
        <v>28</v>
      </c>
      <c r="E7218" t="s">
        <v>14</v>
      </c>
      <c r="F7218">
        <v>111</v>
      </c>
      <c r="G7218">
        <v>78</v>
      </c>
      <c r="H7218">
        <v>0.24</v>
      </c>
      <c r="I7218" t="s">
        <v>23</v>
      </c>
      <c r="J7218">
        <v>12</v>
      </c>
      <c r="K7218">
        <v>0</v>
      </c>
      <c r="L7218">
        <v>0</v>
      </c>
      <c r="M7218">
        <f>VLOOKUP(Table1[[#This Row],[subscription_type]],Plans!$A$1:$B$5,2,FALSE)</f>
        <v>0</v>
      </c>
      <c r="N7218">
        <f t="shared" si="112"/>
        <v>0</v>
      </c>
    </row>
    <row r="7219" spans="1:14" x14ac:dyDescent="0.35">
      <c r="A7219">
        <v>7218</v>
      </c>
      <c r="B7219" t="s">
        <v>12</v>
      </c>
      <c r="C7219">
        <v>44</v>
      </c>
      <c r="D7219" t="s">
        <v>28</v>
      </c>
      <c r="E7219" t="s">
        <v>14</v>
      </c>
      <c r="F7219">
        <v>273</v>
      </c>
      <c r="G7219">
        <v>46</v>
      </c>
      <c r="H7219">
        <v>0.31</v>
      </c>
      <c r="I7219" t="s">
        <v>19</v>
      </c>
      <c r="J7219">
        <v>38</v>
      </c>
      <c r="K7219">
        <v>0</v>
      </c>
      <c r="L7219">
        <v>0</v>
      </c>
      <c r="M7219">
        <f>VLOOKUP(Table1[[#This Row],[subscription_type]],Plans!$A$1:$B$5,2,FALSE)</f>
        <v>0</v>
      </c>
      <c r="N7219">
        <f t="shared" si="112"/>
        <v>0</v>
      </c>
    </row>
    <row r="7220" spans="1:14" x14ac:dyDescent="0.35">
      <c r="A7220">
        <v>7219</v>
      </c>
      <c r="B7220" t="s">
        <v>16</v>
      </c>
      <c r="C7220">
        <v>37</v>
      </c>
      <c r="D7220" t="s">
        <v>21</v>
      </c>
      <c r="E7220" t="s">
        <v>14</v>
      </c>
      <c r="F7220">
        <v>254</v>
      </c>
      <c r="G7220">
        <v>10</v>
      </c>
      <c r="H7220">
        <v>0.37</v>
      </c>
      <c r="I7220" t="s">
        <v>23</v>
      </c>
      <c r="J7220">
        <v>31</v>
      </c>
      <c r="K7220">
        <v>0</v>
      </c>
      <c r="L7220">
        <v>0</v>
      </c>
      <c r="M7220">
        <f>VLOOKUP(Table1[[#This Row],[subscription_type]],Plans!$A$1:$B$5,2,FALSE)</f>
        <v>0</v>
      </c>
      <c r="N7220">
        <f t="shared" si="112"/>
        <v>0</v>
      </c>
    </row>
    <row r="7221" spans="1:14" x14ac:dyDescent="0.35">
      <c r="A7221">
        <v>7220</v>
      </c>
      <c r="B7221" t="s">
        <v>20</v>
      </c>
      <c r="C7221">
        <v>28</v>
      </c>
      <c r="D7221" t="s">
        <v>26</v>
      </c>
      <c r="E7221" t="s">
        <v>24</v>
      </c>
      <c r="F7221">
        <v>243</v>
      </c>
      <c r="G7221">
        <v>67</v>
      </c>
      <c r="H7221">
        <v>0.02</v>
      </c>
      <c r="I7221" t="s">
        <v>23</v>
      </c>
      <c r="J7221">
        <v>0</v>
      </c>
      <c r="K7221">
        <v>1</v>
      </c>
      <c r="L7221">
        <v>0</v>
      </c>
      <c r="M7221">
        <f>VLOOKUP(Table1[[#This Row],[subscription_type]],Plans!$A$1:$B$5,2,FALSE)</f>
        <v>4.99</v>
      </c>
      <c r="N7221">
        <f t="shared" si="112"/>
        <v>0</v>
      </c>
    </row>
    <row r="7222" spans="1:14" x14ac:dyDescent="0.35">
      <c r="A7222">
        <v>7221</v>
      </c>
      <c r="B7222" t="s">
        <v>16</v>
      </c>
      <c r="C7222">
        <v>50</v>
      </c>
      <c r="D7222" t="s">
        <v>28</v>
      </c>
      <c r="E7222" t="s">
        <v>22</v>
      </c>
      <c r="F7222">
        <v>197</v>
      </c>
      <c r="G7222">
        <v>28</v>
      </c>
      <c r="H7222">
        <v>0.32</v>
      </c>
      <c r="I7222" t="s">
        <v>19</v>
      </c>
      <c r="J7222">
        <v>0</v>
      </c>
      <c r="K7222">
        <v>1</v>
      </c>
      <c r="L7222">
        <v>0</v>
      </c>
      <c r="M7222">
        <f>VLOOKUP(Table1[[#This Row],[subscription_type]],Plans!$A$1:$B$5,2,FALSE)</f>
        <v>9.99</v>
      </c>
      <c r="N7222">
        <f t="shared" si="112"/>
        <v>0</v>
      </c>
    </row>
    <row r="7223" spans="1:14" x14ac:dyDescent="0.35">
      <c r="A7223">
        <v>7222</v>
      </c>
      <c r="B7223" t="s">
        <v>20</v>
      </c>
      <c r="C7223">
        <v>22</v>
      </c>
      <c r="D7223" t="s">
        <v>29</v>
      </c>
      <c r="E7223" t="s">
        <v>18</v>
      </c>
      <c r="F7223">
        <v>107</v>
      </c>
      <c r="G7223">
        <v>81</v>
      </c>
      <c r="H7223">
        <v>0.51</v>
      </c>
      <c r="I7223" t="s">
        <v>15</v>
      </c>
      <c r="J7223">
        <v>0</v>
      </c>
      <c r="K7223">
        <v>1</v>
      </c>
      <c r="L7223">
        <v>0</v>
      </c>
      <c r="M7223">
        <f>VLOOKUP(Table1[[#This Row],[subscription_type]],Plans!$A$1:$B$5,2,FALSE)</f>
        <v>14.99</v>
      </c>
      <c r="N7223">
        <f t="shared" si="112"/>
        <v>0</v>
      </c>
    </row>
    <row r="7224" spans="1:14" x14ac:dyDescent="0.35">
      <c r="A7224">
        <v>7223</v>
      </c>
      <c r="B7224" t="s">
        <v>12</v>
      </c>
      <c r="C7224">
        <v>56</v>
      </c>
      <c r="D7224" t="s">
        <v>13</v>
      </c>
      <c r="E7224" t="s">
        <v>24</v>
      </c>
      <c r="F7224">
        <v>41</v>
      </c>
      <c r="G7224">
        <v>65</v>
      </c>
      <c r="H7224">
        <v>0.01</v>
      </c>
      <c r="I7224" t="s">
        <v>23</v>
      </c>
      <c r="J7224">
        <v>0</v>
      </c>
      <c r="K7224">
        <v>1</v>
      </c>
      <c r="L7224">
        <v>0</v>
      </c>
      <c r="M7224">
        <f>VLOOKUP(Table1[[#This Row],[subscription_type]],Plans!$A$1:$B$5,2,FALSE)</f>
        <v>4.99</v>
      </c>
      <c r="N7224">
        <f t="shared" si="112"/>
        <v>0</v>
      </c>
    </row>
    <row r="7225" spans="1:14" x14ac:dyDescent="0.35">
      <c r="A7225">
        <v>7224</v>
      </c>
      <c r="B7225" t="s">
        <v>16</v>
      </c>
      <c r="C7225">
        <v>28</v>
      </c>
      <c r="D7225" t="s">
        <v>17</v>
      </c>
      <c r="E7225" t="s">
        <v>24</v>
      </c>
      <c r="F7225">
        <v>209</v>
      </c>
      <c r="G7225">
        <v>73</v>
      </c>
      <c r="H7225">
        <v>0.38</v>
      </c>
      <c r="I7225" t="s">
        <v>15</v>
      </c>
      <c r="J7225">
        <v>0</v>
      </c>
      <c r="K7225">
        <v>1</v>
      </c>
      <c r="L7225">
        <v>0</v>
      </c>
      <c r="M7225">
        <f>VLOOKUP(Table1[[#This Row],[subscription_type]],Plans!$A$1:$B$5,2,FALSE)</f>
        <v>4.99</v>
      </c>
      <c r="N7225">
        <f t="shared" si="112"/>
        <v>0</v>
      </c>
    </row>
    <row r="7226" spans="1:14" x14ac:dyDescent="0.35">
      <c r="A7226">
        <v>7225</v>
      </c>
      <c r="B7226" t="s">
        <v>12</v>
      </c>
      <c r="C7226">
        <v>52</v>
      </c>
      <c r="D7226" t="s">
        <v>28</v>
      </c>
      <c r="E7226" t="s">
        <v>22</v>
      </c>
      <c r="F7226">
        <v>105</v>
      </c>
      <c r="G7226">
        <v>9</v>
      </c>
      <c r="H7226">
        <v>0.41</v>
      </c>
      <c r="I7226" t="s">
        <v>23</v>
      </c>
      <c r="J7226">
        <v>0</v>
      </c>
      <c r="K7226">
        <v>1</v>
      </c>
      <c r="L7226">
        <v>0</v>
      </c>
      <c r="M7226">
        <f>VLOOKUP(Table1[[#This Row],[subscription_type]],Plans!$A$1:$B$5,2,FALSE)</f>
        <v>9.99</v>
      </c>
      <c r="N7226">
        <f t="shared" si="112"/>
        <v>0</v>
      </c>
    </row>
    <row r="7227" spans="1:14" x14ac:dyDescent="0.35">
      <c r="A7227">
        <v>7226</v>
      </c>
      <c r="B7227" t="s">
        <v>16</v>
      </c>
      <c r="C7227">
        <v>53</v>
      </c>
      <c r="D7227" t="s">
        <v>27</v>
      </c>
      <c r="E7227" t="s">
        <v>24</v>
      </c>
      <c r="F7227">
        <v>65</v>
      </c>
      <c r="G7227">
        <v>26</v>
      </c>
      <c r="H7227">
        <v>0.33</v>
      </c>
      <c r="I7227" t="s">
        <v>23</v>
      </c>
      <c r="J7227">
        <v>0</v>
      </c>
      <c r="K7227">
        <v>1</v>
      </c>
      <c r="L7227">
        <v>0</v>
      </c>
      <c r="M7227">
        <f>VLOOKUP(Table1[[#This Row],[subscription_type]],Plans!$A$1:$B$5,2,FALSE)</f>
        <v>4.99</v>
      </c>
      <c r="N7227">
        <f t="shared" si="112"/>
        <v>0</v>
      </c>
    </row>
    <row r="7228" spans="1:14" x14ac:dyDescent="0.35">
      <c r="A7228">
        <v>7227</v>
      </c>
      <c r="B7228" t="s">
        <v>20</v>
      </c>
      <c r="C7228">
        <v>32</v>
      </c>
      <c r="D7228" t="s">
        <v>28</v>
      </c>
      <c r="E7228" t="s">
        <v>18</v>
      </c>
      <c r="F7228">
        <v>246</v>
      </c>
      <c r="G7228">
        <v>25</v>
      </c>
      <c r="H7228">
        <v>0.24</v>
      </c>
      <c r="I7228" t="s">
        <v>19</v>
      </c>
      <c r="J7228">
        <v>0</v>
      </c>
      <c r="K7228">
        <v>1</v>
      </c>
      <c r="L7228">
        <v>1</v>
      </c>
      <c r="M7228">
        <f>VLOOKUP(Table1[[#This Row],[subscription_type]],Plans!$A$1:$B$5,2,FALSE)</f>
        <v>14.99</v>
      </c>
      <c r="N7228">
        <f t="shared" si="112"/>
        <v>14.99</v>
      </c>
    </row>
    <row r="7229" spans="1:14" x14ac:dyDescent="0.35">
      <c r="A7229">
        <v>7228</v>
      </c>
      <c r="B7229" t="s">
        <v>20</v>
      </c>
      <c r="C7229">
        <v>22</v>
      </c>
      <c r="D7229" t="s">
        <v>21</v>
      </c>
      <c r="E7229" t="s">
        <v>18</v>
      </c>
      <c r="F7229">
        <v>184</v>
      </c>
      <c r="G7229">
        <v>50</v>
      </c>
      <c r="H7229">
        <v>0.09</v>
      </c>
      <c r="I7229" t="s">
        <v>23</v>
      </c>
      <c r="J7229">
        <v>0</v>
      </c>
      <c r="K7229">
        <v>1</v>
      </c>
      <c r="L7229">
        <v>0</v>
      </c>
      <c r="M7229">
        <f>VLOOKUP(Table1[[#This Row],[subscription_type]],Plans!$A$1:$B$5,2,FALSE)</f>
        <v>14.99</v>
      </c>
      <c r="N7229">
        <f t="shared" si="112"/>
        <v>0</v>
      </c>
    </row>
    <row r="7230" spans="1:14" x14ac:dyDescent="0.35">
      <c r="A7230">
        <v>7229</v>
      </c>
      <c r="B7230" t="s">
        <v>20</v>
      </c>
      <c r="C7230">
        <v>16</v>
      </c>
      <c r="D7230" t="s">
        <v>25</v>
      </c>
      <c r="E7230" t="s">
        <v>22</v>
      </c>
      <c r="F7230">
        <v>94</v>
      </c>
      <c r="G7230">
        <v>2</v>
      </c>
      <c r="H7230">
        <v>0.56000000000000005</v>
      </c>
      <c r="I7230" t="s">
        <v>19</v>
      </c>
      <c r="J7230">
        <v>0</v>
      </c>
      <c r="K7230">
        <v>1</v>
      </c>
      <c r="L7230">
        <v>1</v>
      </c>
      <c r="M7230">
        <f>VLOOKUP(Table1[[#This Row],[subscription_type]],Plans!$A$1:$B$5,2,FALSE)</f>
        <v>9.99</v>
      </c>
      <c r="N7230">
        <f t="shared" si="112"/>
        <v>9.99</v>
      </c>
    </row>
    <row r="7231" spans="1:14" x14ac:dyDescent="0.35">
      <c r="A7231">
        <v>7230</v>
      </c>
      <c r="B7231" t="s">
        <v>12</v>
      </c>
      <c r="C7231">
        <v>51</v>
      </c>
      <c r="D7231" t="s">
        <v>25</v>
      </c>
      <c r="E7231" t="s">
        <v>18</v>
      </c>
      <c r="F7231">
        <v>152</v>
      </c>
      <c r="G7231">
        <v>17</v>
      </c>
      <c r="H7231">
        <v>0.55000000000000004</v>
      </c>
      <c r="I7231" t="s">
        <v>15</v>
      </c>
      <c r="J7231">
        <v>0</v>
      </c>
      <c r="K7231">
        <v>1</v>
      </c>
      <c r="L7231">
        <v>1</v>
      </c>
      <c r="M7231">
        <f>VLOOKUP(Table1[[#This Row],[subscription_type]],Plans!$A$1:$B$5,2,FALSE)</f>
        <v>14.99</v>
      </c>
      <c r="N7231">
        <f t="shared" si="112"/>
        <v>14.99</v>
      </c>
    </row>
    <row r="7232" spans="1:14" x14ac:dyDescent="0.35">
      <c r="A7232">
        <v>7231</v>
      </c>
      <c r="B7232" t="s">
        <v>12</v>
      </c>
      <c r="C7232">
        <v>37</v>
      </c>
      <c r="D7232" t="s">
        <v>21</v>
      </c>
      <c r="E7232" t="s">
        <v>14</v>
      </c>
      <c r="F7232">
        <v>59</v>
      </c>
      <c r="G7232">
        <v>44</v>
      </c>
      <c r="H7232">
        <v>0.33</v>
      </c>
      <c r="I7232" t="s">
        <v>23</v>
      </c>
      <c r="J7232">
        <v>33</v>
      </c>
      <c r="K7232">
        <v>0</v>
      </c>
      <c r="L7232">
        <v>1</v>
      </c>
      <c r="M7232">
        <f>VLOOKUP(Table1[[#This Row],[subscription_type]],Plans!$A$1:$B$5,2,FALSE)</f>
        <v>0</v>
      </c>
      <c r="N7232">
        <f t="shared" si="112"/>
        <v>0</v>
      </c>
    </row>
    <row r="7233" spans="1:14" x14ac:dyDescent="0.35">
      <c r="A7233">
        <v>7232</v>
      </c>
      <c r="B7233" t="s">
        <v>16</v>
      </c>
      <c r="C7233">
        <v>16</v>
      </c>
      <c r="D7233" t="s">
        <v>13</v>
      </c>
      <c r="E7233" t="s">
        <v>24</v>
      </c>
      <c r="F7233">
        <v>118</v>
      </c>
      <c r="G7233">
        <v>68</v>
      </c>
      <c r="H7233">
        <v>0.44</v>
      </c>
      <c r="I7233" t="s">
        <v>19</v>
      </c>
      <c r="J7233">
        <v>0</v>
      </c>
      <c r="K7233">
        <v>1</v>
      </c>
      <c r="L7233">
        <v>0</v>
      </c>
      <c r="M7233">
        <f>VLOOKUP(Table1[[#This Row],[subscription_type]],Plans!$A$1:$B$5,2,FALSE)</f>
        <v>4.99</v>
      </c>
      <c r="N7233">
        <f t="shared" si="112"/>
        <v>0</v>
      </c>
    </row>
    <row r="7234" spans="1:14" x14ac:dyDescent="0.35">
      <c r="A7234">
        <v>7233</v>
      </c>
      <c r="B7234" t="s">
        <v>16</v>
      </c>
      <c r="C7234">
        <v>21</v>
      </c>
      <c r="D7234" t="s">
        <v>27</v>
      </c>
      <c r="E7234" t="s">
        <v>18</v>
      </c>
      <c r="F7234">
        <v>125</v>
      </c>
      <c r="G7234">
        <v>29</v>
      </c>
      <c r="H7234">
        <v>0.08</v>
      </c>
      <c r="I7234" t="s">
        <v>19</v>
      </c>
      <c r="J7234">
        <v>0</v>
      </c>
      <c r="K7234">
        <v>1</v>
      </c>
      <c r="L7234">
        <v>0</v>
      </c>
      <c r="M7234">
        <f>VLOOKUP(Table1[[#This Row],[subscription_type]],Plans!$A$1:$B$5,2,FALSE)</f>
        <v>14.99</v>
      </c>
      <c r="N7234">
        <f t="shared" ref="N7234:N7297" si="113">IF(L7234=1, M7234,0)</f>
        <v>0</v>
      </c>
    </row>
    <row r="7235" spans="1:14" x14ac:dyDescent="0.35">
      <c r="A7235">
        <v>7234</v>
      </c>
      <c r="B7235" t="s">
        <v>20</v>
      </c>
      <c r="C7235">
        <v>18</v>
      </c>
      <c r="D7235" t="s">
        <v>17</v>
      </c>
      <c r="E7235" t="s">
        <v>18</v>
      </c>
      <c r="F7235">
        <v>214</v>
      </c>
      <c r="G7235">
        <v>58</v>
      </c>
      <c r="H7235">
        <v>0.55000000000000004</v>
      </c>
      <c r="I7235" t="s">
        <v>19</v>
      </c>
      <c r="J7235">
        <v>0</v>
      </c>
      <c r="K7235">
        <v>1</v>
      </c>
      <c r="L7235">
        <v>0</v>
      </c>
      <c r="M7235">
        <f>VLOOKUP(Table1[[#This Row],[subscription_type]],Plans!$A$1:$B$5,2,FALSE)</f>
        <v>14.99</v>
      </c>
      <c r="N7235">
        <f t="shared" si="113"/>
        <v>0</v>
      </c>
    </row>
    <row r="7236" spans="1:14" x14ac:dyDescent="0.35">
      <c r="A7236">
        <v>7235</v>
      </c>
      <c r="B7236" t="s">
        <v>16</v>
      </c>
      <c r="C7236">
        <v>45</v>
      </c>
      <c r="D7236" t="s">
        <v>13</v>
      </c>
      <c r="E7236" t="s">
        <v>14</v>
      </c>
      <c r="F7236">
        <v>106</v>
      </c>
      <c r="G7236">
        <v>62</v>
      </c>
      <c r="H7236">
        <v>0.52</v>
      </c>
      <c r="I7236" t="s">
        <v>19</v>
      </c>
      <c r="J7236">
        <v>41</v>
      </c>
      <c r="K7236">
        <v>0</v>
      </c>
      <c r="L7236">
        <v>1</v>
      </c>
      <c r="M7236">
        <f>VLOOKUP(Table1[[#This Row],[subscription_type]],Plans!$A$1:$B$5,2,FALSE)</f>
        <v>0</v>
      </c>
      <c r="N7236">
        <f t="shared" si="113"/>
        <v>0</v>
      </c>
    </row>
    <row r="7237" spans="1:14" x14ac:dyDescent="0.35">
      <c r="A7237">
        <v>7236</v>
      </c>
      <c r="B7237" t="s">
        <v>16</v>
      </c>
      <c r="C7237">
        <v>54</v>
      </c>
      <c r="D7237" t="s">
        <v>17</v>
      </c>
      <c r="E7237" t="s">
        <v>14</v>
      </c>
      <c r="F7237">
        <v>163</v>
      </c>
      <c r="G7237">
        <v>68</v>
      </c>
      <c r="H7237">
        <v>0.24</v>
      </c>
      <c r="I7237" t="s">
        <v>15</v>
      </c>
      <c r="J7237">
        <v>47</v>
      </c>
      <c r="K7237">
        <v>0</v>
      </c>
      <c r="L7237">
        <v>1</v>
      </c>
      <c r="M7237">
        <f>VLOOKUP(Table1[[#This Row],[subscription_type]],Plans!$A$1:$B$5,2,FALSE)</f>
        <v>0</v>
      </c>
      <c r="N7237">
        <f t="shared" si="113"/>
        <v>0</v>
      </c>
    </row>
    <row r="7238" spans="1:14" x14ac:dyDescent="0.35">
      <c r="A7238">
        <v>7237</v>
      </c>
      <c r="B7238" t="s">
        <v>20</v>
      </c>
      <c r="C7238">
        <v>38</v>
      </c>
      <c r="D7238" t="s">
        <v>26</v>
      </c>
      <c r="E7238" t="s">
        <v>24</v>
      </c>
      <c r="F7238">
        <v>244</v>
      </c>
      <c r="G7238">
        <v>46</v>
      </c>
      <c r="H7238">
        <v>0.1</v>
      </c>
      <c r="I7238" t="s">
        <v>15</v>
      </c>
      <c r="J7238">
        <v>0</v>
      </c>
      <c r="K7238">
        <v>1</v>
      </c>
      <c r="L7238">
        <v>0</v>
      </c>
      <c r="M7238">
        <f>VLOOKUP(Table1[[#This Row],[subscription_type]],Plans!$A$1:$B$5,2,FALSE)</f>
        <v>4.99</v>
      </c>
      <c r="N7238">
        <f t="shared" si="113"/>
        <v>0</v>
      </c>
    </row>
    <row r="7239" spans="1:14" x14ac:dyDescent="0.35">
      <c r="A7239">
        <v>7238</v>
      </c>
      <c r="B7239" t="s">
        <v>16</v>
      </c>
      <c r="C7239">
        <v>57</v>
      </c>
      <c r="D7239" t="s">
        <v>13</v>
      </c>
      <c r="E7239" t="s">
        <v>18</v>
      </c>
      <c r="F7239">
        <v>107</v>
      </c>
      <c r="G7239">
        <v>32</v>
      </c>
      <c r="H7239">
        <v>0.14000000000000001</v>
      </c>
      <c r="I7239" t="s">
        <v>15</v>
      </c>
      <c r="J7239">
        <v>0</v>
      </c>
      <c r="K7239">
        <v>1</v>
      </c>
      <c r="L7239">
        <v>1</v>
      </c>
      <c r="M7239">
        <f>VLOOKUP(Table1[[#This Row],[subscription_type]],Plans!$A$1:$B$5,2,FALSE)</f>
        <v>14.99</v>
      </c>
      <c r="N7239">
        <f t="shared" si="113"/>
        <v>14.99</v>
      </c>
    </row>
    <row r="7240" spans="1:14" x14ac:dyDescent="0.35">
      <c r="A7240">
        <v>7239</v>
      </c>
      <c r="B7240" t="s">
        <v>20</v>
      </c>
      <c r="C7240">
        <v>50</v>
      </c>
      <c r="D7240" t="s">
        <v>17</v>
      </c>
      <c r="E7240" t="s">
        <v>14</v>
      </c>
      <c r="F7240">
        <v>95</v>
      </c>
      <c r="G7240">
        <v>6</v>
      </c>
      <c r="H7240">
        <v>0.34</v>
      </c>
      <c r="I7240" t="s">
        <v>19</v>
      </c>
      <c r="J7240">
        <v>14</v>
      </c>
      <c r="K7240">
        <v>0</v>
      </c>
      <c r="L7240">
        <v>0</v>
      </c>
      <c r="M7240">
        <f>VLOOKUP(Table1[[#This Row],[subscription_type]],Plans!$A$1:$B$5,2,FALSE)</f>
        <v>0</v>
      </c>
      <c r="N7240">
        <f t="shared" si="113"/>
        <v>0</v>
      </c>
    </row>
    <row r="7241" spans="1:14" x14ac:dyDescent="0.35">
      <c r="A7241">
        <v>7240</v>
      </c>
      <c r="B7241" t="s">
        <v>16</v>
      </c>
      <c r="C7241">
        <v>52</v>
      </c>
      <c r="D7241" t="s">
        <v>21</v>
      </c>
      <c r="E7241" t="s">
        <v>24</v>
      </c>
      <c r="F7241">
        <v>258</v>
      </c>
      <c r="G7241">
        <v>49</v>
      </c>
      <c r="H7241">
        <v>0.51</v>
      </c>
      <c r="I7241" t="s">
        <v>23</v>
      </c>
      <c r="J7241">
        <v>0</v>
      </c>
      <c r="K7241">
        <v>1</v>
      </c>
      <c r="L7241">
        <v>0</v>
      </c>
      <c r="M7241">
        <f>VLOOKUP(Table1[[#This Row],[subscription_type]],Plans!$A$1:$B$5,2,FALSE)</f>
        <v>4.99</v>
      </c>
      <c r="N7241">
        <f t="shared" si="113"/>
        <v>0</v>
      </c>
    </row>
    <row r="7242" spans="1:14" x14ac:dyDescent="0.35">
      <c r="A7242">
        <v>7241</v>
      </c>
      <c r="B7242" t="s">
        <v>20</v>
      </c>
      <c r="C7242">
        <v>18</v>
      </c>
      <c r="D7242" t="s">
        <v>17</v>
      </c>
      <c r="E7242" t="s">
        <v>24</v>
      </c>
      <c r="F7242">
        <v>268</v>
      </c>
      <c r="G7242">
        <v>21</v>
      </c>
      <c r="H7242">
        <v>0.36</v>
      </c>
      <c r="I7242" t="s">
        <v>19</v>
      </c>
      <c r="J7242">
        <v>0</v>
      </c>
      <c r="K7242">
        <v>1</v>
      </c>
      <c r="L7242">
        <v>1</v>
      </c>
      <c r="M7242">
        <f>VLOOKUP(Table1[[#This Row],[subscription_type]],Plans!$A$1:$B$5,2,FALSE)</f>
        <v>4.99</v>
      </c>
      <c r="N7242">
        <f t="shared" si="113"/>
        <v>4.99</v>
      </c>
    </row>
    <row r="7243" spans="1:14" x14ac:dyDescent="0.35">
      <c r="A7243">
        <v>7242</v>
      </c>
      <c r="B7243" t="s">
        <v>20</v>
      </c>
      <c r="C7243">
        <v>57</v>
      </c>
      <c r="D7243" t="s">
        <v>28</v>
      </c>
      <c r="E7243" t="s">
        <v>22</v>
      </c>
      <c r="F7243">
        <v>138</v>
      </c>
      <c r="G7243">
        <v>3</v>
      </c>
      <c r="H7243">
        <v>0.42</v>
      </c>
      <c r="I7243" t="s">
        <v>23</v>
      </c>
      <c r="J7243">
        <v>0</v>
      </c>
      <c r="K7243">
        <v>1</v>
      </c>
      <c r="L7243">
        <v>0</v>
      </c>
      <c r="M7243">
        <f>VLOOKUP(Table1[[#This Row],[subscription_type]],Plans!$A$1:$B$5,2,FALSE)</f>
        <v>9.99</v>
      </c>
      <c r="N7243">
        <f t="shared" si="113"/>
        <v>0</v>
      </c>
    </row>
    <row r="7244" spans="1:14" x14ac:dyDescent="0.35">
      <c r="A7244">
        <v>7243</v>
      </c>
      <c r="B7244" t="s">
        <v>20</v>
      </c>
      <c r="C7244">
        <v>35</v>
      </c>
      <c r="D7244" t="s">
        <v>29</v>
      </c>
      <c r="E7244" t="s">
        <v>22</v>
      </c>
      <c r="F7244">
        <v>216</v>
      </c>
      <c r="G7244">
        <v>36</v>
      </c>
      <c r="H7244">
        <v>0.43</v>
      </c>
      <c r="I7244" t="s">
        <v>19</v>
      </c>
      <c r="J7244">
        <v>0</v>
      </c>
      <c r="K7244">
        <v>1</v>
      </c>
      <c r="L7244">
        <v>0</v>
      </c>
      <c r="M7244">
        <f>VLOOKUP(Table1[[#This Row],[subscription_type]],Plans!$A$1:$B$5,2,FALSE)</f>
        <v>9.99</v>
      </c>
      <c r="N7244">
        <f t="shared" si="113"/>
        <v>0</v>
      </c>
    </row>
    <row r="7245" spans="1:14" x14ac:dyDescent="0.35">
      <c r="A7245">
        <v>7244</v>
      </c>
      <c r="B7245" t="s">
        <v>20</v>
      </c>
      <c r="C7245">
        <v>25</v>
      </c>
      <c r="D7245" t="s">
        <v>28</v>
      </c>
      <c r="E7245" t="s">
        <v>24</v>
      </c>
      <c r="F7245">
        <v>56</v>
      </c>
      <c r="G7245">
        <v>30</v>
      </c>
      <c r="H7245">
        <v>0.53</v>
      </c>
      <c r="I7245" t="s">
        <v>19</v>
      </c>
      <c r="J7245">
        <v>0</v>
      </c>
      <c r="K7245">
        <v>1</v>
      </c>
      <c r="L7245">
        <v>0</v>
      </c>
      <c r="M7245">
        <f>VLOOKUP(Table1[[#This Row],[subscription_type]],Plans!$A$1:$B$5,2,FALSE)</f>
        <v>4.99</v>
      </c>
      <c r="N7245">
        <f t="shared" si="113"/>
        <v>0</v>
      </c>
    </row>
    <row r="7246" spans="1:14" x14ac:dyDescent="0.35">
      <c r="A7246">
        <v>7245</v>
      </c>
      <c r="B7246" t="s">
        <v>12</v>
      </c>
      <c r="C7246">
        <v>34</v>
      </c>
      <c r="D7246" t="s">
        <v>25</v>
      </c>
      <c r="E7246" t="s">
        <v>24</v>
      </c>
      <c r="F7246">
        <v>244</v>
      </c>
      <c r="G7246">
        <v>68</v>
      </c>
      <c r="H7246">
        <v>0.6</v>
      </c>
      <c r="I7246" t="s">
        <v>15</v>
      </c>
      <c r="J7246">
        <v>0</v>
      </c>
      <c r="K7246">
        <v>1</v>
      </c>
      <c r="L7246">
        <v>1</v>
      </c>
      <c r="M7246">
        <f>VLOOKUP(Table1[[#This Row],[subscription_type]],Plans!$A$1:$B$5,2,FALSE)</f>
        <v>4.99</v>
      </c>
      <c r="N7246">
        <f t="shared" si="113"/>
        <v>4.99</v>
      </c>
    </row>
    <row r="7247" spans="1:14" x14ac:dyDescent="0.35">
      <c r="A7247">
        <v>7246</v>
      </c>
      <c r="B7247" t="s">
        <v>20</v>
      </c>
      <c r="C7247">
        <v>36</v>
      </c>
      <c r="D7247" t="s">
        <v>26</v>
      </c>
      <c r="E7247" t="s">
        <v>18</v>
      </c>
      <c r="F7247">
        <v>214</v>
      </c>
      <c r="G7247">
        <v>15</v>
      </c>
      <c r="H7247">
        <v>0.56999999999999995</v>
      </c>
      <c r="I7247" t="s">
        <v>15</v>
      </c>
      <c r="J7247">
        <v>0</v>
      </c>
      <c r="K7247">
        <v>1</v>
      </c>
      <c r="L7247">
        <v>0</v>
      </c>
      <c r="M7247">
        <f>VLOOKUP(Table1[[#This Row],[subscription_type]],Plans!$A$1:$B$5,2,FALSE)</f>
        <v>14.99</v>
      </c>
      <c r="N7247">
        <f t="shared" si="113"/>
        <v>0</v>
      </c>
    </row>
    <row r="7248" spans="1:14" x14ac:dyDescent="0.35">
      <c r="A7248">
        <v>7247</v>
      </c>
      <c r="B7248" t="s">
        <v>12</v>
      </c>
      <c r="C7248">
        <v>42</v>
      </c>
      <c r="D7248" t="s">
        <v>29</v>
      </c>
      <c r="E7248" t="s">
        <v>18</v>
      </c>
      <c r="F7248">
        <v>134</v>
      </c>
      <c r="G7248">
        <v>35</v>
      </c>
      <c r="H7248">
        <v>0.57999999999999996</v>
      </c>
      <c r="I7248" t="s">
        <v>19</v>
      </c>
      <c r="J7248">
        <v>0</v>
      </c>
      <c r="K7248">
        <v>1</v>
      </c>
      <c r="L7248">
        <v>0</v>
      </c>
      <c r="M7248">
        <f>VLOOKUP(Table1[[#This Row],[subscription_type]],Plans!$A$1:$B$5,2,FALSE)</f>
        <v>14.99</v>
      </c>
      <c r="N7248">
        <f t="shared" si="113"/>
        <v>0</v>
      </c>
    </row>
    <row r="7249" spans="1:14" x14ac:dyDescent="0.35">
      <c r="A7249">
        <v>7248</v>
      </c>
      <c r="B7249" t="s">
        <v>12</v>
      </c>
      <c r="C7249">
        <v>20</v>
      </c>
      <c r="D7249" t="s">
        <v>29</v>
      </c>
      <c r="E7249" t="s">
        <v>18</v>
      </c>
      <c r="F7249">
        <v>226</v>
      </c>
      <c r="G7249">
        <v>11</v>
      </c>
      <c r="H7249">
        <v>0.06</v>
      </c>
      <c r="I7249" t="s">
        <v>19</v>
      </c>
      <c r="J7249">
        <v>0</v>
      </c>
      <c r="K7249">
        <v>1</v>
      </c>
      <c r="L7249">
        <v>0</v>
      </c>
      <c r="M7249">
        <f>VLOOKUP(Table1[[#This Row],[subscription_type]],Plans!$A$1:$B$5,2,FALSE)</f>
        <v>14.99</v>
      </c>
      <c r="N7249">
        <f t="shared" si="113"/>
        <v>0</v>
      </c>
    </row>
    <row r="7250" spans="1:14" x14ac:dyDescent="0.35">
      <c r="A7250">
        <v>7249</v>
      </c>
      <c r="B7250" t="s">
        <v>20</v>
      </c>
      <c r="C7250">
        <v>46</v>
      </c>
      <c r="D7250" t="s">
        <v>25</v>
      </c>
      <c r="E7250" t="s">
        <v>22</v>
      </c>
      <c r="F7250">
        <v>15</v>
      </c>
      <c r="G7250">
        <v>38</v>
      </c>
      <c r="H7250">
        <v>0.13</v>
      </c>
      <c r="I7250" t="s">
        <v>15</v>
      </c>
      <c r="J7250">
        <v>0</v>
      </c>
      <c r="K7250">
        <v>1</v>
      </c>
      <c r="L7250">
        <v>0</v>
      </c>
      <c r="M7250">
        <f>VLOOKUP(Table1[[#This Row],[subscription_type]],Plans!$A$1:$B$5,2,FALSE)</f>
        <v>9.99</v>
      </c>
      <c r="N7250">
        <f t="shared" si="113"/>
        <v>0</v>
      </c>
    </row>
    <row r="7251" spans="1:14" x14ac:dyDescent="0.35">
      <c r="A7251">
        <v>7250</v>
      </c>
      <c r="B7251" t="s">
        <v>16</v>
      </c>
      <c r="C7251">
        <v>27</v>
      </c>
      <c r="D7251" t="s">
        <v>26</v>
      </c>
      <c r="E7251" t="s">
        <v>14</v>
      </c>
      <c r="F7251">
        <v>20</v>
      </c>
      <c r="G7251">
        <v>87</v>
      </c>
      <c r="H7251">
        <v>0.59</v>
      </c>
      <c r="I7251" t="s">
        <v>19</v>
      </c>
      <c r="J7251">
        <v>25</v>
      </c>
      <c r="K7251">
        <v>0</v>
      </c>
      <c r="L7251">
        <v>0</v>
      </c>
      <c r="M7251">
        <f>VLOOKUP(Table1[[#This Row],[subscription_type]],Plans!$A$1:$B$5,2,FALSE)</f>
        <v>0</v>
      </c>
      <c r="N7251">
        <f t="shared" si="113"/>
        <v>0</v>
      </c>
    </row>
    <row r="7252" spans="1:14" x14ac:dyDescent="0.35">
      <c r="A7252">
        <v>7251</v>
      </c>
      <c r="B7252" t="s">
        <v>12</v>
      </c>
      <c r="C7252">
        <v>54</v>
      </c>
      <c r="D7252" t="s">
        <v>13</v>
      </c>
      <c r="E7252" t="s">
        <v>22</v>
      </c>
      <c r="F7252">
        <v>266</v>
      </c>
      <c r="G7252">
        <v>60</v>
      </c>
      <c r="H7252">
        <v>0.16</v>
      </c>
      <c r="I7252" t="s">
        <v>19</v>
      </c>
      <c r="J7252">
        <v>0</v>
      </c>
      <c r="K7252">
        <v>1</v>
      </c>
      <c r="L7252">
        <v>0</v>
      </c>
      <c r="M7252">
        <f>VLOOKUP(Table1[[#This Row],[subscription_type]],Plans!$A$1:$B$5,2,FALSE)</f>
        <v>9.99</v>
      </c>
      <c r="N7252">
        <f t="shared" si="113"/>
        <v>0</v>
      </c>
    </row>
    <row r="7253" spans="1:14" x14ac:dyDescent="0.35">
      <c r="A7253">
        <v>7252</v>
      </c>
      <c r="B7253" t="s">
        <v>20</v>
      </c>
      <c r="C7253">
        <v>49</v>
      </c>
      <c r="D7253" t="s">
        <v>27</v>
      </c>
      <c r="E7253" t="s">
        <v>18</v>
      </c>
      <c r="F7253">
        <v>42</v>
      </c>
      <c r="G7253">
        <v>41</v>
      </c>
      <c r="H7253">
        <v>0.19</v>
      </c>
      <c r="I7253" t="s">
        <v>15</v>
      </c>
      <c r="J7253">
        <v>0</v>
      </c>
      <c r="K7253">
        <v>1</v>
      </c>
      <c r="L7253">
        <v>0</v>
      </c>
      <c r="M7253">
        <f>VLOOKUP(Table1[[#This Row],[subscription_type]],Plans!$A$1:$B$5,2,FALSE)</f>
        <v>14.99</v>
      </c>
      <c r="N7253">
        <f t="shared" si="113"/>
        <v>0</v>
      </c>
    </row>
    <row r="7254" spans="1:14" x14ac:dyDescent="0.35">
      <c r="A7254">
        <v>7253</v>
      </c>
      <c r="B7254" t="s">
        <v>20</v>
      </c>
      <c r="C7254">
        <v>55</v>
      </c>
      <c r="D7254" t="s">
        <v>25</v>
      </c>
      <c r="E7254" t="s">
        <v>14</v>
      </c>
      <c r="F7254">
        <v>23</v>
      </c>
      <c r="G7254">
        <v>64</v>
      </c>
      <c r="H7254">
        <v>0.01</v>
      </c>
      <c r="I7254" t="s">
        <v>19</v>
      </c>
      <c r="J7254">
        <v>26</v>
      </c>
      <c r="K7254">
        <v>0</v>
      </c>
      <c r="L7254">
        <v>0</v>
      </c>
      <c r="M7254">
        <f>VLOOKUP(Table1[[#This Row],[subscription_type]],Plans!$A$1:$B$5,2,FALSE)</f>
        <v>0</v>
      </c>
      <c r="N7254">
        <f t="shared" si="113"/>
        <v>0</v>
      </c>
    </row>
    <row r="7255" spans="1:14" x14ac:dyDescent="0.35">
      <c r="A7255">
        <v>7254</v>
      </c>
      <c r="B7255" t="s">
        <v>16</v>
      </c>
      <c r="C7255">
        <v>29</v>
      </c>
      <c r="D7255" t="s">
        <v>26</v>
      </c>
      <c r="E7255" t="s">
        <v>22</v>
      </c>
      <c r="F7255">
        <v>223</v>
      </c>
      <c r="G7255">
        <v>52</v>
      </c>
      <c r="H7255">
        <v>0.28000000000000003</v>
      </c>
      <c r="I7255" t="s">
        <v>23</v>
      </c>
      <c r="J7255">
        <v>0</v>
      </c>
      <c r="K7255">
        <v>1</v>
      </c>
      <c r="L7255">
        <v>0</v>
      </c>
      <c r="M7255">
        <f>VLOOKUP(Table1[[#This Row],[subscription_type]],Plans!$A$1:$B$5,2,FALSE)</f>
        <v>9.99</v>
      </c>
      <c r="N7255">
        <f t="shared" si="113"/>
        <v>0</v>
      </c>
    </row>
    <row r="7256" spans="1:14" x14ac:dyDescent="0.35">
      <c r="A7256">
        <v>7255</v>
      </c>
      <c r="B7256" t="s">
        <v>12</v>
      </c>
      <c r="C7256">
        <v>46</v>
      </c>
      <c r="D7256" t="s">
        <v>27</v>
      </c>
      <c r="E7256" t="s">
        <v>24</v>
      </c>
      <c r="F7256">
        <v>35</v>
      </c>
      <c r="G7256">
        <v>20</v>
      </c>
      <c r="H7256">
        <v>0.36</v>
      </c>
      <c r="I7256" t="s">
        <v>19</v>
      </c>
      <c r="J7256">
        <v>0</v>
      </c>
      <c r="K7256">
        <v>1</v>
      </c>
      <c r="L7256">
        <v>0</v>
      </c>
      <c r="M7256">
        <f>VLOOKUP(Table1[[#This Row],[subscription_type]],Plans!$A$1:$B$5,2,FALSE)</f>
        <v>4.99</v>
      </c>
      <c r="N7256">
        <f t="shared" si="113"/>
        <v>0</v>
      </c>
    </row>
    <row r="7257" spans="1:14" x14ac:dyDescent="0.35">
      <c r="A7257">
        <v>7256</v>
      </c>
      <c r="B7257" t="s">
        <v>16</v>
      </c>
      <c r="C7257">
        <v>43</v>
      </c>
      <c r="D7257" t="s">
        <v>13</v>
      </c>
      <c r="E7257" t="s">
        <v>18</v>
      </c>
      <c r="F7257">
        <v>84</v>
      </c>
      <c r="G7257">
        <v>96</v>
      </c>
      <c r="H7257">
        <v>0.08</v>
      </c>
      <c r="I7257" t="s">
        <v>23</v>
      </c>
      <c r="J7257">
        <v>0</v>
      </c>
      <c r="K7257">
        <v>1</v>
      </c>
      <c r="L7257">
        <v>1</v>
      </c>
      <c r="M7257">
        <f>VLOOKUP(Table1[[#This Row],[subscription_type]],Plans!$A$1:$B$5,2,FALSE)</f>
        <v>14.99</v>
      </c>
      <c r="N7257">
        <f t="shared" si="113"/>
        <v>14.99</v>
      </c>
    </row>
    <row r="7258" spans="1:14" x14ac:dyDescent="0.35">
      <c r="A7258">
        <v>7257</v>
      </c>
      <c r="B7258" t="s">
        <v>16</v>
      </c>
      <c r="C7258">
        <v>32</v>
      </c>
      <c r="D7258" t="s">
        <v>21</v>
      </c>
      <c r="E7258" t="s">
        <v>18</v>
      </c>
      <c r="F7258">
        <v>212</v>
      </c>
      <c r="G7258">
        <v>74</v>
      </c>
      <c r="H7258">
        <v>0.12</v>
      </c>
      <c r="I7258" t="s">
        <v>15</v>
      </c>
      <c r="J7258">
        <v>0</v>
      </c>
      <c r="K7258">
        <v>1</v>
      </c>
      <c r="L7258">
        <v>1</v>
      </c>
      <c r="M7258">
        <f>VLOOKUP(Table1[[#This Row],[subscription_type]],Plans!$A$1:$B$5,2,FALSE)</f>
        <v>14.99</v>
      </c>
      <c r="N7258">
        <f t="shared" si="113"/>
        <v>14.99</v>
      </c>
    </row>
    <row r="7259" spans="1:14" x14ac:dyDescent="0.35">
      <c r="A7259">
        <v>7258</v>
      </c>
      <c r="B7259" t="s">
        <v>16</v>
      </c>
      <c r="C7259">
        <v>56</v>
      </c>
      <c r="D7259" t="s">
        <v>29</v>
      </c>
      <c r="E7259" t="s">
        <v>24</v>
      </c>
      <c r="F7259">
        <v>289</v>
      </c>
      <c r="G7259">
        <v>99</v>
      </c>
      <c r="H7259">
        <v>0.38</v>
      </c>
      <c r="I7259" t="s">
        <v>15</v>
      </c>
      <c r="J7259">
        <v>0</v>
      </c>
      <c r="K7259">
        <v>1</v>
      </c>
      <c r="L7259">
        <v>1</v>
      </c>
      <c r="M7259">
        <f>VLOOKUP(Table1[[#This Row],[subscription_type]],Plans!$A$1:$B$5,2,FALSE)</f>
        <v>4.99</v>
      </c>
      <c r="N7259">
        <f t="shared" si="113"/>
        <v>4.99</v>
      </c>
    </row>
    <row r="7260" spans="1:14" x14ac:dyDescent="0.35">
      <c r="A7260">
        <v>7259</v>
      </c>
      <c r="B7260" t="s">
        <v>12</v>
      </c>
      <c r="C7260">
        <v>32</v>
      </c>
      <c r="D7260" t="s">
        <v>17</v>
      </c>
      <c r="E7260" t="s">
        <v>22</v>
      </c>
      <c r="F7260">
        <v>88</v>
      </c>
      <c r="G7260">
        <v>75</v>
      </c>
      <c r="H7260">
        <v>0.54</v>
      </c>
      <c r="I7260" t="s">
        <v>23</v>
      </c>
      <c r="J7260">
        <v>0</v>
      </c>
      <c r="K7260">
        <v>1</v>
      </c>
      <c r="L7260">
        <v>1</v>
      </c>
      <c r="M7260">
        <f>VLOOKUP(Table1[[#This Row],[subscription_type]],Plans!$A$1:$B$5,2,FALSE)</f>
        <v>9.99</v>
      </c>
      <c r="N7260">
        <f t="shared" si="113"/>
        <v>9.99</v>
      </c>
    </row>
    <row r="7261" spans="1:14" x14ac:dyDescent="0.35">
      <c r="A7261">
        <v>7260</v>
      </c>
      <c r="B7261" t="s">
        <v>20</v>
      </c>
      <c r="C7261">
        <v>41</v>
      </c>
      <c r="D7261" t="s">
        <v>29</v>
      </c>
      <c r="E7261" t="s">
        <v>22</v>
      </c>
      <c r="F7261">
        <v>14</v>
      </c>
      <c r="G7261">
        <v>27</v>
      </c>
      <c r="H7261">
        <v>0.11</v>
      </c>
      <c r="I7261" t="s">
        <v>19</v>
      </c>
      <c r="J7261">
        <v>0</v>
      </c>
      <c r="K7261">
        <v>1</v>
      </c>
      <c r="L7261">
        <v>0</v>
      </c>
      <c r="M7261">
        <f>VLOOKUP(Table1[[#This Row],[subscription_type]],Plans!$A$1:$B$5,2,FALSE)</f>
        <v>9.99</v>
      </c>
      <c r="N7261">
        <f t="shared" si="113"/>
        <v>0</v>
      </c>
    </row>
    <row r="7262" spans="1:14" x14ac:dyDescent="0.35">
      <c r="A7262">
        <v>7261</v>
      </c>
      <c r="B7262" t="s">
        <v>12</v>
      </c>
      <c r="C7262">
        <v>51</v>
      </c>
      <c r="D7262" t="s">
        <v>25</v>
      </c>
      <c r="E7262" t="s">
        <v>22</v>
      </c>
      <c r="F7262">
        <v>57</v>
      </c>
      <c r="G7262">
        <v>13</v>
      </c>
      <c r="H7262">
        <v>0.34</v>
      </c>
      <c r="I7262" t="s">
        <v>15</v>
      </c>
      <c r="J7262">
        <v>0</v>
      </c>
      <c r="K7262">
        <v>1</v>
      </c>
      <c r="L7262">
        <v>0</v>
      </c>
      <c r="M7262">
        <f>VLOOKUP(Table1[[#This Row],[subscription_type]],Plans!$A$1:$B$5,2,FALSE)</f>
        <v>9.99</v>
      </c>
      <c r="N7262">
        <f t="shared" si="113"/>
        <v>0</v>
      </c>
    </row>
    <row r="7263" spans="1:14" x14ac:dyDescent="0.35">
      <c r="A7263">
        <v>7262</v>
      </c>
      <c r="B7263" t="s">
        <v>20</v>
      </c>
      <c r="C7263">
        <v>46</v>
      </c>
      <c r="D7263" t="s">
        <v>27</v>
      </c>
      <c r="E7263" t="s">
        <v>14</v>
      </c>
      <c r="F7263">
        <v>21</v>
      </c>
      <c r="G7263">
        <v>24</v>
      </c>
      <c r="H7263">
        <v>0.17</v>
      </c>
      <c r="I7263" t="s">
        <v>15</v>
      </c>
      <c r="J7263">
        <v>35</v>
      </c>
      <c r="K7263">
        <v>0</v>
      </c>
      <c r="L7263">
        <v>0</v>
      </c>
      <c r="M7263">
        <f>VLOOKUP(Table1[[#This Row],[subscription_type]],Plans!$A$1:$B$5,2,FALSE)</f>
        <v>0</v>
      </c>
      <c r="N7263">
        <f t="shared" si="113"/>
        <v>0</v>
      </c>
    </row>
    <row r="7264" spans="1:14" x14ac:dyDescent="0.35">
      <c r="A7264">
        <v>7263</v>
      </c>
      <c r="B7264" t="s">
        <v>12</v>
      </c>
      <c r="C7264">
        <v>24</v>
      </c>
      <c r="D7264" t="s">
        <v>17</v>
      </c>
      <c r="E7264" t="s">
        <v>24</v>
      </c>
      <c r="F7264">
        <v>241</v>
      </c>
      <c r="G7264">
        <v>65</v>
      </c>
      <c r="H7264">
        <v>0.59</v>
      </c>
      <c r="I7264" t="s">
        <v>15</v>
      </c>
      <c r="J7264">
        <v>0</v>
      </c>
      <c r="K7264">
        <v>1</v>
      </c>
      <c r="L7264">
        <v>0</v>
      </c>
      <c r="M7264">
        <f>VLOOKUP(Table1[[#This Row],[subscription_type]],Plans!$A$1:$B$5,2,FALSE)</f>
        <v>4.99</v>
      </c>
      <c r="N7264">
        <f t="shared" si="113"/>
        <v>0</v>
      </c>
    </row>
    <row r="7265" spans="1:14" x14ac:dyDescent="0.35">
      <c r="A7265">
        <v>7264</v>
      </c>
      <c r="B7265" t="s">
        <v>12</v>
      </c>
      <c r="C7265">
        <v>42</v>
      </c>
      <c r="D7265" t="s">
        <v>26</v>
      </c>
      <c r="E7265" t="s">
        <v>22</v>
      </c>
      <c r="F7265">
        <v>199</v>
      </c>
      <c r="G7265">
        <v>62</v>
      </c>
      <c r="H7265">
        <v>0.56000000000000005</v>
      </c>
      <c r="I7265" t="s">
        <v>15</v>
      </c>
      <c r="J7265">
        <v>0</v>
      </c>
      <c r="K7265">
        <v>1</v>
      </c>
      <c r="L7265">
        <v>0</v>
      </c>
      <c r="M7265">
        <f>VLOOKUP(Table1[[#This Row],[subscription_type]],Plans!$A$1:$B$5,2,FALSE)</f>
        <v>9.99</v>
      </c>
      <c r="N7265">
        <f t="shared" si="113"/>
        <v>0</v>
      </c>
    </row>
    <row r="7266" spans="1:14" x14ac:dyDescent="0.35">
      <c r="A7266">
        <v>7265</v>
      </c>
      <c r="B7266" t="s">
        <v>20</v>
      </c>
      <c r="C7266">
        <v>50</v>
      </c>
      <c r="D7266" t="s">
        <v>13</v>
      </c>
      <c r="E7266" t="s">
        <v>24</v>
      </c>
      <c r="F7266">
        <v>272</v>
      </c>
      <c r="G7266">
        <v>62</v>
      </c>
      <c r="H7266">
        <v>0.57999999999999996</v>
      </c>
      <c r="I7266" t="s">
        <v>15</v>
      </c>
      <c r="J7266">
        <v>0</v>
      </c>
      <c r="K7266">
        <v>1</v>
      </c>
      <c r="L7266">
        <v>0</v>
      </c>
      <c r="M7266">
        <f>VLOOKUP(Table1[[#This Row],[subscription_type]],Plans!$A$1:$B$5,2,FALSE)</f>
        <v>4.99</v>
      </c>
      <c r="N7266">
        <f t="shared" si="113"/>
        <v>0</v>
      </c>
    </row>
    <row r="7267" spans="1:14" x14ac:dyDescent="0.35">
      <c r="A7267">
        <v>7266</v>
      </c>
      <c r="B7267" t="s">
        <v>16</v>
      </c>
      <c r="C7267">
        <v>41</v>
      </c>
      <c r="D7267" t="s">
        <v>25</v>
      </c>
      <c r="E7267" t="s">
        <v>18</v>
      </c>
      <c r="F7267">
        <v>82</v>
      </c>
      <c r="G7267">
        <v>93</v>
      </c>
      <c r="H7267">
        <v>0.13</v>
      </c>
      <c r="I7267" t="s">
        <v>19</v>
      </c>
      <c r="J7267">
        <v>0</v>
      </c>
      <c r="K7267">
        <v>1</v>
      </c>
      <c r="L7267">
        <v>0</v>
      </c>
      <c r="M7267">
        <f>VLOOKUP(Table1[[#This Row],[subscription_type]],Plans!$A$1:$B$5,2,FALSE)</f>
        <v>14.99</v>
      </c>
      <c r="N7267">
        <f t="shared" si="113"/>
        <v>0</v>
      </c>
    </row>
    <row r="7268" spans="1:14" x14ac:dyDescent="0.35">
      <c r="A7268">
        <v>7267</v>
      </c>
      <c r="B7268" t="s">
        <v>12</v>
      </c>
      <c r="C7268">
        <v>40</v>
      </c>
      <c r="D7268" t="s">
        <v>27</v>
      </c>
      <c r="E7268" t="s">
        <v>24</v>
      </c>
      <c r="F7268">
        <v>131</v>
      </c>
      <c r="G7268">
        <v>64</v>
      </c>
      <c r="H7268">
        <v>0.41</v>
      </c>
      <c r="I7268" t="s">
        <v>23</v>
      </c>
      <c r="J7268">
        <v>0</v>
      </c>
      <c r="K7268">
        <v>1</v>
      </c>
      <c r="L7268">
        <v>1</v>
      </c>
      <c r="M7268">
        <f>VLOOKUP(Table1[[#This Row],[subscription_type]],Plans!$A$1:$B$5,2,FALSE)</f>
        <v>4.99</v>
      </c>
      <c r="N7268">
        <f t="shared" si="113"/>
        <v>4.99</v>
      </c>
    </row>
    <row r="7269" spans="1:14" x14ac:dyDescent="0.35">
      <c r="A7269">
        <v>7268</v>
      </c>
      <c r="B7269" t="s">
        <v>20</v>
      </c>
      <c r="C7269">
        <v>44</v>
      </c>
      <c r="D7269" t="s">
        <v>29</v>
      </c>
      <c r="E7269" t="s">
        <v>18</v>
      </c>
      <c r="F7269">
        <v>146</v>
      </c>
      <c r="G7269">
        <v>20</v>
      </c>
      <c r="H7269">
        <v>0.08</v>
      </c>
      <c r="I7269" t="s">
        <v>23</v>
      </c>
      <c r="J7269">
        <v>0</v>
      </c>
      <c r="K7269">
        <v>1</v>
      </c>
      <c r="L7269">
        <v>1</v>
      </c>
      <c r="M7269">
        <f>VLOOKUP(Table1[[#This Row],[subscription_type]],Plans!$A$1:$B$5,2,FALSE)</f>
        <v>14.99</v>
      </c>
      <c r="N7269">
        <f t="shared" si="113"/>
        <v>14.99</v>
      </c>
    </row>
    <row r="7270" spans="1:14" x14ac:dyDescent="0.35">
      <c r="A7270">
        <v>7269</v>
      </c>
      <c r="B7270" t="s">
        <v>16</v>
      </c>
      <c r="C7270">
        <v>58</v>
      </c>
      <c r="D7270" t="s">
        <v>26</v>
      </c>
      <c r="E7270" t="s">
        <v>24</v>
      </c>
      <c r="F7270">
        <v>77</v>
      </c>
      <c r="G7270">
        <v>20</v>
      </c>
      <c r="H7270">
        <v>0.25</v>
      </c>
      <c r="I7270" t="s">
        <v>23</v>
      </c>
      <c r="J7270">
        <v>0</v>
      </c>
      <c r="K7270">
        <v>1</v>
      </c>
      <c r="L7270">
        <v>0</v>
      </c>
      <c r="M7270">
        <f>VLOOKUP(Table1[[#This Row],[subscription_type]],Plans!$A$1:$B$5,2,FALSE)</f>
        <v>4.99</v>
      </c>
      <c r="N7270">
        <f t="shared" si="113"/>
        <v>0</v>
      </c>
    </row>
    <row r="7271" spans="1:14" x14ac:dyDescent="0.35">
      <c r="A7271">
        <v>7270</v>
      </c>
      <c r="B7271" t="s">
        <v>20</v>
      </c>
      <c r="C7271">
        <v>56</v>
      </c>
      <c r="D7271" t="s">
        <v>29</v>
      </c>
      <c r="E7271" t="s">
        <v>14</v>
      </c>
      <c r="F7271">
        <v>226</v>
      </c>
      <c r="G7271">
        <v>8</v>
      </c>
      <c r="H7271">
        <v>0.2</v>
      </c>
      <c r="I7271" t="s">
        <v>15</v>
      </c>
      <c r="J7271">
        <v>15</v>
      </c>
      <c r="K7271">
        <v>0</v>
      </c>
      <c r="L7271">
        <v>0</v>
      </c>
      <c r="M7271">
        <f>VLOOKUP(Table1[[#This Row],[subscription_type]],Plans!$A$1:$B$5,2,FALSE)</f>
        <v>0</v>
      </c>
      <c r="N7271">
        <f t="shared" si="113"/>
        <v>0</v>
      </c>
    </row>
    <row r="7272" spans="1:14" x14ac:dyDescent="0.35">
      <c r="A7272">
        <v>7271</v>
      </c>
      <c r="B7272" t="s">
        <v>16</v>
      </c>
      <c r="C7272">
        <v>52</v>
      </c>
      <c r="D7272" t="s">
        <v>13</v>
      </c>
      <c r="E7272" t="s">
        <v>24</v>
      </c>
      <c r="F7272">
        <v>10</v>
      </c>
      <c r="G7272">
        <v>5</v>
      </c>
      <c r="H7272">
        <v>0.05</v>
      </c>
      <c r="I7272" t="s">
        <v>23</v>
      </c>
      <c r="J7272">
        <v>0</v>
      </c>
      <c r="K7272">
        <v>1</v>
      </c>
      <c r="L7272">
        <v>0</v>
      </c>
      <c r="M7272">
        <f>VLOOKUP(Table1[[#This Row],[subscription_type]],Plans!$A$1:$B$5,2,FALSE)</f>
        <v>4.99</v>
      </c>
      <c r="N7272">
        <f t="shared" si="113"/>
        <v>0</v>
      </c>
    </row>
    <row r="7273" spans="1:14" x14ac:dyDescent="0.35">
      <c r="A7273">
        <v>7272</v>
      </c>
      <c r="B7273" t="s">
        <v>16</v>
      </c>
      <c r="C7273">
        <v>54</v>
      </c>
      <c r="D7273" t="s">
        <v>26</v>
      </c>
      <c r="E7273" t="s">
        <v>14</v>
      </c>
      <c r="F7273">
        <v>90</v>
      </c>
      <c r="G7273">
        <v>19</v>
      </c>
      <c r="H7273">
        <v>0.19</v>
      </c>
      <c r="I7273" t="s">
        <v>23</v>
      </c>
      <c r="J7273">
        <v>45</v>
      </c>
      <c r="K7273">
        <v>0</v>
      </c>
      <c r="L7273">
        <v>1</v>
      </c>
      <c r="M7273">
        <f>VLOOKUP(Table1[[#This Row],[subscription_type]],Plans!$A$1:$B$5,2,FALSE)</f>
        <v>0</v>
      </c>
      <c r="N7273">
        <f t="shared" si="113"/>
        <v>0</v>
      </c>
    </row>
    <row r="7274" spans="1:14" x14ac:dyDescent="0.35">
      <c r="A7274">
        <v>7273</v>
      </c>
      <c r="B7274" t="s">
        <v>20</v>
      </c>
      <c r="C7274">
        <v>44</v>
      </c>
      <c r="D7274" t="s">
        <v>17</v>
      </c>
      <c r="E7274" t="s">
        <v>18</v>
      </c>
      <c r="F7274">
        <v>269</v>
      </c>
      <c r="G7274">
        <v>17</v>
      </c>
      <c r="H7274">
        <v>0.35</v>
      </c>
      <c r="I7274" t="s">
        <v>23</v>
      </c>
      <c r="J7274">
        <v>0</v>
      </c>
      <c r="K7274">
        <v>1</v>
      </c>
      <c r="L7274">
        <v>0</v>
      </c>
      <c r="M7274">
        <f>VLOOKUP(Table1[[#This Row],[subscription_type]],Plans!$A$1:$B$5,2,FALSE)</f>
        <v>14.99</v>
      </c>
      <c r="N7274">
        <f t="shared" si="113"/>
        <v>0</v>
      </c>
    </row>
    <row r="7275" spans="1:14" x14ac:dyDescent="0.35">
      <c r="A7275">
        <v>7274</v>
      </c>
      <c r="B7275" t="s">
        <v>16</v>
      </c>
      <c r="C7275">
        <v>56</v>
      </c>
      <c r="D7275" t="s">
        <v>28</v>
      </c>
      <c r="E7275" t="s">
        <v>18</v>
      </c>
      <c r="F7275">
        <v>165</v>
      </c>
      <c r="G7275">
        <v>56</v>
      </c>
      <c r="H7275">
        <v>0.5</v>
      </c>
      <c r="I7275" t="s">
        <v>15</v>
      </c>
      <c r="J7275">
        <v>0</v>
      </c>
      <c r="K7275">
        <v>1</v>
      </c>
      <c r="L7275">
        <v>0</v>
      </c>
      <c r="M7275">
        <f>VLOOKUP(Table1[[#This Row],[subscription_type]],Plans!$A$1:$B$5,2,FALSE)</f>
        <v>14.99</v>
      </c>
      <c r="N7275">
        <f t="shared" si="113"/>
        <v>0</v>
      </c>
    </row>
    <row r="7276" spans="1:14" x14ac:dyDescent="0.35">
      <c r="A7276">
        <v>7275</v>
      </c>
      <c r="B7276" t="s">
        <v>20</v>
      </c>
      <c r="C7276">
        <v>40</v>
      </c>
      <c r="D7276" t="s">
        <v>13</v>
      </c>
      <c r="E7276" t="s">
        <v>24</v>
      </c>
      <c r="F7276">
        <v>22</v>
      </c>
      <c r="G7276">
        <v>44</v>
      </c>
      <c r="H7276">
        <v>0.56000000000000005</v>
      </c>
      <c r="I7276" t="s">
        <v>19</v>
      </c>
      <c r="J7276">
        <v>0</v>
      </c>
      <c r="K7276">
        <v>1</v>
      </c>
      <c r="L7276">
        <v>0</v>
      </c>
      <c r="M7276">
        <f>VLOOKUP(Table1[[#This Row],[subscription_type]],Plans!$A$1:$B$5,2,FALSE)</f>
        <v>4.99</v>
      </c>
      <c r="N7276">
        <f t="shared" si="113"/>
        <v>0</v>
      </c>
    </row>
    <row r="7277" spans="1:14" x14ac:dyDescent="0.35">
      <c r="A7277">
        <v>7276</v>
      </c>
      <c r="B7277" t="s">
        <v>12</v>
      </c>
      <c r="C7277">
        <v>22</v>
      </c>
      <c r="D7277" t="s">
        <v>27</v>
      </c>
      <c r="E7277" t="s">
        <v>22</v>
      </c>
      <c r="F7277">
        <v>107</v>
      </c>
      <c r="G7277">
        <v>36</v>
      </c>
      <c r="H7277">
        <v>0.3</v>
      </c>
      <c r="I7277" t="s">
        <v>15</v>
      </c>
      <c r="J7277">
        <v>0</v>
      </c>
      <c r="K7277">
        <v>1</v>
      </c>
      <c r="L7277">
        <v>0</v>
      </c>
      <c r="M7277">
        <f>VLOOKUP(Table1[[#This Row],[subscription_type]],Plans!$A$1:$B$5,2,FALSE)</f>
        <v>9.99</v>
      </c>
      <c r="N7277">
        <f t="shared" si="113"/>
        <v>0</v>
      </c>
    </row>
    <row r="7278" spans="1:14" x14ac:dyDescent="0.35">
      <c r="A7278">
        <v>7277</v>
      </c>
      <c r="B7278" t="s">
        <v>12</v>
      </c>
      <c r="C7278">
        <v>49</v>
      </c>
      <c r="D7278" t="s">
        <v>21</v>
      </c>
      <c r="E7278" t="s">
        <v>22</v>
      </c>
      <c r="F7278">
        <v>175</v>
      </c>
      <c r="G7278">
        <v>73</v>
      </c>
      <c r="H7278">
        <v>0.01</v>
      </c>
      <c r="I7278" t="s">
        <v>15</v>
      </c>
      <c r="J7278">
        <v>0</v>
      </c>
      <c r="K7278">
        <v>1</v>
      </c>
      <c r="L7278">
        <v>0</v>
      </c>
      <c r="M7278">
        <f>VLOOKUP(Table1[[#This Row],[subscription_type]],Plans!$A$1:$B$5,2,FALSE)</f>
        <v>9.99</v>
      </c>
      <c r="N7278">
        <f t="shared" si="113"/>
        <v>0</v>
      </c>
    </row>
    <row r="7279" spans="1:14" x14ac:dyDescent="0.35">
      <c r="A7279">
        <v>7278</v>
      </c>
      <c r="B7279" t="s">
        <v>12</v>
      </c>
      <c r="C7279">
        <v>33</v>
      </c>
      <c r="D7279" t="s">
        <v>21</v>
      </c>
      <c r="E7279" t="s">
        <v>18</v>
      </c>
      <c r="F7279">
        <v>45</v>
      </c>
      <c r="G7279">
        <v>11</v>
      </c>
      <c r="H7279">
        <v>0.15</v>
      </c>
      <c r="I7279" t="s">
        <v>19</v>
      </c>
      <c r="J7279">
        <v>0</v>
      </c>
      <c r="K7279">
        <v>1</v>
      </c>
      <c r="L7279">
        <v>0</v>
      </c>
      <c r="M7279">
        <f>VLOOKUP(Table1[[#This Row],[subscription_type]],Plans!$A$1:$B$5,2,FALSE)</f>
        <v>14.99</v>
      </c>
      <c r="N7279">
        <f t="shared" si="113"/>
        <v>0</v>
      </c>
    </row>
    <row r="7280" spans="1:14" x14ac:dyDescent="0.35">
      <c r="A7280">
        <v>7279</v>
      </c>
      <c r="B7280" t="s">
        <v>12</v>
      </c>
      <c r="C7280">
        <v>19</v>
      </c>
      <c r="D7280" t="s">
        <v>26</v>
      </c>
      <c r="E7280" t="s">
        <v>14</v>
      </c>
      <c r="F7280">
        <v>55</v>
      </c>
      <c r="G7280">
        <v>24</v>
      </c>
      <c r="H7280">
        <v>0.41</v>
      </c>
      <c r="I7280" t="s">
        <v>19</v>
      </c>
      <c r="J7280">
        <v>39</v>
      </c>
      <c r="K7280">
        <v>0</v>
      </c>
      <c r="L7280">
        <v>0</v>
      </c>
      <c r="M7280">
        <f>VLOOKUP(Table1[[#This Row],[subscription_type]],Plans!$A$1:$B$5,2,FALSE)</f>
        <v>0</v>
      </c>
      <c r="N7280">
        <f t="shared" si="113"/>
        <v>0</v>
      </c>
    </row>
    <row r="7281" spans="1:14" x14ac:dyDescent="0.35">
      <c r="A7281">
        <v>7280</v>
      </c>
      <c r="B7281" t="s">
        <v>12</v>
      </c>
      <c r="C7281">
        <v>35</v>
      </c>
      <c r="D7281" t="s">
        <v>29</v>
      </c>
      <c r="E7281" t="s">
        <v>18</v>
      </c>
      <c r="F7281">
        <v>167</v>
      </c>
      <c r="G7281">
        <v>30</v>
      </c>
      <c r="H7281">
        <v>0.55000000000000004</v>
      </c>
      <c r="I7281" t="s">
        <v>15</v>
      </c>
      <c r="J7281">
        <v>0</v>
      </c>
      <c r="K7281">
        <v>1</v>
      </c>
      <c r="L7281">
        <v>0</v>
      </c>
      <c r="M7281">
        <f>VLOOKUP(Table1[[#This Row],[subscription_type]],Plans!$A$1:$B$5,2,FALSE)</f>
        <v>14.99</v>
      </c>
      <c r="N7281">
        <f t="shared" si="113"/>
        <v>0</v>
      </c>
    </row>
    <row r="7282" spans="1:14" x14ac:dyDescent="0.35">
      <c r="A7282">
        <v>7281</v>
      </c>
      <c r="B7282" t="s">
        <v>20</v>
      </c>
      <c r="C7282">
        <v>36</v>
      </c>
      <c r="D7282" t="s">
        <v>29</v>
      </c>
      <c r="E7282" t="s">
        <v>18</v>
      </c>
      <c r="F7282">
        <v>40</v>
      </c>
      <c r="G7282">
        <v>65</v>
      </c>
      <c r="H7282">
        <v>0.42</v>
      </c>
      <c r="I7282" t="s">
        <v>23</v>
      </c>
      <c r="J7282">
        <v>0</v>
      </c>
      <c r="K7282">
        <v>1</v>
      </c>
      <c r="L7282">
        <v>0</v>
      </c>
      <c r="M7282">
        <f>VLOOKUP(Table1[[#This Row],[subscription_type]],Plans!$A$1:$B$5,2,FALSE)</f>
        <v>14.99</v>
      </c>
      <c r="N7282">
        <f t="shared" si="113"/>
        <v>0</v>
      </c>
    </row>
    <row r="7283" spans="1:14" x14ac:dyDescent="0.35">
      <c r="A7283">
        <v>7282</v>
      </c>
      <c r="B7283" t="s">
        <v>20</v>
      </c>
      <c r="C7283">
        <v>47</v>
      </c>
      <c r="D7283" t="s">
        <v>13</v>
      </c>
      <c r="E7283" t="s">
        <v>14</v>
      </c>
      <c r="F7283">
        <v>136</v>
      </c>
      <c r="G7283">
        <v>37</v>
      </c>
      <c r="H7283">
        <v>0.31</v>
      </c>
      <c r="I7283" t="s">
        <v>19</v>
      </c>
      <c r="J7283">
        <v>42</v>
      </c>
      <c r="K7283">
        <v>0</v>
      </c>
      <c r="L7283">
        <v>0</v>
      </c>
      <c r="M7283">
        <f>VLOOKUP(Table1[[#This Row],[subscription_type]],Plans!$A$1:$B$5,2,FALSE)</f>
        <v>0</v>
      </c>
      <c r="N7283">
        <f t="shared" si="113"/>
        <v>0</v>
      </c>
    </row>
    <row r="7284" spans="1:14" x14ac:dyDescent="0.35">
      <c r="A7284">
        <v>7283</v>
      </c>
      <c r="B7284" t="s">
        <v>12</v>
      </c>
      <c r="C7284">
        <v>37</v>
      </c>
      <c r="D7284" t="s">
        <v>17</v>
      </c>
      <c r="E7284" t="s">
        <v>22</v>
      </c>
      <c r="F7284">
        <v>255</v>
      </c>
      <c r="G7284">
        <v>11</v>
      </c>
      <c r="H7284">
        <v>0.06</v>
      </c>
      <c r="I7284" t="s">
        <v>23</v>
      </c>
      <c r="J7284">
        <v>0</v>
      </c>
      <c r="K7284">
        <v>1</v>
      </c>
      <c r="L7284">
        <v>0</v>
      </c>
      <c r="M7284">
        <f>VLOOKUP(Table1[[#This Row],[subscription_type]],Plans!$A$1:$B$5,2,FALSE)</f>
        <v>9.99</v>
      </c>
      <c r="N7284">
        <f t="shared" si="113"/>
        <v>0</v>
      </c>
    </row>
    <row r="7285" spans="1:14" x14ac:dyDescent="0.35">
      <c r="A7285">
        <v>7284</v>
      </c>
      <c r="B7285" t="s">
        <v>16</v>
      </c>
      <c r="C7285">
        <v>34</v>
      </c>
      <c r="D7285" t="s">
        <v>21</v>
      </c>
      <c r="E7285" t="s">
        <v>14</v>
      </c>
      <c r="F7285">
        <v>173</v>
      </c>
      <c r="G7285">
        <v>96</v>
      </c>
      <c r="H7285">
        <v>0.32</v>
      </c>
      <c r="I7285" t="s">
        <v>15</v>
      </c>
      <c r="J7285">
        <v>28</v>
      </c>
      <c r="K7285">
        <v>0</v>
      </c>
      <c r="L7285">
        <v>0</v>
      </c>
      <c r="M7285">
        <f>VLOOKUP(Table1[[#This Row],[subscription_type]],Plans!$A$1:$B$5,2,FALSE)</f>
        <v>0</v>
      </c>
      <c r="N7285">
        <f t="shared" si="113"/>
        <v>0</v>
      </c>
    </row>
    <row r="7286" spans="1:14" x14ac:dyDescent="0.35">
      <c r="A7286">
        <v>7285</v>
      </c>
      <c r="B7286" t="s">
        <v>12</v>
      </c>
      <c r="C7286">
        <v>53</v>
      </c>
      <c r="D7286" t="s">
        <v>26</v>
      </c>
      <c r="E7286" t="s">
        <v>14</v>
      </c>
      <c r="F7286">
        <v>182</v>
      </c>
      <c r="G7286">
        <v>70</v>
      </c>
      <c r="H7286">
        <v>0.26</v>
      </c>
      <c r="I7286" t="s">
        <v>23</v>
      </c>
      <c r="J7286">
        <v>21</v>
      </c>
      <c r="K7286">
        <v>0</v>
      </c>
      <c r="L7286">
        <v>0</v>
      </c>
      <c r="M7286">
        <f>VLOOKUP(Table1[[#This Row],[subscription_type]],Plans!$A$1:$B$5,2,FALSE)</f>
        <v>0</v>
      </c>
      <c r="N7286">
        <f t="shared" si="113"/>
        <v>0</v>
      </c>
    </row>
    <row r="7287" spans="1:14" x14ac:dyDescent="0.35">
      <c r="A7287">
        <v>7286</v>
      </c>
      <c r="B7287" t="s">
        <v>12</v>
      </c>
      <c r="C7287">
        <v>48</v>
      </c>
      <c r="D7287" t="s">
        <v>26</v>
      </c>
      <c r="E7287" t="s">
        <v>22</v>
      </c>
      <c r="F7287">
        <v>80</v>
      </c>
      <c r="G7287">
        <v>53</v>
      </c>
      <c r="H7287">
        <v>0.05</v>
      </c>
      <c r="I7287" t="s">
        <v>23</v>
      </c>
      <c r="J7287">
        <v>0</v>
      </c>
      <c r="K7287">
        <v>1</v>
      </c>
      <c r="L7287">
        <v>0</v>
      </c>
      <c r="M7287">
        <f>VLOOKUP(Table1[[#This Row],[subscription_type]],Plans!$A$1:$B$5,2,FALSE)</f>
        <v>9.99</v>
      </c>
      <c r="N7287">
        <f t="shared" si="113"/>
        <v>0</v>
      </c>
    </row>
    <row r="7288" spans="1:14" x14ac:dyDescent="0.35">
      <c r="A7288">
        <v>7287</v>
      </c>
      <c r="B7288" t="s">
        <v>20</v>
      </c>
      <c r="C7288">
        <v>23</v>
      </c>
      <c r="D7288" t="s">
        <v>26</v>
      </c>
      <c r="E7288" t="s">
        <v>22</v>
      </c>
      <c r="F7288">
        <v>279</v>
      </c>
      <c r="G7288">
        <v>35</v>
      </c>
      <c r="H7288">
        <v>0.08</v>
      </c>
      <c r="I7288" t="s">
        <v>23</v>
      </c>
      <c r="J7288">
        <v>0</v>
      </c>
      <c r="K7288">
        <v>1</v>
      </c>
      <c r="L7288">
        <v>0</v>
      </c>
      <c r="M7288">
        <f>VLOOKUP(Table1[[#This Row],[subscription_type]],Plans!$A$1:$B$5,2,FALSE)</f>
        <v>9.99</v>
      </c>
      <c r="N7288">
        <f t="shared" si="113"/>
        <v>0</v>
      </c>
    </row>
    <row r="7289" spans="1:14" x14ac:dyDescent="0.35">
      <c r="A7289">
        <v>7288</v>
      </c>
      <c r="B7289" t="s">
        <v>12</v>
      </c>
      <c r="C7289">
        <v>39</v>
      </c>
      <c r="D7289" t="s">
        <v>25</v>
      </c>
      <c r="E7289" t="s">
        <v>22</v>
      </c>
      <c r="F7289">
        <v>59</v>
      </c>
      <c r="G7289">
        <v>73</v>
      </c>
      <c r="H7289">
        <v>0.27</v>
      </c>
      <c r="I7289" t="s">
        <v>15</v>
      </c>
      <c r="J7289">
        <v>0</v>
      </c>
      <c r="K7289">
        <v>1</v>
      </c>
      <c r="L7289">
        <v>0</v>
      </c>
      <c r="M7289">
        <f>VLOOKUP(Table1[[#This Row],[subscription_type]],Plans!$A$1:$B$5,2,FALSE)</f>
        <v>9.99</v>
      </c>
      <c r="N7289">
        <f t="shared" si="113"/>
        <v>0</v>
      </c>
    </row>
    <row r="7290" spans="1:14" x14ac:dyDescent="0.35">
      <c r="A7290">
        <v>7289</v>
      </c>
      <c r="B7290" t="s">
        <v>16</v>
      </c>
      <c r="C7290">
        <v>56</v>
      </c>
      <c r="D7290" t="s">
        <v>25</v>
      </c>
      <c r="E7290" t="s">
        <v>18</v>
      </c>
      <c r="F7290">
        <v>235</v>
      </c>
      <c r="G7290">
        <v>28</v>
      </c>
      <c r="H7290">
        <v>0.13</v>
      </c>
      <c r="I7290" t="s">
        <v>15</v>
      </c>
      <c r="J7290">
        <v>0</v>
      </c>
      <c r="K7290">
        <v>1</v>
      </c>
      <c r="L7290">
        <v>0</v>
      </c>
      <c r="M7290">
        <f>VLOOKUP(Table1[[#This Row],[subscription_type]],Plans!$A$1:$B$5,2,FALSE)</f>
        <v>14.99</v>
      </c>
      <c r="N7290">
        <f t="shared" si="113"/>
        <v>0</v>
      </c>
    </row>
    <row r="7291" spans="1:14" x14ac:dyDescent="0.35">
      <c r="A7291">
        <v>7290</v>
      </c>
      <c r="B7291" t="s">
        <v>16</v>
      </c>
      <c r="C7291">
        <v>20</v>
      </c>
      <c r="D7291" t="s">
        <v>13</v>
      </c>
      <c r="E7291" t="s">
        <v>18</v>
      </c>
      <c r="F7291">
        <v>96</v>
      </c>
      <c r="G7291">
        <v>85</v>
      </c>
      <c r="H7291">
        <v>0.34</v>
      </c>
      <c r="I7291" t="s">
        <v>15</v>
      </c>
      <c r="J7291">
        <v>0</v>
      </c>
      <c r="K7291">
        <v>1</v>
      </c>
      <c r="L7291">
        <v>0</v>
      </c>
      <c r="M7291">
        <f>VLOOKUP(Table1[[#This Row],[subscription_type]],Plans!$A$1:$B$5,2,FALSE)</f>
        <v>14.99</v>
      </c>
      <c r="N7291">
        <f t="shared" si="113"/>
        <v>0</v>
      </c>
    </row>
    <row r="7292" spans="1:14" x14ac:dyDescent="0.35">
      <c r="A7292">
        <v>7291</v>
      </c>
      <c r="B7292" t="s">
        <v>12</v>
      </c>
      <c r="C7292">
        <v>51</v>
      </c>
      <c r="D7292" t="s">
        <v>28</v>
      </c>
      <c r="E7292" t="s">
        <v>14</v>
      </c>
      <c r="F7292">
        <v>251</v>
      </c>
      <c r="G7292">
        <v>60</v>
      </c>
      <c r="H7292">
        <v>0.1</v>
      </c>
      <c r="I7292" t="s">
        <v>23</v>
      </c>
      <c r="J7292">
        <v>8</v>
      </c>
      <c r="K7292">
        <v>0</v>
      </c>
      <c r="L7292">
        <v>0</v>
      </c>
      <c r="M7292">
        <f>VLOOKUP(Table1[[#This Row],[subscription_type]],Plans!$A$1:$B$5,2,FALSE)</f>
        <v>0</v>
      </c>
      <c r="N7292">
        <f t="shared" si="113"/>
        <v>0</v>
      </c>
    </row>
    <row r="7293" spans="1:14" x14ac:dyDescent="0.35">
      <c r="A7293">
        <v>7292</v>
      </c>
      <c r="B7293" t="s">
        <v>20</v>
      </c>
      <c r="C7293">
        <v>52</v>
      </c>
      <c r="D7293" t="s">
        <v>25</v>
      </c>
      <c r="E7293" t="s">
        <v>22</v>
      </c>
      <c r="F7293">
        <v>122</v>
      </c>
      <c r="G7293">
        <v>35</v>
      </c>
      <c r="H7293">
        <v>0.24</v>
      </c>
      <c r="I7293" t="s">
        <v>15</v>
      </c>
      <c r="J7293">
        <v>0</v>
      </c>
      <c r="K7293">
        <v>1</v>
      </c>
      <c r="L7293">
        <v>1</v>
      </c>
      <c r="M7293">
        <f>VLOOKUP(Table1[[#This Row],[subscription_type]],Plans!$A$1:$B$5,2,FALSE)</f>
        <v>9.99</v>
      </c>
      <c r="N7293">
        <f t="shared" si="113"/>
        <v>9.99</v>
      </c>
    </row>
    <row r="7294" spans="1:14" x14ac:dyDescent="0.35">
      <c r="A7294">
        <v>7293</v>
      </c>
      <c r="B7294" t="s">
        <v>12</v>
      </c>
      <c r="C7294">
        <v>33</v>
      </c>
      <c r="D7294" t="s">
        <v>17</v>
      </c>
      <c r="E7294" t="s">
        <v>18</v>
      </c>
      <c r="F7294">
        <v>32</v>
      </c>
      <c r="G7294">
        <v>13</v>
      </c>
      <c r="H7294">
        <v>0.51</v>
      </c>
      <c r="I7294" t="s">
        <v>19</v>
      </c>
      <c r="J7294">
        <v>0</v>
      </c>
      <c r="K7294">
        <v>1</v>
      </c>
      <c r="L7294">
        <v>0</v>
      </c>
      <c r="M7294">
        <f>VLOOKUP(Table1[[#This Row],[subscription_type]],Plans!$A$1:$B$5,2,FALSE)</f>
        <v>14.99</v>
      </c>
      <c r="N7294">
        <f t="shared" si="113"/>
        <v>0</v>
      </c>
    </row>
    <row r="7295" spans="1:14" x14ac:dyDescent="0.35">
      <c r="A7295">
        <v>7294</v>
      </c>
      <c r="B7295" t="s">
        <v>12</v>
      </c>
      <c r="C7295">
        <v>22</v>
      </c>
      <c r="D7295" t="s">
        <v>29</v>
      </c>
      <c r="E7295" t="s">
        <v>14</v>
      </c>
      <c r="F7295">
        <v>63</v>
      </c>
      <c r="G7295">
        <v>26</v>
      </c>
      <c r="H7295">
        <v>0.17</v>
      </c>
      <c r="I7295" t="s">
        <v>23</v>
      </c>
      <c r="J7295">
        <v>9</v>
      </c>
      <c r="K7295">
        <v>0</v>
      </c>
      <c r="L7295">
        <v>0</v>
      </c>
      <c r="M7295">
        <f>VLOOKUP(Table1[[#This Row],[subscription_type]],Plans!$A$1:$B$5,2,FALSE)</f>
        <v>0</v>
      </c>
      <c r="N7295">
        <f t="shared" si="113"/>
        <v>0</v>
      </c>
    </row>
    <row r="7296" spans="1:14" x14ac:dyDescent="0.35">
      <c r="A7296">
        <v>7295</v>
      </c>
      <c r="B7296" t="s">
        <v>12</v>
      </c>
      <c r="C7296">
        <v>29</v>
      </c>
      <c r="D7296" t="s">
        <v>21</v>
      </c>
      <c r="E7296" t="s">
        <v>14</v>
      </c>
      <c r="F7296">
        <v>127</v>
      </c>
      <c r="G7296">
        <v>70</v>
      </c>
      <c r="H7296">
        <v>0.51</v>
      </c>
      <c r="I7296" t="s">
        <v>23</v>
      </c>
      <c r="J7296">
        <v>12</v>
      </c>
      <c r="K7296">
        <v>0</v>
      </c>
      <c r="L7296">
        <v>0</v>
      </c>
      <c r="M7296">
        <f>VLOOKUP(Table1[[#This Row],[subscription_type]],Plans!$A$1:$B$5,2,FALSE)</f>
        <v>0</v>
      </c>
      <c r="N7296">
        <f t="shared" si="113"/>
        <v>0</v>
      </c>
    </row>
    <row r="7297" spans="1:14" x14ac:dyDescent="0.35">
      <c r="A7297">
        <v>7296</v>
      </c>
      <c r="B7297" t="s">
        <v>20</v>
      </c>
      <c r="C7297">
        <v>29</v>
      </c>
      <c r="D7297" t="s">
        <v>26</v>
      </c>
      <c r="E7297" t="s">
        <v>22</v>
      </c>
      <c r="F7297">
        <v>218</v>
      </c>
      <c r="G7297">
        <v>70</v>
      </c>
      <c r="H7297">
        <v>0.35</v>
      </c>
      <c r="I7297" t="s">
        <v>23</v>
      </c>
      <c r="J7297">
        <v>0</v>
      </c>
      <c r="K7297">
        <v>1</v>
      </c>
      <c r="L7297">
        <v>0</v>
      </c>
      <c r="M7297">
        <f>VLOOKUP(Table1[[#This Row],[subscription_type]],Plans!$A$1:$B$5,2,FALSE)</f>
        <v>9.99</v>
      </c>
      <c r="N7297">
        <f t="shared" si="113"/>
        <v>0</v>
      </c>
    </row>
    <row r="7298" spans="1:14" x14ac:dyDescent="0.35">
      <c r="A7298">
        <v>7297</v>
      </c>
      <c r="B7298" t="s">
        <v>16</v>
      </c>
      <c r="C7298">
        <v>51</v>
      </c>
      <c r="D7298" t="s">
        <v>17</v>
      </c>
      <c r="E7298" t="s">
        <v>14</v>
      </c>
      <c r="F7298">
        <v>13</v>
      </c>
      <c r="G7298">
        <v>42</v>
      </c>
      <c r="H7298">
        <v>0.23</v>
      </c>
      <c r="I7298" t="s">
        <v>23</v>
      </c>
      <c r="J7298">
        <v>42</v>
      </c>
      <c r="K7298">
        <v>0</v>
      </c>
      <c r="L7298">
        <v>0</v>
      </c>
      <c r="M7298">
        <f>VLOOKUP(Table1[[#This Row],[subscription_type]],Plans!$A$1:$B$5,2,FALSE)</f>
        <v>0</v>
      </c>
      <c r="N7298">
        <f t="shared" ref="N7298:N7361" si="114">IF(L7298=1, M7298,0)</f>
        <v>0</v>
      </c>
    </row>
    <row r="7299" spans="1:14" x14ac:dyDescent="0.35">
      <c r="A7299">
        <v>7298</v>
      </c>
      <c r="B7299" t="s">
        <v>16</v>
      </c>
      <c r="C7299">
        <v>53</v>
      </c>
      <c r="D7299" t="s">
        <v>28</v>
      </c>
      <c r="E7299" t="s">
        <v>22</v>
      </c>
      <c r="F7299">
        <v>169</v>
      </c>
      <c r="G7299">
        <v>56</v>
      </c>
      <c r="H7299">
        <v>0.17</v>
      </c>
      <c r="I7299" t="s">
        <v>15</v>
      </c>
      <c r="J7299">
        <v>0</v>
      </c>
      <c r="K7299">
        <v>1</v>
      </c>
      <c r="L7299">
        <v>0</v>
      </c>
      <c r="M7299">
        <f>VLOOKUP(Table1[[#This Row],[subscription_type]],Plans!$A$1:$B$5,2,FALSE)</f>
        <v>9.99</v>
      </c>
      <c r="N7299">
        <f t="shared" si="114"/>
        <v>0</v>
      </c>
    </row>
    <row r="7300" spans="1:14" x14ac:dyDescent="0.35">
      <c r="A7300">
        <v>7299</v>
      </c>
      <c r="B7300" t="s">
        <v>16</v>
      </c>
      <c r="C7300">
        <v>44</v>
      </c>
      <c r="D7300" t="s">
        <v>28</v>
      </c>
      <c r="E7300" t="s">
        <v>18</v>
      </c>
      <c r="F7300">
        <v>276</v>
      </c>
      <c r="G7300">
        <v>97</v>
      </c>
      <c r="H7300">
        <v>0.23</v>
      </c>
      <c r="I7300" t="s">
        <v>23</v>
      </c>
      <c r="J7300">
        <v>0</v>
      </c>
      <c r="K7300">
        <v>1</v>
      </c>
      <c r="L7300">
        <v>1</v>
      </c>
      <c r="M7300">
        <f>VLOOKUP(Table1[[#This Row],[subscription_type]],Plans!$A$1:$B$5,2,FALSE)</f>
        <v>14.99</v>
      </c>
      <c r="N7300">
        <f t="shared" si="114"/>
        <v>14.99</v>
      </c>
    </row>
    <row r="7301" spans="1:14" x14ac:dyDescent="0.35">
      <c r="A7301">
        <v>7300</v>
      </c>
      <c r="B7301" t="s">
        <v>12</v>
      </c>
      <c r="C7301">
        <v>19</v>
      </c>
      <c r="D7301" t="s">
        <v>27</v>
      </c>
      <c r="E7301" t="s">
        <v>22</v>
      </c>
      <c r="F7301">
        <v>203</v>
      </c>
      <c r="G7301">
        <v>81</v>
      </c>
      <c r="H7301">
        <v>0.45</v>
      </c>
      <c r="I7301" t="s">
        <v>23</v>
      </c>
      <c r="J7301">
        <v>0</v>
      </c>
      <c r="K7301">
        <v>1</v>
      </c>
      <c r="L7301">
        <v>0</v>
      </c>
      <c r="M7301">
        <f>VLOOKUP(Table1[[#This Row],[subscription_type]],Plans!$A$1:$B$5,2,FALSE)</f>
        <v>9.99</v>
      </c>
      <c r="N7301">
        <f t="shared" si="114"/>
        <v>0</v>
      </c>
    </row>
    <row r="7302" spans="1:14" x14ac:dyDescent="0.35">
      <c r="A7302">
        <v>7301</v>
      </c>
      <c r="B7302" t="s">
        <v>16</v>
      </c>
      <c r="C7302">
        <v>52</v>
      </c>
      <c r="D7302" t="s">
        <v>25</v>
      </c>
      <c r="E7302" t="s">
        <v>18</v>
      </c>
      <c r="F7302">
        <v>88</v>
      </c>
      <c r="G7302">
        <v>57</v>
      </c>
      <c r="H7302">
        <v>0.52</v>
      </c>
      <c r="I7302" t="s">
        <v>15</v>
      </c>
      <c r="J7302">
        <v>0</v>
      </c>
      <c r="K7302">
        <v>1</v>
      </c>
      <c r="L7302">
        <v>0</v>
      </c>
      <c r="M7302">
        <f>VLOOKUP(Table1[[#This Row],[subscription_type]],Plans!$A$1:$B$5,2,FALSE)</f>
        <v>14.99</v>
      </c>
      <c r="N7302">
        <f t="shared" si="114"/>
        <v>0</v>
      </c>
    </row>
    <row r="7303" spans="1:14" x14ac:dyDescent="0.35">
      <c r="A7303">
        <v>7302</v>
      </c>
      <c r="B7303" t="s">
        <v>16</v>
      </c>
      <c r="C7303">
        <v>17</v>
      </c>
      <c r="D7303" t="s">
        <v>26</v>
      </c>
      <c r="E7303" t="s">
        <v>22</v>
      </c>
      <c r="F7303">
        <v>123</v>
      </c>
      <c r="G7303">
        <v>2</v>
      </c>
      <c r="H7303">
        <v>0.5</v>
      </c>
      <c r="I7303" t="s">
        <v>19</v>
      </c>
      <c r="J7303">
        <v>0</v>
      </c>
      <c r="K7303">
        <v>1</v>
      </c>
      <c r="L7303">
        <v>0</v>
      </c>
      <c r="M7303">
        <f>VLOOKUP(Table1[[#This Row],[subscription_type]],Plans!$A$1:$B$5,2,FALSE)</f>
        <v>9.99</v>
      </c>
      <c r="N7303">
        <f t="shared" si="114"/>
        <v>0</v>
      </c>
    </row>
    <row r="7304" spans="1:14" x14ac:dyDescent="0.35">
      <c r="A7304">
        <v>7303</v>
      </c>
      <c r="B7304" t="s">
        <v>16</v>
      </c>
      <c r="C7304">
        <v>26</v>
      </c>
      <c r="D7304" t="s">
        <v>28</v>
      </c>
      <c r="E7304" t="s">
        <v>14</v>
      </c>
      <c r="F7304">
        <v>48</v>
      </c>
      <c r="G7304">
        <v>52</v>
      </c>
      <c r="H7304">
        <v>0.45</v>
      </c>
      <c r="I7304" t="s">
        <v>23</v>
      </c>
      <c r="J7304">
        <v>14</v>
      </c>
      <c r="K7304">
        <v>0</v>
      </c>
      <c r="L7304">
        <v>0</v>
      </c>
      <c r="M7304">
        <f>VLOOKUP(Table1[[#This Row],[subscription_type]],Plans!$A$1:$B$5,2,FALSE)</f>
        <v>0</v>
      </c>
      <c r="N7304">
        <f t="shared" si="114"/>
        <v>0</v>
      </c>
    </row>
    <row r="7305" spans="1:14" x14ac:dyDescent="0.35">
      <c r="A7305">
        <v>7304</v>
      </c>
      <c r="B7305" t="s">
        <v>12</v>
      </c>
      <c r="C7305">
        <v>56</v>
      </c>
      <c r="D7305" t="s">
        <v>25</v>
      </c>
      <c r="E7305" t="s">
        <v>18</v>
      </c>
      <c r="F7305">
        <v>79</v>
      </c>
      <c r="G7305">
        <v>78</v>
      </c>
      <c r="H7305">
        <v>7.0000000000000007E-2</v>
      </c>
      <c r="I7305" t="s">
        <v>15</v>
      </c>
      <c r="J7305">
        <v>0</v>
      </c>
      <c r="K7305">
        <v>1</v>
      </c>
      <c r="L7305">
        <v>0</v>
      </c>
      <c r="M7305">
        <f>VLOOKUP(Table1[[#This Row],[subscription_type]],Plans!$A$1:$B$5,2,FALSE)</f>
        <v>14.99</v>
      </c>
      <c r="N7305">
        <f t="shared" si="114"/>
        <v>0</v>
      </c>
    </row>
    <row r="7306" spans="1:14" x14ac:dyDescent="0.35">
      <c r="A7306">
        <v>7305</v>
      </c>
      <c r="B7306" t="s">
        <v>16</v>
      </c>
      <c r="C7306">
        <v>23</v>
      </c>
      <c r="D7306" t="s">
        <v>29</v>
      </c>
      <c r="E7306" t="s">
        <v>24</v>
      </c>
      <c r="F7306">
        <v>166</v>
      </c>
      <c r="G7306">
        <v>71</v>
      </c>
      <c r="H7306">
        <v>0.57999999999999996</v>
      </c>
      <c r="I7306" t="s">
        <v>19</v>
      </c>
      <c r="J7306">
        <v>0</v>
      </c>
      <c r="K7306">
        <v>1</v>
      </c>
      <c r="L7306">
        <v>0</v>
      </c>
      <c r="M7306">
        <f>VLOOKUP(Table1[[#This Row],[subscription_type]],Plans!$A$1:$B$5,2,FALSE)</f>
        <v>4.99</v>
      </c>
      <c r="N7306">
        <f t="shared" si="114"/>
        <v>0</v>
      </c>
    </row>
    <row r="7307" spans="1:14" x14ac:dyDescent="0.35">
      <c r="A7307">
        <v>7306</v>
      </c>
      <c r="B7307" t="s">
        <v>12</v>
      </c>
      <c r="C7307">
        <v>43</v>
      </c>
      <c r="D7307" t="s">
        <v>17</v>
      </c>
      <c r="E7307" t="s">
        <v>14</v>
      </c>
      <c r="F7307">
        <v>212</v>
      </c>
      <c r="G7307">
        <v>73</v>
      </c>
      <c r="H7307">
        <v>0.56999999999999995</v>
      </c>
      <c r="I7307" t="s">
        <v>19</v>
      </c>
      <c r="J7307">
        <v>19</v>
      </c>
      <c r="K7307">
        <v>0</v>
      </c>
      <c r="L7307">
        <v>1</v>
      </c>
      <c r="M7307">
        <f>VLOOKUP(Table1[[#This Row],[subscription_type]],Plans!$A$1:$B$5,2,FALSE)</f>
        <v>0</v>
      </c>
      <c r="N7307">
        <f t="shared" si="114"/>
        <v>0</v>
      </c>
    </row>
    <row r="7308" spans="1:14" x14ac:dyDescent="0.35">
      <c r="A7308">
        <v>7307</v>
      </c>
      <c r="B7308" t="s">
        <v>16</v>
      </c>
      <c r="C7308">
        <v>56</v>
      </c>
      <c r="D7308" t="s">
        <v>29</v>
      </c>
      <c r="E7308" t="s">
        <v>24</v>
      </c>
      <c r="F7308">
        <v>10</v>
      </c>
      <c r="G7308">
        <v>34</v>
      </c>
      <c r="H7308">
        <v>0.22</v>
      </c>
      <c r="I7308" t="s">
        <v>23</v>
      </c>
      <c r="J7308">
        <v>0</v>
      </c>
      <c r="K7308">
        <v>1</v>
      </c>
      <c r="L7308">
        <v>1</v>
      </c>
      <c r="M7308">
        <f>VLOOKUP(Table1[[#This Row],[subscription_type]],Plans!$A$1:$B$5,2,FALSE)</f>
        <v>4.99</v>
      </c>
      <c r="N7308">
        <f t="shared" si="114"/>
        <v>4.99</v>
      </c>
    </row>
    <row r="7309" spans="1:14" x14ac:dyDescent="0.35">
      <c r="A7309">
        <v>7308</v>
      </c>
      <c r="B7309" t="s">
        <v>16</v>
      </c>
      <c r="C7309">
        <v>33</v>
      </c>
      <c r="D7309" t="s">
        <v>21</v>
      </c>
      <c r="E7309" t="s">
        <v>22</v>
      </c>
      <c r="F7309">
        <v>29</v>
      </c>
      <c r="G7309">
        <v>38</v>
      </c>
      <c r="H7309">
        <v>0.17</v>
      </c>
      <c r="I7309" t="s">
        <v>19</v>
      </c>
      <c r="J7309">
        <v>0</v>
      </c>
      <c r="K7309">
        <v>1</v>
      </c>
      <c r="L7309">
        <v>0</v>
      </c>
      <c r="M7309">
        <f>VLOOKUP(Table1[[#This Row],[subscription_type]],Plans!$A$1:$B$5,2,FALSE)</f>
        <v>9.99</v>
      </c>
      <c r="N7309">
        <f t="shared" si="114"/>
        <v>0</v>
      </c>
    </row>
    <row r="7310" spans="1:14" x14ac:dyDescent="0.35">
      <c r="A7310">
        <v>7309</v>
      </c>
      <c r="B7310" t="s">
        <v>16</v>
      </c>
      <c r="C7310">
        <v>20</v>
      </c>
      <c r="D7310" t="s">
        <v>27</v>
      </c>
      <c r="E7310" t="s">
        <v>24</v>
      </c>
      <c r="F7310">
        <v>166</v>
      </c>
      <c r="G7310">
        <v>69</v>
      </c>
      <c r="H7310">
        <v>0.25</v>
      </c>
      <c r="I7310" t="s">
        <v>15</v>
      </c>
      <c r="J7310">
        <v>0</v>
      </c>
      <c r="K7310">
        <v>1</v>
      </c>
      <c r="L7310">
        <v>0</v>
      </c>
      <c r="M7310">
        <f>VLOOKUP(Table1[[#This Row],[subscription_type]],Plans!$A$1:$B$5,2,FALSE)</f>
        <v>4.99</v>
      </c>
      <c r="N7310">
        <f t="shared" si="114"/>
        <v>0</v>
      </c>
    </row>
    <row r="7311" spans="1:14" x14ac:dyDescent="0.35">
      <c r="A7311">
        <v>7310</v>
      </c>
      <c r="B7311" t="s">
        <v>16</v>
      </c>
      <c r="C7311">
        <v>53</v>
      </c>
      <c r="D7311" t="s">
        <v>26</v>
      </c>
      <c r="E7311" t="s">
        <v>22</v>
      </c>
      <c r="F7311">
        <v>33</v>
      </c>
      <c r="G7311">
        <v>76</v>
      </c>
      <c r="H7311">
        <v>0.28999999999999998</v>
      </c>
      <c r="I7311" t="s">
        <v>23</v>
      </c>
      <c r="J7311">
        <v>0</v>
      </c>
      <c r="K7311">
        <v>1</v>
      </c>
      <c r="L7311">
        <v>0</v>
      </c>
      <c r="M7311">
        <f>VLOOKUP(Table1[[#This Row],[subscription_type]],Plans!$A$1:$B$5,2,FALSE)</f>
        <v>9.99</v>
      </c>
      <c r="N7311">
        <f t="shared" si="114"/>
        <v>0</v>
      </c>
    </row>
    <row r="7312" spans="1:14" x14ac:dyDescent="0.35">
      <c r="A7312">
        <v>7311</v>
      </c>
      <c r="B7312" t="s">
        <v>12</v>
      </c>
      <c r="C7312">
        <v>29</v>
      </c>
      <c r="D7312" t="s">
        <v>27</v>
      </c>
      <c r="E7312" t="s">
        <v>24</v>
      </c>
      <c r="F7312">
        <v>108</v>
      </c>
      <c r="G7312">
        <v>52</v>
      </c>
      <c r="H7312">
        <v>0.26</v>
      </c>
      <c r="I7312" t="s">
        <v>23</v>
      </c>
      <c r="J7312">
        <v>0</v>
      </c>
      <c r="K7312">
        <v>1</v>
      </c>
      <c r="L7312">
        <v>0</v>
      </c>
      <c r="M7312">
        <f>VLOOKUP(Table1[[#This Row],[subscription_type]],Plans!$A$1:$B$5,2,FALSE)</f>
        <v>4.99</v>
      </c>
      <c r="N7312">
        <f t="shared" si="114"/>
        <v>0</v>
      </c>
    </row>
    <row r="7313" spans="1:14" x14ac:dyDescent="0.35">
      <c r="A7313">
        <v>7312</v>
      </c>
      <c r="B7313" t="s">
        <v>16</v>
      </c>
      <c r="C7313">
        <v>54</v>
      </c>
      <c r="D7313" t="s">
        <v>25</v>
      </c>
      <c r="E7313" t="s">
        <v>18</v>
      </c>
      <c r="F7313">
        <v>51</v>
      </c>
      <c r="G7313">
        <v>10</v>
      </c>
      <c r="H7313">
        <v>0.3</v>
      </c>
      <c r="I7313" t="s">
        <v>23</v>
      </c>
      <c r="J7313">
        <v>0</v>
      </c>
      <c r="K7313">
        <v>1</v>
      </c>
      <c r="L7313">
        <v>0</v>
      </c>
      <c r="M7313">
        <f>VLOOKUP(Table1[[#This Row],[subscription_type]],Plans!$A$1:$B$5,2,FALSE)</f>
        <v>14.99</v>
      </c>
      <c r="N7313">
        <f t="shared" si="114"/>
        <v>0</v>
      </c>
    </row>
    <row r="7314" spans="1:14" x14ac:dyDescent="0.35">
      <c r="A7314">
        <v>7313</v>
      </c>
      <c r="B7314" t="s">
        <v>12</v>
      </c>
      <c r="C7314">
        <v>35</v>
      </c>
      <c r="D7314" t="s">
        <v>17</v>
      </c>
      <c r="E7314" t="s">
        <v>14</v>
      </c>
      <c r="F7314">
        <v>259</v>
      </c>
      <c r="G7314">
        <v>15</v>
      </c>
      <c r="H7314">
        <v>0.28999999999999998</v>
      </c>
      <c r="I7314" t="s">
        <v>19</v>
      </c>
      <c r="J7314">
        <v>9</v>
      </c>
      <c r="K7314">
        <v>0</v>
      </c>
      <c r="L7314">
        <v>0</v>
      </c>
      <c r="M7314">
        <f>VLOOKUP(Table1[[#This Row],[subscription_type]],Plans!$A$1:$B$5,2,FALSE)</f>
        <v>0</v>
      </c>
      <c r="N7314">
        <f t="shared" si="114"/>
        <v>0</v>
      </c>
    </row>
    <row r="7315" spans="1:14" x14ac:dyDescent="0.35">
      <c r="A7315">
        <v>7314</v>
      </c>
      <c r="B7315" t="s">
        <v>12</v>
      </c>
      <c r="C7315">
        <v>43</v>
      </c>
      <c r="D7315" t="s">
        <v>26</v>
      </c>
      <c r="E7315" t="s">
        <v>22</v>
      </c>
      <c r="F7315">
        <v>74</v>
      </c>
      <c r="G7315">
        <v>32</v>
      </c>
      <c r="H7315">
        <v>0.04</v>
      </c>
      <c r="I7315" t="s">
        <v>19</v>
      </c>
      <c r="J7315">
        <v>0</v>
      </c>
      <c r="K7315">
        <v>1</v>
      </c>
      <c r="L7315">
        <v>0</v>
      </c>
      <c r="M7315">
        <f>VLOOKUP(Table1[[#This Row],[subscription_type]],Plans!$A$1:$B$5,2,FALSE)</f>
        <v>9.99</v>
      </c>
      <c r="N7315">
        <f t="shared" si="114"/>
        <v>0</v>
      </c>
    </row>
    <row r="7316" spans="1:14" x14ac:dyDescent="0.35">
      <c r="A7316">
        <v>7315</v>
      </c>
      <c r="B7316" t="s">
        <v>20</v>
      </c>
      <c r="C7316">
        <v>51</v>
      </c>
      <c r="D7316" t="s">
        <v>29</v>
      </c>
      <c r="E7316" t="s">
        <v>14</v>
      </c>
      <c r="F7316">
        <v>272</v>
      </c>
      <c r="G7316">
        <v>53</v>
      </c>
      <c r="H7316">
        <v>0.26</v>
      </c>
      <c r="I7316" t="s">
        <v>19</v>
      </c>
      <c r="J7316">
        <v>32</v>
      </c>
      <c r="K7316">
        <v>0</v>
      </c>
      <c r="L7316">
        <v>1</v>
      </c>
      <c r="M7316">
        <f>VLOOKUP(Table1[[#This Row],[subscription_type]],Plans!$A$1:$B$5,2,FALSE)</f>
        <v>0</v>
      </c>
      <c r="N7316">
        <f t="shared" si="114"/>
        <v>0</v>
      </c>
    </row>
    <row r="7317" spans="1:14" x14ac:dyDescent="0.35">
      <c r="A7317">
        <v>7316</v>
      </c>
      <c r="B7317" t="s">
        <v>20</v>
      </c>
      <c r="C7317">
        <v>52</v>
      </c>
      <c r="D7317" t="s">
        <v>27</v>
      </c>
      <c r="E7317" t="s">
        <v>14</v>
      </c>
      <c r="F7317">
        <v>126</v>
      </c>
      <c r="G7317">
        <v>23</v>
      </c>
      <c r="H7317">
        <v>0.42</v>
      </c>
      <c r="I7317" t="s">
        <v>15</v>
      </c>
      <c r="J7317">
        <v>43</v>
      </c>
      <c r="K7317">
        <v>0</v>
      </c>
      <c r="L7317">
        <v>0</v>
      </c>
      <c r="M7317">
        <f>VLOOKUP(Table1[[#This Row],[subscription_type]],Plans!$A$1:$B$5,2,FALSE)</f>
        <v>0</v>
      </c>
      <c r="N7317">
        <f t="shared" si="114"/>
        <v>0</v>
      </c>
    </row>
    <row r="7318" spans="1:14" x14ac:dyDescent="0.35">
      <c r="A7318">
        <v>7317</v>
      </c>
      <c r="B7318" t="s">
        <v>20</v>
      </c>
      <c r="C7318">
        <v>29</v>
      </c>
      <c r="D7318" t="s">
        <v>29</v>
      </c>
      <c r="E7318" t="s">
        <v>14</v>
      </c>
      <c r="F7318">
        <v>184</v>
      </c>
      <c r="G7318">
        <v>38</v>
      </c>
      <c r="H7318">
        <v>0.55000000000000004</v>
      </c>
      <c r="I7318" t="s">
        <v>19</v>
      </c>
      <c r="J7318">
        <v>10</v>
      </c>
      <c r="K7318">
        <v>0</v>
      </c>
      <c r="L7318">
        <v>0</v>
      </c>
      <c r="M7318">
        <f>VLOOKUP(Table1[[#This Row],[subscription_type]],Plans!$A$1:$B$5,2,FALSE)</f>
        <v>0</v>
      </c>
      <c r="N7318">
        <f t="shared" si="114"/>
        <v>0</v>
      </c>
    </row>
    <row r="7319" spans="1:14" x14ac:dyDescent="0.35">
      <c r="A7319">
        <v>7318</v>
      </c>
      <c r="B7319" t="s">
        <v>12</v>
      </c>
      <c r="C7319">
        <v>39</v>
      </c>
      <c r="D7319" t="s">
        <v>27</v>
      </c>
      <c r="E7319" t="s">
        <v>14</v>
      </c>
      <c r="F7319">
        <v>225</v>
      </c>
      <c r="G7319">
        <v>30</v>
      </c>
      <c r="H7319">
        <v>0.24</v>
      </c>
      <c r="I7319" t="s">
        <v>15</v>
      </c>
      <c r="J7319">
        <v>47</v>
      </c>
      <c r="K7319">
        <v>0</v>
      </c>
      <c r="L7319">
        <v>0</v>
      </c>
      <c r="M7319">
        <f>VLOOKUP(Table1[[#This Row],[subscription_type]],Plans!$A$1:$B$5,2,FALSE)</f>
        <v>0</v>
      </c>
      <c r="N7319">
        <f t="shared" si="114"/>
        <v>0</v>
      </c>
    </row>
    <row r="7320" spans="1:14" x14ac:dyDescent="0.35">
      <c r="A7320">
        <v>7319</v>
      </c>
      <c r="B7320" t="s">
        <v>20</v>
      </c>
      <c r="C7320">
        <v>25</v>
      </c>
      <c r="D7320" t="s">
        <v>25</v>
      </c>
      <c r="E7320" t="s">
        <v>24</v>
      </c>
      <c r="F7320">
        <v>165</v>
      </c>
      <c r="G7320">
        <v>49</v>
      </c>
      <c r="H7320">
        <v>0.42</v>
      </c>
      <c r="I7320" t="s">
        <v>15</v>
      </c>
      <c r="J7320">
        <v>0</v>
      </c>
      <c r="K7320">
        <v>1</v>
      </c>
      <c r="L7320">
        <v>1</v>
      </c>
      <c r="M7320">
        <f>VLOOKUP(Table1[[#This Row],[subscription_type]],Plans!$A$1:$B$5,2,FALSE)</f>
        <v>4.99</v>
      </c>
      <c r="N7320">
        <f t="shared" si="114"/>
        <v>4.99</v>
      </c>
    </row>
    <row r="7321" spans="1:14" x14ac:dyDescent="0.35">
      <c r="A7321">
        <v>7320</v>
      </c>
      <c r="B7321" t="s">
        <v>12</v>
      </c>
      <c r="C7321">
        <v>51</v>
      </c>
      <c r="D7321" t="s">
        <v>29</v>
      </c>
      <c r="E7321" t="s">
        <v>14</v>
      </c>
      <c r="F7321">
        <v>120</v>
      </c>
      <c r="G7321">
        <v>21</v>
      </c>
      <c r="H7321">
        <v>0.56999999999999995</v>
      </c>
      <c r="I7321" t="s">
        <v>23</v>
      </c>
      <c r="J7321">
        <v>9</v>
      </c>
      <c r="K7321">
        <v>0</v>
      </c>
      <c r="L7321">
        <v>0</v>
      </c>
      <c r="M7321">
        <f>VLOOKUP(Table1[[#This Row],[subscription_type]],Plans!$A$1:$B$5,2,FALSE)</f>
        <v>0</v>
      </c>
      <c r="N7321">
        <f t="shared" si="114"/>
        <v>0</v>
      </c>
    </row>
    <row r="7322" spans="1:14" x14ac:dyDescent="0.35">
      <c r="A7322">
        <v>7321</v>
      </c>
      <c r="B7322" t="s">
        <v>20</v>
      </c>
      <c r="C7322">
        <v>21</v>
      </c>
      <c r="D7322" t="s">
        <v>25</v>
      </c>
      <c r="E7322" t="s">
        <v>14</v>
      </c>
      <c r="F7322">
        <v>135</v>
      </c>
      <c r="G7322">
        <v>80</v>
      </c>
      <c r="H7322">
        <v>0.03</v>
      </c>
      <c r="I7322" t="s">
        <v>15</v>
      </c>
      <c r="J7322">
        <v>38</v>
      </c>
      <c r="K7322">
        <v>0</v>
      </c>
      <c r="L7322">
        <v>0</v>
      </c>
      <c r="M7322">
        <f>VLOOKUP(Table1[[#This Row],[subscription_type]],Plans!$A$1:$B$5,2,FALSE)</f>
        <v>0</v>
      </c>
      <c r="N7322">
        <f t="shared" si="114"/>
        <v>0</v>
      </c>
    </row>
    <row r="7323" spans="1:14" x14ac:dyDescent="0.35">
      <c r="A7323">
        <v>7322</v>
      </c>
      <c r="B7323" t="s">
        <v>20</v>
      </c>
      <c r="C7323">
        <v>49</v>
      </c>
      <c r="D7323" t="s">
        <v>29</v>
      </c>
      <c r="E7323" t="s">
        <v>18</v>
      </c>
      <c r="F7323">
        <v>170</v>
      </c>
      <c r="G7323">
        <v>51</v>
      </c>
      <c r="H7323">
        <v>7.0000000000000007E-2</v>
      </c>
      <c r="I7323" t="s">
        <v>15</v>
      </c>
      <c r="J7323">
        <v>0</v>
      </c>
      <c r="K7323">
        <v>1</v>
      </c>
      <c r="L7323">
        <v>0</v>
      </c>
      <c r="M7323">
        <f>VLOOKUP(Table1[[#This Row],[subscription_type]],Plans!$A$1:$B$5,2,FALSE)</f>
        <v>14.99</v>
      </c>
      <c r="N7323">
        <f t="shared" si="114"/>
        <v>0</v>
      </c>
    </row>
    <row r="7324" spans="1:14" x14ac:dyDescent="0.35">
      <c r="A7324">
        <v>7323</v>
      </c>
      <c r="B7324" t="s">
        <v>16</v>
      </c>
      <c r="C7324">
        <v>44</v>
      </c>
      <c r="D7324" t="s">
        <v>29</v>
      </c>
      <c r="E7324" t="s">
        <v>18</v>
      </c>
      <c r="F7324">
        <v>201</v>
      </c>
      <c r="G7324">
        <v>75</v>
      </c>
      <c r="H7324">
        <v>0.15</v>
      </c>
      <c r="I7324" t="s">
        <v>23</v>
      </c>
      <c r="J7324">
        <v>0</v>
      </c>
      <c r="K7324">
        <v>1</v>
      </c>
      <c r="L7324">
        <v>0</v>
      </c>
      <c r="M7324">
        <f>VLOOKUP(Table1[[#This Row],[subscription_type]],Plans!$A$1:$B$5,2,FALSE)</f>
        <v>14.99</v>
      </c>
      <c r="N7324">
        <f t="shared" si="114"/>
        <v>0</v>
      </c>
    </row>
    <row r="7325" spans="1:14" x14ac:dyDescent="0.35">
      <c r="A7325">
        <v>7324</v>
      </c>
      <c r="B7325" t="s">
        <v>20</v>
      </c>
      <c r="C7325">
        <v>54</v>
      </c>
      <c r="D7325" t="s">
        <v>28</v>
      </c>
      <c r="E7325" t="s">
        <v>22</v>
      </c>
      <c r="F7325">
        <v>38</v>
      </c>
      <c r="G7325">
        <v>22</v>
      </c>
      <c r="H7325">
        <v>0.13</v>
      </c>
      <c r="I7325" t="s">
        <v>15</v>
      </c>
      <c r="J7325">
        <v>0</v>
      </c>
      <c r="K7325">
        <v>1</v>
      </c>
      <c r="L7325">
        <v>0</v>
      </c>
      <c r="M7325">
        <f>VLOOKUP(Table1[[#This Row],[subscription_type]],Plans!$A$1:$B$5,2,FALSE)</f>
        <v>9.99</v>
      </c>
      <c r="N7325">
        <f t="shared" si="114"/>
        <v>0</v>
      </c>
    </row>
    <row r="7326" spans="1:14" x14ac:dyDescent="0.35">
      <c r="A7326">
        <v>7325</v>
      </c>
      <c r="B7326" t="s">
        <v>12</v>
      </c>
      <c r="C7326">
        <v>51</v>
      </c>
      <c r="D7326" t="s">
        <v>29</v>
      </c>
      <c r="E7326" t="s">
        <v>24</v>
      </c>
      <c r="F7326">
        <v>123</v>
      </c>
      <c r="G7326">
        <v>33</v>
      </c>
      <c r="H7326">
        <v>0.28000000000000003</v>
      </c>
      <c r="I7326" t="s">
        <v>15</v>
      </c>
      <c r="J7326">
        <v>0</v>
      </c>
      <c r="K7326">
        <v>1</v>
      </c>
      <c r="L7326">
        <v>0</v>
      </c>
      <c r="M7326">
        <f>VLOOKUP(Table1[[#This Row],[subscription_type]],Plans!$A$1:$B$5,2,FALSE)</f>
        <v>4.99</v>
      </c>
      <c r="N7326">
        <f t="shared" si="114"/>
        <v>0</v>
      </c>
    </row>
    <row r="7327" spans="1:14" x14ac:dyDescent="0.35">
      <c r="A7327">
        <v>7326</v>
      </c>
      <c r="B7327" t="s">
        <v>16</v>
      </c>
      <c r="C7327">
        <v>16</v>
      </c>
      <c r="D7327" t="s">
        <v>25</v>
      </c>
      <c r="E7327" t="s">
        <v>24</v>
      </c>
      <c r="F7327">
        <v>148</v>
      </c>
      <c r="G7327">
        <v>90</v>
      </c>
      <c r="H7327">
        <v>0.53</v>
      </c>
      <c r="I7327" t="s">
        <v>19</v>
      </c>
      <c r="J7327">
        <v>0</v>
      </c>
      <c r="K7327">
        <v>1</v>
      </c>
      <c r="L7327">
        <v>0</v>
      </c>
      <c r="M7327">
        <f>VLOOKUP(Table1[[#This Row],[subscription_type]],Plans!$A$1:$B$5,2,FALSE)</f>
        <v>4.99</v>
      </c>
      <c r="N7327">
        <f t="shared" si="114"/>
        <v>0</v>
      </c>
    </row>
    <row r="7328" spans="1:14" x14ac:dyDescent="0.35">
      <c r="A7328">
        <v>7327</v>
      </c>
      <c r="B7328" t="s">
        <v>20</v>
      </c>
      <c r="C7328">
        <v>55</v>
      </c>
      <c r="D7328" t="s">
        <v>28</v>
      </c>
      <c r="E7328" t="s">
        <v>18</v>
      </c>
      <c r="F7328">
        <v>41</v>
      </c>
      <c r="G7328">
        <v>65</v>
      </c>
      <c r="H7328">
        <v>0.31</v>
      </c>
      <c r="I7328" t="s">
        <v>23</v>
      </c>
      <c r="J7328">
        <v>0</v>
      </c>
      <c r="K7328">
        <v>1</v>
      </c>
      <c r="L7328">
        <v>1</v>
      </c>
      <c r="M7328">
        <f>VLOOKUP(Table1[[#This Row],[subscription_type]],Plans!$A$1:$B$5,2,FALSE)</f>
        <v>14.99</v>
      </c>
      <c r="N7328">
        <f t="shared" si="114"/>
        <v>14.99</v>
      </c>
    </row>
    <row r="7329" spans="1:14" x14ac:dyDescent="0.35">
      <c r="A7329">
        <v>7328</v>
      </c>
      <c r="B7329" t="s">
        <v>20</v>
      </c>
      <c r="C7329">
        <v>30</v>
      </c>
      <c r="D7329" t="s">
        <v>21</v>
      </c>
      <c r="E7329" t="s">
        <v>14</v>
      </c>
      <c r="F7329">
        <v>266</v>
      </c>
      <c r="G7329">
        <v>81</v>
      </c>
      <c r="H7329">
        <v>0.45</v>
      </c>
      <c r="I7329" t="s">
        <v>15</v>
      </c>
      <c r="J7329">
        <v>34</v>
      </c>
      <c r="K7329">
        <v>0</v>
      </c>
      <c r="L7329">
        <v>0</v>
      </c>
      <c r="M7329">
        <f>VLOOKUP(Table1[[#This Row],[subscription_type]],Plans!$A$1:$B$5,2,FALSE)</f>
        <v>0</v>
      </c>
      <c r="N7329">
        <f t="shared" si="114"/>
        <v>0</v>
      </c>
    </row>
    <row r="7330" spans="1:14" x14ac:dyDescent="0.35">
      <c r="A7330">
        <v>7329</v>
      </c>
      <c r="B7330" t="s">
        <v>20</v>
      </c>
      <c r="C7330">
        <v>46</v>
      </c>
      <c r="D7330" t="s">
        <v>21</v>
      </c>
      <c r="E7330" t="s">
        <v>22</v>
      </c>
      <c r="F7330">
        <v>122</v>
      </c>
      <c r="G7330">
        <v>46</v>
      </c>
      <c r="H7330">
        <v>0.31</v>
      </c>
      <c r="I7330" t="s">
        <v>19</v>
      </c>
      <c r="J7330">
        <v>0</v>
      </c>
      <c r="K7330">
        <v>1</v>
      </c>
      <c r="L7330">
        <v>0</v>
      </c>
      <c r="M7330">
        <f>VLOOKUP(Table1[[#This Row],[subscription_type]],Plans!$A$1:$B$5,2,FALSE)</f>
        <v>9.99</v>
      </c>
      <c r="N7330">
        <f t="shared" si="114"/>
        <v>0</v>
      </c>
    </row>
    <row r="7331" spans="1:14" x14ac:dyDescent="0.35">
      <c r="A7331">
        <v>7330</v>
      </c>
      <c r="B7331" t="s">
        <v>12</v>
      </c>
      <c r="C7331">
        <v>56</v>
      </c>
      <c r="D7331" t="s">
        <v>21</v>
      </c>
      <c r="E7331" t="s">
        <v>24</v>
      </c>
      <c r="F7331">
        <v>44</v>
      </c>
      <c r="G7331">
        <v>62</v>
      </c>
      <c r="H7331">
        <v>0.37</v>
      </c>
      <c r="I7331" t="s">
        <v>19</v>
      </c>
      <c r="J7331">
        <v>0</v>
      </c>
      <c r="K7331">
        <v>1</v>
      </c>
      <c r="L7331">
        <v>1</v>
      </c>
      <c r="M7331">
        <f>VLOOKUP(Table1[[#This Row],[subscription_type]],Plans!$A$1:$B$5,2,FALSE)</f>
        <v>4.99</v>
      </c>
      <c r="N7331">
        <f t="shared" si="114"/>
        <v>4.99</v>
      </c>
    </row>
    <row r="7332" spans="1:14" x14ac:dyDescent="0.35">
      <c r="A7332">
        <v>7331</v>
      </c>
      <c r="B7332" t="s">
        <v>16</v>
      </c>
      <c r="C7332">
        <v>51</v>
      </c>
      <c r="D7332" t="s">
        <v>26</v>
      </c>
      <c r="E7332" t="s">
        <v>18</v>
      </c>
      <c r="F7332">
        <v>204</v>
      </c>
      <c r="G7332">
        <v>35</v>
      </c>
      <c r="H7332">
        <v>0.41</v>
      </c>
      <c r="I7332" t="s">
        <v>19</v>
      </c>
      <c r="J7332">
        <v>0</v>
      </c>
      <c r="K7332">
        <v>1</v>
      </c>
      <c r="L7332">
        <v>0</v>
      </c>
      <c r="M7332">
        <f>VLOOKUP(Table1[[#This Row],[subscription_type]],Plans!$A$1:$B$5,2,FALSE)</f>
        <v>14.99</v>
      </c>
      <c r="N7332">
        <f t="shared" si="114"/>
        <v>0</v>
      </c>
    </row>
    <row r="7333" spans="1:14" x14ac:dyDescent="0.35">
      <c r="A7333">
        <v>7332</v>
      </c>
      <c r="B7333" t="s">
        <v>20</v>
      </c>
      <c r="C7333">
        <v>37</v>
      </c>
      <c r="D7333" t="s">
        <v>21</v>
      </c>
      <c r="E7333" t="s">
        <v>18</v>
      </c>
      <c r="F7333">
        <v>49</v>
      </c>
      <c r="G7333">
        <v>40</v>
      </c>
      <c r="H7333">
        <v>0.5</v>
      </c>
      <c r="I7333" t="s">
        <v>23</v>
      </c>
      <c r="J7333">
        <v>0</v>
      </c>
      <c r="K7333">
        <v>1</v>
      </c>
      <c r="L7333">
        <v>0</v>
      </c>
      <c r="M7333">
        <f>VLOOKUP(Table1[[#This Row],[subscription_type]],Plans!$A$1:$B$5,2,FALSE)</f>
        <v>14.99</v>
      </c>
      <c r="N7333">
        <f t="shared" si="114"/>
        <v>0</v>
      </c>
    </row>
    <row r="7334" spans="1:14" x14ac:dyDescent="0.35">
      <c r="A7334">
        <v>7333</v>
      </c>
      <c r="B7334" t="s">
        <v>16</v>
      </c>
      <c r="C7334">
        <v>49</v>
      </c>
      <c r="D7334" t="s">
        <v>29</v>
      </c>
      <c r="E7334" t="s">
        <v>24</v>
      </c>
      <c r="F7334">
        <v>82</v>
      </c>
      <c r="G7334">
        <v>55</v>
      </c>
      <c r="H7334">
        <v>0.25</v>
      </c>
      <c r="I7334" t="s">
        <v>15</v>
      </c>
      <c r="J7334">
        <v>0</v>
      </c>
      <c r="K7334">
        <v>1</v>
      </c>
      <c r="L7334">
        <v>0</v>
      </c>
      <c r="M7334">
        <f>VLOOKUP(Table1[[#This Row],[subscription_type]],Plans!$A$1:$B$5,2,FALSE)</f>
        <v>4.99</v>
      </c>
      <c r="N7334">
        <f t="shared" si="114"/>
        <v>0</v>
      </c>
    </row>
    <row r="7335" spans="1:14" x14ac:dyDescent="0.35">
      <c r="A7335">
        <v>7334</v>
      </c>
      <c r="B7335" t="s">
        <v>20</v>
      </c>
      <c r="C7335">
        <v>39</v>
      </c>
      <c r="D7335" t="s">
        <v>26</v>
      </c>
      <c r="E7335" t="s">
        <v>22</v>
      </c>
      <c r="F7335">
        <v>271</v>
      </c>
      <c r="G7335">
        <v>54</v>
      </c>
      <c r="H7335">
        <v>0.55000000000000004</v>
      </c>
      <c r="I7335" t="s">
        <v>15</v>
      </c>
      <c r="J7335">
        <v>0</v>
      </c>
      <c r="K7335">
        <v>1</v>
      </c>
      <c r="L7335">
        <v>1</v>
      </c>
      <c r="M7335">
        <f>VLOOKUP(Table1[[#This Row],[subscription_type]],Plans!$A$1:$B$5,2,FALSE)</f>
        <v>9.99</v>
      </c>
      <c r="N7335">
        <f t="shared" si="114"/>
        <v>9.99</v>
      </c>
    </row>
    <row r="7336" spans="1:14" x14ac:dyDescent="0.35">
      <c r="A7336">
        <v>7335</v>
      </c>
      <c r="B7336" t="s">
        <v>20</v>
      </c>
      <c r="C7336">
        <v>30</v>
      </c>
      <c r="D7336" t="s">
        <v>26</v>
      </c>
      <c r="E7336" t="s">
        <v>18</v>
      </c>
      <c r="F7336">
        <v>186</v>
      </c>
      <c r="G7336">
        <v>51</v>
      </c>
      <c r="H7336">
        <v>0.57999999999999996</v>
      </c>
      <c r="I7336" t="s">
        <v>23</v>
      </c>
      <c r="J7336">
        <v>0</v>
      </c>
      <c r="K7336">
        <v>1</v>
      </c>
      <c r="L7336">
        <v>0</v>
      </c>
      <c r="M7336">
        <f>VLOOKUP(Table1[[#This Row],[subscription_type]],Plans!$A$1:$B$5,2,FALSE)</f>
        <v>14.99</v>
      </c>
      <c r="N7336">
        <f t="shared" si="114"/>
        <v>0</v>
      </c>
    </row>
    <row r="7337" spans="1:14" x14ac:dyDescent="0.35">
      <c r="A7337">
        <v>7336</v>
      </c>
      <c r="B7337" t="s">
        <v>20</v>
      </c>
      <c r="C7337">
        <v>35</v>
      </c>
      <c r="D7337" t="s">
        <v>25</v>
      </c>
      <c r="E7337" t="s">
        <v>18</v>
      </c>
      <c r="F7337">
        <v>74</v>
      </c>
      <c r="G7337">
        <v>45</v>
      </c>
      <c r="H7337">
        <v>0.12</v>
      </c>
      <c r="I7337" t="s">
        <v>23</v>
      </c>
      <c r="J7337">
        <v>0</v>
      </c>
      <c r="K7337">
        <v>1</v>
      </c>
      <c r="L7337">
        <v>0</v>
      </c>
      <c r="M7337">
        <f>VLOOKUP(Table1[[#This Row],[subscription_type]],Plans!$A$1:$B$5,2,FALSE)</f>
        <v>14.99</v>
      </c>
      <c r="N7337">
        <f t="shared" si="114"/>
        <v>0</v>
      </c>
    </row>
    <row r="7338" spans="1:14" x14ac:dyDescent="0.35">
      <c r="A7338">
        <v>7337</v>
      </c>
      <c r="B7338" t="s">
        <v>20</v>
      </c>
      <c r="C7338">
        <v>19</v>
      </c>
      <c r="D7338" t="s">
        <v>26</v>
      </c>
      <c r="E7338" t="s">
        <v>14</v>
      </c>
      <c r="F7338">
        <v>244</v>
      </c>
      <c r="G7338">
        <v>84</v>
      </c>
      <c r="H7338">
        <v>0.24</v>
      </c>
      <c r="I7338" t="s">
        <v>19</v>
      </c>
      <c r="J7338">
        <v>9</v>
      </c>
      <c r="K7338">
        <v>0</v>
      </c>
      <c r="L7338">
        <v>0</v>
      </c>
      <c r="M7338">
        <f>VLOOKUP(Table1[[#This Row],[subscription_type]],Plans!$A$1:$B$5,2,FALSE)</f>
        <v>0</v>
      </c>
      <c r="N7338">
        <f t="shared" si="114"/>
        <v>0</v>
      </c>
    </row>
    <row r="7339" spans="1:14" x14ac:dyDescent="0.35">
      <c r="A7339">
        <v>7338</v>
      </c>
      <c r="B7339" t="s">
        <v>16</v>
      </c>
      <c r="C7339">
        <v>52</v>
      </c>
      <c r="D7339" t="s">
        <v>29</v>
      </c>
      <c r="E7339" t="s">
        <v>24</v>
      </c>
      <c r="F7339">
        <v>118</v>
      </c>
      <c r="G7339">
        <v>59</v>
      </c>
      <c r="H7339">
        <v>0.36</v>
      </c>
      <c r="I7339" t="s">
        <v>15</v>
      </c>
      <c r="J7339">
        <v>0</v>
      </c>
      <c r="K7339">
        <v>1</v>
      </c>
      <c r="L7339">
        <v>0</v>
      </c>
      <c r="M7339">
        <f>VLOOKUP(Table1[[#This Row],[subscription_type]],Plans!$A$1:$B$5,2,FALSE)</f>
        <v>4.99</v>
      </c>
      <c r="N7339">
        <f t="shared" si="114"/>
        <v>0</v>
      </c>
    </row>
    <row r="7340" spans="1:14" x14ac:dyDescent="0.35">
      <c r="A7340">
        <v>7339</v>
      </c>
      <c r="B7340" t="s">
        <v>12</v>
      </c>
      <c r="C7340">
        <v>30</v>
      </c>
      <c r="D7340" t="s">
        <v>27</v>
      </c>
      <c r="E7340" t="s">
        <v>14</v>
      </c>
      <c r="F7340">
        <v>211</v>
      </c>
      <c r="G7340">
        <v>89</v>
      </c>
      <c r="H7340">
        <v>0.23</v>
      </c>
      <c r="I7340" t="s">
        <v>23</v>
      </c>
      <c r="J7340">
        <v>12</v>
      </c>
      <c r="K7340">
        <v>0</v>
      </c>
      <c r="L7340">
        <v>1</v>
      </c>
      <c r="M7340">
        <f>VLOOKUP(Table1[[#This Row],[subscription_type]],Plans!$A$1:$B$5,2,FALSE)</f>
        <v>0</v>
      </c>
      <c r="N7340">
        <f t="shared" si="114"/>
        <v>0</v>
      </c>
    </row>
    <row r="7341" spans="1:14" x14ac:dyDescent="0.35">
      <c r="A7341">
        <v>7340</v>
      </c>
      <c r="B7341" t="s">
        <v>20</v>
      </c>
      <c r="C7341">
        <v>26</v>
      </c>
      <c r="D7341" t="s">
        <v>21</v>
      </c>
      <c r="E7341" t="s">
        <v>22</v>
      </c>
      <c r="F7341">
        <v>246</v>
      </c>
      <c r="G7341">
        <v>37</v>
      </c>
      <c r="H7341">
        <v>0.53</v>
      </c>
      <c r="I7341" t="s">
        <v>23</v>
      </c>
      <c r="J7341">
        <v>0</v>
      </c>
      <c r="K7341">
        <v>1</v>
      </c>
      <c r="L7341">
        <v>0</v>
      </c>
      <c r="M7341">
        <f>VLOOKUP(Table1[[#This Row],[subscription_type]],Plans!$A$1:$B$5,2,FALSE)</f>
        <v>9.99</v>
      </c>
      <c r="N7341">
        <f t="shared" si="114"/>
        <v>0</v>
      </c>
    </row>
    <row r="7342" spans="1:14" x14ac:dyDescent="0.35">
      <c r="A7342">
        <v>7341</v>
      </c>
      <c r="B7342" t="s">
        <v>20</v>
      </c>
      <c r="C7342">
        <v>16</v>
      </c>
      <c r="D7342" t="s">
        <v>28</v>
      </c>
      <c r="E7342" t="s">
        <v>14</v>
      </c>
      <c r="F7342">
        <v>71</v>
      </c>
      <c r="G7342">
        <v>91</v>
      </c>
      <c r="H7342">
        <v>0.05</v>
      </c>
      <c r="I7342" t="s">
        <v>15</v>
      </c>
      <c r="J7342">
        <v>35</v>
      </c>
      <c r="K7342">
        <v>0</v>
      </c>
      <c r="L7342">
        <v>0</v>
      </c>
      <c r="M7342">
        <f>VLOOKUP(Table1[[#This Row],[subscription_type]],Plans!$A$1:$B$5,2,FALSE)</f>
        <v>0</v>
      </c>
      <c r="N7342">
        <f t="shared" si="114"/>
        <v>0</v>
      </c>
    </row>
    <row r="7343" spans="1:14" x14ac:dyDescent="0.35">
      <c r="A7343">
        <v>7342</v>
      </c>
      <c r="B7343" t="s">
        <v>20</v>
      </c>
      <c r="C7343">
        <v>34</v>
      </c>
      <c r="D7343" t="s">
        <v>13</v>
      </c>
      <c r="E7343" t="s">
        <v>18</v>
      </c>
      <c r="F7343">
        <v>155</v>
      </c>
      <c r="G7343">
        <v>32</v>
      </c>
      <c r="H7343">
        <v>0.46</v>
      </c>
      <c r="I7343" t="s">
        <v>23</v>
      </c>
      <c r="J7343">
        <v>0</v>
      </c>
      <c r="K7343">
        <v>1</v>
      </c>
      <c r="L7343">
        <v>0</v>
      </c>
      <c r="M7343">
        <f>VLOOKUP(Table1[[#This Row],[subscription_type]],Plans!$A$1:$B$5,2,FALSE)</f>
        <v>14.99</v>
      </c>
      <c r="N7343">
        <f t="shared" si="114"/>
        <v>0</v>
      </c>
    </row>
    <row r="7344" spans="1:14" x14ac:dyDescent="0.35">
      <c r="A7344">
        <v>7343</v>
      </c>
      <c r="B7344" t="s">
        <v>16</v>
      </c>
      <c r="C7344">
        <v>48</v>
      </c>
      <c r="D7344" t="s">
        <v>28</v>
      </c>
      <c r="E7344" t="s">
        <v>24</v>
      </c>
      <c r="F7344">
        <v>191</v>
      </c>
      <c r="G7344">
        <v>75</v>
      </c>
      <c r="H7344">
        <v>0.41</v>
      </c>
      <c r="I7344" t="s">
        <v>19</v>
      </c>
      <c r="J7344">
        <v>0</v>
      </c>
      <c r="K7344">
        <v>1</v>
      </c>
      <c r="L7344">
        <v>0</v>
      </c>
      <c r="M7344">
        <f>VLOOKUP(Table1[[#This Row],[subscription_type]],Plans!$A$1:$B$5,2,FALSE)</f>
        <v>4.99</v>
      </c>
      <c r="N7344">
        <f t="shared" si="114"/>
        <v>0</v>
      </c>
    </row>
    <row r="7345" spans="1:14" x14ac:dyDescent="0.35">
      <c r="A7345">
        <v>7344</v>
      </c>
      <c r="B7345" t="s">
        <v>20</v>
      </c>
      <c r="C7345">
        <v>25</v>
      </c>
      <c r="D7345" t="s">
        <v>27</v>
      </c>
      <c r="E7345" t="s">
        <v>24</v>
      </c>
      <c r="F7345">
        <v>224</v>
      </c>
      <c r="G7345">
        <v>77</v>
      </c>
      <c r="H7345">
        <v>0.06</v>
      </c>
      <c r="I7345" t="s">
        <v>15</v>
      </c>
      <c r="J7345">
        <v>0</v>
      </c>
      <c r="K7345">
        <v>1</v>
      </c>
      <c r="L7345">
        <v>0</v>
      </c>
      <c r="M7345">
        <f>VLOOKUP(Table1[[#This Row],[subscription_type]],Plans!$A$1:$B$5,2,FALSE)</f>
        <v>4.99</v>
      </c>
      <c r="N7345">
        <f t="shared" si="114"/>
        <v>0</v>
      </c>
    </row>
    <row r="7346" spans="1:14" x14ac:dyDescent="0.35">
      <c r="A7346">
        <v>7345</v>
      </c>
      <c r="B7346" t="s">
        <v>20</v>
      </c>
      <c r="C7346">
        <v>32</v>
      </c>
      <c r="D7346" t="s">
        <v>27</v>
      </c>
      <c r="E7346" t="s">
        <v>24</v>
      </c>
      <c r="F7346">
        <v>208</v>
      </c>
      <c r="G7346">
        <v>14</v>
      </c>
      <c r="H7346">
        <v>0.41</v>
      </c>
      <c r="I7346" t="s">
        <v>23</v>
      </c>
      <c r="J7346">
        <v>0</v>
      </c>
      <c r="K7346">
        <v>1</v>
      </c>
      <c r="L7346">
        <v>0</v>
      </c>
      <c r="M7346">
        <f>VLOOKUP(Table1[[#This Row],[subscription_type]],Plans!$A$1:$B$5,2,FALSE)</f>
        <v>4.99</v>
      </c>
      <c r="N7346">
        <f t="shared" si="114"/>
        <v>0</v>
      </c>
    </row>
    <row r="7347" spans="1:14" x14ac:dyDescent="0.35">
      <c r="A7347">
        <v>7346</v>
      </c>
      <c r="B7347" t="s">
        <v>16</v>
      </c>
      <c r="C7347">
        <v>45</v>
      </c>
      <c r="D7347" t="s">
        <v>28</v>
      </c>
      <c r="E7347" t="s">
        <v>22</v>
      </c>
      <c r="F7347">
        <v>234</v>
      </c>
      <c r="G7347">
        <v>69</v>
      </c>
      <c r="H7347">
        <v>0.44</v>
      </c>
      <c r="I7347" t="s">
        <v>23</v>
      </c>
      <c r="J7347">
        <v>0</v>
      </c>
      <c r="K7347">
        <v>1</v>
      </c>
      <c r="L7347">
        <v>0</v>
      </c>
      <c r="M7347">
        <f>VLOOKUP(Table1[[#This Row],[subscription_type]],Plans!$A$1:$B$5,2,FALSE)</f>
        <v>9.99</v>
      </c>
      <c r="N7347">
        <f t="shared" si="114"/>
        <v>0</v>
      </c>
    </row>
    <row r="7348" spans="1:14" x14ac:dyDescent="0.35">
      <c r="A7348">
        <v>7347</v>
      </c>
      <c r="B7348" t="s">
        <v>20</v>
      </c>
      <c r="C7348">
        <v>55</v>
      </c>
      <c r="D7348" t="s">
        <v>17</v>
      </c>
      <c r="E7348" t="s">
        <v>18</v>
      </c>
      <c r="F7348">
        <v>280</v>
      </c>
      <c r="G7348">
        <v>28</v>
      </c>
      <c r="H7348">
        <v>0.2</v>
      </c>
      <c r="I7348" t="s">
        <v>15</v>
      </c>
      <c r="J7348">
        <v>0</v>
      </c>
      <c r="K7348">
        <v>1</v>
      </c>
      <c r="L7348">
        <v>1</v>
      </c>
      <c r="M7348">
        <f>VLOOKUP(Table1[[#This Row],[subscription_type]],Plans!$A$1:$B$5,2,FALSE)</f>
        <v>14.99</v>
      </c>
      <c r="N7348">
        <f t="shared" si="114"/>
        <v>14.99</v>
      </c>
    </row>
    <row r="7349" spans="1:14" x14ac:dyDescent="0.35">
      <c r="A7349">
        <v>7348</v>
      </c>
      <c r="B7349" t="s">
        <v>16</v>
      </c>
      <c r="C7349">
        <v>55</v>
      </c>
      <c r="D7349" t="s">
        <v>27</v>
      </c>
      <c r="E7349" t="s">
        <v>14</v>
      </c>
      <c r="F7349">
        <v>106</v>
      </c>
      <c r="G7349">
        <v>91</v>
      </c>
      <c r="H7349">
        <v>0.49</v>
      </c>
      <c r="I7349" t="s">
        <v>23</v>
      </c>
      <c r="J7349">
        <v>12</v>
      </c>
      <c r="K7349">
        <v>0</v>
      </c>
      <c r="L7349">
        <v>0</v>
      </c>
      <c r="M7349">
        <f>VLOOKUP(Table1[[#This Row],[subscription_type]],Plans!$A$1:$B$5,2,FALSE)</f>
        <v>0</v>
      </c>
      <c r="N7349">
        <f t="shared" si="114"/>
        <v>0</v>
      </c>
    </row>
    <row r="7350" spans="1:14" x14ac:dyDescent="0.35">
      <c r="A7350">
        <v>7349</v>
      </c>
      <c r="B7350" t="s">
        <v>16</v>
      </c>
      <c r="C7350">
        <v>33</v>
      </c>
      <c r="D7350" t="s">
        <v>29</v>
      </c>
      <c r="E7350" t="s">
        <v>22</v>
      </c>
      <c r="F7350">
        <v>281</v>
      </c>
      <c r="G7350">
        <v>87</v>
      </c>
      <c r="H7350">
        <v>0.46</v>
      </c>
      <c r="I7350" t="s">
        <v>15</v>
      </c>
      <c r="J7350">
        <v>0</v>
      </c>
      <c r="K7350">
        <v>1</v>
      </c>
      <c r="L7350">
        <v>1</v>
      </c>
      <c r="M7350">
        <f>VLOOKUP(Table1[[#This Row],[subscription_type]],Plans!$A$1:$B$5,2,FALSE)</f>
        <v>9.99</v>
      </c>
      <c r="N7350">
        <f t="shared" si="114"/>
        <v>9.99</v>
      </c>
    </row>
    <row r="7351" spans="1:14" x14ac:dyDescent="0.35">
      <c r="A7351">
        <v>7350</v>
      </c>
      <c r="B7351" t="s">
        <v>20</v>
      </c>
      <c r="C7351">
        <v>48</v>
      </c>
      <c r="D7351" t="s">
        <v>28</v>
      </c>
      <c r="E7351" t="s">
        <v>14</v>
      </c>
      <c r="F7351">
        <v>259</v>
      </c>
      <c r="G7351">
        <v>21</v>
      </c>
      <c r="H7351">
        <v>0.19</v>
      </c>
      <c r="I7351" t="s">
        <v>23</v>
      </c>
      <c r="J7351">
        <v>43</v>
      </c>
      <c r="K7351">
        <v>0</v>
      </c>
      <c r="L7351">
        <v>0</v>
      </c>
      <c r="M7351">
        <f>VLOOKUP(Table1[[#This Row],[subscription_type]],Plans!$A$1:$B$5,2,FALSE)</f>
        <v>0</v>
      </c>
      <c r="N7351">
        <f t="shared" si="114"/>
        <v>0</v>
      </c>
    </row>
    <row r="7352" spans="1:14" x14ac:dyDescent="0.35">
      <c r="A7352">
        <v>7351</v>
      </c>
      <c r="B7352" t="s">
        <v>16</v>
      </c>
      <c r="C7352">
        <v>55</v>
      </c>
      <c r="D7352" t="s">
        <v>29</v>
      </c>
      <c r="E7352" t="s">
        <v>22</v>
      </c>
      <c r="F7352">
        <v>262</v>
      </c>
      <c r="G7352">
        <v>12</v>
      </c>
      <c r="H7352">
        <v>0.17</v>
      </c>
      <c r="I7352" t="s">
        <v>19</v>
      </c>
      <c r="J7352">
        <v>0</v>
      </c>
      <c r="K7352">
        <v>1</v>
      </c>
      <c r="L7352">
        <v>0</v>
      </c>
      <c r="M7352">
        <f>VLOOKUP(Table1[[#This Row],[subscription_type]],Plans!$A$1:$B$5,2,FALSE)</f>
        <v>9.99</v>
      </c>
      <c r="N7352">
        <f t="shared" si="114"/>
        <v>0</v>
      </c>
    </row>
    <row r="7353" spans="1:14" x14ac:dyDescent="0.35">
      <c r="A7353">
        <v>7352</v>
      </c>
      <c r="B7353" t="s">
        <v>12</v>
      </c>
      <c r="C7353">
        <v>52</v>
      </c>
      <c r="D7353" t="s">
        <v>21</v>
      </c>
      <c r="E7353" t="s">
        <v>14</v>
      </c>
      <c r="F7353">
        <v>274</v>
      </c>
      <c r="G7353">
        <v>94</v>
      </c>
      <c r="H7353">
        <v>0.26</v>
      </c>
      <c r="I7353" t="s">
        <v>15</v>
      </c>
      <c r="J7353">
        <v>36</v>
      </c>
      <c r="K7353">
        <v>0</v>
      </c>
      <c r="L7353">
        <v>0</v>
      </c>
      <c r="M7353">
        <f>VLOOKUP(Table1[[#This Row],[subscription_type]],Plans!$A$1:$B$5,2,FALSE)</f>
        <v>0</v>
      </c>
      <c r="N7353">
        <f t="shared" si="114"/>
        <v>0</v>
      </c>
    </row>
    <row r="7354" spans="1:14" x14ac:dyDescent="0.35">
      <c r="A7354">
        <v>7353</v>
      </c>
      <c r="B7354" t="s">
        <v>16</v>
      </c>
      <c r="C7354">
        <v>41</v>
      </c>
      <c r="D7354" t="s">
        <v>21</v>
      </c>
      <c r="E7354" t="s">
        <v>18</v>
      </c>
      <c r="F7354">
        <v>172</v>
      </c>
      <c r="G7354">
        <v>28</v>
      </c>
      <c r="H7354">
        <v>0.56000000000000005</v>
      </c>
      <c r="I7354" t="s">
        <v>15</v>
      </c>
      <c r="J7354">
        <v>0</v>
      </c>
      <c r="K7354">
        <v>1</v>
      </c>
      <c r="L7354">
        <v>0</v>
      </c>
      <c r="M7354">
        <f>VLOOKUP(Table1[[#This Row],[subscription_type]],Plans!$A$1:$B$5,2,FALSE)</f>
        <v>14.99</v>
      </c>
      <c r="N7354">
        <f t="shared" si="114"/>
        <v>0</v>
      </c>
    </row>
    <row r="7355" spans="1:14" x14ac:dyDescent="0.35">
      <c r="A7355">
        <v>7354</v>
      </c>
      <c r="B7355" t="s">
        <v>16</v>
      </c>
      <c r="C7355">
        <v>17</v>
      </c>
      <c r="D7355" t="s">
        <v>26</v>
      </c>
      <c r="E7355" t="s">
        <v>22</v>
      </c>
      <c r="F7355">
        <v>238</v>
      </c>
      <c r="G7355">
        <v>73</v>
      </c>
      <c r="H7355">
        <v>7.0000000000000007E-2</v>
      </c>
      <c r="I7355" t="s">
        <v>19</v>
      </c>
      <c r="J7355">
        <v>0</v>
      </c>
      <c r="K7355">
        <v>1</v>
      </c>
      <c r="L7355">
        <v>0</v>
      </c>
      <c r="M7355">
        <f>VLOOKUP(Table1[[#This Row],[subscription_type]],Plans!$A$1:$B$5,2,FALSE)</f>
        <v>9.99</v>
      </c>
      <c r="N7355">
        <f t="shared" si="114"/>
        <v>0</v>
      </c>
    </row>
    <row r="7356" spans="1:14" x14ac:dyDescent="0.35">
      <c r="A7356">
        <v>7355</v>
      </c>
      <c r="B7356" t="s">
        <v>16</v>
      </c>
      <c r="C7356">
        <v>30</v>
      </c>
      <c r="D7356" t="s">
        <v>28</v>
      </c>
      <c r="E7356" t="s">
        <v>22</v>
      </c>
      <c r="F7356">
        <v>145</v>
      </c>
      <c r="G7356">
        <v>48</v>
      </c>
      <c r="H7356">
        <v>0.59</v>
      </c>
      <c r="I7356" t="s">
        <v>15</v>
      </c>
      <c r="J7356">
        <v>0</v>
      </c>
      <c r="K7356">
        <v>1</v>
      </c>
      <c r="L7356">
        <v>0</v>
      </c>
      <c r="M7356">
        <f>VLOOKUP(Table1[[#This Row],[subscription_type]],Plans!$A$1:$B$5,2,FALSE)</f>
        <v>9.99</v>
      </c>
      <c r="N7356">
        <f t="shared" si="114"/>
        <v>0</v>
      </c>
    </row>
    <row r="7357" spans="1:14" x14ac:dyDescent="0.35">
      <c r="A7357">
        <v>7356</v>
      </c>
      <c r="B7357" t="s">
        <v>12</v>
      </c>
      <c r="C7357">
        <v>53</v>
      </c>
      <c r="D7357" t="s">
        <v>26</v>
      </c>
      <c r="E7357" t="s">
        <v>14</v>
      </c>
      <c r="F7357">
        <v>244</v>
      </c>
      <c r="G7357">
        <v>51</v>
      </c>
      <c r="H7357">
        <v>7.0000000000000007E-2</v>
      </c>
      <c r="I7357" t="s">
        <v>19</v>
      </c>
      <c r="J7357">
        <v>18</v>
      </c>
      <c r="K7357">
        <v>0</v>
      </c>
      <c r="L7357">
        <v>0</v>
      </c>
      <c r="M7357">
        <f>VLOOKUP(Table1[[#This Row],[subscription_type]],Plans!$A$1:$B$5,2,FALSE)</f>
        <v>0</v>
      </c>
      <c r="N7357">
        <f t="shared" si="114"/>
        <v>0</v>
      </c>
    </row>
    <row r="7358" spans="1:14" x14ac:dyDescent="0.35">
      <c r="A7358">
        <v>7357</v>
      </c>
      <c r="B7358" t="s">
        <v>16</v>
      </c>
      <c r="C7358">
        <v>30</v>
      </c>
      <c r="D7358" t="s">
        <v>13</v>
      </c>
      <c r="E7358" t="s">
        <v>22</v>
      </c>
      <c r="F7358">
        <v>299</v>
      </c>
      <c r="G7358">
        <v>57</v>
      </c>
      <c r="H7358">
        <v>0.56000000000000005</v>
      </c>
      <c r="I7358" t="s">
        <v>15</v>
      </c>
      <c r="J7358">
        <v>0</v>
      </c>
      <c r="K7358">
        <v>1</v>
      </c>
      <c r="L7358">
        <v>1</v>
      </c>
      <c r="M7358">
        <f>VLOOKUP(Table1[[#This Row],[subscription_type]],Plans!$A$1:$B$5,2,FALSE)</f>
        <v>9.99</v>
      </c>
      <c r="N7358">
        <f t="shared" si="114"/>
        <v>9.99</v>
      </c>
    </row>
    <row r="7359" spans="1:14" x14ac:dyDescent="0.35">
      <c r="A7359">
        <v>7358</v>
      </c>
      <c r="B7359" t="s">
        <v>20</v>
      </c>
      <c r="C7359">
        <v>33</v>
      </c>
      <c r="D7359" t="s">
        <v>29</v>
      </c>
      <c r="E7359" t="s">
        <v>24</v>
      </c>
      <c r="F7359">
        <v>125</v>
      </c>
      <c r="G7359">
        <v>85</v>
      </c>
      <c r="H7359">
        <v>0.44</v>
      </c>
      <c r="I7359" t="s">
        <v>23</v>
      </c>
      <c r="J7359">
        <v>0</v>
      </c>
      <c r="K7359">
        <v>1</v>
      </c>
      <c r="L7359">
        <v>1</v>
      </c>
      <c r="M7359">
        <f>VLOOKUP(Table1[[#This Row],[subscription_type]],Plans!$A$1:$B$5,2,FALSE)</f>
        <v>4.99</v>
      </c>
      <c r="N7359">
        <f t="shared" si="114"/>
        <v>4.99</v>
      </c>
    </row>
    <row r="7360" spans="1:14" x14ac:dyDescent="0.35">
      <c r="A7360">
        <v>7359</v>
      </c>
      <c r="B7360" t="s">
        <v>12</v>
      </c>
      <c r="C7360">
        <v>38</v>
      </c>
      <c r="D7360" t="s">
        <v>17</v>
      </c>
      <c r="E7360" t="s">
        <v>24</v>
      </c>
      <c r="F7360">
        <v>218</v>
      </c>
      <c r="G7360">
        <v>50</v>
      </c>
      <c r="H7360">
        <v>0.56000000000000005</v>
      </c>
      <c r="I7360" t="s">
        <v>15</v>
      </c>
      <c r="J7360">
        <v>0</v>
      </c>
      <c r="K7360">
        <v>1</v>
      </c>
      <c r="L7360">
        <v>0</v>
      </c>
      <c r="M7360">
        <f>VLOOKUP(Table1[[#This Row],[subscription_type]],Plans!$A$1:$B$5,2,FALSE)</f>
        <v>4.99</v>
      </c>
      <c r="N7360">
        <f t="shared" si="114"/>
        <v>0</v>
      </c>
    </row>
    <row r="7361" spans="1:14" x14ac:dyDescent="0.35">
      <c r="A7361">
        <v>7360</v>
      </c>
      <c r="B7361" t="s">
        <v>16</v>
      </c>
      <c r="C7361">
        <v>44</v>
      </c>
      <c r="D7361" t="s">
        <v>26</v>
      </c>
      <c r="E7361" t="s">
        <v>24</v>
      </c>
      <c r="F7361">
        <v>144</v>
      </c>
      <c r="G7361">
        <v>3</v>
      </c>
      <c r="H7361">
        <v>0.57999999999999996</v>
      </c>
      <c r="I7361" t="s">
        <v>19</v>
      </c>
      <c r="J7361">
        <v>0</v>
      </c>
      <c r="K7361">
        <v>1</v>
      </c>
      <c r="L7361">
        <v>1</v>
      </c>
      <c r="M7361">
        <f>VLOOKUP(Table1[[#This Row],[subscription_type]],Plans!$A$1:$B$5,2,FALSE)</f>
        <v>4.99</v>
      </c>
      <c r="N7361">
        <f t="shared" si="114"/>
        <v>4.99</v>
      </c>
    </row>
    <row r="7362" spans="1:14" x14ac:dyDescent="0.35">
      <c r="A7362">
        <v>7361</v>
      </c>
      <c r="B7362" t="s">
        <v>16</v>
      </c>
      <c r="C7362">
        <v>33</v>
      </c>
      <c r="D7362" t="s">
        <v>17</v>
      </c>
      <c r="E7362" t="s">
        <v>24</v>
      </c>
      <c r="F7362">
        <v>269</v>
      </c>
      <c r="G7362">
        <v>41</v>
      </c>
      <c r="H7362">
        <v>0.12</v>
      </c>
      <c r="I7362" t="s">
        <v>15</v>
      </c>
      <c r="J7362">
        <v>0</v>
      </c>
      <c r="K7362">
        <v>1</v>
      </c>
      <c r="L7362">
        <v>0</v>
      </c>
      <c r="M7362">
        <f>VLOOKUP(Table1[[#This Row],[subscription_type]],Plans!$A$1:$B$5,2,FALSE)</f>
        <v>4.99</v>
      </c>
      <c r="N7362">
        <f t="shared" ref="N7362:N7425" si="115">IF(L7362=1, M7362,0)</f>
        <v>0</v>
      </c>
    </row>
    <row r="7363" spans="1:14" x14ac:dyDescent="0.35">
      <c r="A7363">
        <v>7362</v>
      </c>
      <c r="B7363" t="s">
        <v>16</v>
      </c>
      <c r="C7363">
        <v>25</v>
      </c>
      <c r="D7363" t="s">
        <v>21</v>
      </c>
      <c r="E7363" t="s">
        <v>22</v>
      </c>
      <c r="F7363">
        <v>149</v>
      </c>
      <c r="G7363">
        <v>18</v>
      </c>
      <c r="H7363">
        <v>0.02</v>
      </c>
      <c r="I7363" t="s">
        <v>19</v>
      </c>
      <c r="J7363">
        <v>0</v>
      </c>
      <c r="K7363">
        <v>1</v>
      </c>
      <c r="L7363">
        <v>0</v>
      </c>
      <c r="M7363">
        <f>VLOOKUP(Table1[[#This Row],[subscription_type]],Plans!$A$1:$B$5,2,FALSE)</f>
        <v>9.99</v>
      </c>
      <c r="N7363">
        <f t="shared" si="115"/>
        <v>0</v>
      </c>
    </row>
    <row r="7364" spans="1:14" x14ac:dyDescent="0.35">
      <c r="A7364">
        <v>7363</v>
      </c>
      <c r="B7364" t="s">
        <v>12</v>
      </c>
      <c r="C7364">
        <v>32</v>
      </c>
      <c r="D7364" t="s">
        <v>21</v>
      </c>
      <c r="E7364" t="s">
        <v>22</v>
      </c>
      <c r="F7364">
        <v>210</v>
      </c>
      <c r="G7364">
        <v>89</v>
      </c>
      <c r="H7364">
        <v>0.06</v>
      </c>
      <c r="I7364" t="s">
        <v>23</v>
      </c>
      <c r="J7364">
        <v>0</v>
      </c>
      <c r="K7364">
        <v>1</v>
      </c>
      <c r="L7364">
        <v>0</v>
      </c>
      <c r="M7364">
        <f>VLOOKUP(Table1[[#This Row],[subscription_type]],Plans!$A$1:$B$5,2,FALSE)</f>
        <v>9.99</v>
      </c>
      <c r="N7364">
        <f t="shared" si="115"/>
        <v>0</v>
      </c>
    </row>
    <row r="7365" spans="1:14" x14ac:dyDescent="0.35">
      <c r="A7365">
        <v>7364</v>
      </c>
      <c r="B7365" t="s">
        <v>20</v>
      </c>
      <c r="C7365">
        <v>58</v>
      </c>
      <c r="D7365" t="s">
        <v>28</v>
      </c>
      <c r="E7365" t="s">
        <v>24</v>
      </c>
      <c r="F7365">
        <v>100</v>
      </c>
      <c r="G7365">
        <v>14</v>
      </c>
      <c r="H7365">
        <v>0.34</v>
      </c>
      <c r="I7365" t="s">
        <v>15</v>
      </c>
      <c r="J7365">
        <v>0</v>
      </c>
      <c r="K7365">
        <v>1</v>
      </c>
      <c r="L7365">
        <v>1</v>
      </c>
      <c r="M7365">
        <f>VLOOKUP(Table1[[#This Row],[subscription_type]],Plans!$A$1:$B$5,2,FALSE)</f>
        <v>4.99</v>
      </c>
      <c r="N7365">
        <f t="shared" si="115"/>
        <v>4.99</v>
      </c>
    </row>
    <row r="7366" spans="1:14" x14ac:dyDescent="0.35">
      <c r="A7366">
        <v>7365</v>
      </c>
      <c r="B7366" t="s">
        <v>16</v>
      </c>
      <c r="C7366">
        <v>17</v>
      </c>
      <c r="D7366" t="s">
        <v>28</v>
      </c>
      <c r="E7366" t="s">
        <v>24</v>
      </c>
      <c r="F7366">
        <v>166</v>
      </c>
      <c r="G7366">
        <v>29</v>
      </c>
      <c r="H7366">
        <v>0.51</v>
      </c>
      <c r="I7366" t="s">
        <v>23</v>
      </c>
      <c r="J7366">
        <v>0</v>
      </c>
      <c r="K7366">
        <v>1</v>
      </c>
      <c r="L7366">
        <v>0</v>
      </c>
      <c r="M7366">
        <f>VLOOKUP(Table1[[#This Row],[subscription_type]],Plans!$A$1:$B$5,2,FALSE)</f>
        <v>4.99</v>
      </c>
      <c r="N7366">
        <f t="shared" si="115"/>
        <v>0</v>
      </c>
    </row>
    <row r="7367" spans="1:14" x14ac:dyDescent="0.35">
      <c r="A7367">
        <v>7366</v>
      </c>
      <c r="B7367" t="s">
        <v>16</v>
      </c>
      <c r="C7367">
        <v>55</v>
      </c>
      <c r="D7367" t="s">
        <v>27</v>
      </c>
      <c r="E7367" t="s">
        <v>14</v>
      </c>
      <c r="F7367">
        <v>156</v>
      </c>
      <c r="G7367">
        <v>2</v>
      </c>
      <c r="H7367">
        <v>0.33</v>
      </c>
      <c r="I7367" t="s">
        <v>23</v>
      </c>
      <c r="J7367">
        <v>41</v>
      </c>
      <c r="K7367">
        <v>0</v>
      </c>
      <c r="L7367">
        <v>0</v>
      </c>
      <c r="M7367">
        <f>VLOOKUP(Table1[[#This Row],[subscription_type]],Plans!$A$1:$B$5,2,FALSE)</f>
        <v>0</v>
      </c>
      <c r="N7367">
        <f t="shared" si="115"/>
        <v>0</v>
      </c>
    </row>
    <row r="7368" spans="1:14" x14ac:dyDescent="0.35">
      <c r="A7368">
        <v>7367</v>
      </c>
      <c r="B7368" t="s">
        <v>16</v>
      </c>
      <c r="C7368">
        <v>42</v>
      </c>
      <c r="D7368" t="s">
        <v>25</v>
      </c>
      <c r="E7368" t="s">
        <v>18</v>
      </c>
      <c r="F7368">
        <v>162</v>
      </c>
      <c r="G7368">
        <v>81</v>
      </c>
      <c r="H7368">
        <v>0.06</v>
      </c>
      <c r="I7368" t="s">
        <v>23</v>
      </c>
      <c r="J7368">
        <v>0</v>
      </c>
      <c r="K7368">
        <v>1</v>
      </c>
      <c r="L7368">
        <v>1</v>
      </c>
      <c r="M7368">
        <f>VLOOKUP(Table1[[#This Row],[subscription_type]],Plans!$A$1:$B$5,2,FALSE)</f>
        <v>14.99</v>
      </c>
      <c r="N7368">
        <f t="shared" si="115"/>
        <v>14.99</v>
      </c>
    </row>
    <row r="7369" spans="1:14" x14ac:dyDescent="0.35">
      <c r="A7369">
        <v>7368</v>
      </c>
      <c r="B7369" t="s">
        <v>12</v>
      </c>
      <c r="C7369">
        <v>59</v>
      </c>
      <c r="D7369" t="s">
        <v>25</v>
      </c>
      <c r="E7369" t="s">
        <v>24</v>
      </c>
      <c r="F7369">
        <v>294</v>
      </c>
      <c r="G7369">
        <v>5</v>
      </c>
      <c r="H7369">
        <v>0.05</v>
      </c>
      <c r="I7369" t="s">
        <v>23</v>
      </c>
      <c r="J7369">
        <v>0</v>
      </c>
      <c r="K7369">
        <v>1</v>
      </c>
      <c r="L7369">
        <v>1</v>
      </c>
      <c r="M7369">
        <f>VLOOKUP(Table1[[#This Row],[subscription_type]],Plans!$A$1:$B$5,2,FALSE)</f>
        <v>4.99</v>
      </c>
      <c r="N7369">
        <f t="shared" si="115"/>
        <v>4.99</v>
      </c>
    </row>
    <row r="7370" spans="1:14" x14ac:dyDescent="0.35">
      <c r="A7370">
        <v>7369</v>
      </c>
      <c r="B7370" t="s">
        <v>12</v>
      </c>
      <c r="C7370">
        <v>20</v>
      </c>
      <c r="D7370" t="s">
        <v>13</v>
      </c>
      <c r="E7370" t="s">
        <v>14</v>
      </c>
      <c r="F7370">
        <v>142</v>
      </c>
      <c r="G7370">
        <v>96</v>
      </c>
      <c r="H7370">
        <v>0.02</v>
      </c>
      <c r="I7370" t="s">
        <v>19</v>
      </c>
      <c r="J7370">
        <v>41</v>
      </c>
      <c r="K7370">
        <v>0</v>
      </c>
      <c r="L7370">
        <v>0</v>
      </c>
      <c r="M7370">
        <f>VLOOKUP(Table1[[#This Row],[subscription_type]],Plans!$A$1:$B$5,2,FALSE)</f>
        <v>0</v>
      </c>
      <c r="N7370">
        <f t="shared" si="115"/>
        <v>0</v>
      </c>
    </row>
    <row r="7371" spans="1:14" x14ac:dyDescent="0.35">
      <c r="A7371">
        <v>7370</v>
      </c>
      <c r="B7371" t="s">
        <v>20</v>
      </c>
      <c r="C7371">
        <v>29</v>
      </c>
      <c r="D7371" t="s">
        <v>25</v>
      </c>
      <c r="E7371" t="s">
        <v>24</v>
      </c>
      <c r="F7371">
        <v>76</v>
      </c>
      <c r="G7371">
        <v>77</v>
      </c>
      <c r="H7371">
        <v>0.23</v>
      </c>
      <c r="I7371" t="s">
        <v>23</v>
      </c>
      <c r="J7371">
        <v>0</v>
      </c>
      <c r="K7371">
        <v>1</v>
      </c>
      <c r="L7371">
        <v>1</v>
      </c>
      <c r="M7371">
        <f>VLOOKUP(Table1[[#This Row],[subscription_type]],Plans!$A$1:$B$5,2,FALSE)</f>
        <v>4.99</v>
      </c>
      <c r="N7371">
        <f t="shared" si="115"/>
        <v>4.99</v>
      </c>
    </row>
    <row r="7372" spans="1:14" x14ac:dyDescent="0.35">
      <c r="A7372">
        <v>7371</v>
      </c>
      <c r="B7372" t="s">
        <v>16</v>
      </c>
      <c r="C7372">
        <v>30</v>
      </c>
      <c r="D7372" t="s">
        <v>13</v>
      </c>
      <c r="E7372" t="s">
        <v>22</v>
      </c>
      <c r="F7372">
        <v>292</v>
      </c>
      <c r="G7372">
        <v>44</v>
      </c>
      <c r="H7372">
        <v>0.09</v>
      </c>
      <c r="I7372" t="s">
        <v>23</v>
      </c>
      <c r="J7372">
        <v>0</v>
      </c>
      <c r="K7372">
        <v>1</v>
      </c>
      <c r="L7372">
        <v>0</v>
      </c>
      <c r="M7372">
        <f>VLOOKUP(Table1[[#This Row],[subscription_type]],Plans!$A$1:$B$5,2,FALSE)</f>
        <v>9.99</v>
      </c>
      <c r="N7372">
        <f t="shared" si="115"/>
        <v>0</v>
      </c>
    </row>
    <row r="7373" spans="1:14" x14ac:dyDescent="0.35">
      <c r="A7373">
        <v>7372</v>
      </c>
      <c r="B7373" t="s">
        <v>20</v>
      </c>
      <c r="C7373">
        <v>38</v>
      </c>
      <c r="D7373" t="s">
        <v>27</v>
      </c>
      <c r="E7373" t="s">
        <v>18</v>
      </c>
      <c r="F7373">
        <v>262</v>
      </c>
      <c r="G7373">
        <v>65</v>
      </c>
      <c r="H7373">
        <v>0.04</v>
      </c>
      <c r="I7373" t="s">
        <v>23</v>
      </c>
      <c r="J7373">
        <v>0</v>
      </c>
      <c r="K7373">
        <v>1</v>
      </c>
      <c r="L7373">
        <v>0</v>
      </c>
      <c r="M7373">
        <f>VLOOKUP(Table1[[#This Row],[subscription_type]],Plans!$A$1:$B$5,2,FALSE)</f>
        <v>14.99</v>
      </c>
      <c r="N7373">
        <f t="shared" si="115"/>
        <v>0</v>
      </c>
    </row>
    <row r="7374" spans="1:14" x14ac:dyDescent="0.35">
      <c r="A7374">
        <v>7373</v>
      </c>
      <c r="B7374" t="s">
        <v>16</v>
      </c>
      <c r="C7374">
        <v>36</v>
      </c>
      <c r="D7374" t="s">
        <v>27</v>
      </c>
      <c r="E7374" t="s">
        <v>22</v>
      </c>
      <c r="F7374">
        <v>73</v>
      </c>
      <c r="G7374">
        <v>80</v>
      </c>
      <c r="H7374">
        <v>0.15</v>
      </c>
      <c r="I7374" t="s">
        <v>23</v>
      </c>
      <c r="J7374">
        <v>0</v>
      </c>
      <c r="K7374">
        <v>1</v>
      </c>
      <c r="L7374">
        <v>1</v>
      </c>
      <c r="M7374">
        <f>VLOOKUP(Table1[[#This Row],[subscription_type]],Plans!$A$1:$B$5,2,FALSE)</f>
        <v>9.99</v>
      </c>
      <c r="N7374">
        <f t="shared" si="115"/>
        <v>9.99</v>
      </c>
    </row>
    <row r="7375" spans="1:14" x14ac:dyDescent="0.35">
      <c r="A7375">
        <v>7374</v>
      </c>
      <c r="B7375" t="s">
        <v>12</v>
      </c>
      <c r="C7375">
        <v>50</v>
      </c>
      <c r="D7375" t="s">
        <v>27</v>
      </c>
      <c r="E7375" t="s">
        <v>18</v>
      </c>
      <c r="F7375">
        <v>153</v>
      </c>
      <c r="G7375">
        <v>76</v>
      </c>
      <c r="H7375">
        <v>0.14000000000000001</v>
      </c>
      <c r="I7375" t="s">
        <v>19</v>
      </c>
      <c r="J7375">
        <v>0</v>
      </c>
      <c r="K7375">
        <v>1</v>
      </c>
      <c r="L7375">
        <v>0</v>
      </c>
      <c r="M7375">
        <f>VLOOKUP(Table1[[#This Row],[subscription_type]],Plans!$A$1:$B$5,2,FALSE)</f>
        <v>14.99</v>
      </c>
      <c r="N7375">
        <f t="shared" si="115"/>
        <v>0</v>
      </c>
    </row>
    <row r="7376" spans="1:14" x14ac:dyDescent="0.35">
      <c r="A7376">
        <v>7375</v>
      </c>
      <c r="B7376" t="s">
        <v>20</v>
      </c>
      <c r="C7376">
        <v>32</v>
      </c>
      <c r="D7376" t="s">
        <v>13</v>
      </c>
      <c r="E7376" t="s">
        <v>14</v>
      </c>
      <c r="F7376">
        <v>32</v>
      </c>
      <c r="G7376">
        <v>65</v>
      </c>
      <c r="H7376">
        <v>0.28000000000000003</v>
      </c>
      <c r="I7376" t="s">
        <v>15</v>
      </c>
      <c r="J7376">
        <v>5</v>
      </c>
      <c r="K7376">
        <v>0</v>
      </c>
      <c r="L7376">
        <v>0</v>
      </c>
      <c r="M7376">
        <f>VLOOKUP(Table1[[#This Row],[subscription_type]],Plans!$A$1:$B$5,2,FALSE)</f>
        <v>0</v>
      </c>
      <c r="N7376">
        <f t="shared" si="115"/>
        <v>0</v>
      </c>
    </row>
    <row r="7377" spans="1:14" x14ac:dyDescent="0.35">
      <c r="A7377">
        <v>7376</v>
      </c>
      <c r="B7377" t="s">
        <v>12</v>
      </c>
      <c r="C7377">
        <v>43</v>
      </c>
      <c r="D7377" t="s">
        <v>13</v>
      </c>
      <c r="E7377" t="s">
        <v>24</v>
      </c>
      <c r="F7377">
        <v>274</v>
      </c>
      <c r="G7377">
        <v>30</v>
      </c>
      <c r="H7377">
        <v>0.3</v>
      </c>
      <c r="I7377" t="s">
        <v>15</v>
      </c>
      <c r="J7377">
        <v>0</v>
      </c>
      <c r="K7377">
        <v>1</v>
      </c>
      <c r="L7377">
        <v>0</v>
      </c>
      <c r="M7377">
        <f>VLOOKUP(Table1[[#This Row],[subscription_type]],Plans!$A$1:$B$5,2,FALSE)</f>
        <v>4.99</v>
      </c>
      <c r="N7377">
        <f t="shared" si="115"/>
        <v>0</v>
      </c>
    </row>
    <row r="7378" spans="1:14" x14ac:dyDescent="0.35">
      <c r="A7378">
        <v>7377</v>
      </c>
      <c r="B7378" t="s">
        <v>20</v>
      </c>
      <c r="C7378">
        <v>31</v>
      </c>
      <c r="D7378" t="s">
        <v>28</v>
      </c>
      <c r="E7378" t="s">
        <v>18</v>
      </c>
      <c r="F7378">
        <v>143</v>
      </c>
      <c r="G7378">
        <v>41</v>
      </c>
      <c r="H7378">
        <v>0.48</v>
      </c>
      <c r="I7378" t="s">
        <v>23</v>
      </c>
      <c r="J7378">
        <v>0</v>
      </c>
      <c r="K7378">
        <v>1</v>
      </c>
      <c r="L7378">
        <v>1</v>
      </c>
      <c r="M7378">
        <f>VLOOKUP(Table1[[#This Row],[subscription_type]],Plans!$A$1:$B$5,2,FALSE)</f>
        <v>14.99</v>
      </c>
      <c r="N7378">
        <f t="shared" si="115"/>
        <v>14.99</v>
      </c>
    </row>
    <row r="7379" spans="1:14" x14ac:dyDescent="0.35">
      <c r="A7379">
        <v>7378</v>
      </c>
      <c r="B7379" t="s">
        <v>16</v>
      </c>
      <c r="C7379">
        <v>47</v>
      </c>
      <c r="D7379" t="s">
        <v>29</v>
      </c>
      <c r="E7379" t="s">
        <v>18</v>
      </c>
      <c r="F7379">
        <v>47</v>
      </c>
      <c r="G7379">
        <v>59</v>
      </c>
      <c r="H7379">
        <v>0.08</v>
      </c>
      <c r="I7379" t="s">
        <v>15</v>
      </c>
      <c r="J7379">
        <v>0</v>
      </c>
      <c r="K7379">
        <v>1</v>
      </c>
      <c r="L7379">
        <v>1</v>
      </c>
      <c r="M7379">
        <f>VLOOKUP(Table1[[#This Row],[subscription_type]],Plans!$A$1:$B$5,2,FALSE)</f>
        <v>14.99</v>
      </c>
      <c r="N7379">
        <f t="shared" si="115"/>
        <v>14.99</v>
      </c>
    </row>
    <row r="7380" spans="1:14" x14ac:dyDescent="0.35">
      <c r="A7380">
        <v>7379</v>
      </c>
      <c r="B7380" t="s">
        <v>12</v>
      </c>
      <c r="C7380">
        <v>30</v>
      </c>
      <c r="D7380" t="s">
        <v>17</v>
      </c>
      <c r="E7380" t="s">
        <v>24</v>
      </c>
      <c r="F7380">
        <v>107</v>
      </c>
      <c r="G7380">
        <v>1</v>
      </c>
      <c r="H7380">
        <v>0.6</v>
      </c>
      <c r="I7380" t="s">
        <v>23</v>
      </c>
      <c r="J7380">
        <v>0</v>
      </c>
      <c r="K7380">
        <v>1</v>
      </c>
      <c r="L7380">
        <v>0</v>
      </c>
      <c r="M7380">
        <f>VLOOKUP(Table1[[#This Row],[subscription_type]],Plans!$A$1:$B$5,2,FALSE)</f>
        <v>4.99</v>
      </c>
      <c r="N7380">
        <f t="shared" si="115"/>
        <v>0</v>
      </c>
    </row>
    <row r="7381" spans="1:14" x14ac:dyDescent="0.35">
      <c r="A7381">
        <v>7380</v>
      </c>
      <c r="B7381" t="s">
        <v>16</v>
      </c>
      <c r="C7381">
        <v>46</v>
      </c>
      <c r="D7381" t="s">
        <v>17</v>
      </c>
      <c r="E7381" t="s">
        <v>22</v>
      </c>
      <c r="F7381">
        <v>167</v>
      </c>
      <c r="G7381">
        <v>6</v>
      </c>
      <c r="H7381">
        <v>0.33</v>
      </c>
      <c r="I7381" t="s">
        <v>19</v>
      </c>
      <c r="J7381">
        <v>0</v>
      </c>
      <c r="K7381">
        <v>1</v>
      </c>
      <c r="L7381">
        <v>0</v>
      </c>
      <c r="M7381">
        <f>VLOOKUP(Table1[[#This Row],[subscription_type]],Plans!$A$1:$B$5,2,FALSE)</f>
        <v>9.99</v>
      </c>
      <c r="N7381">
        <f t="shared" si="115"/>
        <v>0</v>
      </c>
    </row>
    <row r="7382" spans="1:14" x14ac:dyDescent="0.35">
      <c r="A7382">
        <v>7381</v>
      </c>
      <c r="B7382" t="s">
        <v>16</v>
      </c>
      <c r="C7382">
        <v>16</v>
      </c>
      <c r="D7382" t="s">
        <v>21</v>
      </c>
      <c r="E7382" t="s">
        <v>22</v>
      </c>
      <c r="F7382">
        <v>269</v>
      </c>
      <c r="G7382">
        <v>57</v>
      </c>
      <c r="H7382">
        <v>0.52</v>
      </c>
      <c r="I7382" t="s">
        <v>15</v>
      </c>
      <c r="J7382">
        <v>0</v>
      </c>
      <c r="K7382">
        <v>1</v>
      </c>
      <c r="L7382">
        <v>0</v>
      </c>
      <c r="M7382">
        <f>VLOOKUP(Table1[[#This Row],[subscription_type]],Plans!$A$1:$B$5,2,FALSE)</f>
        <v>9.99</v>
      </c>
      <c r="N7382">
        <f t="shared" si="115"/>
        <v>0</v>
      </c>
    </row>
    <row r="7383" spans="1:14" x14ac:dyDescent="0.35">
      <c r="A7383">
        <v>7382</v>
      </c>
      <c r="B7383" t="s">
        <v>12</v>
      </c>
      <c r="C7383">
        <v>16</v>
      </c>
      <c r="D7383" t="s">
        <v>21</v>
      </c>
      <c r="E7383" t="s">
        <v>14</v>
      </c>
      <c r="F7383">
        <v>218</v>
      </c>
      <c r="G7383">
        <v>31</v>
      </c>
      <c r="H7383">
        <v>0.41</v>
      </c>
      <c r="I7383" t="s">
        <v>15</v>
      </c>
      <c r="J7383">
        <v>40</v>
      </c>
      <c r="K7383">
        <v>0</v>
      </c>
      <c r="L7383">
        <v>0</v>
      </c>
      <c r="M7383">
        <f>VLOOKUP(Table1[[#This Row],[subscription_type]],Plans!$A$1:$B$5,2,FALSE)</f>
        <v>0</v>
      </c>
      <c r="N7383">
        <f t="shared" si="115"/>
        <v>0</v>
      </c>
    </row>
    <row r="7384" spans="1:14" x14ac:dyDescent="0.35">
      <c r="A7384">
        <v>7383</v>
      </c>
      <c r="B7384" t="s">
        <v>12</v>
      </c>
      <c r="C7384">
        <v>33</v>
      </c>
      <c r="D7384" t="s">
        <v>27</v>
      </c>
      <c r="E7384" t="s">
        <v>24</v>
      </c>
      <c r="F7384">
        <v>99</v>
      </c>
      <c r="G7384">
        <v>6</v>
      </c>
      <c r="H7384">
        <v>0.18</v>
      </c>
      <c r="I7384" t="s">
        <v>23</v>
      </c>
      <c r="J7384">
        <v>0</v>
      </c>
      <c r="K7384">
        <v>1</v>
      </c>
      <c r="L7384">
        <v>0</v>
      </c>
      <c r="M7384">
        <f>VLOOKUP(Table1[[#This Row],[subscription_type]],Plans!$A$1:$B$5,2,FALSE)</f>
        <v>4.99</v>
      </c>
      <c r="N7384">
        <f t="shared" si="115"/>
        <v>0</v>
      </c>
    </row>
    <row r="7385" spans="1:14" x14ac:dyDescent="0.35">
      <c r="A7385">
        <v>7384</v>
      </c>
      <c r="B7385" t="s">
        <v>16</v>
      </c>
      <c r="C7385">
        <v>19</v>
      </c>
      <c r="D7385" t="s">
        <v>25</v>
      </c>
      <c r="E7385" t="s">
        <v>24</v>
      </c>
      <c r="F7385">
        <v>128</v>
      </c>
      <c r="G7385">
        <v>60</v>
      </c>
      <c r="H7385">
        <v>0.59</v>
      </c>
      <c r="I7385" t="s">
        <v>15</v>
      </c>
      <c r="J7385">
        <v>0</v>
      </c>
      <c r="K7385">
        <v>1</v>
      </c>
      <c r="L7385">
        <v>0</v>
      </c>
      <c r="M7385">
        <f>VLOOKUP(Table1[[#This Row],[subscription_type]],Plans!$A$1:$B$5,2,FALSE)</f>
        <v>4.99</v>
      </c>
      <c r="N7385">
        <f t="shared" si="115"/>
        <v>0</v>
      </c>
    </row>
    <row r="7386" spans="1:14" x14ac:dyDescent="0.35">
      <c r="A7386">
        <v>7385</v>
      </c>
      <c r="B7386" t="s">
        <v>16</v>
      </c>
      <c r="C7386">
        <v>55</v>
      </c>
      <c r="D7386" t="s">
        <v>25</v>
      </c>
      <c r="E7386" t="s">
        <v>22</v>
      </c>
      <c r="F7386">
        <v>172</v>
      </c>
      <c r="G7386">
        <v>43</v>
      </c>
      <c r="H7386">
        <v>0.3</v>
      </c>
      <c r="I7386" t="s">
        <v>23</v>
      </c>
      <c r="J7386">
        <v>0</v>
      </c>
      <c r="K7386">
        <v>1</v>
      </c>
      <c r="L7386">
        <v>0</v>
      </c>
      <c r="M7386">
        <f>VLOOKUP(Table1[[#This Row],[subscription_type]],Plans!$A$1:$B$5,2,FALSE)</f>
        <v>9.99</v>
      </c>
      <c r="N7386">
        <f t="shared" si="115"/>
        <v>0</v>
      </c>
    </row>
    <row r="7387" spans="1:14" x14ac:dyDescent="0.35">
      <c r="A7387">
        <v>7386</v>
      </c>
      <c r="B7387" t="s">
        <v>20</v>
      </c>
      <c r="C7387">
        <v>27</v>
      </c>
      <c r="D7387" t="s">
        <v>27</v>
      </c>
      <c r="E7387" t="s">
        <v>14</v>
      </c>
      <c r="F7387">
        <v>202</v>
      </c>
      <c r="G7387">
        <v>68</v>
      </c>
      <c r="H7387">
        <v>0.43</v>
      </c>
      <c r="I7387" t="s">
        <v>19</v>
      </c>
      <c r="J7387">
        <v>30</v>
      </c>
      <c r="K7387">
        <v>0</v>
      </c>
      <c r="L7387">
        <v>1</v>
      </c>
      <c r="M7387">
        <f>VLOOKUP(Table1[[#This Row],[subscription_type]],Plans!$A$1:$B$5,2,FALSE)</f>
        <v>0</v>
      </c>
      <c r="N7387">
        <f t="shared" si="115"/>
        <v>0</v>
      </c>
    </row>
    <row r="7388" spans="1:14" x14ac:dyDescent="0.35">
      <c r="A7388">
        <v>7387</v>
      </c>
      <c r="B7388" t="s">
        <v>16</v>
      </c>
      <c r="C7388">
        <v>38</v>
      </c>
      <c r="D7388" t="s">
        <v>25</v>
      </c>
      <c r="E7388" t="s">
        <v>24</v>
      </c>
      <c r="F7388">
        <v>108</v>
      </c>
      <c r="G7388">
        <v>56</v>
      </c>
      <c r="H7388">
        <v>0.51</v>
      </c>
      <c r="I7388" t="s">
        <v>15</v>
      </c>
      <c r="J7388">
        <v>0</v>
      </c>
      <c r="K7388">
        <v>1</v>
      </c>
      <c r="L7388">
        <v>0</v>
      </c>
      <c r="M7388">
        <f>VLOOKUP(Table1[[#This Row],[subscription_type]],Plans!$A$1:$B$5,2,FALSE)</f>
        <v>4.99</v>
      </c>
      <c r="N7388">
        <f t="shared" si="115"/>
        <v>0</v>
      </c>
    </row>
    <row r="7389" spans="1:14" x14ac:dyDescent="0.35">
      <c r="A7389">
        <v>7388</v>
      </c>
      <c r="B7389" t="s">
        <v>16</v>
      </c>
      <c r="C7389">
        <v>20</v>
      </c>
      <c r="D7389" t="s">
        <v>28</v>
      </c>
      <c r="E7389" t="s">
        <v>22</v>
      </c>
      <c r="F7389">
        <v>229</v>
      </c>
      <c r="G7389">
        <v>28</v>
      </c>
      <c r="H7389">
        <v>0.22</v>
      </c>
      <c r="I7389" t="s">
        <v>19</v>
      </c>
      <c r="J7389">
        <v>0</v>
      </c>
      <c r="K7389">
        <v>1</v>
      </c>
      <c r="L7389">
        <v>1</v>
      </c>
      <c r="M7389">
        <f>VLOOKUP(Table1[[#This Row],[subscription_type]],Plans!$A$1:$B$5,2,FALSE)</f>
        <v>9.99</v>
      </c>
      <c r="N7389">
        <f t="shared" si="115"/>
        <v>9.99</v>
      </c>
    </row>
    <row r="7390" spans="1:14" x14ac:dyDescent="0.35">
      <c r="A7390">
        <v>7389</v>
      </c>
      <c r="B7390" t="s">
        <v>20</v>
      </c>
      <c r="C7390">
        <v>22</v>
      </c>
      <c r="D7390" t="s">
        <v>27</v>
      </c>
      <c r="E7390" t="s">
        <v>18</v>
      </c>
      <c r="F7390">
        <v>229</v>
      </c>
      <c r="G7390">
        <v>98</v>
      </c>
      <c r="H7390">
        <v>0.33</v>
      </c>
      <c r="I7390" t="s">
        <v>23</v>
      </c>
      <c r="J7390">
        <v>0</v>
      </c>
      <c r="K7390">
        <v>1</v>
      </c>
      <c r="L7390">
        <v>0</v>
      </c>
      <c r="M7390">
        <f>VLOOKUP(Table1[[#This Row],[subscription_type]],Plans!$A$1:$B$5,2,FALSE)</f>
        <v>14.99</v>
      </c>
      <c r="N7390">
        <f t="shared" si="115"/>
        <v>0</v>
      </c>
    </row>
    <row r="7391" spans="1:14" x14ac:dyDescent="0.35">
      <c r="A7391">
        <v>7390</v>
      </c>
      <c r="B7391" t="s">
        <v>12</v>
      </c>
      <c r="C7391">
        <v>53</v>
      </c>
      <c r="D7391" t="s">
        <v>13</v>
      </c>
      <c r="E7391" t="s">
        <v>22</v>
      </c>
      <c r="F7391">
        <v>35</v>
      </c>
      <c r="G7391">
        <v>25</v>
      </c>
      <c r="H7391">
        <v>0.33</v>
      </c>
      <c r="I7391" t="s">
        <v>15</v>
      </c>
      <c r="J7391">
        <v>0</v>
      </c>
      <c r="K7391">
        <v>1</v>
      </c>
      <c r="L7391">
        <v>0</v>
      </c>
      <c r="M7391">
        <f>VLOOKUP(Table1[[#This Row],[subscription_type]],Plans!$A$1:$B$5,2,FALSE)</f>
        <v>9.99</v>
      </c>
      <c r="N7391">
        <f t="shared" si="115"/>
        <v>0</v>
      </c>
    </row>
    <row r="7392" spans="1:14" x14ac:dyDescent="0.35">
      <c r="A7392">
        <v>7391</v>
      </c>
      <c r="B7392" t="s">
        <v>16</v>
      </c>
      <c r="C7392">
        <v>17</v>
      </c>
      <c r="D7392" t="s">
        <v>26</v>
      </c>
      <c r="E7392" t="s">
        <v>14</v>
      </c>
      <c r="F7392">
        <v>48</v>
      </c>
      <c r="G7392">
        <v>34</v>
      </c>
      <c r="H7392">
        <v>0.48</v>
      </c>
      <c r="I7392" t="s">
        <v>23</v>
      </c>
      <c r="J7392">
        <v>44</v>
      </c>
      <c r="K7392">
        <v>0</v>
      </c>
      <c r="L7392">
        <v>0</v>
      </c>
      <c r="M7392">
        <f>VLOOKUP(Table1[[#This Row],[subscription_type]],Plans!$A$1:$B$5,2,FALSE)</f>
        <v>0</v>
      </c>
      <c r="N7392">
        <f t="shared" si="115"/>
        <v>0</v>
      </c>
    </row>
    <row r="7393" spans="1:14" x14ac:dyDescent="0.35">
      <c r="A7393">
        <v>7392</v>
      </c>
      <c r="B7393" t="s">
        <v>16</v>
      </c>
      <c r="C7393">
        <v>47</v>
      </c>
      <c r="D7393" t="s">
        <v>21</v>
      </c>
      <c r="E7393" t="s">
        <v>18</v>
      </c>
      <c r="F7393">
        <v>172</v>
      </c>
      <c r="G7393">
        <v>83</v>
      </c>
      <c r="H7393">
        <v>7.0000000000000007E-2</v>
      </c>
      <c r="I7393" t="s">
        <v>23</v>
      </c>
      <c r="J7393">
        <v>0</v>
      </c>
      <c r="K7393">
        <v>1</v>
      </c>
      <c r="L7393">
        <v>0</v>
      </c>
      <c r="M7393">
        <f>VLOOKUP(Table1[[#This Row],[subscription_type]],Plans!$A$1:$B$5,2,FALSE)</f>
        <v>14.99</v>
      </c>
      <c r="N7393">
        <f t="shared" si="115"/>
        <v>0</v>
      </c>
    </row>
    <row r="7394" spans="1:14" x14ac:dyDescent="0.35">
      <c r="A7394">
        <v>7393</v>
      </c>
      <c r="B7394" t="s">
        <v>16</v>
      </c>
      <c r="C7394">
        <v>38</v>
      </c>
      <c r="D7394" t="s">
        <v>17</v>
      </c>
      <c r="E7394" t="s">
        <v>22</v>
      </c>
      <c r="F7394">
        <v>31</v>
      </c>
      <c r="G7394">
        <v>20</v>
      </c>
      <c r="H7394">
        <v>0.48</v>
      </c>
      <c r="I7394" t="s">
        <v>19</v>
      </c>
      <c r="J7394">
        <v>0</v>
      </c>
      <c r="K7394">
        <v>1</v>
      </c>
      <c r="L7394">
        <v>0</v>
      </c>
      <c r="M7394">
        <f>VLOOKUP(Table1[[#This Row],[subscription_type]],Plans!$A$1:$B$5,2,FALSE)</f>
        <v>9.99</v>
      </c>
      <c r="N7394">
        <f t="shared" si="115"/>
        <v>0</v>
      </c>
    </row>
    <row r="7395" spans="1:14" x14ac:dyDescent="0.35">
      <c r="A7395">
        <v>7394</v>
      </c>
      <c r="B7395" t="s">
        <v>12</v>
      </c>
      <c r="C7395">
        <v>51</v>
      </c>
      <c r="D7395" t="s">
        <v>26</v>
      </c>
      <c r="E7395" t="s">
        <v>18</v>
      </c>
      <c r="F7395">
        <v>137</v>
      </c>
      <c r="G7395">
        <v>26</v>
      </c>
      <c r="H7395">
        <v>0.39</v>
      </c>
      <c r="I7395" t="s">
        <v>19</v>
      </c>
      <c r="J7395">
        <v>0</v>
      </c>
      <c r="K7395">
        <v>1</v>
      </c>
      <c r="L7395">
        <v>0</v>
      </c>
      <c r="M7395">
        <f>VLOOKUP(Table1[[#This Row],[subscription_type]],Plans!$A$1:$B$5,2,FALSE)</f>
        <v>14.99</v>
      </c>
      <c r="N7395">
        <f t="shared" si="115"/>
        <v>0</v>
      </c>
    </row>
    <row r="7396" spans="1:14" x14ac:dyDescent="0.35">
      <c r="A7396">
        <v>7395</v>
      </c>
      <c r="B7396" t="s">
        <v>12</v>
      </c>
      <c r="C7396">
        <v>43</v>
      </c>
      <c r="D7396" t="s">
        <v>21</v>
      </c>
      <c r="E7396" t="s">
        <v>18</v>
      </c>
      <c r="F7396">
        <v>45</v>
      </c>
      <c r="G7396">
        <v>39</v>
      </c>
      <c r="H7396">
        <v>0.08</v>
      </c>
      <c r="I7396" t="s">
        <v>23</v>
      </c>
      <c r="J7396">
        <v>0</v>
      </c>
      <c r="K7396">
        <v>1</v>
      </c>
      <c r="L7396">
        <v>0</v>
      </c>
      <c r="M7396">
        <f>VLOOKUP(Table1[[#This Row],[subscription_type]],Plans!$A$1:$B$5,2,FALSE)</f>
        <v>14.99</v>
      </c>
      <c r="N7396">
        <f t="shared" si="115"/>
        <v>0</v>
      </c>
    </row>
    <row r="7397" spans="1:14" x14ac:dyDescent="0.35">
      <c r="A7397">
        <v>7396</v>
      </c>
      <c r="B7397" t="s">
        <v>16</v>
      </c>
      <c r="C7397">
        <v>39</v>
      </c>
      <c r="D7397" t="s">
        <v>13</v>
      </c>
      <c r="E7397" t="s">
        <v>18</v>
      </c>
      <c r="F7397">
        <v>14</v>
      </c>
      <c r="G7397">
        <v>56</v>
      </c>
      <c r="H7397">
        <v>0.04</v>
      </c>
      <c r="I7397" t="s">
        <v>23</v>
      </c>
      <c r="J7397">
        <v>0</v>
      </c>
      <c r="K7397">
        <v>1</v>
      </c>
      <c r="L7397">
        <v>0</v>
      </c>
      <c r="M7397">
        <f>VLOOKUP(Table1[[#This Row],[subscription_type]],Plans!$A$1:$B$5,2,FALSE)</f>
        <v>14.99</v>
      </c>
      <c r="N7397">
        <f t="shared" si="115"/>
        <v>0</v>
      </c>
    </row>
    <row r="7398" spans="1:14" x14ac:dyDescent="0.35">
      <c r="A7398">
        <v>7397</v>
      </c>
      <c r="B7398" t="s">
        <v>20</v>
      </c>
      <c r="C7398">
        <v>42</v>
      </c>
      <c r="D7398" t="s">
        <v>25</v>
      </c>
      <c r="E7398" t="s">
        <v>14</v>
      </c>
      <c r="F7398">
        <v>212</v>
      </c>
      <c r="G7398">
        <v>17</v>
      </c>
      <c r="H7398">
        <v>0.35</v>
      </c>
      <c r="I7398" t="s">
        <v>23</v>
      </c>
      <c r="J7398">
        <v>45</v>
      </c>
      <c r="K7398">
        <v>0</v>
      </c>
      <c r="L7398">
        <v>1</v>
      </c>
      <c r="M7398">
        <f>VLOOKUP(Table1[[#This Row],[subscription_type]],Plans!$A$1:$B$5,2,FALSE)</f>
        <v>0</v>
      </c>
      <c r="N7398">
        <f t="shared" si="115"/>
        <v>0</v>
      </c>
    </row>
    <row r="7399" spans="1:14" x14ac:dyDescent="0.35">
      <c r="A7399">
        <v>7398</v>
      </c>
      <c r="B7399" t="s">
        <v>16</v>
      </c>
      <c r="C7399">
        <v>36</v>
      </c>
      <c r="D7399" t="s">
        <v>26</v>
      </c>
      <c r="E7399" t="s">
        <v>24</v>
      </c>
      <c r="F7399">
        <v>25</v>
      </c>
      <c r="G7399">
        <v>33</v>
      </c>
      <c r="H7399">
        <v>0.38</v>
      </c>
      <c r="I7399" t="s">
        <v>19</v>
      </c>
      <c r="J7399">
        <v>0</v>
      </c>
      <c r="K7399">
        <v>1</v>
      </c>
      <c r="L7399">
        <v>0</v>
      </c>
      <c r="M7399">
        <f>VLOOKUP(Table1[[#This Row],[subscription_type]],Plans!$A$1:$B$5,2,FALSE)</f>
        <v>4.99</v>
      </c>
      <c r="N7399">
        <f t="shared" si="115"/>
        <v>0</v>
      </c>
    </row>
    <row r="7400" spans="1:14" x14ac:dyDescent="0.35">
      <c r="A7400">
        <v>7399</v>
      </c>
      <c r="B7400" t="s">
        <v>20</v>
      </c>
      <c r="C7400">
        <v>55</v>
      </c>
      <c r="D7400" t="s">
        <v>26</v>
      </c>
      <c r="E7400" t="s">
        <v>24</v>
      </c>
      <c r="F7400">
        <v>243</v>
      </c>
      <c r="G7400">
        <v>35</v>
      </c>
      <c r="H7400">
        <v>0.28000000000000003</v>
      </c>
      <c r="I7400" t="s">
        <v>23</v>
      </c>
      <c r="J7400">
        <v>0</v>
      </c>
      <c r="K7400">
        <v>1</v>
      </c>
      <c r="L7400">
        <v>0</v>
      </c>
      <c r="M7400">
        <f>VLOOKUP(Table1[[#This Row],[subscription_type]],Plans!$A$1:$B$5,2,FALSE)</f>
        <v>4.99</v>
      </c>
      <c r="N7400">
        <f t="shared" si="115"/>
        <v>0</v>
      </c>
    </row>
    <row r="7401" spans="1:14" x14ac:dyDescent="0.35">
      <c r="A7401">
        <v>7400</v>
      </c>
      <c r="B7401" t="s">
        <v>16</v>
      </c>
      <c r="C7401">
        <v>52</v>
      </c>
      <c r="D7401" t="s">
        <v>25</v>
      </c>
      <c r="E7401" t="s">
        <v>22</v>
      </c>
      <c r="F7401">
        <v>29</v>
      </c>
      <c r="G7401">
        <v>5</v>
      </c>
      <c r="H7401">
        <v>0.56999999999999995</v>
      </c>
      <c r="I7401" t="s">
        <v>19</v>
      </c>
      <c r="J7401">
        <v>0</v>
      </c>
      <c r="K7401">
        <v>1</v>
      </c>
      <c r="L7401">
        <v>1</v>
      </c>
      <c r="M7401">
        <f>VLOOKUP(Table1[[#This Row],[subscription_type]],Plans!$A$1:$B$5,2,FALSE)</f>
        <v>9.99</v>
      </c>
      <c r="N7401">
        <f t="shared" si="115"/>
        <v>9.99</v>
      </c>
    </row>
    <row r="7402" spans="1:14" x14ac:dyDescent="0.35">
      <c r="A7402">
        <v>7401</v>
      </c>
      <c r="B7402" t="s">
        <v>20</v>
      </c>
      <c r="C7402">
        <v>59</v>
      </c>
      <c r="D7402" t="s">
        <v>27</v>
      </c>
      <c r="E7402" t="s">
        <v>22</v>
      </c>
      <c r="F7402">
        <v>291</v>
      </c>
      <c r="G7402">
        <v>64</v>
      </c>
      <c r="H7402">
        <v>0.09</v>
      </c>
      <c r="I7402" t="s">
        <v>19</v>
      </c>
      <c r="J7402">
        <v>0</v>
      </c>
      <c r="K7402">
        <v>1</v>
      </c>
      <c r="L7402">
        <v>0</v>
      </c>
      <c r="M7402">
        <f>VLOOKUP(Table1[[#This Row],[subscription_type]],Plans!$A$1:$B$5,2,FALSE)</f>
        <v>9.99</v>
      </c>
      <c r="N7402">
        <f t="shared" si="115"/>
        <v>0</v>
      </c>
    </row>
    <row r="7403" spans="1:14" x14ac:dyDescent="0.35">
      <c r="A7403">
        <v>7402</v>
      </c>
      <c r="B7403" t="s">
        <v>20</v>
      </c>
      <c r="C7403">
        <v>39</v>
      </c>
      <c r="D7403" t="s">
        <v>27</v>
      </c>
      <c r="E7403" t="s">
        <v>24</v>
      </c>
      <c r="F7403">
        <v>95</v>
      </c>
      <c r="G7403">
        <v>14</v>
      </c>
      <c r="H7403">
        <v>0.56000000000000005</v>
      </c>
      <c r="I7403" t="s">
        <v>19</v>
      </c>
      <c r="J7403">
        <v>0</v>
      </c>
      <c r="K7403">
        <v>1</v>
      </c>
      <c r="L7403">
        <v>0</v>
      </c>
      <c r="M7403">
        <f>VLOOKUP(Table1[[#This Row],[subscription_type]],Plans!$A$1:$B$5,2,FALSE)</f>
        <v>4.99</v>
      </c>
      <c r="N7403">
        <f t="shared" si="115"/>
        <v>0</v>
      </c>
    </row>
    <row r="7404" spans="1:14" x14ac:dyDescent="0.35">
      <c r="A7404">
        <v>7403</v>
      </c>
      <c r="B7404" t="s">
        <v>16</v>
      </c>
      <c r="C7404">
        <v>51</v>
      </c>
      <c r="D7404" t="s">
        <v>29</v>
      </c>
      <c r="E7404" t="s">
        <v>22</v>
      </c>
      <c r="F7404">
        <v>276</v>
      </c>
      <c r="G7404">
        <v>25</v>
      </c>
      <c r="H7404">
        <v>0.05</v>
      </c>
      <c r="I7404" t="s">
        <v>15</v>
      </c>
      <c r="J7404">
        <v>0</v>
      </c>
      <c r="K7404">
        <v>1</v>
      </c>
      <c r="L7404">
        <v>1</v>
      </c>
      <c r="M7404">
        <f>VLOOKUP(Table1[[#This Row],[subscription_type]],Plans!$A$1:$B$5,2,FALSE)</f>
        <v>9.99</v>
      </c>
      <c r="N7404">
        <f t="shared" si="115"/>
        <v>9.99</v>
      </c>
    </row>
    <row r="7405" spans="1:14" x14ac:dyDescent="0.35">
      <c r="A7405">
        <v>7404</v>
      </c>
      <c r="B7405" t="s">
        <v>20</v>
      </c>
      <c r="C7405">
        <v>30</v>
      </c>
      <c r="D7405" t="s">
        <v>29</v>
      </c>
      <c r="E7405" t="s">
        <v>22</v>
      </c>
      <c r="F7405">
        <v>235</v>
      </c>
      <c r="G7405">
        <v>12</v>
      </c>
      <c r="H7405">
        <v>0.46</v>
      </c>
      <c r="I7405" t="s">
        <v>19</v>
      </c>
      <c r="J7405">
        <v>0</v>
      </c>
      <c r="K7405">
        <v>1</v>
      </c>
      <c r="L7405">
        <v>0</v>
      </c>
      <c r="M7405">
        <f>VLOOKUP(Table1[[#This Row],[subscription_type]],Plans!$A$1:$B$5,2,FALSE)</f>
        <v>9.99</v>
      </c>
      <c r="N7405">
        <f t="shared" si="115"/>
        <v>0</v>
      </c>
    </row>
    <row r="7406" spans="1:14" x14ac:dyDescent="0.35">
      <c r="A7406">
        <v>7405</v>
      </c>
      <c r="B7406" t="s">
        <v>16</v>
      </c>
      <c r="C7406">
        <v>39</v>
      </c>
      <c r="D7406" t="s">
        <v>27</v>
      </c>
      <c r="E7406" t="s">
        <v>24</v>
      </c>
      <c r="F7406">
        <v>255</v>
      </c>
      <c r="G7406">
        <v>66</v>
      </c>
      <c r="H7406">
        <v>0.05</v>
      </c>
      <c r="I7406" t="s">
        <v>15</v>
      </c>
      <c r="J7406">
        <v>0</v>
      </c>
      <c r="K7406">
        <v>1</v>
      </c>
      <c r="L7406">
        <v>0</v>
      </c>
      <c r="M7406">
        <f>VLOOKUP(Table1[[#This Row],[subscription_type]],Plans!$A$1:$B$5,2,FALSE)</f>
        <v>4.99</v>
      </c>
      <c r="N7406">
        <f t="shared" si="115"/>
        <v>0</v>
      </c>
    </row>
    <row r="7407" spans="1:14" x14ac:dyDescent="0.35">
      <c r="A7407">
        <v>7406</v>
      </c>
      <c r="B7407" t="s">
        <v>20</v>
      </c>
      <c r="C7407">
        <v>43</v>
      </c>
      <c r="D7407" t="s">
        <v>29</v>
      </c>
      <c r="E7407" t="s">
        <v>24</v>
      </c>
      <c r="F7407">
        <v>220</v>
      </c>
      <c r="G7407">
        <v>39</v>
      </c>
      <c r="H7407">
        <v>0.3</v>
      </c>
      <c r="I7407" t="s">
        <v>23</v>
      </c>
      <c r="J7407">
        <v>0</v>
      </c>
      <c r="K7407">
        <v>1</v>
      </c>
      <c r="L7407">
        <v>0</v>
      </c>
      <c r="M7407">
        <f>VLOOKUP(Table1[[#This Row],[subscription_type]],Plans!$A$1:$B$5,2,FALSE)</f>
        <v>4.99</v>
      </c>
      <c r="N7407">
        <f t="shared" si="115"/>
        <v>0</v>
      </c>
    </row>
    <row r="7408" spans="1:14" x14ac:dyDescent="0.35">
      <c r="A7408">
        <v>7407</v>
      </c>
      <c r="B7408" t="s">
        <v>12</v>
      </c>
      <c r="C7408">
        <v>37</v>
      </c>
      <c r="D7408" t="s">
        <v>17</v>
      </c>
      <c r="E7408" t="s">
        <v>22</v>
      </c>
      <c r="F7408">
        <v>37</v>
      </c>
      <c r="G7408">
        <v>55</v>
      </c>
      <c r="H7408">
        <v>0.44</v>
      </c>
      <c r="I7408" t="s">
        <v>15</v>
      </c>
      <c r="J7408">
        <v>0</v>
      </c>
      <c r="K7408">
        <v>1</v>
      </c>
      <c r="L7408">
        <v>0</v>
      </c>
      <c r="M7408">
        <f>VLOOKUP(Table1[[#This Row],[subscription_type]],Plans!$A$1:$B$5,2,FALSE)</f>
        <v>9.99</v>
      </c>
      <c r="N7408">
        <f t="shared" si="115"/>
        <v>0</v>
      </c>
    </row>
    <row r="7409" spans="1:14" x14ac:dyDescent="0.35">
      <c r="A7409">
        <v>7408</v>
      </c>
      <c r="B7409" t="s">
        <v>16</v>
      </c>
      <c r="C7409">
        <v>41</v>
      </c>
      <c r="D7409" t="s">
        <v>25</v>
      </c>
      <c r="E7409" t="s">
        <v>24</v>
      </c>
      <c r="F7409">
        <v>177</v>
      </c>
      <c r="G7409">
        <v>85</v>
      </c>
      <c r="H7409">
        <v>0.28000000000000003</v>
      </c>
      <c r="I7409" t="s">
        <v>19</v>
      </c>
      <c r="J7409">
        <v>0</v>
      </c>
      <c r="K7409">
        <v>1</v>
      </c>
      <c r="L7409">
        <v>0</v>
      </c>
      <c r="M7409">
        <f>VLOOKUP(Table1[[#This Row],[subscription_type]],Plans!$A$1:$B$5,2,FALSE)</f>
        <v>4.99</v>
      </c>
      <c r="N7409">
        <f t="shared" si="115"/>
        <v>0</v>
      </c>
    </row>
    <row r="7410" spans="1:14" x14ac:dyDescent="0.35">
      <c r="A7410">
        <v>7409</v>
      </c>
      <c r="B7410" t="s">
        <v>12</v>
      </c>
      <c r="C7410">
        <v>42</v>
      </c>
      <c r="D7410" t="s">
        <v>29</v>
      </c>
      <c r="E7410" t="s">
        <v>22</v>
      </c>
      <c r="F7410">
        <v>190</v>
      </c>
      <c r="G7410">
        <v>36</v>
      </c>
      <c r="H7410">
        <v>0.21</v>
      </c>
      <c r="I7410" t="s">
        <v>23</v>
      </c>
      <c r="J7410">
        <v>0</v>
      </c>
      <c r="K7410">
        <v>1</v>
      </c>
      <c r="L7410">
        <v>0</v>
      </c>
      <c r="M7410">
        <f>VLOOKUP(Table1[[#This Row],[subscription_type]],Plans!$A$1:$B$5,2,FALSE)</f>
        <v>9.99</v>
      </c>
      <c r="N7410">
        <f t="shared" si="115"/>
        <v>0</v>
      </c>
    </row>
    <row r="7411" spans="1:14" x14ac:dyDescent="0.35">
      <c r="A7411">
        <v>7410</v>
      </c>
      <c r="B7411" t="s">
        <v>20</v>
      </c>
      <c r="C7411">
        <v>49</v>
      </c>
      <c r="D7411" t="s">
        <v>25</v>
      </c>
      <c r="E7411" t="s">
        <v>22</v>
      </c>
      <c r="F7411">
        <v>242</v>
      </c>
      <c r="G7411">
        <v>14</v>
      </c>
      <c r="H7411">
        <v>0.4</v>
      </c>
      <c r="I7411" t="s">
        <v>23</v>
      </c>
      <c r="J7411">
        <v>0</v>
      </c>
      <c r="K7411">
        <v>1</v>
      </c>
      <c r="L7411">
        <v>0</v>
      </c>
      <c r="M7411">
        <f>VLOOKUP(Table1[[#This Row],[subscription_type]],Plans!$A$1:$B$5,2,FALSE)</f>
        <v>9.99</v>
      </c>
      <c r="N7411">
        <f t="shared" si="115"/>
        <v>0</v>
      </c>
    </row>
    <row r="7412" spans="1:14" x14ac:dyDescent="0.35">
      <c r="A7412">
        <v>7411</v>
      </c>
      <c r="B7412" t="s">
        <v>20</v>
      </c>
      <c r="C7412">
        <v>36</v>
      </c>
      <c r="D7412" t="s">
        <v>28</v>
      </c>
      <c r="E7412" t="s">
        <v>14</v>
      </c>
      <c r="F7412">
        <v>55</v>
      </c>
      <c r="G7412">
        <v>42</v>
      </c>
      <c r="H7412">
        <v>0.27</v>
      </c>
      <c r="I7412" t="s">
        <v>19</v>
      </c>
      <c r="J7412">
        <v>42</v>
      </c>
      <c r="K7412">
        <v>0</v>
      </c>
      <c r="L7412">
        <v>0</v>
      </c>
      <c r="M7412">
        <f>VLOOKUP(Table1[[#This Row],[subscription_type]],Plans!$A$1:$B$5,2,FALSE)</f>
        <v>0</v>
      </c>
      <c r="N7412">
        <f t="shared" si="115"/>
        <v>0</v>
      </c>
    </row>
    <row r="7413" spans="1:14" x14ac:dyDescent="0.35">
      <c r="A7413">
        <v>7412</v>
      </c>
      <c r="B7413" t="s">
        <v>16</v>
      </c>
      <c r="C7413">
        <v>37</v>
      </c>
      <c r="D7413" t="s">
        <v>13</v>
      </c>
      <c r="E7413" t="s">
        <v>18</v>
      </c>
      <c r="F7413">
        <v>69</v>
      </c>
      <c r="G7413">
        <v>47</v>
      </c>
      <c r="H7413">
        <v>0.22</v>
      </c>
      <c r="I7413" t="s">
        <v>15</v>
      </c>
      <c r="J7413">
        <v>0</v>
      </c>
      <c r="K7413">
        <v>1</v>
      </c>
      <c r="L7413">
        <v>0</v>
      </c>
      <c r="M7413">
        <f>VLOOKUP(Table1[[#This Row],[subscription_type]],Plans!$A$1:$B$5,2,FALSE)</f>
        <v>14.99</v>
      </c>
      <c r="N7413">
        <f t="shared" si="115"/>
        <v>0</v>
      </c>
    </row>
    <row r="7414" spans="1:14" x14ac:dyDescent="0.35">
      <c r="A7414">
        <v>7413</v>
      </c>
      <c r="B7414" t="s">
        <v>12</v>
      </c>
      <c r="C7414">
        <v>40</v>
      </c>
      <c r="D7414" t="s">
        <v>29</v>
      </c>
      <c r="E7414" t="s">
        <v>18</v>
      </c>
      <c r="F7414">
        <v>12</v>
      </c>
      <c r="G7414">
        <v>25</v>
      </c>
      <c r="H7414">
        <v>0.03</v>
      </c>
      <c r="I7414" t="s">
        <v>15</v>
      </c>
      <c r="J7414">
        <v>0</v>
      </c>
      <c r="K7414">
        <v>1</v>
      </c>
      <c r="L7414">
        <v>0</v>
      </c>
      <c r="M7414">
        <f>VLOOKUP(Table1[[#This Row],[subscription_type]],Plans!$A$1:$B$5,2,FALSE)</f>
        <v>14.99</v>
      </c>
      <c r="N7414">
        <f t="shared" si="115"/>
        <v>0</v>
      </c>
    </row>
    <row r="7415" spans="1:14" x14ac:dyDescent="0.35">
      <c r="A7415">
        <v>7414</v>
      </c>
      <c r="B7415" t="s">
        <v>12</v>
      </c>
      <c r="C7415">
        <v>24</v>
      </c>
      <c r="D7415" t="s">
        <v>29</v>
      </c>
      <c r="E7415" t="s">
        <v>18</v>
      </c>
      <c r="F7415">
        <v>174</v>
      </c>
      <c r="G7415">
        <v>94</v>
      </c>
      <c r="H7415">
        <v>0.3</v>
      </c>
      <c r="I7415" t="s">
        <v>19</v>
      </c>
      <c r="J7415">
        <v>0</v>
      </c>
      <c r="K7415">
        <v>1</v>
      </c>
      <c r="L7415">
        <v>0</v>
      </c>
      <c r="M7415">
        <f>VLOOKUP(Table1[[#This Row],[subscription_type]],Plans!$A$1:$B$5,2,FALSE)</f>
        <v>14.99</v>
      </c>
      <c r="N7415">
        <f t="shared" si="115"/>
        <v>0</v>
      </c>
    </row>
    <row r="7416" spans="1:14" x14ac:dyDescent="0.35">
      <c r="A7416">
        <v>7415</v>
      </c>
      <c r="B7416" t="s">
        <v>12</v>
      </c>
      <c r="C7416">
        <v>36</v>
      </c>
      <c r="D7416" t="s">
        <v>26</v>
      </c>
      <c r="E7416" t="s">
        <v>22</v>
      </c>
      <c r="F7416">
        <v>75</v>
      </c>
      <c r="G7416">
        <v>93</v>
      </c>
      <c r="H7416">
        <v>0.59</v>
      </c>
      <c r="I7416" t="s">
        <v>23</v>
      </c>
      <c r="J7416">
        <v>0</v>
      </c>
      <c r="K7416">
        <v>1</v>
      </c>
      <c r="L7416">
        <v>1</v>
      </c>
      <c r="M7416">
        <f>VLOOKUP(Table1[[#This Row],[subscription_type]],Plans!$A$1:$B$5,2,FALSE)</f>
        <v>9.99</v>
      </c>
      <c r="N7416">
        <f t="shared" si="115"/>
        <v>9.99</v>
      </c>
    </row>
    <row r="7417" spans="1:14" x14ac:dyDescent="0.35">
      <c r="A7417">
        <v>7416</v>
      </c>
      <c r="B7417" t="s">
        <v>16</v>
      </c>
      <c r="C7417">
        <v>50</v>
      </c>
      <c r="D7417" t="s">
        <v>28</v>
      </c>
      <c r="E7417" t="s">
        <v>24</v>
      </c>
      <c r="F7417">
        <v>293</v>
      </c>
      <c r="G7417">
        <v>25</v>
      </c>
      <c r="H7417">
        <v>0.59</v>
      </c>
      <c r="I7417" t="s">
        <v>19</v>
      </c>
      <c r="J7417">
        <v>0</v>
      </c>
      <c r="K7417">
        <v>1</v>
      </c>
      <c r="L7417">
        <v>1</v>
      </c>
      <c r="M7417">
        <f>VLOOKUP(Table1[[#This Row],[subscription_type]],Plans!$A$1:$B$5,2,FALSE)</f>
        <v>4.99</v>
      </c>
      <c r="N7417">
        <f t="shared" si="115"/>
        <v>4.99</v>
      </c>
    </row>
    <row r="7418" spans="1:14" x14ac:dyDescent="0.35">
      <c r="A7418">
        <v>7417</v>
      </c>
      <c r="B7418" t="s">
        <v>12</v>
      </c>
      <c r="C7418">
        <v>58</v>
      </c>
      <c r="D7418" t="s">
        <v>29</v>
      </c>
      <c r="E7418" t="s">
        <v>14</v>
      </c>
      <c r="F7418">
        <v>97</v>
      </c>
      <c r="G7418">
        <v>30</v>
      </c>
      <c r="H7418">
        <v>0.02</v>
      </c>
      <c r="I7418" t="s">
        <v>15</v>
      </c>
      <c r="J7418">
        <v>36</v>
      </c>
      <c r="K7418">
        <v>0</v>
      </c>
      <c r="L7418">
        <v>1</v>
      </c>
      <c r="M7418">
        <f>VLOOKUP(Table1[[#This Row],[subscription_type]],Plans!$A$1:$B$5,2,FALSE)</f>
        <v>0</v>
      </c>
      <c r="N7418">
        <f t="shared" si="115"/>
        <v>0</v>
      </c>
    </row>
    <row r="7419" spans="1:14" x14ac:dyDescent="0.35">
      <c r="A7419">
        <v>7418</v>
      </c>
      <c r="B7419" t="s">
        <v>16</v>
      </c>
      <c r="C7419">
        <v>25</v>
      </c>
      <c r="D7419" t="s">
        <v>27</v>
      </c>
      <c r="E7419" t="s">
        <v>24</v>
      </c>
      <c r="F7419">
        <v>272</v>
      </c>
      <c r="G7419">
        <v>31</v>
      </c>
      <c r="H7419">
        <v>0.37</v>
      </c>
      <c r="I7419" t="s">
        <v>15</v>
      </c>
      <c r="J7419">
        <v>0</v>
      </c>
      <c r="K7419">
        <v>1</v>
      </c>
      <c r="L7419">
        <v>0</v>
      </c>
      <c r="M7419">
        <f>VLOOKUP(Table1[[#This Row],[subscription_type]],Plans!$A$1:$B$5,2,FALSE)</f>
        <v>4.99</v>
      </c>
      <c r="N7419">
        <f t="shared" si="115"/>
        <v>0</v>
      </c>
    </row>
    <row r="7420" spans="1:14" x14ac:dyDescent="0.35">
      <c r="A7420">
        <v>7419</v>
      </c>
      <c r="B7420" t="s">
        <v>20</v>
      </c>
      <c r="C7420">
        <v>58</v>
      </c>
      <c r="D7420" t="s">
        <v>29</v>
      </c>
      <c r="E7420" t="s">
        <v>18</v>
      </c>
      <c r="F7420">
        <v>50</v>
      </c>
      <c r="G7420">
        <v>51</v>
      </c>
      <c r="H7420">
        <v>0.25</v>
      </c>
      <c r="I7420" t="s">
        <v>15</v>
      </c>
      <c r="J7420">
        <v>0</v>
      </c>
      <c r="K7420">
        <v>1</v>
      </c>
      <c r="L7420">
        <v>0</v>
      </c>
      <c r="M7420">
        <f>VLOOKUP(Table1[[#This Row],[subscription_type]],Plans!$A$1:$B$5,2,FALSE)</f>
        <v>14.99</v>
      </c>
      <c r="N7420">
        <f t="shared" si="115"/>
        <v>0</v>
      </c>
    </row>
    <row r="7421" spans="1:14" x14ac:dyDescent="0.35">
      <c r="A7421">
        <v>7420</v>
      </c>
      <c r="B7421" t="s">
        <v>16</v>
      </c>
      <c r="C7421">
        <v>43</v>
      </c>
      <c r="D7421" t="s">
        <v>17</v>
      </c>
      <c r="E7421" t="s">
        <v>18</v>
      </c>
      <c r="F7421">
        <v>132</v>
      </c>
      <c r="G7421">
        <v>25</v>
      </c>
      <c r="H7421">
        <v>0.27</v>
      </c>
      <c r="I7421" t="s">
        <v>15</v>
      </c>
      <c r="J7421">
        <v>0</v>
      </c>
      <c r="K7421">
        <v>1</v>
      </c>
      <c r="L7421">
        <v>0</v>
      </c>
      <c r="M7421">
        <f>VLOOKUP(Table1[[#This Row],[subscription_type]],Plans!$A$1:$B$5,2,FALSE)</f>
        <v>14.99</v>
      </c>
      <c r="N7421">
        <f t="shared" si="115"/>
        <v>0</v>
      </c>
    </row>
    <row r="7422" spans="1:14" x14ac:dyDescent="0.35">
      <c r="A7422">
        <v>7421</v>
      </c>
      <c r="B7422" t="s">
        <v>12</v>
      </c>
      <c r="C7422">
        <v>30</v>
      </c>
      <c r="D7422" t="s">
        <v>26</v>
      </c>
      <c r="E7422" t="s">
        <v>22</v>
      </c>
      <c r="F7422">
        <v>68</v>
      </c>
      <c r="G7422">
        <v>54</v>
      </c>
      <c r="H7422">
        <v>0.16</v>
      </c>
      <c r="I7422" t="s">
        <v>19</v>
      </c>
      <c r="J7422">
        <v>0</v>
      </c>
      <c r="K7422">
        <v>1</v>
      </c>
      <c r="L7422">
        <v>0</v>
      </c>
      <c r="M7422">
        <f>VLOOKUP(Table1[[#This Row],[subscription_type]],Plans!$A$1:$B$5,2,FALSE)</f>
        <v>9.99</v>
      </c>
      <c r="N7422">
        <f t="shared" si="115"/>
        <v>0</v>
      </c>
    </row>
    <row r="7423" spans="1:14" x14ac:dyDescent="0.35">
      <c r="A7423">
        <v>7422</v>
      </c>
      <c r="B7423" t="s">
        <v>12</v>
      </c>
      <c r="C7423">
        <v>33</v>
      </c>
      <c r="D7423" t="s">
        <v>27</v>
      </c>
      <c r="E7423" t="s">
        <v>18</v>
      </c>
      <c r="F7423">
        <v>27</v>
      </c>
      <c r="G7423">
        <v>12</v>
      </c>
      <c r="H7423">
        <v>0.04</v>
      </c>
      <c r="I7423" t="s">
        <v>19</v>
      </c>
      <c r="J7423">
        <v>0</v>
      </c>
      <c r="K7423">
        <v>1</v>
      </c>
      <c r="L7423">
        <v>1</v>
      </c>
      <c r="M7423">
        <f>VLOOKUP(Table1[[#This Row],[subscription_type]],Plans!$A$1:$B$5,2,FALSE)</f>
        <v>14.99</v>
      </c>
      <c r="N7423">
        <f t="shared" si="115"/>
        <v>14.99</v>
      </c>
    </row>
    <row r="7424" spans="1:14" x14ac:dyDescent="0.35">
      <c r="A7424">
        <v>7423</v>
      </c>
      <c r="B7424" t="s">
        <v>16</v>
      </c>
      <c r="C7424">
        <v>17</v>
      </c>
      <c r="D7424" t="s">
        <v>13</v>
      </c>
      <c r="E7424" t="s">
        <v>14</v>
      </c>
      <c r="F7424">
        <v>22</v>
      </c>
      <c r="G7424">
        <v>97</v>
      </c>
      <c r="H7424">
        <v>0.49</v>
      </c>
      <c r="I7424" t="s">
        <v>23</v>
      </c>
      <c r="J7424">
        <v>18</v>
      </c>
      <c r="K7424">
        <v>0</v>
      </c>
      <c r="L7424">
        <v>1</v>
      </c>
      <c r="M7424">
        <f>VLOOKUP(Table1[[#This Row],[subscription_type]],Plans!$A$1:$B$5,2,FALSE)</f>
        <v>0</v>
      </c>
      <c r="N7424">
        <f t="shared" si="115"/>
        <v>0</v>
      </c>
    </row>
    <row r="7425" spans="1:14" x14ac:dyDescent="0.35">
      <c r="A7425">
        <v>7424</v>
      </c>
      <c r="B7425" t="s">
        <v>20</v>
      </c>
      <c r="C7425">
        <v>24</v>
      </c>
      <c r="D7425" t="s">
        <v>17</v>
      </c>
      <c r="E7425" t="s">
        <v>14</v>
      </c>
      <c r="F7425">
        <v>64</v>
      </c>
      <c r="G7425">
        <v>96</v>
      </c>
      <c r="H7425">
        <v>0.08</v>
      </c>
      <c r="I7425" t="s">
        <v>15</v>
      </c>
      <c r="J7425">
        <v>8</v>
      </c>
      <c r="K7425">
        <v>0</v>
      </c>
      <c r="L7425">
        <v>0</v>
      </c>
      <c r="M7425">
        <f>VLOOKUP(Table1[[#This Row],[subscription_type]],Plans!$A$1:$B$5,2,FALSE)</f>
        <v>0</v>
      </c>
      <c r="N7425">
        <f t="shared" si="115"/>
        <v>0</v>
      </c>
    </row>
    <row r="7426" spans="1:14" x14ac:dyDescent="0.35">
      <c r="A7426">
        <v>7425</v>
      </c>
      <c r="B7426" t="s">
        <v>20</v>
      </c>
      <c r="C7426">
        <v>42</v>
      </c>
      <c r="D7426" t="s">
        <v>25</v>
      </c>
      <c r="E7426" t="s">
        <v>24</v>
      </c>
      <c r="F7426">
        <v>98</v>
      </c>
      <c r="G7426">
        <v>48</v>
      </c>
      <c r="H7426">
        <v>0.27</v>
      </c>
      <c r="I7426" t="s">
        <v>19</v>
      </c>
      <c r="J7426">
        <v>0</v>
      </c>
      <c r="K7426">
        <v>1</v>
      </c>
      <c r="L7426">
        <v>0</v>
      </c>
      <c r="M7426">
        <f>VLOOKUP(Table1[[#This Row],[subscription_type]],Plans!$A$1:$B$5,2,FALSE)</f>
        <v>4.99</v>
      </c>
      <c r="N7426">
        <f t="shared" ref="N7426:N7489" si="116">IF(L7426=1, M7426,0)</f>
        <v>0</v>
      </c>
    </row>
    <row r="7427" spans="1:14" x14ac:dyDescent="0.35">
      <c r="A7427">
        <v>7426</v>
      </c>
      <c r="B7427" t="s">
        <v>16</v>
      </c>
      <c r="C7427">
        <v>34</v>
      </c>
      <c r="D7427" t="s">
        <v>17</v>
      </c>
      <c r="E7427" t="s">
        <v>22</v>
      </c>
      <c r="F7427">
        <v>187</v>
      </c>
      <c r="G7427">
        <v>41</v>
      </c>
      <c r="H7427">
        <v>0.59</v>
      </c>
      <c r="I7427" t="s">
        <v>23</v>
      </c>
      <c r="J7427">
        <v>0</v>
      </c>
      <c r="K7427">
        <v>1</v>
      </c>
      <c r="L7427">
        <v>0</v>
      </c>
      <c r="M7427">
        <f>VLOOKUP(Table1[[#This Row],[subscription_type]],Plans!$A$1:$B$5,2,FALSE)</f>
        <v>9.99</v>
      </c>
      <c r="N7427">
        <f t="shared" si="116"/>
        <v>0</v>
      </c>
    </row>
    <row r="7428" spans="1:14" x14ac:dyDescent="0.35">
      <c r="A7428">
        <v>7427</v>
      </c>
      <c r="B7428" t="s">
        <v>20</v>
      </c>
      <c r="C7428">
        <v>47</v>
      </c>
      <c r="D7428" t="s">
        <v>27</v>
      </c>
      <c r="E7428" t="s">
        <v>22</v>
      </c>
      <c r="F7428">
        <v>153</v>
      </c>
      <c r="G7428">
        <v>56</v>
      </c>
      <c r="H7428">
        <v>0.03</v>
      </c>
      <c r="I7428" t="s">
        <v>19</v>
      </c>
      <c r="J7428">
        <v>0</v>
      </c>
      <c r="K7428">
        <v>1</v>
      </c>
      <c r="L7428">
        <v>1</v>
      </c>
      <c r="M7428">
        <f>VLOOKUP(Table1[[#This Row],[subscription_type]],Plans!$A$1:$B$5,2,FALSE)</f>
        <v>9.99</v>
      </c>
      <c r="N7428">
        <f t="shared" si="116"/>
        <v>9.99</v>
      </c>
    </row>
    <row r="7429" spans="1:14" x14ac:dyDescent="0.35">
      <c r="A7429">
        <v>7428</v>
      </c>
      <c r="B7429" t="s">
        <v>12</v>
      </c>
      <c r="C7429">
        <v>22</v>
      </c>
      <c r="D7429" t="s">
        <v>27</v>
      </c>
      <c r="E7429" t="s">
        <v>14</v>
      </c>
      <c r="F7429">
        <v>237</v>
      </c>
      <c r="G7429">
        <v>40</v>
      </c>
      <c r="H7429">
        <v>0.46</v>
      </c>
      <c r="I7429" t="s">
        <v>19</v>
      </c>
      <c r="J7429">
        <v>13</v>
      </c>
      <c r="K7429">
        <v>0</v>
      </c>
      <c r="L7429">
        <v>0</v>
      </c>
      <c r="M7429">
        <f>VLOOKUP(Table1[[#This Row],[subscription_type]],Plans!$A$1:$B$5,2,FALSE)</f>
        <v>0</v>
      </c>
      <c r="N7429">
        <f t="shared" si="116"/>
        <v>0</v>
      </c>
    </row>
    <row r="7430" spans="1:14" x14ac:dyDescent="0.35">
      <c r="A7430">
        <v>7429</v>
      </c>
      <c r="B7430" t="s">
        <v>16</v>
      </c>
      <c r="C7430">
        <v>33</v>
      </c>
      <c r="D7430" t="s">
        <v>28</v>
      </c>
      <c r="E7430" t="s">
        <v>18</v>
      </c>
      <c r="F7430">
        <v>52</v>
      </c>
      <c r="G7430">
        <v>72</v>
      </c>
      <c r="H7430">
        <v>0.5</v>
      </c>
      <c r="I7430" t="s">
        <v>19</v>
      </c>
      <c r="J7430">
        <v>0</v>
      </c>
      <c r="K7430">
        <v>1</v>
      </c>
      <c r="L7430">
        <v>0</v>
      </c>
      <c r="M7430">
        <f>VLOOKUP(Table1[[#This Row],[subscription_type]],Plans!$A$1:$B$5,2,FALSE)</f>
        <v>14.99</v>
      </c>
      <c r="N7430">
        <f t="shared" si="116"/>
        <v>0</v>
      </c>
    </row>
    <row r="7431" spans="1:14" x14ac:dyDescent="0.35">
      <c r="A7431">
        <v>7430</v>
      </c>
      <c r="B7431" t="s">
        <v>12</v>
      </c>
      <c r="C7431">
        <v>41</v>
      </c>
      <c r="D7431" t="s">
        <v>21</v>
      </c>
      <c r="E7431" t="s">
        <v>18</v>
      </c>
      <c r="F7431">
        <v>84</v>
      </c>
      <c r="G7431">
        <v>13</v>
      </c>
      <c r="H7431">
        <v>0.44</v>
      </c>
      <c r="I7431" t="s">
        <v>19</v>
      </c>
      <c r="J7431">
        <v>0</v>
      </c>
      <c r="K7431">
        <v>1</v>
      </c>
      <c r="L7431">
        <v>0</v>
      </c>
      <c r="M7431">
        <f>VLOOKUP(Table1[[#This Row],[subscription_type]],Plans!$A$1:$B$5,2,FALSE)</f>
        <v>14.99</v>
      </c>
      <c r="N7431">
        <f t="shared" si="116"/>
        <v>0</v>
      </c>
    </row>
    <row r="7432" spans="1:14" x14ac:dyDescent="0.35">
      <c r="A7432">
        <v>7431</v>
      </c>
      <c r="B7432" t="s">
        <v>12</v>
      </c>
      <c r="C7432">
        <v>26</v>
      </c>
      <c r="D7432" t="s">
        <v>13</v>
      </c>
      <c r="E7432" t="s">
        <v>14</v>
      </c>
      <c r="F7432">
        <v>209</v>
      </c>
      <c r="G7432">
        <v>41</v>
      </c>
      <c r="H7432">
        <v>0.59</v>
      </c>
      <c r="I7432" t="s">
        <v>19</v>
      </c>
      <c r="J7432">
        <v>45</v>
      </c>
      <c r="K7432">
        <v>0</v>
      </c>
      <c r="L7432">
        <v>1</v>
      </c>
      <c r="M7432">
        <f>VLOOKUP(Table1[[#This Row],[subscription_type]],Plans!$A$1:$B$5,2,FALSE)</f>
        <v>0</v>
      </c>
      <c r="N7432">
        <f t="shared" si="116"/>
        <v>0</v>
      </c>
    </row>
    <row r="7433" spans="1:14" x14ac:dyDescent="0.35">
      <c r="A7433">
        <v>7432</v>
      </c>
      <c r="B7433" t="s">
        <v>20</v>
      </c>
      <c r="C7433">
        <v>37</v>
      </c>
      <c r="D7433" t="s">
        <v>26</v>
      </c>
      <c r="E7433" t="s">
        <v>24</v>
      </c>
      <c r="F7433">
        <v>264</v>
      </c>
      <c r="G7433">
        <v>40</v>
      </c>
      <c r="H7433">
        <v>0.35</v>
      </c>
      <c r="I7433" t="s">
        <v>23</v>
      </c>
      <c r="J7433">
        <v>0</v>
      </c>
      <c r="K7433">
        <v>1</v>
      </c>
      <c r="L7433">
        <v>1</v>
      </c>
      <c r="M7433">
        <f>VLOOKUP(Table1[[#This Row],[subscription_type]],Plans!$A$1:$B$5,2,FALSE)</f>
        <v>4.99</v>
      </c>
      <c r="N7433">
        <f t="shared" si="116"/>
        <v>4.99</v>
      </c>
    </row>
    <row r="7434" spans="1:14" x14ac:dyDescent="0.35">
      <c r="A7434">
        <v>7433</v>
      </c>
      <c r="B7434" t="s">
        <v>16</v>
      </c>
      <c r="C7434">
        <v>28</v>
      </c>
      <c r="D7434" t="s">
        <v>13</v>
      </c>
      <c r="E7434" t="s">
        <v>18</v>
      </c>
      <c r="F7434">
        <v>185</v>
      </c>
      <c r="G7434">
        <v>45</v>
      </c>
      <c r="H7434">
        <v>0.3</v>
      </c>
      <c r="I7434" t="s">
        <v>19</v>
      </c>
      <c r="J7434">
        <v>0</v>
      </c>
      <c r="K7434">
        <v>1</v>
      </c>
      <c r="L7434">
        <v>0</v>
      </c>
      <c r="M7434">
        <f>VLOOKUP(Table1[[#This Row],[subscription_type]],Plans!$A$1:$B$5,2,FALSE)</f>
        <v>14.99</v>
      </c>
      <c r="N7434">
        <f t="shared" si="116"/>
        <v>0</v>
      </c>
    </row>
    <row r="7435" spans="1:14" x14ac:dyDescent="0.35">
      <c r="A7435">
        <v>7434</v>
      </c>
      <c r="B7435" t="s">
        <v>16</v>
      </c>
      <c r="C7435">
        <v>58</v>
      </c>
      <c r="D7435" t="s">
        <v>21</v>
      </c>
      <c r="E7435" t="s">
        <v>22</v>
      </c>
      <c r="F7435">
        <v>171</v>
      </c>
      <c r="G7435">
        <v>97</v>
      </c>
      <c r="H7435">
        <v>0.03</v>
      </c>
      <c r="I7435" t="s">
        <v>19</v>
      </c>
      <c r="J7435">
        <v>0</v>
      </c>
      <c r="K7435">
        <v>1</v>
      </c>
      <c r="L7435">
        <v>0</v>
      </c>
      <c r="M7435">
        <f>VLOOKUP(Table1[[#This Row],[subscription_type]],Plans!$A$1:$B$5,2,FALSE)</f>
        <v>9.99</v>
      </c>
      <c r="N7435">
        <f t="shared" si="116"/>
        <v>0</v>
      </c>
    </row>
    <row r="7436" spans="1:14" x14ac:dyDescent="0.35">
      <c r="A7436">
        <v>7435</v>
      </c>
      <c r="B7436" t="s">
        <v>20</v>
      </c>
      <c r="C7436">
        <v>18</v>
      </c>
      <c r="D7436" t="s">
        <v>25</v>
      </c>
      <c r="E7436" t="s">
        <v>24</v>
      </c>
      <c r="F7436">
        <v>174</v>
      </c>
      <c r="G7436">
        <v>1</v>
      </c>
      <c r="H7436">
        <v>0.3</v>
      </c>
      <c r="I7436" t="s">
        <v>19</v>
      </c>
      <c r="J7436">
        <v>0</v>
      </c>
      <c r="K7436">
        <v>1</v>
      </c>
      <c r="L7436">
        <v>0</v>
      </c>
      <c r="M7436">
        <f>VLOOKUP(Table1[[#This Row],[subscription_type]],Plans!$A$1:$B$5,2,FALSE)</f>
        <v>4.99</v>
      </c>
      <c r="N7436">
        <f t="shared" si="116"/>
        <v>0</v>
      </c>
    </row>
    <row r="7437" spans="1:14" x14ac:dyDescent="0.35">
      <c r="A7437">
        <v>7436</v>
      </c>
      <c r="B7437" t="s">
        <v>20</v>
      </c>
      <c r="C7437">
        <v>16</v>
      </c>
      <c r="D7437" t="s">
        <v>13</v>
      </c>
      <c r="E7437" t="s">
        <v>14</v>
      </c>
      <c r="F7437">
        <v>164</v>
      </c>
      <c r="G7437">
        <v>82</v>
      </c>
      <c r="H7437">
        <v>0.56999999999999995</v>
      </c>
      <c r="I7437" t="s">
        <v>15</v>
      </c>
      <c r="J7437">
        <v>21</v>
      </c>
      <c r="K7437">
        <v>0</v>
      </c>
      <c r="L7437">
        <v>0</v>
      </c>
      <c r="M7437">
        <f>VLOOKUP(Table1[[#This Row],[subscription_type]],Plans!$A$1:$B$5,2,FALSE)</f>
        <v>0</v>
      </c>
      <c r="N7437">
        <f t="shared" si="116"/>
        <v>0</v>
      </c>
    </row>
    <row r="7438" spans="1:14" x14ac:dyDescent="0.35">
      <c r="A7438">
        <v>7437</v>
      </c>
      <c r="B7438" t="s">
        <v>16</v>
      </c>
      <c r="C7438">
        <v>54</v>
      </c>
      <c r="D7438" t="s">
        <v>27</v>
      </c>
      <c r="E7438" t="s">
        <v>22</v>
      </c>
      <c r="F7438">
        <v>240</v>
      </c>
      <c r="G7438">
        <v>77</v>
      </c>
      <c r="H7438">
        <v>0.25</v>
      </c>
      <c r="I7438" t="s">
        <v>23</v>
      </c>
      <c r="J7438">
        <v>0</v>
      </c>
      <c r="K7438">
        <v>1</v>
      </c>
      <c r="L7438">
        <v>0</v>
      </c>
      <c r="M7438">
        <f>VLOOKUP(Table1[[#This Row],[subscription_type]],Plans!$A$1:$B$5,2,FALSE)</f>
        <v>9.99</v>
      </c>
      <c r="N7438">
        <f t="shared" si="116"/>
        <v>0</v>
      </c>
    </row>
    <row r="7439" spans="1:14" x14ac:dyDescent="0.35">
      <c r="A7439">
        <v>7438</v>
      </c>
      <c r="B7439" t="s">
        <v>20</v>
      </c>
      <c r="C7439">
        <v>48</v>
      </c>
      <c r="D7439" t="s">
        <v>28</v>
      </c>
      <c r="E7439" t="s">
        <v>14</v>
      </c>
      <c r="F7439">
        <v>162</v>
      </c>
      <c r="G7439">
        <v>68</v>
      </c>
      <c r="H7439">
        <v>0.39</v>
      </c>
      <c r="I7439" t="s">
        <v>15</v>
      </c>
      <c r="J7439">
        <v>44</v>
      </c>
      <c r="K7439">
        <v>0</v>
      </c>
      <c r="L7439">
        <v>0</v>
      </c>
      <c r="M7439">
        <f>VLOOKUP(Table1[[#This Row],[subscription_type]],Plans!$A$1:$B$5,2,FALSE)</f>
        <v>0</v>
      </c>
      <c r="N7439">
        <f t="shared" si="116"/>
        <v>0</v>
      </c>
    </row>
    <row r="7440" spans="1:14" x14ac:dyDescent="0.35">
      <c r="A7440">
        <v>7439</v>
      </c>
      <c r="B7440" t="s">
        <v>20</v>
      </c>
      <c r="C7440">
        <v>21</v>
      </c>
      <c r="D7440" t="s">
        <v>27</v>
      </c>
      <c r="E7440" t="s">
        <v>22</v>
      </c>
      <c r="F7440">
        <v>154</v>
      </c>
      <c r="G7440">
        <v>96</v>
      </c>
      <c r="H7440">
        <v>0.25</v>
      </c>
      <c r="I7440" t="s">
        <v>23</v>
      </c>
      <c r="J7440">
        <v>0</v>
      </c>
      <c r="K7440">
        <v>1</v>
      </c>
      <c r="L7440">
        <v>0</v>
      </c>
      <c r="M7440">
        <f>VLOOKUP(Table1[[#This Row],[subscription_type]],Plans!$A$1:$B$5,2,FALSE)</f>
        <v>9.99</v>
      </c>
      <c r="N7440">
        <f t="shared" si="116"/>
        <v>0</v>
      </c>
    </row>
    <row r="7441" spans="1:14" x14ac:dyDescent="0.35">
      <c r="A7441">
        <v>7440</v>
      </c>
      <c r="B7441" t="s">
        <v>16</v>
      </c>
      <c r="C7441">
        <v>26</v>
      </c>
      <c r="D7441" t="s">
        <v>27</v>
      </c>
      <c r="E7441" t="s">
        <v>14</v>
      </c>
      <c r="F7441">
        <v>32</v>
      </c>
      <c r="G7441">
        <v>58</v>
      </c>
      <c r="H7441">
        <v>0.01</v>
      </c>
      <c r="I7441" t="s">
        <v>19</v>
      </c>
      <c r="J7441">
        <v>42</v>
      </c>
      <c r="K7441">
        <v>0</v>
      </c>
      <c r="L7441">
        <v>0</v>
      </c>
      <c r="M7441">
        <f>VLOOKUP(Table1[[#This Row],[subscription_type]],Plans!$A$1:$B$5,2,FALSE)</f>
        <v>0</v>
      </c>
      <c r="N7441">
        <f t="shared" si="116"/>
        <v>0</v>
      </c>
    </row>
    <row r="7442" spans="1:14" x14ac:dyDescent="0.35">
      <c r="A7442">
        <v>7441</v>
      </c>
      <c r="B7442" t="s">
        <v>20</v>
      </c>
      <c r="C7442">
        <v>24</v>
      </c>
      <c r="D7442" t="s">
        <v>13</v>
      </c>
      <c r="E7442" t="s">
        <v>18</v>
      </c>
      <c r="F7442">
        <v>283</v>
      </c>
      <c r="G7442">
        <v>75</v>
      </c>
      <c r="H7442">
        <v>0.11</v>
      </c>
      <c r="I7442" t="s">
        <v>15</v>
      </c>
      <c r="J7442">
        <v>0</v>
      </c>
      <c r="K7442">
        <v>1</v>
      </c>
      <c r="L7442">
        <v>1</v>
      </c>
      <c r="M7442">
        <f>VLOOKUP(Table1[[#This Row],[subscription_type]],Plans!$A$1:$B$5,2,FALSE)</f>
        <v>14.99</v>
      </c>
      <c r="N7442">
        <f t="shared" si="116"/>
        <v>14.99</v>
      </c>
    </row>
    <row r="7443" spans="1:14" x14ac:dyDescent="0.35">
      <c r="A7443">
        <v>7442</v>
      </c>
      <c r="B7443" t="s">
        <v>20</v>
      </c>
      <c r="C7443">
        <v>49</v>
      </c>
      <c r="D7443" t="s">
        <v>26</v>
      </c>
      <c r="E7443" t="s">
        <v>18</v>
      </c>
      <c r="F7443">
        <v>252</v>
      </c>
      <c r="G7443">
        <v>91</v>
      </c>
      <c r="H7443">
        <v>0.26</v>
      </c>
      <c r="I7443" t="s">
        <v>23</v>
      </c>
      <c r="J7443">
        <v>0</v>
      </c>
      <c r="K7443">
        <v>1</v>
      </c>
      <c r="L7443">
        <v>0</v>
      </c>
      <c r="M7443">
        <f>VLOOKUP(Table1[[#This Row],[subscription_type]],Plans!$A$1:$B$5,2,FALSE)</f>
        <v>14.99</v>
      </c>
      <c r="N7443">
        <f t="shared" si="116"/>
        <v>0</v>
      </c>
    </row>
    <row r="7444" spans="1:14" x14ac:dyDescent="0.35">
      <c r="A7444">
        <v>7443</v>
      </c>
      <c r="B7444" t="s">
        <v>20</v>
      </c>
      <c r="C7444">
        <v>57</v>
      </c>
      <c r="D7444" t="s">
        <v>28</v>
      </c>
      <c r="E7444" t="s">
        <v>24</v>
      </c>
      <c r="F7444">
        <v>75</v>
      </c>
      <c r="G7444">
        <v>7</v>
      </c>
      <c r="H7444">
        <v>0.21</v>
      </c>
      <c r="I7444" t="s">
        <v>23</v>
      </c>
      <c r="J7444">
        <v>0</v>
      </c>
      <c r="K7444">
        <v>1</v>
      </c>
      <c r="L7444">
        <v>0</v>
      </c>
      <c r="M7444">
        <f>VLOOKUP(Table1[[#This Row],[subscription_type]],Plans!$A$1:$B$5,2,FALSE)</f>
        <v>4.99</v>
      </c>
      <c r="N7444">
        <f t="shared" si="116"/>
        <v>0</v>
      </c>
    </row>
    <row r="7445" spans="1:14" x14ac:dyDescent="0.35">
      <c r="A7445">
        <v>7444</v>
      </c>
      <c r="B7445" t="s">
        <v>20</v>
      </c>
      <c r="C7445">
        <v>22</v>
      </c>
      <c r="D7445" t="s">
        <v>29</v>
      </c>
      <c r="E7445" t="s">
        <v>18</v>
      </c>
      <c r="F7445">
        <v>59</v>
      </c>
      <c r="G7445">
        <v>54</v>
      </c>
      <c r="H7445">
        <v>0.03</v>
      </c>
      <c r="I7445" t="s">
        <v>15</v>
      </c>
      <c r="J7445">
        <v>0</v>
      </c>
      <c r="K7445">
        <v>1</v>
      </c>
      <c r="L7445">
        <v>0</v>
      </c>
      <c r="M7445">
        <f>VLOOKUP(Table1[[#This Row],[subscription_type]],Plans!$A$1:$B$5,2,FALSE)</f>
        <v>14.99</v>
      </c>
      <c r="N7445">
        <f t="shared" si="116"/>
        <v>0</v>
      </c>
    </row>
    <row r="7446" spans="1:14" x14ac:dyDescent="0.35">
      <c r="A7446">
        <v>7445</v>
      </c>
      <c r="B7446" t="s">
        <v>12</v>
      </c>
      <c r="C7446">
        <v>23</v>
      </c>
      <c r="D7446" t="s">
        <v>26</v>
      </c>
      <c r="E7446" t="s">
        <v>22</v>
      </c>
      <c r="F7446">
        <v>221</v>
      </c>
      <c r="G7446">
        <v>41</v>
      </c>
      <c r="H7446">
        <v>0.3</v>
      </c>
      <c r="I7446" t="s">
        <v>15</v>
      </c>
      <c r="J7446">
        <v>0</v>
      </c>
      <c r="K7446">
        <v>1</v>
      </c>
      <c r="L7446">
        <v>0</v>
      </c>
      <c r="M7446">
        <f>VLOOKUP(Table1[[#This Row],[subscription_type]],Plans!$A$1:$B$5,2,FALSE)</f>
        <v>9.99</v>
      </c>
      <c r="N7446">
        <f t="shared" si="116"/>
        <v>0</v>
      </c>
    </row>
    <row r="7447" spans="1:14" x14ac:dyDescent="0.35">
      <c r="A7447">
        <v>7446</v>
      </c>
      <c r="B7447" t="s">
        <v>20</v>
      </c>
      <c r="C7447">
        <v>16</v>
      </c>
      <c r="D7447" t="s">
        <v>17</v>
      </c>
      <c r="E7447" t="s">
        <v>18</v>
      </c>
      <c r="F7447">
        <v>238</v>
      </c>
      <c r="G7447">
        <v>1</v>
      </c>
      <c r="H7447">
        <v>0.09</v>
      </c>
      <c r="I7447" t="s">
        <v>15</v>
      </c>
      <c r="J7447">
        <v>0</v>
      </c>
      <c r="K7447">
        <v>1</v>
      </c>
      <c r="L7447">
        <v>0</v>
      </c>
      <c r="M7447">
        <f>VLOOKUP(Table1[[#This Row],[subscription_type]],Plans!$A$1:$B$5,2,FALSE)</f>
        <v>14.99</v>
      </c>
      <c r="N7447">
        <f t="shared" si="116"/>
        <v>0</v>
      </c>
    </row>
    <row r="7448" spans="1:14" x14ac:dyDescent="0.35">
      <c r="A7448">
        <v>7447</v>
      </c>
      <c r="B7448" t="s">
        <v>12</v>
      </c>
      <c r="C7448">
        <v>57</v>
      </c>
      <c r="D7448" t="s">
        <v>26</v>
      </c>
      <c r="E7448" t="s">
        <v>24</v>
      </c>
      <c r="F7448">
        <v>249</v>
      </c>
      <c r="G7448">
        <v>52</v>
      </c>
      <c r="H7448">
        <v>0.31</v>
      </c>
      <c r="I7448" t="s">
        <v>19</v>
      </c>
      <c r="J7448">
        <v>0</v>
      </c>
      <c r="K7448">
        <v>1</v>
      </c>
      <c r="L7448">
        <v>0</v>
      </c>
      <c r="M7448">
        <f>VLOOKUP(Table1[[#This Row],[subscription_type]],Plans!$A$1:$B$5,2,FALSE)</f>
        <v>4.99</v>
      </c>
      <c r="N7448">
        <f t="shared" si="116"/>
        <v>0</v>
      </c>
    </row>
    <row r="7449" spans="1:14" x14ac:dyDescent="0.35">
      <c r="A7449">
        <v>7448</v>
      </c>
      <c r="B7449" t="s">
        <v>12</v>
      </c>
      <c r="C7449">
        <v>50</v>
      </c>
      <c r="D7449" t="s">
        <v>28</v>
      </c>
      <c r="E7449" t="s">
        <v>24</v>
      </c>
      <c r="F7449">
        <v>66</v>
      </c>
      <c r="G7449">
        <v>91</v>
      </c>
      <c r="H7449">
        <v>0.38</v>
      </c>
      <c r="I7449" t="s">
        <v>15</v>
      </c>
      <c r="J7449">
        <v>0</v>
      </c>
      <c r="K7449">
        <v>1</v>
      </c>
      <c r="L7449">
        <v>0</v>
      </c>
      <c r="M7449">
        <f>VLOOKUP(Table1[[#This Row],[subscription_type]],Plans!$A$1:$B$5,2,FALSE)</f>
        <v>4.99</v>
      </c>
      <c r="N7449">
        <f t="shared" si="116"/>
        <v>0</v>
      </c>
    </row>
    <row r="7450" spans="1:14" x14ac:dyDescent="0.35">
      <c r="A7450">
        <v>7449</v>
      </c>
      <c r="B7450" t="s">
        <v>16</v>
      </c>
      <c r="C7450">
        <v>31</v>
      </c>
      <c r="D7450" t="s">
        <v>21</v>
      </c>
      <c r="E7450" t="s">
        <v>14</v>
      </c>
      <c r="F7450">
        <v>112</v>
      </c>
      <c r="G7450">
        <v>17</v>
      </c>
      <c r="H7450">
        <v>0.37</v>
      </c>
      <c r="I7450" t="s">
        <v>19</v>
      </c>
      <c r="J7450">
        <v>42</v>
      </c>
      <c r="K7450">
        <v>0</v>
      </c>
      <c r="L7450">
        <v>0</v>
      </c>
      <c r="M7450">
        <f>VLOOKUP(Table1[[#This Row],[subscription_type]],Plans!$A$1:$B$5,2,FALSE)</f>
        <v>0</v>
      </c>
      <c r="N7450">
        <f t="shared" si="116"/>
        <v>0</v>
      </c>
    </row>
    <row r="7451" spans="1:14" x14ac:dyDescent="0.35">
      <c r="A7451">
        <v>7450</v>
      </c>
      <c r="B7451" t="s">
        <v>12</v>
      </c>
      <c r="C7451">
        <v>44</v>
      </c>
      <c r="D7451" t="s">
        <v>26</v>
      </c>
      <c r="E7451" t="s">
        <v>14</v>
      </c>
      <c r="F7451">
        <v>115</v>
      </c>
      <c r="G7451">
        <v>54</v>
      </c>
      <c r="H7451">
        <v>0.49</v>
      </c>
      <c r="I7451" t="s">
        <v>19</v>
      </c>
      <c r="J7451">
        <v>8</v>
      </c>
      <c r="K7451">
        <v>0</v>
      </c>
      <c r="L7451">
        <v>1</v>
      </c>
      <c r="M7451">
        <f>VLOOKUP(Table1[[#This Row],[subscription_type]],Plans!$A$1:$B$5,2,FALSE)</f>
        <v>0</v>
      </c>
      <c r="N7451">
        <f t="shared" si="116"/>
        <v>0</v>
      </c>
    </row>
    <row r="7452" spans="1:14" x14ac:dyDescent="0.35">
      <c r="A7452">
        <v>7451</v>
      </c>
      <c r="B7452" t="s">
        <v>12</v>
      </c>
      <c r="C7452">
        <v>41</v>
      </c>
      <c r="D7452" t="s">
        <v>28</v>
      </c>
      <c r="E7452" t="s">
        <v>24</v>
      </c>
      <c r="F7452">
        <v>67</v>
      </c>
      <c r="G7452">
        <v>79</v>
      </c>
      <c r="H7452">
        <v>0.14000000000000001</v>
      </c>
      <c r="I7452" t="s">
        <v>23</v>
      </c>
      <c r="J7452">
        <v>0</v>
      </c>
      <c r="K7452">
        <v>1</v>
      </c>
      <c r="L7452">
        <v>0</v>
      </c>
      <c r="M7452">
        <f>VLOOKUP(Table1[[#This Row],[subscription_type]],Plans!$A$1:$B$5,2,FALSE)</f>
        <v>4.99</v>
      </c>
      <c r="N7452">
        <f t="shared" si="116"/>
        <v>0</v>
      </c>
    </row>
    <row r="7453" spans="1:14" x14ac:dyDescent="0.35">
      <c r="A7453">
        <v>7452</v>
      </c>
      <c r="B7453" t="s">
        <v>20</v>
      </c>
      <c r="C7453">
        <v>22</v>
      </c>
      <c r="D7453" t="s">
        <v>29</v>
      </c>
      <c r="E7453" t="s">
        <v>22</v>
      </c>
      <c r="F7453">
        <v>143</v>
      </c>
      <c r="G7453">
        <v>3</v>
      </c>
      <c r="H7453">
        <v>0.54</v>
      </c>
      <c r="I7453" t="s">
        <v>23</v>
      </c>
      <c r="J7453">
        <v>0</v>
      </c>
      <c r="K7453">
        <v>1</v>
      </c>
      <c r="L7453">
        <v>0</v>
      </c>
      <c r="M7453">
        <f>VLOOKUP(Table1[[#This Row],[subscription_type]],Plans!$A$1:$B$5,2,FALSE)</f>
        <v>9.99</v>
      </c>
      <c r="N7453">
        <f t="shared" si="116"/>
        <v>0</v>
      </c>
    </row>
    <row r="7454" spans="1:14" x14ac:dyDescent="0.35">
      <c r="A7454">
        <v>7453</v>
      </c>
      <c r="B7454" t="s">
        <v>12</v>
      </c>
      <c r="C7454">
        <v>36</v>
      </c>
      <c r="D7454" t="s">
        <v>21</v>
      </c>
      <c r="E7454" t="s">
        <v>22</v>
      </c>
      <c r="F7454">
        <v>131</v>
      </c>
      <c r="G7454">
        <v>46</v>
      </c>
      <c r="H7454">
        <v>0.32</v>
      </c>
      <c r="I7454" t="s">
        <v>23</v>
      </c>
      <c r="J7454">
        <v>0</v>
      </c>
      <c r="K7454">
        <v>1</v>
      </c>
      <c r="L7454">
        <v>0</v>
      </c>
      <c r="M7454">
        <f>VLOOKUP(Table1[[#This Row],[subscription_type]],Plans!$A$1:$B$5,2,FALSE)</f>
        <v>9.99</v>
      </c>
      <c r="N7454">
        <f t="shared" si="116"/>
        <v>0</v>
      </c>
    </row>
    <row r="7455" spans="1:14" x14ac:dyDescent="0.35">
      <c r="A7455">
        <v>7454</v>
      </c>
      <c r="B7455" t="s">
        <v>12</v>
      </c>
      <c r="C7455">
        <v>55</v>
      </c>
      <c r="D7455" t="s">
        <v>28</v>
      </c>
      <c r="E7455" t="s">
        <v>24</v>
      </c>
      <c r="F7455">
        <v>112</v>
      </c>
      <c r="G7455">
        <v>44</v>
      </c>
      <c r="H7455">
        <v>0.03</v>
      </c>
      <c r="I7455" t="s">
        <v>19</v>
      </c>
      <c r="J7455">
        <v>0</v>
      </c>
      <c r="K7455">
        <v>1</v>
      </c>
      <c r="L7455">
        <v>0</v>
      </c>
      <c r="M7455">
        <f>VLOOKUP(Table1[[#This Row],[subscription_type]],Plans!$A$1:$B$5,2,FALSE)</f>
        <v>4.99</v>
      </c>
      <c r="N7455">
        <f t="shared" si="116"/>
        <v>0</v>
      </c>
    </row>
    <row r="7456" spans="1:14" x14ac:dyDescent="0.35">
      <c r="A7456">
        <v>7455</v>
      </c>
      <c r="B7456" t="s">
        <v>16</v>
      </c>
      <c r="C7456">
        <v>27</v>
      </c>
      <c r="D7456" t="s">
        <v>13</v>
      </c>
      <c r="E7456" t="s">
        <v>24</v>
      </c>
      <c r="F7456">
        <v>167</v>
      </c>
      <c r="G7456">
        <v>87</v>
      </c>
      <c r="H7456">
        <v>0.55000000000000004</v>
      </c>
      <c r="I7456" t="s">
        <v>19</v>
      </c>
      <c r="J7456">
        <v>0</v>
      </c>
      <c r="K7456">
        <v>1</v>
      </c>
      <c r="L7456">
        <v>0</v>
      </c>
      <c r="M7456">
        <f>VLOOKUP(Table1[[#This Row],[subscription_type]],Plans!$A$1:$B$5,2,FALSE)</f>
        <v>4.99</v>
      </c>
      <c r="N7456">
        <f t="shared" si="116"/>
        <v>0</v>
      </c>
    </row>
    <row r="7457" spans="1:14" x14ac:dyDescent="0.35">
      <c r="A7457">
        <v>7456</v>
      </c>
      <c r="B7457" t="s">
        <v>12</v>
      </c>
      <c r="C7457">
        <v>23</v>
      </c>
      <c r="D7457" t="s">
        <v>27</v>
      </c>
      <c r="E7457" t="s">
        <v>24</v>
      </c>
      <c r="F7457">
        <v>265</v>
      </c>
      <c r="G7457">
        <v>4</v>
      </c>
      <c r="H7457">
        <v>0.47</v>
      </c>
      <c r="I7457" t="s">
        <v>19</v>
      </c>
      <c r="J7457">
        <v>0</v>
      </c>
      <c r="K7457">
        <v>1</v>
      </c>
      <c r="L7457">
        <v>1</v>
      </c>
      <c r="M7457">
        <f>VLOOKUP(Table1[[#This Row],[subscription_type]],Plans!$A$1:$B$5,2,FALSE)</f>
        <v>4.99</v>
      </c>
      <c r="N7457">
        <f t="shared" si="116"/>
        <v>4.99</v>
      </c>
    </row>
    <row r="7458" spans="1:14" x14ac:dyDescent="0.35">
      <c r="A7458">
        <v>7457</v>
      </c>
      <c r="B7458" t="s">
        <v>16</v>
      </c>
      <c r="C7458">
        <v>53</v>
      </c>
      <c r="D7458" t="s">
        <v>17</v>
      </c>
      <c r="E7458" t="s">
        <v>18</v>
      </c>
      <c r="F7458">
        <v>154</v>
      </c>
      <c r="G7458">
        <v>13</v>
      </c>
      <c r="H7458">
        <v>0.21</v>
      </c>
      <c r="I7458" t="s">
        <v>19</v>
      </c>
      <c r="J7458">
        <v>0</v>
      </c>
      <c r="K7458">
        <v>1</v>
      </c>
      <c r="L7458">
        <v>0</v>
      </c>
      <c r="M7458">
        <f>VLOOKUP(Table1[[#This Row],[subscription_type]],Plans!$A$1:$B$5,2,FALSE)</f>
        <v>14.99</v>
      </c>
      <c r="N7458">
        <f t="shared" si="116"/>
        <v>0</v>
      </c>
    </row>
    <row r="7459" spans="1:14" x14ac:dyDescent="0.35">
      <c r="A7459">
        <v>7458</v>
      </c>
      <c r="B7459" t="s">
        <v>20</v>
      </c>
      <c r="C7459">
        <v>19</v>
      </c>
      <c r="D7459" t="s">
        <v>17</v>
      </c>
      <c r="E7459" t="s">
        <v>24</v>
      </c>
      <c r="F7459">
        <v>57</v>
      </c>
      <c r="G7459">
        <v>73</v>
      </c>
      <c r="H7459">
        <v>0.5</v>
      </c>
      <c r="I7459" t="s">
        <v>15</v>
      </c>
      <c r="J7459">
        <v>0</v>
      </c>
      <c r="K7459">
        <v>1</v>
      </c>
      <c r="L7459">
        <v>0</v>
      </c>
      <c r="M7459">
        <f>VLOOKUP(Table1[[#This Row],[subscription_type]],Plans!$A$1:$B$5,2,FALSE)</f>
        <v>4.99</v>
      </c>
      <c r="N7459">
        <f t="shared" si="116"/>
        <v>0</v>
      </c>
    </row>
    <row r="7460" spans="1:14" x14ac:dyDescent="0.35">
      <c r="A7460">
        <v>7459</v>
      </c>
      <c r="B7460" t="s">
        <v>20</v>
      </c>
      <c r="C7460">
        <v>35</v>
      </c>
      <c r="D7460" t="s">
        <v>21</v>
      </c>
      <c r="E7460" t="s">
        <v>24</v>
      </c>
      <c r="F7460">
        <v>285</v>
      </c>
      <c r="G7460">
        <v>83</v>
      </c>
      <c r="H7460">
        <v>0.39</v>
      </c>
      <c r="I7460" t="s">
        <v>15</v>
      </c>
      <c r="J7460">
        <v>0</v>
      </c>
      <c r="K7460">
        <v>1</v>
      </c>
      <c r="L7460">
        <v>1</v>
      </c>
      <c r="M7460">
        <f>VLOOKUP(Table1[[#This Row],[subscription_type]],Plans!$A$1:$B$5,2,FALSE)</f>
        <v>4.99</v>
      </c>
      <c r="N7460">
        <f t="shared" si="116"/>
        <v>4.99</v>
      </c>
    </row>
    <row r="7461" spans="1:14" x14ac:dyDescent="0.35">
      <c r="A7461">
        <v>7460</v>
      </c>
      <c r="B7461" t="s">
        <v>12</v>
      </c>
      <c r="C7461">
        <v>31</v>
      </c>
      <c r="D7461" t="s">
        <v>27</v>
      </c>
      <c r="E7461" t="s">
        <v>14</v>
      </c>
      <c r="F7461">
        <v>123</v>
      </c>
      <c r="G7461">
        <v>60</v>
      </c>
      <c r="H7461">
        <v>0.17</v>
      </c>
      <c r="I7461" t="s">
        <v>19</v>
      </c>
      <c r="J7461">
        <v>17</v>
      </c>
      <c r="K7461">
        <v>0</v>
      </c>
      <c r="L7461">
        <v>0</v>
      </c>
      <c r="M7461">
        <f>VLOOKUP(Table1[[#This Row],[subscription_type]],Plans!$A$1:$B$5,2,FALSE)</f>
        <v>0</v>
      </c>
      <c r="N7461">
        <f t="shared" si="116"/>
        <v>0</v>
      </c>
    </row>
    <row r="7462" spans="1:14" x14ac:dyDescent="0.35">
      <c r="A7462">
        <v>7461</v>
      </c>
      <c r="B7462" t="s">
        <v>12</v>
      </c>
      <c r="C7462">
        <v>42</v>
      </c>
      <c r="D7462" t="s">
        <v>25</v>
      </c>
      <c r="E7462" t="s">
        <v>14</v>
      </c>
      <c r="F7462">
        <v>140</v>
      </c>
      <c r="G7462">
        <v>20</v>
      </c>
      <c r="H7462">
        <v>0.37</v>
      </c>
      <c r="I7462" t="s">
        <v>15</v>
      </c>
      <c r="J7462">
        <v>35</v>
      </c>
      <c r="K7462">
        <v>0</v>
      </c>
      <c r="L7462">
        <v>0</v>
      </c>
      <c r="M7462">
        <f>VLOOKUP(Table1[[#This Row],[subscription_type]],Plans!$A$1:$B$5,2,FALSE)</f>
        <v>0</v>
      </c>
      <c r="N7462">
        <f t="shared" si="116"/>
        <v>0</v>
      </c>
    </row>
    <row r="7463" spans="1:14" x14ac:dyDescent="0.35">
      <c r="A7463">
        <v>7462</v>
      </c>
      <c r="B7463" t="s">
        <v>12</v>
      </c>
      <c r="C7463">
        <v>35</v>
      </c>
      <c r="D7463" t="s">
        <v>29</v>
      </c>
      <c r="E7463" t="s">
        <v>14</v>
      </c>
      <c r="F7463">
        <v>178</v>
      </c>
      <c r="G7463">
        <v>31</v>
      </c>
      <c r="H7463">
        <v>0.59</v>
      </c>
      <c r="I7463" t="s">
        <v>19</v>
      </c>
      <c r="J7463">
        <v>36</v>
      </c>
      <c r="K7463">
        <v>0</v>
      </c>
      <c r="L7463">
        <v>0</v>
      </c>
      <c r="M7463">
        <f>VLOOKUP(Table1[[#This Row],[subscription_type]],Plans!$A$1:$B$5,2,FALSE)</f>
        <v>0</v>
      </c>
      <c r="N7463">
        <f t="shared" si="116"/>
        <v>0</v>
      </c>
    </row>
    <row r="7464" spans="1:14" x14ac:dyDescent="0.35">
      <c r="A7464">
        <v>7463</v>
      </c>
      <c r="B7464" t="s">
        <v>16</v>
      </c>
      <c r="C7464">
        <v>35</v>
      </c>
      <c r="D7464" t="s">
        <v>28</v>
      </c>
      <c r="E7464" t="s">
        <v>18</v>
      </c>
      <c r="F7464">
        <v>27</v>
      </c>
      <c r="G7464">
        <v>68</v>
      </c>
      <c r="H7464">
        <v>0.25</v>
      </c>
      <c r="I7464" t="s">
        <v>23</v>
      </c>
      <c r="J7464">
        <v>0</v>
      </c>
      <c r="K7464">
        <v>1</v>
      </c>
      <c r="L7464">
        <v>0</v>
      </c>
      <c r="M7464">
        <f>VLOOKUP(Table1[[#This Row],[subscription_type]],Plans!$A$1:$B$5,2,FALSE)</f>
        <v>14.99</v>
      </c>
      <c r="N7464">
        <f t="shared" si="116"/>
        <v>0</v>
      </c>
    </row>
    <row r="7465" spans="1:14" x14ac:dyDescent="0.35">
      <c r="A7465">
        <v>7464</v>
      </c>
      <c r="B7465" t="s">
        <v>16</v>
      </c>
      <c r="C7465">
        <v>57</v>
      </c>
      <c r="D7465" t="s">
        <v>28</v>
      </c>
      <c r="E7465" t="s">
        <v>18</v>
      </c>
      <c r="F7465">
        <v>120</v>
      </c>
      <c r="G7465">
        <v>83</v>
      </c>
      <c r="H7465">
        <v>0.39</v>
      </c>
      <c r="I7465" t="s">
        <v>23</v>
      </c>
      <c r="J7465">
        <v>0</v>
      </c>
      <c r="K7465">
        <v>1</v>
      </c>
      <c r="L7465">
        <v>0</v>
      </c>
      <c r="M7465">
        <f>VLOOKUP(Table1[[#This Row],[subscription_type]],Plans!$A$1:$B$5,2,FALSE)</f>
        <v>14.99</v>
      </c>
      <c r="N7465">
        <f t="shared" si="116"/>
        <v>0</v>
      </c>
    </row>
    <row r="7466" spans="1:14" x14ac:dyDescent="0.35">
      <c r="A7466">
        <v>7465</v>
      </c>
      <c r="B7466" t="s">
        <v>20</v>
      </c>
      <c r="C7466">
        <v>32</v>
      </c>
      <c r="D7466" t="s">
        <v>17</v>
      </c>
      <c r="E7466" t="s">
        <v>14</v>
      </c>
      <c r="F7466">
        <v>20</v>
      </c>
      <c r="G7466">
        <v>67</v>
      </c>
      <c r="H7466">
        <v>0.12</v>
      </c>
      <c r="I7466" t="s">
        <v>19</v>
      </c>
      <c r="J7466">
        <v>16</v>
      </c>
      <c r="K7466">
        <v>0</v>
      </c>
      <c r="L7466">
        <v>1</v>
      </c>
      <c r="M7466">
        <f>VLOOKUP(Table1[[#This Row],[subscription_type]],Plans!$A$1:$B$5,2,FALSE)</f>
        <v>0</v>
      </c>
      <c r="N7466">
        <f t="shared" si="116"/>
        <v>0</v>
      </c>
    </row>
    <row r="7467" spans="1:14" x14ac:dyDescent="0.35">
      <c r="A7467">
        <v>7466</v>
      </c>
      <c r="B7467" t="s">
        <v>16</v>
      </c>
      <c r="C7467">
        <v>59</v>
      </c>
      <c r="D7467" t="s">
        <v>29</v>
      </c>
      <c r="E7467" t="s">
        <v>24</v>
      </c>
      <c r="F7467">
        <v>127</v>
      </c>
      <c r="G7467">
        <v>54</v>
      </c>
      <c r="H7467">
        <v>0.52</v>
      </c>
      <c r="I7467" t="s">
        <v>19</v>
      </c>
      <c r="J7467">
        <v>0</v>
      </c>
      <c r="K7467">
        <v>1</v>
      </c>
      <c r="L7467">
        <v>0</v>
      </c>
      <c r="M7467">
        <f>VLOOKUP(Table1[[#This Row],[subscription_type]],Plans!$A$1:$B$5,2,FALSE)</f>
        <v>4.99</v>
      </c>
      <c r="N7467">
        <f t="shared" si="116"/>
        <v>0</v>
      </c>
    </row>
    <row r="7468" spans="1:14" x14ac:dyDescent="0.35">
      <c r="A7468">
        <v>7467</v>
      </c>
      <c r="B7468" t="s">
        <v>16</v>
      </c>
      <c r="C7468">
        <v>34</v>
      </c>
      <c r="D7468" t="s">
        <v>21</v>
      </c>
      <c r="E7468" t="s">
        <v>24</v>
      </c>
      <c r="F7468">
        <v>190</v>
      </c>
      <c r="G7468">
        <v>19</v>
      </c>
      <c r="H7468">
        <v>0.45</v>
      </c>
      <c r="I7468" t="s">
        <v>23</v>
      </c>
      <c r="J7468">
        <v>0</v>
      </c>
      <c r="K7468">
        <v>1</v>
      </c>
      <c r="L7468">
        <v>0</v>
      </c>
      <c r="M7468">
        <f>VLOOKUP(Table1[[#This Row],[subscription_type]],Plans!$A$1:$B$5,2,FALSE)</f>
        <v>4.99</v>
      </c>
      <c r="N7468">
        <f t="shared" si="116"/>
        <v>0</v>
      </c>
    </row>
    <row r="7469" spans="1:14" x14ac:dyDescent="0.35">
      <c r="A7469">
        <v>7468</v>
      </c>
      <c r="B7469" t="s">
        <v>20</v>
      </c>
      <c r="C7469">
        <v>49</v>
      </c>
      <c r="D7469" t="s">
        <v>17</v>
      </c>
      <c r="E7469" t="s">
        <v>18</v>
      </c>
      <c r="F7469">
        <v>162</v>
      </c>
      <c r="G7469">
        <v>13</v>
      </c>
      <c r="H7469">
        <v>0.49</v>
      </c>
      <c r="I7469" t="s">
        <v>19</v>
      </c>
      <c r="J7469">
        <v>0</v>
      </c>
      <c r="K7469">
        <v>1</v>
      </c>
      <c r="L7469">
        <v>1</v>
      </c>
      <c r="M7469">
        <f>VLOOKUP(Table1[[#This Row],[subscription_type]],Plans!$A$1:$B$5,2,FALSE)</f>
        <v>14.99</v>
      </c>
      <c r="N7469">
        <f t="shared" si="116"/>
        <v>14.99</v>
      </c>
    </row>
    <row r="7470" spans="1:14" x14ac:dyDescent="0.35">
      <c r="A7470">
        <v>7469</v>
      </c>
      <c r="B7470" t="s">
        <v>16</v>
      </c>
      <c r="C7470">
        <v>38</v>
      </c>
      <c r="D7470" t="s">
        <v>21</v>
      </c>
      <c r="E7470" t="s">
        <v>18</v>
      </c>
      <c r="F7470">
        <v>142</v>
      </c>
      <c r="G7470">
        <v>68</v>
      </c>
      <c r="H7470">
        <v>0.23</v>
      </c>
      <c r="I7470" t="s">
        <v>19</v>
      </c>
      <c r="J7470">
        <v>0</v>
      </c>
      <c r="K7470">
        <v>1</v>
      </c>
      <c r="L7470">
        <v>0</v>
      </c>
      <c r="M7470">
        <f>VLOOKUP(Table1[[#This Row],[subscription_type]],Plans!$A$1:$B$5,2,FALSE)</f>
        <v>14.99</v>
      </c>
      <c r="N7470">
        <f t="shared" si="116"/>
        <v>0</v>
      </c>
    </row>
    <row r="7471" spans="1:14" x14ac:dyDescent="0.35">
      <c r="A7471">
        <v>7470</v>
      </c>
      <c r="B7471" t="s">
        <v>16</v>
      </c>
      <c r="C7471">
        <v>30</v>
      </c>
      <c r="D7471" t="s">
        <v>13</v>
      </c>
      <c r="E7471" t="s">
        <v>14</v>
      </c>
      <c r="F7471">
        <v>152</v>
      </c>
      <c r="G7471">
        <v>54</v>
      </c>
      <c r="H7471">
        <v>0.19</v>
      </c>
      <c r="I7471" t="s">
        <v>15</v>
      </c>
      <c r="J7471">
        <v>20</v>
      </c>
      <c r="K7471">
        <v>0</v>
      </c>
      <c r="L7471">
        <v>0</v>
      </c>
      <c r="M7471">
        <f>VLOOKUP(Table1[[#This Row],[subscription_type]],Plans!$A$1:$B$5,2,FALSE)</f>
        <v>0</v>
      </c>
      <c r="N7471">
        <f t="shared" si="116"/>
        <v>0</v>
      </c>
    </row>
    <row r="7472" spans="1:14" x14ac:dyDescent="0.35">
      <c r="A7472">
        <v>7471</v>
      </c>
      <c r="B7472" t="s">
        <v>20</v>
      </c>
      <c r="C7472">
        <v>55</v>
      </c>
      <c r="D7472" t="s">
        <v>27</v>
      </c>
      <c r="E7472" t="s">
        <v>14</v>
      </c>
      <c r="F7472">
        <v>203</v>
      </c>
      <c r="G7472">
        <v>4</v>
      </c>
      <c r="H7472">
        <v>0.31</v>
      </c>
      <c r="I7472" t="s">
        <v>23</v>
      </c>
      <c r="J7472">
        <v>10</v>
      </c>
      <c r="K7472">
        <v>0</v>
      </c>
      <c r="L7472">
        <v>0</v>
      </c>
      <c r="M7472">
        <f>VLOOKUP(Table1[[#This Row],[subscription_type]],Plans!$A$1:$B$5,2,FALSE)</f>
        <v>0</v>
      </c>
      <c r="N7472">
        <f t="shared" si="116"/>
        <v>0</v>
      </c>
    </row>
    <row r="7473" spans="1:14" x14ac:dyDescent="0.35">
      <c r="A7473">
        <v>7472</v>
      </c>
      <c r="B7473" t="s">
        <v>20</v>
      </c>
      <c r="C7473">
        <v>34</v>
      </c>
      <c r="D7473" t="s">
        <v>29</v>
      </c>
      <c r="E7473" t="s">
        <v>18</v>
      </c>
      <c r="F7473">
        <v>64</v>
      </c>
      <c r="G7473">
        <v>22</v>
      </c>
      <c r="H7473">
        <v>0.38</v>
      </c>
      <c r="I7473" t="s">
        <v>23</v>
      </c>
      <c r="J7473">
        <v>0</v>
      </c>
      <c r="K7473">
        <v>1</v>
      </c>
      <c r="L7473">
        <v>0</v>
      </c>
      <c r="M7473">
        <f>VLOOKUP(Table1[[#This Row],[subscription_type]],Plans!$A$1:$B$5,2,FALSE)</f>
        <v>14.99</v>
      </c>
      <c r="N7473">
        <f t="shared" si="116"/>
        <v>0</v>
      </c>
    </row>
    <row r="7474" spans="1:14" x14ac:dyDescent="0.35">
      <c r="A7474">
        <v>7473</v>
      </c>
      <c r="B7474" t="s">
        <v>12</v>
      </c>
      <c r="C7474">
        <v>52</v>
      </c>
      <c r="D7474" t="s">
        <v>21</v>
      </c>
      <c r="E7474" t="s">
        <v>18</v>
      </c>
      <c r="F7474">
        <v>36</v>
      </c>
      <c r="G7474">
        <v>95</v>
      </c>
      <c r="H7474">
        <v>0.04</v>
      </c>
      <c r="I7474" t="s">
        <v>15</v>
      </c>
      <c r="J7474">
        <v>0</v>
      </c>
      <c r="K7474">
        <v>1</v>
      </c>
      <c r="L7474">
        <v>0</v>
      </c>
      <c r="M7474">
        <f>VLOOKUP(Table1[[#This Row],[subscription_type]],Plans!$A$1:$B$5,2,FALSE)</f>
        <v>14.99</v>
      </c>
      <c r="N7474">
        <f t="shared" si="116"/>
        <v>0</v>
      </c>
    </row>
    <row r="7475" spans="1:14" x14ac:dyDescent="0.35">
      <c r="A7475">
        <v>7474</v>
      </c>
      <c r="B7475" t="s">
        <v>20</v>
      </c>
      <c r="C7475">
        <v>50</v>
      </c>
      <c r="D7475" t="s">
        <v>29</v>
      </c>
      <c r="E7475" t="s">
        <v>14</v>
      </c>
      <c r="F7475">
        <v>62</v>
      </c>
      <c r="G7475">
        <v>78</v>
      </c>
      <c r="H7475">
        <v>0.52</v>
      </c>
      <c r="I7475" t="s">
        <v>15</v>
      </c>
      <c r="J7475">
        <v>41</v>
      </c>
      <c r="K7475">
        <v>0</v>
      </c>
      <c r="L7475">
        <v>0</v>
      </c>
      <c r="M7475">
        <f>VLOOKUP(Table1[[#This Row],[subscription_type]],Plans!$A$1:$B$5,2,FALSE)</f>
        <v>0</v>
      </c>
      <c r="N7475">
        <f t="shared" si="116"/>
        <v>0</v>
      </c>
    </row>
    <row r="7476" spans="1:14" x14ac:dyDescent="0.35">
      <c r="A7476">
        <v>7475</v>
      </c>
      <c r="B7476" t="s">
        <v>12</v>
      </c>
      <c r="C7476">
        <v>25</v>
      </c>
      <c r="D7476" t="s">
        <v>27</v>
      </c>
      <c r="E7476" t="s">
        <v>22</v>
      </c>
      <c r="F7476">
        <v>112</v>
      </c>
      <c r="G7476">
        <v>18</v>
      </c>
      <c r="H7476">
        <v>0.42</v>
      </c>
      <c r="I7476" t="s">
        <v>15</v>
      </c>
      <c r="J7476">
        <v>0</v>
      </c>
      <c r="K7476">
        <v>1</v>
      </c>
      <c r="L7476">
        <v>0</v>
      </c>
      <c r="M7476">
        <f>VLOOKUP(Table1[[#This Row],[subscription_type]],Plans!$A$1:$B$5,2,FALSE)</f>
        <v>9.99</v>
      </c>
      <c r="N7476">
        <f t="shared" si="116"/>
        <v>0</v>
      </c>
    </row>
    <row r="7477" spans="1:14" x14ac:dyDescent="0.35">
      <c r="A7477">
        <v>7476</v>
      </c>
      <c r="B7477" t="s">
        <v>16</v>
      </c>
      <c r="C7477">
        <v>43</v>
      </c>
      <c r="D7477" t="s">
        <v>29</v>
      </c>
      <c r="E7477" t="s">
        <v>22</v>
      </c>
      <c r="F7477">
        <v>165</v>
      </c>
      <c r="G7477">
        <v>76</v>
      </c>
      <c r="H7477">
        <v>0.48</v>
      </c>
      <c r="I7477" t="s">
        <v>19</v>
      </c>
      <c r="J7477">
        <v>0</v>
      </c>
      <c r="K7477">
        <v>1</v>
      </c>
      <c r="L7477">
        <v>0</v>
      </c>
      <c r="M7477">
        <f>VLOOKUP(Table1[[#This Row],[subscription_type]],Plans!$A$1:$B$5,2,FALSE)</f>
        <v>9.99</v>
      </c>
      <c r="N7477">
        <f t="shared" si="116"/>
        <v>0</v>
      </c>
    </row>
    <row r="7478" spans="1:14" x14ac:dyDescent="0.35">
      <c r="A7478">
        <v>7477</v>
      </c>
      <c r="B7478" t="s">
        <v>20</v>
      </c>
      <c r="C7478">
        <v>46</v>
      </c>
      <c r="D7478" t="s">
        <v>28</v>
      </c>
      <c r="E7478" t="s">
        <v>24</v>
      </c>
      <c r="F7478">
        <v>188</v>
      </c>
      <c r="G7478">
        <v>83</v>
      </c>
      <c r="H7478">
        <v>0.15</v>
      </c>
      <c r="I7478" t="s">
        <v>23</v>
      </c>
      <c r="J7478">
        <v>0</v>
      </c>
      <c r="K7478">
        <v>1</v>
      </c>
      <c r="L7478">
        <v>0</v>
      </c>
      <c r="M7478">
        <f>VLOOKUP(Table1[[#This Row],[subscription_type]],Plans!$A$1:$B$5,2,FALSE)</f>
        <v>4.99</v>
      </c>
      <c r="N7478">
        <f t="shared" si="116"/>
        <v>0</v>
      </c>
    </row>
    <row r="7479" spans="1:14" x14ac:dyDescent="0.35">
      <c r="A7479">
        <v>7478</v>
      </c>
      <c r="B7479" t="s">
        <v>12</v>
      </c>
      <c r="C7479">
        <v>46</v>
      </c>
      <c r="D7479" t="s">
        <v>29</v>
      </c>
      <c r="E7479" t="s">
        <v>18</v>
      </c>
      <c r="F7479">
        <v>224</v>
      </c>
      <c r="G7479">
        <v>16</v>
      </c>
      <c r="H7479">
        <v>0.52</v>
      </c>
      <c r="I7479" t="s">
        <v>15</v>
      </c>
      <c r="J7479">
        <v>0</v>
      </c>
      <c r="K7479">
        <v>1</v>
      </c>
      <c r="L7479">
        <v>1</v>
      </c>
      <c r="M7479">
        <f>VLOOKUP(Table1[[#This Row],[subscription_type]],Plans!$A$1:$B$5,2,FALSE)</f>
        <v>14.99</v>
      </c>
      <c r="N7479">
        <f t="shared" si="116"/>
        <v>14.99</v>
      </c>
    </row>
    <row r="7480" spans="1:14" x14ac:dyDescent="0.35">
      <c r="A7480">
        <v>7479</v>
      </c>
      <c r="B7480" t="s">
        <v>20</v>
      </c>
      <c r="C7480">
        <v>54</v>
      </c>
      <c r="D7480" t="s">
        <v>13</v>
      </c>
      <c r="E7480" t="s">
        <v>22</v>
      </c>
      <c r="F7480">
        <v>275</v>
      </c>
      <c r="G7480">
        <v>47</v>
      </c>
      <c r="H7480">
        <v>0.11</v>
      </c>
      <c r="I7480" t="s">
        <v>15</v>
      </c>
      <c r="J7480">
        <v>0</v>
      </c>
      <c r="K7480">
        <v>1</v>
      </c>
      <c r="L7480">
        <v>0</v>
      </c>
      <c r="M7480">
        <f>VLOOKUP(Table1[[#This Row],[subscription_type]],Plans!$A$1:$B$5,2,FALSE)</f>
        <v>9.99</v>
      </c>
      <c r="N7480">
        <f t="shared" si="116"/>
        <v>0</v>
      </c>
    </row>
    <row r="7481" spans="1:14" x14ac:dyDescent="0.35">
      <c r="A7481">
        <v>7480</v>
      </c>
      <c r="B7481" t="s">
        <v>12</v>
      </c>
      <c r="C7481">
        <v>47</v>
      </c>
      <c r="D7481" t="s">
        <v>29</v>
      </c>
      <c r="E7481" t="s">
        <v>14</v>
      </c>
      <c r="F7481">
        <v>150</v>
      </c>
      <c r="G7481">
        <v>66</v>
      </c>
      <c r="H7481">
        <v>0.1</v>
      </c>
      <c r="I7481" t="s">
        <v>23</v>
      </c>
      <c r="J7481">
        <v>14</v>
      </c>
      <c r="K7481">
        <v>0</v>
      </c>
      <c r="L7481">
        <v>0</v>
      </c>
      <c r="M7481">
        <f>VLOOKUP(Table1[[#This Row],[subscription_type]],Plans!$A$1:$B$5,2,FALSE)</f>
        <v>0</v>
      </c>
      <c r="N7481">
        <f t="shared" si="116"/>
        <v>0</v>
      </c>
    </row>
    <row r="7482" spans="1:14" x14ac:dyDescent="0.35">
      <c r="A7482">
        <v>7481</v>
      </c>
      <c r="B7482" t="s">
        <v>20</v>
      </c>
      <c r="C7482">
        <v>51</v>
      </c>
      <c r="D7482" t="s">
        <v>13</v>
      </c>
      <c r="E7482" t="s">
        <v>14</v>
      </c>
      <c r="F7482">
        <v>78</v>
      </c>
      <c r="G7482">
        <v>93</v>
      </c>
      <c r="H7482">
        <v>0.27</v>
      </c>
      <c r="I7482" t="s">
        <v>15</v>
      </c>
      <c r="J7482">
        <v>37</v>
      </c>
      <c r="K7482">
        <v>0</v>
      </c>
      <c r="L7482">
        <v>1</v>
      </c>
      <c r="M7482">
        <f>VLOOKUP(Table1[[#This Row],[subscription_type]],Plans!$A$1:$B$5,2,FALSE)</f>
        <v>0</v>
      </c>
      <c r="N7482">
        <f t="shared" si="116"/>
        <v>0</v>
      </c>
    </row>
    <row r="7483" spans="1:14" x14ac:dyDescent="0.35">
      <c r="A7483">
        <v>7482</v>
      </c>
      <c r="B7483" t="s">
        <v>20</v>
      </c>
      <c r="C7483">
        <v>42</v>
      </c>
      <c r="D7483" t="s">
        <v>27</v>
      </c>
      <c r="E7483" t="s">
        <v>14</v>
      </c>
      <c r="F7483">
        <v>89</v>
      </c>
      <c r="G7483">
        <v>99</v>
      </c>
      <c r="H7483">
        <v>0.21</v>
      </c>
      <c r="I7483" t="s">
        <v>19</v>
      </c>
      <c r="J7483">
        <v>15</v>
      </c>
      <c r="K7483">
        <v>0</v>
      </c>
      <c r="L7483">
        <v>0</v>
      </c>
      <c r="M7483">
        <f>VLOOKUP(Table1[[#This Row],[subscription_type]],Plans!$A$1:$B$5,2,FALSE)</f>
        <v>0</v>
      </c>
      <c r="N7483">
        <f t="shared" si="116"/>
        <v>0</v>
      </c>
    </row>
    <row r="7484" spans="1:14" x14ac:dyDescent="0.35">
      <c r="A7484">
        <v>7483</v>
      </c>
      <c r="B7484" t="s">
        <v>20</v>
      </c>
      <c r="C7484">
        <v>30</v>
      </c>
      <c r="D7484" t="s">
        <v>26</v>
      </c>
      <c r="E7484" t="s">
        <v>22</v>
      </c>
      <c r="F7484">
        <v>75</v>
      </c>
      <c r="G7484">
        <v>5</v>
      </c>
      <c r="H7484">
        <v>0.02</v>
      </c>
      <c r="I7484" t="s">
        <v>19</v>
      </c>
      <c r="J7484">
        <v>0</v>
      </c>
      <c r="K7484">
        <v>1</v>
      </c>
      <c r="L7484">
        <v>1</v>
      </c>
      <c r="M7484">
        <f>VLOOKUP(Table1[[#This Row],[subscription_type]],Plans!$A$1:$B$5,2,FALSE)</f>
        <v>9.99</v>
      </c>
      <c r="N7484">
        <f t="shared" si="116"/>
        <v>9.99</v>
      </c>
    </row>
    <row r="7485" spans="1:14" x14ac:dyDescent="0.35">
      <c r="A7485">
        <v>7484</v>
      </c>
      <c r="B7485" t="s">
        <v>12</v>
      </c>
      <c r="C7485">
        <v>42</v>
      </c>
      <c r="D7485" t="s">
        <v>21</v>
      </c>
      <c r="E7485" t="s">
        <v>14</v>
      </c>
      <c r="F7485">
        <v>54</v>
      </c>
      <c r="G7485">
        <v>24</v>
      </c>
      <c r="H7485">
        <v>0.31</v>
      </c>
      <c r="I7485" t="s">
        <v>23</v>
      </c>
      <c r="J7485">
        <v>33</v>
      </c>
      <c r="K7485">
        <v>0</v>
      </c>
      <c r="L7485">
        <v>0</v>
      </c>
      <c r="M7485">
        <f>VLOOKUP(Table1[[#This Row],[subscription_type]],Plans!$A$1:$B$5,2,FALSE)</f>
        <v>0</v>
      </c>
      <c r="N7485">
        <f t="shared" si="116"/>
        <v>0</v>
      </c>
    </row>
    <row r="7486" spans="1:14" x14ac:dyDescent="0.35">
      <c r="A7486">
        <v>7485</v>
      </c>
      <c r="B7486" t="s">
        <v>20</v>
      </c>
      <c r="C7486">
        <v>53</v>
      </c>
      <c r="D7486" t="s">
        <v>25</v>
      </c>
      <c r="E7486" t="s">
        <v>14</v>
      </c>
      <c r="F7486">
        <v>27</v>
      </c>
      <c r="G7486">
        <v>14</v>
      </c>
      <c r="H7486">
        <v>0.2</v>
      </c>
      <c r="I7486" t="s">
        <v>23</v>
      </c>
      <c r="J7486">
        <v>21</v>
      </c>
      <c r="K7486">
        <v>0</v>
      </c>
      <c r="L7486">
        <v>0</v>
      </c>
      <c r="M7486">
        <f>VLOOKUP(Table1[[#This Row],[subscription_type]],Plans!$A$1:$B$5,2,FALSE)</f>
        <v>0</v>
      </c>
      <c r="N7486">
        <f t="shared" si="116"/>
        <v>0</v>
      </c>
    </row>
    <row r="7487" spans="1:14" x14ac:dyDescent="0.35">
      <c r="A7487">
        <v>7486</v>
      </c>
      <c r="B7487" t="s">
        <v>12</v>
      </c>
      <c r="C7487">
        <v>50</v>
      </c>
      <c r="D7487" t="s">
        <v>17</v>
      </c>
      <c r="E7487" t="s">
        <v>18</v>
      </c>
      <c r="F7487">
        <v>260</v>
      </c>
      <c r="G7487">
        <v>54</v>
      </c>
      <c r="H7487">
        <v>0.55000000000000004</v>
      </c>
      <c r="I7487" t="s">
        <v>19</v>
      </c>
      <c r="J7487">
        <v>0</v>
      </c>
      <c r="K7487">
        <v>1</v>
      </c>
      <c r="L7487">
        <v>0</v>
      </c>
      <c r="M7487">
        <f>VLOOKUP(Table1[[#This Row],[subscription_type]],Plans!$A$1:$B$5,2,FALSE)</f>
        <v>14.99</v>
      </c>
      <c r="N7487">
        <f t="shared" si="116"/>
        <v>0</v>
      </c>
    </row>
    <row r="7488" spans="1:14" x14ac:dyDescent="0.35">
      <c r="A7488">
        <v>7487</v>
      </c>
      <c r="B7488" t="s">
        <v>20</v>
      </c>
      <c r="C7488">
        <v>48</v>
      </c>
      <c r="D7488" t="s">
        <v>29</v>
      </c>
      <c r="E7488" t="s">
        <v>24</v>
      </c>
      <c r="F7488">
        <v>123</v>
      </c>
      <c r="G7488">
        <v>70</v>
      </c>
      <c r="H7488">
        <v>0.41</v>
      </c>
      <c r="I7488" t="s">
        <v>23</v>
      </c>
      <c r="J7488">
        <v>0</v>
      </c>
      <c r="K7488">
        <v>1</v>
      </c>
      <c r="L7488">
        <v>1</v>
      </c>
      <c r="M7488">
        <f>VLOOKUP(Table1[[#This Row],[subscription_type]],Plans!$A$1:$B$5,2,FALSE)</f>
        <v>4.99</v>
      </c>
      <c r="N7488">
        <f t="shared" si="116"/>
        <v>4.99</v>
      </c>
    </row>
    <row r="7489" spans="1:14" x14ac:dyDescent="0.35">
      <c r="A7489">
        <v>7488</v>
      </c>
      <c r="B7489" t="s">
        <v>12</v>
      </c>
      <c r="C7489">
        <v>21</v>
      </c>
      <c r="D7489" t="s">
        <v>21</v>
      </c>
      <c r="E7489" t="s">
        <v>22</v>
      </c>
      <c r="F7489">
        <v>86</v>
      </c>
      <c r="G7489">
        <v>48</v>
      </c>
      <c r="H7489">
        <v>0.43</v>
      </c>
      <c r="I7489" t="s">
        <v>15</v>
      </c>
      <c r="J7489">
        <v>0</v>
      </c>
      <c r="K7489">
        <v>1</v>
      </c>
      <c r="L7489">
        <v>0</v>
      </c>
      <c r="M7489">
        <f>VLOOKUP(Table1[[#This Row],[subscription_type]],Plans!$A$1:$B$5,2,FALSE)</f>
        <v>9.99</v>
      </c>
      <c r="N7489">
        <f t="shared" si="116"/>
        <v>0</v>
      </c>
    </row>
    <row r="7490" spans="1:14" x14ac:dyDescent="0.35">
      <c r="A7490">
        <v>7489</v>
      </c>
      <c r="B7490" t="s">
        <v>12</v>
      </c>
      <c r="C7490">
        <v>23</v>
      </c>
      <c r="D7490" t="s">
        <v>29</v>
      </c>
      <c r="E7490" t="s">
        <v>18</v>
      </c>
      <c r="F7490">
        <v>286</v>
      </c>
      <c r="G7490">
        <v>57</v>
      </c>
      <c r="H7490">
        <v>0.56999999999999995</v>
      </c>
      <c r="I7490" t="s">
        <v>19</v>
      </c>
      <c r="J7490">
        <v>0</v>
      </c>
      <c r="K7490">
        <v>1</v>
      </c>
      <c r="L7490">
        <v>0</v>
      </c>
      <c r="M7490">
        <f>VLOOKUP(Table1[[#This Row],[subscription_type]],Plans!$A$1:$B$5,2,FALSE)</f>
        <v>14.99</v>
      </c>
      <c r="N7490">
        <f t="shared" ref="N7490:N7553" si="117">IF(L7490=1, M7490,0)</f>
        <v>0</v>
      </c>
    </row>
    <row r="7491" spans="1:14" x14ac:dyDescent="0.35">
      <c r="A7491">
        <v>7490</v>
      </c>
      <c r="B7491" t="s">
        <v>20</v>
      </c>
      <c r="C7491">
        <v>40</v>
      </c>
      <c r="D7491" t="s">
        <v>27</v>
      </c>
      <c r="E7491" t="s">
        <v>14</v>
      </c>
      <c r="F7491">
        <v>38</v>
      </c>
      <c r="G7491">
        <v>54</v>
      </c>
      <c r="H7491">
        <v>0.24</v>
      </c>
      <c r="I7491" t="s">
        <v>19</v>
      </c>
      <c r="J7491">
        <v>26</v>
      </c>
      <c r="K7491">
        <v>0</v>
      </c>
      <c r="L7491">
        <v>0</v>
      </c>
      <c r="M7491">
        <f>VLOOKUP(Table1[[#This Row],[subscription_type]],Plans!$A$1:$B$5,2,FALSE)</f>
        <v>0</v>
      </c>
      <c r="N7491">
        <f t="shared" si="117"/>
        <v>0</v>
      </c>
    </row>
    <row r="7492" spans="1:14" x14ac:dyDescent="0.35">
      <c r="A7492">
        <v>7491</v>
      </c>
      <c r="B7492" t="s">
        <v>16</v>
      </c>
      <c r="C7492">
        <v>35</v>
      </c>
      <c r="D7492" t="s">
        <v>28</v>
      </c>
      <c r="E7492" t="s">
        <v>14</v>
      </c>
      <c r="F7492">
        <v>15</v>
      </c>
      <c r="G7492">
        <v>65</v>
      </c>
      <c r="H7492">
        <v>0.18</v>
      </c>
      <c r="I7492" t="s">
        <v>15</v>
      </c>
      <c r="J7492">
        <v>45</v>
      </c>
      <c r="K7492">
        <v>0</v>
      </c>
      <c r="L7492">
        <v>0</v>
      </c>
      <c r="M7492">
        <f>VLOOKUP(Table1[[#This Row],[subscription_type]],Plans!$A$1:$B$5,2,FALSE)</f>
        <v>0</v>
      </c>
      <c r="N7492">
        <f t="shared" si="117"/>
        <v>0</v>
      </c>
    </row>
    <row r="7493" spans="1:14" x14ac:dyDescent="0.35">
      <c r="A7493">
        <v>7492</v>
      </c>
      <c r="B7493" t="s">
        <v>16</v>
      </c>
      <c r="C7493">
        <v>32</v>
      </c>
      <c r="D7493" t="s">
        <v>28</v>
      </c>
      <c r="E7493" t="s">
        <v>22</v>
      </c>
      <c r="F7493">
        <v>139</v>
      </c>
      <c r="G7493">
        <v>69</v>
      </c>
      <c r="H7493">
        <v>0.56000000000000005</v>
      </c>
      <c r="I7493" t="s">
        <v>15</v>
      </c>
      <c r="J7493">
        <v>0</v>
      </c>
      <c r="K7493">
        <v>1</v>
      </c>
      <c r="L7493">
        <v>0</v>
      </c>
      <c r="M7493">
        <f>VLOOKUP(Table1[[#This Row],[subscription_type]],Plans!$A$1:$B$5,2,FALSE)</f>
        <v>9.99</v>
      </c>
      <c r="N7493">
        <f t="shared" si="117"/>
        <v>0</v>
      </c>
    </row>
    <row r="7494" spans="1:14" x14ac:dyDescent="0.35">
      <c r="A7494">
        <v>7493</v>
      </c>
      <c r="B7494" t="s">
        <v>20</v>
      </c>
      <c r="C7494">
        <v>29</v>
      </c>
      <c r="D7494" t="s">
        <v>26</v>
      </c>
      <c r="E7494" t="s">
        <v>18</v>
      </c>
      <c r="F7494">
        <v>186</v>
      </c>
      <c r="G7494">
        <v>57</v>
      </c>
      <c r="H7494">
        <v>0.38</v>
      </c>
      <c r="I7494" t="s">
        <v>23</v>
      </c>
      <c r="J7494">
        <v>0</v>
      </c>
      <c r="K7494">
        <v>1</v>
      </c>
      <c r="L7494">
        <v>1</v>
      </c>
      <c r="M7494">
        <f>VLOOKUP(Table1[[#This Row],[subscription_type]],Plans!$A$1:$B$5,2,FALSE)</f>
        <v>14.99</v>
      </c>
      <c r="N7494">
        <f t="shared" si="117"/>
        <v>14.99</v>
      </c>
    </row>
    <row r="7495" spans="1:14" x14ac:dyDescent="0.35">
      <c r="A7495">
        <v>7494</v>
      </c>
      <c r="B7495" t="s">
        <v>12</v>
      </c>
      <c r="C7495">
        <v>25</v>
      </c>
      <c r="D7495" t="s">
        <v>28</v>
      </c>
      <c r="E7495" t="s">
        <v>14</v>
      </c>
      <c r="F7495">
        <v>26</v>
      </c>
      <c r="G7495">
        <v>63</v>
      </c>
      <c r="H7495">
        <v>0.21</v>
      </c>
      <c r="I7495" t="s">
        <v>19</v>
      </c>
      <c r="J7495">
        <v>14</v>
      </c>
      <c r="K7495">
        <v>0</v>
      </c>
      <c r="L7495">
        <v>0</v>
      </c>
      <c r="M7495">
        <f>VLOOKUP(Table1[[#This Row],[subscription_type]],Plans!$A$1:$B$5,2,FALSE)</f>
        <v>0</v>
      </c>
      <c r="N7495">
        <f t="shared" si="117"/>
        <v>0</v>
      </c>
    </row>
    <row r="7496" spans="1:14" x14ac:dyDescent="0.35">
      <c r="A7496">
        <v>7495</v>
      </c>
      <c r="B7496" t="s">
        <v>20</v>
      </c>
      <c r="C7496">
        <v>48</v>
      </c>
      <c r="D7496" t="s">
        <v>29</v>
      </c>
      <c r="E7496" t="s">
        <v>22</v>
      </c>
      <c r="F7496">
        <v>89</v>
      </c>
      <c r="G7496">
        <v>49</v>
      </c>
      <c r="H7496">
        <v>0.05</v>
      </c>
      <c r="I7496" t="s">
        <v>23</v>
      </c>
      <c r="J7496">
        <v>0</v>
      </c>
      <c r="K7496">
        <v>1</v>
      </c>
      <c r="L7496">
        <v>0</v>
      </c>
      <c r="M7496">
        <f>VLOOKUP(Table1[[#This Row],[subscription_type]],Plans!$A$1:$B$5,2,FALSE)</f>
        <v>9.99</v>
      </c>
      <c r="N7496">
        <f t="shared" si="117"/>
        <v>0</v>
      </c>
    </row>
    <row r="7497" spans="1:14" x14ac:dyDescent="0.35">
      <c r="A7497">
        <v>7496</v>
      </c>
      <c r="B7497" t="s">
        <v>20</v>
      </c>
      <c r="C7497">
        <v>46</v>
      </c>
      <c r="D7497" t="s">
        <v>21</v>
      </c>
      <c r="E7497" t="s">
        <v>22</v>
      </c>
      <c r="F7497">
        <v>250</v>
      </c>
      <c r="G7497">
        <v>47</v>
      </c>
      <c r="H7497">
        <v>0.31</v>
      </c>
      <c r="I7497" t="s">
        <v>15</v>
      </c>
      <c r="J7497">
        <v>0</v>
      </c>
      <c r="K7497">
        <v>1</v>
      </c>
      <c r="L7497">
        <v>1</v>
      </c>
      <c r="M7497">
        <f>VLOOKUP(Table1[[#This Row],[subscription_type]],Plans!$A$1:$B$5,2,FALSE)</f>
        <v>9.99</v>
      </c>
      <c r="N7497">
        <f t="shared" si="117"/>
        <v>9.99</v>
      </c>
    </row>
    <row r="7498" spans="1:14" x14ac:dyDescent="0.35">
      <c r="A7498">
        <v>7497</v>
      </c>
      <c r="B7498" t="s">
        <v>12</v>
      </c>
      <c r="C7498">
        <v>52</v>
      </c>
      <c r="D7498" t="s">
        <v>27</v>
      </c>
      <c r="E7498" t="s">
        <v>22</v>
      </c>
      <c r="F7498">
        <v>152</v>
      </c>
      <c r="G7498">
        <v>13</v>
      </c>
      <c r="H7498">
        <v>0.01</v>
      </c>
      <c r="I7498" t="s">
        <v>23</v>
      </c>
      <c r="J7498">
        <v>0</v>
      </c>
      <c r="K7498">
        <v>1</v>
      </c>
      <c r="L7498">
        <v>0</v>
      </c>
      <c r="M7498">
        <f>VLOOKUP(Table1[[#This Row],[subscription_type]],Plans!$A$1:$B$5,2,FALSE)</f>
        <v>9.99</v>
      </c>
      <c r="N7498">
        <f t="shared" si="117"/>
        <v>0</v>
      </c>
    </row>
    <row r="7499" spans="1:14" x14ac:dyDescent="0.35">
      <c r="A7499">
        <v>7498</v>
      </c>
      <c r="B7499" t="s">
        <v>12</v>
      </c>
      <c r="C7499">
        <v>18</v>
      </c>
      <c r="D7499" t="s">
        <v>21</v>
      </c>
      <c r="E7499" t="s">
        <v>24</v>
      </c>
      <c r="F7499">
        <v>221</v>
      </c>
      <c r="G7499">
        <v>21</v>
      </c>
      <c r="H7499">
        <v>0.28999999999999998</v>
      </c>
      <c r="I7499" t="s">
        <v>23</v>
      </c>
      <c r="J7499">
        <v>0</v>
      </c>
      <c r="K7499">
        <v>1</v>
      </c>
      <c r="L7499">
        <v>1</v>
      </c>
      <c r="M7499">
        <f>VLOOKUP(Table1[[#This Row],[subscription_type]],Plans!$A$1:$B$5,2,FALSE)</f>
        <v>4.99</v>
      </c>
      <c r="N7499">
        <f t="shared" si="117"/>
        <v>4.99</v>
      </c>
    </row>
    <row r="7500" spans="1:14" x14ac:dyDescent="0.35">
      <c r="A7500">
        <v>7499</v>
      </c>
      <c r="B7500" t="s">
        <v>20</v>
      </c>
      <c r="C7500">
        <v>35</v>
      </c>
      <c r="D7500" t="s">
        <v>17</v>
      </c>
      <c r="E7500" t="s">
        <v>18</v>
      </c>
      <c r="F7500">
        <v>120</v>
      </c>
      <c r="G7500">
        <v>6</v>
      </c>
      <c r="H7500">
        <v>0.19</v>
      </c>
      <c r="I7500" t="s">
        <v>15</v>
      </c>
      <c r="J7500">
        <v>0</v>
      </c>
      <c r="K7500">
        <v>1</v>
      </c>
      <c r="L7500">
        <v>0</v>
      </c>
      <c r="M7500">
        <f>VLOOKUP(Table1[[#This Row],[subscription_type]],Plans!$A$1:$B$5,2,FALSE)</f>
        <v>14.99</v>
      </c>
      <c r="N7500">
        <f t="shared" si="117"/>
        <v>0</v>
      </c>
    </row>
    <row r="7501" spans="1:14" x14ac:dyDescent="0.35">
      <c r="A7501">
        <v>7500</v>
      </c>
      <c r="B7501" t="s">
        <v>16</v>
      </c>
      <c r="C7501">
        <v>45</v>
      </c>
      <c r="D7501" t="s">
        <v>21</v>
      </c>
      <c r="E7501" t="s">
        <v>22</v>
      </c>
      <c r="F7501">
        <v>216</v>
      </c>
      <c r="G7501">
        <v>4</v>
      </c>
      <c r="H7501">
        <v>0.02</v>
      </c>
      <c r="I7501" t="s">
        <v>19</v>
      </c>
      <c r="J7501">
        <v>0</v>
      </c>
      <c r="K7501">
        <v>1</v>
      </c>
      <c r="L7501">
        <v>0</v>
      </c>
      <c r="M7501">
        <f>VLOOKUP(Table1[[#This Row],[subscription_type]],Plans!$A$1:$B$5,2,FALSE)</f>
        <v>9.99</v>
      </c>
      <c r="N7501">
        <f t="shared" si="117"/>
        <v>0</v>
      </c>
    </row>
    <row r="7502" spans="1:14" x14ac:dyDescent="0.35">
      <c r="A7502">
        <v>7501</v>
      </c>
      <c r="B7502" t="s">
        <v>20</v>
      </c>
      <c r="C7502">
        <v>29</v>
      </c>
      <c r="D7502" t="s">
        <v>27</v>
      </c>
      <c r="E7502" t="s">
        <v>18</v>
      </c>
      <c r="F7502">
        <v>292</v>
      </c>
      <c r="G7502">
        <v>21</v>
      </c>
      <c r="H7502">
        <v>0.43</v>
      </c>
      <c r="I7502" t="s">
        <v>23</v>
      </c>
      <c r="J7502">
        <v>0</v>
      </c>
      <c r="K7502">
        <v>1</v>
      </c>
      <c r="L7502">
        <v>0</v>
      </c>
      <c r="M7502">
        <f>VLOOKUP(Table1[[#This Row],[subscription_type]],Plans!$A$1:$B$5,2,FALSE)</f>
        <v>14.99</v>
      </c>
      <c r="N7502">
        <f t="shared" si="117"/>
        <v>0</v>
      </c>
    </row>
    <row r="7503" spans="1:14" x14ac:dyDescent="0.35">
      <c r="A7503">
        <v>7502</v>
      </c>
      <c r="B7503" t="s">
        <v>12</v>
      </c>
      <c r="C7503">
        <v>27</v>
      </c>
      <c r="D7503" t="s">
        <v>29</v>
      </c>
      <c r="E7503" t="s">
        <v>14</v>
      </c>
      <c r="F7503">
        <v>99</v>
      </c>
      <c r="G7503">
        <v>79</v>
      </c>
      <c r="H7503">
        <v>0.37</v>
      </c>
      <c r="I7503" t="s">
        <v>15</v>
      </c>
      <c r="J7503">
        <v>7</v>
      </c>
      <c r="K7503">
        <v>0</v>
      </c>
      <c r="L7503">
        <v>0</v>
      </c>
      <c r="M7503">
        <f>VLOOKUP(Table1[[#This Row],[subscription_type]],Plans!$A$1:$B$5,2,FALSE)</f>
        <v>0</v>
      </c>
      <c r="N7503">
        <f t="shared" si="117"/>
        <v>0</v>
      </c>
    </row>
    <row r="7504" spans="1:14" x14ac:dyDescent="0.35">
      <c r="A7504">
        <v>7503</v>
      </c>
      <c r="B7504" t="s">
        <v>12</v>
      </c>
      <c r="C7504">
        <v>27</v>
      </c>
      <c r="D7504" t="s">
        <v>25</v>
      </c>
      <c r="E7504" t="s">
        <v>24</v>
      </c>
      <c r="F7504">
        <v>52</v>
      </c>
      <c r="G7504">
        <v>35</v>
      </c>
      <c r="H7504">
        <v>0.11</v>
      </c>
      <c r="I7504" t="s">
        <v>23</v>
      </c>
      <c r="J7504">
        <v>0</v>
      </c>
      <c r="K7504">
        <v>1</v>
      </c>
      <c r="L7504">
        <v>0</v>
      </c>
      <c r="M7504">
        <f>VLOOKUP(Table1[[#This Row],[subscription_type]],Plans!$A$1:$B$5,2,FALSE)</f>
        <v>4.99</v>
      </c>
      <c r="N7504">
        <f t="shared" si="117"/>
        <v>0</v>
      </c>
    </row>
    <row r="7505" spans="1:14" x14ac:dyDescent="0.35">
      <c r="A7505">
        <v>7504</v>
      </c>
      <c r="B7505" t="s">
        <v>16</v>
      </c>
      <c r="C7505">
        <v>49</v>
      </c>
      <c r="D7505" t="s">
        <v>17</v>
      </c>
      <c r="E7505" t="s">
        <v>24</v>
      </c>
      <c r="F7505">
        <v>233</v>
      </c>
      <c r="G7505">
        <v>78</v>
      </c>
      <c r="H7505">
        <v>0.31</v>
      </c>
      <c r="I7505" t="s">
        <v>23</v>
      </c>
      <c r="J7505">
        <v>0</v>
      </c>
      <c r="K7505">
        <v>1</v>
      </c>
      <c r="L7505">
        <v>1</v>
      </c>
      <c r="M7505">
        <f>VLOOKUP(Table1[[#This Row],[subscription_type]],Plans!$A$1:$B$5,2,FALSE)</f>
        <v>4.99</v>
      </c>
      <c r="N7505">
        <f t="shared" si="117"/>
        <v>4.99</v>
      </c>
    </row>
    <row r="7506" spans="1:14" x14ac:dyDescent="0.35">
      <c r="A7506">
        <v>7505</v>
      </c>
      <c r="B7506" t="s">
        <v>12</v>
      </c>
      <c r="C7506">
        <v>18</v>
      </c>
      <c r="D7506" t="s">
        <v>21</v>
      </c>
      <c r="E7506" t="s">
        <v>14</v>
      </c>
      <c r="F7506">
        <v>91</v>
      </c>
      <c r="G7506">
        <v>91</v>
      </c>
      <c r="H7506">
        <v>0.22</v>
      </c>
      <c r="I7506" t="s">
        <v>23</v>
      </c>
      <c r="J7506">
        <v>23</v>
      </c>
      <c r="K7506">
        <v>0</v>
      </c>
      <c r="L7506">
        <v>0</v>
      </c>
      <c r="M7506">
        <f>VLOOKUP(Table1[[#This Row],[subscription_type]],Plans!$A$1:$B$5,2,FALSE)</f>
        <v>0</v>
      </c>
      <c r="N7506">
        <f t="shared" si="117"/>
        <v>0</v>
      </c>
    </row>
    <row r="7507" spans="1:14" x14ac:dyDescent="0.35">
      <c r="A7507">
        <v>7506</v>
      </c>
      <c r="B7507" t="s">
        <v>20</v>
      </c>
      <c r="C7507">
        <v>40</v>
      </c>
      <c r="D7507" t="s">
        <v>27</v>
      </c>
      <c r="E7507" t="s">
        <v>14</v>
      </c>
      <c r="F7507">
        <v>64</v>
      </c>
      <c r="G7507">
        <v>4</v>
      </c>
      <c r="H7507">
        <v>0.1</v>
      </c>
      <c r="I7507" t="s">
        <v>15</v>
      </c>
      <c r="J7507">
        <v>32</v>
      </c>
      <c r="K7507">
        <v>0</v>
      </c>
      <c r="L7507">
        <v>0</v>
      </c>
      <c r="M7507">
        <f>VLOOKUP(Table1[[#This Row],[subscription_type]],Plans!$A$1:$B$5,2,FALSE)</f>
        <v>0</v>
      </c>
      <c r="N7507">
        <f t="shared" si="117"/>
        <v>0</v>
      </c>
    </row>
    <row r="7508" spans="1:14" x14ac:dyDescent="0.35">
      <c r="A7508">
        <v>7507</v>
      </c>
      <c r="B7508" t="s">
        <v>16</v>
      </c>
      <c r="C7508">
        <v>44</v>
      </c>
      <c r="D7508" t="s">
        <v>17</v>
      </c>
      <c r="E7508" t="s">
        <v>14</v>
      </c>
      <c r="F7508">
        <v>224</v>
      </c>
      <c r="G7508">
        <v>6</v>
      </c>
      <c r="H7508">
        <v>0.21</v>
      </c>
      <c r="I7508" t="s">
        <v>19</v>
      </c>
      <c r="J7508">
        <v>44</v>
      </c>
      <c r="K7508">
        <v>0</v>
      </c>
      <c r="L7508">
        <v>0</v>
      </c>
      <c r="M7508">
        <f>VLOOKUP(Table1[[#This Row],[subscription_type]],Plans!$A$1:$B$5,2,FALSE)</f>
        <v>0</v>
      </c>
      <c r="N7508">
        <f t="shared" si="117"/>
        <v>0</v>
      </c>
    </row>
    <row r="7509" spans="1:14" x14ac:dyDescent="0.35">
      <c r="A7509">
        <v>7508</v>
      </c>
      <c r="B7509" t="s">
        <v>12</v>
      </c>
      <c r="C7509">
        <v>22</v>
      </c>
      <c r="D7509" t="s">
        <v>28</v>
      </c>
      <c r="E7509" t="s">
        <v>24</v>
      </c>
      <c r="F7509">
        <v>48</v>
      </c>
      <c r="G7509">
        <v>11</v>
      </c>
      <c r="H7509">
        <v>0.15</v>
      </c>
      <c r="I7509" t="s">
        <v>23</v>
      </c>
      <c r="J7509">
        <v>0</v>
      </c>
      <c r="K7509">
        <v>1</v>
      </c>
      <c r="L7509">
        <v>0</v>
      </c>
      <c r="M7509">
        <f>VLOOKUP(Table1[[#This Row],[subscription_type]],Plans!$A$1:$B$5,2,FALSE)</f>
        <v>4.99</v>
      </c>
      <c r="N7509">
        <f t="shared" si="117"/>
        <v>0</v>
      </c>
    </row>
    <row r="7510" spans="1:14" x14ac:dyDescent="0.35">
      <c r="A7510">
        <v>7509</v>
      </c>
      <c r="B7510" t="s">
        <v>16</v>
      </c>
      <c r="C7510">
        <v>54</v>
      </c>
      <c r="D7510" t="s">
        <v>21</v>
      </c>
      <c r="E7510" t="s">
        <v>22</v>
      </c>
      <c r="F7510">
        <v>253</v>
      </c>
      <c r="G7510">
        <v>34</v>
      </c>
      <c r="H7510">
        <v>0.41</v>
      </c>
      <c r="I7510" t="s">
        <v>23</v>
      </c>
      <c r="J7510">
        <v>0</v>
      </c>
      <c r="K7510">
        <v>1</v>
      </c>
      <c r="L7510">
        <v>0</v>
      </c>
      <c r="M7510">
        <f>VLOOKUP(Table1[[#This Row],[subscription_type]],Plans!$A$1:$B$5,2,FALSE)</f>
        <v>9.99</v>
      </c>
      <c r="N7510">
        <f t="shared" si="117"/>
        <v>0</v>
      </c>
    </row>
    <row r="7511" spans="1:14" x14ac:dyDescent="0.35">
      <c r="A7511">
        <v>7510</v>
      </c>
      <c r="B7511" t="s">
        <v>12</v>
      </c>
      <c r="C7511">
        <v>30</v>
      </c>
      <c r="D7511" t="s">
        <v>28</v>
      </c>
      <c r="E7511" t="s">
        <v>14</v>
      </c>
      <c r="F7511">
        <v>235</v>
      </c>
      <c r="G7511">
        <v>69</v>
      </c>
      <c r="H7511">
        <v>0.48</v>
      </c>
      <c r="I7511" t="s">
        <v>15</v>
      </c>
      <c r="J7511">
        <v>30</v>
      </c>
      <c r="K7511">
        <v>0</v>
      </c>
      <c r="L7511">
        <v>1</v>
      </c>
      <c r="M7511">
        <f>VLOOKUP(Table1[[#This Row],[subscription_type]],Plans!$A$1:$B$5,2,FALSE)</f>
        <v>0</v>
      </c>
      <c r="N7511">
        <f t="shared" si="117"/>
        <v>0</v>
      </c>
    </row>
    <row r="7512" spans="1:14" x14ac:dyDescent="0.35">
      <c r="A7512">
        <v>7511</v>
      </c>
      <c r="B7512" t="s">
        <v>16</v>
      </c>
      <c r="C7512">
        <v>20</v>
      </c>
      <c r="D7512" t="s">
        <v>28</v>
      </c>
      <c r="E7512" t="s">
        <v>14</v>
      </c>
      <c r="F7512">
        <v>258</v>
      </c>
      <c r="G7512">
        <v>60</v>
      </c>
      <c r="H7512">
        <v>0.12</v>
      </c>
      <c r="I7512" t="s">
        <v>23</v>
      </c>
      <c r="J7512">
        <v>5</v>
      </c>
      <c r="K7512">
        <v>0</v>
      </c>
      <c r="L7512">
        <v>0</v>
      </c>
      <c r="M7512">
        <f>VLOOKUP(Table1[[#This Row],[subscription_type]],Plans!$A$1:$B$5,2,FALSE)</f>
        <v>0</v>
      </c>
      <c r="N7512">
        <f t="shared" si="117"/>
        <v>0</v>
      </c>
    </row>
    <row r="7513" spans="1:14" x14ac:dyDescent="0.35">
      <c r="A7513">
        <v>7512</v>
      </c>
      <c r="B7513" t="s">
        <v>16</v>
      </c>
      <c r="C7513">
        <v>51</v>
      </c>
      <c r="D7513" t="s">
        <v>27</v>
      </c>
      <c r="E7513" t="s">
        <v>24</v>
      </c>
      <c r="F7513">
        <v>27</v>
      </c>
      <c r="G7513">
        <v>35</v>
      </c>
      <c r="H7513">
        <v>0.33</v>
      </c>
      <c r="I7513" t="s">
        <v>23</v>
      </c>
      <c r="J7513">
        <v>0</v>
      </c>
      <c r="K7513">
        <v>1</v>
      </c>
      <c r="L7513">
        <v>0</v>
      </c>
      <c r="M7513">
        <f>VLOOKUP(Table1[[#This Row],[subscription_type]],Plans!$A$1:$B$5,2,FALSE)</f>
        <v>4.99</v>
      </c>
      <c r="N7513">
        <f t="shared" si="117"/>
        <v>0</v>
      </c>
    </row>
    <row r="7514" spans="1:14" x14ac:dyDescent="0.35">
      <c r="A7514">
        <v>7513</v>
      </c>
      <c r="B7514" t="s">
        <v>16</v>
      </c>
      <c r="C7514">
        <v>40</v>
      </c>
      <c r="D7514" t="s">
        <v>27</v>
      </c>
      <c r="E7514" t="s">
        <v>22</v>
      </c>
      <c r="F7514">
        <v>174</v>
      </c>
      <c r="G7514">
        <v>95</v>
      </c>
      <c r="H7514">
        <v>0.19</v>
      </c>
      <c r="I7514" t="s">
        <v>15</v>
      </c>
      <c r="J7514">
        <v>0</v>
      </c>
      <c r="K7514">
        <v>1</v>
      </c>
      <c r="L7514">
        <v>0</v>
      </c>
      <c r="M7514">
        <f>VLOOKUP(Table1[[#This Row],[subscription_type]],Plans!$A$1:$B$5,2,FALSE)</f>
        <v>9.99</v>
      </c>
      <c r="N7514">
        <f t="shared" si="117"/>
        <v>0</v>
      </c>
    </row>
    <row r="7515" spans="1:14" x14ac:dyDescent="0.35">
      <c r="A7515">
        <v>7514</v>
      </c>
      <c r="B7515" t="s">
        <v>16</v>
      </c>
      <c r="C7515">
        <v>49</v>
      </c>
      <c r="D7515" t="s">
        <v>29</v>
      </c>
      <c r="E7515" t="s">
        <v>14</v>
      </c>
      <c r="F7515">
        <v>158</v>
      </c>
      <c r="G7515">
        <v>54</v>
      </c>
      <c r="H7515">
        <v>0.44</v>
      </c>
      <c r="I7515" t="s">
        <v>15</v>
      </c>
      <c r="J7515">
        <v>5</v>
      </c>
      <c r="K7515">
        <v>0</v>
      </c>
      <c r="L7515">
        <v>0</v>
      </c>
      <c r="M7515">
        <f>VLOOKUP(Table1[[#This Row],[subscription_type]],Plans!$A$1:$B$5,2,FALSE)</f>
        <v>0</v>
      </c>
      <c r="N7515">
        <f t="shared" si="117"/>
        <v>0</v>
      </c>
    </row>
    <row r="7516" spans="1:14" x14ac:dyDescent="0.35">
      <c r="A7516">
        <v>7515</v>
      </c>
      <c r="B7516" t="s">
        <v>12</v>
      </c>
      <c r="C7516">
        <v>40</v>
      </c>
      <c r="D7516" t="s">
        <v>27</v>
      </c>
      <c r="E7516" t="s">
        <v>14</v>
      </c>
      <c r="F7516">
        <v>227</v>
      </c>
      <c r="G7516">
        <v>3</v>
      </c>
      <c r="H7516">
        <v>0.57999999999999996</v>
      </c>
      <c r="I7516" t="s">
        <v>15</v>
      </c>
      <c r="J7516">
        <v>31</v>
      </c>
      <c r="K7516">
        <v>0</v>
      </c>
      <c r="L7516">
        <v>0</v>
      </c>
      <c r="M7516">
        <f>VLOOKUP(Table1[[#This Row],[subscription_type]],Plans!$A$1:$B$5,2,FALSE)</f>
        <v>0</v>
      </c>
      <c r="N7516">
        <f t="shared" si="117"/>
        <v>0</v>
      </c>
    </row>
    <row r="7517" spans="1:14" x14ac:dyDescent="0.35">
      <c r="A7517">
        <v>7516</v>
      </c>
      <c r="B7517" t="s">
        <v>20</v>
      </c>
      <c r="C7517">
        <v>36</v>
      </c>
      <c r="D7517" t="s">
        <v>25</v>
      </c>
      <c r="E7517" t="s">
        <v>24</v>
      </c>
      <c r="F7517">
        <v>40</v>
      </c>
      <c r="G7517">
        <v>61</v>
      </c>
      <c r="H7517">
        <v>0.17</v>
      </c>
      <c r="I7517" t="s">
        <v>19</v>
      </c>
      <c r="J7517">
        <v>0</v>
      </c>
      <c r="K7517">
        <v>1</v>
      </c>
      <c r="L7517">
        <v>0</v>
      </c>
      <c r="M7517">
        <f>VLOOKUP(Table1[[#This Row],[subscription_type]],Plans!$A$1:$B$5,2,FALSE)</f>
        <v>4.99</v>
      </c>
      <c r="N7517">
        <f t="shared" si="117"/>
        <v>0</v>
      </c>
    </row>
    <row r="7518" spans="1:14" x14ac:dyDescent="0.35">
      <c r="A7518">
        <v>7517</v>
      </c>
      <c r="B7518" t="s">
        <v>20</v>
      </c>
      <c r="C7518">
        <v>35</v>
      </c>
      <c r="D7518" t="s">
        <v>28</v>
      </c>
      <c r="E7518" t="s">
        <v>14</v>
      </c>
      <c r="F7518">
        <v>154</v>
      </c>
      <c r="G7518">
        <v>91</v>
      </c>
      <c r="H7518">
        <v>0.56999999999999995</v>
      </c>
      <c r="I7518" t="s">
        <v>19</v>
      </c>
      <c r="J7518">
        <v>20</v>
      </c>
      <c r="K7518">
        <v>0</v>
      </c>
      <c r="L7518">
        <v>1</v>
      </c>
      <c r="M7518">
        <f>VLOOKUP(Table1[[#This Row],[subscription_type]],Plans!$A$1:$B$5,2,FALSE)</f>
        <v>0</v>
      </c>
      <c r="N7518">
        <f t="shared" si="117"/>
        <v>0</v>
      </c>
    </row>
    <row r="7519" spans="1:14" x14ac:dyDescent="0.35">
      <c r="A7519">
        <v>7518</v>
      </c>
      <c r="B7519" t="s">
        <v>20</v>
      </c>
      <c r="C7519">
        <v>30</v>
      </c>
      <c r="D7519" t="s">
        <v>21</v>
      </c>
      <c r="E7519" t="s">
        <v>22</v>
      </c>
      <c r="F7519">
        <v>269</v>
      </c>
      <c r="G7519">
        <v>21</v>
      </c>
      <c r="H7519">
        <v>0.53</v>
      </c>
      <c r="I7519" t="s">
        <v>15</v>
      </c>
      <c r="J7519">
        <v>0</v>
      </c>
      <c r="K7519">
        <v>1</v>
      </c>
      <c r="L7519">
        <v>0</v>
      </c>
      <c r="M7519">
        <f>VLOOKUP(Table1[[#This Row],[subscription_type]],Plans!$A$1:$B$5,2,FALSE)</f>
        <v>9.99</v>
      </c>
      <c r="N7519">
        <f t="shared" si="117"/>
        <v>0</v>
      </c>
    </row>
    <row r="7520" spans="1:14" x14ac:dyDescent="0.35">
      <c r="A7520">
        <v>7519</v>
      </c>
      <c r="B7520" t="s">
        <v>12</v>
      </c>
      <c r="C7520">
        <v>27</v>
      </c>
      <c r="D7520" t="s">
        <v>26</v>
      </c>
      <c r="E7520" t="s">
        <v>24</v>
      </c>
      <c r="F7520">
        <v>69</v>
      </c>
      <c r="G7520">
        <v>52</v>
      </c>
      <c r="H7520">
        <v>0.19</v>
      </c>
      <c r="I7520" t="s">
        <v>23</v>
      </c>
      <c r="J7520">
        <v>0</v>
      </c>
      <c r="K7520">
        <v>1</v>
      </c>
      <c r="L7520">
        <v>1</v>
      </c>
      <c r="M7520">
        <f>VLOOKUP(Table1[[#This Row],[subscription_type]],Plans!$A$1:$B$5,2,FALSE)</f>
        <v>4.99</v>
      </c>
      <c r="N7520">
        <f t="shared" si="117"/>
        <v>4.99</v>
      </c>
    </row>
    <row r="7521" spans="1:14" x14ac:dyDescent="0.35">
      <c r="A7521">
        <v>7520</v>
      </c>
      <c r="B7521" t="s">
        <v>12</v>
      </c>
      <c r="C7521">
        <v>53</v>
      </c>
      <c r="D7521" t="s">
        <v>28</v>
      </c>
      <c r="E7521" t="s">
        <v>14</v>
      </c>
      <c r="F7521">
        <v>64</v>
      </c>
      <c r="G7521">
        <v>20</v>
      </c>
      <c r="H7521">
        <v>0.35</v>
      </c>
      <c r="I7521" t="s">
        <v>19</v>
      </c>
      <c r="J7521">
        <v>44</v>
      </c>
      <c r="K7521">
        <v>0</v>
      </c>
      <c r="L7521">
        <v>0</v>
      </c>
      <c r="M7521">
        <f>VLOOKUP(Table1[[#This Row],[subscription_type]],Plans!$A$1:$B$5,2,FALSE)</f>
        <v>0</v>
      </c>
      <c r="N7521">
        <f t="shared" si="117"/>
        <v>0</v>
      </c>
    </row>
    <row r="7522" spans="1:14" x14ac:dyDescent="0.35">
      <c r="A7522">
        <v>7521</v>
      </c>
      <c r="B7522" t="s">
        <v>20</v>
      </c>
      <c r="C7522">
        <v>42</v>
      </c>
      <c r="D7522" t="s">
        <v>27</v>
      </c>
      <c r="E7522" t="s">
        <v>24</v>
      </c>
      <c r="F7522">
        <v>74</v>
      </c>
      <c r="G7522">
        <v>51</v>
      </c>
      <c r="H7522">
        <v>0.27</v>
      </c>
      <c r="I7522" t="s">
        <v>23</v>
      </c>
      <c r="J7522">
        <v>0</v>
      </c>
      <c r="K7522">
        <v>1</v>
      </c>
      <c r="L7522">
        <v>0</v>
      </c>
      <c r="M7522">
        <f>VLOOKUP(Table1[[#This Row],[subscription_type]],Plans!$A$1:$B$5,2,FALSE)</f>
        <v>4.99</v>
      </c>
      <c r="N7522">
        <f t="shared" si="117"/>
        <v>0</v>
      </c>
    </row>
    <row r="7523" spans="1:14" x14ac:dyDescent="0.35">
      <c r="A7523">
        <v>7522</v>
      </c>
      <c r="B7523" t="s">
        <v>20</v>
      </c>
      <c r="C7523">
        <v>54</v>
      </c>
      <c r="D7523" t="s">
        <v>17</v>
      </c>
      <c r="E7523" t="s">
        <v>24</v>
      </c>
      <c r="F7523">
        <v>62</v>
      </c>
      <c r="G7523">
        <v>19</v>
      </c>
      <c r="H7523">
        <v>0.35</v>
      </c>
      <c r="I7523" t="s">
        <v>23</v>
      </c>
      <c r="J7523">
        <v>0</v>
      </c>
      <c r="K7523">
        <v>1</v>
      </c>
      <c r="L7523">
        <v>1</v>
      </c>
      <c r="M7523">
        <f>VLOOKUP(Table1[[#This Row],[subscription_type]],Plans!$A$1:$B$5,2,FALSE)</f>
        <v>4.99</v>
      </c>
      <c r="N7523">
        <f t="shared" si="117"/>
        <v>4.99</v>
      </c>
    </row>
    <row r="7524" spans="1:14" x14ac:dyDescent="0.35">
      <c r="A7524">
        <v>7523</v>
      </c>
      <c r="B7524" t="s">
        <v>16</v>
      </c>
      <c r="C7524">
        <v>24</v>
      </c>
      <c r="D7524" t="s">
        <v>17</v>
      </c>
      <c r="E7524" t="s">
        <v>24</v>
      </c>
      <c r="F7524">
        <v>246</v>
      </c>
      <c r="G7524">
        <v>96</v>
      </c>
      <c r="H7524">
        <v>0.24</v>
      </c>
      <c r="I7524" t="s">
        <v>23</v>
      </c>
      <c r="J7524">
        <v>0</v>
      </c>
      <c r="K7524">
        <v>1</v>
      </c>
      <c r="L7524">
        <v>0</v>
      </c>
      <c r="M7524">
        <f>VLOOKUP(Table1[[#This Row],[subscription_type]],Plans!$A$1:$B$5,2,FALSE)</f>
        <v>4.99</v>
      </c>
      <c r="N7524">
        <f t="shared" si="117"/>
        <v>0</v>
      </c>
    </row>
    <row r="7525" spans="1:14" x14ac:dyDescent="0.35">
      <c r="A7525">
        <v>7524</v>
      </c>
      <c r="B7525" t="s">
        <v>12</v>
      </c>
      <c r="C7525">
        <v>20</v>
      </c>
      <c r="D7525" t="s">
        <v>21</v>
      </c>
      <c r="E7525" t="s">
        <v>22</v>
      </c>
      <c r="F7525">
        <v>18</v>
      </c>
      <c r="G7525">
        <v>9</v>
      </c>
      <c r="H7525">
        <v>0.05</v>
      </c>
      <c r="I7525" t="s">
        <v>15</v>
      </c>
      <c r="J7525">
        <v>0</v>
      </c>
      <c r="K7525">
        <v>1</v>
      </c>
      <c r="L7525">
        <v>1</v>
      </c>
      <c r="M7525">
        <f>VLOOKUP(Table1[[#This Row],[subscription_type]],Plans!$A$1:$B$5,2,FALSE)</f>
        <v>9.99</v>
      </c>
      <c r="N7525">
        <f t="shared" si="117"/>
        <v>9.99</v>
      </c>
    </row>
    <row r="7526" spans="1:14" x14ac:dyDescent="0.35">
      <c r="A7526">
        <v>7525</v>
      </c>
      <c r="B7526" t="s">
        <v>12</v>
      </c>
      <c r="C7526">
        <v>24</v>
      </c>
      <c r="D7526" t="s">
        <v>13</v>
      </c>
      <c r="E7526" t="s">
        <v>22</v>
      </c>
      <c r="F7526">
        <v>60</v>
      </c>
      <c r="G7526">
        <v>12</v>
      </c>
      <c r="H7526">
        <v>0.1</v>
      </c>
      <c r="I7526" t="s">
        <v>19</v>
      </c>
      <c r="J7526">
        <v>0</v>
      </c>
      <c r="K7526">
        <v>1</v>
      </c>
      <c r="L7526">
        <v>0</v>
      </c>
      <c r="M7526">
        <f>VLOOKUP(Table1[[#This Row],[subscription_type]],Plans!$A$1:$B$5,2,FALSE)</f>
        <v>9.99</v>
      </c>
      <c r="N7526">
        <f t="shared" si="117"/>
        <v>0</v>
      </c>
    </row>
    <row r="7527" spans="1:14" x14ac:dyDescent="0.35">
      <c r="A7527">
        <v>7526</v>
      </c>
      <c r="B7527" t="s">
        <v>16</v>
      </c>
      <c r="C7527">
        <v>24</v>
      </c>
      <c r="D7527" t="s">
        <v>21</v>
      </c>
      <c r="E7527" t="s">
        <v>24</v>
      </c>
      <c r="F7527">
        <v>26</v>
      </c>
      <c r="G7527">
        <v>2</v>
      </c>
      <c r="H7527">
        <v>0.56999999999999995</v>
      </c>
      <c r="I7527" t="s">
        <v>23</v>
      </c>
      <c r="J7527">
        <v>0</v>
      </c>
      <c r="K7527">
        <v>1</v>
      </c>
      <c r="L7527">
        <v>1</v>
      </c>
      <c r="M7527">
        <f>VLOOKUP(Table1[[#This Row],[subscription_type]],Plans!$A$1:$B$5,2,FALSE)</f>
        <v>4.99</v>
      </c>
      <c r="N7527">
        <f t="shared" si="117"/>
        <v>4.99</v>
      </c>
    </row>
    <row r="7528" spans="1:14" x14ac:dyDescent="0.35">
      <c r="A7528">
        <v>7527</v>
      </c>
      <c r="B7528" t="s">
        <v>12</v>
      </c>
      <c r="C7528">
        <v>58</v>
      </c>
      <c r="D7528" t="s">
        <v>29</v>
      </c>
      <c r="E7528" t="s">
        <v>24</v>
      </c>
      <c r="F7528">
        <v>57</v>
      </c>
      <c r="G7528">
        <v>68</v>
      </c>
      <c r="H7528">
        <v>0.53</v>
      </c>
      <c r="I7528" t="s">
        <v>15</v>
      </c>
      <c r="J7528">
        <v>0</v>
      </c>
      <c r="K7528">
        <v>1</v>
      </c>
      <c r="L7528">
        <v>0</v>
      </c>
      <c r="M7528">
        <f>VLOOKUP(Table1[[#This Row],[subscription_type]],Plans!$A$1:$B$5,2,FALSE)</f>
        <v>4.99</v>
      </c>
      <c r="N7528">
        <f t="shared" si="117"/>
        <v>0</v>
      </c>
    </row>
    <row r="7529" spans="1:14" x14ac:dyDescent="0.35">
      <c r="A7529">
        <v>7528</v>
      </c>
      <c r="B7529" t="s">
        <v>16</v>
      </c>
      <c r="C7529">
        <v>56</v>
      </c>
      <c r="D7529" t="s">
        <v>25</v>
      </c>
      <c r="E7529" t="s">
        <v>24</v>
      </c>
      <c r="F7529">
        <v>93</v>
      </c>
      <c r="G7529">
        <v>83</v>
      </c>
      <c r="H7529">
        <v>0.02</v>
      </c>
      <c r="I7529" t="s">
        <v>23</v>
      </c>
      <c r="J7529">
        <v>0</v>
      </c>
      <c r="K7529">
        <v>1</v>
      </c>
      <c r="L7529">
        <v>0</v>
      </c>
      <c r="M7529">
        <f>VLOOKUP(Table1[[#This Row],[subscription_type]],Plans!$A$1:$B$5,2,FALSE)</f>
        <v>4.99</v>
      </c>
      <c r="N7529">
        <f t="shared" si="117"/>
        <v>0</v>
      </c>
    </row>
    <row r="7530" spans="1:14" x14ac:dyDescent="0.35">
      <c r="A7530">
        <v>7529</v>
      </c>
      <c r="B7530" t="s">
        <v>16</v>
      </c>
      <c r="C7530">
        <v>56</v>
      </c>
      <c r="D7530" t="s">
        <v>13</v>
      </c>
      <c r="E7530" t="s">
        <v>24</v>
      </c>
      <c r="F7530">
        <v>293</v>
      </c>
      <c r="G7530">
        <v>60</v>
      </c>
      <c r="H7530">
        <v>0.4</v>
      </c>
      <c r="I7530" t="s">
        <v>23</v>
      </c>
      <c r="J7530">
        <v>0</v>
      </c>
      <c r="K7530">
        <v>1</v>
      </c>
      <c r="L7530">
        <v>0</v>
      </c>
      <c r="M7530">
        <f>VLOOKUP(Table1[[#This Row],[subscription_type]],Plans!$A$1:$B$5,2,FALSE)</f>
        <v>4.99</v>
      </c>
      <c r="N7530">
        <f t="shared" si="117"/>
        <v>0</v>
      </c>
    </row>
    <row r="7531" spans="1:14" x14ac:dyDescent="0.35">
      <c r="A7531">
        <v>7530</v>
      </c>
      <c r="B7531" t="s">
        <v>20</v>
      </c>
      <c r="C7531">
        <v>40</v>
      </c>
      <c r="D7531" t="s">
        <v>13</v>
      </c>
      <c r="E7531" t="s">
        <v>24</v>
      </c>
      <c r="F7531">
        <v>176</v>
      </c>
      <c r="G7531">
        <v>95</v>
      </c>
      <c r="H7531">
        <v>0.03</v>
      </c>
      <c r="I7531" t="s">
        <v>19</v>
      </c>
      <c r="J7531">
        <v>0</v>
      </c>
      <c r="K7531">
        <v>1</v>
      </c>
      <c r="L7531">
        <v>0</v>
      </c>
      <c r="M7531">
        <f>VLOOKUP(Table1[[#This Row],[subscription_type]],Plans!$A$1:$B$5,2,FALSE)</f>
        <v>4.99</v>
      </c>
      <c r="N7531">
        <f t="shared" si="117"/>
        <v>0</v>
      </c>
    </row>
    <row r="7532" spans="1:14" x14ac:dyDescent="0.35">
      <c r="A7532">
        <v>7531</v>
      </c>
      <c r="B7532" t="s">
        <v>16</v>
      </c>
      <c r="C7532">
        <v>20</v>
      </c>
      <c r="D7532" t="s">
        <v>17</v>
      </c>
      <c r="E7532" t="s">
        <v>14</v>
      </c>
      <c r="F7532">
        <v>133</v>
      </c>
      <c r="G7532">
        <v>19</v>
      </c>
      <c r="H7532">
        <v>0.27</v>
      </c>
      <c r="I7532" t="s">
        <v>15</v>
      </c>
      <c r="J7532">
        <v>35</v>
      </c>
      <c r="K7532">
        <v>0</v>
      </c>
      <c r="L7532">
        <v>0</v>
      </c>
      <c r="M7532">
        <f>VLOOKUP(Table1[[#This Row],[subscription_type]],Plans!$A$1:$B$5,2,FALSE)</f>
        <v>0</v>
      </c>
      <c r="N7532">
        <f t="shared" si="117"/>
        <v>0</v>
      </c>
    </row>
    <row r="7533" spans="1:14" x14ac:dyDescent="0.35">
      <c r="A7533">
        <v>7532</v>
      </c>
      <c r="B7533" t="s">
        <v>20</v>
      </c>
      <c r="C7533">
        <v>47</v>
      </c>
      <c r="D7533" t="s">
        <v>17</v>
      </c>
      <c r="E7533" t="s">
        <v>24</v>
      </c>
      <c r="F7533">
        <v>292</v>
      </c>
      <c r="G7533">
        <v>27</v>
      </c>
      <c r="H7533">
        <v>0.57999999999999996</v>
      </c>
      <c r="I7533" t="s">
        <v>15</v>
      </c>
      <c r="J7533">
        <v>0</v>
      </c>
      <c r="K7533">
        <v>1</v>
      </c>
      <c r="L7533">
        <v>0</v>
      </c>
      <c r="M7533">
        <f>VLOOKUP(Table1[[#This Row],[subscription_type]],Plans!$A$1:$B$5,2,FALSE)</f>
        <v>4.99</v>
      </c>
      <c r="N7533">
        <f t="shared" si="117"/>
        <v>0</v>
      </c>
    </row>
    <row r="7534" spans="1:14" x14ac:dyDescent="0.35">
      <c r="A7534">
        <v>7533</v>
      </c>
      <c r="B7534" t="s">
        <v>16</v>
      </c>
      <c r="C7534">
        <v>35</v>
      </c>
      <c r="D7534" t="s">
        <v>13</v>
      </c>
      <c r="E7534" t="s">
        <v>22</v>
      </c>
      <c r="F7534">
        <v>202</v>
      </c>
      <c r="G7534">
        <v>39</v>
      </c>
      <c r="H7534">
        <v>0.09</v>
      </c>
      <c r="I7534" t="s">
        <v>19</v>
      </c>
      <c r="J7534">
        <v>0</v>
      </c>
      <c r="K7534">
        <v>1</v>
      </c>
      <c r="L7534">
        <v>0</v>
      </c>
      <c r="M7534">
        <f>VLOOKUP(Table1[[#This Row],[subscription_type]],Plans!$A$1:$B$5,2,FALSE)</f>
        <v>9.99</v>
      </c>
      <c r="N7534">
        <f t="shared" si="117"/>
        <v>0</v>
      </c>
    </row>
    <row r="7535" spans="1:14" x14ac:dyDescent="0.35">
      <c r="A7535">
        <v>7534</v>
      </c>
      <c r="B7535" t="s">
        <v>16</v>
      </c>
      <c r="C7535">
        <v>42</v>
      </c>
      <c r="D7535" t="s">
        <v>21</v>
      </c>
      <c r="E7535" t="s">
        <v>18</v>
      </c>
      <c r="F7535">
        <v>174</v>
      </c>
      <c r="G7535">
        <v>92</v>
      </c>
      <c r="H7535">
        <v>0.2</v>
      </c>
      <c r="I7535" t="s">
        <v>23</v>
      </c>
      <c r="J7535">
        <v>0</v>
      </c>
      <c r="K7535">
        <v>1</v>
      </c>
      <c r="L7535">
        <v>0</v>
      </c>
      <c r="M7535">
        <f>VLOOKUP(Table1[[#This Row],[subscription_type]],Plans!$A$1:$B$5,2,FALSE)</f>
        <v>14.99</v>
      </c>
      <c r="N7535">
        <f t="shared" si="117"/>
        <v>0</v>
      </c>
    </row>
    <row r="7536" spans="1:14" x14ac:dyDescent="0.35">
      <c r="A7536">
        <v>7535</v>
      </c>
      <c r="B7536" t="s">
        <v>16</v>
      </c>
      <c r="C7536">
        <v>20</v>
      </c>
      <c r="D7536" t="s">
        <v>27</v>
      </c>
      <c r="E7536" t="s">
        <v>22</v>
      </c>
      <c r="F7536">
        <v>184</v>
      </c>
      <c r="G7536">
        <v>10</v>
      </c>
      <c r="H7536">
        <v>0.14000000000000001</v>
      </c>
      <c r="I7536" t="s">
        <v>15</v>
      </c>
      <c r="J7536">
        <v>0</v>
      </c>
      <c r="K7536">
        <v>1</v>
      </c>
      <c r="L7536">
        <v>1</v>
      </c>
      <c r="M7536">
        <f>VLOOKUP(Table1[[#This Row],[subscription_type]],Plans!$A$1:$B$5,2,FALSE)</f>
        <v>9.99</v>
      </c>
      <c r="N7536">
        <f t="shared" si="117"/>
        <v>9.99</v>
      </c>
    </row>
    <row r="7537" spans="1:14" x14ac:dyDescent="0.35">
      <c r="A7537">
        <v>7536</v>
      </c>
      <c r="B7537" t="s">
        <v>20</v>
      </c>
      <c r="C7537">
        <v>26</v>
      </c>
      <c r="D7537" t="s">
        <v>27</v>
      </c>
      <c r="E7537" t="s">
        <v>18</v>
      </c>
      <c r="F7537">
        <v>273</v>
      </c>
      <c r="G7537">
        <v>38</v>
      </c>
      <c r="H7537">
        <v>0.39</v>
      </c>
      <c r="I7537" t="s">
        <v>19</v>
      </c>
      <c r="J7537">
        <v>0</v>
      </c>
      <c r="K7537">
        <v>1</v>
      </c>
      <c r="L7537">
        <v>1</v>
      </c>
      <c r="M7537">
        <f>VLOOKUP(Table1[[#This Row],[subscription_type]],Plans!$A$1:$B$5,2,FALSE)</f>
        <v>14.99</v>
      </c>
      <c r="N7537">
        <f t="shared" si="117"/>
        <v>14.99</v>
      </c>
    </row>
    <row r="7538" spans="1:14" x14ac:dyDescent="0.35">
      <c r="A7538">
        <v>7537</v>
      </c>
      <c r="B7538" t="s">
        <v>12</v>
      </c>
      <c r="C7538">
        <v>57</v>
      </c>
      <c r="D7538" t="s">
        <v>27</v>
      </c>
      <c r="E7538" t="s">
        <v>18</v>
      </c>
      <c r="F7538">
        <v>207</v>
      </c>
      <c r="G7538">
        <v>32</v>
      </c>
      <c r="H7538">
        <v>0.13</v>
      </c>
      <c r="I7538" t="s">
        <v>15</v>
      </c>
      <c r="J7538">
        <v>0</v>
      </c>
      <c r="K7538">
        <v>1</v>
      </c>
      <c r="L7538">
        <v>1</v>
      </c>
      <c r="M7538">
        <f>VLOOKUP(Table1[[#This Row],[subscription_type]],Plans!$A$1:$B$5,2,FALSE)</f>
        <v>14.99</v>
      </c>
      <c r="N7538">
        <f t="shared" si="117"/>
        <v>14.99</v>
      </c>
    </row>
    <row r="7539" spans="1:14" x14ac:dyDescent="0.35">
      <c r="A7539">
        <v>7538</v>
      </c>
      <c r="B7539" t="s">
        <v>20</v>
      </c>
      <c r="C7539">
        <v>47</v>
      </c>
      <c r="D7539" t="s">
        <v>25</v>
      </c>
      <c r="E7539" t="s">
        <v>14</v>
      </c>
      <c r="F7539">
        <v>120</v>
      </c>
      <c r="G7539">
        <v>35</v>
      </c>
      <c r="H7539">
        <v>0.46</v>
      </c>
      <c r="I7539" t="s">
        <v>19</v>
      </c>
      <c r="J7539">
        <v>26</v>
      </c>
      <c r="K7539">
        <v>0</v>
      </c>
      <c r="L7539">
        <v>0</v>
      </c>
      <c r="M7539">
        <f>VLOOKUP(Table1[[#This Row],[subscription_type]],Plans!$A$1:$B$5,2,FALSE)</f>
        <v>0</v>
      </c>
      <c r="N7539">
        <f t="shared" si="117"/>
        <v>0</v>
      </c>
    </row>
    <row r="7540" spans="1:14" x14ac:dyDescent="0.35">
      <c r="A7540">
        <v>7539</v>
      </c>
      <c r="B7540" t="s">
        <v>20</v>
      </c>
      <c r="C7540">
        <v>53</v>
      </c>
      <c r="D7540" t="s">
        <v>26</v>
      </c>
      <c r="E7540" t="s">
        <v>18</v>
      </c>
      <c r="F7540">
        <v>52</v>
      </c>
      <c r="G7540">
        <v>65</v>
      </c>
      <c r="H7540">
        <v>0.47</v>
      </c>
      <c r="I7540" t="s">
        <v>15</v>
      </c>
      <c r="J7540">
        <v>0</v>
      </c>
      <c r="K7540">
        <v>1</v>
      </c>
      <c r="L7540">
        <v>0</v>
      </c>
      <c r="M7540">
        <f>VLOOKUP(Table1[[#This Row],[subscription_type]],Plans!$A$1:$B$5,2,FALSE)</f>
        <v>14.99</v>
      </c>
      <c r="N7540">
        <f t="shared" si="117"/>
        <v>0</v>
      </c>
    </row>
    <row r="7541" spans="1:14" x14ac:dyDescent="0.35">
      <c r="A7541">
        <v>7540</v>
      </c>
      <c r="B7541" t="s">
        <v>20</v>
      </c>
      <c r="C7541">
        <v>20</v>
      </c>
      <c r="D7541" t="s">
        <v>25</v>
      </c>
      <c r="E7541" t="s">
        <v>22</v>
      </c>
      <c r="F7541">
        <v>31</v>
      </c>
      <c r="G7541">
        <v>36</v>
      </c>
      <c r="H7541">
        <v>0.38</v>
      </c>
      <c r="I7541" t="s">
        <v>15</v>
      </c>
      <c r="J7541">
        <v>0</v>
      </c>
      <c r="K7541">
        <v>1</v>
      </c>
      <c r="L7541">
        <v>0</v>
      </c>
      <c r="M7541">
        <f>VLOOKUP(Table1[[#This Row],[subscription_type]],Plans!$A$1:$B$5,2,FALSE)</f>
        <v>9.99</v>
      </c>
      <c r="N7541">
        <f t="shared" si="117"/>
        <v>0</v>
      </c>
    </row>
    <row r="7542" spans="1:14" x14ac:dyDescent="0.35">
      <c r="A7542">
        <v>7541</v>
      </c>
      <c r="B7542" t="s">
        <v>20</v>
      </c>
      <c r="C7542">
        <v>41</v>
      </c>
      <c r="D7542" t="s">
        <v>27</v>
      </c>
      <c r="E7542" t="s">
        <v>18</v>
      </c>
      <c r="F7542">
        <v>297</v>
      </c>
      <c r="G7542">
        <v>3</v>
      </c>
      <c r="H7542">
        <v>0.21</v>
      </c>
      <c r="I7542" t="s">
        <v>23</v>
      </c>
      <c r="J7542">
        <v>0</v>
      </c>
      <c r="K7542">
        <v>1</v>
      </c>
      <c r="L7542">
        <v>0</v>
      </c>
      <c r="M7542">
        <f>VLOOKUP(Table1[[#This Row],[subscription_type]],Plans!$A$1:$B$5,2,FALSE)</f>
        <v>14.99</v>
      </c>
      <c r="N7542">
        <f t="shared" si="117"/>
        <v>0</v>
      </c>
    </row>
    <row r="7543" spans="1:14" x14ac:dyDescent="0.35">
      <c r="A7543">
        <v>7542</v>
      </c>
      <c r="B7543" t="s">
        <v>20</v>
      </c>
      <c r="C7543">
        <v>22</v>
      </c>
      <c r="D7543" t="s">
        <v>26</v>
      </c>
      <c r="E7543" t="s">
        <v>18</v>
      </c>
      <c r="F7543">
        <v>64</v>
      </c>
      <c r="G7543">
        <v>78</v>
      </c>
      <c r="H7543">
        <v>0.56000000000000005</v>
      </c>
      <c r="I7543" t="s">
        <v>23</v>
      </c>
      <c r="J7543">
        <v>0</v>
      </c>
      <c r="K7543">
        <v>1</v>
      </c>
      <c r="L7543">
        <v>0</v>
      </c>
      <c r="M7543">
        <f>VLOOKUP(Table1[[#This Row],[subscription_type]],Plans!$A$1:$B$5,2,FALSE)</f>
        <v>14.99</v>
      </c>
      <c r="N7543">
        <f t="shared" si="117"/>
        <v>0</v>
      </c>
    </row>
    <row r="7544" spans="1:14" x14ac:dyDescent="0.35">
      <c r="A7544">
        <v>7543</v>
      </c>
      <c r="B7544" t="s">
        <v>16</v>
      </c>
      <c r="C7544">
        <v>37</v>
      </c>
      <c r="D7544" t="s">
        <v>28</v>
      </c>
      <c r="E7544" t="s">
        <v>14</v>
      </c>
      <c r="F7544">
        <v>256</v>
      </c>
      <c r="G7544">
        <v>79</v>
      </c>
      <c r="H7544">
        <v>0.22</v>
      </c>
      <c r="I7544" t="s">
        <v>23</v>
      </c>
      <c r="J7544">
        <v>25</v>
      </c>
      <c r="K7544">
        <v>0</v>
      </c>
      <c r="L7544">
        <v>0</v>
      </c>
      <c r="M7544">
        <f>VLOOKUP(Table1[[#This Row],[subscription_type]],Plans!$A$1:$B$5,2,FALSE)</f>
        <v>0</v>
      </c>
      <c r="N7544">
        <f t="shared" si="117"/>
        <v>0</v>
      </c>
    </row>
    <row r="7545" spans="1:14" x14ac:dyDescent="0.35">
      <c r="A7545">
        <v>7544</v>
      </c>
      <c r="B7545" t="s">
        <v>12</v>
      </c>
      <c r="C7545">
        <v>22</v>
      </c>
      <c r="D7545" t="s">
        <v>27</v>
      </c>
      <c r="E7545" t="s">
        <v>18</v>
      </c>
      <c r="F7545">
        <v>288</v>
      </c>
      <c r="G7545">
        <v>88</v>
      </c>
      <c r="H7545">
        <v>0.17</v>
      </c>
      <c r="I7545" t="s">
        <v>19</v>
      </c>
      <c r="J7545">
        <v>0</v>
      </c>
      <c r="K7545">
        <v>1</v>
      </c>
      <c r="L7545">
        <v>1</v>
      </c>
      <c r="M7545">
        <f>VLOOKUP(Table1[[#This Row],[subscription_type]],Plans!$A$1:$B$5,2,FALSE)</f>
        <v>14.99</v>
      </c>
      <c r="N7545">
        <f t="shared" si="117"/>
        <v>14.99</v>
      </c>
    </row>
    <row r="7546" spans="1:14" x14ac:dyDescent="0.35">
      <c r="A7546">
        <v>7545</v>
      </c>
      <c r="B7546" t="s">
        <v>12</v>
      </c>
      <c r="C7546">
        <v>42</v>
      </c>
      <c r="D7546" t="s">
        <v>29</v>
      </c>
      <c r="E7546" t="s">
        <v>24</v>
      </c>
      <c r="F7546">
        <v>23</v>
      </c>
      <c r="G7546">
        <v>33</v>
      </c>
      <c r="H7546">
        <v>0.41</v>
      </c>
      <c r="I7546" t="s">
        <v>15</v>
      </c>
      <c r="J7546">
        <v>0</v>
      </c>
      <c r="K7546">
        <v>1</v>
      </c>
      <c r="L7546">
        <v>0</v>
      </c>
      <c r="M7546">
        <f>VLOOKUP(Table1[[#This Row],[subscription_type]],Plans!$A$1:$B$5,2,FALSE)</f>
        <v>4.99</v>
      </c>
      <c r="N7546">
        <f t="shared" si="117"/>
        <v>0</v>
      </c>
    </row>
    <row r="7547" spans="1:14" x14ac:dyDescent="0.35">
      <c r="A7547">
        <v>7546</v>
      </c>
      <c r="B7547" t="s">
        <v>12</v>
      </c>
      <c r="C7547">
        <v>41</v>
      </c>
      <c r="D7547" t="s">
        <v>21</v>
      </c>
      <c r="E7547" t="s">
        <v>24</v>
      </c>
      <c r="F7547">
        <v>71</v>
      </c>
      <c r="G7547">
        <v>64</v>
      </c>
      <c r="H7547">
        <v>0.01</v>
      </c>
      <c r="I7547" t="s">
        <v>19</v>
      </c>
      <c r="J7547">
        <v>0</v>
      </c>
      <c r="K7547">
        <v>1</v>
      </c>
      <c r="L7547">
        <v>1</v>
      </c>
      <c r="M7547">
        <f>VLOOKUP(Table1[[#This Row],[subscription_type]],Plans!$A$1:$B$5,2,FALSE)</f>
        <v>4.99</v>
      </c>
      <c r="N7547">
        <f t="shared" si="117"/>
        <v>4.99</v>
      </c>
    </row>
    <row r="7548" spans="1:14" x14ac:dyDescent="0.35">
      <c r="A7548">
        <v>7547</v>
      </c>
      <c r="B7548" t="s">
        <v>12</v>
      </c>
      <c r="C7548">
        <v>28</v>
      </c>
      <c r="D7548" t="s">
        <v>27</v>
      </c>
      <c r="E7548" t="s">
        <v>18</v>
      </c>
      <c r="F7548">
        <v>286</v>
      </c>
      <c r="G7548">
        <v>97</v>
      </c>
      <c r="H7548">
        <v>0.24</v>
      </c>
      <c r="I7548" t="s">
        <v>15</v>
      </c>
      <c r="J7548">
        <v>0</v>
      </c>
      <c r="K7548">
        <v>1</v>
      </c>
      <c r="L7548">
        <v>0</v>
      </c>
      <c r="M7548">
        <f>VLOOKUP(Table1[[#This Row],[subscription_type]],Plans!$A$1:$B$5,2,FALSE)</f>
        <v>14.99</v>
      </c>
      <c r="N7548">
        <f t="shared" si="117"/>
        <v>0</v>
      </c>
    </row>
    <row r="7549" spans="1:14" x14ac:dyDescent="0.35">
      <c r="A7549">
        <v>7548</v>
      </c>
      <c r="B7549" t="s">
        <v>20</v>
      </c>
      <c r="C7549">
        <v>42</v>
      </c>
      <c r="D7549" t="s">
        <v>25</v>
      </c>
      <c r="E7549" t="s">
        <v>22</v>
      </c>
      <c r="F7549">
        <v>133</v>
      </c>
      <c r="G7549">
        <v>1</v>
      </c>
      <c r="H7549">
        <v>0.03</v>
      </c>
      <c r="I7549" t="s">
        <v>23</v>
      </c>
      <c r="J7549">
        <v>0</v>
      </c>
      <c r="K7549">
        <v>1</v>
      </c>
      <c r="L7549">
        <v>0</v>
      </c>
      <c r="M7549">
        <f>VLOOKUP(Table1[[#This Row],[subscription_type]],Plans!$A$1:$B$5,2,FALSE)</f>
        <v>9.99</v>
      </c>
      <c r="N7549">
        <f t="shared" si="117"/>
        <v>0</v>
      </c>
    </row>
    <row r="7550" spans="1:14" x14ac:dyDescent="0.35">
      <c r="A7550">
        <v>7549</v>
      </c>
      <c r="B7550" t="s">
        <v>20</v>
      </c>
      <c r="C7550">
        <v>41</v>
      </c>
      <c r="D7550" t="s">
        <v>17</v>
      </c>
      <c r="E7550" t="s">
        <v>24</v>
      </c>
      <c r="F7550">
        <v>268</v>
      </c>
      <c r="G7550">
        <v>1</v>
      </c>
      <c r="H7550">
        <v>0.41</v>
      </c>
      <c r="I7550" t="s">
        <v>15</v>
      </c>
      <c r="J7550">
        <v>0</v>
      </c>
      <c r="K7550">
        <v>1</v>
      </c>
      <c r="L7550">
        <v>0</v>
      </c>
      <c r="M7550">
        <f>VLOOKUP(Table1[[#This Row],[subscription_type]],Plans!$A$1:$B$5,2,FALSE)</f>
        <v>4.99</v>
      </c>
      <c r="N7550">
        <f t="shared" si="117"/>
        <v>0</v>
      </c>
    </row>
    <row r="7551" spans="1:14" x14ac:dyDescent="0.35">
      <c r="A7551">
        <v>7550</v>
      </c>
      <c r="B7551" t="s">
        <v>16</v>
      </c>
      <c r="C7551">
        <v>49</v>
      </c>
      <c r="D7551" t="s">
        <v>25</v>
      </c>
      <c r="E7551" t="s">
        <v>14</v>
      </c>
      <c r="F7551">
        <v>92</v>
      </c>
      <c r="G7551">
        <v>59</v>
      </c>
      <c r="H7551">
        <v>0.11</v>
      </c>
      <c r="I7551" t="s">
        <v>19</v>
      </c>
      <c r="J7551">
        <v>23</v>
      </c>
      <c r="K7551">
        <v>0</v>
      </c>
      <c r="L7551">
        <v>0</v>
      </c>
      <c r="M7551">
        <f>VLOOKUP(Table1[[#This Row],[subscription_type]],Plans!$A$1:$B$5,2,FALSE)</f>
        <v>0</v>
      </c>
      <c r="N7551">
        <f t="shared" si="117"/>
        <v>0</v>
      </c>
    </row>
    <row r="7552" spans="1:14" x14ac:dyDescent="0.35">
      <c r="A7552">
        <v>7551</v>
      </c>
      <c r="B7552" t="s">
        <v>16</v>
      </c>
      <c r="C7552">
        <v>44</v>
      </c>
      <c r="D7552" t="s">
        <v>13</v>
      </c>
      <c r="E7552" t="s">
        <v>18</v>
      </c>
      <c r="F7552">
        <v>124</v>
      </c>
      <c r="G7552">
        <v>41</v>
      </c>
      <c r="H7552">
        <v>0.59</v>
      </c>
      <c r="I7552" t="s">
        <v>19</v>
      </c>
      <c r="J7552">
        <v>0</v>
      </c>
      <c r="K7552">
        <v>1</v>
      </c>
      <c r="L7552">
        <v>0</v>
      </c>
      <c r="M7552">
        <f>VLOOKUP(Table1[[#This Row],[subscription_type]],Plans!$A$1:$B$5,2,FALSE)</f>
        <v>14.99</v>
      </c>
      <c r="N7552">
        <f t="shared" si="117"/>
        <v>0</v>
      </c>
    </row>
    <row r="7553" spans="1:14" x14ac:dyDescent="0.35">
      <c r="A7553">
        <v>7552</v>
      </c>
      <c r="B7553" t="s">
        <v>20</v>
      </c>
      <c r="C7553">
        <v>18</v>
      </c>
      <c r="D7553" t="s">
        <v>27</v>
      </c>
      <c r="E7553" t="s">
        <v>22</v>
      </c>
      <c r="F7553">
        <v>102</v>
      </c>
      <c r="G7553">
        <v>43</v>
      </c>
      <c r="H7553">
        <v>0.36</v>
      </c>
      <c r="I7553" t="s">
        <v>19</v>
      </c>
      <c r="J7553">
        <v>0</v>
      </c>
      <c r="K7553">
        <v>1</v>
      </c>
      <c r="L7553">
        <v>0</v>
      </c>
      <c r="M7553">
        <f>VLOOKUP(Table1[[#This Row],[subscription_type]],Plans!$A$1:$B$5,2,FALSE)</f>
        <v>9.99</v>
      </c>
      <c r="N7553">
        <f t="shared" si="117"/>
        <v>0</v>
      </c>
    </row>
    <row r="7554" spans="1:14" x14ac:dyDescent="0.35">
      <c r="A7554">
        <v>7553</v>
      </c>
      <c r="B7554" t="s">
        <v>16</v>
      </c>
      <c r="C7554">
        <v>35</v>
      </c>
      <c r="D7554" t="s">
        <v>21</v>
      </c>
      <c r="E7554" t="s">
        <v>18</v>
      </c>
      <c r="F7554">
        <v>172</v>
      </c>
      <c r="G7554">
        <v>22</v>
      </c>
      <c r="H7554">
        <v>0.23</v>
      </c>
      <c r="I7554" t="s">
        <v>23</v>
      </c>
      <c r="J7554">
        <v>0</v>
      </c>
      <c r="K7554">
        <v>1</v>
      </c>
      <c r="L7554">
        <v>0</v>
      </c>
      <c r="M7554">
        <f>VLOOKUP(Table1[[#This Row],[subscription_type]],Plans!$A$1:$B$5,2,FALSE)</f>
        <v>14.99</v>
      </c>
      <c r="N7554">
        <f t="shared" ref="N7554:N7617" si="118">IF(L7554=1, M7554,0)</f>
        <v>0</v>
      </c>
    </row>
    <row r="7555" spans="1:14" x14ac:dyDescent="0.35">
      <c r="A7555">
        <v>7554</v>
      </c>
      <c r="B7555" t="s">
        <v>20</v>
      </c>
      <c r="C7555">
        <v>43</v>
      </c>
      <c r="D7555" t="s">
        <v>25</v>
      </c>
      <c r="E7555" t="s">
        <v>22</v>
      </c>
      <c r="F7555">
        <v>32</v>
      </c>
      <c r="G7555">
        <v>94</v>
      </c>
      <c r="H7555">
        <v>0.06</v>
      </c>
      <c r="I7555" t="s">
        <v>19</v>
      </c>
      <c r="J7555">
        <v>0</v>
      </c>
      <c r="K7555">
        <v>1</v>
      </c>
      <c r="L7555">
        <v>0</v>
      </c>
      <c r="M7555">
        <f>VLOOKUP(Table1[[#This Row],[subscription_type]],Plans!$A$1:$B$5,2,FALSE)</f>
        <v>9.99</v>
      </c>
      <c r="N7555">
        <f t="shared" si="118"/>
        <v>0</v>
      </c>
    </row>
    <row r="7556" spans="1:14" x14ac:dyDescent="0.35">
      <c r="A7556">
        <v>7555</v>
      </c>
      <c r="B7556" t="s">
        <v>16</v>
      </c>
      <c r="C7556">
        <v>48</v>
      </c>
      <c r="D7556" t="s">
        <v>27</v>
      </c>
      <c r="E7556" t="s">
        <v>18</v>
      </c>
      <c r="F7556">
        <v>279</v>
      </c>
      <c r="G7556">
        <v>49</v>
      </c>
      <c r="H7556">
        <v>0.15</v>
      </c>
      <c r="I7556" t="s">
        <v>23</v>
      </c>
      <c r="J7556">
        <v>0</v>
      </c>
      <c r="K7556">
        <v>1</v>
      </c>
      <c r="L7556">
        <v>0</v>
      </c>
      <c r="M7556">
        <f>VLOOKUP(Table1[[#This Row],[subscription_type]],Plans!$A$1:$B$5,2,FALSE)</f>
        <v>14.99</v>
      </c>
      <c r="N7556">
        <f t="shared" si="118"/>
        <v>0</v>
      </c>
    </row>
    <row r="7557" spans="1:14" x14ac:dyDescent="0.35">
      <c r="A7557">
        <v>7556</v>
      </c>
      <c r="B7557" t="s">
        <v>12</v>
      </c>
      <c r="C7557">
        <v>47</v>
      </c>
      <c r="D7557" t="s">
        <v>17</v>
      </c>
      <c r="E7557" t="s">
        <v>22</v>
      </c>
      <c r="F7557">
        <v>266</v>
      </c>
      <c r="G7557">
        <v>72</v>
      </c>
      <c r="H7557">
        <v>0.08</v>
      </c>
      <c r="I7557" t="s">
        <v>19</v>
      </c>
      <c r="J7557">
        <v>0</v>
      </c>
      <c r="K7557">
        <v>1</v>
      </c>
      <c r="L7557">
        <v>0</v>
      </c>
      <c r="M7557">
        <f>VLOOKUP(Table1[[#This Row],[subscription_type]],Plans!$A$1:$B$5,2,FALSE)</f>
        <v>9.99</v>
      </c>
      <c r="N7557">
        <f t="shared" si="118"/>
        <v>0</v>
      </c>
    </row>
    <row r="7558" spans="1:14" x14ac:dyDescent="0.35">
      <c r="A7558">
        <v>7557</v>
      </c>
      <c r="B7558" t="s">
        <v>16</v>
      </c>
      <c r="C7558">
        <v>34</v>
      </c>
      <c r="D7558" t="s">
        <v>21</v>
      </c>
      <c r="E7558" t="s">
        <v>14</v>
      </c>
      <c r="F7558">
        <v>254</v>
      </c>
      <c r="G7558">
        <v>69</v>
      </c>
      <c r="H7558">
        <v>0.32</v>
      </c>
      <c r="I7558" t="s">
        <v>19</v>
      </c>
      <c r="J7558">
        <v>20</v>
      </c>
      <c r="K7558">
        <v>0</v>
      </c>
      <c r="L7558">
        <v>1</v>
      </c>
      <c r="M7558">
        <f>VLOOKUP(Table1[[#This Row],[subscription_type]],Plans!$A$1:$B$5,2,FALSE)</f>
        <v>0</v>
      </c>
      <c r="N7558">
        <f t="shared" si="118"/>
        <v>0</v>
      </c>
    </row>
    <row r="7559" spans="1:14" x14ac:dyDescent="0.35">
      <c r="A7559">
        <v>7558</v>
      </c>
      <c r="B7559" t="s">
        <v>12</v>
      </c>
      <c r="C7559">
        <v>29</v>
      </c>
      <c r="D7559" t="s">
        <v>25</v>
      </c>
      <c r="E7559" t="s">
        <v>18</v>
      </c>
      <c r="F7559">
        <v>18</v>
      </c>
      <c r="G7559">
        <v>51</v>
      </c>
      <c r="H7559">
        <v>0.12</v>
      </c>
      <c r="I7559" t="s">
        <v>23</v>
      </c>
      <c r="J7559">
        <v>0</v>
      </c>
      <c r="K7559">
        <v>1</v>
      </c>
      <c r="L7559">
        <v>0</v>
      </c>
      <c r="M7559">
        <f>VLOOKUP(Table1[[#This Row],[subscription_type]],Plans!$A$1:$B$5,2,FALSE)</f>
        <v>14.99</v>
      </c>
      <c r="N7559">
        <f t="shared" si="118"/>
        <v>0</v>
      </c>
    </row>
    <row r="7560" spans="1:14" x14ac:dyDescent="0.35">
      <c r="A7560">
        <v>7559</v>
      </c>
      <c r="B7560" t="s">
        <v>16</v>
      </c>
      <c r="C7560">
        <v>18</v>
      </c>
      <c r="D7560" t="s">
        <v>25</v>
      </c>
      <c r="E7560" t="s">
        <v>24</v>
      </c>
      <c r="F7560">
        <v>70</v>
      </c>
      <c r="G7560">
        <v>90</v>
      </c>
      <c r="H7560">
        <v>0.21</v>
      </c>
      <c r="I7560" t="s">
        <v>19</v>
      </c>
      <c r="J7560">
        <v>0</v>
      </c>
      <c r="K7560">
        <v>1</v>
      </c>
      <c r="L7560">
        <v>0</v>
      </c>
      <c r="M7560">
        <f>VLOOKUP(Table1[[#This Row],[subscription_type]],Plans!$A$1:$B$5,2,FALSE)</f>
        <v>4.99</v>
      </c>
      <c r="N7560">
        <f t="shared" si="118"/>
        <v>0</v>
      </c>
    </row>
    <row r="7561" spans="1:14" x14ac:dyDescent="0.35">
      <c r="A7561">
        <v>7560</v>
      </c>
      <c r="B7561" t="s">
        <v>12</v>
      </c>
      <c r="C7561">
        <v>28</v>
      </c>
      <c r="D7561" t="s">
        <v>28</v>
      </c>
      <c r="E7561" t="s">
        <v>24</v>
      </c>
      <c r="F7561">
        <v>25</v>
      </c>
      <c r="G7561">
        <v>69</v>
      </c>
      <c r="H7561">
        <v>0.25</v>
      </c>
      <c r="I7561" t="s">
        <v>19</v>
      </c>
      <c r="J7561">
        <v>0</v>
      </c>
      <c r="K7561">
        <v>1</v>
      </c>
      <c r="L7561">
        <v>0</v>
      </c>
      <c r="M7561">
        <f>VLOOKUP(Table1[[#This Row],[subscription_type]],Plans!$A$1:$B$5,2,FALSE)</f>
        <v>4.99</v>
      </c>
      <c r="N7561">
        <f t="shared" si="118"/>
        <v>0</v>
      </c>
    </row>
    <row r="7562" spans="1:14" x14ac:dyDescent="0.35">
      <c r="A7562">
        <v>7561</v>
      </c>
      <c r="B7562" t="s">
        <v>20</v>
      </c>
      <c r="C7562">
        <v>50</v>
      </c>
      <c r="D7562" t="s">
        <v>27</v>
      </c>
      <c r="E7562" t="s">
        <v>24</v>
      </c>
      <c r="F7562">
        <v>209</v>
      </c>
      <c r="G7562">
        <v>10</v>
      </c>
      <c r="H7562">
        <v>7.0000000000000007E-2</v>
      </c>
      <c r="I7562" t="s">
        <v>15</v>
      </c>
      <c r="J7562">
        <v>0</v>
      </c>
      <c r="K7562">
        <v>1</v>
      </c>
      <c r="L7562">
        <v>0</v>
      </c>
      <c r="M7562">
        <f>VLOOKUP(Table1[[#This Row],[subscription_type]],Plans!$A$1:$B$5,2,FALSE)</f>
        <v>4.99</v>
      </c>
      <c r="N7562">
        <f t="shared" si="118"/>
        <v>0</v>
      </c>
    </row>
    <row r="7563" spans="1:14" x14ac:dyDescent="0.35">
      <c r="A7563">
        <v>7562</v>
      </c>
      <c r="B7563" t="s">
        <v>16</v>
      </c>
      <c r="C7563">
        <v>19</v>
      </c>
      <c r="D7563" t="s">
        <v>29</v>
      </c>
      <c r="E7563" t="s">
        <v>14</v>
      </c>
      <c r="F7563">
        <v>288</v>
      </c>
      <c r="G7563">
        <v>29</v>
      </c>
      <c r="H7563">
        <v>0.13</v>
      </c>
      <c r="I7563" t="s">
        <v>19</v>
      </c>
      <c r="J7563">
        <v>41</v>
      </c>
      <c r="K7563">
        <v>0</v>
      </c>
      <c r="L7563">
        <v>0</v>
      </c>
      <c r="M7563">
        <f>VLOOKUP(Table1[[#This Row],[subscription_type]],Plans!$A$1:$B$5,2,FALSE)</f>
        <v>0</v>
      </c>
      <c r="N7563">
        <f t="shared" si="118"/>
        <v>0</v>
      </c>
    </row>
    <row r="7564" spans="1:14" x14ac:dyDescent="0.35">
      <c r="A7564">
        <v>7563</v>
      </c>
      <c r="B7564" t="s">
        <v>16</v>
      </c>
      <c r="C7564">
        <v>52</v>
      </c>
      <c r="D7564" t="s">
        <v>13</v>
      </c>
      <c r="E7564" t="s">
        <v>14</v>
      </c>
      <c r="F7564">
        <v>197</v>
      </c>
      <c r="G7564">
        <v>62</v>
      </c>
      <c r="H7564">
        <v>0.03</v>
      </c>
      <c r="I7564" t="s">
        <v>19</v>
      </c>
      <c r="J7564">
        <v>29</v>
      </c>
      <c r="K7564">
        <v>0</v>
      </c>
      <c r="L7564">
        <v>1</v>
      </c>
      <c r="M7564">
        <f>VLOOKUP(Table1[[#This Row],[subscription_type]],Plans!$A$1:$B$5,2,FALSE)</f>
        <v>0</v>
      </c>
      <c r="N7564">
        <f t="shared" si="118"/>
        <v>0</v>
      </c>
    </row>
    <row r="7565" spans="1:14" x14ac:dyDescent="0.35">
      <c r="A7565">
        <v>7564</v>
      </c>
      <c r="B7565" t="s">
        <v>16</v>
      </c>
      <c r="C7565">
        <v>37</v>
      </c>
      <c r="D7565" t="s">
        <v>27</v>
      </c>
      <c r="E7565" t="s">
        <v>22</v>
      </c>
      <c r="F7565">
        <v>293</v>
      </c>
      <c r="G7565">
        <v>96</v>
      </c>
      <c r="H7565">
        <v>0.55000000000000004</v>
      </c>
      <c r="I7565" t="s">
        <v>19</v>
      </c>
      <c r="J7565">
        <v>0</v>
      </c>
      <c r="K7565">
        <v>1</v>
      </c>
      <c r="L7565">
        <v>0</v>
      </c>
      <c r="M7565">
        <f>VLOOKUP(Table1[[#This Row],[subscription_type]],Plans!$A$1:$B$5,2,FALSE)</f>
        <v>9.99</v>
      </c>
      <c r="N7565">
        <f t="shared" si="118"/>
        <v>0</v>
      </c>
    </row>
    <row r="7566" spans="1:14" x14ac:dyDescent="0.35">
      <c r="A7566">
        <v>7565</v>
      </c>
      <c r="B7566" t="s">
        <v>16</v>
      </c>
      <c r="C7566">
        <v>22</v>
      </c>
      <c r="D7566" t="s">
        <v>26</v>
      </c>
      <c r="E7566" t="s">
        <v>24</v>
      </c>
      <c r="F7566">
        <v>122</v>
      </c>
      <c r="G7566">
        <v>80</v>
      </c>
      <c r="H7566">
        <v>0.56000000000000005</v>
      </c>
      <c r="I7566" t="s">
        <v>19</v>
      </c>
      <c r="J7566">
        <v>0</v>
      </c>
      <c r="K7566">
        <v>1</v>
      </c>
      <c r="L7566">
        <v>0</v>
      </c>
      <c r="M7566">
        <f>VLOOKUP(Table1[[#This Row],[subscription_type]],Plans!$A$1:$B$5,2,FALSE)</f>
        <v>4.99</v>
      </c>
      <c r="N7566">
        <f t="shared" si="118"/>
        <v>0</v>
      </c>
    </row>
    <row r="7567" spans="1:14" x14ac:dyDescent="0.35">
      <c r="A7567">
        <v>7566</v>
      </c>
      <c r="B7567" t="s">
        <v>20</v>
      </c>
      <c r="C7567">
        <v>39</v>
      </c>
      <c r="D7567" t="s">
        <v>26</v>
      </c>
      <c r="E7567" t="s">
        <v>22</v>
      </c>
      <c r="F7567">
        <v>194</v>
      </c>
      <c r="G7567">
        <v>6</v>
      </c>
      <c r="H7567">
        <v>0.09</v>
      </c>
      <c r="I7567" t="s">
        <v>23</v>
      </c>
      <c r="J7567">
        <v>0</v>
      </c>
      <c r="K7567">
        <v>1</v>
      </c>
      <c r="L7567">
        <v>1</v>
      </c>
      <c r="M7567">
        <f>VLOOKUP(Table1[[#This Row],[subscription_type]],Plans!$A$1:$B$5,2,FALSE)</f>
        <v>9.99</v>
      </c>
      <c r="N7567">
        <f t="shared" si="118"/>
        <v>9.99</v>
      </c>
    </row>
    <row r="7568" spans="1:14" x14ac:dyDescent="0.35">
      <c r="A7568">
        <v>7567</v>
      </c>
      <c r="B7568" t="s">
        <v>20</v>
      </c>
      <c r="C7568">
        <v>59</v>
      </c>
      <c r="D7568" t="s">
        <v>29</v>
      </c>
      <c r="E7568" t="s">
        <v>18</v>
      </c>
      <c r="F7568">
        <v>235</v>
      </c>
      <c r="G7568">
        <v>39</v>
      </c>
      <c r="H7568">
        <v>0.28000000000000003</v>
      </c>
      <c r="I7568" t="s">
        <v>19</v>
      </c>
      <c r="J7568">
        <v>0</v>
      </c>
      <c r="K7568">
        <v>1</v>
      </c>
      <c r="L7568">
        <v>0</v>
      </c>
      <c r="M7568">
        <f>VLOOKUP(Table1[[#This Row],[subscription_type]],Plans!$A$1:$B$5,2,FALSE)</f>
        <v>14.99</v>
      </c>
      <c r="N7568">
        <f t="shared" si="118"/>
        <v>0</v>
      </c>
    </row>
    <row r="7569" spans="1:14" x14ac:dyDescent="0.35">
      <c r="A7569">
        <v>7568</v>
      </c>
      <c r="B7569" t="s">
        <v>20</v>
      </c>
      <c r="C7569">
        <v>22</v>
      </c>
      <c r="D7569" t="s">
        <v>28</v>
      </c>
      <c r="E7569" t="s">
        <v>14</v>
      </c>
      <c r="F7569">
        <v>27</v>
      </c>
      <c r="G7569">
        <v>8</v>
      </c>
      <c r="H7569">
        <v>0.48</v>
      </c>
      <c r="I7569" t="s">
        <v>15</v>
      </c>
      <c r="J7569">
        <v>38</v>
      </c>
      <c r="K7569">
        <v>0</v>
      </c>
      <c r="L7569">
        <v>0</v>
      </c>
      <c r="M7569">
        <f>VLOOKUP(Table1[[#This Row],[subscription_type]],Plans!$A$1:$B$5,2,FALSE)</f>
        <v>0</v>
      </c>
      <c r="N7569">
        <f t="shared" si="118"/>
        <v>0</v>
      </c>
    </row>
    <row r="7570" spans="1:14" x14ac:dyDescent="0.35">
      <c r="A7570">
        <v>7569</v>
      </c>
      <c r="B7570" t="s">
        <v>20</v>
      </c>
      <c r="C7570">
        <v>46</v>
      </c>
      <c r="D7570" t="s">
        <v>17</v>
      </c>
      <c r="E7570" t="s">
        <v>14</v>
      </c>
      <c r="F7570">
        <v>60</v>
      </c>
      <c r="G7570">
        <v>75</v>
      </c>
      <c r="H7570">
        <v>0.56999999999999995</v>
      </c>
      <c r="I7570" t="s">
        <v>19</v>
      </c>
      <c r="J7570">
        <v>42</v>
      </c>
      <c r="K7570">
        <v>0</v>
      </c>
      <c r="L7570">
        <v>0</v>
      </c>
      <c r="M7570">
        <f>VLOOKUP(Table1[[#This Row],[subscription_type]],Plans!$A$1:$B$5,2,FALSE)</f>
        <v>0</v>
      </c>
      <c r="N7570">
        <f t="shared" si="118"/>
        <v>0</v>
      </c>
    </row>
    <row r="7571" spans="1:14" x14ac:dyDescent="0.35">
      <c r="A7571">
        <v>7570</v>
      </c>
      <c r="B7571" t="s">
        <v>16</v>
      </c>
      <c r="C7571">
        <v>39</v>
      </c>
      <c r="D7571" t="s">
        <v>17</v>
      </c>
      <c r="E7571" t="s">
        <v>22</v>
      </c>
      <c r="F7571">
        <v>131</v>
      </c>
      <c r="G7571">
        <v>63</v>
      </c>
      <c r="H7571">
        <v>0.01</v>
      </c>
      <c r="I7571" t="s">
        <v>15</v>
      </c>
      <c r="J7571">
        <v>0</v>
      </c>
      <c r="K7571">
        <v>1</v>
      </c>
      <c r="L7571">
        <v>0</v>
      </c>
      <c r="M7571">
        <f>VLOOKUP(Table1[[#This Row],[subscription_type]],Plans!$A$1:$B$5,2,FALSE)</f>
        <v>9.99</v>
      </c>
      <c r="N7571">
        <f t="shared" si="118"/>
        <v>0</v>
      </c>
    </row>
    <row r="7572" spans="1:14" x14ac:dyDescent="0.35">
      <c r="A7572">
        <v>7571</v>
      </c>
      <c r="B7572" t="s">
        <v>20</v>
      </c>
      <c r="C7572">
        <v>49</v>
      </c>
      <c r="D7572" t="s">
        <v>25</v>
      </c>
      <c r="E7572" t="s">
        <v>22</v>
      </c>
      <c r="F7572">
        <v>146</v>
      </c>
      <c r="G7572">
        <v>77</v>
      </c>
      <c r="H7572">
        <v>0.4</v>
      </c>
      <c r="I7572" t="s">
        <v>15</v>
      </c>
      <c r="J7572">
        <v>0</v>
      </c>
      <c r="K7572">
        <v>1</v>
      </c>
      <c r="L7572">
        <v>1</v>
      </c>
      <c r="M7572">
        <f>VLOOKUP(Table1[[#This Row],[subscription_type]],Plans!$A$1:$B$5,2,FALSE)</f>
        <v>9.99</v>
      </c>
      <c r="N7572">
        <f t="shared" si="118"/>
        <v>9.99</v>
      </c>
    </row>
    <row r="7573" spans="1:14" x14ac:dyDescent="0.35">
      <c r="A7573">
        <v>7572</v>
      </c>
      <c r="B7573" t="s">
        <v>16</v>
      </c>
      <c r="C7573">
        <v>40</v>
      </c>
      <c r="D7573" t="s">
        <v>17</v>
      </c>
      <c r="E7573" t="s">
        <v>24</v>
      </c>
      <c r="F7573">
        <v>65</v>
      </c>
      <c r="G7573">
        <v>95</v>
      </c>
      <c r="H7573">
        <v>0.1</v>
      </c>
      <c r="I7573" t="s">
        <v>15</v>
      </c>
      <c r="J7573">
        <v>0</v>
      </c>
      <c r="K7573">
        <v>1</v>
      </c>
      <c r="L7573">
        <v>0</v>
      </c>
      <c r="M7573">
        <f>VLOOKUP(Table1[[#This Row],[subscription_type]],Plans!$A$1:$B$5,2,FALSE)</f>
        <v>4.99</v>
      </c>
      <c r="N7573">
        <f t="shared" si="118"/>
        <v>0</v>
      </c>
    </row>
    <row r="7574" spans="1:14" x14ac:dyDescent="0.35">
      <c r="A7574">
        <v>7573</v>
      </c>
      <c r="B7574" t="s">
        <v>20</v>
      </c>
      <c r="C7574">
        <v>42</v>
      </c>
      <c r="D7574" t="s">
        <v>21</v>
      </c>
      <c r="E7574" t="s">
        <v>24</v>
      </c>
      <c r="F7574">
        <v>125</v>
      </c>
      <c r="G7574">
        <v>27</v>
      </c>
      <c r="H7574">
        <v>0.1</v>
      </c>
      <c r="I7574" t="s">
        <v>15</v>
      </c>
      <c r="J7574">
        <v>0</v>
      </c>
      <c r="K7574">
        <v>1</v>
      </c>
      <c r="L7574">
        <v>0</v>
      </c>
      <c r="M7574">
        <f>VLOOKUP(Table1[[#This Row],[subscription_type]],Plans!$A$1:$B$5,2,FALSE)</f>
        <v>4.99</v>
      </c>
      <c r="N7574">
        <f t="shared" si="118"/>
        <v>0</v>
      </c>
    </row>
    <row r="7575" spans="1:14" x14ac:dyDescent="0.35">
      <c r="A7575">
        <v>7574</v>
      </c>
      <c r="B7575" t="s">
        <v>12</v>
      </c>
      <c r="C7575">
        <v>37</v>
      </c>
      <c r="D7575" t="s">
        <v>27</v>
      </c>
      <c r="E7575" t="s">
        <v>22</v>
      </c>
      <c r="F7575">
        <v>108</v>
      </c>
      <c r="G7575">
        <v>97</v>
      </c>
      <c r="H7575">
        <v>0.21</v>
      </c>
      <c r="I7575" t="s">
        <v>23</v>
      </c>
      <c r="J7575">
        <v>0</v>
      </c>
      <c r="K7575">
        <v>1</v>
      </c>
      <c r="L7575">
        <v>0</v>
      </c>
      <c r="M7575">
        <f>VLOOKUP(Table1[[#This Row],[subscription_type]],Plans!$A$1:$B$5,2,FALSE)</f>
        <v>9.99</v>
      </c>
      <c r="N7575">
        <f t="shared" si="118"/>
        <v>0</v>
      </c>
    </row>
    <row r="7576" spans="1:14" x14ac:dyDescent="0.35">
      <c r="A7576">
        <v>7575</v>
      </c>
      <c r="B7576" t="s">
        <v>12</v>
      </c>
      <c r="C7576">
        <v>51</v>
      </c>
      <c r="D7576" t="s">
        <v>17</v>
      </c>
      <c r="E7576" t="s">
        <v>14</v>
      </c>
      <c r="F7576">
        <v>212</v>
      </c>
      <c r="G7576">
        <v>64</v>
      </c>
      <c r="H7576">
        <v>0.48</v>
      </c>
      <c r="I7576" t="s">
        <v>15</v>
      </c>
      <c r="J7576">
        <v>10</v>
      </c>
      <c r="K7576">
        <v>0</v>
      </c>
      <c r="L7576">
        <v>0</v>
      </c>
      <c r="M7576">
        <f>VLOOKUP(Table1[[#This Row],[subscription_type]],Plans!$A$1:$B$5,2,FALSE)</f>
        <v>0</v>
      </c>
      <c r="N7576">
        <f t="shared" si="118"/>
        <v>0</v>
      </c>
    </row>
    <row r="7577" spans="1:14" x14ac:dyDescent="0.35">
      <c r="A7577">
        <v>7576</v>
      </c>
      <c r="B7577" t="s">
        <v>16</v>
      </c>
      <c r="C7577">
        <v>34</v>
      </c>
      <c r="D7577" t="s">
        <v>25</v>
      </c>
      <c r="E7577" t="s">
        <v>24</v>
      </c>
      <c r="F7577">
        <v>260</v>
      </c>
      <c r="G7577">
        <v>97</v>
      </c>
      <c r="H7577">
        <v>0.23</v>
      </c>
      <c r="I7577" t="s">
        <v>15</v>
      </c>
      <c r="J7577">
        <v>0</v>
      </c>
      <c r="K7577">
        <v>1</v>
      </c>
      <c r="L7577">
        <v>0</v>
      </c>
      <c r="M7577">
        <f>VLOOKUP(Table1[[#This Row],[subscription_type]],Plans!$A$1:$B$5,2,FALSE)</f>
        <v>4.99</v>
      </c>
      <c r="N7577">
        <f t="shared" si="118"/>
        <v>0</v>
      </c>
    </row>
    <row r="7578" spans="1:14" x14ac:dyDescent="0.35">
      <c r="A7578">
        <v>7577</v>
      </c>
      <c r="B7578" t="s">
        <v>20</v>
      </c>
      <c r="C7578">
        <v>46</v>
      </c>
      <c r="D7578" t="s">
        <v>29</v>
      </c>
      <c r="E7578" t="s">
        <v>22</v>
      </c>
      <c r="F7578">
        <v>185</v>
      </c>
      <c r="G7578">
        <v>93</v>
      </c>
      <c r="H7578">
        <v>0.46</v>
      </c>
      <c r="I7578" t="s">
        <v>23</v>
      </c>
      <c r="J7578">
        <v>0</v>
      </c>
      <c r="K7578">
        <v>1</v>
      </c>
      <c r="L7578">
        <v>0</v>
      </c>
      <c r="M7578">
        <f>VLOOKUP(Table1[[#This Row],[subscription_type]],Plans!$A$1:$B$5,2,FALSE)</f>
        <v>9.99</v>
      </c>
      <c r="N7578">
        <f t="shared" si="118"/>
        <v>0</v>
      </c>
    </row>
    <row r="7579" spans="1:14" x14ac:dyDescent="0.35">
      <c r="A7579">
        <v>7578</v>
      </c>
      <c r="B7579" t="s">
        <v>16</v>
      </c>
      <c r="C7579">
        <v>22</v>
      </c>
      <c r="D7579" t="s">
        <v>29</v>
      </c>
      <c r="E7579" t="s">
        <v>18</v>
      </c>
      <c r="F7579">
        <v>155</v>
      </c>
      <c r="G7579">
        <v>57</v>
      </c>
      <c r="H7579">
        <v>0.6</v>
      </c>
      <c r="I7579" t="s">
        <v>23</v>
      </c>
      <c r="J7579">
        <v>0</v>
      </c>
      <c r="K7579">
        <v>1</v>
      </c>
      <c r="L7579">
        <v>0</v>
      </c>
      <c r="M7579">
        <f>VLOOKUP(Table1[[#This Row],[subscription_type]],Plans!$A$1:$B$5,2,FALSE)</f>
        <v>14.99</v>
      </c>
      <c r="N7579">
        <f t="shared" si="118"/>
        <v>0</v>
      </c>
    </row>
    <row r="7580" spans="1:14" x14ac:dyDescent="0.35">
      <c r="A7580">
        <v>7579</v>
      </c>
      <c r="B7580" t="s">
        <v>20</v>
      </c>
      <c r="C7580">
        <v>35</v>
      </c>
      <c r="D7580" t="s">
        <v>29</v>
      </c>
      <c r="E7580" t="s">
        <v>22</v>
      </c>
      <c r="F7580">
        <v>241</v>
      </c>
      <c r="G7580">
        <v>33</v>
      </c>
      <c r="H7580">
        <v>0.04</v>
      </c>
      <c r="I7580" t="s">
        <v>15</v>
      </c>
      <c r="J7580">
        <v>0</v>
      </c>
      <c r="K7580">
        <v>1</v>
      </c>
      <c r="L7580">
        <v>0</v>
      </c>
      <c r="M7580">
        <f>VLOOKUP(Table1[[#This Row],[subscription_type]],Plans!$A$1:$B$5,2,FALSE)</f>
        <v>9.99</v>
      </c>
      <c r="N7580">
        <f t="shared" si="118"/>
        <v>0</v>
      </c>
    </row>
    <row r="7581" spans="1:14" x14ac:dyDescent="0.35">
      <c r="A7581">
        <v>7580</v>
      </c>
      <c r="B7581" t="s">
        <v>20</v>
      </c>
      <c r="C7581">
        <v>58</v>
      </c>
      <c r="D7581" t="s">
        <v>27</v>
      </c>
      <c r="E7581" t="s">
        <v>22</v>
      </c>
      <c r="F7581">
        <v>227</v>
      </c>
      <c r="G7581">
        <v>82</v>
      </c>
      <c r="H7581">
        <v>0.42</v>
      </c>
      <c r="I7581" t="s">
        <v>15</v>
      </c>
      <c r="J7581">
        <v>0</v>
      </c>
      <c r="K7581">
        <v>1</v>
      </c>
      <c r="L7581">
        <v>1</v>
      </c>
      <c r="M7581">
        <f>VLOOKUP(Table1[[#This Row],[subscription_type]],Plans!$A$1:$B$5,2,FALSE)</f>
        <v>9.99</v>
      </c>
      <c r="N7581">
        <f t="shared" si="118"/>
        <v>9.99</v>
      </c>
    </row>
    <row r="7582" spans="1:14" x14ac:dyDescent="0.35">
      <c r="A7582">
        <v>7581</v>
      </c>
      <c r="B7582" t="s">
        <v>16</v>
      </c>
      <c r="C7582">
        <v>32</v>
      </c>
      <c r="D7582" t="s">
        <v>29</v>
      </c>
      <c r="E7582" t="s">
        <v>14</v>
      </c>
      <c r="F7582">
        <v>182</v>
      </c>
      <c r="G7582">
        <v>30</v>
      </c>
      <c r="H7582">
        <v>0.47</v>
      </c>
      <c r="I7582" t="s">
        <v>15</v>
      </c>
      <c r="J7582">
        <v>25</v>
      </c>
      <c r="K7582">
        <v>0</v>
      </c>
      <c r="L7582">
        <v>1</v>
      </c>
      <c r="M7582">
        <f>VLOOKUP(Table1[[#This Row],[subscription_type]],Plans!$A$1:$B$5,2,FALSE)</f>
        <v>0</v>
      </c>
      <c r="N7582">
        <f t="shared" si="118"/>
        <v>0</v>
      </c>
    </row>
    <row r="7583" spans="1:14" x14ac:dyDescent="0.35">
      <c r="A7583">
        <v>7582</v>
      </c>
      <c r="B7583" t="s">
        <v>20</v>
      </c>
      <c r="C7583">
        <v>41</v>
      </c>
      <c r="D7583" t="s">
        <v>21</v>
      </c>
      <c r="E7583" t="s">
        <v>22</v>
      </c>
      <c r="F7583">
        <v>274</v>
      </c>
      <c r="G7583">
        <v>55</v>
      </c>
      <c r="H7583">
        <v>0.5</v>
      </c>
      <c r="I7583" t="s">
        <v>19</v>
      </c>
      <c r="J7583">
        <v>0</v>
      </c>
      <c r="K7583">
        <v>1</v>
      </c>
      <c r="L7583">
        <v>0</v>
      </c>
      <c r="M7583">
        <f>VLOOKUP(Table1[[#This Row],[subscription_type]],Plans!$A$1:$B$5,2,FALSE)</f>
        <v>9.99</v>
      </c>
      <c r="N7583">
        <f t="shared" si="118"/>
        <v>0</v>
      </c>
    </row>
    <row r="7584" spans="1:14" x14ac:dyDescent="0.35">
      <c r="A7584">
        <v>7583</v>
      </c>
      <c r="B7584" t="s">
        <v>20</v>
      </c>
      <c r="C7584">
        <v>30</v>
      </c>
      <c r="D7584" t="s">
        <v>17</v>
      </c>
      <c r="E7584" t="s">
        <v>22</v>
      </c>
      <c r="F7584">
        <v>107</v>
      </c>
      <c r="G7584">
        <v>95</v>
      </c>
      <c r="H7584">
        <v>0.27</v>
      </c>
      <c r="I7584" t="s">
        <v>23</v>
      </c>
      <c r="J7584">
        <v>0</v>
      </c>
      <c r="K7584">
        <v>1</v>
      </c>
      <c r="L7584">
        <v>0</v>
      </c>
      <c r="M7584">
        <f>VLOOKUP(Table1[[#This Row],[subscription_type]],Plans!$A$1:$B$5,2,FALSE)</f>
        <v>9.99</v>
      </c>
      <c r="N7584">
        <f t="shared" si="118"/>
        <v>0</v>
      </c>
    </row>
    <row r="7585" spans="1:14" x14ac:dyDescent="0.35">
      <c r="A7585">
        <v>7584</v>
      </c>
      <c r="B7585" t="s">
        <v>12</v>
      </c>
      <c r="C7585">
        <v>36</v>
      </c>
      <c r="D7585" t="s">
        <v>27</v>
      </c>
      <c r="E7585" t="s">
        <v>22</v>
      </c>
      <c r="F7585">
        <v>250</v>
      </c>
      <c r="G7585">
        <v>44</v>
      </c>
      <c r="H7585">
        <v>0.31</v>
      </c>
      <c r="I7585" t="s">
        <v>23</v>
      </c>
      <c r="J7585">
        <v>0</v>
      </c>
      <c r="K7585">
        <v>1</v>
      </c>
      <c r="L7585">
        <v>0</v>
      </c>
      <c r="M7585">
        <f>VLOOKUP(Table1[[#This Row],[subscription_type]],Plans!$A$1:$B$5,2,FALSE)</f>
        <v>9.99</v>
      </c>
      <c r="N7585">
        <f t="shared" si="118"/>
        <v>0</v>
      </c>
    </row>
    <row r="7586" spans="1:14" x14ac:dyDescent="0.35">
      <c r="A7586">
        <v>7585</v>
      </c>
      <c r="B7586" t="s">
        <v>16</v>
      </c>
      <c r="C7586">
        <v>25</v>
      </c>
      <c r="D7586" t="s">
        <v>13</v>
      </c>
      <c r="E7586" t="s">
        <v>22</v>
      </c>
      <c r="F7586">
        <v>237</v>
      </c>
      <c r="G7586">
        <v>28</v>
      </c>
      <c r="H7586">
        <v>0.03</v>
      </c>
      <c r="I7586" t="s">
        <v>23</v>
      </c>
      <c r="J7586">
        <v>0</v>
      </c>
      <c r="K7586">
        <v>1</v>
      </c>
      <c r="L7586">
        <v>1</v>
      </c>
      <c r="M7586">
        <f>VLOOKUP(Table1[[#This Row],[subscription_type]],Plans!$A$1:$B$5,2,FALSE)</f>
        <v>9.99</v>
      </c>
      <c r="N7586">
        <f t="shared" si="118"/>
        <v>9.99</v>
      </c>
    </row>
    <row r="7587" spans="1:14" x14ac:dyDescent="0.35">
      <c r="A7587">
        <v>7586</v>
      </c>
      <c r="B7587" t="s">
        <v>16</v>
      </c>
      <c r="C7587">
        <v>49</v>
      </c>
      <c r="D7587" t="s">
        <v>25</v>
      </c>
      <c r="E7587" t="s">
        <v>14</v>
      </c>
      <c r="F7587">
        <v>182</v>
      </c>
      <c r="G7587">
        <v>81</v>
      </c>
      <c r="H7587">
        <v>0.6</v>
      </c>
      <c r="I7587" t="s">
        <v>19</v>
      </c>
      <c r="J7587">
        <v>32</v>
      </c>
      <c r="K7587">
        <v>0</v>
      </c>
      <c r="L7587">
        <v>0</v>
      </c>
      <c r="M7587">
        <f>VLOOKUP(Table1[[#This Row],[subscription_type]],Plans!$A$1:$B$5,2,FALSE)</f>
        <v>0</v>
      </c>
      <c r="N7587">
        <f t="shared" si="118"/>
        <v>0</v>
      </c>
    </row>
    <row r="7588" spans="1:14" x14ac:dyDescent="0.35">
      <c r="A7588">
        <v>7587</v>
      </c>
      <c r="B7588" t="s">
        <v>16</v>
      </c>
      <c r="C7588">
        <v>38</v>
      </c>
      <c r="D7588" t="s">
        <v>27</v>
      </c>
      <c r="E7588" t="s">
        <v>14</v>
      </c>
      <c r="F7588">
        <v>134</v>
      </c>
      <c r="G7588">
        <v>93</v>
      </c>
      <c r="H7588">
        <v>0.12</v>
      </c>
      <c r="I7588" t="s">
        <v>23</v>
      </c>
      <c r="J7588">
        <v>47</v>
      </c>
      <c r="K7588">
        <v>0</v>
      </c>
      <c r="L7588">
        <v>1</v>
      </c>
      <c r="M7588">
        <f>VLOOKUP(Table1[[#This Row],[subscription_type]],Plans!$A$1:$B$5,2,FALSE)</f>
        <v>0</v>
      </c>
      <c r="N7588">
        <f t="shared" si="118"/>
        <v>0</v>
      </c>
    </row>
    <row r="7589" spans="1:14" x14ac:dyDescent="0.35">
      <c r="A7589">
        <v>7588</v>
      </c>
      <c r="B7589" t="s">
        <v>20</v>
      </c>
      <c r="C7589">
        <v>28</v>
      </c>
      <c r="D7589" t="s">
        <v>17</v>
      </c>
      <c r="E7589" t="s">
        <v>22</v>
      </c>
      <c r="F7589">
        <v>48</v>
      </c>
      <c r="G7589">
        <v>80</v>
      </c>
      <c r="H7589">
        <v>0.56999999999999995</v>
      </c>
      <c r="I7589" t="s">
        <v>23</v>
      </c>
      <c r="J7589">
        <v>0</v>
      </c>
      <c r="K7589">
        <v>1</v>
      </c>
      <c r="L7589">
        <v>1</v>
      </c>
      <c r="M7589">
        <f>VLOOKUP(Table1[[#This Row],[subscription_type]],Plans!$A$1:$B$5,2,FALSE)</f>
        <v>9.99</v>
      </c>
      <c r="N7589">
        <f t="shared" si="118"/>
        <v>9.99</v>
      </c>
    </row>
    <row r="7590" spans="1:14" x14ac:dyDescent="0.35">
      <c r="A7590">
        <v>7589</v>
      </c>
      <c r="B7590" t="s">
        <v>12</v>
      </c>
      <c r="C7590">
        <v>32</v>
      </c>
      <c r="D7590" t="s">
        <v>13</v>
      </c>
      <c r="E7590" t="s">
        <v>18</v>
      </c>
      <c r="F7590">
        <v>249</v>
      </c>
      <c r="G7590">
        <v>97</v>
      </c>
      <c r="H7590">
        <v>0.41</v>
      </c>
      <c r="I7590" t="s">
        <v>15</v>
      </c>
      <c r="J7590">
        <v>0</v>
      </c>
      <c r="K7590">
        <v>1</v>
      </c>
      <c r="L7590">
        <v>0</v>
      </c>
      <c r="M7590">
        <f>VLOOKUP(Table1[[#This Row],[subscription_type]],Plans!$A$1:$B$5,2,FALSE)</f>
        <v>14.99</v>
      </c>
      <c r="N7590">
        <f t="shared" si="118"/>
        <v>0</v>
      </c>
    </row>
    <row r="7591" spans="1:14" x14ac:dyDescent="0.35">
      <c r="A7591">
        <v>7590</v>
      </c>
      <c r="B7591" t="s">
        <v>16</v>
      </c>
      <c r="C7591">
        <v>52</v>
      </c>
      <c r="D7591" t="s">
        <v>21</v>
      </c>
      <c r="E7591" t="s">
        <v>14</v>
      </c>
      <c r="F7591">
        <v>184</v>
      </c>
      <c r="G7591">
        <v>10</v>
      </c>
      <c r="H7591">
        <v>0.27</v>
      </c>
      <c r="I7591" t="s">
        <v>19</v>
      </c>
      <c r="J7591">
        <v>11</v>
      </c>
      <c r="K7591">
        <v>0</v>
      </c>
      <c r="L7591">
        <v>0</v>
      </c>
      <c r="M7591">
        <f>VLOOKUP(Table1[[#This Row],[subscription_type]],Plans!$A$1:$B$5,2,FALSE)</f>
        <v>0</v>
      </c>
      <c r="N7591">
        <f t="shared" si="118"/>
        <v>0</v>
      </c>
    </row>
    <row r="7592" spans="1:14" x14ac:dyDescent="0.35">
      <c r="A7592">
        <v>7591</v>
      </c>
      <c r="B7592" t="s">
        <v>12</v>
      </c>
      <c r="C7592">
        <v>24</v>
      </c>
      <c r="D7592" t="s">
        <v>17</v>
      </c>
      <c r="E7592" t="s">
        <v>14</v>
      </c>
      <c r="F7592">
        <v>227</v>
      </c>
      <c r="G7592">
        <v>92</v>
      </c>
      <c r="H7592">
        <v>7.0000000000000007E-2</v>
      </c>
      <c r="I7592" t="s">
        <v>23</v>
      </c>
      <c r="J7592">
        <v>43</v>
      </c>
      <c r="K7592">
        <v>0</v>
      </c>
      <c r="L7592">
        <v>1</v>
      </c>
      <c r="M7592">
        <f>VLOOKUP(Table1[[#This Row],[subscription_type]],Plans!$A$1:$B$5,2,FALSE)</f>
        <v>0</v>
      </c>
      <c r="N7592">
        <f t="shared" si="118"/>
        <v>0</v>
      </c>
    </row>
    <row r="7593" spans="1:14" x14ac:dyDescent="0.35">
      <c r="A7593">
        <v>7592</v>
      </c>
      <c r="B7593" t="s">
        <v>20</v>
      </c>
      <c r="C7593">
        <v>42</v>
      </c>
      <c r="D7593" t="s">
        <v>29</v>
      </c>
      <c r="E7593" t="s">
        <v>14</v>
      </c>
      <c r="F7593">
        <v>240</v>
      </c>
      <c r="G7593">
        <v>34</v>
      </c>
      <c r="H7593">
        <v>0.5</v>
      </c>
      <c r="I7593" t="s">
        <v>15</v>
      </c>
      <c r="J7593">
        <v>30</v>
      </c>
      <c r="K7593">
        <v>0</v>
      </c>
      <c r="L7593">
        <v>0</v>
      </c>
      <c r="M7593">
        <f>VLOOKUP(Table1[[#This Row],[subscription_type]],Plans!$A$1:$B$5,2,FALSE)</f>
        <v>0</v>
      </c>
      <c r="N7593">
        <f t="shared" si="118"/>
        <v>0</v>
      </c>
    </row>
    <row r="7594" spans="1:14" x14ac:dyDescent="0.35">
      <c r="A7594">
        <v>7593</v>
      </c>
      <c r="B7594" t="s">
        <v>20</v>
      </c>
      <c r="C7594">
        <v>30</v>
      </c>
      <c r="D7594" t="s">
        <v>25</v>
      </c>
      <c r="E7594" t="s">
        <v>22</v>
      </c>
      <c r="F7594">
        <v>82</v>
      </c>
      <c r="G7594">
        <v>81</v>
      </c>
      <c r="H7594">
        <v>0.41</v>
      </c>
      <c r="I7594" t="s">
        <v>19</v>
      </c>
      <c r="J7594">
        <v>0</v>
      </c>
      <c r="K7594">
        <v>1</v>
      </c>
      <c r="L7594">
        <v>0</v>
      </c>
      <c r="M7594">
        <f>VLOOKUP(Table1[[#This Row],[subscription_type]],Plans!$A$1:$B$5,2,FALSE)</f>
        <v>9.99</v>
      </c>
      <c r="N7594">
        <f t="shared" si="118"/>
        <v>0</v>
      </c>
    </row>
    <row r="7595" spans="1:14" x14ac:dyDescent="0.35">
      <c r="A7595">
        <v>7594</v>
      </c>
      <c r="B7595" t="s">
        <v>20</v>
      </c>
      <c r="C7595">
        <v>54</v>
      </c>
      <c r="D7595" t="s">
        <v>13</v>
      </c>
      <c r="E7595" t="s">
        <v>22</v>
      </c>
      <c r="F7595">
        <v>179</v>
      </c>
      <c r="G7595">
        <v>10</v>
      </c>
      <c r="H7595">
        <v>0.14000000000000001</v>
      </c>
      <c r="I7595" t="s">
        <v>15</v>
      </c>
      <c r="J7595">
        <v>0</v>
      </c>
      <c r="K7595">
        <v>1</v>
      </c>
      <c r="L7595">
        <v>0</v>
      </c>
      <c r="M7595">
        <f>VLOOKUP(Table1[[#This Row],[subscription_type]],Plans!$A$1:$B$5,2,FALSE)</f>
        <v>9.99</v>
      </c>
      <c r="N7595">
        <f t="shared" si="118"/>
        <v>0</v>
      </c>
    </row>
    <row r="7596" spans="1:14" x14ac:dyDescent="0.35">
      <c r="A7596">
        <v>7595</v>
      </c>
      <c r="B7596" t="s">
        <v>12</v>
      </c>
      <c r="C7596">
        <v>17</v>
      </c>
      <c r="D7596" t="s">
        <v>29</v>
      </c>
      <c r="E7596" t="s">
        <v>14</v>
      </c>
      <c r="F7596">
        <v>234</v>
      </c>
      <c r="G7596">
        <v>98</v>
      </c>
      <c r="H7596">
        <v>0.4</v>
      </c>
      <c r="I7596" t="s">
        <v>23</v>
      </c>
      <c r="J7596">
        <v>25</v>
      </c>
      <c r="K7596">
        <v>0</v>
      </c>
      <c r="L7596">
        <v>0</v>
      </c>
      <c r="M7596">
        <f>VLOOKUP(Table1[[#This Row],[subscription_type]],Plans!$A$1:$B$5,2,FALSE)</f>
        <v>0</v>
      </c>
      <c r="N7596">
        <f t="shared" si="118"/>
        <v>0</v>
      </c>
    </row>
    <row r="7597" spans="1:14" x14ac:dyDescent="0.35">
      <c r="A7597">
        <v>7596</v>
      </c>
      <c r="B7597" t="s">
        <v>16</v>
      </c>
      <c r="C7597">
        <v>53</v>
      </c>
      <c r="D7597" t="s">
        <v>25</v>
      </c>
      <c r="E7597" t="s">
        <v>22</v>
      </c>
      <c r="F7597">
        <v>254</v>
      </c>
      <c r="G7597">
        <v>11</v>
      </c>
      <c r="H7597">
        <v>0.04</v>
      </c>
      <c r="I7597" t="s">
        <v>19</v>
      </c>
      <c r="J7597">
        <v>0</v>
      </c>
      <c r="K7597">
        <v>1</v>
      </c>
      <c r="L7597">
        <v>0</v>
      </c>
      <c r="M7597">
        <f>VLOOKUP(Table1[[#This Row],[subscription_type]],Plans!$A$1:$B$5,2,FALSE)</f>
        <v>9.99</v>
      </c>
      <c r="N7597">
        <f t="shared" si="118"/>
        <v>0</v>
      </c>
    </row>
    <row r="7598" spans="1:14" x14ac:dyDescent="0.35">
      <c r="A7598">
        <v>7597</v>
      </c>
      <c r="B7598" t="s">
        <v>20</v>
      </c>
      <c r="C7598">
        <v>48</v>
      </c>
      <c r="D7598" t="s">
        <v>28</v>
      </c>
      <c r="E7598" t="s">
        <v>18</v>
      </c>
      <c r="F7598">
        <v>59</v>
      </c>
      <c r="G7598">
        <v>96</v>
      </c>
      <c r="H7598">
        <v>0.41</v>
      </c>
      <c r="I7598" t="s">
        <v>23</v>
      </c>
      <c r="J7598">
        <v>0</v>
      </c>
      <c r="K7598">
        <v>1</v>
      </c>
      <c r="L7598">
        <v>0</v>
      </c>
      <c r="M7598">
        <f>VLOOKUP(Table1[[#This Row],[subscription_type]],Plans!$A$1:$B$5,2,FALSE)</f>
        <v>14.99</v>
      </c>
      <c r="N7598">
        <f t="shared" si="118"/>
        <v>0</v>
      </c>
    </row>
    <row r="7599" spans="1:14" x14ac:dyDescent="0.35">
      <c r="A7599">
        <v>7598</v>
      </c>
      <c r="B7599" t="s">
        <v>12</v>
      </c>
      <c r="C7599">
        <v>44</v>
      </c>
      <c r="D7599" t="s">
        <v>27</v>
      </c>
      <c r="E7599" t="s">
        <v>24</v>
      </c>
      <c r="F7599">
        <v>10</v>
      </c>
      <c r="G7599">
        <v>81</v>
      </c>
      <c r="H7599">
        <v>0.55000000000000004</v>
      </c>
      <c r="I7599" t="s">
        <v>23</v>
      </c>
      <c r="J7599">
        <v>0</v>
      </c>
      <c r="K7599">
        <v>1</v>
      </c>
      <c r="L7599">
        <v>0</v>
      </c>
      <c r="M7599">
        <f>VLOOKUP(Table1[[#This Row],[subscription_type]],Plans!$A$1:$B$5,2,FALSE)</f>
        <v>4.99</v>
      </c>
      <c r="N7599">
        <f t="shared" si="118"/>
        <v>0</v>
      </c>
    </row>
    <row r="7600" spans="1:14" x14ac:dyDescent="0.35">
      <c r="A7600">
        <v>7599</v>
      </c>
      <c r="B7600" t="s">
        <v>20</v>
      </c>
      <c r="C7600">
        <v>17</v>
      </c>
      <c r="D7600" t="s">
        <v>13</v>
      </c>
      <c r="E7600" t="s">
        <v>18</v>
      </c>
      <c r="F7600">
        <v>288</v>
      </c>
      <c r="G7600">
        <v>8</v>
      </c>
      <c r="H7600">
        <v>0.37</v>
      </c>
      <c r="I7600" t="s">
        <v>15</v>
      </c>
      <c r="J7600">
        <v>0</v>
      </c>
      <c r="K7600">
        <v>1</v>
      </c>
      <c r="L7600">
        <v>0</v>
      </c>
      <c r="M7600">
        <f>VLOOKUP(Table1[[#This Row],[subscription_type]],Plans!$A$1:$B$5,2,FALSE)</f>
        <v>14.99</v>
      </c>
      <c r="N7600">
        <f t="shared" si="118"/>
        <v>0</v>
      </c>
    </row>
    <row r="7601" spans="1:14" x14ac:dyDescent="0.35">
      <c r="A7601">
        <v>7600</v>
      </c>
      <c r="B7601" t="s">
        <v>16</v>
      </c>
      <c r="C7601">
        <v>48</v>
      </c>
      <c r="D7601" t="s">
        <v>13</v>
      </c>
      <c r="E7601" t="s">
        <v>18</v>
      </c>
      <c r="F7601">
        <v>148</v>
      </c>
      <c r="G7601">
        <v>90</v>
      </c>
      <c r="H7601">
        <v>0.1</v>
      </c>
      <c r="I7601" t="s">
        <v>23</v>
      </c>
      <c r="J7601">
        <v>0</v>
      </c>
      <c r="K7601">
        <v>1</v>
      </c>
      <c r="L7601">
        <v>0</v>
      </c>
      <c r="M7601">
        <f>VLOOKUP(Table1[[#This Row],[subscription_type]],Plans!$A$1:$B$5,2,FALSE)</f>
        <v>14.99</v>
      </c>
      <c r="N7601">
        <f t="shared" si="118"/>
        <v>0</v>
      </c>
    </row>
    <row r="7602" spans="1:14" x14ac:dyDescent="0.35">
      <c r="A7602">
        <v>7601</v>
      </c>
      <c r="B7602" t="s">
        <v>12</v>
      </c>
      <c r="C7602">
        <v>42</v>
      </c>
      <c r="D7602" t="s">
        <v>21</v>
      </c>
      <c r="E7602" t="s">
        <v>18</v>
      </c>
      <c r="F7602">
        <v>55</v>
      </c>
      <c r="G7602">
        <v>30</v>
      </c>
      <c r="H7602">
        <v>0.23</v>
      </c>
      <c r="I7602" t="s">
        <v>15</v>
      </c>
      <c r="J7602">
        <v>0</v>
      </c>
      <c r="K7602">
        <v>1</v>
      </c>
      <c r="L7602">
        <v>1</v>
      </c>
      <c r="M7602">
        <f>VLOOKUP(Table1[[#This Row],[subscription_type]],Plans!$A$1:$B$5,2,FALSE)</f>
        <v>14.99</v>
      </c>
      <c r="N7602">
        <f t="shared" si="118"/>
        <v>14.99</v>
      </c>
    </row>
    <row r="7603" spans="1:14" x14ac:dyDescent="0.35">
      <c r="A7603">
        <v>7602</v>
      </c>
      <c r="B7603" t="s">
        <v>12</v>
      </c>
      <c r="C7603">
        <v>37</v>
      </c>
      <c r="D7603" t="s">
        <v>13</v>
      </c>
      <c r="E7603" t="s">
        <v>24</v>
      </c>
      <c r="F7603">
        <v>287</v>
      </c>
      <c r="G7603">
        <v>15</v>
      </c>
      <c r="H7603">
        <v>0.34</v>
      </c>
      <c r="I7603" t="s">
        <v>15</v>
      </c>
      <c r="J7603">
        <v>0</v>
      </c>
      <c r="K7603">
        <v>1</v>
      </c>
      <c r="L7603">
        <v>0</v>
      </c>
      <c r="M7603">
        <f>VLOOKUP(Table1[[#This Row],[subscription_type]],Plans!$A$1:$B$5,2,FALSE)</f>
        <v>4.99</v>
      </c>
      <c r="N7603">
        <f t="shared" si="118"/>
        <v>0</v>
      </c>
    </row>
    <row r="7604" spans="1:14" x14ac:dyDescent="0.35">
      <c r="A7604">
        <v>7603</v>
      </c>
      <c r="B7604" t="s">
        <v>20</v>
      </c>
      <c r="C7604">
        <v>28</v>
      </c>
      <c r="D7604" t="s">
        <v>28</v>
      </c>
      <c r="E7604" t="s">
        <v>22</v>
      </c>
      <c r="F7604">
        <v>150</v>
      </c>
      <c r="G7604">
        <v>88</v>
      </c>
      <c r="H7604">
        <v>0.16</v>
      </c>
      <c r="I7604" t="s">
        <v>15</v>
      </c>
      <c r="J7604">
        <v>0</v>
      </c>
      <c r="K7604">
        <v>1</v>
      </c>
      <c r="L7604">
        <v>0</v>
      </c>
      <c r="M7604">
        <f>VLOOKUP(Table1[[#This Row],[subscription_type]],Plans!$A$1:$B$5,2,FALSE)</f>
        <v>9.99</v>
      </c>
      <c r="N7604">
        <f t="shared" si="118"/>
        <v>0</v>
      </c>
    </row>
    <row r="7605" spans="1:14" x14ac:dyDescent="0.35">
      <c r="A7605">
        <v>7604</v>
      </c>
      <c r="B7605" t="s">
        <v>12</v>
      </c>
      <c r="C7605">
        <v>17</v>
      </c>
      <c r="D7605" t="s">
        <v>25</v>
      </c>
      <c r="E7605" t="s">
        <v>18</v>
      </c>
      <c r="F7605">
        <v>136</v>
      </c>
      <c r="G7605">
        <v>58</v>
      </c>
      <c r="H7605">
        <v>0.51</v>
      </c>
      <c r="I7605" t="s">
        <v>19</v>
      </c>
      <c r="J7605">
        <v>0</v>
      </c>
      <c r="K7605">
        <v>1</v>
      </c>
      <c r="L7605">
        <v>0</v>
      </c>
      <c r="M7605">
        <f>VLOOKUP(Table1[[#This Row],[subscription_type]],Plans!$A$1:$B$5,2,FALSE)</f>
        <v>14.99</v>
      </c>
      <c r="N7605">
        <f t="shared" si="118"/>
        <v>0</v>
      </c>
    </row>
    <row r="7606" spans="1:14" x14ac:dyDescent="0.35">
      <c r="A7606">
        <v>7605</v>
      </c>
      <c r="B7606" t="s">
        <v>16</v>
      </c>
      <c r="C7606">
        <v>23</v>
      </c>
      <c r="D7606" t="s">
        <v>17</v>
      </c>
      <c r="E7606" t="s">
        <v>22</v>
      </c>
      <c r="F7606">
        <v>89</v>
      </c>
      <c r="G7606">
        <v>58</v>
      </c>
      <c r="H7606">
        <v>0.4</v>
      </c>
      <c r="I7606" t="s">
        <v>15</v>
      </c>
      <c r="J7606">
        <v>0</v>
      </c>
      <c r="K7606">
        <v>1</v>
      </c>
      <c r="L7606">
        <v>0</v>
      </c>
      <c r="M7606">
        <f>VLOOKUP(Table1[[#This Row],[subscription_type]],Plans!$A$1:$B$5,2,FALSE)</f>
        <v>9.99</v>
      </c>
      <c r="N7606">
        <f t="shared" si="118"/>
        <v>0</v>
      </c>
    </row>
    <row r="7607" spans="1:14" x14ac:dyDescent="0.35">
      <c r="A7607">
        <v>7606</v>
      </c>
      <c r="B7607" t="s">
        <v>12</v>
      </c>
      <c r="C7607">
        <v>45</v>
      </c>
      <c r="D7607" t="s">
        <v>25</v>
      </c>
      <c r="E7607" t="s">
        <v>24</v>
      </c>
      <c r="F7607">
        <v>11</v>
      </c>
      <c r="G7607">
        <v>16</v>
      </c>
      <c r="H7607">
        <v>0.57999999999999996</v>
      </c>
      <c r="I7607" t="s">
        <v>23</v>
      </c>
      <c r="J7607">
        <v>0</v>
      </c>
      <c r="K7607">
        <v>1</v>
      </c>
      <c r="L7607">
        <v>0</v>
      </c>
      <c r="M7607">
        <f>VLOOKUP(Table1[[#This Row],[subscription_type]],Plans!$A$1:$B$5,2,FALSE)</f>
        <v>4.99</v>
      </c>
      <c r="N7607">
        <f t="shared" si="118"/>
        <v>0</v>
      </c>
    </row>
    <row r="7608" spans="1:14" x14ac:dyDescent="0.35">
      <c r="A7608">
        <v>7607</v>
      </c>
      <c r="B7608" t="s">
        <v>20</v>
      </c>
      <c r="C7608">
        <v>49</v>
      </c>
      <c r="D7608" t="s">
        <v>28</v>
      </c>
      <c r="E7608" t="s">
        <v>18</v>
      </c>
      <c r="F7608">
        <v>163</v>
      </c>
      <c r="G7608">
        <v>54</v>
      </c>
      <c r="H7608">
        <v>0.56999999999999995</v>
      </c>
      <c r="I7608" t="s">
        <v>15</v>
      </c>
      <c r="J7608">
        <v>0</v>
      </c>
      <c r="K7608">
        <v>1</v>
      </c>
      <c r="L7608">
        <v>0</v>
      </c>
      <c r="M7608">
        <f>VLOOKUP(Table1[[#This Row],[subscription_type]],Plans!$A$1:$B$5,2,FALSE)</f>
        <v>14.99</v>
      </c>
      <c r="N7608">
        <f t="shared" si="118"/>
        <v>0</v>
      </c>
    </row>
    <row r="7609" spans="1:14" x14ac:dyDescent="0.35">
      <c r="A7609">
        <v>7608</v>
      </c>
      <c r="B7609" t="s">
        <v>16</v>
      </c>
      <c r="C7609">
        <v>53</v>
      </c>
      <c r="D7609" t="s">
        <v>17</v>
      </c>
      <c r="E7609" t="s">
        <v>24</v>
      </c>
      <c r="F7609">
        <v>129</v>
      </c>
      <c r="G7609">
        <v>54</v>
      </c>
      <c r="H7609">
        <v>0.12</v>
      </c>
      <c r="I7609" t="s">
        <v>15</v>
      </c>
      <c r="J7609">
        <v>0</v>
      </c>
      <c r="K7609">
        <v>1</v>
      </c>
      <c r="L7609">
        <v>0</v>
      </c>
      <c r="M7609">
        <f>VLOOKUP(Table1[[#This Row],[subscription_type]],Plans!$A$1:$B$5,2,FALSE)</f>
        <v>4.99</v>
      </c>
      <c r="N7609">
        <f t="shared" si="118"/>
        <v>0</v>
      </c>
    </row>
    <row r="7610" spans="1:14" x14ac:dyDescent="0.35">
      <c r="A7610">
        <v>7609</v>
      </c>
      <c r="B7610" t="s">
        <v>20</v>
      </c>
      <c r="C7610">
        <v>20</v>
      </c>
      <c r="D7610" t="s">
        <v>28</v>
      </c>
      <c r="E7610" t="s">
        <v>24</v>
      </c>
      <c r="F7610">
        <v>144</v>
      </c>
      <c r="G7610">
        <v>62</v>
      </c>
      <c r="H7610">
        <v>0.19</v>
      </c>
      <c r="I7610" t="s">
        <v>15</v>
      </c>
      <c r="J7610">
        <v>0</v>
      </c>
      <c r="K7610">
        <v>1</v>
      </c>
      <c r="L7610">
        <v>1</v>
      </c>
      <c r="M7610">
        <f>VLOOKUP(Table1[[#This Row],[subscription_type]],Plans!$A$1:$B$5,2,FALSE)</f>
        <v>4.99</v>
      </c>
      <c r="N7610">
        <f t="shared" si="118"/>
        <v>4.99</v>
      </c>
    </row>
    <row r="7611" spans="1:14" x14ac:dyDescent="0.35">
      <c r="A7611">
        <v>7610</v>
      </c>
      <c r="B7611" t="s">
        <v>12</v>
      </c>
      <c r="C7611">
        <v>20</v>
      </c>
      <c r="D7611" t="s">
        <v>25</v>
      </c>
      <c r="E7611" t="s">
        <v>14</v>
      </c>
      <c r="F7611">
        <v>119</v>
      </c>
      <c r="G7611">
        <v>69</v>
      </c>
      <c r="H7611">
        <v>0.21</v>
      </c>
      <c r="I7611" t="s">
        <v>23</v>
      </c>
      <c r="J7611">
        <v>38</v>
      </c>
      <c r="K7611">
        <v>0</v>
      </c>
      <c r="L7611">
        <v>1</v>
      </c>
      <c r="M7611">
        <f>VLOOKUP(Table1[[#This Row],[subscription_type]],Plans!$A$1:$B$5,2,FALSE)</f>
        <v>0</v>
      </c>
      <c r="N7611">
        <f t="shared" si="118"/>
        <v>0</v>
      </c>
    </row>
    <row r="7612" spans="1:14" x14ac:dyDescent="0.35">
      <c r="A7612">
        <v>7611</v>
      </c>
      <c r="B7612" t="s">
        <v>16</v>
      </c>
      <c r="C7612">
        <v>53</v>
      </c>
      <c r="D7612" t="s">
        <v>27</v>
      </c>
      <c r="E7612" t="s">
        <v>18</v>
      </c>
      <c r="F7612">
        <v>106</v>
      </c>
      <c r="G7612">
        <v>90</v>
      </c>
      <c r="H7612">
        <v>0.32</v>
      </c>
      <c r="I7612" t="s">
        <v>23</v>
      </c>
      <c r="J7612">
        <v>0</v>
      </c>
      <c r="K7612">
        <v>1</v>
      </c>
      <c r="L7612">
        <v>0</v>
      </c>
      <c r="M7612">
        <f>VLOOKUP(Table1[[#This Row],[subscription_type]],Plans!$A$1:$B$5,2,FALSE)</f>
        <v>14.99</v>
      </c>
      <c r="N7612">
        <f t="shared" si="118"/>
        <v>0</v>
      </c>
    </row>
    <row r="7613" spans="1:14" x14ac:dyDescent="0.35">
      <c r="A7613">
        <v>7612</v>
      </c>
      <c r="B7613" t="s">
        <v>12</v>
      </c>
      <c r="C7613">
        <v>51</v>
      </c>
      <c r="D7613" t="s">
        <v>26</v>
      </c>
      <c r="E7613" t="s">
        <v>22</v>
      </c>
      <c r="F7613">
        <v>46</v>
      </c>
      <c r="G7613">
        <v>23</v>
      </c>
      <c r="H7613">
        <v>0.09</v>
      </c>
      <c r="I7613" t="s">
        <v>15</v>
      </c>
      <c r="J7613">
        <v>0</v>
      </c>
      <c r="K7613">
        <v>1</v>
      </c>
      <c r="L7613">
        <v>0</v>
      </c>
      <c r="M7613">
        <f>VLOOKUP(Table1[[#This Row],[subscription_type]],Plans!$A$1:$B$5,2,FALSE)</f>
        <v>9.99</v>
      </c>
      <c r="N7613">
        <f t="shared" si="118"/>
        <v>0</v>
      </c>
    </row>
    <row r="7614" spans="1:14" x14ac:dyDescent="0.35">
      <c r="A7614">
        <v>7613</v>
      </c>
      <c r="B7614" t="s">
        <v>16</v>
      </c>
      <c r="C7614">
        <v>35</v>
      </c>
      <c r="D7614" t="s">
        <v>13</v>
      </c>
      <c r="E7614" t="s">
        <v>22</v>
      </c>
      <c r="F7614">
        <v>243</v>
      </c>
      <c r="G7614">
        <v>65</v>
      </c>
      <c r="H7614">
        <v>0.55000000000000004</v>
      </c>
      <c r="I7614" t="s">
        <v>23</v>
      </c>
      <c r="J7614">
        <v>0</v>
      </c>
      <c r="K7614">
        <v>1</v>
      </c>
      <c r="L7614">
        <v>0</v>
      </c>
      <c r="M7614">
        <f>VLOOKUP(Table1[[#This Row],[subscription_type]],Plans!$A$1:$B$5,2,FALSE)</f>
        <v>9.99</v>
      </c>
      <c r="N7614">
        <f t="shared" si="118"/>
        <v>0</v>
      </c>
    </row>
    <row r="7615" spans="1:14" x14ac:dyDescent="0.35">
      <c r="A7615">
        <v>7614</v>
      </c>
      <c r="B7615" t="s">
        <v>12</v>
      </c>
      <c r="C7615">
        <v>46</v>
      </c>
      <c r="D7615" t="s">
        <v>25</v>
      </c>
      <c r="E7615" t="s">
        <v>14</v>
      </c>
      <c r="F7615">
        <v>268</v>
      </c>
      <c r="G7615">
        <v>45</v>
      </c>
      <c r="H7615">
        <v>0.19</v>
      </c>
      <c r="I7615" t="s">
        <v>23</v>
      </c>
      <c r="J7615">
        <v>6</v>
      </c>
      <c r="K7615">
        <v>0</v>
      </c>
      <c r="L7615">
        <v>0</v>
      </c>
      <c r="M7615">
        <f>VLOOKUP(Table1[[#This Row],[subscription_type]],Plans!$A$1:$B$5,2,FALSE)</f>
        <v>0</v>
      </c>
      <c r="N7615">
        <f t="shared" si="118"/>
        <v>0</v>
      </c>
    </row>
    <row r="7616" spans="1:14" x14ac:dyDescent="0.35">
      <c r="A7616">
        <v>7615</v>
      </c>
      <c r="B7616" t="s">
        <v>16</v>
      </c>
      <c r="C7616">
        <v>56</v>
      </c>
      <c r="D7616" t="s">
        <v>29</v>
      </c>
      <c r="E7616" t="s">
        <v>22</v>
      </c>
      <c r="F7616">
        <v>210</v>
      </c>
      <c r="G7616">
        <v>2</v>
      </c>
      <c r="H7616">
        <v>0.52</v>
      </c>
      <c r="I7616" t="s">
        <v>15</v>
      </c>
      <c r="J7616">
        <v>0</v>
      </c>
      <c r="K7616">
        <v>1</v>
      </c>
      <c r="L7616">
        <v>0</v>
      </c>
      <c r="M7616">
        <f>VLOOKUP(Table1[[#This Row],[subscription_type]],Plans!$A$1:$B$5,2,FALSE)</f>
        <v>9.99</v>
      </c>
      <c r="N7616">
        <f t="shared" si="118"/>
        <v>0</v>
      </c>
    </row>
    <row r="7617" spans="1:14" x14ac:dyDescent="0.35">
      <c r="A7617">
        <v>7616</v>
      </c>
      <c r="B7617" t="s">
        <v>16</v>
      </c>
      <c r="C7617">
        <v>17</v>
      </c>
      <c r="D7617" t="s">
        <v>13</v>
      </c>
      <c r="E7617" t="s">
        <v>14</v>
      </c>
      <c r="F7617">
        <v>179</v>
      </c>
      <c r="G7617">
        <v>92</v>
      </c>
      <c r="H7617">
        <v>0.53</v>
      </c>
      <c r="I7617" t="s">
        <v>19</v>
      </c>
      <c r="J7617">
        <v>6</v>
      </c>
      <c r="K7617">
        <v>0</v>
      </c>
      <c r="L7617">
        <v>0</v>
      </c>
      <c r="M7617">
        <f>VLOOKUP(Table1[[#This Row],[subscription_type]],Plans!$A$1:$B$5,2,FALSE)</f>
        <v>0</v>
      </c>
      <c r="N7617">
        <f t="shared" si="118"/>
        <v>0</v>
      </c>
    </row>
    <row r="7618" spans="1:14" x14ac:dyDescent="0.35">
      <c r="A7618">
        <v>7617</v>
      </c>
      <c r="B7618" t="s">
        <v>16</v>
      </c>
      <c r="C7618">
        <v>28</v>
      </c>
      <c r="D7618" t="s">
        <v>29</v>
      </c>
      <c r="E7618" t="s">
        <v>24</v>
      </c>
      <c r="F7618">
        <v>173</v>
      </c>
      <c r="G7618">
        <v>31</v>
      </c>
      <c r="H7618">
        <v>0.43</v>
      </c>
      <c r="I7618" t="s">
        <v>15</v>
      </c>
      <c r="J7618">
        <v>0</v>
      </c>
      <c r="K7618">
        <v>1</v>
      </c>
      <c r="L7618">
        <v>0</v>
      </c>
      <c r="M7618">
        <f>VLOOKUP(Table1[[#This Row],[subscription_type]],Plans!$A$1:$B$5,2,FALSE)</f>
        <v>4.99</v>
      </c>
      <c r="N7618">
        <f t="shared" ref="N7618:N7681" si="119">IF(L7618=1, M7618,0)</f>
        <v>0</v>
      </c>
    </row>
    <row r="7619" spans="1:14" x14ac:dyDescent="0.35">
      <c r="A7619">
        <v>7618</v>
      </c>
      <c r="B7619" t="s">
        <v>16</v>
      </c>
      <c r="C7619">
        <v>34</v>
      </c>
      <c r="D7619" t="s">
        <v>28</v>
      </c>
      <c r="E7619" t="s">
        <v>22</v>
      </c>
      <c r="F7619">
        <v>292</v>
      </c>
      <c r="G7619">
        <v>36</v>
      </c>
      <c r="H7619">
        <v>0.32</v>
      </c>
      <c r="I7619" t="s">
        <v>15</v>
      </c>
      <c r="J7619">
        <v>0</v>
      </c>
      <c r="K7619">
        <v>1</v>
      </c>
      <c r="L7619">
        <v>0</v>
      </c>
      <c r="M7619">
        <f>VLOOKUP(Table1[[#This Row],[subscription_type]],Plans!$A$1:$B$5,2,FALSE)</f>
        <v>9.99</v>
      </c>
      <c r="N7619">
        <f t="shared" si="119"/>
        <v>0</v>
      </c>
    </row>
    <row r="7620" spans="1:14" x14ac:dyDescent="0.35">
      <c r="A7620">
        <v>7619</v>
      </c>
      <c r="B7620" t="s">
        <v>12</v>
      </c>
      <c r="C7620">
        <v>57</v>
      </c>
      <c r="D7620" t="s">
        <v>29</v>
      </c>
      <c r="E7620" t="s">
        <v>22</v>
      </c>
      <c r="F7620">
        <v>147</v>
      </c>
      <c r="G7620">
        <v>74</v>
      </c>
      <c r="H7620">
        <v>0.56999999999999995</v>
      </c>
      <c r="I7620" t="s">
        <v>19</v>
      </c>
      <c r="J7620">
        <v>0</v>
      </c>
      <c r="K7620">
        <v>1</v>
      </c>
      <c r="L7620">
        <v>1</v>
      </c>
      <c r="M7620">
        <f>VLOOKUP(Table1[[#This Row],[subscription_type]],Plans!$A$1:$B$5,2,FALSE)</f>
        <v>9.99</v>
      </c>
      <c r="N7620">
        <f t="shared" si="119"/>
        <v>9.99</v>
      </c>
    </row>
    <row r="7621" spans="1:14" x14ac:dyDescent="0.35">
      <c r="A7621">
        <v>7620</v>
      </c>
      <c r="B7621" t="s">
        <v>20</v>
      </c>
      <c r="C7621">
        <v>29</v>
      </c>
      <c r="D7621" t="s">
        <v>25</v>
      </c>
      <c r="E7621" t="s">
        <v>22</v>
      </c>
      <c r="F7621">
        <v>194</v>
      </c>
      <c r="G7621">
        <v>38</v>
      </c>
      <c r="H7621">
        <v>0.47</v>
      </c>
      <c r="I7621" t="s">
        <v>19</v>
      </c>
      <c r="J7621">
        <v>0</v>
      </c>
      <c r="K7621">
        <v>1</v>
      </c>
      <c r="L7621">
        <v>0</v>
      </c>
      <c r="M7621">
        <f>VLOOKUP(Table1[[#This Row],[subscription_type]],Plans!$A$1:$B$5,2,FALSE)</f>
        <v>9.99</v>
      </c>
      <c r="N7621">
        <f t="shared" si="119"/>
        <v>0</v>
      </c>
    </row>
    <row r="7622" spans="1:14" x14ac:dyDescent="0.35">
      <c r="A7622">
        <v>7621</v>
      </c>
      <c r="B7622" t="s">
        <v>16</v>
      </c>
      <c r="C7622">
        <v>48</v>
      </c>
      <c r="D7622" t="s">
        <v>25</v>
      </c>
      <c r="E7622" t="s">
        <v>14</v>
      </c>
      <c r="F7622">
        <v>287</v>
      </c>
      <c r="G7622">
        <v>44</v>
      </c>
      <c r="H7622">
        <v>7.0000000000000007E-2</v>
      </c>
      <c r="I7622" t="s">
        <v>19</v>
      </c>
      <c r="J7622">
        <v>10</v>
      </c>
      <c r="K7622">
        <v>0</v>
      </c>
      <c r="L7622">
        <v>0</v>
      </c>
      <c r="M7622">
        <f>VLOOKUP(Table1[[#This Row],[subscription_type]],Plans!$A$1:$B$5,2,FALSE)</f>
        <v>0</v>
      </c>
      <c r="N7622">
        <f t="shared" si="119"/>
        <v>0</v>
      </c>
    </row>
    <row r="7623" spans="1:14" x14ac:dyDescent="0.35">
      <c r="A7623">
        <v>7622</v>
      </c>
      <c r="B7623" t="s">
        <v>12</v>
      </c>
      <c r="C7623">
        <v>39</v>
      </c>
      <c r="D7623" t="s">
        <v>21</v>
      </c>
      <c r="E7623" t="s">
        <v>24</v>
      </c>
      <c r="F7623">
        <v>112</v>
      </c>
      <c r="G7623">
        <v>25</v>
      </c>
      <c r="H7623">
        <v>0.36</v>
      </c>
      <c r="I7623" t="s">
        <v>23</v>
      </c>
      <c r="J7623">
        <v>0</v>
      </c>
      <c r="K7623">
        <v>1</v>
      </c>
      <c r="L7623">
        <v>0</v>
      </c>
      <c r="M7623">
        <f>VLOOKUP(Table1[[#This Row],[subscription_type]],Plans!$A$1:$B$5,2,FALSE)</f>
        <v>4.99</v>
      </c>
      <c r="N7623">
        <f t="shared" si="119"/>
        <v>0</v>
      </c>
    </row>
    <row r="7624" spans="1:14" x14ac:dyDescent="0.35">
      <c r="A7624">
        <v>7623</v>
      </c>
      <c r="B7624" t="s">
        <v>12</v>
      </c>
      <c r="C7624">
        <v>49</v>
      </c>
      <c r="D7624" t="s">
        <v>28</v>
      </c>
      <c r="E7624" t="s">
        <v>14</v>
      </c>
      <c r="F7624">
        <v>40</v>
      </c>
      <c r="G7624">
        <v>64</v>
      </c>
      <c r="H7624">
        <v>0.38</v>
      </c>
      <c r="I7624" t="s">
        <v>15</v>
      </c>
      <c r="J7624">
        <v>12</v>
      </c>
      <c r="K7624">
        <v>0</v>
      </c>
      <c r="L7624">
        <v>1</v>
      </c>
      <c r="M7624">
        <f>VLOOKUP(Table1[[#This Row],[subscription_type]],Plans!$A$1:$B$5,2,FALSE)</f>
        <v>0</v>
      </c>
      <c r="N7624">
        <f t="shared" si="119"/>
        <v>0</v>
      </c>
    </row>
    <row r="7625" spans="1:14" x14ac:dyDescent="0.35">
      <c r="A7625">
        <v>7624</v>
      </c>
      <c r="B7625" t="s">
        <v>12</v>
      </c>
      <c r="C7625">
        <v>50</v>
      </c>
      <c r="D7625" t="s">
        <v>25</v>
      </c>
      <c r="E7625" t="s">
        <v>22</v>
      </c>
      <c r="F7625">
        <v>199</v>
      </c>
      <c r="G7625">
        <v>26</v>
      </c>
      <c r="H7625">
        <v>0.28999999999999998</v>
      </c>
      <c r="I7625" t="s">
        <v>15</v>
      </c>
      <c r="J7625">
        <v>0</v>
      </c>
      <c r="K7625">
        <v>1</v>
      </c>
      <c r="L7625">
        <v>0</v>
      </c>
      <c r="M7625">
        <f>VLOOKUP(Table1[[#This Row],[subscription_type]],Plans!$A$1:$B$5,2,FALSE)</f>
        <v>9.99</v>
      </c>
      <c r="N7625">
        <f t="shared" si="119"/>
        <v>0</v>
      </c>
    </row>
    <row r="7626" spans="1:14" x14ac:dyDescent="0.35">
      <c r="A7626">
        <v>7625</v>
      </c>
      <c r="B7626" t="s">
        <v>16</v>
      </c>
      <c r="C7626">
        <v>18</v>
      </c>
      <c r="D7626" t="s">
        <v>25</v>
      </c>
      <c r="E7626" t="s">
        <v>18</v>
      </c>
      <c r="F7626">
        <v>198</v>
      </c>
      <c r="G7626">
        <v>31</v>
      </c>
      <c r="H7626">
        <v>0.44</v>
      </c>
      <c r="I7626" t="s">
        <v>15</v>
      </c>
      <c r="J7626">
        <v>0</v>
      </c>
      <c r="K7626">
        <v>1</v>
      </c>
      <c r="L7626">
        <v>0</v>
      </c>
      <c r="M7626">
        <f>VLOOKUP(Table1[[#This Row],[subscription_type]],Plans!$A$1:$B$5,2,FALSE)</f>
        <v>14.99</v>
      </c>
      <c r="N7626">
        <f t="shared" si="119"/>
        <v>0</v>
      </c>
    </row>
    <row r="7627" spans="1:14" x14ac:dyDescent="0.35">
      <c r="A7627">
        <v>7626</v>
      </c>
      <c r="B7627" t="s">
        <v>12</v>
      </c>
      <c r="C7627">
        <v>43</v>
      </c>
      <c r="D7627" t="s">
        <v>29</v>
      </c>
      <c r="E7627" t="s">
        <v>18</v>
      </c>
      <c r="F7627">
        <v>77</v>
      </c>
      <c r="G7627">
        <v>78</v>
      </c>
      <c r="H7627">
        <v>0.21</v>
      </c>
      <c r="I7627" t="s">
        <v>23</v>
      </c>
      <c r="J7627">
        <v>0</v>
      </c>
      <c r="K7627">
        <v>1</v>
      </c>
      <c r="L7627">
        <v>1</v>
      </c>
      <c r="M7627">
        <f>VLOOKUP(Table1[[#This Row],[subscription_type]],Plans!$A$1:$B$5,2,FALSE)</f>
        <v>14.99</v>
      </c>
      <c r="N7627">
        <f t="shared" si="119"/>
        <v>14.99</v>
      </c>
    </row>
    <row r="7628" spans="1:14" x14ac:dyDescent="0.35">
      <c r="A7628">
        <v>7627</v>
      </c>
      <c r="B7628" t="s">
        <v>12</v>
      </c>
      <c r="C7628">
        <v>57</v>
      </c>
      <c r="D7628" t="s">
        <v>28</v>
      </c>
      <c r="E7628" t="s">
        <v>18</v>
      </c>
      <c r="F7628">
        <v>133</v>
      </c>
      <c r="G7628">
        <v>77</v>
      </c>
      <c r="H7628">
        <v>0.17</v>
      </c>
      <c r="I7628" t="s">
        <v>19</v>
      </c>
      <c r="J7628">
        <v>0</v>
      </c>
      <c r="K7628">
        <v>1</v>
      </c>
      <c r="L7628">
        <v>0</v>
      </c>
      <c r="M7628">
        <f>VLOOKUP(Table1[[#This Row],[subscription_type]],Plans!$A$1:$B$5,2,FALSE)</f>
        <v>14.99</v>
      </c>
      <c r="N7628">
        <f t="shared" si="119"/>
        <v>0</v>
      </c>
    </row>
    <row r="7629" spans="1:14" x14ac:dyDescent="0.35">
      <c r="A7629">
        <v>7628</v>
      </c>
      <c r="B7629" t="s">
        <v>20</v>
      </c>
      <c r="C7629">
        <v>58</v>
      </c>
      <c r="D7629" t="s">
        <v>21</v>
      </c>
      <c r="E7629" t="s">
        <v>14</v>
      </c>
      <c r="F7629">
        <v>65</v>
      </c>
      <c r="G7629">
        <v>7</v>
      </c>
      <c r="H7629">
        <v>0.32</v>
      </c>
      <c r="I7629" t="s">
        <v>15</v>
      </c>
      <c r="J7629">
        <v>9</v>
      </c>
      <c r="K7629">
        <v>0</v>
      </c>
      <c r="L7629">
        <v>0</v>
      </c>
      <c r="M7629">
        <f>VLOOKUP(Table1[[#This Row],[subscription_type]],Plans!$A$1:$B$5,2,FALSE)</f>
        <v>0</v>
      </c>
      <c r="N7629">
        <f t="shared" si="119"/>
        <v>0</v>
      </c>
    </row>
    <row r="7630" spans="1:14" x14ac:dyDescent="0.35">
      <c r="A7630">
        <v>7629</v>
      </c>
      <c r="B7630" t="s">
        <v>12</v>
      </c>
      <c r="C7630">
        <v>52</v>
      </c>
      <c r="D7630" t="s">
        <v>17</v>
      </c>
      <c r="E7630" t="s">
        <v>24</v>
      </c>
      <c r="F7630">
        <v>115</v>
      </c>
      <c r="G7630">
        <v>70</v>
      </c>
      <c r="H7630">
        <v>0.25</v>
      </c>
      <c r="I7630" t="s">
        <v>15</v>
      </c>
      <c r="J7630">
        <v>0</v>
      </c>
      <c r="K7630">
        <v>1</v>
      </c>
      <c r="L7630">
        <v>0</v>
      </c>
      <c r="M7630">
        <f>VLOOKUP(Table1[[#This Row],[subscription_type]],Plans!$A$1:$B$5,2,FALSE)</f>
        <v>4.99</v>
      </c>
      <c r="N7630">
        <f t="shared" si="119"/>
        <v>0</v>
      </c>
    </row>
    <row r="7631" spans="1:14" x14ac:dyDescent="0.35">
      <c r="A7631">
        <v>7630</v>
      </c>
      <c r="B7631" t="s">
        <v>16</v>
      </c>
      <c r="C7631">
        <v>39</v>
      </c>
      <c r="D7631" t="s">
        <v>27</v>
      </c>
      <c r="E7631" t="s">
        <v>24</v>
      </c>
      <c r="F7631">
        <v>62</v>
      </c>
      <c r="G7631">
        <v>28</v>
      </c>
      <c r="H7631">
        <v>0.56000000000000005</v>
      </c>
      <c r="I7631" t="s">
        <v>23</v>
      </c>
      <c r="J7631">
        <v>0</v>
      </c>
      <c r="K7631">
        <v>1</v>
      </c>
      <c r="L7631">
        <v>0</v>
      </c>
      <c r="M7631">
        <f>VLOOKUP(Table1[[#This Row],[subscription_type]],Plans!$A$1:$B$5,2,FALSE)</f>
        <v>4.99</v>
      </c>
      <c r="N7631">
        <f t="shared" si="119"/>
        <v>0</v>
      </c>
    </row>
    <row r="7632" spans="1:14" x14ac:dyDescent="0.35">
      <c r="A7632">
        <v>7631</v>
      </c>
      <c r="B7632" t="s">
        <v>12</v>
      </c>
      <c r="C7632">
        <v>50</v>
      </c>
      <c r="D7632" t="s">
        <v>28</v>
      </c>
      <c r="E7632" t="s">
        <v>14</v>
      </c>
      <c r="F7632">
        <v>281</v>
      </c>
      <c r="G7632">
        <v>5</v>
      </c>
      <c r="H7632">
        <v>0.21</v>
      </c>
      <c r="I7632" t="s">
        <v>23</v>
      </c>
      <c r="J7632">
        <v>24</v>
      </c>
      <c r="K7632">
        <v>0</v>
      </c>
      <c r="L7632">
        <v>0</v>
      </c>
      <c r="M7632">
        <f>VLOOKUP(Table1[[#This Row],[subscription_type]],Plans!$A$1:$B$5,2,FALSE)</f>
        <v>0</v>
      </c>
      <c r="N7632">
        <f t="shared" si="119"/>
        <v>0</v>
      </c>
    </row>
    <row r="7633" spans="1:14" x14ac:dyDescent="0.35">
      <c r="A7633">
        <v>7632</v>
      </c>
      <c r="B7633" t="s">
        <v>16</v>
      </c>
      <c r="C7633">
        <v>39</v>
      </c>
      <c r="D7633" t="s">
        <v>21</v>
      </c>
      <c r="E7633" t="s">
        <v>24</v>
      </c>
      <c r="F7633">
        <v>65</v>
      </c>
      <c r="G7633">
        <v>3</v>
      </c>
      <c r="H7633">
        <v>0.28000000000000003</v>
      </c>
      <c r="I7633" t="s">
        <v>23</v>
      </c>
      <c r="J7633">
        <v>0</v>
      </c>
      <c r="K7633">
        <v>1</v>
      </c>
      <c r="L7633">
        <v>0</v>
      </c>
      <c r="M7633">
        <f>VLOOKUP(Table1[[#This Row],[subscription_type]],Plans!$A$1:$B$5,2,FALSE)</f>
        <v>4.99</v>
      </c>
      <c r="N7633">
        <f t="shared" si="119"/>
        <v>0</v>
      </c>
    </row>
    <row r="7634" spans="1:14" x14ac:dyDescent="0.35">
      <c r="A7634">
        <v>7633</v>
      </c>
      <c r="B7634" t="s">
        <v>20</v>
      </c>
      <c r="C7634">
        <v>29</v>
      </c>
      <c r="D7634" t="s">
        <v>29</v>
      </c>
      <c r="E7634" t="s">
        <v>14</v>
      </c>
      <c r="F7634">
        <v>281</v>
      </c>
      <c r="G7634">
        <v>22</v>
      </c>
      <c r="H7634">
        <v>0.24</v>
      </c>
      <c r="I7634" t="s">
        <v>15</v>
      </c>
      <c r="J7634">
        <v>8</v>
      </c>
      <c r="K7634">
        <v>0</v>
      </c>
      <c r="L7634">
        <v>0</v>
      </c>
      <c r="M7634">
        <f>VLOOKUP(Table1[[#This Row],[subscription_type]],Plans!$A$1:$B$5,2,FALSE)</f>
        <v>0</v>
      </c>
      <c r="N7634">
        <f t="shared" si="119"/>
        <v>0</v>
      </c>
    </row>
    <row r="7635" spans="1:14" x14ac:dyDescent="0.35">
      <c r="A7635">
        <v>7634</v>
      </c>
      <c r="B7635" t="s">
        <v>20</v>
      </c>
      <c r="C7635">
        <v>40</v>
      </c>
      <c r="D7635" t="s">
        <v>29</v>
      </c>
      <c r="E7635" t="s">
        <v>18</v>
      </c>
      <c r="F7635">
        <v>249</v>
      </c>
      <c r="G7635">
        <v>95</v>
      </c>
      <c r="H7635">
        <v>0.35</v>
      </c>
      <c r="I7635" t="s">
        <v>19</v>
      </c>
      <c r="J7635">
        <v>0</v>
      </c>
      <c r="K7635">
        <v>1</v>
      </c>
      <c r="L7635">
        <v>1</v>
      </c>
      <c r="M7635">
        <f>VLOOKUP(Table1[[#This Row],[subscription_type]],Plans!$A$1:$B$5,2,FALSE)</f>
        <v>14.99</v>
      </c>
      <c r="N7635">
        <f t="shared" si="119"/>
        <v>14.99</v>
      </c>
    </row>
    <row r="7636" spans="1:14" x14ac:dyDescent="0.35">
      <c r="A7636">
        <v>7635</v>
      </c>
      <c r="B7636" t="s">
        <v>16</v>
      </c>
      <c r="C7636">
        <v>16</v>
      </c>
      <c r="D7636" t="s">
        <v>21</v>
      </c>
      <c r="E7636" t="s">
        <v>22</v>
      </c>
      <c r="F7636">
        <v>117</v>
      </c>
      <c r="G7636">
        <v>62</v>
      </c>
      <c r="H7636">
        <v>0.05</v>
      </c>
      <c r="I7636" t="s">
        <v>15</v>
      </c>
      <c r="J7636">
        <v>0</v>
      </c>
      <c r="K7636">
        <v>1</v>
      </c>
      <c r="L7636">
        <v>0</v>
      </c>
      <c r="M7636">
        <f>VLOOKUP(Table1[[#This Row],[subscription_type]],Plans!$A$1:$B$5,2,FALSE)</f>
        <v>9.99</v>
      </c>
      <c r="N7636">
        <f t="shared" si="119"/>
        <v>0</v>
      </c>
    </row>
    <row r="7637" spans="1:14" x14ac:dyDescent="0.35">
      <c r="A7637">
        <v>7636</v>
      </c>
      <c r="B7637" t="s">
        <v>20</v>
      </c>
      <c r="C7637">
        <v>19</v>
      </c>
      <c r="D7637" t="s">
        <v>13</v>
      </c>
      <c r="E7637" t="s">
        <v>24</v>
      </c>
      <c r="F7637">
        <v>244</v>
      </c>
      <c r="G7637">
        <v>7</v>
      </c>
      <c r="H7637">
        <v>0.22</v>
      </c>
      <c r="I7637" t="s">
        <v>23</v>
      </c>
      <c r="J7637">
        <v>0</v>
      </c>
      <c r="K7637">
        <v>1</v>
      </c>
      <c r="L7637">
        <v>1</v>
      </c>
      <c r="M7637">
        <f>VLOOKUP(Table1[[#This Row],[subscription_type]],Plans!$A$1:$B$5,2,FALSE)</f>
        <v>4.99</v>
      </c>
      <c r="N7637">
        <f t="shared" si="119"/>
        <v>4.99</v>
      </c>
    </row>
    <row r="7638" spans="1:14" x14ac:dyDescent="0.35">
      <c r="A7638">
        <v>7637</v>
      </c>
      <c r="B7638" t="s">
        <v>12</v>
      </c>
      <c r="C7638">
        <v>32</v>
      </c>
      <c r="D7638" t="s">
        <v>26</v>
      </c>
      <c r="E7638" t="s">
        <v>22</v>
      </c>
      <c r="F7638">
        <v>119</v>
      </c>
      <c r="G7638">
        <v>3</v>
      </c>
      <c r="H7638">
        <v>0.42</v>
      </c>
      <c r="I7638" t="s">
        <v>19</v>
      </c>
      <c r="J7638">
        <v>0</v>
      </c>
      <c r="K7638">
        <v>1</v>
      </c>
      <c r="L7638">
        <v>0</v>
      </c>
      <c r="M7638">
        <f>VLOOKUP(Table1[[#This Row],[subscription_type]],Plans!$A$1:$B$5,2,FALSE)</f>
        <v>9.99</v>
      </c>
      <c r="N7638">
        <f t="shared" si="119"/>
        <v>0</v>
      </c>
    </row>
    <row r="7639" spans="1:14" x14ac:dyDescent="0.35">
      <c r="A7639">
        <v>7638</v>
      </c>
      <c r="B7639" t="s">
        <v>16</v>
      </c>
      <c r="C7639">
        <v>51</v>
      </c>
      <c r="D7639" t="s">
        <v>17</v>
      </c>
      <c r="E7639" t="s">
        <v>18</v>
      </c>
      <c r="F7639">
        <v>32</v>
      </c>
      <c r="G7639">
        <v>12</v>
      </c>
      <c r="H7639">
        <v>0.57999999999999996</v>
      </c>
      <c r="I7639" t="s">
        <v>23</v>
      </c>
      <c r="J7639">
        <v>0</v>
      </c>
      <c r="K7639">
        <v>1</v>
      </c>
      <c r="L7639">
        <v>0</v>
      </c>
      <c r="M7639">
        <f>VLOOKUP(Table1[[#This Row],[subscription_type]],Plans!$A$1:$B$5,2,FALSE)</f>
        <v>14.99</v>
      </c>
      <c r="N7639">
        <f t="shared" si="119"/>
        <v>0</v>
      </c>
    </row>
    <row r="7640" spans="1:14" x14ac:dyDescent="0.35">
      <c r="A7640">
        <v>7639</v>
      </c>
      <c r="B7640" t="s">
        <v>20</v>
      </c>
      <c r="C7640">
        <v>18</v>
      </c>
      <c r="D7640" t="s">
        <v>27</v>
      </c>
      <c r="E7640" t="s">
        <v>22</v>
      </c>
      <c r="F7640">
        <v>183</v>
      </c>
      <c r="G7640">
        <v>11</v>
      </c>
      <c r="H7640">
        <v>0.32</v>
      </c>
      <c r="I7640" t="s">
        <v>15</v>
      </c>
      <c r="J7640">
        <v>0</v>
      </c>
      <c r="K7640">
        <v>1</v>
      </c>
      <c r="L7640">
        <v>0</v>
      </c>
      <c r="M7640">
        <f>VLOOKUP(Table1[[#This Row],[subscription_type]],Plans!$A$1:$B$5,2,FALSE)</f>
        <v>9.99</v>
      </c>
      <c r="N7640">
        <f t="shared" si="119"/>
        <v>0</v>
      </c>
    </row>
    <row r="7641" spans="1:14" x14ac:dyDescent="0.35">
      <c r="A7641">
        <v>7640</v>
      </c>
      <c r="B7641" t="s">
        <v>20</v>
      </c>
      <c r="C7641">
        <v>17</v>
      </c>
      <c r="D7641" t="s">
        <v>28</v>
      </c>
      <c r="E7641" t="s">
        <v>14</v>
      </c>
      <c r="F7641">
        <v>57</v>
      </c>
      <c r="G7641">
        <v>78</v>
      </c>
      <c r="H7641">
        <v>0.56999999999999995</v>
      </c>
      <c r="I7641" t="s">
        <v>23</v>
      </c>
      <c r="J7641">
        <v>21</v>
      </c>
      <c r="K7641">
        <v>0</v>
      </c>
      <c r="L7641">
        <v>0</v>
      </c>
      <c r="M7641">
        <f>VLOOKUP(Table1[[#This Row],[subscription_type]],Plans!$A$1:$B$5,2,FALSE)</f>
        <v>0</v>
      </c>
      <c r="N7641">
        <f t="shared" si="119"/>
        <v>0</v>
      </c>
    </row>
    <row r="7642" spans="1:14" x14ac:dyDescent="0.35">
      <c r="A7642">
        <v>7641</v>
      </c>
      <c r="B7642" t="s">
        <v>20</v>
      </c>
      <c r="C7642">
        <v>55</v>
      </c>
      <c r="D7642" t="s">
        <v>13</v>
      </c>
      <c r="E7642" t="s">
        <v>24</v>
      </c>
      <c r="F7642">
        <v>268</v>
      </c>
      <c r="G7642">
        <v>67</v>
      </c>
      <c r="H7642">
        <v>0.22</v>
      </c>
      <c r="I7642" t="s">
        <v>23</v>
      </c>
      <c r="J7642">
        <v>0</v>
      </c>
      <c r="K7642">
        <v>1</v>
      </c>
      <c r="L7642">
        <v>1</v>
      </c>
      <c r="M7642">
        <f>VLOOKUP(Table1[[#This Row],[subscription_type]],Plans!$A$1:$B$5,2,FALSE)</f>
        <v>4.99</v>
      </c>
      <c r="N7642">
        <f t="shared" si="119"/>
        <v>4.99</v>
      </c>
    </row>
    <row r="7643" spans="1:14" x14ac:dyDescent="0.35">
      <c r="A7643">
        <v>7642</v>
      </c>
      <c r="B7643" t="s">
        <v>20</v>
      </c>
      <c r="C7643">
        <v>46</v>
      </c>
      <c r="D7643" t="s">
        <v>26</v>
      </c>
      <c r="E7643" t="s">
        <v>14</v>
      </c>
      <c r="F7643">
        <v>257</v>
      </c>
      <c r="G7643">
        <v>32</v>
      </c>
      <c r="H7643">
        <v>0.1</v>
      </c>
      <c r="I7643" t="s">
        <v>15</v>
      </c>
      <c r="J7643">
        <v>44</v>
      </c>
      <c r="K7643">
        <v>0</v>
      </c>
      <c r="L7643">
        <v>0</v>
      </c>
      <c r="M7643">
        <f>VLOOKUP(Table1[[#This Row],[subscription_type]],Plans!$A$1:$B$5,2,FALSE)</f>
        <v>0</v>
      </c>
      <c r="N7643">
        <f t="shared" si="119"/>
        <v>0</v>
      </c>
    </row>
    <row r="7644" spans="1:14" x14ac:dyDescent="0.35">
      <c r="A7644">
        <v>7643</v>
      </c>
      <c r="B7644" t="s">
        <v>20</v>
      </c>
      <c r="C7644">
        <v>21</v>
      </c>
      <c r="D7644" t="s">
        <v>17</v>
      </c>
      <c r="E7644" t="s">
        <v>14</v>
      </c>
      <c r="F7644">
        <v>146</v>
      </c>
      <c r="G7644">
        <v>46</v>
      </c>
      <c r="H7644">
        <v>0.25</v>
      </c>
      <c r="I7644" t="s">
        <v>19</v>
      </c>
      <c r="J7644">
        <v>32</v>
      </c>
      <c r="K7644">
        <v>0</v>
      </c>
      <c r="L7644">
        <v>0</v>
      </c>
      <c r="M7644">
        <f>VLOOKUP(Table1[[#This Row],[subscription_type]],Plans!$A$1:$B$5,2,FALSE)</f>
        <v>0</v>
      </c>
      <c r="N7644">
        <f t="shared" si="119"/>
        <v>0</v>
      </c>
    </row>
    <row r="7645" spans="1:14" x14ac:dyDescent="0.35">
      <c r="A7645">
        <v>7644</v>
      </c>
      <c r="B7645" t="s">
        <v>16</v>
      </c>
      <c r="C7645">
        <v>36</v>
      </c>
      <c r="D7645" t="s">
        <v>28</v>
      </c>
      <c r="E7645" t="s">
        <v>22</v>
      </c>
      <c r="F7645">
        <v>88</v>
      </c>
      <c r="G7645">
        <v>47</v>
      </c>
      <c r="H7645">
        <v>0.14000000000000001</v>
      </c>
      <c r="I7645" t="s">
        <v>23</v>
      </c>
      <c r="J7645">
        <v>0</v>
      </c>
      <c r="K7645">
        <v>1</v>
      </c>
      <c r="L7645">
        <v>1</v>
      </c>
      <c r="M7645">
        <f>VLOOKUP(Table1[[#This Row],[subscription_type]],Plans!$A$1:$B$5,2,FALSE)</f>
        <v>9.99</v>
      </c>
      <c r="N7645">
        <f t="shared" si="119"/>
        <v>9.99</v>
      </c>
    </row>
    <row r="7646" spans="1:14" x14ac:dyDescent="0.35">
      <c r="A7646">
        <v>7645</v>
      </c>
      <c r="B7646" t="s">
        <v>12</v>
      </c>
      <c r="C7646">
        <v>56</v>
      </c>
      <c r="D7646" t="s">
        <v>25</v>
      </c>
      <c r="E7646" t="s">
        <v>22</v>
      </c>
      <c r="F7646">
        <v>30</v>
      </c>
      <c r="G7646">
        <v>86</v>
      </c>
      <c r="H7646">
        <v>0.05</v>
      </c>
      <c r="I7646" t="s">
        <v>19</v>
      </c>
      <c r="J7646">
        <v>0</v>
      </c>
      <c r="K7646">
        <v>1</v>
      </c>
      <c r="L7646">
        <v>1</v>
      </c>
      <c r="M7646">
        <f>VLOOKUP(Table1[[#This Row],[subscription_type]],Plans!$A$1:$B$5,2,FALSE)</f>
        <v>9.99</v>
      </c>
      <c r="N7646">
        <f t="shared" si="119"/>
        <v>9.99</v>
      </c>
    </row>
    <row r="7647" spans="1:14" x14ac:dyDescent="0.35">
      <c r="A7647">
        <v>7646</v>
      </c>
      <c r="B7647" t="s">
        <v>16</v>
      </c>
      <c r="C7647">
        <v>41</v>
      </c>
      <c r="D7647" t="s">
        <v>17</v>
      </c>
      <c r="E7647" t="s">
        <v>24</v>
      </c>
      <c r="F7647">
        <v>99</v>
      </c>
      <c r="G7647">
        <v>58</v>
      </c>
      <c r="H7647">
        <v>0.59</v>
      </c>
      <c r="I7647" t="s">
        <v>23</v>
      </c>
      <c r="J7647">
        <v>0</v>
      </c>
      <c r="K7647">
        <v>1</v>
      </c>
      <c r="L7647">
        <v>0</v>
      </c>
      <c r="M7647">
        <f>VLOOKUP(Table1[[#This Row],[subscription_type]],Plans!$A$1:$B$5,2,FALSE)</f>
        <v>4.99</v>
      </c>
      <c r="N7647">
        <f t="shared" si="119"/>
        <v>0</v>
      </c>
    </row>
    <row r="7648" spans="1:14" x14ac:dyDescent="0.35">
      <c r="A7648">
        <v>7647</v>
      </c>
      <c r="B7648" t="s">
        <v>16</v>
      </c>
      <c r="C7648">
        <v>52</v>
      </c>
      <c r="D7648" t="s">
        <v>27</v>
      </c>
      <c r="E7648" t="s">
        <v>22</v>
      </c>
      <c r="F7648">
        <v>58</v>
      </c>
      <c r="G7648">
        <v>11</v>
      </c>
      <c r="H7648">
        <v>0.55000000000000004</v>
      </c>
      <c r="I7648" t="s">
        <v>19</v>
      </c>
      <c r="J7648">
        <v>0</v>
      </c>
      <c r="K7648">
        <v>1</v>
      </c>
      <c r="L7648">
        <v>0</v>
      </c>
      <c r="M7648">
        <f>VLOOKUP(Table1[[#This Row],[subscription_type]],Plans!$A$1:$B$5,2,FALSE)</f>
        <v>9.99</v>
      </c>
      <c r="N7648">
        <f t="shared" si="119"/>
        <v>0</v>
      </c>
    </row>
    <row r="7649" spans="1:14" x14ac:dyDescent="0.35">
      <c r="A7649">
        <v>7648</v>
      </c>
      <c r="B7649" t="s">
        <v>12</v>
      </c>
      <c r="C7649">
        <v>43</v>
      </c>
      <c r="D7649" t="s">
        <v>28</v>
      </c>
      <c r="E7649" t="s">
        <v>14</v>
      </c>
      <c r="F7649">
        <v>53</v>
      </c>
      <c r="G7649">
        <v>13</v>
      </c>
      <c r="H7649">
        <v>0.38</v>
      </c>
      <c r="I7649" t="s">
        <v>23</v>
      </c>
      <c r="J7649">
        <v>30</v>
      </c>
      <c r="K7649">
        <v>0</v>
      </c>
      <c r="L7649">
        <v>0</v>
      </c>
      <c r="M7649">
        <f>VLOOKUP(Table1[[#This Row],[subscription_type]],Plans!$A$1:$B$5,2,FALSE)</f>
        <v>0</v>
      </c>
      <c r="N7649">
        <f t="shared" si="119"/>
        <v>0</v>
      </c>
    </row>
    <row r="7650" spans="1:14" x14ac:dyDescent="0.35">
      <c r="A7650">
        <v>7649</v>
      </c>
      <c r="B7650" t="s">
        <v>20</v>
      </c>
      <c r="C7650">
        <v>33</v>
      </c>
      <c r="D7650" t="s">
        <v>29</v>
      </c>
      <c r="E7650" t="s">
        <v>18</v>
      </c>
      <c r="F7650">
        <v>204</v>
      </c>
      <c r="G7650">
        <v>77</v>
      </c>
      <c r="H7650">
        <v>0.08</v>
      </c>
      <c r="I7650" t="s">
        <v>19</v>
      </c>
      <c r="J7650">
        <v>0</v>
      </c>
      <c r="K7650">
        <v>1</v>
      </c>
      <c r="L7650">
        <v>0</v>
      </c>
      <c r="M7650">
        <f>VLOOKUP(Table1[[#This Row],[subscription_type]],Plans!$A$1:$B$5,2,FALSE)</f>
        <v>14.99</v>
      </c>
      <c r="N7650">
        <f t="shared" si="119"/>
        <v>0</v>
      </c>
    </row>
    <row r="7651" spans="1:14" x14ac:dyDescent="0.35">
      <c r="A7651">
        <v>7650</v>
      </c>
      <c r="B7651" t="s">
        <v>16</v>
      </c>
      <c r="C7651">
        <v>49</v>
      </c>
      <c r="D7651" t="s">
        <v>21</v>
      </c>
      <c r="E7651" t="s">
        <v>18</v>
      </c>
      <c r="F7651">
        <v>165</v>
      </c>
      <c r="G7651">
        <v>16</v>
      </c>
      <c r="H7651">
        <v>0.33</v>
      </c>
      <c r="I7651" t="s">
        <v>23</v>
      </c>
      <c r="J7651">
        <v>0</v>
      </c>
      <c r="K7651">
        <v>1</v>
      </c>
      <c r="L7651">
        <v>1</v>
      </c>
      <c r="M7651">
        <f>VLOOKUP(Table1[[#This Row],[subscription_type]],Plans!$A$1:$B$5,2,FALSE)</f>
        <v>14.99</v>
      </c>
      <c r="N7651">
        <f t="shared" si="119"/>
        <v>14.99</v>
      </c>
    </row>
    <row r="7652" spans="1:14" x14ac:dyDescent="0.35">
      <c r="A7652">
        <v>7651</v>
      </c>
      <c r="B7652" t="s">
        <v>12</v>
      </c>
      <c r="C7652">
        <v>41</v>
      </c>
      <c r="D7652" t="s">
        <v>26</v>
      </c>
      <c r="E7652" t="s">
        <v>14</v>
      </c>
      <c r="F7652">
        <v>149</v>
      </c>
      <c r="G7652">
        <v>66</v>
      </c>
      <c r="H7652">
        <v>0.52</v>
      </c>
      <c r="I7652" t="s">
        <v>23</v>
      </c>
      <c r="J7652">
        <v>35</v>
      </c>
      <c r="K7652">
        <v>0</v>
      </c>
      <c r="L7652">
        <v>1</v>
      </c>
      <c r="M7652">
        <f>VLOOKUP(Table1[[#This Row],[subscription_type]],Plans!$A$1:$B$5,2,FALSE)</f>
        <v>0</v>
      </c>
      <c r="N7652">
        <f t="shared" si="119"/>
        <v>0</v>
      </c>
    </row>
    <row r="7653" spans="1:14" x14ac:dyDescent="0.35">
      <c r="A7653">
        <v>7652</v>
      </c>
      <c r="B7653" t="s">
        <v>20</v>
      </c>
      <c r="C7653">
        <v>35</v>
      </c>
      <c r="D7653" t="s">
        <v>27</v>
      </c>
      <c r="E7653" t="s">
        <v>18</v>
      </c>
      <c r="F7653">
        <v>140</v>
      </c>
      <c r="G7653">
        <v>62</v>
      </c>
      <c r="H7653">
        <v>0.14000000000000001</v>
      </c>
      <c r="I7653" t="s">
        <v>19</v>
      </c>
      <c r="J7653">
        <v>0</v>
      </c>
      <c r="K7653">
        <v>1</v>
      </c>
      <c r="L7653">
        <v>0</v>
      </c>
      <c r="M7653">
        <f>VLOOKUP(Table1[[#This Row],[subscription_type]],Plans!$A$1:$B$5,2,FALSE)</f>
        <v>14.99</v>
      </c>
      <c r="N7653">
        <f t="shared" si="119"/>
        <v>0</v>
      </c>
    </row>
    <row r="7654" spans="1:14" x14ac:dyDescent="0.35">
      <c r="A7654">
        <v>7653</v>
      </c>
      <c r="B7654" t="s">
        <v>12</v>
      </c>
      <c r="C7654">
        <v>20</v>
      </c>
      <c r="D7654" t="s">
        <v>29</v>
      </c>
      <c r="E7654" t="s">
        <v>14</v>
      </c>
      <c r="F7654">
        <v>224</v>
      </c>
      <c r="G7654">
        <v>34</v>
      </c>
      <c r="H7654">
        <v>0.08</v>
      </c>
      <c r="I7654" t="s">
        <v>23</v>
      </c>
      <c r="J7654">
        <v>19</v>
      </c>
      <c r="K7654">
        <v>0</v>
      </c>
      <c r="L7654">
        <v>1</v>
      </c>
      <c r="M7654">
        <f>VLOOKUP(Table1[[#This Row],[subscription_type]],Plans!$A$1:$B$5,2,FALSE)</f>
        <v>0</v>
      </c>
      <c r="N7654">
        <f t="shared" si="119"/>
        <v>0</v>
      </c>
    </row>
    <row r="7655" spans="1:14" x14ac:dyDescent="0.35">
      <c r="A7655">
        <v>7654</v>
      </c>
      <c r="B7655" t="s">
        <v>20</v>
      </c>
      <c r="C7655">
        <v>46</v>
      </c>
      <c r="D7655" t="s">
        <v>21</v>
      </c>
      <c r="E7655" t="s">
        <v>24</v>
      </c>
      <c r="F7655">
        <v>255</v>
      </c>
      <c r="G7655">
        <v>21</v>
      </c>
      <c r="H7655">
        <v>0.5</v>
      </c>
      <c r="I7655" t="s">
        <v>23</v>
      </c>
      <c r="J7655">
        <v>0</v>
      </c>
      <c r="K7655">
        <v>1</v>
      </c>
      <c r="L7655">
        <v>0</v>
      </c>
      <c r="M7655">
        <f>VLOOKUP(Table1[[#This Row],[subscription_type]],Plans!$A$1:$B$5,2,FALSE)</f>
        <v>4.99</v>
      </c>
      <c r="N7655">
        <f t="shared" si="119"/>
        <v>0</v>
      </c>
    </row>
    <row r="7656" spans="1:14" x14ac:dyDescent="0.35">
      <c r="A7656">
        <v>7655</v>
      </c>
      <c r="B7656" t="s">
        <v>20</v>
      </c>
      <c r="C7656">
        <v>49</v>
      </c>
      <c r="D7656" t="s">
        <v>21</v>
      </c>
      <c r="E7656" t="s">
        <v>24</v>
      </c>
      <c r="F7656">
        <v>195</v>
      </c>
      <c r="G7656">
        <v>85</v>
      </c>
      <c r="H7656">
        <v>0.16</v>
      </c>
      <c r="I7656" t="s">
        <v>19</v>
      </c>
      <c r="J7656">
        <v>0</v>
      </c>
      <c r="K7656">
        <v>1</v>
      </c>
      <c r="L7656">
        <v>0</v>
      </c>
      <c r="M7656">
        <f>VLOOKUP(Table1[[#This Row],[subscription_type]],Plans!$A$1:$B$5,2,FALSE)</f>
        <v>4.99</v>
      </c>
      <c r="N7656">
        <f t="shared" si="119"/>
        <v>0</v>
      </c>
    </row>
    <row r="7657" spans="1:14" x14ac:dyDescent="0.35">
      <c r="A7657">
        <v>7656</v>
      </c>
      <c r="B7657" t="s">
        <v>16</v>
      </c>
      <c r="C7657">
        <v>59</v>
      </c>
      <c r="D7657" t="s">
        <v>26</v>
      </c>
      <c r="E7657" t="s">
        <v>18</v>
      </c>
      <c r="F7657">
        <v>63</v>
      </c>
      <c r="G7657">
        <v>41</v>
      </c>
      <c r="H7657">
        <v>0.25</v>
      </c>
      <c r="I7657" t="s">
        <v>19</v>
      </c>
      <c r="J7657">
        <v>0</v>
      </c>
      <c r="K7657">
        <v>1</v>
      </c>
      <c r="L7657">
        <v>1</v>
      </c>
      <c r="M7657">
        <f>VLOOKUP(Table1[[#This Row],[subscription_type]],Plans!$A$1:$B$5,2,FALSE)</f>
        <v>14.99</v>
      </c>
      <c r="N7657">
        <f t="shared" si="119"/>
        <v>14.99</v>
      </c>
    </row>
    <row r="7658" spans="1:14" x14ac:dyDescent="0.35">
      <c r="A7658">
        <v>7657</v>
      </c>
      <c r="B7658" t="s">
        <v>20</v>
      </c>
      <c r="C7658">
        <v>26</v>
      </c>
      <c r="D7658" t="s">
        <v>25</v>
      </c>
      <c r="E7658" t="s">
        <v>24</v>
      </c>
      <c r="F7658">
        <v>193</v>
      </c>
      <c r="G7658">
        <v>53</v>
      </c>
      <c r="H7658">
        <v>0.38</v>
      </c>
      <c r="I7658" t="s">
        <v>19</v>
      </c>
      <c r="J7658">
        <v>0</v>
      </c>
      <c r="K7658">
        <v>1</v>
      </c>
      <c r="L7658">
        <v>0</v>
      </c>
      <c r="M7658">
        <f>VLOOKUP(Table1[[#This Row],[subscription_type]],Plans!$A$1:$B$5,2,FALSE)</f>
        <v>4.99</v>
      </c>
      <c r="N7658">
        <f t="shared" si="119"/>
        <v>0</v>
      </c>
    </row>
    <row r="7659" spans="1:14" x14ac:dyDescent="0.35">
      <c r="A7659">
        <v>7658</v>
      </c>
      <c r="B7659" t="s">
        <v>20</v>
      </c>
      <c r="C7659">
        <v>35</v>
      </c>
      <c r="D7659" t="s">
        <v>28</v>
      </c>
      <c r="E7659" t="s">
        <v>22</v>
      </c>
      <c r="F7659">
        <v>234</v>
      </c>
      <c r="G7659">
        <v>13</v>
      </c>
      <c r="H7659">
        <v>0.04</v>
      </c>
      <c r="I7659" t="s">
        <v>19</v>
      </c>
      <c r="J7659">
        <v>0</v>
      </c>
      <c r="K7659">
        <v>1</v>
      </c>
      <c r="L7659">
        <v>1</v>
      </c>
      <c r="M7659">
        <f>VLOOKUP(Table1[[#This Row],[subscription_type]],Plans!$A$1:$B$5,2,FALSE)</f>
        <v>9.99</v>
      </c>
      <c r="N7659">
        <f t="shared" si="119"/>
        <v>9.99</v>
      </c>
    </row>
    <row r="7660" spans="1:14" x14ac:dyDescent="0.35">
      <c r="A7660">
        <v>7659</v>
      </c>
      <c r="B7660" t="s">
        <v>12</v>
      </c>
      <c r="C7660">
        <v>52</v>
      </c>
      <c r="D7660" t="s">
        <v>26</v>
      </c>
      <c r="E7660" t="s">
        <v>24</v>
      </c>
      <c r="F7660">
        <v>49</v>
      </c>
      <c r="G7660">
        <v>15</v>
      </c>
      <c r="H7660">
        <v>0.23</v>
      </c>
      <c r="I7660" t="s">
        <v>19</v>
      </c>
      <c r="J7660">
        <v>0</v>
      </c>
      <c r="K7660">
        <v>1</v>
      </c>
      <c r="L7660">
        <v>1</v>
      </c>
      <c r="M7660">
        <f>VLOOKUP(Table1[[#This Row],[subscription_type]],Plans!$A$1:$B$5,2,FALSE)</f>
        <v>4.99</v>
      </c>
      <c r="N7660">
        <f t="shared" si="119"/>
        <v>4.99</v>
      </c>
    </row>
    <row r="7661" spans="1:14" x14ac:dyDescent="0.35">
      <c r="A7661">
        <v>7660</v>
      </c>
      <c r="B7661" t="s">
        <v>12</v>
      </c>
      <c r="C7661">
        <v>41</v>
      </c>
      <c r="D7661" t="s">
        <v>13</v>
      </c>
      <c r="E7661" t="s">
        <v>24</v>
      </c>
      <c r="F7661">
        <v>125</v>
      </c>
      <c r="G7661">
        <v>24</v>
      </c>
      <c r="H7661">
        <v>0.6</v>
      </c>
      <c r="I7661" t="s">
        <v>15</v>
      </c>
      <c r="J7661">
        <v>0</v>
      </c>
      <c r="K7661">
        <v>1</v>
      </c>
      <c r="L7661">
        <v>0</v>
      </c>
      <c r="M7661">
        <f>VLOOKUP(Table1[[#This Row],[subscription_type]],Plans!$A$1:$B$5,2,FALSE)</f>
        <v>4.99</v>
      </c>
      <c r="N7661">
        <f t="shared" si="119"/>
        <v>0</v>
      </c>
    </row>
    <row r="7662" spans="1:14" x14ac:dyDescent="0.35">
      <c r="A7662">
        <v>7661</v>
      </c>
      <c r="B7662" t="s">
        <v>12</v>
      </c>
      <c r="C7662">
        <v>41</v>
      </c>
      <c r="D7662" t="s">
        <v>13</v>
      </c>
      <c r="E7662" t="s">
        <v>22</v>
      </c>
      <c r="F7662">
        <v>15</v>
      </c>
      <c r="G7662">
        <v>95</v>
      </c>
      <c r="H7662">
        <v>0.52</v>
      </c>
      <c r="I7662" t="s">
        <v>23</v>
      </c>
      <c r="J7662">
        <v>0</v>
      </c>
      <c r="K7662">
        <v>1</v>
      </c>
      <c r="L7662">
        <v>0</v>
      </c>
      <c r="M7662">
        <f>VLOOKUP(Table1[[#This Row],[subscription_type]],Plans!$A$1:$B$5,2,FALSE)</f>
        <v>9.99</v>
      </c>
      <c r="N7662">
        <f t="shared" si="119"/>
        <v>0</v>
      </c>
    </row>
    <row r="7663" spans="1:14" x14ac:dyDescent="0.35">
      <c r="A7663">
        <v>7662</v>
      </c>
      <c r="B7663" t="s">
        <v>20</v>
      </c>
      <c r="C7663">
        <v>51</v>
      </c>
      <c r="D7663" t="s">
        <v>27</v>
      </c>
      <c r="E7663" t="s">
        <v>18</v>
      </c>
      <c r="F7663">
        <v>92</v>
      </c>
      <c r="G7663">
        <v>54</v>
      </c>
      <c r="H7663">
        <v>0.08</v>
      </c>
      <c r="I7663" t="s">
        <v>19</v>
      </c>
      <c r="J7663">
        <v>0</v>
      </c>
      <c r="K7663">
        <v>1</v>
      </c>
      <c r="L7663">
        <v>1</v>
      </c>
      <c r="M7663">
        <f>VLOOKUP(Table1[[#This Row],[subscription_type]],Plans!$A$1:$B$5,2,FALSE)</f>
        <v>14.99</v>
      </c>
      <c r="N7663">
        <f t="shared" si="119"/>
        <v>14.99</v>
      </c>
    </row>
    <row r="7664" spans="1:14" x14ac:dyDescent="0.35">
      <c r="A7664">
        <v>7663</v>
      </c>
      <c r="B7664" t="s">
        <v>12</v>
      </c>
      <c r="C7664">
        <v>58</v>
      </c>
      <c r="D7664" t="s">
        <v>27</v>
      </c>
      <c r="E7664" t="s">
        <v>24</v>
      </c>
      <c r="F7664">
        <v>143</v>
      </c>
      <c r="G7664">
        <v>30</v>
      </c>
      <c r="H7664">
        <v>0.41</v>
      </c>
      <c r="I7664" t="s">
        <v>15</v>
      </c>
      <c r="J7664">
        <v>0</v>
      </c>
      <c r="K7664">
        <v>1</v>
      </c>
      <c r="L7664">
        <v>0</v>
      </c>
      <c r="M7664">
        <f>VLOOKUP(Table1[[#This Row],[subscription_type]],Plans!$A$1:$B$5,2,FALSE)</f>
        <v>4.99</v>
      </c>
      <c r="N7664">
        <f t="shared" si="119"/>
        <v>0</v>
      </c>
    </row>
    <row r="7665" spans="1:14" x14ac:dyDescent="0.35">
      <c r="A7665">
        <v>7664</v>
      </c>
      <c r="B7665" t="s">
        <v>20</v>
      </c>
      <c r="C7665">
        <v>51</v>
      </c>
      <c r="D7665" t="s">
        <v>28</v>
      </c>
      <c r="E7665" t="s">
        <v>24</v>
      </c>
      <c r="F7665">
        <v>127</v>
      </c>
      <c r="G7665">
        <v>52</v>
      </c>
      <c r="H7665">
        <v>0.3</v>
      </c>
      <c r="I7665" t="s">
        <v>15</v>
      </c>
      <c r="J7665">
        <v>0</v>
      </c>
      <c r="K7665">
        <v>1</v>
      </c>
      <c r="L7665">
        <v>0</v>
      </c>
      <c r="M7665">
        <f>VLOOKUP(Table1[[#This Row],[subscription_type]],Plans!$A$1:$B$5,2,FALSE)</f>
        <v>4.99</v>
      </c>
      <c r="N7665">
        <f t="shared" si="119"/>
        <v>0</v>
      </c>
    </row>
    <row r="7666" spans="1:14" x14ac:dyDescent="0.35">
      <c r="A7666">
        <v>7665</v>
      </c>
      <c r="B7666" t="s">
        <v>16</v>
      </c>
      <c r="C7666">
        <v>55</v>
      </c>
      <c r="D7666" t="s">
        <v>25</v>
      </c>
      <c r="E7666" t="s">
        <v>22</v>
      </c>
      <c r="F7666">
        <v>295</v>
      </c>
      <c r="G7666">
        <v>55</v>
      </c>
      <c r="H7666">
        <v>0.54</v>
      </c>
      <c r="I7666" t="s">
        <v>23</v>
      </c>
      <c r="J7666">
        <v>0</v>
      </c>
      <c r="K7666">
        <v>1</v>
      </c>
      <c r="L7666">
        <v>0</v>
      </c>
      <c r="M7666">
        <f>VLOOKUP(Table1[[#This Row],[subscription_type]],Plans!$A$1:$B$5,2,FALSE)</f>
        <v>9.99</v>
      </c>
      <c r="N7666">
        <f t="shared" si="119"/>
        <v>0</v>
      </c>
    </row>
    <row r="7667" spans="1:14" x14ac:dyDescent="0.35">
      <c r="A7667">
        <v>7666</v>
      </c>
      <c r="B7667" t="s">
        <v>12</v>
      </c>
      <c r="C7667">
        <v>59</v>
      </c>
      <c r="D7667" t="s">
        <v>13</v>
      </c>
      <c r="E7667" t="s">
        <v>22</v>
      </c>
      <c r="F7667">
        <v>19</v>
      </c>
      <c r="G7667">
        <v>97</v>
      </c>
      <c r="H7667">
        <v>0.3</v>
      </c>
      <c r="I7667" t="s">
        <v>15</v>
      </c>
      <c r="J7667">
        <v>0</v>
      </c>
      <c r="K7667">
        <v>1</v>
      </c>
      <c r="L7667">
        <v>1</v>
      </c>
      <c r="M7667">
        <f>VLOOKUP(Table1[[#This Row],[subscription_type]],Plans!$A$1:$B$5,2,FALSE)</f>
        <v>9.99</v>
      </c>
      <c r="N7667">
        <f t="shared" si="119"/>
        <v>9.99</v>
      </c>
    </row>
    <row r="7668" spans="1:14" x14ac:dyDescent="0.35">
      <c r="A7668">
        <v>7667</v>
      </c>
      <c r="B7668" t="s">
        <v>12</v>
      </c>
      <c r="C7668">
        <v>23</v>
      </c>
      <c r="D7668" t="s">
        <v>26</v>
      </c>
      <c r="E7668" t="s">
        <v>24</v>
      </c>
      <c r="F7668">
        <v>204</v>
      </c>
      <c r="G7668">
        <v>3</v>
      </c>
      <c r="H7668">
        <v>0.15</v>
      </c>
      <c r="I7668" t="s">
        <v>19</v>
      </c>
      <c r="J7668">
        <v>0</v>
      </c>
      <c r="K7668">
        <v>1</v>
      </c>
      <c r="L7668">
        <v>0</v>
      </c>
      <c r="M7668">
        <f>VLOOKUP(Table1[[#This Row],[subscription_type]],Plans!$A$1:$B$5,2,FALSE)</f>
        <v>4.99</v>
      </c>
      <c r="N7668">
        <f t="shared" si="119"/>
        <v>0</v>
      </c>
    </row>
    <row r="7669" spans="1:14" x14ac:dyDescent="0.35">
      <c r="A7669">
        <v>7668</v>
      </c>
      <c r="B7669" t="s">
        <v>16</v>
      </c>
      <c r="C7669">
        <v>20</v>
      </c>
      <c r="D7669" t="s">
        <v>28</v>
      </c>
      <c r="E7669" t="s">
        <v>18</v>
      </c>
      <c r="F7669">
        <v>231</v>
      </c>
      <c r="G7669">
        <v>84</v>
      </c>
      <c r="H7669">
        <v>0.46</v>
      </c>
      <c r="I7669" t="s">
        <v>15</v>
      </c>
      <c r="J7669">
        <v>0</v>
      </c>
      <c r="K7669">
        <v>1</v>
      </c>
      <c r="L7669">
        <v>0</v>
      </c>
      <c r="M7669">
        <f>VLOOKUP(Table1[[#This Row],[subscription_type]],Plans!$A$1:$B$5,2,FALSE)</f>
        <v>14.99</v>
      </c>
      <c r="N7669">
        <f t="shared" si="119"/>
        <v>0</v>
      </c>
    </row>
    <row r="7670" spans="1:14" x14ac:dyDescent="0.35">
      <c r="A7670">
        <v>7669</v>
      </c>
      <c r="B7670" t="s">
        <v>20</v>
      </c>
      <c r="C7670">
        <v>53</v>
      </c>
      <c r="D7670" t="s">
        <v>21</v>
      </c>
      <c r="E7670" t="s">
        <v>24</v>
      </c>
      <c r="F7670">
        <v>28</v>
      </c>
      <c r="G7670">
        <v>87</v>
      </c>
      <c r="H7670">
        <v>0.24</v>
      </c>
      <c r="I7670" t="s">
        <v>23</v>
      </c>
      <c r="J7670">
        <v>0</v>
      </c>
      <c r="K7670">
        <v>1</v>
      </c>
      <c r="L7670">
        <v>0</v>
      </c>
      <c r="M7670">
        <f>VLOOKUP(Table1[[#This Row],[subscription_type]],Plans!$A$1:$B$5,2,FALSE)</f>
        <v>4.99</v>
      </c>
      <c r="N7670">
        <f t="shared" si="119"/>
        <v>0</v>
      </c>
    </row>
    <row r="7671" spans="1:14" x14ac:dyDescent="0.35">
      <c r="A7671">
        <v>7670</v>
      </c>
      <c r="B7671" t="s">
        <v>12</v>
      </c>
      <c r="C7671">
        <v>54</v>
      </c>
      <c r="D7671" t="s">
        <v>21</v>
      </c>
      <c r="E7671" t="s">
        <v>24</v>
      </c>
      <c r="F7671">
        <v>79</v>
      </c>
      <c r="G7671">
        <v>76</v>
      </c>
      <c r="H7671">
        <v>0.42</v>
      </c>
      <c r="I7671" t="s">
        <v>19</v>
      </c>
      <c r="J7671">
        <v>0</v>
      </c>
      <c r="K7671">
        <v>1</v>
      </c>
      <c r="L7671">
        <v>0</v>
      </c>
      <c r="M7671">
        <f>VLOOKUP(Table1[[#This Row],[subscription_type]],Plans!$A$1:$B$5,2,FALSE)</f>
        <v>4.99</v>
      </c>
      <c r="N7671">
        <f t="shared" si="119"/>
        <v>0</v>
      </c>
    </row>
    <row r="7672" spans="1:14" x14ac:dyDescent="0.35">
      <c r="A7672">
        <v>7671</v>
      </c>
      <c r="B7672" t="s">
        <v>12</v>
      </c>
      <c r="C7672">
        <v>59</v>
      </c>
      <c r="D7672" t="s">
        <v>27</v>
      </c>
      <c r="E7672" t="s">
        <v>14</v>
      </c>
      <c r="F7672">
        <v>57</v>
      </c>
      <c r="G7672">
        <v>33</v>
      </c>
      <c r="H7672">
        <v>0.48</v>
      </c>
      <c r="I7672" t="s">
        <v>19</v>
      </c>
      <c r="J7672">
        <v>12</v>
      </c>
      <c r="K7672">
        <v>0</v>
      </c>
      <c r="L7672">
        <v>0</v>
      </c>
      <c r="M7672">
        <f>VLOOKUP(Table1[[#This Row],[subscription_type]],Plans!$A$1:$B$5,2,FALSE)</f>
        <v>0</v>
      </c>
      <c r="N7672">
        <f t="shared" si="119"/>
        <v>0</v>
      </c>
    </row>
    <row r="7673" spans="1:14" x14ac:dyDescent="0.35">
      <c r="A7673">
        <v>7672</v>
      </c>
      <c r="B7673" t="s">
        <v>12</v>
      </c>
      <c r="C7673">
        <v>56</v>
      </c>
      <c r="D7673" t="s">
        <v>13</v>
      </c>
      <c r="E7673" t="s">
        <v>22</v>
      </c>
      <c r="F7673">
        <v>292</v>
      </c>
      <c r="G7673">
        <v>57</v>
      </c>
      <c r="H7673">
        <v>0.28999999999999998</v>
      </c>
      <c r="I7673" t="s">
        <v>15</v>
      </c>
      <c r="J7673">
        <v>0</v>
      </c>
      <c r="K7673">
        <v>1</v>
      </c>
      <c r="L7673">
        <v>0</v>
      </c>
      <c r="M7673">
        <f>VLOOKUP(Table1[[#This Row],[subscription_type]],Plans!$A$1:$B$5,2,FALSE)</f>
        <v>9.99</v>
      </c>
      <c r="N7673">
        <f t="shared" si="119"/>
        <v>0</v>
      </c>
    </row>
    <row r="7674" spans="1:14" x14ac:dyDescent="0.35">
      <c r="A7674">
        <v>7673</v>
      </c>
      <c r="B7674" t="s">
        <v>16</v>
      </c>
      <c r="C7674">
        <v>41</v>
      </c>
      <c r="D7674" t="s">
        <v>13</v>
      </c>
      <c r="E7674" t="s">
        <v>22</v>
      </c>
      <c r="F7674">
        <v>241</v>
      </c>
      <c r="G7674">
        <v>13</v>
      </c>
      <c r="H7674">
        <v>0.13</v>
      </c>
      <c r="I7674" t="s">
        <v>19</v>
      </c>
      <c r="J7674">
        <v>0</v>
      </c>
      <c r="K7674">
        <v>1</v>
      </c>
      <c r="L7674">
        <v>1</v>
      </c>
      <c r="M7674">
        <f>VLOOKUP(Table1[[#This Row],[subscription_type]],Plans!$A$1:$B$5,2,FALSE)</f>
        <v>9.99</v>
      </c>
      <c r="N7674">
        <f t="shared" si="119"/>
        <v>9.99</v>
      </c>
    </row>
    <row r="7675" spans="1:14" x14ac:dyDescent="0.35">
      <c r="A7675">
        <v>7674</v>
      </c>
      <c r="B7675" t="s">
        <v>12</v>
      </c>
      <c r="C7675">
        <v>43</v>
      </c>
      <c r="D7675" t="s">
        <v>27</v>
      </c>
      <c r="E7675" t="s">
        <v>18</v>
      </c>
      <c r="F7675">
        <v>195</v>
      </c>
      <c r="G7675">
        <v>69</v>
      </c>
      <c r="H7675">
        <v>0.55000000000000004</v>
      </c>
      <c r="I7675" t="s">
        <v>19</v>
      </c>
      <c r="J7675">
        <v>0</v>
      </c>
      <c r="K7675">
        <v>1</v>
      </c>
      <c r="L7675">
        <v>1</v>
      </c>
      <c r="M7675">
        <f>VLOOKUP(Table1[[#This Row],[subscription_type]],Plans!$A$1:$B$5,2,FALSE)</f>
        <v>14.99</v>
      </c>
      <c r="N7675">
        <f t="shared" si="119"/>
        <v>14.99</v>
      </c>
    </row>
    <row r="7676" spans="1:14" x14ac:dyDescent="0.35">
      <c r="A7676">
        <v>7675</v>
      </c>
      <c r="B7676" t="s">
        <v>12</v>
      </c>
      <c r="C7676">
        <v>55</v>
      </c>
      <c r="D7676" t="s">
        <v>21</v>
      </c>
      <c r="E7676" t="s">
        <v>14</v>
      </c>
      <c r="F7676">
        <v>127</v>
      </c>
      <c r="G7676">
        <v>14</v>
      </c>
      <c r="H7676">
        <v>0.08</v>
      </c>
      <c r="I7676" t="s">
        <v>19</v>
      </c>
      <c r="J7676">
        <v>16</v>
      </c>
      <c r="K7676">
        <v>0</v>
      </c>
      <c r="L7676">
        <v>0</v>
      </c>
      <c r="M7676">
        <f>VLOOKUP(Table1[[#This Row],[subscription_type]],Plans!$A$1:$B$5,2,FALSE)</f>
        <v>0</v>
      </c>
      <c r="N7676">
        <f t="shared" si="119"/>
        <v>0</v>
      </c>
    </row>
    <row r="7677" spans="1:14" x14ac:dyDescent="0.35">
      <c r="A7677">
        <v>7676</v>
      </c>
      <c r="B7677" t="s">
        <v>20</v>
      </c>
      <c r="C7677">
        <v>18</v>
      </c>
      <c r="D7677" t="s">
        <v>28</v>
      </c>
      <c r="E7677" t="s">
        <v>22</v>
      </c>
      <c r="F7677">
        <v>182</v>
      </c>
      <c r="G7677">
        <v>35</v>
      </c>
      <c r="H7677">
        <v>0.35</v>
      </c>
      <c r="I7677" t="s">
        <v>23</v>
      </c>
      <c r="J7677">
        <v>0</v>
      </c>
      <c r="K7677">
        <v>1</v>
      </c>
      <c r="L7677">
        <v>0</v>
      </c>
      <c r="M7677">
        <f>VLOOKUP(Table1[[#This Row],[subscription_type]],Plans!$A$1:$B$5,2,FALSE)</f>
        <v>9.99</v>
      </c>
      <c r="N7677">
        <f t="shared" si="119"/>
        <v>0</v>
      </c>
    </row>
    <row r="7678" spans="1:14" x14ac:dyDescent="0.35">
      <c r="A7678">
        <v>7677</v>
      </c>
      <c r="B7678" t="s">
        <v>20</v>
      </c>
      <c r="C7678">
        <v>53</v>
      </c>
      <c r="D7678" t="s">
        <v>26</v>
      </c>
      <c r="E7678" t="s">
        <v>24</v>
      </c>
      <c r="F7678">
        <v>129</v>
      </c>
      <c r="G7678">
        <v>40</v>
      </c>
      <c r="H7678">
        <v>0.27</v>
      </c>
      <c r="I7678" t="s">
        <v>15</v>
      </c>
      <c r="J7678">
        <v>0</v>
      </c>
      <c r="K7678">
        <v>1</v>
      </c>
      <c r="L7678">
        <v>0</v>
      </c>
      <c r="M7678">
        <f>VLOOKUP(Table1[[#This Row],[subscription_type]],Plans!$A$1:$B$5,2,FALSE)</f>
        <v>4.99</v>
      </c>
      <c r="N7678">
        <f t="shared" si="119"/>
        <v>0</v>
      </c>
    </row>
    <row r="7679" spans="1:14" x14ac:dyDescent="0.35">
      <c r="A7679">
        <v>7678</v>
      </c>
      <c r="B7679" t="s">
        <v>20</v>
      </c>
      <c r="C7679">
        <v>20</v>
      </c>
      <c r="D7679" t="s">
        <v>27</v>
      </c>
      <c r="E7679" t="s">
        <v>18</v>
      </c>
      <c r="F7679">
        <v>29</v>
      </c>
      <c r="G7679">
        <v>6</v>
      </c>
      <c r="H7679">
        <v>0.31</v>
      </c>
      <c r="I7679" t="s">
        <v>19</v>
      </c>
      <c r="J7679">
        <v>0</v>
      </c>
      <c r="K7679">
        <v>1</v>
      </c>
      <c r="L7679">
        <v>0</v>
      </c>
      <c r="M7679">
        <f>VLOOKUP(Table1[[#This Row],[subscription_type]],Plans!$A$1:$B$5,2,FALSE)</f>
        <v>14.99</v>
      </c>
      <c r="N7679">
        <f t="shared" si="119"/>
        <v>0</v>
      </c>
    </row>
    <row r="7680" spans="1:14" x14ac:dyDescent="0.35">
      <c r="A7680">
        <v>7679</v>
      </c>
      <c r="B7680" t="s">
        <v>16</v>
      </c>
      <c r="C7680">
        <v>53</v>
      </c>
      <c r="D7680" t="s">
        <v>29</v>
      </c>
      <c r="E7680" t="s">
        <v>24</v>
      </c>
      <c r="F7680">
        <v>52</v>
      </c>
      <c r="G7680">
        <v>18</v>
      </c>
      <c r="H7680">
        <v>0.53</v>
      </c>
      <c r="I7680" t="s">
        <v>23</v>
      </c>
      <c r="J7680">
        <v>0</v>
      </c>
      <c r="K7680">
        <v>1</v>
      </c>
      <c r="L7680">
        <v>0</v>
      </c>
      <c r="M7680">
        <f>VLOOKUP(Table1[[#This Row],[subscription_type]],Plans!$A$1:$B$5,2,FALSE)</f>
        <v>4.99</v>
      </c>
      <c r="N7680">
        <f t="shared" si="119"/>
        <v>0</v>
      </c>
    </row>
    <row r="7681" spans="1:14" x14ac:dyDescent="0.35">
      <c r="A7681">
        <v>7680</v>
      </c>
      <c r="B7681" t="s">
        <v>20</v>
      </c>
      <c r="C7681">
        <v>32</v>
      </c>
      <c r="D7681" t="s">
        <v>27</v>
      </c>
      <c r="E7681" t="s">
        <v>24</v>
      </c>
      <c r="F7681">
        <v>93</v>
      </c>
      <c r="G7681">
        <v>3</v>
      </c>
      <c r="H7681">
        <v>0.22</v>
      </c>
      <c r="I7681" t="s">
        <v>19</v>
      </c>
      <c r="J7681">
        <v>0</v>
      </c>
      <c r="K7681">
        <v>1</v>
      </c>
      <c r="L7681">
        <v>0</v>
      </c>
      <c r="M7681">
        <f>VLOOKUP(Table1[[#This Row],[subscription_type]],Plans!$A$1:$B$5,2,FALSE)</f>
        <v>4.99</v>
      </c>
      <c r="N7681">
        <f t="shared" si="119"/>
        <v>0</v>
      </c>
    </row>
    <row r="7682" spans="1:14" x14ac:dyDescent="0.35">
      <c r="A7682">
        <v>7681</v>
      </c>
      <c r="B7682" t="s">
        <v>20</v>
      </c>
      <c r="C7682">
        <v>49</v>
      </c>
      <c r="D7682" t="s">
        <v>17</v>
      </c>
      <c r="E7682" t="s">
        <v>24</v>
      </c>
      <c r="F7682">
        <v>71</v>
      </c>
      <c r="G7682">
        <v>76</v>
      </c>
      <c r="H7682">
        <v>0.6</v>
      </c>
      <c r="I7682" t="s">
        <v>15</v>
      </c>
      <c r="J7682">
        <v>0</v>
      </c>
      <c r="K7682">
        <v>1</v>
      </c>
      <c r="L7682">
        <v>1</v>
      </c>
      <c r="M7682">
        <f>VLOOKUP(Table1[[#This Row],[subscription_type]],Plans!$A$1:$B$5,2,FALSE)</f>
        <v>4.99</v>
      </c>
      <c r="N7682">
        <f t="shared" ref="N7682:N7745" si="120">IF(L7682=1, M7682,0)</f>
        <v>4.99</v>
      </c>
    </row>
    <row r="7683" spans="1:14" x14ac:dyDescent="0.35">
      <c r="A7683">
        <v>7682</v>
      </c>
      <c r="B7683" t="s">
        <v>12</v>
      </c>
      <c r="C7683">
        <v>29</v>
      </c>
      <c r="D7683" t="s">
        <v>13</v>
      </c>
      <c r="E7683" t="s">
        <v>24</v>
      </c>
      <c r="F7683">
        <v>155</v>
      </c>
      <c r="G7683">
        <v>22</v>
      </c>
      <c r="H7683">
        <v>0.49</v>
      </c>
      <c r="I7683" t="s">
        <v>23</v>
      </c>
      <c r="J7683">
        <v>0</v>
      </c>
      <c r="K7683">
        <v>1</v>
      </c>
      <c r="L7683">
        <v>0</v>
      </c>
      <c r="M7683">
        <f>VLOOKUP(Table1[[#This Row],[subscription_type]],Plans!$A$1:$B$5,2,FALSE)</f>
        <v>4.99</v>
      </c>
      <c r="N7683">
        <f t="shared" si="120"/>
        <v>0</v>
      </c>
    </row>
    <row r="7684" spans="1:14" x14ac:dyDescent="0.35">
      <c r="A7684">
        <v>7683</v>
      </c>
      <c r="B7684" t="s">
        <v>12</v>
      </c>
      <c r="C7684">
        <v>58</v>
      </c>
      <c r="D7684" t="s">
        <v>27</v>
      </c>
      <c r="E7684" t="s">
        <v>22</v>
      </c>
      <c r="F7684">
        <v>264</v>
      </c>
      <c r="G7684">
        <v>80</v>
      </c>
      <c r="H7684">
        <v>0.28000000000000003</v>
      </c>
      <c r="I7684" t="s">
        <v>15</v>
      </c>
      <c r="J7684">
        <v>0</v>
      </c>
      <c r="K7684">
        <v>1</v>
      </c>
      <c r="L7684">
        <v>0</v>
      </c>
      <c r="M7684">
        <f>VLOOKUP(Table1[[#This Row],[subscription_type]],Plans!$A$1:$B$5,2,FALSE)</f>
        <v>9.99</v>
      </c>
      <c r="N7684">
        <f t="shared" si="120"/>
        <v>0</v>
      </c>
    </row>
    <row r="7685" spans="1:14" x14ac:dyDescent="0.35">
      <c r="A7685">
        <v>7684</v>
      </c>
      <c r="B7685" t="s">
        <v>20</v>
      </c>
      <c r="C7685">
        <v>36</v>
      </c>
      <c r="D7685" t="s">
        <v>28</v>
      </c>
      <c r="E7685" t="s">
        <v>18</v>
      </c>
      <c r="F7685">
        <v>189</v>
      </c>
      <c r="G7685">
        <v>73</v>
      </c>
      <c r="H7685">
        <v>0.14000000000000001</v>
      </c>
      <c r="I7685" t="s">
        <v>15</v>
      </c>
      <c r="J7685">
        <v>0</v>
      </c>
      <c r="K7685">
        <v>1</v>
      </c>
      <c r="L7685">
        <v>0</v>
      </c>
      <c r="M7685">
        <f>VLOOKUP(Table1[[#This Row],[subscription_type]],Plans!$A$1:$B$5,2,FALSE)</f>
        <v>14.99</v>
      </c>
      <c r="N7685">
        <f t="shared" si="120"/>
        <v>0</v>
      </c>
    </row>
    <row r="7686" spans="1:14" x14ac:dyDescent="0.35">
      <c r="A7686">
        <v>7685</v>
      </c>
      <c r="B7686" t="s">
        <v>12</v>
      </c>
      <c r="C7686">
        <v>48</v>
      </c>
      <c r="D7686" t="s">
        <v>26</v>
      </c>
      <c r="E7686" t="s">
        <v>24</v>
      </c>
      <c r="F7686">
        <v>105</v>
      </c>
      <c r="G7686">
        <v>17</v>
      </c>
      <c r="H7686">
        <v>0.32</v>
      </c>
      <c r="I7686" t="s">
        <v>15</v>
      </c>
      <c r="J7686">
        <v>0</v>
      </c>
      <c r="K7686">
        <v>1</v>
      </c>
      <c r="L7686">
        <v>0</v>
      </c>
      <c r="M7686">
        <f>VLOOKUP(Table1[[#This Row],[subscription_type]],Plans!$A$1:$B$5,2,FALSE)</f>
        <v>4.99</v>
      </c>
      <c r="N7686">
        <f t="shared" si="120"/>
        <v>0</v>
      </c>
    </row>
    <row r="7687" spans="1:14" x14ac:dyDescent="0.35">
      <c r="A7687">
        <v>7686</v>
      </c>
      <c r="B7687" t="s">
        <v>12</v>
      </c>
      <c r="C7687">
        <v>26</v>
      </c>
      <c r="D7687" t="s">
        <v>28</v>
      </c>
      <c r="E7687" t="s">
        <v>18</v>
      </c>
      <c r="F7687">
        <v>106</v>
      </c>
      <c r="G7687">
        <v>44</v>
      </c>
      <c r="H7687">
        <v>0.17</v>
      </c>
      <c r="I7687" t="s">
        <v>23</v>
      </c>
      <c r="J7687">
        <v>0</v>
      </c>
      <c r="K7687">
        <v>1</v>
      </c>
      <c r="L7687">
        <v>0</v>
      </c>
      <c r="M7687">
        <f>VLOOKUP(Table1[[#This Row],[subscription_type]],Plans!$A$1:$B$5,2,FALSE)</f>
        <v>14.99</v>
      </c>
      <c r="N7687">
        <f t="shared" si="120"/>
        <v>0</v>
      </c>
    </row>
    <row r="7688" spans="1:14" x14ac:dyDescent="0.35">
      <c r="A7688">
        <v>7687</v>
      </c>
      <c r="B7688" t="s">
        <v>16</v>
      </c>
      <c r="C7688">
        <v>55</v>
      </c>
      <c r="D7688" t="s">
        <v>25</v>
      </c>
      <c r="E7688" t="s">
        <v>14</v>
      </c>
      <c r="F7688">
        <v>47</v>
      </c>
      <c r="G7688">
        <v>71</v>
      </c>
      <c r="H7688">
        <v>0.23</v>
      </c>
      <c r="I7688" t="s">
        <v>15</v>
      </c>
      <c r="J7688">
        <v>25</v>
      </c>
      <c r="K7688">
        <v>0</v>
      </c>
      <c r="L7688">
        <v>1</v>
      </c>
      <c r="M7688">
        <f>VLOOKUP(Table1[[#This Row],[subscription_type]],Plans!$A$1:$B$5,2,FALSE)</f>
        <v>0</v>
      </c>
      <c r="N7688">
        <f t="shared" si="120"/>
        <v>0</v>
      </c>
    </row>
    <row r="7689" spans="1:14" x14ac:dyDescent="0.35">
      <c r="A7689">
        <v>7688</v>
      </c>
      <c r="B7689" t="s">
        <v>20</v>
      </c>
      <c r="C7689">
        <v>28</v>
      </c>
      <c r="D7689" t="s">
        <v>21</v>
      </c>
      <c r="E7689" t="s">
        <v>18</v>
      </c>
      <c r="F7689">
        <v>193</v>
      </c>
      <c r="G7689">
        <v>70</v>
      </c>
      <c r="H7689">
        <v>0.22</v>
      </c>
      <c r="I7689" t="s">
        <v>23</v>
      </c>
      <c r="J7689">
        <v>0</v>
      </c>
      <c r="K7689">
        <v>1</v>
      </c>
      <c r="L7689">
        <v>0</v>
      </c>
      <c r="M7689">
        <f>VLOOKUP(Table1[[#This Row],[subscription_type]],Plans!$A$1:$B$5,2,FALSE)</f>
        <v>14.99</v>
      </c>
      <c r="N7689">
        <f t="shared" si="120"/>
        <v>0</v>
      </c>
    </row>
    <row r="7690" spans="1:14" x14ac:dyDescent="0.35">
      <c r="A7690">
        <v>7689</v>
      </c>
      <c r="B7690" t="s">
        <v>20</v>
      </c>
      <c r="C7690">
        <v>48</v>
      </c>
      <c r="D7690" t="s">
        <v>29</v>
      </c>
      <c r="E7690" t="s">
        <v>18</v>
      </c>
      <c r="F7690">
        <v>249</v>
      </c>
      <c r="G7690">
        <v>78</v>
      </c>
      <c r="H7690">
        <v>0.05</v>
      </c>
      <c r="I7690" t="s">
        <v>19</v>
      </c>
      <c r="J7690">
        <v>0</v>
      </c>
      <c r="K7690">
        <v>1</v>
      </c>
      <c r="L7690">
        <v>0</v>
      </c>
      <c r="M7690">
        <f>VLOOKUP(Table1[[#This Row],[subscription_type]],Plans!$A$1:$B$5,2,FALSE)</f>
        <v>14.99</v>
      </c>
      <c r="N7690">
        <f t="shared" si="120"/>
        <v>0</v>
      </c>
    </row>
    <row r="7691" spans="1:14" x14ac:dyDescent="0.35">
      <c r="A7691">
        <v>7690</v>
      </c>
      <c r="B7691" t="s">
        <v>16</v>
      </c>
      <c r="C7691">
        <v>41</v>
      </c>
      <c r="D7691" t="s">
        <v>26</v>
      </c>
      <c r="E7691" t="s">
        <v>22</v>
      </c>
      <c r="F7691">
        <v>23</v>
      </c>
      <c r="G7691">
        <v>77</v>
      </c>
      <c r="H7691">
        <v>0.02</v>
      </c>
      <c r="I7691" t="s">
        <v>15</v>
      </c>
      <c r="J7691">
        <v>0</v>
      </c>
      <c r="K7691">
        <v>1</v>
      </c>
      <c r="L7691">
        <v>0</v>
      </c>
      <c r="M7691">
        <f>VLOOKUP(Table1[[#This Row],[subscription_type]],Plans!$A$1:$B$5,2,FALSE)</f>
        <v>9.99</v>
      </c>
      <c r="N7691">
        <f t="shared" si="120"/>
        <v>0</v>
      </c>
    </row>
    <row r="7692" spans="1:14" x14ac:dyDescent="0.35">
      <c r="A7692">
        <v>7691</v>
      </c>
      <c r="B7692" t="s">
        <v>12</v>
      </c>
      <c r="C7692">
        <v>28</v>
      </c>
      <c r="D7692" t="s">
        <v>28</v>
      </c>
      <c r="E7692" t="s">
        <v>14</v>
      </c>
      <c r="F7692">
        <v>56</v>
      </c>
      <c r="G7692">
        <v>58</v>
      </c>
      <c r="H7692">
        <v>0.31</v>
      </c>
      <c r="I7692" t="s">
        <v>23</v>
      </c>
      <c r="J7692">
        <v>20</v>
      </c>
      <c r="K7692">
        <v>0</v>
      </c>
      <c r="L7692">
        <v>1</v>
      </c>
      <c r="M7692">
        <f>VLOOKUP(Table1[[#This Row],[subscription_type]],Plans!$A$1:$B$5,2,FALSE)</f>
        <v>0</v>
      </c>
      <c r="N7692">
        <f t="shared" si="120"/>
        <v>0</v>
      </c>
    </row>
    <row r="7693" spans="1:14" x14ac:dyDescent="0.35">
      <c r="A7693">
        <v>7692</v>
      </c>
      <c r="B7693" t="s">
        <v>12</v>
      </c>
      <c r="C7693">
        <v>30</v>
      </c>
      <c r="D7693" t="s">
        <v>27</v>
      </c>
      <c r="E7693" t="s">
        <v>24</v>
      </c>
      <c r="F7693">
        <v>135</v>
      </c>
      <c r="G7693">
        <v>35</v>
      </c>
      <c r="H7693">
        <v>0.47</v>
      </c>
      <c r="I7693" t="s">
        <v>15</v>
      </c>
      <c r="J7693">
        <v>0</v>
      </c>
      <c r="K7693">
        <v>1</v>
      </c>
      <c r="L7693">
        <v>0</v>
      </c>
      <c r="M7693">
        <f>VLOOKUP(Table1[[#This Row],[subscription_type]],Plans!$A$1:$B$5,2,FALSE)</f>
        <v>4.99</v>
      </c>
      <c r="N7693">
        <f t="shared" si="120"/>
        <v>0</v>
      </c>
    </row>
    <row r="7694" spans="1:14" x14ac:dyDescent="0.35">
      <c r="A7694">
        <v>7693</v>
      </c>
      <c r="B7694" t="s">
        <v>20</v>
      </c>
      <c r="C7694">
        <v>37</v>
      </c>
      <c r="D7694" t="s">
        <v>26</v>
      </c>
      <c r="E7694" t="s">
        <v>14</v>
      </c>
      <c r="F7694">
        <v>51</v>
      </c>
      <c r="G7694">
        <v>33</v>
      </c>
      <c r="H7694">
        <v>0.17</v>
      </c>
      <c r="I7694" t="s">
        <v>19</v>
      </c>
      <c r="J7694">
        <v>35</v>
      </c>
      <c r="K7694">
        <v>0</v>
      </c>
      <c r="L7694">
        <v>1</v>
      </c>
      <c r="M7694">
        <f>VLOOKUP(Table1[[#This Row],[subscription_type]],Plans!$A$1:$B$5,2,FALSE)</f>
        <v>0</v>
      </c>
      <c r="N7694">
        <f t="shared" si="120"/>
        <v>0</v>
      </c>
    </row>
    <row r="7695" spans="1:14" x14ac:dyDescent="0.35">
      <c r="A7695">
        <v>7694</v>
      </c>
      <c r="B7695" t="s">
        <v>12</v>
      </c>
      <c r="C7695">
        <v>35</v>
      </c>
      <c r="D7695" t="s">
        <v>25</v>
      </c>
      <c r="E7695" t="s">
        <v>22</v>
      </c>
      <c r="F7695">
        <v>117</v>
      </c>
      <c r="G7695">
        <v>57</v>
      </c>
      <c r="H7695">
        <v>0.22</v>
      </c>
      <c r="I7695" t="s">
        <v>23</v>
      </c>
      <c r="J7695">
        <v>0</v>
      </c>
      <c r="K7695">
        <v>1</v>
      </c>
      <c r="L7695">
        <v>1</v>
      </c>
      <c r="M7695">
        <f>VLOOKUP(Table1[[#This Row],[subscription_type]],Plans!$A$1:$B$5,2,FALSE)</f>
        <v>9.99</v>
      </c>
      <c r="N7695">
        <f t="shared" si="120"/>
        <v>9.99</v>
      </c>
    </row>
    <row r="7696" spans="1:14" x14ac:dyDescent="0.35">
      <c r="A7696">
        <v>7695</v>
      </c>
      <c r="B7696" t="s">
        <v>16</v>
      </c>
      <c r="C7696">
        <v>56</v>
      </c>
      <c r="D7696" t="s">
        <v>29</v>
      </c>
      <c r="E7696" t="s">
        <v>22</v>
      </c>
      <c r="F7696">
        <v>187</v>
      </c>
      <c r="G7696">
        <v>2</v>
      </c>
      <c r="H7696">
        <v>0.11</v>
      </c>
      <c r="I7696" t="s">
        <v>23</v>
      </c>
      <c r="J7696">
        <v>0</v>
      </c>
      <c r="K7696">
        <v>1</v>
      </c>
      <c r="L7696">
        <v>0</v>
      </c>
      <c r="M7696">
        <f>VLOOKUP(Table1[[#This Row],[subscription_type]],Plans!$A$1:$B$5,2,FALSE)</f>
        <v>9.99</v>
      </c>
      <c r="N7696">
        <f t="shared" si="120"/>
        <v>0</v>
      </c>
    </row>
    <row r="7697" spans="1:14" x14ac:dyDescent="0.35">
      <c r="A7697">
        <v>7696</v>
      </c>
      <c r="B7697" t="s">
        <v>20</v>
      </c>
      <c r="C7697">
        <v>32</v>
      </c>
      <c r="D7697" t="s">
        <v>27</v>
      </c>
      <c r="E7697" t="s">
        <v>22</v>
      </c>
      <c r="F7697">
        <v>296</v>
      </c>
      <c r="G7697">
        <v>60</v>
      </c>
      <c r="H7697">
        <v>0.23</v>
      </c>
      <c r="I7697" t="s">
        <v>19</v>
      </c>
      <c r="J7697">
        <v>0</v>
      </c>
      <c r="K7697">
        <v>1</v>
      </c>
      <c r="L7697">
        <v>0</v>
      </c>
      <c r="M7697">
        <f>VLOOKUP(Table1[[#This Row],[subscription_type]],Plans!$A$1:$B$5,2,FALSE)</f>
        <v>9.99</v>
      </c>
      <c r="N7697">
        <f t="shared" si="120"/>
        <v>0</v>
      </c>
    </row>
    <row r="7698" spans="1:14" x14ac:dyDescent="0.35">
      <c r="A7698">
        <v>7697</v>
      </c>
      <c r="B7698" t="s">
        <v>20</v>
      </c>
      <c r="C7698">
        <v>42</v>
      </c>
      <c r="D7698" t="s">
        <v>29</v>
      </c>
      <c r="E7698" t="s">
        <v>22</v>
      </c>
      <c r="F7698">
        <v>171</v>
      </c>
      <c r="G7698">
        <v>12</v>
      </c>
      <c r="H7698">
        <v>0.28000000000000003</v>
      </c>
      <c r="I7698" t="s">
        <v>15</v>
      </c>
      <c r="J7698">
        <v>0</v>
      </c>
      <c r="K7698">
        <v>1</v>
      </c>
      <c r="L7698">
        <v>0</v>
      </c>
      <c r="M7698">
        <f>VLOOKUP(Table1[[#This Row],[subscription_type]],Plans!$A$1:$B$5,2,FALSE)</f>
        <v>9.99</v>
      </c>
      <c r="N7698">
        <f t="shared" si="120"/>
        <v>0</v>
      </c>
    </row>
    <row r="7699" spans="1:14" x14ac:dyDescent="0.35">
      <c r="A7699">
        <v>7698</v>
      </c>
      <c r="B7699" t="s">
        <v>16</v>
      </c>
      <c r="C7699">
        <v>18</v>
      </c>
      <c r="D7699" t="s">
        <v>27</v>
      </c>
      <c r="E7699" t="s">
        <v>18</v>
      </c>
      <c r="F7699">
        <v>180</v>
      </c>
      <c r="G7699">
        <v>84</v>
      </c>
      <c r="H7699">
        <v>0.05</v>
      </c>
      <c r="I7699" t="s">
        <v>15</v>
      </c>
      <c r="J7699">
        <v>0</v>
      </c>
      <c r="K7699">
        <v>1</v>
      </c>
      <c r="L7699">
        <v>0</v>
      </c>
      <c r="M7699">
        <f>VLOOKUP(Table1[[#This Row],[subscription_type]],Plans!$A$1:$B$5,2,FALSE)</f>
        <v>14.99</v>
      </c>
      <c r="N7699">
        <f t="shared" si="120"/>
        <v>0</v>
      </c>
    </row>
    <row r="7700" spans="1:14" x14ac:dyDescent="0.35">
      <c r="A7700">
        <v>7699</v>
      </c>
      <c r="B7700" t="s">
        <v>12</v>
      </c>
      <c r="C7700">
        <v>37</v>
      </c>
      <c r="D7700" t="s">
        <v>13</v>
      </c>
      <c r="E7700" t="s">
        <v>14</v>
      </c>
      <c r="F7700">
        <v>268</v>
      </c>
      <c r="G7700">
        <v>51</v>
      </c>
      <c r="H7700">
        <v>0.04</v>
      </c>
      <c r="I7700" t="s">
        <v>19</v>
      </c>
      <c r="J7700">
        <v>13</v>
      </c>
      <c r="K7700">
        <v>0</v>
      </c>
      <c r="L7700">
        <v>0</v>
      </c>
      <c r="M7700">
        <f>VLOOKUP(Table1[[#This Row],[subscription_type]],Plans!$A$1:$B$5,2,FALSE)</f>
        <v>0</v>
      </c>
      <c r="N7700">
        <f t="shared" si="120"/>
        <v>0</v>
      </c>
    </row>
    <row r="7701" spans="1:14" x14ac:dyDescent="0.35">
      <c r="A7701">
        <v>7700</v>
      </c>
      <c r="B7701" t="s">
        <v>20</v>
      </c>
      <c r="C7701">
        <v>33</v>
      </c>
      <c r="D7701" t="s">
        <v>13</v>
      </c>
      <c r="E7701" t="s">
        <v>24</v>
      </c>
      <c r="F7701">
        <v>57</v>
      </c>
      <c r="G7701">
        <v>50</v>
      </c>
      <c r="H7701">
        <v>0.28999999999999998</v>
      </c>
      <c r="I7701" t="s">
        <v>15</v>
      </c>
      <c r="J7701">
        <v>0</v>
      </c>
      <c r="K7701">
        <v>1</v>
      </c>
      <c r="L7701">
        <v>0</v>
      </c>
      <c r="M7701">
        <f>VLOOKUP(Table1[[#This Row],[subscription_type]],Plans!$A$1:$B$5,2,FALSE)</f>
        <v>4.99</v>
      </c>
      <c r="N7701">
        <f t="shared" si="120"/>
        <v>0</v>
      </c>
    </row>
    <row r="7702" spans="1:14" x14ac:dyDescent="0.35">
      <c r="A7702">
        <v>7701</v>
      </c>
      <c r="B7702" t="s">
        <v>12</v>
      </c>
      <c r="C7702">
        <v>19</v>
      </c>
      <c r="D7702" t="s">
        <v>26</v>
      </c>
      <c r="E7702" t="s">
        <v>18</v>
      </c>
      <c r="F7702">
        <v>73</v>
      </c>
      <c r="G7702">
        <v>18</v>
      </c>
      <c r="H7702">
        <v>0.54</v>
      </c>
      <c r="I7702" t="s">
        <v>23</v>
      </c>
      <c r="J7702">
        <v>0</v>
      </c>
      <c r="K7702">
        <v>1</v>
      </c>
      <c r="L7702">
        <v>1</v>
      </c>
      <c r="M7702">
        <f>VLOOKUP(Table1[[#This Row],[subscription_type]],Plans!$A$1:$B$5,2,FALSE)</f>
        <v>14.99</v>
      </c>
      <c r="N7702">
        <f t="shared" si="120"/>
        <v>14.99</v>
      </c>
    </row>
    <row r="7703" spans="1:14" x14ac:dyDescent="0.35">
      <c r="A7703">
        <v>7702</v>
      </c>
      <c r="B7703" t="s">
        <v>16</v>
      </c>
      <c r="C7703">
        <v>32</v>
      </c>
      <c r="D7703" t="s">
        <v>29</v>
      </c>
      <c r="E7703" t="s">
        <v>22</v>
      </c>
      <c r="F7703">
        <v>278</v>
      </c>
      <c r="G7703">
        <v>38</v>
      </c>
      <c r="H7703">
        <v>0.22</v>
      </c>
      <c r="I7703" t="s">
        <v>23</v>
      </c>
      <c r="J7703">
        <v>0</v>
      </c>
      <c r="K7703">
        <v>1</v>
      </c>
      <c r="L7703">
        <v>0</v>
      </c>
      <c r="M7703">
        <f>VLOOKUP(Table1[[#This Row],[subscription_type]],Plans!$A$1:$B$5,2,FALSE)</f>
        <v>9.99</v>
      </c>
      <c r="N7703">
        <f t="shared" si="120"/>
        <v>0</v>
      </c>
    </row>
    <row r="7704" spans="1:14" x14ac:dyDescent="0.35">
      <c r="A7704">
        <v>7703</v>
      </c>
      <c r="B7704" t="s">
        <v>16</v>
      </c>
      <c r="C7704">
        <v>33</v>
      </c>
      <c r="D7704" t="s">
        <v>27</v>
      </c>
      <c r="E7704" t="s">
        <v>14</v>
      </c>
      <c r="F7704">
        <v>150</v>
      </c>
      <c r="G7704">
        <v>5</v>
      </c>
      <c r="H7704">
        <v>0.42</v>
      </c>
      <c r="I7704" t="s">
        <v>23</v>
      </c>
      <c r="J7704">
        <v>22</v>
      </c>
      <c r="K7704">
        <v>0</v>
      </c>
      <c r="L7704">
        <v>0</v>
      </c>
      <c r="M7704">
        <f>VLOOKUP(Table1[[#This Row],[subscription_type]],Plans!$A$1:$B$5,2,FALSE)</f>
        <v>0</v>
      </c>
      <c r="N7704">
        <f t="shared" si="120"/>
        <v>0</v>
      </c>
    </row>
    <row r="7705" spans="1:14" x14ac:dyDescent="0.35">
      <c r="A7705">
        <v>7704</v>
      </c>
      <c r="B7705" t="s">
        <v>20</v>
      </c>
      <c r="C7705">
        <v>52</v>
      </c>
      <c r="D7705" t="s">
        <v>26</v>
      </c>
      <c r="E7705" t="s">
        <v>14</v>
      </c>
      <c r="F7705">
        <v>204</v>
      </c>
      <c r="G7705">
        <v>23</v>
      </c>
      <c r="H7705">
        <v>0.35</v>
      </c>
      <c r="I7705" t="s">
        <v>15</v>
      </c>
      <c r="J7705">
        <v>10</v>
      </c>
      <c r="K7705">
        <v>0</v>
      </c>
      <c r="L7705">
        <v>0</v>
      </c>
      <c r="M7705">
        <f>VLOOKUP(Table1[[#This Row],[subscription_type]],Plans!$A$1:$B$5,2,FALSE)</f>
        <v>0</v>
      </c>
      <c r="N7705">
        <f t="shared" si="120"/>
        <v>0</v>
      </c>
    </row>
    <row r="7706" spans="1:14" x14ac:dyDescent="0.35">
      <c r="A7706">
        <v>7705</v>
      </c>
      <c r="B7706" t="s">
        <v>20</v>
      </c>
      <c r="C7706">
        <v>32</v>
      </c>
      <c r="D7706" t="s">
        <v>17</v>
      </c>
      <c r="E7706" t="s">
        <v>18</v>
      </c>
      <c r="F7706">
        <v>63</v>
      </c>
      <c r="G7706">
        <v>44</v>
      </c>
      <c r="H7706">
        <v>0.14000000000000001</v>
      </c>
      <c r="I7706" t="s">
        <v>15</v>
      </c>
      <c r="J7706">
        <v>0</v>
      </c>
      <c r="K7706">
        <v>1</v>
      </c>
      <c r="L7706">
        <v>0</v>
      </c>
      <c r="M7706">
        <f>VLOOKUP(Table1[[#This Row],[subscription_type]],Plans!$A$1:$B$5,2,FALSE)</f>
        <v>14.99</v>
      </c>
      <c r="N7706">
        <f t="shared" si="120"/>
        <v>0</v>
      </c>
    </row>
    <row r="7707" spans="1:14" x14ac:dyDescent="0.35">
      <c r="A7707">
        <v>7706</v>
      </c>
      <c r="B7707" t="s">
        <v>16</v>
      </c>
      <c r="C7707">
        <v>58</v>
      </c>
      <c r="D7707" t="s">
        <v>26</v>
      </c>
      <c r="E7707" t="s">
        <v>22</v>
      </c>
      <c r="F7707">
        <v>154</v>
      </c>
      <c r="G7707">
        <v>33</v>
      </c>
      <c r="H7707">
        <v>0.45</v>
      </c>
      <c r="I7707" t="s">
        <v>19</v>
      </c>
      <c r="J7707">
        <v>0</v>
      </c>
      <c r="K7707">
        <v>1</v>
      </c>
      <c r="L7707">
        <v>0</v>
      </c>
      <c r="M7707">
        <f>VLOOKUP(Table1[[#This Row],[subscription_type]],Plans!$A$1:$B$5,2,FALSE)</f>
        <v>9.99</v>
      </c>
      <c r="N7707">
        <f t="shared" si="120"/>
        <v>0</v>
      </c>
    </row>
    <row r="7708" spans="1:14" x14ac:dyDescent="0.35">
      <c r="A7708">
        <v>7707</v>
      </c>
      <c r="B7708" t="s">
        <v>20</v>
      </c>
      <c r="C7708">
        <v>54</v>
      </c>
      <c r="D7708" t="s">
        <v>17</v>
      </c>
      <c r="E7708" t="s">
        <v>24</v>
      </c>
      <c r="F7708">
        <v>293</v>
      </c>
      <c r="G7708">
        <v>37</v>
      </c>
      <c r="H7708">
        <v>0.31</v>
      </c>
      <c r="I7708" t="s">
        <v>15</v>
      </c>
      <c r="J7708">
        <v>0</v>
      </c>
      <c r="K7708">
        <v>1</v>
      </c>
      <c r="L7708">
        <v>0</v>
      </c>
      <c r="M7708">
        <f>VLOOKUP(Table1[[#This Row],[subscription_type]],Plans!$A$1:$B$5,2,FALSE)</f>
        <v>4.99</v>
      </c>
      <c r="N7708">
        <f t="shared" si="120"/>
        <v>0</v>
      </c>
    </row>
    <row r="7709" spans="1:14" x14ac:dyDescent="0.35">
      <c r="A7709">
        <v>7708</v>
      </c>
      <c r="B7709" t="s">
        <v>16</v>
      </c>
      <c r="C7709">
        <v>35</v>
      </c>
      <c r="D7709" t="s">
        <v>29</v>
      </c>
      <c r="E7709" t="s">
        <v>24</v>
      </c>
      <c r="F7709">
        <v>144</v>
      </c>
      <c r="G7709">
        <v>12</v>
      </c>
      <c r="H7709">
        <v>0.27</v>
      </c>
      <c r="I7709" t="s">
        <v>19</v>
      </c>
      <c r="J7709">
        <v>0</v>
      </c>
      <c r="K7709">
        <v>1</v>
      </c>
      <c r="L7709">
        <v>0</v>
      </c>
      <c r="M7709">
        <f>VLOOKUP(Table1[[#This Row],[subscription_type]],Plans!$A$1:$B$5,2,FALSE)</f>
        <v>4.99</v>
      </c>
      <c r="N7709">
        <f t="shared" si="120"/>
        <v>0</v>
      </c>
    </row>
    <row r="7710" spans="1:14" x14ac:dyDescent="0.35">
      <c r="A7710">
        <v>7709</v>
      </c>
      <c r="B7710" t="s">
        <v>20</v>
      </c>
      <c r="C7710">
        <v>30</v>
      </c>
      <c r="D7710" t="s">
        <v>17</v>
      </c>
      <c r="E7710" t="s">
        <v>22</v>
      </c>
      <c r="F7710">
        <v>210</v>
      </c>
      <c r="G7710">
        <v>65</v>
      </c>
      <c r="H7710">
        <v>0.02</v>
      </c>
      <c r="I7710" t="s">
        <v>19</v>
      </c>
      <c r="J7710">
        <v>0</v>
      </c>
      <c r="K7710">
        <v>1</v>
      </c>
      <c r="L7710">
        <v>0</v>
      </c>
      <c r="M7710">
        <f>VLOOKUP(Table1[[#This Row],[subscription_type]],Plans!$A$1:$B$5,2,FALSE)</f>
        <v>9.99</v>
      </c>
      <c r="N7710">
        <f t="shared" si="120"/>
        <v>0</v>
      </c>
    </row>
    <row r="7711" spans="1:14" x14ac:dyDescent="0.35">
      <c r="A7711">
        <v>7710</v>
      </c>
      <c r="B7711" t="s">
        <v>12</v>
      </c>
      <c r="C7711">
        <v>42</v>
      </c>
      <c r="D7711" t="s">
        <v>28</v>
      </c>
      <c r="E7711" t="s">
        <v>18</v>
      </c>
      <c r="F7711">
        <v>295</v>
      </c>
      <c r="G7711">
        <v>4</v>
      </c>
      <c r="H7711">
        <v>0.04</v>
      </c>
      <c r="I7711" t="s">
        <v>19</v>
      </c>
      <c r="J7711">
        <v>0</v>
      </c>
      <c r="K7711">
        <v>1</v>
      </c>
      <c r="L7711">
        <v>0</v>
      </c>
      <c r="M7711">
        <f>VLOOKUP(Table1[[#This Row],[subscription_type]],Plans!$A$1:$B$5,2,FALSE)</f>
        <v>14.99</v>
      </c>
      <c r="N7711">
        <f t="shared" si="120"/>
        <v>0</v>
      </c>
    </row>
    <row r="7712" spans="1:14" x14ac:dyDescent="0.35">
      <c r="A7712">
        <v>7711</v>
      </c>
      <c r="B7712" t="s">
        <v>12</v>
      </c>
      <c r="C7712">
        <v>55</v>
      </c>
      <c r="D7712" t="s">
        <v>26</v>
      </c>
      <c r="E7712" t="s">
        <v>24</v>
      </c>
      <c r="F7712">
        <v>172</v>
      </c>
      <c r="G7712">
        <v>18</v>
      </c>
      <c r="H7712">
        <v>0.34</v>
      </c>
      <c r="I7712" t="s">
        <v>15</v>
      </c>
      <c r="J7712">
        <v>0</v>
      </c>
      <c r="K7712">
        <v>1</v>
      </c>
      <c r="L7712">
        <v>0</v>
      </c>
      <c r="M7712">
        <f>VLOOKUP(Table1[[#This Row],[subscription_type]],Plans!$A$1:$B$5,2,FALSE)</f>
        <v>4.99</v>
      </c>
      <c r="N7712">
        <f t="shared" si="120"/>
        <v>0</v>
      </c>
    </row>
    <row r="7713" spans="1:14" x14ac:dyDescent="0.35">
      <c r="A7713">
        <v>7712</v>
      </c>
      <c r="B7713" t="s">
        <v>20</v>
      </c>
      <c r="C7713">
        <v>25</v>
      </c>
      <c r="D7713" t="s">
        <v>28</v>
      </c>
      <c r="E7713" t="s">
        <v>24</v>
      </c>
      <c r="F7713">
        <v>230</v>
      </c>
      <c r="G7713">
        <v>20</v>
      </c>
      <c r="H7713">
        <v>0.31</v>
      </c>
      <c r="I7713" t="s">
        <v>23</v>
      </c>
      <c r="J7713">
        <v>0</v>
      </c>
      <c r="K7713">
        <v>1</v>
      </c>
      <c r="L7713">
        <v>0</v>
      </c>
      <c r="M7713">
        <f>VLOOKUP(Table1[[#This Row],[subscription_type]],Plans!$A$1:$B$5,2,FALSE)</f>
        <v>4.99</v>
      </c>
      <c r="N7713">
        <f t="shared" si="120"/>
        <v>0</v>
      </c>
    </row>
    <row r="7714" spans="1:14" x14ac:dyDescent="0.35">
      <c r="A7714">
        <v>7713</v>
      </c>
      <c r="B7714" t="s">
        <v>20</v>
      </c>
      <c r="C7714">
        <v>42</v>
      </c>
      <c r="D7714" t="s">
        <v>25</v>
      </c>
      <c r="E7714" t="s">
        <v>14</v>
      </c>
      <c r="F7714">
        <v>159</v>
      </c>
      <c r="G7714">
        <v>44</v>
      </c>
      <c r="H7714">
        <v>0.47</v>
      </c>
      <c r="I7714" t="s">
        <v>19</v>
      </c>
      <c r="J7714">
        <v>20</v>
      </c>
      <c r="K7714">
        <v>0</v>
      </c>
      <c r="L7714">
        <v>0</v>
      </c>
      <c r="M7714">
        <f>VLOOKUP(Table1[[#This Row],[subscription_type]],Plans!$A$1:$B$5,2,FALSE)</f>
        <v>0</v>
      </c>
      <c r="N7714">
        <f t="shared" si="120"/>
        <v>0</v>
      </c>
    </row>
    <row r="7715" spans="1:14" x14ac:dyDescent="0.35">
      <c r="A7715">
        <v>7714</v>
      </c>
      <c r="B7715" t="s">
        <v>20</v>
      </c>
      <c r="C7715">
        <v>48</v>
      </c>
      <c r="D7715" t="s">
        <v>27</v>
      </c>
      <c r="E7715" t="s">
        <v>18</v>
      </c>
      <c r="F7715">
        <v>76</v>
      </c>
      <c r="G7715">
        <v>26</v>
      </c>
      <c r="H7715">
        <v>0.02</v>
      </c>
      <c r="I7715" t="s">
        <v>15</v>
      </c>
      <c r="J7715">
        <v>0</v>
      </c>
      <c r="K7715">
        <v>1</v>
      </c>
      <c r="L7715">
        <v>1</v>
      </c>
      <c r="M7715">
        <f>VLOOKUP(Table1[[#This Row],[subscription_type]],Plans!$A$1:$B$5,2,FALSE)</f>
        <v>14.99</v>
      </c>
      <c r="N7715">
        <f t="shared" si="120"/>
        <v>14.99</v>
      </c>
    </row>
    <row r="7716" spans="1:14" x14ac:dyDescent="0.35">
      <c r="A7716">
        <v>7715</v>
      </c>
      <c r="B7716" t="s">
        <v>16</v>
      </c>
      <c r="C7716">
        <v>39</v>
      </c>
      <c r="D7716" t="s">
        <v>13</v>
      </c>
      <c r="E7716" t="s">
        <v>22</v>
      </c>
      <c r="F7716">
        <v>183</v>
      </c>
      <c r="G7716">
        <v>28</v>
      </c>
      <c r="H7716">
        <v>0.34</v>
      </c>
      <c r="I7716" t="s">
        <v>15</v>
      </c>
      <c r="J7716">
        <v>0</v>
      </c>
      <c r="K7716">
        <v>1</v>
      </c>
      <c r="L7716">
        <v>0</v>
      </c>
      <c r="M7716">
        <f>VLOOKUP(Table1[[#This Row],[subscription_type]],Plans!$A$1:$B$5,2,FALSE)</f>
        <v>9.99</v>
      </c>
      <c r="N7716">
        <f t="shared" si="120"/>
        <v>0</v>
      </c>
    </row>
    <row r="7717" spans="1:14" x14ac:dyDescent="0.35">
      <c r="A7717">
        <v>7716</v>
      </c>
      <c r="B7717" t="s">
        <v>16</v>
      </c>
      <c r="C7717">
        <v>26</v>
      </c>
      <c r="D7717" t="s">
        <v>26</v>
      </c>
      <c r="E7717" t="s">
        <v>22</v>
      </c>
      <c r="F7717">
        <v>198</v>
      </c>
      <c r="G7717">
        <v>59</v>
      </c>
      <c r="H7717">
        <v>0.05</v>
      </c>
      <c r="I7717" t="s">
        <v>19</v>
      </c>
      <c r="J7717">
        <v>0</v>
      </c>
      <c r="K7717">
        <v>1</v>
      </c>
      <c r="L7717">
        <v>1</v>
      </c>
      <c r="M7717">
        <f>VLOOKUP(Table1[[#This Row],[subscription_type]],Plans!$A$1:$B$5,2,FALSE)</f>
        <v>9.99</v>
      </c>
      <c r="N7717">
        <f t="shared" si="120"/>
        <v>9.99</v>
      </c>
    </row>
    <row r="7718" spans="1:14" x14ac:dyDescent="0.35">
      <c r="A7718">
        <v>7717</v>
      </c>
      <c r="B7718" t="s">
        <v>20</v>
      </c>
      <c r="C7718">
        <v>17</v>
      </c>
      <c r="D7718" t="s">
        <v>17</v>
      </c>
      <c r="E7718" t="s">
        <v>24</v>
      </c>
      <c r="F7718">
        <v>128</v>
      </c>
      <c r="G7718">
        <v>34</v>
      </c>
      <c r="H7718">
        <v>0.06</v>
      </c>
      <c r="I7718" t="s">
        <v>23</v>
      </c>
      <c r="J7718">
        <v>0</v>
      </c>
      <c r="K7718">
        <v>1</v>
      </c>
      <c r="L7718">
        <v>1</v>
      </c>
      <c r="M7718">
        <f>VLOOKUP(Table1[[#This Row],[subscription_type]],Plans!$A$1:$B$5,2,FALSE)</f>
        <v>4.99</v>
      </c>
      <c r="N7718">
        <f t="shared" si="120"/>
        <v>4.99</v>
      </c>
    </row>
    <row r="7719" spans="1:14" x14ac:dyDescent="0.35">
      <c r="A7719">
        <v>7718</v>
      </c>
      <c r="B7719" t="s">
        <v>12</v>
      </c>
      <c r="C7719">
        <v>41</v>
      </c>
      <c r="D7719" t="s">
        <v>26</v>
      </c>
      <c r="E7719" t="s">
        <v>14</v>
      </c>
      <c r="F7719">
        <v>55</v>
      </c>
      <c r="G7719">
        <v>12</v>
      </c>
      <c r="H7719">
        <v>0.2</v>
      </c>
      <c r="I7719" t="s">
        <v>15</v>
      </c>
      <c r="J7719">
        <v>17</v>
      </c>
      <c r="K7719">
        <v>0</v>
      </c>
      <c r="L7719">
        <v>0</v>
      </c>
      <c r="M7719">
        <f>VLOOKUP(Table1[[#This Row],[subscription_type]],Plans!$A$1:$B$5,2,FALSE)</f>
        <v>0</v>
      </c>
      <c r="N7719">
        <f t="shared" si="120"/>
        <v>0</v>
      </c>
    </row>
    <row r="7720" spans="1:14" x14ac:dyDescent="0.35">
      <c r="A7720">
        <v>7719</v>
      </c>
      <c r="B7720" t="s">
        <v>20</v>
      </c>
      <c r="C7720">
        <v>19</v>
      </c>
      <c r="D7720" t="s">
        <v>25</v>
      </c>
      <c r="E7720" t="s">
        <v>14</v>
      </c>
      <c r="F7720">
        <v>147</v>
      </c>
      <c r="G7720">
        <v>58</v>
      </c>
      <c r="H7720">
        <v>0.21</v>
      </c>
      <c r="I7720" t="s">
        <v>19</v>
      </c>
      <c r="J7720">
        <v>22</v>
      </c>
      <c r="K7720">
        <v>0</v>
      </c>
      <c r="L7720">
        <v>0</v>
      </c>
      <c r="M7720">
        <f>VLOOKUP(Table1[[#This Row],[subscription_type]],Plans!$A$1:$B$5,2,FALSE)</f>
        <v>0</v>
      </c>
      <c r="N7720">
        <f t="shared" si="120"/>
        <v>0</v>
      </c>
    </row>
    <row r="7721" spans="1:14" x14ac:dyDescent="0.35">
      <c r="A7721">
        <v>7720</v>
      </c>
      <c r="B7721" t="s">
        <v>12</v>
      </c>
      <c r="C7721">
        <v>26</v>
      </c>
      <c r="D7721" t="s">
        <v>25</v>
      </c>
      <c r="E7721" t="s">
        <v>24</v>
      </c>
      <c r="F7721">
        <v>11</v>
      </c>
      <c r="G7721">
        <v>57</v>
      </c>
      <c r="H7721">
        <v>0.57999999999999996</v>
      </c>
      <c r="I7721" t="s">
        <v>23</v>
      </c>
      <c r="J7721">
        <v>0</v>
      </c>
      <c r="K7721">
        <v>1</v>
      </c>
      <c r="L7721">
        <v>0</v>
      </c>
      <c r="M7721">
        <f>VLOOKUP(Table1[[#This Row],[subscription_type]],Plans!$A$1:$B$5,2,FALSE)</f>
        <v>4.99</v>
      </c>
      <c r="N7721">
        <f t="shared" si="120"/>
        <v>0</v>
      </c>
    </row>
    <row r="7722" spans="1:14" x14ac:dyDescent="0.35">
      <c r="A7722">
        <v>7721</v>
      </c>
      <c r="B7722" t="s">
        <v>12</v>
      </c>
      <c r="C7722">
        <v>26</v>
      </c>
      <c r="D7722" t="s">
        <v>28</v>
      </c>
      <c r="E7722" t="s">
        <v>22</v>
      </c>
      <c r="F7722">
        <v>17</v>
      </c>
      <c r="G7722">
        <v>26</v>
      </c>
      <c r="H7722">
        <v>0.25</v>
      </c>
      <c r="I7722" t="s">
        <v>23</v>
      </c>
      <c r="J7722">
        <v>0</v>
      </c>
      <c r="K7722">
        <v>1</v>
      </c>
      <c r="L7722">
        <v>0</v>
      </c>
      <c r="M7722">
        <f>VLOOKUP(Table1[[#This Row],[subscription_type]],Plans!$A$1:$B$5,2,FALSE)</f>
        <v>9.99</v>
      </c>
      <c r="N7722">
        <f t="shared" si="120"/>
        <v>0</v>
      </c>
    </row>
    <row r="7723" spans="1:14" x14ac:dyDescent="0.35">
      <c r="A7723">
        <v>7722</v>
      </c>
      <c r="B7723" t="s">
        <v>12</v>
      </c>
      <c r="C7723">
        <v>45</v>
      </c>
      <c r="D7723" t="s">
        <v>13</v>
      </c>
      <c r="E7723" t="s">
        <v>22</v>
      </c>
      <c r="F7723">
        <v>26</v>
      </c>
      <c r="G7723">
        <v>28</v>
      </c>
      <c r="H7723">
        <v>0.41</v>
      </c>
      <c r="I7723" t="s">
        <v>23</v>
      </c>
      <c r="J7723">
        <v>0</v>
      </c>
      <c r="K7723">
        <v>1</v>
      </c>
      <c r="L7723">
        <v>0</v>
      </c>
      <c r="M7723">
        <f>VLOOKUP(Table1[[#This Row],[subscription_type]],Plans!$A$1:$B$5,2,FALSE)</f>
        <v>9.99</v>
      </c>
      <c r="N7723">
        <f t="shared" si="120"/>
        <v>0</v>
      </c>
    </row>
    <row r="7724" spans="1:14" x14ac:dyDescent="0.35">
      <c r="A7724">
        <v>7723</v>
      </c>
      <c r="B7724" t="s">
        <v>20</v>
      </c>
      <c r="C7724">
        <v>46</v>
      </c>
      <c r="D7724" t="s">
        <v>27</v>
      </c>
      <c r="E7724" t="s">
        <v>18</v>
      </c>
      <c r="F7724">
        <v>202</v>
      </c>
      <c r="G7724">
        <v>13</v>
      </c>
      <c r="H7724">
        <v>0.45</v>
      </c>
      <c r="I7724" t="s">
        <v>15</v>
      </c>
      <c r="J7724">
        <v>0</v>
      </c>
      <c r="K7724">
        <v>1</v>
      </c>
      <c r="L7724">
        <v>0</v>
      </c>
      <c r="M7724">
        <f>VLOOKUP(Table1[[#This Row],[subscription_type]],Plans!$A$1:$B$5,2,FALSE)</f>
        <v>14.99</v>
      </c>
      <c r="N7724">
        <f t="shared" si="120"/>
        <v>0</v>
      </c>
    </row>
    <row r="7725" spans="1:14" x14ac:dyDescent="0.35">
      <c r="A7725">
        <v>7724</v>
      </c>
      <c r="B7725" t="s">
        <v>16</v>
      </c>
      <c r="C7725">
        <v>29</v>
      </c>
      <c r="D7725" t="s">
        <v>28</v>
      </c>
      <c r="E7725" t="s">
        <v>18</v>
      </c>
      <c r="F7725">
        <v>196</v>
      </c>
      <c r="G7725">
        <v>81</v>
      </c>
      <c r="H7725">
        <v>0.16</v>
      </c>
      <c r="I7725" t="s">
        <v>23</v>
      </c>
      <c r="J7725">
        <v>0</v>
      </c>
      <c r="K7725">
        <v>1</v>
      </c>
      <c r="L7725">
        <v>0</v>
      </c>
      <c r="M7725">
        <f>VLOOKUP(Table1[[#This Row],[subscription_type]],Plans!$A$1:$B$5,2,FALSE)</f>
        <v>14.99</v>
      </c>
      <c r="N7725">
        <f t="shared" si="120"/>
        <v>0</v>
      </c>
    </row>
    <row r="7726" spans="1:14" x14ac:dyDescent="0.35">
      <c r="A7726">
        <v>7725</v>
      </c>
      <c r="B7726" t="s">
        <v>20</v>
      </c>
      <c r="C7726">
        <v>59</v>
      </c>
      <c r="D7726" t="s">
        <v>26</v>
      </c>
      <c r="E7726" t="s">
        <v>14</v>
      </c>
      <c r="F7726">
        <v>142</v>
      </c>
      <c r="G7726">
        <v>29</v>
      </c>
      <c r="H7726">
        <v>0.05</v>
      </c>
      <c r="I7726" t="s">
        <v>15</v>
      </c>
      <c r="J7726">
        <v>11</v>
      </c>
      <c r="K7726">
        <v>0</v>
      </c>
      <c r="L7726">
        <v>0</v>
      </c>
      <c r="M7726">
        <f>VLOOKUP(Table1[[#This Row],[subscription_type]],Plans!$A$1:$B$5,2,FALSE)</f>
        <v>0</v>
      </c>
      <c r="N7726">
        <f t="shared" si="120"/>
        <v>0</v>
      </c>
    </row>
    <row r="7727" spans="1:14" x14ac:dyDescent="0.35">
      <c r="A7727">
        <v>7726</v>
      </c>
      <c r="B7727" t="s">
        <v>20</v>
      </c>
      <c r="C7727">
        <v>50</v>
      </c>
      <c r="D7727" t="s">
        <v>25</v>
      </c>
      <c r="E7727" t="s">
        <v>22</v>
      </c>
      <c r="F7727">
        <v>226</v>
      </c>
      <c r="G7727">
        <v>38</v>
      </c>
      <c r="H7727">
        <v>0.28000000000000003</v>
      </c>
      <c r="I7727" t="s">
        <v>23</v>
      </c>
      <c r="J7727">
        <v>0</v>
      </c>
      <c r="K7727">
        <v>1</v>
      </c>
      <c r="L7727">
        <v>0</v>
      </c>
      <c r="M7727">
        <f>VLOOKUP(Table1[[#This Row],[subscription_type]],Plans!$A$1:$B$5,2,FALSE)</f>
        <v>9.99</v>
      </c>
      <c r="N7727">
        <f t="shared" si="120"/>
        <v>0</v>
      </c>
    </row>
    <row r="7728" spans="1:14" x14ac:dyDescent="0.35">
      <c r="A7728">
        <v>7727</v>
      </c>
      <c r="B7728" t="s">
        <v>12</v>
      </c>
      <c r="C7728">
        <v>19</v>
      </c>
      <c r="D7728" t="s">
        <v>17</v>
      </c>
      <c r="E7728" t="s">
        <v>24</v>
      </c>
      <c r="F7728">
        <v>255</v>
      </c>
      <c r="G7728">
        <v>98</v>
      </c>
      <c r="H7728">
        <v>0.5</v>
      </c>
      <c r="I7728" t="s">
        <v>23</v>
      </c>
      <c r="J7728">
        <v>0</v>
      </c>
      <c r="K7728">
        <v>1</v>
      </c>
      <c r="L7728">
        <v>0</v>
      </c>
      <c r="M7728">
        <f>VLOOKUP(Table1[[#This Row],[subscription_type]],Plans!$A$1:$B$5,2,FALSE)</f>
        <v>4.99</v>
      </c>
      <c r="N7728">
        <f t="shared" si="120"/>
        <v>0</v>
      </c>
    </row>
    <row r="7729" spans="1:14" x14ac:dyDescent="0.35">
      <c r="A7729">
        <v>7728</v>
      </c>
      <c r="B7729" t="s">
        <v>16</v>
      </c>
      <c r="C7729">
        <v>36</v>
      </c>
      <c r="D7729" t="s">
        <v>21</v>
      </c>
      <c r="E7729" t="s">
        <v>14</v>
      </c>
      <c r="F7729">
        <v>228</v>
      </c>
      <c r="G7729">
        <v>44</v>
      </c>
      <c r="H7729">
        <v>0.02</v>
      </c>
      <c r="I7729" t="s">
        <v>23</v>
      </c>
      <c r="J7729">
        <v>31</v>
      </c>
      <c r="K7729">
        <v>0</v>
      </c>
      <c r="L7729">
        <v>0</v>
      </c>
      <c r="M7729">
        <f>VLOOKUP(Table1[[#This Row],[subscription_type]],Plans!$A$1:$B$5,2,FALSE)</f>
        <v>0</v>
      </c>
      <c r="N7729">
        <f t="shared" si="120"/>
        <v>0</v>
      </c>
    </row>
    <row r="7730" spans="1:14" x14ac:dyDescent="0.35">
      <c r="A7730">
        <v>7729</v>
      </c>
      <c r="B7730" t="s">
        <v>20</v>
      </c>
      <c r="C7730">
        <v>22</v>
      </c>
      <c r="D7730" t="s">
        <v>28</v>
      </c>
      <c r="E7730" t="s">
        <v>14</v>
      </c>
      <c r="F7730">
        <v>100</v>
      </c>
      <c r="G7730">
        <v>84</v>
      </c>
      <c r="H7730">
        <v>0.02</v>
      </c>
      <c r="I7730" t="s">
        <v>23</v>
      </c>
      <c r="J7730">
        <v>26</v>
      </c>
      <c r="K7730">
        <v>0</v>
      </c>
      <c r="L7730">
        <v>0</v>
      </c>
      <c r="M7730">
        <f>VLOOKUP(Table1[[#This Row],[subscription_type]],Plans!$A$1:$B$5,2,FALSE)</f>
        <v>0</v>
      </c>
      <c r="N7730">
        <f t="shared" si="120"/>
        <v>0</v>
      </c>
    </row>
    <row r="7731" spans="1:14" x14ac:dyDescent="0.35">
      <c r="A7731">
        <v>7730</v>
      </c>
      <c r="B7731" t="s">
        <v>16</v>
      </c>
      <c r="C7731">
        <v>55</v>
      </c>
      <c r="D7731" t="s">
        <v>27</v>
      </c>
      <c r="E7731" t="s">
        <v>24</v>
      </c>
      <c r="F7731">
        <v>298</v>
      </c>
      <c r="G7731">
        <v>50</v>
      </c>
      <c r="H7731">
        <v>0.11</v>
      </c>
      <c r="I7731" t="s">
        <v>15</v>
      </c>
      <c r="J7731">
        <v>0</v>
      </c>
      <c r="K7731">
        <v>1</v>
      </c>
      <c r="L7731">
        <v>0</v>
      </c>
      <c r="M7731">
        <f>VLOOKUP(Table1[[#This Row],[subscription_type]],Plans!$A$1:$B$5,2,FALSE)</f>
        <v>4.99</v>
      </c>
      <c r="N7731">
        <f t="shared" si="120"/>
        <v>0</v>
      </c>
    </row>
    <row r="7732" spans="1:14" x14ac:dyDescent="0.35">
      <c r="A7732">
        <v>7731</v>
      </c>
      <c r="B7732" t="s">
        <v>16</v>
      </c>
      <c r="C7732">
        <v>26</v>
      </c>
      <c r="D7732" t="s">
        <v>29</v>
      </c>
      <c r="E7732" t="s">
        <v>18</v>
      </c>
      <c r="F7732">
        <v>167</v>
      </c>
      <c r="G7732">
        <v>82</v>
      </c>
      <c r="H7732">
        <v>0.14000000000000001</v>
      </c>
      <c r="I7732" t="s">
        <v>19</v>
      </c>
      <c r="J7732">
        <v>0</v>
      </c>
      <c r="K7732">
        <v>1</v>
      </c>
      <c r="L7732">
        <v>0</v>
      </c>
      <c r="M7732">
        <f>VLOOKUP(Table1[[#This Row],[subscription_type]],Plans!$A$1:$B$5,2,FALSE)</f>
        <v>14.99</v>
      </c>
      <c r="N7732">
        <f t="shared" si="120"/>
        <v>0</v>
      </c>
    </row>
    <row r="7733" spans="1:14" x14ac:dyDescent="0.35">
      <c r="A7733">
        <v>7732</v>
      </c>
      <c r="B7733" t="s">
        <v>12</v>
      </c>
      <c r="C7733">
        <v>19</v>
      </c>
      <c r="D7733" t="s">
        <v>25</v>
      </c>
      <c r="E7733" t="s">
        <v>18</v>
      </c>
      <c r="F7733">
        <v>51</v>
      </c>
      <c r="G7733">
        <v>24</v>
      </c>
      <c r="H7733">
        <v>0.08</v>
      </c>
      <c r="I7733" t="s">
        <v>19</v>
      </c>
      <c r="J7733">
        <v>0</v>
      </c>
      <c r="K7733">
        <v>1</v>
      </c>
      <c r="L7733">
        <v>0</v>
      </c>
      <c r="M7733">
        <f>VLOOKUP(Table1[[#This Row],[subscription_type]],Plans!$A$1:$B$5,2,FALSE)</f>
        <v>14.99</v>
      </c>
      <c r="N7733">
        <f t="shared" si="120"/>
        <v>0</v>
      </c>
    </row>
    <row r="7734" spans="1:14" x14ac:dyDescent="0.35">
      <c r="A7734">
        <v>7733</v>
      </c>
      <c r="B7734" t="s">
        <v>12</v>
      </c>
      <c r="C7734">
        <v>20</v>
      </c>
      <c r="D7734" t="s">
        <v>27</v>
      </c>
      <c r="E7734" t="s">
        <v>14</v>
      </c>
      <c r="F7734">
        <v>265</v>
      </c>
      <c r="G7734">
        <v>40</v>
      </c>
      <c r="H7734">
        <v>0.56000000000000005</v>
      </c>
      <c r="I7734" t="s">
        <v>23</v>
      </c>
      <c r="J7734">
        <v>11</v>
      </c>
      <c r="K7734">
        <v>0</v>
      </c>
      <c r="L7734">
        <v>0</v>
      </c>
      <c r="M7734">
        <f>VLOOKUP(Table1[[#This Row],[subscription_type]],Plans!$A$1:$B$5,2,FALSE)</f>
        <v>0</v>
      </c>
      <c r="N7734">
        <f t="shared" si="120"/>
        <v>0</v>
      </c>
    </row>
    <row r="7735" spans="1:14" x14ac:dyDescent="0.35">
      <c r="A7735">
        <v>7734</v>
      </c>
      <c r="B7735" t="s">
        <v>16</v>
      </c>
      <c r="C7735">
        <v>55</v>
      </c>
      <c r="D7735" t="s">
        <v>29</v>
      </c>
      <c r="E7735" t="s">
        <v>24</v>
      </c>
      <c r="F7735">
        <v>127</v>
      </c>
      <c r="G7735">
        <v>65</v>
      </c>
      <c r="H7735">
        <v>0.06</v>
      </c>
      <c r="I7735" t="s">
        <v>15</v>
      </c>
      <c r="J7735">
        <v>0</v>
      </c>
      <c r="K7735">
        <v>1</v>
      </c>
      <c r="L7735">
        <v>1</v>
      </c>
      <c r="M7735">
        <f>VLOOKUP(Table1[[#This Row],[subscription_type]],Plans!$A$1:$B$5,2,FALSE)</f>
        <v>4.99</v>
      </c>
      <c r="N7735">
        <f t="shared" si="120"/>
        <v>4.99</v>
      </c>
    </row>
    <row r="7736" spans="1:14" x14ac:dyDescent="0.35">
      <c r="A7736">
        <v>7735</v>
      </c>
      <c r="B7736" t="s">
        <v>20</v>
      </c>
      <c r="C7736">
        <v>37</v>
      </c>
      <c r="D7736" t="s">
        <v>28</v>
      </c>
      <c r="E7736" t="s">
        <v>18</v>
      </c>
      <c r="F7736">
        <v>211</v>
      </c>
      <c r="G7736">
        <v>73</v>
      </c>
      <c r="H7736">
        <v>0.45</v>
      </c>
      <c r="I7736" t="s">
        <v>15</v>
      </c>
      <c r="J7736">
        <v>0</v>
      </c>
      <c r="K7736">
        <v>1</v>
      </c>
      <c r="L7736">
        <v>0</v>
      </c>
      <c r="M7736">
        <f>VLOOKUP(Table1[[#This Row],[subscription_type]],Plans!$A$1:$B$5,2,FALSE)</f>
        <v>14.99</v>
      </c>
      <c r="N7736">
        <f t="shared" si="120"/>
        <v>0</v>
      </c>
    </row>
    <row r="7737" spans="1:14" x14ac:dyDescent="0.35">
      <c r="A7737">
        <v>7736</v>
      </c>
      <c r="B7737" t="s">
        <v>12</v>
      </c>
      <c r="C7737">
        <v>52</v>
      </c>
      <c r="D7737" t="s">
        <v>13</v>
      </c>
      <c r="E7737" t="s">
        <v>24</v>
      </c>
      <c r="F7737">
        <v>46</v>
      </c>
      <c r="G7737">
        <v>65</v>
      </c>
      <c r="H7737">
        <v>0.33</v>
      </c>
      <c r="I7737" t="s">
        <v>23</v>
      </c>
      <c r="J7737">
        <v>0</v>
      </c>
      <c r="K7737">
        <v>1</v>
      </c>
      <c r="L7737">
        <v>1</v>
      </c>
      <c r="M7737">
        <f>VLOOKUP(Table1[[#This Row],[subscription_type]],Plans!$A$1:$B$5,2,FALSE)</f>
        <v>4.99</v>
      </c>
      <c r="N7737">
        <f t="shared" si="120"/>
        <v>4.99</v>
      </c>
    </row>
    <row r="7738" spans="1:14" x14ac:dyDescent="0.35">
      <c r="A7738">
        <v>7737</v>
      </c>
      <c r="B7738" t="s">
        <v>16</v>
      </c>
      <c r="C7738">
        <v>20</v>
      </c>
      <c r="D7738" t="s">
        <v>26</v>
      </c>
      <c r="E7738" t="s">
        <v>18</v>
      </c>
      <c r="F7738">
        <v>99</v>
      </c>
      <c r="G7738">
        <v>9</v>
      </c>
      <c r="H7738">
        <v>0.35</v>
      </c>
      <c r="I7738" t="s">
        <v>19</v>
      </c>
      <c r="J7738">
        <v>0</v>
      </c>
      <c r="K7738">
        <v>1</v>
      </c>
      <c r="L7738">
        <v>0</v>
      </c>
      <c r="M7738">
        <f>VLOOKUP(Table1[[#This Row],[subscription_type]],Plans!$A$1:$B$5,2,FALSE)</f>
        <v>14.99</v>
      </c>
      <c r="N7738">
        <f t="shared" si="120"/>
        <v>0</v>
      </c>
    </row>
    <row r="7739" spans="1:14" x14ac:dyDescent="0.35">
      <c r="A7739">
        <v>7738</v>
      </c>
      <c r="B7739" t="s">
        <v>20</v>
      </c>
      <c r="C7739">
        <v>51</v>
      </c>
      <c r="D7739" t="s">
        <v>28</v>
      </c>
      <c r="E7739" t="s">
        <v>18</v>
      </c>
      <c r="F7739">
        <v>181</v>
      </c>
      <c r="G7739">
        <v>42</v>
      </c>
      <c r="H7739">
        <v>0.57999999999999996</v>
      </c>
      <c r="I7739" t="s">
        <v>19</v>
      </c>
      <c r="J7739">
        <v>0</v>
      </c>
      <c r="K7739">
        <v>1</v>
      </c>
      <c r="L7739">
        <v>0</v>
      </c>
      <c r="M7739">
        <f>VLOOKUP(Table1[[#This Row],[subscription_type]],Plans!$A$1:$B$5,2,FALSE)</f>
        <v>14.99</v>
      </c>
      <c r="N7739">
        <f t="shared" si="120"/>
        <v>0</v>
      </c>
    </row>
    <row r="7740" spans="1:14" x14ac:dyDescent="0.35">
      <c r="A7740">
        <v>7739</v>
      </c>
      <c r="B7740" t="s">
        <v>12</v>
      </c>
      <c r="C7740">
        <v>22</v>
      </c>
      <c r="D7740" t="s">
        <v>29</v>
      </c>
      <c r="E7740" t="s">
        <v>22</v>
      </c>
      <c r="F7740">
        <v>170</v>
      </c>
      <c r="G7740">
        <v>12</v>
      </c>
      <c r="H7740">
        <v>0.52</v>
      </c>
      <c r="I7740" t="s">
        <v>23</v>
      </c>
      <c r="J7740">
        <v>0</v>
      </c>
      <c r="K7740">
        <v>1</v>
      </c>
      <c r="L7740">
        <v>0</v>
      </c>
      <c r="M7740">
        <f>VLOOKUP(Table1[[#This Row],[subscription_type]],Plans!$A$1:$B$5,2,FALSE)</f>
        <v>9.99</v>
      </c>
      <c r="N7740">
        <f t="shared" si="120"/>
        <v>0</v>
      </c>
    </row>
    <row r="7741" spans="1:14" x14ac:dyDescent="0.35">
      <c r="A7741">
        <v>7740</v>
      </c>
      <c r="B7741" t="s">
        <v>16</v>
      </c>
      <c r="C7741">
        <v>57</v>
      </c>
      <c r="D7741" t="s">
        <v>25</v>
      </c>
      <c r="E7741" t="s">
        <v>24</v>
      </c>
      <c r="F7741">
        <v>221</v>
      </c>
      <c r="G7741">
        <v>22</v>
      </c>
      <c r="H7741">
        <v>0.56999999999999995</v>
      </c>
      <c r="I7741" t="s">
        <v>23</v>
      </c>
      <c r="J7741">
        <v>0</v>
      </c>
      <c r="K7741">
        <v>1</v>
      </c>
      <c r="L7741">
        <v>0</v>
      </c>
      <c r="M7741">
        <f>VLOOKUP(Table1[[#This Row],[subscription_type]],Plans!$A$1:$B$5,2,FALSE)</f>
        <v>4.99</v>
      </c>
      <c r="N7741">
        <f t="shared" si="120"/>
        <v>0</v>
      </c>
    </row>
    <row r="7742" spans="1:14" x14ac:dyDescent="0.35">
      <c r="A7742">
        <v>7741</v>
      </c>
      <c r="B7742" t="s">
        <v>16</v>
      </c>
      <c r="C7742">
        <v>52</v>
      </c>
      <c r="D7742" t="s">
        <v>13</v>
      </c>
      <c r="E7742" t="s">
        <v>18</v>
      </c>
      <c r="F7742">
        <v>49</v>
      </c>
      <c r="G7742">
        <v>62</v>
      </c>
      <c r="H7742">
        <v>0.37</v>
      </c>
      <c r="I7742" t="s">
        <v>23</v>
      </c>
      <c r="J7742">
        <v>0</v>
      </c>
      <c r="K7742">
        <v>1</v>
      </c>
      <c r="L7742">
        <v>0</v>
      </c>
      <c r="M7742">
        <f>VLOOKUP(Table1[[#This Row],[subscription_type]],Plans!$A$1:$B$5,2,FALSE)</f>
        <v>14.99</v>
      </c>
      <c r="N7742">
        <f t="shared" si="120"/>
        <v>0</v>
      </c>
    </row>
    <row r="7743" spans="1:14" x14ac:dyDescent="0.35">
      <c r="A7743">
        <v>7742</v>
      </c>
      <c r="B7743" t="s">
        <v>16</v>
      </c>
      <c r="C7743">
        <v>51</v>
      </c>
      <c r="D7743" t="s">
        <v>25</v>
      </c>
      <c r="E7743" t="s">
        <v>24</v>
      </c>
      <c r="F7743">
        <v>217</v>
      </c>
      <c r="G7743">
        <v>92</v>
      </c>
      <c r="H7743">
        <v>0.34</v>
      </c>
      <c r="I7743" t="s">
        <v>19</v>
      </c>
      <c r="J7743">
        <v>0</v>
      </c>
      <c r="K7743">
        <v>1</v>
      </c>
      <c r="L7743">
        <v>0</v>
      </c>
      <c r="M7743">
        <f>VLOOKUP(Table1[[#This Row],[subscription_type]],Plans!$A$1:$B$5,2,FALSE)</f>
        <v>4.99</v>
      </c>
      <c r="N7743">
        <f t="shared" si="120"/>
        <v>0</v>
      </c>
    </row>
    <row r="7744" spans="1:14" x14ac:dyDescent="0.35">
      <c r="A7744">
        <v>7743</v>
      </c>
      <c r="B7744" t="s">
        <v>16</v>
      </c>
      <c r="C7744">
        <v>16</v>
      </c>
      <c r="D7744" t="s">
        <v>29</v>
      </c>
      <c r="E7744" t="s">
        <v>22</v>
      </c>
      <c r="F7744">
        <v>138</v>
      </c>
      <c r="G7744">
        <v>99</v>
      </c>
      <c r="H7744">
        <v>0.46</v>
      </c>
      <c r="I7744" t="s">
        <v>23</v>
      </c>
      <c r="J7744">
        <v>0</v>
      </c>
      <c r="K7744">
        <v>1</v>
      </c>
      <c r="L7744">
        <v>0</v>
      </c>
      <c r="M7744">
        <f>VLOOKUP(Table1[[#This Row],[subscription_type]],Plans!$A$1:$B$5,2,FALSE)</f>
        <v>9.99</v>
      </c>
      <c r="N7744">
        <f t="shared" si="120"/>
        <v>0</v>
      </c>
    </row>
    <row r="7745" spans="1:14" x14ac:dyDescent="0.35">
      <c r="A7745">
        <v>7744</v>
      </c>
      <c r="B7745" t="s">
        <v>20</v>
      </c>
      <c r="C7745">
        <v>41</v>
      </c>
      <c r="D7745" t="s">
        <v>29</v>
      </c>
      <c r="E7745" t="s">
        <v>14</v>
      </c>
      <c r="F7745">
        <v>267</v>
      </c>
      <c r="G7745">
        <v>75</v>
      </c>
      <c r="H7745">
        <v>0.43</v>
      </c>
      <c r="I7745" t="s">
        <v>15</v>
      </c>
      <c r="J7745">
        <v>15</v>
      </c>
      <c r="K7745">
        <v>0</v>
      </c>
      <c r="L7745">
        <v>0</v>
      </c>
      <c r="M7745">
        <f>VLOOKUP(Table1[[#This Row],[subscription_type]],Plans!$A$1:$B$5,2,FALSE)</f>
        <v>0</v>
      </c>
      <c r="N7745">
        <f t="shared" si="120"/>
        <v>0</v>
      </c>
    </row>
    <row r="7746" spans="1:14" x14ac:dyDescent="0.35">
      <c r="A7746">
        <v>7745</v>
      </c>
      <c r="B7746" t="s">
        <v>16</v>
      </c>
      <c r="C7746">
        <v>58</v>
      </c>
      <c r="D7746" t="s">
        <v>28</v>
      </c>
      <c r="E7746" t="s">
        <v>14</v>
      </c>
      <c r="F7746">
        <v>83</v>
      </c>
      <c r="G7746">
        <v>50</v>
      </c>
      <c r="H7746">
        <v>0.12</v>
      </c>
      <c r="I7746" t="s">
        <v>19</v>
      </c>
      <c r="J7746">
        <v>8</v>
      </c>
      <c r="K7746">
        <v>0</v>
      </c>
      <c r="L7746">
        <v>0</v>
      </c>
      <c r="M7746">
        <f>VLOOKUP(Table1[[#This Row],[subscription_type]],Plans!$A$1:$B$5,2,FALSE)</f>
        <v>0</v>
      </c>
      <c r="N7746">
        <f t="shared" ref="N7746:N7809" si="121">IF(L7746=1, M7746,0)</f>
        <v>0</v>
      </c>
    </row>
    <row r="7747" spans="1:14" x14ac:dyDescent="0.35">
      <c r="A7747">
        <v>7746</v>
      </c>
      <c r="B7747" t="s">
        <v>12</v>
      </c>
      <c r="C7747">
        <v>38</v>
      </c>
      <c r="D7747" t="s">
        <v>17</v>
      </c>
      <c r="E7747" t="s">
        <v>24</v>
      </c>
      <c r="F7747">
        <v>142</v>
      </c>
      <c r="G7747">
        <v>80</v>
      </c>
      <c r="H7747">
        <v>0.35</v>
      </c>
      <c r="I7747" t="s">
        <v>15</v>
      </c>
      <c r="J7747">
        <v>0</v>
      </c>
      <c r="K7747">
        <v>1</v>
      </c>
      <c r="L7747">
        <v>0</v>
      </c>
      <c r="M7747">
        <f>VLOOKUP(Table1[[#This Row],[subscription_type]],Plans!$A$1:$B$5,2,FALSE)</f>
        <v>4.99</v>
      </c>
      <c r="N7747">
        <f t="shared" si="121"/>
        <v>0</v>
      </c>
    </row>
    <row r="7748" spans="1:14" x14ac:dyDescent="0.35">
      <c r="A7748">
        <v>7747</v>
      </c>
      <c r="B7748" t="s">
        <v>16</v>
      </c>
      <c r="C7748">
        <v>25</v>
      </c>
      <c r="D7748" t="s">
        <v>21</v>
      </c>
      <c r="E7748" t="s">
        <v>22</v>
      </c>
      <c r="F7748">
        <v>50</v>
      </c>
      <c r="G7748">
        <v>63</v>
      </c>
      <c r="H7748">
        <v>0.28000000000000003</v>
      </c>
      <c r="I7748" t="s">
        <v>19</v>
      </c>
      <c r="J7748">
        <v>0</v>
      </c>
      <c r="K7748">
        <v>1</v>
      </c>
      <c r="L7748">
        <v>1</v>
      </c>
      <c r="M7748">
        <f>VLOOKUP(Table1[[#This Row],[subscription_type]],Plans!$A$1:$B$5,2,FALSE)</f>
        <v>9.99</v>
      </c>
      <c r="N7748">
        <f t="shared" si="121"/>
        <v>9.99</v>
      </c>
    </row>
    <row r="7749" spans="1:14" x14ac:dyDescent="0.35">
      <c r="A7749">
        <v>7748</v>
      </c>
      <c r="B7749" t="s">
        <v>12</v>
      </c>
      <c r="C7749">
        <v>34</v>
      </c>
      <c r="D7749" t="s">
        <v>26</v>
      </c>
      <c r="E7749" t="s">
        <v>14</v>
      </c>
      <c r="F7749">
        <v>12</v>
      </c>
      <c r="G7749">
        <v>1</v>
      </c>
      <c r="H7749">
        <v>0.42</v>
      </c>
      <c r="I7749" t="s">
        <v>15</v>
      </c>
      <c r="J7749">
        <v>29</v>
      </c>
      <c r="K7749">
        <v>0</v>
      </c>
      <c r="L7749">
        <v>1</v>
      </c>
      <c r="M7749">
        <f>VLOOKUP(Table1[[#This Row],[subscription_type]],Plans!$A$1:$B$5,2,FALSE)</f>
        <v>0</v>
      </c>
      <c r="N7749">
        <f t="shared" si="121"/>
        <v>0</v>
      </c>
    </row>
    <row r="7750" spans="1:14" x14ac:dyDescent="0.35">
      <c r="A7750">
        <v>7749</v>
      </c>
      <c r="B7750" t="s">
        <v>16</v>
      </c>
      <c r="C7750">
        <v>30</v>
      </c>
      <c r="D7750" t="s">
        <v>27</v>
      </c>
      <c r="E7750" t="s">
        <v>14</v>
      </c>
      <c r="F7750">
        <v>118</v>
      </c>
      <c r="G7750">
        <v>21</v>
      </c>
      <c r="H7750">
        <v>0.33</v>
      </c>
      <c r="I7750" t="s">
        <v>23</v>
      </c>
      <c r="J7750">
        <v>49</v>
      </c>
      <c r="K7750">
        <v>0</v>
      </c>
      <c r="L7750">
        <v>1</v>
      </c>
      <c r="M7750">
        <f>VLOOKUP(Table1[[#This Row],[subscription_type]],Plans!$A$1:$B$5,2,FALSE)</f>
        <v>0</v>
      </c>
      <c r="N7750">
        <f t="shared" si="121"/>
        <v>0</v>
      </c>
    </row>
    <row r="7751" spans="1:14" x14ac:dyDescent="0.35">
      <c r="A7751">
        <v>7750</v>
      </c>
      <c r="B7751" t="s">
        <v>20</v>
      </c>
      <c r="C7751">
        <v>44</v>
      </c>
      <c r="D7751" t="s">
        <v>26</v>
      </c>
      <c r="E7751" t="s">
        <v>22</v>
      </c>
      <c r="F7751">
        <v>74</v>
      </c>
      <c r="G7751">
        <v>4</v>
      </c>
      <c r="H7751">
        <v>0.05</v>
      </c>
      <c r="I7751" t="s">
        <v>23</v>
      </c>
      <c r="J7751">
        <v>0</v>
      </c>
      <c r="K7751">
        <v>1</v>
      </c>
      <c r="L7751">
        <v>0</v>
      </c>
      <c r="M7751">
        <f>VLOOKUP(Table1[[#This Row],[subscription_type]],Plans!$A$1:$B$5,2,FALSE)</f>
        <v>9.99</v>
      </c>
      <c r="N7751">
        <f t="shared" si="121"/>
        <v>0</v>
      </c>
    </row>
    <row r="7752" spans="1:14" x14ac:dyDescent="0.35">
      <c r="A7752">
        <v>7751</v>
      </c>
      <c r="B7752" t="s">
        <v>16</v>
      </c>
      <c r="C7752">
        <v>33</v>
      </c>
      <c r="D7752" t="s">
        <v>17</v>
      </c>
      <c r="E7752" t="s">
        <v>18</v>
      </c>
      <c r="F7752">
        <v>176</v>
      </c>
      <c r="G7752">
        <v>66</v>
      </c>
      <c r="H7752">
        <v>0.38</v>
      </c>
      <c r="I7752" t="s">
        <v>23</v>
      </c>
      <c r="J7752">
        <v>0</v>
      </c>
      <c r="K7752">
        <v>1</v>
      </c>
      <c r="L7752">
        <v>0</v>
      </c>
      <c r="M7752">
        <f>VLOOKUP(Table1[[#This Row],[subscription_type]],Plans!$A$1:$B$5,2,FALSE)</f>
        <v>14.99</v>
      </c>
      <c r="N7752">
        <f t="shared" si="121"/>
        <v>0</v>
      </c>
    </row>
    <row r="7753" spans="1:14" x14ac:dyDescent="0.35">
      <c r="A7753">
        <v>7752</v>
      </c>
      <c r="B7753" t="s">
        <v>20</v>
      </c>
      <c r="C7753">
        <v>27</v>
      </c>
      <c r="D7753" t="s">
        <v>29</v>
      </c>
      <c r="E7753" t="s">
        <v>24</v>
      </c>
      <c r="F7753">
        <v>156</v>
      </c>
      <c r="G7753">
        <v>61</v>
      </c>
      <c r="H7753">
        <v>0.23</v>
      </c>
      <c r="I7753" t="s">
        <v>19</v>
      </c>
      <c r="J7753">
        <v>0</v>
      </c>
      <c r="K7753">
        <v>1</v>
      </c>
      <c r="L7753">
        <v>1</v>
      </c>
      <c r="M7753">
        <f>VLOOKUP(Table1[[#This Row],[subscription_type]],Plans!$A$1:$B$5,2,FALSE)</f>
        <v>4.99</v>
      </c>
      <c r="N7753">
        <f t="shared" si="121"/>
        <v>4.99</v>
      </c>
    </row>
    <row r="7754" spans="1:14" x14ac:dyDescent="0.35">
      <c r="A7754">
        <v>7753</v>
      </c>
      <c r="B7754" t="s">
        <v>20</v>
      </c>
      <c r="C7754">
        <v>17</v>
      </c>
      <c r="D7754" t="s">
        <v>27</v>
      </c>
      <c r="E7754" t="s">
        <v>18</v>
      </c>
      <c r="F7754">
        <v>61</v>
      </c>
      <c r="G7754">
        <v>91</v>
      </c>
      <c r="H7754">
        <v>0.6</v>
      </c>
      <c r="I7754" t="s">
        <v>15</v>
      </c>
      <c r="J7754">
        <v>0</v>
      </c>
      <c r="K7754">
        <v>1</v>
      </c>
      <c r="L7754">
        <v>0</v>
      </c>
      <c r="M7754">
        <f>VLOOKUP(Table1[[#This Row],[subscription_type]],Plans!$A$1:$B$5,2,FALSE)</f>
        <v>14.99</v>
      </c>
      <c r="N7754">
        <f t="shared" si="121"/>
        <v>0</v>
      </c>
    </row>
    <row r="7755" spans="1:14" x14ac:dyDescent="0.35">
      <c r="A7755">
        <v>7754</v>
      </c>
      <c r="B7755" t="s">
        <v>12</v>
      </c>
      <c r="C7755">
        <v>32</v>
      </c>
      <c r="D7755" t="s">
        <v>13</v>
      </c>
      <c r="E7755" t="s">
        <v>22</v>
      </c>
      <c r="F7755">
        <v>90</v>
      </c>
      <c r="G7755">
        <v>86</v>
      </c>
      <c r="H7755">
        <v>0.42</v>
      </c>
      <c r="I7755" t="s">
        <v>19</v>
      </c>
      <c r="J7755">
        <v>0</v>
      </c>
      <c r="K7755">
        <v>1</v>
      </c>
      <c r="L7755">
        <v>0</v>
      </c>
      <c r="M7755">
        <f>VLOOKUP(Table1[[#This Row],[subscription_type]],Plans!$A$1:$B$5,2,FALSE)</f>
        <v>9.99</v>
      </c>
      <c r="N7755">
        <f t="shared" si="121"/>
        <v>0</v>
      </c>
    </row>
    <row r="7756" spans="1:14" x14ac:dyDescent="0.35">
      <c r="A7756">
        <v>7755</v>
      </c>
      <c r="B7756" t="s">
        <v>20</v>
      </c>
      <c r="C7756">
        <v>38</v>
      </c>
      <c r="D7756" t="s">
        <v>27</v>
      </c>
      <c r="E7756" t="s">
        <v>14</v>
      </c>
      <c r="F7756">
        <v>61</v>
      </c>
      <c r="G7756">
        <v>8</v>
      </c>
      <c r="H7756">
        <v>0.16</v>
      </c>
      <c r="I7756" t="s">
        <v>15</v>
      </c>
      <c r="J7756">
        <v>26</v>
      </c>
      <c r="K7756">
        <v>0</v>
      </c>
      <c r="L7756">
        <v>0</v>
      </c>
      <c r="M7756">
        <f>VLOOKUP(Table1[[#This Row],[subscription_type]],Plans!$A$1:$B$5,2,FALSE)</f>
        <v>0</v>
      </c>
      <c r="N7756">
        <f t="shared" si="121"/>
        <v>0</v>
      </c>
    </row>
    <row r="7757" spans="1:14" x14ac:dyDescent="0.35">
      <c r="A7757">
        <v>7756</v>
      </c>
      <c r="B7757" t="s">
        <v>16</v>
      </c>
      <c r="C7757">
        <v>55</v>
      </c>
      <c r="D7757" t="s">
        <v>27</v>
      </c>
      <c r="E7757" t="s">
        <v>14</v>
      </c>
      <c r="F7757">
        <v>251</v>
      </c>
      <c r="G7757">
        <v>96</v>
      </c>
      <c r="H7757">
        <v>0.11</v>
      </c>
      <c r="I7757" t="s">
        <v>19</v>
      </c>
      <c r="J7757">
        <v>48</v>
      </c>
      <c r="K7757">
        <v>0</v>
      </c>
      <c r="L7757">
        <v>0</v>
      </c>
      <c r="M7757">
        <f>VLOOKUP(Table1[[#This Row],[subscription_type]],Plans!$A$1:$B$5,2,FALSE)</f>
        <v>0</v>
      </c>
      <c r="N7757">
        <f t="shared" si="121"/>
        <v>0</v>
      </c>
    </row>
    <row r="7758" spans="1:14" x14ac:dyDescent="0.35">
      <c r="A7758">
        <v>7757</v>
      </c>
      <c r="B7758" t="s">
        <v>16</v>
      </c>
      <c r="C7758">
        <v>28</v>
      </c>
      <c r="D7758" t="s">
        <v>13</v>
      </c>
      <c r="E7758" t="s">
        <v>14</v>
      </c>
      <c r="F7758">
        <v>277</v>
      </c>
      <c r="G7758">
        <v>85</v>
      </c>
      <c r="H7758">
        <v>0.15</v>
      </c>
      <c r="I7758" t="s">
        <v>19</v>
      </c>
      <c r="J7758">
        <v>9</v>
      </c>
      <c r="K7758">
        <v>0</v>
      </c>
      <c r="L7758">
        <v>0</v>
      </c>
      <c r="M7758">
        <f>VLOOKUP(Table1[[#This Row],[subscription_type]],Plans!$A$1:$B$5,2,FALSE)</f>
        <v>0</v>
      </c>
      <c r="N7758">
        <f t="shared" si="121"/>
        <v>0</v>
      </c>
    </row>
    <row r="7759" spans="1:14" x14ac:dyDescent="0.35">
      <c r="A7759">
        <v>7758</v>
      </c>
      <c r="B7759" t="s">
        <v>12</v>
      </c>
      <c r="C7759">
        <v>41</v>
      </c>
      <c r="D7759" t="s">
        <v>21</v>
      </c>
      <c r="E7759" t="s">
        <v>24</v>
      </c>
      <c r="F7759">
        <v>216</v>
      </c>
      <c r="G7759">
        <v>99</v>
      </c>
      <c r="H7759">
        <v>0.1</v>
      </c>
      <c r="I7759" t="s">
        <v>19</v>
      </c>
      <c r="J7759">
        <v>0</v>
      </c>
      <c r="K7759">
        <v>1</v>
      </c>
      <c r="L7759">
        <v>0</v>
      </c>
      <c r="M7759">
        <f>VLOOKUP(Table1[[#This Row],[subscription_type]],Plans!$A$1:$B$5,2,FALSE)</f>
        <v>4.99</v>
      </c>
      <c r="N7759">
        <f t="shared" si="121"/>
        <v>0</v>
      </c>
    </row>
    <row r="7760" spans="1:14" x14ac:dyDescent="0.35">
      <c r="A7760">
        <v>7759</v>
      </c>
      <c r="B7760" t="s">
        <v>20</v>
      </c>
      <c r="C7760">
        <v>32</v>
      </c>
      <c r="D7760" t="s">
        <v>25</v>
      </c>
      <c r="E7760" t="s">
        <v>22</v>
      </c>
      <c r="F7760">
        <v>116</v>
      </c>
      <c r="G7760">
        <v>43</v>
      </c>
      <c r="H7760">
        <v>0.21</v>
      </c>
      <c r="I7760" t="s">
        <v>15</v>
      </c>
      <c r="J7760">
        <v>0</v>
      </c>
      <c r="K7760">
        <v>1</v>
      </c>
      <c r="L7760">
        <v>1</v>
      </c>
      <c r="M7760">
        <f>VLOOKUP(Table1[[#This Row],[subscription_type]],Plans!$A$1:$B$5,2,FALSE)</f>
        <v>9.99</v>
      </c>
      <c r="N7760">
        <f t="shared" si="121"/>
        <v>9.99</v>
      </c>
    </row>
    <row r="7761" spans="1:14" x14ac:dyDescent="0.35">
      <c r="A7761">
        <v>7760</v>
      </c>
      <c r="B7761" t="s">
        <v>12</v>
      </c>
      <c r="C7761">
        <v>43</v>
      </c>
      <c r="D7761" t="s">
        <v>29</v>
      </c>
      <c r="E7761" t="s">
        <v>24</v>
      </c>
      <c r="F7761">
        <v>272</v>
      </c>
      <c r="G7761">
        <v>95</v>
      </c>
      <c r="H7761">
        <v>0.38</v>
      </c>
      <c r="I7761" t="s">
        <v>23</v>
      </c>
      <c r="J7761">
        <v>0</v>
      </c>
      <c r="K7761">
        <v>1</v>
      </c>
      <c r="L7761">
        <v>0</v>
      </c>
      <c r="M7761">
        <f>VLOOKUP(Table1[[#This Row],[subscription_type]],Plans!$A$1:$B$5,2,FALSE)</f>
        <v>4.99</v>
      </c>
      <c r="N7761">
        <f t="shared" si="121"/>
        <v>0</v>
      </c>
    </row>
    <row r="7762" spans="1:14" x14ac:dyDescent="0.35">
      <c r="A7762">
        <v>7761</v>
      </c>
      <c r="B7762" t="s">
        <v>16</v>
      </c>
      <c r="C7762">
        <v>53</v>
      </c>
      <c r="D7762" t="s">
        <v>17</v>
      </c>
      <c r="E7762" t="s">
        <v>18</v>
      </c>
      <c r="F7762">
        <v>245</v>
      </c>
      <c r="G7762">
        <v>29</v>
      </c>
      <c r="H7762">
        <v>0.48</v>
      </c>
      <c r="I7762" t="s">
        <v>19</v>
      </c>
      <c r="J7762">
        <v>0</v>
      </c>
      <c r="K7762">
        <v>1</v>
      </c>
      <c r="L7762">
        <v>0</v>
      </c>
      <c r="M7762">
        <f>VLOOKUP(Table1[[#This Row],[subscription_type]],Plans!$A$1:$B$5,2,FALSE)</f>
        <v>14.99</v>
      </c>
      <c r="N7762">
        <f t="shared" si="121"/>
        <v>0</v>
      </c>
    </row>
    <row r="7763" spans="1:14" x14ac:dyDescent="0.35">
      <c r="A7763">
        <v>7762</v>
      </c>
      <c r="B7763" t="s">
        <v>20</v>
      </c>
      <c r="C7763">
        <v>39</v>
      </c>
      <c r="D7763" t="s">
        <v>27</v>
      </c>
      <c r="E7763" t="s">
        <v>22</v>
      </c>
      <c r="F7763">
        <v>116</v>
      </c>
      <c r="G7763">
        <v>7</v>
      </c>
      <c r="H7763">
        <v>0.04</v>
      </c>
      <c r="I7763" t="s">
        <v>15</v>
      </c>
      <c r="J7763">
        <v>0</v>
      </c>
      <c r="K7763">
        <v>1</v>
      </c>
      <c r="L7763">
        <v>1</v>
      </c>
      <c r="M7763">
        <f>VLOOKUP(Table1[[#This Row],[subscription_type]],Plans!$A$1:$B$5,2,FALSE)</f>
        <v>9.99</v>
      </c>
      <c r="N7763">
        <f t="shared" si="121"/>
        <v>9.99</v>
      </c>
    </row>
    <row r="7764" spans="1:14" x14ac:dyDescent="0.35">
      <c r="A7764">
        <v>7763</v>
      </c>
      <c r="B7764" t="s">
        <v>12</v>
      </c>
      <c r="C7764">
        <v>48</v>
      </c>
      <c r="D7764" t="s">
        <v>26</v>
      </c>
      <c r="E7764" t="s">
        <v>22</v>
      </c>
      <c r="F7764">
        <v>151</v>
      </c>
      <c r="G7764">
        <v>93</v>
      </c>
      <c r="H7764">
        <v>0.31</v>
      </c>
      <c r="I7764" t="s">
        <v>15</v>
      </c>
      <c r="J7764">
        <v>0</v>
      </c>
      <c r="K7764">
        <v>1</v>
      </c>
      <c r="L7764">
        <v>0</v>
      </c>
      <c r="M7764">
        <f>VLOOKUP(Table1[[#This Row],[subscription_type]],Plans!$A$1:$B$5,2,FALSE)</f>
        <v>9.99</v>
      </c>
      <c r="N7764">
        <f t="shared" si="121"/>
        <v>0</v>
      </c>
    </row>
    <row r="7765" spans="1:14" x14ac:dyDescent="0.35">
      <c r="A7765">
        <v>7764</v>
      </c>
      <c r="B7765" t="s">
        <v>16</v>
      </c>
      <c r="C7765">
        <v>36</v>
      </c>
      <c r="D7765" t="s">
        <v>25</v>
      </c>
      <c r="E7765" t="s">
        <v>24</v>
      </c>
      <c r="F7765">
        <v>12</v>
      </c>
      <c r="G7765">
        <v>98</v>
      </c>
      <c r="H7765">
        <v>0.28999999999999998</v>
      </c>
      <c r="I7765" t="s">
        <v>19</v>
      </c>
      <c r="J7765">
        <v>0</v>
      </c>
      <c r="K7765">
        <v>1</v>
      </c>
      <c r="L7765">
        <v>0</v>
      </c>
      <c r="M7765">
        <f>VLOOKUP(Table1[[#This Row],[subscription_type]],Plans!$A$1:$B$5,2,FALSE)</f>
        <v>4.99</v>
      </c>
      <c r="N7765">
        <f t="shared" si="121"/>
        <v>0</v>
      </c>
    </row>
    <row r="7766" spans="1:14" x14ac:dyDescent="0.35">
      <c r="A7766">
        <v>7765</v>
      </c>
      <c r="B7766" t="s">
        <v>20</v>
      </c>
      <c r="C7766">
        <v>40</v>
      </c>
      <c r="D7766" t="s">
        <v>28</v>
      </c>
      <c r="E7766" t="s">
        <v>18</v>
      </c>
      <c r="F7766">
        <v>67</v>
      </c>
      <c r="G7766">
        <v>91</v>
      </c>
      <c r="H7766">
        <v>0.14000000000000001</v>
      </c>
      <c r="I7766" t="s">
        <v>23</v>
      </c>
      <c r="J7766">
        <v>0</v>
      </c>
      <c r="K7766">
        <v>1</v>
      </c>
      <c r="L7766">
        <v>0</v>
      </c>
      <c r="M7766">
        <f>VLOOKUP(Table1[[#This Row],[subscription_type]],Plans!$A$1:$B$5,2,FALSE)</f>
        <v>14.99</v>
      </c>
      <c r="N7766">
        <f t="shared" si="121"/>
        <v>0</v>
      </c>
    </row>
    <row r="7767" spans="1:14" x14ac:dyDescent="0.35">
      <c r="A7767">
        <v>7766</v>
      </c>
      <c r="B7767" t="s">
        <v>12</v>
      </c>
      <c r="C7767">
        <v>25</v>
      </c>
      <c r="D7767" t="s">
        <v>26</v>
      </c>
      <c r="E7767" t="s">
        <v>14</v>
      </c>
      <c r="F7767">
        <v>120</v>
      </c>
      <c r="G7767">
        <v>43</v>
      </c>
      <c r="H7767">
        <v>0.15</v>
      </c>
      <c r="I7767" t="s">
        <v>19</v>
      </c>
      <c r="J7767">
        <v>11</v>
      </c>
      <c r="K7767">
        <v>0</v>
      </c>
      <c r="L7767">
        <v>0</v>
      </c>
      <c r="M7767">
        <f>VLOOKUP(Table1[[#This Row],[subscription_type]],Plans!$A$1:$B$5,2,FALSE)</f>
        <v>0</v>
      </c>
      <c r="N7767">
        <f t="shared" si="121"/>
        <v>0</v>
      </c>
    </row>
    <row r="7768" spans="1:14" x14ac:dyDescent="0.35">
      <c r="A7768">
        <v>7767</v>
      </c>
      <c r="B7768" t="s">
        <v>16</v>
      </c>
      <c r="C7768">
        <v>35</v>
      </c>
      <c r="D7768" t="s">
        <v>25</v>
      </c>
      <c r="E7768" t="s">
        <v>22</v>
      </c>
      <c r="F7768">
        <v>135</v>
      </c>
      <c r="G7768">
        <v>88</v>
      </c>
      <c r="H7768">
        <v>0.2</v>
      </c>
      <c r="I7768" t="s">
        <v>15</v>
      </c>
      <c r="J7768">
        <v>0</v>
      </c>
      <c r="K7768">
        <v>1</v>
      </c>
      <c r="L7768">
        <v>0</v>
      </c>
      <c r="M7768">
        <f>VLOOKUP(Table1[[#This Row],[subscription_type]],Plans!$A$1:$B$5,2,FALSE)</f>
        <v>9.99</v>
      </c>
      <c r="N7768">
        <f t="shared" si="121"/>
        <v>0</v>
      </c>
    </row>
    <row r="7769" spans="1:14" x14ac:dyDescent="0.35">
      <c r="A7769">
        <v>7768</v>
      </c>
      <c r="B7769" t="s">
        <v>20</v>
      </c>
      <c r="C7769">
        <v>16</v>
      </c>
      <c r="D7769" t="s">
        <v>26</v>
      </c>
      <c r="E7769" t="s">
        <v>14</v>
      </c>
      <c r="F7769">
        <v>113</v>
      </c>
      <c r="G7769">
        <v>7</v>
      </c>
      <c r="H7769">
        <v>0.22</v>
      </c>
      <c r="I7769" t="s">
        <v>15</v>
      </c>
      <c r="J7769">
        <v>15</v>
      </c>
      <c r="K7769">
        <v>0</v>
      </c>
      <c r="L7769">
        <v>0</v>
      </c>
      <c r="M7769">
        <f>VLOOKUP(Table1[[#This Row],[subscription_type]],Plans!$A$1:$B$5,2,FALSE)</f>
        <v>0</v>
      </c>
      <c r="N7769">
        <f t="shared" si="121"/>
        <v>0</v>
      </c>
    </row>
    <row r="7770" spans="1:14" x14ac:dyDescent="0.35">
      <c r="A7770">
        <v>7769</v>
      </c>
      <c r="B7770" t="s">
        <v>16</v>
      </c>
      <c r="C7770">
        <v>26</v>
      </c>
      <c r="D7770" t="s">
        <v>25</v>
      </c>
      <c r="E7770" t="s">
        <v>14</v>
      </c>
      <c r="F7770">
        <v>119</v>
      </c>
      <c r="G7770">
        <v>39</v>
      </c>
      <c r="H7770">
        <v>0.52</v>
      </c>
      <c r="I7770" t="s">
        <v>23</v>
      </c>
      <c r="J7770">
        <v>6</v>
      </c>
      <c r="K7770">
        <v>0</v>
      </c>
      <c r="L7770">
        <v>0</v>
      </c>
      <c r="M7770">
        <f>VLOOKUP(Table1[[#This Row],[subscription_type]],Plans!$A$1:$B$5,2,FALSE)</f>
        <v>0</v>
      </c>
      <c r="N7770">
        <f t="shared" si="121"/>
        <v>0</v>
      </c>
    </row>
    <row r="7771" spans="1:14" x14ac:dyDescent="0.35">
      <c r="A7771">
        <v>7770</v>
      </c>
      <c r="B7771" t="s">
        <v>12</v>
      </c>
      <c r="C7771">
        <v>18</v>
      </c>
      <c r="D7771" t="s">
        <v>13</v>
      </c>
      <c r="E7771" t="s">
        <v>22</v>
      </c>
      <c r="F7771">
        <v>218</v>
      </c>
      <c r="G7771">
        <v>13</v>
      </c>
      <c r="H7771">
        <v>0.23</v>
      </c>
      <c r="I7771" t="s">
        <v>15</v>
      </c>
      <c r="J7771">
        <v>0</v>
      </c>
      <c r="K7771">
        <v>1</v>
      </c>
      <c r="L7771">
        <v>0</v>
      </c>
      <c r="M7771">
        <f>VLOOKUP(Table1[[#This Row],[subscription_type]],Plans!$A$1:$B$5,2,FALSE)</f>
        <v>9.99</v>
      </c>
      <c r="N7771">
        <f t="shared" si="121"/>
        <v>0</v>
      </c>
    </row>
    <row r="7772" spans="1:14" x14ac:dyDescent="0.35">
      <c r="A7772">
        <v>7771</v>
      </c>
      <c r="B7772" t="s">
        <v>16</v>
      </c>
      <c r="C7772">
        <v>28</v>
      </c>
      <c r="D7772" t="s">
        <v>17</v>
      </c>
      <c r="E7772" t="s">
        <v>14</v>
      </c>
      <c r="F7772">
        <v>207</v>
      </c>
      <c r="G7772">
        <v>56</v>
      </c>
      <c r="H7772">
        <v>0.2</v>
      </c>
      <c r="I7772" t="s">
        <v>23</v>
      </c>
      <c r="J7772">
        <v>6</v>
      </c>
      <c r="K7772">
        <v>0</v>
      </c>
      <c r="L7772">
        <v>1</v>
      </c>
      <c r="M7772">
        <f>VLOOKUP(Table1[[#This Row],[subscription_type]],Plans!$A$1:$B$5,2,FALSE)</f>
        <v>0</v>
      </c>
      <c r="N7772">
        <f t="shared" si="121"/>
        <v>0</v>
      </c>
    </row>
    <row r="7773" spans="1:14" x14ac:dyDescent="0.35">
      <c r="A7773">
        <v>7772</v>
      </c>
      <c r="B7773" t="s">
        <v>16</v>
      </c>
      <c r="C7773">
        <v>58</v>
      </c>
      <c r="D7773" t="s">
        <v>25</v>
      </c>
      <c r="E7773" t="s">
        <v>14</v>
      </c>
      <c r="F7773">
        <v>260</v>
      </c>
      <c r="G7773">
        <v>50</v>
      </c>
      <c r="H7773">
        <v>0.1</v>
      </c>
      <c r="I7773" t="s">
        <v>23</v>
      </c>
      <c r="J7773">
        <v>47</v>
      </c>
      <c r="K7773">
        <v>0</v>
      </c>
      <c r="L7773">
        <v>0</v>
      </c>
      <c r="M7773">
        <f>VLOOKUP(Table1[[#This Row],[subscription_type]],Plans!$A$1:$B$5,2,FALSE)</f>
        <v>0</v>
      </c>
      <c r="N7773">
        <f t="shared" si="121"/>
        <v>0</v>
      </c>
    </row>
    <row r="7774" spans="1:14" x14ac:dyDescent="0.35">
      <c r="A7774">
        <v>7773</v>
      </c>
      <c r="B7774" t="s">
        <v>20</v>
      </c>
      <c r="C7774">
        <v>58</v>
      </c>
      <c r="D7774" t="s">
        <v>25</v>
      </c>
      <c r="E7774" t="s">
        <v>22</v>
      </c>
      <c r="F7774">
        <v>254</v>
      </c>
      <c r="G7774">
        <v>21</v>
      </c>
      <c r="H7774">
        <v>0.3</v>
      </c>
      <c r="I7774" t="s">
        <v>15</v>
      </c>
      <c r="J7774">
        <v>0</v>
      </c>
      <c r="K7774">
        <v>1</v>
      </c>
      <c r="L7774">
        <v>0</v>
      </c>
      <c r="M7774">
        <f>VLOOKUP(Table1[[#This Row],[subscription_type]],Plans!$A$1:$B$5,2,FALSE)</f>
        <v>9.99</v>
      </c>
      <c r="N7774">
        <f t="shared" si="121"/>
        <v>0</v>
      </c>
    </row>
    <row r="7775" spans="1:14" x14ac:dyDescent="0.35">
      <c r="A7775">
        <v>7774</v>
      </c>
      <c r="B7775" t="s">
        <v>12</v>
      </c>
      <c r="C7775">
        <v>51</v>
      </c>
      <c r="D7775" t="s">
        <v>17</v>
      </c>
      <c r="E7775" t="s">
        <v>18</v>
      </c>
      <c r="F7775">
        <v>15</v>
      </c>
      <c r="G7775">
        <v>6</v>
      </c>
      <c r="H7775">
        <v>0.06</v>
      </c>
      <c r="I7775" t="s">
        <v>15</v>
      </c>
      <c r="J7775">
        <v>0</v>
      </c>
      <c r="K7775">
        <v>1</v>
      </c>
      <c r="L7775">
        <v>0</v>
      </c>
      <c r="M7775">
        <f>VLOOKUP(Table1[[#This Row],[subscription_type]],Plans!$A$1:$B$5,2,FALSE)</f>
        <v>14.99</v>
      </c>
      <c r="N7775">
        <f t="shared" si="121"/>
        <v>0</v>
      </c>
    </row>
    <row r="7776" spans="1:14" x14ac:dyDescent="0.35">
      <c r="A7776">
        <v>7775</v>
      </c>
      <c r="B7776" t="s">
        <v>16</v>
      </c>
      <c r="C7776">
        <v>46</v>
      </c>
      <c r="D7776" t="s">
        <v>28</v>
      </c>
      <c r="E7776" t="s">
        <v>18</v>
      </c>
      <c r="F7776">
        <v>15</v>
      </c>
      <c r="G7776">
        <v>60</v>
      </c>
      <c r="H7776">
        <v>0.55000000000000004</v>
      </c>
      <c r="I7776" t="s">
        <v>19</v>
      </c>
      <c r="J7776">
        <v>0</v>
      </c>
      <c r="K7776">
        <v>1</v>
      </c>
      <c r="L7776">
        <v>0</v>
      </c>
      <c r="M7776">
        <f>VLOOKUP(Table1[[#This Row],[subscription_type]],Plans!$A$1:$B$5,2,FALSE)</f>
        <v>14.99</v>
      </c>
      <c r="N7776">
        <f t="shared" si="121"/>
        <v>0</v>
      </c>
    </row>
    <row r="7777" spans="1:14" x14ac:dyDescent="0.35">
      <c r="A7777">
        <v>7776</v>
      </c>
      <c r="B7777" t="s">
        <v>20</v>
      </c>
      <c r="C7777">
        <v>39</v>
      </c>
      <c r="D7777" t="s">
        <v>26</v>
      </c>
      <c r="E7777" t="s">
        <v>14</v>
      </c>
      <c r="F7777">
        <v>114</v>
      </c>
      <c r="G7777">
        <v>90</v>
      </c>
      <c r="H7777">
        <v>0.37</v>
      </c>
      <c r="I7777" t="s">
        <v>23</v>
      </c>
      <c r="J7777">
        <v>30</v>
      </c>
      <c r="K7777">
        <v>0</v>
      </c>
      <c r="L7777">
        <v>0</v>
      </c>
      <c r="M7777">
        <f>VLOOKUP(Table1[[#This Row],[subscription_type]],Plans!$A$1:$B$5,2,FALSE)</f>
        <v>0</v>
      </c>
      <c r="N7777">
        <f t="shared" si="121"/>
        <v>0</v>
      </c>
    </row>
    <row r="7778" spans="1:14" x14ac:dyDescent="0.35">
      <c r="A7778">
        <v>7777</v>
      </c>
      <c r="B7778" t="s">
        <v>12</v>
      </c>
      <c r="C7778">
        <v>17</v>
      </c>
      <c r="D7778" t="s">
        <v>13</v>
      </c>
      <c r="E7778" t="s">
        <v>14</v>
      </c>
      <c r="F7778">
        <v>241</v>
      </c>
      <c r="G7778">
        <v>91</v>
      </c>
      <c r="H7778">
        <v>0.53</v>
      </c>
      <c r="I7778" t="s">
        <v>19</v>
      </c>
      <c r="J7778">
        <v>10</v>
      </c>
      <c r="K7778">
        <v>0</v>
      </c>
      <c r="L7778">
        <v>0</v>
      </c>
      <c r="M7778">
        <f>VLOOKUP(Table1[[#This Row],[subscription_type]],Plans!$A$1:$B$5,2,FALSE)</f>
        <v>0</v>
      </c>
      <c r="N7778">
        <f t="shared" si="121"/>
        <v>0</v>
      </c>
    </row>
    <row r="7779" spans="1:14" x14ac:dyDescent="0.35">
      <c r="A7779">
        <v>7778</v>
      </c>
      <c r="B7779" t="s">
        <v>20</v>
      </c>
      <c r="C7779">
        <v>27</v>
      </c>
      <c r="D7779" t="s">
        <v>13</v>
      </c>
      <c r="E7779" t="s">
        <v>22</v>
      </c>
      <c r="F7779">
        <v>250</v>
      </c>
      <c r="G7779">
        <v>39</v>
      </c>
      <c r="H7779">
        <v>0.51</v>
      </c>
      <c r="I7779" t="s">
        <v>19</v>
      </c>
      <c r="J7779">
        <v>0</v>
      </c>
      <c r="K7779">
        <v>1</v>
      </c>
      <c r="L7779">
        <v>0</v>
      </c>
      <c r="M7779">
        <f>VLOOKUP(Table1[[#This Row],[subscription_type]],Plans!$A$1:$B$5,2,FALSE)</f>
        <v>9.99</v>
      </c>
      <c r="N7779">
        <f t="shared" si="121"/>
        <v>0</v>
      </c>
    </row>
    <row r="7780" spans="1:14" x14ac:dyDescent="0.35">
      <c r="A7780">
        <v>7779</v>
      </c>
      <c r="B7780" t="s">
        <v>16</v>
      </c>
      <c r="C7780">
        <v>39</v>
      </c>
      <c r="D7780" t="s">
        <v>26</v>
      </c>
      <c r="E7780" t="s">
        <v>14</v>
      </c>
      <c r="F7780">
        <v>177</v>
      </c>
      <c r="G7780">
        <v>89</v>
      </c>
      <c r="H7780">
        <v>0.35</v>
      </c>
      <c r="I7780" t="s">
        <v>23</v>
      </c>
      <c r="J7780">
        <v>22</v>
      </c>
      <c r="K7780">
        <v>0</v>
      </c>
      <c r="L7780">
        <v>0</v>
      </c>
      <c r="M7780">
        <f>VLOOKUP(Table1[[#This Row],[subscription_type]],Plans!$A$1:$B$5,2,FALSE)</f>
        <v>0</v>
      </c>
      <c r="N7780">
        <f t="shared" si="121"/>
        <v>0</v>
      </c>
    </row>
    <row r="7781" spans="1:14" x14ac:dyDescent="0.35">
      <c r="A7781">
        <v>7780</v>
      </c>
      <c r="B7781" t="s">
        <v>16</v>
      </c>
      <c r="C7781">
        <v>53</v>
      </c>
      <c r="D7781" t="s">
        <v>29</v>
      </c>
      <c r="E7781" t="s">
        <v>24</v>
      </c>
      <c r="F7781">
        <v>293</v>
      </c>
      <c r="G7781">
        <v>18</v>
      </c>
      <c r="H7781">
        <v>0.23</v>
      </c>
      <c r="I7781" t="s">
        <v>23</v>
      </c>
      <c r="J7781">
        <v>0</v>
      </c>
      <c r="K7781">
        <v>1</v>
      </c>
      <c r="L7781">
        <v>0</v>
      </c>
      <c r="M7781">
        <f>VLOOKUP(Table1[[#This Row],[subscription_type]],Plans!$A$1:$B$5,2,FALSE)</f>
        <v>4.99</v>
      </c>
      <c r="N7781">
        <f t="shared" si="121"/>
        <v>0</v>
      </c>
    </row>
    <row r="7782" spans="1:14" x14ac:dyDescent="0.35">
      <c r="A7782">
        <v>7781</v>
      </c>
      <c r="B7782" t="s">
        <v>20</v>
      </c>
      <c r="C7782">
        <v>44</v>
      </c>
      <c r="D7782" t="s">
        <v>13</v>
      </c>
      <c r="E7782" t="s">
        <v>18</v>
      </c>
      <c r="F7782">
        <v>106</v>
      </c>
      <c r="G7782">
        <v>59</v>
      </c>
      <c r="H7782">
        <v>0.48</v>
      </c>
      <c r="I7782" t="s">
        <v>19</v>
      </c>
      <c r="J7782">
        <v>0</v>
      </c>
      <c r="K7782">
        <v>1</v>
      </c>
      <c r="L7782">
        <v>0</v>
      </c>
      <c r="M7782">
        <f>VLOOKUP(Table1[[#This Row],[subscription_type]],Plans!$A$1:$B$5,2,FALSE)</f>
        <v>14.99</v>
      </c>
      <c r="N7782">
        <f t="shared" si="121"/>
        <v>0</v>
      </c>
    </row>
    <row r="7783" spans="1:14" x14ac:dyDescent="0.35">
      <c r="A7783">
        <v>7782</v>
      </c>
      <c r="B7783" t="s">
        <v>16</v>
      </c>
      <c r="C7783">
        <v>41</v>
      </c>
      <c r="D7783" t="s">
        <v>28</v>
      </c>
      <c r="E7783" t="s">
        <v>18</v>
      </c>
      <c r="F7783">
        <v>150</v>
      </c>
      <c r="G7783">
        <v>51</v>
      </c>
      <c r="H7783">
        <v>0.55000000000000004</v>
      </c>
      <c r="I7783" t="s">
        <v>23</v>
      </c>
      <c r="J7783">
        <v>0</v>
      </c>
      <c r="K7783">
        <v>1</v>
      </c>
      <c r="L7783">
        <v>1</v>
      </c>
      <c r="M7783">
        <f>VLOOKUP(Table1[[#This Row],[subscription_type]],Plans!$A$1:$B$5,2,FALSE)</f>
        <v>14.99</v>
      </c>
      <c r="N7783">
        <f t="shared" si="121"/>
        <v>14.99</v>
      </c>
    </row>
    <row r="7784" spans="1:14" x14ac:dyDescent="0.35">
      <c r="A7784">
        <v>7783</v>
      </c>
      <c r="B7784" t="s">
        <v>20</v>
      </c>
      <c r="C7784">
        <v>45</v>
      </c>
      <c r="D7784" t="s">
        <v>21</v>
      </c>
      <c r="E7784" t="s">
        <v>14</v>
      </c>
      <c r="F7784">
        <v>94</v>
      </c>
      <c r="G7784">
        <v>13</v>
      </c>
      <c r="H7784">
        <v>0.57999999999999996</v>
      </c>
      <c r="I7784" t="s">
        <v>19</v>
      </c>
      <c r="J7784">
        <v>45</v>
      </c>
      <c r="K7784">
        <v>0</v>
      </c>
      <c r="L7784">
        <v>1</v>
      </c>
      <c r="M7784">
        <f>VLOOKUP(Table1[[#This Row],[subscription_type]],Plans!$A$1:$B$5,2,FALSE)</f>
        <v>0</v>
      </c>
      <c r="N7784">
        <f t="shared" si="121"/>
        <v>0</v>
      </c>
    </row>
    <row r="7785" spans="1:14" x14ac:dyDescent="0.35">
      <c r="A7785">
        <v>7784</v>
      </c>
      <c r="B7785" t="s">
        <v>20</v>
      </c>
      <c r="C7785">
        <v>49</v>
      </c>
      <c r="D7785" t="s">
        <v>21</v>
      </c>
      <c r="E7785" t="s">
        <v>22</v>
      </c>
      <c r="F7785">
        <v>264</v>
      </c>
      <c r="G7785">
        <v>16</v>
      </c>
      <c r="H7785">
        <v>0.52</v>
      </c>
      <c r="I7785" t="s">
        <v>19</v>
      </c>
      <c r="J7785">
        <v>0</v>
      </c>
      <c r="K7785">
        <v>1</v>
      </c>
      <c r="L7785">
        <v>0</v>
      </c>
      <c r="M7785">
        <f>VLOOKUP(Table1[[#This Row],[subscription_type]],Plans!$A$1:$B$5,2,FALSE)</f>
        <v>9.99</v>
      </c>
      <c r="N7785">
        <f t="shared" si="121"/>
        <v>0</v>
      </c>
    </row>
    <row r="7786" spans="1:14" x14ac:dyDescent="0.35">
      <c r="A7786">
        <v>7785</v>
      </c>
      <c r="B7786" t="s">
        <v>16</v>
      </c>
      <c r="C7786">
        <v>26</v>
      </c>
      <c r="D7786" t="s">
        <v>13</v>
      </c>
      <c r="E7786" t="s">
        <v>24</v>
      </c>
      <c r="F7786">
        <v>253</v>
      </c>
      <c r="G7786">
        <v>92</v>
      </c>
      <c r="H7786">
        <v>0.28999999999999998</v>
      </c>
      <c r="I7786" t="s">
        <v>19</v>
      </c>
      <c r="J7786">
        <v>0</v>
      </c>
      <c r="K7786">
        <v>1</v>
      </c>
      <c r="L7786">
        <v>0</v>
      </c>
      <c r="M7786">
        <f>VLOOKUP(Table1[[#This Row],[subscription_type]],Plans!$A$1:$B$5,2,FALSE)</f>
        <v>4.99</v>
      </c>
      <c r="N7786">
        <f t="shared" si="121"/>
        <v>0</v>
      </c>
    </row>
    <row r="7787" spans="1:14" x14ac:dyDescent="0.35">
      <c r="A7787">
        <v>7786</v>
      </c>
      <c r="B7787" t="s">
        <v>16</v>
      </c>
      <c r="C7787">
        <v>47</v>
      </c>
      <c r="D7787" t="s">
        <v>27</v>
      </c>
      <c r="E7787" t="s">
        <v>24</v>
      </c>
      <c r="F7787">
        <v>44</v>
      </c>
      <c r="G7787">
        <v>14</v>
      </c>
      <c r="H7787">
        <v>0.2</v>
      </c>
      <c r="I7787" t="s">
        <v>15</v>
      </c>
      <c r="J7787">
        <v>0</v>
      </c>
      <c r="K7787">
        <v>1</v>
      </c>
      <c r="L7787">
        <v>1</v>
      </c>
      <c r="M7787">
        <f>VLOOKUP(Table1[[#This Row],[subscription_type]],Plans!$A$1:$B$5,2,FALSE)</f>
        <v>4.99</v>
      </c>
      <c r="N7787">
        <f t="shared" si="121"/>
        <v>4.99</v>
      </c>
    </row>
    <row r="7788" spans="1:14" x14ac:dyDescent="0.35">
      <c r="A7788">
        <v>7787</v>
      </c>
      <c r="B7788" t="s">
        <v>20</v>
      </c>
      <c r="C7788">
        <v>24</v>
      </c>
      <c r="D7788" t="s">
        <v>27</v>
      </c>
      <c r="E7788" t="s">
        <v>14</v>
      </c>
      <c r="F7788">
        <v>298</v>
      </c>
      <c r="G7788">
        <v>67</v>
      </c>
      <c r="H7788">
        <v>0.42</v>
      </c>
      <c r="I7788" t="s">
        <v>23</v>
      </c>
      <c r="J7788">
        <v>11</v>
      </c>
      <c r="K7788">
        <v>0</v>
      </c>
      <c r="L7788">
        <v>0</v>
      </c>
      <c r="M7788">
        <f>VLOOKUP(Table1[[#This Row],[subscription_type]],Plans!$A$1:$B$5,2,FALSE)</f>
        <v>0</v>
      </c>
      <c r="N7788">
        <f t="shared" si="121"/>
        <v>0</v>
      </c>
    </row>
    <row r="7789" spans="1:14" x14ac:dyDescent="0.35">
      <c r="A7789">
        <v>7788</v>
      </c>
      <c r="B7789" t="s">
        <v>12</v>
      </c>
      <c r="C7789">
        <v>38</v>
      </c>
      <c r="D7789" t="s">
        <v>17</v>
      </c>
      <c r="E7789" t="s">
        <v>14</v>
      </c>
      <c r="F7789">
        <v>139</v>
      </c>
      <c r="G7789">
        <v>81</v>
      </c>
      <c r="H7789">
        <v>0.09</v>
      </c>
      <c r="I7789" t="s">
        <v>23</v>
      </c>
      <c r="J7789">
        <v>30</v>
      </c>
      <c r="K7789">
        <v>0</v>
      </c>
      <c r="L7789">
        <v>0</v>
      </c>
      <c r="M7789">
        <f>VLOOKUP(Table1[[#This Row],[subscription_type]],Plans!$A$1:$B$5,2,FALSE)</f>
        <v>0</v>
      </c>
      <c r="N7789">
        <f t="shared" si="121"/>
        <v>0</v>
      </c>
    </row>
    <row r="7790" spans="1:14" x14ac:dyDescent="0.35">
      <c r="A7790">
        <v>7789</v>
      </c>
      <c r="B7790" t="s">
        <v>12</v>
      </c>
      <c r="C7790">
        <v>28</v>
      </c>
      <c r="D7790" t="s">
        <v>29</v>
      </c>
      <c r="E7790" t="s">
        <v>14</v>
      </c>
      <c r="F7790">
        <v>169</v>
      </c>
      <c r="G7790">
        <v>32</v>
      </c>
      <c r="H7790">
        <v>0.52</v>
      </c>
      <c r="I7790" t="s">
        <v>19</v>
      </c>
      <c r="J7790">
        <v>28</v>
      </c>
      <c r="K7790">
        <v>0</v>
      </c>
      <c r="L7790">
        <v>0</v>
      </c>
      <c r="M7790">
        <f>VLOOKUP(Table1[[#This Row],[subscription_type]],Plans!$A$1:$B$5,2,FALSE)</f>
        <v>0</v>
      </c>
      <c r="N7790">
        <f t="shared" si="121"/>
        <v>0</v>
      </c>
    </row>
    <row r="7791" spans="1:14" x14ac:dyDescent="0.35">
      <c r="A7791">
        <v>7790</v>
      </c>
      <c r="B7791" t="s">
        <v>16</v>
      </c>
      <c r="C7791">
        <v>43</v>
      </c>
      <c r="D7791" t="s">
        <v>26</v>
      </c>
      <c r="E7791" t="s">
        <v>22</v>
      </c>
      <c r="F7791">
        <v>210</v>
      </c>
      <c r="G7791">
        <v>34</v>
      </c>
      <c r="H7791">
        <v>0.27</v>
      </c>
      <c r="I7791" t="s">
        <v>23</v>
      </c>
      <c r="J7791">
        <v>0</v>
      </c>
      <c r="K7791">
        <v>1</v>
      </c>
      <c r="L7791">
        <v>0</v>
      </c>
      <c r="M7791">
        <f>VLOOKUP(Table1[[#This Row],[subscription_type]],Plans!$A$1:$B$5,2,FALSE)</f>
        <v>9.99</v>
      </c>
      <c r="N7791">
        <f t="shared" si="121"/>
        <v>0</v>
      </c>
    </row>
    <row r="7792" spans="1:14" x14ac:dyDescent="0.35">
      <c r="A7792">
        <v>7791</v>
      </c>
      <c r="B7792" t="s">
        <v>12</v>
      </c>
      <c r="C7792">
        <v>20</v>
      </c>
      <c r="D7792" t="s">
        <v>29</v>
      </c>
      <c r="E7792" t="s">
        <v>22</v>
      </c>
      <c r="F7792">
        <v>161</v>
      </c>
      <c r="G7792">
        <v>93</v>
      </c>
      <c r="H7792">
        <v>0.01</v>
      </c>
      <c r="I7792" t="s">
        <v>19</v>
      </c>
      <c r="J7792">
        <v>0</v>
      </c>
      <c r="K7792">
        <v>1</v>
      </c>
      <c r="L7792">
        <v>0</v>
      </c>
      <c r="M7792">
        <f>VLOOKUP(Table1[[#This Row],[subscription_type]],Plans!$A$1:$B$5,2,FALSE)</f>
        <v>9.99</v>
      </c>
      <c r="N7792">
        <f t="shared" si="121"/>
        <v>0</v>
      </c>
    </row>
    <row r="7793" spans="1:14" x14ac:dyDescent="0.35">
      <c r="A7793">
        <v>7792</v>
      </c>
      <c r="B7793" t="s">
        <v>12</v>
      </c>
      <c r="C7793">
        <v>30</v>
      </c>
      <c r="D7793" t="s">
        <v>26</v>
      </c>
      <c r="E7793" t="s">
        <v>22</v>
      </c>
      <c r="F7793">
        <v>147</v>
      </c>
      <c r="G7793">
        <v>31</v>
      </c>
      <c r="H7793">
        <v>7.0000000000000007E-2</v>
      </c>
      <c r="I7793" t="s">
        <v>23</v>
      </c>
      <c r="J7793">
        <v>0</v>
      </c>
      <c r="K7793">
        <v>1</v>
      </c>
      <c r="L7793">
        <v>0</v>
      </c>
      <c r="M7793">
        <f>VLOOKUP(Table1[[#This Row],[subscription_type]],Plans!$A$1:$B$5,2,FALSE)</f>
        <v>9.99</v>
      </c>
      <c r="N7793">
        <f t="shared" si="121"/>
        <v>0</v>
      </c>
    </row>
    <row r="7794" spans="1:14" x14ac:dyDescent="0.35">
      <c r="A7794">
        <v>7793</v>
      </c>
      <c r="B7794" t="s">
        <v>12</v>
      </c>
      <c r="C7794">
        <v>27</v>
      </c>
      <c r="D7794" t="s">
        <v>21</v>
      </c>
      <c r="E7794" t="s">
        <v>24</v>
      </c>
      <c r="F7794">
        <v>254</v>
      </c>
      <c r="G7794">
        <v>79</v>
      </c>
      <c r="H7794">
        <v>0.09</v>
      </c>
      <c r="I7794" t="s">
        <v>23</v>
      </c>
      <c r="J7794">
        <v>0</v>
      </c>
      <c r="K7794">
        <v>1</v>
      </c>
      <c r="L7794">
        <v>1</v>
      </c>
      <c r="M7794">
        <f>VLOOKUP(Table1[[#This Row],[subscription_type]],Plans!$A$1:$B$5,2,FALSE)</f>
        <v>4.99</v>
      </c>
      <c r="N7794">
        <f t="shared" si="121"/>
        <v>4.99</v>
      </c>
    </row>
    <row r="7795" spans="1:14" x14ac:dyDescent="0.35">
      <c r="A7795">
        <v>7794</v>
      </c>
      <c r="B7795" t="s">
        <v>12</v>
      </c>
      <c r="C7795">
        <v>55</v>
      </c>
      <c r="D7795" t="s">
        <v>27</v>
      </c>
      <c r="E7795" t="s">
        <v>22</v>
      </c>
      <c r="F7795">
        <v>141</v>
      </c>
      <c r="G7795">
        <v>55</v>
      </c>
      <c r="H7795">
        <v>0.46</v>
      </c>
      <c r="I7795" t="s">
        <v>23</v>
      </c>
      <c r="J7795">
        <v>0</v>
      </c>
      <c r="K7795">
        <v>1</v>
      </c>
      <c r="L7795">
        <v>1</v>
      </c>
      <c r="M7795">
        <f>VLOOKUP(Table1[[#This Row],[subscription_type]],Plans!$A$1:$B$5,2,FALSE)</f>
        <v>9.99</v>
      </c>
      <c r="N7795">
        <f t="shared" si="121"/>
        <v>9.99</v>
      </c>
    </row>
    <row r="7796" spans="1:14" x14ac:dyDescent="0.35">
      <c r="A7796">
        <v>7795</v>
      </c>
      <c r="B7796" t="s">
        <v>12</v>
      </c>
      <c r="C7796">
        <v>17</v>
      </c>
      <c r="D7796" t="s">
        <v>27</v>
      </c>
      <c r="E7796" t="s">
        <v>22</v>
      </c>
      <c r="F7796">
        <v>281</v>
      </c>
      <c r="G7796">
        <v>4</v>
      </c>
      <c r="H7796">
        <v>0.38</v>
      </c>
      <c r="I7796" t="s">
        <v>19</v>
      </c>
      <c r="J7796">
        <v>0</v>
      </c>
      <c r="K7796">
        <v>1</v>
      </c>
      <c r="L7796">
        <v>0</v>
      </c>
      <c r="M7796">
        <f>VLOOKUP(Table1[[#This Row],[subscription_type]],Plans!$A$1:$B$5,2,FALSE)</f>
        <v>9.99</v>
      </c>
      <c r="N7796">
        <f t="shared" si="121"/>
        <v>0</v>
      </c>
    </row>
    <row r="7797" spans="1:14" x14ac:dyDescent="0.35">
      <c r="A7797">
        <v>7796</v>
      </c>
      <c r="B7797" t="s">
        <v>16</v>
      </c>
      <c r="C7797">
        <v>32</v>
      </c>
      <c r="D7797" t="s">
        <v>25</v>
      </c>
      <c r="E7797" t="s">
        <v>22</v>
      </c>
      <c r="F7797">
        <v>209</v>
      </c>
      <c r="G7797">
        <v>12</v>
      </c>
      <c r="H7797">
        <v>0.51</v>
      </c>
      <c r="I7797" t="s">
        <v>19</v>
      </c>
      <c r="J7797">
        <v>0</v>
      </c>
      <c r="K7797">
        <v>1</v>
      </c>
      <c r="L7797">
        <v>1</v>
      </c>
      <c r="M7797">
        <f>VLOOKUP(Table1[[#This Row],[subscription_type]],Plans!$A$1:$B$5,2,FALSE)</f>
        <v>9.99</v>
      </c>
      <c r="N7797">
        <f t="shared" si="121"/>
        <v>9.99</v>
      </c>
    </row>
    <row r="7798" spans="1:14" x14ac:dyDescent="0.35">
      <c r="A7798">
        <v>7797</v>
      </c>
      <c r="B7798" t="s">
        <v>16</v>
      </c>
      <c r="C7798">
        <v>58</v>
      </c>
      <c r="D7798" t="s">
        <v>29</v>
      </c>
      <c r="E7798" t="s">
        <v>24</v>
      </c>
      <c r="F7798">
        <v>141</v>
      </c>
      <c r="G7798">
        <v>15</v>
      </c>
      <c r="H7798">
        <v>0.56000000000000005</v>
      </c>
      <c r="I7798" t="s">
        <v>23</v>
      </c>
      <c r="J7798">
        <v>0</v>
      </c>
      <c r="K7798">
        <v>1</v>
      </c>
      <c r="L7798">
        <v>1</v>
      </c>
      <c r="M7798">
        <f>VLOOKUP(Table1[[#This Row],[subscription_type]],Plans!$A$1:$B$5,2,FALSE)</f>
        <v>4.99</v>
      </c>
      <c r="N7798">
        <f t="shared" si="121"/>
        <v>4.99</v>
      </c>
    </row>
    <row r="7799" spans="1:14" x14ac:dyDescent="0.35">
      <c r="A7799">
        <v>7798</v>
      </c>
      <c r="B7799" t="s">
        <v>16</v>
      </c>
      <c r="C7799">
        <v>35</v>
      </c>
      <c r="D7799" t="s">
        <v>25</v>
      </c>
      <c r="E7799" t="s">
        <v>14</v>
      </c>
      <c r="F7799">
        <v>200</v>
      </c>
      <c r="G7799">
        <v>82</v>
      </c>
      <c r="H7799">
        <v>0.03</v>
      </c>
      <c r="I7799" t="s">
        <v>23</v>
      </c>
      <c r="J7799">
        <v>37</v>
      </c>
      <c r="K7799">
        <v>0</v>
      </c>
      <c r="L7799">
        <v>0</v>
      </c>
      <c r="M7799">
        <f>VLOOKUP(Table1[[#This Row],[subscription_type]],Plans!$A$1:$B$5,2,FALSE)</f>
        <v>0</v>
      </c>
      <c r="N7799">
        <f t="shared" si="121"/>
        <v>0</v>
      </c>
    </row>
    <row r="7800" spans="1:14" x14ac:dyDescent="0.35">
      <c r="A7800">
        <v>7799</v>
      </c>
      <c r="B7800" t="s">
        <v>12</v>
      </c>
      <c r="C7800">
        <v>33</v>
      </c>
      <c r="D7800" t="s">
        <v>29</v>
      </c>
      <c r="E7800" t="s">
        <v>24</v>
      </c>
      <c r="F7800">
        <v>31</v>
      </c>
      <c r="G7800">
        <v>91</v>
      </c>
      <c r="H7800">
        <v>0.46</v>
      </c>
      <c r="I7800" t="s">
        <v>23</v>
      </c>
      <c r="J7800">
        <v>0</v>
      </c>
      <c r="K7800">
        <v>1</v>
      </c>
      <c r="L7800">
        <v>0</v>
      </c>
      <c r="M7800">
        <f>VLOOKUP(Table1[[#This Row],[subscription_type]],Plans!$A$1:$B$5,2,FALSE)</f>
        <v>4.99</v>
      </c>
      <c r="N7800">
        <f t="shared" si="121"/>
        <v>0</v>
      </c>
    </row>
    <row r="7801" spans="1:14" x14ac:dyDescent="0.35">
      <c r="A7801">
        <v>7800</v>
      </c>
      <c r="B7801" t="s">
        <v>20</v>
      </c>
      <c r="C7801">
        <v>23</v>
      </c>
      <c r="D7801" t="s">
        <v>27</v>
      </c>
      <c r="E7801" t="s">
        <v>24</v>
      </c>
      <c r="F7801">
        <v>201</v>
      </c>
      <c r="G7801">
        <v>23</v>
      </c>
      <c r="H7801">
        <v>0.32</v>
      </c>
      <c r="I7801" t="s">
        <v>19</v>
      </c>
      <c r="J7801">
        <v>0</v>
      </c>
      <c r="K7801">
        <v>1</v>
      </c>
      <c r="L7801">
        <v>0</v>
      </c>
      <c r="M7801">
        <f>VLOOKUP(Table1[[#This Row],[subscription_type]],Plans!$A$1:$B$5,2,FALSE)</f>
        <v>4.99</v>
      </c>
      <c r="N7801">
        <f t="shared" si="121"/>
        <v>0</v>
      </c>
    </row>
    <row r="7802" spans="1:14" x14ac:dyDescent="0.35">
      <c r="A7802">
        <v>7801</v>
      </c>
      <c r="B7802" t="s">
        <v>16</v>
      </c>
      <c r="C7802">
        <v>38</v>
      </c>
      <c r="D7802" t="s">
        <v>25</v>
      </c>
      <c r="E7802" t="s">
        <v>22</v>
      </c>
      <c r="F7802">
        <v>101</v>
      </c>
      <c r="G7802">
        <v>65</v>
      </c>
      <c r="H7802">
        <v>0.54</v>
      </c>
      <c r="I7802" t="s">
        <v>15</v>
      </c>
      <c r="J7802">
        <v>0</v>
      </c>
      <c r="K7802">
        <v>1</v>
      </c>
      <c r="L7802">
        <v>1</v>
      </c>
      <c r="M7802">
        <f>VLOOKUP(Table1[[#This Row],[subscription_type]],Plans!$A$1:$B$5,2,FALSE)</f>
        <v>9.99</v>
      </c>
      <c r="N7802">
        <f t="shared" si="121"/>
        <v>9.99</v>
      </c>
    </row>
    <row r="7803" spans="1:14" x14ac:dyDescent="0.35">
      <c r="A7803">
        <v>7802</v>
      </c>
      <c r="B7803" t="s">
        <v>12</v>
      </c>
      <c r="C7803">
        <v>46</v>
      </c>
      <c r="D7803" t="s">
        <v>28</v>
      </c>
      <c r="E7803" t="s">
        <v>22</v>
      </c>
      <c r="F7803">
        <v>212</v>
      </c>
      <c r="G7803">
        <v>45</v>
      </c>
      <c r="H7803">
        <v>0.34</v>
      </c>
      <c r="I7803" t="s">
        <v>15</v>
      </c>
      <c r="J7803">
        <v>0</v>
      </c>
      <c r="K7803">
        <v>1</v>
      </c>
      <c r="L7803">
        <v>0</v>
      </c>
      <c r="M7803">
        <f>VLOOKUP(Table1[[#This Row],[subscription_type]],Plans!$A$1:$B$5,2,FALSE)</f>
        <v>9.99</v>
      </c>
      <c r="N7803">
        <f t="shared" si="121"/>
        <v>0</v>
      </c>
    </row>
    <row r="7804" spans="1:14" x14ac:dyDescent="0.35">
      <c r="A7804">
        <v>7803</v>
      </c>
      <c r="B7804" t="s">
        <v>16</v>
      </c>
      <c r="C7804">
        <v>21</v>
      </c>
      <c r="D7804" t="s">
        <v>17</v>
      </c>
      <c r="E7804" t="s">
        <v>24</v>
      </c>
      <c r="F7804">
        <v>249</v>
      </c>
      <c r="G7804">
        <v>75</v>
      </c>
      <c r="H7804">
        <v>0.31</v>
      </c>
      <c r="I7804" t="s">
        <v>23</v>
      </c>
      <c r="J7804">
        <v>0</v>
      </c>
      <c r="K7804">
        <v>1</v>
      </c>
      <c r="L7804">
        <v>1</v>
      </c>
      <c r="M7804">
        <f>VLOOKUP(Table1[[#This Row],[subscription_type]],Plans!$A$1:$B$5,2,FALSE)</f>
        <v>4.99</v>
      </c>
      <c r="N7804">
        <f t="shared" si="121"/>
        <v>4.99</v>
      </c>
    </row>
    <row r="7805" spans="1:14" x14ac:dyDescent="0.35">
      <c r="A7805">
        <v>7804</v>
      </c>
      <c r="B7805" t="s">
        <v>20</v>
      </c>
      <c r="C7805">
        <v>58</v>
      </c>
      <c r="D7805" t="s">
        <v>13</v>
      </c>
      <c r="E7805" t="s">
        <v>24</v>
      </c>
      <c r="F7805">
        <v>28</v>
      </c>
      <c r="G7805">
        <v>98</v>
      </c>
      <c r="H7805">
        <v>0.33</v>
      </c>
      <c r="I7805" t="s">
        <v>23</v>
      </c>
      <c r="J7805">
        <v>0</v>
      </c>
      <c r="K7805">
        <v>1</v>
      </c>
      <c r="L7805">
        <v>0</v>
      </c>
      <c r="M7805">
        <f>VLOOKUP(Table1[[#This Row],[subscription_type]],Plans!$A$1:$B$5,2,FALSE)</f>
        <v>4.99</v>
      </c>
      <c r="N7805">
        <f t="shared" si="121"/>
        <v>0</v>
      </c>
    </row>
    <row r="7806" spans="1:14" x14ac:dyDescent="0.35">
      <c r="A7806">
        <v>7805</v>
      </c>
      <c r="B7806" t="s">
        <v>12</v>
      </c>
      <c r="C7806">
        <v>21</v>
      </c>
      <c r="D7806" t="s">
        <v>17</v>
      </c>
      <c r="E7806" t="s">
        <v>18</v>
      </c>
      <c r="F7806">
        <v>235</v>
      </c>
      <c r="G7806">
        <v>49</v>
      </c>
      <c r="H7806">
        <v>0.28999999999999998</v>
      </c>
      <c r="I7806" t="s">
        <v>15</v>
      </c>
      <c r="J7806">
        <v>0</v>
      </c>
      <c r="K7806">
        <v>1</v>
      </c>
      <c r="L7806">
        <v>1</v>
      </c>
      <c r="M7806">
        <f>VLOOKUP(Table1[[#This Row],[subscription_type]],Plans!$A$1:$B$5,2,FALSE)</f>
        <v>14.99</v>
      </c>
      <c r="N7806">
        <f t="shared" si="121"/>
        <v>14.99</v>
      </c>
    </row>
    <row r="7807" spans="1:14" x14ac:dyDescent="0.35">
      <c r="A7807">
        <v>7806</v>
      </c>
      <c r="B7807" t="s">
        <v>16</v>
      </c>
      <c r="C7807">
        <v>23</v>
      </c>
      <c r="D7807" t="s">
        <v>21</v>
      </c>
      <c r="E7807" t="s">
        <v>24</v>
      </c>
      <c r="F7807">
        <v>213</v>
      </c>
      <c r="G7807">
        <v>84</v>
      </c>
      <c r="H7807">
        <v>0</v>
      </c>
      <c r="I7807" t="s">
        <v>19</v>
      </c>
      <c r="J7807">
        <v>0</v>
      </c>
      <c r="K7807">
        <v>1</v>
      </c>
      <c r="L7807">
        <v>0</v>
      </c>
      <c r="M7807">
        <f>VLOOKUP(Table1[[#This Row],[subscription_type]],Plans!$A$1:$B$5,2,FALSE)</f>
        <v>4.99</v>
      </c>
      <c r="N7807">
        <f t="shared" si="121"/>
        <v>0</v>
      </c>
    </row>
    <row r="7808" spans="1:14" x14ac:dyDescent="0.35">
      <c r="A7808">
        <v>7807</v>
      </c>
      <c r="B7808" t="s">
        <v>20</v>
      </c>
      <c r="C7808">
        <v>55</v>
      </c>
      <c r="D7808" t="s">
        <v>25</v>
      </c>
      <c r="E7808" t="s">
        <v>22</v>
      </c>
      <c r="F7808">
        <v>129</v>
      </c>
      <c r="G7808">
        <v>24</v>
      </c>
      <c r="H7808">
        <v>0.19</v>
      </c>
      <c r="I7808" t="s">
        <v>23</v>
      </c>
      <c r="J7808">
        <v>0</v>
      </c>
      <c r="K7808">
        <v>1</v>
      </c>
      <c r="L7808">
        <v>1</v>
      </c>
      <c r="M7808">
        <f>VLOOKUP(Table1[[#This Row],[subscription_type]],Plans!$A$1:$B$5,2,FALSE)</f>
        <v>9.99</v>
      </c>
      <c r="N7808">
        <f t="shared" si="121"/>
        <v>9.99</v>
      </c>
    </row>
    <row r="7809" spans="1:14" x14ac:dyDescent="0.35">
      <c r="A7809">
        <v>7808</v>
      </c>
      <c r="B7809" t="s">
        <v>12</v>
      </c>
      <c r="C7809">
        <v>59</v>
      </c>
      <c r="D7809" t="s">
        <v>27</v>
      </c>
      <c r="E7809" t="s">
        <v>24</v>
      </c>
      <c r="F7809">
        <v>157</v>
      </c>
      <c r="G7809">
        <v>68</v>
      </c>
      <c r="H7809">
        <v>0.01</v>
      </c>
      <c r="I7809" t="s">
        <v>15</v>
      </c>
      <c r="J7809">
        <v>0</v>
      </c>
      <c r="K7809">
        <v>1</v>
      </c>
      <c r="L7809">
        <v>0</v>
      </c>
      <c r="M7809">
        <f>VLOOKUP(Table1[[#This Row],[subscription_type]],Plans!$A$1:$B$5,2,FALSE)</f>
        <v>4.99</v>
      </c>
      <c r="N7809">
        <f t="shared" si="121"/>
        <v>0</v>
      </c>
    </row>
    <row r="7810" spans="1:14" x14ac:dyDescent="0.35">
      <c r="A7810">
        <v>7809</v>
      </c>
      <c r="B7810" t="s">
        <v>20</v>
      </c>
      <c r="C7810">
        <v>16</v>
      </c>
      <c r="D7810" t="s">
        <v>29</v>
      </c>
      <c r="E7810" t="s">
        <v>22</v>
      </c>
      <c r="F7810">
        <v>161</v>
      </c>
      <c r="G7810">
        <v>27</v>
      </c>
      <c r="H7810">
        <v>0.57999999999999996</v>
      </c>
      <c r="I7810" t="s">
        <v>19</v>
      </c>
      <c r="J7810">
        <v>0</v>
      </c>
      <c r="K7810">
        <v>1</v>
      </c>
      <c r="L7810">
        <v>0</v>
      </c>
      <c r="M7810">
        <f>VLOOKUP(Table1[[#This Row],[subscription_type]],Plans!$A$1:$B$5,2,FALSE)</f>
        <v>9.99</v>
      </c>
      <c r="N7810">
        <f t="shared" ref="N7810:N7873" si="122">IF(L7810=1, M7810,0)</f>
        <v>0</v>
      </c>
    </row>
    <row r="7811" spans="1:14" x14ac:dyDescent="0.35">
      <c r="A7811">
        <v>7810</v>
      </c>
      <c r="B7811" t="s">
        <v>12</v>
      </c>
      <c r="C7811">
        <v>21</v>
      </c>
      <c r="D7811" t="s">
        <v>28</v>
      </c>
      <c r="E7811" t="s">
        <v>18</v>
      </c>
      <c r="F7811">
        <v>84</v>
      </c>
      <c r="G7811">
        <v>31</v>
      </c>
      <c r="H7811">
        <v>0.5</v>
      </c>
      <c r="I7811" t="s">
        <v>15</v>
      </c>
      <c r="J7811">
        <v>0</v>
      </c>
      <c r="K7811">
        <v>1</v>
      </c>
      <c r="L7811">
        <v>1</v>
      </c>
      <c r="M7811">
        <f>VLOOKUP(Table1[[#This Row],[subscription_type]],Plans!$A$1:$B$5,2,FALSE)</f>
        <v>14.99</v>
      </c>
      <c r="N7811">
        <f t="shared" si="122"/>
        <v>14.99</v>
      </c>
    </row>
    <row r="7812" spans="1:14" x14ac:dyDescent="0.35">
      <c r="A7812">
        <v>7811</v>
      </c>
      <c r="B7812" t="s">
        <v>16</v>
      </c>
      <c r="C7812">
        <v>44</v>
      </c>
      <c r="D7812" t="s">
        <v>13</v>
      </c>
      <c r="E7812" t="s">
        <v>14</v>
      </c>
      <c r="F7812">
        <v>95</v>
      </c>
      <c r="G7812">
        <v>74</v>
      </c>
      <c r="H7812">
        <v>0.24</v>
      </c>
      <c r="I7812" t="s">
        <v>19</v>
      </c>
      <c r="J7812">
        <v>23</v>
      </c>
      <c r="K7812">
        <v>0</v>
      </c>
      <c r="L7812">
        <v>0</v>
      </c>
      <c r="M7812">
        <f>VLOOKUP(Table1[[#This Row],[subscription_type]],Plans!$A$1:$B$5,2,FALSE)</f>
        <v>0</v>
      </c>
      <c r="N7812">
        <f t="shared" si="122"/>
        <v>0</v>
      </c>
    </row>
    <row r="7813" spans="1:14" x14ac:dyDescent="0.35">
      <c r="A7813">
        <v>7812</v>
      </c>
      <c r="B7813" t="s">
        <v>20</v>
      </c>
      <c r="C7813">
        <v>58</v>
      </c>
      <c r="D7813" t="s">
        <v>17</v>
      </c>
      <c r="E7813" t="s">
        <v>14</v>
      </c>
      <c r="F7813">
        <v>110</v>
      </c>
      <c r="G7813">
        <v>11</v>
      </c>
      <c r="H7813">
        <v>0.43</v>
      </c>
      <c r="I7813" t="s">
        <v>15</v>
      </c>
      <c r="J7813">
        <v>6</v>
      </c>
      <c r="K7813">
        <v>0</v>
      </c>
      <c r="L7813">
        <v>0</v>
      </c>
      <c r="M7813">
        <f>VLOOKUP(Table1[[#This Row],[subscription_type]],Plans!$A$1:$B$5,2,FALSE)</f>
        <v>0</v>
      </c>
      <c r="N7813">
        <f t="shared" si="122"/>
        <v>0</v>
      </c>
    </row>
    <row r="7814" spans="1:14" x14ac:dyDescent="0.35">
      <c r="A7814">
        <v>7813</v>
      </c>
      <c r="B7814" t="s">
        <v>12</v>
      </c>
      <c r="C7814">
        <v>44</v>
      </c>
      <c r="D7814" t="s">
        <v>29</v>
      </c>
      <c r="E7814" t="s">
        <v>14</v>
      </c>
      <c r="F7814">
        <v>285</v>
      </c>
      <c r="G7814">
        <v>95</v>
      </c>
      <c r="H7814">
        <v>0.12</v>
      </c>
      <c r="I7814" t="s">
        <v>15</v>
      </c>
      <c r="J7814">
        <v>9</v>
      </c>
      <c r="K7814">
        <v>0</v>
      </c>
      <c r="L7814">
        <v>1</v>
      </c>
      <c r="M7814">
        <f>VLOOKUP(Table1[[#This Row],[subscription_type]],Plans!$A$1:$B$5,2,FALSE)</f>
        <v>0</v>
      </c>
      <c r="N7814">
        <f t="shared" si="122"/>
        <v>0</v>
      </c>
    </row>
    <row r="7815" spans="1:14" x14ac:dyDescent="0.35">
      <c r="A7815">
        <v>7814</v>
      </c>
      <c r="B7815" t="s">
        <v>16</v>
      </c>
      <c r="C7815">
        <v>30</v>
      </c>
      <c r="D7815" t="s">
        <v>26</v>
      </c>
      <c r="E7815" t="s">
        <v>14</v>
      </c>
      <c r="F7815">
        <v>77</v>
      </c>
      <c r="G7815">
        <v>92</v>
      </c>
      <c r="H7815">
        <v>0.52</v>
      </c>
      <c r="I7815" t="s">
        <v>15</v>
      </c>
      <c r="J7815">
        <v>19</v>
      </c>
      <c r="K7815">
        <v>0</v>
      </c>
      <c r="L7815">
        <v>1</v>
      </c>
      <c r="M7815">
        <f>VLOOKUP(Table1[[#This Row],[subscription_type]],Plans!$A$1:$B$5,2,FALSE)</f>
        <v>0</v>
      </c>
      <c r="N7815">
        <f t="shared" si="122"/>
        <v>0</v>
      </c>
    </row>
    <row r="7816" spans="1:14" x14ac:dyDescent="0.35">
      <c r="A7816">
        <v>7815</v>
      </c>
      <c r="B7816" t="s">
        <v>12</v>
      </c>
      <c r="C7816">
        <v>39</v>
      </c>
      <c r="D7816" t="s">
        <v>17</v>
      </c>
      <c r="E7816" t="s">
        <v>18</v>
      </c>
      <c r="F7816">
        <v>298</v>
      </c>
      <c r="G7816">
        <v>65</v>
      </c>
      <c r="H7816">
        <v>0.38</v>
      </c>
      <c r="I7816" t="s">
        <v>23</v>
      </c>
      <c r="J7816">
        <v>0</v>
      </c>
      <c r="K7816">
        <v>1</v>
      </c>
      <c r="L7816">
        <v>0</v>
      </c>
      <c r="M7816">
        <f>VLOOKUP(Table1[[#This Row],[subscription_type]],Plans!$A$1:$B$5,2,FALSE)</f>
        <v>14.99</v>
      </c>
      <c r="N7816">
        <f t="shared" si="122"/>
        <v>0</v>
      </c>
    </row>
    <row r="7817" spans="1:14" x14ac:dyDescent="0.35">
      <c r="A7817">
        <v>7816</v>
      </c>
      <c r="B7817" t="s">
        <v>12</v>
      </c>
      <c r="C7817">
        <v>59</v>
      </c>
      <c r="D7817" t="s">
        <v>28</v>
      </c>
      <c r="E7817" t="s">
        <v>22</v>
      </c>
      <c r="F7817">
        <v>109</v>
      </c>
      <c r="G7817">
        <v>70</v>
      </c>
      <c r="H7817">
        <v>0.27</v>
      </c>
      <c r="I7817" t="s">
        <v>19</v>
      </c>
      <c r="J7817">
        <v>0</v>
      </c>
      <c r="K7817">
        <v>1</v>
      </c>
      <c r="L7817">
        <v>0</v>
      </c>
      <c r="M7817">
        <f>VLOOKUP(Table1[[#This Row],[subscription_type]],Plans!$A$1:$B$5,2,FALSE)</f>
        <v>9.99</v>
      </c>
      <c r="N7817">
        <f t="shared" si="122"/>
        <v>0</v>
      </c>
    </row>
    <row r="7818" spans="1:14" x14ac:dyDescent="0.35">
      <c r="A7818">
        <v>7817</v>
      </c>
      <c r="B7818" t="s">
        <v>16</v>
      </c>
      <c r="C7818">
        <v>43</v>
      </c>
      <c r="D7818" t="s">
        <v>25</v>
      </c>
      <c r="E7818" t="s">
        <v>18</v>
      </c>
      <c r="F7818">
        <v>264</v>
      </c>
      <c r="G7818">
        <v>45</v>
      </c>
      <c r="H7818">
        <v>0.38</v>
      </c>
      <c r="I7818" t="s">
        <v>15</v>
      </c>
      <c r="J7818">
        <v>0</v>
      </c>
      <c r="K7818">
        <v>1</v>
      </c>
      <c r="L7818">
        <v>0</v>
      </c>
      <c r="M7818">
        <f>VLOOKUP(Table1[[#This Row],[subscription_type]],Plans!$A$1:$B$5,2,FALSE)</f>
        <v>14.99</v>
      </c>
      <c r="N7818">
        <f t="shared" si="122"/>
        <v>0</v>
      </c>
    </row>
    <row r="7819" spans="1:14" x14ac:dyDescent="0.35">
      <c r="A7819">
        <v>7818</v>
      </c>
      <c r="B7819" t="s">
        <v>16</v>
      </c>
      <c r="C7819">
        <v>26</v>
      </c>
      <c r="D7819" t="s">
        <v>28</v>
      </c>
      <c r="E7819" t="s">
        <v>22</v>
      </c>
      <c r="F7819">
        <v>42</v>
      </c>
      <c r="G7819">
        <v>73</v>
      </c>
      <c r="H7819">
        <v>0.55000000000000004</v>
      </c>
      <c r="I7819" t="s">
        <v>19</v>
      </c>
      <c r="J7819">
        <v>0</v>
      </c>
      <c r="K7819">
        <v>1</v>
      </c>
      <c r="L7819">
        <v>0</v>
      </c>
      <c r="M7819">
        <f>VLOOKUP(Table1[[#This Row],[subscription_type]],Plans!$A$1:$B$5,2,FALSE)</f>
        <v>9.99</v>
      </c>
      <c r="N7819">
        <f t="shared" si="122"/>
        <v>0</v>
      </c>
    </row>
    <row r="7820" spans="1:14" x14ac:dyDescent="0.35">
      <c r="A7820">
        <v>7819</v>
      </c>
      <c r="B7820" t="s">
        <v>12</v>
      </c>
      <c r="C7820">
        <v>36</v>
      </c>
      <c r="D7820" t="s">
        <v>28</v>
      </c>
      <c r="E7820" t="s">
        <v>24</v>
      </c>
      <c r="F7820">
        <v>110</v>
      </c>
      <c r="G7820">
        <v>4</v>
      </c>
      <c r="H7820">
        <v>0.37</v>
      </c>
      <c r="I7820" t="s">
        <v>23</v>
      </c>
      <c r="J7820">
        <v>0</v>
      </c>
      <c r="K7820">
        <v>1</v>
      </c>
      <c r="L7820">
        <v>0</v>
      </c>
      <c r="M7820">
        <f>VLOOKUP(Table1[[#This Row],[subscription_type]],Plans!$A$1:$B$5,2,FALSE)</f>
        <v>4.99</v>
      </c>
      <c r="N7820">
        <f t="shared" si="122"/>
        <v>0</v>
      </c>
    </row>
    <row r="7821" spans="1:14" x14ac:dyDescent="0.35">
      <c r="A7821">
        <v>7820</v>
      </c>
      <c r="B7821" t="s">
        <v>16</v>
      </c>
      <c r="C7821">
        <v>47</v>
      </c>
      <c r="D7821" t="s">
        <v>28</v>
      </c>
      <c r="E7821" t="s">
        <v>18</v>
      </c>
      <c r="F7821">
        <v>44</v>
      </c>
      <c r="G7821">
        <v>83</v>
      </c>
      <c r="H7821">
        <v>0.05</v>
      </c>
      <c r="I7821" t="s">
        <v>15</v>
      </c>
      <c r="J7821">
        <v>0</v>
      </c>
      <c r="K7821">
        <v>1</v>
      </c>
      <c r="L7821">
        <v>1</v>
      </c>
      <c r="M7821">
        <f>VLOOKUP(Table1[[#This Row],[subscription_type]],Plans!$A$1:$B$5,2,FALSE)</f>
        <v>14.99</v>
      </c>
      <c r="N7821">
        <f t="shared" si="122"/>
        <v>14.99</v>
      </c>
    </row>
    <row r="7822" spans="1:14" x14ac:dyDescent="0.35">
      <c r="A7822">
        <v>7821</v>
      </c>
      <c r="B7822" t="s">
        <v>16</v>
      </c>
      <c r="C7822">
        <v>42</v>
      </c>
      <c r="D7822" t="s">
        <v>27</v>
      </c>
      <c r="E7822" t="s">
        <v>14</v>
      </c>
      <c r="F7822">
        <v>96</v>
      </c>
      <c r="G7822">
        <v>5</v>
      </c>
      <c r="H7822">
        <v>0.08</v>
      </c>
      <c r="I7822" t="s">
        <v>23</v>
      </c>
      <c r="J7822">
        <v>21</v>
      </c>
      <c r="K7822">
        <v>0</v>
      </c>
      <c r="L7822">
        <v>0</v>
      </c>
      <c r="M7822">
        <f>VLOOKUP(Table1[[#This Row],[subscription_type]],Plans!$A$1:$B$5,2,FALSE)</f>
        <v>0</v>
      </c>
      <c r="N7822">
        <f t="shared" si="122"/>
        <v>0</v>
      </c>
    </row>
    <row r="7823" spans="1:14" x14ac:dyDescent="0.35">
      <c r="A7823">
        <v>7822</v>
      </c>
      <c r="B7823" t="s">
        <v>16</v>
      </c>
      <c r="C7823">
        <v>58</v>
      </c>
      <c r="D7823" t="s">
        <v>25</v>
      </c>
      <c r="E7823" t="s">
        <v>18</v>
      </c>
      <c r="F7823">
        <v>214</v>
      </c>
      <c r="G7823">
        <v>45</v>
      </c>
      <c r="H7823">
        <v>0.33</v>
      </c>
      <c r="I7823" t="s">
        <v>15</v>
      </c>
      <c r="J7823">
        <v>0</v>
      </c>
      <c r="K7823">
        <v>1</v>
      </c>
      <c r="L7823">
        <v>0</v>
      </c>
      <c r="M7823">
        <f>VLOOKUP(Table1[[#This Row],[subscription_type]],Plans!$A$1:$B$5,2,FALSE)</f>
        <v>14.99</v>
      </c>
      <c r="N7823">
        <f t="shared" si="122"/>
        <v>0</v>
      </c>
    </row>
    <row r="7824" spans="1:14" x14ac:dyDescent="0.35">
      <c r="A7824">
        <v>7823</v>
      </c>
      <c r="B7824" t="s">
        <v>20</v>
      </c>
      <c r="C7824">
        <v>54</v>
      </c>
      <c r="D7824" t="s">
        <v>21</v>
      </c>
      <c r="E7824" t="s">
        <v>22</v>
      </c>
      <c r="F7824">
        <v>23</v>
      </c>
      <c r="G7824">
        <v>60</v>
      </c>
      <c r="H7824">
        <v>0.36</v>
      </c>
      <c r="I7824" t="s">
        <v>15</v>
      </c>
      <c r="J7824">
        <v>0</v>
      </c>
      <c r="K7824">
        <v>1</v>
      </c>
      <c r="L7824">
        <v>1</v>
      </c>
      <c r="M7824">
        <f>VLOOKUP(Table1[[#This Row],[subscription_type]],Plans!$A$1:$B$5,2,FALSE)</f>
        <v>9.99</v>
      </c>
      <c r="N7824">
        <f t="shared" si="122"/>
        <v>9.99</v>
      </c>
    </row>
    <row r="7825" spans="1:14" x14ac:dyDescent="0.35">
      <c r="A7825">
        <v>7824</v>
      </c>
      <c r="B7825" t="s">
        <v>12</v>
      </c>
      <c r="C7825">
        <v>52</v>
      </c>
      <c r="D7825" t="s">
        <v>27</v>
      </c>
      <c r="E7825" t="s">
        <v>24</v>
      </c>
      <c r="F7825">
        <v>116</v>
      </c>
      <c r="G7825">
        <v>99</v>
      </c>
      <c r="H7825">
        <v>0.4</v>
      </c>
      <c r="I7825" t="s">
        <v>19</v>
      </c>
      <c r="J7825">
        <v>0</v>
      </c>
      <c r="K7825">
        <v>1</v>
      </c>
      <c r="L7825">
        <v>0</v>
      </c>
      <c r="M7825">
        <f>VLOOKUP(Table1[[#This Row],[subscription_type]],Plans!$A$1:$B$5,2,FALSE)</f>
        <v>4.99</v>
      </c>
      <c r="N7825">
        <f t="shared" si="122"/>
        <v>0</v>
      </c>
    </row>
    <row r="7826" spans="1:14" x14ac:dyDescent="0.35">
      <c r="A7826">
        <v>7825</v>
      </c>
      <c r="B7826" t="s">
        <v>12</v>
      </c>
      <c r="C7826">
        <v>42</v>
      </c>
      <c r="D7826" t="s">
        <v>13</v>
      </c>
      <c r="E7826" t="s">
        <v>24</v>
      </c>
      <c r="F7826">
        <v>111</v>
      </c>
      <c r="G7826">
        <v>64</v>
      </c>
      <c r="H7826">
        <v>0.38</v>
      </c>
      <c r="I7826" t="s">
        <v>19</v>
      </c>
      <c r="J7826">
        <v>0</v>
      </c>
      <c r="K7826">
        <v>1</v>
      </c>
      <c r="L7826">
        <v>1</v>
      </c>
      <c r="M7826">
        <f>VLOOKUP(Table1[[#This Row],[subscription_type]],Plans!$A$1:$B$5,2,FALSE)</f>
        <v>4.99</v>
      </c>
      <c r="N7826">
        <f t="shared" si="122"/>
        <v>4.99</v>
      </c>
    </row>
    <row r="7827" spans="1:14" x14ac:dyDescent="0.35">
      <c r="A7827">
        <v>7826</v>
      </c>
      <c r="B7827" t="s">
        <v>16</v>
      </c>
      <c r="C7827">
        <v>44</v>
      </c>
      <c r="D7827" t="s">
        <v>17</v>
      </c>
      <c r="E7827" t="s">
        <v>14</v>
      </c>
      <c r="F7827">
        <v>17</v>
      </c>
      <c r="G7827">
        <v>73</v>
      </c>
      <c r="H7827">
        <v>0.04</v>
      </c>
      <c r="I7827" t="s">
        <v>19</v>
      </c>
      <c r="J7827">
        <v>34</v>
      </c>
      <c r="K7827">
        <v>0</v>
      </c>
      <c r="L7827">
        <v>0</v>
      </c>
      <c r="M7827">
        <f>VLOOKUP(Table1[[#This Row],[subscription_type]],Plans!$A$1:$B$5,2,FALSE)</f>
        <v>0</v>
      </c>
      <c r="N7827">
        <f t="shared" si="122"/>
        <v>0</v>
      </c>
    </row>
    <row r="7828" spans="1:14" x14ac:dyDescent="0.35">
      <c r="A7828">
        <v>7827</v>
      </c>
      <c r="B7828" t="s">
        <v>16</v>
      </c>
      <c r="C7828">
        <v>53</v>
      </c>
      <c r="D7828" t="s">
        <v>26</v>
      </c>
      <c r="E7828" t="s">
        <v>18</v>
      </c>
      <c r="F7828">
        <v>266</v>
      </c>
      <c r="G7828">
        <v>34</v>
      </c>
      <c r="H7828">
        <v>0.1</v>
      </c>
      <c r="I7828" t="s">
        <v>19</v>
      </c>
      <c r="J7828">
        <v>0</v>
      </c>
      <c r="K7828">
        <v>1</v>
      </c>
      <c r="L7828">
        <v>0</v>
      </c>
      <c r="M7828">
        <f>VLOOKUP(Table1[[#This Row],[subscription_type]],Plans!$A$1:$B$5,2,FALSE)</f>
        <v>14.99</v>
      </c>
      <c r="N7828">
        <f t="shared" si="122"/>
        <v>0</v>
      </c>
    </row>
    <row r="7829" spans="1:14" x14ac:dyDescent="0.35">
      <c r="A7829">
        <v>7828</v>
      </c>
      <c r="B7829" t="s">
        <v>16</v>
      </c>
      <c r="C7829">
        <v>38</v>
      </c>
      <c r="D7829" t="s">
        <v>17</v>
      </c>
      <c r="E7829" t="s">
        <v>24</v>
      </c>
      <c r="F7829">
        <v>24</v>
      </c>
      <c r="G7829">
        <v>88</v>
      </c>
      <c r="H7829">
        <v>0.54</v>
      </c>
      <c r="I7829" t="s">
        <v>19</v>
      </c>
      <c r="J7829">
        <v>0</v>
      </c>
      <c r="K7829">
        <v>1</v>
      </c>
      <c r="L7829">
        <v>1</v>
      </c>
      <c r="M7829">
        <f>VLOOKUP(Table1[[#This Row],[subscription_type]],Plans!$A$1:$B$5,2,FALSE)</f>
        <v>4.99</v>
      </c>
      <c r="N7829">
        <f t="shared" si="122"/>
        <v>4.99</v>
      </c>
    </row>
    <row r="7830" spans="1:14" x14ac:dyDescent="0.35">
      <c r="A7830">
        <v>7829</v>
      </c>
      <c r="B7830" t="s">
        <v>16</v>
      </c>
      <c r="C7830">
        <v>34</v>
      </c>
      <c r="D7830" t="s">
        <v>29</v>
      </c>
      <c r="E7830" t="s">
        <v>14</v>
      </c>
      <c r="F7830">
        <v>209</v>
      </c>
      <c r="G7830">
        <v>59</v>
      </c>
      <c r="H7830">
        <v>0.06</v>
      </c>
      <c r="I7830" t="s">
        <v>15</v>
      </c>
      <c r="J7830">
        <v>28</v>
      </c>
      <c r="K7830">
        <v>0</v>
      </c>
      <c r="L7830">
        <v>0</v>
      </c>
      <c r="M7830">
        <f>VLOOKUP(Table1[[#This Row],[subscription_type]],Plans!$A$1:$B$5,2,FALSE)</f>
        <v>0</v>
      </c>
      <c r="N7830">
        <f t="shared" si="122"/>
        <v>0</v>
      </c>
    </row>
    <row r="7831" spans="1:14" x14ac:dyDescent="0.35">
      <c r="A7831">
        <v>7830</v>
      </c>
      <c r="B7831" t="s">
        <v>12</v>
      </c>
      <c r="C7831">
        <v>30</v>
      </c>
      <c r="D7831" t="s">
        <v>26</v>
      </c>
      <c r="E7831" t="s">
        <v>24</v>
      </c>
      <c r="F7831">
        <v>109</v>
      </c>
      <c r="G7831">
        <v>62</v>
      </c>
      <c r="H7831">
        <v>0.43</v>
      </c>
      <c r="I7831" t="s">
        <v>19</v>
      </c>
      <c r="J7831">
        <v>0</v>
      </c>
      <c r="K7831">
        <v>1</v>
      </c>
      <c r="L7831">
        <v>1</v>
      </c>
      <c r="M7831">
        <f>VLOOKUP(Table1[[#This Row],[subscription_type]],Plans!$A$1:$B$5,2,FALSE)</f>
        <v>4.99</v>
      </c>
      <c r="N7831">
        <f t="shared" si="122"/>
        <v>4.99</v>
      </c>
    </row>
    <row r="7832" spans="1:14" x14ac:dyDescent="0.35">
      <c r="A7832">
        <v>7831</v>
      </c>
      <c r="B7832" t="s">
        <v>20</v>
      </c>
      <c r="C7832">
        <v>29</v>
      </c>
      <c r="D7832" t="s">
        <v>27</v>
      </c>
      <c r="E7832" t="s">
        <v>22</v>
      </c>
      <c r="F7832">
        <v>279</v>
      </c>
      <c r="G7832">
        <v>45</v>
      </c>
      <c r="H7832">
        <v>0.15</v>
      </c>
      <c r="I7832" t="s">
        <v>15</v>
      </c>
      <c r="J7832">
        <v>0</v>
      </c>
      <c r="K7832">
        <v>1</v>
      </c>
      <c r="L7832">
        <v>1</v>
      </c>
      <c r="M7832">
        <f>VLOOKUP(Table1[[#This Row],[subscription_type]],Plans!$A$1:$B$5,2,FALSE)</f>
        <v>9.99</v>
      </c>
      <c r="N7832">
        <f t="shared" si="122"/>
        <v>9.99</v>
      </c>
    </row>
    <row r="7833" spans="1:14" x14ac:dyDescent="0.35">
      <c r="A7833">
        <v>7832</v>
      </c>
      <c r="B7833" t="s">
        <v>12</v>
      </c>
      <c r="C7833">
        <v>19</v>
      </c>
      <c r="D7833" t="s">
        <v>27</v>
      </c>
      <c r="E7833" t="s">
        <v>14</v>
      </c>
      <c r="F7833">
        <v>222</v>
      </c>
      <c r="G7833">
        <v>1</v>
      </c>
      <c r="H7833">
        <v>0.57999999999999996</v>
      </c>
      <c r="I7833" t="s">
        <v>19</v>
      </c>
      <c r="J7833">
        <v>45</v>
      </c>
      <c r="K7833">
        <v>0</v>
      </c>
      <c r="L7833">
        <v>0</v>
      </c>
      <c r="M7833">
        <f>VLOOKUP(Table1[[#This Row],[subscription_type]],Plans!$A$1:$B$5,2,FALSE)</f>
        <v>0</v>
      </c>
      <c r="N7833">
        <f t="shared" si="122"/>
        <v>0</v>
      </c>
    </row>
    <row r="7834" spans="1:14" x14ac:dyDescent="0.35">
      <c r="A7834">
        <v>7833</v>
      </c>
      <c r="B7834" t="s">
        <v>12</v>
      </c>
      <c r="C7834">
        <v>59</v>
      </c>
      <c r="D7834" t="s">
        <v>27</v>
      </c>
      <c r="E7834" t="s">
        <v>14</v>
      </c>
      <c r="F7834">
        <v>147</v>
      </c>
      <c r="G7834">
        <v>2</v>
      </c>
      <c r="H7834">
        <v>0.23</v>
      </c>
      <c r="I7834" t="s">
        <v>15</v>
      </c>
      <c r="J7834">
        <v>47</v>
      </c>
      <c r="K7834">
        <v>0</v>
      </c>
      <c r="L7834">
        <v>0</v>
      </c>
      <c r="M7834">
        <f>VLOOKUP(Table1[[#This Row],[subscription_type]],Plans!$A$1:$B$5,2,FALSE)</f>
        <v>0</v>
      </c>
      <c r="N7834">
        <f t="shared" si="122"/>
        <v>0</v>
      </c>
    </row>
    <row r="7835" spans="1:14" x14ac:dyDescent="0.35">
      <c r="A7835">
        <v>7834</v>
      </c>
      <c r="B7835" t="s">
        <v>12</v>
      </c>
      <c r="C7835">
        <v>23</v>
      </c>
      <c r="D7835" t="s">
        <v>28</v>
      </c>
      <c r="E7835" t="s">
        <v>14</v>
      </c>
      <c r="F7835">
        <v>246</v>
      </c>
      <c r="G7835">
        <v>2</v>
      </c>
      <c r="H7835">
        <v>0.4</v>
      </c>
      <c r="I7835" t="s">
        <v>23</v>
      </c>
      <c r="J7835">
        <v>14</v>
      </c>
      <c r="K7835">
        <v>0</v>
      </c>
      <c r="L7835">
        <v>1</v>
      </c>
      <c r="M7835">
        <f>VLOOKUP(Table1[[#This Row],[subscription_type]],Plans!$A$1:$B$5,2,FALSE)</f>
        <v>0</v>
      </c>
      <c r="N7835">
        <f t="shared" si="122"/>
        <v>0</v>
      </c>
    </row>
    <row r="7836" spans="1:14" x14ac:dyDescent="0.35">
      <c r="A7836">
        <v>7835</v>
      </c>
      <c r="B7836" t="s">
        <v>12</v>
      </c>
      <c r="C7836">
        <v>37</v>
      </c>
      <c r="D7836" t="s">
        <v>27</v>
      </c>
      <c r="E7836" t="s">
        <v>22</v>
      </c>
      <c r="F7836">
        <v>61</v>
      </c>
      <c r="G7836">
        <v>62</v>
      </c>
      <c r="H7836">
        <v>0.56999999999999995</v>
      </c>
      <c r="I7836" t="s">
        <v>15</v>
      </c>
      <c r="J7836">
        <v>0</v>
      </c>
      <c r="K7836">
        <v>1</v>
      </c>
      <c r="L7836">
        <v>0</v>
      </c>
      <c r="M7836">
        <f>VLOOKUP(Table1[[#This Row],[subscription_type]],Plans!$A$1:$B$5,2,FALSE)</f>
        <v>9.99</v>
      </c>
      <c r="N7836">
        <f t="shared" si="122"/>
        <v>0</v>
      </c>
    </row>
    <row r="7837" spans="1:14" x14ac:dyDescent="0.35">
      <c r="A7837">
        <v>7836</v>
      </c>
      <c r="B7837" t="s">
        <v>12</v>
      </c>
      <c r="C7837">
        <v>18</v>
      </c>
      <c r="D7837" t="s">
        <v>28</v>
      </c>
      <c r="E7837" t="s">
        <v>14</v>
      </c>
      <c r="F7837">
        <v>117</v>
      </c>
      <c r="G7837">
        <v>2</v>
      </c>
      <c r="H7837">
        <v>0.08</v>
      </c>
      <c r="I7837" t="s">
        <v>15</v>
      </c>
      <c r="J7837">
        <v>29</v>
      </c>
      <c r="K7837">
        <v>0</v>
      </c>
      <c r="L7837">
        <v>0</v>
      </c>
      <c r="M7837">
        <f>VLOOKUP(Table1[[#This Row],[subscription_type]],Plans!$A$1:$B$5,2,FALSE)</f>
        <v>0</v>
      </c>
      <c r="N7837">
        <f t="shared" si="122"/>
        <v>0</v>
      </c>
    </row>
    <row r="7838" spans="1:14" x14ac:dyDescent="0.35">
      <c r="A7838">
        <v>7837</v>
      </c>
      <c r="B7838" t="s">
        <v>12</v>
      </c>
      <c r="C7838">
        <v>49</v>
      </c>
      <c r="D7838" t="s">
        <v>25</v>
      </c>
      <c r="E7838" t="s">
        <v>24</v>
      </c>
      <c r="F7838">
        <v>245</v>
      </c>
      <c r="G7838">
        <v>79</v>
      </c>
      <c r="H7838">
        <v>0.08</v>
      </c>
      <c r="I7838" t="s">
        <v>23</v>
      </c>
      <c r="J7838">
        <v>0</v>
      </c>
      <c r="K7838">
        <v>1</v>
      </c>
      <c r="L7838">
        <v>0</v>
      </c>
      <c r="M7838">
        <f>VLOOKUP(Table1[[#This Row],[subscription_type]],Plans!$A$1:$B$5,2,FALSE)</f>
        <v>4.99</v>
      </c>
      <c r="N7838">
        <f t="shared" si="122"/>
        <v>0</v>
      </c>
    </row>
    <row r="7839" spans="1:14" x14ac:dyDescent="0.35">
      <c r="A7839">
        <v>7838</v>
      </c>
      <c r="B7839" t="s">
        <v>16</v>
      </c>
      <c r="C7839">
        <v>39</v>
      </c>
      <c r="D7839" t="s">
        <v>26</v>
      </c>
      <c r="E7839" t="s">
        <v>18</v>
      </c>
      <c r="F7839">
        <v>124</v>
      </c>
      <c r="G7839">
        <v>15</v>
      </c>
      <c r="H7839">
        <v>0.27</v>
      </c>
      <c r="I7839" t="s">
        <v>15</v>
      </c>
      <c r="J7839">
        <v>0</v>
      </c>
      <c r="K7839">
        <v>1</v>
      </c>
      <c r="L7839">
        <v>0</v>
      </c>
      <c r="M7839">
        <f>VLOOKUP(Table1[[#This Row],[subscription_type]],Plans!$A$1:$B$5,2,FALSE)</f>
        <v>14.99</v>
      </c>
      <c r="N7839">
        <f t="shared" si="122"/>
        <v>0</v>
      </c>
    </row>
    <row r="7840" spans="1:14" x14ac:dyDescent="0.35">
      <c r="A7840">
        <v>7839</v>
      </c>
      <c r="B7840" t="s">
        <v>16</v>
      </c>
      <c r="C7840">
        <v>32</v>
      </c>
      <c r="D7840" t="s">
        <v>27</v>
      </c>
      <c r="E7840" t="s">
        <v>24</v>
      </c>
      <c r="F7840">
        <v>106</v>
      </c>
      <c r="G7840">
        <v>50</v>
      </c>
      <c r="H7840">
        <v>0.33</v>
      </c>
      <c r="I7840" t="s">
        <v>19</v>
      </c>
      <c r="J7840">
        <v>0</v>
      </c>
      <c r="K7840">
        <v>1</v>
      </c>
      <c r="L7840">
        <v>0</v>
      </c>
      <c r="M7840">
        <f>VLOOKUP(Table1[[#This Row],[subscription_type]],Plans!$A$1:$B$5,2,FALSE)</f>
        <v>4.99</v>
      </c>
      <c r="N7840">
        <f t="shared" si="122"/>
        <v>0</v>
      </c>
    </row>
    <row r="7841" spans="1:14" x14ac:dyDescent="0.35">
      <c r="A7841">
        <v>7840</v>
      </c>
      <c r="B7841" t="s">
        <v>16</v>
      </c>
      <c r="C7841">
        <v>16</v>
      </c>
      <c r="D7841" t="s">
        <v>13</v>
      </c>
      <c r="E7841" t="s">
        <v>18</v>
      </c>
      <c r="F7841">
        <v>73</v>
      </c>
      <c r="G7841">
        <v>71</v>
      </c>
      <c r="H7841">
        <v>0.04</v>
      </c>
      <c r="I7841" t="s">
        <v>15</v>
      </c>
      <c r="J7841">
        <v>0</v>
      </c>
      <c r="K7841">
        <v>1</v>
      </c>
      <c r="L7841">
        <v>0</v>
      </c>
      <c r="M7841">
        <f>VLOOKUP(Table1[[#This Row],[subscription_type]],Plans!$A$1:$B$5,2,FALSE)</f>
        <v>14.99</v>
      </c>
      <c r="N7841">
        <f t="shared" si="122"/>
        <v>0</v>
      </c>
    </row>
    <row r="7842" spans="1:14" x14ac:dyDescent="0.35">
      <c r="A7842">
        <v>7841</v>
      </c>
      <c r="B7842" t="s">
        <v>20</v>
      </c>
      <c r="C7842">
        <v>23</v>
      </c>
      <c r="D7842" t="s">
        <v>25</v>
      </c>
      <c r="E7842" t="s">
        <v>24</v>
      </c>
      <c r="F7842">
        <v>42</v>
      </c>
      <c r="G7842">
        <v>72</v>
      </c>
      <c r="H7842">
        <v>0.24</v>
      </c>
      <c r="I7842" t="s">
        <v>23</v>
      </c>
      <c r="J7842">
        <v>0</v>
      </c>
      <c r="K7842">
        <v>1</v>
      </c>
      <c r="L7842">
        <v>0</v>
      </c>
      <c r="M7842">
        <f>VLOOKUP(Table1[[#This Row],[subscription_type]],Plans!$A$1:$B$5,2,FALSE)</f>
        <v>4.99</v>
      </c>
      <c r="N7842">
        <f t="shared" si="122"/>
        <v>0</v>
      </c>
    </row>
    <row r="7843" spans="1:14" x14ac:dyDescent="0.35">
      <c r="A7843">
        <v>7842</v>
      </c>
      <c r="B7843" t="s">
        <v>16</v>
      </c>
      <c r="C7843">
        <v>55</v>
      </c>
      <c r="D7843" t="s">
        <v>28</v>
      </c>
      <c r="E7843" t="s">
        <v>18</v>
      </c>
      <c r="F7843">
        <v>274</v>
      </c>
      <c r="G7843">
        <v>64</v>
      </c>
      <c r="H7843">
        <v>0.43</v>
      </c>
      <c r="I7843" t="s">
        <v>19</v>
      </c>
      <c r="J7843">
        <v>0</v>
      </c>
      <c r="K7843">
        <v>1</v>
      </c>
      <c r="L7843">
        <v>0</v>
      </c>
      <c r="M7843">
        <f>VLOOKUP(Table1[[#This Row],[subscription_type]],Plans!$A$1:$B$5,2,FALSE)</f>
        <v>14.99</v>
      </c>
      <c r="N7843">
        <f t="shared" si="122"/>
        <v>0</v>
      </c>
    </row>
    <row r="7844" spans="1:14" x14ac:dyDescent="0.35">
      <c r="A7844">
        <v>7843</v>
      </c>
      <c r="B7844" t="s">
        <v>12</v>
      </c>
      <c r="C7844">
        <v>31</v>
      </c>
      <c r="D7844" t="s">
        <v>27</v>
      </c>
      <c r="E7844" t="s">
        <v>22</v>
      </c>
      <c r="F7844">
        <v>62</v>
      </c>
      <c r="G7844">
        <v>11</v>
      </c>
      <c r="H7844">
        <v>0.31</v>
      </c>
      <c r="I7844" t="s">
        <v>15</v>
      </c>
      <c r="J7844">
        <v>0</v>
      </c>
      <c r="K7844">
        <v>1</v>
      </c>
      <c r="L7844">
        <v>0</v>
      </c>
      <c r="M7844">
        <f>VLOOKUP(Table1[[#This Row],[subscription_type]],Plans!$A$1:$B$5,2,FALSE)</f>
        <v>9.99</v>
      </c>
      <c r="N7844">
        <f t="shared" si="122"/>
        <v>0</v>
      </c>
    </row>
    <row r="7845" spans="1:14" x14ac:dyDescent="0.35">
      <c r="A7845">
        <v>7844</v>
      </c>
      <c r="B7845" t="s">
        <v>12</v>
      </c>
      <c r="C7845">
        <v>52</v>
      </c>
      <c r="D7845" t="s">
        <v>25</v>
      </c>
      <c r="E7845" t="s">
        <v>24</v>
      </c>
      <c r="F7845">
        <v>220</v>
      </c>
      <c r="G7845">
        <v>31</v>
      </c>
      <c r="H7845">
        <v>0.54</v>
      </c>
      <c r="I7845" t="s">
        <v>15</v>
      </c>
      <c r="J7845">
        <v>0</v>
      </c>
      <c r="K7845">
        <v>1</v>
      </c>
      <c r="L7845">
        <v>0</v>
      </c>
      <c r="M7845">
        <f>VLOOKUP(Table1[[#This Row],[subscription_type]],Plans!$A$1:$B$5,2,FALSE)</f>
        <v>4.99</v>
      </c>
      <c r="N7845">
        <f t="shared" si="122"/>
        <v>0</v>
      </c>
    </row>
    <row r="7846" spans="1:14" x14ac:dyDescent="0.35">
      <c r="A7846">
        <v>7845</v>
      </c>
      <c r="B7846" t="s">
        <v>12</v>
      </c>
      <c r="C7846">
        <v>59</v>
      </c>
      <c r="D7846" t="s">
        <v>26</v>
      </c>
      <c r="E7846" t="s">
        <v>22</v>
      </c>
      <c r="F7846">
        <v>275</v>
      </c>
      <c r="G7846">
        <v>1</v>
      </c>
      <c r="H7846">
        <v>0.28999999999999998</v>
      </c>
      <c r="I7846" t="s">
        <v>19</v>
      </c>
      <c r="J7846">
        <v>0</v>
      </c>
      <c r="K7846">
        <v>1</v>
      </c>
      <c r="L7846">
        <v>0</v>
      </c>
      <c r="M7846">
        <f>VLOOKUP(Table1[[#This Row],[subscription_type]],Plans!$A$1:$B$5,2,FALSE)</f>
        <v>9.99</v>
      </c>
      <c r="N7846">
        <f t="shared" si="122"/>
        <v>0</v>
      </c>
    </row>
    <row r="7847" spans="1:14" x14ac:dyDescent="0.35">
      <c r="A7847">
        <v>7846</v>
      </c>
      <c r="B7847" t="s">
        <v>20</v>
      </c>
      <c r="C7847">
        <v>28</v>
      </c>
      <c r="D7847" t="s">
        <v>29</v>
      </c>
      <c r="E7847" t="s">
        <v>14</v>
      </c>
      <c r="F7847">
        <v>70</v>
      </c>
      <c r="G7847">
        <v>25</v>
      </c>
      <c r="H7847">
        <v>0.12</v>
      </c>
      <c r="I7847" t="s">
        <v>15</v>
      </c>
      <c r="J7847">
        <v>38</v>
      </c>
      <c r="K7847">
        <v>0</v>
      </c>
      <c r="L7847">
        <v>1</v>
      </c>
      <c r="M7847">
        <f>VLOOKUP(Table1[[#This Row],[subscription_type]],Plans!$A$1:$B$5,2,FALSE)</f>
        <v>0</v>
      </c>
      <c r="N7847">
        <f t="shared" si="122"/>
        <v>0</v>
      </c>
    </row>
    <row r="7848" spans="1:14" x14ac:dyDescent="0.35">
      <c r="A7848">
        <v>7847</v>
      </c>
      <c r="B7848" t="s">
        <v>12</v>
      </c>
      <c r="C7848">
        <v>36</v>
      </c>
      <c r="D7848" t="s">
        <v>26</v>
      </c>
      <c r="E7848" t="s">
        <v>14</v>
      </c>
      <c r="F7848">
        <v>48</v>
      </c>
      <c r="G7848">
        <v>74</v>
      </c>
      <c r="H7848">
        <v>0.48</v>
      </c>
      <c r="I7848" t="s">
        <v>23</v>
      </c>
      <c r="J7848">
        <v>10</v>
      </c>
      <c r="K7848">
        <v>0</v>
      </c>
      <c r="L7848">
        <v>0</v>
      </c>
      <c r="M7848">
        <f>VLOOKUP(Table1[[#This Row],[subscription_type]],Plans!$A$1:$B$5,2,FALSE)</f>
        <v>0</v>
      </c>
      <c r="N7848">
        <f t="shared" si="122"/>
        <v>0</v>
      </c>
    </row>
    <row r="7849" spans="1:14" x14ac:dyDescent="0.35">
      <c r="A7849">
        <v>7848</v>
      </c>
      <c r="B7849" t="s">
        <v>12</v>
      </c>
      <c r="C7849">
        <v>25</v>
      </c>
      <c r="D7849" t="s">
        <v>25</v>
      </c>
      <c r="E7849" t="s">
        <v>18</v>
      </c>
      <c r="F7849">
        <v>106</v>
      </c>
      <c r="G7849">
        <v>32</v>
      </c>
      <c r="H7849">
        <v>0.37</v>
      </c>
      <c r="I7849" t="s">
        <v>15</v>
      </c>
      <c r="J7849">
        <v>0</v>
      </c>
      <c r="K7849">
        <v>1</v>
      </c>
      <c r="L7849">
        <v>0</v>
      </c>
      <c r="M7849">
        <f>VLOOKUP(Table1[[#This Row],[subscription_type]],Plans!$A$1:$B$5,2,FALSE)</f>
        <v>14.99</v>
      </c>
      <c r="N7849">
        <f t="shared" si="122"/>
        <v>0</v>
      </c>
    </row>
    <row r="7850" spans="1:14" x14ac:dyDescent="0.35">
      <c r="A7850">
        <v>7849</v>
      </c>
      <c r="B7850" t="s">
        <v>16</v>
      </c>
      <c r="C7850">
        <v>46</v>
      </c>
      <c r="D7850" t="s">
        <v>17</v>
      </c>
      <c r="E7850" t="s">
        <v>18</v>
      </c>
      <c r="F7850">
        <v>14</v>
      </c>
      <c r="G7850">
        <v>24</v>
      </c>
      <c r="H7850">
        <v>0.35</v>
      </c>
      <c r="I7850" t="s">
        <v>19</v>
      </c>
      <c r="J7850">
        <v>0</v>
      </c>
      <c r="K7850">
        <v>1</v>
      </c>
      <c r="L7850">
        <v>1</v>
      </c>
      <c r="M7850">
        <f>VLOOKUP(Table1[[#This Row],[subscription_type]],Plans!$A$1:$B$5,2,FALSE)</f>
        <v>14.99</v>
      </c>
      <c r="N7850">
        <f t="shared" si="122"/>
        <v>14.99</v>
      </c>
    </row>
    <row r="7851" spans="1:14" x14ac:dyDescent="0.35">
      <c r="A7851">
        <v>7850</v>
      </c>
      <c r="B7851" t="s">
        <v>12</v>
      </c>
      <c r="C7851">
        <v>22</v>
      </c>
      <c r="D7851" t="s">
        <v>29</v>
      </c>
      <c r="E7851" t="s">
        <v>18</v>
      </c>
      <c r="F7851">
        <v>150</v>
      </c>
      <c r="G7851">
        <v>24</v>
      </c>
      <c r="H7851">
        <v>0.04</v>
      </c>
      <c r="I7851" t="s">
        <v>23</v>
      </c>
      <c r="J7851">
        <v>0</v>
      </c>
      <c r="K7851">
        <v>1</v>
      </c>
      <c r="L7851">
        <v>1</v>
      </c>
      <c r="M7851">
        <f>VLOOKUP(Table1[[#This Row],[subscription_type]],Plans!$A$1:$B$5,2,FALSE)</f>
        <v>14.99</v>
      </c>
      <c r="N7851">
        <f t="shared" si="122"/>
        <v>14.99</v>
      </c>
    </row>
    <row r="7852" spans="1:14" x14ac:dyDescent="0.35">
      <c r="A7852">
        <v>7851</v>
      </c>
      <c r="B7852" t="s">
        <v>20</v>
      </c>
      <c r="C7852">
        <v>22</v>
      </c>
      <c r="D7852" t="s">
        <v>29</v>
      </c>
      <c r="E7852" t="s">
        <v>14</v>
      </c>
      <c r="F7852">
        <v>59</v>
      </c>
      <c r="G7852">
        <v>78</v>
      </c>
      <c r="H7852">
        <v>0.57999999999999996</v>
      </c>
      <c r="I7852" t="s">
        <v>23</v>
      </c>
      <c r="J7852">
        <v>45</v>
      </c>
      <c r="K7852">
        <v>0</v>
      </c>
      <c r="L7852">
        <v>0</v>
      </c>
      <c r="M7852">
        <f>VLOOKUP(Table1[[#This Row],[subscription_type]],Plans!$A$1:$B$5,2,FALSE)</f>
        <v>0</v>
      </c>
      <c r="N7852">
        <f t="shared" si="122"/>
        <v>0</v>
      </c>
    </row>
    <row r="7853" spans="1:14" x14ac:dyDescent="0.35">
      <c r="A7853">
        <v>7852</v>
      </c>
      <c r="B7853" t="s">
        <v>12</v>
      </c>
      <c r="C7853">
        <v>27</v>
      </c>
      <c r="D7853" t="s">
        <v>27</v>
      </c>
      <c r="E7853" t="s">
        <v>14</v>
      </c>
      <c r="F7853">
        <v>194</v>
      </c>
      <c r="G7853">
        <v>27</v>
      </c>
      <c r="H7853">
        <v>0.52</v>
      </c>
      <c r="I7853" t="s">
        <v>23</v>
      </c>
      <c r="J7853">
        <v>43</v>
      </c>
      <c r="K7853">
        <v>0</v>
      </c>
      <c r="L7853">
        <v>1</v>
      </c>
      <c r="M7853">
        <f>VLOOKUP(Table1[[#This Row],[subscription_type]],Plans!$A$1:$B$5,2,FALSE)</f>
        <v>0</v>
      </c>
      <c r="N7853">
        <f t="shared" si="122"/>
        <v>0</v>
      </c>
    </row>
    <row r="7854" spans="1:14" x14ac:dyDescent="0.35">
      <c r="A7854">
        <v>7853</v>
      </c>
      <c r="B7854" t="s">
        <v>16</v>
      </c>
      <c r="C7854">
        <v>36</v>
      </c>
      <c r="D7854" t="s">
        <v>27</v>
      </c>
      <c r="E7854" t="s">
        <v>22</v>
      </c>
      <c r="F7854">
        <v>242</v>
      </c>
      <c r="G7854">
        <v>47</v>
      </c>
      <c r="H7854">
        <v>0.12</v>
      </c>
      <c r="I7854" t="s">
        <v>23</v>
      </c>
      <c r="J7854">
        <v>0</v>
      </c>
      <c r="K7854">
        <v>1</v>
      </c>
      <c r="L7854">
        <v>0</v>
      </c>
      <c r="M7854">
        <f>VLOOKUP(Table1[[#This Row],[subscription_type]],Plans!$A$1:$B$5,2,FALSE)</f>
        <v>9.99</v>
      </c>
      <c r="N7854">
        <f t="shared" si="122"/>
        <v>0</v>
      </c>
    </row>
    <row r="7855" spans="1:14" x14ac:dyDescent="0.35">
      <c r="A7855">
        <v>7854</v>
      </c>
      <c r="B7855" t="s">
        <v>12</v>
      </c>
      <c r="C7855">
        <v>42</v>
      </c>
      <c r="D7855" t="s">
        <v>17</v>
      </c>
      <c r="E7855" t="s">
        <v>14</v>
      </c>
      <c r="F7855">
        <v>223</v>
      </c>
      <c r="G7855">
        <v>88</v>
      </c>
      <c r="H7855">
        <v>0.59</v>
      </c>
      <c r="I7855" t="s">
        <v>15</v>
      </c>
      <c r="J7855">
        <v>21</v>
      </c>
      <c r="K7855">
        <v>0</v>
      </c>
      <c r="L7855">
        <v>0</v>
      </c>
      <c r="M7855">
        <f>VLOOKUP(Table1[[#This Row],[subscription_type]],Plans!$A$1:$B$5,2,FALSE)</f>
        <v>0</v>
      </c>
      <c r="N7855">
        <f t="shared" si="122"/>
        <v>0</v>
      </c>
    </row>
    <row r="7856" spans="1:14" x14ac:dyDescent="0.35">
      <c r="A7856">
        <v>7855</v>
      </c>
      <c r="B7856" t="s">
        <v>16</v>
      </c>
      <c r="C7856">
        <v>31</v>
      </c>
      <c r="D7856" t="s">
        <v>17</v>
      </c>
      <c r="E7856" t="s">
        <v>22</v>
      </c>
      <c r="F7856">
        <v>99</v>
      </c>
      <c r="G7856">
        <v>20</v>
      </c>
      <c r="H7856">
        <v>0.22</v>
      </c>
      <c r="I7856" t="s">
        <v>19</v>
      </c>
      <c r="J7856">
        <v>0</v>
      </c>
      <c r="K7856">
        <v>1</v>
      </c>
      <c r="L7856">
        <v>0</v>
      </c>
      <c r="M7856">
        <f>VLOOKUP(Table1[[#This Row],[subscription_type]],Plans!$A$1:$B$5,2,FALSE)</f>
        <v>9.99</v>
      </c>
      <c r="N7856">
        <f t="shared" si="122"/>
        <v>0</v>
      </c>
    </row>
    <row r="7857" spans="1:14" x14ac:dyDescent="0.35">
      <c r="A7857">
        <v>7856</v>
      </c>
      <c r="B7857" t="s">
        <v>12</v>
      </c>
      <c r="C7857">
        <v>47</v>
      </c>
      <c r="D7857" t="s">
        <v>27</v>
      </c>
      <c r="E7857" t="s">
        <v>14</v>
      </c>
      <c r="F7857">
        <v>104</v>
      </c>
      <c r="G7857">
        <v>29</v>
      </c>
      <c r="H7857">
        <v>0.55000000000000004</v>
      </c>
      <c r="I7857" t="s">
        <v>23</v>
      </c>
      <c r="J7857">
        <v>32</v>
      </c>
      <c r="K7857">
        <v>0</v>
      </c>
      <c r="L7857">
        <v>1</v>
      </c>
      <c r="M7857">
        <f>VLOOKUP(Table1[[#This Row],[subscription_type]],Plans!$A$1:$B$5,2,FALSE)</f>
        <v>0</v>
      </c>
      <c r="N7857">
        <f t="shared" si="122"/>
        <v>0</v>
      </c>
    </row>
    <row r="7858" spans="1:14" x14ac:dyDescent="0.35">
      <c r="A7858">
        <v>7857</v>
      </c>
      <c r="B7858" t="s">
        <v>12</v>
      </c>
      <c r="C7858">
        <v>41</v>
      </c>
      <c r="D7858" t="s">
        <v>13</v>
      </c>
      <c r="E7858" t="s">
        <v>14</v>
      </c>
      <c r="F7858">
        <v>41</v>
      </c>
      <c r="G7858">
        <v>77</v>
      </c>
      <c r="H7858">
        <v>0.04</v>
      </c>
      <c r="I7858" t="s">
        <v>15</v>
      </c>
      <c r="J7858">
        <v>24</v>
      </c>
      <c r="K7858">
        <v>0</v>
      </c>
      <c r="L7858">
        <v>1</v>
      </c>
      <c r="M7858">
        <f>VLOOKUP(Table1[[#This Row],[subscription_type]],Plans!$A$1:$B$5,2,FALSE)</f>
        <v>0</v>
      </c>
      <c r="N7858">
        <f t="shared" si="122"/>
        <v>0</v>
      </c>
    </row>
    <row r="7859" spans="1:14" x14ac:dyDescent="0.35">
      <c r="A7859">
        <v>7858</v>
      </c>
      <c r="B7859" t="s">
        <v>20</v>
      </c>
      <c r="C7859">
        <v>31</v>
      </c>
      <c r="D7859" t="s">
        <v>27</v>
      </c>
      <c r="E7859" t="s">
        <v>22</v>
      </c>
      <c r="F7859">
        <v>14</v>
      </c>
      <c r="G7859">
        <v>67</v>
      </c>
      <c r="H7859">
        <v>0.39</v>
      </c>
      <c r="I7859" t="s">
        <v>23</v>
      </c>
      <c r="J7859">
        <v>0</v>
      </c>
      <c r="K7859">
        <v>1</v>
      </c>
      <c r="L7859">
        <v>0</v>
      </c>
      <c r="M7859">
        <f>VLOOKUP(Table1[[#This Row],[subscription_type]],Plans!$A$1:$B$5,2,FALSE)</f>
        <v>9.99</v>
      </c>
      <c r="N7859">
        <f t="shared" si="122"/>
        <v>0</v>
      </c>
    </row>
    <row r="7860" spans="1:14" x14ac:dyDescent="0.35">
      <c r="A7860">
        <v>7859</v>
      </c>
      <c r="B7860" t="s">
        <v>12</v>
      </c>
      <c r="C7860">
        <v>36</v>
      </c>
      <c r="D7860" t="s">
        <v>28</v>
      </c>
      <c r="E7860" t="s">
        <v>22</v>
      </c>
      <c r="F7860">
        <v>199</v>
      </c>
      <c r="G7860">
        <v>46</v>
      </c>
      <c r="H7860">
        <v>0.21</v>
      </c>
      <c r="I7860" t="s">
        <v>19</v>
      </c>
      <c r="J7860">
        <v>0</v>
      </c>
      <c r="K7860">
        <v>1</v>
      </c>
      <c r="L7860">
        <v>0</v>
      </c>
      <c r="M7860">
        <f>VLOOKUP(Table1[[#This Row],[subscription_type]],Plans!$A$1:$B$5,2,FALSE)</f>
        <v>9.99</v>
      </c>
      <c r="N7860">
        <f t="shared" si="122"/>
        <v>0</v>
      </c>
    </row>
    <row r="7861" spans="1:14" x14ac:dyDescent="0.35">
      <c r="A7861">
        <v>7860</v>
      </c>
      <c r="B7861" t="s">
        <v>20</v>
      </c>
      <c r="C7861">
        <v>28</v>
      </c>
      <c r="D7861" t="s">
        <v>29</v>
      </c>
      <c r="E7861" t="s">
        <v>24</v>
      </c>
      <c r="F7861">
        <v>263</v>
      </c>
      <c r="G7861">
        <v>40</v>
      </c>
      <c r="H7861">
        <v>0.27</v>
      </c>
      <c r="I7861" t="s">
        <v>19</v>
      </c>
      <c r="J7861">
        <v>0</v>
      </c>
      <c r="K7861">
        <v>1</v>
      </c>
      <c r="L7861">
        <v>0</v>
      </c>
      <c r="M7861">
        <f>VLOOKUP(Table1[[#This Row],[subscription_type]],Plans!$A$1:$B$5,2,FALSE)</f>
        <v>4.99</v>
      </c>
      <c r="N7861">
        <f t="shared" si="122"/>
        <v>0</v>
      </c>
    </row>
    <row r="7862" spans="1:14" x14ac:dyDescent="0.35">
      <c r="A7862">
        <v>7861</v>
      </c>
      <c r="B7862" t="s">
        <v>20</v>
      </c>
      <c r="C7862">
        <v>28</v>
      </c>
      <c r="D7862" t="s">
        <v>25</v>
      </c>
      <c r="E7862" t="s">
        <v>22</v>
      </c>
      <c r="F7862">
        <v>180</v>
      </c>
      <c r="G7862">
        <v>88</v>
      </c>
      <c r="H7862">
        <v>0.28000000000000003</v>
      </c>
      <c r="I7862" t="s">
        <v>23</v>
      </c>
      <c r="J7862">
        <v>0</v>
      </c>
      <c r="K7862">
        <v>1</v>
      </c>
      <c r="L7862">
        <v>1</v>
      </c>
      <c r="M7862">
        <f>VLOOKUP(Table1[[#This Row],[subscription_type]],Plans!$A$1:$B$5,2,FALSE)</f>
        <v>9.99</v>
      </c>
      <c r="N7862">
        <f t="shared" si="122"/>
        <v>9.99</v>
      </c>
    </row>
    <row r="7863" spans="1:14" x14ac:dyDescent="0.35">
      <c r="A7863">
        <v>7862</v>
      </c>
      <c r="B7863" t="s">
        <v>20</v>
      </c>
      <c r="C7863">
        <v>21</v>
      </c>
      <c r="D7863" t="s">
        <v>28</v>
      </c>
      <c r="E7863" t="s">
        <v>24</v>
      </c>
      <c r="F7863">
        <v>54</v>
      </c>
      <c r="G7863">
        <v>61</v>
      </c>
      <c r="H7863">
        <v>0.5</v>
      </c>
      <c r="I7863" t="s">
        <v>23</v>
      </c>
      <c r="J7863">
        <v>0</v>
      </c>
      <c r="K7863">
        <v>1</v>
      </c>
      <c r="L7863">
        <v>1</v>
      </c>
      <c r="M7863">
        <f>VLOOKUP(Table1[[#This Row],[subscription_type]],Plans!$A$1:$B$5,2,FALSE)</f>
        <v>4.99</v>
      </c>
      <c r="N7863">
        <f t="shared" si="122"/>
        <v>4.99</v>
      </c>
    </row>
    <row r="7864" spans="1:14" x14ac:dyDescent="0.35">
      <c r="A7864">
        <v>7863</v>
      </c>
      <c r="B7864" t="s">
        <v>16</v>
      </c>
      <c r="C7864">
        <v>42</v>
      </c>
      <c r="D7864" t="s">
        <v>27</v>
      </c>
      <c r="E7864" t="s">
        <v>14</v>
      </c>
      <c r="F7864">
        <v>211</v>
      </c>
      <c r="G7864">
        <v>36</v>
      </c>
      <c r="H7864">
        <v>0.4</v>
      </c>
      <c r="I7864" t="s">
        <v>15</v>
      </c>
      <c r="J7864">
        <v>34</v>
      </c>
      <c r="K7864">
        <v>0</v>
      </c>
      <c r="L7864">
        <v>0</v>
      </c>
      <c r="M7864">
        <f>VLOOKUP(Table1[[#This Row],[subscription_type]],Plans!$A$1:$B$5,2,FALSE)</f>
        <v>0</v>
      </c>
      <c r="N7864">
        <f t="shared" si="122"/>
        <v>0</v>
      </c>
    </row>
    <row r="7865" spans="1:14" x14ac:dyDescent="0.35">
      <c r="A7865">
        <v>7864</v>
      </c>
      <c r="B7865" t="s">
        <v>12</v>
      </c>
      <c r="C7865">
        <v>37</v>
      </c>
      <c r="D7865" t="s">
        <v>13</v>
      </c>
      <c r="E7865" t="s">
        <v>18</v>
      </c>
      <c r="F7865">
        <v>192</v>
      </c>
      <c r="G7865">
        <v>23</v>
      </c>
      <c r="H7865">
        <v>0.06</v>
      </c>
      <c r="I7865" t="s">
        <v>23</v>
      </c>
      <c r="J7865">
        <v>0</v>
      </c>
      <c r="K7865">
        <v>1</v>
      </c>
      <c r="L7865">
        <v>0</v>
      </c>
      <c r="M7865">
        <f>VLOOKUP(Table1[[#This Row],[subscription_type]],Plans!$A$1:$B$5,2,FALSE)</f>
        <v>14.99</v>
      </c>
      <c r="N7865">
        <f t="shared" si="122"/>
        <v>0</v>
      </c>
    </row>
    <row r="7866" spans="1:14" x14ac:dyDescent="0.35">
      <c r="A7866">
        <v>7865</v>
      </c>
      <c r="B7866" t="s">
        <v>16</v>
      </c>
      <c r="C7866">
        <v>16</v>
      </c>
      <c r="D7866" t="s">
        <v>27</v>
      </c>
      <c r="E7866" t="s">
        <v>24</v>
      </c>
      <c r="F7866">
        <v>52</v>
      </c>
      <c r="G7866">
        <v>97</v>
      </c>
      <c r="H7866">
        <v>0.11</v>
      </c>
      <c r="I7866" t="s">
        <v>23</v>
      </c>
      <c r="J7866">
        <v>0</v>
      </c>
      <c r="K7866">
        <v>1</v>
      </c>
      <c r="L7866">
        <v>0</v>
      </c>
      <c r="M7866">
        <f>VLOOKUP(Table1[[#This Row],[subscription_type]],Plans!$A$1:$B$5,2,FALSE)</f>
        <v>4.99</v>
      </c>
      <c r="N7866">
        <f t="shared" si="122"/>
        <v>0</v>
      </c>
    </row>
    <row r="7867" spans="1:14" x14ac:dyDescent="0.35">
      <c r="A7867">
        <v>7866</v>
      </c>
      <c r="B7867" t="s">
        <v>16</v>
      </c>
      <c r="C7867">
        <v>39</v>
      </c>
      <c r="D7867" t="s">
        <v>25</v>
      </c>
      <c r="E7867" t="s">
        <v>22</v>
      </c>
      <c r="F7867">
        <v>151</v>
      </c>
      <c r="G7867">
        <v>35</v>
      </c>
      <c r="H7867">
        <v>0.32</v>
      </c>
      <c r="I7867" t="s">
        <v>15</v>
      </c>
      <c r="J7867">
        <v>0</v>
      </c>
      <c r="K7867">
        <v>1</v>
      </c>
      <c r="L7867">
        <v>0</v>
      </c>
      <c r="M7867">
        <f>VLOOKUP(Table1[[#This Row],[subscription_type]],Plans!$A$1:$B$5,2,FALSE)</f>
        <v>9.99</v>
      </c>
      <c r="N7867">
        <f t="shared" si="122"/>
        <v>0</v>
      </c>
    </row>
    <row r="7868" spans="1:14" x14ac:dyDescent="0.35">
      <c r="A7868">
        <v>7867</v>
      </c>
      <c r="B7868" t="s">
        <v>20</v>
      </c>
      <c r="C7868">
        <v>28</v>
      </c>
      <c r="D7868" t="s">
        <v>28</v>
      </c>
      <c r="E7868" t="s">
        <v>18</v>
      </c>
      <c r="F7868">
        <v>248</v>
      </c>
      <c r="G7868">
        <v>46</v>
      </c>
      <c r="H7868">
        <v>0.27</v>
      </c>
      <c r="I7868" t="s">
        <v>19</v>
      </c>
      <c r="J7868">
        <v>0</v>
      </c>
      <c r="K7868">
        <v>1</v>
      </c>
      <c r="L7868">
        <v>0</v>
      </c>
      <c r="M7868">
        <f>VLOOKUP(Table1[[#This Row],[subscription_type]],Plans!$A$1:$B$5,2,FALSE)</f>
        <v>14.99</v>
      </c>
      <c r="N7868">
        <f t="shared" si="122"/>
        <v>0</v>
      </c>
    </row>
    <row r="7869" spans="1:14" x14ac:dyDescent="0.35">
      <c r="A7869">
        <v>7868</v>
      </c>
      <c r="B7869" t="s">
        <v>20</v>
      </c>
      <c r="C7869">
        <v>46</v>
      </c>
      <c r="D7869" t="s">
        <v>29</v>
      </c>
      <c r="E7869" t="s">
        <v>18</v>
      </c>
      <c r="F7869">
        <v>133</v>
      </c>
      <c r="G7869">
        <v>74</v>
      </c>
      <c r="H7869">
        <v>0.5</v>
      </c>
      <c r="I7869" t="s">
        <v>19</v>
      </c>
      <c r="J7869">
        <v>0</v>
      </c>
      <c r="K7869">
        <v>1</v>
      </c>
      <c r="L7869">
        <v>0</v>
      </c>
      <c r="M7869">
        <f>VLOOKUP(Table1[[#This Row],[subscription_type]],Plans!$A$1:$B$5,2,FALSE)</f>
        <v>14.99</v>
      </c>
      <c r="N7869">
        <f t="shared" si="122"/>
        <v>0</v>
      </c>
    </row>
    <row r="7870" spans="1:14" x14ac:dyDescent="0.35">
      <c r="A7870">
        <v>7869</v>
      </c>
      <c r="B7870" t="s">
        <v>16</v>
      </c>
      <c r="C7870">
        <v>48</v>
      </c>
      <c r="D7870" t="s">
        <v>26</v>
      </c>
      <c r="E7870" t="s">
        <v>22</v>
      </c>
      <c r="F7870">
        <v>164</v>
      </c>
      <c r="G7870">
        <v>40</v>
      </c>
      <c r="H7870">
        <v>0.54</v>
      </c>
      <c r="I7870" t="s">
        <v>23</v>
      </c>
      <c r="J7870">
        <v>0</v>
      </c>
      <c r="K7870">
        <v>1</v>
      </c>
      <c r="L7870">
        <v>0</v>
      </c>
      <c r="M7870">
        <f>VLOOKUP(Table1[[#This Row],[subscription_type]],Plans!$A$1:$B$5,2,FALSE)</f>
        <v>9.99</v>
      </c>
      <c r="N7870">
        <f t="shared" si="122"/>
        <v>0</v>
      </c>
    </row>
    <row r="7871" spans="1:14" x14ac:dyDescent="0.35">
      <c r="A7871">
        <v>7870</v>
      </c>
      <c r="B7871" t="s">
        <v>20</v>
      </c>
      <c r="C7871">
        <v>59</v>
      </c>
      <c r="D7871" t="s">
        <v>17</v>
      </c>
      <c r="E7871" t="s">
        <v>14</v>
      </c>
      <c r="F7871">
        <v>269</v>
      </c>
      <c r="G7871">
        <v>43</v>
      </c>
      <c r="H7871">
        <v>0.09</v>
      </c>
      <c r="I7871" t="s">
        <v>23</v>
      </c>
      <c r="J7871">
        <v>37</v>
      </c>
      <c r="K7871">
        <v>0</v>
      </c>
      <c r="L7871">
        <v>0</v>
      </c>
      <c r="M7871">
        <f>VLOOKUP(Table1[[#This Row],[subscription_type]],Plans!$A$1:$B$5,2,FALSE)</f>
        <v>0</v>
      </c>
      <c r="N7871">
        <f t="shared" si="122"/>
        <v>0</v>
      </c>
    </row>
    <row r="7872" spans="1:14" x14ac:dyDescent="0.35">
      <c r="A7872">
        <v>7871</v>
      </c>
      <c r="B7872" t="s">
        <v>16</v>
      </c>
      <c r="C7872">
        <v>36</v>
      </c>
      <c r="D7872" t="s">
        <v>17</v>
      </c>
      <c r="E7872" t="s">
        <v>14</v>
      </c>
      <c r="F7872">
        <v>135</v>
      </c>
      <c r="G7872">
        <v>79</v>
      </c>
      <c r="H7872">
        <v>0.53</v>
      </c>
      <c r="I7872" t="s">
        <v>23</v>
      </c>
      <c r="J7872">
        <v>25</v>
      </c>
      <c r="K7872">
        <v>0</v>
      </c>
      <c r="L7872">
        <v>0</v>
      </c>
      <c r="M7872">
        <f>VLOOKUP(Table1[[#This Row],[subscription_type]],Plans!$A$1:$B$5,2,FALSE)</f>
        <v>0</v>
      </c>
      <c r="N7872">
        <f t="shared" si="122"/>
        <v>0</v>
      </c>
    </row>
    <row r="7873" spans="1:14" x14ac:dyDescent="0.35">
      <c r="A7873">
        <v>7872</v>
      </c>
      <c r="B7873" t="s">
        <v>12</v>
      </c>
      <c r="C7873">
        <v>18</v>
      </c>
      <c r="D7873" t="s">
        <v>25</v>
      </c>
      <c r="E7873" t="s">
        <v>24</v>
      </c>
      <c r="F7873">
        <v>200</v>
      </c>
      <c r="G7873">
        <v>14</v>
      </c>
      <c r="H7873">
        <v>0.51</v>
      </c>
      <c r="I7873" t="s">
        <v>15</v>
      </c>
      <c r="J7873">
        <v>0</v>
      </c>
      <c r="K7873">
        <v>1</v>
      </c>
      <c r="L7873">
        <v>0</v>
      </c>
      <c r="M7873">
        <f>VLOOKUP(Table1[[#This Row],[subscription_type]],Plans!$A$1:$B$5,2,FALSE)</f>
        <v>4.99</v>
      </c>
      <c r="N7873">
        <f t="shared" si="122"/>
        <v>0</v>
      </c>
    </row>
    <row r="7874" spans="1:14" x14ac:dyDescent="0.35">
      <c r="A7874">
        <v>7873</v>
      </c>
      <c r="B7874" t="s">
        <v>16</v>
      </c>
      <c r="C7874">
        <v>23</v>
      </c>
      <c r="D7874" t="s">
        <v>25</v>
      </c>
      <c r="E7874" t="s">
        <v>24</v>
      </c>
      <c r="F7874">
        <v>75</v>
      </c>
      <c r="G7874">
        <v>95</v>
      </c>
      <c r="H7874">
        <v>0.31</v>
      </c>
      <c r="I7874" t="s">
        <v>19</v>
      </c>
      <c r="J7874">
        <v>0</v>
      </c>
      <c r="K7874">
        <v>1</v>
      </c>
      <c r="L7874">
        <v>0</v>
      </c>
      <c r="M7874">
        <f>VLOOKUP(Table1[[#This Row],[subscription_type]],Plans!$A$1:$B$5,2,FALSE)</f>
        <v>4.99</v>
      </c>
      <c r="N7874">
        <f t="shared" ref="N7874:N7937" si="123">IF(L7874=1, M7874,0)</f>
        <v>0</v>
      </c>
    </row>
    <row r="7875" spans="1:14" x14ac:dyDescent="0.35">
      <c r="A7875">
        <v>7874</v>
      </c>
      <c r="B7875" t="s">
        <v>20</v>
      </c>
      <c r="C7875">
        <v>20</v>
      </c>
      <c r="D7875" t="s">
        <v>28</v>
      </c>
      <c r="E7875" t="s">
        <v>24</v>
      </c>
      <c r="F7875">
        <v>132</v>
      </c>
      <c r="G7875">
        <v>71</v>
      </c>
      <c r="H7875">
        <v>0.43</v>
      </c>
      <c r="I7875" t="s">
        <v>19</v>
      </c>
      <c r="J7875">
        <v>0</v>
      </c>
      <c r="K7875">
        <v>1</v>
      </c>
      <c r="L7875">
        <v>0</v>
      </c>
      <c r="M7875">
        <f>VLOOKUP(Table1[[#This Row],[subscription_type]],Plans!$A$1:$B$5,2,FALSE)</f>
        <v>4.99</v>
      </c>
      <c r="N7875">
        <f t="shared" si="123"/>
        <v>0</v>
      </c>
    </row>
    <row r="7876" spans="1:14" x14ac:dyDescent="0.35">
      <c r="A7876">
        <v>7875</v>
      </c>
      <c r="B7876" t="s">
        <v>16</v>
      </c>
      <c r="C7876">
        <v>46</v>
      </c>
      <c r="D7876" t="s">
        <v>26</v>
      </c>
      <c r="E7876" t="s">
        <v>22</v>
      </c>
      <c r="F7876">
        <v>296</v>
      </c>
      <c r="G7876">
        <v>95</v>
      </c>
      <c r="H7876">
        <v>0.56000000000000005</v>
      </c>
      <c r="I7876" t="s">
        <v>23</v>
      </c>
      <c r="J7876">
        <v>0</v>
      </c>
      <c r="K7876">
        <v>1</v>
      </c>
      <c r="L7876">
        <v>0</v>
      </c>
      <c r="M7876">
        <f>VLOOKUP(Table1[[#This Row],[subscription_type]],Plans!$A$1:$B$5,2,FALSE)</f>
        <v>9.99</v>
      </c>
      <c r="N7876">
        <f t="shared" si="123"/>
        <v>0</v>
      </c>
    </row>
    <row r="7877" spans="1:14" x14ac:dyDescent="0.35">
      <c r="A7877">
        <v>7876</v>
      </c>
      <c r="B7877" t="s">
        <v>16</v>
      </c>
      <c r="C7877">
        <v>19</v>
      </c>
      <c r="D7877" t="s">
        <v>26</v>
      </c>
      <c r="E7877" t="s">
        <v>24</v>
      </c>
      <c r="F7877">
        <v>96</v>
      </c>
      <c r="G7877">
        <v>22</v>
      </c>
      <c r="H7877">
        <v>0.28000000000000003</v>
      </c>
      <c r="I7877" t="s">
        <v>15</v>
      </c>
      <c r="J7877">
        <v>0</v>
      </c>
      <c r="K7877">
        <v>1</v>
      </c>
      <c r="L7877">
        <v>0</v>
      </c>
      <c r="M7877">
        <f>VLOOKUP(Table1[[#This Row],[subscription_type]],Plans!$A$1:$B$5,2,FALSE)</f>
        <v>4.99</v>
      </c>
      <c r="N7877">
        <f t="shared" si="123"/>
        <v>0</v>
      </c>
    </row>
    <row r="7878" spans="1:14" x14ac:dyDescent="0.35">
      <c r="A7878">
        <v>7877</v>
      </c>
      <c r="B7878" t="s">
        <v>12</v>
      </c>
      <c r="C7878">
        <v>43</v>
      </c>
      <c r="D7878" t="s">
        <v>26</v>
      </c>
      <c r="E7878" t="s">
        <v>22</v>
      </c>
      <c r="F7878">
        <v>117</v>
      </c>
      <c r="G7878">
        <v>68</v>
      </c>
      <c r="H7878">
        <v>0.3</v>
      </c>
      <c r="I7878" t="s">
        <v>23</v>
      </c>
      <c r="J7878">
        <v>0</v>
      </c>
      <c r="K7878">
        <v>1</v>
      </c>
      <c r="L7878">
        <v>0</v>
      </c>
      <c r="M7878">
        <f>VLOOKUP(Table1[[#This Row],[subscription_type]],Plans!$A$1:$B$5,2,FALSE)</f>
        <v>9.99</v>
      </c>
      <c r="N7878">
        <f t="shared" si="123"/>
        <v>0</v>
      </c>
    </row>
    <row r="7879" spans="1:14" x14ac:dyDescent="0.35">
      <c r="A7879">
        <v>7878</v>
      </c>
      <c r="B7879" t="s">
        <v>20</v>
      </c>
      <c r="C7879">
        <v>36</v>
      </c>
      <c r="D7879" t="s">
        <v>17</v>
      </c>
      <c r="E7879" t="s">
        <v>22</v>
      </c>
      <c r="F7879">
        <v>193</v>
      </c>
      <c r="G7879">
        <v>45</v>
      </c>
      <c r="H7879">
        <v>0.52</v>
      </c>
      <c r="I7879" t="s">
        <v>19</v>
      </c>
      <c r="J7879">
        <v>0</v>
      </c>
      <c r="K7879">
        <v>1</v>
      </c>
      <c r="L7879">
        <v>1</v>
      </c>
      <c r="M7879">
        <f>VLOOKUP(Table1[[#This Row],[subscription_type]],Plans!$A$1:$B$5,2,FALSE)</f>
        <v>9.99</v>
      </c>
      <c r="N7879">
        <f t="shared" si="123"/>
        <v>9.99</v>
      </c>
    </row>
    <row r="7880" spans="1:14" x14ac:dyDescent="0.35">
      <c r="A7880">
        <v>7879</v>
      </c>
      <c r="B7880" t="s">
        <v>12</v>
      </c>
      <c r="C7880">
        <v>47</v>
      </c>
      <c r="D7880" t="s">
        <v>29</v>
      </c>
      <c r="E7880" t="s">
        <v>22</v>
      </c>
      <c r="F7880">
        <v>264</v>
      </c>
      <c r="G7880">
        <v>65</v>
      </c>
      <c r="H7880">
        <v>0.28999999999999998</v>
      </c>
      <c r="I7880" t="s">
        <v>23</v>
      </c>
      <c r="J7880">
        <v>0</v>
      </c>
      <c r="K7880">
        <v>1</v>
      </c>
      <c r="L7880">
        <v>1</v>
      </c>
      <c r="M7880">
        <f>VLOOKUP(Table1[[#This Row],[subscription_type]],Plans!$A$1:$B$5,2,FALSE)</f>
        <v>9.99</v>
      </c>
      <c r="N7880">
        <f t="shared" si="123"/>
        <v>9.99</v>
      </c>
    </row>
    <row r="7881" spans="1:14" x14ac:dyDescent="0.35">
      <c r="A7881">
        <v>7880</v>
      </c>
      <c r="B7881" t="s">
        <v>16</v>
      </c>
      <c r="C7881">
        <v>31</v>
      </c>
      <c r="D7881" t="s">
        <v>25</v>
      </c>
      <c r="E7881" t="s">
        <v>18</v>
      </c>
      <c r="F7881">
        <v>87</v>
      </c>
      <c r="G7881">
        <v>13</v>
      </c>
      <c r="H7881">
        <v>0.11</v>
      </c>
      <c r="I7881" t="s">
        <v>15</v>
      </c>
      <c r="J7881">
        <v>0</v>
      </c>
      <c r="K7881">
        <v>1</v>
      </c>
      <c r="L7881">
        <v>1</v>
      </c>
      <c r="M7881">
        <f>VLOOKUP(Table1[[#This Row],[subscription_type]],Plans!$A$1:$B$5,2,FALSE)</f>
        <v>14.99</v>
      </c>
      <c r="N7881">
        <f t="shared" si="123"/>
        <v>14.99</v>
      </c>
    </row>
    <row r="7882" spans="1:14" x14ac:dyDescent="0.35">
      <c r="A7882">
        <v>7881</v>
      </c>
      <c r="B7882" t="s">
        <v>20</v>
      </c>
      <c r="C7882">
        <v>25</v>
      </c>
      <c r="D7882" t="s">
        <v>27</v>
      </c>
      <c r="E7882" t="s">
        <v>22</v>
      </c>
      <c r="F7882">
        <v>235</v>
      </c>
      <c r="G7882">
        <v>13</v>
      </c>
      <c r="H7882">
        <v>0.57999999999999996</v>
      </c>
      <c r="I7882" t="s">
        <v>15</v>
      </c>
      <c r="J7882">
        <v>0</v>
      </c>
      <c r="K7882">
        <v>1</v>
      </c>
      <c r="L7882">
        <v>1</v>
      </c>
      <c r="M7882">
        <f>VLOOKUP(Table1[[#This Row],[subscription_type]],Plans!$A$1:$B$5,2,FALSE)</f>
        <v>9.99</v>
      </c>
      <c r="N7882">
        <f t="shared" si="123"/>
        <v>9.99</v>
      </c>
    </row>
    <row r="7883" spans="1:14" x14ac:dyDescent="0.35">
      <c r="A7883">
        <v>7882</v>
      </c>
      <c r="B7883" t="s">
        <v>16</v>
      </c>
      <c r="C7883">
        <v>50</v>
      </c>
      <c r="D7883" t="s">
        <v>28</v>
      </c>
      <c r="E7883" t="s">
        <v>14</v>
      </c>
      <c r="F7883">
        <v>216</v>
      </c>
      <c r="G7883">
        <v>6</v>
      </c>
      <c r="H7883">
        <v>0.39</v>
      </c>
      <c r="I7883" t="s">
        <v>19</v>
      </c>
      <c r="J7883">
        <v>8</v>
      </c>
      <c r="K7883">
        <v>0</v>
      </c>
      <c r="L7883">
        <v>0</v>
      </c>
      <c r="M7883">
        <f>VLOOKUP(Table1[[#This Row],[subscription_type]],Plans!$A$1:$B$5,2,FALSE)</f>
        <v>0</v>
      </c>
      <c r="N7883">
        <f t="shared" si="123"/>
        <v>0</v>
      </c>
    </row>
    <row r="7884" spans="1:14" x14ac:dyDescent="0.35">
      <c r="A7884">
        <v>7883</v>
      </c>
      <c r="B7884" t="s">
        <v>16</v>
      </c>
      <c r="C7884">
        <v>22</v>
      </c>
      <c r="D7884" t="s">
        <v>28</v>
      </c>
      <c r="E7884" t="s">
        <v>24</v>
      </c>
      <c r="F7884">
        <v>287</v>
      </c>
      <c r="G7884">
        <v>47</v>
      </c>
      <c r="H7884">
        <v>0.37</v>
      </c>
      <c r="I7884" t="s">
        <v>19</v>
      </c>
      <c r="J7884">
        <v>0</v>
      </c>
      <c r="K7884">
        <v>1</v>
      </c>
      <c r="L7884">
        <v>0</v>
      </c>
      <c r="M7884">
        <f>VLOOKUP(Table1[[#This Row],[subscription_type]],Plans!$A$1:$B$5,2,FALSE)</f>
        <v>4.99</v>
      </c>
      <c r="N7884">
        <f t="shared" si="123"/>
        <v>0</v>
      </c>
    </row>
    <row r="7885" spans="1:14" x14ac:dyDescent="0.35">
      <c r="A7885">
        <v>7884</v>
      </c>
      <c r="B7885" t="s">
        <v>12</v>
      </c>
      <c r="C7885">
        <v>45</v>
      </c>
      <c r="D7885" t="s">
        <v>28</v>
      </c>
      <c r="E7885" t="s">
        <v>24</v>
      </c>
      <c r="F7885">
        <v>215</v>
      </c>
      <c r="G7885">
        <v>5</v>
      </c>
      <c r="H7885">
        <v>0.25</v>
      </c>
      <c r="I7885" t="s">
        <v>15</v>
      </c>
      <c r="J7885">
        <v>0</v>
      </c>
      <c r="K7885">
        <v>1</v>
      </c>
      <c r="L7885">
        <v>0</v>
      </c>
      <c r="M7885">
        <f>VLOOKUP(Table1[[#This Row],[subscription_type]],Plans!$A$1:$B$5,2,FALSE)</f>
        <v>4.99</v>
      </c>
      <c r="N7885">
        <f t="shared" si="123"/>
        <v>0</v>
      </c>
    </row>
    <row r="7886" spans="1:14" x14ac:dyDescent="0.35">
      <c r="A7886">
        <v>7885</v>
      </c>
      <c r="B7886" t="s">
        <v>20</v>
      </c>
      <c r="C7886">
        <v>31</v>
      </c>
      <c r="D7886" t="s">
        <v>29</v>
      </c>
      <c r="E7886" t="s">
        <v>24</v>
      </c>
      <c r="F7886">
        <v>180</v>
      </c>
      <c r="G7886">
        <v>6</v>
      </c>
      <c r="H7886">
        <v>0.28000000000000003</v>
      </c>
      <c r="I7886" t="s">
        <v>15</v>
      </c>
      <c r="J7886">
        <v>0</v>
      </c>
      <c r="K7886">
        <v>1</v>
      </c>
      <c r="L7886">
        <v>0</v>
      </c>
      <c r="M7886">
        <f>VLOOKUP(Table1[[#This Row],[subscription_type]],Plans!$A$1:$B$5,2,FALSE)</f>
        <v>4.99</v>
      </c>
      <c r="N7886">
        <f t="shared" si="123"/>
        <v>0</v>
      </c>
    </row>
    <row r="7887" spans="1:14" x14ac:dyDescent="0.35">
      <c r="A7887">
        <v>7886</v>
      </c>
      <c r="B7887" t="s">
        <v>16</v>
      </c>
      <c r="C7887">
        <v>28</v>
      </c>
      <c r="D7887" t="s">
        <v>17</v>
      </c>
      <c r="E7887" t="s">
        <v>22</v>
      </c>
      <c r="F7887">
        <v>44</v>
      </c>
      <c r="G7887">
        <v>26</v>
      </c>
      <c r="H7887">
        <v>0.08</v>
      </c>
      <c r="I7887" t="s">
        <v>19</v>
      </c>
      <c r="J7887">
        <v>0</v>
      </c>
      <c r="K7887">
        <v>1</v>
      </c>
      <c r="L7887">
        <v>0</v>
      </c>
      <c r="M7887">
        <f>VLOOKUP(Table1[[#This Row],[subscription_type]],Plans!$A$1:$B$5,2,FALSE)</f>
        <v>9.99</v>
      </c>
      <c r="N7887">
        <f t="shared" si="123"/>
        <v>0</v>
      </c>
    </row>
    <row r="7888" spans="1:14" x14ac:dyDescent="0.35">
      <c r="A7888">
        <v>7887</v>
      </c>
      <c r="B7888" t="s">
        <v>20</v>
      </c>
      <c r="C7888">
        <v>37</v>
      </c>
      <c r="D7888" t="s">
        <v>29</v>
      </c>
      <c r="E7888" t="s">
        <v>14</v>
      </c>
      <c r="F7888">
        <v>220</v>
      </c>
      <c r="G7888">
        <v>91</v>
      </c>
      <c r="H7888">
        <v>0.56000000000000005</v>
      </c>
      <c r="I7888" t="s">
        <v>23</v>
      </c>
      <c r="J7888">
        <v>47</v>
      </c>
      <c r="K7888">
        <v>0</v>
      </c>
      <c r="L7888">
        <v>1</v>
      </c>
      <c r="M7888">
        <f>VLOOKUP(Table1[[#This Row],[subscription_type]],Plans!$A$1:$B$5,2,FALSE)</f>
        <v>0</v>
      </c>
      <c r="N7888">
        <f t="shared" si="123"/>
        <v>0</v>
      </c>
    </row>
    <row r="7889" spans="1:14" x14ac:dyDescent="0.35">
      <c r="A7889">
        <v>7888</v>
      </c>
      <c r="B7889" t="s">
        <v>20</v>
      </c>
      <c r="C7889">
        <v>55</v>
      </c>
      <c r="D7889" t="s">
        <v>21</v>
      </c>
      <c r="E7889" t="s">
        <v>18</v>
      </c>
      <c r="F7889">
        <v>134</v>
      </c>
      <c r="G7889">
        <v>25</v>
      </c>
      <c r="H7889">
        <v>0.21</v>
      </c>
      <c r="I7889" t="s">
        <v>23</v>
      </c>
      <c r="J7889">
        <v>0</v>
      </c>
      <c r="K7889">
        <v>1</v>
      </c>
      <c r="L7889">
        <v>0</v>
      </c>
      <c r="M7889">
        <f>VLOOKUP(Table1[[#This Row],[subscription_type]],Plans!$A$1:$B$5,2,FALSE)</f>
        <v>14.99</v>
      </c>
      <c r="N7889">
        <f t="shared" si="123"/>
        <v>0</v>
      </c>
    </row>
    <row r="7890" spans="1:14" x14ac:dyDescent="0.35">
      <c r="A7890">
        <v>7889</v>
      </c>
      <c r="B7890" t="s">
        <v>12</v>
      </c>
      <c r="C7890">
        <v>46</v>
      </c>
      <c r="D7890" t="s">
        <v>21</v>
      </c>
      <c r="E7890" t="s">
        <v>14</v>
      </c>
      <c r="F7890">
        <v>105</v>
      </c>
      <c r="G7890">
        <v>21</v>
      </c>
      <c r="H7890">
        <v>0.32</v>
      </c>
      <c r="I7890" t="s">
        <v>15</v>
      </c>
      <c r="J7890">
        <v>11</v>
      </c>
      <c r="K7890">
        <v>0</v>
      </c>
      <c r="L7890">
        <v>0</v>
      </c>
      <c r="M7890">
        <f>VLOOKUP(Table1[[#This Row],[subscription_type]],Plans!$A$1:$B$5,2,FALSE)</f>
        <v>0</v>
      </c>
      <c r="N7890">
        <f t="shared" si="123"/>
        <v>0</v>
      </c>
    </row>
    <row r="7891" spans="1:14" x14ac:dyDescent="0.35">
      <c r="A7891">
        <v>7890</v>
      </c>
      <c r="B7891" t="s">
        <v>12</v>
      </c>
      <c r="C7891">
        <v>34</v>
      </c>
      <c r="D7891" t="s">
        <v>29</v>
      </c>
      <c r="E7891" t="s">
        <v>24</v>
      </c>
      <c r="F7891">
        <v>28</v>
      </c>
      <c r="G7891">
        <v>60</v>
      </c>
      <c r="H7891">
        <v>0.57999999999999996</v>
      </c>
      <c r="I7891" t="s">
        <v>23</v>
      </c>
      <c r="J7891">
        <v>0</v>
      </c>
      <c r="K7891">
        <v>1</v>
      </c>
      <c r="L7891">
        <v>0</v>
      </c>
      <c r="M7891">
        <f>VLOOKUP(Table1[[#This Row],[subscription_type]],Plans!$A$1:$B$5,2,FALSE)</f>
        <v>4.99</v>
      </c>
      <c r="N7891">
        <f t="shared" si="123"/>
        <v>0</v>
      </c>
    </row>
    <row r="7892" spans="1:14" x14ac:dyDescent="0.35">
      <c r="A7892">
        <v>7891</v>
      </c>
      <c r="B7892" t="s">
        <v>16</v>
      </c>
      <c r="C7892">
        <v>59</v>
      </c>
      <c r="D7892" t="s">
        <v>28</v>
      </c>
      <c r="E7892" t="s">
        <v>14</v>
      </c>
      <c r="F7892">
        <v>22</v>
      </c>
      <c r="G7892">
        <v>48</v>
      </c>
      <c r="H7892">
        <v>0.05</v>
      </c>
      <c r="I7892" t="s">
        <v>23</v>
      </c>
      <c r="J7892">
        <v>17</v>
      </c>
      <c r="K7892">
        <v>0</v>
      </c>
      <c r="L7892">
        <v>0</v>
      </c>
      <c r="M7892">
        <f>VLOOKUP(Table1[[#This Row],[subscription_type]],Plans!$A$1:$B$5,2,FALSE)</f>
        <v>0</v>
      </c>
      <c r="N7892">
        <f t="shared" si="123"/>
        <v>0</v>
      </c>
    </row>
    <row r="7893" spans="1:14" x14ac:dyDescent="0.35">
      <c r="A7893">
        <v>7892</v>
      </c>
      <c r="B7893" t="s">
        <v>16</v>
      </c>
      <c r="C7893">
        <v>32</v>
      </c>
      <c r="D7893" t="s">
        <v>13</v>
      </c>
      <c r="E7893" t="s">
        <v>24</v>
      </c>
      <c r="F7893">
        <v>174</v>
      </c>
      <c r="G7893">
        <v>46</v>
      </c>
      <c r="H7893">
        <v>0.11</v>
      </c>
      <c r="I7893" t="s">
        <v>23</v>
      </c>
      <c r="J7893">
        <v>0</v>
      </c>
      <c r="K7893">
        <v>1</v>
      </c>
      <c r="L7893">
        <v>1</v>
      </c>
      <c r="M7893">
        <f>VLOOKUP(Table1[[#This Row],[subscription_type]],Plans!$A$1:$B$5,2,FALSE)</f>
        <v>4.99</v>
      </c>
      <c r="N7893">
        <f t="shared" si="123"/>
        <v>4.99</v>
      </c>
    </row>
    <row r="7894" spans="1:14" x14ac:dyDescent="0.35">
      <c r="A7894">
        <v>7893</v>
      </c>
      <c r="B7894" t="s">
        <v>12</v>
      </c>
      <c r="C7894">
        <v>41</v>
      </c>
      <c r="D7894" t="s">
        <v>27</v>
      </c>
      <c r="E7894" t="s">
        <v>14</v>
      </c>
      <c r="F7894">
        <v>277</v>
      </c>
      <c r="G7894">
        <v>79</v>
      </c>
      <c r="H7894">
        <v>0.25</v>
      </c>
      <c r="I7894" t="s">
        <v>23</v>
      </c>
      <c r="J7894">
        <v>14</v>
      </c>
      <c r="K7894">
        <v>0</v>
      </c>
      <c r="L7894">
        <v>0</v>
      </c>
      <c r="M7894">
        <f>VLOOKUP(Table1[[#This Row],[subscription_type]],Plans!$A$1:$B$5,2,FALSE)</f>
        <v>0</v>
      </c>
      <c r="N7894">
        <f t="shared" si="123"/>
        <v>0</v>
      </c>
    </row>
    <row r="7895" spans="1:14" x14ac:dyDescent="0.35">
      <c r="A7895">
        <v>7894</v>
      </c>
      <c r="B7895" t="s">
        <v>12</v>
      </c>
      <c r="C7895">
        <v>58</v>
      </c>
      <c r="D7895" t="s">
        <v>17</v>
      </c>
      <c r="E7895" t="s">
        <v>24</v>
      </c>
      <c r="F7895">
        <v>292</v>
      </c>
      <c r="G7895">
        <v>51</v>
      </c>
      <c r="H7895">
        <v>0.17</v>
      </c>
      <c r="I7895" t="s">
        <v>23</v>
      </c>
      <c r="J7895">
        <v>0</v>
      </c>
      <c r="K7895">
        <v>1</v>
      </c>
      <c r="L7895">
        <v>0</v>
      </c>
      <c r="M7895">
        <f>VLOOKUP(Table1[[#This Row],[subscription_type]],Plans!$A$1:$B$5,2,FALSE)</f>
        <v>4.99</v>
      </c>
      <c r="N7895">
        <f t="shared" si="123"/>
        <v>0</v>
      </c>
    </row>
    <row r="7896" spans="1:14" x14ac:dyDescent="0.35">
      <c r="A7896">
        <v>7895</v>
      </c>
      <c r="B7896" t="s">
        <v>12</v>
      </c>
      <c r="C7896">
        <v>34</v>
      </c>
      <c r="D7896" t="s">
        <v>21</v>
      </c>
      <c r="E7896" t="s">
        <v>14</v>
      </c>
      <c r="F7896">
        <v>56</v>
      </c>
      <c r="G7896">
        <v>51</v>
      </c>
      <c r="H7896">
        <v>0.21</v>
      </c>
      <c r="I7896" t="s">
        <v>19</v>
      </c>
      <c r="J7896">
        <v>37</v>
      </c>
      <c r="K7896">
        <v>0</v>
      </c>
      <c r="L7896">
        <v>0</v>
      </c>
      <c r="M7896">
        <f>VLOOKUP(Table1[[#This Row],[subscription_type]],Plans!$A$1:$B$5,2,FALSE)</f>
        <v>0</v>
      </c>
      <c r="N7896">
        <f t="shared" si="123"/>
        <v>0</v>
      </c>
    </row>
    <row r="7897" spans="1:14" x14ac:dyDescent="0.35">
      <c r="A7897">
        <v>7896</v>
      </c>
      <c r="B7897" t="s">
        <v>20</v>
      </c>
      <c r="C7897">
        <v>58</v>
      </c>
      <c r="D7897" t="s">
        <v>21</v>
      </c>
      <c r="E7897" t="s">
        <v>14</v>
      </c>
      <c r="F7897">
        <v>229</v>
      </c>
      <c r="G7897">
        <v>28</v>
      </c>
      <c r="H7897">
        <v>0.57999999999999996</v>
      </c>
      <c r="I7897" t="s">
        <v>23</v>
      </c>
      <c r="J7897">
        <v>11</v>
      </c>
      <c r="K7897">
        <v>0</v>
      </c>
      <c r="L7897">
        <v>0</v>
      </c>
      <c r="M7897">
        <f>VLOOKUP(Table1[[#This Row],[subscription_type]],Plans!$A$1:$B$5,2,FALSE)</f>
        <v>0</v>
      </c>
      <c r="N7897">
        <f t="shared" si="123"/>
        <v>0</v>
      </c>
    </row>
    <row r="7898" spans="1:14" x14ac:dyDescent="0.35">
      <c r="A7898">
        <v>7897</v>
      </c>
      <c r="B7898" t="s">
        <v>12</v>
      </c>
      <c r="C7898">
        <v>32</v>
      </c>
      <c r="D7898" t="s">
        <v>29</v>
      </c>
      <c r="E7898" t="s">
        <v>24</v>
      </c>
      <c r="F7898">
        <v>115</v>
      </c>
      <c r="G7898">
        <v>76</v>
      </c>
      <c r="H7898">
        <v>0.16</v>
      </c>
      <c r="I7898" t="s">
        <v>23</v>
      </c>
      <c r="J7898">
        <v>0</v>
      </c>
      <c r="K7898">
        <v>1</v>
      </c>
      <c r="L7898">
        <v>1</v>
      </c>
      <c r="M7898">
        <f>VLOOKUP(Table1[[#This Row],[subscription_type]],Plans!$A$1:$B$5,2,FALSE)</f>
        <v>4.99</v>
      </c>
      <c r="N7898">
        <f t="shared" si="123"/>
        <v>4.99</v>
      </c>
    </row>
    <row r="7899" spans="1:14" x14ac:dyDescent="0.35">
      <c r="A7899">
        <v>7898</v>
      </c>
      <c r="B7899" t="s">
        <v>16</v>
      </c>
      <c r="C7899">
        <v>38</v>
      </c>
      <c r="D7899" t="s">
        <v>17</v>
      </c>
      <c r="E7899" t="s">
        <v>22</v>
      </c>
      <c r="F7899">
        <v>248</v>
      </c>
      <c r="G7899">
        <v>57</v>
      </c>
      <c r="H7899">
        <v>0.06</v>
      </c>
      <c r="I7899" t="s">
        <v>19</v>
      </c>
      <c r="J7899">
        <v>0</v>
      </c>
      <c r="K7899">
        <v>1</v>
      </c>
      <c r="L7899">
        <v>0</v>
      </c>
      <c r="M7899">
        <f>VLOOKUP(Table1[[#This Row],[subscription_type]],Plans!$A$1:$B$5,2,FALSE)</f>
        <v>9.99</v>
      </c>
      <c r="N7899">
        <f t="shared" si="123"/>
        <v>0</v>
      </c>
    </row>
    <row r="7900" spans="1:14" x14ac:dyDescent="0.35">
      <c r="A7900">
        <v>7899</v>
      </c>
      <c r="B7900" t="s">
        <v>16</v>
      </c>
      <c r="C7900">
        <v>28</v>
      </c>
      <c r="D7900" t="s">
        <v>25</v>
      </c>
      <c r="E7900" t="s">
        <v>24</v>
      </c>
      <c r="F7900">
        <v>84</v>
      </c>
      <c r="G7900">
        <v>52</v>
      </c>
      <c r="H7900">
        <v>0.03</v>
      </c>
      <c r="I7900" t="s">
        <v>15</v>
      </c>
      <c r="J7900">
        <v>0</v>
      </c>
      <c r="K7900">
        <v>1</v>
      </c>
      <c r="L7900">
        <v>1</v>
      </c>
      <c r="M7900">
        <f>VLOOKUP(Table1[[#This Row],[subscription_type]],Plans!$A$1:$B$5,2,FALSE)</f>
        <v>4.99</v>
      </c>
      <c r="N7900">
        <f t="shared" si="123"/>
        <v>4.99</v>
      </c>
    </row>
    <row r="7901" spans="1:14" x14ac:dyDescent="0.35">
      <c r="A7901">
        <v>7900</v>
      </c>
      <c r="B7901" t="s">
        <v>16</v>
      </c>
      <c r="C7901">
        <v>31</v>
      </c>
      <c r="D7901" t="s">
        <v>17</v>
      </c>
      <c r="E7901" t="s">
        <v>18</v>
      </c>
      <c r="F7901">
        <v>53</v>
      </c>
      <c r="G7901">
        <v>97</v>
      </c>
      <c r="H7901">
        <v>7.0000000000000007E-2</v>
      </c>
      <c r="I7901" t="s">
        <v>19</v>
      </c>
      <c r="J7901">
        <v>0</v>
      </c>
      <c r="K7901">
        <v>1</v>
      </c>
      <c r="L7901">
        <v>0</v>
      </c>
      <c r="M7901">
        <f>VLOOKUP(Table1[[#This Row],[subscription_type]],Plans!$A$1:$B$5,2,FALSE)</f>
        <v>14.99</v>
      </c>
      <c r="N7901">
        <f t="shared" si="123"/>
        <v>0</v>
      </c>
    </row>
    <row r="7902" spans="1:14" x14ac:dyDescent="0.35">
      <c r="A7902">
        <v>7901</v>
      </c>
      <c r="B7902" t="s">
        <v>12</v>
      </c>
      <c r="C7902">
        <v>21</v>
      </c>
      <c r="D7902" t="s">
        <v>28</v>
      </c>
      <c r="E7902" t="s">
        <v>22</v>
      </c>
      <c r="F7902">
        <v>52</v>
      </c>
      <c r="G7902">
        <v>60</v>
      </c>
      <c r="H7902">
        <v>0.11</v>
      </c>
      <c r="I7902" t="s">
        <v>15</v>
      </c>
      <c r="J7902">
        <v>0</v>
      </c>
      <c r="K7902">
        <v>1</v>
      </c>
      <c r="L7902">
        <v>1</v>
      </c>
      <c r="M7902">
        <f>VLOOKUP(Table1[[#This Row],[subscription_type]],Plans!$A$1:$B$5,2,FALSE)</f>
        <v>9.99</v>
      </c>
      <c r="N7902">
        <f t="shared" si="123"/>
        <v>9.99</v>
      </c>
    </row>
    <row r="7903" spans="1:14" x14ac:dyDescent="0.35">
      <c r="A7903">
        <v>7902</v>
      </c>
      <c r="B7903" t="s">
        <v>12</v>
      </c>
      <c r="C7903">
        <v>24</v>
      </c>
      <c r="D7903" t="s">
        <v>28</v>
      </c>
      <c r="E7903" t="s">
        <v>14</v>
      </c>
      <c r="F7903">
        <v>86</v>
      </c>
      <c r="G7903">
        <v>23</v>
      </c>
      <c r="H7903">
        <v>0.28000000000000003</v>
      </c>
      <c r="I7903" t="s">
        <v>15</v>
      </c>
      <c r="J7903">
        <v>28</v>
      </c>
      <c r="K7903">
        <v>0</v>
      </c>
      <c r="L7903">
        <v>1</v>
      </c>
      <c r="M7903">
        <f>VLOOKUP(Table1[[#This Row],[subscription_type]],Plans!$A$1:$B$5,2,FALSE)</f>
        <v>0</v>
      </c>
      <c r="N7903">
        <f t="shared" si="123"/>
        <v>0</v>
      </c>
    </row>
    <row r="7904" spans="1:14" x14ac:dyDescent="0.35">
      <c r="A7904">
        <v>7903</v>
      </c>
      <c r="B7904" t="s">
        <v>12</v>
      </c>
      <c r="C7904">
        <v>16</v>
      </c>
      <c r="D7904" t="s">
        <v>25</v>
      </c>
      <c r="E7904" t="s">
        <v>24</v>
      </c>
      <c r="F7904">
        <v>67</v>
      </c>
      <c r="G7904">
        <v>52</v>
      </c>
      <c r="H7904">
        <v>0.28999999999999998</v>
      </c>
      <c r="I7904" t="s">
        <v>23</v>
      </c>
      <c r="J7904">
        <v>0</v>
      </c>
      <c r="K7904">
        <v>1</v>
      </c>
      <c r="L7904">
        <v>0</v>
      </c>
      <c r="M7904">
        <f>VLOOKUP(Table1[[#This Row],[subscription_type]],Plans!$A$1:$B$5,2,FALSE)</f>
        <v>4.99</v>
      </c>
      <c r="N7904">
        <f t="shared" si="123"/>
        <v>0</v>
      </c>
    </row>
    <row r="7905" spans="1:14" x14ac:dyDescent="0.35">
      <c r="A7905">
        <v>7904</v>
      </c>
      <c r="B7905" t="s">
        <v>12</v>
      </c>
      <c r="C7905">
        <v>43</v>
      </c>
      <c r="D7905" t="s">
        <v>13</v>
      </c>
      <c r="E7905" t="s">
        <v>18</v>
      </c>
      <c r="F7905">
        <v>199</v>
      </c>
      <c r="G7905">
        <v>5</v>
      </c>
      <c r="H7905">
        <v>0.08</v>
      </c>
      <c r="I7905" t="s">
        <v>15</v>
      </c>
      <c r="J7905">
        <v>0</v>
      </c>
      <c r="K7905">
        <v>1</v>
      </c>
      <c r="L7905">
        <v>0</v>
      </c>
      <c r="M7905">
        <f>VLOOKUP(Table1[[#This Row],[subscription_type]],Plans!$A$1:$B$5,2,FALSE)</f>
        <v>14.99</v>
      </c>
      <c r="N7905">
        <f t="shared" si="123"/>
        <v>0</v>
      </c>
    </row>
    <row r="7906" spans="1:14" x14ac:dyDescent="0.35">
      <c r="A7906">
        <v>7905</v>
      </c>
      <c r="B7906" t="s">
        <v>20</v>
      </c>
      <c r="C7906">
        <v>27</v>
      </c>
      <c r="D7906" t="s">
        <v>26</v>
      </c>
      <c r="E7906" t="s">
        <v>22</v>
      </c>
      <c r="F7906">
        <v>248</v>
      </c>
      <c r="G7906">
        <v>93</v>
      </c>
      <c r="H7906">
        <v>0.32</v>
      </c>
      <c r="I7906" t="s">
        <v>15</v>
      </c>
      <c r="J7906">
        <v>0</v>
      </c>
      <c r="K7906">
        <v>1</v>
      </c>
      <c r="L7906">
        <v>0</v>
      </c>
      <c r="M7906">
        <f>VLOOKUP(Table1[[#This Row],[subscription_type]],Plans!$A$1:$B$5,2,FALSE)</f>
        <v>9.99</v>
      </c>
      <c r="N7906">
        <f t="shared" si="123"/>
        <v>0</v>
      </c>
    </row>
    <row r="7907" spans="1:14" x14ac:dyDescent="0.35">
      <c r="A7907">
        <v>7906</v>
      </c>
      <c r="B7907" t="s">
        <v>16</v>
      </c>
      <c r="C7907">
        <v>27</v>
      </c>
      <c r="D7907" t="s">
        <v>17</v>
      </c>
      <c r="E7907" t="s">
        <v>24</v>
      </c>
      <c r="F7907">
        <v>198</v>
      </c>
      <c r="G7907">
        <v>50</v>
      </c>
      <c r="H7907">
        <v>0.56999999999999995</v>
      </c>
      <c r="I7907" t="s">
        <v>15</v>
      </c>
      <c r="J7907">
        <v>0</v>
      </c>
      <c r="K7907">
        <v>1</v>
      </c>
      <c r="L7907">
        <v>0</v>
      </c>
      <c r="M7907">
        <f>VLOOKUP(Table1[[#This Row],[subscription_type]],Plans!$A$1:$B$5,2,FALSE)</f>
        <v>4.99</v>
      </c>
      <c r="N7907">
        <f t="shared" si="123"/>
        <v>0</v>
      </c>
    </row>
    <row r="7908" spans="1:14" x14ac:dyDescent="0.35">
      <c r="A7908">
        <v>7907</v>
      </c>
      <c r="B7908" t="s">
        <v>20</v>
      </c>
      <c r="C7908">
        <v>27</v>
      </c>
      <c r="D7908" t="s">
        <v>17</v>
      </c>
      <c r="E7908" t="s">
        <v>24</v>
      </c>
      <c r="F7908">
        <v>154</v>
      </c>
      <c r="G7908">
        <v>89</v>
      </c>
      <c r="H7908">
        <v>0.22</v>
      </c>
      <c r="I7908" t="s">
        <v>15</v>
      </c>
      <c r="J7908">
        <v>0</v>
      </c>
      <c r="K7908">
        <v>1</v>
      </c>
      <c r="L7908">
        <v>0</v>
      </c>
      <c r="M7908">
        <f>VLOOKUP(Table1[[#This Row],[subscription_type]],Plans!$A$1:$B$5,2,FALSE)</f>
        <v>4.99</v>
      </c>
      <c r="N7908">
        <f t="shared" si="123"/>
        <v>0</v>
      </c>
    </row>
    <row r="7909" spans="1:14" x14ac:dyDescent="0.35">
      <c r="A7909">
        <v>7908</v>
      </c>
      <c r="B7909" t="s">
        <v>20</v>
      </c>
      <c r="C7909">
        <v>30</v>
      </c>
      <c r="D7909" t="s">
        <v>29</v>
      </c>
      <c r="E7909" t="s">
        <v>14</v>
      </c>
      <c r="F7909">
        <v>228</v>
      </c>
      <c r="G7909">
        <v>94</v>
      </c>
      <c r="H7909">
        <v>0.35</v>
      </c>
      <c r="I7909" t="s">
        <v>15</v>
      </c>
      <c r="J7909">
        <v>12</v>
      </c>
      <c r="K7909">
        <v>0</v>
      </c>
      <c r="L7909">
        <v>0</v>
      </c>
      <c r="M7909">
        <f>VLOOKUP(Table1[[#This Row],[subscription_type]],Plans!$A$1:$B$5,2,FALSE)</f>
        <v>0</v>
      </c>
      <c r="N7909">
        <f t="shared" si="123"/>
        <v>0</v>
      </c>
    </row>
    <row r="7910" spans="1:14" x14ac:dyDescent="0.35">
      <c r="A7910">
        <v>7909</v>
      </c>
      <c r="B7910" t="s">
        <v>12</v>
      </c>
      <c r="C7910">
        <v>36</v>
      </c>
      <c r="D7910" t="s">
        <v>26</v>
      </c>
      <c r="E7910" t="s">
        <v>14</v>
      </c>
      <c r="F7910">
        <v>288</v>
      </c>
      <c r="G7910">
        <v>60</v>
      </c>
      <c r="H7910">
        <v>0.38</v>
      </c>
      <c r="I7910" t="s">
        <v>19</v>
      </c>
      <c r="J7910">
        <v>17</v>
      </c>
      <c r="K7910">
        <v>0</v>
      </c>
      <c r="L7910">
        <v>0</v>
      </c>
      <c r="M7910">
        <f>VLOOKUP(Table1[[#This Row],[subscription_type]],Plans!$A$1:$B$5,2,FALSE)</f>
        <v>0</v>
      </c>
      <c r="N7910">
        <f t="shared" si="123"/>
        <v>0</v>
      </c>
    </row>
    <row r="7911" spans="1:14" x14ac:dyDescent="0.35">
      <c r="A7911">
        <v>7910</v>
      </c>
      <c r="B7911" t="s">
        <v>16</v>
      </c>
      <c r="C7911">
        <v>35</v>
      </c>
      <c r="D7911" t="s">
        <v>17</v>
      </c>
      <c r="E7911" t="s">
        <v>24</v>
      </c>
      <c r="F7911">
        <v>100</v>
      </c>
      <c r="G7911">
        <v>8</v>
      </c>
      <c r="H7911">
        <v>0.59</v>
      </c>
      <c r="I7911" t="s">
        <v>15</v>
      </c>
      <c r="J7911">
        <v>0</v>
      </c>
      <c r="K7911">
        <v>1</v>
      </c>
      <c r="L7911">
        <v>0</v>
      </c>
      <c r="M7911">
        <f>VLOOKUP(Table1[[#This Row],[subscription_type]],Plans!$A$1:$B$5,2,FALSE)</f>
        <v>4.99</v>
      </c>
      <c r="N7911">
        <f t="shared" si="123"/>
        <v>0</v>
      </c>
    </row>
    <row r="7912" spans="1:14" x14ac:dyDescent="0.35">
      <c r="A7912">
        <v>7911</v>
      </c>
      <c r="B7912" t="s">
        <v>16</v>
      </c>
      <c r="C7912">
        <v>26</v>
      </c>
      <c r="D7912" t="s">
        <v>29</v>
      </c>
      <c r="E7912" t="s">
        <v>18</v>
      </c>
      <c r="F7912">
        <v>60</v>
      </c>
      <c r="G7912">
        <v>35</v>
      </c>
      <c r="H7912">
        <v>0.26</v>
      </c>
      <c r="I7912" t="s">
        <v>19</v>
      </c>
      <c r="J7912">
        <v>0</v>
      </c>
      <c r="K7912">
        <v>1</v>
      </c>
      <c r="L7912">
        <v>0</v>
      </c>
      <c r="M7912">
        <f>VLOOKUP(Table1[[#This Row],[subscription_type]],Plans!$A$1:$B$5,2,FALSE)</f>
        <v>14.99</v>
      </c>
      <c r="N7912">
        <f t="shared" si="123"/>
        <v>0</v>
      </c>
    </row>
    <row r="7913" spans="1:14" x14ac:dyDescent="0.35">
      <c r="A7913">
        <v>7912</v>
      </c>
      <c r="B7913" t="s">
        <v>12</v>
      </c>
      <c r="C7913">
        <v>57</v>
      </c>
      <c r="D7913" t="s">
        <v>21</v>
      </c>
      <c r="E7913" t="s">
        <v>22</v>
      </c>
      <c r="F7913">
        <v>159</v>
      </c>
      <c r="G7913">
        <v>75</v>
      </c>
      <c r="H7913">
        <v>0.42</v>
      </c>
      <c r="I7913" t="s">
        <v>15</v>
      </c>
      <c r="J7913">
        <v>0</v>
      </c>
      <c r="K7913">
        <v>1</v>
      </c>
      <c r="L7913">
        <v>0</v>
      </c>
      <c r="M7913">
        <f>VLOOKUP(Table1[[#This Row],[subscription_type]],Plans!$A$1:$B$5,2,FALSE)</f>
        <v>9.99</v>
      </c>
      <c r="N7913">
        <f t="shared" si="123"/>
        <v>0</v>
      </c>
    </row>
    <row r="7914" spans="1:14" x14ac:dyDescent="0.35">
      <c r="A7914">
        <v>7913</v>
      </c>
      <c r="B7914" t="s">
        <v>20</v>
      </c>
      <c r="C7914">
        <v>21</v>
      </c>
      <c r="D7914" t="s">
        <v>29</v>
      </c>
      <c r="E7914" t="s">
        <v>22</v>
      </c>
      <c r="F7914">
        <v>152</v>
      </c>
      <c r="G7914">
        <v>3</v>
      </c>
      <c r="H7914">
        <v>0.22</v>
      </c>
      <c r="I7914" t="s">
        <v>15</v>
      </c>
      <c r="J7914">
        <v>0</v>
      </c>
      <c r="K7914">
        <v>1</v>
      </c>
      <c r="L7914">
        <v>0</v>
      </c>
      <c r="M7914">
        <f>VLOOKUP(Table1[[#This Row],[subscription_type]],Plans!$A$1:$B$5,2,FALSE)</f>
        <v>9.99</v>
      </c>
      <c r="N7914">
        <f t="shared" si="123"/>
        <v>0</v>
      </c>
    </row>
    <row r="7915" spans="1:14" x14ac:dyDescent="0.35">
      <c r="A7915">
        <v>7914</v>
      </c>
      <c r="B7915" t="s">
        <v>12</v>
      </c>
      <c r="C7915">
        <v>51</v>
      </c>
      <c r="D7915" t="s">
        <v>26</v>
      </c>
      <c r="E7915" t="s">
        <v>18</v>
      </c>
      <c r="F7915">
        <v>30</v>
      </c>
      <c r="G7915">
        <v>85</v>
      </c>
      <c r="H7915">
        <v>0.59</v>
      </c>
      <c r="I7915" t="s">
        <v>23</v>
      </c>
      <c r="J7915">
        <v>0</v>
      </c>
      <c r="K7915">
        <v>1</v>
      </c>
      <c r="L7915">
        <v>0</v>
      </c>
      <c r="M7915">
        <f>VLOOKUP(Table1[[#This Row],[subscription_type]],Plans!$A$1:$B$5,2,FALSE)</f>
        <v>14.99</v>
      </c>
      <c r="N7915">
        <f t="shared" si="123"/>
        <v>0</v>
      </c>
    </row>
    <row r="7916" spans="1:14" x14ac:dyDescent="0.35">
      <c r="A7916">
        <v>7915</v>
      </c>
      <c r="B7916" t="s">
        <v>12</v>
      </c>
      <c r="C7916">
        <v>16</v>
      </c>
      <c r="D7916" t="s">
        <v>21</v>
      </c>
      <c r="E7916" t="s">
        <v>22</v>
      </c>
      <c r="F7916">
        <v>108</v>
      </c>
      <c r="G7916">
        <v>82</v>
      </c>
      <c r="H7916">
        <v>0.43</v>
      </c>
      <c r="I7916" t="s">
        <v>23</v>
      </c>
      <c r="J7916">
        <v>0</v>
      </c>
      <c r="K7916">
        <v>1</v>
      </c>
      <c r="L7916">
        <v>1</v>
      </c>
      <c r="M7916">
        <f>VLOOKUP(Table1[[#This Row],[subscription_type]],Plans!$A$1:$B$5,2,FALSE)</f>
        <v>9.99</v>
      </c>
      <c r="N7916">
        <f t="shared" si="123"/>
        <v>9.99</v>
      </c>
    </row>
    <row r="7917" spans="1:14" x14ac:dyDescent="0.35">
      <c r="A7917">
        <v>7916</v>
      </c>
      <c r="B7917" t="s">
        <v>16</v>
      </c>
      <c r="C7917">
        <v>45</v>
      </c>
      <c r="D7917" t="s">
        <v>17</v>
      </c>
      <c r="E7917" t="s">
        <v>22</v>
      </c>
      <c r="F7917">
        <v>26</v>
      </c>
      <c r="G7917">
        <v>45</v>
      </c>
      <c r="H7917">
        <v>0.56000000000000005</v>
      </c>
      <c r="I7917" t="s">
        <v>19</v>
      </c>
      <c r="J7917">
        <v>0</v>
      </c>
      <c r="K7917">
        <v>1</v>
      </c>
      <c r="L7917">
        <v>0</v>
      </c>
      <c r="M7917">
        <f>VLOOKUP(Table1[[#This Row],[subscription_type]],Plans!$A$1:$B$5,2,FALSE)</f>
        <v>9.99</v>
      </c>
      <c r="N7917">
        <f t="shared" si="123"/>
        <v>0</v>
      </c>
    </row>
    <row r="7918" spans="1:14" x14ac:dyDescent="0.35">
      <c r="A7918">
        <v>7917</v>
      </c>
      <c r="B7918" t="s">
        <v>16</v>
      </c>
      <c r="C7918">
        <v>21</v>
      </c>
      <c r="D7918" t="s">
        <v>28</v>
      </c>
      <c r="E7918" t="s">
        <v>22</v>
      </c>
      <c r="F7918">
        <v>109</v>
      </c>
      <c r="G7918">
        <v>17</v>
      </c>
      <c r="H7918">
        <v>0.2</v>
      </c>
      <c r="I7918" t="s">
        <v>19</v>
      </c>
      <c r="J7918">
        <v>0</v>
      </c>
      <c r="K7918">
        <v>1</v>
      </c>
      <c r="L7918">
        <v>1</v>
      </c>
      <c r="M7918">
        <f>VLOOKUP(Table1[[#This Row],[subscription_type]],Plans!$A$1:$B$5,2,FALSE)</f>
        <v>9.99</v>
      </c>
      <c r="N7918">
        <f t="shared" si="123"/>
        <v>9.99</v>
      </c>
    </row>
    <row r="7919" spans="1:14" x14ac:dyDescent="0.35">
      <c r="A7919">
        <v>7918</v>
      </c>
      <c r="B7919" t="s">
        <v>12</v>
      </c>
      <c r="C7919">
        <v>56</v>
      </c>
      <c r="D7919" t="s">
        <v>13</v>
      </c>
      <c r="E7919" t="s">
        <v>24</v>
      </c>
      <c r="F7919">
        <v>178</v>
      </c>
      <c r="G7919">
        <v>23</v>
      </c>
      <c r="H7919">
        <v>0.39</v>
      </c>
      <c r="I7919" t="s">
        <v>23</v>
      </c>
      <c r="J7919">
        <v>0</v>
      </c>
      <c r="K7919">
        <v>1</v>
      </c>
      <c r="L7919">
        <v>0</v>
      </c>
      <c r="M7919">
        <f>VLOOKUP(Table1[[#This Row],[subscription_type]],Plans!$A$1:$B$5,2,FALSE)</f>
        <v>4.99</v>
      </c>
      <c r="N7919">
        <f t="shared" si="123"/>
        <v>0</v>
      </c>
    </row>
    <row r="7920" spans="1:14" x14ac:dyDescent="0.35">
      <c r="A7920">
        <v>7919</v>
      </c>
      <c r="B7920" t="s">
        <v>16</v>
      </c>
      <c r="C7920">
        <v>46</v>
      </c>
      <c r="D7920" t="s">
        <v>26</v>
      </c>
      <c r="E7920" t="s">
        <v>24</v>
      </c>
      <c r="F7920">
        <v>137</v>
      </c>
      <c r="G7920">
        <v>11</v>
      </c>
      <c r="H7920">
        <v>0.3</v>
      </c>
      <c r="I7920" t="s">
        <v>23</v>
      </c>
      <c r="J7920">
        <v>0</v>
      </c>
      <c r="K7920">
        <v>1</v>
      </c>
      <c r="L7920">
        <v>0</v>
      </c>
      <c r="M7920">
        <f>VLOOKUP(Table1[[#This Row],[subscription_type]],Plans!$A$1:$B$5,2,FALSE)</f>
        <v>4.99</v>
      </c>
      <c r="N7920">
        <f t="shared" si="123"/>
        <v>0</v>
      </c>
    </row>
    <row r="7921" spans="1:14" x14ac:dyDescent="0.35">
      <c r="A7921">
        <v>7920</v>
      </c>
      <c r="B7921" t="s">
        <v>16</v>
      </c>
      <c r="C7921">
        <v>51</v>
      </c>
      <c r="D7921" t="s">
        <v>29</v>
      </c>
      <c r="E7921" t="s">
        <v>18</v>
      </c>
      <c r="F7921">
        <v>298</v>
      </c>
      <c r="G7921">
        <v>65</v>
      </c>
      <c r="H7921">
        <v>0.2</v>
      </c>
      <c r="I7921" t="s">
        <v>23</v>
      </c>
      <c r="J7921">
        <v>0</v>
      </c>
      <c r="K7921">
        <v>1</v>
      </c>
      <c r="L7921">
        <v>0</v>
      </c>
      <c r="M7921">
        <f>VLOOKUP(Table1[[#This Row],[subscription_type]],Plans!$A$1:$B$5,2,FALSE)</f>
        <v>14.99</v>
      </c>
      <c r="N7921">
        <f t="shared" si="123"/>
        <v>0</v>
      </c>
    </row>
    <row r="7922" spans="1:14" x14ac:dyDescent="0.35">
      <c r="A7922">
        <v>7921</v>
      </c>
      <c r="B7922" t="s">
        <v>20</v>
      </c>
      <c r="C7922">
        <v>46</v>
      </c>
      <c r="D7922" t="s">
        <v>25</v>
      </c>
      <c r="E7922" t="s">
        <v>24</v>
      </c>
      <c r="F7922">
        <v>281</v>
      </c>
      <c r="G7922">
        <v>30</v>
      </c>
      <c r="H7922">
        <v>0.31</v>
      </c>
      <c r="I7922" t="s">
        <v>19</v>
      </c>
      <c r="J7922">
        <v>0</v>
      </c>
      <c r="K7922">
        <v>1</v>
      </c>
      <c r="L7922">
        <v>0</v>
      </c>
      <c r="M7922">
        <f>VLOOKUP(Table1[[#This Row],[subscription_type]],Plans!$A$1:$B$5,2,FALSE)</f>
        <v>4.99</v>
      </c>
      <c r="N7922">
        <f t="shared" si="123"/>
        <v>0</v>
      </c>
    </row>
    <row r="7923" spans="1:14" x14ac:dyDescent="0.35">
      <c r="A7923">
        <v>7922</v>
      </c>
      <c r="B7923" t="s">
        <v>12</v>
      </c>
      <c r="C7923">
        <v>17</v>
      </c>
      <c r="D7923" t="s">
        <v>13</v>
      </c>
      <c r="E7923" t="s">
        <v>18</v>
      </c>
      <c r="F7923">
        <v>62</v>
      </c>
      <c r="G7923">
        <v>90</v>
      </c>
      <c r="H7923">
        <v>0.34</v>
      </c>
      <c r="I7923" t="s">
        <v>19</v>
      </c>
      <c r="J7923">
        <v>0</v>
      </c>
      <c r="K7923">
        <v>1</v>
      </c>
      <c r="L7923">
        <v>0</v>
      </c>
      <c r="M7923">
        <f>VLOOKUP(Table1[[#This Row],[subscription_type]],Plans!$A$1:$B$5,2,FALSE)</f>
        <v>14.99</v>
      </c>
      <c r="N7923">
        <f t="shared" si="123"/>
        <v>0</v>
      </c>
    </row>
    <row r="7924" spans="1:14" x14ac:dyDescent="0.35">
      <c r="A7924">
        <v>7923</v>
      </c>
      <c r="B7924" t="s">
        <v>12</v>
      </c>
      <c r="C7924">
        <v>49</v>
      </c>
      <c r="D7924" t="s">
        <v>28</v>
      </c>
      <c r="E7924" t="s">
        <v>22</v>
      </c>
      <c r="F7924">
        <v>150</v>
      </c>
      <c r="G7924">
        <v>6</v>
      </c>
      <c r="H7924">
        <v>0.25</v>
      </c>
      <c r="I7924" t="s">
        <v>19</v>
      </c>
      <c r="J7924">
        <v>0</v>
      </c>
      <c r="K7924">
        <v>1</v>
      </c>
      <c r="L7924">
        <v>0</v>
      </c>
      <c r="M7924">
        <f>VLOOKUP(Table1[[#This Row],[subscription_type]],Plans!$A$1:$B$5,2,FALSE)</f>
        <v>9.99</v>
      </c>
      <c r="N7924">
        <f t="shared" si="123"/>
        <v>0</v>
      </c>
    </row>
    <row r="7925" spans="1:14" x14ac:dyDescent="0.35">
      <c r="A7925">
        <v>7924</v>
      </c>
      <c r="B7925" t="s">
        <v>20</v>
      </c>
      <c r="C7925">
        <v>50</v>
      </c>
      <c r="D7925" t="s">
        <v>17</v>
      </c>
      <c r="E7925" t="s">
        <v>14</v>
      </c>
      <c r="F7925">
        <v>29</v>
      </c>
      <c r="G7925">
        <v>25</v>
      </c>
      <c r="H7925">
        <v>0.3</v>
      </c>
      <c r="I7925" t="s">
        <v>15</v>
      </c>
      <c r="J7925">
        <v>38</v>
      </c>
      <c r="K7925">
        <v>0</v>
      </c>
      <c r="L7925">
        <v>0</v>
      </c>
      <c r="M7925">
        <f>VLOOKUP(Table1[[#This Row],[subscription_type]],Plans!$A$1:$B$5,2,FALSE)</f>
        <v>0</v>
      </c>
      <c r="N7925">
        <f t="shared" si="123"/>
        <v>0</v>
      </c>
    </row>
    <row r="7926" spans="1:14" x14ac:dyDescent="0.35">
      <c r="A7926">
        <v>7925</v>
      </c>
      <c r="B7926" t="s">
        <v>20</v>
      </c>
      <c r="C7926">
        <v>31</v>
      </c>
      <c r="D7926" t="s">
        <v>28</v>
      </c>
      <c r="E7926" t="s">
        <v>24</v>
      </c>
      <c r="F7926">
        <v>209</v>
      </c>
      <c r="G7926">
        <v>5</v>
      </c>
      <c r="H7926">
        <v>0.16</v>
      </c>
      <c r="I7926" t="s">
        <v>15</v>
      </c>
      <c r="J7926">
        <v>0</v>
      </c>
      <c r="K7926">
        <v>1</v>
      </c>
      <c r="L7926">
        <v>0</v>
      </c>
      <c r="M7926">
        <f>VLOOKUP(Table1[[#This Row],[subscription_type]],Plans!$A$1:$B$5,2,FALSE)</f>
        <v>4.99</v>
      </c>
      <c r="N7926">
        <f t="shared" si="123"/>
        <v>0</v>
      </c>
    </row>
    <row r="7927" spans="1:14" x14ac:dyDescent="0.35">
      <c r="A7927">
        <v>7926</v>
      </c>
      <c r="B7927" t="s">
        <v>12</v>
      </c>
      <c r="C7927">
        <v>59</v>
      </c>
      <c r="D7927" t="s">
        <v>29</v>
      </c>
      <c r="E7927" t="s">
        <v>18</v>
      </c>
      <c r="F7927">
        <v>96</v>
      </c>
      <c r="G7927">
        <v>19</v>
      </c>
      <c r="H7927">
        <v>0.37</v>
      </c>
      <c r="I7927" t="s">
        <v>23</v>
      </c>
      <c r="J7927">
        <v>0</v>
      </c>
      <c r="K7927">
        <v>1</v>
      </c>
      <c r="L7927">
        <v>0</v>
      </c>
      <c r="M7927">
        <f>VLOOKUP(Table1[[#This Row],[subscription_type]],Plans!$A$1:$B$5,2,FALSE)</f>
        <v>14.99</v>
      </c>
      <c r="N7927">
        <f t="shared" si="123"/>
        <v>0</v>
      </c>
    </row>
    <row r="7928" spans="1:14" x14ac:dyDescent="0.35">
      <c r="A7928">
        <v>7927</v>
      </c>
      <c r="B7928" t="s">
        <v>20</v>
      </c>
      <c r="C7928">
        <v>57</v>
      </c>
      <c r="D7928" t="s">
        <v>29</v>
      </c>
      <c r="E7928" t="s">
        <v>14</v>
      </c>
      <c r="F7928">
        <v>85</v>
      </c>
      <c r="G7928">
        <v>44</v>
      </c>
      <c r="H7928">
        <v>0.31</v>
      </c>
      <c r="I7928" t="s">
        <v>23</v>
      </c>
      <c r="J7928">
        <v>38</v>
      </c>
      <c r="K7928">
        <v>0</v>
      </c>
      <c r="L7928">
        <v>0</v>
      </c>
      <c r="M7928">
        <f>VLOOKUP(Table1[[#This Row],[subscription_type]],Plans!$A$1:$B$5,2,FALSE)</f>
        <v>0</v>
      </c>
      <c r="N7928">
        <f t="shared" si="123"/>
        <v>0</v>
      </c>
    </row>
    <row r="7929" spans="1:14" x14ac:dyDescent="0.35">
      <c r="A7929">
        <v>7928</v>
      </c>
      <c r="B7929" t="s">
        <v>12</v>
      </c>
      <c r="C7929">
        <v>57</v>
      </c>
      <c r="D7929" t="s">
        <v>21</v>
      </c>
      <c r="E7929" t="s">
        <v>18</v>
      </c>
      <c r="F7929">
        <v>189</v>
      </c>
      <c r="G7929">
        <v>67</v>
      </c>
      <c r="H7929">
        <v>0.45</v>
      </c>
      <c r="I7929" t="s">
        <v>23</v>
      </c>
      <c r="J7929">
        <v>0</v>
      </c>
      <c r="K7929">
        <v>1</v>
      </c>
      <c r="L7929">
        <v>0</v>
      </c>
      <c r="M7929">
        <f>VLOOKUP(Table1[[#This Row],[subscription_type]],Plans!$A$1:$B$5,2,FALSE)</f>
        <v>14.99</v>
      </c>
      <c r="N7929">
        <f t="shared" si="123"/>
        <v>0</v>
      </c>
    </row>
    <row r="7930" spans="1:14" x14ac:dyDescent="0.35">
      <c r="A7930">
        <v>7929</v>
      </c>
      <c r="B7930" t="s">
        <v>20</v>
      </c>
      <c r="C7930">
        <v>33</v>
      </c>
      <c r="D7930" t="s">
        <v>27</v>
      </c>
      <c r="E7930" t="s">
        <v>24</v>
      </c>
      <c r="F7930">
        <v>266</v>
      </c>
      <c r="G7930">
        <v>48</v>
      </c>
      <c r="H7930">
        <v>0.16</v>
      </c>
      <c r="I7930" t="s">
        <v>23</v>
      </c>
      <c r="J7930">
        <v>0</v>
      </c>
      <c r="K7930">
        <v>1</v>
      </c>
      <c r="L7930">
        <v>0</v>
      </c>
      <c r="M7930">
        <f>VLOOKUP(Table1[[#This Row],[subscription_type]],Plans!$A$1:$B$5,2,FALSE)</f>
        <v>4.99</v>
      </c>
      <c r="N7930">
        <f t="shared" si="123"/>
        <v>0</v>
      </c>
    </row>
    <row r="7931" spans="1:14" x14ac:dyDescent="0.35">
      <c r="A7931">
        <v>7930</v>
      </c>
      <c r="B7931" t="s">
        <v>12</v>
      </c>
      <c r="C7931">
        <v>26</v>
      </c>
      <c r="D7931" t="s">
        <v>13</v>
      </c>
      <c r="E7931" t="s">
        <v>24</v>
      </c>
      <c r="F7931">
        <v>262</v>
      </c>
      <c r="G7931">
        <v>83</v>
      </c>
      <c r="H7931">
        <v>0.32</v>
      </c>
      <c r="I7931" t="s">
        <v>19</v>
      </c>
      <c r="J7931">
        <v>0</v>
      </c>
      <c r="K7931">
        <v>1</v>
      </c>
      <c r="L7931">
        <v>1</v>
      </c>
      <c r="M7931">
        <f>VLOOKUP(Table1[[#This Row],[subscription_type]],Plans!$A$1:$B$5,2,FALSE)</f>
        <v>4.99</v>
      </c>
      <c r="N7931">
        <f t="shared" si="123"/>
        <v>4.99</v>
      </c>
    </row>
    <row r="7932" spans="1:14" x14ac:dyDescent="0.35">
      <c r="A7932">
        <v>7931</v>
      </c>
      <c r="B7932" t="s">
        <v>12</v>
      </c>
      <c r="C7932">
        <v>30</v>
      </c>
      <c r="D7932" t="s">
        <v>25</v>
      </c>
      <c r="E7932" t="s">
        <v>18</v>
      </c>
      <c r="F7932">
        <v>106</v>
      </c>
      <c r="G7932">
        <v>32</v>
      </c>
      <c r="H7932">
        <v>0.33</v>
      </c>
      <c r="I7932" t="s">
        <v>15</v>
      </c>
      <c r="J7932">
        <v>0</v>
      </c>
      <c r="K7932">
        <v>1</v>
      </c>
      <c r="L7932">
        <v>0</v>
      </c>
      <c r="M7932">
        <f>VLOOKUP(Table1[[#This Row],[subscription_type]],Plans!$A$1:$B$5,2,FALSE)</f>
        <v>14.99</v>
      </c>
      <c r="N7932">
        <f t="shared" si="123"/>
        <v>0</v>
      </c>
    </row>
    <row r="7933" spans="1:14" x14ac:dyDescent="0.35">
      <c r="A7933">
        <v>7932</v>
      </c>
      <c r="B7933" t="s">
        <v>16</v>
      </c>
      <c r="C7933">
        <v>26</v>
      </c>
      <c r="D7933" t="s">
        <v>17</v>
      </c>
      <c r="E7933" t="s">
        <v>22</v>
      </c>
      <c r="F7933">
        <v>31</v>
      </c>
      <c r="G7933">
        <v>4</v>
      </c>
      <c r="H7933">
        <v>0.28000000000000003</v>
      </c>
      <c r="I7933" t="s">
        <v>23</v>
      </c>
      <c r="J7933">
        <v>0</v>
      </c>
      <c r="K7933">
        <v>1</v>
      </c>
      <c r="L7933">
        <v>0</v>
      </c>
      <c r="M7933">
        <f>VLOOKUP(Table1[[#This Row],[subscription_type]],Plans!$A$1:$B$5,2,FALSE)</f>
        <v>9.99</v>
      </c>
      <c r="N7933">
        <f t="shared" si="123"/>
        <v>0</v>
      </c>
    </row>
    <row r="7934" spans="1:14" x14ac:dyDescent="0.35">
      <c r="A7934">
        <v>7933</v>
      </c>
      <c r="B7934" t="s">
        <v>20</v>
      </c>
      <c r="C7934">
        <v>35</v>
      </c>
      <c r="D7934" t="s">
        <v>21</v>
      </c>
      <c r="E7934" t="s">
        <v>22</v>
      </c>
      <c r="F7934">
        <v>117</v>
      </c>
      <c r="G7934">
        <v>41</v>
      </c>
      <c r="H7934">
        <v>0.18</v>
      </c>
      <c r="I7934" t="s">
        <v>23</v>
      </c>
      <c r="J7934">
        <v>0</v>
      </c>
      <c r="K7934">
        <v>1</v>
      </c>
      <c r="L7934">
        <v>0</v>
      </c>
      <c r="M7934">
        <f>VLOOKUP(Table1[[#This Row],[subscription_type]],Plans!$A$1:$B$5,2,FALSE)</f>
        <v>9.99</v>
      </c>
      <c r="N7934">
        <f t="shared" si="123"/>
        <v>0</v>
      </c>
    </row>
    <row r="7935" spans="1:14" x14ac:dyDescent="0.35">
      <c r="A7935">
        <v>7934</v>
      </c>
      <c r="B7935" t="s">
        <v>20</v>
      </c>
      <c r="C7935">
        <v>43</v>
      </c>
      <c r="D7935" t="s">
        <v>17</v>
      </c>
      <c r="E7935" t="s">
        <v>22</v>
      </c>
      <c r="F7935">
        <v>37</v>
      </c>
      <c r="G7935">
        <v>50</v>
      </c>
      <c r="H7935">
        <v>0.16</v>
      </c>
      <c r="I7935" t="s">
        <v>23</v>
      </c>
      <c r="J7935">
        <v>0</v>
      </c>
      <c r="K7935">
        <v>1</v>
      </c>
      <c r="L7935">
        <v>0</v>
      </c>
      <c r="M7935">
        <f>VLOOKUP(Table1[[#This Row],[subscription_type]],Plans!$A$1:$B$5,2,FALSE)</f>
        <v>9.99</v>
      </c>
      <c r="N7935">
        <f t="shared" si="123"/>
        <v>0</v>
      </c>
    </row>
    <row r="7936" spans="1:14" x14ac:dyDescent="0.35">
      <c r="A7936">
        <v>7935</v>
      </c>
      <c r="B7936" t="s">
        <v>12</v>
      </c>
      <c r="C7936">
        <v>21</v>
      </c>
      <c r="D7936" t="s">
        <v>21</v>
      </c>
      <c r="E7936" t="s">
        <v>18</v>
      </c>
      <c r="F7936">
        <v>178</v>
      </c>
      <c r="G7936">
        <v>66</v>
      </c>
      <c r="H7936">
        <v>0.18</v>
      </c>
      <c r="I7936" t="s">
        <v>23</v>
      </c>
      <c r="J7936">
        <v>0</v>
      </c>
      <c r="K7936">
        <v>1</v>
      </c>
      <c r="L7936">
        <v>0</v>
      </c>
      <c r="M7936">
        <f>VLOOKUP(Table1[[#This Row],[subscription_type]],Plans!$A$1:$B$5,2,FALSE)</f>
        <v>14.99</v>
      </c>
      <c r="N7936">
        <f t="shared" si="123"/>
        <v>0</v>
      </c>
    </row>
    <row r="7937" spans="1:14" x14ac:dyDescent="0.35">
      <c r="A7937">
        <v>7936</v>
      </c>
      <c r="B7937" t="s">
        <v>20</v>
      </c>
      <c r="C7937">
        <v>51</v>
      </c>
      <c r="D7937" t="s">
        <v>13</v>
      </c>
      <c r="E7937" t="s">
        <v>18</v>
      </c>
      <c r="F7937">
        <v>106</v>
      </c>
      <c r="G7937">
        <v>95</v>
      </c>
      <c r="H7937">
        <v>0.4</v>
      </c>
      <c r="I7937" t="s">
        <v>19</v>
      </c>
      <c r="J7937">
        <v>0</v>
      </c>
      <c r="K7937">
        <v>1</v>
      </c>
      <c r="L7937">
        <v>0</v>
      </c>
      <c r="M7937">
        <f>VLOOKUP(Table1[[#This Row],[subscription_type]],Plans!$A$1:$B$5,2,FALSE)</f>
        <v>14.99</v>
      </c>
      <c r="N7937">
        <f t="shared" si="123"/>
        <v>0</v>
      </c>
    </row>
    <row r="7938" spans="1:14" x14ac:dyDescent="0.35">
      <c r="A7938">
        <v>7937</v>
      </c>
      <c r="B7938" t="s">
        <v>16</v>
      </c>
      <c r="C7938">
        <v>34</v>
      </c>
      <c r="D7938" t="s">
        <v>29</v>
      </c>
      <c r="E7938" t="s">
        <v>14</v>
      </c>
      <c r="F7938">
        <v>18</v>
      </c>
      <c r="G7938">
        <v>69</v>
      </c>
      <c r="H7938">
        <v>0.11</v>
      </c>
      <c r="I7938" t="s">
        <v>23</v>
      </c>
      <c r="J7938">
        <v>26</v>
      </c>
      <c r="K7938">
        <v>0</v>
      </c>
      <c r="L7938">
        <v>1</v>
      </c>
      <c r="M7938">
        <f>VLOOKUP(Table1[[#This Row],[subscription_type]],Plans!$A$1:$B$5,2,FALSE)</f>
        <v>0</v>
      </c>
      <c r="N7938">
        <f t="shared" ref="N7938:N8001" si="124">IF(L7938=1, M7938,0)</f>
        <v>0</v>
      </c>
    </row>
    <row r="7939" spans="1:14" x14ac:dyDescent="0.35">
      <c r="A7939">
        <v>7938</v>
      </c>
      <c r="B7939" t="s">
        <v>12</v>
      </c>
      <c r="C7939">
        <v>43</v>
      </c>
      <c r="D7939" t="s">
        <v>27</v>
      </c>
      <c r="E7939" t="s">
        <v>24</v>
      </c>
      <c r="F7939">
        <v>180</v>
      </c>
      <c r="G7939">
        <v>16</v>
      </c>
      <c r="H7939">
        <v>0.3</v>
      </c>
      <c r="I7939" t="s">
        <v>15</v>
      </c>
      <c r="J7939">
        <v>0</v>
      </c>
      <c r="K7939">
        <v>1</v>
      </c>
      <c r="L7939">
        <v>0</v>
      </c>
      <c r="M7939">
        <f>VLOOKUP(Table1[[#This Row],[subscription_type]],Plans!$A$1:$B$5,2,FALSE)</f>
        <v>4.99</v>
      </c>
      <c r="N7939">
        <f t="shared" si="124"/>
        <v>0</v>
      </c>
    </row>
    <row r="7940" spans="1:14" x14ac:dyDescent="0.35">
      <c r="A7940">
        <v>7939</v>
      </c>
      <c r="B7940" t="s">
        <v>20</v>
      </c>
      <c r="C7940">
        <v>47</v>
      </c>
      <c r="D7940" t="s">
        <v>27</v>
      </c>
      <c r="E7940" t="s">
        <v>14</v>
      </c>
      <c r="F7940">
        <v>257</v>
      </c>
      <c r="G7940">
        <v>11</v>
      </c>
      <c r="H7940">
        <v>0.47</v>
      </c>
      <c r="I7940" t="s">
        <v>15</v>
      </c>
      <c r="J7940">
        <v>10</v>
      </c>
      <c r="K7940">
        <v>0</v>
      </c>
      <c r="L7940">
        <v>1</v>
      </c>
      <c r="M7940">
        <f>VLOOKUP(Table1[[#This Row],[subscription_type]],Plans!$A$1:$B$5,2,FALSE)</f>
        <v>0</v>
      </c>
      <c r="N7940">
        <f t="shared" si="124"/>
        <v>0</v>
      </c>
    </row>
    <row r="7941" spans="1:14" x14ac:dyDescent="0.35">
      <c r="A7941">
        <v>7940</v>
      </c>
      <c r="B7941" t="s">
        <v>20</v>
      </c>
      <c r="C7941">
        <v>21</v>
      </c>
      <c r="D7941" t="s">
        <v>17</v>
      </c>
      <c r="E7941" t="s">
        <v>22</v>
      </c>
      <c r="F7941">
        <v>97</v>
      </c>
      <c r="G7941">
        <v>33</v>
      </c>
      <c r="H7941">
        <v>0.24</v>
      </c>
      <c r="I7941" t="s">
        <v>15</v>
      </c>
      <c r="J7941">
        <v>0</v>
      </c>
      <c r="K7941">
        <v>1</v>
      </c>
      <c r="L7941">
        <v>0</v>
      </c>
      <c r="M7941">
        <f>VLOOKUP(Table1[[#This Row],[subscription_type]],Plans!$A$1:$B$5,2,FALSE)</f>
        <v>9.99</v>
      </c>
      <c r="N7941">
        <f t="shared" si="124"/>
        <v>0</v>
      </c>
    </row>
    <row r="7942" spans="1:14" x14ac:dyDescent="0.35">
      <c r="A7942">
        <v>7941</v>
      </c>
      <c r="B7942" t="s">
        <v>12</v>
      </c>
      <c r="C7942">
        <v>31</v>
      </c>
      <c r="D7942" t="s">
        <v>21</v>
      </c>
      <c r="E7942" t="s">
        <v>22</v>
      </c>
      <c r="F7942">
        <v>237</v>
      </c>
      <c r="G7942">
        <v>57</v>
      </c>
      <c r="H7942">
        <v>0.59</v>
      </c>
      <c r="I7942" t="s">
        <v>23</v>
      </c>
      <c r="J7942">
        <v>0</v>
      </c>
      <c r="K7942">
        <v>1</v>
      </c>
      <c r="L7942">
        <v>0</v>
      </c>
      <c r="M7942">
        <f>VLOOKUP(Table1[[#This Row],[subscription_type]],Plans!$A$1:$B$5,2,FALSE)</f>
        <v>9.99</v>
      </c>
      <c r="N7942">
        <f t="shared" si="124"/>
        <v>0</v>
      </c>
    </row>
    <row r="7943" spans="1:14" x14ac:dyDescent="0.35">
      <c r="A7943">
        <v>7942</v>
      </c>
      <c r="B7943" t="s">
        <v>20</v>
      </c>
      <c r="C7943">
        <v>39</v>
      </c>
      <c r="D7943" t="s">
        <v>28</v>
      </c>
      <c r="E7943" t="s">
        <v>24</v>
      </c>
      <c r="F7943">
        <v>106</v>
      </c>
      <c r="G7943">
        <v>87</v>
      </c>
      <c r="H7943">
        <v>0.47</v>
      </c>
      <c r="I7943" t="s">
        <v>19</v>
      </c>
      <c r="J7943">
        <v>0</v>
      </c>
      <c r="K7943">
        <v>1</v>
      </c>
      <c r="L7943">
        <v>0</v>
      </c>
      <c r="M7943">
        <f>VLOOKUP(Table1[[#This Row],[subscription_type]],Plans!$A$1:$B$5,2,FALSE)</f>
        <v>4.99</v>
      </c>
      <c r="N7943">
        <f t="shared" si="124"/>
        <v>0</v>
      </c>
    </row>
    <row r="7944" spans="1:14" x14ac:dyDescent="0.35">
      <c r="A7944">
        <v>7943</v>
      </c>
      <c r="B7944" t="s">
        <v>16</v>
      </c>
      <c r="C7944">
        <v>20</v>
      </c>
      <c r="D7944" t="s">
        <v>28</v>
      </c>
      <c r="E7944" t="s">
        <v>22</v>
      </c>
      <c r="F7944">
        <v>117</v>
      </c>
      <c r="G7944">
        <v>56</v>
      </c>
      <c r="H7944">
        <v>0.57999999999999996</v>
      </c>
      <c r="I7944" t="s">
        <v>23</v>
      </c>
      <c r="J7944">
        <v>0</v>
      </c>
      <c r="K7944">
        <v>1</v>
      </c>
      <c r="L7944">
        <v>0</v>
      </c>
      <c r="M7944">
        <f>VLOOKUP(Table1[[#This Row],[subscription_type]],Plans!$A$1:$B$5,2,FALSE)</f>
        <v>9.99</v>
      </c>
      <c r="N7944">
        <f t="shared" si="124"/>
        <v>0</v>
      </c>
    </row>
    <row r="7945" spans="1:14" x14ac:dyDescent="0.35">
      <c r="A7945">
        <v>7944</v>
      </c>
      <c r="B7945" t="s">
        <v>20</v>
      </c>
      <c r="C7945">
        <v>33</v>
      </c>
      <c r="D7945" t="s">
        <v>13</v>
      </c>
      <c r="E7945" t="s">
        <v>24</v>
      </c>
      <c r="F7945">
        <v>279</v>
      </c>
      <c r="G7945">
        <v>66</v>
      </c>
      <c r="H7945">
        <v>0.13</v>
      </c>
      <c r="I7945" t="s">
        <v>19</v>
      </c>
      <c r="J7945">
        <v>0</v>
      </c>
      <c r="K7945">
        <v>1</v>
      </c>
      <c r="L7945">
        <v>0</v>
      </c>
      <c r="M7945">
        <f>VLOOKUP(Table1[[#This Row],[subscription_type]],Plans!$A$1:$B$5,2,FALSE)</f>
        <v>4.99</v>
      </c>
      <c r="N7945">
        <f t="shared" si="124"/>
        <v>0</v>
      </c>
    </row>
    <row r="7946" spans="1:14" x14ac:dyDescent="0.35">
      <c r="A7946">
        <v>7945</v>
      </c>
      <c r="B7946" t="s">
        <v>16</v>
      </c>
      <c r="C7946">
        <v>17</v>
      </c>
      <c r="D7946" t="s">
        <v>29</v>
      </c>
      <c r="E7946" t="s">
        <v>24</v>
      </c>
      <c r="F7946">
        <v>17</v>
      </c>
      <c r="G7946">
        <v>64</v>
      </c>
      <c r="H7946">
        <v>0.32</v>
      </c>
      <c r="I7946" t="s">
        <v>19</v>
      </c>
      <c r="J7946">
        <v>0</v>
      </c>
      <c r="K7946">
        <v>1</v>
      </c>
      <c r="L7946">
        <v>1</v>
      </c>
      <c r="M7946">
        <f>VLOOKUP(Table1[[#This Row],[subscription_type]],Plans!$A$1:$B$5,2,FALSE)</f>
        <v>4.99</v>
      </c>
      <c r="N7946">
        <f t="shared" si="124"/>
        <v>4.99</v>
      </c>
    </row>
    <row r="7947" spans="1:14" x14ac:dyDescent="0.35">
      <c r="A7947">
        <v>7946</v>
      </c>
      <c r="B7947" t="s">
        <v>12</v>
      </c>
      <c r="C7947">
        <v>47</v>
      </c>
      <c r="D7947" t="s">
        <v>26</v>
      </c>
      <c r="E7947" t="s">
        <v>22</v>
      </c>
      <c r="F7947">
        <v>153</v>
      </c>
      <c r="G7947">
        <v>1</v>
      </c>
      <c r="H7947">
        <v>0.23</v>
      </c>
      <c r="I7947" t="s">
        <v>23</v>
      </c>
      <c r="J7947">
        <v>0</v>
      </c>
      <c r="K7947">
        <v>1</v>
      </c>
      <c r="L7947">
        <v>0</v>
      </c>
      <c r="M7947">
        <f>VLOOKUP(Table1[[#This Row],[subscription_type]],Plans!$A$1:$B$5,2,FALSE)</f>
        <v>9.99</v>
      </c>
      <c r="N7947">
        <f t="shared" si="124"/>
        <v>0</v>
      </c>
    </row>
    <row r="7948" spans="1:14" x14ac:dyDescent="0.35">
      <c r="A7948">
        <v>7947</v>
      </c>
      <c r="B7948" t="s">
        <v>12</v>
      </c>
      <c r="C7948">
        <v>58</v>
      </c>
      <c r="D7948" t="s">
        <v>21</v>
      </c>
      <c r="E7948" t="s">
        <v>24</v>
      </c>
      <c r="F7948">
        <v>258</v>
      </c>
      <c r="G7948">
        <v>7</v>
      </c>
      <c r="H7948">
        <v>0.16</v>
      </c>
      <c r="I7948" t="s">
        <v>19</v>
      </c>
      <c r="J7948">
        <v>0</v>
      </c>
      <c r="K7948">
        <v>1</v>
      </c>
      <c r="L7948">
        <v>0</v>
      </c>
      <c r="M7948">
        <f>VLOOKUP(Table1[[#This Row],[subscription_type]],Plans!$A$1:$B$5,2,FALSE)</f>
        <v>4.99</v>
      </c>
      <c r="N7948">
        <f t="shared" si="124"/>
        <v>0</v>
      </c>
    </row>
    <row r="7949" spans="1:14" x14ac:dyDescent="0.35">
      <c r="A7949">
        <v>7948</v>
      </c>
      <c r="B7949" t="s">
        <v>20</v>
      </c>
      <c r="C7949">
        <v>41</v>
      </c>
      <c r="D7949" t="s">
        <v>27</v>
      </c>
      <c r="E7949" t="s">
        <v>22</v>
      </c>
      <c r="F7949">
        <v>174</v>
      </c>
      <c r="G7949">
        <v>20</v>
      </c>
      <c r="H7949">
        <v>0.5</v>
      </c>
      <c r="I7949" t="s">
        <v>15</v>
      </c>
      <c r="J7949">
        <v>0</v>
      </c>
      <c r="K7949">
        <v>1</v>
      </c>
      <c r="L7949">
        <v>0</v>
      </c>
      <c r="M7949">
        <f>VLOOKUP(Table1[[#This Row],[subscription_type]],Plans!$A$1:$B$5,2,FALSE)</f>
        <v>9.99</v>
      </c>
      <c r="N7949">
        <f t="shared" si="124"/>
        <v>0</v>
      </c>
    </row>
    <row r="7950" spans="1:14" x14ac:dyDescent="0.35">
      <c r="A7950">
        <v>7949</v>
      </c>
      <c r="B7950" t="s">
        <v>20</v>
      </c>
      <c r="C7950">
        <v>52</v>
      </c>
      <c r="D7950" t="s">
        <v>25</v>
      </c>
      <c r="E7950" t="s">
        <v>22</v>
      </c>
      <c r="F7950">
        <v>180</v>
      </c>
      <c r="G7950">
        <v>21</v>
      </c>
      <c r="H7950">
        <v>0.36</v>
      </c>
      <c r="I7950" t="s">
        <v>15</v>
      </c>
      <c r="J7950">
        <v>0</v>
      </c>
      <c r="K7950">
        <v>1</v>
      </c>
      <c r="L7950">
        <v>0</v>
      </c>
      <c r="M7950">
        <f>VLOOKUP(Table1[[#This Row],[subscription_type]],Plans!$A$1:$B$5,2,FALSE)</f>
        <v>9.99</v>
      </c>
      <c r="N7950">
        <f t="shared" si="124"/>
        <v>0</v>
      </c>
    </row>
    <row r="7951" spans="1:14" x14ac:dyDescent="0.35">
      <c r="A7951">
        <v>7950</v>
      </c>
      <c r="B7951" t="s">
        <v>20</v>
      </c>
      <c r="C7951">
        <v>42</v>
      </c>
      <c r="D7951" t="s">
        <v>21</v>
      </c>
      <c r="E7951" t="s">
        <v>22</v>
      </c>
      <c r="F7951">
        <v>98</v>
      </c>
      <c r="G7951">
        <v>84</v>
      </c>
      <c r="H7951">
        <v>0.22</v>
      </c>
      <c r="I7951" t="s">
        <v>15</v>
      </c>
      <c r="J7951">
        <v>0</v>
      </c>
      <c r="K7951">
        <v>1</v>
      </c>
      <c r="L7951">
        <v>0</v>
      </c>
      <c r="M7951">
        <f>VLOOKUP(Table1[[#This Row],[subscription_type]],Plans!$A$1:$B$5,2,FALSE)</f>
        <v>9.99</v>
      </c>
      <c r="N7951">
        <f t="shared" si="124"/>
        <v>0</v>
      </c>
    </row>
    <row r="7952" spans="1:14" x14ac:dyDescent="0.35">
      <c r="A7952">
        <v>7951</v>
      </c>
      <c r="B7952" t="s">
        <v>16</v>
      </c>
      <c r="C7952">
        <v>41</v>
      </c>
      <c r="D7952" t="s">
        <v>13</v>
      </c>
      <c r="E7952" t="s">
        <v>18</v>
      </c>
      <c r="F7952">
        <v>187</v>
      </c>
      <c r="G7952">
        <v>73</v>
      </c>
      <c r="H7952">
        <v>0.21</v>
      </c>
      <c r="I7952" t="s">
        <v>19</v>
      </c>
      <c r="J7952">
        <v>0</v>
      </c>
      <c r="K7952">
        <v>1</v>
      </c>
      <c r="L7952">
        <v>0</v>
      </c>
      <c r="M7952">
        <f>VLOOKUP(Table1[[#This Row],[subscription_type]],Plans!$A$1:$B$5,2,FALSE)</f>
        <v>14.99</v>
      </c>
      <c r="N7952">
        <f t="shared" si="124"/>
        <v>0</v>
      </c>
    </row>
    <row r="7953" spans="1:14" x14ac:dyDescent="0.35">
      <c r="A7953">
        <v>7952</v>
      </c>
      <c r="B7953" t="s">
        <v>12</v>
      </c>
      <c r="C7953">
        <v>43</v>
      </c>
      <c r="D7953" t="s">
        <v>27</v>
      </c>
      <c r="E7953" t="s">
        <v>22</v>
      </c>
      <c r="F7953">
        <v>72</v>
      </c>
      <c r="G7953">
        <v>25</v>
      </c>
      <c r="H7953">
        <v>0.28999999999999998</v>
      </c>
      <c r="I7953" t="s">
        <v>23</v>
      </c>
      <c r="J7953">
        <v>0</v>
      </c>
      <c r="K7953">
        <v>1</v>
      </c>
      <c r="L7953">
        <v>0</v>
      </c>
      <c r="M7953">
        <f>VLOOKUP(Table1[[#This Row],[subscription_type]],Plans!$A$1:$B$5,2,FALSE)</f>
        <v>9.99</v>
      </c>
      <c r="N7953">
        <f t="shared" si="124"/>
        <v>0</v>
      </c>
    </row>
    <row r="7954" spans="1:14" x14ac:dyDescent="0.35">
      <c r="A7954">
        <v>7953</v>
      </c>
      <c r="B7954" t="s">
        <v>20</v>
      </c>
      <c r="C7954">
        <v>42</v>
      </c>
      <c r="D7954" t="s">
        <v>27</v>
      </c>
      <c r="E7954" t="s">
        <v>18</v>
      </c>
      <c r="F7954">
        <v>86</v>
      </c>
      <c r="G7954">
        <v>16</v>
      </c>
      <c r="H7954">
        <v>0.41</v>
      </c>
      <c r="I7954" t="s">
        <v>19</v>
      </c>
      <c r="J7954">
        <v>0</v>
      </c>
      <c r="K7954">
        <v>1</v>
      </c>
      <c r="L7954">
        <v>0</v>
      </c>
      <c r="M7954">
        <f>VLOOKUP(Table1[[#This Row],[subscription_type]],Plans!$A$1:$B$5,2,FALSE)</f>
        <v>14.99</v>
      </c>
      <c r="N7954">
        <f t="shared" si="124"/>
        <v>0</v>
      </c>
    </row>
    <row r="7955" spans="1:14" x14ac:dyDescent="0.35">
      <c r="A7955">
        <v>7954</v>
      </c>
      <c r="B7955" t="s">
        <v>12</v>
      </c>
      <c r="C7955">
        <v>49</v>
      </c>
      <c r="D7955" t="s">
        <v>29</v>
      </c>
      <c r="E7955" t="s">
        <v>18</v>
      </c>
      <c r="F7955">
        <v>151</v>
      </c>
      <c r="G7955">
        <v>37</v>
      </c>
      <c r="H7955">
        <v>0.43</v>
      </c>
      <c r="I7955" t="s">
        <v>23</v>
      </c>
      <c r="J7955">
        <v>0</v>
      </c>
      <c r="K7955">
        <v>1</v>
      </c>
      <c r="L7955">
        <v>0</v>
      </c>
      <c r="M7955">
        <f>VLOOKUP(Table1[[#This Row],[subscription_type]],Plans!$A$1:$B$5,2,FALSE)</f>
        <v>14.99</v>
      </c>
      <c r="N7955">
        <f t="shared" si="124"/>
        <v>0</v>
      </c>
    </row>
    <row r="7956" spans="1:14" x14ac:dyDescent="0.35">
      <c r="A7956">
        <v>7955</v>
      </c>
      <c r="B7956" t="s">
        <v>12</v>
      </c>
      <c r="C7956">
        <v>46</v>
      </c>
      <c r="D7956" t="s">
        <v>13</v>
      </c>
      <c r="E7956" t="s">
        <v>22</v>
      </c>
      <c r="F7956">
        <v>159</v>
      </c>
      <c r="G7956">
        <v>25</v>
      </c>
      <c r="H7956">
        <v>0.28000000000000003</v>
      </c>
      <c r="I7956" t="s">
        <v>15</v>
      </c>
      <c r="J7956">
        <v>0</v>
      </c>
      <c r="K7956">
        <v>1</v>
      </c>
      <c r="L7956">
        <v>1</v>
      </c>
      <c r="M7956">
        <f>VLOOKUP(Table1[[#This Row],[subscription_type]],Plans!$A$1:$B$5,2,FALSE)</f>
        <v>9.99</v>
      </c>
      <c r="N7956">
        <f t="shared" si="124"/>
        <v>9.99</v>
      </c>
    </row>
    <row r="7957" spans="1:14" x14ac:dyDescent="0.35">
      <c r="A7957">
        <v>7956</v>
      </c>
      <c r="B7957" t="s">
        <v>16</v>
      </c>
      <c r="C7957">
        <v>21</v>
      </c>
      <c r="D7957" t="s">
        <v>17</v>
      </c>
      <c r="E7957" t="s">
        <v>24</v>
      </c>
      <c r="F7957">
        <v>106</v>
      </c>
      <c r="G7957">
        <v>46</v>
      </c>
      <c r="H7957">
        <v>0.49</v>
      </c>
      <c r="I7957" t="s">
        <v>19</v>
      </c>
      <c r="J7957">
        <v>0</v>
      </c>
      <c r="K7957">
        <v>1</v>
      </c>
      <c r="L7957">
        <v>0</v>
      </c>
      <c r="M7957">
        <f>VLOOKUP(Table1[[#This Row],[subscription_type]],Plans!$A$1:$B$5,2,FALSE)</f>
        <v>4.99</v>
      </c>
      <c r="N7957">
        <f t="shared" si="124"/>
        <v>0</v>
      </c>
    </row>
    <row r="7958" spans="1:14" x14ac:dyDescent="0.35">
      <c r="A7958">
        <v>7957</v>
      </c>
      <c r="B7958" t="s">
        <v>20</v>
      </c>
      <c r="C7958">
        <v>56</v>
      </c>
      <c r="D7958" t="s">
        <v>25</v>
      </c>
      <c r="E7958" t="s">
        <v>24</v>
      </c>
      <c r="F7958">
        <v>101</v>
      </c>
      <c r="G7958">
        <v>68</v>
      </c>
      <c r="H7958">
        <v>0.11</v>
      </c>
      <c r="I7958" t="s">
        <v>19</v>
      </c>
      <c r="J7958">
        <v>0</v>
      </c>
      <c r="K7958">
        <v>1</v>
      </c>
      <c r="L7958">
        <v>0</v>
      </c>
      <c r="M7958">
        <f>VLOOKUP(Table1[[#This Row],[subscription_type]],Plans!$A$1:$B$5,2,FALSE)</f>
        <v>4.99</v>
      </c>
      <c r="N7958">
        <f t="shared" si="124"/>
        <v>0</v>
      </c>
    </row>
    <row r="7959" spans="1:14" x14ac:dyDescent="0.35">
      <c r="A7959">
        <v>7958</v>
      </c>
      <c r="B7959" t="s">
        <v>12</v>
      </c>
      <c r="C7959">
        <v>52</v>
      </c>
      <c r="D7959" t="s">
        <v>21</v>
      </c>
      <c r="E7959" t="s">
        <v>22</v>
      </c>
      <c r="F7959">
        <v>219</v>
      </c>
      <c r="G7959">
        <v>23</v>
      </c>
      <c r="H7959">
        <v>0.14000000000000001</v>
      </c>
      <c r="I7959" t="s">
        <v>23</v>
      </c>
      <c r="J7959">
        <v>0</v>
      </c>
      <c r="K7959">
        <v>1</v>
      </c>
      <c r="L7959">
        <v>0</v>
      </c>
      <c r="M7959">
        <f>VLOOKUP(Table1[[#This Row],[subscription_type]],Plans!$A$1:$B$5,2,FALSE)</f>
        <v>9.99</v>
      </c>
      <c r="N7959">
        <f t="shared" si="124"/>
        <v>0</v>
      </c>
    </row>
    <row r="7960" spans="1:14" x14ac:dyDescent="0.35">
      <c r="A7960">
        <v>7959</v>
      </c>
      <c r="B7960" t="s">
        <v>12</v>
      </c>
      <c r="C7960">
        <v>38</v>
      </c>
      <c r="D7960" t="s">
        <v>26</v>
      </c>
      <c r="E7960" t="s">
        <v>18</v>
      </c>
      <c r="F7960">
        <v>174</v>
      </c>
      <c r="G7960">
        <v>80</v>
      </c>
      <c r="H7960">
        <v>0.33</v>
      </c>
      <c r="I7960" t="s">
        <v>19</v>
      </c>
      <c r="J7960">
        <v>0</v>
      </c>
      <c r="K7960">
        <v>1</v>
      </c>
      <c r="L7960">
        <v>0</v>
      </c>
      <c r="M7960">
        <f>VLOOKUP(Table1[[#This Row],[subscription_type]],Plans!$A$1:$B$5,2,FALSE)</f>
        <v>14.99</v>
      </c>
      <c r="N7960">
        <f t="shared" si="124"/>
        <v>0</v>
      </c>
    </row>
    <row r="7961" spans="1:14" x14ac:dyDescent="0.35">
      <c r="A7961">
        <v>7960</v>
      </c>
      <c r="B7961" t="s">
        <v>16</v>
      </c>
      <c r="C7961">
        <v>53</v>
      </c>
      <c r="D7961" t="s">
        <v>26</v>
      </c>
      <c r="E7961" t="s">
        <v>14</v>
      </c>
      <c r="F7961">
        <v>197</v>
      </c>
      <c r="G7961">
        <v>21</v>
      </c>
      <c r="H7961">
        <v>0.09</v>
      </c>
      <c r="I7961" t="s">
        <v>23</v>
      </c>
      <c r="J7961">
        <v>45</v>
      </c>
      <c r="K7961">
        <v>0</v>
      </c>
      <c r="L7961">
        <v>0</v>
      </c>
      <c r="M7961">
        <f>VLOOKUP(Table1[[#This Row],[subscription_type]],Plans!$A$1:$B$5,2,FALSE)</f>
        <v>0</v>
      </c>
      <c r="N7961">
        <f t="shared" si="124"/>
        <v>0</v>
      </c>
    </row>
    <row r="7962" spans="1:14" x14ac:dyDescent="0.35">
      <c r="A7962">
        <v>7961</v>
      </c>
      <c r="B7962" t="s">
        <v>12</v>
      </c>
      <c r="C7962">
        <v>45</v>
      </c>
      <c r="D7962" t="s">
        <v>21</v>
      </c>
      <c r="E7962" t="s">
        <v>24</v>
      </c>
      <c r="F7962">
        <v>145</v>
      </c>
      <c r="G7962">
        <v>95</v>
      </c>
      <c r="H7962">
        <v>0.41</v>
      </c>
      <c r="I7962" t="s">
        <v>19</v>
      </c>
      <c r="J7962">
        <v>0</v>
      </c>
      <c r="K7962">
        <v>1</v>
      </c>
      <c r="L7962">
        <v>0</v>
      </c>
      <c r="M7962">
        <f>VLOOKUP(Table1[[#This Row],[subscription_type]],Plans!$A$1:$B$5,2,FALSE)</f>
        <v>4.99</v>
      </c>
      <c r="N7962">
        <f t="shared" si="124"/>
        <v>0</v>
      </c>
    </row>
    <row r="7963" spans="1:14" x14ac:dyDescent="0.35">
      <c r="A7963">
        <v>7962</v>
      </c>
      <c r="B7963" t="s">
        <v>20</v>
      </c>
      <c r="C7963">
        <v>33</v>
      </c>
      <c r="D7963" t="s">
        <v>26</v>
      </c>
      <c r="E7963" t="s">
        <v>24</v>
      </c>
      <c r="F7963">
        <v>59</v>
      </c>
      <c r="G7963">
        <v>76</v>
      </c>
      <c r="H7963">
        <v>0.05</v>
      </c>
      <c r="I7963" t="s">
        <v>23</v>
      </c>
      <c r="J7963">
        <v>0</v>
      </c>
      <c r="K7963">
        <v>1</v>
      </c>
      <c r="L7963">
        <v>0</v>
      </c>
      <c r="M7963">
        <f>VLOOKUP(Table1[[#This Row],[subscription_type]],Plans!$A$1:$B$5,2,FALSE)</f>
        <v>4.99</v>
      </c>
      <c r="N7963">
        <f t="shared" si="124"/>
        <v>0</v>
      </c>
    </row>
    <row r="7964" spans="1:14" x14ac:dyDescent="0.35">
      <c r="A7964">
        <v>7963</v>
      </c>
      <c r="B7964" t="s">
        <v>12</v>
      </c>
      <c r="C7964">
        <v>52</v>
      </c>
      <c r="D7964" t="s">
        <v>29</v>
      </c>
      <c r="E7964" t="s">
        <v>22</v>
      </c>
      <c r="F7964">
        <v>152</v>
      </c>
      <c r="G7964">
        <v>1</v>
      </c>
      <c r="H7964">
        <v>0.28999999999999998</v>
      </c>
      <c r="I7964" t="s">
        <v>19</v>
      </c>
      <c r="J7964">
        <v>0</v>
      </c>
      <c r="K7964">
        <v>1</v>
      </c>
      <c r="L7964">
        <v>0</v>
      </c>
      <c r="M7964">
        <f>VLOOKUP(Table1[[#This Row],[subscription_type]],Plans!$A$1:$B$5,2,FALSE)</f>
        <v>9.99</v>
      </c>
      <c r="N7964">
        <f t="shared" si="124"/>
        <v>0</v>
      </c>
    </row>
    <row r="7965" spans="1:14" x14ac:dyDescent="0.35">
      <c r="A7965">
        <v>7964</v>
      </c>
      <c r="B7965" t="s">
        <v>20</v>
      </c>
      <c r="C7965">
        <v>28</v>
      </c>
      <c r="D7965" t="s">
        <v>26</v>
      </c>
      <c r="E7965" t="s">
        <v>22</v>
      </c>
      <c r="F7965">
        <v>151</v>
      </c>
      <c r="G7965">
        <v>70</v>
      </c>
      <c r="H7965">
        <v>0.1</v>
      </c>
      <c r="I7965" t="s">
        <v>19</v>
      </c>
      <c r="J7965">
        <v>0</v>
      </c>
      <c r="K7965">
        <v>1</v>
      </c>
      <c r="L7965">
        <v>0</v>
      </c>
      <c r="M7965">
        <f>VLOOKUP(Table1[[#This Row],[subscription_type]],Plans!$A$1:$B$5,2,FALSE)</f>
        <v>9.99</v>
      </c>
      <c r="N7965">
        <f t="shared" si="124"/>
        <v>0</v>
      </c>
    </row>
    <row r="7966" spans="1:14" x14ac:dyDescent="0.35">
      <c r="A7966">
        <v>7965</v>
      </c>
      <c r="B7966" t="s">
        <v>16</v>
      </c>
      <c r="C7966">
        <v>51</v>
      </c>
      <c r="D7966" t="s">
        <v>27</v>
      </c>
      <c r="E7966" t="s">
        <v>22</v>
      </c>
      <c r="F7966">
        <v>145</v>
      </c>
      <c r="G7966">
        <v>85</v>
      </c>
      <c r="H7966">
        <v>0.3</v>
      </c>
      <c r="I7966" t="s">
        <v>15</v>
      </c>
      <c r="J7966">
        <v>0</v>
      </c>
      <c r="K7966">
        <v>1</v>
      </c>
      <c r="L7966">
        <v>0</v>
      </c>
      <c r="M7966">
        <f>VLOOKUP(Table1[[#This Row],[subscription_type]],Plans!$A$1:$B$5,2,FALSE)</f>
        <v>9.99</v>
      </c>
      <c r="N7966">
        <f t="shared" si="124"/>
        <v>0</v>
      </c>
    </row>
    <row r="7967" spans="1:14" x14ac:dyDescent="0.35">
      <c r="A7967">
        <v>7966</v>
      </c>
      <c r="B7967" t="s">
        <v>12</v>
      </c>
      <c r="C7967">
        <v>48</v>
      </c>
      <c r="D7967" t="s">
        <v>17</v>
      </c>
      <c r="E7967" t="s">
        <v>18</v>
      </c>
      <c r="F7967">
        <v>215</v>
      </c>
      <c r="G7967">
        <v>56</v>
      </c>
      <c r="H7967">
        <v>0.4</v>
      </c>
      <c r="I7967" t="s">
        <v>23</v>
      </c>
      <c r="J7967">
        <v>0</v>
      </c>
      <c r="K7967">
        <v>1</v>
      </c>
      <c r="L7967">
        <v>0</v>
      </c>
      <c r="M7967">
        <f>VLOOKUP(Table1[[#This Row],[subscription_type]],Plans!$A$1:$B$5,2,FALSE)</f>
        <v>14.99</v>
      </c>
      <c r="N7967">
        <f t="shared" si="124"/>
        <v>0</v>
      </c>
    </row>
    <row r="7968" spans="1:14" x14ac:dyDescent="0.35">
      <c r="A7968">
        <v>7967</v>
      </c>
      <c r="B7968" t="s">
        <v>20</v>
      </c>
      <c r="C7968">
        <v>24</v>
      </c>
      <c r="D7968" t="s">
        <v>13</v>
      </c>
      <c r="E7968" t="s">
        <v>22</v>
      </c>
      <c r="F7968">
        <v>221</v>
      </c>
      <c r="G7968">
        <v>93</v>
      </c>
      <c r="H7968">
        <v>0.22</v>
      </c>
      <c r="I7968" t="s">
        <v>15</v>
      </c>
      <c r="J7968">
        <v>0</v>
      </c>
      <c r="K7968">
        <v>1</v>
      </c>
      <c r="L7968">
        <v>0</v>
      </c>
      <c r="M7968">
        <f>VLOOKUP(Table1[[#This Row],[subscription_type]],Plans!$A$1:$B$5,2,FALSE)</f>
        <v>9.99</v>
      </c>
      <c r="N7968">
        <f t="shared" si="124"/>
        <v>0</v>
      </c>
    </row>
    <row r="7969" spans="1:14" x14ac:dyDescent="0.35">
      <c r="A7969">
        <v>7968</v>
      </c>
      <c r="B7969" t="s">
        <v>12</v>
      </c>
      <c r="C7969">
        <v>31</v>
      </c>
      <c r="D7969" t="s">
        <v>25</v>
      </c>
      <c r="E7969" t="s">
        <v>22</v>
      </c>
      <c r="F7969">
        <v>266</v>
      </c>
      <c r="G7969">
        <v>38</v>
      </c>
      <c r="H7969">
        <v>0.31</v>
      </c>
      <c r="I7969" t="s">
        <v>15</v>
      </c>
      <c r="J7969">
        <v>0</v>
      </c>
      <c r="K7969">
        <v>1</v>
      </c>
      <c r="L7969">
        <v>0</v>
      </c>
      <c r="M7969">
        <f>VLOOKUP(Table1[[#This Row],[subscription_type]],Plans!$A$1:$B$5,2,FALSE)</f>
        <v>9.99</v>
      </c>
      <c r="N7969">
        <f t="shared" si="124"/>
        <v>0</v>
      </c>
    </row>
    <row r="7970" spans="1:14" x14ac:dyDescent="0.35">
      <c r="A7970">
        <v>7969</v>
      </c>
      <c r="B7970" t="s">
        <v>12</v>
      </c>
      <c r="C7970">
        <v>19</v>
      </c>
      <c r="D7970" t="s">
        <v>25</v>
      </c>
      <c r="E7970" t="s">
        <v>18</v>
      </c>
      <c r="F7970">
        <v>170</v>
      </c>
      <c r="G7970">
        <v>16</v>
      </c>
      <c r="H7970">
        <v>0.51</v>
      </c>
      <c r="I7970" t="s">
        <v>19</v>
      </c>
      <c r="J7970">
        <v>0</v>
      </c>
      <c r="K7970">
        <v>1</v>
      </c>
      <c r="L7970">
        <v>0</v>
      </c>
      <c r="M7970">
        <f>VLOOKUP(Table1[[#This Row],[subscription_type]],Plans!$A$1:$B$5,2,FALSE)</f>
        <v>14.99</v>
      </c>
      <c r="N7970">
        <f t="shared" si="124"/>
        <v>0</v>
      </c>
    </row>
    <row r="7971" spans="1:14" x14ac:dyDescent="0.35">
      <c r="A7971">
        <v>7970</v>
      </c>
      <c r="B7971" t="s">
        <v>12</v>
      </c>
      <c r="C7971">
        <v>54</v>
      </c>
      <c r="D7971" t="s">
        <v>27</v>
      </c>
      <c r="E7971" t="s">
        <v>14</v>
      </c>
      <c r="F7971">
        <v>297</v>
      </c>
      <c r="G7971">
        <v>79</v>
      </c>
      <c r="H7971">
        <v>0.14000000000000001</v>
      </c>
      <c r="I7971" t="s">
        <v>23</v>
      </c>
      <c r="J7971">
        <v>46</v>
      </c>
      <c r="K7971">
        <v>0</v>
      </c>
      <c r="L7971">
        <v>0</v>
      </c>
      <c r="M7971">
        <f>VLOOKUP(Table1[[#This Row],[subscription_type]],Plans!$A$1:$B$5,2,FALSE)</f>
        <v>0</v>
      </c>
      <c r="N7971">
        <f t="shared" si="124"/>
        <v>0</v>
      </c>
    </row>
    <row r="7972" spans="1:14" x14ac:dyDescent="0.35">
      <c r="A7972">
        <v>7971</v>
      </c>
      <c r="B7972" t="s">
        <v>12</v>
      </c>
      <c r="C7972">
        <v>37</v>
      </c>
      <c r="D7972" t="s">
        <v>25</v>
      </c>
      <c r="E7972" t="s">
        <v>18</v>
      </c>
      <c r="F7972">
        <v>277</v>
      </c>
      <c r="G7972">
        <v>80</v>
      </c>
      <c r="H7972">
        <v>0.37</v>
      </c>
      <c r="I7972" t="s">
        <v>19</v>
      </c>
      <c r="J7972">
        <v>0</v>
      </c>
      <c r="K7972">
        <v>1</v>
      </c>
      <c r="L7972">
        <v>0</v>
      </c>
      <c r="M7972">
        <f>VLOOKUP(Table1[[#This Row],[subscription_type]],Plans!$A$1:$B$5,2,FALSE)</f>
        <v>14.99</v>
      </c>
      <c r="N7972">
        <f t="shared" si="124"/>
        <v>0</v>
      </c>
    </row>
    <row r="7973" spans="1:14" x14ac:dyDescent="0.35">
      <c r="A7973">
        <v>7972</v>
      </c>
      <c r="B7973" t="s">
        <v>20</v>
      </c>
      <c r="C7973">
        <v>18</v>
      </c>
      <c r="D7973" t="s">
        <v>27</v>
      </c>
      <c r="E7973" t="s">
        <v>22</v>
      </c>
      <c r="F7973">
        <v>238</v>
      </c>
      <c r="G7973">
        <v>3</v>
      </c>
      <c r="H7973">
        <v>7.0000000000000007E-2</v>
      </c>
      <c r="I7973" t="s">
        <v>19</v>
      </c>
      <c r="J7973">
        <v>0</v>
      </c>
      <c r="K7973">
        <v>1</v>
      </c>
      <c r="L7973">
        <v>0</v>
      </c>
      <c r="M7973">
        <f>VLOOKUP(Table1[[#This Row],[subscription_type]],Plans!$A$1:$B$5,2,FALSE)</f>
        <v>9.99</v>
      </c>
      <c r="N7973">
        <f t="shared" si="124"/>
        <v>0</v>
      </c>
    </row>
    <row r="7974" spans="1:14" x14ac:dyDescent="0.35">
      <c r="A7974">
        <v>7973</v>
      </c>
      <c r="B7974" t="s">
        <v>12</v>
      </c>
      <c r="C7974">
        <v>21</v>
      </c>
      <c r="D7974" t="s">
        <v>29</v>
      </c>
      <c r="E7974" t="s">
        <v>24</v>
      </c>
      <c r="F7974">
        <v>161</v>
      </c>
      <c r="G7974">
        <v>79</v>
      </c>
      <c r="H7974">
        <v>0.46</v>
      </c>
      <c r="I7974" t="s">
        <v>23</v>
      </c>
      <c r="J7974">
        <v>0</v>
      </c>
      <c r="K7974">
        <v>1</v>
      </c>
      <c r="L7974">
        <v>0</v>
      </c>
      <c r="M7974">
        <f>VLOOKUP(Table1[[#This Row],[subscription_type]],Plans!$A$1:$B$5,2,FALSE)</f>
        <v>4.99</v>
      </c>
      <c r="N7974">
        <f t="shared" si="124"/>
        <v>0</v>
      </c>
    </row>
    <row r="7975" spans="1:14" x14ac:dyDescent="0.35">
      <c r="A7975">
        <v>7974</v>
      </c>
      <c r="B7975" t="s">
        <v>16</v>
      </c>
      <c r="C7975">
        <v>20</v>
      </c>
      <c r="D7975" t="s">
        <v>17</v>
      </c>
      <c r="E7975" t="s">
        <v>22</v>
      </c>
      <c r="F7975">
        <v>120</v>
      </c>
      <c r="G7975">
        <v>11</v>
      </c>
      <c r="H7975">
        <v>0.2</v>
      </c>
      <c r="I7975" t="s">
        <v>23</v>
      </c>
      <c r="J7975">
        <v>0</v>
      </c>
      <c r="K7975">
        <v>1</v>
      </c>
      <c r="L7975">
        <v>0</v>
      </c>
      <c r="M7975">
        <f>VLOOKUP(Table1[[#This Row],[subscription_type]],Plans!$A$1:$B$5,2,FALSE)</f>
        <v>9.99</v>
      </c>
      <c r="N7975">
        <f t="shared" si="124"/>
        <v>0</v>
      </c>
    </row>
    <row r="7976" spans="1:14" x14ac:dyDescent="0.35">
      <c r="A7976">
        <v>7975</v>
      </c>
      <c r="B7976" t="s">
        <v>16</v>
      </c>
      <c r="C7976">
        <v>55</v>
      </c>
      <c r="D7976" t="s">
        <v>28</v>
      </c>
      <c r="E7976" t="s">
        <v>22</v>
      </c>
      <c r="F7976">
        <v>179</v>
      </c>
      <c r="G7976">
        <v>1</v>
      </c>
      <c r="H7976">
        <v>0.21</v>
      </c>
      <c r="I7976" t="s">
        <v>19</v>
      </c>
      <c r="J7976">
        <v>0</v>
      </c>
      <c r="K7976">
        <v>1</v>
      </c>
      <c r="L7976">
        <v>0</v>
      </c>
      <c r="M7976">
        <f>VLOOKUP(Table1[[#This Row],[subscription_type]],Plans!$A$1:$B$5,2,FALSE)</f>
        <v>9.99</v>
      </c>
      <c r="N7976">
        <f t="shared" si="124"/>
        <v>0</v>
      </c>
    </row>
    <row r="7977" spans="1:14" x14ac:dyDescent="0.35">
      <c r="A7977">
        <v>7976</v>
      </c>
      <c r="B7977" t="s">
        <v>12</v>
      </c>
      <c r="C7977">
        <v>39</v>
      </c>
      <c r="D7977" t="s">
        <v>29</v>
      </c>
      <c r="E7977" t="s">
        <v>14</v>
      </c>
      <c r="F7977">
        <v>177</v>
      </c>
      <c r="G7977">
        <v>61</v>
      </c>
      <c r="H7977">
        <v>0.28000000000000003</v>
      </c>
      <c r="I7977" t="s">
        <v>23</v>
      </c>
      <c r="J7977">
        <v>5</v>
      </c>
      <c r="K7977">
        <v>0</v>
      </c>
      <c r="L7977">
        <v>1</v>
      </c>
      <c r="M7977">
        <f>VLOOKUP(Table1[[#This Row],[subscription_type]],Plans!$A$1:$B$5,2,FALSE)</f>
        <v>0</v>
      </c>
      <c r="N7977">
        <f t="shared" si="124"/>
        <v>0</v>
      </c>
    </row>
    <row r="7978" spans="1:14" x14ac:dyDescent="0.35">
      <c r="A7978">
        <v>7977</v>
      </c>
      <c r="B7978" t="s">
        <v>12</v>
      </c>
      <c r="C7978">
        <v>58</v>
      </c>
      <c r="D7978" t="s">
        <v>27</v>
      </c>
      <c r="E7978" t="s">
        <v>18</v>
      </c>
      <c r="F7978">
        <v>280</v>
      </c>
      <c r="G7978">
        <v>21</v>
      </c>
      <c r="H7978">
        <v>0.06</v>
      </c>
      <c r="I7978" t="s">
        <v>19</v>
      </c>
      <c r="J7978">
        <v>0</v>
      </c>
      <c r="K7978">
        <v>1</v>
      </c>
      <c r="L7978">
        <v>0</v>
      </c>
      <c r="M7978">
        <f>VLOOKUP(Table1[[#This Row],[subscription_type]],Plans!$A$1:$B$5,2,FALSE)</f>
        <v>14.99</v>
      </c>
      <c r="N7978">
        <f t="shared" si="124"/>
        <v>0</v>
      </c>
    </row>
    <row r="7979" spans="1:14" x14ac:dyDescent="0.35">
      <c r="A7979">
        <v>7978</v>
      </c>
      <c r="B7979" t="s">
        <v>12</v>
      </c>
      <c r="C7979">
        <v>40</v>
      </c>
      <c r="D7979" t="s">
        <v>27</v>
      </c>
      <c r="E7979" t="s">
        <v>14</v>
      </c>
      <c r="F7979">
        <v>179</v>
      </c>
      <c r="G7979">
        <v>33</v>
      </c>
      <c r="H7979">
        <v>0.35</v>
      </c>
      <c r="I7979" t="s">
        <v>15</v>
      </c>
      <c r="J7979">
        <v>8</v>
      </c>
      <c r="K7979">
        <v>0</v>
      </c>
      <c r="L7979">
        <v>0</v>
      </c>
      <c r="M7979">
        <f>VLOOKUP(Table1[[#This Row],[subscription_type]],Plans!$A$1:$B$5,2,FALSE)</f>
        <v>0</v>
      </c>
      <c r="N7979">
        <f t="shared" si="124"/>
        <v>0</v>
      </c>
    </row>
    <row r="7980" spans="1:14" x14ac:dyDescent="0.35">
      <c r="A7980">
        <v>7979</v>
      </c>
      <c r="B7980" t="s">
        <v>12</v>
      </c>
      <c r="C7980">
        <v>52</v>
      </c>
      <c r="D7980" t="s">
        <v>28</v>
      </c>
      <c r="E7980" t="s">
        <v>18</v>
      </c>
      <c r="F7980">
        <v>14</v>
      </c>
      <c r="G7980">
        <v>30</v>
      </c>
      <c r="H7980">
        <v>0.03</v>
      </c>
      <c r="I7980" t="s">
        <v>19</v>
      </c>
      <c r="J7980">
        <v>0</v>
      </c>
      <c r="K7980">
        <v>1</v>
      </c>
      <c r="L7980">
        <v>0</v>
      </c>
      <c r="M7980">
        <f>VLOOKUP(Table1[[#This Row],[subscription_type]],Plans!$A$1:$B$5,2,FALSE)</f>
        <v>14.99</v>
      </c>
      <c r="N7980">
        <f t="shared" si="124"/>
        <v>0</v>
      </c>
    </row>
    <row r="7981" spans="1:14" x14ac:dyDescent="0.35">
      <c r="A7981">
        <v>7980</v>
      </c>
      <c r="B7981" t="s">
        <v>20</v>
      </c>
      <c r="C7981">
        <v>54</v>
      </c>
      <c r="D7981" t="s">
        <v>17</v>
      </c>
      <c r="E7981" t="s">
        <v>14</v>
      </c>
      <c r="F7981">
        <v>250</v>
      </c>
      <c r="G7981">
        <v>49</v>
      </c>
      <c r="H7981">
        <v>0.2</v>
      </c>
      <c r="I7981" t="s">
        <v>23</v>
      </c>
      <c r="J7981">
        <v>44</v>
      </c>
      <c r="K7981">
        <v>0</v>
      </c>
      <c r="L7981">
        <v>1</v>
      </c>
      <c r="M7981">
        <f>VLOOKUP(Table1[[#This Row],[subscription_type]],Plans!$A$1:$B$5,2,FALSE)</f>
        <v>0</v>
      </c>
      <c r="N7981">
        <f t="shared" si="124"/>
        <v>0</v>
      </c>
    </row>
    <row r="7982" spans="1:14" x14ac:dyDescent="0.35">
      <c r="A7982">
        <v>7981</v>
      </c>
      <c r="B7982" t="s">
        <v>12</v>
      </c>
      <c r="C7982">
        <v>23</v>
      </c>
      <c r="D7982" t="s">
        <v>26</v>
      </c>
      <c r="E7982" t="s">
        <v>24</v>
      </c>
      <c r="F7982">
        <v>79</v>
      </c>
      <c r="G7982">
        <v>21</v>
      </c>
      <c r="H7982">
        <v>0.12</v>
      </c>
      <c r="I7982" t="s">
        <v>23</v>
      </c>
      <c r="J7982">
        <v>0</v>
      </c>
      <c r="K7982">
        <v>1</v>
      </c>
      <c r="L7982">
        <v>1</v>
      </c>
      <c r="M7982">
        <f>VLOOKUP(Table1[[#This Row],[subscription_type]],Plans!$A$1:$B$5,2,FALSE)</f>
        <v>4.99</v>
      </c>
      <c r="N7982">
        <f t="shared" si="124"/>
        <v>4.99</v>
      </c>
    </row>
    <row r="7983" spans="1:14" x14ac:dyDescent="0.35">
      <c r="A7983">
        <v>7982</v>
      </c>
      <c r="B7983" t="s">
        <v>12</v>
      </c>
      <c r="C7983">
        <v>44</v>
      </c>
      <c r="D7983" t="s">
        <v>28</v>
      </c>
      <c r="E7983" t="s">
        <v>18</v>
      </c>
      <c r="F7983">
        <v>253</v>
      </c>
      <c r="G7983">
        <v>41</v>
      </c>
      <c r="H7983">
        <v>0.33</v>
      </c>
      <c r="I7983" t="s">
        <v>15</v>
      </c>
      <c r="J7983">
        <v>0</v>
      </c>
      <c r="K7983">
        <v>1</v>
      </c>
      <c r="L7983">
        <v>1</v>
      </c>
      <c r="M7983">
        <f>VLOOKUP(Table1[[#This Row],[subscription_type]],Plans!$A$1:$B$5,2,FALSE)</f>
        <v>14.99</v>
      </c>
      <c r="N7983">
        <f t="shared" si="124"/>
        <v>14.99</v>
      </c>
    </row>
    <row r="7984" spans="1:14" x14ac:dyDescent="0.35">
      <c r="A7984">
        <v>7983</v>
      </c>
      <c r="B7984" t="s">
        <v>20</v>
      </c>
      <c r="C7984">
        <v>57</v>
      </c>
      <c r="D7984" t="s">
        <v>21</v>
      </c>
      <c r="E7984" t="s">
        <v>22</v>
      </c>
      <c r="F7984">
        <v>176</v>
      </c>
      <c r="G7984">
        <v>77</v>
      </c>
      <c r="H7984">
        <v>0.43</v>
      </c>
      <c r="I7984" t="s">
        <v>19</v>
      </c>
      <c r="J7984">
        <v>0</v>
      </c>
      <c r="K7984">
        <v>1</v>
      </c>
      <c r="L7984">
        <v>1</v>
      </c>
      <c r="M7984">
        <f>VLOOKUP(Table1[[#This Row],[subscription_type]],Plans!$A$1:$B$5,2,FALSE)</f>
        <v>9.99</v>
      </c>
      <c r="N7984">
        <f t="shared" si="124"/>
        <v>9.99</v>
      </c>
    </row>
    <row r="7985" spans="1:14" x14ac:dyDescent="0.35">
      <c r="A7985">
        <v>7984</v>
      </c>
      <c r="B7985" t="s">
        <v>12</v>
      </c>
      <c r="C7985">
        <v>27</v>
      </c>
      <c r="D7985" t="s">
        <v>17</v>
      </c>
      <c r="E7985" t="s">
        <v>22</v>
      </c>
      <c r="F7985">
        <v>140</v>
      </c>
      <c r="G7985">
        <v>28</v>
      </c>
      <c r="H7985">
        <v>0.43</v>
      </c>
      <c r="I7985" t="s">
        <v>19</v>
      </c>
      <c r="J7985">
        <v>0</v>
      </c>
      <c r="K7985">
        <v>1</v>
      </c>
      <c r="L7985">
        <v>0</v>
      </c>
      <c r="M7985">
        <f>VLOOKUP(Table1[[#This Row],[subscription_type]],Plans!$A$1:$B$5,2,FALSE)</f>
        <v>9.99</v>
      </c>
      <c r="N7985">
        <f t="shared" si="124"/>
        <v>0</v>
      </c>
    </row>
    <row r="7986" spans="1:14" x14ac:dyDescent="0.35">
      <c r="A7986">
        <v>7985</v>
      </c>
      <c r="B7986" t="s">
        <v>16</v>
      </c>
      <c r="C7986">
        <v>16</v>
      </c>
      <c r="D7986" t="s">
        <v>29</v>
      </c>
      <c r="E7986" t="s">
        <v>22</v>
      </c>
      <c r="F7986">
        <v>277</v>
      </c>
      <c r="G7986">
        <v>76</v>
      </c>
      <c r="H7986">
        <v>0.02</v>
      </c>
      <c r="I7986" t="s">
        <v>15</v>
      </c>
      <c r="J7986">
        <v>0</v>
      </c>
      <c r="K7986">
        <v>1</v>
      </c>
      <c r="L7986">
        <v>1</v>
      </c>
      <c r="M7986">
        <f>VLOOKUP(Table1[[#This Row],[subscription_type]],Plans!$A$1:$B$5,2,FALSE)</f>
        <v>9.99</v>
      </c>
      <c r="N7986">
        <f t="shared" si="124"/>
        <v>9.99</v>
      </c>
    </row>
    <row r="7987" spans="1:14" x14ac:dyDescent="0.35">
      <c r="A7987">
        <v>7986</v>
      </c>
      <c r="B7987" t="s">
        <v>20</v>
      </c>
      <c r="C7987">
        <v>36</v>
      </c>
      <c r="D7987" t="s">
        <v>17</v>
      </c>
      <c r="E7987" t="s">
        <v>22</v>
      </c>
      <c r="F7987">
        <v>64</v>
      </c>
      <c r="G7987">
        <v>92</v>
      </c>
      <c r="H7987">
        <v>0.12</v>
      </c>
      <c r="I7987" t="s">
        <v>15</v>
      </c>
      <c r="J7987">
        <v>0</v>
      </c>
      <c r="K7987">
        <v>1</v>
      </c>
      <c r="L7987">
        <v>0</v>
      </c>
      <c r="M7987">
        <f>VLOOKUP(Table1[[#This Row],[subscription_type]],Plans!$A$1:$B$5,2,FALSE)</f>
        <v>9.99</v>
      </c>
      <c r="N7987">
        <f t="shared" si="124"/>
        <v>0</v>
      </c>
    </row>
    <row r="7988" spans="1:14" x14ac:dyDescent="0.35">
      <c r="A7988">
        <v>7987</v>
      </c>
      <c r="B7988" t="s">
        <v>16</v>
      </c>
      <c r="C7988">
        <v>27</v>
      </c>
      <c r="D7988" t="s">
        <v>13</v>
      </c>
      <c r="E7988" t="s">
        <v>24</v>
      </c>
      <c r="F7988">
        <v>211</v>
      </c>
      <c r="G7988">
        <v>58</v>
      </c>
      <c r="H7988">
        <v>0.04</v>
      </c>
      <c r="I7988" t="s">
        <v>15</v>
      </c>
      <c r="J7988">
        <v>0</v>
      </c>
      <c r="K7988">
        <v>1</v>
      </c>
      <c r="L7988">
        <v>0</v>
      </c>
      <c r="M7988">
        <f>VLOOKUP(Table1[[#This Row],[subscription_type]],Plans!$A$1:$B$5,2,FALSE)</f>
        <v>4.99</v>
      </c>
      <c r="N7988">
        <f t="shared" si="124"/>
        <v>0</v>
      </c>
    </row>
    <row r="7989" spans="1:14" x14ac:dyDescent="0.35">
      <c r="A7989">
        <v>7988</v>
      </c>
      <c r="B7989" t="s">
        <v>12</v>
      </c>
      <c r="C7989">
        <v>21</v>
      </c>
      <c r="D7989" t="s">
        <v>25</v>
      </c>
      <c r="E7989" t="s">
        <v>24</v>
      </c>
      <c r="F7989">
        <v>23</v>
      </c>
      <c r="G7989">
        <v>77</v>
      </c>
      <c r="H7989">
        <v>0.5</v>
      </c>
      <c r="I7989" t="s">
        <v>23</v>
      </c>
      <c r="J7989">
        <v>0</v>
      </c>
      <c r="K7989">
        <v>1</v>
      </c>
      <c r="L7989">
        <v>0</v>
      </c>
      <c r="M7989">
        <f>VLOOKUP(Table1[[#This Row],[subscription_type]],Plans!$A$1:$B$5,2,FALSE)</f>
        <v>4.99</v>
      </c>
      <c r="N7989">
        <f t="shared" si="124"/>
        <v>0</v>
      </c>
    </row>
    <row r="7990" spans="1:14" x14ac:dyDescent="0.35">
      <c r="A7990">
        <v>7989</v>
      </c>
      <c r="B7990" t="s">
        <v>20</v>
      </c>
      <c r="C7990">
        <v>41</v>
      </c>
      <c r="D7990" t="s">
        <v>27</v>
      </c>
      <c r="E7990" t="s">
        <v>24</v>
      </c>
      <c r="F7990">
        <v>137</v>
      </c>
      <c r="G7990">
        <v>74</v>
      </c>
      <c r="H7990">
        <v>0.53</v>
      </c>
      <c r="I7990" t="s">
        <v>15</v>
      </c>
      <c r="J7990">
        <v>0</v>
      </c>
      <c r="K7990">
        <v>1</v>
      </c>
      <c r="L7990">
        <v>1</v>
      </c>
      <c r="M7990">
        <f>VLOOKUP(Table1[[#This Row],[subscription_type]],Plans!$A$1:$B$5,2,FALSE)</f>
        <v>4.99</v>
      </c>
      <c r="N7990">
        <f t="shared" si="124"/>
        <v>4.99</v>
      </c>
    </row>
    <row r="7991" spans="1:14" x14ac:dyDescent="0.35">
      <c r="A7991">
        <v>7990</v>
      </c>
      <c r="B7991" t="s">
        <v>12</v>
      </c>
      <c r="C7991">
        <v>41</v>
      </c>
      <c r="D7991" t="s">
        <v>17</v>
      </c>
      <c r="E7991" t="s">
        <v>14</v>
      </c>
      <c r="F7991">
        <v>94</v>
      </c>
      <c r="G7991">
        <v>59</v>
      </c>
      <c r="H7991">
        <v>0.04</v>
      </c>
      <c r="I7991" t="s">
        <v>15</v>
      </c>
      <c r="J7991">
        <v>29</v>
      </c>
      <c r="K7991">
        <v>0</v>
      </c>
      <c r="L7991">
        <v>0</v>
      </c>
      <c r="M7991">
        <f>VLOOKUP(Table1[[#This Row],[subscription_type]],Plans!$A$1:$B$5,2,FALSE)</f>
        <v>0</v>
      </c>
      <c r="N7991">
        <f t="shared" si="124"/>
        <v>0</v>
      </c>
    </row>
    <row r="7992" spans="1:14" x14ac:dyDescent="0.35">
      <c r="A7992">
        <v>7991</v>
      </c>
      <c r="B7992" t="s">
        <v>20</v>
      </c>
      <c r="C7992">
        <v>50</v>
      </c>
      <c r="D7992" t="s">
        <v>17</v>
      </c>
      <c r="E7992" t="s">
        <v>22</v>
      </c>
      <c r="F7992">
        <v>71</v>
      </c>
      <c r="G7992">
        <v>21</v>
      </c>
      <c r="H7992">
        <v>0.04</v>
      </c>
      <c r="I7992" t="s">
        <v>15</v>
      </c>
      <c r="J7992">
        <v>0</v>
      </c>
      <c r="K7992">
        <v>1</v>
      </c>
      <c r="L7992">
        <v>0</v>
      </c>
      <c r="M7992">
        <f>VLOOKUP(Table1[[#This Row],[subscription_type]],Plans!$A$1:$B$5,2,FALSE)</f>
        <v>9.99</v>
      </c>
      <c r="N7992">
        <f t="shared" si="124"/>
        <v>0</v>
      </c>
    </row>
    <row r="7993" spans="1:14" x14ac:dyDescent="0.35">
      <c r="A7993">
        <v>7992</v>
      </c>
      <c r="B7993" t="s">
        <v>16</v>
      </c>
      <c r="C7993">
        <v>16</v>
      </c>
      <c r="D7993" t="s">
        <v>17</v>
      </c>
      <c r="E7993" t="s">
        <v>18</v>
      </c>
      <c r="F7993">
        <v>131</v>
      </c>
      <c r="G7993">
        <v>71</v>
      </c>
      <c r="H7993">
        <v>0.6</v>
      </c>
      <c r="I7993" t="s">
        <v>23</v>
      </c>
      <c r="J7993">
        <v>0</v>
      </c>
      <c r="K7993">
        <v>1</v>
      </c>
      <c r="L7993">
        <v>0</v>
      </c>
      <c r="M7993">
        <f>VLOOKUP(Table1[[#This Row],[subscription_type]],Plans!$A$1:$B$5,2,FALSE)</f>
        <v>14.99</v>
      </c>
      <c r="N7993">
        <f t="shared" si="124"/>
        <v>0</v>
      </c>
    </row>
    <row r="7994" spans="1:14" x14ac:dyDescent="0.35">
      <c r="A7994">
        <v>7993</v>
      </c>
      <c r="B7994" t="s">
        <v>12</v>
      </c>
      <c r="C7994">
        <v>32</v>
      </c>
      <c r="D7994" t="s">
        <v>13</v>
      </c>
      <c r="E7994" t="s">
        <v>14</v>
      </c>
      <c r="F7994">
        <v>114</v>
      </c>
      <c r="G7994">
        <v>69</v>
      </c>
      <c r="H7994">
        <v>0.28999999999999998</v>
      </c>
      <c r="I7994" t="s">
        <v>15</v>
      </c>
      <c r="J7994">
        <v>49</v>
      </c>
      <c r="K7994">
        <v>0</v>
      </c>
      <c r="L7994">
        <v>0</v>
      </c>
      <c r="M7994">
        <f>VLOOKUP(Table1[[#This Row],[subscription_type]],Plans!$A$1:$B$5,2,FALSE)</f>
        <v>0</v>
      </c>
      <c r="N7994">
        <f t="shared" si="124"/>
        <v>0</v>
      </c>
    </row>
    <row r="7995" spans="1:14" x14ac:dyDescent="0.35">
      <c r="A7995">
        <v>7994</v>
      </c>
      <c r="B7995" t="s">
        <v>16</v>
      </c>
      <c r="C7995">
        <v>29</v>
      </c>
      <c r="D7995" t="s">
        <v>13</v>
      </c>
      <c r="E7995" t="s">
        <v>14</v>
      </c>
      <c r="F7995">
        <v>206</v>
      </c>
      <c r="G7995">
        <v>19</v>
      </c>
      <c r="H7995">
        <v>0.45</v>
      </c>
      <c r="I7995" t="s">
        <v>19</v>
      </c>
      <c r="J7995">
        <v>40</v>
      </c>
      <c r="K7995">
        <v>0</v>
      </c>
      <c r="L7995">
        <v>0</v>
      </c>
      <c r="M7995">
        <f>VLOOKUP(Table1[[#This Row],[subscription_type]],Plans!$A$1:$B$5,2,FALSE)</f>
        <v>0</v>
      </c>
      <c r="N7995">
        <f t="shared" si="124"/>
        <v>0</v>
      </c>
    </row>
    <row r="7996" spans="1:14" x14ac:dyDescent="0.35">
      <c r="A7996">
        <v>7995</v>
      </c>
      <c r="B7996" t="s">
        <v>20</v>
      </c>
      <c r="C7996">
        <v>34</v>
      </c>
      <c r="D7996" t="s">
        <v>29</v>
      </c>
      <c r="E7996" t="s">
        <v>18</v>
      </c>
      <c r="F7996">
        <v>21</v>
      </c>
      <c r="G7996">
        <v>77</v>
      </c>
      <c r="H7996">
        <v>0.56000000000000005</v>
      </c>
      <c r="I7996" t="s">
        <v>15</v>
      </c>
      <c r="J7996">
        <v>0</v>
      </c>
      <c r="K7996">
        <v>1</v>
      </c>
      <c r="L7996">
        <v>0</v>
      </c>
      <c r="M7996">
        <f>VLOOKUP(Table1[[#This Row],[subscription_type]],Plans!$A$1:$B$5,2,FALSE)</f>
        <v>14.99</v>
      </c>
      <c r="N7996">
        <f t="shared" si="124"/>
        <v>0</v>
      </c>
    </row>
    <row r="7997" spans="1:14" x14ac:dyDescent="0.35">
      <c r="A7997">
        <v>7996</v>
      </c>
      <c r="B7997" t="s">
        <v>16</v>
      </c>
      <c r="C7997">
        <v>44</v>
      </c>
      <c r="D7997" t="s">
        <v>17</v>
      </c>
      <c r="E7997" t="s">
        <v>24</v>
      </c>
      <c r="F7997">
        <v>237</v>
      </c>
      <c r="G7997">
        <v>36</v>
      </c>
      <c r="H7997">
        <v>0.3</v>
      </c>
      <c r="I7997" t="s">
        <v>23</v>
      </c>
      <c r="J7997">
        <v>0</v>
      </c>
      <c r="K7997">
        <v>1</v>
      </c>
      <c r="L7997">
        <v>1</v>
      </c>
      <c r="M7997">
        <f>VLOOKUP(Table1[[#This Row],[subscription_type]],Plans!$A$1:$B$5,2,FALSE)</f>
        <v>4.99</v>
      </c>
      <c r="N7997">
        <f t="shared" si="124"/>
        <v>4.99</v>
      </c>
    </row>
    <row r="7998" spans="1:14" x14ac:dyDescent="0.35">
      <c r="A7998">
        <v>7997</v>
      </c>
      <c r="B7998" t="s">
        <v>20</v>
      </c>
      <c r="C7998">
        <v>34</v>
      </c>
      <c r="D7998" t="s">
        <v>21</v>
      </c>
      <c r="E7998" t="s">
        <v>22</v>
      </c>
      <c r="F7998">
        <v>61</v>
      </c>
      <c r="G7998">
        <v>64</v>
      </c>
      <c r="H7998">
        <v>0.59</v>
      </c>
      <c r="I7998" t="s">
        <v>23</v>
      </c>
      <c r="J7998">
        <v>0</v>
      </c>
      <c r="K7998">
        <v>1</v>
      </c>
      <c r="L7998">
        <v>0</v>
      </c>
      <c r="M7998">
        <f>VLOOKUP(Table1[[#This Row],[subscription_type]],Plans!$A$1:$B$5,2,FALSE)</f>
        <v>9.99</v>
      </c>
      <c r="N7998">
        <f t="shared" si="124"/>
        <v>0</v>
      </c>
    </row>
    <row r="7999" spans="1:14" x14ac:dyDescent="0.35">
      <c r="A7999">
        <v>7998</v>
      </c>
      <c r="B7999" t="s">
        <v>12</v>
      </c>
      <c r="C7999">
        <v>17</v>
      </c>
      <c r="D7999" t="s">
        <v>25</v>
      </c>
      <c r="E7999" t="s">
        <v>14</v>
      </c>
      <c r="F7999">
        <v>81</v>
      </c>
      <c r="G7999">
        <v>62</v>
      </c>
      <c r="H7999">
        <v>0.33</v>
      </c>
      <c r="I7999" t="s">
        <v>15</v>
      </c>
      <c r="J7999">
        <v>5</v>
      </c>
      <c r="K7999">
        <v>0</v>
      </c>
      <c r="L7999">
        <v>0</v>
      </c>
      <c r="M7999">
        <f>VLOOKUP(Table1[[#This Row],[subscription_type]],Plans!$A$1:$B$5,2,FALSE)</f>
        <v>0</v>
      </c>
      <c r="N7999">
        <f t="shared" si="124"/>
        <v>0</v>
      </c>
    </row>
    <row r="8000" spans="1:14" x14ac:dyDescent="0.35">
      <c r="A8000">
        <v>7999</v>
      </c>
      <c r="B8000" t="s">
        <v>12</v>
      </c>
      <c r="C8000">
        <v>34</v>
      </c>
      <c r="D8000" t="s">
        <v>27</v>
      </c>
      <c r="E8000" t="s">
        <v>24</v>
      </c>
      <c r="F8000">
        <v>245</v>
      </c>
      <c r="G8000">
        <v>94</v>
      </c>
      <c r="H8000">
        <v>0.27</v>
      </c>
      <c r="I8000" t="s">
        <v>15</v>
      </c>
      <c r="J8000">
        <v>0</v>
      </c>
      <c r="K8000">
        <v>1</v>
      </c>
      <c r="L8000">
        <v>0</v>
      </c>
      <c r="M8000">
        <f>VLOOKUP(Table1[[#This Row],[subscription_type]],Plans!$A$1:$B$5,2,FALSE)</f>
        <v>4.99</v>
      </c>
      <c r="N8000">
        <f t="shared" si="124"/>
        <v>0</v>
      </c>
    </row>
    <row r="8001" spans="1:14" x14ac:dyDescent="0.35">
      <c r="A8001">
        <v>8000</v>
      </c>
      <c r="B8001" t="s">
        <v>16</v>
      </c>
      <c r="C8001">
        <v>45</v>
      </c>
      <c r="D8001" t="s">
        <v>21</v>
      </c>
      <c r="E8001" t="s">
        <v>14</v>
      </c>
      <c r="F8001">
        <v>210</v>
      </c>
      <c r="G8001">
        <v>68</v>
      </c>
      <c r="H8001">
        <v>0.46</v>
      </c>
      <c r="I8001" t="s">
        <v>15</v>
      </c>
      <c r="J8001">
        <v>6</v>
      </c>
      <c r="K8001">
        <v>0</v>
      </c>
      <c r="L8001">
        <v>0</v>
      </c>
      <c r="M8001">
        <f>VLOOKUP(Table1[[#This Row],[subscription_type]],Plans!$A$1:$B$5,2,FALSE)</f>
        <v>0</v>
      </c>
      <c r="N8001">
        <f t="shared" si="124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C2B1-16F7-4A17-8451-C9016A6EBE36}">
  <dimension ref="A1:O2019"/>
  <sheetViews>
    <sheetView workbookViewId="0">
      <selection activeCell="E9" sqref="E9"/>
    </sheetView>
  </sheetViews>
  <sheetFormatPr defaultRowHeight="14.5" x14ac:dyDescent="0.35"/>
  <cols>
    <col min="1" max="1" width="8.90625" customWidth="1"/>
    <col min="4" max="4" width="9.1796875" customWidth="1"/>
    <col min="5" max="5" width="17.81640625" customWidth="1"/>
    <col min="6" max="6" width="14.7265625" customWidth="1"/>
    <col min="7" max="7" width="21.453125" customWidth="1"/>
    <col min="8" max="8" width="10.453125" customWidth="1"/>
    <col min="9" max="9" width="12.81640625" customWidth="1"/>
    <col min="10" max="10" width="22.1796875" customWidth="1"/>
    <col min="11" max="11" width="16.36328125" customWidth="1"/>
    <col min="12" max="12" width="12.08984375" customWidth="1"/>
    <col min="13" max="13" width="14.1796875" customWidth="1"/>
    <col min="14" max="14" width="13.90625" customWidth="1"/>
  </cols>
  <sheetData>
    <row r="1" spans="1:15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32</v>
      </c>
      <c r="N1" s="13" t="s">
        <v>33</v>
      </c>
      <c r="O1" s="13" t="s">
        <v>41</v>
      </c>
    </row>
    <row r="2" spans="1:15" x14ac:dyDescent="0.35">
      <c r="A2" s="11">
        <v>1</v>
      </c>
      <c r="B2" s="11" t="s">
        <v>12</v>
      </c>
      <c r="C2" s="11">
        <v>54</v>
      </c>
      <c r="D2" s="11" t="s">
        <v>13</v>
      </c>
      <c r="E2" s="11" t="s">
        <v>14</v>
      </c>
      <c r="F2" s="11">
        <v>26</v>
      </c>
      <c r="G2" s="11">
        <v>23</v>
      </c>
      <c r="H2" s="11">
        <v>0.2</v>
      </c>
      <c r="I2" s="11" t="s">
        <v>15</v>
      </c>
      <c r="J2" s="11">
        <v>31</v>
      </c>
      <c r="K2" s="11">
        <v>0</v>
      </c>
      <c r="L2" s="11">
        <v>1</v>
      </c>
      <c r="M2" s="11">
        <v>0</v>
      </c>
      <c r="N2" s="11">
        <v>0</v>
      </c>
      <c r="O2" s="15" t="str">
        <f>_xlfn.FLOOR.MATH(J2, 10) &amp; " - " &amp; (_xlfn.FLOOR.MATH(J2, 10) + 9)</f>
        <v>30 - 39</v>
      </c>
    </row>
    <row r="3" spans="1:15" x14ac:dyDescent="0.35">
      <c r="A3" s="12">
        <v>6</v>
      </c>
      <c r="B3" s="12" t="s">
        <v>12</v>
      </c>
      <c r="C3" s="12">
        <v>17</v>
      </c>
      <c r="D3" s="12" t="s">
        <v>21</v>
      </c>
      <c r="E3" s="12" t="s">
        <v>14</v>
      </c>
      <c r="F3" s="12">
        <v>219</v>
      </c>
      <c r="G3" s="12">
        <v>35</v>
      </c>
      <c r="H3" s="12">
        <v>0.46</v>
      </c>
      <c r="I3" s="12" t="s">
        <v>15</v>
      </c>
      <c r="J3" s="12">
        <v>13</v>
      </c>
      <c r="K3" s="12">
        <v>0</v>
      </c>
      <c r="L3" s="12">
        <v>0</v>
      </c>
      <c r="M3" s="12">
        <v>0</v>
      </c>
      <c r="N3" s="12">
        <v>0</v>
      </c>
      <c r="O3" s="12" t="str">
        <f t="shared" ref="O2:O65" si="0">_xlfn.FLOOR.MATH(J3, 10) &amp; " - " &amp; (_xlfn.FLOOR.MATH(J3, 10) + 9)</f>
        <v>10 - 19</v>
      </c>
    </row>
    <row r="4" spans="1:15" x14ac:dyDescent="0.35">
      <c r="A4" s="11">
        <v>8</v>
      </c>
      <c r="B4" s="11" t="s">
        <v>12</v>
      </c>
      <c r="C4" s="11">
        <v>41</v>
      </c>
      <c r="D4" s="11" t="s">
        <v>26</v>
      </c>
      <c r="E4" s="11" t="s">
        <v>14</v>
      </c>
      <c r="F4" s="11">
        <v>210</v>
      </c>
      <c r="G4" s="11">
        <v>68</v>
      </c>
      <c r="H4" s="11">
        <v>0.11</v>
      </c>
      <c r="I4" s="11" t="s">
        <v>23</v>
      </c>
      <c r="J4" s="11">
        <v>5</v>
      </c>
      <c r="K4" s="11">
        <v>0</v>
      </c>
      <c r="L4" s="11">
        <v>0</v>
      </c>
      <c r="M4" s="11">
        <v>0</v>
      </c>
      <c r="N4" s="11">
        <v>0</v>
      </c>
      <c r="O4" s="12" t="str">
        <f t="shared" si="0"/>
        <v>0 - 9</v>
      </c>
    </row>
    <row r="5" spans="1:15" x14ac:dyDescent="0.35">
      <c r="A5" s="12">
        <v>10</v>
      </c>
      <c r="B5" s="12" t="s">
        <v>20</v>
      </c>
      <c r="C5" s="12">
        <v>44</v>
      </c>
      <c r="D5" s="12" t="s">
        <v>17</v>
      </c>
      <c r="E5" s="12" t="s">
        <v>14</v>
      </c>
      <c r="F5" s="12">
        <v>278</v>
      </c>
      <c r="G5" s="12">
        <v>94</v>
      </c>
      <c r="H5" s="12">
        <v>0.38</v>
      </c>
      <c r="I5" s="12" t="s">
        <v>23</v>
      </c>
      <c r="J5" s="12">
        <v>44</v>
      </c>
      <c r="K5" s="12">
        <v>0</v>
      </c>
      <c r="L5" s="12">
        <v>0</v>
      </c>
      <c r="M5" s="12">
        <v>0</v>
      </c>
      <c r="N5" s="12">
        <v>0</v>
      </c>
      <c r="O5" s="12" t="str">
        <f t="shared" si="0"/>
        <v>40 - 49</v>
      </c>
    </row>
    <row r="6" spans="1:15" x14ac:dyDescent="0.35">
      <c r="A6" s="11">
        <v>11</v>
      </c>
      <c r="B6" s="11" t="s">
        <v>16</v>
      </c>
      <c r="C6" s="11">
        <v>33</v>
      </c>
      <c r="D6" s="11" t="s">
        <v>17</v>
      </c>
      <c r="E6" s="11" t="s">
        <v>14</v>
      </c>
      <c r="F6" s="11">
        <v>86</v>
      </c>
      <c r="G6" s="11">
        <v>44</v>
      </c>
      <c r="H6" s="11">
        <v>0.11</v>
      </c>
      <c r="I6" s="11" t="s">
        <v>19</v>
      </c>
      <c r="J6" s="11">
        <v>37</v>
      </c>
      <c r="K6" s="11">
        <v>0</v>
      </c>
      <c r="L6" s="11">
        <v>0</v>
      </c>
      <c r="M6" s="11">
        <v>0</v>
      </c>
      <c r="N6" s="11">
        <v>0</v>
      </c>
      <c r="O6" s="12" t="str">
        <f t="shared" si="0"/>
        <v>30 - 39</v>
      </c>
    </row>
    <row r="7" spans="1:15" x14ac:dyDescent="0.35">
      <c r="A7" s="12">
        <v>12</v>
      </c>
      <c r="B7" s="12" t="s">
        <v>16</v>
      </c>
      <c r="C7" s="12">
        <v>24</v>
      </c>
      <c r="D7" s="12" t="s">
        <v>13</v>
      </c>
      <c r="E7" s="12" t="s">
        <v>14</v>
      </c>
      <c r="F7" s="12">
        <v>113</v>
      </c>
      <c r="G7" s="12">
        <v>24</v>
      </c>
      <c r="H7" s="12">
        <v>0.56000000000000005</v>
      </c>
      <c r="I7" s="12" t="s">
        <v>15</v>
      </c>
      <c r="J7" s="12">
        <v>39</v>
      </c>
      <c r="K7" s="12">
        <v>0</v>
      </c>
      <c r="L7" s="12">
        <v>1</v>
      </c>
      <c r="M7" s="12">
        <v>0</v>
      </c>
      <c r="N7" s="12">
        <v>0</v>
      </c>
      <c r="O7" s="12" t="str">
        <f t="shared" si="0"/>
        <v>30 - 39</v>
      </c>
    </row>
    <row r="8" spans="1:15" x14ac:dyDescent="0.35">
      <c r="A8" s="11">
        <v>27</v>
      </c>
      <c r="B8" s="11" t="s">
        <v>20</v>
      </c>
      <c r="C8" s="11">
        <v>28</v>
      </c>
      <c r="D8" s="11" t="s">
        <v>27</v>
      </c>
      <c r="E8" s="11" t="s">
        <v>14</v>
      </c>
      <c r="F8" s="11">
        <v>293</v>
      </c>
      <c r="G8" s="11">
        <v>67</v>
      </c>
      <c r="H8" s="11">
        <v>0.33</v>
      </c>
      <c r="I8" s="11" t="s">
        <v>23</v>
      </c>
      <c r="J8" s="11">
        <v>23</v>
      </c>
      <c r="K8" s="11">
        <v>0</v>
      </c>
      <c r="L8" s="11">
        <v>1</v>
      </c>
      <c r="M8" s="11">
        <v>0</v>
      </c>
      <c r="N8" s="11">
        <v>0</v>
      </c>
      <c r="O8" s="12" t="str">
        <f t="shared" si="0"/>
        <v>20 - 29</v>
      </c>
    </row>
    <row r="9" spans="1:15" x14ac:dyDescent="0.35">
      <c r="A9" s="12">
        <v>28</v>
      </c>
      <c r="B9" s="12" t="s">
        <v>16</v>
      </c>
      <c r="C9" s="12">
        <v>58</v>
      </c>
      <c r="D9" s="12" t="s">
        <v>28</v>
      </c>
      <c r="E9" s="12" t="s">
        <v>14</v>
      </c>
      <c r="F9" s="12">
        <v>15</v>
      </c>
      <c r="G9" s="12">
        <v>55</v>
      </c>
      <c r="H9" s="12">
        <v>0.3</v>
      </c>
      <c r="I9" s="12" t="s">
        <v>23</v>
      </c>
      <c r="J9" s="12">
        <v>35</v>
      </c>
      <c r="K9" s="12">
        <v>0</v>
      </c>
      <c r="L9" s="12">
        <v>0</v>
      </c>
      <c r="M9" s="12">
        <v>0</v>
      </c>
      <c r="N9" s="12">
        <v>0</v>
      </c>
      <c r="O9" s="12" t="str">
        <f t="shared" si="0"/>
        <v>30 - 39</v>
      </c>
    </row>
    <row r="10" spans="1:15" x14ac:dyDescent="0.35">
      <c r="A10" s="11">
        <v>29</v>
      </c>
      <c r="B10" s="11" t="s">
        <v>20</v>
      </c>
      <c r="C10" s="11">
        <v>33</v>
      </c>
      <c r="D10" s="11" t="s">
        <v>28</v>
      </c>
      <c r="E10" s="11" t="s">
        <v>14</v>
      </c>
      <c r="F10" s="11">
        <v>123</v>
      </c>
      <c r="G10" s="11">
        <v>13</v>
      </c>
      <c r="H10" s="11">
        <v>0.22</v>
      </c>
      <c r="I10" s="11" t="s">
        <v>15</v>
      </c>
      <c r="J10" s="11">
        <v>7</v>
      </c>
      <c r="K10" s="11">
        <v>0</v>
      </c>
      <c r="L10" s="11">
        <v>0</v>
      </c>
      <c r="M10" s="11">
        <v>0</v>
      </c>
      <c r="N10" s="11">
        <v>0</v>
      </c>
      <c r="O10" s="12" t="str">
        <f t="shared" si="0"/>
        <v>0 - 9</v>
      </c>
    </row>
    <row r="11" spans="1:15" x14ac:dyDescent="0.35">
      <c r="A11" s="12">
        <v>36</v>
      </c>
      <c r="B11" s="12" t="s">
        <v>16</v>
      </c>
      <c r="C11" s="12">
        <v>24</v>
      </c>
      <c r="D11" s="12" t="s">
        <v>17</v>
      </c>
      <c r="E11" s="12" t="s">
        <v>14</v>
      </c>
      <c r="F11" s="12">
        <v>59</v>
      </c>
      <c r="G11" s="12">
        <v>53</v>
      </c>
      <c r="H11" s="12">
        <v>0.18</v>
      </c>
      <c r="I11" s="12" t="s">
        <v>19</v>
      </c>
      <c r="J11" s="12">
        <v>28</v>
      </c>
      <c r="K11" s="12">
        <v>0</v>
      </c>
      <c r="L11" s="12">
        <v>1</v>
      </c>
      <c r="M11" s="12">
        <v>0</v>
      </c>
      <c r="N11" s="12">
        <v>0</v>
      </c>
      <c r="O11" s="12" t="str">
        <f t="shared" si="0"/>
        <v>20 - 29</v>
      </c>
    </row>
    <row r="12" spans="1:15" x14ac:dyDescent="0.35">
      <c r="A12" s="11">
        <v>50</v>
      </c>
      <c r="B12" s="11" t="s">
        <v>20</v>
      </c>
      <c r="C12" s="11">
        <v>50</v>
      </c>
      <c r="D12" s="11" t="s">
        <v>29</v>
      </c>
      <c r="E12" s="11" t="s">
        <v>14</v>
      </c>
      <c r="F12" s="11">
        <v>241</v>
      </c>
      <c r="G12" s="11">
        <v>7</v>
      </c>
      <c r="H12" s="11">
        <v>0.56000000000000005</v>
      </c>
      <c r="I12" s="11" t="s">
        <v>15</v>
      </c>
      <c r="J12" s="11">
        <v>22</v>
      </c>
      <c r="K12" s="11">
        <v>0</v>
      </c>
      <c r="L12" s="11">
        <v>1</v>
      </c>
      <c r="M12" s="11">
        <v>0</v>
      </c>
      <c r="N12" s="11">
        <v>0</v>
      </c>
      <c r="O12" s="12" t="str">
        <f t="shared" si="0"/>
        <v>20 - 29</v>
      </c>
    </row>
    <row r="13" spans="1:15" x14ac:dyDescent="0.35">
      <c r="A13" s="12">
        <v>53</v>
      </c>
      <c r="B13" s="12" t="s">
        <v>12</v>
      </c>
      <c r="C13" s="12">
        <v>38</v>
      </c>
      <c r="D13" s="12" t="s">
        <v>21</v>
      </c>
      <c r="E13" s="12" t="s">
        <v>14</v>
      </c>
      <c r="F13" s="12">
        <v>41</v>
      </c>
      <c r="G13" s="12">
        <v>3</v>
      </c>
      <c r="H13" s="12">
        <v>0</v>
      </c>
      <c r="I13" s="12" t="s">
        <v>15</v>
      </c>
      <c r="J13" s="12">
        <v>43</v>
      </c>
      <c r="K13" s="12">
        <v>0</v>
      </c>
      <c r="L13" s="12">
        <v>1</v>
      </c>
      <c r="M13" s="12">
        <v>0</v>
      </c>
      <c r="N13" s="12">
        <v>0</v>
      </c>
      <c r="O13" s="12" t="str">
        <f t="shared" si="0"/>
        <v>40 - 49</v>
      </c>
    </row>
    <row r="14" spans="1:15" x14ac:dyDescent="0.35">
      <c r="A14" s="11">
        <v>54</v>
      </c>
      <c r="B14" s="11" t="s">
        <v>20</v>
      </c>
      <c r="C14" s="11">
        <v>57</v>
      </c>
      <c r="D14" s="11" t="s">
        <v>17</v>
      </c>
      <c r="E14" s="11" t="s">
        <v>14</v>
      </c>
      <c r="F14" s="11">
        <v>222</v>
      </c>
      <c r="G14" s="11">
        <v>96</v>
      </c>
      <c r="H14" s="11">
        <v>0.26</v>
      </c>
      <c r="I14" s="11" t="s">
        <v>19</v>
      </c>
      <c r="J14" s="11">
        <v>15</v>
      </c>
      <c r="K14" s="11">
        <v>0</v>
      </c>
      <c r="L14" s="11">
        <v>0</v>
      </c>
      <c r="M14" s="11">
        <v>0</v>
      </c>
      <c r="N14" s="11">
        <v>0</v>
      </c>
      <c r="O14" s="12" t="str">
        <f t="shared" si="0"/>
        <v>10 - 19</v>
      </c>
    </row>
    <row r="15" spans="1:15" x14ac:dyDescent="0.35">
      <c r="A15" s="12">
        <v>57</v>
      </c>
      <c r="B15" s="12" t="s">
        <v>16</v>
      </c>
      <c r="C15" s="12">
        <v>19</v>
      </c>
      <c r="D15" s="12" t="s">
        <v>27</v>
      </c>
      <c r="E15" s="12" t="s">
        <v>14</v>
      </c>
      <c r="F15" s="12">
        <v>107</v>
      </c>
      <c r="G15" s="12">
        <v>82</v>
      </c>
      <c r="H15" s="12">
        <v>0.11</v>
      </c>
      <c r="I15" s="12" t="s">
        <v>15</v>
      </c>
      <c r="J15" s="12">
        <v>12</v>
      </c>
      <c r="K15" s="12">
        <v>0</v>
      </c>
      <c r="L15" s="12">
        <v>1</v>
      </c>
      <c r="M15" s="12">
        <v>0</v>
      </c>
      <c r="N15" s="12">
        <v>0</v>
      </c>
      <c r="O15" s="12" t="str">
        <f t="shared" si="0"/>
        <v>10 - 19</v>
      </c>
    </row>
    <row r="16" spans="1:15" x14ac:dyDescent="0.35">
      <c r="A16" s="11">
        <v>59</v>
      </c>
      <c r="B16" s="11" t="s">
        <v>16</v>
      </c>
      <c r="C16" s="11">
        <v>22</v>
      </c>
      <c r="D16" s="11" t="s">
        <v>17</v>
      </c>
      <c r="E16" s="11" t="s">
        <v>14</v>
      </c>
      <c r="F16" s="11">
        <v>59</v>
      </c>
      <c r="G16" s="11">
        <v>51</v>
      </c>
      <c r="H16" s="11">
        <v>0.42</v>
      </c>
      <c r="I16" s="11" t="s">
        <v>15</v>
      </c>
      <c r="J16" s="11">
        <v>19</v>
      </c>
      <c r="K16" s="11">
        <v>0</v>
      </c>
      <c r="L16" s="11">
        <v>0</v>
      </c>
      <c r="M16" s="11">
        <v>0</v>
      </c>
      <c r="N16" s="11">
        <v>0</v>
      </c>
      <c r="O16" s="12" t="str">
        <f t="shared" si="0"/>
        <v>10 - 19</v>
      </c>
    </row>
    <row r="17" spans="1:15" x14ac:dyDescent="0.35">
      <c r="A17" s="12">
        <v>63</v>
      </c>
      <c r="B17" s="12" t="s">
        <v>16</v>
      </c>
      <c r="C17" s="12">
        <v>59</v>
      </c>
      <c r="D17" s="12" t="s">
        <v>27</v>
      </c>
      <c r="E17" s="12" t="s">
        <v>14</v>
      </c>
      <c r="F17" s="12">
        <v>25</v>
      </c>
      <c r="G17" s="12">
        <v>32</v>
      </c>
      <c r="H17" s="12">
        <v>0.2</v>
      </c>
      <c r="I17" s="12" t="s">
        <v>23</v>
      </c>
      <c r="J17" s="12">
        <v>38</v>
      </c>
      <c r="K17" s="12">
        <v>0</v>
      </c>
      <c r="L17" s="12">
        <v>0</v>
      </c>
      <c r="M17" s="12">
        <v>0</v>
      </c>
      <c r="N17" s="12">
        <v>0</v>
      </c>
      <c r="O17" s="12" t="str">
        <f t="shared" si="0"/>
        <v>30 - 39</v>
      </c>
    </row>
    <row r="18" spans="1:15" x14ac:dyDescent="0.35">
      <c r="A18" s="11">
        <v>67</v>
      </c>
      <c r="B18" s="11" t="s">
        <v>20</v>
      </c>
      <c r="C18" s="11">
        <v>45</v>
      </c>
      <c r="D18" s="11" t="s">
        <v>17</v>
      </c>
      <c r="E18" s="11" t="s">
        <v>14</v>
      </c>
      <c r="F18" s="11">
        <v>152</v>
      </c>
      <c r="G18" s="11">
        <v>32</v>
      </c>
      <c r="H18" s="11">
        <v>0.49</v>
      </c>
      <c r="I18" s="11" t="s">
        <v>23</v>
      </c>
      <c r="J18" s="11">
        <v>14</v>
      </c>
      <c r="K18" s="11">
        <v>0</v>
      </c>
      <c r="L18" s="11">
        <v>1</v>
      </c>
      <c r="M18" s="11">
        <v>0</v>
      </c>
      <c r="N18" s="11">
        <v>0</v>
      </c>
      <c r="O18" s="12" t="str">
        <f t="shared" si="0"/>
        <v>10 - 19</v>
      </c>
    </row>
    <row r="19" spans="1:15" x14ac:dyDescent="0.35">
      <c r="A19" s="12">
        <v>68</v>
      </c>
      <c r="B19" s="12" t="s">
        <v>12</v>
      </c>
      <c r="C19" s="12">
        <v>45</v>
      </c>
      <c r="D19" s="12" t="s">
        <v>26</v>
      </c>
      <c r="E19" s="12" t="s">
        <v>14</v>
      </c>
      <c r="F19" s="12">
        <v>156</v>
      </c>
      <c r="G19" s="12">
        <v>51</v>
      </c>
      <c r="H19" s="12">
        <v>0.14000000000000001</v>
      </c>
      <c r="I19" s="12" t="s">
        <v>15</v>
      </c>
      <c r="J19" s="12">
        <v>18</v>
      </c>
      <c r="K19" s="12">
        <v>0</v>
      </c>
      <c r="L19" s="12">
        <v>0</v>
      </c>
      <c r="M19" s="12">
        <v>0</v>
      </c>
      <c r="N19" s="12">
        <v>0</v>
      </c>
      <c r="O19" s="12" t="str">
        <f t="shared" si="0"/>
        <v>10 - 19</v>
      </c>
    </row>
    <row r="20" spans="1:15" x14ac:dyDescent="0.35">
      <c r="A20" s="11">
        <v>70</v>
      </c>
      <c r="B20" s="11" t="s">
        <v>12</v>
      </c>
      <c r="C20" s="11">
        <v>56</v>
      </c>
      <c r="D20" s="11" t="s">
        <v>25</v>
      </c>
      <c r="E20" s="11" t="s">
        <v>14</v>
      </c>
      <c r="F20" s="11">
        <v>181</v>
      </c>
      <c r="G20" s="11">
        <v>40</v>
      </c>
      <c r="H20" s="11">
        <v>0.21</v>
      </c>
      <c r="I20" s="11" t="s">
        <v>23</v>
      </c>
      <c r="J20" s="11">
        <v>10</v>
      </c>
      <c r="K20" s="11">
        <v>0</v>
      </c>
      <c r="L20" s="11">
        <v>0</v>
      </c>
      <c r="M20" s="11">
        <v>0</v>
      </c>
      <c r="N20" s="11">
        <v>0</v>
      </c>
      <c r="O20" s="12" t="str">
        <f t="shared" si="0"/>
        <v>10 - 19</v>
      </c>
    </row>
    <row r="21" spans="1:15" x14ac:dyDescent="0.35">
      <c r="A21" s="12">
        <v>79</v>
      </c>
      <c r="B21" s="12" t="s">
        <v>20</v>
      </c>
      <c r="C21" s="12">
        <v>23</v>
      </c>
      <c r="D21" s="12" t="s">
        <v>25</v>
      </c>
      <c r="E21" s="12" t="s">
        <v>14</v>
      </c>
      <c r="F21" s="12">
        <v>13</v>
      </c>
      <c r="G21" s="12">
        <v>30</v>
      </c>
      <c r="H21" s="12">
        <v>0.24</v>
      </c>
      <c r="I21" s="12" t="s">
        <v>23</v>
      </c>
      <c r="J21" s="12">
        <v>32</v>
      </c>
      <c r="K21" s="12">
        <v>0</v>
      </c>
      <c r="L21" s="12">
        <v>0</v>
      </c>
      <c r="M21" s="12">
        <v>0</v>
      </c>
      <c r="N21" s="12">
        <v>0</v>
      </c>
      <c r="O21" s="12" t="str">
        <f t="shared" si="0"/>
        <v>30 - 39</v>
      </c>
    </row>
    <row r="22" spans="1:15" x14ac:dyDescent="0.35">
      <c r="A22" s="11">
        <v>83</v>
      </c>
      <c r="B22" s="11" t="s">
        <v>16</v>
      </c>
      <c r="C22" s="11">
        <v>32</v>
      </c>
      <c r="D22" s="11" t="s">
        <v>29</v>
      </c>
      <c r="E22" s="11" t="s">
        <v>14</v>
      </c>
      <c r="F22" s="11">
        <v>167</v>
      </c>
      <c r="G22" s="11">
        <v>4</v>
      </c>
      <c r="H22" s="11">
        <v>0.56000000000000005</v>
      </c>
      <c r="I22" s="11" t="s">
        <v>23</v>
      </c>
      <c r="J22" s="11">
        <v>35</v>
      </c>
      <c r="K22" s="11">
        <v>0</v>
      </c>
      <c r="L22" s="11">
        <v>0</v>
      </c>
      <c r="M22" s="11">
        <v>0</v>
      </c>
      <c r="N22" s="11">
        <v>0</v>
      </c>
      <c r="O22" s="12" t="str">
        <f t="shared" si="0"/>
        <v>30 - 39</v>
      </c>
    </row>
    <row r="23" spans="1:15" x14ac:dyDescent="0.35">
      <c r="A23" s="12">
        <v>84</v>
      </c>
      <c r="B23" s="12" t="s">
        <v>16</v>
      </c>
      <c r="C23" s="12">
        <v>51</v>
      </c>
      <c r="D23" s="12" t="s">
        <v>13</v>
      </c>
      <c r="E23" s="12" t="s">
        <v>14</v>
      </c>
      <c r="F23" s="12">
        <v>105</v>
      </c>
      <c r="G23" s="12">
        <v>11</v>
      </c>
      <c r="H23" s="12">
        <v>0.03</v>
      </c>
      <c r="I23" s="12" t="s">
        <v>19</v>
      </c>
      <c r="J23" s="12">
        <v>29</v>
      </c>
      <c r="K23" s="12">
        <v>0</v>
      </c>
      <c r="L23" s="12">
        <v>0</v>
      </c>
      <c r="M23" s="12">
        <v>0</v>
      </c>
      <c r="N23" s="12">
        <v>0</v>
      </c>
      <c r="O23" s="12" t="str">
        <f t="shared" si="0"/>
        <v>20 - 29</v>
      </c>
    </row>
    <row r="24" spans="1:15" x14ac:dyDescent="0.35">
      <c r="A24" s="11">
        <v>88</v>
      </c>
      <c r="B24" s="11" t="s">
        <v>12</v>
      </c>
      <c r="C24" s="11">
        <v>44</v>
      </c>
      <c r="D24" s="11" t="s">
        <v>26</v>
      </c>
      <c r="E24" s="11" t="s">
        <v>14</v>
      </c>
      <c r="F24" s="11">
        <v>237</v>
      </c>
      <c r="G24" s="11">
        <v>36</v>
      </c>
      <c r="H24" s="11">
        <v>0.37</v>
      </c>
      <c r="I24" s="11" t="s">
        <v>19</v>
      </c>
      <c r="J24" s="11">
        <v>20</v>
      </c>
      <c r="K24" s="11">
        <v>0</v>
      </c>
      <c r="L24" s="11">
        <v>0</v>
      </c>
      <c r="M24" s="11">
        <v>0</v>
      </c>
      <c r="N24" s="11">
        <v>0</v>
      </c>
      <c r="O24" s="12" t="str">
        <f t="shared" si="0"/>
        <v>20 - 29</v>
      </c>
    </row>
    <row r="25" spans="1:15" x14ac:dyDescent="0.35">
      <c r="A25" s="12">
        <v>91</v>
      </c>
      <c r="B25" s="12" t="s">
        <v>20</v>
      </c>
      <c r="C25" s="12">
        <v>43</v>
      </c>
      <c r="D25" s="12" t="s">
        <v>26</v>
      </c>
      <c r="E25" s="12" t="s">
        <v>14</v>
      </c>
      <c r="F25" s="12">
        <v>195</v>
      </c>
      <c r="G25" s="12">
        <v>80</v>
      </c>
      <c r="H25" s="12">
        <v>0.17</v>
      </c>
      <c r="I25" s="12" t="s">
        <v>19</v>
      </c>
      <c r="J25" s="12">
        <v>28</v>
      </c>
      <c r="K25" s="12">
        <v>0</v>
      </c>
      <c r="L25" s="12">
        <v>0</v>
      </c>
      <c r="M25" s="12">
        <v>0</v>
      </c>
      <c r="N25" s="12">
        <v>0</v>
      </c>
      <c r="O25" s="12" t="str">
        <f t="shared" si="0"/>
        <v>20 - 29</v>
      </c>
    </row>
    <row r="26" spans="1:15" x14ac:dyDescent="0.35">
      <c r="A26" s="11">
        <v>94</v>
      </c>
      <c r="B26" s="11" t="s">
        <v>16</v>
      </c>
      <c r="C26" s="11">
        <v>50</v>
      </c>
      <c r="D26" s="11" t="s">
        <v>26</v>
      </c>
      <c r="E26" s="11" t="s">
        <v>14</v>
      </c>
      <c r="F26" s="11">
        <v>85</v>
      </c>
      <c r="G26" s="11">
        <v>7</v>
      </c>
      <c r="H26" s="11">
        <v>0.45</v>
      </c>
      <c r="I26" s="11" t="s">
        <v>15</v>
      </c>
      <c r="J26" s="11">
        <v>44</v>
      </c>
      <c r="K26" s="11">
        <v>0</v>
      </c>
      <c r="L26" s="11">
        <v>0</v>
      </c>
      <c r="M26" s="11">
        <v>0</v>
      </c>
      <c r="N26" s="11">
        <v>0</v>
      </c>
      <c r="O26" s="12" t="str">
        <f t="shared" si="0"/>
        <v>40 - 49</v>
      </c>
    </row>
    <row r="27" spans="1:15" x14ac:dyDescent="0.35">
      <c r="A27" s="12">
        <v>101</v>
      </c>
      <c r="B27" s="12" t="s">
        <v>12</v>
      </c>
      <c r="C27" s="12">
        <v>27</v>
      </c>
      <c r="D27" s="12" t="s">
        <v>28</v>
      </c>
      <c r="E27" s="12" t="s">
        <v>14</v>
      </c>
      <c r="F27" s="12">
        <v>40</v>
      </c>
      <c r="G27" s="12">
        <v>15</v>
      </c>
      <c r="H27" s="12">
        <v>0.5</v>
      </c>
      <c r="I27" s="12" t="s">
        <v>19</v>
      </c>
      <c r="J27" s="12">
        <v>16</v>
      </c>
      <c r="K27" s="12">
        <v>0</v>
      </c>
      <c r="L27" s="12">
        <v>0</v>
      </c>
      <c r="M27" s="12">
        <v>0</v>
      </c>
      <c r="N27" s="12">
        <v>0</v>
      </c>
      <c r="O27" s="12" t="str">
        <f t="shared" si="0"/>
        <v>10 - 19</v>
      </c>
    </row>
    <row r="28" spans="1:15" x14ac:dyDescent="0.35">
      <c r="A28" s="11">
        <v>105</v>
      </c>
      <c r="B28" s="11" t="s">
        <v>20</v>
      </c>
      <c r="C28" s="11">
        <v>46</v>
      </c>
      <c r="D28" s="11" t="s">
        <v>13</v>
      </c>
      <c r="E28" s="11" t="s">
        <v>14</v>
      </c>
      <c r="F28" s="11">
        <v>114</v>
      </c>
      <c r="G28" s="11">
        <v>11</v>
      </c>
      <c r="H28" s="11">
        <v>0.24</v>
      </c>
      <c r="I28" s="11" t="s">
        <v>19</v>
      </c>
      <c r="J28" s="11">
        <v>19</v>
      </c>
      <c r="K28" s="11">
        <v>0</v>
      </c>
      <c r="L28" s="11">
        <v>0</v>
      </c>
      <c r="M28" s="11">
        <v>0</v>
      </c>
      <c r="N28" s="11">
        <v>0</v>
      </c>
      <c r="O28" s="12" t="str">
        <f t="shared" si="0"/>
        <v>10 - 19</v>
      </c>
    </row>
    <row r="29" spans="1:15" x14ac:dyDescent="0.35">
      <c r="A29" s="12">
        <v>116</v>
      </c>
      <c r="B29" s="12" t="s">
        <v>12</v>
      </c>
      <c r="C29" s="12">
        <v>17</v>
      </c>
      <c r="D29" s="12" t="s">
        <v>13</v>
      </c>
      <c r="E29" s="12" t="s">
        <v>14</v>
      </c>
      <c r="F29" s="12">
        <v>198</v>
      </c>
      <c r="G29" s="12">
        <v>31</v>
      </c>
      <c r="H29" s="12">
        <v>7.0000000000000007E-2</v>
      </c>
      <c r="I29" s="12" t="s">
        <v>19</v>
      </c>
      <c r="J29" s="12">
        <v>6</v>
      </c>
      <c r="K29" s="12">
        <v>0</v>
      </c>
      <c r="L29" s="12">
        <v>0</v>
      </c>
      <c r="M29" s="12">
        <v>0</v>
      </c>
      <c r="N29" s="12">
        <v>0</v>
      </c>
      <c r="O29" s="12" t="str">
        <f t="shared" si="0"/>
        <v>0 - 9</v>
      </c>
    </row>
    <row r="30" spans="1:15" x14ac:dyDescent="0.35">
      <c r="A30" s="11">
        <v>123</v>
      </c>
      <c r="B30" s="11" t="s">
        <v>20</v>
      </c>
      <c r="C30" s="11">
        <v>21</v>
      </c>
      <c r="D30" s="11" t="s">
        <v>25</v>
      </c>
      <c r="E30" s="11" t="s">
        <v>14</v>
      </c>
      <c r="F30" s="11">
        <v>32</v>
      </c>
      <c r="G30" s="11">
        <v>34</v>
      </c>
      <c r="H30" s="11">
        <v>0.52</v>
      </c>
      <c r="I30" s="11" t="s">
        <v>19</v>
      </c>
      <c r="J30" s="11">
        <v>14</v>
      </c>
      <c r="K30" s="11">
        <v>0</v>
      </c>
      <c r="L30" s="11">
        <v>1</v>
      </c>
      <c r="M30" s="11">
        <v>0</v>
      </c>
      <c r="N30" s="11">
        <v>0</v>
      </c>
      <c r="O30" s="12" t="str">
        <f t="shared" si="0"/>
        <v>10 - 19</v>
      </c>
    </row>
    <row r="31" spans="1:15" x14ac:dyDescent="0.35">
      <c r="A31" s="12">
        <v>124</v>
      </c>
      <c r="B31" s="12" t="s">
        <v>12</v>
      </c>
      <c r="C31" s="12">
        <v>28</v>
      </c>
      <c r="D31" s="12" t="s">
        <v>17</v>
      </c>
      <c r="E31" s="12" t="s">
        <v>14</v>
      </c>
      <c r="F31" s="12">
        <v>55</v>
      </c>
      <c r="G31" s="12">
        <v>67</v>
      </c>
      <c r="H31" s="12">
        <v>0.53</v>
      </c>
      <c r="I31" s="12" t="s">
        <v>15</v>
      </c>
      <c r="J31" s="12">
        <v>7</v>
      </c>
      <c r="K31" s="12">
        <v>0</v>
      </c>
      <c r="L31" s="12">
        <v>0</v>
      </c>
      <c r="M31" s="12">
        <v>0</v>
      </c>
      <c r="N31" s="12">
        <v>0</v>
      </c>
      <c r="O31" s="12" t="str">
        <f t="shared" si="0"/>
        <v>0 - 9</v>
      </c>
    </row>
    <row r="32" spans="1:15" x14ac:dyDescent="0.35">
      <c r="A32" s="11">
        <v>126</v>
      </c>
      <c r="B32" s="11" t="s">
        <v>12</v>
      </c>
      <c r="C32" s="11">
        <v>46</v>
      </c>
      <c r="D32" s="11" t="s">
        <v>27</v>
      </c>
      <c r="E32" s="11" t="s">
        <v>14</v>
      </c>
      <c r="F32" s="11">
        <v>11</v>
      </c>
      <c r="G32" s="11">
        <v>67</v>
      </c>
      <c r="H32" s="11">
        <v>0.4</v>
      </c>
      <c r="I32" s="11" t="s">
        <v>15</v>
      </c>
      <c r="J32" s="11">
        <v>36</v>
      </c>
      <c r="K32" s="11">
        <v>0</v>
      </c>
      <c r="L32" s="11">
        <v>1</v>
      </c>
      <c r="M32" s="11">
        <v>0</v>
      </c>
      <c r="N32" s="11">
        <v>0</v>
      </c>
      <c r="O32" s="12" t="str">
        <f t="shared" si="0"/>
        <v>30 - 39</v>
      </c>
    </row>
    <row r="33" spans="1:15" x14ac:dyDescent="0.35">
      <c r="A33" s="12">
        <v>129</v>
      </c>
      <c r="B33" s="12" t="s">
        <v>16</v>
      </c>
      <c r="C33" s="12">
        <v>24</v>
      </c>
      <c r="D33" s="12" t="s">
        <v>17</v>
      </c>
      <c r="E33" s="12" t="s">
        <v>14</v>
      </c>
      <c r="F33" s="12">
        <v>217</v>
      </c>
      <c r="G33" s="12">
        <v>52</v>
      </c>
      <c r="H33" s="12">
        <v>0.45</v>
      </c>
      <c r="I33" s="12" t="s">
        <v>19</v>
      </c>
      <c r="J33" s="12">
        <v>23</v>
      </c>
      <c r="K33" s="12">
        <v>0</v>
      </c>
      <c r="L33" s="12">
        <v>0</v>
      </c>
      <c r="M33" s="12">
        <v>0</v>
      </c>
      <c r="N33" s="12">
        <v>0</v>
      </c>
      <c r="O33" s="12" t="str">
        <f t="shared" si="0"/>
        <v>20 - 29</v>
      </c>
    </row>
    <row r="34" spans="1:15" x14ac:dyDescent="0.35">
      <c r="A34" s="11">
        <v>131</v>
      </c>
      <c r="B34" s="11" t="s">
        <v>20</v>
      </c>
      <c r="C34" s="11">
        <v>48</v>
      </c>
      <c r="D34" s="11" t="s">
        <v>26</v>
      </c>
      <c r="E34" s="11" t="s">
        <v>14</v>
      </c>
      <c r="F34" s="11">
        <v>72</v>
      </c>
      <c r="G34" s="11">
        <v>35</v>
      </c>
      <c r="H34" s="11">
        <v>0.53</v>
      </c>
      <c r="I34" s="11" t="s">
        <v>15</v>
      </c>
      <c r="J34" s="11">
        <v>22</v>
      </c>
      <c r="K34" s="11">
        <v>0</v>
      </c>
      <c r="L34" s="11">
        <v>0</v>
      </c>
      <c r="M34" s="11">
        <v>0</v>
      </c>
      <c r="N34" s="11">
        <v>0</v>
      </c>
      <c r="O34" s="12" t="str">
        <f t="shared" si="0"/>
        <v>20 - 29</v>
      </c>
    </row>
    <row r="35" spans="1:15" x14ac:dyDescent="0.35">
      <c r="A35" s="12">
        <v>140</v>
      </c>
      <c r="B35" s="12" t="s">
        <v>16</v>
      </c>
      <c r="C35" s="12">
        <v>55</v>
      </c>
      <c r="D35" s="12" t="s">
        <v>25</v>
      </c>
      <c r="E35" s="12" t="s">
        <v>14</v>
      </c>
      <c r="F35" s="12">
        <v>201</v>
      </c>
      <c r="G35" s="12">
        <v>82</v>
      </c>
      <c r="H35" s="12">
        <v>0.5</v>
      </c>
      <c r="I35" s="12" t="s">
        <v>15</v>
      </c>
      <c r="J35" s="12">
        <v>27</v>
      </c>
      <c r="K35" s="12">
        <v>0</v>
      </c>
      <c r="L35" s="12">
        <v>1</v>
      </c>
      <c r="M35" s="12">
        <v>0</v>
      </c>
      <c r="N35" s="12">
        <v>0</v>
      </c>
      <c r="O35" s="12" t="str">
        <f t="shared" si="0"/>
        <v>20 - 29</v>
      </c>
    </row>
    <row r="36" spans="1:15" x14ac:dyDescent="0.35">
      <c r="A36" s="11">
        <v>141</v>
      </c>
      <c r="B36" s="11" t="s">
        <v>12</v>
      </c>
      <c r="C36" s="11">
        <v>56</v>
      </c>
      <c r="D36" s="11" t="s">
        <v>25</v>
      </c>
      <c r="E36" s="11" t="s">
        <v>14</v>
      </c>
      <c r="F36" s="11">
        <v>40</v>
      </c>
      <c r="G36" s="11">
        <v>84</v>
      </c>
      <c r="H36" s="11">
        <v>0.56000000000000005</v>
      </c>
      <c r="I36" s="11" t="s">
        <v>19</v>
      </c>
      <c r="J36" s="11">
        <v>49</v>
      </c>
      <c r="K36" s="11">
        <v>0</v>
      </c>
      <c r="L36" s="11">
        <v>0</v>
      </c>
      <c r="M36" s="11">
        <v>0</v>
      </c>
      <c r="N36" s="11">
        <v>0</v>
      </c>
      <c r="O36" s="12" t="str">
        <f t="shared" si="0"/>
        <v>40 - 49</v>
      </c>
    </row>
    <row r="37" spans="1:15" x14ac:dyDescent="0.35">
      <c r="A37" s="12">
        <v>157</v>
      </c>
      <c r="B37" s="12" t="s">
        <v>16</v>
      </c>
      <c r="C37" s="12">
        <v>27</v>
      </c>
      <c r="D37" s="12" t="s">
        <v>29</v>
      </c>
      <c r="E37" s="12" t="s">
        <v>14</v>
      </c>
      <c r="F37" s="12">
        <v>237</v>
      </c>
      <c r="G37" s="12">
        <v>27</v>
      </c>
      <c r="H37" s="12">
        <v>0.16</v>
      </c>
      <c r="I37" s="12" t="s">
        <v>19</v>
      </c>
      <c r="J37" s="12">
        <v>40</v>
      </c>
      <c r="K37" s="12">
        <v>0</v>
      </c>
      <c r="L37" s="12">
        <v>0</v>
      </c>
      <c r="M37" s="12">
        <v>0</v>
      </c>
      <c r="N37" s="12">
        <v>0</v>
      </c>
      <c r="O37" s="12" t="str">
        <f t="shared" si="0"/>
        <v>40 - 49</v>
      </c>
    </row>
    <row r="38" spans="1:15" x14ac:dyDescent="0.35">
      <c r="A38" s="11">
        <v>158</v>
      </c>
      <c r="B38" s="11" t="s">
        <v>16</v>
      </c>
      <c r="C38" s="11">
        <v>48</v>
      </c>
      <c r="D38" s="11" t="s">
        <v>17</v>
      </c>
      <c r="E38" s="11" t="s">
        <v>14</v>
      </c>
      <c r="F38" s="11">
        <v>224</v>
      </c>
      <c r="G38" s="11">
        <v>53</v>
      </c>
      <c r="H38" s="11">
        <v>7.0000000000000007E-2</v>
      </c>
      <c r="I38" s="11" t="s">
        <v>23</v>
      </c>
      <c r="J38" s="11">
        <v>43</v>
      </c>
      <c r="K38" s="11">
        <v>0</v>
      </c>
      <c r="L38" s="11">
        <v>0</v>
      </c>
      <c r="M38" s="11">
        <v>0</v>
      </c>
      <c r="N38" s="11">
        <v>0</v>
      </c>
      <c r="O38" s="12" t="str">
        <f t="shared" si="0"/>
        <v>40 - 49</v>
      </c>
    </row>
    <row r="39" spans="1:15" x14ac:dyDescent="0.35">
      <c r="A39" s="12">
        <v>161</v>
      </c>
      <c r="B39" s="12" t="s">
        <v>16</v>
      </c>
      <c r="C39" s="12">
        <v>28</v>
      </c>
      <c r="D39" s="12" t="s">
        <v>17</v>
      </c>
      <c r="E39" s="12" t="s">
        <v>14</v>
      </c>
      <c r="F39" s="12">
        <v>209</v>
      </c>
      <c r="G39" s="12">
        <v>84</v>
      </c>
      <c r="H39" s="12">
        <v>0.53</v>
      </c>
      <c r="I39" s="12" t="s">
        <v>19</v>
      </c>
      <c r="J39" s="12">
        <v>28</v>
      </c>
      <c r="K39" s="12">
        <v>0</v>
      </c>
      <c r="L39" s="12">
        <v>0</v>
      </c>
      <c r="M39" s="12">
        <v>0</v>
      </c>
      <c r="N39" s="12">
        <v>0</v>
      </c>
      <c r="O39" s="12" t="str">
        <f t="shared" si="0"/>
        <v>20 - 29</v>
      </c>
    </row>
    <row r="40" spans="1:15" x14ac:dyDescent="0.35">
      <c r="A40" s="11">
        <v>162</v>
      </c>
      <c r="B40" s="11" t="s">
        <v>12</v>
      </c>
      <c r="C40" s="11">
        <v>17</v>
      </c>
      <c r="D40" s="11" t="s">
        <v>28</v>
      </c>
      <c r="E40" s="11" t="s">
        <v>14</v>
      </c>
      <c r="F40" s="11">
        <v>36</v>
      </c>
      <c r="G40" s="11">
        <v>30</v>
      </c>
      <c r="H40" s="11">
        <v>0.19</v>
      </c>
      <c r="I40" s="11" t="s">
        <v>23</v>
      </c>
      <c r="J40" s="11">
        <v>43</v>
      </c>
      <c r="K40" s="11">
        <v>0</v>
      </c>
      <c r="L40" s="11">
        <v>1</v>
      </c>
      <c r="M40" s="11">
        <v>0</v>
      </c>
      <c r="N40" s="11">
        <v>0</v>
      </c>
      <c r="O40" s="12" t="str">
        <f t="shared" si="0"/>
        <v>40 - 49</v>
      </c>
    </row>
    <row r="41" spans="1:15" x14ac:dyDescent="0.35">
      <c r="A41" s="12">
        <v>163</v>
      </c>
      <c r="B41" s="12" t="s">
        <v>16</v>
      </c>
      <c r="C41" s="12">
        <v>50</v>
      </c>
      <c r="D41" s="12" t="s">
        <v>29</v>
      </c>
      <c r="E41" s="12" t="s">
        <v>14</v>
      </c>
      <c r="F41" s="12">
        <v>95</v>
      </c>
      <c r="G41" s="12">
        <v>50</v>
      </c>
      <c r="H41" s="12">
        <v>0.49</v>
      </c>
      <c r="I41" s="12" t="s">
        <v>15</v>
      </c>
      <c r="J41" s="12">
        <v>31</v>
      </c>
      <c r="K41" s="12">
        <v>0</v>
      </c>
      <c r="L41" s="12">
        <v>1</v>
      </c>
      <c r="M41" s="12">
        <v>0</v>
      </c>
      <c r="N41" s="12">
        <v>0</v>
      </c>
      <c r="O41" s="12" t="str">
        <f t="shared" si="0"/>
        <v>30 - 39</v>
      </c>
    </row>
    <row r="42" spans="1:15" x14ac:dyDescent="0.35">
      <c r="A42" s="11">
        <v>166</v>
      </c>
      <c r="B42" s="11" t="s">
        <v>12</v>
      </c>
      <c r="C42" s="11">
        <v>50</v>
      </c>
      <c r="D42" s="11" t="s">
        <v>29</v>
      </c>
      <c r="E42" s="11" t="s">
        <v>14</v>
      </c>
      <c r="F42" s="11">
        <v>205</v>
      </c>
      <c r="G42" s="11">
        <v>43</v>
      </c>
      <c r="H42" s="11">
        <v>0.48</v>
      </c>
      <c r="I42" s="11" t="s">
        <v>15</v>
      </c>
      <c r="J42" s="11">
        <v>47</v>
      </c>
      <c r="K42" s="11">
        <v>0</v>
      </c>
      <c r="L42" s="11">
        <v>0</v>
      </c>
      <c r="M42" s="11">
        <v>0</v>
      </c>
      <c r="N42" s="11">
        <v>0</v>
      </c>
      <c r="O42" s="12" t="str">
        <f t="shared" si="0"/>
        <v>40 - 49</v>
      </c>
    </row>
    <row r="43" spans="1:15" x14ac:dyDescent="0.35">
      <c r="A43" s="12">
        <v>168</v>
      </c>
      <c r="B43" s="12" t="s">
        <v>16</v>
      </c>
      <c r="C43" s="12">
        <v>20</v>
      </c>
      <c r="D43" s="12" t="s">
        <v>26</v>
      </c>
      <c r="E43" s="12" t="s">
        <v>14</v>
      </c>
      <c r="F43" s="12">
        <v>289</v>
      </c>
      <c r="G43" s="12">
        <v>17</v>
      </c>
      <c r="H43" s="12">
        <v>0.28000000000000003</v>
      </c>
      <c r="I43" s="12" t="s">
        <v>15</v>
      </c>
      <c r="J43" s="12">
        <v>35</v>
      </c>
      <c r="K43" s="12">
        <v>0</v>
      </c>
      <c r="L43" s="12">
        <v>0</v>
      </c>
      <c r="M43" s="12">
        <v>0</v>
      </c>
      <c r="N43" s="12">
        <v>0</v>
      </c>
      <c r="O43" s="12" t="str">
        <f t="shared" si="0"/>
        <v>30 - 39</v>
      </c>
    </row>
    <row r="44" spans="1:15" x14ac:dyDescent="0.35">
      <c r="A44" s="11">
        <v>170</v>
      </c>
      <c r="B44" s="11" t="s">
        <v>12</v>
      </c>
      <c r="C44" s="11">
        <v>18</v>
      </c>
      <c r="D44" s="11" t="s">
        <v>29</v>
      </c>
      <c r="E44" s="11" t="s">
        <v>14</v>
      </c>
      <c r="F44" s="11">
        <v>211</v>
      </c>
      <c r="G44" s="11">
        <v>48</v>
      </c>
      <c r="H44" s="11">
        <v>0.48</v>
      </c>
      <c r="I44" s="11" t="s">
        <v>23</v>
      </c>
      <c r="J44" s="11">
        <v>23</v>
      </c>
      <c r="K44" s="11">
        <v>0</v>
      </c>
      <c r="L44" s="11">
        <v>1</v>
      </c>
      <c r="M44" s="11">
        <v>0</v>
      </c>
      <c r="N44" s="11">
        <v>0</v>
      </c>
      <c r="O44" s="12" t="str">
        <f t="shared" si="0"/>
        <v>20 - 29</v>
      </c>
    </row>
    <row r="45" spans="1:15" x14ac:dyDescent="0.35">
      <c r="A45" s="12">
        <v>172</v>
      </c>
      <c r="B45" s="12" t="s">
        <v>20</v>
      </c>
      <c r="C45" s="12">
        <v>39</v>
      </c>
      <c r="D45" s="12" t="s">
        <v>17</v>
      </c>
      <c r="E45" s="12" t="s">
        <v>14</v>
      </c>
      <c r="F45" s="12">
        <v>124</v>
      </c>
      <c r="G45" s="12">
        <v>83</v>
      </c>
      <c r="H45" s="12">
        <v>0.52</v>
      </c>
      <c r="I45" s="12" t="s">
        <v>23</v>
      </c>
      <c r="J45" s="12">
        <v>35</v>
      </c>
      <c r="K45" s="12">
        <v>0</v>
      </c>
      <c r="L45" s="12">
        <v>0</v>
      </c>
      <c r="M45" s="12">
        <v>0</v>
      </c>
      <c r="N45" s="12">
        <v>0</v>
      </c>
      <c r="O45" s="12" t="str">
        <f t="shared" si="0"/>
        <v>30 - 39</v>
      </c>
    </row>
    <row r="46" spans="1:15" x14ac:dyDescent="0.35">
      <c r="A46" s="11">
        <v>175</v>
      </c>
      <c r="B46" s="11" t="s">
        <v>20</v>
      </c>
      <c r="C46" s="11">
        <v>20</v>
      </c>
      <c r="D46" s="11" t="s">
        <v>17</v>
      </c>
      <c r="E46" s="11" t="s">
        <v>14</v>
      </c>
      <c r="F46" s="11">
        <v>64</v>
      </c>
      <c r="G46" s="11">
        <v>20</v>
      </c>
      <c r="H46" s="11">
        <v>0.16</v>
      </c>
      <c r="I46" s="11" t="s">
        <v>23</v>
      </c>
      <c r="J46" s="11">
        <v>20</v>
      </c>
      <c r="K46" s="11">
        <v>0</v>
      </c>
      <c r="L46" s="11">
        <v>1</v>
      </c>
      <c r="M46" s="11">
        <v>0</v>
      </c>
      <c r="N46" s="11">
        <v>0</v>
      </c>
      <c r="O46" s="12" t="str">
        <f t="shared" si="0"/>
        <v>20 - 29</v>
      </c>
    </row>
    <row r="47" spans="1:15" x14ac:dyDescent="0.35">
      <c r="A47" s="12">
        <v>177</v>
      </c>
      <c r="B47" s="12" t="s">
        <v>16</v>
      </c>
      <c r="C47" s="12">
        <v>16</v>
      </c>
      <c r="D47" s="12" t="s">
        <v>21</v>
      </c>
      <c r="E47" s="12" t="s">
        <v>14</v>
      </c>
      <c r="F47" s="12">
        <v>184</v>
      </c>
      <c r="G47" s="12">
        <v>12</v>
      </c>
      <c r="H47" s="12">
        <v>0.2</v>
      </c>
      <c r="I47" s="12" t="s">
        <v>15</v>
      </c>
      <c r="J47" s="12">
        <v>15</v>
      </c>
      <c r="K47" s="12">
        <v>0</v>
      </c>
      <c r="L47" s="12">
        <v>0</v>
      </c>
      <c r="M47" s="12">
        <v>0</v>
      </c>
      <c r="N47" s="12">
        <v>0</v>
      </c>
      <c r="O47" s="12" t="str">
        <f t="shared" si="0"/>
        <v>10 - 19</v>
      </c>
    </row>
    <row r="48" spans="1:15" x14ac:dyDescent="0.35">
      <c r="A48" s="11">
        <v>179</v>
      </c>
      <c r="B48" s="11" t="s">
        <v>20</v>
      </c>
      <c r="C48" s="11">
        <v>16</v>
      </c>
      <c r="D48" s="11" t="s">
        <v>17</v>
      </c>
      <c r="E48" s="11" t="s">
        <v>14</v>
      </c>
      <c r="F48" s="11">
        <v>184</v>
      </c>
      <c r="G48" s="11">
        <v>40</v>
      </c>
      <c r="H48" s="11">
        <v>0.01</v>
      </c>
      <c r="I48" s="11" t="s">
        <v>23</v>
      </c>
      <c r="J48" s="11">
        <v>9</v>
      </c>
      <c r="K48" s="11">
        <v>0</v>
      </c>
      <c r="L48" s="11">
        <v>0</v>
      </c>
      <c r="M48" s="11">
        <v>0</v>
      </c>
      <c r="N48" s="11">
        <v>0</v>
      </c>
      <c r="O48" s="12" t="str">
        <f t="shared" si="0"/>
        <v>0 - 9</v>
      </c>
    </row>
    <row r="49" spans="1:15" x14ac:dyDescent="0.35">
      <c r="A49" s="12">
        <v>181</v>
      </c>
      <c r="B49" s="12" t="s">
        <v>20</v>
      </c>
      <c r="C49" s="12">
        <v>23</v>
      </c>
      <c r="D49" s="12" t="s">
        <v>17</v>
      </c>
      <c r="E49" s="12" t="s">
        <v>14</v>
      </c>
      <c r="F49" s="12">
        <v>55</v>
      </c>
      <c r="G49" s="12">
        <v>46</v>
      </c>
      <c r="H49" s="12">
        <v>0.41</v>
      </c>
      <c r="I49" s="12" t="s">
        <v>15</v>
      </c>
      <c r="J49" s="12">
        <v>7</v>
      </c>
      <c r="K49" s="12">
        <v>0</v>
      </c>
      <c r="L49" s="12">
        <v>0</v>
      </c>
      <c r="M49" s="12">
        <v>0</v>
      </c>
      <c r="N49" s="12">
        <v>0</v>
      </c>
      <c r="O49" s="12" t="str">
        <f t="shared" si="0"/>
        <v>0 - 9</v>
      </c>
    </row>
    <row r="50" spans="1:15" x14ac:dyDescent="0.35">
      <c r="A50" s="11">
        <v>188</v>
      </c>
      <c r="B50" s="11" t="s">
        <v>16</v>
      </c>
      <c r="C50" s="11">
        <v>26</v>
      </c>
      <c r="D50" s="11" t="s">
        <v>27</v>
      </c>
      <c r="E50" s="11" t="s">
        <v>14</v>
      </c>
      <c r="F50" s="11">
        <v>265</v>
      </c>
      <c r="G50" s="11">
        <v>31</v>
      </c>
      <c r="H50" s="11">
        <v>0.41</v>
      </c>
      <c r="I50" s="11" t="s">
        <v>19</v>
      </c>
      <c r="J50" s="11">
        <v>38</v>
      </c>
      <c r="K50" s="11">
        <v>0</v>
      </c>
      <c r="L50" s="11">
        <v>0</v>
      </c>
      <c r="M50" s="11">
        <v>0</v>
      </c>
      <c r="N50" s="11">
        <v>0</v>
      </c>
      <c r="O50" s="12" t="str">
        <f t="shared" si="0"/>
        <v>30 - 39</v>
      </c>
    </row>
    <row r="51" spans="1:15" x14ac:dyDescent="0.35">
      <c r="A51" s="12">
        <v>190</v>
      </c>
      <c r="B51" s="12" t="s">
        <v>16</v>
      </c>
      <c r="C51" s="12">
        <v>49</v>
      </c>
      <c r="D51" s="12" t="s">
        <v>21</v>
      </c>
      <c r="E51" s="12" t="s">
        <v>14</v>
      </c>
      <c r="F51" s="12">
        <v>198</v>
      </c>
      <c r="G51" s="12">
        <v>4</v>
      </c>
      <c r="H51" s="12">
        <v>0.1</v>
      </c>
      <c r="I51" s="12" t="s">
        <v>15</v>
      </c>
      <c r="J51" s="12">
        <v>36</v>
      </c>
      <c r="K51" s="12">
        <v>0</v>
      </c>
      <c r="L51" s="12">
        <v>0</v>
      </c>
      <c r="M51" s="12">
        <v>0</v>
      </c>
      <c r="N51" s="12">
        <v>0</v>
      </c>
      <c r="O51" s="12" t="str">
        <f t="shared" si="0"/>
        <v>30 - 39</v>
      </c>
    </row>
    <row r="52" spans="1:15" x14ac:dyDescent="0.35">
      <c r="A52" s="11">
        <v>193</v>
      </c>
      <c r="B52" s="11" t="s">
        <v>16</v>
      </c>
      <c r="C52" s="11">
        <v>48</v>
      </c>
      <c r="D52" s="11" t="s">
        <v>13</v>
      </c>
      <c r="E52" s="11" t="s">
        <v>14</v>
      </c>
      <c r="F52" s="11">
        <v>126</v>
      </c>
      <c r="G52" s="11">
        <v>22</v>
      </c>
      <c r="H52" s="11">
        <v>0.57999999999999996</v>
      </c>
      <c r="I52" s="11" t="s">
        <v>23</v>
      </c>
      <c r="J52" s="11">
        <v>45</v>
      </c>
      <c r="K52" s="11">
        <v>0</v>
      </c>
      <c r="L52" s="11">
        <v>0</v>
      </c>
      <c r="M52" s="11">
        <v>0</v>
      </c>
      <c r="N52" s="11">
        <v>0</v>
      </c>
      <c r="O52" s="12" t="str">
        <f t="shared" si="0"/>
        <v>40 - 49</v>
      </c>
    </row>
    <row r="53" spans="1:15" x14ac:dyDescent="0.35">
      <c r="A53" s="12">
        <v>201</v>
      </c>
      <c r="B53" s="12" t="s">
        <v>12</v>
      </c>
      <c r="C53" s="12">
        <v>49</v>
      </c>
      <c r="D53" s="12" t="s">
        <v>21</v>
      </c>
      <c r="E53" s="12" t="s">
        <v>14</v>
      </c>
      <c r="F53" s="12">
        <v>226</v>
      </c>
      <c r="G53" s="12">
        <v>31</v>
      </c>
      <c r="H53" s="12">
        <v>0.24</v>
      </c>
      <c r="I53" s="12" t="s">
        <v>15</v>
      </c>
      <c r="J53" s="12">
        <v>32</v>
      </c>
      <c r="K53" s="12">
        <v>0</v>
      </c>
      <c r="L53" s="12">
        <v>0</v>
      </c>
      <c r="M53" s="12">
        <v>0</v>
      </c>
      <c r="N53" s="12">
        <v>0</v>
      </c>
      <c r="O53" s="12" t="str">
        <f t="shared" si="0"/>
        <v>30 - 39</v>
      </c>
    </row>
    <row r="54" spans="1:15" x14ac:dyDescent="0.35">
      <c r="A54" s="11">
        <v>204</v>
      </c>
      <c r="B54" s="11" t="s">
        <v>16</v>
      </c>
      <c r="C54" s="11">
        <v>59</v>
      </c>
      <c r="D54" s="11" t="s">
        <v>29</v>
      </c>
      <c r="E54" s="11" t="s">
        <v>14</v>
      </c>
      <c r="F54" s="11">
        <v>62</v>
      </c>
      <c r="G54" s="11">
        <v>99</v>
      </c>
      <c r="H54" s="11">
        <v>0.55000000000000004</v>
      </c>
      <c r="I54" s="11" t="s">
        <v>23</v>
      </c>
      <c r="J54" s="11">
        <v>5</v>
      </c>
      <c r="K54" s="11">
        <v>0</v>
      </c>
      <c r="L54" s="11">
        <v>0</v>
      </c>
      <c r="M54" s="11">
        <v>0</v>
      </c>
      <c r="N54" s="11">
        <v>0</v>
      </c>
      <c r="O54" s="12" t="str">
        <f t="shared" si="0"/>
        <v>0 - 9</v>
      </c>
    </row>
    <row r="55" spans="1:15" x14ac:dyDescent="0.35">
      <c r="A55" s="12">
        <v>205</v>
      </c>
      <c r="B55" s="12" t="s">
        <v>12</v>
      </c>
      <c r="C55" s="12">
        <v>58</v>
      </c>
      <c r="D55" s="12" t="s">
        <v>21</v>
      </c>
      <c r="E55" s="12" t="s">
        <v>14</v>
      </c>
      <c r="F55" s="12">
        <v>202</v>
      </c>
      <c r="G55" s="12">
        <v>22</v>
      </c>
      <c r="H55" s="12">
        <v>0.45</v>
      </c>
      <c r="I55" s="12" t="s">
        <v>23</v>
      </c>
      <c r="J55" s="12">
        <v>36</v>
      </c>
      <c r="K55" s="12">
        <v>0</v>
      </c>
      <c r="L55" s="12">
        <v>0</v>
      </c>
      <c r="M55" s="12">
        <v>0</v>
      </c>
      <c r="N55" s="12">
        <v>0</v>
      </c>
      <c r="O55" s="12" t="str">
        <f t="shared" si="0"/>
        <v>30 - 39</v>
      </c>
    </row>
    <row r="56" spans="1:15" x14ac:dyDescent="0.35">
      <c r="A56" s="11">
        <v>206</v>
      </c>
      <c r="B56" s="11" t="s">
        <v>16</v>
      </c>
      <c r="C56" s="11">
        <v>49</v>
      </c>
      <c r="D56" s="11" t="s">
        <v>29</v>
      </c>
      <c r="E56" s="11" t="s">
        <v>14</v>
      </c>
      <c r="F56" s="11">
        <v>207</v>
      </c>
      <c r="G56" s="11">
        <v>33</v>
      </c>
      <c r="H56" s="11">
        <v>0.09</v>
      </c>
      <c r="I56" s="11" t="s">
        <v>19</v>
      </c>
      <c r="J56" s="11">
        <v>9</v>
      </c>
      <c r="K56" s="11">
        <v>0</v>
      </c>
      <c r="L56" s="11">
        <v>1</v>
      </c>
      <c r="M56" s="11">
        <v>0</v>
      </c>
      <c r="N56" s="11">
        <v>0</v>
      </c>
      <c r="O56" s="12" t="str">
        <f t="shared" si="0"/>
        <v>0 - 9</v>
      </c>
    </row>
    <row r="57" spans="1:15" x14ac:dyDescent="0.35">
      <c r="A57" s="12">
        <v>208</v>
      </c>
      <c r="B57" s="12" t="s">
        <v>16</v>
      </c>
      <c r="C57" s="12">
        <v>24</v>
      </c>
      <c r="D57" s="12" t="s">
        <v>21</v>
      </c>
      <c r="E57" s="12" t="s">
        <v>14</v>
      </c>
      <c r="F57" s="12">
        <v>113</v>
      </c>
      <c r="G57" s="12">
        <v>42</v>
      </c>
      <c r="H57" s="12">
        <v>0.56000000000000005</v>
      </c>
      <c r="I57" s="12" t="s">
        <v>15</v>
      </c>
      <c r="J57" s="12">
        <v>32</v>
      </c>
      <c r="K57" s="12">
        <v>0</v>
      </c>
      <c r="L57" s="12">
        <v>1</v>
      </c>
      <c r="M57" s="12">
        <v>0</v>
      </c>
      <c r="N57" s="12">
        <v>0</v>
      </c>
      <c r="O57" s="12" t="str">
        <f t="shared" si="0"/>
        <v>30 - 39</v>
      </c>
    </row>
    <row r="58" spans="1:15" x14ac:dyDescent="0.35">
      <c r="A58" s="11">
        <v>209</v>
      </c>
      <c r="B58" s="11" t="s">
        <v>20</v>
      </c>
      <c r="C58" s="11">
        <v>33</v>
      </c>
      <c r="D58" s="11" t="s">
        <v>27</v>
      </c>
      <c r="E58" s="11" t="s">
        <v>14</v>
      </c>
      <c r="F58" s="11">
        <v>168</v>
      </c>
      <c r="G58" s="11">
        <v>42</v>
      </c>
      <c r="H58" s="11">
        <v>0.12</v>
      </c>
      <c r="I58" s="11" t="s">
        <v>15</v>
      </c>
      <c r="J58" s="11">
        <v>49</v>
      </c>
      <c r="K58" s="11">
        <v>0</v>
      </c>
      <c r="L58" s="11">
        <v>0</v>
      </c>
      <c r="M58" s="11">
        <v>0</v>
      </c>
      <c r="N58" s="11">
        <v>0</v>
      </c>
      <c r="O58" s="12" t="str">
        <f t="shared" si="0"/>
        <v>40 - 49</v>
      </c>
    </row>
    <row r="59" spans="1:15" x14ac:dyDescent="0.35">
      <c r="A59" s="12">
        <v>211</v>
      </c>
      <c r="B59" s="12" t="s">
        <v>16</v>
      </c>
      <c r="C59" s="12">
        <v>42</v>
      </c>
      <c r="D59" s="12" t="s">
        <v>27</v>
      </c>
      <c r="E59" s="12" t="s">
        <v>14</v>
      </c>
      <c r="F59" s="12">
        <v>222</v>
      </c>
      <c r="G59" s="12">
        <v>95</v>
      </c>
      <c r="H59" s="12">
        <v>0.04</v>
      </c>
      <c r="I59" s="12" t="s">
        <v>15</v>
      </c>
      <c r="J59" s="12">
        <v>29</v>
      </c>
      <c r="K59" s="12">
        <v>0</v>
      </c>
      <c r="L59" s="12">
        <v>0</v>
      </c>
      <c r="M59" s="12">
        <v>0</v>
      </c>
      <c r="N59" s="12">
        <v>0</v>
      </c>
      <c r="O59" s="12" t="str">
        <f t="shared" si="0"/>
        <v>20 - 29</v>
      </c>
    </row>
    <row r="60" spans="1:15" x14ac:dyDescent="0.35">
      <c r="A60" s="11">
        <v>212</v>
      </c>
      <c r="B60" s="11" t="s">
        <v>12</v>
      </c>
      <c r="C60" s="11">
        <v>16</v>
      </c>
      <c r="D60" s="11" t="s">
        <v>17</v>
      </c>
      <c r="E60" s="11" t="s">
        <v>14</v>
      </c>
      <c r="F60" s="11">
        <v>74</v>
      </c>
      <c r="G60" s="11">
        <v>33</v>
      </c>
      <c r="H60" s="11">
        <v>0.12</v>
      </c>
      <c r="I60" s="11" t="s">
        <v>23</v>
      </c>
      <c r="J60" s="11">
        <v>13</v>
      </c>
      <c r="K60" s="11">
        <v>0</v>
      </c>
      <c r="L60" s="11">
        <v>0</v>
      </c>
      <c r="M60" s="11">
        <v>0</v>
      </c>
      <c r="N60" s="11">
        <v>0</v>
      </c>
      <c r="O60" s="12" t="str">
        <f t="shared" si="0"/>
        <v>10 - 19</v>
      </c>
    </row>
    <row r="61" spans="1:15" x14ac:dyDescent="0.35">
      <c r="A61" s="12">
        <v>214</v>
      </c>
      <c r="B61" s="12" t="s">
        <v>12</v>
      </c>
      <c r="C61" s="12">
        <v>26</v>
      </c>
      <c r="D61" s="12" t="s">
        <v>28</v>
      </c>
      <c r="E61" s="12" t="s">
        <v>14</v>
      </c>
      <c r="F61" s="12">
        <v>160</v>
      </c>
      <c r="G61" s="12">
        <v>23</v>
      </c>
      <c r="H61" s="12">
        <v>0.06</v>
      </c>
      <c r="I61" s="12" t="s">
        <v>19</v>
      </c>
      <c r="J61" s="12">
        <v>45</v>
      </c>
      <c r="K61" s="12">
        <v>0</v>
      </c>
      <c r="L61" s="12">
        <v>0</v>
      </c>
      <c r="M61" s="12">
        <v>0</v>
      </c>
      <c r="N61" s="12">
        <v>0</v>
      </c>
      <c r="O61" s="12" t="str">
        <f t="shared" si="0"/>
        <v>40 - 49</v>
      </c>
    </row>
    <row r="62" spans="1:15" x14ac:dyDescent="0.35">
      <c r="A62" s="11">
        <v>217</v>
      </c>
      <c r="B62" s="11" t="s">
        <v>16</v>
      </c>
      <c r="C62" s="11">
        <v>32</v>
      </c>
      <c r="D62" s="11" t="s">
        <v>28</v>
      </c>
      <c r="E62" s="11" t="s">
        <v>14</v>
      </c>
      <c r="F62" s="11">
        <v>204</v>
      </c>
      <c r="G62" s="11">
        <v>87</v>
      </c>
      <c r="H62" s="11">
        <v>0.42</v>
      </c>
      <c r="I62" s="11" t="s">
        <v>15</v>
      </c>
      <c r="J62" s="11">
        <v>14</v>
      </c>
      <c r="K62" s="11">
        <v>0</v>
      </c>
      <c r="L62" s="11">
        <v>0</v>
      </c>
      <c r="M62" s="11">
        <v>0</v>
      </c>
      <c r="N62" s="11">
        <v>0</v>
      </c>
      <c r="O62" s="12" t="str">
        <f t="shared" si="0"/>
        <v>10 - 19</v>
      </c>
    </row>
    <row r="63" spans="1:15" x14ac:dyDescent="0.35">
      <c r="A63" s="12">
        <v>220</v>
      </c>
      <c r="B63" s="12" t="s">
        <v>12</v>
      </c>
      <c r="C63" s="12">
        <v>19</v>
      </c>
      <c r="D63" s="12" t="s">
        <v>27</v>
      </c>
      <c r="E63" s="12" t="s">
        <v>14</v>
      </c>
      <c r="F63" s="12">
        <v>245</v>
      </c>
      <c r="G63" s="12">
        <v>9</v>
      </c>
      <c r="H63" s="12">
        <v>7.0000000000000007E-2</v>
      </c>
      <c r="I63" s="12" t="s">
        <v>23</v>
      </c>
      <c r="J63" s="12">
        <v>42</v>
      </c>
      <c r="K63" s="12">
        <v>0</v>
      </c>
      <c r="L63" s="12">
        <v>0</v>
      </c>
      <c r="M63" s="12">
        <v>0</v>
      </c>
      <c r="N63" s="12">
        <v>0</v>
      </c>
      <c r="O63" s="12" t="str">
        <f t="shared" si="0"/>
        <v>40 - 49</v>
      </c>
    </row>
    <row r="64" spans="1:15" x14ac:dyDescent="0.35">
      <c r="A64" s="11">
        <v>226</v>
      </c>
      <c r="B64" s="11" t="s">
        <v>12</v>
      </c>
      <c r="C64" s="11">
        <v>40</v>
      </c>
      <c r="D64" s="11" t="s">
        <v>28</v>
      </c>
      <c r="E64" s="11" t="s">
        <v>14</v>
      </c>
      <c r="F64" s="11">
        <v>66</v>
      </c>
      <c r="G64" s="11">
        <v>80</v>
      </c>
      <c r="H64" s="11">
        <v>0.02</v>
      </c>
      <c r="I64" s="11" t="s">
        <v>23</v>
      </c>
      <c r="J64" s="11">
        <v>48</v>
      </c>
      <c r="K64" s="11">
        <v>0</v>
      </c>
      <c r="L64" s="11">
        <v>1</v>
      </c>
      <c r="M64" s="11">
        <v>0</v>
      </c>
      <c r="N64" s="11">
        <v>0</v>
      </c>
      <c r="O64" s="12" t="str">
        <f t="shared" si="0"/>
        <v>40 - 49</v>
      </c>
    </row>
    <row r="65" spans="1:15" x14ac:dyDescent="0.35">
      <c r="A65" s="12">
        <v>228</v>
      </c>
      <c r="B65" s="12" t="s">
        <v>20</v>
      </c>
      <c r="C65" s="12">
        <v>27</v>
      </c>
      <c r="D65" s="12" t="s">
        <v>26</v>
      </c>
      <c r="E65" s="12" t="s">
        <v>14</v>
      </c>
      <c r="F65" s="12">
        <v>174</v>
      </c>
      <c r="G65" s="12">
        <v>6</v>
      </c>
      <c r="H65" s="12">
        <v>0.54</v>
      </c>
      <c r="I65" s="12" t="s">
        <v>23</v>
      </c>
      <c r="J65" s="12">
        <v>7</v>
      </c>
      <c r="K65" s="12">
        <v>0</v>
      </c>
      <c r="L65" s="12">
        <v>0</v>
      </c>
      <c r="M65" s="12">
        <v>0</v>
      </c>
      <c r="N65" s="12">
        <v>0</v>
      </c>
      <c r="O65" s="12" t="str">
        <f t="shared" si="0"/>
        <v>0 - 9</v>
      </c>
    </row>
    <row r="66" spans="1:15" x14ac:dyDescent="0.35">
      <c r="A66" s="11">
        <v>233</v>
      </c>
      <c r="B66" s="11" t="s">
        <v>20</v>
      </c>
      <c r="C66" s="11">
        <v>41</v>
      </c>
      <c r="D66" s="11" t="s">
        <v>26</v>
      </c>
      <c r="E66" s="11" t="s">
        <v>14</v>
      </c>
      <c r="F66" s="11">
        <v>222</v>
      </c>
      <c r="G66" s="11">
        <v>4</v>
      </c>
      <c r="H66" s="11">
        <v>0.06</v>
      </c>
      <c r="I66" s="11" t="s">
        <v>23</v>
      </c>
      <c r="J66" s="11">
        <v>26</v>
      </c>
      <c r="K66" s="11">
        <v>0</v>
      </c>
      <c r="L66" s="11">
        <v>1</v>
      </c>
      <c r="M66" s="11">
        <v>0</v>
      </c>
      <c r="N66" s="11">
        <v>0</v>
      </c>
      <c r="O66" s="12" t="str">
        <f t="shared" ref="O66:O129" si="1">_xlfn.FLOOR.MATH(J66, 10) &amp; " - " &amp; (_xlfn.FLOOR.MATH(J66, 10) + 9)</f>
        <v>20 - 29</v>
      </c>
    </row>
    <row r="67" spans="1:15" x14ac:dyDescent="0.35">
      <c r="A67" s="12">
        <v>239</v>
      </c>
      <c r="B67" s="12" t="s">
        <v>12</v>
      </c>
      <c r="C67" s="12">
        <v>37</v>
      </c>
      <c r="D67" s="12" t="s">
        <v>13</v>
      </c>
      <c r="E67" s="12" t="s">
        <v>14</v>
      </c>
      <c r="F67" s="12">
        <v>113</v>
      </c>
      <c r="G67" s="12">
        <v>85</v>
      </c>
      <c r="H67" s="12">
        <v>0.23</v>
      </c>
      <c r="I67" s="12" t="s">
        <v>23</v>
      </c>
      <c r="J67" s="12">
        <v>27</v>
      </c>
      <c r="K67" s="12">
        <v>0</v>
      </c>
      <c r="L67" s="12">
        <v>1</v>
      </c>
      <c r="M67" s="12">
        <v>0</v>
      </c>
      <c r="N67" s="12">
        <v>0</v>
      </c>
      <c r="O67" s="12" t="str">
        <f t="shared" si="1"/>
        <v>20 - 29</v>
      </c>
    </row>
    <row r="68" spans="1:15" x14ac:dyDescent="0.35">
      <c r="A68" s="11">
        <v>240</v>
      </c>
      <c r="B68" s="11" t="s">
        <v>12</v>
      </c>
      <c r="C68" s="11">
        <v>43</v>
      </c>
      <c r="D68" s="11" t="s">
        <v>26</v>
      </c>
      <c r="E68" s="11" t="s">
        <v>14</v>
      </c>
      <c r="F68" s="11">
        <v>218</v>
      </c>
      <c r="G68" s="11">
        <v>6</v>
      </c>
      <c r="H68" s="11">
        <v>0.01</v>
      </c>
      <c r="I68" s="11" t="s">
        <v>23</v>
      </c>
      <c r="J68" s="11">
        <v>15</v>
      </c>
      <c r="K68" s="11">
        <v>0</v>
      </c>
      <c r="L68" s="11">
        <v>1</v>
      </c>
      <c r="M68" s="11">
        <v>0</v>
      </c>
      <c r="N68" s="11">
        <v>0</v>
      </c>
      <c r="O68" s="12" t="str">
        <f t="shared" si="1"/>
        <v>10 - 19</v>
      </c>
    </row>
    <row r="69" spans="1:15" x14ac:dyDescent="0.35">
      <c r="A69" s="12">
        <v>241</v>
      </c>
      <c r="B69" s="12" t="s">
        <v>20</v>
      </c>
      <c r="C69" s="12">
        <v>29</v>
      </c>
      <c r="D69" s="12" t="s">
        <v>26</v>
      </c>
      <c r="E69" s="12" t="s">
        <v>14</v>
      </c>
      <c r="F69" s="12">
        <v>144</v>
      </c>
      <c r="G69" s="12">
        <v>94</v>
      </c>
      <c r="H69" s="12">
        <v>0.33</v>
      </c>
      <c r="I69" s="12" t="s">
        <v>15</v>
      </c>
      <c r="J69" s="12">
        <v>19</v>
      </c>
      <c r="K69" s="12">
        <v>0</v>
      </c>
      <c r="L69" s="12">
        <v>0</v>
      </c>
      <c r="M69" s="12">
        <v>0</v>
      </c>
      <c r="N69" s="12">
        <v>0</v>
      </c>
      <c r="O69" s="12" t="str">
        <f t="shared" si="1"/>
        <v>10 - 19</v>
      </c>
    </row>
    <row r="70" spans="1:15" x14ac:dyDescent="0.35">
      <c r="A70" s="11">
        <v>248</v>
      </c>
      <c r="B70" s="11" t="s">
        <v>12</v>
      </c>
      <c r="C70" s="11">
        <v>59</v>
      </c>
      <c r="D70" s="11" t="s">
        <v>25</v>
      </c>
      <c r="E70" s="11" t="s">
        <v>14</v>
      </c>
      <c r="F70" s="11">
        <v>98</v>
      </c>
      <c r="G70" s="11">
        <v>24</v>
      </c>
      <c r="H70" s="11">
        <v>0.32</v>
      </c>
      <c r="I70" s="11" t="s">
        <v>23</v>
      </c>
      <c r="J70" s="11">
        <v>8</v>
      </c>
      <c r="K70" s="11">
        <v>0</v>
      </c>
      <c r="L70" s="11">
        <v>0</v>
      </c>
      <c r="M70" s="11">
        <v>0</v>
      </c>
      <c r="N70" s="11">
        <v>0</v>
      </c>
      <c r="O70" s="12" t="str">
        <f t="shared" si="1"/>
        <v>0 - 9</v>
      </c>
    </row>
    <row r="71" spans="1:15" x14ac:dyDescent="0.35">
      <c r="A71" s="12">
        <v>252</v>
      </c>
      <c r="B71" s="12" t="s">
        <v>16</v>
      </c>
      <c r="C71" s="12">
        <v>20</v>
      </c>
      <c r="D71" s="12" t="s">
        <v>13</v>
      </c>
      <c r="E71" s="12" t="s">
        <v>14</v>
      </c>
      <c r="F71" s="12">
        <v>279</v>
      </c>
      <c r="G71" s="12">
        <v>84</v>
      </c>
      <c r="H71" s="12">
        <v>0.43</v>
      </c>
      <c r="I71" s="12" t="s">
        <v>15</v>
      </c>
      <c r="J71" s="12">
        <v>24</v>
      </c>
      <c r="K71" s="12">
        <v>0</v>
      </c>
      <c r="L71" s="12">
        <v>0</v>
      </c>
      <c r="M71" s="12">
        <v>0</v>
      </c>
      <c r="N71" s="12">
        <v>0</v>
      </c>
      <c r="O71" s="12" t="str">
        <f t="shared" si="1"/>
        <v>20 - 29</v>
      </c>
    </row>
    <row r="72" spans="1:15" x14ac:dyDescent="0.35">
      <c r="A72" s="11">
        <v>254</v>
      </c>
      <c r="B72" s="11" t="s">
        <v>12</v>
      </c>
      <c r="C72" s="11">
        <v>35</v>
      </c>
      <c r="D72" s="11" t="s">
        <v>17</v>
      </c>
      <c r="E72" s="11" t="s">
        <v>14</v>
      </c>
      <c r="F72" s="11">
        <v>53</v>
      </c>
      <c r="G72" s="11">
        <v>97</v>
      </c>
      <c r="H72" s="11">
        <v>0.45</v>
      </c>
      <c r="I72" s="11" t="s">
        <v>15</v>
      </c>
      <c r="J72" s="11">
        <v>29</v>
      </c>
      <c r="K72" s="11">
        <v>0</v>
      </c>
      <c r="L72" s="11">
        <v>0</v>
      </c>
      <c r="M72" s="11">
        <v>0</v>
      </c>
      <c r="N72" s="11">
        <v>0</v>
      </c>
      <c r="O72" s="12" t="str">
        <f t="shared" si="1"/>
        <v>20 - 29</v>
      </c>
    </row>
    <row r="73" spans="1:15" x14ac:dyDescent="0.35">
      <c r="A73" s="12">
        <v>257</v>
      </c>
      <c r="B73" s="12" t="s">
        <v>16</v>
      </c>
      <c r="C73" s="12">
        <v>53</v>
      </c>
      <c r="D73" s="12" t="s">
        <v>29</v>
      </c>
      <c r="E73" s="12" t="s">
        <v>14</v>
      </c>
      <c r="F73" s="12">
        <v>112</v>
      </c>
      <c r="G73" s="12">
        <v>33</v>
      </c>
      <c r="H73" s="12">
        <v>0.34</v>
      </c>
      <c r="I73" s="12" t="s">
        <v>23</v>
      </c>
      <c r="J73" s="12">
        <v>30</v>
      </c>
      <c r="K73" s="12">
        <v>0</v>
      </c>
      <c r="L73" s="12">
        <v>0</v>
      </c>
      <c r="M73" s="12">
        <v>0</v>
      </c>
      <c r="N73" s="12">
        <v>0</v>
      </c>
      <c r="O73" s="12" t="str">
        <f t="shared" si="1"/>
        <v>30 - 39</v>
      </c>
    </row>
    <row r="74" spans="1:15" x14ac:dyDescent="0.35">
      <c r="A74" s="11">
        <v>260</v>
      </c>
      <c r="B74" s="11" t="s">
        <v>12</v>
      </c>
      <c r="C74" s="11">
        <v>43</v>
      </c>
      <c r="D74" s="11" t="s">
        <v>29</v>
      </c>
      <c r="E74" s="11" t="s">
        <v>14</v>
      </c>
      <c r="F74" s="11">
        <v>92</v>
      </c>
      <c r="G74" s="11">
        <v>18</v>
      </c>
      <c r="H74" s="11">
        <v>0.19</v>
      </c>
      <c r="I74" s="11" t="s">
        <v>23</v>
      </c>
      <c r="J74" s="11">
        <v>25</v>
      </c>
      <c r="K74" s="11">
        <v>0</v>
      </c>
      <c r="L74" s="11">
        <v>0</v>
      </c>
      <c r="M74" s="11">
        <v>0</v>
      </c>
      <c r="N74" s="11">
        <v>0</v>
      </c>
      <c r="O74" s="12" t="str">
        <f t="shared" si="1"/>
        <v>20 - 29</v>
      </c>
    </row>
    <row r="75" spans="1:15" x14ac:dyDescent="0.35">
      <c r="A75" s="12">
        <v>261</v>
      </c>
      <c r="B75" s="12" t="s">
        <v>16</v>
      </c>
      <c r="C75" s="12">
        <v>37</v>
      </c>
      <c r="D75" s="12" t="s">
        <v>21</v>
      </c>
      <c r="E75" s="12" t="s">
        <v>14</v>
      </c>
      <c r="F75" s="12">
        <v>140</v>
      </c>
      <c r="G75" s="12">
        <v>14</v>
      </c>
      <c r="H75" s="12">
        <v>0.02</v>
      </c>
      <c r="I75" s="12" t="s">
        <v>23</v>
      </c>
      <c r="J75" s="12">
        <v>31</v>
      </c>
      <c r="K75" s="12">
        <v>0</v>
      </c>
      <c r="L75" s="12">
        <v>0</v>
      </c>
      <c r="M75" s="12">
        <v>0</v>
      </c>
      <c r="N75" s="12">
        <v>0</v>
      </c>
      <c r="O75" s="12" t="str">
        <f t="shared" si="1"/>
        <v>30 - 39</v>
      </c>
    </row>
    <row r="76" spans="1:15" x14ac:dyDescent="0.35">
      <c r="A76" s="11">
        <v>265</v>
      </c>
      <c r="B76" s="11" t="s">
        <v>20</v>
      </c>
      <c r="C76" s="11">
        <v>53</v>
      </c>
      <c r="D76" s="11" t="s">
        <v>21</v>
      </c>
      <c r="E76" s="11" t="s">
        <v>14</v>
      </c>
      <c r="F76" s="11">
        <v>265</v>
      </c>
      <c r="G76" s="11">
        <v>49</v>
      </c>
      <c r="H76" s="11">
        <v>0.2</v>
      </c>
      <c r="I76" s="11" t="s">
        <v>15</v>
      </c>
      <c r="J76" s="11">
        <v>41</v>
      </c>
      <c r="K76" s="11">
        <v>0</v>
      </c>
      <c r="L76" s="11">
        <v>1</v>
      </c>
      <c r="M76" s="11">
        <v>0</v>
      </c>
      <c r="N76" s="11">
        <v>0</v>
      </c>
      <c r="O76" s="12" t="str">
        <f t="shared" si="1"/>
        <v>40 - 49</v>
      </c>
    </row>
    <row r="77" spans="1:15" x14ac:dyDescent="0.35">
      <c r="A77" s="12">
        <v>267</v>
      </c>
      <c r="B77" s="12" t="s">
        <v>12</v>
      </c>
      <c r="C77" s="12">
        <v>59</v>
      </c>
      <c r="D77" s="12" t="s">
        <v>21</v>
      </c>
      <c r="E77" s="12" t="s">
        <v>14</v>
      </c>
      <c r="F77" s="12">
        <v>255</v>
      </c>
      <c r="G77" s="12">
        <v>75</v>
      </c>
      <c r="H77" s="12">
        <v>0.56000000000000005</v>
      </c>
      <c r="I77" s="12" t="s">
        <v>19</v>
      </c>
      <c r="J77" s="12">
        <v>38</v>
      </c>
      <c r="K77" s="12">
        <v>0</v>
      </c>
      <c r="L77" s="12">
        <v>0</v>
      </c>
      <c r="M77" s="12">
        <v>0</v>
      </c>
      <c r="N77" s="12">
        <v>0</v>
      </c>
      <c r="O77" s="12" t="str">
        <f t="shared" si="1"/>
        <v>30 - 39</v>
      </c>
    </row>
    <row r="78" spans="1:15" x14ac:dyDescent="0.35">
      <c r="A78" s="11">
        <v>275</v>
      </c>
      <c r="B78" s="11" t="s">
        <v>16</v>
      </c>
      <c r="C78" s="11">
        <v>47</v>
      </c>
      <c r="D78" s="11" t="s">
        <v>25</v>
      </c>
      <c r="E78" s="11" t="s">
        <v>14</v>
      </c>
      <c r="F78" s="11">
        <v>30</v>
      </c>
      <c r="G78" s="11">
        <v>10</v>
      </c>
      <c r="H78" s="11">
        <v>0.38</v>
      </c>
      <c r="I78" s="11" t="s">
        <v>19</v>
      </c>
      <c r="J78" s="11">
        <v>37</v>
      </c>
      <c r="K78" s="11">
        <v>0</v>
      </c>
      <c r="L78" s="11">
        <v>0</v>
      </c>
      <c r="M78" s="11">
        <v>0</v>
      </c>
      <c r="N78" s="11">
        <v>0</v>
      </c>
      <c r="O78" s="12" t="str">
        <f t="shared" si="1"/>
        <v>30 - 39</v>
      </c>
    </row>
    <row r="79" spans="1:15" x14ac:dyDescent="0.35">
      <c r="A79" s="12">
        <v>278</v>
      </c>
      <c r="B79" s="12" t="s">
        <v>16</v>
      </c>
      <c r="C79" s="12">
        <v>37</v>
      </c>
      <c r="D79" s="12" t="s">
        <v>28</v>
      </c>
      <c r="E79" s="12" t="s">
        <v>14</v>
      </c>
      <c r="F79" s="12">
        <v>267</v>
      </c>
      <c r="G79" s="12">
        <v>72</v>
      </c>
      <c r="H79" s="12">
        <v>0.12</v>
      </c>
      <c r="I79" s="12" t="s">
        <v>15</v>
      </c>
      <c r="J79" s="12">
        <v>38</v>
      </c>
      <c r="K79" s="12">
        <v>0</v>
      </c>
      <c r="L79" s="12">
        <v>0</v>
      </c>
      <c r="M79" s="12">
        <v>0</v>
      </c>
      <c r="N79" s="12">
        <v>0</v>
      </c>
      <c r="O79" s="12" t="str">
        <f t="shared" si="1"/>
        <v>30 - 39</v>
      </c>
    </row>
    <row r="80" spans="1:15" x14ac:dyDescent="0.35">
      <c r="A80" s="11">
        <v>284</v>
      </c>
      <c r="B80" s="11" t="s">
        <v>12</v>
      </c>
      <c r="C80" s="11">
        <v>53</v>
      </c>
      <c r="D80" s="11" t="s">
        <v>27</v>
      </c>
      <c r="E80" s="11" t="s">
        <v>14</v>
      </c>
      <c r="F80" s="11">
        <v>58</v>
      </c>
      <c r="G80" s="11">
        <v>63</v>
      </c>
      <c r="H80" s="11">
        <v>0.45</v>
      </c>
      <c r="I80" s="11" t="s">
        <v>23</v>
      </c>
      <c r="J80" s="11">
        <v>45</v>
      </c>
      <c r="K80" s="11">
        <v>0</v>
      </c>
      <c r="L80" s="11">
        <v>0</v>
      </c>
      <c r="M80" s="11">
        <v>0</v>
      </c>
      <c r="N80" s="11">
        <v>0</v>
      </c>
      <c r="O80" s="12" t="str">
        <f t="shared" si="1"/>
        <v>40 - 49</v>
      </c>
    </row>
    <row r="81" spans="1:15" x14ac:dyDescent="0.35">
      <c r="A81" s="12">
        <v>287</v>
      </c>
      <c r="B81" s="12" t="s">
        <v>12</v>
      </c>
      <c r="C81" s="12">
        <v>35</v>
      </c>
      <c r="D81" s="12" t="s">
        <v>29</v>
      </c>
      <c r="E81" s="12" t="s">
        <v>14</v>
      </c>
      <c r="F81" s="12">
        <v>258</v>
      </c>
      <c r="G81" s="12">
        <v>36</v>
      </c>
      <c r="H81" s="12">
        <v>0.2</v>
      </c>
      <c r="I81" s="12" t="s">
        <v>15</v>
      </c>
      <c r="J81" s="12">
        <v>24</v>
      </c>
      <c r="K81" s="12">
        <v>0</v>
      </c>
      <c r="L81" s="12">
        <v>1</v>
      </c>
      <c r="M81" s="12">
        <v>0</v>
      </c>
      <c r="N81" s="12">
        <v>0</v>
      </c>
      <c r="O81" s="12" t="str">
        <f t="shared" si="1"/>
        <v>20 - 29</v>
      </c>
    </row>
    <row r="82" spans="1:15" x14ac:dyDescent="0.35">
      <c r="A82" s="11">
        <v>288</v>
      </c>
      <c r="B82" s="11" t="s">
        <v>12</v>
      </c>
      <c r="C82" s="11">
        <v>33</v>
      </c>
      <c r="D82" s="11" t="s">
        <v>27</v>
      </c>
      <c r="E82" s="11" t="s">
        <v>14</v>
      </c>
      <c r="F82" s="11">
        <v>291</v>
      </c>
      <c r="G82" s="11">
        <v>31</v>
      </c>
      <c r="H82" s="11">
        <v>0.28999999999999998</v>
      </c>
      <c r="I82" s="11" t="s">
        <v>15</v>
      </c>
      <c r="J82" s="11">
        <v>39</v>
      </c>
      <c r="K82" s="11">
        <v>0</v>
      </c>
      <c r="L82" s="11">
        <v>0</v>
      </c>
      <c r="M82" s="11">
        <v>0</v>
      </c>
      <c r="N82" s="11">
        <v>0</v>
      </c>
      <c r="O82" s="12" t="str">
        <f t="shared" si="1"/>
        <v>30 - 39</v>
      </c>
    </row>
    <row r="83" spans="1:15" x14ac:dyDescent="0.35">
      <c r="A83" s="12">
        <v>289</v>
      </c>
      <c r="B83" s="12" t="s">
        <v>16</v>
      </c>
      <c r="C83" s="12">
        <v>44</v>
      </c>
      <c r="D83" s="12" t="s">
        <v>17</v>
      </c>
      <c r="E83" s="12" t="s">
        <v>14</v>
      </c>
      <c r="F83" s="12">
        <v>27</v>
      </c>
      <c r="G83" s="12">
        <v>96</v>
      </c>
      <c r="H83" s="12">
        <v>0.04</v>
      </c>
      <c r="I83" s="12" t="s">
        <v>15</v>
      </c>
      <c r="J83" s="12">
        <v>27</v>
      </c>
      <c r="K83" s="12">
        <v>0</v>
      </c>
      <c r="L83" s="12">
        <v>1</v>
      </c>
      <c r="M83" s="12">
        <v>0</v>
      </c>
      <c r="N83" s="12">
        <v>0</v>
      </c>
      <c r="O83" s="12" t="str">
        <f t="shared" si="1"/>
        <v>20 - 29</v>
      </c>
    </row>
    <row r="84" spans="1:15" x14ac:dyDescent="0.35">
      <c r="A84" s="11">
        <v>302</v>
      </c>
      <c r="B84" s="11" t="s">
        <v>12</v>
      </c>
      <c r="C84" s="11">
        <v>55</v>
      </c>
      <c r="D84" s="11" t="s">
        <v>29</v>
      </c>
      <c r="E84" s="11" t="s">
        <v>14</v>
      </c>
      <c r="F84" s="11">
        <v>210</v>
      </c>
      <c r="G84" s="11">
        <v>32</v>
      </c>
      <c r="H84" s="11">
        <v>0.15</v>
      </c>
      <c r="I84" s="11" t="s">
        <v>19</v>
      </c>
      <c r="J84" s="11">
        <v>29</v>
      </c>
      <c r="K84" s="11">
        <v>0</v>
      </c>
      <c r="L84" s="11">
        <v>1</v>
      </c>
      <c r="M84" s="11">
        <v>0</v>
      </c>
      <c r="N84" s="11">
        <v>0</v>
      </c>
      <c r="O84" s="12" t="str">
        <f t="shared" si="1"/>
        <v>20 - 29</v>
      </c>
    </row>
    <row r="85" spans="1:15" x14ac:dyDescent="0.35">
      <c r="A85" s="12">
        <v>303</v>
      </c>
      <c r="B85" s="12" t="s">
        <v>12</v>
      </c>
      <c r="C85" s="12">
        <v>32</v>
      </c>
      <c r="D85" s="12" t="s">
        <v>25</v>
      </c>
      <c r="E85" s="12" t="s">
        <v>14</v>
      </c>
      <c r="F85" s="12">
        <v>134</v>
      </c>
      <c r="G85" s="12">
        <v>71</v>
      </c>
      <c r="H85" s="12">
        <v>0.43</v>
      </c>
      <c r="I85" s="12" t="s">
        <v>23</v>
      </c>
      <c r="J85" s="12">
        <v>14</v>
      </c>
      <c r="K85" s="12">
        <v>0</v>
      </c>
      <c r="L85" s="12">
        <v>0</v>
      </c>
      <c r="M85" s="12">
        <v>0</v>
      </c>
      <c r="N85" s="12">
        <v>0</v>
      </c>
      <c r="O85" s="12" t="str">
        <f t="shared" si="1"/>
        <v>10 - 19</v>
      </c>
    </row>
    <row r="86" spans="1:15" x14ac:dyDescent="0.35">
      <c r="A86" s="11">
        <v>316</v>
      </c>
      <c r="B86" s="11" t="s">
        <v>20</v>
      </c>
      <c r="C86" s="11">
        <v>34</v>
      </c>
      <c r="D86" s="11" t="s">
        <v>28</v>
      </c>
      <c r="E86" s="11" t="s">
        <v>14</v>
      </c>
      <c r="F86" s="11">
        <v>36</v>
      </c>
      <c r="G86" s="11">
        <v>12</v>
      </c>
      <c r="H86" s="11">
        <v>0.22</v>
      </c>
      <c r="I86" s="11" t="s">
        <v>23</v>
      </c>
      <c r="J86" s="11">
        <v>44</v>
      </c>
      <c r="K86" s="11">
        <v>0</v>
      </c>
      <c r="L86" s="11">
        <v>0</v>
      </c>
      <c r="M86" s="11">
        <v>0</v>
      </c>
      <c r="N86" s="11">
        <v>0</v>
      </c>
      <c r="O86" s="12" t="str">
        <f t="shared" si="1"/>
        <v>40 - 49</v>
      </c>
    </row>
    <row r="87" spans="1:15" x14ac:dyDescent="0.35">
      <c r="A87" s="12">
        <v>324</v>
      </c>
      <c r="B87" s="12" t="s">
        <v>20</v>
      </c>
      <c r="C87" s="12">
        <v>17</v>
      </c>
      <c r="D87" s="12" t="s">
        <v>26</v>
      </c>
      <c r="E87" s="12" t="s">
        <v>14</v>
      </c>
      <c r="F87" s="12">
        <v>49</v>
      </c>
      <c r="G87" s="12">
        <v>26</v>
      </c>
      <c r="H87" s="12">
        <v>0.54</v>
      </c>
      <c r="I87" s="12" t="s">
        <v>15</v>
      </c>
      <c r="J87" s="12">
        <v>12</v>
      </c>
      <c r="K87" s="12">
        <v>0</v>
      </c>
      <c r="L87" s="12">
        <v>0</v>
      </c>
      <c r="M87" s="12">
        <v>0</v>
      </c>
      <c r="N87" s="12">
        <v>0</v>
      </c>
      <c r="O87" s="12" t="str">
        <f t="shared" si="1"/>
        <v>10 - 19</v>
      </c>
    </row>
    <row r="88" spans="1:15" x14ac:dyDescent="0.35">
      <c r="A88" s="11">
        <v>326</v>
      </c>
      <c r="B88" s="11" t="s">
        <v>16</v>
      </c>
      <c r="C88" s="11">
        <v>39</v>
      </c>
      <c r="D88" s="11" t="s">
        <v>17</v>
      </c>
      <c r="E88" s="11" t="s">
        <v>14</v>
      </c>
      <c r="F88" s="11">
        <v>295</v>
      </c>
      <c r="G88" s="11">
        <v>20</v>
      </c>
      <c r="H88" s="11">
        <v>0.09</v>
      </c>
      <c r="I88" s="11" t="s">
        <v>23</v>
      </c>
      <c r="J88" s="11">
        <v>21</v>
      </c>
      <c r="K88" s="11">
        <v>0</v>
      </c>
      <c r="L88" s="11">
        <v>1</v>
      </c>
      <c r="M88" s="11">
        <v>0</v>
      </c>
      <c r="N88" s="11">
        <v>0</v>
      </c>
      <c r="O88" s="12" t="str">
        <f t="shared" si="1"/>
        <v>20 - 29</v>
      </c>
    </row>
    <row r="89" spans="1:15" x14ac:dyDescent="0.35">
      <c r="A89" s="12">
        <v>328</v>
      </c>
      <c r="B89" s="12" t="s">
        <v>16</v>
      </c>
      <c r="C89" s="12">
        <v>34</v>
      </c>
      <c r="D89" s="12" t="s">
        <v>26</v>
      </c>
      <c r="E89" s="12" t="s">
        <v>14</v>
      </c>
      <c r="F89" s="12">
        <v>203</v>
      </c>
      <c r="G89" s="12">
        <v>10</v>
      </c>
      <c r="H89" s="12">
        <v>0.1</v>
      </c>
      <c r="I89" s="12" t="s">
        <v>15</v>
      </c>
      <c r="J89" s="12">
        <v>42</v>
      </c>
      <c r="K89" s="12">
        <v>0</v>
      </c>
      <c r="L89" s="12">
        <v>0</v>
      </c>
      <c r="M89" s="12">
        <v>0</v>
      </c>
      <c r="N89" s="12">
        <v>0</v>
      </c>
      <c r="O89" s="12" t="str">
        <f t="shared" si="1"/>
        <v>40 - 49</v>
      </c>
    </row>
    <row r="90" spans="1:15" x14ac:dyDescent="0.35">
      <c r="A90" s="11">
        <v>335</v>
      </c>
      <c r="B90" s="11" t="s">
        <v>12</v>
      </c>
      <c r="C90" s="11">
        <v>38</v>
      </c>
      <c r="D90" s="11" t="s">
        <v>13</v>
      </c>
      <c r="E90" s="11" t="s">
        <v>14</v>
      </c>
      <c r="F90" s="11">
        <v>89</v>
      </c>
      <c r="G90" s="11">
        <v>59</v>
      </c>
      <c r="H90" s="11">
        <v>0.15</v>
      </c>
      <c r="I90" s="11" t="s">
        <v>23</v>
      </c>
      <c r="J90" s="11">
        <v>21</v>
      </c>
      <c r="K90" s="11">
        <v>0</v>
      </c>
      <c r="L90" s="11">
        <v>0</v>
      </c>
      <c r="M90" s="11">
        <v>0</v>
      </c>
      <c r="N90" s="11">
        <v>0</v>
      </c>
      <c r="O90" s="12" t="str">
        <f t="shared" si="1"/>
        <v>20 - 29</v>
      </c>
    </row>
    <row r="91" spans="1:15" x14ac:dyDescent="0.35">
      <c r="A91" s="12">
        <v>350</v>
      </c>
      <c r="B91" s="12" t="s">
        <v>16</v>
      </c>
      <c r="C91" s="12">
        <v>44</v>
      </c>
      <c r="D91" s="12" t="s">
        <v>21</v>
      </c>
      <c r="E91" s="12" t="s">
        <v>14</v>
      </c>
      <c r="F91" s="12">
        <v>49</v>
      </c>
      <c r="G91" s="12">
        <v>43</v>
      </c>
      <c r="H91" s="12">
        <v>0.25</v>
      </c>
      <c r="I91" s="12" t="s">
        <v>15</v>
      </c>
      <c r="J91" s="12">
        <v>5</v>
      </c>
      <c r="K91" s="12">
        <v>0</v>
      </c>
      <c r="L91" s="12">
        <v>0</v>
      </c>
      <c r="M91" s="12">
        <v>0</v>
      </c>
      <c r="N91" s="12">
        <v>0</v>
      </c>
      <c r="O91" s="12" t="str">
        <f t="shared" si="1"/>
        <v>0 - 9</v>
      </c>
    </row>
    <row r="92" spans="1:15" x14ac:dyDescent="0.35">
      <c r="A92" s="11">
        <v>351</v>
      </c>
      <c r="B92" s="11" t="s">
        <v>12</v>
      </c>
      <c r="C92" s="11">
        <v>55</v>
      </c>
      <c r="D92" s="11" t="s">
        <v>29</v>
      </c>
      <c r="E92" s="11" t="s">
        <v>14</v>
      </c>
      <c r="F92" s="11">
        <v>62</v>
      </c>
      <c r="G92" s="11">
        <v>57</v>
      </c>
      <c r="H92" s="11">
        <v>0.57999999999999996</v>
      </c>
      <c r="I92" s="11" t="s">
        <v>19</v>
      </c>
      <c r="J92" s="11">
        <v>7</v>
      </c>
      <c r="K92" s="11">
        <v>0</v>
      </c>
      <c r="L92" s="11">
        <v>0</v>
      </c>
      <c r="M92" s="11">
        <v>0</v>
      </c>
      <c r="N92" s="11">
        <v>0</v>
      </c>
      <c r="O92" s="12" t="str">
        <f t="shared" si="1"/>
        <v>0 - 9</v>
      </c>
    </row>
    <row r="93" spans="1:15" x14ac:dyDescent="0.35">
      <c r="A93" s="12">
        <v>354</v>
      </c>
      <c r="B93" s="12" t="s">
        <v>20</v>
      </c>
      <c r="C93" s="12">
        <v>50</v>
      </c>
      <c r="D93" s="12" t="s">
        <v>13</v>
      </c>
      <c r="E93" s="12" t="s">
        <v>14</v>
      </c>
      <c r="F93" s="12">
        <v>107</v>
      </c>
      <c r="G93" s="12">
        <v>7</v>
      </c>
      <c r="H93" s="12">
        <v>0.42</v>
      </c>
      <c r="I93" s="12" t="s">
        <v>15</v>
      </c>
      <c r="J93" s="12">
        <v>27</v>
      </c>
      <c r="K93" s="12">
        <v>0</v>
      </c>
      <c r="L93" s="12">
        <v>1</v>
      </c>
      <c r="M93" s="12">
        <v>0</v>
      </c>
      <c r="N93" s="12">
        <v>0</v>
      </c>
      <c r="O93" s="12" t="str">
        <f t="shared" si="1"/>
        <v>20 - 29</v>
      </c>
    </row>
    <row r="94" spans="1:15" x14ac:dyDescent="0.35">
      <c r="A94" s="11">
        <v>355</v>
      </c>
      <c r="B94" s="11" t="s">
        <v>16</v>
      </c>
      <c r="C94" s="11">
        <v>32</v>
      </c>
      <c r="D94" s="11" t="s">
        <v>28</v>
      </c>
      <c r="E94" s="11" t="s">
        <v>14</v>
      </c>
      <c r="F94" s="11">
        <v>202</v>
      </c>
      <c r="G94" s="11">
        <v>29</v>
      </c>
      <c r="H94" s="11">
        <v>0.14000000000000001</v>
      </c>
      <c r="I94" s="11" t="s">
        <v>19</v>
      </c>
      <c r="J94" s="11">
        <v>41</v>
      </c>
      <c r="K94" s="11">
        <v>0</v>
      </c>
      <c r="L94" s="11">
        <v>0</v>
      </c>
      <c r="M94" s="11">
        <v>0</v>
      </c>
      <c r="N94" s="11">
        <v>0</v>
      </c>
      <c r="O94" s="12" t="str">
        <f t="shared" si="1"/>
        <v>40 - 49</v>
      </c>
    </row>
    <row r="95" spans="1:15" x14ac:dyDescent="0.35">
      <c r="A95" s="12">
        <v>357</v>
      </c>
      <c r="B95" s="12" t="s">
        <v>12</v>
      </c>
      <c r="C95" s="12">
        <v>26</v>
      </c>
      <c r="D95" s="12" t="s">
        <v>28</v>
      </c>
      <c r="E95" s="12" t="s">
        <v>14</v>
      </c>
      <c r="F95" s="12">
        <v>73</v>
      </c>
      <c r="G95" s="12">
        <v>27</v>
      </c>
      <c r="H95" s="12">
        <v>0.19</v>
      </c>
      <c r="I95" s="12" t="s">
        <v>19</v>
      </c>
      <c r="J95" s="12">
        <v>26</v>
      </c>
      <c r="K95" s="12">
        <v>0</v>
      </c>
      <c r="L95" s="12">
        <v>1</v>
      </c>
      <c r="M95" s="12">
        <v>0</v>
      </c>
      <c r="N95" s="12">
        <v>0</v>
      </c>
      <c r="O95" s="12" t="str">
        <f t="shared" si="1"/>
        <v>20 - 29</v>
      </c>
    </row>
    <row r="96" spans="1:15" x14ac:dyDescent="0.35">
      <c r="A96" s="11">
        <v>359</v>
      </c>
      <c r="B96" s="11" t="s">
        <v>16</v>
      </c>
      <c r="C96" s="11">
        <v>19</v>
      </c>
      <c r="D96" s="11" t="s">
        <v>26</v>
      </c>
      <c r="E96" s="11" t="s">
        <v>14</v>
      </c>
      <c r="F96" s="11">
        <v>164</v>
      </c>
      <c r="G96" s="11">
        <v>21</v>
      </c>
      <c r="H96" s="11">
        <v>0.53</v>
      </c>
      <c r="I96" s="11" t="s">
        <v>15</v>
      </c>
      <c r="J96" s="11">
        <v>8</v>
      </c>
      <c r="K96" s="11">
        <v>0</v>
      </c>
      <c r="L96" s="11">
        <v>0</v>
      </c>
      <c r="M96" s="11">
        <v>0</v>
      </c>
      <c r="N96" s="11">
        <v>0</v>
      </c>
      <c r="O96" s="12" t="str">
        <f t="shared" si="1"/>
        <v>0 - 9</v>
      </c>
    </row>
    <row r="97" spans="1:15" x14ac:dyDescent="0.35">
      <c r="A97" s="12">
        <v>361</v>
      </c>
      <c r="B97" s="12" t="s">
        <v>20</v>
      </c>
      <c r="C97" s="12">
        <v>56</v>
      </c>
      <c r="D97" s="12" t="s">
        <v>27</v>
      </c>
      <c r="E97" s="12" t="s">
        <v>14</v>
      </c>
      <c r="F97" s="12">
        <v>164</v>
      </c>
      <c r="G97" s="12">
        <v>66</v>
      </c>
      <c r="H97" s="12">
        <v>0.3</v>
      </c>
      <c r="I97" s="12" t="s">
        <v>15</v>
      </c>
      <c r="J97" s="12">
        <v>34</v>
      </c>
      <c r="K97" s="12">
        <v>0</v>
      </c>
      <c r="L97" s="12">
        <v>0</v>
      </c>
      <c r="M97" s="12">
        <v>0</v>
      </c>
      <c r="N97" s="12">
        <v>0</v>
      </c>
      <c r="O97" s="12" t="str">
        <f t="shared" si="1"/>
        <v>30 - 39</v>
      </c>
    </row>
    <row r="98" spans="1:15" x14ac:dyDescent="0.35">
      <c r="A98" s="11">
        <v>362</v>
      </c>
      <c r="B98" s="11" t="s">
        <v>16</v>
      </c>
      <c r="C98" s="11">
        <v>39</v>
      </c>
      <c r="D98" s="11" t="s">
        <v>29</v>
      </c>
      <c r="E98" s="11" t="s">
        <v>14</v>
      </c>
      <c r="F98" s="11">
        <v>232</v>
      </c>
      <c r="G98" s="11">
        <v>2</v>
      </c>
      <c r="H98" s="11">
        <v>0.14000000000000001</v>
      </c>
      <c r="I98" s="11" t="s">
        <v>23</v>
      </c>
      <c r="J98" s="11">
        <v>27</v>
      </c>
      <c r="K98" s="11">
        <v>0</v>
      </c>
      <c r="L98" s="11">
        <v>0</v>
      </c>
      <c r="M98" s="11">
        <v>0</v>
      </c>
      <c r="N98" s="11">
        <v>0</v>
      </c>
      <c r="O98" s="12" t="str">
        <f t="shared" si="1"/>
        <v>20 - 29</v>
      </c>
    </row>
    <row r="99" spans="1:15" x14ac:dyDescent="0.35">
      <c r="A99" s="12">
        <v>365</v>
      </c>
      <c r="B99" s="12" t="s">
        <v>20</v>
      </c>
      <c r="C99" s="12">
        <v>43</v>
      </c>
      <c r="D99" s="12" t="s">
        <v>13</v>
      </c>
      <c r="E99" s="12" t="s">
        <v>14</v>
      </c>
      <c r="F99" s="12">
        <v>265</v>
      </c>
      <c r="G99" s="12">
        <v>89</v>
      </c>
      <c r="H99" s="12">
        <v>0.56000000000000005</v>
      </c>
      <c r="I99" s="12" t="s">
        <v>15</v>
      </c>
      <c r="J99" s="12">
        <v>28</v>
      </c>
      <c r="K99" s="12">
        <v>0</v>
      </c>
      <c r="L99" s="12">
        <v>0</v>
      </c>
      <c r="M99" s="12">
        <v>0</v>
      </c>
      <c r="N99" s="12">
        <v>0</v>
      </c>
      <c r="O99" s="12" t="str">
        <f t="shared" si="1"/>
        <v>20 - 29</v>
      </c>
    </row>
    <row r="100" spans="1:15" x14ac:dyDescent="0.35">
      <c r="A100" s="11">
        <v>368</v>
      </c>
      <c r="B100" s="11" t="s">
        <v>16</v>
      </c>
      <c r="C100" s="11">
        <v>16</v>
      </c>
      <c r="D100" s="11" t="s">
        <v>27</v>
      </c>
      <c r="E100" s="11" t="s">
        <v>14</v>
      </c>
      <c r="F100" s="11">
        <v>269</v>
      </c>
      <c r="G100" s="11">
        <v>13</v>
      </c>
      <c r="H100" s="11">
        <v>0.54</v>
      </c>
      <c r="I100" s="11" t="s">
        <v>15</v>
      </c>
      <c r="J100" s="11">
        <v>40</v>
      </c>
      <c r="K100" s="11">
        <v>0</v>
      </c>
      <c r="L100" s="11">
        <v>0</v>
      </c>
      <c r="M100" s="11">
        <v>0</v>
      </c>
      <c r="N100" s="11">
        <v>0</v>
      </c>
      <c r="O100" s="12" t="str">
        <f t="shared" si="1"/>
        <v>40 - 49</v>
      </c>
    </row>
    <row r="101" spans="1:15" x14ac:dyDescent="0.35">
      <c r="A101" s="12">
        <v>370</v>
      </c>
      <c r="B101" s="12" t="s">
        <v>12</v>
      </c>
      <c r="C101" s="12">
        <v>42</v>
      </c>
      <c r="D101" s="12" t="s">
        <v>29</v>
      </c>
      <c r="E101" s="12" t="s">
        <v>14</v>
      </c>
      <c r="F101" s="12">
        <v>51</v>
      </c>
      <c r="G101" s="12">
        <v>60</v>
      </c>
      <c r="H101" s="12">
        <v>0.22</v>
      </c>
      <c r="I101" s="12" t="s">
        <v>15</v>
      </c>
      <c r="J101" s="12">
        <v>17</v>
      </c>
      <c r="K101" s="12">
        <v>0</v>
      </c>
      <c r="L101" s="12">
        <v>0</v>
      </c>
      <c r="M101" s="12">
        <v>0</v>
      </c>
      <c r="N101" s="12">
        <v>0</v>
      </c>
      <c r="O101" s="12" t="str">
        <f t="shared" si="1"/>
        <v>10 - 19</v>
      </c>
    </row>
    <row r="102" spans="1:15" x14ac:dyDescent="0.35">
      <c r="A102" s="11">
        <v>373</v>
      </c>
      <c r="B102" s="11" t="s">
        <v>16</v>
      </c>
      <c r="C102" s="11">
        <v>54</v>
      </c>
      <c r="D102" s="11" t="s">
        <v>27</v>
      </c>
      <c r="E102" s="11" t="s">
        <v>14</v>
      </c>
      <c r="F102" s="11">
        <v>102</v>
      </c>
      <c r="G102" s="11">
        <v>35</v>
      </c>
      <c r="H102" s="11">
        <v>0.06</v>
      </c>
      <c r="I102" s="11" t="s">
        <v>23</v>
      </c>
      <c r="J102" s="11">
        <v>40</v>
      </c>
      <c r="K102" s="11">
        <v>0</v>
      </c>
      <c r="L102" s="11">
        <v>0</v>
      </c>
      <c r="M102" s="11">
        <v>0</v>
      </c>
      <c r="N102" s="11">
        <v>0</v>
      </c>
      <c r="O102" s="12" t="str">
        <f t="shared" si="1"/>
        <v>40 - 49</v>
      </c>
    </row>
    <row r="103" spans="1:15" x14ac:dyDescent="0.35">
      <c r="A103" s="12">
        <v>374</v>
      </c>
      <c r="B103" s="12" t="s">
        <v>20</v>
      </c>
      <c r="C103" s="12">
        <v>44</v>
      </c>
      <c r="D103" s="12" t="s">
        <v>29</v>
      </c>
      <c r="E103" s="12" t="s">
        <v>14</v>
      </c>
      <c r="F103" s="12">
        <v>84</v>
      </c>
      <c r="G103" s="12">
        <v>64</v>
      </c>
      <c r="H103" s="12">
        <v>0.56999999999999995</v>
      </c>
      <c r="I103" s="12" t="s">
        <v>19</v>
      </c>
      <c r="J103" s="12">
        <v>23</v>
      </c>
      <c r="K103" s="12">
        <v>0</v>
      </c>
      <c r="L103" s="12">
        <v>1</v>
      </c>
      <c r="M103" s="12">
        <v>0</v>
      </c>
      <c r="N103" s="12">
        <v>0</v>
      </c>
      <c r="O103" s="12" t="str">
        <f t="shared" si="1"/>
        <v>20 - 29</v>
      </c>
    </row>
    <row r="104" spans="1:15" x14ac:dyDescent="0.35">
      <c r="A104" s="11">
        <v>375</v>
      </c>
      <c r="B104" s="11" t="s">
        <v>12</v>
      </c>
      <c r="C104" s="11">
        <v>21</v>
      </c>
      <c r="D104" s="11" t="s">
        <v>28</v>
      </c>
      <c r="E104" s="11" t="s">
        <v>14</v>
      </c>
      <c r="F104" s="11">
        <v>289</v>
      </c>
      <c r="G104" s="11">
        <v>92</v>
      </c>
      <c r="H104" s="11">
        <v>0.2</v>
      </c>
      <c r="I104" s="11" t="s">
        <v>23</v>
      </c>
      <c r="J104" s="11">
        <v>27</v>
      </c>
      <c r="K104" s="11">
        <v>0</v>
      </c>
      <c r="L104" s="11">
        <v>1</v>
      </c>
      <c r="M104" s="11">
        <v>0</v>
      </c>
      <c r="N104" s="11">
        <v>0</v>
      </c>
      <c r="O104" s="12" t="str">
        <f t="shared" si="1"/>
        <v>20 - 29</v>
      </c>
    </row>
    <row r="105" spans="1:15" x14ac:dyDescent="0.35">
      <c r="A105" s="12">
        <v>379</v>
      </c>
      <c r="B105" s="12" t="s">
        <v>16</v>
      </c>
      <c r="C105" s="12">
        <v>39</v>
      </c>
      <c r="D105" s="12" t="s">
        <v>25</v>
      </c>
      <c r="E105" s="12" t="s">
        <v>14</v>
      </c>
      <c r="F105" s="12">
        <v>163</v>
      </c>
      <c r="G105" s="12">
        <v>2</v>
      </c>
      <c r="H105" s="12">
        <v>0.03</v>
      </c>
      <c r="I105" s="12" t="s">
        <v>19</v>
      </c>
      <c r="J105" s="12">
        <v>38</v>
      </c>
      <c r="K105" s="12">
        <v>0</v>
      </c>
      <c r="L105" s="12">
        <v>1</v>
      </c>
      <c r="M105" s="12">
        <v>0</v>
      </c>
      <c r="N105" s="12">
        <v>0</v>
      </c>
      <c r="O105" s="12" t="str">
        <f t="shared" si="1"/>
        <v>30 - 39</v>
      </c>
    </row>
    <row r="106" spans="1:15" x14ac:dyDescent="0.35">
      <c r="A106" s="11">
        <v>387</v>
      </c>
      <c r="B106" s="11" t="s">
        <v>20</v>
      </c>
      <c r="C106" s="11">
        <v>32</v>
      </c>
      <c r="D106" s="11" t="s">
        <v>28</v>
      </c>
      <c r="E106" s="11" t="s">
        <v>14</v>
      </c>
      <c r="F106" s="11">
        <v>51</v>
      </c>
      <c r="G106" s="11">
        <v>70</v>
      </c>
      <c r="H106" s="11">
        <v>0.38</v>
      </c>
      <c r="I106" s="11" t="s">
        <v>19</v>
      </c>
      <c r="J106" s="11">
        <v>19</v>
      </c>
      <c r="K106" s="11">
        <v>0</v>
      </c>
      <c r="L106" s="11">
        <v>0</v>
      </c>
      <c r="M106" s="11">
        <v>0</v>
      </c>
      <c r="N106" s="11">
        <v>0</v>
      </c>
      <c r="O106" s="12" t="str">
        <f t="shared" si="1"/>
        <v>10 - 19</v>
      </c>
    </row>
    <row r="107" spans="1:15" x14ac:dyDescent="0.35">
      <c r="A107" s="12">
        <v>388</v>
      </c>
      <c r="B107" s="12" t="s">
        <v>16</v>
      </c>
      <c r="C107" s="12">
        <v>26</v>
      </c>
      <c r="D107" s="12" t="s">
        <v>28</v>
      </c>
      <c r="E107" s="12" t="s">
        <v>14</v>
      </c>
      <c r="F107" s="12">
        <v>146</v>
      </c>
      <c r="G107" s="12">
        <v>4</v>
      </c>
      <c r="H107" s="12">
        <v>0.59</v>
      </c>
      <c r="I107" s="12" t="s">
        <v>23</v>
      </c>
      <c r="J107" s="12">
        <v>16</v>
      </c>
      <c r="K107" s="12">
        <v>0</v>
      </c>
      <c r="L107" s="12">
        <v>0</v>
      </c>
      <c r="M107" s="12">
        <v>0</v>
      </c>
      <c r="N107" s="12">
        <v>0</v>
      </c>
      <c r="O107" s="12" t="str">
        <f t="shared" si="1"/>
        <v>10 - 19</v>
      </c>
    </row>
    <row r="108" spans="1:15" x14ac:dyDescent="0.35">
      <c r="A108" s="11">
        <v>389</v>
      </c>
      <c r="B108" s="11" t="s">
        <v>12</v>
      </c>
      <c r="C108" s="11">
        <v>48</v>
      </c>
      <c r="D108" s="11" t="s">
        <v>26</v>
      </c>
      <c r="E108" s="11" t="s">
        <v>14</v>
      </c>
      <c r="F108" s="11">
        <v>210</v>
      </c>
      <c r="G108" s="11">
        <v>60</v>
      </c>
      <c r="H108" s="11">
        <v>0.05</v>
      </c>
      <c r="I108" s="11" t="s">
        <v>15</v>
      </c>
      <c r="J108" s="11">
        <v>42</v>
      </c>
      <c r="K108" s="11">
        <v>0</v>
      </c>
      <c r="L108" s="11">
        <v>1</v>
      </c>
      <c r="M108" s="11">
        <v>0</v>
      </c>
      <c r="N108" s="11">
        <v>0</v>
      </c>
      <c r="O108" s="12" t="str">
        <f t="shared" si="1"/>
        <v>40 - 49</v>
      </c>
    </row>
    <row r="109" spans="1:15" x14ac:dyDescent="0.35">
      <c r="A109" s="12">
        <v>393</v>
      </c>
      <c r="B109" s="12" t="s">
        <v>12</v>
      </c>
      <c r="C109" s="12">
        <v>53</v>
      </c>
      <c r="D109" s="12" t="s">
        <v>29</v>
      </c>
      <c r="E109" s="12" t="s">
        <v>14</v>
      </c>
      <c r="F109" s="12">
        <v>49</v>
      </c>
      <c r="G109" s="12">
        <v>74</v>
      </c>
      <c r="H109" s="12">
        <v>0.47</v>
      </c>
      <c r="I109" s="12" t="s">
        <v>23</v>
      </c>
      <c r="J109" s="12">
        <v>19</v>
      </c>
      <c r="K109" s="12">
        <v>0</v>
      </c>
      <c r="L109" s="12">
        <v>0</v>
      </c>
      <c r="M109" s="12">
        <v>0</v>
      </c>
      <c r="N109" s="12">
        <v>0</v>
      </c>
      <c r="O109" s="12" t="str">
        <f t="shared" si="1"/>
        <v>10 - 19</v>
      </c>
    </row>
    <row r="110" spans="1:15" x14ac:dyDescent="0.35">
      <c r="A110" s="11">
        <v>396</v>
      </c>
      <c r="B110" s="11" t="s">
        <v>16</v>
      </c>
      <c r="C110" s="11">
        <v>24</v>
      </c>
      <c r="D110" s="11" t="s">
        <v>25</v>
      </c>
      <c r="E110" s="11" t="s">
        <v>14</v>
      </c>
      <c r="F110" s="11">
        <v>203</v>
      </c>
      <c r="G110" s="11">
        <v>75</v>
      </c>
      <c r="H110" s="11">
        <v>0.26</v>
      </c>
      <c r="I110" s="11" t="s">
        <v>15</v>
      </c>
      <c r="J110" s="11">
        <v>27</v>
      </c>
      <c r="K110" s="11">
        <v>0</v>
      </c>
      <c r="L110" s="11">
        <v>0</v>
      </c>
      <c r="M110" s="11">
        <v>0</v>
      </c>
      <c r="N110" s="11">
        <v>0</v>
      </c>
      <c r="O110" s="12" t="str">
        <f t="shared" si="1"/>
        <v>20 - 29</v>
      </c>
    </row>
    <row r="111" spans="1:15" x14ac:dyDescent="0.35">
      <c r="A111" s="12">
        <v>404</v>
      </c>
      <c r="B111" s="12" t="s">
        <v>12</v>
      </c>
      <c r="C111" s="12">
        <v>37</v>
      </c>
      <c r="D111" s="12" t="s">
        <v>13</v>
      </c>
      <c r="E111" s="12" t="s">
        <v>14</v>
      </c>
      <c r="F111" s="12">
        <v>152</v>
      </c>
      <c r="G111" s="12">
        <v>87</v>
      </c>
      <c r="H111" s="12">
        <v>0.56999999999999995</v>
      </c>
      <c r="I111" s="12" t="s">
        <v>15</v>
      </c>
      <c r="J111" s="12">
        <v>23</v>
      </c>
      <c r="K111" s="12">
        <v>0</v>
      </c>
      <c r="L111" s="12">
        <v>0</v>
      </c>
      <c r="M111" s="12">
        <v>0</v>
      </c>
      <c r="N111" s="12">
        <v>0</v>
      </c>
      <c r="O111" s="12" t="str">
        <f t="shared" si="1"/>
        <v>20 - 29</v>
      </c>
    </row>
    <row r="112" spans="1:15" x14ac:dyDescent="0.35">
      <c r="A112" s="11">
        <v>409</v>
      </c>
      <c r="B112" s="11" t="s">
        <v>20</v>
      </c>
      <c r="C112" s="11">
        <v>23</v>
      </c>
      <c r="D112" s="11" t="s">
        <v>21</v>
      </c>
      <c r="E112" s="11" t="s">
        <v>14</v>
      </c>
      <c r="F112" s="11">
        <v>256</v>
      </c>
      <c r="G112" s="11">
        <v>83</v>
      </c>
      <c r="H112" s="11">
        <v>0.17</v>
      </c>
      <c r="I112" s="11" t="s">
        <v>23</v>
      </c>
      <c r="J112" s="11">
        <v>29</v>
      </c>
      <c r="K112" s="11">
        <v>0</v>
      </c>
      <c r="L112" s="11">
        <v>0</v>
      </c>
      <c r="M112" s="11">
        <v>0</v>
      </c>
      <c r="N112" s="11">
        <v>0</v>
      </c>
      <c r="O112" s="12" t="str">
        <f t="shared" si="1"/>
        <v>20 - 29</v>
      </c>
    </row>
    <row r="113" spans="1:15" x14ac:dyDescent="0.35">
      <c r="A113" s="12">
        <v>410</v>
      </c>
      <c r="B113" s="12" t="s">
        <v>12</v>
      </c>
      <c r="C113" s="12">
        <v>30</v>
      </c>
      <c r="D113" s="12" t="s">
        <v>13</v>
      </c>
      <c r="E113" s="12" t="s">
        <v>14</v>
      </c>
      <c r="F113" s="12">
        <v>84</v>
      </c>
      <c r="G113" s="12">
        <v>22</v>
      </c>
      <c r="H113" s="12">
        <v>0.25</v>
      </c>
      <c r="I113" s="12" t="s">
        <v>23</v>
      </c>
      <c r="J113" s="12">
        <v>5</v>
      </c>
      <c r="K113" s="12">
        <v>0</v>
      </c>
      <c r="L113" s="12">
        <v>0</v>
      </c>
      <c r="M113" s="12">
        <v>0</v>
      </c>
      <c r="N113" s="12">
        <v>0</v>
      </c>
      <c r="O113" s="12" t="str">
        <f t="shared" si="1"/>
        <v>0 - 9</v>
      </c>
    </row>
    <row r="114" spans="1:15" x14ac:dyDescent="0.35">
      <c r="A114" s="11">
        <v>412</v>
      </c>
      <c r="B114" s="11" t="s">
        <v>12</v>
      </c>
      <c r="C114" s="11">
        <v>29</v>
      </c>
      <c r="D114" s="11" t="s">
        <v>21</v>
      </c>
      <c r="E114" s="11" t="s">
        <v>14</v>
      </c>
      <c r="F114" s="11">
        <v>107</v>
      </c>
      <c r="G114" s="11">
        <v>23</v>
      </c>
      <c r="H114" s="11">
        <v>0.52</v>
      </c>
      <c r="I114" s="11" t="s">
        <v>19</v>
      </c>
      <c r="J114" s="11">
        <v>17</v>
      </c>
      <c r="K114" s="11">
        <v>0</v>
      </c>
      <c r="L114" s="11">
        <v>1</v>
      </c>
      <c r="M114" s="11">
        <v>0</v>
      </c>
      <c r="N114" s="11">
        <v>0</v>
      </c>
      <c r="O114" s="12" t="str">
        <f t="shared" si="1"/>
        <v>10 - 19</v>
      </c>
    </row>
    <row r="115" spans="1:15" x14ac:dyDescent="0.35">
      <c r="A115" s="12">
        <v>413</v>
      </c>
      <c r="B115" s="12" t="s">
        <v>16</v>
      </c>
      <c r="C115" s="12">
        <v>19</v>
      </c>
      <c r="D115" s="12" t="s">
        <v>25</v>
      </c>
      <c r="E115" s="12" t="s">
        <v>14</v>
      </c>
      <c r="F115" s="12">
        <v>289</v>
      </c>
      <c r="G115" s="12">
        <v>61</v>
      </c>
      <c r="H115" s="12">
        <v>0.31</v>
      </c>
      <c r="I115" s="12" t="s">
        <v>15</v>
      </c>
      <c r="J115" s="12">
        <v>18</v>
      </c>
      <c r="K115" s="12">
        <v>0</v>
      </c>
      <c r="L115" s="12">
        <v>0</v>
      </c>
      <c r="M115" s="12">
        <v>0</v>
      </c>
      <c r="N115" s="12">
        <v>0</v>
      </c>
      <c r="O115" s="12" t="str">
        <f t="shared" si="1"/>
        <v>10 - 19</v>
      </c>
    </row>
    <row r="116" spans="1:15" x14ac:dyDescent="0.35">
      <c r="A116" s="11">
        <v>416</v>
      </c>
      <c r="B116" s="11" t="s">
        <v>16</v>
      </c>
      <c r="C116" s="11">
        <v>16</v>
      </c>
      <c r="D116" s="11" t="s">
        <v>26</v>
      </c>
      <c r="E116" s="11" t="s">
        <v>14</v>
      </c>
      <c r="F116" s="11">
        <v>97</v>
      </c>
      <c r="G116" s="11">
        <v>86</v>
      </c>
      <c r="H116" s="11">
        <v>0.15</v>
      </c>
      <c r="I116" s="11" t="s">
        <v>15</v>
      </c>
      <c r="J116" s="11">
        <v>26</v>
      </c>
      <c r="K116" s="11">
        <v>0</v>
      </c>
      <c r="L116" s="11">
        <v>0</v>
      </c>
      <c r="M116" s="11">
        <v>0</v>
      </c>
      <c r="N116" s="11">
        <v>0</v>
      </c>
      <c r="O116" s="12" t="str">
        <f t="shared" si="1"/>
        <v>20 - 29</v>
      </c>
    </row>
    <row r="117" spans="1:15" x14ac:dyDescent="0.35">
      <c r="A117" s="12">
        <v>421</v>
      </c>
      <c r="B117" s="12" t="s">
        <v>20</v>
      </c>
      <c r="C117" s="12">
        <v>30</v>
      </c>
      <c r="D117" s="12" t="s">
        <v>21</v>
      </c>
      <c r="E117" s="12" t="s">
        <v>14</v>
      </c>
      <c r="F117" s="12">
        <v>251</v>
      </c>
      <c r="G117" s="12">
        <v>59</v>
      </c>
      <c r="H117" s="12">
        <v>0.11</v>
      </c>
      <c r="I117" s="12" t="s">
        <v>15</v>
      </c>
      <c r="J117" s="12">
        <v>28</v>
      </c>
      <c r="K117" s="12">
        <v>0</v>
      </c>
      <c r="L117" s="12">
        <v>0</v>
      </c>
      <c r="M117" s="12">
        <v>0</v>
      </c>
      <c r="N117" s="12">
        <v>0</v>
      </c>
      <c r="O117" s="12" t="str">
        <f t="shared" si="1"/>
        <v>20 - 29</v>
      </c>
    </row>
    <row r="118" spans="1:15" x14ac:dyDescent="0.35">
      <c r="A118" s="11">
        <v>424</v>
      </c>
      <c r="B118" s="11" t="s">
        <v>12</v>
      </c>
      <c r="C118" s="11">
        <v>58</v>
      </c>
      <c r="D118" s="11" t="s">
        <v>28</v>
      </c>
      <c r="E118" s="11" t="s">
        <v>14</v>
      </c>
      <c r="F118" s="11">
        <v>93</v>
      </c>
      <c r="G118" s="11">
        <v>50</v>
      </c>
      <c r="H118" s="11">
        <v>0.18</v>
      </c>
      <c r="I118" s="11" t="s">
        <v>23</v>
      </c>
      <c r="J118" s="11">
        <v>39</v>
      </c>
      <c r="K118" s="11">
        <v>0</v>
      </c>
      <c r="L118" s="11">
        <v>0</v>
      </c>
      <c r="M118" s="11">
        <v>0</v>
      </c>
      <c r="N118" s="11">
        <v>0</v>
      </c>
      <c r="O118" s="12" t="str">
        <f t="shared" si="1"/>
        <v>30 - 39</v>
      </c>
    </row>
    <row r="119" spans="1:15" x14ac:dyDescent="0.35">
      <c r="A119" s="12">
        <v>430</v>
      </c>
      <c r="B119" s="12" t="s">
        <v>16</v>
      </c>
      <c r="C119" s="12">
        <v>25</v>
      </c>
      <c r="D119" s="12" t="s">
        <v>13</v>
      </c>
      <c r="E119" s="12" t="s">
        <v>14</v>
      </c>
      <c r="F119" s="12">
        <v>274</v>
      </c>
      <c r="G119" s="12">
        <v>57</v>
      </c>
      <c r="H119" s="12">
        <v>0.05</v>
      </c>
      <c r="I119" s="12" t="s">
        <v>19</v>
      </c>
      <c r="J119" s="12">
        <v>38</v>
      </c>
      <c r="K119" s="12">
        <v>0</v>
      </c>
      <c r="L119" s="12">
        <v>0</v>
      </c>
      <c r="M119" s="12">
        <v>0</v>
      </c>
      <c r="N119" s="12">
        <v>0</v>
      </c>
      <c r="O119" s="12" t="str">
        <f t="shared" si="1"/>
        <v>30 - 39</v>
      </c>
    </row>
    <row r="120" spans="1:15" x14ac:dyDescent="0.35">
      <c r="A120" s="11">
        <v>436</v>
      </c>
      <c r="B120" s="11" t="s">
        <v>20</v>
      </c>
      <c r="C120" s="11">
        <v>41</v>
      </c>
      <c r="D120" s="11" t="s">
        <v>25</v>
      </c>
      <c r="E120" s="11" t="s">
        <v>14</v>
      </c>
      <c r="F120" s="11">
        <v>88</v>
      </c>
      <c r="G120" s="11">
        <v>34</v>
      </c>
      <c r="H120" s="11">
        <v>0.3</v>
      </c>
      <c r="I120" s="11" t="s">
        <v>19</v>
      </c>
      <c r="J120" s="11">
        <v>48</v>
      </c>
      <c r="K120" s="11">
        <v>0</v>
      </c>
      <c r="L120" s="11">
        <v>0</v>
      </c>
      <c r="M120" s="11">
        <v>0</v>
      </c>
      <c r="N120" s="11">
        <v>0</v>
      </c>
      <c r="O120" s="12" t="str">
        <f t="shared" si="1"/>
        <v>40 - 49</v>
      </c>
    </row>
    <row r="121" spans="1:15" x14ac:dyDescent="0.35">
      <c r="A121" s="12">
        <v>438</v>
      </c>
      <c r="B121" s="12" t="s">
        <v>20</v>
      </c>
      <c r="C121" s="12">
        <v>57</v>
      </c>
      <c r="D121" s="12" t="s">
        <v>27</v>
      </c>
      <c r="E121" s="12" t="s">
        <v>14</v>
      </c>
      <c r="F121" s="12">
        <v>214</v>
      </c>
      <c r="G121" s="12">
        <v>85</v>
      </c>
      <c r="H121" s="12">
        <v>0.57999999999999996</v>
      </c>
      <c r="I121" s="12" t="s">
        <v>15</v>
      </c>
      <c r="J121" s="12">
        <v>17</v>
      </c>
      <c r="K121" s="12">
        <v>0</v>
      </c>
      <c r="L121" s="12">
        <v>0</v>
      </c>
      <c r="M121" s="12">
        <v>0</v>
      </c>
      <c r="N121" s="12">
        <v>0</v>
      </c>
      <c r="O121" s="12" t="str">
        <f t="shared" si="1"/>
        <v>10 - 19</v>
      </c>
    </row>
    <row r="122" spans="1:15" x14ac:dyDescent="0.35">
      <c r="A122" s="11">
        <v>439</v>
      </c>
      <c r="B122" s="11" t="s">
        <v>16</v>
      </c>
      <c r="C122" s="11">
        <v>35</v>
      </c>
      <c r="D122" s="11" t="s">
        <v>17</v>
      </c>
      <c r="E122" s="11" t="s">
        <v>14</v>
      </c>
      <c r="F122" s="11">
        <v>172</v>
      </c>
      <c r="G122" s="11">
        <v>5</v>
      </c>
      <c r="H122" s="11">
        <v>0.05</v>
      </c>
      <c r="I122" s="11" t="s">
        <v>15</v>
      </c>
      <c r="J122" s="11">
        <v>27</v>
      </c>
      <c r="K122" s="11">
        <v>0</v>
      </c>
      <c r="L122" s="11">
        <v>0</v>
      </c>
      <c r="M122" s="11">
        <v>0</v>
      </c>
      <c r="N122" s="11">
        <v>0</v>
      </c>
      <c r="O122" s="12" t="str">
        <f t="shared" si="1"/>
        <v>20 - 29</v>
      </c>
    </row>
    <row r="123" spans="1:15" x14ac:dyDescent="0.35">
      <c r="A123" s="12">
        <v>442</v>
      </c>
      <c r="B123" s="12" t="s">
        <v>20</v>
      </c>
      <c r="C123" s="12">
        <v>48</v>
      </c>
      <c r="D123" s="12" t="s">
        <v>25</v>
      </c>
      <c r="E123" s="12" t="s">
        <v>14</v>
      </c>
      <c r="F123" s="12">
        <v>251</v>
      </c>
      <c r="G123" s="12">
        <v>28</v>
      </c>
      <c r="H123" s="12">
        <v>0.49</v>
      </c>
      <c r="I123" s="12" t="s">
        <v>19</v>
      </c>
      <c r="J123" s="12">
        <v>46</v>
      </c>
      <c r="K123" s="12">
        <v>0</v>
      </c>
      <c r="L123" s="12">
        <v>0</v>
      </c>
      <c r="M123" s="12">
        <v>0</v>
      </c>
      <c r="N123" s="12">
        <v>0</v>
      </c>
      <c r="O123" s="12" t="str">
        <f t="shared" si="1"/>
        <v>40 - 49</v>
      </c>
    </row>
    <row r="124" spans="1:15" x14ac:dyDescent="0.35">
      <c r="A124" s="11">
        <v>443</v>
      </c>
      <c r="B124" s="11" t="s">
        <v>16</v>
      </c>
      <c r="C124" s="11">
        <v>49</v>
      </c>
      <c r="D124" s="11" t="s">
        <v>26</v>
      </c>
      <c r="E124" s="11" t="s">
        <v>14</v>
      </c>
      <c r="F124" s="11">
        <v>191</v>
      </c>
      <c r="G124" s="11">
        <v>92</v>
      </c>
      <c r="H124" s="11">
        <v>0.49</v>
      </c>
      <c r="I124" s="11" t="s">
        <v>19</v>
      </c>
      <c r="J124" s="11">
        <v>29</v>
      </c>
      <c r="K124" s="11">
        <v>0</v>
      </c>
      <c r="L124" s="11">
        <v>0</v>
      </c>
      <c r="M124" s="11">
        <v>0</v>
      </c>
      <c r="N124" s="11">
        <v>0</v>
      </c>
      <c r="O124" s="12" t="str">
        <f t="shared" si="1"/>
        <v>20 - 29</v>
      </c>
    </row>
    <row r="125" spans="1:15" x14ac:dyDescent="0.35">
      <c r="A125" s="12">
        <v>449</v>
      </c>
      <c r="B125" s="12" t="s">
        <v>16</v>
      </c>
      <c r="C125" s="12">
        <v>37</v>
      </c>
      <c r="D125" s="12" t="s">
        <v>28</v>
      </c>
      <c r="E125" s="12" t="s">
        <v>14</v>
      </c>
      <c r="F125" s="12">
        <v>25</v>
      </c>
      <c r="G125" s="12">
        <v>62</v>
      </c>
      <c r="H125" s="12">
        <v>0.47</v>
      </c>
      <c r="I125" s="12" t="s">
        <v>23</v>
      </c>
      <c r="J125" s="12">
        <v>14</v>
      </c>
      <c r="K125" s="12">
        <v>0</v>
      </c>
      <c r="L125" s="12">
        <v>0</v>
      </c>
      <c r="M125" s="12">
        <v>0</v>
      </c>
      <c r="N125" s="12">
        <v>0</v>
      </c>
      <c r="O125" s="12" t="str">
        <f t="shared" si="1"/>
        <v>10 - 19</v>
      </c>
    </row>
    <row r="126" spans="1:15" x14ac:dyDescent="0.35">
      <c r="A126" s="11">
        <v>455</v>
      </c>
      <c r="B126" s="11" t="s">
        <v>20</v>
      </c>
      <c r="C126" s="11">
        <v>53</v>
      </c>
      <c r="D126" s="11" t="s">
        <v>13</v>
      </c>
      <c r="E126" s="11" t="s">
        <v>14</v>
      </c>
      <c r="F126" s="11">
        <v>65</v>
      </c>
      <c r="G126" s="11">
        <v>55</v>
      </c>
      <c r="H126" s="11">
        <v>0.56000000000000005</v>
      </c>
      <c r="I126" s="11" t="s">
        <v>15</v>
      </c>
      <c r="J126" s="11">
        <v>33</v>
      </c>
      <c r="K126" s="11">
        <v>0</v>
      </c>
      <c r="L126" s="11">
        <v>0</v>
      </c>
      <c r="M126" s="11">
        <v>0</v>
      </c>
      <c r="N126" s="11">
        <v>0</v>
      </c>
      <c r="O126" s="12" t="str">
        <f t="shared" si="1"/>
        <v>30 - 39</v>
      </c>
    </row>
    <row r="127" spans="1:15" x14ac:dyDescent="0.35">
      <c r="A127" s="12">
        <v>464</v>
      </c>
      <c r="B127" s="12" t="s">
        <v>20</v>
      </c>
      <c r="C127" s="12">
        <v>37</v>
      </c>
      <c r="D127" s="12" t="s">
        <v>21</v>
      </c>
      <c r="E127" s="12" t="s">
        <v>14</v>
      </c>
      <c r="F127" s="12">
        <v>260</v>
      </c>
      <c r="G127" s="12">
        <v>30</v>
      </c>
      <c r="H127" s="12">
        <v>0.51</v>
      </c>
      <c r="I127" s="12" t="s">
        <v>19</v>
      </c>
      <c r="J127" s="12">
        <v>37</v>
      </c>
      <c r="K127" s="12">
        <v>0</v>
      </c>
      <c r="L127" s="12">
        <v>0</v>
      </c>
      <c r="M127" s="12">
        <v>0</v>
      </c>
      <c r="N127" s="12">
        <v>0</v>
      </c>
      <c r="O127" s="12" t="str">
        <f t="shared" si="1"/>
        <v>30 - 39</v>
      </c>
    </row>
    <row r="128" spans="1:15" x14ac:dyDescent="0.35">
      <c r="A128" s="11">
        <v>465</v>
      </c>
      <c r="B128" s="11" t="s">
        <v>20</v>
      </c>
      <c r="C128" s="11">
        <v>39</v>
      </c>
      <c r="D128" s="11" t="s">
        <v>17</v>
      </c>
      <c r="E128" s="11" t="s">
        <v>14</v>
      </c>
      <c r="F128" s="11">
        <v>110</v>
      </c>
      <c r="G128" s="11">
        <v>17</v>
      </c>
      <c r="H128" s="11">
        <v>0.57999999999999996</v>
      </c>
      <c r="I128" s="11" t="s">
        <v>15</v>
      </c>
      <c r="J128" s="11">
        <v>24</v>
      </c>
      <c r="K128" s="11">
        <v>0</v>
      </c>
      <c r="L128" s="11">
        <v>0</v>
      </c>
      <c r="M128" s="11">
        <v>0</v>
      </c>
      <c r="N128" s="11">
        <v>0</v>
      </c>
      <c r="O128" s="12" t="str">
        <f t="shared" si="1"/>
        <v>20 - 29</v>
      </c>
    </row>
    <row r="129" spans="1:15" x14ac:dyDescent="0.35">
      <c r="A129" s="12">
        <v>466</v>
      </c>
      <c r="B129" s="12" t="s">
        <v>12</v>
      </c>
      <c r="C129" s="12">
        <v>53</v>
      </c>
      <c r="D129" s="12" t="s">
        <v>29</v>
      </c>
      <c r="E129" s="12" t="s">
        <v>14</v>
      </c>
      <c r="F129" s="12">
        <v>224</v>
      </c>
      <c r="G129" s="12">
        <v>11</v>
      </c>
      <c r="H129" s="12">
        <v>0.11</v>
      </c>
      <c r="I129" s="12" t="s">
        <v>23</v>
      </c>
      <c r="J129" s="12">
        <v>12</v>
      </c>
      <c r="K129" s="12">
        <v>0</v>
      </c>
      <c r="L129" s="12">
        <v>0</v>
      </c>
      <c r="M129" s="12">
        <v>0</v>
      </c>
      <c r="N129" s="12">
        <v>0</v>
      </c>
      <c r="O129" s="12" t="str">
        <f t="shared" si="1"/>
        <v>10 - 19</v>
      </c>
    </row>
    <row r="130" spans="1:15" x14ac:dyDescent="0.35">
      <c r="A130" s="11">
        <v>470</v>
      </c>
      <c r="B130" s="11" t="s">
        <v>16</v>
      </c>
      <c r="C130" s="11">
        <v>52</v>
      </c>
      <c r="D130" s="11" t="s">
        <v>17</v>
      </c>
      <c r="E130" s="11" t="s">
        <v>14</v>
      </c>
      <c r="F130" s="11">
        <v>211</v>
      </c>
      <c r="G130" s="11">
        <v>48</v>
      </c>
      <c r="H130" s="11">
        <v>0.47</v>
      </c>
      <c r="I130" s="11" t="s">
        <v>15</v>
      </c>
      <c r="J130" s="11">
        <v>27</v>
      </c>
      <c r="K130" s="11">
        <v>0</v>
      </c>
      <c r="L130" s="11">
        <v>0</v>
      </c>
      <c r="M130" s="11">
        <v>0</v>
      </c>
      <c r="N130" s="11">
        <v>0</v>
      </c>
      <c r="O130" s="12" t="str">
        <f t="shared" ref="O130:O193" si="2">_xlfn.FLOOR.MATH(J130, 10) &amp; " - " &amp; (_xlfn.FLOOR.MATH(J130, 10) + 9)</f>
        <v>20 - 29</v>
      </c>
    </row>
    <row r="131" spans="1:15" x14ac:dyDescent="0.35">
      <c r="A131" s="12">
        <v>476</v>
      </c>
      <c r="B131" s="12" t="s">
        <v>12</v>
      </c>
      <c r="C131" s="12">
        <v>35</v>
      </c>
      <c r="D131" s="12" t="s">
        <v>17</v>
      </c>
      <c r="E131" s="12" t="s">
        <v>14</v>
      </c>
      <c r="F131" s="12">
        <v>34</v>
      </c>
      <c r="G131" s="12">
        <v>1</v>
      </c>
      <c r="H131" s="12">
        <v>0.45</v>
      </c>
      <c r="I131" s="12" t="s">
        <v>15</v>
      </c>
      <c r="J131" s="12">
        <v>30</v>
      </c>
      <c r="K131" s="12">
        <v>0</v>
      </c>
      <c r="L131" s="12">
        <v>1</v>
      </c>
      <c r="M131" s="12">
        <v>0</v>
      </c>
      <c r="N131" s="12">
        <v>0</v>
      </c>
      <c r="O131" s="12" t="str">
        <f t="shared" si="2"/>
        <v>30 - 39</v>
      </c>
    </row>
    <row r="132" spans="1:15" x14ac:dyDescent="0.35">
      <c r="A132" s="11">
        <v>479</v>
      </c>
      <c r="B132" s="11" t="s">
        <v>16</v>
      </c>
      <c r="C132" s="11">
        <v>54</v>
      </c>
      <c r="D132" s="11" t="s">
        <v>28</v>
      </c>
      <c r="E132" s="11" t="s">
        <v>14</v>
      </c>
      <c r="F132" s="11">
        <v>225</v>
      </c>
      <c r="G132" s="11">
        <v>60</v>
      </c>
      <c r="H132" s="11">
        <v>0.19</v>
      </c>
      <c r="I132" s="11" t="s">
        <v>23</v>
      </c>
      <c r="J132" s="11">
        <v>17</v>
      </c>
      <c r="K132" s="11">
        <v>0</v>
      </c>
      <c r="L132" s="11">
        <v>1</v>
      </c>
      <c r="M132" s="11">
        <v>0</v>
      </c>
      <c r="N132" s="11">
        <v>0</v>
      </c>
      <c r="O132" s="12" t="str">
        <f t="shared" si="2"/>
        <v>10 - 19</v>
      </c>
    </row>
    <row r="133" spans="1:15" x14ac:dyDescent="0.35">
      <c r="A133" s="12">
        <v>480</v>
      </c>
      <c r="B133" s="12" t="s">
        <v>12</v>
      </c>
      <c r="C133" s="12">
        <v>49</v>
      </c>
      <c r="D133" s="12" t="s">
        <v>26</v>
      </c>
      <c r="E133" s="12" t="s">
        <v>14</v>
      </c>
      <c r="F133" s="12">
        <v>266</v>
      </c>
      <c r="G133" s="12">
        <v>2</v>
      </c>
      <c r="H133" s="12">
        <v>0.46</v>
      </c>
      <c r="I133" s="12" t="s">
        <v>15</v>
      </c>
      <c r="J133" s="12">
        <v>16</v>
      </c>
      <c r="K133" s="12">
        <v>0</v>
      </c>
      <c r="L133" s="12">
        <v>1</v>
      </c>
      <c r="M133" s="12">
        <v>0</v>
      </c>
      <c r="N133" s="12">
        <v>0</v>
      </c>
      <c r="O133" s="12" t="str">
        <f t="shared" si="2"/>
        <v>10 - 19</v>
      </c>
    </row>
    <row r="134" spans="1:15" x14ac:dyDescent="0.35">
      <c r="A134" s="11">
        <v>482</v>
      </c>
      <c r="B134" s="11" t="s">
        <v>16</v>
      </c>
      <c r="C134" s="11">
        <v>51</v>
      </c>
      <c r="D134" s="11" t="s">
        <v>26</v>
      </c>
      <c r="E134" s="11" t="s">
        <v>14</v>
      </c>
      <c r="F134" s="11">
        <v>294</v>
      </c>
      <c r="G134" s="11">
        <v>73</v>
      </c>
      <c r="H134" s="11">
        <v>0.28000000000000003</v>
      </c>
      <c r="I134" s="11" t="s">
        <v>23</v>
      </c>
      <c r="J134" s="11">
        <v>15</v>
      </c>
      <c r="K134" s="11">
        <v>0</v>
      </c>
      <c r="L134" s="11">
        <v>0</v>
      </c>
      <c r="M134" s="11">
        <v>0</v>
      </c>
      <c r="N134" s="11">
        <v>0</v>
      </c>
      <c r="O134" s="12" t="str">
        <f t="shared" si="2"/>
        <v>10 - 19</v>
      </c>
    </row>
    <row r="135" spans="1:15" x14ac:dyDescent="0.35">
      <c r="A135" s="12">
        <v>500</v>
      </c>
      <c r="B135" s="12" t="s">
        <v>16</v>
      </c>
      <c r="C135" s="12">
        <v>38</v>
      </c>
      <c r="D135" s="12" t="s">
        <v>27</v>
      </c>
      <c r="E135" s="12" t="s">
        <v>14</v>
      </c>
      <c r="F135" s="12">
        <v>283</v>
      </c>
      <c r="G135" s="12">
        <v>69</v>
      </c>
      <c r="H135" s="12">
        <v>0.01</v>
      </c>
      <c r="I135" s="12" t="s">
        <v>15</v>
      </c>
      <c r="J135" s="12">
        <v>35</v>
      </c>
      <c r="K135" s="12">
        <v>0</v>
      </c>
      <c r="L135" s="12">
        <v>0</v>
      </c>
      <c r="M135" s="12">
        <v>0</v>
      </c>
      <c r="N135" s="12">
        <v>0</v>
      </c>
      <c r="O135" s="12" t="str">
        <f t="shared" si="2"/>
        <v>30 - 39</v>
      </c>
    </row>
    <row r="136" spans="1:15" x14ac:dyDescent="0.35">
      <c r="A136" s="11">
        <v>503</v>
      </c>
      <c r="B136" s="11" t="s">
        <v>16</v>
      </c>
      <c r="C136" s="11">
        <v>49</v>
      </c>
      <c r="D136" s="11" t="s">
        <v>25</v>
      </c>
      <c r="E136" s="11" t="s">
        <v>14</v>
      </c>
      <c r="F136" s="11">
        <v>270</v>
      </c>
      <c r="G136" s="11">
        <v>92</v>
      </c>
      <c r="H136" s="11">
        <v>0.38</v>
      </c>
      <c r="I136" s="11" t="s">
        <v>19</v>
      </c>
      <c r="J136" s="11">
        <v>26</v>
      </c>
      <c r="K136" s="11">
        <v>0</v>
      </c>
      <c r="L136" s="11">
        <v>0</v>
      </c>
      <c r="M136" s="11">
        <v>0</v>
      </c>
      <c r="N136" s="11">
        <v>0</v>
      </c>
      <c r="O136" s="12" t="str">
        <f t="shared" si="2"/>
        <v>20 - 29</v>
      </c>
    </row>
    <row r="137" spans="1:15" x14ac:dyDescent="0.35">
      <c r="A137" s="12">
        <v>504</v>
      </c>
      <c r="B137" s="12" t="s">
        <v>16</v>
      </c>
      <c r="C137" s="12">
        <v>38</v>
      </c>
      <c r="D137" s="12" t="s">
        <v>26</v>
      </c>
      <c r="E137" s="12" t="s">
        <v>14</v>
      </c>
      <c r="F137" s="12">
        <v>208</v>
      </c>
      <c r="G137" s="12">
        <v>18</v>
      </c>
      <c r="H137" s="12">
        <v>0.38</v>
      </c>
      <c r="I137" s="12" t="s">
        <v>15</v>
      </c>
      <c r="J137" s="12">
        <v>46</v>
      </c>
      <c r="K137" s="12">
        <v>0</v>
      </c>
      <c r="L137" s="12">
        <v>0</v>
      </c>
      <c r="M137" s="12">
        <v>0</v>
      </c>
      <c r="N137" s="12">
        <v>0</v>
      </c>
      <c r="O137" s="12" t="str">
        <f t="shared" si="2"/>
        <v>40 - 49</v>
      </c>
    </row>
    <row r="138" spans="1:15" x14ac:dyDescent="0.35">
      <c r="A138" s="11">
        <v>508</v>
      </c>
      <c r="B138" s="11" t="s">
        <v>12</v>
      </c>
      <c r="C138" s="11">
        <v>57</v>
      </c>
      <c r="D138" s="11" t="s">
        <v>21</v>
      </c>
      <c r="E138" s="11" t="s">
        <v>14</v>
      </c>
      <c r="F138" s="11">
        <v>54</v>
      </c>
      <c r="G138" s="11">
        <v>65</v>
      </c>
      <c r="H138" s="11">
        <v>0.01</v>
      </c>
      <c r="I138" s="11" t="s">
        <v>23</v>
      </c>
      <c r="J138" s="11">
        <v>35</v>
      </c>
      <c r="K138" s="11">
        <v>0</v>
      </c>
      <c r="L138" s="11">
        <v>1</v>
      </c>
      <c r="M138" s="11">
        <v>0</v>
      </c>
      <c r="N138" s="11">
        <v>0</v>
      </c>
      <c r="O138" s="12" t="str">
        <f t="shared" si="2"/>
        <v>30 - 39</v>
      </c>
    </row>
    <row r="139" spans="1:15" x14ac:dyDescent="0.35">
      <c r="A139" s="12">
        <v>514</v>
      </c>
      <c r="B139" s="12" t="s">
        <v>12</v>
      </c>
      <c r="C139" s="12">
        <v>53</v>
      </c>
      <c r="D139" s="12" t="s">
        <v>28</v>
      </c>
      <c r="E139" s="12" t="s">
        <v>14</v>
      </c>
      <c r="F139" s="12">
        <v>226</v>
      </c>
      <c r="G139" s="12">
        <v>99</v>
      </c>
      <c r="H139" s="12">
        <v>0.05</v>
      </c>
      <c r="I139" s="12" t="s">
        <v>15</v>
      </c>
      <c r="J139" s="12">
        <v>49</v>
      </c>
      <c r="K139" s="12">
        <v>0</v>
      </c>
      <c r="L139" s="12">
        <v>0</v>
      </c>
      <c r="M139" s="12">
        <v>0</v>
      </c>
      <c r="N139" s="12">
        <v>0</v>
      </c>
      <c r="O139" s="12" t="str">
        <f t="shared" si="2"/>
        <v>40 - 49</v>
      </c>
    </row>
    <row r="140" spans="1:15" x14ac:dyDescent="0.35">
      <c r="A140" s="11">
        <v>515</v>
      </c>
      <c r="B140" s="11" t="s">
        <v>12</v>
      </c>
      <c r="C140" s="11">
        <v>20</v>
      </c>
      <c r="D140" s="11" t="s">
        <v>13</v>
      </c>
      <c r="E140" s="11" t="s">
        <v>14</v>
      </c>
      <c r="F140" s="11">
        <v>115</v>
      </c>
      <c r="G140" s="11">
        <v>28</v>
      </c>
      <c r="H140" s="11">
        <v>0.09</v>
      </c>
      <c r="I140" s="11" t="s">
        <v>15</v>
      </c>
      <c r="J140" s="11">
        <v>29</v>
      </c>
      <c r="K140" s="11">
        <v>0</v>
      </c>
      <c r="L140" s="11">
        <v>0</v>
      </c>
      <c r="M140" s="11">
        <v>0</v>
      </c>
      <c r="N140" s="11">
        <v>0</v>
      </c>
      <c r="O140" s="12" t="str">
        <f t="shared" si="2"/>
        <v>20 - 29</v>
      </c>
    </row>
    <row r="141" spans="1:15" x14ac:dyDescent="0.35">
      <c r="A141" s="12">
        <v>516</v>
      </c>
      <c r="B141" s="12" t="s">
        <v>12</v>
      </c>
      <c r="C141" s="12">
        <v>43</v>
      </c>
      <c r="D141" s="12" t="s">
        <v>29</v>
      </c>
      <c r="E141" s="12" t="s">
        <v>14</v>
      </c>
      <c r="F141" s="12">
        <v>55</v>
      </c>
      <c r="G141" s="12">
        <v>64</v>
      </c>
      <c r="H141" s="12">
        <v>7.0000000000000007E-2</v>
      </c>
      <c r="I141" s="12" t="s">
        <v>19</v>
      </c>
      <c r="J141" s="12">
        <v>46</v>
      </c>
      <c r="K141" s="12">
        <v>0</v>
      </c>
      <c r="L141" s="12">
        <v>1</v>
      </c>
      <c r="M141" s="12">
        <v>0</v>
      </c>
      <c r="N141" s="12">
        <v>0</v>
      </c>
      <c r="O141" s="12" t="str">
        <f t="shared" si="2"/>
        <v>40 - 49</v>
      </c>
    </row>
    <row r="142" spans="1:15" x14ac:dyDescent="0.35">
      <c r="A142" s="11">
        <v>518</v>
      </c>
      <c r="B142" s="11" t="s">
        <v>16</v>
      </c>
      <c r="C142" s="11">
        <v>56</v>
      </c>
      <c r="D142" s="11" t="s">
        <v>25</v>
      </c>
      <c r="E142" s="11" t="s">
        <v>14</v>
      </c>
      <c r="F142" s="11">
        <v>110</v>
      </c>
      <c r="G142" s="11">
        <v>42</v>
      </c>
      <c r="H142" s="11">
        <v>0.4</v>
      </c>
      <c r="I142" s="11" t="s">
        <v>15</v>
      </c>
      <c r="J142" s="11">
        <v>16</v>
      </c>
      <c r="K142" s="11">
        <v>0</v>
      </c>
      <c r="L142" s="11">
        <v>1</v>
      </c>
      <c r="M142" s="11">
        <v>0</v>
      </c>
      <c r="N142" s="11">
        <v>0</v>
      </c>
      <c r="O142" s="12" t="str">
        <f t="shared" si="2"/>
        <v>10 - 19</v>
      </c>
    </row>
    <row r="143" spans="1:15" x14ac:dyDescent="0.35">
      <c r="A143" s="12">
        <v>526</v>
      </c>
      <c r="B143" s="12" t="s">
        <v>12</v>
      </c>
      <c r="C143" s="12">
        <v>24</v>
      </c>
      <c r="D143" s="12" t="s">
        <v>25</v>
      </c>
      <c r="E143" s="12" t="s">
        <v>14</v>
      </c>
      <c r="F143" s="12">
        <v>250</v>
      </c>
      <c r="G143" s="12">
        <v>81</v>
      </c>
      <c r="H143" s="12">
        <v>0.27</v>
      </c>
      <c r="I143" s="12" t="s">
        <v>15</v>
      </c>
      <c r="J143" s="12">
        <v>16</v>
      </c>
      <c r="K143" s="12">
        <v>0</v>
      </c>
      <c r="L143" s="12">
        <v>0</v>
      </c>
      <c r="M143" s="12">
        <v>0</v>
      </c>
      <c r="N143" s="12">
        <v>0</v>
      </c>
      <c r="O143" s="12" t="str">
        <f t="shared" si="2"/>
        <v>10 - 19</v>
      </c>
    </row>
    <row r="144" spans="1:15" x14ac:dyDescent="0.35">
      <c r="A144" s="11">
        <v>529</v>
      </c>
      <c r="B144" s="11" t="s">
        <v>20</v>
      </c>
      <c r="C144" s="11">
        <v>35</v>
      </c>
      <c r="D144" s="11" t="s">
        <v>29</v>
      </c>
      <c r="E144" s="11" t="s">
        <v>14</v>
      </c>
      <c r="F144" s="11">
        <v>270</v>
      </c>
      <c r="G144" s="11">
        <v>39</v>
      </c>
      <c r="H144" s="11">
        <v>0.28999999999999998</v>
      </c>
      <c r="I144" s="11" t="s">
        <v>19</v>
      </c>
      <c r="J144" s="11">
        <v>30</v>
      </c>
      <c r="K144" s="11">
        <v>0</v>
      </c>
      <c r="L144" s="11">
        <v>0</v>
      </c>
      <c r="M144" s="11">
        <v>0</v>
      </c>
      <c r="N144" s="11">
        <v>0</v>
      </c>
      <c r="O144" s="12" t="str">
        <f t="shared" si="2"/>
        <v>30 - 39</v>
      </c>
    </row>
    <row r="145" spans="1:15" x14ac:dyDescent="0.35">
      <c r="A145" s="12">
        <v>536</v>
      </c>
      <c r="B145" s="12" t="s">
        <v>16</v>
      </c>
      <c r="C145" s="12">
        <v>35</v>
      </c>
      <c r="D145" s="12" t="s">
        <v>17</v>
      </c>
      <c r="E145" s="12" t="s">
        <v>14</v>
      </c>
      <c r="F145" s="12">
        <v>111</v>
      </c>
      <c r="G145" s="12">
        <v>62</v>
      </c>
      <c r="H145" s="12">
        <v>0.47</v>
      </c>
      <c r="I145" s="12" t="s">
        <v>19</v>
      </c>
      <c r="J145" s="12">
        <v>13</v>
      </c>
      <c r="K145" s="12">
        <v>0</v>
      </c>
      <c r="L145" s="12">
        <v>1</v>
      </c>
      <c r="M145" s="12">
        <v>0</v>
      </c>
      <c r="N145" s="12">
        <v>0</v>
      </c>
      <c r="O145" s="12" t="str">
        <f t="shared" si="2"/>
        <v>10 - 19</v>
      </c>
    </row>
    <row r="146" spans="1:15" x14ac:dyDescent="0.35">
      <c r="A146" s="11">
        <v>551</v>
      </c>
      <c r="B146" s="11" t="s">
        <v>20</v>
      </c>
      <c r="C146" s="11">
        <v>39</v>
      </c>
      <c r="D146" s="11" t="s">
        <v>29</v>
      </c>
      <c r="E146" s="11" t="s">
        <v>14</v>
      </c>
      <c r="F146" s="11">
        <v>87</v>
      </c>
      <c r="G146" s="11">
        <v>62</v>
      </c>
      <c r="H146" s="11">
        <v>0.12</v>
      </c>
      <c r="I146" s="11" t="s">
        <v>19</v>
      </c>
      <c r="J146" s="11">
        <v>46</v>
      </c>
      <c r="K146" s="11">
        <v>0</v>
      </c>
      <c r="L146" s="11">
        <v>0</v>
      </c>
      <c r="M146" s="11">
        <v>0</v>
      </c>
      <c r="N146" s="11">
        <v>0</v>
      </c>
      <c r="O146" s="12" t="str">
        <f t="shared" si="2"/>
        <v>40 - 49</v>
      </c>
    </row>
    <row r="147" spans="1:15" x14ac:dyDescent="0.35">
      <c r="A147" s="12">
        <v>558</v>
      </c>
      <c r="B147" s="12" t="s">
        <v>16</v>
      </c>
      <c r="C147" s="12">
        <v>40</v>
      </c>
      <c r="D147" s="12" t="s">
        <v>27</v>
      </c>
      <c r="E147" s="12" t="s">
        <v>14</v>
      </c>
      <c r="F147" s="12">
        <v>286</v>
      </c>
      <c r="G147" s="12">
        <v>44</v>
      </c>
      <c r="H147" s="12">
        <v>0.57999999999999996</v>
      </c>
      <c r="I147" s="12" t="s">
        <v>23</v>
      </c>
      <c r="J147" s="12">
        <v>46</v>
      </c>
      <c r="K147" s="12">
        <v>0</v>
      </c>
      <c r="L147" s="12">
        <v>0</v>
      </c>
      <c r="M147" s="12">
        <v>0</v>
      </c>
      <c r="N147" s="12">
        <v>0</v>
      </c>
      <c r="O147" s="12" t="str">
        <f t="shared" si="2"/>
        <v>40 - 49</v>
      </c>
    </row>
    <row r="148" spans="1:15" x14ac:dyDescent="0.35">
      <c r="A148" s="11">
        <v>559</v>
      </c>
      <c r="B148" s="11" t="s">
        <v>16</v>
      </c>
      <c r="C148" s="11">
        <v>46</v>
      </c>
      <c r="D148" s="11" t="s">
        <v>27</v>
      </c>
      <c r="E148" s="11" t="s">
        <v>14</v>
      </c>
      <c r="F148" s="11">
        <v>261</v>
      </c>
      <c r="G148" s="11">
        <v>12</v>
      </c>
      <c r="H148" s="11">
        <v>0.6</v>
      </c>
      <c r="I148" s="11" t="s">
        <v>19</v>
      </c>
      <c r="J148" s="11">
        <v>47</v>
      </c>
      <c r="K148" s="11">
        <v>0</v>
      </c>
      <c r="L148" s="11">
        <v>0</v>
      </c>
      <c r="M148" s="11">
        <v>0</v>
      </c>
      <c r="N148" s="11">
        <v>0</v>
      </c>
      <c r="O148" s="12" t="str">
        <f t="shared" si="2"/>
        <v>40 - 49</v>
      </c>
    </row>
    <row r="149" spans="1:15" x14ac:dyDescent="0.35">
      <c r="A149" s="12">
        <v>563</v>
      </c>
      <c r="B149" s="12" t="s">
        <v>16</v>
      </c>
      <c r="C149" s="12">
        <v>45</v>
      </c>
      <c r="D149" s="12" t="s">
        <v>29</v>
      </c>
      <c r="E149" s="12" t="s">
        <v>14</v>
      </c>
      <c r="F149" s="12">
        <v>124</v>
      </c>
      <c r="G149" s="12">
        <v>49</v>
      </c>
      <c r="H149" s="12">
        <v>0.05</v>
      </c>
      <c r="I149" s="12" t="s">
        <v>19</v>
      </c>
      <c r="J149" s="12">
        <v>22</v>
      </c>
      <c r="K149" s="12">
        <v>0</v>
      </c>
      <c r="L149" s="12">
        <v>1</v>
      </c>
      <c r="M149" s="12">
        <v>0</v>
      </c>
      <c r="N149" s="12">
        <v>0</v>
      </c>
      <c r="O149" s="12" t="str">
        <f t="shared" si="2"/>
        <v>20 - 29</v>
      </c>
    </row>
    <row r="150" spans="1:15" x14ac:dyDescent="0.35">
      <c r="A150" s="11">
        <v>566</v>
      </c>
      <c r="B150" s="11" t="s">
        <v>16</v>
      </c>
      <c r="C150" s="11">
        <v>38</v>
      </c>
      <c r="D150" s="11" t="s">
        <v>25</v>
      </c>
      <c r="E150" s="11" t="s">
        <v>14</v>
      </c>
      <c r="F150" s="11">
        <v>205</v>
      </c>
      <c r="G150" s="11">
        <v>25</v>
      </c>
      <c r="H150" s="11">
        <v>0.02</v>
      </c>
      <c r="I150" s="11" t="s">
        <v>15</v>
      </c>
      <c r="J150" s="11">
        <v>33</v>
      </c>
      <c r="K150" s="11">
        <v>0</v>
      </c>
      <c r="L150" s="11">
        <v>0</v>
      </c>
      <c r="M150" s="11">
        <v>0</v>
      </c>
      <c r="N150" s="11">
        <v>0</v>
      </c>
      <c r="O150" s="12" t="str">
        <f t="shared" si="2"/>
        <v>30 - 39</v>
      </c>
    </row>
    <row r="151" spans="1:15" x14ac:dyDescent="0.35">
      <c r="A151" s="12">
        <v>570</v>
      </c>
      <c r="B151" s="12" t="s">
        <v>12</v>
      </c>
      <c r="C151" s="12">
        <v>50</v>
      </c>
      <c r="D151" s="12" t="s">
        <v>28</v>
      </c>
      <c r="E151" s="12" t="s">
        <v>14</v>
      </c>
      <c r="F151" s="12">
        <v>285</v>
      </c>
      <c r="G151" s="12">
        <v>46</v>
      </c>
      <c r="H151" s="12">
        <v>0.4</v>
      </c>
      <c r="I151" s="12" t="s">
        <v>19</v>
      </c>
      <c r="J151" s="12">
        <v>46</v>
      </c>
      <c r="K151" s="12">
        <v>0</v>
      </c>
      <c r="L151" s="12">
        <v>0</v>
      </c>
      <c r="M151" s="12">
        <v>0</v>
      </c>
      <c r="N151" s="12">
        <v>0</v>
      </c>
      <c r="O151" s="12" t="str">
        <f t="shared" si="2"/>
        <v>40 - 49</v>
      </c>
    </row>
    <row r="152" spans="1:15" x14ac:dyDescent="0.35">
      <c r="A152" s="11">
        <v>572</v>
      </c>
      <c r="B152" s="11" t="s">
        <v>16</v>
      </c>
      <c r="C152" s="11">
        <v>35</v>
      </c>
      <c r="D152" s="11" t="s">
        <v>25</v>
      </c>
      <c r="E152" s="11" t="s">
        <v>14</v>
      </c>
      <c r="F152" s="11">
        <v>205</v>
      </c>
      <c r="G152" s="11">
        <v>71</v>
      </c>
      <c r="H152" s="11">
        <v>0.28000000000000003</v>
      </c>
      <c r="I152" s="11" t="s">
        <v>23</v>
      </c>
      <c r="J152" s="11">
        <v>16</v>
      </c>
      <c r="K152" s="11">
        <v>0</v>
      </c>
      <c r="L152" s="11">
        <v>0</v>
      </c>
      <c r="M152" s="11">
        <v>0</v>
      </c>
      <c r="N152" s="11">
        <v>0</v>
      </c>
      <c r="O152" s="12" t="str">
        <f t="shared" si="2"/>
        <v>10 - 19</v>
      </c>
    </row>
    <row r="153" spans="1:15" x14ac:dyDescent="0.35">
      <c r="A153" s="12">
        <v>573</v>
      </c>
      <c r="B153" s="12" t="s">
        <v>20</v>
      </c>
      <c r="C153" s="12">
        <v>18</v>
      </c>
      <c r="D153" s="12" t="s">
        <v>28</v>
      </c>
      <c r="E153" s="12" t="s">
        <v>14</v>
      </c>
      <c r="F153" s="12">
        <v>101</v>
      </c>
      <c r="G153" s="12">
        <v>95</v>
      </c>
      <c r="H153" s="12">
        <v>0.17</v>
      </c>
      <c r="I153" s="12" t="s">
        <v>19</v>
      </c>
      <c r="J153" s="12">
        <v>22</v>
      </c>
      <c r="K153" s="12">
        <v>0</v>
      </c>
      <c r="L153" s="12">
        <v>0</v>
      </c>
      <c r="M153" s="12">
        <v>0</v>
      </c>
      <c r="N153" s="12">
        <v>0</v>
      </c>
      <c r="O153" s="12" t="str">
        <f t="shared" si="2"/>
        <v>20 - 29</v>
      </c>
    </row>
    <row r="154" spans="1:15" x14ac:dyDescent="0.35">
      <c r="A154" s="11">
        <v>574</v>
      </c>
      <c r="B154" s="11" t="s">
        <v>12</v>
      </c>
      <c r="C154" s="11">
        <v>21</v>
      </c>
      <c r="D154" s="11" t="s">
        <v>27</v>
      </c>
      <c r="E154" s="11" t="s">
        <v>14</v>
      </c>
      <c r="F154" s="11">
        <v>134</v>
      </c>
      <c r="G154" s="11">
        <v>80</v>
      </c>
      <c r="H154" s="11">
        <v>0.23</v>
      </c>
      <c r="I154" s="11" t="s">
        <v>23</v>
      </c>
      <c r="J154" s="11">
        <v>41</v>
      </c>
      <c r="K154" s="11">
        <v>0</v>
      </c>
      <c r="L154" s="11">
        <v>0</v>
      </c>
      <c r="M154" s="11">
        <v>0</v>
      </c>
      <c r="N154" s="11">
        <v>0</v>
      </c>
      <c r="O154" s="12" t="str">
        <f t="shared" si="2"/>
        <v>40 - 49</v>
      </c>
    </row>
    <row r="155" spans="1:15" x14ac:dyDescent="0.35">
      <c r="A155" s="12">
        <v>580</v>
      </c>
      <c r="B155" s="12" t="s">
        <v>20</v>
      </c>
      <c r="C155" s="12">
        <v>18</v>
      </c>
      <c r="D155" s="12" t="s">
        <v>29</v>
      </c>
      <c r="E155" s="12" t="s">
        <v>14</v>
      </c>
      <c r="F155" s="12">
        <v>78</v>
      </c>
      <c r="G155" s="12">
        <v>92</v>
      </c>
      <c r="H155" s="12">
        <v>0.26</v>
      </c>
      <c r="I155" s="12" t="s">
        <v>19</v>
      </c>
      <c r="J155" s="12">
        <v>32</v>
      </c>
      <c r="K155" s="12">
        <v>0</v>
      </c>
      <c r="L155" s="12">
        <v>0</v>
      </c>
      <c r="M155" s="12">
        <v>0</v>
      </c>
      <c r="N155" s="12">
        <v>0</v>
      </c>
      <c r="O155" s="12" t="str">
        <f t="shared" si="2"/>
        <v>30 - 39</v>
      </c>
    </row>
    <row r="156" spans="1:15" x14ac:dyDescent="0.35">
      <c r="A156" s="11">
        <v>590</v>
      </c>
      <c r="B156" s="11" t="s">
        <v>12</v>
      </c>
      <c r="C156" s="11">
        <v>51</v>
      </c>
      <c r="D156" s="11" t="s">
        <v>27</v>
      </c>
      <c r="E156" s="11" t="s">
        <v>14</v>
      </c>
      <c r="F156" s="11">
        <v>143</v>
      </c>
      <c r="G156" s="11">
        <v>35</v>
      </c>
      <c r="H156" s="11">
        <v>0.08</v>
      </c>
      <c r="I156" s="11" t="s">
        <v>23</v>
      </c>
      <c r="J156" s="11">
        <v>23</v>
      </c>
      <c r="K156" s="11">
        <v>0</v>
      </c>
      <c r="L156" s="11">
        <v>0</v>
      </c>
      <c r="M156" s="11">
        <v>0</v>
      </c>
      <c r="N156" s="11">
        <v>0</v>
      </c>
      <c r="O156" s="12" t="str">
        <f t="shared" si="2"/>
        <v>20 - 29</v>
      </c>
    </row>
    <row r="157" spans="1:15" x14ac:dyDescent="0.35">
      <c r="A157" s="12">
        <v>597</v>
      </c>
      <c r="B157" s="12" t="s">
        <v>20</v>
      </c>
      <c r="C157" s="12">
        <v>41</v>
      </c>
      <c r="D157" s="12" t="s">
        <v>26</v>
      </c>
      <c r="E157" s="12" t="s">
        <v>14</v>
      </c>
      <c r="F157" s="12">
        <v>196</v>
      </c>
      <c r="G157" s="12">
        <v>51</v>
      </c>
      <c r="H157" s="12">
        <v>0.35</v>
      </c>
      <c r="I157" s="12" t="s">
        <v>19</v>
      </c>
      <c r="J157" s="12">
        <v>14</v>
      </c>
      <c r="K157" s="12">
        <v>0</v>
      </c>
      <c r="L157" s="12">
        <v>0</v>
      </c>
      <c r="M157" s="12">
        <v>0</v>
      </c>
      <c r="N157" s="12">
        <v>0</v>
      </c>
      <c r="O157" s="12" t="str">
        <f t="shared" si="2"/>
        <v>10 - 19</v>
      </c>
    </row>
    <row r="158" spans="1:15" x14ac:dyDescent="0.35">
      <c r="A158" s="11">
        <v>598</v>
      </c>
      <c r="B158" s="11" t="s">
        <v>12</v>
      </c>
      <c r="C158" s="11">
        <v>28</v>
      </c>
      <c r="D158" s="11" t="s">
        <v>26</v>
      </c>
      <c r="E158" s="11" t="s">
        <v>14</v>
      </c>
      <c r="F158" s="11">
        <v>125</v>
      </c>
      <c r="G158" s="11">
        <v>94</v>
      </c>
      <c r="H158" s="11">
        <v>0.33</v>
      </c>
      <c r="I158" s="11" t="s">
        <v>23</v>
      </c>
      <c r="J158" s="11">
        <v>28</v>
      </c>
      <c r="K158" s="11">
        <v>0</v>
      </c>
      <c r="L158" s="11">
        <v>0</v>
      </c>
      <c r="M158" s="11">
        <v>0</v>
      </c>
      <c r="N158" s="11">
        <v>0</v>
      </c>
      <c r="O158" s="12" t="str">
        <f t="shared" si="2"/>
        <v>20 - 29</v>
      </c>
    </row>
    <row r="159" spans="1:15" x14ac:dyDescent="0.35">
      <c r="A159" s="12">
        <v>604</v>
      </c>
      <c r="B159" s="12" t="s">
        <v>20</v>
      </c>
      <c r="C159" s="12">
        <v>37</v>
      </c>
      <c r="D159" s="12" t="s">
        <v>26</v>
      </c>
      <c r="E159" s="12" t="s">
        <v>14</v>
      </c>
      <c r="F159" s="12">
        <v>138</v>
      </c>
      <c r="G159" s="12">
        <v>87</v>
      </c>
      <c r="H159" s="12">
        <v>0.28999999999999998</v>
      </c>
      <c r="I159" s="12" t="s">
        <v>23</v>
      </c>
      <c r="J159" s="12">
        <v>31</v>
      </c>
      <c r="K159" s="12">
        <v>0</v>
      </c>
      <c r="L159" s="12">
        <v>1</v>
      </c>
      <c r="M159" s="12">
        <v>0</v>
      </c>
      <c r="N159" s="12">
        <v>0</v>
      </c>
      <c r="O159" s="12" t="str">
        <f t="shared" si="2"/>
        <v>30 - 39</v>
      </c>
    </row>
    <row r="160" spans="1:15" x14ac:dyDescent="0.35">
      <c r="A160" s="11">
        <v>610</v>
      </c>
      <c r="B160" s="11" t="s">
        <v>12</v>
      </c>
      <c r="C160" s="11">
        <v>31</v>
      </c>
      <c r="D160" s="11" t="s">
        <v>26</v>
      </c>
      <c r="E160" s="11" t="s">
        <v>14</v>
      </c>
      <c r="F160" s="11">
        <v>205</v>
      </c>
      <c r="G160" s="11">
        <v>64</v>
      </c>
      <c r="H160" s="11">
        <v>0.24</v>
      </c>
      <c r="I160" s="11" t="s">
        <v>15</v>
      </c>
      <c r="J160" s="11">
        <v>42</v>
      </c>
      <c r="K160" s="11">
        <v>0</v>
      </c>
      <c r="L160" s="11">
        <v>0</v>
      </c>
      <c r="M160" s="11">
        <v>0</v>
      </c>
      <c r="N160" s="11">
        <v>0</v>
      </c>
      <c r="O160" s="12" t="str">
        <f t="shared" si="2"/>
        <v>40 - 49</v>
      </c>
    </row>
    <row r="161" spans="1:15" x14ac:dyDescent="0.35">
      <c r="A161" s="12">
        <v>612</v>
      </c>
      <c r="B161" s="12" t="s">
        <v>20</v>
      </c>
      <c r="C161" s="12">
        <v>57</v>
      </c>
      <c r="D161" s="12" t="s">
        <v>13</v>
      </c>
      <c r="E161" s="12" t="s">
        <v>14</v>
      </c>
      <c r="F161" s="12">
        <v>11</v>
      </c>
      <c r="G161" s="12">
        <v>52</v>
      </c>
      <c r="H161" s="12">
        <v>0.49</v>
      </c>
      <c r="I161" s="12" t="s">
        <v>23</v>
      </c>
      <c r="J161" s="12">
        <v>37</v>
      </c>
      <c r="K161" s="12">
        <v>0</v>
      </c>
      <c r="L161" s="12">
        <v>1</v>
      </c>
      <c r="M161" s="12">
        <v>0</v>
      </c>
      <c r="N161" s="12">
        <v>0</v>
      </c>
      <c r="O161" s="12" t="str">
        <f t="shared" si="2"/>
        <v>30 - 39</v>
      </c>
    </row>
    <row r="162" spans="1:15" x14ac:dyDescent="0.35">
      <c r="A162" s="11">
        <v>625</v>
      </c>
      <c r="B162" s="11" t="s">
        <v>16</v>
      </c>
      <c r="C162" s="11">
        <v>58</v>
      </c>
      <c r="D162" s="11" t="s">
        <v>25</v>
      </c>
      <c r="E162" s="11" t="s">
        <v>14</v>
      </c>
      <c r="F162" s="11">
        <v>112</v>
      </c>
      <c r="G162" s="11">
        <v>1</v>
      </c>
      <c r="H162" s="11">
        <v>0.17</v>
      </c>
      <c r="I162" s="11" t="s">
        <v>23</v>
      </c>
      <c r="J162" s="11">
        <v>12</v>
      </c>
      <c r="K162" s="11">
        <v>0</v>
      </c>
      <c r="L162" s="11">
        <v>0</v>
      </c>
      <c r="M162" s="11">
        <v>0</v>
      </c>
      <c r="N162" s="11">
        <v>0</v>
      </c>
      <c r="O162" s="12" t="str">
        <f t="shared" si="2"/>
        <v>10 - 19</v>
      </c>
    </row>
    <row r="163" spans="1:15" x14ac:dyDescent="0.35">
      <c r="A163" s="12">
        <v>626</v>
      </c>
      <c r="B163" s="12" t="s">
        <v>20</v>
      </c>
      <c r="C163" s="12">
        <v>16</v>
      </c>
      <c r="D163" s="12" t="s">
        <v>17</v>
      </c>
      <c r="E163" s="12" t="s">
        <v>14</v>
      </c>
      <c r="F163" s="12">
        <v>85</v>
      </c>
      <c r="G163" s="12">
        <v>98</v>
      </c>
      <c r="H163" s="12">
        <v>0.51</v>
      </c>
      <c r="I163" s="12" t="s">
        <v>23</v>
      </c>
      <c r="J163" s="12">
        <v>21</v>
      </c>
      <c r="K163" s="12">
        <v>0</v>
      </c>
      <c r="L163" s="12">
        <v>0</v>
      </c>
      <c r="M163" s="12">
        <v>0</v>
      </c>
      <c r="N163" s="12">
        <v>0</v>
      </c>
      <c r="O163" s="12" t="str">
        <f t="shared" si="2"/>
        <v>20 - 29</v>
      </c>
    </row>
    <row r="164" spans="1:15" x14ac:dyDescent="0.35">
      <c r="A164" s="11">
        <v>630</v>
      </c>
      <c r="B164" s="11" t="s">
        <v>12</v>
      </c>
      <c r="C164" s="11">
        <v>32</v>
      </c>
      <c r="D164" s="11" t="s">
        <v>26</v>
      </c>
      <c r="E164" s="11" t="s">
        <v>14</v>
      </c>
      <c r="F164" s="11">
        <v>113</v>
      </c>
      <c r="G164" s="11">
        <v>88</v>
      </c>
      <c r="H164" s="11">
        <v>0.01</v>
      </c>
      <c r="I164" s="11" t="s">
        <v>15</v>
      </c>
      <c r="J164" s="11">
        <v>45</v>
      </c>
      <c r="K164" s="11">
        <v>0</v>
      </c>
      <c r="L164" s="11">
        <v>0</v>
      </c>
      <c r="M164" s="11">
        <v>0</v>
      </c>
      <c r="N164" s="11">
        <v>0</v>
      </c>
      <c r="O164" s="12" t="str">
        <f t="shared" si="2"/>
        <v>40 - 49</v>
      </c>
    </row>
    <row r="165" spans="1:15" x14ac:dyDescent="0.35">
      <c r="A165" s="12">
        <v>634</v>
      </c>
      <c r="B165" s="12" t="s">
        <v>16</v>
      </c>
      <c r="C165" s="12">
        <v>56</v>
      </c>
      <c r="D165" s="12" t="s">
        <v>27</v>
      </c>
      <c r="E165" s="12" t="s">
        <v>14</v>
      </c>
      <c r="F165" s="12">
        <v>290</v>
      </c>
      <c r="G165" s="12">
        <v>84</v>
      </c>
      <c r="H165" s="12">
        <v>0.05</v>
      </c>
      <c r="I165" s="12" t="s">
        <v>15</v>
      </c>
      <c r="J165" s="12">
        <v>30</v>
      </c>
      <c r="K165" s="12">
        <v>0</v>
      </c>
      <c r="L165" s="12">
        <v>0</v>
      </c>
      <c r="M165" s="12">
        <v>0</v>
      </c>
      <c r="N165" s="12">
        <v>0</v>
      </c>
      <c r="O165" s="12" t="str">
        <f t="shared" si="2"/>
        <v>30 - 39</v>
      </c>
    </row>
    <row r="166" spans="1:15" x14ac:dyDescent="0.35">
      <c r="A166" s="11">
        <v>635</v>
      </c>
      <c r="B166" s="11" t="s">
        <v>16</v>
      </c>
      <c r="C166" s="11">
        <v>20</v>
      </c>
      <c r="D166" s="11" t="s">
        <v>21</v>
      </c>
      <c r="E166" s="11" t="s">
        <v>14</v>
      </c>
      <c r="F166" s="11">
        <v>106</v>
      </c>
      <c r="G166" s="11">
        <v>10</v>
      </c>
      <c r="H166" s="11">
        <v>0.19</v>
      </c>
      <c r="I166" s="11" t="s">
        <v>23</v>
      </c>
      <c r="J166" s="11">
        <v>10</v>
      </c>
      <c r="K166" s="11">
        <v>0</v>
      </c>
      <c r="L166" s="11">
        <v>0</v>
      </c>
      <c r="M166" s="11">
        <v>0</v>
      </c>
      <c r="N166" s="11">
        <v>0</v>
      </c>
      <c r="O166" s="12" t="str">
        <f t="shared" si="2"/>
        <v>10 - 19</v>
      </c>
    </row>
    <row r="167" spans="1:15" x14ac:dyDescent="0.35">
      <c r="A167" s="12">
        <v>645</v>
      </c>
      <c r="B167" s="12" t="s">
        <v>20</v>
      </c>
      <c r="C167" s="12">
        <v>22</v>
      </c>
      <c r="D167" s="12" t="s">
        <v>21</v>
      </c>
      <c r="E167" s="12" t="s">
        <v>14</v>
      </c>
      <c r="F167" s="12">
        <v>287</v>
      </c>
      <c r="G167" s="12">
        <v>17</v>
      </c>
      <c r="H167" s="12">
        <v>0.42</v>
      </c>
      <c r="I167" s="12" t="s">
        <v>23</v>
      </c>
      <c r="J167" s="12">
        <v>40</v>
      </c>
      <c r="K167" s="12">
        <v>0</v>
      </c>
      <c r="L167" s="12">
        <v>0</v>
      </c>
      <c r="M167" s="12">
        <v>0</v>
      </c>
      <c r="N167" s="12">
        <v>0</v>
      </c>
      <c r="O167" s="12" t="str">
        <f t="shared" si="2"/>
        <v>40 - 49</v>
      </c>
    </row>
    <row r="168" spans="1:15" x14ac:dyDescent="0.35">
      <c r="A168" s="11">
        <v>647</v>
      </c>
      <c r="B168" s="11" t="s">
        <v>20</v>
      </c>
      <c r="C168" s="11">
        <v>54</v>
      </c>
      <c r="D168" s="11" t="s">
        <v>26</v>
      </c>
      <c r="E168" s="11" t="s">
        <v>14</v>
      </c>
      <c r="F168" s="11">
        <v>89</v>
      </c>
      <c r="G168" s="11">
        <v>95</v>
      </c>
      <c r="H168" s="11">
        <v>0.36</v>
      </c>
      <c r="I168" s="11" t="s">
        <v>15</v>
      </c>
      <c r="J168" s="11">
        <v>38</v>
      </c>
      <c r="K168" s="11">
        <v>0</v>
      </c>
      <c r="L168" s="11">
        <v>0</v>
      </c>
      <c r="M168" s="11">
        <v>0</v>
      </c>
      <c r="N168" s="11">
        <v>0</v>
      </c>
      <c r="O168" s="12" t="str">
        <f t="shared" si="2"/>
        <v>30 - 39</v>
      </c>
    </row>
    <row r="169" spans="1:15" x14ac:dyDescent="0.35">
      <c r="A169" s="12">
        <v>648</v>
      </c>
      <c r="B169" s="12" t="s">
        <v>20</v>
      </c>
      <c r="C169" s="12">
        <v>50</v>
      </c>
      <c r="D169" s="12" t="s">
        <v>29</v>
      </c>
      <c r="E169" s="12" t="s">
        <v>14</v>
      </c>
      <c r="F169" s="12">
        <v>200</v>
      </c>
      <c r="G169" s="12">
        <v>14</v>
      </c>
      <c r="H169" s="12">
        <v>0.28000000000000003</v>
      </c>
      <c r="I169" s="12" t="s">
        <v>15</v>
      </c>
      <c r="J169" s="12">
        <v>46</v>
      </c>
      <c r="K169" s="12">
        <v>0</v>
      </c>
      <c r="L169" s="12">
        <v>0</v>
      </c>
      <c r="M169" s="12">
        <v>0</v>
      </c>
      <c r="N169" s="12">
        <v>0</v>
      </c>
      <c r="O169" s="12" t="str">
        <f t="shared" si="2"/>
        <v>40 - 49</v>
      </c>
    </row>
    <row r="170" spans="1:15" x14ac:dyDescent="0.35">
      <c r="A170" s="11">
        <v>663</v>
      </c>
      <c r="B170" s="11" t="s">
        <v>16</v>
      </c>
      <c r="C170" s="11">
        <v>49</v>
      </c>
      <c r="D170" s="11" t="s">
        <v>26</v>
      </c>
      <c r="E170" s="11" t="s">
        <v>14</v>
      </c>
      <c r="F170" s="11">
        <v>295</v>
      </c>
      <c r="G170" s="11">
        <v>17</v>
      </c>
      <c r="H170" s="11">
        <v>0.4</v>
      </c>
      <c r="I170" s="11" t="s">
        <v>19</v>
      </c>
      <c r="J170" s="11">
        <v>31</v>
      </c>
      <c r="K170" s="11">
        <v>0</v>
      </c>
      <c r="L170" s="11">
        <v>0</v>
      </c>
      <c r="M170" s="11">
        <v>0</v>
      </c>
      <c r="N170" s="11">
        <v>0</v>
      </c>
      <c r="O170" s="12" t="str">
        <f t="shared" si="2"/>
        <v>30 - 39</v>
      </c>
    </row>
    <row r="171" spans="1:15" x14ac:dyDescent="0.35">
      <c r="A171" s="12">
        <v>669</v>
      </c>
      <c r="B171" s="12" t="s">
        <v>12</v>
      </c>
      <c r="C171" s="12">
        <v>39</v>
      </c>
      <c r="D171" s="12" t="s">
        <v>26</v>
      </c>
      <c r="E171" s="12" t="s">
        <v>14</v>
      </c>
      <c r="F171" s="12">
        <v>220</v>
      </c>
      <c r="G171" s="12">
        <v>18</v>
      </c>
      <c r="H171" s="12">
        <v>0.05</v>
      </c>
      <c r="I171" s="12" t="s">
        <v>23</v>
      </c>
      <c r="J171" s="12">
        <v>18</v>
      </c>
      <c r="K171" s="12">
        <v>0</v>
      </c>
      <c r="L171" s="12">
        <v>0</v>
      </c>
      <c r="M171" s="12">
        <v>0</v>
      </c>
      <c r="N171" s="12">
        <v>0</v>
      </c>
      <c r="O171" s="12" t="str">
        <f t="shared" si="2"/>
        <v>10 - 19</v>
      </c>
    </row>
    <row r="172" spans="1:15" x14ac:dyDescent="0.35">
      <c r="A172" s="11">
        <v>670</v>
      </c>
      <c r="B172" s="11" t="s">
        <v>12</v>
      </c>
      <c r="C172" s="11">
        <v>38</v>
      </c>
      <c r="D172" s="11" t="s">
        <v>26</v>
      </c>
      <c r="E172" s="11" t="s">
        <v>14</v>
      </c>
      <c r="F172" s="11">
        <v>245</v>
      </c>
      <c r="G172" s="11">
        <v>12</v>
      </c>
      <c r="H172" s="11">
        <v>0.52</v>
      </c>
      <c r="I172" s="11" t="s">
        <v>15</v>
      </c>
      <c r="J172" s="11">
        <v>48</v>
      </c>
      <c r="K172" s="11">
        <v>0</v>
      </c>
      <c r="L172" s="11">
        <v>1</v>
      </c>
      <c r="M172" s="11">
        <v>0</v>
      </c>
      <c r="N172" s="11">
        <v>0</v>
      </c>
      <c r="O172" s="12" t="str">
        <f t="shared" si="2"/>
        <v>40 - 49</v>
      </c>
    </row>
    <row r="173" spans="1:15" x14ac:dyDescent="0.35">
      <c r="A173" s="12">
        <v>671</v>
      </c>
      <c r="B173" s="12" t="s">
        <v>20</v>
      </c>
      <c r="C173" s="12">
        <v>31</v>
      </c>
      <c r="D173" s="12" t="s">
        <v>13</v>
      </c>
      <c r="E173" s="12" t="s">
        <v>14</v>
      </c>
      <c r="F173" s="12">
        <v>30</v>
      </c>
      <c r="G173" s="12">
        <v>42</v>
      </c>
      <c r="H173" s="12">
        <v>0.06</v>
      </c>
      <c r="I173" s="12" t="s">
        <v>23</v>
      </c>
      <c r="J173" s="12">
        <v>44</v>
      </c>
      <c r="K173" s="12">
        <v>0</v>
      </c>
      <c r="L173" s="12">
        <v>0</v>
      </c>
      <c r="M173" s="12">
        <v>0</v>
      </c>
      <c r="N173" s="12">
        <v>0</v>
      </c>
      <c r="O173" s="12" t="str">
        <f t="shared" si="2"/>
        <v>40 - 49</v>
      </c>
    </row>
    <row r="174" spans="1:15" x14ac:dyDescent="0.35">
      <c r="A174" s="11">
        <v>673</v>
      </c>
      <c r="B174" s="11" t="s">
        <v>12</v>
      </c>
      <c r="C174" s="11">
        <v>44</v>
      </c>
      <c r="D174" s="11" t="s">
        <v>29</v>
      </c>
      <c r="E174" s="11" t="s">
        <v>14</v>
      </c>
      <c r="F174" s="11">
        <v>133</v>
      </c>
      <c r="G174" s="11">
        <v>18</v>
      </c>
      <c r="H174" s="11">
        <v>0.4</v>
      </c>
      <c r="I174" s="11" t="s">
        <v>23</v>
      </c>
      <c r="J174" s="11">
        <v>11</v>
      </c>
      <c r="K174" s="11">
        <v>0</v>
      </c>
      <c r="L174" s="11">
        <v>0</v>
      </c>
      <c r="M174" s="11">
        <v>0</v>
      </c>
      <c r="N174" s="11">
        <v>0</v>
      </c>
      <c r="O174" s="12" t="str">
        <f t="shared" si="2"/>
        <v>10 - 19</v>
      </c>
    </row>
    <row r="175" spans="1:15" x14ac:dyDescent="0.35">
      <c r="A175" s="12">
        <v>681</v>
      </c>
      <c r="B175" s="12" t="s">
        <v>12</v>
      </c>
      <c r="C175" s="12">
        <v>47</v>
      </c>
      <c r="D175" s="12" t="s">
        <v>17</v>
      </c>
      <c r="E175" s="12" t="s">
        <v>14</v>
      </c>
      <c r="F175" s="12">
        <v>272</v>
      </c>
      <c r="G175" s="12">
        <v>8</v>
      </c>
      <c r="H175" s="12">
        <v>0.32</v>
      </c>
      <c r="I175" s="12" t="s">
        <v>23</v>
      </c>
      <c r="J175" s="12">
        <v>44</v>
      </c>
      <c r="K175" s="12">
        <v>0</v>
      </c>
      <c r="L175" s="12">
        <v>0</v>
      </c>
      <c r="M175" s="12">
        <v>0</v>
      </c>
      <c r="N175" s="12">
        <v>0</v>
      </c>
      <c r="O175" s="12" t="str">
        <f t="shared" si="2"/>
        <v>40 - 49</v>
      </c>
    </row>
    <row r="176" spans="1:15" x14ac:dyDescent="0.35">
      <c r="A176" s="11">
        <v>684</v>
      </c>
      <c r="B176" s="11" t="s">
        <v>12</v>
      </c>
      <c r="C176" s="11">
        <v>55</v>
      </c>
      <c r="D176" s="11" t="s">
        <v>21</v>
      </c>
      <c r="E176" s="11" t="s">
        <v>14</v>
      </c>
      <c r="F176" s="11">
        <v>281</v>
      </c>
      <c r="G176" s="11">
        <v>21</v>
      </c>
      <c r="H176" s="11">
        <v>0.12</v>
      </c>
      <c r="I176" s="11" t="s">
        <v>23</v>
      </c>
      <c r="J176" s="11">
        <v>42</v>
      </c>
      <c r="K176" s="11">
        <v>0</v>
      </c>
      <c r="L176" s="11">
        <v>0</v>
      </c>
      <c r="M176" s="11">
        <v>0</v>
      </c>
      <c r="N176" s="11">
        <v>0</v>
      </c>
      <c r="O176" s="12" t="str">
        <f t="shared" si="2"/>
        <v>40 - 49</v>
      </c>
    </row>
    <row r="177" spans="1:15" x14ac:dyDescent="0.35">
      <c r="A177" s="12">
        <v>685</v>
      </c>
      <c r="B177" s="12" t="s">
        <v>12</v>
      </c>
      <c r="C177" s="12">
        <v>40</v>
      </c>
      <c r="D177" s="12" t="s">
        <v>29</v>
      </c>
      <c r="E177" s="12" t="s">
        <v>14</v>
      </c>
      <c r="F177" s="12">
        <v>210</v>
      </c>
      <c r="G177" s="12">
        <v>64</v>
      </c>
      <c r="H177" s="12">
        <v>0.56000000000000005</v>
      </c>
      <c r="I177" s="12" t="s">
        <v>19</v>
      </c>
      <c r="J177" s="12">
        <v>13</v>
      </c>
      <c r="K177" s="12">
        <v>0</v>
      </c>
      <c r="L177" s="12">
        <v>0</v>
      </c>
      <c r="M177" s="12">
        <v>0</v>
      </c>
      <c r="N177" s="12">
        <v>0</v>
      </c>
      <c r="O177" s="12" t="str">
        <f t="shared" si="2"/>
        <v>10 - 19</v>
      </c>
    </row>
    <row r="178" spans="1:15" x14ac:dyDescent="0.35">
      <c r="A178" s="11">
        <v>690</v>
      </c>
      <c r="B178" s="11" t="s">
        <v>20</v>
      </c>
      <c r="C178" s="11">
        <v>52</v>
      </c>
      <c r="D178" s="11" t="s">
        <v>26</v>
      </c>
      <c r="E178" s="11" t="s">
        <v>14</v>
      </c>
      <c r="F178" s="11">
        <v>252</v>
      </c>
      <c r="G178" s="11">
        <v>44</v>
      </c>
      <c r="H178" s="11">
        <v>0.34</v>
      </c>
      <c r="I178" s="11" t="s">
        <v>23</v>
      </c>
      <c r="J178" s="11">
        <v>24</v>
      </c>
      <c r="K178" s="11">
        <v>0</v>
      </c>
      <c r="L178" s="11">
        <v>0</v>
      </c>
      <c r="M178" s="11">
        <v>0</v>
      </c>
      <c r="N178" s="11">
        <v>0</v>
      </c>
      <c r="O178" s="12" t="str">
        <f t="shared" si="2"/>
        <v>20 - 29</v>
      </c>
    </row>
    <row r="179" spans="1:15" x14ac:dyDescent="0.35">
      <c r="A179" s="12">
        <v>696</v>
      </c>
      <c r="B179" s="12" t="s">
        <v>20</v>
      </c>
      <c r="C179" s="12">
        <v>56</v>
      </c>
      <c r="D179" s="12" t="s">
        <v>26</v>
      </c>
      <c r="E179" s="12" t="s">
        <v>14</v>
      </c>
      <c r="F179" s="12">
        <v>30</v>
      </c>
      <c r="G179" s="12">
        <v>66</v>
      </c>
      <c r="H179" s="12">
        <v>0.35</v>
      </c>
      <c r="I179" s="12" t="s">
        <v>23</v>
      </c>
      <c r="J179" s="12">
        <v>31</v>
      </c>
      <c r="K179" s="12">
        <v>0</v>
      </c>
      <c r="L179" s="12">
        <v>0</v>
      </c>
      <c r="M179" s="12">
        <v>0</v>
      </c>
      <c r="N179" s="12">
        <v>0</v>
      </c>
      <c r="O179" s="12" t="str">
        <f t="shared" si="2"/>
        <v>30 - 39</v>
      </c>
    </row>
    <row r="180" spans="1:15" x14ac:dyDescent="0.35">
      <c r="A180" s="11">
        <v>713</v>
      </c>
      <c r="B180" s="11" t="s">
        <v>12</v>
      </c>
      <c r="C180" s="11">
        <v>37</v>
      </c>
      <c r="D180" s="11" t="s">
        <v>28</v>
      </c>
      <c r="E180" s="11" t="s">
        <v>14</v>
      </c>
      <c r="F180" s="11">
        <v>252</v>
      </c>
      <c r="G180" s="11">
        <v>58</v>
      </c>
      <c r="H180" s="11">
        <v>0.41</v>
      </c>
      <c r="I180" s="11" t="s">
        <v>19</v>
      </c>
      <c r="J180" s="11">
        <v>28</v>
      </c>
      <c r="K180" s="11">
        <v>0</v>
      </c>
      <c r="L180" s="11">
        <v>0</v>
      </c>
      <c r="M180" s="11">
        <v>0</v>
      </c>
      <c r="N180" s="11">
        <v>0</v>
      </c>
      <c r="O180" s="12" t="str">
        <f t="shared" si="2"/>
        <v>20 - 29</v>
      </c>
    </row>
    <row r="181" spans="1:15" x14ac:dyDescent="0.35">
      <c r="A181" s="12">
        <v>714</v>
      </c>
      <c r="B181" s="12" t="s">
        <v>20</v>
      </c>
      <c r="C181" s="12">
        <v>39</v>
      </c>
      <c r="D181" s="12" t="s">
        <v>25</v>
      </c>
      <c r="E181" s="12" t="s">
        <v>14</v>
      </c>
      <c r="F181" s="12">
        <v>79</v>
      </c>
      <c r="G181" s="12">
        <v>5</v>
      </c>
      <c r="H181" s="12">
        <v>0.37</v>
      </c>
      <c r="I181" s="12" t="s">
        <v>23</v>
      </c>
      <c r="J181" s="12">
        <v>7</v>
      </c>
      <c r="K181" s="12">
        <v>0</v>
      </c>
      <c r="L181" s="12">
        <v>0</v>
      </c>
      <c r="M181" s="12">
        <v>0</v>
      </c>
      <c r="N181" s="12">
        <v>0</v>
      </c>
      <c r="O181" s="12" t="str">
        <f t="shared" si="2"/>
        <v>0 - 9</v>
      </c>
    </row>
    <row r="182" spans="1:15" x14ac:dyDescent="0.35">
      <c r="A182" s="11">
        <v>719</v>
      </c>
      <c r="B182" s="11" t="s">
        <v>16</v>
      </c>
      <c r="C182" s="11">
        <v>51</v>
      </c>
      <c r="D182" s="11" t="s">
        <v>29</v>
      </c>
      <c r="E182" s="11" t="s">
        <v>14</v>
      </c>
      <c r="F182" s="11">
        <v>250</v>
      </c>
      <c r="G182" s="11">
        <v>72</v>
      </c>
      <c r="H182" s="11">
        <v>0.12</v>
      </c>
      <c r="I182" s="11" t="s">
        <v>19</v>
      </c>
      <c r="J182" s="11">
        <v>40</v>
      </c>
      <c r="K182" s="11">
        <v>0</v>
      </c>
      <c r="L182" s="11">
        <v>1</v>
      </c>
      <c r="M182" s="11">
        <v>0</v>
      </c>
      <c r="N182" s="11">
        <v>0</v>
      </c>
      <c r="O182" s="12" t="str">
        <f t="shared" si="2"/>
        <v>40 - 49</v>
      </c>
    </row>
    <row r="183" spans="1:15" x14ac:dyDescent="0.35">
      <c r="A183" s="12">
        <v>721</v>
      </c>
      <c r="B183" s="12" t="s">
        <v>12</v>
      </c>
      <c r="C183" s="12">
        <v>18</v>
      </c>
      <c r="D183" s="12" t="s">
        <v>29</v>
      </c>
      <c r="E183" s="12" t="s">
        <v>14</v>
      </c>
      <c r="F183" s="12">
        <v>157</v>
      </c>
      <c r="G183" s="12">
        <v>48</v>
      </c>
      <c r="H183" s="12">
        <v>0.44</v>
      </c>
      <c r="I183" s="12" t="s">
        <v>23</v>
      </c>
      <c r="J183" s="12">
        <v>18</v>
      </c>
      <c r="K183" s="12">
        <v>0</v>
      </c>
      <c r="L183" s="12">
        <v>1</v>
      </c>
      <c r="M183" s="12">
        <v>0</v>
      </c>
      <c r="N183" s="12">
        <v>0</v>
      </c>
      <c r="O183" s="12" t="str">
        <f t="shared" si="2"/>
        <v>10 - 19</v>
      </c>
    </row>
    <row r="184" spans="1:15" x14ac:dyDescent="0.35">
      <c r="A184" s="11">
        <v>727</v>
      </c>
      <c r="B184" s="11" t="s">
        <v>16</v>
      </c>
      <c r="C184" s="11">
        <v>38</v>
      </c>
      <c r="D184" s="11" t="s">
        <v>27</v>
      </c>
      <c r="E184" s="11" t="s">
        <v>14</v>
      </c>
      <c r="F184" s="11">
        <v>186</v>
      </c>
      <c r="G184" s="11">
        <v>46</v>
      </c>
      <c r="H184" s="11">
        <v>7.0000000000000007E-2</v>
      </c>
      <c r="I184" s="11" t="s">
        <v>23</v>
      </c>
      <c r="J184" s="11">
        <v>30</v>
      </c>
      <c r="K184" s="11">
        <v>0</v>
      </c>
      <c r="L184" s="11">
        <v>0</v>
      </c>
      <c r="M184" s="11">
        <v>0</v>
      </c>
      <c r="N184" s="11">
        <v>0</v>
      </c>
      <c r="O184" s="12" t="str">
        <f t="shared" si="2"/>
        <v>30 - 39</v>
      </c>
    </row>
    <row r="185" spans="1:15" x14ac:dyDescent="0.35">
      <c r="A185" s="12">
        <v>740</v>
      </c>
      <c r="B185" s="12" t="s">
        <v>20</v>
      </c>
      <c r="C185" s="12">
        <v>36</v>
      </c>
      <c r="D185" s="12" t="s">
        <v>13</v>
      </c>
      <c r="E185" s="12" t="s">
        <v>14</v>
      </c>
      <c r="F185" s="12">
        <v>77</v>
      </c>
      <c r="G185" s="12">
        <v>85</v>
      </c>
      <c r="H185" s="12">
        <v>0</v>
      </c>
      <c r="I185" s="12" t="s">
        <v>19</v>
      </c>
      <c r="J185" s="12">
        <v>46</v>
      </c>
      <c r="K185" s="12">
        <v>0</v>
      </c>
      <c r="L185" s="12">
        <v>0</v>
      </c>
      <c r="M185" s="12">
        <v>0</v>
      </c>
      <c r="N185" s="12">
        <v>0</v>
      </c>
      <c r="O185" s="12" t="str">
        <f t="shared" si="2"/>
        <v>40 - 49</v>
      </c>
    </row>
    <row r="186" spans="1:15" x14ac:dyDescent="0.35">
      <c r="A186" s="11">
        <v>749</v>
      </c>
      <c r="B186" s="11" t="s">
        <v>16</v>
      </c>
      <c r="C186" s="11">
        <v>22</v>
      </c>
      <c r="D186" s="11" t="s">
        <v>21</v>
      </c>
      <c r="E186" s="11" t="s">
        <v>14</v>
      </c>
      <c r="F186" s="11">
        <v>276</v>
      </c>
      <c r="G186" s="11">
        <v>11</v>
      </c>
      <c r="H186" s="11">
        <v>0.13</v>
      </c>
      <c r="I186" s="11" t="s">
        <v>15</v>
      </c>
      <c r="J186" s="11">
        <v>9</v>
      </c>
      <c r="K186" s="11">
        <v>0</v>
      </c>
      <c r="L186" s="11">
        <v>0</v>
      </c>
      <c r="M186" s="11">
        <v>0</v>
      </c>
      <c r="N186" s="11">
        <v>0</v>
      </c>
      <c r="O186" s="12" t="str">
        <f t="shared" si="2"/>
        <v>0 - 9</v>
      </c>
    </row>
    <row r="187" spans="1:15" x14ac:dyDescent="0.35">
      <c r="A187" s="12">
        <v>755</v>
      </c>
      <c r="B187" s="12" t="s">
        <v>20</v>
      </c>
      <c r="C187" s="12">
        <v>33</v>
      </c>
      <c r="D187" s="12" t="s">
        <v>13</v>
      </c>
      <c r="E187" s="12" t="s">
        <v>14</v>
      </c>
      <c r="F187" s="12">
        <v>100</v>
      </c>
      <c r="G187" s="12">
        <v>8</v>
      </c>
      <c r="H187" s="12">
        <v>0.02</v>
      </c>
      <c r="I187" s="12" t="s">
        <v>23</v>
      </c>
      <c r="J187" s="12">
        <v>45</v>
      </c>
      <c r="K187" s="12">
        <v>0</v>
      </c>
      <c r="L187" s="12">
        <v>0</v>
      </c>
      <c r="M187" s="12">
        <v>0</v>
      </c>
      <c r="N187" s="12">
        <v>0</v>
      </c>
      <c r="O187" s="12" t="str">
        <f t="shared" si="2"/>
        <v>40 - 49</v>
      </c>
    </row>
    <row r="188" spans="1:15" x14ac:dyDescent="0.35">
      <c r="A188" s="11">
        <v>756</v>
      </c>
      <c r="B188" s="11" t="s">
        <v>16</v>
      </c>
      <c r="C188" s="11">
        <v>17</v>
      </c>
      <c r="D188" s="11" t="s">
        <v>26</v>
      </c>
      <c r="E188" s="11" t="s">
        <v>14</v>
      </c>
      <c r="F188" s="11">
        <v>206</v>
      </c>
      <c r="G188" s="11">
        <v>27</v>
      </c>
      <c r="H188" s="11">
        <v>0.42</v>
      </c>
      <c r="I188" s="11" t="s">
        <v>15</v>
      </c>
      <c r="J188" s="11">
        <v>49</v>
      </c>
      <c r="K188" s="11">
        <v>0</v>
      </c>
      <c r="L188" s="11">
        <v>0</v>
      </c>
      <c r="M188" s="11">
        <v>0</v>
      </c>
      <c r="N188" s="11">
        <v>0</v>
      </c>
      <c r="O188" s="12" t="str">
        <f t="shared" si="2"/>
        <v>40 - 49</v>
      </c>
    </row>
    <row r="189" spans="1:15" x14ac:dyDescent="0.35">
      <c r="A189" s="12">
        <v>763</v>
      </c>
      <c r="B189" s="12" t="s">
        <v>16</v>
      </c>
      <c r="C189" s="12">
        <v>17</v>
      </c>
      <c r="D189" s="12" t="s">
        <v>17</v>
      </c>
      <c r="E189" s="12" t="s">
        <v>14</v>
      </c>
      <c r="F189" s="12">
        <v>125</v>
      </c>
      <c r="G189" s="12">
        <v>77</v>
      </c>
      <c r="H189" s="12">
        <v>0.26</v>
      </c>
      <c r="I189" s="12" t="s">
        <v>15</v>
      </c>
      <c r="J189" s="12">
        <v>18</v>
      </c>
      <c r="K189" s="12">
        <v>0</v>
      </c>
      <c r="L189" s="12">
        <v>0</v>
      </c>
      <c r="M189" s="12">
        <v>0</v>
      </c>
      <c r="N189" s="12">
        <v>0</v>
      </c>
      <c r="O189" s="12" t="str">
        <f t="shared" si="2"/>
        <v>10 - 19</v>
      </c>
    </row>
    <row r="190" spans="1:15" x14ac:dyDescent="0.35">
      <c r="A190" s="11">
        <v>780</v>
      </c>
      <c r="B190" s="11" t="s">
        <v>12</v>
      </c>
      <c r="C190" s="11">
        <v>18</v>
      </c>
      <c r="D190" s="11" t="s">
        <v>17</v>
      </c>
      <c r="E190" s="11" t="s">
        <v>14</v>
      </c>
      <c r="F190" s="11">
        <v>213</v>
      </c>
      <c r="G190" s="11">
        <v>1</v>
      </c>
      <c r="H190" s="11">
        <v>0.35</v>
      </c>
      <c r="I190" s="11" t="s">
        <v>15</v>
      </c>
      <c r="J190" s="11">
        <v>5</v>
      </c>
      <c r="K190" s="11">
        <v>0</v>
      </c>
      <c r="L190" s="11">
        <v>1</v>
      </c>
      <c r="M190" s="11">
        <v>0</v>
      </c>
      <c r="N190" s="11">
        <v>0</v>
      </c>
      <c r="O190" s="12" t="str">
        <f t="shared" si="2"/>
        <v>0 - 9</v>
      </c>
    </row>
    <row r="191" spans="1:15" x14ac:dyDescent="0.35">
      <c r="A191" s="12">
        <v>787</v>
      </c>
      <c r="B191" s="12" t="s">
        <v>20</v>
      </c>
      <c r="C191" s="12">
        <v>46</v>
      </c>
      <c r="D191" s="12" t="s">
        <v>28</v>
      </c>
      <c r="E191" s="12" t="s">
        <v>14</v>
      </c>
      <c r="F191" s="12">
        <v>193</v>
      </c>
      <c r="G191" s="12">
        <v>94</v>
      </c>
      <c r="H191" s="12">
        <v>0.18</v>
      </c>
      <c r="I191" s="12" t="s">
        <v>23</v>
      </c>
      <c r="J191" s="12">
        <v>17</v>
      </c>
      <c r="K191" s="12">
        <v>0</v>
      </c>
      <c r="L191" s="12">
        <v>0</v>
      </c>
      <c r="M191" s="12">
        <v>0</v>
      </c>
      <c r="N191" s="12">
        <v>0</v>
      </c>
      <c r="O191" s="12" t="str">
        <f t="shared" si="2"/>
        <v>10 - 19</v>
      </c>
    </row>
    <row r="192" spans="1:15" x14ac:dyDescent="0.35">
      <c r="A192" s="11">
        <v>809</v>
      </c>
      <c r="B192" s="11" t="s">
        <v>16</v>
      </c>
      <c r="C192" s="11">
        <v>19</v>
      </c>
      <c r="D192" s="11" t="s">
        <v>21</v>
      </c>
      <c r="E192" s="11" t="s">
        <v>14</v>
      </c>
      <c r="F192" s="11">
        <v>26</v>
      </c>
      <c r="G192" s="11">
        <v>2</v>
      </c>
      <c r="H192" s="11">
        <v>0.57999999999999996</v>
      </c>
      <c r="I192" s="11" t="s">
        <v>19</v>
      </c>
      <c r="J192" s="11">
        <v>35</v>
      </c>
      <c r="K192" s="11">
        <v>0</v>
      </c>
      <c r="L192" s="11">
        <v>1</v>
      </c>
      <c r="M192" s="11">
        <v>0</v>
      </c>
      <c r="N192" s="11">
        <v>0</v>
      </c>
      <c r="O192" s="12" t="str">
        <f t="shared" si="2"/>
        <v>30 - 39</v>
      </c>
    </row>
    <row r="193" spans="1:15" x14ac:dyDescent="0.35">
      <c r="A193" s="12">
        <v>814</v>
      </c>
      <c r="B193" s="12" t="s">
        <v>16</v>
      </c>
      <c r="C193" s="12">
        <v>19</v>
      </c>
      <c r="D193" s="12" t="s">
        <v>28</v>
      </c>
      <c r="E193" s="12" t="s">
        <v>14</v>
      </c>
      <c r="F193" s="12">
        <v>197</v>
      </c>
      <c r="G193" s="12">
        <v>33</v>
      </c>
      <c r="H193" s="12">
        <v>0.17</v>
      </c>
      <c r="I193" s="12" t="s">
        <v>19</v>
      </c>
      <c r="J193" s="12">
        <v>41</v>
      </c>
      <c r="K193" s="12">
        <v>0</v>
      </c>
      <c r="L193" s="12">
        <v>0</v>
      </c>
      <c r="M193" s="12">
        <v>0</v>
      </c>
      <c r="N193" s="12">
        <v>0</v>
      </c>
      <c r="O193" s="12" t="str">
        <f t="shared" si="2"/>
        <v>40 - 49</v>
      </c>
    </row>
    <row r="194" spans="1:15" x14ac:dyDescent="0.35">
      <c r="A194" s="11">
        <v>816</v>
      </c>
      <c r="B194" s="11" t="s">
        <v>12</v>
      </c>
      <c r="C194" s="11">
        <v>22</v>
      </c>
      <c r="D194" s="11" t="s">
        <v>26</v>
      </c>
      <c r="E194" s="11" t="s">
        <v>14</v>
      </c>
      <c r="F194" s="11">
        <v>87</v>
      </c>
      <c r="G194" s="11">
        <v>60</v>
      </c>
      <c r="H194" s="11">
        <v>0.34</v>
      </c>
      <c r="I194" s="11" t="s">
        <v>15</v>
      </c>
      <c r="J194" s="11">
        <v>41</v>
      </c>
      <c r="K194" s="11">
        <v>0</v>
      </c>
      <c r="L194" s="11">
        <v>0</v>
      </c>
      <c r="M194" s="11">
        <v>0</v>
      </c>
      <c r="N194" s="11">
        <v>0</v>
      </c>
      <c r="O194" s="12" t="str">
        <f t="shared" ref="O194:O257" si="3">_xlfn.FLOOR.MATH(J194, 10) &amp; " - " &amp; (_xlfn.FLOOR.MATH(J194, 10) + 9)</f>
        <v>40 - 49</v>
      </c>
    </row>
    <row r="195" spans="1:15" x14ac:dyDescent="0.35">
      <c r="A195" s="12">
        <v>822</v>
      </c>
      <c r="B195" s="12" t="s">
        <v>12</v>
      </c>
      <c r="C195" s="12">
        <v>20</v>
      </c>
      <c r="D195" s="12" t="s">
        <v>28</v>
      </c>
      <c r="E195" s="12" t="s">
        <v>14</v>
      </c>
      <c r="F195" s="12">
        <v>181</v>
      </c>
      <c r="G195" s="12">
        <v>81</v>
      </c>
      <c r="H195" s="12">
        <v>0.12</v>
      </c>
      <c r="I195" s="12" t="s">
        <v>23</v>
      </c>
      <c r="J195" s="12">
        <v>43</v>
      </c>
      <c r="K195" s="12">
        <v>0</v>
      </c>
      <c r="L195" s="12">
        <v>0</v>
      </c>
      <c r="M195" s="12">
        <v>0</v>
      </c>
      <c r="N195" s="12">
        <v>0</v>
      </c>
      <c r="O195" s="12" t="str">
        <f t="shared" si="3"/>
        <v>40 - 49</v>
      </c>
    </row>
    <row r="196" spans="1:15" x14ac:dyDescent="0.35">
      <c r="A196" s="11">
        <v>836</v>
      </c>
      <c r="B196" s="11" t="s">
        <v>20</v>
      </c>
      <c r="C196" s="11">
        <v>17</v>
      </c>
      <c r="D196" s="11" t="s">
        <v>25</v>
      </c>
      <c r="E196" s="11" t="s">
        <v>14</v>
      </c>
      <c r="F196" s="11">
        <v>250</v>
      </c>
      <c r="G196" s="11">
        <v>80</v>
      </c>
      <c r="H196" s="11">
        <v>0.27</v>
      </c>
      <c r="I196" s="11" t="s">
        <v>19</v>
      </c>
      <c r="J196" s="11">
        <v>12</v>
      </c>
      <c r="K196" s="11">
        <v>0</v>
      </c>
      <c r="L196" s="11">
        <v>0</v>
      </c>
      <c r="M196" s="11">
        <v>0</v>
      </c>
      <c r="N196" s="11">
        <v>0</v>
      </c>
      <c r="O196" s="12" t="str">
        <f t="shared" si="3"/>
        <v>10 - 19</v>
      </c>
    </row>
    <row r="197" spans="1:15" x14ac:dyDescent="0.35">
      <c r="A197" s="12">
        <v>837</v>
      </c>
      <c r="B197" s="12" t="s">
        <v>12</v>
      </c>
      <c r="C197" s="12">
        <v>25</v>
      </c>
      <c r="D197" s="12" t="s">
        <v>29</v>
      </c>
      <c r="E197" s="12" t="s">
        <v>14</v>
      </c>
      <c r="F197" s="12">
        <v>118</v>
      </c>
      <c r="G197" s="12">
        <v>77</v>
      </c>
      <c r="H197" s="12">
        <v>0.56999999999999995</v>
      </c>
      <c r="I197" s="12" t="s">
        <v>19</v>
      </c>
      <c r="J197" s="12">
        <v>43</v>
      </c>
      <c r="K197" s="12">
        <v>0</v>
      </c>
      <c r="L197" s="12">
        <v>0</v>
      </c>
      <c r="M197" s="12">
        <v>0</v>
      </c>
      <c r="N197" s="12">
        <v>0</v>
      </c>
      <c r="O197" s="12" t="str">
        <f t="shared" si="3"/>
        <v>40 - 49</v>
      </c>
    </row>
    <row r="198" spans="1:15" x14ac:dyDescent="0.35">
      <c r="A198" s="11">
        <v>841</v>
      </c>
      <c r="B198" s="11" t="s">
        <v>12</v>
      </c>
      <c r="C198" s="11">
        <v>39</v>
      </c>
      <c r="D198" s="11" t="s">
        <v>13</v>
      </c>
      <c r="E198" s="11" t="s">
        <v>14</v>
      </c>
      <c r="F198" s="11">
        <v>162</v>
      </c>
      <c r="G198" s="11">
        <v>4</v>
      </c>
      <c r="H198" s="11">
        <v>0.49</v>
      </c>
      <c r="I198" s="11" t="s">
        <v>19</v>
      </c>
      <c r="J198" s="11">
        <v>5</v>
      </c>
      <c r="K198" s="11">
        <v>0</v>
      </c>
      <c r="L198" s="11">
        <v>0</v>
      </c>
      <c r="M198" s="11">
        <v>0</v>
      </c>
      <c r="N198" s="11">
        <v>0</v>
      </c>
      <c r="O198" s="12" t="str">
        <f t="shared" si="3"/>
        <v>0 - 9</v>
      </c>
    </row>
    <row r="199" spans="1:15" x14ac:dyDescent="0.35">
      <c r="A199" s="12">
        <v>854</v>
      </c>
      <c r="B199" s="12" t="s">
        <v>20</v>
      </c>
      <c r="C199" s="12">
        <v>54</v>
      </c>
      <c r="D199" s="12" t="s">
        <v>27</v>
      </c>
      <c r="E199" s="12" t="s">
        <v>14</v>
      </c>
      <c r="F199" s="12">
        <v>48</v>
      </c>
      <c r="G199" s="12">
        <v>26</v>
      </c>
      <c r="H199" s="12">
        <v>0.56000000000000005</v>
      </c>
      <c r="I199" s="12" t="s">
        <v>23</v>
      </c>
      <c r="J199" s="12">
        <v>5</v>
      </c>
      <c r="K199" s="12">
        <v>0</v>
      </c>
      <c r="L199" s="12">
        <v>0</v>
      </c>
      <c r="M199" s="12">
        <v>0</v>
      </c>
      <c r="N199" s="12">
        <v>0</v>
      </c>
      <c r="O199" s="12" t="str">
        <f t="shared" si="3"/>
        <v>0 - 9</v>
      </c>
    </row>
    <row r="200" spans="1:15" x14ac:dyDescent="0.35">
      <c r="A200" s="11">
        <v>855</v>
      </c>
      <c r="B200" s="11" t="s">
        <v>12</v>
      </c>
      <c r="C200" s="11">
        <v>40</v>
      </c>
      <c r="D200" s="11" t="s">
        <v>13</v>
      </c>
      <c r="E200" s="11" t="s">
        <v>14</v>
      </c>
      <c r="F200" s="11">
        <v>89</v>
      </c>
      <c r="G200" s="11">
        <v>5</v>
      </c>
      <c r="H200" s="11">
        <v>0.39</v>
      </c>
      <c r="I200" s="11" t="s">
        <v>19</v>
      </c>
      <c r="J200" s="11">
        <v>30</v>
      </c>
      <c r="K200" s="11">
        <v>0</v>
      </c>
      <c r="L200" s="11">
        <v>0</v>
      </c>
      <c r="M200" s="11">
        <v>0</v>
      </c>
      <c r="N200" s="11">
        <v>0</v>
      </c>
      <c r="O200" s="12" t="str">
        <f t="shared" si="3"/>
        <v>30 - 39</v>
      </c>
    </row>
    <row r="201" spans="1:15" x14ac:dyDescent="0.35">
      <c r="A201" s="12">
        <v>866</v>
      </c>
      <c r="B201" s="12" t="s">
        <v>20</v>
      </c>
      <c r="C201" s="12">
        <v>44</v>
      </c>
      <c r="D201" s="12" t="s">
        <v>26</v>
      </c>
      <c r="E201" s="12" t="s">
        <v>14</v>
      </c>
      <c r="F201" s="12">
        <v>58</v>
      </c>
      <c r="G201" s="12">
        <v>61</v>
      </c>
      <c r="H201" s="12">
        <v>0.26</v>
      </c>
      <c r="I201" s="12" t="s">
        <v>15</v>
      </c>
      <c r="J201" s="12">
        <v>14</v>
      </c>
      <c r="K201" s="12">
        <v>0</v>
      </c>
      <c r="L201" s="12">
        <v>0</v>
      </c>
      <c r="M201" s="12">
        <v>0</v>
      </c>
      <c r="N201" s="12">
        <v>0</v>
      </c>
      <c r="O201" s="12" t="str">
        <f t="shared" si="3"/>
        <v>10 - 19</v>
      </c>
    </row>
    <row r="202" spans="1:15" x14ac:dyDescent="0.35">
      <c r="A202" s="11">
        <v>868</v>
      </c>
      <c r="B202" s="11" t="s">
        <v>20</v>
      </c>
      <c r="C202" s="11">
        <v>33</v>
      </c>
      <c r="D202" s="11" t="s">
        <v>17</v>
      </c>
      <c r="E202" s="11" t="s">
        <v>14</v>
      </c>
      <c r="F202" s="11">
        <v>239</v>
      </c>
      <c r="G202" s="11">
        <v>17</v>
      </c>
      <c r="H202" s="11">
        <v>0.25</v>
      </c>
      <c r="I202" s="11" t="s">
        <v>19</v>
      </c>
      <c r="J202" s="11">
        <v>28</v>
      </c>
      <c r="K202" s="11">
        <v>0</v>
      </c>
      <c r="L202" s="11">
        <v>1</v>
      </c>
      <c r="M202" s="11">
        <v>0</v>
      </c>
      <c r="N202" s="11">
        <v>0</v>
      </c>
      <c r="O202" s="12" t="str">
        <f t="shared" si="3"/>
        <v>20 - 29</v>
      </c>
    </row>
    <row r="203" spans="1:15" x14ac:dyDescent="0.35">
      <c r="A203" s="12">
        <v>870</v>
      </c>
      <c r="B203" s="12" t="s">
        <v>12</v>
      </c>
      <c r="C203" s="12">
        <v>27</v>
      </c>
      <c r="D203" s="12" t="s">
        <v>13</v>
      </c>
      <c r="E203" s="12" t="s">
        <v>14</v>
      </c>
      <c r="F203" s="12">
        <v>230</v>
      </c>
      <c r="G203" s="12">
        <v>13</v>
      </c>
      <c r="H203" s="12">
        <v>0.24</v>
      </c>
      <c r="I203" s="12" t="s">
        <v>23</v>
      </c>
      <c r="J203" s="12">
        <v>46</v>
      </c>
      <c r="K203" s="12">
        <v>0</v>
      </c>
      <c r="L203" s="12">
        <v>1</v>
      </c>
      <c r="M203" s="12">
        <v>0</v>
      </c>
      <c r="N203" s="12">
        <v>0</v>
      </c>
      <c r="O203" s="12" t="str">
        <f t="shared" si="3"/>
        <v>40 - 49</v>
      </c>
    </row>
    <row r="204" spans="1:15" x14ac:dyDescent="0.35">
      <c r="A204" s="11">
        <v>871</v>
      </c>
      <c r="B204" s="11" t="s">
        <v>20</v>
      </c>
      <c r="C204" s="11">
        <v>24</v>
      </c>
      <c r="D204" s="11" t="s">
        <v>28</v>
      </c>
      <c r="E204" s="11" t="s">
        <v>14</v>
      </c>
      <c r="F204" s="11">
        <v>119</v>
      </c>
      <c r="G204" s="11">
        <v>67</v>
      </c>
      <c r="H204" s="11">
        <v>0.08</v>
      </c>
      <c r="I204" s="11" t="s">
        <v>23</v>
      </c>
      <c r="J204" s="11">
        <v>11</v>
      </c>
      <c r="K204" s="11">
        <v>0</v>
      </c>
      <c r="L204" s="11">
        <v>0</v>
      </c>
      <c r="M204" s="11">
        <v>0</v>
      </c>
      <c r="N204" s="11">
        <v>0</v>
      </c>
      <c r="O204" s="12" t="str">
        <f t="shared" si="3"/>
        <v>10 - 19</v>
      </c>
    </row>
    <row r="205" spans="1:15" x14ac:dyDescent="0.35">
      <c r="A205" s="12">
        <v>873</v>
      </c>
      <c r="B205" s="12" t="s">
        <v>16</v>
      </c>
      <c r="C205" s="12">
        <v>49</v>
      </c>
      <c r="D205" s="12" t="s">
        <v>25</v>
      </c>
      <c r="E205" s="12" t="s">
        <v>14</v>
      </c>
      <c r="F205" s="12">
        <v>132</v>
      </c>
      <c r="G205" s="12">
        <v>31</v>
      </c>
      <c r="H205" s="12">
        <v>0.22</v>
      </c>
      <c r="I205" s="12" t="s">
        <v>15</v>
      </c>
      <c r="J205" s="12">
        <v>6</v>
      </c>
      <c r="K205" s="12">
        <v>0</v>
      </c>
      <c r="L205" s="12">
        <v>0</v>
      </c>
      <c r="M205" s="12">
        <v>0</v>
      </c>
      <c r="N205" s="12">
        <v>0</v>
      </c>
      <c r="O205" s="12" t="str">
        <f t="shared" si="3"/>
        <v>0 - 9</v>
      </c>
    </row>
    <row r="206" spans="1:15" x14ac:dyDescent="0.35">
      <c r="A206" s="11">
        <v>874</v>
      </c>
      <c r="B206" s="11" t="s">
        <v>20</v>
      </c>
      <c r="C206" s="11">
        <v>52</v>
      </c>
      <c r="D206" s="11" t="s">
        <v>13</v>
      </c>
      <c r="E206" s="11" t="s">
        <v>14</v>
      </c>
      <c r="F206" s="11">
        <v>251</v>
      </c>
      <c r="G206" s="11">
        <v>30</v>
      </c>
      <c r="H206" s="11">
        <v>0.28999999999999998</v>
      </c>
      <c r="I206" s="11" t="s">
        <v>15</v>
      </c>
      <c r="J206" s="11">
        <v>37</v>
      </c>
      <c r="K206" s="11">
        <v>0</v>
      </c>
      <c r="L206" s="11">
        <v>0</v>
      </c>
      <c r="M206" s="11">
        <v>0</v>
      </c>
      <c r="N206" s="11">
        <v>0</v>
      </c>
      <c r="O206" s="12" t="str">
        <f t="shared" si="3"/>
        <v>30 - 39</v>
      </c>
    </row>
    <row r="207" spans="1:15" x14ac:dyDescent="0.35">
      <c r="A207" s="12">
        <v>878</v>
      </c>
      <c r="B207" s="12" t="s">
        <v>12</v>
      </c>
      <c r="C207" s="12">
        <v>45</v>
      </c>
      <c r="D207" s="12" t="s">
        <v>29</v>
      </c>
      <c r="E207" s="12" t="s">
        <v>14</v>
      </c>
      <c r="F207" s="12">
        <v>221</v>
      </c>
      <c r="G207" s="12">
        <v>6</v>
      </c>
      <c r="H207" s="12">
        <v>0.48</v>
      </c>
      <c r="I207" s="12" t="s">
        <v>23</v>
      </c>
      <c r="J207" s="12">
        <v>21</v>
      </c>
      <c r="K207" s="12">
        <v>0</v>
      </c>
      <c r="L207" s="12">
        <v>1</v>
      </c>
      <c r="M207" s="12">
        <v>0</v>
      </c>
      <c r="N207" s="12">
        <v>0</v>
      </c>
      <c r="O207" s="12" t="str">
        <f t="shared" si="3"/>
        <v>20 - 29</v>
      </c>
    </row>
    <row r="208" spans="1:15" x14ac:dyDescent="0.35">
      <c r="A208" s="11">
        <v>886</v>
      </c>
      <c r="B208" s="11" t="s">
        <v>20</v>
      </c>
      <c r="C208" s="11">
        <v>59</v>
      </c>
      <c r="D208" s="11" t="s">
        <v>21</v>
      </c>
      <c r="E208" s="11" t="s">
        <v>14</v>
      </c>
      <c r="F208" s="11">
        <v>51</v>
      </c>
      <c r="G208" s="11">
        <v>99</v>
      </c>
      <c r="H208" s="11">
        <v>0.55000000000000004</v>
      </c>
      <c r="I208" s="11" t="s">
        <v>19</v>
      </c>
      <c r="J208" s="11">
        <v>8</v>
      </c>
      <c r="K208" s="11">
        <v>0</v>
      </c>
      <c r="L208" s="11">
        <v>1</v>
      </c>
      <c r="M208" s="11">
        <v>0</v>
      </c>
      <c r="N208" s="11">
        <v>0</v>
      </c>
      <c r="O208" s="12" t="str">
        <f t="shared" si="3"/>
        <v>0 - 9</v>
      </c>
    </row>
    <row r="209" spans="1:15" x14ac:dyDescent="0.35">
      <c r="A209" s="12">
        <v>890</v>
      </c>
      <c r="B209" s="12" t="s">
        <v>12</v>
      </c>
      <c r="C209" s="12">
        <v>48</v>
      </c>
      <c r="D209" s="12" t="s">
        <v>28</v>
      </c>
      <c r="E209" s="12" t="s">
        <v>14</v>
      </c>
      <c r="F209" s="12">
        <v>246</v>
      </c>
      <c r="G209" s="12">
        <v>27</v>
      </c>
      <c r="H209" s="12">
        <v>0.41</v>
      </c>
      <c r="I209" s="12" t="s">
        <v>19</v>
      </c>
      <c r="J209" s="12">
        <v>24</v>
      </c>
      <c r="K209" s="12">
        <v>0</v>
      </c>
      <c r="L209" s="12">
        <v>0</v>
      </c>
      <c r="M209" s="12">
        <v>0</v>
      </c>
      <c r="N209" s="12">
        <v>0</v>
      </c>
      <c r="O209" s="12" t="str">
        <f t="shared" si="3"/>
        <v>20 - 29</v>
      </c>
    </row>
    <row r="210" spans="1:15" x14ac:dyDescent="0.35">
      <c r="A210" s="11">
        <v>891</v>
      </c>
      <c r="B210" s="11" t="s">
        <v>16</v>
      </c>
      <c r="C210" s="11">
        <v>28</v>
      </c>
      <c r="D210" s="11" t="s">
        <v>28</v>
      </c>
      <c r="E210" s="11" t="s">
        <v>14</v>
      </c>
      <c r="F210" s="11">
        <v>26</v>
      </c>
      <c r="G210" s="11">
        <v>59</v>
      </c>
      <c r="H210" s="11">
        <v>0.25</v>
      </c>
      <c r="I210" s="11" t="s">
        <v>15</v>
      </c>
      <c r="J210" s="11">
        <v>5</v>
      </c>
      <c r="K210" s="11">
        <v>0</v>
      </c>
      <c r="L210" s="11">
        <v>0</v>
      </c>
      <c r="M210" s="11">
        <v>0</v>
      </c>
      <c r="N210" s="11">
        <v>0</v>
      </c>
      <c r="O210" s="12" t="str">
        <f t="shared" si="3"/>
        <v>0 - 9</v>
      </c>
    </row>
    <row r="211" spans="1:15" x14ac:dyDescent="0.35">
      <c r="A211" s="12">
        <v>892</v>
      </c>
      <c r="B211" s="12" t="s">
        <v>12</v>
      </c>
      <c r="C211" s="12">
        <v>48</v>
      </c>
      <c r="D211" s="12" t="s">
        <v>27</v>
      </c>
      <c r="E211" s="12" t="s">
        <v>14</v>
      </c>
      <c r="F211" s="12">
        <v>134</v>
      </c>
      <c r="G211" s="12">
        <v>79</v>
      </c>
      <c r="H211" s="12">
        <v>0.16</v>
      </c>
      <c r="I211" s="12" t="s">
        <v>23</v>
      </c>
      <c r="J211" s="12">
        <v>31</v>
      </c>
      <c r="K211" s="12">
        <v>0</v>
      </c>
      <c r="L211" s="12">
        <v>0</v>
      </c>
      <c r="M211" s="12">
        <v>0</v>
      </c>
      <c r="N211" s="12">
        <v>0</v>
      </c>
      <c r="O211" s="12" t="str">
        <f t="shared" si="3"/>
        <v>30 - 39</v>
      </c>
    </row>
    <row r="212" spans="1:15" x14ac:dyDescent="0.35">
      <c r="A212" s="11">
        <v>894</v>
      </c>
      <c r="B212" s="11" t="s">
        <v>12</v>
      </c>
      <c r="C212" s="11">
        <v>33</v>
      </c>
      <c r="D212" s="11" t="s">
        <v>26</v>
      </c>
      <c r="E212" s="11" t="s">
        <v>14</v>
      </c>
      <c r="F212" s="11">
        <v>288</v>
      </c>
      <c r="G212" s="11">
        <v>13</v>
      </c>
      <c r="H212" s="11">
        <v>0.59</v>
      </c>
      <c r="I212" s="11" t="s">
        <v>15</v>
      </c>
      <c r="J212" s="11">
        <v>39</v>
      </c>
      <c r="K212" s="11">
        <v>0</v>
      </c>
      <c r="L212" s="11">
        <v>1</v>
      </c>
      <c r="M212" s="11">
        <v>0</v>
      </c>
      <c r="N212" s="11">
        <v>0</v>
      </c>
      <c r="O212" s="12" t="str">
        <f t="shared" si="3"/>
        <v>30 - 39</v>
      </c>
    </row>
    <row r="213" spans="1:15" x14ac:dyDescent="0.35">
      <c r="A213" s="12">
        <v>903</v>
      </c>
      <c r="B213" s="12" t="s">
        <v>12</v>
      </c>
      <c r="C213" s="12">
        <v>57</v>
      </c>
      <c r="D213" s="12" t="s">
        <v>28</v>
      </c>
      <c r="E213" s="12" t="s">
        <v>14</v>
      </c>
      <c r="F213" s="12">
        <v>206</v>
      </c>
      <c r="G213" s="12">
        <v>97</v>
      </c>
      <c r="H213" s="12">
        <v>0.39</v>
      </c>
      <c r="I213" s="12" t="s">
        <v>15</v>
      </c>
      <c r="J213" s="12">
        <v>38</v>
      </c>
      <c r="K213" s="12">
        <v>0</v>
      </c>
      <c r="L213" s="12">
        <v>1</v>
      </c>
      <c r="M213" s="12">
        <v>0</v>
      </c>
      <c r="N213" s="12">
        <v>0</v>
      </c>
      <c r="O213" s="12" t="str">
        <f t="shared" si="3"/>
        <v>30 - 39</v>
      </c>
    </row>
    <row r="214" spans="1:15" x14ac:dyDescent="0.35">
      <c r="A214" s="11">
        <v>906</v>
      </c>
      <c r="B214" s="11" t="s">
        <v>20</v>
      </c>
      <c r="C214" s="11">
        <v>16</v>
      </c>
      <c r="D214" s="11" t="s">
        <v>13</v>
      </c>
      <c r="E214" s="11" t="s">
        <v>14</v>
      </c>
      <c r="F214" s="11">
        <v>183</v>
      </c>
      <c r="G214" s="11">
        <v>71</v>
      </c>
      <c r="H214" s="11">
        <v>0.1</v>
      </c>
      <c r="I214" s="11" t="s">
        <v>23</v>
      </c>
      <c r="J214" s="11">
        <v>22</v>
      </c>
      <c r="K214" s="11">
        <v>0</v>
      </c>
      <c r="L214" s="11">
        <v>0</v>
      </c>
      <c r="M214" s="11">
        <v>0</v>
      </c>
      <c r="N214" s="11">
        <v>0</v>
      </c>
      <c r="O214" s="12" t="str">
        <f t="shared" si="3"/>
        <v>20 - 29</v>
      </c>
    </row>
    <row r="215" spans="1:15" x14ac:dyDescent="0.35">
      <c r="A215" s="12">
        <v>907</v>
      </c>
      <c r="B215" s="12" t="s">
        <v>20</v>
      </c>
      <c r="C215" s="12">
        <v>57</v>
      </c>
      <c r="D215" s="12" t="s">
        <v>27</v>
      </c>
      <c r="E215" s="12" t="s">
        <v>14</v>
      </c>
      <c r="F215" s="12">
        <v>212</v>
      </c>
      <c r="G215" s="12">
        <v>90</v>
      </c>
      <c r="H215" s="12">
        <v>0.22</v>
      </c>
      <c r="I215" s="12" t="s">
        <v>23</v>
      </c>
      <c r="J215" s="12">
        <v>14</v>
      </c>
      <c r="K215" s="12">
        <v>0</v>
      </c>
      <c r="L215" s="12">
        <v>0</v>
      </c>
      <c r="M215" s="12">
        <v>0</v>
      </c>
      <c r="N215" s="12">
        <v>0</v>
      </c>
      <c r="O215" s="12" t="str">
        <f t="shared" si="3"/>
        <v>10 - 19</v>
      </c>
    </row>
    <row r="216" spans="1:15" x14ac:dyDescent="0.35">
      <c r="A216" s="11">
        <v>909</v>
      </c>
      <c r="B216" s="11" t="s">
        <v>12</v>
      </c>
      <c r="C216" s="11">
        <v>50</v>
      </c>
      <c r="D216" s="11" t="s">
        <v>25</v>
      </c>
      <c r="E216" s="11" t="s">
        <v>14</v>
      </c>
      <c r="F216" s="11">
        <v>210</v>
      </c>
      <c r="G216" s="11">
        <v>48</v>
      </c>
      <c r="H216" s="11">
        <v>0.25</v>
      </c>
      <c r="I216" s="11" t="s">
        <v>15</v>
      </c>
      <c r="J216" s="11">
        <v>21</v>
      </c>
      <c r="K216" s="11">
        <v>0</v>
      </c>
      <c r="L216" s="11">
        <v>0</v>
      </c>
      <c r="M216" s="11">
        <v>0</v>
      </c>
      <c r="N216" s="11">
        <v>0</v>
      </c>
      <c r="O216" s="12" t="str">
        <f t="shared" si="3"/>
        <v>20 - 29</v>
      </c>
    </row>
    <row r="217" spans="1:15" x14ac:dyDescent="0.35">
      <c r="A217" s="12">
        <v>910</v>
      </c>
      <c r="B217" s="12" t="s">
        <v>20</v>
      </c>
      <c r="C217" s="12">
        <v>29</v>
      </c>
      <c r="D217" s="12" t="s">
        <v>29</v>
      </c>
      <c r="E217" s="12" t="s">
        <v>14</v>
      </c>
      <c r="F217" s="12">
        <v>128</v>
      </c>
      <c r="G217" s="12">
        <v>5</v>
      </c>
      <c r="H217" s="12">
        <v>0.25</v>
      </c>
      <c r="I217" s="12" t="s">
        <v>19</v>
      </c>
      <c r="J217" s="12">
        <v>7</v>
      </c>
      <c r="K217" s="12">
        <v>0</v>
      </c>
      <c r="L217" s="12">
        <v>0</v>
      </c>
      <c r="M217" s="12">
        <v>0</v>
      </c>
      <c r="N217" s="12">
        <v>0</v>
      </c>
      <c r="O217" s="12" t="str">
        <f t="shared" si="3"/>
        <v>0 - 9</v>
      </c>
    </row>
    <row r="218" spans="1:15" x14ac:dyDescent="0.35">
      <c r="A218" s="11">
        <v>914</v>
      </c>
      <c r="B218" s="11" t="s">
        <v>20</v>
      </c>
      <c r="C218" s="11">
        <v>45</v>
      </c>
      <c r="D218" s="11" t="s">
        <v>29</v>
      </c>
      <c r="E218" s="11" t="s">
        <v>14</v>
      </c>
      <c r="F218" s="11">
        <v>254</v>
      </c>
      <c r="G218" s="11">
        <v>75</v>
      </c>
      <c r="H218" s="11">
        <v>0.56000000000000005</v>
      </c>
      <c r="I218" s="11" t="s">
        <v>19</v>
      </c>
      <c r="J218" s="11">
        <v>31</v>
      </c>
      <c r="K218" s="11">
        <v>0</v>
      </c>
      <c r="L218" s="11">
        <v>0</v>
      </c>
      <c r="M218" s="11">
        <v>0</v>
      </c>
      <c r="N218" s="11">
        <v>0</v>
      </c>
      <c r="O218" s="12" t="str">
        <f t="shared" si="3"/>
        <v>30 - 39</v>
      </c>
    </row>
    <row r="219" spans="1:15" x14ac:dyDescent="0.35">
      <c r="A219" s="12">
        <v>919</v>
      </c>
      <c r="B219" s="12" t="s">
        <v>16</v>
      </c>
      <c r="C219" s="12">
        <v>20</v>
      </c>
      <c r="D219" s="12" t="s">
        <v>21</v>
      </c>
      <c r="E219" s="12" t="s">
        <v>14</v>
      </c>
      <c r="F219" s="12">
        <v>170</v>
      </c>
      <c r="G219" s="12">
        <v>8</v>
      </c>
      <c r="H219" s="12">
        <v>0.28999999999999998</v>
      </c>
      <c r="I219" s="12" t="s">
        <v>15</v>
      </c>
      <c r="J219" s="12">
        <v>46</v>
      </c>
      <c r="K219" s="12">
        <v>0</v>
      </c>
      <c r="L219" s="12">
        <v>0</v>
      </c>
      <c r="M219" s="12">
        <v>0</v>
      </c>
      <c r="N219" s="12">
        <v>0</v>
      </c>
      <c r="O219" s="12" t="str">
        <f t="shared" si="3"/>
        <v>40 - 49</v>
      </c>
    </row>
    <row r="220" spans="1:15" x14ac:dyDescent="0.35">
      <c r="A220" s="11">
        <v>920</v>
      </c>
      <c r="B220" s="11" t="s">
        <v>12</v>
      </c>
      <c r="C220" s="11">
        <v>47</v>
      </c>
      <c r="D220" s="11" t="s">
        <v>21</v>
      </c>
      <c r="E220" s="11" t="s">
        <v>14</v>
      </c>
      <c r="F220" s="11">
        <v>208</v>
      </c>
      <c r="G220" s="11">
        <v>49</v>
      </c>
      <c r="H220" s="11">
        <v>0.3</v>
      </c>
      <c r="I220" s="11" t="s">
        <v>23</v>
      </c>
      <c r="J220" s="11">
        <v>45</v>
      </c>
      <c r="K220" s="11">
        <v>0</v>
      </c>
      <c r="L220" s="11">
        <v>0</v>
      </c>
      <c r="M220" s="11">
        <v>0</v>
      </c>
      <c r="N220" s="11">
        <v>0</v>
      </c>
      <c r="O220" s="12" t="str">
        <f t="shared" si="3"/>
        <v>40 - 49</v>
      </c>
    </row>
    <row r="221" spans="1:15" x14ac:dyDescent="0.35">
      <c r="A221" s="12">
        <v>923</v>
      </c>
      <c r="B221" s="12" t="s">
        <v>20</v>
      </c>
      <c r="C221" s="12">
        <v>48</v>
      </c>
      <c r="D221" s="12" t="s">
        <v>25</v>
      </c>
      <c r="E221" s="12" t="s">
        <v>14</v>
      </c>
      <c r="F221" s="12">
        <v>243</v>
      </c>
      <c r="G221" s="12">
        <v>48</v>
      </c>
      <c r="H221" s="12">
        <v>0.6</v>
      </c>
      <c r="I221" s="12" t="s">
        <v>15</v>
      </c>
      <c r="J221" s="12">
        <v>33</v>
      </c>
      <c r="K221" s="12">
        <v>0</v>
      </c>
      <c r="L221" s="12">
        <v>1</v>
      </c>
      <c r="M221" s="12">
        <v>0</v>
      </c>
      <c r="N221" s="12">
        <v>0</v>
      </c>
      <c r="O221" s="12" t="str">
        <f t="shared" si="3"/>
        <v>30 - 39</v>
      </c>
    </row>
    <row r="222" spans="1:15" x14ac:dyDescent="0.35">
      <c r="A222" s="11">
        <v>925</v>
      </c>
      <c r="B222" s="11" t="s">
        <v>16</v>
      </c>
      <c r="C222" s="11">
        <v>47</v>
      </c>
      <c r="D222" s="11" t="s">
        <v>17</v>
      </c>
      <c r="E222" s="11" t="s">
        <v>14</v>
      </c>
      <c r="F222" s="11">
        <v>271</v>
      </c>
      <c r="G222" s="11">
        <v>94</v>
      </c>
      <c r="H222" s="11">
        <v>0.52</v>
      </c>
      <c r="I222" s="11" t="s">
        <v>15</v>
      </c>
      <c r="J222" s="11">
        <v>31</v>
      </c>
      <c r="K222" s="11">
        <v>0</v>
      </c>
      <c r="L222" s="11">
        <v>1</v>
      </c>
      <c r="M222" s="11">
        <v>0</v>
      </c>
      <c r="N222" s="11">
        <v>0</v>
      </c>
      <c r="O222" s="12" t="str">
        <f t="shared" si="3"/>
        <v>30 - 39</v>
      </c>
    </row>
    <row r="223" spans="1:15" x14ac:dyDescent="0.35">
      <c r="A223" s="12">
        <v>939</v>
      </c>
      <c r="B223" s="12" t="s">
        <v>16</v>
      </c>
      <c r="C223" s="12">
        <v>48</v>
      </c>
      <c r="D223" s="12" t="s">
        <v>26</v>
      </c>
      <c r="E223" s="12" t="s">
        <v>14</v>
      </c>
      <c r="F223" s="12">
        <v>287</v>
      </c>
      <c r="G223" s="12">
        <v>79</v>
      </c>
      <c r="H223" s="12">
        <v>0.13</v>
      </c>
      <c r="I223" s="12" t="s">
        <v>15</v>
      </c>
      <c r="J223" s="12">
        <v>24</v>
      </c>
      <c r="K223" s="12">
        <v>0</v>
      </c>
      <c r="L223" s="12">
        <v>1</v>
      </c>
      <c r="M223" s="12">
        <v>0</v>
      </c>
      <c r="N223" s="12">
        <v>0</v>
      </c>
      <c r="O223" s="12" t="str">
        <f t="shared" si="3"/>
        <v>20 - 29</v>
      </c>
    </row>
    <row r="224" spans="1:15" x14ac:dyDescent="0.35">
      <c r="A224" s="11">
        <v>940</v>
      </c>
      <c r="B224" s="11" t="s">
        <v>16</v>
      </c>
      <c r="C224" s="11">
        <v>28</v>
      </c>
      <c r="D224" s="11" t="s">
        <v>25</v>
      </c>
      <c r="E224" s="11" t="s">
        <v>14</v>
      </c>
      <c r="F224" s="11">
        <v>67</v>
      </c>
      <c r="G224" s="11">
        <v>67</v>
      </c>
      <c r="H224" s="11">
        <v>0.13</v>
      </c>
      <c r="I224" s="11" t="s">
        <v>19</v>
      </c>
      <c r="J224" s="11">
        <v>44</v>
      </c>
      <c r="K224" s="11">
        <v>0</v>
      </c>
      <c r="L224" s="11">
        <v>0</v>
      </c>
      <c r="M224" s="11">
        <v>0</v>
      </c>
      <c r="N224" s="11">
        <v>0</v>
      </c>
      <c r="O224" s="12" t="str">
        <f t="shared" si="3"/>
        <v>40 - 49</v>
      </c>
    </row>
    <row r="225" spans="1:15" x14ac:dyDescent="0.35">
      <c r="A225" s="12">
        <v>961</v>
      </c>
      <c r="B225" s="12" t="s">
        <v>20</v>
      </c>
      <c r="C225" s="12">
        <v>36</v>
      </c>
      <c r="D225" s="12" t="s">
        <v>28</v>
      </c>
      <c r="E225" s="12" t="s">
        <v>14</v>
      </c>
      <c r="F225" s="12">
        <v>102</v>
      </c>
      <c r="G225" s="12">
        <v>71</v>
      </c>
      <c r="H225" s="12">
        <v>0.34</v>
      </c>
      <c r="I225" s="12" t="s">
        <v>19</v>
      </c>
      <c r="J225" s="12">
        <v>20</v>
      </c>
      <c r="K225" s="12">
        <v>0</v>
      </c>
      <c r="L225" s="12">
        <v>0</v>
      </c>
      <c r="M225" s="12">
        <v>0</v>
      </c>
      <c r="N225" s="12">
        <v>0</v>
      </c>
      <c r="O225" s="12" t="str">
        <f t="shared" si="3"/>
        <v>20 - 29</v>
      </c>
    </row>
    <row r="226" spans="1:15" x14ac:dyDescent="0.35">
      <c r="A226" s="11">
        <v>964</v>
      </c>
      <c r="B226" s="11" t="s">
        <v>12</v>
      </c>
      <c r="C226" s="11">
        <v>53</v>
      </c>
      <c r="D226" s="11" t="s">
        <v>13</v>
      </c>
      <c r="E226" s="11" t="s">
        <v>14</v>
      </c>
      <c r="F226" s="11">
        <v>266</v>
      </c>
      <c r="G226" s="11">
        <v>33</v>
      </c>
      <c r="H226" s="11">
        <v>0.23</v>
      </c>
      <c r="I226" s="11" t="s">
        <v>15</v>
      </c>
      <c r="J226" s="11">
        <v>32</v>
      </c>
      <c r="K226" s="11">
        <v>0</v>
      </c>
      <c r="L226" s="11">
        <v>1</v>
      </c>
      <c r="M226" s="11">
        <v>0</v>
      </c>
      <c r="N226" s="11">
        <v>0</v>
      </c>
      <c r="O226" s="12" t="str">
        <f t="shared" si="3"/>
        <v>30 - 39</v>
      </c>
    </row>
    <row r="227" spans="1:15" x14ac:dyDescent="0.35">
      <c r="A227" s="12">
        <v>965</v>
      </c>
      <c r="B227" s="12" t="s">
        <v>20</v>
      </c>
      <c r="C227" s="12">
        <v>55</v>
      </c>
      <c r="D227" s="12" t="s">
        <v>17</v>
      </c>
      <c r="E227" s="12" t="s">
        <v>14</v>
      </c>
      <c r="F227" s="12">
        <v>236</v>
      </c>
      <c r="G227" s="12">
        <v>34</v>
      </c>
      <c r="H227" s="12">
        <v>0.38</v>
      </c>
      <c r="I227" s="12" t="s">
        <v>23</v>
      </c>
      <c r="J227" s="12">
        <v>47</v>
      </c>
      <c r="K227" s="12">
        <v>0</v>
      </c>
      <c r="L227" s="12">
        <v>0</v>
      </c>
      <c r="M227" s="12">
        <v>0</v>
      </c>
      <c r="N227" s="12">
        <v>0</v>
      </c>
      <c r="O227" s="12" t="str">
        <f t="shared" si="3"/>
        <v>40 - 49</v>
      </c>
    </row>
    <row r="228" spans="1:15" x14ac:dyDescent="0.35">
      <c r="A228" s="11">
        <v>971</v>
      </c>
      <c r="B228" s="11" t="s">
        <v>20</v>
      </c>
      <c r="C228" s="11">
        <v>18</v>
      </c>
      <c r="D228" s="11" t="s">
        <v>28</v>
      </c>
      <c r="E228" s="11" t="s">
        <v>14</v>
      </c>
      <c r="F228" s="11">
        <v>30</v>
      </c>
      <c r="G228" s="11">
        <v>29</v>
      </c>
      <c r="H228" s="11">
        <v>0.03</v>
      </c>
      <c r="I228" s="11" t="s">
        <v>23</v>
      </c>
      <c r="J228" s="11">
        <v>46</v>
      </c>
      <c r="K228" s="11">
        <v>0</v>
      </c>
      <c r="L228" s="11">
        <v>0</v>
      </c>
      <c r="M228" s="11">
        <v>0</v>
      </c>
      <c r="N228" s="11">
        <v>0</v>
      </c>
      <c r="O228" s="12" t="str">
        <f t="shared" si="3"/>
        <v>40 - 49</v>
      </c>
    </row>
    <row r="229" spans="1:15" x14ac:dyDescent="0.35">
      <c r="A229" s="12">
        <v>972</v>
      </c>
      <c r="B229" s="12" t="s">
        <v>16</v>
      </c>
      <c r="C229" s="12">
        <v>42</v>
      </c>
      <c r="D229" s="12" t="s">
        <v>21</v>
      </c>
      <c r="E229" s="12" t="s">
        <v>14</v>
      </c>
      <c r="F229" s="12">
        <v>121</v>
      </c>
      <c r="G229" s="12">
        <v>14</v>
      </c>
      <c r="H229" s="12">
        <v>0.41</v>
      </c>
      <c r="I229" s="12" t="s">
        <v>15</v>
      </c>
      <c r="J229" s="12">
        <v>37</v>
      </c>
      <c r="K229" s="12">
        <v>0</v>
      </c>
      <c r="L229" s="12">
        <v>0</v>
      </c>
      <c r="M229" s="12">
        <v>0</v>
      </c>
      <c r="N229" s="12">
        <v>0</v>
      </c>
      <c r="O229" s="12" t="str">
        <f t="shared" si="3"/>
        <v>30 - 39</v>
      </c>
    </row>
    <row r="230" spans="1:15" x14ac:dyDescent="0.35">
      <c r="A230" s="11">
        <v>974</v>
      </c>
      <c r="B230" s="11" t="s">
        <v>20</v>
      </c>
      <c r="C230" s="11">
        <v>51</v>
      </c>
      <c r="D230" s="11" t="s">
        <v>28</v>
      </c>
      <c r="E230" s="11" t="s">
        <v>14</v>
      </c>
      <c r="F230" s="11">
        <v>272</v>
      </c>
      <c r="G230" s="11">
        <v>20</v>
      </c>
      <c r="H230" s="11">
        <v>0.17</v>
      </c>
      <c r="I230" s="11" t="s">
        <v>15</v>
      </c>
      <c r="J230" s="11">
        <v>11</v>
      </c>
      <c r="K230" s="11">
        <v>0</v>
      </c>
      <c r="L230" s="11">
        <v>0</v>
      </c>
      <c r="M230" s="11">
        <v>0</v>
      </c>
      <c r="N230" s="11">
        <v>0</v>
      </c>
      <c r="O230" s="12" t="str">
        <f t="shared" si="3"/>
        <v>10 - 19</v>
      </c>
    </row>
    <row r="231" spans="1:15" x14ac:dyDescent="0.35">
      <c r="A231" s="12">
        <v>977</v>
      </c>
      <c r="B231" s="12" t="s">
        <v>16</v>
      </c>
      <c r="C231" s="12">
        <v>17</v>
      </c>
      <c r="D231" s="12" t="s">
        <v>25</v>
      </c>
      <c r="E231" s="12" t="s">
        <v>14</v>
      </c>
      <c r="F231" s="12">
        <v>125</v>
      </c>
      <c r="G231" s="12">
        <v>30</v>
      </c>
      <c r="H231" s="12">
        <v>0.25</v>
      </c>
      <c r="I231" s="12" t="s">
        <v>15</v>
      </c>
      <c r="J231" s="12">
        <v>25</v>
      </c>
      <c r="K231" s="12">
        <v>0</v>
      </c>
      <c r="L231" s="12">
        <v>0</v>
      </c>
      <c r="M231" s="12">
        <v>0</v>
      </c>
      <c r="N231" s="12">
        <v>0</v>
      </c>
      <c r="O231" s="12" t="str">
        <f t="shared" si="3"/>
        <v>20 - 29</v>
      </c>
    </row>
    <row r="232" spans="1:15" x14ac:dyDescent="0.35">
      <c r="A232" s="11">
        <v>985</v>
      </c>
      <c r="B232" s="11" t="s">
        <v>20</v>
      </c>
      <c r="C232" s="11">
        <v>37</v>
      </c>
      <c r="D232" s="11" t="s">
        <v>29</v>
      </c>
      <c r="E232" s="11" t="s">
        <v>14</v>
      </c>
      <c r="F232" s="11">
        <v>287</v>
      </c>
      <c r="G232" s="11">
        <v>94</v>
      </c>
      <c r="H232" s="11">
        <v>0.5</v>
      </c>
      <c r="I232" s="11" t="s">
        <v>23</v>
      </c>
      <c r="J232" s="11">
        <v>28</v>
      </c>
      <c r="K232" s="11">
        <v>0</v>
      </c>
      <c r="L232" s="11">
        <v>0</v>
      </c>
      <c r="M232" s="11">
        <v>0</v>
      </c>
      <c r="N232" s="11">
        <v>0</v>
      </c>
      <c r="O232" s="12" t="str">
        <f t="shared" si="3"/>
        <v>20 - 29</v>
      </c>
    </row>
    <row r="233" spans="1:15" x14ac:dyDescent="0.35">
      <c r="A233" s="12">
        <v>986</v>
      </c>
      <c r="B233" s="12" t="s">
        <v>20</v>
      </c>
      <c r="C233" s="12">
        <v>43</v>
      </c>
      <c r="D233" s="12" t="s">
        <v>25</v>
      </c>
      <c r="E233" s="12" t="s">
        <v>14</v>
      </c>
      <c r="F233" s="12">
        <v>58</v>
      </c>
      <c r="G233" s="12">
        <v>3</v>
      </c>
      <c r="H233" s="12">
        <v>0.22</v>
      </c>
      <c r="I233" s="12" t="s">
        <v>15</v>
      </c>
      <c r="J233" s="12">
        <v>20</v>
      </c>
      <c r="K233" s="12">
        <v>0</v>
      </c>
      <c r="L233" s="12">
        <v>1</v>
      </c>
      <c r="M233" s="12">
        <v>0</v>
      </c>
      <c r="N233" s="12">
        <v>0</v>
      </c>
      <c r="O233" s="12" t="str">
        <f t="shared" si="3"/>
        <v>20 - 29</v>
      </c>
    </row>
    <row r="234" spans="1:15" x14ac:dyDescent="0.35">
      <c r="A234" s="11">
        <v>987</v>
      </c>
      <c r="B234" s="11" t="s">
        <v>12</v>
      </c>
      <c r="C234" s="11">
        <v>37</v>
      </c>
      <c r="D234" s="11" t="s">
        <v>25</v>
      </c>
      <c r="E234" s="11" t="s">
        <v>14</v>
      </c>
      <c r="F234" s="11">
        <v>195</v>
      </c>
      <c r="G234" s="11">
        <v>27</v>
      </c>
      <c r="H234" s="11">
        <v>0.11</v>
      </c>
      <c r="I234" s="11" t="s">
        <v>15</v>
      </c>
      <c r="J234" s="11">
        <v>31</v>
      </c>
      <c r="K234" s="11">
        <v>0</v>
      </c>
      <c r="L234" s="11">
        <v>0</v>
      </c>
      <c r="M234" s="11">
        <v>0</v>
      </c>
      <c r="N234" s="11">
        <v>0</v>
      </c>
      <c r="O234" s="12" t="str">
        <f t="shared" si="3"/>
        <v>30 - 39</v>
      </c>
    </row>
    <row r="235" spans="1:15" x14ac:dyDescent="0.35">
      <c r="A235" s="12">
        <v>989</v>
      </c>
      <c r="B235" s="12" t="s">
        <v>20</v>
      </c>
      <c r="C235" s="12">
        <v>41</v>
      </c>
      <c r="D235" s="12" t="s">
        <v>21</v>
      </c>
      <c r="E235" s="12" t="s">
        <v>14</v>
      </c>
      <c r="F235" s="12">
        <v>248</v>
      </c>
      <c r="G235" s="12">
        <v>79</v>
      </c>
      <c r="H235" s="12">
        <v>0.37</v>
      </c>
      <c r="I235" s="12" t="s">
        <v>23</v>
      </c>
      <c r="J235" s="12">
        <v>16</v>
      </c>
      <c r="K235" s="12">
        <v>0</v>
      </c>
      <c r="L235" s="12">
        <v>0</v>
      </c>
      <c r="M235" s="12">
        <v>0</v>
      </c>
      <c r="N235" s="12">
        <v>0</v>
      </c>
      <c r="O235" s="12" t="str">
        <f t="shared" si="3"/>
        <v>10 - 19</v>
      </c>
    </row>
    <row r="236" spans="1:15" x14ac:dyDescent="0.35">
      <c r="A236" s="11">
        <v>990</v>
      </c>
      <c r="B236" s="11" t="s">
        <v>12</v>
      </c>
      <c r="C236" s="11">
        <v>47</v>
      </c>
      <c r="D236" s="11" t="s">
        <v>28</v>
      </c>
      <c r="E236" s="11" t="s">
        <v>14</v>
      </c>
      <c r="F236" s="11">
        <v>212</v>
      </c>
      <c r="G236" s="11">
        <v>50</v>
      </c>
      <c r="H236" s="11">
        <v>0.44</v>
      </c>
      <c r="I236" s="11" t="s">
        <v>15</v>
      </c>
      <c r="J236" s="11">
        <v>39</v>
      </c>
      <c r="K236" s="11">
        <v>0</v>
      </c>
      <c r="L236" s="11">
        <v>1</v>
      </c>
      <c r="M236" s="11">
        <v>0</v>
      </c>
      <c r="N236" s="11">
        <v>0</v>
      </c>
      <c r="O236" s="12" t="str">
        <f t="shared" si="3"/>
        <v>30 - 39</v>
      </c>
    </row>
    <row r="237" spans="1:15" x14ac:dyDescent="0.35">
      <c r="A237" s="12">
        <v>992</v>
      </c>
      <c r="B237" s="12" t="s">
        <v>12</v>
      </c>
      <c r="C237" s="12">
        <v>43</v>
      </c>
      <c r="D237" s="12" t="s">
        <v>26</v>
      </c>
      <c r="E237" s="12" t="s">
        <v>14</v>
      </c>
      <c r="F237" s="12">
        <v>197</v>
      </c>
      <c r="G237" s="12">
        <v>77</v>
      </c>
      <c r="H237" s="12">
        <v>0.43</v>
      </c>
      <c r="I237" s="12" t="s">
        <v>23</v>
      </c>
      <c r="J237" s="12">
        <v>27</v>
      </c>
      <c r="K237" s="12">
        <v>0</v>
      </c>
      <c r="L237" s="12">
        <v>1</v>
      </c>
      <c r="M237" s="12">
        <v>0</v>
      </c>
      <c r="N237" s="12">
        <v>0</v>
      </c>
      <c r="O237" s="12" t="str">
        <f t="shared" si="3"/>
        <v>20 - 29</v>
      </c>
    </row>
    <row r="238" spans="1:15" x14ac:dyDescent="0.35">
      <c r="A238" s="11">
        <v>995</v>
      </c>
      <c r="B238" s="11" t="s">
        <v>20</v>
      </c>
      <c r="C238" s="11">
        <v>56</v>
      </c>
      <c r="D238" s="11" t="s">
        <v>13</v>
      </c>
      <c r="E238" s="11" t="s">
        <v>14</v>
      </c>
      <c r="F238" s="11">
        <v>252</v>
      </c>
      <c r="G238" s="11">
        <v>98</v>
      </c>
      <c r="H238" s="11">
        <v>0.48</v>
      </c>
      <c r="I238" s="11" t="s">
        <v>19</v>
      </c>
      <c r="J238" s="11">
        <v>19</v>
      </c>
      <c r="K238" s="11">
        <v>0</v>
      </c>
      <c r="L238" s="11">
        <v>0</v>
      </c>
      <c r="M238" s="11">
        <v>0</v>
      </c>
      <c r="N238" s="11">
        <v>0</v>
      </c>
      <c r="O238" s="12" t="str">
        <f t="shared" si="3"/>
        <v>10 - 19</v>
      </c>
    </row>
    <row r="239" spans="1:15" x14ac:dyDescent="0.35">
      <c r="A239" s="12">
        <v>996</v>
      </c>
      <c r="B239" s="12" t="s">
        <v>16</v>
      </c>
      <c r="C239" s="12">
        <v>39</v>
      </c>
      <c r="D239" s="12" t="s">
        <v>17</v>
      </c>
      <c r="E239" s="12" t="s">
        <v>14</v>
      </c>
      <c r="F239" s="12">
        <v>142</v>
      </c>
      <c r="G239" s="12">
        <v>46</v>
      </c>
      <c r="H239" s="12">
        <v>0.45</v>
      </c>
      <c r="I239" s="12" t="s">
        <v>19</v>
      </c>
      <c r="J239" s="12">
        <v>40</v>
      </c>
      <c r="K239" s="12">
        <v>0</v>
      </c>
      <c r="L239" s="12">
        <v>0</v>
      </c>
      <c r="M239" s="12">
        <v>0</v>
      </c>
      <c r="N239" s="12">
        <v>0</v>
      </c>
      <c r="O239" s="12" t="str">
        <f t="shared" si="3"/>
        <v>40 - 49</v>
      </c>
    </row>
    <row r="240" spans="1:15" x14ac:dyDescent="0.35">
      <c r="A240" s="11">
        <v>1004</v>
      </c>
      <c r="B240" s="11" t="s">
        <v>12</v>
      </c>
      <c r="C240" s="11">
        <v>25</v>
      </c>
      <c r="D240" s="11" t="s">
        <v>13</v>
      </c>
      <c r="E240" s="11" t="s">
        <v>14</v>
      </c>
      <c r="F240" s="11">
        <v>31</v>
      </c>
      <c r="G240" s="11">
        <v>15</v>
      </c>
      <c r="H240" s="11">
        <v>0.01</v>
      </c>
      <c r="I240" s="11" t="s">
        <v>23</v>
      </c>
      <c r="J240" s="11">
        <v>38</v>
      </c>
      <c r="K240" s="11">
        <v>0</v>
      </c>
      <c r="L240" s="11">
        <v>0</v>
      </c>
      <c r="M240" s="11">
        <v>0</v>
      </c>
      <c r="N240" s="11">
        <v>0</v>
      </c>
      <c r="O240" s="12" t="str">
        <f t="shared" si="3"/>
        <v>30 - 39</v>
      </c>
    </row>
    <row r="241" spans="1:15" x14ac:dyDescent="0.35">
      <c r="A241" s="12">
        <v>1011</v>
      </c>
      <c r="B241" s="12" t="s">
        <v>12</v>
      </c>
      <c r="C241" s="12">
        <v>38</v>
      </c>
      <c r="D241" s="12" t="s">
        <v>28</v>
      </c>
      <c r="E241" s="12" t="s">
        <v>14</v>
      </c>
      <c r="F241" s="12">
        <v>125</v>
      </c>
      <c r="G241" s="12">
        <v>63</v>
      </c>
      <c r="H241" s="12">
        <v>0.59</v>
      </c>
      <c r="I241" s="12" t="s">
        <v>19</v>
      </c>
      <c r="J241" s="12">
        <v>12</v>
      </c>
      <c r="K241" s="12">
        <v>0</v>
      </c>
      <c r="L241" s="12">
        <v>0</v>
      </c>
      <c r="M241" s="12">
        <v>0</v>
      </c>
      <c r="N241" s="12">
        <v>0</v>
      </c>
      <c r="O241" s="12" t="str">
        <f t="shared" si="3"/>
        <v>10 - 19</v>
      </c>
    </row>
    <row r="242" spans="1:15" x14ac:dyDescent="0.35">
      <c r="A242" s="11">
        <v>1016</v>
      </c>
      <c r="B242" s="11" t="s">
        <v>16</v>
      </c>
      <c r="C242" s="11">
        <v>22</v>
      </c>
      <c r="D242" s="11" t="s">
        <v>25</v>
      </c>
      <c r="E242" s="11" t="s">
        <v>14</v>
      </c>
      <c r="F242" s="11">
        <v>29</v>
      </c>
      <c r="G242" s="11">
        <v>35</v>
      </c>
      <c r="H242" s="11">
        <v>0.46</v>
      </c>
      <c r="I242" s="11" t="s">
        <v>19</v>
      </c>
      <c r="J242" s="11">
        <v>9</v>
      </c>
      <c r="K242" s="11">
        <v>0</v>
      </c>
      <c r="L242" s="11">
        <v>0</v>
      </c>
      <c r="M242" s="11">
        <v>0</v>
      </c>
      <c r="N242" s="11">
        <v>0</v>
      </c>
      <c r="O242" s="12" t="str">
        <f t="shared" si="3"/>
        <v>0 - 9</v>
      </c>
    </row>
    <row r="243" spans="1:15" x14ac:dyDescent="0.35">
      <c r="A243" s="12">
        <v>1017</v>
      </c>
      <c r="B243" s="12" t="s">
        <v>12</v>
      </c>
      <c r="C243" s="12">
        <v>22</v>
      </c>
      <c r="D243" s="12" t="s">
        <v>25</v>
      </c>
      <c r="E243" s="12" t="s">
        <v>14</v>
      </c>
      <c r="F243" s="12">
        <v>224</v>
      </c>
      <c r="G243" s="12">
        <v>4</v>
      </c>
      <c r="H243" s="12">
        <v>0.04</v>
      </c>
      <c r="I243" s="12" t="s">
        <v>19</v>
      </c>
      <c r="J243" s="12">
        <v>13</v>
      </c>
      <c r="K243" s="12">
        <v>0</v>
      </c>
      <c r="L243" s="12">
        <v>0</v>
      </c>
      <c r="M243" s="12">
        <v>0</v>
      </c>
      <c r="N243" s="12">
        <v>0</v>
      </c>
      <c r="O243" s="12" t="str">
        <f t="shared" si="3"/>
        <v>10 - 19</v>
      </c>
    </row>
    <row r="244" spans="1:15" x14ac:dyDescent="0.35">
      <c r="A244" s="11">
        <v>1021</v>
      </c>
      <c r="B244" s="11" t="s">
        <v>16</v>
      </c>
      <c r="C244" s="11">
        <v>33</v>
      </c>
      <c r="D244" s="11" t="s">
        <v>29</v>
      </c>
      <c r="E244" s="11" t="s">
        <v>14</v>
      </c>
      <c r="F244" s="11">
        <v>140</v>
      </c>
      <c r="G244" s="11">
        <v>40</v>
      </c>
      <c r="H244" s="11">
        <v>0.27</v>
      </c>
      <c r="I244" s="11" t="s">
        <v>19</v>
      </c>
      <c r="J244" s="11">
        <v>32</v>
      </c>
      <c r="K244" s="11">
        <v>0</v>
      </c>
      <c r="L244" s="11">
        <v>0</v>
      </c>
      <c r="M244" s="11">
        <v>0</v>
      </c>
      <c r="N244" s="11">
        <v>0</v>
      </c>
      <c r="O244" s="12" t="str">
        <f t="shared" si="3"/>
        <v>30 - 39</v>
      </c>
    </row>
    <row r="245" spans="1:15" x14ac:dyDescent="0.35">
      <c r="A245" s="12">
        <v>1025</v>
      </c>
      <c r="B245" s="12" t="s">
        <v>20</v>
      </c>
      <c r="C245" s="12">
        <v>56</v>
      </c>
      <c r="D245" s="12" t="s">
        <v>17</v>
      </c>
      <c r="E245" s="12" t="s">
        <v>14</v>
      </c>
      <c r="F245" s="12">
        <v>211</v>
      </c>
      <c r="G245" s="12">
        <v>86</v>
      </c>
      <c r="H245" s="12">
        <v>0.48</v>
      </c>
      <c r="I245" s="12" t="s">
        <v>19</v>
      </c>
      <c r="J245" s="12">
        <v>7</v>
      </c>
      <c r="K245" s="12">
        <v>0</v>
      </c>
      <c r="L245" s="12">
        <v>0</v>
      </c>
      <c r="M245" s="12">
        <v>0</v>
      </c>
      <c r="N245" s="12">
        <v>0</v>
      </c>
      <c r="O245" s="12" t="str">
        <f t="shared" si="3"/>
        <v>0 - 9</v>
      </c>
    </row>
    <row r="246" spans="1:15" x14ac:dyDescent="0.35">
      <c r="A246" s="11">
        <v>1031</v>
      </c>
      <c r="B246" s="11" t="s">
        <v>20</v>
      </c>
      <c r="C246" s="11">
        <v>30</v>
      </c>
      <c r="D246" s="11" t="s">
        <v>26</v>
      </c>
      <c r="E246" s="11" t="s">
        <v>14</v>
      </c>
      <c r="F246" s="11">
        <v>10</v>
      </c>
      <c r="G246" s="11">
        <v>57</v>
      </c>
      <c r="H246" s="11">
        <v>0.05</v>
      </c>
      <c r="I246" s="11" t="s">
        <v>19</v>
      </c>
      <c r="J246" s="11">
        <v>5</v>
      </c>
      <c r="K246" s="11">
        <v>0</v>
      </c>
      <c r="L246" s="11">
        <v>0</v>
      </c>
      <c r="M246" s="11">
        <v>0</v>
      </c>
      <c r="N246" s="11">
        <v>0</v>
      </c>
      <c r="O246" s="12" t="str">
        <f t="shared" si="3"/>
        <v>0 - 9</v>
      </c>
    </row>
    <row r="247" spans="1:15" x14ac:dyDescent="0.35">
      <c r="A247" s="12">
        <v>1034</v>
      </c>
      <c r="B247" s="12" t="s">
        <v>16</v>
      </c>
      <c r="C247" s="12">
        <v>53</v>
      </c>
      <c r="D247" s="12" t="s">
        <v>17</v>
      </c>
      <c r="E247" s="12" t="s">
        <v>14</v>
      </c>
      <c r="F247" s="12">
        <v>291</v>
      </c>
      <c r="G247" s="12">
        <v>45</v>
      </c>
      <c r="H247" s="12">
        <v>0.35</v>
      </c>
      <c r="I247" s="12" t="s">
        <v>19</v>
      </c>
      <c r="J247" s="12">
        <v>10</v>
      </c>
      <c r="K247" s="12">
        <v>0</v>
      </c>
      <c r="L247" s="12">
        <v>0</v>
      </c>
      <c r="M247" s="12">
        <v>0</v>
      </c>
      <c r="N247" s="12">
        <v>0</v>
      </c>
      <c r="O247" s="12" t="str">
        <f t="shared" si="3"/>
        <v>10 - 19</v>
      </c>
    </row>
    <row r="248" spans="1:15" x14ac:dyDescent="0.35">
      <c r="A248" s="11">
        <v>1036</v>
      </c>
      <c r="B248" s="11" t="s">
        <v>20</v>
      </c>
      <c r="C248" s="11">
        <v>34</v>
      </c>
      <c r="D248" s="11" t="s">
        <v>26</v>
      </c>
      <c r="E248" s="11" t="s">
        <v>14</v>
      </c>
      <c r="F248" s="11">
        <v>254</v>
      </c>
      <c r="G248" s="11">
        <v>74</v>
      </c>
      <c r="H248" s="11">
        <v>0.6</v>
      </c>
      <c r="I248" s="11" t="s">
        <v>23</v>
      </c>
      <c r="J248" s="11">
        <v>34</v>
      </c>
      <c r="K248" s="11">
        <v>0</v>
      </c>
      <c r="L248" s="11">
        <v>0</v>
      </c>
      <c r="M248" s="11">
        <v>0</v>
      </c>
      <c r="N248" s="11">
        <v>0</v>
      </c>
      <c r="O248" s="12" t="str">
        <f t="shared" si="3"/>
        <v>30 - 39</v>
      </c>
    </row>
    <row r="249" spans="1:15" x14ac:dyDescent="0.35">
      <c r="A249" s="12">
        <v>1037</v>
      </c>
      <c r="B249" s="12" t="s">
        <v>20</v>
      </c>
      <c r="C249" s="12">
        <v>32</v>
      </c>
      <c r="D249" s="12" t="s">
        <v>27</v>
      </c>
      <c r="E249" s="12" t="s">
        <v>14</v>
      </c>
      <c r="F249" s="12">
        <v>78</v>
      </c>
      <c r="G249" s="12">
        <v>95</v>
      </c>
      <c r="H249" s="12">
        <v>0.43</v>
      </c>
      <c r="I249" s="12" t="s">
        <v>15</v>
      </c>
      <c r="J249" s="12">
        <v>26</v>
      </c>
      <c r="K249" s="12">
        <v>0</v>
      </c>
      <c r="L249" s="12">
        <v>0</v>
      </c>
      <c r="M249" s="12">
        <v>0</v>
      </c>
      <c r="N249" s="12">
        <v>0</v>
      </c>
      <c r="O249" s="12" t="str">
        <f t="shared" si="3"/>
        <v>20 - 29</v>
      </c>
    </row>
    <row r="250" spans="1:15" x14ac:dyDescent="0.35">
      <c r="A250" s="11">
        <v>1044</v>
      </c>
      <c r="B250" s="11" t="s">
        <v>20</v>
      </c>
      <c r="C250" s="11">
        <v>25</v>
      </c>
      <c r="D250" s="11" t="s">
        <v>21</v>
      </c>
      <c r="E250" s="11" t="s">
        <v>14</v>
      </c>
      <c r="F250" s="11">
        <v>154</v>
      </c>
      <c r="G250" s="11">
        <v>4</v>
      </c>
      <c r="H250" s="11">
        <v>0.39</v>
      </c>
      <c r="I250" s="11" t="s">
        <v>23</v>
      </c>
      <c r="J250" s="11">
        <v>14</v>
      </c>
      <c r="K250" s="11">
        <v>0</v>
      </c>
      <c r="L250" s="11">
        <v>1</v>
      </c>
      <c r="M250" s="11">
        <v>0</v>
      </c>
      <c r="N250" s="11">
        <v>0</v>
      </c>
      <c r="O250" s="12" t="str">
        <f t="shared" si="3"/>
        <v>10 - 19</v>
      </c>
    </row>
    <row r="251" spans="1:15" x14ac:dyDescent="0.35">
      <c r="A251" s="12">
        <v>1048</v>
      </c>
      <c r="B251" s="12" t="s">
        <v>20</v>
      </c>
      <c r="C251" s="12">
        <v>58</v>
      </c>
      <c r="D251" s="12" t="s">
        <v>28</v>
      </c>
      <c r="E251" s="12" t="s">
        <v>14</v>
      </c>
      <c r="F251" s="12">
        <v>59</v>
      </c>
      <c r="G251" s="12">
        <v>26</v>
      </c>
      <c r="H251" s="12">
        <v>0.37</v>
      </c>
      <c r="I251" s="12" t="s">
        <v>23</v>
      </c>
      <c r="J251" s="12">
        <v>8</v>
      </c>
      <c r="K251" s="12">
        <v>0</v>
      </c>
      <c r="L251" s="12">
        <v>0</v>
      </c>
      <c r="M251" s="12">
        <v>0</v>
      </c>
      <c r="N251" s="12">
        <v>0</v>
      </c>
      <c r="O251" s="12" t="str">
        <f t="shared" si="3"/>
        <v>0 - 9</v>
      </c>
    </row>
    <row r="252" spans="1:15" x14ac:dyDescent="0.35">
      <c r="A252" s="11">
        <v>1050</v>
      </c>
      <c r="B252" s="11" t="s">
        <v>16</v>
      </c>
      <c r="C252" s="11">
        <v>16</v>
      </c>
      <c r="D252" s="11" t="s">
        <v>21</v>
      </c>
      <c r="E252" s="11" t="s">
        <v>14</v>
      </c>
      <c r="F252" s="11">
        <v>280</v>
      </c>
      <c r="G252" s="11">
        <v>56</v>
      </c>
      <c r="H252" s="11">
        <v>0.01</v>
      </c>
      <c r="I252" s="11" t="s">
        <v>23</v>
      </c>
      <c r="J252" s="11">
        <v>35</v>
      </c>
      <c r="K252" s="11">
        <v>0</v>
      </c>
      <c r="L252" s="11">
        <v>0</v>
      </c>
      <c r="M252" s="11">
        <v>0</v>
      </c>
      <c r="N252" s="11">
        <v>0</v>
      </c>
      <c r="O252" s="12" t="str">
        <f t="shared" si="3"/>
        <v>30 - 39</v>
      </c>
    </row>
    <row r="253" spans="1:15" x14ac:dyDescent="0.35">
      <c r="A253" s="12">
        <v>1053</v>
      </c>
      <c r="B253" s="12" t="s">
        <v>12</v>
      </c>
      <c r="C253" s="12">
        <v>55</v>
      </c>
      <c r="D253" s="12" t="s">
        <v>25</v>
      </c>
      <c r="E253" s="12" t="s">
        <v>14</v>
      </c>
      <c r="F253" s="12">
        <v>185</v>
      </c>
      <c r="G253" s="12">
        <v>14</v>
      </c>
      <c r="H253" s="12">
        <v>0.43</v>
      </c>
      <c r="I253" s="12" t="s">
        <v>23</v>
      </c>
      <c r="J253" s="12">
        <v>30</v>
      </c>
      <c r="K253" s="12">
        <v>0</v>
      </c>
      <c r="L253" s="12">
        <v>0</v>
      </c>
      <c r="M253" s="12">
        <v>0</v>
      </c>
      <c r="N253" s="12">
        <v>0</v>
      </c>
      <c r="O253" s="12" t="str">
        <f t="shared" si="3"/>
        <v>30 - 39</v>
      </c>
    </row>
    <row r="254" spans="1:15" x14ac:dyDescent="0.35">
      <c r="A254" s="11">
        <v>1054</v>
      </c>
      <c r="B254" s="11" t="s">
        <v>20</v>
      </c>
      <c r="C254" s="11">
        <v>40</v>
      </c>
      <c r="D254" s="11" t="s">
        <v>13</v>
      </c>
      <c r="E254" s="11" t="s">
        <v>14</v>
      </c>
      <c r="F254" s="11">
        <v>37</v>
      </c>
      <c r="G254" s="11">
        <v>71</v>
      </c>
      <c r="H254" s="11">
        <v>0.51</v>
      </c>
      <c r="I254" s="11" t="s">
        <v>23</v>
      </c>
      <c r="J254" s="11">
        <v>41</v>
      </c>
      <c r="K254" s="11">
        <v>0</v>
      </c>
      <c r="L254" s="11">
        <v>1</v>
      </c>
      <c r="M254" s="11">
        <v>0</v>
      </c>
      <c r="N254" s="11">
        <v>0</v>
      </c>
      <c r="O254" s="12" t="str">
        <f t="shared" si="3"/>
        <v>40 - 49</v>
      </c>
    </row>
    <row r="255" spans="1:15" x14ac:dyDescent="0.35">
      <c r="A255" s="12">
        <v>1057</v>
      </c>
      <c r="B255" s="12" t="s">
        <v>16</v>
      </c>
      <c r="C255" s="12">
        <v>56</v>
      </c>
      <c r="D255" s="12" t="s">
        <v>21</v>
      </c>
      <c r="E255" s="12" t="s">
        <v>14</v>
      </c>
      <c r="F255" s="12">
        <v>169</v>
      </c>
      <c r="G255" s="12">
        <v>90</v>
      </c>
      <c r="H255" s="12">
        <v>0.59</v>
      </c>
      <c r="I255" s="12" t="s">
        <v>15</v>
      </c>
      <c r="J255" s="12">
        <v>33</v>
      </c>
      <c r="K255" s="12">
        <v>0</v>
      </c>
      <c r="L255" s="12">
        <v>0</v>
      </c>
      <c r="M255" s="12">
        <v>0</v>
      </c>
      <c r="N255" s="12">
        <v>0</v>
      </c>
      <c r="O255" s="12" t="str">
        <f t="shared" si="3"/>
        <v>30 - 39</v>
      </c>
    </row>
    <row r="256" spans="1:15" x14ac:dyDescent="0.35">
      <c r="A256" s="11">
        <v>1058</v>
      </c>
      <c r="B256" s="11" t="s">
        <v>20</v>
      </c>
      <c r="C256" s="11">
        <v>54</v>
      </c>
      <c r="D256" s="11" t="s">
        <v>25</v>
      </c>
      <c r="E256" s="11" t="s">
        <v>14</v>
      </c>
      <c r="F256" s="11">
        <v>79</v>
      </c>
      <c r="G256" s="11">
        <v>14</v>
      </c>
      <c r="H256" s="11">
        <v>0.34</v>
      </c>
      <c r="I256" s="11" t="s">
        <v>15</v>
      </c>
      <c r="J256" s="11">
        <v>40</v>
      </c>
      <c r="K256" s="11">
        <v>0</v>
      </c>
      <c r="L256" s="11">
        <v>0</v>
      </c>
      <c r="M256" s="11">
        <v>0</v>
      </c>
      <c r="N256" s="11">
        <v>0</v>
      </c>
      <c r="O256" s="12" t="str">
        <f t="shared" si="3"/>
        <v>40 - 49</v>
      </c>
    </row>
    <row r="257" spans="1:15" x14ac:dyDescent="0.35">
      <c r="A257" s="12">
        <v>1066</v>
      </c>
      <c r="B257" s="12" t="s">
        <v>20</v>
      </c>
      <c r="C257" s="12">
        <v>26</v>
      </c>
      <c r="D257" s="12" t="s">
        <v>27</v>
      </c>
      <c r="E257" s="12" t="s">
        <v>14</v>
      </c>
      <c r="F257" s="12">
        <v>95</v>
      </c>
      <c r="G257" s="12">
        <v>50</v>
      </c>
      <c r="H257" s="12">
        <v>0.26</v>
      </c>
      <c r="I257" s="12" t="s">
        <v>23</v>
      </c>
      <c r="J257" s="12">
        <v>39</v>
      </c>
      <c r="K257" s="12">
        <v>0</v>
      </c>
      <c r="L257" s="12">
        <v>0</v>
      </c>
      <c r="M257" s="12">
        <v>0</v>
      </c>
      <c r="N257" s="12">
        <v>0</v>
      </c>
      <c r="O257" s="12" t="str">
        <f t="shared" si="3"/>
        <v>30 - 39</v>
      </c>
    </row>
    <row r="258" spans="1:15" x14ac:dyDescent="0.35">
      <c r="A258" s="11">
        <v>1067</v>
      </c>
      <c r="B258" s="11" t="s">
        <v>20</v>
      </c>
      <c r="C258" s="11">
        <v>31</v>
      </c>
      <c r="D258" s="11" t="s">
        <v>26</v>
      </c>
      <c r="E258" s="11" t="s">
        <v>14</v>
      </c>
      <c r="F258" s="11">
        <v>282</v>
      </c>
      <c r="G258" s="11">
        <v>58</v>
      </c>
      <c r="H258" s="11">
        <v>0.06</v>
      </c>
      <c r="I258" s="11" t="s">
        <v>15</v>
      </c>
      <c r="J258" s="11">
        <v>15</v>
      </c>
      <c r="K258" s="11">
        <v>0</v>
      </c>
      <c r="L258" s="11">
        <v>1</v>
      </c>
      <c r="M258" s="11">
        <v>0</v>
      </c>
      <c r="N258" s="11">
        <v>0</v>
      </c>
      <c r="O258" s="12" t="str">
        <f t="shared" ref="O258:O321" si="4">_xlfn.FLOOR.MATH(J258, 10) &amp; " - " &amp; (_xlfn.FLOOR.MATH(J258, 10) + 9)</f>
        <v>10 - 19</v>
      </c>
    </row>
    <row r="259" spans="1:15" x14ac:dyDescent="0.35">
      <c r="A259" s="12">
        <v>1075</v>
      </c>
      <c r="B259" s="12" t="s">
        <v>20</v>
      </c>
      <c r="C259" s="12">
        <v>30</v>
      </c>
      <c r="D259" s="12" t="s">
        <v>27</v>
      </c>
      <c r="E259" s="12" t="s">
        <v>14</v>
      </c>
      <c r="F259" s="12">
        <v>246</v>
      </c>
      <c r="G259" s="12">
        <v>13</v>
      </c>
      <c r="H259" s="12">
        <v>0.03</v>
      </c>
      <c r="I259" s="12" t="s">
        <v>19</v>
      </c>
      <c r="J259" s="12">
        <v>13</v>
      </c>
      <c r="K259" s="12">
        <v>0</v>
      </c>
      <c r="L259" s="12">
        <v>1</v>
      </c>
      <c r="M259" s="12">
        <v>0</v>
      </c>
      <c r="N259" s="12">
        <v>0</v>
      </c>
      <c r="O259" s="12" t="str">
        <f t="shared" si="4"/>
        <v>10 - 19</v>
      </c>
    </row>
    <row r="260" spans="1:15" x14ac:dyDescent="0.35">
      <c r="A260" s="11">
        <v>1084</v>
      </c>
      <c r="B260" s="11" t="s">
        <v>20</v>
      </c>
      <c r="C260" s="11">
        <v>50</v>
      </c>
      <c r="D260" s="11" t="s">
        <v>25</v>
      </c>
      <c r="E260" s="11" t="s">
        <v>14</v>
      </c>
      <c r="F260" s="11">
        <v>50</v>
      </c>
      <c r="G260" s="11">
        <v>39</v>
      </c>
      <c r="H260" s="11">
        <v>0.31</v>
      </c>
      <c r="I260" s="11" t="s">
        <v>19</v>
      </c>
      <c r="J260" s="11">
        <v>13</v>
      </c>
      <c r="K260" s="11">
        <v>0</v>
      </c>
      <c r="L260" s="11">
        <v>0</v>
      </c>
      <c r="M260" s="11">
        <v>0</v>
      </c>
      <c r="N260" s="11">
        <v>0</v>
      </c>
      <c r="O260" s="12" t="str">
        <f t="shared" si="4"/>
        <v>10 - 19</v>
      </c>
    </row>
    <row r="261" spans="1:15" x14ac:dyDescent="0.35">
      <c r="A261" s="12">
        <v>1085</v>
      </c>
      <c r="B261" s="12" t="s">
        <v>16</v>
      </c>
      <c r="C261" s="12">
        <v>42</v>
      </c>
      <c r="D261" s="12" t="s">
        <v>17</v>
      </c>
      <c r="E261" s="12" t="s">
        <v>14</v>
      </c>
      <c r="F261" s="12">
        <v>17</v>
      </c>
      <c r="G261" s="12">
        <v>55</v>
      </c>
      <c r="H261" s="12">
        <v>0.57999999999999996</v>
      </c>
      <c r="I261" s="12" t="s">
        <v>23</v>
      </c>
      <c r="J261" s="12">
        <v>49</v>
      </c>
      <c r="K261" s="12">
        <v>0</v>
      </c>
      <c r="L261" s="12">
        <v>1</v>
      </c>
      <c r="M261" s="12">
        <v>0</v>
      </c>
      <c r="N261" s="12">
        <v>0</v>
      </c>
      <c r="O261" s="12" t="str">
        <f t="shared" si="4"/>
        <v>40 - 49</v>
      </c>
    </row>
    <row r="262" spans="1:15" x14ac:dyDescent="0.35">
      <c r="A262" s="11">
        <v>1093</v>
      </c>
      <c r="B262" s="11" t="s">
        <v>12</v>
      </c>
      <c r="C262" s="11">
        <v>54</v>
      </c>
      <c r="D262" s="11" t="s">
        <v>27</v>
      </c>
      <c r="E262" s="11" t="s">
        <v>14</v>
      </c>
      <c r="F262" s="11">
        <v>70</v>
      </c>
      <c r="G262" s="11">
        <v>56</v>
      </c>
      <c r="H262" s="11">
        <v>0.37</v>
      </c>
      <c r="I262" s="11" t="s">
        <v>15</v>
      </c>
      <c r="J262" s="11">
        <v>14</v>
      </c>
      <c r="K262" s="11">
        <v>0</v>
      </c>
      <c r="L262" s="11">
        <v>0</v>
      </c>
      <c r="M262" s="11">
        <v>0</v>
      </c>
      <c r="N262" s="11">
        <v>0</v>
      </c>
      <c r="O262" s="12" t="str">
        <f t="shared" si="4"/>
        <v>10 - 19</v>
      </c>
    </row>
    <row r="263" spans="1:15" x14ac:dyDescent="0.35">
      <c r="A263" s="12">
        <v>1095</v>
      </c>
      <c r="B263" s="12" t="s">
        <v>20</v>
      </c>
      <c r="C263" s="12">
        <v>59</v>
      </c>
      <c r="D263" s="12" t="s">
        <v>21</v>
      </c>
      <c r="E263" s="12" t="s">
        <v>14</v>
      </c>
      <c r="F263" s="12">
        <v>232</v>
      </c>
      <c r="G263" s="12">
        <v>80</v>
      </c>
      <c r="H263" s="12">
        <v>0.25</v>
      </c>
      <c r="I263" s="12" t="s">
        <v>19</v>
      </c>
      <c r="J263" s="12">
        <v>45</v>
      </c>
      <c r="K263" s="12">
        <v>0</v>
      </c>
      <c r="L263" s="12">
        <v>0</v>
      </c>
      <c r="M263" s="12">
        <v>0</v>
      </c>
      <c r="N263" s="12">
        <v>0</v>
      </c>
      <c r="O263" s="12" t="str">
        <f t="shared" si="4"/>
        <v>40 - 49</v>
      </c>
    </row>
    <row r="264" spans="1:15" x14ac:dyDescent="0.35">
      <c r="A264" s="11">
        <v>1099</v>
      </c>
      <c r="B264" s="11" t="s">
        <v>12</v>
      </c>
      <c r="C264" s="11">
        <v>32</v>
      </c>
      <c r="D264" s="11" t="s">
        <v>27</v>
      </c>
      <c r="E264" s="11" t="s">
        <v>14</v>
      </c>
      <c r="F264" s="11">
        <v>175</v>
      </c>
      <c r="G264" s="11">
        <v>12</v>
      </c>
      <c r="H264" s="11">
        <v>0.54</v>
      </c>
      <c r="I264" s="11" t="s">
        <v>15</v>
      </c>
      <c r="J264" s="11">
        <v>30</v>
      </c>
      <c r="K264" s="11">
        <v>0</v>
      </c>
      <c r="L264" s="11">
        <v>0</v>
      </c>
      <c r="M264" s="11">
        <v>0</v>
      </c>
      <c r="N264" s="11">
        <v>0</v>
      </c>
      <c r="O264" s="12" t="str">
        <f t="shared" si="4"/>
        <v>30 - 39</v>
      </c>
    </row>
    <row r="265" spans="1:15" x14ac:dyDescent="0.35">
      <c r="A265" s="12">
        <v>1106</v>
      </c>
      <c r="B265" s="12" t="s">
        <v>12</v>
      </c>
      <c r="C265" s="12">
        <v>41</v>
      </c>
      <c r="D265" s="12" t="s">
        <v>28</v>
      </c>
      <c r="E265" s="12" t="s">
        <v>14</v>
      </c>
      <c r="F265" s="12">
        <v>298</v>
      </c>
      <c r="G265" s="12">
        <v>30</v>
      </c>
      <c r="H265" s="12">
        <v>0.42</v>
      </c>
      <c r="I265" s="12" t="s">
        <v>19</v>
      </c>
      <c r="J265" s="12">
        <v>33</v>
      </c>
      <c r="K265" s="12">
        <v>0</v>
      </c>
      <c r="L265" s="12">
        <v>0</v>
      </c>
      <c r="M265" s="12">
        <v>0</v>
      </c>
      <c r="N265" s="12">
        <v>0</v>
      </c>
      <c r="O265" s="12" t="str">
        <f t="shared" si="4"/>
        <v>30 - 39</v>
      </c>
    </row>
    <row r="266" spans="1:15" x14ac:dyDescent="0.35">
      <c r="A266" s="11">
        <v>1111</v>
      </c>
      <c r="B266" s="11" t="s">
        <v>20</v>
      </c>
      <c r="C266" s="11">
        <v>26</v>
      </c>
      <c r="D266" s="11" t="s">
        <v>17</v>
      </c>
      <c r="E266" s="11" t="s">
        <v>14</v>
      </c>
      <c r="F266" s="11">
        <v>288</v>
      </c>
      <c r="G266" s="11">
        <v>40</v>
      </c>
      <c r="H266" s="11">
        <v>0.16</v>
      </c>
      <c r="I266" s="11" t="s">
        <v>19</v>
      </c>
      <c r="J266" s="11">
        <v>44</v>
      </c>
      <c r="K266" s="11">
        <v>0</v>
      </c>
      <c r="L266" s="11">
        <v>1</v>
      </c>
      <c r="M266" s="11">
        <v>0</v>
      </c>
      <c r="N266" s="11">
        <v>0</v>
      </c>
      <c r="O266" s="12" t="str">
        <f t="shared" si="4"/>
        <v>40 - 49</v>
      </c>
    </row>
    <row r="267" spans="1:15" x14ac:dyDescent="0.35">
      <c r="A267" s="12">
        <v>1112</v>
      </c>
      <c r="B267" s="12" t="s">
        <v>20</v>
      </c>
      <c r="C267" s="12">
        <v>42</v>
      </c>
      <c r="D267" s="12" t="s">
        <v>29</v>
      </c>
      <c r="E267" s="12" t="s">
        <v>14</v>
      </c>
      <c r="F267" s="12">
        <v>262</v>
      </c>
      <c r="G267" s="12">
        <v>41</v>
      </c>
      <c r="H267" s="12">
        <v>0.17</v>
      </c>
      <c r="I267" s="12" t="s">
        <v>23</v>
      </c>
      <c r="J267" s="12">
        <v>37</v>
      </c>
      <c r="K267" s="12">
        <v>0</v>
      </c>
      <c r="L267" s="12">
        <v>0</v>
      </c>
      <c r="M267" s="12">
        <v>0</v>
      </c>
      <c r="N267" s="12">
        <v>0</v>
      </c>
      <c r="O267" s="12" t="str">
        <f t="shared" si="4"/>
        <v>30 - 39</v>
      </c>
    </row>
    <row r="268" spans="1:15" x14ac:dyDescent="0.35">
      <c r="A268" s="11">
        <v>1116</v>
      </c>
      <c r="B268" s="11" t="s">
        <v>16</v>
      </c>
      <c r="C268" s="11">
        <v>55</v>
      </c>
      <c r="D268" s="11" t="s">
        <v>27</v>
      </c>
      <c r="E268" s="11" t="s">
        <v>14</v>
      </c>
      <c r="F268" s="11">
        <v>180</v>
      </c>
      <c r="G268" s="11">
        <v>93</v>
      </c>
      <c r="H268" s="11">
        <v>0.6</v>
      </c>
      <c r="I268" s="11" t="s">
        <v>15</v>
      </c>
      <c r="J268" s="11">
        <v>14</v>
      </c>
      <c r="K268" s="11">
        <v>0</v>
      </c>
      <c r="L268" s="11">
        <v>0</v>
      </c>
      <c r="M268" s="11">
        <v>0</v>
      </c>
      <c r="N268" s="11">
        <v>0</v>
      </c>
      <c r="O268" s="12" t="str">
        <f t="shared" si="4"/>
        <v>10 - 19</v>
      </c>
    </row>
    <row r="269" spans="1:15" x14ac:dyDescent="0.35">
      <c r="A269" s="12">
        <v>1121</v>
      </c>
      <c r="B269" s="12" t="s">
        <v>20</v>
      </c>
      <c r="C269" s="12">
        <v>26</v>
      </c>
      <c r="D269" s="12" t="s">
        <v>27</v>
      </c>
      <c r="E269" s="12" t="s">
        <v>14</v>
      </c>
      <c r="F269" s="12">
        <v>284</v>
      </c>
      <c r="G269" s="12">
        <v>14</v>
      </c>
      <c r="H269" s="12">
        <v>0.5</v>
      </c>
      <c r="I269" s="12" t="s">
        <v>15</v>
      </c>
      <c r="J269" s="12">
        <v>10</v>
      </c>
      <c r="K269" s="12">
        <v>0</v>
      </c>
      <c r="L269" s="12">
        <v>0</v>
      </c>
      <c r="M269" s="12">
        <v>0</v>
      </c>
      <c r="N269" s="12">
        <v>0</v>
      </c>
      <c r="O269" s="12" t="str">
        <f t="shared" si="4"/>
        <v>10 - 19</v>
      </c>
    </row>
    <row r="270" spans="1:15" x14ac:dyDescent="0.35">
      <c r="A270" s="11">
        <v>1125</v>
      </c>
      <c r="B270" s="11" t="s">
        <v>16</v>
      </c>
      <c r="C270" s="11">
        <v>17</v>
      </c>
      <c r="D270" s="11" t="s">
        <v>17</v>
      </c>
      <c r="E270" s="11" t="s">
        <v>14</v>
      </c>
      <c r="F270" s="11">
        <v>146</v>
      </c>
      <c r="G270" s="11">
        <v>68</v>
      </c>
      <c r="H270" s="11">
        <v>0.16</v>
      </c>
      <c r="I270" s="11" t="s">
        <v>19</v>
      </c>
      <c r="J270" s="11">
        <v>12</v>
      </c>
      <c r="K270" s="11">
        <v>0</v>
      </c>
      <c r="L270" s="11">
        <v>1</v>
      </c>
      <c r="M270" s="11">
        <v>0</v>
      </c>
      <c r="N270" s="11">
        <v>0</v>
      </c>
      <c r="O270" s="12" t="str">
        <f t="shared" si="4"/>
        <v>10 - 19</v>
      </c>
    </row>
    <row r="271" spans="1:15" x14ac:dyDescent="0.35">
      <c r="A271" s="12">
        <v>1126</v>
      </c>
      <c r="B271" s="12" t="s">
        <v>20</v>
      </c>
      <c r="C271" s="12">
        <v>21</v>
      </c>
      <c r="D271" s="12" t="s">
        <v>21</v>
      </c>
      <c r="E271" s="12" t="s">
        <v>14</v>
      </c>
      <c r="F271" s="12">
        <v>129</v>
      </c>
      <c r="G271" s="12">
        <v>5</v>
      </c>
      <c r="H271" s="12">
        <v>0.02</v>
      </c>
      <c r="I271" s="12" t="s">
        <v>15</v>
      </c>
      <c r="J271" s="12">
        <v>25</v>
      </c>
      <c r="K271" s="12">
        <v>0</v>
      </c>
      <c r="L271" s="12">
        <v>0</v>
      </c>
      <c r="M271" s="12">
        <v>0</v>
      </c>
      <c r="N271" s="12">
        <v>0</v>
      </c>
      <c r="O271" s="12" t="str">
        <f t="shared" si="4"/>
        <v>20 - 29</v>
      </c>
    </row>
    <row r="272" spans="1:15" x14ac:dyDescent="0.35">
      <c r="A272" s="11">
        <v>1128</v>
      </c>
      <c r="B272" s="11" t="s">
        <v>12</v>
      </c>
      <c r="C272" s="11">
        <v>27</v>
      </c>
      <c r="D272" s="11" t="s">
        <v>27</v>
      </c>
      <c r="E272" s="11" t="s">
        <v>14</v>
      </c>
      <c r="F272" s="11">
        <v>144</v>
      </c>
      <c r="G272" s="11">
        <v>75</v>
      </c>
      <c r="H272" s="11">
        <v>0.2</v>
      </c>
      <c r="I272" s="11" t="s">
        <v>19</v>
      </c>
      <c r="J272" s="11">
        <v>26</v>
      </c>
      <c r="K272" s="11">
        <v>0</v>
      </c>
      <c r="L272" s="11">
        <v>0</v>
      </c>
      <c r="M272" s="11">
        <v>0</v>
      </c>
      <c r="N272" s="11">
        <v>0</v>
      </c>
      <c r="O272" s="12" t="str">
        <f t="shared" si="4"/>
        <v>20 - 29</v>
      </c>
    </row>
    <row r="273" spans="1:15" x14ac:dyDescent="0.35">
      <c r="A273" s="12">
        <v>1129</v>
      </c>
      <c r="B273" s="12" t="s">
        <v>16</v>
      </c>
      <c r="C273" s="12">
        <v>27</v>
      </c>
      <c r="D273" s="12" t="s">
        <v>25</v>
      </c>
      <c r="E273" s="12" t="s">
        <v>14</v>
      </c>
      <c r="F273" s="12">
        <v>284</v>
      </c>
      <c r="G273" s="12">
        <v>57</v>
      </c>
      <c r="H273" s="12">
        <v>0.14000000000000001</v>
      </c>
      <c r="I273" s="12" t="s">
        <v>15</v>
      </c>
      <c r="J273" s="12">
        <v>41</v>
      </c>
      <c r="K273" s="12">
        <v>0</v>
      </c>
      <c r="L273" s="12">
        <v>1</v>
      </c>
      <c r="M273" s="12">
        <v>0</v>
      </c>
      <c r="N273" s="12">
        <v>0</v>
      </c>
      <c r="O273" s="12" t="str">
        <f t="shared" si="4"/>
        <v>40 - 49</v>
      </c>
    </row>
    <row r="274" spans="1:15" x14ac:dyDescent="0.35">
      <c r="A274" s="11">
        <v>1142</v>
      </c>
      <c r="B274" s="11" t="s">
        <v>12</v>
      </c>
      <c r="C274" s="11">
        <v>31</v>
      </c>
      <c r="D274" s="11" t="s">
        <v>21</v>
      </c>
      <c r="E274" s="11" t="s">
        <v>14</v>
      </c>
      <c r="F274" s="11">
        <v>200</v>
      </c>
      <c r="G274" s="11">
        <v>50</v>
      </c>
      <c r="H274" s="11">
        <v>0.33</v>
      </c>
      <c r="I274" s="11" t="s">
        <v>15</v>
      </c>
      <c r="J274" s="11">
        <v>40</v>
      </c>
      <c r="K274" s="11">
        <v>0</v>
      </c>
      <c r="L274" s="11">
        <v>0</v>
      </c>
      <c r="M274" s="11">
        <v>0</v>
      </c>
      <c r="N274" s="11">
        <v>0</v>
      </c>
      <c r="O274" s="12" t="str">
        <f t="shared" si="4"/>
        <v>40 - 49</v>
      </c>
    </row>
    <row r="275" spans="1:15" x14ac:dyDescent="0.35">
      <c r="A275" s="12">
        <v>1143</v>
      </c>
      <c r="B275" s="12" t="s">
        <v>12</v>
      </c>
      <c r="C275" s="12">
        <v>49</v>
      </c>
      <c r="D275" s="12" t="s">
        <v>25</v>
      </c>
      <c r="E275" s="12" t="s">
        <v>14</v>
      </c>
      <c r="F275" s="12">
        <v>13</v>
      </c>
      <c r="G275" s="12">
        <v>96</v>
      </c>
      <c r="H275" s="12">
        <v>0.05</v>
      </c>
      <c r="I275" s="12" t="s">
        <v>23</v>
      </c>
      <c r="J275" s="12">
        <v>30</v>
      </c>
      <c r="K275" s="12">
        <v>0</v>
      </c>
      <c r="L275" s="12">
        <v>0</v>
      </c>
      <c r="M275" s="12">
        <v>0</v>
      </c>
      <c r="N275" s="12">
        <v>0</v>
      </c>
      <c r="O275" s="12" t="str">
        <f t="shared" si="4"/>
        <v>30 - 39</v>
      </c>
    </row>
    <row r="276" spans="1:15" x14ac:dyDescent="0.35">
      <c r="A276" s="11">
        <v>1147</v>
      </c>
      <c r="B276" s="11" t="s">
        <v>20</v>
      </c>
      <c r="C276" s="11">
        <v>49</v>
      </c>
      <c r="D276" s="11" t="s">
        <v>17</v>
      </c>
      <c r="E276" s="11" t="s">
        <v>14</v>
      </c>
      <c r="F276" s="11">
        <v>156</v>
      </c>
      <c r="G276" s="11">
        <v>32</v>
      </c>
      <c r="H276" s="11">
        <v>0.28999999999999998</v>
      </c>
      <c r="I276" s="11" t="s">
        <v>15</v>
      </c>
      <c r="J276" s="11">
        <v>33</v>
      </c>
      <c r="K276" s="11">
        <v>0</v>
      </c>
      <c r="L276" s="11">
        <v>0</v>
      </c>
      <c r="M276" s="11">
        <v>0</v>
      </c>
      <c r="N276" s="11">
        <v>0</v>
      </c>
      <c r="O276" s="12" t="str">
        <f t="shared" si="4"/>
        <v>30 - 39</v>
      </c>
    </row>
    <row r="277" spans="1:15" x14ac:dyDescent="0.35">
      <c r="A277" s="12">
        <v>1149</v>
      </c>
      <c r="B277" s="12" t="s">
        <v>16</v>
      </c>
      <c r="C277" s="12">
        <v>56</v>
      </c>
      <c r="D277" s="12" t="s">
        <v>21</v>
      </c>
      <c r="E277" s="12" t="s">
        <v>14</v>
      </c>
      <c r="F277" s="12">
        <v>243</v>
      </c>
      <c r="G277" s="12">
        <v>43</v>
      </c>
      <c r="H277" s="12">
        <v>0.13</v>
      </c>
      <c r="I277" s="12" t="s">
        <v>15</v>
      </c>
      <c r="J277" s="12">
        <v>10</v>
      </c>
      <c r="K277" s="12">
        <v>0</v>
      </c>
      <c r="L277" s="12">
        <v>0</v>
      </c>
      <c r="M277" s="12">
        <v>0</v>
      </c>
      <c r="N277" s="12">
        <v>0</v>
      </c>
      <c r="O277" s="12" t="str">
        <f t="shared" si="4"/>
        <v>10 - 19</v>
      </c>
    </row>
    <row r="278" spans="1:15" x14ac:dyDescent="0.35">
      <c r="A278" s="11">
        <v>1154</v>
      </c>
      <c r="B278" s="11" t="s">
        <v>20</v>
      </c>
      <c r="C278" s="11">
        <v>38</v>
      </c>
      <c r="D278" s="11" t="s">
        <v>25</v>
      </c>
      <c r="E278" s="11" t="s">
        <v>14</v>
      </c>
      <c r="F278" s="11">
        <v>65</v>
      </c>
      <c r="G278" s="11">
        <v>74</v>
      </c>
      <c r="H278" s="11">
        <v>0.1</v>
      </c>
      <c r="I278" s="11" t="s">
        <v>19</v>
      </c>
      <c r="J278" s="11">
        <v>28</v>
      </c>
      <c r="K278" s="11">
        <v>0</v>
      </c>
      <c r="L278" s="11">
        <v>0</v>
      </c>
      <c r="M278" s="11">
        <v>0</v>
      </c>
      <c r="N278" s="11">
        <v>0</v>
      </c>
      <c r="O278" s="12" t="str">
        <f t="shared" si="4"/>
        <v>20 - 29</v>
      </c>
    </row>
    <row r="279" spans="1:15" x14ac:dyDescent="0.35">
      <c r="A279" s="12">
        <v>1155</v>
      </c>
      <c r="B279" s="12" t="s">
        <v>12</v>
      </c>
      <c r="C279" s="12">
        <v>24</v>
      </c>
      <c r="D279" s="12" t="s">
        <v>27</v>
      </c>
      <c r="E279" s="12" t="s">
        <v>14</v>
      </c>
      <c r="F279" s="12">
        <v>12</v>
      </c>
      <c r="G279" s="12">
        <v>99</v>
      </c>
      <c r="H279" s="12">
        <v>0.17</v>
      </c>
      <c r="I279" s="12" t="s">
        <v>15</v>
      </c>
      <c r="J279" s="12">
        <v>33</v>
      </c>
      <c r="K279" s="12">
        <v>0</v>
      </c>
      <c r="L279" s="12">
        <v>0</v>
      </c>
      <c r="M279" s="12">
        <v>0</v>
      </c>
      <c r="N279" s="12">
        <v>0</v>
      </c>
      <c r="O279" s="12" t="str">
        <f t="shared" si="4"/>
        <v>30 - 39</v>
      </c>
    </row>
    <row r="280" spans="1:15" x14ac:dyDescent="0.35">
      <c r="A280" s="11">
        <v>1166</v>
      </c>
      <c r="B280" s="11" t="s">
        <v>16</v>
      </c>
      <c r="C280" s="11">
        <v>25</v>
      </c>
      <c r="D280" s="11" t="s">
        <v>13</v>
      </c>
      <c r="E280" s="11" t="s">
        <v>14</v>
      </c>
      <c r="F280" s="11">
        <v>205</v>
      </c>
      <c r="G280" s="11">
        <v>47</v>
      </c>
      <c r="H280" s="11">
        <v>0.54</v>
      </c>
      <c r="I280" s="11" t="s">
        <v>19</v>
      </c>
      <c r="J280" s="11">
        <v>15</v>
      </c>
      <c r="K280" s="11">
        <v>0</v>
      </c>
      <c r="L280" s="11">
        <v>0</v>
      </c>
      <c r="M280" s="11">
        <v>0</v>
      </c>
      <c r="N280" s="11">
        <v>0</v>
      </c>
      <c r="O280" s="12" t="str">
        <f t="shared" si="4"/>
        <v>10 - 19</v>
      </c>
    </row>
    <row r="281" spans="1:15" x14ac:dyDescent="0.35">
      <c r="A281" s="12">
        <v>1175</v>
      </c>
      <c r="B281" s="12" t="s">
        <v>20</v>
      </c>
      <c r="C281" s="12">
        <v>41</v>
      </c>
      <c r="D281" s="12" t="s">
        <v>17</v>
      </c>
      <c r="E281" s="12" t="s">
        <v>14</v>
      </c>
      <c r="F281" s="12">
        <v>272</v>
      </c>
      <c r="G281" s="12">
        <v>59</v>
      </c>
      <c r="H281" s="12">
        <v>0.53</v>
      </c>
      <c r="I281" s="12" t="s">
        <v>19</v>
      </c>
      <c r="J281" s="12">
        <v>21</v>
      </c>
      <c r="K281" s="12">
        <v>0</v>
      </c>
      <c r="L281" s="12">
        <v>0</v>
      </c>
      <c r="M281" s="12">
        <v>0</v>
      </c>
      <c r="N281" s="12">
        <v>0</v>
      </c>
      <c r="O281" s="12" t="str">
        <f t="shared" si="4"/>
        <v>20 - 29</v>
      </c>
    </row>
    <row r="282" spans="1:15" x14ac:dyDescent="0.35">
      <c r="A282" s="11">
        <v>1183</v>
      </c>
      <c r="B282" s="11" t="s">
        <v>12</v>
      </c>
      <c r="C282" s="11">
        <v>47</v>
      </c>
      <c r="D282" s="11" t="s">
        <v>17</v>
      </c>
      <c r="E282" s="11" t="s">
        <v>14</v>
      </c>
      <c r="F282" s="11">
        <v>166</v>
      </c>
      <c r="G282" s="11">
        <v>19</v>
      </c>
      <c r="H282" s="11">
        <v>0.34</v>
      </c>
      <c r="I282" s="11" t="s">
        <v>15</v>
      </c>
      <c r="J282" s="11">
        <v>36</v>
      </c>
      <c r="K282" s="11">
        <v>0</v>
      </c>
      <c r="L282" s="11">
        <v>0</v>
      </c>
      <c r="M282" s="11">
        <v>0</v>
      </c>
      <c r="N282" s="11">
        <v>0</v>
      </c>
      <c r="O282" s="12" t="str">
        <f t="shared" si="4"/>
        <v>30 - 39</v>
      </c>
    </row>
    <row r="283" spans="1:15" x14ac:dyDescent="0.35">
      <c r="A283" s="12">
        <v>1187</v>
      </c>
      <c r="B283" s="12" t="s">
        <v>16</v>
      </c>
      <c r="C283" s="12">
        <v>37</v>
      </c>
      <c r="D283" s="12" t="s">
        <v>29</v>
      </c>
      <c r="E283" s="12" t="s">
        <v>14</v>
      </c>
      <c r="F283" s="12">
        <v>194</v>
      </c>
      <c r="G283" s="12">
        <v>56</v>
      </c>
      <c r="H283" s="12">
        <v>0.16</v>
      </c>
      <c r="I283" s="12" t="s">
        <v>19</v>
      </c>
      <c r="J283" s="12">
        <v>13</v>
      </c>
      <c r="K283" s="12">
        <v>0</v>
      </c>
      <c r="L283" s="12">
        <v>0</v>
      </c>
      <c r="M283" s="12">
        <v>0</v>
      </c>
      <c r="N283" s="12">
        <v>0</v>
      </c>
      <c r="O283" s="12" t="str">
        <f t="shared" si="4"/>
        <v>10 - 19</v>
      </c>
    </row>
    <row r="284" spans="1:15" x14ac:dyDescent="0.35">
      <c r="A284" s="11">
        <v>1195</v>
      </c>
      <c r="B284" s="11" t="s">
        <v>12</v>
      </c>
      <c r="C284" s="11">
        <v>58</v>
      </c>
      <c r="D284" s="11" t="s">
        <v>29</v>
      </c>
      <c r="E284" s="11" t="s">
        <v>14</v>
      </c>
      <c r="F284" s="11">
        <v>59</v>
      </c>
      <c r="G284" s="11">
        <v>46</v>
      </c>
      <c r="H284" s="11">
        <v>0.42</v>
      </c>
      <c r="I284" s="11" t="s">
        <v>23</v>
      </c>
      <c r="J284" s="11">
        <v>5</v>
      </c>
      <c r="K284" s="11">
        <v>0</v>
      </c>
      <c r="L284" s="11">
        <v>0</v>
      </c>
      <c r="M284" s="11">
        <v>0</v>
      </c>
      <c r="N284" s="11">
        <v>0</v>
      </c>
      <c r="O284" s="12" t="str">
        <f t="shared" si="4"/>
        <v>0 - 9</v>
      </c>
    </row>
    <row r="285" spans="1:15" x14ac:dyDescent="0.35">
      <c r="A285" s="12">
        <v>1201</v>
      </c>
      <c r="B285" s="12" t="s">
        <v>20</v>
      </c>
      <c r="C285" s="12">
        <v>34</v>
      </c>
      <c r="D285" s="12" t="s">
        <v>13</v>
      </c>
      <c r="E285" s="12" t="s">
        <v>14</v>
      </c>
      <c r="F285" s="12">
        <v>41</v>
      </c>
      <c r="G285" s="12">
        <v>79</v>
      </c>
      <c r="H285" s="12">
        <v>0.05</v>
      </c>
      <c r="I285" s="12" t="s">
        <v>23</v>
      </c>
      <c r="J285" s="12">
        <v>39</v>
      </c>
      <c r="K285" s="12">
        <v>0</v>
      </c>
      <c r="L285" s="12">
        <v>1</v>
      </c>
      <c r="M285" s="12">
        <v>0</v>
      </c>
      <c r="N285" s="12">
        <v>0</v>
      </c>
      <c r="O285" s="12" t="str">
        <f t="shared" si="4"/>
        <v>30 - 39</v>
      </c>
    </row>
    <row r="286" spans="1:15" x14ac:dyDescent="0.35">
      <c r="A286" s="11">
        <v>1203</v>
      </c>
      <c r="B286" s="11" t="s">
        <v>12</v>
      </c>
      <c r="C286" s="11">
        <v>35</v>
      </c>
      <c r="D286" s="11" t="s">
        <v>13</v>
      </c>
      <c r="E286" s="11" t="s">
        <v>14</v>
      </c>
      <c r="F286" s="11">
        <v>251</v>
      </c>
      <c r="G286" s="11">
        <v>27</v>
      </c>
      <c r="H286" s="11">
        <v>0.52</v>
      </c>
      <c r="I286" s="11" t="s">
        <v>19</v>
      </c>
      <c r="J286" s="11">
        <v>42</v>
      </c>
      <c r="K286" s="11">
        <v>0</v>
      </c>
      <c r="L286" s="11">
        <v>1</v>
      </c>
      <c r="M286" s="11">
        <v>0</v>
      </c>
      <c r="N286" s="11">
        <v>0</v>
      </c>
      <c r="O286" s="12" t="str">
        <f t="shared" si="4"/>
        <v>40 - 49</v>
      </c>
    </row>
    <row r="287" spans="1:15" x14ac:dyDescent="0.35">
      <c r="A287" s="12">
        <v>1205</v>
      </c>
      <c r="B287" s="12" t="s">
        <v>20</v>
      </c>
      <c r="C287" s="12">
        <v>19</v>
      </c>
      <c r="D287" s="12" t="s">
        <v>25</v>
      </c>
      <c r="E287" s="12" t="s">
        <v>14</v>
      </c>
      <c r="F287" s="12">
        <v>32</v>
      </c>
      <c r="G287" s="12">
        <v>62</v>
      </c>
      <c r="H287" s="12">
        <v>0.19</v>
      </c>
      <c r="I287" s="12" t="s">
        <v>15</v>
      </c>
      <c r="J287" s="12">
        <v>40</v>
      </c>
      <c r="K287" s="12">
        <v>0</v>
      </c>
      <c r="L287" s="12">
        <v>1</v>
      </c>
      <c r="M287" s="12">
        <v>0</v>
      </c>
      <c r="N287" s="12">
        <v>0</v>
      </c>
      <c r="O287" s="12" t="str">
        <f t="shared" si="4"/>
        <v>40 - 49</v>
      </c>
    </row>
    <row r="288" spans="1:15" x14ac:dyDescent="0.35">
      <c r="A288" s="11">
        <v>1206</v>
      </c>
      <c r="B288" s="11" t="s">
        <v>12</v>
      </c>
      <c r="C288" s="11">
        <v>35</v>
      </c>
      <c r="D288" s="11" t="s">
        <v>17</v>
      </c>
      <c r="E288" s="11" t="s">
        <v>14</v>
      </c>
      <c r="F288" s="11">
        <v>227</v>
      </c>
      <c r="G288" s="11">
        <v>4</v>
      </c>
      <c r="H288" s="11">
        <v>0.02</v>
      </c>
      <c r="I288" s="11" t="s">
        <v>19</v>
      </c>
      <c r="J288" s="11">
        <v>32</v>
      </c>
      <c r="K288" s="11">
        <v>0</v>
      </c>
      <c r="L288" s="11">
        <v>0</v>
      </c>
      <c r="M288" s="11">
        <v>0</v>
      </c>
      <c r="N288" s="11">
        <v>0</v>
      </c>
      <c r="O288" s="12" t="str">
        <f t="shared" si="4"/>
        <v>30 - 39</v>
      </c>
    </row>
    <row r="289" spans="1:15" x14ac:dyDescent="0.35">
      <c r="A289" s="12">
        <v>1208</v>
      </c>
      <c r="B289" s="12" t="s">
        <v>16</v>
      </c>
      <c r="C289" s="12">
        <v>38</v>
      </c>
      <c r="D289" s="12" t="s">
        <v>27</v>
      </c>
      <c r="E289" s="12" t="s">
        <v>14</v>
      </c>
      <c r="F289" s="12">
        <v>131</v>
      </c>
      <c r="G289" s="12">
        <v>72</v>
      </c>
      <c r="H289" s="12">
        <v>0.56999999999999995</v>
      </c>
      <c r="I289" s="12" t="s">
        <v>23</v>
      </c>
      <c r="J289" s="12">
        <v>37</v>
      </c>
      <c r="K289" s="12">
        <v>0</v>
      </c>
      <c r="L289" s="12">
        <v>0</v>
      </c>
      <c r="M289" s="12">
        <v>0</v>
      </c>
      <c r="N289" s="12">
        <v>0</v>
      </c>
      <c r="O289" s="12" t="str">
        <f t="shared" si="4"/>
        <v>30 - 39</v>
      </c>
    </row>
    <row r="290" spans="1:15" x14ac:dyDescent="0.35">
      <c r="A290" s="11">
        <v>1209</v>
      </c>
      <c r="B290" s="11" t="s">
        <v>12</v>
      </c>
      <c r="C290" s="11">
        <v>19</v>
      </c>
      <c r="D290" s="11" t="s">
        <v>17</v>
      </c>
      <c r="E290" s="11" t="s">
        <v>14</v>
      </c>
      <c r="F290" s="11">
        <v>96</v>
      </c>
      <c r="G290" s="11">
        <v>67</v>
      </c>
      <c r="H290" s="11">
        <v>0.27</v>
      </c>
      <c r="I290" s="11" t="s">
        <v>15</v>
      </c>
      <c r="J290" s="11">
        <v>38</v>
      </c>
      <c r="K290" s="11">
        <v>0</v>
      </c>
      <c r="L290" s="11">
        <v>0</v>
      </c>
      <c r="M290" s="11">
        <v>0</v>
      </c>
      <c r="N290" s="11">
        <v>0</v>
      </c>
      <c r="O290" s="12" t="str">
        <f t="shared" si="4"/>
        <v>30 - 39</v>
      </c>
    </row>
    <row r="291" spans="1:15" x14ac:dyDescent="0.35">
      <c r="A291" s="12">
        <v>1219</v>
      </c>
      <c r="B291" s="12" t="s">
        <v>12</v>
      </c>
      <c r="C291" s="12">
        <v>51</v>
      </c>
      <c r="D291" s="12" t="s">
        <v>26</v>
      </c>
      <c r="E291" s="12" t="s">
        <v>14</v>
      </c>
      <c r="F291" s="12">
        <v>45</v>
      </c>
      <c r="G291" s="12">
        <v>61</v>
      </c>
      <c r="H291" s="12">
        <v>0.37</v>
      </c>
      <c r="I291" s="12" t="s">
        <v>15</v>
      </c>
      <c r="J291" s="12">
        <v>36</v>
      </c>
      <c r="K291" s="12">
        <v>0</v>
      </c>
      <c r="L291" s="12">
        <v>0</v>
      </c>
      <c r="M291" s="12">
        <v>0</v>
      </c>
      <c r="N291" s="12">
        <v>0</v>
      </c>
      <c r="O291" s="12" t="str">
        <f t="shared" si="4"/>
        <v>30 - 39</v>
      </c>
    </row>
    <row r="292" spans="1:15" x14ac:dyDescent="0.35">
      <c r="A292" s="11">
        <v>1220</v>
      </c>
      <c r="B292" s="11" t="s">
        <v>12</v>
      </c>
      <c r="C292" s="11">
        <v>47</v>
      </c>
      <c r="D292" s="11" t="s">
        <v>28</v>
      </c>
      <c r="E292" s="11" t="s">
        <v>14</v>
      </c>
      <c r="F292" s="11">
        <v>289</v>
      </c>
      <c r="G292" s="11">
        <v>49</v>
      </c>
      <c r="H292" s="11">
        <v>0.06</v>
      </c>
      <c r="I292" s="11" t="s">
        <v>19</v>
      </c>
      <c r="J292" s="11">
        <v>47</v>
      </c>
      <c r="K292" s="11">
        <v>0</v>
      </c>
      <c r="L292" s="11">
        <v>0</v>
      </c>
      <c r="M292" s="11">
        <v>0</v>
      </c>
      <c r="N292" s="11">
        <v>0</v>
      </c>
      <c r="O292" s="12" t="str">
        <f t="shared" si="4"/>
        <v>40 - 49</v>
      </c>
    </row>
    <row r="293" spans="1:15" x14ac:dyDescent="0.35">
      <c r="A293" s="12">
        <v>1221</v>
      </c>
      <c r="B293" s="12" t="s">
        <v>12</v>
      </c>
      <c r="C293" s="12">
        <v>53</v>
      </c>
      <c r="D293" s="12" t="s">
        <v>21</v>
      </c>
      <c r="E293" s="12" t="s">
        <v>14</v>
      </c>
      <c r="F293" s="12">
        <v>280</v>
      </c>
      <c r="G293" s="12">
        <v>74</v>
      </c>
      <c r="H293" s="12">
        <v>0.39</v>
      </c>
      <c r="I293" s="12" t="s">
        <v>23</v>
      </c>
      <c r="J293" s="12">
        <v>6</v>
      </c>
      <c r="K293" s="12">
        <v>0</v>
      </c>
      <c r="L293" s="12">
        <v>1</v>
      </c>
      <c r="M293" s="12">
        <v>0</v>
      </c>
      <c r="N293" s="12">
        <v>0</v>
      </c>
      <c r="O293" s="12" t="str">
        <f t="shared" si="4"/>
        <v>0 - 9</v>
      </c>
    </row>
    <row r="294" spans="1:15" x14ac:dyDescent="0.35">
      <c r="A294" s="11">
        <v>1229</v>
      </c>
      <c r="B294" s="11" t="s">
        <v>16</v>
      </c>
      <c r="C294" s="11">
        <v>41</v>
      </c>
      <c r="D294" s="11" t="s">
        <v>13</v>
      </c>
      <c r="E294" s="11" t="s">
        <v>14</v>
      </c>
      <c r="F294" s="11">
        <v>218</v>
      </c>
      <c r="G294" s="11">
        <v>6</v>
      </c>
      <c r="H294" s="11">
        <v>0.13</v>
      </c>
      <c r="I294" s="11" t="s">
        <v>19</v>
      </c>
      <c r="J294" s="11">
        <v>38</v>
      </c>
      <c r="K294" s="11">
        <v>0</v>
      </c>
      <c r="L294" s="11">
        <v>0</v>
      </c>
      <c r="M294" s="11">
        <v>0</v>
      </c>
      <c r="N294" s="11">
        <v>0</v>
      </c>
      <c r="O294" s="12" t="str">
        <f t="shared" si="4"/>
        <v>30 - 39</v>
      </c>
    </row>
    <row r="295" spans="1:15" x14ac:dyDescent="0.35">
      <c r="A295" s="12">
        <v>1231</v>
      </c>
      <c r="B295" s="12" t="s">
        <v>20</v>
      </c>
      <c r="C295" s="12">
        <v>49</v>
      </c>
      <c r="D295" s="12" t="s">
        <v>27</v>
      </c>
      <c r="E295" s="12" t="s">
        <v>14</v>
      </c>
      <c r="F295" s="12">
        <v>269</v>
      </c>
      <c r="G295" s="12">
        <v>82</v>
      </c>
      <c r="H295" s="12">
        <v>0.42</v>
      </c>
      <c r="I295" s="12" t="s">
        <v>15</v>
      </c>
      <c r="J295" s="12">
        <v>5</v>
      </c>
      <c r="K295" s="12">
        <v>0</v>
      </c>
      <c r="L295" s="12">
        <v>1</v>
      </c>
      <c r="M295" s="12">
        <v>0</v>
      </c>
      <c r="N295" s="12">
        <v>0</v>
      </c>
      <c r="O295" s="12" t="str">
        <f t="shared" si="4"/>
        <v>0 - 9</v>
      </c>
    </row>
    <row r="296" spans="1:15" x14ac:dyDescent="0.35">
      <c r="A296" s="11">
        <v>1235</v>
      </c>
      <c r="B296" s="11" t="s">
        <v>16</v>
      </c>
      <c r="C296" s="11">
        <v>32</v>
      </c>
      <c r="D296" s="11" t="s">
        <v>28</v>
      </c>
      <c r="E296" s="11" t="s">
        <v>14</v>
      </c>
      <c r="F296" s="11">
        <v>272</v>
      </c>
      <c r="G296" s="11">
        <v>38</v>
      </c>
      <c r="H296" s="11">
        <v>0.34</v>
      </c>
      <c r="I296" s="11" t="s">
        <v>23</v>
      </c>
      <c r="J296" s="11">
        <v>20</v>
      </c>
      <c r="K296" s="11">
        <v>0</v>
      </c>
      <c r="L296" s="11">
        <v>0</v>
      </c>
      <c r="M296" s="11">
        <v>0</v>
      </c>
      <c r="N296" s="11">
        <v>0</v>
      </c>
      <c r="O296" s="12" t="str">
        <f t="shared" si="4"/>
        <v>20 - 29</v>
      </c>
    </row>
    <row r="297" spans="1:15" x14ac:dyDescent="0.35">
      <c r="A297" s="12">
        <v>1237</v>
      </c>
      <c r="B297" s="12" t="s">
        <v>20</v>
      </c>
      <c r="C297" s="12">
        <v>40</v>
      </c>
      <c r="D297" s="12" t="s">
        <v>28</v>
      </c>
      <c r="E297" s="12" t="s">
        <v>14</v>
      </c>
      <c r="F297" s="12">
        <v>59</v>
      </c>
      <c r="G297" s="12">
        <v>30</v>
      </c>
      <c r="H297" s="12">
        <v>0.1</v>
      </c>
      <c r="I297" s="12" t="s">
        <v>19</v>
      </c>
      <c r="J297" s="12">
        <v>44</v>
      </c>
      <c r="K297" s="12">
        <v>0</v>
      </c>
      <c r="L297" s="12">
        <v>0</v>
      </c>
      <c r="M297" s="12">
        <v>0</v>
      </c>
      <c r="N297" s="12">
        <v>0</v>
      </c>
      <c r="O297" s="12" t="str">
        <f t="shared" si="4"/>
        <v>40 - 49</v>
      </c>
    </row>
    <row r="298" spans="1:15" x14ac:dyDescent="0.35">
      <c r="A298" s="11">
        <v>1244</v>
      </c>
      <c r="B298" s="11" t="s">
        <v>20</v>
      </c>
      <c r="C298" s="11">
        <v>20</v>
      </c>
      <c r="D298" s="11" t="s">
        <v>21</v>
      </c>
      <c r="E298" s="11" t="s">
        <v>14</v>
      </c>
      <c r="F298" s="11">
        <v>158</v>
      </c>
      <c r="G298" s="11">
        <v>95</v>
      </c>
      <c r="H298" s="11">
        <v>0.13</v>
      </c>
      <c r="I298" s="11" t="s">
        <v>15</v>
      </c>
      <c r="J298" s="11">
        <v>10</v>
      </c>
      <c r="K298" s="11">
        <v>0</v>
      </c>
      <c r="L298" s="11">
        <v>0</v>
      </c>
      <c r="M298" s="11">
        <v>0</v>
      </c>
      <c r="N298" s="11">
        <v>0</v>
      </c>
      <c r="O298" s="12" t="str">
        <f t="shared" si="4"/>
        <v>10 - 19</v>
      </c>
    </row>
    <row r="299" spans="1:15" x14ac:dyDescent="0.35">
      <c r="A299" s="12">
        <v>1246</v>
      </c>
      <c r="B299" s="12" t="s">
        <v>16</v>
      </c>
      <c r="C299" s="12">
        <v>59</v>
      </c>
      <c r="D299" s="12" t="s">
        <v>13</v>
      </c>
      <c r="E299" s="12" t="s">
        <v>14</v>
      </c>
      <c r="F299" s="12">
        <v>233</v>
      </c>
      <c r="G299" s="12">
        <v>80</v>
      </c>
      <c r="H299" s="12">
        <v>0.16</v>
      </c>
      <c r="I299" s="12" t="s">
        <v>15</v>
      </c>
      <c r="J299" s="12">
        <v>36</v>
      </c>
      <c r="K299" s="12">
        <v>0</v>
      </c>
      <c r="L299" s="12">
        <v>0</v>
      </c>
      <c r="M299" s="12">
        <v>0</v>
      </c>
      <c r="N299" s="12">
        <v>0</v>
      </c>
      <c r="O299" s="12" t="str">
        <f t="shared" si="4"/>
        <v>30 - 39</v>
      </c>
    </row>
    <row r="300" spans="1:15" x14ac:dyDescent="0.35">
      <c r="A300" s="11">
        <v>1247</v>
      </c>
      <c r="B300" s="11" t="s">
        <v>16</v>
      </c>
      <c r="C300" s="11">
        <v>34</v>
      </c>
      <c r="D300" s="11" t="s">
        <v>27</v>
      </c>
      <c r="E300" s="11" t="s">
        <v>14</v>
      </c>
      <c r="F300" s="11">
        <v>177</v>
      </c>
      <c r="G300" s="11">
        <v>27</v>
      </c>
      <c r="H300" s="11">
        <v>0.3</v>
      </c>
      <c r="I300" s="11" t="s">
        <v>19</v>
      </c>
      <c r="J300" s="11">
        <v>22</v>
      </c>
      <c r="K300" s="11">
        <v>0</v>
      </c>
      <c r="L300" s="11">
        <v>1</v>
      </c>
      <c r="M300" s="11">
        <v>0</v>
      </c>
      <c r="N300" s="11">
        <v>0</v>
      </c>
      <c r="O300" s="12" t="str">
        <f t="shared" si="4"/>
        <v>20 - 29</v>
      </c>
    </row>
    <row r="301" spans="1:15" x14ac:dyDescent="0.35">
      <c r="A301" s="12">
        <v>1248</v>
      </c>
      <c r="B301" s="12" t="s">
        <v>16</v>
      </c>
      <c r="C301" s="12">
        <v>42</v>
      </c>
      <c r="D301" s="12" t="s">
        <v>17</v>
      </c>
      <c r="E301" s="12" t="s">
        <v>14</v>
      </c>
      <c r="F301" s="12">
        <v>193</v>
      </c>
      <c r="G301" s="12">
        <v>28</v>
      </c>
      <c r="H301" s="12">
        <v>0.55000000000000004</v>
      </c>
      <c r="I301" s="12" t="s">
        <v>19</v>
      </c>
      <c r="J301" s="12">
        <v>19</v>
      </c>
      <c r="K301" s="12">
        <v>0</v>
      </c>
      <c r="L301" s="12">
        <v>0</v>
      </c>
      <c r="M301" s="12">
        <v>0</v>
      </c>
      <c r="N301" s="12">
        <v>0</v>
      </c>
      <c r="O301" s="12" t="str">
        <f t="shared" si="4"/>
        <v>10 - 19</v>
      </c>
    </row>
    <row r="302" spans="1:15" x14ac:dyDescent="0.35">
      <c r="A302" s="11">
        <v>1252</v>
      </c>
      <c r="B302" s="11" t="s">
        <v>12</v>
      </c>
      <c r="C302" s="11">
        <v>52</v>
      </c>
      <c r="D302" s="11" t="s">
        <v>25</v>
      </c>
      <c r="E302" s="11" t="s">
        <v>14</v>
      </c>
      <c r="F302" s="11">
        <v>281</v>
      </c>
      <c r="G302" s="11">
        <v>1</v>
      </c>
      <c r="H302" s="11">
        <v>0.1</v>
      </c>
      <c r="I302" s="11" t="s">
        <v>19</v>
      </c>
      <c r="J302" s="11">
        <v>47</v>
      </c>
      <c r="K302" s="11">
        <v>0</v>
      </c>
      <c r="L302" s="11">
        <v>0</v>
      </c>
      <c r="M302" s="11">
        <v>0</v>
      </c>
      <c r="N302" s="11">
        <v>0</v>
      </c>
      <c r="O302" s="12" t="str">
        <f t="shared" si="4"/>
        <v>40 - 49</v>
      </c>
    </row>
    <row r="303" spans="1:15" x14ac:dyDescent="0.35">
      <c r="A303" s="12">
        <v>1253</v>
      </c>
      <c r="B303" s="12" t="s">
        <v>20</v>
      </c>
      <c r="C303" s="12">
        <v>55</v>
      </c>
      <c r="D303" s="12" t="s">
        <v>29</v>
      </c>
      <c r="E303" s="12" t="s">
        <v>14</v>
      </c>
      <c r="F303" s="12">
        <v>222</v>
      </c>
      <c r="G303" s="12">
        <v>74</v>
      </c>
      <c r="H303" s="12">
        <v>0.49</v>
      </c>
      <c r="I303" s="12" t="s">
        <v>19</v>
      </c>
      <c r="J303" s="12">
        <v>34</v>
      </c>
      <c r="K303" s="12">
        <v>0</v>
      </c>
      <c r="L303" s="12">
        <v>0</v>
      </c>
      <c r="M303" s="12">
        <v>0</v>
      </c>
      <c r="N303" s="12">
        <v>0</v>
      </c>
      <c r="O303" s="12" t="str">
        <f t="shared" si="4"/>
        <v>30 - 39</v>
      </c>
    </row>
    <row r="304" spans="1:15" x14ac:dyDescent="0.35">
      <c r="A304" s="11">
        <v>1259</v>
      </c>
      <c r="B304" s="11" t="s">
        <v>20</v>
      </c>
      <c r="C304" s="11">
        <v>55</v>
      </c>
      <c r="D304" s="11" t="s">
        <v>17</v>
      </c>
      <c r="E304" s="11" t="s">
        <v>14</v>
      </c>
      <c r="F304" s="11">
        <v>166</v>
      </c>
      <c r="G304" s="11">
        <v>55</v>
      </c>
      <c r="H304" s="11">
        <v>0.28000000000000003</v>
      </c>
      <c r="I304" s="11" t="s">
        <v>19</v>
      </c>
      <c r="J304" s="11">
        <v>32</v>
      </c>
      <c r="K304" s="11">
        <v>0</v>
      </c>
      <c r="L304" s="11">
        <v>0</v>
      </c>
      <c r="M304" s="11">
        <v>0</v>
      </c>
      <c r="N304" s="11">
        <v>0</v>
      </c>
      <c r="O304" s="12" t="str">
        <f t="shared" si="4"/>
        <v>30 - 39</v>
      </c>
    </row>
    <row r="305" spans="1:15" x14ac:dyDescent="0.35">
      <c r="A305" s="12">
        <v>1260</v>
      </c>
      <c r="B305" s="12" t="s">
        <v>16</v>
      </c>
      <c r="C305" s="12">
        <v>32</v>
      </c>
      <c r="D305" s="12" t="s">
        <v>13</v>
      </c>
      <c r="E305" s="12" t="s">
        <v>14</v>
      </c>
      <c r="F305" s="12">
        <v>180</v>
      </c>
      <c r="G305" s="12">
        <v>91</v>
      </c>
      <c r="H305" s="12">
        <v>0.37</v>
      </c>
      <c r="I305" s="12" t="s">
        <v>19</v>
      </c>
      <c r="J305" s="12">
        <v>7</v>
      </c>
      <c r="K305" s="12">
        <v>0</v>
      </c>
      <c r="L305" s="12">
        <v>0</v>
      </c>
      <c r="M305" s="12">
        <v>0</v>
      </c>
      <c r="N305" s="12">
        <v>0</v>
      </c>
      <c r="O305" s="12" t="str">
        <f t="shared" si="4"/>
        <v>0 - 9</v>
      </c>
    </row>
    <row r="306" spans="1:15" x14ac:dyDescent="0.35">
      <c r="A306" s="11">
        <v>1261</v>
      </c>
      <c r="B306" s="11" t="s">
        <v>16</v>
      </c>
      <c r="C306" s="11">
        <v>17</v>
      </c>
      <c r="D306" s="11" t="s">
        <v>13</v>
      </c>
      <c r="E306" s="11" t="s">
        <v>14</v>
      </c>
      <c r="F306" s="11">
        <v>298</v>
      </c>
      <c r="G306" s="11">
        <v>88</v>
      </c>
      <c r="H306" s="11">
        <v>0.14000000000000001</v>
      </c>
      <c r="I306" s="11" t="s">
        <v>23</v>
      </c>
      <c r="J306" s="11">
        <v>37</v>
      </c>
      <c r="K306" s="11">
        <v>0</v>
      </c>
      <c r="L306" s="11">
        <v>0</v>
      </c>
      <c r="M306" s="11">
        <v>0</v>
      </c>
      <c r="N306" s="11">
        <v>0</v>
      </c>
      <c r="O306" s="12" t="str">
        <f t="shared" si="4"/>
        <v>30 - 39</v>
      </c>
    </row>
    <row r="307" spans="1:15" x14ac:dyDescent="0.35">
      <c r="A307" s="12">
        <v>1262</v>
      </c>
      <c r="B307" s="12" t="s">
        <v>20</v>
      </c>
      <c r="C307" s="12">
        <v>38</v>
      </c>
      <c r="D307" s="12" t="s">
        <v>17</v>
      </c>
      <c r="E307" s="12" t="s">
        <v>14</v>
      </c>
      <c r="F307" s="12">
        <v>71</v>
      </c>
      <c r="G307" s="12">
        <v>85</v>
      </c>
      <c r="H307" s="12">
        <v>0.4</v>
      </c>
      <c r="I307" s="12" t="s">
        <v>19</v>
      </c>
      <c r="J307" s="12">
        <v>40</v>
      </c>
      <c r="K307" s="12">
        <v>0</v>
      </c>
      <c r="L307" s="12">
        <v>1</v>
      </c>
      <c r="M307" s="12">
        <v>0</v>
      </c>
      <c r="N307" s="12">
        <v>0</v>
      </c>
      <c r="O307" s="12" t="str">
        <f t="shared" si="4"/>
        <v>40 - 49</v>
      </c>
    </row>
    <row r="308" spans="1:15" x14ac:dyDescent="0.35">
      <c r="A308" s="11">
        <v>1265</v>
      </c>
      <c r="B308" s="11" t="s">
        <v>12</v>
      </c>
      <c r="C308" s="11">
        <v>46</v>
      </c>
      <c r="D308" s="11" t="s">
        <v>21</v>
      </c>
      <c r="E308" s="11" t="s">
        <v>14</v>
      </c>
      <c r="F308" s="11">
        <v>242</v>
      </c>
      <c r="G308" s="11">
        <v>37</v>
      </c>
      <c r="H308" s="11">
        <v>0.2</v>
      </c>
      <c r="I308" s="11" t="s">
        <v>19</v>
      </c>
      <c r="J308" s="11">
        <v>34</v>
      </c>
      <c r="K308" s="11">
        <v>0</v>
      </c>
      <c r="L308" s="11">
        <v>0</v>
      </c>
      <c r="M308" s="11">
        <v>0</v>
      </c>
      <c r="N308" s="11">
        <v>0</v>
      </c>
      <c r="O308" s="12" t="str">
        <f t="shared" si="4"/>
        <v>30 - 39</v>
      </c>
    </row>
    <row r="309" spans="1:15" x14ac:dyDescent="0.35">
      <c r="A309" s="12">
        <v>1269</v>
      </c>
      <c r="B309" s="12" t="s">
        <v>16</v>
      </c>
      <c r="C309" s="12">
        <v>35</v>
      </c>
      <c r="D309" s="12" t="s">
        <v>17</v>
      </c>
      <c r="E309" s="12" t="s">
        <v>14</v>
      </c>
      <c r="F309" s="12">
        <v>246</v>
      </c>
      <c r="G309" s="12">
        <v>46</v>
      </c>
      <c r="H309" s="12">
        <v>0.13</v>
      </c>
      <c r="I309" s="12" t="s">
        <v>23</v>
      </c>
      <c r="J309" s="12">
        <v>18</v>
      </c>
      <c r="K309" s="12">
        <v>0</v>
      </c>
      <c r="L309" s="12">
        <v>0</v>
      </c>
      <c r="M309" s="12">
        <v>0</v>
      </c>
      <c r="N309" s="12">
        <v>0</v>
      </c>
      <c r="O309" s="12" t="str">
        <f t="shared" si="4"/>
        <v>10 - 19</v>
      </c>
    </row>
    <row r="310" spans="1:15" x14ac:dyDescent="0.35">
      <c r="A310" s="11">
        <v>1270</v>
      </c>
      <c r="B310" s="11" t="s">
        <v>16</v>
      </c>
      <c r="C310" s="11">
        <v>16</v>
      </c>
      <c r="D310" s="11" t="s">
        <v>29</v>
      </c>
      <c r="E310" s="11" t="s">
        <v>14</v>
      </c>
      <c r="F310" s="11">
        <v>48</v>
      </c>
      <c r="G310" s="11">
        <v>31</v>
      </c>
      <c r="H310" s="11">
        <v>0.48</v>
      </c>
      <c r="I310" s="11" t="s">
        <v>15</v>
      </c>
      <c r="J310" s="11">
        <v>44</v>
      </c>
      <c r="K310" s="11">
        <v>0</v>
      </c>
      <c r="L310" s="11">
        <v>0</v>
      </c>
      <c r="M310" s="11">
        <v>0</v>
      </c>
      <c r="N310" s="11">
        <v>0</v>
      </c>
      <c r="O310" s="12" t="str">
        <f t="shared" si="4"/>
        <v>40 - 49</v>
      </c>
    </row>
    <row r="311" spans="1:15" x14ac:dyDescent="0.35">
      <c r="A311" s="12">
        <v>1273</v>
      </c>
      <c r="B311" s="12" t="s">
        <v>12</v>
      </c>
      <c r="C311" s="12">
        <v>31</v>
      </c>
      <c r="D311" s="12" t="s">
        <v>26</v>
      </c>
      <c r="E311" s="12" t="s">
        <v>14</v>
      </c>
      <c r="F311" s="12">
        <v>180</v>
      </c>
      <c r="G311" s="12">
        <v>7</v>
      </c>
      <c r="H311" s="12">
        <v>0.44</v>
      </c>
      <c r="I311" s="12" t="s">
        <v>15</v>
      </c>
      <c r="J311" s="12">
        <v>44</v>
      </c>
      <c r="K311" s="12">
        <v>0</v>
      </c>
      <c r="L311" s="12">
        <v>0</v>
      </c>
      <c r="M311" s="12">
        <v>0</v>
      </c>
      <c r="N311" s="12">
        <v>0</v>
      </c>
      <c r="O311" s="12" t="str">
        <f t="shared" si="4"/>
        <v>40 - 49</v>
      </c>
    </row>
    <row r="312" spans="1:15" x14ac:dyDescent="0.35">
      <c r="A312" s="11">
        <v>1278</v>
      </c>
      <c r="B312" s="11" t="s">
        <v>12</v>
      </c>
      <c r="C312" s="11">
        <v>37</v>
      </c>
      <c r="D312" s="11" t="s">
        <v>21</v>
      </c>
      <c r="E312" s="11" t="s">
        <v>14</v>
      </c>
      <c r="F312" s="11">
        <v>84</v>
      </c>
      <c r="G312" s="11">
        <v>83</v>
      </c>
      <c r="H312" s="11">
        <v>0.2</v>
      </c>
      <c r="I312" s="11" t="s">
        <v>19</v>
      </c>
      <c r="J312" s="11">
        <v>7</v>
      </c>
      <c r="K312" s="11">
        <v>0</v>
      </c>
      <c r="L312" s="11">
        <v>0</v>
      </c>
      <c r="M312" s="11">
        <v>0</v>
      </c>
      <c r="N312" s="11">
        <v>0</v>
      </c>
      <c r="O312" s="12" t="str">
        <f t="shared" si="4"/>
        <v>0 - 9</v>
      </c>
    </row>
    <row r="313" spans="1:15" x14ac:dyDescent="0.35">
      <c r="A313" s="12">
        <v>1281</v>
      </c>
      <c r="B313" s="12" t="s">
        <v>12</v>
      </c>
      <c r="C313" s="12">
        <v>43</v>
      </c>
      <c r="D313" s="12" t="s">
        <v>28</v>
      </c>
      <c r="E313" s="12" t="s">
        <v>14</v>
      </c>
      <c r="F313" s="12">
        <v>63</v>
      </c>
      <c r="G313" s="12">
        <v>90</v>
      </c>
      <c r="H313" s="12">
        <v>0.32</v>
      </c>
      <c r="I313" s="12" t="s">
        <v>19</v>
      </c>
      <c r="J313" s="12">
        <v>49</v>
      </c>
      <c r="K313" s="12">
        <v>0</v>
      </c>
      <c r="L313" s="12">
        <v>1</v>
      </c>
      <c r="M313" s="12">
        <v>0</v>
      </c>
      <c r="N313" s="12">
        <v>0</v>
      </c>
      <c r="O313" s="12" t="str">
        <f t="shared" si="4"/>
        <v>40 - 49</v>
      </c>
    </row>
    <row r="314" spans="1:15" x14ac:dyDescent="0.35">
      <c r="A314" s="11">
        <v>1282</v>
      </c>
      <c r="B314" s="11" t="s">
        <v>12</v>
      </c>
      <c r="C314" s="11">
        <v>40</v>
      </c>
      <c r="D314" s="11" t="s">
        <v>29</v>
      </c>
      <c r="E314" s="11" t="s">
        <v>14</v>
      </c>
      <c r="F314" s="11">
        <v>219</v>
      </c>
      <c r="G314" s="11">
        <v>71</v>
      </c>
      <c r="H314" s="11">
        <v>0.2</v>
      </c>
      <c r="I314" s="11" t="s">
        <v>15</v>
      </c>
      <c r="J314" s="11">
        <v>26</v>
      </c>
      <c r="K314" s="11">
        <v>0</v>
      </c>
      <c r="L314" s="11">
        <v>0</v>
      </c>
      <c r="M314" s="11">
        <v>0</v>
      </c>
      <c r="N314" s="11">
        <v>0</v>
      </c>
      <c r="O314" s="12" t="str">
        <f t="shared" si="4"/>
        <v>20 - 29</v>
      </c>
    </row>
    <row r="315" spans="1:15" x14ac:dyDescent="0.35">
      <c r="A315" s="12">
        <v>1285</v>
      </c>
      <c r="B315" s="12" t="s">
        <v>20</v>
      </c>
      <c r="C315" s="12">
        <v>36</v>
      </c>
      <c r="D315" s="12" t="s">
        <v>26</v>
      </c>
      <c r="E315" s="12" t="s">
        <v>14</v>
      </c>
      <c r="F315" s="12">
        <v>243</v>
      </c>
      <c r="G315" s="12">
        <v>36</v>
      </c>
      <c r="H315" s="12">
        <v>0.28999999999999998</v>
      </c>
      <c r="I315" s="12" t="s">
        <v>15</v>
      </c>
      <c r="J315" s="12">
        <v>32</v>
      </c>
      <c r="K315" s="12">
        <v>0</v>
      </c>
      <c r="L315" s="12">
        <v>1</v>
      </c>
      <c r="M315" s="12">
        <v>0</v>
      </c>
      <c r="N315" s="12">
        <v>0</v>
      </c>
      <c r="O315" s="12" t="str">
        <f t="shared" si="4"/>
        <v>30 - 39</v>
      </c>
    </row>
    <row r="316" spans="1:15" x14ac:dyDescent="0.35">
      <c r="A316" s="11">
        <v>1291</v>
      </c>
      <c r="B316" s="11" t="s">
        <v>20</v>
      </c>
      <c r="C316" s="11">
        <v>35</v>
      </c>
      <c r="D316" s="11" t="s">
        <v>13</v>
      </c>
      <c r="E316" s="11" t="s">
        <v>14</v>
      </c>
      <c r="F316" s="11">
        <v>168</v>
      </c>
      <c r="G316" s="11">
        <v>85</v>
      </c>
      <c r="H316" s="11">
        <v>0.43</v>
      </c>
      <c r="I316" s="11" t="s">
        <v>23</v>
      </c>
      <c r="J316" s="11">
        <v>39</v>
      </c>
      <c r="K316" s="11">
        <v>0</v>
      </c>
      <c r="L316" s="11">
        <v>0</v>
      </c>
      <c r="M316" s="11">
        <v>0</v>
      </c>
      <c r="N316" s="11">
        <v>0</v>
      </c>
      <c r="O316" s="12" t="str">
        <f t="shared" si="4"/>
        <v>30 - 39</v>
      </c>
    </row>
    <row r="317" spans="1:15" x14ac:dyDescent="0.35">
      <c r="A317" s="12">
        <v>1293</v>
      </c>
      <c r="B317" s="12" t="s">
        <v>20</v>
      </c>
      <c r="C317" s="12">
        <v>44</v>
      </c>
      <c r="D317" s="12" t="s">
        <v>13</v>
      </c>
      <c r="E317" s="12" t="s">
        <v>14</v>
      </c>
      <c r="F317" s="12">
        <v>296</v>
      </c>
      <c r="G317" s="12">
        <v>90</v>
      </c>
      <c r="H317" s="12">
        <v>0.15</v>
      </c>
      <c r="I317" s="12" t="s">
        <v>19</v>
      </c>
      <c r="J317" s="12">
        <v>26</v>
      </c>
      <c r="K317" s="12">
        <v>0</v>
      </c>
      <c r="L317" s="12">
        <v>1</v>
      </c>
      <c r="M317" s="12">
        <v>0</v>
      </c>
      <c r="N317" s="12">
        <v>0</v>
      </c>
      <c r="O317" s="12" t="str">
        <f t="shared" si="4"/>
        <v>20 - 29</v>
      </c>
    </row>
    <row r="318" spans="1:15" x14ac:dyDescent="0.35">
      <c r="A318" s="11">
        <v>1294</v>
      </c>
      <c r="B318" s="11" t="s">
        <v>16</v>
      </c>
      <c r="C318" s="11">
        <v>29</v>
      </c>
      <c r="D318" s="11" t="s">
        <v>29</v>
      </c>
      <c r="E318" s="11" t="s">
        <v>14</v>
      </c>
      <c r="F318" s="11">
        <v>268</v>
      </c>
      <c r="G318" s="11">
        <v>41</v>
      </c>
      <c r="H318" s="11">
        <v>0.2</v>
      </c>
      <c r="I318" s="11" t="s">
        <v>19</v>
      </c>
      <c r="J318" s="11">
        <v>38</v>
      </c>
      <c r="K318" s="11">
        <v>0</v>
      </c>
      <c r="L318" s="11">
        <v>1</v>
      </c>
      <c r="M318" s="11">
        <v>0</v>
      </c>
      <c r="N318" s="11">
        <v>0</v>
      </c>
      <c r="O318" s="12" t="str">
        <f t="shared" si="4"/>
        <v>30 - 39</v>
      </c>
    </row>
    <row r="319" spans="1:15" x14ac:dyDescent="0.35">
      <c r="A319" s="12">
        <v>1295</v>
      </c>
      <c r="B319" s="12" t="s">
        <v>16</v>
      </c>
      <c r="C319" s="12">
        <v>47</v>
      </c>
      <c r="D319" s="12" t="s">
        <v>27</v>
      </c>
      <c r="E319" s="12" t="s">
        <v>14</v>
      </c>
      <c r="F319" s="12">
        <v>80</v>
      </c>
      <c r="G319" s="12">
        <v>39</v>
      </c>
      <c r="H319" s="12">
        <v>0.31</v>
      </c>
      <c r="I319" s="12" t="s">
        <v>15</v>
      </c>
      <c r="J319" s="12">
        <v>43</v>
      </c>
      <c r="K319" s="12">
        <v>0</v>
      </c>
      <c r="L319" s="12">
        <v>1</v>
      </c>
      <c r="M319" s="12">
        <v>0</v>
      </c>
      <c r="N319" s="12">
        <v>0</v>
      </c>
      <c r="O319" s="12" t="str">
        <f t="shared" si="4"/>
        <v>40 - 49</v>
      </c>
    </row>
    <row r="320" spans="1:15" x14ac:dyDescent="0.35">
      <c r="A320" s="11">
        <v>1296</v>
      </c>
      <c r="B320" s="11" t="s">
        <v>20</v>
      </c>
      <c r="C320" s="11">
        <v>44</v>
      </c>
      <c r="D320" s="11" t="s">
        <v>21</v>
      </c>
      <c r="E320" s="11" t="s">
        <v>14</v>
      </c>
      <c r="F320" s="11">
        <v>199</v>
      </c>
      <c r="G320" s="11">
        <v>59</v>
      </c>
      <c r="H320" s="11">
        <v>0.06</v>
      </c>
      <c r="I320" s="11" t="s">
        <v>15</v>
      </c>
      <c r="J320" s="11">
        <v>32</v>
      </c>
      <c r="K320" s="11">
        <v>0</v>
      </c>
      <c r="L320" s="11">
        <v>0</v>
      </c>
      <c r="M320" s="11">
        <v>0</v>
      </c>
      <c r="N320" s="11">
        <v>0</v>
      </c>
      <c r="O320" s="12" t="str">
        <f t="shared" si="4"/>
        <v>30 - 39</v>
      </c>
    </row>
    <row r="321" spans="1:15" x14ac:dyDescent="0.35">
      <c r="A321" s="12">
        <v>1305</v>
      </c>
      <c r="B321" s="12" t="s">
        <v>20</v>
      </c>
      <c r="C321" s="12">
        <v>44</v>
      </c>
      <c r="D321" s="12" t="s">
        <v>21</v>
      </c>
      <c r="E321" s="12" t="s">
        <v>14</v>
      </c>
      <c r="F321" s="12">
        <v>34</v>
      </c>
      <c r="G321" s="12">
        <v>50</v>
      </c>
      <c r="H321" s="12">
        <v>0.15</v>
      </c>
      <c r="I321" s="12" t="s">
        <v>23</v>
      </c>
      <c r="J321" s="12">
        <v>27</v>
      </c>
      <c r="K321" s="12">
        <v>0</v>
      </c>
      <c r="L321" s="12">
        <v>0</v>
      </c>
      <c r="M321" s="12">
        <v>0</v>
      </c>
      <c r="N321" s="12">
        <v>0</v>
      </c>
      <c r="O321" s="12" t="str">
        <f t="shared" si="4"/>
        <v>20 - 29</v>
      </c>
    </row>
    <row r="322" spans="1:15" x14ac:dyDescent="0.35">
      <c r="A322" s="11">
        <v>1306</v>
      </c>
      <c r="B322" s="11" t="s">
        <v>20</v>
      </c>
      <c r="C322" s="11">
        <v>27</v>
      </c>
      <c r="D322" s="11" t="s">
        <v>29</v>
      </c>
      <c r="E322" s="11" t="s">
        <v>14</v>
      </c>
      <c r="F322" s="11">
        <v>20</v>
      </c>
      <c r="G322" s="11">
        <v>68</v>
      </c>
      <c r="H322" s="11">
        <v>0</v>
      </c>
      <c r="I322" s="11" t="s">
        <v>23</v>
      </c>
      <c r="J322" s="11">
        <v>45</v>
      </c>
      <c r="K322" s="11">
        <v>0</v>
      </c>
      <c r="L322" s="11">
        <v>0</v>
      </c>
      <c r="M322" s="11">
        <v>0</v>
      </c>
      <c r="N322" s="11">
        <v>0</v>
      </c>
      <c r="O322" s="12" t="str">
        <f t="shared" ref="O322:O385" si="5">_xlfn.FLOOR.MATH(J322, 10) &amp; " - " &amp; (_xlfn.FLOOR.MATH(J322, 10) + 9)</f>
        <v>40 - 49</v>
      </c>
    </row>
    <row r="323" spans="1:15" x14ac:dyDescent="0.35">
      <c r="A323" s="12">
        <v>1307</v>
      </c>
      <c r="B323" s="12" t="s">
        <v>16</v>
      </c>
      <c r="C323" s="12">
        <v>21</v>
      </c>
      <c r="D323" s="12" t="s">
        <v>13</v>
      </c>
      <c r="E323" s="12" t="s">
        <v>14</v>
      </c>
      <c r="F323" s="12">
        <v>198</v>
      </c>
      <c r="G323" s="12">
        <v>46</v>
      </c>
      <c r="H323" s="12">
        <v>0.49</v>
      </c>
      <c r="I323" s="12" t="s">
        <v>23</v>
      </c>
      <c r="J323" s="12">
        <v>42</v>
      </c>
      <c r="K323" s="12">
        <v>0</v>
      </c>
      <c r="L323" s="12">
        <v>0</v>
      </c>
      <c r="M323" s="12">
        <v>0</v>
      </c>
      <c r="N323" s="12">
        <v>0</v>
      </c>
      <c r="O323" s="12" t="str">
        <f t="shared" si="5"/>
        <v>40 - 49</v>
      </c>
    </row>
    <row r="324" spans="1:15" x14ac:dyDescent="0.35">
      <c r="A324" s="11">
        <v>1308</v>
      </c>
      <c r="B324" s="11" t="s">
        <v>20</v>
      </c>
      <c r="C324" s="11">
        <v>25</v>
      </c>
      <c r="D324" s="11" t="s">
        <v>29</v>
      </c>
      <c r="E324" s="11" t="s">
        <v>14</v>
      </c>
      <c r="F324" s="11">
        <v>265</v>
      </c>
      <c r="G324" s="11">
        <v>26</v>
      </c>
      <c r="H324" s="11">
        <v>0.5</v>
      </c>
      <c r="I324" s="11" t="s">
        <v>15</v>
      </c>
      <c r="J324" s="11">
        <v>14</v>
      </c>
      <c r="K324" s="11">
        <v>0</v>
      </c>
      <c r="L324" s="11">
        <v>0</v>
      </c>
      <c r="M324" s="11">
        <v>0</v>
      </c>
      <c r="N324" s="11">
        <v>0</v>
      </c>
      <c r="O324" s="12" t="str">
        <f t="shared" si="5"/>
        <v>10 - 19</v>
      </c>
    </row>
    <row r="325" spans="1:15" x14ac:dyDescent="0.35">
      <c r="A325" s="12">
        <v>1313</v>
      </c>
      <c r="B325" s="12" t="s">
        <v>16</v>
      </c>
      <c r="C325" s="12">
        <v>41</v>
      </c>
      <c r="D325" s="12" t="s">
        <v>25</v>
      </c>
      <c r="E325" s="12" t="s">
        <v>14</v>
      </c>
      <c r="F325" s="12">
        <v>99</v>
      </c>
      <c r="G325" s="12">
        <v>43</v>
      </c>
      <c r="H325" s="12">
        <v>0.04</v>
      </c>
      <c r="I325" s="12" t="s">
        <v>19</v>
      </c>
      <c r="J325" s="12">
        <v>19</v>
      </c>
      <c r="K325" s="12">
        <v>0</v>
      </c>
      <c r="L325" s="12">
        <v>0</v>
      </c>
      <c r="M325" s="12">
        <v>0</v>
      </c>
      <c r="N325" s="12">
        <v>0</v>
      </c>
      <c r="O325" s="12" t="str">
        <f t="shared" si="5"/>
        <v>10 - 19</v>
      </c>
    </row>
    <row r="326" spans="1:15" x14ac:dyDescent="0.35">
      <c r="A326" s="11">
        <v>1314</v>
      </c>
      <c r="B326" s="11" t="s">
        <v>20</v>
      </c>
      <c r="C326" s="11">
        <v>57</v>
      </c>
      <c r="D326" s="11" t="s">
        <v>25</v>
      </c>
      <c r="E326" s="11" t="s">
        <v>14</v>
      </c>
      <c r="F326" s="11">
        <v>89</v>
      </c>
      <c r="G326" s="11">
        <v>4</v>
      </c>
      <c r="H326" s="11">
        <v>0.24</v>
      </c>
      <c r="I326" s="11" t="s">
        <v>19</v>
      </c>
      <c r="J326" s="11">
        <v>27</v>
      </c>
      <c r="K326" s="11">
        <v>0</v>
      </c>
      <c r="L326" s="11">
        <v>1</v>
      </c>
      <c r="M326" s="11">
        <v>0</v>
      </c>
      <c r="N326" s="11">
        <v>0</v>
      </c>
      <c r="O326" s="12" t="str">
        <f t="shared" si="5"/>
        <v>20 - 29</v>
      </c>
    </row>
    <row r="327" spans="1:15" x14ac:dyDescent="0.35">
      <c r="A327" s="12">
        <v>1320</v>
      </c>
      <c r="B327" s="12" t="s">
        <v>12</v>
      </c>
      <c r="C327" s="12">
        <v>26</v>
      </c>
      <c r="D327" s="12" t="s">
        <v>28</v>
      </c>
      <c r="E327" s="12" t="s">
        <v>14</v>
      </c>
      <c r="F327" s="12">
        <v>199</v>
      </c>
      <c r="G327" s="12">
        <v>95</v>
      </c>
      <c r="H327" s="12">
        <v>0.47</v>
      </c>
      <c r="I327" s="12" t="s">
        <v>19</v>
      </c>
      <c r="J327" s="12">
        <v>49</v>
      </c>
      <c r="K327" s="12">
        <v>0</v>
      </c>
      <c r="L327" s="12">
        <v>0</v>
      </c>
      <c r="M327" s="12">
        <v>0</v>
      </c>
      <c r="N327" s="12">
        <v>0</v>
      </c>
      <c r="O327" s="12" t="str">
        <f t="shared" si="5"/>
        <v>40 - 49</v>
      </c>
    </row>
    <row r="328" spans="1:15" x14ac:dyDescent="0.35">
      <c r="A328" s="11">
        <v>1321</v>
      </c>
      <c r="B328" s="11" t="s">
        <v>20</v>
      </c>
      <c r="C328" s="11">
        <v>25</v>
      </c>
      <c r="D328" s="11" t="s">
        <v>21</v>
      </c>
      <c r="E328" s="11" t="s">
        <v>14</v>
      </c>
      <c r="F328" s="11">
        <v>238</v>
      </c>
      <c r="G328" s="11">
        <v>34</v>
      </c>
      <c r="H328" s="11">
        <v>0.18</v>
      </c>
      <c r="I328" s="11" t="s">
        <v>15</v>
      </c>
      <c r="J328" s="11">
        <v>32</v>
      </c>
      <c r="K328" s="11">
        <v>0</v>
      </c>
      <c r="L328" s="11">
        <v>0</v>
      </c>
      <c r="M328" s="11">
        <v>0</v>
      </c>
      <c r="N328" s="11">
        <v>0</v>
      </c>
      <c r="O328" s="12" t="str">
        <f t="shared" si="5"/>
        <v>30 - 39</v>
      </c>
    </row>
    <row r="329" spans="1:15" x14ac:dyDescent="0.35">
      <c r="A329" s="12">
        <v>1342</v>
      </c>
      <c r="B329" s="12" t="s">
        <v>20</v>
      </c>
      <c r="C329" s="12">
        <v>58</v>
      </c>
      <c r="D329" s="12" t="s">
        <v>28</v>
      </c>
      <c r="E329" s="12" t="s">
        <v>14</v>
      </c>
      <c r="F329" s="12">
        <v>90</v>
      </c>
      <c r="G329" s="12">
        <v>57</v>
      </c>
      <c r="H329" s="12">
        <v>0.01</v>
      </c>
      <c r="I329" s="12" t="s">
        <v>19</v>
      </c>
      <c r="J329" s="12">
        <v>6</v>
      </c>
      <c r="K329" s="12">
        <v>0</v>
      </c>
      <c r="L329" s="12">
        <v>1</v>
      </c>
      <c r="M329" s="12">
        <v>0</v>
      </c>
      <c r="N329" s="12">
        <v>0</v>
      </c>
      <c r="O329" s="12" t="str">
        <f t="shared" si="5"/>
        <v>0 - 9</v>
      </c>
    </row>
    <row r="330" spans="1:15" x14ac:dyDescent="0.35">
      <c r="A330" s="11">
        <v>1344</v>
      </c>
      <c r="B330" s="11" t="s">
        <v>20</v>
      </c>
      <c r="C330" s="11">
        <v>33</v>
      </c>
      <c r="D330" s="11" t="s">
        <v>26</v>
      </c>
      <c r="E330" s="11" t="s">
        <v>14</v>
      </c>
      <c r="F330" s="11">
        <v>262</v>
      </c>
      <c r="G330" s="11">
        <v>56</v>
      </c>
      <c r="H330" s="11">
        <v>0.16</v>
      </c>
      <c r="I330" s="11" t="s">
        <v>15</v>
      </c>
      <c r="J330" s="11">
        <v>41</v>
      </c>
      <c r="K330" s="11">
        <v>0</v>
      </c>
      <c r="L330" s="11">
        <v>0</v>
      </c>
      <c r="M330" s="11">
        <v>0</v>
      </c>
      <c r="N330" s="11">
        <v>0</v>
      </c>
      <c r="O330" s="12" t="str">
        <f t="shared" si="5"/>
        <v>40 - 49</v>
      </c>
    </row>
    <row r="331" spans="1:15" x14ac:dyDescent="0.35">
      <c r="A331" s="12">
        <v>1345</v>
      </c>
      <c r="B331" s="12" t="s">
        <v>16</v>
      </c>
      <c r="C331" s="12">
        <v>19</v>
      </c>
      <c r="D331" s="12" t="s">
        <v>27</v>
      </c>
      <c r="E331" s="12" t="s">
        <v>14</v>
      </c>
      <c r="F331" s="12">
        <v>177</v>
      </c>
      <c r="G331" s="12">
        <v>59</v>
      </c>
      <c r="H331" s="12">
        <v>0.32</v>
      </c>
      <c r="I331" s="12" t="s">
        <v>19</v>
      </c>
      <c r="J331" s="12">
        <v>48</v>
      </c>
      <c r="K331" s="12">
        <v>0</v>
      </c>
      <c r="L331" s="12">
        <v>0</v>
      </c>
      <c r="M331" s="12">
        <v>0</v>
      </c>
      <c r="N331" s="12">
        <v>0</v>
      </c>
      <c r="O331" s="12" t="str">
        <f t="shared" si="5"/>
        <v>40 - 49</v>
      </c>
    </row>
    <row r="332" spans="1:15" x14ac:dyDescent="0.35">
      <c r="A332" s="11">
        <v>1352</v>
      </c>
      <c r="B332" s="11" t="s">
        <v>12</v>
      </c>
      <c r="C332" s="11">
        <v>51</v>
      </c>
      <c r="D332" s="11" t="s">
        <v>21</v>
      </c>
      <c r="E332" s="11" t="s">
        <v>14</v>
      </c>
      <c r="F332" s="11">
        <v>79</v>
      </c>
      <c r="G332" s="11">
        <v>61</v>
      </c>
      <c r="H332" s="11">
        <v>0.11</v>
      </c>
      <c r="I332" s="11" t="s">
        <v>19</v>
      </c>
      <c r="J332" s="11">
        <v>27</v>
      </c>
      <c r="K332" s="11">
        <v>0</v>
      </c>
      <c r="L332" s="11">
        <v>1</v>
      </c>
      <c r="M332" s="11">
        <v>0</v>
      </c>
      <c r="N332" s="11">
        <v>0</v>
      </c>
      <c r="O332" s="12" t="str">
        <f t="shared" si="5"/>
        <v>20 - 29</v>
      </c>
    </row>
    <row r="333" spans="1:15" x14ac:dyDescent="0.35">
      <c r="A333" s="12">
        <v>1355</v>
      </c>
      <c r="B333" s="12" t="s">
        <v>16</v>
      </c>
      <c r="C333" s="12">
        <v>33</v>
      </c>
      <c r="D333" s="12" t="s">
        <v>27</v>
      </c>
      <c r="E333" s="12" t="s">
        <v>14</v>
      </c>
      <c r="F333" s="12">
        <v>182</v>
      </c>
      <c r="G333" s="12">
        <v>67</v>
      </c>
      <c r="H333" s="12">
        <v>0.49</v>
      </c>
      <c r="I333" s="12" t="s">
        <v>19</v>
      </c>
      <c r="J333" s="12">
        <v>31</v>
      </c>
      <c r="K333" s="12">
        <v>0</v>
      </c>
      <c r="L333" s="12">
        <v>0</v>
      </c>
      <c r="M333" s="12">
        <v>0</v>
      </c>
      <c r="N333" s="12">
        <v>0</v>
      </c>
      <c r="O333" s="12" t="str">
        <f t="shared" si="5"/>
        <v>30 - 39</v>
      </c>
    </row>
    <row r="334" spans="1:15" x14ac:dyDescent="0.35">
      <c r="A334" s="11">
        <v>1358</v>
      </c>
      <c r="B334" s="11" t="s">
        <v>12</v>
      </c>
      <c r="C334" s="11">
        <v>32</v>
      </c>
      <c r="D334" s="11" t="s">
        <v>13</v>
      </c>
      <c r="E334" s="11" t="s">
        <v>14</v>
      </c>
      <c r="F334" s="11">
        <v>114</v>
      </c>
      <c r="G334" s="11">
        <v>34</v>
      </c>
      <c r="H334" s="11">
        <v>0.16</v>
      </c>
      <c r="I334" s="11" t="s">
        <v>19</v>
      </c>
      <c r="J334" s="11">
        <v>16</v>
      </c>
      <c r="K334" s="11">
        <v>0</v>
      </c>
      <c r="L334" s="11">
        <v>0</v>
      </c>
      <c r="M334" s="11">
        <v>0</v>
      </c>
      <c r="N334" s="11">
        <v>0</v>
      </c>
      <c r="O334" s="12" t="str">
        <f t="shared" si="5"/>
        <v>10 - 19</v>
      </c>
    </row>
    <row r="335" spans="1:15" x14ac:dyDescent="0.35">
      <c r="A335" s="12">
        <v>1360</v>
      </c>
      <c r="B335" s="12" t="s">
        <v>16</v>
      </c>
      <c r="C335" s="12">
        <v>56</v>
      </c>
      <c r="D335" s="12" t="s">
        <v>26</v>
      </c>
      <c r="E335" s="12" t="s">
        <v>14</v>
      </c>
      <c r="F335" s="12">
        <v>265</v>
      </c>
      <c r="G335" s="12">
        <v>50</v>
      </c>
      <c r="H335" s="12">
        <v>0.05</v>
      </c>
      <c r="I335" s="12" t="s">
        <v>19</v>
      </c>
      <c r="J335" s="12">
        <v>19</v>
      </c>
      <c r="K335" s="12">
        <v>0</v>
      </c>
      <c r="L335" s="12">
        <v>0</v>
      </c>
      <c r="M335" s="12">
        <v>0</v>
      </c>
      <c r="N335" s="12">
        <v>0</v>
      </c>
      <c r="O335" s="12" t="str">
        <f t="shared" si="5"/>
        <v>10 - 19</v>
      </c>
    </row>
    <row r="336" spans="1:15" x14ac:dyDescent="0.35">
      <c r="A336" s="11">
        <v>1363</v>
      </c>
      <c r="B336" s="11" t="s">
        <v>16</v>
      </c>
      <c r="C336" s="11">
        <v>19</v>
      </c>
      <c r="D336" s="11" t="s">
        <v>28</v>
      </c>
      <c r="E336" s="11" t="s">
        <v>14</v>
      </c>
      <c r="F336" s="11">
        <v>16</v>
      </c>
      <c r="G336" s="11">
        <v>48</v>
      </c>
      <c r="H336" s="11">
        <v>0.06</v>
      </c>
      <c r="I336" s="11" t="s">
        <v>19</v>
      </c>
      <c r="J336" s="11">
        <v>47</v>
      </c>
      <c r="K336" s="11">
        <v>0</v>
      </c>
      <c r="L336" s="11">
        <v>0</v>
      </c>
      <c r="M336" s="11">
        <v>0</v>
      </c>
      <c r="N336" s="11">
        <v>0</v>
      </c>
      <c r="O336" s="12" t="str">
        <f t="shared" si="5"/>
        <v>40 - 49</v>
      </c>
    </row>
    <row r="337" spans="1:15" x14ac:dyDescent="0.35">
      <c r="A337" s="12">
        <v>1371</v>
      </c>
      <c r="B337" s="12" t="s">
        <v>12</v>
      </c>
      <c r="C337" s="12">
        <v>48</v>
      </c>
      <c r="D337" s="12" t="s">
        <v>28</v>
      </c>
      <c r="E337" s="12" t="s">
        <v>14</v>
      </c>
      <c r="F337" s="12">
        <v>62</v>
      </c>
      <c r="G337" s="12">
        <v>14</v>
      </c>
      <c r="H337" s="12">
        <v>0.57999999999999996</v>
      </c>
      <c r="I337" s="12" t="s">
        <v>15</v>
      </c>
      <c r="J337" s="12">
        <v>10</v>
      </c>
      <c r="K337" s="12">
        <v>0</v>
      </c>
      <c r="L337" s="12">
        <v>0</v>
      </c>
      <c r="M337" s="12">
        <v>0</v>
      </c>
      <c r="N337" s="12">
        <v>0</v>
      </c>
      <c r="O337" s="12" t="str">
        <f t="shared" si="5"/>
        <v>10 - 19</v>
      </c>
    </row>
    <row r="338" spans="1:15" x14ac:dyDescent="0.35">
      <c r="A338" s="11">
        <v>1372</v>
      </c>
      <c r="B338" s="11" t="s">
        <v>20</v>
      </c>
      <c r="C338" s="11">
        <v>49</v>
      </c>
      <c r="D338" s="11" t="s">
        <v>21</v>
      </c>
      <c r="E338" s="11" t="s">
        <v>14</v>
      </c>
      <c r="F338" s="11">
        <v>121</v>
      </c>
      <c r="G338" s="11">
        <v>99</v>
      </c>
      <c r="H338" s="11">
        <v>0.28000000000000003</v>
      </c>
      <c r="I338" s="11" t="s">
        <v>23</v>
      </c>
      <c r="J338" s="11">
        <v>47</v>
      </c>
      <c r="K338" s="11">
        <v>0</v>
      </c>
      <c r="L338" s="11">
        <v>0</v>
      </c>
      <c r="M338" s="11">
        <v>0</v>
      </c>
      <c r="N338" s="11">
        <v>0</v>
      </c>
      <c r="O338" s="12" t="str">
        <f t="shared" si="5"/>
        <v>40 - 49</v>
      </c>
    </row>
    <row r="339" spans="1:15" x14ac:dyDescent="0.35">
      <c r="A339" s="12">
        <v>1375</v>
      </c>
      <c r="B339" s="12" t="s">
        <v>16</v>
      </c>
      <c r="C339" s="12">
        <v>32</v>
      </c>
      <c r="D339" s="12" t="s">
        <v>26</v>
      </c>
      <c r="E339" s="12" t="s">
        <v>14</v>
      </c>
      <c r="F339" s="12">
        <v>113</v>
      </c>
      <c r="G339" s="12">
        <v>95</v>
      </c>
      <c r="H339" s="12">
        <v>0.06</v>
      </c>
      <c r="I339" s="12" t="s">
        <v>19</v>
      </c>
      <c r="J339" s="12">
        <v>22</v>
      </c>
      <c r="K339" s="12">
        <v>0</v>
      </c>
      <c r="L339" s="12">
        <v>1</v>
      </c>
      <c r="M339" s="12">
        <v>0</v>
      </c>
      <c r="N339" s="12">
        <v>0</v>
      </c>
      <c r="O339" s="12" t="str">
        <f t="shared" si="5"/>
        <v>20 - 29</v>
      </c>
    </row>
    <row r="340" spans="1:15" x14ac:dyDescent="0.35">
      <c r="A340" s="11">
        <v>1377</v>
      </c>
      <c r="B340" s="11" t="s">
        <v>16</v>
      </c>
      <c r="C340" s="11">
        <v>50</v>
      </c>
      <c r="D340" s="11" t="s">
        <v>25</v>
      </c>
      <c r="E340" s="11" t="s">
        <v>14</v>
      </c>
      <c r="F340" s="11">
        <v>205</v>
      </c>
      <c r="G340" s="11">
        <v>25</v>
      </c>
      <c r="H340" s="11">
        <v>0.13</v>
      </c>
      <c r="I340" s="11" t="s">
        <v>19</v>
      </c>
      <c r="J340" s="11">
        <v>13</v>
      </c>
      <c r="K340" s="11">
        <v>0</v>
      </c>
      <c r="L340" s="11">
        <v>0</v>
      </c>
      <c r="M340" s="11">
        <v>0</v>
      </c>
      <c r="N340" s="11">
        <v>0</v>
      </c>
      <c r="O340" s="12" t="str">
        <f t="shared" si="5"/>
        <v>10 - 19</v>
      </c>
    </row>
    <row r="341" spans="1:15" x14ac:dyDescent="0.35">
      <c r="A341" s="12">
        <v>1382</v>
      </c>
      <c r="B341" s="12" t="s">
        <v>16</v>
      </c>
      <c r="C341" s="12">
        <v>43</v>
      </c>
      <c r="D341" s="12" t="s">
        <v>25</v>
      </c>
      <c r="E341" s="12" t="s">
        <v>14</v>
      </c>
      <c r="F341" s="12">
        <v>273</v>
      </c>
      <c r="G341" s="12">
        <v>96</v>
      </c>
      <c r="H341" s="12">
        <v>0.37</v>
      </c>
      <c r="I341" s="12" t="s">
        <v>23</v>
      </c>
      <c r="J341" s="12">
        <v>41</v>
      </c>
      <c r="K341" s="12">
        <v>0</v>
      </c>
      <c r="L341" s="12">
        <v>0</v>
      </c>
      <c r="M341" s="12">
        <v>0</v>
      </c>
      <c r="N341" s="12">
        <v>0</v>
      </c>
      <c r="O341" s="12" t="str">
        <f t="shared" si="5"/>
        <v>40 - 49</v>
      </c>
    </row>
    <row r="342" spans="1:15" x14ac:dyDescent="0.35">
      <c r="A342" s="11">
        <v>1386</v>
      </c>
      <c r="B342" s="11" t="s">
        <v>12</v>
      </c>
      <c r="C342" s="11">
        <v>48</v>
      </c>
      <c r="D342" s="11" t="s">
        <v>27</v>
      </c>
      <c r="E342" s="11" t="s">
        <v>14</v>
      </c>
      <c r="F342" s="11">
        <v>114</v>
      </c>
      <c r="G342" s="11">
        <v>72</v>
      </c>
      <c r="H342" s="11">
        <v>0.48</v>
      </c>
      <c r="I342" s="11" t="s">
        <v>19</v>
      </c>
      <c r="J342" s="11">
        <v>44</v>
      </c>
      <c r="K342" s="11">
        <v>0</v>
      </c>
      <c r="L342" s="11">
        <v>1</v>
      </c>
      <c r="M342" s="11">
        <v>0</v>
      </c>
      <c r="N342" s="11">
        <v>0</v>
      </c>
      <c r="O342" s="12" t="str">
        <f t="shared" si="5"/>
        <v>40 - 49</v>
      </c>
    </row>
    <row r="343" spans="1:15" x14ac:dyDescent="0.35">
      <c r="A343" s="12">
        <v>1388</v>
      </c>
      <c r="B343" s="12" t="s">
        <v>16</v>
      </c>
      <c r="C343" s="12">
        <v>56</v>
      </c>
      <c r="D343" s="12" t="s">
        <v>27</v>
      </c>
      <c r="E343" s="12" t="s">
        <v>14</v>
      </c>
      <c r="F343" s="12">
        <v>245</v>
      </c>
      <c r="G343" s="12">
        <v>92</v>
      </c>
      <c r="H343" s="12">
        <v>0.28000000000000003</v>
      </c>
      <c r="I343" s="12" t="s">
        <v>23</v>
      </c>
      <c r="J343" s="12">
        <v>38</v>
      </c>
      <c r="K343" s="12">
        <v>0</v>
      </c>
      <c r="L343" s="12">
        <v>0</v>
      </c>
      <c r="M343" s="12">
        <v>0</v>
      </c>
      <c r="N343" s="12">
        <v>0</v>
      </c>
      <c r="O343" s="12" t="str">
        <f t="shared" si="5"/>
        <v>30 - 39</v>
      </c>
    </row>
    <row r="344" spans="1:15" x14ac:dyDescent="0.35">
      <c r="A344" s="11">
        <v>1389</v>
      </c>
      <c r="B344" s="11" t="s">
        <v>12</v>
      </c>
      <c r="C344" s="11">
        <v>47</v>
      </c>
      <c r="D344" s="11" t="s">
        <v>25</v>
      </c>
      <c r="E344" s="11" t="s">
        <v>14</v>
      </c>
      <c r="F344" s="11">
        <v>116</v>
      </c>
      <c r="G344" s="11">
        <v>21</v>
      </c>
      <c r="H344" s="11">
        <v>0.24</v>
      </c>
      <c r="I344" s="11" t="s">
        <v>19</v>
      </c>
      <c r="J344" s="11">
        <v>46</v>
      </c>
      <c r="K344" s="11">
        <v>0</v>
      </c>
      <c r="L344" s="11">
        <v>0</v>
      </c>
      <c r="M344" s="11">
        <v>0</v>
      </c>
      <c r="N344" s="11">
        <v>0</v>
      </c>
      <c r="O344" s="12" t="str">
        <f t="shared" si="5"/>
        <v>40 - 49</v>
      </c>
    </row>
    <row r="345" spans="1:15" x14ac:dyDescent="0.35">
      <c r="A345" s="12">
        <v>1390</v>
      </c>
      <c r="B345" s="12" t="s">
        <v>16</v>
      </c>
      <c r="C345" s="12">
        <v>31</v>
      </c>
      <c r="D345" s="12" t="s">
        <v>25</v>
      </c>
      <c r="E345" s="12" t="s">
        <v>14</v>
      </c>
      <c r="F345" s="12">
        <v>126</v>
      </c>
      <c r="G345" s="12">
        <v>22</v>
      </c>
      <c r="H345" s="12">
        <v>0.15</v>
      </c>
      <c r="I345" s="12" t="s">
        <v>19</v>
      </c>
      <c r="J345" s="12">
        <v>42</v>
      </c>
      <c r="K345" s="12">
        <v>0</v>
      </c>
      <c r="L345" s="12">
        <v>0</v>
      </c>
      <c r="M345" s="12">
        <v>0</v>
      </c>
      <c r="N345" s="12">
        <v>0</v>
      </c>
      <c r="O345" s="12" t="str">
        <f t="shared" si="5"/>
        <v>40 - 49</v>
      </c>
    </row>
    <row r="346" spans="1:15" x14ac:dyDescent="0.35">
      <c r="A346" s="11">
        <v>1392</v>
      </c>
      <c r="B346" s="11" t="s">
        <v>20</v>
      </c>
      <c r="C346" s="11">
        <v>45</v>
      </c>
      <c r="D346" s="11" t="s">
        <v>27</v>
      </c>
      <c r="E346" s="11" t="s">
        <v>14</v>
      </c>
      <c r="F346" s="11">
        <v>31</v>
      </c>
      <c r="G346" s="11">
        <v>47</v>
      </c>
      <c r="H346" s="11">
        <v>0.22</v>
      </c>
      <c r="I346" s="11" t="s">
        <v>23</v>
      </c>
      <c r="J346" s="11">
        <v>13</v>
      </c>
      <c r="K346" s="11">
        <v>0</v>
      </c>
      <c r="L346" s="11">
        <v>0</v>
      </c>
      <c r="M346" s="11">
        <v>0</v>
      </c>
      <c r="N346" s="11">
        <v>0</v>
      </c>
      <c r="O346" s="12" t="str">
        <f t="shared" si="5"/>
        <v>10 - 19</v>
      </c>
    </row>
    <row r="347" spans="1:15" x14ac:dyDescent="0.35">
      <c r="A347" s="12">
        <v>1393</v>
      </c>
      <c r="B347" s="12" t="s">
        <v>20</v>
      </c>
      <c r="C347" s="12">
        <v>53</v>
      </c>
      <c r="D347" s="12" t="s">
        <v>27</v>
      </c>
      <c r="E347" s="12" t="s">
        <v>14</v>
      </c>
      <c r="F347" s="12">
        <v>57</v>
      </c>
      <c r="G347" s="12">
        <v>90</v>
      </c>
      <c r="H347" s="12">
        <v>0.5</v>
      </c>
      <c r="I347" s="12" t="s">
        <v>15</v>
      </c>
      <c r="J347" s="12">
        <v>15</v>
      </c>
      <c r="K347" s="12">
        <v>0</v>
      </c>
      <c r="L347" s="12">
        <v>0</v>
      </c>
      <c r="M347" s="12">
        <v>0</v>
      </c>
      <c r="N347" s="12">
        <v>0</v>
      </c>
      <c r="O347" s="12" t="str">
        <f t="shared" si="5"/>
        <v>10 - 19</v>
      </c>
    </row>
    <row r="348" spans="1:15" x14ac:dyDescent="0.35">
      <c r="A348" s="11">
        <v>1394</v>
      </c>
      <c r="B348" s="11" t="s">
        <v>16</v>
      </c>
      <c r="C348" s="11">
        <v>34</v>
      </c>
      <c r="D348" s="11" t="s">
        <v>26</v>
      </c>
      <c r="E348" s="11" t="s">
        <v>14</v>
      </c>
      <c r="F348" s="11">
        <v>272</v>
      </c>
      <c r="G348" s="11">
        <v>30</v>
      </c>
      <c r="H348" s="11">
        <v>0.46</v>
      </c>
      <c r="I348" s="11" t="s">
        <v>23</v>
      </c>
      <c r="J348" s="11">
        <v>12</v>
      </c>
      <c r="K348" s="11">
        <v>0</v>
      </c>
      <c r="L348" s="11">
        <v>0</v>
      </c>
      <c r="M348" s="11">
        <v>0</v>
      </c>
      <c r="N348" s="11">
        <v>0</v>
      </c>
      <c r="O348" s="12" t="str">
        <f t="shared" si="5"/>
        <v>10 - 19</v>
      </c>
    </row>
    <row r="349" spans="1:15" x14ac:dyDescent="0.35">
      <c r="A349" s="12">
        <v>1398</v>
      </c>
      <c r="B349" s="12" t="s">
        <v>20</v>
      </c>
      <c r="C349" s="12">
        <v>33</v>
      </c>
      <c r="D349" s="12" t="s">
        <v>25</v>
      </c>
      <c r="E349" s="12" t="s">
        <v>14</v>
      </c>
      <c r="F349" s="12">
        <v>74</v>
      </c>
      <c r="G349" s="12">
        <v>67</v>
      </c>
      <c r="H349" s="12">
        <v>0.15</v>
      </c>
      <c r="I349" s="12" t="s">
        <v>15</v>
      </c>
      <c r="J349" s="12">
        <v>14</v>
      </c>
      <c r="K349" s="12">
        <v>0</v>
      </c>
      <c r="L349" s="12">
        <v>0</v>
      </c>
      <c r="M349" s="12">
        <v>0</v>
      </c>
      <c r="N349" s="12">
        <v>0</v>
      </c>
      <c r="O349" s="12" t="str">
        <f t="shared" si="5"/>
        <v>10 - 19</v>
      </c>
    </row>
    <row r="350" spans="1:15" x14ac:dyDescent="0.35">
      <c r="A350" s="11">
        <v>1401</v>
      </c>
      <c r="B350" s="11" t="s">
        <v>12</v>
      </c>
      <c r="C350" s="11">
        <v>43</v>
      </c>
      <c r="D350" s="11" t="s">
        <v>26</v>
      </c>
      <c r="E350" s="11" t="s">
        <v>14</v>
      </c>
      <c r="F350" s="11">
        <v>21</v>
      </c>
      <c r="G350" s="11">
        <v>16</v>
      </c>
      <c r="H350" s="11">
        <v>0.34</v>
      </c>
      <c r="I350" s="11" t="s">
        <v>15</v>
      </c>
      <c r="J350" s="11">
        <v>38</v>
      </c>
      <c r="K350" s="11">
        <v>0</v>
      </c>
      <c r="L350" s="11">
        <v>0</v>
      </c>
      <c r="M350" s="11">
        <v>0</v>
      </c>
      <c r="N350" s="11">
        <v>0</v>
      </c>
      <c r="O350" s="12" t="str">
        <f t="shared" si="5"/>
        <v>30 - 39</v>
      </c>
    </row>
    <row r="351" spans="1:15" x14ac:dyDescent="0.35">
      <c r="A351" s="12">
        <v>1402</v>
      </c>
      <c r="B351" s="12" t="s">
        <v>20</v>
      </c>
      <c r="C351" s="12">
        <v>20</v>
      </c>
      <c r="D351" s="12" t="s">
        <v>29</v>
      </c>
      <c r="E351" s="12" t="s">
        <v>14</v>
      </c>
      <c r="F351" s="12">
        <v>58</v>
      </c>
      <c r="G351" s="12">
        <v>75</v>
      </c>
      <c r="H351" s="12">
        <v>0.08</v>
      </c>
      <c r="I351" s="12" t="s">
        <v>19</v>
      </c>
      <c r="J351" s="12">
        <v>47</v>
      </c>
      <c r="K351" s="12">
        <v>0</v>
      </c>
      <c r="L351" s="12">
        <v>0</v>
      </c>
      <c r="M351" s="12">
        <v>0</v>
      </c>
      <c r="N351" s="12">
        <v>0</v>
      </c>
      <c r="O351" s="12" t="str">
        <f t="shared" si="5"/>
        <v>40 - 49</v>
      </c>
    </row>
    <row r="352" spans="1:15" x14ac:dyDescent="0.35">
      <c r="A352" s="11">
        <v>1406</v>
      </c>
      <c r="B352" s="11" t="s">
        <v>16</v>
      </c>
      <c r="C352" s="11">
        <v>50</v>
      </c>
      <c r="D352" s="11" t="s">
        <v>21</v>
      </c>
      <c r="E352" s="11" t="s">
        <v>14</v>
      </c>
      <c r="F352" s="11">
        <v>192</v>
      </c>
      <c r="G352" s="11">
        <v>94</v>
      </c>
      <c r="H352" s="11">
        <v>0.5</v>
      </c>
      <c r="I352" s="11" t="s">
        <v>23</v>
      </c>
      <c r="J352" s="11">
        <v>44</v>
      </c>
      <c r="K352" s="11">
        <v>0</v>
      </c>
      <c r="L352" s="11">
        <v>0</v>
      </c>
      <c r="M352" s="11">
        <v>0</v>
      </c>
      <c r="N352" s="11">
        <v>0</v>
      </c>
      <c r="O352" s="12" t="str">
        <f t="shared" si="5"/>
        <v>40 - 49</v>
      </c>
    </row>
    <row r="353" spans="1:15" x14ac:dyDescent="0.35">
      <c r="A353" s="12">
        <v>1411</v>
      </c>
      <c r="B353" s="12" t="s">
        <v>16</v>
      </c>
      <c r="C353" s="12">
        <v>26</v>
      </c>
      <c r="D353" s="12" t="s">
        <v>21</v>
      </c>
      <c r="E353" s="12" t="s">
        <v>14</v>
      </c>
      <c r="F353" s="12">
        <v>228</v>
      </c>
      <c r="G353" s="12">
        <v>74</v>
      </c>
      <c r="H353" s="12">
        <v>0.3</v>
      </c>
      <c r="I353" s="12" t="s">
        <v>19</v>
      </c>
      <c r="J353" s="12">
        <v>40</v>
      </c>
      <c r="K353" s="12">
        <v>0</v>
      </c>
      <c r="L353" s="12">
        <v>0</v>
      </c>
      <c r="M353" s="12">
        <v>0</v>
      </c>
      <c r="N353" s="12">
        <v>0</v>
      </c>
      <c r="O353" s="12" t="str">
        <f t="shared" si="5"/>
        <v>40 - 49</v>
      </c>
    </row>
    <row r="354" spans="1:15" x14ac:dyDescent="0.35">
      <c r="A354" s="11">
        <v>1417</v>
      </c>
      <c r="B354" s="11" t="s">
        <v>12</v>
      </c>
      <c r="C354" s="11">
        <v>20</v>
      </c>
      <c r="D354" s="11" t="s">
        <v>25</v>
      </c>
      <c r="E354" s="11" t="s">
        <v>14</v>
      </c>
      <c r="F354" s="11">
        <v>23</v>
      </c>
      <c r="G354" s="11">
        <v>15</v>
      </c>
      <c r="H354" s="11">
        <v>0.12</v>
      </c>
      <c r="I354" s="11" t="s">
        <v>19</v>
      </c>
      <c r="J354" s="11">
        <v>5</v>
      </c>
      <c r="K354" s="11">
        <v>0</v>
      </c>
      <c r="L354" s="11">
        <v>0</v>
      </c>
      <c r="M354" s="11">
        <v>0</v>
      </c>
      <c r="N354" s="11">
        <v>0</v>
      </c>
      <c r="O354" s="12" t="str">
        <f t="shared" si="5"/>
        <v>0 - 9</v>
      </c>
    </row>
    <row r="355" spans="1:15" x14ac:dyDescent="0.35">
      <c r="A355" s="12">
        <v>1420</v>
      </c>
      <c r="B355" s="12" t="s">
        <v>16</v>
      </c>
      <c r="C355" s="12">
        <v>43</v>
      </c>
      <c r="D355" s="12" t="s">
        <v>29</v>
      </c>
      <c r="E355" s="12" t="s">
        <v>14</v>
      </c>
      <c r="F355" s="12">
        <v>48</v>
      </c>
      <c r="G355" s="12">
        <v>78</v>
      </c>
      <c r="H355" s="12">
        <v>0.36</v>
      </c>
      <c r="I355" s="12" t="s">
        <v>23</v>
      </c>
      <c r="J355" s="12">
        <v>19</v>
      </c>
      <c r="K355" s="12">
        <v>0</v>
      </c>
      <c r="L355" s="12">
        <v>0</v>
      </c>
      <c r="M355" s="12">
        <v>0</v>
      </c>
      <c r="N355" s="12">
        <v>0</v>
      </c>
      <c r="O355" s="12" t="str">
        <f t="shared" si="5"/>
        <v>10 - 19</v>
      </c>
    </row>
    <row r="356" spans="1:15" x14ac:dyDescent="0.35">
      <c r="A356" s="11">
        <v>1423</v>
      </c>
      <c r="B356" s="11" t="s">
        <v>12</v>
      </c>
      <c r="C356" s="11">
        <v>16</v>
      </c>
      <c r="D356" s="11" t="s">
        <v>13</v>
      </c>
      <c r="E356" s="11" t="s">
        <v>14</v>
      </c>
      <c r="F356" s="11">
        <v>147</v>
      </c>
      <c r="G356" s="11">
        <v>4</v>
      </c>
      <c r="H356" s="11">
        <v>0.57999999999999996</v>
      </c>
      <c r="I356" s="11" t="s">
        <v>19</v>
      </c>
      <c r="J356" s="11">
        <v>47</v>
      </c>
      <c r="K356" s="11">
        <v>0</v>
      </c>
      <c r="L356" s="11">
        <v>0</v>
      </c>
      <c r="M356" s="11">
        <v>0</v>
      </c>
      <c r="N356" s="11">
        <v>0</v>
      </c>
      <c r="O356" s="12" t="str">
        <f t="shared" si="5"/>
        <v>40 - 49</v>
      </c>
    </row>
    <row r="357" spans="1:15" x14ac:dyDescent="0.35">
      <c r="A357" s="12">
        <v>1428</v>
      </c>
      <c r="B357" s="12" t="s">
        <v>20</v>
      </c>
      <c r="C357" s="12">
        <v>17</v>
      </c>
      <c r="D357" s="12" t="s">
        <v>17</v>
      </c>
      <c r="E357" s="12" t="s">
        <v>14</v>
      </c>
      <c r="F357" s="12">
        <v>117</v>
      </c>
      <c r="G357" s="12">
        <v>83</v>
      </c>
      <c r="H357" s="12">
        <v>0.26</v>
      </c>
      <c r="I357" s="12" t="s">
        <v>23</v>
      </c>
      <c r="J357" s="12">
        <v>9</v>
      </c>
      <c r="K357" s="12">
        <v>0</v>
      </c>
      <c r="L357" s="12">
        <v>0</v>
      </c>
      <c r="M357" s="12">
        <v>0</v>
      </c>
      <c r="N357" s="12">
        <v>0</v>
      </c>
      <c r="O357" s="12" t="str">
        <f t="shared" si="5"/>
        <v>0 - 9</v>
      </c>
    </row>
    <row r="358" spans="1:15" x14ac:dyDescent="0.35">
      <c r="A358" s="11">
        <v>1430</v>
      </c>
      <c r="B358" s="11" t="s">
        <v>20</v>
      </c>
      <c r="C358" s="11">
        <v>36</v>
      </c>
      <c r="D358" s="11" t="s">
        <v>27</v>
      </c>
      <c r="E358" s="11" t="s">
        <v>14</v>
      </c>
      <c r="F358" s="11">
        <v>97</v>
      </c>
      <c r="G358" s="11">
        <v>12</v>
      </c>
      <c r="H358" s="11">
        <v>0.44</v>
      </c>
      <c r="I358" s="11" t="s">
        <v>15</v>
      </c>
      <c r="J358" s="11">
        <v>32</v>
      </c>
      <c r="K358" s="11">
        <v>0</v>
      </c>
      <c r="L358" s="11">
        <v>0</v>
      </c>
      <c r="M358" s="11">
        <v>0</v>
      </c>
      <c r="N358" s="11">
        <v>0</v>
      </c>
      <c r="O358" s="12" t="str">
        <f t="shared" si="5"/>
        <v>30 - 39</v>
      </c>
    </row>
    <row r="359" spans="1:15" x14ac:dyDescent="0.35">
      <c r="A359" s="12">
        <v>1440</v>
      </c>
      <c r="B359" s="12" t="s">
        <v>20</v>
      </c>
      <c r="C359" s="12">
        <v>53</v>
      </c>
      <c r="D359" s="12" t="s">
        <v>25</v>
      </c>
      <c r="E359" s="12" t="s">
        <v>14</v>
      </c>
      <c r="F359" s="12">
        <v>15</v>
      </c>
      <c r="G359" s="12">
        <v>26</v>
      </c>
      <c r="H359" s="12">
        <v>0.02</v>
      </c>
      <c r="I359" s="12" t="s">
        <v>23</v>
      </c>
      <c r="J359" s="12">
        <v>29</v>
      </c>
      <c r="K359" s="12">
        <v>0</v>
      </c>
      <c r="L359" s="12">
        <v>1</v>
      </c>
      <c r="M359" s="12">
        <v>0</v>
      </c>
      <c r="N359" s="12">
        <v>0</v>
      </c>
      <c r="O359" s="12" t="str">
        <f t="shared" si="5"/>
        <v>20 - 29</v>
      </c>
    </row>
    <row r="360" spans="1:15" x14ac:dyDescent="0.35">
      <c r="A360" s="11">
        <v>1442</v>
      </c>
      <c r="B360" s="11" t="s">
        <v>16</v>
      </c>
      <c r="C360" s="11">
        <v>19</v>
      </c>
      <c r="D360" s="11" t="s">
        <v>26</v>
      </c>
      <c r="E360" s="11" t="s">
        <v>14</v>
      </c>
      <c r="F360" s="11">
        <v>75</v>
      </c>
      <c r="G360" s="11">
        <v>21</v>
      </c>
      <c r="H360" s="11">
        <v>0.24</v>
      </c>
      <c r="I360" s="11" t="s">
        <v>15</v>
      </c>
      <c r="J360" s="11">
        <v>10</v>
      </c>
      <c r="K360" s="11">
        <v>0</v>
      </c>
      <c r="L360" s="11">
        <v>0</v>
      </c>
      <c r="M360" s="11">
        <v>0</v>
      </c>
      <c r="N360" s="11">
        <v>0</v>
      </c>
      <c r="O360" s="12" t="str">
        <f t="shared" si="5"/>
        <v>10 - 19</v>
      </c>
    </row>
    <row r="361" spans="1:15" x14ac:dyDescent="0.35">
      <c r="A361" s="12">
        <v>1448</v>
      </c>
      <c r="B361" s="12" t="s">
        <v>16</v>
      </c>
      <c r="C361" s="12">
        <v>38</v>
      </c>
      <c r="D361" s="12" t="s">
        <v>29</v>
      </c>
      <c r="E361" s="12" t="s">
        <v>14</v>
      </c>
      <c r="F361" s="12">
        <v>52</v>
      </c>
      <c r="G361" s="12">
        <v>14</v>
      </c>
      <c r="H361" s="12">
        <v>0.49</v>
      </c>
      <c r="I361" s="12" t="s">
        <v>23</v>
      </c>
      <c r="J361" s="12">
        <v>8</v>
      </c>
      <c r="K361" s="12">
        <v>0</v>
      </c>
      <c r="L361" s="12">
        <v>0</v>
      </c>
      <c r="M361" s="12">
        <v>0</v>
      </c>
      <c r="N361" s="12">
        <v>0</v>
      </c>
      <c r="O361" s="12" t="str">
        <f t="shared" si="5"/>
        <v>0 - 9</v>
      </c>
    </row>
    <row r="362" spans="1:15" x14ac:dyDescent="0.35">
      <c r="A362" s="11">
        <v>1453</v>
      </c>
      <c r="B362" s="11" t="s">
        <v>16</v>
      </c>
      <c r="C362" s="11">
        <v>25</v>
      </c>
      <c r="D362" s="11" t="s">
        <v>29</v>
      </c>
      <c r="E362" s="11" t="s">
        <v>14</v>
      </c>
      <c r="F362" s="11">
        <v>138</v>
      </c>
      <c r="G362" s="11">
        <v>7</v>
      </c>
      <c r="H362" s="11">
        <v>0.37</v>
      </c>
      <c r="I362" s="11" t="s">
        <v>23</v>
      </c>
      <c r="J362" s="11">
        <v>9</v>
      </c>
      <c r="K362" s="11">
        <v>0</v>
      </c>
      <c r="L362" s="11">
        <v>0</v>
      </c>
      <c r="M362" s="11">
        <v>0</v>
      </c>
      <c r="N362" s="11">
        <v>0</v>
      </c>
      <c r="O362" s="12" t="str">
        <f t="shared" si="5"/>
        <v>0 - 9</v>
      </c>
    </row>
    <row r="363" spans="1:15" x14ac:dyDescent="0.35">
      <c r="A363" s="12">
        <v>1456</v>
      </c>
      <c r="B363" s="12" t="s">
        <v>16</v>
      </c>
      <c r="C363" s="12">
        <v>47</v>
      </c>
      <c r="D363" s="12" t="s">
        <v>13</v>
      </c>
      <c r="E363" s="12" t="s">
        <v>14</v>
      </c>
      <c r="F363" s="12">
        <v>168</v>
      </c>
      <c r="G363" s="12">
        <v>25</v>
      </c>
      <c r="H363" s="12">
        <v>0.35</v>
      </c>
      <c r="I363" s="12" t="s">
        <v>19</v>
      </c>
      <c r="J363" s="12">
        <v>6</v>
      </c>
      <c r="K363" s="12">
        <v>0</v>
      </c>
      <c r="L363" s="12">
        <v>1</v>
      </c>
      <c r="M363" s="12">
        <v>0</v>
      </c>
      <c r="N363" s="12">
        <v>0</v>
      </c>
      <c r="O363" s="12" t="str">
        <f t="shared" si="5"/>
        <v>0 - 9</v>
      </c>
    </row>
    <row r="364" spans="1:15" x14ac:dyDescent="0.35">
      <c r="A364" s="11">
        <v>1458</v>
      </c>
      <c r="B364" s="11" t="s">
        <v>12</v>
      </c>
      <c r="C364" s="11">
        <v>46</v>
      </c>
      <c r="D364" s="11" t="s">
        <v>26</v>
      </c>
      <c r="E364" s="11" t="s">
        <v>14</v>
      </c>
      <c r="F364" s="11">
        <v>22</v>
      </c>
      <c r="G364" s="11">
        <v>63</v>
      </c>
      <c r="H364" s="11">
        <v>0.36</v>
      </c>
      <c r="I364" s="11" t="s">
        <v>15</v>
      </c>
      <c r="J364" s="11">
        <v>37</v>
      </c>
      <c r="K364" s="11">
        <v>0</v>
      </c>
      <c r="L364" s="11">
        <v>0</v>
      </c>
      <c r="M364" s="11">
        <v>0</v>
      </c>
      <c r="N364" s="11">
        <v>0</v>
      </c>
      <c r="O364" s="12" t="str">
        <f t="shared" si="5"/>
        <v>30 - 39</v>
      </c>
    </row>
    <row r="365" spans="1:15" x14ac:dyDescent="0.35">
      <c r="A365" s="12">
        <v>1461</v>
      </c>
      <c r="B365" s="12" t="s">
        <v>20</v>
      </c>
      <c r="C365" s="12">
        <v>55</v>
      </c>
      <c r="D365" s="12" t="s">
        <v>21</v>
      </c>
      <c r="E365" s="12" t="s">
        <v>14</v>
      </c>
      <c r="F365" s="12">
        <v>62</v>
      </c>
      <c r="G365" s="12">
        <v>20</v>
      </c>
      <c r="H365" s="12">
        <v>0.56999999999999995</v>
      </c>
      <c r="I365" s="12" t="s">
        <v>15</v>
      </c>
      <c r="J365" s="12">
        <v>28</v>
      </c>
      <c r="K365" s="12">
        <v>0</v>
      </c>
      <c r="L365" s="12">
        <v>0</v>
      </c>
      <c r="M365" s="12">
        <v>0</v>
      </c>
      <c r="N365" s="12">
        <v>0</v>
      </c>
      <c r="O365" s="12" t="str">
        <f t="shared" si="5"/>
        <v>20 - 29</v>
      </c>
    </row>
    <row r="366" spans="1:15" x14ac:dyDescent="0.35">
      <c r="A366" s="11">
        <v>1462</v>
      </c>
      <c r="B366" s="11" t="s">
        <v>12</v>
      </c>
      <c r="C366" s="11">
        <v>30</v>
      </c>
      <c r="D366" s="11" t="s">
        <v>21</v>
      </c>
      <c r="E366" s="11" t="s">
        <v>14</v>
      </c>
      <c r="F366" s="11">
        <v>278</v>
      </c>
      <c r="G366" s="11">
        <v>11</v>
      </c>
      <c r="H366" s="11">
        <v>0.27</v>
      </c>
      <c r="I366" s="11" t="s">
        <v>23</v>
      </c>
      <c r="J366" s="11">
        <v>15</v>
      </c>
      <c r="K366" s="11">
        <v>0</v>
      </c>
      <c r="L366" s="11">
        <v>0</v>
      </c>
      <c r="M366" s="11">
        <v>0</v>
      </c>
      <c r="N366" s="11">
        <v>0</v>
      </c>
      <c r="O366" s="12" t="str">
        <f t="shared" si="5"/>
        <v>10 - 19</v>
      </c>
    </row>
    <row r="367" spans="1:15" x14ac:dyDescent="0.35">
      <c r="A367" s="12">
        <v>1465</v>
      </c>
      <c r="B367" s="12" t="s">
        <v>12</v>
      </c>
      <c r="C367" s="12">
        <v>34</v>
      </c>
      <c r="D367" s="12" t="s">
        <v>26</v>
      </c>
      <c r="E367" s="12" t="s">
        <v>14</v>
      </c>
      <c r="F367" s="12">
        <v>175</v>
      </c>
      <c r="G367" s="12">
        <v>14</v>
      </c>
      <c r="H367" s="12">
        <v>7.0000000000000007E-2</v>
      </c>
      <c r="I367" s="12" t="s">
        <v>15</v>
      </c>
      <c r="J367" s="12">
        <v>48</v>
      </c>
      <c r="K367" s="12">
        <v>0</v>
      </c>
      <c r="L367" s="12">
        <v>0</v>
      </c>
      <c r="M367" s="12">
        <v>0</v>
      </c>
      <c r="N367" s="12">
        <v>0</v>
      </c>
      <c r="O367" s="12" t="str">
        <f t="shared" si="5"/>
        <v>40 - 49</v>
      </c>
    </row>
    <row r="368" spans="1:15" x14ac:dyDescent="0.35">
      <c r="A368" s="11">
        <v>1467</v>
      </c>
      <c r="B368" s="11" t="s">
        <v>16</v>
      </c>
      <c r="C368" s="11">
        <v>45</v>
      </c>
      <c r="D368" s="11" t="s">
        <v>26</v>
      </c>
      <c r="E368" s="11" t="s">
        <v>14</v>
      </c>
      <c r="F368" s="11">
        <v>178</v>
      </c>
      <c r="G368" s="11">
        <v>92</v>
      </c>
      <c r="H368" s="11">
        <v>0.08</v>
      </c>
      <c r="I368" s="11" t="s">
        <v>19</v>
      </c>
      <c r="J368" s="11">
        <v>16</v>
      </c>
      <c r="K368" s="11">
        <v>0</v>
      </c>
      <c r="L368" s="11">
        <v>1</v>
      </c>
      <c r="M368" s="11">
        <v>0</v>
      </c>
      <c r="N368" s="11">
        <v>0</v>
      </c>
      <c r="O368" s="12" t="str">
        <f t="shared" si="5"/>
        <v>10 - 19</v>
      </c>
    </row>
    <row r="369" spans="1:15" x14ac:dyDescent="0.35">
      <c r="A369" s="12">
        <v>1474</v>
      </c>
      <c r="B369" s="12" t="s">
        <v>12</v>
      </c>
      <c r="C369" s="12">
        <v>39</v>
      </c>
      <c r="D369" s="12" t="s">
        <v>25</v>
      </c>
      <c r="E369" s="12" t="s">
        <v>14</v>
      </c>
      <c r="F369" s="12">
        <v>174</v>
      </c>
      <c r="G369" s="12">
        <v>82</v>
      </c>
      <c r="H369" s="12">
        <v>0.24</v>
      </c>
      <c r="I369" s="12" t="s">
        <v>19</v>
      </c>
      <c r="J369" s="12">
        <v>17</v>
      </c>
      <c r="K369" s="12">
        <v>0</v>
      </c>
      <c r="L369" s="12">
        <v>0</v>
      </c>
      <c r="M369" s="12">
        <v>0</v>
      </c>
      <c r="N369" s="12">
        <v>0</v>
      </c>
      <c r="O369" s="12" t="str">
        <f t="shared" si="5"/>
        <v>10 - 19</v>
      </c>
    </row>
    <row r="370" spans="1:15" x14ac:dyDescent="0.35">
      <c r="A370" s="11">
        <v>1477</v>
      </c>
      <c r="B370" s="11" t="s">
        <v>16</v>
      </c>
      <c r="C370" s="11">
        <v>55</v>
      </c>
      <c r="D370" s="11" t="s">
        <v>27</v>
      </c>
      <c r="E370" s="11" t="s">
        <v>14</v>
      </c>
      <c r="F370" s="11">
        <v>39</v>
      </c>
      <c r="G370" s="11">
        <v>91</v>
      </c>
      <c r="H370" s="11">
        <v>0.28999999999999998</v>
      </c>
      <c r="I370" s="11" t="s">
        <v>23</v>
      </c>
      <c r="J370" s="11">
        <v>32</v>
      </c>
      <c r="K370" s="11">
        <v>0</v>
      </c>
      <c r="L370" s="11">
        <v>1</v>
      </c>
      <c r="M370" s="11">
        <v>0</v>
      </c>
      <c r="N370" s="11">
        <v>0</v>
      </c>
      <c r="O370" s="12" t="str">
        <f t="shared" si="5"/>
        <v>30 - 39</v>
      </c>
    </row>
    <row r="371" spans="1:15" x14ac:dyDescent="0.35">
      <c r="A371" s="12">
        <v>1479</v>
      </c>
      <c r="B371" s="12" t="s">
        <v>12</v>
      </c>
      <c r="C371" s="12">
        <v>32</v>
      </c>
      <c r="D371" s="12" t="s">
        <v>26</v>
      </c>
      <c r="E371" s="12" t="s">
        <v>14</v>
      </c>
      <c r="F371" s="12">
        <v>114</v>
      </c>
      <c r="G371" s="12">
        <v>25</v>
      </c>
      <c r="H371" s="12">
        <v>0.28000000000000003</v>
      </c>
      <c r="I371" s="12" t="s">
        <v>19</v>
      </c>
      <c r="J371" s="12">
        <v>21</v>
      </c>
      <c r="K371" s="12">
        <v>0</v>
      </c>
      <c r="L371" s="12">
        <v>0</v>
      </c>
      <c r="M371" s="12">
        <v>0</v>
      </c>
      <c r="N371" s="12">
        <v>0</v>
      </c>
      <c r="O371" s="12" t="str">
        <f t="shared" si="5"/>
        <v>20 - 29</v>
      </c>
    </row>
    <row r="372" spans="1:15" x14ac:dyDescent="0.35">
      <c r="A372" s="11">
        <v>1481</v>
      </c>
      <c r="B372" s="11" t="s">
        <v>20</v>
      </c>
      <c r="C372" s="11">
        <v>28</v>
      </c>
      <c r="D372" s="11" t="s">
        <v>27</v>
      </c>
      <c r="E372" s="11" t="s">
        <v>14</v>
      </c>
      <c r="F372" s="11">
        <v>25</v>
      </c>
      <c r="G372" s="11">
        <v>58</v>
      </c>
      <c r="H372" s="11">
        <v>0.04</v>
      </c>
      <c r="I372" s="11" t="s">
        <v>19</v>
      </c>
      <c r="J372" s="11">
        <v>32</v>
      </c>
      <c r="K372" s="11">
        <v>0</v>
      </c>
      <c r="L372" s="11">
        <v>0</v>
      </c>
      <c r="M372" s="11">
        <v>0</v>
      </c>
      <c r="N372" s="11">
        <v>0</v>
      </c>
      <c r="O372" s="12" t="str">
        <f t="shared" si="5"/>
        <v>30 - 39</v>
      </c>
    </row>
    <row r="373" spans="1:15" x14ac:dyDescent="0.35">
      <c r="A373" s="12">
        <v>1484</v>
      </c>
      <c r="B373" s="12" t="s">
        <v>20</v>
      </c>
      <c r="C373" s="12">
        <v>58</v>
      </c>
      <c r="D373" s="12" t="s">
        <v>26</v>
      </c>
      <c r="E373" s="12" t="s">
        <v>14</v>
      </c>
      <c r="F373" s="12">
        <v>49</v>
      </c>
      <c r="G373" s="12">
        <v>1</v>
      </c>
      <c r="H373" s="12">
        <v>0.23</v>
      </c>
      <c r="I373" s="12" t="s">
        <v>19</v>
      </c>
      <c r="J373" s="12">
        <v>45</v>
      </c>
      <c r="K373" s="12">
        <v>0</v>
      </c>
      <c r="L373" s="12">
        <v>0</v>
      </c>
      <c r="M373" s="12">
        <v>0</v>
      </c>
      <c r="N373" s="12">
        <v>0</v>
      </c>
      <c r="O373" s="12" t="str">
        <f t="shared" si="5"/>
        <v>40 - 49</v>
      </c>
    </row>
    <row r="374" spans="1:15" x14ac:dyDescent="0.35">
      <c r="A374" s="11">
        <v>1497</v>
      </c>
      <c r="B374" s="11" t="s">
        <v>16</v>
      </c>
      <c r="C374" s="11">
        <v>27</v>
      </c>
      <c r="D374" s="11" t="s">
        <v>28</v>
      </c>
      <c r="E374" s="11" t="s">
        <v>14</v>
      </c>
      <c r="F374" s="11">
        <v>145</v>
      </c>
      <c r="G374" s="11">
        <v>57</v>
      </c>
      <c r="H374" s="11">
        <v>0.36</v>
      </c>
      <c r="I374" s="11" t="s">
        <v>23</v>
      </c>
      <c r="J374" s="11">
        <v>19</v>
      </c>
      <c r="K374" s="11">
        <v>0</v>
      </c>
      <c r="L374" s="11">
        <v>0</v>
      </c>
      <c r="M374" s="11">
        <v>0</v>
      </c>
      <c r="N374" s="11">
        <v>0</v>
      </c>
      <c r="O374" s="12" t="str">
        <f t="shared" si="5"/>
        <v>10 - 19</v>
      </c>
    </row>
    <row r="375" spans="1:15" x14ac:dyDescent="0.35">
      <c r="A375" s="12">
        <v>1510</v>
      </c>
      <c r="B375" s="12" t="s">
        <v>20</v>
      </c>
      <c r="C375" s="12">
        <v>58</v>
      </c>
      <c r="D375" s="12" t="s">
        <v>26</v>
      </c>
      <c r="E375" s="12" t="s">
        <v>14</v>
      </c>
      <c r="F375" s="12">
        <v>85</v>
      </c>
      <c r="G375" s="12">
        <v>58</v>
      </c>
      <c r="H375" s="12">
        <v>0.04</v>
      </c>
      <c r="I375" s="12" t="s">
        <v>19</v>
      </c>
      <c r="J375" s="12">
        <v>30</v>
      </c>
      <c r="K375" s="12">
        <v>0</v>
      </c>
      <c r="L375" s="12">
        <v>1</v>
      </c>
      <c r="M375" s="12">
        <v>0</v>
      </c>
      <c r="N375" s="12">
        <v>0</v>
      </c>
      <c r="O375" s="12" t="str">
        <f t="shared" si="5"/>
        <v>30 - 39</v>
      </c>
    </row>
    <row r="376" spans="1:15" x14ac:dyDescent="0.35">
      <c r="A376" s="11">
        <v>1515</v>
      </c>
      <c r="B376" s="11" t="s">
        <v>20</v>
      </c>
      <c r="C376" s="11">
        <v>40</v>
      </c>
      <c r="D376" s="11" t="s">
        <v>25</v>
      </c>
      <c r="E376" s="11" t="s">
        <v>14</v>
      </c>
      <c r="F376" s="11">
        <v>124</v>
      </c>
      <c r="G376" s="11">
        <v>76</v>
      </c>
      <c r="H376" s="11">
        <v>0.34</v>
      </c>
      <c r="I376" s="11" t="s">
        <v>19</v>
      </c>
      <c r="J376" s="11">
        <v>42</v>
      </c>
      <c r="K376" s="11">
        <v>0</v>
      </c>
      <c r="L376" s="11">
        <v>0</v>
      </c>
      <c r="M376" s="11">
        <v>0</v>
      </c>
      <c r="N376" s="11">
        <v>0</v>
      </c>
      <c r="O376" s="12" t="str">
        <f t="shared" si="5"/>
        <v>40 - 49</v>
      </c>
    </row>
    <row r="377" spans="1:15" x14ac:dyDescent="0.35">
      <c r="A377" s="12">
        <v>1517</v>
      </c>
      <c r="B377" s="12" t="s">
        <v>16</v>
      </c>
      <c r="C377" s="12">
        <v>25</v>
      </c>
      <c r="D377" s="12" t="s">
        <v>29</v>
      </c>
      <c r="E377" s="12" t="s">
        <v>14</v>
      </c>
      <c r="F377" s="12">
        <v>122</v>
      </c>
      <c r="G377" s="12">
        <v>82</v>
      </c>
      <c r="H377" s="12">
        <v>0.27</v>
      </c>
      <c r="I377" s="12" t="s">
        <v>19</v>
      </c>
      <c r="J377" s="12">
        <v>47</v>
      </c>
      <c r="K377" s="12">
        <v>0</v>
      </c>
      <c r="L377" s="12">
        <v>0</v>
      </c>
      <c r="M377" s="12">
        <v>0</v>
      </c>
      <c r="N377" s="12">
        <v>0</v>
      </c>
      <c r="O377" s="12" t="str">
        <f t="shared" si="5"/>
        <v>40 - 49</v>
      </c>
    </row>
    <row r="378" spans="1:15" x14ac:dyDescent="0.35">
      <c r="A378" s="11">
        <v>1518</v>
      </c>
      <c r="B378" s="11" t="s">
        <v>20</v>
      </c>
      <c r="C378" s="11">
        <v>59</v>
      </c>
      <c r="D378" s="11" t="s">
        <v>26</v>
      </c>
      <c r="E378" s="11" t="s">
        <v>14</v>
      </c>
      <c r="F378" s="11">
        <v>135</v>
      </c>
      <c r="G378" s="11">
        <v>63</v>
      </c>
      <c r="H378" s="11">
        <v>0.08</v>
      </c>
      <c r="I378" s="11" t="s">
        <v>19</v>
      </c>
      <c r="J378" s="11">
        <v>30</v>
      </c>
      <c r="K378" s="11">
        <v>0</v>
      </c>
      <c r="L378" s="11">
        <v>0</v>
      </c>
      <c r="M378" s="11">
        <v>0</v>
      </c>
      <c r="N378" s="11">
        <v>0</v>
      </c>
      <c r="O378" s="12" t="str">
        <f t="shared" si="5"/>
        <v>30 - 39</v>
      </c>
    </row>
    <row r="379" spans="1:15" x14ac:dyDescent="0.35">
      <c r="A379" s="12">
        <v>1519</v>
      </c>
      <c r="B379" s="12" t="s">
        <v>20</v>
      </c>
      <c r="C379" s="12">
        <v>25</v>
      </c>
      <c r="D379" s="12" t="s">
        <v>13</v>
      </c>
      <c r="E379" s="12" t="s">
        <v>14</v>
      </c>
      <c r="F379" s="12">
        <v>24</v>
      </c>
      <c r="G379" s="12">
        <v>29</v>
      </c>
      <c r="H379" s="12">
        <v>0.28999999999999998</v>
      </c>
      <c r="I379" s="12" t="s">
        <v>15</v>
      </c>
      <c r="J379" s="12">
        <v>9</v>
      </c>
      <c r="K379" s="12">
        <v>0</v>
      </c>
      <c r="L379" s="12">
        <v>0</v>
      </c>
      <c r="M379" s="12">
        <v>0</v>
      </c>
      <c r="N379" s="12">
        <v>0</v>
      </c>
      <c r="O379" s="12" t="str">
        <f t="shared" si="5"/>
        <v>0 - 9</v>
      </c>
    </row>
    <row r="380" spans="1:15" x14ac:dyDescent="0.35">
      <c r="A380" s="11">
        <v>1520</v>
      </c>
      <c r="B380" s="11" t="s">
        <v>20</v>
      </c>
      <c r="C380" s="11">
        <v>40</v>
      </c>
      <c r="D380" s="11" t="s">
        <v>29</v>
      </c>
      <c r="E380" s="11" t="s">
        <v>14</v>
      </c>
      <c r="F380" s="11">
        <v>84</v>
      </c>
      <c r="G380" s="11">
        <v>6</v>
      </c>
      <c r="H380" s="11">
        <v>0.32</v>
      </c>
      <c r="I380" s="11" t="s">
        <v>19</v>
      </c>
      <c r="J380" s="11">
        <v>18</v>
      </c>
      <c r="K380" s="11">
        <v>0</v>
      </c>
      <c r="L380" s="11">
        <v>0</v>
      </c>
      <c r="M380" s="11">
        <v>0</v>
      </c>
      <c r="N380" s="11">
        <v>0</v>
      </c>
      <c r="O380" s="12" t="str">
        <f t="shared" si="5"/>
        <v>10 - 19</v>
      </c>
    </row>
    <row r="381" spans="1:15" x14ac:dyDescent="0.35">
      <c r="A381" s="12">
        <v>1524</v>
      </c>
      <c r="B381" s="12" t="s">
        <v>12</v>
      </c>
      <c r="C381" s="12">
        <v>44</v>
      </c>
      <c r="D381" s="12" t="s">
        <v>17</v>
      </c>
      <c r="E381" s="12" t="s">
        <v>14</v>
      </c>
      <c r="F381" s="12">
        <v>222</v>
      </c>
      <c r="G381" s="12">
        <v>51</v>
      </c>
      <c r="H381" s="12">
        <v>0.4</v>
      </c>
      <c r="I381" s="12" t="s">
        <v>19</v>
      </c>
      <c r="J381" s="12">
        <v>17</v>
      </c>
      <c r="K381" s="12">
        <v>0</v>
      </c>
      <c r="L381" s="12">
        <v>0</v>
      </c>
      <c r="M381" s="12">
        <v>0</v>
      </c>
      <c r="N381" s="12">
        <v>0</v>
      </c>
      <c r="O381" s="12" t="str">
        <f t="shared" si="5"/>
        <v>10 - 19</v>
      </c>
    </row>
    <row r="382" spans="1:15" x14ac:dyDescent="0.35">
      <c r="A382" s="11">
        <v>1531</v>
      </c>
      <c r="B382" s="11" t="s">
        <v>20</v>
      </c>
      <c r="C382" s="11">
        <v>20</v>
      </c>
      <c r="D382" s="11" t="s">
        <v>26</v>
      </c>
      <c r="E382" s="11" t="s">
        <v>14</v>
      </c>
      <c r="F382" s="11">
        <v>61</v>
      </c>
      <c r="G382" s="11">
        <v>1</v>
      </c>
      <c r="H382" s="11">
        <v>0.27</v>
      </c>
      <c r="I382" s="11" t="s">
        <v>15</v>
      </c>
      <c r="J382" s="11">
        <v>43</v>
      </c>
      <c r="K382" s="11">
        <v>0</v>
      </c>
      <c r="L382" s="11">
        <v>1</v>
      </c>
      <c r="M382" s="11">
        <v>0</v>
      </c>
      <c r="N382" s="11">
        <v>0</v>
      </c>
      <c r="O382" s="12" t="str">
        <f t="shared" si="5"/>
        <v>40 - 49</v>
      </c>
    </row>
    <row r="383" spans="1:15" x14ac:dyDescent="0.35">
      <c r="A383" s="12">
        <v>1533</v>
      </c>
      <c r="B383" s="12" t="s">
        <v>16</v>
      </c>
      <c r="C383" s="12">
        <v>20</v>
      </c>
      <c r="D383" s="12" t="s">
        <v>21</v>
      </c>
      <c r="E383" s="12" t="s">
        <v>14</v>
      </c>
      <c r="F383" s="12">
        <v>120</v>
      </c>
      <c r="G383" s="12">
        <v>46</v>
      </c>
      <c r="H383" s="12">
        <v>0</v>
      </c>
      <c r="I383" s="12" t="s">
        <v>19</v>
      </c>
      <c r="J383" s="12">
        <v>16</v>
      </c>
      <c r="K383" s="12">
        <v>0</v>
      </c>
      <c r="L383" s="12">
        <v>1</v>
      </c>
      <c r="M383" s="12">
        <v>0</v>
      </c>
      <c r="N383" s="12">
        <v>0</v>
      </c>
      <c r="O383" s="12" t="str">
        <f t="shared" si="5"/>
        <v>10 - 19</v>
      </c>
    </row>
    <row r="384" spans="1:15" x14ac:dyDescent="0.35">
      <c r="A384" s="11">
        <v>1539</v>
      </c>
      <c r="B384" s="11" t="s">
        <v>16</v>
      </c>
      <c r="C384" s="11">
        <v>46</v>
      </c>
      <c r="D384" s="11" t="s">
        <v>21</v>
      </c>
      <c r="E384" s="11" t="s">
        <v>14</v>
      </c>
      <c r="F384" s="11">
        <v>154</v>
      </c>
      <c r="G384" s="11">
        <v>95</v>
      </c>
      <c r="H384" s="11">
        <v>0.21</v>
      </c>
      <c r="I384" s="11" t="s">
        <v>23</v>
      </c>
      <c r="J384" s="11">
        <v>37</v>
      </c>
      <c r="K384" s="11">
        <v>0</v>
      </c>
      <c r="L384" s="11">
        <v>0</v>
      </c>
      <c r="M384" s="11">
        <v>0</v>
      </c>
      <c r="N384" s="11">
        <v>0</v>
      </c>
      <c r="O384" s="12" t="str">
        <f t="shared" si="5"/>
        <v>30 - 39</v>
      </c>
    </row>
    <row r="385" spans="1:15" x14ac:dyDescent="0.35">
      <c r="A385" s="12">
        <v>1540</v>
      </c>
      <c r="B385" s="12" t="s">
        <v>20</v>
      </c>
      <c r="C385" s="12">
        <v>16</v>
      </c>
      <c r="D385" s="12" t="s">
        <v>17</v>
      </c>
      <c r="E385" s="12" t="s">
        <v>14</v>
      </c>
      <c r="F385" s="12">
        <v>76</v>
      </c>
      <c r="G385" s="12">
        <v>30</v>
      </c>
      <c r="H385" s="12">
        <v>0.57999999999999996</v>
      </c>
      <c r="I385" s="12" t="s">
        <v>19</v>
      </c>
      <c r="J385" s="12">
        <v>6</v>
      </c>
      <c r="K385" s="12">
        <v>0</v>
      </c>
      <c r="L385" s="12">
        <v>1</v>
      </c>
      <c r="M385" s="12">
        <v>0</v>
      </c>
      <c r="N385" s="12">
        <v>0</v>
      </c>
      <c r="O385" s="12" t="str">
        <f t="shared" si="5"/>
        <v>0 - 9</v>
      </c>
    </row>
    <row r="386" spans="1:15" x14ac:dyDescent="0.35">
      <c r="A386" s="11">
        <v>1547</v>
      </c>
      <c r="B386" s="11" t="s">
        <v>12</v>
      </c>
      <c r="C386" s="11">
        <v>51</v>
      </c>
      <c r="D386" s="11" t="s">
        <v>17</v>
      </c>
      <c r="E386" s="11" t="s">
        <v>14</v>
      </c>
      <c r="F386" s="11">
        <v>43</v>
      </c>
      <c r="G386" s="11">
        <v>4</v>
      </c>
      <c r="H386" s="11">
        <v>0.08</v>
      </c>
      <c r="I386" s="11" t="s">
        <v>19</v>
      </c>
      <c r="J386" s="11">
        <v>41</v>
      </c>
      <c r="K386" s="11">
        <v>0</v>
      </c>
      <c r="L386" s="11">
        <v>0</v>
      </c>
      <c r="M386" s="11">
        <v>0</v>
      </c>
      <c r="N386" s="11">
        <v>0</v>
      </c>
      <c r="O386" s="12" t="str">
        <f t="shared" ref="O386:O449" si="6">_xlfn.FLOOR.MATH(J386, 10) &amp; " - " &amp; (_xlfn.FLOOR.MATH(J386, 10) + 9)</f>
        <v>40 - 49</v>
      </c>
    </row>
    <row r="387" spans="1:15" x14ac:dyDescent="0.35">
      <c r="A387" s="12">
        <v>1548</v>
      </c>
      <c r="B387" s="12" t="s">
        <v>12</v>
      </c>
      <c r="C387" s="12">
        <v>50</v>
      </c>
      <c r="D387" s="12" t="s">
        <v>21</v>
      </c>
      <c r="E387" s="12" t="s">
        <v>14</v>
      </c>
      <c r="F387" s="12">
        <v>162</v>
      </c>
      <c r="G387" s="12">
        <v>40</v>
      </c>
      <c r="H387" s="12">
        <v>0.24</v>
      </c>
      <c r="I387" s="12" t="s">
        <v>19</v>
      </c>
      <c r="J387" s="12">
        <v>11</v>
      </c>
      <c r="K387" s="12">
        <v>0</v>
      </c>
      <c r="L387" s="12">
        <v>0</v>
      </c>
      <c r="M387" s="12">
        <v>0</v>
      </c>
      <c r="N387" s="12">
        <v>0</v>
      </c>
      <c r="O387" s="12" t="str">
        <f t="shared" si="6"/>
        <v>10 - 19</v>
      </c>
    </row>
    <row r="388" spans="1:15" x14ac:dyDescent="0.35">
      <c r="A388" s="11">
        <v>1553</v>
      </c>
      <c r="B388" s="11" t="s">
        <v>20</v>
      </c>
      <c r="C388" s="11">
        <v>23</v>
      </c>
      <c r="D388" s="11" t="s">
        <v>28</v>
      </c>
      <c r="E388" s="11" t="s">
        <v>14</v>
      </c>
      <c r="F388" s="11">
        <v>127</v>
      </c>
      <c r="G388" s="11">
        <v>95</v>
      </c>
      <c r="H388" s="11">
        <v>0.27</v>
      </c>
      <c r="I388" s="11" t="s">
        <v>23</v>
      </c>
      <c r="J388" s="11">
        <v>16</v>
      </c>
      <c r="K388" s="11">
        <v>0</v>
      </c>
      <c r="L388" s="11">
        <v>0</v>
      </c>
      <c r="M388" s="11">
        <v>0</v>
      </c>
      <c r="N388" s="11">
        <v>0</v>
      </c>
      <c r="O388" s="12" t="str">
        <f t="shared" si="6"/>
        <v>10 - 19</v>
      </c>
    </row>
    <row r="389" spans="1:15" x14ac:dyDescent="0.35">
      <c r="A389" s="12">
        <v>1554</v>
      </c>
      <c r="B389" s="12" t="s">
        <v>20</v>
      </c>
      <c r="C389" s="12">
        <v>59</v>
      </c>
      <c r="D389" s="12" t="s">
        <v>28</v>
      </c>
      <c r="E389" s="12" t="s">
        <v>14</v>
      </c>
      <c r="F389" s="12">
        <v>295</v>
      </c>
      <c r="G389" s="12">
        <v>8</v>
      </c>
      <c r="H389" s="12">
        <v>0.41</v>
      </c>
      <c r="I389" s="12" t="s">
        <v>19</v>
      </c>
      <c r="J389" s="12">
        <v>47</v>
      </c>
      <c r="K389" s="12">
        <v>0</v>
      </c>
      <c r="L389" s="12">
        <v>1</v>
      </c>
      <c r="M389" s="12">
        <v>0</v>
      </c>
      <c r="N389" s="12">
        <v>0</v>
      </c>
      <c r="O389" s="12" t="str">
        <f t="shared" si="6"/>
        <v>40 - 49</v>
      </c>
    </row>
    <row r="390" spans="1:15" x14ac:dyDescent="0.35">
      <c r="A390" s="11">
        <v>1562</v>
      </c>
      <c r="B390" s="11" t="s">
        <v>12</v>
      </c>
      <c r="C390" s="11">
        <v>20</v>
      </c>
      <c r="D390" s="11" t="s">
        <v>29</v>
      </c>
      <c r="E390" s="11" t="s">
        <v>14</v>
      </c>
      <c r="F390" s="11">
        <v>48</v>
      </c>
      <c r="G390" s="11">
        <v>76</v>
      </c>
      <c r="H390" s="11">
        <v>0.17</v>
      </c>
      <c r="I390" s="11" t="s">
        <v>23</v>
      </c>
      <c r="J390" s="11">
        <v>13</v>
      </c>
      <c r="K390" s="11">
        <v>0</v>
      </c>
      <c r="L390" s="11">
        <v>0</v>
      </c>
      <c r="M390" s="11">
        <v>0</v>
      </c>
      <c r="N390" s="11">
        <v>0</v>
      </c>
      <c r="O390" s="12" t="str">
        <f t="shared" si="6"/>
        <v>10 - 19</v>
      </c>
    </row>
    <row r="391" spans="1:15" x14ac:dyDescent="0.35">
      <c r="A391" s="12">
        <v>1568</v>
      </c>
      <c r="B391" s="12" t="s">
        <v>12</v>
      </c>
      <c r="C391" s="12">
        <v>30</v>
      </c>
      <c r="D391" s="12" t="s">
        <v>26</v>
      </c>
      <c r="E391" s="12" t="s">
        <v>14</v>
      </c>
      <c r="F391" s="12">
        <v>193</v>
      </c>
      <c r="G391" s="12">
        <v>66</v>
      </c>
      <c r="H391" s="12">
        <v>0.56999999999999995</v>
      </c>
      <c r="I391" s="12" t="s">
        <v>15</v>
      </c>
      <c r="J391" s="12">
        <v>43</v>
      </c>
      <c r="K391" s="12">
        <v>0</v>
      </c>
      <c r="L391" s="12">
        <v>1</v>
      </c>
      <c r="M391" s="12">
        <v>0</v>
      </c>
      <c r="N391" s="12">
        <v>0</v>
      </c>
      <c r="O391" s="12" t="str">
        <f t="shared" si="6"/>
        <v>40 - 49</v>
      </c>
    </row>
    <row r="392" spans="1:15" x14ac:dyDescent="0.35">
      <c r="A392" s="11">
        <v>1569</v>
      </c>
      <c r="B392" s="11" t="s">
        <v>12</v>
      </c>
      <c r="C392" s="11">
        <v>36</v>
      </c>
      <c r="D392" s="11" t="s">
        <v>17</v>
      </c>
      <c r="E392" s="11" t="s">
        <v>14</v>
      </c>
      <c r="F392" s="11">
        <v>68</v>
      </c>
      <c r="G392" s="11">
        <v>20</v>
      </c>
      <c r="H392" s="11">
        <v>0.47</v>
      </c>
      <c r="I392" s="11" t="s">
        <v>19</v>
      </c>
      <c r="J392" s="11">
        <v>17</v>
      </c>
      <c r="K392" s="11">
        <v>0</v>
      </c>
      <c r="L392" s="11">
        <v>0</v>
      </c>
      <c r="M392" s="11">
        <v>0</v>
      </c>
      <c r="N392" s="11">
        <v>0</v>
      </c>
      <c r="O392" s="12" t="str">
        <f t="shared" si="6"/>
        <v>10 - 19</v>
      </c>
    </row>
    <row r="393" spans="1:15" x14ac:dyDescent="0.35">
      <c r="A393" s="12">
        <v>1570</v>
      </c>
      <c r="B393" s="12" t="s">
        <v>20</v>
      </c>
      <c r="C393" s="12">
        <v>47</v>
      </c>
      <c r="D393" s="12" t="s">
        <v>29</v>
      </c>
      <c r="E393" s="12" t="s">
        <v>14</v>
      </c>
      <c r="F393" s="12">
        <v>237</v>
      </c>
      <c r="G393" s="12">
        <v>74</v>
      </c>
      <c r="H393" s="12">
        <v>0.5</v>
      </c>
      <c r="I393" s="12" t="s">
        <v>23</v>
      </c>
      <c r="J393" s="12">
        <v>48</v>
      </c>
      <c r="K393" s="12">
        <v>0</v>
      </c>
      <c r="L393" s="12">
        <v>1</v>
      </c>
      <c r="M393" s="12">
        <v>0</v>
      </c>
      <c r="N393" s="12">
        <v>0</v>
      </c>
      <c r="O393" s="12" t="str">
        <f t="shared" si="6"/>
        <v>40 - 49</v>
      </c>
    </row>
    <row r="394" spans="1:15" x14ac:dyDescent="0.35">
      <c r="A394" s="11">
        <v>1577</v>
      </c>
      <c r="B394" s="11" t="s">
        <v>12</v>
      </c>
      <c r="C394" s="11">
        <v>41</v>
      </c>
      <c r="D394" s="11" t="s">
        <v>26</v>
      </c>
      <c r="E394" s="11" t="s">
        <v>14</v>
      </c>
      <c r="F394" s="11">
        <v>156</v>
      </c>
      <c r="G394" s="11">
        <v>9</v>
      </c>
      <c r="H394" s="11">
        <v>0.31</v>
      </c>
      <c r="I394" s="11" t="s">
        <v>23</v>
      </c>
      <c r="J394" s="11">
        <v>25</v>
      </c>
      <c r="K394" s="11">
        <v>0</v>
      </c>
      <c r="L394" s="11">
        <v>0</v>
      </c>
      <c r="M394" s="11">
        <v>0</v>
      </c>
      <c r="N394" s="11">
        <v>0</v>
      </c>
      <c r="O394" s="12" t="str">
        <f t="shared" si="6"/>
        <v>20 - 29</v>
      </c>
    </row>
    <row r="395" spans="1:15" x14ac:dyDescent="0.35">
      <c r="A395" s="12">
        <v>1579</v>
      </c>
      <c r="B395" s="12" t="s">
        <v>20</v>
      </c>
      <c r="C395" s="12">
        <v>36</v>
      </c>
      <c r="D395" s="12" t="s">
        <v>28</v>
      </c>
      <c r="E395" s="12" t="s">
        <v>14</v>
      </c>
      <c r="F395" s="12">
        <v>205</v>
      </c>
      <c r="G395" s="12">
        <v>33</v>
      </c>
      <c r="H395" s="12">
        <v>0.25</v>
      </c>
      <c r="I395" s="12" t="s">
        <v>19</v>
      </c>
      <c r="J395" s="12">
        <v>46</v>
      </c>
      <c r="K395" s="12">
        <v>0</v>
      </c>
      <c r="L395" s="12">
        <v>1</v>
      </c>
      <c r="M395" s="12">
        <v>0</v>
      </c>
      <c r="N395" s="12">
        <v>0</v>
      </c>
      <c r="O395" s="12" t="str">
        <f t="shared" si="6"/>
        <v>40 - 49</v>
      </c>
    </row>
    <row r="396" spans="1:15" x14ac:dyDescent="0.35">
      <c r="A396" s="11">
        <v>1583</v>
      </c>
      <c r="B396" s="11" t="s">
        <v>16</v>
      </c>
      <c r="C396" s="11">
        <v>27</v>
      </c>
      <c r="D396" s="11" t="s">
        <v>29</v>
      </c>
      <c r="E396" s="11" t="s">
        <v>14</v>
      </c>
      <c r="F396" s="11">
        <v>216</v>
      </c>
      <c r="G396" s="11">
        <v>49</v>
      </c>
      <c r="H396" s="11">
        <v>0.05</v>
      </c>
      <c r="I396" s="11" t="s">
        <v>23</v>
      </c>
      <c r="J396" s="11">
        <v>31</v>
      </c>
      <c r="K396" s="11">
        <v>0</v>
      </c>
      <c r="L396" s="11">
        <v>0</v>
      </c>
      <c r="M396" s="11">
        <v>0</v>
      </c>
      <c r="N396" s="11">
        <v>0</v>
      </c>
      <c r="O396" s="12" t="str">
        <f t="shared" si="6"/>
        <v>30 - 39</v>
      </c>
    </row>
    <row r="397" spans="1:15" x14ac:dyDescent="0.35">
      <c r="A397" s="12">
        <v>1589</v>
      </c>
      <c r="B397" s="12" t="s">
        <v>20</v>
      </c>
      <c r="C397" s="12">
        <v>21</v>
      </c>
      <c r="D397" s="12" t="s">
        <v>25</v>
      </c>
      <c r="E397" s="12" t="s">
        <v>14</v>
      </c>
      <c r="F397" s="12">
        <v>215</v>
      </c>
      <c r="G397" s="12">
        <v>30</v>
      </c>
      <c r="H397" s="12">
        <v>0.55000000000000004</v>
      </c>
      <c r="I397" s="12" t="s">
        <v>23</v>
      </c>
      <c r="J397" s="12">
        <v>10</v>
      </c>
      <c r="K397" s="12">
        <v>0</v>
      </c>
      <c r="L397" s="12">
        <v>0</v>
      </c>
      <c r="M397" s="12">
        <v>0</v>
      </c>
      <c r="N397" s="12">
        <v>0</v>
      </c>
      <c r="O397" s="12" t="str">
        <f t="shared" si="6"/>
        <v>10 - 19</v>
      </c>
    </row>
    <row r="398" spans="1:15" x14ac:dyDescent="0.35">
      <c r="A398" s="11">
        <v>1592</v>
      </c>
      <c r="B398" s="11" t="s">
        <v>12</v>
      </c>
      <c r="C398" s="11">
        <v>59</v>
      </c>
      <c r="D398" s="11" t="s">
        <v>21</v>
      </c>
      <c r="E398" s="11" t="s">
        <v>14</v>
      </c>
      <c r="F398" s="11">
        <v>88</v>
      </c>
      <c r="G398" s="11">
        <v>32</v>
      </c>
      <c r="H398" s="11">
        <v>0.1</v>
      </c>
      <c r="I398" s="11" t="s">
        <v>23</v>
      </c>
      <c r="J398" s="11">
        <v>22</v>
      </c>
      <c r="K398" s="11">
        <v>0</v>
      </c>
      <c r="L398" s="11">
        <v>0</v>
      </c>
      <c r="M398" s="11">
        <v>0</v>
      </c>
      <c r="N398" s="11">
        <v>0</v>
      </c>
      <c r="O398" s="12" t="str">
        <f t="shared" si="6"/>
        <v>20 - 29</v>
      </c>
    </row>
    <row r="399" spans="1:15" x14ac:dyDescent="0.35">
      <c r="A399" s="12">
        <v>1593</v>
      </c>
      <c r="B399" s="12" t="s">
        <v>12</v>
      </c>
      <c r="C399" s="12">
        <v>17</v>
      </c>
      <c r="D399" s="12" t="s">
        <v>25</v>
      </c>
      <c r="E399" s="12" t="s">
        <v>14</v>
      </c>
      <c r="F399" s="12">
        <v>18</v>
      </c>
      <c r="G399" s="12">
        <v>82</v>
      </c>
      <c r="H399" s="12">
        <v>0.02</v>
      </c>
      <c r="I399" s="12" t="s">
        <v>23</v>
      </c>
      <c r="J399" s="12">
        <v>38</v>
      </c>
      <c r="K399" s="12">
        <v>0</v>
      </c>
      <c r="L399" s="12">
        <v>1</v>
      </c>
      <c r="M399" s="12">
        <v>0</v>
      </c>
      <c r="N399" s="12">
        <v>0</v>
      </c>
      <c r="O399" s="12" t="str">
        <f t="shared" si="6"/>
        <v>30 - 39</v>
      </c>
    </row>
    <row r="400" spans="1:15" x14ac:dyDescent="0.35">
      <c r="A400" s="11">
        <v>1596</v>
      </c>
      <c r="B400" s="11" t="s">
        <v>12</v>
      </c>
      <c r="C400" s="11">
        <v>28</v>
      </c>
      <c r="D400" s="11" t="s">
        <v>25</v>
      </c>
      <c r="E400" s="11" t="s">
        <v>14</v>
      </c>
      <c r="F400" s="11">
        <v>110</v>
      </c>
      <c r="G400" s="11">
        <v>26</v>
      </c>
      <c r="H400" s="11">
        <v>0.31</v>
      </c>
      <c r="I400" s="11" t="s">
        <v>23</v>
      </c>
      <c r="J400" s="11">
        <v>40</v>
      </c>
      <c r="K400" s="11">
        <v>0</v>
      </c>
      <c r="L400" s="11">
        <v>1</v>
      </c>
      <c r="M400" s="11">
        <v>0</v>
      </c>
      <c r="N400" s="11">
        <v>0</v>
      </c>
      <c r="O400" s="12" t="str">
        <f t="shared" si="6"/>
        <v>40 - 49</v>
      </c>
    </row>
    <row r="401" spans="1:15" x14ac:dyDescent="0.35">
      <c r="A401" s="12">
        <v>1602</v>
      </c>
      <c r="B401" s="12" t="s">
        <v>20</v>
      </c>
      <c r="C401" s="12">
        <v>39</v>
      </c>
      <c r="D401" s="12" t="s">
        <v>28</v>
      </c>
      <c r="E401" s="12" t="s">
        <v>14</v>
      </c>
      <c r="F401" s="12">
        <v>299</v>
      </c>
      <c r="G401" s="12">
        <v>56</v>
      </c>
      <c r="H401" s="12">
        <v>0.24</v>
      </c>
      <c r="I401" s="12" t="s">
        <v>19</v>
      </c>
      <c r="J401" s="12">
        <v>15</v>
      </c>
      <c r="K401" s="12">
        <v>0</v>
      </c>
      <c r="L401" s="12">
        <v>0</v>
      </c>
      <c r="M401" s="12">
        <v>0</v>
      </c>
      <c r="N401" s="12">
        <v>0</v>
      </c>
      <c r="O401" s="12" t="str">
        <f t="shared" si="6"/>
        <v>10 - 19</v>
      </c>
    </row>
    <row r="402" spans="1:15" x14ac:dyDescent="0.35">
      <c r="A402" s="11">
        <v>1608</v>
      </c>
      <c r="B402" s="11" t="s">
        <v>16</v>
      </c>
      <c r="C402" s="11">
        <v>59</v>
      </c>
      <c r="D402" s="11" t="s">
        <v>29</v>
      </c>
      <c r="E402" s="11" t="s">
        <v>14</v>
      </c>
      <c r="F402" s="11">
        <v>68</v>
      </c>
      <c r="G402" s="11">
        <v>17</v>
      </c>
      <c r="H402" s="11">
        <v>0.5</v>
      </c>
      <c r="I402" s="11" t="s">
        <v>15</v>
      </c>
      <c r="J402" s="11">
        <v>38</v>
      </c>
      <c r="K402" s="11">
        <v>0</v>
      </c>
      <c r="L402" s="11">
        <v>0</v>
      </c>
      <c r="M402" s="11">
        <v>0</v>
      </c>
      <c r="N402" s="11">
        <v>0</v>
      </c>
      <c r="O402" s="12" t="str">
        <f t="shared" si="6"/>
        <v>30 - 39</v>
      </c>
    </row>
    <row r="403" spans="1:15" x14ac:dyDescent="0.35">
      <c r="A403" s="12">
        <v>1618</v>
      </c>
      <c r="B403" s="12" t="s">
        <v>20</v>
      </c>
      <c r="C403" s="12">
        <v>51</v>
      </c>
      <c r="D403" s="12" t="s">
        <v>27</v>
      </c>
      <c r="E403" s="12" t="s">
        <v>14</v>
      </c>
      <c r="F403" s="12">
        <v>176</v>
      </c>
      <c r="G403" s="12">
        <v>9</v>
      </c>
      <c r="H403" s="12">
        <v>0.09</v>
      </c>
      <c r="I403" s="12" t="s">
        <v>19</v>
      </c>
      <c r="J403" s="12">
        <v>39</v>
      </c>
      <c r="K403" s="12">
        <v>0</v>
      </c>
      <c r="L403" s="12">
        <v>0</v>
      </c>
      <c r="M403" s="12">
        <v>0</v>
      </c>
      <c r="N403" s="12">
        <v>0</v>
      </c>
      <c r="O403" s="12" t="str">
        <f t="shared" si="6"/>
        <v>30 - 39</v>
      </c>
    </row>
    <row r="404" spans="1:15" x14ac:dyDescent="0.35">
      <c r="A404" s="11">
        <v>1619</v>
      </c>
      <c r="B404" s="11" t="s">
        <v>12</v>
      </c>
      <c r="C404" s="11">
        <v>43</v>
      </c>
      <c r="D404" s="11" t="s">
        <v>21</v>
      </c>
      <c r="E404" s="11" t="s">
        <v>14</v>
      </c>
      <c r="F404" s="11">
        <v>218</v>
      </c>
      <c r="G404" s="11">
        <v>77</v>
      </c>
      <c r="H404" s="11">
        <v>0.14000000000000001</v>
      </c>
      <c r="I404" s="11" t="s">
        <v>15</v>
      </c>
      <c r="J404" s="11">
        <v>35</v>
      </c>
      <c r="K404" s="11">
        <v>0</v>
      </c>
      <c r="L404" s="11">
        <v>1</v>
      </c>
      <c r="M404" s="11">
        <v>0</v>
      </c>
      <c r="N404" s="11">
        <v>0</v>
      </c>
      <c r="O404" s="12" t="str">
        <f t="shared" si="6"/>
        <v>30 - 39</v>
      </c>
    </row>
    <row r="405" spans="1:15" x14ac:dyDescent="0.35">
      <c r="A405" s="12">
        <v>1621</v>
      </c>
      <c r="B405" s="12" t="s">
        <v>20</v>
      </c>
      <c r="C405" s="12">
        <v>38</v>
      </c>
      <c r="D405" s="12" t="s">
        <v>25</v>
      </c>
      <c r="E405" s="12" t="s">
        <v>14</v>
      </c>
      <c r="F405" s="12">
        <v>16</v>
      </c>
      <c r="G405" s="12">
        <v>50</v>
      </c>
      <c r="H405" s="12">
        <v>0.48</v>
      </c>
      <c r="I405" s="12" t="s">
        <v>23</v>
      </c>
      <c r="J405" s="12">
        <v>20</v>
      </c>
      <c r="K405" s="12">
        <v>0</v>
      </c>
      <c r="L405" s="12">
        <v>1</v>
      </c>
      <c r="M405" s="12">
        <v>0</v>
      </c>
      <c r="N405" s="12">
        <v>0</v>
      </c>
      <c r="O405" s="12" t="str">
        <f t="shared" si="6"/>
        <v>20 - 29</v>
      </c>
    </row>
    <row r="406" spans="1:15" x14ac:dyDescent="0.35">
      <c r="A406" s="11">
        <v>1626</v>
      </c>
      <c r="B406" s="11" t="s">
        <v>16</v>
      </c>
      <c r="C406" s="11">
        <v>27</v>
      </c>
      <c r="D406" s="11" t="s">
        <v>21</v>
      </c>
      <c r="E406" s="11" t="s">
        <v>14</v>
      </c>
      <c r="F406" s="11">
        <v>204</v>
      </c>
      <c r="G406" s="11">
        <v>23</v>
      </c>
      <c r="H406" s="11">
        <v>0.49</v>
      </c>
      <c r="I406" s="11" t="s">
        <v>23</v>
      </c>
      <c r="J406" s="11">
        <v>8</v>
      </c>
      <c r="K406" s="11">
        <v>0</v>
      </c>
      <c r="L406" s="11">
        <v>1</v>
      </c>
      <c r="M406" s="11">
        <v>0</v>
      </c>
      <c r="N406" s="11">
        <v>0</v>
      </c>
      <c r="O406" s="12" t="str">
        <f t="shared" si="6"/>
        <v>0 - 9</v>
      </c>
    </row>
    <row r="407" spans="1:15" x14ac:dyDescent="0.35">
      <c r="A407" s="12">
        <v>1630</v>
      </c>
      <c r="B407" s="12" t="s">
        <v>16</v>
      </c>
      <c r="C407" s="12">
        <v>21</v>
      </c>
      <c r="D407" s="12" t="s">
        <v>29</v>
      </c>
      <c r="E407" s="12" t="s">
        <v>14</v>
      </c>
      <c r="F407" s="12">
        <v>141</v>
      </c>
      <c r="G407" s="12">
        <v>26</v>
      </c>
      <c r="H407" s="12">
        <v>0.43</v>
      </c>
      <c r="I407" s="12" t="s">
        <v>23</v>
      </c>
      <c r="J407" s="12">
        <v>36</v>
      </c>
      <c r="K407" s="12">
        <v>0</v>
      </c>
      <c r="L407" s="12">
        <v>1</v>
      </c>
      <c r="M407" s="12">
        <v>0</v>
      </c>
      <c r="N407" s="12">
        <v>0</v>
      </c>
      <c r="O407" s="12" t="str">
        <f t="shared" si="6"/>
        <v>30 - 39</v>
      </c>
    </row>
    <row r="408" spans="1:15" x14ac:dyDescent="0.35">
      <c r="A408" s="11">
        <v>1633</v>
      </c>
      <c r="B408" s="11" t="s">
        <v>12</v>
      </c>
      <c r="C408" s="11">
        <v>28</v>
      </c>
      <c r="D408" s="11" t="s">
        <v>13</v>
      </c>
      <c r="E408" s="11" t="s">
        <v>14</v>
      </c>
      <c r="F408" s="11">
        <v>215</v>
      </c>
      <c r="G408" s="11">
        <v>35</v>
      </c>
      <c r="H408" s="11">
        <v>0.06</v>
      </c>
      <c r="I408" s="11" t="s">
        <v>23</v>
      </c>
      <c r="J408" s="11">
        <v>19</v>
      </c>
      <c r="K408" s="11">
        <v>0</v>
      </c>
      <c r="L408" s="11">
        <v>0</v>
      </c>
      <c r="M408" s="11">
        <v>0</v>
      </c>
      <c r="N408" s="11">
        <v>0</v>
      </c>
      <c r="O408" s="12" t="str">
        <f t="shared" si="6"/>
        <v>10 - 19</v>
      </c>
    </row>
    <row r="409" spans="1:15" x14ac:dyDescent="0.35">
      <c r="A409" s="12">
        <v>1637</v>
      </c>
      <c r="B409" s="12" t="s">
        <v>20</v>
      </c>
      <c r="C409" s="12">
        <v>31</v>
      </c>
      <c r="D409" s="12" t="s">
        <v>29</v>
      </c>
      <c r="E409" s="12" t="s">
        <v>14</v>
      </c>
      <c r="F409" s="12">
        <v>56</v>
      </c>
      <c r="G409" s="12">
        <v>56</v>
      </c>
      <c r="H409" s="12">
        <v>0.14000000000000001</v>
      </c>
      <c r="I409" s="12" t="s">
        <v>23</v>
      </c>
      <c r="J409" s="12">
        <v>20</v>
      </c>
      <c r="K409" s="12">
        <v>0</v>
      </c>
      <c r="L409" s="12">
        <v>0</v>
      </c>
      <c r="M409" s="12">
        <v>0</v>
      </c>
      <c r="N409" s="12">
        <v>0</v>
      </c>
      <c r="O409" s="12" t="str">
        <f t="shared" si="6"/>
        <v>20 - 29</v>
      </c>
    </row>
    <row r="410" spans="1:15" x14ac:dyDescent="0.35">
      <c r="A410" s="11">
        <v>1639</v>
      </c>
      <c r="B410" s="11" t="s">
        <v>12</v>
      </c>
      <c r="C410" s="11">
        <v>48</v>
      </c>
      <c r="D410" s="11" t="s">
        <v>21</v>
      </c>
      <c r="E410" s="11" t="s">
        <v>14</v>
      </c>
      <c r="F410" s="11">
        <v>292</v>
      </c>
      <c r="G410" s="11">
        <v>23</v>
      </c>
      <c r="H410" s="11">
        <v>0.45</v>
      </c>
      <c r="I410" s="11" t="s">
        <v>19</v>
      </c>
      <c r="J410" s="11">
        <v>39</v>
      </c>
      <c r="K410" s="11">
        <v>0</v>
      </c>
      <c r="L410" s="11">
        <v>0</v>
      </c>
      <c r="M410" s="11">
        <v>0</v>
      </c>
      <c r="N410" s="11">
        <v>0</v>
      </c>
      <c r="O410" s="12" t="str">
        <f t="shared" si="6"/>
        <v>30 - 39</v>
      </c>
    </row>
    <row r="411" spans="1:15" x14ac:dyDescent="0.35">
      <c r="A411" s="12">
        <v>1643</v>
      </c>
      <c r="B411" s="12" t="s">
        <v>16</v>
      </c>
      <c r="C411" s="12">
        <v>35</v>
      </c>
      <c r="D411" s="12" t="s">
        <v>13</v>
      </c>
      <c r="E411" s="12" t="s">
        <v>14</v>
      </c>
      <c r="F411" s="12">
        <v>262</v>
      </c>
      <c r="G411" s="12">
        <v>54</v>
      </c>
      <c r="H411" s="12">
        <v>0.32</v>
      </c>
      <c r="I411" s="12" t="s">
        <v>19</v>
      </c>
      <c r="J411" s="12">
        <v>19</v>
      </c>
      <c r="K411" s="12">
        <v>0</v>
      </c>
      <c r="L411" s="12">
        <v>0</v>
      </c>
      <c r="M411" s="12">
        <v>0</v>
      </c>
      <c r="N411" s="12">
        <v>0</v>
      </c>
      <c r="O411" s="12" t="str">
        <f t="shared" si="6"/>
        <v>10 - 19</v>
      </c>
    </row>
    <row r="412" spans="1:15" x14ac:dyDescent="0.35">
      <c r="A412" s="11">
        <v>1655</v>
      </c>
      <c r="B412" s="11" t="s">
        <v>20</v>
      </c>
      <c r="C412" s="11">
        <v>57</v>
      </c>
      <c r="D412" s="11" t="s">
        <v>28</v>
      </c>
      <c r="E412" s="11" t="s">
        <v>14</v>
      </c>
      <c r="F412" s="11">
        <v>158</v>
      </c>
      <c r="G412" s="11">
        <v>51</v>
      </c>
      <c r="H412" s="11">
        <v>0.2</v>
      </c>
      <c r="I412" s="11" t="s">
        <v>15</v>
      </c>
      <c r="J412" s="11">
        <v>42</v>
      </c>
      <c r="K412" s="11">
        <v>0</v>
      </c>
      <c r="L412" s="11">
        <v>1</v>
      </c>
      <c r="M412" s="11">
        <v>0</v>
      </c>
      <c r="N412" s="11">
        <v>0</v>
      </c>
      <c r="O412" s="12" t="str">
        <f t="shared" si="6"/>
        <v>40 - 49</v>
      </c>
    </row>
    <row r="413" spans="1:15" x14ac:dyDescent="0.35">
      <c r="A413" s="12">
        <v>1657</v>
      </c>
      <c r="B413" s="12" t="s">
        <v>20</v>
      </c>
      <c r="C413" s="12">
        <v>47</v>
      </c>
      <c r="D413" s="12" t="s">
        <v>13</v>
      </c>
      <c r="E413" s="12" t="s">
        <v>14</v>
      </c>
      <c r="F413" s="12">
        <v>99</v>
      </c>
      <c r="G413" s="12">
        <v>63</v>
      </c>
      <c r="H413" s="12">
        <v>0.08</v>
      </c>
      <c r="I413" s="12" t="s">
        <v>19</v>
      </c>
      <c r="J413" s="12">
        <v>31</v>
      </c>
      <c r="K413" s="12">
        <v>0</v>
      </c>
      <c r="L413" s="12">
        <v>0</v>
      </c>
      <c r="M413" s="12">
        <v>0</v>
      </c>
      <c r="N413" s="12">
        <v>0</v>
      </c>
      <c r="O413" s="12" t="str">
        <f t="shared" si="6"/>
        <v>30 - 39</v>
      </c>
    </row>
    <row r="414" spans="1:15" x14ac:dyDescent="0.35">
      <c r="A414" s="11">
        <v>1658</v>
      </c>
      <c r="B414" s="11" t="s">
        <v>12</v>
      </c>
      <c r="C414" s="11">
        <v>37</v>
      </c>
      <c r="D414" s="11" t="s">
        <v>26</v>
      </c>
      <c r="E414" s="11" t="s">
        <v>14</v>
      </c>
      <c r="F414" s="11">
        <v>138</v>
      </c>
      <c r="G414" s="11">
        <v>98</v>
      </c>
      <c r="H414" s="11">
        <v>0.54</v>
      </c>
      <c r="I414" s="11" t="s">
        <v>19</v>
      </c>
      <c r="J414" s="11">
        <v>17</v>
      </c>
      <c r="K414" s="11">
        <v>0</v>
      </c>
      <c r="L414" s="11">
        <v>1</v>
      </c>
      <c r="M414" s="11">
        <v>0</v>
      </c>
      <c r="N414" s="11">
        <v>0</v>
      </c>
      <c r="O414" s="12" t="str">
        <f t="shared" si="6"/>
        <v>10 - 19</v>
      </c>
    </row>
    <row r="415" spans="1:15" x14ac:dyDescent="0.35">
      <c r="A415" s="12">
        <v>1662</v>
      </c>
      <c r="B415" s="12" t="s">
        <v>16</v>
      </c>
      <c r="C415" s="12">
        <v>54</v>
      </c>
      <c r="D415" s="12" t="s">
        <v>13</v>
      </c>
      <c r="E415" s="12" t="s">
        <v>14</v>
      </c>
      <c r="F415" s="12">
        <v>218</v>
      </c>
      <c r="G415" s="12">
        <v>76</v>
      </c>
      <c r="H415" s="12">
        <v>0.41</v>
      </c>
      <c r="I415" s="12" t="s">
        <v>23</v>
      </c>
      <c r="J415" s="12">
        <v>49</v>
      </c>
      <c r="K415" s="12">
        <v>0</v>
      </c>
      <c r="L415" s="12">
        <v>0</v>
      </c>
      <c r="M415" s="12">
        <v>0</v>
      </c>
      <c r="N415" s="12">
        <v>0</v>
      </c>
      <c r="O415" s="12" t="str">
        <f t="shared" si="6"/>
        <v>40 - 49</v>
      </c>
    </row>
    <row r="416" spans="1:15" x14ac:dyDescent="0.35">
      <c r="A416" s="11">
        <v>1667</v>
      </c>
      <c r="B416" s="11" t="s">
        <v>16</v>
      </c>
      <c r="C416" s="11">
        <v>33</v>
      </c>
      <c r="D416" s="11" t="s">
        <v>21</v>
      </c>
      <c r="E416" s="11" t="s">
        <v>14</v>
      </c>
      <c r="F416" s="11">
        <v>236</v>
      </c>
      <c r="G416" s="11">
        <v>56</v>
      </c>
      <c r="H416" s="11">
        <v>0.17</v>
      </c>
      <c r="I416" s="11" t="s">
        <v>19</v>
      </c>
      <c r="J416" s="11">
        <v>19</v>
      </c>
      <c r="K416" s="11">
        <v>0</v>
      </c>
      <c r="L416" s="11">
        <v>0</v>
      </c>
      <c r="M416" s="11">
        <v>0</v>
      </c>
      <c r="N416" s="11">
        <v>0</v>
      </c>
      <c r="O416" s="12" t="str">
        <f t="shared" si="6"/>
        <v>10 - 19</v>
      </c>
    </row>
    <row r="417" spans="1:15" x14ac:dyDescent="0.35">
      <c r="A417" s="12">
        <v>1668</v>
      </c>
      <c r="B417" s="12" t="s">
        <v>12</v>
      </c>
      <c r="C417" s="12">
        <v>55</v>
      </c>
      <c r="D417" s="12" t="s">
        <v>27</v>
      </c>
      <c r="E417" s="12" t="s">
        <v>14</v>
      </c>
      <c r="F417" s="12">
        <v>242</v>
      </c>
      <c r="G417" s="12">
        <v>14</v>
      </c>
      <c r="H417" s="12">
        <v>0.04</v>
      </c>
      <c r="I417" s="12" t="s">
        <v>15</v>
      </c>
      <c r="J417" s="12">
        <v>17</v>
      </c>
      <c r="K417" s="12">
        <v>0</v>
      </c>
      <c r="L417" s="12">
        <v>0</v>
      </c>
      <c r="M417" s="12">
        <v>0</v>
      </c>
      <c r="N417" s="12">
        <v>0</v>
      </c>
      <c r="O417" s="12" t="str">
        <f t="shared" si="6"/>
        <v>10 - 19</v>
      </c>
    </row>
    <row r="418" spans="1:15" x14ac:dyDescent="0.35">
      <c r="A418" s="11">
        <v>1676</v>
      </c>
      <c r="B418" s="11" t="s">
        <v>12</v>
      </c>
      <c r="C418" s="11">
        <v>48</v>
      </c>
      <c r="D418" s="11" t="s">
        <v>27</v>
      </c>
      <c r="E418" s="11" t="s">
        <v>14</v>
      </c>
      <c r="F418" s="11">
        <v>272</v>
      </c>
      <c r="G418" s="11">
        <v>96</v>
      </c>
      <c r="H418" s="11">
        <v>0.34</v>
      </c>
      <c r="I418" s="11" t="s">
        <v>15</v>
      </c>
      <c r="J418" s="11">
        <v>46</v>
      </c>
      <c r="K418" s="11">
        <v>0</v>
      </c>
      <c r="L418" s="11">
        <v>0</v>
      </c>
      <c r="M418" s="11">
        <v>0</v>
      </c>
      <c r="N418" s="11">
        <v>0</v>
      </c>
      <c r="O418" s="12" t="str">
        <f t="shared" si="6"/>
        <v>40 - 49</v>
      </c>
    </row>
    <row r="419" spans="1:15" x14ac:dyDescent="0.35">
      <c r="A419" s="12">
        <v>1681</v>
      </c>
      <c r="B419" s="12" t="s">
        <v>12</v>
      </c>
      <c r="C419" s="12">
        <v>36</v>
      </c>
      <c r="D419" s="12" t="s">
        <v>25</v>
      </c>
      <c r="E419" s="12" t="s">
        <v>14</v>
      </c>
      <c r="F419" s="12">
        <v>189</v>
      </c>
      <c r="G419" s="12">
        <v>30</v>
      </c>
      <c r="H419" s="12">
        <v>0.53</v>
      </c>
      <c r="I419" s="12" t="s">
        <v>15</v>
      </c>
      <c r="J419" s="12">
        <v>20</v>
      </c>
      <c r="K419" s="12">
        <v>0</v>
      </c>
      <c r="L419" s="12">
        <v>0</v>
      </c>
      <c r="M419" s="12">
        <v>0</v>
      </c>
      <c r="N419" s="12">
        <v>0</v>
      </c>
      <c r="O419" s="12" t="str">
        <f t="shared" si="6"/>
        <v>20 - 29</v>
      </c>
    </row>
    <row r="420" spans="1:15" x14ac:dyDescent="0.35">
      <c r="A420" s="11">
        <v>1682</v>
      </c>
      <c r="B420" s="11" t="s">
        <v>12</v>
      </c>
      <c r="C420" s="11">
        <v>58</v>
      </c>
      <c r="D420" s="11" t="s">
        <v>26</v>
      </c>
      <c r="E420" s="11" t="s">
        <v>14</v>
      </c>
      <c r="F420" s="11">
        <v>237</v>
      </c>
      <c r="G420" s="11">
        <v>52</v>
      </c>
      <c r="H420" s="11">
        <v>0.19</v>
      </c>
      <c r="I420" s="11" t="s">
        <v>19</v>
      </c>
      <c r="J420" s="11">
        <v>19</v>
      </c>
      <c r="K420" s="11">
        <v>0</v>
      </c>
      <c r="L420" s="11">
        <v>0</v>
      </c>
      <c r="M420" s="11">
        <v>0</v>
      </c>
      <c r="N420" s="11">
        <v>0</v>
      </c>
      <c r="O420" s="12" t="str">
        <f t="shared" si="6"/>
        <v>10 - 19</v>
      </c>
    </row>
    <row r="421" spans="1:15" x14ac:dyDescent="0.35">
      <c r="A421" s="12">
        <v>1683</v>
      </c>
      <c r="B421" s="12" t="s">
        <v>12</v>
      </c>
      <c r="C421" s="12">
        <v>24</v>
      </c>
      <c r="D421" s="12" t="s">
        <v>17</v>
      </c>
      <c r="E421" s="12" t="s">
        <v>14</v>
      </c>
      <c r="F421" s="12">
        <v>246</v>
      </c>
      <c r="G421" s="12">
        <v>51</v>
      </c>
      <c r="H421" s="12">
        <v>0.37</v>
      </c>
      <c r="I421" s="12" t="s">
        <v>23</v>
      </c>
      <c r="J421" s="12">
        <v>30</v>
      </c>
      <c r="K421" s="12">
        <v>0</v>
      </c>
      <c r="L421" s="12">
        <v>0</v>
      </c>
      <c r="M421" s="12">
        <v>0</v>
      </c>
      <c r="N421" s="12">
        <v>0</v>
      </c>
      <c r="O421" s="12" t="str">
        <f t="shared" si="6"/>
        <v>30 - 39</v>
      </c>
    </row>
    <row r="422" spans="1:15" x14ac:dyDescent="0.35">
      <c r="A422" s="11">
        <v>1684</v>
      </c>
      <c r="B422" s="11" t="s">
        <v>12</v>
      </c>
      <c r="C422" s="11">
        <v>46</v>
      </c>
      <c r="D422" s="11" t="s">
        <v>27</v>
      </c>
      <c r="E422" s="11" t="s">
        <v>14</v>
      </c>
      <c r="F422" s="11">
        <v>213</v>
      </c>
      <c r="G422" s="11">
        <v>44</v>
      </c>
      <c r="H422" s="11">
        <v>0.35</v>
      </c>
      <c r="I422" s="11" t="s">
        <v>23</v>
      </c>
      <c r="J422" s="11">
        <v>32</v>
      </c>
      <c r="K422" s="11">
        <v>0</v>
      </c>
      <c r="L422" s="11">
        <v>0</v>
      </c>
      <c r="M422" s="11">
        <v>0</v>
      </c>
      <c r="N422" s="11">
        <v>0</v>
      </c>
      <c r="O422" s="12" t="str">
        <f t="shared" si="6"/>
        <v>30 - 39</v>
      </c>
    </row>
    <row r="423" spans="1:15" x14ac:dyDescent="0.35">
      <c r="A423" s="12">
        <v>1685</v>
      </c>
      <c r="B423" s="12" t="s">
        <v>16</v>
      </c>
      <c r="C423" s="12">
        <v>35</v>
      </c>
      <c r="D423" s="12" t="s">
        <v>26</v>
      </c>
      <c r="E423" s="12" t="s">
        <v>14</v>
      </c>
      <c r="F423" s="12">
        <v>182</v>
      </c>
      <c r="G423" s="12">
        <v>38</v>
      </c>
      <c r="H423" s="12">
        <v>0.53</v>
      </c>
      <c r="I423" s="12" t="s">
        <v>19</v>
      </c>
      <c r="J423" s="12">
        <v>40</v>
      </c>
      <c r="K423" s="12">
        <v>0</v>
      </c>
      <c r="L423" s="12">
        <v>0</v>
      </c>
      <c r="M423" s="12">
        <v>0</v>
      </c>
      <c r="N423" s="12">
        <v>0</v>
      </c>
      <c r="O423" s="12" t="str">
        <f t="shared" si="6"/>
        <v>40 - 49</v>
      </c>
    </row>
    <row r="424" spans="1:15" x14ac:dyDescent="0.35">
      <c r="A424" s="11">
        <v>1686</v>
      </c>
      <c r="B424" s="11" t="s">
        <v>12</v>
      </c>
      <c r="C424" s="11">
        <v>34</v>
      </c>
      <c r="D424" s="11" t="s">
        <v>17</v>
      </c>
      <c r="E424" s="11" t="s">
        <v>14</v>
      </c>
      <c r="F424" s="11">
        <v>16</v>
      </c>
      <c r="G424" s="11">
        <v>46</v>
      </c>
      <c r="H424" s="11">
        <v>0.01</v>
      </c>
      <c r="I424" s="11" t="s">
        <v>19</v>
      </c>
      <c r="J424" s="11">
        <v>47</v>
      </c>
      <c r="K424" s="11">
        <v>0</v>
      </c>
      <c r="L424" s="11">
        <v>0</v>
      </c>
      <c r="M424" s="11">
        <v>0</v>
      </c>
      <c r="N424" s="11">
        <v>0</v>
      </c>
      <c r="O424" s="12" t="str">
        <f t="shared" si="6"/>
        <v>40 - 49</v>
      </c>
    </row>
    <row r="425" spans="1:15" x14ac:dyDescent="0.35">
      <c r="A425" s="12">
        <v>1688</v>
      </c>
      <c r="B425" s="12" t="s">
        <v>12</v>
      </c>
      <c r="C425" s="12">
        <v>39</v>
      </c>
      <c r="D425" s="12" t="s">
        <v>25</v>
      </c>
      <c r="E425" s="12" t="s">
        <v>14</v>
      </c>
      <c r="F425" s="12">
        <v>140</v>
      </c>
      <c r="G425" s="12">
        <v>54</v>
      </c>
      <c r="H425" s="12">
        <v>0.16</v>
      </c>
      <c r="I425" s="12" t="s">
        <v>15</v>
      </c>
      <c r="J425" s="12">
        <v>33</v>
      </c>
      <c r="K425" s="12">
        <v>0</v>
      </c>
      <c r="L425" s="12">
        <v>1</v>
      </c>
      <c r="M425" s="12">
        <v>0</v>
      </c>
      <c r="N425" s="12">
        <v>0</v>
      </c>
      <c r="O425" s="12" t="str">
        <f t="shared" si="6"/>
        <v>30 - 39</v>
      </c>
    </row>
    <row r="426" spans="1:15" x14ac:dyDescent="0.35">
      <c r="A426" s="11">
        <v>1689</v>
      </c>
      <c r="B426" s="11" t="s">
        <v>12</v>
      </c>
      <c r="C426" s="11">
        <v>33</v>
      </c>
      <c r="D426" s="11" t="s">
        <v>28</v>
      </c>
      <c r="E426" s="11" t="s">
        <v>14</v>
      </c>
      <c r="F426" s="11">
        <v>110</v>
      </c>
      <c r="G426" s="11">
        <v>11</v>
      </c>
      <c r="H426" s="11">
        <v>0.52</v>
      </c>
      <c r="I426" s="11" t="s">
        <v>15</v>
      </c>
      <c r="J426" s="11">
        <v>19</v>
      </c>
      <c r="K426" s="11">
        <v>0</v>
      </c>
      <c r="L426" s="11">
        <v>0</v>
      </c>
      <c r="M426" s="11">
        <v>0</v>
      </c>
      <c r="N426" s="11">
        <v>0</v>
      </c>
      <c r="O426" s="12" t="str">
        <f t="shared" si="6"/>
        <v>10 - 19</v>
      </c>
    </row>
    <row r="427" spans="1:15" x14ac:dyDescent="0.35">
      <c r="A427" s="12">
        <v>1690</v>
      </c>
      <c r="B427" s="12" t="s">
        <v>12</v>
      </c>
      <c r="C427" s="12">
        <v>29</v>
      </c>
      <c r="D427" s="12" t="s">
        <v>26</v>
      </c>
      <c r="E427" s="12" t="s">
        <v>14</v>
      </c>
      <c r="F427" s="12">
        <v>93</v>
      </c>
      <c r="G427" s="12">
        <v>99</v>
      </c>
      <c r="H427" s="12">
        <v>0.25</v>
      </c>
      <c r="I427" s="12" t="s">
        <v>23</v>
      </c>
      <c r="J427" s="12">
        <v>47</v>
      </c>
      <c r="K427" s="12">
        <v>0</v>
      </c>
      <c r="L427" s="12">
        <v>1</v>
      </c>
      <c r="M427" s="12">
        <v>0</v>
      </c>
      <c r="N427" s="12">
        <v>0</v>
      </c>
      <c r="O427" s="12" t="str">
        <f t="shared" si="6"/>
        <v>40 - 49</v>
      </c>
    </row>
    <row r="428" spans="1:15" x14ac:dyDescent="0.35">
      <c r="A428" s="11">
        <v>1695</v>
      </c>
      <c r="B428" s="11" t="s">
        <v>12</v>
      </c>
      <c r="C428" s="11">
        <v>17</v>
      </c>
      <c r="D428" s="11" t="s">
        <v>21</v>
      </c>
      <c r="E428" s="11" t="s">
        <v>14</v>
      </c>
      <c r="F428" s="11">
        <v>66</v>
      </c>
      <c r="G428" s="11">
        <v>25</v>
      </c>
      <c r="H428" s="11">
        <v>0.52</v>
      </c>
      <c r="I428" s="11" t="s">
        <v>15</v>
      </c>
      <c r="J428" s="11">
        <v>18</v>
      </c>
      <c r="K428" s="11">
        <v>0</v>
      </c>
      <c r="L428" s="11">
        <v>0</v>
      </c>
      <c r="M428" s="11">
        <v>0</v>
      </c>
      <c r="N428" s="11">
        <v>0</v>
      </c>
      <c r="O428" s="12" t="str">
        <f t="shared" si="6"/>
        <v>10 - 19</v>
      </c>
    </row>
    <row r="429" spans="1:15" x14ac:dyDescent="0.35">
      <c r="A429" s="12">
        <v>1706</v>
      </c>
      <c r="B429" s="12" t="s">
        <v>12</v>
      </c>
      <c r="C429" s="12">
        <v>25</v>
      </c>
      <c r="D429" s="12" t="s">
        <v>28</v>
      </c>
      <c r="E429" s="12" t="s">
        <v>14</v>
      </c>
      <c r="F429" s="12">
        <v>220</v>
      </c>
      <c r="G429" s="12">
        <v>89</v>
      </c>
      <c r="H429" s="12">
        <v>0.56000000000000005</v>
      </c>
      <c r="I429" s="12" t="s">
        <v>19</v>
      </c>
      <c r="J429" s="12">
        <v>33</v>
      </c>
      <c r="K429" s="12">
        <v>0</v>
      </c>
      <c r="L429" s="12">
        <v>1</v>
      </c>
      <c r="M429" s="12">
        <v>0</v>
      </c>
      <c r="N429" s="12">
        <v>0</v>
      </c>
      <c r="O429" s="12" t="str">
        <f t="shared" si="6"/>
        <v>30 - 39</v>
      </c>
    </row>
    <row r="430" spans="1:15" x14ac:dyDescent="0.35">
      <c r="A430" s="11">
        <v>1709</v>
      </c>
      <c r="B430" s="11" t="s">
        <v>20</v>
      </c>
      <c r="C430" s="11">
        <v>21</v>
      </c>
      <c r="D430" s="11" t="s">
        <v>13</v>
      </c>
      <c r="E430" s="11" t="s">
        <v>14</v>
      </c>
      <c r="F430" s="11">
        <v>41</v>
      </c>
      <c r="G430" s="11">
        <v>43</v>
      </c>
      <c r="H430" s="11">
        <v>0.17</v>
      </c>
      <c r="I430" s="11" t="s">
        <v>23</v>
      </c>
      <c r="J430" s="11">
        <v>22</v>
      </c>
      <c r="K430" s="11">
        <v>0</v>
      </c>
      <c r="L430" s="11">
        <v>0</v>
      </c>
      <c r="M430" s="11">
        <v>0</v>
      </c>
      <c r="N430" s="11">
        <v>0</v>
      </c>
      <c r="O430" s="12" t="str">
        <f t="shared" si="6"/>
        <v>20 - 29</v>
      </c>
    </row>
    <row r="431" spans="1:15" x14ac:dyDescent="0.35">
      <c r="A431" s="12">
        <v>1713</v>
      </c>
      <c r="B431" s="12" t="s">
        <v>16</v>
      </c>
      <c r="C431" s="12">
        <v>59</v>
      </c>
      <c r="D431" s="12" t="s">
        <v>17</v>
      </c>
      <c r="E431" s="12" t="s">
        <v>14</v>
      </c>
      <c r="F431" s="12">
        <v>66</v>
      </c>
      <c r="G431" s="12">
        <v>35</v>
      </c>
      <c r="H431" s="12">
        <v>0</v>
      </c>
      <c r="I431" s="12" t="s">
        <v>19</v>
      </c>
      <c r="J431" s="12">
        <v>49</v>
      </c>
      <c r="K431" s="12">
        <v>0</v>
      </c>
      <c r="L431" s="12">
        <v>0</v>
      </c>
      <c r="M431" s="12">
        <v>0</v>
      </c>
      <c r="N431" s="12">
        <v>0</v>
      </c>
      <c r="O431" s="12" t="str">
        <f t="shared" si="6"/>
        <v>40 - 49</v>
      </c>
    </row>
    <row r="432" spans="1:15" x14ac:dyDescent="0.35">
      <c r="A432" s="11">
        <v>1715</v>
      </c>
      <c r="B432" s="11" t="s">
        <v>12</v>
      </c>
      <c r="C432" s="11">
        <v>50</v>
      </c>
      <c r="D432" s="11" t="s">
        <v>17</v>
      </c>
      <c r="E432" s="11" t="s">
        <v>14</v>
      </c>
      <c r="F432" s="11">
        <v>62</v>
      </c>
      <c r="G432" s="11">
        <v>78</v>
      </c>
      <c r="H432" s="11">
        <v>0.47</v>
      </c>
      <c r="I432" s="11" t="s">
        <v>19</v>
      </c>
      <c r="J432" s="11">
        <v>26</v>
      </c>
      <c r="K432" s="11">
        <v>0</v>
      </c>
      <c r="L432" s="11">
        <v>0</v>
      </c>
      <c r="M432" s="11">
        <v>0</v>
      </c>
      <c r="N432" s="11">
        <v>0</v>
      </c>
      <c r="O432" s="12" t="str">
        <f t="shared" si="6"/>
        <v>20 - 29</v>
      </c>
    </row>
    <row r="433" spans="1:15" x14ac:dyDescent="0.35">
      <c r="A433" s="12">
        <v>1719</v>
      </c>
      <c r="B433" s="12" t="s">
        <v>20</v>
      </c>
      <c r="C433" s="12">
        <v>29</v>
      </c>
      <c r="D433" s="12" t="s">
        <v>27</v>
      </c>
      <c r="E433" s="12" t="s">
        <v>14</v>
      </c>
      <c r="F433" s="12">
        <v>57</v>
      </c>
      <c r="G433" s="12">
        <v>78</v>
      </c>
      <c r="H433" s="12">
        <v>0.45</v>
      </c>
      <c r="I433" s="12" t="s">
        <v>19</v>
      </c>
      <c r="J433" s="12">
        <v>37</v>
      </c>
      <c r="K433" s="12">
        <v>0</v>
      </c>
      <c r="L433" s="12">
        <v>0</v>
      </c>
      <c r="M433" s="12">
        <v>0</v>
      </c>
      <c r="N433" s="12">
        <v>0</v>
      </c>
      <c r="O433" s="12" t="str">
        <f t="shared" si="6"/>
        <v>30 - 39</v>
      </c>
    </row>
    <row r="434" spans="1:15" x14ac:dyDescent="0.35">
      <c r="A434" s="11">
        <v>1723</v>
      </c>
      <c r="B434" s="11" t="s">
        <v>16</v>
      </c>
      <c r="C434" s="11">
        <v>34</v>
      </c>
      <c r="D434" s="11" t="s">
        <v>13</v>
      </c>
      <c r="E434" s="11" t="s">
        <v>14</v>
      </c>
      <c r="F434" s="11">
        <v>95</v>
      </c>
      <c r="G434" s="11">
        <v>71</v>
      </c>
      <c r="H434" s="11">
        <v>0.52</v>
      </c>
      <c r="I434" s="11" t="s">
        <v>19</v>
      </c>
      <c r="J434" s="11">
        <v>34</v>
      </c>
      <c r="K434" s="11">
        <v>0</v>
      </c>
      <c r="L434" s="11">
        <v>1</v>
      </c>
      <c r="M434" s="11">
        <v>0</v>
      </c>
      <c r="N434" s="11">
        <v>0</v>
      </c>
      <c r="O434" s="12" t="str">
        <f t="shared" si="6"/>
        <v>30 - 39</v>
      </c>
    </row>
    <row r="435" spans="1:15" x14ac:dyDescent="0.35">
      <c r="A435" s="12">
        <v>1726</v>
      </c>
      <c r="B435" s="12" t="s">
        <v>20</v>
      </c>
      <c r="C435" s="12">
        <v>16</v>
      </c>
      <c r="D435" s="12" t="s">
        <v>27</v>
      </c>
      <c r="E435" s="12" t="s">
        <v>14</v>
      </c>
      <c r="F435" s="12">
        <v>281</v>
      </c>
      <c r="G435" s="12">
        <v>79</v>
      </c>
      <c r="H435" s="12">
        <v>0.19</v>
      </c>
      <c r="I435" s="12" t="s">
        <v>19</v>
      </c>
      <c r="J435" s="12">
        <v>15</v>
      </c>
      <c r="K435" s="12">
        <v>0</v>
      </c>
      <c r="L435" s="12">
        <v>0</v>
      </c>
      <c r="M435" s="12">
        <v>0</v>
      </c>
      <c r="N435" s="12">
        <v>0</v>
      </c>
      <c r="O435" s="12" t="str">
        <f t="shared" si="6"/>
        <v>10 - 19</v>
      </c>
    </row>
    <row r="436" spans="1:15" x14ac:dyDescent="0.35">
      <c r="A436" s="11">
        <v>1727</v>
      </c>
      <c r="B436" s="11" t="s">
        <v>12</v>
      </c>
      <c r="C436" s="11">
        <v>32</v>
      </c>
      <c r="D436" s="11" t="s">
        <v>25</v>
      </c>
      <c r="E436" s="11" t="s">
        <v>14</v>
      </c>
      <c r="F436" s="11">
        <v>59</v>
      </c>
      <c r="G436" s="11">
        <v>26</v>
      </c>
      <c r="H436" s="11">
        <v>0.33</v>
      </c>
      <c r="I436" s="11" t="s">
        <v>19</v>
      </c>
      <c r="J436" s="11">
        <v>23</v>
      </c>
      <c r="K436" s="11">
        <v>0</v>
      </c>
      <c r="L436" s="11">
        <v>0</v>
      </c>
      <c r="M436" s="11">
        <v>0</v>
      </c>
      <c r="N436" s="11">
        <v>0</v>
      </c>
      <c r="O436" s="12" t="str">
        <f t="shared" si="6"/>
        <v>20 - 29</v>
      </c>
    </row>
    <row r="437" spans="1:15" x14ac:dyDescent="0.35">
      <c r="A437" s="12">
        <v>1729</v>
      </c>
      <c r="B437" s="12" t="s">
        <v>12</v>
      </c>
      <c r="C437" s="12">
        <v>40</v>
      </c>
      <c r="D437" s="12" t="s">
        <v>17</v>
      </c>
      <c r="E437" s="12" t="s">
        <v>14</v>
      </c>
      <c r="F437" s="12">
        <v>180</v>
      </c>
      <c r="G437" s="12">
        <v>37</v>
      </c>
      <c r="H437" s="12">
        <v>0.19</v>
      </c>
      <c r="I437" s="12" t="s">
        <v>15</v>
      </c>
      <c r="J437" s="12">
        <v>45</v>
      </c>
      <c r="K437" s="12">
        <v>0</v>
      </c>
      <c r="L437" s="12">
        <v>0</v>
      </c>
      <c r="M437" s="12">
        <v>0</v>
      </c>
      <c r="N437" s="12">
        <v>0</v>
      </c>
      <c r="O437" s="12" t="str">
        <f t="shared" si="6"/>
        <v>40 - 49</v>
      </c>
    </row>
    <row r="438" spans="1:15" x14ac:dyDescent="0.35">
      <c r="A438" s="11">
        <v>1730</v>
      </c>
      <c r="B438" s="11" t="s">
        <v>12</v>
      </c>
      <c r="C438" s="11">
        <v>59</v>
      </c>
      <c r="D438" s="11" t="s">
        <v>27</v>
      </c>
      <c r="E438" s="11" t="s">
        <v>14</v>
      </c>
      <c r="F438" s="11">
        <v>188</v>
      </c>
      <c r="G438" s="11">
        <v>36</v>
      </c>
      <c r="H438" s="11">
        <v>0.4</v>
      </c>
      <c r="I438" s="11" t="s">
        <v>23</v>
      </c>
      <c r="J438" s="11">
        <v>16</v>
      </c>
      <c r="K438" s="11">
        <v>0</v>
      </c>
      <c r="L438" s="11">
        <v>1</v>
      </c>
      <c r="M438" s="11">
        <v>0</v>
      </c>
      <c r="N438" s="11">
        <v>0</v>
      </c>
      <c r="O438" s="12" t="str">
        <f t="shared" si="6"/>
        <v>10 - 19</v>
      </c>
    </row>
    <row r="439" spans="1:15" x14ac:dyDescent="0.35">
      <c r="A439" s="12">
        <v>1731</v>
      </c>
      <c r="B439" s="12" t="s">
        <v>12</v>
      </c>
      <c r="C439" s="12">
        <v>45</v>
      </c>
      <c r="D439" s="12" t="s">
        <v>29</v>
      </c>
      <c r="E439" s="12" t="s">
        <v>14</v>
      </c>
      <c r="F439" s="12">
        <v>99</v>
      </c>
      <c r="G439" s="12">
        <v>77</v>
      </c>
      <c r="H439" s="12">
        <v>0.55000000000000004</v>
      </c>
      <c r="I439" s="12" t="s">
        <v>23</v>
      </c>
      <c r="J439" s="12">
        <v>6</v>
      </c>
      <c r="K439" s="12">
        <v>0</v>
      </c>
      <c r="L439" s="12">
        <v>0</v>
      </c>
      <c r="M439" s="12">
        <v>0</v>
      </c>
      <c r="N439" s="12">
        <v>0</v>
      </c>
      <c r="O439" s="12" t="str">
        <f t="shared" si="6"/>
        <v>0 - 9</v>
      </c>
    </row>
    <row r="440" spans="1:15" x14ac:dyDescent="0.35">
      <c r="A440" s="11">
        <v>1736</v>
      </c>
      <c r="B440" s="11" t="s">
        <v>16</v>
      </c>
      <c r="C440" s="11">
        <v>39</v>
      </c>
      <c r="D440" s="11" t="s">
        <v>29</v>
      </c>
      <c r="E440" s="11" t="s">
        <v>14</v>
      </c>
      <c r="F440" s="11">
        <v>89</v>
      </c>
      <c r="G440" s="11">
        <v>20</v>
      </c>
      <c r="H440" s="11">
        <v>0.09</v>
      </c>
      <c r="I440" s="11" t="s">
        <v>19</v>
      </c>
      <c r="J440" s="11">
        <v>34</v>
      </c>
      <c r="K440" s="11">
        <v>0</v>
      </c>
      <c r="L440" s="11">
        <v>0</v>
      </c>
      <c r="M440" s="11">
        <v>0</v>
      </c>
      <c r="N440" s="11">
        <v>0</v>
      </c>
      <c r="O440" s="12" t="str">
        <f t="shared" si="6"/>
        <v>30 - 39</v>
      </c>
    </row>
    <row r="441" spans="1:15" x14ac:dyDescent="0.35">
      <c r="A441" s="12">
        <v>1743</v>
      </c>
      <c r="B441" s="12" t="s">
        <v>12</v>
      </c>
      <c r="C441" s="12">
        <v>32</v>
      </c>
      <c r="D441" s="12" t="s">
        <v>28</v>
      </c>
      <c r="E441" s="12" t="s">
        <v>14</v>
      </c>
      <c r="F441" s="12">
        <v>111</v>
      </c>
      <c r="G441" s="12">
        <v>70</v>
      </c>
      <c r="H441" s="12">
        <v>0.18</v>
      </c>
      <c r="I441" s="12" t="s">
        <v>19</v>
      </c>
      <c r="J441" s="12">
        <v>13</v>
      </c>
      <c r="K441" s="12">
        <v>0</v>
      </c>
      <c r="L441" s="12">
        <v>0</v>
      </c>
      <c r="M441" s="12">
        <v>0</v>
      </c>
      <c r="N441" s="12">
        <v>0</v>
      </c>
      <c r="O441" s="12" t="str">
        <f t="shared" si="6"/>
        <v>10 - 19</v>
      </c>
    </row>
    <row r="442" spans="1:15" x14ac:dyDescent="0.35">
      <c r="A442" s="11">
        <v>1745</v>
      </c>
      <c r="B442" s="11" t="s">
        <v>20</v>
      </c>
      <c r="C442" s="11">
        <v>26</v>
      </c>
      <c r="D442" s="11" t="s">
        <v>17</v>
      </c>
      <c r="E442" s="11" t="s">
        <v>14</v>
      </c>
      <c r="F442" s="11">
        <v>163</v>
      </c>
      <c r="G442" s="11">
        <v>76</v>
      </c>
      <c r="H442" s="11">
        <v>0.57999999999999996</v>
      </c>
      <c r="I442" s="11" t="s">
        <v>23</v>
      </c>
      <c r="J442" s="11">
        <v>36</v>
      </c>
      <c r="K442" s="11">
        <v>0</v>
      </c>
      <c r="L442" s="11">
        <v>1</v>
      </c>
      <c r="M442" s="11">
        <v>0</v>
      </c>
      <c r="N442" s="11">
        <v>0</v>
      </c>
      <c r="O442" s="12" t="str">
        <f t="shared" si="6"/>
        <v>30 - 39</v>
      </c>
    </row>
    <row r="443" spans="1:15" x14ac:dyDescent="0.35">
      <c r="A443" s="12">
        <v>1750</v>
      </c>
      <c r="B443" s="12" t="s">
        <v>16</v>
      </c>
      <c r="C443" s="12">
        <v>26</v>
      </c>
      <c r="D443" s="12" t="s">
        <v>26</v>
      </c>
      <c r="E443" s="12" t="s">
        <v>14</v>
      </c>
      <c r="F443" s="12">
        <v>137</v>
      </c>
      <c r="G443" s="12">
        <v>58</v>
      </c>
      <c r="H443" s="12">
        <v>0</v>
      </c>
      <c r="I443" s="12" t="s">
        <v>19</v>
      </c>
      <c r="J443" s="12">
        <v>28</v>
      </c>
      <c r="K443" s="12">
        <v>0</v>
      </c>
      <c r="L443" s="12">
        <v>0</v>
      </c>
      <c r="M443" s="12">
        <v>0</v>
      </c>
      <c r="N443" s="12">
        <v>0</v>
      </c>
      <c r="O443" s="12" t="str">
        <f t="shared" si="6"/>
        <v>20 - 29</v>
      </c>
    </row>
    <row r="444" spans="1:15" x14ac:dyDescent="0.35">
      <c r="A444" s="11">
        <v>1759</v>
      </c>
      <c r="B444" s="11" t="s">
        <v>20</v>
      </c>
      <c r="C444" s="11">
        <v>34</v>
      </c>
      <c r="D444" s="11" t="s">
        <v>27</v>
      </c>
      <c r="E444" s="11" t="s">
        <v>14</v>
      </c>
      <c r="F444" s="11">
        <v>137</v>
      </c>
      <c r="G444" s="11">
        <v>18</v>
      </c>
      <c r="H444" s="11">
        <v>0.28000000000000003</v>
      </c>
      <c r="I444" s="11" t="s">
        <v>23</v>
      </c>
      <c r="J444" s="11">
        <v>38</v>
      </c>
      <c r="K444" s="11">
        <v>0</v>
      </c>
      <c r="L444" s="11">
        <v>0</v>
      </c>
      <c r="M444" s="11">
        <v>0</v>
      </c>
      <c r="N444" s="11">
        <v>0</v>
      </c>
      <c r="O444" s="12" t="str">
        <f t="shared" si="6"/>
        <v>30 - 39</v>
      </c>
    </row>
    <row r="445" spans="1:15" x14ac:dyDescent="0.35">
      <c r="A445" s="12">
        <v>1761</v>
      </c>
      <c r="B445" s="12" t="s">
        <v>16</v>
      </c>
      <c r="C445" s="12">
        <v>36</v>
      </c>
      <c r="D445" s="12" t="s">
        <v>21</v>
      </c>
      <c r="E445" s="12" t="s">
        <v>14</v>
      </c>
      <c r="F445" s="12">
        <v>72</v>
      </c>
      <c r="G445" s="12">
        <v>3</v>
      </c>
      <c r="H445" s="12">
        <v>0.15</v>
      </c>
      <c r="I445" s="12" t="s">
        <v>23</v>
      </c>
      <c r="J445" s="12">
        <v>48</v>
      </c>
      <c r="K445" s="12">
        <v>0</v>
      </c>
      <c r="L445" s="12">
        <v>0</v>
      </c>
      <c r="M445" s="12">
        <v>0</v>
      </c>
      <c r="N445" s="12">
        <v>0</v>
      </c>
      <c r="O445" s="12" t="str">
        <f t="shared" si="6"/>
        <v>40 - 49</v>
      </c>
    </row>
    <row r="446" spans="1:15" x14ac:dyDescent="0.35">
      <c r="A446" s="11">
        <v>1763</v>
      </c>
      <c r="B446" s="11" t="s">
        <v>16</v>
      </c>
      <c r="C446" s="11">
        <v>54</v>
      </c>
      <c r="D446" s="11" t="s">
        <v>17</v>
      </c>
      <c r="E446" s="11" t="s">
        <v>14</v>
      </c>
      <c r="F446" s="11">
        <v>290</v>
      </c>
      <c r="G446" s="11">
        <v>91</v>
      </c>
      <c r="H446" s="11">
        <v>0.42</v>
      </c>
      <c r="I446" s="11" t="s">
        <v>15</v>
      </c>
      <c r="J446" s="11">
        <v>41</v>
      </c>
      <c r="K446" s="11">
        <v>0</v>
      </c>
      <c r="L446" s="11">
        <v>1</v>
      </c>
      <c r="M446" s="11">
        <v>0</v>
      </c>
      <c r="N446" s="11">
        <v>0</v>
      </c>
      <c r="O446" s="12" t="str">
        <f t="shared" si="6"/>
        <v>40 - 49</v>
      </c>
    </row>
    <row r="447" spans="1:15" x14ac:dyDescent="0.35">
      <c r="A447" s="12">
        <v>1766</v>
      </c>
      <c r="B447" s="12" t="s">
        <v>20</v>
      </c>
      <c r="C447" s="12">
        <v>50</v>
      </c>
      <c r="D447" s="12" t="s">
        <v>17</v>
      </c>
      <c r="E447" s="12" t="s">
        <v>14</v>
      </c>
      <c r="F447" s="12">
        <v>50</v>
      </c>
      <c r="G447" s="12">
        <v>96</v>
      </c>
      <c r="H447" s="12">
        <v>0.05</v>
      </c>
      <c r="I447" s="12" t="s">
        <v>23</v>
      </c>
      <c r="J447" s="12">
        <v>33</v>
      </c>
      <c r="K447" s="12">
        <v>0</v>
      </c>
      <c r="L447" s="12">
        <v>0</v>
      </c>
      <c r="M447" s="12">
        <v>0</v>
      </c>
      <c r="N447" s="12">
        <v>0</v>
      </c>
      <c r="O447" s="12" t="str">
        <f t="shared" si="6"/>
        <v>30 - 39</v>
      </c>
    </row>
    <row r="448" spans="1:15" x14ac:dyDescent="0.35">
      <c r="A448" s="11">
        <v>1779</v>
      </c>
      <c r="B448" s="11" t="s">
        <v>20</v>
      </c>
      <c r="C448" s="11">
        <v>22</v>
      </c>
      <c r="D448" s="11" t="s">
        <v>25</v>
      </c>
      <c r="E448" s="11" t="s">
        <v>14</v>
      </c>
      <c r="F448" s="11">
        <v>156</v>
      </c>
      <c r="G448" s="11">
        <v>53</v>
      </c>
      <c r="H448" s="11">
        <v>0.06</v>
      </c>
      <c r="I448" s="11" t="s">
        <v>19</v>
      </c>
      <c r="J448" s="11">
        <v>45</v>
      </c>
      <c r="K448" s="11">
        <v>0</v>
      </c>
      <c r="L448" s="11">
        <v>0</v>
      </c>
      <c r="M448" s="11">
        <v>0</v>
      </c>
      <c r="N448" s="11">
        <v>0</v>
      </c>
      <c r="O448" s="12" t="str">
        <f t="shared" si="6"/>
        <v>40 - 49</v>
      </c>
    </row>
    <row r="449" spans="1:15" x14ac:dyDescent="0.35">
      <c r="A449" s="12">
        <v>1781</v>
      </c>
      <c r="B449" s="12" t="s">
        <v>16</v>
      </c>
      <c r="C449" s="12">
        <v>37</v>
      </c>
      <c r="D449" s="12" t="s">
        <v>21</v>
      </c>
      <c r="E449" s="12" t="s">
        <v>14</v>
      </c>
      <c r="F449" s="12">
        <v>276</v>
      </c>
      <c r="G449" s="12">
        <v>21</v>
      </c>
      <c r="H449" s="12">
        <v>7.0000000000000007E-2</v>
      </c>
      <c r="I449" s="12" t="s">
        <v>23</v>
      </c>
      <c r="J449" s="12">
        <v>20</v>
      </c>
      <c r="K449" s="12">
        <v>0</v>
      </c>
      <c r="L449" s="12">
        <v>0</v>
      </c>
      <c r="M449" s="12">
        <v>0</v>
      </c>
      <c r="N449" s="12">
        <v>0</v>
      </c>
      <c r="O449" s="12" t="str">
        <f t="shared" si="6"/>
        <v>20 - 29</v>
      </c>
    </row>
    <row r="450" spans="1:15" x14ac:dyDescent="0.35">
      <c r="A450" s="11">
        <v>1784</v>
      </c>
      <c r="B450" s="11" t="s">
        <v>12</v>
      </c>
      <c r="C450" s="11">
        <v>21</v>
      </c>
      <c r="D450" s="11" t="s">
        <v>25</v>
      </c>
      <c r="E450" s="11" t="s">
        <v>14</v>
      </c>
      <c r="F450" s="11">
        <v>150</v>
      </c>
      <c r="G450" s="11">
        <v>46</v>
      </c>
      <c r="H450" s="11">
        <v>0.41</v>
      </c>
      <c r="I450" s="11" t="s">
        <v>15</v>
      </c>
      <c r="J450" s="11">
        <v>18</v>
      </c>
      <c r="K450" s="11">
        <v>0</v>
      </c>
      <c r="L450" s="11">
        <v>0</v>
      </c>
      <c r="M450" s="11">
        <v>0</v>
      </c>
      <c r="N450" s="11">
        <v>0</v>
      </c>
      <c r="O450" s="12" t="str">
        <f t="shared" ref="O450:O513" si="7">_xlfn.FLOOR.MATH(J450, 10) &amp; " - " &amp; (_xlfn.FLOOR.MATH(J450, 10) + 9)</f>
        <v>10 - 19</v>
      </c>
    </row>
    <row r="451" spans="1:15" x14ac:dyDescent="0.35">
      <c r="A451" s="12">
        <v>1786</v>
      </c>
      <c r="B451" s="12" t="s">
        <v>20</v>
      </c>
      <c r="C451" s="12">
        <v>25</v>
      </c>
      <c r="D451" s="12" t="s">
        <v>13</v>
      </c>
      <c r="E451" s="12" t="s">
        <v>14</v>
      </c>
      <c r="F451" s="12">
        <v>52</v>
      </c>
      <c r="G451" s="12">
        <v>72</v>
      </c>
      <c r="H451" s="12">
        <v>0.18</v>
      </c>
      <c r="I451" s="12" t="s">
        <v>15</v>
      </c>
      <c r="J451" s="12">
        <v>26</v>
      </c>
      <c r="K451" s="12">
        <v>0</v>
      </c>
      <c r="L451" s="12">
        <v>0</v>
      </c>
      <c r="M451" s="12">
        <v>0</v>
      </c>
      <c r="N451" s="12">
        <v>0</v>
      </c>
      <c r="O451" s="12" t="str">
        <f t="shared" si="7"/>
        <v>20 - 29</v>
      </c>
    </row>
    <row r="452" spans="1:15" x14ac:dyDescent="0.35">
      <c r="A452" s="11">
        <v>1790</v>
      </c>
      <c r="B452" s="11" t="s">
        <v>16</v>
      </c>
      <c r="C452" s="11">
        <v>57</v>
      </c>
      <c r="D452" s="11" t="s">
        <v>28</v>
      </c>
      <c r="E452" s="11" t="s">
        <v>14</v>
      </c>
      <c r="F452" s="11">
        <v>32</v>
      </c>
      <c r="G452" s="11">
        <v>10</v>
      </c>
      <c r="H452" s="11">
        <v>0.01</v>
      </c>
      <c r="I452" s="11" t="s">
        <v>19</v>
      </c>
      <c r="J452" s="11">
        <v>35</v>
      </c>
      <c r="K452" s="11">
        <v>0</v>
      </c>
      <c r="L452" s="11">
        <v>0</v>
      </c>
      <c r="M452" s="11">
        <v>0</v>
      </c>
      <c r="N452" s="11">
        <v>0</v>
      </c>
      <c r="O452" s="12" t="str">
        <f t="shared" si="7"/>
        <v>30 - 39</v>
      </c>
    </row>
    <row r="453" spans="1:15" x14ac:dyDescent="0.35">
      <c r="A453" s="12">
        <v>1794</v>
      </c>
      <c r="B453" s="12" t="s">
        <v>20</v>
      </c>
      <c r="C453" s="12">
        <v>46</v>
      </c>
      <c r="D453" s="12" t="s">
        <v>21</v>
      </c>
      <c r="E453" s="12" t="s">
        <v>14</v>
      </c>
      <c r="F453" s="12">
        <v>16</v>
      </c>
      <c r="G453" s="12">
        <v>44</v>
      </c>
      <c r="H453" s="12">
        <v>0.31</v>
      </c>
      <c r="I453" s="12" t="s">
        <v>15</v>
      </c>
      <c r="J453" s="12">
        <v>26</v>
      </c>
      <c r="K453" s="12">
        <v>0</v>
      </c>
      <c r="L453" s="12">
        <v>0</v>
      </c>
      <c r="M453" s="12">
        <v>0</v>
      </c>
      <c r="N453" s="12">
        <v>0</v>
      </c>
      <c r="O453" s="12" t="str">
        <f t="shared" si="7"/>
        <v>20 - 29</v>
      </c>
    </row>
    <row r="454" spans="1:15" x14ac:dyDescent="0.35">
      <c r="A454" s="11">
        <v>1795</v>
      </c>
      <c r="B454" s="11" t="s">
        <v>20</v>
      </c>
      <c r="C454" s="11">
        <v>47</v>
      </c>
      <c r="D454" s="11" t="s">
        <v>29</v>
      </c>
      <c r="E454" s="11" t="s">
        <v>14</v>
      </c>
      <c r="F454" s="11">
        <v>268</v>
      </c>
      <c r="G454" s="11">
        <v>86</v>
      </c>
      <c r="H454" s="11">
        <v>0.01</v>
      </c>
      <c r="I454" s="11" t="s">
        <v>23</v>
      </c>
      <c r="J454" s="11">
        <v>9</v>
      </c>
      <c r="K454" s="11">
        <v>0</v>
      </c>
      <c r="L454" s="11">
        <v>0</v>
      </c>
      <c r="M454" s="11">
        <v>0</v>
      </c>
      <c r="N454" s="11">
        <v>0</v>
      </c>
      <c r="O454" s="12" t="str">
        <f t="shared" si="7"/>
        <v>0 - 9</v>
      </c>
    </row>
    <row r="455" spans="1:15" x14ac:dyDescent="0.35">
      <c r="A455" s="12">
        <v>1796</v>
      </c>
      <c r="B455" s="12" t="s">
        <v>16</v>
      </c>
      <c r="C455" s="12">
        <v>36</v>
      </c>
      <c r="D455" s="12" t="s">
        <v>27</v>
      </c>
      <c r="E455" s="12" t="s">
        <v>14</v>
      </c>
      <c r="F455" s="12">
        <v>278</v>
      </c>
      <c r="G455" s="12">
        <v>55</v>
      </c>
      <c r="H455" s="12">
        <v>0.11</v>
      </c>
      <c r="I455" s="12" t="s">
        <v>15</v>
      </c>
      <c r="J455" s="12">
        <v>27</v>
      </c>
      <c r="K455" s="12">
        <v>0</v>
      </c>
      <c r="L455" s="12">
        <v>1</v>
      </c>
      <c r="M455" s="12">
        <v>0</v>
      </c>
      <c r="N455" s="12">
        <v>0</v>
      </c>
      <c r="O455" s="12" t="str">
        <f t="shared" si="7"/>
        <v>20 - 29</v>
      </c>
    </row>
    <row r="456" spans="1:15" x14ac:dyDescent="0.35">
      <c r="A456" s="11">
        <v>1799</v>
      </c>
      <c r="B456" s="11" t="s">
        <v>16</v>
      </c>
      <c r="C456" s="11">
        <v>45</v>
      </c>
      <c r="D456" s="11" t="s">
        <v>17</v>
      </c>
      <c r="E456" s="11" t="s">
        <v>14</v>
      </c>
      <c r="F456" s="11">
        <v>162</v>
      </c>
      <c r="G456" s="11">
        <v>85</v>
      </c>
      <c r="H456" s="11">
        <v>0.04</v>
      </c>
      <c r="I456" s="11" t="s">
        <v>19</v>
      </c>
      <c r="J456" s="11">
        <v>43</v>
      </c>
      <c r="K456" s="11">
        <v>0</v>
      </c>
      <c r="L456" s="11">
        <v>0</v>
      </c>
      <c r="M456" s="11">
        <v>0</v>
      </c>
      <c r="N456" s="11">
        <v>0</v>
      </c>
      <c r="O456" s="12" t="str">
        <f t="shared" si="7"/>
        <v>40 - 49</v>
      </c>
    </row>
    <row r="457" spans="1:15" x14ac:dyDescent="0.35">
      <c r="A457" s="12">
        <v>1809</v>
      </c>
      <c r="B457" s="12" t="s">
        <v>20</v>
      </c>
      <c r="C457" s="12">
        <v>41</v>
      </c>
      <c r="D457" s="12" t="s">
        <v>29</v>
      </c>
      <c r="E457" s="12" t="s">
        <v>14</v>
      </c>
      <c r="F457" s="12">
        <v>34</v>
      </c>
      <c r="G457" s="12">
        <v>66</v>
      </c>
      <c r="H457" s="12">
        <v>0.27</v>
      </c>
      <c r="I457" s="12" t="s">
        <v>23</v>
      </c>
      <c r="J457" s="12">
        <v>10</v>
      </c>
      <c r="K457" s="12">
        <v>0</v>
      </c>
      <c r="L457" s="12">
        <v>1</v>
      </c>
      <c r="M457" s="12">
        <v>0</v>
      </c>
      <c r="N457" s="12">
        <v>0</v>
      </c>
      <c r="O457" s="12" t="str">
        <f t="shared" si="7"/>
        <v>10 - 19</v>
      </c>
    </row>
    <row r="458" spans="1:15" x14ac:dyDescent="0.35">
      <c r="A458" s="11">
        <v>1814</v>
      </c>
      <c r="B458" s="11" t="s">
        <v>16</v>
      </c>
      <c r="C458" s="11">
        <v>42</v>
      </c>
      <c r="D458" s="11" t="s">
        <v>17</v>
      </c>
      <c r="E458" s="11" t="s">
        <v>14</v>
      </c>
      <c r="F458" s="11">
        <v>131</v>
      </c>
      <c r="G458" s="11">
        <v>87</v>
      </c>
      <c r="H458" s="11">
        <v>0.09</v>
      </c>
      <c r="I458" s="11" t="s">
        <v>23</v>
      </c>
      <c r="J458" s="11">
        <v>12</v>
      </c>
      <c r="K458" s="11">
        <v>0</v>
      </c>
      <c r="L458" s="11">
        <v>0</v>
      </c>
      <c r="M458" s="11">
        <v>0</v>
      </c>
      <c r="N458" s="11">
        <v>0</v>
      </c>
      <c r="O458" s="12" t="str">
        <f t="shared" si="7"/>
        <v>10 - 19</v>
      </c>
    </row>
    <row r="459" spans="1:15" x14ac:dyDescent="0.35">
      <c r="A459" s="12">
        <v>1816</v>
      </c>
      <c r="B459" s="12" t="s">
        <v>16</v>
      </c>
      <c r="C459" s="12">
        <v>53</v>
      </c>
      <c r="D459" s="12" t="s">
        <v>21</v>
      </c>
      <c r="E459" s="12" t="s">
        <v>14</v>
      </c>
      <c r="F459" s="12">
        <v>141</v>
      </c>
      <c r="G459" s="12">
        <v>87</v>
      </c>
      <c r="H459" s="12">
        <v>0.5</v>
      </c>
      <c r="I459" s="12" t="s">
        <v>19</v>
      </c>
      <c r="J459" s="12">
        <v>47</v>
      </c>
      <c r="K459" s="12">
        <v>0</v>
      </c>
      <c r="L459" s="12">
        <v>0</v>
      </c>
      <c r="M459" s="12">
        <v>0</v>
      </c>
      <c r="N459" s="12">
        <v>0</v>
      </c>
      <c r="O459" s="12" t="str">
        <f t="shared" si="7"/>
        <v>40 - 49</v>
      </c>
    </row>
    <row r="460" spans="1:15" x14ac:dyDescent="0.35">
      <c r="A460" s="11">
        <v>1818</v>
      </c>
      <c r="B460" s="11" t="s">
        <v>16</v>
      </c>
      <c r="C460" s="11">
        <v>19</v>
      </c>
      <c r="D460" s="11" t="s">
        <v>28</v>
      </c>
      <c r="E460" s="11" t="s">
        <v>14</v>
      </c>
      <c r="F460" s="11">
        <v>102</v>
      </c>
      <c r="G460" s="11">
        <v>26</v>
      </c>
      <c r="H460" s="11">
        <v>0.46</v>
      </c>
      <c r="I460" s="11" t="s">
        <v>23</v>
      </c>
      <c r="J460" s="11">
        <v>44</v>
      </c>
      <c r="K460" s="11">
        <v>0</v>
      </c>
      <c r="L460" s="11">
        <v>0</v>
      </c>
      <c r="M460" s="11">
        <v>0</v>
      </c>
      <c r="N460" s="11">
        <v>0</v>
      </c>
      <c r="O460" s="12" t="str">
        <f t="shared" si="7"/>
        <v>40 - 49</v>
      </c>
    </row>
    <row r="461" spans="1:15" x14ac:dyDescent="0.35">
      <c r="A461" s="12">
        <v>1819</v>
      </c>
      <c r="B461" s="12" t="s">
        <v>20</v>
      </c>
      <c r="C461" s="12">
        <v>51</v>
      </c>
      <c r="D461" s="12" t="s">
        <v>21</v>
      </c>
      <c r="E461" s="12" t="s">
        <v>14</v>
      </c>
      <c r="F461" s="12">
        <v>140</v>
      </c>
      <c r="G461" s="12">
        <v>53</v>
      </c>
      <c r="H461" s="12">
        <v>0.37</v>
      </c>
      <c r="I461" s="12" t="s">
        <v>19</v>
      </c>
      <c r="J461" s="12">
        <v>20</v>
      </c>
      <c r="K461" s="12">
        <v>0</v>
      </c>
      <c r="L461" s="12">
        <v>1</v>
      </c>
      <c r="M461" s="12">
        <v>0</v>
      </c>
      <c r="N461" s="12">
        <v>0</v>
      </c>
      <c r="O461" s="12" t="str">
        <f t="shared" si="7"/>
        <v>20 - 29</v>
      </c>
    </row>
    <row r="462" spans="1:15" x14ac:dyDescent="0.35">
      <c r="A462" s="11">
        <v>1823</v>
      </c>
      <c r="B462" s="11" t="s">
        <v>16</v>
      </c>
      <c r="C462" s="11">
        <v>51</v>
      </c>
      <c r="D462" s="11" t="s">
        <v>29</v>
      </c>
      <c r="E462" s="11" t="s">
        <v>14</v>
      </c>
      <c r="F462" s="11">
        <v>263</v>
      </c>
      <c r="G462" s="11">
        <v>44</v>
      </c>
      <c r="H462" s="11">
        <v>0.45</v>
      </c>
      <c r="I462" s="11" t="s">
        <v>19</v>
      </c>
      <c r="J462" s="11">
        <v>19</v>
      </c>
      <c r="K462" s="11">
        <v>0</v>
      </c>
      <c r="L462" s="11">
        <v>0</v>
      </c>
      <c r="M462" s="11">
        <v>0</v>
      </c>
      <c r="N462" s="11">
        <v>0</v>
      </c>
      <c r="O462" s="12" t="str">
        <f t="shared" si="7"/>
        <v>10 - 19</v>
      </c>
    </row>
    <row r="463" spans="1:15" x14ac:dyDescent="0.35">
      <c r="A463" s="12">
        <v>1829</v>
      </c>
      <c r="B463" s="12" t="s">
        <v>20</v>
      </c>
      <c r="C463" s="12">
        <v>33</v>
      </c>
      <c r="D463" s="12" t="s">
        <v>21</v>
      </c>
      <c r="E463" s="12" t="s">
        <v>14</v>
      </c>
      <c r="F463" s="12">
        <v>181</v>
      </c>
      <c r="G463" s="12">
        <v>81</v>
      </c>
      <c r="H463" s="12">
        <v>0.28000000000000003</v>
      </c>
      <c r="I463" s="12" t="s">
        <v>15</v>
      </c>
      <c r="J463" s="12">
        <v>14</v>
      </c>
      <c r="K463" s="12">
        <v>0</v>
      </c>
      <c r="L463" s="12">
        <v>0</v>
      </c>
      <c r="M463" s="12">
        <v>0</v>
      </c>
      <c r="N463" s="12">
        <v>0</v>
      </c>
      <c r="O463" s="12" t="str">
        <f t="shared" si="7"/>
        <v>10 - 19</v>
      </c>
    </row>
    <row r="464" spans="1:15" x14ac:dyDescent="0.35">
      <c r="A464" s="11">
        <v>1832</v>
      </c>
      <c r="B464" s="11" t="s">
        <v>16</v>
      </c>
      <c r="C464" s="11">
        <v>22</v>
      </c>
      <c r="D464" s="11" t="s">
        <v>25</v>
      </c>
      <c r="E464" s="11" t="s">
        <v>14</v>
      </c>
      <c r="F464" s="11">
        <v>93</v>
      </c>
      <c r="G464" s="11">
        <v>10</v>
      </c>
      <c r="H464" s="11">
        <v>0.03</v>
      </c>
      <c r="I464" s="11" t="s">
        <v>23</v>
      </c>
      <c r="J464" s="11">
        <v>12</v>
      </c>
      <c r="K464" s="11">
        <v>0</v>
      </c>
      <c r="L464" s="11">
        <v>0</v>
      </c>
      <c r="M464" s="11">
        <v>0</v>
      </c>
      <c r="N464" s="11">
        <v>0</v>
      </c>
      <c r="O464" s="12" t="str">
        <f t="shared" si="7"/>
        <v>10 - 19</v>
      </c>
    </row>
    <row r="465" spans="1:15" x14ac:dyDescent="0.35">
      <c r="A465" s="12">
        <v>1836</v>
      </c>
      <c r="B465" s="12" t="s">
        <v>16</v>
      </c>
      <c r="C465" s="12">
        <v>39</v>
      </c>
      <c r="D465" s="12" t="s">
        <v>17</v>
      </c>
      <c r="E465" s="12" t="s">
        <v>14</v>
      </c>
      <c r="F465" s="12">
        <v>62</v>
      </c>
      <c r="G465" s="12">
        <v>15</v>
      </c>
      <c r="H465" s="12">
        <v>0.42</v>
      </c>
      <c r="I465" s="12" t="s">
        <v>23</v>
      </c>
      <c r="J465" s="12">
        <v>49</v>
      </c>
      <c r="K465" s="12">
        <v>0</v>
      </c>
      <c r="L465" s="12">
        <v>0</v>
      </c>
      <c r="M465" s="12">
        <v>0</v>
      </c>
      <c r="N465" s="12">
        <v>0</v>
      </c>
      <c r="O465" s="12" t="str">
        <f t="shared" si="7"/>
        <v>40 - 49</v>
      </c>
    </row>
    <row r="466" spans="1:15" x14ac:dyDescent="0.35">
      <c r="A466" s="11">
        <v>1844</v>
      </c>
      <c r="B466" s="11" t="s">
        <v>20</v>
      </c>
      <c r="C466" s="11">
        <v>42</v>
      </c>
      <c r="D466" s="11" t="s">
        <v>26</v>
      </c>
      <c r="E466" s="11" t="s">
        <v>14</v>
      </c>
      <c r="F466" s="11">
        <v>297</v>
      </c>
      <c r="G466" s="11">
        <v>12</v>
      </c>
      <c r="H466" s="11">
        <v>0.54</v>
      </c>
      <c r="I466" s="11" t="s">
        <v>15</v>
      </c>
      <c r="J466" s="11">
        <v>15</v>
      </c>
      <c r="K466" s="11">
        <v>0</v>
      </c>
      <c r="L466" s="11">
        <v>0</v>
      </c>
      <c r="M466" s="11">
        <v>0</v>
      </c>
      <c r="N466" s="11">
        <v>0</v>
      </c>
      <c r="O466" s="12" t="str">
        <f t="shared" si="7"/>
        <v>10 - 19</v>
      </c>
    </row>
    <row r="467" spans="1:15" x14ac:dyDescent="0.35">
      <c r="A467" s="12">
        <v>1846</v>
      </c>
      <c r="B467" s="12" t="s">
        <v>20</v>
      </c>
      <c r="C467" s="12">
        <v>18</v>
      </c>
      <c r="D467" s="12" t="s">
        <v>13</v>
      </c>
      <c r="E467" s="12" t="s">
        <v>14</v>
      </c>
      <c r="F467" s="12">
        <v>264</v>
      </c>
      <c r="G467" s="12">
        <v>52</v>
      </c>
      <c r="H467" s="12">
        <v>0.33</v>
      </c>
      <c r="I467" s="12" t="s">
        <v>15</v>
      </c>
      <c r="J467" s="12">
        <v>19</v>
      </c>
      <c r="K467" s="12">
        <v>0</v>
      </c>
      <c r="L467" s="12">
        <v>0</v>
      </c>
      <c r="M467" s="12">
        <v>0</v>
      </c>
      <c r="N467" s="12">
        <v>0</v>
      </c>
      <c r="O467" s="12" t="str">
        <f t="shared" si="7"/>
        <v>10 - 19</v>
      </c>
    </row>
    <row r="468" spans="1:15" x14ac:dyDescent="0.35">
      <c r="A468" s="11">
        <v>1849</v>
      </c>
      <c r="B468" s="11" t="s">
        <v>12</v>
      </c>
      <c r="C468" s="11">
        <v>17</v>
      </c>
      <c r="D468" s="11" t="s">
        <v>17</v>
      </c>
      <c r="E468" s="11" t="s">
        <v>14</v>
      </c>
      <c r="F468" s="11">
        <v>285</v>
      </c>
      <c r="G468" s="11">
        <v>6</v>
      </c>
      <c r="H468" s="11">
        <v>0.19</v>
      </c>
      <c r="I468" s="11" t="s">
        <v>19</v>
      </c>
      <c r="J468" s="11">
        <v>18</v>
      </c>
      <c r="K468" s="11">
        <v>0</v>
      </c>
      <c r="L468" s="11">
        <v>0</v>
      </c>
      <c r="M468" s="11">
        <v>0</v>
      </c>
      <c r="N468" s="11">
        <v>0</v>
      </c>
      <c r="O468" s="12" t="str">
        <f t="shared" si="7"/>
        <v>10 - 19</v>
      </c>
    </row>
    <row r="469" spans="1:15" x14ac:dyDescent="0.35">
      <c r="A469" s="12">
        <v>1851</v>
      </c>
      <c r="B469" s="12" t="s">
        <v>12</v>
      </c>
      <c r="C469" s="12">
        <v>20</v>
      </c>
      <c r="D469" s="12" t="s">
        <v>13</v>
      </c>
      <c r="E469" s="12" t="s">
        <v>14</v>
      </c>
      <c r="F469" s="12">
        <v>80</v>
      </c>
      <c r="G469" s="12">
        <v>74</v>
      </c>
      <c r="H469" s="12">
        <v>0.55000000000000004</v>
      </c>
      <c r="I469" s="12" t="s">
        <v>15</v>
      </c>
      <c r="J469" s="12">
        <v>49</v>
      </c>
      <c r="K469" s="12">
        <v>0</v>
      </c>
      <c r="L469" s="12">
        <v>1</v>
      </c>
      <c r="M469" s="12">
        <v>0</v>
      </c>
      <c r="N469" s="12">
        <v>0</v>
      </c>
      <c r="O469" s="12" t="str">
        <f t="shared" si="7"/>
        <v>40 - 49</v>
      </c>
    </row>
    <row r="470" spans="1:15" x14ac:dyDescent="0.35">
      <c r="A470" s="11">
        <v>1856</v>
      </c>
      <c r="B470" s="11" t="s">
        <v>16</v>
      </c>
      <c r="C470" s="11">
        <v>24</v>
      </c>
      <c r="D470" s="11" t="s">
        <v>29</v>
      </c>
      <c r="E470" s="11" t="s">
        <v>14</v>
      </c>
      <c r="F470" s="11">
        <v>297</v>
      </c>
      <c r="G470" s="11">
        <v>12</v>
      </c>
      <c r="H470" s="11">
        <v>0.39</v>
      </c>
      <c r="I470" s="11" t="s">
        <v>15</v>
      </c>
      <c r="J470" s="11">
        <v>6</v>
      </c>
      <c r="K470" s="11">
        <v>0</v>
      </c>
      <c r="L470" s="11">
        <v>0</v>
      </c>
      <c r="M470" s="11">
        <v>0</v>
      </c>
      <c r="N470" s="11">
        <v>0</v>
      </c>
      <c r="O470" s="12" t="str">
        <f t="shared" si="7"/>
        <v>0 - 9</v>
      </c>
    </row>
    <row r="471" spans="1:15" x14ac:dyDescent="0.35">
      <c r="A471" s="12">
        <v>1867</v>
      </c>
      <c r="B471" s="12" t="s">
        <v>16</v>
      </c>
      <c r="C471" s="12">
        <v>34</v>
      </c>
      <c r="D471" s="12" t="s">
        <v>13</v>
      </c>
      <c r="E471" s="12" t="s">
        <v>14</v>
      </c>
      <c r="F471" s="12">
        <v>84</v>
      </c>
      <c r="G471" s="12">
        <v>43</v>
      </c>
      <c r="H471" s="12">
        <v>0.31</v>
      </c>
      <c r="I471" s="12" t="s">
        <v>23</v>
      </c>
      <c r="J471" s="12">
        <v>39</v>
      </c>
      <c r="K471" s="12">
        <v>0</v>
      </c>
      <c r="L471" s="12">
        <v>0</v>
      </c>
      <c r="M471" s="12">
        <v>0</v>
      </c>
      <c r="N471" s="12">
        <v>0</v>
      </c>
      <c r="O471" s="12" t="str">
        <f t="shared" si="7"/>
        <v>30 - 39</v>
      </c>
    </row>
    <row r="472" spans="1:15" x14ac:dyDescent="0.35">
      <c r="A472" s="11">
        <v>1870</v>
      </c>
      <c r="B472" s="11" t="s">
        <v>16</v>
      </c>
      <c r="C472" s="11">
        <v>36</v>
      </c>
      <c r="D472" s="11" t="s">
        <v>13</v>
      </c>
      <c r="E472" s="11" t="s">
        <v>14</v>
      </c>
      <c r="F472" s="11">
        <v>287</v>
      </c>
      <c r="G472" s="11">
        <v>44</v>
      </c>
      <c r="H472" s="11">
        <v>7.0000000000000007E-2</v>
      </c>
      <c r="I472" s="11" t="s">
        <v>23</v>
      </c>
      <c r="J472" s="11">
        <v>32</v>
      </c>
      <c r="K472" s="11">
        <v>0</v>
      </c>
      <c r="L472" s="11">
        <v>0</v>
      </c>
      <c r="M472" s="11">
        <v>0</v>
      </c>
      <c r="N472" s="11">
        <v>0</v>
      </c>
      <c r="O472" s="12" t="str">
        <f t="shared" si="7"/>
        <v>30 - 39</v>
      </c>
    </row>
    <row r="473" spans="1:15" x14ac:dyDescent="0.35">
      <c r="A473" s="12">
        <v>1872</v>
      </c>
      <c r="B473" s="12" t="s">
        <v>16</v>
      </c>
      <c r="C473" s="12">
        <v>21</v>
      </c>
      <c r="D473" s="12" t="s">
        <v>28</v>
      </c>
      <c r="E473" s="12" t="s">
        <v>14</v>
      </c>
      <c r="F473" s="12">
        <v>116</v>
      </c>
      <c r="G473" s="12">
        <v>84</v>
      </c>
      <c r="H473" s="12">
        <v>0.59</v>
      </c>
      <c r="I473" s="12" t="s">
        <v>15</v>
      </c>
      <c r="J473" s="12">
        <v>18</v>
      </c>
      <c r="K473" s="12">
        <v>0</v>
      </c>
      <c r="L473" s="12">
        <v>1</v>
      </c>
      <c r="M473" s="12">
        <v>0</v>
      </c>
      <c r="N473" s="12">
        <v>0</v>
      </c>
      <c r="O473" s="12" t="str">
        <f t="shared" si="7"/>
        <v>10 - 19</v>
      </c>
    </row>
    <row r="474" spans="1:15" x14ac:dyDescent="0.35">
      <c r="A474" s="11">
        <v>1878</v>
      </c>
      <c r="B474" s="11" t="s">
        <v>20</v>
      </c>
      <c r="C474" s="11">
        <v>37</v>
      </c>
      <c r="D474" s="11" t="s">
        <v>25</v>
      </c>
      <c r="E474" s="11" t="s">
        <v>14</v>
      </c>
      <c r="F474" s="11">
        <v>21</v>
      </c>
      <c r="G474" s="11">
        <v>40</v>
      </c>
      <c r="H474" s="11">
        <v>0.35</v>
      </c>
      <c r="I474" s="11" t="s">
        <v>19</v>
      </c>
      <c r="J474" s="11">
        <v>36</v>
      </c>
      <c r="K474" s="11">
        <v>0</v>
      </c>
      <c r="L474" s="11">
        <v>0</v>
      </c>
      <c r="M474" s="11">
        <v>0</v>
      </c>
      <c r="N474" s="11">
        <v>0</v>
      </c>
      <c r="O474" s="12" t="str">
        <f t="shared" si="7"/>
        <v>30 - 39</v>
      </c>
    </row>
    <row r="475" spans="1:15" x14ac:dyDescent="0.35">
      <c r="A475" s="12">
        <v>1880</v>
      </c>
      <c r="B475" s="12" t="s">
        <v>12</v>
      </c>
      <c r="C475" s="12">
        <v>23</v>
      </c>
      <c r="D475" s="12" t="s">
        <v>26</v>
      </c>
      <c r="E475" s="12" t="s">
        <v>14</v>
      </c>
      <c r="F475" s="12">
        <v>19</v>
      </c>
      <c r="G475" s="12">
        <v>46</v>
      </c>
      <c r="H475" s="12">
        <v>0.34</v>
      </c>
      <c r="I475" s="12" t="s">
        <v>19</v>
      </c>
      <c r="J475" s="12">
        <v>13</v>
      </c>
      <c r="K475" s="12">
        <v>0</v>
      </c>
      <c r="L475" s="12">
        <v>0</v>
      </c>
      <c r="M475" s="12">
        <v>0</v>
      </c>
      <c r="N475" s="12">
        <v>0</v>
      </c>
      <c r="O475" s="12" t="str">
        <f t="shared" si="7"/>
        <v>10 - 19</v>
      </c>
    </row>
    <row r="476" spans="1:15" x14ac:dyDescent="0.35">
      <c r="A476" s="11">
        <v>1887</v>
      </c>
      <c r="B476" s="11" t="s">
        <v>20</v>
      </c>
      <c r="C476" s="11">
        <v>18</v>
      </c>
      <c r="D476" s="11" t="s">
        <v>25</v>
      </c>
      <c r="E476" s="11" t="s">
        <v>14</v>
      </c>
      <c r="F476" s="11">
        <v>165</v>
      </c>
      <c r="G476" s="11">
        <v>21</v>
      </c>
      <c r="H476" s="11">
        <v>0.05</v>
      </c>
      <c r="I476" s="11" t="s">
        <v>19</v>
      </c>
      <c r="J476" s="11">
        <v>43</v>
      </c>
      <c r="K476" s="11">
        <v>0</v>
      </c>
      <c r="L476" s="11">
        <v>0</v>
      </c>
      <c r="M476" s="11">
        <v>0</v>
      </c>
      <c r="N476" s="11">
        <v>0</v>
      </c>
      <c r="O476" s="12" t="str">
        <f t="shared" si="7"/>
        <v>40 - 49</v>
      </c>
    </row>
    <row r="477" spans="1:15" x14ac:dyDescent="0.35">
      <c r="A477" s="12">
        <v>1889</v>
      </c>
      <c r="B477" s="12" t="s">
        <v>16</v>
      </c>
      <c r="C477" s="12">
        <v>55</v>
      </c>
      <c r="D477" s="12" t="s">
        <v>17</v>
      </c>
      <c r="E477" s="12" t="s">
        <v>14</v>
      </c>
      <c r="F477" s="12">
        <v>252</v>
      </c>
      <c r="G477" s="12">
        <v>52</v>
      </c>
      <c r="H477" s="12">
        <v>0.25</v>
      </c>
      <c r="I477" s="12" t="s">
        <v>15</v>
      </c>
      <c r="J477" s="12">
        <v>49</v>
      </c>
      <c r="K477" s="12">
        <v>0</v>
      </c>
      <c r="L477" s="12">
        <v>1</v>
      </c>
      <c r="M477" s="12">
        <v>0</v>
      </c>
      <c r="N477" s="12">
        <v>0</v>
      </c>
      <c r="O477" s="12" t="str">
        <f t="shared" si="7"/>
        <v>40 - 49</v>
      </c>
    </row>
    <row r="478" spans="1:15" x14ac:dyDescent="0.35">
      <c r="A478" s="11">
        <v>1891</v>
      </c>
      <c r="B478" s="11" t="s">
        <v>20</v>
      </c>
      <c r="C478" s="11">
        <v>22</v>
      </c>
      <c r="D478" s="11" t="s">
        <v>25</v>
      </c>
      <c r="E478" s="11" t="s">
        <v>14</v>
      </c>
      <c r="F478" s="11">
        <v>200</v>
      </c>
      <c r="G478" s="11">
        <v>64</v>
      </c>
      <c r="H478" s="11">
        <v>0.32</v>
      </c>
      <c r="I478" s="11" t="s">
        <v>19</v>
      </c>
      <c r="J478" s="11">
        <v>42</v>
      </c>
      <c r="K478" s="11">
        <v>0</v>
      </c>
      <c r="L478" s="11">
        <v>0</v>
      </c>
      <c r="M478" s="11">
        <v>0</v>
      </c>
      <c r="N478" s="11">
        <v>0</v>
      </c>
      <c r="O478" s="12" t="str">
        <f t="shared" si="7"/>
        <v>40 - 49</v>
      </c>
    </row>
    <row r="479" spans="1:15" x14ac:dyDescent="0.35">
      <c r="A479" s="12">
        <v>1896</v>
      </c>
      <c r="B479" s="12" t="s">
        <v>16</v>
      </c>
      <c r="C479" s="12">
        <v>42</v>
      </c>
      <c r="D479" s="12" t="s">
        <v>29</v>
      </c>
      <c r="E479" s="12" t="s">
        <v>14</v>
      </c>
      <c r="F479" s="12">
        <v>136</v>
      </c>
      <c r="G479" s="12">
        <v>25</v>
      </c>
      <c r="H479" s="12">
        <v>0.05</v>
      </c>
      <c r="I479" s="12" t="s">
        <v>23</v>
      </c>
      <c r="J479" s="12">
        <v>9</v>
      </c>
      <c r="K479" s="12">
        <v>0</v>
      </c>
      <c r="L479" s="12">
        <v>0</v>
      </c>
      <c r="M479" s="12">
        <v>0</v>
      </c>
      <c r="N479" s="12">
        <v>0</v>
      </c>
      <c r="O479" s="12" t="str">
        <f t="shared" si="7"/>
        <v>0 - 9</v>
      </c>
    </row>
    <row r="480" spans="1:15" x14ac:dyDescent="0.35">
      <c r="A480" s="11">
        <v>1897</v>
      </c>
      <c r="B480" s="11" t="s">
        <v>16</v>
      </c>
      <c r="C480" s="11">
        <v>58</v>
      </c>
      <c r="D480" s="11" t="s">
        <v>21</v>
      </c>
      <c r="E480" s="11" t="s">
        <v>14</v>
      </c>
      <c r="F480" s="11">
        <v>164</v>
      </c>
      <c r="G480" s="11">
        <v>54</v>
      </c>
      <c r="H480" s="11">
        <v>0.57999999999999996</v>
      </c>
      <c r="I480" s="11" t="s">
        <v>19</v>
      </c>
      <c r="J480" s="11">
        <v>24</v>
      </c>
      <c r="K480" s="11">
        <v>0</v>
      </c>
      <c r="L480" s="11">
        <v>0</v>
      </c>
      <c r="M480" s="11">
        <v>0</v>
      </c>
      <c r="N480" s="11">
        <v>0</v>
      </c>
      <c r="O480" s="12" t="str">
        <f t="shared" si="7"/>
        <v>20 - 29</v>
      </c>
    </row>
    <row r="481" spans="1:15" x14ac:dyDescent="0.35">
      <c r="A481" s="12">
        <v>1900</v>
      </c>
      <c r="B481" s="12" t="s">
        <v>20</v>
      </c>
      <c r="C481" s="12">
        <v>38</v>
      </c>
      <c r="D481" s="12" t="s">
        <v>17</v>
      </c>
      <c r="E481" s="12" t="s">
        <v>14</v>
      </c>
      <c r="F481" s="12">
        <v>105</v>
      </c>
      <c r="G481" s="12">
        <v>25</v>
      </c>
      <c r="H481" s="12">
        <v>0.21</v>
      </c>
      <c r="I481" s="12" t="s">
        <v>23</v>
      </c>
      <c r="J481" s="12">
        <v>27</v>
      </c>
      <c r="K481" s="12">
        <v>0</v>
      </c>
      <c r="L481" s="12">
        <v>1</v>
      </c>
      <c r="M481" s="12">
        <v>0</v>
      </c>
      <c r="N481" s="12">
        <v>0</v>
      </c>
      <c r="O481" s="12" t="str">
        <f t="shared" si="7"/>
        <v>20 - 29</v>
      </c>
    </row>
    <row r="482" spans="1:15" x14ac:dyDescent="0.35">
      <c r="A482" s="11">
        <v>1906</v>
      </c>
      <c r="B482" s="11" t="s">
        <v>16</v>
      </c>
      <c r="C482" s="11">
        <v>19</v>
      </c>
      <c r="D482" s="11" t="s">
        <v>27</v>
      </c>
      <c r="E482" s="11" t="s">
        <v>14</v>
      </c>
      <c r="F482" s="11">
        <v>118</v>
      </c>
      <c r="G482" s="11">
        <v>25</v>
      </c>
      <c r="H482" s="11">
        <v>0.57999999999999996</v>
      </c>
      <c r="I482" s="11" t="s">
        <v>15</v>
      </c>
      <c r="J482" s="11">
        <v>48</v>
      </c>
      <c r="K482" s="11">
        <v>0</v>
      </c>
      <c r="L482" s="11">
        <v>0</v>
      </c>
      <c r="M482" s="11">
        <v>0</v>
      </c>
      <c r="N482" s="11">
        <v>0</v>
      </c>
      <c r="O482" s="12" t="str">
        <f t="shared" si="7"/>
        <v>40 - 49</v>
      </c>
    </row>
    <row r="483" spans="1:15" x14ac:dyDescent="0.35">
      <c r="A483" s="12">
        <v>1911</v>
      </c>
      <c r="B483" s="12" t="s">
        <v>12</v>
      </c>
      <c r="C483" s="12">
        <v>22</v>
      </c>
      <c r="D483" s="12" t="s">
        <v>27</v>
      </c>
      <c r="E483" s="12" t="s">
        <v>14</v>
      </c>
      <c r="F483" s="12">
        <v>251</v>
      </c>
      <c r="G483" s="12">
        <v>18</v>
      </c>
      <c r="H483" s="12">
        <v>0.36</v>
      </c>
      <c r="I483" s="12" t="s">
        <v>15</v>
      </c>
      <c r="J483" s="12">
        <v>15</v>
      </c>
      <c r="K483" s="12">
        <v>0</v>
      </c>
      <c r="L483" s="12">
        <v>0</v>
      </c>
      <c r="M483" s="12">
        <v>0</v>
      </c>
      <c r="N483" s="12">
        <v>0</v>
      </c>
      <c r="O483" s="12" t="str">
        <f t="shared" si="7"/>
        <v>10 - 19</v>
      </c>
    </row>
    <row r="484" spans="1:15" x14ac:dyDescent="0.35">
      <c r="A484" s="11">
        <v>1915</v>
      </c>
      <c r="B484" s="11" t="s">
        <v>12</v>
      </c>
      <c r="C484" s="11">
        <v>31</v>
      </c>
      <c r="D484" s="11" t="s">
        <v>27</v>
      </c>
      <c r="E484" s="11" t="s">
        <v>14</v>
      </c>
      <c r="F484" s="11">
        <v>13</v>
      </c>
      <c r="G484" s="11">
        <v>8</v>
      </c>
      <c r="H484" s="11">
        <v>0.33</v>
      </c>
      <c r="I484" s="11" t="s">
        <v>23</v>
      </c>
      <c r="J484" s="11">
        <v>26</v>
      </c>
      <c r="K484" s="11">
        <v>0</v>
      </c>
      <c r="L484" s="11">
        <v>0</v>
      </c>
      <c r="M484" s="11">
        <v>0</v>
      </c>
      <c r="N484" s="11">
        <v>0</v>
      </c>
      <c r="O484" s="12" t="str">
        <f t="shared" si="7"/>
        <v>20 - 29</v>
      </c>
    </row>
    <row r="485" spans="1:15" x14ac:dyDescent="0.35">
      <c r="A485" s="12">
        <v>1916</v>
      </c>
      <c r="B485" s="12" t="s">
        <v>16</v>
      </c>
      <c r="C485" s="12">
        <v>29</v>
      </c>
      <c r="D485" s="12" t="s">
        <v>29</v>
      </c>
      <c r="E485" s="12" t="s">
        <v>14</v>
      </c>
      <c r="F485" s="12">
        <v>227</v>
      </c>
      <c r="G485" s="12">
        <v>31</v>
      </c>
      <c r="H485" s="12">
        <v>0.57999999999999996</v>
      </c>
      <c r="I485" s="12" t="s">
        <v>23</v>
      </c>
      <c r="J485" s="12">
        <v>6</v>
      </c>
      <c r="K485" s="12">
        <v>0</v>
      </c>
      <c r="L485" s="12">
        <v>0</v>
      </c>
      <c r="M485" s="12">
        <v>0</v>
      </c>
      <c r="N485" s="12">
        <v>0</v>
      </c>
      <c r="O485" s="12" t="str">
        <f t="shared" si="7"/>
        <v>0 - 9</v>
      </c>
    </row>
    <row r="486" spans="1:15" x14ac:dyDescent="0.35">
      <c r="A486" s="11">
        <v>1917</v>
      </c>
      <c r="B486" s="11" t="s">
        <v>16</v>
      </c>
      <c r="C486" s="11">
        <v>59</v>
      </c>
      <c r="D486" s="11" t="s">
        <v>17</v>
      </c>
      <c r="E486" s="11" t="s">
        <v>14</v>
      </c>
      <c r="F486" s="11">
        <v>286</v>
      </c>
      <c r="G486" s="11">
        <v>55</v>
      </c>
      <c r="H486" s="11">
        <v>0</v>
      </c>
      <c r="I486" s="11" t="s">
        <v>23</v>
      </c>
      <c r="J486" s="11">
        <v>29</v>
      </c>
      <c r="K486" s="11">
        <v>0</v>
      </c>
      <c r="L486" s="11">
        <v>0</v>
      </c>
      <c r="M486" s="11">
        <v>0</v>
      </c>
      <c r="N486" s="11">
        <v>0</v>
      </c>
      <c r="O486" s="12" t="str">
        <f t="shared" si="7"/>
        <v>20 - 29</v>
      </c>
    </row>
    <row r="487" spans="1:15" x14ac:dyDescent="0.35">
      <c r="A487" s="12">
        <v>1922</v>
      </c>
      <c r="B487" s="12" t="s">
        <v>16</v>
      </c>
      <c r="C487" s="12">
        <v>27</v>
      </c>
      <c r="D487" s="12" t="s">
        <v>25</v>
      </c>
      <c r="E487" s="12" t="s">
        <v>14</v>
      </c>
      <c r="F487" s="12">
        <v>93</v>
      </c>
      <c r="G487" s="12">
        <v>68</v>
      </c>
      <c r="H487" s="12">
        <v>0.39</v>
      </c>
      <c r="I487" s="12" t="s">
        <v>15</v>
      </c>
      <c r="J487" s="12">
        <v>36</v>
      </c>
      <c r="K487" s="12">
        <v>0</v>
      </c>
      <c r="L487" s="12">
        <v>0</v>
      </c>
      <c r="M487" s="12">
        <v>0</v>
      </c>
      <c r="N487" s="12">
        <v>0</v>
      </c>
      <c r="O487" s="12" t="str">
        <f t="shared" si="7"/>
        <v>30 - 39</v>
      </c>
    </row>
    <row r="488" spans="1:15" x14ac:dyDescent="0.35">
      <c r="A488" s="11">
        <v>1924</v>
      </c>
      <c r="B488" s="11" t="s">
        <v>20</v>
      </c>
      <c r="C488" s="11">
        <v>50</v>
      </c>
      <c r="D488" s="11" t="s">
        <v>26</v>
      </c>
      <c r="E488" s="11" t="s">
        <v>14</v>
      </c>
      <c r="F488" s="11">
        <v>133</v>
      </c>
      <c r="G488" s="11">
        <v>12</v>
      </c>
      <c r="H488" s="11">
        <v>0.27</v>
      </c>
      <c r="I488" s="11" t="s">
        <v>19</v>
      </c>
      <c r="J488" s="11">
        <v>15</v>
      </c>
      <c r="K488" s="11">
        <v>0</v>
      </c>
      <c r="L488" s="11">
        <v>0</v>
      </c>
      <c r="M488" s="11">
        <v>0</v>
      </c>
      <c r="N488" s="11">
        <v>0</v>
      </c>
      <c r="O488" s="12" t="str">
        <f t="shared" si="7"/>
        <v>10 - 19</v>
      </c>
    </row>
    <row r="489" spans="1:15" x14ac:dyDescent="0.35">
      <c r="A489" s="12">
        <v>1927</v>
      </c>
      <c r="B489" s="12" t="s">
        <v>16</v>
      </c>
      <c r="C489" s="12">
        <v>29</v>
      </c>
      <c r="D489" s="12" t="s">
        <v>17</v>
      </c>
      <c r="E489" s="12" t="s">
        <v>14</v>
      </c>
      <c r="F489" s="12">
        <v>175</v>
      </c>
      <c r="G489" s="12">
        <v>13</v>
      </c>
      <c r="H489" s="12">
        <v>0.42</v>
      </c>
      <c r="I489" s="12" t="s">
        <v>23</v>
      </c>
      <c r="J489" s="12">
        <v>9</v>
      </c>
      <c r="K489" s="12">
        <v>0</v>
      </c>
      <c r="L489" s="12">
        <v>1</v>
      </c>
      <c r="M489" s="12">
        <v>0</v>
      </c>
      <c r="N489" s="12">
        <v>0</v>
      </c>
      <c r="O489" s="12" t="str">
        <f t="shared" si="7"/>
        <v>0 - 9</v>
      </c>
    </row>
    <row r="490" spans="1:15" x14ac:dyDescent="0.35">
      <c r="A490" s="11">
        <v>1932</v>
      </c>
      <c r="B490" s="11" t="s">
        <v>16</v>
      </c>
      <c r="C490" s="11">
        <v>34</v>
      </c>
      <c r="D490" s="11" t="s">
        <v>29</v>
      </c>
      <c r="E490" s="11" t="s">
        <v>14</v>
      </c>
      <c r="F490" s="11">
        <v>248</v>
      </c>
      <c r="G490" s="11">
        <v>15</v>
      </c>
      <c r="H490" s="11">
        <v>0.01</v>
      </c>
      <c r="I490" s="11" t="s">
        <v>15</v>
      </c>
      <c r="J490" s="11">
        <v>19</v>
      </c>
      <c r="K490" s="11">
        <v>0</v>
      </c>
      <c r="L490" s="11">
        <v>0</v>
      </c>
      <c r="M490" s="11">
        <v>0</v>
      </c>
      <c r="N490" s="11">
        <v>0</v>
      </c>
      <c r="O490" s="12" t="str">
        <f t="shared" si="7"/>
        <v>10 - 19</v>
      </c>
    </row>
    <row r="491" spans="1:15" x14ac:dyDescent="0.35">
      <c r="A491" s="12">
        <v>1933</v>
      </c>
      <c r="B491" s="12" t="s">
        <v>12</v>
      </c>
      <c r="C491" s="12">
        <v>18</v>
      </c>
      <c r="D491" s="12" t="s">
        <v>25</v>
      </c>
      <c r="E491" s="12" t="s">
        <v>14</v>
      </c>
      <c r="F491" s="12">
        <v>151</v>
      </c>
      <c r="G491" s="12">
        <v>33</v>
      </c>
      <c r="H491" s="12">
        <v>0.45</v>
      </c>
      <c r="I491" s="12" t="s">
        <v>19</v>
      </c>
      <c r="J491" s="12">
        <v>14</v>
      </c>
      <c r="K491" s="12">
        <v>0</v>
      </c>
      <c r="L491" s="12">
        <v>1</v>
      </c>
      <c r="M491" s="12">
        <v>0</v>
      </c>
      <c r="N491" s="12">
        <v>0</v>
      </c>
      <c r="O491" s="12" t="str">
        <f t="shared" si="7"/>
        <v>10 - 19</v>
      </c>
    </row>
    <row r="492" spans="1:15" x14ac:dyDescent="0.35">
      <c r="A492" s="11">
        <v>1934</v>
      </c>
      <c r="B492" s="11" t="s">
        <v>20</v>
      </c>
      <c r="C492" s="11">
        <v>26</v>
      </c>
      <c r="D492" s="11" t="s">
        <v>29</v>
      </c>
      <c r="E492" s="11" t="s">
        <v>14</v>
      </c>
      <c r="F492" s="11">
        <v>151</v>
      </c>
      <c r="G492" s="11">
        <v>33</v>
      </c>
      <c r="H492" s="11">
        <v>0.09</v>
      </c>
      <c r="I492" s="11" t="s">
        <v>19</v>
      </c>
      <c r="J492" s="11">
        <v>41</v>
      </c>
      <c r="K492" s="11">
        <v>0</v>
      </c>
      <c r="L492" s="11">
        <v>0</v>
      </c>
      <c r="M492" s="11">
        <v>0</v>
      </c>
      <c r="N492" s="11">
        <v>0</v>
      </c>
      <c r="O492" s="12" t="str">
        <f t="shared" si="7"/>
        <v>40 - 49</v>
      </c>
    </row>
    <row r="493" spans="1:15" x14ac:dyDescent="0.35">
      <c r="A493" s="12">
        <v>1938</v>
      </c>
      <c r="B493" s="12" t="s">
        <v>12</v>
      </c>
      <c r="C493" s="12">
        <v>54</v>
      </c>
      <c r="D493" s="12" t="s">
        <v>28</v>
      </c>
      <c r="E493" s="12" t="s">
        <v>14</v>
      </c>
      <c r="F493" s="12">
        <v>101</v>
      </c>
      <c r="G493" s="12">
        <v>91</v>
      </c>
      <c r="H493" s="12">
        <v>0.17</v>
      </c>
      <c r="I493" s="12" t="s">
        <v>23</v>
      </c>
      <c r="J493" s="12">
        <v>11</v>
      </c>
      <c r="K493" s="12">
        <v>0</v>
      </c>
      <c r="L493" s="12">
        <v>0</v>
      </c>
      <c r="M493" s="12">
        <v>0</v>
      </c>
      <c r="N493" s="12">
        <v>0</v>
      </c>
      <c r="O493" s="12" t="str">
        <f t="shared" si="7"/>
        <v>10 - 19</v>
      </c>
    </row>
    <row r="494" spans="1:15" x14ac:dyDescent="0.35">
      <c r="A494" s="11">
        <v>1940</v>
      </c>
      <c r="B494" s="11" t="s">
        <v>20</v>
      </c>
      <c r="C494" s="11">
        <v>59</v>
      </c>
      <c r="D494" s="11" t="s">
        <v>13</v>
      </c>
      <c r="E494" s="11" t="s">
        <v>14</v>
      </c>
      <c r="F494" s="11">
        <v>97</v>
      </c>
      <c r="G494" s="11">
        <v>2</v>
      </c>
      <c r="H494" s="11">
        <v>0.56000000000000005</v>
      </c>
      <c r="I494" s="11" t="s">
        <v>15</v>
      </c>
      <c r="J494" s="11">
        <v>9</v>
      </c>
      <c r="K494" s="11">
        <v>0</v>
      </c>
      <c r="L494" s="11">
        <v>0</v>
      </c>
      <c r="M494" s="11">
        <v>0</v>
      </c>
      <c r="N494" s="11">
        <v>0</v>
      </c>
      <c r="O494" s="12" t="str">
        <f t="shared" si="7"/>
        <v>0 - 9</v>
      </c>
    </row>
    <row r="495" spans="1:15" x14ac:dyDescent="0.35">
      <c r="A495" s="12">
        <v>1941</v>
      </c>
      <c r="B495" s="12" t="s">
        <v>12</v>
      </c>
      <c r="C495" s="12">
        <v>26</v>
      </c>
      <c r="D495" s="12" t="s">
        <v>25</v>
      </c>
      <c r="E495" s="12" t="s">
        <v>14</v>
      </c>
      <c r="F495" s="12">
        <v>252</v>
      </c>
      <c r="G495" s="12">
        <v>81</v>
      </c>
      <c r="H495" s="12">
        <v>0.39</v>
      </c>
      <c r="I495" s="12" t="s">
        <v>19</v>
      </c>
      <c r="J495" s="12">
        <v>6</v>
      </c>
      <c r="K495" s="12">
        <v>0</v>
      </c>
      <c r="L495" s="12">
        <v>1</v>
      </c>
      <c r="M495" s="12">
        <v>0</v>
      </c>
      <c r="N495" s="12">
        <v>0</v>
      </c>
      <c r="O495" s="12" t="str">
        <f t="shared" si="7"/>
        <v>0 - 9</v>
      </c>
    </row>
    <row r="496" spans="1:15" x14ac:dyDescent="0.35">
      <c r="A496" s="11">
        <v>1951</v>
      </c>
      <c r="B496" s="11" t="s">
        <v>12</v>
      </c>
      <c r="C496" s="11">
        <v>29</v>
      </c>
      <c r="D496" s="11" t="s">
        <v>13</v>
      </c>
      <c r="E496" s="11" t="s">
        <v>14</v>
      </c>
      <c r="F496" s="11">
        <v>223</v>
      </c>
      <c r="G496" s="11">
        <v>89</v>
      </c>
      <c r="H496" s="11">
        <v>0.24</v>
      </c>
      <c r="I496" s="11" t="s">
        <v>15</v>
      </c>
      <c r="J496" s="11">
        <v>16</v>
      </c>
      <c r="K496" s="11">
        <v>0</v>
      </c>
      <c r="L496" s="11">
        <v>0</v>
      </c>
      <c r="M496" s="11">
        <v>0</v>
      </c>
      <c r="N496" s="11">
        <v>0</v>
      </c>
      <c r="O496" s="12" t="str">
        <f t="shared" si="7"/>
        <v>10 - 19</v>
      </c>
    </row>
    <row r="497" spans="1:15" x14ac:dyDescent="0.35">
      <c r="A497" s="12">
        <v>1952</v>
      </c>
      <c r="B497" s="12" t="s">
        <v>12</v>
      </c>
      <c r="C497" s="12">
        <v>21</v>
      </c>
      <c r="D497" s="12" t="s">
        <v>27</v>
      </c>
      <c r="E497" s="12" t="s">
        <v>14</v>
      </c>
      <c r="F497" s="12">
        <v>286</v>
      </c>
      <c r="G497" s="12">
        <v>35</v>
      </c>
      <c r="H497" s="12">
        <v>0.55000000000000004</v>
      </c>
      <c r="I497" s="12" t="s">
        <v>15</v>
      </c>
      <c r="J497" s="12">
        <v>13</v>
      </c>
      <c r="K497" s="12">
        <v>0</v>
      </c>
      <c r="L497" s="12">
        <v>0</v>
      </c>
      <c r="M497" s="12">
        <v>0</v>
      </c>
      <c r="N497" s="12">
        <v>0</v>
      </c>
      <c r="O497" s="12" t="str">
        <f t="shared" si="7"/>
        <v>10 - 19</v>
      </c>
    </row>
    <row r="498" spans="1:15" x14ac:dyDescent="0.35">
      <c r="A498" s="11">
        <v>1955</v>
      </c>
      <c r="B498" s="11" t="s">
        <v>20</v>
      </c>
      <c r="C498" s="11">
        <v>47</v>
      </c>
      <c r="D498" s="11" t="s">
        <v>26</v>
      </c>
      <c r="E498" s="11" t="s">
        <v>14</v>
      </c>
      <c r="F498" s="11">
        <v>243</v>
      </c>
      <c r="G498" s="11">
        <v>87</v>
      </c>
      <c r="H498" s="11">
        <v>0.27</v>
      </c>
      <c r="I498" s="11" t="s">
        <v>15</v>
      </c>
      <c r="J498" s="11">
        <v>37</v>
      </c>
      <c r="K498" s="11">
        <v>0</v>
      </c>
      <c r="L498" s="11">
        <v>0</v>
      </c>
      <c r="M498" s="11">
        <v>0</v>
      </c>
      <c r="N498" s="11">
        <v>0</v>
      </c>
      <c r="O498" s="12" t="str">
        <f t="shared" si="7"/>
        <v>30 - 39</v>
      </c>
    </row>
    <row r="499" spans="1:15" x14ac:dyDescent="0.35">
      <c r="A499" s="12">
        <v>1959</v>
      </c>
      <c r="B499" s="12" t="s">
        <v>12</v>
      </c>
      <c r="C499" s="12">
        <v>43</v>
      </c>
      <c r="D499" s="12" t="s">
        <v>25</v>
      </c>
      <c r="E499" s="12" t="s">
        <v>14</v>
      </c>
      <c r="F499" s="12">
        <v>294</v>
      </c>
      <c r="G499" s="12">
        <v>20</v>
      </c>
      <c r="H499" s="12">
        <v>0.46</v>
      </c>
      <c r="I499" s="12" t="s">
        <v>15</v>
      </c>
      <c r="J499" s="12">
        <v>46</v>
      </c>
      <c r="K499" s="12">
        <v>0</v>
      </c>
      <c r="L499" s="12">
        <v>0</v>
      </c>
      <c r="M499" s="12">
        <v>0</v>
      </c>
      <c r="N499" s="12">
        <v>0</v>
      </c>
      <c r="O499" s="12" t="str">
        <f t="shared" si="7"/>
        <v>40 - 49</v>
      </c>
    </row>
    <row r="500" spans="1:15" x14ac:dyDescent="0.35">
      <c r="A500" s="11">
        <v>1961</v>
      </c>
      <c r="B500" s="11" t="s">
        <v>12</v>
      </c>
      <c r="C500" s="11">
        <v>30</v>
      </c>
      <c r="D500" s="11" t="s">
        <v>26</v>
      </c>
      <c r="E500" s="11" t="s">
        <v>14</v>
      </c>
      <c r="F500" s="11">
        <v>217</v>
      </c>
      <c r="G500" s="11">
        <v>12</v>
      </c>
      <c r="H500" s="11">
        <v>7.0000000000000007E-2</v>
      </c>
      <c r="I500" s="11" t="s">
        <v>23</v>
      </c>
      <c r="J500" s="11">
        <v>36</v>
      </c>
      <c r="K500" s="11">
        <v>0</v>
      </c>
      <c r="L500" s="11">
        <v>0</v>
      </c>
      <c r="M500" s="11">
        <v>0</v>
      </c>
      <c r="N500" s="11">
        <v>0</v>
      </c>
      <c r="O500" s="12" t="str">
        <f t="shared" si="7"/>
        <v>30 - 39</v>
      </c>
    </row>
    <row r="501" spans="1:15" x14ac:dyDescent="0.35">
      <c r="A501" s="12">
        <v>1962</v>
      </c>
      <c r="B501" s="12" t="s">
        <v>20</v>
      </c>
      <c r="C501" s="12">
        <v>45</v>
      </c>
      <c r="D501" s="12" t="s">
        <v>13</v>
      </c>
      <c r="E501" s="12" t="s">
        <v>14</v>
      </c>
      <c r="F501" s="12">
        <v>241</v>
      </c>
      <c r="G501" s="12">
        <v>12</v>
      </c>
      <c r="H501" s="12">
        <v>0.14000000000000001</v>
      </c>
      <c r="I501" s="12" t="s">
        <v>19</v>
      </c>
      <c r="J501" s="12">
        <v>5</v>
      </c>
      <c r="K501" s="12">
        <v>0</v>
      </c>
      <c r="L501" s="12">
        <v>0</v>
      </c>
      <c r="M501" s="12">
        <v>0</v>
      </c>
      <c r="N501" s="12">
        <v>0</v>
      </c>
      <c r="O501" s="12" t="str">
        <f t="shared" si="7"/>
        <v>0 - 9</v>
      </c>
    </row>
    <row r="502" spans="1:15" x14ac:dyDescent="0.35">
      <c r="A502" s="11">
        <v>1966</v>
      </c>
      <c r="B502" s="11" t="s">
        <v>16</v>
      </c>
      <c r="C502" s="11">
        <v>37</v>
      </c>
      <c r="D502" s="11" t="s">
        <v>13</v>
      </c>
      <c r="E502" s="11" t="s">
        <v>14</v>
      </c>
      <c r="F502" s="11">
        <v>189</v>
      </c>
      <c r="G502" s="11">
        <v>77</v>
      </c>
      <c r="H502" s="11">
        <v>0.05</v>
      </c>
      <c r="I502" s="11" t="s">
        <v>15</v>
      </c>
      <c r="J502" s="11">
        <v>39</v>
      </c>
      <c r="K502" s="11">
        <v>0</v>
      </c>
      <c r="L502" s="11">
        <v>0</v>
      </c>
      <c r="M502" s="11">
        <v>0</v>
      </c>
      <c r="N502" s="11">
        <v>0</v>
      </c>
      <c r="O502" s="12" t="str">
        <f t="shared" si="7"/>
        <v>30 - 39</v>
      </c>
    </row>
    <row r="503" spans="1:15" x14ac:dyDescent="0.35">
      <c r="A503" s="12">
        <v>1967</v>
      </c>
      <c r="B503" s="12" t="s">
        <v>12</v>
      </c>
      <c r="C503" s="12">
        <v>50</v>
      </c>
      <c r="D503" s="12" t="s">
        <v>21</v>
      </c>
      <c r="E503" s="12" t="s">
        <v>14</v>
      </c>
      <c r="F503" s="12">
        <v>236</v>
      </c>
      <c r="G503" s="12">
        <v>43</v>
      </c>
      <c r="H503" s="12">
        <v>0.3</v>
      </c>
      <c r="I503" s="12" t="s">
        <v>19</v>
      </c>
      <c r="J503" s="12">
        <v>31</v>
      </c>
      <c r="K503" s="12">
        <v>0</v>
      </c>
      <c r="L503" s="12">
        <v>0</v>
      </c>
      <c r="M503" s="12">
        <v>0</v>
      </c>
      <c r="N503" s="12">
        <v>0</v>
      </c>
      <c r="O503" s="12" t="str">
        <f t="shared" si="7"/>
        <v>30 - 39</v>
      </c>
    </row>
    <row r="504" spans="1:15" x14ac:dyDescent="0.35">
      <c r="A504" s="11">
        <v>1968</v>
      </c>
      <c r="B504" s="11" t="s">
        <v>20</v>
      </c>
      <c r="C504" s="11">
        <v>26</v>
      </c>
      <c r="D504" s="11" t="s">
        <v>28</v>
      </c>
      <c r="E504" s="11" t="s">
        <v>14</v>
      </c>
      <c r="F504" s="11">
        <v>181</v>
      </c>
      <c r="G504" s="11">
        <v>52</v>
      </c>
      <c r="H504" s="11">
        <v>0.48</v>
      </c>
      <c r="I504" s="11" t="s">
        <v>23</v>
      </c>
      <c r="J504" s="11">
        <v>36</v>
      </c>
      <c r="K504" s="11">
        <v>0</v>
      </c>
      <c r="L504" s="11">
        <v>0</v>
      </c>
      <c r="M504" s="11">
        <v>0</v>
      </c>
      <c r="N504" s="11">
        <v>0</v>
      </c>
      <c r="O504" s="12" t="str">
        <f t="shared" si="7"/>
        <v>30 - 39</v>
      </c>
    </row>
    <row r="505" spans="1:15" x14ac:dyDescent="0.35">
      <c r="A505" s="12">
        <v>1973</v>
      </c>
      <c r="B505" s="12" t="s">
        <v>16</v>
      </c>
      <c r="C505" s="12">
        <v>56</v>
      </c>
      <c r="D505" s="12" t="s">
        <v>28</v>
      </c>
      <c r="E505" s="12" t="s">
        <v>14</v>
      </c>
      <c r="F505" s="12">
        <v>258</v>
      </c>
      <c r="G505" s="12">
        <v>53</v>
      </c>
      <c r="H505" s="12">
        <v>0.48</v>
      </c>
      <c r="I505" s="12" t="s">
        <v>15</v>
      </c>
      <c r="J505" s="12">
        <v>24</v>
      </c>
      <c r="K505" s="12">
        <v>0</v>
      </c>
      <c r="L505" s="12">
        <v>1</v>
      </c>
      <c r="M505" s="12">
        <v>0</v>
      </c>
      <c r="N505" s="12">
        <v>0</v>
      </c>
      <c r="O505" s="12" t="str">
        <f t="shared" si="7"/>
        <v>20 - 29</v>
      </c>
    </row>
    <row r="506" spans="1:15" x14ac:dyDescent="0.35">
      <c r="A506" s="11">
        <v>1977</v>
      </c>
      <c r="B506" s="11" t="s">
        <v>12</v>
      </c>
      <c r="C506" s="11">
        <v>39</v>
      </c>
      <c r="D506" s="11" t="s">
        <v>13</v>
      </c>
      <c r="E506" s="11" t="s">
        <v>14</v>
      </c>
      <c r="F506" s="11">
        <v>51</v>
      </c>
      <c r="G506" s="11">
        <v>11</v>
      </c>
      <c r="H506" s="11">
        <v>0.56000000000000005</v>
      </c>
      <c r="I506" s="11" t="s">
        <v>23</v>
      </c>
      <c r="J506" s="11">
        <v>23</v>
      </c>
      <c r="K506" s="11">
        <v>0</v>
      </c>
      <c r="L506" s="11">
        <v>1</v>
      </c>
      <c r="M506" s="11">
        <v>0</v>
      </c>
      <c r="N506" s="11">
        <v>0</v>
      </c>
      <c r="O506" s="12" t="str">
        <f t="shared" si="7"/>
        <v>20 - 29</v>
      </c>
    </row>
    <row r="507" spans="1:15" x14ac:dyDescent="0.35">
      <c r="A507" s="12">
        <v>1992</v>
      </c>
      <c r="B507" s="12" t="s">
        <v>20</v>
      </c>
      <c r="C507" s="12">
        <v>20</v>
      </c>
      <c r="D507" s="12" t="s">
        <v>13</v>
      </c>
      <c r="E507" s="12" t="s">
        <v>14</v>
      </c>
      <c r="F507" s="12">
        <v>107</v>
      </c>
      <c r="G507" s="12">
        <v>12</v>
      </c>
      <c r="H507" s="12">
        <v>0.44</v>
      </c>
      <c r="I507" s="12" t="s">
        <v>19</v>
      </c>
      <c r="J507" s="12">
        <v>30</v>
      </c>
      <c r="K507" s="12">
        <v>0</v>
      </c>
      <c r="L507" s="12">
        <v>0</v>
      </c>
      <c r="M507" s="12">
        <v>0</v>
      </c>
      <c r="N507" s="12">
        <v>0</v>
      </c>
      <c r="O507" s="12" t="str">
        <f t="shared" si="7"/>
        <v>30 - 39</v>
      </c>
    </row>
    <row r="508" spans="1:15" x14ac:dyDescent="0.35">
      <c r="A508" s="11">
        <v>2000</v>
      </c>
      <c r="B508" s="11" t="s">
        <v>12</v>
      </c>
      <c r="C508" s="11">
        <v>28</v>
      </c>
      <c r="D508" s="11" t="s">
        <v>13</v>
      </c>
      <c r="E508" s="11" t="s">
        <v>14</v>
      </c>
      <c r="F508" s="11">
        <v>133</v>
      </c>
      <c r="G508" s="11">
        <v>23</v>
      </c>
      <c r="H508" s="11">
        <v>0.42</v>
      </c>
      <c r="I508" s="11" t="s">
        <v>15</v>
      </c>
      <c r="J508" s="11">
        <v>21</v>
      </c>
      <c r="K508" s="11">
        <v>0</v>
      </c>
      <c r="L508" s="11">
        <v>0</v>
      </c>
      <c r="M508" s="11">
        <v>0</v>
      </c>
      <c r="N508" s="11">
        <v>0</v>
      </c>
      <c r="O508" s="12" t="str">
        <f t="shared" si="7"/>
        <v>20 - 29</v>
      </c>
    </row>
    <row r="509" spans="1:15" x14ac:dyDescent="0.35">
      <c r="A509" s="12">
        <v>2010</v>
      </c>
      <c r="B509" s="12" t="s">
        <v>12</v>
      </c>
      <c r="C509" s="12">
        <v>20</v>
      </c>
      <c r="D509" s="12" t="s">
        <v>27</v>
      </c>
      <c r="E509" s="12" t="s">
        <v>14</v>
      </c>
      <c r="F509" s="12">
        <v>171</v>
      </c>
      <c r="G509" s="12">
        <v>1</v>
      </c>
      <c r="H509" s="12">
        <v>0.6</v>
      </c>
      <c r="I509" s="12" t="s">
        <v>23</v>
      </c>
      <c r="J509" s="12">
        <v>20</v>
      </c>
      <c r="K509" s="12">
        <v>0</v>
      </c>
      <c r="L509" s="12">
        <v>1</v>
      </c>
      <c r="M509" s="12">
        <v>0</v>
      </c>
      <c r="N509" s="12">
        <v>0</v>
      </c>
      <c r="O509" s="12" t="str">
        <f t="shared" si="7"/>
        <v>20 - 29</v>
      </c>
    </row>
    <row r="510" spans="1:15" x14ac:dyDescent="0.35">
      <c r="A510" s="11">
        <v>2011</v>
      </c>
      <c r="B510" s="11" t="s">
        <v>12</v>
      </c>
      <c r="C510" s="11">
        <v>58</v>
      </c>
      <c r="D510" s="11" t="s">
        <v>29</v>
      </c>
      <c r="E510" s="11" t="s">
        <v>14</v>
      </c>
      <c r="F510" s="11">
        <v>146</v>
      </c>
      <c r="G510" s="11">
        <v>92</v>
      </c>
      <c r="H510" s="11">
        <v>0.2</v>
      </c>
      <c r="I510" s="11" t="s">
        <v>23</v>
      </c>
      <c r="J510" s="11">
        <v>16</v>
      </c>
      <c r="K510" s="11">
        <v>0</v>
      </c>
      <c r="L510" s="11">
        <v>0</v>
      </c>
      <c r="M510" s="11">
        <v>0</v>
      </c>
      <c r="N510" s="11">
        <v>0</v>
      </c>
      <c r="O510" s="12" t="str">
        <f t="shared" si="7"/>
        <v>10 - 19</v>
      </c>
    </row>
    <row r="511" spans="1:15" x14ac:dyDescent="0.35">
      <c r="A511" s="12">
        <v>2015</v>
      </c>
      <c r="B511" s="12" t="s">
        <v>12</v>
      </c>
      <c r="C511" s="12">
        <v>26</v>
      </c>
      <c r="D511" s="12" t="s">
        <v>28</v>
      </c>
      <c r="E511" s="12" t="s">
        <v>14</v>
      </c>
      <c r="F511" s="12">
        <v>183</v>
      </c>
      <c r="G511" s="12">
        <v>98</v>
      </c>
      <c r="H511" s="12">
        <v>0.49</v>
      </c>
      <c r="I511" s="12" t="s">
        <v>19</v>
      </c>
      <c r="J511" s="12">
        <v>30</v>
      </c>
      <c r="K511" s="12">
        <v>0</v>
      </c>
      <c r="L511" s="12">
        <v>0</v>
      </c>
      <c r="M511" s="12">
        <v>0</v>
      </c>
      <c r="N511" s="12">
        <v>0</v>
      </c>
      <c r="O511" s="12" t="str">
        <f t="shared" si="7"/>
        <v>30 - 39</v>
      </c>
    </row>
    <row r="512" spans="1:15" x14ac:dyDescent="0.35">
      <c r="A512" s="11">
        <v>2024</v>
      </c>
      <c r="B512" s="11" t="s">
        <v>16</v>
      </c>
      <c r="C512" s="11">
        <v>23</v>
      </c>
      <c r="D512" s="11" t="s">
        <v>17</v>
      </c>
      <c r="E512" s="11" t="s">
        <v>14</v>
      </c>
      <c r="F512" s="11">
        <v>223</v>
      </c>
      <c r="G512" s="11">
        <v>18</v>
      </c>
      <c r="H512" s="11">
        <v>0.48</v>
      </c>
      <c r="I512" s="11" t="s">
        <v>15</v>
      </c>
      <c r="J512" s="11">
        <v>9</v>
      </c>
      <c r="K512" s="11">
        <v>0</v>
      </c>
      <c r="L512" s="11">
        <v>0</v>
      </c>
      <c r="M512" s="11">
        <v>0</v>
      </c>
      <c r="N512" s="11">
        <v>0</v>
      </c>
      <c r="O512" s="12" t="str">
        <f t="shared" si="7"/>
        <v>0 - 9</v>
      </c>
    </row>
    <row r="513" spans="1:15" x14ac:dyDescent="0.35">
      <c r="A513" s="12">
        <v>2028</v>
      </c>
      <c r="B513" s="12" t="s">
        <v>12</v>
      </c>
      <c r="C513" s="12">
        <v>45</v>
      </c>
      <c r="D513" s="12" t="s">
        <v>27</v>
      </c>
      <c r="E513" s="12" t="s">
        <v>14</v>
      </c>
      <c r="F513" s="12">
        <v>43</v>
      </c>
      <c r="G513" s="12">
        <v>97</v>
      </c>
      <c r="H513" s="12">
        <v>0.53</v>
      </c>
      <c r="I513" s="12" t="s">
        <v>15</v>
      </c>
      <c r="J513" s="12">
        <v>28</v>
      </c>
      <c r="K513" s="12">
        <v>0</v>
      </c>
      <c r="L513" s="12">
        <v>0</v>
      </c>
      <c r="M513" s="12">
        <v>0</v>
      </c>
      <c r="N513" s="12">
        <v>0</v>
      </c>
      <c r="O513" s="12" t="str">
        <f t="shared" si="7"/>
        <v>20 - 29</v>
      </c>
    </row>
    <row r="514" spans="1:15" x14ac:dyDescent="0.35">
      <c r="A514" s="11">
        <v>2047</v>
      </c>
      <c r="B514" s="11" t="s">
        <v>12</v>
      </c>
      <c r="C514" s="11">
        <v>25</v>
      </c>
      <c r="D514" s="11" t="s">
        <v>29</v>
      </c>
      <c r="E514" s="11" t="s">
        <v>14</v>
      </c>
      <c r="F514" s="11">
        <v>49</v>
      </c>
      <c r="G514" s="11">
        <v>9</v>
      </c>
      <c r="H514" s="11">
        <v>0.45</v>
      </c>
      <c r="I514" s="11" t="s">
        <v>23</v>
      </c>
      <c r="J514" s="11">
        <v>6</v>
      </c>
      <c r="K514" s="11">
        <v>0</v>
      </c>
      <c r="L514" s="11">
        <v>0</v>
      </c>
      <c r="M514" s="11">
        <v>0</v>
      </c>
      <c r="N514" s="11">
        <v>0</v>
      </c>
      <c r="O514" s="12" t="str">
        <f t="shared" ref="O514:O577" si="8">_xlfn.FLOOR.MATH(J514, 10) &amp; " - " &amp; (_xlfn.FLOOR.MATH(J514, 10) + 9)</f>
        <v>0 - 9</v>
      </c>
    </row>
    <row r="515" spans="1:15" x14ac:dyDescent="0.35">
      <c r="A515" s="12">
        <v>2050</v>
      </c>
      <c r="B515" s="12" t="s">
        <v>16</v>
      </c>
      <c r="C515" s="12">
        <v>17</v>
      </c>
      <c r="D515" s="12" t="s">
        <v>21</v>
      </c>
      <c r="E515" s="12" t="s">
        <v>14</v>
      </c>
      <c r="F515" s="12">
        <v>99</v>
      </c>
      <c r="G515" s="12">
        <v>19</v>
      </c>
      <c r="H515" s="12">
        <v>0.28000000000000003</v>
      </c>
      <c r="I515" s="12" t="s">
        <v>15</v>
      </c>
      <c r="J515" s="12">
        <v>6</v>
      </c>
      <c r="K515" s="12">
        <v>0</v>
      </c>
      <c r="L515" s="12">
        <v>0</v>
      </c>
      <c r="M515" s="12">
        <v>0</v>
      </c>
      <c r="N515" s="12">
        <v>0</v>
      </c>
      <c r="O515" s="12" t="str">
        <f t="shared" si="8"/>
        <v>0 - 9</v>
      </c>
    </row>
    <row r="516" spans="1:15" x14ac:dyDescent="0.35">
      <c r="A516" s="11">
        <v>2052</v>
      </c>
      <c r="B516" s="11" t="s">
        <v>12</v>
      </c>
      <c r="C516" s="11">
        <v>55</v>
      </c>
      <c r="D516" s="11" t="s">
        <v>13</v>
      </c>
      <c r="E516" s="11" t="s">
        <v>14</v>
      </c>
      <c r="F516" s="11">
        <v>65</v>
      </c>
      <c r="G516" s="11">
        <v>13</v>
      </c>
      <c r="H516" s="11">
        <v>0.54</v>
      </c>
      <c r="I516" s="11" t="s">
        <v>19</v>
      </c>
      <c r="J516" s="11">
        <v>44</v>
      </c>
      <c r="K516" s="11">
        <v>0</v>
      </c>
      <c r="L516" s="11">
        <v>0</v>
      </c>
      <c r="M516" s="11">
        <v>0</v>
      </c>
      <c r="N516" s="11">
        <v>0</v>
      </c>
      <c r="O516" s="12" t="str">
        <f t="shared" si="8"/>
        <v>40 - 49</v>
      </c>
    </row>
    <row r="517" spans="1:15" x14ac:dyDescent="0.35">
      <c r="A517" s="12">
        <v>2054</v>
      </c>
      <c r="B517" s="12" t="s">
        <v>16</v>
      </c>
      <c r="C517" s="12">
        <v>49</v>
      </c>
      <c r="D517" s="12" t="s">
        <v>17</v>
      </c>
      <c r="E517" s="12" t="s">
        <v>14</v>
      </c>
      <c r="F517" s="12">
        <v>199</v>
      </c>
      <c r="G517" s="12">
        <v>10</v>
      </c>
      <c r="H517" s="12">
        <v>0.11</v>
      </c>
      <c r="I517" s="12" t="s">
        <v>15</v>
      </c>
      <c r="J517" s="12">
        <v>22</v>
      </c>
      <c r="K517" s="12">
        <v>0</v>
      </c>
      <c r="L517" s="12">
        <v>1</v>
      </c>
      <c r="M517" s="12">
        <v>0</v>
      </c>
      <c r="N517" s="12">
        <v>0</v>
      </c>
      <c r="O517" s="12" t="str">
        <f t="shared" si="8"/>
        <v>20 - 29</v>
      </c>
    </row>
    <row r="518" spans="1:15" x14ac:dyDescent="0.35">
      <c r="A518" s="11">
        <v>2055</v>
      </c>
      <c r="B518" s="11" t="s">
        <v>16</v>
      </c>
      <c r="C518" s="11">
        <v>28</v>
      </c>
      <c r="D518" s="11" t="s">
        <v>29</v>
      </c>
      <c r="E518" s="11" t="s">
        <v>14</v>
      </c>
      <c r="F518" s="11">
        <v>125</v>
      </c>
      <c r="G518" s="11">
        <v>56</v>
      </c>
      <c r="H518" s="11">
        <v>0.5</v>
      </c>
      <c r="I518" s="11" t="s">
        <v>15</v>
      </c>
      <c r="J518" s="11">
        <v>23</v>
      </c>
      <c r="K518" s="11">
        <v>0</v>
      </c>
      <c r="L518" s="11">
        <v>1</v>
      </c>
      <c r="M518" s="11">
        <v>0</v>
      </c>
      <c r="N518" s="11">
        <v>0</v>
      </c>
      <c r="O518" s="12" t="str">
        <f t="shared" si="8"/>
        <v>20 - 29</v>
      </c>
    </row>
    <row r="519" spans="1:15" x14ac:dyDescent="0.35">
      <c r="A519" s="12">
        <v>2058</v>
      </c>
      <c r="B519" s="12" t="s">
        <v>16</v>
      </c>
      <c r="C519" s="12">
        <v>57</v>
      </c>
      <c r="D519" s="12" t="s">
        <v>13</v>
      </c>
      <c r="E519" s="12" t="s">
        <v>14</v>
      </c>
      <c r="F519" s="12">
        <v>187</v>
      </c>
      <c r="G519" s="12">
        <v>90</v>
      </c>
      <c r="H519" s="12">
        <v>0.18</v>
      </c>
      <c r="I519" s="12" t="s">
        <v>23</v>
      </c>
      <c r="J519" s="12">
        <v>16</v>
      </c>
      <c r="K519" s="12">
        <v>0</v>
      </c>
      <c r="L519" s="12">
        <v>0</v>
      </c>
      <c r="M519" s="12">
        <v>0</v>
      </c>
      <c r="N519" s="12">
        <v>0</v>
      </c>
      <c r="O519" s="12" t="str">
        <f t="shared" si="8"/>
        <v>10 - 19</v>
      </c>
    </row>
    <row r="520" spans="1:15" x14ac:dyDescent="0.35">
      <c r="A520" s="11">
        <v>2059</v>
      </c>
      <c r="B520" s="11" t="s">
        <v>12</v>
      </c>
      <c r="C520" s="11">
        <v>43</v>
      </c>
      <c r="D520" s="11" t="s">
        <v>13</v>
      </c>
      <c r="E520" s="11" t="s">
        <v>14</v>
      </c>
      <c r="F520" s="11">
        <v>290</v>
      </c>
      <c r="G520" s="11">
        <v>70</v>
      </c>
      <c r="H520" s="11">
        <v>0.33</v>
      </c>
      <c r="I520" s="11" t="s">
        <v>15</v>
      </c>
      <c r="J520" s="11">
        <v>48</v>
      </c>
      <c r="K520" s="11">
        <v>0</v>
      </c>
      <c r="L520" s="11">
        <v>0</v>
      </c>
      <c r="M520" s="11">
        <v>0</v>
      </c>
      <c r="N520" s="11">
        <v>0</v>
      </c>
      <c r="O520" s="12" t="str">
        <f t="shared" si="8"/>
        <v>40 - 49</v>
      </c>
    </row>
    <row r="521" spans="1:15" x14ac:dyDescent="0.35">
      <c r="A521" s="12">
        <v>2062</v>
      </c>
      <c r="B521" s="12" t="s">
        <v>12</v>
      </c>
      <c r="C521" s="12">
        <v>35</v>
      </c>
      <c r="D521" s="12" t="s">
        <v>27</v>
      </c>
      <c r="E521" s="12" t="s">
        <v>14</v>
      </c>
      <c r="F521" s="12">
        <v>234</v>
      </c>
      <c r="G521" s="12">
        <v>29</v>
      </c>
      <c r="H521" s="12">
        <v>0.15</v>
      </c>
      <c r="I521" s="12" t="s">
        <v>23</v>
      </c>
      <c r="J521" s="12">
        <v>25</v>
      </c>
      <c r="K521" s="12">
        <v>0</v>
      </c>
      <c r="L521" s="12">
        <v>0</v>
      </c>
      <c r="M521" s="12">
        <v>0</v>
      </c>
      <c r="N521" s="12">
        <v>0</v>
      </c>
      <c r="O521" s="12" t="str">
        <f t="shared" si="8"/>
        <v>20 - 29</v>
      </c>
    </row>
    <row r="522" spans="1:15" x14ac:dyDescent="0.35">
      <c r="A522" s="11">
        <v>2063</v>
      </c>
      <c r="B522" s="11" t="s">
        <v>16</v>
      </c>
      <c r="C522" s="11">
        <v>53</v>
      </c>
      <c r="D522" s="11" t="s">
        <v>21</v>
      </c>
      <c r="E522" s="11" t="s">
        <v>14</v>
      </c>
      <c r="F522" s="11">
        <v>144</v>
      </c>
      <c r="G522" s="11">
        <v>76</v>
      </c>
      <c r="H522" s="11">
        <v>0.02</v>
      </c>
      <c r="I522" s="11" t="s">
        <v>15</v>
      </c>
      <c r="J522" s="11">
        <v>38</v>
      </c>
      <c r="K522" s="11">
        <v>0</v>
      </c>
      <c r="L522" s="11">
        <v>0</v>
      </c>
      <c r="M522" s="11">
        <v>0</v>
      </c>
      <c r="N522" s="11">
        <v>0</v>
      </c>
      <c r="O522" s="12" t="str">
        <f t="shared" si="8"/>
        <v>30 - 39</v>
      </c>
    </row>
    <row r="523" spans="1:15" x14ac:dyDescent="0.35">
      <c r="A523" s="12">
        <v>2069</v>
      </c>
      <c r="B523" s="12" t="s">
        <v>20</v>
      </c>
      <c r="C523" s="12">
        <v>29</v>
      </c>
      <c r="D523" s="12" t="s">
        <v>29</v>
      </c>
      <c r="E523" s="12" t="s">
        <v>14</v>
      </c>
      <c r="F523" s="12">
        <v>79</v>
      </c>
      <c r="G523" s="12">
        <v>40</v>
      </c>
      <c r="H523" s="12">
        <v>0.12</v>
      </c>
      <c r="I523" s="12" t="s">
        <v>15</v>
      </c>
      <c r="J523" s="12">
        <v>8</v>
      </c>
      <c r="K523" s="12">
        <v>0</v>
      </c>
      <c r="L523" s="12">
        <v>1</v>
      </c>
      <c r="M523" s="12">
        <v>0</v>
      </c>
      <c r="N523" s="12">
        <v>0</v>
      </c>
      <c r="O523" s="12" t="str">
        <f t="shared" si="8"/>
        <v>0 - 9</v>
      </c>
    </row>
    <row r="524" spans="1:15" x14ac:dyDescent="0.35">
      <c r="A524" s="11">
        <v>2070</v>
      </c>
      <c r="B524" s="11" t="s">
        <v>12</v>
      </c>
      <c r="C524" s="11">
        <v>36</v>
      </c>
      <c r="D524" s="11" t="s">
        <v>28</v>
      </c>
      <c r="E524" s="11" t="s">
        <v>14</v>
      </c>
      <c r="F524" s="11">
        <v>231</v>
      </c>
      <c r="G524" s="11">
        <v>63</v>
      </c>
      <c r="H524" s="11">
        <v>0.28000000000000003</v>
      </c>
      <c r="I524" s="11" t="s">
        <v>23</v>
      </c>
      <c r="J524" s="11">
        <v>14</v>
      </c>
      <c r="K524" s="11">
        <v>0</v>
      </c>
      <c r="L524" s="11">
        <v>1</v>
      </c>
      <c r="M524" s="11">
        <v>0</v>
      </c>
      <c r="N524" s="11">
        <v>0</v>
      </c>
      <c r="O524" s="12" t="str">
        <f t="shared" si="8"/>
        <v>10 - 19</v>
      </c>
    </row>
    <row r="525" spans="1:15" x14ac:dyDescent="0.35">
      <c r="A525" s="12">
        <v>2072</v>
      </c>
      <c r="B525" s="12" t="s">
        <v>16</v>
      </c>
      <c r="C525" s="12">
        <v>53</v>
      </c>
      <c r="D525" s="12" t="s">
        <v>17</v>
      </c>
      <c r="E525" s="12" t="s">
        <v>14</v>
      </c>
      <c r="F525" s="12">
        <v>232</v>
      </c>
      <c r="G525" s="12">
        <v>10</v>
      </c>
      <c r="H525" s="12">
        <v>0.15</v>
      </c>
      <c r="I525" s="12" t="s">
        <v>15</v>
      </c>
      <c r="J525" s="12">
        <v>38</v>
      </c>
      <c r="K525" s="12">
        <v>0</v>
      </c>
      <c r="L525" s="12">
        <v>0</v>
      </c>
      <c r="M525" s="12">
        <v>0</v>
      </c>
      <c r="N525" s="12">
        <v>0</v>
      </c>
      <c r="O525" s="12" t="str">
        <f t="shared" si="8"/>
        <v>30 - 39</v>
      </c>
    </row>
    <row r="526" spans="1:15" x14ac:dyDescent="0.35">
      <c r="A526" s="11">
        <v>2076</v>
      </c>
      <c r="B526" s="11" t="s">
        <v>16</v>
      </c>
      <c r="C526" s="11">
        <v>54</v>
      </c>
      <c r="D526" s="11" t="s">
        <v>25</v>
      </c>
      <c r="E526" s="11" t="s">
        <v>14</v>
      </c>
      <c r="F526" s="11">
        <v>73</v>
      </c>
      <c r="G526" s="11">
        <v>86</v>
      </c>
      <c r="H526" s="11">
        <v>7.0000000000000007E-2</v>
      </c>
      <c r="I526" s="11" t="s">
        <v>23</v>
      </c>
      <c r="J526" s="11">
        <v>41</v>
      </c>
      <c r="K526" s="11">
        <v>0</v>
      </c>
      <c r="L526" s="11">
        <v>0</v>
      </c>
      <c r="M526" s="11">
        <v>0</v>
      </c>
      <c r="N526" s="11">
        <v>0</v>
      </c>
      <c r="O526" s="12" t="str">
        <f t="shared" si="8"/>
        <v>40 - 49</v>
      </c>
    </row>
    <row r="527" spans="1:15" x14ac:dyDescent="0.35">
      <c r="A527" s="12">
        <v>2083</v>
      </c>
      <c r="B527" s="12" t="s">
        <v>12</v>
      </c>
      <c r="C527" s="12">
        <v>53</v>
      </c>
      <c r="D527" s="12" t="s">
        <v>13</v>
      </c>
      <c r="E527" s="12" t="s">
        <v>14</v>
      </c>
      <c r="F527" s="12">
        <v>52</v>
      </c>
      <c r="G527" s="12">
        <v>20</v>
      </c>
      <c r="H527" s="12">
        <v>0.37</v>
      </c>
      <c r="I527" s="12" t="s">
        <v>23</v>
      </c>
      <c r="J527" s="12">
        <v>42</v>
      </c>
      <c r="K527" s="12">
        <v>0</v>
      </c>
      <c r="L527" s="12">
        <v>0</v>
      </c>
      <c r="M527" s="12">
        <v>0</v>
      </c>
      <c r="N527" s="12">
        <v>0</v>
      </c>
      <c r="O527" s="12" t="str">
        <f t="shared" si="8"/>
        <v>40 - 49</v>
      </c>
    </row>
    <row r="528" spans="1:15" x14ac:dyDescent="0.35">
      <c r="A528" s="11">
        <v>2087</v>
      </c>
      <c r="B528" s="11" t="s">
        <v>12</v>
      </c>
      <c r="C528" s="11">
        <v>31</v>
      </c>
      <c r="D528" s="11" t="s">
        <v>25</v>
      </c>
      <c r="E528" s="11" t="s">
        <v>14</v>
      </c>
      <c r="F528" s="11">
        <v>89</v>
      </c>
      <c r="G528" s="11">
        <v>43</v>
      </c>
      <c r="H528" s="11">
        <v>0.11</v>
      </c>
      <c r="I528" s="11" t="s">
        <v>19</v>
      </c>
      <c r="J528" s="11">
        <v>40</v>
      </c>
      <c r="K528" s="11">
        <v>0</v>
      </c>
      <c r="L528" s="11">
        <v>0</v>
      </c>
      <c r="M528" s="11">
        <v>0</v>
      </c>
      <c r="N528" s="11">
        <v>0</v>
      </c>
      <c r="O528" s="12" t="str">
        <f t="shared" si="8"/>
        <v>40 - 49</v>
      </c>
    </row>
    <row r="529" spans="1:15" x14ac:dyDescent="0.35">
      <c r="A529" s="12">
        <v>2089</v>
      </c>
      <c r="B529" s="12" t="s">
        <v>16</v>
      </c>
      <c r="C529" s="12">
        <v>48</v>
      </c>
      <c r="D529" s="12" t="s">
        <v>25</v>
      </c>
      <c r="E529" s="12" t="s">
        <v>14</v>
      </c>
      <c r="F529" s="12">
        <v>179</v>
      </c>
      <c r="G529" s="12">
        <v>57</v>
      </c>
      <c r="H529" s="12">
        <v>0.19</v>
      </c>
      <c r="I529" s="12" t="s">
        <v>19</v>
      </c>
      <c r="J529" s="12">
        <v>17</v>
      </c>
      <c r="K529" s="12">
        <v>0</v>
      </c>
      <c r="L529" s="12">
        <v>0</v>
      </c>
      <c r="M529" s="12">
        <v>0</v>
      </c>
      <c r="N529" s="12">
        <v>0</v>
      </c>
      <c r="O529" s="12" t="str">
        <f t="shared" si="8"/>
        <v>10 - 19</v>
      </c>
    </row>
    <row r="530" spans="1:15" x14ac:dyDescent="0.35">
      <c r="A530" s="11">
        <v>2095</v>
      </c>
      <c r="B530" s="11" t="s">
        <v>12</v>
      </c>
      <c r="C530" s="11">
        <v>33</v>
      </c>
      <c r="D530" s="11" t="s">
        <v>17</v>
      </c>
      <c r="E530" s="11" t="s">
        <v>14</v>
      </c>
      <c r="F530" s="11">
        <v>267</v>
      </c>
      <c r="G530" s="11">
        <v>91</v>
      </c>
      <c r="H530" s="11">
        <v>0.3</v>
      </c>
      <c r="I530" s="11" t="s">
        <v>19</v>
      </c>
      <c r="J530" s="11">
        <v>43</v>
      </c>
      <c r="K530" s="11">
        <v>0</v>
      </c>
      <c r="L530" s="11">
        <v>1</v>
      </c>
      <c r="M530" s="11">
        <v>0</v>
      </c>
      <c r="N530" s="11">
        <v>0</v>
      </c>
      <c r="O530" s="12" t="str">
        <f t="shared" si="8"/>
        <v>40 - 49</v>
      </c>
    </row>
    <row r="531" spans="1:15" x14ac:dyDescent="0.35">
      <c r="A531" s="12">
        <v>2096</v>
      </c>
      <c r="B531" s="12" t="s">
        <v>12</v>
      </c>
      <c r="C531" s="12">
        <v>27</v>
      </c>
      <c r="D531" s="12" t="s">
        <v>21</v>
      </c>
      <c r="E531" s="12" t="s">
        <v>14</v>
      </c>
      <c r="F531" s="12">
        <v>219</v>
      </c>
      <c r="G531" s="12">
        <v>50</v>
      </c>
      <c r="H531" s="12">
        <v>0.42</v>
      </c>
      <c r="I531" s="12" t="s">
        <v>23</v>
      </c>
      <c r="J531" s="12">
        <v>16</v>
      </c>
      <c r="K531" s="12">
        <v>0</v>
      </c>
      <c r="L531" s="12">
        <v>0</v>
      </c>
      <c r="M531" s="12">
        <v>0</v>
      </c>
      <c r="N531" s="12">
        <v>0</v>
      </c>
      <c r="O531" s="12" t="str">
        <f t="shared" si="8"/>
        <v>10 - 19</v>
      </c>
    </row>
    <row r="532" spans="1:15" x14ac:dyDescent="0.35">
      <c r="A532" s="11">
        <v>2097</v>
      </c>
      <c r="B532" s="11" t="s">
        <v>12</v>
      </c>
      <c r="C532" s="11">
        <v>22</v>
      </c>
      <c r="D532" s="11" t="s">
        <v>26</v>
      </c>
      <c r="E532" s="11" t="s">
        <v>14</v>
      </c>
      <c r="F532" s="11">
        <v>67</v>
      </c>
      <c r="G532" s="11">
        <v>43</v>
      </c>
      <c r="H532" s="11">
        <v>0.56999999999999995</v>
      </c>
      <c r="I532" s="11" t="s">
        <v>23</v>
      </c>
      <c r="J532" s="11">
        <v>13</v>
      </c>
      <c r="K532" s="11">
        <v>0</v>
      </c>
      <c r="L532" s="11">
        <v>0</v>
      </c>
      <c r="M532" s="11">
        <v>0</v>
      </c>
      <c r="N532" s="11">
        <v>0</v>
      </c>
      <c r="O532" s="12" t="str">
        <f t="shared" si="8"/>
        <v>10 - 19</v>
      </c>
    </row>
    <row r="533" spans="1:15" x14ac:dyDescent="0.35">
      <c r="A533" s="12">
        <v>2099</v>
      </c>
      <c r="B533" s="12" t="s">
        <v>12</v>
      </c>
      <c r="C533" s="12">
        <v>50</v>
      </c>
      <c r="D533" s="12" t="s">
        <v>29</v>
      </c>
      <c r="E533" s="12" t="s">
        <v>14</v>
      </c>
      <c r="F533" s="12">
        <v>68</v>
      </c>
      <c r="G533" s="12">
        <v>70</v>
      </c>
      <c r="H533" s="12">
        <v>0.01</v>
      </c>
      <c r="I533" s="12" t="s">
        <v>19</v>
      </c>
      <c r="J533" s="12">
        <v>44</v>
      </c>
      <c r="K533" s="12">
        <v>0</v>
      </c>
      <c r="L533" s="12">
        <v>0</v>
      </c>
      <c r="M533" s="12">
        <v>0</v>
      </c>
      <c r="N533" s="12">
        <v>0</v>
      </c>
      <c r="O533" s="12" t="str">
        <f t="shared" si="8"/>
        <v>40 - 49</v>
      </c>
    </row>
    <row r="534" spans="1:15" x14ac:dyDescent="0.35">
      <c r="A534" s="11">
        <v>2105</v>
      </c>
      <c r="B534" s="11" t="s">
        <v>20</v>
      </c>
      <c r="C534" s="11">
        <v>23</v>
      </c>
      <c r="D534" s="11" t="s">
        <v>27</v>
      </c>
      <c r="E534" s="11" t="s">
        <v>14</v>
      </c>
      <c r="F534" s="11">
        <v>137</v>
      </c>
      <c r="G534" s="11">
        <v>24</v>
      </c>
      <c r="H534" s="11">
        <v>0.21</v>
      </c>
      <c r="I534" s="11" t="s">
        <v>23</v>
      </c>
      <c r="J534" s="11">
        <v>26</v>
      </c>
      <c r="K534" s="11">
        <v>0</v>
      </c>
      <c r="L534" s="11">
        <v>0</v>
      </c>
      <c r="M534" s="11">
        <v>0</v>
      </c>
      <c r="N534" s="11">
        <v>0</v>
      </c>
      <c r="O534" s="12" t="str">
        <f t="shared" si="8"/>
        <v>20 - 29</v>
      </c>
    </row>
    <row r="535" spans="1:15" x14ac:dyDescent="0.35">
      <c r="A535" s="12">
        <v>2110</v>
      </c>
      <c r="B535" s="12" t="s">
        <v>20</v>
      </c>
      <c r="C535" s="12">
        <v>33</v>
      </c>
      <c r="D535" s="12" t="s">
        <v>21</v>
      </c>
      <c r="E535" s="12" t="s">
        <v>14</v>
      </c>
      <c r="F535" s="12">
        <v>197</v>
      </c>
      <c r="G535" s="12">
        <v>43</v>
      </c>
      <c r="H535" s="12">
        <v>0.26</v>
      </c>
      <c r="I535" s="12" t="s">
        <v>19</v>
      </c>
      <c r="J535" s="12">
        <v>47</v>
      </c>
      <c r="K535" s="12">
        <v>0</v>
      </c>
      <c r="L535" s="12">
        <v>0</v>
      </c>
      <c r="M535" s="12">
        <v>0</v>
      </c>
      <c r="N535" s="12">
        <v>0</v>
      </c>
      <c r="O535" s="12" t="str">
        <f t="shared" si="8"/>
        <v>40 - 49</v>
      </c>
    </row>
    <row r="536" spans="1:15" x14ac:dyDescent="0.35">
      <c r="A536" s="11">
        <v>2111</v>
      </c>
      <c r="B536" s="11" t="s">
        <v>16</v>
      </c>
      <c r="C536" s="11">
        <v>24</v>
      </c>
      <c r="D536" s="11" t="s">
        <v>28</v>
      </c>
      <c r="E536" s="11" t="s">
        <v>14</v>
      </c>
      <c r="F536" s="11">
        <v>86</v>
      </c>
      <c r="G536" s="11">
        <v>13</v>
      </c>
      <c r="H536" s="11">
        <v>0.33</v>
      </c>
      <c r="I536" s="11" t="s">
        <v>19</v>
      </c>
      <c r="J536" s="11">
        <v>28</v>
      </c>
      <c r="K536" s="11">
        <v>0</v>
      </c>
      <c r="L536" s="11">
        <v>0</v>
      </c>
      <c r="M536" s="11">
        <v>0</v>
      </c>
      <c r="N536" s="11">
        <v>0</v>
      </c>
      <c r="O536" s="12" t="str">
        <f t="shared" si="8"/>
        <v>20 - 29</v>
      </c>
    </row>
    <row r="537" spans="1:15" x14ac:dyDescent="0.35">
      <c r="A537" s="12">
        <v>2120</v>
      </c>
      <c r="B537" s="12" t="s">
        <v>20</v>
      </c>
      <c r="C537" s="12">
        <v>38</v>
      </c>
      <c r="D537" s="12" t="s">
        <v>25</v>
      </c>
      <c r="E537" s="12" t="s">
        <v>14</v>
      </c>
      <c r="F537" s="12">
        <v>157</v>
      </c>
      <c r="G537" s="12">
        <v>57</v>
      </c>
      <c r="H537" s="12">
        <v>0.4</v>
      </c>
      <c r="I537" s="12" t="s">
        <v>15</v>
      </c>
      <c r="J537" s="12">
        <v>40</v>
      </c>
      <c r="K537" s="12">
        <v>0</v>
      </c>
      <c r="L537" s="12">
        <v>1</v>
      </c>
      <c r="M537" s="12">
        <v>0</v>
      </c>
      <c r="N537" s="12">
        <v>0</v>
      </c>
      <c r="O537" s="12" t="str">
        <f t="shared" si="8"/>
        <v>40 - 49</v>
      </c>
    </row>
    <row r="538" spans="1:15" x14ac:dyDescent="0.35">
      <c r="A538" s="11">
        <v>2122</v>
      </c>
      <c r="B538" s="11" t="s">
        <v>20</v>
      </c>
      <c r="C538" s="11">
        <v>16</v>
      </c>
      <c r="D538" s="11" t="s">
        <v>29</v>
      </c>
      <c r="E538" s="11" t="s">
        <v>14</v>
      </c>
      <c r="F538" s="11">
        <v>52</v>
      </c>
      <c r="G538" s="11">
        <v>33</v>
      </c>
      <c r="H538" s="11">
        <v>0.5</v>
      </c>
      <c r="I538" s="11" t="s">
        <v>19</v>
      </c>
      <c r="J538" s="11">
        <v>25</v>
      </c>
      <c r="K538" s="11">
        <v>0</v>
      </c>
      <c r="L538" s="11">
        <v>0</v>
      </c>
      <c r="M538" s="11">
        <v>0</v>
      </c>
      <c r="N538" s="11">
        <v>0</v>
      </c>
      <c r="O538" s="12" t="str">
        <f t="shared" si="8"/>
        <v>20 - 29</v>
      </c>
    </row>
    <row r="539" spans="1:15" x14ac:dyDescent="0.35">
      <c r="A539" s="12">
        <v>2123</v>
      </c>
      <c r="B539" s="12" t="s">
        <v>20</v>
      </c>
      <c r="C539" s="12">
        <v>19</v>
      </c>
      <c r="D539" s="12" t="s">
        <v>26</v>
      </c>
      <c r="E539" s="12" t="s">
        <v>14</v>
      </c>
      <c r="F539" s="12">
        <v>215</v>
      </c>
      <c r="G539" s="12">
        <v>33</v>
      </c>
      <c r="H539" s="12">
        <v>0</v>
      </c>
      <c r="I539" s="12" t="s">
        <v>19</v>
      </c>
      <c r="J539" s="12">
        <v>20</v>
      </c>
      <c r="K539" s="12">
        <v>0</v>
      </c>
      <c r="L539" s="12">
        <v>0</v>
      </c>
      <c r="M539" s="12">
        <v>0</v>
      </c>
      <c r="N539" s="12">
        <v>0</v>
      </c>
      <c r="O539" s="12" t="str">
        <f t="shared" si="8"/>
        <v>20 - 29</v>
      </c>
    </row>
    <row r="540" spans="1:15" x14ac:dyDescent="0.35">
      <c r="A540" s="11">
        <v>2135</v>
      </c>
      <c r="B540" s="11" t="s">
        <v>20</v>
      </c>
      <c r="C540" s="11">
        <v>22</v>
      </c>
      <c r="D540" s="11" t="s">
        <v>13</v>
      </c>
      <c r="E540" s="11" t="s">
        <v>14</v>
      </c>
      <c r="F540" s="11">
        <v>30</v>
      </c>
      <c r="G540" s="11">
        <v>31</v>
      </c>
      <c r="H540" s="11">
        <v>0.4</v>
      </c>
      <c r="I540" s="11" t="s">
        <v>15</v>
      </c>
      <c r="J540" s="11">
        <v>12</v>
      </c>
      <c r="K540" s="11">
        <v>0</v>
      </c>
      <c r="L540" s="11">
        <v>1</v>
      </c>
      <c r="M540" s="11">
        <v>0</v>
      </c>
      <c r="N540" s="11">
        <v>0</v>
      </c>
      <c r="O540" s="12" t="str">
        <f t="shared" si="8"/>
        <v>10 - 19</v>
      </c>
    </row>
    <row r="541" spans="1:15" x14ac:dyDescent="0.35">
      <c r="A541" s="12">
        <v>2137</v>
      </c>
      <c r="B541" s="12" t="s">
        <v>20</v>
      </c>
      <c r="C541" s="12">
        <v>19</v>
      </c>
      <c r="D541" s="12" t="s">
        <v>25</v>
      </c>
      <c r="E541" s="12" t="s">
        <v>14</v>
      </c>
      <c r="F541" s="12">
        <v>292</v>
      </c>
      <c r="G541" s="12">
        <v>75</v>
      </c>
      <c r="H541" s="12">
        <v>0.23</v>
      </c>
      <c r="I541" s="12" t="s">
        <v>19</v>
      </c>
      <c r="J541" s="12">
        <v>11</v>
      </c>
      <c r="K541" s="12">
        <v>0</v>
      </c>
      <c r="L541" s="12">
        <v>0</v>
      </c>
      <c r="M541" s="12">
        <v>0</v>
      </c>
      <c r="N541" s="12">
        <v>0</v>
      </c>
      <c r="O541" s="12" t="str">
        <f t="shared" si="8"/>
        <v>10 - 19</v>
      </c>
    </row>
    <row r="542" spans="1:15" x14ac:dyDescent="0.35">
      <c r="A542" s="11">
        <v>2141</v>
      </c>
      <c r="B542" s="11" t="s">
        <v>12</v>
      </c>
      <c r="C542" s="11">
        <v>19</v>
      </c>
      <c r="D542" s="11" t="s">
        <v>28</v>
      </c>
      <c r="E542" s="11" t="s">
        <v>14</v>
      </c>
      <c r="F542" s="11">
        <v>157</v>
      </c>
      <c r="G542" s="11">
        <v>25</v>
      </c>
      <c r="H542" s="11">
        <v>0.49</v>
      </c>
      <c r="I542" s="11" t="s">
        <v>23</v>
      </c>
      <c r="J542" s="11">
        <v>25</v>
      </c>
      <c r="K542" s="11">
        <v>0</v>
      </c>
      <c r="L542" s="11">
        <v>1</v>
      </c>
      <c r="M542" s="11">
        <v>0</v>
      </c>
      <c r="N542" s="11">
        <v>0</v>
      </c>
      <c r="O542" s="12" t="str">
        <f t="shared" si="8"/>
        <v>20 - 29</v>
      </c>
    </row>
    <row r="543" spans="1:15" x14ac:dyDescent="0.35">
      <c r="A543" s="12">
        <v>2143</v>
      </c>
      <c r="B543" s="12" t="s">
        <v>20</v>
      </c>
      <c r="C543" s="12">
        <v>47</v>
      </c>
      <c r="D543" s="12" t="s">
        <v>28</v>
      </c>
      <c r="E543" s="12" t="s">
        <v>14</v>
      </c>
      <c r="F543" s="12">
        <v>189</v>
      </c>
      <c r="G543" s="12">
        <v>77</v>
      </c>
      <c r="H543" s="12">
        <v>0.3</v>
      </c>
      <c r="I543" s="12" t="s">
        <v>15</v>
      </c>
      <c r="J543" s="12">
        <v>39</v>
      </c>
      <c r="K543" s="12">
        <v>0</v>
      </c>
      <c r="L543" s="12">
        <v>0</v>
      </c>
      <c r="M543" s="12">
        <v>0</v>
      </c>
      <c r="N543" s="12">
        <v>0</v>
      </c>
      <c r="O543" s="12" t="str">
        <f t="shared" si="8"/>
        <v>30 - 39</v>
      </c>
    </row>
    <row r="544" spans="1:15" x14ac:dyDescent="0.35">
      <c r="A544" s="11">
        <v>2146</v>
      </c>
      <c r="B544" s="11" t="s">
        <v>12</v>
      </c>
      <c r="C544" s="11">
        <v>54</v>
      </c>
      <c r="D544" s="11" t="s">
        <v>25</v>
      </c>
      <c r="E544" s="11" t="s">
        <v>14</v>
      </c>
      <c r="F544" s="11">
        <v>99</v>
      </c>
      <c r="G544" s="11">
        <v>95</v>
      </c>
      <c r="H544" s="11">
        <v>0.22</v>
      </c>
      <c r="I544" s="11" t="s">
        <v>15</v>
      </c>
      <c r="J544" s="11">
        <v>27</v>
      </c>
      <c r="K544" s="11">
        <v>0</v>
      </c>
      <c r="L544" s="11">
        <v>0</v>
      </c>
      <c r="M544" s="11">
        <v>0</v>
      </c>
      <c r="N544" s="11">
        <v>0</v>
      </c>
      <c r="O544" s="12" t="str">
        <f t="shared" si="8"/>
        <v>20 - 29</v>
      </c>
    </row>
    <row r="545" spans="1:15" x14ac:dyDescent="0.35">
      <c r="A545" s="12">
        <v>2148</v>
      </c>
      <c r="B545" s="12" t="s">
        <v>12</v>
      </c>
      <c r="C545" s="12">
        <v>49</v>
      </c>
      <c r="D545" s="12" t="s">
        <v>17</v>
      </c>
      <c r="E545" s="12" t="s">
        <v>14</v>
      </c>
      <c r="F545" s="12">
        <v>256</v>
      </c>
      <c r="G545" s="12">
        <v>7</v>
      </c>
      <c r="H545" s="12">
        <v>0.11</v>
      </c>
      <c r="I545" s="12" t="s">
        <v>19</v>
      </c>
      <c r="J545" s="12">
        <v>5</v>
      </c>
      <c r="K545" s="12">
        <v>0</v>
      </c>
      <c r="L545" s="12">
        <v>0</v>
      </c>
      <c r="M545" s="12">
        <v>0</v>
      </c>
      <c r="N545" s="12">
        <v>0</v>
      </c>
      <c r="O545" s="12" t="str">
        <f t="shared" si="8"/>
        <v>0 - 9</v>
      </c>
    </row>
    <row r="546" spans="1:15" x14ac:dyDescent="0.35">
      <c r="A546" s="11">
        <v>2149</v>
      </c>
      <c r="B546" s="11" t="s">
        <v>20</v>
      </c>
      <c r="C546" s="11">
        <v>48</v>
      </c>
      <c r="D546" s="11" t="s">
        <v>28</v>
      </c>
      <c r="E546" s="11" t="s">
        <v>14</v>
      </c>
      <c r="F546" s="11">
        <v>30</v>
      </c>
      <c r="G546" s="11">
        <v>82</v>
      </c>
      <c r="H546" s="11">
        <v>0.11</v>
      </c>
      <c r="I546" s="11" t="s">
        <v>15</v>
      </c>
      <c r="J546" s="11">
        <v>16</v>
      </c>
      <c r="K546" s="11">
        <v>0</v>
      </c>
      <c r="L546" s="11">
        <v>1</v>
      </c>
      <c r="M546" s="11">
        <v>0</v>
      </c>
      <c r="N546" s="11">
        <v>0</v>
      </c>
      <c r="O546" s="12" t="str">
        <f t="shared" si="8"/>
        <v>10 - 19</v>
      </c>
    </row>
    <row r="547" spans="1:15" x14ac:dyDescent="0.35">
      <c r="A547" s="12">
        <v>2150</v>
      </c>
      <c r="B547" s="12" t="s">
        <v>20</v>
      </c>
      <c r="C547" s="12">
        <v>28</v>
      </c>
      <c r="D547" s="12" t="s">
        <v>29</v>
      </c>
      <c r="E547" s="12" t="s">
        <v>14</v>
      </c>
      <c r="F547" s="12">
        <v>125</v>
      </c>
      <c r="G547" s="12">
        <v>82</v>
      </c>
      <c r="H547" s="12">
        <v>0.37</v>
      </c>
      <c r="I547" s="12" t="s">
        <v>23</v>
      </c>
      <c r="J547" s="12">
        <v>39</v>
      </c>
      <c r="K547" s="12">
        <v>0</v>
      </c>
      <c r="L547" s="12">
        <v>1</v>
      </c>
      <c r="M547" s="12">
        <v>0</v>
      </c>
      <c r="N547" s="12">
        <v>0</v>
      </c>
      <c r="O547" s="12" t="str">
        <f t="shared" si="8"/>
        <v>30 - 39</v>
      </c>
    </row>
    <row r="548" spans="1:15" x14ac:dyDescent="0.35">
      <c r="A548" s="11">
        <v>2162</v>
      </c>
      <c r="B548" s="11" t="s">
        <v>12</v>
      </c>
      <c r="C548" s="11">
        <v>41</v>
      </c>
      <c r="D548" s="11" t="s">
        <v>29</v>
      </c>
      <c r="E548" s="11" t="s">
        <v>14</v>
      </c>
      <c r="F548" s="11">
        <v>107</v>
      </c>
      <c r="G548" s="11">
        <v>57</v>
      </c>
      <c r="H548" s="11">
        <v>0.27</v>
      </c>
      <c r="I548" s="11" t="s">
        <v>19</v>
      </c>
      <c r="J548" s="11">
        <v>41</v>
      </c>
      <c r="K548" s="11">
        <v>0</v>
      </c>
      <c r="L548" s="11">
        <v>1</v>
      </c>
      <c r="M548" s="11">
        <v>0</v>
      </c>
      <c r="N548" s="11">
        <v>0</v>
      </c>
      <c r="O548" s="12" t="str">
        <f t="shared" si="8"/>
        <v>40 - 49</v>
      </c>
    </row>
    <row r="549" spans="1:15" x14ac:dyDescent="0.35">
      <c r="A549" s="12">
        <v>2164</v>
      </c>
      <c r="B549" s="12" t="s">
        <v>16</v>
      </c>
      <c r="C549" s="12">
        <v>48</v>
      </c>
      <c r="D549" s="12" t="s">
        <v>25</v>
      </c>
      <c r="E549" s="12" t="s">
        <v>14</v>
      </c>
      <c r="F549" s="12">
        <v>167</v>
      </c>
      <c r="G549" s="12">
        <v>54</v>
      </c>
      <c r="H549" s="12">
        <v>0.48</v>
      </c>
      <c r="I549" s="12" t="s">
        <v>15</v>
      </c>
      <c r="J549" s="12">
        <v>7</v>
      </c>
      <c r="K549" s="12">
        <v>0</v>
      </c>
      <c r="L549" s="12">
        <v>1</v>
      </c>
      <c r="M549" s="12">
        <v>0</v>
      </c>
      <c r="N549" s="12">
        <v>0</v>
      </c>
      <c r="O549" s="12" t="str">
        <f t="shared" si="8"/>
        <v>0 - 9</v>
      </c>
    </row>
    <row r="550" spans="1:15" x14ac:dyDescent="0.35">
      <c r="A550" s="11">
        <v>2166</v>
      </c>
      <c r="B550" s="11" t="s">
        <v>12</v>
      </c>
      <c r="C550" s="11">
        <v>44</v>
      </c>
      <c r="D550" s="11" t="s">
        <v>25</v>
      </c>
      <c r="E550" s="11" t="s">
        <v>14</v>
      </c>
      <c r="F550" s="11">
        <v>185</v>
      </c>
      <c r="G550" s="11">
        <v>64</v>
      </c>
      <c r="H550" s="11">
        <v>0.45</v>
      </c>
      <c r="I550" s="11" t="s">
        <v>23</v>
      </c>
      <c r="J550" s="11">
        <v>15</v>
      </c>
      <c r="K550" s="11">
        <v>0</v>
      </c>
      <c r="L550" s="11">
        <v>0</v>
      </c>
      <c r="M550" s="11">
        <v>0</v>
      </c>
      <c r="N550" s="11">
        <v>0</v>
      </c>
      <c r="O550" s="12" t="str">
        <f t="shared" si="8"/>
        <v>10 - 19</v>
      </c>
    </row>
    <row r="551" spans="1:15" x14ac:dyDescent="0.35">
      <c r="A551" s="12">
        <v>2170</v>
      </c>
      <c r="B551" s="12" t="s">
        <v>16</v>
      </c>
      <c r="C551" s="12">
        <v>17</v>
      </c>
      <c r="D551" s="12" t="s">
        <v>17</v>
      </c>
      <c r="E551" s="12" t="s">
        <v>14</v>
      </c>
      <c r="F551" s="12">
        <v>240</v>
      </c>
      <c r="G551" s="12">
        <v>65</v>
      </c>
      <c r="H551" s="12">
        <v>0.54</v>
      </c>
      <c r="I551" s="12" t="s">
        <v>19</v>
      </c>
      <c r="J551" s="12">
        <v>7</v>
      </c>
      <c r="K551" s="12">
        <v>0</v>
      </c>
      <c r="L551" s="12">
        <v>0</v>
      </c>
      <c r="M551" s="12">
        <v>0</v>
      </c>
      <c r="N551" s="12">
        <v>0</v>
      </c>
      <c r="O551" s="12" t="str">
        <f t="shared" si="8"/>
        <v>0 - 9</v>
      </c>
    </row>
    <row r="552" spans="1:15" x14ac:dyDescent="0.35">
      <c r="A552" s="11">
        <v>2171</v>
      </c>
      <c r="B552" s="11" t="s">
        <v>12</v>
      </c>
      <c r="C552" s="11">
        <v>20</v>
      </c>
      <c r="D552" s="11" t="s">
        <v>26</v>
      </c>
      <c r="E552" s="11" t="s">
        <v>14</v>
      </c>
      <c r="F552" s="11">
        <v>181</v>
      </c>
      <c r="G552" s="11">
        <v>33</v>
      </c>
      <c r="H552" s="11">
        <v>7.0000000000000007E-2</v>
      </c>
      <c r="I552" s="11" t="s">
        <v>19</v>
      </c>
      <c r="J552" s="11">
        <v>38</v>
      </c>
      <c r="K552" s="11">
        <v>0</v>
      </c>
      <c r="L552" s="11">
        <v>0</v>
      </c>
      <c r="M552" s="11">
        <v>0</v>
      </c>
      <c r="N552" s="11">
        <v>0</v>
      </c>
      <c r="O552" s="12" t="str">
        <f t="shared" si="8"/>
        <v>30 - 39</v>
      </c>
    </row>
    <row r="553" spans="1:15" x14ac:dyDescent="0.35">
      <c r="A553" s="12">
        <v>2173</v>
      </c>
      <c r="B553" s="12" t="s">
        <v>20</v>
      </c>
      <c r="C553" s="12">
        <v>36</v>
      </c>
      <c r="D553" s="12" t="s">
        <v>29</v>
      </c>
      <c r="E553" s="12" t="s">
        <v>14</v>
      </c>
      <c r="F553" s="12">
        <v>145</v>
      </c>
      <c r="G553" s="12">
        <v>73</v>
      </c>
      <c r="H553" s="12">
        <v>0.38</v>
      </c>
      <c r="I553" s="12" t="s">
        <v>19</v>
      </c>
      <c r="J553" s="12">
        <v>47</v>
      </c>
      <c r="K553" s="12">
        <v>0</v>
      </c>
      <c r="L553" s="12">
        <v>1</v>
      </c>
      <c r="M553" s="12">
        <v>0</v>
      </c>
      <c r="N553" s="12">
        <v>0</v>
      </c>
      <c r="O553" s="12" t="str">
        <f t="shared" si="8"/>
        <v>40 - 49</v>
      </c>
    </row>
    <row r="554" spans="1:15" x14ac:dyDescent="0.35">
      <c r="A554" s="11">
        <v>2174</v>
      </c>
      <c r="B554" s="11" t="s">
        <v>20</v>
      </c>
      <c r="C554" s="11">
        <v>58</v>
      </c>
      <c r="D554" s="11" t="s">
        <v>28</v>
      </c>
      <c r="E554" s="11" t="s">
        <v>14</v>
      </c>
      <c r="F554" s="11">
        <v>133</v>
      </c>
      <c r="G554" s="11">
        <v>77</v>
      </c>
      <c r="H554" s="11">
        <v>0.03</v>
      </c>
      <c r="I554" s="11" t="s">
        <v>15</v>
      </c>
      <c r="J554" s="11">
        <v>8</v>
      </c>
      <c r="K554" s="11">
        <v>0</v>
      </c>
      <c r="L554" s="11">
        <v>1</v>
      </c>
      <c r="M554" s="11">
        <v>0</v>
      </c>
      <c r="N554" s="11">
        <v>0</v>
      </c>
      <c r="O554" s="12" t="str">
        <f t="shared" si="8"/>
        <v>0 - 9</v>
      </c>
    </row>
    <row r="555" spans="1:15" x14ac:dyDescent="0.35">
      <c r="A555" s="12">
        <v>2177</v>
      </c>
      <c r="B555" s="12" t="s">
        <v>16</v>
      </c>
      <c r="C555" s="12">
        <v>24</v>
      </c>
      <c r="D555" s="12" t="s">
        <v>13</v>
      </c>
      <c r="E555" s="12" t="s">
        <v>14</v>
      </c>
      <c r="F555" s="12">
        <v>41</v>
      </c>
      <c r="G555" s="12">
        <v>48</v>
      </c>
      <c r="H555" s="12">
        <v>0.18</v>
      </c>
      <c r="I555" s="12" t="s">
        <v>15</v>
      </c>
      <c r="J555" s="12">
        <v>33</v>
      </c>
      <c r="K555" s="12">
        <v>0</v>
      </c>
      <c r="L555" s="12">
        <v>0</v>
      </c>
      <c r="M555" s="12">
        <v>0</v>
      </c>
      <c r="N555" s="12">
        <v>0</v>
      </c>
      <c r="O555" s="12" t="str">
        <f t="shared" si="8"/>
        <v>30 - 39</v>
      </c>
    </row>
    <row r="556" spans="1:15" x14ac:dyDescent="0.35">
      <c r="A556" s="11">
        <v>2180</v>
      </c>
      <c r="B556" s="11" t="s">
        <v>16</v>
      </c>
      <c r="C556" s="11">
        <v>53</v>
      </c>
      <c r="D556" s="11" t="s">
        <v>26</v>
      </c>
      <c r="E556" s="11" t="s">
        <v>14</v>
      </c>
      <c r="F556" s="11">
        <v>240</v>
      </c>
      <c r="G556" s="11">
        <v>47</v>
      </c>
      <c r="H556" s="11">
        <v>0.56000000000000005</v>
      </c>
      <c r="I556" s="11" t="s">
        <v>19</v>
      </c>
      <c r="J556" s="11">
        <v>8</v>
      </c>
      <c r="K556" s="11">
        <v>0</v>
      </c>
      <c r="L556" s="11">
        <v>1</v>
      </c>
      <c r="M556" s="11">
        <v>0</v>
      </c>
      <c r="N556" s="11">
        <v>0</v>
      </c>
      <c r="O556" s="12" t="str">
        <f t="shared" si="8"/>
        <v>0 - 9</v>
      </c>
    </row>
    <row r="557" spans="1:15" x14ac:dyDescent="0.35">
      <c r="A557" s="12">
        <v>2182</v>
      </c>
      <c r="B557" s="12" t="s">
        <v>20</v>
      </c>
      <c r="C557" s="12">
        <v>59</v>
      </c>
      <c r="D557" s="12" t="s">
        <v>29</v>
      </c>
      <c r="E557" s="12" t="s">
        <v>14</v>
      </c>
      <c r="F557" s="12">
        <v>106</v>
      </c>
      <c r="G557" s="12">
        <v>8</v>
      </c>
      <c r="H557" s="12">
        <v>0.21</v>
      </c>
      <c r="I557" s="12" t="s">
        <v>15</v>
      </c>
      <c r="J557" s="12">
        <v>9</v>
      </c>
      <c r="K557" s="12">
        <v>0</v>
      </c>
      <c r="L557" s="12">
        <v>0</v>
      </c>
      <c r="M557" s="12">
        <v>0</v>
      </c>
      <c r="N557" s="12">
        <v>0</v>
      </c>
      <c r="O557" s="12" t="str">
        <f t="shared" si="8"/>
        <v>0 - 9</v>
      </c>
    </row>
    <row r="558" spans="1:15" x14ac:dyDescent="0.35">
      <c r="A558" s="11">
        <v>2183</v>
      </c>
      <c r="B558" s="11" t="s">
        <v>16</v>
      </c>
      <c r="C558" s="11">
        <v>27</v>
      </c>
      <c r="D558" s="11" t="s">
        <v>28</v>
      </c>
      <c r="E558" s="11" t="s">
        <v>14</v>
      </c>
      <c r="F558" s="11">
        <v>88</v>
      </c>
      <c r="G558" s="11">
        <v>7</v>
      </c>
      <c r="H558" s="11">
        <v>0.2</v>
      </c>
      <c r="I558" s="11" t="s">
        <v>19</v>
      </c>
      <c r="J558" s="11">
        <v>45</v>
      </c>
      <c r="K558" s="11">
        <v>0</v>
      </c>
      <c r="L558" s="11">
        <v>0</v>
      </c>
      <c r="M558" s="11">
        <v>0</v>
      </c>
      <c r="N558" s="11">
        <v>0</v>
      </c>
      <c r="O558" s="12" t="str">
        <f t="shared" si="8"/>
        <v>40 - 49</v>
      </c>
    </row>
    <row r="559" spans="1:15" x14ac:dyDescent="0.35">
      <c r="A559" s="12">
        <v>2186</v>
      </c>
      <c r="B559" s="12" t="s">
        <v>20</v>
      </c>
      <c r="C559" s="12">
        <v>53</v>
      </c>
      <c r="D559" s="12" t="s">
        <v>17</v>
      </c>
      <c r="E559" s="12" t="s">
        <v>14</v>
      </c>
      <c r="F559" s="12">
        <v>174</v>
      </c>
      <c r="G559" s="12">
        <v>78</v>
      </c>
      <c r="H559" s="12">
        <v>0.56000000000000005</v>
      </c>
      <c r="I559" s="12" t="s">
        <v>19</v>
      </c>
      <c r="J559" s="12">
        <v>44</v>
      </c>
      <c r="K559" s="12">
        <v>0</v>
      </c>
      <c r="L559" s="12">
        <v>0</v>
      </c>
      <c r="M559" s="12">
        <v>0</v>
      </c>
      <c r="N559" s="12">
        <v>0</v>
      </c>
      <c r="O559" s="12" t="str">
        <f t="shared" si="8"/>
        <v>40 - 49</v>
      </c>
    </row>
    <row r="560" spans="1:15" x14ac:dyDescent="0.35">
      <c r="A560" s="11">
        <v>2188</v>
      </c>
      <c r="B560" s="11" t="s">
        <v>20</v>
      </c>
      <c r="C560" s="11">
        <v>21</v>
      </c>
      <c r="D560" s="11" t="s">
        <v>21</v>
      </c>
      <c r="E560" s="11" t="s">
        <v>14</v>
      </c>
      <c r="F560" s="11">
        <v>113</v>
      </c>
      <c r="G560" s="11">
        <v>78</v>
      </c>
      <c r="H560" s="11">
        <v>0.25</v>
      </c>
      <c r="I560" s="11" t="s">
        <v>15</v>
      </c>
      <c r="J560" s="11">
        <v>19</v>
      </c>
      <c r="K560" s="11">
        <v>0</v>
      </c>
      <c r="L560" s="11">
        <v>1</v>
      </c>
      <c r="M560" s="11">
        <v>0</v>
      </c>
      <c r="N560" s="11">
        <v>0</v>
      </c>
      <c r="O560" s="12" t="str">
        <f t="shared" si="8"/>
        <v>10 - 19</v>
      </c>
    </row>
    <row r="561" spans="1:15" x14ac:dyDescent="0.35">
      <c r="A561" s="12">
        <v>2192</v>
      </c>
      <c r="B561" s="12" t="s">
        <v>20</v>
      </c>
      <c r="C561" s="12">
        <v>49</v>
      </c>
      <c r="D561" s="12" t="s">
        <v>13</v>
      </c>
      <c r="E561" s="12" t="s">
        <v>14</v>
      </c>
      <c r="F561" s="12">
        <v>162</v>
      </c>
      <c r="G561" s="12">
        <v>34</v>
      </c>
      <c r="H561" s="12">
        <v>0.35</v>
      </c>
      <c r="I561" s="12" t="s">
        <v>23</v>
      </c>
      <c r="J561" s="12">
        <v>42</v>
      </c>
      <c r="K561" s="12">
        <v>0</v>
      </c>
      <c r="L561" s="12">
        <v>0</v>
      </c>
      <c r="M561" s="12">
        <v>0</v>
      </c>
      <c r="N561" s="12">
        <v>0</v>
      </c>
      <c r="O561" s="12" t="str">
        <f t="shared" si="8"/>
        <v>40 - 49</v>
      </c>
    </row>
    <row r="562" spans="1:15" x14ac:dyDescent="0.35">
      <c r="A562" s="11">
        <v>2198</v>
      </c>
      <c r="B562" s="11" t="s">
        <v>16</v>
      </c>
      <c r="C562" s="11">
        <v>45</v>
      </c>
      <c r="D562" s="11" t="s">
        <v>13</v>
      </c>
      <c r="E562" s="11" t="s">
        <v>14</v>
      </c>
      <c r="F562" s="11">
        <v>91</v>
      </c>
      <c r="G562" s="11">
        <v>28</v>
      </c>
      <c r="H562" s="11">
        <v>0.43</v>
      </c>
      <c r="I562" s="11" t="s">
        <v>19</v>
      </c>
      <c r="J562" s="11">
        <v>26</v>
      </c>
      <c r="K562" s="11">
        <v>0</v>
      </c>
      <c r="L562" s="11">
        <v>0</v>
      </c>
      <c r="M562" s="11">
        <v>0</v>
      </c>
      <c r="N562" s="11">
        <v>0</v>
      </c>
      <c r="O562" s="12" t="str">
        <f t="shared" si="8"/>
        <v>20 - 29</v>
      </c>
    </row>
    <row r="563" spans="1:15" x14ac:dyDescent="0.35">
      <c r="A563" s="12">
        <v>2206</v>
      </c>
      <c r="B563" s="12" t="s">
        <v>20</v>
      </c>
      <c r="C563" s="12">
        <v>45</v>
      </c>
      <c r="D563" s="12" t="s">
        <v>28</v>
      </c>
      <c r="E563" s="12" t="s">
        <v>14</v>
      </c>
      <c r="F563" s="12">
        <v>136</v>
      </c>
      <c r="G563" s="12">
        <v>37</v>
      </c>
      <c r="H563" s="12">
        <v>0.4</v>
      </c>
      <c r="I563" s="12" t="s">
        <v>15</v>
      </c>
      <c r="J563" s="12">
        <v>5</v>
      </c>
      <c r="K563" s="12">
        <v>0</v>
      </c>
      <c r="L563" s="12">
        <v>0</v>
      </c>
      <c r="M563" s="12">
        <v>0</v>
      </c>
      <c r="N563" s="12">
        <v>0</v>
      </c>
      <c r="O563" s="12" t="str">
        <f t="shared" si="8"/>
        <v>0 - 9</v>
      </c>
    </row>
    <row r="564" spans="1:15" x14ac:dyDescent="0.35">
      <c r="A564" s="11">
        <v>2210</v>
      </c>
      <c r="B564" s="11" t="s">
        <v>12</v>
      </c>
      <c r="C564" s="11">
        <v>58</v>
      </c>
      <c r="D564" s="11" t="s">
        <v>29</v>
      </c>
      <c r="E564" s="11" t="s">
        <v>14</v>
      </c>
      <c r="F564" s="11">
        <v>260</v>
      </c>
      <c r="G564" s="11">
        <v>49</v>
      </c>
      <c r="H564" s="11">
        <v>0.11</v>
      </c>
      <c r="I564" s="11" t="s">
        <v>23</v>
      </c>
      <c r="J564" s="11">
        <v>34</v>
      </c>
      <c r="K564" s="11">
        <v>0</v>
      </c>
      <c r="L564" s="11">
        <v>0</v>
      </c>
      <c r="M564" s="11">
        <v>0</v>
      </c>
      <c r="N564" s="11">
        <v>0</v>
      </c>
      <c r="O564" s="12" t="str">
        <f t="shared" si="8"/>
        <v>30 - 39</v>
      </c>
    </row>
    <row r="565" spans="1:15" x14ac:dyDescent="0.35">
      <c r="A565" s="12">
        <v>2212</v>
      </c>
      <c r="B565" s="12" t="s">
        <v>16</v>
      </c>
      <c r="C565" s="12">
        <v>47</v>
      </c>
      <c r="D565" s="12" t="s">
        <v>21</v>
      </c>
      <c r="E565" s="12" t="s">
        <v>14</v>
      </c>
      <c r="F565" s="12">
        <v>58</v>
      </c>
      <c r="G565" s="12">
        <v>17</v>
      </c>
      <c r="H565" s="12">
        <v>0.42</v>
      </c>
      <c r="I565" s="12" t="s">
        <v>15</v>
      </c>
      <c r="J565" s="12">
        <v>46</v>
      </c>
      <c r="K565" s="12">
        <v>0</v>
      </c>
      <c r="L565" s="12">
        <v>0</v>
      </c>
      <c r="M565" s="12">
        <v>0</v>
      </c>
      <c r="N565" s="12">
        <v>0</v>
      </c>
      <c r="O565" s="12" t="str">
        <f t="shared" si="8"/>
        <v>40 - 49</v>
      </c>
    </row>
    <row r="566" spans="1:15" x14ac:dyDescent="0.35">
      <c r="A566" s="11">
        <v>2218</v>
      </c>
      <c r="B566" s="11" t="s">
        <v>12</v>
      </c>
      <c r="C566" s="11">
        <v>23</v>
      </c>
      <c r="D566" s="11" t="s">
        <v>17</v>
      </c>
      <c r="E566" s="11" t="s">
        <v>14</v>
      </c>
      <c r="F566" s="11">
        <v>168</v>
      </c>
      <c r="G566" s="11">
        <v>18</v>
      </c>
      <c r="H566" s="11">
        <v>0.46</v>
      </c>
      <c r="I566" s="11" t="s">
        <v>19</v>
      </c>
      <c r="J566" s="11">
        <v>6</v>
      </c>
      <c r="K566" s="11">
        <v>0</v>
      </c>
      <c r="L566" s="11">
        <v>0</v>
      </c>
      <c r="M566" s="11">
        <v>0</v>
      </c>
      <c r="N566" s="11">
        <v>0</v>
      </c>
      <c r="O566" s="12" t="str">
        <f t="shared" si="8"/>
        <v>0 - 9</v>
      </c>
    </row>
    <row r="567" spans="1:15" x14ac:dyDescent="0.35">
      <c r="A567" s="12">
        <v>2221</v>
      </c>
      <c r="B567" s="12" t="s">
        <v>16</v>
      </c>
      <c r="C567" s="12">
        <v>57</v>
      </c>
      <c r="D567" s="12" t="s">
        <v>27</v>
      </c>
      <c r="E567" s="12" t="s">
        <v>14</v>
      </c>
      <c r="F567" s="12">
        <v>22</v>
      </c>
      <c r="G567" s="12">
        <v>80</v>
      </c>
      <c r="H567" s="12">
        <v>0.6</v>
      </c>
      <c r="I567" s="12" t="s">
        <v>23</v>
      </c>
      <c r="J567" s="12">
        <v>22</v>
      </c>
      <c r="K567" s="12">
        <v>0</v>
      </c>
      <c r="L567" s="12">
        <v>0</v>
      </c>
      <c r="M567" s="12">
        <v>0</v>
      </c>
      <c r="N567" s="12">
        <v>0</v>
      </c>
      <c r="O567" s="12" t="str">
        <f t="shared" si="8"/>
        <v>20 - 29</v>
      </c>
    </row>
    <row r="568" spans="1:15" x14ac:dyDescent="0.35">
      <c r="A568" s="11">
        <v>2227</v>
      </c>
      <c r="B568" s="11" t="s">
        <v>12</v>
      </c>
      <c r="C568" s="11">
        <v>22</v>
      </c>
      <c r="D568" s="11" t="s">
        <v>26</v>
      </c>
      <c r="E568" s="11" t="s">
        <v>14</v>
      </c>
      <c r="F568" s="11">
        <v>175</v>
      </c>
      <c r="G568" s="11">
        <v>78</v>
      </c>
      <c r="H568" s="11">
        <v>0.38</v>
      </c>
      <c r="I568" s="11" t="s">
        <v>23</v>
      </c>
      <c r="J568" s="11">
        <v>31</v>
      </c>
      <c r="K568" s="11">
        <v>0</v>
      </c>
      <c r="L568" s="11">
        <v>0</v>
      </c>
      <c r="M568" s="11">
        <v>0</v>
      </c>
      <c r="N568" s="11">
        <v>0</v>
      </c>
      <c r="O568" s="12" t="str">
        <f t="shared" si="8"/>
        <v>30 - 39</v>
      </c>
    </row>
    <row r="569" spans="1:15" x14ac:dyDescent="0.35">
      <c r="A569" s="12">
        <v>2233</v>
      </c>
      <c r="B569" s="12" t="s">
        <v>16</v>
      </c>
      <c r="C569" s="12">
        <v>16</v>
      </c>
      <c r="D569" s="12" t="s">
        <v>28</v>
      </c>
      <c r="E569" s="12" t="s">
        <v>14</v>
      </c>
      <c r="F569" s="12">
        <v>94</v>
      </c>
      <c r="G569" s="12">
        <v>39</v>
      </c>
      <c r="H569" s="12">
        <v>0.08</v>
      </c>
      <c r="I569" s="12" t="s">
        <v>15</v>
      </c>
      <c r="J569" s="12">
        <v>35</v>
      </c>
      <c r="K569" s="12">
        <v>0</v>
      </c>
      <c r="L569" s="12">
        <v>0</v>
      </c>
      <c r="M569" s="12">
        <v>0</v>
      </c>
      <c r="N569" s="12">
        <v>0</v>
      </c>
      <c r="O569" s="12" t="str">
        <f t="shared" si="8"/>
        <v>30 - 39</v>
      </c>
    </row>
    <row r="570" spans="1:15" x14ac:dyDescent="0.35">
      <c r="A570" s="11">
        <v>2237</v>
      </c>
      <c r="B570" s="11" t="s">
        <v>16</v>
      </c>
      <c r="C570" s="11">
        <v>37</v>
      </c>
      <c r="D570" s="11" t="s">
        <v>13</v>
      </c>
      <c r="E570" s="11" t="s">
        <v>14</v>
      </c>
      <c r="F570" s="11">
        <v>94</v>
      </c>
      <c r="G570" s="11">
        <v>91</v>
      </c>
      <c r="H570" s="11">
        <v>0.02</v>
      </c>
      <c r="I570" s="11" t="s">
        <v>15</v>
      </c>
      <c r="J570" s="11">
        <v>10</v>
      </c>
      <c r="K570" s="11">
        <v>0</v>
      </c>
      <c r="L570" s="11">
        <v>0</v>
      </c>
      <c r="M570" s="11">
        <v>0</v>
      </c>
      <c r="N570" s="11">
        <v>0</v>
      </c>
      <c r="O570" s="12" t="str">
        <f t="shared" si="8"/>
        <v>10 - 19</v>
      </c>
    </row>
    <row r="571" spans="1:15" x14ac:dyDescent="0.35">
      <c r="A571" s="12">
        <v>2243</v>
      </c>
      <c r="B571" s="12" t="s">
        <v>12</v>
      </c>
      <c r="C571" s="12">
        <v>25</v>
      </c>
      <c r="D571" s="12" t="s">
        <v>27</v>
      </c>
      <c r="E571" s="12" t="s">
        <v>14</v>
      </c>
      <c r="F571" s="12">
        <v>19</v>
      </c>
      <c r="G571" s="12">
        <v>52</v>
      </c>
      <c r="H571" s="12">
        <v>0.35</v>
      </c>
      <c r="I571" s="12" t="s">
        <v>15</v>
      </c>
      <c r="J571" s="12">
        <v>17</v>
      </c>
      <c r="K571" s="12">
        <v>0</v>
      </c>
      <c r="L571" s="12">
        <v>0</v>
      </c>
      <c r="M571" s="12">
        <v>0</v>
      </c>
      <c r="N571" s="12">
        <v>0</v>
      </c>
      <c r="O571" s="12" t="str">
        <f t="shared" si="8"/>
        <v>10 - 19</v>
      </c>
    </row>
    <row r="572" spans="1:15" x14ac:dyDescent="0.35">
      <c r="A572" s="11">
        <v>2244</v>
      </c>
      <c r="B572" s="11" t="s">
        <v>12</v>
      </c>
      <c r="C572" s="11">
        <v>28</v>
      </c>
      <c r="D572" s="11" t="s">
        <v>29</v>
      </c>
      <c r="E572" s="11" t="s">
        <v>14</v>
      </c>
      <c r="F572" s="11">
        <v>294</v>
      </c>
      <c r="G572" s="11">
        <v>60</v>
      </c>
      <c r="H572" s="11">
        <v>0.39</v>
      </c>
      <c r="I572" s="11" t="s">
        <v>19</v>
      </c>
      <c r="J572" s="11">
        <v>18</v>
      </c>
      <c r="K572" s="11">
        <v>0</v>
      </c>
      <c r="L572" s="11">
        <v>0</v>
      </c>
      <c r="M572" s="11">
        <v>0</v>
      </c>
      <c r="N572" s="11">
        <v>0</v>
      </c>
      <c r="O572" s="12" t="str">
        <f t="shared" si="8"/>
        <v>10 - 19</v>
      </c>
    </row>
    <row r="573" spans="1:15" x14ac:dyDescent="0.35">
      <c r="A573" s="12">
        <v>2245</v>
      </c>
      <c r="B573" s="12" t="s">
        <v>16</v>
      </c>
      <c r="C573" s="12">
        <v>23</v>
      </c>
      <c r="D573" s="12" t="s">
        <v>25</v>
      </c>
      <c r="E573" s="12" t="s">
        <v>14</v>
      </c>
      <c r="F573" s="12">
        <v>137</v>
      </c>
      <c r="G573" s="12">
        <v>5</v>
      </c>
      <c r="H573" s="12">
        <v>0.38</v>
      </c>
      <c r="I573" s="12" t="s">
        <v>15</v>
      </c>
      <c r="J573" s="12">
        <v>16</v>
      </c>
      <c r="K573" s="12">
        <v>0</v>
      </c>
      <c r="L573" s="12">
        <v>0</v>
      </c>
      <c r="M573" s="12">
        <v>0</v>
      </c>
      <c r="N573" s="12">
        <v>0</v>
      </c>
      <c r="O573" s="12" t="str">
        <f t="shared" si="8"/>
        <v>10 - 19</v>
      </c>
    </row>
    <row r="574" spans="1:15" x14ac:dyDescent="0.35">
      <c r="A574" s="11">
        <v>2246</v>
      </c>
      <c r="B574" s="11" t="s">
        <v>16</v>
      </c>
      <c r="C574" s="11">
        <v>54</v>
      </c>
      <c r="D574" s="11" t="s">
        <v>17</v>
      </c>
      <c r="E574" s="11" t="s">
        <v>14</v>
      </c>
      <c r="F574" s="11">
        <v>161</v>
      </c>
      <c r="G574" s="11">
        <v>31</v>
      </c>
      <c r="H574" s="11">
        <v>0.39</v>
      </c>
      <c r="I574" s="11" t="s">
        <v>15</v>
      </c>
      <c r="J574" s="11">
        <v>46</v>
      </c>
      <c r="K574" s="11">
        <v>0</v>
      </c>
      <c r="L574" s="11">
        <v>0</v>
      </c>
      <c r="M574" s="11">
        <v>0</v>
      </c>
      <c r="N574" s="11">
        <v>0</v>
      </c>
      <c r="O574" s="12" t="str">
        <f t="shared" si="8"/>
        <v>40 - 49</v>
      </c>
    </row>
    <row r="575" spans="1:15" x14ac:dyDescent="0.35">
      <c r="A575" s="12">
        <v>2252</v>
      </c>
      <c r="B575" s="12" t="s">
        <v>20</v>
      </c>
      <c r="C575" s="12">
        <v>58</v>
      </c>
      <c r="D575" s="12" t="s">
        <v>27</v>
      </c>
      <c r="E575" s="12" t="s">
        <v>14</v>
      </c>
      <c r="F575" s="12">
        <v>163</v>
      </c>
      <c r="G575" s="12">
        <v>86</v>
      </c>
      <c r="H575" s="12">
        <v>0.05</v>
      </c>
      <c r="I575" s="12" t="s">
        <v>23</v>
      </c>
      <c r="J575" s="12">
        <v>45</v>
      </c>
      <c r="K575" s="12">
        <v>0</v>
      </c>
      <c r="L575" s="12">
        <v>1</v>
      </c>
      <c r="M575" s="12">
        <v>0</v>
      </c>
      <c r="N575" s="12">
        <v>0</v>
      </c>
      <c r="O575" s="12" t="str">
        <f t="shared" si="8"/>
        <v>40 - 49</v>
      </c>
    </row>
    <row r="576" spans="1:15" x14ac:dyDescent="0.35">
      <c r="A576" s="11">
        <v>2254</v>
      </c>
      <c r="B576" s="11" t="s">
        <v>20</v>
      </c>
      <c r="C576" s="11">
        <v>27</v>
      </c>
      <c r="D576" s="11" t="s">
        <v>27</v>
      </c>
      <c r="E576" s="11" t="s">
        <v>14</v>
      </c>
      <c r="F576" s="11">
        <v>155</v>
      </c>
      <c r="G576" s="11">
        <v>25</v>
      </c>
      <c r="H576" s="11">
        <v>0.38</v>
      </c>
      <c r="I576" s="11" t="s">
        <v>19</v>
      </c>
      <c r="J576" s="11">
        <v>16</v>
      </c>
      <c r="K576" s="11">
        <v>0</v>
      </c>
      <c r="L576" s="11">
        <v>0</v>
      </c>
      <c r="M576" s="11">
        <v>0</v>
      </c>
      <c r="N576" s="11">
        <v>0</v>
      </c>
      <c r="O576" s="12" t="str">
        <f t="shared" si="8"/>
        <v>10 - 19</v>
      </c>
    </row>
    <row r="577" spans="1:15" x14ac:dyDescent="0.35">
      <c r="A577" s="12">
        <v>2257</v>
      </c>
      <c r="B577" s="12" t="s">
        <v>16</v>
      </c>
      <c r="C577" s="12">
        <v>48</v>
      </c>
      <c r="D577" s="12" t="s">
        <v>29</v>
      </c>
      <c r="E577" s="12" t="s">
        <v>14</v>
      </c>
      <c r="F577" s="12">
        <v>141</v>
      </c>
      <c r="G577" s="12">
        <v>34</v>
      </c>
      <c r="H577" s="12">
        <v>0.1</v>
      </c>
      <c r="I577" s="12" t="s">
        <v>19</v>
      </c>
      <c r="J577" s="12">
        <v>45</v>
      </c>
      <c r="K577" s="12">
        <v>0</v>
      </c>
      <c r="L577" s="12">
        <v>0</v>
      </c>
      <c r="M577" s="12">
        <v>0</v>
      </c>
      <c r="N577" s="12">
        <v>0</v>
      </c>
      <c r="O577" s="12" t="str">
        <f t="shared" si="8"/>
        <v>40 - 49</v>
      </c>
    </row>
    <row r="578" spans="1:15" x14ac:dyDescent="0.35">
      <c r="A578" s="11">
        <v>2277</v>
      </c>
      <c r="B578" s="11" t="s">
        <v>12</v>
      </c>
      <c r="C578" s="11">
        <v>46</v>
      </c>
      <c r="D578" s="11" t="s">
        <v>28</v>
      </c>
      <c r="E578" s="11" t="s">
        <v>14</v>
      </c>
      <c r="F578" s="11">
        <v>279</v>
      </c>
      <c r="G578" s="11">
        <v>7</v>
      </c>
      <c r="H578" s="11">
        <v>0.05</v>
      </c>
      <c r="I578" s="11" t="s">
        <v>15</v>
      </c>
      <c r="J578" s="11">
        <v>30</v>
      </c>
      <c r="K578" s="11">
        <v>0</v>
      </c>
      <c r="L578" s="11">
        <v>0</v>
      </c>
      <c r="M578" s="11">
        <v>0</v>
      </c>
      <c r="N578" s="11">
        <v>0</v>
      </c>
      <c r="O578" s="12" t="str">
        <f t="shared" ref="O578:O641" si="9">_xlfn.FLOOR.MATH(J578, 10) &amp; " - " &amp; (_xlfn.FLOOR.MATH(J578, 10) + 9)</f>
        <v>30 - 39</v>
      </c>
    </row>
    <row r="579" spans="1:15" x14ac:dyDescent="0.35">
      <c r="A579" s="12">
        <v>2278</v>
      </c>
      <c r="B579" s="12" t="s">
        <v>20</v>
      </c>
      <c r="C579" s="12">
        <v>59</v>
      </c>
      <c r="D579" s="12" t="s">
        <v>13</v>
      </c>
      <c r="E579" s="12" t="s">
        <v>14</v>
      </c>
      <c r="F579" s="12">
        <v>235</v>
      </c>
      <c r="G579" s="12">
        <v>71</v>
      </c>
      <c r="H579" s="12">
        <v>0.45</v>
      </c>
      <c r="I579" s="12" t="s">
        <v>15</v>
      </c>
      <c r="J579" s="12">
        <v>42</v>
      </c>
      <c r="K579" s="12">
        <v>0</v>
      </c>
      <c r="L579" s="12">
        <v>0</v>
      </c>
      <c r="M579" s="12">
        <v>0</v>
      </c>
      <c r="N579" s="12">
        <v>0</v>
      </c>
      <c r="O579" s="12" t="str">
        <f t="shared" si="9"/>
        <v>40 - 49</v>
      </c>
    </row>
    <row r="580" spans="1:15" x14ac:dyDescent="0.35">
      <c r="A580" s="11">
        <v>2279</v>
      </c>
      <c r="B580" s="11" t="s">
        <v>12</v>
      </c>
      <c r="C580" s="11">
        <v>46</v>
      </c>
      <c r="D580" s="11" t="s">
        <v>28</v>
      </c>
      <c r="E580" s="11" t="s">
        <v>14</v>
      </c>
      <c r="F580" s="11">
        <v>91</v>
      </c>
      <c r="G580" s="11">
        <v>1</v>
      </c>
      <c r="H580" s="11">
        <v>0.49</v>
      </c>
      <c r="I580" s="11" t="s">
        <v>19</v>
      </c>
      <c r="J580" s="11">
        <v>42</v>
      </c>
      <c r="K580" s="11">
        <v>0</v>
      </c>
      <c r="L580" s="11">
        <v>0</v>
      </c>
      <c r="M580" s="11">
        <v>0</v>
      </c>
      <c r="N580" s="11">
        <v>0</v>
      </c>
      <c r="O580" s="12" t="str">
        <f t="shared" si="9"/>
        <v>40 - 49</v>
      </c>
    </row>
    <row r="581" spans="1:15" x14ac:dyDescent="0.35">
      <c r="A581" s="12">
        <v>2283</v>
      </c>
      <c r="B581" s="12" t="s">
        <v>16</v>
      </c>
      <c r="C581" s="12">
        <v>30</v>
      </c>
      <c r="D581" s="12" t="s">
        <v>29</v>
      </c>
      <c r="E581" s="12" t="s">
        <v>14</v>
      </c>
      <c r="F581" s="12">
        <v>86</v>
      </c>
      <c r="G581" s="12">
        <v>50</v>
      </c>
      <c r="H581" s="12">
        <v>0.16</v>
      </c>
      <c r="I581" s="12" t="s">
        <v>19</v>
      </c>
      <c r="J581" s="12">
        <v>42</v>
      </c>
      <c r="K581" s="12">
        <v>0</v>
      </c>
      <c r="L581" s="12">
        <v>1</v>
      </c>
      <c r="M581" s="12">
        <v>0</v>
      </c>
      <c r="N581" s="12">
        <v>0</v>
      </c>
      <c r="O581" s="12" t="str">
        <f t="shared" si="9"/>
        <v>40 - 49</v>
      </c>
    </row>
    <row r="582" spans="1:15" x14ac:dyDescent="0.35">
      <c r="A582" s="11">
        <v>2285</v>
      </c>
      <c r="B582" s="11" t="s">
        <v>16</v>
      </c>
      <c r="C582" s="11">
        <v>32</v>
      </c>
      <c r="D582" s="11" t="s">
        <v>17</v>
      </c>
      <c r="E582" s="11" t="s">
        <v>14</v>
      </c>
      <c r="F582" s="11">
        <v>77</v>
      </c>
      <c r="G582" s="11">
        <v>43</v>
      </c>
      <c r="H582" s="11">
        <v>0.1</v>
      </c>
      <c r="I582" s="11" t="s">
        <v>19</v>
      </c>
      <c r="J582" s="11">
        <v>37</v>
      </c>
      <c r="K582" s="11">
        <v>0</v>
      </c>
      <c r="L582" s="11">
        <v>1</v>
      </c>
      <c r="M582" s="11">
        <v>0</v>
      </c>
      <c r="N582" s="11">
        <v>0</v>
      </c>
      <c r="O582" s="12" t="str">
        <f t="shared" si="9"/>
        <v>30 - 39</v>
      </c>
    </row>
    <row r="583" spans="1:15" x14ac:dyDescent="0.35">
      <c r="A583" s="12">
        <v>2286</v>
      </c>
      <c r="B583" s="12" t="s">
        <v>12</v>
      </c>
      <c r="C583" s="12">
        <v>36</v>
      </c>
      <c r="D583" s="12" t="s">
        <v>25</v>
      </c>
      <c r="E583" s="12" t="s">
        <v>14</v>
      </c>
      <c r="F583" s="12">
        <v>71</v>
      </c>
      <c r="G583" s="12">
        <v>8</v>
      </c>
      <c r="H583" s="12">
        <v>0.18</v>
      </c>
      <c r="I583" s="12" t="s">
        <v>15</v>
      </c>
      <c r="J583" s="12">
        <v>7</v>
      </c>
      <c r="K583" s="12">
        <v>0</v>
      </c>
      <c r="L583" s="12">
        <v>1</v>
      </c>
      <c r="M583" s="12">
        <v>0</v>
      </c>
      <c r="N583" s="12">
        <v>0</v>
      </c>
      <c r="O583" s="12" t="str">
        <f t="shared" si="9"/>
        <v>0 - 9</v>
      </c>
    </row>
    <row r="584" spans="1:15" x14ac:dyDescent="0.35">
      <c r="A584" s="11">
        <v>2294</v>
      </c>
      <c r="B584" s="11" t="s">
        <v>16</v>
      </c>
      <c r="C584" s="11">
        <v>51</v>
      </c>
      <c r="D584" s="11" t="s">
        <v>28</v>
      </c>
      <c r="E584" s="11" t="s">
        <v>14</v>
      </c>
      <c r="F584" s="11">
        <v>46</v>
      </c>
      <c r="G584" s="11">
        <v>70</v>
      </c>
      <c r="H584" s="11">
        <v>0.3</v>
      </c>
      <c r="I584" s="11" t="s">
        <v>15</v>
      </c>
      <c r="J584" s="11">
        <v>46</v>
      </c>
      <c r="K584" s="11">
        <v>0</v>
      </c>
      <c r="L584" s="11">
        <v>0</v>
      </c>
      <c r="M584" s="11">
        <v>0</v>
      </c>
      <c r="N584" s="11">
        <v>0</v>
      </c>
      <c r="O584" s="12" t="str">
        <f t="shared" si="9"/>
        <v>40 - 49</v>
      </c>
    </row>
    <row r="585" spans="1:15" x14ac:dyDescent="0.35">
      <c r="A585" s="12">
        <v>2296</v>
      </c>
      <c r="B585" s="12" t="s">
        <v>12</v>
      </c>
      <c r="C585" s="12">
        <v>21</v>
      </c>
      <c r="D585" s="12" t="s">
        <v>21</v>
      </c>
      <c r="E585" s="12" t="s">
        <v>14</v>
      </c>
      <c r="F585" s="12">
        <v>121</v>
      </c>
      <c r="G585" s="12">
        <v>92</v>
      </c>
      <c r="H585" s="12">
        <v>0.31</v>
      </c>
      <c r="I585" s="12" t="s">
        <v>23</v>
      </c>
      <c r="J585" s="12">
        <v>18</v>
      </c>
      <c r="K585" s="12">
        <v>0</v>
      </c>
      <c r="L585" s="12">
        <v>0</v>
      </c>
      <c r="M585" s="12">
        <v>0</v>
      </c>
      <c r="N585" s="12">
        <v>0</v>
      </c>
      <c r="O585" s="12" t="str">
        <f t="shared" si="9"/>
        <v>10 - 19</v>
      </c>
    </row>
    <row r="586" spans="1:15" x14ac:dyDescent="0.35">
      <c r="A586" s="11">
        <v>2297</v>
      </c>
      <c r="B586" s="11" t="s">
        <v>12</v>
      </c>
      <c r="C586" s="11">
        <v>46</v>
      </c>
      <c r="D586" s="11" t="s">
        <v>17</v>
      </c>
      <c r="E586" s="11" t="s">
        <v>14</v>
      </c>
      <c r="F586" s="11">
        <v>119</v>
      </c>
      <c r="G586" s="11">
        <v>87</v>
      </c>
      <c r="H586" s="11">
        <v>0.55000000000000004</v>
      </c>
      <c r="I586" s="11" t="s">
        <v>19</v>
      </c>
      <c r="J586" s="11">
        <v>26</v>
      </c>
      <c r="K586" s="11">
        <v>0</v>
      </c>
      <c r="L586" s="11">
        <v>1</v>
      </c>
      <c r="M586" s="11">
        <v>0</v>
      </c>
      <c r="N586" s="11">
        <v>0</v>
      </c>
      <c r="O586" s="12" t="str">
        <f t="shared" si="9"/>
        <v>20 - 29</v>
      </c>
    </row>
    <row r="587" spans="1:15" x14ac:dyDescent="0.35">
      <c r="A587" s="12">
        <v>2298</v>
      </c>
      <c r="B587" s="12" t="s">
        <v>12</v>
      </c>
      <c r="C587" s="12">
        <v>40</v>
      </c>
      <c r="D587" s="12" t="s">
        <v>13</v>
      </c>
      <c r="E587" s="12" t="s">
        <v>14</v>
      </c>
      <c r="F587" s="12">
        <v>45</v>
      </c>
      <c r="G587" s="12">
        <v>36</v>
      </c>
      <c r="H587" s="12">
        <v>0.21</v>
      </c>
      <c r="I587" s="12" t="s">
        <v>23</v>
      </c>
      <c r="J587" s="12">
        <v>33</v>
      </c>
      <c r="K587" s="12">
        <v>0</v>
      </c>
      <c r="L587" s="12">
        <v>0</v>
      </c>
      <c r="M587" s="12">
        <v>0</v>
      </c>
      <c r="N587" s="12">
        <v>0</v>
      </c>
      <c r="O587" s="12" t="str">
        <f t="shared" si="9"/>
        <v>30 - 39</v>
      </c>
    </row>
    <row r="588" spans="1:15" x14ac:dyDescent="0.35">
      <c r="A588" s="11">
        <v>2299</v>
      </c>
      <c r="B588" s="11" t="s">
        <v>16</v>
      </c>
      <c r="C588" s="11">
        <v>42</v>
      </c>
      <c r="D588" s="11" t="s">
        <v>21</v>
      </c>
      <c r="E588" s="11" t="s">
        <v>14</v>
      </c>
      <c r="F588" s="11">
        <v>47</v>
      </c>
      <c r="G588" s="11">
        <v>35</v>
      </c>
      <c r="H588" s="11">
        <v>0.25</v>
      </c>
      <c r="I588" s="11" t="s">
        <v>15</v>
      </c>
      <c r="J588" s="11">
        <v>14</v>
      </c>
      <c r="K588" s="11">
        <v>0</v>
      </c>
      <c r="L588" s="11">
        <v>0</v>
      </c>
      <c r="M588" s="11">
        <v>0</v>
      </c>
      <c r="N588" s="11">
        <v>0</v>
      </c>
      <c r="O588" s="12" t="str">
        <f t="shared" si="9"/>
        <v>10 - 19</v>
      </c>
    </row>
    <row r="589" spans="1:15" x14ac:dyDescent="0.35">
      <c r="A589" s="12">
        <v>2305</v>
      </c>
      <c r="B589" s="12" t="s">
        <v>16</v>
      </c>
      <c r="C589" s="12">
        <v>22</v>
      </c>
      <c r="D589" s="12" t="s">
        <v>25</v>
      </c>
      <c r="E589" s="12" t="s">
        <v>14</v>
      </c>
      <c r="F589" s="12">
        <v>158</v>
      </c>
      <c r="G589" s="12">
        <v>50</v>
      </c>
      <c r="H589" s="12">
        <v>0.08</v>
      </c>
      <c r="I589" s="12" t="s">
        <v>23</v>
      </c>
      <c r="J589" s="12">
        <v>14</v>
      </c>
      <c r="K589" s="12">
        <v>0</v>
      </c>
      <c r="L589" s="12">
        <v>1</v>
      </c>
      <c r="M589" s="12">
        <v>0</v>
      </c>
      <c r="N589" s="12">
        <v>0</v>
      </c>
      <c r="O589" s="12" t="str">
        <f t="shared" si="9"/>
        <v>10 - 19</v>
      </c>
    </row>
    <row r="590" spans="1:15" x14ac:dyDescent="0.35">
      <c r="A590" s="11">
        <v>2316</v>
      </c>
      <c r="B590" s="11" t="s">
        <v>12</v>
      </c>
      <c r="C590" s="11">
        <v>43</v>
      </c>
      <c r="D590" s="11" t="s">
        <v>26</v>
      </c>
      <c r="E590" s="11" t="s">
        <v>14</v>
      </c>
      <c r="F590" s="11">
        <v>288</v>
      </c>
      <c r="G590" s="11">
        <v>22</v>
      </c>
      <c r="H590" s="11">
        <v>0.53</v>
      </c>
      <c r="I590" s="11" t="s">
        <v>19</v>
      </c>
      <c r="J590" s="11">
        <v>49</v>
      </c>
      <c r="K590" s="11">
        <v>0</v>
      </c>
      <c r="L590" s="11">
        <v>1</v>
      </c>
      <c r="M590" s="11">
        <v>0</v>
      </c>
      <c r="N590" s="11">
        <v>0</v>
      </c>
      <c r="O590" s="12" t="str">
        <f t="shared" si="9"/>
        <v>40 - 49</v>
      </c>
    </row>
    <row r="591" spans="1:15" x14ac:dyDescent="0.35">
      <c r="A591" s="12">
        <v>2322</v>
      </c>
      <c r="B591" s="12" t="s">
        <v>16</v>
      </c>
      <c r="C591" s="12">
        <v>30</v>
      </c>
      <c r="D591" s="12" t="s">
        <v>21</v>
      </c>
      <c r="E591" s="12" t="s">
        <v>14</v>
      </c>
      <c r="F591" s="12">
        <v>273</v>
      </c>
      <c r="G591" s="12">
        <v>28</v>
      </c>
      <c r="H591" s="12">
        <v>0.28999999999999998</v>
      </c>
      <c r="I591" s="12" t="s">
        <v>19</v>
      </c>
      <c r="J591" s="12">
        <v>35</v>
      </c>
      <c r="K591" s="12">
        <v>0</v>
      </c>
      <c r="L591" s="12">
        <v>0</v>
      </c>
      <c r="M591" s="12">
        <v>0</v>
      </c>
      <c r="N591" s="12">
        <v>0</v>
      </c>
      <c r="O591" s="12" t="str">
        <f t="shared" si="9"/>
        <v>30 - 39</v>
      </c>
    </row>
    <row r="592" spans="1:15" x14ac:dyDescent="0.35">
      <c r="A592" s="11">
        <v>2329</v>
      </c>
      <c r="B592" s="11" t="s">
        <v>16</v>
      </c>
      <c r="C592" s="11">
        <v>33</v>
      </c>
      <c r="D592" s="11" t="s">
        <v>25</v>
      </c>
      <c r="E592" s="11" t="s">
        <v>14</v>
      </c>
      <c r="F592" s="11">
        <v>28</v>
      </c>
      <c r="G592" s="11">
        <v>3</v>
      </c>
      <c r="H592" s="11">
        <v>0.37</v>
      </c>
      <c r="I592" s="11" t="s">
        <v>19</v>
      </c>
      <c r="J592" s="11">
        <v>46</v>
      </c>
      <c r="K592" s="11">
        <v>0</v>
      </c>
      <c r="L592" s="11">
        <v>0</v>
      </c>
      <c r="M592" s="11">
        <v>0</v>
      </c>
      <c r="N592" s="11">
        <v>0</v>
      </c>
      <c r="O592" s="12" t="str">
        <f t="shared" si="9"/>
        <v>40 - 49</v>
      </c>
    </row>
    <row r="593" spans="1:15" x14ac:dyDescent="0.35">
      <c r="A593" s="12">
        <v>2330</v>
      </c>
      <c r="B593" s="12" t="s">
        <v>20</v>
      </c>
      <c r="C593" s="12">
        <v>39</v>
      </c>
      <c r="D593" s="12" t="s">
        <v>29</v>
      </c>
      <c r="E593" s="12" t="s">
        <v>14</v>
      </c>
      <c r="F593" s="12">
        <v>53</v>
      </c>
      <c r="G593" s="12">
        <v>1</v>
      </c>
      <c r="H593" s="12">
        <v>0.34</v>
      </c>
      <c r="I593" s="12" t="s">
        <v>19</v>
      </c>
      <c r="J593" s="12">
        <v>5</v>
      </c>
      <c r="K593" s="12">
        <v>0</v>
      </c>
      <c r="L593" s="12">
        <v>0</v>
      </c>
      <c r="M593" s="12">
        <v>0</v>
      </c>
      <c r="N593" s="12">
        <v>0</v>
      </c>
      <c r="O593" s="12" t="str">
        <f t="shared" si="9"/>
        <v>0 - 9</v>
      </c>
    </row>
    <row r="594" spans="1:15" x14ac:dyDescent="0.35">
      <c r="A594" s="11">
        <v>2340</v>
      </c>
      <c r="B594" s="11" t="s">
        <v>16</v>
      </c>
      <c r="C594" s="11">
        <v>32</v>
      </c>
      <c r="D594" s="11" t="s">
        <v>28</v>
      </c>
      <c r="E594" s="11" t="s">
        <v>14</v>
      </c>
      <c r="F594" s="11">
        <v>72</v>
      </c>
      <c r="G594" s="11">
        <v>70</v>
      </c>
      <c r="H594" s="11">
        <v>0.47</v>
      </c>
      <c r="I594" s="11" t="s">
        <v>19</v>
      </c>
      <c r="J594" s="11">
        <v>46</v>
      </c>
      <c r="K594" s="11">
        <v>0</v>
      </c>
      <c r="L594" s="11">
        <v>0</v>
      </c>
      <c r="M594" s="11">
        <v>0</v>
      </c>
      <c r="N594" s="11">
        <v>0</v>
      </c>
      <c r="O594" s="12" t="str">
        <f t="shared" si="9"/>
        <v>40 - 49</v>
      </c>
    </row>
    <row r="595" spans="1:15" x14ac:dyDescent="0.35">
      <c r="A595" s="12">
        <v>2345</v>
      </c>
      <c r="B595" s="12" t="s">
        <v>20</v>
      </c>
      <c r="C595" s="12">
        <v>32</v>
      </c>
      <c r="D595" s="12" t="s">
        <v>28</v>
      </c>
      <c r="E595" s="12" t="s">
        <v>14</v>
      </c>
      <c r="F595" s="12">
        <v>128</v>
      </c>
      <c r="G595" s="12">
        <v>14</v>
      </c>
      <c r="H595" s="12">
        <v>0.35</v>
      </c>
      <c r="I595" s="12" t="s">
        <v>19</v>
      </c>
      <c r="J595" s="12">
        <v>7</v>
      </c>
      <c r="K595" s="12">
        <v>0</v>
      </c>
      <c r="L595" s="12">
        <v>0</v>
      </c>
      <c r="M595" s="12">
        <v>0</v>
      </c>
      <c r="N595" s="12">
        <v>0</v>
      </c>
      <c r="O595" s="12" t="str">
        <f t="shared" si="9"/>
        <v>0 - 9</v>
      </c>
    </row>
    <row r="596" spans="1:15" x14ac:dyDescent="0.35">
      <c r="A596" s="11">
        <v>2354</v>
      </c>
      <c r="B596" s="11" t="s">
        <v>12</v>
      </c>
      <c r="C596" s="11">
        <v>27</v>
      </c>
      <c r="D596" s="11" t="s">
        <v>17</v>
      </c>
      <c r="E596" s="11" t="s">
        <v>14</v>
      </c>
      <c r="F596" s="11">
        <v>252</v>
      </c>
      <c r="G596" s="11">
        <v>11</v>
      </c>
      <c r="H596" s="11">
        <v>0.35</v>
      </c>
      <c r="I596" s="11" t="s">
        <v>19</v>
      </c>
      <c r="J596" s="11">
        <v>28</v>
      </c>
      <c r="K596" s="11">
        <v>0</v>
      </c>
      <c r="L596" s="11">
        <v>0</v>
      </c>
      <c r="M596" s="11">
        <v>0</v>
      </c>
      <c r="N596" s="11">
        <v>0</v>
      </c>
      <c r="O596" s="12" t="str">
        <f t="shared" si="9"/>
        <v>20 - 29</v>
      </c>
    </row>
    <row r="597" spans="1:15" x14ac:dyDescent="0.35">
      <c r="A597" s="12">
        <v>2355</v>
      </c>
      <c r="B597" s="12" t="s">
        <v>20</v>
      </c>
      <c r="C597" s="12">
        <v>18</v>
      </c>
      <c r="D597" s="12" t="s">
        <v>25</v>
      </c>
      <c r="E597" s="12" t="s">
        <v>14</v>
      </c>
      <c r="F597" s="12">
        <v>124</v>
      </c>
      <c r="G597" s="12">
        <v>35</v>
      </c>
      <c r="H597" s="12">
        <v>0.45</v>
      </c>
      <c r="I597" s="12" t="s">
        <v>19</v>
      </c>
      <c r="J597" s="12">
        <v>28</v>
      </c>
      <c r="K597" s="12">
        <v>0</v>
      </c>
      <c r="L597" s="12">
        <v>1</v>
      </c>
      <c r="M597" s="12">
        <v>0</v>
      </c>
      <c r="N597" s="12">
        <v>0</v>
      </c>
      <c r="O597" s="12" t="str">
        <f t="shared" si="9"/>
        <v>20 - 29</v>
      </c>
    </row>
    <row r="598" spans="1:15" x14ac:dyDescent="0.35">
      <c r="A598" s="11">
        <v>2359</v>
      </c>
      <c r="B598" s="11" t="s">
        <v>12</v>
      </c>
      <c r="C598" s="11">
        <v>20</v>
      </c>
      <c r="D598" s="11" t="s">
        <v>27</v>
      </c>
      <c r="E598" s="11" t="s">
        <v>14</v>
      </c>
      <c r="F598" s="11">
        <v>275</v>
      </c>
      <c r="G598" s="11">
        <v>40</v>
      </c>
      <c r="H598" s="11">
        <v>0.15</v>
      </c>
      <c r="I598" s="11" t="s">
        <v>15</v>
      </c>
      <c r="J598" s="11">
        <v>47</v>
      </c>
      <c r="K598" s="11">
        <v>0</v>
      </c>
      <c r="L598" s="11">
        <v>0</v>
      </c>
      <c r="M598" s="11">
        <v>0</v>
      </c>
      <c r="N598" s="11">
        <v>0</v>
      </c>
      <c r="O598" s="12" t="str">
        <f t="shared" si="9"/>
        <v>40 - 49</v>
      </c>
    </row>
    <row r="599" spans="1:15" x14ac:dyDescent="0.35">
      <c r="A599" s="12">
        <v>2361</v>
      </c>
      <c r="B599" s="12" t="s">
        <v>12</v>
      </c>
      <c r="C599" s="12">
        <v>42</v>
      </c>
      <c r="D599" s="12" t="s">
        <v>21</v>
      </c>
      <c r="E599" s="12" t="s">
        <v>14</v>
      </c>
      <c r="F599" s="12">
        <v>109</v>
      </c>
      <c r="G599" s="12">
        <v>70</v>
      </c>
      <c r="H599" s="12">
        <v>0.22</v>
      </c>
      <c r="I599" s="12" t="s">
        <v>19</v>
      </c>
      <c r="J599" s="12">
        <v>37</v>
      </c>
      <c r="K599" s="12">
        <v>0</v>
      </c>
      <c r="L599" s="12">
        <v>0</v>
      </c>
      <c r="M599" s="12">
        <v>0</v>
      </c>
      <c r="N599" s="12">
        <v>0</v>
      </c>
      <c r="O599" s="12" t="str">
        <f t="shared" si="9"/>
        <v>30 - 39</v>
      </c>
    </row>
    <row r="600" spans="1:15" x14ac:dyDescent="0.35">
      <c r="A600" s="11">
        <v>2366</v>
      </c>
      <c r="B600" s="11" t="s">
        <v>20</v>
      </c>
      <c r="C600" s="11">
        <v>31</v>
      </c>
      <c r="D600" s="11" t="s">
        <v>13</v>
      </c>
      <c r="E600" s="11" t="s">
        <v>14</v>
      </c>
      <c r="F600" s="11">
        <v>88</v>
      </c>
      <c r="G600" s="11">
        <v>11</v>
      </c>
      <c r="H600" s="11">
        <v>0.54</v>
      </c>
      <c r="I600" s="11" t="s">
        <v>23</v>
      </c>
      <c r="J600" s="11">
        <v>47</v>
      </c>
      <c r="K600" s="11">
        <v>0</v>
      </c>
      <c r="L600" s="11">
        <v>1</v>
      </c>
      <c r="M600" s="11">
        <v>0</v>
      </c>
      <c r="N600" s="11">
        <v>0</v>
      </c>
      <c r="O600" s="12" t="str">
        <f t="shared" si="9"/>
        <v>40 - 49</v>
      </c>
    </row>
    <row r="601" spans="1:15" x14ac:dyDescent="0.35">
      <c r="A601" s="12">
        <v>2375</v>
      </c>
      <c r="B601" s="12" t="s">
        <v>20</v>
      </c>
      <c r="C601" s="12">
        <v>47</v>
      </c>
      <c r="D601" s="12" t="s">
        <v>27</v>
      </c>
      <c r="E601" s="12" t="s">
        <v>14</v>
      </c>
      <c r="F601" s="12">
        <v>156</v>
      </c>
      <c r="G601" s="12">
        <v>18</v>
      </c>
      <c r="H601" s="12">
        <v>0.18</v>
      </c>
      <c r="I601" s="12" t="s">
        <v>15</v>
      </c>
      <c r="J601" s="12">
        <v>17</v>
      </c>
      <c r="K601" s="12">
        <v>0</v>
      </c>
      <c r="L601" s="12">
        <v>0</v>
      </c>
      <c r="M601" s="12">
        <v>0</v>
      </c>
      <c r="N601" s="12">
        <v>0</v>
      </c>
      <c r="O601" s="12" t="str">
        <f t="shared" si="9"/>
        <v>10 - 19</v>
      </c>
    </row>
    <row r="602" spans="1:15" x14ac:dyDescent="0.35">
      <c r="A602" s="11">
        <v>2377</v>
      </c>
      <c r="B602" s="11" t="s">
        <v>12</v>
      </c>
      <c r="C602" s="11">
        <v>32</v>
      </c>
      <c r="D602" s="11" t="s">
        <v>29</v>
      </c>
      <c r="E602" s="11" t="s">
        <v>14</v>
      </c>
      <c r="F602" s="11">
        <v>32</v>
      </c>
      <c r="G602" s="11">
        <v>98</v>
      </c>
      <c r="H602" s="11">
        <v>0.25</v>
      </c>
      <c r="I602" s="11" t="s">
        <v>23</v>
      </c>
      <c r="J602" s="11">
        <v>18</v>
      </c>
      <c r="K602" s="11">
        <v>0</v>
      </c>
      <c r="L602" s="11">
        <v>0</v>
      </c>
      <c r="M602" s="11">
        <v>0</v>
      </c>
      <c r="N602" s="11">
        <v>0</v>
      </c>
      <c r="O602" s="12" t="str">
        <f t="shared" si="9"/>
        <v>10 - 19</v>
      </c>
    </row>
    <row r="603" spans="1:15" x14ac:dyDescent="0.35">
      <c r="A603" s="12">
        <v>2379</v>
      </c>
      <c r="B603" s="12" t="s">
        <v>20</v>
      </c>
      <c r="C603" s="12">
        <v>35</v>
      </c>
      <c r="D603" s="12" t="s">
        <v>27</v>
      </c>
      <c r="E603" s="12" t="s">
        <v>14</v>
      </c>
      <c r="F603" s="12">
        <v>162</v>
      </c>
      <c r="G603" s="12">
        <v>96</v>
      </c>
      <c r="H603" s="12">
        <v>0.56999999999999995</v>
      </c>
      <c r="I603" s="12" t="s">
        <v>23</v>
      </c>
      <c r="J603" s="12">
        <v>24</v>
      </c>
      <c r="K603" s="12">
        <v>0</v>
      </c>
      <c r="L603" s="12">
        <v>0</v>
      </c>
      <c r="M603" s="12">
        <v>0</v>
      </c>
      <c r="N603" s="12">
        <v>0</v>
      </c>
      <c r="O603" s="12" t="str">
        <f t="shared" si="9"/>
        <v>20 - 29</v>
      </c>
    </row>
    <row r="604" spans="1:15" x14ac:dyDescent="0.35">
      <c r="A604" s="11">
        <v>2381</v>
      </c>
      <c r="B604" s="11" t="s">
        <v>20</v>
      </c>
      <c r="C604" s="11">
        <v>35</v>
      </c>
      <c r="D604" s="11" t="s">
        <v>13</v>
      </c>
      <c r="E604" s="11" t="s">
        <v>14</v>
      </c>
      <c r="F604" s="11">
        <v>204</v>
      </c>
      <c r="G604" s="11">
        <v>22</v>
      </c>
      <c r="H604" s="11">
        <v>0.5</v>
      </c>
      <c r="I604" s="11" t="s">
        <v>15</v>
      </c>
      <c r="J604" s="11">
        <v>31</v>
      </c>
      <c r="K604" s="11">
        <v>0</v>
      </c>
      <c r="L604" s="11">
        <v>0</v>
      </c>
      <c r="M604" s="11">
        <v>0</v>
      </c>
      <c r="N604" s="11">
        <v>0</v>
      </c>
      <c r="O604" s="12" t="str">
        <f t="shared" si="9"/>
        <v>30 - 39</v>
      </c>
    </row>
    <row r="605" spans="1:15" x14ac:dyDescent="0.35">
      <c r="A605" s="12">
        <v>2384</v>
      </c>
      <c r="B605" s="12" t="s">
        <v>12</v>
      </c>
      <c r="C605" s="12">
        <v>47</v>
      </c>
      <c r="D605" s="12" t="s">
        <v>28</v>
      </c>
      <c r="E605" s="12" t="s">
        <v>14</v>
      </c>
      <c r="F605" s="12">
        <v>219</v>
      </c>
      <c r="G605" s="12">
        <v>8</v>
      </c>
      <c r="H605" s="12">
        <v>0.45</v>
      </c>
      <c r="I605" s="12" t="s">
        <v>19</v>
      </c>
      <c r="J605" s="12">
        <v>39</v>
      </c>
      <c r="K605" s="12">
        <v>0</v>
      </c>
      <c r="L605" s="12">
        <v>0</v>
      </c>
      <c r="M605" s="12">
        <v>0</v>
      </c>
      <c r="N605" s="12">
        <v>0</v>
      </c>
      <c r="O605" s="12" t="str">
        <f t="shared" si="9"/>
        <v>30 - 39</v>
      </c>
    </row>
    <row r="606" spans="1:15" x14ac:dyDescent="0.35">
      <c r="A606" s="11">
        <v>2386</v>
      </c>
      <c r="B606" s="11" t="s">
        <v>16</v>
      </c>
      <c r="C606" s="11">
        <v>43</v>
      </c>
      <c r="D606" s="11" t="s">
        <v>21</v>
      </c>
      <c r="E606" s="11" t="s">
        <v>14</v>
      </c>
      <c r="F606" s="11">
        <v>135</v>
      </c>
      <c r="G606" s="11">
        <v>13</v>
      </c>
      <c r="H606" s="11">
        <v>0.47</v>
      </c>
      <c r="I606" s="11" t="s">
        <v>19</v>
      </c>
      <c r="J606" s="11">
        <v>10</v>
      </c>
      <c r="K606" s="11">
        <v>0</v>
      </c>
      <c r="L606" s="11">
        <v>0</v>
      </c>
      <c r="M606" s="11">
        <v>0</v>
      </c>
      <c r="N606" s="11">
        <v>0</v>
      </c>
      <c r="O606" s="12" t="str">
        <f t="shared" si="9"/>
        <v>10 - 19</v>
      </c>
    </row>
    <row r="607" spans="1:15" x14ac:dyDescent="0.35">
      <c r="A607" s="12">
        <v>2391</v>
      </c>
      <c r="B607" s="12" t="s">
        <v>20</v>
      </c>
      <c r="C607" s="12">
        <v>34</v>
      </c>
      <c r="D607" s="12" t="s">
        <v>29</v>
      </c>
      <c r="E607" s="12" t="s">
        <v>14</v>
      </c>
      <c r="F607" s="12">
        <v>296</v>
      </c>
      <c r="G607" s="12">
        <v>67</v>
      </c>
      <c r="H607" s="12">
        <v>0.17</v>
      </c>
      <c r="I607" s="12" t="s">
        <v>23</v>
      </c>
      <c r="J607" s="12">
        <v>31</v>
      </c>
      <c r="K607" s="12">
        <v>0</v>
      </c>
      <c r="L607" s="12">
        <v>0</v>
      </c>
      <c r="M607" s="12">
        <v>0</v>
      </c>
      <c r="N607" s="12">
        <v>0</v>
      </c>
      <c r="O607" s="12" t="str">
        <f t="shared" si="9"/>
        <v>30 - 39</v>
      </c>
    </row>
    <row r="608" spans="1:15" x14ac:dyDescent="0.35">
      <c r="A608" s="11">
        <v>2392</v>
      </c>
      <c r="B608" s="11" t="s">
        <v>20</v>
      </c>
      <c r="C608" s="11">
        <v>37</v>
      </c>
      <c r="D608" s="11" t="s">
        <v>26</v>
      </c>
      <c r="E608" s="11" t="s">
        <v>14</v>
      </c>
      <c r="F608" s="11">
        <v>284</v>
      </c>
      <c r="G608" s="11">
        <v>92</v>
      </c>
      <c r="H608" s="11">
        <v>0.03</v>
      </c>
      <c r="I608" s="11" t="s">
        <v>19</v>
      </c>
      <c r="J608" s="11">
        <v>35</v>
      </c>
      <c r="K608" s="11">
        <v>0</v>
      </c>
      <c r="L608" s="11">
        <v>0</v>
      </c>
      <c r="M608" s="11">
        <v>0</v>
      </c>
      <c r="N608" s="11">
        <v>0</v>
      </c>
      <c r="O608" s="12" t="str">
        <f t="shared" si="9"/>
        <v>30 - 39</v>
      </c>
    </row>
    <row r="609" spans="1:15" x14ac:dyDescent="0.35">
      <c r="A609" s="12">
        <v>2398</v>
      </c>
      <c r="B609" s="12" t="s">
        <v>20</v>
      </c>
      <c r="C609" s="12">
        <v>59</v>
      </c>
      <c r="D609" s="12" t="s">
        <v>27</v>
      </c>
      <c r="E609" s="12" t="s">
        <v>14</v>
      </c>
      <c r="F609" s="12">
        <v>185</v>
      </c>
      <c r="G609" s="12">
        <v>18</v>
      </c>
      <c r="H609" s="12">
        <v>0.48</v>
      </c>
      <c r="I609" s="12" t="s">
        <v>15</v>
      </c>
      <c r="J609" s="12">
        <v>49</v>
      </c>
      <c r="K609" s="12">
        <v>0</v>
      </c>
      <c r="L609" s="12">
        <v>1</v>
      </c>
      <c r="M609" s="12">
        <v>0</v>
      </c>
      <c r="N609" s="12">
        <v>0</v>
      </c>
      <c r="O609" s="12" t="str">
        <f t="shared" si="9"/>
        <v>40 - 49</v>
      </c>
    </row>
    <row r="610" spans="1:15" x14ac:dyDescent="0.35">
      <c r="A610" s="11">
        <v>2401</v>
      </c>
      <c r="B610" s="11" t="s">
        <v>20</v>
      </c>
      <c r="C610" s="11">
        <v>55</v>
      </c>
      <c r="D610" s="11" t="s">
        <v>27</v>
      </c>
      <c r="E610" s="11" t="s">
        <v>14</v>
      </c>
      <c r="F610" s="11">
        <v>266</v>
      </c>
      <c r="G610" s="11">
        <v>8</v>
      </c>
      <c r="H610" s="11">
        <v>0.08</v>
      </c>
      <c r="I610" s="11" t="s">
        <v>19</v>
      </c>
      <c r="J610" s="11">
        <v>23</v>
      </c>
      <c r="K610" s="11">
        <v>0</v>
      </c>
      <c r="L610" s="11">
        <v>0</v>
      </c>
      <c r="M610" s="11">
        <v>0</v>
      </c>
      <c r="N610" s="11">
        <v>0</v>
      </c>
      <c r="O610" s="12" t="str">
        <f t="shared" si="9"/>
        <v>20 - 29</v>
      </c>
    </row>
    <row r="611" spans="1:15" x14ac:dyDescent="0.35">
      <c r="A611" s="12">
        <v>2404</v>
      </c>
      <c r="B611" s="12" t="s">
        <v>12</v>
      </c>
      <c r="C611" s="12">
        <v>26</v>
      </c>
      <c r="D611" s="12" t="s">
        <v>21</v>
      </c>
      <c r="E611" s="12" t="s">
        <v>14</v>
      </c>
      <c r="F611" s="12">
        <v>166</v>
      </c>
      <c r="G611" s="12">
        <v>22</v>
      </c>
      <c r="H611" s="12">
        <v>0.44</v>
      </c>
      <c r="I611" s="12" t="s">
        <v>19</v>
      </c>
      <c r="J611" s="12">
        <v>5</v>
      </c>
      <c r="K611" s="12">
        <v>0</v>
      </c>
      <c r="L611" s="12">
        <v>0</v>
      </c>
      <c r="M611" s="12">
        <v>0</v>
      </c>
      <c r="N611" s="12">
        <v>0</v>
      </c>
      <c r="O611" s="12" t="str">
        <f t="shared" si="9"/>
        <v>0 - 9</v>
      </c>
    </row>
    <row r="612" spans="1:15" x14ac:dyDescent="0.35">
      <c r="A612" s="11">
        <v>2407</v>
      </c>
      <c r="B612" s="11" t="s">
        <v>16</v>
      </c>
      <c r="C612" s="11">
        <v>57</v>
      </c>
      <c r="D612" s="11" t="s">
        <v>29</v>
      </c>
      <c r="E612" s="11" t="s">
        <v>14</v>
      </c>
      <c r="F612" s="11">
        <v>31</v>
      </c>
      <c r="G612" s="11">
        <v>86</v>
      </c>
      <c r="H612" s="11">
        <v>0.39</v>
      </c>
      <c r="I612" s="11" t="s">
        <v>23</v>
      </c>
      <c r="J612" s="11">
        <v>43</v>
      </c>
      <c r="K612" s="11">
        <v>0</v>
      </c>
      <c r="L612" s="11">
        <v>1</v>
      </c>
      <c r="M612" s="11">
        <v>0</v>
      </c>
      <c r="N612" s="11">
        <v>0</v>
      </c>
      <c r="O612" s="12" t="str">
        <f t="shared" si="9"/>
        <v>40 - 49</v>
      </c>
    </row>
    <row r="613" spans="1:15" x14ac:dyDescent="0.35">
      <c r="A613" s="12">
        <v>2408</v>
      </c>
      <c r="B613" s="12" t="s">
        <v>16</v>
      </c>
      <c r="C613" s="12">
        <v>50</v>
      </c>
      <c r="D613" s="12" t="s">
        <v>25</v>
      </c>
      <c r="E613" s="12" t="s">
        <v>14</v>
      </c>
      <c r="F613" s="12">
        <v>281</v>
      </c>
      <c r="G613" s="12">
        <v>42</v>
      </c>
      <c r="H613" s="12">
        <v>0.36</v>
      </c>
      <c r="I613" s="12" t="s">
        <v>19</v>
      </c>
      <c r="J613" s="12">
        <v>40</v>
      </c>
      <c r="K613" s="12">
        <v>0</v>
      </c>
      <c r="L613" s="12">
        <v>0</v>
      </c>
      <c r="M613" s="12">
        <v>0</v>
      </c>
      <c r="N613" s="12">
        <v>0</v>
      </c>
      <c r="O613" s="12" t="str">
        <f t="shared" si="9"/>
        <v>40 - 49</v>
      </c>
    </row>
    <row r="614" spans="1:15" x14ac:dyDescent="0.35">
      <c r="A614" s="11">
        <v>2409</v>
      </c>
      <c r="B614" s="11" t="s">
        <v>20</v>
      </c>
      <c r="C614" s="11">
        <v>21</v>
      </c>
      <c r="D614" s="11" t="s">
        <v>28</v>
      </c>
      <c r="E614" s="11" t="s">
        <v>14</v>
      </c>
      <c r="F614" s="11">
        <v>231</v>
      </c>
      <c r="G614" s="11">
        <v>86</v>
      </c>
      <c r="H614" s="11">
        <v>0.14000000000000001</v>
      </c>
      <c r="I614" s="11" t="s">
        <v>19</v>
      </c>
      <c r="J614" s="11">
        <v>11</v>
      </c>
      <c r="K614" s="11">
        <v>0</v>
      </c>
      <c r="L614" s="11">
        <v>1</v>
      </c>
      <c r="M614" s="11">
        <v>0</v>
      </c>
      <c r="N614" s="11">
        <v>0</v>
      </c>
      <c r="O614" s="12" t="str">
        <f t="shared" si="9"/>
        <v>10 - 19</v>
      </c>
    </row>
    <row r="615" spans="1:15" x14ac:dyDescent="0.35">
      <c r="A615" s="12">
        <v>2410</v>
      </c>
      <c r="B615" s="12" t="s">
        <v>16</v>
      </c>
      <c r="C615" s="12">
        <v>25</v>
      </c>
      <c r="D615" s="12" t="s">
        <v>28</v>
      </c>
      <c r="E615" s="12" t="s">
        <v>14</v>
      </c>
      <c r="F615" s="12">
        <v>95</v>
      </c>
      <c r="G615" s="12">
        <v>87</v>
      </c>
      <c r="H615" s="12">
        <v>0.2</v>
      </c>
      <c r="I615" s="12" t="s">
        <v>15</v>
      </c>
      <c r="J615" s="12">
        <v>42</v>
      </c>
      <c r="K615" s="12">
        <v>0</v>
      </c>
      <c r="L615" s="12">
        <v>1</v>
      </c>
      <c r="M615" s="12">
        <v>0</v>
      </c>
      <c r="N615" s="12">
        <v>0</v>
      </c>
      <c r="O615" s="12" t="str">
        <f t="shared" si="9"/>
        <v>40 - 49</v>
      </c>
    </row>
    <row r="616" spans="1:15" x14ac:dyDescent="0.35">
      <c r="A616" s="11">
        <v>2413</v>
      </c>
      <c r="B616" s="11" t="s">
        <v>12</v>
      </c>
      <c r="C616" s="11">
        <v>52</v>
      </c>
      <c r="D616" s="11" t="s">
        <v>25</v>
      </c>
      <c r="E616" s="11" t="s">
        <v>14</v>
      </c>
      <c r="F616" s="11">
        <v>151</v>
      </c>
      <c r="G616" s="11">
        <v>77</v>
      </c>
      <c r="H616" s="11">
        <v>0.03</v>
      </c>
      <c r="I616" s="11" t="s">
        <v>15</v>
      </c>
      <c r="J616" s="11">
        <v>46</v>
      </c>
      <c r="K616" s="11">
        <v>0</v>
      </c>
      <c r="L616" s="11">
        <v>0</v>
      </c>
      <c r="M616" s="11">
        <v>0</v>
      </c>
      <c r="N616" s="11">
        <v>0</v>
      </c>
      <c r="O616" s="12" t="str">
        <f t="shared" si="9"/>
        <v>40 - 49</v>
      </c>
    </row>
    <row r="617" spans="1:15" x14ac:dyDescent="0.35">
      <c r="A617" s="12">
        <v>2420</v>
      </c>
      <c r="B617" s="12" t="s">
        <v>12</v>
      </c>
      <c r="C617" s="12">
        <v>39</v>
      </c>
      <c r="D617" s="12" t="s">
        <v>13</v>
      </c>
      <c r="E617" s="12" t="s">
        <v>14</v>
      </c>
      <c r="F617" s="12">
        <v>158</v>
      </c>
      <c r="G617" s="12">
        <v>69</v>
      </c>
      <c r="H617" s="12">
        <v>0.27</v>
      </c>
      <c r="I617" s="12" t="s">
        <v>19</v>
      </c>
      <c r="J617" s="12">
        <v>5</v>
      </c>
      <c r="K617" s="12">
        <v>0</v>
      </c>
      <c r="L617" s="12">
        <v>0</v>
      </c>
      <c r="M617" s="12">
        <v>0</v>
      </c>
      <c r="N617" s="12">
        <v>0</v>
      </c>
      <c r="O617" s="12" t="str">
        <f t="shared" si="9"/>
        <v>0 - 9</v>
      </c>
    </row>
    <row r="618" spans="1:15" x14ac:dyDescent="0.35">
      <c r="A618" s="11">
        <v>2421</v>
      </c>
      <c r="B618" s="11" t="s">
        <v>20</v>
      </c>
      <c r="C618" s="11">
        <v>24</v>
      </c>
      <c r="D618" s="11" t="s">
        <v>27</v>
      </c>
      <c r="E618" s="11" t="s">
        <v>14</v>
      </c>
      <c r="F618" s="11">
        <v>95</v>
      </c>
      <c r="G618" s="11">
        <v>63</v>
      </c>
      <c r="H618" s="11">
        <v>0.16</v>
      </c>
      <c r="I618" s="11" t="s">
        <v>15</v>
      </c>
      <c r="J618" s="11">
        <v>43</v>
      </c>
      <c r="K618" s="11">
        <v>0</v>
      </c>
      <c r="L618" s="11">
        <v>0</v>
      </c>
      <c r="M618" s="11">
        <v>0</v>
      </c>
      <c r="N618" s="11">
        <v>0</v>
      </c>
      <c r="O618" s="12" t="str">
        <f t="shared" si="9"/>
        <v>40 - 49</v>
      </c>
    </row>
    <row r="619" spans="1:15" x14ac:dyDescent="0.35">
      <c r="A619" s="12">
        <v>2424</v>
      </c>
      <c r="B619" s="12" t="s">
        <v>20</v>
      </c>
      <c r="C619" s="12">
        <v>48</v>
      </c>
      <c r="D619" s="12" t="s">
        <v>26</v>
      </c>
      <c r="E619" s="12" t="s">
        <v>14</v>
      </c>
      <c r="F619" s="12">
        <v>224</v>
      </c>
      <c r="G619" s="12">
        <v>41</v>
      </c>
      <c r="H619" s="12">
        <v>0.45</v>
      </c>
      <c r="I619" s="12" t="s">
        <v>23</v>
      </c>
      <c r="J619" s="12">
        <v>11</v>
      </c>
      <c r="K619" s="12">
        <v>0</v>
      </c>
      <c r="L619" s="12">
        <v>0</v>
      </c>
      <c r="M619" s="12">
        <v>0</v>
      </c>
      <c r="N619" s="12">
        <v>0</v>
      </c>
      <c r="O619" s="12" t="str">
        <f t="shared" si="9"/>
        <v>10 - 19</v>
      </c>
    </row>
    <row r="620" spans="1:15" x14ac:dyDescent="0.35">
      <c r="A620" s="11">
        <v>2432</v>
      </c>
      <c r="B620" s="11" t="s">
        <v>20</v>
      </c>
      <c r="C620" s="11">
        <v>44</v>
      </c>
      <c r="D620" s="11" t="s">
        <v>13</v>
      </c>
      <c r="E620" s="11" t="s">
        <v>14</v>
      </c>
      <c r="F620" s="11">
        <v>42</v>
      </c>
      <c r="G620" s="11">
        <v>38</v>
      </c>
      <c r="H620" s="11">
        <v>0.55000000000000004</v>
      </c>
      <c r="I620" s="11" t="s">
        <v>15</v>
      </c>
      <c r="J620" s="11">
        <v>36</v>
      </c>
      <c r="K620" s="11">
        <v>0</v>
      </c>
      <c r="L620" s="11">
        <v>1</v>
      </c>
      <c r="M620" s="11">
        <v>0</v>
      </c>
      <c r="N620" s="11">
        <v>0</v>
      </c>
      <c r="O620" s="12" t="str">
        <f t="shared" si="9"/>
        <v>30 - 39</v>
      </c>
    </row>
    <row r="621" spans="1:15" x14ac:dyDescent="0.35">
      <c r="A621" s="12">
        <v>2433</v>
      </c>
      <c r="B621" s="12" t="s">
        <v>12</v>
      </c>
      <c r="C621" s="12">
        <v>32</v>
      </c>
      <c r="D621" s="12" t="s">
        <v>29</v>
      </c>
      <c r="E621" s="12" t="s">
        <v>14</v>
      </c>
      <c r="F621" s="12">
        <v>264</v>
      </c>
      <c r="G621" s="12">
        <v>56</v>
      </c>
      <c r="H621" s="12">
        <v>0.23</v>
      </c>
      <c r="I621" s="12" t="s">
        <v>23</v>
      </c>
      <c r="J621" s="12">
        <v>47</v>
      </c>
      <c r="K621" s="12">
        <v>0</v>
      </c>
      <c r="L621" s="12">
        <v>0</v>
      </c>
      <c r="M621" s="12">
        <v>0</v>
      </c>
      <c r="N621" s="12">
        <v>0</v>
      </c>
      <c r="O621" s="12" t="str">
        <f t="shared" si="9"/>
        <v>40 - 49</v>
      </c>
    </row>
    <row r="622" spans="1:15" x14ac:dyDescent="0.35">
      <c r="A622" s="11">
        <v>2436</v>
      </c>
      <c r="B622" s="11" t="s">
        <v>20</v>
      </c>
      <c r="C622" s="11">
        <v>31</v>
      </c>
      <c r="D622" s="11" t="s">
        <v>17</v>
      </c>
      <c r="E622" s="11" t="s">
        <v>14</v>
      </c>
      <c r="F622" s="11">
        <v>226</v>
      </c>
      <c r="G622" s="11">
        <v>2</v>
      </c>
      <c r="H622" s="11">
        <v>0.47</v>
      </c>
      <c r="I622" s="11" t="s">
        <v>15</v>
      </c>
      <c r="J622" s="11">
        <v>13</v>
      </c>
      <c r="K622" s="11">
        <v>0</v>
      </c>
      <c r="L622" s="11">
        <v>0</v>
      </c>
      <c r="M622" s="11">
        <v>0</v>
      </c>
      <c r="N622" s="11">
        <v>0</v>
      </c>
      <c r="O622" s="12" t="str">
        <f t="shared" si="9"/>
        <v>10 - 19</v>
      </c>
    </row>
    <row r="623" spans="1:15" x14ac:dyDescent="0.35">
      <c r="A623" s="12">
        <v>2440</v>
      </c>
      <c r="B623" s="12" t="s">
        <v>20</v>
      </c>
      <c r="C623" s="12">
        <v>22</v>
      </c>
      <c r="D623" s="12" t="s">
        <v>21</v>
      </c>
      <c r="E623" s="12" t="s">
        <v>14</v>
      </c>
      <c r="F623" s="12">
        <v>257</v>
      </c>
      <c r="G623" s="12">
        <v>11</v>
      </c>
      <c r="H623" s="12">
        <v>0.47</v>
      </c>
      <c r="I623" s="12" t="s">
        <v>23</v>
      </c>
      <c r="J623" s="12">
        <v>41</v>
      </c>
      <c r="K623" s="12">
        <v>0</v>
      </c>
      <c r="L623" s="12">
        <v>0</v>
      </c>
      <c r="M623" s="12">
        <v>0</v>
      </c>
      <c r="N623" s="12">
        <v>0</v>
      </c>
      <c r="O623" s="12" t="str">
        <f t="shared" si="9"/>
        <v>40 - 49</v>
      </c>
    </row>
    <row r="624" spans="1:15" x14ac:dyDescent="0.35">
      <c r="A624" s="11">
        <v>2443</v>
      </c>
      <c r="B624" s="11" t="s">
        <v>12</v>
      </c>
      <c r="C624" s="11">
        <v>54</v>
      </c>
      <c r="D624" s="11" t="s">
        <v>28</v>
      </c>
      <c r="E624" s="11" t="s">
        <v>14</v>
      </c>
      <c r="F624" s="11">
        <v>283</v>
      </c>
      <c r="G624" s="11">
        <v>27</v>
      </c>
      <c r="H624" s="11">
        <v>0.54</v>
      </c>
      <c r="I624" s="11" t="s">
        <v>23</v>
      </c>
      <c r="J624" s="11">
        <v>11</v>
      </c>
      <c r="K624" s="11">
        <v>0</v>
      </c>
      <c r="L624" s="11">
        <v>1</v>
      </c>
      <c r="M624" s="11">
        <v>0</v>
      </c>
      <c r="N624" s="11">
        <v>0</v>
      </c>
      <c r="O624" s="12" t="str">
        <f t="shared" si="9"/>
        <v>10 - 19</v>
      </c>
    </row>
    <row r="625" spans="1:15" x14ac:dyDescent="0.35">
      <c r="A625" s="12">
        <v>2446</v>
      </c>
      <c r="B625" s="12" t="s">
        <v>12</v>
      </c>
      <c r="C625" s="12">
        <v>20</v>
      </c>
      <c r="D625" s="12" t="s">
        <v>28</v>
      </c>
      <c r="E625" s="12" t="s">
        <v>14</v>
      </c>
      <c r="F625" s="12">
        <v>218</v>
      </c>
      <c r="G625" s="12">
        <v>33</v>
      </c>
      <c r="H625" s="12">
        <v>0.26</v>
      </c>
      <c r="I625" s="12" t="s">
        <v>23</v>
      </c>
      <c r="J625" s="12">
        <v>30</v>
      </c>
      <c r="K625" s="12">
        <v>0</v>
      </c>
      <c r="L625" s="12">
        <v>0</v>
      </c>
      <c r="M625" s="12">
        <v>0</v>
      </c>
      <c r="N625" s="12">
        <v>0</v>
      </c>
      <c r="O625" s="12" t="str">
        <f t="shared" si="9"/>
        <v>30 - 39</v>
      </c>
    </row>
    <row r="626" spans="1:15" x14ac:dyDescent="0.35">
      <c r="A626" s="11">
        <v>2449</v>
      </c>
      <c r="B626" s="11" t="s">
        <v>16</v>
      </c>
      <c r="C626" s="11">
        <v>41</v>
      </c>
      <c r="D626" s="11" t="s">
        <v>13</v>
      </c>
      <c r="E626" s="11" t="s">
        <v>14</v>
      </c>
      <c r="F626" s="11">
        <v>69</v>
      </c>
      <c r="G626" s="11">
        <v>51</v>
      </c>
      <c r="H626" s="11">
        <v>0.06</v>
      </c>
      <c r="I626" s="11" t="s">
        <v>23</v>
      </c>
      <c r="J626" s="11">
        <v>16</v>
      </c>
      <c r="K626" s="11">
        <v>0</v>
      </c>
      <c r="L626" s="11">
        <v>0</v>
      </c>
      <c r="M626" s="11">
        <v>0</v>
      </c>
      <c r="N626" s="11">
        <v>0</v>
      </c>
      <c r="O626" s="12" t="str">
        <f t="shared" si="9"/>
        <v>10 - 19</v>
      </c>
    </row>
    <row r="627" spans="1:15" x14ac:dyDescent="0.35">
      <c r="A627" s="12">
        <v>2450</v>
      </c>
      <c r="B627" s="12" t="s">
        <v>16</v>
      </c>
      <c r="C627" s="12">
        <v>37</v>
      </c>
      <c r="D627" s="12" t="s">
        <v>17</v>
      </c>
      <c r="E627" s="12" t="s">
        <v>14</v>
      </c>
      <c r="F627" s="12">
        <v>252</v>
      </c>
      <c r="G627" s="12">
        <v>68</v>
      </c>
      <c r="H627" s="12">
        <v>0.42</v>
      </c>
      <c r="I627" s="12" t="s">
        <v>15</v>
      </c>
      <c r="J627" s="12">
        <v>24</v>
      </c>
      <c r="K627" s="12">
        <v>0</v>
      </c>
      <c r="L627" s="12">
        <v>0</v>
      </c>
      <c r="M627" s="12">
        <v>0</v>
      </c>
      <c r="N627" s="12">
        <v>0</v>
      </c>
      <c r="O627" s="12" t="str">
        <f t="shared" si="9"/>
        <v>20 - 29</v>
      </c>
    </row>
    <row r="628" spans="1:15" x14ac:dyDescent="0.35">
      <c r="A628" s="11">
        <v>2452</v>
      </c>
      <c r="B628" s="11" t="s">
        <v>16</v>
      </c>
      <c r="C628" s="11">
        <v>53</v>
      </c>
      <c r="D628" s="11" t="s">
        <v>26</v>
      </c>
      <c r="E628" s="11" t="s">
        <v>14</v>
      </c>
      <c r="F628" s="11">
        <v>290</v>
      </c>
      <c r="G628" s="11">
        <v>74</v>
      </c>
      <c r="H628" s="11">
        <v>0.53</v>
      </c>
      <c r="I628" s="11" t="s">
        <v>23</v>
      </c>
      <c r="J628" s="11">
        <v>36</v>
      </c>
      <c r="K628" s="11">
        <v>0</v>
      </c>
      <c r="L628" s="11">
        <v>0</v>
      </c>
      <c r="M628" s="11">
        <v>0</v>
      </c>
      <c r="N628" s="11">
        <v>0</v>
      </c>
      <c r="O628" s="12" t="str">
        <f t="shared" si="9"/>
        <v>30 - 39</v>
      </c>
    </row>
    <row r="629" spans="1:15" x14ac:dyDescent="0.35">
      <c r="A629" s="12">
        <v>2456</v>
      </c>
      <c r="B629" s="12" t="s">
        <v>16</v>
      </c>
      <c r="C629" s="12">
        <v>30</v>
      </c>
      <c r="D629" s="12" t="s">
        <v>29</v>
      </c>
      <c r="E629" s="12" t="s">
        <v>14</v>
      </c>
      <c r="F629" s="12">
        <v>50</v>
      </c>
      <c r="G629" s="12">
        <v>71</v>
      </c>
      <c r="H629" s="12">
        <v>0.03</v>
      </c>
      <c r="I629" s="12" t="s">
        <v>19</v>
      </c>
      <c r="J629" s="12">
        <v>21</v>
      </c>
      <c r="K629" s="12">
        <v>0</v>
      </c>
      <c r="L629" s="12">
        <v>0</v>
      </c>
      <c r="M629" s="12">
        <v>0</v>
      </c>
      <c r="N629" s="12">
        <v>0</v>
      </c>
      <c r="O629" s="12" t="str">
        <f t="shared" si="9"/>
        <v>20 - 29</v>
      </c>
    </row>
    <row r="630" spans="1:15" x14ac:dyDescent="0.35">
      <c r="A630" s="11">
        <v>2459</v>
      </c>
      <c r="B630" s="11" t="s">
        <v>20</v>
      </c>
      <c r="C630" s="11">
        <v>29</v>
      </c>
      <c r="D630" s="11" t="s">
        <v>26</v>
      </c>
      <c r="E630" s="11" t="s">
        <v>14</v>
      </c>
      <c r="F630" s="11">
        <v>77</v>
      </c>
      <c r="G630" s="11">
        <v>89</v>
      </c>
      <c r="H630" s="11">
        <v>0.12</v>
      </c>
      <c r="I630" s="11" t="s">
        <v>19</v>
      </c>
      <c r="J630" s="11">
        <v>12</v>
      </c>
      <c r="K630" s="11">
        <v>0</v>
      </c>
      <c r="L630" s="11">
        <v>0</v>
      </c>
      <c r="M630" s="11">
        <v>0</v>
      </c>
      <c r="N630" s="11">
        <v>0</v>
      </c>
      <c r="O630" s="12" t="str">
        <f t="shared" si="9"/>
        <v>10 - 19</v>
      </c>
    </row>
    <row r="631" spans="1:15" x14ac:dyDescent="0.35">
      <c r="A631" s="12">
        <v>2460</v>
      </c>
      <c r="B631" s="12" t="s">
        <v>12</v>
      </c>
      <c r="C631" s="12">
        <v>51</v>
      </c>
      <c r="D631" s="12" t="s">
        <v>25</v>
      </c>
      <c r="E631" s="12" t="s">
        <v>14</v>
      </c>
      <c r="F631" s="12">
        <v>28</v>
      </c>
      <c r="G631" s="12">
        <v>4</v>
      </c>
      <c r="H631" s="12">
        <v>0.36</v>
      </c>
      <c r="I631" s="12" t="s">
        <v>15</v>
      </c>
      <c r="J631" s="12">
        <v>34</v>
      </c>
      <c r="K631" s="12">
        <v>0</v>
      </c>
      <c r="L631" s="12">
        <v>0</v>
      </c>
      <c r="M631" s="12">
        <v>0</v>
      </c>
      <c r="N631" s="12">
        <v>0</v>
      </c>
      <c r="O631" s="12" t="str">
        <f t="shared" si="9"/>
        <v>30 - 39</v>
      </c>
    </row>
    <row r="632" spans="1:15" x14ac:dyDescent="0.35">
      <c r="A632" s="11">
        <v>2462</v>
      </c>
      <c r="B632" s="11" t="s">
        <v>12</v>
      </c>
      <c r="C632" s="11">
        <v>30</v>
      </c>
      <c r="D632" s="11" t="s">
        <v>17</v>
      </c>
      <c r="E632" s="11" t="s">
        <v>14</v>
      </c>
      <c r="F632" s="11">
        <v>146</v>
      </c>
      <c r="G632" s="11">
        <v>77</v>
      </c>
      <c r="H632" s="11">
        <v>0.33</v>
      </c>
      <c r="I632" s="11" t="s">
        <v>23</v>
      </c>
      <c r="J632" s="11">
        <v>42</v>
      </c>
      <c r="K632" s="11">
        <v>0</v>
      </c>
      <c r="L632" s="11">
        <v>0</v>
      </c>
      <c r="M632" s="11">
        <v>0</v>
      </c>
      <c r="N632" s="11">
        <v>0</v>
      </c>
      <c r="O632" s="12" t="str">
        <f t="shared" si="9"/>
        <v>40 - 49</v>
      </c>
    </row>
    <row r="633" spans="1:15" x14ac:dyDescent="0.35">
      <c r="A633" s="12">
        <v>2465</v>
      </c>
      <c r="B633" s="12" t="s">
        <v>16</v>
      </c>
      <c r="C633" s="12">
        <v>47</v>
      </c>
      <c r="D633" s="12" t="s">
        <v>28</v>
      </c>
      <c r="E633" s="12" t="s">
        <v>14</v>
      </c>
      <c r="F633" s="12">
        <v>48</v>
      </c>
      <c r="G633" s="12">
        <v>86</v>
      </c>
      <c r="H633" s="12">
        <v>0.55000000000000004</v>
      </c>
      <c r="I633" s="12" t="s">
        <v>23</v>
      </c>
      <c r="J633" s="12">
        <v>28</v>
      </c>
      <c r="K633" s="12">
        <v>0</v>
      </c>
      <c r="L633" s="12">
        <v>0</v>
      </c>
      <c r="M633" s="12">
        <v>0</v>
      </c>
      <c r="N633" s="12">
        <v>0</v>
      </c>
      <c r="O633" s="12" t="str">
        <f t="shared" si="9"/>
        <v>20 - 29</v>
      </c>
    </row>
    <row r="634" spans="1:15" x14ac:dyDescent="0.35">
      <c r="A634" s="11">
        <v>2466</v>
      </c>
      <c r="B634" s="11" t="s">
        <v>16</v>
      </c>
      <c r="C634" s="11">
        <v>17</v>
      </c>
      <c r="D634" s="11" t="s">
        <v>28</v>
      </c>
      <c r="E634" s="11" t="s">
        <v>14</v>
      </c>
      <c r="F634" s="11">
        <v>285</v>
      </c>
      <c r="G634" s="11">
        <v>59</v>
      </c>
      <c r="H634" s="11">
        <v>0.22</v>
      </c>
      <c r="I634" s="11" t="s">
        <v>23</v>
      </c>
      <c r="J634" s="11">
        <v>31</v>
      </c>
      <c r="K634" s="11">
        <v>0</v>
      </c>
      <c r="L634" s="11">
        <v>0</v>
      </c>
      <c r="M634" s="11">
        <v>0</v>
      </c>
      <c r="N634" s="11">
        <v>0</v>
      </c>
      <c r="O634" s="12" t="str">
        <f t="shared" si="9"/>
        <v>30 - 39</v>
      </c>
    </row>
    <row r="635" spans="1:15" x14ac:dyDescent="0.35">
      <c r="A635" s="12">
        <v>2469</v>
      </c>
      <c r="B635" s="12" t="s">
        <v>16</v>
      </c>
      <c r="C635" s="12">
        <v>41</v>
      </c>
      <c r="D635" s="12" t="s">
        <v>13</v>
      </c>
      <c r="E635" s="12" t="s">
        <v>14</v>
      </c>
      <c r="F635" s="12">
        <v>87</v>
      </c>
      <c r="G635" s="12">
        <v>65</v>
      </c>
      <c r="H635" s="12">
        <v>0.56999999999999995</v>
      </c>
      <c r="I635" s="12" t="s">
        <v>19</v>
      </c>
      <c r="J635" s="12">
        <v>36</v>
      </c>
      <c r="K635" s="12">
        <v>0</v>
      </c>
      <c r="L635" s="12">
        <v>0</v>
      </c>
      <c r="M635" s="12">
        <v>0</v>
      </c>
      <c r="N635" s="12">
        <v>0</v>
      </c>
      <c r="O635" s="12" t="str">
        <f t="shared" si="9"/>
        <v>30 - 39</v>
      </c>
    </row>
    <row r="636" spans="1:15" x14ac:dyDescent="0.35">
      <c r="A636" s="11">
        <v>2471</v>
      </c>
      <c r="B636" s="11" t="s">
        <v>16</v>
      </c>
      <c r="C636" s="11">
        <v>56</v>
      </c>
      <c r="D636" s="11" t="s">
        <v>25</v>
      </c>
      <c r="E636" s="11" t="s">
        <v>14</v>
      </c>
      <c r="F636" s="11">
        <v>289</v>
      </c>
      <c r="G636" s="11">
        <v>3</v>
      </c>
      <c r="H636" s="11">
        <v>0.05</v>
      </c>
      <c r="I636" s="11" t="s">
        <v>19</v>
      </c>
      <c r="J636" s="11">
        <v>37</v>
      </c>
      <c r="K636" s="11">
        <v>0</v>
      </c>
      <c r="L636" s="11">
        <v>1</v>
      </c>
      <c r="M636" s="11">
        <v>0</v>
      </c>
      <c r="N636" s="11">
        <v>0</v>
      </c>
      <c r="O636" s="12" t="str">
        <f t="shared" si="9"/>
        <v>30 - 39</v>
      </c>
    </row>
    <row r="637" spans="1:15" x14ac:dyDescent="0.35">
      <c r="A637" s="12">
        <v>2475</v>
      </c>
      <c r="B637" s="12" t="s">
        <v>16</v>
      </c>
      <c r="C637" s="12">
        <v>31</v>
      </c>
      <c r="D637" s="12" t="s">
        <v>17</v>
      </c>
      <c r="E637" s="12" t="s">
        <v>14</v>
      </c>
      <c r="F637" s="12">
        <v>262</v>
      </c>
      <c r="G637" s="12">
        <v>59</v>
      </c>
      <c r="H637" s="12">
        <v>0.28000000000000003</v>
      </c>
      <c r="I637" s="12" t="s">
        <v>23</v>
      </c>
      <c r="J637" s="12">
        <v>38</v>
      </c>
      <c r="K637" s="12">
        <v>0</v>
      </c>
      <c r="L637" s="12">
        <v>0</v>
      </c>
      <c r="M637" s="12">
        <v>0</v>
      </c>
      <c r="N637" s="12">
        <v>0</v>
      </c>
      <c r="O637" s="12" t="str">
        <f t="shared" si="9"/>
        <v>30 - 39</v>
      </c>
    </row>
    <row r="638" spans="1:15" x14ac:dyDescent="0.35">
      <c r="A638" s="11">
        <v>2479</v>
      </c>
      <c r="B638" s="11" t="s">
        <v>16</v>
      </c>
      <c r="C638" s="11">
        <v>59</v>
      </c>
      <c r="D638" s="11" t="s">
        <v>21</v>
      </c>
      <c r="E638" s="11" t="s">
        <v>14</v>
      </c>
      <c r="F638" s="11">
        <v>188</v>
      </c>
      <c r="G638" s="11">
        <v>86</v>
      </c>
      <c r="H638" s="11">
        <v>0.11</v>
      </c>
      <c r="I638" s="11" t="s">
        <v>23</v>
      </c>
      <c r="J638" s="11">
        <v>46</v>
      </c>
      <c r="K638" s="11">
        <v>0</v>
      </c>
      <c r="L638" s="11">
        <v>0</v>
      </c>
      <c r="M638" s="11">
        <v>0</v>
      </c>
      <c r="N638" s="11">
        <v>0</v>
      </c>
      <c r="O638" s="12" t="str">
        <f t="shared" si="9"/>
        <v>40 - 49</v>
      </c>
    </row>
    <row r="639" spans="1:15" x14ac:dyDescent="0.35">
      <c r="A639" s="12">
        <v>2481</v>
      </c>
      <c r="B639" s="12" t="s">
        <v>12</v>
      </c>
      <c r="C639" s="12">
        <v>46</v>
      </c>
      <c r="D639" s="12" t="s">
        <v>21</v>
      </c>
      <c r="E639" s="12" t="s">
        <v>14</v>
      </c>
      <c r="F639" s="12">
        <v>11</v>
      </c>
      <c r="G639" s="12">
        <v>86</v>
      </c>
      <c r="H639" s="12">
        <v>0.3</v>
      </c>
      <c r="I639" s="12" t="s">
        <v>19</v>
      </c>
      <c r="J639" s="12">
        <v>41</v>
      </c>
      <c r="K639" s="12">
        <v>0</v>
      </c>
      <c r="L639" s="12">
        <v>0</v>
      </c>
      <c r="M639" s="12">
        <v>0</v>
      </c>
      <c r="N639" s="12">
        <v>0</v>
      </c>
      <c r="O639" s="12" t="str">
        <f t="shared" si="9"/>
        <v>40 - 49</v>
      </c>
    </row>
    <row r="640" spans="1:15" x14ac:dyDescent="0.35">
      <c r="A640" s="11">
        <v>2493</v>
      </c>
      <c r="B640" s="11" t="s">
        <v>12</v>
      </c>
      <c r="C640" s="11">
        <v>39</v>
      </c>
      <c r="D640" s="11" t="s">
        <v>25</v>
      </c>
      <c r="E640" s="11" t="s">
        <v>14</v>
      </c>
      <c r="F640" s="11">
        <v>296</v>
      </c>
      <c r="G640" s="11">
        <v>9</v>
      </c>
      <c r="H640" s="11">
        <v>0</v>
      </c>
      <c r="I640" s="11" t="s">
        <v>23</v>
      </c>
      <c r="J640" s="11">
        <v>18</v>
      </c>
      <c r="K640" s="11">
        <v>0</v>
      </c>
      <c r="L640" s="11">
        <v>1</v>
      </c>
      <c r="M640" s="11">
        <v>0</v>
      </c>
      <c r="N640" s="11">
        <v>0</v>
      </c>
      <c r="O640" s="12" t="str">
        <f t="shared" si="9"/>
        <v>10 - 19</v>
      </c>
    </row>
    <row r="641" spans="1:15" x14ac:dyDescent="0.35">
      <c r="A641" s="12">
        <v>2494</v>
      </c>
      <c r="B641" s="12" t="s">
        <v>16</v>
      </c>
      <c r="C641" s="12">
        <v>28</v>
      </c>
      <c r="D641" s="12" t="s">
        <v>13</v>
      </c>
      <c r="E641" s="12" t="s">
        <v>14</v>
      </c>
      <c r="F641" s="12">
        <v>21</v>
      </c>
      <c r="G641" s="12">
        <v>19</v>
      </c>
      <c r="H641" s="12">
        <v>0.52</v>
      </c>
      <c r="I641" s="12" t="s">
        <v>23</v>
      </c>
      <c r="J641" s="12">
        <v>32</v>
      </c>
      <c r="K641" s="12">
        <v>0</v>
      </c>
      <c r="L641" s="12">
        <v>0</v>
      </c>
      <c r="M641" s="12">
        <v>0</v>
      </c>
      <c r="N641" s="12">
        <v>0</v>
      </c>
      <c r="O641" s="12" t="str">
        <f t="shared" si="9"/>
        <v>30 - 39</v>
      </c>
    </row>
    <row r="642" spans="1:15" x14ac:dyDescent="0.35">
      <c r="A642" s="11">
        <v>2499</v>
      </c>
      <c r="B642" s="11" t="s">
        <v>16</v>
      </c>
      <c r="C642" s="11">
        <v>29</v>
      </c>
      <c r="D642" s="11" t="s">
        <v>25</v>
      </c>
      <c r="E642" s="11" t="s">
        <v>14</v>
      </c>
      <c r="F642" s="11">
        <v>251</v>
      </c>
      <c r="G642" s="11">
        <v>15</v>
      </c>
      <c r="H642" s="11">
        <v>0.12</v>
      </c>
      <c r="I642" s="11" t="s">
        <v>19</v>
      </c>
      <c r="J642" s="11">
        <v>48</v>
      </c>
      <c r="K642" s="11">
        <v>0</v>
      </c>
      <c r="L642" s="11">
        <v>0</v>
      </c>
      <c r="M642" s="11">
        <v>0</v>
      </c>
      <c r="N642" s="11">
        <v>0</v>
      </c>
      <c r="O642" s="12" t="str">
        <f t="shared" ref="O642:O705" si="10">_xlfn.FLOOR.MATH(J642, 10) &amp; " - " &amp; (_xlfn.FLOOR.MATH(J642, 10) + 9)</f>
        <v>40 - 49</v>
      </c>
    </row>
    <row r="643" spans="1:15" x14ac:dyDescent="0.35">
      <c r="A643" s="12">
        <v>2505</v>
      </c>
      <c r="B643" s="12" t="s">
        <v>12</v>
      </c>
      <c r="C643" s="12">
        <v>26</v>
      </c>
      <c r="D643" s="12" t="s">
        <v>25</v>
      </c>
      <c r="E643" s="12" t="s">
        <v>14</v>
      </c>
      <c r="F643" s="12">
        <v>285</v>
      </c>
      <c r="G643" s="12">
        <v>44</v>
      </c>
      <c r="H643" s="12">
        <v>0.48</v>
      </c>
      <c r="I643" s="12" t="s">
        <v>19</v>
      </c>
      <c r="J643" s="12">
        <v>21</v>
      </c>
      <c r="K643" s="12">
        <v>0</v>
      </c>
      <c r="L643" s="12">
        <v>0</v>
      </c>
      <c r="M643" s="12">
        <v>0</v>
      </c>
      <c r="N643" s="12">
        <v>0</v>
      </c>
      <c r="O643" s="12" t="str">
        <f t="shared" si="10"/>
        <v>20 - 29</v>
      </c>
    </row>
    <row r="644" spans="1:15" x14ac:dyDescent="0.35">
      <c r="A644" s="11">
        <v>2520</v>
      </c>
      <c r="B644" s="11" t="s">
        <v>12</v>
      </c>
      <c r="C644" s="11">
        <v>23</v>
      </c>
      <c r="D644" s="11" t="s">
        <v>27</v>
      </c>
      <c r="E644" s="11" t="s">
        <v>14</v>
      </c>
      <c r="F644" s="11">
        <v>152</v>
      </c>
      <c r="G644" s="11">
        <v>11</v>
      </c>
      <c r="H644" s="11">
        <v>0.23</v>
      </c>
      <c r="I644" s="11" t="s">
        <v>19</v>
      </c>
      <c r="J644" s="11">
        <v>16</v>
      </c>
      <c r="K644" s="11">
        <v>0</v>
      </c>
      <c r="L644" s="11">
        <v>0</v>
      </c>
      <c r="M644" s="11">
        <v>0</v>
      </c>
      <c r="N644" s="11">
        <v>0</v>
      </c>
      <c r="O644" s="12" t="str">
        <f t="shared" si="10"/>
        <v>10 - 19</v>
      </c>
    </row>
    <row r="645" spans="1:15" x14ac:dyDescent="0.35">
      <c r="A645" s="12">
        <v>2525</v>
      </c>
      <c r="B645" s="12" t="s">
        <v>12</v>
      </c>
      <c r="C645" s="12">
        <v>33</v>
      </c>
      <c r="D645" s="12" t="s">
        <v>17</v>
      </c>
      <c r="E645" s="12" t="s">
        <v>14</v>
      </c>
      <c r="F645" s="12">
        <v>56</v>
      </c>
      <c r="G645" s="12">
        <v>57</v>
      </c>
      <c r="H645" s="12">
        <v>0.57999999999999996</v>
      </c>
      <c r="I645" s="12" t="s">
        <v>23</v>
      </c>
      <c r="J645" s="12">
        <v>16</v>
      </c>
      <c r="K645" s="12">
        <v>0</v>
      </c>
      <c r="L645" s="12">
        <v>1</v>
      </c>
      <c r="M645" s="12">
        <v>0</v>
      </c>
      <c r="N645" s="12">
        <v>0</v>
      </c>
      <c r="O645" s="12" t="str">
        <f t="shared" si="10"/>
        <v>10 - 19</v>
      </c>
    </row>
    <row r="646" spans="1:15" x14ac:dyDescent="0.35">
      <c r="A646" s="11">
        <v>2526</v>
      </c>
      <c r="B646" s="11" t="s">
        <v>12</v>
      </c>
      <c r="C646" s="11">
        <v>50</v>
      </c>
      <c r="D646" s="11" t="s">
        <v>26</v>
      </c>
      <c r="E646" s="11" t="s">
        <v>14</v>
      </c>
      <c r="F646" s="11">
        <v>118</v>
      </c>
      <c r="G646" s="11">
        <v>72</v>
      </c>
      <c r="H646" s="11">
        <v>0.06</v>
      </c>
      <c r="I646" s="11" t="s">
        <v>23</v>
      </c>
      <c r="J646" s="11">
        <v>8</v>
      </c>
      <c r="K646" s="11">
        <v>0</v>
      </c>
      <c r="L646" s="11">
        <v>0</v>
      </c>
      <c r="M646" s="11">
        <v>0</v>
      </c>
      <c r="N646" s="11">
        <v>0</v>
      </c>
      <c r="O646" s="12" t="str">
        <f t="shared" si="10"/>
        <v>0 - 9</v>
      </c>
    </row>
    <row r="647" spans="1:15" x14ac:dyDescent="0.35">
      <c r="A647" s="12">
        <v>2527</v>
      </c>
      <c r="B647" s="12" t="s">
        <v>12</v>
      </c>
      <c r="C647" s="12">
        <v>17</v>
      </c>
      <c r="D647" s="12" t="s">
        <v>28</v>
      </c>
      <c r="E647" s="12" t="s">
        <v>14</v>
      </c>
      <c r="F647" s="12">
        <v>98</v>
      </c>
      <c r="G647" s="12">
        <v>82</v>
      </c>
      <c r="H647" s="12">
        <v>0.44</v>
      </c>
      <c r="I647" s="12" t="s">
        <v>19</v>
      </c>
      <c r="J647" s="12">
        <v>24</v>
      </c>
      <c r="K647" s="12">
        <v>0</v>
      </c>
      <c r="L647" s="12">
        <v>0</v>
      </c>
      <c r="M647" s="12">
        <v>0</v>
      </c>
      <c r="N647" s="12">
        <v>0</v>
      </c>
      <c r="O647" s="12" t="str">
        <f t="shared" si="10"/>
        <v>20 - 29</v>
      </c>
    </row>
    <row r="648" spans="1:15" x14ac:dyDescent="0.35">
      <c r="A648" s="11">
        <v>2543</v>
      </c>
      <c r="B648" s="11" t="s">
        <v>16</v>
      </c>
      <c r="C648" s="11">
        <v>52</v>
      </c>
      <c r="D648" s="11" t="s">
        <v>21</v>
      </c>
      <c r="E648" s="11" t="s">
        <v>14</v>
      </c>
      <c r="F648" s="11">
        <v>19</v>
      </c>
      <c r="G648" s="11">
        <v>37</v>
      </c>
      <c r="H648" s="11">
        <v>0.49</v>
      </c>
      <c r="I648" s="11" t="s">
        <v>23</v>
      </c>
      <c r="J648" s="11">
        <v>30</v>
      </c>
      <c r="K648" s="11">
        <v>0</v>
      </c>
      <c r="L648" s="11">
        <v>1</v>
      </c>
      <c r="M648" s="11">
        <v>0</v>
      </c>
      <c r="N648" s="11">
        <v>0</v>
      </c>
      <c r="O648" s="12" t="str">
        <f t="shared" si="10"/>
        <v>30 - 39</v>
      </c>
    </row>
    <row r="649" spans="1:15" x14ac:dyDescent="0.35">
      <c r="A649" s="12">
        <v>2555</v>
      </c>
      <c r="B649" s="12" t="s">
        <v>20</v>
      </c>
      <c r="C649" s="12">
        <v>29</v>
      </c>
      <c r="D649" s="12" t="s">
        <v>27</v>
      </c>
      <c r="E649" s="12" t="s">
        <v>14</v>
      </c>
      <c r="F649" s="12">
        <v>110</v>
      </c>
      <c r="G649" s="12">
        <v>46</v>
      </c>
      <c r="H649" s="12">
        <v>0.17</v>
      </c>
      <c r="I649" s="12" t="s">
        <v>23</v>
      </c>
      <c r="J649" s="12">
        <v>22</v>
      </c>
      <c r="K649" s="12">
        <v>0</v>
      </c>
      <c r="L649" s="12">
        <v>0</v>
      </c>
      <c r="M649" s="12">
        <v>0</v>
      </c>
      <c r="N649" s="12">
        <v>0</v>
      </c>
      <c r="O649" s="12" t="str">
        <f t="shared" si="10"/>
        <v>20 - 29</v>
      </c>
    </row>
    <row r="650" spans="1:15" x14ac:dyDescent="0.35">
      <c r="A650" s="11">
        <v>2556</v>
      </c>
      <c r="B650" s="11" t="s">
        <v>12</v>
      </c>
      <c r="C650" s="11">
        <v>33</v>
      </c>
      <c r="D650" s="11" t="s">
        <v>13</v>
      </c>
      <c r="E650" s="11" t="s">
        <v>14</v>
      </c>
      <c r="F650" s="11">
        <v>154</v>
      </c>
      <c r="G650" s="11">
        <v>69</v>
      </c>
      <c r="H650" s="11">
        <v>0.48</v>
      </c>
      <c r="I650" s="11" t="s">
        <v>19</v>
      </c>
      <c r="J650" s="11">
        <v>10</v>
      </c>
      <c r="K650" s="11">
        <v>0</v>
      </c>
      <c r="L650" s="11">
        <v>0</v>
      </c>
      <c r="M650" s="11">
        <v>0</v>
      </c>
      <c r="N650" s="11">
        <v>0</v>
      </c>
      <c r="O650" s="12" t="str">
        <f t="shared" si="10"/>
        <v>10 - 19</v>
      </c>
    </row>
    <row r="651" spans="1:15" x14ac:dyDescent="0.35">
      <c r="A651" s="12">
        <v>2558</v>
      </c>
      <c r="B651" s="12" t="s">
        <v>16</v>
      </c>
      <c r="C651" s="12">
        <v>48</v>
      </c>
      <c r="D651" s="12" t="s">
        <v>28</v>
      </c>
      <c r="E651" s="12" t="s">
        <v>14</v>
      </c>
      <c r="F651" s="12">
        <v>212</v>
      </c>
      <c r="G651" s="12">
        <v>85</v>
      </c>
      <c r="H651" s="12">
        <v>0.28000000000000003</v>
      </c>
      <c r="I651" s="12" t="s">
        <v>19</v>
      </c>
      <c r="J651" s="12">
        <v>19</v>
      </c>
      <c r="K651" s="12">
        <v>0</v>
      </c>
      <c r="L651" s="12">
        <v>0</v>
      </c>
      <c r="M651" s="12">
        <v>0</v>
      </c>
      <c r="N651" s="12">
        <v>0</v>
      </c>
      <c r="O651" s="12" t="str">
        <f t="shared" si="10"/>
        <v>10 - 19</v>
      </c>
    </row>
    <row r="652" spans="1:15" x14ac:dyDescent="0.35">
      <c r="A652" s="11">
        <v>2564</v>
      </c>
      <c r="B652" s="11" t="s">
        <v>16</v>
      </c>
      <c r="C652" s="11">
        <v>41</v>
      </c>
      <c r="D652" s="11" t="s">
        <v>27</v>
      </c>
      <c r="E652" s="11" t="s">
        <v>14</v>
      </c>
      <c r="F652" s="11">
        <v>21</v>
      </c>
      <c r="G652" s="11">
        <v>57</v>
      </c>
      <c r="H652" s="11">
        <v>0.22</v>
      </c>
      <c r="I652" s="11" t="s">
        <v>15</v>
      </c>
      <c r="J652" s="11">
        <v>30</v>
      </c>
      <c r="K652" s="11">
        <v>0</v>
      </c>
      <c r="L652" s="11">
        <v>0</v>
      </c>
      <c r="M652" s="11">
        <v>0</v>
      </c>
      <c r="N652" s="11">
        <v>0</v>
      </c>
      <c r="O652" s="12" t="str">
        <f t="shared" si="10"/>
        <v>30 - 39</v>
      </c>
    </row>
    <row r="653" spans="1:15" x14ac:dyDescent="0.35">
      <c r="A653" s="12">
        <v>2569</v>
      </c>
      <c r="B653" s="12" t="s">
        <v>20</v>
      </c>
      <c r="C653" s="12">
        <v>38</v>
      </c>
      <c r="D653" s="12" t="s">
        <v>25</v>
      </c>
      <c r="E653" s="12" t="s">
        <v>14</v>
      </c>
      <c r="F653" s="12">
        <v>83</v>
      </c>
      <c r="G653" s="12">
        <v>60</v>
      </c>
      <c r="H653" s="12">
        <v>0.31</v>
      </c>
      <c r="I653" s="12" t="s">
        <v>19</v>
      </c>
      <c r="J653" s="12">
        <v>8</v>
      </c>
      <c r="K653" s="12">
        <v>0</v>
      </c>
      <c r="L653" s="12">
        <v>0</v>
      </c>
      <c r="M653" s="12">
        <v>0</v>
      </c>
      <c r="N653" s="12">
        <v>0</v>
      </c>
      <c r="O653" s="12" t="str">
        <f t="shared" si="10"/>
        <v>0 - 9</v>
      </c>
    </row>
    <row r="654" spans="1:15" x14ac:dyDescent="0.35">
      <c r="A654" s="11">
        <v>2570</v>
      </c>
      <c r="B654" s="11" t="s">
        <v>20</v>
      </c>
      <c r="C654" s="11">
        <v>16</v>
      </c>
      <c r="D654" s="11" t="s">
        <v>17</v>
      </c>
      <c r="E654" s="11" t="s">
        <v>14</v>
      </c>
      <c r="F654" s="11">
        <v>180</v>
      </c>
      <c r="G654" s="11">
        <v>8</v>
      </c>
      <c r="H654" s="11">
        <v>0.06</v>
      </c>
      <c r="I654" s="11" t="s">
        <v>23</v>
      </c>
      <c r="J654" s="11">
        <v>43</v>
      </c>
      <c r="K654" s="11">
        <v>0</v>
      </c>
      <c r="L654" s="11">
        <v>0</v>
      </c>
      <c r="M654" s="11">
        <v>0</v>
      </c>
      <c r="N654" s="11">
        <v>0</v>
      </c>
      <c r="O654" s="12" t="str">
        <f t="shared" si="10"/>
        <v>40 - 49</v>
      </c>
    </row>
    <row r="655" spans="1:15" x14ac:dyDescent="0.35">
      <c r="A655" s="12">
        <v>2578</v>
      </c>
      <c r="B655" s="12" t="s">
        <v>16</v>
      </c>
      <c r="C655" s="12">
        <v>19</v>
      </c>
      <c r="D655" s="12" t="s">
        <v>29</v>
      </c>
      <c r="E655" s="12" t="s">
        <v>14</v>
      </c>
      <c r="F655" s="12">
        <v>285</v>
      </c>
      <c r="G655" s="12">
        <v>92</v>
      </c>
      <c r="H655" s="12">
        <v>0.48</v>
      </c>
      <c r="I655" s="12" t="s">
        <v>15</v>
      </c>
      <c r="J655" s="12">
        <v>17</v>
      </c>
      <c r="K655" s="12">
        <v>0</v>
      </c>
      <c r="L655" s="12">
        <v>0</v>
      </c>
      <c r="M655" s="12">
        <v>0</v>
      </c>
      <c r="N655" s="12">
        <v>0</v>
      </c>
      <c r="O655" s="12" t="str">
        <f t="shared" si="10"/>
        <v>10 - 19</v>
      </c>
    </row>
    <row r="656" spans="1:15" x14ac:dyDescent="0.35">
      <c r="A656" s="11">
        <v>2579</v>
      </c>
      <c r="B656" s="11" t="s">
        <v>12</v>
      </c>
      <c r="C656" s="11">
        <v>34</v>
      </c>
      <c r="D656" s="11" t="s">
        <v>26</v>
      </c>
      <c r="E656" s="11" t="s">
        <v>14</v>
      </c>
      <c r="F656" s="11">
        <v>197</v>
      </c>
      <c r="G656" s="11">
        <v>81</v>
      </c>
      <c r="H656" s="11">
        <v>0.01</v>
      </c>
      <c r="I656" s="11" t="s">
        <v>15</v>
      </c>
      <c r="J656" s="11">
        <v>17</v>
      </c>
      <c r="K656" s="11">
        <v>0</v>
      </c>
      <c r="L656" s="11">
        <v>0</v>
      </c>
      <c r="M656" s="11">
        <v>0</v>
      </c>
      <c r="N656" s="11">
        <v>0</v>
      </c>
      <c r="O656" s="12" t="str">
        <f t="shared" si="10"/>
        <v>10 - 19</v>
      </c>
    </row>
    <row r="657" spans="1:15" x14ac:dyDescent="0.35">
      <c r="A657" s="12">
        <v>2590</v>
      </c>
      <c r="B657" s="12" t="s">
        <v>16</v>
      </c>
      <c r="C657" s="12">
        <v>38</v>
      </c>
      <c r="D657" s="12" t="s">
        <v>27</v>
      </c>
      <c r="E657" s="12" t="s">
        <v>14</v>
      </c>
      <c r="F657" s="12">
        <v>149</v>
      </c>
      <c r="G657" s="12">
        <v>21</v>
      </c>
      <c r="H657" s="12">
        <v>0.4</v>
      </c>
      <c r="I657" s="12" t="s">
        <v>23</v>
      </c>
      <c r="J657" s="12">
        <v>33</v>
      </c>
      <c r="K657" s="12">
        <v>0</v>
      </c>
      <c r="L657" s="12">
        <v>0</v>
      </c>
      <c r="M657" s="12">
        <v>0</v>
      </c>
      <c r="N657" s="12">
        <v>0</v>
      </c>
      <c r="O657" s="12" t="str">
        <f t="shared" si="10"/>
        <v>30 - 39</v>
      </c>
    </row>
    <row r="658" spans="1:15" x14ac:dyDescent="0.35">
      <c r="A658" s="11">
        <v>2591</v>
      </c>
      <c r="B658" s="11" t="s">
        <v>12</v>
      </c>
      <c r="C658" s="11">
        <v>40</v>
      </c>
      <c r="D658" s="11" t="s">
        <v>13</v>
      </c>
      <c r="E658" s="11" t="s">
        <v>14</v>
      </c>
      <c r="F658" s="11">
        <v>151</v>
      </c>
      <c r="G658" s="11">
        <v>85</v>
      </c>
      <c r="H658" s="11">
        <v>0.56999999999999995</v>
      </c>
      <c r="I658" s="11" t="s">
        <v>23</v>
      </c>
      <c r="J658" s="11">
        <v>20</v>
      </c>
      <c r="K658" s="11">
        <v>0</v>
      </c>
      <c r="L658" s="11">
        <v>0</v>
      </c>
      <c r="M658" s="11">
        <v>0</v>
      </c>
      <c r="N658" s="11">
        <v>0</v>
      </c>
      <c r="O658" s="12" t="str">
        <f t="shared" si="10"/>
        <v>20 - 29</v>
      </c>
    </row>
    <row r="659" spans="1:15" x14ac:dyDescent="0.35">
      <c r="A659" s="12">
        <v>2602</v>
      </c>
      <c r="B659" s="12" t="s">
        <v>16</v>
      </c>
      <c r="C659" s="12">
        <v>45</v>
      </c>
      <c r="D659" s="12" t="s">
        <v>26</v>
      </c>
      <c r="E659" s="12" t="s">
        <v>14</v>
      </c>
      <c r="F659" s="12">
        <v>164</v>
      </c>
      <c r="G659" s="12">
        <v>97</v>
      </c>
      <c r="H659" s="12">
        <v>0.1</v>
      </c>
      <c r="I659" s="12" t="s">
        <v>19</v>
      </c>
      <c r="J659" s="12">
        <v>26</v>
      </c>
      <c r="K659" s="12">
        <v>0</v>
      </c>
      <c r="L659" s="12">
        <v>0</v>
      </c>
      <c r="M659" s="12">
        <v>0</v>
      </c>
      <c r="N659" s="12">
        <v>0</v>
      </c>
      <c r="O659" s="12" t="str">
        <f t="shared" si="10"/>
        <v>20 - 29</v>
      </c>
    </row>
    <row r="660" spans="1:15" x14ac:dyDescent="0.35">
      <c r="A660" s="11">
        <v>2604</v>
      </c>
      <c r="B660" s="11" t="s">
        <v>16</v>
      </c>
      <c r="C660" s="11">
        <v>57</v>
      </c>
      <c r="D660" s="11" t="s">
        <v>13</v>
      </c>
      <c r="E660" s="11" t="s">
        <v>14</v>
      </c>
      <c r="F660" s="11">
        <v>220</v>
      </c>
      <c r="G660" s="11">
        <v>48</v>
      </c>
      <c r="H660" s="11">
        <v>0.45</v>
      </c>
      <c r="I660" s="11" t="s">
        <v>19</v>
      </c>
      <c r="J660" s="11">
        <v>18</v>
      </c>
      <c r="K660" s="11">
        <v>0</v>
      </c>
      <c r="L660" s="11">
        <v>0</v>
      </c>
      <c r="M660" s="11">
        <v>0</v>
      </c>
      <c r="N660" s="11">
        <v>0</v>
      </c>
      <c r="O660" s="12" t="str">
        <f t="shared" si="10"/>
        <v>10 - 19</v>
      </c>
    </row>
    <row r="661" spans="1:15" x14ac:dyDescent="0.35">
      <c r="A661" s="12">
        <v>2605</v>
      </c>
      <c r="B661" s="12" t="s">
        <v>12</v>
      </c>
      <c r="C661" s="12">
        <v>33</v>
      </c>
      <c r="D661" s="12" t="s">
        <v>29</v>
      </c>
      <c r="E661" s="12" t="s">
        <v>14</v>
      </c>
      <c r="F661" s="12">
        <v>33</v>
      </c>
      <c r="G661" s="12">
        <v>20</v>
      </c>
      <c r="H661" s="12">
        <v>0.24</v>
      </c>
      <c r="I661" s="12" t="s">
        <v>23</v>
      </c>
      <c r="J661" s="12">
        <v>23</v>
      </c>
      <c r="K661" s="12">
        <v>0</v>
      </c>
      <c r="L661" s="12">
        <v>1</v>
      </c>
      <c r="M661" s="12">
        <v>0</v>
      </c>
      <c r="N661" s="12">
        <v>0</v>
      </c>
      <c r="O661" s="12" t="str">
        <f t="shared" si="10"/>
        <v>20 - 29</v>
      </c>
    </row>
    <row r="662" spans="1:15" x14ac:dyDescent="0.35">
      <c r="A662" s="11">
        <v>2606</v>
      </c>
      <c r="B662" s="11" t="s">
        <v>16</v>
      </c>
      <c r="C662" s="11">
        <v>44</v>
      </c>
      <c r="D662" s="11" t="s">
        <v>13</v>
      </c>
      <c r="E662" s="11" t="s">
        <v>14</v>
      </c>
      <c r="F662" s="11">
        <v>10</v>
      </c>
      <c r="G662" s="11">
        <v>57</v>
      </c>
      <c r="H662" s="11">
        <v>0.06</v>
      </c>
      <c r="I662" s="11" t="s">
        <v>15</v>
      </c>
      <c r="J662" s="11">
        <v>39</v>
      </c>
      <c r="K662" s="11">
        <v>0</v>
      </c>
      <c r="L662" s="11">
        <v>0</v>
      </c>
      <c r="M662" s="11">
        <v>0</v>
      </c>
      <c r="N662" s="11">
        <v>0</v>
      </c>
      <c r="O662" s="12" t="str">
        <f t="shared" si="10"/>
        <v>30 - 39</v>
      </c>
    </row>
    <row r="663" spans="1:15" x14ac:dyDescent="0.35">
      <c r="A663" s="12">
        <v>2608</v>
      </c>
      <c r="B663" s="12" t="s">
        <v>16</v>
      </c>
      <c r="C663" s="12">
        <v>34</v>
      </c>
      <c r="D663" s="12" t="s">
        <v>17</v>
      </c>
      <c r="E663" s="12" t="s">
        <v>14</v>
      </c>
      <c r="F663" s="12">
        <v>147</v>
      </c>
      <c r="G663" s="12">
        <v>27</v>
      </c>
      <c r="H663" s="12">
        <v>0.18</v>
      </c>
      <c r="I663" s="12" t="s">
        <v>23</v>
      </c>
      <c r="J663" s="12">
        <v>39</v>
      </c>
      <c r="K663" s="12">
        <v>0</v>
      </c>
      <c r="L663" s="12">
        <v>0</v>
      </c>
      <c r="M663" s="12">
        <v>0</v>
      </c>
      <c r="N663" s="12">
        <v>0</v>
      </c>
      <c r="O663" s="12" t="str">
        <f t="shared" si="10"/>
        <v>30 - 39</v>
      </c>
    </row>
    <row r="664" spans="1:15" x14ac:dyDescent="0.35">
      <c r="A664" s="11">
        <v>2610</v>
      </c>
      <c r="B664" s="11" t="s">
        <v>12</v>
      </c>
      <c r="C664" s="11">
        <v>30</v>
      </c>
      <c r="D664" s="11" t="s">
        <v>25</v>
      </c>
      <c r="E664" s="11" t="s">
        <v>14</v>
      </c>
      <c r="F664" s="11">
        <v>39</v>
      </c>
      <c r="G664" s="11">
        <v>9</v>
      </c>
      <c r="H664" s="11">
        <v>0.6</v>
      </c>
      <c r="I664" s="11" t="s">
        <v>15</v>
      </c>
      <c r="J664" s="11">
        <v>40</v>
      </c>
      <c r="K664" s="11">
        <v>0</v>
      </c>
      <c r="L664" s="11">
        <v>0</v>
      </c>
      <c r="M664" s="11">
        <v>0</v>
      </c>
      <c r="N664" s="11">
        <v>0</v>
      </c>
      <c r="O664" s="12" t="str">
        <f t="shared" si="10"/>
        <v>40 - 49</v>
      </c>
    </row>
    <row r="665" spans="1:15" x14ac:dyDescent="0.35">
      <c r="A665" s="12">
        <v>2613</v>
      </c>
      <c r="B665" s="12" t="s">
        <v>16</v>
      </c>
      <c r="C665" s="12">
        <v>23</v>
      </c>
      <c r="D665" s="12" t="s">
        <v>21</v>
      </c>
      <c r="E665" s="12" t="s">
        <v>14</v>
      </c>
      <c r="F665" s="12">
        <v>64</v>
      </c>
      <c r="G665" s="12">
        <v>7</v>
      </c>
      <c r="H665" s="12">
        <v>7.0000000000000007E-2</v>
      </c>
      <c r="I665" s="12" t="s">
        <v>23</v>
      </c>
      <c r="J665" s="12">
        <v>40</v>
      </c>
      <c r="K665" s="12">
        <v>0</v>
      </c>
      <c r="L665" s="12">
        <v>0</v>
      </c>
      <c r="M665" s="12">
        <v>0</v>
      </c>
      <c r="N665" s="12">
        <v>0</v>
      </c>
      <c r="O665" s="12" t="str">
        <f t="shared" si="10"/>
        <v>40 - 49</v>
      </c>
    </row>
    <row r="666" spans="1:15" x14ac:dyDescent="0.35">
      <c r="A666" s="11">
        <v>2621</v>
      </c>
      <c r="B666" s="11" t="s">
        <v>12</v>
      </c>
      <c r="C666" s="11">
        <v>44</v>
      </c>
      <c r="D666" s="11" t="s">
        <v>27</v>
      </c>
      <c r="E666" s="11" t="s">
        <v>14</v>
      </c>
      <c r="F666" s="11">
        <v>256</v>
      </c>
      <c r="G666" s="11">
        <v>43</v>
      </c>
      <c r="H666" s="11">
        <v>0.51</v>
      </c>
      <c r="I666" s="11" t="s">
        <v>23</v>
      </c>
      <c r="J666" s="11">
        <v>11</v>
      </c>
      <c r="K666" s="11">
        <v>0</v>
      </c>
      <c r="L666" s="11">
        <v>1</v>
      </c>
      <c r="M666" s="11">
        <v>0</v>
      </c>
      <c r="N666" s="11">
        <v>0</v>
      </c>
      <c r="O666" s="12" t="str">
        <f t="shared" si="10"/>
        <v>10 - 19</v>
      </c>
    </row>
    <row r="667" spans="1:15" x14ac:dyDescent="0.35">
      <c r="A667" s="12">
        <v>2626</v>
      </c>
      <c r="B667" s="12" t="s">
        <v>12</v>
      </c>
      <c r="C667" s="12">
        <v>18</v>
      </c>
      <c r="D667" s="12" t="s">
        <v>13</v>
      </c>
      <c r="E667" s="12" t="s">
        <v>14</v>
      </c>
      <c r="F667" s="12">
        <v>183</v>
      </c>
      <c r="G667" s="12">
        <v>30</v>
      </c>
      <c r="H667" s="12">
        <v>0.36</v>
      </c>
      <c r="I667" s="12" t="s">
        <v>15</v>
      </c>
      <c r="J667" s="12">
        <v>24</v>
      </c>
      <c r="K667" s="12">
        <v>0</v>
      </c>
      <c r="L667" s="12">
        <v>1</v>
      </c>
      <c r="M667" s="12">
        <v>0</v>
      </c>
      <c r="N667" s="12">
        <v>0</v>
      </c>
      <c r="O667" s="12" t="str">
        <f t="shared" si="10"/>
        <v>20 - 29</v>
      </c>
    </row>
    <row r="668" spans="1:15" x14ac:dyDescent="0.35">
      <c r="A668" s="11">
        <v>2634</v>
      </c>
      <c r="B668" s="11" t="s">
        <v>16</v>
      </c>
      <c r="C668" s="11">
        <v>52</v>
      </c>
      <c r="D668" s="11" t="s">
        <v>21</v>
      </c>
      <c r="E668" s="11" t="s">
        <v>14</v>
      </c>
      <c r="F668" s="11">
        <v>61</v>
      </c>
      <c r="G668" s="11">
        <v>29</v>
      </c>
      <c r="H668" s="11">
        <v>0.25</v>
      </c>
      <c r="I668" s="11" t="s">
        <v>15</v>
      </c>
      <c r="J668" s="11">
        <v>34</v>
      </c>
      <c r="K668" s="11">
        <v>0</v>
      </c>
      <c r="L668" s="11">
        <v>0</v>
      </c>
      <c r="M668" s="11">
        <v>0</v>
      </c>
      <c r="N668" s="11">
        <v>0</v>
      </c>
      <c r="O668" s="12" t="str">
        <f t="shared" si="10"/>
        <v>30 - 39</v>
      </c>
    </row>
    <row r="669" spans="1:15" x14ac:dyDescent="0.35">
      <c r="A669" s="12">
        <v>2640</v>
      </c>
      <c r="B669" s="12" t="s">
        <v>16</v>
      </c>
      <c r="C669" s="12">
        <v>38</v>
      </c>
      <c r="D669" s="12" t="s">
        <v>28</v>
      </c>
      <c r="E669" s="12" t="s">
        <v>14</v>
      </c>
      <c r="F669" s="12">
        <v>246</v>
      </c>
      <c r="G669" s="12">
        <v>91</v>
      </c>
      <c r="H669" s="12">
        <v>0.17</v>
      </c>
      <c r="I669" s="12" t="s">
        <v>19</v>
      </c>
      <c r="J669" s="12">
        <v>49</v>
      </c>
      <c r="K669" s="12">
        <v>0</v>
      </c>
      <c r="L669" s="12">
        <v>0</v>
      </c>
      <c r="M669" s="12">
        <v>0</v>
      </c>
      <c r="N669" s="12">
        <v>0</v>
      </c>
      <c r="O669" s="12" t="str">
        <f t="shared" si="10"/>
        <v>40 - 49</v>
      </c>
    </row>
    <row r="670" spans="1:15" x14ac:dyDescent="0.35">
      <c r="A670" s="11">
        <v>2642</v>
      </c>
      <c r="B670" s="11" t="s">
        <v>16</v>
      </c>
      <c r="C670" s="11">
        <v>57</v>
      </c>
      <c r="D670" s="11" t="s">
        <v>27</v>
      </c>
      <c r="E670" s="11" t="s">
        <v>14</v>
      </c>
      <c r="F670" s="11">
        <v>209</v>
      </c>
      <c r="G670" s="11">
        <v>68</v>
      </c>
      <c r="H670" s="11">
        <v>0.24</v>
      </c>
      <c r="I670" s="11" t="s">
        <v>23</v>
      </c>
      <c r="J670" s="11">
        <v>34</v>
      </c>
      <c r="K670" s="11">
        <v>0</v>
      </c>
      <c r="L670" s="11">
        <v>0</v>
      </c>
      <c r="M670" s="11">
        <v>0</v>
      </c>
      <c r="N670" s="11">
        <v>0</v>
      </c>
      <c r="O670" s="12" t="str">
        <f t="shared" si="10"/>
        <v>30 - 39</v>
      </c>
    </row>
    <row r="671" spans="1:15" x14ac:dyDescent="0.35">
      <c r="A671" s="12">
        <v>2647</v>
      </c>
      <c r="B671" s="12" t="s">
        <v>16</v>
      </c>
      <c r="C671" s="12">
        <v>20</v>
      </c>
      <c r="D671" s="12" t="s">
        <v>27</v>
      </c>
      <c r="E671" s="12" t="s">
        <v>14</v>
      </c>
      <c r="F671" s="12">
        <v>167</v>
      </c>
      <c r="G671" s="12">
        <v>84</v>
      </c>
      <c r="H671" s="12">
        <v>0.5</v>
      </c>
      <c r="I671" s="12" t="s">
        <v>23</v>
      </c>
      <c r="J671" s="12">
        <v>16</v>
      </c>
      <c r="K671" s="12">
        <v>0</v>
      </c>
      <c r="L671" s="12">
        <v>1</v>
      </c>
      <c r="M671" s="12">
        <v>0</v>
      </c>
      <c r="N671" s="12">
        <v>0</v>
      </c>
      <c r="O671" s="12" t="str">
        <f t="shared" si="10"/>
        <v>10 - 19</v>
      </c>
    </row>
    <row r="672" spans="1:15" x14ac:dyDescent="0.35">
      <c r="A672" s="11">
        <v>2652</v>
      </c>
      <c r="B672" s="11" t="s">
        <v>12</v>
      </c>
      <c r="C672" s="11">
        <v>28</v>
      </c>
      <c r="D672" s="11" t="s">
        <v>28</v>
      </c>
      <c r="E672" s="11" t="s">
        <v>14</v>
      </c>
      <c r="F672" s="11">
        <v>209</v>
      </c>
      <c r="G672" s="11">
        <v>59</v>
      </c>
      <c r="H672" s="11">
        <v>0.31</v>
      </c>
      <c r="I672" s="11" t="s">
        <v>23</v>
      </c>
      <c r="J672" s="11">
        <v>44</v>
      </c>
      <c r="K672" s="11">
        <v>0</v>
      </c>
      <c r="L672" s="11">
        <v>0</v>
      </c>
      <c r="M672" s="11">
        <v>0</v>
      </c>
      <c r="N672" s="11">
        <v>0</v>
      </c>
      <c r="O672" s="12" t="str">
        <f t="shared" si="10"/>
        <v>40 - 49</v>
      </c>
    </row>
    <row r="673" spans="1:15" x14ac:dyDescent="0.35">
      <c r="A673" s="12">
        <v>2657</v>
      </c>
      <c r="B673" s="12" t="s">
        <v>20</v>
      </c>
      <c r="C673" s="12">
        <v>58</v>
      </c>
      <c r="D673" s="12" t="s">
        <v>21</v>
      </c>
      <c r="E673" s="12" t="s">
        <v>14</v>
      </c>
      <c r="F673" s="12">
        <v>117</v>
      </c>
      <c r="G673" s="12">
        <v>14</v>
      </c>
      <c r="H673" s="12">
        <v>0.4</v>
      </c>
      <c r="I673" s="12" t="s">
        <v>15</v>
      </c>
      <c r="J673" s="12">
        <v>39</v>
      </c>
      <c r="K673" s="12">
        <v>0</v>
      </c>
      <c r="L673" s="12">
        <v>0</v>
      </c>
      <c r="M673" s="12">
        <v>0</v>
      </c>
      <c r="N673" s="12">
        <v>0</v>
      </c>
      <c r="O673" s="12" t="str">
        <f t="shared" si="10"/>
        <v>30 - 39</v>
      </c>
    </row>
    <row r="674" spans="1:15" x14ac:dyDescent="0.35">
      <c r="A674" s="11">
        <v>2660</v>
      </c>
      <c r="B674" s="11" t="s">
        <v>20</v>
      </c>
      <c r="C674" s="11">
        <v>44</v>
      </c>
      <c r="D674" s="11" t="s">
        <v>21</v>
      </c>
      <c r="E674" s="11" t="s">
        <v>14</v>
      </c>
      <c r="F674" s="11">
        <v>277</v>
      </c>
      <c r="G674" s="11">
        <v>54</v>
      </c>
      <c r="H674" s="11">
        <v>0.3</v>
      </c>
      <c r="I674" s="11" t="s">
        <v>15</v>
      </c>
      <c r="J674" s="11">
        <v>29</v>
      </c>
      <c r="K674" s="11">
        <v>0</v>
      </c>
      <c r="L674" s="11">
        <v>0</v>
      </c>
      <c r="M674" s="11">
        <v>0</v>
      </c>
      <c r="N674" s="11">
        <v>0</v>
      </c>
      <c r="O674" s="12" t="str">
        <f t="shared" si="10"/>
        <v>20 - 29</v>
      </c>
    </row>
    <row r="675" spans="1:15" x14ac:dyDescent="0.35">
      <c r="A675" s="12">
        <v>2664</v>
      </c>
      <c r="B675" s="12" t="s">
        <v>16</v>
      </c>
      <c r="C675" s="12">
        <v>28</v>
      </c>
      <c r="D675" s="12" t="s">
        <v>13</v>
      </c>
      <c r="E675" s="12" t="s">
        <v>14</v>
      </c>
      <c r="F675" s="12">
        <v>174</v>
      </c>
      <c r="G675" s="12">
        <v>16</v>
      </c>
      <c r="H675" s="12">
        <v>0.44</v>
      </c>
      <c r="I675" s="12" t="s">
        <v>23</v>
      </c>
      <c r="J675" s="12">
        <v>46</v>
      </c>
      <c r="K675" s="12">
        <v>0</v>
      </c>
      <c r="L675" s="12">
        <v>0</v>
      </c>
      <c r="M675" s="12">
        <v>0</v>
      </c>
      <c r="N675" s="12">
        <v>0</v>
      </c>
      <c r="O675" s="12" t="str">
        <f t="shared" si="10"/>
        <v>40 - 49</v>
      </c>
    </row>
    <row r="676" spans="1:15" x14ac:dyDescent="0.35">
      <c r="A676" s="11">
        <v>2666</v>
      </c>
      <c r="B676" s="11" t="s">
        <v>12</v>
      </c>
      <c r="C676" s="11">
        <v>17</v>
      </c>
      <c r="D676" s="11" t="s">
        <v>29</v>
      </c>
      <c r="E676" s="11" t="s">
        <v>14</v>
      </c>
      <c r="F676" s="11">
        <v>253</v>
      </c>
      <c r="G676" s="11">
        <v>98</v>
      </c>
      <c r="H676" s="11">
        <v>0.33</v>
      </c>
      <c r="I676" s="11" t="s">
        <v>23</v>
      </c>
      <c r="J676" s="11">
        <v>38</v>
      </c>
      <c r="K676" s="11">
        <v>0</v>
      </c>
      <c r="L676" s="11">
        <v>0</v>
      </c>
      <c r="M676" s="11">
        <v>0</v>
      </c>
      <c r="N676" s="11">
        <v>0</v>
      </c>
      <c r="O676" s="12" t="str">
        <f t="shared" si="10"/>
        <v>30 - 39</v>
      </c>
    </row>
    <row r="677" spans="1:15" x14ac:dyDescent="0.35">
      <c r="A677" s="12">
        <v>2669</v>
      </c>
      <c r="B677" s="12" t="s">
        <v>16</v>
      </c>
      <c r="C677" s="12">
        <v>28</v>
      </c>
      <c r="D677" s="12" t="s">
        <v>13</v>
      </c>
      <c r="E677" s="12" t="s">
        <v>14</v>
      </c>
      <c r="F677" s="12">
        <v>12</v>
      </c>
      <c r="G677" s="12">
        <v>48</v>
      </c>
      <c r="H677" s="12">
        <v>0.51</v>
      </c>
      <c r="I677" s="12" t="s">
        <v>15</v>
      </c>
      <c r="J677" s="12">
        <v>26</v>
      </c>
      <c r="K677" s="12">
        <v>0</v>
      </c>
      <c r="L677" s="12">
        <v>0</v>
      </c>
      <c r="M677" s="12">
        <v>0</v>
      </c>
      <c r="N677" s="12">
        <v>0</v>
      </c>
      <c r="O677" s="12" t="str">
        <f t="shared" si="10"/>
        <v>20 - 29</v>
      </c>
    </row>
    <row r="678" spans="1:15" x14ac:dyDescent="0.35">
      <c r="A678" s="11">
        <v>2673</v>
      </c>
      <c r="B678" s="11" t="s">
        <v>20</v>
      </c>
      <c r="C678" s="11">
        <v>59</v>
      </c>
      <c r="D678" s="11" t="s">
        <v>17</v>
      </c>
      <c r="E678" s="11" t="s">
        <v>14</v>
      </c>
      <c r="F678" s="11">
        <v>275</v>
      </c>
      <c r="G678" s="11">
        <v>43</v>
      </c>
      <c r="H678" s="11">
        <v>0.57999999999999996</v>
      </c>
      <c r="I678" s="11" t="s">
        <v>23</v>
      </c>
      <c r="J678" s="11">
        <v>38</v>
      </c>
      <c r="K678" s="11">
        <v>0</v>
      </c>
      <c r="L678" s="11">
        <v>0</v>
      </c>
      <c r="M678" s="11">
        <v>0</v>
      </c>
      <c r="N678" s="11">
        <v>0</v>
      </c>
      <c r="O678" s="12" t="str">
        <f t="shared" si="10"/>
        <v>30 - 39</v>
      </c>
    </row>
    <row r="679" spans="1:15" x14ac:dyDescent="0.35">
      <c r="A679" s="12">
        <v>2678</v>
      </c>
      <c r="B679" s="12" t="s">
        <v>16</v>
      </c>
      <c r="C679" s="12">
        <v>41</v>
      </c>
      <c r="D679" s="12" t="s">
        <v>21</v>
      </c>
      <c r="E679" s="12" t="s">
        <v>14</v>
      </c>
      <c r="F679" s="12">
        <v>134</v>
      </c>
      <c r="G679" s="12">
        <v>78</v>
      </c>
      <c r="H679" s="12">
        <v>0.28999999999999998</v>
      </c>
      <c r="I679" s="12" t="s">
        <v>23</v>
      </c>
      <c r="J679" s="12">
        <v>36</v>
      </c>
      <c r="K679" s="12">
        <v>0</v>
      </c>
      <c r="L679" s="12">
        <v>0</v>
      </c>
      <c r="M679" s="12">
        <v>0</v>
      </c>
      <c r="N679" s="12">
        <v>0</v>
      </c>
      <c r="O679" s="12" t="str">
        <f t="shared" si="10"/>
        <v>30 - 39</v>
      </c>
    </row>
    <row r="680" spans="1:15" x14ac:dyDescent="0.35">
      <c r="A680" s="11">
        <v>2679</v>
      </c>
      <c r="B680" s="11" t="s">
        <v>12</v>
      </c>
      <c r="C680" s="11">
        <v>23</v>
      </c>
      <c r="D680" s="11" t="s">
        <v>26</v>
      </c>
      <c r="E680" s="11" t="s">
        <v>14</v>
      </c>
      <c r="F680" s="11">
        <v>288</v>
      </c>
      <c r="G680" s="11">
        <v>31</v>
      </c>
      <c r="H680" s="11">
        <v>0.17</v>
      </c>
      <c r="I680" s="11" t="s">
        <v>19</v>
      </c>
      <c r="J680" s="11">
        <v>42</v>
      </c>
      <c r="K680" s="11">
        <v>0</v>
      </c>
      <c r="L680" s="11">
        <v>0</v>
      </c>
      <c r="M680" s="11">
        <v>0</v>
      </c>
      <c r="N680" s="11">
        <v>0</v>
      </c>
      <c r="O680" s="12" t="str">
        <f t="shared" si="10"/>
        <v>40 - 49</v>
      </c>
    </row>
    <row r="681" spans="1:15" x14ac:dyDescent="0.35">
      <c r="A681" s="12">
        <v>2685</v>
      </c>
      <c r="B681" s="12" t="s">
        <v>20</v>
      </c>
      <c r="C681" s="12">
        <v>27</v>
      </c>
      <c r="D681" s="12" t="s">
        <v>21</v>
      </c>
      <c r="E681" s="12" t="s">
        <v>14</v>
      </c>
      <c r="F681" s="12">
        <v>254</v>
      </c>
      <c r="G681" s="12">
        <v>33</v>
      </c>
      <c r="H681" s="12">
        <v>0.06</v>
      </c>
      <c r="I681" s="12" t="s">
        <v>15</v>
      </c>
      <c r="J681" s="12">
        <v>28</v>
      </c>
      <c r="K681" s="12">
        <v>0</v>
      </c>
      <c r="L681" s="12">
        <v>0</v>
      </c>
      <c r="M681" s="12">
        <v>0</v>
      </c>
      <c r="N681" s="12">
        <v>0</v>
      </c>
      <c r="O681" s="12" t="str">
        <f t="shared" si="10"/>
        <v>20 - 29</v>
      </c>
    </row>
    <row r="682" spans="1:15" x14ac:dyDescent="0.35">
      <c r="A682" s="11">
        <v>2686</v>
      </c>
      <c r="B682" s="11" t="s">
        <v>20</v>
      </c>
      <c r="C682" s="11">
        <v>22</v>
      </c>
      <c r="D682" s="11" t="s">
        <v>13</v>
      </c>
      <c r="E682" s="11" t="s">
        <v>14</v>
      </c>
      <c r="F682" s="11">
        <v>74</v>
      </c>
      <c r="G682" s="11">
        <v>23</v>
      </c>
      <c r="H682" s="11">
        <v>0.27</v>
      </c>
      <c r="I682" s="11" t="s">
        <v>23</v>
      </c>
      <c r="J682" s="11">
        <v>47</v>
      </c>
      <c r="K682" s="11">
        <v>0</v>
      </c>
      <c r="L682" s="11">
        <v>0</v>
      </c>
      <c r="M682" s="11">
        <v>0</v>
      </c>
      <c r="N682" s="11">
        <v>0</v>
      </c>
      <c r="O682" s="12" t="str">
        <f t="shared" si="10"/>
        <v>40 - 49</v>
      </c>
    </row>
    <row r="683" spans="1:15" x14ac:dyDescent="0.35">
      <c r="A683" s="12">
        <v>2691</v>
      </c>
      <c r="B683" s="12" t="s">
        <v>16</v>
      </c>
      <c r="C683" s="12">
        <v>22</v>
      </c>
      <c r="D683" s="12" t="s">
        <v>17</v>
      </c>
      <c r="E683" s="12" t="s">
        <v>14</v>
      </c>
      <c r="F683" s="12">
        <v>274</v>
      </c>
      <c r="G683" s="12">
        <v>3</v>
      </c>
      <c r="H683" s="12">
        <v>0.22</v>
      </c>
      <c r="I683" s="12" t="s">
        <v>23</v>
      </c>
      <c r="J683" s="12">
        <v>18</v>
      </c>
      <c r="K683" s="12">
        <v>0</v>
      </c>
      <c r="L683" s="12">
        <v>0</v>
      </c>
      <c r="M683" s="12">
        <v>0</v>
      </c>
      <c r="N683" s="12">
        <v>0</v>
      </c>
      <c r="O683" s="12" t="str">
        <f t="shared" si="10"/>
        <v>10 - 19</v>
      </c>
    </row>
    <row r="684" spans="1:15" x14ac:dyDescent="0.35">
      <c r="A684" s="11">
        <v>2698</v>
      </c>
      <c r="B684" s="11" t="s">
        <v>12</v>
      </c>
      <c r="C684" s="11">
        <v>41</v>
      </c>
      <c r="D684" s="11" t="s">
        <v>29</v>
      </c>
      <c r="E684" s="11" t="s">
        <v>14</v>
      </c>
      <c r="F684" s="11">
        <v>16</v>
      </c>
      <c r="G684" s="11">
        <v>72</v>
      </c>
      <c r="H684" s="11">
        <v>0.05</v>
      </c>
      <c r="I684" s="11" t="s">
        <v>23</v>
      </c>
      <c r="J684" s="11">
        <v>11</v>
      </c>
      <c r="K684" s="11">
        <v>0</v>
      </c>
      <c r="L684" s="11">
        <v>1</v>
      </c>
      <c r="M684" s="11">
        <v>0</v>
      </c>
      <c r="N684" s="11">
        <v>0</v>
      </c>
      <c r="O684" s="12" t="str">
        <f t="shared" si="10"/>
        <v>10 - 19</v>
      </c>
    </row>
    <row r="685" spans="1:15" x14ac:dyDescent="0.35">
      <c r="A685" s="12">
        <v>2699</v>
      </c>
      <c r="B685" s="12" t="s">
        <v>16</v>
      </c>
      <c r="C685" s="12">
        <v>39</v>
      </c>
      <c r="D685" s="12" t="s">
        <v>26</v>
      </c>
      <c r="E685" s="12" t="s">
        <v>14</v>
      </c>
      <c r="F685" s="12">
        <v>180</v>
      </c>
      <c r="G685" s="12">
        <v>29</v>
      </c>
      <c r="H685" s="12">
        <v>0.16</v>
      </c>
      <c r="I685" s="12" t="s">
        <v>19</v>
      </c>
      <c r="J685" s="12">
        <v>44</v>
      </c>
      <c r="K685" s="12">
        <v>0</v>
      </c>
      <c r="L685" s="12">
        <v>1</v>
      </c>
      <c r="M685" s="12">
        <v>0</v>
      </c>
      <c r="N685" s="12">
        <v>0</v>
      </c>
      <c r="O685" s="12" t="str">
        <f t="shared" si="10"/>
        <v>40 - 49</v>
      </c>
    </row>
    <row r="686" spans="1:15" x14ac:dyDescent="0.35">
      <c r="A686" s="11">
        <v>2700</v>
      </c>
      <c r="B686" s="11" t="s">
        <v>12</v>
      </c>
      <c r="C686" s="11">
        <v>56</v>
      </c>
      <c r="D686" s="11" t="s">
        <v>25</v>
      </c>
      <c r="E686" s="11" t="s">
        <v>14</v>
      </c>
      <c r="F686" s="11">
        <v>143</v>
      </c>
      <c r="G686" s="11">
        <v>19</v>
      </c>
      <c r="H686" s="11">
        <v>0.11</v>
      </c>
      <c r="I686" s="11" t="s">
        <v>15</v>
      </c>
      <c r="J686" s="11">
        <v>25</v>
      </c>
      <c r="K686" s="11">
        <v>0</v>
      </c>
      <c r="L686" s="11">
        <v>0</v>
      </c>
      <c r="M686" s="11">
        <v>0</v>
      </c>
      <c r="N686" s="11">
        <v>0</v>
      </c>
      <c r="O686" s="12" t="str">
        <f t="shared" si="10"/>
        <v>20 - 29</v>
      </c>
    </row>
    <row r="687" spans="1:15" x14ac:dyDescent="0.35">
      <c r="A687" s="12">
        <v>2707</v>
      </c>
      <c r="B687" s="12" t="s">
        <v>16</v>
      </c>
      <c r="C687" s="12">
        <v>57</v>
      </c>
      <c r="D687" s="12" t="s">
        <v>29</v>
      </c>
      <c r="E687" s="12" t="s">
        <v>14</v>
      </c>
      <c r="F687" s="12">
        <v>220</v>
      </c>
      <c r="G687" s="12">
        <v>22</v>
      </c>
      <c r="H687" s="12">
        <v>0.36</v>
      </c>
      <c r="I687" s="12" t="s">
        <v>15</v>
      </c>
      <c r="J687" s="12">
        <v>15</v>
      </c>
      <c r="K687" s="12">
        <v>0</v>
      </c>
      <c r="L687" s="12">
        <v>0</v>
      </c>
      <c r="M687" s="12">
        <v>0</v>
      </c>
      <c r="N687" s="12">
        <v>0</v>
      </c>
      <c r="O687" s="12" t="str">
        <f t="shared" si="10"/>
        <v>10 - 19</v>
      </c>
    </row>
    <row r="688" spans="1:15" x14ac:dyDescent="0.35">
      <c r="A688" s="11">
        <v>2710</v>
      </c>
      <c r="B688" s="11" t="s">
        <v>20</v>
      </c>
      <c r="C688" s="11">
        <v>43</v>
      </c>
      <c r="D688" s="11" t="s">
        <v>28</v>
      </c>
      <c r="E688" s="11" t="s">
        <v>14</v>
      </c>
      <c r="F688" s="11">
        <v>260</v>
      </c>
      <c r="G688" s="11">
        <v>29</v>
      </c>
      <c r="H688" s="11">
        <v>0.03</v>
      </c>
      <c r="I688" s="11" t="s">
        <v>19</v>
      </c>
      <c r="J688" s="11">
        <v>6</v>
      </c>
      <c r="K688" s="11">
        <v>0</v>
      </c>
      <c r="L688" s="11">
        <v>0</v>
      </c>
      <c r="M688" s="11">
        <v>0</v>
      </c>
      <c r="N688" s="11">
        <v>0</v>
      </c>
      <c r="O688" s="12" t="str">
        <f t="shared" si="10"/>
        <v>0 - 9</v>
      </c>
    </row>
    <row r="689" spans="1:15" x14ac:dyDescent="0.35">
      <c r="A689" s="12">
        <v>2716</v>
      </c>
      <c r="B689" s="12" t="s">
        <v>16</v>
      </c>
      <c r="C689" s="12">
        <v>34</v>
      </c>
      <c r="D689" s="12" t="s">
        <v>29</v>
      </c>
      <c r="E689" s="12" t="s">
        <v>14</v>
      </c>
      <c r="F689" s="12">
        <v>266</v>
      </c>
      <c r="G689" s="12">
        <v>81</v>
      </c>
      <c r="H689" s="12">
        <v>0.45</v>
      </c>
      <c r="I689" s="12" t="s">
        <v>15</v>
      </c>
      <c r="J689" s="12">
        <v>31</v>
      </c>
      <c r="K689" s="12">
        <v>0</v>
      </c>
      <c r="L689" s="12">
        <v>0</v>
      </c>
      <c r="M689" s="12">
        <v>0</v>
      </c>
      <c r="N689" s="12">
        <v>0</v>
      </c>
      <c r="O689" s="12" t="str">
        <f t="shared" si="10"/>
        <v>30 - 39</v>
      </c>
    </row>
    <row r="690" spans="1:15" x14ac:dyDescent="0.35">
      <c r="A690" s="11">
        <v>2717</v>
      </c>
      <c r="B690" s="11" t="s">
        <v>12</v>
      </c>
      <c r="C690" s="11">
        <v>28</v>
      </c>
      <c r="D690" s="11" t="s">
        <v>21</v>
      </c>
      <c r="E690" s="11" t="s">
        <v>14</v>
      </c>
      <c r="F690" s="11">
        <v>72</v>
      </c>
      <c r="G690" s="11">
        <v>22</v>
      </c>
      <c r="H690" s="11">
        <v>0.57999999999999996</v>
      </c>
      <c r="I690" s="11" t="s">
        <v>19</v>
      </c>
      <c r="J690" s="11">
        <v>12</v>
      </c>
      <c r="K690" s="11">
        <v>0</v>
      </c>
      <c r="L690" s="11">
        <v>1</v>
      </c>
      <c r="M690" s="11">
        <v>0</v>
      </c>
      <c r="N690" s="11">
        <v>0</v>
      </c>
      <c r="O690" s="12" t="str">
        <f t="shared" si="10"/>
        <v>10 - 19</v>
      </c>
    </row>
    <row r="691" spans="1:15" x14ac:dyDescent="0.35">
      <c r="A691" s="12">
        <v>2725</v>
      </c>
      <c r="B691" s="12" t="s">
        <v>16</v>
      </c>
      <c r="C691" s="12">
        <v>51</v>
      </c>
      <c r="D691" s="12" t="s">
        <v>26</v>
      </c>
      <c r="E691" s="12" t="s">
        <v>14</v>
      </c>
      <c r="F691" s="12">
        <v>92</v>
      </c>
      <c r="G691" s="12">
        <v>49</v>
      </c>
      <c r="H691" s="12">
        <v>0.4</v>
      </c>
      <c r="I691" s="12" t="s">
        <v>23</v>
      </c>
      <c r="J691" s="12">
        <v>5</v>
      </c>
      <c r="K691" s="12">
        <v>0</v>
      </c>
      <c r="L691" s="12">
        <v>0</v>
      </c>
      <c r="M691" s="12">
        <v>0</v>
      </c>
      <c r="N691" s="12">
        <v>0</v>
      </c>
      <c r="O691" s="12" t="str">
        <f t="shared" si="10"/>
        <v>0 - 9</v>
      </c>
    </row>
    <row r="692" spans="1:15" x14ac:dyDescent="0.35">
      <c r="A692" s="11">
        <v>2727</v>
      </c>
      <c r="B692" s="11" t="s">
        <v>16</v>
      </c>
      <c r="C692" s="11">
        <v>56</v>
      </c>
      <c r="D692" s="11" t="s">
        <v>28</v>
      </c>
      <c r="E692" s="11" t="s">
        <v>14</v>
      </c>
      <c r="F692" s="11">
        <v>264</v>
      </c>
      <c r="G692" s="11">
        <v>95</v>
      </c>
      <c r="H692" s="11">
        <v>0.52</v>
      </c>
      <c r="I692" s="11" t="s">
        <v>15</v>
      </c>
      <c r="J692" s="11">
        <v>35</v>
      </c>
      <c r="K692" s="11">
        <v>0</v>
      </c>
      <c r="L692" s="11">
        <v>0</v>
      </c>
      <c r="M692" s="11">
        <v>0</v>
      </c>
      <c r="N692" s="11">
        <v>0</v>
      </c>
      <c r="O692" s="12" t="str">
        <f t="shared" si="10"/>
        <v>30 - 39</v>
      </c>
    </row>
    <row r="693" spans="1:15" x14ac:dyDescent="0.35">
      <c r="A693" s="12">
        <v>2731</v>
      </c>
      <c r="B693" s="12" t="s">
        <v>20</v>
      </c>
      <c r="C693" s="12">
        <v>22</v>
      </c>
      <c r="D693" s="12" t="s">
        <v>17</v>
      </c>
      <c r="E693" s="12" t="s">
        <v>14</v>
      </c>
      <c r="F693" s="12">
        <v>217</v>
      </c>
      <c r="G693" s="12">
        <v>50</v>
      </c>
      <c r="H693" s="12">
        <v>0.44</v>
      </c>
      <c r="I693" s="12" t="s">
        <v>15</v>
      </c>
      <c r="J693" s="12">
        <v>28</v>
      </c>
      <c r="K693" s="12">
        <v>0</v>
      </c>
      <c r="L693" s="12">
        <v>1</v>
      </c>
      <c r="M693" s="12">
        <v>0</v>
      </c>
      <c r="N693" s="12">
        <v>0</v>
      </c>
      <c r="O693" s="12" t="str">
        <f t="shared" si="10"/>
        <v>20 - 29</v>
      </c>
    </row>
    <row r="694" spans="1:15" x14ac:dyDescent="0.35">
      <c r="A694" s="11">
        <v>2732</v>
      </c>
      <c r="B694" s="11" t="s">
        <v>20</v>
      </c>
      <c r="C694" s="11">
        <v>24</v>
      </c>
      <c r="D694" s="11" t="s">
        <v>21</v>
      </c>
      <c r="E694" s="11" t="s">
        <v>14</v>
      </c>
      <c r="F694" s="11">
        <v>52</v>
      </c>
      <c r="G694" s="11">
        <v>17</v>
      </c>
      <c r="H694" s="11">
        <v>0.09</v>
      </c>
      <c r="I694" s="11" t="s">
        <v>23</v>
      </c>
      <c r="J694" s="11">
        <v>15</v>
      </c>
      <c r="K694" s="11">
        <v>0</v>
      </c>
      <c r="L694" s="11">
        <v>1</v>
      </c>
      <c r="M694" s="11">
        <v>0</v>
      </c>
      <c r="N694" s="11">
        <v>0</v>
      </c>
      <c r="O694" s="12" t="str">
        <f t="shared" si="10"/>
        <v>10 - 19</v>
      </c>
    </row>
    <row r="695" spans="1:15" x14ac:dyDescent="0.35">
      <c r="A695" s="12">
        <v>2735</v>
      </c>
      <c r="B695" s="12" t="s">
        <v>20</v>
      </c>
      <c r="C695" s="12">
        <v>37</v>
      </c>
      <c r="D695" s="12" t="s">
        <v>28</v>
      </c>
      <c r="E695" s="12" t="s">
        <v>14</v>
      </c>
      <c r="F695" s="12">
        <v>51</v>
      </c>
      <c r="G695" s="12">
        <v>17</v>
      </c>
      <c r="H695" s="12">
        <v>0.51</v>
      </c>
      <c r="I695" s="12" t="s">
        <v>19</v>
      </c>
      <c r="J695" s="12">
        <v>49</v>
      </c>
      <c r="K695" s="12">
        <v>0</v>
      </c>
      <c r="L695" s="12">
        <v>1</v>
      </c>
      <c r="M695" s="12">
        <v>0</v>
      </c>
      <c r="N695" s="12">
        <v>0</v>
      </c>
      <c r="O695" s="12" t="str">
        <f t="shared" si="10"/>
        <v>40 - 49</v>
      </c>
    </row>
    <row r="696" spans="1:15" x14ac:dyDescent="0.35">
      <c r="A696" s="11">
        <v>2743</v>
      </c>
      <c r="B696" s="11" t="s">
        <v>16</v>
      </c>
      <c r="C696" s="11">
        <v>53</v>
      </c>
      <c r="D696" s="11" t="s">
        <v>13</v>
      </c>
      <c r="E696" s="11" t="s">
        <v>14</v>
      </c>
      <c r="F696" s="11">
        <v>249</v>
      </c>
      <c r="G696" s="11">
        <v>61</v>
      </c>
      <c r="H696" s="11">
        <v>0.28000000000000003</v>
      </c>
      <c r="I696" s="11" t="s">
        <v>15</v>
      </c>
      <c r="J696" s="11">
        <v>39</v>
      </c>
      <c r="K696" s="11">
        <v>0</v>
      </c>
      <c r="L696" s="11">
        <v>0</v>
      </c>
      <c r="M696" s="11">
        <v>0</v>
      </c>
      <c r="N696" s="11">
        <v>0</v>
      </c>
      <c r="O696" s="12" t="str">
        <f t="shared" si="10"/>
        <v>30 - 39</v>
      </c>
    </row>
    <row r="697" spans="1:15" x14ac:dyDescent="0.35">
      <c r="A697" s="12">
        <v>2747</v>
      </c>
      <c r="B697" s="12" t="s">
        <v>12</v>
      </c>
      <c r="C697" s="12">
        <v>54</v>
      </c>
      <c r="D697" s="12" t="s">
        <v>28</v>
      </c>
      <c r="E697" s="12" t="s">
        <v>14</v>
      </c>
      <c r="F697" s="12">
        <v>123</v>
      </c>
      <c r="G697" s="12">
        <v>55</v>
      </c>
      <c r="H697" s="12">
        <v>0.59</v>
      </c>
      <c r="I697" s="12" t="s">
        <v>19</v>
      </c>
      <c r="J697" s="12">
        <v>39</v>
      </c>
      <c r="K697" s="12">
        <v>0</v>
      </c>
      <c r="L697" s="12">
        <v>0</v>
      </c>
      <c r="M697" s="12">
        <v>0</v>
      </c>
      <c r="N697" s="12">
        <v>0</v>
      </c>
      <c r="O697" s="12" t="str">
        <f t="shared" si="10"/>
        <v>30 - 39</v>
      </c>
    </row>
    <row r="698" spans="1:15" x14ac:dyDescent="0.35">
      <c r="A698" s="11">
        <v>2750</v>
      </c>
      <c r="B698" s="11" t="s">
        <v>12</v>
      </c>
      <c r="C698" s="11">
        <v>40</v>
      </c>
      <c r="D698" s="11" t="s">
        <v>21</v>
      </c>
      <c r="E698" s="11" t="s">
        <v>14</v>
      </c>
      <c r="F698" s="11">
        <v>29</v>
      </c>
      <c r="G698" s="11">
        <v>87</v>
      </c>
      <c r="H698" s="11">
        <v>0.28999999999999998</v>
      </c>
      <c r="I698" s="11" t="s">
        <v>23</v>
      </c>
      <c r="J698" s="11">
        <v>25</v>
      </c>
      <c r="K698" s="11">
        <v>0</v>
      </c>
      <c r="L698" s="11">
        <v>0</v>
      </c>
      <c r="M698" s="11">
        <v>0</v>
      </c>
      <c r="N698" s="11">
        <v>0</v>
      </c>
      <c r="O698" s="12" t="str">
        <f t="shared" si="10"/>
        <v>20 - 29</v>
      </c>
    </row>
    <row r="699" spans="1:15" x14ac:dyDescent="0.35">
      <c r="A699" s="12">
        <v>2754</v>
      </c>
      <c r="B699" s="12" t="s">
        <v>20</v>
      </c>
      <c r="C699" s="12">
        <v>29</v>
      </c>
      <c r="D699" s="12" t="s">
        <v>26</v>
      </c>
      <c r="E699" s="12" t="s">
        <v>14</v>
      </c>
      <c r="F699" s="12">
        <v>182</v>
      </c>
      <c r="G699" s="12">
        <v>52</v>
      </c>
      <c r="H699" s="12">
        <v>0.3</v>
      </c>
      <c r="I699" s="12" t="s">
        <v>19</v>
      </c>
      <c r="J699" s="12">
        <v>18</v>
      </c>
      <c r="K699" s="12">
        <v>0</v>
      </c>
      <c r="L699" s="12">
        <v>0</v>
      </c>
      <c r="M699" s="12">
        <v>0</v>
      </c>
      <c r="N699" s="12">
        <v>0</v>
      </c>
      <c r="O699" s="12" t="str">
        <f t="shared" si="10"/>
        <v>10 - 19</v>
      </c>
    </row>
    <row r="700" spans="1:15" x14ac:dyDescent="0.35">
      <c r="A700" s="11">
        <v>2757</v>
      </c>
      <c r="B700" s="11" t="s">
        <v>12</v>
      </c>
      <c r="C700" s="11">
        <v>35</v>
      </c>
      <c r="D700" s="11" t="s">
        <v>17</v>
      </c>
      <c r="E700" s="11" t="s">
        <v>14</v>
      </c>
      <c r="F700" s="11">
        <v>232</v>
      </c>
      <c r="G700" s="11">
        <v>18</v>
      </c>
      <c r="H700" s="11">
        <v>0.49</v>
      </c>
      <c r="I700" s="11" t="s">
        <v>15</v>
      </c>
      <c r="J700" s="11">
        <v>25</v>
      </c>
      <c r="K700" s="11">
        <v>0</v>
      </c>
      <c r="L700" s="11">
        <v>0</v>
      </c>
      <c r="M700" s="11">
        <v>0</v>
      </c>
      <c r="N700" s="11">
        <v>0</v>
      </c>
      <c r="O700" s="12" t="str">
        <f t="shared" si="10"/>
        <v>20 - 29</v>
      </c>
    </row>
    <row r="701" spans="1:15" x14ac:dyDescent="0.35">
      <c r="A701" s="12">
        <v>2759</v>
      </c>
      <c r="B701" s="12" t="s">
        <v>12</v>
      </c>
      <c r="C701" s="12">
        <v>27</v>
      </c>
      <c r="D701" s="12" t="s">
        <v>27</v>
      </c>
      <c r="E701" s="12" t="s">
        <v>14</v>
      </c>
      <c r="F701" s="12">
        <v>32</v>
      </c>
      <c r="G701" s="12">
        <v>65</v>
      </c>
      <c r="H701" s="12">
        <v>0.19</v>
      </c>
      <c r="I701" s="12" t="s">
        <v>23</v>
      </c>
      <c r="J701" s="12">
        <v>34</v>
      </c>
      <c r="K701" s="12">
        <v>0</v>
      </c>
      <c r="L701" s="12">
        <v>0</v>
      </c>
      <c r="M701" s="12">
        <v>0</v>
      </c>
      <c r="N701" s="12">
        <v>0</v>
      </c>
      <c r="O701" s="12" t="str">
        <f t="shared" si="10"/>
        <v>30 - 39</v>
      </c>
    </row>
    <row r="702" spans="1:15" x14ac:dyDescent="0.35">
      <c r="A702" s="11">
        <v>2761</v>
      </c>
      <c r="B702" s="11" t="s">
        <v>20</v>
      </c>
      <c r="C702" s="11">
        <v>16</v>
      </c>
      <c r="D702" s="11" t="s">
        <v>21</v>
      </c>
      <c r="E702" s="11" t="s">
        <v>14</v>
      </c>
      <c r="F702" s="11">
        <v>111</v>
      </c>
      <c r="G702" s="11">
        <v>47</v>
      </c>
      <c r="H702" s="11">
        <v>0.33</v>
      </c>
      <c r="I702" s="11" t="s">
        <v>23</v>
      </c>
      <c r="J702" s="11">
        <v>25</v>
      </c>
      <c r="K702" s="11">
        <v>0</v>
      </c>
      <c r="L702" s="11">
        <v>0</v>
      </c>
      <c r="M702" s="11">
        <v>0</v>
      </c>
      <c r="N702" s="11">
        <v>0</v>
      </c>
      <c r="O702" s="12" t="str">
        <f t="shared" si="10"/>
        <v>20 - 29</v>
      </c>
    </row>
    <row r="703" spans="1:15" x14ac:dyDescent="0.35">
      <c r="A703" s="12">
        <v>2763</v>
      </c>
      <c r="B703" s="12" t="s">
        <v>16</v>
      </c>
      <c r="C703" s="12">
        <v>34</v>
      </c>
      <c r="D703" s="12" t="s">
        <v>27</v>
      </c>
      <c r="E703" s="12" t="s">
        <v>14</v>
      </c>
      <c r="F703" s="12">
        <v>125</v>
      </c>
      <c r="G703" s="12">
        <v>94</v>
      </c>
      <c r="H703" s="12">
        <v>0.02</v>
      </c>
      <c r="I703" s="12" t="s">
        <v>19</v>
      </c>
      <c r="J703" s="12">
        <v>15</v>
      </c>
      <c r="K703" s="12">
        <v>0</v>
      </c>
      <c r="L703" s="12">
        <v>0</v>
      </c>
      <c r="M703" s="12">
        <v>0</v>
      </c>
      <c r="N703" s="12">
        <v>0</v>
      </c>
      <c r="O703" s="12" t="str">
        <f t="shared" si="10"/>
        <v>10 - 19</v>
      </c>
    </row>
    <row r="704" spans="1:15" x14ac:dyDescent="0.35">
      <c r="A704" s="11">
        <v>2771</v>
      </c>
      <c r="B704" s="11" t="s">
        <v>20</v>
      </c>
      <c r="C704" s="11">
        <v>53</v>
      </c>
      <c r="D704" s="11" t="s">
        <v>26</v>
      </c>
      <c r="E704" s="11" t="s">
        <v>14</v>
      </c>
      <c r="F704" s="11">
        <v>203</v>
      </c>
      <c r="G704" s="11">
        <v>71</v>
      </c>
      <c r="H704" s="11">
        <v>0.45</v>
      </c>
      <c r="I704" s="11" t="s">
        <v>19</v>
      </c>
      <c r="J704" s="11">
        <v>36</v>
      </c>
      <c r="K704" s="11">
        <v>0</v>
      </c>
      <c r="L704" s="11">
        <v>1</v>
      </c>
      <c r="M704" s="11">
        <v>0</v>
      </c>
      <c r="N704" s="11">
        <v>0</v>
      </c>
      <c r="O704" s="12" t="str">
        <f t="shared" si="10"/>
        <v>30 - 39</v>
      </c>
    </row>
    <row r="705" spans="1:15" x14ac:dyDescent="0.35">
      <c r="A705" s="12">
        <v>2773</v>
      </c>
      <c r="B705" s="12" t="s">
        <v>16</v>
      </c>
      <c r="C705" s="12">
        <v>18</v>
      </c>
      <c r="D705" s="12" t="s">
        <v>27</v>
      </c>
      <c r="E705" s="12" t="s">
        <v>14</v>
      </c>
      <c r="F705" s="12">
        <v>132</v>
      </c>
      <c r="G705" s="12">
        <v>18</v>
      </c>
      <c r="H705" s="12">
        <v>0.34</v>
      </c>
      <c r="I705" s="12" t="s">
        <v>23</v>
      </c>
      <c r="J705" s="12">
        <v>13</v>
      </c>
      <c r="K705" s="12">
        <v>0</v>
      </c>
      <c r="L705" s="12">
        <v>0</v>
      </c>
      <c r="M705" s="12">
        <v>0</v>
      </c>
      <c r="N705" s="12">
        <v>0</v>
      </c>
      <c r="O705" s="12" t="str">
        <f t="shared" si="10"/>
        <v>10 - 19</v>
      </c>
    </row>
    <row r="706" spans="1:15" x14ac:dyDescent="0.35">
      <c r="A706" s="11">
        <v>2778</v>
      </c>
      <c r="B706" s="11" t="s">
        <v>20</v>
      </c>
      <c r="C706" s="11">
        <v>16</v>
      </c>
      <c r="D706" s="11" t="s">
        <v>27</v>
      </c>
      <c r="E706" s="11" t="s">
        <v>14</v>
      </c>
      <c r="F706" s="11">
        <v>246</v>
      </c>
      <c r="G706" s="11">
        <v>62</v>
      </c>
      <c r="H706" s="11">
        <v>0.56999999999999995</v>
      </c>
      <c r="I706" s="11" t="s">
        <v>15</v>
      </c>
      <c r="J706" s="11">
        <v>15</v>
      </c>
      <c r="K706" s="11">
        <v>0</v>
      </c>
      <c r="L706" s="11">
        <v>0</v>
      </c>
      <c r="M706" s="11">
        <v>0</v>
      </c>
      <c r="N706" s="11">
        <v>0</v>
      </c>
      <c r="O706" s="12" t="str">
        <f t="shared" ref="O706:O769" si="11">_xlfn.FLOOR.MATH(J706, 10) &amp; " - " &amp; (_xlfn.FLOOR.MATH(J706, 10) + 9)</f>
        <v>10 - 19</v>
      </c>
    </row>
    <row r="707" spans="1:15" x14ac:dyDescent="0.35">
      <c r="A707" s="12">
        <v>2786</v>
      </c>
      <c r="B707" s="12" t="s">
        <v>12</v>
      </c>
      <c r="C707" s="12">
        <v>29</v>
      </c>
      <c r="D707" s="12" t="s">
        <v>27</v>
      </c>
      <c r="E707" s="12" t="s">
        <v>14</v>
      </c>
      <c r="F707" s="12">
        <v>26</v>
      </c>
      <c r="G707" s="12">
        <v>18</v>
      </c>
      <c r="H707" s="12">
        <v>0.56000000000000005</v>
      </c>
      <c r="I707" s="12" t="s">
        <v>23</v>
      </c>
      <c r="J707" s="12">
        <v>37</v>
      </c>
      <c r="K707" s="12">
        <v>0</v>
      </c>
      <c r="L707" s="12">
        <v>1</v>
      </c>
      <c r="M707" s="12">
        <v>0</v>
      </c>
      <c r="N707" s="12">
        <v>0</v>
      </c>
      <c r="O707" s="12" t="str">
        <f t="shared" si="11"/>
        <v>30 - 39</v>
      </c>
    </row>
    <row r="708" spans="1:15" x14ac:dyDescent="0.35">
      <c r="A708" s="11">
        <v>2787</v>
      </c>
      <c r="B708" s="11" t="s">
        <v>20</v>
      </c>
      <c r="C708" s="11">
        <v>30</v>
      </c>
      <c r="D708" s="11" t="s">
        <v>29</v>
      </c>
      <c r="E708" s="11" t="s">
        <v>14</v>
      </c>
      <c r="F708" s="11">
        <v>225</v>
      </c>
      <c r="G708" s="11">
        <v>46</v>
      </c>
      <c r="H708" s="11">
        <v>0.21</v>
      </c>
      <c r="I708" s="11" t="s">
        <v>15</v>
      </c>
      <c r="J708" s="11">
        <v>8</v>
      </c>
      <c r="K708" s="11">
        <v>0</v>
      </c>
      <c r="L708" s="11">
        <v>0</v>
      </c>
      <c r="M708" s="11">
        <v>0</v>
      </c>
      <c r="N708" s="11">
        <v>0</v>
      </c>
      <c r="O708" s="12" t="str">
        <f t="shared" si="11"/>
        <v>0 - 9</v>
      </c>
    </row>
    <row r="709" spans="1:15" x14ac:dyDescent="0.35">
      <c r="A709" s="12">
        <v>2797</v>
      </c>
      <c r="B709" s="12" t="s">
        <v>20</v>
      </c>
      <c r="C709" s="12">
        <v>45</v>
      </c>
      <c r="D709" s="12" t="s">
        <v>28</v>
      </c>
      <c r="E709" s="12" t="s">
        <v>14</v>
      </c>
      <c r="F709" s="12">
        <v>44</v>
      </c>
      <c r="G709" s="12">
        <v>10</v>
      </c>
      <c r="H709" s="12">
        <v>0.19</v>
      </c>
      <c r="I709" s="12" t="s">
        <v>15</v>
      </c>
      <c r="J709" s="12">
        <v>48</v>
      </c>
      <c r="K709" s="12">
        <v>0</v>
      </c>
      <c r="L709" s="12">
        <v>1</v>
      </c>
      <c r="M709" s="12">
        <v>0</v>
      </c>
      <c r="N709" s="12">
        <v>0</v>
      </c>
      <c r="O709" s="12" t="str">
        <f t="shared" si="11"/>
        <v>40 - 49</v>
      </c>
    </row>
    <row r="710" spans="1:15" x14ac:dyDescent="0.35">
      <c r="A710" s="11">
        <v>2798</v>
      </c>
      <c r="B710" s="11" t="s">
        <v>12</v>
      </c>
      <c r="C710" s="11">
        <v>44</v>
      </c>
      <c r="D710" s="11" t="s">
        <v>29</v>
      </c>
      <c r="E710" s="11" t="s">
        <v>14</v>
      </c>
      <c r="F710" s="11">
        <v>46</v>
      </c>
      <c r="G710" s="11">
        <v>66</v>
      </c>
      <c r="H710" s="11">
        <v>0.2</v>
      </c>
      <c r="I710" s="11" t="s">
        <v>19</v>
      </c>
      <c r="J710" s="11">
        <v>11</v>
      </c>
      <c r="K710" s="11">
        <v>0</v>
      </c>
      <c r="L710" s="11">
        <v>0</v>
      </c>
      <c r="M710" s="11">
        <v>0</v>
      </c>
      <c r="N710" s="11">
        <v>0</v>
      </c>
      <c r="O710" s="12" t="str">
        <f t="shared" si="11"/>
        <v>10 - 19</v>
      </c>
    </row>
    <row r="711" spans="1:15" x14ac:dyDescent="0.35">
      <c r="A711" s="12">
        <v>2800</v>
      </c>
      <c r="B711" s="12" t="s">
        <v>20</v>
      </c>
      <c r="C711" s="12">
        <v>54</v>
      </c>
      <c r="D711" s="12" t="s">
        <v>17</v>
      </c>
      <c r="E711" s="12" t="s">
        <v>14</v>
      </c>
      <c r="F711" s="12">
        <v>161</v>
      </c>
      <c r="G711" s="12">
        <v>50</v>
      </c>
      <c r="H711" s="12">
        <v>0.11</v>
      </c>
      <c r="I711" s="12" t="s">
        <v>19</v>
      </c>
      <c r="J711" s="12">
        <v>30</v>
      </c>
      <c r="K711" s="12">
        <v>0</v>
      </c>
      <c r="L711" s="12">
        <v>0</v>
      </c>
      <c r="M711" s="12">
        <v>0</v>
      </c>
      <c r="N711" s="12">
        <v>0</v>
      </c>
      <c r="O711" s="12" t="str">
        <f t="shared" si="11"/>
        <v>30 - 39</v>
      </c>
    </row>
    <row r="712" spans="1:15" x14ac:dyDescent="0.35">
      <c r="A712" s="11">
        <v>2804</v>
      </c>
      <c r="B712" s="11" t="s">
        <v>16</v>
      </c>
      <c r="C712" s="11">
        <v>56</v>
      </c>
      <c r="D712" s="11" t="s">
        <v>13</v>
      </c>
      <c r="E712" s="11" t="s">
        <v>14</v>
      </c>
      <c r="F712" s="11">
        <v>266</v>
      </c>
      <c r="G712" s="11">
        <v>72</v>
      </c>
      <c r="H712" s="11">
        <v>0.24</v>
      </c>
      <c r="I712" s="11" t="s">
        <v>15</v>
      </c>
      <c r="J712" s="11">
        <v>12</v>
      </c>
      <c r="K712" s="11">
        <v>0</v>
      </c>
      <c r="L712" s="11">
        <v>0</v>
      </c>
      <c r="M712" s="11">
        <v>0</v>
      </c>
      <c r="N712" s="11">
        <v>0</v>
      </c>
      <c r="O712" s="12" t="str">
        <f t="shared" si="11"/>
        <v>10 - 19</v>
      </c>
    </row>
    <row r="713" spans="1:15" x14ac:dyDescent="0.35">
      <c r="A713" s="12">
        <v>2805</v>
      </c>
      <c r="B713" s="12" t="s">
        <v>16</v>
      </c>
      <c r="C713" s="12">
        <v>30</v>
      </c>
      <c r="D713" s="12" t="s">
        <v>13</v>
      </c>
      <c r="E713" s="12" t="s">
        <v>14</v>
      </c>
      <c r="F713" s="12">
        <v>271</v>
      </c>
      <c r="G713" s="12">
        <v>68</v>
      </c>
      <c r="H713" s="12">
        <v>0.43</v>
      </c>
      <c r="I713" s="12" t="s">
        <v>15</v>
      </c>
      <c r="J713" s="12">
        <v>44</v>
      </c>
      <c r="K713" s="12">
        <v>0</v>
      </c>
      <c r="L713" s="12">
        <v>0</v>
      </c>
      <c r="M713" s="12">
        <v>0</v>
      </c>
      <c r="N713" s="12">
        <v>0</v>
      </c>
      <c r="O713" s="12" t="str">
        <f t="shared" si="11"/>
        <v>40 - 49</v>
      </c>
    </row>
    <row r="714" spans="1:15" x14ac:dyDescent="0.35">
      <c r="A714" s="11">
        <v>2806</v>
      </c>
      <c r="B714" s="11" t="s">
        <v>12</v>
      </c>
      <c r="C714" s="11">
        <v>25</v>
      </c>
      <c r="D714" s="11" t="s">
        <v>13</v>
      </c>
      <c r="E714" s="11" t="s">
        <v>14</v>
      </c>
      <c r="F714" s="11">
        <v>264</v>
      </c>
      <c r="G714" s="11">
        <v>27</v>
      </c>
      <c r="H714" s="11">
        <v>0.05</v>
      </c>
      <c r="I714" s="11" t="s">
        <v>19</v>
      </c>
      <c r="J714" s="11">
        <v>24</v>
      </c>
      <c r="K714" s="11">
        <v>0</v>
      </c>
      <c r="L714" s="11">
        <v>0</v>
      </c>
      <c r="M714" s="11">
        <v>0</v>
      </c>
      <c r="N714" s="11">
        <v>0</v>
      </c>
      <c r="O714" s="12" t="str">
        <f t="shared" si="11"/>
        <v>20 - 29</v>
      </c>
    </row>
    <row r="715" spans="1:15" x14ac:dyDescent="0.35">
      <c r="A715" s="12">
        <v>2819</v>
      </c>
      <c r="B715" s="12" t="s">
        <v>20</v>
      </c>
      <c r="C715" s="12">
        <v>35</v>
      </c>
      <c r="D715" s="12" t="s">
        <v>28</v>
      </c>
      <c r="E715" s="12" t="s">
        <v>14</v>
      </c>
      <c r="F715" s="12">
        <v>236</v>
      </c>
      <c r="G715" s="12">
        <v>59</v>
      </c>
      <c r="H715" s="12">
        <v>0.27</v>
      </c>
      <c r="I715" s="12" t="s">
        <v>15</v>
      </c>
      <c r="J715" s="12">
        <v>46</v>
      </c>
      <c r="K715" s="12">
        <v>0</v>
      </c>
      <c r="L715" s="12">
        <v>0</v>
      </c>
      <c r="M715" s="12">
        <v>0</v>
      </c>
      <c r="N715" s="12">
        <v>0</v>
      </c>
      <c r="O715" s="12" t="str">
        <f t="shared" si="11"/>
        <v>40 - 49</v>
      </c>
    </row>
    <row r="716" spans="1:15" x14ac:dyDescent="0.35">
      <c r="A716" s="11">
        <v>2822</v>
      </c>
      <c r="B716" s="11" t="s">
        <v>20</v>
      </c>
      <c r="C716" s="11">
        <v>55</v>
      </c>
      <c r="D716" s="11" t="s">
        <v>25</v>
      </c>
      <c r="E716" s="11" t="s">
        <v>14</v>
      </c>
      <c r="F716" s="11">
        <v>12</v>
      </c>
      <c r="G716" s="11">
        <v>8</v>
      </c>
      <c r="H716" s="11">
        <v>0.03</v>
      </c>
      <c r="I716" s="11" t="s">
        <v>23</v>
      </c>
      <c r="J716" s="11">
        <v>34</v>
      </c>
      <c r="K716" s="11">
        <v>0</v>
      </c>
      <c r="L716" s="11">
        <v>0</v>
      </c>
      <c r="M716" s="11">
        <v>0</v>
      </c>
      <c r="N716" s="11">
        <v>0</v>
      </c>
      <c r="O716" s="12" t="str">
        <f t="shared" si="11"/>
        <v>30 - 39</v>
      </c>
    </row>
    <row r="717" spans="1:15" x14ac:dyDescent="0.35">
      <c r="A717" s="12">
        <v>2827</v>
      </c>
      <c r="B717" s="12" t="s">
        <v>16</v>
      </c>
      <c r="C717" s="12">
        <v>52</v>
      </c>
      <c r="D717" s="12" t="s">
        <v>26</v>
      </c>
      <c r="E717" s="12" t="s">
        <v>14</v>
      </c>
      <c r="F717" s="12">
        <v>196</v>
      </c>
      <c r="G717" s="12">
        <v>6</v>
      </c>
      <c r="H717" s="12">
        <v>7.0000000000000007E-2</v>
      </c>
      <c r="I717" s="12" t="s">
        <v>15</v>
      </c>
      <c r="J717" s="12">
        <v>37</v>
      </c>
      <c r="K717" s="12">
        <v>0</v>
      </c>
      <c r="L717" s="12">
        <v>1</v>
      </c>
      <c r="M717" s="12">
        <v>0</v>
      </c>
      <c r="N717" s="12">
        <v>0</v>
      </c>
      <c r="O717" s="12" t="str">
        <f t="shared" si="11"/>
        <v>30 - 39</v>
      </c>
    </row>
    <row r="718" spans="1:15" x14ac:dyDescent="0.35">
      <c r="A718" s="11">
        <v>2828</v>
      </c>
      <c r="B718" s="11" t="s">
        <v>12</v>
      </c>
      <c r="C718" s="11">
        <v>30</v>
      </c>
      <c r="D718" s="11" t="s">
        <v>29</v>
      </c>
      <c r="E718" s="11" t="s">
        <v>14</v>
      </c>
      <c r="F718" s="11">
        <v>150</v>
      </c>
      <c r="G718" s="11">
        <v>47</v>
      </c>
      <c r="H718" s="11">
        <v>0.51</v>
      </c>
      <c r="I718" s="11" t="s">
        <v>23</v>
      </c>
      <c r="J718" s="11">
        <v>43</v>
      </c>
      <c r="K718" s="11">
        <v>0</v>
      </c>
      <c r="L718" s="11">
        <v>0</v>
      </c>
      <c r="M718" s="11">
        <v>0</v>
      </c>
      <c r="N718" s="11">
        <v>0</v>
      </c>
      <c r="O718" s="12" t="str">
        <f t="shared" si="11"/>
        <v>40 - 49</v>
      </c>
    </row>
    <row r="719" spans="1:15" x14ac:dyDescent="0.35">
      <c r="A719" s="12">
        <v>2834</v>
      </c>
      <c r="B719" s="12" t="s">
        <v>20</v>
      </c>
      <c r="C719" s="12">
        <v>34</v>
      </c>
      <c r="D719" s="12" t="s">
        <v>25</v>
      </c>
      <c r="E719" s="12" t="s">
        <v>14</v>
      </c>
      <c r="F719" s="12">
        <v>187</v>
      </c>
      <c r="G719" s="12">
        <v>63</v>
      </c>
      <c r="H719" s="12">
        <v>0.35</v>
      </c>
      <c r="I719" s="12" t="s">
        <v>23</v>
      </c>
      <c r="J719" s="12">
        <v>29</v>
      </c>
      <c r="K719" s="12">
        <v>0</v>
      </c>
      <c r="L719" s="12">
        <v>1</v>
      </c>
      <c r="M719" s="12">
        <v>0</v>
      </c>
      <c r="N719" s="12">
        <v>0</v>
      </c>
      <c r="O719" s="12" t="str">
        <f t="shared" si="11"/>
        <v>20 - 29</v>
      </c>
    </row>
    <row r="720" spans="1:15" x14ac:dyDescent="0.35">
      <c r="A720" s="11">
        <v>2838</v>
      </c>
      <c r="B720" s="11" t="s">
        <v>20</v>
      </c>
      <c r="C720" s="11">
        <v>40</v>
      </c>
      <c r="D720" s="11" t="s">
        <v>29</v>
      </c>
      <c r="E720" s="11" t="s">
        <v>14</v>
      </c>
      <c r="F720" s="11">
        <v>213</v>
      </c>
      <c r="G720" s="11">
        <v>40</v>
      </c>
      <c r="H720" s="11">
        <v>0.22</v>
      </c>
      <c r="I720" s="11" t="s">
        <v>23</v>
      </c>
      <c r="J720" s="11">
        <v>17</v>
      </c>
      <c r="K720" s="11">
        <v>0</v>
      </c>
      <c r="L720" s="11">
        <v>1</v>
      </c>
      <c r="M720" s="11">
        <v>0</v>
      </c>
      <c r="N720" s="11">
        <v>0</v>
      </c>
      <c r="O720" s="12" t="str">
        <f t="shared" si="11"/>
        <v>10 - 19</v>
      </c>
    </row>
    <row r="721" spans="1:15" x14ac:dyDescent="0.35">
      <c r="A721" s="12">
        <v>2840</v>
      </c>
      <c r="B721" s="12" t="s">
        <v>12</v>
      </c>
      <c r="C721" s="12">
        <v>18</v>
      </c>
      <c r="D721" s="12" t="s">
        <v>27</v>
      </c>
      <c r="E721" s="12" t="s">
        <v>14</v>
      </c>
      <c r="F721" s="12">
        <v>202</v>
      </c>
      <c r="G721" s="12">
        <v>90</v>
      </c>
      <c r="H721" s="12">
        <v>0.16</v>
      </c>
      <c r="I721" s="12" t="s">
        <v>23</v>
      </c>
      <c r="J721" s="12">
        <v>16</v>
      </c>
      <c r="K721" s="12">
        <v>0</v>
      </c>
      <c r="L721" s="12">
        <v>0</v>
      </c>
      <c r="M721" s="12">
        <v>0</v>
      </c>
      <c r="N721" s="12">
        <v>0</v>
      </c>
      <c r="O721" s="12" t="str">
        <f t="shared" si="11"/>
        <v>10 - 19</v>
      </c>
    </row>
    <row r="722" spans="1:15" x14ac:dyDescent="0.35">
      <c r="A722" s="11">
        <v>2842</v>
      </c>
      <c r="B722" s="11" t="s">
        <v>16</v>
      </c>
      <c r="C722" s="11">
        <v>17</v>
      </c>
      <c r="D722" s="11" t="s">
        <v>21</v>
      </c>
      <c r="E722" s="11" t="s">
        <v>14</v>
      </c>
      <c r="F722" s="11">
        <v>171</v>
      </c>
      <c r="G722" s="11">
        <v>19</v>
      </c>
      <c r="H722" s="11">
        <v>0.44</v>
      </c>
      <c r="I722" s="11" t="s">
        <v>19</v>
      </c>
      <c r="J722" s="11">
        <v>11</v>
      </c>
      <c r="K722" s="11">
        <v>0</v>
      </c>
      <c r="L722" s="11">
        <v>1</v>
      </c>
      <c r="M722" s="11">
        <v>0</v>
      </c>
      <c r="N722" s="11">
        <v>0</v>
      </c>
      <c r="O722" s="12" t="str">
        <f t="shared" si="11"/>
        <v>10 - 19</v>
      </c>
    </row>
    <row r="723" spans="1:15" x14ac:dyDescent="0.35">
      <c r="A723" s="12">
        <v>2845</v>
      </c>
      <c r="B723" s="12" t="s">
        <v>20</v>
      </c>
      <c r="C723" s="12">
        <v>22</v>
      </c>
      <c r="D723" s="12" t="s">
        <v>26</v>
      </c>
      <c r="E723" s="12" t="s">
        <v>14</v>
      </c>
      <c r="F723" s="12">
        <v>246</v>
      </c>
      <c r="G723" s="12">
        <v>16</v>
      </c>
      <c r="H723" s="12">
        <v>0.36</v>
      </c>
      <c r="I723" s="12" t="s">
        <v>19</v>
      </c>
      <c r="J723" s="12">
        <v>42</v>
      </c>
      <c r="K723" s="12">
        <v>0</v>
      </c>
      <c r="L723" s="12">
        <v>0</v>
      </c>
      <c r="M723" s="12">
        <v>0</v>
      </c>
      <c r="N723" s="12">
        <v>0</v>
      </c>
      <c r="O723" s="12" t="str">
        <f t="shared" si="11"/>
        <v>40 - 49</v>
      </c>
    </row>
    <row r="724" spans="1:15" x14ac:dyDescent="0.35">
      <c r="A724" s="11">
        <v>2848</v>
      </c>
      <c r="B724" s="11" t="s">
        <v>20</v>
      </c>
      <c r="C724" s="11">
        <v>39</v>
      </c>
      <c r="D724" s="11" t="s">
        <v>29</v>
      </c>
      <c r="E724" s="11" t="s">
        <v>14</v>
      </c>
      <c r="F724" s="11">
        <v>219</v>
      </c>
      <c r="G724" s="11">
        <v>93</v>
      </c>
      <c r="H724" s="11">
        <v>0.22</v>
      </c>
      <c r="I724" s="11" t="s">
        <v>15</v>
      </c>
      <c r="J724" s="11">
        <v>10</v>
      </c>
      <c r="K724" s="11">
        <v>0</v>
      </c>
      <c r="L724" s="11">
        <v>0</v>
      </c>
      <c r="M724" s="11">
        <v>0</v>
      </c>
      <c r="N724" s="11">
        <v>0</v>
      </c>
      <c r="O724" s="12" t="str">
        <f t="shared" si="11"/>
        <v>10 - 19</v>
      </c>
    </row>
    <row r="725" spans="1:15" x14ac:dyDescent="0.35">
      <c r="A725" s="12">
        <v>2853</v>
      </c>
      <c r="B725" s="12" t="s">
        <v>16</v>
      </c>
      <c r="C725" s="12">
        <v>44</v>
      </c>
      <c r="D725" s="12" t="s">
        <v>17</v>
      </c>
      <c r="E725" s="12" t="s">
        <v>14</v>
      </c>
      <c r="F725" s="12">
        <v>251</v>
      </c>
      <c r="G725" s="12">
        <v>62</v>
      </c>
      <c r="H725" s="12">
        <v>0.38</v>
      </c>
      <c r="I725" s="12" t="s">
        <v>19</v>
      </c>
      <c r="J725" s="12">
        <v>5</v>
      </c>
      <c r="K725" s="12">
        <v>0</v>
      </c>
      <c r="L725" s="12">
        <v>0</v>
      </c>
      <c r="M725" s="12">
        <v>0</v>
      </c>
      <c r="N725" s="12">
        <v>0</v>
      </c>
      <c r="O725" s="12" t="str">
        <f t="shared" si="11"/>
        <v>0 - 9</v>
      </c>
    </row>
    <row r="726" spans="1:15" x14ac:dyDescent="0.35">
      <c r="A726" s="11">
        <v>2854</v>
      </c>
      <c r="B726" s="11" t="s">
        <v>12</v>
      </c>
      <c r="C726" s="11">
        <v>18</v>
      </c>
      <c r="D726" s="11" t="s">
        <v>26</v>
      </c>
      <c r="E726" s="11" t="s">
        <v>14</v>
      </c>
      <c r="F726" s="11">
        <v>190</v>
      </c>
      <c r="G726" s="11">
        <v>41</v>
      </c>
      <c r="H726" s="11">
        <v>0.3</v>
      </c>
      <c r="I726" s="11" t="s">
        <v>19</v>
      </c>
      <c r="J726" s="11">
        <v>21</v>
      </c>
      <c r="K726" s="11">
        <v>0</v>
      </c>
      <c r="L726" s="11">
        <v>0</v>
      </c>
      <c r="M726" s="11">
        <v>0</v>
      </c>
      <c r="N726" s="11">
        <v>0</v>
      </c>
      <c r="O726" s="12" t="str">
        <f t="shared" si="11"/>
        <v>20 - 29</v>
      </c>
    </row>
    <row r="727" spans="1:15" x14ac:dyDescent="0.35">
      <c r="A727" s="12">
        <v>2858</v>
      </c>
      <c r="B727" s="12" t="s">
        <v>12</v>
      </c>
      <c r="C727" s="12">
        <v>40</v>
      </c>
      <c r="D727" s="12" t="s">
        <v>25</v>
      </c>
      <c r="E727" s="12" t="s">
        <v>14</v>
      </c>
      <c r="F727" s="12">
        <v>96</v>
      </c>
      <c r="G727" s="12">
        <v>7</v>
      </c>
      <c r="H727" s="12">
        <v>0.21</v>
      </c>
      <c r="I727" s="12" t="s">
        <v>23</v>
      </c>
      <c r="J727" s="12">
        <v>35</v>
      </c>
      <c r="K727" s="12">
        <v>0</v>
      </c>
      <c r="L727" s="12">
        <v>0</v>
      </c>
      <c r="M727" s="12">
        <v>0</v>
      </c>
      <c r="N727" s="12">
        <v>0</v>
      </c>
      <c r="O727" s="12" t="str">
        <f t="shared" si="11"/>
        <v>30 - 39</v>
      </c>
    </row>
    <row r="728" spans="1:15" x14ac:dyDescent="0.35">
      <c r="A728" s="11">
        <v>2861</v>
      </c>
      <c r="B728" s="11" t="s">
        <v>12</v>
      </c>
      <c r="C728" s="11">
        <v>39</v>
      </c>
      <c r="D728" s="11" t="s">
        <v>26</v>
      </c>
      <c r="E728" s="11" t="s">
        <v>14</v>
      </c>
      <c r="F728" s="11">
        <v>45</v>
      </c>
      <c r="G728" s="11">
        <v>19</v>
      </c>
      <c r="H728" s="11">
        <v>0.51</v>
      </c>
      <c r="I728" s="11" t="s">
        <v>15</v>
      </c>
      <c r="J728" s="11">
        <v>13</v>
      </c>
      <c r="K728" s="11">
        <v>0</v>
      </c>
      <c r="L728" s="11">
        <v>0</v>
      </c>
      <c r="M728" s="11">
        <v>0</v>
      </c>
      <c r="N728" s="11">
        <v>0</v>
      </c>
      <c r="O728" s="12" t="str">
        <f t="shared" si="11"/>
        <v>10 - 19</v>
      </c>
    </row>
    <row r="729" spans="1:15" x14ac:dyDescent="0.35">
      <c r="A729" s="12">
        <v>2862</v>
      </c>
      <c r="B729" s="12" t="s">
        <v>16</v>
      </c>
      <c r="C729" s="12">
        <v>52</v>
      </c>
      <c r="D729" s="12" t="s">
        <v>26</v>
      </c>
      <c r="E729" s="12" t="s">
        <v>14</v>
      </c>
      <c r="F729" s="12">
        <v>50</v>
      </c>
      <c r="G729" s="12">
        <v>13</v>
      </c>
      <c r="H729" s="12">
        <v>0.21</v>
      </c>
      <c r="I729" s="12" t="s">
        <v>15</v>
      </c>
      <c r="J729" s="12">
        <v>23</v>
      </c>
      <c r="K729" s="12">
        <v>0</v>
      </c>
      <c r="L729" s="12">
        <v>0</v>
      </c>
      <c r="M729" s="12">
        <v>0</v>
      </c>
      <c r="N729" s="12">
        <v>0</v>
      </c>
      <c r="O729" s="12" t="str">
        <f t="shared" si="11"/>
        <v>20 - 29</v>
      </c>
    </row>
    <row r="730" spans="1:15" x14ac:dyDescent="0.35">
      <c r="A730" s="11">
        <v>2863</v>
      </c>
      <c r="B730" s="11" t="s">
        <v>16</v>
      </c>
      <c r="C730" s="11">
        <v>26</v>
      </c>
      <c r="D730" s="11" t="s">
        <v>17</v>
      </c>
      <c r="E730" s="11" t="s">
        <v>14</v>
      </c>
      <c r="F730" s="11">
        <v>183</v>
      </c>
      <c r="G730" s="11">
        <v>48</v>
      </c>
      <c r="H730" s="11">
        <v>0.43</v>
      </c>
      <c r="I730" s="11" t="s">
        <v>23</v>
      </c>
      <c r="J730" s="11">
        <v>41</v>
      </c>
      <c r="K730" s="11">
        <v>0</v>
      </c>
      <c r="L730" s="11">
        <v>0</v>
      </c>
      <c r="M730" s="11">
        <v>0</v>
      </c>
      <c r="N730" s="11">
        <v>0</v>
      </c>
      <c r="O730" s="12" t="str">
        <f t="shared" si="11"/>
        <v>40 - 49</v>
      </c>
    </row>
    <row r="731" spans="1:15" x14ac:dyDescent="0.35">
      <c r="A731" s="12">
        <v>2866</v>
      </c>
      <c r="B731" s="12" t="s">
        <v>20</v>
      </c>
      <c r="C731" s="12">
        <v>57</v>
      </c>
      <c r="D731" s="12" t="s">
        <v>27</v>
      </c>
      <c r="E731" s="12" t="s">
        <v>14</v>
      </c>
      <c r="F731" s="12">
        <v>59</v>
      </c>
      <c r="G731" s="12">
        <v>87</v>
      </c>
      <c r="H731" s="12">
        <v>0.24</v>
      </c>
      <c r="I731" s="12" t="s">
        <v>19</v>
      </c>
      <c r="J731" s="12">
        <v>16</v>
      </c>
      <c r="K731" s="12">
        <v>0</v>
      </c>
      <c r="L731" s="12">
        <v>0</v>
      </c>
      <c r="M731" s="12">
        <v>0</v>
      </c>
      <c r="N731" s="12">
        <v>0</v>
      </c>
      <c r="O731" s="12" t="str">
        <f t="shared" si="11"/>
        <v>10 - 19</v>
      </c>
    </row>
    <row r="732" spans="1:15" x14ac:dyDescent="0.35">
      <c r="A732" s="11">
        <v>2875</v>
      </c>
      <c r="B732" s="11" t="s">
        <v>20</v>
      </c>
      <c r="C732" s="11">
        <v>53</v>
      </c>
      <c r="D732" s="11" t="s">
        <v>25</v>
      </c>
      <c r="E732" s="11" t="s">
        <v>14</v>
      </c>
      <c r="F732" s="11">
        <v>167</v>
      </c>
      <c r="G732" s="11">
        <v>18</v>
      </c>
      <c r="H732" s="11">
        <v>0.14000000000000001</v>
      </c>
      <c r="I732" s="11" t="s">
        <v>15</v>
      </c>
      <c r="J732" s="11">
        <v>9</v>
      </c>
      <c r="K732" s="11">
        <v>0</v>
      </c>
      <c r="L732" s="11">
        <v>0</v>
      </c>
      <c r="M732" s="11">
        <v>0</v>
      </c>
      <c r="N732" s="11">
        <v>0</v>
      </c>
      <c r="O732" s="12" t="str">
        <f t="shared" si="11"/>
        <v>0 - 9</v>
      </c>
    </row>
    <row r="733" spans="1:15" x14ac:dyDescent="0.35">
      <c r="A733" s="12">
        <v>2877</v>
      </c>
      <c r="B733" s="12" t="s">
        <v>16</v>
      </c>
      <c r="C733" s="12">
        <v>21</v>
      </c>
      <c r="D733" s="12" t="s">
        <v>28</v>
      </c>
      <c r="E733" s="12" t="s">
        <v>14</v>
      </c>
      <c r="F733" s="12">
        <v>266</v>
      </c>
      <c r="G733" s="12">
        <v>15</v>
      </c>
      <c r="H733" s="12">
        <v>0.41</v>
      </c>
      <c r="I733" s="12" t="s">
        <v>23</v>
      </c>
      <c r="J733" s="12">
        <v>8</v>
      </c>
      <c r="K733" s="12">
        <v>0</v>
      </c>
      <c r="L733" s="12">
        <v>0</v>
      </c>
      <c r="M733" s="12">
        <v>0</v>
      </c>
      <c r="N733" s="12">
        <v>0</v>
      </c>
      <c r="O733" s="12" t="str">
        <f t="shared" si="11"/>
        <v>0 - 9</v>
      </c>
    </row>
    <row r="734" spans="1:15" x14ac:dyDescent="0.35">
      <c r="A734" s="11">
        <v>2882</v>
      </c>
      <c r="B734" s="11" t="s">
        <v>20</v>
      </c>
      <c r="C734" s="11">
        <v>22</v>
      </c>
      <c r="D734" s="11" t="s">
        <v>13</v>
      </c>
      <c r="E734" s="11" t="s">
        <v>14</v>
      </c>
      <c r="F734" s="11">
        <v>259</v>
      </c>
      <c r="G734" s="11">
        <v>43</v>
      </c>
      <c r="H734" s="11">
        <v>0.32</v>
      </c>
      <c r="I734" s="11" t="s">
        <v>23</v>
      </c>
      <c r="J734" s="11">
        <v>34</v>
      </c>
      <c r="K734" s="11">
        <v>0</v>
      </c>
      <c r="L734" s="11">
        <v>0</v>
      </c>
      <c r="M734" s="11">
        <v>0</v>
      </c>
      <c r="N734" s="11">
        <v>0</v>
      </c>
      <c r="O734" s="12" t="str">
        <f t="shared" si="11"/>
        <v>30 - 39</v>
      </c>
    </row>
    <row r="735" spans="1:15" x14ac:dyDescent="0.35">
      <c r="A735" s="12">
        <v>2890</v>
      </c>
      <c r="B735" s="12" t="s">
        <v>12</v>
      </c>
      <c r="C735" s="12">
        <v>43</v>
      </c>
      <c r="D735" s="12" t="s">
        <v>21</v>
      </c>
      <c r="E735" s="12" t="s">
        <v>14</v>
      </c>
      <c r="F735" s="12">
        <v>204</v>
      </c>
      <c r="G735" s="12">
        <v>67</v>
      </c>
      <c r="H735" s="12">
        <v>0.01</v>
      </c>
      <c r="I735" s="12" t="s">
        <v>15</v>
      </c>
      <c r="J735" s="12">
        <v>20</v>
      </c>
      <c r="K735" s="12">
        <v>0</v>
      </c>
      <c r="L735" s="12">
        <v>0</v>
      </c>
      <c r="M735" s="12">
        <v>0</v>
      </c>
      <c r="N735" s="12">
        <v>0</v>
      </c>
      <c r="O735" s="12" t="str">
        <f t="shared" si="11"/>
        <v>20 - 29</v>
      </c>
    </row>
    <row r="736" spans="1:15" x14ac:dyDescent="0.35">
      <c r="A736" s="11">
        <v>2893</v>
      </c>
      <c r="B736" s="11" t="s">
        <v>16</v>
      </c>
      <c r="C736" s="11">
        <v>46</v>
      </c>
      <c r="D736" s="11" t="s">
        <v>17</v>
      </c>
      <c r="E736" s="11" t="s">
        <v>14</v>
      </c>
      <c r="F736" s="11">
        <v>296</v>
      </c>
      <c r="G736" s="11">
        <v>95</v>
      </c>
      <c r="H736" s="11">
        <v>0.19</v>
      </c>
      <c r="I736" s="11" t="s">
        <v>15</v>
      </c>
      <c r="J736" s="11">
        <v>12</v>
      </c>
      <c r="K736" s="11">
        <v>0</v>
      </c>
      <c r="L736" s="11">
        <v>0</v>
      </c>
      <c r="M736" s="11">
        <v>0</v>
      </c>
      <c r="N736" s="11">
        <v>0</v>
      </c>
      <c r="O736" s="12" t="str">
        <f t="shared" si="11"/>
        <v>10 - 19</v>
      </c>
    </row>
    <row r="737" spans="1:15" x14ac:dyDescent="0.35">
      <c r="A737" s="12">
        <v>2895</v>
      </c>
      <c r="B737" s="12" t="s">
        <v>12</v>
      </c>
      <c r="C737" s="12">
        <v>47</v>
      </c>
      <c r="D737" s="12" t="s">
        <v>21</v>
      </c>
      <c r="E737" s="12" t="s">
        <v>14</v>
      </c>
      <c r="F737" s="12">
        <v>257</v>
      </c>
      <c r="G737" s="12">
        <v>98</v>
      </c>
      <c r="H737" s="12">
        <v>0</v>
      </c>
      <c r="I737" s="12" t="s">
        <v>23</v>
      </c>
      <c r="J737" s="12">
        <v>45</v>
      </c>
      <c r="K737" s="12">
        <v>0</v>
      </c>
      <c r="L737" s="12">
        <v>0</v>
      </c>
      <c r="M737" s="12">
        <v>0</v>
      </c>
      <c r="N737" s="12">
        <v>0</v>
      </c>
      <c r="O737" s="12" t="str">
        <f t="shared" si="11"/>
        <v>40 - 49</v>
      </c>
    </row>
    <row r="738" spans="1:15" x14ac:dyDescent="0.35">
      <c r="A738" s="11">
        <v>2896</v>
      </c>
      <c r="B738" s="11" t="s">
        <v>20</v>
      </c>
      <c r="C738" s="11">
        <v>55</v>
      </c>
      <c r="D738" s="11" t="s">
        <v>25</v>
      </c>
      <c r="E738" s="11" t="s">
        <v>14</v>
      </c>
      <c r="F738" s="11">
        <v>134</v>
      </c>
      <c r="G738" s="11">
        <v>40</v>
      </c>
      <c r="H738" s="11">
        <v>0.09</v>
      </c>
      <c r="I738" s="11" t="s">
        <v>19</v>
      </c>
      <c r="J738" s="11">
        <v>10</v>
      </c>
      <c r="K738" s="11">
        <v>0</v>
      </c>
      <c r="L738" s="11">
        <v>0</v>
      </c>
      <c r="M738" s="11">
        <v>0</v>
      </c>
      <c r="N738" s="11">
        <v>0</v>
      </c>
      <c r="O738" s="12" t="str">
        <f t="shared" si="11"/>
        <v>10 - 19</v>
      </c>
    </row>
    <row r="739" spans="1:15" x14ac:dyDescent="0.35">
      <c r="A739" s="12">
        <v>2903</v>
      </c>
      <c r="B739" s="12" t="s">
        <v>12</v>
      </c>
      <c r="C739" s="12">
        <v>29</v>
      </c>
      <c r="D739" s="12" t="s">
        <v>27</v>
      </c>
      <c r="E739" s="12" t="s">
        <v>14</v>
      </c>
      <c r="F739" s="12">
        <v>212</v>
      </c>
      <c r="G739" s="12">
        <v>94</v>
      </c>
      <c r="H739" s="12">
        <v>0.47</v>
      </c>
      <c r="I739" s="12" t="s">
        <v>15</v>
      </c>
      <c r="J739" s="12">
        <v>5</v>
      </c>
      <c r="K739" s="12">
        <v>0</v>
      </c>
      <c r="L739" s="12">
        <v>1</v>
      </c>
      <c r="M739" s="12">
        <v>0</v>
      </c>
      <c r="N739" s="12">
        <v>0</v>
      </c>
      <c r="O739" s="12" t="str">
        <f t="shared" si="11"/>
        <v>0 - 9</v>
      </c>
    </row>
    <row r="740" spans="1:15" x14ac:dyDescent="0.35">
      <c r="A740" s="11">
        <v>2906</v>
      </c>
      <c r="B740" s="11" t="s">
        <v>12</v>
      </c>
      <c r="C740" s="11">
        <v>24</v>
      </c>
      <c r="D740" s="11" t="s">
        <v>26</v>
      </c>
      <c r="E740" s="11" t="s">
        <v>14</v>
      </c>
      <c r="F740" s="11">
        <v>15</v>
      </c>
      <c r="G740" s="11">
        <v>86</v>
      </c>
      <c r="H740" s="11">
        <v>0.54</v>
      </c>
      <c r="I740" s="11" t="s">
        <v>19</v>
      </c>
      <c r="J740" s="11">
        <v>38</v>
      </c>
      <c r="K740" s="11">
        <v>0</v>
      </c>
      <c r="L740" s="11">
        <v>0</v>
      </c>
      <c r="M740" s="11">
        <v>0</v>
      </c>
      <c r="N740" s="11">
        <v>0</v>
      </c>
      <c r="O740" s="12" t="str">
        <f t="shared" si="11"/>
        <v>30 - 39</v>
      </c>
    </row>
    <row r="741" spans="1:15" x14ac:dyDescent="0.35">
      <c r="A741" s="12">
        <v>2907</v>
      </c>
      <c r="B741" s="12" t="s">
        <v>12</v>
      </c>
      <c r="C741" s="12">
        <v>39</v>
      </c>
      <c r="D741" s="12" t="s">
        <v>29</v>
      </c>
      <c r="E741" s="12" t="s">
        <v>14</v>
      </c>
      <c r="F741" s="12">
        <v>247</v>
      </c>
      <c r="G741" s="12">
        <v>41</v>
      </c>
      <c r="H741" s="12">
        <v>0.17</v>
      </c>
      <c r="I741" s="12" t="s">
        <v>15</v>
      </c>
      <c r="J741" s="12">
        <v>23</v>
      </c>
      <c r="K741" s="12">
        <v>0</v>
      </c>
      <c r="L741" s="12">
        <v>0</v>
      </c>
      <c r="M741" s="12">
        <v>0</v>
      </c>
      <c r="N741" s="12">
        <v>0</v>
      </c>
      <c r="O741" s="12" t="str">
        <f t="shared" si="11"/>
        <v>20 - 29</v>
      </c>
    </row>
    <row r="742" spans="1:15" x14ac:dyDescent="0.35">
      <c r="A742" s="11">
        <v>2909</v>
      </c>
      <c r="B742" s="11" t="s">
        <v>12</v>
      </c>
      <c r="C742" s="11">
        <v>22</v>
      </c>
      <c r="D742" s="11" t="s">
        <v>28</v>
      </c>
      <c r="E742" s="11" t="s">
        <v>14</v>
      </c>
      <c r="F742" s="11">
        <v>245</v>
      </c>
      <c r="G742" s="11">
        <v>50</v>
      </c>
      <c r="H742" s="11">
        <v>0.01</v>
      </c>
      <c r="I742" s="11" t="s">
        <v>19</v>
      </c>
      <c r="J742" s="11">
        <v>47</v>
      </c>
      <c r="K742" s="11">
        <v>0</v>
      </c>
      <c r="L742" s="11">
        <v>0</v>
      </c>
      <c r="M742" s="11">
        <v>0</v>
      </c>
      <c r="N742" s="11">
        <v>0</v>
      </c>
      <c r="O742" s="12" t="str">
        <f t="shared" si="11"/>
        <v>40 - 49</v>
      </c>
    </row>
    <row r="743" spans="1:15" x14ac:dyDescent="0.35">
      <c r="A743" s="12">
        <v>2911</v>
      </c>
      <c r="B743" s="12" t="s">
        <v>16</v>
      </c>
      <c r="C743" s="12">
        <v>28</v>
      </c>
      <c r="D743" s="12" t="s">
        <v>29</v>
      </c>
      <c r="E743" s="12" t="s">
        <v>14</v>
      </c>
      <c r="F743" s="12">
        <v>78</v>
      </c>
      <c r="G743" s="12">
        <v>55</v>
      </c>
      <c r="H743" s="12">
        <v>0.56999999999999995</v>
      </c>
      <c r="I743" s="12" t="s">
        <v>15</v>
      </c>
      <c r="J743" s="12">
        <v>9</v>
      </c>
      <c r="K743" s="12">
        <v>0</v>
      </c>
      <c r="L743" s="12">
        <v>1</v>
      </c>
      <c r="M743" s="12">
        <v>0</v>
      </c>
      <c r="N743" s="12">
        <v>0</v>
      </c>
      <c r="O743" s="12" t="str">
        <f t="shared" si="11"/>
        <v>0 - 9</v>
      </c>
    </row>
    <row r="744" spans="1:15" x14ac:dyDescent="0.35">
      <c r="A744" s="11">
        <v>2918</v>
      </c>
      <c r="B744" s="11" t="s">
        <v>16</v>
      </c>
      <c r="C744" s="11">
        <v>25</v>
      </c>
      <c r="D744" s="11" t="s">
        <v>27</v>
      </c>
      <c r="E744" s="11" t="s">
        <v>14</v>
      </c>
      <c r="F744" s="11">
        <v>177</v>
      </c>
      <c r="G744" s="11">
        <v>10</v>
      </c>
      <c r="H744" s="11">
        <v>0.06</v>
      </c>
      <c r="I744" s="11" t="s">
        <v>19</v>
      </c>
      <c r="J744" s="11">
        <v>35</v>
      </c>
      <c r="K744" s="11">
        <v>0</v>
      </c>
      <c r="L744" s="11">
        <v>0</v>
      </c>
      <c r="M744" s="11">
        <v>0</v>
      </c>
      <c r="N744" s="11">
        <v>0</v>
      </c>
      <c r="O744" s="12" t="str">
        <f t="shared" si="11"/>
        <v>30 - 39</v>
      </c>
    </row>
    <row r="745" spans="1:15" x14ac:dyDescent="0.35">
      <c r="A745" s="12">
        <v>2923</v>
      </c>
      <c r="B745" s="12" t="s">
        <v>16</v>
      </c>
      <c r="C745" s="12">
        <v>26</v>
      </c>
      <c r="D745" s="12" t="s">
        <v>25</v>
      </c>
      <c r="E745" s="12" t="s">
        <v>14</v>
      </c>
      <c r="F745" s="12">
        <v>174</v>
      </c>
      <c r="G745" s="12">
        <v>54</v>
      </c>
      <c r="H745" s="12">
        <v>0.18</v>
      </c>
      <c r="I745" s="12" t="s">
        <v>23</v>
      </c>
      <c r="J745" s="12">
        <v>8</v>
      </c>
      <c r="K745" s="12">
        <v>0</v>
      </c>
      <c r="L745" s="12">
        <v>0</v>
      </c>
      <c r="M745" s="12">
        <v>0</v>
      </c>
      <c r="N745" s="12">
        <v>0</v>
      </c>
      <c r="O745" s="12" t="str">
        <f t="shared" si="11"/>
        <v>0 - 9</v>
      </c>
    </row>
    <row r="746" spans="1:15" x14ac:dyDescent="0.35">
      <c r="A746" s="11">
        <v>2924</v>
      </c>
      <c r="B746" s="11" t="s">
        <v>16</v>
      </c>
      <c r="C746" s="11">
        <v>16</v>
      </c>
      <c r="D746" s="11" t="s">
        <v>26</v>
      </c>
      <c r="E746" s="11" t="s">
        <v>14</v>
      </c>
      <c r="F746" s="11">
        <v>184</v>
      </c>
      <c r="G746" s="11">
        <v>56</v>
      </c>
      <c r="H746" s="11">
        <v>0.52</v>
      </c>
      <c r="I746" s="11" t="s">
        <v>23</v>
      </c>
      <c r="J746" s="11">
        <v>12</v>
      </c>
      <c r="K746" s="11">
        <v>0</v>
      </c>
      <c r="L746" s="11">
        <v>1</v>
      </c>
      <c r="M746" s="11">
        <v>0</v>
      </c>
      <c r="N746" s="11">
        <v>0</v>
      </c>
      <c r="O746" s="12" t="str">
        <f t="shared" si="11"/>
        <v>10 - 19</v>
      </c>
    </row>
    <row r="747" spans="1:15" x14ac:dyDescent="0.35">
      <c r="A747" s="12">
        <v>2930</v>
      </c>
      <c r="B747" s="12" t="s">
        <v>12</v>
      </c>
      <c r="C747" s="12">
        <v>25</v>
      </c>
      <c r="D747" s="12" t="s">
        <v>21</v>
      </c>
      <c r="E747" s="12" t="s">
        <v>14</v>
      </c>
      <c r="F747" s="12">
        <v>198</v>
      </c>
      <c r="G747" s="12">
        <v>5</v>
      </c>
      <c r="H747" s="12">
        <v>0.1</v>
      </c>
      <c r="I747" s="12" t="s">
        <v>15</v>
      </c>
      <c r="J747" s="12">
        <v>14</v>
      </c>
      <c r="K747" s="12">
        <v>0</v>
      </c>
      <c r="L747" s="12">
        <v>0</v>
      </c>
      <c r="M747" s="12">
        <v>0</v>
      </c>
      <c r="N747" s="12">
        <v>0</v>
      </c>
      <c r="O747" s="12" t="str">
        <f t="shared" si="11"/>
        <v>10 - 19</v>
      </c>
    </row>
    <row r="748" spans="1:15" x14ac:dyDescent="0.35">
      <c r="A748" s="11">
        <v>2935</v>
      </c>
      <c r="B748" s="11" t="s">
        <v>16</v>
      </c>
      <c r="C748" s="11">
        <v>24</v>
      </c>
      <c r="D748" s="11" t="s">
        <v>17</v>
      </c>
      <c r="E748" s="11" t="s">
        <v>14</v>
      </c>
      <c r="F748" s="11">
        <v>163</v>
      </c>
      <c r="G748" s="11">
        <v>9</v>
      </c>
      <c r="H748" s="11">
        <v>0.22</v>
      </c>
      <c r="I748" s="11" t="s">
        <v>19</v>
      </c>
      <c r="J748" s="11">
        <v>25</v>
      </c>
      <c r="K748" s="11">
        <v>0</v>
      </c>
      <c r="L748" s="11">
        <v>0</v>
      </c>
      <c r="M748" s="11">
        <v>0</v>
      </c>
      <c r="N748" s="11">
        <v>0</v>
      </c>
      <c r="O748" s="12" t="str">
        <f t="shared" si="11"/>
        <v>20 - 29</v>
      </c>
    </row>
    <row r="749" spans="1:15" x14ac:dyDescent="0.35">
      <c r="A749" s="12">
        <v>2940</v>
      </c>
      <c r="B749" s="12" t="s">
        <v>20</v>
      </c>
      <c r="C749" s="12">
        <v>31</v>
      </c>
      <c r="D749" s="12" t="s">
        <v>28</v>
      </c>
      <c r="E749" s="12" t="s">
        <v>14</v>
      </c>
      <c r="F749" s="12">
        <v>41</v>
      </c>
      <c r="G749" s="12">
        <v>59</v>
      </c>
      <c r="H749" s="12">
        <v>0.22</v>
      </c>
      <c r="I749" s="12" t="s">
        <v>15</v>
      </c>
      <c r="J749" s="12">
        <v>28</v>
      </c>
      <c r="K749" s="12">
        <v>0</v>
      </c>
      <c r="L749" s="12">
        <v>0</v>
      </c>
      <c r="M749" s="12">
        <v>0</v>
      </c>
      <c r="N749" s="12">
        <v>0</v>
      </c>
      <c r="O749" s="12" t="str">
        <f t="shared" si="11"/>
        <v>20 - 29</v>
      </c>
    </row>
    <row r="750" spans="1:15" x14ac:dyDescent="0.35">
      <c r="A750" s="11">
        <v>2941</v>
      </c>
      <c r="B750" s="11" t="s">
        <v>12</v>
      </c>
      <c r="C750" s="11">
        <v>59</v>
      </c>
      <c r="D750" s="11" t="s">
        <v>26</v>
      </c>
      <c r="E750" s="11" t="s">
        <v>14</v>
      </c>
      <c r="F750" s="11">
        <v>198</v>
      </c>
      <c r="G750" s="11">
        <v>94</v>
      </c>
      <c r="H750" s="11">
        <v>0.21</v>
      </c>
      <c r="I750" s="11" t="s">
        <v>19</v>
      </c>
      <c r="J750" s="11">
        <v>28</v>
      </c>
      <c r="K750" s="11">
        <v>0</v>
      </c>
      <c r="L750" s="11">
        <v>0</v>
      </c>
      <c r="M750" s="11">
        <v>0</v>
      </c>
      <c r="N750" s="11">
        <v>0</v>
      </c>
      <c r="O750" s="12" t="str">
        <f t="shared" si="11"/>
        <v>20 - 29</v>
      </c>
    </row>
    <row r="751" spans="1:15" x14ac:dyDescent="0.35">
      <c r="A751" s="12">
        <v>2951</v>
      </c>
      <c r="B751" s="12" t="s">
        <v>20</v>
      </c>
      <c r="C751" s="12">
        <v>35</v>
      </c>
      <c r="D751" s="12" t="s">
        <v>26</v>
      </c>
      <c r="E751" s="12" t="s">
        <v>14</v>
      </c>
      <c r="F751" s="12">
        <v>252</v>
      </c>
      <c r="G751" s="12">
        <v>14</v>
      </c>
      <c r="H751" s="12">
        <v>0.59</v>
      </c>
      <c r="I751" s="12" t="s">
        <v>19</v>
      </c>
      <c r="J751" s="12">
        <v>27</v>
      </c>
      <c r="K751" s="12">
        <v>0</v>
      </c>
      <c r="L751" s="12">
        <v>0</v>
      </c>
      <c r="M751" s="12">
        <v>0</v>
      </c>
      <c r="N751" s="12">
        <v>0</v>
      </c>
      <c r="O751" s="12" t="str">
        <f t="shared" si="11"/>
        <v>20 - 29</v>
      </c>
    </row>
    <row r="752" spans="1:15" x14ac:dyDescent="0.35">
      <c r="A752" s="11">
        <v>2957</v>
      </c>
      <c r="B752" s="11" t="s">
        <v>16</v>
      </c>
      <c r="C752" s="11">
        <v>38</v>
      </c>
      <c r="D752" s="11" t="s">
        <v>26</v>
      </c>
      <c r="E752" s="11" t="s">
        <v>14</v>
      </c>
      <c r="F752" s="11">
        <v>272</v>
      </c>
      <c r="G752" s="11">
        <v>39</v>
      </c>
      <c r="H752" s="11">
        <v>0.31</v>
      </c>
      <c r="I752" s="11" t="s">
        <v>19</v>
      </c>
      <c r="J752" s="11">
        <v>44</v>
      </c>
      <c r="K752" s="11">
        <v>0</v>
      </c>
      <c r="L752" s="11">
        <v>0</v>
      </c>
      <c r="M752" s="11">
        <v>0</v>
      </c>
      <c r="N752" s="11">
        <v>0</v>
      </c>
      <c r="O752" s="12" t="str">
        <f t="shared" si="11"/>
        <v>40 - 49</v>
      </c>
    </row>
    <row r="753" spans="1:15" x14ac:dyDescent="0.35">
      <c r="A753" s="12">
        <v>2960</v>
      </c>
      <c r="B753" s="12" t="s">
        <v>12</v>
      </c>
      <c r="C753" s="12">
        <v>34</v>
      </c>
      <c r="D753" s="12" t="s">
        <v>29</v>
      </c>
      <c r="E753" s="12" t="s">
        <v>14</v>
      </c>
      <c r="F753" s="12">
        <v>129</v>
      </c>
      <c r="G753" s="12">
        <v>42</v>
      </c>
      <c r="H753" s="12">
        <v>0.27</v>
      </c>
      <c r="I753" s="12" t="s">
        <v>19</v>
      </c>
      <c r="J753" s="12">
        <v>31</v>
      </c>
      <c r="K753" s="12">
        <v>0</v>
      </c>
      <c r="L753" s="12">
        <v>0</v>
      </c>
      <c r="M753" s="12">
        <v>0</v>
      </c>
      <c r="N753" s="12">
        <v>0</v>
      </c>
      <c r="O753" s="12" t="str">
        <f t="shared" si="11"/>
        <v>30 - 39</v>
      </c>
    </row>
    <row r="754" spans="1:15" x14ac:dyDescent="0.35">
      <c r="A754" s="11">
        <v>2961</v>
      </c>
      <c r="B754" s="11" t="s">
        <v>20</v>
      </c>
      <c r="C754" s="11">
        <v>23</v>
      </c>
      <c r="D754" s="11" t="s">
        <v>13</v>
      </c>
      <c r="E754" s="11" t="s">
        <v>14</v>
      </c>
      <c r="F754" s="11">
        <v>76</v>
      </c>
      <c r="G754" s="11">
        <v>53</v>
      </c>
      <c r="H754" s="11">
        <v>0.56999999999999995</v>
      </c>
      <c r="I754" s="11" t="s">
        <v>19</v>
      </c>
      <c r="J754" s="11">
        <v>15</v>
      </c>
      <c r="K754" s="11">
        <v>0</v>
      </c>
      <c r="L754" s="11">
        <v>0</v>
      </c>
      <c r="M754" s="11">
        <v>0</v>
      </c>
      <c r="N754" s="11">
        <v>0</v>
      </c>
      <c r="O754" s="12" t="str">
        <f t="shared" si="11"/>
        <v>10 - 19</v>
      </c>
    </row>
    <row r="755" spans="1:15" x14ac:dyDescent="0.35">
      <c r="A755" s="12">
        <v>2965</v>
      </c>
      <c r="B755" s="12" t="s">
        <v>20</v>
      </c>
      <c r="C755" s="12">
        <v>36</v>
      </c>
      <c r="D755" s="12" t="s">
        <v>21</v>
      </c>
      <c r="E755" s="12" t="s">
        <v>14</v>
      </c>
      <c r="F755" s="12">
        <v>243</v>
      </c>
      <c r="G755" s="12">
        <v>24</v>
      </c>
      <c r="H755" s="12">
        <v>0.22</v>
      </c>
      <c r="I755" s="12" t="s">
        <v>15</v>
      </c>
      <c r="J755" s="12">
        <v>22</v>
      </c>
      <c r="K755" s="12">
        <v>0</v>
      </c>
      <c r="L755" s="12">
        <v>0</v>
      </c>
      <c r="M755" s="12">
        <v>0</v>
      </c>
      <c r="N755" s="12">
        <v>0</v>
      </c>
      <c r="O755" s="12" t="str">
        <f t="shared" si="11"/>
        <v>20 - 29</v>
      </c>
    </row>
    <row r="756" spans="1:15" x14ac:dyDescent="0.35">
      <c r="A756" s="11">
        <v>2973</v>
      </c>
      <c r="B756" s="11" t="s">
        <v>12</v>
      </c>
      <c r="C756" s="11">
        <v>22</v>
      </c>
      <c r="D756" s="11" t="s">
        <v>27</v>
      </c>
      <c r="E756" s="11" t="s">
        <v>14</v>
      </c>
      <c r="F756" s="11">
        <v>181</v>
      </c>
      <c r="G756" s="11">
        <v>7</v>
      </c>
      <c r="H756" s="11">
        <v>0.48</v>
      </c>
      <c r="I756" s="11" t="s">
        <v>19</v>
      </c>
      <c r="J756" s="11">
        <v>18</v>
      </c>
      <c r="K756" s="11">
        <v>0</v>
      </c>
      <c r="L756" s="11">
        <v>1</v>
      </c>
      <c r="M756" s="11">
        <v>0</v>
      </c>
      <c r="N756" s="11">
        <v>0</v>
      </c>
      <c r="O756" s="12" t="str">
        <f t="shared" si="11"/>
        <v>10 - 19</v>
      </c>
    </row>
    <row r="757" spans="1:15" x14ac:dyDescent="0.35">
      <c r="A757" s="12">
        <v>2975</v>
      </c>
      <c r="B757" s="12" t="s">
        <v>20</v>
      </c>
      <c r="C757" s="12">
        <v>45</v>
      </c>
      <c r="D757" s="12" t="s">
        <v>29</v>
      </c>
      <c r="E757" s="12" t="s">
        <v>14</v>
      </c>
      <c r="F757" s="12">
        <v>86</v>
      </c>
      <c r="G757" s="12">
        <v>54</v>
      </c>
      <c r="H757" s="12">
        <v>0.38</v>
      </c>
      <c r="I757" s="12" t="s">
        <v>15</v>
      </c>
      <c r="J757" s="12">
        <v>41</v>
      </c>
      <c r="K757" s="12">
        <v>0</v>
      </c>
      <c r="L757" s="12">
        <v>0</v>
      </c>
      <c r="M757" s="12">
        <v>0</v>
      </c>
      <c r="N757" s="12">
        <v>0</v>
      </c>
      <c r="O757" s="12" t="str">
        <f t="shared" si="11"/>
        <v>40 - 49</v>
      </c>
    </row>
    <row r="758" spans="1:15" x14ac:dyDescent="0.35">
      <c r="A758" s="11">
        <v>2980</v>
      </c>
      <c r="B758" s="11" t="s">
        <v>20</v>
      </c>
      <c r="C758" s="11">
        <v>18</v>
      </c>
      <c r="D758" s="11" t="s">
        <v>21</v>
      </c>
      <c r="E758" s="11" t="s">
        <v>14</v>
      </c>
      <c r="F758" s="11">
        <v>234</v>
      </c>
      <c r="G758" s="11">
        <v>69</v>
      </c>
      <c r="H758" s="11">
        <v>0.26</v>
      </c>
      <c r="I758" s="11" t="s">
        <v>19</v>
      </c>
      <c r="J758" s="11">
        <v>44</v>
      </c>
      <c r="K758" s="11">
        <v>0</v>
      </c>
      <c r="L758" s="11">
        <v>1</v>
      </c>
      <c r="M758" s="11">
        <v>0</v>
      </c>
      <c r="N758" s="11">
        <v>0</v>
      </c>
      <c r="O758" s="12" t="str">
        <f t="shared" si="11"/>
        <v>40 - 49</v>
      </c>
    </row>
    <row r="759" spans="1:15" x14ac:dyDescent="0.35">
      <c r="A759" s="12">
        <v>2983</v>
      </c>
      <c r="B759" s="12" t="s">
        <v>20</v>
      </c>
      <c r="C759" s="12">
        <v>51</v>
      </c>
      <c r="D759" s="12" t="s">
        <v>29</v>
      </c>
      <c r="E759" s="12" t="s">
        <v>14</v>
      </c>
      <c r="F759" s="12">
        <v>228</v>
      </c>
      <c r="G759" s="12">
        <v>36</v>
      </c>
      <c r="H759" s="12">
        <v>0.23</v>
      </c>
      <c r="I759" s="12" t="s">
        <v>19</v>
      </c>
      <c r="J759" s="12">
        <v>21</v>
      </c>
      <c r="K759" s="12">
        <v>0</v>
      </c>
      <c r="L759" s="12">
        <v>1</v>
      </c>
      <c r="M759" s="12">
        <v>0</v>
      </c>
      <c r="N759" s="12">
        <v>0</v>
      </c>
      <c r="O759" s="12" t="str">
        <f t="shared" si="11"/>
        <v>20 - 29</v>
      </c>
    </row>
    <row r="760" spans="1:15" x14ac:dyDescent="0.35">
      <c r="A760" s="11">
        <v>2989</v>
      </c>
      <c r="B760" s="11" t="s">
        <v>20</v>
      </c>
      <c r="C760" s="11">
        <v>28</v>
      </c>
      <c r="D760" s="11" t="s">
        <v>26</v>
      </c>
      <c r="E760" s="11" t="s">
        <v>14</v>
      </c>
      <c r="F760" s="11">
        <v>156</v>
      </c>
      <c r="G760" s="11">
        <v>14</v>
      </c>
      <c r="H760" s="11">
        <v>0.15</v>
      </c>
      <c r="I760" s="11" t="s">
        <v>23</v>
      </c>
      <c r="J760" s="11">
        <v>38</v>
      </c>
      <c r="K760" s="11">
        <v>0</v>
      </c>
      <c r="L760" s="11">
        <v>0</v>
      </c>
      <c r="M760" s="11">
        <v>0</v>
      </c>
      <c r="N760" s="11">
        <v>0</v>
      </c>
      <c r="O760" s="12" t="str">
        <f t="shared" si="11"/>
        <v>30 - 39</v>
      </c>
    </row>
    <row r="761" spans="1:15" x14ac:dyDescent="0.35">
      <c r="A761" s="12">
        <v>2991</v>
      </c>
      <c r="B761" s="12" t="s">
        <v>16</v>
      </c>
      <c r="C761" s="12">
        <v>56</v>
      </c>
      <c r="D761" s="12" t="s">
        <v>27</v>
      </c>
      <c r="E761" s="12" t="s">
        <v>14</v>
      </c>
      <c r="F761" s="12">
        <v>136</v>
      </c>
      <c r="G761" s="12">
        <v>16</v>
      </c>
      <c r="H761" s="12">
        <v>0.11</v>
      </c>
      <c r="I761" s="12" t="s">
        <v>19</v>
      </c>
      <c r="J761" s="12">
        <v>30</v>
      </c>
      <c r="K761" s="12">
        <v>0</v>
      </c>
      <c r="L761" s="12">
        <v>0</v>
      </c>
      <c r="M761" s="12">
        <v>0</v>
      </c>
      <c r="N761" s="12">
        <v>0</v>
      </c>
      <c r="O761" s="12" t="str">
        <f t="shared" si="11"/>
        <v>30 - 39</v>
      </c>
    </row>
    <row r="762" spans="1:15" x14ac:dyDescent="0.35">
      <c r="A762" s="11">
        <v>2997</v>
      </c>
      <c r="B762" s="11" t="s">
        <v>16</v>
      </c>
      <c r="C762" s="11">
        <v>18</v>
      </c>
      <c r="D762" s="11" t="s">
        <v>25</v>
      </c>
      <c r="E762" s="11" t="s">
        <v>14</v>
      </c>
      <c r="F762" s="11">
        <v>271</v>
      </c>
      <c r="G762" s="11">
        <v>42</v>
      </c>
      <c r="H762" s="11">
        <v>0.31</v>
      </c>
      <c r="I762" s="11" t="s">
        <v>15</v>
      </c>
      <c r="J762" s="11">
        <v>16</v>
      </c>
      <c r="K762" s="11">
        <v>0</v>
      </c>
      <c r="L762" s="11">
        <v>0</v>
      </c>
      <c r="M762" s="11">
        <v>0</v>
      </c>
      <c r="N762" s="11">
        <v>0</v>
      </c>
      <c r="O762" s="12" t="str">
        <f t="shared" si="11"/>
        <v>10 - 19</v>
      </c>
    </row>
    <row r="763" spans="1:15" x14ac:dyDescent="0.35">
      <c r="A763" s="12">
        <v>3001</v>
      </c>
      <c r="B763" s="12" t="s">
        <v>20</v>
      </c>
      <c r="C763" s="12">
        <v>25</v>
      </c>
      <c r="D763" s="12" t="s">
        <v>21</v>
      </c>
      <c r="E763" s="12" t="s">
        <v>14</v>
      </c>
      <c r="F763" s="12">
        <v>276</v>
      </c>
      <c r="G763" s="12">
        <v>15</v>
      </c>
      <c r="H763" s="12">
        <v>0.18</v>
      </c>
      <c r="I763" s="12" t="s">
        <v>15</v>
      </c>
      <c r="J763" s="12">
        <v>47</v>
      </c>
      <c r="K763" s="12">
        <v>0</v>
      </c>
      <c r="L763" s="12">
        <v>0</v>
      </c>
      <c r="M763" s="12">
        <v>0</v>
      </c>
      <c r="N763" s="12">
        <v>0</v>
      </c>
      <c r="O763" s="12" t="str">
        <f t="shared" si="11"/>
        <v>40 - 49</v>
      </c>
    </row>
    <row r="764" spans="1:15" x14ac:dyDescent="0.35">
      <c r="A764" s="11">
        <v>3005</v>
      </c>
      <c r="B764" s="11" t="s">
        <v>12</v>
      </c>
      <c r="C764" s="11">
        <v>22</v>
      </c>
      <c r="D764" s="11" t="s">
        <v>29</v>
      </c>
      <c r="E764" s="11" t="s">
        <v>14</v>
      </c>
      <c r="F764" s="11">
        <v>60</v>
      </c>
      <c r="G764" s="11">
        <v>46</v>
      </c>
      <c r="H764" s="11">
        <v>0.02</v>
      </c>
      <c r="I764" s="11" t="s">
        <v>15</v>
      </c>
      <c r="J764" s="11">
        <v>31</v>
      </c>
      <c r="K764" s="11">
        <v>0</v>
      </c>
      <c r="L764" s="11">
        <v>0</v>
      </c>
      <c r="M764" s="11">
        <v>0</v>
      </c>
      <c r="N764" s="11">
        <v>0</v>
      </c>
      <c r="O764" s="12" t="str">
        <f t="shared" si="11"/>
        <v>30 - 39</v>
      </c>
    </row>
    <row r="765" spans="1:15" x14ac:dyDescent="0.35">
      <c r="A765" s="12">
        <v>3006</v>
      </c>
      <c r="B765" s="12" t="s">
        <v>16</v>
      </c>
      <c r="C765" s="12">
        <v>54</v>
      </c>
      <c r="D765" s="12" t="s">
        <v>29</v>
      </c>
      <c r="E765" s="12" t="s">
        <v>14</v>
      </c>
      <c r="F765" s="12">
        <v>115</v>
      </c>
      <c r="G765" s="12">
        <v>84</v>
      </c>
      <c r="H765" s="12">
        <v>0.28000000000000003</v>
      </c>
      <c r="I765" s="12" t="s">
        <v>15</v>
      </c>
      <c r="J765" s="12">
        <v>6</v>
      </c>
      <c r="K765" s="12">
        <v>0</v>
      </c>
      <c r="L765" s="12">
        <v>0</v>
      </c>
      <c r="M765" s="12">
        <v>0</v>
      </c>
      <c r="N765" s="12">
        <v>0</v>
      </c>
      <c r="O765" s="12" t="str">
        <f t="shared" si="11"/>
        <v>0 - 9</v>
      </c>
    </row>
    <row r="766" spans="1:15" x14ac:dyDescent="0.35">
      <c r="A766" s="11">
        <v>3009</v>
      </c>
      <c r="B766" s="11" t="s">
        <v>12</v>
      </c>
      <c r="C766" s="11">
        <v>54</v>
      </c>
      <c r="D766" s="11" t="s">
        <v>28</v>
      </c>
      <c r="E766" s="11" t="s">
        <v>14</v>
      </c>
      <c r="F766" s="11">
        <v>109</v>
      </c>
      <c r="G766" s="11">
        <v>89</v>
      </c>
      <c r="H766" s="11">
        <v>0.21</v>
      </c>
      <c r="I766" s="11" t="s">
        <v>23</v>
      </c>
      <c r="J766" s="11">
        <v>30</v>
      </c>
      <c r="K766" s="11">
        <v>0</v>
      </c>
      <c r="L766" s="11">
        <v>0</v>
      </c>
      <c r="M766" s="11">
        <v>0</v>
      </c>
      <c r="N766" s="11">
        <v>0</v>
      </c>
      <c r="O766" s="12" t="str">
        <f t="shared" si="11"/>
        <v>30 - 39</v>
      </c>
    </row>
    <row r="767" spans="1:15" x14ac:dyDescent="0.35">
      <c r="A767" s="12">
        <v>3011</v>
      </c>
      <c r="B767" s="12" t="s">
        <v>16</v>
      </c>
      <c r="C767" s="12">
        <v>35</v>
      </c>
      <c r="D767" s="12" t="s">
        <v>28</v>
      </c>
      <c r="E767" s="12" t="s">
        <v>14</v>
      </c>
      <c r="F767" s="12">
        <v>265</v>
      </c>
      <c r="G767" s="12">
        <v>25</v>
      </c>
      <c r="H767" s="12">
        <v>0.22</v>
      </c>
      <c r="I767" s="12" t="s">
        <v>19</v>
      </c>
      <c r="J767" s="12">
        <v>48</v>
      </c>
      <c r="K767" s="12">
        <v>0</v>
      </c>
      <c r="L767" s="12">
        <v>0</v>
      </c>
      <c r="M767" s="12">
        <v>0</v>
      </c>
      <c r="N767" s="12">
        <v>0</v>
      </c>
      <c r="O767" s="12" t="str">
        <f t="shared" si="11"/>
        <v>40 - 49</v>
      </c>
    </row>
    <row r="768" spans="1:15" x14ac:dyDescent="0.35">
      <c r="A768" s="11">
        <v>3015</v>
      </c>
      <c r="B768" s="11" t="s">
        <v>12</v>
      </c>
      <c r="C768" s="11">
        <v>19</v>
      </c>
      <c r="D768" s="11" t="s">
        <v>17</v>
      </c>
      <c r="E768" s="11" t="s">
        <v>14</v>
      </c>
      <c r="F768" s="11">
        <v>87</v>
      </c>
      <c r="G768" s="11">
        <v>61</v>
      </c>
      <c r="H768" s="11">
        <v>0.45</v>
      </c>
      <c r="I768" s="11" t="s">
        <v>19</v>
      </c>
      <c r="J768" s="11">
        <v>16</v>
      </c>
      <c r="K768" s="11">
        <v>0</v>
      </c>
      <c r="L768" s="11">
        <v>0</v>
      </c>
      <c r="M768" s="11">
        <v>0</v>
      </c>
      <c r="N768" s="11">
        <v>0</v>
      </c>
      <c r="O768" s="12" t="str">
        <f t="shared" si="11"/>
        <v>10 - 19</v>
      </c>
    </row>
    <row r="769" spans="1:15" x14ac:dyDescent="0.35">
      <c r="A769" s="12">
        <v>3026</v>
      </c>
      <c r="B769" s="12" t="s">
        <v>12</v>
      </c>
      <c r="C769" s="12">
        <v>43</v>
      </c>
      <c r="D769" s="12" t="s">
        <v>21</v>
      </c>
      <c r="E769" s="12" t="s">
        <v>14</v>
      </c>
      <c r="F769" s="12">
        <v>215</v>
      </c>
      <c r="G769" s="12">
        <v>71</v>
      </c>
      <c r="H769" s="12">
        <v>0.55000000000000004</v>
      </c>
      <c r="I769" s="12" t="s">
        <v>19</v>
      </c>
      <c r="J769" s="12">
        <v>42</v>
      </c>
      <c r="K769" s="12">
        <v>0</v>
      </c>
      <c r="L769" s="12">
        <v>0</v>
      </c>
      <c r="M769" s="12">
        <v>0</v>
      </c>
      <c r="N769" s="12">
        <v>0</v>
      </c>
      <c r="O769" s="12" t="str">
        <f t="shared" si="11"/>
        <v>40 - 49</v>
      </c>
    </row>
    <row r="770" spans="1:15" x14ac:dyDescent="0.35">
      <c r="A770" s="11">
        <v>3030</v>
      </c>
      <c r="B770" s="11" t="s">
        <v>12</v>
      </c>
      <c r="C770" s="11">
        <v>34</v>
      </c>
      <c r="D770" s="11" t="s">
        <v>29</v>
      </c>
      <c r="E770" s="11" t="s">
        <v>14</v>
      </c>
      <c r="F770" s="11">
        <v>76</v>
      </c>
      <c r="G770" s="11">
        <v>23</v>
      </c>
      <c r="H770" s="11">
        <v>0.03</v>
      </c>
      <c r="I770" s="11" t="s">
        <v>19</v>
      </c>
      <c r="J770" s="11">
        <v>48</v>
      </c>
      <c r="K770" s="11">
        <v>0</v>
      </c>
      <c r="L770" s="11">
        <v>0</v>
      </c>
      <c r="M770" s="11">
        <v>0</v>
      </c>
      <c r="N770" s="11">
        <v>0</v>
      </c>
      <c r="O770" s="12" t="str">
        <f t="shared" ref="O770:O833" si="12">_xlfn.FLOOR.MATH(J770, 10) &amp; " - " &amp; (_xlfn.FLOOR.MATH(J770, 10) + 9)</f>
        <v>40 - 49</v>
      </c>
    </row>
    <row r="771" spans="1:15" x14ac:dyDescent="0.35">
      <c r="A771" s="12">
        <v>3031</v>
      </c>
      <c r="B771" s="12" t="s">
        <v>20</v>
      </c>
      <c r="C771" s="12">
        <v>21</v>
      </c>
      <c r="D771" s="12" t="s">
        <v>13</v>
      </c>
      <c r="E771" s="12" t="s">
        <v>14</v>
      </c>
      <c r="F771" s="12">
        <v>200</v>
      </c>
      <c r="G771" s="12">
        <v>34</v>
      </c>
      <c r="H771" s="12">
        <v>0.48</v>
      </c>
      <c r="I771" s="12" t="s">
        <v>19</v>
      </c>
      <c r="J771" s="12">
        <v>28</v>
      </c>
      <c r="K771" s="12">
        <v>0</v>
      </c>
      <c r="L771" s="12">
        <v>0</v>
      </c>
      <c r="M771" s="12">
        <v>0</v>
      </c>
      <c r="N771" s="12">
        <v>0</v>
      </c>
      <c r="O771" s="12" t="str">
        <f t="shared" si="12"/>
        <v>20 - 29</v>
      </c>
    </row>
    <row r="772" spans="1:15" x14ac:dyDescent="0.35">
      <c r="A772" s="11">
        <v>3038</v>
      </c>
      <c r="B772" s="11" t="s">
        <v>16</v>
      </c>
      <c r="C772" s="11">
        <v>18</v>
      </c>
      <c r="D772" s="11" t="s">
        <v>13</v>
      </c>
      <c r="E772" s="11" t="s">
        <v>14</v>
      </c>
      <c r="F772" s="11">
        <v>150</v>
      </c>
      <c r="G772" s="11">
        <v>51</v>
      </c>
      <c r="H772" s="11">
        <v>0.44</v>
      </c>
      <c r="I772" s="11" t="s">
        <v>19</v>
      </c>
      <c r="J772" s="11">
        <v>14</v>
      </c>
      <c r="K772" s="11">
        <v>0</v>
      </c>
      <c r="L772" s="11">
        <v>0</v>
      </c>
      <c r="M772" s="11">
        <v>0</v>
      </c>
      <c r="N772" s="11">
        <v>0</v>
      </c>
      <c r="O772" s="12" t="str">
        <f t="shared" si="12"/>
        <v>10 - 19</v>
      </c>
    </row>
    <row r="773" spans="1:15" x14ac:dyDescent="0.35">
      <c r="A773" s="12">
        <v>3039</v>
      </c>
      <c r="B773" s="12" t="s">
        <v>20</v>
      </c>
      <c r="C773" s="12">
        <v>51</v>
      </c>
      <c r="D773" s="12" t="s">
        <v>29</v>
      </c>
      <c r="E773" s="12" t="s">
        <v>14</v>
      </c>
      <c r="F773" s="12">
        <v>251</v>
      </c>
      <c r="G773" s="12">
        <v>10</v>
      </c>
      <c r="H773" s="12">
        <v>0.23</v>
      </c>
      <c r="I773" s="12" t="s">
        <v>23</v>
      </c>
      <c r="J773" s="12">
        <v>28</v>
      </c>
      <c r="K773" s="12">
        <v>0</v>
      </c>
      <c r="L773" s="12">
        <v>0</v>
      </c>
      <c r="M773" s="12">
        <v>0</v>
      </c>
      <c r="N773" s="12">
        <v>0</v>
      </c>
      <c r="O773" s="12" t="str">
        <f t="shared" si="12"/>
        <v>20 - 29</v>
      </c>
    </row>
    <row r="774" spans="1:15" x14ac:dyDescent="0.35">
      <c r="A774" s="11">
        <v>3041</v>
      </c>
      <c r="B774" s="11" t="s">
        <v>16</v>
      </c>
      <c r="C774" s="11">
        <v>42</v>
      </c>
      <c r="D774" s="11" t="s">
        <v>13</v>
      </c>
      <c r="E774" s="11" t="s">
        <v>14</v>
      </c>
      <c r="F774" s="11">
        <v>211</v>
      </c>
      <c r="G774" s="11">
        <v>15</v>
      </c>
      <c r="H774" s="11">
        <v>0.23</v>
      </c>
      <c r="I774" s="11" t="s">
        <v>19</v>
      </c>
      <c r="J774" s="11">
        <v>40</v>
      </c>
      <c r="K774" s="11">
        <v>0</v>
      </c>
      <c r="L774" s="11">
        <v>0</v>
      </c>
      <c r="M774" s="11">
        <v>0</v>
      </c>
      <c r="N774" s="11">
        <v>0</v>
      </c>
      <c r="O774" s="12" t="str">
        <f t="shared" si="12"/>
        <v>40 - 49</v>
      </c>
    </row>
    <row r="775" spans="1:15" x14ac:dyDescent="0.35">
      <c r="A775" s="12">
        <v>3046</v>
      </c>
      <c r="B775" s="12" t="s">
        <v>12</v>
      </c>
      <c r="C775" s="12">
        <v>37</v>
      </c>
      <c r="D775" s="12" t="s">
        <v>17</v>
      </c>
      <c r="E775" s="12" t="s">
        <v>14</v>
      </c>
      <c r="F775" s="12">
        <v>285</v>
      </c>
      <c r="G775" s="12">
        <v>17</v>
      </c>
      <c r="H775" s="12">
        <v>0.24</v>
      </c>
      <c r="I775" s="12" t="s">
        <v>15</v>
      </c>
      <c r="J775" s="12">
        <v>11</v>
      </c>
      <c r="K775" s="12">
        <v>0</v>
      </c>
      <c r="L775" s="12">
        <v>0</v>
      </c>
      <c r="M775" s="12">
        <v>0</v>
      </c>
      <c r="N775" s="12">
        <v>0</v>
      </c>
      <c r="O775" s="12" t="str">
        <f t="shared" si="12"/>
        <v>10 - 19</v>
      </c>
    </row>
    <row r="776" spans="1:15" x14ac:dyDescent="0.35">
      <c r="A776" s="11">
        <v>3050</v>
      </c>
      <c r="B776" s="11" t="s">
        <v>20</v>
      </c>
      <c r="C776" s="11">
        <v>20</v>
      </c>
      <c r="D776" s="11" t="s">
        <v>27</v>
      </c>
      <c r="E776" s="11" t="s">
        <v>14</v>
      </c>
      <c r="F776" s="11">
        <v>190</v>
      </c>
      <c r="G776" s="11">
        <v>9</v>
      </c>
      <c r="H776" s="11">
        <v>0.21</v>
      </c>
      <c r="I776" s="11" t="s">
        <v>19</v>
      </c>
      <c r="J776" s="11">
        <v>15</v>
      </c>
      <c r="K776" s="11">
        <v>0</v>
      </c>
      <c r="L776" s="11">
        <v>1</v>
      </c>
      <c r="M776" s="11">
        <v>0</v>
      </c>
      <c r="N776" s="11">
        <v>0</v>
      </c>
      <c r="O776" s="12" t="str">
        <f t="shared" si="12"/>
        <v>10 - 19</v>
      </c>
    </row>
    <row r="777" spans="1:15" x14ac:dyDescent="0.35">
      <c r="A777" s="12">
        <v>3053</v>
      </c>
      <c r="B777" s="12" t="s">
        <v>12</v>
      </c>
      <c r="C777" s="12">
        <v>51</v>
      </c>
      <c r="D777" s="12" t="s">
        <v>27</v>
      </c>
      <c r="E777" s="12" t="s">
        <v>14</v>
      </c>
      <c r="F777" s="12">
        <v>206</v>
      </c>
      <c r="G777" s="12">
        <v>49</v>
      </c>
      <c r="H777" s="12">
        <v>0.55000000000000004</v>
      </c>
      <c r="I777" s="12" t="s">
        <v>19</v>
      </c>
      <c r="J777" s="12">
        <v>43</v>
      </c>
      <c r="K777" s="12">
        <v>0</v>
      </c>
      <c r="L777" s="12">
        <v>0</v>
      </c>
      <c r="M777" s="12">
        <v>0</v>
      </c>
      <c r="N777" s="12">
        <v>0</v>
      </c>
      <c r="O777" s="12" t="str">
        <f t="shared" si="12"/>
        <v>40 - 49</v>
      </c>
    </row>
    <row r="778" spans="1:15" x14ac:dyDescent="0.35">
      <c r="A778" s="11">
        <v>3061</v>
      </c>
      <c r="B778" s="11" t="s">
        <v>20</v>
      </c>
      <c r="C778" s="11">
        <v>47</v>
      </c>
      <c r="D778" s="11" t="s">
        <v>17</v>
      </c>
      <c r="E778" s="11" t="s">
        <v>14</v>
      </c>
      <c r="F778" s="11">
        <v>274</v>
      </c>
      <c r="G778" s="11">
        <v>8</v>
      </c>
      <c r="H778" s="11">
        <v>0.26</v>
      </c>
      <c r="I778" s="11" t="s">
        <v>23</v>
      </c>
      <c r="J778" s="11">
        <v>8</v>
      </c>
      <c r="K778" s="11">
        <v>0</v>
      </c>
      <c r="L778" s="11">
        <v>0</v>
      </c>
      <c r="M778" s="11">
        <v>0</v>
      </c>
      <c r="N778" s="11">
        <v>0</v>
      </c>
      <c r="O778" s="12" t="str">
        <f t="shared" si="12"/>
        <v>0 - 9</v>
      </c>
    </row>
    <row r="779" spans="1:15" x14ac:dyDescent="0.35">
      <c r="A779" s="12">
        <v>3067</v>
      </c>
      <c r="B779" s="12" t="s">
        <v>16</v>
      </c>
      <c r="C779" s="12">
        <v>41</v>
      </c>
      <c r="D779" s="12" t="s">
        <v>21</v>
      </c>
      <c r="E779" s="12" t="s">
        <v>14</v>
      </c>
      <c r="F779" s="12">
        <v>64</v>
      </c>
      <c r="G779" s="12">
        <v>70</v>
      </c>
      <c r="H779" s="12">
        <v>0.49</v>
      </c>
      <c r="I779" s="12" t="s">
        <v>15</v>
      </c>
      <c r="J779" s="12">
        <v>18</v>
      </c>
      <c r="K779" s="12">
        <v>0</v>
      </c>
      <c r="L779" s="12">
        <v>0</v>
      </c>
      <c r="M779" s="12">
        <v>0</v>
      </c>
      <c r="N779" s="12">
        <v>0</v>
      </c>
      <c r="O779" s="12" t="str">
        <f t="shared" si="12"/>
        <v>10 - 19</v>
      </c>
    </row>
    <row r="780" spans="1:15" x14ac:dyDescent="0.35">
      <c r="A780" s="11">
        <v>3068</v>
      </c>
      <c r="B780" s="11" t="s">
        <v>12</v>
      </c>
      <c r="C780" s="11">
        <v>43</v>
      </c>
      <c r="D780" s="11" t="s">
        <v>27</v>
      </c>
      <c r="E780" s="11" t="s">
        <v>14</v>
      </c>
      <c r="F780" s="11">
        <v>36</v>
      </c>
      <c r="G780" s="11">
        <v>41</v>
      </c>
      <c r="H780" s="11">
        <v>7.0000000000000007E-2</v>
      </c>
      <c r="I780" s="11" t="s">
        <v>19</v>
      </c>
      <c r="J780" s="11">
        <v>7</v>
      </c>
      <c r="K780" s="11">
        <v>0</v>
      </c>
      <c r="L780" s="11">
        <v>1</v>
      </c>
      <c r="M780" s="11">
        <v>0</v>
      </c>
      <c r="N780" s="11">
        <v>0</v>
      </c>
      <c r="O780" s="12" t="str">
        <f t="shared" si="12"/>
        <v>0 - 9</v>
      </c>
    </row>
    <row r="781" spans="1:15" x14ac:dyDescent="0.35">
      <c r="A781" s="12">
        <v>3069</v>
      </c>
      <c r="B781" s="12" t="s">
        <v>12</v>
      </c>
      <c r="C781" s="12">
        <v>53</v>
      </c>
      <c r="D781" s="12" t="s">
        <v>21</v>
      </c>
      <c r="E781" s="12" t="s">
        <v>14</v>
      </c>
      <c r="F781" s="12">
        <v>14</v>
      </c>
      <c r="G781" s="12">
        <v>28</v>
      </c>
      <c r="H781" s="12">
        <v>0.34</v>
      </c>
      <c r="I781" s="12" t="s">
        <v>23</v>
      </c>
      <c r="J781" s="12">
        <v>39</v>
      </c>
      <c r="K781" s="12">
        <v>0</v>
      </c>
      <c r="L781" s="12">
        <v>1</v>
      </c>
      <c r="M781" s="12">
        <v>0</v>
      </c>
      <c r="N781" s="12">
        <v>0</v>
      </c>
      <c r="O781" s="12" t="str">
        <f t="shared" si="12"/>
        <v>30 - 39</v>
      </c>
    </row>
    <row r="782" spans="1:15" x14ac:dyDescent="0.35">
      <c r="A782" s="11">
        <v>3070</v>
      </c>
      <c r="B782" s="11" t="s">
        <v>16</v>
      </c>
      <c r="C782" s="11">
        <v>24</v>
      </c>
      <c r="D782" s="11" t="s">
        <v>27</v>
      </c>
      <c r="E782" s="11" t="s">
        <v>14</v>
      </c>
      <c r="F782" s="11">
        <v>59</v>
      </c>
      <c r="G782" s="11">
        <v>96</v>
      </c>
      <c r="H782" s="11">
        <v>0.39</v>
      </c>
      <c r="I782" s="11" t="s">
        <v>23</v>
      </c>
      <c r="J782" s="11">
        <v>30</v>
      </c>
      <c r="K782" s="11">
        <v>0</v>
      </c>
      <c r="L782" s="11">
        <v>0</v>
      </c>
      <c r="M782" s="11">
        <v>0</v>
      </c>
      <c r="N782" s="11">
        <v>0</v>
      </c>
      <c r="O782" s="12" t="str">
        <f t="shared" si="12"/>
        <v>30 - 39</v>
      </c>
    </row>
    <row r="783" spans="1:15" x14ac:dyDescent="0.35">
      <c r="A783" s="12">
        <v>3073</v>
      </c>
      <c r="B783" s="12" t="s">
        <v>12</v>
      </c>
      <c r="C783" s="12">
        <v>18</v>
      </c>
      <c r="D783" s="12" t="s">
        <v>29</v>
      </c>
      <c r="E783" s="12" t="s">
        <v>14</v>
      </c>
      <c r="F783" s="12">
        <v>104</v>
      </c>
      <c r="G783" s="12">
        <v>78</v>
      </c>
      <c r="H783" s="12">
        <v>0.55000000000000004</v>
      </c>
      <c r="I783" s="12" t="s">
        <v>23</v>
      </c>
      <c r="J783" s="12">
        <v>47</v>
      </c>
      <c r="K783" s="12">
        <v>0</v>
      </c>
      <c r="L783" s="12">
        <v>0</v>
      </c>
      <c r="M783" s="12">
        <v>0</v>
      </c>
      <c r="N783" s="12">
        <v>0</v>
      </c>
      <c r="O783" s="12" t="str">
        <f t="shared" si="12"/>
        <v>40 - 49</v>
      </c>
    </row>
    <row r="784" spans="1:15" x14ac:dyDescent="0.35">
      <c r="A784" s="11">
        <v>3074</v>
      </c>
      <c r="B784" s="11" t="s">
        <v>20</v>
      </c>
      <c r="C784" s="11">
        <v>34</v>
      </c>
      <c r="D784" s="11" t="s">
        <v>28</v>
      </c>
      <c r="E784" s="11" t="s">
        <v>14</v>
      </c>
      <c r="F784" s="11">
        <v>256</v>
      </c>
      <c r="G784" s="11">
        <v>34</v>
      </c>
      <c r="H784" s="11">
        <v>0.28000000000000003</v>
      </c>
      <c r="I784" s="11" t="s">
        <v>23</v>
      </c>
      <c r="J784" s="11">
        <v>36</v>
      </c>
      <c r="K784" s="11">
        <v>0</v>
      </c>
      <c r="L784" s="11">
        <v>0</v>
      </c>
      <c r="M784" s="11">
        <v>0</v>
      </c>
      <c r="N784" s="11">
        <v>0</v>
      </c>
      <c r="O784" s="12" t="str">
        <f t="shared" si="12"/>
        <v>30 - 39</v>
      </c>
    </row>
    <row r="785" spans="1:15" x14ac:dyDescent="0.35">
      <c r="A785" s="12">
        <v>3076</v>
      </c>
      <c r="B785" s="12" t="s">
        <v>12</v>
      </c>
      <c r="C785" s="12">
        <v>56</v>
      </c>
      <c r="D785" s="12" t="s">
        <v>17</v>
      </c>
      <c r="E785" s="12" t="s">
        <v>14</v>
      </c>
      <c r="F785" s="12">
        <v>246</v>
      </c>
      <c r="G785" s="12">
        <v>17</v>
      </c>
      <c r="H785" s="12">
        <v>0.52</v>
      </c>
      <c r="I785" s="12" t="s">
        <v>19</v>
      </c>
      <c r="J785" s="12">
        <v>37</v>
      </c>
      <c r="K785" s="12">
        <v>0</v>
      </c>
      <c r="L785" s="12">
        <v>0</v>
      </c>
      <c r="M785" s="12">
        <v>0</v>
      </c>
      <c r="N785" s="12">
        <v>0</v>
      </c>
      <c r="O785" s="12" t="str">
        <f t="shared" si="12"/>
        <v>30 - 39</v>
      </c>
    </row>
    <row r="786" spans="1:15" x14ac:dyDescent="0.35">
      <c r="A786" s="11">
        <v>3089</v>
      </c>
      <c r="B786" s="11" t="s">
        <v>12</v>
      </c>
      <c r="C786" s="11">
        <v>50</v>
      </c>
      <c r="D786" s="11" t="s">
        <v>27</v>
      </c>
      <c r="E786" s="11" t="s">
        <v>14</v>
      </c>
      <c r="F786" s="11">
        <v>40</v>
      </c>
      <c r="G786" s="11">
        <v>88</v>
      </c>
      <c r="H786" s="11">
        <v>0.2</v>
      </c>
      <c r="I786" s="11" t="s">
        <v>15</v>
      </c>
      <c r="J786" s="11">
        <v>35</v>
      </c>
      <c r="K786" s="11">
        <v>0</v>
      </c>
      <c r="L786" s="11">
        <v>1</v>
      </c>
      <c r="M786" s="11">
        <v>0</v>
      </c>
      <c r="N786" s="11">
        <v>0</v>
      </c>
      <c r="O786" s="12" t="str">
        <f t="shared" si="12"/>
        <v>30 - 39</v>
      </c>
    </row>
    <row r="787" spans="1:15" x14ac:dyDescent="0.35">
      <c r="A787" s="12">
        <v>3094</v>
      </c>
      <c r="B787" s="12" t="s">
        <v>12</v>
      </c>
      <c r="C787" s="12">
        <v>36</v>
      </c>
      <c r="D787" s="12" t="s">
        <v>13</v>
      </c>
      <c r="E787" s="12" t="s">
        <v>14</v>
      </c>
      <c r="F787" s="12">
        <v>293</v>
      </c>
      <c r="G787" s="12">
        <v>77</v>
      </c>
      <c r="H787" s="12">
        <v>0.54</v>
      </c>
      <c r="I787" s="12" t="s">
        <v>15</v>
      </c>
      <c r="J787" s="12">
        <v>22</v>
      </c>
      <c r="K787" s="12">
        <v>0</v>
      </c>
      <c r="L787" s="12">
        <v>0</v>
      </c>
      <c r="M787" s="12">
        <v>0</v>
      </c>
      <c r="N787" s="12">
        <v>0</v>
      </c>
      <c r="O787" s="12" t="str">
        <f t="shared" si="12"/>
        <v>20 - 29</v>
      </c>
    </row>
    <row r="788" spans="1:15" x14ac:dyDescent="0.35">
      <c r="A788" s="11">
        <v>3095</v>
      </c>
      <c r="B788" s="11" t="s">
        <v>20</v>
      </c>
      <c r="C788" s="11">
        <v>24</v>
      </c>
      <c r="D788" s="11" t="s">
        <v>28</v>
      </c>
      <c r="E788" s="11" t="s">
        <v>14</v>
      </c>
      <c r="F788" s="11">
        <v>191</v>
      </c>
      <c r="G788" s="11">
        <v>85</v>
      </c>
      <c r="H788" s="11">
        <v>0.5</v>
      </c>
      <c r="I788" s="11" t="s">
        <v>15</v>
      </c>
      <c r="J788" s="11">
        <v>44</v>
      </c>
      <c r="K788" s="11">
        <v>0</v>
      </c>
      <c r="L788" s="11">
        <v>0</v>
      </c>
      <c r="M788" s="11">
        <v>0</v>
      </c>
      <c r="N788" s="11">
        <v>0</v>
      </c>
      <c r="O788" s="12" t="str">
        <f t="shared" si="12"/>
        <v>40 - 49</v>
      </c>
    </row>
    <row r="789" spans="1:15" x14ac:dyDescent="0.35">
      <c r="A789" s="12">
        <v>3098</v>
      </c>
      <c r="B789" s="12" t="s">
        <v>12</v>
      </c>
      <c r="C789" s="12">
        <v>22</v>
      </c>
      <c r="D789" s="12" t="s">
        <v>27</v>
      </c>
      <c r="E789" s="12" t="s">
        <v>14</v>
      </c>
      <c r="F789" s="12">
        <v>129</v>
      </c>
      <c r="G789" s="12">
        <v>76</v>
      </c>
      <c r="H789" s="12">
        <v>0.17</v>
      </c>
      <c r="I789" s="12" t="s">
        <v>23</v>
      </c>
      <c r="J789" s="12">
        <v>17</v>
      </c>
      <c r="K789" s="12">
        <v>0</v>
      </c>
      <c r="L789" s="12">
        <v>0</v>
      </c>
      <c r="M789" s="12">
        <v>0</v>
      </c>
      <c r="N789" s="12">
        <v>0</v>
      </c>
      <c r="O789" s="12" t="str">
        <f t="shared" si="12"/>
        <v>10 - 19</v>
      </c>
    </row>
    <row r="790" spans="1:15" x14ac:dyDescent="0.35">
      <c r="A790" s="11">
        <v>3101</v>
      </c>
      <c r="B790" s="11" t="s">
        <v>16</v>
      </c>
      <c r="C790" s="11">
        <v>30</v>
      </c>
      <c r="D790" s="11" t="s">
        <v>29</v>
      </c>
      <c r="E790" s="11" t="s">
        <v>14</v>
      </c>
      <c r="F790" s="11">
        <v>42</v>
      </c>
      <c r="G790" s="11">
        <v>99</v>
      </c>
      <c r="H790" s="11">
        <v>0.05</v>
      </c>
      <c r="I790" s="11" t="s">
        <v>19</v>
      </c>
      <c r="J790" s="11">
        <v>35</v>
      </c>
      <c r="K790" s="11">
        <v>0</v>
      </c>
      <c r="L790" s="11">
        <v>0</v>
      </c>
      <c r="M790" s="11">
        <v>0</v>
      </c>
      <c r="N790" s="11">
        <v>0</v>
      </c>
      <c r="O790" s="12" t="str">
        <f t="shared" si="12"/>
        <v>30 - 39</v>
      </c>
    </row>
    <row r="791" spans="1:15" x14ac:dyDescent="0.35">
      <c r="A791" s="12">
        <v>3103</v>
      </c>
      <c r="B791" s="12" t="s">
        <v>16</v>
      </c>
      <c r="C791" s="12">
        <v>36</v>
      </c>
      <c r="D791" s="12" t="s">
        <v>21</v>
      </c>
      <c r="E791" s="12" t="s">
        <v>14</v>
      </c>
      <c r="F791" s="12">
        <v>118</v>
      </c>
      <c r="G791" s="12">
        <v>26</v>
      </c>
      <c r="H791" s="12">
        <v>0.53</v>
      </c>
      <c r="I791" s="12" t="s">
        <v>15</v>
      </c>
      <c r="J791" s="12">
        <v>41</v>
      </c>
      <c r="K791" s="12">
        <v>0</v>
      </c>
      <c r="L791" s="12">
        <v>0</v>
      </c>
      <c r="M791" s="12">
        <v>0</v>
      </c>
      <c r="N791" s="12">
        <v>0</v>
      </c>
      <c r="O791" s="12" t="str">
        <f t="shared" si="12"/>
        <v>40 - 49</v>
      </c>
    </row>
    <row r="792" spans="1:15" x14ac:dyDescent="0.35">
      <c r="A792" s="11">
        <v>3104</v>
      </c>
      <c r="B792" s="11" t="s">
        <v>20</v>
      </c>
      <c r="C792" s="11">
        <v>39</v>
      </c>
      <c r="D792" s="11" t="s">
        <v>13</v>
      </c>
      <c r="E792" s="11" t="s">
        <v>14</v>
      </c>
      <c r="F792" s="11">
        <v>244</v>
      </c>
      <c r="G792" s="11">
        <v>87</v>
      </c>
      <c r="H792" s="11">
        <v>0.15</v>
      </c>
      <c r="I792" s="11" t="s">
        <v>15</v>
      </c>
      <c r="J792" s="11">
        <v>33</v>
      </c>
      <c r="K792" s="11">
        <v>0</v>
      </c>
      <c r="L792" s="11">
        <v>0</v>
      </c>
      <c r="M792" s="11">
        <v>0</v>
      </c>
      <c r="N792" s="11">
        <v>0</v>
      </c>
      <c r="O792" s="12" t="str">
        <f t="shared" si="12"/>
        <v>30 - 39</v>
      </c>
    </row>
    <row r="793" spans="1:15" x14ac:dyDescent="0.35">
      <c r="A793" s="12">
        <v>3108</v>
      </c>
      <c r="B793" s="12" t="s">
        <v>16</v>
      </c>
      <c r="C793" s="12">
        <v>50</v>
      </c>
      <c r="D793" s="12" t="s">
        <v>13</v>
      </c>
      <c r="E793" s="12" t="s">
        <v>14</v>
      </c>
      <c r="F793" s="12">
        <v>209</v>
      </c>
      <c r="G793" s="12">
        <v>21</v>
      </c>
      <c r="H793" s="12">
        <v>0.35</v>
      </c>
      <c r="I793" s="12" t="s">
        <v>23</v>
      </c>
      <c r="J793" s="12">
        <v>21</v>
      </c>
      <c r="K793" s="12">
        <v>0</v>
      </c>
      <c r="L793" s="12">
        <v>0</v>
      </c>
      <c r="M793" s="12">
        <v>0</v>
      </c>
      <c r="N793" s="12">
        <v>0</v>
      </c>
      <c r="O793" s="12" t="str">
        <f t="shared" si="12"/>
        <v>20 - 29</v>
      </c>
    </row>
    <row r="794" spans="1:15" x14ac:dyDescent="0.35">
      <c r="A794" s="11">
        <v>3113</v>
      </c>
      <c r="B794" s="11" t="s">
        <v>16</v>
      </c>
      <c r="C794" s="11">
        <v>32</v>
      </c>
      <c r="D794" s="11" t="s">
        <v>25</v>
      </c>
      <c r="E794" s="11" t="s">
        <v>14</v>
      </c>
      <c r="F794" s="11">
        <v>82</v>
      </c>
      <c r="G794" s="11">
        <v>10</v>
      </c>
      <c r="H794" s="11">
        <v>0.28999999999999998</v>
      </c>
      <c r="I794" s="11" t="s">
        <v>23</v>
      </c>
      <c r="J794" s="11">
        <v>22</v>
      </c>
      <c r="K794" s="11">
        <v>0</v>
      </c>
      <c r="L794" s="11">
        <v>0</v>
      </c>
      <c r="M794" s="11">
        <v>0</v>
      </c>
      <c r="N794" s="11">
        <v>0</v>
      </c>
      <c r="O794" s="12" t="str">
        <f t="shared" si="12"/>
        <v>20 - 29</v>
      </c>
    </row>
    <row r="795" spans="1:15" x14ac:dyDescent="0.35">
      <c r="A795" s="12">
        <v>3117</v>
      </c>
      <c r="B795" s="12" t="s">
        <v>20</v>
      </c>
      <c r="C795" s="12">
        <v>38</v>
      </c>
      <c r="D795" s="12" t="s">
        <v>28</v>
      </c>
      <c r="E795" s="12" t="s">
        <v>14</v>
      </c>
      <c r="F795" s="12">
        <v>205</v>
      </c>
      <c r="G795" s="12">
        <v>71</v>
      </c>
      <c r="H795" s="12">
        <v>0.23</v>
      </c>
      <c r="I795" s="12" t="s">
        <v>19</v>
      </c>
      <c r="J795" s="12">
        <v>11</v>
      </c>
      <c r="K795" s="12">
        <v>0</v>
      </c>
      <c r="L795" s="12">
        <v>0</v>
      </c>
      <c r="M795" s="12">
        <v>0</v>
      </c>
      <c r="N795" s="12">
        <v>0</v>
      </c>
      <c r="O795" s="12" t="str">
        <f t="shared" si="12"/>
        <v>10 - 19</v>
      </c>
    </row>
    <row r="796" spans="1:15" x14ac:dyDescent="0.35">
      <c r="A796" s="11">
        <v>3121</v>
      </c>
      <c r="B796" s="11" t="s">
        <v>12</v>
      </c>
      <c r="C796" s="11">
        <v>40</v>
      </c>
      <c r="D796" s="11" t="s">
        <v>13</v>
      </c>
      <c r="E796" s="11" t="s">
        <v>14</v>
      </c>
      <c r="F796" s="11">
        <v>141</v>
      </c>
      <c r="G796" s="11">
        <v>79</v>
      </c>
      <c r="H796" s="11">
        <v>0.46</v>
      </c>
      <c r="I796" s="11" t="s">
        <v>19</v>
      </c>
      <c r="J796" s="11">
        <v>41</v>
      </c>
      <c r="K796" s="11">
        <v>0</v>
      </c>
      <c r="L796" s="11">
        <v>1</v>
      </c>
      <c r="M796" s="11">
        <v>0</v>
      </c>
      <c r="N796" s="11">
        <v>0</v>
      </c>
      <c r="O796" s="12" t="str">
        <f t="shared" si="12"/>
        <v>40 - 49</v>
      </c>
    </row>
    <row r="797" spans="1:15" x14ac:dyDescent="0.35">
      <c r="A797" s="12">
        <v>3122</v>
      </c>
      <c r="B797" s="12" t="s">
        <v>16</v>
      </c>
      <c r="C797" s="12">
        <v>28</v>
      </c>
      <c r="D797" s="12" t="s">
        <v>27</v>
      </c>
      <c r="E797" s="12" t="s">
        <v>14</v>
      </c>
      <c r="F797" s="12">
        <v>110</v>
      </c>
      <c r="G797" s="12">
        <v>49</v>
      </c>
      <c r="H797" s="12">
        <v>0.43</v>
      </c>
      <c r="I797" s="12" t="s">
        <v>23</v>
      </c>
      <c r="J797" s="12">
        <v>13</v>
      </c>
      <c r="K797" s="12">
        <v>0</v>
      </c>
      <c r="L797" s="12">
        <v>1</v>
      </c>
      <c r="M797" s="12">
        <v>0</v>
      </c>
      <c r="N797" s="12">
        <v>0</v>
      </c>
      <c r="O797" s="12" t="str">
        <f t="shared" si="12"/>
        <v>10 - 19</v>
      </c>
    </row>
    <row r="798" spans="1:15" x14ac:dyDescent="0.35">
      <c r="A798" s="11">
        <v>3127</v>
      </c>
      <c r="B798" s="11" t="s">
        <v>16</v>
      </c>
      <c r="C798" s="11">
        <v>46</v>
      </c>
      <c r="D798" s="11" t="s">
        <v>29</v>
      </c>
      <c r="E798" s="11" t="s">
        <v>14</v>
      </c>
      <c r="F798" s="11">
        <v>190</v>
      </c>
      <c r="G798" s="11">
        <v>88</v>
      </c>
      <c r="H798" s="11">
        <v>0.41</v>
      </c>
      <c r="I798" s="11" t="s">
        <v>23</v>
      </c>
      <c r="J798" s="11">
        <v>26</v>
      </c>
      <c r="K798" s="11">
        <v>0</v>
      </c>
      <c r="L798" s="11">
        <v>0</v>
      </c>
      <c r="M798" s="11">
        <v>0</v>
      </c>
      <c r="N798" s="11">
        <v>0</v>
      </c>
      <c r="O798" s="12" t="str">
        <f t="shared" si="12"/>
        <v>20 - 29</v>
      </c>
    </row>
    <row r="799" spans="1:15" x14ac:dyDescent="0.35">
      <c r="A799" s="12">
        <v>3142</v>
      </c>
      <c r="B799" s="12" t="s">
        <v>16</v>
      </c>
      <c r="C799" s="12">
        <v>21</v>
      </c>
      <c r="D799" s="12" t="s">
        <v>26</v>
      </c>
      <c r="E799" s="12" t="s">
        <v>14</v>
      </c>
      <c r="F799" s="12">
        <v>203</v>
      </c>
      <c r="G799" s="12">
        <v>70</v>
      </c>
      <c r="H799" s="12">
        <v>0.56000000000000005</v>
      </c>
      <c r="I799" s="12" t="s">
        <v>15</v>
      </c>
      <c r="J799" s="12">
        <v>20</v>
      </c>
      <c r="K799" s="12">
        <v>0</v>
      </c>
      <c r="L799" s="12">
        <v>1</v>
      </c>
      <c r="M799" s="12">
        <v>0</v>
      </c>
      <c r="N799" s="12">
        <v>0</v>
      </c>
      <c r="O799" s="12" t="str">
        <f t="shared" si="12"/>
        <v>20 - 29</v>
      </c>
    </row>
    <row r="800" spans="1:15" x14ac:dyDescent="0.35">
      <c r="A800" s="11">
        <v>3144</v>
      </c>
      <c r="B800" s="11" t="s">
        <v>16</v>
      </c>
      <c r="C800" s="11">
        <v>55</v>
      </c>
      <c r="D800" s="11" t="s">
        <v>26</v>
      </c>
      <c r="E800" s="11" t="s">
        <v>14</v>
      </c>
      <c r="F800" s="11">
        <v>251</v>
      </c>
      <c r="G800" s="11">
        <v>88</v>
      </c>
      <c r="H800" s="11">
        <v>0.49</v>
      </c>
      <c r="I800" s="11" t="s">
        <v>23</v>
      </c>
      <c r="J800" s="11">
        <v>37</v>
      </c>
      <c r="K800" s="11">
        <v>0</v>
      </c>
      <c r="L800" s="11">
        <v>0</v>
      </c>
      <c r="M800" s="11">
        <v>0</v>
      </c>
      <c r="N800" s="11">
        <v>0</v>
      </c>
      <c r="O800" s="12" t="str">
        <f t="shared" si="12"/>
        <v>30 - 39</v>
      </c>
    </row>
    <row r="801" spans="1:15" x14ac:dyDescent="0.35">
      <c r="A801" s="12">
        <v>3151</v>
      </c>
      <c r="B801" s="12" t="s">
        <v>20</v>
      </c>
      <c r="C801" s="12">
        <v>35</v>
      </c>
      <c r="D801" s="12" t="s">
        <v>21</v>
      </c>
      <c r="E801" s="12" t="s">
        <v>14</v>
      </c>
      <c r="F801" s="12">
        <v>129</v>
      </c>
      <c r="G801" s="12">
        <v>59</v>
      </c>
      <c r="H801" s="12">
        <v>0.02</v>
      </c>
      <c r="I801" s="12" t="s">
        <v>23</v>
      </c>
      <c r="J801" s="12">
        <v>32</v>
      </c>
      <c r="K801" s="12">
        <v>0</v>
      </c>
      <c r="L801" s="12">
        <v>0</v>
      </c>
      <c r="M801" s="12">
        <v>0</v>
      </c>
      <c r="N801" s="12">
        <v>0</v>
      </c>
      <c r="O801" s="12" t="str">
        <f t="shared" si="12"/>
        <v>30 - 39</v>
      </c>
    </row>
    <row r="802" spans="1:15" x14ac:dyDescent="0.35">
      <c r="A802" s="11">
        <v>3155</v>
      </c>
      <c r="B802" s="11" t="s">
        <v>16</v>
      </c>
      <c r="C802" s="11">
        <v>53</v>
      </c>
      <c r="D802" s="11" t="s">
        <v>25</v>
      </c>
      <c r="E802" s="11" t="s">
        <v>14</v>
      </c>
      <c r="F802" s="11">
        <v>100</v>
      </c>
      <c r="G802" s="11">
        <v>42</v>
      </c>
      <c r="H802" s="11">
        <v>0.01</v>
      </c>
      <c r="I802" s="11" t="s">
        <v>23</v>
      </c>
      <c r="J802" s="11">
        <v>21</v>
      </c>
      <c r="K802" s="11">
        <v>0</v>
      </c>
      <c r="L802" s="11">
        <v>1</v>
      </c>
      <c r="M802" s="11">
        <v>0</v>
      </c>
      <c r="N802" s="11">
        <v>0</v>
      </c>
      <c r="O802" s="12" t="str">
        <f t="shared" si="12"/>
        <v>20 - 29</v>
      </c>
    </row>
    <row r="803" spans="1:15" x14ac:dyDescent="0.35">
      <c r="A803" s="12">
        <v>3162</v>
      </c>
      <c r="B803" s="12" t="s">
        <v>16</v>
      </c>
      <c r="C803" s="12">
        <v>25</v>
      </c>
      <c r="D803" s="12" t="s">
        <v>29</v>
      </c>
      <c r="E803" s="12" t="s">
        <v>14</v>
      </c>
      <c r="F803" s="12">
        <v>100</v>
      </c>
      <c r="G803" s="12">
        <v>63</v>
      </c>
      <c r="H803" s="12">
        <v>0.46</v>
      </c>
      <c r="I803" s="12" t="s">
        <v>15</v>
      </c>
      <c r="J803" s="12">
        <v>37</v>
      </c>
      <c r="K803" s="12">
        <v>0</v>
      </c>
      <c r="L803" s="12">
        <v>0</v>
      </c>
      <c r="M803" s="12">
        <v>0</v>
      </c>
      <c r="N803" s="12">
        <v>0</v>
      </c>
      <c r="O803" s="12" t="str">
        <f t="shared" si="12"/>
        <v>30 - 39</v>
      </c>
    </row>
    <row r="804" spans="1:15" x14ac:dyDescent="0.35">
      <c r="A804" s="11">
        <v>3165</v>
      </c>
      <c r="B804" s="11" t="s">
        <v>12</v>
      </c>
      <c r="C804" s="11">
        <v>18</v>
      </c>
      <c r="D804" s="11" t="s">
        <v>26</v>
      </c>
      <c r="E804" s="11" t="s">
        <v>14</v>
      </c>
      <c r="F804" s="11">
        <v>243</v>
      </c>
      <c r="G804" s="11">
        <v>37</v>
      </c>
      <c r="H804" s="11">
        <v>0.53</v>
      </c>
      <c r="I804" s="11" t="s">
        <v>23</v>
      </c>
      <c r="J804" s="11">
        <v>21</v>
      </c>
      <c r="K804" s="11">
        <v>0</v>
      </c>
      <c r="L804" s="11">
        <v>0</v>
      </c>
      <c r="M804" s="11">
        <v>0</v>
      </c>
      <c r="N804" s="11">
        <v>0</v>
      </c>
      <c r="O804" s="12" t="str">
        <f t="shared" si="12"/>
        <v>20 - 29</v>
      </c>
    </row>
    <row r="805" spans="1:15" x14ac:dyDescent="0.35">
      <c r="A805" s="12">
        <v>3168</v>
      </c>
      <c r="B805" s="12" t="s">
        <v>12</v>
      </c>
      <c r="C805" s="12">
        <v>16</v>
      </c>
      <c r="D805" s="12" t="s">
        <v>13</v>
      </c>
      <c r="E805" s="12" t="s">
        <v>14</v>
      </c>
      <c r="F805" s="12">
        <v>24</v>
      </c>
      <c r="G805" s="12">
        <v>19</v>
      </c>
      <c r="H805" s="12">
        <v>0.5</v>
      </c>
      <c r="I805" s="12" t="s">
        <v>23</v>
      </c>
      <c r="J805" s="12">
        <v>46</v>
      </c>
      <c r="K805" s="12">
        <v>0</v>
      </c>
      <c r="L805" s="12">
        <v>0</v>
      </c>
      <c r="M805" s="12">
        <v>0</v>
      </c>
      <c r="N805" s="12">
        <v>0</v>
      </c>
      <c r="O805" s="12" t="str">
        <f t="shared" si="12"/>
        <v>40 - 49</v>
      </c>
    </row>
    <row r="806" spans="1:15" x14ac:dyDescent="0.35">
      <c r="A806" s="11">
        <v>3169</v>
      </c>
      <c r="B806" s="11" t="s">
        <v>20</v>
      </c>
      <c r="C806" s="11">
        <v>38</v>
      </c>
      <c r="D806" s="11" t="s">
        <v>13</v>
      </c>
      <c r="E806" s="11" t="s">
        <v>14</v>
      </c>
      <c r="F806" s="11">
        <v>85</v>
      </c>
      <c r="G806" s="11">
        <v>67</v>
      </c>
      <c r="H806" s="11">
        <v>0.4</v>
      </c>
      <c r="I806" s="11" t="s">
        <v>23</v>
      </c>
      <c r="J806" s="11">
        <v>13</v>
      </c>
      <c r="K806" s="11">
        <v>0</v>
      </c>
      <c r="L806" s="11">
        <v>0</v>
      </c>
      <c r="M806" s="11">
        <v>0</v>
      </c>
      <c r="N806" s="11">
        <v>0</v>
      </c>
      <c r="O806" s="12" t="str">
        <f t="shared" si="12"/>
        <v>10 - 19</v>
      </c>
    </row>
    <row r="807" spans="1:15" x14ac:dyDescent="0.35">
      <c r="A807" s="12">
        <v>3171</v>
      </c>
      <c r="B807" s="12" t="s">
        <v>16</v>
      </c>
      <c r="C807" s="12">
        <v>22</v>
      </c>
      <c r="D807" s="12" t="s">
        <v>21</v>
      </c>
      <c r="E807" s="12" t="s">
        <v>14</v>
      </c>
      <c r="F807" s="12">
        <v>256</v>
      </c>
      <c r="G807" s="12">
        <v>18</v>
      </c>
      <c r="H807" s="12">
        <v>0.02</v>
      </c>
      <c r="I807" s="12" t="s">
        <v>15</v>
      </c>
      <c r="J807" s="12">
        <v>48</v>
      </c>
      <c r="K807" s="12">
        <v>0</v>
      </c>
      <c r="L807" s="12">
        <v>0</v>
      </c>
      <c r="M807" s="12">
        <v>0</v>
      </c>
      <c r="N807" s="12">
        <v>0</v>
      </c>
      <c r="O807" s="12" t="str">
        <f t="shared" si="12"/>
        <v>40 - 49</v>
      </c>
    </row>
    <row r="808" spans="1:15" x14ac:dyDescent="0.35">
      <c r="A808" s="11">
        <v>3182</v>
      </c>
      <c r="B808" s="11" t="s">
        <v>12</v>
      </c>
      <c r="C808" s="11">
        <v>37</v>
      </c>
      <c r="D808" s="11" t="s">
        <v>26</v>
      </c>
      <c r="E808" s="11" t="s">
        <v>14</v>
      </c>
      <c r="F808" s="11">
        <v>38</v>
      </c>
      <c r="G808" s="11">
        <v>5</v>
      </c>
      <c r="H808" s="11">
        <v>0.48</v>
      </c>
      <c r="I808" s="11" t="s">
        <v>15</v>
      </c>
      <c r="J808" s="11">
        <v>40</v>
      </c>
      <c r="K808" s="11">
        <v>0</v>
      </c>
      <c r="L808" s="11">
        <v>0</v>
      </c>
      <c r="M808" s="11">
        <v>0</v>
      </c>
      <c r="N808" s="11">
        <v>0</v>
      </c>
      <c r="O808" s="12" t="str">
        <f t="shared" si="12"/>
        <v>40 - 49</v>
      </c>
    </row>
    <row r="809" spans="1:15" x14ac:dyDescent="0.35">
      <c r="A809" s="12">
        <v>3186</v>
      </c>
      <c r="B809" s="12" t="s">
        <v>12</v>
      </c>
      <c r="C809" s="12">
        <v>25</v>
      </c>
      <c r="D809" s="12" t="s">
        <v>13</v>
      </c>
      <c r="E809" s="12" t="s">
        <v>14</v>
      </c>
      <c r="F809" s="12">
        <v>263</v>
      </c>
      <c r="G809" s="12">
        <v>36</v>
      </c>
      <c r="H809" s="12">
        <v>0.19</v>
      </c>
      <c r="I809" s="12" t="s">
        <v>19</v>
      </c>
      <c r="J809" s="12">
        <v>11</v>
      </c>
      <c r="K809" s="12">
        <v>0</v>
      </c>
      <c r="L809" s="12">
        <v>0</v>
      </c>
      <c r="M809" s="12">
        <v>0</v>
      </c>
      <c r="N809" s="12">
        <v>0</v>
      </c>
      <c r="O809" s="12" t="str">
        <f t="shared" si="12"/>
        <v>10 - 19</v>
      </c>
    </row>
    <row r="810" spans="1:15" x14ac:dyDescent="0.35">
      <c r="A810" s="11">
        <v>3193</v>
      </c>
      <c r="B810" s="11" t="s">
        <v>20</v>
      </c>
      <c r="C810" s="11">
        <v>34</v>
      </c>
      <c r="D810" s="11" t="s">
        <v>28</v>
      </c>
      <c r="E810" s="11" t="s">
        <v>14</v>
      </c>
      <c r="F810" s="11">
        <v>64</v>
      </c>
      <c r="G810" s="11">
        <v>34</v>
      </c>
      <c r="H810" s="11">
        <v>0.5</v>
      </c>
      <c r="I810" s="11" t="s">
        <v>23</v>
      </c>
      <c r="J810" s="11">
        <v>16</v>
      </c>
      <c r="K810" s="11">
        <v>0</v>
      </c>
      <c r="L810" s="11">
        <v>0</v>
      </c>
      <c r="M810" s="11">
        <v>0</v>
      </c>
      <c r="N810" s="11">
        <v>0</v>
      </c>
      <c r="O810" s="12" t="str">
        <f t="shared" si="12"/>
        <v>10 - 19</v>
      </c>
    </row>
    <row r="811" spans="1:15" x14ac:dyDescent="0.35">
      <c r="A811" s="12">
        <v>3196</v>
      </c>
      <c r="B811" s="12" t="s">
        <v>12</v>
      </c>
      <c r="C811" s="12">
        <v>48</v>
      </c>
      <c r="D811" s="12" t="s">
        <v>13</v>
      </c>
      <c r="E811" s="12" t="s">
        <v>14</v>
      </c>
      <c r="F811" s="12">
        <v>291</v>
      </c>
      <c r="G811" s="12">
        <v>55</v>
      </c>
      <c r="H811" s="12">
        <v>0.1</v>
      </c>
      <c r="I811" s="12" t="s">
        <v>15</v>
      </c>
      <c r="J811" s="12">
        <v>31</v>
      </c>
      <c r="K811" s="12">
        <v>0</v>
      </c>
      <c r="L811" s="12">
        <v>1</v>
      </c>
      <c r="M811" s="12">
        <v>0</v>
      </c>
      <c r="N811" s="12">
        <v>0</v>
      </c>
      <c r="O811" s="12" t="str">
        <f t="shared" si="12"/>
        <v>30 - 39</v>
      </c>
    </row>
    <row r="812" spans="1:15" x14ac:dyDescent="0.35">
      <c r="A812" s="11">
        <v>3206</v>
      </c>
      <c r="B812" s="11" t="s">
        <v>20</v>
      </c>
      <c r="C812" s="11">
        <v>59</v>
      </c>
      <c r="D812" s="11" t="s">
        <v>25</v>
      </c>
      <c r="E812" s="11" t="s">
        <v>14</v>
      </c>
      <c r="F812" s="11">
        <v>260</v>
      </c>
      <c r="G812" s="11">
        <v>58</v>
      </c>
      <c r="H812" s="11">
        <v>0.41</v>
      </c>
      <c r="I812" s="11" t="s">
        <v>15</v>
      </c>
      <c r="J812" s="11">
        <v>5</v>
      </c>
      <c r="K812" s="11">
        <v>0</v>
      </c>
      <c r="L812" s="11">
        <v>1</v>
      </c>
      <c r="M812" s="11">
        <v>0</v>
      </c>
      <c r="N812" s="11">
        <v>0</v>
      </c>
      <c r="O812" s="12" t="str">
        <f t="shared" si="12"/>
        <v>0 - 9</v>
      </c>
    </row>
    <row r="813" spans="1:15" x14ac:dyDescent="0.35">
      <c r="A813" s="12">
        <v>3208</v>
      </c>
      <c r="B813" s="12" t="s">
        <v>16</v>
      </c>
      <c r="C813" s="12">
        <v>37</v>
      </c>
      <c r="D813" s="12" t="s">
        <v>28</v>
      </c>
      <c r="E813" s="12" t="s">
        <v>14</v>
      </c>
      <c r="F813" s="12">
        <v>46</v>
      </c>
      <c r="G813" s="12">
        <v>26</v>
      </c>
      <c r="H813" s="12">
        <v>0.44</v>
      </c>
      <c r="I813" s="12" t="s">
        <v>23</v>
      </c>
      <c r="J813" s="12">
        <v>40</v>
      </c>
      <c r="K813" s="12">
        <v>0</v>
      </c>
      <c r="L813" s="12">
        <v>0</v>
      </c>
      <c r="M813" s="12">
        <v>0</v>
      </c>
      <c r="N813" s="12">
        <v>0</v>
      </c>
      <c r="O813" s="12" t="str">
        <f t="shared" si="12"/>
        <v>40 - 49</v>
      </c>
    </row>
    <row r="814" spans="1:15" x14ac:dyDescent="0.35">
      <c r="A814" s="11">
        <v>3218</v>
      </c>
      <c r="B814" s="11" t="s">
        <v>12</v>
      </c>
      <c r="C814" s="11">
        <v>27</v>
      </c>
      <c r="D814" s="11" t="s">
        <v>25</v>
      </c>
      <c r="E814" s="11" t="s">
        <v>14</v>
      </c>
      <c r="F814" s="11">
        <v>226</v>
      </c>
      <c r="G814" s="11">
        <v>20</v>
      </c>
      <c r="H814" s="11">
        <v>0.53</v>
      </c>
      <c r="I814" s="11" t="s">
        <v>23</v>
      </c>
      <c r="J814" s="11">
        <v>13</v>
      </c>
      <c r="K814" s="11">
        <v>0</v>
      </c>
      <c r="L814" s="11">
        <v>1</v>
      </c>
      <c r="M814" s="11">
        <v>0</v>
      </c>
      <c r="N814" s="11">
        <v>0</v>
      </c>
      <c r="O814" s="12" t="str">
        <f t="shared" si="12"/>
        <v>10 - 19</v>
      </c>
    </row>
    <row r="815" spans="1:15" x14ac:dyDescent="0.35">
      <c r="A815" s="12">
        <v>3223</v>
      </c>
      <c r="B815" s="12" t="s">
        <v>16</v>
      </c>
      <c r="C815" s="12">
        <v>44</v>
      </c>
      <c r="D815" s="12" t="s">
        <v>29</v>
      </c>
      <c r="E815" s="12" t="s">
        <v>14</v>
      </c>
      <c r="F815" s="12">
        <v>270</v>
      </c>
      <c r="G815" s="12">
        <v>37</v>
      </c>
      <c r="H815" s="12">
        <v>7.0000000000000007E-2</v>
      </c>
      <c r="I815" s="12" t="s">
        <v>23</v>
      </c>
      <c r="J815" s="12">
        <v>31</v>
      </c>
      <c r="K815" s="12">
        <v>0</v>
      </c>
      <c r="L815" s="12">
        <v>1</v>
      </c>
      <c r="M815" s="12">
        <v>0</v>
      </c>
      <c r="N815" s="12">
        <v>0</v>
      </c>
      <c r="O815" s="12" t="str">
        <f t="shared" si="12"/>
        <v>30 - 39</v>
      </c>
    </row>
    <row r="816" spans="1:15" x14ac:dyDescent="0.35">
      <c r="A816" s="11">
        <v>3232</v>
      </c>
      <c r="B816" s="11" t="s">
        <v>16</v>
      </c>
      <c r="C816" s="11">
        <v>23</v>
      </c>
      <c r="D816" s="11" t="s">
        <v>25</v>
      </c>
      <c r="E816" s="11" t="s">
        <v>14</v>
      </c>
      <c r="F816" s="11">
        <v>230</v>
      </c>
      <c r="G816" s="11">
        <v>92</v>
      </c>
      <c r="H816" s="11">
        <v>0.22</v>
      </c>
      <c r="I816" s="11" t="s">
        <v>19</v>
      </c>
      <c r="J816" s="11">
        <v>18</v>
      </c>
      <c r="K816" s="11">
        <v>0</v>
      </c>
      <c r="L816" s="11">
        <v>1</v>
      </c>
      <c r="M816" s="11">
        <v>0</v>
      </c>
      <c r="N816" s="11">
        <v>0</v>
      </c>
      <c r="O816" s="12" t="str">
        <f t="shared" si="12"/>
        <v>10 - 19</v>
      </c>
    </row>
    <row r="817" spans="1:15" x14ac:dyDescent="0.35">
      <c r="A817" s="12">
        <v>3233</v>
      </c>
      <c r="B817" s="12" t="s">
        <v>12</v>
      </c>
      <c r="C817" s="12">
        <v>20</v>
      </c>
      <c r="D817" s="12" t="s">
        <v>27</v>
      </c>
      <c r="E817" s="12" t="s">
        <v>14</v>
      </c>
      <c r="F817" s="12">
        <v>289</v>
      </c>
      <c r="G817" s="12">
        <v>82</v>
      </c>
      <c r="H817" s="12">
        <v>0.31</v>
      </c>
      <c r="I817" s="12" t="s">
        <v>15</v>
      </c>
      <c r="J817" s="12">
        <v>18</v>
      </c>
      <c r="K817" s="12">
        <v>0</v>
      </c>
      <c r="L817" s="12">
        <v>0</v>
      </c>
      <c r="M817" s="12">
        <v>0</v>
      </c>
      <c r="N817" s="12">
        <v>0</v>
      </c>
      <c r="O817" s="12" t="str">
        <f t="shared" si="12"/>
        <v>10 - 19</v>
      </c>
    </row>
    <row r="818" spans="1:15" x14ac:dyDescent="0.35">
      <c r="A818" s="11">
        <v>3245</v>
      </c>
      <c r="B818" s="11" t="s">
        <v>20</v>
      </c>
      <c r="C818" s="11">
        <v>38</v>
      </c>
      <c r="D818" s="11" t="s">
        <v>27</v>
      </c>
      <c r="E818" s="11" t="s">
        <v>14</v>
      </c>
      <c r="F818" s="11">
        <v>262</v>
      </c>
      <c r="G818" s="11">
        <v>82</v>
      </c>
      <c r="H818" s="11">
        <v>0.45</v>
      </c>
      <c r="I818" s="11" t="s">
        <v>15</v>
      </c>
      <c r="J818" s="11">
        <v>46</v>
      </c>
      <c r="K818" s="11">
        <v>0</v>
      </c>
      <c r="L818" s="11">
        <v>0</v>
      </c>
      <c r="M818" s="11">
        <v>0</v>
      </c>
      <c r="N818" s="11">
        <v>0</v>
      </c>
      <c r="O818" s="12" t="str">
        <f t="shared" si="12"/>
        <v>40 - 49</v>
      </c>
    </row>
    <row r="819" spans="1:15" x14ac:dyDescent="0.35">
      <c r="A819" s="12">
        <v>3249</v>
      </c>
      <c r="B819" s="12" t="s">
        <v>12</v>
      </c>
      <c r="C819" s="12">
        <v>51</v>
      </c>
      <c r="D819" s="12" t="s">
        <v>17</v>
      </c>
      <c r="E819" s="12" t="s">
        <v>14</v>
      </c>
      <c r="F819" s="12">
        <v>12</v>
      </c>
      <c r="G819" s="12">
        <v>53</v>
      </c>
      <c r="H819" s="12">
        <v>0.05</v>
      </c>
      <c r="I819" s="12" t="s">
        <v>23</v>
      </c>
      <c r="J819" s="12">
        <v>14</v>
      </c>
      <c r="K819" s="12">
        <v>0</v>
      </c>
      <c r="L819" s="12">
        <v>1</v>
      </c>
      <c r="M819" s="12">
        <v>0</v>
      </c>
      <c r="N819" s="12">
        <v>0</v>
      </c>
      <c r="O819" s="12" t="str">
        <f t="shared" si="12"/>
        <v>10 - 19</v>
      </c>
    </row>
    <row r="820" spans="1:15" x14ac:dyDescent="0.35">
      <c r="A820" s="11">
        <v>3250</v>
      </c>
      <c r="B820" s="11" t="s">
        <v>12</v>
      </c>
      <c r="C820" s="11">
        <v>41</v>
      </c>
      <c r="D820" s="11" t="s">
        <v>26</v>
      </c>
      <c r="E820" s="11" t="s">
        <v>14</v>
      </c>
      <c r="F820" s="11">
        <v>296</v>
      </c>
      <c r="G820" s="11">
        <v>42</v>
      </c>
      <c r="H820" s="11">
        <v>0.15</v>
      </c>
      <c r="I820" s="11" t="s">
        <v>23</v>
      </c>
      <c r="J820" s="11">
        <v>37</v>
      </c>
      <c r="K820" s="11">
        <v>0</v>
      </c>
      <c r="L820" s="11">
        <v>0</v>
      </c>
      <c r="M820" s="11">
        <v>0</v>
      </c>
      <c r="N820" s="11">
        <v>0</v>
      </c>
      <c r="O820" s="12" t="str">
        <f t="shared" si="12"/>
        <v>30 - 39</v>
      </c>
    </row>
    <row r="821" spans="1:15" x14ac:dyDescent="0.35">
      <c r="A821" s="12">
        <v>3254</v>
      </c>
      <c r="B821" s="12" t="s">
        <v>16</v>
      </c>
      <c r="C821" s="12">
        <v>32</v>
      </c>
      <c r="D821" s="12" t="s">
        <v>17</v>
      </c>
      <c r="E821" s="12" t="s">
        <v>14</v>
      </c>
      <c r="F821" s="12">
        <v>27</v>
      </c>
      <c r="G821" s="12">
        <v>70</v>
      </c>
      <c r="H821" s="12">
        <v>0.3</v>
      </c>
      <c r="I821" s="12" t="s">
        <v>19</v>
      </c>
      <c r="J821" s="12">
        <v>34</v>
      </c>
      <c r="K821" s="12">
        <v>0</v>
      </c>
      <c r="L821" s="12">
        <v>0</v>
      </c>
      <c r="M821" s="12">
        <v>0</v>
      </c>
      <c r="N821" s="12">
        <v>0</v>
      </c>
      <c r="O821" s="12" t="str">
        <f t="shared" si="12"/>
        <v>30 - 39</v>
      </c>
    </row>
    <row r="822" spans="1:15" x14ac:dyDescent="0.35">
      <c r="A822" s="11">
        <v>3255</v>
      </c>
      <c r="B822" s="11" t="s">
        <v>20</v>
      </c>
      <c r="C822" s="11">
        <v>35</v>
      </c>
      <c r="D822" s="11" t="s">
        <v>21</v>
      </c>
      <c r="E822" s="11" t="s">
        <v>14</v>
      </c>
      <c r="F822" s="11">
        <v>263</v>
      </c>
      <c r="G822" s="11">
        <v>16</v>
      </c>
      <c r="H822" s="11">
        <v>0.39</v>
      </c>
      <c r="I822" s="11" t="s">
        <v>23</v>
      </c>
      <c r="J822" s="11">
        <v>21</v>
      </c>
      <c r="K822" s="11">
        <v>0</v>
      </c>
      <c r="L822" s="11">
        <v>0</v>
      </c>
      <c r="M822" s="11">
        <v>0</v>
      </c>
      <c r="N822" s="11">
        <v>0</v>
      </c>
      <c r="O822" s="12" t="str">
        <f t="shared" si="12"/>
        <v>20 - 29</v>
      </c>
    </row>
    <row r="823" spans="1:15" x14ac:dyDescent="0.35">
      <c r="A823" s="12">
        <v>3256</v>
      </c>
      <c r="B823" s="12" t="s">
        <v>16</v>
      </c>
      <c r="C823" s="12">
        <v>17</v>
      </c>
      <c r="D823" s="12" t="s">
        <v>17</v>
      </c>
      <c r="E823" s="12" t="s">
        <v>14</v>
      </c>
      <c r="F823" s="12">
        <v>227</v>
      </c>
      <c r="G823" s="12">
        <v>66</v>
      </c>
      <c r="H823" s="12">
        <v>0.34</v>
      </c>
      <c r="I823" s="12" t="s">
        <v>19</v>
      </c>
      <c r="J823" s="12">
        <v>44</v>
      </c>
      <c r="K823" s="12">
        <v>0</v>
      </c>
      <c r="L823" s="12">
        <v>1</v>
      </c>
      <c r="M823" s="12">
        <v>0</v>
      </c>
      <c r="N823" s="12">
        <v>0</v>
      </c>
      <c r="O823" s="12" t="str">
        <f t="shared" si="12"/>
        <v>40 - 49</v>
      </c>
    </row>
    <row r="824" spans="1:15" x14ac:dyDescent="0.35">
      <c r="A824" s="11">
        <v>3258</v>
      </c>
      <c r="B824" s="11" t="s">
        <v>16</v>
      </c>
      <c r="C824" s="11">
        <v>25</v>
      </c>
      <c r="D824" s="11" t="s">
        <v>26</v>
      </c>
      <c r="E824" s="11" t="s">
        <v>14</v>
      </c>
      <c r="F824" s="11">
        <v>276</v>
      </c>
      <c r="G824" s="11">
        <v>9</v>
      </c>
      <c r="H824" s="11">
        <v>0.59</v>
      </c>
      <c r="I824" s="11" t="s">
        <v>19</v>
      </c>
      <c r="J824" s="11">
        <v>37</v>
      </c>
      <c r="K824" s="11">
        <v>0</v>
      </c>
      <c r="L824" s="11">
        <v>0</v>
      </c>
      <c r="M824" s="11">
        <v>0</v>
      </c>
      <c r="N824" s="11">
        <v>0</v>
      </c>
      <c r="O824" s="12" t="str">
        <f t="shared" si="12"/>
        <v>30 - 39</v>
      </c>
    </row>
    <row r="825" spans="1:15" x14ac:dyDescent="0.35">
      <c r="A825" s="12">
        <v>3270</v>
      </c>
      <c r="B825" s="12" t="s">
        <v>12</v>
      </c>
      <c r="C825" s="12">
        <v>30</v>
      </c>
      <c r="D825" s="12" t="s">
        <v>27</v>
      </c>
      <c r="E825" s="12" t="s">
        <v>14</v>
      </c>
      <c r="F825" s="12">
        <v>41</v>
      </c>
      <c r="G825" s="12">
        <v>11</v>
      </c>
      <c r="H825" s="12">
        <v>0.59</v>
      </c>
      <c r="I825" s="12" t="s">
        <v>23</v>
      </c>
      <c r="J825" s="12">
        <v>5</v>
      </c>
      <c r="K825" s="12">
        <v>0</v>
      </c>
      <c r="L825" s="12">
        <v>1</v>
      </c>
      <c r="M825" s="12">
        <v>0</v>
      </c>
      <c r="N825" s="12">
        <v>0</v>
      </c>
      <c r="O825" s="12" t="str">
        <f t="shared" si="12"/>
        <v>0 - 9</v>
      </c>
    </row>
    <row r="826" spans="1:15" x14ac:dyDescent="0.35">
      <c r="A826" s="11">
        <v>3273</v>
      </c>
      <c r="B826" s="11" t="s">
        <v>20</v>
      </c>
      <c r="C826" s="11">
        <v>28</v>
      </c>
      <c r="D826" s="11" t="s">
        <v>25</v>
      </c>
      <c r="E826" s="11" t="s">
        <v>14</v>
      </c>
      <c r="F826" s="11">
        <v>170</v>
      </c>
      <c r="G826" s="11">
        <v>25</v>
      </c>
      <c r="H826" s="11">
        <v>0.16</v>
      </c>
      <c r="I826" s="11" t="s">
        <v>19</v>
      </c>
      <c r="J826" s="11">
        <v>32</v>
      </c>
      <c r="K826" s="11">
        <v>0</v>
      </c>
      <c r="L826" s="11">
        <v>0</v>
      </c>
      <c r="M826" s="11">
        <v>0</v>
      </c>
      <c r="N826" s="11">
        <v>0</v>
      </c>
      <c r="O826" s="12" t="str">
        <f t="shared" si="12"/>
        <v>30 - 39</v>
      </c>
    </row>
    <row r="827" spans="1:15" x14ac:dyDescent="0.35">
      <c r="A827" s="12">
        <v>3279</v>
      </c>
      <c r="B827" s="12" t="s">
        <v>12</v>
      </c>
      <c r="C827" s="12">
        <v>49</v>
      </c>
      <c r="D827" s="12" t="s">
        <v>17</v>
      </c>
      <c r="E827" s="12" t="s">
        <v>14</v>
      </c>
      <c r="F827" s="12">
        <v>74</v>
      </c>
      <c r="G827" s="12">
        <v>12</v>
      </c>
      <c r="H827" s="12">
        <v>0.49</v>
      </c>
      <c r="I827" s="12" t="s">
        <v>19</v>
      </c>
      <c r="J827" s="12">
        <v>6</v>
      </c>
      <c r="K827" s="12">
        <v>0</v>
      </c>
      <c r="L827" s="12">
        <v>0</v>
      </c>
      <c r="M827" s="12">
        <v>0</v>
      </c>
      <c r="N827" s="12">
        <v>0</v>
      </c>
      <c r="O827" s="12" t="str">
        <f t="shared" si="12"/>
        <v>0 - 9</v>
      </c>
    </row>
    <row r="828" spans="1:15" x14ac:dyDescent="0.35">
      <c r="A828" s="11">
        <v>3284</v>
      </c>
      <c r="B828" s="11" t="s">
        <v>20</v>
      </c>
      <c r="C828" s="11">
        <v>40</v>
      </c>
      <c r="D828" s="11" t="s">
        <v>25</v>
      </c>
      <c r="E828" s="11" t="s">
        <v>14</v>
      </c>
      <c r="F828" s="11">
        <v>14</v>
      </c>
      <c r="G828" s="11">
        <v>55</v>
      </c>
      <c r="H828" s="11">
        <v>0.11</v>
      </c>
      <c r="I828" s="11" t="s">
        <v>15</v>
      </c>
      <c r="J828" s="11">
        <v>24</v>
      </c>
      <c r="K828" s="11">
        <v>0</v>
      </c>
      <c r="L828" s="11">
        <v>0</v>
      </c>
      <c r="M828" s="11">
        <v>0</v>
      </c>
      <c r="N828" s="11">
        <v>0</v>
      </c>
      <c r="O828" s="12" t="str">
        <f t="shared" si="12"/>
        <v>20 - 29</v>
      </c>
    </row>
    <row r="829" spans="1:15" x14ac:dyDescent="0.35">
      <c r="A829" s="12">
        <v>3293</v>
      </c>
      <c r="B829" s="12" t="s">
        <v>12</v>
      </c>
      <c r="C829" s="12">
        <v>16</v>
      </c>
      <c r="D829" s="12" t="s">
        <v>28</v>
      </c>
      <c r="E829" s="12" t="s">
        <v>14</v>
      </c>
      <c r="F829" s="12">
        <v>212</v>
      </c>
      <c r="G829" s="12">
        <v>67</v>
      </c>
      <c r="H829" s="12">
        <v>0.38</v>
      </c>
      <c r="I829" s="12" t="s">
        <v>15</v>
      </c>
      <c r="J829" s="12">
        <v>18</v>
      </c>
      <c r="K829" s="12">
        <v>0</v>
      </c>
      <c r="L829" s="12">
        <v>0</v>
      </c>
      <c r="M829" s="12">
        <v>0</v>
      </c>
      <c r="N829" s="12">
        <v>0</v>
      </c>
      <c r="O829" s="12" t="str">
        <f t="shared" si="12"/>
        <v>10 - 19</v>
      </c>
    </row>
    <row r="830" spans="1:15" x14ac:dyDescent="0.35">
      <c r="A830" s="11">
        <v>3295</v>
      </c>
      <c r="B830" s="11" t="s">
        <v>20</v>
      </c>
      <c r="C830" s="11">
        <v>42</v>
      </c>
      <c r="D830" s="11" t="s">
        <v>26</v>
      </c>
      <c r="E830" s="11" t="s">
        <v>14</v>
      </c>
      <c r="F830" s="11">
        <v>86</v>
      </c>
      <c r="G830" s="11">
        <v>4</v>
      </c>
      <c r="H830" s="11">
        <v>0.2</v>
      </c>
      <c r="I830" s="11" t="s">
        <v>15</v>
      </c>
      <c r="J830" s="11">
        <v>29</v>
      </c>
      <c r="K830" s="11">
        <v>0</v>
      </c>
      <c r="L830" s="11">
        <v>0</v>
      </c>
      <c r="M830" s="11">
        <v>0</v>
      </c>
      <c r="N830" s="11">
        <v>0</v>
      </c>
      <c r="O830" s="12" t="str">
        <f t="shared" si="12"/>
        <v>20 - 29</v>
      </c>
    </row>
    <row r="831" spans="1:15" x14ac:dyDescent="0.35">
      <c r="A831" s="12">
        <v>3300</v>
      </c>
      <c r="B831" s="12" t="s">
        <v>12</v>
      </c>
      <c r="C831" s="12">
        <v>39</v>
      </c>
      <c r="D831" s="12" t="s">
        <v>28</v>
      </c>
      <c r="E831" s="12" t="s">
        <v>14</v>
      </c>
      <c r="F831" s="12">
        <v>232</v>
      </c>
      <c r="G831" s="12">
        <v>45</v>
      </c>
      <c r="H831" s="12">
        <v>0.22</v>
      </c>
      <c r="I831" s="12" t="s">
        <v>19</v>
      </c>
      <c r="J831" s="12">
        <v>12</v>
      </c>
      <c r="K831" s="12">
        <v>0</v>
      </c>
      <c r="L831" s="12">
        <v>1</v>
      </c>
      <c r="M831" s="12">
        <v>0</v>
      </c>
      <c r="N831" s="12">
        <v>0</v>
      </c>
      <c r="O831" s="12" t="str">
        <f t="shared" si="12"/>
        <v>10 - 19</v>
      </c>
    </row>
    <row r="832" spans="1:15" x14ac:dyDescent="0.35">
      <c r="A832" s="11">
        <v>3303</v>
      </c>
      <c r="B832" s="11" t="s">
        <v>20</v>
      </c>
      <c r="C832" s="11">
        <v>44</v>
      </c>
      <c r="D832" s="11" t="s">
        <v>29</v>
      </c>
      <c r="E832" s="11" t="s">
        <v>14</v>
      </c>
      <c r="F832" s="11">
        <v>274</v>
      </c>
      <c r="G832" s="11">
        <v>29</v>
      </c>
      <c r="H832" s="11">
        <v>0.14000000000000001</v>
      </c>
      <c r="I832" s="11" t="s">
        <v>15</v>
      </c>
      <c r="J832" s="11">
        <v>17</v>
      </c>
      <c r="K832" s="11">
        <v>0</v>
      </c>
      <c r="L832" s="11">
        <v>0</v>
      </c>
      <c r="M832" s="11">
        <v>0</v>
      </c>
      <c r="N832" s="11">
        <v>0</v>
      </c>
      <c r="O832" s="12" t="str">
        <f t="shared" si="12"/>
        <v>10 - 19</v>
      </c>
    </row>
    <row r="833" spans="1:15" x14ac:dyDescent="0.35">
      <c r="A833" s="12">
        <v>3304</v>
      </c>
      <c r="B833" s="12" t="s">
        <v>12</v>
      </c>
      <c r="C833" s="12">
        <v>54</v>
      </c>
      <c r="D833" s="12" t="s">
        <v>27</v>
      </c>
      <c r="E833" s="12" t="s">
        <v>14</v>
      </c>
      <c r="F833" s="12">
        <v>20</v>
      </c>
      <c r="G833" s="12">
        <v>50</v>
      </c>
      <c r="H833" s="12">
        <v>0.31</v>
      </c>
      <c r="I833" s="12" t="s">
        <v>23</v>
      </c>
      <c r="J833" s="12">
        <v>15</v>
      </c>
      <c r="K833" s="12">
        <v>0</v>
      </c>
      <c r="L833" s="12">
        <v>1</v>
      </c>
      <c r="M833" s="12">
        <v>0</v>
      </c>
      <c r="N833" s="12">
        <v>0</v>
      </c>
      <c r="O833" s="12" t="str">
        <f t="shared" si="12"/>
        <v>10 - 19</v>
      </c>
    </row>
    <row r="834" spans="1:15" x14ac:dyDescent="0.35">
      <c r="A834" s="11">
        <v>3306</v>
      </c>
      <c r="B834" s="11" t="s">
        <v>12</v>
      </c>
      <c r="C834" s="11">
        <v>44</v>
      </c>
      <c r="D834" s="11" t="s">
        <v>21</v>
      </c>
      <c r="E834" s="11" t="s">
        <v>14</v>
      </c>
      <c r="F834" s="11">
        <v>77</v>
      </c>
      <c r="G834" s="11">
        <v>39</v>
      </c>
      <c r="H834" s="11">
        <v>0.53</v>
      </c>
      <c r="I834" s="11" t="s">
        <v>19</v>
      </c>
      <c r="J834" s="11">
        <v>18</v>
      </c>
      <c r="K834" s="11">
        <v>0</v>
      </c>
      <c r="L834" s="11">
        <v>1</v>
      </c>
      <c r="M834" s="11">
        <v>0</v>
      </c>
      <c r="N834" s="11">
        <v>0</v>
      </c>
      <c r="O834" s="12" t="str">
        <f t="shared" ref="O834:O897" si="13">_xlfn.FLOOR.MATH(J834, 10) &amp; " - " &amp; (_xlfn.FLOOR.MATH(J834, 10) + 9)</f>
        <v>10 - 19</v>
      </c>
    </row>
    <row r="835" spans="1:15" x14ac:dyDescent="0.35">
      <c r="A835" s="12">
        <v>3311</v>
      </c>
      <c r="B835" s="12" t="s">
        <v>16</v>
      </c>
      <c r="C835" s="12">
        <v>58</v>
      </c>
      <c r="D835" s="12" t="s">
        <v>27</v>
      </c>
      <c r="E835" s="12" t="s">
        <v>14</v>
      </c>
      <c r="F835" s="12">
        <v>113</v>
      </c>
      <c r="G835" s="12">
        <v>62</v>
      </c>
      <c r="H835" s="12">
        <v>0.48</v>
      </c>
      <c r="I835" s="12" t="s">
        <v>19</v>
      </c>
      <c r="J835" s="12">
        <v>31</v>
      </c>
      <c r="K835" s="12">
        <v>0</v>
      </c>
      <c r="L835" s="12">
        <v>0</v>
      </c>
      <c r="M835" s="12">
        <v>0</v>
      </c>
      <c r="N835" s="12">
        <v>0</v>
      </c>
      <c r="O835" s="12" t="str">
        <f t="shared" si="13"/>
        <v>30 - 39</v>
      </c>
    </row>
    <row r="836" spans="1:15" x14ac:dyDescent="0.35">
      <c r="A836" s="11">
        <v>3319</v>
      </c>
      <c r="B836" s="11" t="s">
        <v>20</v>
      </c>
      <c r="C836" s="11">
        <v>33</v>
      </c>
      <c r="D836" s="11" t="s">
        <v>26</v>
      </c>
      <c r="E836" s="11" t="s">
        <v>14</v>
      </c>
      <c r="F836" s="11">
        <v>45</v>
      </c>
      <c r="G836" s="11">
        <v>64</v>
      </c>
      <c r="H836" s="11">
        <v>0.12</v>
      </c>
      <c r="I836" s="11" t="s">
        <v>15</v>
      </c>
      <c r="J836" s="11">
        <v>39</v>
      </c>
      <c r="K836" s="11">
        <v>0</v>
      </c>
      <c r="L836" s="11">
        <v>0</v>
      </c>
      <c r="M836" s="11">
        <v>0</v>
      </c>
      <c r="N836" s="11">
        <v>0</v>
      </c>
      <c r="O836" s="12" t="str">
        <f t="shared" si="13"/>
        <v>30 - 39</v>
      </c>
    </row>
    <row r="837" spans="1:15" x14ac:dyDescent="0.35">
      <c r="A837" s="12">
        <v>3325</v>
      </c>
      <c r="B837" s="12" t="s">
        <v>16</v>
      </c>
      <c r="C837" s="12">
        <v>24</v>
      </c>
      <c r="D837" s="12" t="s">
        <v>13</v>
      </c>
      <c r="E837" s="12" t="s">
        <v>14</v>
      </c>
      <c r="F837" s="12">
        <v>150</v>
      </c>
      <c r="G837" s="12">
        <v>53</v>
      </c>
      <c r="H837" s="12">
        <v>0.21</v>
      </c>
      <c r="I837" s="12" t="s">
        <v>19</v>
      </c>
      <c r="J837" s="12">
        <v>44</v>
      </c>
      <c r="K837" s="12">
        <v>0</v>
      </c>
      <c r="L837" s="12">
        <v>0</v>
      </c>
      <c r="M837" s="12">
        <v>0</v>
      </c>
      <c r="N837" s="12">
        <v>0</v>
      </c>
      <c r="O837" s="12" t="str">
        <f t="shared" si="13"/>
        <v>40 - 49</v>
      </c>
    </row>
    <row r="838" spans="1:15" x14ac:dyDescent="0.35">
      <c r="A838" s="11">
        <v>3329</v>
      </c>
      <c r="B838" s="11" t="s">
        <v>16</v>
      </c>
      <c r="C838" s="11">
        <v>22</v>
      </c>
      <c r="D838" s="11" t="s">
        <v>29</v>
      </c>
      <c r="E838" s="11" t="s">
        <v>14</v>
      </c>
      <c r="F838" s="11">
        <v>217</v>
      </c>
      <c r="G838" s="11">
        <v>74</v>
      </c>
      <c r="H838" s="11">
        <v>0.55000000000000004</v>
      </c>
      <c r="I838" s="11" t="s">
        <v>23</v>
      </c>
      <c r="J838" s="11">
        <v>13</v>
      </c>
      <c r="K838" s="11">
        <v>0</v>
      </c>
      <c r="L838" s="11">
        <v>0</v>
      </c>
      <c r="M838" s="11">
        <v>0</v>
      </c>
      <c r="N838" s="11">
        <v>0</v>
      </c>
      <c r="O838" s="12" t="str">
        <f t="shared" si="13"/>
        <v>10 - 19</v>
      </c>
    </row>
    <row r="839" spans="1:15" x14ac:dyDescent="0.35">
      <c r="A839" s="12">
        <v>3330</v>
      </c>
      <c r="B839" s="12" t="s">
        <v>12</v>
      </c>
      <c r="C839" s="12">
        <v>57</v>
      </c>
      <c r="D839" s="12" t="s">
        <v>28</v>
      </c>
      <c r="E839" s="12" t="s">
        <v>14</v>
      </c>
      <c r="F839" s="12">
        <v>75</v>
      </c>
      <c r="G839" s="12">
        <v>62</v>
      </c>
      <c r="H839" s="12">
        <v>0.49</v>
      </c>
      <c r="I839" s="12" t="s">
        <v>23</v>
      </c>
      <c r="J839" s="12">
        <v>44</v>
      </c>
      <c r="K839" s="12">
        <v>0</v>
      </c>
      <c r="L839" s="12">
        <v>0</v>
      </c>
      <c r="M839" s="12">
        <v>0</v>
      </c>
      <c r="N839" s="12">
        <v>0</v>
      </c>
      <c r="O839" s="12" t="str">
        <f t="shared" si="13"/>
        <v>40 - 49</v>
      </c>
    </row>
    <row r="840" spans="1:15" x14ac:dyDescent="0.35">
      <c r="A840" s="11">
        <v>3331</v>
      </c>
      <c r="B840" s="11" t="s">
        <v>20</v>
      </c>
      <c r="C840" s="11">
        <v>42</v>
      </c>
      <c r="D840" s="11" t="s">
        <v>25</v>
      </c>
      <c r="E840" s="11" t="s">
        <v>14</v>
      </c>
      <c r="F840" s="11">
        <v>204</v>
      </c>
      <c r="G840" s="11">
        <v>32</v>
      </c>
      <c r="H840" s="11">
        <v>0.05</v>
      </c>
      <c r="I840" s="11" t="s">
        <v>19</v>
      </c>
      <c r="J840" s="11">
        <v>36</v>
      </c>
      <c r="K840" s="11">
        <v>0</v>
      </c>
      <c r="L840" s="11">
        <v>1</v>
      </c>
      <c r="M840" s="11">
        <v>0</v>
      </c>
      <c r="N840" s="11">
        <v>0</v>
      </c>
      <c r="O840" s="12" t="str">
        <f t="shared" si="13"/>
        <v>30 - 39</v>
      </c>
    </row>
    <row r="841" spans="1:15" x14ac:dyDescent="0.35">
      <c r="A841" s="12">
        <v>3334</v>
      </c>
      <c r="B841" s="12" t="s">
        <v>20</v>
      </c>
      <c r="C841" s="12">
        <v>21</v>
      </c>
      <c r="D841" s="12" t="s">
        <v>26</v>
      </c>
      <c r="E841" s="12" t="s">
        <v>14</v>
      </c>
      <c r="F841" s="12">
        <v>183</v>
      </c>
      <c r="G841" s="12">
        <v>51</v>
      </c>
      <c r="H841" s="12">
        <v>0.55000000000000004</v>
      </c>
      <c r="I841" s="12" t="s">
        <v>15</v>
      </c>
      <c r="J841" s="12">
        <v>21</v>
      </c>
      <c r="K841" s="12">
        <v>0</v>
      </c>
      <c r="L841" s="12">
        <v>0</v>
      </c>
      <c r="M841" s="12">
        <v>0</v>
      </c>
      <c r="N841" s="12">
        <v>0</v>
      </c>
      <c r="O841" s="12" t="str">
        <f t="shared" si="13"/>
        <v>20 - 29</v>
      </c>
    </row>
    <row r="842" spans="1:15" x14ac:dyDescent="0.35">
      <c r="A842" s="11">
        <v>3339</v>
      </c>
      <c r="B842" s="11" t="s">
        <v>20</v>
      </c>
      <c r="C842" s="11">
        <v>56</v>
      </c>
      <c r="D842" s="11" t="s">
        <v>26</v>
      </c>
      <c r="E842" s="11" t="s">
        <v>14</v>
      </c>
      <c r="F842" s="11">
        <v>287</v>
      </c>
      <c r="G842" s="11">
        <v>21</v>
      </c>
      <c r="H842" s="11">
        <v>0.28999999999999998</v>
      </c>
      <c r="I842" s="11" t="s">
        <v>19</v>
      </c>
      <c r="J842" s="11">
        <v>34</v>
      </c>
      <c r="K842" s="11">
        <v>0</v>
      </c>
      <c r="L842" s="11">
        <v>1</v>
      </c>
      <c r="M842" s="11">
        <v>0</v>
      </c>
      <c r="N842" s="11">
        <v>0</v>
      </c>
      <c r="O842" s="12" t="str">
        <f t="shared" si="13"/>
        <v>30 - 39</v>
      </c>
    </row>
    <row r="843" spans="1:15" x14ac:dyDescent="0.35">
      <c r="A843" s="12">
        <v>3343</v>
      </c>
      <c r="B843" s="12" t="s">
        <v>16</v>
      </c>
      <c r="C843" s="12">
        <v>33</v>
      </c>
      <c r="D843" s="12" t="s">
        <v>13</v>
      </c>
      <c r="E843" s="12" t="s">
        <v>14</v>
      </c>
      <c r="F843" s="12">
        <v>298</v>
      </c>
      <c r="G843" s="12">
        <v>86</v>
      </c>
      <c r="H843" s="12">
        <v>0.26</v>
      </c>
      <c r="I843" s="12" t="s">
        <v>23</v>
      </c>
      <c r="J843" s="12">
        <v>24</v>
      </c>
      <c r="K843" s="12">
        <v>0</v>
      </c>
      <c r="L843" s="12">
        <v>0</v>
      </c>
      <c r="M843" s="12">
        <v>0</v>
      </c>
      <c r="N843" s="12">
        <v>0</v>
      </c>
      <c r="O843" s="12" t="str">
        <f t="shared" si="13"/>
        <v>20 - 29</v>
      </c>
    </row>
    <row r="844" spans="1:15" x14ac:dyDescent="0.35">
      <c r="A844" s="11">
        <v>3346</v>
      </c>
      <c r="B844" s="11" t="s">
        <v>16</v>
      </c>
      <c r="C844" s="11">
        <v>52</v>
      </c>
      <c r="D844" s="11" t="s">
        <v>21</v>
      </c>
      <c r="E844" s="11" t="s">
        <v>14</v>
      </c>
      <c r="F844" s="11">
        <v>226</v>
      </c>
      <c r="G844" s="11">
        <v>6</v>
      </c>
      <c r="H844" s="11">
        <v>0.3</v>
      </c>
      <c r="I844" s="11" t="s">
        <v>19</v>
      </c>
      <c r="J844" s="11">
        <v>18</v>
      </c>
      <c r="K844" s="11">
        <v>0</v>
      </c>
      <c r="L844" s="11">
        <v>1</v>
      </c>
      <c r="M844" s="11">
        <v>0</v>
      </c>
      <c r="N844" s="11">
        <v>0</v>
      </c>
      <c r="O844" s="12" t="str">
        <f t="shared" si="13"/>
        <v>10 - 19</v>
      </c>
    </row>
    <row r="845" spans="1:15" x14ac:dyDescent="0.35">
      <c r="A845" s="12">
        <v>3349</v>
      </c>
      <c r="B845" s="12" t="s">
        <v>16</v>
      </c>
      <c r="C845" s="12">
        <v>59</v>
      </c>
      <c r="D845" s="12" t="s">
        <v>17</v>
      </c>
      <c r="E845" s="12" t="s">
        <v>14</v>
      </c>
      <c r="F845" s="12">
        <v>206</v>
      </c>
      <c r="G845" s="12">
        <v>23</v>
      </c>
      <c r="H845" s="12">
        <v>0.28999999999999998</v>
      </c>
      <c r="I845" s="12" t="s">
        <v>19</v>
      </c>
      <c r="J845" s="12">
        <v>9</v>
      </c>
      <c r="K845" s="12">
        <v>0</v>
      </c>
      <c r="L845" s="12">
        <v>0</v>
      </c>
      <c r="M845" s="12">
        <v>0</v>
      </c>
      <c r="N845" s="12">
        <v>0</v>
      </c>
      <c r="O845" s="12" t="str">
        <f t="shared" si="13"/>
        <v>0 - 9</v>
      </c>
    </row>
    <row r="846" spans="1:15" x14ac:dyDescent="0.35">
      <c r="A846" s="11">
        <v>3350</v>
      </c>
      <c r="B846" s="11" t="s">
        <v>20</v>
      </c>
      <c r="C846" s="11">
        <v>45</v>
      </c>
      <c r="D846" s="11" t="s">
        <v>27</v>
      </c>
      <c r="E846" s="11" t="s">
        <v>14</v>
      </c>
      <c r="F846" s="11">
        <v>43</v>
      </c>
      <c r="G846" s="11">
        <v>80</v>
      </c>
      <c r="H846" s="11">
        <v>0.49</v>
      </c>
      <c r="I846" s="11" t="s">
        <v>23</v>
      </c>
      <c r="J846" s="11">
        <v>13</v>
      </c>
      <c r="K846" s="11">
        <v>0</v>
      </c>
      <c r="L846" s="11">
        <v>1</v>
      </c>
      <c r="M846" s="11">
        <v>0</v>
      </c>
      <c r="N846" s="11">
        <v>0</v>
      </c>
      <c r="O846" s="12" t="str">
        <f t="shared" si="13"/>
        <v>10 - 19</v>
      </c>
    </row>
    <row r="847" spans="1:15" x14ac:dyDescent="0.35">
      <c r="A847" s="12">
        <v>3351</v>
      </c>
      <c r="B847" s="12" t="s">
        <v>16</v>
      </c>
      <c r="C847" s="12">
        <v>35</v>
      </c>
      <c r="D847" s="12" t="s">
        <v>13</v>
      </c>
      <c r="E847" s="12" t="s">
        <v>14</v>
      </c>
      <c r="F847" s="12">
        <v>211</v>
      </c>
      <c r="G847" s="12">
        <v>50</v>
      </c>
      <c r="H847" s="12">
        <v>0.28999999999999998</v>
      </c>
      <c r="I847" s="12" t="s">
        <v>15</v>
      </c>
      <c r="J847" s="12">
        <v>12</v>
      </c>
      <c r="K847" s="12">
        <v>0</v>
      </c>
      <c r="L847" s="12">
        <v>0</v>
      </c>
      <c r="M847" s="12">
        <v>0</v>
      </c>
      <c r="N847" s="12">
        <v>0</v>
      </c>
      <c r="O847" s="12" t="str">
        <f t="shared" si="13"/>
        <v>10 - 19</v>
      </c>
    </row>
    <row r="848" spans="1:15" x14ac:dyDescent="0.35">
      <c r="A848" s="11">
        <v>3357</v>
      </c>
      <c r="B848" s="11" t="s">
        <v>16</v>
      </c>
      <c r="C848" s="11">
        <v>52</v>
      </c>
      <c r="D848" s="11" t="s">
        <v>13</v>
      </c>
      <c r="E848" s="11" t="s">
        <v>14</v>
      </c>
      <c r="F848" s="11">
        <v>169</v>
      </c>
      <c r="G848" s="11">
        <v>35</v>
      </c>
      <c r="H848" s="11">
        <v>0.33</v>
      </c>
      <c r="I848" s="11" t="s">
        <v>19</v>
      </c>
      <c r="J848" s="11">
        <v>34</v>
      </c>
      <c r="K848" s="11">
        <v>0</v>
      </c>
      <c r="L848" s="11">
        <v>0</v>
      </c>
      <c r="M848" s="11">
        <v>0</v>
      </c>
      <c r="N848" s="11">
        <v>0</v>
      </c>
      <c r="O848" s="12" t="str">
        <f t="shared" si="13"/>
        <v>30 - 39</v>
      </c>
    </row>
    <row r="849" spans="1:15" x14ac:dyDescent="0.35">
      <c r="A849" s="12">
        <v>3358</v>
      </c>
      <c r="B849" s="12" t="s">
        <v>20</v>
      </c>
      <c r="C849" s="12">
        <v>49</v>
      </c>
      <c r="D849" s="12" t="s">
        <v>13</v>
      </c>
      <c r="E849" s="12" t="s">
        <v>14</v>
      </c>
      <c r="F849" s="12">
        <v>142</v>
      </c>
      <c r="G849" s="12">
        <v>22</v>
      </c>
      <c r="H849" s="12">
        <v>0.42</v>
      </c>
      <c r="I849" s="12" t="s">
        <v>19</v>
      </c>
      <c r="J849" s="12">
        <v>12</v>
      </c>
      <c r="K849" s="12">
        <v>0</v>
      </c>
      <c r="L849" s="12">
        <v>1</v>
      </c>
      <c r="M849" s="12">
        <v>0</v>
      </c>
      <c r="N849" s="12">
        <v>0</v>
      </c>
      <c r="O849" s="12" t="str">
        <f t="shared" si="13"/>
        <v>10 - 19</v>
      </c>
    </row>
    <row r="850" spans="1:15" x14ac:dyDescent="0.35">
      <c r="A850" s="11">
        <v>3362</v>
      </c>
      <c r="B850" s="11" t="s">
        <v>20</v>
      </c>
      <c r="C850" s="11">
        <v>17</v>
      </c>
      <c r="D850" s="11" t="s">
        <v>25</v>
      </c>
      <c r="E850" s="11" t="s">
        <v>14</v>
      </c>
      <c r="F850" s="11">
        <v>66</v>
      </c>
      <c r="G850" s="11">
        <v>19</v>
      </c>
      <c r="H850" s="11">
        <v>0.06</v>
      </c>
      <c r="I850" s="11" t="s">
        <v>15</v>
      </c>
      <c r="J850" s="11">
        <v>49</v>
      </c>
      <c r="K850" s="11">
        <v>0</v>
      </c>
      <c r="L850" s="11">
        <v>0</v>
      </c>
      <c r="M850" s="11">
        <v>0</v>
      </c>
      <c r="N850" s="11">
        <v>0</v>
      </c>
      <c r="O850" s="12" t="str">
        <f t="shared" si="13"/>
        <v>40 - 49</v>
      </c>
    </row>
    <row r="851" spans="1:15" x14ac:dyDescent="0.35">
      <c r="A851" s="12">
        <v>3369</v>
      </c>
      <c r="B851" s="12" t="s">
        <v>20</v>
      </c>
      <c r="C851" s="12">
        <v>35</v>
      </c>
      <c r="D851" s="12" t="s">
        <v>26</v>
      </c>
      <c r="E851" s="12" t="s">
        <v>14</v>
      </c>
      <c r="F851" s="12">
        <v>170</v>
      </c>
      <c r="G851" s="12">
        <v>78</v>
      </c>
      <c r="H851" s="12">
        <v>0.28000000000000003</v>
      </c>
      <c r="I851" s="12" t="s">
        <v>15</v>
      </c>
      <c r="J851" s="12">
        <v>39</v>
      </c>
      <c r="K851" s="12">
        <v>0</v>
      </c>
      <c r="L851" s="12">
        <v>0</v>
      </c>
      <c r="M851" s="12">
        <v>0</v>
      </c>
      <c r="N851" s="12">
        <v>0</v>
      </c>
      <c r="O851" s="12" t="str">
        <f t="shared" si="13"/>
        <v>30 - 39</v>
      </c>
    </row>
    <row r="852" spans="1:15" x14ac:dyDescent="0.35">
      <c r="A852" s="11">
        <v>3371</v>
      </c>
      <c r="B852" s="11" t="s">
        <v>12</v>
      </c>
      <c r="C852" s="11">
        <v>40</v>
      </c>
      <c r="D852" s="11" t="s">
        <v>25</v>
      </c>
      <c r="E852" s="11" t="s">
        <v>14</v>
      </c>
      <c r="F852" s="11">
        <v>204</v>
      </c>
      <c r="G852" s="11">
        <v>12</v>
      </c>
      <c r="H852" s="11">
        <v>0.54</v>
      </c>
      <c r="I852" s="11" t="s">
        <v>15</v>
      </c>
      <c r="J852" s="11">
        <v>31</v>
      </c>
      <c r="K852" s="11">
        <v>0</v>
      </c>
      <c r="L852" s="11">
        <v>1</v>
      </c>
      <c r="M852" s="11">
        <v>0</v>
      </c>
      <c r="N852" s="11">
        <v>0</v>
      </c>
      <c r="O852" s="12" t="str">
        <f t="shared" si="13"/>
        <v>30 - 39</v>
      </c>
    </row>
    <row r="853" spans="1:15" x14ac:dyDescent="0.35">
      <c r="A853" s="12">
        <v>3372</v>
      </c>
      <c r="B853" s="12" t="s">
        <v>12</v>
      </c>
      <c r="C853" s="12">
        <v>36</v>
      </c>
      <c r="D853" s="12" t="s">
        <v>27</v>
      </c>
      <c r="E853" s="12" t="s">
        <v>14</v>
      </c>
      <c r="F853" s="12">
        <v>221</v>
      </c>
      <c r="G853" s="12">
        <v>32</v>
      </c>
      <c r="H853" s="12">
        <v>0.02</v>
      </c>
      <c r="I853" s="12" t="s">
        <v>23</v>
      </c>
      <c r="J853" s="12">
        <v>36</v>
      </c>
      <c r="K853" s="12">
        <v>0</v>
      </c>
      <c r="L853" s="12">
        <v>0</v>
      </c>
      <c r="M853" s="12">
        <v>0</v>
      </c>
      <c r="N853" s="12">
        <v>0</v>
      </c>
      <c r="O853" s="12" t="str">
        <f t="shared" si="13"/>
        <v>30 - 39</v>
      </c>
    </row>
    <row r="854" spans="1:15" x14ac:dyDescent="0.35">
      <c r="A854" s="11">
        <v>3373</v>
      </c>
      <c r="B854" s="11" t="s">
        <v>20</v>
      </c>
      <c r="C854" s="11">
        <v>49</v>
      </c>
      <c r="D854" s="11" t="s">
        <v>21</v>
      </c>
      <c r="E854" s="11" t="s">
        <v>14</v>
      </c>
      <c r="F854" s="11">
        <v>73</v>
      </c>
      <c r="G854" s="11">
        <v>93</v>
      </c>
      <c r="H854" s="11">
        <v>0.45</v>
      </c>
      <c r="I854" s="11" t="s">
        <v>15</v>
      </c>
      <c r="J854" s="11">
        <v>20</v>
      </c>
      <c r="K854" s="11">
        <v>0</v>
      </c>
      <c r="L854" s="11">
        <v>1</v>
      </c>
      <c r="M854" s="11">
        <v>0</v>
      </c>
      <c r="N854" s="11">
        <v>0</v>
      </c>
      <c r="O854" s="12" t="str">
        <f t="shared" si="13"/>
        <v>20 - 29</v>
      </c>
    </row>
    <row r="855" spans="1:15" x14ac:dyDescent="0.35">
      <c r="A855" s="12">
        <v>3377</v>
      </c>
      <c r="B855" s="12" t="s">
        <v>12</v>
      </c>
      <c r="C855" s="12">
        <v>33</v>
      </c>
      <c r="D855" s="12" t="s">
        <v>29</v>
      </c>
      <c r="E855" s="12" t="s">
        <v>14</v>
      </c>
      <c r="F855" s="12">
        <v>83</v>
      </c>
      <c r="G855" s="12">
        <v>71</v>
      </c>
      <c r="H855" s="12">
        <v>0.21</v>
      </c>
      <c r="I855" s="12" t="s">
        <v>15</v>
      </c>
      <c r="J855" s="12">
        <v>46</v>
      </c>
      <c r="K855" s="12">
        <v>0</v>
      </c>
      <c r="L855" s="12">
        <v>1</v>
      </c>
      <c r="M855" s="12">
        <v>0</v>
      </c>
      <c r="N855" s="12">
        <v>0</v>
      </c>
      <c r="O855" s="12" t="str">
        <f t="shared" si="13"/>
        <v>40 - 49</v>
      </c>
    </row>
    <row r="856" spans="1:15" x14ac:dyDescent="0.35">
      <c r="A856" s="11">
        <v>3379</v>
      </c>
      <c r="B856" s="11" t="s">
        <v>16</v>
      </c>
      <c r="C856" s="11">
        <v>33</v>
      </c>
      <c r="D856" s="11" t="s">
        <v>26</v>
      </c>
      <c r="E856" s="11" t="s">
        <v>14</v>
      </c>
      <c r="F856" s="11">
        <v>39</v>
      </c>
      <c r="G856" s="11">
        <v>69</v>
      </c>
      <c r="H856" s="11">
        <v>0.39</v>
      </c>
      <c r="I856" s="11" t="s">
        <v>23</v>
      </c>
      <c r="J856" s="11">
        <v>22</v>
      </c>
      <c r="K856" s="11">
        <v>0</v>
      </c>
      <c r="L856" s="11">
        <v>0</v>
      </c>
      <c r="M856" s="11">
        <v>0</v>
      </c>
      <c r="N856" s="11">
        <v>0</v>
      </c>
      <c r="O856" s="12" t="str">
        <f t="shared" si="13"/>
        <v>20 - 29</v>
      </c>
    </row>
    <row r="857" spans="1:15" x14ac:dyDescent="0.35">
      <c r="A857" s="12">
        <v>3380</v>
      </c>
      <c r="B857" s="12" t="s">
        <v>12</v>
      </c>
      <c r="C857" s="12">
        <v>16</v>
      </c>
      <c r="D857" s="12" t="s">
        <v>21</v>
      </c>
      <c r="E857" s="12" t="s">
        <v>14</v>
      </c>
      <c r="F857" s="12">
        <v>232</v>
      </c>
      <c r="G857" s="12">
        <v>26</v>
      </c>
      <c r="H857" s="12">
        <v>0.09</v>
      </c>
      <c r="I857" s="12" t="s">
        <v>19</v>
      </c>
      <c r="J857" s="12">
        <v>26</v>
      </c>
      <c r="K857" s="12">
        <v>0</v>
      </c>
      <c r="L857" s="12">
        <v>1</v>
      </c>
      <c r="M857" s="12">
        <v>0</v>
      </c>
      <c r="N857" s="12">
        <v>0</v>
      </c>
      <c r="O857" s="12" t="str">
        <f t="shared" si="13"/>
        <v>20 - 29</v>
      </c>
    </row>
    <row r="858" spans="1:15" x14ac:dyDescent="0.35">
      <c r="A858" s="11">
        <v>3393</v>
      </c>
      <c r="B858" s="11" t="s">
        <v>12</v>
      </c>
      <c r="C858" s="11">
        <v>18</v>
      </c>
      <c r="D858" s="11" t="s">
        <v>26</v>
      </c>
      <c r="E858" s="11" t="s">
        <v>14</v>
      </c>
      <c r="F858" s="11">
        <v>201</v>
      </c>
      <c r="G858" s="11">
        <v>68</v>
      </c>
      <c r="H858" s="11">
        <v>0.52</v>
      </c>
      <c r="I858" s="11" t="s">
        <v>15</v>
      </c>
      <c r="J858" s="11">
        <v>12</v>
      </c>
      <c r="K858" s="11">
        <v>0</v>
      </c>
      <c r="L858" s="11">
        <v>0</v>
      </c>
      <c r="M858" s="11">
        <v>0</v>
      </c>
      <c r="N858" s="11">
        <v>0</v>
      </c>
      <c r="O858" s="12" t="str">
        <f t="shared" si="13"/>
        <v>10 - 19</v>
      </c>
    </row>
    <row r="859" spans="1:15" x14ac:dyDescent="0.35">
      <c r="A859" s="12">
        <v>3400</v>
      </c>
      <c r="B859" s="12" t="s">
        <v>20</v>
      </c>
      <c r="C859" s="12">
        <v>48</v>
      </c>
      <c r="D859" s="12" t="s">
        <v>28</v>
      </c>
      <c r="E859" s="12" t="s">
        <v>14</v>
      </c>
      <c r="F859" s="12">
        <v>100</v>
      </c>
      <c r="G859" s="12">
        <v>52</v>
      </c>
      <c r="H859" s="12">
        <v>0.31</v>
      </c>
      <c r="I859" s="12" t="s">
        <v>19</v>
      </c>
      <c r="J859" s="12">
        <v>13</v>
      </c>
      <c r="K859" s="12">
        <v>0</v>
      </c>
      <c r="L859" s="12">
        <v>0</v>
      </c>
      <c r="M859" s="12">
        <v>0</v>
      </c>
      <c r="N859" s="12">
        <v>0</v>
      </c>
      <c r="O859" s="12" t="str">
        <f t="shared" si="13"/>
        <v>10 - 19</v>
      </c>
    </row>
    <row r="860" spans="1:15" x14ac:dyDescent="0.35">
      <c r="A860" s="11">
        <v>3406</v>
      </c>
      <c r="B860" s="11" t="s">
        <v>16</v>
      </c>
      <c r="C860" s="11">
        <v>51</v>
      </c>
      <c r="D860" s="11" t="s">
        <v>26</v>
      </c>
      <c r="E860" s="11" t="s">
        <v>14</v>
      </c>
      <c r="F860" s="11">
        <v>211</v>
      </c>
      <c r="G860" s="11">
        <v>2</v>
      </c>
      <c r="H860" s="11">
        <v>0.1</v>
      </c>
      <c r="I860" s="11" t="s">
        <v>19</v>
      </c>
      <c r="J860" s="11">
        <v>6</v>
      </c>
      <c r="K860" s="11">
        <v>0</v>
      </c>
      <c r="L860" s="11">
        <v>0</v>
      </c>
      <c r="M860" s="11">
        <v>0</v>
      </c>
      <c r="N860" s="11">
        <v>0</v>
      </c>
      <c r="O860" s="12" t="str">
        <f t="shared" si="13"/>
        <v>0 - 9</v>
      </c>
    </row>
    <row r="861" spans="1:15" x14ac:dyDescent="0.35">
      <c r="A861" s="12">
        <v>3415</v>
      </c>
      <c r="B861" s="12" t="s">
        <v>20</v>
      </c>
      <c r="C861" s="12">
        <v>27</v>
      </c>
      <c r="D861" s="12" t="s">
        <v>21</v>
      </c>
      <c r="E861" s="12" t="s">
        <v>14</v>
      </c>
      <c r="F861" s="12">
        <v>140</v>
      </c>
      <c r="G861" s="12">
        <v>15</v>
      </c>
      <c r="H861" s="12">
        <v>0.56999999999999995</v>
      </c>
      <c r="I861" s="12" t="s">
        <v>15</v>
      </c>
      <c r="J861" s="12">
        <v>40</v>
      </c>
      <c r="K861" s="12">
        <v>0</v>
      </c>
      <c r="L861" s="12">
        <v>0</v>
      </c>
      <c r="M861" s="12">
        <v>0</v>
      </c>
      <c r="N861" s="12">
        <v>0</v>
      </c>
      <c r="O861" s="12" t="str">
        <f t="shared" si="13"/>
        <v>40 - 49</v>
      </c>
    </row>
    <row r="862" spans="1:15" x14ac:dyDescent="0.35">
      <c r="A862" s="11">
        <v>3421</v>
      </c>
      <c r="B862" s="11" t="s">
        <v>16</v>
      </c>
      <c r="C862" s="11">
        <v>54</v>
      </c>
      <c r="D862" s="11" t="s">
        <v>26</v>
      </c>
      <c r="E862" s="11" t="s">
        <v>14</v>
      </c>
      <c r="F862" s="11">
        <v>197</v>
      </c>
      <c r="G862" s="11">
        <v>39</v>
      </c>
      <c r="H862" s="11">
        <v>0.34</v>
      </c>
      <c r="I862" s="11" t="s">
        <v>23</v>
      </c>
      <c r="J862" s="11">
        <v>29</v>
      </c>
      <c r="K862" s="11">
        <v>0</v>
      </c>
      <c r="L862" s="11">
        <v>0</v>
      </c>
      <c r="M862" s="11">
        <v>0</v>
      </c>
      <c r="N862" s="11">
        <v>0</v>
      </c>
      <c r="O862" s="12" t="str">
        <f t="shared" si="13"/>
        <v>20 - 29</v>
      </c>
    </row>
    <row r="863" spans="1:15" x14ac:dyDescent="0.35">
      <c r="A863" s="12">
        <v>3424</v>
      </c>
      <c r="B863" s="12" t="s">
        <v>12</v>
      </c>
      <c r="C863" s="12">
        <v>52</v>
      </c>
      <c r="D863" s="12" t="s">
        <v>25</v>
      </c>
      <c r="E863" s="12" t="s">
        <v>14</v>
      </c>
      <c r="F863" s="12">
        <v>145</v>
      </c>
      <c r="G863" s="12">
        <v>55</v>
      </c>
      <c r="H863" s="12">
        <v>0.22</v>
      </c>
      <c r="I863" s="12" t="s">
        <v>15</v>
      </c>
      <c r="J863" s="12">
        <v>16</v>
      </c>
      <c r="K863" s="12">
        <v>0</v>
      </c>
      <c r="L863" s="12">
        <v>0</v>
      </c>
      <c r="M863" s="12">
        <v>0</v>
      </c>
      <c r="N863" s="12">
        <v>0</v>
      </c>
      <c r="O863" s="12" t="str">
        <f t="shared" si="13"/>
        <v>10 - 19</v>
      </c>
    </row>
    <row r="864" spans="1:15" x14ac:dyDescent="0.35">
      <c r="A864" s="11">
        <v>3427</v>
      </c>
      <c r="B864" s="11" t="s">
        <v>12</v>
      </c>
      <c r="C864" s="11">
        <v>29</v>
      </c>
      <c r="D864" s="11" t="s">
        <v>25</v>
      </c>
      <c r="E864" s="11" t="s">
        <v>14</v>
      </c>
      <c r="F864" s="11">
        <v>189</v>
      </c>
      <c r="G864" s="11">
        <v>54</v>
      </c>
      <c r="H864" s="11">
        <v>0.26</v>
      </c>
      <c r="I864" s="11" t="s">
        <v>15</v>
      </c>
      <c r="J864" s="11">
        <v>34</v>
      </c>
      <c r="K864" s="11">
        <v>0</v>
      </c>
      <c r="L864" s="11">
        <v>0</v>
      </c>
      <c r="M864" s="11">
        <v>0</v>
      </c>
      <c r="N864" s="11">
        <v>0</v>
      </c>
      <c r="O864" s="12" t="str">
        <f t="shared" si="13"/>
        <v>30 - 39</v>
      </c>
    </row>
    <row r="865" spans="1:15" x14ac:dyDescent="0.35">
      <c r="A865" s="12">
        <v>3430</v>
      </c>
      <c r="B865" s="12" t="s">
        <v>16</v>
      </c>
      <c r="C865" s="12">
        <v>19</v>
      </c>
      <c r="D865" s="12" t="s">
        <v>29</v>
      </c>
      <c r="E865" s="12" t="s">
        <v>14</v>
      </c>
      <c r="F865" s="12">
        <v>129</v>
      </c>
      <c r="G865" s="12">
        <v>27</v>
      </c>
      <c r="H865" s="12">
        <v>0.51</v>
      </c>
      <c r="I865" s="12" t="s">
        <v>19</v>
      </c>
      <c r="J865" s="12">
        <v>33</v>
      </c>
      <c r="K865" s="12">
        <v>0</v>
      </c>
      <c r="L865" s="12">
        <v>0</v>
      </c>
      <c r="M865" s="12">
        <v>0</v>
      </c>
      <c r="N865" s="12">
        <v>0</v>
      </c>
      <c r="O865" s="12" t="str">
        <f t="shared" si="13"/>
        <v>30 - 39</v>
      </c>
    </row>
    <row r="866" spans="1:15" x14ac:dyDescent="0.35">
      <c r="A866" s="11">
        <v>3432</v>
      </c>
      <c r="B866" s="11" t="s">
        <v>20</v>
      </c>
      <c r="C866" s="11">
        <v>56</v>
      </c>
      <c r="D866" s="11" t="s">
        <v>27</v>
      </c>
      <c r="E866" s="11" t="s">
        <v>14</v>
      </c>
      <c r="F866" s="11">
        <v>43</v>
      </c>
      <c r="G866" s="11">
        <v>21</v>
      </c>
      <c r="H866" s="11">
        <v>0.13</v>
      </c>
      <c r="I866" s="11" t="s">
        <v>15</v>
      </c>
      <c r="J866" s="11">
        <v>45</v>
      </c>
      <c r="K866" s="11">
        <v>0</v>
      </c>
      <c r="L866" s="11">
        <v>0</v>
      </c>
      <c r="M866" s="11">
        <v>0</v>
      </c>
      <c r="N866" s="11">
        <v>0</v>
      </c>
      <c r="O866" s="12" t="str">
        <f t="shared" si="13"/>
        <v>40 - 49</v>
      </c>
    </row>
    <row r="867" spans="1:15" x14ac:dyDescent="0.35">
      <c r="A867" s="12">
        <v>3433</v>
      </c>
      <c r="B867" s="12" t="s">
        <v>20</v>
      </c>
      <c r="C867" s="12">
        <v>19</v>
      </c>
      <c r="D867" s="12" t="s">
        <v>17</v>
      </c>
      <c r="E867" s="12" t="s">
        <v>14</v>
      </c>
      <c r="F867" s="12">
        <v>19</v>
      </c>
      <c r="G867" s="12">
        <v>88</v>
      </c>
      <c r="H867" s="12">
        <v>0</v>
      </c>
      <c r="I867" s="12" t="s">
        <v>19</v>
      </c>
      <c r="J867" s="12">
        <v>41</v>
      </c>
      <c r="K867" s="12">
        <v>0</v>
      </c>
      <c r="L867" s="12">
        <v>0</v>
      </c>
      <c r="M867" s="12">
        <v>0</v>
      </c>
      <c r="N867" s="12">
        <v>0</v>
      </c>
      <c r="O867" s="12" t="str">
        <f t="shared" si="13"/>
        <v>40 - 49</v>
      </c>
    </row>
    <row r="868" spans="1:15" x14ac:dyDescent="0.35">
      <c r="A868" s="11">
        <v>3437</v>
      </c>
      <c r="B868" s="11" t="s">
        <v>16</v>
      </c>
      <c r="C868" s="11">
        <v>30</v>
      </c>
      <c r="D868" s="11" t="s">
        <v>27</v>
      </c>
      <c r="E868" s="11" t="s">
        <v>14</v>
      </c>
      <c r="F868" s="11">
        <v>272</v>
      </c>
      <c r="G868" s="11">
        <v>80</v>
      </c>
      <c r="H868" s="11">
        <v>0.04</v>
      </c>
      <c r="I868" s="11" t="s">
        <v>15</v>
      </c>
      <c r="J868" s="11">
        <v>18</v>
      </c>
      <c r="K868" s="11">
        <v>0</v>
      </c>
      <c r="L868" s="11">
        <v>0</v>
      </c>
      <c r="M868" s="11">
        <v>0</v>
      </c>
      <c r="N868" s="11">
        <v>0</v>
      </c>
      <c r="O868" s="12" t="str">
        <f t="shared" si="13"/>
        <v>10 - 19</v>
      </c>
    </row>
    <row r="869" spans="1:15" x14ac:dyDescent="0.35">
      <c r="A869" s="12">
        <v>3438</v>
      </c>
      <c r="B869" s="12" t="s">
        <v>12</v>
      </c>
      <c r="C869" s="12">
        <v>42</v>
      </c>
      <c r="D869" s="12" t="s">
        <v>17</v>
      </c>
      <c r="E869" s="12" t="s">
        <v>14</v>
      </c>
      <c r="F869" s="12">
        <v>259</v>
      </c>
      <c r="G869" s="12">
        <v>5</v>
      </c>
      <c r="H869" s="12">
        <v>0.32</v>
      </c>
      <c r="I869" s="12" t="s">
        <v>23</v>
      </c>
      <c r="J869" s="12">
        <v>17</v>
      </c>
      <c r="K869" s="12">
        <v>0</v>
      </c>
      <c r="L869" s="12">
        <v>1</v>
      </c>
      <c r="M869" s="12">
        <v>0</v>
      </c>
      <c r="N869" s="12">
        <v>0</v>
      </c>
      <c r="O869" s="12" t="str">
        <f t="shared" si="13"/>
        <v>10 - 19</v>
      </c>
    </row>
    <row r="870" spans="1:15" x14ac:dyDescent="0.35">
      <c r="A870" s="11">
        <v>3439</v>
      </c>
      <c r="B870" s="11" t="s">
        <v>20</v>
      </c>
      <c r="C870" s="11">
        <v>54</v>
      </c>
      <c r="D870" s="11" t="s">
        <v>27</v>
      </c>
      <c r="E870" s="11" t="s">
        <v>14</v>
      </c>
      <c r="F870" s="11">
        <v>19</v>
      </c>
      <c r="G870" s="11">
        <v>80</v>
      </c>
      <c r="H870" s="11">
        <v>0.38</v>
      </c>
      <c r="I870" s="11" t="s">
        <v>15</v>
      </c>
      <c r="J870" s="11">
        <v>44</v>
      </c>
      <c r="K870" s="11">
        <v>0</v>
      </c>
      <c r="L870" s="11">
        <v>0</v>
      </c>
      <c r="M870" s="11">
        <v>0</v>
      </c>
      <c r="N870" s="11">
        <v>0</v>
      </c>
      <c r="O870" s="12" t="str">
        <f t="shared" si="13"/>
        <v>40 - 49</v>
      </c>
    </row>
    <row r="871" spans="1:15" x14ac:dyDescent="0.35">
      <c r="A871" s="12">
        <v>3449</v>
      </c>
      <c r="B871" s="12" t="s">
        <v>16</v>
      </c>
      <c r="C871" s="12">
        <v>58</v>
      </c>
      <c r="D871" s="12" t="s">
        <v>17</v>
      </c>
      <c r="E871" s="12" t="s">
        <v>14</v>
      </c>
      <c r="F871" s="12">
        <v>155</v>
      </c>
      <c r="G871" s="12">
        <v>39</v>
      </c>
      <c r="H871" s="12">
        <v>0.14000000000000001</v>
      </c>
      <c r="I871" s="12" t="s">
        <v>15</v>
      </c>
      <c r="J871" s="12">
        <v>24</v>
      </c>
      <c r="K871" s="12">
        <v>0</v>
      </c>
      <c r="L871" s="12">
        <v>0</v>
      </c>
      <c r="M871" s="12">
        <v>0</v>
      </c>
      <c r="N871" s="12">
        <v>0</v>
      </c>
      <c r="O871" s="12" t="str">
        <f t="shared" si="13"/>
        <v>20 - 29</v>
      </c>
    </row>
    <row r="872" spans="1:15" x14ac:dyDescent="0.35">
      <c r="A872" s="11">
        <v>3450</v>
      </c>
      <c r="B872" s="11" t="s">
        <v>12</v>
      </c>
      <c r="C872" s="11">
        <v>22</v>
      </c>
      <c r="D872" s="11" t="s">
        <v>26</v>
      </c>
      <c r="E872" s="11" t="s">
        <v>14</v>
      </c>
      <c r="F872" s="11">
        <v>98</v>
      </c>
      <c r="G872" s="11">
        <v>83</v>
      </c>
      <c r="H872" s="11">
        <v>0.5</v>
      </c>
      <c r="I872" s="11" t="s">
        <v>23</v>
      </c>
      <c r="J872" s="11">
        <v>13</v>
      </c>
      <c r="K872" s="11">
        <v>0</v>
      </c>
      <c r="L872" s="11">
        <v>0</v>
      </c>
      <c r="M872" s="11">
        <v>0</v>
      </c>
      <c r="N872" s="11">
        <v>0</v>
      </c>
      <c r="O872" s="12" t="str">
        <f t="shared" si="13"/>
        <v>10 - 19</v>
      </c>
    </row>
    <row r="873" spans="1:15" x14ac:dyDescent="0.35">
      <c r="A873" s="12">
        <v>3454</v>
      </c>
      <c r="B873" s="12" t="s">
        <v>16</v>
      </c>
      <c r="C873" s="12">
        <v>39</v>
      </c>
      <c r="D873" s="12" t="s">
        <v>17</v>
      </c>
      <c r="E873" s="12" t="s">
        <v>14</v>
      </c>
      <c r="F873" s="12">
        <v>113</v>
      </c>
      <c r="G873" s="12">
        <v>79</v>
      </c>
      <c r="H873" s="12">
        <v>0.27</v>
      </c>
      <c r="I873" s="12" t="s">
        <v>19</v>
      </c>
      <c r="J873" s="12">
        <v>20</v>
      </c>
      <c r="K873" s="12">
        <v>0</v>
      </c>
      <c r="L873" s="12">
        <v>0</v>
      </c>
      <c r="M873" s="12">
        <v>0</v>
      </c>
      <c r="N873" s="12">
        <v>0</v>
      </c>
      <c r="O873" s="12" t="str">
        <f t="shared" si="13"/>
        <v>20 - 29</v>
      </c>
    </row>
    <row r="874" spans="1:15" x14ac:dyDescent="0.35">
      <c r="A874" s="11">
        <v>3463</v>
      </c>
      <c r="B874" s="11" t="s">
        <v>20</v>
      </c>
      <c r="C874" s="11">
        <v>55</v>
      </c>
      <c r="D874" s="11" t="s">
        <v>27</v>
      </c>
      <c r="E874" s="11" t="s">
        <v>14</v>
      </c>
      <c r="F874" s="11">
        <v>141</v>
      </c>
      <c r="G874" s="11">
        <v>69</v>
      </c>
      <c r="H874" s="11">
        <v>0.19</v>
      </c>
      <c r="I874" s="11" t="s">
        <v>19</v>
      </c>
      <c r="J874" s="11">
        <v>17</v>
      </c>
      <c r="K874" s="11">
        <v>0</v>
      </c>
      <c r="L874" s="11">
        <v>0</v>
      </c>
      <c r="M874" s="11">
        <v>0</v>
      </c>
      <c r="N874" s="11">
        <v>0</v>
      </c>
      <c r="O874" s="12" t="str">
        <f t="shared" si="13"/>
        <v>10 - 19</v>
      </c>
    </row>
    <row r="875" spans="1:15" x14ac:dyDescent="0.35">
      <c r="A875" s="12">
        <v>3468</v>
      </c>
      <c r="B875" s="12" t="s">
        <v>20</v>
      </c>
      <c r="C875" s="12">
        <v>41</v>
      </c>
      <c r="D875" s="12" t="s">
        <v>25</v>
      </c>
      <c r="E875" s="12" t="s">
        <v>14</v>
      </c>
      <c r="F875" s="12">
        <v>75</v>
      </c>
      <c r="G875" s="12">
        <v>7</v>
      </c>
      <c r="H875" s="12">
        <v>0.38</v>
      </c>
      <c r="I875" s="12" t="s">
        <v>15</v>
      </c>
      <c r="J875" s="12">
        <v>35</v>
      </c>
      <c r="K875" s="12">
        <v>0</v>
      </c>
      <c r="L875" s="12">
        <v>1</v>
      </c>
      <c r="M875" s="12">
        <v>0</v>
      </c>
      <c r="N875" s="12">
        <v>0</v>
      </c>
      <c r="O875" s="12" t="str">
        <f t="shared" si="13"/>
        <v>30 - 39</v>
      </c>
    </row>
    <row r="876" spans="1:15" x14ac:dyDescent="0.35">
      <c r="A876" s="11">
        <v>3469</v>
      </c>
      <c r="B876" s="11" t="s">
        <v>12</v>
      </c>
      <c r="C876" s="11">
        <v>52</v>
      </c>
      <c r="D876" s="11" t="s">
        <v>13</v>
      </c>
      <c r="E876" s="11" t="s">
        <v>14</v>
      </c>
      <c r="F876" s="11">
        <v>191</v>
      </c>
      <c r="G876" s="11">
        <v>6</v>
      </c>
      <c r="H876" s="11">
        <v>0.42</v>
      </c>
      <c r="I876" s="11" t="s">
        <v>19</v>
      </c>
      <c r="J876" s="11">
        <v>45</v>
      </c>
      <c r="K876" s="11">
        <v>0</v>
      </c>
      <c r="L876" s="11">
        <v>1</v>
      </c>
      <c r="M876" s="11">
        <v>0</v>
      </c>
      <c r="N876" s="11">
        <v>0</v>
      </c>
      <c r="O876" s="12" t="str">
        <f t="shared" si="13"/>
        <v>40 - 49</v>
      </c>
    </row>
    <row r="877" spans="1:15" x14ac:dyDescent="0.35">
      <c r="A877" s="12">
        <v>3471</v>
      </c>
      <c r="B877" s="12" t="s">
        <v>16</v>
      </c>
      <c r="C877" s="12">
        <v>16</v>
      </c>
      <c r="D877" s="12" t="s">
        <v>29</v>
      </c>
      <c r="E877" s="12" t="s">
        <v>14</v>
      </c>
      <c r="F877" s="12">
        <v>195</v>
      </c>
      <c r="G877" s="12">
        <v>96</v>
      </c>
      <c r="H877" s="12">
        <v>0.14000000000000001</v>
      </c>
      <c r="I877" s="12" t="s">
        <v>15</v>
      </c>
      <c r="J877" s="12">
        <v>37</v>
      </c>
      <c r="K877" s="12">
        <v>0</v>
      </c>
      <c r="L877" s="12">
        <v>0</v>
      </c>
      <c r="M877" s="12">
        <v>0</v>
      </c>
      <c r="N877" s="12">
        <v>0</v>
      </c>
      <c r="O877" s="12" t="str">
        <f t="shared" si="13"/>
        <v>30 - 39</v>
      </c>
    </row>
    <row r="878" spans="1:15" x14ac:dyDescent="0.35">
      <c r="A878" s="11">
        <v>3472</v>
      </c>
      <c r="B878" s="11" t="s">
        <v>12</v>
      </c>
      <c r="C878" s="11">
        <v>46</v>
      </c>
      <c r="D878" s="11" t="s">
        <v>21</v>
      </c>
      <c r="E878" s="11" t="s">
        <v>14</v>
      </c>
      <c r="F878" s="11">
        <v>37</v>
      </c>
      <c r="G878" s="11">
        <v>69</v>
      </c>
      <c r="H878" s="11">
        <v>0.46</v>
      </c>
      <c r="I878" s="11" t="s">
        <v>23</v>
      </c>
      <c r="J878" s="11">
        <v>32</v>
      </c>
      <c r="K878" s="11">
        <v>0</v>
      </c>
      <c r="L878" s="11">
        <v>0</v>
      </c>
      <c r="M878" s="11">
        <v>0</v>
      </c>
      <c r="N878" s="11">
        <v>0</v>
      </c>
      <c r="O878" s="12" t="str">
        <f t="shared" si="13"/>
        <v>30 - 39</v>
      </c>
    </row>
    <row r="879" spans="1:15" x14ac:dyDescent="0.35">
      <c r="A879" s="12">
        <v>3474</v>
      </c>
      <c r="B879" s="12" t="s">
        <v>12</v>
      </c>
      <c r="C879" s="12">
        <v>43</v>
      </c>
      <c r="D879" s="12" t="s">
        <v>27</v>
      </c>
      <c r="E879" s="12" t="s">
        <v>14</v>
      </c>
      <c r="F879" s="12">
        <v>100</v>
      </c>
      <c r="G879" s="12">
        <v>72</v>
      </c>
      <c r="H879" s="12">
        <v>0.17</v>
      </c>
      <c r="I879" s="12" t="s">
        <v>15</v>
      </c>
      <c r="J879" s="12">
        <v>14</v>
      </c>
      <c r="K879" s="12">
        <v>0</v>
      </c>
      <c r="L879" s="12">
        <v>0</v>
      </c>
      <c r="M879" s="12">
        <v>0</v>
      </c>
      <c r="N879" s="12">
        <v>0</v>
      </c>
      <c r="O879" s="12" t="str">
        <f t="shared" si="13"/>
        <v>10 - 19</v>
      </c>
    </row>
    <row r="880" spans="1:15" x14ac:dyDescent="0.35">
      <c r="A880" s="11">
        <v>3480</v>
      </c>
      <c r="B880" s="11" t="s">
        <v>16</v>
      </c>
      <c r="C880" s="11">
        <v>48</v>
      </c>
      <c r="D880" s="11" t="s">
        <v>21</v>
      </c>
      <c r="E880" s="11" t="s">
        <v>14</v>
      </c>
      <c r="F880" s="11">
        <v>104</v>
      </c>
      <c r="G880" s="11">
        <v>33</v>
      </c>
      <c r="H880" s="11">
        <v>0.56000000000000005</v>
      </c>
      <c r="I880" s="11" t="s">
        <v>19</v>
      </c>
      <c r="J880" s="11">
        <v>22</v>
      </c>
      <c r="K880" s="11">
        <v>0</v>
      </c>
      <c r="L880" s="11">
        <v>0</v>
      </c>
      <c r="M880" s="11">
        <v>0</v>
      </c>
      <c r="N880" s="11">
        <v>0</v>
      </c>
      <c r="O880" s="12" t="str">
        <f t="shared" si="13"/>
        <v>20 - 29</v>
      </c>
    </row>
    <row r="881" spans="1:15" x14ac:dyDescent="0.35">
      <c r="A881" s="12">
        <v>3483</v>
      </c>
      <c r="B881" s="12" t="s">
        <v>12</v>
      </c>
      <c r="C881" s="12">
        <v>42</v>
      </c>
      <c r="D881" s="12" t="s">
        <v>13</v>
      </c>
      <c r="E881" s="12" t="s">
        <v>14</v>
      </c>
      <c r="F881" s="12">
        <v>232</v>
      </c>
      <c r="G881" s="12">
        <v>1</v>
      </c>
      <c r="H881" s="12">
        <v>0.56999999999999995</v>
      </c>
      <c r="I881" s="12" t="s">
        <v>15</v>
      </c>
      <c r="J881" s="12">
        <v>49</v>
      </c>
      <c r="K881" s="12">
        <v>0</v>
      </c>
      <c r="L881" s="12">
        <v>0</v>
      </c>
      <c r="M881" s="12">
        <v>0</v>
      </c>
      <c r="N881" s="12">
        <v>0</v>
      </c>
      <c r="O881" s="12" t="str">
        <f t="shared" si="13"/>
        <v>40 - 49</v>
      </c>
    </row>
    <row r="882" spans="1:15" x14ac:dyDescent="0.35">
      <c r="A882" s="11">
        <v>3489</v>
      </c>
      <c r="B882" s="11" t="s">
        <v>12</v>
      </c>
      <c r="C882" s="11">
        <v>59</v>
      </c>
      <c r="D882" s="11" t="s">
        <v>17</v>
      </c>
      <c r="E882" s="11" t="s">
        <v>14</v>
      </c>
      <c r="F882" s="11">
        <v>16</v>
      </c>
      <c r="G882" s="11">
        <v>20</v>
      </c>
      <c r="H882" s="11">
        <v>0.53</v>
      </c>
      <c r="I882" s="11" t="s">
        <v>15</v>
      </c>
      <c r="J882" s="11">
        <v>13</v>
      </c>
      <c r="K882" s="11">
        <v>0</v>
      </c>
      <c r="L882" s="11">
        <v>1</v>
      </c>
      <c r="M882" s="11">
        <v>0</v>
      </c>
      <c r="N882" s="11">
        <v>0</v>
      </c>
      <c r="O882" s="12" t="str">
        <f t="shared" si="13"/>
        <v>10 - 19</v>
      </c>
    </row>
    <row r="883" spans="1:15" x14ac:dyDescent="0.35">
      <c r="A883" s="12">
        <v>3492</v>
      </c>
      <c r="B883" s="12" t="s">
        <v>16</v>
      </c>
      <c r="C883" s="12">
        <v>36</v>
      </c>
      <c r="D883" s="12" t="s">
        <v>28</v>
      </c>
      <c r="E883" s="12" t="s">
        <v>14</v>
      </c>
      <c r="F883" s="12">
        <v>198</v>
      </c>
      <c r="G883" s="12">
        <v>20</v>
      </c>
      <c r="H883" s="12">
        <v>0.46</v>
      </c>
      <c r="I883" s="12" t="s">
        <v>19</v>
      </c>
      <c r="J883" s="12">
        <v>7</v>
      </c>
      <c r="K883" s="12">
        <v>0</v>
      </c>
      <c r="L883" s="12">
        <v>1</v>
      </c>
      <c r="M883" s="12">
        <v>0</v>
      </c>
      <c r="N883" s="12">
        <v>0</v>
      </c>
      <c r="O883" s="12" t="str">
        <f t="shared" si="13"/>
        <v>0 - 9</v>
      </c>
    </row>
    <row r="884" spans="1:15" x14ac:dyDescent="0.35">
      <c r="A884" s="11">
        <v>3493</v>
      </c>
      <c r="B884" s="11" t="s">
        <v>20</v>
      </c>
      <c r="C884" s="11">
        <v>49</v>
      </c>
      <c r="D884" s="11" t="s">
        <v>26</v>
      </c>
      <c r="E884" s="11" t="s">
        <v>14</v>
      </c>
      <c r="F884" s="11">
        <v>233</v>
      </c>
      <c r="G884" s="11">
        <v>62</v>
      </c>
      <c r="H884" s="11">
        <v>0.26</v>
      </c>
      <c r="I884" s="11" t="s">
        <v>19</v>
      </c>
      <c r="J884" s="11">
        <v>32</v>
      </c>
      <c r="K884" s="11">
        <v>0</v>
      </c>
      <c r="L884" s="11">
        <v>0</v>
      </c>
      <c r="M884" s="11">
        <v>0</v>
      </c>
      <c r="N884" s="11">
        <v>0</v>
      </c>
      <c r="O884" s="12" t="str">
        <f t="shared" si="13"/>
        <v>30 - 39</v>
      </c>
    </row>
    <row r="885" spans="1:15" x14ac:dyDescent="0.35">
      <c r="A885" s="12">
        <v>3505</v>
      </c>
      <c r="B885" s="12" t="s">
        <v>20</v>
      </c>
      <c r="C885" s="12">
        <v>36</v>
      </c>
      <c r="D885" s="12" t="s">
        <v>25</v>
      </c>
      <c r="E885" s="12" t="s">
        <v>14</v>
      </c>
      <c r="F885" s="12">
        <v>231</v>
      </c>
      <c r="G885" s="12">
        <v>96</v>
      </c>
      <c r="H885" s="12">
        <v>0.57999999999999996</v>
      </c>
      <c r="I885" s="12" t="s">
        <v>23</v>
      </c>
      <c r="J885" s="12">
        <v>25</v>
      </c>
      <c r="K885" s="12">
        <v>0</v>
      </c>
      <c r="L885" s="12">
        <v>1</v>
      </c>
      <c r="M885" s="12">
        <v>0</v>
      </c>
      <c r="N885" s="12">
        <v>0</v>
      </c>
      <c r="O885" s="12" t="str">
        <f t="shared" si="13"/>
        <v>20 - 29</v>
      </c>
    </row>
    <row r="886" spans="1:15" x14ac:dyDescent="0.35">
      <c r="A886" s="11">
        <v>3511</v>
      </c>
      <c r="B886" s="11" t="s">
        <v>16</v>
      </c>
      <c r="C886" s="11">
        <v>29</v>
      </c>
      <c r="D886" s="11" t="s">
        <v>21</v>
      </c>
      <c r="E886" s="11" t="s">
        <v>14</v>
      </c>
      <c r="F886" s="11">
        <v>169</v>
      </c>
      <c r="G886" s="11">
        <v>32</v>
      </c>
      <c r="H886" s="11">
        <v>0.26</v>
      </c>
      <c r="I886" s="11" t="s">
        <v>19</v>
      </c>
      <c r="J886" s="11">
        <v>27</v>
      </c>
      <c r="K886" s="11">
        <v>0</v>
      </c>
      <c r="L886" s="11">
        <v>0</v>
      </c>
      <c r="M886" s="11">
        <v>0</v>
      </c>
      <c r="N886" s="11">
        <v>0</v>
      </c>
      <c r="O886" s="12" t="str">
        <f t="shared" si="13"/>
        <v>20 - 29</v>
      </c>
    </row>
    <row r="887" spans="1:15" x14ac:dyDescent="0.35">
      <c r="A887" s="12">
        <v>3512</v>
      </c>
      <c r="B887" s="12" t="s">
        <v>20</v>
      </c>
      <c r="C887" s="12">
        <v>50</v>
      </c>
      <c r="D887" s="12" t="s">
        <v>26</v>
      </c>
      <c r="E887" s="12" t="s">
        <v>14</v>
      </c>
      <c r="F887" s="12">
        <v>204</v>
      </c>
      <c r="G887" s="12">
        <v>92</v>
      </c>
      <c r="H887" s="12">
        <v>0.15</v>
      </c>
      <c r="I887" s="12" t="s">
        <v>19</v>
      </c>
      <c r="J887" s="12">
        <v>26</v>
      </c>
      <c r="K887" s="12">
        <v>0</v>
      </c>
      <c r="L887" s="12">
        <v>1</v>
      </c>
      <c r="M887" s="12">
        <v>0</v>
      </c>
      <c r="N887" s="12">
        <v>0</v>
      </c>
      <c r="O887" s="12" t="str">
        <f t="shared" si="13"/>
        <v>20 - 29</v>
      </c>
    </row>
    <row r="888" spans="1:15" x14ac:dyDescent="0.35">
      <c r="A888" s="11">
        <v>3520</v>
      </c>
      <c r="B888" s="11" t="s">
        <v>20</v>
      </c>
      <c r="C888" s="11">
        <v>55</v>
      </c>
      <c r="D888" s="11" t="s">
        <v>26</v>
      </c>
      <c r="E888" s="11" t="s">
        <v>14</v>
      </c>
      <c r="F888" s="11">
        <v>266</v>
      </c>
      <c r="G888" s="11">
        <v>74</v>
      </c>
      <c r="H888" s="11">
        <v>0.01</v>
      </c>
      <c r="I888" s="11" t="s">
        <v>23</v>
      </c>
      <c r="J888" s="11">
        <v>7</v>
      </c>
      <c r="K888" s="11">
        <v>0</v>
      </c>
      <c r="L888" s="11">
        <v>0</v>
      </c>
      <c r="M888" s="11">
        <v>0</v>
      </c>
      <c r="N888" s="11">
        <v>0</v>
      </c>
      <c r="O888" s="12" t="str">
        <f t="shared" si="13"/>
        <v>0 - 9</v>
      </c>
    </row>
    <row r="889" spans="1:15" x14ac:dyDescent="0.35">
      <c r="A889" s="12">
        <v>3527</v>
      </c>
      <c r="B889" s="12" t="s">
        <v>20</v>
      </c>
      <c r="C889" s="12">
        <v>24</v>
      </c>
      <c r="D889" s="12" t="s">
        <v>13</v>
      </c>
      <c r="E889" s="12" t="s">
        <v>14</v>
      </c>
      <c r="F889" s="12">
        <v>291</v>
      </c>
      <c r="G889" s="12">
        <v>43</v>
      </c>
      <c r="H889" s="12">
        <v>0.05</v>
      </c>
      <c r="I889" s="12" t="s">
        <v>15</v>
      </c>
      <c r="J889" s="12">
        <v>25</v>
      </c>
      <c r="K889" s="12">
        <v>0</v>
      </c>
      <c r="L889" s="12">
        <v>1</v>
      </c>
      <c r="M889" s="12">
        <v>0</v>
      </c>
      <c r="N889" s="12">
        <v>0</v>
      </c>
      <c r="O889" s="12" t="str">
        <f t="shared" si="13"/>
        <v>20 - 29</v>
      </c>
    </row>
    <row r="890" spans="1:15" x14ac:dyDescent="0.35">
      <c r="A890" s="11">
        <v>3529</v>
      </c>
      <c r="B890" s="11" t="s">
        <v>20</v>
      </c>
      <c r="C890" s="11">
        <v>42</v>
      </c>
      <c r="D890" s="11" t="s">
        <v>17</v>
      </c>
      <c r="E890" s="11" t="s">
        <v>14</v>
      </c>
      <c r="F890" s="11">
        <v>37</v>
      </c>
      <c r="G890" s="11">
        <v>98</v>
      </c>
      <c r="H890" s="11">
        <v>0.26</v>
      </c>
      <c r="I890" s="11" t="s">
        <v>15</v>
      </c>
      <c r="J890" s="11">
        <v>30</v>
      </c>
      <c r="K890" s="11">
        <v>0</v>
      </c>
      <c r="L890" s="11">
        <v>0</v>
      </c>
      <c r="M890" s="11">
        <v>0</v>
      </c>
      <c r="N890" s="11">
        <v>0</v>
      </c>
      <c r="O890" s="12" t="str">
        <f t="shared" si="13"/>
        <v>30 - 39</v>
      </c>
    </row>
    <row r="891" spans="1:15" x14ac:dyDescent="0.35">
      <c r="A891" s="12">
        <v>3530</v>
      </c>
      <c r="B891" s="12" t="s">
        <v>12</v>
      </c>
      <c r="C891" s="12">
        <v>16</v>
      </c>
      <c r="D891" s="12" t="s">
        <v>29</v>
      </c>
      <c r="E891" s="12" t="s">
        <v>14</v>
      </c>
      <c r="F891" s="12">
        <v>145</v>
      </c>
      <c r="G891" s="12">
        <v>48</v>
      </c>
      <c r="H891" s="12">
        <v>0.52</v>
      </c>
      <c r="I891" s="12" t="s">
        <v>15</v>
      </c>
      <c r="J891" s="12">
        <v>44</v>
      </c>
      <c r="K891" s="12">
        <v>0</v>
      </c>
      <c r="L891" s="12">
        <v>0</v>
      </c>
      <c r="M891" s="12">
        <v>0</v>
      </c>
      <c r="N891" s="12">
        <v>0</v>
      </c>
      <c r="O891" s="12" t="str">
        <f t="shared" si="13"/>
        <v>40 - 49</v>
      </c>
    </row>
    <row r="892" spans="1:15" x14ac:dyDescent="0.35">
      <c r="A892" s="11">
        <v>3542</v>
      </c>
      <c r="B892" s="11" t="s">
        <v>16</v>
      </c>
      <c r="C892" s="11">
        <v>29</v>
      </c>
      <c r="D892" s="11" t="s">
        <v>29</v>
      </c>
      <c r="E892" s="11" t="s">
        <v>14</v>
      </c>
      <c r="F892" s="11">
        <v>298</v>
      </c>
      <c r="G892" s="11">
        <v>35</v>
      </c>
      <c r="H892" s="11">
        <v>0.24</v>
      </c>
      <c r="I892" s="11" t="s">
        <v>23</v>
      </c>
      <c r="J892" s="11">
        <v>10</v>
      </c>
      <c r="K892" s="11">
        <v>0</v>
      </c>
      <c r="L892" s="11">
        <v>0</v>
      </c>
      <c r="M892" s="11">
        <v>0</v>
      </c>
      <c r="N892" s="11">
        <v>0</v>
      </c>
      <c r="O892" s="12" t="str">
        <f t="shared" si="13"/>
        <v>10 - 19</v>
      </c>
    </row>
    <row r="893" spans="1:15" x14ac:dyDescent="0.35">
      <c r="A893" s="12">
        <v>3543</v>
      </c>
      <c r="B893" s="12" t="s">
        <v>20</v>
      </c>
      <c r="C893" s="12">
        <v>37</v>
      </c>
      <c r="D893" s="12" t="s">
        <v>17</v>
      </c>
      <c r="E893" s="12" t="s">
        <v>14</v>
      </c>
      <c r="F893" s="12">
        <v>278</v>
      </c>
      <c r="G893" s="12">
        <v>70</v>
      </c>
      <c r="H893" s="12">
        <v>0.18</v>
      </c>
      <c r="I893" s="12" t="s">
        <v>23</v>
      </c>
      <c r="J893" s="12">
        <v>21</v>
      </c>
      <c r="K893" s="12">
        <v>0</v>
      </c>
      <c r="L893" s="12">
        <v>0</v>
      </c>
      <c r="M893" s="12">
        <v>0</v>
      </c>
      <c r="N893" s="12">
        <v>0</v>
      </c>
      <c r="O893" s="12" t="str">
        <f t="shared" si="13"/>
        <v>20 - 29</v>
      </c>
    </row>
    <row r="894" spans="1:15" x14ac:dyDescent="0.35">
      <c r="A894" s="11">
        <v>3546</v>
      </c>
      <c r="B894" s="11" t="s">
        <v>20</v>
      </c>
      <c r="C894" s="11">
        <v>43</v>
      </c>
      <c r="D894" s="11" t="s">
        <v>26</v>
      </c>
      <c r="E894" s="11" t="s">
        <v>14</v>
      </c>
      <c r="F894" s="11">
        <v>78</v>
      </c>
      <c r="G894" s="11">
        <v>3</v>
      </c>
      <c r="H894" s="11">
        <v>0.32</v>
      </c>
      <c r="I894" s="11" t="s">
        <v>15</v>
      </c>
      <c r="J894" s="11">
        <v>33</v>
      </c>
      <c r="K894" s="11">
        <v>0</v>
      </c>
      <c r="L894" s="11">
        <v>0</v>
      </c>
      <c r="M894" s="11">
        <v>0</v>
      </c>
      <c r="N894" s="11">
        <v>0</v>
      </c>
      <c r="O894" s="12" t="str">
        <f t="shared" si="13"/>
        <v>30 - 39</v>
      </c>
    </row>
    <row r="895" spans="1:15" x14ac:dyDescent="0.35">
      <c r="A895" s="12">
        <v>3552</v>
      </c>
      <c r="B895" s="12" t="s">
        <v>12</v>
      </c>
      <c r="C895" s="12">
        <v>26</v>
      </c>
      <c r="D895" s="12" t="s">
        <v>13</v>
      </c>
      <c r="E895" s="12" t="s">
        <v>14</v>
      </c>
      <c r="F895" s="12">
        <v>122</v>
      </c>
      <c r="G895" s="12">
        <v>2</v>
      </c>
      <c r="H895" s="12">
        <v>0.36</v>
      </c>
      <c r="I895" s="12" t="s">
        <v>19</v>
      </c>
      <c r="J895" s="12">
        <v>31</v>
      </c>
      <c r="K895" s="12">
        <v>0</v>
      </c>
      <c r="L895" s="12">
        <v>0</v>
      </c>
      <c r="M895" s="12">
        <v>0</v>
      </c>
      <c r="N895" s="12">
        <v>0</v>
      </c>
      <c r="O895" s="12" t="str">
        <f t="shared" si="13"/>
        <v>30 - 39</v>
      </c>
    </row>
    <row r="896" spans="1:15" x14ac:dyDescent="0.35">
      <c r="A896" s="11">
        <v>3556</v>
      </c>
      <c r="B896" s="11" t="s">
        <v>20</v>
      </c>
      <c r="C896" s="11">
        <v>38</v>
      </c>
      <c r="D896" s="11" t="s">
        <v>28</v>
      </c>
      <c r="E896" s="11" t="s">
        <v>14</v>
      </c>
      <c r="F896" s="11">
        <v>74</v>
      </c>
      <c r="G896" s="11">
        <v>47</v>
      </c>
      <c r="H896" s="11">
        <v>0.19</v>
      </c>
      <c r="I896" s="11" t="s">
        <v>19</v>
      </c>
      <c r="J896" s="11">
        <v>23</v>
      </c>
      <c r="K896" s="11">
        <v>0</v>
      </c>
      <c r="L896" s="11">
        <v>0</v>
      </c>
      <c r="M896" s="11">
        <v>0</v>
      </c>
      <c r="N896" s="11">
        <v>0</v>
      </c>
      <c r="O896" s="12" t="str">
        <f t="shared" si="13"/>
        <v>20 - 29</v>
      </c>
    </row>
    <row r="897" spans="1:15" x14ac:dyDescent="0.35">
      <c r="A897" s="12">
        <v>3561</v>
      </c>
      <c r="B897" s="12" t="s">
        <v>20</v>
      </c>
      <c r="C897" s="12">
        <v>18</v>
      </c>
      <c r="D897" s="12" t="s">
        <v>13</v>
      </c>
      <c r="E897" s="12" t="s">
        <v>14</v>
      </c>
      <c r="F897" s="12">
        <v>116</v>
      </c>
      <c r="G897" s="12">
        <v>85</v>
      </c>
      <c r="H897" s="12">
        <v>0.19</v>
      </c>
      <c r="I897" s="12" t="s">
        <v>19</v>
      </c>
      <c r="J897" s="12">
        <v>29</v>
      </c>
      <c r="K897" s="12">
        <v>0</v>
      </c>
      <c r="L897" s="12">
        <v>1</v>
      </c>
      <c r="M897" s="12">
        <v>0</v>
      </c>
      <c r="N897" s="12">
        <v>0</v>
      </c>
      <c r="O897" s="12" t="str">
        <f t="shared" si="13"/>
        <v>20 - 29</v>
      </c>
    </row>
    <row r="898" spans="1:15" x14ac:dyDescent="0.35">
      <c r="A898" s="11">
        <v>3563</v>
      </c>
      <c r="B898" s="11" t="s">
        <v>16</v>
      </c>
      <c r="C898" s="11">
        <v>49</v>
      </c>
      <c r="D898" s="11" t="s">
        <v>21</v>
      </c>
      <c r="E898" s="11" t="s">
        <v>14</v>
      </c>
      <c r="F898" s="11">
        <v>231</v>
      </c>
      <c r="G898" s="11">
        <v>82</v>
      </c>
      <c r="H898" s="11">
        <v>0.11</v>
      </c>
      <c r="I898" s="11" t="s">
        <v>15</v>
      </c>
      <c r="J898" s="11">
        <v>36</v>
      </c>
      <c r="K898" s="11">
        <v>0</v>
      </c>
      <c r="L898" s="11">
        <v>0</v>
      </c>
      <c r="M898" s="11">
        <v>0</v>
      </c>
      <c r="N898" s="11">
        <v>0</v>
      </c>
      <c r="O898" s="12" t="str">
        <f t="shared" ref="O898:O961" si="14">_xlfn.FLOOR.MATH(J898, 10) &amp; " - " &amp; (_xlfn.FLOOR.MATH(J898, 10) + 9)</f>
        <v>30 - 39</v>
      </c>
    </row>
    <row r="899" spans="1:15" x14ac:dyDescent="0.35">
      <c r="A899" s="12">
        <v>3566</v>
      </c>
      <c r="B899" s="12" t="s">
        <v>16</v>
      </c>
      <c r="C899" s="12">
        <v>22</v>
      </c>
      <c r="D899" s="12" t="s">
        <v>17</v>
      </c>
      <c r="E899" s="12" t="s">
        <v>14</v>
      </c>
      <c r="F899" s="12">
        <v>278</v>
      </c>
      <c r="G899" s="12">
        <v>40</v>
      </c>
      <c r="H899" s="12">
        <v>0.25</v>
      </c>
      <c r="I899" s="12" t="s">
        <v>23</v>
      </c>
      <c r="J899" s="12">
        <v>33</v>
      </c>
      <c r="K899" s="12">
        <v>0</v>
      </c>
      <c r="L899" s="12">
        <v>0</v>
      </c>
      <c r="M899" s="12">
        <v>0</v>
      </c>
      <c r="N899" s="12">
        <v>0</v>
      </c>
      <c r="O899" s="12" t="str">
        <f t="shared" si="14"/>
        <v>30 - 39</v>
      </c>
    </row>
    <row r="900" spans="1:15" x14ac:dyDescent="0.35">
      <c r="A900" s="11">
        <v>3576</v>
      </c>
      <c r="B900" s="11" t="s">
        <v>20</v>
      </c>
      <c r="C900" s="11">
        <v>44</v>
      </c>
      <c r="D900" s="11" t="s">
        <v>21</v>
      </c>
      <c r="E900" s="11" t="s">
        <v>14</v>
      </c>
      <c r="F900" s="11">
        <v>34</v>
      </c>
      <c r="G900" s="11">
        <v>74</v>
      </c>
      <c r="H900" s="11">
        <v>0.19</v>
      </c>
      <c r="I900" s="11" t="s">
        <v>23</v>
      </c>
      <c r="J900" s="11">
        <v>27</v>
      </c>
      <c r="K900" s="11">
        <v>0</v>
      </c>
      <c r="L900" s="11">
        <v>0</v>
      </c>
      <c r="M900" s="11">
        <v>0</v>
      </c>
      <c r="N900" s="11">
        <v>0</v>
      </c>
      <c r="O900" s="12" t="str">
        <f t="shared" si="14"/>
        <v>20 - 29</v>
      </c>
    </row>
    <row r="901" spans="1:15" x14ac:dyDescent="0.35">
      <c r="A901" s="12">
        <v>3578</v>
      </c>
      <c r="B901" s="12" t="s">
        <v>16</v>
      </c>
      <c r="C901" s="12">
        <v>57</v>
      </c>
      <c r="D901" s="12" t="s">
        <v>21</v>
      </c>
      <c r="E901" s="12" t="s">
        <v>14</v>
      </c>
      <c r="F901" s="12">
        <v>69</v>
      </c>
      <c r="G901" s="12">
        <v>21</v>
      </c>
      <c r="H901" s="12">
        <v>0.41</v>
      </c>
      <c r="I901" s="12" t="s">
        <v>23</v>
      </c>
      <c r="J901" s="12">
        <v>27</v>
      </c>
      <c r="K901" s="12">
        <v>0</v>
      </c>
      <c r="L901" s="12">
        <v>0</v>
      </c>
      <c r="M901" s="12">
        <v>0</v>
      </c>
      <c r="N901" s="12">
        <v>0</v>
      </c>
      <c r="O901" s="12" t="str">
        <f t="shared" si="14"/>
        <v>20 - 29</v>
      </c>
    </row>
    <row r="902" spans="1:15" x14ac:dyDescent="0.35">
      <c r="A902" s="11">
        <v>3582</v>
      </c>
      <c r="B902" s="11" t="s">
        <v>12</v>
      </c>
      <c r="C902" s="11">
        <v>26</v>
      </c>
      <c r="D902" s="11" t="s">
        <v>13</v>
      </c>
      <c r="E902" s="11" t="s">
        <v>14</v>
      </c>
      <c r="F902" s="11">
        <v>115</v>
      </c>
      <c r="G902" s="11">
        <v>12</v>
      </c>
      <c r="H902" s="11">
        <v>0.11</v>
      </c>
      <c r="I902" s="11" t="s">
        <v>23</v>
      </c>
      <c r="J902" s="11">
        <v>30</v>
      </c>
      <c r="K902" s="11">
        <v>0</v>
      </c>
      <c r="L902" s="11">
        <v>0</v>
      </c>
      <c r="M902" s="11">
        <v>0</v>
      </c>
      <c r="N902" s="11">
        <v>0</v>
      </c>
      <c r="O902" s="12" t="str">
        <f t="shared" si="14"/>
        <v>30 - 39</v>
      </c>
    </row>
    <row r="903" spans="1:15" x14ac:dyDescent="0.35">
      <c r="A903" s="12">
        <v>3584</v>
      </c>
      <c r="B903" s="12" t="s">
        <v>20</v>
      </c>
      <c r="C903" s="12">
        <v>33</v>
      </c>
      <c r="D903" s="12" t="s">
        <v>29</v>
      </c>
      <c r="E903" s="12" t="s">
        <v>14</v>
      </c>
      <c r="F903" s="12">
        <v>104</v>
      </c>
      <c r="G903" s="12">
        <v>18</v>
      </c>
      <c r="H903" s="12">
        <v>0.4</v>
      </c>
      <c r="I903" s="12" t="s">
        <v>15</v>
      </c>
      <c r="J903" s="12">
        <v>17</v>
      </c>
      <c r="K903" s="12">
        <v>0</v>
      </c>
      <c r="L903" s="12">
        <v>0</v>
      </c>
      <c r="M903" s="12">
        <v>0</v>
      </c>
      <c r="N903" s="12">
        <v>0</v>
      </c>
      <c r="O903" s="12" t="str">
        <f t="shared" si="14"/>
        <v>10 - 19</v>
      </c>
    </row>
    <row r="904" spans="1:15" x14ac:dyDescent="0.35">
      <c r="A904" s="11">
        <v>3589</v>
      </c>
      <c r="B904" s="11" t="s">
        <v>12</v>
      </c>
      <c r="C904" s="11">
        <v>44</v>
      </c>
      <c r="D904" s="11" t="s">
        <v>29</v>
      </c>
      <c r="E904" s="11" t="s">
        <v>14</v>
      </c>
      <c r="F904" s="11">
        <v>279</v>
      </c>
      <c r="G904" s="11">
        <v>6</v>
      </c>
      <c r="H904" s="11">
        <v>0.57999999999999996</v>
      </c>
      <c r="I904" s="11" t="s">
        <v>19</v>
      </c>
      <c r="J904" s="11">
        <v>43</v>
      </c>
      <c r="K904" s="11">
        <v>0</v>
      </c>
      <c r="L904" s="11">
        <v>0</v>
      </c>
      <c r="M904" s="11">
        <v>0</v>
      </c>
      <c r="N904" s="11">
        <v>0</v>
      </c>
      <c r="O904" s="12" t="str">
        <f t="shared" si="14"/>
        <v>40 - 49</v>
      </c>
    </row>
    <row r="905" spans="1:15" x14ac:dyDescent="0.35">
      <c r="A905" s="12">
        <v>3591</v>
      </c>
      <c r="B905" s="12" t="s">
        <v>12</v>
      </c>
      <c r="C905" s="12">
        <v>44</v>
      </c>
      <c r="D905" s="12" t="s">
        <v>29</v>
      </c>
      <c r="E905" s="12" t="s">
        <v>14</v>
      </c>
      <c r="F905" s="12">
        <v>68</v>
      </c>
      <c r="G905" s="12">
        <v>32</v>
      </c>
      <c r="H905" s="12">
        <v>0.18</v>
      </c>
      <c r="I905" s="12" t="s">
        <v>19</v>
      </c>
      <c r="J905" s="12">
        <v>35</v>
      </c>
      <c r="K905" s="12">
        <v>0</v>
      </c>
      <c r="L905" s="12">
        <v>1</v>
      </c>
      <c r="M905" s="12">
        <v>0</v>
      </c>
      <c r="N905" s="12">
        <v>0</v>
      </c>
      <c r="O905" s="12" t="str">
        <f t="shared" si="14"/>
        <v>30 - 39</v>
      </c>
    </row>
    <row r="906" spans="1:15" x14ac:dyDescent="0.35">
      <c r="A906" s="11">
        <v>3596</v>
      </c>
      <c r="B906" s="11" t="s">
        <v>16</v>
      </c>
      <c r="C906" s="11">
        <v>59</v>
      </c>
      <c r="D906" s="11" t="s">
        <v>26</v>
      </c>
      <c r="E906" s="11" t="s">
        <v>14</v>
      </c>
      <c r="F906" s="11">
        <v>44</v>
      </c>
      <c r="G906" s="11">
        <v>36</v>
      </c>
      <c r="H906" s="11">
        <v>0.28999999999999998</v>
      </c>
      <c r="I906" s="11" t="s">
        <v>19</v>
      </c>
      <c r="J906" s="11">
        <v>36</v>
      </c>
      <c r="K906" s="11">
        <v>0</v>
      </c>
      <c r="L906" s="11">
        <v>0</v>
      </c>
      <c r="M906" s="11">
        <v>0</v>
      </c>
      <c r="N906" s="11">
        <v>0</v>
      </c>
      <c r="O906" s="12" t="str">
        <f t="shared" si="14"/>
        <v>30 - 39</v>
      </c>
    </row>
    <row r="907" spans="1:15" x14ac:dyDescent="0.35">
      <c r="A907" s="12">
        <v>3598</v>
      </c>
      <c r="B907" s="12" t="s">
        <v>12</v>
      </c>
      <c r="C907" s="12">
        <v>49</v>
      </c>
      <c r="D907" s="12" t="s">
        <v>25</v>
      </c>
      <c r="E907" s="12" t="s">
        <v>14</v>
      </c>
      <c r="F907" s="12">
        <v>211</v>
      </c>
      <c r="G907" s="12">
        <v>91</v>
      </c>
      <c r="H907" s="12">
        <v>0.34</v>
      </c>
      <c r="I907" s="12" t="s">
        <v>23</v>
      </c>
      <c r="J907" s="12">
        <v>26</v>
      </c>
      <c r="K907" s="12">
        <v>0</v>
      </c>
      <c r="L907" s="12">
        <v>0</v>
      </c>
      <c r="M907" s="12">
        <v>0</v>
      </c>
      <c r="N907" s="12">
        <v>0</v>
      </c>
      <c r="O907" s="12" t="str">
        <f t="shared" si="14"/>
        <v>20 - 29</v>
      </c>
    </row>
    <row r="908" spans="1:15" x14ac:dyDescent="0.35">
      <c r="A908" s="11">
        <v>3600</v>
      </c>
      <c r="B908" s="11" t="s">
        <v>16</v>
      </c>
      <c r="C908" s="11">
        <v>43</v>
      </c>
      <c r="D908" s="11" t="s">
        <v>29</v>
      </c>
      <c r="E908" s="11" t="s">
        <v>14</v>
      </c>
      <c r="F908" s="11">
        <v>218</v>
      </c>
      <c r="G908" s="11">
        <v>53</v>
      </c>
      <c r="H908" s="11">
        <v>0.02</v>
      </c>
      <c r="I908" s="11" t="s">
        <v>19</v>
      </c>
      <c r="J908" s="11">
        <v>40</v>
      </c>
      <c r="K908" s="11">
        <v>0</v>
      </c>
      <c r="L908" s="11">
        <v>0</v>
      </c>
      <c r="M908" s="11">
        <v>0</v>
      </c>
      <c r="N908" s="11">
        <v>0</v>
      </c>
      <c r="O908" s="12" t="str">
        <f t="shared" si="14"/>
        <v>40 - 49</v>
      </c>
    </row>
    <row r="909" spans="1:15" x14ac:dyDescent="0.35">
      <c r="A909" s="12">
        <v>3602</v>
      </c>
      <c r="B909" s="12" t="s">
        <v>16</v>
      </c>
      <c r="C909" s="12">
        <v>35</v>
      </c>
      <c r="D909" s="12" t="s">
        <v>13</v>
      </c>
      <c r="E909" s="12" t="s">
        <v>14</v>
      </c>
      <c r="F909" s="12">
        <v>218</v>
      </c>
      <c r="G909" s="12">
        <v>97</v>
      </c>
      <c r="H909" s="12">
        <v>0.53</v>
      </c>
      <c r="I909" s="12" t="s">
        <v>19</v>
      </c>
      <c r="J909" s="12">
        <v>13</v>
      </c>
      <c r="K909" s="12">
        <v>0</v>
      </c>
      <c r="L909" s="12">
        <v>0</v>
      </c>
      <c r="M909" s="12">
        <v>0</v>
      </c>
      <c r="N909" s="12">
        <v>0</v>
      </c>
      <c r="O909" s="12" t="str">
        <f t="shared" si="14"/>
        <v>10 - 19</v>
      </c>
    </row>
    <row r="910" spans="1:15" x14ac:dyDescent="0.35">
      <c r="A910" s="11">
        <v>3608</v>
      </c>
      <c r="B910" s="11" t="s">
        <v>20</v>
      </c>
      <c r="C910" s="11">
        <v>41</v>
      </c>
      <c r="D910" s="11" t="s">
        <v>21</v>
      </c>
      <c r="E910" s="11" t="s">
        <v>14</v>
      </c>
      <c r="F910" s="11">
        <v>276</v>
      </c>
      <c r="G910" s="11">
        <v>35</v>
      </c>
      <c r="H910" s="11">
        <v>0.59</v>
      </c>
      <c r="I910" s="11" t="s">
        <v>19</v>
      </c>
      <c r="J910" s="11">
        <v>43</v>
      </c>
      <c r="K910" s="11">
        <v>0</v>
      </c>
      <c r="L910" s="11">
        <v>1</v>
      </c>
      <c r="M910" s="11">
        <v>0</v>
      </c>
      <c r="N910" s="11">
        <v>0</v>
      </c>
      <c r="O910" s="12" t="str">
        <f t="shared" si="14"/>
        <v>40 - 49</v>
      </c>
    </row>
    <row r="911" spans="1:15" x14ac:dyDescent="0.35">
      <c r="A911" s="12">
        <v>3611</v>
      </c>
      <c r="B911" s="12" t="s">
        <v>12</v>
      </c>
      <c r="C911" s="12">
        <v>58</v>
      </c>
      <c r="D911" s="12" t="s">
        <v>28</v>
      </c>
      <c r="E911" s="12" t="s">
        <v>14</v>
      </c>
      <c r="F911" s="12">
        <v>103</v>
      </c>
      <c r="G911" s="12">
        <v>86</v>
      </c>
      <c r="H911" s="12">
        <v>0.19</v>
      </c>
      <c r="I911" s="12" t="s">
        <v>19</v>
      </c>
      <c r="J911" s="12">
        <v>20</v>
      </c>
      <c r="K911" s="12">
        <v>0</v>
      </c>
      <c r="L911" s="12">
        <v>0</v>
      </c>
      <c r="M911" s="12">
        <v>0</v>
      </c>
      <c r="N911" s="12">
        <v>0</v>
      </c>
      <c r="O911" s="12" t="str">
        <f t="shared" si="14"/>
        <v>20 - 29</v>
      </c>
    </row>
    <row r="912" spans="1:15" x14ac:dyDescent="0.35">
      <c r="A912" s="11">
        <v>3612</v>
      </c>
      <c r="B912" s="11" t="s">
        <v>12</v>
      </c>
      <c r="C912" s="11">
        <v>41</v>
      </c>
      <c r="D912" s="11" t="s">
        <v>27</v>
      </c>
      <c r="E912" s="11" t="s">
        <v>14</v>
      </c>
      <c r="F912" s="11">
        <v>196</v>
      </c>
      <c r="G912" s="11">
        <v>98</v>
      </c>
      <c r="H912" s="11">
        <v>0.24</v>
      </c>
      <c r="I912" s="11" t="s">
        <v>23</v>
      </c>
      <c r="J912" s="11">
        <v>13</v>
      </c>
      <c r="K912" s="11">
        <v>0</v>
      </c>
      <c r="L912" s="11">
        <v>0</v>
      </c>
      <c r="M912" s="11">
        <v>0</v>
      </c>
      <c r="N912" s="11">
        <v>0</v>
      </c>
      <c r="O912" s="12" t="str">
        <f t="shared" si="14"/>
        <v>10 - 19</v>
      </c>
    </row>
    <row r="913" spans="1:15" x14ac:dyDescent="0.35">
      <c r="A913" s="12">
        <v>3617</v>
      </c>
      <c r="B913" s="12" t="s">
        <v>20</v>
      </c>
      <c r="C913" s="12">
        <v>23</v>
      </c>
      <c r="D913" s="12" t="s">
        <v>13</v>
      </c>
      <c r="E913" s="12" t="s">
        <v>14</v>
      </c>
      <c r="F913" s="12">
        <v>201</v>
      </c>
      <c r="G913" s="12">
        <v>16</v>
      </c>
      <c r="H913" s="12">
        <v>0.1</v>
      </c>
      <c r="I913" s="12" t="s">
        <v>23</v>
      </c>
      <c r="J913" s="12">
        <v>45</v>
      </c>
      <c r="K913" s="12">
        <v>0</v>
      </c>
      <c r="L913" s="12">
        <v>0</v>
      </c>
      <c r="M913" s="12">
        <v>0</v>
      </c>
      <c r="N913" s="12">
        <v>0</v>
      </c>
      <c r="O913" s="12" t="str">
        <f t="shared" si="14"/>
        <v>40 - 49</v>
      </c>
    </row>
    <row r="914" spans="1:15" x14ac:dyDescent="0.35">
      <c r="A914" s="11">
        <v>3626</v>
      </c>
      <c r="B914" s="11" t="s">
        <v>16</v>
      </c>
      <c r="C914" s="11">
        <v>34</v>
      </c>
      <c r="D914" s="11" t="s">
        <v>13</v>
      </c>
      <c r="E914" s="11" t="s">
        <v>14</v>
      </c>
      <c r="F914" s="11">
        <v>265</v>
      </c>
      <c r="G914" s="11">
        <v>96</v>
      </c>
      <c r="H914" s="11">
        <v>0.3</v>
      </c>
      <c r="I914" s="11" t="s">
        <v>19</v>
      </c>
      <c r="J914" s="11">
        <v>20</v>
      </c>
      <c r="K914" s="11">
        <v>0</v>
      </c>
      <c r="L914" s="11">
        <v>0</v>
      </c>
      <c r="M914" s="11">
        <v>0</v>
      </c>
      <c r="N914" s="11">
        <v>0</v>
      </c>
      <c r="O914" s="12" t="str">
        <f t="shared" si="14"/>
        <v>20 - 29</v>
      </c>
    </row>
    <row r="915" spans="1:15" x14ac:dyDescent="0.35">
      <c r="A915" s="12">
        <v>3628</v>
      </c>
      <c r="B915" s="12" t="s">
        <v>12</v>
      </c>
      <c r="C915" s="12">
        <v>35</v>
      </c>
      <c r="D915" s="12" t="s">
        <v>25</v>
      </c>
      <c r="E915" s="12" t="s">
        <v>14</v>
      </c>
      <c r="F915" s="12">
        <v>166</v>
      </c>
      <c r="G915" s="12">
        <v>7</v>
      </c>
      <c r="H915" s="12">
        <v>0.24</v>
      </c>
      <c r="I915" s="12" t="s">
        <v>19</v>
      </c>
      <c r="J915" s="12">
        <v>11</v>
      </c>
      <c r="K915" s="12">
        <v>0</v>
      </c>
      <c r="L915" s="12">
        <v>0</v>
      </c>
      <c r="M915" s="12">
        <v>0</v>
      </c>
      <c r="N915" s="12">
        <v>0</v>
      </c>
      <c r="O915" s="12" t="str">
        <f t="shared" si="14"/>
        <v>10 - 19</v>
      </c>
    </row>
    <row r="916" spans="1:15" x14ac:dyDescent="0.35">
      <c r="A916" s="11">
        <v>3633</v>
      </c>
      <c r="B916" s="11" t="s">
        <v>20</v>
      </c>
      <c r="C916" s="11">
        <v>30</v>
      </c>
      <c r="D916" s="11" t="s">
        <v>25</v>
      </c>
      <c r="E916" s="11" t="s">
        <v>14</v>
      </c>
      <c r="F916" s="11">
        <v>154</v>
      </c>
      <c r="G916" s="11">
        <v>33</v>
      </c>
      <c r="H916" s="11">
        <v>0.27</v>
      </c>
      <c r="I916" s="11" t="s">
        <v>15</v>
      </c>
      <c r="J916" s="11">
        <v>19</v>
      </c>
      <c r="K916" s="11">
        <v>0</v>
      </c>
      <c r="L916" s="11">
        <v>1</v>
      </c>
      <c r="M916" s="11">
        <v>0</v>
      </c>
      <c r="N916" s="11">
        <v>0</v>
      </c>
      <c r="O916" s="12" t="str">
        <f t="shared" si="14"/>
        <v>10 - 19</v>
      </c>
    </row>
    <row r="917" spans="1:15" x14ac:dyDescent="0.35">
      <c r="A917" s="12">
        <v>3638</v>
      </c>
      <c r="B917" s="12" t="s">
        <v>16</v>
      </c>
      <c r="C917" s="12">
        <v>39</v>
      </c>
      <c r="D917" s="12" t="s">
        <v>26</v>
      </c>
      <c r="E917" s="12" t="s">
        <v>14</v>
      </c>
      <c r="F917" s="12">
        <v>215</v>
      </c>
      <c r="G917" s="12">
        <v>11</v>
      </c>
      <c r="H917" s="12">
        <v>0.52</v>
      </c>
      <c r="I917" s="12" t="s">
        <v>23</v>
      </c>
      <c r="J917" s="12">
        <v>23</v>
      </c>
      <c r="K917" s="12">
        <v>0</v>
      </c>
      <c r="L917" s="12">
        <v>1</v>
      </c>
      <c r="M917" s="12">
        <v>0</v>
      </c>
      <c r="N917" s="12">
        <v>0</v>
      </c>
      <c r="O917" s="12" t="str">
        <f t="shared" si="14"/>
        <v>20 - 29</v>
      </c>
    </row>
    <row r="918" spans="1:15" x14ac:dyDescent="0.35">
      <c r="A918" s="11">
        <v>3640</v>
      </c>
      <c r="B918" s="11" t="s">
        <v>16</v>
      </c>
      <c r="C918" s="11">
        <v>29</v>
      </c>
      <c r="D918" s="11" t="s">
        <v>13</v>
      </c>
      <c r="E918" s="11" t="s">
        <v>14</v>
      </c>
      <c r="F918" s="11">
        <v>280</v>
      </c>
      <c r="G918" s="11">
        <v>84</v>
      </c>
      <c r="H918" s="11">
        <v>0.51</v>
      </c>
      <c r="I918" s="11" t="s">
        <v>23</v>
      </c>
      <c r="J918" s="11">
        <v>46</v>
      </c>
      <c r="K918" s="11">
        <v>0</v>
      </c>
      <c r="L918" s="11">
        <v>0</v>
      </c>
      <c r="M918" s="11">
        <v>0</v>
      </c>
      <c r="N918" s="11">
        <v>0</v>
      </c>
      <c r="O918" s="12" t="str">
        <f t="shared" si="14"/>
        <v>40 - 49</v>
      </c>
    </row>
    <row r="919" spans="1:15" x14ac:dyDescent="0.35">
      <c r="A919" s="12">
        <v>3642</v>
      </c>
      <c r="B919" s="12" t="s">
        <v>16</v>
      </c>
      <c r="C919" s="12">
        <v>21</v>
      </c>
      <c r="D919" s="12" t="s">
        <v>25</v>
      </c>
      <c r="E919" s="12" t="s">
        <v>14</v>
      </c>
      <c r="F919" s="12">
        <v>289</v>
      </c>
      <c r="G919" s="12">
        <v>63</v>
      </c>
      <c r="H919" s="12">
        <v>0.2</v>
      </c>
      <c r="I919" s="12" t="s">
        <v>19</v>
      </c>
      <c r="J919" s="12">
        <v>35</v>
      </c>
      <c r="K919" s="12">
        <v>0</v>
      </c>
      <c r="L919" s="12">
        <v>0</v>
      </c>
      <c r="M919" s="12">
        <v>0</v>
      </c>
      <c r="N919" s="12">
        <v>0</v>
      </c>
      <c r="O919" s="12" t="str">
        <f t="shared" si="14"/>
        <v>30 - 39</v>
      </c>
    </row>
    <row r="920" spans="1:15" x14ac:dyDescent="0.35">
      <c r="A920" s="11">
        <v>3643</v>
      </c>
      <c r="B920" s="11" t="s">
        <v>20</v>
      </c>
      <c r="C920" s="11">
        <v>24</v>
      </c>
      <c r="D920" s="11" t="s">
        <v>25</v>
      </c>
      <c r="E920" s="11" t="s">
        <v>14</v>
      </c>
      <c r="F920" s="11">
        <v>42</v>
      </c>
      <c r="G920" s="11">
        <v>60</v>
      </c>
      <c r="H920" s="11">
        <v>0.28999999999999998</v>
      </c>
      <c r="I920" s="11" t="s">
        <v>23</v>
      </c>
      <c r="J920" s="11">
        <v>22</v>
      </c>
      <c r="K920" s="11">
        <v>0</v>
      </c>
      <c r="L920" s="11">
        <v>0</v>
      </c>
      <c r="M920" s="11">
        <v>0</v>
      </c>
      <c r="N920" s="11">
        <v>0</v>
      </c>
      <c r="O920" s="12" t="str">
        <f t="shared" si="14"/>
        <v>20 - 29</v>
      </c>
    </row>
    <row r="921" spans="1:15" x14ac:dyDescent="0.35">
      <c r="A921" s="12">
        <v>3645</v>
      </c>
      <c r="B921" s="12" t="s">
        <v>20</v>
      </c>
      <c r="C921" s="12">
        <v>16</v>
      </c>
      <c r="D921" s="12" t="s">
        <v>25</v>
      </c>
      <c r="E921" s="12" t="s">
        <v>14</v>
      </c>
      <c r="F921" s="12">
        <v>173</v>
      </c>
      <c r="G921" s="12">
        <v>65</v>
      </c>
      <c r="H921" s="12">
        <v>0.5</v>
      </c>
      <c r="I921" s="12" t="s">
        <v>19</v>
      </c>
      <c r="J921" s="12">
        <v>34</v>
      </c>
      <c r="K921" s="12">
        <v>0</v>
      </c>
      <c r="L921" s="12">
        <v>0</v>
      </c>
      <c r="M921" s="12">
        <v>0</v>
      </c>
      <c r="N921" s="12">
        <v>0</v>
      </c>
      <c r="O921" s="12" t="str">
        <f t="shared" si="14"/>
        <v>30 - 39</v>
      </c>
    </row>
    <row r="922" spans="1:15" x14ac:dyDescent="0.35">
      <c r="A922" s="11">
        <v>3649</v>
      </c>
      <c r="B922" s="11" t="s">
        <v>20</v>
      </c>
      <c r="C922" s="11">
        <v>38</v>
      </c>
      <c r="D922" s="11" t="s">
        <v>25</v>
      </c>
      <c r="E922" s="11" t="s">
        <v>14</v>
      </c>
      <c r="F922" s="11">
        <v>209</v>
      </c>
      <c r="G922" s="11">
        <v>81</v>
      </c>
      <c r="H922" s="11">
        <v>0.39</v>
      </c>
      <c r="I922" s="11" t="s">
        <v>19</v>
      </c>
      <c r="J922" s="11">
        <v>39</v>
      </c>
      <c r="K922" s="11">
        <v>0</v>
      </c>
      <c r="L922" s="11">
        <v>0</v>
      </c>
      <c r="M922" s="11">
        <v>0</v>
      </c>
      <c r="N922" s="11">
        <v>0</v>
      </c>
      <c r="O922" s="12" t="str">
        <f t="shared" si="14"/>
        <v>30 - 39</v>
      </c>
    </row>
    <row r="923" spans="1:15" x14ac:dyDescent="0.35">
      <c r="A923" s="12">
        <v>3651</v>
      </c>
      <c r="B923" s="12" t="s">
        <v>20</v>
      </c>
      <c r="C923" s="12">
        <v>49</v>
      </c>
      <c r="D923" s="12" t="s">
        <v>29</v>
      </c>
      <c r="E923" s="12" t="s">
        <v>14</v>
      </c>
      <c r="F923" s="12">
        <v>96</v>
      </c>
      <c r="G923" s="12">
        <v>2</v>
      </c>
      <c r="H923" s="12">
        <v>0.28999999999999998</v>
      </c>
      <c r="I923" s="12" t="s">
        <v>23</v>
      </c>
      <c r="J923" s="12">
        <v>15</v>
      </c>
      <c r="K923" s="12">
        <v>0</v>
      </c>
      <c r="L923" s="12">
        <v>0</v>
      </c>
      <c r="M923" s="12">
        <v>0</v>
      </c>
      <c r="N923" s="12">
        <v>0</v>
      </c>
      <c r="O923" s="12" t="str">
        <f t="shared" si="14"/>
        <v>10 - 19</v>
      </c>
    </row>
    <row r="924" spans="1:15" x14ac:dyDescent="0.35">
      <c r="A924" s="11">
        <v>3653</v>
      </c>
      <c r="B924" s="11" t="s">
        <v>20</v>
      </c>
      <c r="C924" s="11">
        <v>24</v>
      </c>
      <c r="D924" s="11" t="s">
        <v>29</v>
      </c>
      <c r="E924" s="11" t="s">
        <v>14</v>
      </c>
      <c r="F924" s="11">
        <v>226</v>
      </c>
      <c r="G924" s="11">
        <v>29</v>
      </c>
      <c r="H924" s="11">
        <v>0.31</v>
      </c>
      <c r="I924" s="11" t="s">
        <v>23</v>
      </c>
      <c r="J924" s="11">
        <v>35</v>
      </c>
      <c r="K924" s="11">
        <v>0</v>
      </c>
      <c r="L924" s="11">
        <v>0</v>
      </c>
      <c r="M924" s="11">
        <v>0</v>
      </c>
      <c r="N924" s="11">
        <v>0</v>
      </c>
      <c r="O924" s="12" t="str">
        <f t="shared" si="14"/>
        <v>30 - 39</v>
      </c>
    </row>
    <row r="925" spans="1:15" x14ac:dyDescent="0.35">
      <c r="A925" s="12">
        <v>3657</v>
      </c>
      <c r="B925" s="12" t="s">
        <v>20</v>
      </c>
      <c r="C925" s="12">
        <v>36</v>
      </c>
      <c r="D925" s="12" t="s">
        <v>13</v>
      </c>
      <c r="E925" s="12" t="s">
        <v>14</v>
      </c>
      <c r="F925" s="12">
        <v>27</v>
      </c>
      <c r="G925" s="12">
        <v>30</v>
      </c>
      <c r="H925" s="12">
        <v>0.12</v>
      </c>
      <c r="I925" s="12" t="s">
        <v>23</v>
      </c>
      <c r="J925" s="12">
        <v>20</v>
      </c>
      <c r="K925" s="12">
        <v>0</v>
      </c>
      <c r="L925" s="12">
        <v>0</v>
      </c>
      <c r="M925" s="12">
        <v>0</v>
      </c>
      <c r="N925" s="12">
        <v>0</v>
      </c>
      <c r="O925" s="12" t="str">
        <f t="shared" si="14"/>
        <v>20 - 29</v>
      </c>
    </row>
    <row r="926" spans="1:15" x14ac:dyDescent="0.35">
      <c r="A926" s="11">
        <v>3658</v>
      </c>
      <c r="B926" s="11" t="s">
        <v>20</v>
      </c>
      <c r="C926" s="11">
        <v>49</v>
      </c>
      <c r="D926" s="11" t="s">
        <v>21</v>
      </c>
      <c r="E926" s="11" t="s">
        <v>14</v>
      </c>
      <c r="F926" s="11">
        <v>199</v>
      </c>
      <c r="G926" s="11">
        <v>19</v>
      </c>
      <c r="H926" s="11">
        <v>0.26</v>
      </c>
      <c r="I926" s="11" t="s">
        <v>15</v>
      </c>
      <c r="J926" s="11">
        <v>41</v>
      </c>
      <c r="K926" s="11">
        <v>0</v>
      </c>
      <c r="L926" s="11">
        <v>1</v>
      </c>
      <c r="M926" s="11">
        <v>0</v>
      </c>
      <c r="N926" s="11">
        <v>0</v>
      </c>
      <c r="O926" s="12" t="str">
        <f t="shared" si="14"/>
        <v>40 - 49</v>
      </c>
    </row>
    <row r="927" spans="1:15" x14ac:dyDescent="0.35">
      <c r="A927" s="12">
        <v>3661</v>
      </c>
      <c r="B927" s="12" t="s">
        <v>16</v>
      </c>
      <c r="C927" s="12">
        <v>47</v>
      </c>
      <c r="D927" s="12" t="s">
        <v>25</v>
      </c>
      <c r="E927" s="12" t="s">
        <v>14</v>
      </c>
      <c r="F927" s="12">
        <v>262</v>
      </c>
      <c r="G927" s="12">
        <v>98</v>
      </c>
      <c r="H927" s="12">
        <v>0.05</v>
      </c>
      <c r="I927" s="12" t="s">
        <v>15</v>
      </c>
      <c r="J927" s="12">
        <v>33</v>
      </c>
      <c r="K927" s="12">
        <v>0</v>
      </c>
      <c r="L927" s="12">
        <v>0</v>
      </c>
      <c r="M927" s="12">
        <v>0</v>
      </c>
      <c r="N927" s="12">
        <v>0</v>
      </c>
      <c r="O927" s="12" t="str">
        <f t="shared" si="14"/>
        <v>30 - 39</v>
      </c>
    </row>
    <row r="928" spans="1:15" x14ac:dyDescent="0.35">
      <c r="A928" s="11">
        <v>3669</v>
      </c>
      <c r="B928" s="11" t="s">
        <v>12</v>
      </c>
      <c r="C928" s="11">
        <v>41</v>
      </c>
      <c r="D928" s="11" t="s">
        <v>13</v>
      </c>
      <c r="E928" s="11" t="s">
        <v>14</v>
      </c>
      <c r="F928" s="11">
        <v>234</v>
      </c>
      <c r="G928" s="11">
        <v>7</v>
      </c>
      <c r="H928" s="11">
        <v>0.22</v>
      </c>
      <c r="I928" s="11" t="s">
        <v>19</v>
      </c>
      <c r="J928" s="11">
        <v>22</v>
      </c>
      <c r="K928" s="11">
        <v>0</v>
      </c>
      <c r="L928" s="11">
        <v>1</v>
      </c>
      <c r="M928" s="11">
        <v>0</v>
      </c>
      <c r="N928" s="11">
        <v>0</v>
      </c>
      <c r="O928" s="12" t="str">
        <f t="shared" si="14"/>
        <v>20 - 29</v>
      </c>
    </row>
    <row r="929" spans="1:15" x14ac:dyDescent="0.35">
      <c r="A929" s="12">
        <v>3671</v>
      </c>
      <c r="B929" s="12" t="s">
        <v>20</v>
      </c>
      <c r="C929" s="12">
        <v>27</v>
      </c>
      <c r="D929" s="12" t="s">
        <v>29</v>
      </c>
      <c r="E929" s="12" t="s">
        <v>14</v>
      </c>
      <c r="F929" s="12">
        <v>191</v>
      </c>
      <c r="G929" s="12">
        <v>54</v>
      </c>
      <c r="H929" s="12">
        <v>0.51</v>
      </c>
      <c r="I929" s="12" t="s">
        <v>23</v>
      </c>
      <c r="J929" s="12">
        <v>36</v>
      </c>
      <c r="K929" s="12">
        <v>0</v>
      </c>
      <c r="L929" s="12">
        <v>0</v>
      </c>
      <c r="M929" s="12">
        <v>0</v>
      </c>
      <c r="N929" s="12">
        <v>0</v>
      </c>
      <c r="O929" s="12" t="str">
        <f t="shared" si="14"/>
        <v>30 - 39</v>
      </c>
    </row>
    <row r="930" spans="1:15" x14ac:dyDescent="0.35">
      <c r="A930" s="11">
        <v>3678</v>
      </c>
      <c r="B930" s="11" t="s">
        <v>12</v>
      </c>
      <c r="C930" s="11">
        <v>39</v>
      </c>
      <c r="D930" s="11" t="s">
        <v>29</v>
      </c>
      <c r="E930" s="11" t="s">
        <v>14</v>
      </c>
      <c r="F930" s="11">
        <v>110</v>
      </c>
      <c r="G930" s="11">
        <v>19</v>
      </c>
      <c r="H930" s="11">
        <v>0.38</v>
      </c>
      <c r="I930" s="11" t="s">
        <v>23</v>
      </c>
      <c r="J930" s="11">
        <v>11</v>
      </c>
      <c r="K930" s="11">
        <v>0</v>
      </c>
      <c r="L930" s="11">
        <v>0</v>
      </c>
      <c r="M930" s="11">
        <v>0</v>
      </c>
      <c r="N930" s="11">
        <v>0</v>
      </c>
      <c r="O930" s="12" t="str">
        <f t="shared" si="14"/>
        <v>10 - 19</v>
      </c>
    </row>
    <row r="931" spans="1:15" x14ac:dyDescent="0.35">
      <c r="A931" s="12">
        <v>3680</v>
      </c>
      <c r="B931" s="12" t="s">
        <v>12</v>
      </c>
      <c r="C931" s="12">
        <v>19</v>
      </c>
      <c r="D931" s="12" t="s">
        <v>29</v>
      </c>
      <c r="E931" s="12" t="s">
        <v>14</v>
      </c>
      <c r="F931" s="12">
        <v>16</v>
      </c>
      <c r="G931" s="12">
        <v>29</v>
      </c>
      <c r="H931" s="12">
        <v>0.1</v>
      </c>
      <c r="I931" s="12" t="s">
        <v>23</v>
      </c>
      <c r="J931" s="12">
        <v>26</v>
      </c>
      <c r="K931" s="12">
        <v>0</v>
      </c>
      <c r="L931" s="12">
        <v>0</v>
      </c>
      <c r="M931" s="12">
        <v>0</v>
      </c>
      <c r="N931" s="12">
        <v>0</v>
      </c>
      <c r="O931" s="12" t="str">
        <f t="shared" si="14"/>
        <v>20 - 29</v>
      </c>
    </row>
    <row r="932" spans="1:15" x14ac:dyDescent="0.35">
      <c r="A932" s="11">
        <v>3685</v>
      </c>
      <c r="B932" s="11" t="s">
        <v>20</v>
      </c>
      <c r="C932" s="11">
        <v>33</v>
      </c>
      <c r="D932" s="11" t="s">
        <v>17</v>
      </c>
      <c r="E932" s="11" t="s">
        <v>14</v>
      </c>
      <c r="F932" s="11">
        <v>274</v>
      </c>
      <c r="G932" s="11">
        <v>68</v>
      </c>
      <c r="H932" s="11">
        <v>0.24</v>
      </c>
      <c r="I932" s="11" t="s">
        <v>19</v>
      </c>
      <c r="J932" s="11">
        <v>24</v>
      </c>
      <c r="K932" s="11">
        <v>0</v>
      </c>
      <c r="L932" s="11">
        <v>0</v>
      </c>
      <c r="M932" s="11">
        <v>0</v>
      </c>
      <c r="N932" s="11">
        <v>0</v>
      </c>
      <c r="O932" s="12" t="str">
        <f t="shared" si="14"/>
        <v>20 - 29</v>
      </c>
    </row>
    <row r="933" spans="1:15" x14ac:dyDescent="0.35">
      <c r="A933" s="12">
        <v>3694</v>
      </c>
      <c r="B933" s="12" t="s">
        <v>16</v>
      </c>
      <c r="C933" s="12">
        <v>58</v>
      </c>
      <c r="D933" s="12" t="s">
        <v>27</v>
      </c>
      <c r="E933" s="12" t="s">
        <v>14</v>
      </c>
      <c r="F933" s="12">
        <v>36</v>
      </c>
      <c r="G933" s="12">
        <v>53</v>
      </c>
      <c r="H933" s="12">
        <v>0.44</v>
      </c>
      <c r="I933" s="12" t="s">
        <v>15</v>
      </c>
      <c r="J933" s="12">
        <v>28</v>
      </c>
      <c r="K933" s="12">
        <v>0</v>
      </c>
      <c r="L933" s="12">
        <v>0</v>
      </c>
      <c r="M933" s="12">
        <v>0</v>
      </c>
      <c r="N933" s="12">
        <v>0</v>
      </c>
      <c r="O933" s="12" t="str">
        <f t="shared" si="14"/>
        <v>20 - 29</v>
      </c>
    </row>
    <row r="934" spans="1:15" x14ac:dyDescent="0.35">
      <c r="A934" s="11">
        <v>3701</v>
      </c>
      <c r="B934" s="11" t="s">
        <v>20</v>
      </c>
      <c r="C934" s="11">
        <v>36</v>
      </c>
      <c r="D934" s="11" t="s">
        <v>28</v>
      </c>
      <c r="E934" s="11" t="s">
        <v>14</v>
      </c>
      <c r="F934" s="11">
        <v>210</v>
      </c>
      <c r="G934" s="11">
        <v>25</v>
      </c>
      <c r="H934" s="11">
        <v>0.17</v>
      </c>
      <c r="I934" s="11" t="s">
        <v>15</v>
      </c>
      <c r="J934" s="11">
        <v>46</v>
      </c>
      <c r="K934" s="11">
        <v>0</v>
      </c>
      <c r="L934" s="11">
        <v>1</v>
      </c>
      <c r="M934" s="11">
        <v>0</v>
      </c>
      <c r="N934" s="11">
        <v>0</v>
      </c>
      <c r="O934" s="12" t="str">
        <f t="shared" si="14"/>
        <v>40 - 49</v>
      </c>
    </row>
    <row r="935" spans="1:15" x14ac:dyDescent="0.35">
      <c r="A935" s="12">
        <v>3702</v>
      </c>
      <c r="B935" s="12" t="s">
        <v>12</v>
      </c>
      <c r="C935" s="12">
        <v>48</v>
      </c>
      <c r="D935" s="12" t="s">
        <v>17</v>
      </c>
      <c r="E935" s="12" t="s">
        <v>14</v>
      </c>
      <c r="F935" s="12">
        <v>267</v>
      </c>
      <c r="G935" s="12">
        <v>50</v>
      </c>
      <c r="H935" s="12">
        <v>0.59</v>
      </c>
      <c r="I935" s="12" t="s">
        <v>15</v>
      </c>
      <c r="J935" s="12">
        <v>14</v>
      </c>
      <c r="K935" s="12">
        <v>0</v>
      </c>
      <c r="L935" s="12">
        <v>0</v>
      </c>
      <c r="M935" s="12">
        <v>0</v>
      </c>
      <c r="N935" s="12">
        <v>0</v>
      </c>
      <c r="O935" s="12" t="str">
        <f t="shared" si="14"/>
        <v>10 - 19</v>
      </c>
    </row>
    <row r="936" spans="1:15" x14ac:dyDescent="0.35">
      <c r="A936" s="11">
        <v>3705</v>
      </c>
      <c r="B936" s="11" t="s">
        <v>12</v>
      </c>
      <c r="C936" s="11">
        <v>43</v>
      </c>
      <c r="D936" s="11" t="s">
        <v>29</v>
      </c>
      <c r="E936" s="11" t="s">
        <v>14</v>
      </c>
      <c r="F936" s="11">
        <v>277</v>
      </c>
      <c r="G936" s="11">
        <v>9</v>
      </c>
      <c r="H936" s="11">
        <v>0.48</v>
      </c>
      <c r="I936" s="11" t="s">
        <v>19</v>
      </c>
      <c r="J936" s="11">
        <v>14</v>
      </c>
      <c r="K936" s="11">
        <v>0</v>
      </c>
      <c r="L936" s="11">
        <v>0</v>
      </c>
      <c r="M936" s="11">
        <v>0</v>
      </c>
      <c r="N936" s="11">
        <v>0</v>
      </c>
      <c r="O936" s="12" t="str">
        <f t="shared" si="14"/>
        <v>10 - 19</v>
      </c>
    </row>
    <row r="937" spans="1:15" x14ac:dyDescent="0.35">
      <c r="A937" s="12">
        <v>3709</v>
      </c>
      <c r="B937" s="12" t="s">
        <v>16</v>
      </c>
      <c r="C937" s="12">
        <v>29</v>
      </c>
      <c r="D937" s="12" t="s">
        <v>13</v>
      </c>
      <c r="E937" s="12" t="s">
        <v>14</v>
      </c>
      <c r="F937" s="12">
        <v>28</v>
      </c>
      <c r="G937" s="12">
        <v>60</v>
      </c>
      <c r="H937" s="12">
        <v>0.26</v>
      </c>
      <c r="I937" s="12" t="s">
        <v>23</v>
      </c>
      <c r="J937" s="12">
        <v>47</v>
      </c>
      <c r="K937" s="12">
        <v>0</v>
      </c>
      <c r="L937" s="12">
        <v>0</v>
      </c>
      <c r="M937" s="12">
        <v>0</v>
      </c>
      <c r="N937" s="12">
        <v>0</v>
      </c>
      <c r="O937" s="12" t="str">
        <f t="shared" si="14"/>
        <v>40 - 49</v>
      </c>
    </row>
    <row r="938" spans="1:15" x14ac:dyDescent="0.35">
      <c r="A938" s="11">
        <v>3712</v>
      </c>
      <c r="B938" s="11" t="s">
        <v>20</v>
      </c>
      <c r="C938" s="11">
        <v>50</v>
      </c>
      <c r="D938" s="11" t="s">
        <v>29</v>
      </c>
      <c r="E938" s="11" t="s">
        <v>14</v>
      </c>
      <c r="F938" s="11">
        <v>102</v>
      </c>
      <c r="G938" s="11">
        <v>3</v>
      </c>
      <c r="H938" s="11">
        <v>0.41</v>
      </c>
      <c r="I938" s="11" t="s">
        <v>23</v>
      </c>
      <c r="J938" s="11">
        <v>13</v>
      </c>
      <c r="K938" s="11">
        <v>0</v>
      </c>
      <c r="L938" s="11">
        <v>0</v>
      </c>
      <c r="M938" s="11">
        <v>0</v>
      </c>
      <c r="N938" s="11">
        <v>0</v>
      </c>
      <c r="O938" s="12" t="str">
        <f t="shared" si="14"/>
        <v>10 - 19</v>
      </c>
    </row>
    <row r="939" spans="1:15" x14ac:dyDescent="0.35">
      <c r="A939" s="12">
        <v>3716</v>
      </c>
      <c r="B939" s="12" t="s">
        <v>20</v>
      </c>
      <c r="C939" s="12">
        <v>21</v>
      </c>
      <c r="D939" s="12" t="s">
        <v>25</v>
      </c>
      <c r="E939" s="12" t="s">
        <v>14</v>
      </c>
      <c r="F939" s="12">
        <v>264</v>
      </c>
      <c r="G939" s="12">
        <v>95</v>
      </c>
      <c r="H939" s="12">
        <v>0.24</v>
      </c>
      <c r="I939" s="12" t="s">
        <v>19</v>
      </c>
      <c r="J939" s="12">
        <v>47</v>
      </c>
      <c r="K939" s="12">
        <v>0</v>
      </c>
      <c r="L939" s="12">
        <v>1</v>
      </c>
      <c r="M939" s="12">
        <v>0</v>
      </c>
      <c r="N939" s="12">
        <v>0</v>
      </c>
      <c r="O939" s="12" t="str">
        <f t="shared" si="14"/>
        <v>40 - 49</v>
      </c>
    </row>
    <row r="940" spans="1:15" x14ac:dyDescent="0.35">
      <c r="A940" s="11">
        <v>3719</v>
      </c>
      <c r="B940" s="11" t="s">
        <v>16</v>
      </c>
      <c r="C940" s="11">
        <v>46</v>
      </c>
      <c r="D940" s="11" t="s">
        <v>13</v>
      </c>
      <c r="E940" s="11" t="s">
        <v>14</v>
      </c>
      <c r="F940" s="11">
        <v>183</v>
      </c>
      <c r="G940" s="11">
        <v>64</v>
      </c>
      <c r="H940" s="11">
        <v>0.4</v>
      </c>
      <c r="I940" s="11" t="s">
        <v>19</v>
      </c>
      <c r="J940" s="11">
        <v>15</v>
      </c>
      <c r="K940" s="11">
        <v>0</v>
      </c>
      <c r="L940" s="11">
        <v>0</v>
      </c>
      <c r="M940" s="11">
        <v>0</v>
      </c>
      <c r="N940" s="11">
        <v>0</v>
      </c>
      <c r="O940" s="12" t="str">
        <f t="shared" si="14"/>
        <v>10 - 19</v>
      </c>
    </row>
    <row r="941" spans="1:15" x14ac:dyDescent="0.35">
      <c r="A941" s="12">
        <v>3724</v>
      </c>
      <c r="B941" s="12" t="s">
        <v>20</v>
      </c>
      <c r="C941" s="12">
        <v>25</v>
      </c>
      <c r="D941" s="12" t="s">
        <v>17</v>
      </c>
      <c r="E941" s="12" t="s">
        <v>14</v>
      </c>
      <c r="F941" s="12">
        <v>91</v>
      </c>
      <c r="G941" s="12">
        <v>34</v>
      </c>
      <c r="H941" s="12">
        <v>0.01</v>
      </c>
      <c r="I941" s="12" t="s">
        <v>19</v>
      </c>
      <c r="J941" s="12">
        <v>24</v>
      </c>
      <c r="K941" s="12">
        <v>0</v>
      </c>
      <c r="L941" s="12">
        <v>0</v>
      </c>
      <c r="M941" s="12">
        <v>0</v>
      </c>
      <c r="N941" s="12">
        <v>0</v>
      </c>
      <c r="O941" s="12" t="str">
        <f t="shared" si="14"/>
        <v>20 - 29</v>
      </c>
    </row>
    <row r="942" spans="1:15" x14ac:dyDescent="0.35">
      <c r="A942" s="11">
        <v>3726</v>
      </c>
      <c r="B942" s="11" t="s">
        <v>12</v>
      </c>
      <c r="C942" s="11">
        <v>57</v>
      </c>
      <c r="D942" s="11" t="s">
        <v>21</v>
      </c>
      <c r="E942" s="11" t="s">
        <v>14</v>
      </c>
      <c r="F942" s="11">
        <v>31</v>
      </c>
      <c r="G942" s="11">
        <v>60</v>
      </c>
      <c r="H942" s="11">
        <v>0.11</v>
      </c>
      <c r="I942" s="11" t="s">
        <v>15</v>
      </c>
      <c r="J942" s="11">
        <v>36</v>
      </c>
      <c r="K942" s="11">
        <v>0</v>
      </c>
      <c r="L942" s="11">
        <v>0</v>
      </c>
      <c r="M942" s="11">
        <v>0</v>
      </c>
      <c r="N942" s="11">
        <v>0</v>
      </c>
      <c r="O942" s="12" t="str">
        <f t="shared" si="14"/>
        <v>30 - 39</v>
      </c>
    </row>
    <row r="943" spans="1:15" x14ac:dyDescent="0.35">
      <c r="A943" s="12">
        <v>3731</v>
      </c>
      <c r="B943" s="12" t="s">
        <v>12</v>
      </c>
      <c r="C943" s="12">
        <v>22</v>
      </c>
      <c r="D943" s="12" t="s">
        <v>27</v>
      </c>
      <c r="E943" s="12" t="s">
        <v>14</v>
      </c>
      <c r="F943" s="12">
        <v>284</v>
      </c>
      <c r="G943" s="12">
        <v>23</v>
      </c>
      <c r="H943" s="12">
        <v>7.0000000000000007E-2</v>
      </c>
      <c r="I943" s="12" t="s">
        <v>23</v>
      </c>
      <c r="J943" s="12">
        <v>31</v>
      </c>
      <c r="K943" s="12">
        <v>0</v>
      </c>
      <c r="L943" s="12">
        <v>0</v>
      </c>
      <c r="M943" s="12">
        <v>0</v>
      </c>
      <c r="N943" s="12">
        <v>0</v>
      </c>
      <c r="O943" s="12" t="str">
        <f t="shared" si="14"/>
        <v>30 - 39</v>
      </c>
    </row>
    <row r="944" spans="1:15" x14ac:dyDescent="0.35">
      <c r="A944" s="11">
        <v>3732</v>
      </c>
      <c r="B944" s="11" t="s">
        <v>16</v>
      </c>
      <c r="C944" s="11">
        <v>35</v>
      </c>
      <c r="D944" s="11" t="s">
        <v>13</v>
      </c>
      <c r="E944" s="11" t="s">
        <v>14</v>
      </c>
      <c r="F944" s="11">
        <v>138</v>
      </c>
      <c r="G944" s="11">
        <v>68</v>
      </c>
      <c r="H944" s="11">
        <v>0.38</v>
      </c>
      <c r="I944" s="11" t="s">
        <v>23</v>
      </c>
      <c r="J944" s="11">
        <v>12</v>
      </c>
      <c r="K944" s="11">
        <v>0</v>
      </c>
      <c r="L944" s="11">
        <v>1</v>
      </c>
      <c r="M944" s="11">
        <v>0</v>
      </c>
      <c r="N944" s="11">
        <v>0</v>
      </c>
      <c r="O944" s="12" t="str">
        <f t="shared" si="14"/>
        <v>10 - 19</v>
      </c>
    </row>
    <row r="945" spans="1:15" x14ac:dyDescent="0.35">
      <c r="A945" s="12">
        <v>3734</v>
      </c>
      <c r="B945" s="12" t="s">
        <v>12</v>
      </c>
      <c r="C945" s="12">
        <v>36</v>
      </c>
      <c r="D945" s="12" t="s">
        <v>26</v>
      </c>
      <c r="E945" s="12" t="s">
        <v>14</v>
      </c>
      <c r="F945" s="12">
        <v>33</v>
      </c>
      <c r="G945" s="12">
        <v>9</v>
      </c>
      <c r="H945" s="12">
        <v>0.37</v>
      </c>
      <c r="I945" s="12" t="s">
        <v>15</v>
      </c>
      <c r="J945" s="12">
        <v>22</v>
      </c>
      <c r="K945" s="12">
        <v>0</v>
      </c>
      <c r="L945" s="12">
        <v>0</v>
      </c>
      <c r="M945" s="12">
        <v>0</v>
      </c>
      <c r="N945" s="12">
        <v>0</v>
      </c>
      <c r="O945" s="12" t="str">
        <f t="shared" si="14"/>
        <v>20 - 29</v>
      </c>
    </row>
    <row r="946" spans="1:15" x14ac:dyDescent="0.35">
      <c r="A946" s="11">
        <v>3736</v>
      </c>
      <c r="B946" s="11" t="s">
        <v>16</v>
      </c>
      <c r="C946" s="11">
        <v>50</v>
      </c>
      <c r="D946" s="11" t="s">
        <v>25</v>
      </c>
      <c r="E946" s="11" t="s">
        <v>14</v>
      </c>
      <c r="F946" s="11">
        <v>183</v>
      </c>
      <c r="G946" s="11">
        <v>37</v>
      </c>
      <c r="H946" s="11">
        <v>0.55000000000000004</v>
      </c>
      <c r="I946" s="11" t="s">
        <v>15</v>
      </c>
      <c r="J946" s="11">
        <v>11</v>
      </c>
      <c r="K946" s="11">
        <v>0</v>
      </c>
      <c r="L946" s="11">
        <v>0</v>
      </c>
      <c r="M946" s="11">
        <v>0</v>
      </c>
      <c r="N946" s="11">
        <v>0</v>
      </c>
      <c r="O946" s="12" t="str">
        <f t="shared" si="14"/>
        <v>10 - 19</v>
      </c>
    </row>
    <row r="947" spans="1:15" x14ac:dyDescent="0.35">
      <c r="A947" s="12">
        <v>3749</v>
      </c>
      <c r="B947" s="12" t="s">
        <v>20</v>
      </c>
      <c r="C947" s="12">
        <v>48</v>
      </c>
      <c r="D947" s="12" t="s">
        <v>28</v>
      </c>
      <c r="E947" s="12" t="s">
        <v>14</v>
      </c>
      <c r="F947" s="12">
        <v>234</v>
      </c>
      <c r="G947" s="12">
        <v>11</v>
      </c>
      <c r="H947" s="12">
        <v>0.15</v>
      </c>
      <c r="I947" s="12" t="s">
        <v>15</v>
      </c>
      <c r="J947" s="12">
        <v>31</v>
      </c>
      <c r="K947" s="12">
        <v>0</v>
      </c>
      <c r="L947" s="12">
        <v>0</v>
      </c>
      <c r="M947" s="12">
        <v>0</v>
      </c>
      <c r="N947" s="12">
        <v>0</v>
      </c>
      <c r="O947" s="12" t="str">
        <f t="shared" si="14"/>
        <v>30 - 39</v>
      </c>
    </row>
    <row r="948" spans="1:15" x14ac:dyDescent="0.35">
      <c r="A948" s="11">
        <v>3753</v>
      </c>
      <c r="B948" s="11" t="s">
        <v>16</v>
      </c>
      <c r="C948" s="11">
        <v>25</v>
      </c>
      <c r="D948" s="11" t="s">
        <v>28</v>
      </c>
      <c r="E948" s="11" t="s">
        <v>14</v>
      </c>
      <c r="F948" s="11">
        <v>132</v>
      </c>
      <c r="G948" s="11">
        <v>69</v>
      </c>
      <c r="H948" s="11">
        <v>0.54</v>
      </c>
      <c r="I948" s="11" t="s">
        <v>15</v>
      </c>
      <c r="J948" s="11">
        <v>22</v>
      </c>
      <c r="K948" s="11">
        <v>0</v>
      </c>
      <c r="L948" s="11">
        <v>0</v>
      </c>
      <c r="M948" s="11">
        <v>0</v>
      </c>
      <c r="N948" s="11">
        <v>0</v>
      </c>
      <c r="O948" s="12" t="str">
        <f t="shared" si="14"/>
        <v>20 - 29</v>
      </c>
    </row>
    <row r="949" spans="1:15" x14ac:dyDescent="0.35">
      <c r="A949" s="12">
        <v>3757</v>
      </c>
      <c r="B949" s="12" t="s">
        <v>16</v>
      </c>
      <c r="C949" s="12">
        <v>46</v>
      </c>
      <c r="D949" s="12" t="s">
        <v>17</v>
      </c>
      <c r="E949" s="12" t="s">
        <v>14</v>
      </c>
      <c r="F949" s="12">
        <v>201</v>
      </c>
      <c r="G949" s="12">
        <v>13</v>
      </c>
      <c r="H949" s="12">
        <v>0.24</v>
      </c>
      <c r="I949" s="12" t="s">
        <v>15</v>
      </c>
      <c r="J949" s="12">
        <v>39</v>
      </c>
      <c r="K949" s="12">
        <v>0</v>
      </c>
      <c r="L949" s="12">
        <v>1</v>
      </c>
      <c r="M949" s="12">
        <v>0</v>
      </c>
      <c r="N949" s="12">
        <v>0</v>
      </c>
      <c r="O949" s="12" t="str">
        <f t="shared" si="14"/>
        <v>30 - 39</v>
      </c>
    </row>
    <row r="950" spans="1:15" x14ac:dyDescent="0.35">
      <c r="A950" s="11">
        <v>3759</v>
      </c>
      <c r="B950" s="11" t="s">
        <v>12</v>
      </c>
      <c r="C950" s="11">
        <v>37</v>
      </c>
      <c r="D950" s="11" t="s">
        <v>25</v>
      </c>
      <c r="E950" s="11" t="s">
        <v>14</v>
      </c>
      <c r="F950" s="11">
        <v>281</v>
      </c>
      <c r="G950" s="11">
        <v>44</v>
      </c>
      <c r="H950" s="11">
        <v>0.2</v>
      </c>
      <c r="I950" s="11" t="s">
        <v>23</v>
      </c>
      <c r="J950" s="11">
        <v>16</v>
      </c>
      <c r="K950" s="11">
        <v>0</v>
      </c>
      <c r="L950" s="11">
        <v>1</v>
      </c>
      <c r="M950" s="11">
        <v>0</v>
      </c>
      <c r="N950" s="11">
        <v>0</v>
      </c>
      <c r="O950" s="12" t="str">
        <f t="shared" si="14"/>
        <v>10 - 19</v>
      </c>
    </row>
    <row r="951" spans="1:15" x14ac:dyDescent="0.35">
      <c r="A951" s="12">
        <v>3763</v>
      </c>
      <c r="B951" s="12" t="s">
        <v>12</v>
      </c>
      <c r="C951" s="12">
        <v>58</v>
      </c>
      <c r="D951" s="12" t="s">
        <v>21</v>
      </c>
      <c r="E951" s="12" t="s">
        <v>14</v>
      </c>
      <c r="F951" s="12">
        <v>85</v>
      </c>
      <c r="G951" s="12">
        <v>24</v>
      </c>
      <c r="H951" s="12">
        <v>0.33</v>
      </c>
      <c r="I951" s="12" t="s">
        <v>15</v>
      </c>
      <c r="J951" s="12">
        <v>26</v>
      </c>
      <c r="K951" s="12">
        <v>0</v>
      </c>
      <c r="L951" s="12">
        <v>1</v>
      </c>
      <c r="M951" s="12">
        <v>0</v>
      </c>
      <c r="N951" s="12">
        <v>0</v>
      </c>
      <c r="O951" s="12" t="str">
        <f t="shared" si="14"/>
        <v>20 - 29</v>
      </c>
    </row>
    <row r="952" spans="1:15" x14ac:dyDescent="0.35">
      <c r="A952" s="11">
        <v>3764</v>
      </c>
      <c r="B952" s="11" t="s">
        <v>20</v>
      </c>
      <c r="C952" s="11">
        <v>59</v>
      </c>
      <c r="D952" s="11" t="s">
        <v>17</v>
      </c>
      <c r="E952" s="11" t="s">
        <v>14</v>
      </c>
      <c r="F952" s="11">
        <v>170</v>
      </c>
      <c r="G952" s="11">
        <v>73</v>
      </c>
      <c r="H952" s="11">
        <v>0.21</v>
      </c>
      <c r="I952" s="11" t="s">
        <v>15</v>
      </c>
      <c r="J952" s="11">
        <v>31</v>
      </c>
      <c r="K952" s="11">
        <v>0</v>
      </c>
      <c r="L952" s="11">
        <v>0</v>
      </c>
      <c r="M952" s="11">
        <v>0</v>
      </c>
      <c r="N952" s="11">
        <v>0</v>
      </c>
      <c r="O952" s="12" t="str">
        <f t="shared" si="14"/>
        <v>30 - 39</v>
      </c>
    </row>
    <row r="953" spans="1:15" x14ac:dyDescent="0.35">
      <c r="A953" s="12">
        <v>3768</v>
      </c>
      <c r="B953" s="12" t="s">
        <v>12</v>
      </c>
      <c r="C953" s="12">
        <v>24</v>
      </c>
      <c r="D953" s="12" t="s">
        <v>27</v>
      </c>
      <c r="E953" s="12" t="s">
        <v>14</v>
      </c>
      <c r="F953" s="12">
        <v>81</v>
      </c>
      <c r="G953" s="12">
        <v>70</v>
      </c>
      <c r="H953" s="12">
        <v>0.27</v>
      </c>
      <c r="I953" s="12" t="s">
        <v>23</v>
      </c>
      <c r="J953" s="12">
        <v>28</v>
      </c>
      <c r="K953" s="12">
        <v>0</v>
      </c>
      <c r="L953" s="12">
        <v>0</v>
      </c>
      <c r="M953" s="12">
        <v>0</v>
      </c>
      <c r="N953" s="12">
        <v>0</v>
      </c>
      <c r="O953" s="12" t="str">
        <f t="shared" si="14"/>
        <v>20 - 29</v>
      </c>
    </row>
    <row r="954" spans="1:15" x14ac:dyDescent="0.35">
      <c r="A954" s="11">
        <v>3771</v>
      </c>
      <c r="B954" s="11" t="s">
        <v>12</v>
      </c>
      <c r="C954" s="11">
        <v>57</v>
      </c>
      <c r="D954" s="11" t="s">
        <v>17</v>
      </c>
      <c r="E954" s="11" t="s">
        <v>14</v>
      </c>
      <c r="F954" s="11">
        <v>164</v>
      </c>
      <c r="G954" s="11">
        <v>9</v>
      </c>
      <c r="H954" s="11">
        <v>0.55000000000000004</v>
      </c>
      <c r="I954" s="11" t="s">
        <v>19</v>
      </c>
      <c r="J954" s="11">
        <v>5</v>
      </c>
      <c r="K954" s="11">
        <v>0</v>
      </c>
      <c r="L954" s="11">
        <v>0</v>
      </c>
      <c r="M954" s="11">
        <v>0</v>
      </c>
      <c r="N954" s="11">
        <v>0</v>
      </c>
      <c r="O954" s="12" t="str">
        <f t="shared" si="14"/>
        <v>0 - 9</v>
      </c>
    </row>
    <row r="955" spans="1:15" x14ac:dyDescent="0.35">
      <c r="A955" s="12">
        <v>3778</v>
      </c>
      <c r="B955" s="12" t="s">
        <v>12</v>
      </c>
      <c r="C955" s="12">
        <v>19</v>
      </c>
      <c r="D955" s="12" t="s">
        <v>28</v>
      </c>
      <c r="E955" s="12" t="s">
        <v>14</v>
      </c>
      <c r="F955" s="12">
        <v>197</v>
      </c>
      <c r="G955" s="12">
        <v>86</v>
      </c>
      <c r="H955" s="12">
        <v>0</v>
      </c>
      <c r="I955" s="12" t="s">
        <v>15</v>
      </c>
      <c r="J955" s="12">
        <v>32</v>
      </c>
      <c r="K955" s="12">
        <v>0</v>
      </c>
      <c r="L955" s="12">
        <v>1</v>
      </c>
      <c r="M955" s="12">
        <v>0</v>
      </c>
      <c r="N955" s="12">
        <v>0</v>
      </c>
      <c r="O955" s="12" t="str">
        <f t="shared" si="14"/>
        <v>30 - 39</v>
      </c>
    </row>
    <row r="956" spans="1:15" x14ac:dyDescent="0.35">
      <c r="A956" s="11">
        <v>3779</v>
      </c>
      <c r="B956" s="11" t="s">
        <v>16</v>
      </c>
      <c r="C956" s="11">
        <v>30</v>
      </c>
      <c r="D956" s="11" t="s">
        <v>13</v>
      </c>
      <c r="E956" s="11" t="s">
        <v>14</v>
      </c>
      <c r="F956" s="11">
        <v>112</v>
      </c>
      <c r="G956" s="11">
        <v>29</v>
      </c>
      <c r="H956" s="11">
        <v>0.3</v>
      </c>
      <c r="I956" s="11" t="s">
        <v>23</v>
      </c>
      <c r="J956" s="11">
        <v>43</v>
      </c>
      <c r="K956" s="11">
        <v>0</v>
      </c>
      <c r="L956" s="11">
        <v>0</v>
      </c>
      <c r="M956" s="11">
        <v>0</v>
      </c>
      <c r="N956" s="11">
        <v>0</v>
      </c>
      <c r="O956" s="12" t="str">
        <f t="shared" si="14"/>
        <v>40 - 49</v>
      </c>
    </row>
    <row r="957" spans="1:15" x14ac:dyDescent="0.35">
      <c r="A957" s="12">
        <v>3786</v>
      </c>
      <c r="B957" s="12" t="s">
        <v>16</v>
      </c>
      <c r="C957" s="12">
        <v>51</v>
      </c>
      <c r="D957" s="12" t="s">
        <v>27</v>
      </c>
      <c r="E957" s="12" t="s">
        <v>14</v>
      </c>
      <c r="F957" s="12">
        <v>227</v>
      </c>
      <c r="G957" s="12">
        <v>5</v>
      </c>
      <c r="H957" s="12">
        <v>0.53</v>
      </c>
      <c r="I957" s="12" t="s">
        <v>19</v>
      </c>
      <c r="J957" s="12">
        <v>45</v>
      </c>
      <c r="K957" s="12">
        <v>0</v>
      </c>
      <c r="L957" s="12">
        <v>1</v>
      </c>
      <c r="M957" s="12">
        <v>0</v>
      </c>
      <c r="N957" s="12">
        <v>0</v>
      </c>
      <c r="O957" s="12" t="str">
        <f t="shared" si="14"/>
        <v>40 - 49</v>
      </c>
    </row>
    <row r="958" spans="1:15" x14ac:dyDescent="0.35">
      <c r="A958" s="11">
        <v>3789</v>
      </c>
      <c r="B958" s="11" t="s">
        <v>16</v>
      </c>
      <c r="C958" s="11">
        <v>46</v>
      </c>
      <c r="D958" s="11" t="s">
        <v>29</v>
      </c>
      <c r="E958" s="11" t="s">
        <v>14</v>
      </c>
      <c r="F958" s="11">
        <v>61</v>
      </c>
      <c r="G958" s="11">
        <v>85</v>
      </c>
      <c r="H958" s="11">
        <v>0.56999999999999995</v>
      </c>
      <c r="I958" s="11" t="s">
        <v>19</v>
      </c>
      <c r="J958" s="11">
        <v>31</v>
      </c>
      <c r="K958" s="11">
        <v>0</v>
      </c>
      <c r="L958" s="11">
        <v>1</v>
      </c>
      <c r="M958" s="11">
        <v>0</v>
      </c>
      <c r="N958" s="11">
        <v>0</v>
      </c>
      <c r="O958" s="12" t="str">
        <f t="shared" si="14"/>
        <v>30 - 39</v>
      </c>
    </row>
    <row r="959" spans="1:15" x14ac:dyDescent="0.35">
      <c r="A959" s="12">
        <v>3791</v>
      </c>
      <c r="B959" s="12" t="s">
        <v>12</v>
      </c>
      <c r="C959" s="12">
        <v>21</v>
      </c>
      <c r="D959" s="12" t="s">
        <v>26</v>
      </c>
      <c r="E959" s="12" t="s">
        <v>14</v>
      </c>
      <c r="F959" s="12">
        <v>50</v>
      </c>
      <c r="G959" s="12">
        <v>47</v>
      </c>
      <c r="H959" s="12">
        <v>0.37</v>
      </c>
      <c r="I959" s="12" t="s">
        <v>15</v>
      </c>
      <c r="J959" s="12">
        <v>24</v>
      </c>
      <c r="K959" s="12">
        <v>0</v>
      </c>
      <c r="L959" s="12">
        <v>0</v>
      </c>
      <c r="M959" s="12">
        <v>0</v>
      </c>
      <c r="N959" s="12">
        <v>0</v>
      </c>
      <c r="O959" s="12" t="str">
        <f t="shared" si="14"/>
        <v>20 - 29</v>
      </c>
    </row>
    <row r="960" spans="1:15" x14ac:dyDescent="0.35">
      <c r="A960" s="11">
        <v>3797</v>
      </c>
      <c r="B960" s="11" t="s">
        <v>20</v>
      </c>
      <c r="C960" s="11">
        <v>37</v>
      </c>
      <c r="D960" s="11" t="s">
        <v>27</v>
      </c>
      <c r="E960" s="11" t="s">
        <v>14</v>
      </c>
      <c r="F960" s="11">
        <v>256</v>
      </c>
      <c r="G960" s="11">
        <v>30</v>
      </c>
      <c r="H960" s="11">
        <v>0.14000000000000001</v>
      </c>
      <c r="I960" s="11" t="s">
        <v>19</v>
      </c>
      <c r="J960" s="11">
        <v>12</v>
      </c>
      <c r="K960" s="11">
        <v>0</v>
      </c>
      <c r="L960" s="11">
        <v>0</v>
      </c>
      <c r="M960" s="11">
        <v>0</v>
      </c>
      <c r="N960" s="11">
        <v>0</v>
      </c>
      <c r="O960" s="12" t="str">
        <f t="shared" si="14"/>
        <v>10 - 19</v>
      </c>
    </row>
    <row r="961" spans="1:15" x14ac:dyDescent="0.35">
      <c r="A961" s="12">
        <v>3798</v>
      </c>
      <c r="B961" s="12" t="s">
        <v>16</v>
      </c>
      <c r="C961" s="12">
        <v>31</v>
      </c>
      <c r="D961" s="12" t="s">
        <v>28</v>
      </c>
      <c r="E961" s="12" t="s">
        <v>14</v>
      </c>
      <c r="F961" s="12">
        <v>240</v>
      </c>
      <c r="G961" s="12">
        <v>84</v>
      </c>
      <c r="H961" s="12">
        <v>0.57999999999999996</v>
      </c>
      <c r="I961" s="12" t="s">
        <v>23</v>
      </c>
      <c r="J961" s="12">
        <v>39</v>
      </c>
      <c r="K961" s="12">
        <v>0</v>
      </c>
      <c r="L961" s="12">
        <v>0</v>
      </c>
      <c r="M961" s="12">
        <v>0</v>
      </c>
      <c r="N961" s="12">
        <v>0</v>
      </c>
      <c r="O961" s="12" t="str">
        <f t="shared" si="14"/>
        <v>30 - 39</v>
      </c>
    </row>
    <row r="962" spans="1:15" x14ac:dyDescent="0.35">
      <c r="A962" s="11">
        <v>3801</v>
      </c>
      <c r="B962" s="11" t="s">
        <v>12</v>
      </c>
      <c r="C962" s="11">
        <v>57</v>
      </c>
      <c r="D962" s="11" t="s">
        <v>17</v>
      </c>
      <c r="E962" s="11" t="s">
        <v>14</v>
      </c>
      <c r="F962" s="11">
        <v>214</v>
      </c>
      <c r="G962" s="11">
        <v>51</v>
      </c>
      <c r="H962" s="11">
        <v>0.15</v>
      </c>
      <c r="I962" s="11" t="s">
        <v>19</v>
      </c>
      <c r="J962" s="11">
        <v>33</v>
      </c>
      <c r="K962" s="11">
        <v>0</v>
      </c>
      <c r="L962" s="11">
        <v>1</v>
      </c>
      <c r="M962" s="11">
        <v>0</v>
      </c>
      <c r="N962" s="11">
        <v>0</v>
      </c>
      <c r="O962" s="12" t="str">
        <f t="shared" ref="O962:O1025" si="15">_xlfn.FLOOR.MATH(J962, 10) &amp; " - " &amp; (_xlfn.FLOOR.MATH(J962, 10) + 9)</f>
        <v>30 - 39</v>
      </c>
    </row>
    <row r="963" spans="1:15" x14ac:dyDescent="0.35">
      <c r="A963" s="12">
        <v>3802</v>
      </c>
      <c r="B963" s="12" t="s">
        <v>12</v>
      </c>
      <c r="C963" s="12">
        <v>19</v>
      </c>
      <c r="D963" s="12" t="s">
        <v>29</v>
      </c>
      <c r="E963" s="12" t="s">
        <v>14</v>
      </c>
      <c r="F963" s="12">
        <v>48</v>
      </c>
      <c r="G963" s="12">
        <v>83</v>
      </c>
      <c r="H963" s="12">
        <v>0.44</v>
      </c>
      <c r="I963" s="12" t="s">
        <v>19</v>
      </c>
      <c r="J963" s="12">
        <v>40</v>
      </c>
      <c r="K963" s="12">
        <v>0</v>
      </c>
      <c r="L963" s="12">
        <v>1</v>
      </c>
      <c r="M963" s="12">
        <v>0</v>
      </c>
      <c r="N963" s="12">
        <v>0</v>
      </c>
      <c r="O963" s="12" t="str">
        <f t="shared" si="15"/>
        <v>40 - 49</v>
      </c>
    </row>
    <row r="964" spans="1:15" x14ac:dyDescent="0.35">
      <c r="A964" s="11">
        <v>3803</v>
      </c>
      <c r="B964" s="11" t="s">
        <v>20</v>
      </c>
      <c r="C964" s="11">
        <v>53</v>
      </c>
      <c r="D964" s="11" t="s">
        <v>27</v>
      </c>
      <c r="E964" s="11" t="s">
        <v>14</v>
      </c>
      <c r="F964" s="11">
        <v>99</v>
      </c>
      <c r="G964" s="11">
        <v>1</v>
      </c>
      <c r="H964" s="11">
        <v>0.24</v>
      </c>
      <c r="I964" s="11" t="s">
        <v>15</v>
      </c>
      <c r="J964" s="11">
        <v>25</v>
      </c>
      <c r="K964" s="11">
        <v>0</v>
      </c>
      <c r="L964" s="11">
        <v>0</v>
      </c>
      <c r="M964" s="11">
        <v>0</v>
      </c>
      <c r="N964" s="11">
        <v>0</v>
      </c>
      <c r="O964" s="12" t="str">
        <f t="shared" si="15"/>
        <v>20 - 29</v>
      </c>
    </row>
    <row r="965" spans="1:15" x14ac:dyDescent="0.35">
      <c r="A965" s="12">
        <v>3805</v>
      </c>
      <c r="B965" s="12" t="s">
        <v>16</v>
      </c>
      <c r="C965" s="12">
        <v>59</v>
      </c>
      <c r="D965" s="12" t="s">
        <v>26</v>
      </c>
      <c r="E965" s="12" t="s">
        <v>14</v>
      </c>
      <c r="F965" s="12">
        <v>166</v>
      </c>
      <c r="G965" s="12">
        <v>68</v>
      </c>
      <c r="H965" s="12">
        <v>0.23</v>
      </c>
      <c r="I965" s="12" t="s">
        <v>19</v>
      </c>
      <c r="J965" s="12">
        <v>19</v>
      </c>
      <c r="K965" s="12">
        <v>0</v>
      </c>
      <c r="L965" s="12">
        <v>0</v>
      </c>
      <c r="M965" s="12">
        <v>0</v>
      </c>
      <c r="N965" s="12">
        <v>0</v>
      </c>
      <c r="O965" s="12" t="str">
        <f t="shared" si="15"/>
        <v>10 - 19</v>
      </c>
    </row>
    <row r="966" spans="1:15" x14ac:dyDescent="0.35">
      <c r="A966" s="11">
        <v>3815</v>
      </c>
      <c r="B966" s="11" t="s">
        <v>12</v>
      </c>
      <c r="C966" s="11">
        <v>30</v>
      </c>
      <c r="D966" s="11" t="s">
        <v>26</v>
      </c>
      <c r="E966" s="11" t="s">
        <v>14</v>
      </c>
      <c r="F966" s="11">
        <v>68</v>
      </c>
      <c r="G966" s="11">
        <v>50</v>
      </c>
      <c r="H966" s="11">
        <v>0.53</v>
      </c>
      <c r="I966" s="11" t="s">
        <v>19</v>
      </c>
      <c r="J966" s="11">
        <v>36</v>
      </c>
      <c r="K966" s="11">
        <v>0</v>
      </c>
      <c r="L966" s="11">
        <v>0</v>
      </c>
      <c r="M966" s="11">
        <v>0</v>
      </c>
      <c r="N966" s="11">
        <v>0</v>
      </c>
      <c r="O966" s="12" t="str">
        <f t="shared" si="15"/>
        <v>30 - 39</v>
      </c>
    </row>
    <row r="967" spans="1:15" x14ac:dyDescent="0.35">
      <c r="A967" s="12">
        <v>3823</v>
      </c>
      <c r="B967" s="12" t="s">
        <v>12</v>
      </c>
      <c r="C967" s="12">
        <v>44</v>
      </c>
      <c r="D967" s="12" t="s">
        <v>13</v>
      </c>
      <c r="E967" s="12" t="s">
        <v>14</v>
      </c>
      <c r="F967" s="12">
        <v>55</v>
      </c>
      <c r="G967" s="12">
        <v>48</v>
      </c>
      <c r="H967" s="12">
        <v>0.56999999999999995</v>
      </c>
      <c r="I967" s="12" t="s">
        <v>15</v>
      </c>
      <c r="J967" s="12">
        <v>22</v>
      </c>
      <c r="K967" s="12">
        <v>0</v>
      </c>
      <c r="L967" s="12">
        <v>0</v>
      </c>
      <c r="M967" s="12">
        <v>0</v>
      </c>
      <c r="N967" s="12">
        <v>0</v>
      </c>
      <c r="O967" s="12" t="str">
        <f t="shared" si="15"/>
        <v>20 - 29</v>
      </c>
    </row>
    <row r="968" spans="1:15" x14ac:dyDescent="0.35">
      <c r="A968" s="11">
        <v>3824</v>
      </c>
      <c r="B968" s="11" t="s">
        <v>16</v>
      </c>
      <c r="C968" s="11">
        <v>53</v>
      </c>
      <c r="D968" s="11" t="s">
        <v>28</v>
      </c>
      <c r="E968" s="11" t="s">
        <v>14</v>
      </c>
      <c r="F968" s="11">
        <v>79</v>
      </c>
      <c r="G968" s="11">
        <v>73</v>
      </c>
      <c r="H968" s="11">
        <v>0.53</v>
      </c>
      <c r="I968" s="11" t="s">
        <v>23</v>
      </c>
      <c r="J968" s="11">
        <v>16</v>
      </c>
      <c r="K968" s="11">
        <v>0</v>
      </c>
      <c r="L968" s="11">
        <v>0</v>
      </c>
      <c r="M968" s="11">
        <v>0</v>
      </c>
      <c r="N968" s="11">
        <v>0</v>
      </c>
      <c r="O968" s="12" t="str">
        <f t="shared" si="15"/>
        <v>10 - 19</v>
      </c>
    </row>
    <row r="969" spans="1:15" x14ac:dyDescent="0.35">
      <c r="A969" s="12">
        <v>3825</v>
      </c>
      <c r="B969" s="12" t="s">
        <v>16</v>
      </c>
      <c r="C969" s="12">
        <v>37</v>
      </c>
      <c r="D969" s="12" t="s">
        <v>28</v>
      </c>
      <c r="E969" s="12" t="s">
        <v>14</v>
      </c>
      <c r="F969" s="12">
        <v>115</v>
      </c>
      <c r="G969" s="12">
        <v>23</v>
      </c>
      <c r="H969" s="12">
        <v>0.54</v>
      </c>
      <c r="I969" s="12" t="s">
        <v>15</v>
      </c>
      <c r="J969" s="12">
        <v>46</v>
      </c>
      <c r="K969" s="12">
        <v>0</v>
      </c>
      <c r="L969" s="12">
        <v>0</v>
      </c>
      <c r="M969" s="12">
        <v>0</v>
      </c>
      <c r="N969" s="12">
        <v>0</v>
      </c>
      <c r="O969" s="12" t="str">
        <f t="shared" si="15"/>
        <v>40 - 49</v>
      </c>
    </row>
    <row r="970" spans="1:15" x14ac:dyDescent="0.35">
      <c r="A970" s="11">
        <v>3826</v>
      </c>
      <c r="B970" s="11" t="s">
        <v>16</v>
      </c>
      <c r="C970" s="11">
        <v>18</v>
      </c>
      <c r="D970" s="11" t="s">
        <v>17</v>
      </c>
      <c r="E970" s="11" t="s">
        <v>14</v>
      </c>
      <c r="F970" s="11">
        <v>20</v>
      </c>
      <c r="G970" s="11">
        <v>67</v>
      </c>
      <c r="H970" s="11">
        <v>0.38</v>
      </c>
      <c r="I970" s="11" t="s">
        <v>23</v>
      </c>
      <c r="J970" s="11">
        <v>39</v>
      </c>
      <c r="K970" s="11">
        <v>0</v>
      </c>
      <c r="L970" s="11">
        <v>0</v>
      </c>
      <c r="M970" s="11">
        <v>0</v>
      </c>
      <c r="N970" s="11">
        <v>0</v>
      </c>
      <c r="O970" s="12" t="str">
        <f t="shared" si="15"/>
        <v>30 - 39</v>
      </c>
    </row>
    <row r="971" spans="1:15" x14ac:dyDescent="0.35">
      <c r="A971" s="12">
        <v>3827</v>
      </c>
      <c r="B971" s="12" t="s">
        <v>20</v>
      </c>
      <c r="C971" s="12">
        <v>26</v>
      </c>
      <c r="D971" s="12" t="s">
        <v>27</v>
      </c>
      <c r="E971" s="12" t="s">
        <v>14</v>
      </c>
      <c r="F971" s="12">
        <v>132</v>
      </c>
      <c r="G971" s="12">
        <v>51</v>
      </c>
      <c r="H971" s="12">
        <v>0.08</v>
      </c>
      <c r="I971" s="12" t="s">
        <v>15</v>
      </c>
      <c r="J971" s="12">
        <v>46</v>
      </c>
      <c r="K971" s="12">
        <v>0</v>
      </c>
      <c r="L971" s="12">
        <v>1</v>
      </c>
      <c r="M971" s="12">
        <v>0</v>
      </c>
      <c r="N971" s="12">
        <v>0</v>
      </c>
      <c r="O971" s="12" t="str">
        <f t="shared" si="15"/>
        <v>40 - 49</v>
      </c>
    </row>
    <row r="972" spans="1:15" x14ac:dyDescent="0.35">
      <c r="A972" s="11">
        <v>3832</v>
      </c>
      <c r="B972" s="11" t="s">
        <v>20</v>
      </c>
      <c r="C972" s="11">
        <v>52</v>
      </c>
      <c r="D972" s="11" t="s">
        <v>29</v>
      </c>
      <c r="E972" s="11" t="s">
        <v>14</v>
      </c>
      <c r="F972" s="11">
        <v>88</v>
      </c>
      <c r="G972" s="11">
        <v>49</v>
      </c>
      <c r="H972" s="11">
        <v>0.36</v>
      </c>
      <c r="I972" s="11" t="s">
        <v>23</v>
      </c>
      <c r="J972" s="11">
        <v>23</v>
      </c>
      <c r="K972" s="11">
        <v>0</v>
      </c>
      <c r="L972" s="11">
        <v>0</v>
      </c>
      <c r="M972" s="11">
        <v>0</v>
      </c>
      <c r="N972" s="11">
        <v>0</v>
      </c>
      <c r="O972" s="12" t="str">
        <f t="shared" si="15"/>
        <v>20 - 29</v>
      </c>
    </row>
    <row r="973" spans="1:15" x14ac:dyDescent="0.35">
      <c r="A973" s="12">
        <v>3833</v>
      </c>
      <c r="B973" s="12" t="s">
        <v>16</v>
      </c>
      <c r="C973" s="12">
        <v>25</v>
      </c>
      <c r="D973" s="12" t="s">
        <v>21</v>
      </c>
      <c r="E973" s="12" t="s">
        <v>14</v>
      </c>
      <c r="F973" s="12">
        <v>22</v>
      </c>
      <c r="G973" s="12">
        <v>96</v>
      </c>
      <c r="H973" s="12">
        <v>0.22</v>
      </c>
      <c r="I973" s="12" t="s">
        <v>23</v>
      </c>
      <c r="J973" s="12">
        <v>14</v>
      </c>
      <c r="K973" s="12">
        <v>0</v>
      </c>
      <c r="L973" s="12">
        <v>1</v>
      </c>
      <c r="M973" s="12">
        <v>0</v>
      </c>
      <c r="N973" s="12">
        <v>0</v>
      </c>
      <c r="O973" s="12" t="str">
        <f t="shared" si="15"/>
        <v>10 - 19</v>
      </c>
    </row>
    <row r="974" spans="1:15" x14ac:dyDescent="0.35">
      <c r="A974" s="11">
        <v>3834</v>
      </c>
      <c r="B974" s="11" t="s">
        <v>16</v>
      </c>
      <c r="C974" s="11">
        <v>56</v>
      </c>
      <c r="D974" s="11" t="s">
        <v>21</v>
      </c>
      <c r="E974" s="11" t="s">
        <v>14</v>
      </c>
      <c r="F974" s="11">
        <v>179</v>
      </c>
      <c r="G974" s="11">
        <v>73</v>
      </c>
      <c r="H974" s="11">
        <v>0.57999999999999996</v>
      </c>
      <c r="I974" s="11" t="s">
        <v>15</v>
      </c>
      <c r="J974" s="11">
        <v>41</v>
      </c>
      <c r="K974" s="11">
        <v>0</v>
      </c>
      <c r="L974" s="11">
        <v>0</v>
      </c>
      <c r="M974" s="11">
        <v>0</v>
      </c>
      <c r="N974" s="11">
        <v>0</v>
      </c>
      <c r="O974" s="12" t="str">
        <f t="shared" si="15"/>
        <v>40 - 49</v>
      </c>
    </row>
    <row r="975" spans="1:15" x14ac:dyDescent="0.35">
      <c r="A975" s="12">
        <v>3835</v>
      </c>
      <c r="B975" s="12" t="s">
        <v>20</v>
      </c>
      <c r="C975" s="12">
        <v>31</v>
      </c>
      <c r="D975" s="12" t="s">
        <v>26</v>
      </c>
      <c r="E975" s="12" t="s">
        <v>14</v>
      </c>
      <c r="F975" s="12">
        <v>46</v>
      </c>
      <c r="G975" s="12">
        <v>28</v>
      </c>
      <c r="H975" s="12">
        <v>0.49</v>
      </c>
      <c r="I975" s="12" t="s">
        <v>19</v>
      </c>
      <c r="J975" s="12">
        <v>9</v>
      </c>
      <c r="K975" s="12">
        <v>0</v>
      </c>
      <c r="L975" s="12">
        <v>0</v>
      </c>
      <c r="M975" s="12">
        <v>0</v>
      </c>
      <c r="N975" s="12">
        <v>0</v>
      </c>
      <c r="O975" s="12" t="str">
        <f t="shared" si="15"/>
        <v>0 - 9</v>
      </c>
    </row>
    <row r="976" spans="1:15" x14ac:dyDescent="0.35">
      <c r="A976" s="11">
        <v>3836</v>
      </c>
      <c r="B976" s="11" t="s">
        <v>16</v>
      </c>
      <c r="C976" s="11">
        <v>33</v>
      </c>
      <c r="D976" s="11" t="s">
        <v>21</v>
      </c>
      <c r="E976" s="11" t="s">
        <v>14</v>
      </c>
      <c r="F976" s="11">
        <v>171</v>
      </c>
      <c r="G976" s="11">
        <v>39</v>
      </c>
      <c r="H976" s="11">
        <v>0.14000000000000001</v>
      </c>
      <c r="I976" s="11" t="s">
        <v>23</v>
      </c>
      <c r="J976" s="11">
        <v>30</v>
      </c>
      <c r="K976" s="11">
        <v>0</v>
      </c>
      <c r="L976" s="11">
        <v>0</v>
      </c>
      <c r="M976" s="11">
        <v>0</v>
      </c>
      <c r="N976" s="11">
        <v>0</v>
      </c>
      <c r="O976" s="12" t="str">
        <f t="shared" si="15"/>
        <v>30 - 39</v>
      </c>
    </row>
    <row r="977" spans="1:15" x14ac:dyDescent="0.35">
      <c r="A977" s="12">
        <v>3843</v>
      </c>
      <c r="B977" s="12" t="s">
        <v>20</v>
      </c>
      <c r="C977" s="12">
        <v>37</v>
      </c>
      <c r="D977" s="12" t="s">
        <v>28</v>
      </c>
      <c r="E977" s="12" t="s">
        <v>14</v>
      </c>
      <c r="F977" s="12">
        <v>245</v>
      </c>
      <c r="G977" s="12">
        <v>13</v>
      </c>
      <c r="H977" s="12">
        <v>0.17</v>
      </c>
      <c r="I977" s="12" t="s">
        <v>15</v>
      </c>
      <c r="J977" s="12">
        <v>19</v>
      </c>
      <c r="K977" s="12">
        <v>0</v>
      </c>
      <c r="L977" s="12">
        <v>0</v>
      </c>
      <c r="M977" s="12">
        <v>0</v>
      </c>
      <c r="N977" s="12">
        <v>0</v>
      </c>
      <c r="O977" s="12" t="str">
        <f t="shared" si="15"/>
        <v>10 - 19</v>
      </c>
    </row>
    <row r="978" spans="1:15" x14ac:dyDescent="0.35">
      <c r="A978" s="11">
        <v>3844</v>
      </c>
      <c r="B978" s="11" t="s">
        <v>12</v>
      </c>
      <c r="C978" s="11">
        <v>19</v>
      </c>
      <c r="D978" s="11" t="s">
        <v>28</v>
      </c>
      <c r="E978" s="11" t="s">
        <v>14</v>
      </c>
      <c r="F978" s="11">
        <v>99</v>
      </c>
      <c r="G978" s="11">
        <v>28</v>
      </c>
      <c r="H978" s="11">
        <v>0.18</v>
      </c>
      <c r="I978" s="11" t="s">
        <v>23</v>
      </c>
      <c r="J978" s="11">
        <v>12</v>
      </c>
      <c r="K978" s="11">
        <v>0</v>
      </c>
      <c r="L978" s="11">
        <v>0</v>
      </c>
      <c r="M978" s="11">
        <v>0</v>
      </c>
      <c r="N978" s="11">
        <v>0</v>
      </c>
      <c r="O978" s="12" t="str">
        <f t="shared" si="15"/>
        <v>10 - 19</v>
      </c>
    </row>
    <row r="979" spans="1:15" x14ac:dyDescent="0.35">
      <c r="A979" s="12">
        <v>3846</v>
      </c>
      <c r="B979" s="12" t="s">
        <v>12</v>
      </c>
      <c r="C979" s="12">
        <v>29</v>
      </c>
      <c r="D979" s="12" t="s">
        <v>26</v>
      </c>
      <c r="E979" s="12" t="s">
        <v>14</v>
      </c>
      <c r="F979" s="12">
        <v>46</v>
      </c>
      <c r="G979" s="12">
        <v>11</v>
      </c>
      <c r="H979" s="12">
        <v>0.56999999999999995</v>
      </c>
      <c r="I979" s="12" t="s">
        <v>19</v>
      </c>
      <c r="J979" s="12">
        <v>46</v>
      </c>
      <c r="K979" s="12">
        <v>0</v>
      </c>
      <c r="L979" s="12">
        <v>0</v>
      </c>
      <c r="M979" s="12">
        <v>0</v>
      </c>
      <c r="N979" s="12">
        <v>0</v>
      </c>
      <c r="O979" s="12" t="str">
        <f t="shared" si="15"/>
        <v>40 - 49</v>
      </c>
    </row>
    <row r="980" spans="1:15" x14ac:dyDescent="0.35">
      <c r="A980" s="11">
        <v>3847</v>
      </c>
      <c r="B980" s="11" t="s">
        <v>20</v>
      </c>
      <c r="C980" s="11">
        <v>35</v>
      </c>
      <c r="D980" s="11" t="s">
        <v>29</v>
      </c>
      <c r="E980" s="11" t="s">
        <v>14</v>
      </c>
      <c r="F980" s="11">
        <v>52</v>
      </c>
      <c r="G980" s="11">
        <v>41</v>
      </c>
      <c r="H980" s="11">
        <v>0.35</v>
      </c>
      <c r="I980" s="11" t="s">
        <v>19</v>
      </c>
      <c r="J980" s="11">
        <v>7</v>
      </c>
      <c r="K980" s="11">
        <v>0</v>
      </c>
      <c r="L980" s="11">
        <v>0</v>
      </c>
      <c r="M980" s="11">
        <v>0</v>
      </c>
      <c r="N980" s="11">
        <v>0</v>
      </c>
      <c r="O980" s="12" t="str">
        <f t="shared" si="15"/>
        <v>0 - 9</v>
      </c>
    </row>
    <row r="981" spans="1:15" x14ac:dyDescent="0.35">
      <c r="A981" s="12">
        <v>3853</v>
      </c>
      <c r="B981" s="12" t="s">
        <v>16</v>
      </c>
      <c r="C981" s="12">
        <v>20</v>
      </c>
      <c r="D981" s="12" t="s">
        <v>25</v>
      </c>
      <c r="E981" s="12" t="s">
        <v>14</v>
      </c>
      <c r="F981" s="12">
        <v>112</v>
      </c>
      <c r="G981" s="12">
        <v>41</v>
      </c>
      <c r="H981" s="12">
        <v>0.17</v>
      </c>
      <c r="I981" s="12" t="s">
        <v>19</v>
      </c>
      <c r="J981" s="12">
        <v>49</v>
      </c>
      <c r="K981" s="12">
        <v>0</v>
      </c>
      <c r="L981" s="12">
        <v>1</v>
      </c>
      <c r="M981" s="12">
        <v>0</v>
      </c>
      <c r="N981" s="12">
        <v>0</v>
      </c>
      <c r="O981" s="12" t="str">
        <f t="shared" si="15"/>
        <v>40 - 49</v>
      </c>
    </row>
    <row r="982" spans="1:15" x14ac:dyDescent="0.35">
      <c r="A982" s="11">
        <v>3867</v>
      </c>
      <c r="B982" s="11" t="s">
        <v>12</v>
      </c>
      <c r="C982" s="11">
        <v>54</v>
      </c>
      <c r="D982" s="11" t="s">
        <v>13</v>
      </c>
      <c r="E982" s="11" t="s">
        <v>14</v>
      </c>
      <c r="F982" s="11">
        <v>227</v>
      </c>
      <c r="G982" s="11">
        <v>22</v>
      </c>
      <c r="H982" s="11">
        <v>0.49</v>
      </c>
      <c r="I982" s="11" t="s">
        <v>15</v>
      </c>
      <c r="J982" s="11">
        <v>38</v>
      </c>
      <c r="K982" s="11">
        <v>0</v>
      </c>
      <c r="L982" s="11">
        <v>0</v>
      </c>
      <c r="M982" s="11">
        <v>0</v>
      </c>
      <c r="N982" s="11">
        <v>0</v>
      </c>
      <c r="O982" s="12" t="str">
        <f t="shared" si="15"/>
        <v>30 - 39</v>
      </c>
    </row>
    <row r="983" spans="1:15" x14ac:dyDescent="0.35">
      <c r="A983" s="12">
        <v>3868</v>
      </c>
      <c r="B983" s="12" t="s">
        <v>16</v>
      </c>
      <c r="C983" s="12">
        <v>59</v>
      </c>
      <c r="D983" s="12" t="s">
        <v>21</v>
      </c>
      <c r="E983" s="12" t="s">
        <v>14</v>
      </c>
      <c r="F983" s="12">
        <v>291</v>
      </c>
      <c r="G983" s="12">
        <v>31</v>
      </c>
      <c r="H983" s="12">
        <v>0.13</v>
      </c>
      <c r="I983" s="12" t="s">
        <v>15</v>
      </c>
      <c r="J983" s="12">
        <v>11</v>
      </c>
      <c r="K983" s="12">
        <v>0</v>
      </c>
      <c r="L983" s="12">
        <v>1</v>
      </c>
      <c r="M983" s="12">
        <v>0</v>
      </c>
      <c r="N983" s="12">
        <v>0</v>
      </c>
      <c r="O983" s="12" t="str">
        <f t="shared" si="15"/>
        <v>10 - 19</v>
      </c>
    </row>
    <row r="984" spans="1:15" x14ac:dyDescent="0.35">
      <c r="A984" s="11">
        <v>3870</v>
      </c>
      <c r="B984" s="11" t="s">
        <v>20</v>
      </c>
      <c r="C984" s="11">
        <v>36</v>
      </c>
      <c r="D984" s="11" t="s">
        <v>29</v>
      </c>
      <c r="E984" s="11" t="s">
        <v>14</v>
      </c>
      <c r="F984" s="11">
        <v>273</v>
      </c>
      <c r="G984" s="11">
        <v>34</v>
      </c>
      <c r="H984" s="11">
        <v>0.38</v>
      </c>
      <c r="I984" s="11" t="s">
        <v>15</v>
      </c>
      <c r="J984" s="11">
        <v>13</v>
      </c>
      <c r="K984" s="11">
        <v>0</v>
      </c>
      <c r="L984" s="11">
        <v>0</v>
      </c>
      <c r="M984" s="11">
        <v>0</v>
      </c>
      <c r="N984" s="11">
        <v>0</v>
      </c>
      <c r="O984" s="12" t="str">
        <f t="shared" si="15"/>
        <v>10 - 19</v>
      </c>
    </row>
    <row r="985" spans="1:15" x14ac:dyDescent="0.35">
      <c r="A985" s="12">
        <v>3871</v>
      </c>
      <c r="B985" s="12" t="s">
        <v>16</v>
      </c>
      <c r="C985" s="12">
        <v>22</v>
      </c>
      <c r="D985" s="12" t="s">
        <v>27</v>
      </c>
      <c r="E985" s="12" t="s">
        <v>14</v>
      </c>
      <c r="F985" s="12">
        <v>289</v>
      </c>
      <c r="G985" s="12">
        <v>97</v>
      </c>
      <c r="H985" s="12">
        <v>0.53</v>
      </c>
      <c r="I985" s="12" t="s">
        <v>19</v>
      </c>
      <c r="J985" s="12">
        <v>33</v>
      </c>
      <c r="K985" s="12">
        <v>0</v>
      </c>
      <c r="L985" s="12">
        <v>0</v>
      </c>
      <c r="M985" s="12">
        <v>0</v>
      </c>
      <c r="N985" s="12">
        <v>0</v>
      </c>
      <c r="O985" s="12" t="str">
        <f t="shared" si="15"/>
        <v>30 - 39</v>
      </c>
    </row>
    <row r="986" spans="1:15" x14ac:dyDescent="0.35">
      <c r="A986" s="11">
        <v>3875</v>
      </c>
      <c r="B986" s="11" t="s">
        <v>16</v>
      </c>
      <c r="C986" s="11">
        <v>20</v>
      </c>
      <c r="D986" s="11" t="s">
        <v>21</v>
      </c>
      <c r="E986" s="11" t="s">
        <v>14</v>
      </c>
      <c r="F986" s="11">
        <v>179</v>
      </c>
      <c r="G986" s="11">
        <v>7</v>
      </c>
      <c r="H986" s="11">
        <v>0.41</v>
      </c>
      <c r="I986" s="11" t="s">
        <v>19</v>
      </c>
      <c r="J986" s="11">
        <v>14</v>
      </c>
      <c r="K986" s="11">
        <v>0</v>
      </c>
      <c r="L986" s="11">
        <v>0</v>
      </c>
      <c r="M986" s="11">
        <v>0</v>
      </c>
      <c r="N986" s="11">
        <v>0</v>
      </c>
      <c r="O986" s="12" t="str">
        <f t="shared" si="15"/>
        <v>10 - 19</v>
      </c>
    </row>
    <row r="987" spans="1:15" x14ac:dyDescent="0.35">
      <c r="A987" s="12">
        <v>3876</v>
      </c>
      <c r="B987" s="12" t="s">
        <v>12</v>
      </c>
      <c r="C987" s="12">
        <v>41</v>
      </c>
      <c r="D987" s="12" t="s">
        <v>28</v>
      </c>
      <c r="E987" s="12" t="s">
        <v>14</v>
      </c>
      <c r="F987" s="12">
        <v>67</v>
      </c>
      <c r="G987" s="12">
        <v>18</v>
      </c>
      <c r="H987" s="12">
        <v>0.54</v>
      </c>
      <c r="I987" s="12" t="s">
        <v>19</v>
      </c>
      <c r="J987" s="12">
        <v>40</v>
      </c>
      <c r="K987" s="12">
        <v>0</v>
      </c>
      <c r="L987" s="12">
        <v>0</v>
      </c>
      <c r="M987" s="12">
        <v>0</v>
      </c>
      <c r="N987" s="12">
        <v>0</v>
      </c>
      <c r="O987" s="12" t="str">
        <f t="shared" si="15"/>
        <v>40 - 49</v>
      </c>
    </row>
    <row r="988" spans="1:15" x14ac:dyDescent="0.35">
      <c r="A988" s="11">
        <v>3877</v>
      </c>
      <c r="B988" s="11" t="s">
        <v>20</v>
      </c>
      <c r="C988" s="11">
        <v>36</v>
      </c>
      <c r="D988" s="11" t="s">
        <v>29</v>
      </c>
      <c r="E988" s="11" t="s">
        <v>14</v>
      </c>
      <c r="F988" s="11">
        <v>100</v>
      </c>
      <c r="G988" s="11">
        <v>34</v>
      </c>
      <c r="H988" s="11">
        <v>0.08</v>
      </c>
      <c r="I988" s="11" t="s">
        <v>15</v>
      </c>
      <c r="J988" s="11">
        <v>35</v>
      </c>
      <c r="K988" s="11">
        <v>0</v>
      </c>
      <c r="L988" s="11">
        <v>1</v>
      </c>
      <c r="M988" s="11">
        <v>0</v>
      </c>
      <c r="N988" s="11">
        <v>0</v>
      </c>
      <c r="O988" s="12" t="str">
        <f t="shared" si="15"/>
        <v>30 - 39</v>
      </c>
    </row>
    <row r="989" spans="1:15" x14ac:dyDescent="0.35">
      <c r="A989" s="12">
        <v>3879</v>
      </c>
      <c r="B989" s="12" t="s">
        <v>20</v>
      </c>
      <c r="C989" s="12">
        <v>26</v>
      </c>
      <c r="D989" s="12" t="s">
        <v>25</v>
      </c>
      <c r="E989" s="12" t="s">
        <v>14</v>
      </c>
      <c r="F989" s="12">
        <v>282</v>
      </c>
      <c r="G989" s="12">
        <v>24</v>
      </c>
      <c r="H989" s="12">
        <v>0.54</v>
      </c>
      <c r="I989" s="12" t="s">
        <v>23</v>
      </c>
      <c r="J989" s="12">
        <v>22</v>
      </c>
      <c r="K989" s="12">
        <v>0</v>
      </c>
      <c r="L989" s="12">
        <v>1</v>
      </c>
      <c r="M989" s="12">
        <v>0</v>
      </c>
      <c r="N989" s="12">
        <v>0</v>
      </c>
      <c r="O989" s="12" t="str">
        <f t="shared" si="15"/>
        <v>20 - 29</v>
      </c>
    </row>
    <row r="990" spans="1:15" x14ac:dyDescent="0.35">
      <c r="A990" s="11">
        <v>3880</v>
      </c>
      <c r="B990" s="11" t="s">
        <v>12</v>
      </c>
      <c r="C990" s="11">
        <v>17</v>
      </c>
      <c r="D990" s="11" t="s">
        <v>26</v>
      </c>
      <c r="E990" s="11" t="s">
        <v>14</v>
      </c>
      <c r="F990" s="11">
        <v>99</v>
      </c>
      <c r="G990" s="11">
        <v>74</v>
      </c>
      <c r="H990" s="11">
        <v>0.2</v>
      </c>
      <c r="I990" s="11" t="s">
        <v>23</v>
      </c>
      <c r="J990" s="11">
        <v>17</v>
      </c>
      <c r="K990" s="11">
        <v>0</v>
      </c>
      <c r="L990" s="11">
        <v>1</v>
      </c>
      <c r="M990" s="11">
        <v>0</v>
      </c>
      <c r="N990" s="11">
        <v>0</v>
      </c>
      <c r="O990" s="12" t="str">
        <f t="shared" si="15"/>
        <v>10 - 19</v>
      </c>
    </row>
    <row r="991" spans="1:15" x14ac:dyDescent="0.35">
      <c r="A991" s="12">
        <v>3882</v>
      </c>
      <c r="B991" s="12" t="s">
        <v>12</v>
      </c>
      <c r="C991" s="12">
        <v>46</v>
      </c>
      <c r="D991" s="12" t="s">
        <v>29</v>
      </c>
      <c r="E991" s="12" t="s">
        <v>14</v>
      </c>
      <c r="F991" s="12">
        <v>218</v>
      </c>
      <c r="G991" s="12">
        <v>88</v>
      </c>
      <c r="H991" s="12">
        <v>0.34</v>
      </c>
      <c r="I991" s="12" t="s">
        <v>23</v>
      </c>
      <c r="J991" s="12">
        <v>23</v>
      </c>
      <c r="K991" s="12">
        <v>0</v>
      </c>
      <c r="L991" s="12">
        <v>0</v>
      </c>
      <c r="M991" s="12">
        <v>0</v>
      </c>
      <c r="N991" s="12">
        <v>0</v>
      </c>
      <c r="O991" s="12" t="str">
        <f t="shared" si="15"/>
        <v>20 - 29</v>
      </c>
    </row>
    <row r="992" spans="1:15" x14ac:dyDescent="0.35">
      <c r="A992" s="11">
        <v>3890</v>
      </c>
      <c r="B992" s="11" t="s">
        <v>12</v>
      </c>
      <c r="C992" s="11">
        <v>51</v>
      </c>
      <c r="D992" s="11" t="s">
        <v>21</v>
      </c>
      <c r="E992" s="11" t="s">
        <v>14</v>
      </c>
      <c r="F992" s="11">
        <v>214</v>
      </c>
      <c r="G992" s="11">
        <v>49</v>
      </c>
      <c r="H992" s="11">
        <v>0.03</v>
      </c>
      <c r="I992" s="11" t="s">
        <v>19</v>
      </c>
      <c r="J992" s="11">
        <v>10</v>
      </c>
      <c r="K992" s="11">
        <v>0</v>
      </c>
      <c r="L992" s="11">
        <v>0</v>
      </c>
      <c r="M992" s="11">
        <v>0</v>
      </c>
      <c r="N992" s="11">
        <v>0</v>
      </c>
      <c r="O992" s="12" t="str">
        <f t="shared" si="15"/>
        <v>10 - 19</v>
      </c>
    </row>
    <row r="993" spans="1:15" x14ac:dyDescent="0.35">
      <c r="A993" s="12">
        <v>3892</v>
      </c>
      <c r="B993" s="12" t="s">
        <v>16</v>
      </c>
      <c r="C993" s="12">
        <v>28</v>
      </c>
      <c r="D993" s="12" t="s">
        <v>13</v>
      </c>
      <c r="E993" s="12" t="s">
        <v>14</v>
      </c>
      <c r="F993" s="12">
        <v>65</v>
      </c>
      <c r="G993" s="12">
        <v>82</v>
      </c>
      <c r="H993" s="12">
        <v>0.36</v>
      </c>
      <c r="I993" s="12" t="s">
        <v>23</v>
      </c>
      <c r="J993" s="12">
        <v>40</v>
      </c>
      <c r="K993" s="12">
        <v>0</v>
      </c>
      <c r="L993" s="12">
        <v>1</v>
      </c>
      <c r="M993" s="12">
        <v>0</v>
      </c>
      <c r="N993" s="12">
        <v>0</v>
      </c>
      <c r="O993" s="12" t="str">
        <f t="shared" si="15"/>
        <v>40 - 49</v>
      </c>
    </row>
    <row r="994" spans="1:15" x14ac:dyDescent="0.35">
      <c r="A994" s="11">
        <v>3902</v>
      </c>
      <c r="B994" s="11" t="s">
        <v>12</v>
      </c>
      <c r="C994" s="11">
        <v>39</v>
      </c>
      <c r="D994" s="11" t="s">
        <v>26</v>
      </c>
      <c r="E994" s="11" t="s">
        <v>14</v>
      </c>
      <c r="F994" s="11">
        <v>104</v>
      </c>
      <c r="G994" s="11">
        <v>22</v>
      </c>
      <c r="H994" s="11">
        <v>0.32</v>
      </c>
      <c r="I994" s="11" t="s">
        <v>15</v>
      </c>
      <c r="J994" s="11">
        <v>12</v>
      </c>
      <c r="K994" s="11">
        <v>0</v>
      </c>
      <c r="L994" s="11">
        <v>1</v>
      </c>
      <c r="M994" s="11">
        <v>0</v>
      </c>
      <c r="N994" s="11">
        <v>0</v>
      </c>
      <c r="O994" s="12" t="str">
        <f t="shared" si="15"/>
        <v>10 - 19</v>
      </c>
    </row>
    <row r="995" spans="1:15" x14ac:dyDescent="0.35">
      <c r="A995" s="12">
        <v>3914</v>
      </c>
      <c r="B995" s="12" t="s">
        <v>16</v>
      </c>
      <c r="C995" s="12">
        <v>23</v>
      </c>
      <c r="D995" s="12" t="s">
        <v>26</v>
      </c>
      <c r="E995" s="12" t="s">
        <v>14</v>
      </c>
      <c r="F995" s="12">
        <v>99</v>
      </c>
      <c r="G995" s="12">
        <v>39</v>
      </c>
      <c r="H995" s="12">
        <v>0.4</v>
      </c>
      <c r="I995" s="12" t="s">
        <v>19</v>
      </c>
      <c r="J995" s="12">
        <v>46</v>
      </c>
      <c r="K995" s="12">
        <v>0</v>
      </c>
      <c r="L995" s="12">
        <v>0</v>
      </c>
      <c r="M995" s="12">
        <v>0</v>
      </c>
      <c r="N995" s="12">
        <v>0</v>
      </c>
      <c r="O995" s="12" t="str">
        <f t="shared" si="15"/>
        <v>40 - 49</v>
      </c>
    </row>
    <row r="996" spans="1:15" x14ac:dyDescent="0.35">
      <c r="A996" s="11">
        <v>3917</v>
      </c>
      <c r="B996" s="11" t="s">
        <v>16</v>
      </c>
      <c r="C996" s="11">
        <v>36</v>
      </c>
      <c r="D996" s="11" t="s">
        <v>25</v>
      </c>
      <c r="E996" s="11" t="s">
        <v>14</v>
      </c>
      <c r="F996" s="11">
        <v>121</v>
      </c>
      <c r="G996" s="11">
        <v>2</v>
      </c>
      <c r="H996" s="11">
        <v>0.36</v>
      </c>
      <c r="I996" s="11" t="s">
        <v>23</v>
      </c>
      <c r="J996" s="11">
        <v>36</v>
      </c>
      <c r="K996" s="11">
        <v>0</v>
      </c>
      <c r="L996" s="11">
        <v>1</v>
      </c>
      <c r="M996" s="11">
        <v>0</v>
      </c>
      <c r="N996" s="11">
        <v>0</v>
      </c>
      <c r="O996" s="12" t="str">
        <f t="shared" si="15"/>
        <v>30 - 39</v>
      </c>
    </row>
    <row r="997" spans="1:15" x14ac:dyDescent="0.35">
      <c r="A997" s="12">
        <v>3933</v>
      </c>
      <c r="B997" s="12" t="s">
        <v>20</v>
      </c>
      <c r="C997" s="12">
        <v>26</v>
      </c>
      <c r="D997" s="12" t="s">
        <v>26</v>
      </c>
      <c r="E997" s="12" t="s">
        <v>14</v>
      </c>
      <c r="F997" s="12">
        <v>224</v>
      </c>
      <c r="G997" s="12">
        <v>20</v>
      </c>
      <c r="H997" s="12">
        <v>0.18</v>
      </c>
      <c r="I997" s="12" t="s">
        <v>19</v>
      </c>
      <c r="J997" s="12">
        <v>47</v>
      </c>
      <c r="K997" s="12">
        <v>0</v>
      </c>
      <c r="L997" s="12">
        <v>0</v>
      </c>
      <c r="M997" s="12">
        <v>0</v>
      </c>
      <c r="N997" s="12">
        <v>0</v>
      </c>
      <c r="O997" s="12" t="str">
        <f t="shared" si="15"/>
        <v>40 - 49</v>
      </c>
    </row>
    <row r="998" spans="1:15" x14ac:dyDescent="0.35">
      <c r="A998" s="11">
        <v>3940</v>
      </c>
      <c r="B998" s="11" t="s">
        <v>12</v>
      </c>
      <c r="C998" s="11">
        <v>51</v>
      </c>
      <c r="D998" s="11" t="s">
        <v>29</v>
      </c>
      <c r="E998" s="11" t="s">
        <v>14</v>
      </c>
      <c r="F998" s="11">
        <v>175</v>
      </c>
      <c r="G998" s="11">
        <v>34</v>
      </c>
      <c r="H998" s="11">
        <v>0.59</v>
      </c>
      <c r="I998" s="11" t="s">
        <v>15</v>
      </c>
      <c r="J998" s="11">
        <v>31</v>
      </c>
      <c r="K998" s="11">
        <v>0</v>
      </c>
      <c r="L998" s="11">
        <v>1</v>
      </c>
      <c r="M998" s="11">
        <v>0</v>
      </c>
      <c r="N998" s="11">
        <v>0</v>
      </c>
      <c r="O998" s="12" t="str">
        <f t="shared" si="15"/>
        <v>30 - 39</v>
      </c>
    </row>
    <row r="999" spans="1:15" x14ac:dyDescent="0.35">
      <c r="A999" s="12">
        <v>3952</v>
      </c>
      <c r="B999" s="12" t="s">
        <v>12</v>
      </c>
      <c r="C999" s="12">
        <v>36</v>
      </c>
      <c r="D999" s="12" t="s">
        <v>13</v>
      </c>
      <c r="E999" s="12" t="s">
        <v>14</v>
      </c>
      <c r="F999" s="12">
        <v>130</v>
      </c>
      <c r="G999" s="12">
        <v>25</v>
      </c>
      <c r="H999" s="12">
        <v>0.05</v>
      </c>
      <c r="I999" s="12" t="s">
        <v>19</v>
      </c>
      <c r="J999" s="12">
        <v>32</v>
      </c>
      <c r="K999" s="12">
        <v>0</v>
      </c>
      <c r="L999" s="12">
        <v>1</v>
      </c>
      <c r="M999" s="12">
        <v>0</v>
      </c>
      <c r="N999" s="12">
        <v>0</v>
      </c>
      <c r="O999" s="12" t="str">
        <f t="shared" si="15"/>
        <v>30 - 39</v>
      </c>
    </row>
    <row r="1000" spans="1:15" x14ac:dyDescent="0.35">
      <c r="A1000" s="11">
        <v>3957</v>
      </c>
      <c r="B1000" s="11" t="s">
        <v>12</v>
      </c>
      <c r="C1000" s="11">
        <v>54</v>
      </c>
      <c r="D1000" s="11" t="s">
        <v>26</v>
      </c>
      <c r="E1000" s="11" t="s">
        <v>14</v>
      </c>
      <c r="F1000" s="11">
        <v>120</v>
      </c>
      <c r="G1000" s="11">
        <v>71</v>
      </c>
      <c r="H1000" s="11">
        <v>0.35</v>
      </c>
      <c r="I1000" s="11" t="s">
        <v>23</v>
      </c>
      <c r="J1000" s="11">
        <v>46</v>
      </c>
      <c r="K1000" s="11">
        <v>0</v>
      </c>
      <c r="L1000" s="11">
        <v>0</v>
      </c>
      <c r="M1000" s="11">
        <v>0</v>
      </c>
      <c r="N1000" s="11">
        <v>0</v>
      </c>
      <c r="O1000" s="12" t="str">
        <f t="shared" si="15"/>
        <v>40 - 49</v>
      </c>
    </row>
    <row r="1001" spans="1:15" x14ac:dyDescent="0.35">
      <c r="A1001" s="12">
        <v>3959</v>
      </c>
      <c r="B1001" s="12" t="s">
        <v>20</v>
      </c>
      <c r="C1001" s="12">
        <v>32</v>
      </c>
      <c r="D1001" s="12" t="s">
        <v>26</v>
      </c>
      <c r="E1001" s="12" t="s">
        <v>14</v>
      </c>
      <c r="F1001" s="12">
        <v>133</v>
      </c>
      <c r="G1001" s="12">
        <v>75</v>
      </c>
      <c r="H1001" s="12">
        <v>0.22</v>
      </c>
      <c r="I1001" s="12" t="s">
        <v>23</v>
      </c>
      <c r="J1001" s="12">
        <v>28</v>
      </c>
      <c r="K1001" s="12">
        <v>0</v>
      </c>
      <c r="L1001" s="12">
        <v>0</v>
      </c>
      <c r="M1001" s="12">
        <v>0</v>
      </c>
      <c r="N1001" s="12">
        <v>0</v>
      </c>
      <c r="O1001" s="12" t="str">
        <f t="shared" si="15"/>
        <v>20 - 29</v>
      </c>
    </row>
    <row r="1002" spans="1:15" x14ac:dyDescent="0.35">
      <c r="A1002" s="11">
        <v>3960</v>
      </c>
      <c r="B1002" s="11" t="s">
        <v>16</v>
      </c>
      <c r="C1002" s="11">
        <v>25</v>
      </c>
      <c r="D1002" s="11" t="s">
        <v>13</v>
      </c>
      <c r="E1002" s="11" t="s">
        <v>14</v>
      </c>
      <c r="F1002" s="11">
        <v>159</v>
      </c>
      <c r="G1002" s="11">
        <v>16</v>
      </c>
      <c r="H1002" s="11">
        <v>0.56999999999999995</v>
      </c>
      <c r="I1002" s="11" t="s">
        <v>23</v>
      </c>
      <c r="J1002" s="11">
        <v>17</v>
      </c>
      <c r="K1002" s="11">
        <v>0</v>
      </c>
      <c r="L1002" s="11">
        <v>0</v>
      </c>
      <c r="M1002" s="11">
        <v>0</v>
      </c>
      <c r="N1002" s="11">
        <v>0</v>
      </c>
      <c r="O1002" s="12" t="str">
        <f t="shared" si="15"/>
        <v>10 - 19</v>
      </c>
    </row>
    <row r="1003" spans="1:15" x14ac:dyDescent="0.35">
      <c r="A1003" s="12">
        <v>3974</v>
      </c>
      <c r="B1003" s="12" t="s">
        <v>16</v>
      </c>
      <c r="C1003" s="12">
        <v>57</v>
      </c>
      <c r="D1003" s="12" t="s">
        <v>29</v>
      </c>
      <c r="E1003" s="12" t="s">
        <v>14</v>
      </c>
      <c r="F1003" s="12">
        <v>104</v>
      </c>
      <c r="G1003" s="12">
        <v>78</v>
      </c>
      <c r="H1003" s="12">
        <v>0.42</v>
      </c>
      <c r="I1003" s="12" t="s">
        <v>19</v>
      </c>
      <c r="J1003" s="12">
        <v>43</v>
      </c>
      <c r="K1003" s="12">
        <v>0</v>
      </c>
      <c r="L1003" s="12">
        <v>0</v>
      </c>
      <c r="M1003" s="12">
        <v>0</v>
      </c>
      <c r="N1003" s="12">
        <v>0</v>
      </c>
      <c r="O1003" s="12" t="str">
        <f t="shared" si="15"/>
        <v>40 - 49</v>
      </c>
    </row>
    <row r="1004" spans="1:15" x14ac:dyDescent="0.35">
      <c r="A1004" s="11">
        <v>3977</v>
      </c>
      <c r="B1004" s="11" t="s">
        <v>16</v>
      </c>
      <c r="C1004" s="11">
        <v>49</v>
      </c>
      <c r="D1004" s="11" t="s">
        <v>25</v>
      </c>
      <c r="E1004" s="11" t="s">
        <v>14</v>
      </c>
      <c r="F1004" s="11">
        <v>120</v>
      </c>
      <c r="G1004" s="11">
        <v>3</v>
      </c>
      <c r="H1004" s="11">
        <v>0.11</v>
      </c>
      <c r="I1004" s="11" t="s">
        <v>15</v>
      </c>
      <c r="J1004" s="11">
        <v>24</v>
      </c>
      <c r="K1004" s="11">
        <v>0</v>
      </c>
      <c r="L1004" s="11">
        <v>0</v>
      </c>
      <c r="M1004" s="11">
        <v>0</v>
      </c>
      <c r="N1004" s="11">
        <v>0</v>
      </c>
      <c r="O1004" s="12" t="str">
        <f t="shared" si="15"/>
        <v>20 - 29</v>
      </c>
    </row>
    <row r="1005" spans="1:15" x14ac:dyDescent="0.35">
      <c r="A1005" s="12">
        <v>3978</v>
      </c>
      <c r="B1005" s="12" t="s">
        <v>16</v>
      </c>
      <c r="C1005" s="12">
        <v>29</v>
      </c>
      <c r="D1005" s="12" t="s">
        <v>28</v>
      </c>
      <c r="E1005" s="12" t="s">
        <v>14</v>
      </c>
      <c r="F1005" s="12">
        <v>229</v>
      </c>
      <c r="G1005" s="12">
        <v>56</v>
      </c>
      <c r="H1005" s="12">
        <v>0.23</v>
      </c>
      <c r="I1005" s="12" t="s">
        <v>23</v>
      </c>
      <c r="J1005" s="12">
        <v>37</v>
      </c>
      <c r="K1005" s="12">
        <v>0</v>
      </c>
      <c r="L1005" s="12">
        <v>0</v>
      </c>
      <c r="M1005" s="12">
        <v>0</v>
      </c>
      <c r="N1005" s="12">
        <v>0</v>
      </c>
      <c r="O1005" s="12" t="str">
        <f t="shared" si="15"/>
        <v>30 - 39</v>
      </c>
    </row>
    <row r="1006" spans="1:15" x14ac:dyDescent="0.35">
      <c r="A1006" s="11">
        <v>3983</v>
      </c>
      <c r="B1006" s="11" t="s">
        <v>16</v>
      </c>
      <c r="C1006" s="11">
        <v>44</v>
      </c>
      <c r="D1006" s="11" t="s">
        <v>27</v>
      </c>
      <c r="E1006" s="11" t="s">
        <v>14</v>
      </c>
      <c r="F1006" s="11">
        <v>148</v>
      </c>
      <c r="G1006" s="11">
        <v>62</v>
      </c>
      <c r="H1006" s="11">
        <v>0</v>
      </c>
      <c r="I1006" s="11" t="s">
        <v>15</v>
      </c>
      <c r="J1006" s="11">
        <v>37</v>
      </c>
      <c r="K1006" s="11">
        <v>0</v>
      </c>
      <c r="L1006" s="11">
        <v>0</v>
      </c>
      <c r="M1006" s="11">
        <v>0</v>
      </c>
      <c r="N1006" s="11">
        <v>0</v>
      </c>
      <c r="O1006" s="12" t="str">
        <f t="shared" si="15"/>
        <v>30 - 39</v>
      </c>
    </row>
    <row r="1007" spans="1:15" x14ac:dyDescent="0.35">
      <c r="A1007" s="12">
        <v>3987</v>
      </c>
      <c r="B1007" s="12" t="s">
        <v>16</v>
      </c>
      <c r="C1007" s="12">
        <v>25</v>
      </c>
      <c r="D1007" s="12" t="s">
        <v>21</v>
      </c>
      <c r="E1007" s="12" t="s">
        <v>14</v>
      </c>
      <c r="F1007" s="12">
        <v>239</v>
      </c>
      <c r="G1007" s="12">
        <v>16</v>
      </c>
      <c r="H1007" s="12">
        <v>0.57999999999999996</v>
      </c>
      <c r="I1007" s="12" t="s">
        <v>15</v>
      </c>
      <c r="J1007" s="12">
        <v>35</v>
      </c>
      <c r="K1007" s="12">
        <v>0</v>
      </c>
      <c r="L1007" s="12">
        <v>1</v>
      </c>
      <c r="M1007" s="12">
        <v>0</v>
      </c>
      <c r="N1007" s="12">
        <v>0</v>
      </c>
      <c r="O1007" s="12" t="str">
        <f t="shared" si="15"/>
        <v>30 - 39</v>
      </c>
    </row>
    <row r="1008" spans="1:15" x14ac:dyDescent="0.35">
      <c r="A1008" s="11">
        <v>3992</v>
      </c>
      <c r="B1008" s="11" t="s">
        <v>16</v>
      </c>
      <c r="C1008" s="11">
        <v>22</v>
      </c>
      <c r="D1008" s="11" t="s">
        <v>29</v>
      </c>
      <c r="E1008" s="11" t="s">
        <v>14</v>
      </c>
      <c r="F1008" s="11">
        <v>278</v>
      </c>
      <c r="G1008" s="11">
        <v>40</v>
      </c>
      <c r="H1008" s="11">
        <v>0.25</v>
      </c>
      <c r="I1008" s="11" t="s">
        <v>15</v>
      </c>
      <c r="J1008" s="11">
        <v>35</v>
      </c>
      <c r="K1008" s="11">
        <v>0</v>
      </c>
      <c r="L1008" s="11">
        <v>0</v>
      </c>
      <c r="M1008" s="11">
        <v>0</v>
      </c>
      <c r="N1008" s="11">
        <v>0</v>
      </c>
      <c r="O1008" s="12" t="str">
        <f t="shared" si="15"/>
        <v>30 - 39</v>
      </c>
    </row>
    <row r="1009" spans="1:15" x14ac:dyDescent="0.35">
      <c r="A1009" s="12">
        <v>3997</v>
      </c>
      <c r="B1009" s="12" t="s">
        <v>12</v>
      </c>
      <c r="C1009" s="12">
        <v>37</v>
      </c>
      <c r="D1009" s="12" t="s">
        <v>27</v>
      </c>
      <c r="E1009" s="12" t="s">
        <v>14</v>
      </c>
      <c r="F1009" s="12">
        <v>283</v>
      </c>
      <c r="G1009" s="12">
        <v>60</v>
      </c>
      <c r="H1009" s="12">
        <v>0.3</v>
      </c>
      <c r="I1009" s="12" t="s">
        <v>15</v>
      </c>
      <c r="J1009" s="12">
        <v>42</v>
      </c>
      <c r="K1009" s="12">
        <v>0</v>
      </c>
      <c r="L1009" s="12">
        <v>1</v>
      </c>
      <c r="M1009" s="12">
        <v>0</v>
      </c>
      <c r="N1009" s="12">
        <v>0</v>
      </c>
      <c r="O1009" s="12" t="str">
        <f t="shared" si="15"/>
        <v>40 - 49</v>
      </c>
    </row>
    <row r="1010" spans="1:15" x14ac:dyDescent="0.35">
      <c r="A1010" s="11">
        <v>3999</v>
      </c>
      <c r="B1010" s="11" t="s">
        <v>16</v>
      </c>
      <c r="C1010" s="11">
        <v>43</v>
      </c>
      <c r="D1010" s="11" t="s">
        <v>28</v>
      </c>
      <c r="E1010" s="11" t="s">
        <v>14</v>
      </c>
      <c r="F1010" s="11">
        <v>17</v>
      </c>
      <c r="G1010" s="11">
        <v>54</v>
      </c>
      <c r="H1010" s="11">
        <v>0.47</v>
      </c>
      <c r="I1010" s="11" t="s">
        <v>23</v>
      </c>
      <c r="J1010" s="11">
        <v>41</v>
      </c>
      <c r="K1010" s="11">
        <v>0</v>
      </c>
      <c r="L1010" s="11">
        <v>0</v>
      </c>
      <c r="M1010" s="11">
        <v>0</v>
      </c>
      <c r="N1010" s="11">
        <v>0</v>
      </c>
      <c r="O1010" s="12" t="str">
        <f t="shared" si="15"/>
        <v>40 - 49</v>
      </c>
    </row>
    <row r="1011" spans="1:15" x14ac:dyDescent="0.35">
      <c r="A1011" s="12">
        <v>4002</v>
      </c>
      <c r="B1011" s="12" t="s">
        <v>12</v>
      </c>
      <c r="C1011" s="12">
        <v>30</v>
      </c>
      <c r="D1011" s="12" t="s">
        <v>25</v>
      </c>
      <c r="E1011" s="12" t="s">
        <v>14</v>
      </c>
      <c r="F1011" s="12">
        <v>12</v>
      </c>
      <c r="G1011" s="12">
        <v>71</v>
      </c>
      <c r="H1011" s="12">
        <v>0</v>
      </c>
      <c r="I1011" s="12" t="s">
        <v>15</v>
      </c>
      <c r="J1011" s="12">
        <v>10</v>
      </c>
      <c r="K1011" s="12">
        <v>0</v>
      </c>
      <c r="L1011" s="12">
        <v>0</v>
      </c>
      <c r="M1011" s="12">
        <v>0</v>
      </c>
      <c r="N1011" s="12">
        <v>0</v>
      </c>
      <c r="O1011" s="12" t="str">
        <f t="shared" si="15"/>
        <v>10 - 19</v>
      </c>
    </row>
    <row r="1012" spans="1:15" x14ac:dyDescent="0.35">
      <c r="A1012" s="11">
        <v>4006</v>
      </c>
      <c r="B1012" s="11" t="s">
        <v>16</v>
      </c>
      <c r="C1012" s="11">
        <v>45</v>
      </c>
      <c r="D1012" s="11" t="s">
        <v>29</v>
      </c>
      <c r="E1012" s="11" t="s">
        <v>14</v>
      </c>
      <c r="F1012" s="11">
        <v>139</v>
      </c>
      <c r="G1012" s="11">
        <v>79</v>
      </c>
      <c r="H1012" s="11">
        <v>0.08</v>
      </c>
      <c r="I1012" s="11" t="s">
        <v>15</v>
      </c>
      <c r="J1012" s="11">
        <v>44</v>
      </c>
      <c r="K1012" s="11">
        <v>0</v>
      </c>
      <c r="L1012" s="11">
        <v>0</v>
      </c>
      <c r="M1012" s="11">
        <v>0</v>
      </c>
      <c r="N1012" s="11">
        <v>0</v>
      </c>
      <c r="O1012" s="12" t="str">
        <f t="shared" si="15"/>
        <v>40 - 49</v>
      </c>
    </row>
    <row r="1013" spans="1:15" x14ac:dyDescent="0.35">
      <c r="A1013" s="12">
        <v>4007</v>
      </c>
      <c r="B1013" s="12" t="s">
        <v>20</v>
      </c>
      <c r="C1013" s="12">
        <v>42</v>
      </c>
      <c r="D1013" s="12" t="s">
        <v>13</v>
      </c>
      <c r="E1013" s="12" t="s">
        <v>14</v>
      </c>
      <c r="F1013" s="12">
        <v>102</v>
      </c>
      <c r="G1013" s="12">
        <v>58</v>
      </c>
      <c r="H1013" s="12">
        <v>0.03</v>
      </c>
      <c r="I1013" s="12" t="s">
        <v>19</v>
      </c>
      <c r="J1013" s="12">
        <v>14</v>
      </c>
      <c r="K1013" s="12">
        <v>0</v>
      </c>
      <c r="L1013" s="12">
        <v>1</v>
      </c>
      <c r="M1013" s="12">
        <v>0</v>
      </c>
      <c r="N1013" s="12">
        <v>0</v>
      </c>
      <c r="O1013" s="12" t="str">
        <f t="shared" si="15"/>
        <v>10 - 19</v>
      </c>
    </row>
    <row r="1014" spans="1:15" x14ac:dyDescent="0.35">
      <c r="A1014" s="11">
        <v>4008</v>
      </c>
      <c r="B1014" s="11" t="s">
        <v>16</v>
      </c>
      <c r="C1014" s="11">
        <v>37</v>
      </c>
      <c r="D1014" s="11" t="s">
        <v>25</v>
      </c>
      <c r="E1014" s="11" t="s">
        <v>14</v>
      </c>
      <c r="F1014" s="11">
        <v>151</v>
      </c>
      <c r="G1014" s="11">
        <v>63</v>
      </c>
      <c r="H1014" s="11">
        <v>0.16</v>
      </c>
      <c r="I1014" s="11" t="s">
        <v>23</v>
      </c>
      <c r="J1014" s="11">
        <v>29</v>
      </c>
      <c r="K1014" s="11">
        <v>0</v>
      </c>
      <c r="L1014" s="11">
        <v>0</v>
      </c>
      <c r="M1014" s="11">
        <v>0</v>
      </c>
      <c r="N1014" s="11">
        <v>0</v>
      </c>
      <c r="O1014" s="12" t="str">
        <f t="shared" si="15"/>
        <v>20 - 29</v>
      </c>
    </row>
    <row r="1015" spans="1:15" x14ac:dyDescent="0.35">
      <c r="A1015" s="12">
        <v>4022</v>
      </c>
      <c r="B1015" s="12" t="s">
        <v>12</v>
      </c>
      <c r="C1015" s="12">
        <v>44</v>
      </c>
      <c r="D1015" s="12" t="s">
        <v>29</v>
      </c>
      <c r="E1015" s="12" t="s">
        <v>14</v>
      </c>
      <c r="F1015" s="12">
        <v>140</v>
      </c>
      <c r="G1015" s="12">
        <v>92</v>
      </c>
      <c r="H1015" s="12">
        <v>0.12</v>
      </c>
      <c r="I1015" s="12" t="s">
        <v>15</v>
      </c>
      <c r="J1015" s="12">
        <v>39</v>
      </c>
      <c r="K1015" s="12">
        <v>0</v>
      </c>
      <c r="L1015" s="12">
        <v>0</v>
      </c>
      <c r="M1015" s="12">
        <v>0</v>
      </c>
      <c r="N1015" s="12">
        <v>0</v>
      </c>
      <c r="O1015" s="12" t="str">
        <f t="shared" si="15"/>
        <v>30 - 39</v>
      </c>
    </row>
    <row r="1016" spans="1:15" x14ac:dyDescent="0.35">
      <c r="A1016" s="11">
        <v>4024</v>
      </c>
      <c r="B1016" s="11" t="s">
        <v>12</v>
      </c>
      <c r="C1016" s="11">
        <v>41</v>
      </c>
      <c r="D1016" s="11" t="s">
        <v>28</v>
      </c>
      <c r="E1016" s="11" t="s">
        <v>14</v>
      </c>
      <c r="F1016" s="11">
        <v>139</v>
      </c>
      <c r="G1016" s="11">
        <v>18</v>
      </c>
      <c r="H1016" s="11">
        <v>0.25</v>
      </c>
      <c r="I1016" s="11" t="s">
        <v>19</v>
      </c>
      <c r="J1016" s="11">
        <v>17</v>
      </c>
      <c r="K1016" s="11">
        <v>0</v>
      </c>
      <c r="L1016" s="11">
        <v>0</v>
      </c>
      <c r="M1016" s="11">
        <v>0</v>
      </c>
      <c r="N1016" s="11">
        <v>0</v>
      </c>
      <c r="O1016" s="12" t="str">
        <f t="shared" si="15"/>
        <v>10 - 19</v>
      </c>
    </row>
    <row r="1017" spans="1:15" x14ac:dyDescent="0.35">
      <c r="A1017" s="12">
        <v>4026</v>
      </c>
      <c r="B1017" s="12" t="s">
        <v>20</v>
      </c>
      <c r="C1017" s="12">
        <v>18</v>
      </c>
      <c r="D1017" s="12" t="s">
        <v>26</v>
      </c>
      <c r="E1017" s="12" t="s">
        <v>14</v>
      </c>
      <c r="F1017" s="12">
        <v>78</v>
      </c>
      <c r="G1017" s="12">
        <v>64</v>
      </c>
      <c r="H1017" s="12">
        <v>0</v>
      </c>
      <c r="I1017" s="12" t="s">
        <v>15</v>
      </c>
      <c r="J1017" s="12">
        <v>23</v>
      </c>
      <c r="K1017" s="12">
        <v>0</v>
      </c>
      <c r="L1017" s="12">
        <v>1</v>
      </c>
      <c r="M1017" s="12">
        <v>0</v>
      </c>
      <c r="N1017" s="12">
        <v>0</v>
      </c>
      <c r="O1017" s="12" t="str">
        <f t="shared" si="15"/>
        <v>20 - 29</v>
      </c>
    </row>
    <row r="1018" spans="1:15" x14ac:dyDescent="0.35">
      <c r="A1018" s="11">
        <v>4030</v>
      </c>
      <c r="B1018" s="11" t="s">
        <v>16</v>
      </c>
      <c r="C1018" s="11">
        <v>35</v>
      </c>
      <c r="D1018" s="11" t="s">
        <v>25</v>
      </c>
      <c r="E1018" s="11" t="s">
        <v>14</v>
      </c>
      <c r="F1018" s="11">
        <v>294</v>
      </c>
      <c r="G1018" s="11">
        <v>97</v>
      </c>
      <c r="H1018" s="11">
        <v>0.57999999999999996</v>
      </c>
      <c r="I1018" s="11" t="s">
        <v>19</v>
      </c>
      <c r="J1018" s="11">
        <v>25</v>
      </c>
      <c r="K1018" s="11">
        <v>0</v>
      </c>
      <c r="L1018" s="11">
        <v>0</v>
      </c>
      <c r="M1018" s="11">
        <v>0</v>
      </c>
      <c r="N1018" s="11">
        <v>0</v>
      </c>
      <c r="O1018" s="12" t="str">
        <f t="shared" si="15"/>
        <v>20 - 29</v>
      </c>
    </row>
    <row r="1019" spans="1:15" x14ac:dyDescent="0.35">
      <c r="A1019" s="12">
        <v>4031</v>
      </c>
      <c r="B1019" s="12" t="s">
        <v>16</v>
      </c>
      <c r="C1019" s="12">
        <v>46</v>
      </c>
      <c r="D1019" s="12" t="s">
        <v>17</v>
      </c>
      <c r="E1019" s="12" t="s">
        <v>14</v>
      </c>
      <c r="F1019" s="12">
        <v>274</v>
      </c>
      <c r="G1019" s="12">
        <v>48</v>
      </c>
      <c r="H1019" s="12">
        <v>0.15</v>
      </c>
      <c r="I1019" s="12" t="s">
        <v>23</v>
      </c>
      <c r="J1019" s="12">
        <v>29</v>
      </c>
      <c r="K1019" s="12">
        <v>0</v>
      </c>
      <c r="L1019" s="12">
        <v>0</v>
      </c>
      <c r="M1019" s="12">
        <v>0</v>
      </c>
      <c r="N1019" s="12">
        <v>0</v>
      </c>
      <c r="O1019" s="12" t="str">
        <f t="shared" si="15"/>
        <v>20 - 29</v>
      </c>
    </row>
    <row r="1020" spans="1:15" x14ac:dyDescent="0.35">
      <c r="A1020" s="11">
        <v>4032</v>
      </c>
      <c r="B1020" s="11" t="s">
        <v>12</v>
      </c>
      <c r="C1020" s="11">
        <v>47</v>
      </c>
      <c r="D1020" s="11" t="s">
        <v>21</v>
      </c>
      <c r="E1020" s="11" t="s">
        <v>14</v>
      </c>
      <c r="F1020" s="11">
        <v>101</v>
      </c>
      <c r="G1020" s="11">
        <v>25</v>
      </c>
      <c r="H1020" s="11">
        <v>0.51</v>
      </c>
      <c r="I1020" s="11" t="s">
        <v>15</v>
      </c>
      <c r="J1020" s="11">
        <v>19</v>
      </c>
      <c r="K1020" s="11">
        <v>0</v>
      </c>
      <c r="L1020" s="11">
        <v>0</v>
      </c>
      <c r="M1020" s="11">
        <v>0</v>
      </c>
      <c r="N1020" s="11">
        <v>0</v>
      </c>
      <c r="O1020" s="12" t="str">
        <f t="shared" si="15"/>
        <v>10 - 19</v>
      </c>
    </row>
    <row r="1021" spans="1:15" x14ac:dyDescent="0.35">
      <c r="A1021" s="12">
        <v>4041</v>
      </c>
      <c r="B1021" s="12" t="s">
        <v>12</v>
      </c>
      <c r="C1021" s="12">
        <v>38</v>
      </c>
      <c r="D1021" s="12" t="s">
        <v>17</v>
      </c>
      <c r="E1021" s="12" t="s">
        <v>14</v>
      </c>
      <c r="F1021" s="12">
        <v>46</v>
      </c>
      <c r="G1021" s="12">
        <v>49</v>
      </c>
      <c r="H1021" s="12">
        <v>0.4</v>
      </c>
      <c r="I1021" s="12" t="s">
        <v>15</v>
      </c>
      <c r="J1021" s="12">
        <v>26</v>
      </c>
      <c r="K1021" s="12">
        <v>0</v>
      </c>
      <c r="L1021" s="12">
        <v>1</v>
      </c>
      <c r="M1021" s="12">
        <v>0</v>
      </c>
      <c r="N1021" s="12">
        <v>0</v>
      </c>
      <c r="O1021" s="12" t="str">
        <f t="shared" si="15"/>
        <v>20 - 29</v>
      </c>
    </row>
    <row r="1022" spans="1:15" x14ac:dyDescent="0.35">
      <c r="A1022" s="11">
        <v>4060</v>
      </c>
      <c r="B1022" s="11" t="s">
        <v>12</v>
      </c>
      <c r="C1022" s="11">
        <v>50</v>
      </c>
      <c r="D1022" s="11" t="s">
        <v>26</v>
      </c>
      <c r="E1022" s="11" t="s">
        <v>14</v>
      </c>
      <c r="F1022" s="11">
        <v>229</v>
      </c>
      <c r="G1022" s="11">
        <v>71</v>
      </c>
      <c r="H1022" s="11">
        <v>0.54</v>
      </c>
      <c r="I1022" s="11" t="s">
        <v>15</v>
      </c>
      <c r="J1022" s="11">
        <v>32</v>
      </c>
      <c r="K1022" s="11">
        <v>0</v>
      </c>
      <c r="L1022" s="11">
        <v>1</v>
      </c>
      <c r="M1022" s="11">
        <v>0</v>
      </c>
      <c r="N1022" s="11">
        <v>0</v>
      </c>
      <c r="O1022" s="12" t="str">
        <f t="shared" si="15"/>
        <v>30 - 39</v>
      </c>
    </row>
    <row r="1023" spans="1:15" x14ac:dyDescent="0.35">
      <c r="A1023" s="12">
        <v>4064</v>
      </c>
      <c r="B1023" s="12" t="s">
        <v>20</v>
      </c>
      <c r="C1023" s="12">
        <v>26</v>
      </c>
      <c r="D1023" s="12" t="s">
        <v>13</v>
      </c>
      <c r="E1023" s="12" t="s">
        <v>14</v>
      </c>
      <c r="F1023" s="12">
        <v>176</v>
      </c>
      <c r="G1023" s="12">
        <v>20</v>
      </c>
      <c r="H1023" s="12">
        <v>0.48</v>
      </c>
      <c r="I1023" s="12" t="s">
        <v>15</v>
      </c>
      <c r="J1023" s="12">
        <v>47</v>
      </c>
      <c r="K1023" s="12">
        <v>0</v>
      </c>
      <c r="L1023" s="12">
        <v>1</v>
      </c>
      <c r="M1023" s="12">
        <v>0</v>
      </c>
      <c r="N1023" s="12">
        <v>0</v>
      </c>
      <c r="O1023" s="12" t="str">
        <f t="shared" si="15"/>
        <v>40 - 49</v>
      </c>
    </row>
    <row r="1024" spans="1:15" x14ac:dyDescent="0.35">
      <c r="A1024" s="11">
        <v>4065</v>
      </c>
      <c r="B1024" s="11" t="s">
        <v>20</v>
      </c>
      <c r="C1024" s="11">
        <v>53</v>
      </c>
      <c r="D1024" s="11" t="s">
        <v>26</v>
      </c>
      <c r="E1024" s="11" t="s">
        <v>14</v>
      </c>
      <c r="F1024" s="11">
        <v>31</v>
      </c>
      <c r="G1024" s="11">
        <v>72</v>
      </c>
      <c r="H1024" s="11">
        <v>0.46</v>
      </c>
      <c r="I1024" s="11" t="s">
        <v>19</v>
      </c>
      <c r="J1024" s="11">
        <v>5</v>
      </c>
      <c r="K1024" s="11">
        <v>0</v>
      </c>
      <c r="L1024" s="11">
        <v>0</v>
      </c>
      <c r="M1024" s="11">
        <v>0</v>
      </c>
      <c r="N1024" s="11">
        <v>0</v>
      </c>
      <c r="O1024" s="12" t="str">
        <f t="shared" si="15"/>
        <v>0 - 9</v>
      </c>
    </row>
    <row r="1025" spans="1:15" x14ac:dyDescent="0.35">
      <c r="A1025" s="12">
        <v>4066</v>
      </c>
      <c r="B1025" s="12" t="s">
        <v>16</v>
      </c>
      <c r="C1025" s="12">
        <v>22</v>
      </c>
      <c r="D1025" s="12" t="s">
        <v>25</v>
      </c>
      <c r="E1025" s="12" t="s">
        <v>14</v>
      </c>
      <c r="F1025" s="12">
        <v>250</v>
      </c>
      <c r="G1025" s="12">
        <v>26</v>
      </c>
      <c r="H1025" s="12">
        <v>0.21</v>
      </c>
      <c r="I1025" s="12" t="s">
        <v>23</v>
      </c>
      <c r="J1025" s="12">
        <v>28</v>
      </c>
      <c r="K1025" s="12">
        <v>0</v>
      </c>
      <c r="L1025" s="12">
        <v>0</v>
      </c>
      <c r="M1025" s="12">
        <v>0</v>
      </c>
      <c r="N1025" s="12">
        <v>0</v>
      </c>
      <c r="O1025" s="12" t="str">
        <f t="shared" si="15"/>
        <v>20 - 29</v>
      </c>
    </row>
    <row r="1026" spans="1:15" x14ac:dyDescent="0.35">
      <c r="A1026" s="11">
        <v>4078</v>
      </c>
      <c r="B1026" s="11" t="s">
        <v>20</v>
      </c>
      <c r="C1026" s="11">
        <v>24</v>
      </c>
      <c r="D1026" s="11" t="s">
        <v>29</v>
      </c>
      <c r="E1026" s="11" t="s">
        <v>14</v>
      </c>
      <c r="F1026" s="11">
        <v>73</v>
      </c>
      <c r="G1026" s="11">
        <v>18</v>
      </c>
      <c r="H1026" s="11">
        <v>0.55000000000000004</v>
      </c>
      <c r="I1026" s="11" t="s">
        <v>15</v>
      </c>
      <c r="J1026" s="11">
        <v>33</v>
      </c>
      <c r="K1026" s="11">
        <v>0</v>
      </c>
      <c r="L1026" s="11">
        <v>0</v>
      </c>
      <c r="M1026" s="11">
        <v>0</v>
      </c>
      <c r="N1026" s="11">
        <v>0</v>
      </c>
      <c r="O1026" s="12" t="str">
        <f t="shared" ref="O1026:O1089" si="16">_xlfn.FLOOR.MATH(J1026, 10) &amp; " - " &amp; (_xlfn.FLOOR.MATH(J1026, 10) + 9)</f>
        <v>30 - 39</v>
      </c>
    </row>
    <row r="1027" spans="1:15" x14ac:dyDescent="0.35">
      <c r="A1027" s="12">
        <v>4080</v>
      </c>
      <c r="B1027" s="12" t="s">
        <v>16</v>
      </c>
      <c r="C1027" s="12">
        <v>28</v>
      </c>
      <c r="D1027" s="12" t="s">
        <v>29</v>
      </c>
      <c r="E1027" s="12" t="s">
        <v>14</v>
      </c>
      <c r="F1027" s="12">
        <v>64</v>
      </c>
      <c r="G1027" s="12">
        <v>97</v>
      </c>
      <c r="H1027" s="12">
        <v>0.13</v>
      </c>
      <c r="I1027" s="12" t="s">
        <v>15</v>
      </c>
      <c r="J1027" s="12">
        <v>45</v>
      </c>
      <c r="K1027" s="12">
        <v>0</v>
      </c>
      <c r="L1027" s="12">
        <v>0</v>
      </c>
      <c r="M1027" s="12">
        <v>0</v>
      </c>
      <c r="N1027" s="12">
        <v>0</v>
      </c>
      <c r="O1027" s="12" t="str">
        <f t="shared" si="16"/>
        <v>40 - 49</v>
      </c>
    </row>
    <row r="1028" spans="1:15" x14ac:dyDescent="0.35">
      <c r="A1028" s="11">
        <v>4081</v>
      </c>
      <c r="B1028" s="11" t="s">
        <v>16</v>
      </c>
      <c r="C1028" s="11">
        <v>17</v>
      </c>
      <c r="D1028" s="11" t="s">
        <v>28</v>
      </c>
      <c r="E1028" s="11" t="s">
        <v>14</v>
      </c>
      <c r="F1028" s="11">
        <v>113</v>
      </c>
      <c r="G1028" s="11">
        <v>76</v>
      </c>
      <c r="H1028" s="11">
        <v>0.13</v>
      </c>
      <c r="I1028" s="11" t="s">
        <v>23</v>
      </c>
      <c r="J1028" s="11">
        <v>39</v>
      </c>
      <c r="K1028" s="11">
        <v>0</v>
      </c>
      <c r="L1028" s="11">
        <v>1</v>
      </c>
      <c r="M1028" s="11">
        <v>0</v>
      </c>
      <c r="N1028" s="11">
        <v>0</v>
      </c>
      <c r="O1028" s="12" t="str">
        <f t="shared" si="16"/>
        <v>30 - 39</v>
      </c>
    </row>
    <row r="1029" spans="1:15" x14ac:dyDescent="0.35">
      <c r="A1029" s="12">
        <v>4083</v>
      </c>
      <c r="B1029" s="12" t="s">
        <v>20</v>
      </c>
      <c r="C1029" s="12">
        <v>36</v>
      </c>
      <c r="D1029" s="12" t="s">
        <v>17</v>
      </c>
      <c r="E1029" s="12" t="s">
        <v>14</v>
      </c>
      <c r="F1029" s="12">
        <v>173</v>
      </c>
      <c r="G1029" s="12">
        <v>29</v>
      </c>
      <c r="H1029" s="12">
        <v>0.1</v>
      </c>
      <c r="I1029" s="12" t="s">
        <v>15</v>
      </c>
      <c r="J1029" s="12">
        <v>39</v>
      </c>
      <c r="K1029" s="12">
        <v>0</v>
      </c>
      <c r="L1029" s="12">
        <v>0</v>
      </c>
      <c r="M1029" s="12">
        <v>0</v>
      </c>
      <c r="N1029" s="12">
        <v>0</v>
      </c>
      <c r="O1029" s="12" t="str">
        <f t="shared" si="16"/>
        <v>30 - 39</v>
      </c>
    </row>
    <row r="1030" spans="1:15" x14ac:dyDescent="0.35">
      <c r="A1030" s="11">
        <v>4087</v>
      </c>
      <c r="B1030" s="11" t="s">
        <v>12</v>
      </c>
      <c r="C1030" s="11">
        <v>26</v>
      </c>
      <c r="D1030" s="11" t="s">
        <v>13</v>
      </c>
      <c r="E1030" s="11" t="s">
        <v>14</v>
      </c>
      <c r="F1030" s="11">
        <v>41</v>
      </c>
      <c r="G1030" s="11">
        <v>49</v>
      </c>
      <c r="H1030" s="11">
        <v>0.46</v>
      </c>
      <c r="I1030" s="11" t="s">
        <v>15</v>
      </c>
      <c r="J1030" s="11">
        <v>24</v>
      </c>
      <c r="K1030" s="11">
        <v>0</v>
      </c>
      <c r="L1030" s="11">
        <v>0</v>
      </c>
      <c r="M1030" s="11">
        <v>0</v>
      </c>
      <c r="N1030" s="11">
        <v>0</v>
      </c>
      <c r="O1030" s="12" t="str">
        <f t="shared" si="16"/>
        <v>20 - 29</v>
      </c>
    </row>
    <row r="1031" spans="1:15" x14ac:dyDescent="0.35">
      <c r="A1031" s="12">
        <v>4088</v>
      </c>
      <c r="B1031" s="12" t="s">
        <v>12</v>
      </c>
      <c r="C1031" s="12">
        <v>20</v>
      </c>
      <c r="D1031" s="12" t="s">
        <v>26</v>
      </c>
      <c r="E1031" s="12" t="s">
        <v>14</v>
      </c>
      <c r="F1031" s="12">
        <v>233</v>
      </c>
      <c r="G1031" s="12">
        <v>90</v>
      </c>
      <c r="H1031" s="12">
        <v>0.4</v>
      </c>
      <c r="I1031" s="12" t="s">
        <v>15</v>
      </c>
      <c r="J1031" s="12">
        <v>47</v>
      </c>
      <c r="K1031" s="12">
        <v>0</v>
      </c>
      <c r="L1031" s="12">
        <v>0</v>
      </c>
      <c r="M1031" s="12">
        <v>0</v>
      </c>
      <c r="N1031" s="12">
        <v>0</v>
      </c>
      <c r="O1031" s="12" t="str">
        <f t="shared" si="16"/>
        <v>40 - 49</v>
      </c>
    </row>
    <row r="1032" spans="1:15" x14ac:dyDescent="0.35">
      <c r="A1032" s="11">
        <v>4091</v>
      </c>
      <c r="B1032" s="11" t="s">
        <v>16</v>
      </c>
      <c r="C1032" s="11">
        <v>32</v>
      </c>
      <c r="D1032" s="11" t="s">
        <v>21</v>
      </c>
      <c r="E1032" s="11" t="s">
        <v>14</v>
      </c>
      <c r="F1032" s="11">
        <v>233</v>
      </c>
      <c r="G1032" s="11">
        <v>46</v>
      </c>
      <c r="H1032" s="11">
        <v>0.22</v>
      </c>
      <c r="I1032" s="11" t="s">
        <v>19</v>
      </c>
      <c r="J1032" s="11">
        <v>32</v>
      </c>
      <c r="K1032" s="11">
        <v>0</v>
      </c>
      <c r="L1032" s="11">
        <v>0</v>
      </c>
      <c r="M1032" s="11">
        <v>0</v>
      </c>
      <c r="N1032" s="11">
        <v>0</v>
      </c>
      <c r="O1032" s="12" t="str">
        <f t="shared" si="16"/>
        <v>30 - 39</v>
      </c>
    </row>
    <row r="1033" spans="1:15" x14ac:dyDescent="0.35">
      <c r="A1033" s="12">
        <v>4094</v>
      </c>
      <c r="B1033" s="12" t="s">
        <v>20</v>
      </c>
      <c r="C1033" s="12">
        <v>40</v>
      </c>
      <c r="D1033" s="12" t="s">
        <v>21</v>
      </c>
      <c r="E1033" s="12" t="s">
        <v>14</v>
      </c>
      <c r="F1033" s="12">
        <v>121</v>
      </c>
      <c r="G1033" s="12">
        <v>2</v>
      </c>
      <c r="H1033" s="12">
        <v>0.53</v>
      </c>
      <c r="I1033" s="12" t="s">
        <v>15</v>
      </c>
      <c r="J1033" s="12">
        <v>38</v>
      </c>
      <c r="K1033" s="12">
        <v>0</v>
      </c>
      <c r="L1033" s="12">
        <v>0</v>
      </c>
      <c r="M1033" s="12">
        <v>0</v>
      </c>
      <c r="N1033" s="12">
        <v>0</v>
      </c>
      <c r="O1033" s="12" t="str">
        <f t="shared" si="16"/>
        <v>30 - 39</v>
      </c>
    </row>
    <row r="1034" spans="1:15" x14ac:dyDescent="0.35">
      <c r="A1034" s="11">
        <v>4100</v>
      </c>
      <c r="B1034" s="11" t="s">
        <v>20</v>
      </c>
      <c r="C1034" s="11">
        <v>19</v>
      </c>
      <c r="D1034" s="11" t="s">
        <v>27</v>
      </c>
      <c r="E1034" s="11" t="s">
        <v>14</v>
      </c>
      <c r="F1034" s="11">
        <v>87</v>
      </c>
      <c r="G1034" s="11">
        <v>66</v>
      </c>
      <c r="H1034" s="11">
        <v>0.43</v>
      </c>
      <c r="I1034" s="11" t="s">
        <v>19</v>
      </c>
      <c r="J1034" s="11">
        <v>34</v>
      </c>
      <c r="K1034" s="11">
        <v>0</v>
      </c>
      <c r="L1034" s="11">
        <v>0</v>
      </c>
      <c r="M1034" s="11">
        <v>0</v>
      </c>
      <c r="N1034" s="11">
        <v>0</v>
      </c>
      <c r="O1034" s="12" t="str">
        <f t="shared" si="16"/>
        <v>30 - 39</v>
      </c>
    </row>
    <row r="1035" spans="1:15" x14ac:dyDescent="0.35">
      <c r="A1035" s="12">
        <v>4104</v>
      </c>
      <c r="B1035" s="12" t="s">
        <v>12</v>
      </c>
      <c r="C1035" s="12">
        <v>25</v>
      </c>
      <c r="D1035" s="12" t="s">
        <v>29</v>
      </c>
      <c r="E1035" s="12" t="s">
        <v>14</v>
      </c>
      <c r="F1035" s="12">
        <v>262</v>
      </c>
      <c r="G1035" s="12">
        <v>9</v>
      </c>
      <c r="H1035" s="12">
        <v>0.02</v>
      </c>
      <c r="I1035" s="12" t="s">
        <v>23</v>
      </c>
      <c r="J1035" s="12">
        <v>35</v>
      </c>
      <c r="K1035" s="12">
        <v>0</v>
      </c>
      <c r="L1035" s="12">
        <v>0</v>
      </c>
      <c r="M1035" s="12">
        <v>0</v>
      </c>
      <c r="N1035" s="12">
        <v>0</v>
      </c>
      <c r="O1035" s="12" t="str">
        <f t="shared" si="16"/>
        <v>30 - 39</v>
      </c>
    </row>
    <row r="1036" spans="1:15" x14ac:dyDescent="0.35">
      <c r="A1036" s="11">
        <v>4106</v>
      </c>
      <c r="B1036" s="11" t="s">
        <v>16</v>
      </c>
      <c r="C1036" s="11">
        <v>17</v>
      </c>
      <c r="D1036" s="11" t="s">
        <v>13</v>
      </c>
      <c r="E1036" s="11" t="s">
        <v>14</v>
      </c>
      <c r="F1036" s="11">
        <v>270</v>
      </c>
      <c r="G1036" s="11">
        <v>27</v>
      </c>
      <c r="H1036" s="11">
        <v>0.43</v>
      </c>
      <c r="I1036" s="11" t="s">
        <v>23</v>
      </c>
      <c r="J1036" s="11">
        <v>44</v>
      </c>
      <c r="K1036" s="11">
        <v>0</v>
      </c>
      <c r="L1036" s="11">
        <v>0</v>
      </c>
      <c r="M1036" s="11">
        <v>0</v>
      </c>
      <c r="N1036" s="11">
        <v>0</v>
      </c>
      <c r="O1036" s="12" t="str">
        <f t="shared" si="16"/>
        <v>40 - 49</v>
      </c>
    </row>
    <row r="1037" spans="1:15" x14ac:dyDescent="0.35">
      <c r="A1037" s="12">
        <v>4107</v>
      </c>
      <c r="B1037" s="12" t="s">
        <v>16</v>
      </c>
      <c r="C1037" s="12">
        <v>16</v>
      </c>
      <c r="D1037" s="12" t="s">
        <v>25</v>
      </c>
      <c r="E1037" s="12" t="s">
        <v>14</v>
      </c>
      <c r="F1037" s="12">
        <v>248</v>
      </c>
      <c r="G1037" s="12">
        <v>60</v>
      </c>
      <c r="H1037" s="12">
        <v>0.09</v>
      </c>
      <c r="I1037" s="12" t="s">
        <v>15</v>
      </c>
      <c r="J1037" s="12">
        <v>32</v>
      </c>
      <c r="K1037" s="12">
        <v>0</v>
      </c>
      <c r="L1037" s="12">
        <v>0</v>
      </c>
      <c r="M1037" s="12">
        <v>0</v>
      </c>
      <c r="N1037" s="12">
        <v>0</v>
      </c>
      <c r="O1037" s="12" t="str">
        <f t="shared" si="16"/>
        <v>30 - 39</v>
      </c>
    </row>
    <row r="1038" spans="1:15" x14ac:dyDescent="0.35">
      <c r="A1038" s="11">
        <v>4109</v>
      </c>
      <c r="B1038" s="11" t="s">
        <v>12</v>
      </c>
      <c r="C1038" s="11">
        <v>59</v>
      </c>
      <c r="D1038" s="11" t="s">
        <v>28</v>
      </c>
      <c r="E1038" s="11" t="s">
        <v>14</v>
      </c>
      <c r="F1038" s="11">
        <v>225</v>
      </c>
      <c r="G1038" s="11">
        <v>77</v>
      </c>
      <c r="H1038" s="11">
        <v>0.55000000000000004</v>
      </c>
      <c r="I1038" s="11" t="s">
        <v>23</v>
      </c>
      <c r="J1038" s="11">
        <v>27</v>
      </c>
      <c r="K1038" s="11">
        <v>0</v>
      </c>
      <c r="L1038" s="11">
        <v>0</v>
      </c>
      <c r="M1038" s="11">
        <v>0</v>
      </c>
      <c r="N1038" s="11">
        <v>0</v>
      </c>
      <c r="O1038" s="12" t="str">
        <f t="shared" si="16"/>
        <v>20 - 29</v>
      </c>
    </row>
    <row r="1039" spans="1:15" x14ac:dyDescent="0.35">
      <c r="A1039" s="12">
        <v>4116</v>
      </c>
      <c r="B1039" s="12" t="s">
        <v>12</v>
      </c>
      <c r="C1039" s="12">
        <v>52</v>
      </c>
      <c r="D1039" s="12" t="s">
        <v>29</v>
      </c>
      <c r="E1039" s="12" t="s">
        <v>14</v>
      </c>
      <c r="F1039" s="12">
        <v>250</v>
      </c>
      <c r="G1039" s="12">
        <v>70</v>
      </c>
      <c r="H1039" s="12">
        <v>0.48</v>
      </c>
      <c r="I1039" s="12" t="s">
        <v>19</v>
      </c>
      <c r="J1039" s="12">
        <v>43</v>
      </c>
      <c r="K1039" s="12">
        <v>0</v>
      </c>
      <c r="L1039" s="12">
        <v>1</v>
      </c>
      <c r="M1039" s="12">
        <v>0</v>
      </c>
      <c r="N1039" s="12">
        <v>0</v>
      </c>
      <c r="O1039" s="12" t="str">
        <f t="shared" si="16"/>
        <v>40 - 49</v>
      </c>
    </row>
    <row r="1040" spans="1:15" x14ac:dyDescent="0.35">
      <c r="A1040" s="11">
        <v>4124</v>
      </c>
      <c r="B1040" s="11" t="s">
        <v>20</v>
      </c>
      <c r="C1040" s="11">
        <v>55</v>
      </c>
      <c r="D1040" s="11" t="s">
        <v>21</v>
      </c>
      <c r="E1040" s="11" t="s">
        <v>14</v>
      </c>
      <c r="F1040" s="11">
        <v>79</v>
      </c>
      <c r="G1040" s="11">
        <v>55</v>
      </c>
      <c r="H1040" s="11">
        <v>0.1</v>
      </c>
      <c r="I1040" s="11" t="s">
        <v>23</v>
      </c>
      <c r="J1040" s="11">
        <v>47</v>
      </c>
      <c r="K1040" s="11">
        <v>0</v>
      </c>
      <c r="L1040" s="11">
        <v>0</v>
      </c>
      <c r="M1040" s="11">
        <v>0</v>
      </c>
      <c r="N1040" s="11">
        <v>0</v>
      </c>
      <c r="O1040" s="12" t="str">
        <f t="shared" si="16"/>
        <v>40 - 49</v>
      </c>
    </row>
    <row r="1041" spans="1:15" x14ac:dyDescent="0.35">
      <c r="A1041" s="12">
        <v>4127</v>
      </c>
      <c r="B1041" s="12" t="s">
        <v>20</v>
      </c>
      <c r="C1041" s="12">
        <v>42</v>
      </c>
      <c r="D1041" s="12" t="s">
        <v>17</v>
      </c>
      <c r="E1041" s="12" t="s">
        <v>14</v>
      </c>
      <c r="F1041" s="12">
        <v>234</v>
      </c>
      <c r="G1041" s="12">
        <v>16</v>
      </c>
      <c r="H1041" s="12">
        <v>0.13</v>
      </c>
      <c r="I1041" s="12" t="s">
        <v>23</v>
      </c>
      <c r="J1041" s="12">
        <v>16</v>
      </c>
      <c r="K1041" s="12">
        <v>0</v>
      </c>
      <c r="L1041" s="12">
        <v>0</v>
      </c>
      <c r="M1041" s="12">
        <v>0</v>
      </c>
      <c r="N1041" s="12">
        <v>0</v>
      </c>
      <c r="O1041" s="12" t="str">
        <f t="shared" si="16"/>
        <v>10 - 19</v>
      </c>
    </row>
    <row r="1042" spans="1:15" x14ac:dyDescent="0.35">
      <c r="A1042" s="11">
        <v>4128</v>
      </c>
      <c r="B1042" s="11" t="s">
        <v>20</v>
      </c>
      <c r="C1042" s="11">
        <v>39</v>
      </c>
      <c r="D1042" s="11" t="s">
        <v>21</v>
      </c>
      <c r="E1042" s="11" t="s">
        <v>14</v>
      </c>
      <c r="F1042" s="11">
        <v>195</v>
      </c>
      <c r="G1042" s="11">
        <v>82</v>
      </c>
      <c r="H1042" s="11">
        <v>0.56999999999999995</v>
      </c>
      <c r="I1042" s="11" t="s">
        <v>23</v>
      </c>
      <c r="J1042" s="11">
        <v>44</v>
      </c>
      <c r="K1042" s="11">
        <v>0</v>
      </c>
      <c r="L1042" s="11">
        <v>0</v>
      </c>
      <c r="M1042" s="11">
        <v>0</v>
      </c>
      <c r="N1042" s="11">
        <v>0</v>
      </c>
      <c r="O1042" s="12" t="str">
        <f t="shared" si="16"/>
        <v>40 - 49</v>
      </c>
    </row>
    <row r="1043" spans="1:15" x14ac:dyDescent="0.35">
      <c r="A1043" s="12">
        <v>4133</v>
      </c>
      <c r="B1043" s="12" t="s">
        <v>16</v>
      </c>
      <c r="C1043" s="12">
        <v>30</v>
      </c>
      <c r="D1043" s="12" t="s">
        <v>26</v>
      </c>
      <c r="E1043" s="12" t="s">
        <v>14</v>
      </c>
      <c r="F1043" s="12">
        <v>243</v>
      </c>
      <c r="G1043" s="12">
        <v>14</v>
      </c>
      <c r="H1043" s="12">
        <v>0</v>
      </c>
      <c r="I1043" s="12" t="s">
        <v>19</v>
      </c>
      <c r="J1043" s="12">
        <v>25</v>
      </c>
      <c r="K1043" s="12">
        <v>0</v>
      </c>
      <c r="L1043" s="12">
        <v>0</v>
      </c>
      <c r="M1043" s="12">
        <v>0</v>
      </c>
      <c r="N1043" s="12">
        <v>0</v>
      </c>
      <c r="O1043" s="12" t="str">
        <f t="shared" si="16"/>
        <v>20 - 29</v>
      </c>
    </row>
    <row r="1044" spans="1:15" x14ac:dyDescent="0.35">
      <c r="A1044" s="11">
        <v>4136</v>
      </c>
      <c r="B1044" s="11" t="s">
        <v>12</v>
      </c>
      <c r="C1044" s="11">
        <v>24</v>
      </c>
      <c r="D1044" s="11" t="s">
        <v>21</v>
      </c>
      <c r="E1044" s="11" t="s">
        <v>14</v>
      </c>
      <c r="F1044" s="11">
        <v>279</v>
      </c>
      <c r="G1044" s="11">
        <v>37</v>
      </c>
      <c r="H1044" s="11">
        <v>0.16</v>
      </c>
      <c r="I1044" s="11" t="s">
        <v>15</v>
      </c>
      <c r="J1044" s="11">
        <v>36</v>
      </c>
      <c r="K1044" s="11">
        <v>0</v>
      </c>
      <c r="L1044" s="11">
        <v>0</v>
      </c>
      <c r="M1044" s="11">
        <v>0</v>
      </c>
      <c r="N1044" s="11">
        <v>0</v>
      </c>
      <c r="O1044" s="12" t="str">
        <f t="shared" si="16"/>
        <v>30 - 39</v>
      </c>
    </row>
    <row r="1045" spans="1:15" x14ac:dyDescent="0.35">
      <c r="A1045" s="12">
        <v>4142</v>
      </c>
      <c r="B1045" s="12" t="s">
        <v>20</v>
      </c>
      <c r="C1045" s="12">
        <v>34</v>
      </c>
      <c r="D1045" s="12" t="s">
        <v>27</v>
      </c>
      <c r="E1045" s="12" t="s">
        <v>14</v>
      </c>
      <c r="F1045" s="12">
        <v>114</v>
      </c>
      <c r="G1045" s="12">
        <v>41</v>
      </c>
      <c r="H1045" s="12">
        <v>0.05</v>
      </c>
      <c r="I1045" s="12" t="s">
        <v>15</v>
      </c>
      <c r="J1045" s="12">
        <v>36</v>
      </c>
      <c r="K1045" s="12">
        <v>0</v>
      </c>
      <c r="L1045" s="12">
        <v>0</v>
      </c>
      <c r="M1045" s="12">
        <v>0</v>
      </c>
      <c r="N1045" s="12">
        <v>0</v>
      </c>
      <c r="O1045" s="12" t="str">
        <f t="shared" si="16"/>
        <v>30 - 39</v>
      </c>
    </row>
    <row r="1046" spans="1:15" x14ac:dyDescent="0.35">
      <c r="A1046" s="11">
        <v>4143</v>
      </c>
      <c r="B1046" s="11" t="s">
        <v>20</v>
      </c>
      <c r="C1046" s="11">
        <v>32</v>
      </c>
      <c r="D1046" s="11" t="s">
        <v>27</v>
      </c>
      <c r="E1046" s="11" t="s">
        <v>14</v>
      </c>
      <c r="F1046" s="11">
        <v>270</v>
      </c>
      <c r="G1046" s="11">
        <v>34</v>
      </c>
      <c r="H1046" s="11">
        <v>0.51</v>
      </c>
      <c r="I1046" s="11" t="s">
        <v>15</v>
      </c>
      <c r="J1046" s="11">
        <v>30</v>
      </c>
      <c r="K1046" s="11">
        <v>0</v>
      </c>
      <c r="L1046" s="11">
        <v>0</v>
      </c>
      <c r="M1046" s="11">
        <v>0</v>
      </c>
      <c r="N1046" s="11">
        <v>0</v>
      </c>
      <c r="O1046" s="12" t="str">
        <f t="shared" si="16"/>
        <v>30 - 39</v>
      </c>
    </row>
    <row r="1047" spans="1:15" x14ac:dyDescent="0.35">
      <c r="A1047" s="12">
        <v>4148</v>
      </c>
      <c r="B1047" s="12" t="s">
        <v>12</v>
      </c>
      <c r="C1047" s="12">
        <v>48</v>
      </c>
      <c r="D1047" s="12" t="s">
        <v>29</v>
      </c>
      <c r="E1047" s="12" t="s">
        <v>14</v>
      </c>
      <c r="F1047" s="12">
        <v>118</v>
      </c>
      <c r="G1047" s="12">
        <v>41</v>
      </c>
      <c r="H1047" s="12">
        <v>0.44</v>
      </c>
      <c r="I1047" s="12" t="s">
        <v>23</v>
      </c>
      <c r="J1047" s="12">
        <v>7</v>
      </c>
      <c r="K1047" s="12">
        <v>0</v>
      </c>
      <c r="L1047" s="12">
        <v>0</v>
      </c>
      <c r="M1047" s="12">
        <v>0</v>
      </c>
      <c r="N1047" s="12">
        <v>0</v>
      </c>
      <c r="O1047" s="12" t="str">
        <f t="shared" si="16"/>
        <v>0 - 9</v>
      </c>
    </row>
    <row r="1048" spans="1:15" x14ac:dyDescent="0.35">
      <c r="A1048" s="11">
        <v>4155</v>
      </c>
      <c r="B1048" s="11" t="s">
        <v>12</v>
      </c>
      <c r="C1048" s="11">
        <v>48</v>
      </c>
      <c r="D1048" s="11" t="s">
        <v>29</v>
      </c>
      <c r="E1048" s="11" t="s">
        <v>14</v>
      </c>
      <c r="F1048" s="11">
        <v>140</v>
      </c>
      <c r="G1048" s="11">
        <v>66</v>
      </c>
      <c r="H1048" s="11">
        <v>0.59</v>
      </c>
      <c r="I1048" s="11" t="s">
        <v>19</v>
      </c>
      <c r="J1048" s="11">
        <v>25</v>
      </c>
      <c r="K1048" s="11">
        <v>0</v>
      </c>
      <c r="L1048" s="11">
        <v>0</v>
      </c>
      <c r="M1048" s="11">
        <v>0</v>
      </c>
      <c r="N1048" s="11">
        <v>0</v>
      </c>
      <c r="O1048" s="12" t="str">
        <f t="shared" si="16"/>
        <v>20 - 29</v>
      </c>
    </row>
    <row r="1049" spans="1:15" x14ac:dyDescent="0.35">
      <c r="A1049" s="12">
        <v>4159</v>
      </c>
      <c r="B1049" s="12" t="s">
        <v>12</v>
      </c>
      <c r="C1049" s="12">
        <v>49</v>
      </c>
      <c r="D1049" s="12" t="s">
        <v>25</v>
      </c>
      <c r="E1049" s="12" t="s">
        <v>14</v>
      </c>
      <c r="F1049" s="12">
        <v>272</v>
      </c>
      <c r="G1049" s="12">
        <v>75</v>
      </c>
      <c r="H1049" s="12">
        <v>0.53</v>
      </c>
      <c r="I1049" s="12" t="s">
        <v>23</v>
      </c>
      <c r="J1049" s="12">
        <v>48</v>
      </c>
      <c r="K1049" s="12">
        <v>0</v>
      </c>
      <c r="L1049" s="12">
        <v>0</v>
      </c>
      <c r="M1049" s="12">
        <v>0</v>
      </c>
      <c r="N1049" s="12">
        <v>0</v>
      </c>
      <c r="O1049" s="12" t="str">
        <f t="shared" si="16"/>
        <v>40 - 49</v>
      </c>
    </row>
    <row r="1050" spans="1:15" x14ac:dyDescent="0.35">
      <c r="A1050" s="11">
        <v>4160</v>
      </c>
      <c r="B1050" s="11" t="s">
        <v>16</v>
      </c>
      <c r="C1050" s="11">
        <v>18</v>
      </c>
      <c r="D1050" s="11" t="s">
        <v>13</v>
      </c>
      <c r="E1050" s="11" t="s">
        <v>14</v>
      </c>
      <c r="F1050" s="11">
        <v>195</v>
      </c>
      <c r="G1050" s="11">
        <v>37</v>
      </c>
      <c r="H1050" s="11">
        <v>0.26</v>
      </c>
      <c r="I1050" s="11" t="s">
        <v>23</v>
      </c>
      <c r="J1050" s="11">
        <v>47</v>
      </c>
      <c r="K1050" s="11">
        <v>0</v>
      </c>
      <c r="L1050" s="11">
        <v>0</v>
      </c>
      <c r="M1050" s="11">
        <v>0</v>
      </c>
      <c r="N1050" s="11">
        <v>0</v>
      </c>
      <c r="O1050" s="12" t="str">
        <f t="shared" si="16"/>
        <v>40 - 49</v>
      </c>
    </row>
    <row r="1051" spans="1:15" x14ac:dyDescent="0.35">
      <c r="A1051" s="12">
        <v>4164</v>
      </c>
      <c r="B1051" s="12" t="s">
        <v>12</v>
      </c>
      <c r="C1051" s="12">
        <v>36</v>
      </c>
      <c r="D1051" s="12" t="s">
        <v>21</v>
      </c>
      <c r="E1051" s="12" t="s">
        <v>14</v>
      </c>
      <c r="F1051" s="12">
        <v>243</v>
      </c>
      <c r="G1051" s="12">
        <v>73</v>
      </c>
      <c r="H1051" s="12">
        <v>0.2</v>
      </c>
      <c r="I1051" s="12" t="s">
        <v>19</v>
      </c>
      <c r="J1051" s="12">
        <v>31</v>
      </c>
      <c r="K1051" s="12">
        <v>0</v>
      </c>
      <c r="L1051" s="12">
        <v>0</v>
      </c>
      <c r="M1051" s="12">
        <v>0</v>
      </c>
      <c r="N1051" s="12">
        <v>0</v>
      </c>
      <c r="O1051" s="12" t="str">
        <f t="shared" si="16"/>
        <v>30 - 39</v>
      </c>
    </row>
    <row r="1052" spans="1:15" x14ac:dyDescent="0.35">
      <c r="A1052" s="11">
        <v>4166</v>
      </c>
      <c r="B1052" s="11" t="s">
        <v>12</v>
      </c>
      <c r="C1052" s="11">
        <v>54</v>
      </c>
      <c r="D1052" s="11" t="s">
        <v>21</v>
      </c>
      <c r="E1052" s="11" t="s">
        <v>14</v>
      </c>
      <c r="F1052" s="11">
        <v>112</v>
      </c>
      <c r="G1052" s="11">
        <v>77</v>
      </c>
      <c r="H1052" s="11">
        <v>0.32</v>
      </c>
      <c r="I1052" s="11" t="s">
        <v>15</v>
      </c>
      <c r="J1052" s="11">
        <v>15</v>
      </c>
      <c r="K1052" s="11">
        <v>0</v>
      </c>
      <c r="L1052" s="11">
        <v>0</v>
      </c>
      <c r="M1052" s="11">
        <v>0</v>
      </c>
      <c r="N1052" s="11">
        <v>0</v>
      </c>
      <c r="O1052" s="12" t="str">
        <f t="shared" si="16"/>
        <v>10 - 19</v>
      </c>
    </row>
    <row r="1053" spans="1:15" x14ac:dyDescent="0.35">
      <c r="A1053" s="12">
        <v>4171</v>
      </c>
      <c r="B1053" s="12" t="s">
        <v>12</v>
      </c>
      <c r="C1053" s="12">
        <v>42</v>
      </c>
      <c r="D1053" s="12" t="s">
        <v>25</v>
      </c>
      <c r="E1053" s="12" t="s">
        <v>14</v>
      </c>
      <c r="F1053" s="12">
        <v>66</v>
      </c>
      <c r="G1053" s="12">
        <v>53</v>
      </c>
      <c r="H1053" s="12">
        <v>0.5</v>
      </c>
      <c r="I1053" s="12" t="s">
        <v>19</v>
      </c>
      <c r="J1053" s="12">
        <v>25</v>
      </c>
      <c r="K1053" s="12">
        <v>0</v>
      </c>
      <c r="L1053" s="12">
        <v>0</v>
      </c>
      <c r="M1053" s="12">
        <v>0</v>
      </c>
      <c r="N1053" s="12">
        <v>0</v>
      </c>
      <c r="O1053" s="12" t="str">
        <f t="shared" si="16"/>
        <v>20 - 29</v>
      </c>
    </row>
    <row r="1054" spans="1:15" x14ac:dyDescent="0.35">
      <c r="A1054" s="11">
        <v>4175</v>
      </c>
      <c r="B1054" s="11" t="s">
        <v>12</v>
      </c>
      <c r="C1054" s="11">
        <v>38</v>
      </c>
      <c r="D1054" s="11" t="s">
        <v>17</v>
      </c>
      <c r="E1054" s="11" t="s">
        <v>14</v>
      </c>
      <c r="F1054" s="11">
        <v>296</v>
      </c>
      <c r="G1054" s="11">
        <v>65</v>
      </c>
      <c r="H1054" s="11">
        <v>0.37</v>
      </c>
      <c r="I1054" s="11" t="s">
        <v>19</v>
      </c>
      <c r="J1054" s="11">
        <v>14</v>
      </c>
      <c r="K1054" s="11">
        <v>0</v>
      </c>
      <c r="L1054" s="11">
        <v>0</v>
      </c>
      <c r="M1054" s="11">
        <v>0</v>
      </c>
      <c r="N1054" s="11">
        <v>0</v>
      </c>
      <c r="O1054" s="12" t="str">
        <f t="shared" si="16"/>
        <v>10 - 19</v>
      </c>
    </row>
    <row r="1055" spans="1:15" x14ac:dyDescent="0.35">
      <c r="A1055" s="12">
        <v>4179</v>
      </c>
      <c r="B1055" s="12" t="s">
        <v>16</v>
      </c>
      <c r="C1055" s="12">
        <v>58</v>
      </c>
      <c r="D1055" s="12" t="s">
        <v>29</v>
      </c>
      <c r="E1055" s="12" t="s">
        <v>14</v>
      </c>
      <c r="F1055" s="12">
        <v>228</v>
      </c>
      <c r="G1055" s="12">
        <v>14</v>
      </c>
      <c r="H1055" s="12">
        <v>0.03</v>
      </c>
      <c r="I1055" s="12" t="s">
        <v>23</v>
      </c>
      <c r="J1055" s="12">
        <v>41</v>
      </c>
      <c r="K1055" s="12">
        <v>0</v>
      </c>
      <c r="L1055" s="12">
        <v>0</v>
      </c>
      <c r="M1055" s="12">
        <v>0</v>
      </c>
      <c r="N1055" s="12">
        <v>0</v>
      </c>
      <c r="O1055" s="12" t="str">
        <f t="shared" si="16"/>
        <v>40 - 49</v>
      </c>
    </row>
    <row r="1056" spans="1:15" x14ac:dyDescent="0.35">
      <c r="A1056" s="11">
        <v>4183</v>
      </c>
      <c r="B1056" s="11" t="s">
        <v>12</v>
      </c>
      <c r="C1056" s="11">
        <v>48</v>
      </c>
      <c r="D1056" s="11" t="s">
        <v>17</v>
      </c>
      <c r="E1056" s="11" t="s">
        <v>14</v>
      </c>
      <c r="F1056" s="11">
        <v>209</v>
      </c>
      <c r="G1056" s="11">
        <v>66</v>
      </c>
      <c r="H1056" s="11">
        <v>0.37</v>
      </c>
      <c r="I1056" s="11" t="s">
        <v>19</v>
      </c>
      <c r="J1056" s="11">
        <v>29</v>
      </c>
      <c r="K1056" s="11">
        <v>0</v>
      </c>
      <c r="L1056" s="11">
        <v>1</v>
      </c>
      <c r="M1056" s="11">
        <v>0</v>
      </c>
      <c r="N1056" s="11">
        <v>0</v>
      </c>
      <c r="O1056" s="12" t="str">
        <f t="shared" si="16"/>
        <v>20 - 29</v>
      </c>
    </row>
    <row r="1057" spans="1:15" x14ac:dyDescent="0.35">
      <c r="A1057" s="12">
        <v>4188</v>
      </c>
      <c r="B1057" s="12" t="s">
        <v>20</v>
      </c>
      <c r="C1057" s="12">
        <v>32</v>
      </c>
      <c r="D1057" s="12" t="s">
        <v>21</v>
      </c>
      <c r="E1057" s="12" t="s">
        <v>14</v>
      </c>
      <c r="F1057" s="12">
        <v>31</v>
      </c>
      <c r="G1057" s="12">
        <v>30</v>
      </c>
      <c r="H1057" s="12">
        <v>0.5</v>
      </c>
      <c r="I1057" s="12" t="s">
        <v>15</v>
      </c>
      <c r="J1057" s="12">
        <v>41</v>
      </c>
      <c r="K1057" s="12">
        <v>0</v>
      </c>
      <c r="L1057" s="12">
        <v>0</v>
      </c>
      <c r="M1057" s="12">
        <v>0</v>
      </c>
      <c r="N1057" s="12">
        <v>0</v>
      </c>
      <c r="O1057" s="12" t="str">
        <f t="shared" si="16"/>
        <v>40 - 49</v>
      </c>
    </row>
    <row r="1058" spans="1:15" x14ac:dyDescent="0.35">
      <c r="A1058" s="11">
        <v>4192</v>
      </c>
      <c r="B1058" s="11" t="s">
        <v>20</v>
      </c>
      <c r="C1058" s="11">
        <v>24</v>
      </c>
      <c r="D1058" s="11" t="s">
        <v>29</v>
      </c>
      <c r="E1058" s="11" t="s">
        <v>14</v>
      </c>
      <c r="F1058" s="11">
        <v>260</v>
      </c>
      <c r="G1058" s="11">
        <v>46</v>
      </c>
      <c r="H1058" s="11">
        <v>0.42</v>
      </c>
      <c r="I1058" s="11" t="s">
        <v>23</v>
      </c>
      <c r="J1058" s="11">
        <v>10</v>
      </c>
      <c r="K1058" s="11">
        <v>0</v>
      </c>
      <c r="L1058" s="11">
        <v>0</v>
      </c>
      <c r="M1058" s="11">
        <v>0</v>
      </c>
      <c r="N1058" s="11">
        <v>0</v>
      </c>
      <c r="O1058" s="12" t="str">
        <f t="shared" si="16"/>
        <v>10 - 19</v>
      </c>
    </row>
    <row r="1059" spans="1:15" x14ac:dyDescent="0.35">
      <c r="A1059" s="12">
        <v>4193</v>
      </c>
      <c r="B1059" s="12" t="s">
        <v>16</v>
      </c>
      <c r="C1059" s="12">
        <v>54</v>
      </c>
      <c r="D1059" s="12" t="s">
        <v>21</v>
      </c>
      <c r="E1059" s="12" t="s">
        <v>14</v>
      </c>
      <c r="F1059" s="12">
        <v>168</v>
      </c>
      <c r="G1059" s="12">
        <v>71</v>
      </c>
      <c r="H1059" s="12">
        <v>0.57999999999999996</v>
      </c>
      <c r="I1059" s="12" t="s">
        <v>23</v>
      </c>
      <c r="J1059" s="12">
        <v>31</v>
      </c>
      <c r="K1059" s="12">
        <v>0</v>
      </c>
      <c r="L1059" s="12">
        <v>0</v>
      </c>
      <c r="M1059" s="12">
        <v>0</v>
      </c>
      <c r="N1059" s="12">
        <v>0</v>
      </c>
      <c r="O1059" s="12" t="str">
        <f t="shared" si="16"/>
        <v>30 - 39</v>
      </c>
    </row>
    <row r="1060" spans="1:15" x14ac:dyDescent="0.35">
      <c r="A1060" s="11">
        <v>4196</v>
      </c>
      <c r="B1060" s="11" t="s">
        <v>16</v>
      </c>
      <c r="C1060" s="11">
        <v>26</v>
      </c>
      <c r="D1060" s="11" t="s">
        <v>21</v>
      </c>
      <c r="E1060" s="11" t="s">
        <v>14</v>
      </c>
      <c r="F1060" s="11">
        <v>229</v>
      </c>
      <c r="G1060" s="11">
        <v>16</v>
      </c>
      <c r="H1060" s="11">
        <v>0.4</v>
      </c>
      <c r="I1060" s="11" t="s">
        <v>23</v>
      </c>
      <c r="J1060" s="11">
        <v>45</v>
      </c>
      <c r="K1060" s="11">
        <v>0</v>
      </c>
      <c r="L1060" s="11">
        <v>0</v>
      </c>
      <c r="M1060" s="11">
        <v>0</v>
      </c>
      <c r="N1060" s="11">
        <v>0</v>
      </c>
      <c r="O1060" s="12" t="str">
        <f t="shared" si="16"/>
        <v>40 - 49</v>
      </c>
    </row>
    <row r="1061" spans="1:15" x14ac:dyDescent="0.35">
      <c r="A1061" s="12">
        <v>4204</v>
      </c>
      <c r="B1061" s="12" t="s">
        <v>16</v>
      </c>
      <c r="C1061" s="12">
        <v>22</v>
      </c>
      <c r="D1061" s="12" t="s">
        <v>28</v>
      </c>
      <c r="E1061" s="12" t="s">
        <v>14</v>
      </c>
      <c r="F1061" s="12">
        <v>239</v>
      </c>
      <c r="G1061" s="12">
        <v>73</v>
      </c>
      <c r="H1061" s="12">
        <v>0.46</v>
      </c>
      <c r="I1061" s="12" t="s">
        <v>19</v>
      </c>
      <c r="J1061" s="12">
        <v>45</v>
      </c>
      <c r="K1061" s="12">
        <v>0</v>
      </c>
      <c r="L1061" s="12">
        <v>1</v>
      </c>
      <c r="M1061" s="12">
        <v>0</v>
      </c>
      <c r="N1061" s="12">
        <v>0</v>
      </c>
      <c r="O1061" s="12" t="str">
        <f t="shared" si="16"/>
        <v>40 - 49</v>
      </c>
    </row>
    <row r="1062" spans="1:15" x14ac:dyDescent="0.35">
      <c r="A1062" s="11">
        <v>4215</v>
      </c>
      <c r="B1062" s="11" t="s">
        <v>16</v>
      </c>
      <c r="C1062" s="11">
        <v>39</v>
      </c>
      <c r="D1062" s="11" t="s">
        <v>27</v>
      </c>
      <c r="E1062" s="11" t="s">
        <v>14</v>
      </c>
      <c r="F1062" s="11">
        <v>77</v>
      </c>
      <c r="G1062" s="11">
        <v>64</v>
      </c>
      <c r="H1062" s="11">
        <v>0.34</v>
      </c>
      <c r="I1062" s="11" t="s">
        <v>19</v>
      </c>
      <c r="J1062" s="11">
        <v>37</v>
      </c>
      <c r="K1062" s="11">
        <v>0</v>
      </c>
      <c r="L1062" s="11">
        <v>1</v>
      </c>
      <c r="M1062" s="11">
        <v>0</v>
      </c>
      <c r="N1062" s="11">
        <v>0</v>
      </c>
      <c r="O1062" s="12" t="str">
        <f t="shared" si="16"/>
        <v>30 - 39</v>
      </c>
    </row>
    <row r="1063" spans="1:15" x14ac:dyDescent="0.35">
      <c r="A1063" s="12">
        <v>4225</v>
      </c>
      <c r="B1063" s="12" t="s">
        <v>12</v>
      </c>
      <c r="C1063" s="12">
        <v>36</v>
      </c>
      <c r="D1063" s="12" t="s">
        <v>28</v>
      </c>
      <c r="E1063" s="12" t="s">
        <v>14</v>
      </c>
      <c r="F1063" s="12">
        <v>72</v>
      </c>
      <c r="G1063" s="12">
        <v>65</v>
      </c>
      <c r="H1063" s="12">
        <v>0.43</v>
      </c>
      <c r="I1063" s="12" t="s">
        <v>23</v>
      </c>
      <c r="J1063" s="12">
        <v>24</v>
      </c>
      <c r="K1063" s="12">
        <v>0</v>
      </c>
      <c r="L1063" s="12">
        <v>0</v>
      </c>
      <c r="M1063" s="12">
        <v>0</v>
      </c>
      <c r="N1063" s="12">
        <v>0</v>
      </c>
      <c r="O1063" s="12" t="str">
        <f t="shared" si="16"/>
        <v>20 - 29</v>
      </c>
    </row>
    <row r="1064" spans="1:15" x14ac:dyDescent="0.35">
      <c r="A1064" s="11">
        <v>4226</v>
      </c>
      <c r="B1064" s="11" t="s">
        <v>12</v>
      </c>
      <c r="C1064" s="11">
        <v>56</v>
      </c>
      <c r="D1064" s="11" t="s">
        <v>26</v>
      </c>
      <c r="E1064" s="11" t="s">
        <v>14</v>
      </c>
      <c r="F1064" s="11">
        <v>198</v>
      </c>
      <c r="G1064" s="11">
        <v>28</v>
      </c>
      <c r="H1064" s="11">
        <v>0</v>
      </c>
      <c r="I1064" s="11" t="s">
        <v>19</v>
      </c>
      <c r="J1064" s="11">
        <v>24</v>
      </c>
      <c r="K1064" s="11">
        <v>0</v>
      </c>
      <c r="L1064" s="11">
        <v>0</v>
      </c>
      <c r="M1064" s="11">
        <v>0</v>
      </c>
      <c r="N1064" s="11">
        <v>0</v>
      </c>
      <c r="O1064" s="12" t="str">
        <f t="shared" si="16"/>
        <v>20 - 29</v>
      </c>
    </row>
    <row r="1065" spans="1:15" x14ac:dyDescent="0.35">
      <c r="A1065" s="12">
        <v>4227</v>
      </c>
      <c r="B1065" s="12" t="s">
        <v>12</v>
      </c>
      <c r="C1065" s="12">
        <v>37</v>
      </c>
      <c r="D1065" s="12" t="s">
        <v>26</v>
      </c>
      <c r="E1065" s="12" t="s">
        <v>14</v>
      </c>
      <c r="F1065" s="12">
        <v>16</v>
      </c>
      <c r="G1065" s="12">
        <v>43</v>
      </c>
      <c r="H1065" s="12">
        <v>0.39</v>
      </c>
      <c r="I1065" s="12" t="s">
        <v>23</v>
      </c>
      <c r="J1065" s="12">
        <v>43</v>
      </c>
      <c r="K1065" s="12">
        <v>0</v>
      </c>
      <c r="L1065" s="12">
        <v>0</v>
      </c>
      <c r="M1065" s="12">
        <v>0</v>
      </c>
      <c r="N1065" s="12">
        <v>0</v>
      </c>
      <c r="O1065" s="12" t="str">
        <f t="shared" si="16"/>
        <v>40 - 49</v>
      </c>
    </row>
    <row r="1066" spans="1:15" x14ac:dyDescent="0.35">
      <c r="A1066" s="11">
        <v>4237</v>
      </c>
      <c r="B1066" s="11" t="s">
        <v>16</v>
      </c>
      <c r="C1066" s="11">
        <v>56</v>
      </c>
      <c r="D1066" s="11" t="s">
        <v>26</v>
      </c>
      <c r="E1066" s="11" t="s">
        <v>14</v>
      </c>
      <c r="F1066" s="11">
        <v>125</v>
      </c>
      <c r="G1066" s="11">
        <v>81</v>
      </c>
      <c r="H1066" s="11">
        <v>0.08</v>
      </c>
      <c r="I1066" s="11" t="s">
        <v>19</v>
      </c>
      <c r="J1066" s="11">
        <v>17</v>
      </c>
      <c r="K1066" s="11">
        <v>0</v>
      </c>
      <c r="L1066" s="11">
        <v>0</v>
      </c>
      <c r="M1066" s="11">
        <v>0</v>
      </c>
      <c r="N1066" s="11">
        <v>0</v>
      </c>
      <c r="O1066" s="12" t="str">
        <f t="shared" si="16"/>
        <v>10 - 19</v>
      </c>
    </row>
    <row r="1067" spans="1:15" x14ac:dyDescent="0.35">
      <c r="A1067" s="12">
        <v>4242</v>
      </c>
      <c r="B1067" s="12" t="s">
        <v>12</v>
      </c>
      <c r="C1067" s="12">
        <v>25</v>
      </c>
      <c r="D1067" s="12" t="s">
        <v>21</v>
      </c>
      <c r="E1067" s="12" t="s">
        <v>14</v>
      </c>
      <c r="F1067" s="12">
        <v>108</v>
      </c>
      <c r="G1067" s="12">
        <v>53</v>
      </c>
      <c r="H1067" s="12">
        <v>0.14000000000000001</v>
      </c>
      <c r="I1067" s="12" t="s">
        <v>19</v>
      </c>
      <c r="J1067" s="12">
        <v>30</v>
      </c>
      <c r="K1067" s="12">
        <v>0</v>
      </c>
      <c r="L1067" s="12">
        <v>0</v>
      </c>
      <c r="M1067" s="12">
        <v>0</v>
      </c>
      <c r="N1067" s="12">
        <v>0</v>
      </c>
      <c r="O1067" s="12" t="str">
        <f t="shared" si="16"/>
        <v>30 - 39</v>
      </c>
    </row>
    <row r="1068" spans="1:15" x14ac:dyDescent="0.35">
      <c r="A1068" s="11">
        <v>4243</v>
      </c>
      <c r="B1068" s="11" t="s">
        <v>20</v>
      </c>
      <c r="C1068" s="11">
        <v>20</v>
      </c>
      <c r="D1068" s="11" t="s">
        <v>29</v>
      </c>
      <c r="E1068" s="11" t="s">
        <v>14</v>
      </c>
      <c r="F1068" s="11">
        <v>102</v>
      </c>
      <c r="G1068" s="11">
        <v>85</v>
      </c>
      <c r="H1068" s="11">
        <v>0.09</v>
      </c>
      <c r="I1068" s="11" t="s">
        <v>23</v>
      </c>
      <c r="J1068" s="11">
        <v>39</v>
      </c>
      <c r="K1068" s="11">
        <v>0</v>
      </c>
      <c r="L1068" s="11">
        <v>0</v>
      </c>
      <c r="M1068" s="11">
        <v>0</v>
      </c>
      <c r="N1068" s="11">
        <v>0</v>
      </c>
      <c r="O1068" s="12" t="str">
        <f t="shared" si="16"/>
        <v>30 - 39</v>
      </c>
    </row>
    <row r="1069" spans="1:15" x14ac:dyDescent="0.35">
      <c r="A1069" s="12">
        <v>4246</v>
      </c>
      <c r="B1069" s="12" t="s">
        <v>16</v>
      </c>
      <c r="C1069" s="12">
        <v>24</v>
      </c>
      <c r="D1069" s="12" t="s">
        <v>13</v>
      </c>
      <c r="E1069" s="12" t="s">
        <v>14</v>
      </c>
      <c r="F1069" s="12">
        <v>171</v>
      </c>
      <c r="G1069" s="12">
        <v>38</v>
      </c>
      <c r="H1069" s="12">
        <v>0.28000000000000003</v>
      </c>
      <c r="I1069" s="12" t="s">
        <v>19</v>
      </c>
      <c r="J1069" s="12">
        <v>43</v>
      </c>
      <c r="K1069" s="12">
        <v>0</v>
      </c>
      <c r="L1069" s="12">
        <v>0</v>
      </c>
      <c r="M1069" s="12">
        <v>0</v>
      </c>
      <c r="N1069" s="12">
        <v>0</v>
      </c>
      <c r="O1069" s="12" t="str">
        <f t="shared" si="16"/>
        <v>40 - 49</v>
      </c>
    </row>
    <row r="1070" spans="1:15" x14ac:dyDescent="0.35">
      <c r="A1070" s="11">
        <v>4247</v>
      </c>
      <c r="B1070" s="11" t="s">
        <v>12</v>
      </c>
      <c r="C1070" s="11">
        <v>44</v>
      </c>
      <c r="D1070" s="11" t="s">
        <v>17</v>
      </c>
      <c r="E1070" s="11" t="s">
        <v>14</v>
      </c>
      <c r="F1070" s="11">
        <v>197</v>
      </c>
      <c r="G1070" s="11">
        <v>85</v>
      </c>
      <c r="H1070" s="11">
        <v>0.39</v>
      </c>
      <c r="I1070" s="11" t="s">
        <v>19</v>
      </c>
      <c r="J1070" s="11">
        <v>18</v>
      </c>
      <c r="K1070" s="11">
        <v>0</v>
      </c>
      <c r="L1070" s="11">
        <v>0</v>
      </c>
      <c r="M1070" s="11">
        <v>0</v>
      </c>
      <c r="N1070" s="11">
        <v>0</v>
      </c>
      <c r="O1070" s="12" t="str">
        <f t="shared" si="16"/>
        <v>10 - 19</v>
      </c>
    </row>
    <row r="1071" spans="1:15" x14ac:dyDescent="0.35">
      <c r="A1071" s="12">
        <v>4249</v>
      </c>
      <c r="B1071" s="12" t="s">
        <v>16</v>
      </c>
      <c r="C1071" s="12">
        <v>30</v>
      </c>
      <c r="D1071" s="12" t="s">
        <v>28</v>
      </c>
      <c r="E1071" s="12" t="s">
        <v>14</v>
      </c>
      <c r="F1071" s="12">
        <v>106</v>
      </c>
      <c r="G1071" s="12">
        <v>25</v>
      </c>
      <c r="H1071" s="12">
        <v>0.56999999999999995</v>
      </c>
      <c r="I1071" s="12" t="s">
        <v>19</v>
      </c>
      <c r="J1071" s="12">
        <v>11</v>
      </c>
      <c r="K1071" s="12">
        <v>0</v>
      </c>
      <c r="L1071" s="12">
        <v>1</v>
      </c>
      <c r="M1071" s="12">
        <v>0</v>
      </c>
      <c r="N1071" s="12">
        <v>0</v>
      </c>
      <c r="O1071" s="12" t="str">
        <f t="shared" si="16"/>
        <v>10 - 19</v>
      </c>
    </row>
    <row r="1072" spans="1:15" x14ac:dyDescent="0.35">
      <c r="A1072" s="11">
        <v>4250</v>
      </c>
      <c r="B1072" s="11" t="s">
        <v>16</v>
      </c>
      <c r="C1072" s="11">
        <v>42</v>
      </c>
      <c r="D1072" s="11" t="s">
        <v>21</v>
      </c>
      <c r="E1072" s="11" t="s">
        <v>14</v>
      </c>
      <c r="F1072" s="11">
        <v>225</v>
      </c>
      <c r="G1072" s="11">
        <v>8</v>
      </c>
      <c r="H1072" s="11">
        <v>0.32</v>
      </c>
      <c r="I1072" s="11" t="s">
        <v>19</v>
      </c>
      <c r="J1072" s="11">
        <v>8</v>
      </c>
      <c r="K1072" s="11">
        <v>0</v>
      </c>
      <c r="L1072" s="11">
        <v>0</v>
      </c>
      <c r="M1072" s="11">
        <v>0</v>
      </c>
      <c r="N1072" s="11">
        <v>0</v>
      </c>
      <c r="O1072" s="12" t="str">
        <f t="shared" si="16"/>
        <v>0 - 9</v>
      </c>
    </row>
    <row r="1073" spans="1:15" x14ac:dyDescent="0.35">
      <c r="A1073" s="12">
        <v>4265</v>
      </c>
      <c r="B1073" s="12" t="s">
        <v>16</v>
      </c>
      <c r="C1073" s="12">
        <v>50</v>
      </c>
      <c r="D1073" s="12" t="s">
        <v>21</v>
      </c>
      <c r="E1073" s="12" t="s">
        <v>14</v>
      </c>
      <c r="F1073" s="12">
        <v>57</v>
      </c>
      <c r="G1073" s="12">
        <v>91</v>
      </c>
      <c r="H1073" s="12">
        <v>0.21</v>
      </c>
      <c r="I1073" s="12" t="s">
        <v>15</v>
      </c>
      <c r="J1073" s="12">
        <v>13</v>
      </c>
      <c r="K1073" s="12">
        <v>0</v>
      </c>
      <c r="L1073" s="12">
        <v>0</v>
      </c>
      <c r="M1073" s="12">
        <v>0</v>
      </c>
      <c r="N1073" s="12">
        <v>0</v>
      </c>
      <c r="O1073" s="12" t="str">
        <f t="shared" si="16"/>
        <v>10 - 19</v>
      </c>
    </row>
    <row r="1074" spans="1:15" x14ac:dyDescent="0.35">
      <c r="A1074" s="11">
        <v>4267</v>
      </c>
      <c r="B1074" s="11" t="s">
        <v>16</v>
      </c>
      <c r="C1074" s="11">
        <v>26</v>
      </c>
      <c r="D1074" s="11" t="s">
        <v>27</v>
      </c>
      <c r="E1074" s="11" t="s">
        <v>14</v>
      </c>
      <c r="F1074" s="11">
        <v>88</v>
      </c>
      <c r="G1074" s="11">
        <v>91</v>
      </c>
      <c r="H1074" s="11">
        <v>0.25</v>
      </c>
      <c r="I1074" s="11" t="s">
        <v>23</v>
      </c>
      <c r="J1074" s="11">
        <v>33</v>
      </c>
      <c r="K1074" s="11">
        <v>0</v>
      </c>
      <c r="L1074" s="11">
        <v>1</v>
      </c>
      <c r="M1074" s="11">
        <v>0</v>
      </c>
      <c r="N1074" s="11">
        <v>0</v>
      </c>
      <c r="O1074" s="12" t="str">
        <f t="shared" si="16"/>
        <v>30 - 39</v>
      </c>
    </row>
    <row r="1075" spans="1:15" x14ac:dyDescent="0.35">
      <c r="A1075" s="12">
        <v>4277</v>
      </c>
      <c r="B1075" s="12" t="s">
        <v>20</v>
      </c>
      <c r="C1075" s="12">
        <v>23</v>
      </c>
      <c r="D1075" s="12" t="s">
        <v>28</v>
      </c>
      <c r="E1075" s="12" t="s">
        <v>14</v>
      </c>
      <c r="F1075" s="12">
        <v>115</v>
      </c>
      <c r="G1075" s="12">
        <v>85</v>
      </c>
      <c r="H1075" s="12">
        <v>0.16</v>
      </c>
      <c r="I1075" s="12" t="s">
        <v>19</v>
      </c>
      <c r="J1075" s="12">
        <v>23</v>
      </c>
      <c r="K1075" s="12">
        <v>0</v>
      </c>
      <c r="L1075" s="12">
        <v>1</v>
      </c>
      <c r="M1075" s="12">
        <v>0</v>
      </c>
      <c r="N1075" s="12">
        <v>0</v>
      </c>
      <c r="O1075" s="12" t="str">
        <f t="shared" si="16"/>
        <v>20 - 29</v>
      </c>
    </row>
    <row r="1076" spans="1:15" x14ac:dyDescent="0.35">
      <c r="A1076" s="11">
        <v>4278</v>
      </c>
      <c r="B1076" s="11" t="s">
        <v>16</v>
      </c>
      <c r="C1076" s="11">
        <v>34</v>
      </c>
      <c r="D1076" s="11" t="s">
        <v>21</v>
      </c>
      <c r="E1076" s="11" t="s">
        <v>14</v>
      </c>
      <c r="F1076" s="11">
        <v>101</v>
      </c>
      <c r="G1076" s="11">
        <v>26</v>
      </c>
      <c r="H1076" s="11">
        <v>0.19</v>
      </c>
      <c r="I1076" s="11" t="s">
        <v>23</v>
      </c>
      <c r="J1076" s="11">
        <v>46</v>
      </c>
      <c r="K1076" s="11">
        <v>0</v>
      </c>
      <c r="L1076" s="11">
        <v>0</v>
      </c>
      <c r="M1076" s="11">
        <v>0</v>
      </c>
      <c r="N1076" s="11">
        <v>0</v>
      </c>
      <c r="O1076" s="12" t="str">
        <f t="shared" si="16"/>
        <v>40 - 49</v>
      </c>
    </row>
    <row r="1077" spans="1:15" x14ac:dyDescent="0.35">
      <c r="A1077" s="12">
        <v>4281</v>
      </c>
      <c r="B1077" s="12" t="s">
        <v>20</v>
      </c>
      <c r="C1077" s="12">
        <v>52</v>
      </c>
      <c r="D1077" s="12" t="s">
        <v>25</v>
      </c>
      <c r="E1077" s="12" t="s">
        <v>14</v>
      </c>
      <c r="F1077" s="12">
        <v>260</v>
      </c>
      <c r="G1077" s="12">
        <v>11</v>
      </c>
      <c r="H1077" s="12">
        <v>0.12</v>
      </c>
      <c r="I1077" s="12" t="s">
        <v>19</v>
      </c>
      <c r="J1077" s="12">
        <v>11</v>
      </c>
      <c r="K1077" s="12">
        <v>0</v>
      </c>
      <c r="L1077" s="12">
        <v>0</v>
      </c>
      <c r="M1077" s="12">
        <v>0</v>
      </c>
      <c r="N1077" s="12">
        <v>0</v>
      </c>
      <c r="O1077" s="12" t="str">
        <f t="shared" si="16"/>
        <v>10 - 19</v>
      </c>
    </row>
    <row r="1078" spans="1:15" x14ac:dyDescent="0.35">
      <c r="A1078" s="11">
        <v>4282</v>
      </c>
      <c r="B1078" s="11" t="s">
        <v>16</v>
      </c>
      <c r="C1078" s="11">
        <v>21</v>
      </c>
      <c r="D1078" s="11" t="s">
        <v>28</v>
      </c>
      <c r="E1078" s="11" t="s">
        <v>14</v>
      </c>
      <c r="F1078" s="11">
        <v>269</v>
      </c>
      <c r="G1078" s="11">
        <v>86</v>
      </c>
      <c r="H1078" s="11">
        <v>0.16</v>
      </c>
      <c r="I1078" s="11" t="s">
        <v>23</v>
      </c>
      <c r="J1078" s="11">
        <v>43</v>
      </c>
      <c r="K1078" s="11">
        <v>0</v>
      </c>
      <c r="L1078" s="11">
        <v>1</v>
      </c>
      <c r="M1078" s="11">
        <v>0</v>
      </c>
      <c r="N1078" s="11">
        <v>0</v>
      </c>
      <c r="O1078" s="12" t="str">
        <f t="shared" si="16"/>
        <v>40 - 49</v>
      </c>
    </row>
    <row r="1079" spans="1:15" x14ac:dyDescent="0.35">
      <c r="A1079" s="12">
        <v>4283</v>
      </c>
      <c r="B1079" s="12" t="s">
        <v>12</v>
      </c>
      <c r="C1079" s="12">
        <v>30</v>
      </c>
      <c r="D1079" s="12" t="s">
        <v>29</v>
      </c>
      <c r="E1079" s="12" t="s">
        <v>14</v>
      </c>
      <c r="F1079" s="12">
        <v>141</v>
      </c>
      <c r="G1079" s="12">
        <v>1</v>
      </c>
      <c r="H1079" s="12">
        <v>0.49</v>
      </c>
      <c r="I1079" s="12" t="s">
        <v>19</v>
      </c>
      <c r="J1079" s="12">
        <v>13</v>
      </c>
      <c r="K1079" s="12">
        <v>0</v>
      </c>
      <c r="L1079" s="12">
        <v>0</v>
      </c>
      <c r="M1079" s="12">
        <v>0</v>
      </c>
      <c r="N1079" s="12">
        <v>0</v>
      </c>
      <c r="O1079" s="12" t="str">
        <f t="shared" si="16"/>
        <v>10 - 19</v>
      </c>
    </row>
    <row r="1080" spans="1:15" x14ac:dyDescent="0.35">
      <c r="A1080" s="11">
        <v>4287</v>
      </c>
      <c r="B1080" s="11" t="s">
        <v>20</v>
      </c>
      <c r="C1080" s="11">
        <v>45</v>
      </c>
      <c r="D1080" s="11" t="s">
        <v>21</v>
      </c>
      <c r="E1080" s="11" t="s">
        <v>14</v>
      </c>
      <c r="F1080" s="11">
        <v>202</v>
      </c>
      <c r="G1080" s="11">
        <v>21</v>
      </c>
      <c r="H1080" s="11">
        <v>0.14000000000000001</v>
      </c>
      <c r="I1080" s="11" t="s">
        <v>23</v>
      </c>
      <c r="J1080" s="11">
        <v>41</v>
      </c>
      <c r="K1080" s="11">
        <v>0</v>
      </c>
      <c r="L1080" s="11">
        <v>1</v>
      </c>
      <c r="M1080" s="11">
        <v>0</v>
      </c>
      <c r="N1080" s="11">
        <v>0</v>
      </c>
      <c r="O1080" s="12" t="str">
        <f t="shared" si="16"/>
        <v>40 - 49</v>
      </c>
    </row>
    <row r="1081" spans="1:15" x14ac:dyDescent="0.35">
      <c r="A1081" s="12">
        <v>4288</v>
      </c>
      <c r="B1081" s="12" t="s">
        <v>16</v>
      </c>
      <c r="C1081" s="12">
        <v>31</v>
      </c>
      <c r="D1081" s="12" t="s">
        <v>29</v>
      </c>
      <c r="E1081" s="12" t="s">
        <v>14</v>
      </c>
      <c r="F1081" s="12">
        <v>82</v>
      </c>
      <c r="G1081" s="12">
        <v>54</v>
      </c>
      <c r="H1081" s="12">
        <v>0.47</v>
      </c>
      <c r="I1081" s="12" t="s">
        <v>19</v>
      </c>
      <c r="J1081" s="12">
        <v>6</v>
      </c>
      <c r="K1081" s="12">
        <v>0</v>
      </c>
      <c r="L1081" s="12">
        <v>0</v>
      </c>
      <c r="M1081" s="12">
        <v>0</v>
      </c>
      <c r="N1081" s="12">
        <v>0</v>
      </c>
      <c r="O1081" s="12" t="str">
        <f t="shared" si="16"/>
        <v>0 - 9</v>
      </c>
    </row>
    <row r="1082" spans="1:15" x14ac:dyDescent="0.35">
      <c r="A1082" s="11">
        <v>4289</v>
      </c>
      <c r="B1082" s="11" t="s">
        <v>12</v>
      </c>
      <c r="C1082" s="11">
        <v>20</v>
      </c>
      <c r="D1082" s="11" t="s">
        <v>21</v>
      </c>
      <c r="E1082" s="11" t="s">
        <v>14</v>
      </c>
      <c r="F1082" s="11">
        <v>286</v>
      </c>
      <c r="G1082" s="11">
        <v>53</v>
      </c>
      <c r="H1082" s="11">
        <v>0.45</v>
      </c>
      <c r="I1082" s="11" t="s">
        <v>15</v>
      </c>
      <c r="J1082" s="11">
        <v>46</v>
      </c>
      <c r="K1082" s="11">
        <v>0</v>
      </c>
      <c r="L1082" s="11">
        <v>1</v>
      </c>
      <c r="M1082" s="11">
        <v>0</v>
      </c>
      <c r="N1082" s="11">
        <v>0</v>
      </c>
      <c r="O1082" s="12" t="str">
        <f t="shared" si="16"/>
        <v>40 - 49</v>
      </c>
    </row>
    <row r="1083" spans="1:15" x14ac:dyDescent="0.35">
      <c r="A1083" s="12">
        <v>4291</v>
      </c>
      <c r="B1083" s="12" t="s">
        <v>16</v>
      </c>
      <c r="C1083" s="12">
        <v>18</v>
      </c>
      <c r="D1083" s="12" t="s">
        <v>13</v>
      </c>
      <c r="E1083" s="12" t="s">
        <v>14</v>
      </c>
      <c r="F1083" s="12">
        <v>235</v>
      </c>
      <c r="G1083" s="12">
        <v>36</v>
      </c>
      <c r="H1083" s="12">
        <v>0.19</v>
      </c>
      <c r="I1083" s="12" t="s">
        <v>15</v>
      </c>
      <c r="J1083" s="12">
        <v>25</v>
      </c>
      <c r="K1083" s="12">
        <v>0</v>
      </c>
      <c r="L1083" s="12">
        <v>0</v>
      </c>
      <c r="M1083" s="12">
        <v>0</v>
      </c>
      <c r="N1083" s="12">
        <v>0</v>
      </c>
      <c r="O1083" s="12" t="str">
        <f t="shared" si="16"/>
        <v>20 - 29</v>
      </c>
    </row>
    <row r="1084" spans="1:15" x14ac:dyDescent="0.35">
      <c r="A1084" s="11">
        <v>4292</v>
      </c>
      <c r="B1084" s="11" t="s">
        <v>16</v>
      </c>
      <c r="C1084" s="11">
        <v>45</v>
      </c>
      <c r="D1084" s="11" t="s">
        <v>28</v>
      </c>
      <c r="E1084" s="11" t="s">
        <v>14</v>
      </c>
      <c r="F1084" s="11">
        <v>102</v>
      </c>
      <c r="G1084" s="11">
        <v>77</v>
      </c>
      <c r="H1084" s="11">
        <v>0.1</v>
      </c>
      <c r="I1084" s="11" t="s">
        <v>23</v>
      </c>
      <c r="J1084" s="11">
        <v>22</v>
      </c>
      <c r="K1084" s="11">
        <v>0</v>
      </c>
      <c r="L1084" s="11">
        <v>0</v>
      </c>
      <c r="M1084" s="11">
        <v>0</v>
      </c>
      <c r="N1084" s="11">
        <v>0</v>
      </c>
      <c r="O1084" s="12" t="str">
        <f t="shared" si="16"/>
        <v>20 - 29</v>
      </c>
    </row>
    <row r="1085" spans="1:15" x14ac:dyDescent="0.35">
      <c r="A1085" s="12">
        <v>4296</v>
      </c>
      <c r="B1085" s="12" t="s">
        <v>12</v>
      </c>
      <c r="C1085" s="12">
        <v>50</v>
      </c>
      <c r="D1085" s="12" t="s">
        <v>13</v>
      </c>
      <c r="E1085" s="12" t="s">
        <v>14</v>
      </c>
      <c r="F1085" s="12">
        <v>272</v>
      </c>
      <c r="G1085" s="12">
        <v>60</v>
      </c>
      <c r="H1085" s="12">
        <v>0.32</v>
      </c>
      <c r="I1085" s="12" t="s">
        <v>15</v>
      </c>
      <c r="J1085" s="12">
        <v>5</v>
      </c>
      <c r="K1085" s="12">
        <v>0</v>
      </c>
      <c r="L1085" s="12">
        <v>0</v>
      </c>
      <c r="M1085" s="12">
        <v>0</v>
      </c>
      <c r="N1085" s="12">
        <v>0</v>
      </c>
      <c r="O1085" s="12" t="str">
        <f t="shared" si="16"/>
        <v>0 - 9</v>
      </c>
    </row>
    <row r="1086" spans="1:15" x14ac:dyDescent="0.35">
      <c r="A1086" s="11">
        <v>4299</v>
      </c>
      <c r="B1086" s="11" t="s">
        <v>12</v>
      </c>
      <c r="C1086" s="11">
        <v>22</v>
      </c>
      <c r="D1086" s="11" t="s">
        <v>17</v>
      </c>
      <c r="E1086" s="11" t="s">
        <v>14</v>
      </c>
      <c r="F1086" s="11">
        <v>247</v>
      </c>
      <c r="G1086" s="11">
        <v>57</v>
      </c>
      <c r="H1086" s="11">
        <v>0.42</v>
      </c>
      <c r="I1086" s="11" t="s">
        <v>15</v>
      </c>
      <c r="J1086" s="11">
        <v>31</v>
      </c>
      <c r="K1086" s="11">
        <v>0</v>
      </c>
      <c r="L1086" s="11">
        <v>1</v>
      </c>
      <c r="M1086" s="11">
        <v>0</v>
      </c>
      <c r="N1086" s="11">
        <v>0</v>
      </c>
      <c r="O1086" s="12" t="str">
        <f t="shared" si="16"/>
        <v>30 - 39</v>
      </c>
    </row>
    <row r="1087" spans="1:15" x14ac:dyDescent="0.35">
      <c r="A1087" s="12">
        <v>4306</v>
      </c>
      <c r="B1087" s="12" t="s">
        <v>16</v>
      </c>
      <c r="C1087" s="12">
        <v>19</v>
      </c>
      <c r="D1087" s="12" t="s">
        <v>21</v>
      </c>
      <c r="E1087" s="12" t="s">
        <v>14</v>
      </c>
      <c r="F1087" s="12">
        <v>46</v>
      </c>
      <c r="G1087" s="12">
        <v>22</v>
      </c>
      <c r="H1087" s="12">
        <v>0.11</v>
      </c>
      <c r="I1087" s="12" t="s">
        <v>23</v>
      </c>
      <c r="J1087" s="12">
        <v>48</v>
      </c>
      <c r="K1087" s="12">
        <v>0</v>
      </c>
      <c r="L1087" s="12">
        <v>0</v>
      </c>
      <c r="M1087" s="12">
        <v>0</v>
      </c>
      <c r="N1087" s="12">
        <v>0</v>
      </c>
      <c r="O1087" s="12" t="str">
        <f t="shared" si="16"/>
        <v>40 - 49</v>
      </c>
    </row>
    <row r="1088" spans="1:15" x14ac:dyDescent="0.35">
      <c r="A1088" s="11">
        <v>4307</v>
      </c>
      <c r="B1088" s="11" t="s">
        <v>20</v>
      </c>
      <c r="C1088" s="11">
        <v>22</v>
      </c>
      <c r="D1088" s="11" t="s">
        <v>17</v>
      </c>
      <c r="E1088" s="11" t="s">
        <v>14</v>
      </c>
      <c r="F1088" s="11">
        <v>282</v>
      </c>
      <c r="G1088" s="11">
        <v>31</v>
      </c>
      <c r="H1088" s="11">
        <v>0.6</v>
      </c>
      <c r="I1088" s="11" t="s">
        <v>15</v>
      </c>
      <c r="J1088" s="11">
        <v>6</v>
      </c>
      <c r="K1088" s="11">
        <v>0</v>
      </c>
      <c r="L1088" s="11">
        <v>0</v>
      </c>
      <c r="M1088" s="11">
        <v>0</v>
      </c>
      <c r="N1088" s="11">
        <v>0</v>
      </c>
      <c r="O1088" s="12" t="str">
        <f t="shared" si="16"/>
        <v>0 - 9</v>
      </c>
    </row>
    <row r="1089" spans="1:15" x14ac:dyDescent="0.35">
      <c r="A1089" s="12">
        <v>4313</v>
      </c>
      <c r="B1089" s="12" t="s">
        <v>20</v>
      </c>
      <c r="C1089" s="12">
        <v>30</v>
      </c>
      <c r="D1089" s="12" t="s">
        <v>25</v>
      </c>
      <c r="E1089" s="12" t="s">
        <v>14</v>
      </c>
      <c r="F1089" s="12">
        <v>103</v>
      </c>
      <c r="G1089" s="12">
        <v>11</v>
      </c>
      <c r="H1089" s="12">
        <v>0.25</v>
      </c>
      <c r="I1089" s="12" t="s">
        <v>15</v>
      </c>
      <c r="J1089" s="12">
        <v>24</v>
      </c>
      <c r="K1089" s="12">
        <v>0</v>
      </c>
      <c r="L1089" s="12">
        <v>0</v>
      </c>
      <c r="M1089" s="12">
        <v>0</v>
      </c>
      <c r="N1089" s="12">
        <v>0</v>
      </c>
      <c r="O1089" s="12" t="str">
        <f t="shared" si="16"/>
        <v>20 - 29</v>
      </c>
    </row>
    <row r="1090" spans="1:15" x14ac:dyDescent="0.35">
      <c r="A1090" s="11">
        <v>4331</v>
      </c>
      <c r="B1090" s="11" t="s">
        <v>16</v>
      </c>
      <c r="C1090" s="11">
        <v>53</v>
      </c>
      <c r="D1090" s="11" t="s">
        <v>28</v>
      </c>
      <c r="E1090" s="11" t="s">
        <v>14</v>
      </c>
      <c r="F1090" s="11">
        <v>167</v>
      </c>
      <c r="G1090" s="11">
        <v>2</v>
      </c>
      <c r="H1090" s="11">
        <v>0.1</v>
      </c>
      <c r="I1090" s="11" t="s">
        <v>23</v>
      </c>
      <c r="J1090" s="11">
        <v>34</v>
      </c>
      <c r="K1090" s="11">
        <v>0</v>
      </c>
      <c r="L1090" s="11">
        <v>0</v>
      </c>
      <c r="M1090" s="11">
        <v>0</v>
      </c>
      <c r="N1090" s="11">
        <v>0</v>
      </c>
      <c r="O1090" s="12" t="str">
        <f t="shared" ref="O1090:O1153" si="17">_xlfn.FLOOR.MATH(J1090, 10) &amp; " - " &amp; (_xlfn.FLOOR.MATH(J1090, 10) + 9)</f>
        <v>30 - 39</v>
      </c>
    </row>
    <row r="1091" spans="1:15" x14ac:dyDescent="0.35">
      <c r="A1091" s="12">
        <v>4332</v>
      </c>
      <c r="B1091" s="12" t="s">
        <v>16</v>
      </c>
      <c r="C1091" s="12">
        <v>45</v>
      </c>
      <c r="D1091" s="12" t="s">
        <v>17</v>
      </c>
      <c r="E1091" s="12" t="s">
        <v>14</v>
      </c>
      <c r="F1091" s="12">
        <v>219</v>
      </c>
      <c r="G1091" s="12">
        <v>68</v>
      </c>
      <c r="H1091" s="12">
        <v>0.6</v>
      </c>
      <c r="I1091" s="12" t="s">
        <v>15</v>
      </c>
      <c r="J1091" s="12">
        <v>45</v>
      </c>
      <c r="K1091" s="12">
        <v>0</v>
      </c>
      <c r="L1091" s="12">
        <v>0</v>
      </c>
      <c r="M1091" s="12">
        <v>0</v>
      </c>
      <c r="N1091" s="12">
        <v>0</v>
      </c>
      <c r="O1091" s="12" t="str">
        <f t="shared" si="17"/>
        <v>40 - 49</v>
      </c>
    </row>
    <row r="1092" spans="1:15" x14ac:dyDescent="0.35">
      <c r="A1092" s="11">
        <v>4333</v>
      </c>
      <c r="B1092" s="11" t="s">
        <v>20</v>
      </c>
      <c r="C1092" s="11">
        <v>33</v>
      </c>
      <c r="D1092" s="11" t="s">
        <v>21</v>
      </c>
      <c r="E1092" s="11" t="s">
        <v>14</v>
      </c>
      <c r="F1092" s="11">
        <v>160</v>
      </c>
      <c r="G1092" s="11">
        <v>40</v>
      </c>
      <c r="H1092" s="11">
        <v>0.03</v>
      </c>
      <c r="I1092" s="11" t="s">
        <v>19</v>
      </c>
      <c r="J1092" s="11">
        <v>18</v>
      </c>
      <c r="K1092" s="11">
        <v>0</v>
      </c>
      <c r="L1092" s="11">
        <v>0</v>
      </c>
      <c r="M1092" s="11">
        <v>0</v>
      </c>
      <c r="N1092" s="11">
        <v>0</v>
      </c>
      <c r="O1092" s="12" t="str">
        <f t="shared" si="17"/>
        <v>10 - 19</v>
      </c>
    </row>
    <row r="1093" spans="1:15" x14ac:dyDescent="0.35">
      <c r="A1093" s="12">
        <v>4342</v>
      </c>
      <c r="B1093" s="12" t="s">
        <v>12</v>
      </c>
      <c r="C1093" s="12">
        <v>20</v>
      </c>
      <c r="D1093" s="12" t="s">
        <v>25</v>
      </c>
      <c r="E1093" s="12" t="s">
        <v>14</v>
      </c>
      <c r="F1093" s="12">
        <v>133</v>
      </c>
      <c r="G1093" s="12">
        <v>65</v>
      </c>
      <c r="H1093" s="12">
        <v>0.04</v>
      </c>
      <c r="I1093" s="12" t="s">
        <v>15</v>
      </c>
      <c r="J1093" s="12">
        <v>29</v>
      </c>
      <c r="K1093" s="12">
        <v>0</v>
      </c>
      <c r="L1093" s="12">
        <v>0</v>
      </c>
      <c r="M1093" s="12">
        <v>0</v>
      </c>
      <c r="N1093" s="12">
        <v>0</v>
      </c>
      <c r="O1093" s="12" t="str">
        <f t="shared" si="17"/>
        <v>20 - 29</v>
      </c>
    </row>
    <row r="1094" spans="1:15" x14ac:dyDescent="0.35">
      <c r="A1094" s="11">
        <v>4346</v>
      </c>
      <c r="B1094" s="11" t="s">
        <v>20</v>
      </c>
      <c r="C1094" s="11">
        <v>39</v>
      </c>
      <c r="D1094" s="11" t="s">
        <v>28</v>
      </c>
      <c r="E1094" s="11" t="s">
        <v>14</v>
      </c>
      <c r="F1094" s="11">
        <v>132</v>
      </c>
      <c r="G1094" s="11">
        <v>69</v>
      </c>
      <c r="H1094" s="11">
        <v>0.57999999999999996</v>
      </c>
      <c r="I1094" s="11" t="s">
        <v>19</v>
      </c>
      <c r="J1094" s="11">
        <v>31</v>
      </c>
      <c r="K1094" s="11">
        <v>0</v>
      </c>
      <c r="L1094" s="11">
        <v>0</v>
      </c>
      <c r="M1094" s="11">
        <v>0</v>
      </c>
      <c r="N1094" s="11">
        <v>0</v>
      </c>
      <c r="O1094" s="12" t="str">
        <f t="shared" si="17"/>
        <v>30 - 39</v>
      </c>
    </row>
    <row r="1095" spans="1:15" x14ac:dyDescent="0.35">
      <c r="A1095" s="12">
        <v>4350</v>
      </c>
      <c r="B1095" s="12" t="s">
        <v>20</v>
      </c>
      <c r="C1095" s="12">
        <v>51</v>
      </c>
      <c r="D1095" s="12" t="s">
        <v>13</v>
      </c>
      <c r="E1095" s="12" t="s">
        <v>14</v>
      </c>
      <c r="F1095" s="12">
        <v>165</v>
      </c>
      <c r="G1095" s="12">
        <v>81</v>
      </c>
      <c r="H1095" s="12">
        <v>0.54</v>
      </c>
      <c r="I1095" s="12" t="s">
        <v>23</v>
      </c>
      <c r="J1095" s="12">
        <v>20</v>
      </c>
      <c r="K1095" s="12">
        <v>0</v>
      </c>
      <c r="L1095" s="12">
        <v>0</v>
      </c>
      <c r="M1095" s="12">
        <v>0</v>
      </c>
      <c r="N1095" s="12">
        <v>0</v>
      </c>
      <c r="O1095" s="12" t="str">
        <f t="shared" si="17"/>
        <v>20 - 29</v>
      </c>
    </row>
    <row r="1096" spans="1:15" x14ac:dyDescent="0.35">
      <c r="A1096" s="11">
        <v>4352</v>
      </c>
      <c r="B1096" s="11" t="s">
        <v>16</v>
      </c>
      <c r="C1096" s="11">
        <v>45</v>
      </c>
      <c r="D1096" s="11" t="s">
        <v>29</v>
      </c>
      <c r="E1096" s="11" t="s">
        <v>14</v>
      </c>
      <c r="F1096" s="11">
        <v>90</v>
      </c>
      <c r="G1096" s="11">
        <v>29</v>
      </c>
      <c r="H1096" s="11">
        <v>0.06</v>
      </c>
      <c r="I1096" s="11" t="s">
        <v>15</v>
      </c>
      <c r="J1096" s="11">
        <v>14</v>
      </c>
      <c r="K1096" s="11">
        <v>0</v>
      </c>
      <c r="L1096" s="11">
        <v>1</v>
      </c>
      <c r="M1096" s="11">
        <v>0</v>
      </c>
      <c r="N1096" s="11">
        <v>0</v>
      </c>
      <c r="O1096" s="12" t="str">
        <f t="shared" si="17"/>
        <v>10 - 19</v>
      </c>
    </row>
    <row r="1097" spans="1:15" x14ac:dyDescent="0.35">
      <c r="A1097" s="12">
        <v>4355</v>
      </c>
      <c r="B1097" s="12" t="s">
        <v>12</v>
      </c>
      <c r="C1097" s="12">
        <v>25</v>
      </c>
      <c r="D1097" s="12" t="s">
        <v>29</v>
      </c>
      <c r="E1097" s="12" t="s">
        <v>14</v>
      </c>
      <c r="F1097" s="12">
        <v>251</v>
      </c>
      <c r="G1097" s="12">
        <v>68</v>
      </c>
      <c r="H1097" s="12">
        <v>0.28000000000000003</v>
      </c>
      <c r="I1097" s="12" t="s">
        <v>19</v>
      </c>
      <c r="J1097" s="12">
        <v>14</v>
      </c>
      <c r="K1097" s="12">
        <v>0</v>
      </c>
      <c r="L1097" s="12">
        <v>0</v>
      </c>
      <c r="M1097" s="12">
        <v>0</v>
      </c>
      <c r="N1097" s="12">
        <v>0</v>
      </c>
      <c r="O1097" s="12" t="str">
        <f t="shared" si="17"/>
        <v>10 - 19</v>
      </c>
    </row>
    <row r="1098" spans="1:15" x14ac:dyDescent="0.35">
      <c r="A1098" s="11">
        <v>4357</v>
      </c>
      <c r="B1098" s="11" t="s">
        <v>12</v>
      </c>
      <c r="C1098" s="11">
        <v>55</v>
      </c>
      <c r="D1098" s="11" t="s">
        <v>29</v>
      </c>
      <c r="E1098" s="11" t="s">
        <v>14</v>
      </c>
      <c r="F1098" s="11">
        <v>133</v>
      </c>
      <c r="G1098" s="11">
        <v>75</v>
      </c>
      <c r="H1098" s="11">
        <v>0.39</v>
      </c>
      <c r="I1098" s="11" t="s">
        <v>15</v>
      </c>
      <c r="J1098" s="11">
        <v>10</v>
      </c>
      <c r="K1098" s="11">
        <v>0</v>
      </c>
      <c r="L1098" s="11">
        <v>0</v>
      </c>
      <c r="M1098" s="11">
        <v>0</v>
      </c>
      <c r="N1098" s="11">
        <v>0</v>
      </c>
      <c r="O1098" s="12" t="str">
        <f t="shared" si="17"/>
        <v>10 - 19</v>
      </c>
    </row>
    <row r="1099" spans="1:15" x14ac:dyDescent="0.35">
      <c r="A1099" s="12">
        <v>4359</v>
      </c>
      <c r="B1099" s="12" t="s">
        <v>12</v>
      </c>
      <c r="C1099" s="12">
        <v>51</v>
      </c>
      <c r="D1099" s="12" t="s">
        <v>27</v>
      </c>
      <c r="E1099" s="12" t="s">
        <v>14</v>
      </c>
      <c r="F1099" s="12">
        <v>17</v>
      </c>
      <c r="G1099" s="12">
        <v>2</v>
      </c>
      <c r="H1099" s="12">
        <v>0.39</v>
      </c>
      <c r="I1099" s="12" t="s">
        <v>15</v>
      </c>
      <c r="J1099" s="12">
        <v>18</v>
      </c>
      <c r="K1099" s="12">
        <v>0</v>
      </c>
      <c r="L1099" s="12">
        <v>0</v>
      </c>
      <c r="M1099" s="12">
        <v>0</v>
      </c>
      <c r="N1099" s="12">
        <v>0</v>
      </c>
      <c r="O1099" s="12" t="str">
        <f t="shared" si="17"/>
        <v>10 - 19</v>
      </c>
    </row>
    <row r="1100" spans="1:15" x14ac:dyDescent="0.35">
      <c r="A1100" s="11">
        <v>4362</v>
      </c>
      <c r="B1100" s="11" t="s">
        <v>20</v>
      </c>
      <c r="C1100" s="11">
        <v>45</v>
      </c>
      <c r="D1100" s="11" t="s">
        <v>29</v>
      </c>
      <c r="E1100" s="11" t="s">
        <v>14</v>
      </c>
      <c r="F1100" s="11">
        <v>93</v>
      </c>
      <c r="G1100" s="11">
        <v>83</v>
      </c>
      <c r="H1100" s="11">
        <v>0.04</v>
      </c>
      <c r="I1100" s="11" t="s">
        <v>19</v>
      </c>
      <c r="J1100" s="11">
        <v>32</v>
      </c>
      <c r="K1100" s="11">
        <v>0</v>
      </c>
      <c r="L1100" s="11">
        <v>0</v>
      </c>
      <c r="M1100" s="11">
        <v>0</v>
      </c>
      <c r="N1100" s="11">
        <v>0</v>
      </c>
      <c r="O1100" s="12" t="str">
        <f t="shared" si="17"/>
        <v>30 - 39</v>
      </c>
    </row>
    <row r="1101" spans="1:15" x14ac:dyDescent="0.35">
      <c r="A1101" s="12">
        <v>4366</v>
      </c>
      <c r="B1101" s="12" t="s">
        <v>12</v>
      </c>
      <c r="C1101" s="12">
        <v>47</v>
      </c>
      <c r="D1101" s="12" t="s">
        <v>13</v>
      </c>
      <c r="E1101" s="12" t="s">
        <v>14</v>
      </c>
      <c r="F1101" s="12">
        <v>105</v>
      </c>
      <c r="G1101" s="12">
        <v>30</v>
      </c>
      <c r="H1101" s="12">
        <v>0.51</v>
      </c>
      <c r="I1101" s="12" t="s">
        <v>23</v>
      </c>
      <c r="J1101" s="12">
        <v>5</v>
      </c>
      <c r="K1101" s="12">
        <v>0</v>
      </c>
      <c r="L1101" s="12">
        <v>0</v>
      </c>
      <c r="M1101" s="12">
        <v>0</v>
      </c>
      <c r="N1101" s="12">
        <v>0</v>
      </c>
      <c r="O1101" s="12" t="str">
        <f t="shared" si="17"/>
        <v>0 - 9</v>
      </c>
    </row>
    <row r="1102" spans="1:15" x14ac:dyDescent="0.35">
      <c r="A1102" s="11">
        <v>4379</v>
      </c>
      <c r="B1102" s="11" t="s">
        <v>20</v>
      </c>
      <c r="C1102" s="11">
        <v>16</v>
      </c>
      <c r="D1102" s="11" t="s">
        <v>28</v>
      </c>
      <c r="E1102" s="11" t="s">
        <v>14</v>
      </c>
      <c r="F1102" s="11">
        <v>259</v>
      </c>
      <c r="G1102" s="11">
        <v>88</v>
      </c>
      <c r="H1102" s="11">
        <v>0.19</v>
      </c>
      <c r="I1102" s="11" t="s">
        <v>15</v>
      </c>
      <c r="J1102" s="11">
        <v>12</v>
      </c>
      <c r="K1102" s="11">
        <v>0</v>
      </c>
      <c r="L1102" s="11">
        <v>0</v>
      </c>
      <c r="M1102" s="11">
        <v>0</v>
      </c>
      <c r="N1102" s="11">
        <v>0</v>
      </c>
      <c r="O1102" s="12" t="str">
        <f t="shared" si="17"/>
        <v>10 - 19</v>
      </c>
    </row>
    <row r="1103" spans="1:15" x14ac:dyDescent="0.35">
      <c r="A1103" s="12">
        <v>4383</v>
      </c>
      <c r="B1103" s="12" t="s">
        <v>20</v>
      </c>
      <c r="C1103" s="12">
        <v>46</v>
      </c>
      <c r="D1103" s="12" t="s">
        <v>29</v>
      </c>
      <c r="E1103" s="12" t="s">
        <v>14</v>
      </c>
      <c r="F1103" s="12">
        <v>204</v>
      </c>
      <c r="G1103" s="12">
        <v>80</v>
      </c>
      <c r="H1103" s="12">
        <v>0.25</v>
      </c>
      <c r="I1103" s="12" t="s">
        <v>15</v>
      </c>
      <c r="J1103" s="12">
        <v>47</v>
      </c>
      <c r="K1103" s="12">
        <v>0</v>
      </c>
      <c r="L1103" s="12">
        <v>0</v>
      </c>
      <c r="M1103" s="12">
        <v>0</v>
      </c>
      <c r="N1103" s="12">
        <v>0</v>
      </c>
      <c r="O1103" s="12" t="str">
        <f t="shared" si="17"/>
        <v>40 - 49</v>
      </c>
    </row>
    <row r="1104" spans="1:15" x14ac:dyDescent="0.35">
      <c r="A1104" s="11">
        <v>4384</v>
      </c>
      <c r="B1104" s="11" t="s">
        <v>12</v>
      </c>
      <c r="C1104" s="11">
        <v>49</v>
      </c>
      <c r="D1104" s="11" t="s">
        <v>25</v>
      </c>
      <c r="E1104" s="11" t="s">
        <v>14</v>
      </c>
      <c r="F1104" s="11">
        <v>158</v>
      </c>
      <c r="G1104" s="11">
        <v>44</v>
      </c>
      <c r="H1104" s="11">
        <v>0.09</v>
      </c>
      <c r="I1104" s="11" t="s">
        <v>15</v>
      </c>
      <c r="J1104" s="11">
        <v>34</v>
      </c>
      <c r="K1104" s="11">
        <v>0</v>
      </c>
      <c r="L1104" s="11">
        <v>1</v>
      </c>
      <c r="M1104" s="11">
        <v>0</v>
      </c>
      <c r="N1104" s="11">
        <v>0</v>
      </c>
      <c r="O1104" s="12" t="str">
        <f t="shared" si="17"/>
        <v>30 - 39</v>
      </c>
    </row>
    <row r="1105" spans="1:15" x14ac:dyDescent="0.35">
      <c r="A1105" s="12">
        <v>4385</v>
      </c>
      <c r="B1105" s="12" t="s">
        <v>12</v>
      </c>
      <c r="C1105" s="12">
        <v>21</v>
      </c>
      <c r="D1105" s="12" t="s">
        <v>28</v>
      </c>
      <c r="E1105" s="12" t="s">
        <v>14</v>
      </c>
      <c r="F1105" s="12">
        <v>174</v>
      </c>
      <c r="G1105" s="12">
        <v>8</v>
      </c>
      <c r="H1105" s="12">
        <v>0.08</v>
      </c>
      <c r="I1105" s="12" t="s">
        <v>23</v>
      </c>
      <c r="J1105" s="12">
        <v>14</v>
      </c>
      <c r="K1105" s="12">
        <v>0</v>
      </c>
      <c r="L1105" s="12">
        <v>1</v>
      </c>
      <c r="M1105" s="12">
        <v>0</v>
      </c>
      <c r="N1105" s="12">
        <v>0</v>
      </c>
      <c r="O1105" s="12" t="str">
        <f t="shared" si="17"/>
        <v>10 - 19</v>
      </c>
    </row>
    <row r="1106" spans="1:15" x14ac:dyDescent="0.35">
      <c r="A1106" s="11">
        <v>4389</v>
      </c>
      <c r="B1106" s="11" t="s">
        <v>20</v>
      </c>
      <c r="C1106" s="11">
        <v>21</v>
      </c>
      <c r="D1106" s="11" t="s">
        <v>28</v>
      </c>
      <c r="E1106" s="11" t="s">
        <v>14</v>
      </c>
      <c r="F1106" s="11">
        <v>292</v>
      </c>
      <c r="G1106" s="11">
        <v>83</v>
      </c>
      <c r="H1106" s="11">
        <v>0.3</v>
      </c>
      <c r="I1106" s="11" t="s">
        <v>15</v>
      </c>
      <c r="J1106" s="11">
        <v>44</v>
      </c>
      <c r="K1106" s="11">
        <v>0</v>
      </c>
      <c r="L1106" s="11">
        <v>1</v>
      </c>
      <c r="M1106" s="11">
        <v>0</v>
      </c>
      <c r="N1106" s="11">
        <v>0</v>
      </c>
      <c r="O1106" s="12" t="str">
        <f t="shared" si="17"/>
        <v>40 - 49</v>
      </c>
    </row>
    <row r="1107" spans="1:15" x14ac:dyDescent="0.35">
      <c r="A1107" s="12">
        <v>4390</v>
      </c>
      <c r="B1107" s="12" t="s">
        <v>16</v>
      </c>
      <c r="C1107" s="12">
        <v>27</v>
      </c>
      <c r="D1107" s="12" t="s">
        <v>17</v>
      </c>
      <c r="E1107" s="12" t="s">
        <v>14</v>
      </c>
      <c r="F1107" s="12">
        <v>261</v>
      </c>
      <c r="G1107" s="12">
        <v>9</v>
      </c>
      <c r="H1107" s="12">
        <v>0.12</v>
      </c>
      <c r="I1107" s="12" t="s">
        <v>19</v>
      </c>
      <c r="J1107" s="12">
        <v>48</v>
      </c>
      <c r="K1107" s="12">
        <v>0</v>
      </c>
      <c r="L1107" s="12">
        <v>0</v>
      </c>
      <c r="M1107" s="12">
        <v>0</v>
      </c>
      <c r="N1107" s="12">
        <v>0</v>
      </c>
      <c r="O1107" s="12" t="str">
        <f t="shared" si="17"/>
        <v>40 - 49</v>
      </c>
    </row>
    <row r="1108" spans="1:15" x14ac:dyDescent="0.35">
      <c r="A1108" s="11">
        <v>4392</v>
      </c>
      <c r="B1108" s="11" t="s">
        <v>16</v>
      </c>
      <c r="C1108" s="11">
        <v>48</v>
      </c>
      <c r="D1108" s="11" t="s">
        <v>21</v>
      </c>
      <c r="E1108" s="11" t="s">
        <v>14</v>
      </c>
      <c r="F1108" s="11">
        <v>92</v>
      </c>
      <c r="G1108" s="11">
        <v>61</v>
      </c>
      <c r="H1108" s="11">
        <v>0.27</v>
      </c>
      <c r="I1108" s="11" t="s">
        <v>23</v>
      </c>
      <c r="J1108" s="11">
        <v>46</v>
      </c>
      <c r="K1108" s="11">
        <v>0</v>
      </c>
      <c r="L1108" s="11">
        <v>0</v>
      </c>
      <c r="M1108" s="11">
        <v>0</v>
      </c>
      <c r="N1108" s="11">
        <v>0</v>
      </c>
      <c r="O1108" s="12" t="str">
        <f t="shared" si="17"/>
        <v>40 - 49</v>
      </c>
    </row>
    <row r="1109" spans="1:15" x14ac:dyDescent="0.35">
      <c r="A1109" s="12">
        <v>4395</v>
      </c>
      <c r="B1109" s="12" t="s">
        <v>12</v>
      </c>
      <c r="C1109" s="12">
        <v>32</v>
      </c>
      <c r="D1109" s="12" t="s">
        <v>29</v>
      </c>
      <c r="E1109" s="12" t="s">
        <v>14</v>
      </c>
      <c r="F1109" s="12">
        <v>137</v>
      </c>
      <c r="G1109" s="12">
        <v>88</v>
      </c>
      <c r="H1109" s="12">
        <v>0.21</v>
      </c>
      <c r="I1109" s="12" t="s">
        <v>23</v>
      </c>
      <c r="J1109" s="12">
        <v>35</v>
      </c>
      <c r="K1109" s="12">
        <v>0</v>
      </c>
      <c r="L1109" s="12">
        <v>0</v>
      </c>
      <c r="M1109" s="12">
        <v>0</v>
      </c>
      <c r="N1109" s="12">
        <v>0</v>
      </c>
      <c r="O1109" s="12" t="str">
        <f t="shared" si="17"/>
        <v>30 - 39</v>
      </c>
    </row>
    <row r="1110" spans="1:15" x14ac:dyDescent="0.35">
      <c r="A1110" s="11">
        <v>4397</v>
      </c>
      <c r="B1110" s="11" t="s">
        <v>20</v>
      </c>
      <c r="C1110" s="11">
        <v>41</v>
      </c>
      <c r="D1110" s="11" t="s">
        <v>27</v>
      </c>
      <c r="E1110" s="11" t="s">
        <v>14</v>
      </c>
      <c r="F1110" s="11">
        <v>61</v>
      </c>
      <c r="G1110" s="11">
        <v>1</v>
      </c>
      <c r="H1110" s="11">
        <v>0.39</v>
      </c>
      <c r="I1110" s="11" t="s">
        <v>23</v>
      </c>
      <c r="J1110" s="11">
        <v>16</v>
      </c>
      <c r="K1110" s="11">
        <v>0</v>
      </c>
      <c r="L1110" s="11">
        <v>1</v>
      </c>
      <c r="M1110" s="11">
        <v>0</v>
      </c>
      <c r="N1110" s="11">
        <v>0</v>
      </c>
      <c r="O1110" s="12" t="str">
        <f t="shared" si="17"/>
        <v>10 - 19</v>
      </c>
    </row>
    <row r="1111" spans="1:15" x14ac:dyDescent="0.35">
      <c r="A1111" s="12">
        <v>4401</v>
      </c>
      <c r="B1111" s="12" t="s">
        <v>20</v>
      </c>
      <c r="C1111" s="12">
        <v>45</v>
      </c>
      <c r="D1111" s="12" t="s">
        <v>13</v>
      </c>
      <c r="E1111" s="12" t="s">
        <v>14</v>
      </c>
      <c r="F1111" s="12">
        <v>243</v>
      </c>
      <c r="G1111" s="12">
        <v>39</v>
      </c>
      <c r="H1111" s="12">
        <v>0.31</v>
      </c>
      <c r="I1111" s="12" t="s">
        <v>15</v>
      </c>
      <c r="J1111" s="12">
        <v>47</v>
      </c>
      <c r="K1111" s="12">
        <v>0</v>
      </c>
      <c r="L1111" s="12">
        <v>0</v>
      </c>
      <c r="M1111" s="12">
        <v>0</v>
      </c>
      <c r="N1111" s="12">
        <v>0</v>
      </c>
      <c r="O1111" s="12" t="str">
        <f t="shared" si="17"/>
        <v>40 - 49</v>
      </c>
    </row>
    <row r="1112" spans="1:15" x14ac:dyDescent="0.35">
      <c r="A1112" s="11">
        <v>4404</v>
      </c>
      <c r="B1112" s="11" t="s">
        <v>20</v>
      </c>
      <c r="C1112" s="11">
        <v>45</v>
      </c>
      <c r="D1112" s="11" t="s">
        <v>13</v>
      </c>
      <c r="E1112" s="11" t="s">
        <v>14</v>
      </c>
      <c r="F1112" s="11">
        <v>201</v>
      </c>
      <c r="G1112" s="11">
        <v>39</v>
      </c>
      <c r="H1112" s="11">
        <v>0.51</v>
      </c>
      <c r="I1112" s="11" t="s">
        <v>23</v>
      </c>
      <c r="J1112" s="11">
        <v>13</v>
      </c>
      <c r="K1112" s="11">
        <v>0</v>
      </c>
      <c r="L1112" s="11">
        <v>0</v>
      </c>
      <c r="M1112" s="11">
        <v>0</v>
      </c>
      <c r="N1112" s="11">
        <v>0</v>
      </c>
      <c r="O1112" s="12" t="str">
        <f t="shared" si="17"/>
        <v>10 - 19</v>
      </c>
    </row>
    <row r="1113" spans="1:15" x14ac:dyDescent="0.35">
      <c r="A1113" s="12">
        <v>4406</v>
      </c>
      <c r="B1113" s="12" t="s">
        <v>16</v>
      </c>
      <c r="C1113" s="12">
        <v>45</v>
      </c>
      <c r="D1113" s="12" t="s">
        <v>28</v>
      </c>
      <c r="E1113" s="12" t="s">
        <v>14</v>
      </c>
      <c r="F1113" s="12">
        <v>290</v>
      </c>
      <c r="G1113" s="12">
        <v>27</v>
      </c>
      <c r="H1113" s="12">
        <v>0.47</v>
      </c>
      <c r="I1113" s="12" t="s">
        <v>23</v>
      </c>
      <c r="J1113" s="12">
        <v>29</v>
      </c>
      <c r="K1113" s="12">
        <v>0</v>
      </c>
      <c r="L1113" s="12">
        <v>1</v>
      </c>
      <c r="M1113" s="12">
        <v>0</v>
      </c>
      <c r="N1113" s="12">
        <v>0</v>
      </c>
      <c r="O1113" s="12" t="str">
        <f t="shared" si="17"/>
        <v>20 - 29</v>
      </c>
    </row>
    <row r="1114" spans="1:15" x14ac:dyDescent="0.35">
      <c r="A1114" s="11">
        <v>4415</v>
      </c>
      <c r="B1114" s="11" t="s">
        <v>12</v>
      </c>
      <c r="C1114" s="11">
        <v>27</v>
      </c>
      <c r="D1114" s="11" t="s">
        <v>27</v>
      </c>
      <c r="E1114" s="11" t="s">
        <v>14</v>
      </c>
      <c r="F1114" s="11">
        <v>250</v>
      </c>
      <c r="G1114" s="11">
        <v>24</v>
      </c>
      <c r="H1114" s="11">
        <v>0.38</v>
      </c>
      <c r="I1114" s="11" t="s">
        <v>23</v>
      </c>
      <c r="J1114" s="11">
        <v>6</v>
      </c>
      <c r="K1114" s="11">
        <v>0</v>
      </c>
      <c r="L1114" s="11">
        <v>0</v>
      </c>
      <c r="M1114" s="11">
        <v>0</v>
      </c>
      <c r="N1114" s="11">
        <v>0</v>
      </c>
      <c r="O1114" s="12" t="str">
        <f t="shared" si="17"/>
        <v>0 - 9</v>
      </c>
    </row>
    <row r="1115" spans="1:15" x14ac:dyDescent="0.35">
      <c r="A1115" s="12">
        <v>4416</v>
      </c>
      <c r="B1115" s="12" t="s">
        <v>12</v>
      </c>
      <c r="C1115" s="12">
        <v>21</v>
      </c>
      <c r="D1115" s="12" t="s">
        <v>17</v>
      </c>
      <c r="E1115" s="12" t="s">
        <v>14</v>
      </c>
      <c r="F1115" s="12">
        <v>195</v>
      </c>
      <c r="G1115" s="12">
        <v>55</v>
      </c>
      <c r="H1115" s="12">
        <v>7.0000000000000007E-2</v>
      </c>
      <c r="I1115" s="12" t="s">
        <v>15</v>
      </c>
      <c r="J1115" s="12">
        <v>43</v>
      </c>
      <c r="K1115" s="12">
        <v>0</v>
      </c>
      <c r="L1115" s="12">
        <v>1</v>
      </c>
      <c r="M1115" s="12">
        <v>0</v>
      </c>
      <c r="N1115" s="12">
        <v>0</v>
      </c>
      <c r="O1115" s="12" t="str">
        <f t="shared" si="17"/>
        <v>40 - 49</v>
      </c>
    </row>
    <row r="1116" spans="1:15" x14ac:dyDescent="0.35">
      <c r="A1116" s="11">
        <v>4423</v>
      </c>
      <c r="B1116" s="11" t="s">
        <v>12</v>
      </c>
      <c r="C1116" s="11">
        <v>23</v>
      </c>
      <c r="D1116" s="11" t="s">
        <v>13</v>
      </c>
      <c r="E1116" s="11" t="s">
        <v>14</v>
      </c>
      <c r="F1116" s="11">
        <v>234</v>
      </c>
      <c r="G1116" s="11">
        <v>87</v>
      </c>
      <c r="H1116" s="11">
        <v>0.27</v>
      </c>
      <c r="I1116" s="11" t="s">
        <v>15</v>
      </c>
      <c r="J1116" s="11">
        <v>25</v>
      </c>
      <c r="K1116" s="11">
        <v>0</v>
      </c>
      <c r="L1116" s="11">
        <v>0</v>
      </c>
      <c r="M1116" s="11">
        <v>0</v>
      </c>
      <c r="N1116" s="11">
        <v>0</v>
      </c>
      <c r="O1116" s="12" t="str">
        <f t="shared" si="17"/>
        <v>20 - 29</v>
      </c>
    </row>
    <row r="1117" spans="1:15" x14ac:dyDescent="0.35">
      <c r="A1117" s="12">
        <v>4425</v>
      </c>
      <c r="B1117" s="12" t="s">
        <v>20</v>
      </c>
      <c r="C1117" s="12">
        <v>53</v>
      </c>
      <c r="D1117" s="12" t="s">
        <v>27</v>
      </c>
      <c r="E1117" s="12" t="s">
        <v>14</v>
      </c>
      <c r="F1117" s="12">
        <v>289</v>
      </c>
      <c r="G1117" s="12">
        <v>55</v>
      </c>
      <c r="H1117" s="12">
        <v>0.25</v>
      </c>
      <c r="I1117" s="12" t="s">
        <v>15</v>
      </c>
      <c r="J1117" s="12">
        <v>46</v>
      </c>
      <c r="K1117" s="12">
        <v>0</v>
      </c>
      <c r="L1117" s="12">
        <v>0</v>
      </c>
      <c r="M1117" s="12">
        <v>0</v>
      </c>
      <c r="N1117" s="12">
        <v>0</v>
      </c>
      <c r="O1117" s="12" t="str">
        <f t="shared" si="17"/>
        <v>40 - 49</v>
      </c>
    </row>
    <row r="1118" spans="1:15" x14ac:dyDescent="0.35">
      <c r="A1118" s="11">
        <v>4430</v>
      </c>
      <c r="B1118" s="11" t="s">
        <v>20</v>
      </c>
      <c r="C1118" s="11">
        <v>22</v>
      </c>
      <c r="D1118" s="11" t="s">
        <v>27</v>
      </c>
      <c r="E1118" s="11" t="s">
        <v>14</v>
      </c>
      <c r="F1118" s="11">
        <v>291</v>
      </c>
      <c r="G1118" s="11">
        <v>43</v>
      </c>
      <c r="H1118" s="11">
        <v>0.14000000000000001</v>
      </c>
      <c r="I1118" s="11" t="s">
        <v>15</v>
      </c>
      <c r="J1118" s="11">
        <v>7</v>
      </c>
      <c r="K1118" s="11">
        <v>0</v>
      </c>
      <c r="L1118" s="11">
        <v>1</v>
      </c>
      <c r="M1118" s="11">
        <v>0</v>
      </c>
      <c r="N1118" s="11">
        <v>0</v>
      </c>
      <c r="O1118" s="12" t="str">
        <f t="shared" si="17"/>
        <v>0 - 9</v>
      </c>
    </row>
    <row r="1119" spans="1:15" x14ac:dyDescent="0.35">
      <c r="A1119" s="12">
        <v>4437</v>
      </c>
      <c r="B1119" s="12" t="s">
        <v>20</v>
      </c>
      <c r="C1119" s="12">
        <v>52</v>
      </c>
      <c r="D1119" s="12" t="s">
        <v>13</v>
      </c>
      <c r="E1119" s="12" t="s">
        <v>14</v>
      </c>
      <c r="F1119" s="12">
        <v>153</v>
      </c>
      <c r="G1119" s="12">
        <v>97</v>
      </c>
      <c r="H1119" s="12">
        <v>0.39</v>
      </c>
      <c r="I1119" s="12" t="s">
        <v>15</v>
      </c>
      <c r="J1119" s="12">
        <v>48</v>
      </c>
      <c r="K1119" s="12">
        <v>0</v>
      </c>
      <c r="L1119" s="12">
        <v>0</v>
      </c>
      <c r="M1119" s="12">
        <v>0</v>
      </c>
      <c r="N1119" s="12">
        <v>0</v>
      </c>
      <c r="O1119" s="12" t="str">
        <f t="shared" si="17"/>
        <v>40 - 49</v>
      </c>
    </row>
    <row r="1120" spans="1:15" x14ac:dyDescent="0.35">
      <c r="A1120" s="11">
        <v>4438</v>
      </c>
      <c r="B1120" s="11" t="s">
        <v>20</v>
      </c>
      <c r="C1120" s="11">
        <v>34</v>
      </c>
      <c r="D1120" s="11" t="s">
        <v>27</v>
      </c>
      <c r="E1120" s="11" t="s">
        <v>14</v>
      </c>
      <c r="F1120" s="11">
        <v>203</v>
      </c>
      <c r="G1120" s="11">
        <v>56</v>
      </c>
      <c r="H1120" s="11">
        <v>0.04</v>
      </c>
      <c r="I1120" s="11" t="s">
        <v>19</v>
      </c>
      <c r="J1120" s="11">
        <v>19</v>
      </c>
      <c r="K1120" s="11">
        <v>0</v>
      </c>
      <c r="L1120" s="11">
        <v>0</v>
      </c>
      <c r="M1120" s="11">
        <v>0</v>
      </c>
      <c r="N1120" s="11">
        <v>0</v>
      </c>
      <c r="O1120" s="12" t="str">
        <f t="shared" si="17"/>
        <v>10 - 19</v>
      </c>
    </row>
    <row r="1121" spans="1:15" x14ac:dyDescent="0.35">
      <c r="A1121" s="12">
        <v>4441</v>
      </c>
      <c r="B1121" s="12" t="s">
        <v>16</v>
      </c>
      <c r="C1121" s="12">
        <v>57</v>
      </c>
      <c r="D1121" s="12" t="s">
        <v>25</v>
      </c>
      <c r="E1121" s="12" t="s">
        <v>14</v>
      </c>
      <c r="F1121" s="12">
        <v>106</v>
      </c>
      <c r="G1121" s="12">
        <v>47</v>
      </c>
      <c r="H1121" s="12">
        <v>0.4</v>
      </c>
      <c r="I1121" s="12" t="s">
        <v>19</v>
      </c>
      <c r="J1121" s="12">
        <v>20</v>
      </c>
      <c r="K1121" s="12">
        <v>0</v>
      </c>
      <c r="L1121" s="12">
        <v>1</v>
      </c>
      <c r="M1121" s="12">
        <v>0</v>
      </c>
      <c r="N1121" s="12">
        <v>0</v>
      </c>
      <c r="O1121" s="12" t="str">
        <f t="shared" si="17"/>
        <v>20 - 29</v>
      </c>
    </row>
    <row r="1122" spans="1:15" x14ac:dyDescent="0.35">
      <c r="A1122" s="11">
        <v>4445</v>
      </c>
      <c r="B1122" s="11" t="s">
        <v>12</v>
      </c>
      <c r="C1122" s="11">
        <v>19</v>
      </c>
      <c r="D1122" s="11" t="s">
        <v>13</v>
      </c>
      <c r="E1122" s="11" t="s">
        <v>14</v>
      </c>
      <c r="F1122" s="11">
        <v>150</v>
      </c>
      <c r="G1122" s="11">
        <v>20</v>
      </c>
      <c r="H1122" s="11">
        <v>0.34</v>
      </c>
      <c r="I1122" s="11" t="s">
        <v>23</v>
      </c>
      <c r="J1122" s="11">
        <v>39</v>
      </c>
      <c r="K1122" s="11">
        <v>0</v>
      </c>
      <c r="L1122" s="11">
        <v>0</v>
      </c>
      <c r="M1122" s="11">
        <v>0</v>
      </c>
      <c r="N1122" s="11">
        <v>0</v>
      </c>
      <c r="O1122" s="12" t="str">
        <f t="shared" si="17"/>
        <v>30 - 39</v>
      </c>
    </row>
    <row r="1123" spans="1:15" x14ac:dyDescent="0.35">
      <c r="A1123" s="12">
        <v>4452</v>
      </c>
      <c r="B1123" s="12" t="s">
        <v>20</v>
      </c>
      <c r="C1123" s="12">
        <v>16</v>
      </c>
      <c r="D1123" s="12" t="s">
        <v>21</v>
      </c>
      <c r="E1123" s="12" t="s">
        <v>14</v>
      </c>
      <c r="F1123" s="12">
        <v>60</v>
      </c>
      <c r="G1123" s="12">
        <v>9</v>
      </c>
      <c r="H1123" s="12">
        <v>0.6</v>
      </c>
      <c r="I1123" s="12" t="s">
        <v>15</v>
      </c>
      <c r="J1123" s="12">
        <v>39</v>
      </c>
      <c r="K1123" s="12">
        <v>0</v>
      </c>
      <c r="L1123" s="12">
        <v>0</v>
      </c>
      <c r="M1123" s="12">
        <v>0</v>
      </c>
      <c r="N1123" s="12">
        <v>0</v>
      </c>
      <c r="O1123" s="12" t="str">
        <f t="shared" si="17"/>
        <v>30 - 39</v>
      </c>
    </row>
    <row r="1124" spans="1:15" x14ac:dyDescent="0.35">
      <c r="A1124" s="11">
        <v>4453</v>
      </c>
      <c r="B1124" s="11" t="s">
        <v>12</v>
      </c>
      <c r="C1124" s="11">
        <v>55</v>
      </c>
      <c r="D1124" s="11" t="s">
        <v>29</v>
      </c>
      <c r="E1124" s="11" t="s">
        <v>14</v>
      </c>
      <c r="F1124" s="11">
        <v>179</v>
      </c>
      <c r="G1124" s="11">
        <v>44</v>
      </c>
      <c r="H1124" s="11">
        <v>0.3</v>
      </c>
      <c r="I1124" s="11" t="s">
        <v>19</v>
      </c>
      <c r="J1124" s="11">
        <v>20</v>
      </c>
      <c r="K1124" s="11">
        <v>0</v>
      </c>
      <c r="L1124" s="11">
        <v>0</v>
      </c>
      <c r="M1124" s="11">
        <v>0</v>
      </c>
      <c r="N1124" s="11">
        <v>0</v>
      </c>
      <c r="O1124" s="12" t="str">
        <f t="shared" si="17"/>
        <v>20 - 29</v>
      </c>
    </row>
    <row r="1125" spans="1:15" x14ac:dyDescent="0.35">
      <c r="A1125" s="12">
        <v>4458</v>
      </c>
      <c r="B1125" s="12" t="s">
        <v>12</v>
      </c>
      <c r="C1125" s="12">
        <v>55</v>
      </c>
      <c r="D1125" s="12" t="s">
        <v>13</v>
      </c>
      <c r="E1125" s="12" t="s">
        <v>14</v>
      </c>
      <c r="F1125" s="12">
        <v>285</v>
      </c>
      <c r="G1125" s="12">
        <v>30</v>
      </c>
      <c r="H1125" s="12">
        <v>0.33</v>
      </c>
      <c r="I1125" s="12" t="s">
        <v>23</v>
      </c>
      <c r="J1125" s="12">
        <v>27</v>
      </c>
      <c r="K1125" s="12">
        <v>0</v>
      </c>
      <c r="L1125" s="12">
        <v>0</v>
      </c>
      <c r="M1125" s="12">
        <v>0</v>
      </c>
      <c r="N1125" s="12">
        <v>0</v>
      </c>
      <c r="O1125" s="12" t="str">
        <f t="shared" si="17"/>
        <v>20 - 29</v>
      </c>
    </row>
    <row r="1126" spans="1:15" x14ac:dyDescent="0.35">
      <c r="A1126" s="11">
        <v>4462</v>
      </c>
      <c r="B1126" s="11" t="s">
        <v>16</v>
      </c>
      <c r="C1126" s="11">
        <v>16</v>
      </c>
      <c r="D1126" s="11" t="s">
        <v>27</v>
      </c>
      <c r="E1126" s="11" t="s">
        <v>14</v>
      </c>
      <c r="F1126" s="11">
        <v>296</v>
      </c>
      <c r="G1126" s="11">
        <v>77</v>
      </c>
      <c r="H1126" s="11">
        <v>0.1</v>
      </c>
      <c r="I1126" s="11" t="s">
        <v>19</v>
      </c>
      <c r="J1126" s="11">
        <v>22</v>
      </c>
      <c r="K1126" s="11">
        <v>0</v>
      </c>
      <c r="L1126" s="11">
        <v>0</v>
      </c>
      <c r="M1126" s="11">
        <v>0</v>
      </c>
      <c r="N1126" s="11">
        <v>0</v>
      </c>
      <c r="O1126" s="12" t="str">
        <f t="shared" si="17"/>
        <v>20 - 29</v>
      </c>
    </row>
    <row r="1127" spans="1:15" x14ac:dyDescent="0.35">
      <c r="A1127" s="12">
        <v>4464</v>
      </c>
      <c r="B1127" s="12" t="s">
        <v>16</v>
      </c>
      <c r="C1127" s="12">
        <v>47</v>
      </c>
      <c r="D1127" s="12" t="s">
        <v>25</v>
      </c>
      <c r="E1127" s="12" t="s">
        <v>14</v>
      </c>
      <c r="F1127" s="12">
        <v>283</v>
      </c>
      <c r="G1127" s="12">
        <v>24</v>
      </c>
      <c r="H1127" s="12">
        <v>0.15</v>
      </c>
      <c r="I1127" s="12" t="s">
        <v>19</v>
      </c>
      <c r="J1127" s="12">
        <v>28</v>
      </c>
      <c r="K1127" s="12">
        <v>0</v>
      </c>
      <c r="L1127" s="12">
        <v>0</v>
      </c>
      <c r="M1127" s="12">
        <v>0</v>
      </c>
      <c r="N1127" s="12">
        <v>0</v>
      </c>
      <c r="O1127" s="12" t="str">
        <f t="shared" si="17"/>
        <v>20 - 29</v>
      </c>
    </row>
    <row r="1128" spans="1:15" x14ac:dyDescent="0.35">
      <c r="A1128" s="11">
        <v>4467</v>
      </c>
      <c r="B1128" s="11" t="s">
        <v>12</v>
      </c>
      <c r="C1128" s="11">
        <v>30</v>
      </c>
      <c r="D1128" s="11" t="s">
        <v>27</v>
      </c>
      <c r="E1128" s="11" t="s">
        <v>14</v>
      </c>
      <c r="F1128" s="11">
        <v>159</v>
      </c>
      <c r="G1128" s="11">
        <v>57</v>
      </c>
      <c r="H1128" s="11">
        <v>0.46</v>
      </c>
      <c r="I1128" s="11" t="s">
        <v>15</v>
      </c>
      <c r="J1128" s="11">
        <v>15</v>
      </c>
      <c r="K1128" s="11">
        <v>0</v>
      </c>
      <c r="L1128" s="11">
        <v>0</v>
      </c>
      <c r="M1128" s="11">
        <v>0</v>
      </c>
      <c r="N1128" s="11">
        <v>0</v>
      </c>
      <c r="O1128" s="12" t="str">
        <f t="shared" si="17"/>
        <v>10 - 19</v>
      </c>
    </row>
    <row r="1129" spans="1:15" x14ac:dyDescent="0.35">
      <c r="A1129" s="12">
        <v>4469</v>
      </c>
      <c r="B1129" s="12" t="s">
        <v>20</v>
      </c>
      <c r="C1129" s="12">
        <v>29</v>
      </c>
      <c r="D1129" s="12" t="s">
        <v>29</v>
      </c>
      <c r="E1129" s="12" t="s">
        <v>14</v>
      </c>
      <c r="F1129" s="12">
        <v>92</v>
      </c>
      <c r="G1129" s="12">
        <v>96</v>
      </c>
      <c r="H1129" s="12">
        <v>0.08</v>
      </c>
      <c r="I1129" s="12" t="s">
        <v>19</v>
      </c>
      <c r="J1129" s="12">
        <v>43</v>
      </c>
      <c r="K1129" s="12">
        <v>0</v>
      </c>
      <c r="L1129" s="12">
        <v>0</v>
      </c>
      <c r="M1129" s="12">
        <v>0</v>
      </c>
      <c r="N1129" s="12">
        <v>0</v>
      </c>
      <c r="O1129" s="12" t="str">
        <f t="shared" si="17"/>
        <v>40 - 49</v>
      </c>
    </row>
    <row r="1130" spans="1:15" x14ac:dyDescent="0.35">
      <c r="A1130" s="11">
        <v>4470</v>
      </c>
      <c r="B1130" s="11" t="s">
        <v>20</v>
      </c>
      <c r="C1130" s="11">
        <v>26</v>
      </c>
      <c r="D1130" s="11" t="s">
        <v>28</v>
      </c>
      <c r="E1130" s="11" t="s">
        <v>14</v>
      </c>
      <c r="F1130" s="11">
        <v>86</v>
      </c>
      <c r="G1130" s="11">
        <v>65</v>
      </c>
      <c r="H1130" s="11">
        <v>0</v>
      </c>
      <c r="I1130" s="11" t="s">
        <v>15</v>
      </c>
      <c r="J1130" s="11">
        <v>32</v>
      </c>
      <c r="K1130" s="11">
        <v>0</v>
      </c>
      <c r="L1130" s="11">
        <v>0</v>
      </c>
      <c r="M1130" s="11">
        <v>0</v>
      </c>
      <c r="N1130" s="11">
        <v>0</v>
      </c>
      <c r="O1130" s="12" t="str">
        <f t="shared" si="17"/>
        <v>30 - 39</v>
      </c>
    </row>
    <row r="1131" spans="1:15" x14ac:dyDescent="0.35">
      <c r="A1131" s="12">
        <v>4471</v>
      </c>
      <c r="B1131" s="12" t="s">
        <v>16</v>
      </c>
      <c r="C1131" s="12">
        <v>45</v>
      </c>
      <c r="D1131" s="12" t="s">
        <v>21</v>
      </c>
      <c r="E1131" s="12" t="s">
        <v>14</v>
      </c>
      <c r="F1131" s="12">
        <v>209</v>
      </c>
      <c r="G1131" s="12">
        <v>81</v>
      </c>
      <c r="H1131" s="12">
        <v>0.26</v>
      </c>
      <c r="I1131" s="12" t="s">
        <v>23</v>
      </c>
      <c r="J1131" s="12">
        <v>26</v>
      </c>
      <c r="K1131" s="12">
        <v>0</v>
      </c>
      <c r="L1131" s="12">
        <v>1</v>
      </c>
      <c r="M1131" s="12">
        <v>0</v>
      </c>
      <c r="N1131" s="12">
        <v>0</v>
      </c>
      <c r="O1131" s="12" t="str">
        <f t="shared" si="17"/>
        <v>20 - 29</v>
      </c>
    </row>
    <row r="1132" spans="1:15" x14ac:dyDescent="0.35">
      <c r="A1132" s="11">
        <v>4476</v>
      </c>
      <c r="B1132" s="11" t="s">
        <v>16</v>
      </c>
      <c r="C1132" s="11">
        <v>47</v>
      </c>
      <c r="D1132" s="11" t="s">
        <v>28</v>
      </c>
      <c r="E1132" s="11" t="s">
        <v>14</v>
      </c>
      <c r="F1132" s="11">
        <v>135</v>
      </c>
      <c r="G1132" s="11">
        <v>28</v>
      </c>
      <c r="H1132" s="11">
        <v>0.32</v>
      </c>
      <c r="I1132" s="11" t="s">
        <v>15</v>
      </c>
      <c r="J1132" s="11">
        <v>34</v>
      </c>
      <c r="K1132" s="11">
        <v>0</v>
      </c>
      <c r="L1132" s="11">
        <v>0</v>
      </c>
      <c r="M1132" s="11">
        <v>0</v>
      </c>
      <c r="N1132" s="11">
        <v>0</v>
      </c>
      <c r="O1132" s="12" t="str">
        <f t="shared" si="17"/>
        <v>30 - 39</v>
      </c>
    </row>
    <row r="1133" spans="1:15" x14ac:dyDescent="0.35">
      <c r="A1133" s="12">
        <v>4478</v>
      </c>
      <c r="B1133" s="12" t="s">
        <v>12</v>
      </c>
      <c r="C1133" s="12">
        <v>44</v>
      </c>
      <c r="D1133" s="12" t="s">
        <v>13</v>
      </c>
      <c r="E1133" s="12" t="s">
        <v>14</v>
      </c>
      <c r="F1133" s="12">
        <v>209</v>
      </c>
      <c r="G1133" s="12">
        <v>34</v>
      </c>
      <c r="H1133" s="12">
        <v>0.44</v>
      </c>
      <c r="I1133" s="12" t="s">
        <v>23</v>
      </c>
      <c r="J1133" s="12">
        <v>19</v>
      </c>
      <c r="K1133" s="12">
        <v>0</v>
      </c>
      <c r="L1133" s="12">
        <v>0</v>
      </c>
      <c r="M1133" s="12">
        <v>0</v>
      </c>
      <c r="N1133" s="12">
        <v>0</v>
      </c>
      <c r="O1133" s="12" t="str">
        <f t="shared" si="17"/>
        <v>10 - 19</v>
      </c>
    </row>
    <row r="1134" spans="1:15" x14ac:dyDescent="0.35">
      <c r="A1134" s="11">
        <v>4480</v>
      </c>
      <c r="B1134" s="11" t="s">
        <v>20</v>
      </c>
      <c r="C1134" s="11">
        <v>30</v>
      </c>
      <c r="D1134" s="11" t="s">
        <v>27</v>
      </c>
      <c r="E1134" s="11" t="s">
        <v>14</v>
      </c>
      <c r="F1134" s="11">
        <v>204</v>
      </c>
      <c r="G1134" s="11">
        <v>97</v>
      </c>
      <c r="H1134" s="11">
        <v>0.31</v>
      </c>
      <c r="I1134" s="11" t="s">
        <v>19</v>
      </c>
      <c r="J1134" s="11">
        <v>9</v>
      </c>
      <c r="K1134" s="11">
        <v>0</v>
      </c>
      <c r="L1134" s="11">
        <v>0</v>
      </c>
      <c r="M1134" s="11">
        <v>0</v>
      </c>
      <c r="N1134" s="11">
        <v>0</v>
      </c>
      <c r="O1134" s="12" t="str">
        <f t="shared" si="17"/>
        <v>0 - 9</v>
      </c>
    </row>
    <row r="1135" spans="1:15" x14ac:dyDescent="0.35">
      <c r="A1135" s="12">
        <v>4483</v>
      </c>
      <c r="B1135" s="12" t="s">
        <v>16</v>
      </c>
      <c r="C1135" s="12">
        <v>43</v>
      </c>
      <c r="D1135" s="12" t="s">
        <v>13</v>
      </c>
      <c r="E1135" s="12" t="s">
        <v>14</v>
      </c>
      <c r="F1135" s="12">
        <v>201</v>
      </c>
      <c r="G1135" s="12">
        <v>37</v>
      </c>
      <c r="H1135" s="12">
        <v>0.19</v>
      </c>
      <c r="I1135" s="12" t="s">
        <v>19</v>
      </c>
      <c r="J1135" s="12">
        <v>49</v>
      </c>
      <c r="K1135" s="12">
        <v>0</v>
      </c>
      <c r="L1135" s="12">
        <v>0</v>
      </c>
      <c r="M1135" s="12">
        <v>0</v>
      </c>
      <c r="N1135" s="12">
        <v>0</v>
      </c>
      <c r="O1135" s="12" t="str">
        <f t="shared" si="17"/>
        <v>40 - 49</v>
      </c>
    </row>
    <row r="1136" spans="1:15" x14ac:dyDescent="0.35">
      <c r="A1136" s="11">
        <v>4489</v>
      </c>
      <c r="B1136" s="11" t="s">
        <v>12</v>
      </c>
      <c r="C1136" s="11">
        <v>36</v>
      </c>
      <c r="D1136" s="11" t="s">
        <v>26</v>
      </c>
      <c r="E1136" s="11" t="s">
        <v>14</v>
      </c>
      <c r="F1136" s="11">
        <v>276</v>
      </c>
      <c r="G1136" s="11">
        <v>29</v>
      </c>
      <c r="H1136" s="11">
        <v>0.56000000000000005</v>
      </c>
      <c r="I1136" s="11" t="s">
        <v>19</v>
      </c>
      <c r="J1136" s="11">
        <v>47</v>
      </c>
      <c r="K1136" s="11">
        <v>0</v>
      </c>
      <c r="L1136" s="11">
        <v>0</v>
      </c>
      <c r="M1136" s="11">
        <v>0</v>
      </c>
      <c r="N1136" s="11">
        <v>0</v>
      </c>
      <c r="O1136" s="12" t="str">
        <f t="shared" si="17"/>
        <v>40 - 49</v>
      </c>
    </row>
    <row r="1137" spans="1:15" x14ac:dyDescent="0.35">
      <c r="A1137" s="12">
        <v>4495</v>
      </c>
      <c r="B1137" s="12" t="s">
        <v>20</v>
      </c>
      <c r="C1137" s="12">
        <v>30</v>
      </c>
      <c r="D1137" s="12" t="s">
        <v>21</v>
      </c>
      <c r="E1137" s="12" t="s">
        <v>14</v>
      </c>
      <c r="F1137" s="12">
        <v>150</v>
      </c>
      <c r="G1137" s="12">
        <v>9</v>
      </c>
      <c r="H1137" s="12">
        <v>0.05</v>
      </c>
      <c r="I1137" s="12" t="s">
        <v>19</v>
      </c>
      <c r="J1137" s="12">
        <v>40</v>
      </c>
      <c r="K1137" s="12">
        <v>0</v>
      </c>
      <c r="L1137" s="12">
        <v>0</v>
      </c>
      <c r="M1137" s="12">
        <v>0</v>
      </c>
      <c r="N1137" s="12">
        <v>0</v>
      </c>
      <c r="O1137" s="12" t="str">
        <f t="shared" si="17"/>
        <v>40 - 49</v>
      </c>
    </row>
    <row r="1138" spans="1:15" x14ac:dyDescent="0.35">
      <c r="A1138" s="11">
        <v>4496</v>
      </c>
      <c r="B1138" s="11" t="s">
        <v>20</v>
      </c>
      <c r="C1138" s="11">
        <v>41</v>
      </c>
      <c r="D1138" s="11" t="s">
        <v>29</v>
      </c>
      <c r="E1138" s="11" t="s">
        <v>14</v>
      </c>
      <c r="F1138" s="11">
        <v>20</v>
      </c>
      <c r="G1138" s="11">
        <v>84</v>
      </c>
      <c r="H1138" s="11">
        <v>0.52</v>
      </c>
      <c r="I1138" s="11" t="s">
        <v>23</v>
      </c>
      <c r="J1138" s="11">
        <v>17</v>
      </c>
      <c r="K1138" s="11">
        <v>0</v>
      </c>
      <c r="L1138" s="11">
        <v>1</v>
      </c>
      <c r="M1138" s="11">
        <v>0</v>
      </c>
      <c r="N1138" s="11">
        <v>0</v>
      </c>
      <c r="O1138" s="12" t="str">
        <f t="shared" si="17"/>
        <v>10 - 19</v>
      </c>
    </row>
    <row r="1139" spans="1:15" x14ac:dyDescent="0.35">
      <c r="A1139" s="12">
        <v>4499</v>
      </c>
      <c r="B1139" s="12" t="s">
        <v>20</v>
      </c>
      <c r="C1139" s="12">
        <v>27</v>
      </c>
      <c r="D1139" s="12" t="s">
        <v>17</v>
      </c>
      <c r="E1139" s="12" t="s">
        <v>14</v>
      </c>
      <c r="F1139" s="12">
        <v>297</v>
      </c>
      <c r="G1139" s="12">
        <v>18</v>
      </c>
      <c r="H1139" s="12">
        <v>0.15</v>
      </c>
      <c r="I1139" s="12" t="s">
        <v>15</v>
      </c>
      <c r="J1139" s="12">
        <v>41</v>
      </c>
      <c r="K1139" s="12">
        <v>0</v>
      </c>
      <c r="L1139" s="12">
        <v>0</v>
      </c>
      <c r="M1139" s="12">
        <v>0</v>
      </c>
      <c r="N1139" s="12">
        <v>0</v>
      </c>
      <c r="O1139" s="12" t="str">
        <f t="shared" si="17"/>
        <v>40 - 49</v>
      </c>
    </row>
    <row r="1140" spans="1:15" x14ac:dyDescent="0.35">
      <c r="A1140" s="11">
        <v>4503</v>
      </c>
      <c r="B1140" s="11" t="s">
        <v>12</v>
      </c>
      <c r="C1140" s="11">
        <v>46</v>
      </c>
      <c r="D1140" s="11" t="s">
        <v>29</v>
      </c>
      <c r="E1140" s="11" t="s">
        <v>14</v>
      </c>
      <c r="F1140" s="11">
        <v>296</v>
      </c>
      <c r="G1140" s="11">
        <v>52</v>
      </c>
      <c r="H1140" s="11">
        <v>0.33</v>
      </c>
      <c r="I1140" s="11" t="s">
        <v>23</v>
      </c>
      <c r="J1140" s="11">
        <v>31</v>
      </c>
      <c r="K1140" s="11">
        <v>0</v>
      </c>
      <c r="L1140" s="11">
        <v>0</v>
      </c>
      <c r="M1140" s="11">
        <v>0</v>
      </c>
      <c r="N1140" s="11">
        <v>0</v>
      </c>
      <c r="O1140" s="12" t="str">
        <f t="shared" si="17"/>
        <v>30 - 39</v>
      </c>
    </row>
    <row r="1141" spans="1:15" x14ac:dyDescent="0.35">
      <c r="A1141" s="12">
        <v>4508</v>
      </c>
      <c r="B1141" s="12" t="s">
        <v>12</v>
      </c>
      <c r="C1141" s="12">
        <v>46</v>
      </c>
      <c r="D1141" s="12" t="s">
        <v>29</v>
      </c>
      <c r="E1141" s="12" t="s">
        <v>14</v>
      </c>
      <c r="F1141" s="12">
        <v>225</v>
      </c>
      <c r="G1141" s="12">
        <v>18</v>
      </c>
      <c r="H1141" s="12">
        <v>0</v>
      </c>
      <c r="I1141" s="12" t="s">
        <v>19</v>
      </c>
      <c r="J1141" s="12">
        <v>48</v>
      </c>
      <c r="K1141" s="12">
        <v>0</v>
      </c>
      <c r="L1141" s="12">
        <v>0</v>
      </c>
      <c r="M1141" s="12">
        <v>0</v>
      </c>
      <c r="N1141" s="12">
        <v>0</v>
      </c>
      <c r="O1141" s="12" t="str">
        <f t="shared" si="17"/>
        <v>40 - 49</v>
      </c>
    </row>
    <row r="1142" spans="1:15" x14ac:dyDescent="0.35">
      <c r="A1142" s="11">
        <v>4510</v>
      </c>
      <c r="B1142" s="11" t="s">
        <v>20</v>
      </c>
      <c r="C1142" s="11">
        <v>36</v>
      </c>
      <c r="D1142" s="11" t="s">
        <v>21</v>
      </c>
      <c r="E1142" s="11" t="s">
        <v>14</v>
      </c>
      <c r="F1142" s="11">
        <v>34</v>
      </c>
      <c r="G1142" s="11">
        <v>24</v>
      </c>
      <c r="H1142" s="11">
        <v>0.35</v>
      </c>
      <c r="I1142" s="11" t="s">
        <v>15</v>
      </c>
      <c r="J1142" s="11">
        <v>23</v>
      </c>
      <c r="K1142" s="11">
        <v>0</v>
      </c>
      <c r="L1142" s="11">
        <v>0</v>
      </c>
      <c r="M1142" s="11">
        <v>0</v>
      </c>
      <c r="N1142" s="11">
        <v>0</v>
      </c>
      <c r="O1142" s="12" t="str">
        <f t="shared" si="17"/>
        <v>20 - 29</v>
      </c>
    </row>
    <row r="1143" spans="1:15" x14ac:dyDescent="0.35">
      <c r="A1143" s="12">
        <v>4512</v>
      </c>
      <c r="B1143" s="12" t="s">
        <v>16</v>
      </c>
      <c r="C1143" s="12">
        <v>51</v>
      </c>
      <c r="D1143" s="12" t="s">
        <v>26</v>
      </c>
      <c r="E1143" s="12" t="s">
        <v>14</v>
      </c>
      <c r="F1143" s="12">
        <v>97</v>
      </c>
      <c r="G1143" s="12">
        <v>36</v>
      </c>
      <c r="H1143" s="12">
        <v>0.25</v>
      </c>
      <c r="I1143" s="12" t="s">
        <v>15</v>
      </c>
      <c r="J1143" s="12">
        <v>10</v>
      </c>
      <c r="K1143" s="12">
        <v>0</v>
      </c>
      <c r="L1143" s="12">
        <v>0</v>
      </c>
      <c r="M1143" s="12">
        <v>0</v>
      </c>
      <c r="N1143" s="12">
        <v>0</v>
      </c>
      <c r="O1143" s="12" t="str">
        <f t="shared" si="17"/>
        <v>10 - 19</v>
      </c>
    </row>
    <row r="1144" spans="1:15" x14ac:dyDescent="0.35">
      <c r="A1144" s="11">
        <v>4513</v>
      </c>
      <c r="B1144" s="11" t="s">
        <v>16</v>
      </c>
      <c r="C1144" s="11">
        <v>29</v>
      </c>
      <c r="D1144" s="11" t="s">
        <v>27</v>
      </c>
      <c r="E1144" s="11" t="s">
        <v>14</v>
      </c>
      <c r="F1144" s="11">
        <v>254</v>
      </c>
      <c r="G1144" s="11">
        <v>81</v>
      </c>
      <c r="H1144" s="11">
        <v>0.59</v>
      </c>
      <c r="I1144" s="11" t="s">
        <v>23</v>
      </c>
      <c r="J1144" s="11">
        <v>27</v>
      </c>
      <c r="K1144" s="11">
        <v>0</v>
      </c>
      <c r="L1144" s="11">
        <v>0</v>
      </c>
      <c r="M1144" s="11">
        <v>0</v>
      </c>
      <c r="N1144" s="11">
        <v>0</v>
      </c>
      <c r="O1144" s="12" t="str">
        <f t="shared" si="17"/>
        <v>20 - 29</v>
      </c>
    </row>
    <row r="1145" spans="1:15" x14ac:dyDescent="0.35">
      <c r="A1145" s="12">
        <v>4516</v>
      </c>
      <c r="B1145" s="12" t="s">
        <v>16</v>
      </c>
      <c r="C1145" s="12">
        <v>23</v>
      </c>
      <c r="D1145" s="12" t="s">
        <v>27</v>
      </c>
      <c r="E1145" s="12" t="s">
        <v>14</v>
      </c>
      <c r="F1145" s="12">
        <v>27</v>
      </c>
      <c r="G1145" s="12">
        <v>95</v>
      </c>
      <c r="H1145" s="12">
        <v>0.4</v>
      </c>
      <c r="I1145" s="12" t="s">
        <v>23</v>
      </c>
      <c r="J1145" s="12">
        <v>47</v>
      </c>
      <c r="K1145" s="12">
        <v>0</v>
      </c>
      <c r="L1145" s="12">
        <v>0</v>
      </c>
      <c r="M1145" s="12">
        <v>0</v>
      </c>
      <c r="N1145" s="12">
        <v>0</v>
      </c>
      <c r="O1145" s="12" t="str">
        <f t="shared" si="17"/>
        <v>40 - 49</v>
      </c>
    </row>
    <row r="1146" spans="1:15" x14ac:dyDescent="0.35">
      <c r="A1146" s="11">
        <v>4519</v>
      </c>
      <c r="B1146" s="11" t="s">
        <v>16</v>
      </c>
      <c r="C1146" s="11">
        <v>24</v>
      </c>
      <c r="D1146" s="11" t="s">
        <v>28</v>
      </c>
      <c r="E1146" s="11" t="s">
        <v>14</v>
      </c>
      <c r="F1146" s="11">
        <v>271</v>
      </c>
      <c r="G1146" s="11">
        <v>7</v>
      </c>
      <c r="H1146" s="11">
        <v>0.12</v>
      </c>
      <c r="I1146" s="11" t="s">
        <v>15</v>
      </c>
      <c r="J1146" s="11">
        <v>48</v>
      </c>
      <c r="K1146" s="11">
        <v>0</v>
      </c>
      <c r="L1146" s="11">
        <v>0</v>
      </c>
      <c r="M1146" s="11">
        <v>0</v>
      </c>
      <c r="N1146" s="11">
        <v>0</v>
      </c>
      <c r="O1146" s="12" t="str">
        <f t="shared" si="17"/>
        <v>40 - 49</v>
      </c>
    </row>
    <row r="1147" spans="1:15" x14ac:dyDescent="0.35">
      <c r="A1147" s="12">
        <v>4522</v>
      </c>
      <c r="B1147" s="12" t="s">
        <v>12</v>
      </c>
      <c r="C1147" s="12">
        <v>58</v>
      </c>
      <c r="D1147" s="12" t="s">
        <v>25</v>
      </c>
      <c r="E1147" s="12" t="s">
        <v>14</v>
      </c>
      <c r="F1147" s="12">
        <v>257</v>
      </c>
      <c r="G1147" s="12">
        <v>56</v>
      </c>
      <c r="H1147" s="12">
        <v>0.25</v>
      </c>
      <c r="I1147" s="12" t="s">
        <v>23</v>
      </c>
      <c r="J1147" s="12">
        <v>24</v>
      </c>
      <c r="K1147" s="12">
        <v>0</v>
      </c>
      <c r="L1147" s="12">
        <v>0</v>
      </c>
      <c r="M1147" s="12">
        <v>0</v>
      </c>
      <c r="N1147" s="12">
        <v>0</v>
      </c>
      <c r="O1147" s="12" t="str">
        <f t="shared" si="17"/>
        <v>20 - 29</v>
      </c>
    </row>
    <row r="1148" spans="1:15" x14ac:dyDescent="0.35">
      <c r="A1148" s="11">
        <v>4523</v>
      </c>
      <c r="B1148" s="11" t="s">
        <v>16</v>
      </c>
      <c r="C1148" s="11">
        <v>52</v>
      </c>
      <c r="D1148" s="11" t="s">
        <v>27</v>
      </c>
      <c r="E1148" s="11" t="s">
        <v>14</v>
      </c>
      <c r="F1148" s="11">
        <v>63</v>
      </c>
      <c r="G1148" s="11">
        <v>99</v>
      </c>
      <c r="H1148" s="11">
        <v>0.41</v>
      </c>
      <c r="I1148" s="11" t="s">
        <v>15</v>
      </c>
      <c r="J1148" s="11">
        <v>15</v>
      </c>
      <c r="K1148" s="11">
        <v>0</v>
      </c>
      <c r="L1148" s="11">
        <v>0</v>
      </c>
      <c r="M1148" s="11">
        <v>0</v>
      </c>
      <c r="N1148" s="11">
        <v>0</v>
      </c>
      <c r="O1148" s="12" t="str">
        <f t="shared" si="17"/>
        <v>10 - 19</v>
      </c>
    </row>
    <row r="1149" spans="1:15" x14ac:dyDescent="0.35">
      <c r="A1149" s="12">
        <v>4524</v>
      </c>
      <c r="B1149" s="12" t="s">
        <v>16</v>
      </c>
      <c r="C1149" s="12">
        <v>58</v>
      </c>
      <c r="D1149" s="12" t="s">
        <v>17</v>
      </c>
      <c r="E1149" s="12" t="s">
        <v>14</v>
      </c>
      <c r="F1149" s="12">
        <v>22</v>
      </c>
      <c r="G1149" s="12">
        <v>74</v>
      </c>
      <c r="H1149" s="12">
        <v>0.25</v>
      </c>
      <c r="I1149" s="12" t="s">
        <v>23</v>
      </c>
      <c r="J1149" s="12">
        <v>20</v>
      </c>
      <c r="K1149" s="12">
        <v>0</v>
      </c>
      <c r="L1149" s="12">
        <v>1</v>
      </c>
      <c r="M1149" s="12">
        <v>0</v>
      </c>
      <c r="N1149" s="12">
        <v>0</v>
      </c>
      <c r="O1149" s="12" t="str">
        <f t="shared" si="17"/>
        <v>20 - 29</v>
      </c>
    </row>
    <row r="1150" spans="1:15" x14ac:dyDescent="0.35">
      <c r="A1150" s="11">
        <v>4525</v>
      </c>
      <c r="B1150" s="11" t="s">
        <v>20</v>
      </c>
      <c r="C1150" s="11">
        <v>57</v>
      </c>
      <c r="D1150" s="11" t="s">
        <v>29</v>
      </c>
      <c r="E1150" s="11" t="s">
        <v>14</v>
      </c>
      <c r="F1150" s="11">
        <v>230</v>
      </c>
      <c r="G1150" s="11">
        <v>65</v>
      </c>
      <c r="H1150" s="11">
        <v>0.49</v>
      </c>
      <c r="I1150" s="11" t="s">
        <v>15</v>
      </c>
      <c r="J1150" s="11">
        <v>15</v>
      </c>
      <c r="K1150" s="11">
        <v>0</v>
      </c>
      <c r="L1150" s="11">
        <v>1</v>
      </c>
      <c r="M1150" s="11">
        <v>0</v>
      </c>
      <c r="N1150" s="11">
        <v>0</v>
      </c>
      <c r="O1150" s="12" t="str">
        <f t="shared" si="17"/>
        <v>10 - 19</v>
      </c>
    </row>
    <row r="1151" spans="1:15" x14ac:dyDescent="0.35">
      <c r="A1151" s="12">
        <v>4533</v>
      </c>
      <c r="B1151" s="12" t="s">
        <v>20</v>
      </c>
      <c r="C1151" s="12">
        <v>40</v>
      </c>
      <c r="D1151" s="12" t="s">
        <v>13</v>
      </c>
      <c r="E1151" s="12" t="s">
        <v>14</v>
      </c>
      <c r="F1151" s="12">
        <v>86</v>
      </c>
      <c r="G1151" s="12">
        <v>18</v>
      </c>
      <c r="H1151" s="12">
        <v>0.31</v>
      </c>
      <c r="I1151" s="12" t="s">
        <v>23</v>
      </c>
      <c r="J1151" s="12">
        <v>48</v>
      </c>
      <c r="K1151" s="12">
        <v>0</v>
      </c>
      <c r="L1151" s="12">
        <v>0</v>
      </c>
      <c r="M1151" s="12">
        <v>0</v>
      </c>
      <c r="N1151" s="12">
        <v>0</v>
      </c>
      <c r="O1151" s="12" t="str">
        <f t="shared" si="17"/>
        <v>40 - 49</v>
      </c>
    </row>
    <row r="1152" spans="1:15" x14ac:dyDescent="0.35">
      <c r="A1152" s="11">
        <v>4536</v>
      </c>
      <c r="B1152" s="11" t="s">
        <v>12</v>
      </c>
      <c r="C1152" s="11">
        <v>28</v>
      </c>
      <c r="D1152" s="11" t="s">
        <v>17</v>
      </c>
      <c r="E1152" s="11" t="s">
        <v>14</v>
      </c>
      <c r="F1152" s="11">
        <v>255</v>
      </c>
      <c r="G1152" s="11">
        <v>68</v>
      </c>
      <c r="H1152" s="11">
        <v>0.1</v>
      </c>
      <c r="I1152" s="11" t="s">
        <v>23</v>
      </c>
      <c r="J1152" s="11">
        <v>45</v>
      </c>
      <c r="K1152" s="11">
        <v>0</v>
      </c>
      <c r="L1152" s="11">
        <v>1</v>
      </c>
      <c r="M1152" s="11">
        <v>0</v>
      </c>
      <c r="N1152" s="11">
        <v>0</v>
      </c>
      <c r="O1152" s="12" t="str">
        <f t="shared" si="17"/>
        <v>40 - 49</v>
      </c>
    </row>
    <row r="1153" spans="1:15" x14ac:dyDescent="0.35">
      <c r="A1153" s="12">
        <v>4539</v>
      </c>
      <c r="B1153" s="12" t="s">
        <v>12</v>
      </c>
      <c r="C1153" s="12">
        <v>40</v>
      </c>
      <c r="D1153" s="12" t="s">
        <v>21</v>
      </c>
      <c r="E1153" s="12" t="s">
        <v>14</v>
      </c>
      <c r="F1153" s="12">
        <v>35</v>
      </c>
      <c r="G1153" s="12">
        <v>43</v>
      </c>
      <c r="H1153" s="12">
        <v>0.12</v>
      </c>
      <c r="I1153" s="12" t="s">
        <v>23</v>
      </c>
      <c r="J1153" s="12">
        <v>38</v>
      </c>
      <c r="K1153" s="12">
        <v>0</v>
      </c>
      <c r="L1153" s="12">
        <v>0</v>
      </c>
      <c r="M1153" s="12">
        <v>0</v>
      </c>
      <c r="N1153" s="12">
        <v>0</v>
      </c>
      <c r="O1153" s="12" t="str">
        <f t="shared" si="17"/>
        <v>30 - 39</v>
      </c>
    </row>
    <row r="1154" spans="1:15" x14ac:dyDescent="0.35">
      <c r="A1154" s="11">
        <v>4541</v>
      </c>
      <c r="B1154" s="11" t="s">
        <v>20</v>
      </c>
      <c r="C1154" s="11">
        <v>33</v>
      </c>
      <c r="D1154" s="11" t="s">
        <v>17</v>
      </c>
      <c r="E1154" s="11" t="s">
        <v>14</v>
      </c>
      <c r="F1154" s="11">
        <v>219</v>
      </c>
      <c r="G1154" s="11">
        <v>55</v>
      </c>
      <c r="H1154" s="11">
        <v>0.52</v>
      </c>
      <c r="I1154" s="11" t="s">
        <v>19</v>
      </c>
      <c r="J1154" s="11">
        <v>7</v>
      </c>
      <c r="K1154" s="11">
        <v>0</v>
      </c>
      <c r="L1154" s="11">
        <v>0</v>
      </c>
      <c r="M1154" s="11">
        <v>0</v>
      </c>
      <c r="N1154" s="11">
        <v>0</v>
      </c>
      <c r="O1154" s="12" t="str">
        <f t="shared" ref="O1154:O1217" si="18">_xlfn.FLOOR.MATH(J1154, 10) &amp; " - " &amp; (_xlfn.FLOOR.MATH(J1154, 10) + 9)</f>
        <v>0 - 9</v>
      </c>
    </row>
    <row r="1155" spans="1:15" x14ac:dyDescent="0.35">
      <c r="A1155" s="12">
        <v>4543</v>
      </c>
      <c r="B1155" s="12" t="s">
        <v>12</v>
      </c>
      <c r="C1155" s="12">
        <v>17</v>
      </c>
      <c r="D1155" s="12" t="s">
        <v>26</v>
      </c>
      <c r="E1155" s="12" t="s">
        <v>14</v>
      </c>
      <c r="F1155" s="12">
        <v>204</v>
      </c>
      <c r="G1155" s="12">
        <v>6</v>
      </c>
      <c r="H1155" s="12">
        <v>0.49</v>
      </c>
      <c r="I1155" s="12" t="s">
        <v>19</v>
      </c>
      <c r="J1155" s="12">
        <v>44</v>
      </c>
      <c r="K1155" s="12">
        <v>0</v>
      </c>
      <c r="L1155" s="12">
        <v>0</v>
      </c>
      <c r="M1155" s="12">
        <v>0</v>
      </c>
      <c r="N1155" s="12">
        <v>0</v>
      </c>
      <c r="O1155" s="12" t="str">
        <f t="shared" si="18"/>
        <v>40 - 49</v>
      </c>
    </row>
    <row r="1156" spans="1:15" x14ac:dyDescent="0.35">
      <c r="A1156" s="11">
        <v>4544</v>
      </c>
      <c r="B1156" s="11" t="s">
        <v>12</v>
      </c>
      <c r="C1156" s="11">
        <v>38</v>
      </c>
      <c r="D1156" s="11" t="s">
        <v>28</v>
      </c>
      <c r="E1156" s="11" t="s">
        <v>14</v>
      </c>
      <c r="F1156" s="11">
        <v>42</v>
      </c>
      <c r="G1156" s="11">
        <v>31</v>
      </c>
      <c r="H1156" s="11">
        <v>0.51</v>
      </c>
      <c r="I1156" s="11" t="s">
        <v>23</v>
      </c>
      <c r="J1156" s="11">
        <v>15</v>
      </c>
      <c r="K1156" s="11">
        <v>0</v>
      </c>
      <c r="L1156" s="11">
        <v>0</v>
      </c>
      <c r="M1156" s="11">
        <v>0</v>
      </c>
      <c r="N1156" s="11">
        <v>0</v>
      </c>
      <c r="O1156" s="12" t="str">
        <f t="shared" si="18"/>
        <v>10 - 19</v>
      </c>
    </row>
    <row r="1157" spans="1:15" x14ac:dyDescent="0.35">
      <c r="A1157" s="12">
        <v>4549</v>
      </c>
      <c r="B1157" s="12" t="s">
        <v>20</v>
      </c>
      <c r="C1157" s="12">
        <v>26</v>
      </c>
      <c r="D1157" s="12" t="s">
        <v>26</v>
      </c>
      <c r="E1157" s="12" t="s">
        <v>14</v>
      </c>
      <c r="F1157" s="12">
        <v>233</v>
      </c>
      <c r="G1157" s="12">
        <v>69</v>
      </c>
      <c r="H1157" s="12">
        <v>0.42</v>
      </c>
      <c r="I1157" s="12" t="s">
        <v>15</v>
      </c>
      <c r="J1157" s="12">
        <v>16</v>
      </c>
      <c r="K1157" s="12">
        <v>0</v>
      </c>
      <c r="L1157" s="12">
        <v>0</v>
      </c>
      <c r="M1157" s="12">
        <v>0</v>
      </c>
      <c r="N1157" s="12">
        <v>0</v>
      </c>
      <c r="O1157" s="12" t="str">
        <f t="shared" si="18"/>
        <v>10 - 19</v>
      </c>
    </row>
    <row r="1158" spans="1:15" x14ac:dyDescent="0.35">
      <c r="A1158" s="11">
        <v>4550</v>
      </c>
      <c r="B1158" s="11" t="s">
        <v>16</v>
      </c>
      <c r="C1158" s="11">
        <v>24</v>
      </c>
      <c r="D1158" s="11" t="s">
        <v>13</v>
      </c>
      <c r="E1158" s="11" t="s">
        <v>14</v>
      </c>
      <c r="F1158" s="11">
        <v>88</v>
      </c>
      <c r="G1158" s="11">
        <v>72</v>
      </c>
      <c r="H1158" s="11">
        <v>0.3</v>
      </c>
      <c r="I1158" s="11" t="s">
        <v>19</v>
      </c>
      <c r="J1158" s="11">
        <v>41</v>
      </c>
      <c r="K1158" s="11">
        <v>0</v>
      </c>
      <c r="L1158" s="11">
        <v>0</v>
      </c>
      <c r="M1158" s="11">
        <v>0</v>
      </c>
      <c r="N1158" s="11">
        <v>0</v>
      </c>
      <c r="O1158" s="12" t="str">
        <f t="shared" si="18"/>
        <v>40 - 49</v>
      </c>
    </row>
    <row r="1159" spans="1:15" x14ac:dyDescent="0.35">
      <c r="A1159" s="12">
        <v>4566</v>
      </c>
      <c r="B1159" s="12" t="s">
        <v>20</v>
      </c>
      <c r="C1159" s="12">
        <v>36</v>
      </c>
      <c r="D1159" s="12" t="s">
        <v>26</v>
      </c>
      <c r="E1159" s="12" t="s">
        <v>14</v>
      </c>
      <c r="F1159" s="12">
        <v>192</v>
      </c>
      <c r="G1159" s="12">
        <v>45</v>
      </c>
      <c r="H1159" s="12">
        <v>0.35</v>
      </c>
      <c r="I1159" s="12" t="s">
        <v>19</v>
      </c>
      <c r="J1159" s="12">
        <v>37</v>
      </c>
      <c r="K1159" s="12">
        <v>0</v>
      </c>
      <c r="L1159" s="12">
        <v>1</v>
      </c>
      <c r="M1159" s="12">
        <v>0</v>
      </c>
      <c r="N1159" s="12">
        <v>0</v>
      </c>
      <c r="O1159" s="12" t="str">
        <f t="shared" si="18"/>
        <v>30 - 39</v>
      </c>
    </row>
    <row r="1160" spans="1:15" x14ac:dyDescent="0.35">
      <c r="A1160" s="11">
        <v>4573</v>
      </c>
      <c r="B1160" s="11" t="s">
        <v>16</v>
      </c>
      <c r="C1160" s="11">
        <v>44</v>
      </c>
      <c r="D1160" s="11" t="s">
        <v>28</v>
      </c>
      <c r="E1160" s="11" t="s">
        <v>14</v>
      </c>
      <c r="F1160" s="11">
        <v>241</v>
      </c>
      <c r="G1160" s="11">
        <v>42</v>
      </c>
      <c r="H1160" s="11">
        <v>0.19</v>
      </c>
      <c r="I1160" s="11" t="s">
        <v>23</v>
      </c>
      <c r="J1160" s="11">
        <v>33</v>
      </c>
      <c r="K1160" s="11">
        <v>0</v>
      </c>
      <c r="L1160" s="11">
        <v>1</v>
      </c>
      <c r="M1160" s="11">
        <v>0</v>
      </c>
      <c r="N1160" s="11">
        <v>0</v>
      </c>
      <c r="O1160" s="12" t="str">
        <f t="shared" si="18"/>
        <v>30 - 39</v>
      </c>
    </row>
    <row r="1161" spans="1:15" x14ac:dyDescent="0.35">
      <c r="A1161" s="12">
        <v>4575</v>
      </c>
      <c r="B1161" s="12" t="s">
        <v>12</v>
      </c>
      <c r="C1161" s="12">
        <v>39</v>
      </c>
      <c r="D1161" s="12" t="s">
        <v>13</v>
      </c>
      <c r="E1161" s="12" t="s">
        <v>14</v>
      </c>
      <c r="F1161" s="12">
        <v>68</v>
      </c>
      <c r="G1161" s="12">
        <v>43</v>
      </c>
      <c r="H1161" s="12">
        <v>0.1</v>
      </c>
      <c r="I1161" s="12" t="s">
        <v>23</v>
      </c>
      <c r="J1161" s="12">
        <v>5</v>
      </c>
      <c r="K1161" s="12">
        <v>0</v>
      </c>
      <c r="L1161" s="12">
        <v>1</v>
      </c>
      <c r="M1161" s="12">
        <v>0</v>
      </c>
      <c r="N1161" s="12">
        <v>0</v>
      </c>
      <c r="O1161" s="12" t="str">
        <f t="shared" si="18"/>
        <v>0 - 9</v>
      </c>
    </row>
    <row r="1162" spans="1:15" x14ac:dyDescent="0.35">
      <c r="A1162" s="11">
        <v>4583</v>
      </c>
      <c r="B1162" s="11" t="s">
        <v>12</v>
      </c>
      <c r="C1162" s="11">
        <v>35</v>
      </c>
      <c r="D1162" s="11" t="s">
        <v>26</v>
      </c>
      <c r="E1162" s="11" t="s">
        <v>14</v>
      </c>
      <c r="F1162" s="11">
        <v>227</v>
      </c>
      <c r="G1162" s="11">
        <v>82</v>
      </c>
      <c r="H1162" s="11">
        <v>0.59</v>
      </c>
      <c r="I1162" s="11" t="s">
        <v>15</v>
      </c>
      <c r="J1162" s="11">
        <v>7</v>
      </c>
      <c r="K1162" s="11">
        <v>0</v>
      </c>
      <c r="L1162" s="11">
        <v>1</v>
      </c>
      <c r="M1162" s="11">
        <v>0</v>
      </c>
      <c r="N1162" s="11">
        <v>0</v>
      </c>
      <c r="O1162" s="12" t="str">
        <f t="shared" si="18"/>
        <v>0 - 9</v>
      </c>
    </row>
    <row r="1163" spans="1:15" x14ac:dyDescent="0.35">
      <c r="A1163" s="12">
        <v>4584</v>
      </c>
      <c r="B1163" s="12" t="s">
        <v>16</v>
      </c>
      <c r="C1163" s="12">
        <v>45</v>
      </c>
      <c r="D1163" s="12" t="s">
        <v>25</v>
      </c>
      <c r="E1163" s="12" t="s">
        <v>14</v>
      </c>
      <c r="F1163" s="12">
        <v>181</v>
      </c>
      <c r="G1163" s="12">
        <v>87</v>
      </c>
      <c r="H1163" s="12">
        <v>0.56999999999999995</v>
      </c>
      <c r="I1163" s="12" t="s">
        <v>23</v>
      </c>
      <c r="J1163" s="12">
        <v>40</v>
      </c>
      <c r="K1163" s="12">
        <v>0</v>
      </c>
      <c r="L1163" s="12">
        <v>0</v>
      </c>
      <c r="M1163" s="12">
        <v>0</v>
      </c>
      <c r="N1163" s="12">
        <v>0</v>
      </c>
      <c r="O1163" s="12" t="str">
        <f t="shared" si="18"/>
        <v>40 - 49</v>
      </c>
    </row>
    <row r="1164" spans="1:15" x14ac:dyDescent="0.35">
      <c r="A1164" s="11">
        <v>4587</v>
      </c>
      <c r="B1164" s="11" t="s">
        <v>12</v>
      </c>
      <c r="C1164" s="11">
        <v>48</v>
      </c>
      <c r="D1164" s="11" t="s">
        <v>21</v>
      </c>
      <c r="E1164" s="11" t="s">
        <v>14</v>
      </c>
      <c r="F1164" s="11">
        <v>29</v>
      </c>
      <c r="G1164" s="11">
        <v>99</v>
      </c>
      <c r="H1164" s="11">
        <v>0.4</v>
      </c>
      <c r="I1164" s="11" t="s">
        <v>15</v>
      </c>
      <c r="J1164" s="11">
        <v>20</v>
      </c>
      <c r="K1164" s="11">
        <v>0</v>
      </c>
      <c r="L1164" s="11">
        <v>0</v>
      </c>
      <c r="M1164" s="11">
        <v>0</v>
      </c>
      <c r="N1164" s="11">
        <v>0</v>
      </c>
      <c r="O1164" s="12" t="str">
        <f t="shared" si="18"/>
        <v>20 - 29</v>
      </c>
    </row>
    <row r="1165" spans="1:15" x14ac:dyDescent="0.35">
      <c r="A1165" s="12">
        <v>4589</v>
      </c>
      <c r="B1165" s="12" t="s">
        <v>16</v>
      </c>
      <c r="C1165" s="12">
        <v>48</v>
      </c>
      <c r="D1165" s="12" t="s">
        <v>25</v>
      </c>
      <c r="E1165" s="12" t="s">
        <v>14</v>
      </c>
      <c r="F1165" s="12">
        <v>107</v>
      </c>
      <c r="G1165" s="12">
        <v>6</v>
      </c>
      <c r="H1165" s="12">
        <v>0.06</v>
      </c>
      <c r="I1165" s="12" t="s">
        <v>19</v>
      </c>
      <c r="J1165" s="12">
        <v>45</v>
      </c>
      <c r="K1165" s="12">
        <v>0</v>
      </c>
      <c r="L1165" s="12">
        <v>0</v>
      </c>
      <c r="M1165" s="12">
        <v>0</v>
      </c>
      <c r="N1165" s="12">
        <v>0</v>
      </c>
      <c r="O1165" s="12" t="str">
        <f t="shared" si="18"/>
        <v>40 - 49</v>
      </c>
    </row>
    <row r="1166" spans="1:15" x14ac:dyDescent="0.35">
      <c r="A1166" s="11">
        <v>4598</v>
      </c>
      <c r="B1166" s="11" t="s">
        <v>20</v>
      </c>
      <c r="C1166" s="11">
        <v>23</v>
      </c>
      <c r="D1166" s="11" t="s">
        <v>26</v>
      </c>
      <c r="E1166" s="11" t="s">
        <v>14</v>
      </c>
      <c r="F1166" s="11">
        <v>20</v>
      </c>
      <c r="G1166" s="11">
        <v>90</v>
      </c>
      <c r="H1166" s="11">
        <v>0.01</v>
      </c>
      <c r="I1166" s="11" t="s">
        <v>19</v>
      </c>
      <c r="J1166" s="11">
        <v>44</v>
      </c>
      <c r="K1166" s="11">
        <v>0</v>
      </c>
      <c r="L1166" s="11">
        <v>1</v>
      </c>
      <c r="M1166" s="11">
        <v>0</v>
      </c>
      <c r="N1166" s="11">
        <v>0</v>
      </c>
      <c r="O1166" s="12" t="str">
        <f t="shared" si="18"/>
        <v>40 - 49</v>
      </c>
    </row>
    <row r="1167" spans="1:15" x14ac:dyDescent="0.35">
      <c r="A1167" s="12">
        <v>4607</v>
      </c>
      <c r="B1167" s="12" t="s">
        <v>16</v>
      </c>
      <c r="C1167" s="12">
        <v>28</v>
      </c>
      <c r="D1167" s="12" t="s">
        <v>29</v>
      </c>
      <c r="E1167" s="12" t="s">
        <v>14</v>
      </c>
      <c r="F1167" s="12">
        <v>108</v>
      </c>
      <c r="G1167" s="12">
        <v>68</v>
      </c>
      <c r="H1167" s="12">
        <v>0</v>
      </c>
      <c r="I1167" s="12" t="s">
        <v>15</v>
      </c>
      <c r="J1167" s="12">
        <v>21</v>
      </c>
      <c r="K1167" s="12">
        <v>0</v>
      </c>
      <c r="L1167" s="12">
        <v>1</v>
      </c>
      <c r="M1167" s="12">
        <v>0</v>
      </c>
      <c r="N1167" s="12">
        <v>0</v>
      </c>
      <c r="O1167" s="12" t="str">
        <f t="shared" si="18"/>
        <v>20 - 29</v>
      </c>
    </row>
    <row r="1168" spans="1:15" x14ac:dyDescent="0.35">
      <c r="A1168" s="11">
        <v>4612</v>
      </c>
      <c r="B1168" s="11" t="s">
        <v>16</v>
      </c>
      <c r="C1168" s="11">
        <v>46</v>
      </c>
      <c r="D1168" s="11" t="s">
        <v>28</v>
      </c>
      <c r="E1168" s="11" t="s">
        <v>14</v>
      </c>
      <c r="F1168" s="11">
        <v>10</v>
      </c>
      <c r="G1168" s="11">
        <v>41</v>
      </c>
      <c r="H1168" s="11">
        <v>0.52</v>
      </c>
      <c r="I1168" s="11" t="s">
        <v>15</v>
      </c>
      <c r="J1168" s="11">
        <v>20</v>
      </c>
      <c r="K1168" s="11">
        <v>0</v>
      </c>
      <c r="L1168" s="11">
        <v>1</v>
      </c>
      <c r="M1168" s="11">
        <v>0</v>
      </c>
      <c r="N1168" s="11">
        <v>0</v>
      </c>
      <c r="O1168" s="12" t="str">
        <f t="shared" si="18"/>
        <v>20 - 29</v>
      </c>
    </row>
    <row r="1169" spans="1:15" x14ac:dyDescent="0.35">
      <c r="A1169" s="12">
        <v>4615</v>
      </c>
      <c r="B1169" s="12" t="s">
        <v>16</v>
      </c>
      <c r="C1169" s="12">
        <v>23</v>
      </c>
      <c r="D1169" s="12" t="s">
        <v>17</v>
      </c>
      <c r="E1169" s="12" t="s">
        <v>14</v>
      </c>
      <c r="F1169" s="12">
        <v>155</v>
      </c>
      <c r="G1169" s="12">
        <v>88</v>
      </c>
      <c r="H1169" s="12">
        <v>0.34</v>
      </c>
      <c r="I1169" s="12" t="s">
        <v>19</v>
      </c>
      <c r="J1169" s="12">
        <v>9</v>
      </c>
      <c r="K1169" s="12">
        <v>0</v>
      </c>
      <c r="L1169" s="12">
        <v>0</v>
      </c>
      <c r="M1169" s="12">
        <v>0</v>
      </c>
      <c r="N1169" s="12">
        <v>0</v>
      </c>
      <c r="O1169" s="12" t="str">
        <f t="shared" si="18"/>
        <v>0 - 9</v>
      </c>
    </row>
    <row r="1170" spans="1:15" x14ac:dyDescent="0.35">
      <c r="A1170" s="11">
        <v>4616</v>
      </c>
      <c r="B1170" s="11" t="s">
        <v>12</v>
      </c>
      <c r="C1170" s="11">
        <v>54</v>
      </c>
      <c r="D1170" s="11" t="s">
        <v>26</v>
      </c>
      <c r="E1170" s="11" t="s">
        <v>14</v>
      </c>
      <c r="F1170" s="11">
        <v>33</v>
      </c>
      <c r="G1170" s="11">
        <v>61</v>
      </c>
      <c r="H1170" s="11">
        <v>0.59</v>
      </c>
      <c r="I1170" s="11" t="s">
        <v>23</v>
      </c>
      <c r="J1170" s="11">
        <v>29</v>
      </c>
      <c r="K1170" s="11">
        <v>0</v>
      </c>
      <c r="L1170" s="11">
        <v>1</v>
      </c>
      <c r="M1170" s="11">
        <v>0</v>
      </c>
      <c r="N1170" s="11">
        <v>0</v>
      </c>
      <c r="O1170" s="12" t="str">
        <f t="shared" si="18"/>
        <v>20 - 29</v>
      </c>
    </row>
    <row r="1171" spans="1:15" x14ac:dyDescent="0.35">
      <c r="A1171" s="12">
        <v>4617</v>
      </c>
      <c r="B1171" s="12" t="s">
        <v>12</v>
      </c>
      <c r="C1171" s="12">
        <v>49</v>
      </c>
      <c r="D1171" s="12" t="s">
        <v>13</v>
      </c>
      <c r="E1171" s="12" t="s">
        <v>14</v>
      </c>
      <c r="F1171" s="12">
        <v>121</v>
      </c>
      <c r="G1171" s="12">
        <v>19</v>
      </c>
      <c r="H1171" s="12">
        <v>0.24</v>
      </c>
      <c r="I1171" s="12" t="s">
        <v>19</v>
      </c>
      <c r="J1171" s="12">
        <v>46</v>
      </c>
      <c r="K1171" s="12">
        <v>0</v>
      </c>
      <c r="L1171" s="12">
        <v>0</v>
      </c>
      <c r="M1171" s="12">
        <v>0</v>
      </c>
      <c r="N1171" s="12">
        <v>0</v>
      </c>
      <c r="O1171" s="12" t="str">
        <f t="shared" si="18"/>
        <v>40 - 49</v>
      </c>
    </row>
    <row r="1172" spans="1:15" x14ac:dyDescent="0.35">
      <c r="A1172" s="11">
        <v>4619</v>
      </c>
      <c r="B1172" s="11" t="s">
        <v>12</v>
      </c>
      <c r="C1172" s="11">
        <v>29</v>
      </c>
      <c r="D1172" s="11" t="s">
        <v>28</v>
      </c>
      <c r="E1172" s="11" t="s">
        <v>14</v>
      </c>
      <c r="F1172" s="11">
        <v>114</v>
      </c>
      <c r="G1172" s="11">
        <v>32</v>
      </c>
      <c r="H1172" s="11">
        <v>0.1</v>
      </c>
      <c r="I1172" s="11" t="s">
        <v>19</v>
      </c>
      <c r="J1172" s="11">
        <v>12</v>
      </c>
      <c r="K1172" s="11">
        <v>0</v>
      </c>
      <c r="L1172" s="11">
        <v>0</v>
      </c>
      <c r="M1172" s="11">
        <v>0</v>
      </c>
      <c r="N1172" s="11">
        <v>0</v>
      </c>
      <c r="O1172" s="12" t="str">
        <f t="shared" si="18"/>
        <v>10 - 19</v>
      </c>
    </row>
    <row r="1173" spans="1:15" x14ac:dyDescent="0.35">
      <c r="A1173" s="12">
        <v>4624</v>
      </c>
      <c r="B1173" s="12" t="s">
        <v>16</v>
      </c>
      <c r="C1173" s="12">
        <v>36</v>
      </c>
      <c r="D1173" s="12" t="s">
        <v>13</v>
      </c>
      <c r="E1173" s="12" t="s">
        <v>14</v>
      </c>
      <c r="F1173" s="12">
        <v>106</v>
      </c>
      <c r="G1173" s="12">
        <v>30</v>
      </c>
      <c r="H1173" s="12">
        <v>0.47</v>
      </c>
      <c r="I1173" s="12" t="s">
        <v>15</v>
      </c>
      <c r="J1173" s="12">
        <v>35</v>
      </c>
      <c r="K1173" s="12">
        <v>0</v>
      </c>
      <c r="L1173" s="12">
        <v>0</v>
      </c>
      <c r="M1173" s="12">
        <v>0</v>
      </c>
      <c r="N1173" s="12">
        <v>0</v>
      </c>
      <c r="O1173" s="12" t="str">
        <f t="shared" si="18"/>
        <v>30 - 39</v>
      </c>
    </row>
    <row r="1174" spans="1:15" x14ac:dyDescent="0.35">
      <c r="A1174" s="11">
        <v>4633</v>
      </c>
      <c r="B1174" s="11" t="s">
        <v>20</v>
      </c>
      <c r="C1174" s="11">
        <v>27</v>
      </c>
      <c r="D1174" s="11" t="s">
        <v>13</v>
      </c>
      <c r="E1174" s="11" t="s">
        <v>14</v>
      </c>
      <c r="F1174" s="11">
        <v>61</v>
      </c>
      <c r="G1174" s="11">
        <v>63</v>
      </c>
      <c r="H1174" s="11">
        <v>0.11</v>
      </c>
      <c r="I1174" s="11" t="s">
        <v>19</v>
      </c>
      <c r="J1174" s="11">
        <v>13</v>
      </c>
      <c r="K1174" s="11">
        <v>0</v>
      </c>
      <c r="L1174" s="11">
        <v>0</v>
      </c>
      <c r="M1174" s="11">
        <v>0</v>
      </c>
      <c r="N1174" s="11">
        <v>0</v>
      </c>
      <c r="O1174" s="12" t="str">
        <f t="shared" si="18"/>
        <v>10 - 19</v>
      </c>
    </row>
    <row r="1175" spans="1:15" x14ac:dyDescent="0.35">
      <c r="A1175" s="12">
        <v>4635</v>
      </c>
      <c r="B1175" s="12" t="s">
        <v>20</v>
      </c>
      <c r="C1175" s="12">
        <v>47</v>
      </c>
      <c r="D1175" s="12" t="s">
        <v>27</v>
      </c>
      <c r="E1175" s="12" t="s">
        <v>14</v>
      </c>
      <c r="F1175" s="12">
        <v>287</v>
      </c>
      <c r="G1175" s="12">
        <v>80</v>
      </c>
      <c r="H1175" s="12">
        <v>0.43</v>
      </c>
      <c r="I1175" s="12" t="s">
        <v>19</v>
      </c>
      <c r="J1175" s="12">
        <v>24</v>
      </c>
      <c r="K1175" s="12">
        <v>0</v>
      </c>
      <c r="L1175" s="12">
        <v>1</v>
      </c>
      <c r="M1175" s="12">
        <v>0</v>
      </c>
      <c r="N1175" s="12">
        <v>0</v>
      </c>
      <c r="O1175" s="12" t="str">
        <f t="shared" si="18"/>
        <v>20 - 29</v>
      </c>
    </row>
    <row r="1176" spans="1:15" x14ac:dyDescent="0.35">
      <c r="A1176" s="11">
        <v>4637</v>
      </c>
      <c r="B1176" s="11" t="s">
        <v>20</v>
      </c>
      <c r="C1176" s="11">
        <v>21</v>
      </c>
      <c r="D1176" s="11" t="s">
        <v>27</v>
      </c>
      <c r="E1176" s="11" t="s">
        <v>14</v>
      </c>
      <c r="F1176" s="11">
        <v>121</v>
      </c>
      <c r="G1176" s="11">
        <v>15</v>
      </c>
      <c r="H1176" s="11">
        <v>0.01</v>
      </c>
      <c r="I1176" s="11" t="s">
        <v>19</v>
      </c>
      <c r="J1176" s="11">
        <v>17</v>
      </c>
      <c r="K1176" s="11">
        <v>0</v>
      </c>
      <c r="L1176" s="11">
        <v>0</v>
      </c>
      <c r="M1176" s="11">
        <v>0</v>
      </c>
      <c r="N1176" s="11">
        <v>0</v>
      </c>
      <c r="O1176" s="12" t="str">
        <f t="shared" si="18"/>
        <v>10 - 19</v>
      </c>
    </row>
    <row r="1177" spans="1:15" x14ac:dyDescent="0.35">
      <c r="A1177" s="12">
        <v>4639</v>
      </c>
      <c r="B1177" s="12" t="s">
        <v>20</v>
      </c>
      <c r="C1177" s="12">
        <v>52</v>
      </c>
      <c r="D1177" s="12" t="s">
        <v>26</v>
      </c>
      <c r="E1177" s="12" t="s">
        <v>14</v>
      </c>
      <c r="F1177" s="12">
        <v>253</v>
      </c>
      <c r="G1177" s="12">
        <v>43</v>
      </c>
      <c r="H1177" s="12">
        <v>0.41</v>
      </c>
      <c r="I1177" s="12" t="s">
        <v>15</v>
      </c>
      <c r="J1177" s="12">
        <v>43</v>
      </c>
      <c r="K1177" s="12">
        <v>0</v>
      </c>
      <c r="L1177" s="12">
        <v>0</v>
      </c>
      <c r="M1177" s="12">
        <v>0</v>
      </c>
      <c r="N1177" s="12">
        <v>0</v>
      </c>
      <c r="O1177" s="12" t="str">
        <f t="shared" si="18"/>
        <v>40 - 49</v>
      </c>
    </row>
    <row r="1178" spans="1:15" x14ac:dyDescent="0.35">
      <c r="A1178" s="11">
        <v>4640</v>
      </c>
      <c r="B1178" s="11" t="s">
        <v>12</v>
      </c>
      <c r="C1178" s="11">
        <v>31</v>
      </c>
      <c r="D1178" s="11" t="s">
        <v>21</v>
      </c>
      <c r="E1178" s="11" t="s">
        <v>14</v>
      </c>
      <c r="F1178" s="11">
        <v>159</v>
      </c>
      <c r="G1178" s="11">
        <v>52</v>
      </c>
      <c r="H1178" s="11">
        <v>0</v>
      </c>
      <c r="I1178" s="11" t="s">
        <v>23</v>
      </c>
      <c r="J1178" s="11">
        <v>41</v>
      </c>
      <c r="K1178" s="11">
        <v>0</v>
      </c>
      <c r="L1178" s="11">
        <v>1</v>
      </c>
      <c r="M1178" s="11">
        <v>0</v>
      </c>
      <c r="N1178" s="11">
        <v>0</v>
      </c>
      <c r="O1178" s="12" t="str">
        <f t="shared" si="18"/>
        <v>40 - 49</v>
      </c>
    </row>
    <row r="1179" spans="1:15" x14ac:dyDescent="0.35">
      <c r="A1179" s="12">
        <v>4641</v>
      </c>
      <c r="B1179" s="12" t="s">
        <v>16</v>
      </c>
      <c r="C1179" s="12">
        <v>28</v>
      </c>
      <c r="D1179" s="12" t="s">
        <v>21</v>
      </c>
      <c r="E1179" s="12" t="s">
        <v>14</v>
      </c>
      <c r="F1179" s="12">
        <v>26</v>
      </c>
      <c r="G1179" s="12">
        <v>36</v>
      </c>
      <c r="H1179" s="12">
        <v>0.47</v>
      </c>
      <c r="I1179" s="12" t="s">
        <v>15</v>
      </c>
      <c r="J1179" s="12">
        <v>35</v>
      </c>
      <c r="K1179" s="12">
        <v>0</v>
      </c>
      <c r="L1179" s="12">
        <v>0</v>
      </c>
      <c r="M1179" s="12">
        <v>0</v>
      </c>
      <c r="N1179" s="12">
        <v>0</v>
      </c>
      <c r="O1179" s="12" t="str">
        <f t="shared" si="18"/>
        <v>30 - 39</v>
      </c>
    </row>
    <row r="1180" spans="1:15" x14ac:dyDescent="0.35">
      <c r="A1180" s="11">
        <v>4648</v>
      </c>
      <c r="B1180" s="11" t="s">
        <v>16</v>
      </c>
      <c r="C1180" s="11">
        <v>46</v>
      </c>
      <c r="D1180" s="11" t="s">
        <v>27</v>
      </c>
      <c r="E1180" s="11" t="s">
        <v>14</v>
      </c>
      <c r="F1180" s="11">
        <v>238</v>
      </c>
      <c r="G1180" s="11">
        <v>29</v>
      </c>
      <c r="H1180" s="11">
        <v>0.45</v>
      </c>
      <c r="I1180" s="11" t="s">
        <v>23</v>
      </c>
      <c r="J1180" s="11">
        <v>26</v>
      </c>
      <c r="K1180" s="11">
        <v>0</v>
      </c>
      <c r="L1180" s="11">
        <v>0</v>
      </c>
      <c r="M1180" s="11">
        <v>0</v>
      </c>
      <c r="N1180" s="11">
        <v>0</v>
      </c>
      <c r="O1180" s="12" t="str">
        <f t="shared" si="18"/>
        <v>20 - 29</v>
      </c>
    </row>
    <row r="1181" spans="1:15" x14ac:dyDescent="0.35">
      <c r="A1181" s="12">
        <v>4650</v>
      </c>
      <c r="B1181" s="12" t="s">
        <v>20</v>
      </c>
      <c r="C1181" s="12">
        <v>50</v>
      </c>
      <c r="D1181" s="12" t="s">
        <v>28</v>
      </c>
      <c r="E1181" s="12" t="s">
        <v>14</v>
      </c>
      <c r="F1181" s="12">
        <v>184</v>
      </c>
      <c r="G1181" s="12">
        <v>30</v>
      </c>
      <c r="H1181" s="12">
        <v>0.01</v>
      </c>
      <c r="I1181" s="12" t="s">
        <v>19</v>
      </c>
      <c r="J1181" s="12">
        <v>39</v>
      </c>
      <c r="K1181" s="12">
        <v>0</v>
      </c>
      <c r="L1181" s="12">
        <v>0</v>
      </c>
      <c r="M1181" s="12">
        <v>0</v>
      </c>
      <c r="N1181" s="12">
        <v>0</v>
      </c>
      <c r="O1181" s="12" t="str">
        <f t="shared" si="18"/>
        <v>30 - 39</v>
      </c>
    </row>
    <row r="1182" spans="1:15" x14ac:dyDescent="0.35">
      <c r="A1182" s="11">
        <v>4656</v>
      </c>
      <c r="B1182" s="11" t="s">
        <v>16</v>
      </c>
      <c r="C1182" s="11">
        <v>49</v>
      </c>
      <c r="D1182" s="11" t="s">
        <v>26</v>
      </c>
      <c r="E1182" s="11" t="s">
        <v>14</v>
      </c>
      <c r="F1182" s="11">
        <v>78</v>
      </c>
      <c r="G1182" s="11">
        <v>22</v>
      </c>
      <c r="H1182" s="11">
        <v>0.48</v>
      </c>
      <c r="I1182" s="11" t="s">
        <v>23</v>
      </c>
      <c r="J1182" s="11">
        <v>48</v>
      </c>
      <c r="K1182" s="11">
        <v>0</v>
      </c>
      <c r="L1182" s="11">
        <v>1</v>
      </c>
      <c r="M1182" s="11">
        <v>0</v>
      </c>
      <c r="N1182" s="11">
        <v>0</v>
      </c>
      <c r="O1182" s="12" t="str">
        <f t="shared" si="18"/>
        <v>40 - 49</v>
      </c>
    </row>
    <row r="1183" spans="1:15" x14ac:dyDescent="0.35">
      <c r="A1183" s="12">
        <v>4657</v>
      </c>
      <c r="B1183" s="12" t="s">
        <v>16</v>
      </c>
      <c r="C1183" s="12">
        <v>16</v>
      </c>
      <c r="D1183" s="12" t="s">
        <v>25</v>
      </c>
      <c r="E1183" s="12" t="s">
        <v>14</v>
      </c>
      <c r="F1183" s="12">
        <v>278</v>
      </c>
      <c r="G1183" s="12">
        <v>77</v>
      </c>
      <c r="H1183" s="12">
        <v>0.47</v>
      </c>
      <c r="I1183" s="12" t="s">
        <v>15</v>
      </c>
      <c r="J1183" s="12">
        <v>32</v>
      </c>
      <c r="K1183" s="12">
        <v>0</v>
      </c>
      <c r="L1183" s="12">
        <v>0</v>
      </c>
      <c r="M1183" s="12">
        <v>0</v>
      </c>
      <c r="N1183" s="12">
        <v>0</v>
      </c>
      <c r="O1183" s="12" t="str">
        <f t="shared" si="18"/>
        <v>30 - 39</v>
      </c>
    </row>
    <row r="1184" spans="1:15" x14ac:dyDescent="0.35">
      <c r="A1184" s="11">
        <v>4658</v>
      </c>
      <c r="B1184" s="11" t="s">
        <v>16</v>
      </c>
      <c r="C1184" s="11">
        <v>31</v>
      </c>
      <c r="D1184" s="11" t="s">
        <v>28</v>
      </c>
      <c r="E1184" s="11" t="s">
        <v>14</v>
      </c>
      <c r="F1184" s="11">
        <v>170</v>
      </c>
      <c r="G1184" s="11">
        <v>16</v>
      </c>
      <c r="H1184" s="11">
        <v>0.16</v>
      </c>
      <c r="I1184" s="11" t="s">
        <v>23</v>
      </c>
      <c r="J1184" s="11">
        <v>45</v>
      </c>
      <c r="K1184" s="11">
        <v>0</v>
      </c>
      <c r="L1184" s="11">
        <v>1</v>
      </c>
      <c r="M1184" s="11">
        <v>0</v>
      </c>
      <c r="N1184" s="11">
        <v>0</v>
      </c>
      <c r="O1184" s="12" t="str">
        <f t="shared" si="18"/>
        <v>40 - 49</v>
      </c>
    </row>
    <row r="1185" spans="1:15" x14ac:dyDescent="0.35">
      <c r="A1185" s="12">
        <v>4668</v>
      </c>
      <c r="B1185" s="12" t="s">
        <v>20</v>
      </c>
      <c r="C1185" s="12">
        <v>42</v>
      </c>
      <c r="D1185" s="12" t="s">
        <v>27</v>
      </c>
      <c r="E1185" s="12" t="s">
        <v>14</v>
      </c>
      <c r="F1185" s="12">
        <v>268</v>
      </c>
      <c r="G1185" s="12">
        <v>64</v>
      </c>
      <c r="H1185" s="12">
        <v>0.22</v>
      </c>
      <c r="I1185" s="12" t="s">
        <v>23</v>
      </c>
      <c r="J1185" s="12">
        <v>44</v>
      </c>
      <c r="K1185" s="12">
        <v>0</v>
      </c>
      <c r="L1185" s="12">
        <v>0</v>
      </c>
      <c r="M1185" s="12">
        <v>0</v>
      </c>
      <c r="N1185" s="12">
        <v>0</v>
      </c>
      <c r="O1185" s="12" t="str">
        <f t="shared" si="18"/>
        <v>40 - 49</v>
      </c>
    </row>
    <row r="1186" spans="1:15" x14ac:dyDescent="0.35">
      <c r="A1186" s="11">
        <v>4671</v>
      </c>
      <c r="B1186" s="11" t="s">
        <v>20</v>
      </c>
      <c r="C1186" s="11">
        <v>37</v>
      </c>
      <c r="D1186" s="11" t="s">
        <v>17</v>
      </c>
      <c r="E1186" s="11" t="s">
        <v>14</v>
      </c>
      <c r="F1186" s="11">
        <v>218</v>
      </c>
      <c r="G1186" s="11">
        <v>76</v>
      </c>
      <c r="H1186" s="11">
        <v>0.44</v>
      </c>
      <c r="I1186" s="11" t="s">
        <v>15</v>
      </c>
      <c r="J1186" s="11">
        <v>46</v>
      </c>
      <c r="K1186" s="11">
        <v>0</v>
      </c>
      <c r="L1186" s="11">
        <v>1</v>
      </c>
      <c r="M1186" s="11">
        <v>0</v>
      </c>
      <c r="N1186" s="11">
        <v>0</v>
      </c>
      <c r="O1186" s="12" t="str">
        <f t="shared" si="18"/>
        <v>40 - 49</v>
      </c>
    </row>
    <row r="1187" spans="1:15" x14ac:dyDescent="0.35">
      <c r="A1187" s="12">
        <v>4675</v>
      </c>
      <c r="B1187" s="12" t="s">
        <v>16</v>
      </c>
      <c r="C1187" s="12">
        <v>44</v>
      </c>
      <c r="D1187" s="12" t="s">
        <v>28</v>
      </c>
      <c r="E1187" s="12" t="s">
        <v>14</v>
      </c>
      <c r="F1187" s="12">
        <v>11</v>
      </c>
      <c r="G1187" s="12">
        <v>82</v>
      </c>
      <c r="H1187" s="12">
        <v>0.37</v>
      </c>
      <c r="I1187" s="12" t="s">
        <v>23</v>
      </c>
      <c r="J1187" s="12">
        <v>36</v>
      </c>
      <c r="K1187" s="12">
        <v>0</v>
      </c>
      <c r="L1187" s="12">
        <v>1</v>
      </c>
      <c r="M1187" s="12">
        <v>0</v>
      </c>
      <c r="N1187" s="12">
        <v>0</v>
      </c>
      <c r="O1187" s="12" t="str">
        <f t="shared" si="18"/>
        <v>30 - 39</v>
      </c>
    </row>
    <row r="1188" spans="1:15" x14ac:dyDescent="0.35">
      <c r="A1188" s="11">
        <v>4677</v>
      </c>
      <c r="B1188" s="11" t="s">
        <v>12</v>
      </c>
      <c r="C1188" s="11">
        <v>56</v>
      </c>
      <c r="D1188" s="11" t="s">
        <v>25</v>
      </c>
      <c r="E1188" s="11" t="s">
        <v>14</v>
      </c>
      <c r="F1188" s="11">
        <v>225</v>
      </c>
      <c r="G1188" s="11">
        <v>53</v>
      </c>
      <c r="H1188" s="11">
        <v>0.27</v>
      </c>
      <c r="I1188" s="11" t="s">
        <v>15</v>
      </c>
      <c r="J1188" s="11">
        <v>47</v>
      </c>
      <c r="K1188" s="11">
        <v>0</v>
      </c>
      <c r="L1188" s="11">
        <v>0</v>
      </c>
      <c r="M1188" s="11">
        <v>0</v>
      </c>
      <c r="N1188" s="11">
        <v>0</v>
      </c>
      <c r="O1188" s="12" t="str">
        <f t="shared" si="18"/>
        <v>40 - 49</v>
      </c>
    </row>
    <row r="1189" spans="1:15" x14ac:dyDescent="0.35">
      <c r="A1189" s="12">
        <v>4680</v>
      </c>
      <c r="B1189" s="12" t="s">
        <v>12</v>
      </c>
      <c r="C1189" s="12">
        <v>28</v>
      </c>
      <c r="D1189" s="12" t="s">
        <v>28</v>
      </c>
      <c r="E1189" s="12" t="s">
        <v>14</v>
      </c>
      <c r="F1189" s="12">
        <v>240</v>
      </c>
      <c r="G1189" s="12">
        <v>28</v>
      </c>
      <c r="H1189" s="12">
        <v>0.22</v>
      </c>
      <c r="I1189" s="12" t="s">
        <v>19</v>
      </c>
      <c r="J1189" s="12">
        <v>16</v>
      </c>
      <c r="K1189" s="12">
        <v>0</v>
      </c>
      <c r="L1189" s="12">
        <v>0</v>
      </c>
      <c r="M1189" s="12">
        <v>0</v>
      </c>
      <c r="N1189" s="12">
        <v>0</v>
      </c>
      <c r="O1189" s="12" t="str">
        <f t="shared" si="18"/>
        <v>10 - 19</v>
      </c>
    </row>
    <row r="1190" spans="1:15" x14ac:dyDescent="0.35">
      <c r="A1190" s="11">
        <v>4703</v>
      </c>
      <c r="B1190" s="11" t="s">
        <v>20</v>
      </c>
      <c r="C1190" s="11">
        <v>20</v>
      </c>
      <c r="D1190" s="11" t="s">
        <v>27</v>
      </c>
      <c r="E1190" s="11" t="s">
        <v>14</v>
      </c>
      <c r="F1190" s="11">
        <v>266</v>
      </c>
      <c r="G1190" s="11">
        <v>36</v>
      </c>
      <c r="H1190" s="11">
        <v>0.46</v>
      </c>
      <c r="I1190" s="11" t="s">
        <v>15</v>
      </c>
      <c r="J1190" s="11">
        <v>34</v>
      </c>
      <c r="K1190" s="11">
        <v>0</v>
      </c>
      <c r="L1190" s="11">
        <v>0</v>
      </c>
      <c r="M1190" s="11">
        <v>0</v>
      </c>
      <c r="N1190" s="11">
        <v>0</v>
      </c>
      <c r="O1190" s="12" t="str">
        <f t="shared" si="18"/>
        <v>30 - 39</v>
      </c>
    </row>
    <row r="1191" spans="1:15" x14ac:dyDescent="0.35">
      <c r="A1191" s="12">
        <v>4704</v>
      </c>
      <c r="B1191" s="12" t="s">
        <v>12</v>
      </c>
      <c r="C1191" s="12">
        <v>39</v>
      </c>
      <c r="D1191" s="12" t="s">
        <v>29</v>
      </c>
      <c r="E1191" s="12" t="s">
        <v>14</v>
      </c>
      <c r="F1191" s="12">
        <v>172</v>
      </c>
      <c r="G1191" s="12">
        <v>58</v>
      </c>
      <c r="H1191" s="12">
        <v>0.45</v>
      </c>
      <c r="I1191" s="12" t="s">
        <v>15</v>
      </c>
      <c r="J1191" s="12">
        <v>12</v>
      </c>
      <c r="K1191" s="12">
        <v>0</v>
      </c>
      <c r="L1191" s="12">
        <v>0</v>
      </c>
      <c r="M1191" s="12">
        <v>0</v>
      </c>
      <c r="N1191" s="12">
        <v>0</v>
      </c>
      <c r="O1191" s="12" t="str">
        <f t="shared" si="18"/>
        <v>10 - 19</v>
      </c>
    </row>
    <row r="1192" spans="1:15" x14ac:dyDescent="0.35">
      <c r="A1192" s="11">
        <v>4706</v>
      </c>
      <c r="B1192" s="11" t="s">
        <v>16</v>
      </c>
      <c r="C1192" s="11">
        <v>32</v>
      </c>
      <c r="D1192" s="11" t="s">
        <v>28</v>
      </c>
      <c r="E1192" s="11" t="s">
        <v>14</v>
      </c>
      <c r="F1192" s="11">
        <v>110</v>
      </c>
      <c r="G1192" s="11">
        <v>50</v>
      </c>
      <c r="H1192" s="11">
        <v>0.01</v>
      </c>
      <c r="I1192" s="11" t="s">
        <v>23</v>
      </c>
      <c r="J1192" s="11">
        <v>13</v>
      </c>
      <c r="K1192" s="11">
        <v>0</v>
      </c>
      <c r="L1192" s="11">
        <v>0</v>
      </c>
      <c r="M1192" s="11">
        <v>0</v>
      </c>
      <c r="N1192" s="11">
        <v>0</v>
      </c>
      <c r="O1192" s="12" t="str">
        <f t="shared" si="18"/>
        <v>10 - 19</v>
      </c>
    </row>
    <row r="1193" spans="1:15" x14ac:dyDescent="0.35">
      <c r="A1193" s="12">
        <v>4708</v>
      </c>
      <c r="B1193" s="12" t="s">
        <v>20</v>
      </c>
      <c r="C1193" s="12">
        <v>49</v>
      </c>
      <c r="D1193" s="12" t="s">
        <v>17</v>
      </c>
      <c r="E1193" s="12" t="s">
        <v>14</v>
      </c>
      <c r="F1193" s="12">
        <v>191</v>
      </c>
      <c r="G1193" s="12">
        <v>48</v>
      </c>
      <c r="H1193" s="12">
        <v>0.03</v>
      </c>
      <c r="I1193" s="12" t="s">
        <v>23</v>
      </c>
      <c r="J1193" s="12">
        <v>36</v>
      </c>
      <c r="K1193" s="12">
        <v>0</v>
      </c>
      <c r="L1193" s="12">
        <v>1</v>
      </c>
      <c r="M1193" s="12">
        <v>0</v>
      </c>
      <c r="N1193" s="12">
        <v>0</v>
      </c>
      <c r="O1193" s="12" t="str">
        <f t="shared" si="18"/>
        <v>30 - 39</v>
      </c>
    </row>
    <row r="1194" spans="1:15" x14ac:dyDescent="0.35">
      <c r="A1194" s="11">
        <v>4716</v>
      </c>
      <c r="B1194" s="11" t="s">
        <v>12</v>
      </c>
      <c r="C1194" s="11">
        <v>27</v>
      </c>
      <c r="D1194" s="11" t="s">
        <v>26</v>
      </c>
      <c r="E1194" s="11" t="s">
        <v>14</v>
      </c>
      <c r="F1194" s="11">
        <v>138</v>
      </c>
      <c r="G1194" s="11">
        <v>40</v>
      </c>
      <c r="H1194" s="11">
        <v>0.28000000000000003</v>
      </c>
      <c r="I1194" s="11" t="s">
        <v>19</v>
      </c>
      <c r="J1194" s="11">
        <v>27</v>
      </c>
      <c r="K1194" s="11">
        <v>0</v>
      </c>
      <c r="L1194" s="11">
        <v>0</v>
      </c>
      <c r="M1194" s="11">
        <v>0</v>
      </c>
      <c r="N1194" s="11">
        <v>0</v>
      </c>
      <c r="O1194" s="12" t="str">
        <f t="shared" si="18"/>
        <v>20 - 29</v>
      </c>
    </row>
    <row r="1195" spans="1:15" x14ac:dyDescent="0.35">
      <c r="A1195" s="12">
        <v>4719</v>
      </c>
      <c r="B1195" s="12" t="s">
        <v>16</v>
      </c>
      <c r="C1195" s="12">
        <v>49</v>
      </c>
      <c r="D1195" s="12" t="s">
        <v>27</v>
      </c>
      <c r="E1195" s="12" t="s">
        <v>14</v>
      </c>
      <c r="F1195" s="12">
        <v>23</v>
      </c>
      <c r="G1195" s="12">
        <v>7</v>
      </c>
      <c r="H1195" s="12">
        <v>0.43</v>
      </c>
      <c r="I1195" s="12" t="s">
        <v>23</v>
      </c>
      <c r="J1195" s="12">
        <v>40</v>
      </c>
      <c r="K1195" s="12">
        <v>0</v>
      </c>
      <c r="L1195" s="12">
        <v>0</v>
      </c>
      <c r="M1195" s="12">
        <v>0</v>
      </c>
      <c r="N1195" s="12">
        <v>0</v>
      </c>
      <c r="O1195" s="12" t="str">
        <f t="shared" si="18"/>
        <v>40 - 49</v>
      </c>
    </row>
    <row r="1196" spans="1:15" x14ac:dyDescent="0.35">
      <c r="A1196" s="11">
        <v>4725</v>
      </c>
      <c r="B1196" s="11" t="s">
        <v>12</v>
      </c>
      <c r="C1196" s="11">
        <v>32</v>
      </c>
      <c r="D1196" s="11" t="s">
        <v>26</v>
      </c>
      <c r="E1196" s="11" t="s">
        <v>14</v>
      </c>
      <c r="F1196" s="11">
        <v>161</v>
      </c>
      <c r="G1196" s="11">
        <v>20</v>
      </c>
      <c r="H1196" s="11">
        <v>0.01</v>
      </c>
      <c r="I1196" s="11" t="s">
        <v>15</v>
      </c>
      <c r="J1196" s="11">
        <v>16</v>
      </c>
      <c r="K1196" s="11">
        <v>0</v>
      </c>
      <c r="L1196" s="11">
        <v>1</v>
      </c>
      <c r="M1196" s="11">
        <v>0</v>
      </c>
      <c r="N1196" s="11">
        <v>0</v>
      </c>
      <c r="O1196" s="12" t="str">
        <f t="shared" si="18"/>
        <v>10 - 19</v>
      </c>
    </row>
    <row r="1197" spans="1:15" x14ac:dyDescent="0.35">
      <c r="A1197" s="12">
        <v>4730</v>
      </c>
      <c r="B1197" s="12" t="s">
        <v>12</v>
      </c>
      <c r="C1197" s="12">
        <v>39</v>
      </c>
      <c r="D1197" s="12" t="s">
        <v>28</v>
      </c>
      <c r="E1197" s="12" t="s">
        <v>14</v>
      </c>
      <c r="F1197" s="12">
        <v>251</v>
      </c>
      <c r="G1197" s="12">
        <v>3</v>
      </c>
      <c r="H1197" s="12">
        <v>0.27</v>
      </c>
      <c r="I1197" s="12" t="s">
        <v>15</v>
      </c>
      <c r="J1197" s="12">
        <v>9</v>
      </c>
      <c r="K1197" s="12">
        <v>0</v>
      </c>
      <c r="L1197" s="12">
        <v>1</v>
      </c>
      <c r="M1197" s="12">
        <v>0</v>
      </c>
      <c r="N1197" s="12">
        <v>0</v>
      </c>
      <c r="O1197" s="12" t="str">
        <f t="shared" si="18"/>
        <v>0 - 9</v>
      </c>
    </row>
    <row r="1198" spans="1:15" x14ac:dyDescent="0.35">
      <c r="A1198" s="11">
        <v>4734</v>
      </c>
      <c r="B1198" s="11" t="s">
        <v>12</v>
      </c>
      <c r="C1198" s="11">
        <v>29</v>
      </c>
      <c r="D1198" s="11" t="s">
        <v>17</v>
      </c>
      <c r="E1198" s="11" t="s">
        <v>14</v>
      </c>
      <c r="F1198" s="11">
        <v>254</v>
      </c>
      <c r="G1198" s="11">
        <v>30</v>
      </c>
      <c r="H1198" s="11">
        <v>0.4</v>
      </c>
      <c r="I1198" s="11" t="s">
        <v>23</v>
      </c>
      <c r="J1198" s="11">
        <v>7</v>
      </c>
      <c r="K1198" s="11">
        <v>0</v>
      </c>
      <c r="L1198" s="11">
        <v>0</v>
      </c>
      <c r="M1198" s="11">
        <v>0</v>
      </c>
      <c r="N1198" s="11">
        <v>0</v>
      </c>
      <c r="O1198" s="12" t="str">
        <f t="shared" si="18"/>
        <v>0 - 9</v>
      </c>
    </row>
    <row r="1199" spans="1:15" x14ac:dyDescent="0.35">
      <c r="A1199" s="12">
        <v>4735</v>
      </c>
      <c r="B1199" s="12" t="s">
        <v>16</v>
      </c>
      <c r="C1199" s="12">
        <v>48</v>
      </c>
      <c r="D1199" s="12" t="s">
        <v>28</v>
      </c>
      <c r="E1199" s="12" t="s">
        <v>14</v>
      </c>
      <c r="F1199" s="12">
        <v>171</v>
      </c>
      <c r="G1199" s="12">
        <v>56</v>
      </c>
      <c r="H1199" s="12">
        <v>0.41</v>
      </c>
      <c r="I1199" s="12" t="s">
        <v>19</v>
      </c>
      <c r="J1199" s="12">
        <v>20</v>
      </c>
      <c r="K1199" s="12">
        <v>0</v>
      </c>
      <c r="L1199" s="12">
        <v>0</v>
      </c>
      <c r="M1199" s="12">
        <v>0</v>
      </c>
      <c r="N1199" s="12">
        <v>0</v>
      </c>
      <c r="O1199" s="12" t="str">
        <f t="shared" si="18"/>
        <v>20 - 29</v>
      </c>
    </row>
    <row r="1200" spans="1:15" x14ac:dyDescent="0.35">
      <c r="A1200" s="11">
        <v>4738</v>
      </c>
      <c r="B1200" s="11" t="s">
        <v>20</v>
      </c>
      <c r="C1200" s="11">
        <v>21</v>
      </c>
      <c r="D1200" s="11" t="s">
        <v>28</v>
      </c>
      <c r="E1200" s="11" t="s">
        <v>14</v>
      </c>
      <c r="F1200" s="11">
        <v>37</v>
      </c>
      <c r="G1200" s="11">
        <v>55</v>
      </c>
      <c r="H1200" s="11">
        <v>0.28999999999999998</v>
      </c>
      <c r="I1200" s="11" t="s">
        <v>19</v>
      </c>
      <c r="J1200" s="11">
        <v>36</v>
      </c>
      <c r="K1200" s="11">
        <v>0</v>
      </c>
      <c r="L1200" s="11">
        <v>0</v>
      </c>
      <c r="M1200" s="11">
        <v>0</v>
      </c>
      <c r="N1200" s="11">
        <v>0</v>
      </c>
      <c r="O1200" s="12" t="str">
        <f t="shared" si="18"/>
        <v>30 - 39</v>
      </c>
    </row>
    <row r="1201" spans="1:15" x14ac:dyDescent="0.35">
      <c r="A1201" s="12">
        <v>4745</v>
      </c>
      <c r="B1201" s="12" t="s">
        <v>12</v>
      </c>
      <c r="C1201" s="12">
        <v>21</v>
      </c>
      <c r="D1201" s="12" t="s">
        <v>17</v>
      </c>
      <c r="E1201" s="12" t="s">
        <v>14</v>
      </c>
      <c r="F1201" s="12">
        <v>167</v>
      </c>
      <c r="G1201" s="12">
        <v>48</v>
      </c>
      <c r="H1201" s="12">
        <v>0.21</v>
      </c>
      <c r="I1201" s="12" t="s">
        <v>19</v>
      </c>
      <c r="J1201" s="12">
        <v>32</v>
      </c>
      <c r="K1201" s="12">
        <v>0</v>
      </c>
      <c r="L1201" s="12">
        <v>0</v>
      </c>
      <c r="M1201" s="12">
        <v>0</v>
      </c>
      <c r="N1201" s="12">
        <v>0</v>
      </c>
      <c r="O1201" s="12" t="str">
        <f t="shared" si="18"/>
        <v>30 - 39</v>
      </c>
    </row>
    <row r="1202" spans="1:15" x14ac:dyDescent="0.35">
      <c r="A1202" s="11">
        <v>4746</v>
      </c>
      <c r="B1202" s="11" t="s">
        <v>20</v>
      </c>
      <c r="C1202" s="11">
        <v>56</v>
      </c>
      <c r="D1202" s="11" t="s">
        <v>28</v>
      </c>
      <c r="E1202" s="11" t="s">
        <v>14</v>
      </c>
      <c r="F1202" s="11">
        <v>242</v>
      </c>
      <c r="G1202" s="11">
        <v>85</v>
      </c>
      <c r="H1202" s="11">
        <v>0.1</v>
      </c>
      <c r="I1202" s="11" t="s">
        <v>23</v>
      </c>
      <c r="J1202" s="11">
        <v>21</v>
      </c>
      <c r="K1202" s="11">
        <v>0</v>
      </c>
      <c r="L1202" s="11">
        <v>0</v>
      </c>
      <c r="M1202" s="11">
        <v>0</v>
      </c>
      <c r="N1202" s="11">
        <v>0</v>
      </c>
      <c r="O1202" s="12" t="str">
        <f t="shared" si="18"/>
        <v>20 - 29</v>
      </c>
    </row>
    <row r="1203" spans="1:15" x14ac:dyDescent="0.35">
      <c r="A1203" s="12">
        <v>4749</v>
      </c>
      <c r="B1203" s="12" t="s">
        <v>12</v>
      </c>
      <c r="C1203" s="12">
        <v>48</v>
      </c>
      <c r="D1203" s="12" t="s">
        <v>21</v>
      </c>
      <c r="E1203" s="12" t="s">
        <v>14</v>
      </c>
      <c r="F1203" s="12">
        <v>31</v>
      </c>
      <c r="G1203" s="12">
        <v>46</v>
      </c>
      <c r="H1203" s="12">
        <v>0.08</v>
      </c>
      <c r="I1203" s="12" t="s">
        <v>19</v>
      </c>
      <c r="J1203" s="12">
        <v>47</v>
      </c>
      <c r="K1203" s="12">
        <v>0</v>
      </c>
      <c r="L1203" s="12">
        <v>1</v>
      </c>
      <c r="M1203" s="12">
        <v>0</v>
      </c>
      <c r="N1203" s="12">
        <v>0</v>
      </c>
      <c r="O1203" s="12" t="str">
        <f t="shared" si="18"/>
        <v>40 - 49</v>
      </c>
    </row>
    <row r="1204" spans="1:15" x14ac:dyDescent="0.35">
      <c r="A1204" s="11">
        <v>4755</v>
      </c>
      <c r="B1204" s="11" t="s">
        <v>12</v>
      </c>
      <c r="C1204" s="11">
        <v>22</v>
      </c>
      <c r="D1204" s="11" t="s">
        <v>26</v>
      </c>
      <c r="E1204" s="11" t="s">
        <v>14</v>
      </c>
      <c r="F1204" s="11">
        <v>97</v>
      </c>
      <c r="G1204" s="11">
        <v>62</v>
      </c>
      <c r="H1204" s="11">
        <v>0.33</v>
      </c>
      <c r="I1204" s="11" t="s">
        <v>19</v>
      </c>
      <c r="J1204" s="11">
        <v>45</v>
      </c>
      <c r="K1204" s="11">
        <v>0</v>
      </c>
      <c r="L1204" s="11">
        <v>1</v>
      </c>
      <c r="M1204" s="11">
        <v>0</v>
      </c>
      <c r="N1204" s="11">
        <v>0</v>
      </c>
      <c r="O1204" s="12" t="str">
        <f t="shared" si="18"/>
        <v>40 - 49</v>
      </c>
    </row>
    <row r="1205" spans="1:15" x14ac:dyDescent="0.35">
      <c r="A1205" s="12">
        <v>4756</v>
      </c>
      <c r="B1205" s="12" t="s">
        <v>20</v>
      </c>
      <c r="C1205" s="12">
        <v>47</v>
      </c>
      <c r="D1205" s="12" t="s">
        <v>13</v>
      </c>
      <c r="E1205" s="12" t="s">
        <v>14</v>
      </c>
      <c r="F1205" s="12">
        <v>52</v>
      </c>
      <c r="G1205" s="12">
        <v>43</v>
      </c>
      <c r="H1205" s="12">
        <v>0.04</v>
      </c>
      <c r="I1205" s="12" t="s">
        <v>15</v>
      </c>
      <c r="J1205" s="12">
        <v>48</v>
      </c>
      <c r="K1205" s="12">
        <v>0</v>
      </c>
      <c r="L1205" s="12">
        <v>0</v>
      </c>
      <c r="M1205" s="12">
        <v>0</v>
      </c>
      <c r="N1205" s="12">
        <v>0</v>
      </c>
      <c r="O1205" s="12" t="str">
        <f t="shared" si="18"/>
        <v>40 - 49</v>
      </c>
    </row>
    <row r="1206" spans="1:15" x14ac:dyDescent="0.35">
      <c r="A1206" s="11">
        <v>4757</v>
      </c>
      <c r="B1206" s="11" t="s">
        <v>12</v>
      </c>
      <c r="C1206" s="11">
        <v>37</v>
      </c>
      <c r="D1206" s="11" t="s">
        <v>29</v>
      </c>
      <c r="E1206" s="11" t="s">
        <v>14</v>
      </c>
      <c r="F1206" s="11">
        <v>242</v>
      </c>
      <c r="G1206" s="11">
        <v>23</v>
      </c>
      <c r="H1206" s="11">
        <v>0.56000000000000005</v>
      </c>
      <c r="I1206" s="11" t="s">
        <v>19</v>
      </c>
      <c r="J1206" s="11">
        <v>21</v>
      </c>
      <c r="K1206" s="11">
        <v>0</v>
      </c>
      <c r="L1206" s="11">
        <v>0</v>
      </c>
      <c r="M1206" s="11">
        <v>0</v>
      </c>
      <c r="N1206" s="11">
        <v>0</v>
      </c>
      <c r="O1206" s="12" t="str">
        <f t="shared" si="18"/>
        <v>20 - 29</v>
      </c>
    </row>
    <row r="1207" spans="1:15" x14ac:dyDescent="0.35">
      <c r="A1207" s="12">
        <v>4758</v>
      </c>
      <c r="B1207" s="12" t="s">
        <v>12</v>
      </c>
      <c r="C1207" s="12">
        <v>48</v>
      </c>
      <c r="D1207" s="12" t="s">
        <v>17</v>
      </c>
      <c r="E1207" s="12" t="s">
        <v>14</v>
      </c>
      <c r="F1207" s="12">
        <v>44</v>
      </c>
      <c r="G1207" s="12">
        <v>56</v>
      </c>
      <c r="H1207" s="12">
        <v>0.5</v>
      </c>
      <c r="I1207" s="12" t="s">
        <v>15</v>
      </c>
      <c r="J1207" s="12">
        <v>26</v>
      </c>
      <c r="K1207" s="12">
        <v>0</v>
      </c>
      <c r="L1207" s="12">
        <v>0</v>
      </c>
      <c r="M1207" s="12">
        <v>0</v>
      </c>
      <c r="N1207" s="12">
        <v>0</v>
      </c>
      <c r="O1207" s="12" t="str">
        <f t="shared" si="18"/>
        <v>20 - 29</v>
      </c>
    </row>
    <row r="1208" spans="1:15" x14ac:dyDescent="0.35">
      <c r="A1208" s="11">
        <v>4759</v>
      </c>
      <c r="B1208" s="11" t="s">
        <v>20</v>
      </c>
      <c r="C1208" s="11">
        <v>22</v>
      </c>
      <c r="D1208" s="11" t="s">
        <v>21</v>
      </c>
      <c r="E1208" s="11" t="s">
        <v>14</v>
      </c>
      <c r="F1208" s="11">
        <v>180</v>
      </c>
      <c r="G1208" s="11">
        <v>23</v>
      </c>
      <c r="H1208" s="11">
        <v>0</v>
      </c>
      <c r="I1208" s="11" t="s">
        <v>23</v>
      </c>
      <c r="J1208" s="11">
        <v>9</v>
      </c>
      <c r="K1208" s="11">
        <v>0</v>
      </c>
      <c r="L1208" s="11">
        <v>0</v>
      </c>
      <c r="M1208" s="11">
        <v>0</v>
      </c>
      <c r="N1208" s="11">
        <v>0</v>
      </c>
      <c r="O1208" s="12" t="str">
        <f t="shared" si="18"/>
        <v>0 - 9</v>
      </c>
    </row>
    <row r="1209" spans="1:15" x14ac:dyDescent="0.35">
      <c r="A1209" s="12">
        <v>4760</v>
      </c>
      <c r="B1209" s="12" t="s">
        <v>12</v>
      </c>
      <c r="C1209" s="12">
        <v>58</v>
      </c>
      <c r="D1209" s="12" t="s">
        <v>13</v>
      </c>
      <c r="E1209" s="12" t="s">
        <v>14</v>
      </c>
      <c r="F1209" s="12">
        <v>255</v>
      </c>
      <c r="G1209" s="12">
        <v>90</v>
      </c>
      <c r="H1209" s="12">
        <v>0</v>
      </c>
      <c r="I1209" s="12" t="s">
        <v>23</v>
      </c>
      <c r="J1209" s="12">
        <v>8</v>
      </c>
      <c r="K1209" s="12">
        <v>0</v>
      </c>
      <c r="L1209" s="12">
        <v>0</v>
      </c>
      <c r="M1209" s="12">
        <v>0</v>
      </c>
      <c r="N1209" s="12">
        <v>0</v>
      </c>
      <c r="O1209" s="12" t="str">
        <f t="shared" si="18"/>
        <v>0 - 9</v>
      </c>
    </row>
    <row r="1210" spans="1:15" x14ac:dyDescent="0.35">
      <c r="A1210" s="11">
        <v>4764</v>
      </c>
      <c r="B1210" s="11" t="s">
        <v>20</v>
      </c>
      <c r="C1210" s="11">
        <v>46</v>
      </c>
      <c r="D1210" s="11" t="s">
        <v>27</v>
      </c>
      <c r="E1210" s="11" t="s">
        <v>14</v>
      </c>
      <c r="F1210" s="11">
        <v>116</v>
      </c>
      <c r="G1210" s="11">
        <v>10</v>
      </c>
      <c r="H1210" s="11">
        <v>0.54</v>
      </c>
      <c r="I1210" s="11" t="s">
        <v>23</v>
      </c>
      <c r="J1210" s="11">
        <v>20</v>
      </c>
      <c r="K1210" s="11">
        <v>0</v>
      </c>
      <c r="L1210" s="11">
        <v>1</v>
      </c>
      <c r="M1210" s="11">
        <v>0</v>
      </c>
      <c r="N1210" s="11">
        <v>0</v>
      </c>
      <c r="O1210" s="12" t="str">
        <f t="shared" si="18"/>
        <v>20 - 29</v>
      </c>
    </row>
    <row r="1211" spans="1:15" x14ac:dyDescent="0.35">
      <c r="A1211" s="12">
        <v>4770</v>
      </c>
      <c r="B1211" s="12" t="s">
        <v>16</v>
      </c>
      <c r="C1211" s="12">
        <v>47</v>
      </c>
      <c r="D1211" s="12" t="s">
        <v>17</v>
      </c>
      <c r="E1211" s="12" t="s">
        <v>14</v>
      </c>
      <c r="F1211" s="12">
        <v>104</v>
      </c>
      <c r="G1211" s="12">
        <v>39</v>
      </c>
      <c r="H1211" s="12">
        <v>0.21</v>
      </c>
      <c r="I1211" s="12" t="s">
        <v>15</v>
      </c>
      <c r="J1211" s="12">
        <v>13</v>
      </c>
      <c r="K1211" s="12">
        <v>0</v>
      </c>
      <c r="L1211" s="12">
        <v>0</v>
      </c>
      <c r="M1211" s="12">
        <v>0</v>
      </c>
      <c r="N1211" s="12">
        <v>0</v>
      </c>
      <c r="O1211" s="12" t="str">
        <f t="shared" si="18"/>
        <v>10 - 19</v>
      </c>
    </row>
    <row r="1212" spans="1:15" x14ac:dyDescent="0.35">
      <c r="A1212" s="11">
        <v>4776</v>
      </c>
      <c r="B1212" s="11" t="s">
        <v>12</v>
      </c>
      <c r="C1212" s="11">
        <v>50</v>
      </c>
      <c r="D1212" s="11" t="s">
        <v>13</v>
      </c>
      <c r="E1212" s="11" t="s">
        <v>14</v>
      </c>
      <c r="F1212" s="11">
        <v>74</v>
      </c>
      <c r="G1212" s="11">
        <v>80</v>
      </c>
      <c r="H1212" s="11">
        <v>0.59</v>
      </c>
      <c r="I1212" s="11" t="s">
        <v>15</v>
      </c>
      <c r="J1212" s="11">
        <v>25</v>
      </c>
      <c r="K1212" s="11">
        <v>0</v>
      </c>
      <c r="L1212" s="11">
        <v>0</v>
      </c>
      <c r="M1212" s="11">
        <v>0</v>
      </c>
      <c r="N1212" s="11">
        <v>0</v>
      </c>
      <c r="O1212" s="12" t="str">
        <f t="shared" si="18"/>
        <v>20 - 29</v>
      </c>
    </row>
    <row r="1213" spans="1:15" x14ac:dyDescent="0.35">
      <c r="A1213" s="12">
        <v>4787</v>
      </c>
      <c r="B1213" s="12" t="s">
        <v>16</v>
      </c>
      <c r="C1213" s="12">
        <v>59</v>
      </c>
      <c r="D1213" s="12" t="s">
        <v>27</v>
      </c>
      <c r="E1213" s="12" t="s">
        <v>14</v>
      </c>
      <c r="F1213" s="12">
        <v>224</v>
      </c>
      <c r="G1213" s="12">
        <v>92</v>
      </c>
      <c r="H1213" s="12">
        <v>0.36</v>
      </c>
      <c r="I1213" s="12" t="s">
        <v>19</v>
      </c>
      <c r="J1213" s="12">
        <v>10</v>
      </c>
      <c r="K1213" s="12">
        <v>0</v>
      </c>
      <c r="L1213" s="12">
        <v>0</v>
      </c>
      <c r="M1213" s="12">
        <v>0</v>
      </c>
      <c r="N1213" s="12">
        <v>0</v>
      </c>
      <c r="O1213" s="12" t="str">
        <f t="shared" si="18"/>
        <v>10 - 19</v>
      </c>
    </row>
    <row r="1214" spans="1:15" x14ac:dyDescent="0.35">
      <c r="A1214" s="11">
        <v>4789</v>
      </c>
      <c r="B1214" s="11" t="s">
        <v>20</v>
      </c>
      <c r="C1214" s="11">
        <v>34</v>
      </c>
      <c r="D1214" s="11" t="s">
        <v>21</v>
      </c>
      <c r="E1214" s="11" t="s">
        <v>14</v>
      </c>
      <c r="F1214" s="11">
        <v>17</v>
      </c>
      <c r="G1214" s="11">
        <v>82</v>
      </c>
      <c r="H1214" s="11">
        <v>0.48</v>
      </c>
      <c r="I1214" s="11" t="s">
        <v>15</v>
      </c>
      <c r="J1214" s="11">
        <v>19</v>
      </c>
      <c r="K1214" s="11">
        <v>0</v>
      </c>
      <c r="L1214" s="11">
        <v>0</v>
      </c>
      <c r="M1214" s="11">
        <v>0</v>
      </c>
      <c r="N1214" s="11">
        <v>0</v>
      </c>
      <c r="O1214" s="12" t="str">
        <f t="shared" si="18"/>
        <v>10 - 19</v>
      </c>
    </row>
    <row r="1215" spans="1:15" x14ac:dyDescent="0.35">
      <c r="A1215" s="12">
        <v>4792</v>
      </c>
      <c r="B1215" s="12" t="s">
        <v>20</v>
      </c>
      <c r="C1215" s="12">
        <v>22</v>
      </c>
      <c r="D1215" s="12" t="s">
        <v>28</v>
      </c>
      <c r="E1215" s="12" t="s">
        <v>14</v>
      </c>
      <c r="F1215" s="12">
        <v>162</v>
      </c>
      <c r="G1215" s="12">
        <v>44</v>
      </c>
      <c r="H1215" s="12">
        <v>0.01</v>
      </c>
      <c r="I1215" s="12" t="s">
        <v>23</v>
      </c>
      <c r="J1215" s="12">
        <v>15</v>
      </c>
      <c r="K1215" s="12">
        <v>0</v>
      </c>
      <c r="L1215" s="12">
        <v>0</v>
      </c>
      <c r="M1215" s="12">
        <v>0</v>
      </c>
      <c r="N1215" s="12">
        <v>0</v>
      </c>
      <c r="O1215" s="12" t="str">
        <f t="shared" si="18"/>
        <v>10 - 19</v>
      </c>
    </row>
    <row r="1216" spans="1:15" x14ac:dyDescent="0.35">
      <c r="A1216" s="11">
        <v>4793</v>
      </c>
      <c r="B1216" s="11" t="s">
        <v>16</v>
      </c>
      <c r="C1216" s="11">
        <v>52</v>
      </c>
      <c r="D1216" s="11" t="s">
        <v>17</v>
      </c>
      <c r="E1216" s="11" t="s">
        <v>14</v>
      </c>
      <c r="F1216" s="11">
        <v>147</v>
      </c>
      <c r="G1216" s="11">
        <v>9</v>
      </c>
      <c r="H1216" s="11">
        <v>0.11</v>
      </c>
      <c r="I1216" s="11" t="s">
        <v>19</v>
      </c>
      <c r="J1216" s="11">
        <v>21</v>
      </c>
      <c r="K1216" s="11">
        <v>0</v>
      </c>
      <c r="L1216" s="11">
        <v>0</v>
      </c>
      <c r="M1216" s="11">
        <v>0</v>
      </c>
      <c r="N1216" s="11">
        <v>0</v>
      </c>
      <c r="O1216" s="12" t="str">
        <f t="shared" si="18"/>
        <v>20 - 29</v>
      </c>
    </row>
    <row r="1217" spans="1:15" x14ac:dyDescent="0.35">
      <c r="A1217" s="12">
        <v>4795</v>
      </c>
      <c r="B1217" s="12" t="s">
        <v>20</v>
      </c>
      <c r="C1217" s="12">
        <v>27</v>
      </c>
      <c r="D1217" s="12" t="s">
        <v>25</v>
      </c>
      <c r="E1217" s="12" t="s">
        <v>14</v>
      </c>
      <c r="F1217" s="12">
        <v>88</v>
      </c>
      <c r="G1217" s="12">
        <v>52</v>
      </c>
      <c r="H1217" s="12">
        <v>0.1</v>
      </c>
      <c r="I1217" s="12" t="s">
        <v>19</v>
      </c>
      <c r="J1217" s="12">
        <v>10</v>
      </c>
      <c r="K1217" s="12">
        <v>0</v>
      </c>
      <c r="L1217" s="12">
        <v>0</v>
      </c>
      <c r="M1217" s="12">
        <v>0</v>
      </c>
      <c r="N1217" s="12">
        <v>0</v>
      </c>
      <c r="O1217" s="12" t="str">
        <f t="shared" si="18"/>
        <v>10 - 19</v>
      </c>
    </row>
    <row r="1218" spans="1:15" x14ac:dyDescent="0.35">
      <c r="A1218" s="11">
        <v>4802</v>
      </c>
      <c r="B1218" s="11" t="s">
        <v>12</v>
      </c>
      <c r="C1218" s="11">
        <v>44</v>
      </c>
      <c r="D1218" s="11" t="s">
        <v>28</v>
      </c>
      <c r="E1218" s="11" t="s">
        <v>14</v>
      </c>
      <c r="F1218" s="11">
        <v>46</v>
      </c>
      <c r="G1218" s="11">
        <v>20</v>
      </c>
      <c r="H1218" s="11">
        <v>0.23</v>
      </c>
      <c r="I1218" s="11" t="s">
        <v>15</v>
      </c>
      <c r="J1218" s="11">
        <v>32</v>
      </c>
      <c r="K1218" s="11">
        <v>0</v>
      </c>
      <c r="L1218" s="11">
        <v>0</v>
      </c>
      <c r="M1218" s="11">
        <v>0</v>
      </c>
      <c r="N1218" s="11">
        <v>0</v>
      </c>
      <c r="O1218" s="12" t="str">
        <f t="shared" ref="O1218:O1281" si="19">_xlfn.FLOOR.MATH(J1218, 10) &amp; " - " &amp; (_xlfn.FLOOR.MATH(J1218, 10) + 9)</f>
        <v>30 - 39</v>
      </c>
    </row>
    <row r="1219" spans="1:15" x14ac:dyDescent="0.35">
      <c r="A1219" s="12">
        <v>4806</v>
      </c>
      <c r="B1219" s="12" t="s">
        <v>16</v>
      </c>
      <c r="C1219" s="12">
        <v>40</v>
      </c>
      <c r="D1219" s="12" t="s">
        <v>26</v>
      </c>
      <c r="E1219" s="12" t="s">
        <v>14</v>
      </c>
      <c r="F1219" s="12">
        <v>253</v>
      </c>
      <c r="G1219" s="12">
        <v>55</v>
      </c>
      <c r="H1219" s="12">
        <v>0.09</v>
      </c>
      <c r="I1219" s="12" t="s">
        <v>19</v>
      </c>
      <c r="J1219" s="12">
        <v>25</v>
      </c>
      <c r="K1219" s="12">
        <v>0</v>
      </c>
      <c r="L1219" s="12">
        <v>0</v>
      </c>
      <c r="M1219" s="12">
        <v>0</v>
      </c>
      <c r="N1219" s="12">
        <v>0</v>
      </c>
      <c r="O1219" s="12" t="str">
        <f t="shared" si="19"/>
        <v>20 - 29</v>
      </c>
    </row>
    <row r="1220" spans="1:15" x14ac:dyDescent="0.35">
      <c r="A1220" s="11">
        <v>4807</v>
      </c>
      <c r="B1220" s="11" t="s">
        <v>12</v>
      </c>
      <c r="C1220" s="11">
        <v>33</v>
      </c>
      <c r="D1220" s="11" t="s">
        <v>13</v>
      </c>
      <c r="E1220" s="11" t="s">
        <v>14</v>
      </c>
      <c r="F1220" s="11">
        <v>27</v>
      </c>
      <c r="G1220" s="11">
        <v>66</v>
      </c>
      <c r="H1220" s="11">
        <v>0.4</v>
      </c>
      <c r="I1220" s="11" t="s">
        <v>15</v>
      </c>
      <c r="J1220" s="11">
        <v>28</v>
      </c>
      <c r="K1220" s="11">
        <v>0</v>
      </c>
      <c r="L1220" s="11">
        <v>1</v>
      </c>
      <c r="M1220" s="11">
        <v>0</v>
      </c>
      <c r="N1220" s="11">
        <v>0</v>
      </c>
      <c r="O1220" s="12" t="str">
        <f t="shared" si="19"/>
        <v>20 - 29</v>
      </c>
    </row>
    <row r="1221" spans="1:15" x14ac:dyDescent="0.35">
      <c r="A1221" s="12">
        <v>4810</v>
      </c>
      <c r="B1221" s="12" t="s">
        <v>20</v>
      </c>
      <c r="C1221" s="12">
        <v>26</v>
      </c>
      <c r="D1221" s="12" t="s">
        <v>25</v>
      </c>
      <c r="E1221" s="12" t="s">
        <v>14</v>
      </c>
      <c r="F1221" s="12">
        <v>102</v>
      </c>
      <c r="G1221" s="12">
        <v>2</v>
      </c>
      <c r="H1221" s="12">
        <v>0.04</v>
      </c>
      <c r="I1221" s="12" t="s">
        <v>15</v>
      </c>
      <c r="J1221" s="12">
        <v>19</v>
      </c>
      <c r="K1221" s="12">
        <v>0</v>
      </c>
      <c r="L1221" s="12">
        <v>0</v>
      </c>
      <c r="M1221" s="12">
        <v>0</v>
      </c>
      <c r="N1221" s="12">
        <v>0</v>
      </c>
      <c r="O1221" s="12" t="str">
        <f t="shared" si="19"/>
        <v>10 - 19</v>
      </c>
    </row>
    <row r="1222" spans="1:15" x14ac:dyDescent="0.35">
      <c r="A1222" s="11">
        <v>4813</v>
      </c>
      <c r="B1222" s="11" t="s">
        <v>12</v>
      </c>
      <c r="C1222" s="11">
        <v>26</v>
      </c>
      <c r="D1222" s="11" t="s">
        <v>29</v>
      </c>
      <c r="E1222" s="11" t="s">
        <v>14</v>
      </c>
      <c r="F1222" s="11">
        <v>70</v>
      </c>
      <c r="G1222" s="11">
        <v>7</v>
      </c>
      <c r="H1222" s="11">
        <v>0.5</v>
      </c>
      <c r="I1222" s="11" t="s">
        <v>15</v>
      </c>
      <c r="J1222" s="11">
        <v>30</v>
      </c>
      <c r="K1222" s="11">
        <v>0</v>
      </c>
      <c r="L1222" s="11">
        <v>0</v>
      </c>
      <c r="M1222" s="11">
        <v>0</v>
      </c>
      <c r="N1222" s="11">
        <v>0</v>
      </c>
      <c r="O1222" s="12" t="str">
        <f t="shared" si="19"/>
        <v>30 - 39</v>
      </c>
    </row>
    <row r="1223" spans="1:15" x14ac:dyDescent="0.35">
      <c r="A1223" s="12">
        <v>4814</v>
      </c>
      <c r="B1223" s="12" t="s">
        <v>20</v>
      </c>
      <c r="C1223" s="12">
        <v>45</v>
      </c>
      <c r="D1223" s="12" t="s">
        <v>21</v>
      </c>
      <c r="E1223" s="12" t="s">
        <v>14</v>
      </c>
      <c r="F1223" s="12">
        <v>247</v>
      </c>
      <c r="G1223" s="12">
        <v>79</v>
      </c>
      <c r="H1223" s="12">
        <v>0.06</v>
      </c>
      <c r="I1223" s="12" t="s">
        <v>19</v>
      </c>
      <c r="J1223" s="12">
        <v>13</v>
      </c>
      <c r="K1223" s="12">
        <v>0</v>
      </c>
      <c r="L1223" s="12">
        <v>0</v>
      </c>
      <c r="M1223" s="12">
        <v>0</v>
      </c>
      <c r="N1223" s="12">
        <v>0</v>
      </c>
      <c r="O1223" s="12" t="str">
        <f t="shared" si="19"/>
        <v>10 - 19</v>
      </c>
    </row>
    <row r="1224" spans="1:15" x14ac:dyDescent="0.35">
      <c r="A1224" s="11">
        <v>4815</v>
      </c>
      <c r="B1224" s="11" t="s">
        <v>12</v>
      </c>
      <c r="C1224" s="11">
        <v>58</v>
      </c>
      <c r="D1224" s="11" t="s">
        <v>13</v>
      </c>
      <c r="E1224" s="11" t="s">
        <v>14</v>
      </c>
      <c r="F1224" s="11">
        <v>290</v>
      </c>
      <c r="G1224" s="11">
        <v>49</v>
      </c>
      <c r="H1224" s="11">
        <v>0.14000000000000001</v>
      </c>
      <c r="I1224" s="11" t="s">
        <v>23</v>
      </c>
      <c r="J1224" s="11">
        <v>44</v>
      </c>
      <c r="K1224" s="11">
        <v>0</v>
      </c>
      <c r="L1224" s="11">
        <v>1</v>
      </c>
      <c r="M1224" s="11">
        <v>0</v>
      </c>
      <c r="N1224" s="11">
        <v>0</v>
      </c>
      <c r="O1224" s="12" t="str">
        <f t="shared" si="19"/>
        <v>40 - 49</v>
      </c>
    </row>
    <row r="1225" spans="1:15" x14ac:dyDescent="0.35">
      <c r="A1225" s="12">
        <v>4820</v>
      </c>
      <c r="B1225" s="12" t="s">
        <v>16</v>
      </c>
      <c r="C1225" s="12">
        <v>29</v>
      </c>
      <c r="D1225" s="12" t="s">
        <v>13</v>
      </c>
      <c r="E1225" s="12" t="s">
        <v>14</v>
      </c>
      <c r="F1225" s="12">
        <v>262</v>
      </c>
      <c r="G1225" s="12">
        <v>28</v>
      </c>
      <c r="H1225" s="12">
        <v>0.4</v>
      </c>
      <c r="I1225" s="12" t="s">
        <v>15</v>
      </c>
      <c r="J1225" s="12">
        <v>9</v>
      </c>
      <c r="K1225" s="12">
        <v>0</v>
      </c>
      <c r="L1225" s="12">
        <v>0</v>
      </c>
      <c r="M1225" s="12">
        <v>0</v>
      </c>
      <c r="N1225" s="12">
        <v>0</v>
      </c>
      <c r="O1225" s="12" t="str">
        <f t="shared" si="19"/>
        <v>0 - 9</v>
      </c>
    </row>
    <row r="1226" spans="1:15" x14ac:dyDescent="0.35">
      <c r="A1226" s="11">
        <v>4824</v>
      </c>
      <c r="B1226" s="11" t="s">
        <v>16</v>
      </c>
      <c r="C1226" s="11">
        <v>21</v>
      </c>
      <c r="D1226" s="11" t="s">
        <v>13</v>
      </c>
      <c r="E1226" s="11" t="s">
        <v>14</v>
      </c>
      <c r="F1226" s="11">
        <v>281</v>
      </c>
      <c r="G1226" s="11">
        <v>84</v>
      </c>
      <c r="H1226" s="11">
        <v>0.34</v>
      </c>
      <c r="I1226" s="11" t="s">
        <v>23</v>
      </c>
      <c r="J1226" s="11">
        <v>5</v>
      </c>
      <c r="K1226" s="11">
        <v>0</v>
      </c>
      <c r="L1226" s="11">
        <v>0</v>
      </c>
      <c r="M1226" s="11">
        <v>0</v>
      </c>
      <c r="N1226" s="11">
        <v>0</v>
      </c>
      <c r="O1226" s="12" t="str">
        <f t="shared" si="19"/>
        <v>0 - 9</v>
      </c>
    </row>
    <row r="1227" spans="1:15" x14ac:dyDescent="0.35">
      <c r="A1227" s="12">
        <v>4830</v>
      </c>
      <c r="B1227" s="12" t="s">
        <v>20</v>
      </c>
      <c r="C1227" s="12">
        <v>50</v>
      </c>
      <c r="D1227" s="12" t="s">
        <v>27</v>
      </c>
      <c r="E1227" s="12" t="s">
        <v>14</v>
      </c>
      <c r="F1227" s="12">
        <v>53</v>
      </c>
      <c r="G1227" s="12">
        <v>5</v>
      </c>
      <c r="H1227" s="12">
        <v>0.36</v>
      </c>
      <c r="I1227" s="12" t="s">
        <v>23</v>
      </c>
      <c r="J1227" s="12">
        <v>11</v>
      </c>
      <c r="K1227" s="12">
        <v>0</v>
      </c>
      <c r="L1227" s="12">
        <v>1</v>
      </c>
      <c r="M1227" s="12">
        <v>0</v>
      </c>
      <c r="N1227" s="12">
        <v>0</v>
      </c>
      <c r="O1227" s="12" t="str">
        <f t="shared" si="19"/>
        <v>10 - 19</v>
      </c>
    </row>
    <row r="1228" spans="1:15" x14ac:dyDescent="0.35">
      <c r="A1228" s="11">
        <v>4831</v>
      </c>
      <c r="B1228" s="11" t="s">
        <v>20</v>
      </c>
      <c r="C1228" s="11">
        <v>21</v>
      </c>
      <c r="D1228" s="11" t="s">
        <v>25</v>
      </c>
      <c r="E1228" s="11" t="s">
        <v>14</v>
      </c>
      <c r="F1228" s="11">
        <v>113</v>
      </c>
      <c r="G1228" s="11">
        <v>70</v>
      </c>
      <c r="H1228" s="11">
        <v>7.0000000000000007E-2</v>
      </c>
      <c r="I1228" s="11" t="s">
        <v>19</v>
      </c>
      <c r="J1228" s="11">
        <v>9</v>
      </c>
      <c r="K1228" s="11">
        <v>0</v>
      </c>
      <c r="L1228" s="11">
        <v>0</v>
      </c>
      <c r="M1228" s="11">
        <v>0</v>
      </c>
      <c r="N1228" s="11">
        <v>0</v>
      </c>
      <c r="O1228" s="12" t="str">
        <f t="shared" si="19"/>
        <v>0 - 9</v>
      </c>
    </row>
    <row r="1229" spans="1:15" x14ac:dyDescent="0.35">
      <c r="A1229" s="12">
        <v>4841</v>
      </c>
      <c r="B1229" s="12" t="s">
        <v>20</v>
      </c>
      <c r="C1229" s="12">
        <v>33</v>
      </c>
      <c r="D1229" s="12" t="s">
        <v>13</v>
      </c>
      <c r="E1229" s="12" t="s">
        <v>14</v>
      </c>
      <c r="F1229" s="12">
        <v>253</v>
      </c>
      <c r="G1229" s="12">
        <v>67</v>
      </c>
      <c r="H1229" s="12">
        <v>0.54</v>
      </c>
      <c r="I1229" s="12" t="s">
        <v>23</v>
      </c>
      <c r="J1229" s="12">
        <v>34</v>
      </c>
      <c r="K1229" s="12">
        <v>0</v>
      </c>
      <c r="L1229" s="12">
        <v>0</v>
      </c>
      <c r="M1229" s="12">
        <v>0</v>
      </c>
      <c r="N1229" s="12">
        <v>0</v>
      </c>
      <c r="O1229" s="12" t="str">
        <f t="shared" si="19"/>
        <v>30 - 39</v>
      </c>
    </row>
    <row r="1230" spans="1:15" x14ac:dyDescent="0.35">
      <c r="A1230" s="11">
        <v>4845</v>
      </c>
      <c r="B1230" s="11" t="s">
        <v>20</v>
      </c>
      <c r="C1230" s="11">
        <v>24</v>
      </c>
      <c r="D1230" s="11" t="s">
        <v>21</v>
      </c>
      <c r="E1230" s="11" t="s">
        <v>14</v>
      </c>
      <c r="F1230" s="11">
        <v>239</v>
      </c>
      <c r="G1230" s="11">
        <v>37</v>
      </c>
      <c r="H1230" s="11">
        <v>0.27</v>
      </c>
      <c r="I1230" s="11" t="s">
        <v>15</v>
      </c>
      <c r="J1230" s="11">
        <v>36</v>
      </c>
      <c r="K1230" s="11">
        <v>0</v>
      </c>
      <c r="L1230" s="11">
        <v>1</v>
      </c>
      <c r="M1230" s="11">
        <v>0</v>
      </c>
      <c r="N1230" s="11">
        <v>0</v>
      </c>
      <c r="O1230" s="12" t="str">
        <f t="shared" si="19"/>
        <v>30 - 39</v>
      </c>
    </row>
    <row r="1231" spans="1:15" x14ac:dyDescent="0.35">
      <c r="A1231" s="12">
        <v>4847</v>
      </c>
      <c r="B1231" s="12" t="s">
        <v>16</v>
      </c>
      <c r="C1231" s="12">
        <v>26</v>
      </c>
      <c r="D1231" s="12" t="s">
        <v>21</v>
      </c>
      <c r="E1231" s="12" t="s">
        <v>14</v>
      </c>
      <c r="F1231" s="12">
        <v>229</v>
      </c>
      <c r="G1231" s="12">
        <v>61</v>
      </c>
      <c r="H1231" s="12">
        <v>0.28999999999999998</v>
      </c>
      <c r="I1231" s="12" t="s">
        <v>15</v>
      </c>
      <c r="J1231" s="12">
        <v>15</v>
      </c>
      <c r="K1231" s="12">
        <v>0</v>
      </c>
      <c r="L1231" s="12">
        <v>0</v>
      </c>
      <c r="M1231" s="12">
        <v>0</v>
      </c>
      <c r="N1231" s="12">
        <v>0</v>
      </c>
      <c r="O1231" s="12" t="str">
        <f t="shared" si="19"/>
        <v>10 - 19</v>
      </c>
    </row>
    <row r="1232" spans="1:15" x14ac:dyDescent="0.35">
      <c r="A1232" s="11">
        <v>4854</v>
      </c>
      <c r="B1232" s="11" t="s">
        <v>16</v>
      </c>
      <c r="C1232" s="11">
        <v>23</v>
      </c>
      <c r="D1232" s="11" t="s">
        <v>27</v>
      </c>
      <c r="E1232" s="11" t="s">
        <v>14</v>
      </c>
      <c r="F1232" s="11">
        <v>256</v>
      </c>
      <c r="G1232" s="11">
        <v>3</v>
      </c>
      <c r="H1232" s="11">
        <v>0.38</v>
      </c>
      <c r="I1232" s="11" t="s">
        <v>23</v>
      </c>
      <c r="J1232" s="11">
        <v>11</v>
      </c>
      <c r="K1232" s="11">
        <v>0</v>
      </c>
      <c r="L1232" s="11">
        <v>0</v>
      </c>
      <c r="M1232" s="11">
        <v>0</v>
      </c>
      <c r="N1232" s="11">
        <v>0</v>
      </c>
      <c r="O1232" s="12" t="str">
        <f t="shared" si="19"/>
        <v>10 - 19</v>
      </c>
    </row>
    <row r="1233" spans="1:15" x14ac:dyDescent="0.35">
      <c r="A1233" s="12">
        <v>4860</v>
      </c>
      <c r="B1233" s="12" t="s">
        <v>20</v>
      </c>
      <c r="C1233" s="12">
        <v>47</v>
      </c>
      <c r="D1233" s="12" t="s">
        <v>26</v>
      </c>
      <c r="E1233" s="12" t="s">
        <v>14</v>
      </c>
      <c r="F1233" s="12">
        <v>75</v>
      </c>
      <c r="G1233" s="12">
        <v>72</v>
      </c>
      <c r="H1233" s="12">
        <v>0</v>
      </c>
      <c r="I1233" s="12" t="s">
        <v>15</v>
      </c>
      <c r="J1233" s="12">
        <v>38</v>
      </c>
      <c r="K1233" s="12">
        <v>0</v>
      </c>
      <c r="L1233" s="12">
        <v>0</v>
      </c>
      <c r="M1233" s="12">
        <v>0</v>
      </c>
      <c r="N1233" s="12">
        <v>0</v>
      </c>
      <c r="O1233" s="12" t="str">
        <f t="shared" si="19"/>
        <v>30 - 39</v>
      </c>
    </row>
    <row r="1234" spans="1:15" x14ac:dyDescent="0.35">
      <c r="A1234" s="11">
        <v>4864</v>
      </c>
      <c r="B1234" s="11" t="s">
        <v>20</v>
      </c>
      <c r="C1234" s="11">
        <v>24</v>
      </c>
      <c r="D1234" s="11" t="s">
        <v>25</v>
      </c>
      <c r="E1234" s="11" t="s">
        <v>14</v>
      </c>
      <c r="F1234" s="11">
        <v>114</v>
      </c>
      <c r="G1234" s="11">
        <v>88</v>
      </c>
      <c r="H1234" s="11">
        <v>0.35</v>
      </c>
      <c r="I1234" s="11" t="s">
        <v>23</v>
      </c>
      <c r="J1234" s="11">
        <v>33</v>
      </c>
      <c r="K1234" s="11">
        <v>0</v>
      </c>
      <c r="L1234" s="11">
        <v>0</v>
      </c>
      <c r="M1234" s="11">
        <v>0</v>
      </c>
      <c r="N1234" s="11">
        <v>0</v>
      </c>
      <c r="O1234" s="12" t="str">
        <f t="shared" si="19"/>
        <v>30 - 39</v>
      </c>
    </row>
    <row r="1235" spans="1:15" x14ac:dyDescent="0.35">
      <c r="A1235" s="12">
        <v>4868</v>
      </c>
      <c r="B1235" s="12" t="s">
        <v>20</v>
      </c>
      <c r="C1235" s="12">
        <v>21</v>
      </c>
      <c r="D1235" s="12" t="s">
        <v>26</v>
      </c>
      <c r="E1235" s="12" t="s">
        <v>14</v>
      </c>
      <c r="F1235" s="12">
        <v>41</v>
      </c>
      <c r="G1235" s="12">
        <v>32</v>
      </c>
      <c r="H1235" s="12">
        <v>0.46</v>
      </c>
      <c r="I1235" s="12" t="s">
        <v>15</v>
      </c>
      <c r="J1235" s="12">
        <v>44</v>
      </c>
      <c r="K1235" s="12">
        <v>0</v>
      </c>
      <c r="L1235" s="12">
        <v>0</v>
      </c>
      <c r="M1235" s="12">
        <v>0</v>
      </c>
      <c r="N1235" s="12">
        <v>0</v>
      </c>
      <c r="O1235" s="12" t="str">
        <f t="shared" si="19"/>
        <v>40 - 49</v>
      </c>
    </row>
    <row r="1236" spans="1:15" x14ac:dyDescent="0.35">
      <c r="A1236" s="11">
        <v>4872</v>
      </c>
      <c r="B1236" s="11" t="s">
        <v>16</v>
      </c>
      <c r="C1236" s="11">
        <v>52</v>
      </c>
      <c r="D1236" s="11" t="s">
        <v>29</v>
      </c>
      <c r="E1236" s="11" t="s">
        <v>14</v>
      </c>
      <c r="F1236" s="11">
        <v>149</v>
      </c>
      <c r="G1236" s="11">
        <v>6</v>
      </c>
      <c r="H1236" s="11">
        <v>0.39</v>
      </c>
      <c r="I1236" s="11" t="s">
        <v>19</v>
      </c>
      <c r="J1236" s="11">
        <v>47</v>
      </c>
      <c r="K1236" s="11">
        <v>0</v>
      </c>
      <c r="L1236" s="11">
        <v>0</v>
      </c>
      <c r="M1236" s="11">
        <v>0</v>
      </c>
      <c r="N1236" s="11">
        <v>0</v>
      </c>
      <c r="O1236" s="12" t="str">
        <f t="shared" si="19"/>
        <v>40 - 49</v>
      </c>
    </row>
    <row r="1237" spans="1:15" x14ac:dyDescent="0.35">
      <c r="A1237" s="12">
        <v>4877</v>
      </c>
      <c r="B1237" s="12" t="s">
        <v>12</v>
      </c>
      <c r="C1237" s="12">
        <v>29</v>
      </c>
      <c r="D1237" s="12" t="s">
        <v>25</v>
      </c>
      <c r="E1237" s="12" t="s">
        <v>14</v>
      </c>
      <c r="F1237" s="12">
        <v>49</v>
      </c>
      <c r="G1237" s="12">
        <v>30</v>
      </c>
      <c r="H1237" s="12">
        <v>0.34</v>
      </c>
      <c r="I1237" s="12" t="s">
        <v>15</v>
      </c>
      <c r="J1237" s="12">
        <v>10</v>
      </c>
      <c r="K1237" s="12">
        <v>0</v>
      </c>
      <c r="L1237" s="12">
        <v>0</v>
      </c>
      <c r="M1237" s="12">
        <v>0</v>
      </c>
      <c r="N1237" s="12">
        <v>0</v>
      </c>
      <c r="O1237" s="12" t="str">
        <f t="shared" si="19"/>
        <v>10 - 19</v>
      </c>
    </row>
    <row r="1238" spans="1:15" x14ac:dyDescent="0.35">
      <c r="A1238" s="11">
        <v>4887</v>
      </c>
      <c r="B1238" s="11" t="s">
        <v>20</v>
      </c>
      <c r="C1238" s="11">
        <v>22</v>
      </c>
      <c r="D1238" s="11" t="s">
        <v>17</v>
      </c>
      <c r="E1238" s="11" t="s">
        <v>14</v>
      </c>
      <c r="F1238" s="11">
        <v>170</v>
      </c>
      <c r="G1238" s="11">
        <v>10</v>
      </c>
      <c r="H1238" s="11">
        <v>0.19</v>
      </c>
      <c r="I1238" s="11" t="s">
        <v>19</v>
      </c>
      <c r="J1238" s="11">
        <v>16</v>
      </c>
      <c r="K1238" s="11">
        <v>0</v>
      </c>
      <c r="L1238" s="11">
        <v>0</v>
      </c>
      <c r="M1238" s="11">
        <v>0</v>
      </c>
      <c r="N1238" s="11">
        <v>0</v>
      </c>
      <c r="O1238" s="12" t="str">
        <f t="shared" si="19"/>
        <v>10 - 19</v>
      </c>
    </row>
    <row r="1239" spans="1:15" x14ac:dyDescent="0.35">
      <c r="A1239" s="12">
        <v>4898</v>
      </c>
      <c r="B1239" s="12" t="s">
        <v>20</v>
      </c>
      <c r="C1239" s="12">
        <v>29</v>
      </c>
      <c r="D1239" s="12" t="s">
        <v>29</v>
      </c>
      <c r="E1239" s="12" t="s">
        <v>14</v>
      </c>
      <c r="F1239" s="12">
        <v>81</v>
      </c>
      <c r="G1239" s="12">
        <v>90</v>
      </c>
      <c r="H1239" s="12">
        <v>0.28999999999999998</v>
      </c>
      <c r="I1239" s="12" t="s">
        <v>15</v>
      </c>
      <c r="J1239" s="12">
        <v>8</v>
      </c>
      <c r="K1239" s="12">
        <v>0</v>
      </c>
      <c r="L1239" s="12">
        <v>0</v>
      </c>
      <c r="M1239" s="12">
        <v>0</v>
      </c>
      <c r="N1239" s="12">
        <v>0</v>
      </c>
      <c r="O1239" s="12" t="str">
        <f t="shared" si="19"/>
        <v>0 - 9</v>
      </c>
    </row>
    <row r="1240" spans="1:15" x14ac:dyDescent="0.35">
      <c r="A1240" s="11">
        <v>4899</v>
      </c>
      <c r="B1240" s="11" t="s">
        <v>12</v>
      </c>
      <c r="C1240" s="11">
        <v>32</v>
      </c>
      <c r="D1240" s="11" t="s">
        <v>17</v>
      </c>
      <c r="E1240" s="11" t="s">
        <v>14</v>
      </c>
      <c r="F1240" s="11">
        <v>223</v>
      </c>
      <c r="G1240" s="11">
        <v>31</v>
      </c>
      <c r="H1240" s="11">
        <v>0.01</v>
      </c>
      <c r="I1240" s="11" t="s">
        <v>15</v>
      </c>
      <c r="J1240" s="11">
        <v>40</v>
      </c>
      <c r="K1240" s="11">
        <v>0</v>
      </c>
      <c r="L1240" s="11">
        <v>0</v>
      </c>
      <c r="M1240" s="11">
        <v>0</v>
      </c>
      <c r="N1240" s="11">
        <v>0</v>
      </c>
      <c r="O1240" s="12" t="str">
        <f t="shared" si="19"/>
        <v>40 - 49</v>
      </c>
    </row>
    <row r="1241" spans="1:15" x14ac:dyDescent="0.35">
      <c r="A1241" s="12">
        <v>4906</v>
      </c>
      <c r="B1241" s="12" t="s">
        <v>12</v>
      </c>
      <c r="C1241" s="12">
        <v>50</v>
      </c>
      <c r="D1241" s="12" t="s">
        <v>28</v>
      </c>
      <c r="E1241" s="12" t="s">
        <v>14</v>
      </c>
      <c r="F1241" s="12">
        <v>239</v>
      </c>
      <c r="G1241" s="12">
        <v>76</v>
      </c>
      <c r="H1241" s="12">
        <v>0.3</v>
      </c>
      <c r="I1241" s="12" t="s">
        <v>19</v>
      </c>
      <c r="J1241" s="12">
        <v>11</v>
      </c>
      <c r="K1241" s="12">
        <v>0</v>
      </c>
      <c r="L1241" s="12">
        <v>0</v>
      </c>
      <c r="M1241" s="12">
        <v>0</v>
      </c>
      <c r="N1241" s="12">
        <v>0</v>
      </c>
      <c r="O1241" s="12" t="str">
        <f t="shared" si="19"/>
        <v>10 - 19</v>
      </c>
    </row>
    <row r="1242" spans="1:15" x14ac:dyDescent="0.35">
      <c r="A1242" s="11">
        <v>4907</v>
      </c>
      <c r="B1242" s="11" t="s">
        <v>20</v>
      </c>
      <c r="C1242" s="11">
        <v>51</v>
      </c>
      <c r="D1242" s="11" t="s">
        <v>21</v>
      </c>
      <c r="E1242" s="11" t="s">
        <v>14</v>
      </c>
      <c r="F1242" s="11">
        <v>37</v>
      </c>
      <c r="G1242" s="11">
        <v>87</v>
      </c>
      <c r="H1242" s="11">
        <v>0.44</v>
      </c>
      <c r="I1242" s="11" t="s">
        <v>19</v>
      </c>
      <c r="J1242" s="11">
        <v>48</v>
      </c>
      <c r="K1242" s="11">
        <v>0</v>
      </c>
      <c r="L1242" s="11">
        <v>0</v>
      </c>
      <c r="M1242" s="11">
        <v>0</v>
      </c>
      <c r="N1242" s="11">
        <v>0</v>
      </c>
      <c r="O1242" s="12" t="str">
        <f t="shared" si="19"/>
        <v>40 - 49</v>
      </c>
    </row>
    <row r="1243" spans="1:15" x14ac:dyDescent="0.35">
      <c r="A1243" s="12">
        <v>4913</v>
      </c>
      <c r="B1243" s="12" t="s">
        <v>16</v>
      </c>
      <c r="C1243" s="12">
        <v>57</v>
      </c>
      <c r="D1243" s="12" t="s">
        <v>28</v>
      </c>
      <c r="E1243" s="12" t="s">
        <v>14</v>
      </c>
      <c r="F1243" s="12">
        <v>186</v>
      </c>
      <c r="G1243" s="12">
        <v>30</v>
      </c>
      <c r="H1243" s="12">
        <v>0.03</v>
      </c>
      <c r="I1243" s="12" t="s">
        <v>19</v>
      </c>
      <c r="J1243" s="12">
        <v>49</v>
      </c>
      <c r="K1243" s="12">
        <v>0</v>
      </c>
      <c r="L1243" s="12">
        <v>1</v>
      </c>
      <c r="M1243" s="12">
        <v>0</v>
      </c>
      <c r="N1243" s="12">
        <v>0</v>
      </c>
      <c r="O1243" s="12" t="str">
        <f t="shared" si="19"/>
        <v>40 - 49</v>
      </c>
    </row>
    <row r="1244" spans="1:15" x14ac:dyDescent="0.35">
      <c r="A1244" s="11">
        <v>4916</v>
      </c>
      <c r="B1244" s="11" t="s">
        <v>16</v>
      </c>
      <c r="C1244" s="11">
        <v>41</v>
      </c>
      <c r="D1244" s="11" t="s">
        <v>13</v>
      </c>
      <c r="E1244" s="11" t="s">
        <v>14</v>
      </c>
      <c r="F1244" s="11">
        <v>246</v>
      </c>
      <c r="G1244" s="11">
        <v>25</v>
      </c>
      <c r="H1244" s="11">
        <v>0.28999999999999998</v>
      </c>
      <c r="I1244" s="11" t="s">
        <v>23</v>
      </c>
      <c r="J1244" s="11">
        <v>21</v>
      </c>
      <c r="K1244" s="11">
        <v>0</v>
      </c>
      <c r="L1244" s="11">
        <v>0</v>
      </c>
      <c r="M1244" s="11">
        <v>0</v>
      </c>
      <c r="N1244" s="11">
        <v>0</v>
      </c>
      <c r="O1244" s="12" t="str">
        <f t="shared" si="19"/>
        <v>20 - 29</v>
      </c>
    </row>
    <row r="1245" spans="1:15" x14ac:dyDescent="0.35">
      <c r="A1245" s="12">
        <v>4917</v>
      </c>
      <c r="B1245" s="12" t="s">
        <v>20</v>
      </c>
      <c r="C1245" s="12">
        <v>19</v>
      </c>
      <c r="D1245" s="12" t="s">
        <v>27</v>
      </c>
      <c r="E1245" s="12" t="s">
        <v>14</v>
      </c>
      <c r="F1245" s="12">
        <v>67</v>
      </c>
      <c r="G1245" s="12">
        <v>9</v>
      </c>
      <c r="H1245" s="12">
        <v>0.43</v>
      </c>
      <c r="I1245" s="12" t="s">
        <v>23</v>
      </c>
      <c r="J1245" s="12">
        <v>10</v>
      </c>
      <c r="K1245" s="12">
        <v>0</v>
      </c>
      <c r="L1245" s="12">
        <v>1</v>
      </c>
      <c r="M1245" s="12">
        <v>0</v>
      </c>
      <c r="N1245" s="12">
        <v>0</v>
      </c>
      <c r="O1245" s="12" t="str">
        <f t="shared" si="19"/>
        <v>10 - 19</v>
      </c>
    </row>
    <row r="1246" spans="1:15" x14ac:dyDescent="0.35">
      <c r="A1246" s="11">
        <v>4919</v>
      </c>
      <c r="B1246" s="11" t="s">
        <v>20</v>
      </c>
      <c r="C1246" s="11">
        <v>21</v>
      </c>
      <c r="D1246" s="11" t="s">
        <v>26</v>
      </c>
      <c r="E1246" s="11" t="s">
        <v>14</v>
      </c>
      <c r="F1246" s="11">
        <v>235</v>
      </c>
      <c r="G1246" s="11">
        <v>9</v>
      </c>
      <c r="H1246" s="11">
        <v>0.3</v>
      </c>
      <c r="I1246" s="11" t="s">
        <v>15</v>
      </c>
      <c r="J1246" s="11">
        <v>15</v>
      </c>
      <c r="K1246" s="11">
        <v>0</v>
      </c>
      <c r="L1246" s="11">
        <v>1</v>
      </c>
      <c r="M1246" s="11">
        <v>0</v>
      </c>
      <c r="N1246" s="11">
        <v>0</v>
      </c>
      <c r="O1246" s="12" t="str">
        <f t="shared" si="19"/>
        <v>10 - 19</v>
      </c>
    </row>
    <row r="1247" spans="1:15" x14ac:dyDescent="0.35">
      <c r="A1247" s="12">
        <v>4922</v>
      </c>
      <c r="B1247" s="12" t="s">
        <v>12</v>
      </c>
      <c r="C1247" s="12">
        <v>20</v>
      </c>
      <c r="D1247" s="12" t="s">
        <v>29</v>
      </c>
      <c r="E1247" s="12" t="s">
        <v>14</v>
      </c>
      <c r="F1247" s="12">
        <v>95</v>
      </c>
      <c r="G1247" s="12">
        <v>67</v>
      </c>
      <c r="H1247" s="12">
        <v>0.25</v>
      </c>
      <c r="I1247" s="12" t="s">
        <v>23</v>
      </c>
      <c r="J1247" s="12">
        <v>17</v>
      </c>
      <c r="K1247" s="12">
        <v>0</v>
      </c>
      <c r="L1247" s="12">
        <v>0</v>
      </c>
      <c r="M1247" s="12">
        <v>0</v>
      </c>
      <c r="N1247" s="12">
        <v>0</v>
      </c>
      <c r="O1247" s="12" t="str">
        <f t="shared" si="19"/>
        <v>10 - 19</v>
      </c>
    </row>
    <row r="1248" spans="1:15" x14ac:dyDescent="0.35">
      <c r="A1248" s="11">
        <v>4926</v>
      </c>
      <c r="B1248" s="11" t="s">
        <v>20</v>
      </c>
      <c r="C1248" s="11">
        <v>40</v>
      </c>
      <c r="D1248" s="11" t="s">
        <v>25</v>
      </c>
      <c r="E1248" s="11" t="s">
        <v>14</v>
      </c>
      <c r="F1248" s="11">
        <v>30</v>
      </c>
      <c r="G1248" s="11">
        <v>4</v>
      </c>
      <c r="H1248" s="11">
        <v>0.16</v>
      </c>
      <c r="I1248" s="11" t="s">
        <v>15</v>
      </c>
      <c r="J1248" s="11">
        <v>16</v>
      </c>
      <c r="K1248" s="11">
        <v>0</v>
      </c>
      <c r="L1248" s="11">
        <v>0</v>
      </c>
      <c r="M1248" s="11">
        <v>0</v>
      </c>
      <c r="N1248" s="11">
        <v>0</v>
      </c>
      <c r="O1248" s="12" t="str">
        <f t="shared" si="19"/>
        <v>10 - 19</v>
      </c>
    </row>
    <row r="1249" spans="1:15" x14ac:dyDescent="0.35">
      <c r="A1249" s="12">
        <v>4933</v>
      </c>
      <c r="B1249" s="12" t="s">
        <v>12</v>
      </c>
      <c r="C1249" s="12">
        <v>47</v>
      </c>
      <c r="D1249" s="12" t="s">
        <v>25</v>
      </c>
      <c r="E1249" s="12" t="s">
        <v>14</v>
      </c>
      <c r="F1249" s="12">
        <v>139</v>
      </c>
      <c r="G1249" s="12">
        <v>31</v>
      </c>
      <c r="H1249" s="12">
        <v>0.05</v>
      </c>
      <c r="I1249" s="12" t="s">
        <v>23</v>
      </c>
      <c r="J1249" s="12">
        <v>44</v>
      </c>
      <c r="K1249" s="12">
        <v>0</v>
      </c>
      <c r="L1249" s="12">
        <v>1</v>
      </c>
      <c r="M1249" s="12">
        <v>0</v>
      </c>
      <c r="N1249" s="12">
        <v>0</v>
      </c>
      <c r="O1249" s="12" t="str">
        <f t="shared" si="19"/>
        <v>40 - 49</v>
      </c>
    </row>
    <row r="1250" spans="1:15" x14ac:dyDescent="0.35">
      <c r="A1250" s="11">
        <v>4935</v>
      </c>
      <c r="B1250" s="11" t="s">
        <v>16</v>
      </c>
      <c r="C1250" s="11">
        <v>55</v>
      </c>
      <c r="D1250" s="11" t="s">
        <v>28</v>
      </c>
      <c r="E1250" s="11" t="s">
        <v>14</v>
      </c>
      <c r="F1250" s="11">
        <v>41</v>
      </c>
      <c r="G1250" s="11">
        <v>5</v>
      </c>
      <c r="H1250" s="11">
        <v>0.48</v>
      </c>
      <c r="I1250" s="11" t="s">
        <v>15</v>
      </c>
      <c r="J1250" s="11">
        <v>25</v>
      </c>
      <c r="K1250" s="11">
        <v>0</v>
      </c>
      <c r="L1250" s="11">
        <v>0</v>
      </c>
      <c r="M1250" s="11">
        <v>0</v>
      </c>
      <c r="N1250" s="11">
        <v>0</v>
      </c>
      <c r="O1250" s="12" t="str">
        <f t="shared" si="19"/>
        <v>20 - 29</v>
      </c>
    </row>
    <row r="1251" spans="1:15" x14ac:dyDescent="0.35">
      <c r="A1251" s="12">
        <v>4937</v>
      </c>
      <c r="B1251" s="12" t="s">
        <v>12</v>
      </c>
      <c r="C1251" s="12">
        <v>35</v>
      </c>
      <c r="D1251" s="12" t="s">
        <v>25</v>
      </c>
      <c r="E1251" s="12" t="s">
        <v>14</v>
      </c>
      <c r="F1251" s="12">
        <v>47</v>
      </c>
      <c r="G1251" s="12">
        <v>94</v>
      </c>
      <c r="H1251" s="12">
        <v>0</v>
      </c>
      <c r="I1251" s="12" t="s">
        <v>19</v>
      </c>
      <c r="J1251" s="12">
        <v>27</v>
      </c>
      <c r="K1251" s="12">
        <v>0</v>
      </c>
      <c r="L1251" s="12">
        <v>0</v>
      </c>
      <c r="M1251" s="12">
        <v>0</v>
      </c>
      <c r="N1251" s="12">
        <v>0</v>
      </c>
      <c r="O1251" s="12" t="str">
        <f t="shared" si="19"/>
        <v>20 - 29</v>
      </c>
    </row>
    <row r="1252" spans="1:15" x14ac:dyDescent="0.35">
      <c r="A1252" s="11">
        <v>4938</v>
      </c>
      <c r="B1252" s="11" t="s">
        <v>20</v>
      </c>
      <c r="C1252" s="11">
        <v>53</v>
      </c>
      <c r="D1252" s="11" t="s">
        <v>17</v>
      </c>
      <c r="E1252" s="11" t="s">
        <v>14</v>
      </c>
      <c r="F1252" s="11">
        <v>39</v>
      </c>
      <c r="G1252" s="11">
        <v>37</v>
      </c>
      <c r="H1252" s="11">
        <v>0.17</v>
      </c>
      <c r="I1252" s="11" t="s">
        <v>19</v>
      </c>
      <c r="J1252" s="11">
        <v>29</v>
      </c>
      <c r="K1252" s="11">
        <v>0</v>
      </c>
      <c r="L1252" s="11">
        <v>1</v>
      </c>
      <c r="M1252" s="11">
        <v>0</v>
      </c>
      <c r="N1252" s="11">
        <v>0</v>
      </c>
      <c r="O1252" s="12" t="str">
        <f t="shared" si="19"/>
        <v>20 - 29</v>
      </c>
    </row>
    <row r="1253" spans="1:15" x14ac:dyDescent="0.35">
      <c r="A1253" s="12">
        <v>4939</v>
      </c>
      <c r="B1253" s="12" t="s">
        <v>16</v>
      </c>
      <c r="C1253" s="12">
        <v>32</v>
      </c>
      <c r="D1253" s="12" t="s">
        <v>17</v>
      </c>
      <c r="E1253" s="12" t="s">
        <v>14</v>
      </c>
      <c r="F1253" s="12">
        <v>172</v>
      </c>
      <c r="G1253" s="12">
        <v>50</v>
      </c>
      <c r="H1253" s="12">
        <v>0.57999999999999996</v>
      </c>
      <c r="I1253" s="12" t="s">
        <v>23</v>
      </c>
      <c r="J1253" s="12">
        <v>10</v>
      </c>
      <c r="K1253" s="12">
        <v>0</v>
      </c>
      <c r="L1253" s="12">
        <v>0</v>
      </c>
      <c r="M1253" s="12">
        <v>0</v>
      </c>
      <c r="N1253" s="12">
        <v>0</v>
      </c>
      <c r="O1253" s="12" t="str">
        <f t="shared" si="19"/>
        <v>10 - 19</v>
      </c>
    </row>
    <row r="1254" spans="1:15" x14ac:dyDescent="0.35">
      <c r="A1254" s="11">
        <v>4948</v>
      </c>
      <c r="B1254" s="11" t="s">
        <v>16</v>
      </c>
      <c r="C1254" s="11">
        <v>31</v>
      </c>
      <c r="D1254" s="11" t="s">
        <v>25</v>
      </c>
      <c r="E1254" s="11" t="s">
        <v>14</v>
      </c>
      <c r="F1254" s="11">
        <v>145</v>
      </c>
      <c r="G1254" s="11">
        <v>62</v>
      </c>
      <c r="H1254" s="11">
        <v>0.04</v>
      </c>
      <c r="I1254" s="11" t="s">
        <v>15</v>
      </c>
      <c r="J1254" s="11">
        <v>30</v>
      </c>
      <c r="K1254" s="11">
        <v>0</v>
      </c>
      <c r="L1254" s="11">
        <v>1</v>
      </c>
      <c r="M1254" s="11">
        <v>0</v>
      </c>
      <c r="N1254" s="11">
        <v>0</v>
      </c>
      <c r="O1254" s="12" t="str">
        <f t="shared" si="19"/>
        <v>30 - 39</v>
      </c>
    </row>
    <row r="1255" spans="1:15" x14ac:dyDescent="0.35">
      <c r="A1255" s="12">
        <v>4949</v>
      </c>
      <c r="B1255" s="12" t="s">
        <v>12</v>
      </c>
      <c r="C1255" s="12">
        <v>41</v>
      </c>
      <c r="D1255" s="12" t="s">
        <v>28</v>
      </c>
      <c r="E1255" s="12" t="s">
        <v>14</v>
      </c>
      <c r="F1255" s="12">
        <v>92</v>
      </c>
      <c r="G1255" s="12">
        <v>55</v>
      </c>
      <c r="H1255" s="12">
        <v>0.56000000000000005</v>
      </c>
      <c r="I1255" s="12" t="s">
        <v>23</v>
      </c>
      <c r="J1255" s="12">
        <v>8</v>
      </c>
      <c r="K1255" s="12">
        <v>0</v>
      </c>
      <c r="L1255" s="12">
        <v>1</v>
      </c>
      <c r="M1255" s="12">
        <v>0</v>
      </c>
      <c r="N1255" s="12">
        <v>0</v>
      </c>
      <c r="O1255" s="12" t="str">
        <f t="shared" si="19"/>
        <v>0 - 9</v>
      </c>
    </row>
    <row r="1256" spans="1:15" x14ac:dyDescent="0.35">
      <c r="A1256" s="11">
        <v>4957</v>
      </c>
      <c r="B1256" s="11" t="s">
        <v>16</v>
      </c>
      <c r="C1256" s="11">
        <v>18</v>
      </c>
      <c r="D1256" s="11" t="s">
        <v>21</v>
      </c>
      <c r="E1256" s="11" t="s">
        <v>14</v>
      </c>
      <c r="F1256" s="11">
        <v>194</v>
      </c>
      <c r="G1256" s="11">
        <v>68</v>
      </c>
      <c r="H1256" s="11">
        <v>0.56999999999999995</v>
      </c>
      <c r="I1256" s="11" t="s">
        <v>19</v>
      </c>
      <c r="J1256" s="11">
        <v>38</v>
      </c>
      <c r="K1256" s="11">
        <v>0</v>
      </c>
      <c r="L1256" s="11">
        <v>0</v>
      </c>
      <c r="M1256" s="11">
        <v>0</v>
      </c>
      <c r="N1256" s="11">
        <v>0</v>
      </c>
      <c r="O1256" s="12" t="str">
        <f t="shared" si="19"/>
        <v>30 - 39</v>
      </c>
    </row>
    <row r="1257" spans="1:15" x14ac:dyDescent="0.35">
      <c r="A1257" s="12">
        <v>4961</v>
      </c>
      <c r="B1257" s="12" t="s">
        <v>12</v>
      </c>
      <c r="C1257" s="12">
        <v>54</v>
      </c>
      <c r="D1257" s="12" t="s">
        <v>25</v>
      </c>
      <c r="E1257" s="12" t="s">
        <v>14</v>
      </c>
      <c r="F1257" s="12">
        <v>142</v>
      </c>
      <c r="G1257" s="12">
        <v>46</v>
      </c>
      <c r="H1257" s="12">
        <v>0.35</v>
      </c>
      <c r="I1257" s="12" t="s">
        <v>19</v>
      </c>
      <c r="J1257" s="12">
        <v>28</v>
      </c>
      <c r="K1257" s="12">
        <v>0</v>
      </c>
      <c r="L1257" s="12">
        <v>0</v>
      </c>
      <c r="M1257" s="12">
        <v>0</v>
      </c>
      <c r="N1257" s="12">
        <v>0</v>
      </c>
      <c r="O1257" s="12" t="str">
        <f t="shared" si="19"/>
        <v>20 - 29</v>
      </c>
    </row>
    <row r="1258" spans="1:15" x14ac:dyDescent="0.35">
      <c r="A1258" s="11">
        <v>4971</v>
      </c>
      <c r="B1258" s="11" t="s">
        <v>16</v>
      </c>
      <c r="C1258" s="11">
        <v>23</v>
      </c>
      <c r="D1258" s="11" t="s">
        <v>26</v>
      </c>
      <c r="E1258" s="11" t="s">
        <v>14</v>
      </c>
      <c r="F1258" s="11">
        <v>43</v>
      </c>
      <c r="G1258" s="11">
        <v>75</v>
      </c>
      <c r="H1258" s="11">
        <v>0.57999999999999996</v>
      </c>
      <c r="I1258" s="11" t="s">
        <v>15</v>
      </c>
      <c r="J1258" s="11">
        <v>16</v>
      </c>
      <c r="K1258" s="11">
        <v>0</v>
      </c>
      <c r="L1258" s="11">
        <v>0</v>
      </c>
      <c r="M1258" s="11">
        <v>0</v>
      </c>
      <c r="N1258" s="11">
        <v>0</v>
      </c>
      <c r="O1258" s="12" t="str">
        <f t="shared" si="19"/>
        <v>10 - 19</v>
      </c>
    </row>
    <row r="1259" spans="1:15" x14ac:dyDescent="0.35">
      <c r="A1259" s="12">
        <v>4981</v>
      </c>
      <c r="B1259" s="12" t="s">
        <v>20</v>
      </c>
      <c r="C1259" s="12">
        <v>17</v>
      </c>
      <c r="D1259" s="12" t="s">
        <v>26</v>
      </c>
      <c r="E1259" s="12" t="s">
        <v>14</v>
      </c>
      <c r="F1259" s="12">
        <v>78</v>
      </c>
      <c r="G1259" s="12">
        <v>2</v>
      </c>
      <c r="H1259" s="12">
        <v>0.32</v>
      </c>
      <c r="I1259" s="12" t="s">
        <v>19</v>
      </c>
      <c r="J1259" s="12">
        <v>9</v>
      </c>
      <c r="K1259" s="12">
        <v>0</v>
      </c>
      <c r="L1259" s="12">
        <v>0</v>
      </c>
      <c r="M1259" s="12">
        <v>0</v>
      </c>
      <c r="N1259" s="12">
        <v>0</v>
      </c>
      <c r="O1259" s="12" t="str">
        <f t="shared" si="19"/>
        <v>0 - 9</v>
      </c>
    </row>
    <row r="1260" spans="1:15" x14ac:dyDescent="0.35">
      <c r="A1260" s="11">
        <v>4989</v>
      </c>
      <c r="B1260" s="11" t="s">
        <v>20</v>
      </c>
      <c r="C1260" s="11">
        <v>37</v>
      </c>
      <c r="D1260" s="11" t="s">
        <v>28</v>
      </c>
      <c r="E1260" s="11" t="s">
        <v>14</v>
      </c>
      <c r="F1260" s="11">
        <v>231</v>
      </c>
      <c r="G1260" s="11">
        <v>33</v>
      </c>
      <c r="H1260" s="11">
        <v>0.2</v>
      </c>
      <c r="I1260" s="11" t="s">
        <v>15</v>
      </c>
      <c r="J1260" s="11">
        <v>17</v>
      </c>
      <c r="K1260" s="11">
        <v>0</v>
      </c>
      <c r="L1260" s="11">
        <v>0</v>
      </c>
      <c r="M1260" s="11">
        <v>0</v>
      </c>
      <c r="N1260" s="11">
        <v>0</v>
      </c>
      <c r="O1260" s="12" t="str">
        <f t="shared" si="19"/>
        <v>10 - 19</v>
      </c>
    </row>
    <row r="1261" spans="1:15" x14ac:dyDescent="0.35">
      <c r="A1261" s="12">
        <v>4993</v>
      </c>
      <c r="B1261" s="12" t="s">
        <v>20</v>
      </c>
      <c r="C1261" s="12">
        <v>25</v>
      </c>
      <c r="D1261" s="12" t="s">
        <v>29</v>
      </c>
      <c r="E1261" s="12" t="s">
        <v>14</v>
      </c>
      <c r="F1261" s="12">
        <v>54</v>
      </c>
      <c r="G1261" s="12">
        <v>73</v>
      </c>
      <c r="H1261" s="12">
        <v>0.51</v>
      </c>
      <c r="I1261" s="12" t="s">
        <v>15</v>
      </c>
      <c r="J1261" s="12">
        <v>45</v>
      </c>
      <c r="K1261" s="12">
        <v>0</v>
      </c>
      <c r="L1261" s="12">
        <v>1</v>
      </c>
      <c r="M1261" s="12">
        <v>0</v>
      </c>
      <c r="N1261" s="12">
        <v>0</v>
      </c>
      <c r="O1261" s="12" t="str">
        <f t="shared" si="19"/>
        <v>40 - 49</v>
      </c>
    </row>
    <row r="1262" spans="1:15" x14ac:dyDescent="0.35">
      <c r="A1262" s="11">
        <v>4994</v>
      </c>
      <c r="B1262" s="11" t="s">
        <v>16</v>
      </c>
      <c r="C1262" s="11">
        <v>57</v>
      </c>
      <c r="D1262" s="11" t="s">
        <v>21</v>
      </c>
      <c r="E1262" s="11" t="s">
        <v>14</v>
      </c>
      <c r="F1262" s="11">
        <v>276</v>
      </c>
      <c r="G1262" s="11">
        <v>11</v>
      </c>
      <c r="H1262" s="11">
        <v>0.25</v>
      </c>
      <c r="I1262" s="11" t="s">
        <v>15</v>
      </c>
      <c r="J1262" s="11">
        <v>34</v>
      </c>
      <c r="K1262" s="11">
        <v>0</v>
      </c>
      <c r="L1262" s="11">
        <v>1</v>
      </c>
      <c r="M1262" s="11">
        <v>0</v>
      </c>
      <c r="N1262" s="11">
        <v>0</v>
      </c>
      <c r="O1262" s="12" t="str">
        <f t="shared" si="19"/>
        <v>30 - 39</v>
      </c>
    </row>
    <row r="1263" spans="1:15" x14ac:dyDescent="0.35">
      <c r="A1263" s="12">
        <v>4996</v>
      </c>
      <c r="B1263" s="12" t="s">
        <v>16</v>
      </c>
      <c r="C1263" s="12">
        <v>43</v>
      </c>
      <c r="D1263" s="12" t="s">
        <v>27</v>
      </c>
      <c r="E1263" s="12" t="s">
        <v>14</v>
      </c>
      <c r="F1263" s="12">
        <v>252</v>
      </c>
      <c r="G1263" s="12">
        <v>94</v>
      </c>
      <c r="H1263" s="12">
        <v>7.0000000000000007E-2</v>
      </c>
      <c r="I1263" s="12" t="s">
        <v>23</v>
      </c>
      <c r="J1263" s="12">
        <v>26</v>
      </c>
      <c r="K1263" s="12">
        <v>0</v>
      </c>
      <c r="L1263" s="12">
        <v>1</v>
      </c>
      <c r="M1263" s="12">
        <v>0</v>
      </c>
      <c r="N1263" s="12">
        <v>0</v>
      </c>
      <c r="O1263" s="12" t="str">
        <f t="shared" si="19"/>
        <v>20 - 29</v>
      </c>
    </row>
    <row r="1264" spans="1:15" x14ac:dyDescent="0.35">
      <c r="A1264" s="11">
        <v>5012</v>
      </c>
      <c r="B1264" s="11" t="s">
        <v>20</v>
      </c>
      <c r="C1264" s="11">
        <v>43</v>
      </c>
      <c r="D1264" s="11" t="s">
        <v>17</v>
      </c>
      <c r="E1264" s="11" t="s">
        <v>14</v>
      </c>
      <c r="F1264" s="11">
        <v>118</v>
      </c>
      <c r="G1264" s="11">
        <v>93</v>
      </c>
      <c r="H1264" s="11">
        <v>0.12</v>
      </c>
      <c r="I1264" s="11" t="s">
        <v>23</v>
      </c>
      <c r="J1264" s="11">
        <v>46</v>
      </c>
      <c r="K1264" s="11">
        <v>0</v>
      </c>
      <c r="L1264" s="11">
        <v>0</v>
      </c>
      <c r="M1264" s="11">
        <v>0</v>
      </c>
      <c r="N1264" s="11">
        <v>0</v>
      </c>
      <c r="O1264" s="12" t="str">
        <f t="shared" si="19"/>
        <v>40 - 49</v>
      </c>
    </row>
    <row r="1265" spans="1:15" x14ac:dyDescent="0.35">
      <c r="A1265" s="12">
        <v>5016</v>
      </c>
      <c r="B1265" s="12" t="s">
        <v>20</v>
      </c>
      <c r="C1265" s="12">
        <v>20</v>
      </c>
      <c r="D1265" s="12" t="s">
        <v>28</v>
      </c>
      <c r="E1265" s="12" t="s">
        <v>14</v>
      </c>
      <c r="F1265" s="12">
        <v>105</v>
      </c>
      <c r="G1265" s="12">
        <v>82</v>
      </c>
      <c r="H1265" s="12">
        <v>0.5</v>
      </c>
      <c r="I1265" s="12" t="s">
        <v>15</v>
      </c>
      <c r="J1265" s="12">
        <v>13</v>
      </c>
      <c r="K1265" s="12">
        <v>0</v>
      </c>
      <c r="L1265" s="12">
        <v>1</v>
      </c>
      <c r="M1265" s="12">
        <v>0</v>
      </c>
      <c r="N1265" s="12">
        <v>0</v>
      </c>
      <c r="O1265" s="12" t="str">
        <f t="shared" si="19"/>
        <v>10 - 19</v>
      </c>
    </row>
    <row r="1266" spans="1:15" x14ac:dyDescent="0.35">
      <c r="A1266" s="11">
        <v>5018</v>
      </c>
      <c r="B1266" s="11" t="s">
        <v>12</v>
      </c>
      <c r="C1266" s="11">
        <v>23</v>
      </c>
      <c r="D1266" s="11" t="s">
        <v>25</v>
      </c>
      <c r="E1266" s="11" t="s">
        <v>14</v>
      </c>
      <c r="F1266" s="11">
        <v>13</v>
      </c>
      <c r="G1266" s="11">
        <v>56</v>
      </c>
      <c r="H1266" s="11">
        <v>0.24</v>
      </c>
      <c r="I1266" s="11" t="s">
        <v>23</v>
      </c>
      <c r="J1266" s="11">
        <v>29</v>
      </c>
      <c r="K1266" s="11">
        <v>0</v>
      </c>
      <c r="L1266" s="11">
        <v>0</v>
      </c>
      <c r="M1266" s="11">
        <v>0</v>
      </c>
      <c r="N1266" s="11">
        <v>0</v>
      </c>
      <c r="O1266" s="12" t="str">
        <f t="shared" si="19"/>
        <v>20 - 29</v>
      </c>
    </row>
    <row r="1267" spans="1:15" x14ac:dyDescent="0.35">
      <c r="A1267" s="12">
        <v>5022</v>
      </c>
      <c r="B1267" s="12" t="s">
        <v>20</v>
      </c>
      <c r="C1267" s="12">
        <v>38</v>
      </c>
      <c r="D1267" s="12" t="s">
        <v>13</v>
      </c>
      <c r="E1267" s="12" t="s">
        <v>14</v>
      </c>
      <c r="F1267" s="12">
        <v>55</v>
      </c>
      <c r="G1267" s="12">
        <v>26</v>
      </c>
      <c r="H1267" s="12">
        <v>0.23</v>
      </c>
      <c r="I1267" s="12" t="s">
        <v>15</v>
      </c>
      <c r="J1267" s="12">
        <v>45</v>
      </c>
      <c r="K1267" s="12">
        <v>0</v>
      </c>
      <c r="L1267" s="12">
        <v>1</v>
      </c>
      <c r="M1267" s="12">
        <v>0</v>
      </c>
      <c r="N1267" s="12">
        <v>0</v>
      </c>
      <c r="O1267" s="12" t="str">
        <f t="shared" si="19"/>
        <v>40 - 49</v>
      </c>
    </row>
    <row r="1268" spans="1:15" x14ac:dyDescent="0.35">
      <c r="A1268" s="11">
        <v>5025</v>
      </c>
      <c r="B1268" s="11" t="s">
        <v>20</v>
      </c>
      <c r="C1268" s="11">
        <v>19</v>
      </c>
      <c r="D1268" s="11" t="s">
        <v>21</v>
      </c>
      <c r="E1268" s="11" t="s">
        <v>14</v>
      </c>
      <c r="F1268" s="11">
        <v>267</v>
      </c>
      <c r="G1268" s="11">
        <v>99</v>
      </c>
      <c r="H1268" s="11">
        <v>0.51</v>
      </c>
      <c r="I1268" s="11" t="s">
        <v>19</v>
      </c>
      <c r="J1268" s="11">
        <v>35</v>
      </c>
      <c r="K1268" s="11">
        <v>0</v>
      </c>
      <c r="L1268" s="11">
        <v>0</v>
      </c>
      <c r="M1268" s="11">
        <v>0</v>
      </c>
      <c r="N1268" s="11">
        <v>0</v>
      </c>
      <c r="O1268" s="12" t="str">
        <f t="shared" si="19"/>
        <v>30 - 39</v>
      </c>
    </row>
    <row r="1269" spans="1:15" x14ac:dyDescent="0.35">
      <c r="A1269" s="12">
        <v>5027</v>
      </c>
      <c r="B1269" s="12" t="s">
        <v>16</v>
      </c>
      <c r="C1269" s="12">
        <v>33</v>
      </c>
      <c r="D1269" s="12" t="s">
        <v>27</v>
      </c>
      <c r="E1269" s="12" t="s">
        <v>14</v>
      </c>
      <c r="F1269" s="12">
        <v>90</v>
      </c>
      <c r="G1269" s="12">
        <v>7</v>
      </c>
      <c r="H1269" s="12">
        <v>0.22</v>
      </c>
      <c r="I1269" s="12" t="s">
        <v>15</v>
      </c>
      <c r="J1269" s="12">
        <v>39</v>
      </c>
      <c r="K1269" s="12">
        <v>0</v>
      </c>
      <c r="L1269" s="12">
        <v>1</v>
      </c>
      <c r="M1269" s="12">
        <v>0</v>
      </c>
      <c r="N1269" s="12">
        <v>0</v>
      </c>
      <c r="O1269" s="12" t="str">
        <f t="shared" si="19"/>
        <v>30 - 39</v>
      </c>
    </row>
    <row r="1270" spans="1:15" x14ac:dyDescent="0.35">
      <c r="A1270" s="11">
        <v>5029</v>
      </c>
      <c r="B1270" s="11" t="s">
        <v>20</v>
      </c>
      <c r="C1270" s="11">
        <v>24</v>
      </c>
      <c r="D1270" s="11" t="s">
        <v>25</v>
      </c>
      <c r="E1270" s="11" t="s">
        <v>14</v>
      </c>
      <c r="F1270" s="11">
        <v>133</v>
      </c>
      <c r="G1270" s="11">
        <v>58</v>
      </c>
      <c r="H1270" s="11">
        <v>0.54</v>
      </c>
      <c r="I1270" s="11" t="s">
        <v>23</v>
      </c>
      <c r="J1270" s="11">
        <v>36</v>
      </c>
      <c r="K1270" s="11">
        <v>0</v>
      </c>
      <c r="L1270" s="11">
        <v>1</v>
      </c>
      <c r="M1270" s="11">
        <v>0</v>
      </c>
      <c r="N1270" s="11">
        <v>0</v>
      </c>
      <c r="O1270" s="12" t="str">
        <f t="shared" si="19"/>
        <v>30 - 39</v>
      </c>
    </row>
    <row r="1271" spans="1:15" x14ac:dyDescent="0.35">
      <c r="A1271" s="12">
        <v>5032</v>
      </c>
      <c r="B1271" s="12" t="s">
        <v>12</v>
      </c>
      <c r="C1271" s="12">
        <v>18</v>
      </c>
      <c r="D1271" s="12" t="s">
        <v>28</v>
      </c>
      <c r="E1271" s="12" t="s">
        <v>14</v>
      </c>
      <c r="F1271" s="12">
        <v>14</v>
      </c>
      <c r="G1271" s="12">
        <v>82</v>
      </c>
      <c r="H1271" s="12">
        <v>0.04</v>
      </c>
      <c r="I1271" s="12" t="s">
        <v>19</v>
      </c>
      <c r="J1271" s="12">
        <v>31</v>
      </c>
      <c r="K1271" s="12">
        <v>0</v>
      </c>
      <c r="L1271" s="12">
        <v>0</v>
      </c>
      <c r="M1271" s="12">
        <v>0</v>
      </c>
      <c r="N1271" s="12">
        <v>0</v>
      </c>
      <c r="O1271" s="12" t="str">
        <f t="shared" si="19"/>
        <v>30 - 39</v>
      </c>
    </row>
    <row r="1272" spans="1:15" x14ac:dyDescent="0.35">
      <c r="A1272" s="11">
        <v>5033</v>
      </c>
      <c r="B1272" s="11" t="s">
        <v>20</v>
      </c>
      <c r="C1272" s="11">
        <v>43</v>
      </c>
      <c r="D1272" s="11" t="s">
        <v>21</v>
      </c>
      <c r="E1272" s="11" t="s">
        <v>14</v>
      </c>
      <c r="F1272" s="11">
        <v>297</v>
      </c>
      <c r="G1272" s="11">
        <v>38</v>
      </c>
      <c r="H1272" s="11">
        <v>0.41</v>
      </c>
      <c r="I1272" s="11" t="s">
        <v>19</v>
      </c>
      <c r="J1272" s="11">
        <v>18</v>
      </c>
      <c r="K1272" s="11">
        <v>0</v>
      </c>
      <c r="L1272" s="11">
        <v>0</v>
      </c>
      <c r="M1272" s="11">
        <v>0</v>
      </c>
      <c r="N1272" s="11">
        <v>0</v>
      </c>
      <c r="O1272" s="12" t="str">
        <f t="shared" si="19"/>
        <v>10 - 19</v>
      </c>
    </row>
    <row r="1273" spans="1:15" x14ac:dyDescent="0.35">
      <c r="A1273" s="12">
        <v>5034</v>
      </c>
      <c r="B1273" s="12" t="s">
        <v>16</v>
      </c>
      <c r="C1273" s="12">
        <v>16</v>
      </c>
      <c r="D1273" s="12" t="s">
        <v>25</v>
      </c>
      <c r="E1273" s="12" t="s">
        <v>14</v>
      </c>
      <c r="F1273" s="12">
        <v>263</v>
      </c>
      <c r="G1273" s="12">
        <v>10</v>
      </c>
      <c r="H1273" s="12">
        <v>0.55000000000000004</v>
      </c>
      <c r="I1273" s="12" t="s">
        <v>19</v>
      </c>
      <c r="J1273" s="12">
        <v>11</v>
      </c>
      <c r="K1273" s="12">
        <v>0</v>
      </c>
      <c r="L1273" s="12">
        <v>1</v>
      </c>
      <c r="M1273" s="12">
        <v>0</v>
      </c>
      <c r="N1273" s="12">
        <v>0</v>
      </c>
      <c r="O1273" s="12" t="str">
        <f t="shared" si="19"/>
        <v>10 - 19</v>
      </c>
    </row>
    <row r="1274" spans="1:15" x14ac:dyDescent="0.35">
      <c r="A1274" s="11">
        <v>5035</v>
      </c>
      <c r="B1274" s="11" t="s">
        <v>12</v>
      </c>
      <c r="C1274" s="11">
        <v>22</v>
      </c>
      <c r="D1274" s="11" t="s">
        <v>17</v>
      </c>
      <c r="E1274" s="11" t="s">
        <v>14</v>
      </c>
      <c r="F1274" s="11">
        <v>22</v>
      </c>
      <c r="G1274" s="11">
        <v>99</v>
      </c>
      <c r="H1274" s="11">
        <v>0.21</v>
      </c>
      <c r="I1274" s="11" t="s">
        <v>23</v>
      </c>
      <c r="J1274" s="11">
        <v>10</v>
      </c>
      <c r="K1274" s="11">
        <v>0</v>
      </c>
      <c r="L1274" s="11">
        <v>0</v>
      </c>
      <c r="M1274" s="11">
        <v>0</v>
      </c>
      <c r="N1274" s="11">
        <v>0</v>
      </c>
      <c r="O1274" s="12" t="str">
        <f t="shared" si="19"/>
        <v>10 - 19</v>
      </c>
    </row>
    <row r="1275" spans="1:15" x14ac:dyDescent="0.35">
      <c r="A1275" s="12">
        <v>5040</v>
      </c>
      <c r="B1275" s="12" t="s">
        <v>16</v>
      </c>
      <c r="C1275" s="12">
        <v>21</v>
      </c>
      <c r="D1275" s="12" t="s">
        <v>25</v>
      </c>
      <c r="E1275" s="12" t="s">
        <v>14</v>
      </c>
      <c r="F1275" s="12">
        <v>205</v>
      </c>
      <c r="G1275" s="12">
        <v>25</v>
      </c>
      <c r="H1275" s="12">
        <v>0.41</v>
      </c>
      <c r="I1275" s="12" t="s">
        <v>19</v>
      </c>
      <c r="J1275" s="12">
        <v>45</v>
      </c>
      <c r="K1275" s="12">
        <v>0</v>
      </c>
      <c r="L1275" s="12">
        <v>0</v>
      </c>
      <c r="M1275" s="12">
        <v>0</v>
      </c>
      <c r="N1275" s="12">
        <v>0</v>
      </c>
      <c r="O1275" s="12" t="str">
        <f t="shared" si="19"/>
        <v>40 - 49</v>
      </c>
    </row>
    <row r="1276" spans="1:15" x14ac:dyDescent="0.35">
      <c r="A1276" s="11">
        <v>5053</v>
      </c>
      <c r="B1276" s="11" t="s">
        <v>12</v>
      </c>
      <c r="C1276" s="11">
        <v>37</v>
      </c>
      <c r="D1276" s="11" t="s">
        <v>13</v>
      </c>
      <c r="E1276" s="11" t="s">
        <v>14</v>
      </c>
      <c r="F1276" s="11">
        <v>100</v>
      </c>
      <c r="G1276" s="11">
        <v>93</v>
      </c>
      <c r="H1276" s="11">
        <v>0.33</v>
      </c>
      <c r="I1276" s="11" t="s">
        <v>15</v>
      </c>
      <c r="J1276" s="11">
        <v>27</v>
      </c>
      <c r="K1276" s="11">
        <v>0</v>
      </c>
      <c r="L1276" s="11">
        <v>0</v>
      </c>
      <c r="M1276" s="11">
        <v>0</v>
      </c>
      <c r="N1276" s="11">
        <v>0</v>
      </c>
      <c r="O1276" s="12" t="str">
        <f t="shared" si="19"/>
        <v>20 - 29</v>
      </c>
    </row>
    <row r="1277" spans="1:15" x14ac:dyDescent="0.35">
      <c r="A1277" s="12">
        <v>5057</v>
      </c>
      <c r="B1277" s="12" t="s">
        <v>12</v>
      </c>
      <c r="C1277" s="12">
        <v>17</v>
      </c>
      <c r="D1277" s="12" t="s">
        <v>17</v>
      </c>
      <c r="E1277" s="12" t="s">
        <v>14</v>
      </c>
      <c r="F1277" s="12">
        <v>125</v>
      </c>
      <c r="G1277" s="12">
        <v>18</v>
      </c>
      <c r="H1277" s="12">
        <v>0.35</v>
      </c>
      <c r="I1277" s="12" t="s">
        <v>19</v>
      </c>
      <c r="J1277" s="12">
        <v>45</v>
      </c>
      <c r="K1277" s="12">
        <v>0</v>
      </c>
      <c r="L1277" s="12">
        <v>0</v>
      </c>
      <c r="M1277" s="12">
        <v>0</v>
      </c>
      <c r="N1277" s="12">
        <v>0</v>
      </c>
      <c r="O1277" s="12" t="str">
        <f t="shared" si="19"/>
        <v>40 - 49</v>
      </c>
    </row>
    <row r="1278" spans="1:15" x14ac:dyDescent="0.35">
      <c r="A1278" s="11">
        <v>5059</v>
      </c>
      <c r="B1278" s="11" t="s">
        <v>16</v>
      </c>
      <c r="C1278" s="11">
        <v>18</v>
      </c>
      <c r="D1278" s="11" t="s">
        <v>29</v>
      </c>
      <c r="E1278" s="11" t="s">
        <v>14</v>
      </c>
      <c r="F1278" s="11">
        <v>188</v>
      </c>
      <c r="G1278" s="11">
        <v>79</v>
      </c>
      <c r="H1278" s="11">
        <v>0.22</v>
      </c>
      <c r="I1278" s="11" t="s">
        <v>23</v>
      </c>
      <c r="J1278" s="11">
        <v>19</v>
      </c>
      <c r="K1278" s="11">
        <v>0</v>
      </c>
      <c r="L1278" s="11">
        <v>0</v>
      </c>
      <c r="M1278" s="11">
        <v>0</v>
      </c>
      <c r="N1278" s="11">
        <v>0</v>
      </c>
      <c r="O1278" s="12" t="str">
        <f t="shared" si="19"/>
        <v>10 - 19</v>
      </c>
    </row>
    <row r="1279" spans="1:15" x14ac:dyDescent="0.35">
      <c r="A1279" s="12">
        <v>5063</v>
      </c>
      <c r="B1279" s="12" t="s">
        <v>16</v>
      </c>
      <c r="C1279" s="12">
        <v>37</v>
      </c>
      <c r="D1279" s="12" t="s">
        <v>27</v>
      </c>
      <c r="E1279" s="12" t="s">
        <v>14</v>
      </c>
      <c r="F1279" s="12">
        <v>291</v>
      </c>
      <c r="G1279" s="12">
        <v>24</v>
      </c>
      <c r="H1279" s="12">
        <v>0.36</v>
      </c>
      <c r="I1279" s="12" t="s">
        <v>15</v>
      </c>
      <c r="J1279" s="12">
        <v>30</v>
      </c>
      <c r="K1279" s="12">
        <v>0</v>
      </c>
      <c r="L1279" s="12">
        <v>0</v>
      </c>
      <c r="M1279" s="12">
        <v>0</v>
      </c>
      <c r="N1279" s="12">
        <v>0</v>
      </c>
      <c r="O1279" s="12" t="str">
        <f t="shared" si="19"/>
        <v>30 - 39</v>
      </c>
    </row>
    <row r="1280" spans="1:15" x14ac:dyDescent="0.35">
      <c r="A1280" s="11">
        <v>5064</v>
      </c>
      <c r="B1280" s="11" t="s">
        <v>12</v>
      </c>
      <c r="C1280" s="11">
        <v>17</v>
      </c>
      <c r="D1280" s="11" t="s">
        <v>17</v>
      </c>
      <c r="E1280" s="11" t="s">
        <v>14</v>
      </c>
      <c r="F1280" s="11">
        <v>203</v>
      </c>
      <c r="G1280" s="11">
        <v>57</v>
      </c>
      <c r="H1280" s="11">
        <v>0</v>
      </c>
      <c r="I1280" s="11" t="s">
        <v>15</v>
      </c>
      <c r="J1280" s="11">
        <v>41</v>
      </c>
      <c r="K1280" s="11">
        <v>0</v>
      </c>
      <c r="L1280" s="11">
        <v>1</v>
      </c>
      <c r="M1280" s="11">
        <v>0</v>
      </c>
      <c r="N1280" s="11">
        <v>0</v>
      </c>
      <c r="O1280" s="12" t="str">
        <f t="shared" si="19"/>
        <v>40 - 49</v>
      </c>
    </row>
    <row r="1281" spans="1:15" x14ac:dyDescent="0.35">
      <c r="A1281" s="12">
        <v>5068</v>
      </c>
      <c r="B1281" s="12" t="s">
        <v>16</v>
      </c>
      <c r="C1281" s="12">
        <v>20</v>
      </c>
      <c r="D1281" s="12" t="s">
        <v>17</v>
      </c>
      <c r="E1281" s="12" t="s">
        <v>14</v>
      </c>
      <c r="F1281" s="12">
        <v>224</v>
      </c>
      <c r="G1281" s="12">
        <v>68</v>
      </c>
      <c r="H1281" s="12">
        <v>0.44</v>
      </c>
      <c r="I1281" s="12" t="s">
        <v>19</v>
      </c>
      <c r="J1281" s="12">
        <v>5</v>
      </c>
      <c r="K1281" s="12">
        <v>0</v>
      </c>
      <c r="L1281" s="12">
        <v>0</v>
      </c>
      <c r="M1281" s="12">
        <v>0</v>
      </c>
      <c r="N1281" s="12">
        <v>0</v>
      </c>
      <c r="O1281" s="12" t="str">
        <f t="shared" si="19"/>
        <v>0 - 9</v>
      </c>
    </row>
    <row r="1282" spans="1:15" x14ac:dyDescent="0.35">
      <c r="A1282" s="11">
        <v>5072</v>
      </c>
      <c r="B1282" s="11" t="s">
        <v>16</v>
      </c>
      <c r="C1282" s="11">
        <v>47</v>
      </c>
      <c r="D1282" s="11" t="s">
        <v>26</v>
      </c>
      <c r="E1282" s="11" t="s">
        <v>14</v>
      </c>
      <c r="F1282" s="11">
        <v>216</v>
      </c>
      <c r="G1282" s="11">
        <v>75</v>
      </c>
      <c r="H1282" s="11">
        <v>0.19</v>
      </c>
      <c r="I1282" s="11" t="s">
        <v>19</v>
      </c>
      <c r="J1282" s="11">
        <v>19</v>
      </c>
      <c r="K1282" s="11">
        <v>0</v>
      </c>
      <c r="L1282" s="11">
        <v>0</v>
      </c>
      <c r="M1282" s="11">
        <v>0</v>
      </c>
      <c r="N1282" s="11">
        <v>0</v>
      </c>
      <c r="O1282" s="12" t="str">
        <f t="shared" ref="O1282:O1345" si="20">_xlfn.FLOOR.MATH(J1282, 10) &amp; " - " &amp; (_xlfn.FLOOR.MATH(J1282, 10) + 9)</f>
        <v>10 - 19</v>
      </c>
    </row>
    <row r="1283" spans="1:15" x14ac:dyDescent="0.35">
      <c r="A1283" s="12">
        <v>5076</v>
      </c>
      <c r="B1283" s="12" t="s">
        <v>16</v>
      </c>
      <c r="C1283" s="12">
        <v>20</v>
      </c>
      <c r="D1283" s="12" t="s">
        <v>29</v>
      </c>
      <c r="E1283" s="12" t="s">
        <v>14</v>
      </c>
      <c r="F1283" s="12">
        <v>13</v>
      </c>
      <c r="G1283" s="12">
        <v>48</v>
      </c>
      <c r="H1283" s="12">
        <v>0.52</v>
      </c>
      <c r="I1283" s="12" t="s">
        <v>15</v>
      </c>
      <c r="J1283" s="12">
        <v>40</v>
      </c>
      <c r="K1283" s="12">
        <v>0</v>
      </c>
      <c r="L1283" s="12">
        <v>0</v>
      </c>
      <c r="M1283" s="12">
        <v>0</v>
      </c>
      <c r="N1283" s="12">
        <v>0</v>
      </c>
      <c r="O1283" s="12" t="str">
        <f t="shared" si="20"/>
        <v>40 - 49</v>
      </c>
    </row>
    <row r="1284" spans="1:15" x14ac:dyDescent="0.35">
      <c r="A1284" s="11">
        <v>5082</v>
      </c>
      <c r="B1284" s="11" t="s">
        <v>12</v>
      </c>
      <c r="C1284" s="11">
        <v>36</v>
      </c>
      <c r="D1284" s="11" t="s">
        <v>21</v>
      </c>
      <c r="E1284" s="11" t="s">
        <v>14</v>
      </c>
      <c r="F1284" s="11">
        <v>231</v>
      </c>
      <c r="G1284" s="11">
        <v>91</v>
      </c>
      <c r="H1284" s="11">
        <v>0.22</v>
      </c>
      <c r="I1284" s="11" t="s">
        <v>19</v>
      </c>
      <c r="J1284" s="11">
        <v>29</v>
      </c>
      <c r="K1284" s="11">
        <v>0</v>
      </c>
      <c r="L1284" s="11">
        <v>0</v>
      </c>
      <c r="M1284" s="11">
        <v>0</v>
      </c>
      <c r="N1284" s="11">
        <v>0</v>
      </c>
      <c r="O1284" s="12" t="str">
        <f t="shared" si="20"/>
        <v>20 - 29</v>
      </c>
    </row>
    <row r="1285" spans="1:15" x14ac:dyDescent="0.35">
      <c r="A1285" s="12">
        <v>5085</v>
      </c>
      <c r="B1285" s="12" t="s">
        <v>12</v>
      </c>
      <c r="C1285" s="12">
        <v>54</v>
      </c>
      <c r="D1285" s="12" t="s">
        <v>25</v>
      </c>
      <c r="E1285" s="12" t="s">
        <v>14</v>
      </c>
      <c r="F1285" s="12">
        <v>73</v>
      </c>
      <c r="G1285" s="12">
        <v>48</v>
      </c>
      <c r="H1285" s="12">
        <v>7.0000000000000007E-2</v>
      </c>
      <c r="I1285" s="12" t="s">
        <v>23</v>
      </c>
      <c r="J1285" s="12">
        <v>40</v>
      </c>
      <c r="K1285" s="12">
        <v>0</v>
      </c>
      <c r="L1285" s="12">
        <v>1</v>
      </c>
      <c r="M1285" s="12">
        <v>0</v>
      </c>
      <c r="N1285" s="12">
        <v>0</v>
      </c>
      <c r="O1285" s="12" t="str">
        <f t="shared" si="20"/>
        <v>40 - 49</v>
      </c>
    </row>
    <row r="1286" spans="1:15" x14ac:dyDescent="0.35">
      <c r="A1286" s="11">
        <v>5086</v>
      </c>
      <c r="B1286" s="11" t="s">
        <v>16</v>
      </c>
      <c r="C1286" s="11">
        <v>21</v>
      </c>
      <c r="D1286" s="11" t="s">
        <v>26</v>
      </c>
      <c r="E1286" s="11" t="s">
        <v>14</v>
      </c>
      <c r="F1286" s="11">
        <v>21</v>
      </c>
      <c r="G1286" s="11">
        <v>20</v>
      </c>
      <c r="H1286" s="11">
        <v>0.18</v>
      </c>
      <c r="I1286" s="11" t="s">
        <v>19</v>
      </c>
      <c r="J1286" s="11">
        <v>22</v>
      </c>
      <c r="K1286" s="11">
        <v>0</v>
      </c>
      <c r="L1286" s="11">
        <v>0</v>
      </c>
      <c r="M1286" s="11">
        <v>0</v>
      </c>
      <c r="N1286" s="11">
        <v>0</v>
      </c>
      <c r="O1286" s="12" t="str">
        <f t="shared" si="20"/>
        <v>20 - 29</v>
      </c>
    </row>
    <row r="1287" spans="1:15" x14ac:dyDescent="0.35">
      <c r="A1287" s="12">
        <v>5095</v>
      </c>
      <c r="B1287" s="12" t="s">
        <v>12</v>
      </c>
      <c r="C1287" s="12">
        <v>46</v>
      </c>
      <c r="D1287" s="12" t="s">
        <v>25</v>
      </c>
      <c r="E1287" s="12" t="s">
        <v>14</v>
      </c>
      <c r="F1287" s="12">
        <v>252</v>
      </c>
      <c r="G1287" s="12">
        <v>85</v>
      </c>
      <c r="H1287" s="12">
        <v>0.53</v>
      </c>
      <c r="I1287" s="12" t="s">
        <v>23</v>
      </c>
      <c r="J1287" s="12">
        <v>47</v>
      </c>
      <c r="K1287" s="12">
        <v>0</v>
      </c>
      <c r="L1287" s="12">
        <v>0</v>
      </c>
      <c r="M1287" s="12">
        <v>0</v>
      </c>
      <c r="N1287" s="12">
        <v>0</v>
      </c>
      <c r="O1287" s="12" t="str">
        <f t="shared" si="20"/>
        <v>40 - 49</v>
      </c>
    </row>
    <row r="1288" spans="1:15" x14ac:dyDescent="0.35">
      <c r="A1288" s="11">
        <v>5097</v>
      </c>
      <c r="B1288" s="11" t="s">
        <v>16</v>
      </c>
      <c r="C1288" s="11">
        <v>51</v>
      </c>
      <c r="D1288" s="11" t="s">
        <v>29</v>
      </c>
      <c r="E1288" s="11" t="s">
        <v>14</v>
      </c>
      <c r="F1288" s="11">
        <v>41</v>
      </c>
      <c r="G1288" s="11">
        <v>85</v>
      </c>
      <c r="H1288" s="11">
        <v>0.48</v>
      </c>
      <c r="I1288" s="11" t="s">
        <v>23</v>
      </c>
      <c r="J1288" s="11">
        <v>30</v>
      </c>
      <c r="K1288" s="11">
        <v>0</v>
      </c>
      <c r="L1288" s="11">
        <v>0</v>
      </c>
      <c r="M1288" s="11">
        <v>0</v>
      </c>
      <c r="N1288" s="11">
        <v>0</v>
      </c>
      <c r="O1288" s="12" t="str">
        <f t="shared" si="20"/>
        <v>30 - 39</v>
      </c>
    </row>
    <row r="1289" spans="1:15" x14ac:dyDescent="0.35">
      <c r="A1289" s="12">
        <v>5109</v>
      </c>
      <c r="B1289" s="12" t="s">
        <v>12</v>
      </c>
      <c r="C1289" s="12">
        <v>59</v>
      </c>
      <c r="D1289" s="12" t="s">
        <v>27</v>
      </c>
      <c r="E1289" s="12" t="s">
        <v>14</v>
      </c>
      <c r="F1289" s="12">
        <v>136</v>
      </c>
      <c r="G1289" s="12">
        <v>62</v>
      </c>
      <c r="H1289" s="12">
        <v>0.39</v>
      </c>
      <c r="I1289" s="12" t="s">
        <v>23</v>
      </c>
      <c r="J1289" s="12">
        <v>23</v>
      </c>
      <c r="K1289" s="12">
        <v>0</v>
      </c>
      <c r="L1289" s="12">
        <v>1</v>
      </c>
      <c r="M1289" s="12">
        <v>0</v>
      </c>
      <c r="N1289" s="12">
        <v>0</v>
      </c>
      <c r="O1289" s="12" t="str">
        <f t="shared" si="20"/>
        <v>20 - 29</v>
      </c>
    </row>
    <row r="1290" spans="1:15" x14ac:dyDescent="0.35">
      <c r="A1290" s="11">
        <v>5114</v>
      </c>
      <c r="B1290" s="11" t="s">
        <v>20</v>
      </c>
      <c r="C1290" s="11">
        <v>50</v>
      </c>
      <c r="D1290" s="11" t="s">
        <v>28</v>
      </c>
      <c r="E1290" s="11" t="s">
        <v>14</v>
      </c>
      <c r="F1290" s="11">
        <v>47</v>
      </c>
      <c r="G1290" s="11">
        <v>62</v>
      </c>
      <c r="H1290" s="11">
        <v>0.41</v>
      </c>
      <c r="I1290" s="11" t="s">
        <v>23</v>
      </c>
      <c r="J1290" s="11">
        <v>39</v>
      </c>
      <c r="K1290" s="11">
        <v>0</v>
      </c>
      <c r="L1290" s="11">
        <v>0</v>
      </c>
      <c r="M1290" s="11">
        <v>0</v>
      </c>
      <c r="N1290" s="11">
        <v>0</v>
      </c>
      <c r="O1290" s="12" t="str">
        <f t="shared" si="20"/>
        <v>30 - 39</v>
      </c>
    </row>
    <row r="1291" spans="1:15" x14ac:dyDescent="0.35">
      <c r="A1291" s="12">
        <v>5121</v>
      </c>
      <c r="B1291" s="12" t="s">
        <v>12</v>
      </c>
      <c r="C1291" s="12">
        <v>22</v>
      </c>
      <c r="D1291" s="12" t="s">
        <v>21</v>
      </c>
      <c r="E1291" s="12" t="s">
        <v>14</v>
      </c>
      <c r="F1291" s="12">
        <v>215</v>
      </c>
      <c r="G1291" s="12">
        <v>32</v>
      </c>
      <c r="H1291" s="12">
        <v>0.44</v>
      </c>
      <c r="I1291" s="12" t="s">
        <v>19</v>
      </c>
      <c r="J1291" s="12">
        <v>22</v>
      </c>
      <c r="K1291" s="12">
        <v>0</v>
      </c>
      <c r="L1291" s="12">
        <v>0</v>
      </c>
      <c r="M1291" s="12">
        <v>0</v>
      </c>
      <c r="N1291" s="12">
        <v>0</v>
      </c>
      <c r="O1291" s="12" t="str">
        <f t="shared" si="20"/>
        <v>20 - 29</v>
      </c>
    </row>
    <row r="1292" spans="1:15" x14ac:dyDescent="0.35">
      <c r="A1292" s="11">
        <v>5130</v>
      </c>
      <c r="B1292" s="11" t="s">
        <v>12</v>
      </c>
      <c r="C1292" s="11">
        <v>40</v>
      </c>
      <c r="D1292" s="11" t="s">
        <v>28</v>
      </c>
      <c r="E1292" s="11" t="s">
        <v>14</v>
      </c>
      <c r="F1292" s="11">
        <v>152</v>
      </c>
      <c r="G1292" s="11">
        <v>7</v>
      </c>
      <c r="H1292" s="11">
        <v>0.44</v>
      </c>
      <c r="I1292" s="11" t="s">
        <v>23</v>
      </c>
      <c r="J1292" s="11">
        <v>34</v>
      </c>
      <c r="K1292" s="11">
        <v>0</v>
      </c>
      <c r="L1292" s="11">
        <v>0</v>
      </c>
      <c r="M1292" s="11">
        <v>0</v>
      </c>
      <c r="N1292" s="11">
        <v>0</v>
      </c>
      <c r="O1292" s="12" t="str">
        <f t="shared" si="20"/>
        <v>30 - 39</v>
      </c>
    </row>
    <row r="1293" spans="1:15" x14ac:dyDescent="0.35">
      <c r="A1293" s="12">
        <v>5133</v>
      </c>
      <c r="B1293" s="12" t="s">
        <v>16</v>
      </c>
      <c r="C1293" s="12">
        <v>51</v>
      </c>
      <c r="D1293" s="12" t="s">
        <v>28</v>
      </c>
      <c r="E1293" s="12" t="s">
        <v>14</v>
      </c>
      <c r="F1293" s="12">
        <v>295</v>
      </c>
      <c r="G1293" s="12">
        <v>27</v>
      </c>
      <c r="H1293" s="12">
        <v>0.04</v>
      </c>
      <c r="I1293" s="12" t="s">
        <v>19</v>
      </c>
      <c r="J1293" s="12">
        <v>34</v>
      </c>
      <c r="K1293" s="12">
        <v>0</v>
      </c>
      <c r="L1293" s="12">
        <v>1</v>
      </c>
      <c r="M1293" s="12">
        <v>0</v>
      </c>
      <c r="N1293" s="12">
        <v>0</v>
      </c>
      <c r="O1293" s="12" t="str">
        <f t="shared" si="20"/>
        <v>30 - 39</v>
      </c>
    </row>
    <row r="1294" spans="1:15" x14ac:dyDescent="0.35">
      <c r="A1294" s="11">
        <v>5137</v>
      </c>
      <c r="B1294" s="11" t="s">
        <v>20</v>
      </c>
      <c r="C1294" s="11">
        <v>16</v>
      </c>
      <c r="D1294" s="11" t="s">
        <v>21</v>
      </c>
      <c r="E1294" s="11" t="s">
        <v>14</v>
      </c>
      <c r="F1294" s="11">
        <v>157</v>
      </c>
      <c r="G1294" s="11">
        <v>46</v>
      </c>
      <c r="H1294" s="11">
        <v>0.14000000000000001</v>
      </c>
      <c r="I1294" s="11" t="s">
        <v>23</v>
      </c>
      <c r="J1294" s="11">
        <v>32</v>
      </c>
      <c r="K1294" s="11">
        <v>0</v>
      </c>
      <c r="L1294" s="11">
        <v>0</v>
      </c>
      <c r="M1294" s="11">
        <v>0</v>
      </c>
      <c r="N1294" s="11">
        <v>0</v>
      </c>
      <c r="O1294" s="12" t="str">
        <f t="shared" si="20"/>
        <v>30 - 39</v>
      </c>
    </row>
    <row r="1295" spans="1:15" x14ac:dyDescent="0.35">
      <c r="A1295" s="12">
        <v>5140</v>
      </c>
      <c r="B1295" s="12" t="s">
        <v>12</v>
      </c>
      <c r="C1295" s="12">
        <v>49</v>
      </c>
      <c r="D1295" s="12" t="s">
        <v>27</v>
      </c>
      <c r="E1295" s="12" t="s">
        <v>14</v>
      </c>
      <c r="F1295" s="12">
        <v>201</v>
      </c>
      <c r="G1295" s="12">
        <v>48</v>
      </c>
      <c r="H1295" s="12">
        <v>0.22</v>
      </c>
      <c r="I1295" s="12" t="s">
        <v>23</v>
      </c>
      <c r="J1295" s="12">
        <v>11</v>
      </c>
      <c r="K1295" s="12">
        <v>0</v>
      </c>
      <c r="L1295" s="12">
        <v>0</v>
      </c>
      <c r="M1295" s="12">
        <v>0</v>
      </c>
      <c r="N1295" s="12">
        <v>0</v>
      </c>
      <c r="O1295" s="12" t="str">
        <f t="shared" si="20"/>
        <v>10 - 19</v>
      </c>
    </row>
    <row r="1296" spans="1:15" x14ac:dyDescent="0.35">
      <c r="A1296" s="11">
        <v>5141</v>
      </c>
      <c r="B1296" s="11" t="s">
        <v>12</v>
      </c>
      <c r="C1296" s="11">
        <v>24</v>
      </c>
      <c r="D1296" s="11" t="s">
        <v>25</v>
      </c>
      <c r="E1296" s="11" t="s">
        <v>14</v>
      </c>
      <c r="F1296" s="11">
        <v>183</v>
      </c>
      <c r="G1296" s="11">
        <v>76</v>
      </c>
      <c r="H1296" s="11">
        <v>0.04</v>
      </c>
      <c r="I1296" s="11" t="s">
        <v>19</v>
      </c>
      <c r="J1296" s="11">
        <v>29</v>
      </c>
      <c r="K1296" s="11">
        <v>0</v>
      </c>
      <c r="L1296" s="11">
        <v>0</v>
      </c>
      <c r="M1296" s="11">
        <v>0</v>
      </c>
      <c r="N1296" s="11">
        <v>0</v>
      </c>
      <c r="O1296" s="12" t="str">
        <f t="shared" si="20"/>
        <v>20 - 29</v>
      </c>
    </row>
    <row r="1297" spans="1:15" x14ac:dyDescent="0.35">
      <c r="A1297" s="12">
        <v>5144</v>
      </c>
      <c r="B1297" s="12" t="s">
        <v>12</v>
      </c>
      <c r="C1297" s="12">
        <v>16</v>
      </c>
      <c r="D1297" s="12" t="s">
        <v>26</v>
      </c>
      <c r="E1297" s="12" t="s">
        <v>14</v>
      </c>
      <c r="F1297" s="12">
        <v>150</v>
      </c>
      <c r="G1297" s="12">
        <v>71</v>
      </c>
      <c r="H1297" s="12">
        <v>0.1</v>
      </c>
      <c r="I1297" s="12" t="s">
        <v>23</v>
      </c>
      <c r="J1297" s="12">
        <v>48</v>
      </c>
      <c r="K1297" s="12">
        <v>0</v>
      </c>
      <c r="L1297" s="12">
        <v>1</v>
      </c>
      <c r="M1297" s="12">
        <v>0</v>
      </c>
      <c r="N1297" s="12">
        <v>0</v>
      </c>
      <c r="O1297" s="12" t="str">
        <f t="shared" si="20"/>
        <v>40 - 49</v>
      </c>
    </row>
    <row r="1298" spans="1:15" x14ac:dyDescent="0.35">
      <c r="A1298" s="11">
        <v>5145</v>
      </c>
      <c r="B1298" s="11" t="s">
        <v>20</v>
      </c>
      <c r="C1298" s="11">
        <v>28</v>
      </c>
      <c r="D1298" s="11" t="s">
        <v>25</v>
      </c>
      <c r="E1298" s="11" t="s">
        <v>14</v>
      </c>
      <c r="F1298" s="11">
        <v>61</v>
      </c>
      <c r="G1298" s="11">
        <v>92</v>
      </c>
      <c r="H1298" s="11">
        <v>0.55000000000000004</v>
      </c>
      <c r="I1298" s="11" t="s">
        <v>19</v>
      </c>
      <c r="J1298" s="11">
        <v>25</v>
      </c>
      <c r="K1298" s="11">
        <v>0</v>
      </c>
      <c r="L1298" s="11">
        <v>0</v>
      </c>
      <c r="M1298" s="11">
        <v>0</v>
      </c>
      <c r="N1298" s="11">
        <v>0</v>
      </c>
      <c r="O1298" s="12" t="str">
        <f t="shared" si="20"/>
        <v>20 - 29</v>
      </c>
    </row>
    <row r="1299" spans="1:15" x14ac:dyDescent="0.35">
      <c r="A1299" s="12">
        <v>5158</v>
      </c>
      <c r="B1299" s="12" t="s">
        <v>12</v>
      </c>
      <c r="C1299" s="12">
        <v>35</v>
      </c>
      <c r="D1299" s="12" t="s">
        <v>21</v>
      </c>
      <c r="E1299" s="12" t="s">
        <v>14</v>
      </c>
      <c r="F1299" s="12">
        <v>248</v>
      </c>
      <c r="G1299" s="12">
        <v>92</v>
      </c>
      <c r="H1299" s="12">
        <v>0.18</v>
      </c>
      <c r="I1299" s="12" t="s">
        <v>19</v>
      </c>
      <c r="J1299" s="12">
        <v>35</v>
      </c>
      <c r="K1299" s="12">
        <v>0</v>
      </c>
      <c r="L1299" s="12">
        <v>1</v>
      </c>
      <c r="M1299" s="12">
        <v>0</v>
      </c>
      <c r="N1299" s="12">
        <v>0</v>
      </c>
      <c r="O1299" s="12" t="str">
        <f t="shared" si="20"/>
        <v>30 - 39</v>
      </c>
    </row>
    <row r="1300" spans="1:15" x14ac:dyDescent="0.35">
      <c r="A1300" s="11">
        <v>5161</v>
      </c>
      <c r="B1300" s="11" t="s">
        <v>16</v>
      </c>
      <c r="C1300" s="11">
        <v>42</v>
      </c>
      <c r="D1300" s="11" t="s">
        <v>17</v>
      </c>
      <c r="E1300" s="11" t="s">
        <v>14</v>
      </c>
      <c r="F1300" s="11">
        <v>235</v>
      </c>
      <c r="G1300" s="11">
        <v>61</v>
      </c>
      <c r="H1300" s="11">
        <v>0.48</v>
      </c>
      <c r="I1300" s="11" t="s">
        <v>15</v>
      </c>
      <c r="J1300" s="11">
        <v>37</v>
      </c>
      <c r="K1300" s="11">
        <v>0</v>
      </c>
      <c r="L1300" s="11">
        <v>0</v>
      </c>
      <c r="M1300" s="11">
        <v>0</v>
      </c>
      <c r="N1300" s="11">
        <v>0</v>
      </c>
      <c r="O1300" s="12" t="str">
        <f t="shared" si="20"/>
        <v>30 - 39</v>
      </c>
    </row>
    <row r="1301" spans="1:15" x14ac:dyDescent="0.35">
      <c r="A1301" s="12">
        <v>5162</v>
      </c>
      <c r="B1301" s="12" t="s">
        <v>20</v>
      </c>
      <c r="C1301" s="12">
        <v>27</v>
      </c>
      <c r="D1301" s="12" t="s">
        <v>21</v>
      </c>
      <c r="E1301" s="12" t="s">
        <v>14</v>
      </c>
      <c r="F1301" s="12">
        <v>255</v>
      </c>
      <c r="G1301" s="12">
        <v>22</v>
      </c>
      <c r="H1301" s="12">
        <v>0.01</v>
      </c>
      <c r="I1301" s="12" t="s">
        <v>15</v>
      </c>
      <c r="J1301" s="12">
        <v>25</v>
      </c>
      <c r="K1301" s="12">
        <v>0</v>
      </c>
      <c r="L1301" s="12">
        <v>0</v>
      </c>
      <c r="M1301" s="12">
        <v>0</v>
      </c>
      <c r="N1301" s="12">
        <v>0</v>
      </c>
      <c r="O1301" s="12" t="str">
        <f t="shared" si="20"/>
        <v>20 - 29</v>
      </c>
    </row>
    <row r="1302" spans="1:15" x14ac:dyDescent="0.35">
      <c r="A1302" s="11">
        <v>5167</v>
      </c>
      <c r="B1302" s="11" t="s">
        <v>20</v>
      </c>
      <c r="C1302" s="11">
        <v>19</v>
      </c>
      <c r="D1302" s="11" t="s">
        <v>28</v>
      </c>
      <c r="E1302" s="11" t="s">
        <v>14</v>
      </c>
      <c r="F1302" s="11">
        <v>254</v>
      </c>
      <c r="G1302" s="11">
        <v>52</v>
      </c>
      <c r="H1302" s="11">
        <v>0.1</v>
      </c>
      <c r="I1302" s="11" t="s">
        <v>23</v>
      </c>
      <c r="J1302" s="11">
        <v>24</v>
      </c>
      <c r="K1302" s="11">
        <v>0</v>
      </c>
      <c r="L1302" s="11">
        <v>0</v>
      </c>
      <c r="M1302" s="11">
        <v>0</v>
      </c>
      <c r="N1302" s="11">
        <v>0</v>
      </c>
      <c r="O1302" s="12" t="str">
        <f t="shared" si="20"/>
        <v>20 - 29</v>
      </c>
    </row>
    <row r="1303" spans="1:15" x14ac:dyDescent="0.35">
      <c r="A1303" s="12">
        <v>5170</v>
      </c>
      <c r="B1303" s="12" t="s">
        <v>12</v>
      </c>
      <c r="C1303" s="12">
        <v>38</v>
      </c>
      <c r="D1303" s="12" t="s">
        <v>27</v>
      </c>
      <c r="E1303" s="12" t="s">
        <v>14</v>
      </c>
      <c r="F1303" s="12">
        <v>182</v>
      </c>
      <c r="G1303" s="12">
        <v>49</v>
      </c>
      <c r="H1303" s="12">
        <v>0.05</v>
      </c>
      <c r="I1303" s="12" t="s">
        <v>15</v>
      </c>
      <c r="J1303" s="12">
        <v>49</v>
      </c>
      <c r="K1303" s="12">
        <v>0</v>
      </c>
      <c r="L1303" s="12">
        <v>0</v>
      </c>
      <c r="M1303" s="12">
        <v>0</v>
      </c>
      <c r="N1303" s="12">
        <v>0</v>
      </c>
      <c r="O1303" s="12" t="str">
        <f t="shared" si="20"/>
        <v>40 - 49</v>
      </c>
    </row>
    <row r="1304" spans="1:15" x14ac:dyDescent="0.35">
      <c r="A1304" s="11">
        <v>5172</v>
      </c>
      <c r="B1304" s="11" t="s">
        <v>16</v>
      </c>
      <c r="C1304" s="11">
        <v>18</v>
      </c>
      <c r="D1304" s="11" t="s">
        <v>29</v>
      </c>
      <c r="E1304" s="11" t="s">
        <v>14</v>
      </c>
      <c r="F1304" s="11">
        <v>73</v>
      </c>
      <c r="G1304" s="11">
        <v>38</v>
      </c>
      <c r="H1304" s="11">
        <v>0.6</v>
      </c>
      <c r="I1304" s="11" t="s">
        <v>23</v>
      </c>
      <c r="J1304" s="11">
        <v>15</v>
      </c>
      <c r="K1304" s="11">
        <v>0</v>
      </c>
      <c r="L1304" s="11">
        <v>1</v>
      </c>
      <c r="M1304" s="11">
        <v>0</v>
      </c>
      <c r="N1304" s="11">
        <v>0</v>
      </c>
      <c r="O1304" s="12" t="str">
        <f t="shared" si="20"/>
        <v>10 - 19</v>
      </c>
    </row>
    <row r="1305" spans="1:15" x14ac:dyDescent="0.35">
      <c r="A1305" s="12">
        <v>5173</v>
      </c>
      <c r="B1305" s="12" t="s">
        <v>20</v>
      </c>
      <c r="C1305" s="12">
        <v>32</v>
      </c>
      <c r="D1305" s="12" t="s">
        <v>26</v>
      </c>
      <c r="E1305" s="12" t="s">
        <v>14</v>
      </c>
      <c r="F1305" s="12">
        <v>152</v>
      </c>
      <c r="G1305" s="12">
        <v>51</v>
      </c>
      <c r="H1305" s="12">
        <v>0.28999999999999998</v>
      </c>
      <c r="I1305" s="12" t="s">
        <v>19</v>
      </c>
      <c r="J1305" s="12">
        <v>27</v>
      </c>
      <c r="K1305" s="12">
        <v>0</v>
      </c>
      <c r="L1305" s="12">
        <v>0</v>
      </c>
      <c r="M1305" s="12">
        <v>0</v>
      </c>
      <c r="N1305" s="12">
        <v>0</v>
      </c>
      <c r="O1305" s="12" t="str">
        <f t="shared" si="20"/>
        <v>20 - 29</v>
      </c>
    </row>
    <row r="1306" spans="1:15" x14ac:dyDescent="0.35">
      <c r="A1306" s="11">
        <v>5174</v>
      </c>
      <c r="B1306" s="11" t="s">
        <v>20</v>
      </c>
      <c r="C1306" s="11">
        <v>35</v>
      </c>
      <c r="D1306" s="11" t="s">
        <v>13</v>
      </c>
      <c r="E1306" s="11" t="s">
        <v>14</v>
      </c>
      <c r="F1306" s="11">
        <v>37</v>
      </c>
      <c r="G1306" s="11">
        <v>48</v>
      </c>
      <c r="H1306" s="11">
        <v>0</v>
      </c>
      <c r="I1306" s="11" t="s">
        <v>23</v>
      </c>
      <c r="J1306" s="11">
        <v>10</v>
      </c>
      <c r="K1306" s="11">
        <v>0</v>
      </c>
      <c r="L1306" s="11">
        <v>0</v>
      </c>
      <c r="M1306" s="11">
        <v>0</v>
      </c>
      <c r="N1306" s="11">
        <v>0</v>
      </c>
      <c r="O1306" s="12" t="str">
        <f t="shared" si="20"/>
        <v>10 - 19</v>
      </c>
    </row>
    <row r="1307" spans="1:15" x14ac:dyDescent="0.35">
      <c r="A1307" s="12">
        <v>5176</v>
      </c>
      <c r="B1307" s="12" t="s">
        <v>20</v>
      </c>
      <c r="C1307" s="12">
        <v>45</v>
      </c>
      <c r="D1307" s="12" t="s">
        <v>27</v>
      </c>
      <c r="E1307" s="12" t="s">
        <v>14</v>
      </c>
      <c r="F1307" s="12">
        <v>62</v>
      </c>
      <c r="G1307" s="12">
        <v>31</v>
      </c>
      <c r="H1307" s="12">
        <v>0.36</v>
      </c>
      <c r="I1307" s="12" t="s">
        <v>15</v>
      </c>
      <c r="J1307" s="12">
        <v>20</v>
      </c>
      <c r="K1307" s="12">
        <v>0</v>
      </c>
      <c r="L1307" s="12">
        <v>0</v>
      </c>
      <c r="M1307" s="12">
        <v>0</v>
      </c>
      <c r="N1307" s="12">
        <v>0</v>
      </c>
      <c r="O1307" s="12" t="str">
        <f t="shared" si="20"/>
        <v>20 - 29</v>
      </c>
    </row>
    <row r="1308" spans="1:15" x14ac:dyDescent="0.35">
      <c r="A1308" s="11">
        <v>5177</v>
      </c>
      <c r="B1308" s="11" t="s">
        <v>20</v>
      </c>
      <c r="C1308" s="11">
        <v>31</v>
      </c>
      <c r="D1308" s="11" t="s">
        <v>29</v>
      </c>
      <c r="E1308" s="11" t="s">
        <v>14</v>
      </c>
      <c r="F1308" s="11">
        <v>263</v>
      </c>
      <c r="G1308" s="11">
        <v>43</v>
      </c>
      <c r="H1308" s="11">
        <v>0.06</v>
      </c>
      <c r="I1308" s="11" t="s">
        <v>19</v>
      </c>
      <c r="J1308" s="11">
        <v>23</v>
      </c>
      <c r="K1308" s="11">
        <v>0</v>
      </c>
      <c r="L1308" s="11">
        <v>1</v>
      </c>
      <c r="M1308" s="11">
        <v>0</v>
      </c>
      <c r="N1308" s="11">
        <v>0</v>
      </c>
      <c r="O1308" s="12" t="str">
        <f t="shared" si="20"/>
        <v>20 - 29</v>
      </c>
    </row>
    <row r="1309" spans="1:15" x14ac:dyDescent="0.35">
      <c r="A1309" s="12">
        <v>5183</v>
      </c>
      <c r="B1309" s="12" t="s">
        <v>20</v>
      </c>
      <c r="C1309" s="12">
        <v>17</v>
      </c>
      <c r="D1309" s="12" t="s">
        <v>17</v>
      </c>
      <c r="E1309" s="12" t="s">
        <v>14</v>
      </c>
      <c r="F1309" s="12">
        <v>289</v>
      </c>
      <c r="G1309" s="12">
        <v>85</v>
      </c>
      <c r="H1309" s="12">
        <v>0.56999999999999995</v>
      </c>
      <c r="I1309" s="12" t="s">
        <v>15</v>
      </c>
      <c r="J1309" s="12">
        <v>10</v>
      </c>
      <c r="K1309" s="12">
        <v>0</v>
      </c>
      <c r="L1309" s="12">
        <v>0</v>
      </c>
      <c r="M1309" s="12">
        <v>0</v>
      </c>
      <c r="N1309" s="12">
        <v>0</v>
      </c>
      <c r="O1309" s="12" t="str">
        <f t="shared" si="20"/>
        <v>10 - 19</v>
      </c>
    </row>
    <row r="1310" spans="1:15" x14ac:dyDescent="0.35">
      <c r="A1310" s="11">
        <v>5184</v>
      </c>
      <c r="B1310" s="11" t="s">
        <v>16</v>
      </c>
      <c r="C1310" s="11">
        <v>28</v>
      </c>
      <c r="D1310" s="11" t="s">
        <v>27</v>
      </c>
      <c r="E1310" s="11" t="s">
        <v>14</v>
      </c>
      <c r="F1310" s="11">
        <v>255</v>
      </c>
      <c r="G1310" s="11">
        <v>24</v>
      </c>
      <c r="H1310" s="11">
        <v>0.15</v>
      </c>
      <c r="I1310" s="11" t="s">
        <v>15</v>
      </c>
      <c r="J1310" s="11">
        <v>6</v>
      </c>
      <c r="K1310" s="11">
        <v>0</v>
      </c>
      <c r="L1310" s="11">
        <v>0</v>
      </c>
      <c r="M1310" s="11">
        <v>0</v>
      </c>
      <c r="N1310" s="11">
        <v>0</v>
      </c>
      <c r="O1310" s="12" t="str">
        <f t="shared" si="20"/>
        <v>0 - 9</v>
      </c>
    </row>
    <row r="1311" spans="1:15" x14ac:dyDescent="0.35">
      <c r="A1311" s="12">
        <v>5188</v>
      </c>
      <c r="B1311" s="12" t="s">
        <v>16</v>
      </c>
      <c r="C1311" s="12">
        <v>40</v>
      </c>
      <c r="D1311" s="12" t="s">
        <v>17</v>
      </c>
      <c r="E1311" s="12" t="s">
        <v>14</v>
      </c>
      <c r="F1311" s="12">
        <v>277</v>
      </c>
      <c r="G1311" s="12">
        <v>21</v>
      </c>
      <c r="H1311" s="12">
        <v>0.41</v>
      </c>
      <c r="I1311" s="12" t="s">
        <v>15</v>
      </c>
      <c r="J1311" s="12">
        <v>12</v>
      </c>
      <c r="K1311" s="12">
        <v>0</v>
      </c>
      <c r="L1311" s="12">
        <v>0</v>
      </c>
      <c r="M1311" s="12">
        <v>0</v>
      </c>
      <c r="N1311" s="12">
        <v>0</v>
      </c>
      <c r="O1311" s="12" t="str">
        <f t="shared" si="20"/>
        <v>10 - 19</v>
      </c>
    </row>
    <row r="1312" spans="1:15" x14ac:dyDescent="0.35">
      <c r="A1312" s="11">
        <v>5190</v>
      </c>
      <c r="B1312" s="11" t="s">
        <v>12</v>
      </c>
      <c r="C1312" s="11">
        <v>19</v>
      </c>
      <c r="D1312" s="11" t="s">
        <v>17</v>
      </c>
      <c r="E1312" s="11" t="s">
        <v>14</v>
      </c>
      <c r="F1312" s="11">
        <v>256</v>
      </c>
      <c r="G1312" s="11">
        <v>46</v>
      </c>
      <c r="H1312" s="11">
        <v>0.42</v>
      </c>
      <c r="I1312" s="11" t="s">
        <v>15</v>
      </c>
      <c r="J1312" s="11">
        <v>37</v>
      </c>
      <c r="K1312" s="11">
        <v>0</v>
      </c>
      <c r="L1312" s="11">
        <v>1</v>
      </c>
      <c r="M1312" s="11">
        <v>0</v>
      </c>
      <c r="N1312" s="11">
        <v>0</v>
      </c>
      <c r="O1312" s="12" t="str">
        <f t="shared" si="20"/>
        <v>30 - 39</v>
      </c>
    </row>
    <row r="1313" spans="1:15" x14ac:dyDescent="0.35">
      <c r="A1313" s="12">
        <v>5197</v>
      </c>
      <c r="B1313" s="12" t="s">
        <v>20</v>
      </c>
      <c r="C1313" s="12">
        <v>54</v>
      </c>
      <c r="D1313" s="12" t="s">
        <v>29</v>
      </c>
      <c r="E1313" s="12" t="s">
        <v>14</v>
      </c>
      <c r="F1313" s="12">
        <v>144</v>
      </c>
      <c r="G1313" s="12">
        <v>77</v>
      </c>
      <c r="H1313" s="12">
        <v>0.05</v>
      </c>
      <c r="I1313" s="12" t="s">
        <v>23</v>
      </c>
      <c r="J1313" s="12">
        <v>37</v>
      </c>
      <c r="K1313" s="12">
        <v>0</v>
      </c>
      <c r="L1313" s="12">
        <v>0</v>
      </c>
      <c r="M1313" s="12">
        <v>0</v>
      </c>
      <c r="N1313" s="12">
        <v>0</v>
      </c>
      <c r="O1313" s="12" t="str">
        <f t="shared" si="20"/>
        <v>30 - 39</v>
      </c>
    </row>
    <row r="1314" spans="1:15" x14ac:dyDescent="0.35">
      <c r="A1314" s="11">
        <v>5200</v>
      </c>
      <c r="B1314" s="11" t="s">
        <v>20</v>
      </c>
      <c r="C1314" s="11">
        <v>43</v>
      </c>
      <c r="D1314" s="11" t="s">
        <v>28</v>
      </c>
      <c r="E1314" s="11" t="s">
        <v>14</v>
      </c>
      <c r="F1314" s="11">
        <v>142</v>
      </c>
      <c r="G1314" s="11">
        <v>83</v>
      </c>
      <c r="H1314" s="11">
        <v>0.55000000000000004</v>
      </c>
      <c r="I1314" s="11" t="s">
        <v>15</v>
      </c>
      <c r="J1314" s="11">
        <v>25</v>
      </c>
      <c r="K1314" s="11">
        <v>0</v>
      </c>
      <c r="L1314" s="11">
        <v>0</v>
      </c>
      <c r="M1314" s="11">
        <v>0</v>
      </c>
      <c r="N1314" s="11">
        <v>0</v>
      </c>
      <c r="O1314" s="12" t="str">
        <f t="shared" si="20"/>
        <v>20 - 29</v>
      </c>
    </row>
    <row r="1315" spans="1:15" x14ac:dyDescent="0.35">
      <c r="A1315" s="12">
        <v>5202</v>
      </c>
      <c r="B1315" s="12" t="s">
        <v>20</v>
      </c>
      <c r="C1315" s="12">
        <v>17</v>
      </c>
      <c r="D1315" s="12" t="s">
        <v>13</v>
      </c>
      <c r="E1315" s="12" t="s">
        <v>14</v>
      </c>
      <c r="F1315" s="12">
        <v>259</v>
      </c>
      <c r="G1315" s="12">
        <v>90</v>
      </c>
      <c r="H1315" s="12">
        <v>0.39</v>
      </c>
      <c r="I1315" s="12" t="s">
        <v>23</v>
      </c>
      <c r="J1315" s="12">
        <v>41</v>
      </c>
      <c r="K1315" s="12">
        <v>0</v>
      </c>
      <c r="L1315" s="12">
        <v>0</v>
      </c>
      <c r="M1315" s="12">
        <v>0</v>
      </c>
      <c r="N1315" s="12">
        <v>0</v>
      </c>
      <c r="O1315" s="12" t="str">
        <f t="shared" si="20"/>
        <v>40 - 49</v>
      </c>
    </row>
    <row r="1316" spans="1:15" x14ac:dyDescent="0.35">
      <c r="A1316" s="11">
        <v>5206</v>
      </c>
      <c r="B1316" s="11" t="s">
        <v>12</v>
      </c>
      <c r="C1316" s="11">
        <v>48</v>
      </c>
      <c r="D1316" s="11" t="s">
        <v>26</v>
      </c>
      <c r="E1316" s="11" t="s">
        <v>14</v>
      </c>
      <c r="F1316" s="11">
        <v>282</v>
      </c>
      <c r="G1316" s="11">
        <v>11</v>
      </c>
      <c r="H1316" s="11">
        <v>0.2</v>
      </c>
      <c r="I1316" s="11" t="s">
        <v>23</v>
      </c>
      <c r="J1316" s="11">
        <v>29</v>
      </c>
      <c r="K1316" s="11">
        <v>0</v>
      </c>
      <c r="L1316" s="11">
        <v>1</v>
      </c>
      <c r="M1316" s="11">
        <v>0</v>
      </c>
      <c r="N1316" s="11">
        <v>0</v>
      </c>
      <c r="O1316" s="12" t="str">
        <f t="shared" si="20"/>
        <v>20 - 29</v>
      </c>
    </row>
    <row r="1317" spans="1:15" x14ac:dyDescent="0.35">
      <c r="A1317" s="12">
        <v>5209</v>
      </c>
      <c r="B1317" s="12" t="s">
        <v>20</v>
      </c>
      <c r="C1317" s="12">
        <v>27</v>
      </c>
      <c r="D1317" s="12" t="s">
        <v>17</v>
      </c>
      <c r="E1317" s="12" t="s">
        <v>14</v>
      </c>
      <c r="F1317" s="12">
        <v>11</v>
      </c>
      <c r="G1317" s="12">
        <v>50</v>
      </c>
      <c r="H1317" s="12">
        <v>0.32</v>
      </c>
      <c r="I1317" s="12" t="s">
        <v>23</v>
      </c>
      <c r="J1317" s="12">
        <v>33</v>
      </c>
      <c r="K1317" s="12">
        <v>0</v>
      </c>
      <c r="L1317" s="12">
        <v>0</v>
      </c>
      <c r="M1317" s="12">
        <v>0</v>
      </c>
      <c r="N1317" s="12">
        <v>0</v>
      </c>
      <c r="O1317" s="12" t="str">
        <f t="shared" si="20"/>
        <v>30 - 39</v>
      </c>
    </row>
    <row r="1318" spans="1:15" x14ac:dyDescent="0.35">
      <c r="A1318" s="11">
        <v>5216</v>
      </c>
      <c r="B1318" s="11" t="s">
        <v>16</v>
      </c>
      <c r="C1318" s="11">
        <v>21</v>
      </c>
      <c r="D1318" s="11" t="s">
        <v>13</v>
      </c>
      <c r="E1318" s="11" t="s">
        <v>14</v>
      </c>
      <c r="F1318" s="11">
        <v>207</v>
      </c>
      <c r="G1318" s="11">
        <v>62</v>
      </c>
      <c r="H1318" s="11">
        <v>0.2</v>
      </c>
      <c r="I1318" s="11" t="s">
        <v>23</v>
      </c>
      <c r="J1318" s="11">
        <v>33</v>
      </c>
      <c r="K1318" s="11">
        <v>0</v>
      </c>
      <c r="L1318" s="11">
        <v>0</v>
      </c>
      <c r="M1318" s="11">
        <v>0</v>
      </c>
      <c r="N1318" s="11">
        <v>0</v>
      </c>
      <c r="O1318" s="12" t="str">
        <f t="shared" si="20"/>
        <v>30 - 39</v>
      </c>
    </row>
    <row r="1319" spans="1:15" x14ac:dyDescent="0.35">
      <c r="A1319" s="12">
        <v>5217</v>
      </c>
      <c r="B1319" s="12" t="s">
        <v>20</v>
      </c>
      <c r="C1319" s="12">
        <v>21</v>
      </c>
      <c r="D1319" s="12" t="s">
        <v>26</v>
      </c>
      <c r="E1319" s="12" t="s">
        <v>14</v>
      </c>
      <c r="F1319" s="12">
        <v>101</v>
      </c>
      <c r="G1319" s="12">
        <v>30</v>
      </c>
      <c r="H1319" s="12">
        <v>0.52</v>
      </c>
      <c r="I1319" s="12" t="s">
        <v>15</v>
      </c>
      <c r="J1319" s="12">
        <v>45</v>
      </c>
      <c r="K1319" s="12">
        <v>0</v>
      </c>
      <c r="L1319" s="12">
        <v>1</v>
      </c>
      <c r="M1319" s="12">
        <v>0</v>
      </c>
      <c r="N1319" s="12">
        <v>0</v>
      </c>
      <c r="O1319" s="12" t="str">
        <f t="shared" si="20"/>
        <v>40 - 49</v>
      </c>
    </row>
    <row r="1320" spans="1:15" x14ac:dyDescent="0.35">
      <c r="A1320" s="11">
        <v>5226</v>
      </c>
      <c r="B1320" s="11" t="s">
        <v>20</v>
      </c>
      <c r="C1320" s="11">
        <v>57</v>
      </c>
      <c r="D1320" s="11" t="s">
        <v>25</v>
      </c>
      <c r="E1320" s="11" t="s">
        <v>14</v>
      </c>
      <c r="F1320" s="11">
        <v>120</v>
      </c>
      <c r="G1320" s="11">
        <v>14</v>
      </c>
      <c r="H1320" s="11">
        <v>0.03</v>
      </c>
      <c r="I1320" s="11" t="s">
        <v>15</v>
      </c>
      <c r="J1320" s="11">
        <v>44</v>
      </c>
      <c r="K1320" s="11">
        <v>0</v>
      </c>
      <c r="L1320" s="11">
        <v>0</v>
      </c>
      <c r="M1320" s="11">
        <v>0</v>
      </c>
      <c r="N1320" s="11">
        <v>0</v>
      </c>
      <c r="O1320" s="12" t="str">
        <f t="shared" si="20"/>
        <v>40 - 49</v>
      </c>
    </row>
    <row r="1321" spans="1:15" x14ac:dyDescent="0.35">
      <c r="A1321" s="12">
        <v>5234</v>
      </c>
      <c r="B1321" s="12" t="s">
        <v>20</v>
      </c>
      <c r="C1321" s="12">
        <v>49</v>
      </c>
      <c r="D1321" s="12" t="s">
        <v>25</v>
      </c>
      <c r="E1321" s="12" t="s">
        <v>14</v>
      </c>
      <c r="F1321" s="12">
        <v>128</v>
      </c>
      <c r="G1321" s="12">
        <v>4</v>
      </c>
      <c r="H1321" s="12">
        <v>0.49</v>
      </c>
      <c r="I1321" s="12" t="s">
        <v>23</v>
      </c>
      <c r="J1321" s="12">
        <v>10</v>
      </c>
      <c r="K1321" s="12">
        <v>0</v>
      </c>
      <c r="L1321" s="12">
        <v>0</v>
      </c>
      <c r="M1321" s="12">
        <v>0</v>
      </c>
      <c r="N1321" s="12">
        <v>0</v>
      </c>
      <c r="O1321" s="12" t="str">
        <f t="shared" si="20"/>
        <v>10 - 19</v>
      </c>
    </row>
    <row r="1322" spans="1:15" x14ac:dyDescent="0.35">
      <c r="A1322" s="11">
        <v>5241</v>
      </c>
      <c r="B1322" s="11" t="s">
        <v>20</v>
      </c>
      <c r="C1322" s="11">
        <v>25</v>
      </c>
      <c r="D1322" s="11" t="s">
        <v>13</v>
      </c>
      <c r="E1322" s="11" t="s">
        <v>14</v>
      </c>
      <c r="F1322" s="11">
        <v>13</v>
      </c>
      <c r="G1322" s="11">
        <v>86</v>
      </c>
      <c r="H1322" s="11">
        <v>0.47</v>
      </c>
      <c r="I1322" s="11" t="s">
        <v>23</v>
      </c>
      <c r="J1322" s="11">
        <v>34</v>
      </c>
      <c r="K1322" s="11">
        <v>0</v>
      </c>
      <c r="L1322" s="11">
        <v>0</v>
      </c>
      <c r="M1322" s="11">
        <v>0</v>
      </c>
      <c r="N1322" s="11">
        <v>0</v>
      </c>
      <c r="O1322" s="12" t="str">
        <f t="shared" si="20"/>
        <v>30 - 39</v>
      </c>
    </row>
    <row r="1323" spans="1:15" x14ac:dyDescent="0.35">
      <c r="A1323" s="12">
        <v>5242</v>
      </c>
      <c r="B1323" s="12" t="s">
        <v>12</v>
      </c>
      <c r="C1323" s="12">
        <v>58</v>
      </c>
      <c r="D1323" s="12" t="s">
        <v>29</v>
      </c>
      <c r="E1323" s="12" t="s">
        <v>14</v>
      </c>
      <c r="F1323" s="12">
        <v>118</v>
      </c>
      <c r="G1323" s="12">
        <v>52</v>
      </c>
      <c r="H1323" s="12">
        <v>0.3</v>
      </c>
      <c r="I1323" s="12" t="s">
        <v>19</v>
      </c>
      <c r="J1323" s="12">
        <v>26</v>
      </c>
      <c r="K1323" s="12">
        <v>0</v>
      </c>
      <c r="L1323" s="12">
        <v>0</v>
      </c>
      <c r="M1323" s="12">
        <v>0</v>
      </c>
      <c r="N1323" s="12">
        <v>0</v>
      </c>
      <c r="O1323" s="12" t="str">
        <f t="shared" si="20"/>
        <v>20 - 29</v>
      </c>
    </row>
    <row r="1324" spans="1:15" x14ac:dyDescent="0.35">
      <c r="A1324" s="11">
        <v>5245</v>
      </c>
      <c r="B1324" s="11" t="s">
        <v>12</v>
      </c>
      <c r="C1324" s="11">
        <v>46</v>
      </c>
      <c r="D1324" s="11" t="s">
        <v>29</v>
      </c>
      <c r="E1324" s="11" t="s">
        <v>14</v>
      </c>
      <c r="F1324" s="11">
        <v>28</v>
      </c>
      <c r="G1324" s="11">
        <v>19</v>
      </c>
      <c r="H1324" s="11">
        <v>0.25</v>
      </c>
      <c r="I1324" s="11" t="s">
        <v>15</v>
      </c>
      <c r="J1324" s="11">
        <v>19</v>
      </c>
      <c r="K1324" s="11">
        <v>0</v>
      </c>
      <c r="L1324" s="11">
        <v>1</v>
      </c>
      <c r="M1324" s="11">
        <v>0</v>
      </c>
      <c r="N1324" s="11">
        <v>0</v>
      </c>
      <c r="O1324" s="12" t="str">
        <f t="shared" si="20"/>
        <v>10 - 19</v>
      </c>
    </row>
    <row r="1325" spans="1:15" x14ac:dyDescent="0.35">
      <c r="A1325" s="12">
        <v>5248</v>
      </c>
      <c r="B1325" s="12" t="s">
        <v>12</v>
      </c>
      <c r="C1325" s="12">
        <v>18</v>
      </c>
      <c r="D1325" s="12" t="s">
        <v>21</v>
      </c>
      <c r="E1325" s="12" t="s">
        <v>14</v>
      </c>
      <c r="F1325" s="12">
        <v>226</v>
      </c>
      <c r="G1325" s="12">
        <v>64</v>
      </c>
      <c r="H1325" s="12">
        <v>0.46</v>
      </c>
      <c r="I1325" s="12" t="s">
        <v>23</v>
      </c>
      <c r="J1325" s="12">
        <v>28</v>
      </c>
      <c r="K1325" s="12">
        <v>0</v>
      </c>
      <c r="L1325" s="12">
        <v>0</v>
      </c>
      <c r="M1325" s="12">
        <v>0</v>
      </c>
      <c r="N1325" s="12">
        <v>0</v>
      </c>
      <c r="O1325" s="12" t="str">
        <f t="shared" si="20"/>
        <v>20 - 29</v>
      </c>
    </row>
    <row r="1326" spans="1:15" x14ac:dyDescent="0.35">
      <c r="A1326" s="11">
        <v>5254</v>
      </c>
      <c r="B1326" s="11" t="s">
        <v>16</v>
      </c>
      <c r="C1326" s="11">
        <v>55</v>
      </c>
      <c r="D1326" s="11" t="s">
        <v>13</v>
      </c>
      <c r="E1326" s="11" t="s">
        <v>14</v>
      </c>
      <c r="F1326" s="11">
        <v>97</v>
      </c>
      <c r="G1326" s="11">
        <v>5</v>
      </c>
      <c r="H1326" s="11">
        <v>0.28000000000000003</v>
      </c>
      <c r="I1326" s="11" t="s">
        <v>23</v>
      </c>
      <c r="J1326" s="11">
        <v>8</v>
      </c>
      <c r="K1326" s="11">
        <v>0</v>
      </c>
      <c r="L1326" s="11">
        <v>0</v>
      </c>
      <c r="M1326" s="11">
        <v>0</v>
      </c>
      <c r="N1326" s="11">
        <v>0</v>
      </c>
      <c r="O1326" s="12" t="str">
        <f t="shared" si="20"/>
        <v>0 - 9</v>
      </c>
    </row>
    <row r="1327" spans="1:15" x14ac:dyDescent="0.35">
      <c r="A1327" s="12">
        <v>5257</v>
      </c>
      <c r="B1327" s="12" t="s">
        <v>16</v>
      </c>
      <c r="C1327" s="12">
        <v>54</v>
      </c>
      <c r="D1327" s="12" t="s">
        <v>26</v>
      </c>
      <c r="E1327" s="12" t="s">
        <v>14</v>
      </c>
      <c r="F1327" s="12">
        <v>152</v>
      </c>
      <c r="G1327" s="12">
        <v>88</v>
      </c>
      <c r="H1327" s="12">
        <v>0.21</v>
      </c>
      <c r="I1327" s="12" t="s">
        <v>19</v>
      </c>
      <c r="J1327" s="12">
        <v>15</v>
      </c>
      <c r="K1327" s="12">
        <v>0</v>
      </c>
      <c r="L1327" s="12">
        <v>0</v>
      </c>
      <c r="M1327" s="12">
        <v>0</v>
      </c>
      <c r="N1327" s="12">
        <v>0</v>
      </c>
      <c r="O1327" s="12" t="str">
        <f t="shared" si="20"/>
        <v>10 - 19</v>
      </c>
    </row>
    <row r="1328" spans="1:15" x14ac:dyDescent="0.35">
      <c r="A1328" s="11">
        <v>5261</v>
      </c>
      <c r="B1328" s="11" t="s">
        <v>20</v>
      </c>
      <c r="C1328" s="11">
        <v>45</v>
      </c>
      <c r="D1328" s="11" t="s">
        <v>28</v>
      </c>
      <c r="E1328" s="11" t="s">
        <v>14</v>
      </c>
      <c r="F1328" s="11">
        <v>27</v>
      </c>
      <c r="G1328" s="11">
        <v>63</v>
      </c>
      <c r="H1328" s="11">
        <v>0.1</v>
      </c>
      <c r="I1328" s="11" t="s">
        <v>15</v>
      </c>
      <c r="J1328" s="11">
        <v>34</v>
      </c>
      <c r="K1328" s="11">
        <v>0</v>
      </c>
      <c r="L1328" s="11">
        <v>0</v>
      </c>
      <c r="M1328" s="11">
        <v>0</v>
      </c>
      <c r="N1328" s="11">
        <v>0</v>
      </c>
      <c r="O1328" s="12" t="str">
        <f t="shared" si="20"/>
        <v>30 - 39</v>
      </c>
    </row>
    <row r="1329" spans="1:15" x14ac:dyDescent="0.35">
      <c r="A1329" s="12">
        <v>5263</v>
      </c>
      <c r="B1329" s="12" t="s">
        <v>12</v>
      </c>
      <c r="C1329" s="12">
        <v>30</v>
      </c>
      <c r="D1329" s="12" t="s">
        <v>21</v>
      </c>
      <c r="E1329" s="12" t="s">
        <v>14</v>
      </c>
      <c r="F1329" s="12">
        <v>27</v>
      </c>
      <c r="G1329" s="12">
        <v>92</v>
      </c>
      <c r="H1329" s="12">
        <v>0.08</v>
      </c>
      <c r="I1329" s="12" t="s">
        <v>23</v>
      </c>
      <c r="J1329" s="12">
        <v>6</v>
      </c>
      <c r="K1329" s="12">
        <v>0</v>
      </c>
      <c r="L1329" s="12">
        <v>1</v>
      </c>
      <c r="M1329" s="12">
        <v>0</v>
      </c>
      <c r="N1329" s="12">
        <v>0</v>
      </c>
      <c r="O1329" s="12" t="str">
        <f t="shared" si="20"/>
        <v>0 - 9</v>
      </c>
    </row>
    <row r="1330" spans="1:15" x14ac:dyDescent="0.35">
      <c r="A1330" s="11">
        <v>5264</v>
      </c>
      <c r="B1330" s="11" t="s">
        <v>16</v>
      </c>
      <c r="C1330" s="11">
        <v>16</v>
      </c>
      <c r="D1330" s="11" t="s">
        <v>27</v>
      </c>
      <c r="E1330" s="11" t="s">
        <v>14</v>
      </c>
      <c r="F1330" s="11">
        <v>56</v>
      </c>
      <c r="G1330" s="11">
        <v>20</v>
      </c>
      <c r="H1330" s="11">
        <v>0.01</v>
      </c>
      <c r="I1330" s="11" t="s">
        <v>19</v>
      </c>
      <c r="J1330" s="11">
        <v>16</v>
      </c>
      <c r="K1330" s="11">
        <v>0</v>
      </c>
      <c r="L1330" s="11">
        <v>0</v>
      </c>
      <c r="M1330" s="11">
        <v>0</v>
      </c>
      <c r="N1330" s="11">
        <v>0</v>
      </c>
      <c r="O1330" s="12" t="str">
        <f t="shared" si="20"/>
        <v>10 - 19</v>
      </c>
    </row>
    <row r="1331" spans="1:15" x14ac:dyDescent="0.35">
      <c r="A1331" s="12">
        <v>5268</v>
      </c>
      <c r="B1331" s="12" t="s">
        <v>16</v>
      </c>
      <c r="C1331" s="12">
        <v>30</v>
      </c>
      <c r="D1331" s="12" t="s">
        <v>17</v>
      </c>
      <c r="E1331" s="12" t="s">
        <v>14</v>
      </c>
      <c r="F1331" s="12">
        <v>108</v>
      </c>
      <c r="G1331" s="12">
        <v>89</v>
      </c>
      <c r="H1331" s="12">
        <v>0.09</v>
      </c>
      <c r="I1331" s="12" t="s">
        <v>23</v>
      </c>
      <c r="J1331" s="12">
        <v>49</v>
      </c>
      <c r="K1331" s="12">
        <v>0</v>
      </c>
      <c r="L1331" s="12">
        <v>0</v>
      </c>
      <c r="M1331" s="12">
        <v>0</v>
      </c>
      <c r="N1331" s="12">
        <v>0</v>
      </c>
      <c r="O1331" s="12" t="str">
        <f t="shared" si="20"/>
        <v>40 - 49</v>
      </c>
    </row>
    <row r="1332" spans="1:15" x14ac:dyDescent="0.35">
      <c r="A1332" s="11">
        <v>5273</v>
      </c>
      <c r="B1332" s="11" t="s">
        <v>16</v>
      </c>
      <c r="C1332" s="11">
        <v>50</v>
      </c>
      <c r="D1332" s="11" t="s">
        <v>26</v>
      </c>
      <c r="E1332" s="11" t="s">
        <v>14</v>
      </c>
      <c r="F1332" s="11">
        <v>125</v>
      </c>
      <c r="G1332" s="11">
        <v>7</v>
      </c>
      <c r="H1332" s="11">
        <v>0.14000000000000001</v>
      </c>
      <c r="I1332" s="11" t="s">
        <v>23</v>
      </c>
      <c r="J1332" s="11">
        <v>49</v>
      </c>
      <c r="K1332" s="11">
        <v>0</v>
      </c>
      <c r="L1332" s="11">
        <v>0</v>
      </c>
      <c r="M1332" s="11">
        <v>0</v>
      </c>
      <c r="N1332" s="11">
        <v>0</v>
      </c>
      <c r="O1332" s="12" t="str">
        <f t="shared" si="20"/>
        <v>40 - 49</v>
      </c>
    </row>
    <row r="1333" spans="1:15" x14ac:dyDescent="0.35">
      <c r="A1333" s="12">
        <v>5281</v>
      </c>
      <c r="B1333" s="12" t="s">
        <v>12</v>
      </c>
      <c r="C1333" s="12">
        <v>31</v>
      </c>
      <c r="D1333" s="12" t="s">
        <v>17</v>
      </c>
      <c r="E1333" s="12" t="s">
        <v>14</v>
      </c>
      <c r="F1333" s="12">
        <v>75</v>
      </c>
      <c r="G1333" s="12">
        <v>15</v>
      </c>
      <c r="H1333" s="12">
        <v>0.23</v>
      </c>
      <c r="I1333" s="12" t="s">
        <v>15</v>
      </c>
      <c r="J1333" s="12">
        <v>41</v>
      </c>
      <c r="K1333" s="12">
        <v>0</v>
      </c>
      <c r="L1333" s="12">
        <v>0</v>
      </c>
      <c r="M1333" s="12">
        <v>0</v>
      </c>
      <c r="N1333" s="12">
        <v>0</v>
      </c>
      <c r="O1333" s="12" t="str">
        <f t="shared" si="20"/>
        <v>40 - 49</v>
      </c>
    </row>
    <row r="1334" spans="1:15" x14ac:dyDescent="0.35">
      <c r="A1334" s="11">
        <v>5282</v>
      </c>
      <c r="B1334" s="11" t="s">
        <v>12</v>
      </c>
      <c r="C1334" s="11">
        <v>42</v>
      </c>
      <c r="D1334" s="11" t="s">
        <v>17</v>
      </c>
      <c r="E1334" s="11" t="s">
        <v>14</v>
      </c>
      <c r="F1334" s="11">
        <v>98</v>
      </c>
      <c r="G1334" s="11">
        <v>29</v>
      </c>
      <c r="H1334" s="11">
        <v>0.34</v>
      </c>
      <c r="I1334" s="11" t="s">
        <v>19</v>
      </c>
      <c r="J1334" s="11">
        <v>39</v>
      </c>
      <c r="K1334" s="11">
        <v>0</v>
      </c>
      <c r="L1334" s="11">
        <v>0</v>
      </c>
      <c r="M1334" s="11">
        <v>0</v>
      </c>
      <c r="N1334" s="11">
        <v>0</v>
      </c>
      <c r="O1334" s="12" t="str">
        <f t="shared" si="20"/>
        <v>30 - 39</v>
      </c>
    </row>
    <row r="1335" spans="1:15" x14ac:dyDescent="0.35">
      <c r="A1335" s="12">
        <v>5285</v>
      </c>
      <c r="B1335" s="12" t="s">
        <v>12</v>
      </c>
      <c r="C1335" s="12">
        <v>51</v>
      </c>
      <c r="D1335" s="12" t="s">
        <v>26</v>
      </c>
      <c r="E1335" s="12" t="s">
        <v>14</v>
      </c>
      <c r="F1335" s="12">
        <v>140</v>
      </c>
      <c r="G1335" s="12">
        <v>21</v>
      </c>
      <c r="H1335" s="12">
        <v>0.4</v>
      </c>
      <c r="I1335" s="12" t="s">
        <v>15</v>
      </c>
      <c r="J1335" s="12">
        <v>33</v>
      </c>
      <c r="K1335" s="12">
        <v>0</v>
      </c>
      <c r="L1335" s="12">
        <v>0</v>
      </c>
      <c r="M1335" s="12">
        <v>0</v>
      </c>
      <c r="N1335" s="12">
        <v>0</v>
      </c>
      <c r="O1335" s="12" t="str">
        <f t="shared" si="20"/>
        <v>30 - 39</v>
      </c>
    </row>
    <row r="1336" spans="1:15" x14ac:dyDescent="0.35">
      <c r="A1336" s="11">
        <v>5288</v>
      </c>
      <c r="B1336" s="11" t="s">
        <v>12</v>
      </c>
      <c r="C1336" s="11">
        <v>27</v>
      </c>
      <c r="D1336" s="11" t="s">
        <v>27</v>
      </c>
      <c r="E1336" s="11" t="s">
        <v>14</v>
      </c>
      <c r="F1336" s="11">
        <v>26</v>
      </c>
      <c r="G1336" s="11">
        <v>95</v>
      </c>
      <c r="H1336" s="11">
        <v>0.17</v>
      </c>
      <c r="I1336" s="11" t="s">
        <v>19</v>
      </c>
      <c r="J1336" s="11">
        <v>47</v>
      </c>
      <c r="K1336" s="11">
        <v>0</v>
      </c>
      <c r="L1336" s="11">
        <v>1</v>
      </c>
      <c r="M1336" s="11">
        <v>0</v>
      </c>
      <c r="N1336" s="11">
        <v>0</v>
      </c>
      <c r="O1336" s="12" t="str">
        <f t="shared" si="20"/>
        <v>40 - 49</v>
      </c>
    </row>
    <row r="1337" spans="1:15" x14ac:dyDescent="0.35">
      <c r="A1337" s="12">
        <v>5290</v>
      </c>
      <c r="B1337" s="12" t="s">
        <v>12</v>
      </c>
      <c r="C1337" s="12">
        <v>16</v>
      </c>
      <c r="D1337" s="12" t="s">
        <v>25</v>
      </c>
      <c r="E1337" s="12" t="s">
        <v>14</v>
      </c>
      <c r="F1337" s="12">
        <v>268</v>
      </c>
      <c r="G1337" s="12">
        <v>98</v>
      </c>
      <c r="H1337" s="12">
        <v>0.59</v>
      </c>
      <c r="I1337" s="12" t="s">
        <v>23</v>
      </c>
      <c r="J1337" s="12">
        <v>8</v>
      </c>
      <c r="K1337" s="12">
        <v>0</v>
      </c>
      <c r="L1337" s="12">
        <v>1</v>
      </c>
      <c r="M1337" s="12">
        <v>0</v>
      </c>
      <c r="N1337" s="12">
        <v>0</v>
      </c>
      <c r="O1337" s="12" t="str">
        <f t="shared" si="20"/>
        <v>0 - 9</v>
      </c>
    </row>
    <row r="1338" spans="1:15" x14ac:dyDescent="0.35">
      <c r="A1338" s="11">
        <v>5291</v>
      </c>
      <c r="B1338" s="11" t="s">
        <v>16</v>
      </c>
      <c r="C1338" s="11">
        <v>52</v>
      </c>
      <c r="D1338" s="11" t="s">
        <v>28</v>
      </c>
      <c r="E1338" s="11" t="s">
        <v>14</v>
      </c>
      <c r="F1338" s="11">
        <v>36</v>
      </c>
      <c r="G1338" s="11">
        <v>77</v>
      </c>
      <c r="H1338" s="11">
        <v>0.52</v>
      </c>
      <c r="I1338" s="11" t="s">
        <v>19</v>
      </c>
      <c r="J1338" s="11">
        <v>13</v>
      </c>
      <c r="K1338" s="11">
        <v>0</v>
      </c>
      <c r="L1338" s="11">
        <v>0</v>
      </c>
      <c r="M1338" s="11">
        <v>0</v>
      </c>
      <c r="N1338" s="11">
        <v>0</v>
      </c>
      <c r="O1338" s="12" t="str">
        <f t="shared" si="20"/>
        <v>10 - 19</v>
      </c>
    </row>
    <row r="1339" spans="1:15" x14ac:dyDescent="0.35">
      <c r="A1339" s="12">
        <v>5300</v>
      </c>
      <c r="B1339" s="12" t="s">
        <v>12</v>
      </c>
      <c r="C1339" s="12">
        <v>50</v>
      </c>
      <c r="D1339" s="12" t="s">
        <v>25</v>
      </c>
      <c r="E1339" s="12" t="s">
        <v>14</v>
      </c>
      <c r="F1339" s="12">
        <v>245</v>
      </c>
      <c r="G1339" s="12">
        <v>50</v>
      </c>
      <c r="H1339" s="12">
        <v>7.0000000000000007E-2</v>
      </c>
      <c r="I1339" s="12" t="s">
        <v>23</v>
      </c>
      <c r="J1339" s="12">
        <v>7</v>
      </c>
      <c r="K1339" s="12">
        <v>0</v>
      </c>
      <c r="L1339" s="12">
        <v>0</v>
      </c>
      <c r="M1339" s="12">
        <v>0</v>
      </c>
      <c r="N1339" s="12">
        <v>0</v>
      </c>
      <c r="O1339" s="12" t="str">
        <f t="shared" si="20"/>
        <v>0 - 9</v>
      </c>
    </row>
    <row r="1340" spans="1:15" x14ac:dyDescent="0.35">
      <c r="A1340" s="11">
        <v>5306</v>
      </c>
      <c r="B1340" s="11" t="s">
        <v>20</v>
      </c>
      <c r="C1340" s="11">
        <v>33</v>
      </c>
      <c r="D1340" s="11" t="s">
        <v>13</v>
      </c>
      <c r="E1340" s="11" t="s">
        <v>14</v>
      </c>
      <c r="F1340" s="11">
        <v>29</v>
      </c>
      <c r="G1340" s="11">
        <v>54</v>
      </c>
      <c r="H1340" s="11">
        <v>0.04</v>
      </c>
      <c r="I1340" s="11" t="s">
        <v>19</v>
      </c>
      <c r="J1340" s="11">
        <v>5</v>
      </c>
      <c r="K1340" s="11">
        <v>0</v>
      </c>
      <c r="L1340" s="11">
        <v>1</v>
      </c>
      <c r="M1340" s="11">
        <v>0</v>
      </c>
      <c r="N1340" s="11">
        <v>0</v>
      </c>
      <c r="O1340" s="12" t="str">
        <f t="shared" si="20"/>
        <v>0 - 9</v>
      </c>
    </row>
    <row r="1341" spans="1:15" x14ac:dyDescent="0.35">
      <c r="A1341" s="12">
        <v>5310</v>
      </c>
      <c r="B1341" s="12" t="s">
        <v>16</v>
      </c>
      <c r="C1341" s="12">
        <v>37</v>
      </c>
      <c r="D1341" s="12" t="s">
        <v>26</v>
      </c>
      <c r="E1341" s="12" t="s">
        <v>14</v>
      </c>
      <c r="F1341" s="12">
        <v>171</v>
      </c>
      <c r="G1341" s="12">
        <v>42</v>
      </c>
      <c r="H1341" s="12">
        <v>0.15</v>
      </c>
      <c r="I1341" s="12" t="s">
        <v>15</v>
      </c>
      <c r="J1341" s="12">
        <v>32</v>
      </c>
      <c r="K1341" s="12">
        <v>0</v>
      </c>
      <c r="L1341" s="12">
        <v>0</v>
      </c>
      <c r="M1341" s="12">
        <v>0</v>
      </c>
      <c r="N1341" s="12">
        <v>0</v>
      </c>
      <c r="O1341" s="12" t="str">
        <f t="shared" si="20"/>
        <v>30 - 39</v>
      </c>
    </row>
    <row r="1342" spans="1:15" x14ac:dyDescent="0.35">
      <c r="A1342" s="11">
        <v>5313</v>
      </c>
      <c r="B1342" s="11" t="s">
        <v>16</v>
      </c>
      <c r="C1342" s="11">
        <v>42</v>
      </c>
      <c r="D1342" s="11" t="s">
        <v>25</v>
      </c>
      <c r="E1342" s="11" t="s">
        <v>14</v>
      </c>
      <c r="F1342" s="11">
        <v>65</v>
      </c>
      <c r="G1342" s="11">
        <v>87</v>
      </c>
      <c r="H1342" s="11">
        <v>0.24</v>
      </c>
      <c r="I1342" s="11" t="s">
        <v>15</v>
      </c>
      <c r="J1342" s="11">
        <v>23</v>
      </c>
      <c r="K1342" s="11">
        <v>0</v>
      </c>
      <c r="L1342" s="11">
        <v>0</v>
      </c>
      <c r="M1342" s="11">
        <v>0</v>
      </c>
      <c r="N1342" s="11">
        <v>0</v>
      </c>
      <c r="O1342" s="12" t="str">
        <f t="shared" si="20"/>
        <v>20 - 29</v>
      </c>
    </row>
    <row r="1343" spans="1:15" x14ac:dyDescent="0.35">
      <c r="A1343" s="12">
        <v>5314</v>
      </c>
      <c r="B1343" s="12" t="s">
        <v>12</v>
      </c>
      <c r="C1343" s="12">
        <v>22</v>
      </c>
      <c r="D1343" s="12" t="s">
        <v>13</v>
      </c>
      <c r="E1343" s="12" t="s">
        <v>14</v>
      </c>
      <c r="F1343" s="12">
        <v>232</v>
      </c>
      <c r="G1343" s="12">
        <v>70</v>
      </c>
      <c r="H1343" s="12">
        <v>0.55000000000000004</v>
      </c>
      <c r="I1343" s="12" t="s">
        <v>19</v>
      </c>
      <c r="J1343" s="12">
        <v>12</v>
      </c>
      <c r="K1343" s="12">
        <v>0</v>
      </c>
      <c r="L1343" s="12">
        <v>1</v>
      </c>
      <c r="M1343" s="12">
        <v>0</v>
      </c>
      <c r="N1343" s="12">
        <v>0</v>
      </c>
      <c r="O1343" s="12" t="str">
        <f t="shared" si="20"/>
        <v>10 - 19</v>
      </c>
    </row>
    <row r="1344" spans="1:15" x14ac:dyDescent="0.35">
      <c r="A1344" s="11">
        <v>5318</v>
      </c>
      <c r="B1344" s="11" t="s">
        <v>12</v>
      </c>
      <c r="C1344" s="11">
        <v>25</v>
      </c>
      <c r="D1344" s="11" t="s">
        <v>28</v>
      </c>
      <c r="E1344" s="11" t="s">
        <v>14</v>
      </c>
      <c r="F1344" s="11">
        <v>107</v>
      </c>
      <c r="G1344" s="11">
        <v>83</v>
      </c>
      <c r="H1344" s="11">
        <v>0.13</v>
      </c>
      <c r="I1344" s="11" t="s">
        <v>23</v>
      </c>
      <c r="J1344" s="11">
        <v>17</v>
      </c>
      <c r="K1344" s="11">
        <v>0</v>
      </c>
      <c r="L1344" s="11">
        <v>0</v>
      </c>
      <c r="M1344" s="11">
        <v>0</v>
      </c>
      <c r="N1344" s="11">
        <v>0</v>
      </c>
      <c r="O1344" s="12" t="str">
        <f t="shared" si="20"/>
        <v>10 - 19</v>
      </c>
    </row>
    <row r="1345" spans="1:15" x14ac:dyDescent="0.35">
      <c r="A1345" s="12">
        <v>5319</v>
      </c>
      <c r="B1345" s="12" t="s">
        <v>20</v>
      </c>
      <c r="C1345" s="12">
        <v>37</v>
      </c>
      <c r="D1345" s="12" t="s">
        <v>29</v>
      </c>
      <c r="E1345" s="12" t="s">
        <v>14</v>
      </c>
      <c r="F1345" s="12">
        <v>12</v>
      </c>
      <c r="G1345" s="12">
        <v>87</v>
      </c>
      <c r="H1345" s="12">
        <v>0.42</v>
      </c>
      <c r="I1345" s="12" t="s">
        <v>15</v>
      </c>
      <c r="J1345" s="12">
        <v>30</v>
      </c>
      <c r="K1345" s="12">
        <v>0</v>
      </c>
      <c r="L1345" s="12">
        <v>0</v>
      </c>
      <c r="M1345" s="12">
        <v>0</v>
      </c>
      <c r="N1345" s="12">
        <v>0</v>
      </c>
      <c r="O1345" s="12" t="str">
        <f t="shared" si="20"/>
        <v>30 - 39</v>
      </c>
    </row>
    <row r="1346" spans="1:15" x14ac:dyDescent="0.35">
      <c r="A1346" s="11">
        <v>5325</v>
      </c>
      <c r="B1346" s="11" t="s">
        <v>20</v>
      </c>
      <c r="C1346" s="11">
        <v>57</v>
      </c>
      <c r="D1346" s="11" t="s">
        <v>29</v>
      </c>
      <c r="E1346" s="11" t="s">
        <v>14</v>
      </c>
      <c r="F1346" s="11">
        <v>266</v>
      </c>
      <c r="G1346" s="11">
        <v>19</v>
      </c>
      <c r="H1346" s="11">
        <v>0.36</v>
      </c>
      <c r="I1346" s="11" t="s">
        <v>19</v>
      </c>
      <c r="J1346" s="11">
        <v>35</v>
      </c>
      <c r="K1346" s="11">
        <v>0</v>
      </c>
      <c r="L1346" s="11">
        <v>0</v>
      </c>
      <c r="M1346" s="11">
        <v>0</v>
      </c>
      <c r="N1346" s="11">
        <v>0</v>
      </c>
      <c r="O1346" s="12" t="str">
        <f t="shared" ref="O1346:O1409" si="21">_xlfn.FLOOR.MATH(J1346, 10) &amp; " - " &amp; (_xlfn.FLOOR.MATH(J1346, 10) + 9)</f>
        <v>30 - 39</v>
      </c>
    </row>
    <row r="1347" spans="1:15" x14ac:dyDescent="0.35">
      <c r="A1347" s="12">
        <v>5326</v>
      </c>
      <c r="B1347" s="12" t="s">
        <v>12</v>
      </c>
      <c r="C1347" s="12">
        <v>42</v>
      </c>
      <c r="D1347" s="12" t="s">
        <v>17</v>
      </c>
      <c r="E1347" s="12" t="s">
        <v>14</v>
      </c>
      <c r="F1347" s="12">
        <v>74</v>
      </c>
      <c r="G1347" s="12">
        <v>96</v>
      </c>
      <c r="H1347" s="12">
        <v>0.42</v>
      </c>
      <c r="I1347" s="12" t="s">
        <v>19</v>
      </c>
      <c r="J1347" s="12">
        <v>49</v>
      </c>
      <c r="K1347" s="12">
        <v>0</v>
      </c>
      <c r="L1347" s="12">
        <v>0</v>
      </c>
      <c r="M1347" s="12">
        <v>0</v>
      </c>
      <c r="N1347" s="12">
        <v>0</v>
      </c>
      <c r="O1347" s="12" t="str">
        <f t="shared" si="21"/>
        <v>40 - 49</v>
      </c>
    </row>
    <row r="1348" spans="1:15" x14ac:dyDescent="0.35">
      <c r="A1348" s="11">
        <v>5327</v>
      </c>
      <c r="B1348" s="11" t="s">
        <v>20</v>
      </c>
      <c r="C1348" s="11">
        <v>25</v>
      </c>
      <c r="D1348" s="11" t="s">
        <v>25</v>
      </c>
      <c r="E1348" s="11" t="s">
        <v>14</v>
      </c>
      <c r="F1348" s="11">
        <v>171</v>
      </c>
      <c r="G1348" s="11">
        <v>52</v>
      </c>
      <c r="H1348" s="11">
        <v>0.36</v>
      </c>
      <c r="I1348" s="11" t="s">
        <v>19</v>
      </c>
      <c r="J1348" s="11">
        <v>11</v>
      </c>
      <c r="K1348" s="11">
        <v>0</v>
      </c>
      <c r="L1348" s="11">
        <v>0</v>
      </c>
      <c r="M1348" s="11">
        <v>0</v>
      </c>
      <c r="N1348" s="11">
        <v>0</v>
      </c>
      <c r="O1348" s="12" t="str">
        <f t="shared" si="21"/>
        <v>10 - 19</v>
      </c>
    </row>
    <row r="1349" spans="1:15" x14ac:dyDescent="0.35">
      <c r="A1349" s="12">
        <v>5328</v>
      </c>
      <c r="B1349" s="12" t="s">
        <v>16</v>
      </c>
      <c r="C1349" s="12">
        <v>36</v>
      </c>
      <c r="D1349" s="12" t="s">
        <v>21</v>
      </c>
      <c r="E1349" s="12" t="s">
        <v>14</v>
      </c>
      <c r="F1349" s="12">
        <v>164</v>
      </c>
      <c r="G1349" s="12">
        <v>66</v>
      </c>
      <c r="H1349" s="12">
        <v>0.1</v>
      </c>
      <c r="I1349" s="12" t="s">
        <v>19</v>
      </c>
      <c r="J1349" s="12">
        <v>48</v>
      </c>
      <c r="K1349" s="12">
        <v>0</v>
      </c>
      <c r="L1349" s="12">
        <v>0</v>
      </c>
      <c r="M1349" s="12">
        <v>0</v>
      </c>
      <c r="N1349" s="12">
        <v>0</v>
      </c>
      <c r="O1349" s="12" t="str">
        <f t="shared" si="21"/>
        <v>40 - 49</v>
      </c>
    </row>
    <row r="1350" spans="1:15" x14ac:dyDescent="0.35">
      <c r="A1350" s="11">
        <v>5330</v>
      </c>
      <c r="B1350" s="11" t="s">
        <v>20</v>
      </c>
      <c r="C1350" s="11">
        <v>25</v>
      </c>
      <c r="D1350" s="11" t="s">
        <v>13</v>
      </c>
      <c r="E1350" s="11" t="s">
        <v>14</v>
      </c>
      <c r="F1350" s="11">
        <v>26</v>
      </c>
      <c r="G1350" s="11">
        <v>24</v>
      </c>
      <c r="H1350" s="11">
        <v>0.01</v>
      </c>
      <c r="I1350" s="11" t="s">
        <v>23</v>
      </c>
      <c r="J1350" s="11">
        <v>42</v>
      </c>
      <c r="K1350" s="11">
        <v>0</v>
      </c>
      <c r="L1350" s="11">
        <v>0</v>
      </c>
      <c r="M1350" s="11">
        <v>0</v>
      </c>
      <c r="N1350" s="11">
        <v>0</v>
      </c>
      <c r="O1350" s="12" t="str">
        <f t="shared" si="21"/>
        <v>40 - 49</v>
      </c>
    </row>
    <row r="1351" spans="1:15" x14ac:dyDescent="0.35">
      <c r="A1351" s="12">
        <v>5334</v>
      </c>
      <c r="B1351" s="12" t="s">
        <v>12</v>
      </c>
      <c r="C1351" s="12">
        <v>46</v>
      </c>
      <c r="D1351" s="12" t="s">
        <v>26</v>
      </c>
      <c r="E1351" s="12" t="s">
        <v>14</v>
      </c>
      <c r="F1351" s="12">
        <v>298</v>
      </c>
      <c r="G1351" s="12">
        <v>18</v>
      </c>
      <c r="H1351" s="12">
        <v>0.27</v>
      </c>
      <c r="I1351" s="12" t="s">
        <v>19</v>
      </c>
      <c r="J1351" s="12">
        <v>35</v>
      </c>
      <c r="K1351" s="12">
        <v>0</v>
      </c>
      <c r="L1351" s="12">
        <v>0</v>
      </c>
      <c r="M1351" s="12">
        <v>0</v>
      </c>
      <c r="N1351" s="12">
        <v>0</v>
      </c>
      <c r="O1351" s="12" t="str">
        <f t="shared" si="21"/>
        <v>30 - 39</v>
      </c>
    </row>
    <row r="1352" spans="1:15" x14ac:dyDescent="0.35">
      <c r="A1352" s="11">
        <v>5338</v>
      </c>
      <c r="B1352" s="11" t="s">
        <v>12</v>
      </c>
      <c r="C1352" s="11">
        <v>48</v>
      </c>
      <c r="D1352" s="11" t="s">
        <v>17</v>
      </c>
      <c r="E1352" s="11" t="s">
        <v>14</v>
      </c>
      <c r="F1352" s="11">
        <v>179</v>
      </c>
      <c r="G1352" s="11">
        <v>36</v>
      </c>
      <c r="H1352" s="11">
        <v>0.34</v>
      </c>
      <c r="I1352" s="11" t="s">
        <v>19</v>
      </c>
      <c r="J1352" s="11">
        <v>32</v>
      </c>
      <c r="K1352" s="11">
        <v>0</v>
      </c>
      <c r="L1352" s="11">
        <v>0</v>
      </c>
      <c r="M1352" s="11">
        <v>0</v>
      </c>
      <c r="N1352" s="11">
        <v>0</v>
      </c>
      <c r="O1352" s="12" t="str">
        <f t="shared" si="21"/>
        <v>30 - 39</v>
      </c>
    </row>
    <row r="1353" spans="1:15" x14ac:dyDescent="0.35">
      <c r="A1353" s="12">
        <v>5345</v>
      </c>
      <c r="B1353" s="12" t="s">
        <v>20</v>
      </c>
      <c r="C1353" s="12">
        <v>49</v>
      </c>
      <c r="D1353" s="12" t="s">
        <v>27</v>
      </c>
      <c r="E1353" s="12" t="s">
        <v>14</v>
      </c>
      <c r="F1353" s="12">
        <v>170</v>
      </c>
      <c r="G1353" s="12">
        <v>2</v>
      </c>
      <c r="H1353" s="12">
        <v>0.17</v>
      </c>
      <c r="I1353" s="12" t="s">
        <v>19</v>
      </c>
      <c r="J1353" s="12">
        <v>43</v>
      </c>
      <c r="K1353" s="12">
        <v>0</v>
      </c>
      <c r="L1353" s="12">
        <v>1</v>
      </c>
      <c r="M1353" s="12">
        <v>0</v>
      </c>
      <c r="N1353" s="12">
        <v>0</v>
      </c>
      <c r="O1353" s="12" t="str">
        <f t="shared" si="21"/>
        <v>40 - 49</v>
      </c>
    </row>
    <row r="1354" spans="1:15" x14ac:dyDescent="0.35">
      <c r="A1354" s="11">
        <v>5354</v>
      </c>
      <c r="B1354" s="11" t="s">
        <v>20</v>
      </c>
      <c r="C1354" s="11">
        <v>17</v>
      </c>
      <c r="D1354" s="11" t="s">
        <v>13</v>
      </c>
      <c r="E1354" s="11" t="s">
        <v>14</v>
      </c>
      <c r="F1354" s="11">
        <v>233</v>
      </c>
      <c r="G1354" s="11">
        <v>93</v>
      </c>
      <c r="H1354" s="11">
        <v>0.3</v>
      </c>
      <c r="I1354" s="11" t="s">
        <v>23</v>
      </c>
      <c r="J1354" s="11">
        <v>12</v>
      </c>
      <c r="K1354" s="11">
        <v>0</v>
      </c>
      <c r="L1354" s="11">
        <v>1</v>
      </c>
      <c r="M1354" s="11">
        <v>0</v>
      </c>
      <c r="N1354" s="11">
        <v>0</v>
      </c>
      <c r="O1354" s="12" t="str">
        <f t="shared" si="21"/>
        <v>10 - 19</v>
      </c>
    </row>
    <row r="1355" spans="1:15" x14ac:dyDescent="0.35">
      <c r="A1355" s="12">
        <v>5355</v>
      </c>
      <c r="B1355" s="12" t="s">
        <v>12</v>
      </c>
      <c r="C1355" s="12">
        <v>20</v>
      </c>
      <c r="D1355" s="12" t="s">
        <v>17</v>
      </c>
      <c r="E1355" s="12" t="s">
        <v>14</v>
      </c>
      <c r="F1355" s="12">
        <v>166</v>
      </c>
      <c r="G1355" s="12">
        <v>37</v>
      </c>
      <c r="H1355" s="12">
        <v>0.44</v>
      </c>
      <c r="I1355" s="12" t="s">
        <v>19</v>
      </c>
      <c r="J1355" s="12">
        <v>20</v>
      </c>
      <c r="K1355" s="12">
        <v>0</v>
      </c>
      <c r="L1355" s="12">
        <v>0</v>
      </c>
      <c r="M1355" s="12">
        <v>0</v>
      </c>
      <c r="N1355" s="12">
        <v>0</v>
      </c>
      <c r="O1355" s="12" t="str">
        <f t="shared" si="21"/>
        <v>20 - 29</v>
      </c>
    </row>
    <row r="1356" spans="1:15" x14ac:dyDescent="0.35">
      <c r="A1356" s="11">
        <v>5363</v>
      </c>
      <c r="B1356" s="11" t="s">
        <v>12</v>
      </c>
      <c r="C1356" s="11">
        <v>51</v>
      </c>
      <c r="D1356" s="11" t="s">
        <v>26</v>
      </c>
      <c r="E1356" s="11" t="s">
        <v>14</v>
      </c>
      <c r="F1356" s="11">
        <v>230</v>
      </c>
      <c r="G1356" s="11">
        <v>72</v>
      </c>
      <c r="H1356" s="11">
        <v>0.05</v>
      </c>
      <c r="I1356" s="11" t="s">
        <v>15</v>
      </c>
      <c r="J1356" s="11">
        <v>32</v>
      </c>
      <c r="K1356" s="11">
        <v>0</v>
      </c>
      <c r="L1356" s="11">
        <v>0</v>
      </c>
      <c r="M1356" s="11">
        <v>0</v>
      </c>
      <c r="N1356" s="11">
        <v>0</v>
      </c>
      <c r="O1356" s="12" t="str">
        <f t="shared" si="21"/>
        <v>30 - 39</v>
      </c>
    </row>
    <row r="1357" spans="1:15" x14ac:dyDescent="0.35">
      <c r="A1357" s="12">
        <v>5365</v>
      </c>
      <c r="B1357" s="12" t="s">
        <v>16</v>
      </c>
      <c r="C1357" s="12">
        <v>46</v>
      </c>
      <c r="D1357" s="12" t="s">
        <v>29</v>
      </c>
      <c r="E1357" s="12" t="s">
        <v>14</v>
      </c>
      <c r="F1357" s="12">
        <v>239</v>
      </c>
      <c r="G1357" s="12">
        <v>64</v>
      </c>
      <c r="H1357" s="12">
        <v>0.56999999999999995</v>
      </c>
      <c r="I1357" s="12" t="s">
        <v>19</v>
      </c>
      <c r="J1357" s="12">
        <v>40</v>
      </c>
      <c r="K1357" s="12">
        <v>0</v>
      </c>
      <c r="L1357" s="12">
        <v>0</v>
      </c>
      <c r="M1357" s="12">
        <v>0</v>
      </c>
      <c r="N1357" s="12">
        <v>0</v>
      </c>
      <c r="O1357" s="12" t="str">
        <f t="shared" si="21"/>
        <v>40 - 49</v>
      </c>
    </row>
    <row r="1358" spans="1:15" x14ac:dyDescent="0.35">
      <c r="A1358" s="11">
        <v>5371</v>
      </c>
      <c r="B1358" s="11" t="s">
        <v>16</v>
      </c>
      <c r="C1358" s="11">
        <v>35</v>
      </c>
      <c r="D1358" s="11" t="s">
        <v>29</v>
      </c>
      <c r="E1358" s="11" t="s">
        <v>14</v>
      </c>
      <c r="F1358" s="11">
        <v>287</v>
      </c>
      <c r="G1358" s="11">
        <v>72</v>
      </c>
      <c r="H1358" s="11">
        <v>0.37</v>
      </c>
      <c r="I1358" s="11" t="s">
        <v>23</v>
      </c>
      <c r="J1358" s="11">
        <v>26</v>
      </c>
      <c r="K1358" s="11">
        <v>0</v>
      </c>
      <c r="L1358" s="11">
        <v>0</v>
      </c>
      <c r="M1358" s="11">
        <v>0</v>
      </c>
      <c r="N1358" s="11">
        <v>0</v>
      </c>
      <c r="O1358" s="12" t="str">
        <f t="shared" si="21"/>
        <v>20 - 29</v>
      </c>
    </row>
    <row r="1359" spans="1:15" x14ac:dyDescent="0.35">
      <c r="A1359" s="12">
        <v>5379</v>
      </c>
      <c r="B1359" s="12" t="s">
        <v>12</v>
      </c>
      <c r="C1359" s="12">
        <v>39</v>
      </c>
      <c r="D1359" s="12" t="s">
        <v>25</v>
      </c>
      <c r="E1359" s="12" t="s">
        <v>14</v>
      </c>
      <c r="F1359" s="12">
        <v>184</v>
      </c>
      <c r="G1359" s="12">
        <v>77</v>
      </c>
      <c r="H1359" s="12">
        <v>0.21</v>
      </c>
      <c r="I1359" s="12" t="s">
        <v>23</v>
      </c>
      <c r="J1359" s="12">
        <v>7</v>
      </c>
      <c r="K1359" s="12">
        <v>0</v>
      </c>
      <c r="L1359" s="12">
        <v>0</v>
      </c>
      <c r="M1359" s="12">
        <v>0</v>
      </c>
      <c r="N1359" s="12">
        <v>0</v>
      </c>
      <c r="O1359" s="12" t="str">
        <f t="shared" si="21"/>
        <v>0 - 9</v>
      </c>
    </row>
    <row r="1360" spans="1:15" x14ac:dyDescent="0.35">
      <c r="A1360" s="11">
        <v>5386</v>
      </c>
      <c r="B1360" s="11" t="s">
        <v>16</v>
      </c>
      <c r="C1360" s="11">
        <v>45</v>
      </c>
      <c r="D1360" s="11" t="s">
        <v>26</v>
      </c>
      <c r="E1360" s="11" t="s">
        <v>14</v>
      </c>
      <c r="F1360" s="11">
        <v>131</v>
      </c>
      <c r="G1360" s="11">
        <v>78</v>
      </c>
      <c r="H1360" s="11">
        <v>0.13</v>
      </c>
      <c r="I1360" s="11" t="s">
        <v>15</v>
      </c>
      <c r="J1360" s="11">
        <v>39</v>
      </c>
      <c r="K1360" s="11">
        <v>0</v>
      </c>
      <c r="L1360" s="11">
        <v>1</v>
      </c>
      <c r="M1360" s="11">
        <v>0</v>
      </c>
      <c r="N1360" s="11">
        <v>0</v>
      </c>
      <c r="O1360" s="12" t="str">
        <f t="shared" si="21"/>
        <v>30 - 39</v>
      </c>
    </row>
    <row r="1361" spans="1:15" x14ac:dyDescent="0.35">
      <c r="A1361" s="12">
        <v>5387</v>
      </c>
      <c r="B1361" s="12" t="s">
        <v>16</v>
      </c>
      <c r="C1361" s="12">
        <v>55</v>
      </c>
      <c r="D1361" s="12" t="s">
        <v>27</v>
      </c>
      <c r="E1361" s="12" t="s">
        <v>14</v>
      </c>
      <c r="F1361" s="12">
        <v>190</v>
      </c>
      <c r="G1361" s="12">
        <v>68</v>
      </c>
      <c r="H1361" s="12">
        <v>0.13</v>
      </c>
      <c r="I1361" s="12" t="s">
        <v>23</v>
      </c>
      <c r="J1361" s="12">
        <v>31</v>
      </c>
      <c r="K1361" s="12">
        <v>0</v>
      </c>
      <c r="L1361" s="12">
        <v>1</v>
      </c>
      <c r="M1361" s="12">
        <v>0</v>
      </c>
      <c r="N1361" s="12">
        <v>0</v>
      </c>
      <c r="O1361" s="12" t="str">
        <f t="shared" si="21"/>
        <v>30 - 39</v>
      </c>
    </row>
    <row r="1362" spans="1:15" x14ac:dyDescent="0.35">
      <c r="A1362" s="11">
        <v>5389</v>
      </c>
      <c r="B1362" s="11" t="s">
        <v>20</v>
      </c>
      <c r="C1362" s="11">
        <v>55</v>
      </c>
      <c r="D1362" s="11" t="s">
        <v>21</v>
      </c>
      <c r="E1362" s="11" t="s">
        <v>14</v>
      </c>
      <c r="F1362" s="11">
        <v>248</v>
      </c>
      <c r="G1362" s="11">
        <v>54</v>
      </c>
      <c r="H1362" s="11">
        <v>0.48</v>
      </c>
      <c r="I1362" s="11" t="s">
        <v>15</v>
      </c>
      <c r="J1362" s="11">
        <v>7</v>
      </c>
      <c r="K1362" s="11">
        <v>0</v>
      </c>
      <c r="L1362" s="11">
        <v>0</v>
      </c>
      <c r="M1362" s="11">
        <v>0</v>
      </c>
      <c r="N1362" s="11">
        <v>0</v>
      </c>
      <c r="O1362" s="12" t="str">
        <f t="shared" si="21"/>
        <v>0 - 9</v>
      </c>
    </row>
    <row r="1363" spans="1:15" x14ac:dyDescent="0.35">
      <c r="A1363" s="12">
        <v>5396</v>
      </c>
      <c r="B1363" s="12" t="s">
        <v>20</v>
      </c>
      <c r="C1363" s="12">
        <v>32</v>
      </c>
      <c r="D1363" s="12" t="s">
        <v>17</v>
      </c>
      <c r="E1363" s="12" t="s">
        <v>14</v>
      </c>
      <c r="F1363" s="12">
        <v>72</v>
      </c>
      <c r="G1363" s="12">
        <v>57</v>
      </c>
      <c r="H1363" s="12">
        <v>0.52</v>
      </c>
      <c r="I1363" s="12" t="s">
        <v>19</v>
      </c>
      <c r="J1363" s="12">
        <v>25</v>
      </c>
      <c r="K1363" s="12">
        <v>0</v>
      </c>
      <c r="L1363" s="12">
        <v>0</v>
      </c>
      <c r="M1363" s="12">
        <v>0</v>
      </c>
      <c r="N1363" s="12">
        <v>0</v>
      </c>
      <c r="O1363" s="12" t="str">
        <f t="shared" si="21"/>
        <v>20 - 29</v>
      </c>
    </row>
    <row r="1364" spans="1:15" x14ac:dyDescent="0.35">
      <c r="A1364" s="11">
        <v>5404</v>
      </c>
      <c r="B1364" s="11" t="s">
        <v>12</v>
      </c>
      <c r="C1364" s="11">
        <v>37</v>
      </c>
      <c r="D1364" s="11" t="s">
        <v>21</v>
      </c>
      <c r="E1364" s="11" t="s">
        <v>14</v>
      </c>
      <c r="F1364" s="11">
        <v>216</v>
      </c>
      <c r="G1364" s="11">
        <v>57</v>
      </c>
      <c r="H1364" s="11">
        <v>0.12</v>
      </c>
      <c r="I1364" s="11" t="s">
        <v>23</v>
      </c>
      <c r="J1364" s="11">
        <v>44</v>
      </c>
      <c r="K1364" s="11">
        <v>0</v>
      </c>
      <c r="L1364" s="11">
        <v>1</v>
      </c>
      <c r="M1364" s="11">
        <v>0</v>
      </c>
      <c r="N1364" s="11">
        <v>0</v>
      </c>
      <c r="O1364" s="12" t="str">
        <f t="shared" si="21"/>
        <v>40 - 49</v>
      </c>
    </row>
    <row r="1365" spans="1:15" x14ac:dyDescent="0.35">
      <c r="A1365" s="12">
        <v>5411</v>
      </c>
      <c r="B1365" s="12" t="s">
        <v>16</v>
      </c>
      <c r="C1365" s="12">
        <v>37</v>
      </c>
      <c r="D1365" s="12" t="s">
        <v>21</v>
      </c>
      <c r="E1365" s="12" t="s">
        <v>14</v>
      </c>
      <c r="F1365" s="12">
        <v>100</v>
      </c>
      <c r="G1365" s="12">
        <v>99</v>
      </c>
      <c r="H1365" s="12">
        <v>0.15</v>
      </c>
      <c r="I1365" s="12" t="s">
        <v>23</v>
      </c>
      <c r="J1365" s="12">
        <v>26</v>
      </c>
      <c r="K1365" s="12">
        <v>0</v>
      </c>
      <c r="L1365" s="12">
        <v>0</v>
      </c>
      <c r="M1365" s="12">
        <v>0</v>
      </c>
      <c r="N1365" s="12">
        <v>0</v>
      </c>
      <c r="O1365" s="12" t="str">
        <f t="shared" si="21"/>
        <v>20 - 29</v>
      </c>
    </row>
    <row r="1366" spans="1:15" x14ac:dyDescent="0.35">
      <c r="A1366" s="11">
        <v>5416</v>
      </c>
      <c r="B1366" s="11" t="s">
        <v>12</v>
      </c>
      <c r="C1366" s="11">
        <v>44</v>
      </c>
      <c r="D1366" s="11" t="s">
        <v>17</v>
      </c>
      <c r="E1366" s="11" t="s">
        <v>14</v>
      </c>
      <c r="F1366" s="11">
        <v>94</v>
      </c>
      <c r="G1366" s="11">
        <v>13</v>
      </c>
      <c r="H1366" s="11">
        <v>0.23</v>
      </c>
      <c r="I1366" s="11" t="s">
        <v>19</v>
      </c>
      <c r="J1366" s="11">
        <v>47</v>
      </c>
      <c r="K1366" s="11">
        <v>0</v>
      </c>
      <c r="L1366" s="11">
        <v>0</v>
      </c>
      <c r="M1366" s="11">
        <v>0</v>
      </c>
      <c r="N1366" s="11">
        <v>0</v>
      </c>
      <c r="O1366" s="12" t="str">
        <f t="shared" si="21"/>
        <v>40 - 49</v>
      </c>
    </row>
    <row r="1367" spans="1:15" x14ac:dyDescent="0.35">
      <c r="A1367" s="12">
        <v>5418</v>
      </c>
      <c r="B1367" s="12" t="s">
        <v>20</v>
      </c>
      <c r="C1367" s="12">
        <v>18</v>
      </c>
      <c r="D1367" s="12" t="s">
        <v>29</v>
      </c>
      <c r="E1367" s="12" t="s">
        <v>14</v>
      </c>
      <c r="F1367" s="12">
        <v>299</v>
      </c>
      <c r="G1367" s="12">
        <v>3</v>
      </c>
      <c r="H1367" s="12">
        <v>0.23</v>
      </c>
      <c r="I1367" s="12" t="s">
        <v>19</v>
      </c>
      <c r="J1367" s="12">
        <v>48</v>
      </c>
      <c r="K1367" s="12">
        <v>0</v>
      </c>
      <c r="L1367" s="12">
        <v>0</v>
      </c>
      <c r="M1367" s="12">
        <v>0</v>
      </c>
      <c r="N1367" s="12">
        <v>0</v>
      </c>
      <c r="O1367" s="12" t="str">
        <f t="shared" si="21"/>
        <v>40 - 49</v>
      </c>
    </row>
    <row r="1368" spans="1:15" x14ac:dyDescent="0.35">
      <c r="A1368" s="11">
        <v>5419</v>
      </c>
      <c r="B1368" s="11" t="s">
        <v>20</v>
      </c>
      <c r="C1368" s="11">
        <v>57</v>
      </c>
      <c r="D1368" s="11" t="s">
        <v>27</v>
      </c>
      <c r="E1368" s="11" t="s">
        <v>14</v>
      </c>
      <c r="F1368" s="11">
        <v>191</v>
      </c>
      <c r="G1368" s="11">
        <v>28</v>
      </c>
      <c r="H1368" s="11">
        <v>0.12</v>
      </c>
      <c r="I1368" s="11" t="s">
        <v>23</v>
      </c>
      <c r="J1368" s="11">
        <v>11</v>
      </c>
      <c r="K1368" s="11">
        <v>0</v>
      </c>
      <c r="L1368" s="11">
        <v>0</v>
      </c>
      <c r="M1368" s="11">
        <v>0</v>
      </c>
      <c r="N1368" s="11">
        <v>0</v>
      </c>
      <c r="O1368" s="12" t="str">
        <f t="shared" si="21"/>
        <v>10 - 19</v>
      </c>
    </row>
    <row r="1369" spans="1:15" x14ac:dyDescent="0.35">
      <c r="A1369" s="12">
        <v>5424</v>
      </c>
      <c r="B1369" s="12" t="s">
        <v>12</v>
      </c>
      <c r="C1369" s="12">
        <v>16</v>
      </c>
      <c r="D1369" s="12" t="s">
        <v>28</v>
      </c>
      <c r="E1369" s="12" t="s">
        <v>14</v>
      </c>
      <c r="F1369" s="12">
        <v>172</v>
      </c>
      <c r="G1369" s="12">
        <v>66</v>
      </c>
      <c r="H1369" s="12">
        <v>0.54</v>
      </c>
      <c r="I1369" s="12" t="s">
        <v>23</v>
      </c>
      <c r="J1369" s="12">
        <v>5</v>
      </c>
      <c r="K1369" s="12">
        <v>0</v>
      </c>
      <c r="L1369" s="12">
        <v>0</v>
      </c>
      <c r="M1369" s="12">
        <v>0</v>
      </c>
      <c r="N1369" s="12">
        <v>0</v>
      </c>
      <c r="O1369" s="12" t="str">
        <f t="shared" si="21"/>
        <v>0 - 9</v>
      </c>
    </row>
    <row r="1370" spans="1:15" x14ac:dyDescent="0.35">
      <c r="A1370" s="11">
        <v>5425</v>
      </c>
      <c r="B1370" s="11" t="s">
        <v>20</v>
      </c>
      <c r="C1370" s="11">
        <v>26</v>
      </c>
      <c r="D1370" s="11" t="s">
        <v>25</v>
      </c>
      <c r="E1370" s="11" t="s">
        <v>14</v>
      </c>
      <c r="F1370" s="11">
        <v>14</v>
      </c>
      <c r="G1370" s="11">
        <v>16</v>
      </c>
      <c r="H1370" s="11">
        <v>0.34</v>
      </c>
      <c r="I1370" s="11" t="s">
        <v>15</v>
      </c>
      <c r="J1370" s="11">
        <v>18</v>
      </c>
      <c r="K1370" s="11">
        <v>0</v>
      </c>
      <c r="L1370" s="11">
        <v>0</v>
      </c>
      <c r="M1370" s="11">
        <v>0</v>
      </c>
      <c r="N1370" s="11">
        <v>0</v>
      </c>
      <c r="O1370" s="12" t="str">
        <f t="shared" si="21"/>
        <v>10 - 19</v>
      </c>
    </row>
    <row r="1371" spans="1:15" x14ac:dyDescent="0.35">
      <c r="A1371" s="12">
        <v>5426</v>
      </c>
      <c r="B1371" s="12" t="s">
        <v>20</v>
      </c>
      <c r="C1371" s="12">
        <v>16</v>
      </c>
      <c r="D1371" s="12" t="s">
        <v>29</v>
      </c>
      <c r="E1371" s="12" t="s">
        <v>14</v>
      </c>
      <c r="F1371" s="12">
        <v>93</v>
      </c>
      <c r="G1371" s="12">
        <v>58</v>
      </c>
      <c r="H1371" s="12">
        <v>0.45</v>
      </c>
      <c r="I1371" s="12" t="s">
        <v>23</v>
      </c>
      <c r="J1371" s="12">
        <v>26</v>
      </c>
      <c r="K1371" s="12">
        <v>0</v>
      </c>
      <c r="L1371" s="12">
        <v>0</v>
      </c>
      <c r="M1371" s="12">
        <v>0</v>
      </c>
      <c r="N1371" s="12">
        <v>0</v>
      </c>
      <c r="O1371" s="12" t="str">
        <f t="shared" si="21"/>
        <v>20 - 29</v>
      </c>
    </row>
    <row r="1372" spans="1:15" x14ac:dyDescent="0.35">
      <c r="A1372" s="11">
        <v>5428</v>
      </c>
      <c r="B1372" s="11" t="s">
        <v>16</v>
      </c>
      <c r="C1372" s="11">
        <v>57</v>
      </c>
      <c r="D1372" s="11" t="s">
        <v>28</v>
      </c>
      <c r="E1372" s="11" t="s">
        <v>14</v>
      </c>
      <c r="F1372" s="11">
        <v>272</v>
      </c>
      <c r="G1372" s="11">
        <v>65</v>
      </c>
      <c r="H1372" s="11">
        <v>0.17</v>
      </c>
      <c r="I1372" s="11" t="s">
        <v>15</v>
      </c>
      <c r="J1372" s="11">
        <v>42</v>
      </c>
      <c r="K1372" s="11">
        <v>0</v>
      </c>
      <c r="L1372" s="11">
        <v>0</v>
      </c>
      <c r="M1372" s="11">
        <v>0</v>
      </c>
      <c r="N1372" s="11">
        <v>0</v>
      </c>
      <c r="O1372" s="12" t="str">
        <f t="shared" si="21"/>
        <v>40 - 49</v>
      </c>
    </row>
    <row r="1373" spans="1:15" x14ac:dyDescent="0.35">
      <c r="A1373" s="12">
        <v>5430</v>
      </c>
      <c r="B1373" s="12" t="s">
        <v>20</v>
      </c>
      <c r="C1373" s="12">
        <v>23</v>
      </c>
      <c r="D1373" s="12" t="s">
        <v>21</v>
      </c>
      <c r="E1373" s="12" t="s">
        <v>14</v>
      </c>
      <c r="F1373" s="12">
        <v>40</v>
      </c>
      <c r="G1373" s="12">
        <v>24</v>
      </c>
      <c r="H1373" s="12">
        <v>0.28000000000000003</v>
      </c>
      <c r="I1373" s="12" t="s">
        <v>19</v>
      </c>
      <c r="J1373" s="12">
        <v>23</v>
      </c>
      <c r="K1373" s="12">
        <v>0</v>
      </c>
      <c r="L1373" s="12">
        <v>0</v>
      </c>
      <c r="M1373" s="12">
        <v>0</v>
      </c>
      <c r="N1373" s="12">
        <v>0</v>
      </c>
      <c r="O1373" s="12" t="str">
        <f t="shared" si="21"/>
        <v>20 - 29</v>
      </c>
    </row>
    <row r="1374" spans="1:15" x14ac:dyDescent="0.35">
      <c r="A1374" s="11">
        <v>5431</v>
      </c>
      <c r="B1374" s="11" t="s">
        <v>20</v>
      </c>
      <c r="C1374" s="11">
        <v>37</v>
      </c>
      <c r="D1374" s="11" t="s">
        <v>27</v>
      </c>
      <c r="E1374" s="11" t="s">
        <v>14</v>
      </c>
      <c r="F1374" s="11">
        <v>273</v>
      </c>
      <c r="G1374" s="11">
        <v>15</v>
      </c>
      <c r="H1374" s="11">
        <v>0.45</v>
      </c>
      <c r="I1374" s="11" t="s">
        <v>23</v>
      </c>
      <c r="J1374" s="11">
        <v>12</v>
      </c>
      <c r="K1374" s="11">
        <v>0</v>
      </c>
      <c r="L1374" s="11">
        <v>0</v>
      </c>
      <c r="M1374" s="11">
        <v>0</v>
      </c>
      <c r="N1374" s="11">
        <v>0</v>
      </c>
      <c r="O1374" s="12" t="str">
        <f t="shared" si="21"/>
        <v>10 - 19</v>
      </c>
    </row>
    <row r="1375" spans="1:15" x14ac:dyDescent="0.35">
      <c r="A1375" s="12">
        <v>5433</v>
      </c>
      <c r="B1375" s="12" t="s">
        <v>12</v>
      </c>
      <c r="C1375" s="12">
        <v>16</v>
      </c>
      <c r="D1375" s="12" t="s">
        <v>17</v>
      </c>
      <c r="E1375" s="12" t="s">
        <v>14</v>
      </c>
      <c r="F1375" s="12">
        <v>30</v>
      </c>
      <c r="G1375" s="12">
        <v>40</v>
      </c>
      <c r="H1375" s="12">
        <v>0.32</v>
      </c>
      <c r="I1375" s="12" t="s">
        <v>23</v>
      </c>
      <c r="J1375" s="12">
        <v>37</v>
      </c>
      <c r="K1375" s="12">
        <v>0</v>
      </c>
      <c r="L1375" s="12">
        <v>0</v>
      </c>
      <c r="M1375" s="12">
        <v>0</v>
      </c>
      <c r="N1375" s="12">
        <v>0</v>
      </c>
      <c r="O1375" s="12" t="str">
        <f t="shared" si="21"/>
        <v>30 - 39</v>
      </c>
    </row>
    <row r="1376" spans="1:15" x14ac:dyDescent="0.35">
      <c r="A1376" s="11">
        <v>5435</v>
      </c>
      <c r="B1376" s="11" t="s">
        <v>20</v>
      </c>
      <c r="C1376" s="11">
        <v>25</v>
      </c>
      <c r="D1376" s="11" t="s">
        <v>26</v>
      </c>
      <c r="E1376" s="11" t="s">
        <v>14</v>
      </c>
      <c r="F1376" s="11">
        <v>231</v>
      </c>
      <c r="G1376" s="11">
        <v>2</v>
      </c>
      <c r="H1376" s="11">
        <v>0.59</v>
      </c>
      <c r="I1376" s="11" t="s">
        <v>15</v>
      </c>
      <c r="J1376" s="11">
        <v>49</v>
      </c>
      <c r="K1376" s="11">
        <v>0</v>
      </c>
      <c r="L1376" s="11">
        <v>0</v>
      </c>
      <c r="M1376" s="11">
        <v>0</v>
      </c>
      <c r="N1376" s="11">
        <v>0</v>
      </c>
      <c r="O1376" s="12" t="str">
        <f t="shared" si="21"/>
        <v>40 - 49</v>
      </c>
    </row>
    <row r="1377" spans="1:15" x14ac:dyDescent="0.35">
      <c r="A1377" s="12">
        <v>5437</v>
      </c>
      <c r="B1377" s="12" t="s">
        <v>20</v>
      </c>
      <c r="C1377" s="12">
        <v>22</v>
      </c>
      <c r="D1377" s="12" t="s">
        <v>28</v>
      </c>
      <c r="E1377" s="12" t="s">
        <v>14</v>
      </c>
      <c r="F1377" s="12">
        <v>55</v>
      </c>
      <c r="G1377" s="12">
        <v>45</v>
      </c>
      <c r="H1377" s="12">
        <v>0.1</v>
      </c>
      <c r="I1377" s="12" t="s">
        <v>15</v>
      </c>
      <c r="J1377" s="12">
        <v>38</v>
      </c>
      <c r="K1377" s="12">
        <v>0</v>
      </c>
      <c r="L1377" s="12">
        <v>0</v>
      </c>
      <c r="M1377" s="12">
        <v>0</v>
      </c>
      <c r="N1377" s="12">
        <v>0</v>
      </c>
      <c r="O1377" s="12" t="str">
        <f t="shared" si="21"/>
        <v>30 - 39</v>
      </c>
    </row>
    <row r="1378" spans="1:15" x14ac:dyDescent="0.35">
      <c r="A1378" s="11">
        <v>5441</v>
      </c>
      <c r="B1378" s="11" t="s">
        <v>12</v>
      </c>
      <c r="C1378" s="11">
        <v>17</v>
      </c>
      <c r="D1378" s="11" t="s">
        <v>28</v>
      </c>
      <c r="E1378" s="11" t="s">
        <v>14</v>
      </c>
      <c r="F1378" s="11">
        <v>256</v>
      </c>
      <c r="G1378" s="11">
        <v>61</v>
      </c>
      <c r="H1378" s="11">
        <v>0.39</v>
      </c>
      <c r="I1378" s="11" t="s">
        <v>19</v>
      </c>
      <c r="J1378" s="11">
        <v>19</v>
      </c>
      <c r="K1378" s="11">
        <v>0</v>
      </c>
      <c r="L1378" s="11">
        <v>0</v>
      </c>
      <c r="M1378" s="11">
        <v>0</v>
      </c>
      <c r="N1378" s="11">
        <v>0</v>
      </c>
      <c r="O1378" s="12" t="str">
        <f t="shared" si="21"/>
        <v>10 - 19</v>
      </c>
    </row>
    <row r="1379" spans="1:15" x14ac:dyDescent="0.35">
      <c r="A1379" s="12">
        <v>5442</v>
      </c>
      <c r="B1379" s="12" t="s">
        <v>16</v>
      </c>
      <c r="C1379" s="12">
        <v>50</v>
      </c>
      <c r="D1379" s="12" t="s">
        <v>21</v>
      </c>
      <c r="E1379" s="12" t="s">
        <v>14</v>
      </c>
      <c r="F1379" s="12">
        <v>33</v>
      </c>
      <c r="G1379" s="12">
        <v>88</v>
      </c>
      <c r="H1379" s="12">
        <v>0.11</v>
      </c>
      <c r="I1379" s="12" t="s">
        <v>15</v>
      </c>
      <c r="J1379" s="12">
        <v>24</v>
      </c>
      <c r="K1379" s="12">
        <v>0</v>
      </c>
      <c r="L1379" s="12">
        <v>0</v>
      </c>
      <c r="M1379" s="12">
        <v>0</v>
      </c>
      <c r="N1379" s="12">
        <v>0</v>
      </c>
      <c r="O1379" s="12" t="str">
        <f t="shared" si="21"/>
        <v>20 - 29</v>
      </c>
    </row>
    <row r="1380" spans="1:15" x14ac:dyDescent="0.35">
      <c r="A1380" s="11">
        <v>5444</v>
      </c>
      <c r="B1380" s="11" t="s">
        <v>16</v>
      </c>
      <c r="C1380" s="11">
        <v>49</v>
      </c>
      <c r="D1380" s="11" t="s">
        <v>25</v>
      </c>
      <c r="E1380" s="11" t="s">
        <v>14</v>
      </c>
      <c r="F1380" s="11">
        <v>57</v>
      </c>
      <c r="G1380" s="11">
        <v>82</v>
      </c>
      <c r="H1380" s="11">
        <v>0.18</v>
      </c>
      <c r="I1380" s="11" t="s">
        <v>15</v>
      </c>
      <c r="J1380" s="11">
        <v>30</v>
      </c>
      <c r="K1380" s="11">
        <v>0</v>
      </c>
      <c r="L1380" s="11">
        <v>0</v>
      </c>
      <c r="M1380" s="11">
        <v>0</v>
      </c>
      <c r="N1380" s="11">
        <v>0</v>
      </c>
      <c r="O1380" s="12" t="str">
        <f t="shared" si="21"/>
        <v>30 - 39</v>
      </c>
    </row>
    <row r="1381" spans="1:15" x14ac:dyDescent="0.35">
      <c r="A1381" s="12">
        <v>5446</v>
      </c>
      <c r="B1381" s="12" t="s">
        <v>20</v>
      </c>
      <c r="C1381" s="12">
        <v>48</v>
      </c>
      <c r="D1381" s="12" t="s">
        <v>27</v>
      </c>
      <c r="E1381" s="12" t="s">
        <v>14</v>
      </c>
      <c r="F1381" s="12">
        <v>58</v>
      </c>
      <c r="G1381" s="12">
        <v>14</v>
      </c>
      <c r="H1381" s="12">
        <v>0.32</v>
      </c>
      <c r="I1381" s="12" t="s">
        <v>15</v>
      </c>
      <c r="J1381" s="12">
        <v>20</v>
      </c>
      <c r="K1381" s="12">
        <v>0</v>
      </c>
      <c r="L1381" s="12">
        <v>0</v>
      </c>
      <c r="M1381" s="12">
        <v>0</v>
      </c>
      <c r="N1381" s="12">
        <v>0</v>
      </c>
      <c r="O1381" s="12" t="str">
        <f t="shared" si="21"/>
        <v>20 - 29</v>
      </c>
    </row>
    <row r="1382" spans="1:15" x14ac:dyDescent="0.35">
      <c r="A1382" s="11">
        <v>5455</v>
      </c>
      <c r="B1382" s="11" t="s">
        <v>16</v>
      </c>
      <c r="C1382" s="11">
        <v>55</v>
      </c>
      <c r="D1382" s="11" t="s">
        <v>27</v>
      </c>
      <c r="E1382" s="11" t="s">
        <v>14</v>
      </c>
      <c r="F1382" s="11">
        <v>79</v>
      </c>
      <c r="G1382" s="11">
        <v>26</v>
      </c>
      <c r="H1382" s="11">
        <v>0.08</v>
      </c>
      <c r="I1382" s="11" t="s">
        <v>19</v>
      </c>
      <c r="J1382" s="11">
        <v>9</v>
      </c>
      <c r="K1382" s="11">
        <v>0</v>
      </c>
      <c r="L1382" s="11">
        <v>1</v>
      </c>
      <c r="M1382" s="11">
        <v>0</v>
      </c>
      <c r="N1382" s="11">
        <v>0</v>
      </c>
      <c r="O1382" s="12" t="str">
        <f t="shared" si="21"/>
        <v>0 - 9</v>
      </c>
    </row>
    <row r="1383" spans="1:15" x14ac:dyDescent="0.35">
      <c r="A1383" s="12">
        <v>5457</v>
      </c>
      <c r="B1383" s="12" t="s">
        <v>16</v>
      </c>
      <c r="C1383" s="12">
        <v>42</v>
      </c>
      <c r="D1383" s="12" t="s">
        <v>27</v>
      </c>
      <c r="E1383" s="12" t="s">
        <v>14</v>
      </c>
      <c r="F1383" s="12">
        <v>166</v>
      </c>
      <c r="G1383" s="12">
        <v>8</v>
      </c>
      <c r="H1383" s="12">
        <v>0.44</v>
      </c>
      <c r="I1383" s="12" t="s">
        <v>19</v>
      </c>
      <c r="J1383" s="12">
        <v>34</v>
      </c>
      <c r="K1383" s="12">
        <v>0</v>
      </c>
      <c r="L1383" s="12">
        <v>0</v>
      </c>
      <c r="M1383" s="12">
        <v>0</v>
      </c>
      <c r="N1383" s="12">
        <v>0</v>
      </c>
      <c r="O1383" s="12" t="str">
        <f t="shared" si="21"/>
        <v>30 - 39</v>
      </c>
    </row>
    <row r="1384" spans="1:15" x14ac:dyDescent="0.35">
      <c r="A1384" s="11">
        <v>5461</v>
      </c>
      <c r="B1384" s="11" t="s">
        <v>20</v>
      </c>
      <c r="C1384" s="11">
        <v>33</v>
      </c>
      <c r="D1384" s="11" t="s">
        <v>26</v>
      </c>
      <c r="E1384" s="11" t="s">
        <v>14</v>
      </c>
      <c r="F1384" s="11">
        <v>51</v>
      </c>
      <c r="G1384" s="11">
        <v>67</v>
      </c>
      <c r="H1384" s="11">
        <v>0.41</v>
      </c>
      <c r="I1384" s="11" t="s">
        <v>19</v>
      </c>
      <c r="J1384" s="11">
        <v>36</v>
      </c>
      <c r="K1384" s="11">
        <v>0</v>
      </c>
      <c r="L1384" s="11">
        <v>0</v>
      </c>
      <c r="M1384" s="11">
        <v>0</v>
      </c>
      <c r="N1384" s="11">
        <v>0</v>
      </c>
      <c r="O1384" s="12" t="str">
        <f t="shared" si="21"/>
        <v>30 - 39</v>
      </c>
    </row>
    <row r="1385" spans="1:15" x14ac:dyDescent="0.35">
      <c r="A1385" s="12">
        <v>5465</v>
      </c>
      <c r="B1385" s="12" t="s">
        <v>16</v>
      </c>
      <c r="C1385" s="12">
        <v>28</v>
      </c>
      <c r="D1385" s="12" t="s">
        <v>28</v>
      </c>
      <c r="E1385" s="12" t="s">
        <v>14</v>
      </c>
      <c r="F1385" s="12">
        <v>179</v>
      </c>
      <c r="G1385" s="12">
        <v>62</v>
      </c>
      <c r="H1385" s="12">
        <v>0.37</v>
      </c>
      <c r="I1385" s="12" t="s">
        <v>19</v>
      </c>
      <c r="J1385" s="12">
        <v>46</v>
      </c>
      <c r="K1385" s="12">
        <v>0</v>
      </c>
      <c r="L1385" s="12">
        <v>0</v>
      </c>
      <c r="M1385" s="12">
        <v>0</v>
      </c>
      <c r="N1385" s="12">
        <v>0</v>
      </c>
      <c r="O1385" s="12" t="str">
        <f t="shared" si="21"/>
        <v>40 - 49</v>
      </c>
    </row>
    <row r="1386" spans="1:15" x14ac:dyDescent="0.35">
      <c r="A1386" s="11">
        <v>5469</v>
      </c>
      <c r="B1386" s="11" t="s">
        <v>16</v>
      </c>
      <c r="C1386" s="11">
        <v>22</v>
      </c>
      <c r="D1386" s="11" t="s">
        <v>21</v>
      </c>
      <c r="E1386" s="11" t="s">
        <v>14</v>
      </c>
      <c r="F1386" s="11">
        <v>111</v>
      </c>
      <c r="G1386" s="11">
        <v>80</v>
      </c>
      <c r="H1386" s="11">
        <v>0.14000000000000001</v>
      </c>
      <c r="I1386" s="11" t="s">
        <v>23</v>
      </c>
      <c r="J1386" s="11">
        <v>16</v>
      </c>
      <c r="K1386" s="11">
        <v>0</v>
      </c>
      <c r="L1386" s="11">
        <v>0</v>
      </c>
      <c r="M1386" s="11">
        <v>0</v>
      </c>
      <c r="N1386" s="11">
        <v>0</v>
      </c>
      <c r="O1386" s="12" t="str">
        <f t="shared" si="21"/>
        <v>10 - 19</v>
      </c>
    </row>
    <row r="1387" spans="1:15" x14ac:dyDescent="0.35">
      <c r="A1387" s="12">
        <v>5470</v>
      </c>
      <c r="B1387" s="12" t="s">
        <v>12</v>
      </c>
      <c r="C1387" s="12">
        <v>26</v>
      </c>
      <c r="D1387" s="12" t="s">
        <v>26</v>
      </c>
      <c r="E1387" s="12" t="s">
        <v>14</v>
      </c>
      <c r="F1387" s="12">
        <v>60</v>
      </c>
      <c r="G1387" s="12">
        <v>12</v>
      </c>
      <c r="H1387" s="12">
        <v>0.5</v>
      </c>
      <c r="I1387" s="12" t="s">
        <v>15</v>
      </c>
      <c r="J1387" s="12">
        <v>22</v>
      </c>
      <c r="K1387" s="12">
        <v>0</v>
      </c>
      <c r="L1387" s="12">
        <v>0</v>
      </c>
      <c r="M1387" s="12">
        <v>0</v>
      </c>
      <c r="N1387" s="12">
        <v>0</v>
      </c>
      <c r="O1387" s="12" t="str">
        <f t="shared" si="21"/>
        <v>20 - 29</v>
      </c>
    </row>
    <row r="1388" spans="1:15" x14ac:dyDescent="0.35">
      <c r="A1388" s="11">
        <v>5483</v>
      </c>
      <c r="B1388" s="11" t="s">
        <v>20</v>
      </c>
      <c r="C1388" s="11">
        <v>55</v>
      </c>
      <c r="D1388" s="11" t="s">
        <v>21</v>
      </c>
      <c r="E1388" s="11" t="s">
        <v>14</v>
      </c>
      <c r="F1388" s="11">
        <v>197</v>
      </c>
      <c r="G1388" s="11">
        <v>12</v>
      </c>
      <c r="H1388" s="11">
        <v>0.37</v>
      </c>
      <c r="I1388" s="11" t="s">
        <v>19</v>
      </c>
      <c r="J1388" s="11">
        <v>19</v>
      </c>
      <c r="K1388" s="11">
        <v>0</v>
      </c>
      <c r="L1388" s="11">
        <v>0</v>
      </c>
      <c r="M1388" s="11">
        <v>0</v>
      </c>
      <c r="N1388" s="11">
        <v>0</v>
      </c>
      <c r="O1388" s="12" t="str">
        <f t="shared" si="21"/>
        <v>10 - 19</v>
      </c>
    </row>
    <row r="1389" spans="1:15" x14ac:dyDescent="0.35">
      <c r="A1389" s="12">
        <v>5489</v>
      </c>
      <c r="B1389" s="12" t="s">
        <v>20</v>
      </c>
      <c r="C1389" s="12">
        <v>51</v>
      </c>
      <c r="D1389" s="12" t="s">
        <v>27</v>
      </c>
      <c r="E1389" s="12" t="s">
        <v>14</v>
      </c>
      <c r="F1389" s="12">
        <v>159</v>
      </c>
      <c r="G1389" s="12">
        <v>73</v>
      </c>
      <c r="H1389" s="12">
        <v>0.47</v>
      </c>
      <c r="I1389" s="12" t="s">
        <v>15</v>
      </c>
      <c r="J1389" s="12">
        <v>6</v>
      </c>
      <c r="K1389" s="12">
        <v>0</v>
      </c>
      <c r="L1389" s="12">
        <v>0</v>
      </c>
      <c r="M1389" s="12">
        <v>0</v>
      </c>
      <c r="N1389" s="12">
        <v>0</v>
      </c>
      <c r="O1389" s="12" t="str">
        <f t="shared" si="21"/>
        <v>0 - 9</v>
      </c>
    </row>
    <row r="1390" spans="1:15" x14ac:dyDescent="0.35">
      <c r="A1390" s="11">
        <v>5490</v>
      </c>
      <c r="B1390" s="11" t="s">
        <v>16</v>
      </c>
      <c r="C1390" s="11">
        <v>52</v>
      </c>
      <c r="D1390" s="11" t="s">
        <v>25</v>
      </c>
      <c r="E1390" s="11" t="s">
        <v>14</v>
      </c>
      <c r="F1390" s="11">
        <v>29</v>
      </c>
      <c r="G1390" s="11">
        <v>23</v>
      </c>
      <c r="H1390" s="11">
        <v>0.11</v>
      </c>
      <c r="I1390" s="11" t="s">
        <v>19</v>
      </c>
      <c r="J1390" s="11">
        <v>30</v>
      </c>
      <c r="K1390" s="11">
        <v>0</v>
      </c>
      <c r="L1390" s="11">
        <v>0</v>
      </c>
      <c r="M1390" s="11">
        <v>0</v>
      </c>
      <c r="N1390" s="11">
        <v>0</v>
      </c>
      <c r="O1390" s="12" t="str">
        <f t="shared" si="21"/>
        <v>30 - 39</v>
      </c>
    </row>
    <row r="1391" spans="1:15" x14ac:dyDescent="0.35">
      <c r="A1391" s="12">
        <v>5494</v>
      </c>
      <c r="B1391" s="12" t="s">
        <v>16</v>
      </c>
      <c r="C1391" s="12">
        <v>41</v>
      </c>
      <c r="D1391" s="12" t="s">
        <v>26</v>
      </c>
      <c r="E1391" s="12" t="s">
        <v>14</v>
      </c>
      <c r="F1391" s="12">
        <v>86</v>
      </c>
      <c r="G1391" s="12">
        <v>19</v>
      </c>
      <c r="H1391" s="12">
        <v>0.26</v>
      </c>
      <c r="I1391" s="12" t="s">
        <v>23</v>
      </c>
      <c r="J1391" s="12">
        <v>9</v>
      </c>
      <c r="K1391" s="12">
        <v>0</v>
      </c>
      <c r="L1391" s="12">
        <v>0</v>
      </c>
      <c r="M1391" s="12">
        <v>0</v>
      </c>
      <c r="N1391" s="12">
        <v>0</v>
      </c>
      <c r="O1391" s="12" t="str">
        <f t="shared" si="21"/>
        <v>0 - 9</v>
      </c>
    </row>
    <row r="1392" spans="1:15" x14ac:dyDescent="0.35">
      <c r="A1392" s="11">
        <v>5498</v>
      </c>
      <c r="B1392" s="11" t="s">
        <v>20</v>
      </c>
      <c r="C1392" s="11">
        <v>48</v>
      </c>
      <c r="D1392" s="11" t="s">
        <v>27</v>
      </c>
      <c r="E1392" s="11" t="s">
        <v>14</v>
      </c>
      <c r="F1392" s="11">
        <v>89</v>
      </c>
      <c r="G1392" s="11">
        <v>90</v>
      </c>
      <c r="H1392" s="11">
        <v>0.34</v>
      </c>
      <c r="I1392" s="11" t="s">
        <v>15</v>
      </c>
      <c r="J1392" s="11">
        <v>22</v>
      </c>
      <c r="K1392" s="11">
        <v>0</v>
      </c>
      <c r="L1392" s="11">
        <v>1</v>
      </c>
      <c r="M1392" s="11">
        <v>0</v>
      </c>
      <c r="N1392" s="11">
        <v>0</v>
      </c>
      <c r="O1392" s="12" t="str">
        <f t="shared" si="21"/>
        <v>20 - 29</v>
      </c>
    </row>
    <row r="1393" spans="1:15" x14ac:dyDescent="0.35">
      <c r="A1393" s="12">
        <v>5500</v>
      </c>
      <c r="B1393" s="12" t="s">
        <v>12</v>
      </c>
      <c r="C1393" s="12">
        <v>30</v>
      </c>
      <c r="D1393" s="12" t="s">
        <v>25</v>
      </c>
      <c r="E1393" s="12" t="s">
        <v>14</v>
      </c>
      <c r="F1393" s="12">
        <v>251</v>
      </c>
      <c r="G1393" s="12">
        <v>54</v>
      </c>
      <c r="H1393" s="12">
        <v>0.2</v>
      </c>
      <c r="I1393" s="12" t="s">
        <v>15</v>
      </c>
      <c r="J1393" s="12">
        <v>37</v>
      </c>
      <c r="K1393" s="12">
        <v>0</v>
      </c>
      <c r="L1393" s="12">
        <v>0</v>
      </c>
      <c r="M1393" s="12">
        <v>0</v>
      </c>
      <c r="N1393" s="12">
        <v>0</v>
      </c>
      <c r="O1393" s="12" t="str">
        <f t="shared" si="21"/>
        <v>30 - 39</v>
      </c>
    </row>
    <row r="1394" spans="1:15" x14ac:dyDescent="0.35">
      <c r="A1394" s="11">
        <v>5504</v>
      </c>
      <c r="B1394" s="11" t="s">
        <v>20</v>
      </c>
      <c r="C1394" s="11">
        <v>56</v>
      </c>
      <c r="D1394" s="11" t="s">
        <v>29</v>
      </c>
      <c r="E1394" s="11" t="s">
        <v>14</v>
      </c>
      <c r="F1394" s="11">
        <v>263</v>
      </c>
      <c r="G1394" s="11">
        <v>52</v>
      </c>
      <c r="H1394" s="11">
        <v>0.3</v>
      </c>
      <c r="I1394" s="11" t="s">
        <v>19</v>
      </c>
      <c r="J1394" s="11">
        <v>41</v>
      </c>
      <c r="K1394" s="11">
        <v>0</v>
      </c>
      <c r="L1394" s="11">
        <v>0</v>
      </c>
      <c r="M1394" s="11">
        <v>0</v>
      </c>
      <c r="N1394" s="11">
        <v>0</v>
      </c>
      <c r="O1394" s="12" t="str">
        <f t="shared" si="21"/>
        <v>40 - 49</v>
      </c>
    </row>
    <row r="1395" spans="1:15" x14ac:dyDescent="0.35">
      <c r="A1395" s="12">
        <v>5507</v>
      </c>
      <c r="B1395" s="12" t="s">
        <v>16</v>
      </c>
      <c r="C1395" s="12">
        <v>44</v>
      </c>
      <c r="D1395" s="12" t="s">
        <v>29</v>
      </c>
      <c r="E1395" s="12" t="s">
        <v>14</v>
      </c>
      <c r="F1395" s="12">
        <v>198</v>
      </c>
      <c r="G1395" s="12">
        <v>41</v>
      </c>
      <c r="H1395" s="12">
        <v>0.53</v>
      </c>
      <c r="I1395" s="12" t="s">
        <v>19</v>
      </c>
      <c r="J1395" s="12">
        <v>43</v>
      </c>
      <c r="K1395" s="12">
        <v>0</v>
      </c>
      <c r="L1395" s="12">
        <v>0</v>
      </c>
      <c r="M1395" s="12">
        <v>0</v>
      </c>
      <c r="N1395" s="12">
        <v>0</v>
      </c>
      <c r="O1395" s="12" t="str">
        <f t="shared" si="21"/>
        <v>40 - 49</v>
      </c>
    </row>
    <row r="1396" spans="1:15" x14ac:dyDescent="0.35">
      <c r="A1396" s="11">
        <v>5515</v>
      </c>
      <c r="B1396" s="11" t="s">
        <v>16</v>
      </c>
      <c r="C1396" s="11">
        <v>39</v>
      </c>
      <c r="D1396" s="11" t="s">
        <v>27</v>
      </c>
      <c r="E1396" s="11" t="s">
        <v>14</v>
      </c>
      <c r="F1396" s="11">
        <v>91</v>
      </c>
      <c r="G1396" s="11">
        <v>44</v>
      </c>
      <c r="H1396" s="11">
        <v>0.08</v>
      </c>
      <c r="I1396" s="11" t="s">
        <v>19</v>
      </c>
      <c r="J1396" s="11">
        <v>43</v>
      </c>
      <c r="K1396" s="11">
        <v>0</v>
      </c>
      <c r="L1396" s="11">
        <v>0</v>
      </c>
      <c r="M1396" s="11">
        <v>0</v>
      </c>
      <c r="N1396" s="11">
        <v>0</v>
      </c>
      <c r="O1396" s="12" t="str">
        <f t="shared" si="21"/>
        <v>40 - 49</v>
      </c>
    </row>
    <row r="1397" spans="1:15" x14ac:dyDescent="0.35">
      <c r="A1397" s="12">
        <v>5519</v>
      </c>
      <c r="B1397" s="12" t="s">
        <v>16</v>
      </c>
      <c r="C1397" s="12">
        <v>44</v>
      </c>
      <c r="D1397" s="12" t="s">
        <v>25</v>
      </c>
      <c r="E1397" s="12" t="s">
        <v>14</v>
      </c>
      <c r="F1397" s="12">
        <v>57</v>
      </c>
      <c r="G1397" s="12">
        <v>63</v>
      </c>
      <c r="H1397" s="12">
        <v>0.52</v>
      </c>
      <c r="I1397" s="12" t="s">
        <v>19</v>
      </c>
      <c r="J1397" s="12">
        <v>27</v>
      </c>
      <c r="K1397" s="12">
        <v>0</v>
      </c>
      <c r="L1397" s="12">
        <v>0</v>
      </c>
      <c r="M1397" s="12">
        <v>0</v>
      </c>
      <c r="N1397" s="12">
        <v>0</v>
      </c>
      <c r="O1397" s="12" t="str">
        <f t="shared" si="21"/>
        <v>20 - 29</v>
      </c>
    </row>
    <row r="1398" spans="1:15" x14ac:dyDescent="0.35">
      <c r="A1398" s="11">
        <v>5524</v>
      </c>
      <c r="B1398" s="11" t="s">
        <v>12</v>
      </c>
      <c r="C1398" s="11">
        <v>38</v>
      </c>
      <c r="D1398" s="11" t="s">
        <v>27</v>
      </c>
      <c r="E1398" s="11" t="s">
        <v>14</v>
      </c>
      <c r="F1398" s="11">
        <v>262</v>
      </c>
      <c r="G1398" s="11">
        <v>39</v>
      </c>
      <c r="H1398" s="11">
        <v>0.34</v>
      </c>
      <c r="I1398" s="11" t="s">
        <v>19</v>
      </c>
      <c r="J1398" s="11">
        <v>43</v>
      </c>
      <c r="K1398" s="11">
        <v>0</v>
      </c>
      <c r="L1398" s="11">
        <v>0</v>
      </c>
      <c r="M1398" s="11">
        <v>0</v>
      </c>
      <c r="N1398" s="11">
        <v>0</v>
      </c>
      <c r="O1398" s="12" t="str">
        <f t="shared" si="21"/>
        <v>40 - 49</v>
      </c>
    </row>
    <row r="1399" spans="1:15" x14ac:dyDescent="0.35">
      <c r="A1399" s="12">
        <v>5527</v>
      </c>
      <c r="B1399" s="12" t="s">
        <v>16</v>
      </c>
      <c r="C1399" s="12">
        <v>57</v>
      </c>
      <c r="D1399" s="12" t="s">
        <v>17</v>
      </c>
      <c r="E1399" s="12" t="s">
        <v>14</v>
      </c>
      <c r="F1399" s="12">
        <v>58</v>
      </c>
      <c r="G1399" s="12">
        <v>41</v>
      </c>
      <c r="H1399" s="12">
        <v>0</v>
      </c>
      <c r="I1399" s="12" t="s">
        <v>23</v>
      </c>
      <c r="J1399" s="12">
        <v>27</v>
      </c>
      <c r="K1399" s="12">
        <v>0</v>
      </c>
      <c r="L1399" s="12">
        <v>0</v>
      </c>
      <c r="M1399" s="12">
        <v>0</v>
      </c>
      <c r="N1399" s="12">
        <v>0</v>
      </c>
      <c r="O1399" s="12" t="str">
        <f t="shared" si="21"/>
        <v>20 - 29</v>
      </c>
    </row>
    <row r="1400" spans="1:15" x14ac:dyDescent="0.35">
      <c r="A1400" s="11">
        <v>5531</v>
      </c>
      <c r="B1400" s="11" t="s">
        <v>16</v>
      </c>
      <c r="C1400" s="11">
        <v>28</v>
      </c>
      <c r="D1400" s="11" t="s">
        <v>27</v>
      </c>
      <c r="E1400" s="11" t="s">
        <v>14</v>
      </c>
      <c r="F1400" s="11">
        <v>119</v>
      </c>
      <c r="G1400" s="11">
        <v>9</v>
      </c>
      <c r="H1400" s="11">
        <v>0.5</v>
      </c>
      <c r="I1400" s="11" t="s">
        <v>23</v>
      </c>
      <c r="J1400" s="11">
        <v>25</v>
      </c>
      <c r="K1400" s="11">
        <v>0</v>
      </c>
      <c r="L1400" s="11">
        <v>1</v>
      </c>
      <c r="M1400" s="11">
        <v>0</v>
      </c>
      <c r="N1400" s="11">
        <v>0</v>
      </c>
      <c r="O1400" s="12" t="str">
        <f t="shared" si="21"/>
        <v>20 - 29</v>
      </c>
    </row>
    <row r="1401" spans="1:15" x14ac:dyDescent="0.35">
      <c r="A1401" s="12">
        <v>5536</v>
      </c>
      <c r="B1401" s="12" t="s">
        <v>12</v>
      </c>
      <c r="C1401" s="12">
        <v>36</v>
      </c>
      <c r="D1401" s="12" t="s">
        <v>13</v>
      </c>
      <c r="E1401" s="12" t="s">
        <v>14</v>
      </c>
      <c r="F1401" s="12">
        <v>236</v>
      </c>
      <c r="G1401" s="12">
        <v>41</v>
      </c>
      <c r="H1401" s="12">
        <v>0.46</v>
      </c>
      <c r="I1401" s="12" t="s">
        <v>15</v>
      </c>
      <c r="J1401" s="12">
        <v>32</v>
      </c>
      <c r="K1401" s="12">
        <v>0</v>
      </c>
      <c r="L1401" s="12">
        <v>1</v>
      </c>
      <c r="M1401" s="12">
        <v>0</v>
      </c>
      <c r="N1401" s="12">
        <v>0</v>
      </c>
      <c r="O1401" s="12" t="str">
        <f t="shared" si="21"/>
        <v>30 - 39</v>
      </c>
    </row>
    <row r="1402" spans="1:15" x14ac:dyDescent="0.35">
      <c r="A1402" s="11">
        <v>5538</v>
      </c>
      <c r="B1402" s="11" t="s">
        <v>16</v>
      </c>
      <c r="C1402" s="11">
        <v>28</v>
      </c>
      <c r="D1402" s="11" t="s">
        <v>21</v>
      </c>
      <c r="E1402" s="11" t="s">
        <v>14</v>
      </c>
      <c r="F1402" s="11">
        <v>62</v>
      </c>
      <c r="G1402" s="11">
        <v>61</v>
      </c>
      <c r="H1402" s="11">
        <v>0.5</v>
      </c>
      <c r="I1402" s="11" t="s">
        <v>23</v>
      </c>
      <c r="J1402" s="11">
        <v>45</v>
      </c>
      <c r="K1402" s="11">
        <v>0</v>
      </c>
      <c r="L1402" s="11">
        <v>0</v>
      </c>
      <c r="M1402" s="11">
        <v>0</v>
      </c>
      <c r="N1402" s="11">
        <v>0</v>
      </c>
      <c r="O1402" s="12" t="str">
        <f t="shared" si="21"/>
        <v>40 - 49</v>
      </c>
    </row>
    <row r="1403" spans="1:15" x14ac:dyDescent="0.35">
      <c r="A1403" s="12">
        <v>5539</v>
      </c>
      <c r="B1403" s="12" t="s">
        <v>16</v>
      </c>
      <c r="C1403" s="12">
        <v>50</v>
      </c>
      <c r="D1403" s="12" t="s">
        <v>25</v>
      </c>
      <c r="E1403" s="12" t="s">
        <v>14</v>
      </c>
      <c r="F1403" s="12">
        <v>231</v>
      </c>
      <c r="G1403" s="12">
        <v>86</v>
      </c>
      <c r="H1403" s="12">
        <v>0.57999999999999996</v>
      </c>
      <c r="I1403" s="12" t="s">
        <v>23</v>
      </c>
      <c r="J1403" s="12">
        <v>35</v>
      </c>
      <c r="K1403" s="12">
        <v>0</v>
      </c>
      <c r="L1403" s="12">
        <v>0</v>
      </c>
      <c r="M1403" s="12">
        <v>0</v>
      </c>
      <c r="N1403" s="12">
        <v>0</v>
      </c>
      <c r="O1403" s="12" t="str">
        <f t="shared" si="21"/>
        <v>30 - 39</v>
      </c>
    </row>
    <row r="1404" spans="1:15" x14ac:dyDescent="0.35">
      <c r="A1404" s="11">
        <v>5540</v>
      </c>
      <c r="B1404" s="11" t="s">
        <v>12</v>
      </c>
      <c r="C1404" s="11">
        <v>52</v>
      </c>
      <c r="D1404" s="11" t="s">
        <v>21</v>
      </c>
      <c r="E1404" s="11" t="s">
        <v>14</v>
      </c>
      <c r="F1404" s="11">
        <v>79</v>
      </c>
      <c r="G1404" s="11">
        <v>24</v>
      </c>
      <c r="H1404" s="11">
        <v>0.13</v>
      </c>
      <c r="I1404" s="11" t="s">
        <v>19</v>
      </c>
      <c r="J1404" s="11">
        <v>32</v>
      </c>
      <c r="K1404" s="11">
        <v>0</v>
      </c>
      <c r="L1404" s="11">
        <v>0</v>
      </c>
      <c r="M1404" s="11">
        <v>0</v>
      </c>
      <c r="N1404" s="11">
        <v>0</v>
      </c>
      <c r="O1404" s="12" t="str">
        <f t="shared" si="21"/>
        <v>30 - 39</v>
      </c>
    </row>
    <row r="1405" spans="1:15" x14ac:dyDescent="0.35">
      <c r="A1405" s="12">
        <v>5545</v>
      </c>
      <c r="B1405" s="12" t="s">
        <v>20</v>
      </c>
      <c r="C1405" s="12">
        <v>18</v>
      </c>
      <c r="D1405" s="12" t="s">
        <v>21</v>
      </c>
      <c r="E1405" s="12" t="s">
        <v>14</v>
      </c>
      <c r="F1405" s="12">
        <v>109</v>
      </c>
      <c r="G1405" s="12">
        <v>20</v>
      </c>
      <c r="H1405" s="12">
        <v>0.04</v>
      </c>
      <c r="I1405" s="12" t="s">
        <v>19</v>
      </c>
      <c r="J1405" s="12">
        <v>26</v>
      </c>
      <c r="K1405" s="12">
        <v>0</v>
      </c>
      <c r="L1405" s="12">
        <v>1</v>
      </c>
      <c r="M1405" s="12">
        <v>0</v>
      </c>
      <c r="N1405" s="12">
        <v>0</v>
      </c>
      <c r="O1405" s="12" t="str">
        <f t="shared" si="21"/>
        <v>20 - 29</v>
      </c>
    </row>
    <row r="1406" spans="1:15" x14ac:dyDescent="0.35">
      <c r="A1406" s="11">
        <v>5552</v>
      </c>
      <c r="B1406" s="11" t="s">
        <v>12</v>
      </c>
      <c r="C1406" s="11">
        <v>53</v>
      </c>
      <c r="D1406" s="11" t="s">
        <v>25</v>
      </c>
      <c r="E1406" s="11" t="s">
        <v>14</v>
      </c>
      <c r="F1406" s="11">
        <v>77</v>
      </c>
      <c r="G1406" s="11">
        <v>47</v>
      </c>
      <c r="H1406" s="11">
        <v>0.31</v>
      </c>
      <c r="I1406" s="11" t="s">
        <v>19</v>
      </c>
      <c r="J1406" s="11">
        <v>38</v>
      </c>
      <c r="K1406" s="11">
        <v>0</v>
      </c>
      <c r="L1406" s="11">
        <v>0</v>
      </c>
      <c r="M1406" s="11">
        <v>0</v>
      </c>
      <c r="N1406" s="11">
        <v>0</v>
      </c>
      <c r="O1406" s="12" t="str">
        <f t="shared" si="21"/>
        <v>30 - 39</v>
      </c>
    </row>
    <row r="1407" spans="1:15" x14ac:dyDescent="0.35">
      <c r="A1407" s="12">
        <v>5554</v>
      </c>
      <c r="B1407" s="12" t="s">
        <v>20</v>
      </c>
      <c r="C1407" s="12">
        <v>27</v>
      </c>
      <c r="D1407" s="12" t="s">
        <v>25</v>
      </c>
      <c r="E1407" s="12" t="s">
        <v>14</v>
      </c>
      <c r="F1407" s="12">
        <v>207</v>
      </c>
      <c r="G1407" s="12">
        <v>78</v>
      </c>
      <c r="H1407" s="12">
        <v>0.37</v>
      </c>
      <c r="I1407" s="12" t="s">
        <v>19</v>
      </c>
      <c r="J1407" s="12">
        <v>7</v>
      </c>
      <c r="K1407" s="12">
        <v>0</v>
      </c>
      <c r="L1407" s="12">
        <v>0</v>
      </c>
      <c r="M1407" s="12">
        <v>0</v>
      </c>
      <c r="N1407" s="12">
        <v>0</v>
      </c>
      <c r="O1407" s="12" t="str">
        <f t="shared" si="21"/>
        <v>0 - 9</v>
      </c>
    </row>
    <row r="1408" spans="1:15" x14ac:dyDescent="0.35">
      <c r="A1408" s="11">
        <v>5556</v>
      </c>
      <c r="B1408" s="11" t="s">
        <v>12</v>
      </c>
      <c r="C1408" s="11">
        <v>51</v>
      </c>
      <c r="D1408" s="11" t="s">
        <v>25</v>
      </c>
      <c r="E1408" s="11" t="s">
        <v>14</v>
      </c>
      <c r="F1408" s="11">
        <v>179</v>
      </c>
      <c r="G1408" s="11">
        <v>35</v>
      </c>
      <c r="H1408" s="11">
        <v>0.02</v>
      </c>
      <c r="I1408" s="11" t="s">
        <v>23</v>
      </c>
      <c r="J1408" s="11">
        <v>39</v>
      </c>
      <c r="K1408" s="11">
        <v>0</v>
      </c>
      <c r="L1408" s="11">
        <v>0</v>
      </c>
      <c r="M1408" s="11">
        <v>0</v>
      </c>
      <c r="N1408" s="11">
        <v>0</v>
      </c>
      <c r="O1408" s="12" t="str">
        <f t="shared" si="21"/>
        <v>30 - 39</v>
      </c>
    </row>
    <row r="1409" spans="1:15" x14ac:dyDescent="0.35">
      <c r="A1409" s="12">
        <v>5559</v>
      </c>
      <c r="B1409" s="12" t="s">
        <v>20</v>
      </c>
      <c r="C1409" s="12">
        <v>51</v>
      </c>
      <c r="D1409" s="12" t="s">
        <v>27</v>
      </c>
      <c r="E1409" s="12" t="s">
        <v>14</v>
      </c>
      <c r="F1409" s="12">
        <v>230</v>
      </c>
      <c r="G1409" s="12">
        <v>84</v>
      </c>
      <c r="H1409" s="12">
        <v>0.43</v>
      </c>
      <c r="I1409" s="12" t="s">
        <v>15</v>
      </c>
      <c r="J1409" s="12">
        <v>43</v>
      </c>
      <c r="K1409" s="12">
        <v>0</v>
      </c>
      <c r="L1409" s="12">
        <v>1</v>
      </c>
      <c r="M1409" s="12">
        <v>0</v>
      </c>
      <c r="N1409" s="12">
        <v>0</v>
      </c>
      <c r="O1409" s="12" t="str">
        <f t="shared" si="21"/>
        <v>40 - 49</v>
      </c>
    </row>
    <row r="1410" spans="1:15" x14ac:dyDescent="0.35">
      <c r="A1410" s="11">
        <v>5563</v>
      </c>
      <c r="B1410" s="11" t="s">
        <v>16</v>
      </c>
      <c r="C1410" s="11">
        <v>45</v>
      </c>
      <c r="D1410" s="11" t="s">
        <v>26</v>
      </c>
      <c r="E1410" s="11" t="s">
        <v>14</v>
      </c>
      <c r="F1410" s="11">
        <v>137</v>
      </c>
      <c r="G1410" s="11">
        <v>5</v>
      </c>
      <c r="H1410" s="11">
        <v>0.41</v>
      </c>
      <c r="I1410" s="11" t="s">
        <v>19</v>
      </c>
      <c r="J1410" s="11">
        <v>26</v>
      </c>
      <c r="K1410" s="11">
        <v>0</v>
      </c>
      <c r="L1410" s="11">
        <v>0</v>
      </c>
      <c r="M1410" s="11">
        <v>0</v>
      </c>
      <c r="N1410" s="11">
        <v>0</v>
      </c>
      <c r="O1410" s="12" t="str">
        <f t="shared" ref="O1410:O1473" si="22">_xlfn.FLOOR.MATH(J1410, 10) &amp; " - " &amp; (_xlfn.FLOOR.MATH(J1410, 10) + 9)</f>
        <v>20 - 29</v>
      </c>
    </row>
    <row r="1411" spans="1:15" x14ac:dyDescent="0.35">
      <c r="A1411" s="12">
        <v>5564</v>
      </c>
      <c r="B1411" s="12" t="s">
        <v>12</v>
      </c>
      <c r="C1411" s="12">
        <v>28</v>
      </c>
      <c r="D1411" s="12" t="s">
        <v>28</v>
      </c>
      <c r="E1411" s="12" t="s">
        <v>14</v>
      </c>
      <c r="F1411" s="12">
        <v>157</v>
      </c>
      <c r="G1411" s="12">
        <v>91</v>
      </c>
      <c r="H1411" s="12">
        <v>0.59</v>
      </c>
      <c r="I1411" s="12" t="s">
        <v>15</v>
      </c>
      <c r="J1411" s="12">
        <v>38</v>
      </c>
      <c r="K1411" s="12">
        <v>0</v>
      </c>
      <c r="L1411" s="12">
        <v>1</v>
      </c>
      <c r="M1411" s="12">
        <v>0</v>
      </c>
      <c r="N1411" s="12">
        <v>0</v>
      </c>
      <c r="O1411" s="12" t="str">
        <f t="shared" si="22"/>
        <v>30 - 39</v>
      </c>
    </row>
    <row r="1412" spans="1:15" x14ac:dyDescent="0.35">
      <c r="A1412" s="11">
        <v>5567</v>
      </c>
      <c r="B1412" s="11" t="s">
        <v>20</v>
      </c>
      <c r="C1412" s="11">
        <v>31</v>
      </c>
      <c r="D1412" s="11" t="s">
        <v>28</v>
      </c>
      <c r="E1412" s="11" t="s">
        <v>14</v>
      </c>
      <c r="F1412" s="11">
        <v>56</v>
      </c>
      <c r="G1412" s="11">
        <v>96</v>
      </c>
      <c r="H1412" s="11">
        <v>0.47</v>
      </c>
      <c r="I1412" s="11" t="s">
        <v>19</v>
      </c>
      <c r="J1412" s="11">
        <v>46</v>
      </c>
      <c r="K1412" s="11">
        <v>0</v>
      </c>
      <c r="L1412" s="11">
        <v>1</v>
      </c>
      <c r="M1412" s="11">
        <v>0</v>
      </c>
      <c r="N1412" s="11">
        <v>0</v>
      </c>
      <c r="O1412" s="12" t="str">
        <f t="shared" si="22"/>
        <v>40 - 49</v>
      </c>
    </row>
    <row r="1413" spans="1:15" x14ac:dyDescent="0.35">
      <c r="A1413" s="12">
        <v>5568</v>
      </c>
      <c r="B1413" s="12" t="s">
        <v>12</v>
      </c>
      <c r="C1413" s="12">
        <v>44</v>
      </c>
      <c r="D1413" s="12" t="s">
        <v>17</v>
      </c>
      <c r="E1413" s="12" t="s">
        <v>14</v>
      </c>
      <c r="F1413" s="12">
        <v>191</v>
      </c>
      <c r="G1413" s="12">
        <v>25</v>
      </c>
      <c r="H1413" s="12">
        <v>0.26</v>
      </c>
      <c r="I1413" s="12" t="s">
        <v>23</v>
      </c>
      <c r="J1413" s="12">
        <v>11</v>
      </c>
      <c r="K1413" s="12">
        <v>0</v>
      </c>
      <c r="L1413" s="12">
        <v>0</v>
      </c>
      <c r="M1413" s="12">
        <v>0</v>
      </c>
      <c r="N1413" s="12">
        <v>0</v>
      </c>
      <c r="O1413" s="12" t="str">
        <f t="shared" si="22"/>
        <v>10 - 19</v>
      </c>
    </row>
    <row r="1414" spans="1:15" x14ac:dyDescent="0.35">
      <c r="A1414" s="11">
        <v>5580</v>
      </c>
      <c r="B1414" s="11" t="s">
        <v>12</v>
      </c>
      <c r="C1414" s="11">
        <v>39</v>
      </c>
      <c r="D1414" s="11" t="s">
        <v>17</v>
      </c>
      <c r="E1414" s="11" t="s">
        <v>14</v>
      </c>
      <c r="F1414" s="11">
        <v>31</v>
      </c>
      <c r="G1414" s="11">
        <v>85</v>
      </c>
      <c r="H1414" s="11">
        <v>0.13</v>
      </c>
      <c r="I1414" s="11" t="s">
        <v>19</v>
      </c>
      <c r="J1414" s="11">
        <v>25</v>
      </c>
      <c r="K1414" s="11">
        <v>0</v>
      </c>
      <c r="L1414" s="11">
        <v>0</v>
      </c>
      <c r="M1414" s="11">
        <v>0</v>
      </c>
      <c r="N1414" s="11">
        <v>0</v>
      </c>
      <c r="O1414" s="12" t="str">
        <f t="shared" si="22"/>
        <v>20 - 29</v>
      </c>
    </row>
    <row r="1415" spans="1:15" x14ac:dyDescent="0.35">
      <c r="A1415" s="12">
        <v>5582</v>
      </c>
      <c r="B1415" s="12" t="s">
        <v>12</v>
      </c>
      <c r="C1415" s="12">
        <v>34</v>
      </c>
      <c r="D1415" s="12" t="s">
        <v>29</v>
      </c>
      <c r="E1415" s="12" t="s">
        <v>14</v>
      </c>
      <c r="F1415" s="12">
        <v>55</v>
      </c>
      <c r="G1415" s="12">
        <v>3</v>
      </c>
      <c r="H1415" s="12">
        <v>0.34</v>
      </c>
      <c r="I1415" s="12" t="s">
        <v>23</v>
      </c>
      <c r="J1415" s="12">
        <v>34</v>
      </c>
      <c r="K1415" s="12">
        <v>0</v>
      </c>
      <c r="L1415" s="12">
        <v>0</v>
      </c>
      <c r="M1415" s="12">
        <v>0</v>
      </c>
      <c r="N1415" s="12">
        <v>0</v>
      </c>
      <c r="O1415" s="12" t="str">
        <f t="shared" si="22"/>
        <v>30 - 39</v>
      </c>
    </row>
    <row r="1416" spans="1:15" x14ac:dyDescent="0.35">
      <c r="A1416" s="11">
        <v>5583</v>
      </c>
      <c r="B1416" s="11" t="s">
        <v>16</v>
      </c>
      <c r="C1416" s="11">
        <v>56</v>
      </c>
      <c r="D1416" s="11" t="s">
        <v>26</v>
      </c>
      <c r="E1416" s="11" t="s">
        <v>14</v>
      </c>
      <c r="F1416" s="11">
        <v>50</v>
      </c>
      <c r="G1416" s="11">
        <v>99</v>
      </c>
      <c r="H1416" s="11">
        <v>0.32</v>
      </c>
      <c r="I1416" s="11" t="s">
        <v>19</v>
      </c>
      <c r="J1416" s="11">
        <v>34</v>
      </c>
      <c r="K1416" s="11">
        <v>0</v>
      </c>
      <c r="L1416" s="11">
        <v>1</v>
      </c>
      <c r="M1416" s="11">
        <v>0</v>
      </c>
      <c r="N1416" s="11">
        <v>0</v>
      </c>
      <c r="O1416" s="12" t="str">
        <f t="shared" si="22"/>
        <v>30 - 39</v>
      </c>
    </row>
    <row r="1417" spans="1:15" x14ac:dyDescent="0.35">
      <c r="A1417" s="12">
        <v>5584</v>
      </c>
      <c r="B1417" s="12" t="s">
        <v>16</v>
      </c>
      <c r="C1417" s="12">
        <v>42</v>
      </c>
      <c r="D1417" s="12" t="s">
        <v>25</v>
      </c>
      <c r="E1417" s="12" t="s">
        <v>14</v>
      </c>
      <c r="F1417" s="12">
        <v>181</v>
      </c>
      <c r="G1417" s="12">
        <v>65</v>
      </c>
      <c r="H1417" s="12">
        <v>0.14000000000000001</v>
      </c>
      <c r="I1417" s="12" t="s">
        <v>19</v>
      </c>
      <c r="J1417" s="12">
        <v>36</v>
      </c>
      <c r="K1417" s="12">
        <v>0</v>
      </c>
      <c r="L1417" s="12">
        <v>1</v>
      </c>
      <c r="M1417" s="12">
        <v>0</v>
      </c>
      <c r="N1417" s="12">
        <v>0</v>
      </c>
      <c r="O1417" s="12" t="str">
        <f t="shared" si="22"/>
        <v>30 - 39</v>
      </c>
    </row>
    <row r="1418" spans="1:15" x14ac:dyDescent="0.35">
      <c r="A1418" s="11">
        <v>5586</v>
      </c>
      <c r="B1418" s="11" t="s">
        <v>20</v>
      </c>
      <c r="C1418" s="11">
        <v>19</v>
      </c>
      <c r="D1418" s="11" t="s">
        <v>13</v>
      </c>
      <c r="E1418" s="11" t="s">
        <v>14</v>
      </c>
      <c r="F1418" s="11">
        <v>71</v>
      </c>
      <c r="G1418" s="11">
        <v>1</v>
      </c>
      <c r="H1418" s="11">
        <v>0.19</v>
      </c>
      <c r="I1418" s="11" t="s">
        <v>15</v>
      </c>
      <c r="J1418" s="11">
        <v>24</v>
      </c>
      <c r="K1418" s="11">
        <v>0</v>
      </c>
      <c r="L1418" s="11">
        <v>0</v>
      </c>
      <c r="M1418" s="11">
        <v>0</v>
      </c>
      <c r="N1418" s="11">
        <v>0</v>
      </c>
      <c r="O1418" s="12" t="str">
        <f t="shared" si="22"/>
        <v>20 - 29</v>
      </c>
    </row>
    <row r="1419" spans="1:15" x14ac:dyDescent="0.35">
      <c r="A1419" s="12">
        <v>5592</v>
      </c>
      <c r="B1419" s="12" t="s">
        <v>12</v>
      </c>
      <c r="C1419" s="12">
        <v>32</v>
      </c>
      <c r="D1419" s="12" t="s">
        <v>25</v>
      </c>
      <c r="E1419" s="12" t="s">
        <v>14</v>
      </c>
      <c r="F1419" s="12">
        <v>276</v>
      </c>
      <c r="G1419" s="12">
        <v>23</v>
      </c>
      <c r="H1419" s="12">
        <v>0.38</v>
      </c>
      <c r="I1419" s="12" t="s">
        <v>19</v>
      </c>
      <c r="J1419" s="12">
        <v>9</v>
      </c>
      <c r="K1419" s="12">
        <v>0</v>
      </c>
      <c r="L1419" s="12">
        <v>0</v>
      </c>
      <c r="M1419" s="12">
        <v>0</v>
      </c>
      <c r="N1419" s="12">
        <v>0</v>
      </c>
      <c r="O1419" s="12" t="str">
        <f t="shared" si="22"/>
        <v>0 - 9</v>
      </c>
    </row>
    <row r="1420" spans="1:15" x14ac:dyDescent="0.35">
      <c r="A1420" s="11">
        <v>5605</v>
      </c>
      <c r="B1420" s="11" t="s">
        <v>12</v>
      </c>
      <c r="C1420" s="11">
        <v>40</v>
      </c>
      <c r="D1420" s="11" t="s">
        <v>29</v>
      </c>
      <c r="E1420" s="11" t="s">
        <v>14</v>
      </c>
      <c r="F1420" s="11">
        <v>53</v>
      </c>
      <c r="G1420" s="11">
        <v>42</v>
      </c>
      <c r="H1420" s="11">
        <v>0.25</v>
      </c>
      <c r="I1420" s="11" t="s">
        <v>23</v>
      </c>
      <c r="J1420" s="11">
        <v>12</v>
      </c>
      <c r="K1420" s="11">
        <v>0</v>
      </c>
      <c r="L1420" s="11">
        <v>0</v>
      </c>
      <c r="M1420" s="11">
        <v>0</v>
      </c>
      <c r="N1420" s="11">
        <v>0</v>
      </c>
      <c r="O1420" s="12" t="str">
        <f t="shared" si="22"/>
        <v>10 - 19</v>
      </c>
    </row>
    <row r="1421" spans="1:15" x14ac:dyDescent="0.35">
      <c r="A1421" s="12">
        <v>5610</v>
      </c>
      <c r="B1421" s="12" t="s">
        <v>12</v>
      </c>
      <c r="C1421" s="12">
        <v>57</v>
      </c>
      <c r="D1421" s="12" t="s">
        <v>29</v>
      </c>
      <c r="E1421" s="12" t="s">
        <v>14</v>
      </c>
      <c r="F1421" s="12">
        <v>113</v>
      </c>
      <c r="G1421" s="12">
        <v>60</v>
      </c>
      <c r="H1421" s="12">
        <v>0.21</v>
      </c>
      <c r="I1421" s="12" t="s">
        <v>15</v>
      </c>
      <c r="J1421" s="12">
        <v>39</v>
      </c>
      <c r="K1421" s="12">
        <v>0</v>
      </c>
      <c r="L1421" s="12">
        <v>0</v>
      </c>
      <c r="M1421" s="12">
        <v>0</v>
      </c>
      <c r="N1421" s="12">
        <v>0</v>
      </c>
      <c r="O1421" s="12" t="str">
        <f t="shared" si="22"/>
        <v>30 - 39</v>
      </c>
    </row>
    <row r="1422" spans="1:15" x14ac:dyDescent="0.35">
      <c r="A1422" s="11">
        <v>5625</v>
      </c>
      <c r="B1422" s="11" t="s">
        <v>20</v>
      </c>
      <c r="C1422" s="11">
        <v>56</v>
      </c>
      <c r="D1422" s="11" t="s">
        <v>28</v>
      </c>
      <c r="E1422" s="11" t="s">
        <v>14</v>
      </c>
      <c r="F1422" s="11">
        <v>261</v>
      </c>
      <c r="G1422" s="11">
        <v>83</v>
      </c>
      <c r="H1422" s="11">
        <v>0.14000000000000001</v>
      </c>
      <c r="I1422" s="11" t="s">
        <v>19</v>
      </c>
      <c r="J1422" s="11">
        <v>23</v>
      </c>
      <c r="K1422" s="11">
        <v>0</v>
      </c>
      <c r="L1422" s="11">
        <v>1</v>
      </c>
      <c r="M1422" s="11">
        <v>0</v>
      </c>
      <c r="N1422" s="11">
        <v>0</v>
      </c>
      <c r="O1422" s="12" t="str">
        <f t="shared" si="22"/>
        <v>20 - 29</v>
      </c>
    </row>
    <row r="1423" spans="1:15" x14ac:dyDescent="0.35">
      <c r="A1423" s="12">
        <v>5643</v>
      </c>
      <c r="B1423" s="12" t="s">
        <v>16</v>
      </c>
      <c r="C1423" s="12">
        <v>42</v>
      </c>
      <c r="D1423" s="12" t="s">
        <v>29</v>
      </c>
      <c r="E1423" s="12" t="s">
        <v>14</v>
      </c>
      <c r="F1423" s="12">
        <v>150</v>
      </c>
      <c r="G1423" s="12">
        <v>59</v>
      </c>
      <c r="H1423" s="12">
        <v>0.53</v>
      </c>
      <c r="I1423" s="12" t="s">
        <v>23</v>
      </c>
      <c r="J1423" s="12">
        <v>34</v>
      </c>
      <c r="K1423" s="12">
        <v>0</v>
      </c>
      <c r="L1423" s="12">
        <v>0</v>
      </c>
      <c r="M1423" s="12">
        <v>0</v>
      </c>
      <c r="N1423" s="12">
        <v>0</v>
      </c>
      <c r="O1423" s="12" t="str">
        <f t="shared" si="22"/>
        <v>30 - 39</v>
      </c>
    </row>
    <row r="1424" spans="1:15" x14ac:dyDescent="0.35">
      <c r="A1424" s="11">
        <v>5648</v>
      </c>
      <c r="B1424" s="11" t="s">
        <v>12</v>
      </c>
      <c r="C1424" s="11">
        <v>35</v>
      </c>
      <c r="D1424" s="11" t="s">
        <v>17</v>
      </c>
      <c r="E1424" s="11" t="s">
        <v>14</v>
      </c>
      <c r="F1424" s="11">
        <v>125</v>
      </c>
      <c r="G1424" s="11">
        <v>91</v>
      </c>
      <c r="H1424" s="11">
        <v>0.4</v>
      </c>
      <c r="I1424" s="11" t="s">
        <v>19</v>
      </c>
      <c r="J1424" s="11">
        <v>34</v>
      </c>
      <c r="K1424" s="11">
        <v>0</v>
      </c>
      <c r="L1424" s="11">
        <v>1</v>
      </c>
      <c r="M1424" s="11">
        <v>0</v>
      </c>
      <c r="N1424" s="11">
        <v>0</v>
      </c>
      <c r="O1424" s="12" t="str">
        <f t="shared" si="22"/>
        <v>30 - 39</v>
      </c>
    </row>
    <row r="1425" spans="1:15" x14ac:dyDescent="0.35">
      <c r="A1425" s="12">
        <v>5658</v>
      </c>
      <c r="B1425" s="12" t="s">
        <v>12</v>
      </c>
      <c r="C1425" s="12">
        <v>40</v>
      </c>
      <c r="D1425" s="12" t="s">
        <v>29</v>
      </c>
      <c r="E1425" s="12" t="s">
        <v>14</v>
      </c>
      <c r="F1425" s="12">
        <v>298</v>
      </c>
      <c r="G1425" s="12">
        <v>19</v>
      </c>
      <c r="H1425" s="12">
        <v>0.06</v>
      </c>
      <c r="I1425" s="12" t="s">
        <v>23</v>
      </c>
      <c r="J1425" s="12">
        <v>11</v>
      </c>
      <c r="K1425" s="12">
        <v>0</v>
      </c>
      <c r="L1425" s="12">
        <v>1</v>
      </c>
      <c r="M1425" s="12">
        <v>0</v>
      </c>
      <c r="N1425" s="12">
        <v>0</v>
      </c>
      <c r="O1425" s="12" t="str">
        <f t="shared" si="22"/>
        <v>10 - 19</v>
      </c>
    </row>
    <row r="1426" spans="1:15" x14ac:dyDescent="0.35">
      <c r="A1426" s="11">
        <v>5660</v>
      </c>
      <c r="B1426" s="11" t="s">
        <v>16</v>
      </c>
      <c r="C1426" s="11">
        <v>42</v>
      </c>
      <c r="D1426" s="11" t="s">
        <v>17</v>
      </c>
      <c r="E1426" s="11" t="s">
        <v>14</v>
      </c>
      <c r="F1426" s="11">
        <v>283</v>
      </c>
      <c r="G1426" s="11">
        <v>63</v>
      </c>
      <c r="H1426" s="11">
        <v>0.51</v>
      </c>
      <c r="I1426" s="11" t="s">
        <v>19</v>
      </c>
      <c r="J1426" s="11">
        <v>35</v>
      </c>
      <c r="K1426" s="11">
        <v>0</v>
      </c>
      <c r="L1426" s="11">
        <v>0</v>
      </c>
      <c r="M1426" s="11">
        <v>0</v>
      </c>
      <c r="N1426" s="11">
        <v>0</v>
      </c>
      <c r="O1426" s="12" t="str">
        <f t="shared" si="22"/>
        <v>30 - 39</v>
      </c>
    </row>
    <row r="1427" spans="1:15" x14ac:dyDescent="0.35">
      <c r="A1427" s="12">
        <v>5663</v>
      </c>
      <c r="B1427" s="12" t="s">
        <v>16</v>
      </c>
      <c r="C1427" s="12">
        <v>55</v>
      </c>
      <c r="D1427" s="12" t="s">
        <v>28</v>
      </c>
      <c r="E1427" s="12" t="s">
        <v>14</v>
      </c>
      <c r="F1427" s="12">
        <v>40</v>
      </c>
      <c r="G1427" s="12">
        <v>62</v>
      </c>
      <c r="H1427" s="12">
        <v>0.23</v>
      </c>
      <c r="I1427" s="12" t="s">
        <v>15</v>
      </c>
      <c r="J1427" s="12">
        <v>18</v>
      </c>
      <c r="K1427" s="12">
        <v>0</v>
      </c>
      <c r="L1427" s="12">
        <v>0</v>
      </c>
      <c r="M1427" s="12">
        <v>0</v>
      </c>
      <c r="N1427" s="12">
        <v>0</v>
      </c>
      <c r="O1427" s="12" t="str">
        <f t="shared" si="22"/>
        <v>10 - 19</v>
      </c>
    </row>
    <row r="1428" spans="1:15" x14ac:dyDescent="0.35">
      <c r="A1428" s="11">
        <v>5666</v>
      </c>
      <c r="B1428" s="11" t="s">
        <v>16</v>
      </c>
      <c r="C1428" s="11">
        <v>21</v>
      </c>
      <c r="D1428" s="11" t="s">
        <v>17</v>
      </c>
      <c r="E1428" s="11" t="s">
        <v>14</v>
      </c>
      <c r="F1428" s="11">
        <v>227</v>
      </c>
      <c r="G1428" s="11">
        <v>80</v>
      </c>
      <c r="H1428" s="11">
        <v>0.03</v>
      </c>
      <c r="I1428" s="11" t="s">
        <v>19</v>
      </c>
      <c r="J1428" s="11">
        <v>38</v>
      </c>
      <c r="K1428" s="11">
        <v>0</v>
      </c>
      <c r="L1428" s="11">
        <v>0</v>
      </c>
      <c r="M1428" s="11">
        <v>0</v>
      </c>
      <c r="N1428" s="11">
        <v>0</v>
      </c>
      <c r="O1428" s="12" t="str">
        <f t="shared" si="22"/>
        <v>30 - 39</v>
      </c>
    </row>
    <row r="1429" spans="1:15" x14ac:dyDescent="0.35">
      <c r="A1429" s="12">
        <v>5668</v>
      </c>
      <c r="B1429" s="12" t="s">
        <v>16</v>
      </c>
      <c r="C1429" s="12">
        <v>51</v>
      </c>
      <c r="D1429" s="12" t="s">
        <v>25</v>
      </c>
      <c r="E1429" s="12" t="s">
        <v>14</v>
      </c>
      <c r="F1429" s="12">
        <v>57</v>
      </c>
      <c r="G1429" s="12">
        <v>59</v>
      </c>
      <c r="H1429" s="12">
        <v>0.43</v>
      </c>
      <c r="I1429" s="12" t="s">
        <v>19</v>
      </c>
      <c r="J1429" s="12">
        <v>24</v>
      </c>
      <c r="K1429" s="12">
        <v>0</v>
      </c>
      <c r="L1429" s="12">
        <v>0</v>
      </c>
      <c r="M1429" s="12">
        <v>0</v>
      </c>
      <c r="N1429" s="12">
        <v>0</v>
      </c>
      <c r="O1429" s="12" t="str">
        <f t="shared" si="22"/>
        <v>20 - 29</v>
      </c>
    </row>
    <row r="1430" spans="1:15" x14ac:dyDescent="0.35">
      <c r="A1430" s="11">
        <v>5669</v>
      </c>
      <c r="B1430" s="11" t="s">
        <v>20</v>
      </c>
      <c r="C1430" s="11">
        <v>46</v>
      </c>
      <c r="D1430" s="11" t="s">
        <v>27</v>
      </c>
      <c r="E1430" s="11" t="s">
        <v>14</v>
      </c>
      <c r="F1430" s="11">
        <v>169</v>
      </c>
      <c r="G1430" s="11">
        <v>57</v>
      </c>
      <c r="H1430" s="11">
        <v>0.46</v>
      </c>
      <c r="I1430" s="11" t="s">
        <v>15</v>
      </c>
      <c r="J1430" s="11">
        <v>40</v>
      </c>
      <c r="K1430" s="11">
        <v>0</v>
      </c>
      <c r="L1430" s="11">
        <v>1</v>
      </c>
      <c r="M1430" s="11">
        <v>0</v>
      </c>
      <c r="N1430" s="11">
        <v>0</v>
      </c>
      <c r="O1430" s="12" t="str">
        <f t="shared" si="22"/>
        <v>40 - 49</v>
      </c>
    </row>
    <row r="1431" spans="1:15" x14ac:dyDescent="0.35">
      <c r="A1431" s="12">
        <v>5677</v>
      </c>
      <c r="B1431" s="12" t="s">
        <v>16</v>
      </c>
      <c r="C1431" s="12">
        <v>56</v>
      </c>
      <c r="D1431" s="12" t="s">
        <v>21</v>
      </c>
      <c r="E1431" s="12" t="s">
        <v>14</v>
      </c>
      <c r="F1431" s="12">
        <v>74</v>
      </c>
      <c r="G1431" s="12">
        <v>1</v>
      </c>
      <c r="H1431" s="12">
        <v>0.02</v>
      </c>
      <c r="I1431" s="12" t="s">
        <v>19</v>
      </c>
      <c r="J1431" s="12">
        <v>12</v>
      </c>
      <c r="K1431" s="12">
        <v>0</v>
      </c>
      <c r="L1431" s="12">
        <v>0</v>
      </c>
      <c r="M1431" s="12">
        <v>0</v>
      </c>
      <c r="N1431" s="12">
        <v>0</v>
      </c>
      <c r="O1431" s="12" t="str">
        <f t="shared" si="22"/>
        <v>10 - 19</v>
      </c>
    </row>
    <row r="1432" spans="1:15" x14ac:dyDescent="0.35">
      <c r="A1432" s="11">
        <v>5681</v>
      </c>
      <c r="B1432" s="11" t="s">
        <v>12</v>
      </c>
      <c r="C1432" s="11">
        <v>53</v>
      </c>
      <c r="D1432" s="11" t="s">
        <v>17</v>
      </c>
      <c r="E1432" s="11" t="s">
        <v>14</v>
      </c>
      <c r="F1432" s="11">
        <v>115</v>
      </c>
      <c r="G1432" s="11">
        <v>70</v>
      </c>
      <c r="H1432" s="11">
        <v>0.05</v>
      </c>
      <c r="I1432" s="11" t="s">
        <v>19</v>
      </c>
      <c r="J1432" s="11">
        <v>22</v>
      </c>
      <c r="K1432" s="11">
        <v>0</v>
      </c>
      <c r="L1432" s="11">
        <v>1</v>
      </c>
      <c r="M1432" s="11">
        <v>0</v>
      </c>
      <c r="N1432" s="11">
        <v>0</v>
      </c>
      <c r="O1432" s="12" t="str">
        <f t="shared" si="22"/>
        <v>20 - 29</v>
      </c>
    </row>
    <row r="1433" spans="1:15" x14ac:dyDescent="0.35">
      <c r="A1433" s="12">
        <v>5683</v>
      </c>
      <c r="B1433" s="12" t="s">
        <v>16</v>
      </c>
      <c r="C1433" s="12">
        <v>50</v>
      </c>
      <c r="D1433" s="12" t="s">
        <v>26</v>
      </c>
      <c r="E1433" s="12" t="s">
        <v>14</v>
      </c>
      <c r="F1433" s="12">
        <v>160</v>
      </c>
      <c r="G1433" s="12">
        <v>94</v>
      </c>
      <c r="H1433" s="12">
        <v>0.5</v>
      </c>
      <c r="I1433" s="12" t="s">
        <v>23</v>
      </c>
      <c r="J1433" s="12">
        <v>16</v>
      </c>
      <c r="K1433" s="12">
        <v>0</v>
      </c>
      <c r="L1433" s="12">
        <v>0</v>
      </c>
      <c r="M1433" s="12">
        <v>0</v>
      </c>
      <c r="N1433" s="12">
        <v>0</v>
      </c>
      <c r="O1433" s="12" t="str">
        <f t="shared" si="22"/>
        <v>10 - 19</v>
      </c>
    </row>
    <row r="1434" spans="1:15" x14ac:dyDescent="0.35">
      <c r="A1434" s="11">
        <v>5686</v>
      </c>
      <c r="B1434" s="11" t="s">
        <v>20</v>
      </c>
      <c r="C1434" s="11">
        <v>50</v>
      </c>
      <c r="D1434" s="11" t="s">
        <v>27</v>
      </c>
      <c r="E1434" s="11" t="s">
        <v>14</v>
      </c>
      <c r="F1434" s="11">
        <v>85</v>
      </c>
      <c r="G1434" s="11">
        <v>89</v>
      </c>
      <c r="H1434" s="11">
        <v>0.47</v>
      </c>
      <c r="I1434" s="11" t="s">
        <v>23</v>
      </c>
      <c r="J1434" s="11">
        <v>16</v>
      </c>
      <c r="K1434" s="11">
        <v>0</v>
      </c>
      <c r="L1434" s="11">
        <v>1</v>
      </c>
      <c r="M1434" s="11">
        <v>0</v>
      </c>
      <c r="N1434" s="11">
        <v>0</v>
      </c>
      <c r="O1434" s="12" t="str">
        <f t="shared" si="22"/>
        <v>10 - 19</v>
      </c>
    </row>
    <row r="1435" spans="1:15" x14ac:dyDescent="0.35">
      <c r="A1435" s="12">
        <v>5689</v>
      </c>
      <c r="B1435" s="12" t="s">
        <v>16</v>
      </c>
      <c r="C1435" s="12">
        <v>21</v>
      </c>
      <c r="D1435" s="12" t="s">
        <v>29</v>
      </c>
      <c r="E1435" s="12" t="s">
        <v>14</v>
      </c>
      <c r="F1435" s="12">
        <v>236</v>
      </c>
      <c r="G1435" s="12">
        <v>85</v>
      </c>
      <c r="H1435" s="12">
        <v>0.16</v>
      </c>
      <c r="I1435" s="12" t="s">
        <v>23</v>
      </c>
      <c r="J1435" s="12">
        <v>18</v>
      </c>
      <c r="K1435" s="12">
        <v>0</v>
      </c>
      <c r="L1435" s="12">
        <v>0</v>
      </c>
      <c r="M1435" s="12">
        <v>0</v>
      </c>
      <c r="N1435" s="12">
        <v>0</v>
      </c>
      <c r="O1435" s="12" t="str">
        <f t="shared" si="22"/>
        <v>10 - 19</v>
      </c>
    </row>
    <row r="1436" spans="1:15" x14ac:dyDescent="0.35">
      <c r="A1436" s="11">
        <v>5691</v>
      </c>
      <c r="B1436" s="11" t="s">
        <v>16</v>
      </c>
      <c r="C1436" s="11">
        <v>46</v>
      </c>
      <c r="D1436" s="11" t="s">
        <v>25</v>
      </c>
      <c r="E1436" s="11" t="s">
        <v>14</v>
      </c>
      <c r="F1436" s="11">
        <v>268</v>
      </c>
      <c r="G1436" s="11">
        <v>68</v>
      </c>
      <c r="H1436" s="11">
        <v>0.59</v>
      </c>
      <c r="I1436" s="11" t="s">
        <v>23</v>
      </c>
      <c r="J1436" s="11">
        <v>22</v>
      </c>
      <c r="K1436" s="11">
        <v>0</v>
      </c>
      <c r="L1436" s="11">
        <v>0</v>
      </c>
      <c r="M1436" s="11">
        <v>0</v>
      </c>
      <c r="N1436" s="11">
        <v>0</v>
      </c>
      <c r="O1436" s="12" t="str">
        <f t="shared" si="22"/>
        <v>20 - 29</v>
      </c>
    </row>
    <row r="1437" spans="1:15" x14ac:dyDescent="0.35">
      <c r="A1437" s="12">
        <v>5693</v>
      </c>
      <c r="B1437" s="12" t="s">
        <v>16</v>
      </c>
      <c r="C1437" s="12">
        <v>21</v>
      </c>
      <c r="D1437" s="12" t="s">
        <v>13</v>
      </c>
      <c r="E1437" s="12" t="s">
        <v>14</v>
      </c>
      <c r="F1437" s="12">
        <v>65</v>
      </c>
      <c r="G1437" s="12">
        <v>63</v>
      </c>
      <c r="H1437" s="12">
        <v>0.34</v>
      </c>
      <c r="I1437" s="12" t="s">
        <v>15</v>
      </c>
      <c r="J1437" s="12">
        <v>6</v>
      </c>
      <c r="K1437" s="12">
        <v>0</v>
      </c>
      <c r="L1437" s="12">
        <v>0</v>
      </c>
      <c r="M1437" s="12">
        <v>0</v>
      </c>
      <c r="N1437" s="12">
        <v>0</v>
      </c>
      <c r="O1437" s="12" t="str">
        <f t="shared" si="22"/>
        <v>0 - 9</v>
      </c>
    </row>
    <row r="1438" spans="1:15" x14ac:dyDescent="0.35">
      <c r="A1438" s="11">
        <v>5696</v>
      </c>
      <c r="B1438" s="11" t="s">
        <v>20</v>
      </c>
      <c r="C1438" s="11">
        <v>33</v>
      </c>
      <c r="D1438" s="11" t="s">
        <v>21</v>
      </c>
      <c r="E1438" s="11" t="s">
        <v>14</v>
      </c>
      <c r="F1438" s="11">
        <v>36</v>
      </c>
      <c r="G1438" s="11">
        <v>47</v>
      </c>
      <c r="H1438" s="11">
        <v>0.31</v>
      </c>
      <c r="I1438" s="11" t="s">
        <v>19</v>
      </c>
      <c r="J1438" s="11">
        <v>18</v>
      </c>
      <c r="K1438" s="11">
        <v>0</v>
      </c>
      <c r="L1438" s="11">
        <v>0</v>
      </c>
      <c r="M1438" s="11">
        <v>0</v>
      </c>
      <c r="N1438" s="11">
        <v>0</v>
      </c>
      <c r="O1438" s="12" t="str">
        <f t="shared" si="22"/>
        <v>10 - 19</v>
      </c>
    </row>
    <row r="1439" spans="1:15" x14ac:dyDescent="0.35">
      <c r="A1439" s="12">
        <v>5698</v>
      </c>
      <c r="B1439" s="12" t="s">
        <v>16</v>
      </c>
      <c r="C1439" s="12">
        <v>52</v>
      </c>
      <c r="D1439" s="12" t="s">
        <v>17</v>
      </c>
      <c r="E1439" s="12" t="s">
        <v>14</v>
      </c>
      <c r="F1439" s="12">
        <v>168</v>
      </c>
      <c r="G1439" s="12">
        <v>87</v>
      </c>
      <c r="H1439" s="12">
        <v>0.22</v>
      </c>
      <c r="I1439" s="12" t="s">
        <v>15</v>
      </c>
      <c r="J1439" s="12">
        <v>34</v>
      </c>
      <c r="K1439" s="12">
        <v>0</v>
      </c>
      <c r="L1439" s="12">
        <v>0</v>
      </c>
      <c r="M1439" s="12">
        <v>0</v>
      </c>
      <c r="N1439" s="12">
        <v>0</v>
      </c>
      <c r="O1439" s="12" t="str">
        <f t="shared" si="22"/>
        <v>30 - 39</v>
      </c>
    </row>
    <row r="1440" spans="1:15" x14ac:dyDescent="0.35">
      <c r="A1440" s="11">
        <v>5700</v>
      </c>
      <c r="B1440" s="11" t="s">
        <v>12</v>
      </c>
      <c r="C1440" s="11">
        <v>49</v>
      </c>
      <c r="D1440" s="11" t="s">
        <v>21</v>
      </c>
      <c r="E1440" s="11" t="s">
        <v>14</v>
      </c>
      <c r="F1440" s="11">
        <v>12</v>
      </c>
      <c r="G1440" s="11">
        <v>41</v>
      </c>
      <c r="H1440" s="11">
        <v>0.41</v>
      </c>
      <c r="I1440" s="11" t="s">
        <v>23</v>
      </c>
      <c r="J1440" s="11">
        <v>38</v>
      </c>
      <c r="K1440" s="11">
        <v>0</v>
      </c>
      <c r="L1440" s="11">
        <v>0</v>
      </c>
      <c r="M1440" s="11">
        <v>0</v>
      </c>
      <c r="N1440" s="11">
        <v>0</v>
      </c>
      <c r="O1440" s="12" t="str">
        <f t="shared" si="22"/>
        <v>30 - 39</v>
      </c>
    </row>
    <row r="1441" spans="1:15" x14ac:dyDescent="0.35">
      <c r="A1441" s="12">
        <v>5705</v>
      </c>
      <c r="B1441" s="12" t="s">
        <v>20</v>
      </c>
      <c r="C1441" s="12">
        <v>38</v>
      </c>
      <c r="D1441" s="12" t="s">
        <v>29</v>
      </c>
      <c r="E1441" s="12" t="s">
        <v>14</v>
      </c>
      <c r="F1441" s="12">
        <v>93</v>
      </c>
      <c r="G1441" s="12">
        <v>91</v>
      </c>
      <c r="H1441" s="12">
        <v>0.28999999999999998</v>
      </c>
      <c r="I1441" s="12" t="s">
        <v>23</v>
      </c>
      <c r="J1441" s="12">
        <v>29</v>
      </c>
      <c r="K1441" s="12">
        <v>0</v>
      </c>
      <c r="L1441" s="12">
        <v>0</v>
      </c>
      <c r="M1441" s="12">
        <v>0</v>
      </c>
      <c r="N1441" s="12">
        <v>0</v>
      </c>
      <c r="O1441" s="12" t="str">
        <f t="shared" si="22"/>
        <v>20 - 29</v>
      </c>
    </row>
    <row r="1442" spans="1:15" x14ac:dyDescent="0.35">
      <c r="A1442" s="11">
        <v>5707</v>
      </c>
      <c r="B1442" s="11" t="s">
        <v>20</v>
      </c>
      <c r="C1442" s="11">
        <v>58</v>
      </c>
      <c r="D1442" s="11" t="s">
        <v>26</v>
      </c>
      <c r="E1442" s="11" t="s">
        <v>14</v>
      </c>
      <c r="F1442" s="11">
        <v>191</v>
      </c>
      <c r="G1442" s="11">
        <v>5</v>
      </c>
      <c r="H1442" s="11">
        <v>0.4</v>
      </c>
      <c r="I1442" s="11" t="s">
        <v>15</v>
      </c>
      <c r="J1442" s="11">
        <v>25</v>
      </c>
      <c r="K1442" s="11">
        <v>0</v>
      </c>
      <c r="L1442" s="11">
        <v>0</v>
      </c>
      <c r="M1442" s="11">
        <v>0</v>
      </c>
      <c r="N1442" s="11">
        <v>0</v>
      </c>
      <c r="O1442" s="12" t="str">
        <f t="shared" si="22"/>
        <v>20 - 29</v>
      </c>
    </row>
    <row r="1443" spans="1:15" x14ac:dyDescent="0.35">
      <c r="A1443" s="12">
        <v>5708</v>
      </c>
      <c r="B1443" s="12" t="s">
        <v>20</v>
      </c>
      <c r="C1443" s="12">
        <v>53</v>
      </c>
      <c r="D1443" s="12" t="s">
        <v>28</v>
      </c>
      <c r="E1443" s="12" t="s">
        <v>14</v>
      </c>
      <c r="F1443" s="12">
        <v>258</v>
      </c>
      <c r="G1443" s="12">
        <v>48</v>
      </c>
      <c r="H1443" s="12">
        <v>0.15</v>
      </c>
      <c r="I1443" s="12" t="s">
        <v>23</v>
      </c>
      <c r="J1443" s="12">
        <v>42</v>
      </c>
      <c r="K1443" s="12">
        <v>0</v>
      </c>
      <c r="L1443" s="12">
        <v>1</v>
      </c>
      <c r="M1443" s="12">
        <v>0</v>
      </c>
      <c r="N1443" s="12">
        <v>0</v>
      </c>
      <c r="O1443" s="12" t="str">
        <f t="shared" si="22"/>
        <v>40 - 49</v>
      </c>
    </row>
    <row r="1444" spans="1:15" x14ac:dyDescent="0.35">
      <c r="A1444" s="11">
        <v>5709</v>
      </c>
      <c r="B1444" s="11" t="s">
        <v>20</v>
      </c>
      <c r="C1444" s="11">
        <v>21</v>
      </c>
      <c r="D1444" s="11" t="s">
        <v>13</v>
      </c>
      <c r="E1444" s="11" t="s">
        <v>14</v>
      </c>
      <c r="F1444" s="11">
        <v>145</v>
      </c>
      <c r="G1444" s="11">
        <v>29</v>
      </c>
      <c r="H1444" s="11">
        <v>0.55000000000000004</v>
      </c>
      <c r="I1444" s="11" t="s">
        <v>19</v>
      </c>
      <c r="J1444" s="11">
        <v>36</v>
      </c>
      <c r="K1444" s="11">
        <v>0</v>
      </c>
      <c r="L1444" s="11">
        <v>0</v>
      </c>
      <c r="M1444" s="11">
        <v>0</v>
      </c>
      <c r="N1444" s="11">
        <v>0</v>
      </c>
      <c r="O1444" s="12" t="str">
        <f t="shared" si="22"/>
        <v>30 - 39</v>
      </c>
    </row>
    <row r="1445" spans="1:15" x14ac:dyDescent="0.35">
      <c r="A1445" s="12">
        <v>5710</v>
      </c>
      <c r="B1445" s="12" t="s">
        <v>12</v>
      </c>
      <c r="C1445" s="12">
        <v>21</v>
      </c>
      <c r="D1445" s="12" t="s">
        <v>21</v>
      </c>
      <c r="E1445" s="12" t="s">
        <v>14</v>
      </c>
      <c r="F1445" s="12">
        <v>91</v>
      </c>
      <c r="G1445" s="12">
        <v>27</v>
      </c>
      <c r="H1445" s="12">
        <v>0.38</v>
      </c>
      <c r="I1445" s="12" t="s">
        <v>15</v>
      </c>
      <c r="J1445" s="12">
        <v>8</v>
      </c>
      <c r="K1445" s="12">
        <v>0</v>
      </c>
      <c r="L1445" s="12">
        <v>0</v>
      </c>
      <c r="M1445" s="12">
        <v>0</v>
      </c>
      <c r="N1445" s="12">
        <v>0</v>
      </c>
      <c r="O1445" s="12" t="str">
        <f t="shared" si="22"/>
        <v>0 - 9</v>
      </c>
    </row>
    <row r="1446" spans="1:15" x14ac:dyDescent="0.35">
      <c r="A1446" s="11">
        <v>5713</v>
      </c>
      <c r="B1446" s="11" t="s">
        <v>12</v>
      </c>
      <c r="C1446" s="11">
        <v>54</v>
      </c>
      <c r="D1446" s="11" t="s">
        <v>26</v>
      </c>
      <c r="E1446" s="11" t="s">
        <v>14</v>
      </c>
      <c r="F1446" s="11">
        <v>285</v>
      </c>
      <c r="G1446" s="11">
        <v>5</v>
      </c>
      <c r="H1446" s="11">
        <v>0.36</v>
      </c>
      <c r="I1446" s="11" t="s">
        <v>19</v>
      </c>
      <c r="J1446" s="11">
        <v>36</v>
      </c>
      <c r="K1446" s="11">
        <v>0</v>
      </c>
      <c r="L1446" s="11">
        <v>0</v>
      </c>
      <c r="M1446" s="11">
        <v>0</v>
      </c>
      <c r="N1446" s="11">
        <v>0</v>
      </c>
      <c r="O1446" s="12" t="str">
        <f t="shared" si="22"/>
        <v>30 - 39</v>
      </c>
    </row>
    <row r="1447" spans="1:15" x14ac:dyDescent="0.35">
      <c r="A1447" s="12">
        <v>5714</v>
      </c>
      <c r="B1447" s="12" t="s">
        <v>16</v>
      </c>
      <c r="C1447" s="12">
        <v>34</v>
      </c>
      <c r="D1447" s="12" t="s">
        <v>28</v>
      </c>
      <c r="E1447" s="12" t="s">
        <v>14</v>
      </c>
      <c r="F1447" s="12">
        <v>280</v>
      </c>
      <c r="G1447" s="12">
        <v>88</v>
      </c>
      <c r="H1447" s="12">
        <v>0.31</v>
      </c>
      <c r="I1447" s="12" t="s">
        <v>19</v>
      </c>
      <c r="J1447" s="12">
        <v>14</v>
      </c>
      <c r="K1447" s="12">
        <v>0</v>
      </c>
      <c r="L1447" s="12">
        <v>1</v>
      </c>
      <c r="M1447" s="12">
        <v>0</v>
      </c>
      <c r="N1447" s="12">
        <v>0</v>
      </c>
      <c r="O1447" s="12" t="str">
        <f t="shared" si="22"/>
        <v>10 - 19</v>
      </c>
    </row>
    <row r="1448" spans="1:15" x14ac:dyDescent="0.35">
      <c r="A1448" s="11">
        <v>5720</v>
      </c>
      <c r="B1448" s="11" t="s">
        <v>12</v>
      </c>
      <c r="C1448" s="11">
        <v>16</v>
      </c>
      <c r="D1448" s="11" t="s">
        <v>13</v>
      </c>
      <c r="E1448" s="11" t="s">
        <v>14</v>
      </c>
      <c r="F1448" s="11">
        <v>65</v>
      </c>
      <c r="G1448" s="11">
        <v>95</v>
      </c>
      <c r="H1448" s="11">
        <v>0.59</v>
      </c>
      <c r="I1448" s="11" t="s">
        <v>15</v>
      </c>
      <c r="J1448" s="11">
        <v>11</v>
      </c>
      <c r="K1448" s="11">
        <v>0</v>
      </c>
      <c r="L1448" s="11">
        <v>0</v>
      </c>
      <c r="M1448" s="11">
        <v>0</v>
      </c>
      <c r="N1448" s="11">
        <v>0</v>
      </c>
      <c r="O1448" s="12" t="str">
        <f t="shared" si="22"/>
        <v>10 - 19</v>
      </c>
    </row>
    <row r="1449" spans="1:15" x14ac:dyDescent="0.35">
      <c r="A1449" s="12">
        <v>5723</v>
      </c>
      <c r="B1449" s="12" t="s">
        <v>20</v>
      </c>
      <c r="C1449" s="12">
        <v>16</v>
      </c>
      <c r="D1449" s="12" t="s">
        <v>26</v>
      </c>
      <c r="E1449" s="12" t="s">
        <v>14</v>
      </c>
      <c r="F1449" s="12">
        <v>270</v>
      </c>
      <c r="G1449" s="12">
        <v>77</v>
      </c>
      <c r="H1449" s="12">
        <v>0.19</v>
      </c>
      <c r="I1449" s="12" t="s">
        <v>23</v>
      </c>
      <c r="J1449" s="12">
        <v>48</v>
      </c>
      <c r="K1449" s="12">
        <v>0</v>
      </c>
      <c r="L1449" s="12">
        <v>0</v>
      </c>
      <c r="M1449" s="12">
        <v>0</v>
      </c>
      <c r="N1449" s="12">
        <v>0</v>
      </c>
      <c r="O1449" s="12" t="str">
        <f t="shared" si="22"/>
        <v>40 - 49</v>
      </c>
    </row>
    <row r="1450" spans="1:15" x14ac:dyDescent="0.35">
      <c r="A1450" s="11">
        <v>5735</v>
      </c>
      <c r="B1450" s="11" t="s">
        <v>20</v>
      </c>
      <c r="C1450" s="11">
        <v>25</v>
      </c>
      <c r="D1450" s="11" t="s">
        <v>25</v>
      </c>
      <c r="E1450" s="11" t="s">
        <v>14</v>
      </c>
      <c r="F1450" s="11">
        <v>68</v>
      </c>
      <c r="G1450" s="11">
        <v>13</v>
      </c>
      <c r="H1450" s="11">
        <v>0.51</v>
      </c>
      <c r="I1450" s="11" t="s">
        <v>15</v>
      </c>
      <c r="J1450" s="11">
        <v>27</v>
      </c>
      <c r="K1450" s="11">
        <v>0</v>
      </c>
      <c r="L1450" s="11">
        <v>1</v>
      </c>
      <c r="M1450" s="11">
        <v>0</v>
      </c>
      <c r="N1450" s="11">
        <v>0</v>
      </c>
      <c r="O1450" s="12" t="str">
        <f t="shared" si="22"/>
        <v>20 - 29</v>
      </c>
    </row>
    <row r="1451" spans="1:15" x14ac:dyDescent="0.35">
      <c r="A1451" s="12">
        <v>5739</v>
      </c>
      <c r="B1451" s="12" t="s">
        <v>12</v>
      </c>
      <c r="C1451" s="12">
        <v>52</v>
      </c>
      <c r="D1451" s="12" t="s">
        <v>26</v>
      </c>
      <c r="E1451" s="12" t="s">
        <v>14</v>
      </c>
      <c r="F1451" s="12">
        <v>137</v>
      </c>
      <c r="G1451" s="12">
        <v>65</v>
      </c>
      <c r="H1451" s="12">
        <v>0.33</v>
      </c>
      <c r="I1451" s="12" t="s">
        <v>15</v>
      </c>
      <c r="J1451" s="12">
        <v>46</v>
      </c>
      <c r="K1451" s="12">
        <v>0</v>
      </c>
      <c r="L1451" s="12">
        <v>1</v>
      </c>
      <c r="M1451" s="12">
        <v>0</v>
      </c>
      <c r="N1451" s="12">
        <v>0</v>
      </c>
      <c r="O1451" s="12" t="str">
        <f t="shared" si="22"/>
        <v>40 - 49</v>
      </c>
    </row>
    <row r="1452" spans="1:15" x14ac:dyDescent="0.35">
      <c r="A1452" s="11">
        <v>5741</v>
      </c>
      <c r="B1452" s="11" t="s">
        <v>12</v>
      </c>
      <c r="C1452" s="11">
        <v>52</v>
      </c>
      <c r="D1452" s="11" t="s">
        <v>13</v>
      </c>
      <c r="E1452" s="11" t="s">
        <v>14</v>
      </c>
      <c r="F1452" s="11">
        <v>281</v>
      </c>
      <c r="G1452" s="11">
        <v>80</v>
      </c>
      <c r="H1452" s="11">
        <v>0.56999999999999995</v>
      </c>
      <c r="I1452" s="11" t="s">
        <v>15</v>
      </c>
      <c r="J1452" s="11">
        <v>17</v>
      </c>
      <c r="K1452" s="11">
        <v>0</v>
      </c>
      <c r="L1452" s="11">
        <v>0</v>
      </c>
      <c r="M1452" s="11">
        <v>0</v>
      </c>
      <c r="N1452" s="11">
        <v>0</v>
      </c>
      <c r="O1452" s="12" t="str">
        <f t="shared" si="22"/>
        <v>10 - 19</v>
      </c>
    </row>
    <row r="1453" spans="1:15" x14ac:dyDescent="0.35">
      <c r="A1453" s="12">
        <v>5742</v>
      </c>
      <c r="B1453" s="12" t="s">
        <v>16</v>
      </c>
      <c r="C1453" s="12">
        <v>49</v>
      </c>
      <c r="D1453" s="12" t="s">
        <v>17</v>
      </c>
      <c r="E1453" s="12" t="s">
        <v>14</v>
      </c>
      <c r="F1453" s="12">
        <v>290</v>
      </c>
      <c r="G1453" s="12">
        <v>2</v>
      </c>
      <c r="H1453" s="12">
        <v>0.43</v>
      </c>
      <c r="I1453" s="12" t="s">
        <v>15</v>
      </c>
      <c r="J1453" s="12">
        <v>35</v>
      </c>
      <c r="K1453" s="12">
        <v>0</v>
      </c>
      <c r="L1453" s="12">
        <v>0</v>
      </c>
      <c r="M1453" s="12">
        <v>0</v>
      </c>
      <c r="N1453" s="12">
        <v>0</v>
      </c>
      <c r="O1453" s="12" t="str">
        <f t="shared" si="22"/>
        <v>30 - 39</v>
      </c>
    </row>
    <row r="1454" spans="1:15" x14ac:dyDescent="0.35">
      <c r="A1454" s="11">
        <v>5743</v>
      </c>
      <c r="B1454" s="11" t="s">
        <v>12</v>
      </c>
      <c r="C1454" s="11">
        <v>45</v>
      </c>
      <c r="D1454" s="11" t="s">
        <v>26</v>
      </c>
      <c r="E1454" s="11" t="s">
        <v>14</v>
      </c>
      <c r="F1454" s="11">
        <v>76</v>
      </c>
      <c r="G1454" s="11">
        <v>54</v>
      </c>
      <c r="H1454" s="11">
        <v>0.5</v>
      </c>
      <c r="I1454" s="11" t="s">
        <v>23</v>
      </c>
      <c r="J1454" s="11">
        <v>41</v>
      </c>
      <c r="K1454" s="11">
        <v>0</v>
      </c>
      <c r="L1454" s="11">
        <v>0</v>
      </c>
      <c r="M1454" s="11">
        <v>0</v>
      </c>
      <c r="N1454" s="11">
        <v>0</v>
      </c>
      <c r="O1454" s="12" t="str">
        <f t="shared" si="22"/>
        <v>40 - 49</v>
      </c>
    </row>
    <row r="1455" spans="1:15" x14ac:dyDescent="0.35">
      <c r="A1455" s="12">
        <v>5745</v>
      </c>
      <c r="B1455" s="12" t="s">
        <v>16</v>
      </c>
      <c r="C1455" s="12">
        <v>20</v>
      </c>
      <c r="D1455" s="12" t="s">
        <v>27</v>
      </c>
      <c r="E1455" s="12" t="s">
        <v>14</v>
      </c>
      <c r="F1455" s="12">
        <v>82</v>
      </c>
      <c r="G1455" s="12">
        <v>12</v>
      </c>
      <c r="H1455" s="12">
        <v>0.56000000000000005</v>
      </c>
      <c r="I1455" s="12" t="s">
        <v>19</v>
      </c>
      <c r="J1455" s="12">
        <v>37</v>
      </c>
      <c r="K1455" s="12">
        <v>0</v>
      </c>
      <c r="L1455" s="12">
        <v>0</v>
      </c>
      <c r="M1455" s="12">
        <v>0</v>
      </c>
      <c r="N1455" s="12">
        <v>0</v>
      </c>
      <c r="O1455" s="12" t="str">
        <f t="shared" si="22"/>
        <v>30 - 39</v>
      </c>
    </row>
    <row r="1456" spans="1:15" x14ac:dyDescent="0.35">
      <c r="A1456" s="11">
        <v>5746</v>
      </c>
      <c r="B1456" s="11" t="s">
        <v>20</v>
      </c>
      <c r="C1456" s="11">
        <v>50</v>
      </c>
      <c r="D1456" s="11" t="s">
        <v>28</v>
      </c>
      <c r="E1456" s="11" t="s">
        <v>14</v>
      </c>
      <c r="F1456" s="11">
        <v>170</v>
      </c>
      <c r="G1456" s="11">
        <v>88</v>
      </c>
      <c r="H1456" s="11">
        <v>0.36</v>
      </c>
      <c r="I1456" s="11" t="s">
        <v>15</v>
      </c>
      <c r="J1456" s="11">
        <v>10</v>
      </c>
      <c r="K1456" s="11">
        <v>0</v>
      </c>
      <c r="L1456" s="11">
        <v>0</v>
      </c>
      <c r="M1456" s="11">
        <v>0</v>
      </c>
      <c r="N1456" s="11">
        <v>0</v>
      </c>
      <c r="O1456" s="12" t="str">
        <f t="shared" si="22"/>
        <v>10 - 19</v>
      </c>
    </row>
    <row r="1457" spans="1:15" x14ac:dyDescent="0.35">
      <c r="A1457" s="12">
        <v>5750</v>
      </c>
      <c r="B1457" s="12" t="s">
        <v>20</v>
      </c>
      <c r="C1457" s="12">
        <v>22</v>
      </c>
      <c r="D1457" s="12" t="s">
        <v>25</v>
      </c>
      <c r="E1457" s="12" t="s">
        <v>14</v>
      </c>
      <c r="F1457" s="12">
        <v>295</v>
      </c>
      <c r="G1457" s="12">
        <v>21</v>
      </c>
      <c r="H1457" s="12">
        <v>0.27</v>
      </c>
      <c r="I1457" s="12" t="s">
        <v>19</v>
      </c>
      <c r="J1457" s="12">
        <v>17</v>
      </c>
      <c r="K1457" s="12">
        <v>0</v>
      </c>
      <c r="L1457" s="12">
        <v>1</v>
      </c>
      <c r="M1457" s="12">
        <v>0</v>
      </c>
      <c r="N1457" s="12">
        <v>0</v>
      </c>
      <c r="O1457" s="12" t="str">
        <f t="shared" si="22"/>
        <v>10 - 19</v>
      </c>
    </row>
    <row r="1458" spans="1:15" x14ac:dyDescent="0.35">
      <c r="A1458" s="11">
        <v>5757</v>
      </c>
      <c r="B1458" s="11" t="s">
        <v>12</v>
      </c>
      <c r="C1458" s="11">
        <v>29</v>
      </c>
      <c r="D1458" s="11" t="s">
        <v>21</v>
      </c>
      <c r="E1458" s="11" t="s">
        <v>14</v>
      </c>
      <c r="F1458" s="11">
        <v>113</v>
      </c>
      <c r="G1458" s="11">
        <v>10</v>
      </c>
      <c r="H1458" s="11">
        <v>0.56000000000000005</v>
      </c>
      <c r="I1458" s="11" t="s">
        <v>15</v>
      </c>
      <c r="J1458" s="11">
        <v>44</v>
      </c>
      <c r="K1458" s="11">
        <v>0</v>
      </c>
      <c r="L1458" s="11">
        <v>0</v>
      </c>
      <c r="M1458" s="11">
        <v>0</v>
      </c>
      <c r="N1458" s="11">
        <v>0</v>
      </c>
      <c r="O1458" s="12" t="str">
        <f t="shared" si="22"/>
        <v>40 - 49</v>
      </c>
    </row>
    <row r="1459" spans="1:15" x14ac:dyDescent="0.35">
      <c r="A1459" s="12">
        <v>5761</v>
      </c>
      <c r="B1459" s="12" t="s">
        <v>16</v>
      </c>
      <c r="C1459" s="12">
        <v>41</v>
      </c>
      <c r="D1459" s="12" t="s">
        <v>13</v>
      </c>
      <c r="E1459" s="12" t="s">
        <v>14</v>
      </c>
      <c r="F1459" s="12">
        <v>125</v>
      </c>
      <c r="G1459" s="12">
        <v>17</v>
      </c>
      <c r="H1459" s="12">
        <v>0.34</v>
      </c>
      <c r="I1459" s="12" t="s">
        <v>23</v>
      </c>
      <c r="J1459" s="12">
        <v>33</v>
      </c>
      <c r="K1459" s="12">
        <v>0</v>
      </c>
      <c r="L1459" s="12">
        <v>1</v>
      </c>
      <c r="M1459" s="12">
        <v>0</v>
      </c>
      <c r="N1459" s="12">
        <v>0</v>
      </c>
      <c r="O1459" s="12" t="str">
        <f t="shared" si="22"/>
        <v>30 - 39</v>
      </c>
    </row>
    <row r="1460" spans="1:15" x14ac:dyDescent="0.35">
      <c r="A1460" s="11">
        <v>5762</v>
      </c>
      <c r="B1460" s="11" t="s">
        <v>20</v>
      </c>
      <c r="C1460" s="11">
        <v>31</v>
      </c>
      <c r="D1460" s="11" t="s">
        <v>27</v>
      </c>
      <c r="E1460" s="11" t="s">
        <v>14</v>
      </c>
      <c r="F1460" s="11">
        <v>110</v>
      </c>
      <c r="G1460" s="11">
        <v>70</v>
      </c>
      <c r="H1460" s="11">
        <v>0.33</v>
      </c>
      <c r="I1460" s="11" t="s">
        <v>19</v>
      </c>
      <c r="J1460" s="11">
        <v>19</v>
      </c>
      <c r="K1460" s="11">
        <v>0</v>
      </c>
      <c r="L1460" s="11">
        <v>0</v>
      </c>
      <c r="M1460" s="11">
        <v>0</v>
      </c>
      <c r="N1460" s="11">
        <v>0</v>
      </c>
      <c r="O1460" s="12" t="str">
        <f t="shared" si="22"/>
        <v>10 - 19</v>
      </c>
    </row>
    <row r="1461" spans="1:15" x14ac:dyDescent="0.35">
      <c r="A1461" s="12">
        <v>5767</v>
      </c>
      <c r="B1461" s="12" t="s">
        <v>12</v>
      </c>
      <c r="C1461" s="12">
        <v>52</v>
      </c>
      <c r="D1461" s="12" t="s">
        <v>21</v>
      </c>
      <c r="E1461" s="12" t="s">
        <v>14</v>
      </c>
      <c r="F1461" s="12">
        <v>189</v>
      </c>
      <c r="G1461" s="12">
        <v>85</v>
      </c>
      <c r="H1461" s="12">
        <v>0.37</v>
      </c>
      <c r="I1461" s="12" t="s">
        <v>19</v>
      </c>
      <c r="J1461" s="12">
        <v>13</v>
      </c>
      <c r="K1461" s="12">
        <v>0</v>
      </c>
      <c r="L1461" s="12">
        <v>0</v>
      </c>
      <c r="M1461" s="12">
        <v>0</v>
      </c>
      <c r="N1461" s="12">
        <v>0</v>
      </c>
      <c r="O1461" s="12" t="str">
        <f t="shared" si="22"/>
        <v>10 - 19</v>
      </c>
    </row>
    <row r="1462" spans="1:15" x14ac:dyDescent="0.35">
      <c r="A1462" s="11">
        <v>5774</v>
      </c>
      <c r="B1462" s="11" t="s">
        <v>16</v>
      </c>
      <c r="C1462" s="11">
        <v>57</v>
      </c>
      <c r="D1462" s="11" t="s">
        <v>25</v>
      </c>
      <c r="E1462" s="11" t="s">
        <v>14</v>
      </c>
      <c r="F1462" s="11">
        <v>221</v>
      </c>
      <c r="G1462" s="11">
        <v>22</v>
      </c>
      <c r="H1462" s="11">
        <v>0.44</v>
      </c>
      <c r="I1462" s="11" t="s">
        <v>15</v>
      </c>
      <c r="J1462" s="11">
        <v>32</v>
      </c>
      <c r="K1462" s="11">
        <v>0</v>
      </c>
      <c r="L1462" s="11">
        <v>1</v>
      </c>
      <c r="M1462" s="11">
        <v>0</v>
      </c>
      <c r="N1462" s="11">
        <v>0</v>
      </c>
      <c r="O1462" s="12" t="str">
        <f t="shared" si="22"/>
        <v>30 - 39</v>
      </c>
    </row>
    <row r="1463" spans="1:15" x14ac:dyDescent="0.35">
      <c r="A1463" s="12">
        <v>5775</v>
      </c>
      <c r="B1463" s="12" t="s">
        <v>12</v>
      </c>
      <c r="C1463" s="12">
        <v>22</v>
      </c>
      <c r="D1463" s="12" t="s">
        <v>21</v>
      </c>
      <c r="E1463" s="12" t="s">
        <v>14</v>
      </c>
      <c r="F1463" s="12">
        <v>52</v>
      </c>
      <c r="G1463" s="12">
        <v>17</v>
      </c>
      <c r="H1463" s="12">
        <v>0.2</v>
      </c>
      <c r="I1463" s="12" t="s">
        <v>23</v>
      </c>
      <c r="J1463" s="12">
        <v>32</v>
      </c>
      <c r="K1463" s="12">
        <v>0</v>
      </c>
      <c r="L1463" s="12">
        <v>0</v>
      </c>
      <c r="M1463" s="12">
        <v>0</v>
      </c>
      <c r="N1463" s="12">
        <v>0</v>
      </c>
      <c r="O1463" s="12" t="str">
        <f t="shared" si="22"/>
        <v>30 - 39</v>
      </c>
    </row>
    <row r="1464" spans="1:15" x14ac:dyDescent="0.35">
      <c r="A1464" s="11">
        <v>5776</v>
      </c>
      <c r="B1464" s="11" t="s">
        <v>12</v>
      </c>
      <c r="C1464" s="11">
        <v>54</v>
      </c>
      <c r="D1464" s="11" t="s">
        <v>27</v>
      </c>
      <c r="E1464" s="11" t="s">
        <v>14</v>
      </c>
      <c r="F1464" s="11">
        <v>37</v>
      </c>
      <c r="G1464" s="11">
        <v>55</v>
      </c>
      <c r="H1464" s="11">
        <v>0.48</v>
      </c>
      <c r="I1464" s="11" t="s">
        <v>19</v>
      </c>
      <c r="J1464" s="11">
        <v>35</v>
      </c>
      <c r="K1464" s="11">
        <v>0</v>
      </c>
      <c r="L1464" s="11">
        <v>0</v>
      </c>
      <c r="M1464" s="11">
        <v>0</v>
      </c>
      <c r="N1464" s="11">
        <v>0</v>
      </c>
      <c r="O1464" s="12" t="str">
        <f t="shared" si="22"/>
        <v>30 - 39</v>
      </c>
    </row>
    <row r="1465" spans="1:15" x14ac:dyDescent="0.35">
      <c r="A1465" s="12">
        <v>5781</v>
      </c>
      <c r="B1465" s="12" t="s">
        <v>20</v>
      </c>
      <c r="C1465" s="12">
        <v>37</v>
      </c>
      <c r="D1465" s="12" t="s">
        <v>26</v>
      </c>
      <c r="E1465" s="12" t="s">
        <v>14</v>
      </c>
      <c r="F1465" s="12">
        <v>65</v>
      </c>
      <c r="G1465" s="12">
        <v>56</v>
      </c>
      <c r="H1465" s="12">
        <v>0.31</v>
      </c>
      <c r="I1465" s="12" t="s">
        <v>15</v>
      </c>
      <c r="J1465" s="12">
        <v>44</v>
      </c>
      <c r="K1465" s="12">
        <v>0</v>
      </c>
      <c r="L1465" s="12">
        <v>0</v>
      </c>
      <c r="M1465" s="12">
        <v>0</v>
      </c>
      <c r="N1465" s="12">
        <v>0</v>
      </c>
      <c r="O1465" s="12" t="str">
        <f t="shared" si="22"/>
        <v>40 - 49</v>
      </c>
    </row>
    <row r="1466" spans="1:15" x14ac:dyDescent="0.35">
      <c r="A1466" s="11">
        <v>5790</v>
      </c>
      <c r="B1466" s="11" t="s">
        <v>16</v>
      </c>
      <c r="C1466" s="11">
        <v>48</v>
      </c>
      <c r="D1466" s="11" t="s">
        <v>29</v>
      </c>
      <c r="E1466" s="11" t="s">
        <v>14</v>
      </c>
      <c r="F1466" s="11">
        <v>23</v>
      </c>
      <c r="G1466" s="11">
        <v>76</v>
      </c>
      <c r="H1466" s="11">
        <v>0.01</v>
      </c>
      <c r="I1466" s="11" t="s">
        <v>19</v>
      </c>
      <c r="J1466" s="11">
        <v>17</v>
      </c>
      <c r="K1466" s="11">
        <v>0</v>
      </c>
      <c r="L1466" s="11">
        <v>0</v>
      </c>
      <c r="M1466" s="11">
        <v>0</v>
      </c>
      <c r="N1466" s="11">
        <v>0</v>
      </c>
      <c r="O1466" s="12" t="str">
        <f t="shared" si="22"/>
        <v>10 - 19</v>
      </c>
    </row>
    <row r="1467" spans="1:15" x14ac:dyDescent="0.35">
      <c r="A1467" s="12">
        <v>5796</v>
      </c>
      <c r="B1467" s="12" t="s">
        <v>12</v>
      </c>
      <c r="C1467" s="12">
        <v>50</v>
      </c>
      <c r="D1467" s="12" t="s">
        <v>25</v>
      </c>
      <c r="E1467" s="12" t="s">
        <v>14</v>
      </c>
      <c r="F1467" s="12">
        <v>224</v>
      </c>
      <c r="G1467" s="12">
        <v>39</v>
      </c>
      <c r="H1467" s="12">
        <v>0.25</v>
      </c>
      <c r="I1467" s="12" t="s">
        <v>15</v>
      </c>
      <c r="J1467" s="12">
        <v>8</v>
      </c>
      <c r="K1467" s="12">
        <v>0</v>
      </c>
      <c r="L1467" s="12">
        <v>0</v>
      </c>
      <c r="M1467" s="12">
        <v>0</v>
      </c>
      <c r="N1467" s="12">
        <v>0</v>
      </c>
      <c r="O1467" s="12" t="str">
        <f t="shared" si="22"/>
        <v>0 - 9</v>
      </c>
    </row>
    <row r="1468" spans="1:15" x14ac:dyDescent="0.35">
      <c r="A1468" s="11">
        <v>5812</v>
      </c>
      <c r="B1468" s="11" t="s">
        <v>16</v>
      </c>
      <c r="C1468" s="11">
        <v>34</v>
      </c>
      <c r="D1468" s="11" t="s">
        <v>13</v>
      </c>
      <c r="E1468" s="11" t="s">
        <v>14</v>
      </c>
      <c r="F1468" s="11">
        <v>135</v>
      </c>
      <c r="G1468" s="11">
        <v>31</v>
      </c>
      <c r="H1468" s="11">
        <v>0.2</v>
      </c>
      <c r="I1468" s="11" t="s">
        <v>23</v>
      </c>
      <c r="J1468" s="11">
        <v>46</v>
      </c>
      <c r="K1468" s="11">
        <v>0</v>
      </c>
      <c r="L1468" s="11">
        <v>0</v>
      </c>
      <c r="M1468" s="11">
        <v>0</v>
      </c>
      <c r="N1468" s="11">
        <v>0</v>
      </c>
      <c r="O1468" s="12" t="str">
        <f t="shared" si="22"/>
        <v>40 - 49</v>
      </c>
    </row>
    <row r="1469" spans="1:15" x14ac:dyDescent="0.35">
      <c r="A1469" s="12">
        <v>5814</v>
      </c>
      <c r="B1469" s="12" t="s">
        <v>16</v>
      </c>
      <c r="C1469" s="12">
        <v>29</v>
      </c>
      <c r="D1469" s="12" t="s">
        <v>21</v>
      </c>
      <c r="E1469" s="12" t="s">
        <v>14</v>
      </c>
      <c r="F1469" s="12">
        <v>177</v>
      </c>
      <c r="G1469" s="12">
        <v>96</v>
      </c>
      <c r="H1469" s="12">
        <v>0.18</v>
      </c>
      <c r="I1469" s="12" t="s">
        <v>19</v>
      </c>
      <c r="J1469" s="12">
        <v>17</v>
      </c>
      <c r="K1469" s="12">
        <v>0</v>
      </c>
      <c r="L1469" s="12">
        <v>1</v>
      </c>
      <c r="M1469" s="12">
        <v>0</v>
      </c>
      <c r="N1469" s="12">
        <v>0</v>
      </c>
      <c r="O1469" s="12" t="str">
        <f t="shared" si="22"/>
        <v>10 - 19</v>
      </c>
    </row>
    <row r="1470" spans="1:15" x14ac:dyDescent="0.35">
      <c r="A1470" s="11">
        <v>5817</v>
      </c>
      <c r="B1470" s="11" t="s">
        <v>20</v>
      </c>
      <c r="C1470" s="11">
        <v>24</v>
      </c>
      <c r="D1470" s="11" t="s">
        <v>29</v>
      </c>
      <c r="E1470" s="11" t="s">
        <v>14</v>
      </c>
      <c r="F1470" s="11">
        <v>136</v>
      </c>
      <c r="G1470" s="11">
        <v>50</v>
      </c>
      <c r="H1470" s="11">
        <v>0.4</v>
      </c>
      <c r="I1470" s="11" t="s">
        <v>15</v>
      </c>
      <c r="J1470" s="11">
        <v>6</v>
      </c>
      <c r="K1470" s="11">
        <v>0</v>
      </c>
      <c r="L1470" s="11">
        <v>0</v>
      </c>
      <c r="M1470" s="11">
        <v>0</v>
      </c>
      <c r="N1470" s="11">
        <v>0</v>
      </c>
      <c r="O1470" s="12" t="str">
        <f t="shared" si="22"/>
        <v>0 - 9</v>
      </c>
    </row>
    <row r="1471" spans="1:15" x14ac:dyDescent="0.35">
      <c r="A1471" s="12">
        <v>5819</v>
      </c>
      <c r="B1471" s="12" t="s">
        <v>16</v>
      </c>
      <c r="C1471" s="12">
        <v>56</v>
      </c>
      <c r="D1471" s="12" t="s">
        <v>29</v>
      </c>
      <c r="E1471" s="12" t="s">
        <v>14</v>
      </c>
      <c r="F1471" s="12">
        <v>232</v>
      </c>
      <c r="G1471" s="12">
        <v>63</v>
      </c>
      <c r="H1471" s="12">
        <v>0.01</v>
      </c>
      <c r="I1471" s="12" t="s">
        <v>23</v>
      </c>
      <c r="J1471" s="12">
        <v>35</v>
      </c>
      <c r="K1471" s="12">
        <v>0</v>
      </c>
      <c r="L1471" s="12">
        <v>0</v>
      </c>
      <c r="M1471" s="12">
        <v>0</v>
      </c>
      <c r="N1471" s="12">
        <v>0</v>
      </c>
      <c r="O1471" s="12" t="str">
        <f t="shared" si="22"/>
        <v>30 - 39</v>
      </c>
    </row>
    <row r="1472" spans="1:15" x14ac:dyDescent="0.35">
      <c r="A1472" s="11">
        <v>5821</v>
      </c>
      <c r="B1472" s="11" t="s">
        <v>12</v>
      </c>
      <c r="C1472" s="11">
        <v>50</v>
      </c>
      <c r="D1472" s="11" t="s">
        <v>13</v>
      </c>
      <c r="E1472" s="11" t="s">
        <v>14</v>
      </c>
      <c r="F1472" s="11">
        <v>297</v>
      </c>
      <c r="G1472" s="11">
        <v>44</v>
      </c>
      <c r="H1472" s="11">
        <v>0.34</v>
      </c>
      <c r="I1472" s="11" t="s">
        <v>15</v>
      </c>
      <c r="J1472" s="11">
        <v>26</v>
      </c>
      <c r="K1472" s="11">
        <v>0</v>
      </c>
      <c r="L1472" s="11">
        <v>1</v>
      </c>
      <c r="M1472" s="11">
        <v>0</v>
      </c>
      <c r="N1472" s="11">
        <v>0</v>
      </c>
      <c r="O1472" s="12" t="str">
        <f t="shared" si="22"/>
        <v>20 - 29</v>
      </c>
    </row>
    <row r="1473" spans="1:15" x14ac:dyDescent="0.35">
      <c r="A1473" s="12">
        <v>5823</v>
      </c>
      <c r="B1473" s="12" t="s">
        <v>12</v>
      </c>
      <c r="C1473" s="12">
        <v>56</v>
      </c>
      <c r="D1473" s="12" t="s">
        <v>28</v>
      </c>
      <c r="E1473" s="12" t="s">
        <v>14</v>
      </c>
      <c r="F1473" s="12">
        <v>264</v>
      </c>
      <c r="G1473" s="12">
        <v>28</v>
      </c>
      <c r="H1473" s="12">
        <v>0.3</v>
      </c>
      <c r="I1473" s="12" t="s">
        <v>23</v>
      </c>
      <c r="J1473" s="12">
        <v>8</v>
      </c>
      <c r="K1473" s="12">
        <v>0</v>
      </c>
      <c r="L1473" s="12">
        <v>0</v>
      </c>
      <c r="M1473" s="12">
        <v>0</v>
      </c>
      <c r="N1473" s="12">
        <v>0</v>
      </c>
      <c r="O1473" s="12" t="str">
        <f t="shared" si="22"/>
        <v>0 - 9</v>
      </c>
    </row>
    <row r="1474" spans="1:15" x14ac:dyDescent="0.35">
      <c r="A1474" s="11">
        <v>5825</v>
      </c>
      <c r="B1474" s="11" t="s">
        <v>12</v>
      </c>
      <c r="C1474" s="11">
        <v>25</v>
      </c>
      <c r="D1474" s="11" t="s">
        <v>21</v>
      </c>
      <c r="E1474" s="11" t="s">
        <v>14</v>
      </c>
      <c r="F1474" s="11">
        <v>104</v>
      </c>
      <c r="G1474" s="11">
        <v>51</v>
      </c>
      <c r="H1474" s="11">
        <v>0.2</v>
      </c>
      <c r="I1474" s="11" t="s">
        <v>15</v>
      </c>
      <c r="J1474" s="11">
        <v>28</v>
      </c>
      <c r="K1474" s="11">
        <v>0</v>
      </c>
      <c r="L1474" s="11">
        <v>0</v>
      </c>
      <c r="M1474" s="11">
        <v>0</v>
      </c>
      <c r="N1474" s="11">
        <v>0</v>
      </c>
      <c r="O1474" s="12" t="str">
        <f t="shared" ref="O1474:O1537" si="23">_xlfn.FLOOR.MATH(J1474, 10) &amp; " - " &amp; (_xlfn.FLOOR.MATH(J1474, 10) + 9)</f>
        <v>20 - 29</v>
      </c>
    </row>
    <row r="1475" spans="1:15" x14ac:dyDescent="0.35">
      <c r="A1475" s="12">
        <v>5830</v>
      </c>
      <c r="B1475" s="12" t="s">
        <v>20</v>
      </c>
      <c r="C1475" s="12">
        <v>40</v>
      </c>
      <c r="D1475" s="12" t="s">
        <v>27</v>
      </c>
      <c r="E1475" s="12" t="s">
        <v>14</v>
      </c>
      <c r="F1475" s="12">
        <v>103</v>
      </c>
      <c r="G1475" s="12">
        <v>85</v>
      </c>
      <c r="H1475" s="12">
        <v>0.38</v>
      </c>
      <c r="I1475" s="12" t="s">
        <v>23</v>
      </c>
      <c r="J1475" s="12">
        <v>33</v>
      </c>
      <c r="K1475" s="12">
        <v>0</v>
      </c>
      <c r="L1475" s="12">
        <v>1</v>
      </c>
      <c r="M1475" s="12">
        <v>0</v>
      </c>
      <c r="N1475" s="12">
        <v>0</v>
      </c>
      <c r="O1475" s="12" t="str">
        <f t="shared" si="23"/>
        <v>30 - 39</v>
      </c>
    </row>
    <row r="1476" spans="1:15" x14ac:dyDescent="0.35">
      <c r="A1476" s="11">
        <v>5831</v>
      </c>
      <c r="B1476" s="11" t="s">
        <v>16</v>
      </c>
      <c r="C1476" s="11">
        <v>24</v>
      </c>
      <c r="D1476" s="11" t="s">
        <v>26</v>
      </c>
      <c r="E1476" s="11" t="s">
        <v>14</v>
      </c>
      <c r="F1476" s="11">
        <v>226</v>
      </c>
      <c r="G1476" s="11">
        <v>98</v>
      </c>
      <c r="H1476" s="11">
        <v>0.1</v>
      </c>
      <c r="I1476" s="11" t="s">
        <v>19</v>
      </c>
      <c r="J1476" s="11">
        <v>20</v>
      </c>
      <c r="K1476" s="11">
        <v>0</v>
      </c>
      <c r="L1476" s="11">
        <v>0</v>
      </c>
      <c r="M1476" s="11">
        <v>0</v>
      </c>
      <c r="N1476" s="11">
        <v>0</v>
      </c>
      <c r="O1476" s="12" t="str">
        <f t="shared" si="23"/>
        <v>20 - 29</v>
      </c>
    </row>
    <row r="1477" spans="1:15" x14ac:dyDescent="0.35">
      <c r="A1477" s="12">
        <v>5839</v>
      </c>
      <c r="B1477" s="12" t="s">
        <v>16</v>
      </c>
      <c r="C1477" s="12">
        <v>25</v>
      </c>
      <c r="D1477" s="12" t="s">
        <v>26</v>
      </c>
      <c r="E1477" s="12" t="s">
        <v>14</v>
      </c>
      <c r="F1477" s="12">
        <v>36</v>
      </c>
      <c r="G1477" s="12">
        <v>16</v>
      </c>
      <c r="H1477" s="12">
        <v>0.5</v>
      </c>
      <c r="I1477" s="12" t="s">
        <v>23</v>
      </c>
      <c r="J1477" s="12">
        <v>11</v>
      </c>
      <c r="K1477" s="12">
        <v>0</v>
      </c>
      <c r="L1477" s="12">
        <v>0</v>
      </c>
      <c r="M1477" s="12">
        <v>0</v>
      </c>
      <c r="N1477" s="12">
        <v>0</v>
      </c>
      <c r="O1477" s="12" t="str">
        <f t="shared" si="23"/>
        <v>10 - 19</v>
      </c>
    </row>
    <row r="1478" spans="1:15" x14ac:dyDescent="0.35">
      <c r="A1478" s="11">
        <v>5840</v>
      </c>
      <c r="B1478" s="11" t="s">
        <v>16</v>
      </c>
      <c r="C1478" s="11">
        <v>34</v>
      </c>
      <c r="D1478" s="11" t="s">
        <v>21</v>
      </c>
      <c r="E1478" s="11" t="s">
        <v>14</v>
      </c>
      <c r="F1478" s="11">
        <v>262</v>
      </c>
      <c r="G1478" s="11">
        <v>17</v>
      </c>
      <c r="H1478" s="11">
        <v>0.18</v>
      </c>
      <c r="I1478" s="11" t="s">
        <v>15</v>
      </c>
      <c r="J1478" s="11">
        <v>27</v>
      </c>
      <c r="K1478" s="11">
        <v>0</v>
      </c>
      <c r="L1478" s="11">
        <v>0</v>
      </c>
      <c r="M1478" s="11">
        <v>0</v>
      </c>
      <c r="N1478" s="11">
        <v>0</v>
      </c>
      <c r="O1478" s="12" t="str">
        <f t="shared" si="23"/>
        <v>20 - 29</v>
      </c>
    </row>
    <row r="1479" spans="1:15" x14ac:dyDescent="0.35">
      <c r="A1479" s="12">
        <v>5841</v>
      </c>
      <c r="B1479" s="12" t="s">
        <v>20</v>
      </c>
      <c r="C1479" s="12">
        <v>36</v>
      </c>
      <c r="D1479" s="12" t="s">
        <v>26</v>
      </c>
      <c r="E1479" s="12" t="s">
        <v>14</v>
      </c>
      <c r="F1479" s="12">
        <v>54</v>
      </c>
      <c r="G1479" s="12">
        <v>37</v>
      </c>
      <c r="H1479" s="12">
        <v>0.52</v>
      </c>
      <c r="I1479" s="12" t="s">
        <v>23</v>
      </c>
      <c r="J1479" s="12">
        <v>27</v>
      </c>
      <c r="K1479" s="12">
        <v>0</v>
      </c>
      <c r="L1479" s="12">
        <v>0</v>
      </c>
      <c r="M1479" s="12">
        <v>0</v>
      </c>
      <c r="N1479" s="12">
        <v>0</v>
      </c>
      <c r="O1479" s="12" t="str">
        <f t="shared" si="23"/>
        <v>20 - 29</v>
      </c>
    </row>
    <row r="1480" spans="1:15" x14ac:dyDescent="0.35">
      <c r="A1480" s="11">
        <v>5843</v>
      </c>
      <c r="B1480" s="11" t="s">
        <v>12</v>
      </c>
      <c r="C1480" s="11">
        <v>31</v>
      </c>
      <c r="D1480" s="11" t="s">
        <v>28</v>
      </c>
      <c r="E1480" s="11" t="s">
        <v>14</v>
      </c>
      <c r="F1480" s="11">
        <v>145</v>
      </c>
      <c r="G1480" s="11">
        <v>7</v>
      </c>
      <c r="H1480" s="11">
        <v>0.01</v>
      </c>
      <c r="I1480" s="11" t="s">
        <v>19</v>
      </c>
      <c r="J1480" s="11">
        <v>41</v>
      </c>
      <c r="K1480" s="11">
        <v>0</v>
      </c>
      <c r="L1480" s="11">
        <v>0</v>
      </c>
      <c r="M1480" s="11">
        <v>0</v>
      </c>
      <c r="N1480" s="11">
        <v>0</v>
      </c>
      <c r="O1480" s="12" t="str">
        <f t="shared" si="23"/>
        <v>40 - 49</v>
      </c>
    </row>
    <row r="1481" spans="1:15" x14ac:dyDescent="0.35">
      <c r="A1481" s="12">
        <v>5848</v>
      </c>
      <c r="B1481" s="12" t="s">
        <v>20</v>
      </c>
      <c r="C1481" s="12">
        <v>31</v>
      </c>
      <c r="D1481" s="12" t="s">
        <v>17</v>
      </c>
      <c r="E1481" s="12" t="s">
        <v>14</v>
      </c>
      <c r="F1481" s="12">
        <v>151</v>
      </c>
      <c r="G1481" s="12">
        <v>46</v>
      </c>
      <c r="H1481" s="12">
        <v>0.6</v>
      </c>
      <c r="I1481" s="12" t="s">
        <v>15</v>
      </c>
      <c r="J1481" s="12">
        <v>18</v>
      </c>
      <c r="K1481" s="12">
        <v>0</v>
      </c>
      <c r="L1481" s="12">
        <v>0</v>
      </c>
      <c r="M1481" s="12">
        <v>0</v>
      </c>
      <c r="N1481" s="12">
        <v>0</v>
      </c>
      <c r="O1481" s="12" t="str">
        <f t="shared" si="23"/>
        <v>10 - 19</v>
      </c>
    </row>
    <row r="1482" spans="1:15" x14ac:dyDescent="0.35">
      <c r="A1482" s="11">
        <v>5853</v>
      </c>
      <c r="B1482" s="11" t="s">
        <v>20</v>
      </c>
      <c r="C1482" s="11">
        <v>51</v>
      </c>
      <c r="D1482" s="11" t="s">
        <v>27</v>
      </c>
      <c r="E1482" s="11" t="s">
        <v>14</v>
      </c>
      <c r="F1482" s="11">
        <v>263</v>
      </c>
      <c r="G1482" s="11">
        <v>83</v>
      </c>
      <c r="H1482" s="11">
        <v>0.03</v>
      </c>
      <c r="I1482" s="11" t="s">
        <v>15</v>
      </c>
      <c r="J1482" s="11">
        <v>42</v>
      </c>
      <c r="K1482" s="11">
        <v>0</v>
      </c>
      <c r="L1482" s="11">
        <v>1</v>
      </c>
      <c r="M1482" s="11">
        <v>0</v>
      </c>
      <c r="N1482" s="11">
        <v>0</v>
      </c>
      <c r="O1482" s="12" t="str">
        <f t="shared" si="23"/>
        <v>40 - 49</v>
      </c>
    </row>
    <row r="1483" spans="1:15" x14ac:dyDescent="0.35">
      <c r="A1483" s="12">
        <v>5856</v>
      </c>
      <c r="B1483" s="12" t="s">
        <v>16</v>
      </c>
      <c r="C1483" s="12">
        <v>23</v>
      </c>
      <c r="D1483" s="12" t="s">
        <v>25</v>
      </c>
      <c r="E1483" s="12" t="s">
        <v>14</v>
      </c>
      <c r="F1483" s="12">
        <v>103</v>
      </c>
      <c r="G1483" s="12">
        <v>10</v>
      </c>
      <c r="H1483" s="12">
        <v>0.57999999999999996</v>
      </c>
      <c r="I1483" s="12" t="s">
        <v>23</v>
      </c>
      <c r="J1483" s="12">
        <v>38</v>
      </c>
      <c r="K1483" s="12">
        <v>0</v>
      </c>
      <c r="L1483" s="12">
        <v>0</v>
      </c>
      <c r="M1483" s="12">
        <v>0</v>
      </c>
      <c r="N1483" s="12">
        <v>0</v>
      </c>
      <c r="O1483" s="12" t="str">
        <f t="shared" si="23"/>
        <v>30 - 39</v>
      </c>
    </row>
    <row r="1484" spans="1:15" x14ac:dyDescent="0.35">
      <c r="A1484" s="11">
        <v>5861</v>
      </c>
      <c r="B1484" s="11" t="s">
        <v>12</v>
      </c>
      <c r="C1484" s="11">
        <v>38</v>
      </c>
      <c r="D1484" s="11" t="s">
        <v>13</v>
      </c>
      <c r="E1484" s="11" t="s">
        <v>14</v>
      </c>
      <c r="F1484" s="11">
        <v>55</v>
      </c>
      <c r="G1484" s="11">
        <v>33</v>
      </c>
      <c r="H1484" s="11">
        <v>0.18</v>
      </c>
      <c r="I1484" s="11" t="s">
        <v>23</v>
      </c>
      <c r="J1484" s="11">
        <v>49</v>
      </c>
      <c r="K1484" s="11">
        <v>0</v>
      </c>
      <c r="L1484" s="11">
        <v>0</v>
      </c>
      <c r="M1484" s="11">
        <v>0</v>
      </c>
      <c r="N1484" s="11">
        <v>0</v>
      </c>
      <c r="O1484" s="12" t="str">
        <f t="shared" si="23"/>
        <v>40 - 49</v>
      </c>
    </row>
    <row r="1485" spans="1:15" x14ac:dyDescent="0.35">
      <c r="A1485" s="12">
        <v>5865</v>
      </c>
      <c r="B1485" s="12" t="s">
        <v>12</v>
      </c>
      <c r="C1485" s="12">
        <v>44</v>
      </c>
      <c r="D1485" s="12" t="s">
        <v>28</v>
      </c>
      <c r="E1485" s="12" t="s">
        <v>14</v>
      </c>
      <c r="F1485" s="12">
        <v>113</v>
      </c>
      <c r="G1485" s="12">
        <v>14</v>
      </c>
      <c r="H1485" s="12">
        <v>0.56999999999999995</v>
      </c>
      <c r="I1485" s="12" t="s">
        <v>15</v>
      </c>
      <c r="J1485" s="12">
        <v>26</v>
      </c>
      <c r="K1485" s="12">
        <v>0</v>
      </c>
      <c r="L1485" s="12">
        <v>0</v>
      </c>
      <c r="M1485" s="12">
        <v>0</v>
      </c>
      <c r="N1485" s="12">
        <v>0</v>
      </c>
      <c r="O1485" s="12" t="str">
        <f t="shared" si="23"/>
        <v>20 - 29</v>
      </c>
    </row>
    <row r="1486" spans="1:15" x14ac:dyDescent="0.35">
      <c r="A1486" s="11">
        <v>5876</v>
      </c>
      <c r="B1486" s="11" t="s">
        <v>16</v>
      </c>
      <c r="C1486" s="11">
        <v>59</v>
      </c>
      <c r="D1486" s="11" t="s">
        <v>29</v>
      </c>
      <c r="E1486" s="11" t="s">
        <v>14</v>
      </c>
      <c r="F1486" s="11">
        <v>32</v>
      </c>
      <c r="G1486" s="11">
        <v>88</v>
      </c>
      <c r="H1486" s="11">
        <v>0.12</v>
      </c>
      <c r="I1486" s="11" t="s">
        <v>19</v>
      </c>
      <c r="J1486" s="11">
        <v>17</v>
      </c>
      <c r="K1486" s="11">
        <v>0</v>
      </c>
      <c r="L1486" s="11">
        <v>0</v>
      </c>
      <c r="M1486" s="11">
        <v>0</v>
      </c>
      <c r="N1486" s="11">
        <v>0</v>
      </c>
      <c r="O1486" s="12" t="str">
        <f t="shared" si="23"/>
        <v>10 - 19</v>
      </c>
    </row>
    <row r="1487" spans="1:15" x14ac:dyDescent="0.35">
      <c r="A1487" s="12">
        <v>5880</v>
      </c>
      <c r="B1487" s="12" t="s">
        <v>20</v>
      </c>
      <c r="C1487" s="12">
        <v>57</v>
      </c>
      <c r="D1487" s="12" t="s">
        <v>17</v>
      </c>
      <c r="E1487" s="12" t="s">
        <v>14</v>
      </c>
      <c r="F1487" s="12">
        <v>79</v>
      </c>
      <c r="G1487" s="12">
        <v>12</v>
      </c>
      <c r="H1487" s="12">
        <v>0.08</v>
      </c>
      <c r="I1487" s="12" t="s">
        <v>19</v>
      </c>
      <c r="J1487" s="12">
        <v>47</v>
      </c>
      <c r="K1487" s="12">
        <v>0</v>
      </c>
      <c r="L1487" s="12">
        <v>0</v>
      </c>
      <c r="M1487" s="12">
        <v>0</v>
      </c>
      <c r="N1487" s="12">
        <v>0</v>
      </c>
      <c r="O1487" s="12" t="str">
        <f t="shared" si="23"/>
        <v>40 - 49</v>
      </c>
    </row>
    <row r="1488" spans="1:15" x14ac:dyDescent="0.35">
      <c r="A1488" s="11">
        <v>5884</v>
      </c>
      <c r="B1488" s="11" t="s">
        <v>12</v>
      </c>
      <c r="C1488" s="11">
        <v>25</v>
      </c>
      <c r="D1488" s="11" t="s">
        <v>28</v>
      </c>
      <c r="E1488" s="11" t="s">
        <v>14</v>
      </c>
      <c r="F1488" s="11">
        <v>16</v>
      </c>
      <c r="G1488" s="11">
        <v>83</v>
      </c>
      <c r="H1488" s="11">
        <v>0.35</v>
      </c>
      <c r="I1488" s="11" t="s">
        <v>23</v>
      </c>
      <c r="J1488" s="11">
        <v>24</v>
      </c>
      <c r="K1488" s="11">
        <v>0</v>
      </c>
      <c r="L1488" s="11">
        <v>0</v>
      </c>
      <c r="M1488" s="11">
        <v>0</v>
      </c>
      <c r="N1488" s="11">
        <v>0</v>
      </c>
      <c r="O1488" s="12" t="str">
        <f t="shared" si="23"/>
        <v>20 - 29</v>
      </c>
    </row>
    <row r="1489" spans="1:15" x14ac:dyDescent="0.35">
      <c r="A1489" s="12">
        <v>5896</v>
      </c>
      <c r="B1489" s="12" t="s">
        <v>20</v>
      </c>
      <c r="C1489" s="12">
        <v>21</v>
      </c>
      <c r="D1489" s="12" t="s">
        <v>21</v>
      </c>
      <c r="E1489" s="12" t="s">
        <v>14</v>
      </c>
      <c r="F1489" s="12">
        <v>236</v>
      </c>
      <c r="G1489" s="12">
        <v>88</v>
      </c>
      <c r="H1489" s="12">
        <v>0.27</v>
      </c>
      <c r="I1489" s="12" t="s">
        <v>23</v>
      </c>
      <c r="J1489" s="12">
        <v>27</v>
      </c>
      <c r="K1489" s="12">
        <v>0</v>
      </c>
      <c r="L1489" s="12">
        <v>0</v>
      </c>
      <c r="M1489" s="12">
        <v>0</v>
      </c>
      <c r="N1489" s="12">
        <v>0</v>
      </c>
      <c r="O1489" s="12" t="str">
        <f t="shared" si="23"/>
        <v>20 - 29</v>
      </c>
    </row>
    <row r="1490" spans="1:15" x14ac:dyDescent="0.35">
      <c r="A1490" s="11">
        <v>5898</v>
      </c>
      <c r="B1490" s="11" t="s">
        <v>16</v>
      </c>
      <c r="C1490" s="11">
        <v>24</v>
      </c>
      <c r="D1490" s="11" t="s">
        <v>25</v>
      </c>
      <c r="E1490" s="11" t="s">
        <v>14</v>
      </c>
      <c r="F1490" s="11">
        <v>60</v>
      </c>
      <c r="G1490" s="11">
        <v>93</v>
      </c>
      <c r="H1490" s="11">
        <v>0.47</v>
      </c>
      <c r="I1490" s="11" t="s">
        <v>15</v>
      </c>
      <c r="J1490" s="11">
        <v>35</v>
      </c>
      <c r="K1490" s="11">
        <v>0</v>
      </c>
      <c r="L1490" s="11">
        <v>0</v>
      </c>
      <c r="M1490" s="11">
        <v>0</v>
      </c>
      <c r="N1490" s="11">
        <v>0</v>
      </c>
      <c r="O1490" s="12" t="str">
        <f t="shared" si="23"/>
        <v>30 - 39</v>
      </c>
    </row>
    <row r="1491" spans="1:15" x14ac:dyDescent="0.35">
      <c r="A1491" s="12">
        <v>5900</v>
      </c>
      <c r="B1491" s="12" t="s">
        <v>12</v>
      </c>
      <c r="C1491" s="12">
        <v>50</v>
      </c>
      <c r="D1491" s="12" t="s">
        <v>17</v>
      </c>
      <c r="E1491" s="12" t="s">
        <v>14</v>
      </c>
      <c r="F1491" s="12">
        <v>128</v>
      </c>
      <c r="G1491" s="12">
        <v>9</v>
      </c>
      <c r="H1491" s="12">
        <v>0.26</v>
      </c>
      <c r="I1491" s="12" t="s">
        <v>15</v>
      </c>
      <c r="J1491" s="12">
        <v>35</v>
      </c>
      <c r="K1491" s="12">
        <v>0</v>
      </c>
      <c r="L1491" s="12">
        <v>0</v>
      </c>
      <c r="M1491" s="12">
        <v>0</v>
      </c>
      <c r="N1491" s="12">
        <v>0</v>
      </c>
      <c r="O1491" s="12" t="str">
        <f t="shared" si="23"/>
        <v>30 - 39</v>
      </c>
    </row>
    <row r="1492" spans="1:15" x14ac:dyDescent="0.35">
      <c r="A1492" s="11">
        <v>5901</v>
      </c>
      <c r="B1492" s="11" t="s">
        <v>16</v>
      </c>
      <c r="C1492" s="11">
        <v>26</v>
      </c>
      <c r="D1492" s="11" t="s">
        <v>29</v>
      </c>
      <c r="E1492" s="11" t="s">
        <v>14</v>
      </c>
      <c r="F1492" s="11">
        <v>171</v>
      </c>
      <c r="G1492" s="11">
        <v>49</v>
      </c>
      <c r="H1492" s="11">
        <v>0.21</v>
      </c>
      <c r="I1492" s="11" t="s">
        <v>23</v>
      </c>
      <c r="J1492" s="11">
        <v>40</v>
      </c>
      <c r="K1492" s="11">
        <v>0</v>
      </c>
      <c r="L1492" s="11">
        <v>0</v>
      </c>
      <c r="M1492" s="11">
        <v>0</v>
      </c>
      <c r="N1492" s="11">
        <v>0</v>
      </c>
      <c r="O1492" s="12" t="str">
        <f t="shared" si="23"/>
        <v>40 - 49</v>
      </c>
    </row>
    <row r="1493" spans="1:15" x14ac:dyDescent="0.35">
      <c r="A1493" s="12">
        <v>5903</v>
      </c>
      <c r="B1493" s="12" t="s">
        <v>20</v>
      </c>
      <c r="C1493" s="12">
        <v>45</v>
      </c>
      <c r="D1493" s="12" t="s">
        <v>28</v>
      </c>
      <c r="E1493" s="12" t="s">
        <v>14</v>
      </c>
      <c r="F1493" s="12">
        <v>227</v>
      </c>
      <c r="G1493" s="12">
        <v>14</v>
      </c>
      <c r="H1493" s="12">
        <v>0.28000000000000003</v>
      </c>
      <c r="I1493" s="12" t="s">
        <v>15</v>
      </c>
      <c r="J1493" s="12">
        <v>17</v>
      </c>
      <c r="K1493" s="12">
        <v>0</v>
      </c>
      <c r="L1493" s="12">
        <v>1</v>
      </c>
      <c r="M1493" s="12">
        <v>0</v>
      </c>
      <c r="N1493" s="12">
        <v>0</v>
      </c>
      <c r="O1493" s="12" t="str">
        <f t="shared" si="23"/>
        <v>10 - 19</v>
      </c>
    </row>
    <row r="1494" spans="1:15" x14ac:dyDescent="0.35">
      <c r="A1494" s="11">
        <v>5907</v>
      </c>
      <c r="B1494" s="11" t="s">
        <v>16</v>
      </c>
      <c r="C1494" s="11">
        <v>53</v>
      </c>
      <c r="D1494" s="11" t="s">
        <v>27</v>
      </c>
      <c r="E1494" s="11" t="s">
        <v>14</v>
      </c>
      <c r="F1494" s="11">
        <v>221</v>
      </c>
      <c r="G1494" s="11">
        <v>50</v>
      </c>
      <c r="H1494" s="11">
        <v>0.36</v>
      </c>
      <c r="I1494" s="11" t="s">
        <v>23</v>
      </c>
      <c r="J1494" s="11">
        <v>5</v>
      </c>
      <c r="K1494" s="11">
        <v>0</v>
      </c>
      <c r="L1494" s="11">
        <v>0</v>
      </c>
      <c r="M1494" s="11">
        <v>0</v>
      </c>
      <c r="N1494" s="11">
        <v>0</v>
      </c>
      <c r="O1494" s="12" t="str">
        <f t="shared" si="23"/>
        <v>0 - 9</v>
      </c>
    </row>
    <row r="1495" spans="1:15" x14ac:dyDescent="0.35">
      <c r="A1495" s="12">
        <v>5908</v>
      </c>
      <c r="B1495" s="12" t="s">
        <v>12</v>
      </c>
      <c r="C1495" s="12">
        <v>50</v>
      </c>
      <c r="D1495" s="12" t="s">
        <v>17</v>
      </c>
      <c r="E1495" s="12" t="s">
        <v>14</v>
      </c>
      <c r="F1495" s="12">
        <v>94</v>
      </c>
      <c r="G1495" s="12">
        <v>64</v>
      </c>
      <c r="H1495" s="12">
        <v>0.49</v>
      </c>
      <c r="I1495" s="12" t="s">
        <v>15</v>
      </c>
      <c r="J1495" s="12">
        <v>47</v>
      </c>
      <c r="K1495" s="12">
        <v>0</v>
      </c>
      <c r="L1495" s="12">
        <v>1</v>
      </c>
      <c r="M1495" s="12">
        <v>0</v>
      </c>
      <c r="N1495" s="12">
        <v>0</v>
      </c>
      <c r="O1495" s="12" t="str">
        <f t="shared" si="23"/>
        <v>40 - 49</v>
      </c>
    </row>
    <row r="1496" spans="1:15" x14ac:dyDescent="0.35">
      <c r="A1496" s="11">
        <v>5910</v>
      </c>
      <c r="B1496" s="11" t="s">
        <v>16</v>
      </c>
      <c r="C1496" s="11">
        <v>40</v>
      </c>
      <c r="D1496" s="11" t="s">
        <v>26</v>
      </c>
      <c r="E1496" s="11" t="s">
        <v>14</v>
      </c>
      <c r="F1496" s="11">
        <v>239</v>
      </c>
      <c r="G1496" s="11">
        <v>57</v>
      </c>
      <c r="H1496" s="11">
        <v>0.53</v>
      </c>
      <c r="I1496" s="11" t="s">
        <v>23</v>
      </c>
      <c r="J1496" s="11">
        <v>29</v>
      </c>
      <c r="K1496" s="11">
        <v>0</v>
      </c>
      <c r="L1496" s="11">
        <v>0</v>
      </c>
      <c r="M1496" s="11">
        <v>0</v>
      </c>
      <c r="N1496" s="11">
        <v>0</v>
      </c>
      <c r="O1496" s="12" t="str">
        <f t="shared" si="23"/>
        <v>20 - 29</v>
      </c>
    </row>
    <row r="1497" spans="1:15" x14ac:dyDescent="0.35">
      <c r="A1497" s="12">
        <v>5924</v>
      </c>
      <c r="B1497" s="12" t="s">
        <v>20</v>
      </c>
      <c r="C1497" s="12">
        <v>36</v>
      </c>
      <c r="D1497" s="12" t="s">
        <v>13</v>
      </c>
      <c r="E1497" s="12" t="s">
        <v>14</v>
      </c>
      <c r="F1497" s="12">
        <v>233</v>
      </c>
      <c r="G1497" s="12">
        <v>76</v>
      </c>
      <c r="H1497" s="12">
        <v>0.55000000000000004</v>
      </c>
      <c r="I1497" s="12" t="s">
        <v>15</v>
      </c>
      <c r="J1497" s="12">
        <v>33</v>
      </c>
      <c r="K1497" s="12">
        <v>0</v>
      </c>
      <c r="L1497" s="12">
        <v>1</v>
      </c>
      <c r="M1497" s="12">
        <v>0</v>
      </c>
      <c r="N1497" s="12">
        <v>0</v>
      </c>
      <c r="O1497" s="12" t="str">
        <f t="shared" si="23"/>
        <v>30 - 39</v>
      </c>
    </row>
    <row r="1498" spans="1:15" x14ac:dyDescent="0.35">
      <c r="A1498" s="11">
        <v>5928</v>
      </c>
      <c r="B1498" s="11" t="s">
        <v>20</v>
      </c>
      <c r="C1498" s="11">
        <v>45</v>
      </c>
      <c r="D1498" s="11" t="s">
        <v>17</v>
      </c>
      <c r="E1498" s="11" t="s">
        <v>14</v>
      </c>
      <c r="F1498" s="11">
        <v>53</v>
      </c>
      <c r="G1498" s="11">
        <v>18</v>
      </c>
      <c r="H1498" s="11">
        <v>0.38</v>
      </c>
      <c r="I1498" s="11" t="s">
        <v>23</v>
      </c>
      <c r="J1498" s="11">
        <v>22</v>
      </c>
      <c r="K1498" s="11">
        <v>0</v>
      </c>
      <c r="L1498" s="11">
        <v>1</v>
      </c>
      <c r="M1498" s="11">
        <v>0</v>
      </c>
      <c r="N1498" s="11">
        <v>0</v>
      </c>
      <c r="O1498" s="12" t="str">
        <f t="shared" si="23"/>
        <v>20 - 29</v>
      </c>
    </row>
    <row r="1499" spans="1:15" x14ac:dyDescent="0.35">
      <c r="A1499" s="12">
        <v>5930</v>
      </c>
      <c r="B1499" s="12" t="s">
        <v>12</v>
      </c>
      <c r="C1499" s="12">
        <v>20</v>
      </c>
      <c r="D1499" s="12" t="s">
        <v>28</v>
      </c>
      <c r="E1499" s="12" t="s">
        <v>14</v>
      </c>
      <c r="F1499" s="12">
        <v>74</v>
      </c>
      <c r="G1499" s="12">
        <v>10</v>
      </c>
      <c r="H1499" s="12">
        <v>0.27</v>
      </c>
      <c r="I1499" s="12" t="s">
        <v>23</v>
      </c>
      <c r="J1499" s="12">
        <v>25</v>
      </c>
      <c r="K1499" s="12">
        <v>0</v>
      </c>
      <c r="L1499" s="12">
        <v>0</v>
      </c>
      <c r="M1499" s="12">
        <v>0</v>
      </c>
      <c r="N1499" s="12">
        <v>0</v>
      </c>
      <c r="O1499" s="12" t="str">
        <f t="shared" si="23"/>
        <v>20 - 29</v>
      </c>
    </row>
    <row r="1500" spans="1:15" x14ac:dyDescent="0.35">
      <c r="A1500" s="11">
        <v>5931</v>
      </c>
      <c r="B1500" s="11" t="s">
        <v>20</v>
      </c>
      <c r="C1500" s="11">
        <v>30</v>
      </c>
      <c r="D1500" s="11" t="s">
        <v>21</v>
      </c>
      <c r="E1500" s="11" t="s">
        <v>14</v>
      </c>
      <c r="F1500" s="11">
        <v>51</v>
      </c>
      <c r="G1500" s="11">
        <v>93</v>
      </c>
      <c r="H1500" s="11">
        <v>0.2</v>
      </c>
      <c r="I1500" s="11" t="s">
        <v>23</v>
      </c>
      <c r="J1500" s="11">
        <v>45</v>
      </c>
      <c r="K1500" s="11">
        <v>0</v>
      </c>
      <c r="L1500" s="11">
        <v>0</v>
      </c>
      <c r="M1500" s="11">
        <v>0</v>
      </c>
      <c r="N1500" s="11">
        <v>0</v>
      </c>
      <c r="O1500" s="12" t="str">
        <f t="shared" si="23"/>
        <v>40 - 49</v>
      </c>
    </row>
    <row r="1501" spans="1:15" x14ac:dyDescent="0.35">
      <c r="A1501" s="12">
        <v>5934</v>
      </c>
      <c r="B1501" s="12" t="s">
        <v>16</v>
      </c>
      <c r="C1501" s="12">
        <v>37</v>
      </c>
      <c r="D1501" s="12" t="s">
        <v>21</v>
      </c>
      <c r="E1501" s="12" t="s">
        <v>14</v>
      </c>
      <c r="F1501" s="12">
        <v>180</v>
      </c>
      <c r="G1501" s="12">
        <v>11</v>
      </c>
      <c r="H1501" s="12">
        <v>0.32</v>
      </c>
      <c r="I1501" s="12" t="s">
        <v>19</v>
      </c>
      <c r="J1501" s="12">
        <v>9</v>
      </c>
      <c r="K1501" s="12">
        <v>0</v>
      </c>
      <c r="L1501" s="12">
        <v>0</v>
      </c>
      <c r="M1501" s="12">
        <v>0</v>
      </c>
      <c r="N1501" s="12">
        <v>0</v>
      </c>
      <c r="O1501" s="12" t="str">
        <f t="shared" si="23"/>
        <v>0 - 9</v>
      </c>
    </row>
    <row r="1502" spans="1:15" x14ac:dyDescent="0.35">
      <c r="A1502" s="11">
        <v>5942</v>
      </c>
      <c r="B1502" s="11" t="s">
        <v>16</v>
      </c>
      <c r="C1502" s="11">
        <v>58</v>
      </c>
      <c r="D1502" s="11" t="s">
        <v>25</v>
      </c>
      <c r="E1502" s="11" t="s">
        <v>14</v>
      </c>
      <c r="F1502" s="11">
        <v>214</v>
      </c>
      <c r="G1502" s="11">
        <v>80</v>
      </c>
      <c r="H1502" s="11">
        <v>0.21</v>
      </c>
      <c r="I1502" s="11" t="s">
        <v>15</v>
      </c>
      <c r="J1502" s="11">
        <v>47</v>
      </c>
      <c r="K1502" s="11">
        <v>0</v>
      </c>
      <c r="L1502" s="11">
        <v>1</v>
      </c>
      <c r="M1502" s="11">
        <v>0</v>
      </c>
      <c r="N1502" s="11">
        <v>0</v>
      </c>
      <c r="O1502" s="12" t="str">
        <f t="shared" si="23"/>
        <v>40 - 49</v>
      </c>
    </row>
    <row r="1503" spans="1:15" x14ac:dyDescent="0.35">
      <c r="A1503" s="12">
        <v>5953</v>
      </c>
      <c r="B1503" s="12" t="s">
        <v>20</v>
      </c>
      <c r="C1503" s="12">
        <v>22</v>
      </c>
      <c r="D1503" s="12" t="s">
        <v>25</v>
      </c>
      <c r="E1503" s="12" t="s">
        <v>14</v>
      </c>
      <c r="F1503" s="12">
        <v>145</v>
      </c>
      <c r="G1503" s="12">
        <v>21</v>
      </c>
      <c r="H1503" s="12">
        <v>0.44</v>
      </c>
      <c r="I1503" s="12" t="s">
        <v>15</v>
      </c>
      <c r="J1503" s="12">
        <v>26</v>
      </c>
      <c r="K1503" s="12">
        <v>0</v>
      </c>
      <c r="L1503" s="12">
        <v>0</v>
      </c>
      <c r="M1503" s="12">
        <v>0</v>
      </c>
      <c r="N1503" s="12">
        <v>0</v>
      </c>
      <c r="O1503" s="12" t="str">
        <f t="shared" si="23"/>
        <v>20 - 29</v>
      </c>
    </row>
    <row r="1504" spans="1:15" x14ac:dyDescent="0.35">
      <c r="A1504" s="11">
        <v>5954</v>
      </c>
      <c r="B1504" s="11" t="s">
        <v>12</v>
      </c>
      <c r="C1504" s="11">
        <v>52</v>
      </c>
      <c r="D1504" s="11" t="s">
        <v>17</v>
      </c>
      <c r="E1504" s="11" t="s">
        <v>14</v>
      </c>
      <c r="F1504" s="11">
        <v>248</v>
      </c>
      <c r="G1504" s="11">
        <v>66</v>
      </c>
      <c r="H1504" s="11">
        <v>0.02</v>
      </c>
      <c r="I1504" s="11" t="s">
        <v>15</v>
      </c>
      <c r="J1504" s="11">
        <v>5</v>
      </c>
      <c r="K1504" s="11">
        <v>0</v>
      </c>
      <c r="L1504" s="11">
        <v>1</v>
      </c>
      <c r="M1504" s="11">
        <v>0</v>
      </c>
      <c r="N1504" s="11">
        <v>0</v>
      </c>
      <c r="O1504" s="12" t="str">
        <f t="shared" si="23"/>
        <v>0 - 9</v>
      </c>
    </row>
    <row r="1505" spans="1:15" x14ac:dyDescent="0.35">
      <c r="A1505" s="12">
        <v>5961</v>
      </c>
      <c r="B1505" s="12" t="s">
        <v>16</v>
      </c>
      <c r="C1505" s="12">
        <v>43</v>
      </c>
      <c r="D1505" s="12" t="s">
        <v>29</v>
      </c>
      <c r="E1505" s="12" t="s">
        <v>14</v>
      </c>
      <c r="F1505" s="12">
        <v>241</v>
      </c>
      <c r="G1505" s="12">
        <v>38</v>
      </c>
      <c r="H1505" s="12">
        <v>0.24</v>
      </c>
      <c r="I1505" s="12" t="s">
        <v>15</v>
      </c>
      <c r="J1505" s="12">
        <v>15</v>
      </c>
      <c r="K1505" s="12">
        <v>0</v>
      </c>
      <c r="L1505" s="12">
        <v>0</v>
      </c>
      <c r="M1505" s="12">
        <v>0</v>
      </c>
      <c r="N1505" s="12">
        <v>0</v>
      </c>
      <c r="O1505" s="12" t="str">
        <f t="shared" si="23"/>
        <v>10 - 19</v>
      </c>
    </row>
    <row r="1506" spans="1:15" x14ac:dyDescent="0.35">
      <c r="A1506" s="11">
        <v>5962</v>
      </c>
      <c r="B1506" s="11" t="s">
        <v>12</v>
      </c>
      <c r="C1506" s="11">
        <v>25</v>
      </c>
      <c r="D1506" s="11" t="s">
        <v>28</v>
      </c>
      <c r="E1506" s="11" t="s">
        <v>14</v>
      </c>
      <c r="F1506" s="11">
        <v>287</v>
      </c>
      <c r="G1506" s="11">
        <v>23</v>
      </c>
      <c r="H1506" s="11">
        <v>0.51</v>
      </c>
      <c r="I1506" s="11" t="s">
        <v>19</v>
      </c>
      <c r="J1506" s="11">
        <v>43</v>
      </c>
      <c r="K1506" s="11">
        <v>0</v>
      </c>
      <c r="L1506" s="11">
        <v>0</v>
      </c>
      <c r="M1506" s="11">
        <v>0</v>
      </c>
      <c r="N1506" s="11">
        <v>0</v>
      </c>
      <c r="O1506" s="12" t="str">
        <f t="shared" si="23"/>
        <v>40 - 49</v>
      </c>
    </row>
    <row r="1507" spans="1:15" x14ac:dyDescent="0.35">
      <c r="A1507" s="12">
        <v>5964</v>
      </c>
      <c r="B1507" s="12" t="s">
        <v>12</v>
      </c>
      <c r="C1507" s="12">
        <v>49</v>
      </c>
      <c r="D1507" s="12" t="s">
        <v>17</v>
      </c>
      <c r="E1507" s="12" t="s">
        <v>14</v>
      </c>
      <c r="F1507" s="12">
        <v>287</v>
      </c>
      <c r="G1507" s="12">
        <v>52</v>
      </c>
      <c r="H1507" s="12">
        <v>0.27</v>
      </c>
      <c r="I1507" s="12" t="s">
        <v>23</v>
      </c>
      <c r="J1507" s="12">
        <v>34</v>
      </c>
      <c r="K1507" s="12">
        <v>0</v>
      </c>
      <c r="L1507" s="12">
        <v>0</v>
      </c>
      <c r="M1507" s="12">
        <v>0</v>
      </c>
      <c r="N1507" s="12">
        <v>0</v>
      </c>
      <c r="O1507" s="12" t="str">
        <f t="shared" si="23"/>
        <v>30 - 39</v>
      </c>
    </row>
    <row r="1508" spans="1:15" x14ac:dyDescent="0.35">
      <c r="A1508" s="11">
        <v>5970</v>
      </c>
      <c r="B1508" s="11" t="s">
        <v>20</v>
      </c>
      <c r="C1508" s="11">
        <v>24</v>
      </c>
      <c r="D1508" s="11" t="s">
        <v>27</v>
      </c>
      <c r="E1508" s="11" t="s">
        <v>14</v>
      </c>
      <c r="F1508" s="11">
        <v>255</v>
      </c>
      <c r="G1508" s="11">
        <v>45</v>
      </c>
      <c r="H1508" s="11">
        <v>0.05</v>
      </c>
      <c r="I1508" s="11" t="s">
        <v>23</v>
      </c>
      <c r="J1508" s="11">
        <v>40</v>
      </c>
      <c r="K1508" s="11">
        <v>0</v>
      </c>
      <c r="L1508" s="11">
        <v>0</v>
      </c>
      <c r="M1508" s="11">
        <v>0</v>
      </c>
      <c r="N1508" s="11">
        <v>0</v>
      </c>
      <c r="O1508" s="12" t="str">
        <f t="shared" si="23"/>
        <v>40 - 49</v>
      </c>
    </row>
    <row r="1509" spans="1:15" x14ac:dyDescent="0.35">
      <c r="A1509" s="12">
        <v>5972</v>
      </c>
      <c r="B1509" s="12" t="s">
        <v>12</v>
      </c>
      <c r="C1509" s="12">
        <v>37</v>
      </c>
      <c r="D1509" s="12" t="s">
        <v>29</v>
      </c>
      <c r="E1509" s="12" t="s">
        <v>14</v>
      </c>
      <c r="F1509" s="12">
        <v>239</v>
      </c>
      <c r="G1509" s="12">
        <v>39</v>
      </c>
      <c r="H1509" s="12">
        <v>0.22</v>
      </c>
      <c r="I1509" s="12" t="s">
        <v>23</v>
      </c>
      <c r="J1509" s="12">
        <v>46</v>
      </c>
      <c r="K1509" s="12">
        <v>0</v>
      </c>
      <c r="L1509" s="12">
        <v>1</v>
      </c>
      <c r="M1509" s="12">
        <v>0</v>
      </c>
      <c r="N1509" s="12">
        <v>0</v>
      </c>
      <c r="O1509" s="12" t="str">
        <f t="shared" si="23"/>
        <v>40 - 49</v>
      </c>
    </row>
    <row r="1510" spans="1:15" x14ac:dyDescent="0.35">
      <c r="A1510" s="11">
        <v>5976</v>
      </c>
      <c r="B1510" s="11" t="s">
        <v>16</v>
      </c>
      <c r="C1510" s="11">
        <v>38</v>
      </c>
      <c r="D1510" s="11" t="s">
        <v>27</v>
      </c>
      <c r="E1510" s="11" t="s">
        <v>14</v>
      </c>
      <c r="F1510" s="11">
        <v>86</v>
      </c>
      <c r="G1510" s="11">
        <v>59</v>
      </c>
      <c r="H1510" s="11">
        <v>0.52</v>
      </c>
      <c r="I1510" s="11" t="s">
        <v>15</v>
      </c>
      <c r="J1510" s="11">
        <v>8</v>
      </c>
      <c r="K1510" s="11">
        <v>0</v>
      </c>
      <c r="L1510" s="11">
        <v>0</v>
      </c>
      <c r="M1510" s="11">
        <v>0</v>
      </c>
      <c r="N1510" s="11">
        <v>0</v>
      </c>
      <c r="O1510" s="12" t="str">
        <f t="shared" si="23"/>
        <v>0 - 9</v>
      </c>
    </row>
    <row r="1511" spans="1:15" x14ac:dyDescent="0.35">
      <c r="A1511" s="12">
        <v>5983</v>
      </c>
      <c r="B1511" s="12" t="s">
        <v>20</v>
      </c>
      <c r="C1511" s="12">
        <v>21</v>
      </c>
      <c r="D1511" s="12" t="s">
        <v>27</v>
      </c>
      <c r="E1511" s="12" t="s">
        <v>14</v>
      </c>
      <c r="F1511" s="12">
        <v>226</v>
      </c>
      <c r="G1511" s="12">
        <v>80</v>
      </c>
      <c r="H1511" s="12">
        <v>0.43</v>
      </c>
      <c r="I1511" s="12" t="s">
        <v>19</v>
      </c>
      <c r="J1511" s="12">
        <v>37</v>
      </c>
      <c r="K1511" s="12">
        <v>0</v>
      </c>
      <c r="L1511" s="12">
        <v>0</v>
      </c>
      <c r="M1511" s="12">
        <v>0</v>
      </c>
      <c r="N1511" s="12">
        <v>0</v>
      </c>
      <c r="O1511" s="12" t="str">
        <f t="shared" si="23"/>
        <v>30 - 39</v>
      </c>
    </row>
    <row r="1512" spans="1:15" x14ac:dyDescent="0.35">
      <c r="A1512" s="11">
        <v>5984</v>
      </c>
      <c r="B1512" s="11" t="s">
        <v>12</v>
      </c>
      <c r="C1512" s="11">
        <v>49</v>
      </c>
      <c r="D1512" s="11" t="s">
        <v>21</v>
      </c>
      <c r="E1512" s="11" t="s">
        <v>14</v>
      </c>
      <c r="F1512" s="11">
        <v>210</v>
      </c>
      <c r="G1512" s="11">
        <v>11</v>
      </c>
      <c r="H1512" s="11">
        <v>7.0000000000000007E-2</v>
      </c>
      <c r="I1512" s="11" t="s">
        <v>23</v>
      </c>
      <c r="J1512" s="11">
        <v>8</v>
      </c>
      <c r="K1512" s="11">
        <v>0</v>
      </c>
      <c r="L1512" s="11">
        <v>0</v>
      </c>
      <c r="M1512" s="11">
        <v>0</v>
      </c>
      <c r="N1512" s="11">
        <v>0</v>
      </c>
      <c r="O1512" s="12" t="str">
        <f t="shared" si="23"/>
        <v>0 - 9</v>
      </c>
    </row>
    <row r="1513" spans="1:15" x14ac:dyDescent="0.35">
      <c r="A1513" s="12">
        <v>5986</v>
      </c>
      <c r="B1513" s="12" t="s">
        <v>16</v>
      </c>
      <c r="C1513" s="12">
        <v>23</v>
      </c>
      <c r="D1513" s="12" t="s">
        <v>27</v>
      </c>
      <c r="E1513" s="12" t="s">
        <v>14</v>
      </c>
      <c r="F1513" s="12">
        <v>77</v>
      </c>
      <c r="G1513" s="12">
        <v>12</v>
      </c>
      <c r="H1513" s="12">
        <v>7.0000000000000007E-2</v>
      </c>
      <c r="I1513" s="12" t="s">
        <v>15</v>
      </c>
      <c r="J1513" s="12">
        <v>8</v>
      </c>
      <c r="K1513" s="12">
        <v>0</v>
      </c>
      <c r="L1513" s="12">
        <v>1</v>
      </c>
      <c r="M1513" s="12">
        <v>0</v>
      </c>
      <c r="N1513" s="12">
        <v>0</v>
      </c>
      <c r="O1513" s="12" t="str">
        <f t="shared" si="23"/>
        <v>0 - 9</v>
      </c>
    </row>
    <row r="1514" spans="1:15" x14ac:dyDescent="0.35">
      <c r="A1514" s="11">
        <v>5987</v>
      </c>
      <c r="B1514" s="11" t="s">
        <v>20</v>
      </c>
      <c r="C1514" s="11">
        <v>25</v>
      </c>
      <c r="D1514" s="11" t="s">
        <v>17</v>
      </c>
      <c r="E1514" s="11" t="s">
        <v>14</v>
      </c>
      <c r="F1514" s="11">
        <v>249</v>
      </c>
      <c r="G1514" s="11">
        <v>33</v>
      </c>
      <c r="H1514" s="11">
        <v>7.0000000000000007E-2</v>
      </c>
      <c r="I1514" s="11" t="s">
        <v>19</v>
      </c>
      <c r="J1514" s="11">
        <v>18</v>
      </c>
      <c r="K1514" s="11">
        <v>0</v>
      </c>
      <c r="L1514" s="11">
        <v>0</v>
      </c>
      <c r="M1514" s="11">
        <v>0</v>
      </c>
      <c r="N1514" s="11">
        <v>0</v>
      </c>
      <c r="O1514" s="12" t="str">
        <f t="shared" si="23"/>
        <v>10 - 19</v>
      </c>
    </row>
    <row r="1515" spans="1:15" x14ac:dyDescent="0.35">
      <c r="A1515" s="12">
        <v>5988</v>
      </c>
      <c r="B1515" s="12" t="s">
        <v>12</v>
      </c>
      <c r="C1515" s="12">
        <v>56</v>
      </c>
      <c r="D1515" s="12" t="s">
        <v>21</v>
      </c>
      <c r="E1515" s="12" t="s">
        <v>14</v>
      </c>
      <c r="F1515" s="12">
        <v>184</v>
      </c>
      <c r="G1515" s="12">
        <v>19</v>
      </c>
      <c r="H1515" s="12">
        <v>0.1</v>
      </c>
      <c r="I1515" s="12" t="s">
        <v>15</v>
      </c>
      <c r="J1515" s="12">
        <v>27</v>
      </c>
      <c r="K1515" s="12">
        <v>0</v>
      </c>
      <c r="L1515" s="12">
        <v>0</v>
      </c>
      <c r="M1515" s="12">
        <v>0</v>
      </c>
      <c r="N1515" s="12">
        <v>0</v>
      </c>
      <c r="O1515" s="12" t="str">
        <f t="shared" si="23"/>
        <v>20 - 29</v>
      </c>
    </row>
    <row r="1516" spans="1:15" x14ac:dyDescent="0.35">
      <c r="A1516" s="11">
        <v>5994</v>
      </c>
      <c r="B1516" s="11" t="s">
        <v>12</v>
      </c>
      <c r="C1516" s="11">
        <v>17</v>
      </c>
      <c r="D1516" s="11" t="s">
        <v>17</v>
      </c>
      <c r="E1516" s="11" t="s">
        <v>14</v>
      </c>
      <c r="F1516" s="11">
        <v>209</v>
      </c>
      <c r="G1516" s="11">
        <v>49</v>
      </c>
      <c r="H1516" s="11">
        <v>0.51</v>
      </c>
      <c r="I1516" s="11" t="s">
        <v>19</v>
      </c>
      <c r="J1516" s="11">
        <v>15</v>
      </c>
      <c r="K1516" s="11">
        <v>0</v>
      </c>
      <c r="L1516" s="11">
        <v>0</v>
      </c>
      <c r="M1516" s="11">
        <v>0</v>
      </c>
      <c r="N1516" s="11">
        <v>0</v>
      </c>
      <c r="O1516" s="12" t="str">
        <f t="shared" si="23"/>
        <v>10 - 19</v>
      </c>
    </row>
    <row r="1517" spans="1:15" x14ac:dyDescent="0.35">
      <c r="A1517" s="12">
        <v>5998</v>
      </c>
      <c r="B1517" s="12" t="s">
        <v>20</v>
      </c>
      <c r="C1517" s="12">
        <v>57</v>
      </c>
      <c r="D1517" s="12" t="s">
        <v>26</v>
      </c>
      <c r="E1517" s="12" t="s">
        <v>14</v>
      </c>
      <c r="F1517" s="12">
        <v>213</v>
      </c>
      <c r="G1517" s="12">
        <v>85</v>
      </c>
      <c r="H1517" s="12">
        <v>0.05</v>
      </c>
      <c r="I1517" s="12" t="s">
        <v>15</v>
      </c>
      <c r="J1517" s="12">
        <v>15</v>
      </c>
      <c r="K1517" s="12">
        <v>0</v>
      </c>
      <c r="L1517" s="12">
        <v>0</v>
      </c>
      <c r="M1517" s="12">
        <v>0</v>
      </c>
      <c r="N1517" s="12">
        <v>0</v>
      </c>
      <c r="O1517" s="12" t="str">
        <f t="shared" si="23"/>
        <v>10 - 19</v>
      </c>
    </row>
    <row r="1518" spans="1:15" x14ac:dyDescent="0.35">
      <c r="A1518" s="11">
        <v>5999</v>
      </c>
      <c r="B1518" s="11" t="s">
        <v>16</v>
      </c>
      <c r="C1518" s="11">
        <v>28</v>
      </c>
      <c r="D1518" s="11" t="s">
        <v>25</v>
      </c>
      <c r="E1518" s="11" t="s">
        <v>14</v>
      </c>
      <c r="F1518" s="11">
        <v>45</v>
      </c>
      <c r="G1518" s="11">
        <v>62</v>
      </c>
      <c r="H1518" s="11">
        <v>0.54</v>
      </c>
      <c r="I1518" s="11" t="s">
        <v>19</v>
      </c>
      <c r="J1518" s="11">
        <v>24</v>
      </c>
      <c r="K1518" s="11">
        <v>0</v>
      </c>
      <c r="L1518" s="11">
        <v>1</v>
      </c>
      <c r="M1518" s="11">
        <v>0</v>
      </c>
      <c r="N1518" s="11">
        <v>0</v>
      </c>
      <c r="O1518" s="12" t="str">
        <f t="shared" si="23"/>
        <v>20 - 29</v>
      </c>
    </row>
    <row r="1519" spans="1:15" x14ac:dyDescent="0.35">
      <c r="A1519" s="12">
        <v>6001</v>
      </c>
      <c r="B1519" s="12" t="s">
        <v>12</v>
      </c>
      <c r="C1519" s="12">
        <v>53</v>
      </c>
      <c r="D1519" s="12" t="s">
        <v>21</v>
      </c>
      <c r="E1519" s="12" t="s">
        <v>14</v>
      </c>
      <c r="F1519" s="12">
        <v>96</v>
      </c>
      <c r="G1519" s="12">
        <v>10</v>
      </c>
      <c r="H1519" s="12">
        <v>0.59</v>
      </c>
      <c r="I1519" s="12" t="s">
        <v>23</v>
      </c>
      <c r="J1519" s="12">
        <v>15</v>
      </c>
      <c r="K1519" s="12">
        <v>0</v>
      </c>
      <c r="L1519" s="12">
        <v>1</v>
      </c>
      <c r="M1519" s="12">
        <v>0</v>
      </c>
      <c r="N1519" s="12">
        <v>0</v>
      </c>
      <c r="O1519" s="12" t="str">
        <f t="shared" si="23"/>
        <v>10 - 19</v>
      </c>
    </row>
    <row r="1520" spans="1:15" x14ac:dyDescent="0.35">
      <c r="A1520" s="11">
        <v>6003</v>
      </c>
      <c r="B1520" s="11" t="s">
        <v>20</v>
      </c>
      <c r="C1520" s="11">
        <v>28</v>
      </c>
      <c r="D1520" s="11" t="s">
        <v>26</v>
      </c>
      <c r="E1520" s="11" t="s">
        <v>14</v>
      </c>
      <c r="F1520" s="11">
        <v>61</v>
      </c>
      <c r="G1520" s="11">
        <v>31</v>
      </c>
      <c r="H1520" s="11">
        <v>0.56999999999999995</v>
      </c>
      <c r="I1520" s="11" t="s">
        <v>23</v>
      </c>
      <c r="J1520" s="11">
        <v>48</v>
      </c>
      <c r="K1520" s="11">
        <v>0</v>
      </c>
      <c r="L1520" s="11">
        <v>1</v>
      </c>
      <c r="M1520" s="11">
        <v>0</v>
      </c>
      <c r="N1520" s="11">
        <v>0</v>
      </c>
      <c r="O1520" s="12" t="str">
        <f t="shared" si="23"/>
        <v>40 - 49</v>
      </c>
    </row>
    <row r="1521" spans="1:15" x14ac:dyDescent="0.35">
      <c r="A1521" s="12">
        <v>6005</v>
      </c>
      <c r="B1521" s="12" t="s">
        <v>12</v>
      </c>
      <c r="C1521" s="12">
        <v>41</v>
      </c>
      <c r="D1521" s="12" t="s">
        <v>13</v>
      </c>
      <c r="E1521" s="12" t="s">
        <v>14</v>
      </c>
      <c r="F1521" s="12">
        <v>151</v>
      </c>
      <c r="G1521" s="12">
        <v>3</v>
      </c>
      <c r="H1521" s="12">
        <v>0.32</v>
      </c>
      <c r="I1521" s="12" t="s">
        <v>23</v>
      </c>
      <c r="J1521" s="12">
        <v>10</v>
      </c>
      <c r="K1521" s="12">
        <v>0</v>
      </c>
      <c r="L1521" s="12">
        <v>0</v>
      </c>
      <c r="M1521" s="12">
        <v>0</v>
      </c>
      <c r="N1521" s="12">
        <v>0</v>
      </c>
      <c r="O1521" s="12" t="str">
        <f t="shared" si="23"/>
        <v>10 - 19</v>
      </c>
    </row>
    <row r="1522" spans="1:15" x14ac:dyDescent="0.35">
      <c r="A1522" s="11">
        <v>6010</v>
      </c>
      <c r="B1522" s="11" t="s">
        <v>16</v>
      </c>
      <c r="C1522" s="11">
        <v>34</v>
      </c>
      <c r="D1522" s="11" t="s">
        <v>17</v>
      </c>
      <c r="E1522" s="11" t="s">
        <v>14</v>
      </c>
      <c r="F1522" s="11">
        <v>221</v>
      </c>
      <c r="G1522" s="11">
        <v>71</v>
      </c>
      <c r="H1522" s="11">
        <v>0.16</v>
      </c>
      <c r="I1522" s="11" t="s">
        <v>23</v>
      </c>
      <c r="J1522" s="11">
        <v>13</v>
      </c>
      <c r="K1522" s="11">
        <v>0</v>
      </c>
      <c r="L1522" s="11">
        <v>1</v>
      </c>
      <c r="M1522" s="11">
        <v>0</v>
      </c>
      <c r="N1522" s="11">
        <v>0</v>
      </c>
      <c r="O1522" s="12" t="str">
        <f t="shared" si="23"/>
        <v>10 - 19</v>
      </c>
    </row>
    <row r="1523" spans="1:15" x14ac:dyDescent="0.35">
      <c r="A1523" s="12">
        <v>6011</v>
      </c>
      <c r="B1523" s="12" t="s">
        <v>16</v>
      </c>
      <c r="C1523" s="12">
        <v>44</v>
      </c>
      <c r="D1523" s="12" t="s">
        <v>28</v>
      </c>
      <c r="E1523" s="12" t="s">
        <v>14</v>
      </c>
      <c r="F1523" s="12">
        <v>157</v>
      </c>
      <c r="G1523" s="12">
        <v>15</v>
      </c>
      <c r="H1523" s="12">
        <v>0.01</v>
      </c>
      <c r="I1523" s="12" t="s">
        <v>19</v>
      </c>
      <c r="J1523" s="12">
        <v>18</v>
      </c>
      <c r="K1523" s="12">
        <v>0</v>
      </c>
      <c r="L1523" s="12">
        <v>0</v>
      </c>
      <c r="M1523" s="12">
        <v>0</v>
      </c>
      <c r="N1523" s="12">
        <v>0</v>
      </c>
      <c r="O1523" s="12" t="str">
        <f t="shared" si="23"/>
        <v>10 - 19</v>
      </c>
    </row>
    <row r="1524" spans="1:15" x14ac:dyDescent="0.35">
      <c r="A1524" s="11">
        <v>6012</v>
      </c>
      <c r="B1524" s="11" t="s">
        <v>16</v>
      </c>
      <c r="C1524" s="11">
        <v>18</v>
      </c>
      <c r="D1524" s="11" t="s">
        <v>25</v>
      </c>
      <c r="E1524" s="11" t="s">
        <v>14</v>
      </c>
      <c r="F1524" s="11">
        <v>224</v>
      </c>
      <c r="G1524" s="11">
        <v>19</v>
      </c>
      <c r="H1524" s="11">
        <v>0.57999999999999996</v>
      </c>
      <c r="I1524" s="11" t="s">
        <v>15</v>
      </c>
      <c r="J1524" s="11">
        <v>40</v>
      </c>
      <c r="K1524" s="11">
        <v>0</v>
      </c>
      <c r="L1524" s="11">
        <v>1</v>
      </c>
      <c r="M1524" s="11">
        <v>0</v>
      </c>
      <c r="N1524" s="11">
        <v>0</v>
      </c>
      <c r="O1524" s="12" t="str">
        <f t="shared" si="23"/>
        <v>40 - 49</v>
      </c>
    </row>
    <row r="1525" spans="1:15" x14ac:dyDescent="0.35">
      <c r="A1525" s="12">
        <v>6019</v>
      </c>
      <c r="B1525" s="12" t="s">
        <v>16</v>
      </c>
      <c r="C1525" s="12">
        <v>53</v>
      </c>
      <c r="D1525" s="12" t="s">
        <v>17</v>
      </c>
      <c r="E1525" s="12" t="s">
        <v>14</v>
      </c>
      <c r="F1525" s="12">
        <v>219</v>
      </c>
      <c r="G1525" s="12">
        <v>92</v>
      </c>
      <c r="H1525" s="12">
        <v>0.13</v>
      </c>
      <c r="I1525" s="12" t="s">
        <v>19</v>
      </c>
      <c r="J1525" s="12">
        <v>6</v>
      </c>
      <c r="K1525" s="12">
        <v>0</v>
      </c>
      <c r="L1525" s="12">
        <v>0</v>
      </c>
      <c r="M1525" s="12">
        <v>0</v>
      </c>
      <c r="N1525" s="12">
        <v>0</v>
      </c>
      <c r="O1525" s="12" t="str">
        <f t="shared" si="23"/>
        <v>0 - 9</v>
      </c>
    </row>
    <row r="1526" spans="1:15" x14ac:dyDescent="0.35">
      <c r="A1526" s="11">
        <v>6021</v>
      </c>
      <c r="B1526" s="11" t="s">
        <v>16</v>
      </c>
      <c r="C1526" s="11">
        <v>56</v>
      </c>
      <c r="D1526" s="11" t="s">
        <v>17</v>
      </c>
      <c r="E1526" s="11" t="s">
        <v>14</v>
      </c>
      <c r="F1526" s="11">
        <v>260</v>
      </c>
      <c r="G1526" s="11">
        <v>21</v>
      </c>
      <c r="H1526" s="11">
        <v>0.06</v>
      </c>
      <c r="I1526" s="11" t="s">
        <v>15</v>
      </c>
      <c r="J1526" s="11">
        <v>45</v>
      </c>
      <c r="K1526" s="11">
        <v>0</v>
      </c>
      <c r="L1526" s="11">
        <v>1</v>
      </c>
      <c r="M1526" s="11">
        <v>0</v>
      </c>
      <c r="N1526" s="11">
        <v>0</v>
      </c>
      <c r="O1526" s="12" t="str">
        <f t="shared" si="23"/>
        <v>40 - 49</v>
      </c>
    </row>
    <row r="1527" spans="1:15" x14ac:dyDescent="0.35">
      <c r="A1527" s="12">
        <v>6023</v>
      </c>
      <c r="B1527" s="12" t="s">
        <v>20</v>
      </c>
      <c r="C1527" s="12">
        <v>58</v>
      </c>
      <c r="D1527" s="12" t="s">
        <v>13</v>
      </c>
      <c r="E1527" s="12" t="s">
        <v>14</v>
      </c>
      <c r="F1527" s="12">
        <v>83</v>
      </c>
      <c r="G1527" s="12">
        <v>80</v>
      </c>
      <c r="H1527" s="12">
        <v>0.05</v>
      </c>
      <c r="I1527" s="12" t="s">
        <v>23</v>
      </c>
      <c r="J1527" s="12">
        <v>16</v>
      </c>
      <c r="K1527" s="12">
        <v>0</v>
      </c>
      <c r="L1527" s="12">
        <v>0</v>
      </c>
      <c r="M1527" s="12">
        <v>0</v>
      </c>
      <c r="N1527" s="12">
        <v>0</v>
      </c>
      <c r="O1527" s="12" t="str">
        <f t="shared" si="23"/>
        <v>10 - 19</v>
      </c>
    </row>
    <row r="1528" spans="1:15" x14ac:dyDescent="0.35">
      <c r="A1528" s="11">
        <v>6028</v>
      </c>
      <c r="B1528" s="11" t="s">
        <v>16</v>
      </c>
      <c r="C1528" s="11">
        <v>16</v>
      </c>
      <c r="D1528" s="11" t="s">
        <v>27</v>
      </c>
      <c r="E1528" s="11" t="s">
        <v>14</v>
      </c>
      <c r="F1528" s="11">
        <v>124</v>
      </c>
      <c r="G1528" s="11">
        <v>51</v>
      </c>
      <c r="H1528" s="11">
        <v>0.13</v>
      </c>
      <c r="I1528" s="11" t="s">
        <v>19</v>
      </c>
      <c r="J1528" s="11">
        <v>16</v>
      </c>
      <c r="K1528" s="11">
        <v>0</v>
      </c>
      <c r="L1528" s="11">
        <v>0</v>
      </c>
      <c r="M1528" s="11">
        <v>0</v>
      </c>
      <c r="N1528" s="11">
        <v>0</v>
      </c>
      <c r="O1528" s="12" t="str">
        <f t="shared" si="23"/>
        <v>10 - 19</v>
      </c>
    </row>
    <row r="1529" spans="1:15" x14ac:dyDescent="0.35">
      <c r="A1529" s="12">
        <v>6033</v>
      </c>
      <c r="B1529" s="12" t="s">
        <v>20</v>
      </c>
      <c r="C1529" s="12">
        <v>54</v>
      </c>
      <c r="D1529" s="12" t="s">
        <v>25</v>
      </c>
      <c r="E1529" s="12" t="s">
        <v>14</v>
      </c>
      <c r="F1529" s="12">
        <v>133</v>
      </c>
      <c r="G1529" s="12">
        <v>47</v>
      </c>
      <c r="H1529" s="12">
        <v>0.08</v>
      </c>
      <c r="I1529" s="12" t="s">
        <v>15</v>
      </c>
      <c r="J1529" s="12">
        <v>41</v>
      </c>
      <c r="K1529" s="12">
        <v>0</v>
      </c>
      <c r="L1529" s="12">
        <v>0</v>
      </c>
      <c r="M1529" s="12">
        <v>0</v>
      </c>
      <c r="N1529" s="12">
        <v>0</v>
      </c>
      <c r="O1529" s="12" t="str">
        <f t="shared" si="23"/>
        <v>40 - 49</v>
      </c>
    </row>
    <row r="1530" spans="1:15" x14ac:dyDescent="0.35">
      <c r="A1530" s="11">
        <v>6039</v>
      </c>
      <c r="B1530" s="11" t="s">
        <v>20</v>
      </c>
      <c r="C1530" s="11">
        <v>20</v>
      </c>
      <c r="D1530" s="11" t="s">
        <v>27</v>
      </c>
      <c r="E1530" s="11" t="s">
        <v>14</v>
      </c>
      <c r="F1530" s="11">
        <v>114</v>
      </c>
      <c r="G1530" s="11">
        <v>44</v>
      </c>
      <c r="H1530" s="11">
        <v>0.47</v>
      </c>
      <c r="I1530" s="11" t="s">
        <v>23</v>
      </c>
      <c r="J1530" s="11">
        <v>16</v>
      </c>
      <c r="K1530" s="11">
        <v>0</v>
      </c>
      <c r="L1530" s="11">
        <v>0</v>
      </c>
      <c r="M1530" s="11">
        <v>0</v>
      </c>
      <c r="N1530" s="11">
        <v>0</v>
      </c>
      <c r="O1530" s="12" t="str">
        <f t="shared" si="23"/>
        <v>10 - 19</v>
      </c>
    </row>
    <row r="1531" spans="1:15" x14ac:dyDescent="0.35">
      <c r="A1531" s="12">
        <v>6040</v>
      </c>
      <c r="B1531" s="12" t="s">
        <v>20</v>
      </c>
      <c r="C1531" s="12">
        <v>16</v>
      </c>
      <c r="D1531" s="12" t="s">
        <v>25</v>
      </c>
      <c r="E1531" s="12" t="s">
        <v>14</v>
      </c>
      <c r="F1531" s="12">
        <v>131</v>
      </c>
      <c r="G1531" s="12">
        <v>40</v>
      </c>
      <c r="H1531" s="12">
        <v>0.34</v>
      </c>
      <c r="I1531" s="12" t="s">
        <v>19</v>
      </c>
      <c r="J1531" s="12">
        <v>47</v>
      </c>
      <c r="K1531" s="12">
        <v>0</v>
      </c>
      <c r="L1531" s="12">
        <v>0</v>
      </c>
      <c r="M1531" s="12">
        <v>0</v>
      </c>
      <c r="N1531" s="12">
        <v>0</v>
      </c>
      <c r="O1531" s="12" t="str">
        <f t="shared" si="23"/>
        <v>40 - 49</v>
      </c>
    </row>
    <row r="1532" spans="1:15" x14ac:dyDescent="0.35">
      <c r="A1532" s="11">
        <v>6042</v>
      </c>
      <c r="B1532" s="11" t="s">
        <v>16</v>
      </c>
      <c r="C1532" s="11">
        <v>59</v>
      </c>
      <c r="D1532" s="11" t="s">
        <v>29</v>
      </c>
      <c r="E1532" s="11" t="s">
        <v>14</v>
      </c>
      <c r="F1532" s="11">
        <v>203</v>
      </c>
      <c r="G1532" s="11">
        <v>11</v>
      </c>
      <c r="H1532" s="11">
        <v>0.21</v>
      </c>
      <c r="I1532" s="11" t="s">
        <v>23</v>
      </c>
      <c r="J1532" s="11">
        <v>45</v>
      </c>
      <c r="K1532" s="11">
        <v>0</v>
      </c>
      <c r="L1532" s="11">
        <v>1</v>
      </c>
      <c r="M1532" s="11">
        <v>0</v>
      </c>
      <c r="N1532" s="11">
        <v>0</v>
      </c>
      <c r="O1532" s="12" t="str">
        <f t="shared" si="23"/>
        <v>40 - 49</v>
      </c>
    </row>
    <row r="1533" spans="1:15" x14ac:dyDescent="0.35">
      <c r="A1533" s="12">
        <v>6045</v>
      </c>
      <c r="B1533" s="12" t="s">
        <v>20</v>
      </c>
      <c r="C1533" s="12">
        <v>31</v>
      </c>
      <c r="D1533" s="12" t="s">
        <v>26</v>
      </c>
      <c r="E1533" s="12" t="s">
        <v>14</v>
      </c>
      <c r="F1533" s="12">
        <v>237</v>
      </c>
      <c r="G1533" s="12">
        <v>50</v>
      </c>
      <c r="H1533" s="12">
        <v>0.54</v>
      </c>
      <c r="I1533" s="12" t="s">
        <v>23</v>
      </c>
      <c r="J1533" s="12">
        <v>11</v>
      </c>
      <c r="K1533" s="12">
        <v>0</v>
      </c>
      <c r="L1533" s="12">
        <v>0</v>
      </c>
      <c r="M1533" s="12">
        <v>0</v>
      </c>
      <c r="N1533" s="12">
        <v>0</v>
      </c>
      <c r="O1533" s="12" t="str">
        <f t="shared" si="23"/>
        <v>10 - 19</v>
      </c>
    </row>
    <row r="1534" spans="1:15" x14ac:dyDescent="0.35">
      <c r="A1534" s="11">
        <v>6047</v>
      </c>
      <c r="B1534" s="11" t="s">
        <v>20</v>
      </c>
      <c r="C1534" s="11">
        <v>56</v>
      </c>
      <c r="D1534" s="11" t="s">
        <v>25</v>
      </c>
      <c r="E1534" s="11" t="s">
        <v>14</v>
      </c>
      <c r="F1534" s="11">
        <v>205</v>
      </c>
      <c r="G1534" s="11">
        <v>64</v>
      </c>
      <c r="H1534" s="11">
        <v>0.47</v>
      </c>
      <c r="I1534" s="11" t="s">
        <v>19</v>
      </c>
      <c r="J1534" s="11">
        <v>9</v>
      </c>
      <c r="K1534" s="11">
        <v>0</v>
      </c>
      <c r="L1534" s="11">
        <v>0</v>
      </c>
      <c r="M1534" s="11">
        <v>0</v>
      </c>
      <c r="N1534" s="11">
        <v>0</v>
      </c>
      <c r="O1534" s="12" t="str">
        <f t="shared" si="23"/>
        <v>0 - 9</v>
      </c>
    </row>
    <row r="1535" spans="1:15" x14ac:dyDescent="0.35">
      <c r="A1535" s="12">
        <v>6057</v>
      </c>
      <c r="B1535" s="12" t="s">
        <v>20</v>
      </c>
      <c r="C1535" s="12">
        <v>58</v>
      </c>
      <c r="D1535" s="12" t="s">
        <v>26</v>
      </c>
      <c r="E1535" s="12" t="s">
        <v>14</v>
      </c>
      <c r="F1535" s="12">
        <v>67</v>
      </c>
      <c r="G1535" s="12">
        <v>78</v>
      </c>
      <c r="H1535" s="12">
        <v>0.15</v>
      </c>
      <c r="I1535" s="12" t="s">
        <v>23</v>
      </c>
      <c r="J1535" s="12">
        <v>44</v>
      </c>
      <c r="K1535" s="12">
        <v>0</v>
      </c>
      <c r="L1535" s="12">
        <v>0</v>
      </c>
      <c r="M1535" s="12">
        <v>0</v>
      </c>
      <c r="N1535" s="12">
        <v>0</v>
      </c>
      <c r="O1535" s="12" t="str">
        <f t="shared" si="23"/>
        <v>40 - 49</v>
      </c>
    </row>
    <row r="1536" spans="1:15" x14ac:dyDescent="0.35">
      <c r="A1536" s="11">
        <v>6058</v>
      </c>
      <c r="B1536" s="11" t="s">
        <v>12</v>
      </c>
      <c r="C1536" s="11">
        <v>35</v>
      </c>
      <c r="D1536" s="11" t="s">
        <v>28</v>
      </c>
      <c r="E1536" s="11" t="s">
        <v>14</v>
      </c>
      <c r="F1536" s="11">
        <v>80</v>
      </c>
      <c r="G1536" s="11">
        <v>77</v>
      </c>
      <c r="H1536" s="11">
        <v>0.52</v>
      </c>
      <c r="I1536" s="11" t="s">
        <v>15</v>
      </c>
      <c r="J1536" s="11">
        <v>26</v>
      </c>
      <c r="K1536" s="11">
        <v>0</v>
      </c>
      <c r="L1536" s="11">
        <v>0</v>
      </c>
      <c r="M1536" s="11">
        <v>0</v>
      </c>
      <c r="N1536" s="11">
        <v>0</v>
      </c>
      <c r="O1536" s="12" t="str">
        <f t="shared" si="23"/>
        <v>20 - 29</v>
      </c>
    </row>
    <row r="1537" spans="1:15" x14ac:dyDescent="0.35">
      <c r="A1537" s="12">
        <v>6059</v>
      </c>
      <c r="B1537" s="12" t="s">
        <v>16</v>
      </c>
      <c r="C1537" s="12">
        <v>47</v>
      </c>
      <c r="D1537" s="12" t="s">
        <v>17</v>
      </c>
      <c r="E1537" s="12" t="s">
        <v>14</v>
      </c>
      <c r="F1537" s="12">
        <v>26</v>
      </c>
      <c r="G1537" s="12">
        <v>42</v>
      </c>
      <c r="H1537" s="12">
        <v>0.35</v>
      </c>
      <c r="I1537" s="12" t="s">
        <v>23</v>
      </c>
      <c r="J1537" s="12">
        <v>30</v>
      </c>
      <c r="K1537" s="12">
        <v>0</v>
      </c>
      <c r="L1537" s="12">
        <v>1</v>
      </c>
      <c r="M1537" s="12">
        <v>0</v>
      </c>
      <c r="N1537" s="12">
        <v>0</v>
      </c>
      <c r="O1537" s="12" t="str">
        <f t="shared" si="23"/>
        <v>30 - 39</v>
      </c>
    </row>
    <row r="1538" spans="1:15" x14ac:dyDescent="0.35">
      <c r="A1538" s="11">
        <v>6060</v>
      </c>
      <c r="B1538" s="11" t="s">
        <v>20</v>
      </c>
      <c r="C1538" s="11">
        <v>18</v>
      </c>
      <c r="D1538" s="11" t="s">
        <v>13</v>
      </c>
      <c r="E1538" s="11" t="s">
        <v>14</v>
      </c>
      <c r="F1538" s="11">
        <v>17</v>
      </c>
      <c r="G1538" s="11">
        <v>94</v>
      </c>
      <c r="H1538" s="11">
        <v>0.52</v>
      </c>
      <c r="I1538" s="11" t="s">
        <v>15</v>
      </c>
      <c r="J1538" s="11">
        <v>45</v>
      </c>
      <c r="K1538" s="11">
        <v>0</v>
      </c>
      <c r="L1538" s="11">
        <v>0</v>
      </c>
      <c r="M1538" s="11">
        <v>0</v>
      </c>
      <c r="N1538" s="11">
        <v>0</v>
      </c>
      <c r="O1538" s="12" t="str">
        <f t="shared" ref="O1538:O1601" si="24">_xlfn.FLOOR.MATH(J1538, 10) &amp; " - " &amp; (_xlfn.FLOOR.MATH(J1538, 10) + 9)</f>
        <v>40 - 49</v>
      </c>
    </row>
    <row r="1539" spans="1:15" x14ac:dyDescent="0.35">
      <c r="A1539" s="12">
        <v>6064</v>
      </c>
      <c r="B1539" s="12" t="s">
        <v>20</v>
      </c>
      <c r="C1539" s="12">
        <v>26</v>
      </c>
      <c r="D1539" s="12" t="s">
        <v>13</v>
      </c>
      <c r="E1539" s="12" t="s">
        <v>14</v>
      </c>
      <c r="F1539" s="12">
        <v>244</v>
      </c>
      <c r="G1539" s="12">
        <v>73</v>
      </c>
      <c r="H1539" s="12">
        <v>0.32</v>
      </c>
      <c r="I1539" s="12" t="s">
        <v>23</v>
      </c>
      <c r="J1539" s="12">
        <v>45</v>
      </c>
      <c r="K1539" s="12">
        <v>0</v>
      </c>
      <c r="L1539" s="12">
        <v>1</v>
      </c>
      <c r="M1539" s="12">
        <v>0</v>
      </c>
      <c r="N1539" s="12">
        <v>0</v>
      </c>
      <c r="O1539" s="12" t="str">
        <f t="shared" si="24"/>
        <v>40 - 49</v>
      </c>
    </row>
    <row r="1540" spans="1:15" x14ac:dyDescent="0.35">
      <c r="A1540" s="11">
        <v>6068</v>
      </c>
      <c r="B1540" s="11" t="s">
        <v>16</v>
      </c>
      <c r="C1540" s="11">
        <v>50</v>
      </c>
      <c r="D1540" s="11" t="s">
        <v>17</v>
      </c>
      <c r="E1540" s="11" t="s">
        <v>14</v>
      </c>
      <c r="F1540" s="11">
        <v>85</v>
      </c>
      <c r="G1540" s="11">
        <v>7</v>
      </c>
      <c r="H1540" s="11">
        <v>0.47</v>
      </c>
      <c r="I1540" s="11" t="s">
        <v>23</v>
      </c>
      <c r="J1540" s="11">
        <v>49</v>
      </c>
      <c r="K1540" s="11">
        <v>0</v>
      </c>
      <c r="L1540" s="11">
        <v>1</v>
      </c>
      <c r="M1540" s="11">
        <v>0</v>
      </c>
      <c r="N1540" s="11">
        <v>0</v>
      </c>
      <c r="O1540" s="12" t="str">
        <f t="shared" si="24"/>
        <v>40 - 49</v>
      </c>
    </row>
    <row r="1541" spans="1:15" x14ac:dyDescent="0.35">
      <c r="A1541" s="12">
        <v>6072</v>
      </c>
      <c r="B1541" s="12" t="s">
        <v>16</v>
      </c>
      <c r="C1541" s="12">
        <v>40</v>
      </c>
      <c r="D1541" s="12" t="s">
        <v>26</v>
      </c>
      <c r="E1541" s="12" t="s">
        <v>14</v>
      </c>
      <c r="F1541" s="12">
        <v>58</v>
      </c>
      <c r="G1541" s="12">
        <v>78</v>
      </c>
      <c r="H1541" s="12">
        <v>0.21</v>
      </c>
      <c r="I1541" s="12" t="s">
        <v>15</v>
      </c>
      <c r="J1541" s="12">
        <v>42</v>
      </c>
      <c r="K1541" s="12">
        <v>0</v>
      </c>
      <c r="L1541" s="12">
        <v>0</v>
      </c>
      <c r="M1541" s="12">
        <v>0</v>
      </c>
      <c r="N1541" s="12">
        <v>0</v>
      </c>
      <c r="O1541" s="12" t="str">
        <f t="shared" si="24"/>
        <v>40 - 49</v>
      </c>
    </row>
    <row r="1542" spans="1:15" x14ac:dyDescent="0.35">
      <c r="A1542" s="11">
        <v>6073</v>
      </c>
      <c r="B1542" s="11" t="s">
        <v>20</v>
      </c>
      <c r="C1542" s="11">
        <v>48</v>
      </c>
      <c r="D1542" s="11" t="s">
        <v>28</v>
      </c>
      <c r="E1542" s="11" t="s">
        <v>14</v>
      </c>
      <c r="F1542" s="11">
        <v>128</v>
      </c>
      <c r="G1542" s="11">
        <v>5</v>
      </c>
      <c r="H1542" s="11">
        <v>0.28999999999999998</v>
      </c>
      <c r="I1542" s="11" t="s">
        <v>23</v>
      </c>
      <c r="J1542" s="11">
        <v>47</v>
      </c>
      <c r="K1542" s="11">
        <v>0</v>
      </c>
      <c r="L1542" s="11">
        <v>1</v>
      </c>
      <c r="M1542" s="11">
        <v>0</v>
      </c>
      <c r="N1542" s="11">
        <v>0</v>
      </c>
      <c r="O1542" s="12" t="str">
        <f t="shared" si="24"/>
        <v>40 - 49</v>
      </c>
    </row>
    <row r="1543" spans="1:15" x14ac:dyDescent="0.35">
      <c r="A1543" s="12">
        <v>6074</v>
      </c>
      <c r="B1543" s="12" t="s">
        <v>16</v>
      </c>
      <c r="C1543" s="12">
        <v>37</v>
      </c>
      <c r="D1543" s="12" t="s">
        <v>21</v>
      </c>
      <c r="E1543" s="12" t="s">
        <v>14</v>
      </c>
      <c r="F1543" s="12">
        <v>75</v>
      </c>
      <c r="G1543" s="12">
        <v>13</v>
      </c>
      <c r="H1543" s="12">
        <v>0.18</v>
      </c>
      <c r="I1543" s="12" t="s">
        <v>15</v>
      </c>
      <c r="J1543" s="12">
        <v>36</v>
      </c>
      <c r="K1543" s="12">
        <v>0</v>
      </c>
      <c r="L1543" s="12">
        <v>0</v>
      </c>
      <c r="M1543" s="12">
        <v>0</v>
      </c>
      <c r="N1543" s="12">
        <v>0</v>
      </c>
      <c r="O1543" s="12" t="str">
        <f t="shared" si="24"/>
        <v>30 - 39</v>
      </c>
    </row>
    <row r="1544" spans="1:15" x14ac:dyDescent="0.35">
      <c r="A1544" s="11">
        <v>6084</v>
      </c>
      <c r="B1544" s="11" t="s">
        <v>12</v>
      </c>
      <c r="C1544" s="11">
        <v>31</v>
      </c>
      <c r="D1544" s="11" t="s">
        <v>27</v>
      </c>
      <c r="E1544" s="11" t="s">
        <v>14</v>
      </c>
      <c r="F1544" s="11">
        <v>88</v>
      </c>
      <c r="G1544" s="11">
        <v>91</v>
      </c>
      <c r="H1544" s="11">
        <v>0.48</v>
      </c>
      <c r="I1544" s="11" t="s">
        <v>19</v>
      </c>
      <c r="J1544" s="11">
        <v>9</v>
      </c>
      <c r="K1544" s="11">
        <v>0</v>
      </c>
      <c r="L1544" s="11">
        <v>0</v>
      </c>
      <c r="M1544" s="11">
        <v>0</v>
      </c>
      <c r="N1544" s="11">
        <v>0</v>
      </c>
      <c r="O1544" s="12" t="str">
        <f t="shared" si="24"/>
        <v>0 - 9</v>
      </c>
    </row>
    <row r="1545" spans="1:15" x14ac:dyDescent="0.35">
      <c r="A1545" s="12">
        <v>6088</v>
      </c>
      <c r="B1545" s="12" t="s">
        <v>16</v>
      </c>
      <c r="C1545" s="12">
        <v>59</v>
      </c>
      <c r="D1545" s="12" t="s">
        <v>25</v>
      </c>
      <c r="E1545" s="12" t="s">
        <v>14</v>
      </c>
      <c r="F1545" s="12">
        <v>15</v>
      </c>
      <c r="G1545" s="12">
        <v>42</v>
      </c>
      <c r="H1545" s="12">
        <v>0.49</v>
      </c>
      <c r="I1545" s="12" t="s">
        <v>15</v>
      </c>
      <c r="J1545" s="12">
        <v>6</v>
      </c>
      <c r="K1545" s="12">
        <v>0</v>
      </c>
      <c r="L1545" s="12">
        <v>1</v>
      </c>
      <c r="M1545" s="12">
        <v>0</v>
      </c>
      <c r="N1545" s="12">
        <v>0</v>
      </c>
      <c r="O1545" s="12" t="str">
        <f t="shared" si="24"/>
        <v>0 - 9</v>
      </c>
    </row>
    <row r="1546" spans="1:15" x14ac:dyDescent="0.35">
      <c r="A1546" s="11">
        <v>6089</v>
      </c>
      <c r="B1546" s="11" t="s">
        <v>20</v>
      </c>
      <c r="C1546" s="11">
        <v>42</v>
      </c>
      <c r="D1546" s="11" t="s">
        <v>25</v>
      </c>
      <c r="E1546" s="11" t="s">
        <v>14</v>
      </c>
      <c r="F1546" s="11">
        <v>199</v>
      </c>
      <c r="G1546" s="11">
        <v>44</v>
      </c>
      <c r="H1546" s="11">
        <v>0.19</v>
      </c>
      <c r="I1546" s="11" t="s">
        <v>23</v>
      </c>
      <c r="J1546" s="11">
        <v>44</v>
      </c>
      <c r="K1546" s="11">
        <v>0</v>
      </c>
      <c r="L1546" s="11">
        <v>0</v>
      </c>
      <c r="M1546" s="11">
        <v>0</v>
      </c>
      <c r="N1546" s="11">
        <v>0</v>
      </c>
      <c r="O1546" s="12" t="str">
        <f t="shared" si="24"/>
        <v>40 - 49</v>
      </c>
    </row>
    <row r="1547" spans="1:15" x14ac:dyDescent="0.35">
      <c r="A1547" s="12">
        <v>6094</v>
      </c>
      <c r="B1547" s="12" t="s">
        <v>16</v>
      </c>
      <c r="C1547" s="12">
        <v>31</v>
      </c>
      <c r="D1547" s="12" t="s">
        <v>28</v>
      </c>
      <c r="E1547" s="12" t="s">
        <v>14</v>
      </c>
      <c r="F1547" s="12">
        <v>290</v>
      </c>
      <c r="G1547" s="12">
        <v>51</v>
      </c>
      <c r="H1547" s="12">
        <v>0.38</v>
      </c>
      <c r="I1547" s="12" t="s">
        <v>23</v>
      </c>
      <c r="J1547" s="12">
        <v>33</v>
      </c>
      <c r="K1547" s="12">
        <v>0</v>
      </c>
      <c r="L1547" s="12">
        <v>1</v>
      </c>
      <c r="M1547" s="12">
        <v>0</v>
      </c>
      <c r="N1547" s="12">
        <v>0</v>
      </c>
      <c r="O1547" s="12" t="str">
        <f t="shared" si="24"/>
        <v>30 - 39</v>
      </c>
    </row>
    <row r="1548" spans="1:15" x14ac:dyDescent="0.35">
      <c r="A1548" s="11">
        <v>6100</v>
      </c>
      <c r="B1548" s="11" t="s">
        <v>20</v>
      </c>
      <c r="C1548" s="11">
        <v>49</v>
      </c>
      <c r="D1548" s="11" t="s">
        <v>25</v>
      </c>
      <c r="E1548" s="11" t="s">
        <v>14</v>
      </c>
      <c r="F1548" s="11">
        <v>211</v>
      </c>
      <c r="G1548" s="11">
        <v>56</v>
      </c>
      <c r="H1548" s="11">
        <v>0.03</v>
      </c>
      <c r="I1548" s="11" t="s">
        <v>19</v>
      </c>
      <c r="J1548" s="11">
        <v>34</v>
      </c>
      <c r="K1548" s="11">
        <v>0</v>
      </c>
      <c r="L1548" s="11">
        <v>1</v>
      </c>
      <c r="M1548" s="11">
        <v>0</v>
      </c>
      <c r="N1548" s="11">
        <v>0</v>
      </c>
      <c r="O1548" s="12" t="str">
        <f t="shared" si="24"/>
        <v>30 - 39</v>
      </c>
    </row>
    <row r="1549" spans="1:15" x14ac:dyDescent="0.35">
      <c r="A1549" s="12">
        <v>6101</v>
      </c>
      <c r="B1549" s="12" t="s">
        <v>16</v>
      </c>
      <c r="C1549" s="12">
        <v>22</v>
      </c>
      <c r="D1549" s="12" t="s">
        <v>21</v>
      </c>
      <c r="E1549" s="12" t="s">
        <v>14</v>
      </c>
      <c r="F1549" s="12">
        <v>139</v>
      </c>
      <c r="G1549" s="12">
        <v>65</v>
      </c>
      <c r="H1549" s="12">
        <v>0.56999999999999995</v>
      </c>
      <c r="I1549" s="12" t="s">
        <v>15</v>
      </c>
      <c r="J1549" s="12">
        <v>11</v>
      </c>
      <c r="K1549" s="12">
        <v>0</v>
      </c>
      <c r="L1549" s="12">
        <v>1</v>
      </c>
      <c r="M1549" s="12">
        <v>0</v>
      </c>
      <c r="N1549" s="12">
        <v>0</v>
      </c>
      <c r="O1549" s="12" t="str">
        <f t="shared" si="24"/>
        <v>10 - 19</v>
      </c>
    </row>
    <row r="1550" spans="1:15" x14ac:dyDescent="0.35">
      <c r="A1550" s="11">
        <v>6102</v>
      </c>
      <c r="B1550" s="11" t="s">
        <v>16</v>
      </c>
      <c r="C1550" s="11">
        <v>33</v>
      </c>
      <c r="D1550" s="11" t="s">
        <v>17</v>
      </c>
      <c r="E1550" s="11" t="s">
        <v>14</v>
      </c>
      <c r="F1550" s="11">
        <v>42</v>
      </c>
      <c r="G1550" s="11">
        <v>63</v>
      </c>
      <c r="H1550" s="11">
        <v>0.53</v>
      </c>
      <c r="I1550" s="11" t="s">
        <v>23</v>
      </c>
      <c r="J1550" s="11">
        <v>48</v>
      </c>
      <c r="K1550" s="11">
        <v>0</v>
      </c>
      <c r="L1550" s="11">
        <v>0</v>
      </c>
      <c r="M1550" s="11">
        <v>0</v>
      </c>
      <c r="N1550" s="11">
        <v>0</v>
      </c>
      <c r="O1550" s="12" t="str">
        <f t="shared" si="24"/>
        <v>40 - 49</v>
      </c>
    </row>
    <row r="1551" spans="1:15" x14ac:dyDescent="0.35">
      <c r="A1551" s="12">
        <v>6107</v>
      </c>
      <c r="B1551" s="12" t="s">
        <v>12</v>
      </c>
      <c r="C1551" s="12">
        <v>38</v>
      </c>
      <c r="D1551" s="12" t="s">
        <v>13</v>
      </c>
      <c r="E1551" s="12" t="s">
        <v>14</v>
      </c>
      <c r="F1551" s="12">
        <v>105</v>
      </c>
      <c r="G1551" s="12">
        <v>28</v>
      </c>
      <c r="H1551" s="12">
        <v>0.45</v>
      </c>
      <c r="I1551" s="12" t="s">
        <v>15</v>
      </c>
      <c r="J1551" s="12">
        <v>40</v>
      </c>
      <c r="K1551" s="12">
        <v>0</v>
      </c>
      <c r="L1551" s="12">
        <v>0</v>
      </c>
      <c r="M1551" s="12">
        <v>0</v>
      </c>
      <c r="N1551" s="12">
        <v>0</v>
      </c>
      <c r="O1551" s="12" t="str">
        <f t="shared" si="24"/>
        <v>40 - 49</v>
      </c>
    </row>
    <row r="1552" spans="1:15" x14ac:dyDescent="0.35">
      <c r="A1552" s="11">
        <v>6110</v>
      </c>
      <c r="B1552" s="11" t="s">
        <v>16</v>
      </c>
      <c r="C1552" s="11">
        <v>16</v>
      </c>
      <c r="D1552" s="11" t="s">
        <v>25</v>
      </c>
      <c r="E1552" s="11" t="s">
        <v>14</v>
      </c>
      <c r="F1552" s="11">
        <v>239</v>
      </c>
      <c r="G1552" s="11">
        <v>36</v>
      </c>
      <c r="H1552" s="11">
        <v>0.17</v>
      </c>
      <c r="I1552" s="11" t="s">
        <v>19</v>
      </c>
      <c r="J1552" s="11">
        <v>13</v>
      </c>
      <c r="K1552" s="11">
        <v>0</v>
      </c>
      <c r="L1552" s="11">
        <v>0</v>
      </c>
      <c r="M1552" s="11">
        <v>0</v>
      </c>
      <c r="N1552" s="11">
        <v>0</v>
      </c>
      <c r="O1552" s="12" t="str">
        <f t="shared" si="24"/>
        <v>10 - 19</v>
      </c>
    </row>
    <row r="1553" spans="1:15" x14ac:dyDescent="0.35">
      <c r="A1553" s="12">
        <v>6112</v>
      </c>
      <c r="B1553" s="12" t="s">
        <v>16</v>
      </c>
      <c r="C1553" s="12">
        <v>28</v>
      </c>
      <c r="D1553" s="12" t="s">
        <v>13</v>
      </c>
      <c r="E1553" s="12" t="s">
        <v>14</v>
      </c>
      <c r="F1553" s="12">
        <v>123</v>
      </c>
      <c r="G1553" s="12">
        <v>71</v>
      </c>
      <c r="H1553" s="12">
        <v>0.43</v>
      </c>
      <c r="I1553" s="12" t="s">
        <v>19</v>
      </c>
      <c r="J1553" s="12">
        <v>31</v>
      </c>
      <c r="K1553" s="12">
        <v>0</v>
      </c>
      <c r="L1553" s="12">
        <v>0</v>
      </c>
      <c r="M1553" s="12">
        <v>0</v>
      </c>
      <c r="N1553" s="12">
        <v>0</v>
      </c>
      <c r="O1553" s="12" t="str">
        <f t="shared" si="24"/>
        <v>30 - 39</v>
      </c>
    </row>
    <row r="1554" spans="1:15" x14ac:dyDescent="0.35">
      <c r="A1554" s="11">
        <v>6113</v>
      </c>
      <c r="B1554" s="11" t="s">
        <v>20</v>
      </c>
      <c r="C1554" s="11">
        <v>30</v>
      </c>
      <c r="D1554" s="11" t="s">
        <v>29</v>
      </c>
      <c r="E1554" s="11" t="s">
        <v>14</v>
      </c>
      <c r="F1554" s="11">
        <v>287</v>
      </c>
      <c r="G1554" s="11">
        <v>60</v>
      </c>
      <c r="H1554" s="11">
        <v>0.15</v>
      </c>
      <c r="I1554" s="11" t="s">
        <v>19</v>
      </c>
      <c r="J1554" s="11">
        <v>36</v>
      </c>
      <c r="K1554" s="11">
        <v>0</v>
      </c>
      <c r="L1554" s="11">
        <v>1</v>
      </c>
      <c r="M1554" s="11">
        <v>0</v>
      </c>
      <c r="N1554" s="11">
        <v>0</v>
      </c>
      <c r="O1554" s="12" t="str">
        <f t="shared" si="24"/>
        <v>30 - 39</v>
      </c>
    </row>
    <row r="1555" spans="1:15" x14ac:dyDescent="0.35">
      <c r="A1555" s="12">
        <v>6116</v>
      </c>
      <c r="B1555" s="12" t="s">
        <v>16</v>
      </c>
      <c r="C1555" s="12">
        <v>56</v>
      </c>
      <c r="D1555" s="12" t="s">
        <v>17</v>
      </c>
      <c r="E1555" s="12" t="s">
        <v>14</v>
      </c>
      <c r="F1555" s="12">
        <v>40</v>
      </c>
      <c r="G1555" s="12">
        <v>29</v>
      </c>
      <c r="H1555" s="12">
        <v>0.37</v>
      </c>
      <c r="I1555" s="12" t="s">
        <v>15</v>
      </c>
      <c r="J1555" s="12">
        <v>44</v>
      </c>
      <c r="K1555" s="12">
        <v>0</v>
      </c>
      <c r="L1555" s="12">
        <v>1</v>
      </c>
      <c r="M1555" s="12">
        <v>0</v>
      </c>
      <c r="N1555" s="12">
        <v>0</v>
      </c>
      <c r="O1555" s="12" t="str">
        <f t="shared" si="24"/>
        <v>40 - 49</v>
      </c>
    </row>
    <row r="1556" spans="1:15" x14ac:dyDescent="0.35">
      <c r="A1556" s="11">
        <v>6122</v>
      </c>
      <c r="B1556" s="11" t="s">
        <v>20</v>
      </c>
      <c r="C1556" s="11">
        <v>19</v>
      </c>
      <c r="D1556" s="11" t="s">
        <v>29</v>
      </c>
      <c r="E1556" s="11" t="s">
        <v>14</v>
      </c>
      <c r="F1556" s="11">
        <v>251</v>
      </c>
      <c r="G1556" s="11">
        <v>96</v>
      </c>
      <c r="H1556" s="11">
        <v>0.11</v>
      </c>
      <c r="I1556" s="11" t="s">
        <v>15</v>
      </c>
      <c r="J1556" s="11">
        <v>40</v>
      </c>
      <c r="K1556" s="11">
        <v>0</v>
      </c>
      <c r="L1556" s="11">
        <v>1</v>
      </c>
      <c r="M1556" s="11">
        <v>0</v>
      </c>
      <c r="N1556" s="11">
        <v>0</v>
      </c>
      <c r="O1556" s="12" t="str">
        <f t="shared" si="24"/>
        <v>40 - 49</v>
      </c>
    </row>
    <row r="1557" spans="1:15" x14ac:dyDescent="0.35">
      <c r="A1557" s="12">
        <v>6124</v>
      </c>
      <c r="B1557" s="12" t="s">
        <v>12</v>
      </c>
      <c r="C1557" s="12">
        <v>22</v>
      </c>
      <c r="D1557" s="12" t="s">
        <v>28</v>
      </c>
      <c r="E1557" s="12" t="s">
        <v>14</v>
      </c>
      <c r="F1557" s="12">
        <v>283</v>
      </c>
      <c r="G1557" s="12">
        <v>33</v>
      </c>
      <c r="H1557" s="12">
        <v>0.51</v>
      </c>
      <c r="I1557" s="12" t="s">
        <v>15</v>
      </c>
      <c r="J1557" s="12">
        <v>18</v>
      </c>
      <c r="K1557" s="12">
        <v>0</v>
      </c>
      <c r="L1557" s="12">
        <v>1</v>
      </c>
      <c r="M1557" s="12">
        <v>0</v>
      </c>
      <c r="N1557" s="12">
        <v>0</v>
      </c>
      <c r="O1557" s="12" t="str">
        <f t="shared" si="24"/>
        <v>10 - 19</v>
      </c>
    </row>
    <row r="1558" spans="1:15" x14ac:dyDescent="0.35">
      <c r="A1558" s="11">
        <v>6128</v>
      </c>
      <c r="B1558" s="11" t="s">
        <v>12</v>
      </c>
      <c r="C1558" s="11">
        <v>32</v>
      </c>
      <c r="D1558" s="11" t="s">
        <v>13</v>
      </c>
      <c r="E1558" s="11" t="s">
        <v>14</v>
      </c>
      <c r="F1558" s="11">
        <v>111</v>
      </c>
      <c r="G1558" s="11">
        <v>94</v>
      </c>
      <c r="H1558" s="11">
        <v>0.28999999999999998</v>
      </c>
      <c r="I1558" s="11" t="s">
        <v>15</v>
      </c>
      <c r="J1558" s="11">
        <v>20</v>
      </c>
      <c r="K1558" s="11">
        <v>0</v>
      </c>
      <c r="L1558" s="11">
        <v>0</v>
      </c>
      <c r="M1558" s="11">
        <v>0</v>
      </c>
      <c r="N1558" s="11">
        <v>0</v>
      </c>
      <c r="O1558" s="12" t="str">
        <f t="shared" si="24"/>
        <v>20 - 29</v>
      </c>
    </row>
    <row r="1559" spans="1:15" x14ac:dyDescent="0.35">
      <c r="A1559" s="12">
        <v>6129</v>
      </c>
      <c r="B1559" s="12" t="s">
        <v>20</v>
      </c>
      <c r="C1559" s="12">
        <v>49</v>
      </c>
      <c r="D1559" s="12" t="s">
        <v>25</v>
      </c>
      <c r="E1559" s="12" t="s">
        <v>14</v>
      </c>
      <c r="F1559" s="12">
        <v>230</v>
      </c>
      <c r="G1559" s="12">
        <v>78</v>
      </c>
      <c r="H1559" s="12">
        <v>0.06</v>
      </c>
      <c r="I1559" s="12" t="s">
        <v>15</v>
      </c>
      <c r="J1559" s="12">
        <v>39</v>
      </c>
      <c r="K1559" s="12">
        <v>0</v>
      </c>
      <c r="L1559" s="12">
        <v>0</v>
      </c>
      <c r="M1559" s="12">
        <v>0</v>
      </c>
      <c r="N1559" s="12">
        <v>0</v>
      </c>
      <c r="O1559" s="12" t="str">
        <f t="shared" si="24"/>
        <v>30 - 39</v>
      </c>
    </row>
    <row r="1560" spans="1:15" x14ac:dyDescent="0.35">
      <c r="A1560" s="11">
        <v>6132</v>
      </c>
      <c r="B1560" s="11" t="s">
        <v>12</v>
      </c>
      <c r="C1560" s="11">
        <v>41</v>
      </c>
      <c r="D1560" s="11" t="s">
        <v>21</v>
      </c>
      <c r="E1560" s="11" t="s">
        <v>14</v>
      </c>
      <c r="F1560" s="11">
        <v>201</v>
      </c>
      <c r="G1560" s="11">
        <v>47</v>
      </c>
      <c r="H1560" s="11">
        <v>0.04</v>
      </c>
      <c r="I1560" s="11" t="s">
        <v>19</v>
      </c>
      <c r="J1560" s="11">
        <v>49</v>
      </c>
      <c r="K1560" s="11">
        <v>0</v>
      </c>
      <c r="L1560" s="11">
        <v>0</v>
      </c>
      <c r="M1560" s="11">
        <v>0</v>
      </c>
      <c r="N1560" s="11">
        <v>0</v>
      </c>
      <c r="O1560" s="12" t="str">
        <f t="shared" si="24"/>
        <v>40 - 49</v>
      </c>
    </row>
    <row r="1561" spans="1:15" x14ac:dyDescent="0.35">
      <c r="A1561" s="12">
        <v>6149</v>
      </c>
      <c r="B1561" s="12" t="s">
        <v>16</v>
      </c>
      <c r="C1561" s="12">
        <v>52</v>
      </c>
      <c r="D1561" s="12" t="s">
        <v>27</v>
      </c>
      <c r="E1561" s="12" t="s">
        <v>14</v>
      </c>
      <c r="F1561" s="12">
        <v>273</v>
      </c>
      <c r="G1561" s="12">
        <v>15</v>
      </c>
      <c r="H1561" s="12">
        <v>0.09</v>
      </c>
      <c r="I1561" s="12" t="s">
        <v>19</v>
      </c>
      <c r="J1561" s="12">
        <v>20</v>
      </c>
      <c r="K1561" s="12">
        <v>0</v>
      </c>
      <c r="L1561" s="12">
        <v>0</v>
      </c>
      <c r="M1561" s="12">
        <v>0</v>
      </c>
      <c r="N1561" s="12">
        <v>0</v>
      </c>
      <c r="O1561" s="12" t="str">
        <f t="shared" si="24"/>
        <v>20 - 29</v>
      </c>
    </row>
    <row r="1562" spans="1:15" x14ac:dyDescent="0.35">
      <c r="A1562" s="11">
        <v>6150</v>
      </c>
      <c r="B1562" s="11" t="s">
        <v>20</v>
      </c>
      <c r="C1562" s="11">
        <v>17</v>
      </c>
      <c r="D1562" s="11" t="s">
        <v>21</v>
      </c>
      <c r="E1562" s="11" t="s">
        <v>14</v>
      </c>
      <c r="F1562" s="11">
        <v>48</v>
      </c>
      <c r="G1562" s="11">
        <v>10</v>
      </c>
      <c r="H1562" s="11">
        <v>0.24</v>
      </c>
      <c r="I1562" s="11" t="s">
        <v>15</v>
      </c>
      <c r="J1562" s="11">
        <v>22</v>
      </c>
      <c r="K1562" s="11">
        <v>0</v>
      </c>
      <c r="L1562" s="11">
        <v>0</v>
      </c>
      <c r="M1562" s="11">
        <v>0</v>
      </c>
      <c r="N1562" s="11">
        <v>0</v>
      </c>
      <c r="O1562" s="12" t="str">
        <f t="shared" si="24"/>
        <v>20 - 29</v>
      </c>
    </row>
    <row r="1563" spans="1:15" x14ac:dyDescent="0.35">
      <c r="A1563" s="12">
        <v>6158</v>
      </c>
      <c r="B1563" s="12" t="s">
        <v>20</v>
      </c>
      <c r="C1563" s="12">
        <v>52</v>
      </c>
      <c r="D1563" s="12" t="s">
        <v>13</v>
      </c>
      <c r="E1563" s="12" t="s">
        <v>14</v>
      </c>
      <c r="F1563" s="12">
        <v>112</v>
      </c>
      <c r="G1563" s="12">
        <v>84</v>
      </c>
      <c r="H1563" s="12">
        <v>0.48</v>
      </c>
      <c r="I1563" s="12" t="s">
        <v>23</v>
      </c>
      <c r="J1563" s="12">
        <v>23</v>
      </c>
      <c r="K1563" s="12">
        <v>0</v>
      </c>
      <c r="L1563" s="12">
        <v>1</v>
      </c>
      <c r="M1563" s="12">
        <v>0</v>
      </c>
      <c r="N1563" s="12">
        <v>0</v>
      </c>
      <c r="O1563" s="12" t="str">
        <f t="shared" si="24"/>
        <v>20 - 29</v>
      </c>
    </row>
    <row r="1564" spans="1:15" x14ac:dyDescent="0.35">
      <c r="A1564" s="11">
        <v>6162</v>
      </c>
      <c r="B1564" s="11" t="s">
        <v>20</v>
      </c>
      <c r="C1564" s="11">
        <v>53</v>
      </c>
      <c r="D1564" s="11" t="s">
        <v>13</v>
      </c>
      <c r="E1564" s="11" t="s">
        <v>14</v>
      </c>
      <c r="F1564" s="11">
        <v>127</v>
      </c>
      <c r="G1564" s="11">
        <v>86</v>
      </c>
      <c r="H1564" s="11">
        <v>0.44</v>
      </c>
      <c r="I1564" s="11" t="s">
        <v>15</v>
      </c>
      <c r="J1564" s="11">
        <v>20</v>
      </c>
      <c r="K1564" s="11">
        <v>0</v>
      </c>
      <c r="L1564" s="11">
        <v>0</v>
      </c>
      <c r="M1564" s="11">
        <v>0</v>
      </c>
      <c r="N1564" s="11">
        <v>0</v>
      </c>
      <c r="O1564" s="12" t="str">
        <f t="shared" si="24"/>
        <v>20 - 29</v>
      </c>
    </row>
    <row r="1565" spans="1:15" x14ac:dyDescent="0.35">
      <c r="A1565" s="12">
        <v>6164</v>
      </c>
      <c r="B1565" s="12" t="s">
        <v>16</v>
      </c>
      <c r="C1565" s="12">
        <v>52</v>
      </c>
      <c r="D1565" s="12" t="s">
        <v>17</v>
      </c>
      <c r="E1565" s="12" t="s">
        <v>14</v>
      </c>
      <c r="F1565" s="12">
        <v>262</v>
      </c>
      <c r="G1565" s="12">
        <v>84</v>
      </c>
      <c r="H1565" s="12">
        <v>0.36</v>
      </c>
      <c r="I1565" s="12" t="s">
        <v>19</v>
      </c>
      <c r="J1565" s="12">
        <v>40</v>
      </c>
      <c r="K1565" s="12">
        <v>0</v>
      </c>
      <c r="L1565" s="12">
        <v>1</v>
      </c>
      <c r="M1565" s="12">
        <v>0</v>
      </c>
      <c r="N1565" s="12">
        <v>0</v>
      </c>
      <c r="O1565" s="12" t="str">
        <f t="shared" si="24"/>
        <v>40 - 49</v>
      </c>
    </row>
    <row r="1566" spans="1:15" x14ac:dyDescent="0.35">
      <c r="A1566" s="11">
        <v>6165</v>
      </c>
      <c r="B1566" s="11" t="s">
        <v>20</v>
      </c>
      <c r="C1566" s="11">
        <v>54</v>
      </c>
      <c r="D1566" s="11" t="s">
        <v>17</v>
      </c>
      <c r="E1566" s="11" t="s">
        <v>14</v>
      </c>
      <c r="F1566" s="11">
        <v>192</v>
      </c>
      <c r="G1566" s="11">
        <v>77</v>
      </c>
      <c r="H1566" s="11">
        <v>0.45</v>
      </c>
      <c r="I1566" s="11" t="s">
        <v>19</v>
      </c>
      <c r="J1566" s="11">
        <v>38</v>
      </c>
      <c r="K1566" s="11">
        <v>0</v>
      </c>
      <c r="L1566" s="11">
        <v>0</v>
      </c>
      <c r="M1566" s="11">
        <v>0</v>
      </c>
      <c r="N1566" s="11">
        <v>0</v>
      </c>
      <c r="O1566" s="12" t="str">
        <f t="shared" si="24"/>
        <v>30 - 39</v>
      </c>
    </row>
    <row r="1567" spans="1:15" x14ac:dyDescent="0.35">
      <c r="A1567" s="12">
        <v>6170</v>
      </c>
      <c r="B1567" s="12" t="s">
        <v>20</v>
      </c>
      <c r="C1567" s="12">
        <v>43</v>
      </c>
      <c r="D1567" s="12" t="s">
        <v>25</v>
      </c>
      <c r="E1567" s="12" t="s">
        <v>14</v>
      </c>
      <c r="F1567" s="12">
        <v>255</v>
      </c>
      <c r="G1567" s="12">
        <v>61</v>
      </c>
      <c r="H1567" s="12">
        <v>0.09</v>
      </c>
      <c r="I1567" s="12" t="s">
        <v>15</v>
      </c>
      <c r="J1567" s="12">
        <v>49</v>
      </c>
      <c r="K1567" s="12">
        <v>0</v>
      </c>
      <c r="L1567" s="12">
        <v>0</v>
      </c>
      <c r="M1567" s="12">
        <v>0</v>
      </c>
      <c r="N1567" s="12">
        <v>0</v>
      </c>
      <c r="O1567" s="12" t="str">
        <f t="shared" si="24"/>
        <v>40 - 49</v>
      </c>
    </row>
    <row r="1568" spans="1:15" x14ac:dyDescent="0.35">
      <c r="A1568" s="11">
        <v>6171</v>
      </c>
      <c r="B1568" s="11" t="s">
        <v>16</v>
      </c>
      <c r="C1568" s="11">
        <v>40</v>
      </c>
      <c r="D1568" s="11" t="s">
        <v>13</v>
      </c>
      <c r="E1568" s="11" t="s">
        <v>14</v>
      </c>
      <c r="F1568" s="11">
        <v>219</v>
      </c>
      <c r="G1568" s="11">
        <v>98</v>
      </c>
      <c r="H1568" s="11">
        <v>0.34</v>
      </c>
      <c r="I1568" s="11" t="s">
        <v>23</v>
      </c>
      <c r="J1568" s="11">
        <v>27</v>
      </c>
      <c r="K1568" s="11">
        <v>0</v>
      </c>
      <c r="L1568" s="11">
        <v>0</v>
      </c>
      <c r="M1568" s="11">
        <v>0</v>
      </c>
      <c r="N1568" s="11">
        <v>0</v>
      </c>
      <c r="O1568" s="12" t="str">
        <f t="shared" si="24"/>
        <v>20 - 29</v>
      </c>
    </row>
    <row r="1569" spans="1:15" x14ac:dyDescent="0.35">
      <c r="A1569" s="12">
        <v>6185</v>
      </c>
      <c r="B1569" s="12" t="s">
        <v>16</v>
      </c>
      <c r="C1569" s="12">
        <v>33</v>
      </c>
      <c r="D1569" s="12" t="s">
        <v>28</v>
      </c>
      <c r="E1569" s="12" t="s">
        <v>14</v>
      </c>
      <c r="F1569" s="12">
        <v>127</v>
      </c>
      <c r="G1569" s="12">
        <v>33</v>
      </c>
      <c r="H1569" s="12">
        <v>0.09</v>
      </c>
      <c r="I1569" s="12" t="s">
        <v>19</v>
      </c>
      <c r="J1569" s="12">
        <v>48</v>
      </c>
      <c r="K1569" s="12">
        <v>0</v>
      </c>
      <c r="L1569" s="12">
        <v>0</v>
      </c>
      <c r="M1569" s="12">
        <v>0</v>
      </c>
      <c r="N1569" s="12">
        <v>0</v>
      </c>
      <c r="O1569" s="12" t="str">
        <f t="shared" si="24"/>
        <v>40 - 49</v>
      </c>
    </row>
    <row r="1570" spans="1:15" x14ac:dyDescent="0.35">
      <c r="A1570" s="11">
        <v>6190</v>
      </c>
      <c r="B1570" s="11" t="s">
        <v>16</v>
      </c>
      <c r="C1570" s="11">
        <v>31</v>
      </c>
      <c r="D1570" s="11" t="s">
        <v>21</v>
      </c>
      <c r="E1570" s="11" t="s">
        <v>14</v>
      </c>
      <c r="F1570" s="11">
        <v>135</v>
      </c>
      <c r="G1570" s="11">
        <v>83</v>
      </c>
      <c r="H1570" s="11">
        <v>0.04</v>
      </c>
      <c r="I1570" s="11" t="s">
        <v>23</v>
      </c>
      <c r="J1570" s="11">
        <v>33</v>
      </c>
      <c r="K1570" s="11">
        <v>0</v>
      </c>
      <c r="L1570" s="11">
        <v>0</v>
      </c>
      <c r="M1570" s="11">
        <v>0</v>
      </c>
      <c r="N1570" s="11">
        <v>0</v>
      </c>
      <c r="O1570" s="12" t="str">
        <f t="shared" si="24"/>
        <v>30 - 39</v>
      </c>
    </row>
    <row r="1571" spans="1:15" x14ac:dyDescent="0.35">
      <c r="A1571" s="12">
        <v>6197</v>
      </c>
      <c r="B1571" s="12" t="s">
        <v>16</v>
      </c>
      <c r="C1571" s="12">
        <v>25</v>
      </c>
      <c r="D1571" s="12" t="s">
        <v>25</v>
      </c>
      <c r="E1571" s="12" t="s">
        <v>14</v>
      </c>
      <c r="F1571" s="12">
        <v>296</v>
      </c>
      <c r="G1571" s="12">
        <v>69</v>
      </c>
      <c r="H1571" s="12">
        <v>0.52</v>
      </c>
      <c r="I1571" s="12" t="s">
        <v>23</v>
      </c>
      <c r="J1571" s="12">
        <v>12</v>
      </c>
      <c r="K1571" s="12">
        <v>0</v>
      </c>
      <c r="L1571" s="12">
        <v>1</v>
      </c>
      <c r="M1571" s="12">
        <v>0</v>
      </c>
      <c r="N1571" s="12">
        <v>0</v>
      </c>
      <c r="O1571" s="12" t="str">
        <f t="shared" si="24"/>
        <v>10 - 19</v>
      </c>
    </row>
    <row r="1572" spans="1:15" x14ac:dyDescent="0.35">
      <c r="A1572" s="11">
        <v>6205</v>
      </c>
      <c r="B1572" s="11" t="s">
        <v>12</v>
      </c>
      <c r="C1572" s="11">
        <v>17</v>
      </c>
      <c r="D1572" s="11" t="s">
        <v>17</v>
      </c>
      <c r="E1572" s="11" t="s">
        <v>14</v>
      </c>
      <c r="F1572" s="11">
        <v>115</v>
      </c>
      <c r="G1572" s="11">
        <v>8</v>
      </c>
      <c r="H1572" s="11">
        <v>0.2</v>
      </c>
      <c r="I1572" s="11" t="s">
        <v>23</v>
      </c>
      <c r="J1572" s="11">
        <v>42</v>
      </c>
      <c r="K1572" s="11">
        <v>0</v>
      </c>
      <c r="L1572" s="11">
        <v>0</v>
      </c>
      <c r="M1572" s="11">
        <v>0</v>
      </c>
      <c r="N1572" s="11">
        <v>0</v>
      </c>
      <c r="O1572" s="12" t="str">
        <f t="shared" si="24"/>
        <v>40 - 49</v>
      </c>
    </row>
    <row r="1573" spans="1:15" x14ac:dyDescent="0.35">
      <c r="A1573" s="12">
        <v>6209</v>
      </c>
      <c r="B1573" s="12" t="s">
        <v>20</v>
      </c>
      <c r="C1573" s="12">
        <v>50</v>
      </c>
      <c r="D1573" s="12" t="s">
        <v>28</v>
      </c>
      <c r="E1573" s="12" t="s">
        <v>14</v>
      </c>
      <c r="F1573" s="12">
        <v>269</v>
      </c>
      <c r="G1573" s="12">
        <v>52</v>
      </c>
      <c r="H1573" s="12">
        <v>0.17</v>
      </c>
      <c r="I1573" s="12" t="s">
        <v>19</v>
      </c>
      <c r="J1573" s="12">
        <v>8</v>
      </c>
      <c r="K1573" s="12">
        <v>0</v>
      </c>
      <c r="L1573" s="12">
        <v>0</v>
      </c>
      <c r="M1573" s="12">
        <v>0</v>
      </c>
      <c r="N1573" s="12">
        <v>0</v>
      </c>
      <c r="O1573" s="12" t="str">
        <f t="shared" si="24"/>
        <v>0 - 9</v>
      </c>
    </row>
    <row r="1574" spans="1:15" x14ac:dyDescent="0.35">
      <c r="A1574" s="11">
        <v>6212</v>
      </c>
      <c r="B1574" s="11" t="s">
        <v>12</v>
      </c>
      <c r="C1574" s="11">
        <v>24</v>
      </c>
      <c r="D1574" s="11" t="s">
        <v>21</v>
      </c>
      <c r="E1574" s="11" t="s">
        <v>14</v>
      </c>
      <c r="F1574" s="11">
        <v>165</v>
      </c>
      <c r="G1574" s="11">
        <v>71</v>
      </c>
      <c r="H1574" s="11">
        <v>0.22</v>
      </c>
      <c r="I1574" s="11" t="s">
        <v>19</v>
      </c>
      <c r="J1574" s="11">
        <v>33</v>
      </c>
      <c r="K1574" s="11">
        <v>0</v>
      </c>
      <c r="L1574" s="11">
        <v>0</v>
      </c>
      <c r="M1574" s="11">
        <v>0</v>
      </c>
      <c r="N1574" s="11">
        <v>0</v>
      </c>
      <c r="O1574" s="12" t="str">
        <f t="shared" si="24"/>
        <v>30 - 39</v>
      </c>
    </row>
    <row r="1575" spans="1:15" x14ac:dyDescent="0.35">
      <c r="A1575" s="12">
        <v>6213</v>
      </c>
      <c r="B1575" s="12" t="s">
        <v>20</v>
      </c>
      <c r="C1575" s="12">
        <v>44</v>
      </c>
      <c r="D1575" s="12" t="s">
        <v>29</v>
      </c>
      <c r="E1575" s="12" t="s">
        <v>14</v>
      </c>
      <c r="F1575" s="12">
        <v>155</v>
      </c>
      <c r="G1575" s="12">
        <v>97</v>
      </c>
      <c r="H1575" s="12">
        <v>0.2</v>
      </c>
      <c r="I1575" s="12" t="s">
        <v>23</v>
      </c>
      <c r="J1575" s="12">
        <v>34</v>
      </c>
      <c r="K1575" s="12">
        <v>0</v>
      </c>
      <c r="L1575" s="12">
        <v>0</v>
      </c>
      <c r="M1575" s="12">
        <v>0</v>
      </c>
      <c r="N1575" s="12">
        <v>0</v>
      </c>
      <c r="O1575" s="12" t="str">
        <f t="shared" si="24"/>
        <v>30 - 39</v>
      </c>
    </row>
    <row r="1576" spans="1:15" x14ac:dyDescent="0.35">
      <c r="A1576" s="11">
        <v>6215</v>
      </c>
      <c r="B1576" s="11" t="s">
        <v>16</v>
      </c>
      <c r="C1576" s="11">
        <v>30</v>
      </c>
      <c r="D1576" s="11" t="s">
        <v>26</v>
      </c>
      <c r="E1576" s="11" t="s">
        <v>14</v>
      </c>
      <c r="F1576" s="11">
        <v>15</v>
      </c>
      <c r="G1576" s="11">
        <v>24</v>
      </c>
      <c r="H1576" s="11">
        <v>0</v>
      </c>
      <c r="I1576" s="11" t="s">
        <v>23</v>
      </c>
      <c r="J1576" s="11">
        <v>38</v>
      </c>
      <c r="K1576" s="11">
        <v>0</v>
      </c>
      <c r="L1576" s="11">
        <v>0</v>
      </c>
      <c r="M1576" s="11">
        <v>0</v>
      </c>
      <c r="N1576" s="11">
        <v>0</v>
      </c>
      <c r="O1576" s="12" t="str">
        <f t="shared" si="24"/>
        <v>30 - 39</v>
      </c>
    </row>
    <row r="1577" spans="1:15" x14ac:dyDescent="0.35">
      <c r="A1577" s="12">
        <v>6216</v>
      </c>
      <c r="B1577" s="12" t="s">
        <v>16</v>
      </c>
      <c r="C1577" s="12">
        <v>19</v>
      </c>
      <c r="D1577" s="12" t="s">
        <v>17</v>
      </c>
      <c r="E1577" s="12" t="s">
        <v>14</v>
      </c>
      <c r="F1577" s="12">
        <v>288</v>
      </c>
      <c r="G1577" s="12">
        <v>1</v>
      </c>
      <c r="H1577" s="12">
        <v>0.19</v>
      </c>
      <c r="I1577" s="12" t="s">
        <v>15</v>
      </c>
      <c r="J1577" s="12">
        <v>47</v>
      </c>
      <c r="K1577" s="12">
        <v>0</v>
      </c>
      <c r="L1577" s="12">
        <v>0</v>
      </c>
      <c r="M1577" s="12">
        <v>0</v>
      </c>
      <c r="N1577" s="12">
        <v>0</v>
      </c>
      <c r="O1577" s="12" t="str">
        <f t="shared" si="24"/>
        <v>40 - 49</v>
      </c>
    </row>
    <row r="1578" spans="1:15" x14ac:dyDescent="0.35">
      <c r="A1578" s="11">
        <v>6218</v>
      </c>
      <c r="B1578" s="11" t="s">
        <v>12</v>
      </c>
      <c r="C1578" s="11">
        <v>53</v>
      </c>
      <c r="D1578" s="11" t="s">
        <v>26</v>
      </c>
      <c r="E1578" s="11" t="s">
        <v>14</v>
      </c>
      <c r="F1578" s="11">
        <v>101</v>
      </c>
      <c r="G1578" s="11">
        <v>64</v>
      </c>
      <c r="H1578" s="11">
        <v>0.35</v>
      </c>
      <c r="I1578" s="11" t="s">
        <v>23</v>
      </c>
      <c r="J1578" s="11">
        <v>20</v>
      </c>
      <c r="K1578" s="11">
        <v>0</v>
      </c>
      <c r="L1578" s="11">
        <v>0</v>
      </c>
      <c r="M1578" s="11">
        <v>0</v>
      </c>
      <c r="N1578" s="11">
        <v>0</v>
      </c>
      <c r="O1578" s="12" t="str">
        <f t="shared" si="24"/>
        <v>20 - 29</v>
      </c>
    </row>
    <row r="1579" spans="1:15" x14ac:dyDescent="0.35">
      <c r="A1579" s="12">
        <v>6221</v>
      </c>
      <c r="B1579" s="12" t="s">
        <v>16</v>
      </c>
      <c r="C1579" s="12">
        <v>50</v>
      </c>
      <c r="D1579" s="12" t="s">
        <v>13</v>
      </c>
      <c r="E1579" s="12" t="s">
        <v>14</v>
      </c>
      <c r="F1579" s="12">
        <v>97</v>
      </c>
      <c r="G1579" s="12">
        <v>74</v>
      </c>
      <c r="H1579" s="12">
        <v>0.32</v>
      </c>
      <c r="I1579" s="12" t="s">
        <v>19</v>
      </c>
      <c r="J1579" s="12">
        <v>29</v>
      </c>
      <c r="K1579" s="12">
        <v>0</v>
      </c>
      <c r="L1579" s="12">
        <v>0</v>
      </c>
      <c r="M1579" s="12">
        <v>0</v>
      </c>
      <c r="N1579" s="12">
        <v>0</v>
      </c>
      <c r="O1579" s="12" t="str">
        <f t="shared" si="24"/>
        <v>20 - 29</v>
      </c>
    </row>
    <row r="1580" spans="1:15" x14ac:dyDescent="0.35">
      <c r="A1580" s="11">
        <v>6232</v>
      </c>
      <c r="B1580" s="11" t="s">
        <v>20</v>
      </c>
      <c r="C1580" s="11">
        <v>31</v>
      </c>
      <c r="D1580" s="11" t="s">
        <v>25</v>
      </c>
      <c r="E1580" s="11" t="s">
        <v>14</v>
      </c>
      <c r="F1580" s="11">
        <v>17</v>
      </c>
      <c r="G1580" s="11">
        <v>97</v>
      </c>
      <c r="H1580" s="11">
        <v>7.0000000000000007E-2</v>
      </c>
      <c r="I1580" s="11" t="s">
        <v>19</v>
      </c>
      <c r="J1580" s="11">
        <v>30</v>
      </c>
      <c r="K1580" s="11">
        <v>0</v>
      </c>
      <c r="L1580" s="11">
        <v>0</v>
      </c>
      <c r="M1580" s="11">
        <v>0</v>
      </c>
      <c r="N1580" s="11">
        <v>0</v>
      </c>
      <c r="O1580" s="12" t="str">
        <f t="shared" si="24"/>
        <v>30 - 39</v>
      </c>
    </row>
    <row r="1581" spans="1:15" x14ac:dyDescent="0.35">
      <c r="A1581" s="12">
        <v>6234</v>
      </c>
      <c r="B1581" s="12" t="s">
        <v>12</v>
      </c>
      <c r="C1581" s="12">
        <v>45</v>
      </c>
      <c r="D1581" s="12" t="s">
        <v>25</v>
      </c>
      <c r="E1581" s="12" t="s">
        <v>14</v>
      </c>
      <c r="F1581" s="12">
        <v>246</v>
      </c>
      <c r="G1581" s="12">
        <v>6</v>
      </c>
      <c r="H1581" s="12">
        <v>0.22</v>
      </c>
      <c r="I1581" s="12" t="s">
        <v>19</v>
      </c>
      <c r="J1581" s="12">
        <v>45</v>
      </c>
      <c r="K1581" s="12">
        <v>0</v>
      </c>
      <c r="L1581" s="12">
        <v>1</v>
      </c>
      <c r="M1581" s="12">
        <v>0</v>
      </c>
      <c r="N1581" s="12">
        <v>0</v>
      </c>
      <c r="O1581" s="12" t="str">
        <f t="shared" si="24"/>
        <v>40 - 49</v>
      </c>
    </row>
    <row r="1582" spans="1:15" x14ac:dyDescent="0.35">
      <c r="A1582" s="11">
        <v>6235</v>
      </c>
      <c r="B1582" s="11" t="s">
        <v>20</v>
      </c>
      <c r="C1582" s="11">
        <v>38</v>
      </c>
      <c r="D1582" s="11" t="s">
        <v>29</v>
      </c>
      <c r="E1582" s="11" t="s">
        <v>14</v>
      </c>
      <c r="F1582" s="11">
        <v>30</v>
      </c>
      <c r="G1582" s="11">
        <v>64</v>
      </c>
      <c r="H1582" s="11">
        <v>0.04</v>
      </c>
      <c r="I1582" s="11" t="s">
        <v>23</v>
      </c>
      <c r="J1582" s="11">
        <v>42</v>
      </c>
      <c r="K1582" s="11">
        <v>0</v>
      </c>
      <c r="L1582" s="11">
        <v>0</v>
      </c>
      <c r="M1582" s="11">
        <v>0</v>
      </c>
      <c r="N1582" s="11">
        <v>0</v>
      </c>
      <c r="O1582" s="12" t="str">
        <f t="shared" si="24"/>
        <v>40 - 49</v>
      </c>
    </row>
    <row r="1583" spans="1:15" x14ac:dyDescent="0.35">
      <c r="A1583" s="12">
        <v>6237</v>
      </c>
      <c r="B1583" s="12" t="s">
        <v>16</v>
      </c>
      <c r="C1583" s="12">
        <v>51</v>
      </c>
      <c r="D1583" s="12" t="s">
        <v>13</v>
      </c>
      <c r="E1583" s="12" t="s">
        <v>14</v>
      </c>
      <c r="F1583" s="12">
        <v>42</v>
      </c>
      <c r="G1583" s="12">
        <v>22</v>
      </c>
      <c r="H1583" s="12">
        <v>0.43</v>
      </c>
      <c r="I1583" s="12" t="s">
        <v>15</v>
      </c>
      <c r="J1583" s="12">
        <v>39</v>
      </c>
      <c r="K1583" s="12">
        <v>0</v>
      </c>
      <c r="L1583" s="12">
        <v>0</v>
      </c>
      <c r="M1583" s="12">
        <v>0</v>
      </c>
      <c r="N1583" s="12">
        <v>0</v>
      </c>
      <c r="O1583" s="12" t="str">
        <f t="shared" si="24"/>
        <v>30 - 39</v>
      </c>
    </row>
    <row r="1584" spans="1:15" x14ac:dyDescent="0.35">
      <c r="A1584" s="11">
        <v>6240</v>
      </c>
      <c r="B1584" s="11" t="s">
        <v>20</v>
      </c>
      <c r="C1584" s="11">
        <v>21</v>
      </c>
      <c r="D1584" s="11" t="s">
        <v>13</v>
      </c>
      <c r="E1584" s="11" t="s">
        <v>14</v>
      </c>
      <c r="F1584" s="11">
        <v>93</v>
      </c>
      <c r="G1584" s="11">
        <v>99</v>
      </c>
      <c r="H1584" s="11">
        <v>0.1</v>
      </c>
      <c r="I1584" s="11" t="s">
        <v>15</v>
      </c>
      <c r="J1584" s="11">
        <v>22</v>
      </c>
      <c r="K1584" s="11">
        <v>0</v>
      </c>
      <c r="L1584" s="11">
        <v>0</v>
      </c>
      <c r="M1584" s="11">
        <v>0</v>
      </c>
      <c r="N1584" s="11">
        <v>0</v>
      </c>
      <c r="O1584" s="12" t="str">
        <f t="shared" si="24"/>
        <v>20 - 29</v>
      </c>
    </row>
    <row r="1585" spans="1:15" x14ac:dyDescent="0.35">
      <c r="A1585" s="12">
        <v>6243</v>
      </c>
      <c r="B1585" s="12" t="s">
        <v>12</v>
      </c>
      <c r="C1585" s="12">
        <v>41</v>
      </c>
      <c r="D1585" s="12" t="s">
        <v>29</v>
      </c>
      <c r="E1585" s="12" t="s">
        <v>14</v>
      </c>
      <c r="F1585" s="12">
        <v>201</v>
      </c>
      <c r="G1585" s="12">
        <v>54</v>
      </c>
      <c r="H1585" s="12">
        <v>0.55000000000000004</v>
      </c>
      <c r="I1585" s="12" t="s">
        <v>23</v>
      </c>
      <c r="J1585" s="12">
        <v>35</v>
      </c>
      <c r="K1585" s="12">
        <v>0</v>
      </c>
      <c r="L1585" s="12">
        <v>1</v>
      </c>
      <c r="M1585" s="12">
        <v>0</v>
      </c>
      <c r="N1585" s="12">
        <v>0</v>
      </c>
      <c r="O1585" s="12" t="str">
        <f t="shared" si="24"/>
        <v>30 - 39</v>
      </c>
    </row>
    <row r="1586" spans="1:15" x14ac:dyDescent="0.35">
      <c r="A1586" s="11">
        <v>6252</v>
      </c>
      <c r="B1586" s="11" t="s">
        <v>16</v>
      </c>
      <c r="C1586" s="11">
        <v>38</v>
      </c>
      <c r="D1586" s="11" t="s">
        <v>29</v>
      </c>
      <c r="E1586" s="11" t="s">
        <v>14</v>
      </c>
      <c r="F1586" s="11">
        <v>45</v>
      </c>
      <c r="G1586" s="11">
        <v>97</v>
      </c>
      <c r="H1586" s="11">
        <v>0.56000000000000005</v>
      </c>
      <c r="I1586" s="11" t="s">
        <v>23</v>
      </c>
      <c r="J1586" s="11">
        <v>13</v>
      </c>
      <c r="K1586" s="11">
        <v>0</v>
      </c>
      <c r="L1586" s="11">
        <v>0</v>
      </c>
      <c r="M1586" s="11">
        <v>0</v>
      </c>
      <c r="N1586" s="11">
        <v>0</v>
      </c>
      <c r="O1586" s="12" t="str">
        <f t="shared" si="24"/>
        <v>10 - 19</v>
      </c>
    </row>
    <row r="1587" spans="1:15" x14ac:dyDescent="0.35">
      <c r="A1587" s="12">
        <v>6264</v>
      </c>
      <c r="B1587" s="12" t="s">
        <v>12</v>
      </c>
      <c r="C1587" s="12">
        <v>22</v>
      </c>
      <c r="D1587" s="12" t="s">
        <v>26</v>
      </c>
      <c r="E1587" s="12" t="s">
        <v>14</v>
      </c>
      <c r="F1587" s="12">
        <v>273</v>
      </c>
      <c r="G1587" s="12">
        <v>35</v>
      </c>
      <c r="H1587" s="12">
        <v>0.16</v>
      </c>
      <c r="I1587" s="12" t="s">
        <v>19</v>
      </c>
      <c r="J1587" s="12">
        <v>36</v>
      </c>
      <c r="K1587" s="12">
        <v>0</v>
      </c>
      <c r="L1587" s="12">
        <v>0</v>
      </c>
      <c r="M1587" s="12">
        <v>0</v>
      </c>
      <c r="N1587" s="12">
        <v>0</v>
      </c>
      <c r="O1587" s="12" t="str">
        <f t="shared" si="24"/>
        <v>30 - 39</v>
      </c>
    </row>
    <row r="1588" spans="1:15" x14ac:dyDescent="0.35">
      <c r="A1588" s="11">
        <v>6272</v>
      </c>
      <c r="B1588" s="11" t="s">
        <v>12</v>
      </c>
      <c r="C1588" s="11">
        <v>20</v>
      </c>
      <c r="D1588" s="11" t="s">
        <v>17</v>
      </c>
      <c r="E1588" s="11" t="s">
        <v>14</v>
      </c>
      <c r="F1588" s="11">
        <v>88</v>
      </c>
      <c r="G1588" s="11">
        <v>83</v>
      </c>
      <c r="H1588" s="11">
        <v>0.55000000000000004</v>
      </c>
      <c r="I1588" s="11" t="s">
        <v>23</v>
      </c>
      <c r="J1588" s="11">
        <v>32</v>
      </c>
      <c r="K1588" s="11">
        <v>0</v>
      </c>
      <c r="L1588" s="11">
        <v>1</v>
      </c>
      <c r="M1588" s="11">
        <v>0</v>
      </c>
      <c r="N1588" s="11">
        <v>0</v>
      </c>
      <c r="O1588" s="12" t="str">
        <f t="shared" si="24"/>
        <v>30 - 39</v>
      </c>
    </row>
    <row r="1589" spans="1:15" x14ac:dyDescent="0.35">
      <c r="A1589" s="12">
        <v>6276</v>
      </c>
      <c r="B1589" s="12" t="s">
        <v>16</v>
      </c>
      <c r="C1589" s="12">
        <v>27</v>
      </c>
      <c r="D1589" s="12" t="s">
        <v>28</v>
      </c>
      <c r="E1589" s="12" t="s">
        <v>14</v>
      </c>
      <c r="F1589" s="12">
        <v>139</v>
      </c>
      <c r="G1589" s="12">
        <v>80</v>
      </c>
      <c r="H1589" s="12">
        <v>0.23</v>
      </c>
      <c r="I1589" s="12" t="s">
        <v>19</v>
      </c>
      <c r="J1589" s="12">
        <v>39</v>
      </c>
      <c r="K1589" s="12">
        <v>0</v>
      </c>
      <c r="L1589" s="12">
        <v>0</v>
      </c>
      <c r="M1589" s="12">
        <v>0</v>
      </c>
      <c r="N1589" s="12">
        <v>0</v>
      </c>
      <c r="O1589" s="12" t="str">
        <f t="shared" si="24"/>
        <v>30 - 39</v>
      </c>
    </row>
    <row r="1590" spans="1:15" x14ac:dyDescent="0.35">
      <c r="A1590" s="11">
        <v>6277</v>
      </c>
      <c r="B1590" s="11" t="s">
        <v>16</v>
      </c>
      <c r="C1590" s="11">
        <v>18</v>
      </c>
      <c r="D1590" s="11" t="s">
        <v>29</v>
      </c>
      <c r="E1590" s="11" t="s">
        <v>14</v>
      </c>
      <c r="F1590" s="11">
        <v>123</v>
      </c>
      <c r="G1590" s="11">
        <v>81</v>
      </c>
      <c r="H1590" s="11">
        <v>0.34</v>
      </c>
      <c r="I1590" s="11" t="s">
        <v>19</v>
      </c>
      <c r="J1590" s="11">
        <v>28</v>
      </c>
      <c r="K1590" s="11">
        <v>0</v>
      </c>
      <c r="L1590" s="11">
        <v>0</v>
      </c>
      <c r="M1590" s="11">
        <v>0</v>
      </c>
      <c r="N1590" s="11">
        <v>0</v>
      </c>
      <c r="O1590" s="12" t="str">
        <f t="shared" si="24"/>
        <v>20 - 29</v>
      </c>
    </row>
    <row r="1591" spans="1:15" x14ac:dyDescent="0.35">
      <c r="A1591" s="12">
        <v>6281</v>
      </c>
      <c r="B1591" s="12" t="s">
        <v>12</v>
      </c>
      <c r="C1591" s="12">
        <v>42</v>
      </c>
      <c r="D1591" s="12" t="s">
        <v>13</v>
      </c>
      <c r="E1591" s="12" t="s">
        <v>14</v>
      </c>
      <c r="F1591" s="12">
        <v>195</v>
      </c>
      <c r="G1591" s="12">
        <v>29</v>
      </c>
      <c r="H1591" s="12">
        <v>0.43</v>
      </c>
      <c r="I1591" s="12" t="s">
        <v>23</v>
      </c>
      <c r="J1591" s="12">
        <v>40</v>
      </c>
      <c r="K1591" s="12">
        <v>0</v>
      </c>
      <c r="L1591" s="12">
        <v>0</v>
      </c>
      <c r="M1591" s="12">
        <v>0</v>
      </c>
      <c r="N1591" s="12">
        <v>0</v>
      </c>
      <c r="O1591" s="12" t="str">
        <f t="shared" si="24"/>
        <v>40 - 49</v>
      </c>
    </row>
    <row r="1592" spans="1:15" x14ac:dyDescent="0.35">
      <c r="A1592" s="11">
        <v>6282</v>
      </c>
      <c r="B1592" s="11" t="s">
        <v>12</v>
      </c>
      <c r="C1592" s="11">
        <v>50</v>
      </c>
      <c r="D1592" s="11" t="s">
        <v>25</v>
      </c>
      <c r="E1592" s="11" t="s">
        <v>14</v>
      </c>
      <c r="F1592" s="11">
        <v>170</v>
      </c>
      <c r="G1592" s="11">
        <v>64</v>
      </c>
      <c r="H1592" s="11">
        <v>0.01</v>
      </c>
      <c r="I1592" s="11" t="s">
        <v>23</v>
      </c>
      <c r="J1592" s="11">
        <v>25</v>
      </c>
      <c r="K1592" s="11">
        <v>0</v>
      </c>
      <c r="L1592" s="11">
        <v>0</v>
      </c>
      <c r="M1592" s="11">
        <v>0</v>
      </c>
      <c r="N1592" s="11">
        <v>0</v>
      </c>
      <c r="O1592" s="12" t="str">
        <f t="shared" si="24"/>
        <v>20 - 29</v>
      </c>
    </row>
    <row r="1593" spans="1:15" x14ac:dyDescent="0.35">
      <c r="A1593" s="12">
        <v>6283</v>
      </c>
      <c r="B1593" s="12" t="s">
        <v>12</v>
      </c>
      <c r="C1593" s="12">
        <v>30</v>
      </c>
      <c r="D1593" s="12" t="s">
        <v>17</v>
      </c>
      <c r="E1593" s="12" t="s">
        <v>14</v>
      </c>
      <c r="F1593" s="12">
        <v>103</v>
      </c>
      <c r="G1593" s="12">
        <v>35</v>
      </c>
      <c r="H1593" s="12">
        <v>0.38</v>
      </c>
      <c r="I1593" s="12" t="s">
        <v>19</v>
      </c>
      <c r="J1593" s="12">
        <v>33</v>
      </c>
      <c r="K1593" s="12">
        <v>0</v>
      </c>
      <c r="L1593" s="12">
        <v>1</v>
      </c>
      <c r="M1593" s="12">
        <v>0</v>
      </c>
      <c r="N1593" s="12">
        <v>0</v>
      </c>
      <c r="O1593" s="12" t="str">
        <f t="shared" si="24"/>
        <v>30 - 39</v>
      </c>
    </row>
    <row r="1594" spans="1:15" x14ac:dyDescent="0.35">
      <c r="A1594" s="11">
        <v>6284</v>
      </c>
      <c r="B1594" s="11" t="s">
        <v>12</v>
      </c>
      <c r="C1594" s="11">
        <v>38</v>
      </c>
      <c r="D1594" s="11" t="s">
        <v>26</v>
      </c>
      <c r="E1594" s="11" t="s">
        <v>14</v>
      </c>
      <c r="F1594" s="11">
        <v>87</v>
      </c>
      <c r="G1594" s="11">
        <v>14</v>
      </c>
      <c r="H1594" s="11">
        <v>0.38</v>
      </c>
      <c r="I1594" s="11" t="s">
        <v>23</v>
      </c>
      <c r="J1594" s="11">
        <v>18</v>
      </c>
      <c r="K1594" s="11">
        <v>0</v>
      </c>
      <c r="L1594" s="11">
        <v>0</v>
      </c>
      <c r="M1594" s="11">
        <v>0</v>
      </c>
      <c r="N1594" s="11">
        <v>0</v>
      </c>
      <c r="O1594" s="12" t="str">
        <f t="shared" si="24"/>
        <v>10 - 19</v>
      </c>
    </row>
    <row r="1595" spans="1:15" x14ac:dyDescent="0.35">
      <c r="A1595" s="12">
        <v>6287</v>
      </c>
      <c r="B1595" s="12" t="s">
        <v>20</v>
      </c>
      <c r="C1595" s="12">
        <v>18</v>
      </c>
      <c r="D1595" s="12" t="s">
        <v>29</v>
      </c>
      <c r="E1595" s="12" t="s">
        <v>14</v>
      </c>
      <c r="F1595" s="12">
        <v>245</v>
      </c>
      <c r="G1595" s="12">
        <v>95</v>
      </c>
      <c r="H1595" s="12">
        <v>0.54</v>
      </c>
      <c r="I1595" s="12" t="s">
        <v>23</v>
      </c>
      <c r="J1595" s="12">
        <v>17</v>
      </c>
      <c r="K1595" s="12">
        <v>0</v>
      </c>
      <c r="L1595" s="12">
        <v>0</v>
      </c>
      <c r="M1595" s="12">
        <v>0</v>
      </c>
      <c r="N1595" s="12">
        <v>0</v>
      </c>
      <c r="O1595" s="12" t="str">
        <f t="shared" si="24"/>
        <v>10 - 19</v>
      </c>
    </row>
    <row r="1596" spans="1:15" x14ac:dyDescent="0.35">
      <c r="A1596" s="11">
        <v>6299</v>
      </c>
      <c r="B1596" s="11" t="s">
        <v>16</v>
      </c>
      <c r="C1596" s="11">
        <v>45</v>
      </c>
      <c r="D1596" s="11" t="s">
        <v>28</v>
      </c>
      <c r="E1596" s="11" t="s">
        <v>14</v>
      </c>
      <c r="F1596" s="11">
        <v>154</v>
      </c>
      <c r="G1596" s="11">
        <v>88</v>
      </c>
      <c r="H1596" s="11">
        <v>0.23</v>
      </c>
      <c r="I1596" s="11" t="s">
        <v>23</v>
      </c>
      <c r="J1596" s="11">
        <v>44</v>
      </c>
      <c r="K1596" s="11">
        <v>0</v>
      </c>
      <c r="L1596" s="11">
        <v>0</v>
      </c>
      <c r="M1596" s="11">
        <v>0</v>
      </c>
      <c r="N1596" s="11">
        <v>0</v>
      </c>
      <c r="O1596" s="12" t="str">
        <f t="shared" si="24"/>
        <v>40 - 49</v>
      </c>
    </row>
    <row r="1597" spans="1:15" x14ac:dyDescent="0.35">
      <c r="A1597" s="12">
        <v>6300</v>
      </c>
      <c r="B1597" s="12" t="s">
        <v>16</v>
      </c>
      <c r="C1597" s="12">
        <v>37</v>
      </c>
      <c r="D1597" s="12" t="s">
        <v>13</v>
      </c>
      <c r="E1597" s="12" t="s">
        <v>14</v>
      </c>
      <c r="F1597" s="12">
        <v>145</v>
      </c>
      <c r="G1597" s="12">
        <v>82</v>
      </c>
      <c r="H1597" s="12">
        <v>0.13</v>
      </c>
      <c r="I1597" s="12" t="s">
        <v>19</v>
      </c>
      <c r="J1597" s="12">
        <v>42</v>
      </c>
      <c r="K1597" s="12">
        <v>0</v>
      </c>
      <c r="L1597" s="12">
        <v>0</v>
      </c>
      <c r="M1597" s="12">
        <v>0</v>
      </c>
      <c r="N1597" s="12">
        <v>0</v>
      </c>
      <c r="O1597" s="12" t="str">
        <f t="shared" si="24"/>
        <v>40 - 49</v>
      </c>
    </row>
    <row r="1598" spans="1:15" x14ac:dyDescent="0.35">
      <c r="A1598" s="11">
        <v>6307</v>
      </c>
      <c r="B1598" s="11" t="s">
        <v>20</v>
      </c>
      <c r="C1598" s="11">
        <v>53</v>
      </c>
      <c r="D1598" s="11" t="s">
        <v>27</v>
      </c>
      <c r="E1598" s="11" t="s">
        <v>14</v>
      </c>
      <c r="F1598" s="11">
        <v>256</v>
      </c>
      <c r="G1598" s="11">
        <v>60</v>
      </c>
      <c r="H1598" s="11">
        <v>0.06</v>
      </c>
      <c r="I1598" s="11" t="s">
        <v>15</v>
      </c>
      <c r="J1598" s="11">
        <v>35</v>
      </c>
      <c r="K1598" s="11">
        <v>0</v>
      </c>
      <c r="L1598" s="11">
        <v>1</v>
      </c>
      <c r="M1598" s="11">
        <v>0</v>
      </c>
      <c r="N1598" s="11">
        <v>0</v>
      </c>
      <c r="O1598" s="12" t="str">
        <f t="shared" si="24"/>
        <v>30 - 39</v>
      </c>
    </row>
    <row r="1599" spans="1:15" x14ac:dyDescent="0.35">
      <c r="A1599" s="12">
        <v>6308</v>
      </c>
      <c r="B1599" s="12" t="s">
        <v>12</v>
      </c>
      <c r="C1599" s="12">
        <v>45</v>
      </c>
      <c r="D1599" s="12" t="s">
        <v>27</v>
      </c>
      <c r="E1599" s="12" t="s">
        <v>14</v>
      </c>
      <c r="F1599" s="12">
        <v>294</v>
      </c>
      <c r="G1599" s="12">
        <v>43</v>
      </c>
      <c r="H1599" s="12">
        <v>0.51</v>
      </c>
      <c r="I1599" s="12" t="s">
        <v>19</v>
      </c>
      <c r="J1599" s="12">
        <v>27</v>
      </c>
      <c r="K1599" s="12">
        <v>0</v>
      </c>
      <c r="L1599" s="12">
        <v>0</v>
      </c>
      <c r="M1599" s="12">
        <v>0</v>
      </c>
      <c r="N1599" s="12">
        <v>0</v>
      </c>
      <c r="O1599" s="12" t="str">
        <f t="shared" si="24"/>
        <v>20 - 29</v>
      </c>
    </row>
    <row r="1600" spans="1:15" x14ac:dyDescent="0.35">
      <c r="A1600" s="11">
        <v>6313</v>
      </c>
      <c r="B1600" s="11" t="s">
        <v>20</v>
      </c>
      <c r="C1600" s="11">
        <v>18</v>
      </c>
      <c r="D1600" s="11" t="s">
        <v>25</v>
      </c>
      <c r="E1600" s="11" t="s">
        <v>14</v>
      </c>
      <c r="F1600" s="11">
        <v>230</v>
      </c>
      <c r="G1600" s="11">
        <v>42</v>
      </c>
      <c r="H1600" s="11">
        <v>0.26</v>
      </c>
      <c r="I1600" s="11" t="s">
        <v>23</v>
      </c>
      <c r="J1600" s="11">
        <v>28</v>
      </c>
      <c r="K1600" s="11">
        <v>0</v>
      </c>
      <c r="L1600" s="11">
        <v>0</v>
      </c>
      <c r="M1600" s="11">
        <v>0</v>
      </c>
      <c r="N1600" s="11">
        <v>0</v>
      </c>
      <c r="O1600" s="12" t="str">
        <f t="shared" si="24"/>
        <v>20 - 29</v>
      </c>
    </row>
    <row r="1601" spans="1:15" x14ac:dyDescent="0.35">
      <c r="A1601" s="12">
        <v>6315</v>
      </c>
      <c r="B1601" s="12" t="s">
        <v>12</v>
      </c>
      <c r="C1601" s="12">
        <v>50</v>
      </c>
      <c r="D1601" s="12" t="s">
        <v>27</v>
      </c>
      <c r="E1601" s="12" t="s">
        <v>14</v>
      </c>
      <c r="F1601" s="12">
        <v>181</v>
      </c>
      <c r="G1601" s="12">
        <v>2</v>
      </c>
      <c r="H1601" s="12">
        <v>0.12</v>
      </c>
      <c r="I1601" s="12" t="s">
        <v>19</v>
      </c>
      <c r="J1601" s="12">
        <v>20</v>
      </c>
      <c r="K1601" s="12">
        <v>0</v>
      </c>
      <c r="L1601" s="12">
        <v>0</v>
      </c>
      <c r="M1601" s="12">
        <v>0</v>
      </c>
      <c r="N1601" s="12">
        <v>0</v>
      </c>
      <c r="O1601" s="12" t="str">
        <f t="shared" si="24"/>
        <v>20 - 29</v>
      </c>
    </row>
    <row r="1602" spans="1:15" x14ac:dyDescent="0.35">
      <c r="A1602" s="11">
        <v>6316</v>
      </c>
      <c r="B1602" s="11" t="s">
        <v>20</v>
      </c>
      <c r="C1602" s="11">
        <v>55</v>
      </c>
      <c r="D1602" s="11" t="s">
        <v>17</v>
      </c>
      <c r="E1602" s="11" t="s">
        <v>14</v>
      </c>
      <c r="F1602" s="11">
        <v>65</v>
      </c>
      <c r="G1602" s="11">
        <v>69</v>
      </c>
      <c r="H1602" s="11">
        <v>0.47</v>
      </c>
      <c r="I1602" s="11" t="s">
        <v>15</v>
      </c>
      <c r="J1602" s="11">
        <v>49</v>
      </c>
      <c r="K1602" s="11">
        <v>0</v>
      </c>
      <c r="L1602" s="11">
        <v>1</v>
      </c>
      <c r="M1602" s="11">
        <v>0</v>
      </c>
      <c r="N1602" s="11">
        <v>0</v>
      </c>
      <c r="O1602" s="12" t="str">
        <f t="shared" ref="O1602:O1665" si="25">_xlfn.FLOOR.MATH(J1602, 10) &amp; " - " &amp; (_xlfn.FLOOR.MATH(J1602, 10) + 9)</f>
        <v>40 - 49</v>
      </c>
    </row>
    <row r="1603" spans="1:15" x14ac:dyDescent="0.35">
      <c r="A1603" s="12">
        <v>6319</v>
      </c>
      <c r="B1603" s="12" t="s">
        <v>12</v>
      </c>
      <c r="C1603" s="12">
        <v>17</v>
      </c>
      <c r="D1603" s="12" t="s">
        <v>17</v>
      </c>
      <c r="E1603" s="12" t="s">
        <v>14</v>
      </c>
      <c r="F1603" s="12">
        <v>214</v>
      </c>
      <c r="G1603" s="12">
        <v>78</v>
      </c>
      <c r="H1603" s="12">
        <v>0.57999999999999996</v>
      </c>
      <c r="I1603" s="12" t="s">
        <v>15</v>
      </c>
      <c r="J1603" s="12">
        <v>43</v>
      </c>
      <c r="K1603" s="12">
        <v>0</v>
      </c>
      <c r="L1603" s="12">
        <v>0</v>
      </c>
      <c r="M1603" s="12">
        <v>0</v>
      </c>
      <c r="N1603" s="12">
        <v>0</v>
      </c>
      <c r="O1603" s="12" t="str">
        <f t="shared" si="25"/>
        <v>40 - 49</v>
      </c>
    </row>
    <row r="1604" spans="1:15" x14ac:dyDescent="0.35">
      <c r="A1604" s="11">
        <v>6323</v>
      </c>
      <c r="B1604" s="11" t="s">
        <v>20</v>
      </c>
      <c r="C1604" s="11">
        <v>57</v>
      </c>
      <c r="D1604" s="11" t="s">
        <v>13</v>
      </c>
      <c r="E1604" s="11" t="s">
        <v>14</v>
      </c>
      <c r="F1604" s="11">
        <v>269</v>
      </c>
      <c r="G1604" s="11">
        <v>97</v>
      </c>
      <c r="H1604" s="11">
        <v>0.08</v>
      </c>
      <c r="I1604" s="11" t="s">
        <v>15</v>
      </c>
      <c r="J1604" s="11">
        <v>15</v>
      </c>
      <c r="K1604" s="11">
        <v>0</v>
      </c>
      <c r="L1604" s="11">
        <v>0</v>
      </c>
      <c r="M1604" s="11">
        <v>0</v>
      </c>
      <c r="N1604" s="11">
        <v>0</v>
      </c>
      <c r="O1604" s="12" t="str">
        <f t="shared" si="25"/>
        <v>10 - 19</v>
      </c>
    </row>
    <row r="1605" spans="1:15" x14ac:dyDescent="0.35">
      <c r="A1605" s="12">
        <v>6326</v>
      </c>
      <c r="B1605" s="12" t="s">
        <v>12</v>
      </c>
      <c r="C1605" s="12">
        <v>20</v>
      </c>
      <c r="D1605" s="12" t="s">
        <v>17</v>
      </c>
      <c r="E1605" s="12" t="s">
        <v>14</v>
      </c>
      <c r="F1605" s="12">
        <v>219</v>
      </c>
      <c r="G1605" s="12">
        <v>76</v>
      </c>
      <c r="H1605" s="12">
        <v>0.32</v>
      </c>
      <c r="I1605" s="12" t="s">
        <v>23</v>
      </c>
      <c r="J1605" s="12">
        <v>44</v>
      </c>
      <c r="K1605" s="12">
        <v>0</v>
      </c>
      <c r="L1605" s="12">
        <v>0</v>
      </c>
      <c r="M1605" s="12">
        <v>0</v>
      </c>
      <c r="N1605" s="12">
        <v>0</v>
      </c>
      <c r="O1605" s="12" t="str">
        <f t="shared" si="25"/>
        <v>40 - 49</v>
      </c>
    </row>
    <row r="1606" spans="1:15" x14ac:dyDescent="0.35">
      <c r="A1606" s="11">
        <v>6327</v>
      </c>
      <c r="B1606" s="11" t="s">
        <v>12</v>
      </c>
      <c r="C1606" s="11">
        <v>57</v>
      </c>
      <c r="D1606" s="11" t="s">
        <v>13</v>
      </c>
      <c r="E1606" s="11" t="s">
        <v>14</v>
      </c>
      <c r="F1606" s="11">
        <v>103</v>
      </c>
      <c r="G1606" s="11">
        <v>83</v>
      </c>
      <c r="H1606" s="11">
        <v>0.17</v>
      </c>
      <c r="I1606" s="11" t="s">
        <v>23</v>
      </c>
      <c r="J1606" s="11">
        <v>21</v>
      </c>
      <c r="K1606" s="11">
        <v>0</v>
      </c>
      <c r="L1606" s="11">
        <v>1</v>
      </c>
      <c r="M1606" s="11">
        <v>0</v>
      </c>
      <c r="N1606" s="11">
        <v>0</v>
      </c>
      <c r="O1606" s="12" t="str">
        <f t="shared" si="25"/>
        <v>20 - 29</v>
      </c>
    </row>
    <row r="1607" spans="1:15" x14ac:dyDescent="0.35">
      <c r="A1607" s="12">
        <v>6329</v>
      </c>
      <c r="B1607" s="12" t="s">
        <v>16</v>
      </c>
      <c r="C1607" s="12">
        <v>54</v>
      </c>
      <c r="D1607" s="12" t="s">
        <v>17</v>
      </c>
      <c r="E1607" s="12" t="s">
        <v>14</v>
      </c>
      <c r="F1607" s="12">
        <v>19</v>
      </c>
      <c r="G1607" s="12">
        <v>62</v>
      </c>
      <c r="H1607" s="12">
        <v>0.34</v>
      </c>
      <c r="I1607" s="12" t="s">
        <v>15</v>
      </c>
      <c r="J1607" s="12">
        <v>39</v>
      </c>
      <c r="K1607" s="12">
        <v>0</v>
      </c>
      <c r="L1607" s="12">
        <v>0</v>
      </c>
      <c r="M1607" s="12">
        <v>0</v>
      </c>
      <c r="N1607" s="12">
        <v>0</v>
      </c>
      <c r="O1607" s="12" t="str">
        <f t="shared" si="25"/>
        <v>30 - 39</v>
      </c>
    </row>
    <row r="1608" spans="1:15" x14ac:dyDescent="0.35">
      <c r="A1608" s="11">
        <v>6334</v>
      </c>
      <c r="B1608" s="11" t="s">
        <v>12</v>
      </c>
      <c r="C1608" s="11">
        <v>38</v>
      </c>
      <c r="D1608" s="11" t="s">
        <v>28</v>
      </c>
      <c r="E1608" s="11" t="s">
        <v>14</v>
      </c>
      <c r="F1608" s="11">
        <v>294</v>
      </c>
      <c r="G1608" s="11">
        <v>63</v>
      </c>
      <c r="H1608" s="11">
        <v>0.21</v>
      </c>
      <c r="I1608" s="11" t="s">
        <v>23</v>
      </c>
      <c r="J1608" s="11">
        <v>35</v>
      </c>
      <c r="K1608" s="11">
        <v>0</v>
      </c>
      <c r="L1608" s="11">
        <v>0</v>
      </c>
      <c r="M1608" s="11">
        <v>0</v>
      </c>
      <c r="N1608" s="11">
        <v>0</v>
      </c>
      <c r="O1608" s="12" t="str">
        <f t="shared" si="25"/>
        <v>30 - 39</v>
      </c>
    </row>
    <row r="1609" spans="1:15" x14ac:dyDescent="0.35">
      <c r="A1609" s="12">
        <v>6340</v>
      </c>
      <c r="B1609" s="12" t="s">
        <v>16</v>
      </c>
      <c r="C1609" s="12">
        <v>37</v>
      </c>
      <c r="D1609" s="12" t="s">
        <v>27</v>
      </c>
      <c r="E1609" s="12" t="s">
        <v>14</v>
      </c>
      <c r="F1609" s="12">
        <v>106</v>
      </c>
      <c r="G1609" s="12">
        <v>38</v>
      </c>
      <c r="H1609" s="12">
        <v>0.57999999999999996</v>
      </c>
      <c r="I1609" s="12" t="s">
        <v>19</v>
      </c>
      <c r="J1609" s="12">
        <v>7</v>
      </c>
      <c r="K1609" s="12">
        <v>0</v>
      </c>
      <c r="L1609" s="12">
        <v>0</v>
      </c>
      <c r="M1609" s="12">
        <v>0</v>
      </c>
      <c r="N1609" s="12">
        <v>0</v>
      </c>
      <c r="O1609" s="12" t="str">
        <f t="shared" si="25"/>
        <v>0 - 9</v>
      </c>
    </row>
    <row r="1610" spans="1:15" x14ac:dyDescent="0.35">
      <c r="A1610" s="11">
        <v>6349</v>
      </c>
      <c r="B1610" s="11" t="s">
        <v>12</v>
      </c>
      <c r="C1610" s="11">
        <v>18</v>
      </c>
      <c r="D1610" s="11" t="s">
        <v>27</v>
      </c>
      <c r="E1610" s="11" t="s">
        <v>14</v>
      </c>
      <c r="F1610" s="11">
        <v>95</v>
      </c>
      <c r="G1610" s="11">
        <v>37</v>
      </c>
      <c r="H1610" s="11">
        <v>0.24</v>
      </c>
      <c r="I1610" s="11" t="s">
        <v>23</v>
      </c>
      <c r="J1610" s="11">
        <v>7</v>
      </c>
      <c r="K1610" s="11">
        <v>0</v>
      </c>
      <c r="L1610" s="11">
        <v>1</v>
      </c>
      <c r="M1610" s="11">
        <v>0</v>
      </c>
      <c r="N1610" s="11">
        <v>0</v>
      </c>
      <c r="O1610" s="12" t="str">
        <f t="shared" si="25"/>
        <v>0 - 9</v>
      </c>
    </row>
    <row r="1611" spans="1:15" x14ac:dyDescent="0.35">
      <c r="A1611" s="12">
        <v>6350</v>
      </c>
      <c r="B1611" s="12" t="s">
        <v>12</v>
      </c>
      <c r="C1611" s="12">
        <v>56</v>
      </c>
      <c r="D1611" s="12" t="s">
        <v>25</v>
      </c>
      <c r="E1611" s="12" t="s">
        <v>14</v>
      </c>
      <c r="F1611" s="12">
        <v>33</v>
      </c>
      <c r="G1611" s="12">
        <v>24</v>
      </c>
      <c r="H1611" s="12">
        <v>0.44</v>
      </c>
      <c r="I1611" s="12" t="s">
        <v>23</v>
      </c>
      <c r="J1611" s="12">
        <v>33</v>
      </c>
      <c r="K1611" s="12">
        <v>0</v>
      </c>
      <c r="L1611" s="12">
        <v>1</v>
      </c>
      <c r="M1611" s="12">
        <v>0</v>
      </c>
      <c r="N1611" s="12">
        <v>0</v>
      </c>
      <c r="O1611" s="12" t="str">
        <f t="shared" si="25"/>
        <v>30 - 39</v>
      </c>
    </row>
    <row r="1612" spans="1:15" x14ac:dyDescent="0.35">
      <c r="A1612" s="11">
        <v>6351</v>
      </c>
      <c r="B1612" s="11" t="s">
        <v>20</v>
      </c>
      <c r="C1612" s="11">
        <v>47</v>
      </c>
      <c r="D1612" s="11" t="s">
        <v>25</v>
      </c>
      <c r="E1612" s="11" t="s">
        <v>14</v>
      </c>
      <c r="F1612" s="11">
        <v>281</v>
      </c>
      <c r="G1612" s="11">
        <v>5</v>
      </c>
      <c r="H1612" s="11">
        <v>0.5</v>
      </c>
      <c r="I1612" s="11" t="s">
        <v>15</v>
      </c>
      <c r="J1612" s="11">
        <v>39</v>
      </c>
      <c r="K1612" s="11">
        <v>0</v>
      </c>
      <c r="L1612" s="11">
        <v>1</v>
      </c>
      <c r="M1612" s="11">
        <v>0</v>
      </c>
      <c r="N1612" s="11">
        <v>0</v>
      </c>
      <c r="O1612" s="12" t="str">
        <f t="shared" si="25"/>
        <v>30 - 39</v>
      </c>
    </row>
    <row r="1613" spans="1:15" x14ac:dyDescent="0.35">
      <c r="A1613" s="12">
        <v>6356</v>
      </c>
      <c r="B1613" s="12" t="s">
        <v>16</v>
      </c>
      <c r="C1613" s="12">
        <v>39</v>
      </c>
      <c r="D1613" s="12" t="s">
        <v>25</v>
      </c>
      <c r="E1613" s="12" t="s">
        <v>14</v>
      </c>
      <c r="F1613" s="12">
        <v>229</v>
      </c>
      <c r="G1613" s="12">
        <v>41</v>
      </c>
      <c r="H1613" s="12">
        <v>0.13</v>
      </c>
      <c r="I1613" s="12" t="s">
        <v>19</v>
      </c>
      <c r="J1613" s="12">
        <v>34</v>
      </c>
      <c r="K1613" s="12">
        <v>0</v>
      </c>
      <c r="L1613" s="12">
        <v>0</v>
      </c>
      <c r="M1613" s="12">
        <v>0</v>
      </c>
      <c r="N1613" s="12">
        <v>0</v>
      </c>
      <c r="O1613" s="12" t="str">
        <f t="shared" si="25"/>
        <v>30 - 39</v>
      </c>
    </row>
    <row r="1614" spans="1:15" x14ac:dyDescent="0.35">
      <c r="A1614" s="11">
        <v>6362</v>
      </c>
      <c r="B1614" s="11" t="s">
        <v>20</v>
      </c>
      <c r="C1614" s="11">
        <v>18</v>
      </c>
      <c r="D1614" s="11" t="s">
        <v>29</v>
      </c>
      <c r="E1614" s="11" t="s">
        <v>14</v>
      </c>
      <c r="F1614" s="11">
        <v>195</v>
      </c>
      <c r="G1614" s="11">
        <v>95</v>
      </c>
      <c r="H1614" s="11">
        <v>0.06</v>
      </c>
      <c r="I1614" s="11" t="s">
        <v>15</v>
      </c>
      <c r="J1614" s="11">
        <v>6</v>
      </c>
      <c r="K1614" s="11">
        <v>0</v>
      </c>
      <c r="L1614" s="11">
        <v>0</v>
      </c>
      <c r="M1614" s="11">
        <v>0</v>
      </c>
      <c r="N1614" s="11">
        <v>0</v>
      </c>
      <c r="O1614" s="12" t="str">
        <f t="shared" si="25"/>
        <v>0 - 9</v>
      </c>
    </row>
    <row r="1615" spans="1:15" x14ac:dyDescent="0.35">
      <c r="A1615" s="12">
        <v>6370</v>
      </c>
      <c r="B1615" s="12" t="s">
        <v>16</v>
      </c>
      <c r="C1615" s="12">
        <v>28</v>
      </c>
      <c r="D1615" s="12" t="s">
        <v>13</v>
      </c>
      <c r="E1615" s="12" t="s">
        <v>14</v>
      </c>
      <c r="F1615" s="12">
        <v>159</v>
      </c>
      <c r="G1615" s="12">
        <v>71</v>
      </c>
      <c r="H1615" s="12">
        <v>0.44</v>
      </c>
      <c r="I1615" s="12" t="s">
        <v>23</v>
      </c>
      <c r="J1615" s="12">
        <v>25</v>
      </c>
      <c r="K1615" s="12">
        <v>0</v>
      </c>
      <c r="L1615" s="12">
        <v>1</v>
      </c>
      <c r="M1615" s="12">
        <v>0</v>
      </c>
      <c r="N1615" s="12">
        <v>0</v>
      </c>
      <c r="O1615" s="12" t="str">
        <f t="shared" si="25"/>
        <v>20 - 29</v>
      </c>
    </row>
    <row r="1616" spans="1:15" x14ac:dyDescent="0.35">
      <c r="A1616" s="11">
        <v>6373</v>
      </c>
      <c r="B1616" s="11" t="s">
        <v>20</v>
      </c>
      <c r="C1616" s="11">
        <v>59</v>
      </c>
      <c r="D1616" s="11" t="s">
        <v>21</v>
      </c>
      <c r="E1616" s="11" t="s">
        <v>14</v>
      </c>
      <c r="F1616" s="11">
        <v>20</v>
      </c>
      <c r="G1616" s="11">
        <v>98</v>
      </c>
      <c r="H1616" s="11">
        <v>0.37</v>
      </c>
      <c r="I1616" s="11" t="s">
        <v>23</v>
      </c>
      <c r="J1616" s="11">
        <v>42</v>
      </c>
      <c r="K1616" s="11">
        <v>0</v>
      </c>
      <c r="L1616" s="11">
        <v>0</v>
      </c>
      <c r="M1616" s="11">
        <v>0</v>
      </c>
      <c r="N1616" s="11">
        <v>0</v>
      </c>
      <c r="O1616" s="12" t="str">
        <f t="shared" si="25"/>
        <v>40 - 49</v>
      </c>
    </row>
    <row r="1617" spans="1:15" x14ac:dyDescent="0.35">
      <c r="A1617" s="12">
        <v>6377</v>
      </c>
      <c r="B1617" s="12" t="s">
        <v>12</v>
      </c>
      <c r="C1617" s="12">
        <v>38</v>
      </c>
      <c r="D1617" s="12" t="s">
        <v>27</v>
      </c>
      <c r="E1617" s="12" t="s">
        <v>14</v>
      </c>
      <c r="F1617" s="12">
        <v>101</v>
      </c>
      <c r="G1617" s="12">
        <v>47</v>
      </c>
      <c r="H1617" s="12">
        <v>0.06</v>
      </c>
      <c r="I1617" s="12" t="s">
        <v>23</v>
      </c>
      <c r="J1617" s="12">
        <v>39</v>
      </c>
      <c r="K1617" s="12">
        <v>0</v>
      </c>
      <c r="L1617" s="12">
        <v>1</v>
      </c>
      <c r="M1617" s="12">
        <v>0</v>
      </c>
      <c r="N1617" s="12">
        <v>0</v>
      </c>
      <c r="O1617" s="12" t="str">
        <f t="shared" si="25"/>
        <v>30 - 39</v>
      </c>
    </row>
    <row r="1618" spans="1:15" x14ac:dyDescent="0.35">
      <c r="A1618" s="11">
        <v>6378</v>
      </c>
      <c r="B1618" s="11" t="s">
        <v>20</v>
      </c>
      <c r="C1618" s="11">
        <v>53</v>
      </c>
      <c r="D1618" s="11" t="s">
        <v>28</v>
      </c>
      <c r="E1618" s="11" t="s">
        <v>14</v>
      </c>
      <c r="F1618" s="11">
        <v>96</v>
      </c>
      <c r="G1618" s="11">
        <v>60</v>
      </c>
      <c r="H1618" s="11">
        <v>0.5</v>
      </c>
      <c r="I1618" s="11" t="s">
        <v>19</v>
      </c>
      <c r="J1618" s="11">
        <v>25</v>
      </c>
      <c r="K1618" s="11">
        <v>0</v>
      </c>
      <c r="L1618" s="11">
        <v>0</v>
      </c>
      <c r="M1618" s="11">
        <v>0</v>
      </c>
      <c r="N1618" s="11">
        <v>0</v>
      </c>
      <c r="O1618" s="12" t="str">
        <f t="shared" si="25"/>
        <v>20 - 29</v>
      </c>
    </row>
    <row r="1619" spans="1:15" x14ac:dyDescent="0.35">
      <c r="A1619" s="12">
        <v>6381</v>
      </c>
      <c r="B1619" s="12" t="s">
        <v>16</v>
      </c>
      <c r="C1619" s="12">
        <v>31</v>
      </c>
      <c r="D1619" s="12" t="s">
        <v>13</v>
      </c>
      <c r="E1619" s="12" t="s">
        <v>14</v>
      </c>
      <c r="F1619" s="12">
        <v>110</v>
      </c>
      <c r="G1619" s="12">
        <v>34</v>
      </c>
      <c r="H1619" s="12">
        <v>0.06</v>
      </c>
      <c r="I1619" s="12" t="s">
        <v>15</v>
      </c>
      <c r="J1619" s="12">
        <v>49</v>
      </c>
      <c r="K1619" s="12">
        <v>0</v>
      </c>
      <c r="L1619" s="12">
        <v>0</v>
      </c>
      <c r="M1619" s="12">
        <v>0</v>
      </c>
      <c r="N1619" s="12">
        <v>0</v>
      </c>
      <c r="O1619" s="12" t="str">
        <f t="shared" si="25"/>
        <v>40 - 49</v>
      </c>
    </row>
    <row r="1620" spans="1:15" x14ac:dyDescent="0.35">
      <c r="A1620" s="11">
        <v>6387</v>
      </c>
      <c r="B1620" s="11" t="s">
        <v>12</v>
      </c>
      <c r="C1620" s="11">
        <v>26</v>
      </c>
      <c r="D1620" s="11" t="s">
        <v>28</v>
      </c>
      <c r="E1620" s="11" t="s">
        <v>14</v>
      </c>
      <c r="F1620" s="11">
        <v>80</v>
      </c>
      <c r="G1620" s="11">
        <v>73</v>
      </c>
      <c r="H1620" s="11">
        <v>0.4</v>
      </c>
      <c r="I1620" s="11" t="s">
        <v>23</v>
      </c>
      <c r="J1620" s="11">
        <v>5</v>
      </c>
      <c r="K1620" s="11">
        <v>0</v>
      </c>
      <c r="L1620" s="11">
        <v>0</v>
      </c>
      <c r="M1620" s="11">
        <v>0</v>
      </c>
      <c r="N1620" s="11">
        <v>0</v>
      </c>
      <c r="O1620" s="12" t="str">
        <f t="shared" si="25"/>
        <v>0 - 9</v>
      </c>
    </row>
    <row r="1621" spans="1:15" x14ac:dyDescent="0.35">
      <c r="A1621" s="12">
        <v>6392</v>
      </c>
      <c r="B1621" s="12" t="s">
        <v>16</v>
      </c>
      <c r="C1621" s="12">
        <v>18</v>
      </c>
      <c r="D1621" s="12" t="s">
        <v>13</v>
      </c>
      <c r="E1621" s="12" t="s">
        <v>14</v>
      </c>
      <c r="F1621" s="12">
        <v>255</v>
      </c>
      <c r="G1621" s="12">
        <v>33</v>
      </c>
      <c r="H1621" s="12">
        <v>0.55000000000000004</v>
      </c>
      <c r="I1621" s="12" t="s">
        <v>19</v>
      </c>
      <c r="J1621" s="12">
        <v>45</v>
      </c>
      <c r="K1621" s="12">
        <v>0</v>
      </c>
      <c r="L1621" s="12">
        <v>0</v>
      </c>
      <c r="M1621" s="12">
        <v>0</v>
      </c>
      <c r="N1621" s="12">
        <v>0</v>
      </c>
      <c r="O1621" s="12" t="str">
        <f t="shared" si="25"/>
        <v>40 - 49</v>
      </c>
    </row>
    <row r="1622" spans="1:15" x14ac:dyDescent="0.35">
      <c r="A1622" s="11">
        <v>6393</v>
      </c>
      <c r="B1622" s="11" t="s">
        <v>12</v>
      </c>
      <c r="C1622" s="11">
        <v>47</v>
      </c>
      <c r="D1622" s="11" t="s">
        <v>13</v>
      </c>
      <c r="E1622" s="11" t="s">
        <v>14</v>
      </c>
      <c r="F1622" s="11">
        <v>88</v>
      </c>
      <c r="G1622" s="11">
        <v>87</v>
      </c>
      <c r="H1622" s="11">
        <v>0.56000000000000005</v>
      </c>
      <c r="I1622" s="11" t="s">
        <v>19</v>
      </c>
      <c r="J1622" s="11">
        <v>24</v>
      </c>
      <c r="K1622" s="11">
        <v>0</v>
      </c>
      <c r="L1622" s="11">
        <v>0</v>
      </c>
      <c r="M1622" s="11">
        <v>0</v>
      </c>
      <c r="N1622" s="11">
        <v>0</v>
      </c>
      <c r="O1622" s="12" t="str">
        <f t="shared" si="25"/>
        <v>20 - 29</v>
      </c>
    </row>
    <row r="1623" spans="1:15" x14ac:dyDescent="0.35">
      <c r="A1623" s="12">
        <v>6396</v>
      </c>
      <c r="B1623" s="12" t="s">
        <v>12</v>
      </c>
      <c r="C1623" s="12">
        <v>42</v>
      </c>
      <c r="D1623" s="12" t="s">
        <v>29</v>
      </c>
      <c r="E1623" s="12" t="s">
        <v>14</v>
      </c>
      <c r="F1623" s="12">
        <v>284</v>
      </c>
      <c r="G1623" s="12">
        <v>70</v>
      </c>
      <c r="H1623" s="12">
        <v>0.52</v>
      </c>
      <c r="I1623" s="12" t="s">
        <v>19</v>
      </c>
      <c r="J1623" s="12">
        <v>33</v>
      </c>
      <c r="K1623" s="12">
        <v>0</v>
      </c>
      <c r="L1623" s="12">
        <v>0</v>
      </c>
      <c r="M1623" s="12">
        <v>0</v>
      </c>
      <c r="N1623" s="12">
        <v>0</v>
      </c>
      <c r="O1623" s="12" t="str">
        <f t="shared" si="25"/>
        <v>30 - 39</v>
      </c>
    </row>
    <row r="1624" spans="1:15" x14ac:dyDescent="0.35">
      <c r="A1624" s="11">
        <v>6399</v>
      </c>
      <c r="B1624" s="11" t="s">
        <v>20</v>
      </c>
      <c r="C1624" s="11">
        <v>48</v>
      </c>
      <c r="D1624" s="11" t="s">
        <v>17</v>
      </c>
      <c r="E1624" s="11" t="s">
        <v>14</v>
      </c>
      <c r="F1624" s="11">
        <v>278</v>
      </c>
      <c r="G1624" s="11">
        <v>34</v>
      </c>
      <c r="H1624" s="11">
        <v>0.09</v>
      </c>
      <c r="I1624" s="11" t="s">
        <v>23</v>
      </c>
      <c r="J1624" s="11">
        <v>13</v>
      </c>
      <c r="K1624" s="11">
        <v>0</v>
      </c>
      <c r="L1624" s="11">
        <v>1</v>
      </c>
      <c r="M1624" s="11">
        <v>0</v>
      </c>
      <c r="N1624" s="11">
        <v>0</v>
      </c>
      <c r="O1624" s="12" t="str">
        <f t="shared" si="25"/>
        <v>10 - 19</v>
      </c>
    </row>
    <row r="1625" spans="1:15" x14ac:dyDescent="0.35">
      <c r="A1625" s="12">
        <v>6404</v>
      </c>
      <c r="B1625" s="12" t="s">
        <v>20</v>
      </c>
      <c r="C1625" s="12">
        <v>47</v>
      </c>
      <c r="D1625" s="12" t="s">
        <v>26</v>
      </c>
      <c r="E1625" s="12" t="s">
        <v>14</v>
      </c>
      <c r="F1625" s="12">
        <v>119</v>
      </c>
      <c r="G1625" s="12">
        <v>24</v>
      </c>
      <c r="H1625" s="12">
        <v>0.47</v>
      </c>
      <c r="I1625" s="12" t="s">
        <v>15</v>
      </c>
      <c r="J1625" s="12">
        <v>14</v>
      </c>
      <c r="K1625" s="12">
        <v>0</v>
      </c>
      <c r="L1625" s="12">
        <v>0</v>
      </c>
      <c r="M1625" s="12">
        <v>0</v>
      </c>
      <c r="N1625" s="12">
        <v>0</v>
      </c>
      <c r="O1625" s="12" t="str">
        <f t="shared" si="25"/>
        <v>10 - 19</v>
      </c>
    </row>
    <row r="1626" spans="1:15" x14ac:dyDescent="0.35">
      <c r="A1626" s="11">
        <v>6406</v>
      </c>
      <c r="B1626" s="11" t="s">
        <v>16</v>
      </c>
      <c r="C1626" s="11">
        <v>34</v>
      </c>
      <c r="D1626" s="11" t="s">
        <v>28</v>
      </c>
      <c r="E1626" s="11" t="s">
        <v>14</v>
      </c>
      <c r="F1626" s="11">
        <v>152</v>
      </c>
      <c r="G1626" s="11">
        <v>22</v>
      </c>
      <c r="H1626" s="11">
        <v>0.04</v>
      </c>
      <c r="I1626" s="11" t="s">
        <v>19</v>
      </c>
      <c r="J1626" s="11">
        <v>14</v>
      </c>
      <c r="K1626" s="11">
        <v>0</v>
      </c>
      <c r="L1626" s="11">
        <v>0</v>
      </c>
      <c r="M1626" s="11">
        <v>0</v>
      </c>
      <c r="N1626" s="11">
        <v>0</v>
      </c>
      <c r="O1626" s="12" t="str">
        <f t="shared" si="25"/>
        <v>10 - 19</v>
      </c>
    </row>
    <row r="1627" spans="1:15" x14ac:dyDescent="0.35">
      <c r="A1627" s="12">
        <v>6411</v>
      </c>
      <c r="B1627" s="12" t="s">
        <v>20</v>
      </c>
      <c r="C1627" s="12">
        <v>30</v>
      </c>
      <c r="D1627" s="12" t="s">
        <v>21</v>
      </c>
      <c r="E1627" s="12" t="s">
        <v>14</v>
      </c>
      <c r="F1627" s="12">
        <v>26</v>
      </c>
      <c r="G1627" s="12">
        <v>15</v>
      </c>
      <c r="H1627" s="12">
        <v>0.59</v>
      </c>
      <c r="I1627" s="12" t="s">
        <v>23</v>
      </c>
      <c r="J1627" s="12">
        <v>27</v>
      </c>
      <c r="K1627" s="12">
        <v>0</v>
      </c>
      <c r="L1627" s="12">
        <v>0</v>
      </c>
      <c r="M1627" s="12">
        <v>0</v>
      </c>
      <c r="N1627" s="12">
        <v>0</v>
      </c>
      <c r="O1627" s="12" t="str">
        <f t="shared" si="25"/>
        <v>20 - 29</v>
      </c>
    </row>
    <row r="1628" spans="1:15" x14ac:dyDescent="0.35">
      <c r="A1628" s="11">
        <v>6414</v>
      </c>
      <c r="B1628" s="11" t="s">
        <v>12</v>
      </c>
      <c r="C1628" s="11">
        <v>26</v>
      </c>
      <c r="D1628" s="11" t="s">
        <v>26</v>
      </c>
      <c r="E1628" s="11" t="s">
        <v>14</v>
      </c>
      <c r="F1628" s="11">
        <v>94</v>
      </c>
      <c r="G1628" s="11">
        <v>34</v>
      </c>
      <c r="H1628" s="11">
        <v>0.12</v>
      </c>
      <c r="I1628" s="11" t="s">
        <v>19</v>
      </c>
      <c r="J1628" s="11">
        <v>15</v>
      </c>
      <c r="K1628" s="11">
        <v>0</v>
      </c>
      <c r="L1628" s="11">
        <v>1</v>
      </c>
      <c r="M1628" s="11">
        <v>0</v>
      </c>
      <c r="N1628" s="11">
        <v>0</v>
      </c>
      <c r="O1628" s="12" t="str">
        <f t="shared" si="25"/>
        <v>10 - 19</v>
      </c>
    </row>
    <row r="1629" spans="1:15" x14ac:dyDescent="0.35">
      <c r="A1629" s="12">
        <v>6418</v>
      </c>
      <c r="B1629" s="12" t="s">
        <v>20</v>
      </c>
      <c r="C1629" s="12">
        <v>32</v>
      </c>
      <c r="D1629" s="12" t="s">
        <v>25</v>
      </c>
      <c r="E1629" s="12" t="s">
        <v>14</v>
      </c>
      <c r="F1629" s="12">
        <v>28</v>
      </c>
      <c r="G1629" s="12">
        <v>11</v>
      </c>
      <c r="H1629" s="12">
        <v>0.19</v>
      </c>
      <c r="I1629" s="12" t="s">
        <v>23</v>
      </c>
      <c r="J1629" s="12">
        <v>41</v>
      </c>
      <c r="K1629" s="12">
        <v>0</v>
      </c>
      <c r="L1629" s="12">
        <v>0</v>
      </c>
      <c r="M1629" s="12">
        <v>0</v>
      </c>
      <c r="N1629" s="12">
        <v>0</v>
      </c>
      <c r="O1629" s="12" t="str">
        <f t="shared" si="25"/>
        <v>40 - 49</v>
      </c>
    </row>
    <row r="1630" spans="1:15" x14ac:dyDescent="0.35">
      <c r="A1630" s="11">
        <v>6423</v>
      </c>
      <c r="B1630" s="11" t="s">
        <v>20</v>
      </c>
      <c r="C1630" s="11">
        <v>54</v>
      </c>
      <c r="D1630" s="11" t="s">
        <v>26</v>
      </c>
      <c r="E1630" s="11" t="s">
        <v>14</v>
      </c>
      <c r="F1630" s="11">
        <v>185</v>
      </c>
      <c r="G1630" s="11">
        <v>20</v>
      </c>
      <c r="H1630" s="11">
        <v>0.02</v>
      </c>
      <c r="I1630" s="11" t="s">
        <v>19</v>
      </c>
      <c r="J1630" s="11">
        <v>24</v>
      </c>
      <c r="K1630" s="11">
        <v>0</v>
      </c>
      <c r="L1630" s="11">
        <v>0</v>
      </c>
      <c r="M1630" s="11">
        <v>0</v>
      </c>
      <c r="N1630" s="11">
        <v>0</v>
      </c>
      <c r="O1630" s="12" t="str">
        <f t="shared" si="25"/>
        <v>20 - 29</v>
      </c>
    </row>
    <row r="1631" spans="1:15" x14ac:dyDescent="0.35">
      <c r="A1631" s="12">
        <v>6427</v>
      </c>
      <c r="B1631" s="12" t="s">
        <v>16</v>
      </c>
      <c r="C1631" s="12">
        <v>46</v>
      </c>
      <c r="D1631" s="12" t="s">
        <v>26</v>
      </c>
      <c r="E1631" s="12" t="s">
        <v>14</v>
      </c>
      <c r="F1631" s="12">
        <v>126</v>
      </c>
      <c r="G1631" s="12">
        <v>98</v>
      </c>
      <c r="H1631" s="12">
        <v>0.03</v>
      </c>
      <c r="I1631" s="12" t="s">
        <v>19</v>
      </c>
      <c r="J1631" s="12">
        <v>9</v>
      </c>
      <c r="K1631" s="12">
        <v>0</v>
      </c>
      <c r="L1631" s="12">
        <v>0</v>
      </c>
      <c r="M1631" s="12">
        <v>0</v>
      </c>
      <c r="N1631" s="12">
        <v>0</v>
      </c>
      <c r="O1631" s="12" t="str">
        <f t="shared" si="25"/>
        <v>0 - 9</v>
      </c>
    </row>
    <row r="1632" spans="1:15" x14ac:dyDescent="0.35">
      <c r="A1632" s="11">
        <v>6428</v>
      </c>
      <c r="B1632" s="11" t="s">
        <v>12</v>
      </c>
      <c r="C1632" s="11">
        <v>23</v>
      </c>
      <c r="D1632" s="11" t="s">
        <v>25</v>
      </c>
      <c r="E1632" s="11" t="s">
        <v>14</v>
      </c>
      <c r="F1632" s="11">
        <v>203</v>
      </c>
      <c r="G1632" s="11">
        <v>32</v>
      </c>
      <c r="H1632" s="11">
        <v>0.35</v>
      </c>
      <c r="I1632" s="11" t="s">
        <v>15</v>
      </c>
      <c r="J1632" s="11">
        <v>48</v>
      </c>
      <c r="K1632" s="11">
        <v>0</v>
      </c>
      <c r="L1632" s="11">
        <v>0</v>
      </c>
      <c r="M1632" s="11">
        <v>0</v>
      </c>
      <c r="N1632" s="11">
        <v>0</v>
      </c>
      <c r="O1632" s="12" t="str">
        <f t="shared" si="25"/>
        <v>40 - 49</v>
      </c>
    </row>
    <row r="1633" spans="1:15" x14ac:dyDescent="0.35">
      <c r="A1633" s="12">
        <v>6429</v>
      </c>
      <c r="B1633" s="12" t="s">
        <v>12</v>
      </c>
      <c r="C1633" s="12">
        <v>47</v>
      </c>
      <c r="D1633" s="12" t="s">
        <v>29</v>
      </c>
      <c r="E1633" s="12" t="s">
        <v>14</v>
      </c>
      <c r="F1633" s="12">
        <v>114</v>
      </c>
      <c r="G1633" s="12">
        <v>86</v>
      </c>
      <c r="H1633" s="12">
        <v>0.16</v>
      </c>
      <c r="I1633" s="12" t="s">
        <v>23</v>
      </c>
      <c r="J1633" s="12">
        <v>20</v>
      </c>
      <c r="K1633" s="12">
        <v>0</v>
      </c>
      <c r="L1633" s="12">
        <v>0</v>
      </c>
      <c r="M1633" s="12">
        <v>0</v>
      </c>
      <c r="N1633" s="12">
        <v>0</v>
      </c>
      <c r="O1633" s="12" t="str">
        <f t="shared" si="25"/>
        <v>20 - 29</v>
      </c>
    </row>
    <row r="1634" spans="1:15" x14ac:dyDescent="0.35">
      <c r="A1634" s="11">
        <v>6430</v>
      </c>
      <c r="B1634" s="11" t="s">
        <v>16</v>
      </c>
      <c r="C1634" s="11">
        <v>38</v>
      </c>
      <c r="D1634" s="11" t="s">
        <v>13</v>
      </c>
      <c r="E1634" s="11" t="s">
        <v>14</v>
      </c>
      <c r="F1634" s="11">
        <v>279</v>
      </c>
      <c r="G1634" s="11">
        <v>83</v>
      </c>
      <c r="H1634" s="11">
        <v>0.55000000000000004</v>
      </c>
      <c r="I1634" s="11" t="s">
        <v>23</v>
      </c>
      <c r="J1634" s="11">
        <v>18</v>
      </c>
      <c r="K1634" s="11">
        <v>0</v>
      </c>
      <c r="L1634" s="11">
        <v>0</v>
      </c>
      <c r="M1634" s="11">
        <v>0</v>
      </c>
      <c r="N1634" s="11">
        <v>0</v>
      </c>
      <c r="O1634" s="12" t="str">
        <f t="shared" si="25"/>
        <v>10 - 19</v>
      </c>
    </row>
    <row r="1635" spans="1:15" x14ac:dyDescent="0.35">
      <c r="A1635" s="12">
        <v>6433</v>
      </c>
      <c r="B1635" s="12" t="s">
        <v>20</v>
      </c>
      <c r="C1635" s="12">
        <v>43</v>
      </c>
      <c r="D1635" s="12" t="s">
        <v>27</v>
      </c>
      <c r="E1635" s="12" t="s">
        <v>14</v>
      </c>
      <c r="F1635" s="12">
        <v>205</v>
      </c>
      <c r="G1635" s="12">
        <v>12</v>
      </c>
      <c r="H1635" s="12">
        <v>0.08</v>
      </c>
      <c r="I1635" s="12" t="s">
        <v>19</v>
      </c>
      <c r="J1635" s="12">
        <v>26</v>
      </c>
      <c r="K1635" s="12">
        <v>0</v>
      </c>
      <c r="L1635" s="12">
        <v>1</v>
      </c>
      <c r="M1635" s="12">
        <v>0</v>
      </c>
      <c r="N1635" s="12">
        <v>0</v>
      </c>
      <c r="O1635" s="12" t="str">
        <f t="shared" si="25"/>
        <v>20 - 29</v>
      </c>
    </row>
    <row r="1636" spans="1:15" x14ac:dyDescent="0.35">
      <c r="A1636" s="11">
        <v>6435</v>
      </c>
      <c r="B1636" s="11" t="s">
        <v>12</v>
      </c>
      <c r="C1636" s="11">
        <v>57</v>
      </c>
      <c r="D1636" s="11" t="s">
        <v>13</v>
      </c>
      <c r="E1636" s="11" t="s">
        <v>14</v>
      </c>
      <c r="F1636" s="11">
        <v>247</v>
      </c>
      <c r="G1636" s="11">
        <v>32</v>
      </c>
      <c r="H1636" s="11">
        <v>0.32</v>
      </c>
      <c r="I1636" s="11" t="s">
        <v>15</v>
      </c>
      <c r="J1636" s="11">
        <v>36</v>
      </c>
      <c r="K1636" s="11">
        <v>0</v>
      </c>
      <c r="L1636" s="11">
        <v>1</v>
      </c>
      <c r="M1636" s="11">
        <v>0</v>
      </c>
      <c r="N1636" s="11">
        <v>0</v>
      </c>
      <c r="O1636" s="12" t="str">
        <f t="shared" si="25"/>
        <v>30 - 39</v>
      </c>
    </row>
    <row r="1637" spans="1:15" x14ac:dyDescent="0.35">
      <c r="A1637" s="12">
        <v>6436</v>
      </c>
      <c r="B1637" s="12" t="s">
        <v>16</v>
      </c>
      <c r="C1637" s="12">
        <v>17</v>
      </c>
      <c r="D1637" s="12" t="s">
        <v>25</v>
      </c>
      <c r="E1637" s="12" t="s">
        <v>14</v>
      </c>
      <c r="F1637" s="12">
        <v>23</v>
      </c>
      <c r="G1637" s="12">
        <v>75</v>
      </c>
      <c r="H1637" s="12">
        <v>0.16</v>
      </c>
      <c r="I1637" s="12" t="s">
        <v>23</v>
      </c>
      <c r="J1637" s="12">
        <v>46</v>
      </c>
      <c r="K1637" s="12">
        <v>0</v>
      </c>
      <c r="L1637" s="12">
        <v>0</v>
      </c>
      <c r="M1637" s="12">
        <v>0</v>
      </c>
      <c r="N1637" s="12">
        <v>0</v>
      </c>
      <c r="O1637" s="12" t="str">
        <f t="shared" si="25"/>
        <v>40 - 49</v>
      </c>
    </row>
    <row r="1638" spans="1:15" x14ac:dyDescent="0.35">
      <c r="A1638" s="11">
        <v>6437</v>
      </c>
      <c r="B1638" s="11" t="s">
        <v>16</v>
      </c>
      <c r="C1638" s="11">
        <v>46</v>
      </c>
      <c r="D1638" s="11" t="s">
        <v>21</v>
      </c>
      <c r="E1638" s="11" t="s">
        <v>14</v>
      </c>
      <c r="F1638" s="11">
        <v>68</v>
      </c>
      <c r="G1638" s="11">
        <v>92</v>
      </c>
      <c r="H1638" s="11">
        <v>0.43</v>
      </c>
      <c r="I1638" s="11" t="s">
        <v>15</v>
      </c>
      <c r="J1638" s="11">
        <v>34</v>
      </c>
      <c r="K1638" s="11">
        <v>0</v>
      </c>
      <c r="L1638" s="11">
        <v>1</v>
      </c>
      <c r="M1638" s="11">
        <v>0</v>
      </c>
      <c r="N1638" s="11">
        <v>0</v>
      </c>
      <c r="O1638" s="12" t="str">
        <f t="shared" si="25"/>
        <v>30 - 39</v>
      </c>
    </row>
    <row r="1639" spans="1:15" x14ac:dyDescent="0.35">
      <c r="A1639" s="12">
        <v>6440</v>
      </c>
      <c r="B1639" s="12" t="s">
        <v>20</v>
      </c>
      <c r="C1639" s="12">
        <v>51</v>
      </c>
      <c r="D1639" s="12" t="s">
        <v>25</v>
      </c>
      <c r="E1639" s="12" t="s">
        <v>14</v>
      </c>
      <c r="F1639" s="12">
        <v>30</v>
      </c>
      <c r="G1639" s="12">
        <v>46</v>
      </c>
      <c r="H1639" s="12">
        <v>0.34</v>
      </c>
      <c r="I1639" s="12" t="s">
        <v>19</v>
      </c>
      <c r="J1639" s="12">
        <v>28</v>
      </c>
      <c r="K1639" s="12">
        <v>0</v>
      </c>
      <c r="L1639" s="12">
        <v>0</v>
      </c>
      <c r="M1639" s="12">
        <v>0</v>
      </c>
      <c r="N1639" s="12">
        <v>0</v>
      </c>
      <c r="O1639" s="12" t="str">
        <f t="shared" si="25"/>
        <v>20 - 29</v>
      </c>
    </row>
    <row r="1640" spans="1:15" x14ac:dyDescent="0.35">
      <c r="A1640" s="11">
        <v>6441</v>
      </c>
      <c r="B1640" s="11" t="s">
        <v>20</v>
      </c>
      <c r="C1640" s="11">
        <v>32</v>
      </c>
      <c r="D1640" s="11" t="s">
        <v>17</v>
      </c>
      <c r="E1640" s="11" t="s">
        <v>14</v>
      </c>
      <c r="F1640" s="11">
        <v>62</v>
      </c>
      <c r="G1640" s="11">
        <v>43</v>
      </c>
      <c r="H1640" s="11">
        <v>0.01</v>
      </c>
      <c r="I1640" s="11" t="s">
        <v>15</v>
      </c>
      <c r="J1640" s="11">
        <v>47</v>
      </c>
      <c r="K1640" s="11">
        <v>0</v>
      </c>
      <c r="L1640" s="11">
        <v>0</v>
      </c>
      <c r="M1640" s="11">
        <v>0</v>
      </c>
      <c r="N1640" s="11">
        <v>0</v>
      </c>
      <c r="O1640" s="12" t="str">
        <f t="shared" si="25"/>
        <v>40 - 49</v>
      </c>
    </row>
    <row r="1641" spans="1:15" x14ac:dyDescent="0.35">
      <c r="A1641" s="12">
        <v>6443</v>
      </c>
      <c r="B1641" s="12" t="s">
        <v>12</v>
      </c>
      <c r="C1641" s="12">
        <v>39</v>
      </c>
      <c r="D1641" s="12" t="s">
        <v>13</v>
      </c>
      <c r="E1641" s="12" t="s">
        <v>14</v>
      </c>
      <c r="F1641" s="12">
        <v>112</v>
      </c>
      <c r="G1641" s="12">
        <v>35</v>
      </c>
      <c r="H1641" s="12">
        <v>0.56000000000000005</v>
      </c>
      <c r="I1641" s="12" t="s">
        <v>23</v>
      </c>
      <c r="J1641" s="12">
        <v>16</v>
      </c>
      <c r="K1641" s="12">
        <v>0</v>
      </c>
      <c r="L1641" s="12">
        <v>0</v>
      </c>
      <c r="M1641" s="12">
        <v>0</v>
      </c>
      <c r="N1641" s="12">
        <v>0</v>
      </c>
      <c r="O1641" s="12" t="str">
        <f t="shared" si="25"/>
        <v>10 - 19</v>
      </c>
    </row>
    <row r="1642" spans="1:15" x14ac:dyDescent="0.35">
      <c r="A1642" s="11">
        <v>6449</v>
      </c>
      <c r="B1642" s="11" t="s">
        <v>16</v>
      </c>
      <c r="C1642" s="11">
        <v>29</v>
      </c>
      <c r="D1642" s="11" t="s">
        <v>25</v>
      </c>
      <c r="E1642" s="11" t="s">
        <v>14</v>
      </c>
      <c r="F1642" s="11">
        <v>216</v>
      </c>
      <c r="G1642" s="11">
        <v>86</v>
      </c>
      <c r="H1642" s="11">
        <v>0.53</v>
      </c>
      <c r="I1642" s="11" t="s">
        <v>19</v>
      </c>
      <c r="J1642" s="11">
        <v>28</v>
      </c>
      <c r="K1642" s="11">
        <v>0</v>
      </c>
      <c r="L1642" s="11">
        <v>1</v>
      </c>
      <c r="M1642" s="11">
        <v>0</v>
      </c>
      <c r="N1642" s="11">
        <v>0</v>
      </c>
      <c r="O1642" s="12" t="str">
        <f t="shared" si="25"/>
        <v>20 - 29</v>
      </c>
    </row>
    <row r="1643" spans="1:15" x14ac:dyDescent="0.35">
      <c r="A1643" s="12">
        <v>6452</v>
      </c>
      <c r="B1643" s="12" t="s">
        <v>20</v>
      </c>
      <c r="C1643" s="12">
        <v>38</v>
      </c>
      <c r="D1643" s="12" t="s">
        <v>21</v>
      </c>
      <c r="E1643" s="12" t="s">
        <v>14</v>
      </c>
      <c r="F1643" s="12">
        <v>196</v>
      </c>
      <c r="G1643" s="12">
        <v>83</v>
      </c>
      <c r="H1643" s="12">
        <v>0.03</v>
      </c>
      <c r="I1643" s="12" t="s">
        <v>15</v>
      </c>
      <c r="J1643" s="12">
        <v>31</v>
      </c>
      <c r="K1643" s="12">
        <v>0</v>
      </c>
      <c r="L1643" s="12">
        <v>0</v>
      </c>
      <c r="M1643" s="12">
        <v>0</v>
      </c>
      <c r="N1643" s="12">
        <v>0</v>
      </c>
      <c r="O1643" s="12" t="str">
        <f t="shared" si="25"/>
        <v>30 - 39</v>
      </c>
    </row>
    <row r="1644" spans="1:15" x14ac:dyDescent="0.35">
      <c r="A1644" s="11">
        <v>6456</v>
      </c>
      <c r="B1644" s="11" t="s">
        <v>16</v>
      </c>
      <c r="C1644" s="11">
        <v>54</v>
      </c>
      <c r="D1644" s="11" t="s">
        <v>27</v>
      </c>
      <c r="E1644" s="11" t="s">
        <v>14</v>
      </c>
      <c r="F1644" s="11">
        <v>60</v>
      </c>
      <c r="G1644" s="11">
        <v>46</v>
      </c>
      <c r="H1644" s="11">
        <v>0.52</v>
      </c>
      <c r="I1644" s="11" t="s">
        <v>15</v>
      </c>
      <c r="J1644" s="11">
        <v>25</v>
      </c>
      <c r="K1644" s="11">
        <v>0</v>
      </c>
      <c r="L1644" s="11">
        <v>1</v>
      </c>
      <c r="M1644" s="11">
        <v>0</v>
      </c>
      <c r="N1644" s="11">
        <v>0</v>
      </c>
      <c r="O1644" s="12" t="str">
        <f t="shared" si="25"/>
        <v>20 - 29</v>
      </c>
    </row>
    <row r="1645" spans="1:15" x14ac:dyDescent="0.35">
      <c r="A1645" s="12">
        <v>6457</v>
      </c>
      <c r="B1645" s="12" t="s">
        <v>16</v>
      </c>
      <c r="C1645" s="12">
        <v>46</v>
      </c>
      <c r="D1645" s="12" t="s">
        <v>26</v>
      </c>
      <c r="E1645" s="12" t="s">
        <v>14</v>
      </c>
      <c r="F1645" s="12">
        <v>154</v>
      </c>
      <c r="G1645" s="12">
        <v>38</v>
      </c>
      <c r="H1645" s="12">
        <v>0.25</v>
      </c>
      <c r="I1645" s="12" t="s">
        <v>19</v>
      </c>
      <c r="J1645" s="12">
        <v>6</v>
      </c>
      <c r="K1645" s="12">
        <v>0</v>
      </c>
      <c r="L1645" s="12">
        <v>0</v>
      </c>
      <c r="M1645" s="12">
        <v>0</v>
      </c>
      <c r="N1645" s="12">
        <v>0</v>
      </c>
      <c r="O1645" s="12" t="str">
        <f t="shared" si="25"/>
        <v>0 - 9</v>
      </c>
    </row>
    <row r="1646" spans="1:15" x14ac:dyDescent="0.35">
      <c r="A1646" s="11">
        <v>6459</v>
      </c>
      <c r="B1646" s="11" t="s">
        <v>20</v>
      </c>
      <c r="C1646" s="11">
        <v>16</v>
      </c>
      <c r="D1646" s="11" t="s">
        <v>26</v>
      </c>
      <c r="E1646" s="11" t="s">
        <v>14</v>
      </c>
      <c r="F1646" s="11">
        <v>104</v>
      </c>
      <c r="G1646" s="11">
        <v>99</v>
      </c>
      <c r="H1646" s="11">
        <v>0.11</v>
      </c>
      <c r="I1646" s="11" t="s">
        <v>23</v>
      </c>
      <c r="J1646" s="11">
        <v>11</v>
      </c>
      <c r="K1646" s="11">
        <v>0</v>
      </c>
      <c r="L1646" s="11">
        <v>0</v>
      </c>
      <c r="M1646" s="11">
        <v>0</v>
      </c>
      <c r="N1646" s="11">
        <v>0</v>
      </c>
      <c r="O1646" s="12" t="str">
        <f t="shared" si="25"/>
        <v>10 - 19</v>
      </c>
    </row>
    <row r="1647" spans="1:15" x14ac:dyDescent="0.35">
      <c r="A1647" s="12">
        <v>6464</v>
      </c>
      <c r="B1647" s="12" t="s">
        <v>12</v>
      </c>
      <c r="C1647" s="12">
        <v>33</v>
      </c>
      <c r="D1647" s="12" t="s">
        <v>27</v>
      </c>
      <c r="E1647" s="12" t="s">
        <v>14</v>
      </c>
      <c r="F1647" s="12">
        <v>244</v>
      </c>
      <c r="G1647" s="12">
        <v>57</v>
      </c>
      <c r="H1647" s="12">
        <v>0.42</v>
      </c>
      <c r="I1647" s="12" t="s">
        <v>15</v>
      </c>
      <c r="J1647" s="12">
        <v>28</v>
      </c>
      <c r="K1647" s="12">
        <v>0</v>
      </c>
      <c r="L1647" s="12">
        <v>1</v>
      </c>
      <c r="M1647" s="12">
        <v>0</v>
      </c>
      <c r="N1647" s="12">
        <v>0</v>
      </c>
      <c r="O1647" s="12" t="str">
        <f t="shared" si="25"/>
        <v>20 - 29</v>
      </c>
    </row>
    <row r="1648" spans="1:15" x14ac:dyDescent="0.35">
      <c r="A1648" s="11">
        <v>6465</v>
      </c>
      <c r="B1648" s="11" t="s">
        <v>12</v>
      </c>
      <c r="C1648" s="11">
        <v>49</v>
      </c>
      <c r="D1648" s="11" t="s">
        <v>28</v>
      </c>
      <c r="E1648" s="11" t="s">
        <v>14</v>
      </c>
      <c r="F1648" s="11">
        <v>164</v>
      </c>
      <c r="G1648" s="11">
        <v>84</v>
      </c>
      <c r="H1648" s="11">
        <v>0.05</v>
      </c>
      <c r="I1648" s="11" t="s">
        <v>23</v>
      </c>
      <c r="J1648" s="11">
        <v>7</v>
      </c>
      <c r="K1648" s="11">
        <v>0</v>
      </c>
      <c r="L1648" s="11">
        <v>0</v>
      </c>
      <c r="M1648" s="11">
        <v>0</v>
      </c>
      <c r="N1648" s="11">
        <v>0</v>
      </c>
      <c r="O1648" s="12" t="str">
        <f t="shared" si="25"/>
        <v>0 - 9</v>
      </c>
    </row>
    <row r="1649" spans="1:15" x14ac:dyDescent="0.35">
      <c r="A1649" s="12">
        <v>6467</v>
      </c>
      <c r="B1649" s="12" t="s">
        <v>16</v>
      </c>
      <c r="C1649" s="12">
        <v>55</v>
      </c>
      <c r="D1649" s="12" t="s">
        <v>17</v>
      </c>
      <c r="E1649" s="12" t="s">
        <v>14</v>
      </c>
      <c r="F1649" s="12">
        <v>220</v>
      </c>
      <c r="G1649" s="12">
        <v>13</v>
      </c>
      <c r="H1649" s="12">
        <v>0.26</v>
      </c>
      <c r="I1649" s="12" t="s">
        <v>23</v>
      </c>
      <c r="J1649" s="12">
        <v>21</v>
      </c>
      <c r="K1649" s="12">
        <v>0</v>
      </c>
      <c r="L1649" s="12">
        <v>1</v>
      </c>
      <c r="M1649" s="12">
        <v>0</v>
      </c>
      <c r="N1649" s="12">
        <v>0</v>
      </c>
      <c r="O1649" s="12" t="str">
        <f t="shared" si="25"/>
        <v>20 - 29</v>
      </c>
    </row>
    <row r="1650" spans="1:15" x14ac:dyDescent="0.35">
      <c r="A1650" s="11">
        <v>6468</v>
      </c>
      <c r="B1650" s="11" t="s">
        <v>20</v>
      </c>
      <c r="C1650" s="11">
        <v>48</v>
      </c>
      <c r="D1650" s="11" t="s">
        <v>28</v>
      </c>
      <c r="E1650" s="11" t="s">
        <v>14</v>
      </c>
      <c r="F1650" s="11">
        <v>46</v>
      </c>
      <c r="G1650" s="11">
        <v>58</v>
      </c>
      <c r="H1650" s="11">
        <v>0.56999999999999995</v>
      </c>
      <c r="I1650" s="11" t="s">
        <v>19</v>
      </c>
      <c r="J1650" s="11">
        <v>21</v>
      </c>
      <c r="K1650" s="11">
        <v>0</v>
      </c>
      <c r="L1650" s="11">
        <v>1</v>
      </c>
      <c r="M1650" s="11">
        <v>0</v>
      </c>
      <c r="N1650" s="11">
        <v>0</v>
      </c>
      <c r="O1650" s="12" t="str">
        <f t="shared" si="25"/>
        <v>20 - 29</v>
      </c>
    </row>
    <row r="1651" spans="1:15" x14ac:dyDescent="0.35">
      <c r="A1651" s="12">
        <v>6471</v>
      </c>
      <c r="B1651" s="12" t="s">
        <v>20</v>
      </c>
      <c r="C1651" s="12">
        <v>47</v>
      </c>
      <c r="D1651" s="12" t="s">
        <v>17</v>
      </c>
      <c r="E1651" s="12" t="s">
        <v>14</v>
      </c>
      <c r="F1651" s="12">
        <v>151</v>
      </c>
      <c r="G1651" s="12">
        <v>88</v>
      </c>
      <c r="H1651" s="12">
        <v>0.44</v>
      </c>
      <c r="I1651" s="12" t="s">
        <v>19</v>
      </c>
      <c r="J1651" s="12">
        <v>31</v>
      </c>
      <c r="K1651" s="12">
        <v>0</v>
      </c>
      <c r="L1651" s="12">
        <v>0</v>
      </c>
      <c r="M1651" s="12">
        <v>0</v>
      </c>
      <c r="N1651" s="12">
        <v>0</v>
      </c>
      <c r="O1651" s="12" t="str">
        <f t="shared" si="25"/>
        <v>30 - 39</v>
      </c>
    </row>
    <row r="1652" spans="1:15" x14ac:dyDescent="0.35">
      <c r="A1652" s="11">
        <v>6472</v>
      </c>
      <c r="B1652" s="11" t="s">
        <v>12</v>
      </c>
      <c r="C1652" s="11">
        <v>42</v>
      </c>
      <c r="D1652" s="11" t="s">
        <v>28</v>
      </c>
      <c r="E1652" s="11" t="s">
        <v>14</v>
      </c>
      <c r="F1652" s="11">
        <v>122</v>
      </c>
      <c r="G1652" s="11">
        <v>17</v>
      </c>
      <c r="H1652" s="11">
        <v>0.4</v>
      </c>
      <c r="I1652" s="11" t="s">
        <v>19</v>
      </c>
      <c r="J1652" s="11">
        <v>24</v>
      </c>
      <c r="K1652" s="11">
        <v>0</v>
      </c>
      <c r="L1652" s="11">
        <v>0</v>
      </c>
      <c r="M1652" s="11">
        <v>0</v>
      </c>
      <c r="N1652" s="11">
        <v>0</v>
      </c>
      <c r="O1652" s="12" t="str">
        <f t="shared" si="25"/>
        <v>20 - 29</v>
      </c>
    </row>
    <row r="1653" spans="1:15" x14ac:dyDescent="0.35">
      <c r="A1653" s="12">
        <v>6475</v>
      </c>
      <c r="B1653" s="12" t="s">
        <v>12</v>
      </c>
      <c r="C1653" s="12">
        <v>28</v>
      </c>
      <c r="D1653" s="12" t="s">
        <v>13</v>
      </c>
      <c r="E1653" s="12" t="s">
        <v>14</v>
      </c>
      <c r="F1653" s="12">
        <v>29</v>
      </c>
      <c r="G1653" s="12">
        <v>72</v>
      </c>
      <c r="H1653" s="12">
        <v>0.34</v>
      </c>
      <c r="I1653" s="12" t="s">
        <v>15</v>
      </c>
      <c r="J1653" s="12">
        <v>41</v>
      </c>
      <c r="K1653" s="12">
        <v>0</v>
      </c>
      <c r="L1653" s="12">
        <v>0</v>
      </c>
      <c r="M1653" s="12">
        <v>0</v>
      </c>
      <c r="N1653" s="12">
        <v>0</v>
      </c>
      <c r="O1653" s="12" t="str">
        <f t="shared" si="25"/>
        <v>40 - 49</v>
      </c>
    </row>
    <row r="1654" spans="1:15" x14ac:dyDescent="0.35">
      <c r="A1654" s="11">
        <v>6478</v>
      </c>
      <c r="B1654" s="11" t="s">
        <v>12</v>
      </c>
      <c r="C1654" s="11">
        <v>47</v>
      </c>
      <c r="D1654" s="11" t="s">
        <v>17</v>
      </c>
      <c r="E1654" s="11" t="s">
        <v>14</v>
      </c>
      <c r="F1654" s="11">
        <v>34</v>
      </c>
      <c r="G1654" s="11">
        <v>14</v>
      </c>
      <c r="H1654" s="11">
        <v>0.44</v>
      </c>
      <c r="I1654" s="11" t="s">
        <v>15</v>
      </c>
      <c r="J1654" s="11">
        <v>34</v>
      </c>
      <c r="K1654" s="11">
        <v>0</v>
      </c>
      <c r="L1654" s="11">
        <v>0</v>
      </c>
      <c r="M1654" s="11">
        <v>0</v>
      </c>
      <c r="N1654" s="11">
        <v>0</v>
      </c>
      <c r="O1654" s="12" t="str">
        <f t="shared" si="25"/>
        <v>30 - 39</v>
      </c>
    </row>
    <row r="1655" spans="1:15" x14ac:dyDescent="0.35">
      <c r="A1655" s="12">
        <v>6482</v>
      </c>
      <c r="B1655" s="12" t="s">
        <v>20</v>
      </c>
      <c r="C1655" s="12">
        <v>47</v>
      </c>
      <c r="D1655" s="12" t="s">
        <v>26</v>
      </c>
      <c r="E1655" s="12" t="s">
        <v>14</v>
      </c>
      <c r="F1655" s="12">
        <v>18</v>
      </c>
      <c r="G1655" s="12">
        <v>22</v>
      </c>
      <c r="H1655" s="12">
        <v>0.59</v>
      </c>
      <c r="I1655" s="12" t="s">
        <v>23</v>
      </c>
      <c r="J1655" s="12">
        <v>43</v>
      </c>
      <c r="K1655" s="12">
        <v>0</v>
      </c>
      <c r="L1655" s="12">
        <v>0</v>
      </c>
      <c r="M1655" s="12">
        <v>0</v>
      </c>
      <c r="N1655" s="12">
        <v>0</v>
      </c>
      <c r="O1655" s="12" t="str">
        <f t="shared" si="25"/>
        <v>40 - 49</v>
      </c>
    </row>
    <row r="1656" spans="1:15" x14ac:dyDescent="0.35">
      <c r="A1656" s="11">
        <v>6484</v>
      </c>
      <c r="B1656" s="11" t="s">
        <v>12</v>
      </c>
      <c r="C1656" s="11">
        <v>44</v>
      </c>
      <c r="D1656" s="11" t="s">
        <v>29</v>
      </c>
      <c r="E1656" s="11" t="s">
        <v>14</v>
      </c>
      <c r="F1656" s="11">
        <v>75</v>
      </c>
      <c r="G1656" s="11">
        <v>21</v>
      </c>
      <c r="H1656" s="11">
        <v>0.17</v>
      </c>
      <c r="I1656" s="11" t="s">
        <v>23</v>
      </c>
      <c r="J1656" s="11">
        <v>19</v>
      </c>
      <c r="K1656" s="11">
        <v>0</v>
      </c>
      <c r="L1656" s="11">
        <v>0</v>
      </c>
      <c r="M1656" s="11">
        <v>0</v>
      </c>
      <c r="N1656" s="11">
        <v>0</v>
      </c>
      <c r="O1656" s="12" t="str">
        <f t="shared" si="25"/>
        <v>10 - 19</v>
      </c>
    </row>
    <row r="1657" spans="1:15" x14ac:dyDescent="0.35">
      <c r="A1657" s="12">
        <v>6489</v>
      </c>
      <c r="B1657" s="12" t="s">
        <v>12</v>
      </c>
      <c r="C1657" s="12">
        <v>48</v>
      </c>
      <c r="D1657" s="12" t="s">
        <v>21</v>
      </c>
      <c r="E1657" s="12" t="s">
        <v>14</v>
      </c>
      <c r="F1657" s="12">
        <v>168</v>
      </c>
      <c r="G1657" s="12">
        <v>25</v>
      </c>
      <c r="H1657" s="12">
        <v>0.19</v>
      </c>
      <c r="I1657" s="12" t="s">
        <v>19</v>
      </c>
      <c r="J1657" s="12">
        <v>38</v>
      </c>
      <c r="K1657" s="12">
        <v>0</v>
      </c>
      <c r="L1657" s="12">
        <v>0</v>
      </c>
      <c r="M1657" s="12">
        <v>0</v>
      </c>
      <c r="N1657" s="12">
        <v>0</v>
      </c>
      <c r="O1657" s="12" t="str">
        <f t="shared" si="25"/>
        <v>30 - 39</v>
      </c>
    </row>
    <row r="1658" spans="1:15" x14ac:dyDescent="0.35">
      <c r="A1658" s="11">
        <v>6497</v>
      </c>
      <c r="B1658" s="11" t="s">
        <v>20</v>
      </c>
      <c r="C1658" s="11">
        <v>40</v>
      </c>
      <c r="D1658" s="11" t="s">
        <v>21</v>
      </c>
      <c r="E1658" s="11" t="s">
        <v>14</v>
      </c>
      <c r="F1658" s="11">
        <v>296</v>
      </c>
      <c r="G1658" s="11">
        <v>41</v>
      </c>
      <c r="H1658" s="11">
        <v>0.23</v>
      </c>
      <c r="I1658" s="11" t="s">
        <v>15</v>
      </c>
      <c r="J1658" s="11">
        <v>13</v>
      </c>
      <c r="K1658" s="11">
        <v>0</v>
      </c>
      <c r="L1658" s="11">
        <v>0</v>
      </c>
      <c r="M1658" s="11">
        <v>0</v>
      </c>
      <c r="N1658" s="11">
        <v>0</v>
      </c>
      <c r="O1658" s="12" t="str">
        <f t="shared" si="25"/>
        <v>10 - 19</v>
      </c>
    </row>
    <row r="1659" spans="1:15" x14ac:dyDescent="0.35">
      <c r="A1659" s="12">
        <v>6509</v>
      </c>
      <c r="B1659" s="12" t="s">
        <v>12</v>
      </c>
      <c r="C1659" s="12">
        <v>53</v>
      </c>
      <c r="D1659" s="12" t="s">
        <v>27</v>
      </c>
      <c r="E1659" s="12" t="s">
        <v>14</v>
      </c>
      <c r="F1659" s="12">
        <v>12</v>
      </c>
      <c r="G1659" s="12">
        <v>90</v>
      </c>
      <c r="H1659" s="12">
        <v>0.09</v>
      </c>
      <c r="I1659" s="12" t="s">
        <v>23</v>
      </c>
      <c r="J1659" s="12">
        <v>39</v>
      </c>
      <c r="K1659" s="12">
        <v>0</v>
      </c>
      <c r="L1659" s="12">
        <v>0</v>
      </c>
      <c r="M1659" s="12">
        <v>0</v>
      </c>
      <c r="N1659" s="12">
        <v>0</v>
      </c>
      <c r="O1659" s="12" t="str">
        <f t="shared" si="25"/>
        <v>30 - 39</v>
      </c>
    </row>
    <row r="1660" spans="1:15" x14ac:dyDescent="0.35">
      <c r="A1660" s="11">
        <v>6511</v>
      </c>
      <c r="B1660" s="11" t="s">
        <v>16</v>
      </c>
      <c r="C1660" s="11">
        <v>20</v>
      </c>
      <c r="D1660" s="11" t="s">
        <v>25</v>
      </c>
      <c r="E1660" s="11" t="s">
        <v>14</v>
      </c>
      <c r="F1660" s="11">
        <v>290</v>
      </c>
      <c r="G1660" s="11">
        <v>44</v>
      </c>
      <c r="H1660" s="11">
        <v>0.05</v>
      </c>
      <c r="I1660" s="11" t="s">
        <v>19</v>
      </c>
      <c r="J1660" s="11">
        <v>20</v>
      </c>
      <c r="K1660" s="11">
        <v>0</v>
      </c>
      <c r="L1660" s="11">
        <v>0</v>
      </c>
      <c r="M1660" s="11">
        <v>0</v>
      </c>
      <c r="N1660" s="11">
        <v>0</v>
      </c>
      <c r="O1660" s="12" t="str">
        <f t="shared" si="25"/>
        <v>20 - 29</v>
      </c>
    </row>
    <row r="1661" spans="1:15" x14ac:dyDescent="0.35">
      <c r="A1661" s="12">
        <v>6512</v>
      </c>
      <c r="B1661" s="12" t="s">
        <v>16</v>
      </c>
      <c r="C1661" s="12">
        <v>20</v>
      </c>
      <c r="D1661" s="12" t="s">
        <v>25</v>
      </c>
      <c r="E1661" s="12" t="s">
        <v>14</v>
      </c>
      <c r="F1661" s="12">
        <v>123</v>
      </c>
      <c r="G1661" s="12">
        <v>80</v>
      </c>
      <c r="H1661" s="12">
        <v>0.33</v>
      </c>
      <c r="I1661" s="12" t="s">
        <v>19</v>
      </c>
      <c r="J1661" s="12">
        <v>22</v>
      </c>
      <c r="K1661" s="12">
        <v>0</v>
      </c>
      <c r="L1661" s="12">
        <v>0</v>
      </c>
      <c r="M1661" s="12">
        <v>0</v>
      </c>
      <c r="N1661" s="12">
        <v>0</v>
      </c>
      <c r="O1661" s="12" t="str">
        <f t="shared" si="25"/>
        <v>20 - 29</v>
      </c>
    </row>
    <row r="1662" spans="1:15" x14ac:dyDescent="0.35">
      <c r="A1662" s="11">
        <v>6513</v>
      </c>
      <c r="B1662" s="11" t="s">
        <v>12</v>
      </c>
      <c r="C1662" s="11">
        <v>40</v>
      </c>
      <c r="D1662" s="11" t="s">
        <v>28</v>
      </c>
      <c r="E1662" s="11" t="s">
        <v>14</v>
      </c>
      <c r="F1662" s="11">
        <v>174</v>
      </c>
      <c r="G1662" s="11">
        <v>12</v>
      </c>
      <c r="H1662" s="11">
        <v>0.2</v>
      </c>
      <c r="I1662" s="11" t="s">
        <v>15</v>
      </c>
      <c r="J1662" s="11">
        <v>15</v>
      </c>
      <c r="K1662" s="11">
        <v>0</v>
      </c>
      <c r="L1662" s="11">
        <v>1</v>
      </c>
      <c r="M1662" s="11">
        <v>0</v>
      </c>
      <c r="N1662" s="11">
        <v>0</v>
      </c>
      <c r="O1662" s="12" t="str">
        <f t="shared" si="25"/>
        <v>10 - 19</v>
      </c>
    </row>
    <row r="1663" spans="1:15" x14ac:dyDescent="0.35">
      <c r="A1663" s="12">
        <v>6522</v>
      </c>
      <c r="B1663" s="12" t="s">
        <v>12</v>
      </c>
      <c r="C1663" s="12">
        <v>18</v>
      </c>
      <c r="D1663" s="12" t="s">
        <v>29</v>
      </c>
      <c r="E1663" s="12" t="s">
        <v>14</v>
      </c>
      <c r="F1663" s="12">
        <v>146</v>
      </c>
      <c r="G1663" s="12">
        <v>85</v>
      </c>
      <c r="H1663" s="12">
        <v>0.51</v>
      </c>
      <c r="I1663" s="12" t="s">
        <v>15</v>
      </c>
      <c r="J1663" s="12">
        <v>19</v>
      </c>
      <c r="K1663" s="12">
        <v>0</v>
      </c>
      <c r="L1663" s="12">
        <v>0</v>
      </c>
      <c r="M1663" s="12">
        <v>0</v>
      </c>
      <c r="N1663" s="12">
        <v>0</v>
      </c>
      <c r="O1663" s="12" t="str">
        <f t="shared" si="25"/>
        <v>10 - 19</v>
      </c>
    </row>
    <row r="1664" spans="1:15" x14ac:dyDescent="0.35">
      <c r="A1664" s="11">
        <v>6523</v>
      </c>
      <c r="B1664" s="11" t="s">
        <v>16</v>
      </c>
      <c r="C1664" s="11">
        <v>43</v>
      </c>
      <c r="D1664" s="11" t="s">
        <v>27</v>
      </c>
      <c r="E1664" s="11" t="s">
        <v>14</v>
      </c>
      <c r="F1664" s="11">
        <v>105</v>
      </c>
      <c r="G1664" s="11">
        <v>66</v>
      </c>
      <c r="H1664" s="11">
        <v>0.48</v>
      </c>
      <c r="I1664" s="11" t="s">
        <v>15</v>
      </c>
      <c r="J1664" s="11">
        <v>36</v>
      </c>
      <c r="K1664" s="11">
        <v>0</v>
      </c>
      <c r="L1664" s="11">
        <v>0</v>
      </c>
      <c r="M1664" s="11">
        <v>0</v>
      </c>
      <c r="N1664" s="11">
        <v>0</v>
      </c>
      <c r="O1664" s="12" t="str">
        <f t="shared" si="25"/>
        <v>30 - 39</v>
      </c>
    </row>
    <row r="1665" spans="1:15" x14ac:dyDescent="0.35">
      <c r="A1665" s="12">
        <v>6530</v>
      </c>
      <c r="B1665" s="12" t="s">
        <v>12</v>
      </c>
      <c r="C1665" s="12">
        <v>18</v>
      </c>
      <c r="D1665" s="12" t="s">
        <v>13</v>
      </c>
      <c r="E1665" s="12" t="s">
        <v>14</v>
      </c>
      <c r="F1665" s="12">
        <v>54</v>
      </c>
      <c r="G1665" s="12">
        <v>38</v>
      </c>
      <c r="H1665" s="12">
        <v>0.56000000000000005</v>
      </c>
      <c r="I1665" s="12" t="s">
        <v>23</v>
      </c>
      <c r="J1665" s="12">
        <v>30</v>
      </c>
      <c r="K1665" s="12">
        <v>0</v>
      </c>
      <c r="L1665" s="12">
        <v>0</v>
      </c>
      <c r="M1665" s="12">
        <v>0</v>
      </c>
      <c r="N1665" s="12">
        <v>0</v>
      </c>
      <c r="O1665" s="12" t="str">
        <f t="shared" si="25"/>
        <v>30 - 39</v>
      </c>
    </row>
    <row r="1666" spans="1:15" x14ac:dyDescent="0.35">
      <c r="A1666" s="11">
        <v>6531</v>
      </c>
      <c r="B1666" s="11" t="s">
        <v>16</v>
      </c>
      <c r="C1666" s="11">
        <v>26</v>
      </c>
      <c r="D1666" s="11" t="s">
        <v>13</v>
      </c>
      <c r="E1666" s="11" t="s">
        <v>14</v>
      </c>
      <c r="F1666" s="11">
        <v>23</v>
      </c>
      <c r="G1666" s="11">
        <v>87</v>
      </c>
      <c r="H1666" s="11">
        <v>0.11</v>
      </c>
      <c r="I1666" s="11" t="s">
        <v>23</v>
      </c>
      <c r="J1666" s="11">
        <v>27</v>
      </c>
      <c r="K1666" s="11">
        <v>0</v>
      </c>
      <c r="L1666" s="11">
        <v>0</v>
      </c>
      <c r="M1666" s="11">
        <v>0</v>
      </c>
      <c r="N1666" s="11">
        <v>0</v>
      </c>
      <c r="O1666" s="12" t="str">
        <f t="shared" ref="O1666:O1729" si="26">_xlfn.FLOOR.MATH(J1666, 10) &amp; " - " &amp; (_xlfn.FLOOR.MATH(J1666, 10) + 9)</f>
        <v>20 - 29</v>
      </c>
    </row>
    <row r="1667" spans="1:15" x14ac:dyDescent="0.35">
      <c r="A1667" s="12">
        <v>6534</v>
      </c>
      <c r="B1667" s="12" t="s">
        <v>20</v>
      </c>
      <c r="C1667" s="12">
        <v>24</v>
      </c>
      <c r="D1667" s="12" t="s">
        <v>17</v>
      </c>
      <c r="E1667" s="12" t="s">
        <v>14</v>
      </c>
      <c r="F1667" s="12">
        <v>52</v>
      </c>
      <c r="G1667" s="12">
        <v>21</v>
      </c>
      <c r="H1667" s="12">
        <v>0.52</v>
      </c>
      <c r="I1667" s="12" t="s">
        <v>23</v>
      </c>
      <c r="J1667" s="12">
        <v>5</v>
      </c>
      <c r="K1667" s="12">
        <v>0</v>
      </c>
      <c r="L1667" s="12">
        <v>0</v>
      </c>
      <c r="M1667" s="12">
        <v>0</v>
      </c>
      <c r="N1667" s="12">
        <v>0</v>
      </c>
      <c r="O1667" s="12" t="str">
        <f t="shared" si="26"/>
        <v>0 - 9</v>
      </c>
    </row>
    <row r="1668" spans="1:15" x14ac:dyDescent="0.35">
      <c r="A1668" s="11">
        <v>6548</v>
      </c>
      <c r="B1668" s="11" t="s">
        <v>12</v>
      </c>
      <c r="C1668" s="11">
        <v>53</v>
      </c>
      <c r="D1668" s="11" t="s">
        <v>27</v>
      </c>
      <c r="E1668" s="11" t="s">
        <v>14</v>
      </c>
      <c r="F1668" s="11">
        <v>95</v>
      </c>
      <c r="G1668" s="11">
        <v>88</v>
      </c>
      <c r="H1668" s="11">
        <v>0.31</v>
      </c>
      <c r="I1668" s="11" t="s">
        <v>23</v>
      </c>
      <c r="J1668" s="11">
        <v>13</v>
      </c>
      <c r="K1668" s="11">
        <v>0</v>
      </c>
      <c r="L1668" s="11">
        <v>0</v>
      </c>
      <c r="M1668" s="11">
        <v>0</v>
      </c>
      <c r="N1668" s="11">
        <v>0</v>
      </c>
      <c r="O1668" s="12" t="str">
        <f t="shared" si="26"/>
        <v>10 - 19</v>
      </c>
    </row>
    <row r="1669" spans="1:15" x14ac:dyDescent="0.35">
      <c r="A1669" s="12">
        <v>6551</v>
      </c>
      <c r="B1669" s="12" t="s">
        <v>16</v>
      </c>
      <c r="C1669" s="12">
        <v>31</v>
      </c>
      <c r="D1669" s="12" t="s">
        <v>26</v>
      </c>
      <c r="E1669" s="12" t="s">
        <v>14</v>
      </c>
      <c r="F1669" s="12">
        <v>160</v>
      </c>
      <c r="G1669" s="12">
        <v>35</v>
      </c>
      <c r="H1669" s="12">
        <v>0.52</v>
      </c>
      <c r="I1669" s="12" t="s">
        <v>15</v>
      </c>
      <c r="J1669" s="12">
        <v>8</v>
      </c>
      <c r="K1669" s="12">
        <v>0</v>
      </c>
      <c r="L1669" s="12">
        <v>0</v>
      </c>
      <c r="M1669" s="12">
        <v>0</v>
      </c>
      <c r="N1669" s="12">
        <v>0</v>
      </c>
      <c r="O1669" s="12" t="str">
        <f t="shared" si="26"/>
        <v>0 - 9</v>
      </c>
    </row>
    <row r="1670" spans="1:15" x14ac:dyDescent="0.35">
      <c r="A1670" s="11">
        <v>6554</v>
      </c>
      <c r="B1670" s="11" t="s">
        <v>16</v>
      </c>
      <c r="C1670" s="11">
        <v>53</v>
      </c>
      <c r="D1670" s="11" t="s">
        <v>29</v>
      </c>
      <c r="E1670" s="11" t="s">
        <v>14</v>
      </c>
      <c r="F1670" s="11">
        <v>49</v>
      </c>
      <c r="G1670" s="11">
        <v>70</v>
      </c>
      <c r="H1670" s="11">
        <v>0.11</v>
      </c>
      <c r="I1670" s="11" t="s">
        <v>15</v>
      </c>
      <c r="J1670" s="11">
        <v>24</v>
      </c>
      <c r="K1670" s="11">
        <v>0</v>
      </c>
      <c r="L1670" s="11">
        <v>0</v>
      </c>
      <c r="M1670" s="11">
        <v>0</v>
      </c>
      <c r="N1670" s="11">
        <v>0</v>
      </c>
      <c r="O1670" s="12" t="str">
        <f t="shared" si="26"/>
        <v>20 - 29</v>
      </c>
    </row>
    <row r="1671" spans="1:15" x14ac:dyDescent="0.35">
      <c r="A1671" s="12">
        <v>6556</v>
      </c>
      <c r="B1671" s="12" t="s">
        <v>20</v>
      </c>
      <c r="C1671" s="12">
        <v>30</v>
      </c>
      <c r="D1671" s="12" t="s">
        <v>25</v>
      </c>
      <c r="E1671" s="12" t="s">
        <v>14</v>
      </c>
      <c r="F1671" s="12">
        <v>81</v>
      </c>
      <c r="G1671" s="12">
        <v>30</v>
      </c>
      <c r="H1671" s="12">
        <v>0.35</v>
      </c>
      <c r="I1671" s="12" t="s">
        <v>19</v>
      </c>
      <c r="J1671" s="12">
        <v>42</v>
      </c>
      <c r="K1671" s="12">
        <v>0</v>
      </c>
      <c r="L1671" s="12">
        <v>0</v>
      </c>
      <c r="M1671" s="12">
        <v>0</v>
      </c>
      <c r="N1671" s="12">
        <v>0</v>
      </c>
      <c r="O1671" s="12" t="str">
        <f t="shared" si="26"/>
        <v>40 - 49</v>
      </c>
    </row>
    <row r="1672" spans="1:15" x14ac:dyDescent="0.35">
      <c r="A1672" s="11">
        <v>6565</v>
      </c>
      <c r="B1672" s="11" t="s">
        <v>20</v>
      </c>
      <c r="C1672" s="11">
        <v>25</v>
      </c>
      <c r="D1672" s="11" t="s">
        <v>26</v>
      </c>
      <c r="E1672" s="11" t="s">
        <v>14</v>
      </c>
      <c r="F1672" s="11">
        <v>164</v>
      </c>
      <c r="G1672" s="11">
        <v>32</v>
      </c>
      <c r="H1672" s="11">
        <v>0.2</v>
      </c>
      <c r="I1672" s="11" t="s">
        <v>23</v>
      </c>
      <c r="J1672" s="11">
        <v>25</v>
      </c>
      <c r="K1672" s="11">
        <v>0</v>
      </c>
      <c r="L1672" s="11">
        <v>0</v>
      </c>
      <c r="M1672" s="11">
        <v>0</v>
      </c>
      <c r="N1672" s="11">
        <v>0</v>
      </c>
      <c r="O1672" s="12" t="str">
        <f t="shared" si="26"/>
        <v>20 - 29</v>
      </c>
    </row>
    <row r="1673" spans="1:15" x14ac:dyDescent="0.35">
      <c r="A1673" s="12">
        <v>6574</v>
      </c>
      <c r="B1673" s="12" t="s">
        <v>16</v>
      </c>
      <c r="C1673" s="12">
        <v>46</v>
      </c>
      <c r="D1673" s="12" t="s">
        <v>17</v>
      </c>
      <c r="E1673" s="12" t="s">
        <v>14</v>
      </c>
      <c r="F1673" s="12">
        <v>273</v>
      </c>
      <c r="G1673" s="12">
        <v>61</v>
      </c>
      <c r="H1673" s="12">
        <v>0.15</v>
      </c>
      <c r="I1673" s="12" t="s">
        <v>23</v>
      </c>
      <c r="J1673" s="12">
        <v>9</v>
      </c>
      <c r="K1673" s="12">
        <v>0</v>
      </c>
      <c r="L1673" s="12">
        <v>0</v>
      </c>
      <c r="M1673" s="12">
        <v>0</v>
      </c>
      <c r="N1673" s="12">
        <v>0</v>
      </c>
      <c r="O1673" s="12" t="str">
        <f t="shared" si="26"/>
        <v>0 - 9</v>
      </c>
    </row>
    <row r="1674" spans="1:15" x14ac:dyDescent="0.35">
      <c r="A1674" s="11">
        <v>6591</v>
      </c>
      <c r="B1674" s="11" t="s">
        <v>20</v>
      </c>
      <c r="C1674" s="11">
        <v>55</v>
      </c>
      <c r="D1674" s="11" t="s">
        <v>17</v>
      </c>
      <c r="E1674" s="11" t="s">
        <v>14</v>
      </c>
      <c r="F1674" s="11">
        <v>236</v>
      </c>
      <c r="G1674" s="11">
        <v>48</v>
      </c>
      <c r="H1674" s="11">
        <v>0.25</v>
      </c>
      <c r="I1674" s="11" t="s">
        <v>19</v>
      </c>
      <c r="J1674" s="11">
        <v>8</v>
      </c>
      <c r="K1674" s="11">
        <v>0</v>
      </c>
      <c r="L1674" s="11">
        <v>0</v>
      </c>
      <c r="M1674" s="11">
        <v>0</v>
      </c>
      <c r="N1674" s="11">
        <v>0</v>
      </c>
      <c r="O1674" s="12" t="str">
        <f t="shared" si="26"/>
        <v>0 - 9</v>
      </c>
    </row>
    <row r="1675" spans="1:15" x14ac:dyDescent="0.35">
      <c r="A1675" s="12">
        <v>6601</v>
      </c>
      <c r="B1675" s="12" t="s">
        <v>20</v>
      </c>
      <c r="C1675" s="12">
        <v>16</v>
      </c>
      <c r="D1675" s="12" t="s">
        <v>13</v>
      </c>
      <c r="E1675" s="12" t="s">
        <v>14</v>
      </c>
      <c r="F1675" s="12">
        <v>97</v>
      </c>
      <c r="G1675" s="12">
        <v>5</v>
      </c>
      <c r="H1675" s="12">
        <v>0.6</v>
      </c>
      <c r="I1675" s="12" t="s">
        <v>23</v>
      </c>
      <c r="J1675" s="12">
        <v>32</v>
      </c>
      <c r="K1675" s="12">
        <v>0</v>
      </c>
      <c r="L1675" s="12">
        <v>0</v>
      </c>
      <c r="M1675" s="12">
        <v>0</v>
      </c>
      <c r="N1675" s="12">
        <v>0</v>
      </c>
      <c r="O1675" s="12" t="str">
        <f t="shared" si="26"/>
        <v>30 - 39</v>
      </c>
    </row>
    <row r="1676" spans="1:15" x14ac:dyDescent="0.35">
      <c r="A1676" s="11">
        <v>6603</v>
      </c>
      <c r="B1676" s="11" t="s">
        <v>12</v>
      </c>
      <c r="C1676" s="11">
        <v>36</v>
      </c>
      <c r="D1676" s="11" t="s">
        <v>25</v>
      </c>
      <c r="E1676" s="11" t="s">
        <v>14</v>
      </c>
      <c r="F1676" s="11">
        <v>133</v>
      </c>
      <c r="G1676" s="11">
        <v>88</v>
      </c>
      <c r="H1676" s="11">
        <v>0.5</v>
      </c>
      <c r="I1676" s="11" t="s">
        <v>15</v>
      </c>
      <c r="J1676" s="11">
        <v>49</v>
      </c>
      <c r="K1676" s="11">
        <v>0</v>
      </c>
      <c r="L1676" s="11">
        <v>0</v>
      </c>
      <c r="M1676" s="11">
        <v>0</v>
      </c>
      <c r="N1676" s="11">
        <v>0</v>
      </c>
      <c r="O1676" s="12" t="str">
        <f t="shared" si="26"/>
        <v>40 - 49</v>
      </c>
    </row>
    <row r="1677" spans="1:15" x14ac:dyDescent="0.35">
      <c r="A1677" s="12">
        <v>6617</v>
      </c>
      <c r="B1677" s="12" t="s">
        <v>20</v>
      </c>
      <c r="C1677" s="12">
        <v>19</v>
      </c>
      <c r="D1677" s="12" t="s">
        <v>26</v>
      </c>
      <c r="E1677" s="12" t="s">
        <v>14</v>
      </c>
      <c r="F1677" s="12">
        <v>24</v>
      </c>
      <c r="G1677" s="12">
        <v>60</v>
      </c>
      <c r="H1677" s="12">
        <v>0.1</v>
      </c>
      <c r="I1677" s="12" t="s">
        <v>23</v>
      </c>
      <c r="J1677" s="12">
        <v>26</v>
      </c>
      <c r="K1677" s="12">
        <v>0</v>
      </c>
      <c r="L1677" s="12">
        <v>0</v>
      </c>
      <c r="M1677" s="12">
        <v>0</v>
      </c>
      <c r="N1677" s="12">
        <v>0</v>
      </c>
      <c r="O1677" s="12" t="str">
        <f t="shared" si="26"/>
        <v>20 - 29</v>
      </c>
    </row>
    <row r="1678" spans="1:15" x14ac:dyDescent="0.35">
      <c r="A1678" s="11">
        <v>6618</v>
      </c>
      <c r="B1678" s="11" t="s">
        <v>20</v>
      </c>
      <c r="C1678" s="11">
        <v>19</v>
      </c>
      <c r="D1678" s="11" t="s">
        <v>26</v>
      </c>
      <c r="E1678" s="11" t="s">
        <v>14</v>
      </c>
      <c r="F1678" s="11">
        <v>241</v>
      </c>
      <c r="G1678" s="11">
        <v>20</v>
      </c>
      <c r="H1678" s="11">
        <v>0.56999999999999995</v>
      </c>
      <c r="I1678" s="11" t="s">
        <v>23</v>
      </c>
      <c r="J1678" s="11">
        <v>26</v>
      </c>
      <c r="K1678" s="11">
        <v>0</v>
      </c>
      <c r="L1678" s="11">
        <v>0</v>
      </c>
      <c r="M1678" s="11">
        <v>0</v>
      </c>
      <c r="N1678" s="11">
        <v>0</v>
      </c>
      <c r="O1678" s="12" t="str">
        <f t="shared" si="26"/>
        <v>20 - 29</v>
      </c>
    </row>
    <row r="1679" spans="1:15" x14ac:dyDescent="0.35">
      <c r="A1679" s="12">
        <v>6635</v>
      </c>
      <c r="B1679" s="12" t="s">
        <v>12</v>
      </c>
      <c r="C1679" s="12">
        <v>30</v>
      </c>
      <c r="D1679" s="12" t="s">
        <v>13</v>
      </c>
      <c r="E1679" s="12" t="s">
        <v>14</v>
      </c>
      <c r="F1679" s="12">
        <v>146</v>
      </c>
      <c r="G1679" s="12">
        <v>93</v>
      </c>
      <c r="H1679" s="12">
        <v>0.33</v>
      </c>
      <c r="I1679" s="12" t="s">
        <v>19</v>
      </c>
      <c r="J1679" s="12">
        <v>28</v>
      </c>
      <c r="K1679" s="12">
        <v>0</v>
      </c>
      <c r="L1679" s="12">
        <v>0</v>
      </c>
      <c r="M1679" s="12">
        <v>0</v>
      </c>
      <c r="N1679" s="12">
        <v>0</v>
      </c>
      <c r="O1679" s="12" t="str">
        <f t="shared" si="26"/>
        <v>20 - 29</v>
      </c>
    </row>
    <row r="1680" spans="1:15" x14ac:dyDescent="0.35">
      <c r="A1680" s="11">
        <v>6640</v>
      </c>
      <c r="B1680" s="11" t="s">
        <v>20</v>
      </c>
      <c r="C1680" s="11">
        <v>58</v>
      </c>
      <c r="D1680" s="11" t="s">
        <v>17</v>
      </c>
      <c r="E1680" s="11" t="s">
        <v>14</v>
      </c>
      <c r="F1680" s="11">
        <v>206</v>
      </c>
      <c r="G1680" s="11">
        <v>11</v>
      </c>
      <c r="H1680" s="11">
        <v>0.56000000000000005</v>
      </c>
      <c r="I1680" s="11" t="s">
        <v>15</v>
      </c>
      <c r="J1680" s="11">
        <v>8</v>
      </c>
      <c r="K1680" s="11">
        <v>0</v>
      </c>
      <c r="L1680" s="11">
        <v>0</v>
      </c>
      <c r="M1680" s="11">
        <v>0</v>
      </c>
      <c r="N1680" s="11">
        <v>0</v>
      </c>
      <c r="O1680" s="12" t="str">
        <f t="shared" si="26"/>
        <v>0 - 9</v>
      </c>
    </row>
    <row r="1681" spans="1:15" x14ac:dyDescent="0.35">
      <c r="A1681" s="12">
        <v>6641</v>
      </c>
      <c r="B1681" s="12" t="s">
        <v>12</v>
      </c>
      <c r="C1681" s="12">
        <v>55</v>
      </c>
      <c r="D1681" s="12" t="s">
        <v>29</v>
      </c>
      <c r="E1681" s="12" t="s">
        <v>14</v>
      </c>
      <c r="F1681" s="12">
        <v>127</v>
      </c>
      <c r="G1681" s="12">
        <v>81</v>
      </c>
      <c r="H1681" s="12">
        <v>0</v>
      </c>
      <c r="I1681" s="12" t="s">
        <v>23</v>
      </c>
      <c r="J1681" s="12">
        <v>47</v>
      </c>
      <c r="K1681" s="12">
        <v>0</v>
      </c>
      <c r="L1681" s="12">
        <v>0</v>
      </c>
      <c r="M1681" s="12">
        <v>0</v>
      </c>
      <c r="N1681" s="12">
        <v>0</v>
      </c>
      <c r="O1681" s="12" t="str">
        <f t="shared" si="26"/>
        <v>40 - 49</v>
      </c>
    </row>
    <row r="1682" spans="1:15" x14ac:dyDescent="0.35">
      <c r="A1682" s="11">
        <v>6648</v>
      </c>
      <c r="B1682" s="11" t="s">
        <v>20</v>
      </c>
      <c r="C1682" s="11">
        <v>26</v>
      </c>
      <c r="D1682" s="11" t="s">
        <v>21</v>
      </c>
      <c r="E1682" s="11" t="s">
        <v>14</v>
      </c>
      <c r="F1682" s="11">
        <v>210</v>
      </c>
      <c r="G1682" s="11">
        <v>81</v>
      </c>
      <c r="H1682" s="11">
        <v>0.53</v>
      </c>
      <c r="I1682" s="11" t="s">
        <v>19</v>
      </c>
      <c r="J1682" s="11">
        <v>14</v>
      </c>
      <c r="K1682" s="11">
        <v>0</v>
      </c>
      <c r="L1682" s="11">
        <v>0</v>
      </c>
      <c r="M1682" s="11">
        <v>0</v>
      </c>
      <c r="N1682" s="11">
        <v>0</v>
      </c>
      <c r="O1682" s="12" t="str">
        <f t="shared" si="26"/>
        <v>10 - 19</v>
      </c>
    </row>
    <row r="1683" spans="1:15" x14ac:dyDescent="0.35">
      <c r="A1683" s="12">
        <v>6652</v>
      </c>
      <c r="B1683" s="12" t="s">
        <v>16</v>
      </c>
      <c r="C1683" s="12">
        <v>28</v>
      </c>
      <c r="D1683" s="12" t="s">
        <v>27</v>
      </c>
      <c r="E1683" s="12" t="s">
        <v>14</v>
      </c>
      <c r="F1683" s="12">
        <v>268</v>
      </c>
      <c r="G1683" s="12">
        <v>48</v>
      </c>
      <c r="H1683" s="12">
        <v>7.0000000000000007E-2</v>
      </c>
      <c r="I1683" s="12" t="s">
        <v>15</v>
      </c>
      <c r="J1683" s="12">
        <v>43</v>
      </c>
      <c r="K1683" s="12">
        <v>0</v>
      </c>
      <c r="L1683" s="12">
        <v>0</v>
      </c>
      <c r="M1683" s="12">
        <v>0</v>
      </c>
      <c r="N1683" s="12">
        <v>0</v>
      </c>
      <c r="O1683" s="12" t="str">
        <f t="shared" si="26"/>
        <v>40 - 49</v>
      </c>
    </row>
    <row r="1684" spans="1:15" x14ac:dyDescent="0.35">
      <c r="A1684" s="11">
        <v>6661</v>
      </c>
      <c r="B1684" s="11" t="s">
        <v>12</v>
      </c>
      <c r="C1684" s="11">
        <v>32</v>
      </c>
      <c r="D1684" s="11" t="s">
        <v>17</v>
      </c>
      <c r="E1684" s="11" t="s">
        <v>14</v>
      </c>
      <c r="F1684" s="11">
        <v>100</v>
      </c>
      <c r="G1684" s="11">
        <v>37</v>
      </c>
      <c r="H1684" s="11">
        <v>0.04</v>
      </c>
      <c r="I1684" s="11" t="s">
        <v>15</v>
      </c>
      <c r="J1684" s="11">
        <v>21</v>
      </c>
      <c r="K1684" s="11">
        <v>0</v>
      </c>
      <c r="L1684" s="11">
        <v>1</v>
      </c>
      <c r="M1684" s="11">
        <v>0</v>
      </c>
      <c r="N1684" s="11">
        <v>0</v>
      </c>
      <c r="O1684" s="12" t="str">
        <f t="shared" si="26"/>
        <v>20 - 29</v>
      </c>
    </row>
    <row r="1685" spans="1:15" x14ac:dyDescent="0.35">
      <c r="A1685" s="12">
        <v>6665</v>
      </c>
      <c r="B1685" s="12" t="s">
        <v>12</v>
      </c>
      <c r="C1685" s="12">
        <v>58</v>
      </c>
      <c r="D1685" s="12" t="s">
        <v>26</v>
      </c>
      <c r="E1685" s="12" t="s">
        <v>14</v>
      </c>
      <c r="F1685" s="12">
        <v>25</v>
      </c>
      <c r="G1685" s="12">
        <v>94</v>
      </c>
      <c r="H1685" s="12">
        <v>0.08</v>
      </c>
      <c r="I1685" s="12" t="s">
        <v>15</v>
      </c>
      <c r="J1685" s="12">
        <v>42</v>
      </c>
      <c r="K1685" s="12">
        <v>0</v>
      </c>
      <c r="L1685" s="12">
        <v>0</v>
      </c>
      <c r="M1685" s="12">
        <v>0</v>
      </c>
      <c r="N1685" s="12">
        <v>0</v>
      </c>
      <c r="O1685" s="12" t="str">
        <f t="shared" si="26"/>
        <v>40 - 49</v>
      </c>
    </row>
    <row r="1686" spans="1:15" x14ac:dyDescent="0.35">
      <c r="A1686" s="11">
        <v>6666</v>
      </c>
      <c r="B1686" s="11" t="s">
        <v>16</v>
      </c>
      <c r="C1686" s="11">
        <v>37</v>
      </c>
      <c r="D1686" s="11" t="s">
        <v>17</v>
      </c>
      <c r="E1686" s="11" t="s">
        <v>14</v>
      </c>
      <c r="F1686" s="11">
        <v>296</v>
      </c>
      <c r="G1686" s="11">
        <v>34</v>
      </c>
      <c r="H1686" s="11">
        <v>0.01</v>
      </c>
      <c r="I1686" s="11" t="s">
        <v>15</v>
      </c>
      <c r="J1686" s="11">
        <v>46</v>
      </c>
      <c r="K1686" s="11">
        <v>0</v>
      </c>
      <c r="L1686" s="11">
        <v>1</v>
      </c>
      <c r="M1686" s="11">
        <v>0</v>
      </c>
      <c r="N1686" s="11">
        <v>0</v>
      </c>
      <c r="O1686" s="12" t="str">
        <f t="shared" si="26"/>
        <v>40 - 49</v>
      </c>
    </row>
    <row r="1687" spans="1:15" x14ac:dyDescent="0.35">
      <c r="A1687" s="12">
        <v>6671</v>
      </c>
      <c r="B1687" s="12" t="s">
        <v>20</v>
      </c>
      <c r="C1687" s="12">
        <v>43</v>
      </c>
      <c r="D1687" s="12" t="s">
        <v>25</v>
      </c>
      <c r="E1687" s="12" t="s">
        <v>14</v>
      </c>
      <c r="F1687" s="12">
        <v>208</v>
      </c>
      <c r="G1687" s="12">
        <v>29</v>
      </c>
      <c r="H1687" s="12">
        <v>0.4</v>
      </c>
      <c r="I1687" s="12" t="s">
        <v>15</v>
      </c>
      <c r="J1687" s="12">
        <v>9</v>
      </c>
      <c r="K1687" s="12">
        <v>0</v>
      </c>
      <c r="L1687" s="12">
        <v>0</v>
      </c>
      <c r="M1687" s="12">
        <v>0</v>
      </c>
      <c r="N1687" s="12">
        <v>0</v>
      </c>
      <c r="O1687" s="12" t="str">
        <f t="shared" si="26"/>
        <v>0 - 9</v>
      </c>
    </row>
    <row r="1688" spans="1:15" x14ac:dyDescent="0.35">
      <c r="A1688" s="11">
        <v>6672</v>
      </c>
      <c r="B1688" s="11" t="s">
        <v>12</v>
      </c>
      <c r="C1688" s="11">
        <v>20</v>
      </c>
      <c r="D1688" s="11" t="s">
        <v>27</v>
      </c>
      <c r="E1688" s="11" t="s">
        <v>14</v>
      </c>
      <c r="F1688" s="11">
        <v>278</v>
      </c>
      <c r="G1688" s="11">
        <v>16</v>
      </c>
      <c r="H1688" s="11">
        <v>0.01</v>
      </c>
      <c r="I1688" s="11" t="s">
        <v>23</v>
      </c>
      <c r="J1688" s="11">
        <v>28</v>
      </c>
      <c r="K1688" s="11">
        <v>0</v>
      </c>
      <c r="L1688" s="11">
        <v>0</v>
      </c>
      <c r="M1688" s="11">
        <v>0</v>
      </c>
      <c r="N1688" s="11">
        <v>0</v>
      </c>
      <c r="O1688" s="12" t="str">
        <f t="shared" si="26"/>
        <v>20 - 29</v>
      </c>
    </row>
    <row r="1689" spans="1:15" x14ac:dyDescent="0.35">
      <c r="A1689" s="12">
        <v>6673</v>
      </c>
      <c r="B1689" s="12" t="s">
        <v>20</v>
      </c>
      <c r="C1689" s="12">
        <v>53</v>
      </c>
      <c r="D1689" s="12" t="s">
        <v>17</v>
      </c>
      <c r="E1689" s="12" t="s">
        <v>14</v>
      </c>
      <c r="F1689" s="12">
        <v>15</v>
      </c>
      <c r="G1689" s="12">
        <v>27</v>
      </c>
      <c r="H1689" s="12">
        <v>0.46</v>
      </c>
      <c r="I1689" s="12" t="s">
        <v>23</v>
      </c>
      <c r="J1689" s="12">
        <v>43</v>
      </c>
      <c r="K1689" s="12">
        <v>0</v>
      </c>
      <c r="L1689" s="12">
        <v>1</v>
      </c>
      <c r="M1689" s="12">
        <v>0</v>
      </c>
      <c r="N1689" s="12">
        <v>0</v>
      </c>
      <c r="O1689" s="12" t="str">
        <f t="shared" si="26"/>
        <v>40 - 49</v>
      </c>
    </row>
    <row r="1690" spans="1:15" x14ac:dyDescent="0.35">
      <c r="A1690" s="11">
        <v>6675</v>
      </c>
      <c r="B1690" s="11" t="s">
        <v>12</v>
      </c>
      <c r="C1690" s="11">
        <v>18</v>
      </c>
      <c r="D1690" s="11" t="s">
        <v>26</v>
      </c>
      <c r="E1690" s="11" t="s">
        <v>14</v>
      </c>
      <c r="F1690" s="11">
        <v>144</v>
      </c>
      <c r="G1690" s="11">
        <v>88</v>
      </c>
      <c r="H1690" s="11">
        <v>0.55000000000000004</v>
      </c>
      <c r="I1690" s="11" t="s">
        <v>23</v>
      </c>
      <c r="J1690" s="11">
        <v>23</v>
      </c>
      <c r="K1690" s="11">
        <v>0</v>
      </c>
      <c r="L1690" s="11">
        <v>0</v>
      </c>
      <c r="M1690" s="11">
        <v>0</v>
      </c>
      <c r="N1690" s="11">
        <v>0</v>
      </c>
      <c r="O1690" s="12" t="str">
        <f t="shared" si="26"/>
        <v>20 - 29</v>
      </c>
    </row>
    <row r="1691" spans="1:15" x14ac:dyDescent="0.35">
      <c r="A1691" s="12">
        <v>6683</v>
      </c>
      <c r="B1691" s="12" t="s">
        <v>20</v>
      </c>
      <c r="C1691" s="12">
        <v>59</v>
      </c>
      <c r="D1691" s="12" t="s">
        <v>28</v>
      </c>
      <c r="E1691" s="12" t="s">
        <v>14</v>
      </c>
      <c r="F1691" s="12">
        <v>14</v>
      </c>
      <c r="G1691" s="12">
        <v>98</v>
      </c>
      <c r="H1691" s="12">
        <v>0.42</v>
      </c>
      <c r="I1691" s="12" t="s">
        <v>15</v>
      </c>
      <c r="J1691" s="12">
        <v>16</v>
      </c>
      <c r="K1691" s="12">
        <v>0</v>
      </c>
      <c r="L1691" s="12">
        <v>1</v>
      </c>
      <c r="M1691" s="12">
        <v>0</v>
      </c>
      <c r="N1691" s="12">
        <v>0</v>
      </c>
      <c r="O1691" s="12" t="str">
        <f t="shared" si="26"/>
        <v>10 - 19</v>
      </c>
    </row>
    <row r="1692" spans="1:15" x14ac:dyDescent="0.35">
      <c r="A1692" s="11">
        <v>6686</v>
      </c>
      <c r="B1692" s="11" t="s">
        <v>20</v>
      </c>
      <c r="C1692" s="11">
        <v>44</v>
      </c>
      <c r="D1692" s="11" t="s">
        <v>21</v>
      </c>
      <c r="E1692" s="11" t="s">
        <v>14</v>
      </c>
      <c r="F1692" s="11">
        <v>270</v>
      </c>
      <c r="G1692" s="11">
        <v>55</v>
      </c>
      <c r="H1692" s="11">
        <v>0.51</v>
      </c>
      <c r="I1692" s="11" t="s">
        <v>19</v>
      </c>
      <c r="J1692" s="11">
        <v>43</v>
      </c>
      <c r="K1692" s="11">
        <v>0</v>
      </c>
      <c r="L1692" s="11">
        <v>0</v>
      </c>
      <c r="M1692" s="11">
        <v>0</v>
      </c>
      <c r="N1692" s="11">
        <v>0</v>
      </c>
      <c r="O1692" s="12" t="str">
        <f t="shared" si="26"/>
        <v>40 - 49</v>
      </c>
    </row>
    <row r="1693" spans="1:15" x14ac:dyDescent="0.35">
      <c r="A1693" s="12">
        <v>6688</v>
      </c>
      <c r="B1693" s="12" t="s">
        <v>12</v>
      </c>
      <c r="C1693" s="12">
        <v>25</v>
      </c>
      <c r="D1693" s="12" t="s">
        <v>26</v>
      </c>
      <c r="E1693" s="12" t="s">
        <v>14</v>
      </c>
      <c r="F1693" s="12">
        <v>69</v>
      </c>
      <c r="G1693" s="12">
        <v>94</v>
      </c>
      <c r="H1693" s="12">
        <v>0.16</v>
      </c>
      <c r="I1693" s="12" t="s">
        <v>15</v>
      </c>
      <c r="J1693" s="12">
        <v>18</v>
      </c>
      <c r="K1693" s="12">
        <v>0</v>
      </c>
      <c r="L1693" s="12">
        <v>0</v>
      </c>
      <c r="M1693" s="12">
        <v>0</v>
      </c>
      <c r="N1693" s="12">
        <v>0</v>
      </c>
      <c r="O1693" s="12" t="str">
        <f t="shared" si="26"/>
        <v>10 - 19</v>
      </c>
    </row>
    <row r="1694" spans="1:15" x14ac:dyDescent="0.35">
      <c r="A1694" s="11">
        <v>6690</v>
      </c>
      <c r="B1694" s="11" t="s">
        <v>20</v>
      </c>
      <c r="C1694" s="11">
        <v>39</v>
      </c>
      <c r="D1694" s="11" t="s">
        <v>27</v>
      </c>
      <c r="E1694" s="11" t="s">
        <v>14</v>
      </c>
      <c r="F1694" s="11">
        <v>67</v>
      </c>
      <c r="G1694" s="11">
        <v>38</v>
      </c>
      <c r="H1694" s="11">
        <v>0.53</v>
      </c>
      <c r="I1694" s="11" t="s">
        <v>19</v>
      </c>
      <c r="J1694" s="11">
        <v>36</v>
      </c>
      <c r="K1694" s="11">
        <v>0</v>
      </c>
      <c r="L1694" s="11">
        <v>0</v>
      </c>
      <c r="M1694" s="11">
        <v>0</v>
      </c>
      <c r="N1694" s="11">
        <v>0</v>
      </c>
      <c r="O1694" s="12" t="str">
        <f t="shared" si="26"/>
        <v>30 - 39</v>
      </c>
    </row>
    <row r="1695" spans="1:15" x14ac:dyDescent="0.35">
      <c r="A1695" s="12">
        <v>6692</v>
      </c>
      <c r="B1695" s="12" t="s">
        <v>16</v>
      </c>
      <c r="C1695" s="12">
        <v>56</v>
      </c>
      <c r="D1695" s="12" t="s">
        <v>28</v>
      </c>
      <c r="E1695" s="12" t="s">
        <v>14</v>
      </c>
      <c r="F1695" s="12">
        <v>63</v>
      </c>
      <c r="G1695" s="12">
        <v>64</v>
      </c>
      <c r="H1695" s="12">
        <v>0.56000000000000005</v>
      </c>
      <c r="I1695" s="12" t="s">
        <v>15</v>
      </c>
      <c r="J1695" s="12">
        <v>46</v>
      </c>
      <c r="K1695" s="12">
        <v>0</v>
      </c>
      <c r="L1695" s="12">
        <v>0</v>
      </c>
      <c r="M1695" s="12">
        <v>0</v>
      </c>
      <c r="N1695" s="12">
        <v>0</v>
      </c>
      <c r="O1695" s="12" t="str">
        <f t="shared" si="26"/>
        <v>40 - 49</v>
      </c>
    </row>
    <row r="1696" spans="1:15" x14ac:dyDescent="0.35">
      <c r="A1696" s="11">
        <v>6693</v>
      </c>
      <c r="B1696" s="11" t="s">
        <v>16</v>
      </c>
      <c r="C1696" s="11">
        <v>42</v>
      </c>
      <c r="D1696" s="11" t="s">
        <v>26</v>
      </c>
      <c r="E1696" s="11" t="s">
        <v>14</v>
      </c>
      <c r="F1696" s="11">
        <v>169</v>
      </c>
      <c r="G1696" s="11">
        <v>69</v>
      </c>
      <c r="H1696" s="11">
        <v>0.49</v>
      </c>
      <c r="I1696" s="11" t="s">
        <v>19</v>
      </c>
      <c r="J1696" s="11">
        <v>48</v>
      </c>
      <c r="K1696" s="11">
        <v>0</v>
      </c>
      <c r="L1696" s="11">
        <v>0</v>
      </c>
      <c r="M1696" s="11">
        <v>0</v>
      </c>
      <c r="N1696" s="11">
        <v>0</v>
      </c>
      <c r="O1696" s="12" t="str">
        <f t="shared" si="26"/>
        <v>40 - 49</v>
      </c>
    </row>
    <row r="1697" spans="1:15" x14ac:dyDescent="0.35">
      <c r="A1697" s="12">
        <v>6694</v>
      </c>
      <c r="B1697" s="12" t="s">
        <v>20</v>
      </c>
      <c r="C1697" s="12">
        <v>30</v>
      </c>
      <c r="D1697" s="12" t="s">
        <v>17</v>
      </c>
      <c r="E1697" s="12" t="s">
        <v>14</v>
      </c>
      <c r="F1697" s="12">
        <v>206</v>
      </c>
      <c r="G1697" s="12">
        <v>88</v>
      </c>
      <c r="H1697" s="12">
        <v>0.22</v>
      </c>
      <c r="I1697" s="12" t="s">
        <v>19</v>
      </c>
      <c r="J1697" s="12">
        <v>39</v>
      </c>
      <c r="K1697" s="12">
        <v>0</v>
      </c>
      <c r="L1697" s="12">
        <v>0</v>
      </c>
      <c r="M1697" s="12">
        <v>0</v>
      </c>
      <c r="N1697" s="12">
        <v>0</v>
      </c>
      <c r="O1697" s="12" t="str">
        <f t="shared" si="26"/>
        <v>30 - 39</v>
      </c>
    </row>
    <row r="1698" spans="1:15" x14ac:dyDescent="0.35">
      <c r="A1698" s="11">
        <v>6705</v>
      </c>
      <c r="B1698" s="11" t="s">
        <v>16</v>
      </c>
      <c r="C1698" s="11">
        <v>16</v>
      </c>
      <c r="D1698" s="11" t="s">
        <v>27</v>
      </c>
      <c r="E1698" s="11" t="s">
        <v>14</v>
      </c>
      <c r="F1698" s="11">
        <v>93</v>
      </c>
      <c r="G1698" s="11">
        <v>71</v>
      </c>
      <c r="H1698" s="11">
        <v>0.43</v>
      </c>
      <c r="I1698" s="11" t="s">
        <v>19</v>
      </c>
      <c r="J1698" s="11">
        <v>21</v>
      </c>
      <c r="K1698" s="11">
        <v>0</v>
      </c>
      <c r="L1698" s="11">
        <v>0</v>
      </c>
      <c r="M1698" s="11">
        <v>0</v>
      </c>
      <c r="N1698" s="11">
        <v>0</v>
      </c>
      <c r="O1698" s="12" t="str">
        <f t="shared" si="26"/>
        <v>20 - 29</v>
      </c>
    </row>
    <row r="1699" spans="1:15" x14ac:dyDescent="0.35">
      <c r="A1699" s="12">
        <v>6708</v>
      </c>
      <c r="B1699" s="12" t="s">
        <v>16</v>
      </c>
      <c r="C1699" s="12">
        <v>55</v>
      </c>
      <c r="D1699" s="12" t="s">
        <v>26</v>
      </c>
      <c r="E1699" s="12" t="s">
        <v>14</v>
      </c>
      <c r="F1699" s="12">
        <v>92</v>
      </c>
      <c r="G1699" s="12">
        <v>66</v>
      </c>
      <c r="H1699" s="12">
        <v>0.49</v>
      </c>
      <c r="I1699" s="12" t="s">
        <v>15</v>
      </c>
      <c r="J1699" s="12">
        <v>30</v>
      </c>
      <c r="K1699" s="12">
        <v>0</v>
      </c>
      <c r="L1699" s="12">
        <v>0</v>
      </c>
      <c r="M1699" s="12">
        <v>0</v>
      </c>
      <c r="N1699" s="12">
        <v>0</v>
      </c>
      <c r="O1699" s="12" t="str">
        <f t="shared" si="26"/>
        <v>30 - 39</v>
      </c>
    </row>
    <row r="1700" spans="1:15" x14ac:dyDescent="0.35">
      <c r="A1700" s="11">
        <v>6709</v>
      </c>
      <c r="B1700" s="11" t="s">
        <v>16</v>
      </c>
      <c r="C1700" s="11">
        <v>51</v>
      </c>
      <c r="D1700" s="11" t="s">
        <v>13</v>
      </c>
      <c r="E1700" s="11" t="s">
        <v>14</v>
      </c>
      <c r="F1700" s="11">
        <v>25</v>
      </c>
      <c r="G1700" s="11">
        <v>88</v>
      </c>
      <c r="H1700" s="11">
        <v>0.36</v>
      </c>
      <c r="I1700" s="11" t="s">
        <v>23</v>
      </c>
      <c r="J1700" s="11">
        <v>37</v>
      </c>
      <c r="K1700" s="11">
        <v>0</v>
      </c>
      <c r="L1700" s="11">
        <v>0</v>
      </c>
      <c r="M1700" s="11">
        <v>0</v>
      </c>
      <c r="N1700" s="11">
        <v>0</v>
      </c>
      <c r="O1700" s="12" t="str">
        <f t="shared" si="26"/>
        <v>30 - 39</v>
      </c>
    </row>
    <row r="1701" spans="1:15" x14ac:dyDescent="0.35">
      <c r="A1701" s="12">
        <v>6710</v>
      </c>
      <c r="B1701" s="12" t="s">
        <v>12</v>
      </c>
      <c r="C1701" s="12">
        <v>52</v>
      </c>
      <c r="D1701" s="12" t="s">
        <v>13</v>
      </c>
      <c r="E1701" s="12" t="s">
        <v>14</v>
      </c>
      <c r="F1701" s="12">
        <v>37</v>
      </c>
      <c r="G1701" s="12">
        <v>18</v>
      </c>
      <c r="H1701" s="12">
        <v>0.42</v>
      </c>
      <c r="I1701" s="12" t="s">
        <v>19</v>
      </c>
      <c r="J1701" s="12">
        <v>10</v>
      </c>
      <c r="K1701" s="12">
        <v>0</v>
      </c>
      <c r="L1701" s="12">
        <v>0</v>
      </c>
      <c r="M1701" s="12">
        <v>0</v>
      </c>
      <c r="N1701" s="12">
        <v>0</v>
      </c>
      <c r="O1701" s="12" t="str">
        <f t="shared" si="26"/>
        <v>10 - 19</v>
      </c>
    </row>
    <row r="1702" spans="1:15" x14ac:dyDescent="0.35">
      <c r="A1702" s="11">
        <v>6711</v>
      </c>
      <c r="B1702" s="11" t="s">
        <v>12</v>
      </c>
      <c r="C1702" s="11">
        <v>18</v>
      </c>
      <c r="D1702" s="11" t="s">
        <v>17</v>
      </c>
      <c r="E1702" s="11" t="s">
        <v>14</v>
      </c>
      <c r="F1702" s="11">
        <v>298</v>
      </c>
      <c r="G1702" s="11">
        <v>12</v>
      </c>
      <c r="H1702" s="11">
        <v>0.18</v>
      </c>
      <c r="I1702" s="11" t="s">
        <v>15</v>
      </c>
      <c r="J1702" s="11">
        <v>47</v>
      </c>
      <c r="K1702" s="11">
        <v>0</v>
      </c>
      <c r="L1702" s="11">
        <v>1</v>
      </c>
      <c r="M1702" s="11">
        <v>0</v>
      </c>
      <c r="N1702" s="11">
        <v>0</v>
      </c>
      <c r="O1702" s="12" t="str">
        <f t="shared" si="26"/>
        <v>40 - 49</v>
      </c>
    </row>
    <row r="1703" spans="1:15" x14ac:dyDescent="0.35">
      <c r="A1703" s="12">
        <v>6713</v>
      </c>
      <c r="B1703" s="12" t="s">
        <v>16</v>
      </c>
      <c r="C1703" s="12">
        <v>44</v>
      </c>
      <c r="D1703" s="12" t="s">
        <v>28</v>
      </c>
      <c r="E1703" s="12" t="s">
        <v>14</v>
      </c>
      <c r="F1703" s="12">
        <v>80</v>
      </c>
      <c r="G1703" s="12">
        <v>82</v>
      </c>
      <c r="H1703" s="12">
        <v>0.43</v>
      </c>
      <c r="I1703" s="12" t="s">
        <v>23</v>
      </c>
      <c r="J1703" s="12">
        <v>27</v>
      </c>
      <c r="K1703" s="12">
        <v>0</v>
      </c>
      <c r="L1703" s="12">
        <v>0</v>
      </c>
      <c r="M1703" s="12">
        <v>0</v>
      </c>
      <c r="N1703" s="12">
        <v>0</v>
      </c>
      <c r="O1703" s="12" t="str">
        <f t="shared" si="26"/>
        <v>20 - 29</v>
      </c>
    </row>
    <row r="1704" spans="1:15" x14ac:dyDescent="0.35">
      <c r="A1704" s="11">
        <v>6715</v>
      </c>
      <c r="B1704" s="11" t="s">
        <v>16</v>
      </c>
      <c r="C1704" s="11">
        <v>38</v>
      </c>
      <c r="D1704" s="11" t="s">
        <v>21</v>
      </c>
      <c r="E1704" s="11" t="s">
        <v>14</v>
      </c>
      <c r="F1704" s="11">
        <v>186</v>
      </c>
      <c r="G1704" s="11">
        <v>43</v>
      </c>
      <c r="H1704" s="11">
        <v>0.54</v>
      </c>
      <c r="I1704" s="11" t="s">
        <v>15</v>
      </c>
      <c r="J1704" s="11">
        <v>8</v>
      </c>
      <c r="K1704" s="11">
        <v>0</v>
      </c>
      <c r="L1704" s="11">
        <v>0</v>
      </c>
      <c r="M1704" s="11">
        <v>0</v>
      </c>
      <c r="N1704" s="11">
        <v>0</v>
      </c>
      <c r="O1704" s="12" t="str">
        <f t="shared" si="26"/>
        <v>0 - 9</v>
      </c>
    </row>
    <row r="1705" spans="1:15" x14ac:dyDescent="0.35">
      <c r="A1705" s="12">
        <v>6717</v>
      </c>
      <c r="B1705" s="12" t="s">
        <v>12</v>
      </c>
      <c r="C1705" s="12">
        <v>38</v>
      </c>
      <c r="D1705" s="12" t="s">
        <v>29</v>
      </c>
      <c r="E1705" s="12" t="s">
        <v>14</v>
      </c>
      <c r="F1705" s="12">
        <v>28</v>
      </c>
      <c r="G1705" s="12">
        <v>74</v>
      </c>
      <c r="H1705" s="12">
        <v>0.03</v>
      </c>
      <c r="I1705" s="12" t="s">
        <v>19</v>
      </c>
      <c r="J1705" s="12">
        <v>20</v>
      </c>
      <c r="K1705" s="12">
        <v>0</v>
      </c>
      <c r="L1705" s="12">
        <v>0</v>
      </c>
      <c r="M1705" s="12">
        <v>0</v>
      </c>
      <c r="N1705" s="12">
        <v>0</v>
      </c>
      <c r="O1705" s="12" t="str">
        <f t="shared" si="26"/>
        <v>20 - 29</v>
      </c>
    </row>
    <row r="1706" spans="1:15" x14ac:dyDescent="0.35">
      <c r="A1706" s="11">
        <v>6719</v>
      </c>
      <c r="B1706" s="11" t="s">
        <v>12</v>
      </c>
      <c r="C1706" s="11">
        <v>19</v>
      </c>
      <c r="D1706" s="11" t="s">
        <v>28</v>
      </c>
      <c r="E1706" s="11" t="s">
        <v>14</v>
      </c>
      <c r="F1706" s="11">
        <v>119</v>
      </c>
      <c r="G1706" s="11">
        <v>99</v>
      </c>
      <c r="H1706" s="11">
        <v>0.38</v>
      </c>
      <c r="I1706" s="11" t="s">
        <v>23</v>
      </c>
      <c r="J1706" s="11">
        <v>36</v>
      </c>
      <c r="K1706" s="11">
        <v>0</v>
      </c>
      <c r="L1706" s="11">
        <v>0</v>
      </c>
      <c r="M1706" s="11">
        <v>0</v>
      </c>
      <c r="N1706" s="11">
        <v>0</v>
      </c>
      <c r="O1706" s="12" t="str">
        <f t="shared" si="26"/>
        <v>30 - 39</v>
      </c>
    </row>
    <row r="1707" spans="1:15" x14ac:dyDescent="0.35">
      <c r="A1707" s="12">
        <v>6721</v>
      </c>
      <c r="B1707" s="12" t="s">
        <v>20</v>
      </c>
      <c r="C1707" s="12">
        <v>49</v>
      </c>
      <c r="D1707" s="12" t="s">
        <v>25</v>
      </c>
      <c r="E1707" s="12" t="s">
        <v>14</v>
      </c>
      <c r="F1707" s="12">
        <v>28</v>
      </c>
      <c r="G1707" s="12">
        <v>18</v>
      </c>
      <c r="H1707" s="12">
        <v>0.01</v>
      </c>
      <c r="I1707" s="12" t="s">
        <v>15</v>
      </c>
      <c r="J1707" s="12">
        <v>22</v>
      </c>
      <c r="K1707" s="12">
        <v>0</v>
      </c>
      <c r="L1707" s="12">
        <v>1</v>
      </c>
      <c r="M1707" s="12">
        <v>0</v>
      </c>
      <c r="N1707" s="12">
        <v>0</v>
      </c>
      <c r="O1707" s="12" t="str">
        <f t="shared" si="26"/>
        <v>20 - 29</v>
      </c>
    </row>
    <row r="1708" spans="1:15" x14ac:dyDescent="0.35">
      <c r="A1708" s="11">
        <v>6731</v>
      </c>
      <c r="B1708" s="11" t="s">
        <v>12</v>
      </c>
      <c r="C1708" s="11">
        <v>19</v>
      </c>
      <c r="D1708" s="11" t="s">
        <v>27</v>
      </c>
      <c r="E1708" s="11" t="s">
        <v>14</v>
      </c>
      <c r="F1708" s="11">
        <v>229</v>
      </c>
      <c r="G1708" s="11">
        <v>7</v>
      </c>
      <c r="H1708" s="11">
        <v>0.6</v>
      </c>
      <c r="I1708" s="11" t="s">
        <v>19</v>
      </c>
      <c r="J1708" s="11">
        <v>37</v>
      </c>
      <c r="K1708" s="11">
        <v>0</v>
      </c>
      <c r="L1708" s="11">
        <v>0</v>
      </c>
      <c r="M1708" s="11">
        <v>0</v>
      </c>
      <c r="N1708" s="11">
        <v>0</v>
      </c>
      <c r="O1708" s="12" t="str">
        <f t="shared" si="26"/>
        <v>30 - 39</v>
      </c>
    </row>
    <row r="1709" spans="1:15" x14ac:dyDescent="0.35">
      <c r="A1709" s="12">
        <v>6733</v>
      </c>
      <c r="B1709" s="12" t="s">
        <v>16</v>
      </c>
      <c r="C1709" s="12">
        <v>57</v>
      </c>
      <c r="D1709" s="12" t="s">
        <v>28</v>
      </c>
      <c r="E1709" s="12" t="s">
        <v>14</v>
      </c>
      <c r="F1709" s="12">
        <v>270</v>
      </c>
      <c r="G1709" s="12">
        <v>75</v>
      </c>
      <c r="H1709" s="12">
        <v>0.13</v>
      </c>
      <c r="I1709" s="12" t="s">
        <v>23</v>
      </c>
      <c r="J1709" s="12">
        <v>18</v>
      </c>
      <c r="K1709" s="12">
        <v>0</v>
      </c>
      <c r="L1709" s="12">
        <v>0</v>
      </c>
      <c r="M1709" s="12">
        <v>0</v>
      </c>
      <c r="N1709" s="12">
        <v>0</v>
      </c>
      <c r="O1709" s="12" t="str">
        <f t="shared" si="26"/>
        <v>10 - 19</v>
      </c>
    </row>
    <row r="1710" spans="1:15" x14ac:dyDescent="0.35">
      <c r="A1710" s="11">
        <v>6743</v>
      </c>
      <c r="B1710" s="11" t="s">
        <v>12</v>
      </c>
      <c r="C1710" s="11">
        <v>52</v>
      </c>
      <c r="D1710" s="11" t="s">
        <v>27</v>
      </c>
      <c r="E1710" s="11" t="s">
        <v>14</v>
      </c>
      <c r="F1710" s="11">
        <v>252</v>
      </c>
      <c r="G1710" s="11">
        <v>63</v>
      </c>
      <c r="H1710" s="11">
        <v>0.34</v>
      </c>
      <c r="I1710" s="11" t="s">
        <v>19</v>
      </c>
      <c r="J1710" s="11">
        <v>29</v>
      </c>
      <c r="K1710" s="11">
        <v>0</v>
      </c>
      <c r="L1710" s="11">
        <v>0</v>
      </c>
      <c r="M1710" s="11">
        <v>0</v>
      </c>
      <c r="N1710" s="11">
        <v>0</v>
      </c>
      <c r="O1710" s="12" t="str">
        <f t="shared" si="26"/>
        <v>20 - 29</v>
      </c>
    </row>
    <row r="1711" spans="1:15" x14ac:dyDescent="0.35">
      <c r="A1711" s="12">
        <v>6750</v>
      </c>
      <c r="B1711" s="12" t="s">
        <v>16</v>
      </c>
      <c r="C1711" s="12">
        <v>54</v>
      </c>
      <c r="D1711" s="12" t="s">
        <v>21</v>
      </c>
      <c r="E1711" s="12" t="s">
        <v>14</v>
      </c>
      <c r="F1711" s="12">
        <v>296</v>
      </c>
      <c r="G1711" s="12">
        <v>74</v>
      </c>
      <c r="H1711" s="12">
        <v>0.22</v>
      </c>
      <c r="I1711" s="12" t="s">
        <v>15</v>
      </c>
      <c r="J1711" s="12">
        <v>10</v>
      </c>
      <c r="K1711" s="12">
        <v>0</v>
      </c>
      <c r="L1711" s="12">
        <v>0</v>
      </c>
      <c r="M1711" s="12">
        <v>0</v>
      </c>
      <c r="N1711" s="12">
        <v>0</v>
      </c>
      <c r="O1711" s="12" t="str">
        <f t="shared" si="26"/>
        <v>10 - 19</v>
      </c>
    </row>
    <row r="1712" spans="1:15" x14ac:dyDescent="0.35">
      <c r="A1712" s="11">
        <v>6751</v>
      </c>
      <c r="B1712" s="11" t="s">
        <v>20</v>
      </c>
      <c r="C1712" s="11">
        <v>35</v>
      </c>
      <c r="D1712" s="11" t="s">
        <v>25</v>
      </c>
      <c r="E1712" s="11" t="s">
        <v>14</v>
      </c>
      <c r="F1712" s="11">
        <v>223</v>
      </c>
      <c r="G1712" s="11">
        <v>97</v>
      </c>
      <c r="H1712" s="11">
        <v>0.08</v>
      </c>
      <c r="I1712" s="11" t="s">
        <v>23</v>
      </c>
      <c r="J1712" s="11">
        <v>27</v>
      </c>
      <c r="K1712" s="11">
        <v>0</v>
      </c>
      <c r="L1712" s="11">
        <v>0</v>
      </c>
      <c r="M1712" s="11">
        <v>0</v>
      </c>
      <c r="N1712" s="11">
        <v>0</v>
      </c>
      <c r="O1712" s="12" t="str">
        <f t="shared" si="26"/>
        <v>20 - 29</v>
      </c>
    </row>
    <row r="1713" spans="1:15" x14ac:dyDescent="0.35">
      <c r="A1713" s="12">
        <v>6754</v>
      </c>
      <c r="B1713" s="12" t="s">
        <v>12</v>
      </c>
      <c r="C1713" s="12">
        <v>28</v>
      </c>
      <c r="D1713" s="12" t="s">
        <v>28</v>
      </c>
      <c r="E1713" s="12" t="s">
        <v>14</v>
      </c>
      <c r="F1713" s="12">
        <v>250</v>
      </c>
      <c r="G1713" s="12">
        <v>58</v>
      </c>
      <c r="H1713" s="12">
        <v>0.44</v>
      </c>
      <c r="I1713" s="12" t="s">
        <v>19</v>
      </c>
      <c r="J1713" s="12">
        <v>6</v>
      </c>
      <c r="K1713" s="12">
        <v>0</v>
      </c>
      <c r="L1713" s="12">
        <v>0</v>
      </c>
      <c r="M1713" s="12">
        <v>0</v>
      </c>
      <c r="N1713" s="12">
        <v>0</v>
      </c>
      <c r="O1713" s="12" t="str">
        <f t="shared" si="26"/>
        <v>0 - 9</v>
      </c>
    </row>
    <row r="1714" spans="1:15" x14ac:dyDescent="0.35">
      <c r="A1714" s="11">
        <v>6756</v>
      </c>
      <c r="B1714" s="11" t="s">
        <v>12</v>
      </c>
      <c r="C1714" s="11">
        <v>57</v>
      </c>
      <c r="D1714" s="11" t="s">
        <v>28</v>
      </c>
      <c r="E1714" s="11" t="s">
        <v>14</v>
      </c>
      <c r="F1714" s="11">
        <v>256</v>
      </c>
      <c r="G1714" s="11">
        <v>62</v>
      </c>
      <c r="H1714" s="11">
        <v>0.56000000000000005</v>
      </c>
      <c r="I1714" s="11" t="s">
        <v>23</v>
      </c>
      <c r="J1714" s="11">
        <v>49</v>
      </c>
      <c r="K1714" s="11">
        <v>0</v>
      </c>
      <c r="L1714" s="11">
        <v>0</v>
      </c>
      <c r="M1714" s="11">
        <v>0</v>
      </c>
      <c r="N1714" s="11">
        <v>0</v>
      </c>
      <c r="O1714" s="12" t="str">
        <f t="shared" si="26"/>
        <v>40 - 49</v>
      </c>
    </row>
    <row r="1715" spans="1:15" x14ac:dyDescent="0.35">
      <c r="A1715" s="12">
        <v>6767</v>
      </c>
      <c r="B1715" s="12" t="s">
        <v>16</v>
      </c>
      <c r="C1715" s="12">
        <v>30</v>
      </c>
      <c r="D1715" s="12" t="s">
        <v>17</v>
      </c>
      <c r="E1715" s="12" t="s">
        <v>14</v>
      </c>
      <c r="F1715" s="12">
        <v>171</v>
      </c>
      <c r="G1715" s="12">
        <v>50</v>
      </c>
      <c r="H1715" s="12">
        <v>0.33</v>
      </c>
      <c r="I1715" s="12" t="s">
        <v>19</v>
      </c>
      <c r="J1715" s="12">
        <v>24</v>
      </c>
      <c r="K1715" s="12">
        <v>0</v>
      </c>
      <c r="L1715" s="12">
        <v>0</v>
      </c>
      <c r="M1715" s="12">
        <v>0</v>
      </c>
      <c r="N1715" s="12">
        <v>0</v>
      </c>
      <c r="O1715" s="12" t="str">
        <f t="shared" si="26"/>
        <v>20 - 29</v>
      </c>
    </row>
    <row r="1716" spans="1:15" x14ac:dyDescent="0.35">
      <c r="A1716" s="11">
        <v>6769</v>
      </c>
      <c r="B1716" s="11" t="s">
        <v>20</v>
      </c>
      <c r="C1716" s="11">
        <v>43</v>
      </c>
      <c r="D1716" s="11" t="s">
        <v>27</v>
      </c>
      <c r="E1716" s="11" t="s">
        <v>14</v>
      </c>
      <c r="F1716" s="11">
        <v>164</v>
      </c>
      <c r="G1716" s="11">
        <v>42</v>
      </c>
      <c r="H1716" s="11">
        <v>0.49</v>
      </c>
      <c r="I1716" s="11" t="s">
        <v>15</v>
      </c>
      <c r="J1716" s="11">
        <v>6</v>
      </c>
      <c r="K1716" s="11">
        <v>0</v>
      </c>
      <c r="L1716" s="11">
        <v>1</v>
      </c>
      <c r="M1716" s="11">
        <v>0</v>
      </c>
      <c r="N1716" s="11">
        <v>0</v>
      </c>
      <c r="O1716" s="12" t="str">
        <f t="shared" si="26"/>
        <v>0 - 9</v>
      </c>
    </row>
    <row r="1717" spans="1:15" x14ac:dyDescent="0.35">
      <c r="A1717" s="12">
        <v>6770</v>
      </c>
      <c r="B1717" s="12" t="s">
        <v>12</v>
      </c>
      <c r="C1717" s="12">
        <v>56</v>
      </c>
      <c r="D1717" s="12" t="s">
        <v>25</v>
      </c>
      <c r="E1717" s="12" t="s">
        <v>14</v>
      </c>
      <c r="F1717" s="12">
        <v>294</v>
      </c>
      <c r="G1717" s="12">
        <v>20</v>
      </c>
      <c r="H1717" s="12">
        <v>0.1</v>
      </c>
      <c r="I1717" s="12" t="s">
        <v>19</v>
      </c>
      <c r="J1717" s="12">
        <v>7</v>
      </c>
      <c r="K1717" s="12">
        <v>0</v>
      </c>
      <c r="L1717" s="12">
        <v>1</v>
      </c>
      <c r="M1717" s="12">
        <v>0</v>
      </c>
      <c r="N1717" s="12">
        <v>0</v>
      </c>
      <c r="O1717" s="12" t="str">
        <f t="shared" si="26"/>
        <v>0 - 9</v>
      </c>
    </row>
    <row r="1718" spans="1:15" x14ac:dyDescent="0.35">
      <c r="A1718" s="11">
        <v>6772</v>
      </c>
      <c r="B1718" s="11" t="s">
        <v>16</v>
      </c>
      <c r="C1718" s="11">
        <v>36</v>
      </c>
      <c r="D1718" s="11" t="s">
        <v>17</v>
      </c>
      <c r="E1718" s="11" t="s">
        <v>14</v>
      </c>
      <c r="F1718" s="11">
        <v>190</v>
      </c>
      <c r="G1718" s="11">
        <v>45</v>
      </c>
      <c r="H1718" s="11">
        <v>0.36</v>
      </c>
      <c r="I1718" s="11" t="s">
        <v>23</v>
      </c>
      <c r="J1718" s="11">
        <v>24</v>
      </c>
      <c r="K1718" s="11">
        <v>0</v>
      </c>
      <c r="L1718" s="11">
        <v>0</v>
      </c>
      <c r="M1718" s="11">
        <v>0</v>
      </c>
      <c r="N1718" s="11">
        <v>0</v>
      </c>
      <c r="O1718" s="12" t="str">
        <f t="shared" si="26"/>
        <v>20 - 29</v>
      </c>
    </row>
    <row r="1719" spans="1:15" x14ac:dyDescent="0.35">
      <c r="A1719" s="12">
        <v>6774</v>
      </c>
      <c r="B1719" s="12" t="s">
        <v>20</v>
      </c>
      <c r="C1719" s="12">
        <v>25</v>
      </c>
      <c r="D1719" s="12" t="s">
        <v>21</v>
      </c>
      <c r="E1719" s="12" t="s">
        <v>14</v>
      </c>
      <c r="F1719" s="12">
        <v>93</v>
      </c>
      <c r="G1719" s="12">
        <v>6</v>
      </c>
      <c r="H1719" s="12">
        <v>0.47</v>
      </c>
      <c r="I1719" s="12" t="s">
        <v>15</v>
      </c>
      <c r="J1719" s="12">
        <v>39</v>
      </c>
      <c r="K1719" s="12">
        <v>0</v>
      </c>
      <c r="L1719" s="12">
        <v>0</v>
      </c>
      <c r="M1719" s="12">
        <v>0</v>
      </c>
      <c r="N1719" s="12">
        <v>0</v>
      </c>
      <c r="O1719" s="12" t="str">
        <f t="shared" si="26"/>
        <v>30 - 39</v>
      </c>
    </row>
    <row r="1720" spans="1:15" x14ac:dyDescent="0.35">
      <c r="A1720" s="11">
        <v>6778</v>
      </c>
      <c r="B1720" s="11" t="s">
        <v>12</v>
      </c>
      <c r="C1720" s="11">
        <v>52</v>
      </c>
      <c r="D1720" s="11" t="s">
        <v>29</v>
      </c>
      <c r="E1720" s="11" t="s">
        <v>14</v>
      </c>
      <c r="F1720" s="11">
        <v>188</v>
      </c>
      <c r="G1720" s="11">
        <v>86</v>
      </c>
      <c r="H1720" s="11">
        <v>0.54</v>
      </c>
      <c r="I1720" s="11" t="s">
        <v>15</v>
      </c>
      <c r="J1720" s="11">
        <v>29</v>
      </c>
      <c r="K1720" s="11">
        <v>0</v>
      </c>
      <c r="L1720" s="11">
        <v>0</v>
      </c>
      <c r="M1720" s="11">
        <v>0</v>
      </c>
      <c r="N1720" s="11">
        <v>0</v>
      </c>
      <c r="O1720" s="12" t="str">
        <f t="shared" si="26"/>
        <v>20 - 29</v>
      </c>
    </row>
    <row r="1721" spans="1:15" x14ac:dyDescent="0.35">
      <c r="A1721" s="12">
        <v>6779</v>
      </c>
      <c r="B1721" s="12" t="s">
        <v>16</v>
      </c>
      <c r="C1721" s="12">
        <v>16</v>
      </c>
      <c r="D1721" s="12" t="s">
        <v>27</v>
      </c>
      <c r="E1721" s="12" t="s">
        <v>14</v>
      </c>
      <c r="F1721" s="12">
        <v>72</v>
      </c>
      <c r="G1721" s="12">
        <v>95</v>
      </c>
      <c r="H1721" s="12">
        <v>0.17</v>
      </c>
      <c r="I1721" s="12" t="s">
        <v>19</v>
      </c>
      <c r="J1721" s="12">
        <v>43</v>
      </c>
      <c r="K1721" s="12">
        <v>0</v>
      </c>
      <c r="L1721" s="12">
        <v>0</v>
      </c>
      <c r="M1721" s="12">
        <v>0</v>
      </c>
      <c r="N1721" s="12">
        <v>0</v>
      </c>
      <c r="O1721" s="12" t="str">
        <f t="shared" si="26"/>
        <v>40 - 49</v>
      </c>
    </row>
    <row r="1722" spans="1:15" x14ac:dyDescent="0.35">
      <c r="A1722" s="11">
        <v>6780</v>
      </c>
      <c r="B1722" s="11" t="s">
        <v>20</v>
      </c>
      <c r="C1722" s="11">
        <v>53</v>
      </c>
      <c r="D1722" s="11" t="s">
        <v>25</v>
      </c>
      <c r="E1722" s="11" t="s">
        <v>14</v>
      </c>
      <c r="F1722" s="11">
        <v>167</v>
      </c>
      <c r="G1722" s="11">
        <v>80</v>
      </c>
      <c r="H1722" s="11">
        <v>0.13</v>
      </c>
      <c r="I1722" s="11" t="s">
        <v>23</v>
      </c>
      <c r="J1722" s="11">
        <v>40</v>
      </c>
      <c r="K1722" s="11">
        <v>0</v>
      </c>
      <c r="L1722" s="11">
        <v>0</v>
      </c>
      <c r="M1722" s="11">
        <v>0</v>
      </c>
      <c r="N1722" s="11">
        <v>0</v>
      </c>
      <c r="O1722" s="12" t="str">
        <f t="shared" si="26"/>
        <v>40 - 49</v>
      </c>
    </row>
    <row r="1723" spans="1:15" x14ac:dyDescent="0.35">
      <c r="A1723" s="12">
        <v>6783</v>
      </c>
      <c r="B1723" s="12" t="s">
        <v>16</v>
      </c>
      <c r="C1723" s="12">
        <v>34</v>
      </c>
      <c r="D1723" s="12" t="s">
        <v>21</v>
      </c>
      <c r="E1723" s="12" t="s">
        <v>14</v>
      </c>
      <c r="F1723" s="12">
        <v>167</v>
      </c>
      <c r="G1723" s="12">
        <v>31</v>
      </c>
      <c r="H1723" s="12">
        <v>0.32</v>
      </c>
      <c r="I1723" s="12" t="s">
        <v>23</v>
      </c>
      <c r="J1723" s="12">
        <v>41</v>
      </c>
      <c r="K1723" s="12">
        <v>0</v>
      </c>
      <c r="L1723" s="12">
        <v>0</v>
      </c>
      <c r="M1723" s="12">
        <v>0</v>
      </c>
      <c r="N1723" s="12">
        <v>0</v>
      </c>
      <c r="O1723" s="12" t="str">
        <f t="shared" si="26"/>
        <v>40 - 49</v>
      </c>
    </row>
    <row r="1724" spans="1:15" x14ac:dyDescent="0.35">
      <c r="A1724" s="11">
        <v>6787</v>
      </c>
      <c r="B1724" s="11" t="s">
        <v>20</v>
      </c>
      <c r="C1724" s="11">
        <v>25</v>
      </c>
      <c r="D1724" s="11" t="s">
        <v>13</v>
      </c>
      <c r="E1724" s="11" t="s">
        <v>14</v>
      </c>
      <c r="F1724" s="11">
        <v>163</v>
      </c>
      <c r="G1724" s="11">
        <v>92</v>
      </c>
      <c r="H1724" s="11">
        <v>0.21</v>
      </c>
      <c r="I1724" s="11" t="s">
        <v>15</v>
      </c>
      <c r="J1724" s="11">
        <v>8</v>
      </c>
      <c r="K1724" s="11">
        <v>0</v>
      </c>
      <c r="L1724" s="11">
        <v>0</v>
      </c>
      <c r="M1724" s="11">
        <v>0</v>
      </c>
      <c r="N1724" s="11">
        <v>0</v>
      </c>
      <c r="O1724" s="12" t="str">
        <f t="shared" si="26"/>
        <v>0 - 9</v>
      </c>
    </row>
    <row r="1725" spans="1:15" x14ac:dyDescent="0.35">
      <c r="A1725" s="12">
        <v>6789</v>
      </c>
      <c r="B1725" s="12" t="s">
        <v>12</v>
      </c>
      <c r="C1725" s="12">
        <v>18</v>
      </c>
      <c r="D1725" s="12" t="s">
        <v>25</v>
      </c>
      <c r="E1725" s="12" t="s">
        <v>14</v>
      </c>
      <c r="F1725" s="12">
        <v>240</v>
      </c>
      <c r="G1725" s="12">
        <v>74</v>
      </c>
      <c r="H1725" s="12">
        <v>0.18</v>
      </c>
      <c r="I1725" s="12" t="s">
        <v>15</v>
      </c>
      <c r="J1725" s="12">
        <v>46</v>
      </c>
      <c r="K1725" s="12">
        <v>0</v>
      </c>
      <c r="L1725" s="12">
        <v>0</v>
      </c>
      <c r="M1725" s="12">
        <v>0</v>
      </c>
      <c r="N1725" s="12">
        <v>0</v>
      </c>
      <c r="O1725" s="12" t="str">
        <f t="shared" si="26"/>
        <v>40 - 49</v>
      </c>
    </row>
    <row r="1726" spans="1:15" x14ac:dyDescent="0.35">
      <c r="A1726" s="11">
        <v>6790</v>
      </c>
      <c r="B1726" s="11" t="s">
        <v>20</v>
      </c>
      <c r="C1726" s="11">
        <v>31</v>
      </c>
      <c r="D1726" s="11" t="s">
        <v>28</v>
      </c>
      <c r="E1726" s="11" t="s">
        <v>14</v>
      </c>
      <c r="F1726" s="11">
        <v>166</v>
      </c>
      <c r="G1726" s="11">
        <v>72</v>
      </c>
      <c r="H1726" s="11">
        <v>0.45</v>
      </c>
      <c r="I1726" s="11" t="s">
        <v>23</v>
      </c>
      <c r="J1726" s="11">
        <v>20</v>
      </c>
      <c r="K1726" s="11">
        <v>0</v>
      </c>
      <c r="L1726" s="11">
        <v>0</v>
      </c>
      <c r="M1726" s="11">
        <v>0</v>
      </c>
      <c r="N1726" s="11">
        <v>0</v>
      </c>
      <c r="O1726" s="12" t="str">
        <f t="shared" si="26"/>
        <v>20 - 29</v>
      </c>
    </row>
    <row r="1727" spans="1:15" x14ac:dyDescent="0.35">
      <c r="A1727" s="12">
        <v>6792</v>
      </c>
      <c r="B1727" s="12" t="s">
        <v>16</v>
      </c>
      <c r="C1727" s="12">
        <v>30</v>
      </c>
      <c r="D1727" s="12" t="s">
        <v>27</v>
      </c>
      <c r="E1727" s="12" t="s">
        <v>14</v>
      </c>
      <c r="F1727" s="12">
        <v>183</v>
      </c>
      <c r="G1727" s="12">
        <v>61</v>
      </c>
      <c r="H1727" s="12">
        <v>0.32</v>
      </c>
      <c r="I1727" s="12" t="s">
        <v>15</v>
      </c>
      <c r="J1727" s="12">
        <v>36</v>
      </c>
      <c r="K1727" s="12">
        <v>0</v>
      </c>
      <c r="L1727" s="12">
        <v>0</v>
      </c>
      <c r="M1727" s="12">
        <v>0</v>
      </c>
      <c r="N1727" s="12">
        <v>0</v>
      </c>
      <c r="O1727" s="12" t="str">
        <f t="shared" si="26"/>
        <v>30 - 39</v>
      </c>
    </row>
    <row r="1728" spans="1:15" x14ac:dyDescent="0.35">
      <c r="A1728" s="11">
        <v>6793</v>
      </c>
      <c r="B1728" s="11" t="s">
        <v>16</v>
      </c>
      <c r="C1728" s="11">
        <v>35</v>
      </c>
      <c r="D1728" s="11" t="s">
        <v>21</v>
      </c>
      <c r="E1728" s="11" t="s">
        <v>14</v>
      </c>
      <c r="F1728" s="11">
        <v>55</v>
      </c>
      <c r="G1728" s="11">
        <v>51</v>
      </c>
      <c r="H1728" s="11">
        <v>0.16</v>
      </c>
      <c r="I1728" s="11" t="s">
        <v>23</v>
      </c>
      <c r="J1728" s="11">
        <v>12</v>
      </c>
      <c r="K1728" s="11">
        <v>0</v>
      </c>
      <c r="L1728" s="11">
        <v>0</v>
      </c>
      <c r="M1728" s="11">
        <v>0</v>
      </c>
      <c r="N1728" s="11">
        <v>0</v>
      </c>
      <c r="O1728" s="12" t="str">
        <f t="shared" si="26"/>
        <v>10 - 19</v>
      </c>
    </row>
    <row r="1729" spans="1:15" x14ac:dyDescent="0.35">
      <c r="A1729" s="12">
        <v>6800</v>
      </c>
      <c r="B1729" s="12" t="s">
        <v>20</v>
      </c>
      <c r="C1729" s="12">
        <v>26</v>
      </c>
      <c r="D1729" s="12" t="s">
        <v>28</v>
      </c>
      <c r="E1729" s="12" t="s">
        <v>14</v>
      </c>
      <c r="F1729" s="12">
        <v>35</v>
      </c>
      <c r="G1729" s="12">
        <v>18</v>
      </c>
      <c r="H1729" s="12">
        <v>0.23</v>
      </c>
      <c r="I1729" s="12" t="s">
        <v>19</v>
      </c>
      <c r="J1729" s="12">
        <v>41</v>
      </c>
      <c r="K1729" s="12">
        <v>0</v>
      </c>
      <c r="L1729" s="12">
        <v>0</v>
      </c>
      <c r="M1729" s="12">
        <v>0</v>
      </c>
      <c r="N1729" s="12">
        <v>0</v>
      </c>
      <c r="O1729" s="12" t="str">
        <f t="shared" si="26"/>
        <v>40 - 49</v>
      </c>
    </row>
    <row r="1730" spans="1:15" x14ac:dyDescent="0.35">
      <c r="A1730" s="11">
        <v>6816</v>
      </c>
      <c r="B1730" s="11" t="s">
        <v>16</v>
      </c>
      <c r="C1730" s="11">
        <v>56</v>
      </c>
      <c r="D1730" s="11" t="s">
        <v>28</v>
      </c>
      <c r="E1730" s="11" t="s">
        <v>14</v>
      </c>
      <c r="F1730" s="11">
        <v>298</v>
      </c>
      <c r="G1730" s="11">
        <v>74</v>
      </c>
      <c r="H1730" s="11">
        <v>0.41</v>
      </c>
      <c r="I1730" s="11" t="s">
        <v>19</v>
      </c>
      <c r="J1730" s="11">
        <v>12</v>
      </c>
      <c r="K1730" s="11">
        <v>0</v>
      </c>
      <c r="L1730" s="11">
        <v>0</v>
      </c>
      <c r="M1730" s="11">
        <v>0</v>
      </c>
      <c r="N1730" s="11">
        <v>0</v>
      </c>
      <c r="O1730" s="12" t="str">
        <f t="shared" ref="O1730:O1793" si="27">_xlfn.FLOOR.MATH(J1730, 10) &amp; " - " &amp; (_xlfn.FLOOR.MATH(J1730, 10) + 9)</f>
        <v>10 - 19</v>
      </c>
    </row>
    <row r="1731" spans="1:15" x14ac:dyDescent="0.35">
      <c r="A1731" s="12">
        <v>6818</v>
      </c>
      <c r="B1731" s="12" t="s">
        <v>20</v>
      </c>
      <c r="C1731" s="12">
        <v>31</v>
      </c>
      <c r="D1731" s="12" t="s">
        <v>13</v>
      </c>
      <c r="E1731" s="12" t="s">
        <v>14</v>
      </c>
      <c r="F1731" s="12">
        <v>139</v>
      </c>
      <c r="G1731" s="12">
        <v>65</v>
      </c>
      <c r="H1731" s="12">
        <v>0.56000000000000005</v>
      </c>
      <c r="I1731" s="12" t="s">
        <v>23</v>
      </c>
      <c r="J1731" s="12">
        <v>9</v>
      </c>
      <c r="K1731" s="12">
        <v>0</v>
      </c>
      <c r="L1731" s="12">
        <v>0</v>
      </c>
      <c r="M1731" s="12">
        <v>0</v>
      </c>
      <c r="N1731" s="12">
        <v>0</v>
      </c>
      <c r="O1731" s="12" t="str">
        <f t="shared" si="27"/>
        <v>0 - 9</v>
      </c>
    </row>
    <row r="1732" spans="1:15" x14ac:dyDescent="0.35">
      <c r="A1732" s="11">
        <v>6820</v>
      </c>
      <c r="B1732" s="11" t="s">
        <v>16</v>
      </c>
      <c r="C1732" s="11">
        <v>31</v>
      </c>
      <c r="D1732" s="11" t="s">
        <v>25</v>
      </c>
      <c r="E1732" s="11" t="s">
        <v>14</v>
      </c>
      <c r="F1732" s="11">
        <v>19</v>
      </c>
      <c r="G1732" s="11">
        <v>27</v>
      </c>
      <c r="H1732" s="11">
        <v>0.53</v>
      </c>
      <c r="I1732" s="11" t="s">
        <v>23</v>
      </c>
      <c r="J1732" s="11">
        <v>16</v>
      </c>
      <c r="K1732" s="11">
        <v>0</v>
      </c>
      <c r="L1732" s="11">
        <v>0</v>
      </c>
      <c r="M1732" s="11">
        <v>0</v>
      </c>
      <c r="N1732" s="11">
        <v>0</v>
      </c>
      <c r="O1732" s="12" t="str">
        <f t="shared" si="27"/>
        <v>10 - 19</v>
      </c>
    </row>
    <row r="1733" spans="1:15" x14ac:dyDescent="0.35">
      <c r="A1733" s="12">
        <v>6823</v>
      </c>
      <c r="B1733" s="12" t="s">
        <v>20</v>
      </c>
      <c r="C1733" s="12">
        <v>17</v>
      </c>
      <c r="D1733" s="12" t="s">
        <v>21</v>
      </c>
      <c r="E1733" s="12" t="s">
        <v>14</v>
      </c>
      <c r="F1733" s="12">
        <v>89</v>
      </c>
      <c r="G1733" s="12">
        <v>15</v>
      </c>
      <c r="H1733" s="12">
        <v>0.19</v>
      </c>
      <c r="I1733" s="12" t="s">
        <v>23</v>
      </c>
      <c r="J1733" s="12">
        <v>40</v>
      </c>
      <c r="K1733" s="12">
        <v>0</v>
      </c>
      <c r="L1733" s="12">
        <v>1</v>
      </c>
      <c r="M1733" s="12">
        <v>0</v>
      </c>
      <c r="N1733" s="12">
        <v>0</v>
      </c>
      <c r="O1733" s="12" t="str">
        <f t="shared" si="27"/>
        <v>40 - 49</v>
      </c>
    </row>
    <row r="1734" spans="1:15" x14ac:dyDescent="0.35">
      <c r="A1734" s="11">
        <v>6828</v>
      </c>
      <c r="B1734" s="11" t="s">
        <v>20</v>
      </c>
      <c r="C1734" s="11">
        <v>44</v>
      </c>
      <c r="D1734" s="11" t="s">
        <v>21</v>
      </c>
      <c r="E1734" s="11" t="s">
        <v>14</v>
      </c>
      <c r="F1734" s="11">
        <v>24</v>
      </c>
      <c r="G1734" s="11">
        <v>95</v>
      </c>
      <c r="H1734" s="11">
        <v>0.15</v>
      </c>
      <c r="I1734" s="11" t="s">
        <v>23</v>
      </c>
      <c r="J1734" s="11">
        <v>7</v>
      </c>
      <c r="K1734" s="11">
        <v>0</v>
      </c>
      <c r="L1734" s="11">
        <v>0</v>
      </c>
      <c r="M1734" s="11">
        <v>0</v>
      </c>
      <c r="N1734" s="11">
        <v>0</v>
      </c>
      <c r="O1734" s="12" t="str">
        <f t="shared" si="27"/>
        <v>0 - 9</v>
      </c>
    </row>
    <row r="1735" spans="1:15" x14ac:dyDescent="0.35">
      <c r="A1735" s="12">
        <v>6837</v>
      </c>
      <c r="B1735" s="12" t="s">
        <v>16</v>
      </c>
      <c r="C1735" s="12">
        <v>19</v>
      </c>
      <c r="D1735" s="12" t="s">
        <v>26</v>
      </c>
      <c r="E1735" s="12" t="s">
        <v>14</v>
      </c>
      <c r="F1735" s="12">
        <v>102</v>
      </c>
      <c r="G1735" s="12">
        <v>34</v>
      </c>
      <c r="H1735" s="12">
        <v>0.36</v>
      </c>
      <c r="I1735" s="12" t="s">
        <v>15</v>
      </c>
      <c r="J1735" s="12">
        <v>43</v>
      </c>
      <c r="K1735" s="12">
        <v>0</v>
      </c>
      <c r="L1735" s="12">
        <v>0</v>
      </c>
      <c r="M1735" s="12">
        <v>0</v>
      </c>
      <c r="N1735" s="12">
        <v>0</v>
      </c>
      <c r="O1735" s="12" t="str">
        <f t="shared" si="27"/>
        <v>40 - 49</v>
      </c>
    </row>
    <row r="1736" spans="1:15" x14ac:dyDescent="0.35">
      <c r="A1736" s="11">
        <v>6839</v>
      </c>
      <c r="B1736" s="11" t="s">
        <v>12</v>
      </c>
      <c r="C1736" s="11">
        <v>34</v>
      </c>
      <c r="D1736" s="11" t="s">
        <v>25</v>
      </c>
      <c r="E1736" s="11" t="s">
        <v>14</v>
      </c>
      <c r="F1736" s="11">
        <v>171</v>
      </c>
      <c r="G1736" s="11">
        <v>94</v>
      </c>
      <c r="H1736" s="11">
        <v>0.03</v>
      </c>
      <c r="I1736" s="11" t="s">
        <v>19</v>
      </c>
      <c r="J1736" s="11">
        <v>24</v>
      </c>
      <c r="K1736" s="11">
        <v>0</v>
      </c>
      <c r="L1736" s="11">
        <v>0</v>
      </c>
      <c r="M1736" s="11">
        <v>0</v>
      </c>
      <c r="N1736" s="11">
        <v>0</v>
      </c>
      <c r="O1736" s="12" t="str">
        <f t="shared" si="27"/>
        <v>20 - 29</v>
      </c>
    </row>
    <row r="1737" spans="1:15" x14ac:dyDescent="0.35">
      <c r="A1737" s="12">
        <v>6842</v>
      </c>
      <c r="B1737" s="12" t="s">
        <v>12</v>
      </c>
      <c r="C1737" s="12">
        <v>24</v>
      </c>
      <c r="D1737" s="12" t="s">
        <v>28</v>
      </c>
      <c r="E1737" s="12" t="s">
        <v>14</v>
      </c>
      <c r="F1737" s="12">
        <v>161</v>
      </c>
      <c r="G1737" s="12">
        <v>62</v>
      </c>
      <c r="H1737" s="12">
        <v>0.2</v>
      </c>
      <c r="I1737" s="12" t="s">
        <v>15</v>
      </c>
      <c r="J1737" s="12">
        <v>26</v>
      </c>
      <c r="K1737" s="12">
        <v>0</v>
      </c>
      <c r="L1737" s="12">
        <v>0</v>
      </c>
      <c r="M1737" s="12">
        <v>0</v>
      </c>
      <c r="N1737" s="12">
        <v>0</v>
      </c>
      <c r="O1737" s="12" t="str">
        <f t="shared" si="27"/>
        <v>20 - 29</v>
      </c>
    </row>
    <row r="1738" spans="1:15" x14ac:dyDescent="0.35">
      <c r="A1738" s="11">
        <v>6851</v>
      </c>
      <c r="B1738" s="11" t="s">
        <v>20</v>
      </c>
      <c r="C1738" s="11">
        <v>47</v>
      </c>
      <c r="D1738" s="11" t="s">
        <v>29</v>
      </c>
      <c r="E1738" s="11" t="s">
        <v>14</v>
      </c>
      <c r="F1738" s="11">
        <v>32</v>
      </c>
      <c r="G1738" s="11">
        <v>52</v>
      </c>
      <c r="H1738" s="11">
        <v>0.33</v>
      </c>
      <c r="I1738" s="11" t="s">
        <v>15</v>
      </c>
      <c r="J1738" s="11">
        <v>48</v>
      </c>
      <c r="K1738" s="11">
        <v>0</v>
      </c>
      <c r="L1738" s="11">
        <v>0</v>
      </c>
      <c r="M1738" s="11">
        <v>0</v>
      </c>
      <c r="N1738" s="11">
        <v>0</v>
      </c>
      <c r="O1738" s="12" t="str">
        <f t="shared" si="27"/>
        <v>40 - 49</v>
      </c>
    </row>
    <row r="1739" spans="1:15" x14ac:dyDescent="0.35">
      <c r="A1739" s="12">
        <v>6852</v>
      </c>
      <c r="B1739" s="12" t="s">
        <v>12</v>
      </c>
      <c r="C1739" s="12">
        <v>24</v>
      </c>
      <c r="D1739" s="12" t="s">
        <v>27</v>
      </c>
      <c r="E1739" s="12" t="s">
        <v>14</v>
      </c>
      <c r="F1739" s="12">
        <v>170</v>
      </c>
      <c r="G1739" s="12">
        <v>23</v>
      </c>
      <c r="H1739" s="12">
        <v>0.37</v>
      </c>
      <c r="I1739" s="12" t="s">
        <v>15</v>
      </c>
      <c r="J1739" s="12">
        <v>23</v>
      </c>
      <c r="K1739" s="12">
        <v>0</v>
      </c>
      <c r="L1739" s="12">
        <v>0</v>
      </c>
      <c r="M1739" s="12">
        <v>0</v>
      </c>
      <c r="N1739" s="12">
        <v>0</v>
      </c>
      <c r="O1739" s="12" t="str">
        <f t="shared" si="27"/>
        <v>20 - 29</v>
      </c>
    </row>
    <row r="1740" spans="1:15" x14ac:dyDescent="0.35">
      <c r="A1740" s="11">
        <v>6854</v>
      </c>
      <c r="B1740" s="11" t="s">
        <v>16</v>
      </c>
      <c r="C1740" s="11">
        <v>48</v>
      </c>
      <c r="D1740" s="11" t="s">
        <v>21</v>
      </c>
      <c r="E1740" s="11" t="s">
        <v>14</v>
      </c>
      <c r="F1740" s="11">
        <v>172</v>
      </c>
      <c r="G1740" s="11">
        <v>63</v>
      </c>
      <c r="H1740" s="11">
        <v>0.41</v>
      </c>
      <c r="I1740" s="11" t="s">
        <v>23</v>
      </c>
      <c r="J1740" s="11">
        <v>33</v>
      </c>
      <c r="K1740" s="11">
        <v>0</v>
      </c>
      <c r="L1740" s="11">
        <v>0</v>
      </c>
      <c r="M1740" s="11">
        <v>0</v>
      </c>
      <c r="N1740" s="11">
        <v>0</v>
      </c>
      <c r="O1740" s="12" t="str">
        <f t="shared" si="27"/>
        <v>30 - 39</v>
      </c>
    </row>
    <row r="1741" spans="1:15" x14ac:dyDescent="0.35">
      <c r="A1741" s="12">
        <v>6855</v>
      </c>
      <c r="B1741" s="12" t="s">
        <v>20</v>
      </c>
      <c r="C1741" s="12">
        <v>47</v>
      </c>
      <c r="D1741" s="12" t="s">
        <v>28</v>
      </c>
      <c r="E1741" s="12" t="s">
        <v>14</v>
      </c>
      <c r="F1741" s="12">
        <v>192</v>
      </c>
      <c r="G1741" s="12">
        <v>11</v>
      </c>
      <c r="H1741" s="12">
        <v>0.42</v>
      </c>
      <c r="I1741" s="12" t="s">
        <v>23</v>
      </c>
      <c r="J1741" s="12">
        <v>44</v>
      </c>
      <c r="K1741" s="12">
        <v>0</v>
      </c>
      <c r="L1741" s="12">
        <v>0</v>
      </c>
      <c r="M1741" s="12">
        <v>0</v>
      </c>
      <c r="N1741" s="12">
        <v>0</v>
      </c>
      <c r="O1741" s="12" t="str">
        <f t="shared" si="27"/>
        <v>40 - 49</v>
      </c>
    </row>
    <row r="1742" spans="1:15" x14ac:dyDescent="0.35">
      <c r="A1742" s="11">
        <v>6857</v>
      </c>
      <c r="B1742" s="11" t="s">
        <v>16</v>
      </c>
      <c r="C1742" s="11">
        <v>35</v>
      </c>
      <c r="D1742" s="11" t="s">
        <v>25</v>
      </c>
      <c r="E1742" s="11" t="s">
        <v>14</v>
      </c>
      <c r="F1742" s="11">
        <v>234</v>
      </c>
      <c r="G1742" s="11">
        <v>79</v>
      </c>
      <c r="H1742" s="11">
        <v>0.44</v>
      </c>
      <c r="I1742" s="11" t="s">
        <v>15</v>
      </c>
      <c r="J1742" s="11">
        <v>9</v>
      </c>
      <c r="K1742" s="11">
        <v>0</v>
      </c>
      <c r="L1742" s="11">
        <v>0</v>
      </c>
      <c r="M1742" s="11">
        <v>0</v>
      </c>
      <c r="N1742" s="11">
        <v>0</v>
      </c>
      <c r="O1742" s="12" t="str">
        <f t="shared" si="27"/>
        <v>0 - 9</v>
      </c>
    </row>
    <row r="1743" spans="1:15" x14ac:dyDescent="0.35">
      <c r="A1743" s="12">
        <v>6858</v>
      </c>
      <c r="B1743" s="12" t="s">
        <v>16</v>
      </c>
      <c r="C1743" s="12">
        <v>17</v>
      </c>
      <c r="D1743" s="12" t="s">
        <v>25</v>
      </c>
      <c r="E1743" s="12" t="s">
        <v>14</v>
      </c>
      <c r="F1743" s="12">
        <v>222</v>
      </c>
      <c r="G1743" s="12">
        <v>92</v>
      </c>
      <c r="H1743" s="12">
        <v>0.56999999999999995</v>
      </c>
      <c r="I1743" s="12" t="s">
        <v>19</v>
      </c>
      <c r="J1743" s="12">
        <v>16</v>
      </c>
      <c r="K1743" s="12">
        <v>0</v>
      </c>
      <c r="L1743" s="12">
        <v>1</v>
      </c>
      <c r="M1743" s="12">
        <v>0</v>
      </c>
      <c r="N1743" s="12">
        <v>0</v>
      </c>
      <c r="O1743" s="12" t="str">
        <f t="shared" si="27"/>
        <v>10 - 19</v>
      </c>
    </row>
    <row r="1744" spans="1:15" x14ac:dyDescent="0.35">
      <c r="A1744" s="11">
        <v>6860</v>
      </c>
      <c r="B1744" s="11" t="s">
        <v>12</v>
      </c>
      <c r="C1744" s="11">
        <v>41</v>
      </c>
      <c r="D1744" s="11" t="s">
        <v>28</v>
      </c>
      <c r="E1744" s="11" t="s">
        <v>14</v>
      </c>
      <c r="F1744" s="11">
        <v>40</v>
      </c>
      <c r="G1744" s="11">
        <v>44</v>
      </c>
      <c r="H1744" s="11">
        <v>0.39</v>
      </c>
      <c r="I1744" s="11" t="s">
        <v>19</v>
      </c>
      <c r="J1744" s="11">
        <v>43</v>
      </c>
      <c r="K1744" s="11">
        <v>0</v>
      </c>
      <c r="L1744" s="11">
        <v>0</v>
      </c>
      <c r="M1744" s="11">
        <v>0</v>
      </c>
      <c r="N1744" s="11">
        <v>0</v>
      </c>
      <c r="O1744" s="12" t="str">
        <f t="shared" si="27"/>
        <v>40 - 49</v>
      </c>
    </row>
    <row r="1745" spans="1:15" x14ac:dyDescent="0.35">
      <c r="A1745" s="12">
        <v>6878</v>
      </c>
      <c r="B1745" s="12" t="s">
        <v>20</v>
      </c>
      <c r="C1745" s="12">
        <v>26</v>
      </c>
      <c r="D1745" s="12" t="s">
        <v>29</v>
      </c>
      <c r="E1745" s="12" t="s">
        <v>14</v>
      </c>
      <c r="F1745" s="12">
        <v>14</v>
      </c>
      <c r="G1745" s="12">
        <v>45</v>
      </c>
      <c r="H1745" s="12">
        <v>0.31</v>
      </c>
      <c r="I1745" s="12" t="s">
        <v>15</v>
      </c>
      <c r="J1745" s="12">
        <v>29</v>
      </c>
      <c r="K1745" s="12">
        <v>0</v>
      </c>
      <c r="L1745" s="12">
        <v>1</v>
      </c>
      <c r="M1745" s="12">
        <v>0</v>
      </c>
      <c r="N1745" s="12">
        <v>0</v>
      </c>
      <c r="O1745" s="12" t="str">
        <f t="shared" si="27"/>
        <v>20 - 29</v>
      </c>
    </row>
    <row r="1746" spans="1:15" x14ac:dyDescent="0.35">
      <c r="A1746" s="11">
        <v>6879</v>
      </c>
      <c r="B1746" s="11" t="s">
        <v>20</v>
      </c>
      <c r="C1746" s="11">
        <v>53</v>
      </c>
      <c r="D1746" s="11" t="s">
        <v>29</v>
      </c>
      <c r="E1746" s="11" t="s">
        <v>14</v>
      </c>
      <c r="F1746" s="11">
        <v>213</v>
      </c>
      <c r="G1746" s="11">
        <v>87</v>
      </c>
      <c r="H1746" s="11">
        <v>0.6</v>
      </c>
      <c r="I1746" s="11" t="s">
        <v>19</v>
      </c>
      <c r="J1746" s="11">
        <v>20</v>
      </c>
      <c r="K1746" s="11">
        <v>0</v>
      </c>
      <c r="L1746" s="11">
        <v>0</v>
      </c>
      <c r="M1746" s="11">
        <v>0</v>
      </c>
      <c r="N1746" s="11">
        <v>0</v>
      </c>
      <c r="O1746" s="12" t="str">
        <f t="shared" si="27"/>
        <v>20 - 29</v>
      </c>
    </row>
    <row r="1747" spans="1:15" x14ac:dyDescent="0.35">
      <c r="A1747" s="12">
        <v>6880</v>
      </c>
      <c r="B1747" s="12" t="s">
        <v>16</v>
      </c>
      <c r="C1747" s="12">
        <v>21</v>
      </c>
      <c r="D1747" s="12" t="s">
        <v>25</v>
      </c>
      <c r="E1747" s="12" t="s">
        <v>14</v>
      </c>
      <c r="F1747" s="12">
        <v>141</v>
      </c>
      <c r="G1747" s="12">
        <v>4</v>
      </c>
      <c r="H1747" s="12">
        <v>0.27</v>
      </c>
      <c r="I1747" s="12" t="s">
        <v>15</v>
      </c>
      <c r="J1747" s="12">
        <v>37</v>
      </c>
      <c r="K1747" s="12">
        <v>0</v>
      </c>
      <c r="L1747" s="12">
        <v>1</v>
      </c>
      <c r="M1747" s="12">
        <v>0</v>
      </c>
      <c r="N1747" s="12">
        <v>0</v>
      </c>
      <c r="O1747" s="12" t="str">
        <f t="shared" si="27"/>
        <v>30 - 39</v>
      </c>
    </row>
    <row r="1748" spans="1:15" x14ac:dyDescent="0.35">
      <c r="A1748" s="11">
        <v>6882</v>
      </c>
      <c r="B1748" s="11" t="s">
        <v>12</v>
      </c>
      <c r="C1748" s="11">
        <v>56</v>
      </c>
      <c r="D1748" s="11" t="s">
        <v>25</v>
      </c>
      <c r="E1748" s="11" t="s">
        <v>14</v>
      </c>
      <c r="F1748" s="11">
        <v>227</v>
      </c>
      <c r="G1748" s="11">
        <v>83</v>
      </c>
      <c r="H1748" s="11">
        <v>0.44</v>
      </c>
      <c r="I1748" s="11" t="s">
        <v>19</v>
      </c>
      <c r="J1748" s="11">
        <v>7</v>
      </c>
      <c r="K1748" s="11">
        <v>0</v>
      </c>
      <c r="L1748" s="11">
        <v>0</v>
      </c>
      <c r="M1748" s="11">
        <v>0</v>
      </c>
      <c r="N1748" s="11">
        <v>0</v>
      </c>
      <c r="O1748" s="12" t="str">
        <f t="shared" si="27"/>
        <v>0 - 9</v>
      </c>
    </row>
    <row r="1749" spans="1:15" x14ac:dyDescent="0.35">
      <c r="A1749" s="12">
        <v>6885</v>
      </c>
      <c r="B1749" s="12" t="s">
        <v>16</v>
      </c>
      <c r="C1749" s="12">
        <v>54</v>
      </c>
      <c r="D1749" s="12" t="s">
        <v>17</v>
      </c>
      <c r="E1749" s="12" t="s">
        <v>14</v>
      </c>
      <c r="F1749" s="12">
        <v>271</v>
      </c>
      <c r="G1749" s="12">
        <v>33</v>
      </c>
      <c r="H1749" s="12">
        <v>0.57999999999999996</v>
      </c>
      <c r="I1749" s="12" t="s">
        <v>15</v>
      </c>
      <c r="J1749" s="12">
        <v>8</v>
      </c>
      <c r="K1749" s="12">
        <v>0</v>
      </c>
      <c r="L1749" s="12">
        <v>0</v>
      </c>
      <c r="M1749" s="12">
        <v>0</v>
      </c>
      <c r="N1749" s="12">
        <v>0</v>
      </c>
      <c r="O1749" s="12" t="str">
        <f t="shared" si="27"/>
        <v>0 - 9</v>
      </c>
    </row>
    <row r="1750" spans="1:15" x14ac:dyDescent="0.35">
      <c r="A1750" s="11">
        <v>6889</v>
      </c>
      <c r="B1750" s="11" t="s">
        <v>20</v>
      </c>
      <c r="C1750" s="11">
        <v>48</v>
      </c>
      <c r="D1750" s="11" t="s">
        <v>26</v>
      </c>
      <c r="E1750" s="11" t="s">
        <v>14</v>
      </c>
      <c r="F1750" s="11">
        <v>94</v>
      </c>
      <c r="G1750" s="11">
        <v>10</v>
      </c>
      <c r="H1750" s="11">
        <v>0.18</v>
      </c>
      <c r="I1750" s="11" t="s">
        <v>23</v>
      </c>
      <c r="J1750" s="11">
        <v>9</v>
      </c>
      <c r="K1750" s="11">
        <v>0</v>
      </c>
      <c r="L1750" s="11">
        <v>0</v>
      </c>
      <c r="M1750" s="11">
        <v>0</v>
      </c>
      <c r="N1750" s="11">
        <v>0</v>
      </c>
      <c r="O1750" s="12" t="str">
        <f t="shared" si="27"/>
        <v>0 - 9</v>
      </c>
    </row>
    <row r="1751" spans="1:15" x14ac:dyDescent="0.35">
      <c r="A1751" s="12">
        <v>6891</v>
      </c>
      <c r="B1751" s="12" t="s">
        <v>12</v>
      </c>
      <c r="C1751" s="12">
        <v>48</v>
      </c>
      <c r="D1751" s="12" t="s">
        <v>13</v>
      </c>
      <c r="E1751" s="12" t="s">
        <v>14</v>
      </c>
      <c r="F1751" s="12">
        <v>120</v>
      </c>
      <c r="G1751" s="12">
        <v>78</v>
      </c>
      <c r="H1751" s="12">
        <v>0.54</v>
      </c>
      <c r="I1751" s="12" t="s">
        <v>23</v>
      </c>
      <c r="J1751" s="12">
        <v>41</v>
      </c>
      <c r="K1751" s="12">
        <v>0</v>
      </c>
      <c r="L1751" s="12">
        <v>1</v>
      </c>
      <c r="M1751" s="12">
        <v>0</v>
      </c>
      <c r="N1751" s="12">
        <v>0</v>
      </c>
      <c r="O1751" s="12" t="str">
        <f t="shared" si="27"/>
        <v>40 - 49</v>
      </c>
    </row>
    <row r="1752" spans="1:15" x14ac:dyDescent="0.35">
      <c r="A1752" s="11">
        <v>6895</v>
      </c>
      <c r="B1752" s="11" t="s">
        <v>20</v>
      </c>
      <c r="C1752" s="11">
        <v>44</v>
      </c>
      <c r="D1752" s="11" t="s">
        <v>29</v>
      </c>
      <c r="E1752" s="11" t="s">
        <v>14</v>
      </c>
      <c r="F1752" s="11">
        <v>67</v>
      </c>
      <c r="G1752" s="11">
        <v>80</v>
      </c>
      <c r="H1752" s="11">
        <v>7.0000000000000007E-2</v>
      </c>
      <c r="I1752" s="11" t="s">
        <v>15</v>
      </c>
      <c r="J1752" s="11">
        <v>35</v>
      </c>
      <c r="K1752" s="11">
        <v>0</v>
      </c>
      <c r="L1752" s="11">
        <v>0</v>
      </c>
      <c r="M1752" s="11">
        <v>0</v>
      </c>
      <c r="N1752" s="11">
        <v>0</v>
      </c>
      <c r="O1752" s="12" t="str">
        <f t="shared" si="27"/>
        <v>30 - 39</v>
      </c>
    </row>
    <row r="1753" spans="1:15" x14ac:dyDescent="0.35">
      <c r="A1753" s="12">
        <v>6901</v>
      </c>
      <c r="B1753" s="12" t="s">
        <v>12</v>
      </c>
      <c r="C1753" s="12">
        <v>18</v>
      </c>
      <c r="D1753" s="12" t="s">
        <v>28</v>
      </c>
      <c r="E1753" s="12" t="s">
        <v>14</v>
      </c>
      <c r="F1753" s="12">
        <v>39</v>
      </c>
      <c r="G1753" s="12">
        <v>38</v>
      </c>
      <c r="H1753" s="12">
        <v>0.25</v>
      </c>
      <c r="I1753" s="12" t="s">
        <v>15</v>
      </c>
      <c r="J1753" s="12">
        <v>41</v>
      </c>
      <c r="K1753" s="12">
        <v>0</v>
      </c>
      <c r="L1753" s="12">
        <v>1</v>
      </c>
      <c r="M1753" s="12">
        <v>0</v>
      </c>
      <c r="N1753" s="12">
        <v>0</v>
      </c>
      <c r="O1753" s="12" t="str">
        <f t="shared" si="27"/>
        <v>40 - 49</v>
      </c>
    </row>
    <row r="1754" spans="1:15" x14ac:dyDescent="0.35">
      <c r="A1754" s="11">
        <v>6902</v>
      </c>
      <c r="B1754" s="11" t="s">
        <v>12</v>
      </c>
      <c r="C1754" s="11">
        <v>51</v>
      </c>
      <c r="D1754" s="11" t="s">
        <v>25</v>
      </c>
      <c r="E1754" s="11" t="s">
        <v>14</v>
      </c>
      <c r="F1754" s="11">
        <v>214</v>
      </c>
      <c r="G1754" s="11">
        <v>26</v>
      </c>
      <c r="H1754" s="11">
        <v>0.24</v>
      </c>
      <c r="I1754" s="11" t="s">
        <v>19</v>
      </c>
      <c r="J1754" s="11">
        <v>47</v>
      </c>
      <c r="K1754" s="11">
        <v>0</v>
      </c>
      <c r="L1754" s="11">
        <v>0</v>
      </c>
      <c r="M1754" s="11">
        <v>0</v>
      </c>
      <c r="N1754" s="11">
        <v>0</v>
      </c>
      <c r="O1754" s="12" t="str">
        <f t="shared" si="27"/>
        <v>40 - 49</v>
      </c>
    </row>
    <row r="1755" spans="1:15" x14ac:dyDescent="0.35">
      <c r="A1755" s="12">
        <v>6903</v>
      </c>
      <c r="B1755" s="12" t="s">
        <v>16</v>
      </c>
      <c r="C1755" s="12">
        <v>34</v>
      </c>
      <c r="D1755" s="12" t="s">
        <v>13</v>
      </c>
      <c r="E1755" s="12" t="s">
        <v>14</v>
      </c>
      <c r="F1755" s="12">
        <v>138</v>
      </c>
      <c r="G1755" s="12">
        <v>36</v>
      </c>
      <c r="H1755" s="12">
        <v>0.32</v>
      </c>
      <c r="I1755" s="12" t="s">
        <v>15</v>
      </c>
      <c r="J1755" s="12">
        <v>9</v>
      </c>
      <c r="K1755" s="12">
        <v>0</v>
      </c>
      <c r="L1755" s="12">
        <v>0</v>
      </c>
      <c r="M1755" s="12">
        <v>0</v>
      </c>
      <c r="N1755" s="12">
        <v>0</v>
      </c>
      <c r="O1755" s="12" t="str">
        <f t="shared" si="27"/>
        <v>0 - 9</v>
      </c>
    </row>
    <row r="1756" spans="1:15" x14ac:dyDescent="0.35">
      <c r="A1756" s="11">
        <v>6910</v>
      </c>
      <c r="B1756" s="11" t="s">
        <v>20</v>
      </c>
      <c r="C1756" s="11">
        <v>21</v>
      </c>
      <c r="D1756" s="11" t="s">
        <v>28</v>
      </c>
      <c r="E1756" s="11" t="s">
        <v>14</v>
      </c>
      <c r="F1756" s="11">
        <v>126</v>
      </c>
      <c r="G1756" s="11">
        <v>31</v>
      </c>
      <c r="H1756" s="11">
        <v>0.46</v>
      </c>
      <c r="I1756" s="11" t="s">
        <v>15</v>
      </c>
      <c r="J1756" s="11">
        <v>15</v>
      </c>
      <c r="K1756" s="11">
        <v>0</v>
      </c>
      <c r="L1756" s="11">
        <v>1</v>
      </c>
      <c r="M1756" s="11">
        <v>0</v>
      </c>
      <c r="N1756" s="11">
        <v>0</v>
      </c>
      <c r="O1756" s="12" t="str">
        <f t="shared" si="27"/>
        <v>10 - 19</v>
      </c>
    </row>
    <row r="1757" spans="1:15" x14ac:dyDescent="0.35">
      <c r="A1757" s="12">
        <v>6912</v>
      </c>
      <c r="B1757" s="12" t="s">
        <v>20</v>
      </c>
      <c r="C1757" s="12">
        <v>52</v>
      </c>
      <c r="D1757" s="12" t="s">
        <v>27</v>
      </c>
      <c r="E1757" s="12" t="s">
        <v>14</v>
      </c>
      <c r="F1757" s="12">
        <v>191</v>
      </c>
      <c r="G1757" s="12">
        <v>39</v>
      </c>
      <c r="H1757" s="12">
        <v>0.19</v>
      </c>
      <c r="I1757" s="12" t="s">
        <v>19</v>
      </c>
      <c r="J1757" s="12">
        <v>7</v>
      </c>
      <c r="K1757" s="12">
        <v>0</v>
      </c>
      <c r="L1757" s="12">
        <v>0</v>
      </c>
      <c r="M1757" s="12">
        <v>0</v>
      </c>
      <c r="N1757" s="12">
        <v>0</v>
      </c>
      <c r="O1757" s="12" t="str">
        <f t="shared" si="27"/>
        <v>0 - 9</v>
      </c>
    </row>
    <row r="1758" spans="1:15" x14ac:dyDescent="0.35">
      <c r="A1758" s="11">
        <v>6915</v>
      </c>
      <c r="B1758" s="11" t="s">
        <v>20</v>
      </c>
      <c r="C1758" s="11">
        <v>40</v>
      </c>
      <c r="D1758" s="11" t="s">
        <v>27</v>
      </c>
      <c r="E1758" s="11" t="s">
        <v>14</v>
      </c>
      <c r="F1758" s="11">
        <v>151</v>
      </c>
      <c r="G1758" s="11">
        <v>96</v>
      </c>
      <c r="H1758" s="11">
        <v>0.42</v>
      </c>
      <c r="I1758" s="11" t="s">
        <v>19</v>
      </c>
      <c r="J1758" s="11">
        <v>18</v>
      </c>
      <c r="K1758" s="11">
        <v>0</v>
      </c>
      <c r="L1758" s="11">
        <v>0</v>
      </c>
      <c r="M1758" s="11">
        <v>0</v>
      </c>
      <c r="N1758" s="11">
        <v>0</v>
      </c>
      <c r="O1758" s="12" t="str">
        <f t="shared" si="27"/>
        <v>10 - 19</v>
      </c>
    </row>
    <row r="1759" spans="1:15" x14ac:dyDescent="0.35">
      <c r="A1759" s="12">
        <v>6922</v>
      </c>
      <c r="B1759" s="12" t="s">
        <v>12</v>
      </c>
      <c r="C1759" s="12">
        <v>52</v>
      </c>
      <c r="D1759" s="12" t="s">
        <v>25</v>
      </c>
      <c r="E1759" s="12" t="s">
        <v>14</v>
      </c>
      <c r="F1759" s="12">
        <v>239</v>
      </c>
      <c r="G1759" s="12">
        <v>59</v>
      </c>
      <c r="H1759" s="12">
        <v>0.05</v>
      </c>
      <c r="I1759" s="12" t="s">
        <v>19</v>
      </c>
      <c r="J1759" s="12">
        <v>8</v>
      </c>
      <c r="K1759" s="12">
        <v>0</v>
      </c>
      <c r="L1759" s="12">
        <v>0</v>
      </c>
      <c r="M1759" s="12">
        <v>0</v>
      </c>
      <c r="N1759" s="12">
        <v>0</v>
      </c>
      <c r="O1759" s="12" t="str">
        <f t="shared" si="27"/>
        <v>0 - 9</v>
      </c>
    </row>
    <row r="1760" spans="1:15" x14ac:dyDescent="0.35">
      <c r="A1760" s="11">
        <v>6925</v>
      </c>
      <c r="B1760" s="11" t="s">
        <v>20</v>
      </c>
      <c r="C1760" s="11">
        <v>58</v>
      </c>
      <c r="D1760" s="11" t="s">
        <v>28</v>
      </c>
      <c r="E1760" s="11" t="s">
        <v>14</v>
      </c>
      <c r="F1760" s="11">
        <v>44</v>
      </c>
      <c r="G1760" s="11">
        <v>30</v>
      </c>
      <c r="H1760" s="11">
        <v>0.59</v>
      </c>
      <c r="I1760" s="11" t="s">
        <v>15</v>
      </c>
      <c r="J1760" s="11">
        <v>18</v>
      </c>
      <c r="K1760" s="11">
        <v>0</v>
      </c>
      <c r="L1760" s="11">
        <v>0</v>
      </c>
      <c r="M1760" s="11">
        <v>0</v>
      </c>
      <c r="N1760" s="11">
        <v>0</v>
      </c>
      <c r="O1760" s="12" t="str">
        <f t="shared" si="27"/>
        <v>10 - 19</v>
      </c>
    </row>
    <row r="1761" spans="1:15" x14ac:dyDescent="0.35">
      <c r="A1761" s="12">
        <v>6930</v>
      </c>
      <c r="B1761" s="12" t="s">
        <v>20</v>
      </c>
      <c r="C1761" s="12">
        <v>40</v>
      </c>
      <c r="D1761" s="12" t="s">
        <v>13</v>
      </c>
      <c r="E1761" s="12" t="s">
        <v>14</v>
      </c>
      <c r="F1761" s="12">
        <v>26</v>
      </c>
      <c r="G1761" s="12">
        <v>81</v>
      </c>
      <c r="H1761" s="12">
        <v>0.45</v>
      </c>
      <c r="I1761" s="12" t="s">
        <v>15</v>
      </c>
      <c r="J1761" s="12">
        <v>7</v>
      </c>
      <c r="K1761" s="12">
        <v>0</v>
      </c>
      <c r="L1761" s="12">
        <v>1</v>
      </c>
      <c r="M1761" s="12">
        <v>0</v>
      </c>
      <c r="N1761" s="12">
        <v>0</v>
      </c>
      <c r="O1761" s="12" t="str">
        <f t="shared" si="27"/>
        <v>0 - 9</v>
      </c>
    </row>
    <row r="1762" spans="1:15" x14ac:dyDescent="0.35">
      <c r="A1762" s="11">
        <v>6931</v>
      </c>
      <c r="B1762" s="11" t="s">
        <v>12</v>
      </c>
      <c r="C1762" s="11">
        <v>25</v>
      </c>
      <c r="D1762" s="11" t="s">
        <v>27</v>
      </c>
      <c r="E1762" s="11" t="s">
        <v>14</v>
      </c>
      <c r="F1762" s="11">
        <v>139</v>
      </c>
      <c r="G1762" s="11">
        <v>49</v>
      </c>
      <c r="H1762" s="11">
        <v>0.5</v>
      </c>
      <c r="I1762" s="11" t="s">
        <v>15</v>
      </c>
      <c r="J1762" s="11">
        <v>14</v>
      </c>
      <c r="K1762" s="11">
        <v>0</v>
      </c>
      <c r="L1762" s="11">
        <v>0</v>
      </c>
      <c r="M1762" s="11">
        <v>0</v>
      </c>
      <c r="N1762" s="11">
        <v>0</v>
      </c>
      <c r="O1762" s="12" t="str">
        <f t="shared" si="27"/>
        <v>10 - 19</v>
      </c>
    </row>
    <row r="1763" spans="1:15" x14ac:dyDescent="0.35">
      <c r="A1763" s="12">
        <v>6937</v>
      </c>
      <c r="B1763" s="12" t="s">
        <v>12</v>
      </c>
      <c r="C1763" s="12">
        <v>56</v>
      </c>
      <c r="D1763" s="12" t="s">
        <v>28</v>
      </c>
      <c r="E1763" s="12" t="s">
        <v>14</v>
      </c>
      <c r="F1763" s="12">
        <v>149</v>
      </c>
      <c r="G1763" s="12">
        <v>6</v>
      </c>
      <c r="H1763" s="12">
        <v>0.48</v>
      </c>
      <c r="I1763" s="12" t="s">
        <v>19</v>
      </c>
      <c r="J1763" s="12">
        <v>39</v>
      </c>
      <c r="K1763" s="12">
        <v>0</v>
      </c>
      <c r="L1763" s="12">
        <v>0</v>
      </c>
      <c r="M1763" s="12">
        <v>0</v>
      </c>
      <c r="N1763" s="12">
        <v>0</v>
      </c>
      <c r="O1763" s="12" t="str">
        <f t="shared" si="27"/>
        <v>30 - 39</v>
      </c>
    </row>
    <row r="1764" spans="1:15" x14ac:dyDescent="0.35">
      <c r="A1764" s="11">
        <v>6941</v>
      </c>
      <c r="B1764" s="11" t="s">
        <v>20</v>
      </c>
      <c r="C1764" s="11">
        <v>20</v>
      </c>
      <c r="D1764" s="11" t="s">
        <v>17</v>
      </c>
      <c r="E1764" s="11" t="s">
        <v>14</v>
      </c>
      <c r="F1764" s="11">
        <v>142</v>
      </c>
      <c r="G1764" s="11">
        <v>95</v>
      </c>
      <c r="H1764" s="11">
        <v>0.6</v>
      </c>
      <c r="I1764" s="11" t="s">
        <v>19</v>
      </c>
      <c r="J1764" s="11">
        <v>29</v>
      </c>
      <c r="K1764" s="11">
        <v>0</v>
      </c>
      <c r="L1764" s="11">
        <v>1</v>
      </c>
      <c r="M1764" s="11">
        <v>0</v>
      </c>
      <c r="N1764" s="11">
        <v>0</v>
      </c>
      <c r="O1764" s="12" t="str">
        <f t="shared" si="27"/>
        <v>20 - 29</v>
      </c>
    </row>
    <row r="1765" spans="1:15" x14ac:dyDescent="0.35">
      <c r="A1765" s="12">
        <v>6942</v>
      </c>
      <c r="B1765" s="12" t="s">
        <v>12</v>
      </c>
      <c r="C1765" s="12">
        <v>41</v>
      </c>
      <c r="D1765" s="12" t="s">
        <v>27</v>
      </c>
      <c r="E1765" s="12" t="s">
        <v>14</v>
      </c>
      <c r="F1765" s="12">
        <v>119</v>
      </c>
      <c r="G1765" s="12">
        <v>91</v>
      </c>
      <c r="H1765" s="12">
        <v>0.14000000000000001</v>
      </c>
      <c r="I1765" s="12" t="s">
        <v>23</v>
      </c>
      <c r="J1765" s="12">
        <v>41</v>
      </c>
      <c r="K1765" s="12">
        <v>0</v>
      </c>
      <c r="L1765" s="12">
        <v>1</v>
      </c>
      <c r="M1765" s="12">
        <v>0</v>
      </c>
      <c r="N1765" s="12">
        <v>0</v>
      </c>
      <c r="O1765" s="12" t="str">
        <f t="shared" si="27"/>
        <v>40 - 49</v>
      </c>
    </row>
    <row r="1766" spans="1:15" x14ac:dyDescent="0.35">
      <c r="A1766" s="11">
        <v>6946</v>
      </c>
      <c r="B1766" s="11" t="s">
        <v>20</v>
      </c>
      <c r="C1766" s="11">
        <v>34</v>
      </c>
      <c r="D1766" s="11" t="s">
        <v>13</v>
      </c>
      <c r="E1766" s="11" t="s">
        <v>14</v>
      </c>
      <c r="F1766" s="11">
        <v>140</v>
      </c>
      <c r="G1766" s="11">
        <v>43</v>
      </c>
      <c r="H1766" s="11">
        <v>0.35</v>
      </c>
      <c r="I1766" s="11" t="s">
        <v>19</v>
      </c>
      <c r="J1766" s="11">
        <v>18</v>
      </c>
      <c r="K1766" s="11">
        <v>0</v>
      </c>
      <c r="L1766" s="11">
        <v>1</v>
      </c>
      <c r="M1766" s="11">
        <v>0</v>
      </c>
      <c r="N1766" s="11">
        <v>0</v>
      </c>
      <c r="O1766" s="12" t="str">
        <f t="shared" si="27"/>
        <v>10 - 19</v>
      </c>
    </row>
    <row r="1767" spans="1:15" x14ac:dyDescent="0.35">
      <c r="A1767" s="12">
        <v>6948</v>
      </c>
      <c r="B1767" s="12" t="s">
        <v>16</v>
      </c>
      <c r="C1767" s="12">
        <v>57</v>
      </c>
      <c r="D1767" s="12" t="s">
        <v>13</v>
      </c>
      <c r="E1767" s="12" t="s">
        <v>14</v>
      </c>
      <c r="F1767" s="12">
        <v>118</v>
      </c>
      <c r="G1767" s="12">
        <v>65</v>
      </c>
      <c r="H1767" s="12">
        <v>0.52</v>
      </c>
      <c r="I1767" s="12" t="s">
        <v>15</v>
      </c>
      <c r="J1767" s="12">
        <v>22</v>
      </c>
      <c r="K1767" s="12">
        <v>0</v>
      </c>
      <c r="L1767" s="12">
        <v>0</v>
      </c>
      <c r="M1767" s="12">
        <v>0</v>
      </c>
      <c r="N1767" s="12">
        <v>0</v>
      </c>
      <c r="O1767" s="12" t="str">
        <f t="shared" si="27"/>
        <v>20 - 29</v>
      </c>
    </row>
    <row r="1768" spans="1:15" x14ac:dyDescent="0.35">
      <c r="A1768" s="11">
        <v>6953</v>
      </c>
      <c r="B1768" s="11" t="s">
        <v>12</v>
      </c>
      <c r="C1768" s="11">
        <v>30</v>
      </c>
      <c r="D1768" s="11" t="s">
        <v>26</v>
      </c>
      <c r="E1768" s="11" t="s">
        <v>14</v>
      </c>
      <c r="F1768" s="11">
        <v>28</v>
      </c>
      <c r="G1768" s="11">
        <v>86</v>
      </c>
      <c r="H1768" s="11">
        <v>0.26</v>
      </c>
      <c r="I1768" s="11" t="s">
        <v>15</v>
      </c>
      <c r="J1768" s="11">
        <v>42</v>
      </c>
      <c r="K1768" s="11">
        <v>0</v>
      </c>
      <c r="L1768" s="11">
        <v>1</v>
      </c>
      <c r="M1768" s="11">
        <v>0</v>
      </c>
      <c r="N1768" s="11">
        <v>0</v>
      </c>
      <c r="O1768" s="12" t="str">
        <f t="shared" si="27"/>
        <v>40 - 49</v>
      </c>
    </row>
    <row r="1769" spans="1:15" x14ac:dyDescent="0.35">
      <c r="A1769" s="12">
        <v>6956</v>
      </c>
      <c r="B1769" s="12" t="s">
        <v>16</v>
      </c>
      <c r="C1769" s="12">
        <v>19</v>
      </c>
      <c r="D1769" s="12" t="s">
        <v>25</v>
      </c>
      <c r="E1769" s="12" t="s">
        <v>14</v>
      </c>
      <c r="F1769" s="12">
        <v>270</v>
      </c>
      <c r="G1769" s="12">
        <v>35</v>
      </c>
      <c r="H1769" s="12">
        <v>0.2</v>
      </c>
      <c r="I1769" s="12" t="s">
        <v>23</v>
      </c>
      <c r="J1769" s="12">
        <v>22</v>
      </c>
      <c r="K1769" s="12">
        <v>0</v>
      </c>
      <c r="L1769" s="12">
        <v>0</v>
      </c>
      <c r="M1769" s="12">
        <v>0</v>
      </c>
      <c r="N1769" s="12">
        <v>0</v>
      </c>
      <c r="O1769" s="12" t="str">
        <f t="shared" si="27"/>
        <v>20 - 29</v>
      </c>
    </row>
    <row r="1770" spans="1:15" x14ac:dyDescent="0.35">
      <c r="A1770" s="11">
        <v>6957</v>
      </c>
      <c r="B1770" s="11" t="s">
        <v>12</v>
      </c>
      <c r="C1770" s="11">
        <v>57</v>
      </c>
      <c r="D1770" s="11" t="s">
        <v>26</v>
      </c>
      <c r="E1770" s="11" t="s">
        <v>14</v>
      </c>
      <c r="F1770" s="11">
        <v>234</v>
      </c>
      <c r="G1770" s="11">
        <v>32</v>
      </c>
      <c r="H1770" s="11">
        <v>0.14000000000000001</v>
      </c>
      <c r="I1770" s="11" t="s">
        <v>19</v>
      </c>
      <c r="J1770" s="11">
        <v>44</v>
      </c>
      <c r="K1770" s="11">
        <v>0</v>
      </c>
      <c r="L1770" s="11">
        <v>0</v>
      </c>
      <c r="M1770" s="11">
        <v>0</v>
      </c>
      <c r="N1770" s="11">
        <v>0</v>
      </c>
      <c r="O1770" s="12" t="str">
        <f t="shared" si="27"/>
        <v>40 - 49</v>
      </c>
    </row>
    <row r="1771" spans="1:15" x14ac:dyDescent="0.35">
      <c r="A1771" s="12">
        <v>6964</v>
      </c>
      <c r="B1771" s="12" t="s">
        <v>16</v>
      </c>
      <c r="C1771" s="12">
        <v>39</v>
      </c>
      <c r="D1771" s="12" t="s">
        <v>29</v>
      </c>
      <c r="E1771" s="12" t="s">
        <v>14</v>
      </c>
      <c r="F1771" s="12">
        <v>36</v>
      </c>
      <c r="G1771" s="12">
        <v>9</v>
      </c>
      <c r="H1771" s="12">
        <v>0.57999999999999996</v>
      </c>
      <c r="I1771" s="12" t="s">
        <v>15</v>
      </c>
      <c r="J1771" s="12">
        <v>25</v>
      </c>
      <c r="K1771" s="12">
        <v>0</v>
      </c>
      <c r="L1771" s="12">
        <v>0</v>
      </c>
      <c r="M1771" s="12">
        <v>0</v>
      </c>
      <c r="N1771" s="12">
        <v>0</v>
      </c>
      <c r="O1771" s="12" t="str">
        <f t="shared" si="27"/>
        <v>20 - 29</v>
      </c>
    </row>
    <row r="1772" spans="1:15" x14ac:dyDescent="0.35">
      <c r="A1772" s="11">
        <v>6969</v>
      </c>
      <c r="B1772" s="11" t="s">
        <v>20</v>
      </c>
      <c r="C1772" s="11">
        <v>59</v>
      </c>
      <c r="D1772" s="11" t="s">
        <v>13</v>
      </c>
      <c r="E1772" s="11" t="s">
        <v>14</v>
      </c>
      <c r="F1772" s="11">
        <v>254</v>
      </c>
      <c r="G1772" s="11">
        <v>60</v>
      </c>
      <c r="H1772" s="11">
        <v>0.25</v>
      </c>
      <c r="I1772" s="11" t="s">
        <v>23</v>
      </c>
      <c r="J1772" s="11">
        <v>41</v>
      </c>
      <c r="K1772" s="11">
        <v>0</v>
      </c>
      <c r="L1772" s="11">
        <v>0</v>
      </c>
      <c r="M1772" s="11">
        <v>0</v>
      </c>
      <c r="N1772" s="11">
        <v>0</v>
      </c>
      <c r="O1772" s="12" t="str">
        <f t="shared" si="27"/>
        <v>40 - 49</v>
      </c>
    </row>
    <row r="1773" spans="1:15" x14ac:dyDescent="0.35">
      <c r="A1773" s="12">
        <v>6970</v>
      </c>
      <c r="B1773" s="12" t="s">
        <v>16</v>
      </c>
      <c r="C1773" s="12">
        <v>25</v>
      </c>
      <c r="D1773" s="12" t="s">
        <v>17</v>
      </c>
      <c r="E1773" s="12" t="s">
        <v>14</v>
      </c>
      <c r="F1773" s="12">
        <v>292</v>
      </c>
      <c r="G1773" s="12">
        <v>87</v>
      </c>
      <c r="H1773" s="12">
        <v>0.04</v>
      </c>
      <c r="I1773" s="12" t="s">
        <v>19</v>
      </c>
      <c r="J1773" s="12">
        <v>44</v>
      </c>
      <c r="K1773" s="12">
        <v>0</v>
      </c>
      <c r="L1773" s="12">
        <v>0</v>
      </c>
      <c r="M1773" s="12">
        <v>0</v>
      </c>
      <c r="N1773" s="12">
        <v>0</v>
      </c>
      <c r="O1773" s="12" t="str">
        <f t="shared" si="27"/>
        <v>40 - 49</v>
      </c>
    </row>
    <row r="1774" spans="1:15" x14ac:dyDescent="0.35">
      <c r="A1774" s="11">
        <v>6975</v>
      </c>
      <c r="B1774" s="11" t="s">
        <v>12</v>
      </c>
      <c r="C1774" s="11">
        <v>36</v>
      </c>
      <c r="D1774" s="11" t="s">
        <v>27</v>
      </c>
      <c r="E1774" s="11" t="s">
        <v>14</v>
      </c>
      <c r="F1774" s="11">
        <v>278</v>
      </c>
      <c r="G1774" s="11">
        <v>67</v>
      </c>
      <c r="H1774" s="11">
        <v>0.46</v>
      </c>
      <c r="I1774" s="11" t="s">
        <v>15</v>
      </c>
      <c r="J1774" s="11">
        <v>22</v>
      </c>
      <c r="K1774" s="11">
        <v>0</v>
      </c>
      <c r="L1774" s="11">
        <v>0</v>
      </c>
      <c r="M1774" s="11">
        <v>0</v>
      </c>
      <c r="N1774" s="11">
        <v>0</v>
      </c>
      <c r="O1774" s="12" t="str">
        <f t="shared" si="27"/>
        <v>20 - 29</v>
      </c>
    </row>
    <row r="1775" spans="1:15" x14ac:dyDescent="0.35">
      <c r="A1775" s="12">
        <v>6979</v>
      </c>
      <c r="B1775" s="12" t="s">
        <v>16</v>
      </c>
      <c r="C1775" s="12">
        <v>25</v>
      </c>
      <c r="D1775" s="12" t="s">
        <v>25</v>
      </c>
      <c r="E1775" s="12" t="s">
        <v>14</v>
      </c>
      <c r="F1775" s="12">
        <v>79</v>
      </c>
      <c r="G1775" s="12">
        <v>16</v>
      </c>
      <c r="H1775" s="12">
        <v>0.55000000000000004</v>
      </c>
      <c r="I1775" s="12" t="s">
        <v>15</v>
      </c>
      <c r="J1775" s="12">
        <v>32</v>
      </c>
      <c r="K1775" s="12">
        <v>0</v>
      </c>
      <c r="L1775" s="12">
        <v>0</v>
      </c>
      <c r="M1775" s="12">
        <v>0</v>
      </c>
      <c r="N1775" s="12">
        <v>0</v>
      </c>
      <c r="O1775" s="12" t="str">
        <f t="shared" si="27"/>
        <v>30 - 39</v>
      </c>
    </row>
    <row r="1776" spans="1:15" x14ac:dyDescent="0.35">
      <c r="A1776" s="11">
        <v>6986</v>
      </c>
      <c r="B1776" s="11" t="s">
        <v>20</v>
      </c>
      <c r="C1776" s="11">
        <v>35</v>
      </c>
      <c r="D1776" s="11" t="s">
        <v>28</v>
      </c>
      <c r="E1776" s="11" t="s">
        <v>14</v>
      </c>
      <c r="F1776" s="11">
        <v>61</v>
      </c>
      <c r="G1776" s="11">
        <v>86</v>
      </c>
      <c r="H1776" s="11">
        <v>0.52</v>
      </c>
      <c r="I1776" s="11" t="s">
        <v>19</v>
      </c>
      <c r="J1776" s="11">
        <v>19</v>
      </c>
      <c r="K1776" s="11">
        <v>0</v>
      </c>
      <c r="L1776" s="11">
        <v>0</v>
      </c>
      <c r="M1776" s="11">
        <v>0</v>
      </c>
      <c r="N1776" s="11">
        <v>0</v>
      </c>
      <c r="O1776" s="12" t="str">
        <f t="shared" si="27"/>
        <v>10 - 19</v>
      </c>
    </row>
    <row r="1777" spans="1:15" x14ac:dyDescent="0.35">
      <c r="A1777" s="12">
        <v>6987</v>
      </c>
      <c r="B1777" s="12" t="s">
        <v>12</v>
      </c>
      <c r="C1777" s="12">
        <v>28</v>
      </c>
      <c r="D1777" s="12" t="s">
        <v>21</v>
      </c>
      <c r="E1777" s="12" t="s">
        <v>14</v>
      </c>
      <c r="F1777" s="12">
        <v>269</v>
      </c>
      <c r="G1777" s="12">
        <v>4</v>
      </c>
      <c r="H1777" s="12">
        <v>0.39</v>
      </c>
      <c r="I1777" s="12" t="s">
        <v>19</v>
      </c>
      <c r="J1777" s="12">
        <v>29</v>
      </c>
      <c r="K1777" s="12">
        <v>0</v>
      </c>
      <c r="L1777" s="12">
        <v>0</v>
      </c>
      <c r="M1777" s="12">
        <v>0</v>
      </c>
      <c r="N1777" s="12">
        <v>0</v>
      </c>
      <c r="O1777" s="12" t="str">
        <f t="shared" si="27"/>
        <v>20 - 29</v>
      </c>
    </row>
    <row r="1778" spans="1:15" x14ac:dyDescent="0.35">
      <c r="A1778" s="11">
        <v>6988</v>
      </c>
      <c r="B1778" s="11" t="s">
        <v>16</v>
      </c>
      <c r="C1778" s="11">
        <v>36</v>
      </c>
      <c r="D1778" s="11" t="s">
        <v>29</v>
      </c>
      <c r="E1778" s="11" t="s">
        <v>14</v>
      </c>
      <c r="F1778" s="11">
        <v>298</v>
      </c>
      <c r="G1778" s="11">
        <v>51</v>
      </c>
      <c r="H1778" s="11">
        <v>0.56999999999999995</v>
      </c>
      <c r="I1778" s="11" t="s">
        <v>19</v>
      </c>
      <c r="J1778" s="11">
        <v>39</v>
      </c>
      <c r="K1778" s="11">
        <v>0</v>
      </c>
      <c r="L1778" s="11">
        <v>1</v>
      </c>
      <c r="M1778" s="11">
        <v>0</v>
      </c>
      <c r="N1778" s="11">
        <v>0</v>
      </c>
      <c r="O1778" s="12" t="str">
        <f t="shared" si="27"/>
        <v>30 - 39</v>
      </c>
    </row>
    <row r="1779" spans="1:15" x14ac:dyDescent="0.35">
      <c r="A1779" s="12">
        <v>6992</v>
      </c>
      <c r="B1779" s="12" t="s">
        <v>20</v>
      </c>
      <c r="C1779" s="12">
        <v>37</v>
      </c>
      <c r="D1779" s="12" t="s">
        <v>29</v>
      </c>
      <c r="E1779" s="12" t="s">
        <v>14</v>
      </c>
      <c r="F1779" s="12">
        <v>255</v>
      </c>
      <c r="G1779" s="12">
        <v>39</v>
      </c>
      <c r="H1779" s="12">
        <v>0.23</v>
      </c>
      <c r="I1779" s="12" t="s">
        <v>23</v>
      </c>
      <c r="J1779" s="12">
        <v>49</v>
      </c>
      <c r="K1779" s="12">
        <v>0</v>
      </c>
      <c r="L1779" s="12">
        <v>0</v>
      </c>
      <c r="M1779" s="12">
        <v>0</v>
      </c>
      <c r="N1779" s="12">
        <v>0</v>
      </c>
      <c r="O1779" s="12" t="str">
        <f t="shared" si="27"/>
        <v>40 - 49</v>
      </c>
    </row>
    <row r="1780" spans="1:15" x14ac:dyDescent="0.35">
      <c r="A1780" s="11">
        <v>6993</v>
      </c>
      <c r="B1780" s="11" t="s">
        <v>20</v>
      </c>
      <c r="C1780" s="11">
        <v>50</v>
      </c>
      <c r="D1780" s="11" t="s">
        <v>13</v>
      </c>
      <c r="E1780" s="11" t="s">
        <v>14</v>
      </c>
      <c r="F1780" s="11">
        <v>80</v>
      </c>
      <c r="G1780" s="11">
        <v>76</v>
      </c>
      <c r="H1780" s="11">
        <v>0.39</v>
      </c>
      <c r="I1780" s="11" t="s">
        <v>23</v>
      </c>
      <c r="J1780" s="11">
        <v>47</v>
      </c>
      <c r="K1780" s="11">
        <v>0</v>
      </c>
      <c r="L1780" s="11">
        <v>1</v>
      </c>
      <c r="M1780" s="11">
        <v>0</v>
      </c>
      <c r="N1780" s="11">
        <v>0</v>
      </c>
      <c r="O1780" s="12" t="str">
        <f t="shared" si="27"/>
        <v>40 - 49</v>
      </c>
    </row>
    <row r="1781" spans="1:15" x14ac:dyDescent="0.35">
      <c r="A1781" s="12">
        <v>6998</v>
      </c>
      <c r="B1781" s="12" t="s">
        <v>16</v>
      </c>
      <c r="C1781" s="12">
        <v>51</v>
      </c>
      <c r="D1781" s="12" t="s">
        <v>21</v>
      </c>
      <c r="E1781" s="12" t="s">
        <v>14</v>
      </c>
      <c r="F1781" s="12">
        <v>220</v>
      </c>
      <c r="G1781" s="12">
        <v>70</v>
      </c>
      <c r="H1781" s="12">
        <v>0.34</v>
      </c>
      <c r="I1781" s="12" t="s">
        <v>19</v>
      </c>
      <c r="J1781" s="12">
        <v>44</v>
      </c>
      <c r="K1781" s="12">
        <v>0</v>
      </c>
      <c r="L1781" s="12">
        <v>0</v>
      </c>
      <c r="M1781" s="12">
        <v>0</v>
      </c>
      <c r="N1781" s="12">
        <v>0</v>
      </c>
      <c r="O1781" s="12" t="str">
        <f t="shared" si="27"/>
        <v>40 - 49</v>
      </c>
    </row>
    <row r="1782" spans="1:15" x14ac:dyDescent="0.35">
      <c r="A1782" s="11">
        <v>7000</v>
      </c>
      <c r="B1782" s="11" t="s">
        <v>20</v>
      </c>
      <c r="C1782" s="11">
        <v>37</v>
      </c>
      <c r="D1782" s="11" t="s">
        <v>26</v>
      </c>
      <c r="E1782" s="11" t="s">
        <v>14</v>
      </c>
      <c r="F1782" s="11">
        <v>100</v>
      </c>
      <c r="G1782" s="11">
        <v>89</v>
      </c>
      <c r="H1782" s="11">
        <v>0.11</v>
      </c>
      <c r="I1782" s="11" t="s">
        <v>19</v>
      </c>
      <c r="J1782" s="11">
        <v>13</v>
      </c>
      <c r="K1782" s="11">
        <v>0</v>
      </c>
      <c r="L1782" s="11">
        <v>0</v>
      </c>
      <c r="M1782" s="11">
        <v>0</v>
      </c>
      <c r="N1782" s="11">
        <v>0</v>
      </c>
      <c r="O1782" s="12" t="str">
        <f t="shared" si="27"/>
        <v>10 - 19</v>
      </c>
    </row>
    <row r="1783" spans="1:15" x14ac:dyDescent="0.35">
      <c r="A1783" s="12">
        <v>7002</v>
      </c>
      <c r="B1783" s="12" t="s">
        <v>16</v>
      </c>
      <c r="C1783" s="12">
        <v>31</v>
      </c>
      <c r="D1783" s="12" t="s">
        <v>27</v>
      </c>
      <c r="E1783" s="12" t="s">
        <v>14</v>
      </c>
      <c r="F1783" s="12">
        <v>148</v>
      </c>
      <c r="G1783" s="12">
        <v>93</v>
      </c>
      <c r="H1783" s="12">
        <v>0.55000000000000004</v>
      </c>
      <c r="I1783" s="12" t="s">
        <v>15</v>
      </c>
      <c r="J1783" s="12">
        <v>8</v>
      </c>
      <c r="K1783" s="12">
        <v>0</v>
      </c>
      <c r="L1783" s="12">
        <v>0</v>
      </c>
      <c r="M1783" s="12">
        <v>0</v>
      </c>
      <c r="N1783" s="12">
        <v>0</v>
      </c>
      <c r="O1783" s="12" t="str">
        <f t="shared" si="27"/>
        <v>0 - 9</v>
      </c>
    </row>
    <row r="1784" spans="1:15" x14ac:dyDescent="0.35">
      <c r="A1784" s="11">
        <v>7009</v>
      </c>
      <c r="B1784" s="11" t="s">
        <v>12</v>
      </c>
      <c r="C1784" s="11">
        <v>22</v>
      </c>
      <c r="D1784" s="11" t="s">
        <v>29</v>
      </c>
      <c r="E1784" s="11" t="s">
        <v>14</v>
      </c>
      <c r="F1784" s="11">
        <v>110</v>
      </c>
      <c r="G1784" s="11">
        <v>61</v>
      </c>
      <c r="H1784" s="11">
        <v>0.51</v>
      </c>
      <c r="I1784" s="11" t="s">
        <v>23</v>
      </c>
      <c r="J1784" s="11">
        <v>38</v>
      </c>
      <c r="K1784" s="11">
        <v>0</v>
      </c>
      <c r="L1784" s="11">
        <v>1</v>
      </c>
      <c r="M1784" s="11">
        <v>0</v>
      </c>
      <c r="N1784" s="11">
        <v>0</v>
      </c>
      <c r="O1784" s="12" t="str">
        <f t="shared" si="27"/>
        <v>30 - 39</v>
      </c>
    </row>
    <row r="1785" spans="1:15" x14ac:dyDescent="0.35">
      <c r="A1785" s="12">
        <v>7015</v>
      </c>
      <c r="B1785" s="12" t="s">
        <v>12</v>
      </c>
      <c r="C1785" s="12">
        <v>31</v>
      </c>
      <c r="D1785" s="12" t="s">
        <v>27</v>
      </c>
      <c r="E1785" s="12" t="s">
        <v>14</v>
      </c>
      <c r="F1785" s="12">
        <v>252</v>
      </c>
      <c r="G1785" s="12">
        <v>13</v>
      </c>
      <c r="H1785" s="12">
        <v>0.01</v>
      </c>
      <c r="I1785" s="12" t="s">
        <v>19</v>
      </c>
      <c r="J1785" s="12">
        <v>17</v>
      </c>
      <c r="K1785" s="12">
        <v>0</v>
      </c>
      <c r="L1785" s="12">
        <v>0</v>
      </c>
      <c r="M1785" s="12">
        <v>0</v>
      </c>
      <c r="N1785" s="12">
        <v>0</v>
      </c>
      <c r="O1785" s="12" t="str">
        <f t="shared" si="27"/>
        <v>10 - 19</v>
      </c>
    </row>
    <row r="1786" spans="1:15" x14ac:dyDescent="0.35">
      <c r="A1786" s="11">
        <v>7016</v>
      </c>
      <c r="B1786" s="11" t="s">
        <v>12</v>
      </c>
      <c r="C1786" s="11">
        <v>26</v>
      </c>
      <c r="D1786" s="11" t="s">
        <v>17</v>
      </c>
      <c r="E1786" s="11" t="s">
        <v>14</v>
      </c>
      <c r="F1786" s="11">
        <v>169</v>
      </c>
      <c r="G1786" s="11">
        <v>6</v>
      </c>
      <c r="H1786" s="11">
        <v>0.32</v>
      </c>
      <c r="I1786" s="11" t="s">
        <v>19</v>
      </c>
      <c r="J1786" s="11">
        <v>26</v>
      </c>
      <c r="K1786" s="11">
        <v>0</v>
      </c>
      <c r="L1786" s="11">
        <v>0</v>
      </c>
      <c r="M1786" s="11">
        <v>0</v>
      </c>
      <c r="N1786" s="11">
        <v>0</v>
      </c>
      <c r="O1786" s="12" t="str">
        <f t="shared" si="27"/>
        <v>20 - 29</v>
      </c>
    </row>
    <row r="1787" spans="1:15" x14ac:dyDescent="0.35">
      <c r="A1787" s="12">
        <v>7024</v>
      </c>
      <c r="B1787" s="12" t="s">
        <v>16</v>
      </c>
      <c r="C1787" s="12">
        <v>22</v>
      </c>
      <c r="D1787" s="12" t="s">
        <v>28</v>
      </c>
      <c r="E1787" s="12" t="s">
        <v>14</v>
      </c>
      <c r="F1787" s="12">
        <v>154</v>
      </c>
      <c r="G1787" s="12">
        <v>21</v>
      </c>
      <c r="H1787" s="12">
        <v>0.1</v>
      </c>
      <c r="I1787" s="12" t="s">
        <v>23</v>
      </c>
      <c r="J1787" s="12">
        <v>41</v>
      </c>
      <c r="K1787" s="12">
        <v>0</v>
      </c>
      <c r="L1787" s="12">
        <v>1</v>
      </c>
      <c r="M1787" s="12">
        <v>0</v>
      </c>
      <c r="N1787" s="12">
        <v>0</v>
      </c>
      <c r="O1787" s="12" t="str">
        <f t="shared" si="27"/>
        <v>40 - 49</v>
      </c>
    </row>
    <row r="1788" spans="1:15" x14ac:dyDescent="0.35">
      <c r="A1788" s="11">
        <v>7025</v>
      </c>
      <c r="B1788" s="11" t="s">
        <v>16</v>
      </c>
      <c r="C1788" s="11">
        <v>47</v>
      </c>
      <c r="D1788" s="11" t="s">
        <v>17</v>
      </c>
      <c r="E1788" s="11" t="s">
        <v>14</v>
      </c>
      <c r="F1788" s="11">
        <v>72</v>
      </c>
      <c r="G1788" s="11">
        <v>69</v>
      </c>
      <c r="H1788" s="11">
        <v>0.49</v>
      </c>
      <c r="I1788" s="11" t="s">
        <v>23</v>
      </c>
      <c r="J1788" s="11">
        <v>27</v>
      </c>
      <c r="K1788" s="11">
        <v>0</v>
      </c>
      <c r="L1788" s="11">
        <v>0</v>
      </c>
      <c r="M1788" s="11">
        <v>0</v>
      </c>
      <c r="N1788" s="11">
        <v>0</v>
      </c>
      <c r="O1788" s="12" t="str">
        <f t="shared" si="27"/>
        <v>20 - 29</v>
      </c>
    </row>
    <row r="1789" spans="1:15" x14ac:dyDescent="0.35">
      <c r="A1789" s="12">
        <v>7038</v>
      </c>
      <c r="B1789" s="12" t="s">
        <v>12</v>
      </c>
      <c r="C1789" s="12">
        <v>45</v>
      </c>
      <c r="D1789" s="12" t="s">
        <v>26</v>
      </c>
      <c r="E1789" s="12" t="s">
        <v>14</v>
      </c>
      <c r="F1789" s="12">
        <v>127</v>
      </c>
      <c r="G1789" s="12">
        <v>90</v>
      </c>
      <c r="H1789" s="12">
        <v>0.19</v>
      </c>
      <c r="I1789" s="12" t="s">
        <v>19</v>
      </c>
      <c r="J1789" s="12">
        <v>42</v>
      </c>
      <c r="K1789" s="12">
        <v>0</v>
      </c>
      <c r="L1789" s="12">
        <v>0</v>
      </c>
      <c r="M1789" s="12">
        <v>0</v>
      </c>
      <c r="N1789" s="12">
        <v>0</v>
      </c>
      <c r="O1789" s="12" t="str">
        <f t="shared" si="27"/>
        <v>40 - 49</v>
      </c>
    </row>
    <row r="1790" spans="1:15" x14ac:dyDescent="0.35">
      <c r="A1790" s="11">
        <v>7044</v>
      </c>
      <c r="B1790" s="11" t="s">
        <v>12</v>
      </c>
      <c r="C1790" s="11">
        <v>50</v>
      </c>
      <c r="D1790" s="11" t="s">
        <v>13</v>
      </c>
      <c r="E1790" s="11" t="s">
        <v>14</v>
      </c>
      <c r="F1790" s="11">
        <v>248</v>
      </c>
      <c r="G1790" s="11">
        <v>13</v>
      </c>
      <c r="H1790" s="11">
        <v>0.23</v>
      </c>
      <c r="I1790" s="11" t="s">
        <v>23</v>
      </c>
      <c r="J1790" s="11">
        <v>44</v>
      </c>
      <c r="K1790" s="11">
        <v>0</v>
      </c>
      <c r="L1790" s="11">
        <v>0</v>
      </c>
      <c r="M1790" s="11">
        <v>0</v>
      </c>
      <c r="N1790" s="11">
        <v>0</v>
      </c>
      <c r="O1790" s="12" t="str">
        <f t="shared" si="27"/>
        <v>40 - 49</v>
      </c>
    </row>
    <row r="1791" spans="1:15" x14ac:dyDescent="0.35">
      <c r="A1791" s="12">
        <v>7053</v>
      </c>
      <c r="B1791" s="12" t="s">
        <v>12</v>
      </c>
      <c r="C1791" s="12">
        <v>29</v>
      </c>
      <c r="D1791" s="12" t="s">
        <v>17</v>
      </c>
      <c r="E1791" s="12" t="s">
        <v>14</v>
      </c>
      <c r="F1791" s="12">
        <v>234</v>
      </c>
      <c r="G1791" s="12">
        <v>3</v>
      </c>
      <c r="H1791" s="12">
        <v>0.53</v>
      </c>
      <c r="I1791" s="12" t="s">
        <v>23</v>
      </c>
      <c r="J1791" s="12">
        <v>31</v>
      </c>
      <c r="K1791" s="12">
        <v>0</v>
      </c>
      <c r="L1791" s="12">
        <v>0</v>
      </c>
      <c r="M1791" s="12">
        <v>0</v>
      </c>
      <c r="N1791" s="12">
        <v>0</v>
      </c>
      <c r="O1791" s="12" t="str">
        <f t="shared" si="27"/>
        <v>30 - 39</v>
      </c>
    </row>
    <row r="1792" spans="1:15" x14ac:dyDescent="0.35">
      <c r="A1792" s="11">
        <v>7054</v>
      </c>
      <c r="B1792" s="11" t="s">
        <v>20</v>
      </c>
      <c r="C1792" s="11">
        <v>37</v>
      </c>
      <c r="D1792" s="11" t="s">
        <v>13</v>
      </c>
      <c r="E1792" s="11" t="s">
        <v>14</v>
      </c>
      <c r="F1792" s="11">
        <v>287</v>
      </c>
      <c r="G1792" s="11">
        <v>82</v>
      </c>
      <c r="H1792" s="11">
        <v>0.32</v>
      </c>
      <c r="I1792" s="11" t="s">
        <v>19</v>
      </c>
      <c r="J1792" s="11">
        <v>35</v>
      </c>
      <c r="K1792" s="11">
        <v>0</v>
      </c>
      <c r="L1792" s="11">
        <v>0</v>
      </c>
      <c r="M1792" s="11">
        <v>0</v>
      </c>
      <c r="N1792" s="11">
        <v>0</v>
      </c>
      <c r="O1792" s="12" t="str">
        <f t="shared" si="27"/>
        <v>30 - 39</v>
      </c>
    </row>
    <row r="1793" spans="1:15" x14ac:dyDescent="0.35">
      <c r="A1793" s="12">
        <v>7061</v>
      </c>
      <c r="B1793" s="12" t="s">
        <v>20</v>
      </c>
      <c r="C1793" s="12">
        <v>36</v>
      </c>
      <c r="D1793" s="12" t="s">
        <v>26</v>
      </c>
      <c r="E1793" s="12" t="s">
        <v>14</v>
      </c>
      <c r="F1793" s="12">
        <v>44</v>
      </c>
      <c r="G1793" s="12">
        <v>12</v>
      </c>
      <c r="H1793" s="12">
        <v>0.36</v>
      </c>
      <c r="I1793" s="12" t="s">
        <v>19</v>
      </c>
      <c r="J1793" s="12">
        <v>35</v>
      </c>
      <c r="K1793" s="12">
        <v>0</v>
      </c>
      <c r="L1793" s="12">
        <v>0</v>
      </c>
      <c r="M1793" s="12">
        <v>0</v>
      </c>
      <c r="N1793" s="12">
        <v>0</v>
      </c>
      <c r="O1793" s="12" t="str">
        <f t="shared" si="27"/>
        <v>30 - 39</v>
      </c>
    </row>
    <row r="1794" spans="1:15" x14ac:dyDescent="0.35">
      <c r="A1794" s="11">
        <v>7064</v>
      </c>
      <c r="B1794" s="11" t="s">
        <v>12</v>
      </c>
      <c r="C1794" s="11">
        <v>51</v>
      </c>
      <c r="D1794" s="11" t="s">
        <v>29</v>
      </c>
      <c r="E1794" s="11" t="s">
        <v>14</v>
      </c>
      <c r="F1794" s="11">
        <v>273</v>
      </c>
      <c r="G1794" s="11">
        <v>69</v>
      </c>
      <c r="H1794" s="11">
        <v>0.24</v>
      </c>
      <c r="I1794" s="11" t="s">
        <v>15</v>
      </c>
      <c r="J1794" s="11">
        <v>16</v>
      </c>
      <c r="K1794" s="11">
        <v>0</v>
      </c>
      <c r="L1794" s="11">
        <v>0</v>
      </c>
      <c r="M1794" s="11">
        <v>0</v>
      </c>
      <c r="N1794" s="11">
        <v>0</v>
      </c>
      <c r="O1794" s="12" t="str">
        <f t="shared" ref="O1794:O1857" si="28">_xlfn.FLOOR.MATH(J1794, 10) &amp; " - " &amp; (_xlfn.FLOOR.MATH(J1794, 10) + 9)</f>
        <v>10 - 19</v>
      </c>
    </row>
    <row r="1795" spans="1:15" x14ac:dyDescent="0.35">
      <c r="A1795" s="12">
        <v>7068</v>
      </c>
      <c r="B1795" s="12" t="s">
        <v>20</v>
      </c>
      <c r="C1795" s="12">
        <v>25</v>
      </c>
      <c r="D1795" s="12" t="s">
        <v>21</v>
      </c>
      <c r="E1795" s="12" t="s">
        <v>14</v>
      </c>
      <c r="F1795" s="12">
        <v>69</v>
      </c>
      <c r="G1795" s="12">
        <v>95</v>
      </c>
      <c r="H1795" s="12">
        <v>0.26</v>
      </c>
      <c r="I1795" s="12" t="s">
        <v>19</v>
      </c>
      <c r="J1795" s="12">
        <v>41</v>
      </c>
      <c r="K1795" s="12">
        <v>0</v>
      </c>
      <c r="L1795" s="12">
        <v>1</v>
      </c>
      <c r="M1795" s="12">
        <v>0</v>
      </c>
      <c r="N1795" s="12">
        <v>0</v>
      </c>
      <c r="O1795" s="12" t="str">
        <f t="shared" si="28"/>
        <v>40 - 49</v>
      </c>
    </row>
    <row r="1796" spans="1:15" x14ac:dyDescent="0.35">
      <c r="A1796" s="11">
        <v>7070</v>
      </c>
      <c r="B1796" s="11" t="s">
        <v>16</v>
      </c>
      <c r="C1796" s="11">
        <v>47</v>
      </c>
      <c r="D1796" s="11" t="s">
        <v>25</v>
      </c>
      <c r="E1796" s="11" t="s">
        <v>14</v>
      </c>
      <c r="F1796" s="11">
        <v>100</v>
      </c>
      <c r="G1796" s="11">
        <v>20</v>
      </c>
      <c r="H1796" s="11">
        <v>0.46</v>
      </c>
      <c r="I1796" s="11" t="s">
        <v>19</v>
      </c>
      <c r="J1796" s="11">
        <v>6</v>
      </c>
      <c r="K1796" s="11">
        <v>0</v>
      </c>
      <c r="L1796" s="11">
        <v>1</v>
      </c>
      <c r="M1796" s="11">
        <v>0</v>
      </c>
      <c r="N1796" s="11">
        <v>0</v>
      </c>
      <c r="O1796" s="12" t="str">
        <f t="shared" si="28"/>
        <v>0 - 9</v>
      </c>
    </row>
    <row r="1797" spans="1:15" x14ac:dyDescent="0.35">
      <c r="A1797" s="12">
        <v>7074</v>
      </c>
      <c r="B1797" s="12" t="s">
        <v>16</v>
      </c>
      <c r="C1797" s="12">
        <v>43</v>
      </c>
      <c r="D1797" s="12" t="s">
        <v>17</v>
      </c>
      <c r="E1797" s="12" t="s">
        <v>14</v>
      </c>
      <c r="F1797" s="12">
        <v>62</v>
      </c>
      <c r="G1797" s="12">
        <v>81</v>
      </c>
      <c r="H1797" s="12">
        <v>0.22</v>
      </c>
      <c r="I1797" s="12" t="s">
        <v>15</v>
      </c>
      <c r="J1797" s="12">
        <v>18</v>
      </c>
      <c r="K1797" s="12">
        <v>0</v>
      </c>
      <c r="L1797" s="12">
        <v>0</v>
      </c>
      <c r="M1797" s="12">
        <v>0</v>
      </c>
      <c r="N1797" s="12">
        <v>0</v>
      </c>
      <c r="O1797" s="12" t="str">
        <f t="shared" si="28"/>
        <v>10 - 19</v>
      </c>
    </row>
    <row r="1798" spans="1:15" x14ac:dyDescent="0.35">
      <c r="A1798" s="11">
        <v>7077</v>
      </c>
      <c r="B1798" s="11" t="s">
        <v>20</v>
      </c>
      <c r="C1798" s="11">
        <v>22</v>
      </c>
      <c r="D1798" s="11" t="s">
        <v>21</v>
      </c>
      <c r="E1798" s="11" t="s">
        <v>14</v>
      </c>
      <c r="F1798" s="11">
        <v>202</v>
      </c>
      <c r="G1798" s="11">
        <v>34</v>
      </c>
      <c r="H1798" s="11">
        <v>0.19</v>
      </c>
      <c r="I1798" s="11" t="s">
        <v>19</v>
      </c>
      <c r="J1798" s="11">
        <v>37</v>
      </c>
      <c r="K1798" s="11">
        <v>0</v>
      </c>
      <c r="L1798" s="11">
        <v>0</v>
      </c>
      <c r="M1798" s="11">
        <v>0</v>
      </c>
      <c r="N1798" s="11">
        <v>0</v>
      </c>
      <c r="O1798" s="12" t="str">
        <f t="shared" si="28"/>
        <v>30 - 39</v>
      </c>
    </row>
    <row r="1799" spans="1:15" x14ac:dyDescent="0.35">
      <c r="A1799" s="12">
        <v>7085</v>
      </c>
      <c r="B1799" s="12" t="s">
        <v>12</v>
      </c>
      <c r="C1799" s="12">
        <v>45</v>
      </c>
      <c r="D1799" s="12" t="s">
        <v>13</v>
      </c>
      <c r="E1799" s="12" t="s">
        <v>14</v>
      </c>
      <c r="F1799" s="12">
        <v>186</v>
      </c>
      <c r="G1799" s="12">
        <v>7</v>
      </c>
      <c r="H1799" s="12">
        <v>0.41</v>
      </c>
      <c r="I1799" s="12" t="s">
        <v>15</v>
      </c>
      <c r="J1799" s="12">
        <v>27</v>
      </c>
      <c r="K1799" s="12">
        <v>0</v>
      </c>
      <c r="L1799" s="12">
        <v>0</v>
      </c>
      <c r="M1799" s="12">
        <v>0</v>
      </c>
      <c r="N1799" s="12">
        <v>0</v>
      </c>
      <c r="O1799" s="12" t="str">
        <f t="shared" si="28"/>
        <v>20 - 29</v>
      </c>
    </row>
    <row r="1800" spans="1:15" x14ac:dyDescent="0.35">
      <c r="A1800" s="11">
        <v>7088</v>
      </c>
      <c r="B1800" s="11" t="s">
        <v>20</v>
      </c>
      <c r="C1800" s="11">
        <v>21</v>
      </c>
      <c r="D1800" s="11" t="s">
        <v>28</v>
      </c>
      <c r="E1800" s="11" t="s">
        <v>14</v>
      </c>
      <c r="F1800" s="11">
        <v>193</v>
      </c>
      <c r="G1800" s="11">
        <v>99</v>
      </c>
      <c r="H1800" s="11">
        <v>0.54</v>
      </c>
      <c r="I1800" s="11" t="s">
        <v>19</v>
      </c>
      <c r="J1800" s="11">
        <v>48</v>
      </c>
      <c r="K1800" s="11">
        <v>0</v>
      </c>
      <c r="L1800" s="11">
        <v>0</v>
      </c>
      <c r="M1800" s="11">
        <v>0</v>
      </c>
      <c r="N1800" s="11">
        <v>0</v>
      </c>
      <c r="O1800" s="12" t="str">
        <f t="shared" si="28"/>
        <v>40 - 49</v>
      </c>
    </row>
    <row r="1801" spans="1:15" x14ac:dyDescent="0.35">
      <c r="A1801" s="12">
        <v>7091</v>
      </c>
      <c r="B1801" s="12" t="s">
        <v>12</v>
      </c>
      <c r="C1801" s="12">
        <v>33</v>
      </c>
      <c r="D1801" s="12" t="s">
        <v>26</v>
      </c>
      <c r="E1801" s="12" t="s">
        <v>14</v>
      </c>
      <c r="F1801" s="12">
        <v>232</v>
      </c>
      <c r="G1801" s="12">
        <v>98</v>
      </c>
      <c r="H1801" s="12">
        <v>0.13</v>
      </c>
      <c r="I1801" s="12" t="s">
        <v>15</v>
      </c>
      <c r="J1801" s="12">
        <v>30</v>
      </c>
      <c r="K1801" s="12">
        <v>0</v>
      </c>
      <c r="L1801" s="12">
        <v>1</v>
      </c>
      <c r="M1801" s="12">
        <v>0</v>
      </c>
      <c r="N1801" s="12">
        <v>0</v>
      </c>
      <c r="O1801" s="12" t="str">
        <f t="shared" si="28"/>
        <v>30 - 39</v>
      </c>
    </row>
    <row r="1802" spans="1:15" x14ac:dyDescent="0.35">
      <c r="A1802" s="11">
        <v>7094</v>
      </c>
      <c r="B1802" s="11" t="s">
        <v>20</v>
      </c>
      <c r="C1802" s="11">
        <v>42</v>
      </c>
      <c r="D1802" s="11" t="s">
        <v>26</v>
      </c>
      <c r="E1802" s="11" t="s">
        <v>14</v>
      </c>
      <c r="F1802" s="11">
        <v>19</v>
      </c>
      <c r="G1802" s="11">
        <v>8</v>
      </c>
      <c r="H1802" s="11">
        <v>0.08</v>
      </c>
      <c r="I1802" s="11" t="s">
        <v>19</v>
      </c>
      <c r="J1802" s="11">
        <v>22</v>
      </c>
      <c r="K1802" s="11">
        <v>0</v>
      </c>
      <c r="L1802" s="11">
        <v>0</v>
      </c>
      <c r="M1802" s="11">
        <v>0</v>
      </c>
      <c r="N1802" s="11">
        <v>0</v>
      </c>
      <c r="O1802" s="12" t="str">
        <f t="shared" si="28"/>
        <v>20 - 29</v>
      </c>
    </row>
    <row r="1803" spans="1:15" x14ac:dyDescent="0.35">
      <c r="A1803" s="12">
        <v>7098</v>
      </c>
      <c r="B1803" s="12" t="s">
        <v>12</v>
      </c>
      <c r="C1803" s="12">
        <v>23</v>
      </c>
      <c r="D1803" s="12" t="s">
        <v>29</v>
      </c>
      <c r="E1803" s="12" t="s">
        <v>14</v>
      </c>
      <c r="F1803" s="12">
        <v>224</v>
      </c>
      <c r="G1803" s="12">
        <v>71</v>
      </c>
      <c r="H1803" s="12">
        <v>0.16</v>
      </c>
      <c r="I1803" s="12" t="s">
        <v>19</v>
      </c>
      <c r="J1803" s="12">
        <v>33</v>
      </c>
      <c r="K1803" s="12">
        <v>0</v>
      </c>
      <c r="L1803" s="12">
        <v>1</v>
      </c>
      <c r="M1803" s="12">
        <v>0</v>
      </c>
      <c r="N1803" s="12">
        <v>0</v>
      </c>
      <c r="O1803" s="12" t="str">
        <f t="shared" si="28"/>
        <v>30 - 39</v>
      </c>
    </row>
    <row r="1804" spans="1:15" x14ac:dyDescent="0.35">
      <c r="A1804" s="11">
        <v>7099</v>
      </c>
      <c r="B1804" s="11" t="s">
        <v>16</v>
      </c>
      <c r="C1804" s="11">
        <v>31</v>
      </c>
      <c r="D1804" s="11" t="s">
        <v>27</v>
      </c>
      <c r="E1804" s="11" t="s">
        <v>14</v>
      </c>
      <c r="F1804" s="11">
        <v>73</v>
      </c>
      <c r="G1804" s="11">
        <v>85</v>
      </c>
      <c r="H1804" s="11">
        <v>0.22</v>
      </c>
      <c r="I1804" s="11" t="s">
        <v>15</v>
      </c>
      <c r="J1804" s="11">
        <v>27</v>
      </c>
      <c r="K1804" s="11">
        <v>0</v>
      </c>
      <c r="L1804" s="11">
        <v>1</v>
      </c>
      <c r="M1804" s="11">
        <v>0</v>
      </c>
      <c r="N1804" s="11">
        <v>0</v>
      </c>
      <c r="O1804" s="12" t="str">
        <f t="shared" si="28"/>
        <v>20 - 29</v>
      </c>
    </row>
    <row r="1805" spans="1:15" x14ac:dyDescent="0.35">
      <c r="A1805" s="12">
        <v>7111</v>
      </c>
      <c r="B1805" s="12" t="s">
        <v>20</v>
      </c>
      <c r="C1805" s="12">
        <v>27</v>
      </c>
      <c r="D1805" s="12" t="s">
        <v>17</v>
      </c>
      <c r="E1805" s="12" t="s">
        <v>14</v>
      </c>
      <c r="F1805" s="12">
        <v>217</v>
      </c>
      <c r="G1805" s="12">
        <v>83</v>
      </c>
      <c r="H1805" s="12">
        <v>0.5</v>
      </c>
      <c r="I1805" s="12" t="s">
        <v>15</v>
      </c>
      <c r="J1805" s="12">
        <v>49</v>
      </c>
      <c r="K1805" s="12">
        <v>0</v>
      </c>
      <c r="L1805" s="12">
        <v>0</v>
      </c>
      <c r="M1805" s="12">
        <v>0</v>
      </c>
      <c r="N1805" s="12">
        <v>0</v>
      </c>
      <c r="O1805" s="12" t="str">
        <f t="shared" si="28"/>
        <v>40 - 49</v>
      </c>
    </row>
    <row r="1806" spans="1:15" x14ac:dyDescent="0.35">
      <c r="A1806" s="11">
        <v>7116</v>
      </c>
      <c r="B1806" s="11" t="s">
        <v>12</v>
      </c>
      <c r="C1806" s="11">
        <v>52</v>
      </c>
      <c r="D1806" s="11" t="s">
        <v>25</v>
      </c>
      <c r="E1806" s="11" t="s">
        <v>14</v>
      </c>
      <c r="F1806" s="11">
        <v>114</v>
      </c>
      <c r="G1806" s="11">
        <v>92</v>
      </c>
      <c r="H1806" s="11">
        <v>0.03</v>
      </c>
      <c r="I1806" s="11" t="s">
        <v>19</v>
      </c>
      <c r="J1806" s="11">
        <v>19</v>
      </c>
      <c r="K1806" s="11">
        <v>0</v>
      </c>
      <c r="L1806" s="11">
        <v>0</v>
      </c>
      <c r="M1806" s="11">
        <v>0</v>
      </c>
      <c r="N1806" s="11">
        <v>0</v>
      </c>
      <c r="O1806" s="12" t="str">
        <f t="shared" si="28"/>
        <v>10 - 19</v>
      </c>
    </row>
    <row r="1807" spans="1:15" x14ac:dyDescent="0.35">
      <c r="A1807" s="12">
        <v>7119</v>
      </c>
      <c r="B1807" s="12" t="s">
        <v>16</v>
      </c>
      <c r="C1807" s="12">
        <v>18</v>
      </c>
      <c r="D1807" s="12" t="s">
        <v>29</v>
      </c>
      <c r="E1807" s="12" t="s">
        <v>14</v>
      </c>
      <c r="F1807" s="12">
        <v>238</v>
      </c>
      <c r="G1807" s="12">
        <v>88</v>
      </c>
      <c r="H1807" s="12">
        <v>0.22</v>
      </c>
      <c r="I1807" s="12" t="s">
        <v>23</v>
      </c>
      <c r="J1807" s="12">
        <v>42</v>
      </c>
      <c r="K1807" s="12">
        <v>0</v>
      </c>
      <c r="L1807" s="12">
        <v>0</v>
      </c>
      <c r="M1807" s="12">
        <v>0</v>
      </c>
      <c r="N1807" s="12">
        <v>0</v>
      </c>
      <c r="O1807" s="12" t="str">
        <f t="shared" si="28"/>
        <v>40 - 49</v>
      </c>
    </row>
    <row r="1808" spans="1:15" x14ac:dyDescent="0.35">
      <c r="A1808" s="11">
        <v>7124</v>
      </c>
      <c r="B1808" s="11" t="s">
        <v>20</v>
      </c>
      <c r="C1808" s="11">
        <v>29</v>
      </c>
      <c r="D1808" s="11" t="s">
        <v>29</v>
      </c>
      <c r="E1808" s="11" t="s">
        <v>14</v>
      </c>
      <c r="F1808" s="11">
        <v>90</v>
      </c>
      <c r="G1808" s="11">
        <v>75</v>
      </c>
      <c r="H1808" s="11">
        <v>0.52</v>
      </c>
      <c r="I1808" s="11" t="s">
        <v>19</v>
      </c>
      <c r="J1808" s="11">
        <v>16</v>
      </c>
      <c r="K1808" s="11">
        <v>0</v>
      </c>
      <c r="L1808" s="11">
        <v>0</v>
      </c>
      <c r="M1808" s="11">
        <v>0</v>
      </c>
      <c r="N1808" s="11">
        <v>0</v>
      </c>
      <c r="O1808" s="12" t="str">
        <f t="shared" si="28"/>
        <v>10 - 19</v>
      </c>
    </row>
    <row r="1809" spans="1:15" x14ac:dyDescent="0.35">
      <c r="A1809" s="12">
        <v>7130</v>
      </c>
      <c r="B1809" s="12" t="s">
        <v>16</v>
      </c>
      <c r="C1809" s="12">
        <v>37</v>
      </c>
      <c r="D1809" s="12" t="s">
        <v>26</v>
      </c>
      <c r="E1809" s="12" t="s">
        <v>14</v>
      </c>
      <c r="F1809" s="12">
        <v>275</v>
      </c>
      <c r="G1809" s="12">
        <v>95</v>
      </c>
      <c r="H1809" s="12">
        <v>0.31</v>
      </c>
      <c r="I1809" s="12" t="s">
        <v>19</v>
      </c>
      <c r="J1809" s="12">
        <v>47</v>
      </c>
      <c r="K1809" s="12">
        <v>0</v>
      </c>
      <c r="L1809" s="12">
        <v>0</v>
      </c>
      <c r="M1809" s="12">
        <v>0</v>
      </c>
      <c r="N1809" s="12">
        <v>0</v>
      </c>
      <c r="O1809" s="12" t="str">
        <f t="shared" si="28"/>
        <v>40 - 49</v>
      </c>
    </row>
    <row r="1810" spans="1:15" x14ac:dyDescent="0.35">
      <c r="A1810" s="11">
        <v>7142</v>
      </c>
      <c r="B1810" s="11" t="s">
        <v>20</v>
      </c>
      <c r="C1810" s="11">
        <v>23</v>
      </c>
      <c r="D1810" s="11" t="s">
        <v>27</v>
      </c>
      <c r="E1810" s="11" t="s">
        <v>14</v>
      </c>
      <c r="F1810" s="11">
        <v>204</v>
      </c>
      <c r="G1810" s="11">
        <v>36</v>
      </c>
      <c r="H1810" s="11">
        <v>7.0000000000000007E-2</v>
      </c>
      <c r="I1810" s="11" t="s">
        <v>19</v>
      </c>
      <c r="J1810" s="11">
        <v>35</v>
      </c>
      <c r="K1810" s="11">
        <v>0</v>
      </c>
      <c r="L1810" s="11">
        <v>0</v>
      </c>
      <c r="M1810" s="11">
        <v>0</v>
      </c>
      <c r="N1810" s="11">
        <v>0</v>
      </c>
      <c r="O1810" s="12" t="str">
        <f t="shared" si="28"/>
        <v>30 - 39</v>
      </c>
    </row>
    <row r="1811" spans="1:15" x14ac:dyDescent="0.35">
      <c r="A1811" s="12">
        <v>7144</v>
      </c>
      <c r="B1811" s="12" t="s">
        <v>16</v>
      </c>
      <c r="C1811" s="12">
        <v>24</v>
      </c>
      <c r="D1811" s="12" t="s">
        <v>17</v>
      </c>
      <c r="E1811" s="12" t="s">
        <v>14</v>
      </c>
      <c r="F1811" s="12">
        <v>42</v>
      </c>
      <c r="G1811" s="12">
        <v>28</v>
      </c>
      <c r="H1811" s="12">
        <v>0.6</v>
      </c>
      <c r="I1811" s="12" t="s">
        <v>19</v>
      </c>
      <c r="J1811" s="12">
        <v>5</v>
      </c>
      <c r="K1811" s="12">
        <v>0</v>
      </c>
      <c r="L1811" s="12">
        <v>0</v>
      </c>
      <c r="M1811" s="12">
        <v>0</v>
      </c>
      <c r="N1811" s="12">
        <v>0</v>
      </c>
      <c r="O1811" s="12" t="str">
        <f t="shared" si="28"/>
        <v>0 - 9</v>
      </c>
    </row>
    <row r="1812" spans="1:15" x14ac:dyDescent="0.35">
      <c r="A1812" s="11">
        <v>7145</v>
      </c>
      <c r="B1812" s="11" t="s">
        <v>16</v>
      </c>
      <c r="C1812" s="11">
        <v>40</v>
      </c>
      <c r="D1812" s="11" t="s">
        <v>28</v>
      </c>
      <c r="E1812" s="11" t="s">
        <v>14</v>
      </c>
      <c r="F1812" s="11">
        <v>294</v>
      </c>
      <c r="G1812" s="11">
        <v>35</v>
      </c>
      <c r="H1812" s="11">
        <v>0.22</v>
      </c>
      <c r="I1812" s="11" t="s">
        <v>19</v>
      </c>
      <c r="J1812" s="11">
        <v>17</v>
      </c>
      <c r="K1812" s="11">
        <v>0</v>
      </c>
      <c r="L1812" s="11">
        <v>0</v>
      </c>
      <c r="M1812" s="11">
        <v>0</v>
      </c>
      <c r="N1812" s="11">
        <v>0</v>
      </c>
      <c r="O1812" s="12" t="str">
        <f t="shared" si="28"/>
        <v>10 - 19</v>
      </c>
    </row>
    <row r="1813" spans="1:15" x14ac:dyDescent="0.35">
      <c r="A1813" s="12">
        <v>7147</v>
      </c>
      <c r="B1813" s="12" t="s">
        <v>20</v>
      </c>
      <c r="C1813" s="12">
        <v>54</v>
      </c>
      <c r="D1813" s="12" t="s">
        <v>21</v>
      </c>
      <c r="E1813" s="12" t="s">
        <v>14</v>
      </c>
      <c r="F1813" s="12">
        <v>184</v>
      </c>
      <c r="G1813" s="12">
        <v>45</v>
      </c>
      <c r="H1813" s="12">
        <v>0.38</v>
      </c>
      <c r="I1813" s="12" t="s">
        <v>23</v>
      </c>
      <c r="J1813" s="12">
        <v>39</v>
      </c>
      <c r="K1813" s="12">
        <v>0</v>
      </c>
      <c r="L1813" s="12">
        <v>0</v>
      </c>
      <c r="M1813" s="12">
        <v>0</v>
      </c>
      <c r="N1813" s="12">
        <v>0</v>
      </c>
      <c r="O1813" s="12" t="str">
        <f t="shared" si="28"/>
        <v>30 - 39</v>
      </c>
    </row>
    <row r="1814" spans="1:15" x14ac:dyDescent="0.35">
      <c r="A1814" s="11">
        <v>7152</v>
      </c>
      <c r="B1814" s="11" t="s">
        <v>20</v>
      </c>
      <c r="C1814" s="11">
        <v>31</v>
      </c>
      <c r="D1814" s="11" t="s">
        <v>27</v>
      </c>
      <c r="E1814" s="11" t="s">
        <v>14</v>
      </c>
      <c r="F1814" s="11">
        <v>79</v>
      </c>
      <c r="G1814" s="11">
        <v>40</v>
      </c>
      <c r="H1814" s="11">
        <v>0.18</v>
      </c>
      <c r="I1814" s="11" t="s">
        <v>19</v>
      </c>
      <c r="J1814" s="11">
        <v>23</v>
      </c>
      <c r="K1814" s="11">
        <v>0</v>
      </c>
      <c r="L1814" s="11">
        <v>1</v>
      </c>
      <c r="M1814" s="11">
        <v>0</v>
      </c>
      <c r="N1814" s="11">
        <v>0</v>
      </c>
      <c r="O1814" s="12" t="str">
        <f t="shared" si="28"/>
        <v>20 - 29</v>
      </c>
    </row>
    <row r="1815" spans="1:15" x14ac:dyDescent="0.35">
      <c r="A1815" s="12">
        <v>7159</v>
      </c>
      <c r="B1815" s="12" t="s">
        <v>16</v>
      </c>
      <c r="C1815" s="12">
        <v>40</v>
      </c>
      <c r="D1815" s="12" t="s">
        <v>29</v>
      </c>
      <c r="E1815" s="12" t="s">
        <v>14</v>
      </c>
      <c r="F1815" s="12">
        <v>20</v>
      </c>
      <c r="G1815" s="12">
        <v>40</v>
      </c>
      <c r="H1815" s="12">
        <v>0.1</v>
      </c>
      <c r="I1815" s="12" t="s">
        <v>15</v>
      </c>
      <c r="J1815" s="12">
        <v>45</v>
      </c>
      <c r="K1815" s="12">
        <v>0</v>
      </c>
      <c r="L1815" s="12">
        <v>0</v>
      </c>
      <c r="M1815" s="12">
        <v>0</v>
      </c>
      <c r="N1815" s="12">
        <v>0</v>
      </c>
      <c r="O1815" s="12" t="str">
        <f t="shared" si="28"/>
        <v>40 - 49</v>
      </c>
    </row>
    <row r="1816" spans="1:15" x14ac:dyDescent="0.35">
      <c r="A1816" s="11">
        <v>7160</v>
      </c>
      <c r="B1816" s="11" t="s">
        <v>12</v>
      </c>
      <c r="C1816" s="11">
        <v>43</v>
      </c>
      <c r="D1816" s="11" t="s">
        <v>29</v>
      </c>
      <c r="E1816" s="11" t="s">
        <v>14</v>
      </c>
      <c r="F1816" s="11">
        <v>54</v>
      </c>
      <c r="G1816" s="11">
        <v>64</v>
      </c>
      <c r="H1816" s="11">
        <v>0.01</v>
      </c>
      <c r="I1816" s="11" t="s">
        <v>23</v>
      </c>
      <c r="J1816" s="11">
        <v>37</v>
      </c>
      <c r="K1816" s="11">
        <v>0</v>
      </c>
      <c r="L1816" s="11">
        <v>0</v>
      </c>
      <c r="M1816" s="11">
        <v>0</v>
      </c>
      <c r="N1816" s="11">
        <v>0</v>
      </c>
      <c r="O1816" s="12" t="str">
        <f t="shared" si="28"/>
        <v>30 - 39</v>
      </c>
    </row>
    <row r="1817" spans="1:15" x14ac:dyDescent="0.35">
      <c r="A1817" s="12">
        <v>7161</v>
      </c>
      <c r="B1817" s="12" t="s">
        <v>12</v>
      </c>
      <c r="C1817" s="12">
        <v>46</v>
      </c>
      <c r="D1817" s="12" t="s">
        <v>21</v>
      </c>
      <c r="E1817" s="12" t="s">
        <v>14</v>
      </c>
      <c r="F1817" s="12">
        <v>222</v>
      </c>
      <c r="G1817" s="12">
        <v>48</v>
      </c>
      <c r="H1817" s="12">
        <v>0.57999999999999996</v>
      </c>
      <c r="I1817" s="12" t="s">
        <v>23</v>
      </c>
      <c r="J1817" s="12">
        <v>42</v>
      </c>
      <c r="K1817" s="12">
        <v>0</v>
      </c>
      <c r="L1817" s="12">
        <v>0</v>
      </c>
      <c r="M1817" s="12">
        <v>0</v>
      </c>
      <c r="N1817" s="12">
        <v>0</v>
      </c>
      <c r="O1817" s="12" t="str">
        <f t="shared" si="28"/>
        <v>40 - 49</v>
      </c>
    </row>
    <row r="1818" spans="1:15" x14ac:dyDescent="0.35">
      <c r="A1818" s="11">
        <v>7164</v>
      </c>
      <c r="B1818" s="11" t="s">
        <v>20</v>
      </c>
      <c r="C1818" s="11">
        <v>40</v>
      </c>
      <c r="D1818" s="11" t="s">
        <v>27</v>
      </c>
      <c r="E1818" s="11" t="s">
        <v>14</v>
      </c>
      <c r="F1818" s="11">
        <v>284</v>
      </c>
      <c r="G1818" s="11">
        <v>99</v>
      </c>
      <c r="H1818" s="11">
        <v>0</v>
      </c>
      <c r="I1818" s="11" t="s">
        <v>15</v>
      </c>
      <c r="J1818" s="11">
        <v>7</v>
      </c>
      <c r="K1818" s="11">
        <v>0</v>
      </c>
      <c r="L1818" s="11">
        <v>0</v>
      </c>
      <c r="M1818" s="11">
        <v>0</v>
      </c>
      <c r="N1818" s="11">
        <v>0</v>
      </c>
      <c r="O1818" s="12" t="str">
        <f t="shared" si="28"/>
        <v>0 - 9</v>
      </c>
    </row>
    <row r="1819" spans="1:15" x14ac:dyDescent="0.35">
      <c r="A1819" s="12">
        <v>7171</v>
      </c>
      <c r="B1819" s="12" t="s">
        <v>20</v>
      </c>
      <c r="C1819" s="12">
        <v>34</v>
      </c>
      <c r="D1819" s="12" t="s">
        <v>29</v>
      </c>
      <c r="E1819" s="12" t="s">
        <v>14</v>
      </c>
      <c r="F1819" s="12">
        <v>30</v>
      </c>
      <c r="G1819" s="12">
        <v>54</v>
      </c>
      <c r="H1819" s="12">
        <v>0.38</v>
      </c>
      <c r="I1819" s="12" t="s">
        <v>23</v>
      </c>
      <c r="J1819" s="12">
        <v>41</v>
      </c>
      <c r="K1819" s="12">
        <v>0</v>
      </c>
      <c r="L1819" s="12">
        <v>0</v>
      </c>
      <c r="M1819" s="12">
        <v>0</v>
      </c>
      <c r="N1819" s="12">
        <v>0</v>
      </c>
      <c r="O1819" s="12" t="str">
        <f t="shared" si="28"/>
        <v>40 - 49</v>
      </c>
    </row>
    <row r="1820" spans="1:15" x14ac:dyDescent="0.35">
      <c r="A1820" s="11">
        <v>7173</v>
      </c>
      <c r="B1820" s="11" t="s">
        <v>16</v>
      </c>
      <c r="C1820" s="11">
        <v>16</v>
      </c>
      <c r="D1820" s="11" t="s">
        <v>29</v>
      </c>
      <c r="E1820" s="11" t="s">
        <v>14</v>
      </c>
      <c r="F1820" s="11">
        <v>212</v>
      </c>
      <c r="G1820" s="11">
        <v>3</v>
      </c>
      <c r="H1820" s="11">
        <v>0.23</v>
      </c>
      <c r="I1820" s="11" t="s">
        <v>15</v>
      </c>
      <c r="J1820" s="11">
        <v>16</v>
      </c>
      <c r="K1820" s="11">
        <v>0</v>
      </c>
      <c r="L1820" s="11">
        <v>0</v>
      </c>
      <c r="M1820" s="11">
        <v>0</v>
      </c>
      <c r="N1820" s="11">
        <v>0</v>
      </c>
      <c r="O1820" s="12" t="str">
        <f t="shared" si="28"/>
        <v>10 - 19</v>
      </c>
    </row>
    <row r="1821" spans="1:15" x14ac:dyDescent="0.35">
      <c r="A1821" s="12">
        <v>7176</v>
      </c>
      <c r="B1821" s="12" t="s">
        <v>20</v>
      </c>
      <c r="C1821" s="12">
        <v>51</v>
      </c>
      <c r="D1821" s="12" t="s">
        <v>27</v>
      </c>
      <c r="E1821" s="12" t="s">
        <v>14</v>
      </c>
      <c r="F1821" s="12">
        <v>24</v>
      </c>
      <c r="G1821" s="12">
        <v>37</v>
      </c>
      <c r="H1821" s="12">
        <v>0.11</v>
      </c>
      <c r="I1821" s="12" t="s">
        <v>19</v>
      </c>
      <c r="J1821" s="12">
        <v>12</v>
      </c>
      <c r="K1821" s="12">
        <v>0</v>
      </c>
      <c r="L1821" s="12">
        <v>0</v>
      </c>
      <c r="M1821" s="12">
        <v>0</v>
      </c>
      <c r="N1821" s="12">
        <v>0</v>
      </c>
      <c r="O1821" s="12" t="str">
        <f t="shared" si="28"/>
        <v>10 - 19</v>
      </c>
    </row>
    <row r="1822" spans="1:15" x14ac:dyDescent="0.35">
      <c r="A1822" s="11">
        <v>7179</v>
      </c>
      <c r="B1822" s="11" t="s">
        <v>20</v>
      </c>
      <c r="C1822" s="11">
        <v>56</v>
      </c>
      <c r="D1822" s="11" t="s">
        <v>26</v>
      </c>
      <c r="E1822" s="11" t="s">
        <v>14</v>
      </c>
      <c r="F1822" s="11">
        <v>28</v>
      </c>
      <c r="G1822" s="11">
        <v>15</v>
      </c>
      <c r="H1822" s="11">
        <v>0.17</v>
      </c>
      <c r="I1822" s="11" t="s">
        <v>19</v>
      </c>
      <c r="J1822" s="11">
        <v>18</v>
      </c>
      <c r="K1822" s="11">
        <v>0</v>
      </c>
      <c r="L1822" s="11">
        <v>0</v>
      </c>
      <c r="M1822" s="11">
        <v>0</v>
      </c>
      <c r="N1822" s="11">
        <v>0</v>
      </c>
      <c r="O1822" s="12" t="str">
        <f t="shared" si="28"/>
        <v>10 - 19</v>
      </c>
    </row>
    <row r="1823" spans="1:15" x14ac:dyDescent="0.35">
      <c r="A1823" s="12">
        <v>7184</v>
      </c>
      <c r="B1823" s="12" t="s">
        <v>12</v>
      </c>
      <c r="C1823" s="12">
        <v>33</v>
      </c>
      <c r="D1823" s="12" t="s">
        <v>25</v>
      </c>
      <c r="E1823" s="12" t="s">
        <v>14</v>
      </c>
      <c r="F1823" s="12">
        <v>277</v>
      </c>
      <c r="G1823" s="12">
        <v>49</v>
      </c>
      <c r="H1823" s="12">
        <v>0.39</v>
      </c>
      <c r="I1823" s="12" t="s">
        <v>23</v>
      </c>
      <c r="J1823" s="12">
        <v>29</v>
      </c>
      <c r="K1823" s="12">
        <v>0</v>
      </c>
      <c r="L1823" s="12">
        <v>0</v>
      </c>
      <c r="M1823" s="12">
        <v>0</v>
      </c>
      <c r="N1823" s="12">
        <v>0</v>
      </c>
      <c r="O1823" s="12" t="str">
        <f t="shared" si="28"/>
        <v>20 - 29</v>
      </c>
    </row>
    <row r="1824" spans="1:15" x14ac:dyDescent="0.35">
      <c r="A1824" s="11">
        <v>7190</v>
      </c>
      <c r="B1824" s="11" t="s">
        <v>16</v>
      </c>
      <c r="C1824" s="11">
        <v>20</v>
      </c>
      <c r="D1824" s="11" t="s">
        <v>29</v>
      </c>
      <c r="E1824" s="11" t="s">
        <v>14</v>
      </c>
      <c r="F1824" s="11">
        <v>96</v>
      </c>
      <c r="G1824" s="11">
        <v>56</v>
      </c>
      <c r="H1824" s="11">
        <v>0.08</v>
      </c>
      <c r="I1824" s="11" t="s">
        <v>23</v>
      </c>
      <c r="J1824" s="11">
        <v>45</v>
      </c>
      <c r="K1824" s="11">
        <v>0</v>
      </c>
      <c r="L1824" s="11">
        <v>1</v>
      </c>
      <c r="M1824" s="11">
        <v>0</v>
      </c>
      <c r="N1824" s="11">
        <v>0</v>
      </c>
      <c r="O1824" s="12" t="str">
        <f t="shared" si="28"/>
        <v>40 - 49</v>
      </c>
    </row>
    <row r="1825" spans="1:15" x14ac:dyDescent="0.35">
      <c r="A1825" s="12">
        <v>7197</v>
      </c>
      <c r="B1825" s="12" t="s">
        <v>16</v>
      </c>
      <c r="C1825" s="12">
        <v>23</v>
      </c>
      <c r="D1825" s="12" t="s">
        <v>26</v>
      </c>
      <c r="E1825" s="12" t="s">
        <v>14</v>
      </c>
      <c r="F1825" s="12">
        <v>105</v>
      </c>
      <c r="G1825" s="12">
        <v>84</v>
      </c>
      <c r="H1825" s="12">
        <v>0.36</v>
      </c>
      <c r="I1825" s="12" t="s">
        <v>15</v>
      </c>
      <c r="J1825" s="12">
        <v>30</v>
      </c>
      <c r="K1825" s="12">
        <v>0</v>
      </c>
      <c r="L1825" s="12">
        <v>0</v>
      </c>
      <c r="M1825" s="12">
        <v>0</v>
      </c>
      <c r="N1825" s="12">
        <v>0</v>
      </c>
      <c r="O1825" s="12" t="str">
        <f t="shared" si="28"/>
        <v>30 - 39</v>
      </c>
    </row>
    <row r="1826" spans="1:15" x14ac:dyDescent="0.35">
      <c r="A1826" s="11">
        <v>7199</v>
      </c>
      <c r="B1826" s="11" t="s">
        <v>12</v>
      </c>
      <c r="C1826" s="11">
        <v>52</v>
      </c>
      <c r="D1826" s="11" t="s">
        <v>29</v>
      </c>
      <c r="E1826" s="11" t="s">
        <v>14</v>
      </c>
      <c r="F1826" s="11">
        <v>167</v>
      </c>
      <c r="G1826" s="11">
        <v>59</v>
      </c>
      <c r="H1826" s="11">
        <v>0.31</v>
      </c>
      <c r="I1826" s="11" t="s">
        <v>19</v>
      </c>
      <c r="J1826" s="11">
        <v>12</v>
      </c>
      <c r="K1826" s="11">
        <v>0</v>
      </c>
      <c r="L1826" s="11">
        <v>1</v>
      </c>
      <c r="M1826" s="11">
        <v>0</v>
      </c>
      <c r="N1826" s="11">
        <v>0</v>
      </c>
      <c r="O1826" s="12" t="str">
        <f t="shared" si="28"/>
        <v>10 - 19</v>
      </c>
    </row>
    <row r="1827" spans="1:15" x14ac:dyDescent="0.35">
      <c r="A1827" s="12">
        <v>7201</v>
      </c>
      <c r="B1827" s="12" t="s">
        <v>20</v>
      </c>
      <c r="C1827" s="12">
        <v>37</v>
      </c>
      <c r="D1827" s="12" t="s">
        <v>25</v>
      </c>
      <c r="E1827" s="12" t="s">
        <v>14</v>
      </c>
      <c r="F1827" s="12">
        <v>255</v>
      </c>
      <c r="G1827" s="12">
        <v>9</v>
      </c>
      <c r="H1827" s="12">
        <v>0.56000000000000005</v>
      </c>
      <c r="I1827" s="12" t="s">
        <v>23</v>
      </c>
      <c r="J1827" s="12">
        <v>12</v>
      </c>
      <c r="K1827" s="12">
        <v>0</v>
      </c>
      <c r="L1827" s="12">
        <v>1</v>
      </c>
      <c r="M1827" s="12">
        <v>0</v>
      </c>
      <c r="N1827" s="12">
        <v>0</v>
      </c>
      <c r="O1827" s="12" t="str">
        <f t="shared" si="28"/>
        <v>10 - 19</v>
      </c>
    </row>
    <row r="1828" spans="1:15" x14ac:dyDescent="0.35">
      <c r="A1828" s="11">
        <v>7213</v>
      </c>
      <c r="B1828" s="11" t="s">
        <v>16</v>
      </c>
      <c r="C1828" s="11">
        <v>54</v>
      </c>
      <c r="D1828" s="11" t="s">
        <v>21</v>
      </c>
      <c r="E1828" s="11" t="s">
        <v>14</v>
      </c>
      <c r="F1828" s="11">
        <v>133</v>
      </c>
      <c r="G1828" s="11">
        <v>99</v>
      </c>
      <c r="H1828" s="11">
        <v>0.17</v>
      </c>
      <c r="I1828" s="11" t="s">
        <v>15</v>
      </c>
      <c r="J1828" s="11">
        <v>24</v>
      </c>
      <c r="K1828" s="11">
        <v>0</v>
      </c>
      <c r="L1828" s="11">
        <v>0</v>
      </c>
      <c r="M1828" s="11">
        <v>0</v>
      </c>
      <c r="N1828" s="11">
        <v>0</v>
      </c>
      <c r="O1828" s="12" t="str">
        <f t="shared" si="28"/>
        <v>20 - 29</v>
      </c>
    </row>
    <row r="1829" spans="1:15" x14ac:dyDescent="0.35">
      <c r="A1829" s="12">
        <v>7217</v>
      </c>
      <c r="B1829" s="12" t="s">
        <v>20</v>
      </c>
      <c r="C1829" s="12">
        <v>16</v>
      </c>
      <c r="D1829" s="12" t="s">
        <v>28</v>
      </c>
      <c r="E1829" s="12" t="s">
        <v>14</v>
      </c>
      <c r="F1829" s="12">
        <v>111</v>
      </c>
      <c r="G1829" s="12">
        <v>78</v>
      </c>
      <c r="H1829" s="12">
        <v>0.24</v>
      </c>
      <c r="I1829" s="12" t="s">
        <v>23</v>
      </c>
      <c r="J1829" s="12">
        <v>12</v>
      </c>
      <c r="K1829" s="12">
        <v>0</v>
      </c>
      <c r="L1829" s="12">
        <v>0</v>
      </c>
      <c r="M1829" s="12">
        <v>0</v>
      </c>
      <c r="N1829" s="12">
        <v>0</v>
      </c>
      <c r="O1829" s="12" t="str">
        <f t="shared" si="28"/>
        <v>10 - 19</v>
      </c>
    </row>
    <row r="1830" spans="1:15" x14ac:dyDescent="0.35">
      <c r="A1830" s="11">
        <v>7218</v>
      </c>
      <c r="B1830" s="11" t="s">
        <v>12</v>
      </c>
      <c r="C1830" s="11">
        <v>44</v>
      </c>
      <c r="D1830" s="11" t="s">
        <v>28</v>
      </c>
      <c r="E1830" s="11" t="s">
        <v>14</v>
      </c>
      <c r="F1830" s="11">
        <v>273</v>
      </c>
      <c r="G1830" s="11">
        <v>46</v>
      </c>
      <c r="H1830" s="11">
        <v>0.31</v>
      </c>
      <c r="I1830" s="11" t="s">
        <v>19</v>
      </c>
      <c r="J1830" s="11">
        <v>38</v>
      </c>
      <c r="K1830" s="11">
        <v>0</v>
      </c>
      <c r="L1830" s="11">
        <v>0</v>
      </c>
      <c r="M1830" s="11">
        <v>0</v>
      </c>
      <c r="N1830" s="11">
        <v>0</v>
      </c>
      <c r="O1830" s="12" t="str">
        <f t="shared" si="28"/>
        <v>30 - 39</v>
      </c>
    </row>
    <row r="1831" spans="1:15" x14ac:dyDescent="0.35">
      <c r="A1831" s="12">
        <v>7219</v>
      </c>
      <c r="B1831" s="12" t="s">
        <v>16</v>
      </c>
      <c r="C1831" s="12">
        <v>37</v>
      </c>
      <c r="D1831" s="12" t="s">
        <v>21</v>
      </c>
      <c r="E1831" s="12" t="s">
        <v>14</v>
      </c>
      <c r="F1831" s="12">
        <v>254</v>
      </c>
      <c r="G1831" s="12">
        <v>10</v>
      </c>
      <c r="H1831" s="12">
        <v>0.37</v>
      </c>
      <c r="I1831" s="12" t="s">
        <v>23</v>
      </c>
      <c r="J1831" s="12">
        <v>31</v>
      </c>
      <c r="K1831" s="12">
        <v>0</v>
      </c>
      <c r="L1831" s="12">
        <v>0</v>
      </c>
      <c r="M1831" s="12">
        <v>0</v>
      </c>
      <c r="N1831" s="12">
        <v>0</v>
      </c>
      <c r="O1831" s="12" t="str">
        <f t="shared" si="28"/>
        <v>30 - 39</v>
      </c>
    </row>
    <row r="1832" spans="1:15" x14ac:dyDescent="0.35">
      <c r="A1832" s="11">
        <v>7231</v>
      </c>
      <c r="B1832" s="11" t="s">
        <v>12</v>
      </c>
      <c r="C1832" s="11">
        <v>37</v>
      </c>
      <c r="D1832" s="11" t="s">
        <v>21</v>
      </c>
      <c r="E1832" s="11" t="s">
        <v>14</v>
      </c>
      <c r="F1832" s="11">
        <v>59</v>
      </c>
      <c r="G1832" s="11">
        <v>44</v>
      </c>
      <c r="H1832" s="11">
        <v>0.33</v>
      </c>
      <c r="I1832" s="11" t="s">
        <v>23</v>
      </c>
      <c r="J1832" s="11">
        <v>33</v>
      </c>
      <c r="K1832" s="11">
        <v>0</v>
      </c>
      <c r="L1832" s="11">
        <v>1</v>
      </c>
      <c r="M1832" s="11">
        <v>0</v>
      </c>
      <c r="N1832" s="11">
        <v>0</v>
      </c>
      <c r="O1832" s="12" t="str">
        <f t="shared" si="28"/>
        <v>30 - 39</v>
      </c>
    </row>
    <row r="1833" spans="1:15" x14ac:dyDescent="0.35">
      <c r="A1833" s="12">
        <v>7235</v>
      </c>
      <c r="B1833" s="12" t="s">
        <v>16</v>
      </c>
      <c r="C1833" s="12">
        <v>45</v>
      </c>
      <c r="D1833" s="12" t="s">
        <v>13</v>
      </c>
      <c r="E1833" s="12" t="s">
        <v>14</v>
      </c>
      <c r="F1833" s="12">
        <v>106</v>
      </c>
      <c r="G1833" s="12">
        <v>62</v>
      </c>
      <c r="H1833" s="12">
        <v>0.52</v>
      </c>
      <c r="I1833" s="12" t="s">
        <v>19</v>
      </c>
      <c r="J1833" s="12">
        <v>41</v>
      </c>
      <c r="K1833" s="12">
        <v>0</v>
      </c>
      <c r="L1833" s="12">
        <v>1</v>
      </c>
      <c r="M1833" s="12">
        <v>0</v>
      </c>
      <c r="N1833" s="12">
        <v>0</v>
      </c>
      <c r="O1833" s="12" t="str">
        <f t="shared" si="28"/>
        <v>40 - 49</v>
      </c>
    </row>
    <row r="1834" spans="1:15" x14ac:dyDescent="0.35">
      <c r="A1834" s="11">
        <v>7236</v>
      </c>
      <c r="B1834" s="11" t="s">
        <v>16</v>
      </c>
      <c r="C1834" s="11">
        <v>54</v>
      </c>
      <c r="D1834" s="11" t="s">
        <v>17</v>
      </c>
      <c r="E1834" s="11" t="s">
        <v>14</v>
      </c>
      <c r="F1834" s="11">
        <v>163</v>
      </c>
      <c r="G1834" s="11">
        <v>68</v>
      </c>
      <c r="H1834" s="11">
        <v>0.24</v>
      </c>
      <c r="I1834" s="11" t="s">
        <v>15</v>
      </c>
      <c r="J1834" s="11">
        <v>47</v>
      </c>
      <c r="K1834" s="11">
        <v>0</v>
      </c>
      <c r="L1834" s="11">
        <v>1</v>
      </c>
      <c r="M1834" s="11">
        <v>0</v>
      </c>
      <c r="N1834" s="11">
        <v>0</v>
      </c>
      <c r="O1834" s="12" t="str">
        <f t="shared" si="28"/>
        <v>40 - 49</v>
      </c>
    </row>
    <row r="1835" spans="1:15" x14ac:dyDescent="0.35">
      <c r="A1835" s="12">
        <v>7239</v>
      </c>
      <c r="B1835" s="12" t="s">
        <v>20</v>
      </c>
      <c r="C1835" s="12">
        <v>50</v>
      </c>
      <c r="D1835" s="12" t="s">
        <v>17</v>
      </c>
      <c r="E1835" s="12" t="s">
        <v>14</v>
      </c>
      <c r="F1835" s="12">
        <v>95</v>
      </c>
      <c r="G1835" s="12">
        <v>6</v>
      </c>
      <c r="H1835" s="12">
        <v>0.34</v>
      </c>
      <c r="I1835" s="12" t="s">
        <v>19</v>
      </c>
      <c r="J1835" s="12">
        <v>14</v>
      </c>
      <c r="K1835" s="12">
        <v>0</v>
      </c>
      <c r="L1835" s="12">
        <v>0</v>
      </c>
      <c r="M1835" s="12">
        <v>0</v>
      </c>
      <c r="N1835" s="12">
        <v>0</v>
      </c>
      <c r="O1835" s="12" t="str">
        <f t="shared" si="28"/>
        <v>10 - 19</v>
      </c>
    </row>
    <row r="1836" spans="1:15" x14ac:dyDescent="0.35">
      <c r="A1836" s="11">
        <v>7250</v>
      </c>
      <c r="B1836" s="11" t="s">
        <v>16</v>
      </c>
      <c r="C1836" s="11">
        <v>27</v>
      </c>
      <c r="D1836" s="11" t="s">
        <v>26</v>
      </c>
      <c r="E1836" s="11" t="s">
        <v>14</v>
      </c>
      <c r="F1836" s="11">
        <v>20</v>
      </c>
      <c r="G1836" s="11">
        <v>87</v>
      </c>
      <c r="H1836" s="11">
        <v>0.59</v>
      </c>
      <c r="I1836" s="11" t="s">
        <v>19</v>
      </c>
      <c r="J1836" s="11">
        <v>25</v>
      </c>
      <c r="K1836" s="11">
        <v>0</v>
      </c>
      <c r="L1836" s="11">
        <v>0</v>
      </c>
      <c r="M1836" s="11">
        <v>0</v>
      </c>
      <c r="N1836" s="11">
        <v>0</v>
      </c>
      <c r="O1836" s="12" t="str">
        <f t="shared" si="28"/>
        <v>20 - 29</v>
      </c>
    </row>
    <row r="1837" spans="1:15" x14ac:dyDescent="0.35">
      <c r="A1837" s="12">
        <v>7253</v>
      </c>
      <c r="B1837" s="12" t="s">
        <v>20</v>
      </c>
      <c r="C1837" s="12">
        <v>55</v>
      </c>
      <c r="D1837" s="12" t="s">
        <v>25</v>
      </c>
      <c r="E1837" s="12" t="s">
        <v>14</v>
      </c>
      <c r="F1837" s="12">
        <v>23</v>
      </c>
      <c r="G1837" s="12">
        <v>64</v>
      </c>
      <c r="H1837" s="12">
        <v>0.01</v>
      </c>
      <c r="I1837" s="12" t="s">
        <v>19</v>
      </c>
      <c r="J1837" s="12">
        <v>26</v>
      </c>
      <c r="K1837" s="12">
        <v>0</v>
      </c>
      <c r="L1837" s="12">
        <v>0</v>
      </c>
      <c r="M1837" s="12">
        <v>0</v>
      </c>
      <c r="N1837" s="12">
        <v>0</v>
      </c>
      <c r="O1837" s="12" t="str">
        <f t="shared" si="28"/>
        <v>20 - 29</v>
      </c>
    </row>
    <row r="1838" spans="1:15" x14ac:dyDescent="0.35">
      <c r="A1838" s="11">
        <v>7262</v>
      </c>
      <c r="B1838" s="11" t="s">
        <v>20</v>
      </c>
      <c r="C1838" s="11">
        <v>46</v>
      </c>
      <c r="D1838" s="11" t="s">
        <v>27</v>
      </c>
      <c r="E1838" s="11" t="s">
        <v>14</v>
      </c>
      <c r="F1838" s="11">
        <v>21</v>
      </c>
      <c r="G1838" s="11">
        <v>24</v>
      </c>
      <c r="H1838" s="11">
        <v>0.17</v>
      </c>
      <c r="I1838" s="11" t="s">
        <v>15</v>
      </c>
      <c r="J1838" s="11">
        <v>35</v>
      </c>
      <c r="K1838" s="11">
        <v>0</v>
      </c>
      <c r="L1838" s="11">
        <v>0</v>
      </c>
      <c r="M1838" s="11">
        <v>0</v>
      </c>
      <c r="N1838" s="11">
        <v>0</v>
      </c>
      <c r="O1838" s="12" t="str">
        <f t="shared" si="28"/>
        <v>30 - 39</v>
      </c>
    </row>
    <row r="1839" spans="1:15" x14ac:dyDescent="0.35">
      <c r="A1839" s="12">
        <v>7270</v>
      </c>
      <c r="B1839" s="12" t="s">
        <v>20</v>
      </c>
      <c r="C1839" s="12">
        <v>56</v>
      </c>
      <c r="D1839" s="12" t="s">
        <v>29</v>
      </c>
      <c r="E1839" s="12" t="s">
        <v>14</v>
      </c>
      <c r="F1839" s="12">
        <v>226</v>
      </c>
      <c r="G1839" s="12">
        <v>8</v>
      </c>
      <c r="H1839" s="12">
        <v>0.2</v>
      </c>
      <c r="I1839" s="12" t="s">
        <v>15</v>
      </c>
      <c r="J1839" s="12">
        <v>15</v>
      </c>
      <c r="K1839" s="12">
        <v>0</v>
      </c>
      <c r="L1839" s="12">
        <v>0</v>
      </c>
      <c r="M1839" s="12">
        <v>0</v>
      </c>
      <c r="N1839" s="12">
        <v>0</v>
      </c>
      <c r="O1839" s="12" t="str">
        <f t="shared" si="28"/>
        <v>10 - 19</v>
      </c>
    </row>
    <row r="1840" spans="1:15" x14ac:dyDescent="0.35">
      <c r="A1840" s="11">
        <v>7272</v>
      </c>
      <c r="B1840" s="11" t="s">
        <v>16</v>
      </c>
      <c r="C1840" s="11">
        <v>54</v>
      </c>
      <c r="D1840" s="11" t="s">
        <v>26</v>
      </c>
      <c r="E1840" s="11" t="s">
        <v>14</v>
      </c>
      <c r="F1840" s="11">
        <v>90</v>
      </c>
      <c r="G1840" s="11">
        <v>19</v>
      </c>
      <c r="H1840" s="11">
        <v>0.19</v>
      </c>
      <c r="I1840" s="11" t="s">
        <v>23</v>
      </c>
      <c r="J1840" s="11">
        <v>45</v>
      </c>
      <c r="K1840" s="11">
        <v>0</v>
      </c>
      <c r="L1840" s="11">
        <v>1</v>
      </c>
      <c r="M1840" s="11">
        <v>0</v>
      </c>
      <c r="N1840" s="11">
        <v>0</v>
      </c>
      <c r="O1840" s="12" t="str">
        <f t="shared" si="28"/>
        <v>40 - 49</v>
      </c>
    </row>
    <row r="1841" spans="1:15" x14ac:dyDescent="0.35">
      <c r="A1841" s="12">
        <v>7279</v>
      </c>
      <c r="B1841" s="12" t="s">
        <v>12</v>
      </c>
      <c r="C1841" s="12">
        <v>19</v>
      </c>
      <c r="D1841" s="12" t="s">
        <v>26</v>
      </c>
      <c r="E1841" s="12" t="s">
        <v>14</v>
      </c>
      <c r="F1841" s="12">
        <v>55</v>
      </c>
      <c r="G1841" s="12">
        <v>24</v>
      </c>
      <c r="H1841" s="12">
        <v>0.41</v>
      </c>
      <c r="I1841" s="12" t="s">
        <v>19</v>
      </c>
      <c r="J1841" s="12">
        <v>39</v>
      </c>
      <c r="K1841" s="12">
        <v>0</v>
      </c>
      <c r="L1841" s="12">
        <v>0</v>
      </c>
      <c r="M1841" s="12">
        <v>0</v>
      </c>
      <c r="N1841" s="12">
        <v>0</v>
      </c>
      <c r="O1841" s="12" t="str">
        <f t="shared" si="28"/>
        <v>30 - 39</v>
      </c>
    </row>
    <row r="1842" spans="1:15" x14ac:dyDescent="0.35">
      <c r="A1842" s="11">
        <v>7282</v>
      </c>
      <c r="B1842" s="11" t="s">
        <v>20</v>
      </c>
      <c r="C1842" s="11">
        <v>47</v>
      </c>
      <c r="D1842" s="11" t="s">
        <v>13</v>
      </c>
      <c r="E1842" s="11" t="s">
        <v>14</v>
      </c>
      <c r="F1842" s="11">
        <v>136</v>
      </c>
      <c r="G1842" s="11">
        <v>37</v>
      </c>
      <c r="H1842" s="11">
        <v>0.31</v>
      </c>
      <c r="I1842" s="11" t="s">
        <v>19</v>
      </c>
      <c r="J1842" s="11">
        <v>42</v>
      </c>
      <c r="K1842" s="11">
        <v>0</v>
      </c>
      <c r="L1842" s="11">
        <v>0</v>
      </c>
      <c r="M1842" s="11">
        <v>0</v>
      </c>
      <c r="N1842" s="11">
        <v>0</v>
      </c>
      <c r="O1842" s="12" t="str">
        <f t="shared" si="28"/>
        <v>40 - 49</v>
      </c>
    </row>
    <row r="1843" spans="1:15" x14ac:dyDescent="0.35">
      <c r="A1843" s="12">
        <v>7284</v>
      </c>
      <c r="B1843" s="12" t="s">
        <v>16</v>
      </c>
      <c r="C1843" s="12">
        <v>34</v>
      </c>
      <c r="D1843" s="12" t="s">
        <v>21</v>
      </c>
      <c r="E1843" s="12" t="s">
        <v>14</v>
      </c>
      <c r="F1843" s="12">
        <v>173</v>
      </c>
      <c r="G1843" s="12">
        <v>96</v>
      </c>
      <c r="H1843" s="12">
        <v>0.32</v>
      </c>
      <c r="I1843" s="12" t="s">
        <v>15</v>
      </c>
      <c r="J1843" s="12">
        <v>28</v>
      </c>
      <c r="K1843" s="12">
        <v>0</v>
      </c>
      <c r="L1843" s="12">
        <v>0</v>
      </c>
      <c r="M1843" s="12">
        <v>0</v>
      </c>
      <c r="N1843" s="12">
        <v>0</v>
      </c>
      <c r="O1843" s="12" t="str">
        <f t="shared" si="28"/>
        <v>20 - 29</v>
      </c>
    </row>
    <row r="1844" spans="1:15" x14ac:dyDescent="0.35">
      <c r="A1844" s="11">
        <v>7285</v>
      </c>
      <c r="B1844" s="11" t="s">
        <v>12</v>
      </c>
      <c r="C1844" s="11">
        <v>53</v>
      </c>
      <c r="D1844" s="11" t="s">
        <v>26</v>
      </c>
      <c r="E1844" s="11" t="s">
        <v>14</v>
      </c>
      <c r="F1844" s="11">
        <v>182</v>
      </c>
      <c r="G1844" s="11">
        <v>70</v>
      </c>
      <c r="H1844" s="11">
        <v>0.26</v>
      </c>
      <c r="I1844" s="11" t="s">
        <v>23</v>
      </c>
      <c r="J1844" s="11">
        <v>21</v>
      </c>
      <c r="K1844" s="11">
        <v>0</v>
      </c>
      <c r="L1844" s="11">
        <v>0</v>
      </c>
      <c r="M1844" s="11">
        <v>0</v>
      </c>
      <c r="N1844" s="11">
        <v>0</v>
      </c>
      <c r="O1844" s="12" t="str">
        <f t="shared" si="28"/>
        <v>20 - 29</v>
      </c>
    </row>
    <row r="1845" spans="1:15" x14ac:dyDescent="0.35">
      <c r="A1845" s="12">
        <v>7291</v>
      </c>
      <c r="B1845" s="12" t="s">
        <v>12</v>
      </c>
      <c r="C1845" s="12">
        <v>51</v>
      </c>
      <c r="D1845" s="12" t="s">
        <v>28</v>
      </c>
      <c r="E1845" s="12" t="s">
        <v>14</v>
      </c>
      <c r="F1845" s="12">
        <v>251</v>
      </c>
      <c r="G1845" s="12">
        <v>60</v>
      </c>
      <c r="H1845" s="12">
        <v>0.1</v>
      </c>
      <c r="I1845" s="12" t="s">
        <v>23</v>
      </c>
      <c r="J1845" s="12">
        <v>8</v>
      </c>
      <c r="K1845" s="12">
        <v>0</v>
      </c>
      <c r="L1845" s="12">
        <v>0</v>
      </c>
      <c r="M1845" s="12">
        <v>0</v>
      </c>
      <c r="N1845" s="12">
        <v>0</v>
      </c>
      <c r="O1845" s="12" t="str">
        <f t="shared" si="28"/>
        <v>0 - 9</v>
      </c>
    </row>
    <row r="1846" spans="1:15" x14ac:dyDescent="0.35">
      <c r="A1846" s="11">
        <v>7294</v>
      </c>
      <c r="B1846" s="11" t="s">
        <v>12</v>
      </c>
      <c r="C1846" s="11">
        <v>22</v>
      </c>
      <c r="D1846" s="11" t="s">
        <v>29</v>
      </c>
      <c r="E1846" s="11" t="s">
        <v>14</v>
      </c>
      <c r="F1846" s="11">
        <v>63</v>
      </c>
      <c r="G1846" s="11">
        <v>26</v>
      </c>
      <c r="H1846" s="11">
        <v>0.17</v>
      </c>
      <c r="I1846" s="11" t="s">
        <v>23</v>
      </c>
      <c r="J1846" s="11">
        <v>9</v>
      </c>
      <c r="K1846" s="11">
        <v>0</v>
      </c>
      <c r="L1846" s="11">
        <v>0</v>
      </c>
      <c r="M1846" s="11">
        <v>0</v>
      </c>
      <c r="N1846" s="11">
        <v>0</v>
      </c>
      <c r="O1846" s="12" t="str">
        <f t="shared" si="28"/>
        <v>0 - 9</v>
      </c>
    </row>
    <row r="1847" spans="1:15" x14ac:dyDescent="0.35">
      <c r="A1847" s="12">
        <v>7295</v>
      </c>
      <c r="B1847" s="12" t="s">
        <v>12</v>
      </c>
      <c r="C1847" s="12">
        <v>29</v>
      </c>
      <c r="D1847" s="12" t="s">
        <v>21</v>
      </c>
      <c r="E1847" s="12" t="s">
        <v>14</v>
      </c>
      <c r="F1847" s="12">
        <v>127</v>
      </c>
      <c r="G1847" s="12">
        <v>70</v>
      </c>
      <c r="H1847" s="12">
        <v>0.51</v>
      </c>
      <c r="I1847" s="12" t="s">
        <v>23</v>
      </c>
      <c r="J1847" s="12">
        <v>12</v>
      </c>
      <c r="K1847" s="12">
        <v>0</v>
      </c>
      <c r="L1847" s="12">
        <v>0</v>
      </c>
      <c r="M1847" s="12">
        <v>0</v>
      </c>
      <c r="N1847" s="12">
        <v>0</v>
      </c>
      <c r="O1847" s="12" t="str">
        <f t="shared" si="28"/>
        <v>10 - 19</v>
      </c>
    </row>
    <row r="1848" spans="1:15" x14ac:dyDescent="0.35">
      <c r="A1848" s="11">
        <v>7297</v>
      </c>
      <c r="B1848" s="11" t="s">
        <v>16</v>
      </c>
      <c r="C1848" s="11">
        <v>51</v>
      </c>
      <c r="D1848" s="11" t="s">
        <v>17</v>
      </c>
      <c r="E1848" s="11" t="s">
        <v>14</v>
      </c>
      <c r="F1848" s="11">
        <v>13</v>
      </c>
      <c r="G1848" s="11">
        <v>42</v>
      </c>
      <c r="H1848" s="11">
        <v>0.23</v>
      </c>
      <c r="I1848" s="11" t="s">
        <v>23</v>
      </c>
      <c r="J1848" s="11">
        <v>42</v>
      </c>
      <c r="K1848" s="11">
        <v>0</v>
      </c>
      <c r="L1848" s="11">
        <v>0</v>
      </c>
      <c r="M1848" s="11">
        <v>0</v>
      </c>
      <c r="N1848" s="11">
        <v>0</v>
      </c>
      <c r="O1848" s="12" t="str">
        <f t="shared" si="28"/>
        <v>40 - 49</v>
      </c>
    </row>
    <row r="1849" spans="1:15" x14ac:dyDescent="0.35">
      <c r="A1849" s="12">
        <v>7303</v>
      </c>
      <c r="B1849" s="12" t="s">
        <v>16</v>
      </c>
      <c r="C1849" s="12">
        <v>26</v>
      </c>
      <c r="D1849" s="12" t="s">
        <v>28</v>
      </c>
      <c r="E1849" s="12" t="s">
        <v>14</v>
      </c>
      <c r="F1849" s="12">
        <v>48</v>
      </c>
      <c r="G1849" s="12">
        <v>52</v>
      </c>
      <c r="H1849" s="12">
        <v>0.45</v>
      </c>
      <c r="I1849" s="12" t="s">
        <v>23</v>
      </c>
      <c r="J1849" s="12">
        <v>14</v>
      </c>
      <c r="K1849" s="12">
        <v>0</v>
      </c>
      <c r="L1849" s="12">
        <v>0</v>
      </c>
      <c r="M1849" s="12">
        <v>0</v>
      </c>
      <c r="N1849" s="12">
        <v>0</v>
      </c>
      <c r="O1849" s="12" t="str">
        <f t="shared" si="28"/>
        <v>10 - 19</v>
      </c>
    </row>
    <row r="1850" spans="1:15" x14ac:dyDescent="0.35">
      <c r="A1850" s="11">
        <v>7306</v>
      </c>
      <c r="B1850" s="11" t="s">
        <v>12</v>
      </c>
      <c r="C1850" s="11">
        <v>43</v>
      </c>
      <c r="D1850" s="11" t="s">
        <v>17</v>
      </c>
      <c r="E1850" s="11" t="s">
        <v>14</v>
      </c>
      <c r="F1850" s="11">
        <v>212</v>
      </c>
      <c r="G1850" s="11">
        <v>73</v>
      </c>
      <c r="H1850" s="11">
        <v>0.56999999999999995</v>
      </c>
      <c r="I1850" s="11" t="s">
        <v>19</v>
      </c>
      <c r="J1850" s="11">
        <v>19</v>
      </c>
      <c r="K1850" s="11">
        <v>0</v>
      </c>
      <c r="L1850" s="11">
        <v>1</v>
      </c>
      <c r="M1850" s="11">
        <v>0</v>
      </c>
      <c r="N1850" s="11">
        <v>0</v>
      </c>
      <c r="O1850" s="12" t="str">
        <f t="shared" si="28"/>
        <v>10 - 19</v>
      </c>
    </row>
    <row r="1851" spans="1:15" x14ac:dyDescent="0.35">
      <c r="A1851" s="12">
        <v>7313</v>
      </c>
      <c r="B1851" s="12" t="s">
        <v>12</v>
      </c>
      <c r="C1851" s="12">
        <v>35</v>
      </c>
      <c r="D1851" s="12" t="s">
        <v>17</v>
      </c>
      <c r="E1851" s="12" t="s">
        <v>14</v>
      </c>
      <c r="F1851" s="12">
        <v>259</v>
      </c>
      <c r="G1851" s="12">
        <v>15</v>
      </c>
      <c r="H1851" s="12">
        <v>0.28999999999999998</v>
      </c>
      <c r="I1851" s="12" t="s">
        <v>19</v>
      </c>
      <c r="J1851" s="12">
        <v>9</v>
      </c>
      <c r="K1851" s="12">
        <v>0</v>
      </c>
      <c r="L1851" s="12">
        <v>0</v>
      </c>
      <c r="M1851" s="12">
        <v>0</v>
      </c>
      <c r="N1851" s="12">
        <v>0</v>
      </c>
      <c r="O1851" s="12" t="str">
        <f t="shared" si="28"/>
        <v>0 - 9</v>
      </c>
    </row>
    <row r="1852" spans="1:15" x14ac:dyDescent="0.35">
      <c r="A1852" s="11">
        <v>7315</v>
      </c>
      <c r="B1852" s="11" t="s">
        <v>20</v>
      </c>
      <c r="C1852" s="11">
        <v>51</v>
      </c>
      <c r="D1852" s="11" t="s">
        <v>29</v>
      </c>
      <c r="E1852" s="11" t="s">
        <v>14</v>
      </c>
      <c r="F1852" s="11">
        <v>272</v>
      </c>
      <c r="G1852" s="11">
        <v>53</v>
      </c>
      <c r="H1852" s="11">
        <v>0.26</v>
      </c>
      <c r="I1852" s="11" t="s">
        <v>19</v>
      </c>
      <c r="J1852" s="11">
        <v>32</v>
      </c>
      <c r="K1852" s="11">
        <v>0</v>
      </c>
      <c r="L1852" s="11">
        <v>1</v>
      </c>
      <c r="M1852" s="11">
        <v>0</v>
      </c>
      <c r="N1852" s="11">
        <v>0</v>
      </c>
      <c r="O1852" s="12" t="str">
        <f t="shared" si="28"/>
        <v>30 - 39</v>
      </c>
    </row>
    <row r="1853" spans="1:15" x14ac:dyDescent="0.35">
      <c r="A1853" s="12">
        <v>7316</v>
      </c>
      <c r="B1853" s="12" t="s">
        <v>20</v>
      </c>
      <c r="C1853" s="12">
        <v>52</v>
      </c>
      <c r="D1853" s="12" t="s">
        <v>27</v>
      </c>
      <c r="E1853" s="12" t="s">
        <v>14</v>
      </c>
      <c r="F1853" s="12">
        <v>126</v>
      </c>
      <c r="G1853" s="12">
        <v>23</v>
      </c>
      <c r="H1853" s="12">
        <v>0.42</v>
      </c>
      <c r="I1853" s="12" t="s">
        <v>15</v>
      </c>
      <c r="J1853" s="12">
        <v>43</v>
      </c>
      <c r="K1853" s="12">
        <v>0</v>
      </c>
      <c r="L1853" s="12">
        <v>0</v>
      </c>
      <c r="M1853" s="12">
        <v>0</v>
      </c>
      <c r="N1853" s="12">
        <v>0</v>
      </c>
      <c r="O1853" s="12" t="str">
        <f t="shared" si="28"/>
        <v>40 - 49</v>
      </c>
    </row>
    <row r="1854" spans="1:15" x14ac:dyDescent="0.35">
      <c r="A1854" s="11">
        <v>7317</v>
      </c>
      <c r="B1854" s="11" t="s">
        <v>20</v>
      </c>
      <c r="C1854" s="11">
        <v>29</v>
      </c>
      <c r="D1854" s="11" t="s">
        <v>29</v>
      </c>
      <c r="E1854" s="11" t="s">
        <v>14</v>
      </c>
      <c r="F1854" s="11">
        <v>184</v>
      </c>
      <c r="G1854" s="11">
        <v>38</v>
      </c>
      <c r="H1854" s="11">
        <v>0.55000000000000004</v>
      </c>
      <c r="I1854" s="11" t="s">
        <v>19</v>
      </c>
      <c r="J1854" s="11">
        <v>10</v>
      </c>
      <c r="K1854" s="11">
        <v>0</v>
      </c>
      <c r="L1854" s="11">
        <v>0</v>
      </c>
      <c r="M1854" s="11">
        <v>0</v>
      </c>
      <c r="N1854" s="11">
        <v>0</v>
      </c>
      <c r="O1854" s="12" t="str">
        <f t="shared" si="28"/>
        <v>10 - 19</v>
      </c>
    </row>
    <row r="1855" spans="1:15" x14ac:dyDescent="0.35">
      <c r="A1855" s="12">
        <v>7318</v>
      </c>
      <c r="B1855" s="12" t="s">
        <v>12</v>
      </c>
      <c r="C1855" s="12">
        <v>39</v>
      </c>
      <c r="D1855" s="12" t="s">
        <v>27</v>
      </c>
      <c r="E1855" s="12" t="s">
        <v>14</v>
      </c>
      <c r="F1855" s="12">
        <v>225</v>
      </c>
      <c r="G1855" s="12">
        <v>30</v>
      </c>
      <c r="H1855" s="12">
        <v>0.24</v>
      </c>
      <c r="I1855" s="12" t="s">
        <v>15</v>
      </c>
      <c r="J1855" s="12">
        <v>47</v>
      </c>
      <c r="K1855" s="12">
        <v>0</v>
      </c>
      <c r="L1855" s="12">
        <v>0</v>
      </c>
      <c r="M1855" s="12">
        <v>0</v>
      </c>
      <c r="N1855" s="12">
        <v>0</v>
      </c>
      <c r="O1855" s="12" t="str">
        <f t="shared" si="28"/>
        <v>40 - 49</v>
      </c>
    </row>
    <row r="1856" spans="1:15" x14ac:dyDescent="0.35">
      <c r="A1856" s="11">
        <v>7320</v>
      </c>
      <c r="B1856" s="11" t="s">
        <v>12</v>
      </c>
      <c r="C1856" s="11">
        <v>51</v>
      </c>
      <c r="D1856" s="11" t="s">
        <v>29</v>
      </c>
      <c r="E1856" s="11" t="s">
        <v>14</v>
      </c>
      <c r="F1856" s="11">
        <v>120</v>
      </c>
      <c r="G1856" s="11">
        <v>21</v>
      </c>
      <c r="H1856" s="11">
        <v>0.56999999999999995</v>
      </c>
      <c r="I1856" s="11" t="s">
        <v>23</v>
      </c>
      <c r="J1856" s="11">
        <v>9</v>
      </c>
      <c r="K1856" s="11">
        <v>0</v>
      </c>
      <c r="L1856" s="11">
        <v>0</v>
      </c>
      <c r="M1856" s="11">
        <v>0</v>
      </c>
      <c r="N1856" s="11">
        <v>0</v>
      </c>
      <c r="O1856" s="12" t="str">
        <f t="shared" si="28"/>
        <v>0 - 9</v>
      </c>
    </row>
    <row r="1857" spans="1:15" x14ac:dyDescent="0.35">
      <c r="A1857" s="12">
        <v>7321</v>
      </c>
      <c r="B1857" s="12" t="s">
        <v>20</v>
      </c>
      <c r="C1857" s="12">
        <v>21</v>
      </c>
      <c r="D1857" s="12" t="s">
        <v>25</v>
      </c>
      <c r="E1857" s="12" t="s">
        <v>14</v>
      </c>
      <c r="F1857" s="12">
        <v>135</v>
      </c>
      <c r="G1857" s="12">
        <v>80</v>
      </c>
      <c r="H1857" s="12">
        <v>0.03</v>
      </c>
      <c r="I1857" s="12" t="s">
        <v>15</v>
      </c>
      <c r="J1857" s="12">
        <v>38</v>
      </c>
      <c r="K1857" s="12">
        <v>0</v>
      </c>
      <c r="L1857" s="12">
        <v>0</v>
      </c>
      <c r="M1857" s="12">
        <v>0</v>
      </c>
      <c r="N1857" s="12">
        <v>0</v>
      </c>
      <c r="O1857" s="12" t="str">
        <f t="shared" si="28"/>
        <v>30 - 39</v>
      </c>
    </row>
    <row r="1858" spans="1:15" x14ac:dyDescent="0.35">
      <c r="A1858" s="11">
        <v>7328</v>
      </c>
      <c r="B1858" s="11" t="s">
        <v>20</v>
      </c>
      <c r="C1858" s="11">
        <v>30</v>
      </c>
      <c r="D1858" s="11" t="s">
        <v>21</v>
      </c>
      <c r="E1858" s="11" t="s">
        <v>14</v>
      </c>
      <c r="F1858" s="11">
        <v>266</v>
      </c>
      <c r="G1858" s="11">
        <v>81</v>
      </c>
      <c r="H1858" s="11">
        <v>0.45</v>
      </c>
      <c r="I1858" s="11" t="s">
        <v>15</v>
      </c>
      <c r="J1858" s="11">
        <v>34</v>
      </c>
      <c r="K1858" s="11">
        <v>0</v>
      </c>
      <c r="L1858" s="11">
        <v>0</v>
      </c>
      <c r="M1858" s="11">
        <v>0</v>
      </c>
      <c r="N1858" s="11">
        <v>0</v>
      </c>
      <c r="O1858" s="12" t="str">
        <f t="shared" ref="O1858:O1921" si="29">_xlfn.FLOOR.MATH(J1858, 10) &amp; " - " &amp; (_xlfn.FLOOR.MATH(J1858, 10) + 9)</f>
        <v>30 - 39</v>
      </c>
    </row>
    <row r="1859" spans="1:15" x14ac:dyDescent="0.35">
      <c r="A1859" s="12">
        <v>7337</v>
      </c>
      <c r="B1859" s="12" t="s">
        <v>20</v>
      </c>
      <c r="C1859" s="12">
        <v>19</v>
      </c>
      <c r="D1859" s="12" t="s">
        <v>26</v>
      </c>
      <c r="E1859" s="12" t="s">
        <v>14</v>
      </c>
      <c r="F1859" s="12">
        <v>244</v>
      </c>
      <c r="G1859" s="12">
        <v>84</v>
      </c>
      <c r="H1859" s="12">
        <v>0.24</v>
      </c>
      <c r="I1859" s="12" t="s">
        <v>19</v>
      </c>
      <c r="J1859" s="12">
        <v>9</v>
      </c>
      <c r="K1859" s="12">
        <v>0</v>
      </c>
      <c r="L1859" s="12">
        <v>0</v>
      </c>
      <c r="M1859" s="12">
        <v>0</v>
      </c>
      <c r="N1859" s="12">
        <v>0</v>
      </c>
      <c r="O1859" s="12" t="str">
        <f t="shared" si="29"/>
        <v>0 - 9</v>
      </c>
    </row>
    <row r="1860" spans="1:15" x14ac:dyDescent="0.35">
      <c r="A1860" s="11">
        <v>7339</v>
      </c>
      <c r="B1860" s="11" t="s">
        <v>12</v>
      </c>
      <c r="C1860" s="11">
        <v>30</v>
      </c>
      <c r="D1860" s="11" t="s">
        <v>27</v>
      </c>
      <c r="E1860" s="11" t="s">
        <v>14</v>
      </c>
      <c r="F1860" s="11">
        <v>211</v>
      </c>
      <c r="G1860" s="11">
        <v>89</v>
      </c>
      <c r="H1860" s="11">
        <v>0.23</v>
      </c>
      <c r="I1860" s="11" t="s">
        <v>23</v>
      </c>
      <c r="J1860" s="11">
        <v>12</v>
      </c>
      <c r="K1860" s="11">
        <v>0</v>
      </c>
      <c r="L1860" s="11">
        <v>1</v>
      </c>
      <c r="M1860" s="11">
        <v>0</v>
      </c>
      <c r="N1860" s="11">
        <v>0</v>
      </c>
      <c r="O1860" s="12" t="str">
        <f t="shared" si="29"/>
        <v>10 - 19</v>
      </c>
    </row>
    <row r="1861" spans="1:15" x14ac:dyDescent="0.35">
      <c r="A1861" s="12">
        <v>7341</v>
      </c>
      <c r="B1861" s="12" t="s">
        <v>20</v>
      </c>
      <c r="C1861" s="12">
        <v>16</v>
      </c>
      <c r="D1861" s="12" t="s">
        <v>28</v>
      </c>
      <c r="E1861" s="12" t="s">
        <v>14</v>
      </c>
      <c r="F1861" s="12">
        <v>71</v>
      </c>
      <c r="G1861" s="12">
        <v>91</v>
      </c>
      <c r="H1861" s="12">
        <v>0.05</v>
      </c>
      <c r="I1861" s="12" t="s">
        <v>15</v>
      </c>
      <c r="J1861" s="12">
        <v>35</v>
      </c>
      <c r="K1861" s="12">
        <v>0</v>
      </c>
      <c r="L1861" s="12">
        <v>0</v>
      </c>
      <c r="M1861" s="12">
        <v>0</v>
      </c>
      <c r="N1861" s="12">
        <v>0</v>
      </c>
      <c r="O1861" s="12" t="str">
        <f t="shared" si="29"/>
        <v>30 - 39</v>
      </c>
    </row>
    <row r="1862" spans="1:15" x14ac:dyDescent="0.35">
      <c r="A1862" s="11">
        <v>7348</v>
      </c>
      <c r="B1862" s="11" t="s">
        <v>16</v>
      </c>
      <c r="C1862" s="11">
        <v>55</v>
      </c>
      <c r="D1862" s="11" t="s">
        <v>27</v>
      </c>
      <c r="E1862" s="11" t="s">
        <v>14</v>
      </c>
      <c r="F1862" s="11">
        <v>106</v>
      </c>
      <c r="G1862" s="11">
        <v>91</v>
      </c>
      <c r="H1862" s="11">
        <v>0.49</v>
      </c>
      <c r="I1862" s="11" t="s">
        <v>23</v>
      </c>
      <c r="J1862" s="11">
        <v>12</v>
      </c>
      <c r="K1862" s="11">
        <v>0</v>
      </c>
      <c r="L1862" s="11">
        <v>0</v>
      </c>
      <c r="M1862" s="11">
        <v>0</v>
      </c>
      <c r="N1862" s="11">
        <v>0</v>
      </c>
      <c r="O1862" s="12" t="str">
        <f t="shared" si="29"/>
        <v>10 - 19</v>
      </c>
    </row>
    <row r="1863" spans="1:15" x14ac:dyDescent="0.35">
      <c r="A1863" s="12">
        <v>7350</v>
      </c>
      <c r="B1863" s="12" t="s">
        <v>20</v>
      </c>
      <c r="C1863" s="12">
        <v>48</v>
      </c>
      <c r="D1863" s="12" t="s">
        <v>28</v>
      </c>
      <c r="E1863" s="12" t="s">
        <v>14</v>
      </c>
      <c r="F1863" s="12">
        <v>259</v>
      </c>
      <c r="G1863" s="12">
        <v>21</v>
      </c>
      <c r="H1863" s="12">
        <v>0.19</v>
      </c>
      <c r="I1863" s="12" t="s">
        <v>23</v>
      </c>
      <c r="J1863" s="12">
        <v>43</v>
      </c>
      <c r="K1863" s="12">
        <v>0</v>
      </c>
      <c r="L1863" s="12">
        <v>0</v>
      </c>
      <c r="M1863" s="12">
        <v>0</v>
      </c>
      <c r="N1863" s="12">
        <v>0</v>
      </c>
      <c r="O1863" s="12" t="str">
        <f t="shared" si="29"/>
        <v>40 - 49</v>
      </c>
    </row>
    <row r="1864" spans="1:15" x14ac:dyDescent="0.35">
      <c r="A1864" s="11">
        <v>7352</v>
      </c>
      <c r="B1864" s="11" t="s">
        <v>12</v>
      </c>
      <c r="C1864" s="11">
        <v>52</v>
      </c>
      <c r="D1864" s="11" t="s">
        <v>21</v>
      </c>
      <c r="E1864" s="11" t="s">
        <v>14</v>
      </c>
      <c r="F1864" s="11">
        <v>274</v>
      </c>
      <c r="G1864" s="11">
        <v>94</v>
      </c>
      <c r="H1864" s="11">
        <v>0.26</v>
      </c>
      <c r="I1864" s="11" t="s">
        <v>15</v>
      </c>
      <c r="J1864" s="11">
        <v>36</v>
      </c>
      <c r="K1864" s="11">
        <v>0</v>
      </c>
      <c r="L1864" s="11">
        <v>0</v>
      </c>
      <c r="M1864" s="11">
        <v>0</v>
      </c>
      <c r="N1864" s="11">
        <v>0</v>
      </c>
      <c r="O1864" s="12" t="str">
        <f t="shared" si="29"/>
        <v>30 - 39</v>
      </c>
    </row>
    <row r="1865" spans="1:15" x14ac:dyDescent="0.35">
      <c r="A1865" s="12">
        <v>7356</v>
      </c>
      <c r="B1865" s="12" t="s">
        <v>12</v>
      </c>
      <c r="C1865" s="12">
        <v>53</v>
      </c>
      <c r="D1865" s="12" t="s">
        <v>26</v>
      </c>
      <c r="E1865" s="12" t="s">
        <v>14</v>
      </c>
      <c r="F1865" s="12">
        <v>244</v>
      </c>
      <c r="G1865" s="12">
        <v>51</v>
      </c>
      <c r="H1865" s="12">
        <v>7.0000000000000007E-2</v>
      </c>
      <c r="I1865" s="12" t="s">
        <v>19</v>
      </c>
      <c r="J1865" s="12">
        <v>18</v>
      </c>
      <c r="K1865" s="12">
        <v>0</v>
      </c>
      <c r="L1865" s="12">
        <v>0</v>
      </c>
      <c r="M1865" s="12">
        <v>0</v>
      </c>
      <c r="N1865" s="12">
        <v>0</v>
      </c>
      <c r="O1865" s="12" t="str">
        <f t="shared" si="29"/>
        <v>10 - 19</v>
      </c>
    </row>
    <row r="1866" spans="1:15" x14ac:dyDescent="0.35">
      <c r="A1866" s="11">
        <v>7366</v>
      </c>
      <c r="B1866" s="11" t="s">
        <v>16</v>
      </c>
      <c r="C1866" s="11">
        <v>55</v>
      </c>
      <c r="D1866" s="11" t="s">
        <v>27</v>
      </c>
      <c r="E1866" s="11" t="s">
        <v>14</v>
      </c>
      <c r="F1866" s="11">
        <v>156</v>
      </c>
      <c r="G1866" s="11">
        <v>2</v>
      </c>
      <c r="H1866" s="11">
        <v>0.33</v>
      </c>
      <c r="I1866" s="11" t="s">
        <v>23</v>
      </c>
      <c r="J1866" s="11">
        <v>41</v>
      </c>
      <c r="K1866" s="11">
        <v>0</v>
      </c>
      <c r="L1866" s="11">
        <v>0</v>
      </c>
      <c r="M1866" s="11">
        <v>0</v>
      </c>
      <c r="N1866" s="11">
        <v>0</v>
      </c>
      <c r="O1866" s="12" t="str">
        <f t="shared" si="29"/>
        <v>40 - 49</v>
      </c>
    </row>
    <row r="1867" spans="1:15" x14ac:dyDescent="0.35">
      <c r="A1867" s="12">
        <v>7369</v>
      </c>
      <c r="B1867" s="12" t="s">
        <v>12</v>
      </c>
      <c r="C1867" s="12">
        <v>20</v>
      </c>
      <c r="D1867" s="12" t="s">
        <v>13</v>
      </c>
      <c r="E1867" s="12" t="s">
        <v>14</v>
      </c>
      <c r="F1867" s="12">
        <v>142</v>
      </c>
      <c r="G1867" s="12">
        <v>96</v>
      </c>
      <c r="H1867" s="12">
        <v>0.02</v>
      </c>
      <c r="I1867" s="12" t="s">
        <v>19</v>
      </c>
      <c r="J1867" s="12">
        <v>41</v>
      </c>
      <c r="K1867" s="12">
        <v>0</v>
      </c>
      <c r="L1867" s="12">
        <v>0</v>
      </c>
      <c r="M1867" s="12">
        <v>0</v>
      </c>
      <c r="N1867" s="12">
        <v>0</v>
      </c>
      <c r="O1867" s="12" t="str">
        <f t="shared" si="29"/>
        <v>40 - 49</v>
      </c>
    </row>
    <row r="1868" spans="1:15" x14ac:dyDescent="0.35">
      <c r="A1868" s="11">
        <v>7375</v>
      </c>
      <c r="B1868" s="11" t="s">
        <v>20</v>
      </c>
      <c r="C1868" s="11">
        <v>32</v>
      </c>
      <c r="D1868" s="11" t="s">
        <v>13</v>
      </c>
      <c r="E1868" s="11" t="s">
        <v>14</v>
      </c>
      <c r="F1868" s="11">
        <v>32</v>
      </c>
      <c r="G1868" s="11">
        <v>65</v>
      </c>
      <c r="H1868" s="11">
        <v>0.28000000000000003</v>
      </c>
      <c r="I1868" s="11" t="s">
        <v>15</v>
      </c>
      <c r="J1868" s="11">
        <v>5</v>
      </c>
      <c r="K1868" s="11">
        <v>0</v>
      </c>
      <c r="L1868" s="11">
        <v>0</v>
      </c>
      <c r="M1868" s="11">
        <v>0</v>
      </c>
      <c r="N1868" s="11">
        <v>0</v>
      </c>
      <c r="O1868" s="12" t="str">
        <f t="shared" si="29"/>
        <v>0 - 9</v>
      </c>
    </row>
    <row r="1869" spans="1:15" x14ac:dyDescent="0.35">
      <c r="A1869" s="12">
        <v>7382</v>
      </c>
      <c r="B1869" s="12" t="s">
        <v>12</v>
      </c>
      <c r="C1869" s="12">
        <v>16</v>
      </c>
      <c r="D1869" s="12" t="s">
        <v>21</v>
      </c>
      <c r="E1869" s="12" t="s">
        <v>14</v>
      </c>
      <c r="F1869" s="12">
        <v>218</v>
      </c>
      <c r="G1869" s="12">
        <v>31</v>
      </c>
      <c r="H1869" s="12">
        <v>0.41</v>
      </c>
      <c r="I1869" s="12" t="s">
        <v>15</v>
      </c>
      <c r="J1869" s="12">
        <v>40</v>
      </c>
      <c r="K1869" s="12">
        <v>0</v>
      </c>
      <c r="L1869" s="12">
        <v>0</v>
      </c>
      <c r="M1869" s="12">
        <v>0</v>
      </c>
      <c r="N1869" s="12">
        <v>0</v>
      </c>
      <c r="O1869" s="12" t="str">
        <f t="shared" si="29"/>
        <v>40 - 49</v>
      </c>
    </row>
    <row r="1870" spans="1:15" x14ac:dyDescent="0.35">
      <c r="A1870" s="11">
        <v>7386</v>
      </c>
      <c r="B1870" s="11" t="s">
        <v>20</v>
      </c>
      <c r="C1870" s="11">
        <v>27</v>
      </c>
      <c r="D1870" s="11" t="s">
        <v>27</v>
      </c>
      <c r="E1870" s="11" t="s">
        <v>14</v>
      </c>
      <c r="F1870" s="11">
        <v>202</v>
      </c>
      <c r="G1870" s="11">
        <v>68</v>
      </c>
      <c r="H1870" s="11">
        <v>0.43</v>
      </c>
      <c r="I1870" s="11" t="s">
        <v>19</v>
      </c>
      <c r="J1870" s="11">
        <v>30</v>
      </c>
      <c r="K1870" s="11">
        <v>0</v>
      </c>
      <c r="L1870" s="11">
        <v>1</v>
      </c>
      <c r="M1870" s="11">
        <v>0</v>
      </c>
      <c r="N1870" s="11">
        <v>0</v>
      </c>
      <c r="O1870" s="12" t="str">
        <f t="shared" si="29"/>
        <v>30 - 39</v>
      </c>
    </row>
    <row r="1871" spans="1:15" x14ac:dyDescent="0.35">
      <c r="A1871" s="12">
        <v>7391</v>
      </c>
      <c r="B1871" s="12" t="s">
        <v>16</v>
      </c>
      <c r="C1871" s="12">
        <v>17</v>
      </c>
      <c r="D1871" s="12" t="s">
        <v>26</v>
      </c>
      <c r="E1871" s="12" t="s">
        <v>14</v>
      </c>
      <c r="F1871" s="12">
        <v>48</v>
      </c>
      <c r="G1871" s="12">
        <v>34</v>
      </c>
      <c r="H1871" s="12">
        <v>0.48</v>
      </c>
      <c r="I1871" s="12" t="s">
        <v>23</v>
      </c>
      <c r="J1871" s="12">
        <v>44</v>
      </c>
      <c r="K1871" s="12">
        <v>0</v>
      </c>
      <c r="L1871" s="12">
        <v>0</v>
      </c>
      <c r="M1871" s="12">
        <v>0</v>
      </c>
      <c r="N1871" s="12">
        <v>0</v>
      </c>
      <c r="O1871" s="12" t="str">
        <f t="shared" si="29"/>
        <v>40 - 49</v>
      </c>
    </row>
    <row r="1872" spans="1:15" x14ac:dyDescent="0.35">
      <c r="A1872" s="11">
        <v>7397</v>
      </c>
      <c r="B1872" s="11" t="s">
        <v>20</v>
      </c>
      <c r="C1872" s="11">
        <v>42</v>
      </c>
      <c r="D1872" s="11" t="s">
        <v>25</v>
      </c>
      <c r="E1872" s="11" t="s">
        <v>14</v>
      </c>
      <c r="F1872" s="11">
        <v>212</v>
      </c>
      <c r="G1872" s="11">
        <v>17</v>
      </c>
      <c r="H1872" s="11">
        <v>0.35</v>
      </c>
      <c r="I1872" s="11" t="s">
        <v>23</v>
      </c>
      <c r="J1872" s="11">
        <v>45</v>
      </c>
      <c r="K1872" s="11">
        <v>0</v>
      </c>
      <c r="L1872" s="11">
        <v>1</v>
      </c>
      <c r="M1872" s="11">
        <v>0</v>
      </c>
      <c r="N1872" s="11">
        <v>0</v>
      </c>
      <c r="O1872" s="12" t="str">
        <f t="shared" si="29"/>
        <v>40 - 49</v>
      </c>
    </row>
    <row r="1873" spans="1:15" x14ac:dyDescent="0.35">
      <c r="A1873" s="12">
        <v>7411</v>
      </c>
      <c r="B1873" s="12" t="s">
        <v>20</v>
      </c>
      <c r="C1873" s="12">
        <v>36</v>
      </c>
      <c r="D1873" s="12" t="s">
        <v>28</v>
      </c>
      <c r="E1873" s="12" t="s">
        <v>14</v>
      </c>
      <c r="F1873" s="12">
        <v>55</v>
      </c>
      <c r="G1873" s="12">
        <v>42</v>
      </c>
      <c r="H1873" s="12">
        <v>0.27</v>
      </c>
      <c r="I1873" s="12" t="s">
        <v>19</v>
      </c>
      <c r="J1873" s="12">
        <v>42</v>
      </c>
      <c r="K1873" s="12">
        <v>0</v>
      </c>
      <c r="L1873" s="12">
        <v>0</v>
      </c>
      <c r="M1873" s="12">
        <v>0</v>
      </c>
      <c r="N1873" s="12">
        <v>0</v>
      </c>
      <c r="O1873" s="12" t="str">
        <f t="shared" si="29"/>
        <v>40 - 49</v>
      </c>
    </row>
    <row r="1874" spans="1:15" x14ac:dyDescent="0.35">
      <c r="A1874" s="11">
        <v>7417</v>
      </c>
      <c r="B1874" s="11" t="s">
        <v>12</v>
      </c>
      <c r="C1874" s="11">
        <v>58</v>
      </c>
      <c r="D1874" s="11" t="s">
        <v>29</v>
      </c>
      <c r="E1874" s="11" t="s">
        <v>14</v>
      </c>
      <c r="F1874" s="11">
        <v>97</v>
      </c>
      <c r="G1874" s="11">
        <v>30</v>
      </c>
      <c r="H1874" s="11">
        <v>0.02</v>
      </c>
      <c r="I1874" s="11" t="s">
        <v>15</v>
      </c>
      <c r="J1874" s="11">
        <v>36</v>
      </c>
      <c r="K1874" s="11">
        <v>0</v>
      </c>
      <c r="L1874" s="11">
        <v>1</v>
      </c>
      <c r="M1874" s="11">
        <v>0</v>
      </c>
      <c r="N1874" s="11">
        <v>0</v>
      </c>
      <c r="O1874" s="12" t="str">
        <f t="shared" si="29"/>
        <v>30 - 39</v>
      </c>
    </row>
    <row r="1875" spans="1:15" x14ac:dyDescent="0.35">
      <c r="A1875" s="12">
        <v>7423</v>
      </c>
      <c r="B1875" s="12" t="s">
        <v>16</v>
      </c>
      <c r="C1875" s="12">
        <v>17</v>
      </c>
      <c r="D1875" s="12" t="s">
        <v>13</v>
      </c>
      <c r="E1875" s="12" t="s">
        <v>14</v>
      </c>
      <c r="F1875" s="12">
        <v>22</v>
      </c>
      <c r="G1875" s="12">
        <v>97</v>
      </c>
      <c r="H1875" s="12">
        <v>0.49</v>
      </c>
      <c r="I1875" s="12" t="s">
        <v>23</v>
      </c>
      <c r="J1875" s="12">
        <v>18</v>
      </c>
      <c r="K1875" s="12">
        <v>0</v>
      </c>
      <c r="L1875" s="12">
        <v>1</v>
      </c>
      <c r="M1875" s="12">
        <v>0</v>
      </c>
      <c r="N1875" s="12">
        <v>0</v>
      </c>
      <c r="O1875" s="12" t="str">
        <f t="shared" si="29"/>
        <v>10 - 19</v>
      </c>
    </row>
    <row r="1876" spans="1:15" x14ac:dyDescent="0.35">
      <c r="A1876" s="11">
        <v>7424</v>
      </c>
      <c r="B1876" s="11" t="s">
        <v>20</v>
      </c>
      <c r="C1876" s="11">
        <v>24</v>
      </c>
      <c r="D1876" s="11" t="s">
        <v>17</v>
      </c>
      <c r="E1876" s="11" t="s">
        <v>14</v>
      </c>
      <c r="F1876" s="11">
        <v>64</v>
      </c>
      <c r="G1876" s="11">
        <v>96</v>
      </c>
      <c r="H1876" s="11">
        <v>0.08</v>
      </c>
      <c r="I1876" s="11" t="s">
        <v>15</v>
      </c>
      <c r="J1876" s="11">
        <v>8</v>
      </c>
      <c r="K1876" s="11">
        <v>0</v>
      </c>
      <c r="L1876" s="11">
        <v>0</v>
      </c>
      <c r="M1876" s="11">
        <v>0</v>
      </c>
      <c r="N1876" s="11">
        <v>0</v>
      </c>
      <c r="O1876" s="12" t="str">
        <f t="shared" si="29"/>
        <v>0 - 9</v>
      </c>
    </row>
    <row r="1877" spans="1:15" x14ac:dyDescent="0.35">
      <c r="A1877" s="12">
        <v>7428</v>
      </c>
      <c r="B1877" s="12" t="s">
        <v>12</v>
      </c>
      <c r="C1877" s="12">
        <v>22</v>
      </c>
      <c r="D1877" s="12" t="s">
        <v>27</v>
      </c>
      <c r="E1877" s="12" t="s">
        <v>14</v>
      </c>
      <c r="F1877" s="12">
        <v>237</v>
      </c>
      <c r="G1877" s="12">
        <v>40</v>
      </c>
      <c r="H1877" s="12">
        <v>0.46</v>
      </c>
      <c r="I1877" s="12" t="s">
        <v>19</v>
      </c>
      <c r="J1877" s="12">
        <v>13</v>
      </c>
      <c r="K1877" s="12">
        <v>0</v>
      </c>
      <c r="L1877" s="12">
        <v>0</v>
      </c>
      <c r="M1877" s="12">
        <v>0</v>
      </c>
      <c r="N1877" s="12">
        <v>0</v>
      </c>
      <c r="O1877" s="12" t="str">
        <f t="shared" si="29"/>
        <v>10 - 19</v>
      </c>
    </row>
    <row r="1878" spans="1:15" x14ac:dyDescent="0.35">
      <c r="A1878" s="11">
        <v>7431</v>
      </c>
      <c r="B1878" s="11" t="s">
        <v>12</v>
      </c>
      <c r="C1878" s="11">
        <v>26</v>
      </c>
      <c r="D1878" s="11" t="s">
        <v>13</v>
      </c>
      <c r="E1878" s="11" t="s">
        <v>14</v>
      </c>
      <c r="F1878" s="11">
        <v>209</v>
      </c>
      <c r="G1878" s="11">
        <v>41</v>
      </c>
      <c r="H1878" s="11">
        <v>0.59</v>
      </c>
      <c r="I1878" s="11" t="s">
        <v>19</v>
      </c>
      <c r="J1878" s="11">
        <v>45</v>
      </c>
      <c r="K1878" s="11">
        <v>0</v>
      </c>
      <c r="L1878" s="11">
        <v>1</v>
      </c>
      <c r="M1878" s="11">
        <v>0</v>
      </c>
      <c r="N1878" s="11">
        <v>0</v>
      </c>
      <c r="O1878" s="12" t="str">
        <f t="shared" si="29"/>
        <v>40 - 49</v>
      </c>
    </row>
    <row r="1879" spans="1:15" x14ac:dyDescent="0.35">
      <c r="A1879" s="12">
        <v>7436</v>
      </c>
      <c r="B1879" s="12" t="s">
        <v>20</v>
      </c>
      <c r="C1879" s="12">
        <v>16</v>
      </c>
      <c r="D1879" s="12" t="s">
        <v>13</v>
      </c>
      <c r="E1879" s="12" t="s">
        <v>14</v>
      </c>
      <c r="F1879" s="12">
        <v>164</v>
      </c>
      <c r="G1879" s="12">
        <v>82</v>
      </c>
      <c r="H1879" s="12">
        <v>0.56999999999999995</v>
      </c>
      <c r="I1879" s="12" t="s">
        <v>15</v>
      </c>
      <c r="J1879" s="12">
        <v>21</v>
      </c>
      <c r="K1879" s="12">
        <v>0</v>
      </c>
      <c r="L1879" s="12">
        <v>0</v>
      </c>
      <c r="M1879" s="12">
        <v>0</v>
      </c>
      <c r="N1879" s="12">
        <v>0</v>
      </c>
      <c r="O1879" s="12" t="str">
        <f t="shared" si="29"/>
        <v>20 - 29</v>
      </c>
    </row>
    <row r="1880" spans="1:15" x14ac:dyDescent="0.35">
      <c r="A1880" s="11">
        <v>7438</v>
      </c>
      <c r="B1880" s="11" t="s">
        <v>20</v>
      </c>
      <c r="C1880" s="11">
        <v>48</v>
      </c>
      <c r="D1880" s="11" t="s">
        <v>28</v>
      </c>
      <c r="E1880" s="11" t="s">
        <v>14</v>
      </c>
      <c r="F1880" s="11">
        <v>162</v>
      </c>
      <c r="G1880" s="11">
        <v>68</v>
      </c>
      <c r="H1880" s="11">
        <v>0.39</v>
      </c>
      <c r="I1880" s="11" t="s">
        <v>15</v>
      </c>
      <c r="J1880" s="11">
        <v>44</v>
      </c>
      <c r="K1880" s="11">
        <v>0</v>
      </c>
      <c r="L1880" s="11">
        <v>0</v>
      </c>
      <c r="M1880" s="11">
        <v>0</v>
      </c>
      <c r="N1880" s="11">
        <v>0</v>
      </c>
      <c r="O1880" s="12" t="str">
        <f t="shared" si="29"/>
        <v>40 - 49</v>
      </c>
    </row>
    <row r="1881" spans="1:15" x14ac:dyDescent="0.35">
      <c r="A1881" s="12">
        <v>7440</v>
      </c>
      <c r="B1881" s="12" t="s">
        <v>16</v>
      </c>
      <c r="C1881" s="12">
        <v>26</v>
      </c>
      <c r="D1881" s="12" t="s">
        <v>27</v>
      </c>
      <c r="E1881" s="12" t="s">
        <v>14</v>
      </c>
      <c r="F1881" s="12">
        <v>32</v>
      </c>
      <c r="G1881" s="12">
        <v>58</v>
      </c>
      <c r="H1881" s="12">
        <v>0.01</v>
      </c>
      <c r="I1881" s="12" t="s">
        <v>19</v>
      </c>
      <c r="J1881" s="12">
        <v>42</v>
      </c>
      <c r="K1881" s="12">
        <v>0</v>
      </c>
      <c r="L1881" s="12">
        <v>0</v>
      </c>
      <c r="M1881" s="12">
        <v>0</v>
      </c>
      <c r="N1881" s="12">
        <v>0</v>
      </c>
      <c r="O1881" s="12" t="str">
        <f t="shared" si="29"/>
        <v>40 - 49</v>
      </c>
    </row>
    <row r="1882" spans="1:15" x14ac:dyDescent="0.35">
      <c r="A1882" s="11">
        <v>7449</v>
      </c>
      <c r="B1882" s="11" t="s">
        <v>16</v>
      </c>
      <c r="C1882" s="11">
        <v>31</v>
      </c>
      <c r="D1882" s="11" t="s">
        <v>21</v>
      </c>
      <c r="E1882" s="11" t="s">
        <v>14</v>
      </c>
      <c r="F1882" s="11">
        <v>112</v>
      </c>
      <c r="G1882" s="11">
        <v>17</v>
      </c>
      <c r="H1882" s="11">
        <v>0.37</v>
      </c>
      <c r="I1882" s="11" t="s">
        <v>19</v>
      </c>
      <c r="J1882" s="11">
        <v>42</v>
      </c>
      <c r="K1882" s="11">
        <v>0</v>
      </c>
      <c r="L1882" s="11">
        <v>0</v>
      </c>
      <c r="M1882" s="11">
        <v>0</v>
      </c>
      <c r="N1882" s="11">
        <v>0</v>
      </c>
      <c r="O1882" s="12" t="str">
        <f t="shared" si="29"/>
        <v>40 - 49</v>
      </c>
    </row>
    <row r="1883" spans="1:15" x14ac:dyDescent="0.35">
      <c r="A1883" s="12">
        <v>7450</v>
      </c>
      <c r="B1883" s="12" t="s">
        <v>12</v>
      </c>
      <c r="C1883" s="12">
        <v>44</v>
      </c>
      <c r="D1883" s="12" t="s">
        <v>26</v>
      </c>
      <c r="E1883" s="12" t="s">
        <v>14</v>
      </c>
      <c r="F1883" s="12">
        <v>115</v>
      </c>
      <c r="G1883" s="12">
        <v>54</v>
      </c>
      <c r="H1883" s="12">
        <v>0.49</v>
      </c>
      <c r="I1883" s="12" t="s">
        <v>19</v>
      </c>
      <c r="J1883" s="12">
        <v>8</v>
      </c>
      <c r="K1883" s="12">
        <v>0</v>
      </c>
      <c r="L1883" s="12">
        <v>1</v>
      </c>
      <c r="M1883" s="12">
        <v>0</v>
      </c>
      <c r="N1883" s="12">
        <v>0</v>
      </c>
      <c r="O1883" s="12" t="str">
        <f t="shared" si="29"/>
        <v>0 - 9</v>
      </c>
    </row>
    <row r="1884" spans="1:15" x14ac:dyDescent="0.35">
      <c r="A1884" s="11">
        <v>7460</v>
      </c>
      <c r="B1884" s="11" t="s">
        <v>12</v>
      </c>
      <c r="C1884" s="11">
        <v>31</v>
      </c>
      <c r="D1884" s="11" t="s">
        <v>27</v>
      </c>
      <c r="E1884" s="11" t="s">
        <v>14</v>
      </c>
      <c r="F1884" s="11">
        <v>123</v>
      </c>
      <c r="G1884" s="11">
        <v>60</v>
      </c>
      <c r="H1884" s="11">
        <v>0.17</v>
      </c>
      <c r="I1884" s="11" t="s">
        <v>19</v>
      </c>
      <c r="J1884" s="11">
        <v>17</v>
      </c>
      <c r="K1884" s="11">
        <v>0</v>
      </c>
      <c r="L1884" s="11">
        <v>0</v>
      </c>
      <c r="M1884" s="11">
        <v>0</v>
      </c>
      <c r="N1884" s="11">
        <v>0</v>
      </c>
      <c r="O1884" s="12" t="str">
        <f t="shared" si="29"/>
        <v>10 - 19</v>
      </c>
    </row>
    <row r="1885" spans="1:15" x14ac:dyDescent="0.35">
      <c r="A1885" s="12">
        <v>7461</v>
      </c>
      <c r="B1885" s="12" t="s">
        <v>12</v>
      </c>
      <c r="C1885" s="12">
        <v>42</v>
      </c>
      <c r="D1885" s="12" t="s">
        <v>25</v>
      </c>
      <c r="E1885" s="12" t="s">
        <v>14</v>
      </c>
      <c r="F1885" s="12">
        <v>140</v>
      </c>
      <c r="G1885" s="12">
        <v>20</v>
      </c>
      <c r="H1885" s="12">
        <v>0.37</v>
      </c>
      <c r="I1885" s="12" t="s">
        <v>15</v>
      </c>
      <c r="J1885" s="12">
        <v>35</v>
      </c>
      <c r="K1885" s="12">
        <v>0</v>
      </c>
      <c r="L1885" s="12">
        <v>0</v>
      </c>
      <c r="M1885" s="12">
        <v>0</v>
      </c>
      <c r="N1885" s="12">
        <v>0</v>
      </c>
      <c r="O1885" s="12" t="str">
        <f t="shared" si="29"/>
        <v>30 - 39</v>
      </c>
    </row>
    <row r="1886" spans="1:15" x14ac:dyDescent="0.35">
      <c r="A1886" s="11">
        <v>7462</v>
      </c>
      <c r="B1886" s="11" t="s">
        <v>12</v>
      </c>
      <c r="C1886" s="11">
        <v>35</v>
      </c>
      <c r="D1886" s="11" t="s">
        <v>29</v>
      </c>
      <c r="E1886" s="11" t="s">
        <v>14</v>
      </c>
      <c r="F1886" s="11">
        <v>178</v>
      </c>
      <c r="G1886" s="11">
        <v>31</v>
      </c>
      <c r="H1886" s="11">
        <v>0.59</v>
      </c>
      <c r="I1886" s="11" t="s">
        <v>19</v>
      </c>
      <c r="J1886" s="11">
        <v>36</v>
      </c>
      <c r="K1886" s="11">
        <v>0</v>
      </c>
      <c r="L1886" s="11">
        <v>0</v>
      </c>
      <c r="M1886" s="11">
        <v>0</v>
      </c>
      <c r="N1886" s="11">
        <v>0</v>
      </c>
      <c r="O1886" s="12" t="str">
        <f t="shared" si="29"/>
        <v>30 - 39</v>
      </c>
    </row>
    <row r="1887" spans="1:15" x14ac:dyDescent="0.35">
      <c r="A1887" s="12">
        <v>7465</v>
      </c>
      <c r="B1887" s="12" t="s">
        <v>20</v>
      </c>
      <c r="C1887" s="12">
        <v>32</v>
      </c>
      <c r="D1887" s="12" t="s">
        <v>17</v>
      </c>
      <c r="E1887" s="12" t="s">
        <v>14</v>
      </c>
      <c r="F1887" s="12">
        <v>20</v>
      </c>
      <c r="G1887" s="12">
        <v>67</v>
      </c>
      <c r="H1887" s="12">
        <v>0.12</v>
      </c>
      <c r="I1887" s="12" t="s">
        <v>19</v>
      </c>
      <c r="J1887" s="12">
        <v>16</v>
      </c>
      <c r="K1887" s="12">
        <v>0</v>
      </c>
      <c r="L1887" s="12">
        <v>1</v>
      </c>
      <c r="M1887" s="12">
        <v>0</v>
      </c>
      <c r="N1887" s="12">
        <v>0</v>
      </c>
      <c r="O1887" s="12" t="str">
        <f t="shared" si="29"/>
        <v>10 - 19</v>
      </c>
    </row>
    <row r="1888" spans="1:15" x14ac:dyDescent="0.35">
      <c r="A1888" s="11">
        <v>7470</v>
      </c>
      <c r="B1888" s="11" t="s">
        <v>16</v>
      </c>
      <c r="C1888" s="11">
        <v>30</v>
      </c>
      <c r="D1888" s="11" t="s">
        <v>13</v>
      </c>
      <c r="E1888" s="11" t="s">
        <v>14</v>
      </c>
      <c r="F1888" s="11">
        <v>152</v>
      </c>
      <c r="G1888" s="11">
        <v>54</v>
      </c>
      <c r="H1888" s="11">
        <v>0.19</v>
      </c>
      <c r="I1888" s="11" t="s">
        <v>15</v>
      </c>
      <c r="J1888" s="11">
        <v>20</v>
      </c>
      <c r="K1888" s="11">
        <v>0</v>
      </c>
      <c r="L1888" s="11">
        <v>0</v>
      </c>
      <c r="M1888" s="11">
        <v>0</v>
      </c>
      <c r="N1888" s="11">
        <v>0</v>
      </c>
      <c r="O1888" s="12" t="str">
        <f t="shared" si="29"/>
        <v>20 - 29</v>
      </c>
    </row>
    <row r="1889" spans="1:15" x14ac:dyDescent="0.35">
      <c r="A1889" s="12">
        <v>7471</v>
      </c>
      <c r="B1889" s="12" t="s">
        <v>20</v>
      </c>
      <c r="C1889" s="12">
        <v>55</v>
      </c>
      <c r="D1889" s="12" t="s">
        <v>27</v>
      </c>
      <c r="E1889" s="12" t="s">
        <v>14</v>
      </c>
      <c r="F1889" s="12">
        <v>203</v>
      </c>
      <c r="G1889" s="12">
        <v>4</v>
      </c>
      <c r="H1889" s="12">
        <v>0.31</v>
      </c>
      <c r="I1889" s="12" t="s">
        <v>23</v>
      </c>
      <c r="J1889" s="12">
        <v>10</v>
      </c>
      <c r="K1889" s="12">
        <v>0</v>
      </c>
      <c r="L1889" s="12">
        <v>0</v>
      </c>
      <c r="M1889" s="12">
        <v>0</v>
      </c>
      <c r="N1889" s="12">
        <v>0</v>
      </c>
      <c r="O1889" s="12" t="str">
        <f t="shared" si="29"/>
        <v>10 - 19</v>
      </c>
    </row>
    <row r="1890" spans="1:15" x14ac:dyDescent="0.35">
      <c r="A1890" s="11">
        <v>7474</v>
      </c>
      <c r="B1890" s="11" t="s">
        <v>20</v>
      </c>
      <c r="C1890" s="11">
        <v>50</v>
      </c>
      <c r="D1890" s="11" t="s">
        <v>29</v>
      </c>
      <c r="E1890" s="11" t="s">
        <v>14</v>
      </c>
      <c r="F1890" s="11">
        <v>62</v>
      </c>
      <c r="G1890" s="11">
        <v>78</v>
      </c>
      <c r="H1890" s="11">
        <v>0.52</v>
      </c>
      <c r="I1890" s="11" t="s">
        <v>15</v>
      </c>
      <c r="J1890" s="11">
        <v>41</v>
      </c>
      <c r="K1890" s="11">
        <v>0</v>
      </c>
      <c r="L1890" s="11">
        <v>0</v>
      </c>
      <c r="M1890" s="11">
        <v>0</v>
      </c>
      <c r="N1890" s="11">
        <v>0</v>
      </c>
      <c r="O1890" s="12" t="str">
        <f t="shared" si="29"/>
        <v>40 - 49</v>
      </c>
    </row>
    <row r="1891" spans="1:15" x14ac:dyDescent="0.35">
      <c r="A1891" s="12">
        <v>7480</v>
      </c>
      <c r="B1891" s="12" t="s">
        <v>12</v>
      </c>
      <c r="C1891" s="12">
        <v>47</v>
      </c>
      <c r="D1891" s="12" t="s">
        <v>29</v>
      </c>
      <c r="E1891" s="12" t="s">
        <v>14</v>
      </c>
      <c r="F1891" s="12">
        <v>150</v>
      </c>
      <c r="G1891" s="12">
        <v>66</v>
      </c>
      <c r="H1891" s="12">
        <v>0.1</v>
      </c>
      <c r="I1891" s="12" t="s">
        <v>23</v>
      </c>
      <c r="J1891" s="12">
        <v>14</v>
      </c>
      <c r="K1891" s="12">
        <v>0</v>
      </c>
      <c r="L1891" s="12">
        <v>0</v>
      </c>
      <c r="M1891" s="12">
        <v>0</v>
      </c>
      <c r="N1891" s="12">
        <v>0</v>
      </c>
      <c r="O1891" s="12" t="str">
        <f t="shared" si="29"/>
        <v>10 - 19</v>
      </c>
    </row>
    <row r="1892" spans="1:15" x14ac:dyDescent="0.35">
      <c r="A1892" s="11">
        <v>7481</v>
      </c>
      <c r="B1892" s="11" t="s">
        <v>20</v>
      </c>
      <c r="C1892" s="11">
        <v>51</v>
      </c>
      <c r="D1892" s="11" t="s">
        <v>13</v>
      </c>
      <c r="E1892" s="11" t="s">
        <v>14</v>
      </c>
      <c r="F1892" s="11">
        <v>78</v>
      </c>
      <c r="G1892" s="11">
        <v>93</v>
      </c>
      <c r="H1892" s="11">
        <v>0.27</v>
      </c>
      <c r="I1892" s="11" t="s">
        <v>15</v>
      </c>
      <c r="J1892" s="11">
        <v>37</v>
      </c>
      <c r="K1892" s="11">
        <v>0</v>
      </c>
      <c r="L1892" s="11">
        <v>1</v>
      </c>
      <c r="M1892" s="11">
        <v>0</v>
      </c>
      <c r="N1892" s="11">
        <v>0</v>
      </c>
      <c r="O1892" s="12" t="str">
        <f t="shared" si="29"/>
        <v>30 - 39</v>
      </c>
    </row>
    <row r="1893" spans="1:15" x14ac:dyDescent="0.35">
      <c r="A1893" s="12">
        <v>7482</v>
      </c>
      <c r="B1893" s="12" t="s">
        <v>20</v>
      </c>
      <c r="C1893" s="12">
        <v>42</v>
      </c>
      <c r="D1893" s="12" t="s">
        <v>27</v>
      </c>
      <c r="E1893" s="12" t="s">
        <v>14</v>
      </c>
      <c r="F1893" s="12">
        <v>89</v>
      </c>
      <c r="G1893" s="12">
        <v>99</v>
      </c>
      <c r="H1893" s="12">
        <v>0.21</v>
      </c>
      <c r="I1893" s="12" t="s">
        <v>19</v>
      </c>
      <c r="J1893" s="12">
        <v>15</v>
      </c>
      <c r="K1893" s="12">
        <v>0</v>
      </c>
      <c r="L1893" s="12">
        <v>0</v>
      </c>
      <c r="M1893" s="12">
        <v>0</v>
      </c>
      <c r="N1893" s="12">
        <v>0</v>
      </c>
      <c r="O1893" s="12" t="str">
        <f t="shared" si="29"/>
        <v>10 - 19</v>
      </c>
    </row>
    <row r="1894" spans="1:15" x14ac:dyDescent="0.35">
      <c r="A1894" s="11">
        <v>7484</v>
      </c>
      <c r="B1894" s="11" t="s">
        <v>12</v>
      </c>
      <c r="C1894" s="11">
        <v>42</v>
      </c>
      <c r="D1894" s="11" t="s">
        <v>21</v>
      </c>
      <c r="E1894" s="11" t="s">
        <v>14</v>
      </c>
      <c r="F1894" s="11">
        <v>54</v>
      </c>
      <c r="G1894" s="11">
        <v>24</v>
      </c>
      <c r="H1894" s="11">
        <v>0.31</v>
      </c>
      <c r="I1894" s="11" t="s">
        <v>23</v>
      </c>
      <c r="J1894" s="11">
        <v>33</v>
      </c>
      <c r="K1894" s="11">
        <v>0</v>
      </c>
      <c r="L1894" s="11">
        <v>0</v>
      </c>
      <c r="M1894" s="11">
        <v>0</v>
      </c>
      <c r="N1894" s="11">
        <v>0</v>
      </c>
      <c r="O1894" s="12" t="str">
        <f t="shared" si="29"/>
        <v>30 - 39</v>
      </c>
    </row>
    <row r="1895" spans="1:15" x14ac:dyDescent="0.35">
      <c r="A1895" s="12">
        <v>7485</v>
      </c>
      <c r="B1895" s="12" t="s">
        <v>20</v>
      </c>
      <c r="C1895" s="12">
        <v>53</v>
      </c>
      <c r="D1895" s="12" t="s">
        <v>25</v>
      </c>
      <c r="E1895" s="12" t="s">
        <v>14</v>
      </c>
      <c r="F1895" s="12">
        <v>27</v>
      </c>
      <c r="G1895" s="12">
        <v>14</v>
      </c>
      <c r="H1895" s="12">
        <v>0.2</v>
      </c>
      <c r="I1895" s="12" t="s">
        <v>23</v>
      </c>
      <c r="J1895" s="12">
        <v>21</v>
      </c>
      <c r="K1895" s="12">
        <v>0</v>
      </c>
      <c r="L1895" s="12">
        <v>0</v>
      </c>
      <c r="M1895" s="12">
        <v>0</v>
      </c>
      <c r="N1895" s="12">
        <v>0</v>
      </c>
      <c r="O1895" s="12" t="str">
        <f t="shared" si="29"/>
        <v>20 - 29</v>
      </c>
    </row>
    <row r="1896" spans="1:15" x14ac:dyDescent="0.35">
      <c r="A1896" s="11">
        <v>7490</v>
      </c>
      <c r="B1896" s="11" t="s">
        <v>20</v>
      </c>
      <c r="C1896" s="11">
        <v>40</v>
      </c>
      <c r="D1896" s="11" t="s">
        <v>27</v>
      </c>
      <c r="E1896" s="11" t="s">
        <v>14</v>
      </c>
      <c r="F1896" s="11">
        <v>38</v>
      </c>
      <c r="G1896" s="11">
        <v>54</v>
      </c>
      <c r="H1896" s="11">
        <v>0.24</v>
      </c>
      <c r="I1896" s="11" t="s">
        <v>19</v>
      </c>
      <c r="J1896" s="11">
        <v>26</v>
      </c>
      <c r="K1896" s="11">
        <v>0</v>
      </c>
      <c r="L1896" s="11">
        <v>0</v>
      </c>
      <c r="M1896" s="11">
        <v>0</v>
      </c>
      <c r="N1896" s="11">
        <v>0</v>
      </c>
      <c r="O1896" s="12" t="str">
        <f t="shared" si="29"/>
        <v>20 - 29</v>
      </c>
    </row>
    <row r="1897" spans="1:15" x14ac:dyDescent="0.35">
      <c r="A1897" s="12">
        <v>7491</v>
      </c>
      <c r="B1897" s="12" t="s">
        <v>16</v>
      </c>
      <c r="C1897" s="12">
        <v>35</v>
      </c>
      <c r="D1897" s="12" t="s">
        <v>28</v>
      </c>
      <c r="E1897" s="12" t="s">
        <v>14</v>
      </c>
      <c r="F1897" s="12">
        <v>15</v>
      </c>
      <c r="G1897" s="12">
        <v>65</v>
      </c>
      <c r="H1897" s="12">
        <v>0.18</v>
      </c>
      <c r="I1897" s="12" t="s">
        <v>15</v>
      </c>
      <c r="J1897" s="12">
        <v>45</v>
      </c>
      <c r="K1897" s="12">
        <v>0</v>
      </c>
      <c r="L1897" s="12">
        <v>0</v>
      </c>
      <c r="M1897" s="12">
        <v>0</v>
      </c>
      <c r="N1897" s="12">
        <v>0</v>
      </c>
      <c r="O1897" s="12" t="str">
        <f t="shared" si="29"/>
        <v>40 - 49</v>
      </c>
    </row>
    <row r="1898" spans="1:15" x14ac:dyDescent="0.35">
      <c r="A1898" s="11">
        <v>7494</v>
      </c>
      <c r="B1898" s="11" t="s">
        <v>12</v>
      </c>
      <c r="C1898" s="11">
        <v>25</v>
      </c>
      <c r="D1898" s="11" t="s">
        <v>28</v>
      </c>
      <c r="E1898" s="11" t="s">
        <v>14</v>
      </c>
      <c r="F1898" s="11">
        <v>26</v>
      </c>
      <c r="G1898" s="11">
        <v>63</v>
      </c>
      <c r="H1898" s="11">
        <v>0.21</v>
      </c>
      <c r="I1898" s="11" t="s">
        <v>19</v>
      </c>
      <c r="J1898" s="11">
        <v>14</v>
      </c>
      <c r="K1898" s="11">
        <v>0</v>
      </c>
      <c r="L1898" s="11">
        <v>0</v>
      </c>
      <c r="M1898" s="11">
        <v>0</v>
      </c>
      <c r="N1898" s="11">
        <v>0</v>
      </c>
      <c r="O1898" s="12" t="str">
        <f t="shared" si="29"/>
        <v>10 - 19</v>
      </c>
    </row>
    <row r="1899" spans="1:15" x14ac:dyDescent="0.35">
      <c r="A1899" s="12">
        <v>7502</v>
      </c>
      <c r="B1899" s="12" t="s">
        <v>12</v>
      </c>
      <c r="C1899" s="12">
        <v>27</v>
      </c>
      <c r="D1899" s="12" t="s">
        <v>29</v>
      </c>
      <c r="E1899" s="12" t="s">
        <v>14</v>
      </c>
      <c r="F1899" s="12">
        <v>99</v>
      </c>
      <c r="G1899" s="12">
        <v>79</v>
      </c>
      <c r="H1899" s="12">
        <v>0.37</v>
      </c>
      <c r="I1899" s="12" t="s">
        <v>15</v>
      </c>
      <c r="J1899" s="12">
        <v>7</v>
      </c>
      <c r="K1899" s="12">
        <v>0</v>
      </c>
      <c r="L1899" s="12">
        <v>0</v>
      </c>
      <c r="M1899" s="12">
        <v>0</v>
      </c>
      <c r="N1899" s="12">
        <v>0</v>
      </c>
      <c r="O1899" s="12" t="str">
        <f t="shared" si="29"/>
        <v>0 - 9</v>
      </c>
    </row>
    <row r="1900" spans="1:15" x14ac:dyDescent="0.35">
      <c r="A1900" s="11">
        <v>7505</v>
      </c>
      <c r="B1900" s="11" t="s">
        <v>12</v>
      </c>
      <c r="C1900" s="11">
        <v>18</v>
      </c>
      <c r="D1900" s="11" t="s">
        <v>21</v>
      </c>
      <c r="E1900" s="11" t="s">
        <v>14</v>
      </c>
      <c r="F1900" s="11">
        <v>91</v>
      </c>
      <c r="G1900" s="11">
        <v>91</v>
      </c>
      <c r="H1900" s="11">
        <v>0.22</v>
      </c>
      <c r="I1900" s="11" t="s">
        <v>23</v>
      </c>
      <c r="J1900" s="11">
        <v>23</v>
      </c>
      <c r="K1900" s="11">
        <v>0</v>
      </c>
      <c r="L1900" s="11">
        <v>0</v>
      </c>
      <c r="M1900" s="11">
        <v>0</v>
      </c>
      <c r="N1900" s="11">
        <v>0</v>
      </c>
      <c r="O1900" s="12" t="str">
        <f t="shared" si="29"/>
        <v>20 - 29</v>
      </c>
    </row>
    <row r="1901" spans="1:15" x14ac:dyDescent="0.35">
      <c r="A1901" s="12">
        <v>7506</v>
      </c>
      <c r="B1901" s="12" t="s">
        <v>20</v>
      </c>
      <c r="C1901" s="12">
        <v>40</v>
      </c>
      <c r="D1901" s="12" t="s">
        <v>27</v>
      </c>
      <c r="E1901" s="12" t="s">
        <v>14</v>
      </c>
      <c r="F1901" s="12">
        <v>64</v>
      </c>
      <c r="G1901" s="12">
        <v>4</v>
      </c>
      <c r="H1901" s="12">
        <v>0.1</v>
      </c>
      <c r="I1901" s="12" t="s">
        <v>15</v>
      </c>
      <c r="J1901" s="12">
        <v>32</v>
      </c>
      <c r="K1901" s="12">
        <v>0</v>
      </c>
      <c r="L1901" s="12">
        <v>0</v>
      </c>
      <c r="M1901" s="12">
        <v>0</v>
      </c>
      <c r="N1901" s="12">
        <v>0</v>
      </c>
      <c r="O1901" s="12" t="str">
        <f t="shared" si="29"/>
        <v>30 - 39</v>
      </c>
    </row>
    <row r="1902" spans="1:15" x14ac:dyDescent="0.35">
      <c r="A1902" s="11">
        <v>7507</v>
      </c>
      <c r="B1902" s="11" t="s">
        <v>16</v>
      </c>
      <c r="C1902" s="11">
        <v>44</v>
      </c>
      <c r="D1902" s="11" t="s">
        <v>17</v>
      </c>
      <c r="E1902" s="11" t="s">
        <v>14</v>
      </c>
      <c r="F1902" s="11">
        <v>224</v>
      </c>
      <c r="G1902" s="11">
        <v>6</v>
      </c>
      <c r="H1902" s="11">
        <v>0.21</v>
      </c>
      <c r="I1902" s="11" t="s">
        <v>19</v>
      </c>
      <c r="J1902" s="11">
        <v>44</v>
      </c>
      <c r="K1902" s="11">
        <v>0</v>
      </c>
      <c r="L1902" s="11">
        <v>0</v>
      </c>
      <c r="M1902" s="11">
        <v>0</v>
      </c>
      <c r="N1902" s="11">
        <v>0</v>
      </c>
      <c r="O1902" s="12" t="str">
        <f t="shared" si="29"/>
        <v>40 - 49</v>
      </c>
    </row>
    <row r="1903" spans="1:15" x14ac:dyDescent="0.35">
      <c r="A1903" s="12">
        <v>7510</v>
      </c>
      <c r="B1903" s="12" t="s">
        <v>12</v>
      </c>
      <c r="C1903" s="12">
        <v>30</v>
      </c>
      <c r="D1903" s="12" t="s">
        <v>28</v>
      </c>
      <c r="E1903" s="12" t="s">
        <v>14</v>
      </c>
      <c r="F1903" s="12">
        <v>235</v>
      </c>
      <c r="G1903" s="12">
        <v>69</v>
      </c>
      <c r="H1903" s="12">
        <v>0.48</v>
      </c>
      <c r="I1903" s="12" t="s">
        <v>15</v>
      </c>
      <c r="J1903" s="12">
        <v>30</v>
      </c>
      <c r="K1903" s="12">
        <v>0</v>
      </c>
      <c r="L1903" s="12">
        <v>1</v>
      </c>
      <c r="M1903" s="12">
        <v>0</v>
      </c>
      <c r="N1903" s="12">
        <v>0</v>
      </c>
      <c r="O1903" s="12" t="str">
        <f t="shared" si="29"/>
        <v>30 - 39</v>
      </c>
    </row>
    <row r="1904" spans="1:15" x14ac:dyDescent="0.35">
      <c r="A1904" s="11">
        <v>7511</v>
      </c>
      <c r="B1904" s="11" t="s">
        <v>16</v>
      </c>
      <c r="C1904" s="11">
        <v>20</v>
      </c>
      <c r="D1904" s="11" t="s">
        <v>28</v>
      </c>
      <c r="E1904" s="11" t="s">
        <v>14</v>
      </c>
      <c r="F1904" s="11">
        <v>258</v>
      </c>
      <c r="G1904" s="11">
        <v>60</v>
      </c>
      <c r="H1904" s="11">
        <v>0.12</v>
      </c>
      <c r="I1904" s="11" t="s">
        <v>23</v>
      </c>
      <c r="J1904" s="11">
        <v>5</v>
      </c>
      <c r="K1904" s="11">
        <v>0</v>
      </c>
      <c r="L1904" s="11">
        <v>0</v>
      </c>
      <c r="M1904" s="11">
        <v>0</v>
      </c>
      <c r="N1904" s="11">
        <v>0</v>
      </c>
      <c r="O1904" s="12" t="str">
        <f t="shared" si="29"/>
        <v>0 - 9</v>
      </c>
    </row>
    <row r="1905" spans="1:15" x14ac:dyDescent="0.35">
      <c r="A1905" s="12">
        <v>7514</v>
      </c>
      <c r="B1905" s="12" t="s">
        <v>16</v>
      </c>
      <c r="C1905" s="12">
        <v>49</v>
      </c>
      <c r="D1905" s="12" t="s">
        <v>29</v>
      </c>
      <c r="E1905" s="12" t="s">
        <v>14</v>
      </c>
      <c r="F1905" s="12">
        <v>158</v>
      </c>
      <c r="G1905" s="12">
        <v>54</v>
      </c>
      <c r="H1905" s="12">
        <v>0.44</v>
      </c>
      <c r="I1905" s="12" t="s">
        <v>15</v>
      </c>
      <c r="J1905" s="12">
        <v>5</v>
      </c>
      <c r="K1905" s="12">
        <v>0</v>
      </c>
      <c r="L1905" s="12">
        <v>0</v>
      </c>
      <c r="M1905" s="12">
        <v>0</v>
      </c>
      <c r="N1905" s="12">
        <v>0</v>
      </c>
      <c r="O1905" s="12" t="str">
        <f t="shared" si="29"/>
        <v>0 - 9</v>
      </c>
    </row>
    <row r="1906" spans="1:15" x14ac:dyDescent="0.35">
      <c r="A1906" s="11">
        <v>7515</v>
      </c>
      <c r="B1906" s="11" t="s">
        <v>12</v>
      </c>
      <c r="C1906" s="11">
        <v>40</v>
      </c>
      <c r="D1906" s="11" t="s">
        <v>27</v>
      </c>
      <c r="E1906" s="11" t="s">
        <v>14</v>
      </c>
      <c r="F1906" s="11">
        <v>227</v>
      </c>
      <c r="G1906" s="11">
        <v>3</v>
      </c>
      <c r="H1906" s="11">
        <v>0.57999999999999996</v>
      </c>
      <c r="I1906" s="11" t="s">
        <v>15</v>
      </c>
      <c r="J1906" s="11">
        <v>31</v>
      </c>
      <c r="K1906" s="11">
        <v>0</v>
      </c>
      <c r="L1906" s="11">
        <v>0</v>
      </c>
      <c r="M1906" s="11">
        <v>0</v>
      </c>
      <c r="N1906" s="11">
        <v>0</v>
      </c>
      <c r="O1906" s="12" t="str">
        <f t="shared" si="29"/>
        <v>30 - 39</v>
      </c>
    </row>
    <row r="1907" spans="1:15" x14ac:dyDescent="0.35">
      <c r="A1907" s="12">
        <v>7517</v>
      </c>
      <c r="B1907" s="12" t="s">
        <v>20</v>
      </c>
      <c r="C1907" s="12">
        <v>35</v>
      </c>
      <c r="D1907" s="12" t="s">
        <v>28</v>
      </c>
      <c r="E1907" s="12" t="s">
        <v>14</v>
      </c>
      <c r="F1907" s="12">
        <v>154</v>
      </c>
      <c r="G1907" s="12">
        <v>91</v>
      </c>
      <c r="H1907" s="12">
        <v>0.56999999999999995</v>
      </c>
      <c r="I1907" s="12" t="s">
        <v>19</v>
      </c>
      <c r="J1907" s="12">
        <v>20</v>
      </c>
      <c r="K1907" s="12">
        <v>0</v>
      </c>
      <c r="L1907" s="12">
        <v>1</v>
      </c>
      <c r="M1907" s="12">
        <v>0</v>
      </c>
      <c r="N1907" s="12">
        <v>0</v>
      </c>
      <c r="O1907" s="12" t="str">
        <f t="shared" si="29"/>
        <v>20 - 29</v>
      </c>
    </row>
    <row r="1908" spans="1:15" x14ac:dyDescent="0.35">
      <c r="A1908" s="11">
        <v>7520</v>
      </c>
      <c r="B1908" s="11" t="s">
        <v>12</v>
      </c>
      <c r="C1908" s="11">
        <v>53</v>
      </c>
      <c r="D1908" s="11" t="s">
        <v>28</v>
      </c>
      <c r="E1908" s="11" t="s">
        <v>14</v>
      </c>
      <c r="F1908" s="11">
        <v>64</v>
      </c>
      <c r="G1908" s="11">
        <v>20</v>
      </c>
      <c r="H1908" s="11">
        <v>0.35</v>
      </c>
      <c r="I1908" s="11" t="s">
        <v>19</v>
      </c>
      <c r="J1908" s="11">
        <v>44</v>
      </c>
      <c r="K1908" s="11">
        <v>0</v>
      </c>
      <c r="L1908" s="11">
        <v>0</v>
      </c>
      <c r="M1908" s="11">
        <v>0</v>
      </c>
      <c r="N1908" s="11">
        <v>0</v>
      </c>
      <c r="O1908" s="12" t="str">
        <f t="shared" si="29"/>
        <v>40 - 49</v>
      </c>
    </row>
    <row r="1909" spans="1:15" x14ac:dyDescent="0.35">
      <c r="A1909" s="12">
        <v>7531</v>
      </c>
      <c r="B1909" s="12" t="s">
        <v>16</v>
      </c>
      <c r="C1909" s="12">
        <v>20</v>
      </c>
      <c r="D1909" s="12" t="s">
        <v>17</v>
      </c>
      <c r="E1909" s="12" t="s">
        <v>14</v>
      </c>
      <c r="F1909" s="12">
        <v>133</v>
      </c>
      <c r="G1909" s="12">
        <v>19</v>
      </c>
      <c r="H1909" s="12">
        <v>0.27</v>
      </c>
      <c r="I1909" s="12" t="s">
        <v>15</v>
      </c>
      <c r="J1909" s="12">
        <v>35</v>
      </c>
      <c r="K1909" s="12">
        <v>0</v>
      </c>
      <c r="L1909" s="12">
        <v>0</v>
      </c>
      <c r="M1909" s="12">
        <v>0</v>
      </c>
      <c r="N1909" s="12">
        <v>0</v>
      </c>
      <c r="O1909" s="12" t="str">
        <f t="shared" si="29"/>
        <v>30 - 39</v>
      </c>
    </row>
    <row r="1910" spans="1:15" x14ac:dyDescent="0.35">
      <c r="A1910" s="11">
        <v>7538</v>
      </c>
      <c r="B1910" s="11" t="s">
        <v>20</v>
      </c>
      <c r="C1910" s="11">
        <v>47</v>
      </c>
      <c r="D1910" s="11" t="s">
        <v>25</v>
      </c>
      <c r="E1910" s="11" t="s">
        <v>14</v>
      </c>
      <c r="F1910" s="11">
        <v>120</v>
      </c>
      <c r="G1910" s="11">
        <v>35</v>
      </c>
      <c r="H1910" s="11">
        <v>0.46</v>
      </c>
      <c r="I1910" s="11" t="s">
        <v>19</v>
      </c>
      <c r="J1910" s="11">
        <v>26</v>
      </c>
      <c r="K1910" s="11">
        <v>0</v>
      </c>
      <c r="L1910" s="11">
        <v>0</v>
      </c>
      <c r="M1910" s="11">
        <v>0</v>
      </c>
      <c r="N1910" s="11">
        <v>0</v>
      </c>
      <c r="O1910" s="12" t="str">
        <f t="shared" si="29"/>
        <v>20 - 29</v>
      </c>
    </row>
    <row r="1911" spans="1:15" x14ac:dyDescent="0.35">
      <c r="A1911" s="12">
        <v>7543</v>
      </c>
      <c r="B1911" s="12" t="s">
        <v>16</v>
      </c>
      <c r="C1911" s="12">
        <v>37</v>
      </c>
      <c r="D1911" s="12" t="s">
        <v>28</v>
      </c>
      <c r="E1911" s="12" t="s">
        <v>14</v>
      </c>
      <c r="F1911" s="12">
        <v>256</v>
      </c>
      <c r="G1911" s="12">
        <v>79</v>
      </c>
      <c r="H1911" s="12">
        <v>0.22</v>
      </c>
      <c r="I1911" s="12" t="s">
        <v>23</v>
      </c>
      <c r="J1911" s="12">
        <v>25</v>
      </c>
      <c r="K1911" s="12">
        <v>0</v>
      </c>
      <c r="L1911" s="12">
        <v>0</v>
      </c>
      <c r="M1911" s="12">
        <v>0</v>
      </c>
      <c r="N1911" s="12">
        <v>0</v>
      </c>
      <c r="O1911" s="12" t="str">
        <f t="shared" si="29"/>
        <v>20 - 29</v>
      </c>
    </row>
    <row r="1912" spans="1:15" x14ac:dyDescent="0.35">
      <c r="A1912" s="11">
        <v>7550</v>
      </c>
      <c r="B1912" s="11" t="s">
        <v>16</v>
      </c>
      <c r="C1912" s="11">
        <v>49</v>
      </c>
      <c r="D1912" s="11" t="s">
        <v>25</v>
      </c>
      <c r="E1912" s="11" t="s">
        <v>14</v>
      </c>
      <c r="F1912" s="11">
        <v>92</v>
      </c>
      <c r="G1912" s="11">
        <v>59</v>
      </c>
      <c r="H1912" s="11">
        <v>0.11</v>
      </c>
      <c r="I1912" s="11" t="s">
        <v>19</v>
      </c>
      <c r="J1912" s="11">
        <v>23</v>
      </c>
      <c r="K1912" s="11">
        <v>0</v>
      </c>
      <c r="L1912" s="11">
        <v>0</v>
      </c>
      <c r="M1912" s="11">
        <v>0</v>
      </c>
      <c r="N1912" s="11">
        <v>0</v>
      </c>
      <c r="O1912" s="12" t="str">
        <f t="shared" si="29"/>
        <v>20 - 29</v>
      </c>
    </row>
    <row r="1913" spans="1:15" x14ac:dyDescent="0.35">
      <c r="A1913" s="12">
        <v>7557</v>
      </c>
      <c r="B1913" s="12" t="s">
        <v>16</v>
      </c>
      <c r="C1913" s="12">
        <v>34</v>
      </c>
      <c r="D1913" s="12" t="s">
        <v>21</v>
      </c>
      <c r="E1913" s="12" t="s">
        <v>14</v>
      </c>
      <c r="F1913" s="12">
        <v>254</v>
      </c>
      <c r="G1913" s="12">
        <v>69</v>
      </c>
      <c r="H1913" s="12">
        <v>0.32</v>
      </c>
      <c r="I1913" s="12" t="s">
        <v>19</v>
      </c>
      <c r="J1913" s="12">
        <v>20</v>
      </c>
      <c r="K1913" s="12">
        <v>0</v>
      </c>
      <c r="L1913" s="12">
        <v>1</v>
      </c>
      <c r="M1913" s="12">
        <v>0</v>
      </c>
      <c r="N1913" s="12">
        <v>0</v>
      </c>
      <c r="O1913" s="12" t="str">
        <f t="shared" si="29"/>
        <v>20 - 29</v>
      </c>
    </row>
    <row r="1914" spans="1:15" x14ac:dyDescent="0.35">
      <c r="A1914" s="11">
        <v>7562</v>
      </c>
      <c r="B1914" s="11" t="s">
        <v>16</v>
      </c>
      <c r="C1914" s="11">
        <v>19</v>
      </c>
      <c r="D1914" s="11" t="s">
        <v>29</v>
      </c>
      <c r="E1914" s="11" t="s">
        <v>14</v>
      </c>
      <c r="F1914" s="11">
        <v>288</v>
      </c>
      <c r="G1914" s="11">
        <v>29</v>
      </c>
      <c r="H1914" s="11">
        <v>0.13</v>
      </c>
      <c r="I1914" s="11" t="s">
        <v>19</v>
      </c>
      <c r="J1914" s="11">
        <v>41</v>
      </c>
      <c r="K1914" s="11">
        <v>0</v>
      </c>
      <c r="L1914" s="11">
        <v>0</v>
      </c>
      <c r="M1914" s="11">
        <v>0</v>
      </c>
      <c r="N1914" s="11">
        <v>0</v>
      </c>
      <c r="O1914" s="12" t="str">
        <f t="shared" si="29"/>
        <v>40 - 49</v>
      </c>
    </row>
    <row r="1915" spans="1:15" x14ac:dyDescent="0.35">
      <c r="A1915" s="12">
        <v>7563</v>
      </c>
      <c r="B1915" s="12" t="s">
        <v>16</v>
      </c>
      <c r="C1915" s="12">
        <v>52</v>
      </c>
      <c r="D1915" s="12" t="s">
        <v>13</v>
      </c>
      <c r="E1915" s="12" t="s">
        <v>14</v>
      </c>
      <c r="F1915" s="12">
        <v>197</v>
      </c>
      <c r="G1915" s="12">
        <v>62</v>
      </c>
      <c r="H1915" s="12">
        <v>0.03</v>
      </c>
      <c r="I1915" s="12" t="s">
        <v>19</v>
      </c>
      <c r="J1915" s="12">
        <v>29</v>
      </c>
      <c r="K1915" s="12">
        <v>0</v>
      </c>
      <c r="L1915" s="12">
        <v>1</v>
      </c>
      <c r="M1915" s="12">
        <v>0</v>
      </c>
      <c r="N1915" s="12">
        <v>0</v>
      </c>
      <c r="O1915" s="12" t="str">
        <f t="shared" si="29"/>
        <v>20 - 29</v>
      </c>
    </row>
    <row r="1916" spans="1:15" x14ac:dyDescent="0.35">
      <c r="A1916" s="11">
        <v>7568</v>
      </c>
      <c r="B1916" s="11" t="s">
        <v>20</v>
      </c>
      <c r="C1916" s="11">
        <v>22</v>
      </c>
      <c r="D1916" s="11" t="s">
        <v>28</v>
      </c>
      <c r="E1916" s="11" t="s">
        <v>14</v>
      </c>
      <c r="F1916" s="11">
        <v>27</v>
      </c>
      <c r="G1916" s="11">
        <v>8</v>
      </c>
      <c r="H1916" s="11">
        <v>0.48</v>
      </c>
      <c r="I1916" s="11" t="s">
        <v>15</v>
      </c>
      <c r="J1916" s="11">
        <v>38</v>
      </c>
      <c r="K1916" s="11">
        <v>0</v>
      </c>
      <c r="L1916" s="11">
        <v>0</v>
      </c>
      <c r="M1916" s="11">
        <v>0</v>
      </c>
      <c r="N1916" s="11">
        <v>0</v>
      </c>
      <c r="O1916" s="12" t="str">
        <f t="shared" si="29"/>
        <v>30 - 39</v>
      </c>
    </row>
    <row r="1917" spans="1:15" x14ac:dyDescent="0.35">
      <c r="A1917" s="12">
        <v>7569</v>
      </c>
      <c r="B1917" s="12" t="s">
        <v>20</v>
      </c>
      <c r="C1917" s="12">
        <v>46</v>
      </c>
      <c r="D1917" s="12" t="s">
        <v>17</v>
      </c>
      <c r="E1917" s="12" t="s">
        <v>14</v>
      </c>
      <c r="F1917" s="12">
        <v>60</v>
      </c>
      <c r="G1917" s="12">
        <v>75</v>
      </c>
      <c r="H1917" s="12">
        <v>0.56999999999999995</v>
      </c>
      <c r="I1917" s="12" t="s">
        <v>19</v>
      </c>
      <c r="J1917" s="12">
        <v>42</v>
      </c>
      <c r="K1917" s="12">
        <v>0</v>
      </c>
      <c r="L1917" s="12">
        <v>0</v>
      </c>
      <c r="M1917" s="12">
        <v>0</v>
      </c>
      <c r="N1917" s="12">
        <v>0</v>
      </c>
      <c r="O1917" s="12" t="str">
        <f t="shared" si="29"/>
        <v>40 - 49</v>
      </c>
    </row>
    <row r="1918" spans="1:15" x14ac:dyDescent="0.35">
      <c r="A1918" s="11">
        <v>7575</v>
      </c>
      <c r="B1918" s="11" t="s">
        <v>12</v>
      </c>
      <c r="C1918" s="11">
        <v>51</v>
      </c>
      <c r="D1918" s="11" t="s">
        <v>17</v>
      </c>
      <c r="E1918" s="11" t="s">
        <v>14</v>
      </c>
      <c r="F1918" s="11">
        <v>212</v>
      </c>
      <c r="G1918" s="11">
        <v>64</v>
      </c>
      <c r="H1918" s="11">
        <v>0.48</v>
      </c>
      <c r="I1918" s="11" t="s">
        <v>15</v>
      </c>
      <c r="J1918" s="11">
        <v>10</v>
      </c>
      <c r="K1918" s="11">
        <v>0</v>
      </c>
      <c r="L1918" s="11">
        <v>0</v>
      </c>
      <c r="M1918" s="11">
        <v>0</v>
      </c>
      <c r="N1918" s="11">
        <v>0</v>
      </c>
      <c r="O1918" s="12" t="str">
        <f t="shared" si="29"/>
        <v>10 - 19</v>
      </c>
    </row>
    <row r="1919" spans="1:15" x14ac:dyDescent="0.35">
      <c r="A1919" s="12">
        <v>7581</v>
      </c>
      <c r="B1919" s="12" t="s">
        <v>16</v>
      </c>
      <c r="C1919" s="12">
        <v>32</v>
      </c>
      <c r="D1919" s="12" t="s">
        <v>29</v>
      </c>
      <c r="E1919" s="12" t="s">
        <v>14</v>
      </c>
      <c r="F1919" s="12">
        <v>182</v>
      </c>
      <c r="G1919" s="12">
        <v>30</v>
      </c>
      <c r="H1919" s="12">
        <v>0.47</v>
      </c>
      <c r="I1919" s="12" t="s">
        <v>15</v>
      </c>
      <c r="J1919" s="12">
        <v>25</v>
      </c>
      <c r="K1919" s="12">
        <v>0</v>
      </c>
      <c r="L1919" s="12">
        <v>1</v>
      </c>
      <c r="M1919" s="12">
        <v>0</v>
      </c>
      <c r="N1919" s="12">
        <v>0</v>
      </c>
      <c r="O1919" s="12" t="str">
        <f t="shared" si="29"/>
        <v>20 - 29</v>
      </c>
    </row>
    <row r="1920" spans="1:15" x14ac:dyDescent="0.35">
      <c r="A1920" s="11">
        <v>7586</v>
      </c>
      <c r="B1920" s="11" t="s">
        <v>16</v>
      </c>
      <c r="C1920" s="11">
        <v>49</v>
      </c>
      <c r="D1920" s="11" t="s">
        <v>25</v>
      </c>
      <c r="E1920" s="11" t="s">
        <v>14</v>
      </c>
      <c r="F1920" s="11">
        <v>182</v>
      </c>
      <c r="G1920" s="11">
        <v>81</v>
      </c>
      <c r="H1920" s="11">
        <v>0.6</v>
      </c>
      <c r="I1920" s="11" t="s">
        <v>19</v>
      </c>
      <c r="J1920" s="11">
        <v>32</v>
      </c>
      <c r="K1920" s="11">
        <v>0</v>
      </c>
      <c r="L1920" s="11">
        <v>0</v>
      </c>
      <c r="M1920" s="11">
        <v>0</v>
      </c>
      <c r="N1920" s="11">
        <v>0</v>
      </c>
      <c r="O1920" s="12" t="str">
        <f t="shared" si="29"/>
        <v>30 - 39</v>
      </c>
    </row>
    <row r="1921" spans="1:15" x14ac:dyDescent="0.35">
      <c r="A1921" s="12">
        <v>7587</v>
      </c>
      <c r="B1921" s="12" t="s">
        <v>16</v>
      </c>
      <c r="C1921" s="12">
        <v>38</v>
      </c>
      <c r="D1921" s="12" t="s">
        <v>27</v>
      </c>
      <c r="E1921" s="12" t="s">
        <v>14</v>
      </c>
      <c r="F1921" s="12">
        <v>134</v>
      </c>
      <c r="G1921" s="12">
        <v>93</v>
      </c>
      <c r="H1921" s="12">
        <v>0.12</v>
      </c>
      <c r="I1921" s="12" t="s">
        <v>23</v>
      </c>
      <c r="J1921" s="12">
        <v>47</v>
      </c>
      <c r="K1921" s="12">
        <v>0</v>
      </c>
      <c r="L1921" s="12">
        <v>1</v>
      </c>
      <c r="M1921" s="12">
        <v>0</v>
      </c>
      <c r="N1921" s="12">
        <v>0</v>
      </c>
      <c r="O1921" s="12" t="str">
        <f t="shared" si="29"/>
        <v>40 - 49</v>
      </c>
    </row>
    <row r="1922" spans="1:15" x14ac:dyDescent="0.35">
      <c r="A1922" s="11">
        <v>7590</v>
      </c>
      <c r="B1922" s="11" t="s">
        <v>16</v>
      </c>
      <c r="C1922" s="11">
        <v>52</v>
      </c>
      <c r="D1922" s="11" t="s">
        <v>21</v>
      </c>
      <c r="E1922" s="11" t="s">
        <v>14</v>
      </c>
      <c r="F1922" s="11">
        <v>184</v>
      </c>
      <c r="G1922" s="11">
        <v>10</v>
      </c>
      <c r="H1922" s="11">
        <v>0.27</v>
      </c>
      <c r="I1922" s="11" t="s">
        <v>19</v>
      </c>
      <c r="J1922" s="11">
        <v>11</v>
      </c>
      <c r="K1922" s="11">
        <v>0</v>
      </c>
      <c r="L1922" s="11">
        <v>0</v>
      </c>
      <c r="M1922" s="11">
        <v>0</v>
      </c>
      <c r="N1922" s="11">
        <v>0</v>
      </c>
      <c r="O1922" s="12" t="str">
        <f t="shared" ref="O1922:O1985" si="30">_xlfn.FLOOR.MATH(J1922, 10) &amp; " - " &amp; (_xlfn.FLOOR.MATH(J1922, 10) + 9)</f>
        <v>10 - 19</v>
      </c>
    </row>
    <row r="1923" spans="1:15" x14ac:dyDescent="0.35">
      <c r="A1923" s="12">
        <v>7591</v>
      </c>
      <c r="B1923" s="12" t="s">
        <v>12</v>
      </c>
      <c r="C1923" s="12">
        <v>24</v>
      </c>
      <c r="D1923" s="12" t="s">
        <v>17</v>
      </c>
      <c r="E1923" s="12" t="s">
        <v>14</v>
      </c>
      <c r="F1923" s="12">
        <v>227</v>
      </c>
      <c r="G1923" s="12">
        <v>92</v>
      </c>
      <c r="H1923" s="12">
        <v>7.0000000000000007E-2</v>
      </c>
      <c r="I1923" s="12" t="s">
        <v>23</v>
      </c>
      <c r="J1923" s="12">
        <v>43</v>
      </c>
      <c r="K1923" s="12">
        <v>0</v>
      </c>
      <c r="L1923" s="12">
        <v>1</v>
      </c>
      <c r="M1923" s="12">
        <v>0</v>
      </c>
      <c r="N1923" s="12">
        <v>0</v>
      </c>
      <c r="O1923" s="12" t="str">
        <f t="shared" si="30"/>
        <v>40 - 49</v>
      </c>
    </row>
    <row r="1924" spans="1:15" x14ac:dyDescent="0.35">
      <c r="A1924" s="11">
        <v>7592</v>
      </c>
      <c r="B1924" s="11" t="s">
        <v>20</v>
      </c>
      <c r="C1924" s="11">
        <v>42</v>
      </c>
      <c r="D1924" s="11" t="s">
        <v>29</v>
      </c>
      <c r="E1924" s="11" t="s">
        <v>14</v>
      </c>
      <c r="F1924" s="11">
        <v>240</v>
      </c>
      <c r="G1924" s="11">
        <v>34</v>
      </c>
      <c r="H1924" s="11">
        <v>0.5</v>
      </c>
      <c r="I1924" s="11" t="s">
        <v>15</v>
      </c>
      <c r="J1924" s="11">
        <v>30</v>
      </c>
      <c r="K1924" s="11">
        <v>0</v>
      </c>
      <c r="L1924" s="11">
        <v>0</v>
      </c>
      <c r="M1924" s="11">
        <v>0</v>
      </c>
      <c r="N1924" s="11">
        <v>0</v>
      </c>
      <c r="O1924" s="12" t="str">
        <f t="shared" si="30"/>
        <v>30 - 39</v>
      </c>
    </row>
    <row r="1925" spans="1:15" x14ac:dyDescent="0.35">
      <c r="A1925" s="12">
        <v>7595</v>
      </c>
      <c r="B1925" s="12" t="s">
        <v>12</v>
      </c>
      <c r="C1925" s="12">
        <v>17</v>
      </c>
      <c r="D1925" s="12" t="s">
        <v>29</v>
      </c>
      <c r="E1925" s="12" t="s">
        <v>14</v>
      </c>
      <c r="F1925" s="12">
        <v>234</v>
      </c>
      <c r="G1925" s="12">
        <v>98</v>
      </c>
      <c r="H1925" s="12">
        <v>0.4</v>
      </c>
      <c r="I1925" s="12" t="s">
        <v>23</v>
      </c>
      <c r="J1925" s="12">
        <v>25</v>
      </c>
      <c r="K1925" s="12">
        <v>0</v>
      </c>
      <c r="L1925" s="12">
        <v>0</v>
      </c>
      <c r="M1925" s="12">
        <v>0</v>
      </c>
      <c r="N1925" s="12">
        <v>0</v>
      </c>
      <c r="O1925" s="12" t="str">
        <f t="shared" si="30"/>
        <v>20 - 29</v>
      </c>
    </row>
    <row r="1926" spans="1:15" x14ac:dyDescent="0.35">
      <c r="A1926" s="11">
        <v>7610</v>
      </c>
      <c r="B1926" s="11" t="s">
        <v>12</v>
      </c>
      <c r="C1926" s="11">
        <v>20</v>
      </c>
      <c r="D1926" s="11" t="s">
        <v>25</v>
      </c>
      <c r="E1926" s="11" t="s">
        <v>14</v>
      </c>
      <c r="F1926" s="11">
        <v>119</v>
      </c>
      <c r="G1926" s="11">
        <v>69</v>
      </c>
      <c r="H1926" s="11">
        <v>0.21</v>
      </c>
      <c r="I1926" s="11" t="s">
        <v>23</v>
      </c>
      <c r="J1926" s="11">
        <v>38</v>
      </c>
      <c r="K1926" s="11">
        <v>0</v>
      </c>
      <c r="L1926" s="11">
        <v>1</v>
      </c>
      <c r="M1926" s="11">
        <v>0</v>
      </c>
      <c r="N1926" s="11">
        <v>0</v>
      </c>
      <c r="O1926" s="12" t="str">
        <f t="shared" si="30"/>
        <v>30 - 39</v>
      </c>
    </row>
    <row r="1927" spans="1:15" x14ac:dyDescent="0.35">
      <c r="A1927" s="12">
        <v>7614</v>
      </c>
      <c r="B1927" s="12" t="s">
        <v>12</v>
      </c>
      <c r="C1927" s="12">
        <v>46</v>
      </c>
      <c r="D1927" s="12" t="s">
        <v>25</v>
      </c>
      <c r="E1927" s="12" t="s">
        <v>14</v>
      </c>
      <c r="F1927" s="12">
        <v>268</v>
      </c>
      <c r="G1927" s="12">
        <v>45</v>
      </c>
      <c r="H1927" s="12">
        <v>0.19</v>
      </c>
      <c r="I1927" s="12" t="s">
        <v>23</v>
      </c>
      <c r="J1927" s="12">
        <v>6</v>
      </c>
      <c r="K1927" s="12">
        <v>0</v>
      </c>
      <c r="L1927" s="12">
        <v>0</v>
      </c>
      <c r="M1927" s="12">
        <v>0</v>
      </c>
      <c r="N1927" s="12">
        <v>0</v>
      </c>
      <c r="O1927" s="12" t="str">
        <f t="shared" si="30"/>
        <v>0 - 9</v>
      </c>
    </row>
    <row r="1928" spans="1:15" x14ac:dyDescent="0.35">
      <c r="A1928" s="11">
        <v>7616</v>
      </c>
      <c r="B1928" s="11" t="s">
        <v>16</v>
      </c>
      <c r="C1928" s="11">
        <v>17</v>
      </c>
      <c r="D1928" s="11" t="s">
        <v>13</v>
      </c>
      <c r="E1928" s="11" t="s">
        <v>14</v>
      </c>
      <c r="F1928" s="11">
        <v>179</v>
      </c>
      <c r="G1928" s="11">
        <v>92</v>
      </c>
      <c r="H1928" s="11">
        <v>0.53</v>
      </c>
      <c r="I1928" s="11" t="s">
        <v>19</v>
      </c>
      <c r="J1928" s="11">
        <v>6</v>
      </c>
      <c r="K1928" s="11">
        <v>0</v>
      </c>
      <c r="L1928" s="11">
        <v>0</v>
      </c>
      <c r="M1928" s="11">
        <v>0</v>
      </c>
      <c r="N1928" s="11">
        <v>0</v>
      </c>
      <c r="O1928" s="12" t="str">
        <f t="shared" si="30"/>
        <v>0 - 9</v>
      </c>
    </row>
    <row r="1929" spans="1:15" x14ac:dyDescent="0.35">
      <c r="A1929" s="12">
        <v>7621</v>
      </c>
      <c r="B1929" s="12" t="s">
        <v>16</v>
      </c>
      <c r="C1929" s="12">
        <v>48</v>
      </c>
      <c r="D1929" s="12" t="s">
        <v>25</v>
      </c>
      <c r="E1929" s="12" t="s">
        <v>14</v>
      </c>
      <c r="F1929" s="12">
        <v>287</v>
      </c>
      <c r="G1929" s="12">
        <v>44</v>
      </c>
      <c r="H1929" s="12">
        <v>7.0000000000000007E-2</v>
      </c>
      <c r="I1929" s="12" t="s">
        <v>19</v>
      </c>
      <c r="J1929" s="12">
        <v>10</v>
      </c>
      <c r="K1929" s="12">
        <v>0</v>
      </c>
      <c r="L1929" s="12">
        <v>0</v>
      </c>
      <c r="M1929" s="12">
        <v>0</v>
      </c>
      <c r="N1929" s="12">
        <v>0</v>
      </c>
      <c r="O1929" s="12" t="str">
        <f t="shared" si="30"/>
        <v>10 - 19</v>
      </c>
    </row>
    <row r="1930" spans="1:15" x14ac:dyDescent="0.35">
      <c r="A1930" s="11">
        <v>7623</v>
      </c>
      <c r="B1930" s="11" t="s">
        <v>12</v>
      </c>
      <c r="C1930" s="11">
        <v>49</v>
      </c>
      <c r="D1930" s="11" t="s">
        <v>28</v>
      </c>
      <c r="E1930" s="11" t="s">
        <v>14</v>
      </c>
      <c r="F1930" s="11">
        <v>40</v>
      </c>
      <c r="G1930" s="11">
        <v>64</v>
      </c>
      <c r="H1930" s="11">
        <v>0.38</v>
      </c>
      <c r="I1930" s="11" t="s">
        <v>15</v>
      </c>
      <c r="J1930" s="11">
        <v>12</v>
      </c>
      <c r="K1930" s="11">
        <v>0</v>
      </c>
      <c r="L1930" s="11">
        <v>1</v>
      </c>
      <c r="M1930" s="11">
        <v>0</v>
      </c>
      <c r="N1930" s="11">
        <v>0</v>
      </c>
      <c r="O1930" s="12" t="str">
        <f t="shared" si="30"/>
        <v>10 - 19</v>
      </c>
    </row>
    <row r="1931" spans="1:15" x14ac:dyDescent="0.35">
      <c r="A1931" s="12">
        <v>7628</v>
      </c>
      <c r="B1931" s="12" t="s">
        <v>20</v>
      </c>
      <c r="C1931" s="12">
        <v>58</v>
      </c>
      <c r="D1931" s="12" t="s">
        <v>21</v>
      </c>
      <c r="E1931" s="12" t="s">
        <v>14</v>
      </c>
      <c r="F1931" s="12">
        <v>65</v>
      </c>
      <c r="G1931" s="12">
        <v>7</v>
      </c>
      <c r="H1931" s="12">
        <v>0.32</v>
      </c>
      <c r="I1931" s="12" t="s">
        <v>15</v>
      </c>
      <c r="J1931" s="12">
        <v>9</v>
      </c>
      <c r="K1931" s="12">
        <v>0</v>
      </c>
      <c r="L1931" s="12">
        <v>0</v>
      </c>
      <c r="M1931" s="12">
        <v>0</v>
      </c>
      <c r="N1931" s="12">
        <v>0</v>
      </c>
      <c r="O1931" s="12" t="str">
        <f t="shared" si="30"/>
        <v>0 - 9</v>
      </c>
    </row>
    <row r="1932" spans="1:15" x14ac:dyDescent="0.35">
      <c r="A1932" s="11">
        <v>7631</v>
      </c>
      <c r="B1932" s="11" t="s">
        <v>12</v>
      </c>
      <c r="C1932" s="11">
        <v>50</v>
      </c>
      <c r="D1932" s="11" t="s">
        <v>28</v>
      </c>
      <c r="E1932" s="11" t="s">
        <v>14</v>
      </c>
      <c r="F1932" s="11">
        <v>281</v>
      </c>
      <c r="G1932" s="11">
        <v>5</v>
      </c>
      <c r="H1932" s="11">
        <v>0.21</v>
      </c>
      <c r="I1932" s="11" t="s">
        <v>23</v>
      </c>
      <c r="J1932" s="11">
        <v>24</v>
      </c>
      <c r="K1932" s="11">
        <v>0</v>
      </c>
      <c r="L1932" s="11">
        <v>0</v>
      </c>
      <c r="M1932" s="11">
        <v>0</v>
      </c>
      <c r="N1932" s="11">
        <v>0</v>
      </c>
      <c r="O1932" s="12" t="str">
        <f t="shared" si="30"/>
        <v>20 - 29</v>
      </c>
    </row>
    <row r="1933" spans="1:15" x14ac:dyDescent="0.35">
      <c r="A1933" s="12">
        <v>7633</v>
      </c>
      <c r="B1933" s="12" t="s">
        <v>20</v>
      </c>
      <c r="C1933" s="12">
        <v>29</v>
      </c>
      <c r="D1933" s="12" t="s">
        <v>29</v>
      </c>
      <c r="E1933" s="12" t="s">
        <v>14</v>
      </c>
      <c r="F1933" s="12">
        <v>281</v>
      </c>
      <c r="G1933" s="12">
        <v>22</v>
      </c>
      <c r="H1933" s="12">
        <v>0.24</v>
      </c>
      <c r="I1933" s="12" t="s">
        <v>15</v>
      </c>
      <c r="J1933" s="12">
        <v>8</v>
      </c>
      <c r="K1933" s="12">
        <v>0</v>
      </c>
      <c r="L1933" s="12">
        <v>0</v>
      </c>
      <c r="M1933" s="12">
        <v>0</v>
      </c>
      <c r="N1933" s="12">
        <v>0</v>
      </c>
      <c r="O1933" s="12" t="str">
        <f t="shared" si="30"/>
        <v>0 - 9</v>
      </c>
    </row>
    <row r="1934" spans="1:15" x14ac:dyDescent="0.35">
      <c r="A1934" s="11">
        <v>7640</v>
      </c>
      <c r="B1934" s="11" t="s">
        <v>20</v>
      </c>
      <c r="C1934" s="11">
        <v>17</v>
      </c>
      <c r="D1934" s="11" t="s">
        <v>28</v>
      </c>
      <c r="E1934" s="11" t="s">
        <v>14</v>
      </c>
      <c r="F1934" s="11">
        <v>57</v>
      </c>
      <c r="G1934" s="11">
        <v>78</v>
      </c>
      <c r="H1934" s="11">
        <v>0.56999999999999995</v>
      </c>
      <c r="I1934" s="11" t="s">
        <v>23</v>
      </c>
      <c r="J1934" s="11">
        <v>21</v>
      </c>
      <c r="K1934" s="11">
        <v>0</v>
      </c>
      <c r="L1934" s="11">
        <v>0</v>
      </c>
      <c r="M1934" s="11">
        <v>0</v>
      </c>
      <c r="N1934" s="11">
        <v>0</v>
      </c>
      <c r="O1934" s="12" t="str">
        <f t="shared" si="30"/>
        <v>20 - 29</v>
      </c>
    </row>
    <row r="1935" spans="1:15" x14ac:dyDescent="0.35">
      <c r="A1935" s="12">
        <v>7642</v>
      </c>
      <c r="B1935" s="12" t="s">
        <v>20</v>
      </c>
      <c r="C1935" s="12">
        <v>46</v>
      </c>
      <c r="D1935" s="12" t="s">
        <v>26</v>
      </c>
      <c r="E1935" s="12" t="s">
        <v>14</v>
      </c>
      <c r="F1935" s="12">
        <v>257</v>
      </c>
      <c r="G1935" s="12">
        <v>32</v>
      </c>
      <c r="H1935" s="12">
        <v>0.1</v>
      </c>
      <c r="I1935" s="12" t="s">
        <v>15</v>
      </c>
      <c r="J1935" s="12">
        <v>44</v>
      </c>
      <c r="K1935" s="12">
        <v>0</v>
      </c>
      <c r="L1935" s="12">
        <v>0</v>
      </c>
      <c r="M1935" s="12">
        <v>0</v>
      </c>
      <c r="N1935" s="12">
        <v>0</v>
      </c>
      <c r="O1935" s="12" t="str">
        <f t="shared" si="30"/>
        <v>40 - 49</v>
      </c>
    </row>
    <row r="1936" spans="1:15" x14ac:dyDescent="0.35">
      <c r="A1936" s="11">
        <v>7643</v>
      </c>
      <c r="B1936" s="11" t="s">
        <v>20</v>
      </c>
      <c r="C1936" s="11">
        <v>21</v>
      </c>
      <c r="D1936" s="11" t="s">
        <v>17</v>
      </c>
      <c r="E1936" s="11" t="s">
        <v>14</v>
      </c>
      <c r="F1936" s="11">
        <v>146</v>
      </c>
      <c r="G1936" s="11">
        <v>46</v>
      </c>
      <c r="H1936" s="11">
        <v>0.25</v>
      </c>
      <c r="I1936" s="11" t="s">
        <v>19</v>
      </c>
      <c r="J1936" s="11">
        <v>32</v>
      </c>
      <c r="K1936" s="11">
        <v>0</v>
      </c>
      <c r="L1936" s="11">
        <v>0</v>
      </c>
      <c r="M1936" s="11">
        <v>0</v>
      </c>
      <c r="N1936" s="11">
        <v>0</v>
      </c>
      <c r="O1936" s="12" t="str">
        <f t="shared" si="30"/>
        <v>30 - 39</v>
      </c>
    </row>
    <row r="1937" spans="1:15" x14ac:dyDescent="0.35">
      <c r="A1937" s="12">
        <v>7648</v>
      </c>
      <c r="B1937" s="12" t="s">
        <v>12</v>
      </c>
      <c r="C1937" s="12">
        <v>43</v>
      </c>
      <c r="D1937" s="12" t="s">
        <v>28</v>
      </c>
      <c r="E1937" s="12" t="s">
        <v>14</v>
      </c>
      <c r="F1937" s="12">
        <v>53</v>
      </c>
      <c r="G1937" s="12">
        <v>13</v>
      </c>
      <c r="H1937" s="12">
        <v>0.38</v>
      </c>
      <c r="I1937" s="12" t="s">
        <v>23</v>
      </c>
      <c r="J1937" s="12">
        <v>30</v>
      </c>
      <c r="K1937" s="12">
        <v>0</v>
      </c>
      <c r="L1937" s="12">
        <v>0</v>
      </c>
      <c r="M1937" s="12">
        <v>0</v>
      </c>
      <c r="N1937" s="12">
        <v>0</v>
      </c>
      <c r="O1937" s="12" t="str">
        <f t="shared" si="30"/>
        <v>30 - 39</v>
      </c>
    </row>
    <row r="1938" spans="1:15" x14ac:dyDescent="0.35">
      <c r="A1938" s="11">
        <v>7651</v>
      </c>
      <c r="B1938" s="11" t="s">
        <v>12</v>
      </c>
      <c r="C1938" s="11">
        <v>41</v>
      </c>
      <c r="D1938" s="11" t="s">
        <v>26</v>
      </c>
      <c r="E1938" s="11" t="s">
        <v>14</v>
      </c>
      <c r="F1938" s="11">
        <v>149</v>
      </c>
      <c r="G1938" s="11">
        <v>66</v>
      </c>
      <c r="H1938" s="11">
        <v>0.52</v>
      </c>
      <c r="I1938" s="11" t="s">
        <v>23</v>
      </c>
      <c r="J1938" s="11">
        <v>35</v>
      </c>
      <c r="K1938" s="11">
        <v>0</v>
      </c>
      <c r="L1938" s="11">
        <v>1</v>
      </c>
      <c r="M1938" s="11">
        <v>0</v>
      </c>
      <c r="N1938" s="11">
        <v>0</v>
      </c>
      <c r="O1938" s="12" t="str">
        <f t="shared" si="30"/>
        <v>30 - 39</v>
      </c>
    </row>
    <row r="1939" spans="1:15" x14ac:dyDescent="0.35">
      <c r="A1939" s="12">
        <v>7653</v>
      </c>
      <c r="B1939" s="12" t="s">
        <v>12</v>
      </c>
      <c r="C1939" s="12">
        <v>20</v>
      </c>
      <c r="D1939" s="12" t="s">
        <v>29</v>
      </c>
      <c r="E1939" s="12" t="s">
        <v>14</v>
      </c>
      <c r="F1939" s="12">
        <v>224</v>
      </c>
      <c r="G1939" s="12">
        <v>34</v>
      </c>
      <c r="H1939" s="12">
        <v>0.08</v>
      </c>
      <c r="I1939" s="12" t="s">
        <v>23</v>
      </c>
      <c r="J1939" s="12">
        <v>19</v>
      </c>
      <c r="K1939" s="12">
        <v>0</v>
      </c>
      <c r="L1939" s="12">
        <v>1</v>
      </c>
      <c r="M1939" s="12">
        <v>0</v>
      </c>
      <c r="N1939" s="12">
        <v>0</v>
      </c>
      <c r="O1939" s="12" t="str">
        <f t="shared" si="30"/>
        <v>10 - 19</v>
      </c>
    </row>
    <row r="1940" spans="1:15" x14ac:dyDescent="0.35">
      <c r="A1940" s="11">
        <v>7671</v>
      </c>
      <c r="B1940" s="11" t="s">
        <v>12</v>
      </c>
      <c r="C1940" s="11">
        <v>59</v>
      </c>
      <c r="D1940" s="11" t="s">
        <v>27</v>
      </c>
      <c r="E1940" s="11" t="s">
        <v>14</v>
      </c>
      <c r="F1940" s="11">
        <v>57</v>
      </c>
      <c r="G1940" s="11">
        <v>33</v>
      </c>
      <c r="H1940" s="11">
        <v>0.48</v>
      </c>
      <c r="I1940" s="11" t="s">
        <v>19</v>
      </c>
      <c r="J1940" s="11">
        <v>12</v>
      </c>
      <c r="K1940" s="11">
        <v>0</v>
      </c>
      <c r="L1940" s="11">
        <v>0</v>
      </c>
      <c r="M1940" s="11">
        <v>0</v>
      </c>
      <c r="N1940" s="11">
        <v>0</v>
      </c>
      <c r="O1940" s="12" t="str">
        <f t="shared" si="30"/>
        <v>10 - 19</v>
      </c>
    </row>
    <row r="1941" spans="1:15" x14ac:dyDescent="0.35">
      <c r="A1941" s="12">
        <v>7675</v>
      </c>
      <c r="B1941" s="12" t="s">
        <v>12</v>
      </c>
      <c r="C1941" s="12">
        <v>55</v>
      </c>
      <c r="D1941" s="12" t="s">
        <v>21</v>
      </c>
      <c r="E1941" s="12" t="s">
        <v>14</v>
      </c>
      <c r="F1941" s="12">
        <v>127</v>
      </c>
      <c r="G1941" s="12">
        <v>14</v>
      </c>
      <c r="H1941" s="12">
        <v>0.08</v>
      </c>
      <c r="I1941" s="12" t="s">
        <v>19</v>
      </c>
      <c r="J1941" s="12">
        <v>16</v>
      </c>
      <c r="K1941" s="12">
        <v>0</v>
      </c>
      <c r="L1941" s="12">
        <v>0</v>
      </c>
      <c r="M1941" s="12">
        <v>0</v>
      </c>
      <c r="N1941" s="12">
        <v>0</v>
      </c>
      <c r="O1941" s="12" t="str">
        <f t="shared" si="30"/>
        <v>10 - 19</v>
      </c>
    </row>
    <row r="1942" spans="1:15" x14ac:dyDescent="0.35">
      <c r="A1942" s="11">
        <v>7687</v>
      </c>
      <c r="B1942" s="11" t="s">
        <v>16</v>
      </c>
      <c r="C1942" s="11">
        <v>55</v>
      </c>
      <c r="D1942" s="11" t="s">
        <v>25</v>
      </c>
      <c r="E1942" s="11" t="s">
        <v>14</v>
      </c>
      <c r="F1942" s="11">
        <v>47</v>
      </c>
      <c r="G1942" s="11">
        <v>71</v>
      </c>
      <c r="H1942" s="11">
        <v>0.23</v>
      </c>
      <c r="I1942" s="11" t="s">
        <v>15</v>
      </c>
      <c r="J1942" s="11">
        <v>25</v>
      </c>
      <c r="K1942" s="11">
        <v>0</v>
      </c>
      <c r="L1942" s="11">
        <v>1</v>
      </c>
      <c r="M1942" s="11">
        <v>0</v>
      </c>
      <c r="N1942" s="11">
        <v>0</v>
      </c>
      <c r="O1942" s="12" t="str">
        <f t="shared" si="30"/>
        <v>20 - 29</v>
      </c>
    </row>
    <row r="1943" spans="1:15" x14ac:dyDescent="0.35">
      <c r="A1943" s="12">
        <v>7691</v>
      </c>
      <c r="B1943" s="12" t="s">
        <v>12</v>
      </c>
      <c r="C1943" s="12">
        <v>28</v>
      </c>
      <c r="D1943" s="12" t="s">
        <v>28</v>
      </c>
      <c r="E1943" s="12" t="s">
        <v>14</v>
      </c>
      <c r="F1943" s="12">
        <v>56</v>
      </c>
      <c r="G1943" s="12">
        <v>58</v>
      </c>
      <c r="H1943" s="12">
        <v>0.31</v>
      </c>
      <c r="I1943" s="12" t="s">
        <v>23</v>
      </c>
      <c r="J1943" s="12">
        <v>20</v>
      </c>
      <c r="K1943" s="12">
        <v>0</v>
      </c>
      <c r="L1943" s="12">
        <v>1</v>
      </c>
      <c r="M1943" s="12">
        <v>0</v>
      </c>
      <c r="N1943" s="12">
        <v>0</v>
      </c>
      <c r="O1943" s="12" t="str">
        <f t="shared" si="30"/>
        <v>20 - 29</v>
      </c>
    </row>
    <row r="1944" spans="1:15" x14ac:dyDescent="0.35">
      <c r="A1944" s="11">
        <v>7693</v>
      </c>
      <c r="B1944" s="11" t="s">
        <v>20</v>
      </c>
      <c r="C1944" s="11">
        <v>37</v>
      </c>
      <c r="D1944" s="11" t="s">
        <v>26</v>
      </c>
      <c r="E1944" s="11" t="s">
        <v>14</v>
      </c>
      <c r="F1944" s="11">
        <v>51</v>
      </c>
      <c r="G1944" s="11">
        <v>33</v>
      </c>
      <c r="H1944" s="11">
        <v>0.17</v>
      </c>
      <c r="I1944" s="11" t="s">
        <v>19</v>
      </c>
      <c r="J1944" s="11">
        <v>35</v>
      </c>
      <c r="K1944" s="11">
        <v>0</v>
      </c>
      <c r="L1944" s="11">
        <v>1</v>
      </c>
      <c r="M1944" s="11">
        <v>0</v>
      </c>
      <c r="N1944" s="11">
        <v>0</v>
      </c>
      <c r="O1944" s="12" t="str">
        <f t="shared" si="30"/>
        <v>30 - 39</v>
      </c>
    </row>
    <row r="1945" spans="1:15" x14ac:dyDescent="0.35">
      <c r="A1945" s="12">
        <v>7699</v>
      </c>
      <c r="B1945" s="12" t="s">
        <v>12</v>
      </c>
      <c r="C1945" s="12">
        <v>37</v>
      </c>
      <c r="D1945" s="12" t="s">
        <v>13</v>
      </c>
      <c r="E1945" s="12" t="s">
        <v>14</v>
      </c>
      <c r="F1945" s="12">
        <v>268</v>
      </c>
      <c r="G1945" s="12">
        <v>51</v>
      </c>
      <c r="H1945" s="12">
        <v>0.04</v>
      </c>
      <c r="I1945" s="12" t="s">
        <v>19</v>
      </c>
      <c r="J1945" s="12">
        <v>13</v>
      </c>
      <c r="K1945" s="12">
        <v>0</v>
      </c>
      <c r="L1945" s="12">
        <v>0</v>
      </c>
      <c r="M1945" s="12">
        <v>0</v>
      </c>
      <c r="N1945" s="12">
        <v>0</v>
      </c>
      <c r="O1945" s="12" t="str">
        <f t="shared" si="30"/>
        <v>10 - 19</v>
      </c>
    </row>
    <row r="1946" spans="1:15" x14ac:dyDescent="0.35">
      <c r="A1946" s="11">
        <v>7703</v>
      </c>
      <c r="B1946" s="11" t="s">
        <v>16</v>
      </c>
      <c r="C1946" s="11">
        <v>33</v>
      </c>
      <c r="D1946" s="11" t="s">
        <v>27</v>
      </c>
      <c r="E1946" s="11" t="s">
        <v>14</v>
      </c>
      <c r="F1946" s="11">
        <v>150</v>
      </c>
      <c r="G1946" s="11">
        <v>5</v>
      </c>
      <c r="H1946" s="11">
        <v>0.42</v>
      </c>
      <c r="I1946" s="11" t="s">
        <v>23</v>
      </c>
      <c r="J1946" s="11">
        <v>22</v>
      </c>
      <c r="K1946" s="11">
        <v>0</v>
      </c>
      <c r="L1946" s="11">
        <v>0</v>
      </c>
      <c r="M1946" s="11">
        <v>0</v>
      </c>
      <c r="N1946" s="11">
        <v>0</v>
      </c>
      <c r="O1946" s="12" t="str">
        <f t="shared" si="30"/>
        <v>20 - 29</v>
      </c>
    </row>
    <row r="1947" spans="1:15" x14ac:dyDescent="0.35">
      <c r="A1947" s="12">
        <v>7704</v>
      </c>
      <c r="B1947" s="12" t="s">
        <v>20</v>
      </c>
      <c r="C1947" s="12">
        <v>52</v>
      </c>
      <c r="D1947" s="12" t="s">
        <v>26</v>
      </c>
      <c r="E1947" s="12" t="s">
        <v>14</v>
      </c>
      <c r="F1947" s="12">
        <v>204</v>
      </c>
      <c r="G1947" s="12">
        <v>23</v>
      </c>
      <c r="H1947" s="12">
        <v>0.35</v>
      </c>
      <c r="I1947" s="12" t="s">
        <v>15</v>
      </c>
      <c r="J1947" s="12">
        <v>10</v>
      </c>
      <c r="K1947" s="12">
        <v>0</v>
      </c>
      <c r="L1947" s="12">
        <v>0</v>
      </c>
      <c r="M1947" s="12">
        <v>0</v>
      </c>
      <c r="N1947" s="12">
        <v>0</v>
      </c>
      <c r="O1947" s="12" t="str">
        <f t="shared" si="30"/>
        <v>10 - 19</v>
      </c>
    </row>
    <row r="1948" spans="1:15" x14ac:dyDescent="0.35">
      <c r="A1948" s="11">
        <v>7713</v>
      </c>
      <c r="B1948" s="11" t="s">
        <v>20</v>
      </c>
      <c r="C1948" s="11">
        <v>42</v>
      </c>
      <c r="D1948" s="11" t="s">
        <v>25</v>
      </c>
      <c r="E1948" s="11" t="s">
        <v>14</v>
      </c>
      <c r="F1948" s="11">
        <v>159</v>
      </c>
      <c r="G1948" s="11">
        <v>44</v>
      </c>
      <c r="H1948" s="11">
        <v>0.47</v>
      </c>
      <c r="I1948" s="11" t="s">
        <v>19</v>
      </c>
      <c r="J1948" s="11">
        <v>20</v>
      </c>
      <c r="K1948" s="11">
        <v>0</v>
      </c>
      <c r="L1948" s="11">
        <v>0</v>
      </c>
      <c r="M1948" s="11">
        <v>0</v>
      </c>
      <c r="N1948" s="11">
        <v>0</v>
      </c>
      <c r="O1948" s="12" t="str">
        <f t="shared" si="30"/>
        <v>20 - 29</v>
      </c>
    </row>
    <row r="1949" spans="1:15" x14ac:dyDescent="0.35">
      <c r="A1949" s="12">
        <v>7718</v>
      </c>
      <c r="B1949" s="12" t="s">
        <v>12</v>
      </c>
      <c r="C1949" s="12">
        <v>41</v>
      </c>
      <c r="D1949" s="12" t="s">
        <v>26</v>
      </c>
      <c r="E1949" s="12" t="s">
        <v>14</v>
      </c>
      <c r="F1949" s="12">
        <v>55</v>
      </c>
      <c r="G1949" s="12">
        <v>12</v>
      </c>
      <c r="H1949" s="12">
        <v>0.2</v>
      </c>
      <c r="I1949" s="12" t="s">
        <v>15</v>
      </c>
      <c r="J1949" s="12">
        <v>17</v>
      </c>
      <c r="K1949" s="12">
        <v>0</v>
      </c>
      <c r="L1949" s="12">
        <v>0</v>
      </c>
      <c r="M1949" s="12">
        <v>0</v>
      </c>
      <c r="N1949" s="12">
        <v>0</v>
      </c>
      <c r="O1949" s="12" t="str">
        <f t="shared" si="30"/>
        <v>10 - 19</v>
      </c>
    </row>
    <row r="1950" spans="1:15" x14ac:dyDescent="0.35">
      <c r="A1950" s="11">
        <v>7719</v>
      </c>
      <c r="B1950" s="11" t="s">
        <v>20</v>
      </c>
      <c r="C1950" s="11">
        <v>19</v>
      </c>
      <c r="D1950" s="11" t="s">
        <v>25</v>
      </c>
      <c r="E1950" s="11" t="s">
        <v>14</v>
      </c>
      <c r="F1950" s="11">
        <v>147</v>
      </c>
      <c r="G1950" s="11">
        <v>58</v>
      </c>
      <c r="H1950" s="11">
        <v>0.21</v>
      </c>
      <c r="I1950" s="11" t="s">
        <v>19</v>
      </c>
      <c r="J1950" s="11">
        <v>22</v>
      </c>
      <c r="K1950" s="11">
        <v>0</v>
      </c>
      <c r="L1950" s="11">
        <v>0</v>
      </c>
      <c r="M1950" s="11">
        <v>0</v>
      </c>
      <c r="N1950" s="11">
        <v>0</v>
      </c>
      <c r="O1950" s="12" t="str">
        <f t="shared" si="30"/>
        <v>20 - 29</v>
      </c>
    </row>
    <row r="1951" spans="1:15" x14ac:dyDescent="0.35">
      <c r="A1951" s="12">
        <v>7725</v>
      </c>
      <c r="B1951" s="12" t="s">
        <v>20</v>
      </c>
      <c r="C1951" s="12">
        <v>59</v>
      </c>
      <c r="D1951" s="12" t="s">
        <v>26</v>
      </c>
      <c r="E1951" s="12" t="s">
        <v>14</v>
      </c>
      <c r="F1951" s="12">
        <v>142</v>
      </c>
      <c r="G1951" s="12">
        <v>29</v>
      </c>
      <c r="H1951" s="12">
        <v>0.05</v>
      </c>
      <c r="I1951" s="12" t="s">
        <v>15</v>
      </c>
      <c r="J1951" s="12">
        <v>11</v>
      </c>
      <c r="K1951" s="12">
        <v>0</v>
      </c>
      <c r="L1951" s="12">
        <v>0</v>
      </c>
      <c r="M1951" s="12">
        <v>0</v>
      </c>
      <c r="N1951" s="12">
        <v>0</v>
      </c>
      <c r="O1951" s="12" t="str">
        <f t="shared" si="30"/>
        <v>10 - 19</v>
      </c>
    </row>
    <row r="1952" spans="1:15" x14ac:dyDescent="0.35">
      <c r="A1952" s="11">
        <v>7728</v>
      </c>
      <c r="B1952" s="11" t="s">
        <v>16</v>
      </c>
      <c r="C1952" s="11">
        <v>36</v>
      </c>
      <c r="D1952" s="11" t="s">
        <v>21</v>
      </c>
      <c r="E1952" s="11" t="s">
        <v>14</v>
      </c>
      <c r="F1952" s="11">
        <v>228</v>
      </c>
      <c r="G1952" s="11">
        <v>44</v>
      </c>
      <c r="H1952" s="11">
        <v>0.02</v>
      </c>
      <c r="I1952" s="11" t="s">
        <v>23</v>
      </c>
      <c r="J1952" s="11">
        <v>31</v>
      </c>
      <c r="K1952" s="11">
        <v>0</v>
      </c>
      <c r="L1952" s="11">
        <v>0</v>
      </c>
      <c r="M1952" s="11">
        <v>0</v>
      </c>
      <c r="N1952" s="11">
        <v>0</v>
      </c>
      <c r="O1952" s="12" t="str">
        <f t="shared" si="30"/>
        <v>30 - 39</v>
      </c>
    </row>
    <row r="1953" spans="1:15" x14ac:dyDescent="0.35">
      <c r="A1953" s="12">
        <v>7729</v>
      </c>
      <c r="B1953" s="12" t="s">
        <v>20</v>
      </c>
      <c r="C1953" s="12">
        <v>22</v>
      </c>
      <c r="D1953" s="12" t="s">
        <v>28</v>
      </c>
      <c r="E1953" s="12" t="s">
        <v>14</v>
      </c>
      <c r="F1953" s="12">
        <v>100</v>
      </c>
      <c r="G1953" s="12">
        <v>84</v>
      </c>
      <c r="H1953" s="12">
        <v>0.02</v>
      </c>
      <c r="I1953" s="12" t="s">
        <v>23</v>
      </c>
      <c r="J1953" s="12">
        <v>26</v>
      </c>
      <c r="K1953" s="12">
        <v>0</v>
      </c>
      <c r="L1953" s="12">
        <v>0</v>
      </c>
      <c r="M1953" s="12">
        <v>0</v>
      </c>
      <c r="N1953" s="12">
        <v>0</v>
      </c>
      <c r="O1953" s="12" t="str">
        <f t="shared" si="30"/>
        <v>20 - 29</v>
      </c>
    </row>
    <row r="1954" spans="1:15" x14ac:dyDescent="0.35">
      <c r="A1954" s="11">
        <v>7733</v>
      </c>
      <c r="B1954" s="11" t="s">
        <v>12</v>
      </c>
      <c r="C1954" s="11">
        <v>20</v>
      </c>
      <c r="D1954" s="11" t="s">
        <v>27</v>
      </c>
      <c r="E1954" s="11" t="s">
        <v>14</v>
      </c>
      <c r="F1954" s="11">
        <v>265</v>
      </c>
      <c r="G1954" s="11">
        <v>40</v>
      </c>
      <c r="H1954" s="11">
        <v>0.56000000000000005</v>
      </c>
      <c r="I1954" s="11" t="s">
        <v>23</v>
      </c>
      <c r="J1954" s="11">
        <v>11</v>
      </c>
      <c r="K1954" s="11">
        <v>0</v>
      </c>
      <c r="L1954" s="11">
        <v>0</v>
      </c>
      <c r="M1954" s="11">
        <v>0</v>
      </c>
      <c r="N1954" s="11">
        <v>0</v>
      </c>
      <c r="O1954" s="12" t="str">
        <f t="shared" si="30"/>
        <v>10 - 19</v>
      </c>
    </row>
    <row r="1955" spans="1:15" x14ac:dyDescent="0.35">
      <c r="A1955" s="12">
        <v>7744</v>
      </c>
      <c r="B1955" s="12" t="s">
        <v>20</v>
      </c>
      <c r="C1955" s="12">
        <v>41</v>
      </c>
      <c r="D1955" s="12" t="s">
        <v>29</v>
      </c>
      <c r="E1955" s="12" t="s">
        <v>14</v>
      </c>
      <c r="F1955" s="12">
        <v>267</v>
      </c>
      <c r="G1955" s="12">
        <v>75</v>
      </c>
      <c r="H1955" s="12">
        <v>0.43</v>
      </c>
      <c r="I1955" s="12" t="s">
        <v>15</v>
      </c>
      <c r="J1955" s="12">
        <v>15</v>
      </c>
      <c r="K1955" s="12">
        <v>0</v>
      </c>
      <c r="L1955" s="12">
        <v>0</v>
      </c>
      <c r="M1955" s="12">
        <v>0</v>
      </c>
      <c r="N1955" s="12">
        <v>0</v>
      </c>
      <c r="O1955" s="12" t="str">
        <f t="shared" si="30"/>
        <v>10 - 19</v>
      </c>
    </row>
    <row r="1956" spans="1:15" x14ac:dyDescent="0.35">
      <c r="A1956" s="11">
        <v>7745</v>
      </c>
      <c r="B1956" s="11" t="s">
        <v>16</v>
      </c>
      <c r="C1956" s="11">
        <v>58</v>
      </c>
      <c r="D1956" s="11" t="s">
        <v>28</v>
      </c>
      <c r="E1956" s="11" t="s">
        <v>14</v>
      </c>
      <c r="F1956" s="11">
        <v>83</v>
      </c>
      <c r="G1956" s="11">
        <v>50</v>
      </c>
      <c r="H1956" s="11">
        <v>0.12</v>
      </c>
      <c r="I1956" s="11" t="s">
        <v>19</v>
      </c>
      <c r="J1956" s="11">
        <v>8</v>
      </c>
      <c r="K1956" s="11">
        <v>0</v>
      </c>
      <c r="L1956" s="11">
        <v>0</v>
      </c>
      <c r="M1956" s="11">
        <v>0</v>
      </c>
      <c r="N1956" s="11">
        <v>0</v>
      </c>
      <c r="O1956" s="12" t="str">
        <f t="shared" si="30"/>
        <v>0 - 9</v>
      </c>
    </row>
    <row r="1957" spans="1:15" x14ac:dyDescent="0.35">
      <c r="A1957" s="12">
        <v>7748</v>
      </c>
      <c r="B1957" s="12" t="s">
        <v>12</v>
      </c>
      <c r="C1957" s="12">
        <v>34</v>
      </c>
      <c r="D1957" s="12" t="s">
        <v>26</v>
      </c>
      <c r="E1957" s="12" t="s">
        <v>14</v>
      </c>
      <c r="F1957" s="12">
        <v>12</v>
      </c>
      <c r="G1957" s="12">
        <v>1</v>
      </c>
      <c r="H1957" s="12">
        <v>0.42</v>
      </c>
      <c r="I1957" s="12" t="s">
        <v>15</v>
      </c>
      <c r="J1957" s="12">
        <v>29</v>
      </c>
      <c r="K1957" s="12">
        <v>0</v>
      </c>
      <c r="L1957" s="12">
        <v>1</v>
      </c>
      <c r="M1957" s="12">
        <v>0</v>
      </c>
      <c r="N1957" s="12">
        <v>0</v>
      </c>
      <c r="O1957" s="12" t="str">
        <f t="shared" si="30"/>
        <v>20 - 29</v>
      </c>
    </row>
    <row r="1958" spans="1:15" x14ac:dyDescent="0.35">
      <c r="A1958" s="11">
        <v>7749</v>
      </c>
      <c r="B1958" s="11" t="s">
        <v>16</v>
      </c>
      <c r="C1958" s="11">
        <v>30</v>
      </c>
      <c r="D1958" s="11" t="s">
        <v>27</v>
      </c>
      <c r="E1958" s="11" t="s">
        <v>14</v>
      </c>
      <c r="F1958" s="11">
        <v>118</v>
      </c>
      <c r="G1958" s="11">
        <v>21</v>
      </c>
      <c r="H1958" s="11">
        <v>0.33</v>
      </c>
      <c r="I1958" s="11" t="s">
        <v>23</v>
      </c>
      <c r="J1958" s="11">
        <v>49</v>
      </c>
      <c r="K1958" s="11">
        <v>0</v>
      </c>
      <c r="L1958" s="11">
        <v>1</v>
      </c>
      <c r="M1958" s="11">
        <v>0</v>
      </c>
      <c r="N1958" s="11">
        <v>0</v>
      </c>
      <c r="O1958" s="12" t="str">
        <f t="shared" si="30"/>
        <v>40 - 49</v>
      </c>
    </row>
    <row r="1959" spans="1:15" x14ac:dyDescent="0.35">
      <c r="A1959" s="12">
        <v>7755</v>
      </c>
      <c r="B1959" s="12" t="s">
        <v>20</v>
      </c>
      <c r="C1959" s="12">
        <v>38</v>
      </c>
      <c r="D1959" s="12" t="s">
        <v>27</v>
      </c>
      <c r="E1959" s="12" t="s">
        <v>14</v>
      </c>
      <c r="F1959" s="12">
        <v>61</v>
      </c>
      <c r="G1959" s="12">
        <v>8</v>
      </c>
      <c r="H1959" s="12">
        <v>0.16</v>
      </c>
      <c r="I1959" s="12" t="s">
        <v>15</v>
      </c>
      <c r="J1959" s="12">
        <v>26</v>
      </c>
      <c r="K1959" s="12">
        <v>0</v>
      </c>
      <c r="L1959" s="12">
        <v>0</v>
      </c>
      <c r="M1959" s="12">
        <v>0</v>
      </c>
      <c r="N1959" s="12">
        <v>0</v>
      </c>
      <c r="O1959" s="12" t="str">
        <f t="shared" si="30"/>
        <v>20 - 29</v>
      </c>
    </row>
    <row r="1960" spans="1:15" x14ac:dyDescent="0.35">
      <c r="A1960" s="11">
        <v>7756</v>
      </c>
      <c r="B1960" s="11" t="s">
        <v>16</v>
      </c>
      <c r="C1960" s="11">
        <v>55</v>
      </c>
      <c r="D1960" s="11" t="s">
        <v>27</v>
      </c>
      <c r="E1960" s="11" t="s">
        <v>14</v>
      </c>
      <c r="F1960" s="11">
        <v>251</v>
      </c>
      <c r="G1960" s="11">
        <v>96</v>
      </c>
      <c r="H1960" s="11">
        <v>0.11</v>
      </c>
      <c r="I1960" s="11" t="s">
        <v>19</v>
      </c>
      <c r="J1960" s="11">
        <v>48</v>
      </c>
      <c r="K1960" s="11">
        <v>0</v>
      </c>
      <c r="L1960" s="11">
        <v>0</v>
      </c>
      <c r="M1960" s="11">
        <v>0</v>
      </c>
      <c r="N1960" s="11">
        <v>0</v>
      </c>
      <c r="O1960" s="12" t="str">
        <f t="shared" si="30"/>
        <v>40 - 49</v>
      </c>
    </row>
    <row r="1961" spans="1:15" x14ac:dyDescent="0.35">
      <c r="A1961" s="12">
        <v>7757</v>
      </c>
      <c r="B1961" s="12" t="s">
        <v>16</v>
      </c>
      <c r="C1961" s="12">
        <v>28</v>
      </c>
      <c r="D1961" s="12" t="s">
        <v>13</v>
      </c>
      <c r="E1961" s="12" t="s">
        <v>14</v>
      </c>
      <c r="F1961" s="12">
        <v>277</v>
      </c>
      <c r="G1961" s="12">
        <v>85</v>
      </c>
      <c r="H1961" s="12">
        <v>0.15</v>
      </c>
      <c r="I1961" s="12" t="s">
        <v>19</v>
      </c>
      <c r="J1961" s="12">
        <v>9</v>
      </c>
      <c r="K1961" s="12">
        <v>0</v>
      </c>
      <c r="L1961" s="12">
        <v>0</v>
      </c>
      <c r="M1961" s="12">
        <v>0</v>
      </c>
      <c r="N1961" s="12">
        <v>0</v>
      </c>
      <c r="O1961" s="12" t="str">
        <f t="shared" si="30"/>
        <v>0 - 9</v>
      </c>
    </row>
    <row r="1962" spans="1:15" x14ac:dyDescent="0.35">
      <c r="A1962" s="11">
        <v>7766</v>
      </c>
      <c r="B1962" s="11" t="s">
        <v>12</v>
      </c>
      <c r="C1962" s="11">
        <v>25</v>
      </c>
      <c r="D1962" s="11" t="s">
        <v>26</v>
      </c>
      <c r="E1962" s="11" t="s">
        <v>14</v>
      </c>
      <c r="F1962" s="11">
        <v>120</v>
      </c>
      <c r="G1962" s="11">
        <v>43</v>
      </c>
      <c r="H1962" s="11">
        <v>0.15</v>
      </c>
      <c r="I1962" s="11" t="s">
        <v>19</v>
      </c>
      <c r="J1962" s="11">
        <v>11</v>
      </c>
      <c r="K1962" s="11">
        <v>0</v>
      </c>
      <c r="L1962" s="11">
        <v>0</v>
      </c>
      <c r="M1962" s="11">
        <v>0</v>
      </c>
      <c r="N1962" s="11">
        <v>0</v>
      </c>
      <c r="O1962" s="12" t="str">
        <f t="shared" si="30"/>
        <v>10 - 19</v>
      </c>
    </row>
    <row r="1963" spans="1:15" x14ac:dyDescent="0.35">
      <c r="A1963" s="12">
        <v>7768</v>
      </c>
      <c r="B1963" s="12" t="s">
        <v>20</v>
      </c>
      <c r="C1963" s="12">
        <v>16</v>
      </c>
      <c r="D1963" s="12" t="s">
        <v>26</v>
      </c>
      <c r="E1963" s="12" t="s">
        <v>14</v>
      </c>
      <c r="F1963" s="12">
        <v>113</v>
      </c>
      <c r="G1963" s="12">
        <v>7</v>
      </c>
      <c r="H1963" s="12">
        <v>0.22</v>
      </c>
      <c r="I1963" s="12" t="s">
        <v>15</v>
      </c>
      <c r="J1963" s="12">
        <v>15</v>
      </c>
      <c r="K1963" s="12">
        <v>0</v>
      </c>
      <c r="L1963" s="12">
        <v>0</v>
      </c>
      <c r="M1963" s="12">
        <v>0</v>
      </c>
      <c r="N1963" s="12">
        <v>0</v>
      </c>
      <c r="O1963" s="12" t="str">
        <f t="shared" si="30"/>
        <v>10 - 19</v>
      </c>
    </row>
    <row r="1964" spans="1:15" x14ac:dyDescent="0.35">
      <c r="A1964" s="11">
        <v>7769</v>
      </c>
      <c r="B1964" s="11" t="s">
        <v>16</v>
      </c>
      <c r="C1964" s="11">
        <v>26</v>
      </c>
      <c r="D1964" s="11" t="s">
        <v>25</v>
      </c>
      <c r="E1964" s="11" t="s">
        <v>14</v>
      </c>
      <c r="F1964" s="11">
        <v>119</v>
      </c>
      <c r="G1964" s="11">
        <v>39</v>
      </c>
      <c r="H1964" s="11">
        <v>0.52</v>
      </c>
      <c r="I1964" s="11" t="s">
        <v>23</v>
      </c>
      <c r="J1964" s="11">
        <v>6</v>
      </c>
      <c r="K1964" s="11">
        <v>0</v>
      </c>
      <c r="L1964" s="11">
        <v>0</v>
      </c>
      <c r="M1964" s="11">
        <v>0</v>
      </c>
      <c r="N1964" s="11">
        <v>0</v>
      </c>
      <c r="O1964" s="12" t="str">
        <f t="shared" si="30"/>
        <v>0 - 9</v>
      </c>
    </row>
    <row r="1965" spans="1:15" x14ac:dyDescent="0.35">
      <c r="A1965" s="12">
        <v>7771</v>
      </c>
      <c r="B1965" s="12" t="s">
        <v>16</v>
      </c>
      <c r="C1965" s="12">
        <v>28</v>
      </c>
      <c r="D1965" s="12" t="s">
        <v>17</v>
      </c>
      <c r="E1965" s="12" t="s">
        <v>14</v>
      </c>
      <c r="F1965" s="12">
        <v>207</v>
      </c>
      <c r="G1965" s="12">
        <v>56</v>
      </c>
      <c r="H1965" s="12">
        <v>0.2</v>
      </c>
      <c r="I1965" s="12" t="s">
        <v>23</v>
      </c>
      <c r="J1965" s="12">
        <v>6</v>
      </c>
      <c r="K1965" s="12">
        <v>0</v>
      </c>
      <c r="L1965" s="12">
        <v>1</v>
      </c>
      <c r="M1965" s="12">
        <v>0</v>
      </c>
      <c r="N1965" s="12">
        <v>0</v>
      </c>
      <c r="O1965" s="12" t="str">
        <f t="shared" si="30"/>
        <v>0 - 9</v>
      </c>
    </row>
    <row r="1966" spans="1:15" x14ac:dyDescent="0.35">
      <c r="A1966" s="11">
        <v>7772</v>
      </c>
      <c r="B1966" s="11" t="s">
        <v>16</v>
      </c>
      <c r="C1966" s="11">
        <v>58</v>
      </c>
      <c r="D1966" s="11" t="s">
        <v>25</v>
      </c>
      <c r="E1966" s="11" t="s">
        <v>14</v>
      </c>
      <c r="F1966" s="11">
        <v>260</v>
      </c>
      <c r="G1966" s="11">
        <v>50</v>
      </c>
      <c r="H1966" s="11">
        <v>0.1</v>
      </c>
      <c r="I1966" s="11" t="s">
        <v>23</v>
      </c>
      <c r="J1966" s="11">
        <v>47</v>
      </c>
      <c r="K1966" s="11">
        <v>0</v>
      </c>
      <c r="L1966" s="11">
        <v>0</v>
      </c>
      <c r="M1966" s="11">
        <v>0</v>
      </c>
      <c r="N1966" s="11">
        <v>0</v>
      </c>
      <c r="O1966" s="12" t="str">
        <f t="shared" si="30"/>
        <v>40 - 49</v>
      </c>
    </row>
    <row r="1967" spans="1:15" x14ac:dyDescent="0.35">
      <c r="A1967" s="12">
        <v>7776</v>
      </c>
      <c r="B1967" s="12" t="s">
        <v>20</v>
      </c>
      <c r="C1967" s="12">
        <v>39</v>
      </c>
      <c r="D1967" s="12" t="s">
        <v>26</v>
      </c>
      <c r="E1967" s="12" t="s">
        <v>14</v>
      </c>
      <c r="F1967" s="12">
        <v>114</v>
      </c>
      <c r="G1967" s="12">
        <v>90</v>
      </c>
      <c r="H1967" s="12">
        <v>0.37</v>
      </c>
      <c r="I1967" s="12" t="s">
        <v>23</v>
      </c>
      <c r="J1967" s="12">
        <v>30</v>
      </c>
      <c r="K1967" s="12">
        <v>0</v>
      </c>
      <c r="L1967" s="12">
        <v>0</v>
      </c>
      <c r="M1967" s="12">
        <v>0</v>
      </c>
      <c r="N1967" s="12">
        <v>0</v>
      </c>
      <c r="O1967" s="12" t="str">
        <f t="shared" si="30"/>
        <v>30 - 39</v>
      </c>
    </row>
    <row r="1968" spans="1:15" x14ac:dyDescent="0.35">
      <c r="A1968" s="11">
        <v>7777</v>
      </c>
      <c r="B1968" s="11" t="s">
        <v>12</v>
      </c>
      <c r="C1968" s="11">
        <v>17</v>
      </c>
      <c r="D1968" s="11" t="s">
        <v>13</v>
      </c>
      <c r="E1968" s="11" t="s">
        <v>14</v>
      </c>
      <c r="F1968" s="11">
        <v>241</v>
      </c>
      <c r="G1968" s="11">
        <v>91</v>
      </c>
      <c r="H1968" s="11">
        <v>0.53</v>
      </c>
      <c r="I1968" s="11" t="s">
        <v>19</v>
      </c>
      <c r="J1968" s="11">
        <v>10</v>
      </c>
      <c r="K1968" s="11">
        <v>0</v>
      </c>
      <c r="L1968" s="11">
        <v>0</v>
      </c>
      <c r="M1968" s="11">
        <v>0</v>
      </c>
      <c r="N1968" s="11">
        <v>0</v>
      </c>
      <c r="O1968" s="12" t="str">
        <f t="shared" si="30"/>
        <v>10 - 19</v>
      </c>
    </row>
    <row r="1969" spans="1:15" x14ac:dyDescent="0.35">
      <c r="A1969" s="12">
        <v>7779</v>
      </c>
      <c r="B1969" s="12" t="s">
        <v>16</v>
      </c>
      <c r="C1969" s="12">
        <v>39</v>
      </c>
      <c r="D1969" s="12" t="s">
        <v>26</v>
      </c>
      <c r="E1969" s="12" t="s">
        <v>14</v>
      </c>
      <c r="F1969" s="12">
        <v>177</v>
      </c>
      <c r="G1969" s="12">
        <v>89</v>
      </c>
      <c r="H1969" s="12">
        <v>0.35</v>
      </c>
      <c r="I1969" s="12" t="s">
        <v>23</v>
      </c>
      <c r="J1969" s="12">
        <v>22</v>
      </c>
      <c r="K1969" s="12">
        <v>0</v>
      </c>
      <c r="L1969" s="12">
        <v>0</v>
      </c>
      <c r="M1969" s="12">
        <v>0</v>
      </c>
      <c r="N1969" s="12">
        <v>0</v>
      </c>
      <c r="O1969" s="12" t="str">
        <f t="shared" si="30"/>
        <v>20 - 29</v>
      </c>
    </row>
    <row r="1970" spans="1:15" x14ac:dyDescent="0.35">
      <c r="A1970" s="11">
        <v>7783</v>
      </c>
      <c r="B1970" s="11" t="s">
        <v>20</v>
      </c>
      <c r="C1970" s="11">
        <v>45</v>
      </c>
      <c r="D1970" s="11" t="s">
        <v>21</v>
      </c>
      <c r="E1970" s="11" t="s">
        <v>14</v>
      </c>
      <c r="F1970" s="11">
        <v>94</v>
      </c>
      <c r="G1970" s="11">
        <v>13</v>
      </c>
      <c r="H1970" s="11">
        <v>0.57999999999999996</v>
      </c>
      <c r="I1970" s="11" t="s">
        <v>19</v>
      </c>
      <c r="J1970" s="11">
        <v>45</v>
      </c>
      <c r="K1970" s="11">
        <v>0</v>
      </c>
      <c r="L1970" s="11">
        <v>1</v>
      </c>
      <c r="M1970" s="11">
        <v>0</v>
      </c>
      <c r="N1970" s="11">
        <v>0</v>
      </c>
      <c r="O1970" s="12" t="str">
        <f t="shared" si="30"/>
        <v>40 - 49</v>
      </c>
    </row>
    <row r="1971" spans="1:15" x14ac:dyDescent="0.35">
      <c r="A1971" s="12">
        <v>7787</v>
      </c>
      <c r="B1971" s="12" t="s">
        <v>20</v>
      </c>
      <c r="C1971" s="12">
        <v>24</v>
      </c>
      <c r="D1971" s="12" t="s">
        <v>27</v>
      </c>
      <c r="E1971" s="12" t="s">
        <v>14</v>
      </c>
      <c r="F1971" s="12">
        <v>298</v>
      </c>
      <c r="G1971" s="12">
        <v>67</v>
      </c>
      <c r="H1971" s="12">
        <v>0.42</v>
      </c>
      <c r="I1971" s="12" t="s">
        <v>23</v>
      </c>
      <c r="J1971" s="12">
        <v>11</v>
      </c>
      <c r="K1971" s="12">
        <v>0</v>
      </c>
      <c r="L1971" s="12">
        <v>0</v>
      </c>
      <c r="M1971" s="12">
        <v>0</v>
      </c>
      <c r="N1971" s="12">
        <v>0</v>
      </c>
      <c r="O1971" s="12" t="str">
        <f t="shared" si="30"/>
        <v>10 - 19</v>
      </c>
    </row>
    <row r="1972" spans="1:15" x14ac:dyDescent="0.35">
      <c r="A1972" s="11">
        <v>7788</v>
      </c>
      <c r="B1972" s="11" t="s">
        <v>12</v>
      </c>
      <c r="C1972" s="11">
        <v>38</v>
      </c>
      <c r="D1972" s="11" t="s">
        <v>17</v>
      </c>
      <c r="E1972" s="11" t="s">
        <v>14</v>
      </c>
      <c r="F1972" s="11">
        <v>139</v>
      </c>
      <c r="G1972" s="11">
        <v>81</v>
      </c>
      <c r="H1972" s="11">
        <v>0.09</v>
      </c>
      <c r="I1972" s="11" t="s">
        <v>23</v>
      </c>
      <c r="J1972" s="11">
        <v>30</v>
      </c>
      <c r="K1972" s="11">
        <v>0</v>
      </c>
      <c r="L1972" s="11">
        <v>0</v>
      </c>
      <c r="M1972" s="11">
        <v>0</v>
      </c>
      <c r="N1972" s="11">
        <v>0</v>
      </c>
      <c r="O1972" s="12" t="str">
        <f t="shared" si="30"/>
        <v>30 - 39</v>
      </c>
    </row>
    <row r="1973" spans="1:15" x14ac:dyDescent="0.35">
      <c r="A1973" s="12">
        <v>7789</v>
      </c>
      <c r="B1973" s="12" t="s">
        <v>12</v>
      </c>
      <c r="C1973" s="12">
        <v>28</v>
      </c>
      <c r="D1973" s="12" t="s">
        <v>29</v>
      </c>
      <c r="E1973" s="12" t="s">
        <v>14</v>
      </c>
      <c r="F1973" s="12">
        <v>169</v>
      </c>
      <c r="G1973" s="12">
        <v>32</v>
      </c>
      <c r="H1973" s="12">
        <v>0.52</v>
      </c>
      <c r="I1973" s="12" t="s">
        <v>19</v>
      </c>
      <c r="J1973" s="12">
        <v>28</v>
      </c>
      <c r="K1973" s="12">
        <v>0</v>
      </c>
      <c r="L1973" s="12">
        <v>0</v>
      </c>
      <c r="M1973" s="12">
        <v>0</v>
      </c>
      <c r="N1973" s="12">
        <v>0</v>
      </c>
      <c r="O1973" s="12" t="str">
        <f t="shared" si="30"/>
        <v>20 - 29</v>
      </c>
    </row>
    <row r="1974" spans="1:15" x14ac:dyDescent="0.35">
      <c r="A1974" s="11">
        <v>7798</v>
      </c>
      <c r="B1974" s="11" t="s">
        <v>16</v>
      </c>
      <c r="C1974" s="11">
        <v>35</v>
      </c>
      <c r="D1974" s="11" t="s">
        <v>25</v>
      </c>
      <c r="E1974" s="11" t="s">
        <v>14</v>
      </c>
      <c r="F1974" s="11">
        <v>200</v>
      </c>
      <c r="G1974" s="11">
        <v>82</v>
      </c>
      <c r="H1974" s="11">
        <v>0.03</v>
      </c>
      <c r="I1974" s="11" t="s">
        <v>23</v>
      </c>
      <c r="J1974" s="11">
        <v>37</v>
      </c>
      <c r="K1974" s="11">
        <v>0</v>
      </c>
      <c r="L1974" s="11">
        <v>0</v>
      </c>
      <c r="M1974" s="11">
        <v>0</v>
      </c>
      <c r="N1974" s="11">
        <v>0</v>
      </c>
      <c r="O1974" s="12" t="str">
        <f t="shared" si="30"/>
        <v>30 - 39</v>
      </c>
    </row>
    <row r="1975" spans="1:15" x14ac:dyDescent="0.35">
      <c r="A1975" s="12">
        <v>7811</v>
      </c>
      <c r="B1975" s="12" t="s">
        <v>16</v>
      </c>
      <c r="C1975" s="12">
        <v>44</v>
      </c>
      <c r="D1975" s="12" t="s">
        <v>13</v>
      </c>
      <c r="E1975" s="12" t="s">
        <v>14</v>
      </c>
      <c r="F1975" s="12">
        <v>95</v>
      </c>
      <c r="G1975" s="12">
        <v>74</v>
      </c>
      <c r="H1975" s="12">
        <v>0.24</v>
      </c>
      <c r="I1975" s="12" t="s">
        <v>19</v>
      </c>
      <c r="J1975" s="12">
        <v>23</v>
      </c>
      <c r="K1975" s="12">
        <v>0</v>
      </c>
      <c r="L1975" s="12">
        <v>0</v>
      </c>
      <c r="M1975" s="12">
        <v>0</v>
      </c>
      <c r="N1975" s="12">
        <v>0</v>
      </c>
      <c r="O1975" s="12" t="str">
        <f t="shared" si="30"/>
        <v>20 - 29</v>
      </c>
    </row>
    <row r="1976" spans="1:15" x14ac:dyDescent="0.35">
      <c r="A1976" s="11">
        <v>7812</v>
      </c>
      <c r="B1976" s="11" t="s">
        <v>20</v>
      </c>
      <c r="C1976" s="11">
        <v>58</v>
      </c>
      <c r="D1976" s="11" t="s">
        <v>17</v>
      </c>
      <c r="E1976" s="11" t="s">
        <v>14</v>
      </c>
      <c r="F1976" s="11">
        <v>110</v>
      </c>
      <c r="G1976" s="11">
        <v>11</v>
      </c>
      <c r="H1976" s="11">
        <v>0.43</v>
      </c>
      <c r="I1976" s="11" t="s">
        <v>15</v>
      </c>
      <c r="J1976" s="11">
        <v>6</v>
      </c>
      <c r="K1976" s="11">
        <v>0</v>
      </c>
      <c r="L1976" s="11">
        <v>0</v>
      </c>
      <c r="M1976" s="11">
        <v>0</v>
      </c>
      <c r="N1976" s="11">
        <v>0</v>
      </c>
      <c r="O1976" s="12" t="str">
        <f t="shared" si="30"/>
        <v>0 - 9</v>
      </c>
    </row>
    <row r="1977" spans="1:15" x14ac:dyDescent="0.35">
      <c r="A1977" s="12">
        <v>7813</v>
      </c>
      <c r="B1977" s="12" t="s">
        <v>12</v>
      </c>
      <c r="C1977" s="12">
        <v>44</v>
      </c>
      <c r="D1977" s="12" t="s">
        <v>29</v>
      </c>
      <c r="E1977" s="12" t="s">
        <v>14</v>
      </c>
      <c r="F1977" s="12">
        <v>285</v>
      </c>
      <c r="G1977" s="12">
        <v>95</v>
      </c>
      <c r="H1977" s="12">
        <v>0.12</v>
      </c>
      <c r="I1977" s="12" t="s">
        <v>15</v>
      </c>
      <c r="J1977" s="12">
        <v>9</v>
      </c>
      <c r="K1977" s="12">
        <v>0</v>
      </c>
      <c r="L1977" s="12">
        <v>1</v>
      </c>
      <c r="M1977" s="12">
        <v>0</v>
      </c>
      <c r="N1977" s="12">
        <v>0</v>
      </c>
      <c r="O1977" s="12" t="str">
        <f t="shared" si="30"/>
        <v>0 - 9</v>
      </c>
    </row>
    <row r="1978" spans="1:15" x14ac:dyDescent="0.35">
      <c r="A1978" s="11">
        <v>7814</v>
      </c>
      <c r="B1978" s="11" t="s">
        <v>16</v>
      </c>
      <c r="C1978" s="11">
        <v>30</v>
      </c>
      <c r="D1978" s="11" t="s">
        <v>26</v>
      </c>
      <c r="E1978" s="11" t="s">
        <v>14</v>
      </c>
      <c r="F1978" s="11">
        <v>77</v>
      </c>
      <c r="G1978" s="11">
        <v>92</v>
      </c>
      <c r="H1978" s="11">
        <v>0.52</v>
      </c>
      <c r="I1978" s="11" t="s">
        <v>15</v>
      </c>
      <c r="J1978" s="11">
        <v>19</v>
      </c>
      <c r="K1978" s="11">
        <v>0</v>
      </c>
      <c r="L1978" s="11">
        <v>1</v>
      </c>
      <c r="M1978" s="11">
        <v>0</v>
      </c>
      <c r="N1978" s="11">
        <v>0</v>
      </c>
      <c r="O1978" s="12" t="str">
        <f t="shared" si="30"/>
        <v>10 - 19</v>
      </c>
    </row>
    <row r="1979" spans="1:15" x14ac:dyDescent="0.35">
      <c r="A1979" s="12">
        <v>7821</v>
      </c>
      <c r="B1979" s="12" t="s">
        <v>16</v>
      </c>
      <c r="C1979" s="12">
        <v>42</v>
      </c>
      <c r="D1979" s="12" t="s">
        <v>27</v>
      </c>
      <c r="E1979" s="12" t="s">
        <v>14</v>
      </c>
      <c r="F1979" s="12">
        <v>96</v>
      </c>
      <c r="G1979" s="12">
        <v>5</v>
      </c>
      <c r="H1979" s="12">
        <v>0.08</v>
      </c>
      <c r="I1979" s="12" t="s">
        <v>23</v>
      </c>
      <c r="J1979" s="12">
        <v>21</v>
      </c>
      <c r="K1979" s="12">
        <v>0</v>
      </c>
      <c r="L1979" s="12">
        <v>0</v>
      </c>
      <c r="M1979" s="12">
        <v>0</v>
      </c>
      <c r="N1979" s="12">
        <v>0</v>
      </c>
      <c r="O1979" s="12" t="str">
        <f t="shared" si="30"/>
        <v>20 - 29</v>
      </c>
    </row>
    <row r="1980" spans="1:15" x14ac:dyDescent="0.35">
      <c r="A1980" s="11">
        <v>7826</v>
      </c>
      <c r="B1980" s="11" t="s">
        <v>16</v>
      </c>
      <c r="C1980" s="11">
        <v>44</v>
      </c>
      <c r="D1980" s="11" t="s">
        <v>17</v>
      </c>
      <c r="E1980" s="11" t="s">
        <v>14</v>
      </c>
      <c r="F1980" s="11">
        <v>17</v>
      </c>
      <c r="G1980" s="11">
        <v>73</v>
      </c>
      <c r="H1980" s="11">
        <v>0.04</v>
      </c>
      <c r="I1980" s="11" t="s">
        <v>19</v>
      </c>
      <c r="J1980" s="11">
        <v>34</v>
      </c>
      <c r="K1980" s="11">
        <v>0</v>
      </c>
      <c r="L1980" s="11">
        <v>0</v>
      </c>
      <c r="M1980" s="11">
        <v>0</v>
      </c>
      <c r="N1980" s="11">
        <v>0</v>
      </c>
      <c r="O1980" s="12" t="str">
        <f t="shared" si="30"/>
        <v>30 - 39</v>
      </c>
    </row>
    <row r="1981" spans="1:15" x14ac:dyDescent="0.35">
      <c r="A1981" s="12">
        <v>7829</v>
      </c>
      <c r="B1981" s="12" t="s">
        <v>16</v>
      </c>
      <c r="C1981" s="12">
        <v>34</v>
      </c>
      <c r="D1981" s="12" t="s">
        <v>29</v>
      </c>
      <c r="E1981" s="12" t="s">
        <v>14</v>
      </c>
      <c r="F1981" s="12">
        <v>209</v>
      </c>
      <c r="G1981" s="12">
        <v>59</v>
      </c>
      <c r="H1981" s="12">
        <v>0.06</v>
      </c>
      <c r="I1981" s="12" t="s">
        <v>15</v>
      </c>
      <c r="J1981" s="12">
        <v>28</v>
      </c>
      <c r="K1981" s="12">
        <v>0</v>
      </c>
      <c r="L1981" s="12">
        <v>0</v>
      </c>
      <c r="M1981" s="12">
        <v>0</v>
      </c>
      <c r="N1981" s="12">
        <v>0</v>
      </c>
      <c r="O1981" s="12" t="str">
        <f t="shared" si="30"/>
        <v>20 - 29</v>
      </c>
    </row>
    <row r="1982" spans="1:15" x14ac:dyDescent="0.35">
      <c r="A1982" s="11">
        <v>7832</v>
      </c>
      <c r="B1982" s="11" t="s">
        <v>12</v>
      </c>
      <c r="C1982" s="11">
        <v>19</v>
      </c>
      <c r="D1982" s="11" t="s">
        <v>27</v>
      </c>
      <c r="E1982" s="11" t="s">
        <v>14</v>
      </c>
      <c r="F1982" s="11">
        <v>222</v>
      </c>
      <c r="G1982" s="11">
        <v>1</v>
      </c>
      <c r="H1982" s="11">
        <v>0.57999999999999996</v>
      </c>
      <c r="I1982" s="11" t="s">
        <v>19</v>
      </c>
      <c r="J1982" s="11">
        <v>45</v>
      </c>
      <c r="K1982" s="11">
        <v>0</v>
      </c>
      <c r="L1982" s="11">
        <v>0</v>
      </c>
      <c r="M1982" s="11">
        <v>0</v>
      </c>
      <c r="N1982" s="11">
        <v>0</v>
      </c>
      <c r="O1982" s="12" t="str">
        <f t="shared" si="30"/>
        <v>40 - 49</v>
      </c>
    </row>
    <row r="1983" spans="1:15" x14ac:dyDescent="0.35">
      <c r="A1983" s="12">
        <v>7833</v>
      </c>
      <c r="B1983" s="12" t="s">
        <v>12</v>
      </c>
      <c r="C1983" s="12">
        <v>59</v>
      </c>
      <c r="D1983" s="12" t="s">
        <v>27</v>
      </c>
      <c r="E1983" s="12" t="s">
        <v>14</v>
      </c>
      <c r="F1983" s="12">
        <v>147</v>
      </c>
      <c r="G1983" s="12">
        <v>2</v>
      </c>
      <c r="H1983" s="12">
        <v>0.23</v>
      </c>
      <c r="I1983" s="12" t="s">
        <v>15</v>
      </c>
      <c r="J1983" s="12">
        <v>47</v>
      </c>
      <c r="K1983" s="12">
        <v>0</v>
      </c>
      <c r="L1983" s="12">
        <v>0</v>
      </c>
      <c r="M1983" s="12">
        <v>0</v>
      </c>
      <c r="N1983" s="12">
        <v>0</v>
      </c>
      <c r="O1983" s="12" t="str">
        <f t="shared" si="30"/>
        <v>40 - 49</v>
      </c>
    </row>
    <row r="1984" spans="1:15" x14ac:dyDescent="0.35">
      <c r="A1984" s="11">
        <v>7834</v>
      </c>
      <c r="B1984" s="11" t="s">
        <v>12</v>
      </c>
      <c r="C1984" s="11">
        <v>23</v>
      </c>
      <c r="D1984" s="11" t="s">
        <v>28</v>
      </c>
      <c r="E1984" s="11" t="s">
        <v>14</v>
      </c>
      <c r="F1984" s="11">
        <v>246</v>
      </c>
      <c r="G1984" s="11">
        <v>2</v>
      </c>
      <c r="H1984" s="11">
        <v>0.4</v>
      </c>
      <c r="I1984" s="11" t="s">
        <v>23</v>
      </c>
      <c r="J1984" s="11">
        <v>14</v>
      </c>
      <c r="K1984" s="11">
        <v>0</v>
      </c>
      <c r="L1984" s="11">
        <v>1</v>
      </c>
      <c r="M1984" s="11">
        <v>0</v>
      </c>
      <c r="N1984" s="11">
        <v>0</v>
      </c>
      <c r="O1984" s="12" t="str">
        <f t="shared" si="30"/>
        <v>10 - 19</v>
      </c>
    </row>
    <row r="1985" spans="1:15" x14ac:dyDescent="0.35">
      <c r="A1985" s="12">
        <v>7836</v>
      </c>
      <c r="B1985" s="12" t="s">
        <v>12</v>
      </c>
      <c r="C1985" s="12">
        <v>18</v>
      </c>
      <c r="D1985" s="12" t="s">
        <v>28</v>
      </c>
      <c r="E1985" s="12" t="s">
        <v>14</v>
      </c>
      <c r="F1985" s="12">
        <v>117</v>
      </c>
      <c r="G1985" s="12">
        <v>2</v>
      </c>
      <c r="H1985" s="12">
        <v>0.08</v>
      </c>
      <c r="I1985" s="12" t="s">
        <v>15</v>
      </c>
      <c r="J1985" s="12">
        <v>29</v>
      </c>
      <c r="K1985" s="12">
        <v>0</v>
      </c>
      <c r="L1985" s="12">
        <v>0</v>
      </c>
      <c r="M1985" s="12">
        <v>0</v>
      </c>
      <c r="N1985" s="12">
        <v>0</v>
      </c>
      <c r="O1985" s="12" t="str">
        <f t="shared" si="30"/>
        <v>20 - 29</v>
      </c>
    </row>
    <row r="1986" spans="1:15" x14ac:dyDescent="0.35">
      <c r="A1986" s="11">
        <v>7846</v>
      </c>
      <c r="B1986" s="11" t="s">
        <v>20</v>
      </c>
      <c r="C1986" s="11">
        <v>28</v>
      </c>
      <c r="D1986" s="11" t="s">
        <v>29</v>
      </c>
      <c r="E1986" s="11" t="s">
        <v>14</v>
      </c>
      <c r="F1986" s="11">
        <v>70</v>
      </c>
      <c r="G1986" s="11">
        <v>25</v>
      </c>
      <c r="H1986" s="11">
        <v>0.12</v>
      </c>
      <c r="I1986" s="11" t="s">
        <v>15</v>
      </c>
      <c r="J1986" s="11">
        <v>38</v>
      </c>
      <c r="K1986" s="11">
        <v>0</v>
      </c>
      <c r="L1986" s="11">
        <v>1</v>
      </c>
      <c r="M1986" s="11">
        <v>0</v>
      </c>
      <c r="N1986" s="11">
        <v>0</v>
      </c>
      <c r="O1986" s="12" t="str">
        <f t="shared" ref="O1986:O2019" si="31">_xlfn.FLOOR.MATH(J1986, 10) &amp; " - " &amp; (_xlfn.FLOOR.MATH(J1986, 10) + 9)</f>
        <v>30 - 39</v>
      </c>
    </row>
    <row r="1987" spans="1:15" x14ac:dyDescent="0.35">
      <c r="A1987" s="12">
        <v>7847</v>
      </c>
      <c r="B1987" s="12" t="s">
        <v>12</v>
      </c>
      <c r="C1987" s="12">
        <v>36</v>
      </c>
      <c r="D1987" s="12" t="s">
        <v>26</v>
      </c>
      <c r="E1987" s="12" t="s">
        <v>14</v>
      </c>
      <c r="F1987" s="12">
        <v>48</v>
      </c>
      <c r="G1987" s="12">
        <v>74</v>
      </c>
      <c r="H1987" s="12">
        <v>0.48</v>
      </c>
      <c r="I1987" s="12" t="s">
        <v>23</v>
      </c>
      <c r="J1987" s="12">
        <v>10</v>
      </c>
      <c r="K1987" s="12">
        <v>0</v>
      </c>
      <c r="L1987" s="12">
        <v>0</v>
      </c>
      <c r="M1987" s="12">
        <v>0</v>
      </c>
      <c r="N1987" s="12">
        <v>0</v>
      </c>
      <c r="O1987" s="12" t="str">
        <f t="shared" si="31"/>
        <v>10 - 19</v>
      </c>
    </row>
    <row r="1988" spans="1:15" x14ac:dyDescent="0.35">
      <c r="A1988" s="11">
        <v>7851</v>
      </c>
      <c r="B1988" s="11" t="s">
        <v>20</v>
      </c>
      <c r="C1988" s="11">
        <v>22</v>
      </c>
      <c r="D1988" s="11" t="s">
        <v>29</v>
      </c>
      <c r="E1988" s="11" t="s">
        <v>14</v>
      </c>
      <c r="F1988" s="11">
        <v>59</v>
      </c>
      <c r="G1988" s="11">
        <v>78</v>
      </c>
      <c r="H1988" s="11">
        <v>0.57999999999999996</v>
      </c>
      <c r="I1988" s="11" t="s">
        <v>23</v>
      </c>
      <c r="J1988" s="11">
        <v>45</v>
      </c>
      <c r="K1988" s="11">
        <v>0</v>
      </c>
      <c r="L1988" s="11">
        <v>0</v>
      </c>
      <c r="M1988" s="11">
        <v>0</v>
      </c>
      <c r="N1988" s="11">
        <v>0</v>
      </c>
      <c r="O1988" s="12" t="str">
        <f t="shared" si="31"/>
        <v>40 - 49</v>
      </c>
    </row>
    <row r="1989" spans="1:15" x14ac:dyDescent="0.35">
      <c r="A1989" s="12">
        <v>7852</v>
      </c>
      <c r="B1989" s="12" t="s">
        <v>12</v>
      </c>
      <c r="C1989" s="12">
        <v>27</v>
      </c>
      <c r="D1989" s="12" t="s">
        <v>27</v>
      </c>
      <c r="E1989" s="12" t="s">
        <v>14</v>
      </c>
      <c r="F1989" s="12">
        <v>194</v>
      </c>
      <c r="G1989" s="12">
        <v>27</v>
      </c>
      <c r="H1989" s="12">
        <v>0.52</v>
      </c>
      <c r="I1989" s="12" t="s">
        <v>23</v>
      </c>
      <c r="J1989" s="12">
        <v>43</v>
      </c>
      <c r="K1989" s="12">
        <v>0</v>
      </c>
      <c r="L1989" s="12">
        <v>1</v>
      </c>
      <c r="M1989" s="12">
        <v>0</v>
      </c>
      <c r="N1989" s="12">
        <v>0</v>
      </c>
      <c r="O1989" s="12" t="str">
        <f t="shared" si="31"/>
        <v>40 - 49</v>
      </c>
    </row>
    <row r="1990" spans="1:15" x14ac:dyDescent="0.35">
      <c r="A1990" s="11">
        <v>7854</v>
      </c>
      <c r="B1990" s="11" t="s">
        <v>12</v>
      </c>
      <c r="C1990" s="11">
        <v>42</v>
      </c>
      <c r="D1990" s="11" t="s">
        <v>17</v>
      </c>
      <c r="E1990" s="11" t="s">
        <v>14</v>
      </c>
      <c r="F1990" s="11">
        <v>223</v>
      </c>
      <c r="G1990" s="11">
        <v>88</v>
      </c>
      <c r="H1990" s="11">
        <v>0.59</v>
      </c>
      <c r="I1990" s="11" t="s">
        <v>15</v>
      </c>
      <c r="J1990" s="11">
        <v>21</v>
      </c>
      <c r="K1990" s="11">
        <v>0</v>
      </c>
      <c r="L1990" s="11">
        <v>0</v>
      </c>
      <c r="M1990" s="11">
        <v>0</v>
      </c>
      <c r="N1990" s="11">
        <v>0</v>
      </c>
      <c r="O1990" s="12" t="str">
        <f t="shared" si="31"/>
        <v>20 - 29</v>
      </c>
    </row>
    <row r="1991" spans="1:15" x14ac:dyDescent="0.35">
      <c r="A1991" s="12">
        <v>7856</v>
      </c>
      <c r="B1991" s="12" t="s">
        <v>12</v>
      </c>
      <c r="C1991" s="12">
        <v>47</v>
      </c>
      <c r="D1991" s="12" t="s">
        <v>27</v>
      </c>
      <c r="E1991" s="12" t="s">
        <v>14</v>
      </c>
      <c r="F1991" s="12">
        <v>104</v>
      </c>
      <c r="G1991" s="12">
        <v>29</v>
      </c>
      <c r="H1991" s="12">
        <v>0.55000000000000004</v>
      </c>
      <c r="I1991" s="12" t="s">
        <v>23</v>
      </c>
      <c r="J1991" s="12">
        <v>32</v>
      </c>
      <c r="K1991" s="12">
        <v>0</v>
      </c>
      <c r="L1991" s="12">
        <v>1</v>
      </c>
      <c r="M1991" s="12">
        <v>0</v>
      </c>
      <c r="N1991" s="12">
        <v>0</v>
      </c>
      <c r="O1991" s="12" t="str">
        <f t="shared" si="31"/>
        <v>30 - 39</v>
      </c>
    </row>
    <row r="1992" spans="1:15" x14ac:dyDescent="0.35">
      <c r="A1992" s="11">
        <v>7857</v>
      </c>
      <c r="B1992" s="11" t="s">
        <v>12</v>
      </c>
      <c r="C1992" s="11">
        <v>41</v>
      </c>
      <c r="D1992" s="11" t="s">
        <v>13</v>
      </c>
      <c r="E1992" s="11" t="s">
        <v>14</v>
      </c>
      <c r="F1992" s="11">
        <v>41</v>
      </c>
      <c r="G1992" s="11">
        <v>77</v>
      </c>
      <c r="H1992" s="11">
        <v>0.04</v>
      </c>
      <c r="I1992" s="11" t="s">
        <v>15</v>
      </c>
      <c r="J1992" s="11">
        <v>24</v>
      </c>
      <c r="K1992" s="11">
        <v>0</v>
      </c>
      <c r="L1992" s="11">
        <v>1</v>
      </c>
      <c r="M1992" s="11">
        <v>0</v>
      </c>
      <c r="N1992" s="11">
        <v>0</v>
      </c>
      <c r="O1992" s="12" t="str">
        <f t="shared" si="31"/>
        <v>20 - 29</v>
      </c>
    </row>
    <row r="1993" spans="1:15" x14ac:dyDescent="0.35">
      <c r="A1993" s="12">
        <v>7863</v>
      </c>
      <c r="B1993" s="12" t="s">
        <v>16</v>
      </c>
      <c r="C1993" s="12">
        <v>42</v>
      </c>
      <c r="D1993" s="12" t="s">
        <v>27</v>
      </c>
      <c r="E1993" s="12" t="s">
        <v>14</v>
      </c>
      <c r="F1993" s="12">
        <v>211</v>
      </c>
      <c r="G1993" s="12">
        <v>36</v>
      </c>
      <c r="H1993" s="12">
        <v>0.4</v>
      </c>
      <c r="I1993" s="12" t="s">
        <v>15</v>
      </c>
      <c r="J1993" s="12">
        <v>34</v>
      </c>
      <c r="K1993" s="12">
        <v>0</v>
      </c>
      <c r="L1993" s="12">
        <v>0</v>
      </c>
      <c r="M1993" s="12">
        <v>0</v>
      </c>
      <c r="N1993" s="12">
        <v>0</v>
      </c>
      <c r="O1993" s="12" t="str">
        <f t="shared" si="31"/>
        <v>30 - 39</v>
      </c>
    </row>
    <row r="1994" spans="1:15" x14ac:dyDescent="0.35">
      <c r="A1994" s="11">
        <v>7870</v>
      </c>
      <c r="B1994" s="11" t="s">
        <v>20</v>
      </c>
      <c r="C1994" s="11">
        <v>59</v>
      </c>
      <c r="D1994" s="11" t="s">
        <v>17</v>
      </c>
      <c r="E1994" s="11" t="s">
        <v>14</v>
      </c>
      <c r="F1994" s="11">
        <v>269</v>
      </c>
      <c r="G1994" s="11">
        <v>43</v>
      </c>
      <c r="H1994" s="11">
        <v>0.09</v>
      </c>
      <c r="I1994" s="11" t="s">
        <v>23</v>
      </c>
      <c r="J1994" s="11">
        <v>37</v>
      </c>
      <c r="K1994" s="11">
        <v>0</v>
      </c>
      <c r="L1994" s="11">
        <v>0</v>
      </c>
      <c r="M1994" s="11">
        <v>0</v>
      </c>
      <c r="N1994" s="11">
        <v>0</v>
      </c>
      <c r="O1994" s="12" t="str">
        <f t="shared" si="31"/>
        <v>30 - 39</v>
      </c>
    </row>
    <row r="1995" spans="1:15" x14ac:dyDescent="0.35">
      <c r="A1995" s="12">
        <v>7871</v>
      </c>
      <c r="B1995" s="12" t="s">
        <v>16</v>
      </c>
      <c r="C1995" s="12">
        <v>36</v>
      </c>
      <c r="D1995" s="12" t="s">
        <v>17</v>
      </c>
      <c r="E1995" s="12" t="s">
        <v>14</v>
      </c>
      <c r="F1995" s="12">
        <v>135</v>
      </c>
      <c r="G1995" s="12">
        <v>79</v>
      </c>
      <c r="H1995" s="12">
        <v>0.53</v>
      </c>
      <c r="I1995" s="12" t="s">
        <v>23</v>
      </c>
      <c r="J1995" s="12">
        <v>25</v>
      </c>
      <c r="K1995" s="12">
        <v>0</v>
      </c>
      <c r="L1995" s="12">
        <v>0</v>
      </c>
      <c r="M1995" s="12">
        <v>0</v>
      </c>
      <c r="N1995" s="12">
        <v>0</v>
      </c>
      <c r="O1995" s="12" t="str">
        <f t="shared" si="31"/>
        <v>20 - 29</v>
      </c>
    </row>
    <row r="1996" spans="1:15" x14ac:dyDescent="0.35">
      <c r="A1996" s="11">
        <v>7882</v>
      </c>
      <c r="B1996" s="11" t="s">
        <v>16</v>
      </c>
      <c r="C1996" s="11">
        <v>50</v>
      </c>
      <c r="D1996" s="11" t="s">
        <v>28</v>
      </c>
      <c r="E1996" s="11" t="s">
        <v>14</v>
      </c>
      <c r="F1996" s="11">
        <v>216</v>
      </c>
      <c r="G1996" s="11">
        <v>6</v>
      </c>
      <c r="H1996" s="11">
        <v>0.39</v>
      </c>
      <c r="I1996" s="11" t="s">
        <v>19</v>
      </c>
      <c r="J1996" s="11">
        <v>8</v>
      </c>
      <c r="K1996" s="11">
        <v>0</v>
      </c>
      <c r="L1996" s="11">
        <v>0</v>
      </c>
      <c r="M1996" s="11">
        <v>0</v>
      </c>
      <c r="N1996" s="11">
        <v>0</v>
      </c>
      <c r="O1996" s="12" t="str">
        <f t="shared" si="31"/>
        <v>0 - 9</v>
      </c>
    </row>
    <row r="1997" spans="1:15" x14ac:dyDescent="0.35">
      <c r="A1997" s="12">
        <v>7887</v>
      </c>
      <c r="B1997" s="12" t="s">
        <v>20</v>
      </c>
      <c r="C1997" s="12">
        <v>37</v>
      </c>
      <c r="D1997" s="12" t="s">
        <v>29</v>
      </c>
      <c r="E1997" s="12" t="s">
        <v>14</v>
      </c>
      <c r="F1997" s="12">
        <v>220</v>
      </c>
      <c r="G1997" s="12">
        <v>91</v>
      </c>
      <c r="H1997" s="12">
        <v>0.56000000000000005</v>
      </c>
      <c r="I1997" s="12" t="s">
        <v>23</v>
      </c>
      <c r="J1997" s="12">
        <v>47</v>
      </c>
      <c r="K1997" s="12">
        <v>0</v>
      </c>
      <c r="L1997" s="12">
        <v>1</v>
      </c>
      <c r="M1997" s="12">
        <v>0</v>
      </c>
      <c r="N1997" s="12">
        <v>0</v>
      </c>
      <c r="O1997" s="12" t="str">
        <f t="shared" si="31"/>
        <v>40 - 49</v>
      </c>
    </row>
    <row r="1998" spans="1:15" x14ac:dyDescent="0.35">
      <c r="A1998" s="11">
        <v>7889</v>
      </c>
      <c r="B1998" s="11" t="s">
        <v>12</v>
      </c>
      <c r="C1998" s="11">
        <v>46</v>
      </c>
      <c r="D1998" s="11" t="s">
        <v>21</v>
      </c>
      <c r="E1998" s="11" t="s">
        <v>14</v>
      </c>
      <c r="F1998" s="11">
        <v>105</v>
      </c>
      <c r="G1998" s="11">
        <v>21</v>
      </c>
      <c r="H1998" s="11">
        <v>0.32</v>
      </c>
      <c r="I1998" s="11" t="s">
        <v>15</v>
      </c>
      <c r="J1998" s="11">
        <v>11</v>
      </c>
      <c r="K1998" s="11">
        <v>0</v>
      </c>
      <c r="L1998" s="11">
        <v>0</v>
      </c>
      <c r="M1998" s="11">
        <v>0</v>
      </c>
      <c r="N1998" s="11">
        <v>0</v>
      </c>
      <c r="O1998" s="12" t="str">
        <f t="shared" si="31"/>
        <v>10 - 19</v>
      </c>
    </row>
    <row r="1999" spans="1:15" x14ac:dyDescent="0.35">
      <c r="A1999" s="12">
        <v>7891</v>
      </c>
      <c r="B1999" s="12" t="s">
        <v>16</v>
      </c>
      <c r="C1999" s="12">
        <v>59</v>
      </c>
      <c r="D1999" s="12" t="s">
        <v>28</v>
      </c>
      <c r="E1999" s="12" t="s">
        <v>14</v>
      </c>
      <c r="F1999" s="12">
        <v>22</v>
      </c>
      <c r="G1999" s="12">
        <v>48</v>
      </c>
      <c r="H1999" s="12">
        <v>0.05</v>
      </c>
      <c r="I1999" s="12" t="s">
        <v>23</v>
      </c>
      <c r="J1999" s="12">
        <v>17</v>
      </c>
      <c r="K1999" s="12">
        <v>0</v>
      </c>
      <c r="L1999" s="12">
        <v>0</v>
      </c>
      <c r="M1999" s="12">
        <v>0</v>
      </c>
      <c r="N1999" s="12">
        <v>0</v>
      </c>
      <c r="O1999" s="12" t="str">
        <f t="shared" si="31"/>
        <v>10 - 19</v>
      </c>
    </row>
    <row r="2000" spans="1:15" x14ac:dyDescent="0.35">
      <c r="A2000" s="11">
        <v>7893</v>
      </c>
      <c r="B2000" s="11" t="s">
        <v>12</v>
      </c>
      <c r="C2000" s="11">
        <v>41</v>
      </c>
      <c r="D2000" s="11" t="s">
        <v>27</v>
      </c>
      <c r="E2000" s="11" t="s">
        <v>14</v>
      </c>
      <c r="F2000" s="11">
        <v>277</v>
      </c>
      <c r="G2000" s="11">
        <v>79</v>
      </c>
      <c r="H2000" s="11">
        <v>0.25</v>
      </c>
      <c r="I2000" s="11" t="s">
        <v>23</v>
      </c>
      <c r="J2000" s="11">
        <v>14</v>
      </c>
      <c r="K2000" s="11">
        <v>0</v>
      </c>
      <c r="L2000" s="11">
        <v>0</v>
      </c>
      <c r="M2000" s="11">
        <v>0</v>
      </c>
      <c r="N2000" s="11">
        <v>0</v>
      </c>
      <c r="O2000" s="12" t="str">
        <f t="shared" si="31"/>
        <v>10 - 19</v>
      </c>
    </row>
    <row r="2001" spans="1:15" x14ac:dyDescent="0.35">
      <c r="A2001" s="12">
        <v>7895</v>
      </c>
      <c r="B2001" s="12" t="s">
        <v>12</v>
      </c>
      <c r="C2001" s="12">
        <v>34</v>
      </c>
      <c r="D2001" s="12" t="s">
        <v>21</v>
      </c>
      <c r="E2001" s="12" t="s">
        <v>14</v>
      </c>
      <c r="F2001" s="12">
        <v>56</v>
      </c>
      <c r="G2001" s="12">
        <v>51</v>
      </c>
      <c r="H2001" s="12">
        <v>0.21</v>
      </c>
      <c r="I2001" s="12" t="s">
        <v>19</v>
      </c>
      <c r="J2001" s="12">
        <v>37</v>
      </c>
      <c r="K2001" s="12">
        <v>0</v>
      </c>
      <c r="L2001" s="12">
        <v>0</v>
      </c>
      <c r="M2001" s="12">
        <v>0</v>
      </c>
      <c r="N2001" s="12">
        <v>0</v>
      </c>
      <c r="O2001" s="12" t="str">
        <f t="shared" si="31"/>
        <v>30 - 39</v>
      </c>
    </row>
    <row r="2002" spans="1:15" x14ac:dyDescent="0.35">
      <c r="A2002" s="11">
        <v>7896</v>
      </c>
      <c r="B2002" s="11" t="s">
        <v>20</v>
      </c>
      <c r="C2002" s="11">
        <v>58</v>
      </c>
      <c r="D2002" s="11" t="s">
        <v>21</v>
      </c>
      <c r="E2002" s="11" t="s">
        <v>14</v>
      </c>
      <c r="F2002" s="11">
        <v>229</v>
      </c>
      <c r="G2002" s="11">
        <v>28</v>
      </c>
      <c r="H2002" s="11">
        <v>0.57999999999999996</v>
      </c>
      <c r="I2002" s="11" t="s">
        <v>23</v>
      </c>
      <c r="J2002" s="11">
        <v>11</v>
      </c>
      <c r="K2002" s="11">
        <v>0</v>
      </c>
      <c r="L2002" s="11">
        <v>0</v>
      </c>
      <c r="M2002" s="11">
        <v>0</v>
      </c>
      <c r="N2002" s="11">
        <v>0</v>
      </c>
      <c r="O2002" s="12" t="str">
        <f t="shared" si="31"/>
        <v>10 - 19</v>
      </c>
    </row>
    <row r="2003" spans="1:15" x14ac:dyDescent="0.35">
      <c r="A2003" s="12">
        <v>7902</v>
      </c>
      <c r="B2003" s="12" t="s">
        <v>12</v>
      </c>
      <c r="C2003" s="12">
        <v>24</v>
      </c>
      <c r="D2003" s="12" t="s">
        <v>28</v>
      </c>
      <c r="E2003" s="12" t="s">
        <v>14</v>
      </c>
      <c r="F2003" s="12">
        <v>86</v>
      </c>
      <c r="G2003" s="12">
        <v>23</v>
      </c>
      <c r="H2003" s="12">
        <v>0.28000000000000003</v>
      </c>
      <c r="I2003" s="12" t="s">
        <v>15</v>
      </c>
      <c r="J2003" s="12">
        <v>28</v>
      </c>
      <c r="K2003" s="12">
        <v>0</v>
      </c>
      <c r="L2003" s="12">
        <v>1</v>
      </c>
      <c r="M2003" s="12">
        <v>0</v>
      </c>
      <c r="N2003" s="12">
        <v>0</v>
      </c>
      <c r="O2003" s="12" t="str">
        <f t="shared" si="31"/>
        <v>20 - 29</v>
      </c>
    </row>
    <row r="2004" spans="1:15" x14ac:dyDescent="0.35">
      <c r="A2004" s="11">
        <v>7908</v>
      </c>
      <c r="B2004" s="11" t="s">
        <v>20</v>
      </c>
      <c r="C2004" s="11">
        <v>30</v>
      </c>
      <c r="D2004" s="11" t="s">
        <v>29</v>
      </c>
      <c r="E2004" s="11" t="s">
        <v>14</v>
      </c>
      <c r="F2004" s="11">
        <v>228</v>
      </c>
      <c r="G2004" s="11">
        <v>94</v>
      </c>
      <c r="H2004" s="11">
        <v>0.35</v>
      </c>
      <c r="I2004" s="11" t="s">
        <v>15</v>
      </c>
      <c r="J2004" s="11">
        <v>12</v>
      </c>
      <c r="K2004" s="11">
        <v>0</v>
      </c>
      <c r="L2004" s="11">
        <v>0</v>
      </c>
      <c r="M2004" s="11">
        <v>0</v>
      </c>
      <c r="N2004" s="11">
        <v>0</v>
      </c>
      <c r="O2004" s="12" t="str">
        <f t="shared" si="31"/>
        <v>10 - 19</v>
      </c>
    </row>
    <row r="2005" spans="1:15" x14ac:dyDescent="0.35">
      <c r="A2005" s="12">
        <v>7909</v>
      </c>
      <c r="B2005" s="12" t="s">
        <v>12</v>
      </c>
      <c r="C2005" s="12">
        <v>36</v>
      </c>
      <c r="D2005" s="12" t="s">
        <v>26</v>
      </c>
      <c r="E2005" s="12" t="s">
        <v>14</v>
      </c>
      <c r="F2005" s="12">
        <v>288</v>
      </c>
      <c r="G2005" s="12">
        <v>60</v>
      </c>
      <c r="H2005" s="12">
        <v>0.38</v>
      </c>
      <c r="I2005" s="12" t="s">
        <v>19</v>
      </c>
      <c r="J2005" s="12">
        <v>17</v>
      </c>
      <c r="K2005" s="12">
        <v>0</v>
      </c>
      <c r="L2005" s="12">
        <v>0</v>
      </c>
      <c r="M2005" s="12">
        <v>0</v>
      </c>
      <c r="N2005" s="12">
        <v>0</v>
      </c>
      <c r="O2005" s="12" t="str">
        <f t="shared" si="31"/>
        <v>10 - 19</v>
      </c>
    </row>
    <row r="2006" spans="1:15" x14ac:dyDescent="0.35">
      <c r="A2006" s="11">
        <v>7924</v>
      </c>
      <c r="B2006" s="11" t="s">
        <v>20</v>
      </c>
      <c r="C2006" s="11">
        <v>50</v>
      </c>
      <c r="D2006" s="11" t="s">
        <v>17</v>
      </c>
      <c r="E2006" s="11" t="s">
        <v>14</v>
      </c>
      <c r="F2006" s="11">
        <v>29</v>
      </c>
      <c r="G2006" s="11">
        <v>25</v>
      </c>
      <c r="H2006" s="11">
        <v>0.3</v>
      </c>
      <c r="I2006" s="11" t="s">
        <v>15</v>
      </c>
      <c r="J2006" s="11">
        <v>38</v>
      </c>
      <c r="K2006" s="11">
        <v>0</v>
      </c>
      <c r="L2006" s="11">
        <v>0</v>
      </c>
      <c r="M2006" s="11">
        <v>0</v>
      </c>
      <c r="N2006" s="11">
        <v>0</v>
      </c>
      <c r="O2006" s="12" t="str">
        <f t="shared" si="31"/>
        <v>30 - 39</v>
      </c>
    </row>
    <row r="2007" spans="1:15" x14ac:dyDescent="0.35">
      <c r="A2007" s="12">
        <v>7927</v>
      </c>
      <c r="B2007" s="12" t="s">
        <v>20</v>
      </c>
      <c r="C2007" s="12">
        <v>57</v>
      </c>
      <c r="D2007" s="12" t="s">
        <v>29</v>
      </c>
      <c r="E2007" s="12" t="s">
        <v>14</v>
      </c>
      <c r="F2007" s="12">
        <v>85</v>
      </c>
      <c r="G2007" s="12">
        <v>44</v>
      </c>
      <c r="H2007" s="12">
        <v>0.31</v>
      </c>
      <c r="I2007" s="12" t="s">
        <v>23</v>
      </c>
      <c r="J2007" s="12">
        <v>38</v>
      </c>
      <c r="K2007" s="12">
        <v>0</v>
      </c>
      <c r="L2007" s="12">
        <v>0</v>
      </c>
      <c r="M2007" s="12">
        <v>0</v>
      </c>
      <c r="N2007" s="12">
        <v>0</v>
      </c>
      <c r="O2007" s="12" t="str">
        <f t="shared" si="31"/>
        <v>30 - 39</v>
      </c>
    </row>
    <row r="2008" spans="1:15" x14ac:dyDescent="0.35">
      <c r="A2008" s="11">
        <v>7937</v>
      </c>
      <c r="B2008" s="11" t="s">
        <v>16</v>
      </c>
      <c r="C2008" s="11">
        <v>34</v>
      </c>
      <c r="D2008" s="11" t="s">
        <v>29</v>
      </c>
      <c r="E2008" s="11" t="s">
        <v>14</v>
      </c>
      <c r="F2008" s="11">
        <v>18</v>
      </c>
      <c r="G2008" s="11">
        <v>69</v>
      </c>
      <c r="H2008" s="11">
        <v>0.11</v>
      </c>
      <c r="I2008" s="11" t="s">
        <v>23</v>
      </c>
      <c r="J2008" s="11">
        <v>26</v>
      </c>
      <c r="K2008" s="11">
        <v>0</v>
      </c>
      <c r="L2008" s="11">
        <v>1</v>
      </c>
      <c r="M2008" s="11">
        <v>0</v>
      </c>
      <c r="N2008" s="11">
        <v>0</v>
      </c>
      <c r="O2008" s="12" t="str">
        <f t="shared" si="31"/>
        <v>20 - 29</v>
      </c>
    </row>
    <row r="2009" spans="1:15" x14ac:dyDescent="0.35">
      <c r="A2009" s="12">
        <v>7939</v>
      </c>
      <c r="B2009" s="12" t="s">
        <v>20</v>
      </c>
      <c r="C2009" s="12">
        <v>47</v>
      </c>
      <c r="D2009" s="12" t="s">
        <v>27</v>
      </c>
      <c r="E2009" s="12" t="s">
        <v>14</v>
      </c>
      <c r="F2009" s="12">
        <v>257</v>
      </c>
      <c r="G2009" s="12">
        <v>11</v>
      </c>
      <c r="H2009" s="12">
        <v>0.47</v>
      </c>
      <c r="I2009" s="12" t="s">
        <v>15</v>
      </c>
      <c r="J2009" s="12">
        <v>10</v>
      </c>
      <c r="K2009" s="12">
        <v>0</v>
      </c>
      <c r="L2009" s="12">
        <v>1</v>
      </c>
      <c r="M2009" s="12">
        <v>0</v>
      </c>
      <c r="N2009" s="12">
        <v>0</v>
      </c>
      <c r="O2009" s="12" t="str">
        <f t="shared" si="31"/>
        <v>10 - 19</v>
      </c>
    </row>
    <row r="2010" spans="1:15" x14ac:dyDescent="0.35">
      <c r="A2010" s="11">
        <v>7960</v>
      </c>
      <c r="B2010" s="11" t="s">
        <v>16</v>
      </c>
      <c r="C2010" s="11">
        <v>53</v>
      </c>
      <c r="D2010" s="11" t="s">
        <v>26</v>
      </c>
      <c r="E2010" s="11" t="s">
        <v>14</v>
      </c>
      <c r="F2010" s="11">
        <v>197</v>
      </c>
      <c r="G2010" s="11">
        <v>21</v>
      </c>
      <c r="H2010" s="11">
        <v>0.09</v>
      </c>
      <c r="I2010" s="11" t="s">
        <v>23</v>
      </c>
      <c r="J2010" s="11">
        <v>45</v>
      </c>
      <c r="K2010" s="11">
        <v>0</v>
      </c>
      <c r="L2010" s="11">
        <v>0</v>
      </c>
      <c r="M2010" s="11">
        <v>0</v>
      </c>
      <c r="N2010" s="11">
        <v>0</v>
      </c>
      <c r="O2010" s="12" t="str">
        <f t="shared" si="31"/>
        <v>40 - 49</v>
      </c>
    </row>
    <row r="2011" spans="1:15" x14ac:dyDescent="0.35">
      <c r="A2011" s="12">
        <v>7970</v>
      </c>
      <c r="B2011" s="12" t="s">
        <v>12</v>
      </c>
      <c r="C2011" s="12">
        <v>54</v>
      </c>
      <c r="D2011" s="12" t="s">
        <v>27</v>
      </c>
      <c r="E2011" s="12" t="s">
        <v>14</v>
      </c>
      <c r="F2011" s="12">
        <v>297</v>
      </c>
      <c r="G2011" s="12">
        <v>79</v>
      </c>
      <c r="H2011" s="12">
        <v>0.14000000000000001</v>
      </c>
      <c r="I2011" s="12" t="s">
        <v>23</v>
      </c>
      <c r="J2011" s="12">
        <v>46</v>
      </c>
      <c r="K2011" s="12">
        <v>0</v>
      </c>
      <c r="L2011" s="12">
        <v>0</v>
      </c>
      <c r="M2011" s="12">
        <v>0</v>
      </c>
      <c r="N2011" s="12">
        <v>0</v>
      </c>
      <c r="O2011" s="12" t="str">
        <f t="shared" si="31"/>
        <v>40 - 49</v>
      </c>
    </row>
    <row r="2012" spans="1:15" x14ac:dyDescent="0.35">
      <c r="A2012" s="11">
        <v>7976</v>
      </c>
      <c r="B2012" s="11" t="s">
        <v>12</v>
      </c>
      <c r="C2012" s="11">
        <v>39</v>
      </c>
      <c r="D2012" s="11" t="s">
        <v>29</v>
      </c>
      <c r="E2012" s="11" t="s">
        <v>14</v>
      </c>
      <c r="F2012" s="11">
        <v>177</v>
      </c>
      <c r="G2012" s="11">
        <v>61</v>
      </c>
      <c r="H2012" s="11">
        <v>0.28000000000000003</v>
      </c>
      <c r="I2012" s="11" t="s">
        <v>23</v>
      </c>
      <c r="J2012" s="11">
        <v>5</v>
      </c>
      <c r="K2012" s="11">
        <v>0</v>
      </c>
      <c r="L2012" s="11">
        <v>1</v>
      </c>
      <c r="M2012" s="11">
        <v>0</v>
      </c>
      <c r="N2012" s="11">
        <v>0</v>
      </c>
      <c r="O2012" s="12" t="str">
        <f t="shared" si="31"/>
        <v>0 - 9</v>
      </c>
    </row>
    <row r="2013" spans="1:15" x14ac:dyDescent="0.35">
      <c r="A2013" s="12">
        <v>7978</v>
      </c>
      <c r="B2013" s="12" t="s">
        <v>12</v>
      </c>
      <c r="C2013" s="12">
        <v>40</v>
      </c>
      <c r="D2013" s="12" t="s">
        <v>27</v>
      </c>
      <c r="E2013" s="12" t="s">
        <v>14</v>
      </c>
      <c r="F2013" s="12">
        <v>179</v>
      </c>
      <c r="G2013" s="12">
        <v>33</v>
      </c>
      <c r="H2013" s="12">
        <v>0.35</v>
      </c>
      <c r="I2013" s="12" t="s">
        <v>15</v>
      </c>
      <c r="J2013" s="12">
        <v>8</v>
      </c>
      <c r="K2013" s="12">
        <v>0</v>
      </c>
      <c r="L2013" s="12">
        <v>0</v>
      </c>
      <c r="M2013" s="12">
        <v>0</v>
      </c>
      <c r="N2013" s="12">
        <v>0</v>
      </c>
      <c r="O2013" s="12" t="str">
        <f t="shared" si="31"/>
        <v>0 - 9</v>
      </c>
    </row>
    <row r="2014" spans="1:15" x14ac:dyDescent="0.35">
      <c r="A2014" s="11">
        <v>7980</v>
      </c>
      <c r="B2014" s="11" t="s">
        <v>20</v>
      </c>
      <c r="C2014" s="11">
        <v>54</v>
      </c>
      <c r="D2014" s="11" t="s">
        <v>17</v>
      </c>
      <c r="E2014" s="11" t="s">
        <v>14</v>
      </c>
      <c r="F2014" s="11">
        <v>250</v>
      </c>
      <c r="G2014" s="11">
        <v>49</v>
      </c>
      <c r="H2014" s="11">
        <v>0.2</v>
      </c>
      <c r="I2014" s="11" t="s">
        <v>23</v>
      </c>
      <c r="J2014" s="11">
        <v>44</v>
      </c>
      <c r="K2014" s="11">
        <v>0</v>
      </c>
      <c r="L2014" s="11">
        <v>1</v>
      </c>
      <c r="M2014" s="11">
        <v>0</v>
      </c>
      <c r="N2014" s="11">
        <v>0</v>
      </c>
      <c r="O2014" s="12" t="str">
        <f t="shared" si="31"/>
        <v>40 - 49</v>
      </c>
    </row>
    <row r="2015" spans="1:15" x14ac:dyDescent="0.35">
      <c r="A2015" s="12">
        <v>7990</v>
      </c>
      <c r="B2015" s="12" t="s">
        <v>12</v>
      </c>
      <c r="C2015" s="12">
        <v>41</v>
      </c>
      <c r="D2015" s="12" t="s">
        <v>17</v>
      </c>
      <c r="E2015" s="12" t="s">
        <v>14</v>
      </c>
      <c r="F2015" s="12">
        <v>94</v>
      </c>
      <c r="G2015" s="12">
        <v>59</v>
      </c>
      <c r="H2015" s="12">
        <v>0.04</v>
      </c>
      <c r="I2015" s="12" t="s">
        <v>15</v>
      </c>
      <c r="J2015" s="12">
        <v>29</v>
      </c>
      <c r="K2015" s="12">
        <v>0</v>
      </c>
      <c r="L2015" s="12">
        <v>0</v>
      </c>
      <c r="M2015" s="12">
        <v>0</v>
      </c>
      <c r="N2015" s="12">
        <v>0</v>
      </c>
      <c r="O2015" s="12" t="str">
        <f t="shared" si="31"/>
        <v>20 - 29</v>
      </c>
    </row>
    <row r="2016" spans="1:15" x14ac:dyDescent="0.35">
      <c r="A2016" s="11">
        <v>7993</v>
      </c>
      <c r="B2016" s="11" t="s">
        <v>12</v>
      </c>
      <c r="C2016" s="11">
        <v>32</v>
      </c>
      <c r="D2016" s="11" t="s">
        <v>13</v>
      </c>
      <c r="E2016" s="11" t="s">
        <v>14</v>
      </c>
      <c r="F2016" s="11">
        <v>114</v>
      </c>
      <c r="G2016" s="11">
        <v>69</v>
      </c>
      <c r="H2016" s="11">
        <v>0.28999999999999998</v>
      </c>
      <c r="I2016" s="11" t="s">
        <v>15</v>
      </c>
      <c r="J2016" s="11">
        <v>49</v>
      </c>
      <c r="K2016" s="11">
        <v>0</v>
      </c>
      <c r="L2016" s="11">
        <v>0</v>
      </c>
      <c r="M2016" s="11">
        <v>0</v>
      </c>
      <c r="N2016" s="11">
        <v>0</v>
      </c>
      <c r="O2016" s="12" t="str">
        <f t="shared" si="31"/>
        <v>40 - 49</v>
      </c>
    </row>
    <row r="2017" spans="1:15" x14ac:dyDescent="0.35">
      <c r="A2017" s="12">
        <v>7994</v>
      </c>
      <c r="B2017" s="12" t="s">
        <v>16</v>
      </c>
      <c r="C2017" s="12">
        <v>29</v>
      </c>
      <c r="D2017" s="12" t="s">
        <v>13</v>
      </c>
      <c r="E2017" s="12" t="s">
        <v>14</v>
      </c>
      <c r="F2017" s="12">
        <v>206</v>
      </c>
      <c r="G2017" s="12">
        <v>19</v>
      </c>
      <c r="H2017" s="12">
        <v>0.45</v>
      </c>
      <c r="I2017" s="12" t="s">
        <v>19</v>
      </c>
      <c r="J2017" s="12">
        <v>40</v>
      </c>
      <c r="K2017" s="12">
        <v>0</v>
      </c>
      <c r="L2017" s="12">
        <v>0</v>
      </c>
      <c r="M2017" s="12">
        <v>0</v>
      </c>
      <c r="N2017" s="12">
        <v>0</v>
      </c>
      <c r="O2017" s="12" t="str">
        <f t="shared" si="31"/>
        <v>40 - 49</v>
      </c>
    </row>
    <row r="2018" spans="1:15" x14ac:dyDescent="0.35">
      <c r="A2018" s="11">
        <v>7998</v>
      </c>
      <c r="B2018" s="11" t="s">
        <v>12</v>
      </c>
      <c r="C2018" s="11">
        <v>17</v>
      </c>
      <c r="D2018" s="11" t="s">
        <v>25</v>
      </c>
      <c r="E2018" s="11" t="s">
        <v>14</v>
      </c>
      <c r="F2018" s="11">
        <v>81</v>
      </c>
      <c r="G2018" s="11">
        <v>62</v>
      </c>
      <c r="H2018" s="11">
        <v>0.33</v>
      </c>
      <c r="I2018" s="11" t="s">
        <v>15</v>
      </c>
      <c r="J2018" s="11">
        <v>5</v>
      </c>
      <c r="K2018" s="11">
        <v>0</v>
      </c>
      <c r="L2018" s="11">
        <v>0</v>
      </c>
      <c r="M2018" s="11">
        <v>0</v>
      </c>
      <c r="N2018" s="11">
        <v>0</v>
      </c>
      <c r="O2018" s="12" t="str">
        <f t="shared" si="31"/>
        <v>0 - 9</v>
      </c>
    </row>
    <row r="2019" spans="1:15" x14ac:dyDescent="0.35">
      <c r="A2019" s="14">
        <v>8000</v>
      </c>
      <c r="B2019" s="14" t="s">
        <v>16</v>
      </c>
      <c r="C2019" s="14">
        <v>45</v>
      </c>
      <c r="D2019" s="14" t="s">
        <v>21</v>
      </c>
      <c r="E2019" s="14" t="s">
        <v>14</v>
      </c>
      <c r="F2019" s="14">
        <v>210</v>
      </c>
      <c r="G2019" s="14">
        <v>68</v>
      </c>
      <c r="H2019" s="14">
        <v>0.46</v>
      </c>
      <c r="I2019" s="14" t="s">
        <v>15</v>
      </c>
      <c r="J2019" s="14">
        <v>6</v>
      </c>
      <c r="K2019" s="14">
        <v>0</v>
      </c>
      <c r="L2019" s="14">
        <v>0</v>
      </c>
      <c r="M2019" s="14">
        <v>0</v>
      </c>
      <c r="N2019" s="14">
        <v>0</v>
      </c>
      <c r="O2019" s="14" t="str">
        <f t="shared" si="31"/>
        <v>0 - 9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987A-B73A-4A65-A2CE-66D29AA8BB01}">
  <dimension ref="A3:C9"/>
  <sheetViews>
    <sheetView workbookViewId="0">
      <selection activeCell="O10" sqref="O10"/>
    </sheetView>
  </sheetViews>
  <sheetFormatPr defaultRowHeight="14.5" x14ac:dyDescent="0.35"/>
  <cols>
    <col min="1" max="1" width="12.453125" bestFit="1" customWidth="1"/>
    <col min="2" max="2" width="19.1796875" bestFit="1" customWidth="1"/>
    <col min="3" max="3" width="14.453125" bestFit="1" customWidth="1"/>
  </cols>
  <sheetData>
    <row r="3" spans="1:3" x14ac:dyDescent="0.35">
      <c r="A3" s="3" t="s">
        <v>34</v>
      </c>
      <c r="B3" t="s">
        <v>47</v>
      </c>
      <c r="C3" t="s">
        <v>48</v>
      </c>
    </row>
    <row r="4" spans="1:3" x14ac:dyDescent="0.35">
      <c r="A4" s="4" t="s">
        <v>42</v>
      </c>
      <c r="B4" s="17">
        <v>0.2107843137254902</v>
      </c>
      <c r="C4" s="16">
        <v>204</v>
      </c>
    </row>
    <row r="5" spans="1:3" x14ac:dyDescent="0.35">
      <c r="A5" s="4" t="s">
        <v>43</v>
      </c>
      <c r="B5" s="17">
        <v>0.23026315789473684</v>
      </c>
      <c r="C5" s="16">
        <v>456</v>
      </c>
    </row>
    <row r="6" spans="1:3" x14ac:dyDescent="0.35">
      <c r="A6" s="4" t="s">
        <v>44</v>
      </c>
      <c r="B6" s="17">
        <v>0.26506024096385544</v>
      </c>
      <c r="C6" s="16">
        <v>415</v>
      </c>
    </row>
    <row r="7" spans="1:3" x14ac:dyDescent="0.35">
      <c r="A7" s="4" t="s">
        <v>45</v>
      </c>
      <c r="B7" s="17">
        <v>0.24197002141327623</v>
      </c>
      <c r="C7" s="16">
        <v>467</v>
      </c>
    </row>
    <row r="8" spans="1:3" x14ac:dyDescent="0.35">
      <c r="A8" s="4" t="s">
        <v>46</v>
      </c>
      <c r="B8" s="17">
        <v>0.27731092436974791</v>
      </c>
      <c r="C8" s="16">
        <v>476</v>
      </c>
    </row>
    <row r="9" spans="1:3" x14ac:dyDescent="0.35">
      <c r="A9" s="4" t="s">
        <v>35</v>
      </c>
      <c r="B9" s="17">
        <v>0.24925668979187315</v>
      </c>
      <c r="C9" s="16">
        <v>2018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1B82-5914-441E-82CC-976AABBBD035}">
  <dimension ref="A3:P23"/>
  <sheetViews>
    <sheetView workbookViewId="0">
      <selection activeCell="R18" sqref="R18"/>
    </sheetView>
  </sheetViews>
  <sheetFormatPr defaultRowHeight="14.5" x14ac:dyDescent="0.35"/>
  <cols>
    <col min="1" max="1" width="12.453125" bestFit="1" customWidth="1"/>
    <col min="2" max="2" width="18.26953125" bestFit="1" customWidth="1"/>
    <col min="3" max="3" width="18.54296875" bestFit="1" customWidth="1"/>
    <col min="4" max="4" width="14.36328125" customWidth="1"/>
    <col min="6" max="6" width="8.7265625" customWidth="1"/>
  </cols>
  <sheetData>
    <row r="3" spans="1:16" x14ac:dyDescent="0.35">
      <c r="A3" s="3" t="s">
        <v>34</v>
      </c>
      <c r="B3" t="s">
        <v>36</v>
      </c>
      <c r="C3" t="s">
        <v>37</v>
      </c>
      <c r="D3" t="s">
        <v>38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35">
      <c r="A4" s="4" t="s">
        <v>21</v>
      </c>
      <c r="B4">
        <v>2217.8499999999972</v>
      </c>
      <c r="C4">
        <v>7902.1299999998728</v>
      </c>
      <c r="D4" s="5">
        <f>GETPIVOTDATA("Total Lost Revenue",$A3,"country","AU")/GETPIVOTDATA("Total potential Revenue",$A3,"country","AU")</f>
        <v>0.28066483340568088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35">
      <c r="A5" s="4" t="s">
        <v>13</v>
      </c>
      <c r="B5">
        <v>1803.2000000000014</v>
      </c>
      <c r="C5">
        <v>7052.9199999998918</v>
      </c>
      <c r="D5" s="5">
        <f>GETPIVOTDATA("Total Lost Revenue",$A4,"country","CA")/GETPIVOTDATA("Total potential Revenue",$A4,"country","CA")</f>
        <v>0.25566715629838832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35">
      <c r="A6" s="4" t="s">
        <v>17</v>
      </c>
      <c r="B6">
        <v>2022.9300000000017</v>
      </c>
      <c r="C6">
        <v>7652.3399999998819</v>
      </c>
      <c r="D6" s="5">
        <f>GETPIVOTDATA("Total Lost Revenue",$A5,"country","DE")/GETPIVOTDATA("Total potential Revenue",$A5,"country","DE")</f>
        <v>0.26435443276174775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35">
      <c r="A7" s="4" t="s">
        <v>28</v>
      </c>
      <c r="B7">
        <v>2012.9700000000016</v>
      </c>
      <c r="C7">
        <v>7357.6299999998846</v>
      </c>
      <c r="D7" s="5">
        <f>GETPIVOTDATA("Total Lost Revenue",$A6,"country","FR")/GETPIVOTDATA("Total potential Revenue",$A6,"country","FR")</f>
        <v>0.27358945747476199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x14ac:dyDescent="0.35">
      <c r="A8" s="4" t="s">
        <v>27</v>
      </c>
      <c r="B8">
        <v>1738.2300000000014</v>
      </c>
      <c r="C8">
        <v>7397.4399999998823</v>
      </c>
      <c r="D8" s="5">
        <f>GETPIVOTDATA("Total Lost Revenue",$A7,"country","IN")/GETPIVOTDATA("Total potential Revenue",$A7,"country","IN")</f>
        <v>0.23497723536791498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x14ac:dyDescent="0.35">
      <c r="A9" s="8" t="s">
        <v>29</v>
      </c>
      <c r="B9" s="9">
        <v>2082.9000000000005</v>
      </c>
      <c r="C9" s="9">
        <v>7357.659999999888</v>
      </c>
      <c r="D9" s="10">
        <f>GETPIVOTDATA("Total Lost Revenue",$A8,"country","PK")/GETPIVOTDATA("Total potential Revenue",$A8,"country","PK")</f>
        <v>0.2830927224144677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x14ac:dyDescent="0.35">
      <c r="A10" s="4" t="s">
        <v>26</v>
      </c>
      <c r="B10">
        <v>1813.1700000000014</v>
      </c>
      <c r="C10">
        <v>7057.8299999998908</v>
      </c>
      <c r="D10" s="5">
        <f>GETPIVOTDATA("Total Lost Revenue",$A9,"country","UK")/GETPIVOTDATA("Total potential Revenue",$A9,"country","UK")</f>
        <v>0.25690190894368803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35">
      <c r="A11" s="4" t="s">
        <v>25</v>
      </c>
      <c r="B11">
        <v>2033.0700000000015</v>
      </c>
      <c r="C11">
        <v>7727.2299999998759</v>
      </c>
      <c r="D11" s="5">
        <f>GETPIVOTDATA("Total Lost Revenue",$A10,"country","US")/GETPIVOTDATA("Total potential Revenue",$A10,"country","US")</f>
        <v>0.26310463128443623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35">
      <c r="A12" s="4" t="s">
        <v>35</v>
      </c>
      <c r="B12">
        <v>15724.320000000005</v>
      </c>
      <c r="C12">
        <v>59505.179999999062</v>
      </c>
      <c r="D12" s="6">
        <f>GETPIVOTDATA("Total Lost Revenue",$A$3)/GETPIVOTDATA("Total potential Revenue",$A$3)</f>
        <v>0.26425128030871015</v>
      </c>
    </row>
    <row r="18" spans="1:4" x14ac:dyDescent="0.35">
      <c r="A18" s="3" t="s">
        <v>34</v>
      </c>
      <c r="B18" t="s">
        <v>40</v>
      </c>
      <c r="C18" t="s">
        <v>39</v>
      </c>
      <c r="D18" t="s">
        <v>38</v>
      </c>
    </row>
    <row r="19" spans="1:4" x14ac:dyDescent="0.35">
      <c r="A19" s="8" t="s">
        <v>18</v>
      </c>
      <c r="B19" s="9">
        <v>7869.7499999999163</v>
      </c>
      <c r="C19" s="9">
        <v>28600.920000001097</v>
      </c>
      <c r="D19" s="10">
        <f>GETPIVOTDATA("Sum of Lost Revenue",$A18,"subscription_type","Family")/GETPIVOTDATA("Sum of Monthly Price",$A18,"subscription_type","Family")</f>
        <v>0.27515723270438902</v>
      </c>
    </row>
    <row r="20" spans="1:4" x14ac:dyDescent="0.35">
      <c r="A20" s="4" t="s">
        <v>14</v>
      </c>
      <c r="B20">
        <v>0</v>
      </c>
      <c r="C20">
        <v>0</v>
      </c>
      <c r="D20" s="5">
        <v>0</v>
      </c>
    </row>
    <row r="21" spans="1:4" x14ac:dyDescent="0.35">
      <c r="A21" s="4" t="s">
        <v>22</v>
      </c>
      <c r="B21">
        <v>5294.6999999999307</v>
      </c>
      <c r="C21">
        <v>21128.85000000045</v>
      </c>
      <c r="D21" s="5">
        <f>GETPIVOTDATA("Sum of Lost Revenue",$A20,"subscription_type","Premium")/GETPIVOTDATA("Sum of Monthly Price",$A20,"subscription_type","Premium")</f>
        <v>0.25059101654845473</v>
      </c>
    </row>
    <row r="22" spans="1:4" x14ac:dyDescent="0.35">
      <c r="A22" s="4" t="s">
        <v>24</v>
      </c>
      <c r="B22">
        <v>2559.8699999999808</v>
      </c>
      <c r="C22">
        <v>9775.4099999996652</v>
      </c>
      <c r="D22" s="5">
        <f>GETPIVOTDATA("Sum of Lost Revenue",$A21,"subscription_type","Student")/GETPIVOTDATA("Sum of Monthly Price",$A21,"subscription_type","Student")</f>
        <v>0.26186830015314638</v>
      </c>
    </row>
    <row r="23" spans="1:4" x14ac:dyDescent="0.35">
      <c r="A23" s="4" t="s">
        <v>35</v>
      </c>
      <c r="B23">
        <v>15724.319999999829</v>
      </c>
      <c r="C23">
        <v>59505.180000001215</v>
      </c>
      <c r="D23" s="6">
        <f>GETPIVOTDATA("Sum of Lost Revenue",$A$18)/GETPIVOTDATA("Sum of Monthly Price",$A$18)</f>
        <v>0.2642512803086976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4B7F-D91A-4AFB-9F15-BC98B042741D}">
  <dimension ref="A3:F13"/>
  <sheetViews>
    <sheetView tabSelected="1" workbookViewId="0">
      <selection activeCell="Q14" sqref="Q14"/>
    </sheetView>
  </sheetViews>
  <sheetFormatPr defaultRowHeight="14.5" x14ac:dyDescent="0.35"/>
  <cols>
    <col min="1" max="1" width="19.1796875" bestFit="1" customWidth="1"/>
    <col min="2" max="2" width="11.54296875" bestFit="1" customWidth="1"/>
    <col min="3" max="3" width="5.90625" bestFit="1" customWidth="1"/>
    <col min="4" max="4" width="8.453125" bestFit="1" customWidth="1"/>
    <col min="5" max="5" width="7.453125" bestFit="1" customWidth="1"/>
    <col min="6" max="6" width="10.36328125" bestFit="1" customWidth="1"/>
  </cols>
  <sheetData>
    <row r="3" spans="1:6" x14ac:dyDescent="0.35">
      <c r="A3" s="3" t="s">
        <v>47</v>
      </c>
      <c r="B3" s="3" t="s">
        <v>49</v>
      </c>
    </row>
    <row r="4" spans="1:6" x14ac:dyDescent="0.35">
      <c r="A4" s="3" t="s">
        <v>50</v>
      </c>
      <c r="B4" t="s">
        <v>18</v>
      </c>
      <c r="C4" t="s">
        <v>14</v>
      </c>
      <c r="D4" t="s">
        <v>22</v>
      </c>
      <c r="E4" t="s">
        <v>24</v>
      </c>
      <c r="F4" t="s">
        <v>35</v>
      </c>
    </row>
    <row r="5" spans="1:6" x14ac:dyDescent="0.35">
      <c r="A5" s="4" t="s">
        <v>29</v>
      </c>
      <c r="B5" s="18">
        <v>0.29761904761904762</v>
      </c>
      <c r="C5" s="18">
        <v>0.24528301886792453</v>
      </c>
      <c r="D5" s="18">
        <v>0.24255319148936169</v>
      </c>
      <c r="E5" s="18">
        <v>0.31578947368421051</v>
      </c>
      <c r="F5" s="18">
        <v>0.27527527527527529</v>
      </c>
    </row>
    <row r="6" spans="1:6" x14ac:dyDescent="0.35">
      <c r="A6" s="4" t="s">
        <v>17</v>
      </c>
      <c r="B6" s="18">
        <v>0.25291828793774318</v>
      </c>
      <c r="C6" s="18">
        <v>0.28112449799196787</v>
      </c>
      <c r="D6" s="18">
        <v>0.26984126984126983</v>
      </c>
      <c r="E6" s="18">
        <v>0.28793774319066145</v>
      </c>
      <c r="F6" s="18">
        <v>0.27290640394088672</v>
      </c>
    </row>
    <row r="7" spans="1:6" x14ac:dyDescent="0.35">
      <c r="A7" s="4" t="s">
        <v>28</v>
      </c>
      <c r="B7" s="18">
        <v>0.26839826839826841</v>
      </c>
      <c r="C7" s="18">
        <v>0.26190476190476192</v>
      </c>
      <c r="D7" s="18">
        <v>0.27737226277372262</v>
      </c>
      <c r="E7" s="18">
        <v>0.28017241379310343</v>
      </c>
      <c r="F7" s="18">
        <v>0.27199191102123355</v>
      </c>
    </row>
    <row r="8" spans="1:6" x14ac:dyDescent="0.35">
      <c r="A8" s="4" t="s">
        <v>21</v>
      </c>
      <c r="B8" s="18">
        <v>0.30418250950570341</v>
      </c>
      <c r="C8" s="18">
        <v>0.20647773279352227</v>
      </c>
      <c r="D8" s="18">
        <v>0.25650557620817843</v>
      </c>
      <c r="E8" s="18">
        <v>0.25882352941176473</v>
      </c>
      <c r="F8" s="18">
        <v>0.2572533849129594</v>
      </c>
    </row>
    <row r="9" spans="1:6" x14ac:dyDescent="0.35">
      <c r="A9" s="4" t="s">
        <v>25</v>
      </c>
      <c r="B9" s="18">
        <v>0.27983539094650206</v>
      </c>
      <c r="C9" s="18">
        <v>0.27058823529411763</v>
      </c>
      <c r="D9" s="18">
        <v>0.27464788732394368</v>
      </c>
      <c r="E9" s="18">
        <v>0.188</v>
      </c>
      <c r="F9" s="18">
        <v>0.25387596899224807</v>
      </c>
    </row>
    <row r="10" spans="1:6" x14ac:dyDescent="0.35">
      <c r="A10" s="4" t="s">
        <v>13</v>
      </c>
      <c r="B10" s="18">
        <v>0.26382978723404255</v>
      </c>
      <c r="C10" s="18">
        <v>0.23170731707317074</v>
      </c>
      <c r="D10" s="18">
        <v>0.24358974358974358</v>
      </c>
      <c r="E10" s="18">
        <v>0.25523012552301255</v>
      </c>
      <c r="F10" s="18">
        <v>0.24842767295597484</v>
      </c>
    </row>
    <row r="11" spans="1:6" x14ac:dyDescent="0.35">
      <c r="A11" s="4" t="s">
        <v>26</v>
      </c>
      <c r="B11" s="18">
        <v>0.28985507246376813</v>
      </c>
      <c r="C11" s="18">
        <v>0.22489959839357429</v>
      </c>
      <c r="D11" s="18">
        <v>0.21276595744680851</v>
      </c>
      <c r="E11" s="18">
        <v>0.27631578947368424</v>
      </c>
      <c r="F11" s="18">
        <v>0.2474120082815735</v>
      </c>
    </row>
    <row r="12" spans="1:6" x14ac:dyDescent="0.35">
      <c r="A12" s="4" t="s">
        <v>27</v>
      </c>
      <c r="B12" s="18">
        <v>0.24090909090909091</v>
      </c>
      <c r="C12" s="18">
        <v>0.27058823529411763</v>
      </c>
      <c r="D12" s="18">
        <v>0.22807017543859648</v>
      </c>
      <c r="E12" s="18">
        <v>0.23505976095617531</v>
      </c>
      <c r="F12" s="18">
        <v>0.24332344213649851</v>
      </c>
    </row>
    <row r="13" spans="1:6" x14ac:dyDescent="0.35">
      <c r="A13" s="4" t="s">
        <v>35</v>
      </c>
      <c r="B13" s="18">
        <v>0.27515723270440251</v>
      </c>
      <c r="C13" s="18">
        <v>0.24925668979187315</v>
      </c>
      <c r="D13" s="18">
        <v>0.25059101654846333</v>
      </c>
      <c r="E13" s="18">
        <v>0.26186830015313933</v>
      </c>
      <c r="F13" s="18">
        <v>0.25887500000000002</v>
      </c>
    </row>
  </sheetData>
  <conditionalFormatting pivot="1" sqref="B5:F1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B816-4CE6-4C35-9C8D-B7E3DBAA4E40}">
  <dimension ref="A1:B5"/>
  <sheetViews>
    <sheetView workbookViewId="0">
      <selection activeCell="F22" sqref="F22"/>
    </sheetView>
  </sheetViews>
  <sheetFormatPr defaultRowHeight="14.5" x14ac:dyDescent="0.35"/>
  <cols>
    <col min="1" max="1" width="24.1796875" customWidth="1"/>
  </cols>
  <sheetData>
    <row r="1" spans="1:2" ht="15" thickBot="1" x14ac:dyDescent="0.4">
      <c r="A1" s="1" t="s">
        <v>30</v>
      </c>
      <c r="B1" s="1" t="s">
        <v>31</v>
      </c>
    </row>
    <row r="2" spans="1:2" ht="15" thickBot="1" x14ac:dyDescent="0.4">
      <c r="A2" s="2" t="s">
        <v>14</v>
      </c>
      <c r="B2" s="2">
        <v>0</v>
      </c>
    </row>
    <row r="3" spans="1:2" ht="15" thickBot="1" x14ac:dyDescent="0.4">
      <c r="A3" s="2" t="s">
        <v>24</v>
      </c>
      <c r="B3" s="2">
        <v>4.99</v>
      </c>
    </row>
    <row r="4" spans="1:2" ht="15" thickBot="1" x14ac:dyDescent="0.4">
      <c r="A4" s="2" t="s">
        <v>22</v>
      </c>
      <c r="B4" s="2">
        <v>9.99</v>
      </c>
    </row>
    <row r="5" spans="1:2" ht="15" thickBot="1" x14ac:dyDescent="0.4">
      <c r="A5" s="2" t="s">
        <v>18</v>
      </c>
      <c r="B5" s="2">
        <v>14.99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spotify_churn_dataset</vt:lpstr>
      <vt:lpstr>Free_Users</vt:lpstr>
      <vt:lpstr>Ad Tolerance Threshold Analysis</vt:lpstr>
      <vt:lpstr>Revenue Bleed Estimation</vt:lpstr>
      <vt:lpstr>Demographic Profiling</vt:lpstr>
      <vt:lpstr>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Pragyan Bhattarai</dc:creator>
  <cp:lastModifiedBy>Pragyan Bhattarai</cp:lastModifiedBy>
  <dcterms:created xsi:type="dcterms:W3CDTF">2026-01-09T02:39:29Z</dcterms:created>
  <dcterms:modified xsi:type="dcterms:W3CDTF">2026-01-10T02:44:47Z</dcterms:modified>
</cp:coreProperties>
</file>